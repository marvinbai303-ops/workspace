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3.xml" ContentType="application/vnd.openxmlformats-officedocument.drawingml.char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4.xml" ContentType="application/vnd.openxmlformats-officedocument.drawingml.char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drawings/charts/chart5.xml" ContentType="application/vnd.openxmlformats-officedocument.drawingml.char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drawings/charts/chart6.xml" ContentType="application/vnd.openxmlformats-officedocument.drawingml.char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948df15bf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盘持仓初始配置" sheetId="1" r:id="R2cd9dabfe9764b1f"/>
    <x:sheet xmlns:r="http://schemas.openxmlformats.org/officeDocument/2006/relationships" name="偏离度监控" sheetId="2" r:id="Rf49c11cacf2a4b56"/>
    <x:sheet xmlns:r="http://schemas.openxmlformats.org/officeDocument/2006/relationships" name="vs固收+对比（模拟数据）" sheetId="3" r:id="R16a7067cbe7d4ab9"/>
    <x:sheet xmlns:r="http://schemas.openxmlformats.org/officeDocument/2006/relationships" name="vs固收+对比（实盘数据）" sheetId="4" r:id="Rae56eb2b764b463c"/>
    <x:sheet xmlns:r="http://schemas.openxmlformats.org/officeDocument/2006/relationships" name="恒生净值" sheetId="5" r:id="Ra651786707154bf5"/>
    <x:sheet xmlns:r="http://schemas.openxmlformats.org/officeDocument/2006/relationships" name="实盘净值数据(iFinD公式)" sheetId="6" r:id="R48e9a14fa04b49be"/>
    <x:sheet xmlns:r="http://schemas.openxmlformats.org/officeDocument/2006/relationships" name="实盘组合净值" sheetId="7" r:id="Rb283f843dab34aea"/>
    <x:sheet xmlns:r="http://schemas.openxmlformats.org/officeDocument/2006/relationships" name="分期持仓明细" sheetId="8" r:id="Rd311257e73494cfd"/>
    <x:sheet xmlns:r="http://schemas.openxmlformats.org/officeDocument/2006/relationships" name="看板-产业趋势" sheetId="9" r:id="R7e8108d6e9034241"/>
    <x:sheet xmlns:r="http://schemas.openxmlformats.org/officeDocument/2006/relationships" name="看板-产业趋势基石" sheetId="10" r:id="Reb875fa8c3fe43da"/>
    <x:sheet xmlns:r="http://schemas.openxmlformats.org/officeDocument/2006/relationships" name="看板-产业趋势2号" sheetId="11" r:id="R7220c29c6fbf4a93"/>
    <x:sheet xmlns:r="http://schemas.openxmlformats.org/officeDocument/2006/relationships" name="看板-10-90" sheetId="12" r:id="Rf995bd568bd7464e"/>
    <x:sheet xmlns:r="http://schemas.openxmlformats.org/officeDocument/2006/relationships" name="看板-10-90基石" sheetId="13" r:id="R4432a45601df4596"/>
    <x:sheet xmlns:r="http://schemas.openxmlformats.org/officeDocument/2006/relationships" name="看板-30-70" sheetId="14" r:id="R381ddcc785fe487a"/>
    <x:sheet xmlns:r="http://schemas.openxmlformats.org/officeDocument/2006/relationships" name="说明" sheetId="15" r:id="R974d51938c26426d"/>
  </x:sheets>
  <x:externalReferences xmlns:r="http://schemas.openxmlformats.org/officeDocument/2006/relationships">
    <x:externalReference r:id="rId1"/>
    <x:externalReference r:id="rId2"/>
  </x:externalReferences>
  <x:definedNames>
    <x:definedName name="_ChartDates" localSheetId="8" hidden="0" function="0" vbProcedure="0">实盘组合净值!$A$6:INDEX(实盘组合净值!$A$6:$A$1000,MATCH(9.99999999999999E+307,实盘组合净值!$A$6:$A$1000))</x:definedName>
    <x:definedName name="_ChartValues" localSheetId="8" hidden="0" function="0" vbProcedure="0">实盘组合净值!$B$6:INDEX(实盘组合净值!$B$6:$B$1000,MATCH(9.99999999999999E+307,实盘组合净值!$A$6:$A$1000))</x:definedName>
    <x:definedName name="_ChartDates" localSheetId="9" hidden="0" function="0" vbProcedure="0">实盘组合净值!$A$5:INDEX(实盘组合净值!$A$5:$A$1000,MATCH(9.99999999999999E+307,实盘组合净值!$A$5:$A$1000))</x:definedName>
    <x:definedName name="_ChartValues" localSheetId="9" hidden="0" function="0" vbProcedure="0">实盘组合净值!$E$5:INDEX(实盘组合净值!$E$5:$E$1000,MATCH(9.99999999999999E+307,实盘组合净值!$A$5:$A$1000))</x:definedName>
    <x:definedName name="_ChartDates" localSheetId="10" hidden="0" function="0" vbProcedure="0">实盘组合净值!$A$7:INDEX(实盘组合净值!$A$7:$A$1000,MATCH(9.99999999999999E+307,实盘组合净值!$A$7:$A$1000))</x:definedName>
    <x:definedName name="_ChartValues" localSheetId="10" hidden="0" function="0" vbProcedure="0">实盘组合净值!$H$7:INDEX(实盘组合净值!$H$7:$H$1000,MATCH(9.99999999999999E+307,实盘组合净值!$A$7:$A$1000))</x:definedName>
    <x:definedName name="_ChartDates" localSheetId="11" hidden="0" function="0" vbProcedure="0">实盘组合净值!$A$8:INDEX(实盘组合净值!$A$8:$A$1000,MATCH(9.99999999999999E+307,实盘组合净值!$A$8:$A$1000))</x:definedName>
    <x:definedName name="_ChartValues" localSheetId="11" hidden="0" function="0" vbProcedure="0">实盘组合净值!$K$8:INDEX(实盘组合净值!$K$8:$K$1000,MATCH(9.99999999999999E+307,实盘组合净值!$A$8:$A$1000))</x:definedName>
    <x:definedName name="_ChartDates" localSheetId="12" hidden="0" function="0" vbProcedure="0">实盘组合净值!$A$5:INDEX(实盘组合净值!$A$5:$A$1000,MATCH(9.99999999999999E+307,实盘组合净值!$A$5:$A$1000))</x:definedName>
    <x:definedName name="_ChartValues" localSheetId="12" hidden="0" function="0" vbProcedure="0">实盘组合净值!$N$5:INDEX(实盘组合净值!$N$5:$N$1000,MATCH(9.99999999999999E+307,实盘组合净值!$A$5:$A$1000))</x:definedName>
    <x:definedName name="_ChartDates" localSheetId="13" hidden="0" function="0" vbProcedure="0">实盘组合净值!$A$8:INDEX(实盘组合净值!$A$8:$A$1000,MATCH(9.99999999999999E+307,实盘组合净值!$A$8:$A$1000))</x:definedName>
    <x:definedName name="_ChartValues" localSheetId="13" hidden="0" function="0" vbProcedure="0">实盘组合净值!$Q$8:INDEX(实盘组合净值!$Q$8:$Q$1000,MATCH(9.99999999999999E+307,实盘组合净值!$A$8:$A$1000))</x:definedName>
  </x:definedNames>
  <x:calcPr calcId="191029" calcMode="auto" fullCalcOnLoad="1" forceFullCalc="1"/>
</x:workbook>
</file>

<file path=xl/sharedStrings.xml><?xml version="1.0" encoding="utf-8"?>
<x:sst xmlns:x="http://schemas.openxmlformats.org/spreadsheetml/2006/main">
  <x:si>
    <x:r>
      <x:rPr>
        <x:b/>
        <x:sz val="15"/>
        <x:color rgb="FFFFFFFF"/>
        <x:rFont val="Linux Libertine G"/>
        <x:family val="2"/>
      </x:rPr>
      <x:t xml:space="preserve">持仓配置（实盘</x:t>
    </x:r>
    <x:r>
      <x:rPr>
        <x:b/>
        <x:sz val="15"/>
        <x:color rgb="FFFFFFFF"/>
        <x:rFont val="Arial"/>
        <x:family val="2"/>
      </x:rPr>
      <x:t xml:space="preserve">·</x:t>
    </x:r>
    <x:r>
      <x:rPr>
        <x:b/>
        <x:sz val="15"/>
        <x:color rgb="FFFFFFFF"/>
        <x:rFont val="Linux Libertine G"/>
        <x:family val="2"/>
      </x:rPr>
      <x:t xml:space="preserve">初始权重）</x:t>
    </x:r>
  </x:si>
  <x:si>
    <x:t xml:space="preserve">基金简称</x:t>
  </x:si>
  <x:si>
    <x:r>
      <x:rPr>
        <x:b/>
        <x:sz val="10"/>
        <x:color rgb="FF000000"/>
        <x:rFont val="Linux Libertine G"/>
        <x:family val="2"/>
      </x:rPr>
      <x:t xml:space="preserve">华安黄金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</x:si>
  <x:si>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嘉实快线货币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</x:si>
  <x:si>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宏利复兴混合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</x:si>
  <x:si>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增强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</x:si>
  <x:si>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</x:si>
  <x:si>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</x:si>
  <x:si>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C</x:t>
    </x:r>
  </x:si>
  <x:si>
    <x:t xml:space="preserve">嘉实前沿科技创新</x:t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</x:si>
  <x:si>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</x:si>
  <x:si>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</x:si>
  <x:si>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</x:si>
  <x:si>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</x:si>
  <x:si>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</x:si>
  <x:si>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</x:si>
  <x:si>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信澳业绩驱动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</x:si>
  <x:si>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</x:si>
  <x:si>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</x:si>
  <x:si>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宏利复兴伟业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</x:si>
  <x:si>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</x:si>
  <x:si>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</x:si>
  <x:si>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</x:si>
  <x:si>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</x:si>
  <x:si>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易方达中债新综指</x:t>
    </x:r>
    <x:r>
      <x:rPr>
        <x:b/>
        <x:sz val="10"/>
        <x:color rgb="FF000000"/>
        <x:rFont val="Arial"/>
        <x:family val="2"/>
      </x:rPr>
      <x:t xml:space="preserve">LOFA</x:t>
    </x:r>
  </x:si>
  <x:si>
    <x:t xml:space="preserve">合计</x:t>
  </x:si>
  <x:si>
    <x:t xml:space="preserve">年化费率</x:t>
  </x:si>
  <x:si>
    <x:t xml:space="preserve">净值起始日</x:t>
  </x:si>
  <x:si>
    <x:t xml:space="preserve">基金代码</x:t>
  </x:si>
  <x:si>
    <x:t xml:space="preserve">000216.OF</x:t>
  </x:si>
  <x:si>
    <x:t xml:space="preserve">000917.OF</x:t>
  </x:si>
  <x:si>
    <x:t xml:space="preserve">001170.OF</x:t>
  </x:si>
  <x:si>
    <x:t xml:space="preserve">007044.OF</x:t>
  </x:si>
  <x:si>
    <x:t xml:space="preserve">007045.OF</x:t>
  </x:si>
  <x:si>
    <x:t xml:space="preserve">007817.OF</x:t>
  </x:si>
  <x:si>
    <x:t xml:space="preserve">007818.OF</x:t>
  </x:si>
  <x:si>
    <x:t xml:space="preserve">009993.OF</x:t>
  </x:si>
  <x:si>
    <x:t xml:space="preserve">013840.OF</x:t>
  </x:si>
  <x:si>
    <x:t xml:space="preserve">013841.OF</x:t>
  </x:si>
  <x:si>
    <x:t xml:space="preserve">014201.OF</x:t>
  </x:si>
  <x:si>
    <x:t xml:space="preserve">014202.OF</x:t>
  </x:si>
  <x:si>
    <x:t xml:space="preserve">015453.OF</x:t>
  </x:si>
  <x:si>
    <x:t xml:space="preserve">015454.OF</x:t>
  </x:si>
  <x:si>
    <x:t xml:space="preserve">016370.OF</x:t>
  </x:si>
  <x:si>
    <x:t xml:space="preserve">017488.OF</x:t>
  </x:si>
  <x:si>
    <x:t xml:space="preserve">017489.OF</x:t>
  </x:si>
  <x:si>
    <x:t xml:space="preserve">017612.OF</x:t>
  </x:si>
  <x:si>
    <x:t xml:space="preserve">019632.OF</x:t>
  </x:si>
  <x:si>
    <x:t xml:space="preserve">019633.OF</x:t>
  </x:si>
  <x:si>
    <x:t xml:space="preserve">019923.OF</x:t>
  </x:si>
  <x:si>
    <x:t xml:space="preserve">019924.OF</x:t>
  </x:si>
  <x:si>
    <x:t xml:space="preserve">161119.OF</x:t>
  </x:si>
  <x:si>
    <x:t xml:space="preserve">产业趋势 权重</x:t>
  </x:si>
  <x:si>
    <x:t xml:space="preserve">产业趋势基石 权重</x:t>
  </x:si>
  <x:si>
    <x:r>
      <x:rPr>
        <x:b/>
        <x:sz val="10"/>
        <x:color rgb="FF000000"/>
        <x:rFont val="Linux Libertine G"/>
        <x:family val="2"/>
      </x:rPr>
      <x:t xml:space="preserve">产业趋势</x:t>
    </x:r>
    <x:r>
      <x:rPr>
        <x:b/>
        <x:sz val="10"/>
        <x:color rgb="FF000000"/>
        <x:rFont val="Arial"/>
        <x:family val="2"/>
      </x:rPr>
      <x:t xml:space="preserve">2</x:t>
    </x:r>
    <x:r>
      <x:rPr>
        <x:b/>
        <x:sz val="10"/>
        <x:color rgb="FF000000"/>
        <x:rFont val="Linux Libertine G"/>
        <x:family val="2"/>
      </x:rPr>
      <x:t xml:space="preserve">号 权重</x:t>
    </x:r>
  </x:si>
  <x:si>
    <x:r>
      <x:rPr>
        <x:b/>
        <x:sz val="10"/>
        <x:color rgb="FF000000"/>
        <x:rFont val="Arial"/>
        <x:family val="2"/>
      </x:rPr>
      <x:t xml:space="preserve">10-90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</x:si>
  <x:si>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b/>
        <x:sz val="10"/>
        <x:color rgb="FF000000"/>
        <x:rFont val="Arial"/>
        <x:family val="2"/>
      </x:rPr>
      <x:t xml:space="preserve">10-90</x:t>
    </x:r>
    <x:r>
      <x:rPr>
        <x:b/>
        <x:sz val="10"/>
        <x:color rgb="FF000000"/>
        <x:rFont val="Linux Libertine G"/>
        <x:family val="2"/>
      </x:rPr>
      <x:t xml:space="preserve">基石 权重</x:t>
    </x:r>
  </x:si>
  <x:si>
    <x:r>
      <x:rPr>
        <x:b/>
        <x:sz val="10"/>
        <x:color rgb="FF000000"/>
        <x:rFont val="Arial"/>
        <x:family val="2"/>
      </x:rPr>
      <x:t xml:space="preserve">30-70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</x:si>
  <x:si>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i/>
        <x:sz val="9"/>
        <x:color rgb="FF595959"/>
        <x:rFont val="Linux Libertine G"/>
        <x:family val="2"/>
      </x:rPr>
      <x:t xml:space="preserve">权重蓝色输入；</x:t>
    </x:r>
    <x:r>
      <x:rPr>
        <x:i/>
        <x:sz val="9"/>
        <x:color rgb="FF595959"/>
        <x:rFont val="Arial"/>
        <x:family val="2"/>
      </x:rPr>
      <x:t xml:space="preserve">Z</x:t>
    </x:r>
    <x:r>
      <x:rPr>
        <x:i/>
        <x:sz val="9"/>
        <x:color rgb="FF595959"/>
        <x:rFont val="Linux Libertine G"/>
        <x:family val="2"/>
      </x:rPr>
      <x:t xml:space="preserve">列为各组合年化费率、</x:t>
    </x:r>
    <x:r>
      <x:rPr>
        <x:i/>
        <x:sz val="9"/>
        <x:color rgb="FF595959"/>
        <x:rFont val="Arial"/>
        <x:family val="2"/>
      </x:rPr>
      <x:t xml:space="preserve">AA</x:t>
    </x:r>
    <x:r>
      <x:rPr>
        <x:i/>
        <x:sz val="9"/>
        <x:color rgb="FF595959"/>
        <x:rFont val="Linux Libertine G"/>
        <x:family val="2"/>
      </x:rPr>
      <x:t xml:space="preserve">列为各组合净值起始日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当日净值</x:t>
    </x:r>
    <x:r>
      <x:rPr>
        <x:i/>
        <x:sz val="9"/>
        <x:color rgb="FF595959"/>
        <x:rFont val="Arial"/>
        <x:family val="2"/>
      </x:rPr>
      <x:t xml:space="preserve">=1)</x:t>
    </x:r>
    <x:r>
      <x:rPr>
        <x:i/>
        <x:sz val="9"/>
        <x:color rgb="FF595959"/>
        <x:rFont val="Linux Libertine G"/>
        <x:family val="2"/>
      </x:rPr>
      <x:t xml:space="preserve">。新增交易日下拉填充，下游净值与看板自动重算。</x:t>
    </x:r>
  </x:si>
  <x:si>
    <x:r>
      <x:rPr>
        <x:b/>
        <x:sz val="16"/>
        <x:color rgb="FFFFFFFF"/>
        <x:rFont val="Linux Libertine G"/>
        <x:family val="2"/>
      </x:rPr>
      <x:t xml:space="preserve">样板间投顾组合 </x:t>
    </x:r>
    <x:r>
      <x:rPr>
        <x:b/>
        <x:sz val="16"/>
        <x:color rgb="FFFFFFFF"/>
        <x:rFont val="微软雅黑"/>
        <x:family val="2"/>
      </x:rPr>
      <x:t xml:space="preserve">· </x:t>
    </x:r>
    <x:r>
      <x:rPr>
        <x:b/>
        <x:sz val="16"/>
        <x:color rgb="FFFFFFFF"/>
        <x:rFont val="Linux Libertine G"/>
        <x:family val="2"/>
      </x:rPr>
      <x:t xml:space="preserve">偏离度监控</x:t>
    </x:r>
  </x:si>
  <x:si>
    <x:t xml:space="preserve">净值截止日</x:t>
  </x:si>
  <x:si>
    <x:t xml:space="preserve">权重口径</x:t>
  </x:si>
  <x:si>
    <x:t xml:space="preserve">上一完整交易日（避免当日净值更新不同步）</x:t>
  </x:si>
  <x:si>
    <x:t xml:space="preserve">配比预警阈值</x:t>
  </x:si>
  <x:si>
    <x:t xml:space="preserve">主动基金上限</x:t>
  </x:si>
  <x:si>
    <x:r>
      <x:rPr>
        <x:i/>
        <x:sz val="9"/>
        <x:color rgb="FF595959"/>
        <x:rFont val="Linux Libertine G"/>
        <x:family val="2"/>
      </x:rPr>
      <x:t xml:space="preserve">三个产业趋势组合展示全部最新持仓；</x:t>
    </x:r>
    <x:r>
      <x:rPr>
        <x:i/>
        <x:sz val="9"/>
        <x:color rgb="FF595959"/>
        <x:rFont val="微软雅黑"/>
        <x:family val="2"/>
      </x:rPr>
      <x:t xml:space="preserve">10-90</x:t>
    </x:r>
    <x:r>
      <x:rPr>
        <x:i/>
        <x:sz val="9"/>
        <x:color rgb="FF595959"/>
        <x:rFont val="Linux Libertine G"/>
        <x:family val="2"/>
      </x:rPr>
      <x:t xml:space="preserve">（含基石）及</x:t>
    </x:r>
    <x:r>
      <x:rPr>
        <x:i/>
        <x:sz val="9"/>
        <x:color rgb="FF595959"/>
        <x:rFont val="微软雅黑"/>
        <x:family val="2"/>
      </x:rPr>
      <x:t xml:space="preserve">30-70</x:t>
    </x:r>
    <x:r>
      <x:rPr>
        <x:i/>
        <x:sz val="9"/>
        <x:color rgb="FF595959"/>
        <x:rFont val="Linux Libertine G"/>
        <x:family val="2"/>
      </x:rPr>
      <x:t xml:space="preserve">的结构偏离按目标配比监控。红色表示超过约束或预警阈值。</x:t>
    </x:r>
  </x:si>
  <x:si>
    <x:r>
      <x:rPr>
        <x:b/>
        <x:sz val="10"/>
        <x:color rgb="FFFFFFFF"/>
        <x:rFont val="微软雅黑"/>
        <x:family val="2"/>
      </x:rPr>
      <x:t xml:space="preserve">1. </x:t>
    </x:r>
    <x:r>
      <x:rPr>
        <x:b/>
        <x:sz val="10"/>
        <x:color rgb="FFFFFFFF"/>
        <x:rFont val="Linux Libertine G"/>
        <x:family val="2"/>
      </x:rPr>
      <x:t xml:space="preserve">产业趋势组合详细持仓及集中度风险</x:t>
    </x:r>
  </x:si>
  <x:si>
    <x:t xml:space="preserve">数据截止日</x:t>
  </x:si>
  <x:si>
    <x:t xml:space="preserve">组合</x:t>
  </x:si>
  <x:si>
    <x:t xml:space="preserve">基金类型</x:t>
  </x:si>
  <x:si>
    <x:t xml:space="preserve">当前权重</x:t>
  </x:si>
  <x:si>
    <x:t xml:space="preserve">是否超限</x:t>
  </x:si>
  <x:si>
    <x:t xml:space="preserve">调仓生效日</x:t>
  </x:si>
  <x:si>
    <x:r>
      <x:rPr>
        <x:i/>
        <x:sz val="8"/>
        <x:color rgb="FF595959"/>
        <x:rFont val="Linux Libertine G"/>
        <x:family val="2"/>
      </x:rPr>
      <x:t xml:space="preserve">约束口径：仅“主动”基金适用单只</x:t>
    </x:r>
    <x:r>
      <x:rPr>
        <x:i/>
        <x:sz val="8"/>
        <x:color rgb="FF595959"/>
        <x:rFont val="微软雅黑"/>
        <x:family val="2"/>
      </x:rPr>
      <x:t xml:space="preserve">20%</x:t>
    </x:r>
    <x:r>
      <x:rPr>
        <x:i/>
        <x:sz val="8"/>
        <x:color rgb="FF595959"/>
        <x:rFont val="Linux Libertine G"/>
        <x:family val="2"/>
      </x:rPr>
      <x:t xml:space="preserve">上限；主题指数、指增、货币、债券及保障基金不纳入该上限。超限基金整行标红。</x:t>
    </x:r>
  </x:si>
  <x:si>
    <x:r>
      <x:rPr>
        <x:b/>
        <x:sz val="10"/>
        <x:color rgb="FFFFFFFF"/>
        <x:rFont val="微软雅黑"/>
        <x:family val="2"/>
      </x:rPr>
      <x:t xml:space="preserve">2. </x:t>
    </x:r>
    <x:r>
      <x:rPr>
        <x:b/>
        <x:sz val="10"/>
        <x:color rgb="FFFFFFFF"/>
        <x:rFont val="Linux Libertine G"/>
        <x:family val="2"/>
      </x:rPr>
      <x:t xml:space="preserve">组合内部增值 </x:t>
    </x:r>
    <x:r>
      <x:rPr>
        <x:b/>
        <x:sz val="10"/>
        <x:color rgb="FFFFFFFF"/>
        <x:rFont val="微软雅黑"/>
        <x:family val="2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生息配比偏离（</x:t>
    </x:r>
    <x:r>
      <x:rPr>
        <x:b/>
        <x:sz val="10"/>
        <x:color rgb="FFFFFFFF"/>
        <x:rFont val="微软雅黑"/>
        <x:family val="2"/>
      </x:rPr>
      <x:t xml:space="preserve">10-90/30-70</x:t>
    </x:r>
    <x:r>
      <x:rPr>
        <x:b/>
        <x:sz val="10"/>
        <x:color rgb="FFFFFFFF"/>
        <x:rFont val="Linux Libertine G"/>
        <x:family val="2"/>
      </x:rPr>
      <x:t xml:space="preserve">）</x:t>
    </x:r>
  </x:si>
  <x:si>
    <x:t xml:space="preserve">增值目标</x:t>
  </x:si>
  <x:si>
    <x:t xml:space="preserve">增值当前</x:t>
  </x:si>
  <x:si>
    <x:t xml:space="preserve">偏离度</x:t>
  </x:si>
  <x:si>
    <x:t xml:space="preserve">生息目标</x:t>
  </x:si>
  <x:si>
    <x:t xml:space="preserve">生息当前</x:t>
  </x:si>
  <x:si>
    <x:t xml:space="preserve">10-90</x:t>
  </x:si>
  <x:si>
    <x:r>
      <x:rPr>
        <x:sz val="9"/>
        <x:color rgb="FF000000"/>
        <x:rFont val="微软雅黑"/>
        <x:family val="2"/>
      </x:rPr>
      <x:t xml:space="preserve">10-90</x:t>
    </x:r>
    <x:r>
      <x:rPr>
        <x:sz val="9"/>
        <x:color rgb="FF000000"/>
        <x:rFont val="Linux Libertine G"/>
        <x:family val="2"/>
      </x:rPr>
      <x:t xml:space="preserve">基石</x:t>
    </x:r>
  </x:si>
  <x:si>
    <x:t xml:space="preserve">30-70</x:t>
  </x:si>
  <x:si>
    <x:r>
      <x:rPr>
        <x:i/>
        <x:sz val="8"/>
        <x:color rgb="FF595959"/>
        <x:rFont val="Linux Libertine G"/>
        <x:family val="2"/>
      </x:rPr>
      <x:t xml:space="preserve">生息含债券、货币及保障类基金；默认预警阈值为</x:t>
    </x:r>
    <x:r>
      <x:rPr>
        <x:i/>
        <x:sz val="8"/>
        <x:color rgb="FF595959"/>
        <x:rFont val="微软雅黑"/>
        <x:family val="2"/>
      </x:rPr>
      <x:t xml:space="preserve">±2</x:t>
    </x:r>
    <x:r>
      <x:rPr>
        <x:i/>
        <x:sz val="8"/>
        <x:color rgb="FF595959"/>
        <x:rFont val="Linux Libertine G"/>
        <x:family val="2"/>
      </x:rPr>
      <x:t xml:space="preserve">个百分点，可在</x:t>
    </x:r>
    <x:r>
      <x:rPr>
        <x:i/>
        <x:sz val="8"/>
        <x:color rgb="FF595959"/>
        <x:rFont val="微软雅黑"/>
        <x:family val="2"/>
      </x:rPr>
      <x:t xml:space="preserve">J2</x:t>
    </x:r>
    <x:r>
      <x:rPr>
        <x:i/>
        <x:sz val="8"/>
        <x:color rgb="FF595959"/>
        <x:rFont val="Linux Libertine G"/>
        <x:family val="2"/>
      </x:rPr>
      <x:t xml:space="preserve">直接修改。偏离度</x:t>
    </x:r>
    <x:r>
      <x:rPr>
        <x:i/>
        <x:sz val="8"/>
        <x:color rgb="FF595959"/>
        <x:rFont val="微软雅黑"/>
        <x:family val="2"/>
      </x:rPr>
      <x:t xml:space="preserve">=</x:t>
    </x:r>
    <x:r>
      <x:rPr>
        <x:i/>
        <x:sz val="8"/>
        <x:color rgb="FF595959"/>
        <x:rFont val="Linux Libertine G"/>
        <x:family val="2"/>
      </x:rPr>
      <x:t xml:space="preserve">当前配比−目标配比。</x:t>
    </x:r>
  </x:si>
  <x:si>
    <x:r>
      <x:rPr>
        <x:b/>
        <x:sz val="10"/>
        <x:color rgb="FFFFFFFF"/>
        <x:rFont val="微软雅黑"/>
        <x:family val="2"/>
      </x:rPr>
      <x:t xml:space="preserve">3. </x:t>
    </x:r>
    <x:r>
      <x:rPr>
        <x:b/>
        <x:sz val="10"/>
        <x:color rgb="FFFFFFFF"/>
        <x:rFont val="Linux Libertine G"/>
        <x:family val="2"/>
      </x:rPr>
      <x:t xml:space="preserve">增值部分内部产业趋势 </x:t>
    </x:r>
    <x:r>
      <x:rPr>
        <x:b/>
        <x:sz val="10"/>
        <x:color rgb="FFFFFFFF"/>
        <x:rFont val="微软雅黑"/>
        <x:family val="2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指增当前配比</x:t>
    </x:r>
  </x:si>
  <x:si>
    <x:t xml:space="preserve">产业趋势当前权重</x:t>
  </x:si>
  <x:si>
    <x:t xml:space="preserve">指增部分当前权重</x:t>
  </x:si>
  <x:si>
    <x:t xml:space="preserve">增值部分总权重</x:t>
  </x:si>
  <x:si>
    <x:t xml:space="preserve">产业趋势与指增的当前权重均以“增值部分总权重”为分母。</x:t>
  </x:si>
  <x:si>
    <x:r>
      <x:rPr>
        <x:sz val="8"/>
        <x:color rgb="FF595959"/>
        <x:rFont val="Linux Libertine G"/>
        <x:family val="2"/>
      </x:rPr>
      <x:t xml:space="preserve">核验：原模板</x:t>
    </x:r>
    <x:r>
      <x:rPr>
        <x:sz val="8"/>
        <x:color rgb="FF595959"/>
        <x:rFont val="微软雅黑"/>
        <x:family val="2"/>
      </x:rPr>
      <x:t xml:space="preserve">8</x:t>
    </x:r>
    <x:r>
      <x:rPr>
        <x:sz val="8"/>
        <x:color rgb="FF595959"/>
        <x:rFont val="Linux Libertine G"/>
        <x:family val="2"/>
      </x:rPr>
      <x:t xml:space="preserve">月</x:t>
    </x:r>
    <x:r>
      <x:rPr>
        <x:sz val="8"/>
        <x:color rgb="FF595959"/>
        <x:rFont val="微软雅黑"/>
        <x:family val="2"/>
      </x:rPr>
      <x:t xml:space="preserve">10</x:t>
    </x:r>
    <x:r>
      <x:rPr>
        <x:sz val="8"/>
        <x:color rgb="FF595959"/>
        <x:rFont val="Linux Libertine G"/>
        <x:family val="2"/>
      </x:rPr>
      <x:t xml:space="preserve">日当日行仅货币基金先更新，最大混频差为</x:t>
    </x:r>
    <x:r>
      <x:rPr>
        <x:sz val="8"/>
        <x:color rgb="FF595959"/>
        <x:rFont val="微软雅黑"/>
        <x:family val="2"/>
      </x:rPr>
      <x:t xml:space="preserve">0.00044</x:t>
    </x:r>
    <x:r>
      <x:rPr>
        <x:sz val="8"/>
        <x:color rgb="FF595959"/>
        <x:rFont val="Linux Libertine G"/>
        <x:family val="2"/>
      </x:rPr>
      <x:t xml:space="preserve">个百分点；改用</x:t>
    </x:r>
    <x:r>
      <x:rPr>
        <x:sz val="8"/>
        <x:color rgb="FF595959"/>
        <x:rFont val="微软雅黑"/>
        <x:family val="2"/>
      </x:rPr>
      <x:t xml:space="preserve">2026-08-07</x:t>
    </x:r>
    <x:r>
      <x:rPr>
        <x:sz val="8"/>
        <x:color rgb="FF595959"/>
        <x:rFont val="Linux Libertine G"/>
        <x:family val="2"/>
      </x:rPr>
      <x:t xml:space="preserve">完整净值后，与系统导出最大残差降至</x:t>
    </x:r>
    <x:r>
      <x:rPr>
        <x:sz val="8"/>
        <x:color rgb="FF595959"/>
        <x:rFont val="微软雅黑"/>
        <x:family val="2"/>
      </x:rPr>
      <x:t xml:space="preserve">0.00010</x:t>
    </x:r>
    <x:r>
      <x:rPr>
        <x:sz val="8"/>
        <x:color rgb="FF595959"/>
        <x:rFont val="Linux Libertine G"/>
        <x:family val="2"/>
      </x:rPr>
      <x:t xml:space="preserve">个百分点（约</x:t>
    </x:r>
    <x:r>
      <x:rPr>
        <x:sz val="8"/>
        <x:color rgb="FF595959"/>
        <x:rFont val="微软雅黑"/>
        <x:family val="2"/>
      </x:rPr>
      <x:t xml:space="preserve">0.01bp</x:t>
    </x:r>
    <x:r>
      <x:rPr>
        <x:sz val="8"/>
        <x:color rgb="FF595959"/>
        <x:rFont val="Linux Libertine G"/>
        <x:family val="2"/>
      </x:rPr>
      <x:t xml:space="preserve">，仅为</x:t>
    </x:r>
    <x:r>
      <x:rPr>
        <x:sz val="8"/>
        <x:color rgb="FF595959"/>
        <x:rFont val="微软雅黑"/>
        <x:family val="2"/>
      </x:rPr>
      <x:t xml:space="preserve">6</x:t>
    </x:r>
    <x:r>
      <x:rPr>
        <x:sz val="8"/>
        <x:color rgb="FF595959"/>
        <x:rFont val="Linux Libertine G"/>
        <x:family val="2"/>
      </x:rPr>
      <x:t xml:space="preserve">位小数舍入）。</x:t>
    </x:r>
  </x:si>
  <x:si>
    <x:t xml:space="preserve">分类映射与自动计算明细（维护区）</x:t>
  </x:si>
  <x:si>
    <x:r>
      <x:rPr>
        <x:i/>
        <x:sz val="8"/>
        <x:color rgb="FF595959"/>
        <x:rFont val="Linux Libertine G"/>
        <x:family val="2"/>
      </x:rPr>
      <x:t xml:space="preserve">分类参考《增值</x:t>
    </x:r>
    <x:r>
      <x:rPr>
        <x:i/>
        <x:sz val="8"/>
        <x:color rgb="FF595959"/>
        <x:rFont val="微软雅黑"/>
        <x:family val="2"/>
      </x:rPr>
      <x:t xml:space="preserve">_</x:t>
    </x:r>
    <x:r>
      <x:rPr>
        <x:i/>
        <x:sz val="8"/>
        <x:color rgb="FF595959"/>
        <x:rFont val="Linux Libertine G"/>
        <x:family val="2"/>
      </x:rPr>
      <x:t xml:space="preserve">生息</x:t>
    </x:r>
    <x:r>
      <x:rPr>
        <x:i/>
        <x:sz val="8"/>
        <x:color rgb="FF595959"/>
        <x:rFont val="微软雅黑"/>
        <x:family val="2"/>
      </x:rPr>
      <x:t xml:space="preserve">+</x:t>
    </x:r>
    <x:r>
      <x:rPr>
        <x:i/>
        <x:sz val="8"/>
        <x:color rgb="FF595959"/>
        <x:rFont val="Linux Libertine G"/>
        <x:family val="2"/>
      </x:rPr>
      <x:t xml:space="preserve">产业趋势</x:t>
    </x:r>
    <x:r>
      <x:rPr>
        <x:i/>
        <x:sz val="8"/>
        <x:color rgb="FF595959"/>
        <x:rFont val="微软雅黑"/>
        <x:family val="2"/>
      </x:rPr>
      <x:t xml:space="preserve">_</x:t>
    </x:r>
    <x:r>
      <x:rPr>
        <x:i/>
        <x:sz val="8"/>
        <x:color rgb="FF595959"/>
        <x:rFont val="Linux Libertine G"/>
        <x:family val="2"/>
      </x:rPr>
      <x:t xml:space="preserve">指增</x:t>
    </x:r>
    <x:r>
      <x:rPr>
        <x:i/>
        <x:sz val="8"/>
        <x:color rgb="FF595959"/>
        <x:rFont val="微软雅黑"/>
        <x:family val="2"/>
      </x:rPr>
      <x:t xml:space="preserve">.xlsx</x:t>
    </x:r>
    <x:r>
      <x:rPr>
        <x:i/>
        <x:sz val="8"/>
        <x:color rgb="FF595959"/>
        <x:rFont val="Linux Libertine G"/>
        <x:family val="2"/>
      </x:rPr>
      <x:t xml:space="preserve">》；</x:t>
    </x:r>
    <x:r>
      <x:rPr>
        <x:i/>
        <x:sz val="8"/>
        <x:color rgb="FF595959"/>
        <x:rFont val="微软雅黑"/>
        <x:family val="2"/>
      </x:rPr>
      <x:t xml:space="preserve">A/C</x:t>
    </x:r>
    <x:r>
      <x:rPr>
        <x:i/>
        <x:sz val="8"/>
        <x:color rgb="FF595959"/>
        <x:rFont val="Linux Libertine G"/>
        <x:family val="2"/>
      </x:rPr>
      <x:t xml:space="preserve">份额继承同一基金分类。</x:t>
    </x:r>
    <x:r>
      <x:rPr>
        <x:i/>
        <x:sz val="8"/>
        <x:color rgb="FF595959"/>
        <x:rFont val="微软雅黑"/>
        <x:family val="2"/>
      </x:rPr>
      <x:t xml:space="preserve">000917</x:t>
    </x:r>
    <x:r>
      <x:rPr>
        <x:i/>
        <x:sz val="8"/>
        <x:color rgb="FF595959"/>
        <x:rFont val="Linux Libertine G"/>
        <x:family val="2"/>
      </x:rPr>
      <x:t xml:space="preserve">、</x:t>
    </x:r>
    <x:r>
      <x:rPr>
        <x:i/>
        <x:sz val="8"/>
        <x:color rgb="FF595959"/>
        <x:rFont val="微软雅黑"/>
        <x:family val="2"/>
      </x:rPr>
      <x:t xml:space="preserve">009993</x:t>
    </x:r>
    <x:r>
      <x:rPr>
        <x:i/>
        <x:sz val="8"/>
        <x:color rgb="FF595959"/>
        <x:rFont val="Linux Libertine G"/>
        <x:family val="2"/>
      </x:rPr>
      <x:t xml:space="preserve">及部分</x:t>
    </x:r>
    <x:r>
      <x:rPr>
        <x:i/>
        <x:sz val="8"/>
        <x:color rgb="FF595959"/>
        <x:rFont val="微软雅黑"/>
        <x:family val="2"/>
      </x:rPr>
      <x:t xml:space="preserve">C</x:t>
    </x:r>
    <x:r>
      <x:rPr>
        <x:i/>
        <x:sz val="8"/>
        <x:color rgb="FF595959"/>
        <x:rFont val="Linux Libertine G"/>
        <x:family val="2"/>
      </x:rPr>
      <x:t xml:space="preserve">份额为现持仓补充映射。</x:t>
    </x:r>
  </x:si>
  <x:si>
    <x:t xml:space="preserve">大类</x:t>
  </x:si>
  <x:si>
    <x:t xml:space="preserve">增值细分</x:t>
  </x:si>
  <x:si>
    <x:t xml:space="preserve">管理方式</x:t>
  </x:si>
  <x:si>
    <x:t xml:space="preserve">分类依据</x:t>
  </x:si>
  <x:si>
    <x:t xml:space="preserve">产业趋势</x:t>
  </x:si>
  <x:si>
    <x:t xml:space="preserve">产业趋势基石</x:t>
  </x:si>
  <x:si>
    <x:r>
      <x:rPr>
        <x:b/>
        <x:sz val="9"/>
        <x:color rgb="FFFFFFFF"/>
        <x:rFont val="Linux Libertine G"/>
        <x:family val="2"/>
      </x:rPr>
      <x:t xml:space="preserve">产业趋势</x:t>
    </x:r>
    <x:r>
      <x:rPr>
        <x:b/>
        <x:sz val="9"/>
        <x:color rgb="FFFFFFFF"/>
        <x:rFont val="微软雅黑"/>
        <x:family val="2"/>
      </x:rPr>
      <x:t xml:space="preserve">2</x:t>
    </x:r>
    <x:r>
      <x:rPr>
        <x:b/>
        <x:sz val="9"/>
        <x:color rgb="FFFFFFFF"/>
        <x:rFont val="Linux Libertine G"/>
        <x:family val="2"/>
      </x:rPr>
      <x:t xml:space="preserve">号</x:t>
    </x:r>
  </x:si>
  <x:si>
    <x:r>
      <x:rPr>
        <x:b/>
        <x:sz val="9"/>
        <x:color rgb="FFFFFFFF"/>
        <x:rFont val="微软雅黑"/>
        <x:family val="2"/>
      </x:rPr>
      <x:t xml:space="preserve">10-90</x:t>
    </x:r>
    <x:r>
      <x:rPr>
        <x:b/>
        <x:sz val="9"/>
        <x:color rgb="FFFFFFFF"/>
        <x:rFont val="Linux Libertine G"/>
        <x:family val="2"/>
      </x:rPr>
      <x:t xml:space="preserve">基石</x:t>
    </x:r>
  </x:si>
  <x:si>
    <x:r>
      <x:rPr>
        <x:sz val="9"/>
        <x:color rgb="FF000000"/>
        <x:rFont val="Linux Libertine G"/>
        <x:family val="2"/>
      </x:rPr>
      <x:t xml:space="preserve">华安黄金</x:t>
    </x:r>
    <x:r>
      <x:rPr>
        <x:sz val="9"/>
        <x:color rgb="FF000000"/>
        <x:rFont val="微软雅黑"/>
        <x:family val="2"/>
      </x:rPr>
      <x:t xml:space="preserve">ETF</x:t>
    </x:r>
    <x:r>
      <x:rPr>
        <x:sz val="9"/>
        <x:color rgb="FF000000"/>
        <x:rFont val="Linux Libertine G"/>
        <x:family val="2"/>
      </x:rPr>
      <x:t xml:space="preserve">联接</x:t>
    </x:r>
    <x:r>
      <x:rPr>
        <x:sz val="9"/>
        <x:color rgb="FF000000"/>
        <x:rFont val="微软雅黑"/>
        <x:family val="2"/>
      </x:rPr>
      <x:t xml:space="preserve">A</x:t>
    </x:r>
  </x:si>
  <x:si>
    <x:t xml:space="preserve">生息</x:t>
  </x:si>
  <x:si>
    <x:t xml:space="preserve">-</x:t>
  </x:si>
  <x:si>
    <x:t xml:space="preserve">保障</x:t>
  </x:si>
  <x:si>
    <x:r>
      <x:rPr>
        <x:sz val="9"/>
        <x:color rgb="FF000000"/>
        <x:rFont val="Linux Libertine G"/>
        <x:family val="2"/>
      </x:rPr>
      <x:t xml:space="preserve">债券</x:t>
    </x:r>
    <x:r>
      <x:rPr>
        <x:sz val="9"/>
        <x:color rgb="FF000000"/>
        <x:rFont val="微软雅黑"/>
        <x:family val="2"/>
      </x:rPr>
      <x:t xml:space="preserve">&amp;</x:t>
    </x:r>
    <x:r>
      <x:rPr>
        <x:sz val="9"/>
        <x:color rgb="FF000000"/>
        <x:rFont val="Linux Libertine G"/>
        <x:family val="2"/>
      </x:rPr>
      <x:t xml:space="preserve">保障池子（保障）</x:t>
    </x:r>
  </x:si>
  <x:si>
    <x:r>
      <x:rPr>
        <x:sz val="9"/>
        <x:color rgb="FF000000"/>
        <x:rFont val="Linux Libertine G"/>
        <x:family val="2"/>
      </x:rPr>
      <x:t xml:space="preserve">嘉实快线货币</x:t>
    </x:r>
    <x:r>
      <x:rPr>
        <x:sz val="9"/>
        <x:color rgb="FF000000"/>
        <x:rFont val="微软雅黑"/>
        <x:family val="2"/>
      </x:rPr>
      <x:t xml:space="preserve">A</x:t>
    </x:r>
  </x:si>
  <x:si>
    <x:t xml:space="preserve">货币</x:t>
  </x:si>
  <x:si>
    <x:t xml:space="preserve">现持仓补充</x:t>
  </x:si>
  <x:si>
    <x:r>
      <x:rPr>
        <x:sz val="9"/>
        <x:color rgb="FF000000"/>
        <x:rFont val="Linux Libertine G"/>
        <x:family val="2"/>
      </x:rPr>
      <x:t xml:space="preserve">宏利复兴混合</x:t>
    </x:r>
    <x:r>
      <x:rPr>
        <x:sz val="9"/>
        <x:color rgb="FF000000"/>
        <x:rFont val="微软雅黑"/>
        <x:family val="2"/>
      </x:rPr>
      <x:t xml:space="preserve">A</x:t>
    </x:r>
  </x:si>
  <x:si>
    <x:t xml:space="preserve">增值</x:t>
  </x:si>
  <x:si>
    <x:t xml:space="preserve">主动</x:t>
  </x:si>
  <x:si>
    <x:t xml:space="preserve">产业趋势产品池</x:t>
  </x:si>
  <x:si>
    <x:r>
      <x:rPr>
        <x:sz val="9"/>
        <x:color rgb="FF000000"/>
        <x:rFont val="Linux Libertine G"/>
        <x:family val="2"/>
      </x:rPr>
      <x:t xml:space="preserve">博道沪深</x:t>
    </x:r>
    <x:r>
      <x:rPr>
        <x:sz val="9"/>
        <x:color rgb="FF000000"/>
        <x:rFont val="微软雅黑"/>
        <x:family val="2"/>
      </x:rPr>
      <x:t xml:space="preserve">300</x:t>
    </x:r>
    <x:r>
      <x:rPr>
        <x:sz val="9"/>
        <x:color rgb="FF000000"/>
        <x:rFont val="Linux Libertine G"/>
        <x:family val="2"/>
      </x:rPr>
      <x:t xml:space="preserve">增强</x:t>
    </x:r>
    <x:r>
      <x:rPr>
        <x:sz val="9"/>
        <x:color rgb="FF000000"/>
        <x:rFont val="微软雅黑"/>
        <x:family val="2"/>
      </x:rPr>
      <x:t xml:space="preserve">A</x:t>
    </x:r>
  </x:si>
  <x:si>
    <x:t xml:space="preserve">指增</x:t>
  </x:si>
  <x:si>
    <x:r>
      <x:rPr>
        <x:sz val="9"/>
        <x:color rgb="FF000000"/>
        <x:rFont val="Linux Libertine G"/>
        <x:family val="2"/>
      </x:rPr>
      <x:t xml:space="preserve">宽基</x:t>
    </x:r>
    <x:r>
      <x:rPr>
        <x:sz val="9"/>
        <x:color rgb="FF000000"/>
        <x:rFont val="微软雅黑"/>
        <x:family val="2"/>
      </x:rPr>
      <x:t xml:space="preserve">&amp;</x:t>
    </x:r>
    <x:r>
      <x:rPr>
        <x:sz val="9"/>
        <x:color rgb="FF000000"/>
        <x:rFont val="Linux Libertine G"/>
        <x:family val="2"/>
      </x:rPr>
      <x:t xml:space="preserve">指增池</x:t>
    </x:r>
  </x:si>
  <x:si>
    <x:r>
      <x:rPr>
        <x:sz val="9"/>
        <x:color rgb="FF000000"/>
        <x:rFont val="Linux Libertine G"/>
        <x:family val="2"/>
      </x:rPr>
      <x:t xml:space="preserve">博道沪深</x:t>
    </x:r>
    <x:r>
      <x:rPr>
        <x:sz val="9"/>
        <x:color rgb="FF000000"/>
        <x:rFont val="微软雅黑"/>
        <x:family val="2"/>
      </x:rPr>
      <x:t xml:space="preserve">300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</x:si>
  <x:si>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同基金</x:t>
    </x:r>
    <x:r>
      <x:rPr>
        <x:sz val="9"/>
        <x:color rgb="FF000000"/>
        <x:rFont val="微软雅黑"/>
        <x:family val="2"/>
      </x:rPr>
      <x:t xml:space="preserve">A/C</x:t>
    </x:r>
  </x:si>
  <x:si>
    <x:r>
      <x:rPr>
        <x:sz val="9"/>
        <x:color rgb="FF000000"/>
        <x:rFont val="Linux Libertine G"/>
        <x:family val="2"/>
      </x:rPr>
      <x:t xml:space="preserve">国泰通信设备</x:t>
    </x:r>
    <x:r>
      <x:rPr>
        <x:sz val="9"/>
        <x:color rgb="FF000000"/>
        <x:rFont val="微软雅黑"/>
        <x:family val="2"/>
      </x:rPr>
      <x:t xml:space="preserve">ETF</x:t>
    </x:r>
    <x:r>
      <x:rPr>
        <x:sz val="9"/>
        <x:color rgb="FF000000"/>
        <x:rFont val="Linux Libertine G"/>
        <x:family val="2"/>
      </x:rPr>
      <x:t xml:space="preserve">联接</x:t>
    </x:r>
    <x:r>
      <x:rPr>
        <x:sz val="9"/>
        <x:color rgb="FF000000"/>
        <x:rFont val="微软雅黑"/>
        <x:family val="2"/>
      </x:rPr>
      <x:t xml:space="preserve">A</x:t>
    </x:r>
  </x:si>
  <x:si>
    <x:t xml:space="preserve">指数</x:t>
  </x:si>
  <x:si>
    <x:r>
      <x:rPr>
        <x:sz val="9"/>
        <x:color rgb="FF000000"/>
        <x:rFont val="Linux Libertine G"/>
        <x:family val="2"/>
      </x:rPr>
      <x:t xml:space="preserve">国泰通信设备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</x:si>
  <x:si>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银华集成电路混合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</x:si>
  <x:si>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银华集成电路混合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</x:si>
  <x:si>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天弘中证</x:t>
    </x:r>
    <x:r>
      <x:rPr>
        <x:sz val="9"/>
        <x:color rgb="FF000000"/>
        <x:rFont val="微软雅黑"/>
        <x:family val="2"/>
      </x:rPr>
      <x:t xml:space="preserve">1000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</x:si>
  <x:si>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天弘中证</x:t>
    </x:r>
    <x:r>
      <x:rPr>
        <x:sz val="9"/>
        <x:color rgb="FF000000"/>
        <x:rFont val="微软雅黑"/>
        <x:family val="2"/>
      </x:rPr>
      <x:t xml:space="preserve">1000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</x:si>
  <x:si>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中欧中证</x:t>
    </x:r>
    <x:r>
      <x:rPr>
        <x:sz val="9"/>
        <x:color rgb="FF000000"/>
        <x:rFont val="微软雅黑"/>
        <x:family val="2"/>
      </x:rPr>
      <x:t xml:space="preserve">500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</x:si>
  <x:si>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中欧中证</x:t>
    </x:r>
    <x:r>
      <x:rPr>
        <x:sz val="9"/>
        <x:color rgb="FF000000"/>
        <x:rFont val="微软雅黑"/>
        <x:family val="2"/>
      </x:rPr>
      <x:t xml:space="preserve">500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</x:si>
  <x:si>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信澳业绩驱动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</x:si>
  <x:si>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嘉实信息产业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</x:si>
  <x:si>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嘉实信息产业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</x:si>
  <x:si>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宏利复兴伟业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</x:si>
  <x:si>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国泰半导体材料设备</x:t>
    </x:r>
    <x:r>
      <x:rPr>
        <x:sz val="9"/>
        <x:color rgb="FF000000"/>
        <x:rFont val="微软雅黑"/>
        <x:family val="2"/>
      </x:rPr>
      <x:t xml:space="preserve">ETF</x:t>
    </x:r>
    <x:r>
      <x:rPr>
        <x:sz val="9"/>
        <x:color rgb="FF000000"/>
        <x:rFont val="Linux Libertine G"/>
        <x:family val="2"/>
      </x:rPr>
      <x:t xml:space="preserve">联接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</x:si>
  <x:si>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国泰半导体材料设备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</x:si>
  <x:si>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华泰柏瑞中证</x:t>
    </x:r>
    <x:r>
      <x:rPr>
        <x:sz val="9"/>
        <x:color rgb="FF000000"/>
        <x:rFont val="微软雅黑"/>
        <x:family val="2"/>
      </x:rPr>
      <x:t xml:space="preserve">2000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A</x:t>
    </x:r>
  </x:si>
  <x:si>
    <x:r>
      <x:rPr>
        <x:sz val="9"/>
        <x:color rgb="FF000000"/>
        <x:rFont val="Linux Libertine G"/>
        <x:family val="2"/>
      </x:rPr>
      <x:t xml:space="preserve">华泰柏瑞中证</x:t>
    </x:r>
    <x:r>
      <x:rPr>
        <x:sz val="9"/>
        <x:color rgb="FF000000"/>
        <x:rFont val="微软雅黑"/>
        <x:family val="2"/>
      </x:rPr>
      <x:t xml:space="preserve">2000</x:t>
    </x:r>
    <x:r>
      <x:rPr>
        <x:sz val="9"/>
        <x:color rgb="FF000000"/>
        <x:rFont val="Linux Libertine G"/>
        <x:family val="2"/>
      </x:rPr>
      <x:t xml:space="preserve">指增</x:t>
    </x:r>
    <x:r>
      <x:rPr>
        <x:sz val="9"/>
        <x:color rgb="FF000000"/>
        <x:rFont val="微软雅黑"/>
        <x:family val="2"/>
      </x:rPr>
      <x:t xml:space="preserve">C</x:t>
    </x:r>
  </x:si>
  <x:si>
    <x:r>
      <x:rPr>
        <x:sz val="9"/>
        <x:color rgb="FF000000"/>
        <x:rFont val="Linux Libertine G"/>
        <x:family val="2"/>
      </x:rPr>
      <x:t xml:space="preserve">易方达中债新综指</x:t>
    </x:r>
    <x:r>
      <x:rPr>
        <x:sz val="9"/>
        <x:color rgb="FF000000"/>
        <x:rFont val="微软雅黑"/>
        <x:family val="2"/>
      </x:rPr>
      <x:t xml:space="preserve">LOFA</x:t>
    </x:r>
  </x:si>
  <x:si>
    <x:t xml:space="preserve">债券</x:t>
  </x:si>
  <x:si>
    <x:r>
      <x:rPr>
        <x:sz val="9"/>
        <x:color rgb="FF000000"/>
        <x:rFont val="Linux Libertine G"/>
        <x:family val="2"/>
      </x:rPr>
      <x:t xml:space="preserve">债券</x:t>
    </x:r>
    <x:r>
      <x:rPr>
        <x:sz val="9"/>
        <x:color rgb="FF000000"/>
        <x:rFont val="微软雅黑"/>
        <x:family val="2"/>
      </x:rPr>
      <x:t xml:space="preserve">&amp;</x:t>
    </x:r>
    <x:r>
      <x:rPr>
        <x:sz val="9"/>
        <x:color rgb="FF000000"/>
        <x:rFont val="Linux Libertine G"/>
        <x:family val="2"/>
      </x:rPr>
      <x:t xml:space="preserve">保障池子（生息）</x:t>
    </x:r>
  </x:si>
  <x:si>
    <x:t xml:space="preserve">162214.OF</x:t>
  </x:si>
  <x:si>
    <x:t xml:space="preserve">宏利领先中小盘混合</x:t>
  </x:si>
  <x:si>
    <x:t xml:space="preserve">自动计算参数（公式区）</x:t>
  </x:si>
  <x:si>
    <x:r>
      <x:rPr>
        <x:sz val="9"/>
        <x:color rgb="FF000000"/>
        <x:rFont val="Linux Libertine G"/>
        <x:family val="2"/>
      </x:rPr>
      <x:t xml:space="preserve">最新完整净值行</x:t>
    </x:r>
    <x:r>
      <x:rPr>
        <x:sz val="9"/>
        <x:color rgb="FF000000"/>
        <x:rFont val="微软雅黑"/>
        <x:family val="2"/>
      </x:rPr>
      <x:t xml:space="preserve">(</x:t>
    </x:r>
    <x:r>
      <x:rPr>
        <x:sz val="9"/>
        <x:color rgb="FF000000"/>
        <x:rFont val="Linux Libertine G"/>
        <x:family val="2"/>
      </x:rPr>
      <x:t xml:space="preserve">相对</x:t>
    </x:r>
    <x:r>
      <x:rPr>
        <x:sz val="9"/>
        <x:color rgb="FF000000"/>
        <x:rFont val="微软雅黑"/>
        <x:family val="2"/>
      </x:rPr>
      <x:t xml:space="preserve">A5)</x:t>
    </x:r>
  </x:si>
  <x:si>
    <x:t xml:space="preserve">最新完整净值日期</x:t>
  </x:si>
  <x:si>
    <x:t xml:space="preserve">最新阶段行</x:t>
  </x:si>
  <x:si>
    <x:t xml:space="preserve">阶段标签</x:t>
  </x:si>
  <x:si>
    <x:t xml:space="preserve">生效日</x:t>
  </x:si>
  <x:si>
    <x:t xml:space="preserve">归一化因子</x:t>
  </x:si>
  <x:si>
    <x:r>
      <x:rPr>
        <x:b/>
        <x:sz val="10"/>
        <x:color rgb="FFFFFFFF"/>
        <x:rFont val="Linux Libertine G"/>
        <x:family val="2"/>
      </x:rPr>
      <x:t xml:space="preserve">最近完整快照（</x:t>
    </x:r>
    <x:r>
      <x:rPr>
        <x:b/>
        <x:sz val="10"/>
        <x:color rgb="FFFFFFFF"/>
        <x:rFont val="微软雅黑"/>
        <x:family val="2"/>
      </x:rPr>
      <x:t xml:space="preserve">2026-08-07</x:t>
    </x:r>
    <x:r>
      <x:rPr>
        <x:b/>
        <x:sz val="10"/>
        <x:color rgb="FFFFFFFF"/>
        <x:rFont val="Linux Libertine G"/>
        <x:family val="2"/>
      </x:rPr>
      <x:t xml:space="preserve">，由模板净值和分期持仓重算；非系统导入）</x:t>
    </x:r>
  </x:si>
  <x:si>
    <x:r>
      <x:rPr>
        <x:b/>
        <x:sz val="11"/>
        <x:color rgb="FFFFFFFF"/>
        <x:rFont val="Linux Libertine G"/>
        <x:family val="2"/>
      </x:rPr>
      <x:t xml:space="preserve">公募固收</x:t>
    </x:r>
    <x:r>
      <x:rPr>
        <x:b/>
        <x:sz val="11"/>
        <x:color rgb="FFFFFFFF"/>
        <x:rFont val="微软雅黑"/>
        <x:family val="2"/>
      </x:rPr>
      <x:t xml:space="preserve">+</x:t>
    </x:r>
    <x:r>
      <x:rPr>
        <x:b/>
        <x:sz val="11"/>
        <x:color rgb="FFFFFFFF"/>
        <x:rFont val="Linux Libertine G"/>
        <x:family val="2"/>
      </x:rPr>
      <x:t xml:space="preserve">规模前十（</x:t>
    </x:r>
    <x:r>
      <x:rPr>
        <x:b/>
        <x:sz val="11"/>
        <x:color rgb="FFFFFFFF"/>
        <x:rFont val="微软雅黑"/>
        <x:family val="2"/>
      </x:rPr>
      <x:t xml:space="preserve">2026Q2</x:t>
    </x:r>
    <x:r>
      <x:rPr>
        <x:b/>
        <x:sz val="11"/>
        <x:color rgb="FFFFFFFF"/>
        <x:rFont val="Linux Libertine G"/>
        <x:family val="2"/>
      </x:rPr>
      <x:t xml:space="preserve">）基金表现</x:t>
    </x:r>
  </x:si>
  <x:si>
    <x:t xml:space="preserve">序号</x:t>
  </x:si>
  <x:si>
    <x:r>
      <x:rPr>
        <x:b/>
        <x:sz val="11"/>
        <x:color rgb="FFFFFFFF"/>
        <x:rFont val="Linux Libertine G"/>
        <x:family val="2"/>
      </x:rPr>
      <x:t xml:space="preserve">产品</x:t>
    </x:r>
    <x:r>
      <x:rPr>
        <x:b/>
        <x:sz val="11"/>
        <x:color rgb="FFFFFFFF"/>
        <x:rFont val="微软雅黑"/>
        <x:family val="2"/>
      </x:rPr>
      <x:t xml:space="preserve">/</x:t>
    </x:r>
    <x:r>
      <x:rPr>
        <x:b/>
        <x:sz val="11"/>
        <x:color rgb="FFFFFFFF"/>
        <x:rFont val="Linux Libertine G"/>
        <x:family val="2"/>
      </x:rPr>
      <x:t xml:space="preserve">基金名称</x:t>
    </x:r>
  </x:si>
  <x:si>
    <x:r>
      <x:rPr>
        <x:b/>
        <x:sz val="11"/>
        <x:color rgb="FFFFFFFF"/>
        <x:rFont val="微软雅黑"/>
        <x:family val="2"/>
      </x:rPr>
      <x:t xml:space="preserve">26Q2</x:t>
    </x:r>
    <x:r>
      <x:rPr>
        <x:b/>
        <x:sz val="11"/>
        <x:color rgb="FFFFFFFF"/>
        <x:rFont val="Linux Libertine G"/>
        <x:family val="2"/>
      </x:rPr>
      <x:t xml:space="preserve">规模（亿元）</x:t>
    </x:r>
  </x:si>
  <x:si>
    <x:t xml:space="preserve">上周</x:t>
  </x:si>
  <x:si>
    <x:t xml:space="preserve">上线以来</x:t>
  </x:si>
  <x:si>
    <x:t xml:space="preserve">6/22-7/30</x:t>
  </x:si>
  <x:si>
    <x:r>
      <x:rPr>
        <x:b/>
        <x:sz val="11"/>
        <x:color rgb="FFFFFFFF"/>
        <x:rFont val="微软雅黑"/>
        <x:family val="2"/>
      </x:rPr>
      <x:t xml:space="preserve">7.31</x:t>
    </x:r>
    <x:r>
      <x:rPr>
        <x:b/>
        <x:sz val="11"/>
        <x:color rgb="FFFFFFFF"/>
        <x:rFont val="Linux Libertine G"/>
        <x:family val="2"/>
      </x:rPr>
      <x:t xml:space="preserve">至今</x:t>
    </x:r>
  </x:si>
  <x:si>
    <x:t xml:space="preserve">最大回撤（上线以来）</x:t>
  </x:si>
  <x:si>
    <x:r>
      <x:rPr>
        <x:b/>
        <x:sz val="11"/>
        <x:color rgb="FF1F1F1F"/>
        <x:rFont val="微软雅黑"/>
        <x:family val="2"/>
      </x:rPr>
      <x:t xml:space="preserve">10/90</x:t>
    </x:r>
    <x:r>
      <x:rPr>
        <x:b/>
        <x:sz val="11"/>
        <x:color rgb="FF1F1F1F"/>
        <x:rFont val="Linux Libertine G"/>
        <x:family val="2"/>
      </x:rPr>
      <x:t xml:space="preserve">基石投顾组合</x:t>
    </x:r>
  </x:si>
  <x:si>
    <x:t xml:space="preserve">003504.OF</x:t>
  </x:si>
  <x:si>
    <x:t xml:space="preserve">景顺长城景颐丰利债券</x:t>
  </x:si>
  <x:si>
    <x:t xml:space="preserve">000143.OF</x:t>
  </x:si>
  <x:si>
    <x:t xml:space="preserve">鹏华双债加利债券</x:t>
  </x:si>
  <x:si>
    <x:t xml:space="preserve">000385.OF</x:t>
  </x:si>
  <x:si>
    <x:t xml:space="preserve">景顺长城景颐双利债券</x:t>
  </x:si>
  <x:si>
    <x:t xml:space="preserve">002065.OF</x:t>
  </x:si>
  <x:si>
    <x:t xml:space="preserve">景顺长城景盛双息收益债券</x:t>
  </x:si>
  <x:si>
    <x:t xml:space="preserve">002969.OF</x:t>
  </x:si>
  <x:si>
    <x:t xml:space="preserve">易方达丰和债券</x:t>
  </x:si>
  <x:si>
    <x:t xml:space="preserve">014088.OF</x:t>
  </x:si>
  <x:si>
    <x:t xml:space="preserve">永赢稳健增强债券</x:t>
  </x:si>
  <x:si>
    <x:t xml:space="preserve">001751.OF</x:t>
  </x:si>
  <x:si>
    <x:t xml:space="preserve">华商信用增强债券</x:t>
  </x:si>
  <x:si>
    <x:t xml:space="preserve">014846.OF</x:t>
  </x:si>
  <x:si>
    <x:t xml:space="preserve">博时恒乐债券</x:t>
  </x:si>
  <x:si>
    <x:t xml:space="preserve">000171.OF</x:t>
  </x:si>
  <x:si>
    <x:t xml:space="preserve">易方达裕丰回报债券</x:t>
  </x:si>
  <x:si>
    <x:t xml:space="preserve">202101.OF</x:t>
  </x:si>
  <x:si>
    <x:t xml:space="preserve">南方宝元债券</x:t>
  </x:si>
  <x:si>
    <x:r>
      <x:rPr>
        <x:b/>
        <x:sz val="11"/>
        <x:color rgb="FFFFFFFF"/>
        <x:rFont val="Linux Libertine G"/>
        <x:family val="2"/>
      </x:rPr>
      <x:t xml:space="preserve">公募固收</x:t>
    </x:r>
    <x:r>
      <x:rPr>
        <x:b/>
        <x:sz val="11"/>
        <x:color rgb="FFFFFFFF"/>
        <x:rFont val="微软雅黑"/>
        <x:family val="2"/>
      </x:rPr>
      <x:t xml:space="preserve">+Q2</x:t>
    </x:r>
    <x:r>
      <x:rPr>
        <x:b/>
        <x:sz val="11"/>
        <x:color rgb="FFFFFFFF"/>
        <x:rFont val="Linux Libertine G"/>
        <x:family val="2"/>
      </x:rPr>
      <x:t xml:space="preserve">规模增长前十基金表现</x:t>
    </x:r>
  </x:si>
  <x:si>
    <x:t xml:space="preserve">470010.OF</x:t>
  </x:si>
  <x:si>
    <x:t xml:space="preserve">汇添富多元收益债券</x:t>
  </x:si>
  <x:si>
    <x:t xml:space="preserve">000406.OF</x:t>
  </x:si>
  <x:si>
    <x:t xml:space="preserve">汇添富双利增强债券</x:t>
  </x:si>
  <x:si>
    <x:t xml:space="preserve">018595.OF</x:t>
  </x:si>
  <x:si>
    <x:t xml:space="preserve">华商利欣回报债券</x:t>
  </x:si>
  <x:si>
    <x:t xml:space="preserve">020218.OF</x:t>
  </x:si>
  <x:si>
    <x:t xml:space="preserve">万家锦利债券发起式</x:t>
  </x:si>
  <x:si>
    <x:r>
      <x:rPr>
        <x:b/>
        <x:sz val="11"/>
        <x:color rgb="FFFFFFFF"/>
        <x:rFont val="Linux Libertine G"/>
        <x:family val="2"/>
      </x:rPr>
      <x:t xml:space="preserve">公司公募固收</x:t>
    </x:r>
    <x:r>
      <x:rPr>
        <x:b/>
        <x:sz val="11"/>
        <x:color rgb="FFFFFFFF"/>
        <x:rFont val="微软雅黑"/>
        <x:family val="2"/>
      </x:rPr>
      <x:t xml:space="preserve">+</x:t>
    </x:r>
    <x:r>
      <x:rPr>
        <x:b/>
        <x:sz val="11"/>
        <x:color rgb="FFFFFFFF"/>
        <x:rFont val="Linux Libertine G"/>
        <x:family val="2"/>
      </x:rPr>
      <x:t xml:space="preserve">保有前十基金表现（</x:t>
    </x:r>
    <x:r>
      <x:rPr>
        <x:b/>
        <x:sz val="11"/>
        <x:color rgb="FFFFFFFF"/>
        <x:rFont val="微软雅黑"/>
        <x:family val="2"/>
      </x:rPr>
      <x:t xml:space="preserve">2026Q2</x:t>
    </x:r>
    <x:r>
      <x:rPr>
        <x:b/>
        <x:sz val="11"/>
        <x:color rgb="FFFFFFFF"/>
        <x:rFont val="Linux Libertine G"/>
        <x:family val="2"/>
      </x:rPr>
      <x:t xml:space="preserve">）</x:t>
    </x:r>
  </x:si>
  <x:si>
    <x:t xml:space="preserve">公司固收加保有前十（万元）</x:t>
  </x:si>
  <x:si>
    <x:t xml:space="preserve">009355.OF</x:t>
  </x:si>
  <x:si>
    <x:r>
      <x:rPr>
        <x:sz val="11"/>
        <x:color theme="1"/>
        <x:rFont val="Linux Libertine G"/>
        <x:family val="2"/>
      </x:rPr>
      <x:t xml:space="preserve">宏利泰和稳健养老目标一年持有期混合</x:t>
    </x:r>
    <x:r>
      <x:rPr>
        <x:sz val="11"/>
        <x:color theme="1"/>
        <x:rFont val="微软雅黑"/>
        <x:family val="2"/>
      </x:rPr>
      <x:t xml:space="preserve">(FOF)</x:t>
    </x:r>
  </x:si>
  <x:si>
    <x:t xml:space="preserve">024057.OF</x:t>
  </x:si>
  <x:si>
    <x:r>
      <x:rPr>
        <x:sz val="11"/>
        <x:color theme="1"/>
        <x:rFont val="Linux Libertine G"/>
        <x:family val="2"/>
      </x:rPr>
      <x:t xml:space="preserve">宏利鼎森稳健</x:t>
    </x:r>
    <x:r>
      <x:rPr>
        <x:sz val="11"/>
        <x:color theme="1"/>
        <x:rFont val="微软雅黑"/>
        <x:family val="2"/>
      </x:rPr>
      <x:t xml:space="preserve">3</x:t>
    </x:r>
    <x:r>
      <x:rPr>
        <x:sz val="11"/>
        <x:color theme="1"/>
        <x:rFont val="Linux Libertine G"/>
        <x:family val="2"/>
      </x:rPr>
      <x:t xml:space="preserve">个月持有期混合</x:t>
    </x:r>
    <x:r>
      <x:rPr>
        <x:sz val="11"/>
        <x:color theme="1"/>
        <x:rFont val="微软雅黑"/>
        <x:family val="2"/>
      </x:rPr>
      <x:t xml:space="preserve">(FOF)</x:t>
    </x:r>
  </x:si>
  <x:si>
    <x:t xml:space="preserve">011168.OF</x:t>
  </x:si>
  <x:si>
    <x:r>
      <x:rPr>
        <x:sz val="11"/>
        <x:color theme="1"/>
        <x:rFont val="Linux Libertine G"/>
        <x:family val="2"/>
      </x:rPr>
      <x:t xml:space="preserve">嘉实睿享安久双利</x:t>
    </x:r>
    <x:r>
      <x:rPr>
        <x:sz val="11"/>
        <x:color theme="1"/>
        <x:rFont val="微软雅黑"/>
        <x:family val="2"/>
      </x:rPr>
      <x:t xml:space="preserve">18</x:t>
    </x:r>
    <x:r>
      <x:rPr>
        <x:sz val="11"/>
        <x:color theme="1"/>
        <x:rFont val="Linux Libertine G"/>
        <x:family val="2"/>
      </x:rPr>
      <x:t xml:space="preserve">个月持有期债券</x:t>
    </x:r>
  </x:si>
  <x:si>
    <x:t xml:space="preserve">014738.OF</x:t>
  </x:si>
  <x:si>
    <x:t xml:space="preserve">广发恒祥债券</x:t>
  </x:si>
  <x:si>
    <x:t xml:space="preserve">006307.OF</x:t>
  </x:si>
  <x:si>
    <x:r>
      <x:rPr>
        <x:sz val="11"/>
        <x:color theme="1"/>
        <x:rFont val="Linux Libertine G"/>
        <x:family val="2"/>
      </x:rPr>
      <x:t xml:space="preserve">嘉实养老目标日期</x:t>
    </x:r>
    <x:r>
      <x:rPr>
        <x:sz val="11"/>
        <x:color theme="1"/>
        <x:rFont val="微软雅黑"/>
        <x:family val="2"/>
      </x:rPr>
      <x:t xml:space="preserve">2040</x:t>
    </x:r>
    <x:r>
      <x:rPr>
        <x:sz val="11"/>
        <x:color theme="1"/>
        <x:rFont val="Linux Libertine G"/>
        <x:family val="2"/>
      </x:rPr>
      <x:t xml:space="preserve">五年持有期混合</x:t>
    </x:r>
    <x:r>
      <x:rPr>
        <x:sz val="11"/>
        <x:color theme="1"/>
        <x:rFont val="微软雅黑"/>
        <x:family val="2"/>
      </x:rPr>
      <x:t xml:space="preserve">(FOF)</x:t>
    </x:r>
  </x:si>
  <x:si>
    <x:t xml:space="preserve">003458.OF</x:t>
  </x:si>
  <x:si>
    <x:t xml:space="preserve">嘉实稳宏债券</x:t>
  </x:si>
  <x:si>
    <x:t xml:space="preserve">110027.OF</x:t>
  </x:si>
  <x:si>
    <x:t xml:space="preserve">易方达安心回报债券</x:t>
  </x:si>
  <x:si>
    <x:t xml:space="preserve">005221.OF</x:t>
  </x:si>
  <x:si>
    <x:r>
      <x:rPr>
        <x:sz val="11"/>
        <x:color theme="1"/>
        <x:rFont val="Linux Libertine G"/>
        <x:family val="2"/>
      </x:rPr>
      <x:t xml:space="preserve">宏利全能优选混合</x:t>
    </x:r>
    <x:r>
      <x:rPr>
        <x:sz val="11"/>
        <x:color theme="1"/>
        <x:rFont val="微软雅黑"/>
        <x:family val="2"/>
      </x:rPr>
      <x:t xml:space="preserve">(FOF)</x:t>
    </x:r>
  </x:si>
  <x:si>
    <x:t xml:space="preserve">160718.OF</x:t>
  </x:si>
  <x:si>
    <x:t xml:space="preserve">嘉实多利收益债券</x:t>
  </x:si>
  <x:si>
    <x:r>
      <x:rPr>
        <x:sz val="11"/>
        <x:color rgb="FF666666"/>
        <x:rFont val="Linux Libertine G"/>
        <x:family val="2"/>
      </x:rPr>
      <x:t xml:space="preserve">说明：基金收益率按复权单位净值计算；</x:t>
    </x:r>
    <x:r>
      <x:rPr>
        <x:sz val="11"/>
        <x:color rgb="FF666666"/>
        <x:rFont val="微软雅黑"/>
        <x:family val="2"/>
      </x:rPr>
      <x:t xml:space="preserve">1090</x:t>
    </x:r>
    <x:r>
      <x:rPr>
        <x:sz val="11"/>
        <x:color rgb="FF666666"/>
        <x:rFont val="Linux Libertine G"/>
        <x:family val="2"/>
      </x:rPr>
      <x:t xml:space="preserve">净值通过公式直接链接实盘净值数据</x:t>
    </x:r>
  </x:si>
  <x:si>
    <x:t xml:space="preserve">最大回撤按页首“上线以来”起止日计算；日期参数需选择净值明细中存在的日期，否则相应收益率留空。</x:t>
  </x:si>
  <x:si>
    <x:r>
      <x:rPr>
        <x:sz val="10"/>
        <x:rFont val="微软雅黑"/>
        <x:family val="2"/>
      </x:rPr>
      <x:t xml:space="preserve">1090</x:t>
    </x:r>
    <x:r>
      <x:rPr>
        <x:sz val="10"/>
        <x:rFont val="Linux Libertine G"/>
        <x:family val="2"/>
      </x:rPr>
      <x:t xml:space="preserve">基石</x:t>
    </x:r>
  </x:si>
  <x:si>
    <x:t xml:space="preserve">粘系统最新净值序列与绩效表</x:t>
  </x:si>
  <x:si>
    <x:t xml:space="preserve">指标名称</x:t>
  </x:si>
  <x:si>
    <x:t xml:space="preserve">本周</x:t>
  </x:si>
  <x:si>
    <x:t xml:space="preserve">本月</x:t>
  </x:si>
  <x:si>
    <x:t xml:space="preserve">本季度</x:t>
  </x:si>
  <x:si>
    <x:t xml:space="preserve">本年</x:t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</x:si>
  <x:si>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1</x:t>
    </x:r>
    <x:r>
      <x:rPr>
        <x:sz val="10"/>
        <x:rFont val="Linux Libertine G"/>
        <x:family val="2"/>
      </x:rPr>
      <x:t xml:space="preserve">周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</x:si>
  <x:si>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1</x:t>
    </x:r>
    <x:r>
      <x:rPr>
        <x:sz val="10"/>
        <x:rFont val="Linux Libertine G"/>
        <x:family val="2"/>
      </x:rPr>
      <x:t xml:space="preserve">月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</x:si>
  <x:si>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3</x:t>
    </x:r>
    <x:r>
      <x:rPr>
        <x:sz val="10"/>
        <x:rFont val="Linux Libertine G"/>
        <x:family val="2"/>
      </x:rPr>
      <x:t xml:space="preserve">月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</x:si>
  <x:si>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6</x:t>
    </x:r>
    <x:r>
      <x:rPr>
        <x:sz val="10"/>
        <x:rFont val="Linux Libertine G"/>
        <x:family val="2"/>
      </x:rPr>
      <x:t xml:space="preserve">月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</x:si>
  <x:si>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1</x:t>
    </x:r>
    <x:r>
      <x:rPr>
        <x:sz val="10"/>
        <x:rFont val="Linux Libertine G"/>
        <x:family val="2"/>
      </x:rPr>
      <x:t xml:space="preserve">年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</x:si>
  <x:si>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3</x:t>
    </x:r>
    <x:r>
      <x:rPr>
        <x:sz val="10"/>
        <x:rFont val="Linux Libertine G"/>
        <x:family val="2"/>
      </x:rPr>
      <x:t xml:space="preserve">年</x:t>
    </x:r>
  </x:si>
  <x:si>
    <x:r>
      <x:rPr>
        <x:sz val="10"/>
        <x:rFont val="Linux Libertine G"/>
        <x:family val="2"/>
      </x:rPr>
      <x:t xml:space="preserve">近</x:t>
    </x:r>
    <x:r>
      <x:rPr>
        <x:sz val="10"/>
        <x:rFont val="Linux Libertine G"/>
      </x:rPr>
      <x:t xml:space="preserve">5</x:t>
    </x:r>
    <x:r>
      <x:rPr>
        <x:sz val="10"/>
        <x:rFont val="Linux Libertine G"/>
        <x:family val="2"/>
      </x:rPr>
      <x:t xml:space="preserve">年</x:t>
    </x:r>
  </x:si>
  <x:si>
    <x:t xml:space="preserve">成立至今</x:t>
  </x:si>
  <x:si>
    <x:t xml:space="preserve">选择区间</x:t>
  </x:si>
  <x:si>
    <x:t xml:space="preserve">累计收益率</x:t>
  </x:si>
  <x:si>
    <x:t xml:space="preserve">-0.030252%</x:t>
  </x:si>
  <x:si>
    <x:t xml:space="preserve">1.799740%</x:t>
  </x:si>
  <x:si>
    <x:t xml:space="preserve">-0.804632%</x:t>
  </x:si>
  <x:si>
    <x:t xml:space="preserve">-0.535747%</x:t>
  </x:si>
  <x:si>
    <x:t xml:space="preserve">-0.387552%</x:t>
  </x:si>
  <x:si>
    <x:t xml:space="preserve">1.335983%</x:t>
  </x:si>
  <x:si>
    <x:t xml:space="preserve">基准收益率</x:t>
  </x:si>
  <x:si>
    <x:t xml:space="preserve">-0.028625%</x:t>
  </x:si>
  <x:si>
    <x:t xml:space="preserve">0.963579%</x:t>
  </x:si>
  <x:si>
    <x:t xml:space="preserve">-0.045171%</x:t>
  </x:si>
  <x:si>
    <x:t xml:space="preserve">0.236847%</x:t>
  </x:si>
  <x:si>
    <x:t xml:space="preserve">-0.218682%</x:t>
  </x:si>
  <x:si>
    <x:t xml:space="preserve">0.933315%</x:t>
  </x:si>
  <x:si>
    <x:t xml:space="preserve">年化收益率</x:t>
  </x:si>
  <x:si>
    <x:t xml:space="preserve">-10.455690%</x:t>
  </x:si>
  <x:si>
    <x:t xml:space="preserve">31.163777%</x:t>
  </x:si>
  <x:si>
    <x:t xml:space="preserve">-5.220241%</x:t>
  </x:si>
  <x:si>
    <x:t xml:space="preserve">-2.842259%</x:t>
  </x:si>
  <x:si>
    <x:t xml:space="preserve">-18.329155%</x:t>
  </x:si>
  <x:si>
    <x:t xml:space="preserve">16.912980%</x:t>
  </x:si>
  <x:si>
    <x:t xml:space="preserve">基准年化收益率</x:t>
  </x:si>
  <x:si>
    <x:t xml:space="preserve">-9.922182%</x:t>
  </x:si>
  <x:si>
    <x:t xml:space="preserve">15.701421%</x:t>
  </x:si>
  <x:si>
    <x:t xml:space="preserve">-0.299392%</x:t>
  </x:si>
  <x:si>
    <x:t xml:space="preserve">1.277906%</x:t>
  </x:si>
  <x:si>
    <x:t xml:space="preserve">-10.787738%</x:t>
  </x:si>
  <x:si>
    <x:t xml:space="preserve">11.558700%</x:t>
  </x:si>
  <x:si>
    <x:t xml:space="preserve">回撤率</x:t>
  </x:si>
  <x:si>
    <x:t xml:space="preserve">-0.472383%</x:t>
  </x:si>
  <x:si>
    <x:t xml:space="preserve">最大回撤</x:t>
  </x:si>
  <x:si>
    <x:t xml:space="preserve">-0.771982%</x:t>
  </x:si>
  <x:si>
    <x:t xml:space="preserve">-2.886915%</x:t>
  </x:si>
  <x:si>
    <x:t xml:space="preserve">-1.157256%</x:t>
  </x:si>
  <x:si>
    <x:t xml:space="preserve">区间最大涨幅</x:t>
  </x:si>
  <x:si>
    <x:t xml:space="preserve">0.000000%</x:t>
  </x:si>
  <x:si>
    <x:t xml:space="preserve">2.282907%</x:t>
  </x:si>
  <x:si>
    <x:t xml:space="preserve">0.271066%</x:t>
  </x:si>
  <x:si>
    <x:t xml:space="preserve">1.816949%</x:t>
  </x:si>
  <x:si>
    <x:t xml:space="preserve">回撤最长修复时间</x:t>
  </x:si>
  <x:si>
    <x:t xml:space="preserve">3*</x:t>
  </x:si>
  <x:si>
    <x:t xml:space="preserve">4</x:t>
  </x:si>
  <x:si>
    <x:t xml:space="preserve">55*</x:t>
  </x:si>
  <x:si>
    <x:t xml:space="preserve">5</x:t>
  </x:si>
  <x:si>
    <x:t xml:space="preserve">6*</x:t>
  </x:si>
  <x:si>
    <x:t xml:space="preserve">10</x:t>
  </x:si>
  <x:si>
    <x:t xml:space="preserve">最大回撤修复时间</x:t>
  </x:si>
  <x:si>
    <x:t xml:space="preserve">未修复</x:t>
  </x:si>
  <x:si>
    <x:t xml:space="preserve">7</x:t>
  </x:si>
  <x:si>
    <x:t xml:space="preserve">基准回撤率</x:t>
  </x:si>
  <x:si>
    <x:t xml:space="preserve">-0.252567%</x:t>
  </x:si>
  <x:si>
    <x:t xml:space="preserve">基准最大回撤</x:t>
  </x:si>
  <x:si>
    <x:t xml:space="preserve">-0.444646%</x:t>
  </x:si>
  <x:si>
    <x:t xml:space="preserve">-1.357488%</x:t>
  </x:si>
  <x:si>
    <x:t xml:space="preserve">-0.470584%</x:t>
  </x:si>
  <x:si>
    <x:t xml:space="preserve">波动率</x:t>
  </x:si>
  <x:si>
    <x:t xml:space="preserve">--</x:t>
  </x:si>
  <x:si>
    <x:t xml:space="preserve">0.321241%</x:t>
  </x:si>
  <x:si>
    <x:t xml:space="preserve">0.383270%</x:t>
  </x:si>
  <x:si>
    <x:t xml:space="preserve">0.357635%</x:t>
  </x:si>
  <x:si>
    <x:t xml:space="preserve">0.397820%</x:t>
  </x:si>
  <x:si>
    <x:t xml:space="preserve">0.357248%</x:t>
  </x:si>
  <x:si>
    <x:t xml:space="preserve">基准波动率</x:t>
  </x:si>
  <x:si>
    <x:t xml:space="preserve">0.184951%</x:t>
  </x:si>
  <x:si>
    <x:t xml:space="preserve">0.220195%</x:t>
  </x:si>
  <x:si>
    <x:t xml:space="preserve">0.217573%</x:t>
  </x:si>
  <x:si>
    <x:t xml:space="preserve">0.233125%</x:t>
  </x:si>
  <x:si>
    <x:t xml:space="preserve">0.198592%</x:t>
  </x:si>
  <x:si>
    <x:t xml:space="preserve">年化波动率</x:t>
  </x:si>
  <x:si>
    <x:t xml:space="preserve">5.099549%</x:t>
  </x:si>
  <x:si>
    <x:t xml:space="preserve">6.084215%</x:t>
  </x:si>
  <x:si>
    <x:t xml:space="preserve">5.677277%</x:t>
  </x:si>
  <x:si>
    <x:t xml:space="preserve">6.315191%</x:t>
  </x:si>
  <x:si>
    <x:t xml:space="preserve">5.671142%</x:t>
  </x:si>
  <x:si>
    <x:t xml:space="preserve">基准年化波动率</x:t>
  </x:si>
  <x:si>
    <x:t xml:space="preserve">2.935999%</x:t>
  </x:si>
  <x:si>
    <x:t xml:space="preserve">3.495492%</x:t>
  </x:si>
  <x:si>
    <x:t xml:space="preserve">3.453859%</x:t>
  </x:si>
  <x:si>
    <x:t xml:space="preserve">3.700744%</x:t>
  </x:si>
  <x:si>
    <x:t xml:space="preserve">3.152554%</x:t>
  </x:si>
  <x:si>
    <x:t xml:space="preserve">夏普比率</x:t>
  </x:si>
  <x:si>
    <x:t xml:space="preserve">5.91628799</x:t>
  </x:si>
  <x:si>
    <x:t xml:space="preserve">-1.10453702</x:t>
  </x:si>
  <x:si>
    <x:t xml:space="preserve">-0.76484890</x:t>
  </x:si>
  <x:si>
    <x:t xml:space="preserve">-3.13991383</x:t>
  </x:si>
  <x:si>
    <x:t xml:space="preserve">2.76570661</x:t>
  </x:si>
  <x:si>
    <x:t xml:space="preserve">基准夏普比率</x:t>
  </x:si>
  <x:si>
    <x:t xml:space="preserve">4.90073388</x:t>
  </x:si>
  <x:si>
    <x:t xml:space="preserve">-0.51477497</x:t>
  </x:si>
  <x:si>
    <x:t xml:space="preserve">-0.06430301</x:t>
  </x:si>
  <x:si>
    <x:t xml:space="preserve">-3.32034300</x:t>
  </x:si>
  <x:si>
    <x:t xml:space="preserve">3.13216255</x:t>
  </x:si>
  <x:si>
    <x:t xml:space="preserve">卡玛比率</x:t>
  </x:si>
  <x:si>
    <x:t xml:space="preserve">-34561.950050%</x:t>
  </x:si>
  <x:si>
    <x:t xml:space="preserve">4036.851361%</x:t>
  </x:si>
  <x:si>
    <x:t xml:space="preserve">-180.824209%</x:t>
  </x:si>
  <x:si>
    <x:t xml:space="preserve">-98.453165%</x:t>
  </x:si>
  <x:si>
    <x:t xml:space="preserve">-2374.297336%</x:t>
  </x:si>
  <x:si>
    <x:t xml:space="preserve">1461.472250%</x:t>
  </x:si>
  <x:si>
    <x:t xml:space="preserve">赫斯特指数</x:t>
  </x:si>
  <x:si>
    <x:t xml:space="preserve">索提诺比率</x:t>
  </x:si>
  <x:si>
    <x:t xml:space="preserve">1819.659538%</x:t>
  </x:si>
  <x:si>
    <x:t xml:space="preserve">-307.872701%</x:t>
  </x:si>
  <x:si>
    <x:t xml:space="preserve">-272.716134%</x:t>
  </x:si>
  <x:si>
    <x:t xml:space="preserve">-1620.500417%</x:t>
  </x:si>
  <x:si>
    <x:t xml:space="preserve">963.037161%</x:t>
  </x:si>
  <x:si>
    <x:t xml:space="preserve">信息比率</x:t>
  </x:si>
  <x:si>
    <x:t xml:space="preserve">835.383163%</x:t>
  </x:si>
  <x:si>
    <x:t xml:space="preserve">-163.663076%</x:t>
  </x:si>
  <x:si>
    <x:t xml:space="preserve">-149.296442%</x:t>
  </x:si>
  <x:si>
    <x:t xml:space="preserve">-286.027835%</x:t>
  </x:si>
  <x:si>
    <x:t xml:space="preserve">249.670288%</x:t>
  </x:si>
  <x:si>
    <x:t xml:space="preserve">周转换手率</x:t>
  </x:si>
  <x:si>
    <x:t xml:space="preserve">6.601800%</x:t>
  </x:si>
  <x:si>
    <x:t xml:space="preserve">季度正收益</x:t>
  </x:si>
  <x:si>
    <x:t xml:space="preserve">50.000000%</x:t>
  </x:si>
  <x:si>
    <x:r>
      <x:rPr>
        <x:b/>
        <x:sz val="15"/>
        <x:color rgb="FFFFFFFF"/>
        <x:rFont val="Linux Libertine G"/>
        <x:family val="2"/>
      </x:rPr>
      <x:t xml:space="preserve">净值数据 </x:t>
    </x:r>
    <x:r>
      <x:rPr>
        <x:b/>
        <x:sz val="15"/>
        <x:color rgb="FFFFFFFF"/>
        <x:rFont val="Arial"/>
        <x:family val="2"/>
      </x:rPr>
      <x:t xml:space="preserve">* </x:t>
    </x:r>
    <x:r>
      <x:rPr>
        <x:b/>
        <x:sz val="15"/>
        <x:color rgb="FFFFFFFF"/>
        <x:rFont val="Linux Libertine G"/>
        <x:family val="2"/>
      </x:rPr>
      <x:t xml:space="preserve">实盘</x:t>
    </x:r>
  </x:si>
  <x:si>
    <x:t xml:space="preserve">基金代码→</x:t>
  </x:si>
  <x:si>
    <x:t xml:space="preserve">组合净值</x:t>
  </x:si>
  <x:si>
    <x:t xml:space="preserve">组合 产业趋势</x:t>
  </x:si>
  <x:si>
    <x:t xml:space="preserve">组合 产业趋势基石</x:t>
  </x:si>
  <x:si>
    <x:r>
      <x:rPr>
        <x:b/>
        <x:sz val="11"/>
        <x:color rgb="FFFFFFFF"/>
        <x:rFont val="Linux Libertine G"/>
        <x:family val="2"/>
      </x:rPr>
      <x:t xml:space="preserve">组合 产业趋势</x:t>
    </x:r>
    <x:r>
      <x:rPr>
        <x:b/>
        <x:sz val="11"/>
        <x:color rgb="FFFFFFFF"/>
        <x:rFont val="Arial"/>
        <x:family val="2"/>
      </x:rPr>
      <x:t xml:space="preserve">2</x:t>
    </x:r>
    <x:r>
      <x:rPr>
        <x:b/>
        <x:sz val="11"/>
        <x:color rgb="FFFFFFFF"/>
        <x:rFont val="Linux Libertine G"/>
        <x:family val="2"/>
      </x:rPr>
      <x:t xml:space="preserve">号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</x:si>
  <x:si>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</x:si>
  <x:si>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  <x:r>
      <x:rPr>
        <x:b/>
        <x:sz val="11"/>
        <x:color rgb="FFFFFFFF"/>
        <x:rFont val="Linux Libertine G"/>
        <x:family val="2"/>
      </x:rPr>
      <x:t xml:space="preserve">基石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</x:si>
  <x:si>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30-70</x:t>
    </x:r>
  </x:si>
  <x:si>
    <x:t xml:space="preserve">日期</x:t>
  </x:si>
  <x:si>
    <x:t xml:space="preserve">净值</x:t>
  </x:si>
  <x:si>
    <x:t xml:space="preserve">日收益</x:t>
  </x:si>
  <x:si>
    <x:t xml:space="preserve">回撤</x:t>
  </x:si>
  <x:si>
    <x:r>
      <x:rPr>
        <x:sz val="11"/>
        <x:color theme="1"/>
        <x:rFont val="Linux Libertine G"/>
        <x:family val="2"/>
      </x:rPr>
      <x:t xml:space="preserve">华安黄金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</x:si>
  <x:si>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嘉实快线货币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</x:si>
  <x:si>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宏利复兴混合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</x:si>
  <x:si>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增强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</x:si>
  <x:si>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</x:si>
  <x:si>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</x:si>
  <x:si>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</x:si>
  <x:si>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</x:si>
  <x:si>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</x:si>
  <x:si>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</x:si>
  <x:si>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</x:si>
  <x:si>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</x:si>
  <x:si>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</x:si>
  <x:si>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信澳业绩驱动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</x:si>
  <x:si>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</x:si>
  <x:si>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</x:si>
  <x:si>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宏利复兴伟业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</x:si>
  <x:si>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</x:si>
  <x:si>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</x:si>
  <x:si>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</x:si>
  <x:si>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</x:si>
  <x:si>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易方达中债新综指</x:t>
    </x:r>
    <x:r>
      <x:rPr>
        <x:sz val="11"/>
        <x:color theme="1"/>
        <x:rFont val="宋体"/>
        <x:family val="2"/>
      </x:rPr>
      <x:t xml:space="preserve">LOFA</x:t>
    </x:r>
  </x:si>
  <x:si>
    <x:t xml:space="preserve">000216</x:t>
  </x:si>
  <x:si>
    <x:t xml:space="preserve">000917</x:t>
  </x:si>
  <x:si>
    <x:t xml:space="preserve">001170</x:t>
  </x:si>
  <x:si>
    <x:t xml:space="preserve">007044</x:t>
  </x:si>
  <x:si>
    <x:t xml:space="preserve">007045</x:t>
  </x:si>
  <x:si>
    <x:t xml:space="preserve">007817</x:t>
  </x:si>
  <x:si>
    <x:t xml:space="preserve">007818</x:t>
  </x:si>
  <x:si>
    <x:t xml:space="preserve">009993</x:t>
  </x:si>
  <x:si>
    <x:t xml:space="preserve">013840</x:t>
  </x:si>
  <x:si>
    <x:t xml:space="preserve">013841</x:t>
  </x:si>
  <x:si>
    <x:t xml:space="preserve">014201</x:t>
  </x:si>
  <x:si>
    <x:t xml:space="preserve">014202</x:t>
  </x:si>
  <x:si>
    <x:t xml:space="preserve">015453</x:t>
  </x:si>
  <x:si>
    <x:t xml:space="preserve">015454</x:t>
  </x:si>
  <x:si>
    <x:t xml:space="preserve">016370</x:t>
  </x:si>
  <x:si>
    <x:t xml:space="preserve">017488</x:t>
  </x:si>
  <x:si>
    <x:t xml:space="preserve">017489</x:t>
  </x:si>
  <x:si>
    <x:t xml:space="preserve">017612</x:t>
  </x:si>
  <x:si>
    <x:t xml:space="preserve">019632</x:t>
  </x:si>
  <x:si>
    <x:t xml:space="preserve">019633</x:t>
  </x:si>
  <x:si>
    <x:t xml:space="preserve">019923</x:t>
  </x:si>
  <x:si>
    <x:t xml:space="preserve">019924</x:t>
  </x:si>
  <x:si>
    <x:t xml:space="preserve">161119</x:t>
  </x:si>
  <x:si>
    <x:t xml:space="preserve">162214</x:t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</x:si>
  <x:si>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</x:si>
  <x:si>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</x:si>
  <x:si>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</x:si>
  <x:si>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</x:si>
  <x:si>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</x:si>
  <x:si>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</x:si>
  <x:si>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</x:si>
  <x:si>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</x:si>
  <x:si>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30-70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</x:si>
  <x:si>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</x:si>
  <x:si>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</x:si>
  <x:si>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</x:si>
  <x:si>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</x:si>
  <x:si>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</x:si>
  <x:si>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</x:si>
  <x:si>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0"/>
        <x:rFont val="Arial"/>
        <x:family val="2"/>
      </x:rPr>
      <x:t xml:space="preserve">10-90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</x:si>
  <x:si>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10-90</x:t>
    </x:r>
    <x:r>
      <x:rPr>
        <x:sz val="10"/>
        <x:rFont val="Linux Libertine G"/>
        <x:family val="2"/>
      </x:rPr>
      <x:t xml:space="preserve">基石 </x:t>
    </x:r>
    <x:r>
      <x:rPr>
        <x:sz val="10"/>
        <x:rFont val="Arial"/>
        <x:family val="2"/>
      </x:rPr>
      <x:t xml:space="preserve">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</x:si>
  <x:si>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30-70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</x:si>
  <x:si>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t xml:space="preserve">样板间组合走势看板（产业趋势组合）</x:t>
  </x:si>
  <x:si>
    <x:t xml:space="preserve">产品业绩表现（历史表现不代表未来收益承诺）</x:t>
  </x:si>
  <x:si>
    <x:t xml:space="preserve">最新净值</x:t>
  </x:si>
  <x:si>
    <x:t xml:space="preserve">累计收益</x:t>
  </x:si>
  <x:si>
    <x:t xml:space="preserve">年化收益</x:t>
  </x:si>
  <x:si>
    <x:t xml:space="preserve">收益表现</x:t>
  </x:si>
  <x:si>
    <x:t xml:space="preserve">风险特征</x:t>
  </x:si>
  <x:si>
    <x:t xml:space="preserve">区间</x:t>
  </x:si>
  <x:si>
    <x:t xml:space="preserve">指标</x:t>
  </x:si>
  <x:si>
    <x:t xml:space="preserve">数值</x:t>
  </x:si>
  <x:si>
    <x:t xml:space="preserve">起始以来</x:t>
  </x:si>
  <x:si>
    <x:t xml:space="preserve">2026YTD</x:t>
  </x:si>
  <x:si>
    <x:r>
      <x:rPr>
        <x:b/>
        <x:sz val="16"/>
        <x:color rgb="FF000000"/>
        <x:rFont val="Linux Libertine G"/>
        <x:family val="2"/>
      </x:rPr>
      <x:t xml:space="preserve">回撤修复天数</x:t>
    </x:r>
    <x:r>
      <x:rPr>
        <x:b/>
        <x:sz val="16"/>
        <x:color rgb="FF000000"/>
        <x:rFont val="微软雅黑"/>
        <x:family val="2"/>
      </x:rPr>
      <x:t xml:space="preserve">(</x:t>
    </x:r>
    <x:r>
      <x:rPr>
        <x:b/>
        <x:sz val="16"/>
        <x:color rgb="FF000000"/>
        <x:rFont val="Linux Libertine G"/>
        <x:family val="2"/>
      </x:rPr>
      <x:t xml:space="preserve">未创新高</x:t>
    </x:r>
    <x:r>
      <x:rPr>
        <x:b/>
        <x:sz val="16"/>
        <x:color rgb="FF000000"/>
        <x:rFont val="微软雅黑"/>
        <x:family val="2"/>
      </x:rPr>
      <x:t xml:space="preserve">)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</x:si>
  <x:si>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3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</x:si>
  <x:si>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t xml:space="preserve">正收益占比</x:t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</x:si>
  <x:si>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6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</x:si>
  <x:si>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1</x:t>
    </x:r>
    <x:r>
      <x:rPr>
        <x:b/>
        <x:sz val="16"/>
        <x:color rgb="FF000000"/>
        <x:rFont val="Linux Libertine G"/>
        <x:family val="2"/>
      </x:rPr>
      <x:t xml:space="preserve">年</x:t>
    </x:r>
  </x:si>
  <x:si>
    <x:r>
      <x:rPr>
        <x:b/>
        <x:sz val="11"/>
        <x:color rgb="FFFFFFFF"/>
        <x:rFont val="Linux Libertine G"/>
        <x:family val="2"/>
      </x:rPr>
      <x:t xml:space="preserve">产品运作情况 </x:t>
    </x:r>
    <x:r>
      <x:rPr>
        <x:b/>
        <x:sz val="11"/>
        <x:color rgb="FFFFFFFF"/>
        <x:rFont val="Arial"/>
        <x:family val="2"/>
      </x:rPr>
      <x:t xml:space="preserve">· </x:t>
    </x:r>
    <x:r>
      <x:rPr>
        <x:b/>
        <x:sz val="11"/>
        <x:color rgb="FFFFFFFF"/>
        <x:rFont val="Linux Libertine G"/>
        <x:family val="2"/>
      </x:rPr>
      <x:t xml:space="preserve">组合净值曲线</x:t>
    </x:r>
  </x:si>
  <x:si>
    <x:t xml:space="preserve">样板间组合走势看板（产业趋势基石组合）</x:t>
  </x:si>
  <x:si>
    <x:r>
      <x:rPr>
        <x:b/>
        <x:sz val="17"/>
        <x:color rgb="FFFFFFFF"/>
        <x:rFont val="Linux Libertine G"/>
        <x:family val="2"/>
      </x:rPr>
      <x:t xml:space="preserve">样板间组合走势看板（产业趋势</x:t>
    </x:r>
    <x:r>
      <x:rPr>
        <x:b/>
        <x:sz val="17"/>
        <x:color rgb="FFFFFFFF"/>
        <x:rFont val="Arial"/>
        <x:family val="2"/>
      </x:rPr>
      <x:t xml:space="preserve">2</x:t>
    </x:r>
    <x:r>
      <x:rPr>
        <x:b/>
        <x:sz val="17"/>
        <x:color rgb="FFFFFFFF"/>
        <x:rFont val="Linux Libertine G"/>
        <x:family val="2"/>
      </x:rPr>
      <x:t xml:space="preserve">号组合）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</x:si>
  <x:si>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</x:si>
  <x:si>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基石组合）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</x:si>
  <x:si>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30-70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</x:si>
  <x:si>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8"/>
        <x:color rgb="FF1F3864"/>
        <x:rFont val="Linux Libertine G"/>
        <x:family val="2"/>
      </x:rPr>
      <x:t xml:space="preserve">样板间投顾组合 </x:t>
    </x:r>
    <x:r>
      <x:rPr>
        <x:b/>
        <x:sz val="18"/>
        <x:color rgb="FF1F3864"/>
        <x:rFont val="Arial"/>
        <x:family val="2"/>
      </x:rPr>
      <x:t xml:space="preserve">· </x:t>
    </x:r>
    <x:r>
      <x:rPr>
        <x:b/>
        <x:sz val="18"/>
        <x:color rgb="FF1F3864"/>
        <x:rFont val="Linux Libertine G"/>
        <x:family val="2"/>
      </x:rPr>
      <x:t xml:space="preserve">净值监控模板</x:t>
    </x:r>
  </x:si>
  <x:si>
    <x:r>
      <x:rPr>
        <x:i/>
        <x:sz val="9"/>
        <x:color rgb="FF595959"/>
        <x:rFont val="Linux Libertine G"/>
        <x:family val="2"/>
      </x:rPr>
      <x:t xml:space="preserve">运作起始日（实盘）：产业趋势基石</x:t>
    </x:r>
    <x:r>
      <x:rPr>
        <x:i/>
        <x:sz val="9"/>
        <x:color rgb="FF595959"/>
        <x:rFont val="Arial"/>
        <x:family val="2"/>
      </x:rPr>
      <x:t xml:space="preserve">/10-90</x:t>
    </x:r>
    <x:r>
      <x:rPr>
        <x:i/>
        <x:sz val="9"/>
        <x:color rgb="FF595959"/>
        <x:rFont val="Linux Libertine G"/>
        <x:family val="2"/>
      </x:rPr>
      <x:t xml:space="preserve">基石 </x:t>
    </x:r>
    <x:r>
      <x:rPr>
        <x:i/>
        <x:sz val="9"/>
        <x:color rgb="FF595959"/>
        <x:rFont val="Arial"/>
        <x:family val="2"/>
      </x:rPr>
      <x:t xml:space="preserve">2026/6/18 · </x:t>
    </x:r>
    <x:r>
      <x:rPr>
        <x:i/>
        <x:sz val="9"/>
        <x:color rgb="FF595959"/>
        <x:rFont val="Linux Libertine G"/>
        <x:family val="2"/>
      </x:rPr>
      <x:t xml:space="preserve">产业趋势 </x:t>
    </x:r>
    <x:r>
      <x:rPr>
        <x:i/>
        <x:sz val="9"/>
        <x:color rgb="FF595959"/>
        <x:rFont val="Arial"/>
        <x:family val="2"/>
      </x:rPr>
      <x:t xml:space="preserve">6/22 · </x:t>
    </x:r>
    <x:r>
      <x:rPr>
        <x:i/>
        <x:sz val="9"/>
        <x:color rgb="FF595959"/>
        <x:rFont val="Linux Libertine G"/>
        <x:family val="2"/>
      </x:rPr>
      <x:t xml:space="preserve">产业趋势</x:t>
    </x:r>
    <x:r>
      <x:rPr>
        <x:i/>
        <x:sz val="9"/>
        <x:color rgb="FF595959"/>
        <x:rFont val="Arial"/>
        <x:family val="2"/>
      </x:rPr>
      <x:t xml:space="preserve">2</x:t>
    </x:r>
    <x:r>
      <x:rPr>
        <x:i/>
        <x:sz val="9"/>
        <x:color rgb="FF595959"/>
        <x:rFont val="Linux Libertine G"/>
        <x:family val="2"/>
      </x:rPr>
      <x:t xml:space="preserve">号 </x:t>
    </x:r>
    <x:r>
      <x:rPr>
        <x:i/>
        <x:sz val="9"/>
        <x:color rgb="FF595959"/>
        <x:rFont val="Arial"/>
        <x:family val="2"/>
      </x:rPr>
      <x:t xml:space="preserve">6/23 · 10-90/30-70 6/24 </x:t>
    </x:r>
    <x:r>
      <x:rPr>
        <x:i/>
        <x:sz val="9"/>
        <x:color rgb="FF595959"/>
        <x:rFont val="Linux Libertine G"/>
        <x:family val="2"/>
      </x:rPr>
      <x:t xml:space="preserve">｜ 净值口径：复权单位净值</x:t>
    </x:r>
    <x:r>
      <x:rPr>
        <x:i/>
        <x:sz val="9"/>
        <x:color rgb="FF595959"/>
        <x:rFont val="Arial"/>
        <x:family val="2"/>
      </x:rPr>
      <x:t xml:space="preserve">(iFinD) </x:t>
    </x:r>
    <x:r>
      <x:rPr>
        <x:i/>
        <x:sz val="9"/>
        <x:color rgb="FF595959"/>
        <x:rFont val="Linux Libertine G"/>
        <x:family val="2"/>
      </x:rPr>
      <x:t xml:space="preserve">｜ 买入持有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权重漂移</x:t>
    </x:r>
    <x:r>
      <x:rPr>
        <x:i/>
        <x:sz val="9"/>
        <x:color rgb="FF595959"/>
        <x:rFont val="Arial"/>
        <x:family val="2"/>
      </x:rPr>
      <x:t xml:space="preserve">)</x:t>
    </x:r>
    <x:r>
      <x:rPr>
        <x:i/>
        <x:sz val="9"/>
        <x:color rgb="FF595959"/>
        <x:rFont val="Linux Libertine G"/>
        <x:family val="2"/>
      </x:rPr>
      <x:t xml:space="preserve">，各组合自其起始日净值</x:t>
    </x:r>
    <x:r>
      <x:rPr>
        <x:i/>
        <x:sz val="9"/>
        <x:color rgb="FF595959"/>
        <x:rFont val="Arial"/>
        <x:family val="2"/>
      </x:rPr>
      <x:t xml:space="preserve">=1</x:t>
    </x:r>
  </x:si>
  <x:si>
    <x:t xml:space="preserve">一、模板结构</x:t>
  </x:si>
  <x:si>
    <x:t xml:space="preserve">持仓配置</x:t>
  </x:si>
  <x:si>
    <x:r>
      <x:rPr>
        <x:sz val="10"/>
        <x:color rgb="FF000000"/>
        <x:rFont val="Linux Libertine G"/>
        <x:family val="2"/>
      </x:rPr>
      <x:t xml:space="preserve">实盘</x:t>
    </x:r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组合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产业趋势基石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2</x:t>
    </x:r>
    <x:r>
      <x:rPr>
        <x:sz val="10"/>
        <x:color rgb="FF000000"/>
        <x:rFont val="Linux Libertine G"/>
        <x:family val="2"/>
      </x:rPr>
      <x:t xml:space="preserve">号</x:t>
    </x:r>
    <x:r>
      <x:rPr>
        <x:sz val="10"/>
        <x:color rgb="FF000000"/>
        <x:rFont val="微软雅黑"/>
        <x:family val="2"/>
      </x:rPr>
      <x:t xml:space="preserve">/10-90/10-90</x:t>
    </x:r>
    <x:r>
      <x:rPr>
        <x:sz val="10"/>
        <x:color rgb="FF000000"/>
        <x:rFont val="Linux Libertine G"/>
        <x:family val="2"/>
      </x:rPr>
      <x:t xml:space="preserve">基石</x:t>
    </x:r>
    <x:r>
      <x:rPr>
        <x:sz val="10"/>
        <x:color rgb="FF000000"/>
        <x:rFont val="微软雅黑"/>
        <x:family val="2"/>
      </x:rPr>
      <x:t xml:space="preserve">/30-70)</x:t>
    </x:r>
    <x:r>
      <x:rPr>
        <x:sz val="10"/>
        <x:color rgb="FF000000"/>
        <x:rFont val="Linux Libertine G"/>
        <x:family val="2"/>
      </x:rPr>
      <x:t xml:space="preserve">成份基金、代码、初始权重、年化费率、净值起始日，可直接编辑。</x:t>
    </x:r>
  </x:si>
  <x:si>
    <x:r>
      <x:rPr>
        <x:b/>
        <x:sz val="10"/>
        <x:color rgb="FF000000"/>
        <x:rFont val="Linux Libertine G"/>
        <x:family val="2"/>
      </x:rPr>
      <x:t xml:space="preserve">净值数据</x:t>
    </x:r>
    <x:r>
      <x:rPr>
        <x:b/>
        <x:sz val="10"/>
        <x:color rgb="FF000000"/>
        <x:rFont val="Arial"/>
        <x:family val="2"/>
      </x:rPr>
      <x:t xml:space="preserve">(iFinD</x:t>
    </x:r>
    <x:r>
      <x:rPr>
        <x:b/>
        <x:sz val="10"/>
        <x:color rgb="FF000000"/>
        <x:rFont val="Linux Libertine G"/>
        <x:family val="2"/>
      </x:rPr>
      <x:t xml:space="preserve">公式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</x:si>
  <x:si>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同花顺公式拉取复权单位净值</x:t>
  </x:si>
  <x:si>
    <x:r>
      <x:rPr>
        <x:b/>
        <x:sz val="10"/>
        <x:color rgb="FF000000"/>
        <x:rFont val="Linux Libertine G"/>
        <x:family val="2"/>
      </x:rPr>
      <x:t xml:space="preserve">看板</x:t>
    </x:r>
    <x:r>
      <x:rPr>
        <x:b/>
        <x:sz val="10"/>
        <x:color rgb="FF000000"/>
        <x:rFont val="Arial"/>
        <x:family val="2"/>
      </x:rPr>
      <x:t xml:space="preserve">-10/20/30/</x:t>
    </x:r>
    <x:r>
      <x:rPr>
        <x:b/>
        <x:sz val="10"/>
        <x:color rgb="FF000000"/>
        <x:rFont val="Linux Libertine G"/>
        <x:family val="2"/>
      </x:rPr>
      <x:t xml:space="preserve">增值</x:t>
    </x:r>
  </x:si>
  <x:si>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个组合各一页：业绩</x:t>
    </x:r>
    <x:r>
      <x:rPr>
        <x:sz val="10"/>
        <x:color rgb="FF000000"/>
        <x:rFont val="微软雅黑"/>
        <x:family val="2"/>
      </x:rPr>
      <x:t xml:space="preserve">KPI</x:t>
    </x:r>
    <x:r>
      <x:rPr>
        <x:sz val="10"/>
        <x:color rgb="FF000000"/>
        <x:rFont val="Linux Libertine G"/>
        <x:family val="2"/>
      </x:rPr>
      <x:t xml:space="preserve">＋收益表现＋风险特征＋净值曲线。</x:t>
    </x:r>
  </x:si>
  <x:si>
    <x:t xml:space="preserve">二、使用说明</x:t>
  </x:si>
  <x:si>
    <x:t xml:space="preserve">每日更新</x:t>
  </x:si>
  <x:si>
    <x:r>
      <x:rPr>
        <x:b/>
        <x:sz val="10"/>
        <x:color rgb="FF000000"/>
        <x:rFont val="Arial"/>
        <x:family val="2"/>
      </x:rPr>
      <x:t xml:space="preserve">iFinD</x:t>
    </x:r>
    <x:r>
      <x:rPr>
        <x:b/>
        <x:sz val="10"/>
        <x:color rgb="FF000000"/>
        <x:rFont val="Linux Libertine G"/>
        <x:family val="2"/>
      </x:rPr>
      <x:t xml:space="preserve">指标</x:t>
    </x:r>
  </x:si>
  <x:si>
    <x:r>
      <x:rPr>
        <x:sz val="10"/>
        <x:color rgb="FF000000"/>
        <x:rFont val="Linux Libertine G"/>
        <x:family val="2"/>
      </x:rPr>
      <x:t xml:space="preserve">复权净值指标代码集中在『净值数据』</x:t>
    </x:r>
    <x:r>
      <x:rPr>
        <x:sz val="10"/>
        <x:color rgb="FF000000"/>
        <x:rFont val="微软雅黑"/>
        <x:family val="2"/>
      </x:rPr>
      <x:t xml:space="preserve">B2</x:t>
    </x:r>
    <x:r>
      <x:rPr>
        <x:sz val="10"/>
        <x:color rgb="FF000000"/>
        <x:rFont val="Linux Libertine G"/>
        <x:family val="2"/>
      </x:rPr>
      <x:t xml:space="preserve">，与本地版本不符时只改此处。</x:t>
    </x:r>
  </x:si>
  <x:si>
    <x:t xml:space="preserve">买入持有口径</x:t>
  </x:si>
  <x:si>
    <x:r>
      <x:rPr>
        <x:sz val="10"/>
        <x:color rgb="FF000000"/>
        <x:rFont val="Linux Libertine G"/>
        <x:family val="2"/>
      </x:rPr>
      <x:t xml:space="preserve">起始日按初始权重买入后持有，权重随涨跌漂移；组合起始净值</x:t>
    </x:r>
    <x:r>
      <x:rPr>
        <x:sz val="10"/>
        <x:color rgb="FF000000"/>
        <x:rFont val="微软雅黑"/>
        <x:family val="2"/>
      </x:rPr>
      <x:t xml:space="preserve">=1.0000</x:t>
    </x:r>
    <x:r>
      <x:rPr>
        <x:sz val="10"/>
        <x:color rgb="FF000000"/>
        <x:rFont val="Linux Libertine G"/>
        <x:family val="2"/>
      </x:rPr>
      <x:t xml:space="preserve">。</x:t>
    </x:r>
  </x:si>
  <x:si>
    <x:t xml:space="preserve">扣费方式</x:t>
  </x:si>
  <x:si>
    <x:r>
      <x:rPr>
        <x:b/>
        <x:sz val="10"/>
        <x:color rgb="FF000000"/>
        <x:rFont val="Linux Libertine G"/>
        <x:family val="2"/>
      </x:rPr>
      <x:t xml:space="preserve">参数：无风险利率</x:t>
    </x:r>
    <x:r>
      <x:rPr>
        <x:b/>
        <x:sz val="10"/>
        <x:color rgb="FF000000"/>
        <x:rFont val="Arial"/>
        <x:family val="2"/>
      </x:rPr>
      <x:t xml:space="preserve">(</x:t>
    </x:r>
    <x:r>
      <x:rPr>
        <x:b/>
        <x:sz val="10"/>
        <x:color rgb="FF000000"/>
        <x:rFont val="Linux Libertine G"/>
        <x:family val="2"/>
      </x:rPr>
      <x:t xml:space="preserve">年化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</x:si>
  <x:si>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参数：年化交易日数</x:t>
  </x:si>
  <x:si>
    <x:t xml:space="preserve">净值曲线</x:t>
  </x:si>
  <x:si>
    <x:r>
      <x:rPr>
        <x:i/>
        <x:sz val="9"/>
        <x:color rgb="FF595959"/>
        <x:rFont val="Linux Libertine G"/>
        <x:family val="2"/>
      </x:rPr>
      <x:t xml:space="preserve">数据来源：同花顺 </x:t>
    </x:r>
    <x:r>
      <x:rPr>
        <x:i/>
        <x:sz val="9"/>
        <x:color rgb="FF595959"/>
        <x:rFont val="Arial"/>
        <x:family val="2"/>
      </x:rPr>
      <x:t xml:space="preserve">iFinD(</x:t>
    </x:r>
    <x:r>
      <x:rPr>
        <x:i/>
        <x:sz val="9"/>
        <x:color rgb="FF595959"/>
        <x:rFont val="Linux Libertine G"/>
        <x:family val="2"/>
      </x:rPr>
      <x:t xml:space="preserve">复权单位净值</x:t>
    </x:r>
    <x:r>
      <x:rPr>
        <x:i/>
        <x:sz val="9"/>
        <x:color rgb="FF595959"/>
        <x:rFont val="Arial"/>
        <x:family val="2"/>
      </x:rPr>
      <x:t xml:space="preserve">)</x:t>
    </x:r>
  </x:si>
</x:sst>
</file>

<file path=xl/styles.xml><?xml version="1.0" encoding="utf-8"?>
<x:styleSheet xmlns:x="http://schemas.openxmlformats.org/spreadsheetml/2006/main">
  <x:numFmts count="24">
    <x:numFmt numFmtId="164" formatCode="General"/>
    <x:numFmt numFmtId="165" formatCode="_ * #,##0.00_ ;_ * \-#,##0.00_ ;_ * \-??_ ;_ @_ "/>
    <x:numFmt numFmtId="166" formatCode="_ * #,##0_ ;_ * \-#,##0_ ;_ * \-_ ;_ @_ "/>
    <x:numFmt numFmtId="167" formatCode="_ \￥* #,##0.00_ ;_ \￥* \-#,##0.00_ ;_ \￥* \-??_ ;_ @_ "/>
    <x:numFmt numFmtId="168" formatCode="_ \￥* #,##0_ ;_ \￥* \-#,##0_ ;_ \￥* \-_ ;_ @_ "/>
    <x:numFmt numFmtId="169" formatCode="0%"/>
    <x:numFmt numFmtId="170" formatCode="0.00%"/>
    <x:numFmt numFmtId="171" formatCode="0.0%"/>
    <x:numFmt numFmtId="172" formatCode="yyyy\-mm\-dd"/>
    <x:numFmt numFmtId="173" formatCode="0.00%;[RED]\(0.00%\);\-"/>
    <x:numFmt numFmtId="174" formatCode="0.00%;\(0.00%\);\-"/>
    <x:numFmt numFmtId="175" formatCode="0"/>
    <x:numFmt numFmtId="176" formatCode="0.000000"/>
    <x:numFmt numFmtId="177" formatCode="0.00_);[RED]\(0.00\)"/>
    <x:numFmt numFmtId="178" formatCode="yyyy\-m\-d"/>
    <x:numFmt numFmtId="179" formatCode="_ * #,##0.00_ ;_ * \-#,##0.00_ ;_ * \-??_ ;_ @_ "/>
    <x:numFmt numFmtId="180" formatCode="_ * #,##0_ ;_ * \-#,##0_ ;_ * \-??_ ;_ @_ "/>
    <x:numFmt numFmtId="181" formatCode="yyyy/mm/dd"/>
    <x:numFmt numFmtId="182" formatCode="0.0000"/>
    <x:numFmt numFmtId="183" formatCode="0.00000000%"/>
    <x:numFmt numFmtId="184" formatCode="yyyy\-mm\-dd\ h:mm:ss"/>
    <x:numFmt numFmtId="185" formatCode="0.00"/>
    <x:numFmt numFmtId="200" formatCode="0.0000%"/>
    <x:numFmt numFmtId="201" formatCode="yyyy/m/d"/>
  </x:numFmts>
  <x:fonts count="68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  <x:font>
      <x:b/>
      <x:sz val="15"/>
      <x:color rgb="FFFFFFFF"/>
      <x:name val="Linux Libertine G"/>
    </x:font>
    <x:font>
      <x:b/>
      <x:sz val="15"/>
      <x:color rgb="FFFFFFFF"/>
      <x:name val="Arial"/>
    </x:font>
    <x:font>
      <x:b/>
      <x:sz val="10"/>
      <x:color rgb="FFFFFFFF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9"/>
      <x:color rgb="FF595959"/>
      <x:name val="Linux Libertine G"/>
    </x:font>
    <x:font>
      <x:i/>
      <x:sz val="9"/>
      <x:color rgb="FF595959"/>
      <x:name val="Arial"/>
    </x:font>
    <x:font>
      <x:b/>
      <x:sz val="16"/>
      <x:color rgb="FFFFFFFF"/>
      <x:name val="Linux Libertine G"/>
    </x:font>
    <x:font>
      <x:b/>
      <x:sz val="16"/>
      <x:color rgb="FFFFFFFF"/>
      <x:name val="微软雅黑"/>
    </x:font>
    <x:font>
      <x:b/>
      <x:sz val="9"/>
      <x:color rgb="FF1F3864"/>
      <x:name val="Linux Libertine G"/>
    </x:font>
    <x:font>
      <x:b/>
      <x:sz val="9"/>
      <x:color rgb="FF1F3864"/>
      <x:name val="微软雅黑"/>
    </x:font>
    <x:font>
      <x:b/>
      <x:sz val="9"/>
      <x:color rgb="FF0000FF"/>
      <x:name val="Arial"/>
    </x:font>
    <x:font>
      <x:i/>
      <x:sz val="9"/>
      <x:color rgb="FF595959"/>
      <x:name val="微软雅黑"/>
    </x:font>
    <x:font>
      <x:b/>
      <x:sz val="10"/>
      <x:color rgb="FFFFFFFF"/>
      <x:name val="微软雅黑"/>
    </x:font>
    <x:font>
      <x:b/>
      <x:sz val="9"/>
      <x:color rgb="FFFFFFFF"/>
      <x:name val="Linux Libertine G"/>
    </x:font>
    <x:font>
      <x:sz val="9"/>
      <x:color rgb="FF000000"/>
      <x:name val="微软雅黑"/>
    </x:font>
    <x:font>
      <x:sz val="9"/>
      <x:color rgb="FF000000"/>
      <x:name val="Linux Libertine G"/>
    </x:font>
    <x:font>
      <x:i/>
      <x:sz val="8"/>
      <x:color rgb="FF595959"/>
      <x:name val="Linux Libertine G"/>
    </x:font>
    <x:font>
      <x:i/>
      <x:sz val="8"/>
      <x:color rgb="FF595959"/>
      <x:name val="微软雅黑"/>
    </x:font>
    <x:font>
      <x:sz val="8"/>
      <x:color rgb="FF595959"/>
      <x:name val="Linux Libertine G"/>
    </x:font>
    <x:font>
      <x:sz val="8"/>
      <x:color rgb="FF595959"/>
      <x:name val="微软雅黑"/>
    </x:font>
    <x:font>
      <x:b/>
      <x:sz val="9"/>
      <x:color rgb="FFFFFFFF"/>
      <x:name val="微软雅黑"/>
    </x:font>
    <x:font>
      <x:b/>
      <x:sz val="8"/>
      <x:color rgb="FF1F3864"/>
      <x:name val="Linux Libertine G"/>
    </x:font>
    <x:font>
      <x:sz val="7"/>
      <x:color rgb="FF000000"/>
      <x:name val="微软雅黑"/>
    </x:font>
    <x:font>
      <x:sz val="10"/>
      <x:name val="Linux Libertine G"/>
    </x:font>
    <x:font>
      <x:b/>
      <x:sz val="11"/>
      <x:color rgb="FFFFFFFF"/>
      <x:name val="Linux Libertine G"/>
    </x:font>
    <x:font>
      <x:b/>
      <x:sz val="11"/>
      <x:color rgb="FFFFFFFF"/>
      <x:name val="微软雅黑"/>
    </x:font>
    <x:font>
      <x:b/>
      <x:sz val="11"/>
      <x:color rgb="FF1F1F1F"/>
      <x:name val="Linux Libertine G"/>
    </x:font>
    <x:font>
      <x:b/>
      <x:sz val="11"/>
      <x:color rgb="FF1F1F1F"/>
      <x:name val="微软雅黑"/>
    </x:font>
    <x:font>
      <x:b/>
      <x:sz val="10"/>
      <x:color rgb="FF1F1F1F"/>
      <x:name val="微软雅黑"/>
    </x:font>
    <x:font>
      <x:sz val="11"/>
      <x:color theme="1"/>
      <x:name val="微软雅黑"/>
    </x:font>
    <x:font>
      <x:sz val="11"/>
      <x:color theme="1"/>
      <x:name val="Linux Libertine G"/>
    </x:font>
    <x:font>
      <x:sz val="10"/>
      <x:name val="微软雅黑"/>
    </x:font>
    <x:font>
      <x:sz val="10"/>
      <x:color theme="1"/>
      <x:name val="微软雅黑"/>
    </x:font>
    <x:font>
      <x:sz val="11"/>
      <x:color rgb="FF666666"/>
      <x:name val="Linux Libertine G"/>
    </x:font>
    <x:font>
      <x:sz val="11"/>
      <x:color rgb="FF666666"/>
      <x:name val="微软雅黑"/>
    </x:font>
    <x:font>
      <x:sz val="54"/>
      <x:color theme="0" tint="-0.35"/>
      <x:name val="Linux Libertine G"/>
    </x:font>
    <x:font>
      <x:sz val="11"/>
      <x:color theme="1"/>
      <x:name val="宋体"/>
    </x:font>
    <x:font>
      <x:sz val="10"/>
      <x:color rgb="FF006100"/>
      <x:name val="Arial"/>
    </x:font>
    <x:font>
      <x:b/>
      <x:sz val="11"/>
      <x:color rgb="FFFFFFFF"/>
      <x:name val="Arial"/>
    </x:font>
    <x:font>
      <x:sz val="10"/>
      <x:color rgb="FF000000"/>
      <x:name val="Linux Libertine G"/>
    </x:font>
    <x:font>
      <x:sz val="11"/>
      <x:color theme="1"/>
      <x:name val="宋体"/>
    </x:font>
    <x:font>
      <x:b/>
      <x:sz val="17"/>
      <x:color rgb="FFFFFFFF"/>
      <x:name val="Linux Libertine G"/>
    </x:font>
    <x:font>
      <x:i/>
      <x:sz val="9"/>
      <x:color rgb="FF595959"/>
      <x:name val="Linux Libertine G"/>
    </x:font>
    <x:font>
      <x:b/>
      <x:sz val="10"/>
      <x:color rgb="FF000000"/>
      <x:name val="Linux Libertine G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6"/>
      <x:color rgb="FF000000"/>
      <x:name val="Linux Libertine G"/>
    </x:font>
    <x:font>
      <x:sz val="16"/>
      <x:color rgb="FF000000"/>
      <x:name val="微软雅黑"/>
    </x:font>
    <x:font>
      <x:b/>
      <x:sz val="16"/>
      <x:color rgb="FF000000"/>
      <x:name val="微软雅黑"/>
    </x:font>
    <x:font>
      <x:b/>
      <x:sz val="16"/>
      <x:color rgb="FF000000"/>
      <x:name val="微软雅黑"/>
    </x:font>
    <x:font>
      <x:sz val="16"/>
      <x:color theme="1"/>
      <x:name val="Linux Libertine G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7"/>
      <x:color rgb="FFFFFFFF"/>
      <x:name val="Arial"/>
    </x:font>
    <x:font>
      <x:b/>
      <x:sz val="18"/>
      <x:color rgb="FF1F3864"/>
      <x:name val="Linux Libertine G"/>
    </x:font>
    <x:font>
      <x:b/>
      <x:sz val="18"/>
      <x:color rgb="FF1F3864"/>
      <x:name val="Arial"/>
    </x:font>
    <x:font>
      <x:b/>
      <x:sz val="12"/>
      <x:color rgb="FF1F3864"/>
      <x:name val="Linux Libertine G"/>
    </x:font>
    <x:font>
      <x:sz val="10"/>
      <x:color rgb="FF000000"/>
      <x:name val="微软雅黑"/>
    </x:font>
  </x:fonts>
  <x:fills count="1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rgb="FFEAF0F8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4F81BD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7F7F7"/>
      </x:patternFill>
    </x:fill>
  </x:fills>
  <x:borders count="24">
    <x:border diagonalUp="0" diagonalDown="0"/>
    <x:border diagonalUp="0" diagonalDown="0">
      <x:bottom style="thin">
        <x:color rgb="FFBFBFBF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right style="thin">
        <x:color rgb="FFBFBFBF"/>
      </x:right>
      <x:bottom style="thin">
        <x:color rgb="FFBFBFBF"/>
      </x:bottom>
    </x:border>
    <x:border diagonalUp="0" diagonalDown="0">
      <x:bottom style="thin">
        <x:color rgb="FF355E84"/>
      </x:bottom>
    </x:border>
    <x:border diagonalUp="0" diagonalDown="0">
      <x:left style="thin">
        <x:color rgb="FF355E84"/>
      </x:left>
      <x:right style="thin">
        <x:color rgb="FF355E84"/>
      </x:right>
      <x:bottom style="thin">
        <x:color rgb="FF355E84"/>
      </x:bottom>
    </x:border>
    <x:border diagonalUp="0" diagonalDown="0">
      <x:left style="thin">
        <x:color rgb="FF355E84"/>
      </x:left>
      <x:right style="thin">
        <x:color rgb="FF355E84"/>
      </x:right>
    </x:border>
    <x:border diagonalUp="0" diagonalDown="0"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 diagonalUp="0" diagonalDown="0">
      <x:left style="thin">
        <x:color rgb="FFD9E2F3"/>
      </x:left>
      <x:top style="thin">
        <x:color rgb="FFA6A6A6"/>
      </x:top>
      <x:bottom style="thin">
        <x:color rgb="FFB4C6E7"/>
      </x:bottom>
    </x:border>
    <x:border diagonalUp="0" diagonalDown="0"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 diagonalUp="0" diagonalDown="0">
      <x:left style="thin">
        <x:color rgb="FFD9E2F3"/>
      </x:left>
      <x:top style="thin">
        <x:color rgb="FFB4C6E7"/>
      </x:top>
      <x:bottom style="thin">
        <x:color rgb="FFB4C6E7"/>
      </x:bottom>
    </x:border>
    <x:border diagonalUp="0" diagonalDown="0">
      <x:left style="thin">
        <x:color rgb="FFA6A6A6"/>
      </x:left>
      <x:right style="thin">
        <x:color rgb="FFD9E2F3"/>
      </x:right>
      <x:top style="thin">
        <x:color rgb="FFB4C6E7"/>
      </x:top>
    </x:border>
    <x:border diagonalUp="0" diagonalDown="0">
      <x:left style="thin">
        <x:color rgb="FFD9E2F3"/>
      </x:left>
      <x:right style="thin">
        <x:color rgb="FFD9E2F3"/>
      </x:right>
      <x:top style="thin">
        <x:color rgb="FFB4C6E7"/>
      </x:top>
    </x:border>
    <x:border diagonalUp="0" diagonalDown="0">
      <x:left style="thin">
        <x:color rgb="FFD9E2F3"/>
      </x:left>
      <x:top style="thin">
        <x:color rgb="FFB4C6E7"/>
      </x:top>
    </x:border>
    <x:border diagonalUp="0" diagonalDown="0">
      <x:left style="thin">
        <x:color rgb="FF355E84"/>
      </x:left>
      <x:right style="thin">
        <x:color rgb="FF355E84"/>
      </x:right>
      <x:top style="thin">
        <x:color rgb="FF355E84"/>
      </x:top>
      <x:bottom style="thin">
        <x:color rgb="FF355E84"/>
      </x:bottom>
    </x:border>
    <x:border diagonalUp="0" diagonalDown="0">
      <x:top style="thin">
        <x:color theme="4"/>
      </x:top>
    </x:border>
    <x:border diagonalUp="0" diagonalDown="0">
      <x:right style="thin">
        <x:color rgb="FFA6A6A6"/>
      </x:right>
      <x:top style="thin">
        <x:color rgb="FFA6A6A6"/>
      </x:top>
      <x:bottom style="thin">
        <x:color rgb="FFB4C6E7"/>
      </x:bottom>
    </x:border>
    <x:border diagonalUp="0" diagonalDown="0">
      <x:right style="thin">
        <x:color theme="4"/>
      </x:right>
      <x:top style="thin">
        <x:color theme="4"/>
      </x:top>
    </x:border>
    <x:border diagonalUp="0" diagonalDown="0"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 diagonalUp="0" diagonalDown="0">
      <x:top style="thin">
        <x:color theme="4"/>
      </x:top>
      <x:bottom style="thin">
        <x:color rgb="FFA6A6A6"/>
      </x:bottom>
    </x:border>
    <x:border diagonalUp="0" diagonalDown="0">
      <x:right style="thin">
        <x:color theme="4"/>
      </x:right>
      <x:top style="thin">
        <x:color theme="4"/>
      </x:top>
      <x:bottom style="thin">
        <x:color rgb="FFA6A6A6"/>
      </x:bottom>
    </x:border>
  </x:borders>
  <x:cellStyleXfs count="26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179" fontId="33" fillId="0" borderId="0" applyFont="1" applyBorder="0" applyAlignment="1" applyProtection="0">
      <x:alignment horizontal="general" vertical="bottom" wrapText="0" shrinkToFit="0"/>
    </x:xf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9" fontId="33" fillId="0" borderId="0" applyFont="1" applyBorder="0" applyAlignment="1" applyProtection="0">
      <x:alignment horizontal="general" vertical="bottom" wrapText="0" shrinkToFit="0"/>
    </x:xf>
    <x:xf numFmtId="165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1" applyProtection="0">
      <x:alignment horizontal="general" vertical="bottom" wrapText="0" shrinkToFit="0"/>
    </x:xf>
  </x:cellStyleXfs>
  <x:cellXfs count="153">
    <x:xf numFmtId="164" fontId="0" fillId="0" borderId="0" xfId="0" applyFont="0" applyBorder="0" applyAlignment="0">
      <x:alignment horizontal="general" vertical="bottom" wrapText="0"/>
    </x:xf>
    <x:xf numFmtId="164" fontId="6" fillId="2" borderId="1" xfId="24" applyFont="1" applyBorder="1" applyAlignment="1">
      <x:alignment horizontal="center" vertical="bottom" wrapText="0"/>
    </x:xf>
    <x:xf numFmtId="164" fontId="8" fillId="3" borderId="2" xfId="24" applyFont="1" applyBorder="1" applyAlignment="1">
      <x:alignment horizontal="center" vertical="center" wrapText="1"/>
    </x:xf>
    <x:xf numFmtId="164" fontId="9" fillId="4" borderId="2" xfId="24" applyFont="1" applyBorder="1" applyAlignment="1">
      <x:alignment horizontal="center" vertical="center" wrapText="1"/>
    </x:xf>
    <x:xf numFmtId="164" fontId="11" fillId="5" borderId="2" xfId="24" applyFont="1" applyBorder="1" applyAlignment="1">
      <x:alignment horizontal="center" vertical="center" wrapText="1"/>
    </x:xf>
    <x:xf numFmtId="164" fontId="9" fillId="4" borderId="2" xfId="24" applyFont="1" applyBorder="1" applyAlignment="1">
      <x:alignment horizontal="left" vertical="center" wrapText="0"/>
    </x:xf>
    <x:xf numFmtId="170" fontId="12" fillId="0" borderId="2" xfId="24" applyFont="1" applyBorder="1" applyAlignment="1">
      <x:alignment horizontal="center" vertical="center" wrapText="1"/>
    </x:xf>
    <x:xf numFmtId="171" fontId="10" fillId="5" borderId="2" xfId="24" applyFont="1" applyBorder="1" applyAlignment="1">
      <x:alignment horizontal="center" vertical="center" wrapText="1"/>
    </x:xf>
    <x:xf numFmtId="171" fontId="13" fillId="6" borderId="2" xfId="24" applyFont="1" applyBorder="1" applyAlignment="1">
      <x:alignment horizontal="center" vertical="center" wrapText="0"/>
    </x:xf>
    <x:xf numFmtId="172" fontId="12" fillId="5" borderId="2" xfId="24" applyFont="1" applyBorder="1" applyAlignment="1">
      <x:alignment horizontal="center" vertical="center" wrapText="1"/>
    </x:xf>
    <x:xf numFmtId="164" fontId="10" fillId="4" borderId="2" xfId="24" applyFont="1" applyBorder="1" applyAlignment="1">
      <x:alignment horizontal="left" vertical="center" wrapText="0"/>
    </x:xf>
    <x:xf numFmtId="164" fontId="14" fillId="0" borderId="0" xfId="24" applyFont="1" applyBorder="0" applyAlignment="0">
      <x:alignment horizontal="general" vertical="bottom" wrapText="0"/>
    </x:xf>
    <x:xf numFmtId="164" fontId="16" fillId="2" borderId="0" xfId="0" applyFont="1" applyBorder="1" applyAlignment="1">
      <x:alignment horizontal="center" vertical="center" wrapText="0"/>
    </x:xf>
    <x:xf numFmtId="164" fontId="18" fillId="7" borderId="2" xfId="0" applyFont="1" applyBorder="1" applyAlignment="1">
      <x:alignment horizontal="center" vertical="center" wrapText="0"/>
    </x:xf>
    <x:xf numFmtId="172" fontId="19" fillId="7" borderId="2" xfId="0" applyFont="1" applyBorder="1" applyAlignment="1">
      <x:alignment horizontal="center" vertical="center" wrapText="0"/>
    </x:xf>
    <x:xf numFmtId="173" fontId="20" fillId="6" borderId="2" xfId="0" applyFont="1" applyBorder="1" applyAlignment="1">
      <x:alignment horizontal="center" vertical="center" wrapText="0"/>
    </x:xf>
    <x:xf numFmtId="164" fontId="14" fillId="0" borderId="0" xfId="0" applyFont="1" applyBorder="1" applyAlignment="1">
      <x:alignment horizontal="general" vertical="center" wrapText="1"/>
    </x:xf>
    <x:xf numFmtId="164" fontId="22" fillId="3" borderId="0" xfId="0" applyFont="1" applyBorder="1" applyAlignment="1">
      <x:alignment horizontal="left" vertical="center" wrapText="0"/>
    </x:xf>
    <x:xf numFmtId="164" fontId="8" fillId="3" borderId="0" xfId="0" applyFont="1" applyBorder="0" applyAlignment="1">
      <x:alignment horizontal="left" vertical="center" wrapText="0"/>
    </x:xf>
    <x:xf numFmtId="172" fontId="19" fillId="8" borderId="2" xfId="0" applyFont="1" applyBorder="1" applyAlignment="1">
      <x:alignment horizontal="center" vertical="center" wrapText="0"/>
    </x:xf>
    <x:xf numFmtId="164" fontId="23" fillId="9" borderId="2" xfId="0" applyFont="1" applyBorder="1" applyAlignment="1">
      <x:alignment horizontal="center" vertical="center" wrapText="1"/>
    </x:xf>
    <x:xf numFmtId="164" fontId="24" fillId="0" borderId="2" xfId="0" applyFont="1" applyBorder="1" applyAlignment="1">
      <x:alignment horizontal="center" vertical="center" wrapText="0"/>
    </x:xf>
    <x:xf numFmtId="173" fontId="24" fillId="0" borderId="2" xfId="0" applyFont="1" applyBorder="1" applyAlignment="1">
      <x:alignment horizontal="right" vertical="center" wrapText="0"/>
    </x:xf>
    <x:xf numFmtId="164" fontId="25" fillId="0" borderId="2" xfId="0" applyFont="1" applyBorder="1" applyAlignment="1">
      <x:alignment horizontal="center" vertical="center" wrapText="0"/>
    </x:xf>
    <x:xf numFmtId="172" fontId="24" fillId="0" borderId="2" xfId="0" applyFont="1" applyBorder="1" applyAlignment="1">
      <x:alignment horizontal="center" vertical="center" wrapText="0"/>
    </x:xf>
    <x:xf numFmtId="164" fontId="26" fillId="7" borderId="0" xfId="0" applyFont="1" applyBorder="1" applyAlignment="1">
      <x:alignment horizontal="general" vertical="bottom" wrapText="1"/>
    </x:xf>
    <x:xf numFmtId="174" fontId="24" fillId="0" borderId="2" xfId="0" applyFont="1" applyBorder="1" applyAlignment="1">
      <x:alignment horizontal="right" vertical="center" wrapText="0"/>
    </x:xf>
    <x:xf numFmtId="164" fontId="26" fillId="7" borderId="0" xfId="0" applyFont="1" applyBorder="1" applyAlignment="0">
      <x:alignment horizontal="general" vertical="bottom" wrapText="0"/>
    </x:xf>
    <x:xf numFmtId="164" fontId="28" fillId="6" borderId="0" xfId="0" applyFont="1" applyBorder="1" applyAlignment="1">
      <x:alignment horizontal="general" vertical="center" wrapText="1"/>
    </x:xf>
    <x:xf numFmtId="164" fontId="8" fillId="3" borderId="0" xfId="0" applyFont="1" applyBorder="1" applyAlignment="1">
      <x:alignment horizontal="left" vertical="center" wrapText="0"/>
    </x:xf>
    <x:xf numFmtId="164" fontId="30" fillId="9" borderId="2" xfId="0" applyFont="1" applyBorder="1" applyAlignment="1">
      <x:alignment horizontal="center" vertical="center" wrapText="1"/>
    </x:xf>
    <x:xf numFmtId="164" fontId="25" fillId="0" borderId="2" xfId="0" applyFont="1" applyBorder="1" applyAlignment="1">
      <x:alignment horizontal="general" vertical="center" wrapText="0"/>
    </x:xf>
    <x:xf numFmtId="164" fontId="18" fillId="8" borderId="2" xfId="0" applyFont="1" applyBorder="1" applyAlignment="1">
      <x:alignment horizontal="general" vertical="center" wrapText="0"/>
    </x:xf>
    <x:xf numFmtId="173" fontId="19" fillId="8" borderId="2" xfId="0" applyFont="1" applyBorder="1" applyAlignment="1">
      <x:alignment horizontal="right" vertical="center" wrapText="0"/>
    </x:xf>
    <x:xf numFmtId="175" fontId="24" fillId="0" borderId="2" xfId="0" applyFont="1" applyBorder="1" applyAlignment="1">
      <x:alignment horizontal="general" vertical="center" wrapText="0"/>
    </x:xf>
    <x:xf numFmtId="172" fontId="24" fillId="0" borderId="2" xfId="0" applyFont="1" applyBorder="1" applyAlignment="1">
      <x:alignment horizontal="general" vertical="center" wrapText="0"/>
    </x:xf>
    <x:xf numFmtId="164" fontId="31" fillId="7" borderId="2" xfId="0" applyFont="1" applyBorder="1" applyAlignment="1">
      <x:alignment horizontal="center" vertical="center" wrapText="0"/>
    </x:xf>
    <x:xf numFmtId="164" fontId="32" fillId="0" borderId="2" xfId="0" applyFont="1" applyBorder="1" applyAlignment="1">
      <x:alignment horizontal="center" vertical="center" wrapText="1"/>
    </x:xf>
    <x:xf numFmtId="176" fontId="24" fillId="0" borderId="2" xfId="0" applyFont="1" applyBorder="1" applyAlignment="1">
      <x:alignment horizontal="general" vertical="center" wrapText="0"/>
    </x:xf>
    <x:xf numFmtId="164" fontId="8" fillId="3" borderId="3" xfId="0" applyFont="1" applyBorder="1" applyAlignment="1">
      <x:alignment horizontal="left" vertical="center" wrapText="0"/>
    </x:xf>
    <x:xf numFmtId="164" fontId="0" fillId="0" borderId="0" xfId="0" applyFont="0" applyBorder="0" applyAlignment="1">
      <x:alignment horizontal="center" vertical="bottom" wrapText="0"/>
    </x:xf>
    <x:xf numFmtId="177" fontId="33" fillId="0" borderId="0" xfId="0" applyFont="0" applyBorder="0" applyAlignment="0">
      <x:alignment horizontal="general" vertical="bottom" wrapText="0"/>
    </x:xf>
    <x:xf numFmtId="178" fontId="33" fillId="0" borderId="0" xfId="0" applyFont="0" applyBorder="0" applyAlignment="1">
      <x:alignment horizontal="center" vertical="bottom" wrapText="0"/>
    </x:xf>
    <x:xf numFmtId="178" fontId="33" fillId="0" borderId="0" xfId="0" applyFont="0" applyBorder="0" applyAlignment="0">
      <x:alignment horizontal="general" vertical="bottom" wrapText="0"/>
    </x:xf>
    <x:xf numFmtId="178" fontId="33" fillId="10" borderId="0" xfId="0" applyFont="0" applyBorder="0" applyAlignment="1">
      <x:alignment horizontal="center" vertical="bottom" wrapText="0"/>
    </x:xf>
    <x:xf numFmtId="178" fontId="33" fillId="10" borderId="0" xfId="0" applyFont="0" applyBorder="0" applyAlignment="0">
      <x:alignment horizontal="general" vertical="bottom" wrapText="0"/>
    </x:xf>
    <x:xf numFmtId="164" fontId="34" fillId="11" borderId="4" xfId="0" applyFont="1" applyBorder="1" applyAlignment="1">
      <x:alignment horizontal="general" vertical="center" wrapText="0"/>
    </x:xf>
    <x:xf numFmtId="164" fontId="34" fillId="11" borderId="4" xfId="0" applyFont="1" applyBorder="1" applyAlignment="1">
      <x:alignment horizontal="center" vertical="center" wrapText="0"/>
    </x:xf>
    <x:xf numFmtId="164" fontId="34" fillId="12" borderId="5" xfId="0" applyFont="1" applyBorder="1" applyAlignment="1">
      <x:alignment horizontal="center" vertical="center" wrapText="1"/>
    </x:xf>
    <x:xf numFmtId="164" fontId="35" fillId="12" borderId="5" xfId="0" applyFont="1" applyBorder="1" applyAlignment="1">
      <x:alignment horizontal="center" vertical="center" wrapText="1"/>
    </x:xf>
    <x:xf numFmtId="164" fontId="34" fillId="12" borderId="6" xfId="0" applyFont="1" applyBorder="1" applyAlignment="1">
      <x:alignment horizontal="center" vertical="center" wrapText="1"/>
    </x:xf>
    <x:xf numFmtId="164" fontId="35" fillId="12" borderId="6" xfId="0" applyFont="1" applyBorder="1" applyAlignment="1">
      <x:alignment horizontal="center" vertical="center" wrapText="1"/>
    </x:xf>
    <x:xf numFmtId="164" fontId="34" fillId="12" borderId="6" xfId="0" applyFont="1" applyBorder="1" applyAlignment="1">
      <x:alignment horizontal="left" vertical="center" wrapText="0"/>
    </x:xf>
    <x:xf numFmtId="164" fontId="36" fillId="13" borderId="7" xfId="0" applyFont="1" applyBorder="1" applyAlignment="1">
      <x:alignment horizontal="center" vertical="center" wrapText="0"/>
    </x:xf>
    <x:xf numFmtId="164" fontId="36" fillId="13" borderId="8" xfId="0" applyFont="1" applyBorder="1" applyAlignment="1">
      <x:alignment horizontal="center" vertical="center" wrapText="0"/>
    </x:xf>
    <x:xf numFmtId="164" fontId="37" fillId="13" borderId="8" xfId="0" applyFont="1" applyBorder="1" applyAlignment="1">
      <x:alignment horizontal="left" vertical="center" wrapText="0"/>
    </x:xf>
    <x:xf numFmtId="164" fontId="36" fillId="13" borderId="9" xfId="0" applyFont="1" applyBorder="1" applyAlignment="1">
      <x:alignment horizontal="center" vertical="center" wrapText="0"/>
    </x:xf>
    <x:xf numFmtId="170" fontId="38" fillId="13" borderId="0" xfId="0" applyFont="1" applyBorder="0" applyAlignment="1">
      <x:alignment horizontal="center" vertical="center" wrapText="0"/>
    </x:xf>
    <x:xf numFmtId="164" fontId="39" fillId="0" borderId="10" xfId="0" applyFont="1" applyBorder="1" applyAlignment="1">
      <x:alignment horizontal="center" vertical="center" wrapText="0"/>
    </x:xf>
    <x:xf numFmtId="164" fontId="39" fillId="0" borderId="11" xfId="0" applyFont="1" applyBorder="1" applyAlignment="1">
      <x:alignment horizontal="center" vertical="center" wrapText="0"/>
    </x:xf>
    <x:xf numFmtId="164" fontId="40" fillId="0" borderId="11" xfId="0" applyFont="1" applyBorder="1" applyAlignment="1">
      <x:alignment horizontal="left" vertical="center" wrapText="0"/>
    </x:xf>
    <x:xf numFmtId="164" fontId="39" fillId="0" borderId="12" xfId="0" applyFont="1" applyBorder="1" applyAlignment="1">
      <x:alignment horizontal="center" vertical="center" wrapText="0"/>
    </x:xf>
    <x:xf numFmtId="170" fontId="41" fillId="0" borderId="0" xfId="19" applyFont="1" applyBorder="1" applyAlignment="1">
      <x:alignment horizontal="center" vertical="center" wrapText="0"/>
    </x:xf>
    <x:xf numFmtId="164" fontId="39" fillId="14" borderId="10" xfId="0" applyFont="1" applyBorder="1" applyAlignment="1">
      <x:alignment horizontal="center" vertical="center" wrapText="0"/>
    </x:xf>
    <x:xf numFmtId="164" fontId="39" fillId="14" borderId="11" xfId="0" applyFont="1" applyBorder="1" applyAlignment="1">
      <x:alignment horizontal="center" vertical="center" wrapText="0"/>
    </x:xf>
    <x:xf numFmtId="164" fontId="40" fillId="14" borderId="11" xfId="0" applyFont="1" applyBorder="1" applyAlignment="1">
      <x:alignment horizontal="left" vertical="center" wrapText="0"/>
    </x:xf>
    <x:xf numFmtId="164" fontId="39" fillId="14" borderId="12" xfId="0" applyFont="1" applyBorder="1" applyAlignment="1">
      <x:alignment horizontal="center" vertical="center" wrapText="0"/>
    </x:xf>
    <x:xf numFmtId="170" fontId="42" fillId="14" borderId="0" xfId="0" applyFont="1" applyBorder="0" applyAlignment="1">
      <x:alignment horizontal="center" vertical="center" wrapText="0"/>
    </x:xf>
    <x:xf numFmtId="164" fontId="39" fillId="14" borderId="13" xfId="0" applyFont="1" applyBorder="1" applyAlignment="1">
      <x:alignment horizontal="center" vertical="center" wrapText="0"/>
    </x:xf>
    <x:xf numFmtId="164" fontId="39" fillId="14" borderId="14" xfId="0" applyFont="1" applyBorder="1" applyAlignment="1">
      <x:alignment horizontal="center" vertical="center" wrapText="0"/>
    </x:xf>
    <x:xf numFmtId="164" fontId="40" fillId="14" borderId="14" xfId="0" applyFont="1" applyBorder="1" applyAlignment="1">
      <x:alignment horizontal="left" vertical="center" wrapText="0"/>
    </x:xf>
    <x:xf numFmtId="164" fontId="39" fillId="14" borderId="15" xfId="0" applyFont="1" applyBorder="1" applyAlignment="1">
      <x:alignment horizontal="center" vertical="center" wrapText="0"/>
    </x:xf>
    <x:xf numFmtId="164" fontId="34" fillId="11" borderId="0" xfId="0" applyFont="1" applyBorder="0" applyAlignment="1">
      <x:alignment horizontal="general" vertical="center" wrapText="0"/>
    </x:xf>
    <x:xf numFmtId="164" fontId="35" fillId="12" borderId="16" xfId="0" applyFont="1" applyBorder="1" applyAlignment="1">
      <x:alignment horizontal="center" vertical="center" wrapText="1"/>
    </x:xf>
    <x:xf numFmtId="164" fontId="35" fillId="12" borderId="16" xfId="0" applyFont="1" applyBorder="1" applyAlignment="1">
      <x:alignment horizontal="left" vertical="center" wrapText="0"/>
    </x:xf>
    <x:xf numFmtId="170" fontId="38" fillId="13" borderId="17" xfId="0" applyFont="1" applyBorder="1" applyAlignment="1">
      <x:alignment horizontal="center" vertical="center" wrapText="0"/>
    </x:xf>
    <x:xf numFmtId="170" fontId="38" fillId="13" borderId="18" xfId="0" applyFont="1" applyBorder="1" applyAlignment="1">
      <x:alignment horizontal="center" vertical="center" wrapText="0"/>
    </x:xf>
    <x:xf numFmtId="170" fontId="42" fillId="0" borderId="17" xfId="19" applyFont="1" applyBorder="1" applyAlignment="1">
      <x:alignment horizontal="center" vertical="center" wrapText="0"/>
    </x:xf>
    <x:xf numFmtId="170" fontId="42" fillId="0" borderId="19" xfId="19" applyFont="1" applyBorder="1" applyAlignment="1">
      <x:alignment horizontal="center" vertical="center" wrapText="0"/>
    </x:xf>
    <x:xf numFmtId="170" fontId="42" fillId="14" borderId="17" xfId="0" applyFont="1" applyBorder="1" applyAlignment="1">
      <x:alignment horizontal="center" vertical="center" wrapText="0"/>
    </x:xf>
    <x:xf numFmtId="170" fontId="42" fillId="14" borderId="19" xfId="0" applyFont="1" applyBorder="1" applyAlignment="1">
      <x:alignment horizontal="center" vertical="center" wrapText="0"/>
    </x:xf>
    <x:xf numFmtId="164" fontId="39" fillId="14" borderId="20" xfId="0" applyFont="1" applyBorder="1" applyAlignment="1">
      <x:alignment horizontal="center" vertical="center" wrapText="0"/>
    </x:xf>
    <x:xf numFmtId="164" fontId="39" fillId="14" borderId="21" xfId="0" applyFont="1" applyBorder="1" applyAlignment="1">
      <x:alignment horizontal="center" vertical="center" wrapText="0"/>
    </x:xf>
    <x:xf numFmtId="164" fontId="40" fillId="14" borderId="21" xfId="0" applyFont="1" applyBorder="1" applyAlignment="1">
      <x:alignment horizontal="left" vertical="center" wrapText="0"/>
    </x:xf>
    <x:xf numFmtId="170" fontId="42" fillId="14" borderId="22" xfId="0" applyFont="1" applyBorder="1" applyAlignment="1">
      <x:alignment horizontal="center" vertical="center" wrapText="0"/>
    </x:xf>
    <x:xf numFmtId="170" fontId="42" fillId="14" borderId="23" xfId="0" applyFont="1" applyBorder="1" applyAlignment="1">
      <x:alignment horizontal="center" vertical="center" wrapText="0"/>
    </x:xf>
    <x:xf numFmtId="164" fontId="34" fillId="12" borderId="16" xfId="0" applyFont="1" applyBorder="1" applyAlignment="1">
      <x:alignment horizontal="center" vertical="center" wrapText="1"/>
    </x:xf>
    <x:xf numFmtId="164" fontId="36" fillId="13" borderId="8" xfId="0" applyFont="1" applyBorder="1" applyAlignment="1">
      <x:alignment horizontal="general" vertical="center" wrapText="0"/>
    </x:xf>
    <x:xf numFmtId="170" fontId="38" fillId="13" borderId="17" xfId="0" applyFont="1" applyBorder="1" applyAlignment="1">
      <x:alignment horizontal="general" vertical="center" wrapText="0"/>
    </x:xf>
    <x:xf numFmtId="180" fontId="39" fillId="0" borderId="11" xfId="15" applyFont="1" applyBorder="1" applyAlignment="1">
      <x:alignment horizontal="general" vertical="center" wrapText="0"/>
    </x:xf>
    <x:xf numFmtId="170" fontId="42" fillId="0" borderId="17" xfId="19" applyFont="1" applyBorder="1" applyAlignment="1">
      <x:alignment horizontal="general" vertical="center" wrapText="0"/>
    </x:xf>
    <x:xf numFmtId="180" fontId="39" fillId="14" borderId="11" xfId="15" applyFont="1" applyBorder="1" applyAlignment="1">
      <x:alignment horizontal="general" vertical="center" wrapText="0"/>
    </x:xf>
    <x:xf numFmtId="170" fontId="42" fillId="14" borderId="17" xfId="0" applyFont="1" applyBorder="1" applyAlignment="1">
      <x:alignment horizontal="general" vertical="center" wrapText="0"/>
    </x:xf>
    <x:xf numFmtId="170" fontId="42" fillId="0" borderId="17" xfId="19" applyFont="1" applyBorder="1" applyAlignment="1">
      <x:alignment horizontal="right" vertical="center" wrapText="0"/>
    </x:xf>
    <x:xf numFmtId="180" fontId="39" fillId="14" borderId="21" xfId="15" applyFont="1" applyBorder="1" applyAlignment="1">
      <x:alignment horizontal="general" vertical="center" wrapText="0"/>
    </x:xf>
    <x:xf numFmtId="170" fontId="42" fillId="14" borderId="22" xfId="0" applyFont="1" applyBorder="1" applyAlignment="1">
      <x:alignment horizontal="right" vertical="center" wrapText="0"/>
    </x:xf>
    <x:xf numFmtId="164" fontId="43" fillId="15" borderId="0" xfId="0" applyFont="1" applyBorder="1" applyAlignment="1">
      <x:alignment horizontal="left" vertical="center" wrapText="1"/>
    </x:xf>
    <x:xf numFmtId="164" fontId="41" fillId="0" borderId="0" xfId="0" applyFont="1" applyBorder="0" applyAlignment="0">
      <x:alignment horizontal="general" vertical="bottom" wrapText="0"/>
    </x:xf>
    <x:xf numFmtId="181" fontId="33" fillId="0" borderId="0" xfId="0" applyFont="0" applyBorder="0" applyAlignment="0">
      <x:alignment horizontal="general" vertical="bottom" wrapText="0"/>
    </x:xf>
    <x:xf numFmtId="164" fontId="0" fillId="10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33" fillId="0" borderId="0" xfId="0" applyFont="1" applyBorder="0" applyAlignment="0">
      <x:alignment horizontal="general" vertical="bottom" wrapText="0"/>
    </x:xf>
    <x:xf numFmtId="170" fontId="33" fillId="10" borderId="0" xfId="0" applyFont="0" applyBorder="0" applyAlignment="1">
      <x:alignment horizontal="left" vertical="bottom" wrapText="0"/>
    </x:xf>
    <x:xf numFmtId="164" fontId="6" fillId="2" borderId="0" xfId="24" applyFont="1" applyBorder="1" applyAlignment="1">
      <x:alignment horizontal="center" vertical="bottom" wrapText="0"/>
    </x:xf>
    <x:xf numFmtId="178" fontId="46" fillId="0" borderId="0" xfId="24" applyFont="1" applyBorder="0" applyAlignment="0">
      <x:alignment horizontal="general" vertical="bottom" wrapText="0"/>
    </x:xf>
    <x:xf numFmtId="164" fontId="47" fillId="5" borderId="2" xfId="24" applyFont="1" applyBorder="1" applyAlignment="1">
      <x:alignment horizontal="center" vertical="center" wrapText="1"/>
    </x:xf>
    <x:xf numFmtId="182" fontId="11" fillId="0" borderId="2" xfId="24" applyFont="1" applyBorder="1" applyAlignment="1">
      <x:alignment horizontal="center" vertical="center" wrapText="1"/>
    </x:xf>
    <x:xf numFmtId="164" fontId="6" fillId="2" borderId="0" xfId="24" applyFont="1" applyBorder="1" applyAlignment="1">
      <x:alignment horizontal="center" vertical="center" wrapText="0"/>
    </x:xf>
    <x:xf numFmtId="164" fontId="34" fillId="3" borderId="2" xfId="24" applyFont="1" applyBorder="1" applyAlignment="1">
      <x:alignment horizontal="center" vertical="center" wrapText="1"/>
    </x:xf>
    <x:xf numFmtId="172" fontId="47" fillId="5" borderId="2" xfId="24" applyFont="1" applyBorder="1" applyAlignment="1">
      <x:alignment horizontal="center" vertical="center" wrapText="1"/>
    </x:xf>
    <x:xf numFmtId="170" fontId="49" fillId="0" borderId="2" xfId="24" applyFont="1" applyBorder="1" applyAlignment="1">
      <x:alignment horizontal="center" vertical="center" wrapText="1"/>
    </x:xf>
    <x:xf numFmtId="170" fontId="40" fillId="0" borderId="0" xfId="24" applyFont="1" applyBorder="0" applyAlignment="0">
      <x:alignment horizontal="general" vertical="bottom" wrapText="0"/>
    </x:xf>
    <x:xf numFmtId="183" fontId="40" fillId="0" borderId="0" xfId="24" applyFont="1" applyBorder="0" applyAlignment="0">
      <x:alignment horizontal="general" vertical="bottom" wrapText="0"/>
    </x:xf>
    <x:xf numFmtId="164" fontId="40" fillId="0" borderId="0" xfId="0" applyFont="1" applyBorder="0" applyAlignment="0">
      <x:alignment horizontal="general" vertical="bottom" wrapText="0"/>
    </x:xf>
    <x:xf numFmtId="164" fontId="46" fillId="0" borderId="0" xfId="24" applyFont="1" applyBorder="0" applyAlignment="0">
      <x:alignment horizontal="general" vertical="bottom" wrapText="0"/>
    </x:xf>
    <x:xf numFmtId="170" fontId="4" fillId="0" borderId="0" xfId="0" applyFont="1" applyBorder="0" applyAlignment="0">
      <x:alignment horizontal="general" vertical="bottom" wrapText="0"/>
    </x:xf>
    <x:xf numFmtId="184" fontId="46" fillId="0" borderId="0" xfId="24" applyFont="1" applyBorder="0" applyAlignment="0">
      <x:alignment horizontal="general" vertical="bottom" wrapText="0"/>
    </x:xf>
    <x:xf numFmtId="164" fontId="50" fillId="0" borderId="0" xfId="24" applyFont="1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72" fontId="5" fillId="0" borderId="0" xfId="24" applyFont="1" applyBorder="0" applyAlignment="0">
      <x:alignment horizontal="general" vertical="bottom" wrapText="0"/>
    </x:xf>
    <x:xf numFmtId="164" fontId="51" fillId="2" borderId="0" xfId="24" applyFont="1" applyBorder="1" applyAlignment="1">
      <x:alignment horizontal="center" vertical="center" wrapText="1"/>
    </x:xf>
    <x:xf numFmtId="164" fontId="52" fillId="0" borderId="0" xfId="24" applyFont="1" applyBorder="1" applyAlignment="0">
      <x:alignment horizontal="general" vertical="bottom" wrapText="0"/>
    </x:xf>
    <x:xf numFmtId="164" fontId="53" fillId="0" borderId="0" xfId="24" applyFont="1" applyBorder="1" applyAlignment="1">
      <x:alignment horizontal="right" vertical="bottom" wrapText="0"/>
    </x:xf>
    <x:xf numFmtId="164" fontId="34" fillId="3" borderId="0" xfId="24" applyFont="1" applyBorder="1" applyAlignment="1">
      <x:alignment horizontal="left" vertical="center" wrapText="0"/>
    </x:xf>
    <x:xf numFmtId="164" fontId="9" fillId="5" borderId="2" xfId="24" applyFont="1" applyBorder="1" applyAlignment="1">
      <x:alignment horizontal="center" vertical="center" wrapText="1"/>
    </x:xf>
    <x:xf numFmtId="182" fontId="54" fillId="0" borderId="2" xfId="24" applyFont="1" applyBorder="1" applyAlignment="1">
      <x:alignment horizontal="center" vertical="center" wrapText="1"/>
    </x:xf>
    <x:xf numFmtId="170" fontId="55" fillId="0" borderId="2" xfId="24" applyFont="1" applyBorder="1" applyAlignment="1">
      <x:alignment horizontal="center" vertical="center" wrapText="1"/>
    </x:xf>
    <x:xf numFmtId="170" fontId="54" fillId="0" borderId="2" xfId="24" applyFont="1" applyBorder="1" applyAlignment="1">
      <x:alignment horizontal="center" vertical="center" wrapText="1"/>
    </x:xf>
    <x:xf numFmtId="185" fontId="54" fillId="0" borderId="2" xfId="24" applyFont="1" applyBorder="1" applyAlignment="1">
      <x:alignment horizontal="center" vertical="center" wrapText="1"/>
    </x:xf>
    <x:xf numFmtId="164" fontId="56" fillId="0" borderId="2" xfId="24" applyFont="1" applyBorder="1" applyAlignment="1">
      <x:alignment horizontal="left" vertical="center" wrapText="0"/>
    </x:xf>
    <x:xf numFmtId="170" fontId="57" fillId="0" borderId="2" xfId="24" applyFont="1" applyBorder="1" applyAlignment="1">
      <x:alignment horizontal="center" vertical="center" wrapText="1"/>
    </x:xf>
    <x:xf numFmtId="164" fontId="58" fillId="0" borderId="2" xfId="24" applyFont="1" applyBorder="1" applyAlignment="1">
      <x:alignment horizontal="left" vertical="center" wrapText="0"/>
    </x:xf>
    <x:xf numFmtId="175" fontId="57" fillId="0" borderId="2" xfId="24" applyFont="1" applyBorder="1" applyAlignment="1">
      <x:alignment horizontal="center" vertical="center" wrapText="1"/>
    </x:xf>
    <x:xf numFmtId="171" fontId="57" fillId="0" borderId="2" xfId="24" applyFont="1" applyBorder="1" applyAlignment="1">
      <x:alignment horizontal="center" vertical="center" wrapText="1"/>
    </x:xf>
    <x:xf numFmtId="185" fontId="57" fillId="0" borderId="2" xfId="24" applyFont="1" applyBorder="1" applyAlignment="1">
      <x:alignment horizontal="center" vertical="center" wrapText="1"/>
    </x:xf>
    <x:xf numFmtId="164" fontId="60" fillId="0" borderId="0" xfId="24" applyFont="1" applyBorder="0" applyAlignment="0">
      <x:alignment horizontal="general" vertical="bottom" wrapText="0"/>
    </x:xf>
    <x:xf numFmtId="164" fontId="64" fillId="0" borderId="0" xfId="24" applyFont="1" applyBorder="0" applyAlignment="0">
      <x:alignment horizontal="general" vertical="bottom" wrapText="0"/>
    </x:xf>
    <x:xf numFmtId="164" fontId="66" fillId="0" borderId="0" xfId="24" applyFont="1" applyBorder="0" applyAlignment="1">
      <x:alignment horizontal="general" vertical="center" wrapText="0"/>
    </x:xf>
    <x:xf numFmtId="164" fontId="9" fillId="0" borderId="0" xfId="24" applyFont="1" applyBorder="0" applyAlignment="1">
      <x:alignment horizontal="general" vertical="center" wrapText="0"/>
    </x:xf>
    <x:xf numFmtId="164" fontId="49" fillId="0" borderId="0" xfId="24" applyFont="1" applyBorder="1" applyAlignment="1">
      <x:alignment horizontal="general" vertical="center" wrapText="1"/>
    </x:xf>
    <x:xf numFmtId="164" fontId="67" fillId="0" borderId="0" xfId="24" applyFont="1" applyBorder="1" applyAlignment="1">
      <x:alignment horizontal="general" vertical="center" wrapText="1"/>
    </x:xf>
    <x:xf numFmtId="164" fontId="49" fillId="0" borderId="0" xfId="24" applyFont="1" applyBorder="0" applyAlignment="1">
      <x:alignment horizontal="general" vertical="center" wrapText="0"/>
    </x:xf>
    <x:xf numFmtId="164" fontId="40" fillId="0" borderId="0" xfId="24" applyFont="1" applyBorder="0" applyAlignment="1">
      <x:alignment horizontal="general" vertical="center" wrapText="0"/>
    </x:xf>
    <x:xf numFmtId="164" fontId="10" fillId="0" borderId="0" xfId="24" applyFont="1" applyBorder="0" applyAlignment="1">
      <x:alignment horizontal="general" vertical="center" wrapText="0"/>
    </x:xf>
    <x:xf numFmtId="171" fontId="12" fillId="6" borderId="2" xfId="24" applyFont="1" applyBorder="1" applyAlignment="0">
      <x:alignment horizontal="general" vertical="bottom" wrapText="0"/>
    </x:xf>
    <x:xf numFmtId="164" fontId="12" fillId="6" borderId="2" xfId="24" applyFont="1" applyBorder="1" applyAlignment="0">
      <x:alignment horizontal="general" vertical="bottom" wrapText="0"/>
    </x:xf>
    <x:xf numFmtId="182" fontId="0" fillId="0" borderId="0" xfId="0" applyNumberFormat="1" applyFont="1" applyFill="1" applyBorder="1" applyAlignment="1">
      <x:alignment horizontal="general" vertical="bottom" wrapText="0"/>
    </x:xf>
    <x:xf numFmtId="200" fontId="1" fillId="0" borderId="0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176" fontId="0" fillId="0" borderId="0" xfId="0" applyNumberFormat="1" applyFont="1" applyFill="1" applyBorder="1" applyAlignment="1">
      <x:alignment horizontal="general" vertical="bottom" wrapText="0"/>
    </x:xf>
    <x:xf numFmtId="201" fontId="14" fillId="0" borderId="0" xfId="0" applyNumberFormat="1" applyFont="1" applyFill="1" applyBorder="1" applyAlignment="1">
      <x:alignment horizontal="general" vertical="bottom" wrapText="0"/>
    </x:xf>
    <x:xf numFmtId="170" fontId="0" fillId="0" borderId="0" xfId="0" applyNumberFormat="1" applyFont="1" applyFill="1" applyBorder="1" applyAlignment="1">
      <x:alignment horizontal="general" vertical="bottom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Percent" xfId="25"/>
  </x:cellStyles>
  <x:dxfs count="41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4F81BD"/>
        </x:patternFill>
      </x:fill>
    </x:dxf>
    <x:dxf>
      <x:fill>
        <x:patternFill>
          <x:bgColor rgb="FFDCE6F1"/>
        </x:patternFill>
      </x:fill>
    </x:dxf>
    <x:dxf>
      <x:fill>
        <x:patternFill>
          <x:bgColor rgb="FFEAF2F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1F1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9C0006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008000"/>
        </x:patternFill>
      </x:fill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000000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diagonal/>
      </x:border>
    </x:dxf>
    <x:dxf>
      <x:border>
        <x:left style="thin">
          <x:color theme="4"/>
        </x:left>
        <x:right/>
        <x:top/>
        <x:bottom/>
        <x:diagonal/>
      </x:border>
    </x:dxf>
    <x:dxf>
      <x:border>
        <x:left style="thin">
          <x:color theme="4"/>
        </x:left>
        <x:right/>
        <x:top/>
        <x:bottom/>
        <x:diagonal/>
      </x:border>
    </x:dxf>
    <x:dxf>
      <x:border>
        <x:left/>
        <x:right/>
        <x:top style="thin">
          <x:color theme="4"/>
        </x:top>
        <x:bottom/>
        <x:diagonal/>
      </x:border>
    </x:dxf>
    <x:dxf>
      <x:border>
        <x:left/>
        <x:right/>
        <x:top style="thin">
          <x:color theme="4"/>
        </x:top>
        <x:bottom/>
        <x:diagonal/>
      </x:border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355E84"/>
      <x:rgbColor rgb="FFBFBFBF"/>
      <x:rgbColor rgb="FF4F81BD"/>
      <x:rgbColor rgb="54A6A6A6"/>
      <x:rgbColor rgb="FF595959"/>
      <x:rgbColor rgb="FFFFF2CC"/>
      <x:rgbColor rgb="FFEAF2F8"/>
      <x:rgbColor rgb="FF660066"/>
      <x:rgbColor rgb="FFD9E2F3"/>
      <x:rgbColor rgb="FF1F4E78"/>
      <x:rgbColor rgb="FFB4C6E7"/>
      <x:rgbColor rgb="FF000080"/>
      <x:rgbColor rgb="FFFF00FF"/>
      <x:rgbColor rgb="FFF7F7F7"/>
      <x:rgbColor rgb="FF00FFFF"/>
      <x:rgbColor rgb="FF800080"/>
      <x:rgbColor rgb="FF800000"/>
      <x:rgbColor rgb="FF008080"/>
      <x:rgbColor rgb="FF0000FF"/>
      <x:rgbColor rgb="FF00CCFF"/>
      <x:rgbColor rgb="FFEAF0F8"/>
      <x:rgbColor rgb="FFE2F0D9"/>
      <x:rgbColor rgb="FFFCE4D6"/>
      <x:rgbColor rgb="FFB3B3B3"/>
      <x:rgbColor rgb="FFD9E1F2"/>
      <x:rgbColor rgb="FFD9D9D9"/>
      <x:rgbColor rgb="FFFAC090"/>
      <x:rgbColor rgb="FF4472C4"/>
      <x:rgbColor rgb="FF33CCCC"/>
      <x:rgbColor rgb="FF9BBB59"/>
      <x:rgbColor rgb="FFDCE6F1"/>
      <x:rgbColor rgb="FFF2F4F8"/>
      <x:rgbColor rgb="FFFF6600"/>
      <x:rgbColor rgb="FF666666"/>
      <x:rgbColor rgb="FFA6A6A6"/>
      <x:rgbColor rgb="FF1F3864"/>
      <x:rgbColor rgb="FF339966"/>
      <x:rgbColor rgb="FF006100"/>
      <x:rgbColor rgb="FF333300"/>
      <x:rgbColor rgb="FF993300"/>
      <x:rgbColor rgb="FF993366"/>
      <x:rgbColor rgb="FF2E5496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5755847654f06" /><Relationship Type="http://schemas.openxmlformats.org/officeDocument/2006/relationships/theme" Target="/xl/theme/theme1.xml" Id="Rc97293d662534e50" /><Relationship Type="http://schemas.openxmlformats.org/officeDocument/2006/relationships/sharedStrings" Target="/xl/sharedStrings.xml" Id="Rd77676b7e91242fd" /><Relationship Type="http://schemas.openxmlformats.org/officeDocument/2006/relationships/worksheet" Target="/xl/worksheets/sheet1.xml" Id="R2cd9dabfe9764b1f" /><Relationship Type="http://schemas.openxmlformats.org/officeDocument/2006/relationships/worksheet" Target="/xl/worksheets/sheet2.xml" Id="Rf49c11cacf2a4b56" /><Relationship Type="http://schemas.openxmlformats.org/officeDocument/2006/relationships/worksheet" Target="/xl/worksheets/sheet3.xml" Id="R16a7067cbe7d4ab9" /><Relationship Type="http://schemas.openxmlformats.org/officeDocument/2006/relationships/worksheet" Target="/xl/worksheets/sheet4.xml" Id="Rae56eb2b764b463c" /><Relationship Type="http://schemas.openxmlformats.org/officeDocument/2006/relationships/worksheet" Target="/xl/worksheets/sheet5.xml" Id="Ra651786707154bf5" /><Relationship Type="http://schemas.openxmlformats.org/officeDocument/2006/relationships/worksheet" Target="/xl/worksheets/sheet6.xml" Id="R48e9a14fa04b49be" /><Relationship Type="http://schemas.openxmlformats.org/officeDocument/2006/relationships/worksheet" Target="/xl/worksheets/sheet7.xml" Id="Rb283f843dab34aea" /><Relationship Type="http://schemas.openxmlformats.org/officeDocument/2006/relationships/worksheet" Target="/xl/worksheets/sheet8.xml" Id="Rd311257e73494cfd" /><Relationship Type="http://schemas.openxmlformats.org/officeDocument/2006/relationships/worksheet" Target="/xl/worksheets/sheet9.xml" Id="R7e8108d6e9034241" /><Relationship Type="http://schemas.openxmlformats.org/officeDocument/2006/relationships/worksheet" Target="/xl/worksheets/sheet10.xml" Id="Reb875fa8c3fe43da" /><Relationship Type="http://schemas.openxmlformats.org/officeDocument/2006/relationships/worksheet" Target="/xl/worksheets/sheet11.xml" Id="R7220c29c6fbf4a93" /><Relationship Type="http://schemas.openxmlformats.org/officeDocument/2006/relationships/worksheet" Target="/xl/worksheets/sheet12.xml" Id="Rf995bd568bd7464e" /><Relationship Type="http://schemas.openxmlformats.org/officeDocument/2006/relationships/worksheet" Target="/xl/worksheets/sheet13.xml" Id="R4432a45601df4596" /><Relationship Type="http://schemas.openxmlformats.org/officeDocument/2006/relationships/worksheet" Target="/xl/worksheets/sheet14.xml" Id="R381ddcc785fe487a" /><Relationship Type="http://schemas.openxmlformats.org/officeDocument/2006/relationships/worksheet" Target="/xl/worksheets/sheet15.xml" Id="R974d51938c26426d" /><Relationship Id="rId1" Type="http://schemas.openxmlformats.org/officeDocument/2006/relationships/externalLink" Target="externalLinks/externalLink1.xml"/><Relationship Id="rId2" Type="http://schemas.openxmlformats.org/officeDocument/2006/relationships/externalLink" Target="externalLinks/externalLink2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9e3253bd6440f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1307708d63e4b8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7328d1b9ea84e6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f946dadff5a461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1dc1f9ba31c4ed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38f52f410ca431d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54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686688"/>
        <c:axId val="-877507024"/>
      </c:lineChart>
      <c:dateAx>
        <c:axId val="-887686688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877507024"/>
        <c:crosses val="autoZero"/>
        <c:auto val="1"/>
        <c:lblOffset val="100"/>
        <c:baseTimeUnit val="days"/>
        <c:majorTimeUnit val="days"/>
      </c:dateAx>
      <c:valAx>
        <c:axId val="-87750702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686688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149648"/>
        <c:axId val="-203461904"/>
      </c:lineChart>
      <c:dateAx>
        <c:axId val="-20414964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203461904"/>
        <c:crosses val="autoZero"/>
        <c:auto val="1"/>
        <c:lblOffset val="100"/>
        <c:baseTimeUnit val="days"/>
        <c:majorTimeUnit val="days"/>
      </c:dateAx>
      <c:valAx>
        <c:axId val="-203461904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-204149648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53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197568"/>
        <c:axId val="-1786632464"/>
      </c:lineChart>
      <c:dateAx>
        <c:axId val="-887197568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2464"/>
        <c:crosses val="autoZero"/>
        <c:auto val="1"/>
        <c:lblOffset val="100"/>
        <c:baseTimeUnit val="days"/>
        <c:majorTimeUnit val="days"/>
      </c:dateAx>
      <c:valAx>
        <c:axId val="-178663246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197568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7568"/>
        <c:axId val="-1786629200"/>
      </c:lineChart>
      <c:dateAx>
        <c:axId val="-178662756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9200"/>
        <c:crosses val="autoZero"/>
        <c:auto val="1"/>
        <c:lblOffset val="100"/>
        <c:baseTimeUnit val="days"/>
        <c:majorTimeUnit val="days"/>
      </c:dateAx>
      <c:valAx>
        <c:axId val="-178662920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7568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18864"/>
        <c:axId val="-1786634096"/>
      </c:lineChart>
      <c:dateAx>
        <c:axId val="-178661886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4096"/>
        <c:crosses val="autoZero"/>
        <c:auto val="1"/>
        <c:lblOffset val="100"/>
        <c:baseTimeUnit val="days"/>
        <c:majorTimeUnit val="days"/>
      </c:dateAx>
      <c:valAx>
        <c:axId val="-178663409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18864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5392"/>
        <c:axId val="-1786624848"/>
      </c:lineChart>
      <c:dateAx>
        <c:axId val="-17866253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4848"/>
        <c:crosses val="autoZero"/>
        <c:auto val="1"/>
        <c:lblOffset val="100"/>
        <c:baseTimeUnit val="days"/>
        <c:majorTimeUnit val="days"/>
      </c:dateAx>
      <c:valAx>
        <c:axId val="-1786624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539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1</xdr:col>
      <xdr:colOff>941040</xdr:colOff>
      <xdr:row>7</xdr:row>
      <xdr:rowOff>113760</xdr:rowOff>
    </xdr:from>
    <xdr:to>
      <xdr:col>8</xdr:col>
      <xdr:colOff>1083240</xdr:colOff>
      <xdr:row>14</xdr:row>
      <xdr:rowOff>143640</xdr:rowOff>
    </xdr:to>
    <xdr:sp>
      <xdr:nvSpPr>
        <xdr:cNvPr id="1" name="矩形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13360" y="1654920"/>
          <a:ext cx="6416640" cy="12801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5400" b="0" u="none">
              <a:solidFill>
                <a:schemeClr val="lt1">
                  <a:lumMod val="65000"/>
                  <a:alpha val="33000"/>
                </a:schemeClr>
              </a:solidFill>
              <a:latin typeface="Times New Roman"/>
              <a:ea typeface="Times New Roman"/>
              <a:cs typeface="Times New Roman"/>
            </a:rPr>
            <a:t>内部材料，请勿外发</a:t>
          </a:r>
          <a:endParaRPr/>
        </a:p>
      </xdr:txBody>
    </xdr:sp>
    <xdr:clientData/>
  </xdr:twoCellAnchor>
  <xdr:twoCellAnchor editAs="oneCell">
    <xdr:from>
      <xdr:col>2</xdr:col>
      <xdr:colOff>63360</xdr:colOff>
      <xdr:row>23</xdr:row>
      <xdr:rowOff>144000</xdr:rowOff>
    </xdr:from>
    <xdr:to>
      <xdr:col>8</xdr:col>
      <xdr:colOff>1150560</xdr:colOff>
      <xdr:row>31</xdr:row>
      <xdr:rowOff>21960</xdr:rowOff>
    </xdr:to>
    <xdr:sp>
      <xdr:nvSpPr>
        <xdr:cNvPr id="2" name="矩形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80680" y="5092560"/>
          <a:ext cx="6416640" cy="12801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5400" b="0" u="none">
              <a:solidFill>
                <a:schemeClr val="lt1">
                  <a:lumMod val="65000"/>
                  <a:alpha val="33000"/>
                </a:schemeClr>
              </a:solidFill>
              <a:latin typeface="Times New Roman"/>
              <a:ea typeface="Times New Roman"/>
              <a:cs typeface="Times New Roman"/>
            </a:rPr>
            <a:t>内部材料，请勿外发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73800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9e3253bd6440f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1069200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07708d63e4b8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821880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28d1b9ea84e6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91440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46dadff5a46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144360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dc1f9ba31c4e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55800</xdr:colOff>
      <xdr:row>34</xdr:row>
      <xdr:rowOff>135720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8f52f410ca431d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ixin/Downloads/1090&#36134;&#25143;&#25237;&#39038;&#32452;&#21512;-&#25968;&#25454;&#35270;&#22270;-2026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90账户投顾组合-数据视图-20260825"/>
    </sheetNames>
    <sheetDataSet>
      <sheetData sheetId="0">
        <row r="3">
          <cell r="B3" t="str">
            <v>1.00000000</v>
          </cell>
        </row>
        <row r="4">
          <cell r="B4" t="str">
            <v>1.00141431</v>
          </cell>
        </row>
        <row r="5">
          <cell r="B5" t="str">
            <v>0.99948240</v>
          </cell>
        </row>
        <row r="6">
          <cell r="B6" t="str">
            <v>1.00138192</v>
          </cell>
        </row>
        <row r="7">
          <cell r="B7" t="str">
            <v>1.00327268</v>
          </cell>
        </row>
        <row r="8">
          <cell r="B8" t="str">
            <v>1.00086493</v>
          </cell>
        </row>
        <row r="9">
          <cell r="B9" t="str">
            <v>0.99528176</v>
          </cell>
        </row>
        <row r="10">
          <cell r="B10" t="str">
            <v>0.99645158</v>
          </cell>
        </row>
        <row r="11">
          <cell r="B11" t="str">
            <v>0.99563225</v>
          </cell>
        </row>
        <row r="12">
          <cell r="B12" t="str">
            <v>0.99480363</v>
          </cell>
        </row>
        <row r="13">
          <cell r="B13" t="str">
            <v>0.99491291</v>
          </cell>
        </row>
        <row r="14">
          <cell r="B14" t="str">
            <v>0.99993265</v>
          </cell>
        </row>
        <row r="15">
          <cell r="B15" t="str">
            <v>0.99608736</v>
          </cell>
        </row>
        <row r="16">
          <cell r="B16" t="str">
            <v>0.99082824</v>
          </cell>
        </row>
        <row r="17">
          <cell r="B17" t="str">
            <v>0.99325571</v>
          </cell>
        </row>
        <row r="18">
          <cell r="B18" t="str">
            <v>0.99062576</v>
          </cell>
        </row>
        <row r="19">
          <cell r="B19" t="str">
            <v>0.98667073</v>
          </cell>
        </row>
        <row r="20">
          <cell r="B20" t="str">
            <v>0.98008903</v>
          </cell>
        </row>
        <row r="21">
          <cell r="B21" t="str">
            <v>0.97683759</v>
          </cell>
        </row>
        <row r="22">
          <cell r="B22" t="str">
            <v>0.98586080</v>
          </cell>
        </row>
        <row r="23">
          <cell r="B23" t="str">
            <v>0.98570780</v>
          </cell>
        </row>
        <row r="24">
          <cell r="B24" t="str">
            <v>0.98438731</v>
          </cell>
        </row>
        <row r="25">
          <cell r="B25" t="str">
            <v>0.98336003</v>
          </cell>
        </row>
        <row r="26">
          <cell r="B26" t="str">
            <v>0.98687417</v>
          </cell>
        </row>
        <row r="27">
          <cell r="B27" t="str">
            <v>0.98060895</v>
          </cell>
        </row>
        <row r="28">
          <cell r="B28" t="str">
            <v>0.98017950</v>
          </cell>
        </row>
        <row r="29">
          <cell r="B29" t="str">
            <v>0.97603230</v>
          </cell>
        </row>
        <row r="30">
          <cell r="B30" t="str">
            <v>0.97918283</v>
          </cell>
        </row>
        <row r="31">
          <cell r="B31" t="str">
            <v>0.97636941</v>
          </cell>
        </row>
        <row r="32">
          <cell r="B32" t="str">
            <v>0.98084157</v>
          </cell>
        </row>
        <row r="33">
          <cell r="B33" t="str">
            <v>0.98566565</v>
          </cell>
        </row>
        <row r="34">
          <cell r="B34" t="str">
            <v>0.98799038</v>
          </cell>
        </row>
        <row r="35">
          <cell r="B35" t="str">
            <v>0.99109277</v>
          </cell>
        </row>
        <row r="36">
          <cell r="B36" t="str">
            <v>0.99331943</v>
          </cell>
        </row>
        <row r="37">
          <cell r="B37" t="str">
            <v>0.99195087</v>
          </cell>
        </row>
        <row r="38">
          <cell r="B38" t="str">
            <v>0.99435477</v>
          </cell>
        </row>
        <row r="39">
          <cell r="B39" t="str">
            <v>0.99365888</v>
          </cell>
        </row>
        <row r="40">
          <cell r="B40" t="str">
            <v>0.99402653</v>
          </cell>
        </row>
        <row r="41">
          <cell r="B41" t="str">
            <v>0.99886999</v>
          </cell>
        </row>
        <row r="42">
          <cell r="B42" t="str">
            <v>0.99969241</v>
          </cell>
        </row>
        <row r="43">
          <cell r="B43" t="str">
            <v>0.99205678</v>
          </cell>
        </row>
        <row r="44">
          <cell r="B44" t="str">
            <v>0.99394669</v>
          </cell>
        </row>
        <row r="45">
          <cell r="B45" t="str">
            <v>0.99530294</v>
          </cell>
        </row>
        <row r="46">
          <cell r="B46" t="str">
            <v>0.99503994</v>
          </cell>
        </row>
      </sheetData>
    </sheetDataSet>
  </externalBook>
</externalLink>
</file>

<file path=xl/tables/table1.xml><?xml version="1.0" encoding="utf-8"?>
<x:table xmlns:x="http://schemas.openxmlformats.org/spreadsheetml/2006/main" id="1" name="表3" displayName="表3" ref="A7:I18" headerRowCount="1" totalsRowCount="0" totalsRowShown="0">
  <x:autoFilter ref="A7:I18"/>
  <x:tableColumns count="9">
    <x:tableColumn id="1" name="序号"/>
    <x:tableColumn id="2" name="基金代码"/>
    <x:tableColumn id="3" name="产品/基金名称"/>
    <x:tableColumn id="4" name="26Q2规模（亿元）"/>
    <x:tableColumn id="5" name="上周"/>
    <x:tableColumn id="6" name="上线以来"/>
    <x:tableColumn id="7" name="6/22-7/30"/>
    <x:tableColumn id="8" name="7.31至今"/>
    <x:tableColumn id="9" name="最大回撤（上线以来）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表3_2" displayName="表3_2" ref="A7:I18" headerRowCount="1" totalsRowCount="0" totalsRowShown="0">
  <x:autoFilter ref="A7:I18"/>
  <x:tableColumns count="9">
    <x:tableColumn id="1" name="序号"/>
    <x:tableColumn id="2" name="基金代码"/>
    <x:tableColumn id="3" name="产品/基金名称"/>
    <x:tableColumn id="4" name="26Q2规模（亿元）"/>
    <x:tableColumn id="5" name="上周"/>
    <x:tableColumn id="6" name="上线以来"/>
    <x:tableColumn id="7" name="6/22-7/30"/>
    <x:tableColumn id="8" name="7.31至今"/>
    <x:tableColumn id="9" name="最大回撤（上线以来）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39accfb5fd843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0dd81d49e5049f3" /><Relationship Type="http://schemas.openxmlformats.org/officeDocument/2006/relationships/table" Target="/xl/tables/table2.xml" Id="Rdab1d4ee237e49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c6aa956b3bcb4a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f2dc5b4824dd49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575916de67ef4e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3af110716fef44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6.xml" Id="R7a6d00aef5014e6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7.xml" Id="Rbe7f86313f2a48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17.450000762939453" hidden="0" customWidth="1"/>
    <x:col min="2" max="24" width="12.180000305175781" hidden="0" customWidth="1"/>
    <x:col min="25" max="26" width="9.8100004196167" hidden="0" customWidth="1"/>
    <x:col min="27" max="27" width="13.1899995803833" hidden="0" customWidth="1"/>
  </x:cols>
  <x:sheetData>
    <x:row r="1" ht="18.75" hidden="0" customHeight="1">
      <x:c r="A1" s="1" t="s">
        <x:v>0</x:v>
      </x:c>
      <x:c r="B1" s="1"/>
      <x:c r="C1" s="1"/>
    </x:row>
    <x:row r="2" ht="39" hidden="0" customHeight="1">
      <x:c r="A2" s="2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  <x:c r="R2" s="3" t="s">
        <x:v>18</x:v>
      </x:c>
      <x:c r="S2" s="3" t="s">
        <x:v>19</x:v>
      </x:c>
      <x:c r="T2" s="3" t="s">
        <x:v>20</x:v>
      </x:c>
      <x:c r="U2" s="3" t="s">
        <x:v>21</x:v>
      </x:c>
      <x:c r="V2" s="3" t="s">
        <x:v>22</x:v>
      </x:c>
      <x:c r="W2" s="3" t="s">
        <x:v>23</x:v>
      </x:c>
      <x:c r="X2" s="3" t="s">
        <x:v>24</x:v>
      </x:c>
      <x:c r="Y2" s="2" t="s">
        <x:v>25</x:v>
      </x:c>
      <x:c r="Z2" s="2" t="s">
        <x:v>26</x:v>
      </x:c>
      <x:c r="AA2" s="2" t="s">
        <x:v>27</x:v>
      </x:c>
    </x:row>
    <x:row r="3" ht="12.649999618530273" hidden="0">
      <x:c r="A3" s="2" t="s">
        <x:v>28</x:v>
      </x:c>
      <x:c r="B3" s="4" t="s">
        <x:v>29</x:v>
      </x:c>
      <x:c r="C3" s="4" t="s">
        <x:v>30</x:v>
      </x:c>
      <x:c r="D3" s="4" t="s">
        <x:v>31</x:v>
      </x:c>
      <x:c r="E3" s="4" t="s">
        <x:v>32</x:v>
      </x:c>
      <x:c r="F3" s="4" t="s">
        <x:v>33</x:v>
      </x:c>
      <x:c r="G3" s="4" t="s">
        <x:v>34</x:v>
      </x:c>
      <x:c r="H3" s="4" t="s">
        <x:v>35</x:v>
      </x:c>
      <x:c r="I3" s="4" t="s">
        <x:v>36</x:v>
      </x:c>
      <x:c r="J3" s="4" t="s">
        <x:v>37</x:v>
      </x:c>
      <x:c r="K3" s="4" t="s">
        <x:v>38</x:v>
      </x:c>
      <x:c r="L3" s="4" t="s">
        <x:v>39</x:v>
      </x:c>
      <x:c r="M3" s="4" t="s">
        <x:v>40</x:v>
      </x:c>
      <x:c r="N3" s="4" t="s">
        <x:v>41</x:v>
      </x:c>
      <x:c r="O3" s="4" t="s">
        <x:v>42</x:v>
      </x:c>
      <x:c r="P3" s="4" t="s">
        <x:v>43</x:v>
      </x:c>
      <x:c r="Q3" s="4" t="s">
        <x:v>44</x:v>
      </x:c>
      <x:c r="R3" s="4" t="s">
        <x:v>45</x:v>
      </x:c>
      <x:c r="S3" s="4" t="s">
        <x:v>46</x:v>
      </x:c>
      <x:c r="T3" s="4" t="s">
        <x:v>47</x:v>
      </x:c>
      <x:c r="U3" s="4" t="s">
        <x:v>48</x:v>
      </x:c>
      <x:c r="V3" s="4" t="s">
        <x:v>49</x:v>
      </x:c>
      <x:c r="W3" s="4" t="s">
        <x:v>50</x:v>
      </x:c>
      <x:c r="X3" s="4" t="s">
        <x:v>51</x:v>
      </x:c>
      <x:c r="Y3" s="4"/>
      <x:c r="Z3" s="4"/>
      <x:c r="AA3" s="4"/>
    </x:row>
    <x:row r="4" ht="12.649999618530273" hidden="0">
      <x:c r="A4" s="5" t="s">
        <x:v>52</x:v>
      </x:c>
      <x:c r="B4" s="6" t="n">
        <x:v>0</x:v>
      </x:c>
      <x:c r="C4" s="6" t="n">
        <x:v>0.02</x:v>
      </x:c>
      <x:c r="D4" s="6" t="n">
        <x:v>0.19</x:v>
      </x:c>
      <x:c r="E4" s="6" t="n">
        <x:v>0</x:v>
      </x:c>
      <x:c r="F4" s="6" t="n">
        <x:v>0</x:v>
      </x:c>
      <x:c r="G4" s="6" t="n">
        <x:v>0.11</x:v>
      </x:c>
      <x:c r="H4" s="6" t="n">
        <x:v>0</x:v>
      </x:c>
      <x:c r="I4" s="6" t="n">
        <x:v>0</x:v>
      </x:c>
      <x:c r="J4" s="6" t="n">
        <x:v>0.19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0.19</x:v>
      </x:c>
      <x:c r="Q4" s="6" t="n">
        <x:v>0.19</x:v>
      </x:c>
      <x:c r="R4" s="6" t="n">
        <x:v>0</x:v>
      </x:c>
      <x:c r="S4" s="6" t="n">
        <x:v>0</x:v>
      </x:c>
      <x:c r="T4" s="6" t="n">
        <x:v>0.11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7" t="n">
        <x:f aca="0">SUM(B4:X4)</x:f>
        <x:v>0.9999999999999999</x:v>
      </x:c>
      <x:c r="Z4" s="8" t="n">
        <x:v>0.015</x:v>
      </x:c>
      <x:c r="AA4" s="9" t="n">
        <x:v>46195</x:v>
      </x:c>
    </x:row>
    <x:row r="5" ht="12.649999618530273" hidden="0">
      <x:c r="A5" s="5" t="s">
        <x:v>53</x:v>
      </x:c>
      <x:c r="B5" s="6" t="n">
        <x:v>0</x:v>
      </x:c>
      <x:c r="C5" s="6" t="n">
        <x:v>0.02</x:v>
      </x:c>
      <x:c r="D5" s="6" t="n">
        <x:v>0.19</x:v>
      </x:c>
      <x:c r="E5" s="6" t="n">
        <x:v>0</x:v>
      </x:c>
      <x:c r="F5" s="6" t="n">
        <x:v>0</x:v>
      </x:c>
      <x:c r="G5" s="6" t="n">
        <x:v>0.11</x:v>
      </x:c>
      <x:c r="H5" s="6" t="n">
        <x:v>0</x:v>
      </x:c>
      <x:c r="I5" s="6" t="n">
        <x:v>0</x:v>
      </x:c>
      <x:c r="J5" s="6" t="n">
        <x:v>0.19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0.19</x:v>
      </x:c>
      <x:c r="Q5" s="6" t="n">
        <x:v>0.19</x:v>
      </x:c>
      <x:c r="R5" s="6" t="n">
        <x:v>0</x:v>
      </x:c>
      <x:c r="S5" s="6" t="n">
        <x:v>0</x:v>
      </x:c>
      <x:c r="T5" s="6" t="n">
        <x:v>0.11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7" t="n">
        <x:f aca="0">SUM(B5:X5)</x:f>
        <x:v>0.9999999999999999</x:v>
      </x:c>
      <x:c r="Z5" s="8" t="n">
        <x:v>0.012</x:v>
      </x:c>
      <x:c r="AA5" s="9" t="n">
        <x:v>46191</x:v>
      </x:c>
    </x:row>
    <x:row r="6" ht="12.649999618530273" hidden="0">
      <x:c r="A6" s="5" t="s">
        <x:v>54</x:v>
      </x:c>
      <x:c r="B6" s="6" t="n">
        <x:v>0</x:v>
      </x:c>
      <x:c r="C6" s="6" t="n">
        <x:v>0.02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0.11</x:v>
      </x:c>
      <x:c r="I6" s="6" t="n">
        <x:v>0.19</x:v>
      </x:c>
      <x:c r="J6" s="6" t="n">
        <x:v>0</x:v>
      </x:c>
      <x:c r="K6" s="6" t="n">
        <x:v>0.19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0.19</x:v>
      </x:c>
      <x:c r="S6" s="6" t="n">
        <x:v>0.19</x:v>
      </x:c>
      <x:c r="T6" s="6" t="n">
        <x:v>0</x:v>
      </x:c>
      <x:c r="U6" s="6" t="n">
        <x:v>0.11</x:v>
      </x:c>
      <x:c r="V6" s="6" t="n">
        <x:v>0</x:v>
      </x:c>
      <x:c r="W6" s="6" t="n">
        <x:v>0</x:v>
      </x:c>
      <x:c r="X6" s="6" t="n">
        <x:v>0</x:v>
      </x:c>
      <x:c r="Y6" s="7" t="n">
        <x:f aca="0">SUM(B6:X6)</x:f>
        <x:v>0.9999999999999999</x:v>
      </x:c>
      <x:c r="Z6" s="8" t="n">
        <x:v>0.015</x:v>
      </x:c>
      <x:c r="AA6" s="9" t="n">
        <x:v>46196</x:v>
      </x:c>
    </x:row>
    <x:row r="7" ht="12.649999618530273" hidden="0">
      <x:c r="A7" s="10" t="s">
        <x:v>55</x:v>
      </x:c>
      <x:c r="B7" s="6" t="n">
        <x:v>0.05</x:v>
      </x:c>
      <x:c r="C7" s="6" t="n">
        <x:v>0.02</x:v>
      </x:c>
      <x:c r="D7" s="6" t="n">
        <x:v>0</x:v>
      </x:c>
      <x:c r="E7" s="6" t="n">
        <x:v>0</x:v>
      </x:c>
      <x:c r="F7" s="6" t="n">
        <x:v>0.0125</x:v>
      </x:c>
      <x:c r="G7" s="6" t="n">
        <x:v>0</x:v>
      </x:c>
      <x:c r="H7" s="6" t="n">
        <x:v>0.005</x:v>
      </x:c>
      <x:c r="I7" s="6" t="n">
        <x:v>0.01</x:v>
      </x:c>
      <x:c r="J7" s="6" t="n">
        <x:v>0</x:v>
      </x:c>
      <x:c r="K7" s="6" t="n">
        <x:v>0.01</x:v>
      </x:c>
      <x:c r="L7" s="6" t="n">
        <x:v>0</x:v>
      </x:c>
      <x:c r="M7" s="6" t="n">
        <x:v>0.0125</x:v>
      </x:c>
      <x:c r="N7" s="6" t="n">
        <x:v>0</x:v>
      </x:c>
      <x:c r="O7" s="6" t="n">
        <x:v>0.0125</x:v>
      </x:c>
      <x:c r="P7" s="6" t="n">
        <x:v>0</x:v>
      </x:c>
      <x:c r="Q7" s="6" t="n">
        <x:v>0</x:v>
      </x:c>
      <x:c r="R7" s="6" t="n">
        <x:v>0.01</x:v>
      </x:c>
      <x:c r="S7" s="6" t="n">
        <x:v>0.01</x:v>
      </x:c>
      <x:c r="T7" s="6" t="n">
        <x:v>0</x:v>
      </x:c>
      <x:c r="U7" s="6" t="n">
        <x:v>0.005</x:v>
      </x:c>
      <x:c r="V7" s="6" t="n">
        <x:v>0</x:v>
      </x:c>
      <x:c r="W7" s="6" t="n">
        <x:v>0.0125</x:v>
      </x:c>
      <x:c r="X7" s="6" t="n">
        <x:v>0.83</x:v>
      </x:c>
      <x:c r="Y7" s="7" t="n">
        <x:f aca="0">SUM(B7:X7)</x:f>
        <x:v>1</x:v>
      </x:c>
      <x:c r="Z7" s="8" t="n">
        <x:v>0.008</x:v>
      </x:c>
      <x:c r="AA7" s="9" t="n">
        <x:v>46197</x:v>
      </x:c>
    </x:row>
    <x:row r="8" ht="12.649999618530273" hidden="0">
      <x:c r="A8" s="10" t="s">
        <x:v>56</x:v>
      </x:c>
      <x:c r="B8" s="6" t="n">
        <x:v>0.05</x:v>
      </x:c>
      <x:c r="C8" s="6" t="n">
        <x:v>0.02</x:v>
      </x:c>
      <x:c r="D8" s="6" t="n">
        <x:v>0.01</x:v>
      </x:c>
      <x:c r="E8" s="6" t="n">
        <x:v>0.0125</x:v>
      </x:c>
      <x:c r="F8" s="6" t="n">
        <x:v>0</x:v>
      </x:c>
      <x:c r="G8" s="6" t="n">
        <x:v>0.005</x:v>
      </x:c>
      <x:c r="H8" s="6" t="n">
        <x:v>0</x:v>
      </x:c>
      <x:c r="I8" s="6" t="n">
        <x:v>0</x:v>
      </x:c>
      <x:c r="J8" s="6" t="n">
        <x:v>0.01</x:v>
      </x:c>
      <x:c r="K8" s="6" t="n">
        <x:v>0</x:v>
      </x:c>
      <x:c r="L8" s="6" t="n">
        <x:v>0.0125</x:v>
      </x:c>
      <x:c r="M8" s="6" t="n">
        <x:v>0</x:v>
      </x:c>
      <x:c r="N8" s="6" t="n">
        <x:v>0.0125</x:v>
      </x:c>
      <x:c r="O8" s="6" t="n">
        <x:v>0</x:v>
      </x:c>
      <x:c r="P8" s="6" t="n">
        <x:v>0.01</x:v>
      </x:c>
      <x:c r="Q8" s="6" t="n">
        <x:v>0.01</x:v>
      </x:c>
      <x:c r="R8" s="6" t="n">
        <x:v>0</x:v>
      </x:c>
      <x:c r="S8" s="6" t="n">
        <x:v>0</x:v>
      </x:c>
      <x:c r="T8" s="6" t="n">
        <x:v>0.005</x:v>
      </x:c>
      <x:c r="U8" s="6" t="n">
        <x:v>0</x:v>
      </x:c>
      <x:c r="V8" s="6" t="n">
        <x:v>0.0125</x:v>
      </x:c>
      <x:c r="W8" s="6" t="n">
        <x:v>0</x:v>
      </x:c>
      <x:c r="X8" s="6" t="n">
        <x:v>0.83</x:v>
      </x:c>
      <x:c r="Y8" s="7" t="n">
        <x:f aca="0">SUM(B8:X8)</x:f>
        <x:v>1</x:v>
      </x:c>
      <x:c r="Z8" s="8" t="n">
        <x:v>0.005</x:v>
      </x:c>
      <x:c r="AA8" s="9" t="n">
        <x:v>46191</x:v>
      </x:c>
    </x:row>
    <x:row r="9" ht="12.649999618530273" hidden="0">
      <x:c r="A9" s="10" t="s">
        <x:v>57</x:v>
      </x:c>
      <x:c r="B9" s="6" t="n">
        <x:v>0.1</x:v>
      </x:c>
      <x:c r="C9" s="6" t="n">
        <x:v>0.02</x:v>
      </x:c>
      <x:c r="D9" s="6" t="n">
        <x:v>0</x:v>
      </x:c>
      <x:c r="E9" s="6" t="n">
        <x:v>0</x:v>
      </x:c>
      <x:c r="F9" s="6" t="n">
        <x:v>0.0375</x:v>
      </x:c>
      <x:c r="G9" s="6" t="n">
        <x:v>0</x:v>
      </x:c>
      <x:c r="H9" s="6" t="n">
        <x:v>0.015</x:v>
      </x:c>
      <x:c r="I9" s="6" t="n">
        <x:v>0.03</x:v>
      </x:c>
      <x:c r="J9" s="6" t="n">
        <x:v>0</x:v>
      </x:c>
      <x:c r="K9" s="6" t="n">
        <x:v>0.03</x:v>
      </x:c>
      <x:c r="L9" s="6" t="n">
        <x:v>0</x:v>
      </x:c>
      <x:c r="M9" s="6" t="n">
        <x:v>0.0375</x:v>
      </x:c>
      <x:c r="N9" s="6" t="n">
        <x:v>0</x:v>
      </x:c>
      <x:c r="O9" s="6" t="n">
        <x:v>0.0375</x:v>
      </x:c>
      <x:c r="P9" s="6" t="n">
        <x:v>0</x:v>
      </x:c>
      <x:c r="Q9" s="6" t="n">
        <x:v>0</x:v>
      </x:c>
      <x:c r="R9" s="6" t="n">
        <x:v>0.03</x:v>
      </x:c>
      <x:c r="S9" s="6" t="n">
        <x:v>0.03</x:v>
      </x:c>
      <x:c r="T9" s="6" t="n">
        <x:v>0</x:v>
      </x:c>
      <x:c r="U9" s="6" t="n">
        <x:v>0.015</x:v>
      </x:c>
      <x:c r="V9" s="6" t="n">
        <x:v>0</x:v>
      </x:c>
      <x:c r="W9" s="6" t="n">
        <x:v>0.0375</x:v>
      </x:c>
      <x:c r="X9" s="6" t="n">
        <x:v>0.58</x:v>
      </x:c>
      <x:c r="Y9" s="7" t="n">
        <x:f aca="0">SUM(B9:X9)</x:f>
        <x:v>0.9999999999999999</x:v>
      </x:c>
      <x:c r="Z9" s="8" t="n">
        <x:v>0.012</x:v>
      </x:c>
      <x:c r="AA9" s="9" t="n">
        <x:v>46197</x:v>
      </x:c>
    </x:row>
    <x:row r="10" ht="12.649999618530273" hidden="0"/>
    <x:row r="11" ht="14.25" hidden="0" customHeight="1">
      <x:c r="A11" s="11" t="s">
        <x:v>58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AC090"/>
  </x:sheetPr>
  <x:sheetViews>
    <x:sheetView showGridLines="0" workbookViewId="0"/>
  </x:sheetViews>
  <x:sheetFormatPr defaultColWidth="8.80859375" defaultRowHeight="12"/>
  <x:cols>
    <x:col min="1" max="1" width="18" hidden="0" customWidth="1"/>
    <x:col min="2" max="2" width="17" hidden="0" customWidth="1"/>
    <x:col min="3" max="3" width="29" hidden="0" customWidth="1"/>
    <x:col min="4" max="5" width="14" hidden="0" customWidth="1"/>
    <x:col min="6" max="6" width="15" hidden="0" customWidth="1"/>
    <x:col min="7" max="7" width="13" hidden="0" customWidth="1"/>
    <x:col min="8" max="10" width="15" hidden="0" customWidth="1"/>
    <x:col min="11" max="12" width="14" hidden="0" customWidth="1"/>
    <x:col min="13" max="18" width="0.18000000715255737" hidden="0" customWidth="1"/>
  </x:cols>
  <x:sheetData>
    <x:row r="1" ht="27.75" hidden="0" customHeight="1">
      <x:c r="A1" s="12" t="s">
        <x:v>59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4" hidden="0" customHeight="1">
      <x:c r="A2" s="13" t="s">
        <x:v>60</x:v>
      </x:c>
      <x:c r="B2" s="14" t="n">
        <x:f aca="0">$B$82</x:f>
        <x:v>46280</x:v>
      </x:c>
      <x:c r="C2" s="13" t="s">
        <x:v>61</x:v>
      </x:c>
      <x:c r="D2" s="13" t="s">
        <x:v>62</x:v>
      </x:c>
      <x:c r="E2" s="13"/>
      <x:c r="F2" s="13"/>
      <x:c r="G2" s="13"/>
      <x:c r="H2" s="13"/>
      <x:c r="I2" s="13" t="s">
        <x:v>63</x:v>
      </x:c>
      <x:c r="J2" s="15" t="n">
        <x:v>0.02</x:v>
      </x:c>
      <x:c r="K2" s="13" t="s">
        <x:v>64</x:v>
      </x:c>
      <x:c r="L2" s="15" t="n">
        <x:v>0.2</x:v>
      </x:c>
    </x:row>
    <x:row r="3" ht="27.75" hidden="0" customHeight="1">
      <x:c r="A3" s="16" t="s">
        <x:v>65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5" ht="21" hidden="0" customHeight="1">
      <x:c r="A5" s="17" t="s">
        <x:v>66</x:v>
      </x:c>
      <x:c r="B5" s="17"/>
      <x:c r="C5" s="17"/>
      <x:c r="D5" s="17"/>
      <x:c r="E5" s="17"/>
      <x:c r="F5" s="18" t="s">
        <x:v>67</x:v>
      </x:c>
      <x:c r="G5" s="19" t="n">
        <x:f aca="0">$B$82</x:f>
        <x:v>46280</x:v>
      </x:c>
    </x:row>
    <x:row r="6" ht="27.75" hidden="0" customHeight="1">
      <x:c r="A6" s="20" t="s">
        <x:v>68</x:v>
      </x:c>
      <x:c r="B6" s="20" t="s">
        <x:v>28</x:v>
      </x:c>
      <x:c r="C6" s="20" t="s">
        <x:v>1</x:v>
      </x:c>
      <x:c r="D6" s="20" t="s">
        <x:v>69</x:v>
      </x:c>
      <x:c r="E6" s="20" t="s">
        <x:v>70</x:v>
      </x:c>
      <x:c r="F6" s="20" t="s">
        <x:v>71</x:v>
      </x:c>
      <x:c r="G6" s="20" t="s">
        <x:v>72</x:v>
      </x:c>
    </x:row>
    <x:row r="7" ht="12.649999618530273" hidden="0">
      <x:c r="A7" s="13" t="str">
        <x:f aca="0">IF(B7&lt;&gt;"","产业趋势","")</x:f>
      </x:c>
      <x:c r="B7" s="21" t="str">
        <x:f aca="0">IFERROR(INDEX($A$53:$A$78,MATCH(1,M$53:M$78,0)),"")</x:f>
      </x:c>
      <x:c r="C7" s="21" t="str">
        <x:f aca="0">IFERROR(INDEX($B$53:$B$78,MATCH(1,M$53:M$78,0)),"")</x:f>
      </x:c>
      <x:c r="D7" s="21" t="str">
        <x:f aca="0">IFERROR(INDEX($E$53:$E$78,MATCH(1,M$53:M$78,0)),"")</x:f>
      </x:c>
      <x:c r="E7" s="22" t="str">
        <x:f aca="0">IFERROR(INDEX(G$53:G$78,MATCH(1,M$53:M$78,0)),"")</x:f>
      </x:c>
      <x:c r="F7" s="23" t="str">
        <x:f aca="0">IF(B7="","",IF(D7&lt;&gt;"主动","不适用",IF(E7&gt;$L$2,"超限","正常")))</x:f>
      </x:c>
      <x:c r="G7" s="24" t="str">
        <x:f aca="0">IF(B7&lt;&gt;"",G$84,"")</x:f>
      </x:c>
    </x:row>
    <x:row r="8" ht="12.649999618530273" hidden="0">
      <x:c r="A8" s="13" t="str">
        <x:f aca="0">IF(B8&lt;&gt;"","产业趋势","")</x:f>
      </x:c>
      <x:c r="B8" s="21" t="str">
        <x:f aca="0">IFERROR(INDEX($A$53:$A$78,MATCH(2,M$53:M$78,0)),"")</x:f>
      </x:c>
      <x:c r="C8" s="21" t="str">
        <x:f aca="0">IFERROR(INDEX($B$53:$B$78,MATCH(2,M$53:M$78,0)),"")</x:f>
      </x:c>
      <x:c r="D8" s="21" t="str">
        <x:f aca="0">IFERROR(INDEX($E$53:$E$78,MATCH(2,M$53:M$78,0)),"")</x:f>
      </x:c>
      <x:c r="E8" s="22" t="str">
        <x:f aca="0">IFERROR(INDEX(G$53:G$78,MATCH(2,M$53:M$78,0)),"")</x:f>
      </x:c>
      <x:c r="F8" s="23" t="str">
        <x:f aca="0">IF(B8="","",IF(D8&lt;&gt;"主动","不适用",IF(E8&gt;$L$2,"超限","正常")))</x:f>
      </x:c>
      <x:c r="G8" s="24" t="str">
        <x:f aca="0">IF(B8&lt;&gt;"",G$84,"")</x:f>
      </x:c>
    </x:row>
    <x:row r="9" ht="12.649999618530273" hidden="0">
      <x:c r="A9" s="13" t="str">
        <x:f aca="0">IF(B9&lt;&gt;"","产业趋势","")</x:f>
      </x:c>
      <x:c r="B9" s="21" t="str">
        <x:f aca="0">IFERROR(INDEX($A$53:$A$78,MATCH(3,M$53:M$78,0)),"")</x:f>
      </x:c>
      <x:c r="C9" s="21" t="str">
        <x:f aca="0">IFERROR(INDEX($B$53:$B$78,MATCH(3,M$53:M$78,0)),"")</x:f>
      </x:c>
      <x:c r="D9" s="21" t="str">
        <x:f aca="0">IFERROR(INDEX($E$53:$E$78,MATCH(3,M$53:M$78,0)),"")</x:f>
      </x:c>
      <x:c r="E9" s="22" t="str">
        <x:f aca="0">IFERROR(INDEX(G$53:G$78,MATCH(3,M$53:M$78,0)),"")</x:f>
      </x:c>
      <x:c r="F9" s="23" t="str">
        <x:f aca="0">IF(B9="","",IF(D9&lt;&gt;"主动","不适用",IF(E9&gt;$L$2,"超限","正常")))</x:f>
      </x:c>
      <x:c r="G9" s="24" t="str">
        <x:f aca="0">IF(B9&lt;&gt;"",G$84,"")</x:f>
      </x:c>
    </x:row>
    <x:row r="10" ht="12.649999618530273" hidden="0">
      <x:c r="A10" s="13" t="str">
        <x:f aca="0">IF(B10&lt;&gt;"","产业趋势","")</x:f>
      </x:c>
      <x:c r="B10" s="21" t="str">
        <x:f aca="0">IFERROR(INDEX($A$53:$A$78,MATCH(4,M$53:M$78,0)),"")</x:f>
      </x:c>
      <x:c r="C10" s="21" t="str">
        <x:f aca="0">IFERROR(INDEX($B$53:$B$78,MATCH(4,M$53:M$78,0)),"")</x:f>
      </x:c>
      <x:c r="D10" s="21" t="str">
        <x:f aca="0">IFERROR(INDEX($E$53:$E$78,MATCH(4,M$53:M$78,0)),"")</x:f>
      </x:c>
      <x:c r="E10" s="22" t="str">
        <x:f aca="0">IFERROR(INDEX(G$53:G$78,MATCH(4,M$53:M$78,0)),"")</x:f>
      </x:c>
      <x:c r="F10" s="23" t="str">
        <x:f aca="0">IF(B10="","",IF(D10&lt;&gt;"主动","不适用",IF(E10&gt;$L$2,"超限","正常")))</x:f>
      </x:c>
      <x:c r="G10" s="24" t="str">
        <x:f aca="0">IF(B10&lt;&gt;"",G$84,"")</x:f>
      </x:c>
    </x:row>
    <x:row r="11" ht="12.649999618530273" hidden="0">
      <x:c r="A11" s="13" t="str">
        <x:f aca="0">IF(B11&lt;&gt;"","产业趋势","")</x:f>
      </x:c>
      <x:c r="B11" s="21" t="str">
        <x:f aca="0">IFERROR(INDEX($A$53:$A$78,MATCH(5,M$53:M$78,0)),"")</x:f>
      </x:c>
      <x:c r="C11" s="21" t="str">
        <x:f aca="0">IFERROR(INDEX($B$53:$B$78,MATCH(5,M$53:M$78,0)),"")</x:f>
      </x:c>
      <x:c r="D11" s="21" t="str">
        <x:f aca="0">IFERROR(INDEX($E$53:$E$78,MATCH(5,M$53:M$78,0)),"")</x:f>
      </x:c>
      <x:c r="E11" s="22" t="str">
        <x:f aca="0">IFERROR(INDEX(G$53:G$78,MATCH(5,M$53:M$78,0)),"")</x:f>
      </x:c>
      <x:c r="F11" s="23" t="str">
        <x:f aca="0">IF(B11="","",IF(D11&lt;&gt;"主动","不适用",IF(E11&gt;$L$2,"超限","正常")))</x:f>
      </x:c>
      <x:c r="G11" s="24" t="str">
        <x:f aca="0">IF(B11&lt;&gt;"",G$84,"")</x:f>
      </x:c>
    </x:row>
    <x:row r="12" ht="12.649999618530273" hidden="0">
      <x:c r="A12" s="13" t="str">
        <x:f aca="0">IF(B12&lt;&gt;"","产业趋势","")</x:f>
      </x:c>
      <x:c r="B12" s="21" t="str">
        <x:f aca="0">IFERROR(INDEX($A$53:$A$78,MATCH(6,M$53:M$78,0)),"")</x:f>
      </x:c>
      <x:c r="C12" s="21" t="str">
        <x:f aca="0">IFERROR(INDEX($B$53:$B$78,MATCH(6,M$53:M$78,0)),"")</x:f>
      </x:c>
      <x:c r="D12" s="21" t="str">
        <x:f aca="0">IFERROR(INDEX($E$53:$E$78,MATCH(6,M$53:M$78,0)),"")</x:f>
      </x:c>
      <x:c r="E12" s="22" t="str">
        <x:f aca="0">IFERROR(INDEX(G$53:G$78,MATCH(6,M$53:M$78,0)),"")</x:f>
      </x:c>
      <x:c r="F12" s="23" t="str">
        <x:f aca="0">IF(B12="","",IF(D12&lt;&gt;"主动","不适用",IF(E12&gt;$L$2,"超限","正常")))</x:f>
      </x:c>
      <x:c r="G12" s="24" t="str">
        <x:f aca="0">IF(B12&lt;&gt;"",G$84,"")</x:f>
      </x:c>
    </x:row>
    <x:row r="13" ht="12.649999618530273" hidden="0">
      <x:c r="A13" s="13" t="str">
        <x:f aca="0">IF(B13&lt;&gt;"","产业趋势","")</x:f>
      </x:c>
      <x:c r="B13" s="21" t="str">
        <x:f aca="0">IFERROR(INDEX($A$53:$A$78,MATCH(7,M$53:M$78,0)),"")</x:f>
      </x:c>
      <x:c r="C13" s="21" t="str">
        <x:f aca="0">IFERROR(INDEX($B$53:$B$78,MATCH(7,M$53:M$78,0)),"")</x:f>
      </x:c>
      <x:c r="D13" s="21" t="str">
        <x:f aca="0">IFERROR(INDEX($E$53:$E$78,MATCH(7,M$53:M$78,0)),"")</x:f>
      </x:c>
      <x:c r="E13" s="22" t="str">
        <x:f aca="0">IFERROR(INDEX(G$53:G$78,MATCH(7,M$53:M$78,0)),"")</x:f>
      </x:c>
      <x:c r="F13" s="23" t="str">
        <x:f aca="0">IF(B13="","",IF(D13&lt;&gt;"主动","不适用",IF(E13&gt;$L$2,"超限","正常")))</x:f>
      </x:c>
      <x:c r="G13" s="24" t="str">
        <x:f aca="0">IF(B13&lt;&gt;"",G$84,"")</x:f>
      </x:c>
    </x:row>
    <x:row r="14" ht="12.649999618530273" hidden="0">
      <x:c r="A14" s="13" t="str">
        <x:f aca="0">IF(B14&lt;&gt;"","产业趋势","")</x:f>
      </x:c>
      <x:c r="B14" s="21" t="str">
        <x:f aca="0">IFERROR(INDEX($A$53:$A$78,MATCH(8,M$53:M$78,0)),"")</x:f>
      </x:c>
      <x:c r="C14" s="21" t="str">
        <x:f aca="0">IFERROR(INDEX($B$53:$B$78,MATCH(8,M$53:M$78,0)),"")</x:f>
      </x:c>
      <x:c r="D14" s="21" t="str">
        <x:f aca="0">IFERROR(INDEX($E$53:$E$78,MATCH(8,M$53:M$78,0)),"")</x:f>
      </x:c>
      <x:c r="E14" s="22" t="str">
        <x:f aca="0">IFERROR(INDEX(G$53:G$78,MATCH(8,M$53:M$78,0)),"")</x:f>
      </x:c>
      <x:c r="F14" s="23" t="str">
        <x:f aca="0">IF(B14="","",IF(D14&lt;&gt;"主动","不适用",IF(E14&gt;$L$2,"超限","正常")))</x:f>
      </x:c>
      <x:c r="G14" s="24" t="str">
        <x:f aca="0">IF(B14&lt;&gt;"",G$84,"")</x:f>
      </x:c>
    </x:row>
    <x:row r="15" ht="12.649999618530273" hidden="0">
      <x:c r="A15" s="13" t="str">
        <x:f aca="0">IF(B15&lt;&gt;"","产业趋势基石","")</x:f>
      </x:c>
      <x:c r="B15" s="21" t="str">
        <x:f aca="0">IFERROR(INDEX($A$53:$A$78,MATCH(1,N$53:N$78,0)),"")</x:f>
      </x:c>
      <x:c r="C15" s="21" t="str">
        <x:f aca="0">IFERROR(INDEX($B$53:$B$78,MATCH(1,N$53:N$78,0)),"")</x:f>
      </x:c>
      <x:c r="D15" s="21" t="str">
        <x:f aca="0">IFERROR(INDEX($E$53:$E$78,MATCH(1,N$53:N$78,0)),"")</x:f>
      </x:c>
      <x:c r="E15" s="22" t="str">
        <x:f aca="0">IFERROR(INDEX(H$53:H$78,MATCH(1,N$53:N$78,0)),"")</x:f>
      </x:c>
      <x:c r="F15" s="23" t="str">
        <x:f aca="0">IF(B15="","",IF(D15&lt;&gt;"主动","不适用",IF(E15&gt;$L$2,"超限","正常")))</x:f>
      </x:c>
      <x:c r="G15" s="24" t="str">
        <x:f aca="0">IF(B15&lt;&gt;"",H$84,"")</x:f>
      </x:c>
    </x:row>
    <x:row r="16" ht="12.649999618530273" hidden="0">
      <x:c r="A16" s="13" t="str">
        <x:f aca="0">IF(B16&lt;&gt;"","产业趋势基石","")</x:f>
      </x:c>
      <x:c r="B16" s="21" t="str">
        <x:f aca="0">IFERROR(INDEX($A$53:$A$78,MATCH(2,N$53:N$78,0)),"")</x:f>
      </x:c>
      <x:c r="C16" s="21" t="str">
        <x:f aca="0">IFERROR(INDEX($B$53:$B$78,MATCH(2,N$53:N$78,0)),"")</x:f>
      </x:c>
      <x:c r="D16" s="21" t="str">
        <x:f aca="0">IFERROR(INDEX($E$53:$E$78,MATCH(2,N$53:N$78,0)),"")</x:f>
      </x:c>
      <x:c r="E16" s="22" t="str">
        <x:f aca="0">IFERROR(INDEX(H$53:H$78,MATCH(2,N$53:N$78,0)),"")</x:f>
      </x:c>
      <x:c r="F16" s="23" t="str">
        <x:f aca="0">IF(B16="","",IF(D16&lt;&gt;"主动","不适用",IF(E16&gt;$L$2,"超限","正常")))</x:f>
      </x:c>
      <x:c r="G16" s="24" t="str">
        <x:f aca="0">IF(B16&lt;&gt;"",H$84,"")</x:f>
      </x:c>
    </x:row>
    <x:row r="17" ht="12.649999618530273" hidden="0">
      <x:c r="A17" s="13" t="str">
        <x:f aca="0">IF(B17&lt;&gt;"","产业趋势基石","")</x:f>
      </x:c>
      <x:c r="B17" s="21" t="str">
        <x:f aca="0">IFERROR(INDEX($A$53:$A$78,MATCH(3,N$53:N$78,0)),"")</x:f>
      </x:c>
      <x:c r="C17" s="21" t="str">
        <x:f aca="0">IFERROR(INDEX($B$53:$B$78,MATCH(3,N$53:N$78,0)),"")</x:f>
      </x:c>
      <x:c r="D17" s="21" t="str">
        <x:f aca="0">IFERROR(INDEX($E$53:$E$78,MATCH(3,N$53:N$78,0)),"")</x:f>
      </x:c>
      <x:c r="E17" s="22" t="str">
        <x:f aca="0">IFERROR(INDEX(H$53:H$78,MATCH(3,N$53:N$78,0)),"")</x:f>
      </x:c>
      <x:c r="F17" s="23" t="str">
        <x:f aca="0">IF(B17="","",IF(D17&lt;&gt;"主动","不适用",IF(E17&gt;$L$2,"超限","正常")))</x:f>
      </x:c>
      <x:c r="G17" s="24" t="str">
        <x:f aca="0">IF(B17&lt;&gt;"",H$84,"")</x:f>
      </x:c>
    </x:row>
    <x:row r="18" ht="12.649999618530273" hidden="0">
      <x:c r="A18" s="13" t="str">
        <x:f aca="0">IF(B18&lt;&gt;"","产业趋势基石","")</x:f>
      </x:c>
      <x:c r="B18" s="21" t="str">
        <x:f aca="0">IFERROR(INDEX($A$53:$A$78,MATCH(4,N$53:N$78,0)),"")</x:f>
      </x:c>
      <x:c r="C18" s="21" t="str">
        <x:f aca="0">IFERROR(INDEX($B$53:$B$78,MATCH(4,N$53:N$78,0)),"")</x:f>
      </x:c>
      <x:c r="D18" s="21" t="str">
        <x:f aca="0">IFERROR(INDEX($E$53:$E$78,MATCH(4,N$53:N$78,0)),"")</x:f>
      </x:c>
      <x:c r="E18" s="22" t="str">
        <x:f aca="0">IFERROR(INDEX(H$53:H$78,MATCH(4,N$53:N$78,0)),"")</x:f>
      </x:c>
      <x:c r="F18" s="23" t="str">
        <x:f aca="0">IF(B18="","",IF(D18&lt;&gt;"主动","不适用",IF(E18&gt;$L$2,"超限","正常")))</x:f>
      </x:c>
      <x:c r="G18" s="24" t="str">
        <x:f aca="0">IF(B18&lt;&gt;"",H$84,"")</x:f>
      </x:c>
    </x:row>
    <x:row r="19" ht="12.649999618530273" hidden="0">
      <x:c r="A19" s="13" t="str">
        <x:f aca="0">IF(B19&lt;&gt;"","产业趋势基石","")</x:f>
      </x:c>
      <x:c r="B19" s="21" t="str">
        <x:f aca="0">IFERROR(INDEX($A$53:$A$78,MATCH(5,N$53:N$78,0)),"")</x:f>
      </x:c>
      <x:c r="C19" s="21" t="str">
        <x:f aca="0">IFERROR(INDEX($B$53:$B$78,MATCH(5,N$53:N$78,0)),"")</x:f>
      </x:c>
      <x:c r="D19" s="21" t="str">
        <x:f aca="0">IFERROR(INDEX($E$53:$E$78,MATCH(5,N$53:N$78,0)),"")</x:f>
      </x:c>
      <x:c r="E19" s="22" t="str">
        <x:f aca="0">IFERROR(INDEX(H$53:H$78,MATCH(5,N$53:N$78,0)),"")</x:f>
      </x:c>
      <x:c r="F19" s="23" t="str">
        <x:f aca="0">IF(B19="","",IF(D19&lt;&gt;"主动","不适用",IF(E19&gt;$L$2,"超限","正常")))</x:f>
      </x:c>
      <x:c r="G19" s="24" t="str">
        <x:f aca="0">IF(B19&lt;&gt;"",H$84,"")</x:f>
      </x:c>
    </x:row>
    <x:row r="20" ht="12.649999618530273" hidden="0">
      <x:c r="A20" s="13" t="str">
        <x:f aca="0">IF(B20&lt;&gt;"","产业趋势基石","")</x:f>
      </x:c>
      <x:c r="B20" s="21" t="str">
        <x:f aca="0">IFERROR(INDEX($A$53:$A$78,MATCH(6,N$53:N$78,0)),"")</x:f>
      </x:c>
      <x:c r="C20" s="21" t="str">
        <x:f aca="0">IFERROR(INDEX($B$53:$B$78,MATCH(6,N$53:N$78,0)),"")</x:f>
      </x:c>
      <x:c r="D20" s="21" t="str">
        <x:f aca="0">IFERROR(INDEX($E$53:$E$78,MATCH(6,N$53:N$78,0)),"")</x:f>
      </x:c>
      <x:c r="E20" s="22" t="str">
        <x:f aca="0">IFERROR(INDEX(H$53:H$78,MATCH(6,N$53:N$78,0)),"")</x:f>
      </x:c>
      <x:c r="F20" s="23" t="str">
        <x:f aca="0">IF(B20="","",IF(D20&lt;&gt;"主动","不适用",IF(E20&gt;$L$2,"超限","正常")))</x:f>
      </x:c>
      <x:c r="G20" s="24" t="str">
        <x:f aca="0">IF(B20&lt;&gt;"",H$84,"")</x:f>
      </x:c>
    </x:row>
    <x:row r="21" ht="12.649999618530273" hidden="0">
      <x:c r="A21" s="13" t="str">
        <x:f aca="0">IF(B21&lt;&gt;"","产业趋势基石","")</x:f>
      </x:c>
      <x:c r="B21" s="21" t="str">
        <x:f aca="0">IFERROR(INDEX($A$53:$A$78,MATCH(7,N$53:N$78,0)),"")</x:f>
      </x:c>
      <x:c r="C21" s="21" t="str">
        <x:f aca="0">IFERROR(INDEX($B$53:$B$78,MATCH(7,N$53:N$78,0)),"")</x:f>
      </x:c>
      <x:c r="D21" s="21" t="str">
        <x:f aca="0">IFERROR(INDEX($E$53:$E$78,MATCH(7,N$53:N$78,0)),"")</x:f>
      </x:c>
      <x:c r="E21" s="22" t="str">
        <x:f aca="0">IFERROR(INDEX(H$53:H$78,MATCH(7,N$53:N$78,0)),"")</x:f>
      </x:c>
      <x:c r="F21" s="23" t="str">
        <x:f aca="0">IF(B21="","",IF(D21&lt;&gt;"主动","不适用",IF(E21&gt;$L$2,"超限","正常")))</x:f>
      </x:c>
      <x:c r="G21" s="24" t="str">
        <x:f aca="0">IF(B21&lt;&gt;"",H$84,"")</x:f>
      </x:c>
    </x:row>
    <x:row r="22" ht="12.649999618530273" hidden="0">
      <x:c r="A22" s="13" t="str">
        <x:f aca="0">IF(B22&lt;&gt;"","产业趋势基石","")</x:f>
      </x:c>
      <x:c r="B22" s="21" t="str">
        <x:f aca="0">IFERROR(INDEX($A$53:$A$78,MATCH(8,N$53:N$78,0)),"")</x:f>
      </x:c>
      <x:c r="C22" s="21" t="str">
        <x:f aca="0">IFERROR(INDEX($B$53:$B$78,MATCH(8,N$53:N$78,0)),"")</x:f>
      </x:c>
      <x:c r="D22" s="21" t="str">
        <x:f aca="0">IFERROR(INDEX($E$53:$E$78,MATCH(8,N$53:N$78,0)),"")</x:f>
      </x:c>
      <x:c r="E22" s="22" t="str">
        <x:f aca="0">IFERROR(INDEX(H$53:H$78,MATCH(8,N$53:N$78,0)),"")</x:f>
      </x:c>
      <x:c r="F22" s="23" t="str">
        <x:f aca="0">IF(B22="","",IF(D22&lt;&gt;"主动","不适用",IF(E22&gt;$L$2,"超限","正常")))</x:f>
      </x:c>
      <x:c r="G22" s="24" t="str">
        <x:f aca="0">IF(B22&lt;&gt;"",H$84,"")</x:f>
      </x:c>
    </x:row>
    <x:row r="23" ht="12.649999618530273" hidden="0">
      <x:c r="A23" s="13" t="str">
        <x:f aca="0">IF(B23&lt;&gt;"","产业趋势2号","")</x:f>
      </x:c>
      <x:c r="B23" s="21" t="str">
        <x:f aca="0">IFERROR(INDEX($A$53:$A$78,MATCH(1,O$53:O$78,0)),"")</x:f>
      </x:c>
      <x:c r="C23" s="21" t="str">
        <x:f aca="0">IFERROR(INDEX($B$53:$B$78,MATCH(1,O$53:O$78,0)),"")</x:f>
      </x:c>
      <x:c r="D23" s="21" t="str">
        <x:f aca="0">IFERROR(INDEX($E$53:$E$78,MATCH(1,O$53:O$78,0)),"")</x:f>
      </x:c>
      <x:c r="E23" s="22" t="str">
        <x:f aca="0">IFERROR(INDEX(I$53:I$78,MATCH(1,O$53:O$78,0)),"")</x:f>
      </x:c>
      <x:c r="F23" s="23" t="str">
        <x:f aca="0">IF(B23="","",IF(D23&lt;&gt;"主动","不适用",IF(E23&gt;$L$2,"超限","正常")))</x:f>
      </x:c>
      <x:c r="G23" s="24" t="str">
        <x:f aca="0">IF(B23&lt;&gt;"",I$84,"")</x:f>
      </x:c>
    </x:row>
    <x:row r="24" ht="12.649999618530273" hidden="0">
      <x:c r="A24" s="13" t="str">
        <x:f aca="0">IF(B24&lt;&gt;"","产业趋势2号","")</x:f>
      </x:c>
      <x:c r="B24" s="21" t="str">
        <x:f aca="0">IFERROR(INDEX($A$53:$A$78,MATCH(2,O$53:O$78,0)),"")</x:f>
      </x:c>
      <x:c r="C24" s="21" t="str">
        <x:f aca="0">IFERROR(INDEX($B$53:$B$78,MATCH(2,O$53:O$78,0)),"")</x:f>
      </x:c>
      <x:c r="D24" s="21" t="str">
        <x:f aca="0">IFERROR(INDEX($E$53:$E$78,MATCH(2,O$53:O$78,0)),"")</x:f>
      </x:c>
      <x:c r="E24" s="22" t="str">
        <x:f aca="0">IFERROR(INDEX(I$53:I$78,MATCH(2,O$53:O$78,0)),"")</x:f>
      </x:c>
      <x:c r="F24" s="23" t="str">
        <x:f aca="0">IF(B24="","",IF(D24&lt;&gt;"主动","不适用",IF(E24&gt;$L$2,"超限","正常")))</x:f>
      </x:c>
      <x:c r="G24" s="24" t="str">
        <x:f aca="0">IF(B24&lt;&gt;"",I$84,"")</x:f>
      </x:c>
    </x:row>
    <x:row r="25" ht="12.649999618530273" hidden="0">
      <x:c r="A25" s="13" t="str">
        <x:f aca="0">IF(B25&lt;&gt;"","产业趋势2号","")</x:f>
      </x:c>
      <x:c r="B25" s="21" t="str">
        <x:f aca="0">IFERROR(INDEX($A$53:$A$78,MATCH(3,O$53:O$78,0)),"")</x:f>
      </x:c>
      <x:c r="C25" s="21" t="str">
        <x:f aca="0">IFERROR(INDEX($B$53:$B$78,MATCH(3,O$53:O$78,0)),"")</x:f>
      </x:c>
      <x:c r="D25" s="21" t="str">
        <x:f aca="0">IFERROR(INDEX($E$53:$E$78,MATCH(3,O$53:O$78,0)),"")</x:f>
      </x:c>
      <x:c r="E25" s="22" t="str">
        <x:f aca="0">IFERROR(INDEX(I$53:I$78,MATCH(3,O$53:O$78,0)),"")</x:f>
      </x:c>
      <x:c r="F25" s="23" t="str">
        <x:f aca="0">IF(B25="","",IF(D25&lt;&gt;"主动","不适用",IF(E25&gt;$L$2,"超限","正常")))</x:f>
      </x:c>
      <x:c r="G25" s="24" t="str">
        <x:f aca="0">IF(B25&lt;&gt;"",I$84,"")</x:f>
      </x:c>
    </x:row>
    <x:row r="26" ht="12.649999618530273" hidden="0">
      <x:c r="A26" s="13" t="str">
        <x:f aca="0">IF(B26&lt;&gt;"","产业趋势2号","")</x:f>
      </x:c>
      <x:c r="B26" s="21" t="str">
        <x:f aca="0">IFERROR(INDEX($A$53:$A$78,MATCH(4,O$53:O$78,0)),"")</x:f>
      </x:c>
      <x:c r="C26" s="21" t="str">
        <x:f aca="0">IFERROR(INDEX($B$53:$B$78,MATCH(4,O$53:O$78,0)),"")</x:f>
      </x:c>
      <x:c r="D26" s="21" t="str">
        <x:f aca="0">IFERROR(INDEX($E$53:$E$78,MATCH(4,O$53:O$78,0)),"")</x:f>
      </x:c>
      <x:c r="E26" s="22" t="str">
        <x:f aca="0">IFERROR(INDEX(I$53:I$78,MATCH(4,O$53:O$78,0)),"")</x:f>
      </x:c>
      <x:c r="F26" s="23" t="str">
        <x:f aca="0">IF(B26="","",IF(D26&lt;&gt;"主动","不适用",IF(E26&gt;$L$2,"超限","正常")))</x:f>
      </x:c>
      <x:c r="G26" s="24" t="str">
        <x:f aca="0">IF(B26&lt;&gt;"",I$84,"")</x:f>
      </x:c>
    </x:row>
    <x:row r="27" ht="12.649999618530273" hidden="0">
      <x:c r="A27" s="13" t="str">
        <x:f aca="0">IF(B27&lt;&gt;"","产业趋势2号","")</x:f>
      </x:c>
      <x:c r="B27" s="21" t="str">
        <x:f aca="0">IFERROR(INDEX($A$53:$A$78,MATCH(5,O$53:O$78,0)),"")</x:f>
      </x:c>
      <x:c r="C27" s="21" t="str">
        <x:f aca="0">IFERROR(INDEX($B$53:$B$78,MATCH(5,O$53:O$78,0)),"")</x:f>
      </x:c>
      <x:c r="D27" s="21" t="str">
        <x:f aca="0">IFERROR(INDEX($E$53:$E$78,MATCH(5,O$53:O$78,0)),"")</x:f>
      </x:c>
      <x:c r="E27" s="22" t="str">
        <x:f aca="0">IFERROR(INDEX(I$53:I$78,MATCH(5,O$53:O$78,0)),"")</x:f>
      </x:c>
      <x:c r="F27" s="23" t="str">
        <x:f aca="0">IF(B27="","",IF(D27&lt;&gt;"主动","不适用",IF(E27&gt;$L$2,"超限","正常")))</x:f>
      </x:c>
      <x:c r="G27" s="24" t="str">
        <x:f aca="0">IF(B27&lt;&gt;"",I$84,"")</x:f>
      </x:c>
    </x:row>
    <x:row r="28" ht="12.649999618530273" hidden="0">
      <x:c r="A28" s="13" t="str">
        <x:f aca="0">IF(B28&lt;&gt;"","产业趋势2号","")</x:f>
      </x:c>
      <x:c r="B28" s="21" t="str">
        <x:f aca="0">IFERROR(INDEX($A$53:$A$78,MATCH(6,O$53:O$78,0)),"")</x:f>
      </x:c>
      <x:c r="C28" s="21" t="str">
        <x:f aca="0">IFERROR(INDEX($B$53:$B$78,MATCH(6,O$53:O$78,0)),"")</x:f>
      </x:c>
      <x:c r="D28" s="21" t="str">
        <x:f aca="0">IFERROR(INDEX($E$53:$E$78,MATCH(6,O$53:O$78,0)),"")</x:f>
      </x:c>
      <x:c r="E28" s="22" t="str">
        <x:f aca="0">IFERROR(INDEX(I$53:I$78,MATCH(6,O$53:O$78,0)),"")</x:f>
      </x:c>
      <x:c r="F28" s="23" t="str">
        <x:f aca="0">IF(B28="","",IF(D28&lt;&gt;"主动","不适用",IF(E28&gt;$L$2,"超限","正常")))</x:f>
      </x:c>
      <x:c r="G28" s="24" t="str">
        <x:f aca="0">IF(B28&lt;&gt;"",I$84,"")</x:f>
      </x:c>
    </x:row>
    <x:row r="29" ht="12.649999618530273" hidden="0">
      <x:c r="A29" s="13" t="str">
        <x:f aca="0">IF(B29&lt;&gt;"","产业趋势2号","")</x:f>
      </x:c>
      <x:c r="B29" s="21" t="str">
        <x:f aca="0">IFERROR(INDEX($A$53:$A$78,MATCH(7,O$53:O$78,0)),"")</x:f>
      </x:c>
      <x:c r="C29" s="21" t="str">
        <x:f aca="0">IFERROR(INDEX($B$53:$B$78,MATCH(7,O$53:O$78,0)),"")</x:f>
      </x:c>
      <x:c r="D29" s="21" t="str">
        <x:f aca="0">IFERROR(INDEX($E$53:$E$78,MATCH(7,O$53:O$78,0)),"")</x:f>
      </x:c>
      <x:c r="E29" s="22" t="str">
        <x:f aca="0">IFERROR(INDEX(I$53:I$78,MATCH(7,O$53:O$78,0)),"")</x:f>
      </x:c>
      <x:c r="F29" s="23" t="str">
        <x:f aca="0">IF(B29="","",IF(D29&lt;&gt;"主动","不适用",IF(E29&gt;$L$2,"超限","正常")))</x:f>
      </x:c>
      <x:c r="G29" s="24" t="str">
        <x:f aca="0">IF(B29&lt;&gt;"",I$84,"")</x:f>
      </x:c>
    </x:row>
    <x:row r="30" ht="12.649999618530273" hidden="0">
      <x:c r="A30" s="13" t="str">
        <x:f aca="0">IF(B30&lt;&gt;"","产业趋势2号","")</x:f>
      </x:c>
      <x:c r="B30" s="21" t="str">
        <x:f aca="0">IFERROR(INDEX($A$53:$A$78,MATCH(8,O$53:O$78,0)),"")</x:f>
      </x:c>
      <x:c r="C30" s="21" t="str">
        <x:f aca="0">IFERROR(INDEX($B$53:$B$78,MATCH(8,O$53:O$78,0)),"")</x:f>
      </x:c>
      <x:c r="D30" s="21" t="str">
        <x:f aca="0">IFERROR(INDEX($E$53:$E$78,MATCH(8,O$53:O$78,0)),"")</x:f>
      </x:c>
      <x:c r="E30" s="22" t="str">
        <x:f aca="0">IFERROR(INDEX(I$53:I$78,MATCH(8,O$53:O$78,0)),"")</x:f>
      </x:c>
      <x:c r="F30" s="23" t="str">
        <x:f aca="0">IF(B30="","",IF(D30&lt;&gt;"主动","不适用",IF(E30&gt;$L$2,"超限","正常")))</x:f>
      </x:c>
      <x:c r="G30" s="24" t="str">
        <x:f aca="0">IF(B30&lt;&gt;"",I$84,"")</x:f>
      </x:c>
    </x:row>
    <x:row r="31" ht="12.649999618530273" hidden="0" customHeight="1">
      <x:c r="A31" s="25" t="s">
        <x:v>73</x:v>
      </x:c>
      <x:c r="B31" s="25"/>
      <x:c r="C31" s="25"/>
      <x:c r="D31" s="25"/>
      <x:c r="E31" s="25"/>
      <x:c r="F31" s="25"/>
      <x:c r="G31" s="25"/>
    </x:row>
    <x:row r="32" ht="12.649999618530273" hidden="0"/>
    <x:row r="33" ht="21" hidden="0" customHeight="1">
      <x:c r="A33" s="17" t="s">
        <x:v>74</x:v>
      </x:c>
      <x:c r="B33" s="17"/>
      <x:c r="C33" s="17"/>
      <x:c r="D33" s="17"/>
      <x:c r="E33" s="17"/>
      <x:c r="F33" s="17"/>
      <x:c r="G33" s="18" t="s">
        <x:v>67</x:v>
      </x:c>
      <x:c r="H33" s="19" t="n">
        <x:f aca="0">$B$82</x:f>
        <x:v>46280</x:v>
      </x:c>
    </x:row>
    <x:row r="34" ht="27.75" hidden="0" customHeight="1">
      <x:c r="A34" s="20" t="s">
        <x:v>68</x:v>
      </x:c>
      <x:c r="B34" s="20" t="s">
        <x:v>75</x:v>
      </x:c>
      <x:c r="C34" s="20" t="s">
        <x:v>76</x:v>
      </x:c>
      <x:c r="D34" s="20" t="s">
        <x:v>77</x:v>
      </x:c>
      <x:c r="E34" s="20" t="s">
        <x:v>78</x:v>
      </x:c>
      <x:c r="F34" s="20" t="s">
        <x:v>79</x:v>
      </x:c>
      <x:c r="G34" s="20" t="s">
        <x:v>77</x:v>
      </x:c>
      <x:c r="H34" s="20" t="s">
        <x:v>72</x:v>
      </x:c>
    </x:row>
    <x:row r="35" ht="12.649999618530273" hidden="0">
      <x:c r="A35" s="21" t="s">
        <x:v>80</x:v>
      </x:c>
      <x:c r="B35" s="22" t="n">
        <x:v>0.1</x:v>
      </x:c>
      <x:c r="C35" s="22" t="e">
        <x:f aca="0">SUMIF($C$53:$C$78,"增值",J$53:J$78)</x:f>
        <x:v>#NAME?</x:v>
      </x:c>
      <x:c r="D35" s="26" t="e">
        <x:f aca="0">C35-B35</x:f>
        <x:v>#NAME?</x:v>
      </x:c>
      <x:c r="E35" s="22" t="n">
        <x:f aca="0">1-B35</x:f>
        <x:v>0.9</x:v>
      </x:c>
      <x:c r="F35" s="22" t="e">
        <x:f aca="0">SUMIF($C$53:$C$78,"生息",J$53:J$78)</x:f>
        <x:v>#NAME?</x:v>
      </x:c>
      <x:c r="G35" s="26" t="e">
        <x:f aca="0">F35-E35</x:f>
        <x:v>#NAME?</x:v>
      </x:c>
      <x:c r="H35" s="24" t="e">
        <x:f aca="0">J$84</x:f>
        <x:v>#NAME?</x:v>
      </x:c>
    </x:row>
    <x:row r="36" ht="12.649999618530273" hidden="0">
      <x:c r="A36" s="21" t="s">
        <x:v>81</x:v>
      </x:c>
      <x:c r="B36" s="22" t="n">
        <x:v>0.1</x:v>
      </x:c>
      <x:c r="C36" s="22" t="e">
        <x:f aca="0">SUMIF($C$53:$C$78,"增值",K$53:K$78)</x:f>
        <x:v>#NAME?</x:v>
      </x:c>
      <x:c r="D36" s="26" t="e">
        <x:f aca="0">C36-B36</x:f>
        <x:v>#NAME?</x:v>
      </x:c>
      <x:c r="E36" s="22" t="n">
        <x:f aca="0">1-B36</x:f>
        <x:v>0.9</x:v>
      </x:c>
      <x:c r="F36" s="22" t="e">
        <x:f aca="0">SUMIF($C$53:$C$78,"生息",K$53:K$78)</x:f>
        <x:v>#NAME?</x:v>
      </x:c>
      <x:c r="G36" s="26" t="e">
        <x:f aca="0">F36-E36</x:f>
        <x:v>#NAME?</x:v>
      </x:c>
      <x:c r="H36" s="24" t="e">
        <x:f aca="0">K$84</x:f>
        <x:v>#NAME?</x:v>
      </x:c>
    </x:row>
    <x:row r="37" ht="12.649999618530273" hidden="0">
      <x:c r="A37" s="21" t="s">
        <x:v>82</x:v>
      </x:c>
      <x:c r="B37" s="22" t="n">
        <x:v>0.3</x:v>
      </x:c>
      <x:c r="C37" s="22" t="e">
        <x:f aca="0">SUMIF($C$53:$C$78,"增值",L$53:L$78)</x:f>
        <x:v>#NAME?</x:v>
      </x:c>
      <x:c r="D37" s="26" t="e">
        <x:f aca="0">C37-B37</x:f>
        <x:v>#NAME?</x:v>
      </x:c>
      <x:c r="E37" s="22" t="n">
        <x:f aca="0">1-B37</x:f>
        <x:v>0.7</x:v>
      </x:c>
      <x:c r="F37" s="22" t="e">
        <x:f aca="0">SUMIF($C$53:$C$78,"生息",L$53:L$78)</x:f>
        <x:v>#NAME?</x:v>
      </x:c>
      <x:c r="G37" s="26" t="e">
        <x:f aca="0">F37-E37</x:f>
        <x:v>#NAME?</x:v>
      </x:c>
      <x:c r="H37" s="24" t="e">
        <x:f aca="0">L$84</x:f>
        <x:v>#NAME?</x:v>
      </x:c>
    </x:row>
    <x:row r="38" ht="12.649999618530273" hidden="0">
      <x:c r="A38" s="27" t="s">
        <x:v>83</x:v>
      </x:c>
      <x:c r="B38" s="27"/>
      <x:c r="C38" s="27"/>
      <x:c r="D38" s="27"/>
      <x:c r="E38" s="27"/>
      <x:c r="F38" s="27"/>
      <x:c r="G38" s="27"/>
      <x:c r="H38" s="27"/>
    </x:row>
    <x:row r="39" ht="12.649999618530273" hidden="0"/>
    <x:row r="40" ht="21" hidden="0" customHeight="1">
      <x:c r="A40" s="17" t="s">
        <x:v>84</x:v>
      </x:c>
      <x:c r="B40" s="17"/>
      <x:c r="C40" s="17"/>
      <x:c r="D40" s="18" t="s">
        <x:v>67</x:v>
      </x:c>
      <x:c r="E40" s="19" t="n">
        <x:f aca="0">$B$82</x:f>
        <x:v>46280</x:v>
      </x:c>
    </x:row>
    <x:row r="41" ht="27.75" hidden="0" customHeight="1">
      <x:c r="A41" s="20" t="s">
        <x:v>68</x:v>
      </x:c>
      <x:c r="B41" s="20" t="s">
        <x:v>85</x:v>
      </x:c>
      <x:c r="C41" s="20" t="s">
        <x:v>86</x:v>
      </x:c>
      <x:c r="D41" s="20" t="s">
        <x:v>87</x:v>
      </x:c>
      <x:c r="E41" s="20" t="s">
        <x:v>72</x:v>
      </x:c>
    </x:row>
    <x:row r="42" ht="12.649999618530273" hidden="0">
      <x:c r="A42" s="21" t="s">
        <x:v>80</x:v>
      </x:c>
      <x:c r="B42" s="22" t="n">
        <x:f aca="0">IFERROR(SUMIF($D$53:$D$78,"产业趋势",J$53:J$78)/SUMIF($C$53:$C$78,"增值",J$53:J$78),0)</x:f>
        <x:v>0</x:v>
      </x:c>
      <x:c r="C42" s="22" t="n">
        <x:f aca="0">IFERROR(SUMIF($D$53:$D$78,"指增",J$53:J$78)/SUMIF($C$53:$C$78,"增值",J$53:J$78),0)</x:f>
        <x:v>0</x:v>
      </x:c>
      <x:c r="D42" s="22" t="e">
        <x:f aca="0">SUMIF($C$53:$C$78,"增值",J$53:J$78)</x:f>
        <x:v>#NAME?</x:v>
      </x:c>
      <x:c r="E42" s="24" t="e">
        <x:f aca="0">J$84</x:f>
        <x:v>#NAME?</x:v>
      </x:c>
    </x:row>
    <x:row r="43" ht="12.649999618530273" hidden="0">
      <x:c r="A43" s="21" t="s">
        <x:v>81</x:v>
      </x:c>
      <x:c r="B43" s="22" t="n">
        <x:f aca="0">IFERROR(SUMIF($D$53:$D$78,"产业趋势",K$53:K$78)/SUMIF($C$53:$C$78,"增值",K$53:K$78),0)</x:f>
        <x:v>0</x:v>
      </x:c>
      <x:c r="C43" s="22" t="n">
        <x:f aca="0">IFERROR(SUMIF($D$53:$D$78,"指增",K$53:K$78)/SUMIF($C$53:$C$78,"增值",K$53:K$78),0)</x:f>
        <x:v>0</x:v>
      </x:c>
      <x:c r="D43" s="22" t="e">
        <x:f aca="0">SUMIF($C$53:$C$78,"增值",K$53:K$78)</x:f>
        <x:v>#NAME?</x:v>
      </x:c>
      <x:c r="E43" s="24" t="e">
        <x:f aca="0">K$84</x:f>
        <x:v>#NAME?</x:v>
      </x:c>
    </x:row>
    <x:row r="44" ht="12.649999618530273" hidden="0">
      <x:c r="A44" s="21" t="s">
        <x:v>82</x:v>
      </x:c>
      <x:c r="B44" s="22" t="n">
        <x:f aca="0">IFERROR(SUMIF($D$53:$D$78,"产业趋势",L$53:L$78)/SUMIF($C$53:$C$78,"增值",L$53:L$78),0)</x:f>
        <x:v>0</x:v>
      </x:c>
      <x:c r="C44" s="22" t="n">
        <x:f aca="0">IFERROR(SUMIF($D$53:$D$78,"指增",L$53:L$78)/SUMIF($C$53:$C$78,"增值",L$53:L$78),0)</x:f>
        <x:v>0</x:v>
      </x:c>
      <x:c r="D44" s="22" t="e">
        <x:f aca="0">SUMIF($C$53:$C$78,"增值",L$53:L$78)</x:f>
        <x:v>#NAME?</x:v>
      </x:c>
      <x:c r="E44" s="24" t="e">
        <x:f aca="0">L$84</x:f>
        <x:v>#NAME?</x:v>
      </x:c>
    </x:row>
    <x:row r="45" ht="12.649999618530273" hidden="0">
      <x:c r="A45" s="27" t="s">
        <x:v>88</x:v>
      </x:c>
      <x:c r="B45" s="27"/>
      <x:c r="C45" s="27"/>
      <x:c r="D45" s="27"/>
      <x:c r="E45" s="27"/>
    </x:row>
    <x:row r="46" ht="12.649999618530273" hidden="0"/>
    <x:row r="47" ht="33.75" hidden="0" customHeight="1">
      <x:c r="A47" s="28" t="s">
        <x:v>89</x:v>
      </x:c>
      <x:c r="B47" s="28"/>
      <x:c r="C47" s="28"/>
      <x:c r="D47" s="28"/>
      <x:c r="E47" s="28"/>
      <x:c r="F47" s="28"/>
      <x:c r="G47" s="28"/>
      <x:c r="H47" s="28"/>
    </x:row>
    <x:row r="50" ht="21" hidden="0" customHeight="1">
      <x:c r="A50" s="29" t="s">
        <x:v>90</x:v>
      </x:c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</x:row>
    <x:row r="51" ht="24" hidden="0" customHeight="1">
      <x:c r="A51" s="27" t="s">
        <x:v>91</x:v>
      </x:c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 ht="27.75" hidden="0" customHeight="1">
      <x:c r="A52" s="20" t="s">
        <x:v>28</x:v>
      </x:c>
      <x:c r="B52" s="20" t="s">
        <x:v>1</x:v>
      </x:c>
      <x:c r="C52" s="20" t="s">
        <x:v>92</x:v>
      </x:c>
      <x:c r="D52" s="20" t="s">
        <x:v>93</x:v>
      </x:c>
      <x:c r="E52" s="20" t="s">
        <x:v>94</x:v>
      </x:c>
      <x:c r="F52" s="20" t="s">
        <x:v>95</x:v>
      </x:c>
      <x:c r="G52" s="20" t="s">
        <x:v>96</x:v>
      </x:c>
      <x:c r="H52" s="20" t="s">
        <x:v>97</x:v>
      </x:c>
      <x:c r="I52" s="20" t="s">
        <x:v>98</x:v>
      </x:c>
      <x:c r="J52" s="30" t="s">
        <x:v>80</x:v>
      </x:c>
      <x:c r="K52" s="30" t="s">
        <x:v>99</x:v>
      </x:c>
      <x:c r="L52" s="30" t="s">
        <x:v>82</x:v>
      </x:c>
    </x:row>
    <x:row r="53" ht="12.649999618530273" hidden="0">
      <x:c r="A53" s="21" t="s">
        <x:v>29</x:v>
      </x:c>
      <x:c r="B53" s="31" t="s">
        <x:v>100</x:v>
      </x:c>
      <x:c r="C53" s="23" t="s">
        <x:v>101</x:v>
      </x:c>
      <x:c r="D53" s="21" t="s">
        <x:v>102</x:v>
      </x:c>
      <x:c r="E53" s="23" t="s">
        <x:v>103</x:v>
      </x:c>
      <x:c r="F53" s="23" t="s">
        <x:v>104</x:v>
      </x:c>
      <x:c r="G53" s="22" t="e">
        <x:f aca="0">IFERROR(INDEX(分期持仓明细!$B$5:$AA$200,G$82-4,MATCH(LEFT($A53,6),分期持仓明细!$B$3:$AA$3,0))*INDEX('实盘净值数据(iFinD公式)'!$B$5:$AA$1000,$B$81,MATCH($A53,'实盘净值数据(iFinD公式)'!$B$3:$AA$3,0))/INDEX('实盘净值数据(iFinD公式)'!$B$5:$AA$1000,MATCH(G$84,'实盘净值数据(iFinD公式)'!$A$5:$A$1000,0),MATCH($A53,'实盘净值数据(iFinD公式)'!$B$3:$AA$3,0))/G$85,G89)</x:f>
        <x:v>#NAME?</x:v>
      </x:c>
      <x:c r="H53" s="22" t="e">
        <x:f aca="0">IFERROR(INDEX(分期持仓明细!$B$5:$AA$200,H$82-4,MATCH(LEFT($A53,6),分期持仓明细!$B$3:$AA$3,0))*INDEX('实盘净值数据(iFinD公式)'!$B$5:$AA$1000,$B$81,MATCH($A53,'实盘净值数据(iFinD公式)'!$B$3:$AA$3,0))/INDEX('实盘净值数据(iFinD公式)'!$B$5:$AA$1000,MATCH(H$84,'实盘净值数据(iFinD公式)'!$A$5:$A$1000,0),MATCH($A53,'实盘净值数据(iFinD公式)'!$B$3:$AA$3,0))/H$85,H89)</x:f>
        <x:v>#NAME?</x:v>
      </x:c>
      <x:c r="I53" s="22" t="e">
        <x:f aca="0">IFERROR(INDEX(分期持仓明细!$B$5:$AA$200,I$82-4,MATCH(LEFT($A53,6),分期持仓明细!$B$3:$AA$3,0))*INDEX('实盘净值数据(iFinD公式)'!$B$5:$AA$1000,$B$81,MATCH($A53,'实盘净值数据(iFinD公式)'!$B$3:$AA$3,0))/INDEX('实盘净值数据(iFinD公式)'!$B$5:$AA$1000,MATCH(I$84,'实盘净值数据(iFinD公式)'!$A$5:$A$1000,0),MATCH($A53,'实盘净值数据(iFinD公式)'!$B$3:$AA$3,0))/I$85,I89)</x:f>
        <x:v>#NAME?</x:v>
      </x:c>
      <x:c r="J53" s="22" t="e">
        <x:f aca="0">IFERROR(INDEX(分期持仓明细!$B$5:$AA$200,J$82-4,MATCH(LEFT($A53,6),分期持仓明细!$B$3:$AA$3,0))*INDEX('实盘净值数据(iFinD公式)'!$B$5:$AA$1000,$B$81,MATCH($A53,'实盘净值数据(iFinD公式)'!$B$3:$AA$3,0))/INDEX('实盘净值数据(iFinD公式)'!$B$5:$AA$1000,MATCH(J$84,'实盘净值数据(iFinD公式)'!$A$5:$A$1000,0),MATCH($A53,'实盘净值数据(iFinD公式)'!$B$3:$AA$3,0))/J$85,J89)</x:f>
        <x:v>#NAME?</x:v>
      </x:c>
      <x:c r="K53" s="22" t="e">
        <x:f aca="0">IFERROR(INDEX(分期持仓明细!$B$5:$AA$200,K$82-4,MATCH(LEFT($A53,6),分期持仓明细!$B$3:$AA$3,0))*INDEX('实盘净值数据(iFinD公式)'!$B$5:$AA$1000,$B$81,MATCH($A53,'实盘净值数据(iFinD公式)'!$B$3:$AA$3,0))/INDEX('实盘净值数据(iFinD公式)'!$B$5:$AA$1000,MATCH(K$84,'实盘净值数据(iFinD公式)'!$A$5:$A$1000,0),MATCH($A53,'实盘净值数据(iFinD公式)'!$B$3:$AA$3,0))/K$85,K89)</x:f>
        <x:v>#NAME?</x:v>
      </x:c>
      <x:c r="L53" s="22" t="e">
        <x:f aca="0">IFERROR(INDEX(分期持仓明细!$B$5:$AA$200,L$82-4,MATCH(LEFT($A53,6),分期持仓明细!$B$3:$AA$3,0))*INDEX('实盘净值数据(iFinD公式)'!$B$5:$AA$1000,$B$81,MATCH($A53,'实盘净值数据(iFinD公式)'!$B$3:$AA$3,0))/INDEX('实盘净值数据(iFinD公式)'!$B$5:$AA$1000,MATCH(L$84,'实盘净值数据(iFinD公式)'!$A$5:$A$1000,0),MATCH($A53,'实盘净值数据(iFinD公式)'!$B$3:$AA$3,0))/L$85,L89)</x:f>
        <x:v>#NAME?</x:v>
      </x:c>
      <x:c r="M53" t="e">
        <x:f aca="0">IF(G53&gt;0,COUNTIF(G$53:G53,"&gt;0"),"")</x:f>
        <x:v>#NAME?</x:v>
      </x:c>
      <x:c r="N53" t="e">
        <x:f aca="0">IF(H53&gt;0,COUNTIF(H$53:H53,"&gt;0"),"")</x:f>
        <x:v>#NAME?</x:v>
      </x:c>
      <x:c r="O53" t="e">
        <x:f aca="0">IF(I53&gt;0,COUNTIF(I$53:I53,"&gt;0"),"")</x:f>
        <x:v>#NAME?</x:v>
      </x:c>
      <x:c r="P53" t="e">
        <x:f aca="0">IF(J53&gt;0,COUNTIF(J$53:J53,"&gt;0"),"")</x:f>
        <x:v>#NAME?</x:v>
      </x:c>
      <x:c r="Q53" t="e">
        <x:f aca="0">IF(K53&gt;0,COUNTIF(K$53:K53,"&gt;0"),"")</x:f>
        <x:v>#NAME?</x:v>
      </x:c>
      <x:c r="R53" t="e">
        <x:f aca="0">IF(L53&gt;0,COUNTIF(L$53:L53,"&gt;0"),"")</x:f>
        <x:v>#NAME?</x:v>
      </x:c>
    </x:row>
    <x:row r="54" ht="12.649999618530273" hidden="0">
      <x:c r="A54" s="21" t="s">
        <x:v>30</x:v>
      </x:c>
      <x:c r="B54" s="31" t="s">
        <x:v>105</x:v>
      </x:c>
      <x:c r="C54" s="23" t="s">
        <x:v>101</x:v>
      </x:c>
      <x:c r="D54" s="21" t="s">
        <x:v>102</x:v>
      </x:c>
      <x:c r="E54" s="23" t="s">
        <x:v>106</x:v>
      </x:c>
      <x:c r="F54" s="23" t="s">
        <x:v>107</x:v>
      </x:c>
      <x:c r="G54" s="22" t="e">
        <x:f aca="0">IFERROR(INDEX(分期持仓明细!$B$5:$AA$200,G$82-4,MATCH(LEFT($A54,6),分期持仓明细!$B$3:$AA$3,0))*INDEX('实盘净值数据(iFinD公式)'!$B$5:$AA$1000,$B$81,MATCH($A54,'实盘净值数据(iFinD公式)'!$B$3:$AA$3,0))/INDEX('实盘净值数据(iFinD公式)'!$B$5:$AA$1000,MATCH(G$84,'实盘净值数据(iFinD公式)'!$A$5:$A$1000,0),MATCH($A54,'实盘净值数据(iFinD公式)'!$B$3:$AA$3,0))/G$85,G90)</x:f>
        <x:v>#NAME?</x:v>
      </x:c>
      <x:c r="H54" s="22" t="e">
        <x:f aca="0">IFERROR(INDEX(分期持仓明细!$B$5:$AA$200,H$82-4,MATCH(LEFT($A54,6),分期持仓明细!$B$3:$AA$3,0))*INDEX('实盘净值数据(iFinD公式)'!$B$5:$AA$1000,$B$81,MATCH($A54,'实盘净值数据(iFinD公式)'!$B$3:$AA$3,0))/INDEX('实盘净值数据(iFinD公式)'!$B$5:$AA$1000,MATCH(H$84,'实盘净值数据(iFinD公式)'!$A$5:$A$1000,0),MATCH($A54,'实盘净值数据(iFinD公式)'!$B$3:$AA$3,0))/H$85,H90)</x:f>
        <x:v>#NAME?</x:v>
      </x:c>
      <x:c r="I54" s="22" t="e">
        <x:f aca="0">IFERROR(INDEX(分期持仓明细!$B$5:$AA$200,I$82-4,MATCH(LEFT($A54,6),分期持仓明细!$B$3:$AA$3,0))*INDEX('实盘净值数据(iFinD公式)'!$B$5:$AA$1000,$B$81,MATCH($A54,'实盘净值数据(iFinD公式)'!$B$3:$AA$3,0))/INDEX('实盘净值数据(iFinD公式)'!$B$5:$AA$1000,MATCH(I$84,'实盘净值数据(iFinD公式)'!$A$5:$A$1000,0),MATCH($A54,'实盘净值数据(iFinD公式)'!$B$3:$AA$3,0))/I$85,I90)</x:f>
        <x:v>#NAME?</x:v>
      </x:c>
      <x:c r="J54" s="22" t="e">
        <x:f aca="0">IFERROR(INDEX(分期持仓明细!$B$5:$AA$200,J$82-4,MATCH(LEFT($A54,6),分期持仓明细!$B$3:$AA$3,0))*INDEX('实盘净值数据(iFinD公式)'!$B$5:$AA$1000,$B$81,MATCH($A54,'实盘净值数据(iFinD公式)'!$B$3:$AA$3,0))/INDEX('实盘净值数据(iFinD公式)'!$B$5:$AA$1000,MATCH(J$84,'实盘净值数据(iFinD公式)'!$A$5:$A$1000,0),MATCH($A54,'实盘净值数据(iFinD公式)'!$B$3:$AA$3,0))/J$85,J90)</x:f>
        <x:v>#NAME?</x:v>
      </x:c>
      <x:c r="K54" s="22" t="e">
        <x:f aca="0">IFERROR(INDEX(分期持仓明细!$B$5:$AA$200,K$82-4,MATCH(LEFT($A54,6),分期持仓明细!$B$3:$AA$3,0))*INDEX('实盘净值数据(iFinD公式)'!$B$5:$AA$1000,$B$81,MATCH($A54,'实盘净值数据(iFinD公式)'!$B$3:$AA$3,0))/INDEX('实盘净值数据(iFinD公式)'!$B$5:$AA$1000,MATCH(K$84,'实盘净值数据(iFinD公式)'!$A$5:$A$1000,0),MATCH($A54,'实盘净值数据(iFinD公式)'!$B$3:$AA$3,0))/K$85,K90)</x:f>
        <x:v>#NAME?</x:v>
      </x:c>
      <x:c r="L54" s="22" t="e">
        <x:f aca="0">IFERROR(INDEX(分期持仓明细!$B$5:$AA$200,L$82-4,MATCH(LEFT($A54,6),分期持仓明细!$B$3:$AA$3,0))*INDEX('实盘净值数据(iFinD公式)'!$B$5:$AA$1000,$B$81,MATCH($A54,'实盘净值数据(iFinD公式)'!$B$3:$AA$3,0))/INDEX('实盘净值数据(iFinD公式)'!$B$5:$AA$1000,MATCH(L$84,'实盘净值数据(iFinD公式)'!$A$5:$A$1000,0),MATCH($A54,'实盘净值数据(iFinD公式)'!$B$3:$AA$3,0))/L$85,L90)</x:f>
        <x:v>#NAME?</x:v>
      </x:c>
      <x:c r="M54" t="e">
        <x:f aca="0">IF(G54&gt;0,COUNTIF(G$53:G54,"&gt;0"),"")</x:f>
        <x:v>#NAME?</x:v>
      </x:c>
      <x:c r="N54" t="e">
        <x:f aca="0">IF(H54&gt;0,COUNTIF(H$53:H54,"&gt;0"),"")</x:f>
        <x:v>#NAME?</x:v>
      </x:c>
      <x:c r="O54" t="e">
        <x:f aca="0">IF(I54&gt;0,COUNTIF(I$53:I54,"&gt;0"),"")</x:f>
        <x:v>#NAME?</x:v>
      </x:c>
      <x:c r="P54" t="e">
        <x:f aca="0">IF(J54&gt;0,COUNTIF(J$53:J54,"&gt;0"),"")</x:f>
        <x:v>#NAME?</x:v>
      </x:c>
      <x:c r="Q54" t="e">
        <x:f aca="0">IF(K54&gt;0,COUNTIF(K$53:K54,"&gt;0"),"")</x:f>
        <x:v>#NAME?</x:v>
      </x:c>
      <x:c r="R54" t="e">
        <x:f aca="0">IF(L54&gt;0,COUNTIF(L$53:L54,"&gt;0"),"")</x:f>
        <x:v>#NAME?</x:v>
      </x:c>
    </x:row>
    <x:row r="55" ht="12.649999618530273" hidden="0">
      <x:c r="A55" s="21" t="s">
        <x:v>31</x:v>
      </x:c>
      <x:c r="B55" s="31" t="s">
        <x:v>108</x:v>
      </x:c>
      <x:c r="C55" s="23" t="s">
        <x:v>109</x:v>
      </x:c>
      <x:c r="D55" s="23" t="s">
        <x:v>96</x:v>
      </x:c>
      <x:c r="E55" s="23" t="s">
        <x:v>110</x:v>
      </x:c>
      <x:c r="F55" s="23" t="s">
        <x:v>111</x:v>
      </x:c>
      <x:c r="G55" s="22" t="e">
        <x:f aca="0">IFERROR(INDEX(分期持仓明细!$B$5:$AA$200,G$82-4,MATCH(LEFT($A55,6),分期持仓明细!$B$3:$AA$3,0))*INDEX('实盘净值数据(iFinD公式)'!$B$5:$AA$1000,$B$81,MATCH($A55,'实盘净值数据(iFinD公式)'!$B$3:$AA$3,0))/INDEX('实盘净值数据(iFinD公式)'!$B$5:$AA$1000,MATCH(G$84,'实盘净值数据(iFinD公式)'!$A$5:$A$1000,0),MATCH($A55,'实盘净值数据(iFinD公式)'!$B$3:$AA$3,0))/G$85,G91)</x:f>
        <x:v>#NAME?</x:v>
      </x:c>
      <x:c r="H55" s="22" t="e">
        <x:f aca="0">IFERROR(INDEX(分期持仓明细!$B$5:$AA$200,H$82-4,MATCH(LEFT($A55,6),分期持仓明细!$B$3:$AA$3,0))*INDEX('实盘净值数据(iFinD公式)'!$B$5:$AA$1000,$B$81,MATCH($A55,'实盘净值数据(iFinD公式)'!$B$3:$AA$3,0))/INDEX('实盘净值数据(iFinD公式)'!$B$5:$AA$1000,MATCH(H$84,'实盘净值数据(iFinD公式)'!$A$5:$A$1000,0),MATCH($A55,'实盘净值数据(iFinD公式)'!$B$3:$AA$3,0))/H$85,H91)</x:f>
        <x:v>#NAME?</x:v>
      </x:c>
      <x:c r="I55" s="22" t="e">
        <x:f aca="0">IFERROR(INDEX(分期持仓明细!$B$5:$AA$200,I$82-4,MATCH(LEFT($A55,6),分期持仓明细!$B$3:$AA$3,0))*INDEX('实盘净值数据(iFinD公式)'!$B$5:$AA$1000,$B$81,MATCH($A55,'实盘净值数据(iFinD公式)'!$B$3:$AA$3,0))/INDEX('实盘净值数据(iFinD公式)'!$B$5:$AA$1000,MATCH(I$84,'实盘净值数据(iFinD公式)'!$A$5:$A$1000,0),MATCH($A55,'实盘净值数据(iFinD公式)'!$B$3:$AA$3,0))/I$85,I91)</x:f>
        <x:v>#NAME?</x:v>
      </x:c>
      <x:c r="J55" s="22" t="e">
        <x:f aca="0">IFERROR(INDEX(分期持仓明细!$B$5:$AA$200,J$82-4,MATCH(LEFT($A55,6),分期持仓明细!$B$3:$AA$3,0))*INDEX('实盘净值数据(iFinD公式)'!$B$5:$AA$1000,$B$81,MATCH($A55,'实盘净值数据(iFinD公式)'!$B$3:$AA$3,0))/INDEX('实盘净值数据(iFinD公式)'!$B$5:$AA$1000,MATCH(J$84,'实盘净值数据(iFinD公式)'!$A$5:$A$1000,0),MATCH($A55,'实盘净值数据(iFinD公式)'!$B$3:$AA$3,0))/J$85,J91)</x:f>
        <x:v>#NAME?</x:v>
      </x:c>
      <x:c r="K55" s="22" t="e">
        <x:f aca="0">IFERROR(INDEX(分期持仓明细!$B$5:$AA$200,K$82-4,MATCH(LEFT($A55,6),分期持仓明细!$B$3:$AA$3,0))*INDEX('实盘净值数据(iFinD公式)'!$B$5:$AA$1000,$B$81,MATCH($A55,'实盘净值数据(iFinD公式)'!$B$3:$AA$3,0))/INDEX('实盘净值数据(iFinD公式)'!$B$5:$AA$1000,MATCH(K$84,'实盘净值数据(iFinD公式)'!$A$5:$A$1000,0),MATCH($A55,'实盘净值数据(iFinD公式)'!$B$3:$AA$3,0))/K$85,K91)</x:f>
        <x:v>#NAME?</x:v>
      </x:c>
      <x:c r="L55" s="22" t="e">
        <x:f aca="0">IFERROR(INDEX(分期持仓明细!$B$5:$AA$200,L$82-4,MATCH(LEFT($A55,6),分期持仓明细!$B$3:$AA$3,0))*INDEX('实盘净值数据(iFinD公式)'!$B$5:$AA$1000,$B$81,MATCH($A55,'实盘净值数据(iFinD公式)'!$B$3:$AA$3,0))/INDEX('实盘净值数据(iFinD公式)'!$B$5:$AA$1000,MATCH(L$84,'实盘净值数据(iFinD公式)'!$A$5:$A$1000,0),MATCH($A55,'实盘净值数据(iFinD公式)'!$B$3:$AA$3,0))/L$85,L91)</x:f>
        <x:v>#NAME?</x:v>
      </x:c>
      <x:c r="M55" t="e">
        <x:f aca="0">IF(G55&gt;0,COUNTIF(G$53:G55,"&gt;0"),"")</x:f>
        <x:v>#NAME?</x:v>
      </x:c>
      <x:c r="N55" t="e">
        <x:f aca="0">IF(H55&gt;0,COUNTIF(H$53:H55,"&gt;0"),"")</x:f>
        <x:v>#NAME?</x:v>
      </x:c>
      <x:c r="O55" t="e">
        <x:f aca="0">IF(I55&gt;0,COUNTIF(I$53:I55,"&gt;0"),"")</x:f>
        <x:v>#NAME?</x:v>
      </x:c>
      <x:c r="P55" t="e">
        <x:f aca="0">IF(J55&gt;0,COUNTIF(J$53:J55,"&gt;0"),"")</x:f>
        <x:v>#NAME?</x:v>
      </x:c>
      <x:c r="Q55" t="e">
        <x:f aca="0">IF(K55&gt;0,COUNTIF(K$53:K55,"&gt;0"),"")</x:f>
        <x:v>#NAME?</x:v>
      </x:c>
      <x:c r="R55" t="e">
        <x:f aca="0">IF(L55&gt;0,COUNTIF(L$53:L55,"&gt;0"),"")</x:f>
        <x:v>#NAME?</x:v>
      </x:c>
    </x:row>
    <x:row r="56" ht="12.649999618530273" hidden="0">
      <x:c r="A56" s="21" t="s">
        <x:v>32</x:v>
      </x:c>
      <x:c r="B56" s="31" t="s">
        <x:v>112</x:v>
      </x:c>
      <x:c r="C56" s="23" t="s">
        <x:v>109</x:v>
      </x:c>
      <x:c r="D56" s="23" t="s">
        <x:v>113</x:v>
      </x:c>
      <x:c r="E56" s="23" t="s">
        <x:v>113</x:v>
      </x:c>
      <x:c r="F56" s="23" t="s">
        <x:v>114</x:v>
      </x:c>
      <x:c r="G56" s="22" t="e">
        <x:f aca="0">IFERROR(INDEX(分期持仓明细!$B$5:$AA$200,G$82-4,MATCH(LEFT($A56,6),分期持仓明细!$B$3:$AA$3,0))*INDEX('实盘净值数据(iFinD公式)'!$B$5:$AA$1000,$B$81,MATCH($A56,'实盘净值数据(iFinD公式)'!$B$3:$AA$3,0))/INDEX('实盘净值数据(iFinD公式)'!$B$5:$AA$1000,MATCH(G$84,'实盘净值数据(iFinD公式)'!$A$5:$A$1000,0),MATCH($A56,'实盘净值数据(iFinD公式)'!$B$3:$AA$3,0))/G$85,G92)</x:f>
        <x:v>#NAME?</x:v>
      </x:c>
      <x:c r="H56" s="22" t="e">
        <x:f aca="0">IFERROR(INDEX(分期持仓明细!$B$5:$AA$200,H$82-4,MATCH(LEFT($A56,6),分期持仓明细!$B$3:$AA$3,0))*INDEX('实盘净值数据(iFinD公式)'!$B$5:$AA$1000,$B$81,MATCH($A56,'实盘净值数据(iFinD公式)'!$B$3:$AA$3,0))/INDEX('实盘净值数据(iFinD公式)'!$B$5:$AA$1000,MATCH(H$84,'实盘净值数据(iFinD公式)'!$A$5:$A$1000,0),MATCH($A56,'实盘净值数据(iFinD公式)'!$B$3:$AA$3,0))/H$85,H92)</x:f>
        <x:v>#NAME?</x:v>
      </x:c>
      <x:c r="I56" s="22" t="e">
        <x:f aca="0">IFERROR(INDEX(分期持仓明细!$B$5:$AA$200,I$82-4,MATCH(LEFT($A56,6),分期持仓明细!$B$3:$AA$3,0))*INDEX('实盘净值数据(iFinD公式)'!$B$5:$AA$1000,$B$81,MATCH($A56,'实盘净值数据(iFinD公式)'!$B$3:$AA$3,0))/INDEX('实盘净值数据(iFinD公式)'!$B$5:$AA$1000,MATCH(I$84,'实盘净值数据(iFinD公式)'!$A$5:$A$1000,0),MATCH($A56,'实盘净值数据(iFinD公式)'!$B$3:$AA$3,0))/I$85,I92)</x:f>
        <x:v>#NAME?</x:v>
      </x:c>
      <x:c r="J56" s="22" t="e">
        <x:f aca="0">IFERROR(INDEX(分期持仓明细!$B$5:$AA$200,J$82-4,MATCH(LEFT($A56,6),分期持仓明细!$B$3:$AA$3,0))*INDEX('实盘净值数据(iFinD公式)'!$B$5:$AA$1000,$B$81,MATCH($A56,'实盘净值数据(iFinD公式)'!$B$3:$AA$3,0))/INDEX('实盘净值数据(iFinD公式)'!$B$5:$AA$1000,MATCH(J$84,'实盘净值数据(iFinD公式)'!$A$5:$A$1000,0),MATCH($A56,'实盘净值数据(iFinD公式)'!$B$3:$AA$3,0))/J$85,J92)</x:f>
        <x:v>#NAME?</x:v>
      </x:c>
      <x:c r="K56" s="22" t="e">
        <x:f aca="0">IFERROR(INDEX(分期持仓明细!$B$5:$AA$200,K$82-4,MATCH(LEFT($A56,6),分期持仓明细!$B$3:$AA$3,0))*INDEX('实盘净值数据(iFinD公式)'!$B$5:$AA$1000,$B$81,MATCH($A56,'实盘净值数据(iFinD公式)'!$B$3:$AA$3,0))/INDEX('实盘净值数据(iFinD公式)'!$B$5:$AA$1000,MATCH(K$84,'实盘净值数据(iFinD公式)'!$A$5:$A$1000,0),MATCH($A56,'实盘净值数据(iFinD公式)'!$B$3:$AA$3,0))/K$85,K92)</x:f>
        <x:v>#NAME?</x:v>
      </x:c>
      <x:c r="L56" s="22" t="e">
        <x:f aca="0">IFERROR(INDEX(分期持仓明细!$B$5:$AA$200,L$82-4,MATCH(LEFT($A56,6),分期持仓明细!$B$3:$AA$3,0))*INDEX('实盘净值数据(iFinD公式)'!$B$5:$AA$1000,$B$81,MATCH($A56,'实盘净值数据(iFinD公式)'!$B$3:$AA$3,0))/INDEX('实盘净值数据(iFinD公式)'!$B$5:$AA$1000,MATCH(L$84,'实盘净值数据(iFinD公式)'!$A$5:$A$1000,0),MATCH($A56,'实盘净值数据(iFinD公式)'!$B$3:$AA$3,0))/L$85,L92)</x:f>
        <x:v>#NAME?</x:v>
      </x:c>
      <x:c r="M56" t="e">
        <x:f aca="0">IF(G56&gt;0,COUNTIF(G$53:G56,"&gt;0"),"")</x:f>
        <x:v>#NAME?</x:v>
      </x:c>
      <x:c r="N56" t="e">
        <x:f aca="0">IF(H56&gt;0,COUNTIF(H$53:H56,"&gt;0"),"")</x:f>
        <x:v>#NAME?</x:v>
      </x:c>
      <x:c r="O56" t="e">
        <x:f aca="0">IF(I56&gt;0,COUNTIF(I$53:I56,"&gt;0"),"")</x:f>
        <x:v>#NAME?</x:v>
      </x:c>
      <x:c r="P56" t="e">
        <x:f aca="0">IF(J56&gt;0,COUNTIF(J$53:J56,"&gt;0"),"")</x:f>
        <x:v>#NAME?</x:v>
      </x:c>
      <x:c r="Q56" t="e">
        <x:f aca="0">IF(K56&gt;0,COUNTIF(K$53:K56,"&gt;0"),"")</x:f>
        <x:v>#NAME?</x:v>
      </x:c>
      <x:c r="R56" t="e">
        <x:f aca="0">IF(L56&gt;0,COUNTIF(L$53:L56,"&gt;0"),"")</x:f>
        <x:v>#NAME?</x:v>
      </x:c>
    </x:row>
    <x:row r="57" ht="12.649999618530273" hidden="0">
      <x:c r="A57" s="21" t="s">
        <x:v>33</x:v>
      </x:c>
      <x:c r="B57" s="31" t="s">
        <x:v>115</x:v>
      </x:c>
      <x:c r="C57" s="23" t="s">
        <x:v>109</x:v>
      </x:c>
      <x:c r="D57" s="23" t="s">
        <x:v>113</x:v>
      </x:c>
      <x:c r="E57" s="23" t="s">
        <x:v>113</x:v>
      </x:c>
      <x:c r="F57" s="23" t="s">
        <x:v>116</x:v>
      </x:c>
      <x:c r="G57" s="22" t="e">
        <x:f aca="0">IFERROR(INDEX(分期持仓明细!$B$5:$AA$200,G$82-4,MATCH(LEFT($A57,6),分期持仓明细!$B$3:$AA$3,0))*INDEX('实盘净值数据(iFinD公式)'!$B$5:$AA$1000,$B$81,MATCH($A57,'实盘净值数据(iFinD公式)'!$B$3:$AA$3,0))/INDEX('实盘净值数据(iFinD公式)'!$B$5:$AA$1000,MATCH(G$84,'实盘净值数据(iFinD公式)'!$A$5:$A$1000,0),MATCH($A57,'实盘净值数据(iFinD公式)'!$B$3:$AA$3,0))/G$85,G93)</x:f>
        <x:v>#NAME?</x:v>
      </x:c>
      <x:c r="H57" s="22" t="e">
        <x:f aca="0">IFERROR(INDEX(分期持仓明细!$B$5:$AA$200,H$82-4,MATCH(LEFT($A57,6),分期持仓明细!$B$3:$AA$3,0))*INDEX('实盘净值数据(iFinD公式)'!$B$5:$AA$1000,$B$81,MATCH($A57,'实盘净值数据(iFinD公式)'!$B$3:$AA$3,0))/INDEX('实盘净值数据(iFinD公式)'!$B$5:$AA$1000,MATCH(H$84,'实盘净值数据(iFinD公式)'!$A$5:$A$1000,0),MATCH($A57,'实盘净值数据(iFinD公式)'!$B$3:$AA$3,0))/H$85,H93)</x:f>
        <x:v>#NAME?</x:v>
      </x:c>
      <x:c r="I57" s="22" t="e">
        <x:f aca="0">IFERROR(INDEX(分期持仓明细!$B$5:$AA$200,I$82-4,MATCH(LEFT($A57,6),分期持仓明细!$B$3:$AA$3,0))*INDEX('实盘净值数据(iFinD公式)'!$B$5:$AA$1000,$B$81,MATCH($A57,'实盘净值数据(iFinD公式)'!$B$3:$AA$3,0))/INDEX('实盘净值数据(iFinD公式)'!$B$5:$AA$1000,MATCH(I$84,'实盘净值数据(iFinD公式)'!$A$5:$A$1000,0),MATCH($A57,'实盘净值数据(iFinD公式)'!$B$3:$AA$3,0))/I$85,I93)</x:f>
        <x:v>#NAME?</x:v>
      </x:c>
      <x:c r="J57" s="22" t="e">
        <x:f aca="0">IFERROR(INDEX(分期持仓明细!$B$5:$AA$200,J$82-4,MATCH(LEFT($A57,6),分期持仓明细!$B$3:$AA$3,0))*INDEX('实盘净值数据(iFinD公式)'!$B$5:$AA$1000,$B$81,MATCH($A57,'实盘净值数据(iFinD公式)'!$B$3:$AA$3,0))/INDEX('实盘净值数据(iFinD公式)'!$B$5:$AA$1000,MATCH(J$84,'实盘净值数据(iFinD公式)'!$A$5:$A$1000,0),MATCH($A57,'实盘净值数据(iFinD公式)'!$B$3:$AA$3,0))/J$85,J93)</x:f>
        <x:v>#NAME?</x:v>
      </x:c>
      <x:c r="K57" s="22" t="e">
        <x:f aca="0">IFERROR(INDEX(分期持仓明细!$B$5:$AA$200,K$82-4,MATCH(LEFT($A57,6),分期持仓明细!$B$3:$AA$3,0))*INDEX('实盘净值数据(iFinD公式)'!$B$5:$AA$1000,$B$81,MATCH($A57,'实盘净值数据(iFinD公式)'!$B$3:$AA$3,0))/INDEX('实盘净值数据(iFinD公式)'!$B$5:$AA$1000,MATCH(K$84,'实盘净值数据(iFinD公式)'!$A$5:$A$1000,0),MATCH($A57,'实盘净值数据(iFinD公式)'!$B$3:$AA$3,0))/K$85,K93)</x:f>
        <x:v>#NAME?</x:v>
      </x:c>
      <x:c r="L57" s="22" t="e">
        <x:f aca="0">IFERROR(INDEX(分期持仓明细!$B$5:$AA$200,L$82-4,MATCH(LEFT($A57,6),分期持仓明细!$B$3:$AA$3,0))*INDEX('实盘净值数据(iFinD公式)'!$B$5:$AA$1000,$B$81,MATCH($A57,'实盘净值数据(iFinD公式)'!$B$3:$AA$3,0))/INDEX('实盘净值数据(iFinD公式)'!$B$5:$AA$1000,MATCH(L$84,'实盘净值数据(iFinD公式)'!$A$5:$A$1000,0),MATCH($A57,'实盘净值数据(iFinD公式)'!$B$3:$AA$3,0))/L$85,L93)</x:f>
        <x:v>#NAME?</x:v>
      </x:c>
      <x:c r="M57" t="e">
        <x:f aca="0">IF(G57&gt;0,COUNTIF(G$53:G57,"&gt;0"),"")</x:f>
        <x:v>#NAME?</x:v>
      </x:c>
      <x:c r="N57" t="e">
        <x:f aca="0">IF(H57&gt;0,COUNTIF(H$53:H57,"&gt;0"),"")</x:f>
        <x:v>#NAME?</x:v>
      </x:c>
      <x:c r="O57" t="e">
        <x:f aca="0">IF(I57&gt;0,COUNTIF(I$53:I57,"&gt;0"),"")</x:f>
        <x:v>#NAME?</x:v>
      </x:c>
      <x:c r="P57" t="e">
        <x:f aca="0">IF(J57&gt;0,COUNTIF(J$53:J57,"&gt;0"),"")</x:f>
        <x:v>#NAME?</x:v>
      </x:c>
      <x:c r="Q57" t="e">
        <x:f aca="0">IF(K57&gt;0,COUNTIF(K$53:K57,"&gt;0"),"")</x:f>
        <x:v>#NAME?</x:v>
      </x:c>
      <x:c r="R57" t="e">
        <x:f aca="0">IF(L57&gt;0,COUNTIF(L$53:L57,"&gt;0"),"")</x:f>
        <x:v>#NAME?</x:v>
      </x:c>
    </x:row>
    <x:row r="58" ht="12.649999618530273" hidden="0">
      <x:c r="A58" s="21" t="s">
        <x:v>34</x:v>
      </x:c>
      <x:c r="B58" s="31" t="s">
        <x:v>117</x:v>
      </x:c>
      <x:c r="C58" s="23" t="s">
        <x:v>109</x:v>
      </x:c>
      <x:c r="D58" s="23" t="s">
        <x:v>96</x:v>
      </x:c>
      <x:c r="E58" s="23" t="s">
        <x:v>118</x:v>
      </x:c>
      <x:c r="F58" s="23" t="s">
        <x:v>111</x:v>
      </x:c>
      <x:c r="G58" s="22" t="e">
        <x:f aca="0">IFERROR(INDEX(分期持仓明细!$B$5:$AA$200,G$82-4,MATCH(LEFT($A58,6),分期持仓明细!$B$3:$AA$3,0))*INDEX('实盘净值数据(iFinD公式)'!$B$5:$AA$1000,$B$81,MATCH($A58,'实盘净值数据(iFinD公式)'!$B$3:$AA$3,0))/INDEX('实盘净值数据(iFinD公式)'!$B$5:$AA$1000,MATCH(G$84,'实盘净值数据(iFinD公式)'!$A$5:$A$1000,0),MATCH($A58,'实盘净值数据(iFinD公式)'!$B$3:$AA$3,0))/G$85,G94)</x:f>
        <x:v>#NAME?</x:v>
      </x:c>
      <x:c r="H58" s="22" t="e">
        <x:f aca="0">IFERROR(INDEX(分期持仓明细!$B$5:$AA$200,H$82-4,MATCH(LEFT($A58,6),分期持仓明细!$B$3:$AA$3,0))*INDEX('实盘净值数据(iFinD公式)'!$B$5:$AA$1000,$B$81,MATCH($A58,'实盘净值数据(iFinD公式)'!$B$3:$AA$3,0))/INDEX('实盘净值数据(iFinD公式)'!$B$5:$AA$1000,MATCH(H$84,'实盘净值数据(iFinD公式)'!$A$5:$A$1000,0),MATCH($A58,'实盘净值数据(iFinD公式)'!$B$3:$AA$3,0))/H$85,H94)</x:f>
        <x:v>#NAME?</x:v>
      </x:c>
      <x:c r="I58" s="22" t="e">
        <x:f aca="0">IFERROR(INDEX(分期持仓明细!$B$5:$AA$200,I$82-4,MATCH(LEFT($A58,6),分期持仓明细!$B$3:$AA$3,0))*INDEX('实盘净值数据(iFinD公式)'!$B$5:$AA$1000,$B$81,MATCH($A58,'实盘净值数据(iFinD公式)'!$B$3:$AA$3,0))/INDEX('实盘净值数据(iFinD公式)'!$B$5:$AA$1000,MATCH(I$84,'实盘净值数据(iFinD公式)'!$A$5:$A$1000,0),MATCH($A58,'实盘净值数据(iFinD公式)'!$B$3:$AA$3,0))/I$85,I94)</x:f>
        <x:v>#NAME?</x:v>
      </x:c>
      <x:c r="J58" s="22" t="e">
        <x:f aca="0">IFERROR(INDEX(分期持仓明细!$B$5:$AA$200,J$82-4,MATCH(LEFT($A58,6),分期持仓明细!$B$3:$AA$3,0))*INDEX('实盘净值数据(iFinD公式)'!$B$5:$AA$1000,$B$81,MATCH($A58,'实盘净值数据(iFinD公式)'!$B$3:$AA$3,0))/INDEX('实盘净值数据(iFinD公式)'!$B$5:$AA$1000,MATCH(J$84,'实盘净值数据(iFinD公式)'!$A$5:$A$1000,0),MATCH($A58,'实盘净值数据(iFinD公式)'!$B$3:$AA$3,0))/J$85,J94)</x:f>
        <x:v>#NAME?</x:v>
      </x:c>
      <x:c r="K58" s="22" t="e">
        <x:f aca="0">IFERROR(INDEX(分期持仓明细!$B$5:$AA$200,K$82-4,MATCH(LEFT($A58,6),分期持仓明细!$B$3:$AA$3,0))*INDEX('实盘净值数据(iFinD公式)'!$B$5:$AA$1000,$B$81,MATCH($A58,'实盘净值数据(iFinD公式)'!$B$3:$AA$3,0))/INDEX('实盘净值数据(iFinD公式)'!$B$5:$AA$1000,MATCH(K$84,'实盘净值数据(iFinD公式)'!$A$5:$A$1000,0),MATCH($A58,'实盘净值数据(iFinD公式)'!$B$3:$AA$3,0))/K$85,K94)</x:f>
        <x:v>#NAME?</x:v>
      </x:c>
      <x:c r="L58" s="22" t="e">
        <x:f aca="0">IFERROR(INDEX(分期持仓明细!$B$5:$AA$200,L$82-4,MATCH(LEFT($A58,6),分期持仓明细!$B$3:$AA$3,0))*INDEX('实盘净值数据(iFinD公式)'!$B$5:$AA$1000,$B$81,MATCH($A58,'实盘净值数据(iFinD公式)'!$B$3:$AA$3,0))/INDEX('实盘净值数据(iFinD公式)'!$B$5:$AA$1000,MATCH(L$84,'实盘净值数据(iFinD公式)'!$A$5:$A$1000,0),MATCH($A58,'实盘净值数据(iFinD公式)'!$B$3:$AA$3,0))/L$85,L94)</x:f>
        <x:v>#NAME?</x:v>
      </x:c>
      <x:c r="M58" t="e">
        <x:f aca="0">IF(G58&gt;0,COUNTIF(G$53:G58,"&gt;0"),"")</x:f>
        <x:v>#NAME?</x:v>
      </x:c>
      <x:c r="N58" t="e">
        <x:f aca="0">IF(H58&gt;0,COUNTIF(H$53:H58,"&gt;0"),"")</x:f>
        <x:v>#NAME?</x:v>
      </x:c>
      <x:c r="O58" t="e">
        <x:f aca="0">IF(I58&gt;0,COUNTIF(I$53:I58,"&gt;0"),"")</x:f>
        <x:v>#NAME?</x:v>
      </x:c>
      <x:c r="P58" t="e">
        <x:f aca="0">IF(J58&gt;0,COUNTIF(J$53:J58,"&gt;0"),"")</x:f>
        <x:v>#NAME?</x:v>
      </x:c>
      <x:c r="Q58" t="e">
        <x:f aca="0">IF(K58&gt;0,COUNTIF(K$53:K58,"&gt;0"),"")</x:f>
        <x:v>#NAME?</x:v>
      </x:c>
      <x:c r="R58" t="e">
        <x:f aca="0">IF(L58&gt;0,COUNTIF(L$53:L58,"&gt;0"),"")</x:f>
        <x:v>#NAME?</x:v>
      </x:c>
    </x:row>
    <x:row r="59" ht="12.649999618530273" hidden="0">
      <x:c r="A59" s="21" t="s">
        <x:v>35</x:v>
      </x:c>
      <x:c r="B59" s="31" t="s">
        <x:v>119</x:v>
      </x:c>
      <x:c r="C59" s="23" t="s">
        <x:v>109</x:v>
      </x:c>
      <x:c r="D59" s="23" t="s">
        <x:v>96</x:v>
      </x:c>
      <x:c r="E59" s="23" t="s">
        <x:v>118</x:v>
      </x:c>
      <x:c r="F59" s="23" t="s">
        <x:v>116</x:v>
      </x:c>
      <x:c r="G59" s="22" t="e">
        <x:f aca="0">IFERROR(INDEX(分期持仓明细!$B$5:$AA$200,G$82-4,MATCH(LEFT($A59,6),分期持仓明细!$B$3:$AA$3,0))*INDEX('实盘净值数据(iFinD公式)'!$B$5:$AA$1000,$B$81,MATCH($A59,'实盘净值数据(iFinD公式)'!$B$3:$AA$3,0))/INDEX('实盘净值数据(iFinD公式)'!$B$5:$AA$1000,MATCH(G$84,'实盘净值数据(iFinD公式)'!$A$5:$A$1000,0),MATCH($A59,'实盘净值数据(iFinD公式)'!$B$3:$AA$3,0))/G$85,G95)</x:f>
        <x:v>#NAME?</x:v>
      </x:c>
      <x:c r="H59" s="22" t="e">
        <x:f aca="0">IFERROR(INDEX(分期持仓明细!$B$5:$AA$200,H$82-4,MATCH(LEFT($A59,6),分期持仓明细!$B$3:$AA$3,0))*INDEX('实盘净值数据(iFinD公式)'!$B$5:$AA$1000,$B$81,MATCH($A59,'实盘净值数据(iFinD公式)'!$B$3:$AA$3,0))/INDEX('实盘净值数据(iFinD公式)'!$B$5:$AA$1000,MATCH(H$84,'实盘净值数据(iFinD公式)'!$A$5:$A$1000,0),MATCH($A59,'实盘净值数据(iFinD公式)'!$B$3:$AA$3,0))/H$85,H95)</x:f>
        <x:v>#NAME?</x:v>
      </x:c>
      <x:c r="I59" s="22" t="e">
        <x:f aca="0">IFERROR(INDEX(分期持仓明细!$B$5:$AA$200,I$82-4,MATCH(LEFT($A59,6),分期持仓明细!$B$3:$AA$3,0))*INDEX('实盘净值数据(iFinD公式)'!$B$5:$AA$1000,$B$81,MATCH($A59,'实盘净值数据(iFinD公式)'!$B$3:$AA$3,0))/INDEX('实盘净值数据(iFinD公式)'!$B$5:$AA$1000,MATCH(I$84,'实盘净值数据(iFinD公式)'!$A$5:$A$1000,0),MATCH($A59,'实盘净值数据(iFinD公式)'!$B$3:$AA$3,0))/I$85,I95)</x:f>
        <x:v>#NAME?</x:v>
      </x:c>
      <x:c r="J59" s="22" t="e">
        <x:f aca="0">IFERROR(INDEX(分期持仓明细!$B$5:$AA$200,J$82-4,MATCH(LEFT($A59,6),分期持仓明细!$B$3:$AA$3,0))*INDEX('实盘净值数据(iFinD公式)'!$B$5:$AA$1000,$B$81,MATCH($A59,'实盘净值数据(iFinD公式)'!$B$3:$AA$3,0))/INDEX('实盘净值数据(iFinD公式)'!$B$5:$AA$1000,MATCH(J$84,'实盘净值数据(iFinD公式)'!$A$5:$A$1000,0),MATCH($A59,'实盘净值数据(iFinD公式)'!$B$3:$AA$3,0))/J$85,J95)</x:f>
        <x:v>#NAME?</x:v>
      </x:c>
      <x:c r="K59" s="22" t="e">
        <x:f aca="0">IFERROR(INDEX(分期持仓明细!$B$5:$AA$200,K$82-4,MATCH(LEFT($A59,6),分期持仓明细!$B$3:$AA$3,0))*INDEX('实盘净值数据(iFinD公式)'!$B$5:$AA$1000,$B$81,MATCH($A59,'实盘净值数据(iFinD公式)'!$B$3:$AA$3,0))/INDEX('实盘净值数据(iFinD公式)'!$B$5:$AA$1000,MATCH(K$84,'实盘净值数据(iFinD公式)'!$A$5:$A$1000,0),MATCH($A59,'实盘净值数据(iFinD公式)'!$B$3:$AA$3,0))/K$85,K95)</x:f>
        <x:v>#NAME?</x:v>
      </x:c>
      <x:c r="L59" s="22" t="e">
        <x:f aca="0">IFERROR(INDEX(分期持仓明细!$B$5:$AA$200,L$82-4,MATCH(LEFT($A59,6),分期持仓明细!$B$3:$AA$3,0))*INDEX('实盘净值数据(iFinD公式)'!$B$5:$AA$1000,$B$81,MATCH($A59,'实盘净值数据(iFinD公式)'!$B$3:$AA$3,0))/INDEX('实盘净值数据(iFinD公式)'!$B$5:$AA$1000,MATCH(L$84,'实盘净值数据(iFinD公式)'!$A$5:$A$1000,0),MATCH($A59,'实盘净值数据(iFinD公式)'!$B$3:$AA$3,0))/L$85,L95)</x:f>
        <x:v>#NAME?</x:v>
      </x:c>
      <x:c r="M59" t="e">
        <x:f aca="0">IF(G59&gt;0,COUNTIF(G$53:G59,"&gt;0"),"")</x:f>
        <x:v>#NAME?</x:v>
      </x:c>
      <x:c r="N59" t="e">
        <x:f aca="0">IF(H59&gt;0,COUNTIF(H$53:H59,"&gt;0"),"")</x:f>
        <x:v>#NAME?</x:v>
      </x:c>
      <x:c r="O59" t="e">
        <x:f aca="0">IF(I59&gt;0,COUNTIF(I$53:I59,"&gt;0"),"")</x:f>
        <x:v>#NAME?</x:v>
      </x:c>
      <x:c r="P59" t="e">
        <x:f aca="0">IF(J59&gt;0,COUNTIF(J$53:J59,"&gt;0"),"")</x:f>
        <x:v>#NAME?</x:v>
      </x:c>
      <x:c r="Q59" t="e">
        <x:f aca="0">IF(K59&gt;0,COUNTIF(K$53:K59,"&gt;0"),"")</x:f>
        <x:v>#NAME?</x:v>
      </x:c>
      <x:c r="R59" t="e">
        <x:f aca="0">IF(L59&gt;0,COUNTIF(L$53:L59,"&gt;0"),"")</x:f>
        <x:v>#NAME?</x:v>
      </x:c>
    </x:row>
    <x:row r="60" ht="12.649999618530273" hidden="0">
      <x:c r="A60" s="21" t="s">
        <x:v>36</x:v>
      </x:c>
      <x:c r="B60" s="31" t="s">
        <x:v>9</x:v>
      </x:c>
      <x:c r="C60" s="23" t="s">
        <x:v>109</x:v>
      </x:c>
      <x:c r="D60" s="23" t="s">
        <x:v>96</x:v>
      </x:c>
      <x:c r="E60" s="23" t="s">
        <x:v>110</x:v>
      </x:c>
      <x:c r="F60" s="23" t="s">
        <x:v>107</x:v>
      </x:c>
      <x:c r="G60" s="22" t="e">
        <x:f aca="0">IFERROR(INDEX(分期持仓明细!$B$5:$AA$200,G$82-4,MATCH(LEFT($A60,6),分期持仓明细!$B$3:$AA$3,0))*INDEX('实盘净值数据(iFinD公式)'!$B$5:$AA$1000,$B$81,MATCH($A60,'实盘净值数据(iFinD公式)'!$B$3:$AA$3,0))/INDEX('实盘净值数据(iFinD公式)'!$B$5:$AA$1000,MATCH(G$84,'实盘净值数据(iFinD公式)'!$A$5:$A$1000,0),MATCH($A60,'实盘净值数据(iFinD公式)'!$B$3:$AA$3,0))/G$85,G96)</x:f>
        <x:v>#NAME?</x:v>
      </x:c>
      <x:c r="H60" s="22" t="e">
        <x:f aca="0">IFERROR(INDEX(分期持仓明细!$B$5:$AA$200,H$82-4,MATCH(LEFT($A60,6),分期持仓明细!$B$3:$AA$3,0))*INDEX('实盘净值数据(iFinD公式)'!$B$5:$AA$1000,$B$81,MATCH($A60,'实盘净值数据(iFinD公式)'!$B$3:$AA$3,0))/INDEX('实盘净值数据(iFinD公式)'!$B$5:$AA$1000,MATCH(H$84,'实盘净值数据(iFinD公式)'!$A$5:$A$1000,0),MATCH($A60,'实盘净值数据(iFinD公式)'!$B$3:$AA$3,0))/H$85,H96)</x:f>
        <x:v>#NAME?</x:v>
      </x:c>
      <x:c r="I60" s="22" t="e">
        <x:f aca="0">IFERROR(INDEX(分期持仓明细!$B$5:$AA$200,I$82-4,MATCH(LEFT($A60,6),分期持仓明细!$B$3:$AA$3,0))*INDEX('实盘净值数据(iFinD公式)'!$B$5:$AA$1000,$B$81,MATCH($A60,'实盘净值数据(iFinD公式)'!$B$3:$AA$3,0))/INDEX('实盘净值数据(iFinD公式)'!$B$5:$AA$1000,MATCH(I$84,'实盘净值数据(iFinD公式)'!$A$5:$A$1000,0),MATCH($A60,'实盘净值数据(iFinD公式)'!$B$3:$AA$3,0))/I$85,I96)</x:f>
        <x:v>#NAME?</x:v>
      </x:c>
      <x:c r="J60" s="22" t="e">
        <x:f aca="0">IFERROR(INDEX(分期持仓明细!$B$5:$AA$200,J$82-4,MATCH(LEFT($A60,6),分期持仓明细!$B$3:$AA$3,0))*INDEX('实盘净值数据(iFinD公式)'!$B$5:$AA$1000,$B$81,MATCH($A60,'实盘净值数据(iFinD公式)'!$B$3:$AA$3,0))/INDEX('实盘净值数据(iFinD公式)'!$B$5:$AA$1000,MATCH(J$84,'实盘净值数据(iFinD公式)'!$A$5:$A$1000,0),MATCH($A60,'实盘净值数据(iFinD公式)'!$B$3:$AA$3,0))/J$85,J96)</x:f>
        <x:v>#NAME?</x:v>
      </x:c>
      <x:c r="K60" s="22" t="e">
        <x:f aca="0">IFERROR(INDEX(分期持仓明细!$B$5:$AA$200,K$82-4,MATCH(LEFT($A60,6),分期持仓明细!$B$3:$AA$3,0))*INDEX('实盘净值数据(iFinD公式)'!$B$5:$AA$1000,$B$81,MATCH($A60,'实盘净值数据(iFinD公式)'!$B$3:$AA$3,0))/INDEX('实盘净值数据(iFinD公式)'!$B$5:$AA$1000,MATCH(K$84,'实盘净值数据(iFinD公式)'!$A$5:$A$1000,0),MATCH($A60,'实盘净值数据(iFinD公式)'!$B$3:$AA$3,0))/K$85,K96)</x:f>
        <x:v>#NAME?</x:v>
      </x:c>
      <x:c r="L60" s="22" t="e">
        <x:f aca="0">IFERROR(INDEX(分期持仓明细!$B$5:$AA$200,L$82-4,MATCH(LEFT($A60,6),分期持仓明细!$B$3:$AA$3,0))*INDEX('实盘净值数据(iFinD公式)'!$B$5:$AA$1000,$B$81,MATCH($A60,'实盘净值数据(iFinD公式)'!$B$3:$AA$3,0))/INDEX('实盘净值数据(iFinD公式)'!$B$5:$AA$1000,MATCH(L$84,'实盘净值数据(iFinD公式)'!$A$5:$A$1000,0),MATCH($A60,'实盘净值数据(iFinD公式)'!$B$3:$AA$3,0))/L$85,L96)</x:f>
        <x:v>#NAME?</x:v>
      </x:c>
      <x:c r="M60" t="e">
        <x:f aca="0">IF(G60&gt;0,COUNTIF(G$53:G60,"&gt;0"),"")</x:f>
        <x:v>#NAME?</x:v>
      </x:c>
      <x:c r="N60" t="e">
        <x:f aca="0">IF(H60&gt;0,COUNTIF(H$53:H60,"&gt;0"),"")</x:f>
        <x:v>#NAME?</x:v>
      </x:c>
      <x:c r="O60" t="e">
        <x:f aca="0">IF(I60&gt;0,COUNTIF(I$53:I60,"&gt;0"),"")</x:f>
        <x:v>#NAME?</x:v>
      </x:c>
      <x:c r="P60" t="e">
        <x:f aca="0">IF(J60&gt;0,COUNTIF(J$53:J60,"&gt;0"),"")</x:f>
        <x:v>#NAME?</x:v>
      </x:c>
      <x:c r="Q60" t="e">
        <x:f aca="0">IF(K60&gt;0,COUNTIF(K$53:K60,"&gt;0"),"")</x:f>
        <x:v>#NAME?</x:v>
      </x:c>
      <x:c r="R60" t="e">
        <x:f aca="0">IF(L60&gt;0,COUNTIF(L$53:L60,"&gt;0"),"")</x:f>
        <x:v>#NAME?</x:v>
      </x:c>
    </x:row>
    <x:row r="61" ht="12.649999618530273" hidden="0">
      <x:c r="A61" s="21" t="s">
        <x:v>37</x:v>
      </x:c>
      <x:c r="B61" s="31" t="s">
        <x:v>120</x:v>
      </x:c>
      <x:c r="C61" s="23" t="s">
        <x:v>109</x:v>
      </x:c>
      <x:c r="D61" s="23" t="s">
        <x:v>96</x:v>
      </x:c>
      <x:c r="E61" s="23" t="s">
        <x:v>110</x:v>
      </x:c>
      <x:c r="F61" s="23" t="s">
        <x:v>111</x:v>
      </x:c>
      <x:c r="G61" s="22" t="e">
        <x:f aca="0">IFERROR(INDEX(分期持仓明细!$B$5:$AA$200,G$82-4,MATCH(LEFT($A61,6),分期持仓明细!$B$3:$AA$3,0))*INDEX('实盘净值数据(iFinD公式)'!$B$5:$AA$1000,$B$81,MATCH($A61,'实盘净值数据(iFinD公式)'!$B$3:$AA$3,0))/INDEX('实盘净值数据(iFinD公式)'!$B$5:$AA$1000,MATCH(G$84,'实盘净值数据(iFinD公式)'!$A$5:$A$1000,0),MATCH($A61,'实盘净值数据(iFinD公式)'!$B$3:$AA$3,0))/G$85,G97)</x:f>
        <x:v>#NAME?</x:v>
      </x:c>
      <x:c r="H61" s="22" t="e">
        <x:f aca="0">IFERROR(INDEX(分期持仓明细!$B$5:$AA$200,H$82-4,MATCH(LEFT($A61,6),分期持仓明细!$B$3:$AA$3,0))*INDEX('实盘净值数据(iFinD公式)'!$B$5:$AA$1000,$B$81,MATCH($A61,'实盘净值数据(iFinD公式)'!$B$3:$AA$3,0))/INDEX('实盘净值数据(iFinD公式)'!$B$5:$AA$1000,MATCH(H$84,'实盘净值数据(iFinD公式)'!$A$5:$A$1000,0),MATCH($A61,'实盘净值数据(iFinD公式)'!$B$3:$AA$3,0))/H$85,H97)</x:f>
        <x:v>#NAME?</x:v>
      </x:c>
      <x:c r="I61" s="22" t="e">
        <x:f aca="0">IFERROR(INDEX(分期持仓明细!$B$5:$AA$200,I$82-4,MATCH(LEFT($A61,6),分期持仓明细!$B$3:$AA$3,0))*INDEX('实盘净值数据(iFinD公式)'!$B$5:$AA$1000,$B$81,MATCH($A61,'实盘净值数据(iFinD公式)'!$B$3:$AA$3,0))/INDEX('实盘净值数据(iFinD公式)'!$B$5:$AA$1000,MATCH(I$84,'实盘净值数据(iFinD公式)'!$A$5:$A$1000,0),MATCH($A61,'实盘净值数据(iFinD公式)'!$B$3:$AA$3,0))/I$85,I97)</x:f>
        <x:v>#NAME?</x:v>
      </x:c>
      <x:c r="J61" s="22" t="e">
        <x:f aca="0">IFERROR(INDEX(分期持仓明细!$B$5:$AA$200,J$82-4,MATCH(LEFT($A61,6),分期持仓明细!$B$3:$AA$3,0))*INDEX('实盘净值数据(iFinD公式)'!$B$5:$AA$1000,$B$81,MATCH($A61,'实盘净值数据(iFinD公式)'!$B$3:$AA$3,0))/INDEX('实盘净值数据(iFinD公式)'!$B$5:$AA$1000,MATCH(J$84,'实盘净值数据(iFinD公式)'!$A$5:$A$1000,0),MATCH($A61,'实盘净值数据(iFinD公式)'!$B$3:$AA$3,0))/J$85,J97)</x:f>
        <x:v>#NAME?</x:v>
      </x:c>
      <x:c r="K61" s="22" t="e">
        <x:f aca="0">IFERROR(INDEX(分期持仓明细!$B$5:$AA$200,K$82-4,MATCH(LEFT($A61,6),分期持仓明细!$B$3:$AA$3,0))*INDEX('实盘净值数据(iFinD公式)'!$B$5:$AA$1000,$B$81,MATCH($A61,'实盘净值数据(iFinD公式)'!$B$3:$AA$3,0))/INDEX('实盘净值数据(iFinD公式)'!$B$5:$AA$1000,MATCH(K$84,'实盘净值数据(iFinD公式)'!$A$5:$A$1000,0),MATCH($A61,'实盘净值数据(iFinD公式)'!$B$3:$AA$3,0))/K$85,K97)</x:f>
        <x:v>#NAME?</x:v>
      </x:c>
      <x:c r="L61" s="22" t="e">
        <x:f aca="0">IFERROR(INDEX(分期持仓明细!$B$5:$AA$200,L$82-4,MATCH(LEFT($A61,6),分期持仓明细!$B$3:$AA$3,0))*INDEX('实盘净值数据(iFinD公式)'!$B$5:$AA$1000,$B$81,MATCH($A61,'实盘净值数据(iFinD公式)'!$B$3:$AA$3,0))/INDEX('实盘净值数据(iFinD公式)'!$B$5:$AA$1000,MATCH(L$84,'实盘净值数据(iFinD公式)'!$A$5:$A$1000,0),MATCH($A61,'实盘净值数据(iFinD公式)'!$B$3:$AA$3,0))/L$85,L97)</x:f>
        <x:v>#NAME?</x:v>
      </x:c>
      <x:c r="M61" t="e">
        <x:f aca="0">IF(G61&gt;0,COUNTIF(G$53:G61,"&gt;0"),"")</x:f>
        <x:v>#NAME?</x:v>
      </x:c>
      <x:c r="N61" t="e">
        <x:f aca="0">IF(H61&gt;0,COUNTIF(H$53:H61,"&gt;0"),"")</x:f>
        <x:v>#NAME?</x:v>
      </x:c>
      <x:c r="O61" t="e">
        <x:f aca="0">IF(I61&gt;0,COUNTIF(I$53:I61,"&gt;0"),"")</x:f>
        <x:v>#NAME?</x:v>
      </x:c>
      <x:c r="P61" t="e">
        <x:f aca="0">IF(J61&gt;0,COUNTIF(J$53:J61,"&gt;0"),"")</x:f>
        <x:v>#NAME?</x:v>
      </x:c>
      <x:c r="Q61" t="e">
        <x:f aca="0">IF(K61&gt;0,COUNTIF(K$53:K61,"&gt;0"),"")</x:f>
        <x:v>#NAME?</x:v>
      </x:c>
      <x:c r="R61" t="e">
        <x:f aca="0">IF(L61&gt;0,COUNTIF(L$53:L61,"&gt;0"),"")</x:f>
        <x:v>#NAME?</x:v>
      </x:c>
    </x:row>
    <x:row r="62" ht="12.649999618530273" hidden="0">
      <x:c r="A62" s="21" t="s">
        <x:v>38</x:v>
      </x:c>
      <x:c r="B62" s="31" t="s">
        <x:v>121</x:v>
      </x:c>
      <x:c r="C62" s="23" t="s">
        <x:v>109</x:v>
      </x:c>
      <x:c r="D62" s="23" t="s">
        <x:v>96</x:v>
      </x:c>
      <x:c r="E62" s="23" t="s">
        <x:v>110</x:v>
      </x:c>
      <x:c r="F62" s="23" t="s">
        <x:v>116</x:v>
      </x:c>
      <x:c r="G62" s="22" t="e">
        <x:f aca="0">IFERROR(INDEX(分期持仓明细!$B$5:$AA$200,G$82-4,MATCH(LEFT($A62,6),分期持仓明细!$B$3:$AA$3,0))*INDEX('实盘净值数据(iFinD公式)'!$B$5:$AA$1000,$B$81,MATCH($A62,'实盘净值数据(iFinD公式)'!$B$3:$AA$3,0))/INDEX('实盘净值数据(iFinD公式)'!$B$5:$AA$1000,MATCH(G$84,'实盘净值数据(iFinD公式)'!$A$5:$A$1000,0),MATCH($A62,'实盘净值数据(iFinD公式)'!$B$3:$AA$3,0))/G$85,G98)</x:f>
        <x:v>#NAME?</x:v>
      </x:c>
      <x:c r="H62" s="22" t="e">
        <x:f aca="0">IFERROR(INDEX(分期持仓明细!$B$5:$AA$200,H$82-4,MATCH(LEFT($A62,6),分期持仓明细!$B$3:$AA$3,0))*INDEX('实盘净值数据(iFinD公式)'!$B$5:$AA$1000,$B$81,MATCH($A62,'实盘净值数据(iFinD公式)'!$B$3:$AA$3,0))/INDEX('实盘净值数据(iFinD公式)'!$B$5:$AA$1000,MATCH(H$84,'实盘净值数据(iFinD公式)'!$A$5:$A$1000,0),MATCH($A62,'实盘净值数据(iFinD公式)'!$B$3:$AA$3,0))/H$85,H98)</x:f>
        <x:v>#NAME?</x:v>
      </x:c>
      <x:c r="I62" s="22" t="e">
        <x:f aca="0">IFERROR(INDEX(分期持仓明细!$B$5:$AA$200,I$82-4,MATCH(LEFT($A62,6),分期持仓明细!$B$3:$AA$3,0))*INDEX('实盘净值数据(iFinD公式)'!$B$5:$AA$1000,$B$81,MATCH($A62,'实盘净值数据(iFinD公式)'!$B$3:$AA$3,0))/INDEX('实盘净值数据(iFinD公式)'!$B$5:$AA$1000,MATCH(I$84,'实盘净值数据(iFinD公式)'!$A$5:$A$1000,0),MATCH($A62,'实盘净值数据(iFinD公式)'!$B$3:$AA$3,0))/I$85,I98)</x:f>
        <x:v>#NAME?</x:v>
      </x:c>
      <x:c r="J62" s="22" t="e">
        <x:f aca="0">IFERROR(INDEX(分期持仓明细!$B$5:$AA$200,J$82-4,MATCH(LEFT($A62,6),分期持仓明细!$B$3:$AA$3,0))*INDEX('实盘净值数据(iFinD公式)'!$B$5:$AA$1000,$B$81,MATCH($A62,'实盘净值数据(iFinD公式)'!$B$3:$AA$3,0))/INDEX('实盘净值数据(iFinD公式)'!$B$5:$AA$1000,MATCH(J$84,'实盘净值数据(iFinD公式)'!$A$5:$A$1000,0),MATCH($A62,'实盘净值数据(iFinD公式)'!$B$3:$AA$3,0))/J$85,J98)</x:f>
        <x:v>#NAME?</x:v>
      </x:c>
      <x:c r="K62" s="22" t="e">
        <x:f aca="0">IFERROR(INDEX(分期持仓明细!$B$5:$AA$200,K$82-4,MATCH(LEFT($A62,6),分期持仓明细!$B$3:$AA$3,0))*INDEX('实盘净值数据(iFinD公式)'!$B$5:$AA$1000,$B$81,MATCH($A62,'实盘净值数据(iFinD公式)'!$B$3:$AA$3,0))/INDEX('实盘净值数据(iFinD公式)'!$B$5:$AA$1000,MATCH(K$84,'实盘净值数据(iFinD公式)'!$A$5:$A$1000,0),MATCH($A62,'实盘净值数据(iFinD公式)'!$B$3:$AA$3,0))/K$85,K98)</x:f>
        <x:v>#NAME?</x:v>
      </x:c>
      <x:c r="L62" s="22" t="e">
        <x:f aca="0">IFERROR(INDEX(分期持仓明细!$B$5:$AA$200,L$82-4,MATCH(LEFT($A62,6),分期持仓明细!$B$3:$AA$3,0))*INDEX('实盘净值数据(iFinD公式)'!$B$5:$AA$1000,$B$81,MATCH($A62,'实盘净值数据(iFinD公式)'!$B$3:$AA$3,0))/INDEX('实盘净值数据(iFinD公式)'!$B$5:$AA$1000,MATCH(L$84,'实盘净值数据(iFinD公式)'!$A$5:$A$1000,0),MATCH($A62,'实盘净值数据(iFinD公式)'!$B$3:$AA$3,0))/L$85,L98)</x:f>
        <x:v>#NAME?</x:v>
      </x:c>
      <x:c r="M62" t="e">
        <x:f aca="0">IF(G62&gt;0,COUNTIF(G$53:G62,"&gt;0"),"")</x:f>
        <x:v>#NAME?</x:v>
      </x:c>
      <x:c r="N62" t="e">
        <x:f aca="0">IF(H62&gt;0,COUNTIF(H$53:H62,"&gt;0"),"")</x:f>
        <x:v>#NAME?</x:v>
      </x:c>
      <x:c r="O62" t="e">
        <x:f aca="0">IF(I62&gt;0,COUNTIF(I$53:I62,"&gt;0"),"")</x:f>
        <x:v>#NAME?</x:v>
      </x:c>
      <x:c r="P62" t="e">
        <x:f aca="0">IF(J62&gt;0,COUNTIF(J$53:J62,"&gt;0"),"")</x:f>
        <x:v>#NAME?</x:v>
      </x:c>
      <x:c r="Q62" t="e">
        <x:f aca="0">IF(K62&gt;0,COUNTIF(K$53:K62,"&gt;0"),"")</x:f>
        <x:v>#NAME?</x:v>
      </x:c>
      <x:c r="R62" t="e">
        <x:f aca="0">IF(L62&gt;0,COUNTIF(L$53:L62,"&gt;0"),"")</x:f>
        <x:v>#NAME?</x:v>
      </x:c>
    </x:row>
    <x:row r="63" ht="12.649999618530273" hidden="0">
      <x:c r="A63" s="21" t="s">
        <x:v>39</x:v>
      </x:c>
      <x:c r="B63" s="31" t="s">
        <x:v>122</x:v>
      </x:c>
      <x:c r="C63" s="23" t="s">
        <x:v>109</x:v>
      </x:c>
      <x:c r="D63" s="23" t="s">
        <x:v>113</x:v>
      </x:c>
      <x:c r="E63" s="23" t="s">
        <x:v>113</x:v>
      </x:c>
      <x:c r="F63" s="23" t="s">
        <x:v>114</x:v>
      </x:c>
      <x:c r="G63" s="22" t="e">
        <x:f aca="0">IFERROR(INDEX(分期持仓明细!$B$5:$AA$200,G$82-4,MATCH(LEFT($A63,6),分期持仓明细!$B$3:$AA$3,0))*INDEX('实盘净值数据(iFinD公式)'!$B$5:$AA$1000,$B$81,MATCH($A63,'实盘净值数据(iFinD公式)'!$B$3:$AA$3,0))/INDEX('实盘净值数据(iFinD公式)'!$B$5:$AA$1000,MATCH(G$84,'实盘净值数据(iFinD公式)'!$A$5:$A$1000,0),MATCH($A63,'实盘净值数据(iFinD公式)'!$B$3:$AA$3,0))/G$85,G99)</x:f>
        <x:v>#NAME?</x:v>
      </x:c>
      <x:c r="H63" s="22" t="e">
        <x:f aca="0">IFERROR(INDEX(分期持仓明细!$B$5:$AA$200,H$82-4,MATCH(LEFT($A63,6),分期持仓明细!$B$3:$AA$3,0))*INDEX('实盘净值数据(iFinD公式)'!$B$5:$AA$1000,$B$81,MATCH($A63,'实盘净值数据(iFinD公式)'!$B$3:$AA$3,0))/INDEX('实盘净值数据(iFinD公式)'!$B$5:$AA$1000,MATCH(H$84,'实盘净值数据(iFinD公式)'!$A$5:$A$1000,0),MATCH($A63,'实盘净值数据(iFinD公式)'!$B$3:$AA$3,0))/H$85,H99)</x:f>
        <x:v>#NAME?</x:v>
      </x:c>
      <x:c r="I63" s="22" t="e">
        <x:f aca="0">IFERROR(INDEX(分期持仓明细!$B$5:$AA$200,I$82-4,MATCH(LEFT($A63,6),分期持仓明细!$B$3:$AA$3,0))*INDEX('实盘净值数据(iFinD公式)'!$B$5:$AA$1000,$B$81,MATCH($A63,'实盘净值数据(iFinD公式)'!$B$3:$AA$3,0))/INDEX('实盘净值数据(iFinD公式)'!$B$5:$AA$1000,MATCH(I$84,'实盘净值数据(iFinD公式)'!$A$5:$A$1000,0),MATCH($A63,'实盘净值数据(iFinD公式)'!$B$3:$AA$3,0))/I$85,I99)</x:f>
        <x:v>#NAME?</x:v>
      </x:c>
      <x:c r="J63" s="22" t="e">
        <x:f aca="0">IFERROR(INDEX(分期持仓明细!$B$5:$AA$200,J$82-4,MATCH(LEFT($A63,6),分期持仓明细!$B$3:$AA$3,0))*INDEX('实盘净值数据(iFinD公式)'!$B$5:$AA$1000,$B$81,MATCH($A63,'实盘净值数据(iFinD公式)'!$B$3:$AA$3,0))/INDEX('实盘净值数据(iFinD公式)'!$B$5:$AA$1000,MATCH(J$84,'实盘净值数据(iFinD公式)'!$A$5:$A$1000,0),MATCH($A63,'实盘净值数据(iFinD公式)'!$B$3:$AA$3,0))/J$85,J99)</x:f>
        <x:v>#NAME?</x:v>
      </x:c>
      <x:c r="K63" s="22" t="e">
        <x:f aca="0">IFERROR(INDEX(分期持仓明细!$B$5:$AA$200,K$82-4,MATCH(LEFT($A63,6),分期持仓明细!$B$3:$AA$3,0))*INDEX('实盘净值数据(iFinD公式)'!$B$5:$AA$1000,$B$81,MATCH($A63,'实盘净值数据(iFinD公式)'!$B$3:$AA$3,0))/INDEX('实盘净值数据(iFinD公式)'!$B$5:$AA$1000,MATCH(K$84,'实盘净值数据(iFinD公式)'!$A$5:$A$1000,0),MATCH($A63,'实盘净值数据(iFinD公式)'!$B$3:$AA$3,0))/K$85,K99)</x:f>
        <x:v>#NAME?</x:v>
      </x:c>
      <x:c r="L63" s="22" t="e">
        <x:f aca="0">IFERROR(INDEX(分期持仓明细!$B$5:$AA$200,L$82-4,MATCH(LEFT($A63,6),分期持仓明细!$B$3:$AA$3,0))*INDEX('实盘净值数据(iFinD公式)'!$B$5:$AA$1000,$B$81,MATCH($A63,'实盘净值数据(iFinD公式)'!$B$3:$AA$3,0))/INDEX('实盘净值数据(iFinD公式)'!$B$5:$AA$1000,MATCH(L$84,'实盘净值数据(iFinD公式)'!$A$5:$A$1000,0),MATCH($A63,'实盘净值数据(iFinD公式)'!$B$3:$AA$3,0))/L$85,L99)</x:f>
        <x:v>#NAME?</x:v>
      </x:c>
      <x:c r="M63" t="e">
        <x:f aca="0">IF(G63&gt;0,COUNTIF(G$53:G63,"&gt;0"),"")</x:f>
        <x:v>#NAME?</x:v>
      </x:c>
      <x:c r="N63" t="e">
        <x:f aca="0">IF(H63&gt;0,COUNTIF(H$53:H63,"&gt;0"),"")</x:f>
        <x:v>#NAME?</x:v>
      </x:c>
      <x:c r="O63" t="e">
        <x:f aca="0">IF(I63&gt;0,COUNTIF(I$53:I63,"&gt;0"),"")</x:f>
        <x:v>#NAME?</x:v>
      </x:c>
      <x:c r="P63" t="e">
        <x:f aca="0">IF(J63&gt;0,COUNTIF(J$53:J63,"&gt;0"),"")</x:f>
        <x:v>#NAME?</x:v>
      </x:c>
      <x:c r="Q63" t="e">
        <x:f aca="0">IF(K63&gt;0,COUNTIF(K$53:K63,"&gt;0"),"")</x:f>
        <x:v>#NAME?</x:v>
      </x:c>
      <x:c r="R63" t="e">
        <x:f aca="0">IF(L63&gt;0,COUNTIF(L$53:L63,"&gt;0"),"")</x:f>
        <x:v>#NAME?</x:v>
      </x:c>
    </x:row>
    <x:row r="64" ht="12.649999618530273" hidden="0">
      <x:c r="A64" s="21" t="s">
        <x:v>40</x:v>
      </x:c>
      <x:c r="B64" s="31" t="s">
        <x:v>123</x:v>
      </x:c>
      <x:c r="C64" s="23" t="s">
        <x:v>109</x:v>
      </x:c>
      <x:c r="D64" s="23" t="s">
        <x:v>113</x:v>
      </x:c>
      <x:c r="E64" s="23" t="s">
        <x:v>113</x:v>
      </x:c>
      <x:c r="F64" s="23" t="s">
        <x:v>116</x:v>
      </x:c>
      <x:c r="G64" s="22" t="e">
        <x:f aca="0">IFERROR(INDEX(分期持仓明细!$B$5:$AA$200,G$82-4,MATCH(LEFT($A64,6),分期持仓明细!$B$3:$AA$3,0))*INDEX('实盘净值数据(iFinD公式)'!$B$5:$AA$1000,$B$81,MATCH($A64,'实盘净值数据(iFinD公式)'!$B$3:$AA$3,0))/INDEX('实盘净值数据(iFinD公式)'!$B$5:$AA$1000,MATCH(G$84,'实盘净值数据(iFinD公式)'!$A$5:$A$1000,0),MATCH($A64,'实盘净值数据(iFinD公式)'!$B$3:$AA$3,0))/G$85,G100)</x:f>
        <x:v>#NAME?</x:v>
      </x:c>
      <x:c r="H64" s="22" t="e">
        <x:f aca="0">IFERROR(INDEX(分期持仓明细!$B$5:$AA$200,H$82-4,MATCH(LEFT($A64,6),分期持仓明细!$B$3:$AA$3,0))*INDEX('实盘净值数据(iFinD公式)'!$B$5:$AA$1000,$B$81,MATCH($A64,'实盘净值数据(iFinD公式)'!$B$3:$AA$3,0))/INDEX('实盘净值数据(iFinD公式)'!$B$5:$AA$1000,MATCH(H$84,'实盘净值数据(iFinD公式)'!$A$5:$A$1000,0),MATCH($A64,'实盘净值数据(iFinD公式)'!$B$3:$AA$3,0))/H$85,H100)</x:f>
        <x:v>#NAME?</x:v>
      </x:c>
      <x:c r="I64" s="22" t="e">
        <x:f aca="0">IFERROR(INDEX(分期持仓明细!$B$5:$AA$200,I$82-4,MATCH(LEFT($A64,6),分期持仓明细!$B$3:$AA$3,0))*INDEX('实盘净值数据(iFinD公式)'!$B$5:$AA$1000,$B$81,MATCH($A64,'实盘净值数据(iFinD公式)'!$B$3:$AA$3,0))/INDEX('实盘净值数据(iFinD公式)'!$B$5:$AA$1000,MATCH(I$84,'实盘净值数据(iFinD公式)'!$A$5:$A$1000,0),MATCH($A64,'实盘净值数据(iFinD公式)'!$B$3:$AA$3,0))/I$85,I100)</x:f>
        <x:v>#NAME?</x:v>
      </x:c>
      <x:c r="J64" s="22" t="e">
        <x:f aca="0">IFERROR(INDEX(分期持仓明细!$B$5:$AA$200,J$82-4,MATCH(LEFT($A64,6),分期持仓明细!$B$3:$AA$3,0))*INDEX('实盘净值数据(iFinD公式)'!$B$5:$AA$1000,$B$81,MATCH($A64,'实盘净值数据(iFinD公式)'!$B$3:$AA$3,0))/INDEX('实盘净值数据(iFinD公式)'!$B$5:$AA$1000,MATCH(J$84,'实盘净值数据(iFinD公式)'!$A$5:$A$1000,0),MATCH($A64,'实盘净值数据(iFinD公式)'!$B$3:$AA$3,0))/J$85,J100)</x:f>
        <x:v>#NAME?</x:v>
      </x:c>
      <x:c r="K64" s="22" t="e">
        <x:f aca="0">IFERROR(INDEX(分期持仓明细!$B$5:$AA$200,K$82-4,MATCH(LEFT($A64,6),分期持仓明细!$B$3:$AA$3,0))*INDEX('实盘净值数据(iFinD公式)'!$B$5:$AA$1000,$B$81,MATCH($A64,'实盘净值数据(iFinD公式)'!$B$3:$AA$3,0))/INDEX('实盘净值数据(iFinD公式)'!$B$5:$AA$1000,MATCH(K$84,'实盘净值数据(iFinD公式)'!$A$5:$A$1000,0),MATCH($A64,'实盘净值数据(iFinD公式)'!$B$3:$AA$3,0))/K$85,K100)</x:f>
        <x:v>#NAME?</x:v>
      </x:c>
      <x:c r="L64" s="22" t="e">
        <x:f aca="0">IFERROR(INDEX(分期持仓明细!$B$5:$AA$200,L$82-4,MATCH(LEFT($A64,6),分期持仓明细!$B$3:$AA$3,0))*INDEX('实盘净值数据(iFinD公式)'!$B$5:$AA$1000,$B$81,MATCH($A64,'实盘净值数据(iFinD公式)'!$B$3:$AA$3,0))/INDEX('实盘净值数据(iFinD公式)'!$B$5:$AA$1000,MATCH(L$84,'实盘净值数据(iFinD公式)'!$A$5:$A$1000,0),MATCH($A64,'实盘净值数据(iFinD公式)'!$B$3:$AA$3,0))/L$85,L100)</x:f>
        <x:v>#NAME?</x:v>
      </x:c>
      <x:c r="M64" t="e">
        <x:f aca="0">IF(G64&gt;0,COUNTIF(G$53:G64,"&gt;0"),"")</x:f>
        <x:v>#NAME?</x:v>
      </x:c>
      <x:c r="N64" t="e">
        <x:f aca="0">IF(H64&gt;0,COUNTIF(H$53:H64,"&gt;0"),"")</x:f>
        <x:v>#NAME?</x:v>
      </x:c>
      <x:c r="O64" t="e">
        <x:f aca="0">IF(I64&gt;0,COUNTIF(I$53:I64,"&gt;0"),"")</x:f>
        <x:v>#NAME?</x:v>
      </x:c>
      <x:c r="P64" t="e">
        <x:f aca="0">IF(J64&gt;0,COUNTIF(J$53:J64,"&gt;0"),"")</x:f>
        <x:v>#NAME?</x:v>
      </x:c>
      <x:c r="Q64" t="e">
        <x:f aca="0">IF(K64&gt;0,COUNTIF(K$53:K64,"&gt;0"),"")</x:f>
        <x:v>#NAME?</x:v>
      </x:c>
      <x:c r="R64" t="e">
        <x:f aca="0">IF(L64&gt;0,COUNTIF(L$53:L64,"&gt;0"),"")</x:f>
        <x:v>#NAME?</x:v>
      </x:c>
    </x:row>
    <x:row r="65" ht="12.649999618530273" hidden="0">
      <x:c r="A65" s="21" t="s">
        <x:v>41</x:v>
      </x:c>
      <x:c r="B65" s="31" t="s">
        <x:v>124</x:v>
      </x:c>
      <x:c r="C65" s="23" t="s">
        <x:v>109</x:v>
      </x:c>
      <x:c r="D65" s="23" t="s">
        <x:v>113</x:v>
      </x:c>
      <x:c r="E65" s="23" t="s">
        <x:v>113</x:v>
      </x:c>
      <x:c r="F65" s="23" t="s">
        <x:v>114</x:v>
      </x:c>
      <x:c r="G65" s="22" t="e">
        <x:f aca="0">IFERROR(INDEX(分期持仓明细!$B$5:$AA$200,G$82-4,MATCH(LEFT($A65,6),分期持仓明细!$B$3:$AA$3,0))*INDEX('实盘净值数据(iFinD公式)'!$B$5:$AA$1000,$B$81,MATCH($A65,'实盘净值数据(iFinD公式)'!$B$3:$AA$3,0))/INDEX('实盘净值数据(iFinD公式)'!$B$5:$AA$1000,MATCH(G$84,'实盘净值数据(iFinD公式)'!$A$5:$A$1000,0),MATCH($A65,'实盘净值数据(iFinD公式)'!$B$3:$AA$3,0))/G$85,G101)</x:f>
        <x:v>#NAME?</x:v>
      </x:c>
      <x:c r="H65" s="22" t="e">
        <x:f aca="0">IFERROR(INDEX(分期持仓明细!$B$5:$AA$200,H$82-4,MATCH(LEFT($A65,6),分期持仓明细!$B$3:$AA$3,0))*INDEX('实盘净值数据(iFinD公式)'!$B$5:$AA$1000,$B$81,MATCH($A65,'实盘净值数据(iFinD公式)'!$B$3:$AA$3,0))/INDEX('实盘净值数据(iFinD公式)'!$B$5:$AA$1000,MATCH(H$84,'实盘净值数据(iFinD公式)'!$A$5:$A$1000,0),MATCH($A65,'实盘净值数据(iFinD公式)'!$B$3:$AA$3,0))/H$85,H101)</x:f>
        <x:v>#NAME?</x:v>
      </x:c>
      <x:c r="I65" s="22" t="e">
        <x:f aca="0">IFERROR(INDEX(分期持仓明细!$B$5:$AA$200,I$82-4,MATCH(LEFT($A65,6),分期持仓明细!$B$3:$AA$3,0))*INDEX('实盘净值数据(iFinD公式)'!$B$5:$AA$1000,$B$81,MATCH($A65,'实盘净值数据(iFinD公式)'!$B$3:$AA$3,0))/INDEX('实盘净值数据(iFinD公式)'!$B$5:$AA$1000,MATCH(I$84,'实盘净值数据(iFinD公式)'!$A$5:$A$1000,0),MATCH($A65,'实盘净值数据(iFinD公式)'!$B$3:$AA$3,0))/I$85,I101)</x:f>
        <x:v>#NAME?</x:v>
      </x:c>
      <x:c r="J65" s="22" t="e">
        <x:f aca="0">IFERROR(INDEX(分期持仓明细!$B$5:$AA$200,J$82-4,MATCH(LEFT($A65,6),分期持仓明细!$B$3:$AA$3,0))*INDEX('实盘净值数据(iFinD公式)'!$B$5:$AA$1000,$B$81,MATCH($A65,'实盘净值数据(iFinD公式)'!$B$3:$AA$3,0))/INDEX('实盘净值数据(iFinD公式)'!$B$5:$AA$1000,MATCH(J$84,'实盘净值数据(iFinD公式)'!$A$5:$A$1000,0),MATCH($A65,'实盘净值数据(iFinD公式)'!$B$3:$AA$3,0))/J$85,J101)</x:f>
        <x:v>#NAME?</x:v>
      </x:c>
      <x:c r="K65" s="22" t="e">
        <x:f aca="0">IFERROR(INDEX(分期持仓明细!$B$5:$AA$200,K$82-4,MATCH(LEFT($A65,6),分期持仓明细!$B$3:$AA$3,0))*INDEX('实盘净值数据(iFinD公式)'!$B$5:$AA$1000,$B$81,MATCH($A65,'实盘净值数据(iFinD公式)'!$B$3:$AA$3,0))/INDEX('实盘净值数据(iFinD公式)'!$B$5:$AA$1000,MATCH(K$84,'实盘净值数据(iFinD公式)'!$A$5:$A$1000,0),MATCH($A65,'实盘净值数据(iFinD公式)'!$B$3:$AA$3,0))/K$85,K101)</x:f>
        <x:v>#NAME?</x:v>
      </x:c>
      <x:c r="L65" s="22" t="e">
        <x:f aca="0">IFERROR(INDEX(分期持仓明细!$B$5:$AA$200,L$82-4,MATCH(LEFT($A65,6),分期持仓明细!$B$3:$AA$3,0))*INDEX('实盘净值数据(iFinD公式)'!$B$5:$AA$1000,$B$81,MATCH($A65,'实盘净值数据(iFinD公式)'!$B$3:$AA$3,0))/INDEX('实盘净值数据(iFinD公式)'!$B$5:$AA$1000,MATCH(L$84,'实盘净值数据(iFinD公式)'!$A$5:$A$1000,0),MATCH($A65,'实盘净值数据(iFinD公式)'!$B$3:$AA$3,0))/L$85,L101)</x:f>
        <x:v>#NAME?</x:v>
      </x:c>
      <x:c r="M65" t="e">
        <x:f aca="0">IF(G65&gt;0,COUNTIF(G$53:G65,"&gt;0"),"")</x:f>
        <x:v>#NAME?</x:v>
      </x:c>
      <x:c r="N65" t="e">
        <x:f aca="0">IF(H65&gt;0,COUNTIF(H$53:H65,"&gt;0"),"")</x:f>
        <x:v>#NAME?</x:v>
      </x:c>
      <x:c r="O65" t="e">
        <x:f aca="0">IF(I65&gt;0,COUNTIF(I$53:I65,"&gt;0"),"")</x:f>
        <x:v>#NAME?</x:v>
      </x:c>
      <x:c r="P65" t="e">
        <x:f aca="0">IF(J65&gt;0,COUNTIF(J$53:J65,"&gt;0"),"")</x:f>
        <x:v>#NAME?</x:v>
      </x:c>
      <x:c r="Q65" t="e">
        <x:f aca="0">IF(K65&gt;0,COUNTIF(K$53:K65,"&gt;0"),"")</x:f>
        <x:v>#NAME?</x:v>
      </x:c>
      <x:c r="R65" t="e">
        <x:f aca="0">IF(L65&gt;0,COUNTIF(L$53:L65,"&gt;0"),"")</x:f>
        <x:v>#NAME?</x:v>
      </x:c>
    </x:row>
    <x:row r="66" ht="12.649999618530273" hidden="0">
      <x:c r="A66" s="21" t="s">
        <x:v>42</x:v>
      </x:c>
      <x:c r="B66" s="31" t="s">
        <x:v>125</x:v>
      </x:c>
      <x:c r="C66" s="23" t="s">
        <x:v>109</x:v>
      </x:c>
      <x:c r="D66" s="23" t="s">
        <x:v>113</x:v>
      </x:c>
      <x:c r="E66" s="23" t="s">
        <x:v>113</x:v>
      </x:c>
      <x:c r="F66" s="23" t="s">
        <x:v>116</x:v>
      </x:c>
      <x:c r="G66" s="22" t="e">
        <x:f aca="0">IFERROR(INDEX(分期持仓明细!$B$5:$AA$200,G$82-4,MATCH(LEFT($A66,6),分期持仓明细!$B$3:$AA$3,0))*INDEX('实盘净值数据(iFinD公式)'!$B$5:$AA$1000,$B$81,MATCH($A66,'实盘净值数据(iFinD公式)'!$B$3:$AA$3,0))/INDEX('实盘净值数据(iFinD公式)'!$B$5:$AA$1000,MATCH(G$84,'实盘净值数据(iFinD公式)'!$A$5:$A$1000,0),MATCH($A66,'实盘净值数据(iFinD公式)'!$B$3:$AA$3,0))/G$85,G102)</x:f>
        <x:v>#NAME?</x:v>
      </x:c>
      <x:c r="H66" s="22" t="e">
        <x:f aca="0">IFERROR(INDEX(分期持仓明细!$B$5:$AA$200,H$82-4,MATCH(LEFT($A66,6),分期持仓明细!$B$3:$AA$3,0))*INDEX('实盘净值数据(iFinD公式)'!$B$5:$AA$1000,$B$81,MATCH($A66,'实盘净值数据(iFinD公式)'!$B$3:$AA$3,0))/INDEX('实盘净值数据(iFinD公式)'!$B$5:$AA$1000,MATCH(H$84,'实盘净值数据(iFinD公式)'!$A$5:$A$1000,0),MATCH($A66,'实盘净值数据(iFinD公式)'!$B$3:$AA$3,0))/H$85,H102)</x:f>
        <x:v>#NAME?</x:v>
      </x:c>
      <x:c r="I66" s="22" t="e">
        <x:f aca="0">IFERROR(INDEX(分期持仓明细!$B$5:$AA$200,I$82-4,MATCH(LEFT($A66,6),分期持仓明细!$B$3:$AA$3,0))*INDEX('实盘净值数据(iFinD公式)'!$B$5:$AA$1000,$B$81,MATCH($A66,'实盘净值数据(iFinD公式)'!$B$3:$AA$3,0))/INDEX('实盘净值数据(iFinD公式)'!$B$5:$AA$1000,MATCH(I$84,'实盘净值数据(iFinD公式)'!$A$5:$A$1000,0),MATCH($A66,'实盘净值数据(iFinD公式)'!$B$3:$AA$3,0))/I$85,I102)</x:f>
        <x:v>#NAME?</x:v>
      </x:c>
      <x:c r="J66" s="22" t="e">
        <x:f aca="0">IFERROR(INDEX(分期持仓明细!$B$5:$AA$200,J$82-4,MATCH(LEFT($A66,6),分期持仓明细!$B$3:$AA$3,0))*INDEX('实盘净值数据(iFinD公式)'!$B$5:$AA$1000,$B$81,MATCH($A66,'实盘净值数据(iFinD公式)'!$B$3:$AA$3,0))/INDEX('实盘净值数据(iFinD公式)'!$B$5:$AA$1000,MATCH(J$84,'实盘净值数据(iFinD公式)'!$A$5:$A$1000,0),MATCH($A66,'实盘净值数据(iFinD公式)'!$B$3:$AA$3,0))/J$85,J102)</x:f>
        <x:v>#NAME?</x:v>
      </x:c>
      <x:c r="K66" s="22" t="e">
        <x:f aca="0">IFERROR(INDEX(分期持仓明细!$B$5:$AA$200,K$82-4,MATCH(LEFT($A66,6),分期持仓明细!$B$3:$AA$3,0))*INDEX('实盘净值数据(iFinD公式)'!$B$5:$AA$1000,$B$81,MATCH($A66,'实盘净值数据(iFinD公式)'!$B$3:$AA$3,0))/INDEX('实盘净值数据(iFinD公式)'!$B$5:$AA$1000,MATCH(K$84,'实盘净值数据(iFinD公式)'!$A$5:$A$1000,0),MATCH($A66,'实盘净值数据(iFinD公式)'!$B$3:$AA$3,0))/K$85,K102)</x:f>
        <x:v>#NAME?</x:v>
      </x:c>
      <x:c r="L66" s="22" t="e">
        <x:f aca="0">IFERROR(INDEX(分期持仓明细!$B$5:$AA$200,L$82-4,MATCH(LEFT($A66,6),分期持仓明细!$B$3:$AA$3,0))*INDEX('实盘净值数据(iFinD公式)'!$B$5:$AA$1000,$B$81,MATCH($A66,'实盘净值数据(iFinD公式)'!$B$3:$AA$3,0))/INDEX('实盘净值数据(iFinD公式)'!$B$5:$AA$1000,MATCH(L$84,'实盘净值数据(iFinD公式)'!$A$5:$A$1000,0),MATCH($A66,'实盘净值数据(iFinD公式)'!$B$3:$AA$3,0))/L$85,L102)</x:f>
        <x:v>#NAME?</x:v>
      </x:c>
      <x:c r="M66" t="e">
        <x:f aca="0">IF(G66&gt;0,COUNTIF(G$53:G66,"&gt;0"),"")</x:f>
        <x:v>#NAME?</x:v>
      </x:c>
      <x:c r="N66" t="e">
        <x:f aca="0">IF(H66&gt;0,COUNTIF(H$53:H66,"&gt;0"),"")</x:f>
        <x:v>#NAME?</x:v>
      </x:c>
      <x:c r="O66" t="e">
        <x:f aca="0">IF(I66&gt;0,COUNTIF(I$53:I66,"&gt;0"),"")</x:f>
        <x:v>#NAME?</x:v>
      </x:c>
      <x:c r="P66" t="e">
        <x:f aca="0">IF(J66&gt;0,COUNTIF(J$53:J66,"&gt;0"),"")</x:f>
        <x:v>#NAME?</x:v>
      </x:c>
      <x:c r="Q66" t="e">
        <x:f aca="0">IF(K66&gt;0,COUNTIF(K$53:K66,"&gt;0"),"")</x:f>
        <x:v>#NAME?</x:v>
      </x:c>
      <x:c r="R66" t="e">
        <x:f aca="0">IF(L66&gt;0,COUNTIF(L$53:L66,"&gt;0"),"")</x:f>
        <x:v>#NAME?</x:v>
      </x:c>
    </x:row>
    <x:row r="67" ht="12.649999618530273" hidden="0">
      <x:c r="A67" s="21" t="s">
        <x:v>43</x:v>
      </x:c>
      <x:c r="B67" s="31" t="s">
        <x:v>126</x:v>
      </x:c>
      <x:c r="C67" s="23" t="s">
        <x:v>109</x:v>
      </x:c>
      <x:c r="D67" s="23" t="s">
        <x:v>96</x:v>
      </x:c>
      <x:c r="E67" s="23" t="s">
        <x:v>110</x:v>
      </x:c>
      <x:c r="F67" s="23" t="s">
        <x:v>111</x:v>
      </x:c>
      <x:c r="G67" s="22" t="e">
        <x:f aca="0">IFERROR(INDEX(分期持仓明细!$B$5:$AA$200,G$82-4,MATCH(LEFT($A67,6),分期持仓明细!$B$3:$AA$3,0))*INDEX('实盘净值数据(iFinD公式)'!$B$5:$AA$1000,$B$81,MATCH($A67,'实盘净值数据(iFinD公式)'!$B$3:$AA$3,0))/INDEX('实盘净值数据(iFinD公式)'!$B$5:$AA$1000,MATCH(G$84,'实盘净值数据(iFinD公式)'!$A$5:$A$1000,0),MATCH($A67,'实盘净值数据(iFinD公式)'!$B$3:$AA$3,0))/G$85,G103)</x:f>
        <x:v>#NAME?</x:v>
      </x:c>
      <x:c r="H67" s="22" t="e">
        <x:f aca="0">IFERROR(INDEX(分期持仓明细!$B$5:$AA$200,H$82-4,MATCH(LEFT($A67,6),分期持仓明细!$B$3:$AA$3,0))*INDEX('实盘净值数据(iFinD公式)'!$B$5:$AA$1000,$B$81,MATCH($A67,'实盘净值数据(iFinD公式)'!$B$3:$AA$3,0))/INDEX('实盘净值数据(iFinD公式)'!$B$5:$AA$1000,MATCH(H$84,'实盘净值数据(iFinD公式)'!$A$5:$A$1000,0),MATCH($A67,'实盘净值数据(iFinD公式)'!$B$3:$AA$3,0))/H$85,H103)</x:f>
        <x:v>#NAME?</x:v>
      </x:c>
      <x:c r="I67" s="22" t="e">
        <x:f aca="0">IFERROR(INDEX(分期持仓明细!$B$5:$AA$200,I$82-4,MATCH(LEFT($A67,6),分期持仓明细!$B$3:$AA$3,0))*INDEX('实盘净值数据(iFinD公式)'!$B$5:$AA$1000,$B$81,MATCH($A67,'实盘净值数据(iFinD公式)'!$B$3:$AA$3,0))/INDEX('实盘净值数据(iFinD公式)'!$B$5:$AA$1000,MATCH(I$84,'实盘净值数据(iFinD公式)'!$A$5:$A$1000,0),MATCH($A67,'实盘净值数据(iFinD公式)'!$B$3:$AA$3,0))/I$85,I103)</x:f>
        <x:v>#NAME?</x:v>
      </x:c>
      <x:c r="J67" s="22" t="e">
        <x:f aca="0">IFERROR(INDEX(分期持仓明细!$B$5:$AA$200,J$82-4,MATCH(LEFT($A67,6),分期持仓明细!$B$3:$AA$3,0))*INDEX('实盘净值数据(iFinD公式)'!$B$5:$AA$1000,$B$81,MATCH($A67,'实盘净值数据(iFinD公式)'!$B$3:$AA$3,0))/INDEX('实盘净值数据(iFinD公式)'!$B$5:$AA$1000,MATCH(J$84,'实盘净值数据(iFinD公式)'!$A$5:$A$1000,0),MATCH($A67,'实盘净值数据(iFinD公式)'!$B$3:$AA$3,0))/J$85,J103)</x:f>
        <x:v>#NAME?</x:v>
      </x:c>
      <x:c r="K67" s="22" t="e">
        <x:f aca="0">IFERROR(INDEX(分期持仓明细!$B$5:$AA$200,K$82-4,MATCH(LEFT($A67,6),分期持仓明细!$B$3:$AA$3,0))*INDEX('实盘净值数据(iFinD公式)'!$B$5:$AA$1000,$B$81,MATCH($A67,'实盘净值数据(iFinD公式)'!$B$3:$AA$3,0))/INDEX('实盘净值数据(iFinD公式)'!$B$5:$AA$1000,MATCH(K$84,'实盘净值数据(iFinD公式)'!$A$5:$A$1000,0),MATCH($A67,'实盘净值数据(iFinD公式)'!$B$3:$AA$3,0))/K$85,K103)</x:f>
        <x:v>#NAME?</x:v>
      </x:c>
      <x:c r="L67" s="22" t="e">
        <x:f aca="0">IFERROR(INDEX(分期持仓明细!$B$5:$AA$200,L$82-4,MATCH(LEFT($A67,6),分期持仓明细!$B$3:$AA$3,0))*INDEX('实盘净值数据(iFinD公式)'!$B$5:$AA$1000,$B$81,MATCH($A67,'实盘净值数据(iFinD公式)'!$B$3:$AA$3,0))/INDEX('实盘净值数据(iFinD公式)'!$B$5:$AA$1000,MATCH(L$84,'实盘净值数据(iFinD公式)'!$A$5:$A$1000,0),MATCH($A67,'实盘净值数据(iFinD公式)'!$B$3:$AA$3,0))/L$85,L103)</x:f>
        <x:v>#NAME?</x:v>
      </x:c>
      <x:c r="M67" t="e">
        <x:f aca="0">IF(G67&gt;0,COUNTIF(G$53:G67,"&gt;0"),"")</x:f>
        <x:v>#NAME?</x:v>
      </x:c>
      <x:c r="N67" t="e">
        <x:f aca="0">IF(H67&gt;0,COUNTIF(H$53:H67,"&gt;0"),"")</x:f>
        <x:v>#NAME?</x:v>
      </x:c>
      <x:c r="O67" t="e">
        <x:f aca="0">IF(I67&gt;0,COUNTIF(I$53:I67,"&gt;0"),"")</x:f>
        <x:v>#NAME?</x:v>
      </x:c>
      <x:c r="P67" t="e">
        <x:f aca="0">IF(J67&gt;0,COUNTIF(J$53:J67,"&gt;0"),"")</x:f>
        <x:v>#NAME?</x:v>
      </x:c>
      <x:c r="Q67" t="e">
        <x:f aca="0">IF(K67&gt;0,COUNTIF(K$53:K67,"&gt;0"),"")</x:f>
        <x:v>#NAME?</x:v>
      </x:c>
      <x:c r="R67" t="e">
        <x:f aca="0">IF(L67&gt;0,COUNTIF(L$53:L67,"&gt;0"),"")</x:f>
        <x:v>#NAME?</x:v>
      </x:c>
    </x:row>
    <x:row r="68" ht="12.649999618530273" hidden="0">
      <x:c r="A68" s="21" t="s">
        <x:v>44</x:v>
      </x:c>
      <x:c r="B68" s="31" t="s">
        <x:v>127</x:v>
      </x:c>
      <x:c r="C68" s="23" t="s">
        <x:v>109</x:v>
      </x:c>
      <x:c r="D68" s="23" t="s">
        <x:v>96</x:v>
      </x:c>
      <x:c r="E68" s="23" t="s">
        <x:v>110</x:v>
      </x:c>
      <x:c r="F68" s="23" t="s">
        <x:v>111</x:v>
      </x:c>
      <x:c r="G68" s="22" t="e">
        <x:f aca="0">IFERROR(INDEX(分期持仓明细!$B$5:$AA$200,G$82-4,MATCH(LEFT($A68,6),分期持仓明细!$B$3:$AA$3,0))*INDEX('实盘净值数据(iFinD公式)'!$B$5:$AA$1000,$B$81,MATCH($A68,'实盘净值数据(iFinD公式)'!$B$3:$AA$3,0))/INDEX('实盘净值数据(iFinD公式)'!$B$5:$AA$1000,MATCH(G$84,'实盘净值数据(iFinD公式)'!$A$5:$A$1000,0),MATCH($A68,'实盘净值数据(iFinD公式)'!$B$3:$AA$3,0))/G$85,G104)</x:f>
        <x:v>#NAME?</x:v>
      </x:c>
      <x:c r="H68" s="22" t="e">
        <x:f aca="0">IFERROR(INDEX(分期持仓明细!$B$5:$AA$200,H$82-4,MATCH(LEFT($A68,6),分期持仓明细!$B$3:$AA$3,0))*INDEX('实盘净值数据(iFinD公式)'!$B$5:$AA$1000,$B$81,MATCH($A68,'实盘净值数据(iFinD公式)'!$B$3:$AA$3,0))/INDEX('实盘净值数据(iFinD公式)'!$B$5:$AA$1000,MATCH(H$84,'实盘净值数据(iFinD公式)'!$A$5:$A$1000,0),MATCH($A68,'实盘净值数据(iFinD公式)'!$B$3:$AA$3,0))/H$85,H104)</x:f>
        <x:v>#NAME?</x:v>
      </x:c>
      <x:c r="I68" s="22" t="e">
        <x:f aca="0">IFERROR(INDEX(分期持仓明细!$B$5:$AA$200,I$82-4,MATCH(LEFT($A68,6),分期持仓明细!$B$3:$AA$3,0))*INDEX('实盘净值数据(iFinD公式)'!$B$5:$AA$1000,$B$81,MATCH($A68,'实盘净值数据(iFinD公式)'!$B$3:$AA$3,0))/INDEX('实盘净值数据(iFinD公式)'!$B$5:$AA$1000,MATCH(I$84,'实盘净值数据(iFinD公式)'!$A$5:$A$1000,0),MATCH($A68,'实盘净值数据(iFinD公式)'!$B$3:$AA$3,0))/I$85,I104)</x:f>
        <x:v>#NAME?</x:v>
      </x:c>
      <x:c r="J68" s="22" t="e">
        <x:f aca="0">IFERROR(INDEX(分期持仓明细!$B$5:$AA$200,J$82-4,MATCH(LEFT($A68,6),分期持仓明细!$B$3:$AA$3,0))*INDEX('实盘净值数据(iFinD公式)'!$B$5:$AA$1000,$B$81,MATCH($A68,'实盘净值数据(iFinD公式)'!$B$3:$AA$3,0))/INDEX('实盘净值数据(iFinD公式)'!$B$5:$AA$1000,MATCH(J$84,'实盘净值数据(iFinD公式)'!$A$5:$A$1000,0),MATCH($A68,'实盘净值数据(iFinD公式)'!$B$3:$AA$3,0))/J$85,J104)</x:f>
        <x:v>#NAME?</x:v>
      </x:c>
      <x:c r="K68" s="22" t="e">
        <x:f aca="0">IFERROR(INDEX(分期持仓明细!$B$5:$AA$200,K$82-4,MATCH(LEFT($A68,6),分期持仓明细!$B$3:$AA$3,0))*INDEX('实盘净值数据(iFinD公式)'!$B$5:$AA$1000,$B$81,MATCH($A68,'实盘净值数据(iFinD公式)'!$B$3:$AA$3,0))/INDEX('实盘净值数据(iFinD公式)'!$B$5:$AA$1000,MATCH(K$84,'实盘净值数据(iFinD公式)'!$A$5:$A$1000,0),MATCH($A68,'实盘净值数据(iFinD公式)'!$B$3:$AA$3,0))/K$85,K104)</x:f>
        <x:v>#NAME?</x:v>
      </x:c>
      <x:c r="L68" s="22" t="e">
        <x:f aca="0">IFERROR(INDEX(分期持仓明细!$B$5:$AA$200,L$82-4,MATCH(LEFT($A68,6),分期持仓明细!$B$3:$AA$3,0))*INDEX('实盘净值数据(iFinD公式)'!$B$5:$AA$1000,$B$81,MATCH($A68,'实盘净值数据(iFinD公式)'!$B$3:$AA$3,0))/INDEX('实盘净值数据(iFinD公式)'!$B$5:$AA$1000,MATCH(L$84,'实盘净值数据(iFinD公式)'!$A$5:$A$1000,0),MATCH($A68,'实盘净值数据(iFinD公式)'!$B$3:$AA$3,0))/L$85,L104)</x:f>
        <x:v>#NAME?</x:v>
      </x:c>
      <x:c r="M68" t="e">
        <x:f aca="0">IF(G68&gt;0,COUNTIF(G$53:G68,"&gt;0"),"")</x:f>
        <x:v>#NAME?</x:v>
      </x:c>
      <x:c r="N68" t="e">
        <x:f aca="0">IF(H68&gt;0,COUNTIF(H$53:H68,"&gt;0"),"")</x:f>
        <x:v>#NAME?</x:v>
      </x:c>
      <x:c r="O68" t="e">
        <x:f aca="0">IF(I68&gt;0,COUNTIF(I$53:I68,"&gt;0"),"")</x:f>
        <x:v>#NAME?</x:v>
      </x:c>
      <x:c r="P68" t="e">
        <x:f aca="0">IF(J68&gt;0,COUNTIF(J$53:J68,"&gt;0"),"")</x:f>
        <x:v>#NAME?</x:v>
      </x:c>
      <x:c r="Q68" t="e">
        <x:f aca="0">IF(K68&gt;0,COUNTIF(K$53:K68,"&gt;0"),"")</x:f>
        <x:v>#NAME?</x:v>
      </x:c>
      <x:c r="R68" t="e">
        <x:f aca="0">IF(L68&gt;0,COUNTIF(L$53:L68,"&gt;0"),"")</x:f>
        <x:v>#NAME?</x:v>
      </x:c>
    </x:row>
    <x:row r="69" ht="12.649999618530273" hidden="0">
      <x:c r="A69" s="21" t="s">
        <x:v>45</x:v>
      </x:c>
      <x:c r="B69" s="31" t="s">
        <x:v>128</x:v>
      </x:c>
      <x:c r="C69" s="23" t="s">
        <x:v>109</x:v>
      </x:c>
      <x:c r="D69" s="23" t="s">
        <x:v>96</x:v>
      </x:c>
      <x:c r="E69" s="23" t="s">
        <x:v>110</x:v>
      </x:c>
      <x:c r="F69" s="23" t="s">
        <x:v>116</x:v>
      </x:c>
      <x:c r="G69" s="22" t="e">
        <x:f aca="0">IFERROR(INDEX(分期持仓明细!$B$5:$AA$200,G$82-4,MATCH(LEFT($A69,6),分期持仓明细!$B$3:$AA$3,0))*INDEX('实盘净值数据(iFinD公式)'!$B$5:$AA$1000,$B$81,MATCH($A69,'实盘净值数据(iFinD公式)'!$B$3:$AA$3,0))/INDEX('实盘净值数据(iFinD公式)'!$B$5:$AA$1000,MATCH(G$84,'实盘净值数据(iFinD公式)'!$A$5:$A$1000,0),MATCH($A69,'实盘净值数据(iFinD公式)'!$B$3:$AA$3,0))/G$85,G105)</x:f>
        <x:v>#NAME?</x:v>
      </x:c>
      <x:c r="H69" s="22" t="e">
        <x:f aca="0">IFERROR(INDEX(分期持仓明细!$B$5:$AA$200,H$82-4,MATCH(LEFT($A69,6),分期持仓明细!$B$3:$AA$3,0))*INDEX('实盘净值数据(iFinD公式)'!$B$5:$AA$1000,$B$81,MATCH($A69,'实盘净值数据(iFinD公式)'!$B$3:$AA$3,0))/INDEX('实盘净值数据(iFinD公式)'!$B$5:$AA$1000,MATCH(H$84,'实盘净值数据(iFinD公式)'!$A$5:$A$1000,0),MATCH($A69,'实盘净值数据(iFinD公式)'!$B$3:$AA$3,0))/H$85,H105)</x:f>
        <x:v>#NAME?</x:v>
      </x:c>
      <x:c r="I69" s="22" t="e">
        <x:f aca="0">IFERROR(INDEX(分期持仓明细!$B$5:$AA$200,I$82-4,MATCH(LEFT($A69,6),分期持仓明细!$B$3:$AA$3,0))*INDEX('实盘净值数据(iFinD公式)'!$B$5:$AA$1000,$B$81,MATCH($A69,'实盘净值数据(iFinD公式)'!$B$3:$AA$3,0))/INDEX('实盘净值数据(iFinD公式)'!$B$5:$AA$1000,MATCH(I$84,'实盘净值数据(iFinD公式)'!$A$5:$A$1000,0),MATCH($A69,'实盘净值数据(iFinD公式)'!$B$3:$AA$3,0))/I$85,I105)</x:f>
        <x:v>#NAME?</x:v>
      </x:c>
      <x:c r="J69" s="22" t="e">
        <x:f aca="0">IFERROR(INDEX(分期持仓明细!$B$5:$AA$200,J$82-4,MATCH(LEFT($A69,6),分期持仓明细!$B$3:$AA$3,0))*INDEX('实盘净值数据(iFinD公式)'!$B$5:$AA$1000,$B$81,MATCH($A69,'实盘净值数据(iFinD公式)'!$B$3:$AA$3,0))/INDEX('实盘净值数据(iFinD公式)'!$B$5:$AA$1000,MATCH(J$84,'实盘净值数据(iFinD公式)'!$A$5:$A$1000,0),MATCH($A69,'实盘净值数据(iFinD公式)'!$B$3:$AA$3,0))/J$85,J105)</x:f>
        <x:v>#NAME?</x:v>
      </x:c>
      <x:c r="K69" s="22" t="e">
        <x:f aca="0">IFERROR(INDEX(分期持仓明细!$B$5:$AA$200,K$82-4,MATCH(LEFT($A69,6),分期持仓明细!$B$3:$AA$3,0))*INDEX('实盘净值数据(iFinD公式)'!$B$5:$AA$1000,$B$81,MATCH($A69,'实盘净值数据(iFinD公式)'!$B$3:$AA$3,0))/INDEX('实盘净值数据(iFinD公式)'!$B$5:$AA$1000,MATCH(K$84,'实盘净值数据(iFinD公式)'!$A$5:$A$1000,0),MATCH($A69,'实盘净值数据(iFinD公式)'!$B$3:$AA$3,0))/K$85,K105)</x:f>
        <x:v>#NAME?</x:v>
      </x:c>
      <x:c r="L69" s="22" t="e">
        <x:f aca="0">IFERROR(INDEX(分期持仓明细!$B$5:$AA$200,L$82-4,MATCH(LEFT($A69,6),分期持仓明细!$B$3:$AA$3,0))*INDEX('实盘净值数据(iFinD公式)'!$B$5:$AA$1000,$B$81,MATCH($A69,'实盘净值数据(iFinD公式)'!$B$3:$AA$3,0))/INDEX('实盘净值数据(iFinD公式)'!$B$5:$AA$1000,MATCH(L$84,'实盘净值数据(iFinD公式)'!$A$5:$A$1000,0),MATCH($A69,'实盘净值数据(iFinD公式)'!$B$3:$AA$3,0))/L$85,L105)</x:f>
        <x:v>#NAME?</x:v>
      </x:c>
      <x:c r="M69" t="e">
        <x:f aca="0">IF(G69&gt;0,COUNTIF(G$53:G69,"&gt;0"),"")</x:f>
        <x:v>#NAME?</x:v>
      </x:c>
      <x:c r="N69" t="e">
        <x:f aca="0">IF(H69&gt;0,COUNTIF(H$53:H69,"&gt;0"),"")</x:f>
        <x:v>#NAME?</x:v>
      </x:c>
      <x:c r="O69" t="e">
        <x:f aca="0">IF(I69&gt;0,COUNTIF(I$53:I69,"&gt;0"),"")</x:f>
        <x:v>#NAME?</x:v>
      </x:c>
      <x:c r="P69" t="e">
        <x:f aca="0">IF(J69&gt;0,COUNTIF(J$53:J69,"&gt;0"),"")</x:f>
        <x:v>#NAME?</x:v>
      </x:c>
      <x:c r="Q69" t="e">
        <x:f aca="0">IF(K69&gt;0,COUNTIF(K$53:K69,"&gt;0"),"")</x:f>
        <x:v>#NAME?</x:v>
      </x:c>
      <x:c r="R69" t="e">
        <x:f aca="0">IF(L69&gt;0,COUNTIF(L$53:L69,"&gt;0"),"")</x:f>
        <x:v>#NAME?</x:v>
      </x:c>
    </x:row>
    <x:row r="70" ht="12.649999618530273" hidden="0">
      <x:c r="A70" s="21" t="s">
        <x:v>46</x:v>
      </x:c>
      <x:c r="B70" s="31" t="s">
        <x:v>129</x:v>
      </x:c>
      <x:c r="C70" s="23" t="s">
        <x:v>109</x:v>
      </x:c>
      <x:c r="D70" s="23" t="s">
        <x:v>96</x:v>
      </x:c>
      <x:c r="E70" s="23" t="s">
        <x:v>110</x:v>
      </x:c>
      <x:c r="F70" s="23" t="s">
        <x:v>116</x:v>
      </x:c>
      <x:c r="G70" s="22" t="e">
        <x:f aca="0">IFERROR(INDEX(分期持仓明细!$B$5:$AA$200,G$82-4,MATCH(LEFT($A70,6),分期持仓明细!$B$3:$AA$3,0))*INDEX('实盘净值数据(iFinD公式)'!$B$5:$AA$1000,$B$81,MATCH($A70,'实盘净值数据(iFinD公式)'!$B$3:$AA$3,0))/INDEX('实盘净值数据(iFinD公式)'!$B$5:$AA$1000,MATCH(G$84,'实盘净值数据(iFinD公式)'!$A$5:$A$1000,0),MATCH($A70,'实盘净值数据(iFinD公式)'!$B$3:$AA$3,0))/G$85,G106)</x:f>
        <x:v>#NAME?</x:v>
      </x:c>
      <x:c r="H70" s="22" t="e">
        <x:f aca="0">IFERROR(INDEX(分期持仓明细!$B$5:$AA$200,H$82-4,MATCH(LEFT($A70,6),分期持仓明细!$B$3:$AA$3,0))*INDEX('实盘净值数据(iFinD公式)'!$B$5:$AA$1000,$B$81,MATCH($A70,'实盘净值数据(iFinD公式)'!$B$3:$AA$3,0))/INDEX('实盘净值数据(iFinD公式)'!$B$5:$AA$1000,MATCH(H$84,'实盘净值数据(iFinD公式)'!$A$5:$A$1000,0),MATCH($A70,'实盘净值数据(iFinD公式)'!$B$3:$AA$3,0))/H$85,H106)</x:f>
        <x:v>#NAME?</x:v>
      </x:c>
      <x:c r="I70" s="22" t="e">
        <x:f aca="0">IFERROR(INDEX(分期持仓明细!$B$5:$AA$200,I$82-4,MATCH(LEFT($A70,6),分期持仓明细!$B$3:$AA$3,0))*INDEX('实盘净值数据(iFinD公式)'!$B$5:$AA$1000,$B$81,MATCH($A70,'实盘净值数据(iFinD公式)'!$B$3:$AA$3,0))/INDEX('实盘净值数据(iFinD公式)'!$B$5:$AA$1000,MATCH(I$84,'实盘净值数据(iFinD公式)'!$A$5:$A$1000,0),MATCH($A70,'实盘净值数据(iFinD公式)'!$B$3:$AA$3,0))/I$85,I106)</x:f>
        <x:v>#NAME?</x:v>
      </x:c>
      <x:c r="J70" s="22" t="e">
        <x:f aca="0">IFERROR(INDEX(分期持仓明细!$B$5:$AA$200,J$82-4,MATCH(LEFT($A70,6),分期持仓明细!$B$3:$AA$3,0))*INDEX('实盘净值数据(iFinD公式)'!$B$5:$AA$1000,$B$81,MATCH($A70,'实盘净值数据(iFinD公式)'!$B$3:$AA$3,0))/INDEX('实盘净值数据(iFinD公式)'!$B$5:$AA$1000,MATCH(J$84,'实盘净值数据(iFinD公式)'!$A$5:$A$1000,0),MATCH($A70,'实盘净值数据(iFinD公式)'!$B$3:$AA$3,0))/J$85,J106)</x:f>
        <x:v>#NAME?</x:v>
      </x:c>
      <x:c r="K70" s="22" t="e">
        <x:f aca="0">IFERROR(INDEX(分期持仓明细!$B$5:$AA$200,K$82-4,MATCH(LEFT($A70,6),分期持仓明细!$B$3:$AA$3,0))*INDEX('实盘净值数据(iFinD公式)'!$B$5:$AA$1000,$B$81,MATCH($A70,'实盘净值数据(iFinD公式)'!$B$3:$AA$3,0))/INDEX('实盘净值数据(iFinD公式)'!$B$5:$AA$1000,MATCH(K$84,'实盘净值数据(iFinD公式)'!$A$5:$A$1000,0),MATCH($A70,'实盘净值数据(iFinD公式)'!$B$3:$AA$3,0))/K$85,K106)</x:f>
        <x:v>#NAME?</x:v>
      </x:c>
      <x:c r="L70" s="22" t="e">
        <x:f aca="0">IFERROR(INDEX(分期持仓明细!$B$5:$AA$200,L$82-4,MATCH(LEFT($A70,6),分期持仓明细!$B$3:$AA$3,0))*INDEX('实盘净值数据(iFinD公式)'!$B$5:$AA$1000,$B$81,MATCH($A70,'实盘净值数据(iFinD公式)'!$B$3:$AA$3,0))/INDEX('实盘净值数据(iFinD公式)'!$B$5:$AA$1000,MATCH(L$84,'实盘净值数据(iFinD公式)'!$A$5:$A$1000,0),MATCH($A70,'实盘净值数据(iFinD公式)'!$B$3:$AA$3,0))/L$85,L106)</x:f>
        <x:v>#NAME?</x:v>
      </x:c>
      <x:c r="M70" t="e">
        <x:f aca="0">IF(G70&gt;0,COUNTIF(G$53:G70,"&gt;0"),"")</x:f>
        <x:v>#NAME?</x:v>
      </x:c>
      <x:c r="N70" t="e">
        <x:f aca="0">IF(H70&gt;0,COUNTIF(H$53:H70,"&gt;0"),"")</x:f>
        <x:v>#NAME?</x:v>
      </x:c>
      <x:c r="O70" t="e">
        <x:f aca="0">IF(I70&gt;0,COUNTIF(I$53:I70,"&gt;0"),"")</x:f>
        <x:v>#NAME?</x:v>
      </x:c>
      <x:c r="P70" t="e">
        <x:f aca="0">IF(J70&gt;0,COUNTIF(J$53:J70,"&gt;0"),"")</x:f>
        <x:v>#NAME?</x:v>
      </x:c>
      <x:c r="Q70" t="e">
        <x:f aca="0">IF(K70&gt;0,COUNTIF(K$53:K70,"&gt;0"),"")</x:f>
        <x:v>#NAME?</x:v>
      </x:c>
      <x:c r="R70" t="e">
        <x:f aca="0">IF(L70&gt;0,COUNTIF(L$53:L70,"&gt;0"),"")</x:f>
        <x:v>#NAME?</x:v>
      </x:c>
    </x:row>
    <x:row r="71" ht="12.649999618530273" hidden="0">
      <x:c r="A71" s="21" t="s">
        <x:v>47</x:v>
      </x:c>
      <x:c r="B71" s="31" t="s">
        <x:v>130</x:v>
      </x:c>
      <x:c r="C71" s="23" t="s">
        <x:v>109</x:v>
      </x:c>
      <x:c r="D71" s="23" t="s">
        <x:v>96</x:v>
      </x:c>
      <x:c r="E71" s="23" t="s">
        <x:v>118</x:v>
      </x:c>
      <x:c r="F71" s="23" t="s">
        <x:v>111</x:v>
      </x:c>
      <x:c r="G71" s="22" t="e">
        <x:f aca="0">IFERROR(INDEX(分期持仓明细!$B$5:$AA$200,G$82-4,MATCH(LEFT($A71,6),分期持仓明细!$B$3:$AA$3,0))*INDEX('实盘净值数据(iFinD公式)'!$B$5:$AA$1000,$B$81,MATCH($A71,'实盘净值数据(iFinD公式)'!$B$3:$AA$3,0))/INDEX('实盘净值数据(iFinD公式)'!$B$5:$AA$1000,MATCH(G$84,'实盘净值数据(iFinD公式)'!$A$5:$A$1000,0),MATCH($A71,'实盘净值数据(iFinD公式)'!$B$3:$AA$3,0))/G$85,G107)</x:f>
        <x:v>#NAME?</x:v>
      </x:c>
      <x:c r="H71" s="22" t="e">
        <x:f aca="0">IFERROR(INDEX(分期持仓明细!$B$5:$AA$200,H$82-4,MATCH(LEFT($A71,6),分期持仓明细!$B$3:$AA$3,0))*INDEX('实盘净值数据(iFinD公式)'!$B$5:$AA$1000,$B$81,MATCH($A71,'实盘净值数据(iFinD公式)'!$B$3:$AA$3,0))/INDEX('实盘净值数据(iFinD公式)'!$B$5:$AA$1000,MATCH(H$84,'实盘净值数据(iFinD公式)'!$A$5:$A$1000,0),MATCH($A71,'实盘净值数据(iFinD公式)'!$B$3:$AA$3,0))/H$85,H107)</x:f>
        <x:v>#NAME?</x:v>
      </x:c>
      <x:c r="I71" s="22" t="e">
        <x:f aca="0">IFERROR(INDEX(分期持仓明细!$B$5:$AA$200,I$82-4,MATCH(LEFT($A71,6),分期持仓明细!$B$3:$AA$3,0))*INDEX('实盘净值数据(iFinD公式)'!$B$5:$AA$1000,$B$81,MATCH($A71,'实盘净值数据(iFinD公式)'!$B$3:$AA$3,0))/INDEX('实盘净值数据(iFinD公式)'!$B$5:$AA$1000,MATCH(I$84,'实盘净值数据(iFinD公式)'!$A$5:$A$1000,0),MATCH($A71,'实盘净值数据(iFinD公式)'!$B$3:$AA$3,0))/I$85,I107)</x:f>
        <x:v>#NAME?</x:v>
      </x:c>
      <x:c r="J71" s="22" t="e">
        <x:f aca="0">IFERROR(INDEX(分期持仓明细!$B$5:$AA$200,J$82-4,MATCH(LEFT($A71,6),分期持仓明细!$B$3:$AA$3,0))*INDEX('实盘净值数据(iFinD公式)'!$B$5:$AA$1000,$B$81,MATCH($A71,'实盘净值数据(iFinD公式)'!$B$3:$AA$3,0))/INDEX('实盘净值数据(iFinD公式)'!$B$5:$AA$1000,MATCH(J$84,'实盘净值数据(iFinD公式)'!$A$5:$A$1000,0),MATCH($A71,'实盘净值数据(iFinD公式)'!$B$3:$AA$3,0))/J$85,J107)</x:f>
        <x:v>#NAME?</x:v>
      </x:c>
      <x:c r="K71" s="22" t="e">
        <x:f aca="0">IFERROR(INDEX(分期持仓明细!$B$5:$AA$200,K$82-4,MATCH(LEFT($A71,6),分期持仓明细!$B$3:$AA$3,0))*INDEX('实盘净值数据(iFinD公式)'!$B$5:$AA$1000,$B$81,MATCH($A71,'实盘净值数据(iFinD公式)'!$B$3:$AA$3,0))/INDEX('实盘净值数据(iFinD公式)'!$B$5:$AA$1000,MATCH(K$84,'实盘净值数据(iFinD公式)'!$A$5:$A$1000,0),MATCH($A71,'实盘净值数据(iFinD公式)'!$B$3:$AA$3,0))/K$85,K107)</x:f>
        <x:v>#NAME?</x:v>
      </x:c>
      <x:c r="L71" s="22" t="e">
        <x:f aca="0">IFERROR(INDEX(分期持仓明细!$B$5:$AA$200,L$82-4,MATCH(LEFT($A71,6),分期持仓明细!$B$3:$AA$3,0))*INDEX('实盘净值数据(iFinD公式)'!$B$5:$AA$1000,$B$81,MATCH($A71,'实盘净值数据(iFinD公式)'!$B$3:$AA$3,0))/INDEX('实盘净值数据(iFinD公式)'!$B$5:$AA$1000,MATCH(L$84,'实盘净值数据(iFinD公式)'!$A$5:$A$1000,0),MATCH($A71,'实盘净值数据(iFinD公式)'!$B$3:$AA$3,0))/L$85,L107)</x:f>
        <x:v>#NAME?</x:v>
      </x:c>
      <x:c r="M71" t="e">
        <x:f aca="0">IF(G71&gt;0,COUNTIF(G$53:G71,"&gt;0"),"")</x:f>
        <x:v>#NAME?</x:v>
      </x:c>
      <x:c r="N71" t="e">
        <x:f aca="0">IF(H71&gt;0,COUNTIF(H$53:H71,"&gt;0"),"")</x:f>
        <x:v>#NAME?</x:v>
      </x:c>
      <x:c r="O71" t="e">
        <x:f aca="0">IF(I71&gt;0,COUNTIF(I$53:I71,"&gt;0"),"")</x:f>
        <x:v>#NAME?</x:v>
      </x:c>
      <x:c r="P71" t="e">
        <x:f aca="0">IF(J71&gt;0,COUNTIF(J$53:J71,"&gt;0"),"")</x:f>
        <x:v>#NAME?</x:v>
      </x:c>
      <x:c r="Q71" t="e">
        <x:f aca="0">IF(K71&gt;0,COUNTIF(K$53:K71,"&gt;0"),"")</x:f>
        <x:v>#NAME?</x:v>
      </x:c>
      <x:c r="R71" t="e">
        <x:f aca="0">IF(L71&gt;0,COUNTIF(L$53:L71,"&gt;0"),"")</x:f>
        <x:v>#NAME?</x:v>
      </x:c>
    </x:row>
    <x:row r="72" ht="12.649999618530273" hidden="0">
      <x:c r="A72" s="21" t="s">
        <x:v>48</x:v>
      </x:c>
      <x:c r="B72" s="31" t="s">
        <x:v>131</x:v>
      </x:c>
      <x:c r="C72" s="23" t="s">
        <x:v>109</x:v>
      </x:c>
      <x:c r="D72" s="23" t="s">
        <x:v>96</x:v>
      </x:c>
      <x:c r="E72" s="23" t="s">
        <x:v>118</x:v>
      </x:c>
      <x:c r="F72" s="23" t="s">
        <x:v>116</x:v>
      </x:c>
      <x:c r="G72" s="22" t="e">
        <x:f aca="0">IFERROR(INDEX(分期持仓明细!$B$5:$AA$200,G$82-4,MATCH(LEFT($A72,6),分期持仓明细!$B$3:$AA$3,0))*INDEX('实盘净值数据(iFinD公式)'!$B$5:$AA$1000,$B$81,MATCH($A72,'实盘净值数据(iFinD公式)'!$B$3:$AA$3,0))/INDEX('实盘净值数据(iFinD公式)'!$B$5:$AA$1000,MATCH(G$84,'实盘净值数据(iFinD公式)'!$A$5:$A$1000,0),MATCH($A72,'实盘净值数据(iFinD公式)'!$B$3:$AA$3,0))/G$85,G108)</x:f>
        <x:v>#NAME?</x:v>
      </x:c>
      <x:c r="H72" s="22" t="e">
        <x:f aca="0">IFERROR(INDEX(分期持仓明细!$B$5:$AA$200,H$82-4,MATCH(LEFT($A72,6),分期持仓明细!$B$3:$AA$3,0))*INDEX('实盘净值数据(iFinD公式)'!$B$5:$AA$1000,$B$81,MATCH($A72,'实盘净值数据(iFinD公式)'!$B$3:$AA$3,0))/INDEX('实盘净值数据(iFinD公式)'!$B$5:$AA$1000,MATCH(H$84,'实盘净值数据(iFinD公式)'!$A$5:$A$1000,0),MATCH($A72,'实盘净值数据(iFinD公式)'!$B$3:$AA$3,0))/H$85,H108)</x:f>
        <x:v>#NAME?</x:v>
      </x:c>
      <x:c r="I72" s="22" t="e">
        <x:f aca="0">IFERROR(INDEX(分期持仓明细!$B$5:$AA$200,I$82-4,MATCH(LEFT($A72,6),分期持仓明细!$B$3:$AA$3,0))*INDEX('实盘净值数据(iFinD公式)'!$B$5:$AA$1000,$B$81,MATCH($A72,'实盘净值数据(iFinD公式)'!$B$3:$AA$3,0))/INDEX('实盘净值数据(iFinD公式)'!$B$5:$AA$1000,MATCH(I$84,'实盘净值数据(iFinD公式)'!$A$5:$A$1000,0),MATCH($A72,'实盘净值数据(iFinD公式)'!$B$3:$AA$3,0))/I$85,I108)</x:f>
        <x:v>#NAME?</x:v>
      </x:c>
      <x:c r="J72" s="22" t="e">
        <x:f aca="0">IFERROR(INDEX(分期持仓明细!$B$5:$AA$200,J$82-4,MATCH(LEFT($A72,6),分期持仓明细!$B$3:$AA$3,0))*INDEX('实盘净值数据(iFinD公式)'!$B$5:$AA$1000,$B$81,MATCH($A72,'实盘净值数据(iFinD公式)'!$B$3:$AA$3,0))/INDEX('实盘净值数据(iFinD公式)'!$B$5:$AA$1000,MATCH(J$84,'实盘净值数据(iFinD公式)'!$A$5:$A$1000,0),MATCH($A72,'实盘净值数据(iFinD公式)'!$B$3:$AA$3,0))/J$85,J108)</x:f>
        <x:v>#NAME?</x:v>
      </x:c>
      <x:c r="K72" s="22" t="e">
        <x:f aca="0">IFERROR(INDEX(分期持仓明细!$B$5:$AA$200,K$82-4,MATCH(LEFT($A72,6),分期持仓明细!$B$3:$AA$3,0))*INDEX('实盘净值数据(iFinD公式)'!$B$5:$AA$1000,$B$81,MATCH($A72,'实盘净值数据(iFinD公式)'!$B$3:$AA$3,0))/INDEX('实盘净值数据(iFinD公式)'!$B$5:$AA$1000,MATCH(K$84,'实盘净值数据(iFinD公式)'!$A$5:$A$1000,0),MATCH($A72,'实盘净值数据(iFinD公式)'!$B$3:$AA$3,0))/K$85,K108)</x:f>
        <x:v>#NAME?</x:v>
      </x:c>
      <x:c r="L72" s="22" t="e">
        <x:f aca="0">IFERROR(INDEX(分期持仓明细!$B$5:$AA$200,L$82-4,MATCH(LEFT($A72,6),分期持仓明细!$B$3:$AA$3,0))*INDEX('实盘净值数据(iFinD公式)'!$B$5:$AA$1000,$B$81,MATCH($A72,'实盘净值数据(iFinD公式)'!$B$3:$AA$3,0))/INDEX('实盘净值数据(iFinD公式)'!$B$5:$AA$1000,MATCH(L$84,'实盘净值数据(iFinD公式)'!$A$5:$A$1000,0),MATCH($A72,'实盘净值数据(iFinD公式)'!$B$3:$AA$3,0))/L$85,L108)</x:f>
        <x:v>#NAME?</x:v>
      </x:c>
      <x:c r="M72" t="e">
        <x:f aca="0">IF(G72&gt;0,COUNTIF(G$53:G72,"&gt;0"),"")</x:f>
        <x:v>#NAME?</x:v>
      </x:c>
      <x:c r="N72" t="e">
        <x:f aca="0">IF(H72&gt;0,COUNTIF(H$53:H72,"&gt;0"),"")</x:f>
        <x:v>#NAME?</x:v>
      </x:c>
      <x:c r="O72" t="e">
        <x:f aca="0">IF(I72&gt;0,COUNTIF(I$53:I72,"&gt;0"),"")</x:f>
        <x:v>#NAME?</x:v>
      </x:c>
      <x:c r="P72" t="e">
        <x:f aca="0">IF(J72&gt;0,COUNTIF(J$53:J72,"&gt;0"),"")</x:f>
        <x:v>#NAME?</x:v>
      </x:c>
      <x:c r="Q72" t="e">
        <x:f aca="0">IF(K72&gt;0,COUNTIF(K$53:K72,"&gt;0"),"")</x:f>
        <x:v>#NAME?</x:v>
      </x:c>
      <x:c r="R72" t="e">
        <x:f aca="0">IF(L72&gt;0,COUNTIF(L$53:L72,"&gt;0"),"")</x:f>
        <x:v>#NAME?</x:v>
      </x:c>
    </x:row>
    <x:row r="73" ht="12.649999618530273" hidden="0">
      <x:c r="A73" s="21" t="s">
        <x:v>49</x:v>
      </x:c>
      <x:c r="B73" s="31" t="s">
        <x:v>132</x:v>
      </x:c>
      <x:c r="C73" s="23" t="s">
        <x:v>109</x:v>
      </x:c>
      <x:c r="D73" s="23" t="s">
        <x:v>113</x:v>
      </x:c>
      <x:c r="E73" s="23" t="s">
        <x:v>113</x:v>
      </x:c>
      <x:c r="F73" s="23" t="s">
        <x:v>114</x:v>
      </x:c>
      <x:c r="G73" s="22" t="e">
        <x:f aca="0">IFERROR(INDEX(分期持仓明细!$B$5:$AA$200,G$82-4,MATCH(LEFT($A73,6),分期持仓明细!$B$3:$AA$3,0))*INDEX('实盘净值数据(iFinD公式)'!$B$5:$AA$1000,$B$81,MATCH($A73,'实盘净值数据(iFinD公式)'!$B$3:$AA$3,0))/INDEX('实盘净值数据(iFinD公式)'!$B$5:$AA$1000,MATCH(G$84,'实盘净值数据(iFinD公式)'!$A$5:$A$1000,0),MATCH($A73,'实盘净值数据(iFinD公式)'!$B$3:$AA$3,0))/G$85,G109)</x:f>
        <x:v>#NAME?</x:v>
      </x:c>
      <x:c r="H73" s="22" t="e">
        <x:f aca="0">IFERROR(INDEX(分期持仓明细!$B$5:$AA$200,H$82-4,MATCH(LEFT($A73,6),分期持仓明细!$B$3:$AA$3,0))*INDEX('实盘净值数据(iFinD公式)'!$B$5:$AA$1000,$B$81,MATCH($A73,'实盘净值数据(iFinD公式)'!$B$3:$AA$3,0))/INDEX('实盘净值数据(iFinD公式)'!$B$5:$AA$1000,MATCH(H$84,'实盘净值数据(iFinD公式)'!$A$5:$A$1000,0),MATCH($A73,'实盘净值数据(iFinD公式)'!$B$3:$AA$3,0))/H$85,H109)</x:f>
        <x:v>#NAME?</x:v>
      </x:c>
      <x:c r="I73" s="22" t="e">
        <x:f aca="0">IFERROR(INDEX(分期持仓明细!$B$5:$AA$200,I$82-4,MATCH(LEFT($A73,6),分期持仓明细!$B$3:$AA$3,0))*INDEX('实盘净值数据(iFinD公式)'!$B$5:$AA$1000,$B$81,MATCH($A73,'实盘净值数据(iFinD公式)'!$B$3:$AA$3,0))/INDEX('实盘净值数据(iFinD公式)'!$B$5:$AA$1000,MATCH(I$84,'实盘净值数据(iFinD公式)'!$A$5:$A$1000,0),MATCH($A73,'实盘净值数据(iFinD公式)'!$B$3:$AA$3,0))/I$85,I109)</x:f>
        <x:v>#NAME?</x:v>
      </x:c>
      <x:c r="J73" s="22" t="e">
        <x:f aca="0">IFERROR(INDEX(分期持仓明细!$B$5:$AA$200,J$82-4,MATCH(LEFT($A73,6),分期持仓明细!$B$3:$AA$3,0))*INDEX('实盘净值数据(iFinD公式)'!$B$5:$AA$1000,$B$81,MATCH($A73,'实盘净值数据(iFinD公式)'!$B$3:$AA$3,0))/INDEX('实盘净值数据(iFinD公式)'!$B$5:$AA$1000,MATCH(J$84,'实盘净值数据(iFinD公式)'!$A$5:$A$1000,0),MATCH($A73,'实盘净值数据(iFinD公式)'!$B$3:$AA$3,0))/J$85,J109)</x:f>
        <x:v>#NAME?</x:v>
      </x:c>
      <x:c r="K73" s="22" t="e">
        <x:f aca="0">IFERROR(INDEX(分期持仓明细!$B$5:$AA$200,K$82-4,MATCH(LEFT($A73,6),分期持仓明细!$B$3:$AA$3,0))*INDEX('实盘净值数据(iFinD公式)'!$B$5:$AA$1000,$B$81,MATCH($A73,'实盘净值数据(iFinD公式)'!$B$3:$AA$3,0))/INDEX('实盘净值数据(iFinD公式)'!$B$5:$AA$1000,MATCH(K$84,'实盘净值数据(iFinD公式)'!$A$5:$A$1000,0),MATCH($A73,'实盘净值数据(iFinD公式)'!$B$3:$AA$3,0))/K$85,K109)</x:f>
        <x:v>#NAME?</x:v>
      </x:c>
      <x:c r="L73" s="22" t="e">
        <x:f aca="0">IFERROR(INDEX(分期持仓明细!$B$5:$AA$200,L$82-4,MATCH(LEFT($A73,6),分期持仓明细!$B$3:$AA$3,0))*INDEX('实盘净值数据(iFinD公式)'!$B$5:$AA$1000,$B$81,MATCH($A73,'实盘净值数据(iFinD公式)'!$B$3:$AA$3,0))/INDEX('实盘净值数据(iFinD公式)'!$B$5:$AA$1000,MATCH(L$84,'实盘净值数据(iFinD公式)'!$A$5:$A$1000,0),MATCH($A73,'实盘净值数据(iFinD公式)'!$B$3:$AA$3,0))/L$85,L109)</x:f>
        <x:v>#NAME?</x:v>
      </x:c>
      <x:c r="M73" t="e">
        <x:f aca="0">IF(G73&gt;0,COUNTIF(G$53:G73,"&gt;0"),"")</x:f>
        <x:v>#NAME?</x:v>
      </x:c>
      <x:c r="N73" t="e">
        <x:f aca="0">IF(H73&gt;0,COUNTIF(H$53:H73,"&gt;0"),"")</x:f>
        <x:v>#NAME?</x:v>
      </x:c>
      <x:c r="O73" t="e">
        <x:f aca="0">IF(I73&gt;0,COUNTIF(I$53:I73,"&gt;0"),"")</x:f>
        <x:v>#NAME?</x:v>
      </x:c>
      <x:c r="P73" t="e">
        <x:f aca="0">IF(J73&gt;0,COUNTIF(J$53:J73,"&gt;0"),"")</x:f>
        <x:v>#NAME?</x:v>
      </x:c>
      <x:c r="Q73" t="e">
        <x:f aca="0">IF(K73&gt;0,COUNTIF(K$53:K73,"&gt;0"),"")</x:f>
        <x:v>#NAME?</x:v>
      </x:c>
      <x:c r="R73" t="e">
        <x:f aca="0">IF(L73&gt;0,COUNTIF(L$53:L73,"&gt;0"),"")</x:f>
        <x:v>#NAME?</x:v>
      </x:c>
    </x:row>
    <x:row r="74" ht="12.649999618530273" hidden="0">
      <x:c r="A74" s="21" t="s">
        <x:v>50</x:v>
      </x:c>
      <x:c r="B74" s="31" t="s">
        <x:v>133</x:v>
      </x:c>
      <x:c r="C74" s="23" t="s">
        <x:v>109</x:v>
      </x:c>
      <x:c r="D74" s="23" t="s">
        <x:v>113</x:v>
      </x:c>
      <x:c r="E74" s="23" t="s">
        <x:v>113</x:v>
      </x:c>
      <x:c r="F74" s="23" t="s">
        <x:v>116</x:v>
      </x:c>
      <x:c r="G74" s="22" t="e">
        <x:f aca="0">IFERROR(INDEX(分期持仓明细!$B$5:$AA$200,G$82-4,MATCH(LEFT($A74,6),分期持仓明细!$B$3:$AA$3,0))*INDEX('实盘净值数据(iFinD公式)'!$B$5:$AA$1000,$B$81,MATCH($A74,'实盘净值数据(iFinD公式)'!$B$3:$AA$3,0))/INDEX('实盘净值数据(iFinD公式)'!$B$5:$AA$1000,MATCH(G$84,'实盘净值数据(iFinD公式)'!$A$5:$A$1000,0),MATCH($A74,'实盘净值数据(iFinD公式)'!$B$3:$AA$3,0))/G$85,G110)</x:f>
        <x:v>#NAME?</x:v>
      </x:c>
      <x:c r="H74" s="22" t="e">
        <x:f aca="0">IFERROR(INDEX(分期持仓明细!$B$5:$AA$200,H$82-4,MATCH(LEFT($A74,6),分期持仓明细!$B$3:$AA$3,0))*INDEX('实盘净值数据(iFinD公式)'!$B$5:$AA$1000,$B$81,MATCH($A74,'实盘净值数据(iFinD公式)'!$B$3:$AA$3,0))/INDEX('实盘净值数据(iFinD公式)'!$B$5:$AA$1000,MATCH(H$84,'实盘净值数据(iFinD公式)'!$A$5:$A$1000,0),MATCH($A74,'实盘净值数据(iFinD公式)'!$B$3:$AA$3,0))/H$85,H110)</x:f>
        <x:v>#NAME?</x:v>
      </x:c>
      <x:c r="I74" s="22" t="e">
        <x:f aca="0">IFERROR(INDEX(分期持仓明细!$B$5:$AA$200,I$82-4,MATCH(LEFT($A74,6),分期持仓明细!$B$3:$AA$3,0))*INDEX('实盘净值数据(iFinD公式)'!$B$5:$AA$1000,$B$81,MATCH($A74,'实盘净值数据(iFinD公式)'!$B$3:$AA$3,0))/INDEX('实盘净值数据(iFinD公式)'!$B$5:$AA$1000,MATCH(I$84,'实盘净值数据(iFinD公式)'!$A$5:$A$1000,0),MATCH($A74,'实盘净值数据(iFinD公式)'!$B$3:$AA$3,0))/I$85,I110)</x:f>
        <x:v>#NAME?</x:v>
      </x:c>
      <x:c r="J74" s="22" t="e">
        <x:f aca="0">IFERROR(INDEX(分期持仓明细!$B$5:$AA$200,J$82-4,MATCH(LEFT($A74,6),分期持仓明细!$B$3:$AA$3,0))*INDEX('实盘净值数据(iFinD公式)'!$B$5:$AA$1000,$B$81,MATCH($A74,'实盘净值数据(iFinD公式)'!$B$3:$AA$3,0))/INDEX('实盘净值数据(iFinD公式)'!$B$5:$AA$1000,MATCH(J$84,'实盘净值数据(iFinD公式)'!$A$5:$A$1000,0),MATCH($A74,'实盘净值数据(iFinD公式)'!$B$3:$AA$3,0))/J$85,J110)</x:f>
        <x:v>#NAME?</x:v>
      </x:c>
      <x:c r="K74" s="22" t="e">
        <x:f aca="0">IFERROR(INDEX(分期持仓明细!$B$5:$AA$200,K$82-4,MATCH(LEFT($A74,6),分期持仓明细!$B$3:$AA$3,0))*INDEX('实盘净值数据(iFinD公式)'!$B$5:$AA$1000,$B$81,MATCH($A74,'实盘净值数据(iFinD公式)'!$B$3:$AA$3,0))/INDEX('实盘净值数据(iFinD公式)'!$B$5:$AA$1000,MATCH(K$84,'实盘净值数据(iFinD公式)'!$A$5:$A$1000,0),MATCH($A74,'实盘净值数据(iFinD公式)'!$B$3:$AA$3,0))/K$85,K110)</x:f>
        <x:v>#NAME?</x:v>
      </x:c>
      <x:c r="L74" s="22" t="e">
        <x:f aca="0">IFERROR(INDEX(分期持仓明细!$B$5:$AA$200,L$82-4,MATCH(LEFT($A74,6),分期持仓明细!$B$3:$AA$3,0))*INDEX('实盘净值数据(iFinD公式)'!$B$5:$AA$1000,$B$81,MATCH($A74,'实盘净值数据(iFinD公式)'!$B$3:$AA$3,0))/INDEX('实盘净值数据(iFinD公式)'!$B$5:$AA$1000,MATCH(L$84,'实盘净值数据(iFinD公式)'!$A$5:$A$1000,0),MATCH($A74,'实盘净值数据(iFinD公式)'!$B$3:$AA$3,0))/L$85,L110)</x:f>
        <x:v>#NAME?</x:v>
      </x:c>
      <x:c r="M74" t="e">
        <x:f aca="0">IF(G74&gt;0,COUNTIF(G$53:G74,"&gt;0"),"")</x:f>
        <x:v>#NAME?</x:v>
      </x:c>
      <x:c r="N74" t="e">
        <x:f aca="0">IF(H74&gt;0,COUNTIF(H$53:H74,"&gt;0"),"")</x:f>
        <x:v>#NAME?</x:v>
      </x:c>
      <x:c r="O74" t="e">
        <x:f aca="0">IF(I74&gt;0,COUNTIF(I$53:I74,"&gt;0"),"")</x:f>
        <x:v>#NAME?</x:v>
      </x:c>
      <x:c r="P74" t="e">
        <x:f aca="0">IF(J74&gt;0,COUNTIF(J$53:J74,"&gt;0"),"")</x:f>
        <x:v>#NAME?</x:v>
      </x:c>
      <x:c r="Q74" t="e">
        <x:f aca="0">IF(K74&gt;0,COUNTIF(K$53:K74,"&gt;0"),"")</x:f>
        <x:v>#NAME?</x:v>
      </x:c>
      <x:c r="R74" t="e">
        <x:f aca="0">IF(L74&gt;0,COUNTIF(L$53:L74,"&gt;0"),"")</x:f>
        <x:v>#NAME?</x:v>
      </x:c>
    </x:row>
    <x:row r="75" ht="12.649999618530273" hidden="0">
      <x:c r="A75" s="21" t="s">
        <x:v>51</x:v>
      </x:c>
      <x:c r="B75" s="31" t="s">
        <x:v>134</x:v>
      </x:c>
      <x:c r="C75" s="23" t="s">
        <x:v>101</x:v>
      </x:c>
      <x:c r="D75" s="21" t="s">
        <x:v>102</x:v>
      </x:c>
      <x:c r="E75" s="23" t="s">
        <x:v>135</x:v>
      </x:c>
      <x:c r="F75" s="23" t="s">
        <x:v>136</x:v>
      </x:c>
      <x:c r="G75" s="22" t="e">
        <x:f aca="0">IFERROR(INDEX(分期持仓明细!$B$5:$AA$200,G$82-4,MATCH(LEFT($A75,6),分期持仓明细!$B$3:$AA$3,0))*INDEX('实盘净值数据(iFinD公式)'!$B$5:$AA$1000,$B$81,MATCH($A75,'实盘净值数据(iFinD公式)'!$B$3:$AA$3,0))/INDEX('实盘净值数据(iFinD公式)'!$B$5:$AA$1000,MATCH(G$84,'实盘净值数据(iFinD公式)'!$A$5:$A$1000,0),MATCH($A75,'实盘净值数据(iFinD公式)'!$B$3:$AA$3,0))/G$85,G111)</x:f>
        <x:v>#NAME?</x:v>
      </x:c>
      <x:c r="H75" s="22" t="e">
        <x:f aca="0">IFERROR(INDEX(分期持仓明细!$B$5:$AA$200,H$82-4,MATCH(LEFT($A75,6),分期持仓明细!$B$3:$AA$3,0))*INDEX('实盘净值数据(iFinD公式)'!$B$5:$AA$1000,$B$81,MATCH($A75,'实盘净值数据(iFinD公式)'!$B$3:$AA$3,0))/INDEX('实盘净值数据(iFinD公式)'!$B$5:$AA$1000,MATCH(H$84,'实盘净值数据(iFinD公式)'!$A$5:$A$1000,0),MATCH($A75,'实盘净值数据(iFinD公式)'!$B$3:$AA$3,0))/H$85,H111)</x:f>
        <x:v>#NAME?</x:v>
      </x:c>
      <x:c r="I75" s="22" t="e">
        <x:f aca="0">IFERROR(INDEX(分期持仓明细!$B$5:$AA$200,I$82-4,MATCH(LEFT($A75,6),分期持仓明细!$B$3:$AA$3,0))*INDEX('实盘净值数据(iFinD公式)'!$B$5:$AA$1000,$B$81,MATCH($A75,'实盘净值数据(iFinD公式)'!$B$3:$AA$3,0))/INDEX('实盘净值数据(iFinD公式)'!$B$5:$AA$1000,MATCH(I$84,'实盘净值数据(iFinD公式)'!$A$5:$A$1000,0),MATCH($A75,'实盘净值数据(iFinD公式)'!$B$3:$AA$3,0))/I$85,I111)</x:f>
        <x:v>#NAME?</x:v>
      </x:c>
      <x:c r="J75" s="22" t="e">
        <x:f aca="0">IFERROR(INDEX(分期持仓明细!$B$5:$AA$200,J$82-4,MATCH(LEFT($A75,6),分期持仓明细!$B$3:$AA$3,0))*INDEX('实盘净值数据(iFinD公式)'!$B$5:$AA$1000,$B$81,MATCH($A75,'实盘净值数据(iFinD公式)'!$B$3:$AA$3,0))/INDEX('实盘净值数据(iFinD公式)'!$B$5:$AA$1000,MATCH(J$84,'实盘净值数据(iFinD公式)'!$A$5:$A$1000,0),MATCH($A75,'实盘净值数据(iFinD公式)'!$B$3:$AA$3,0))/J$85,J111)</x:f>
        <x:v>#NAME?</x:v>
      </x:c>
      <x:c r="K75" s="22" t="e">
        <x:f aca="0">IFERROR(INDEX(分期持仓明细!$B$5:$AA$200,K$82-4,MATCH(LEFT($A75,6),分期持仓明细!$B$3:$AA$3,0))*INDEX('实盘净值数据(iFinD公式)'!$B$5:$AA$1000,$B$81,MATCH($A75,'实盘净值数据(iFinD公式)'!$B$3:$AA$3,0))/INDEX('实盘净值数据(iFinD公式)'!$B$5:$AA$1000,MATCH(K$84,'实盘净值数据(iFinD公式)'!$A$5:$A$1000,0),MATCH($A75,'实盘净值数据(iFinD公式)'!$B$3:$AA$3,0))/K$85,K111)</x:f>
        <x:v>#NAME?</x:v>
      </x:c>
      <x:c r="L75" s="22" t="e">
        <x:f aca="0">IFERROR(INDEX(分期持仓明细!$B$5:$AA$200,L$82-4,MATCH(LEFT($A75,6),分期持仓明细!$B$3:$AA$3,0))*INDEX('实盘净值数据(iFinD公式)'!$B$5:$AA$1000,$B$81,MATCH($A75,'实盘净值数据(iFinD公式)'!$B$3:$AA$3,0))/INDEX('实盘净值数据(iFinD公式)'!$B$5:$AA$1000,MATCH(L$84,'实盘净值数据(iFinD公式)'!$A$5:$A$1000,0),MATCH($A75,'实盘净值数据(iFinD公式)'!$B$3:$AA$3,0))/L$85,L111)</x:f>
        <x:v>#NAME?</x:v>
      </x:c>
      <x:c r="M75" t="e">
        <x:f aca="0">IF(G75&gt;0,COUNTIF(G$53:G75,"&gt;0"),"")</x:f>
        <x:v>#NAME?</x:v>
      </x:c>
      <x:c r="N75" t="e">
        <x:f aca="0">IF(H75&gt;0,COUNTIF(H$53:H75,"&gt;0"),"")</x:f>
        <x:v>#NAME?</x:v>
      </x:c>
      <x:c r="O75" t="e">
        <x:f aca="0">IF(I75&gt;0,COUNTIF(I$53:I75,"&gt;0"),"")</x:f>
        <x:v>#NAME?</x:v>
      </x:c>
      <x:c r="P75" t="e">
        <x:f aca="0">IF(J75&gt;0,COUNTIF(J$53:J75,"&gt;0"),"")</x:f>
        <x:v>#NAME?</x:v>
      </x:c>
      <x:c r="Q75" t="e">
        <x:f aca="0">IF(K75&gt;0,COUNTIF(K$53:K75,"&gt;0"),"")</x:f>
        <x:v>#NAME?</x:v>
      </x:c>
      <x:c r="R75" t="e">
        <x:f aca="0">IF(L75&gt;0,COUNTIF(L$53:L75,"&gt;0"),"")</x:f>
        <x:v>#NAME?</x:v>
      </x:c>
    </x:row>
    <x:row r="76" ht="12.649999618530273" hidden="0">
      <x:c r="A76" s="21" t="s">
        <x:v>137</x:v>
      </x:c>
      <x:c r="B76" s="31" t="s">
        <x:v>138</x:v>
      </x:c>
      <x:c r="C76" s="23" t="s">
        <x:v>109</x:v>
      </x:c>
      <x:c r="D76" s="23" t="s">
        <x:v>96</x:v>
      </x:c>
      <x:c r="E76" s="23" t="s">
        <x:v>110</x:v>
      </x:c>
      <x:c r="F76" s="23" t="s">
        <x:v>111</x:v>
      </x:c>
      <x:c r="G76" s="22" t="e">
        <x:f aca="0">IFERROR(INDEX(分期持仓明细!$B$5:$AA$200,G$82-4,MATCH(LEFT($A76,6),分期持仓明细!$B$3:$AA$3,0))*INDEX('实盘净值数据(iFinD公式)'!$B$5:$AA$1000,$B$81,MATCH($A76,'实盘净值数据(iFinD公式)'!$B$3:$AA$3,0))/INDEX('实盘净值数据(iFinD公式)'!$B$5:$AA$1000,MATCH(G$84,'实盘净值数据(iFinD公式)'!$A$5:$A$1000,0),MATCH($A76,'实盘净值数据(iFinD公式)'!$B$3:$AA$3,0))/G$85,G112)</x:f>
        <x:v>#NAME?</x:v>
      </x:c>
      <x:c r="H76" s="22" t="e">
        <x:f aca="0">IFERROR(INDEX(分期持仓明细!$B$5:$AA$200,H$82-4,MATCH(LEFT($A76,6),分期持仓明细!$B$3:$AA$3,0))*INDEX('实盘净值数据(iFinD公式)'!$B$5:$AA$1000,$B$81,MATCH($A76,'实盘净值数据(iFinD公式)'!$B$3:$AA$3,0))/INDEX('实盘净值数据(iFinD公式)'!$B$5:$AA$1000,MATCH(H$84,'实盘净值数据(iFinD公式)'!$A$5:$A$1000,0),MATCH($A76,'实盘净值数据(iFinD公式)'!$B$3:$AA$3,0))/H$85,H112)</x:f>
        <x:v>#NAME?</x:v>
      </x:c>
      <x:c r="I76" s="22" t="e">
        <x:f aca="0">IFERROR(INDEX(分期持仓明细!$B$5:$AA$200,I$82-4,MATCH(LEFT($A76,6),分期持仓明细!$B$3:$AA$3,0))*INDEX('实盘净值数据(iFinD公式)'!$B$5:$AA$1000,$B$81,MATCH($A76,'实盘净值数据(iFinD公式)'!$B$3:$AA$3,0))/INDEX('实盘净值数据(iFinD公式)'!$B$5:$AA$1000,MATCH(I$84,'实盘净值数据(iFinD公式)'!$A$5:$A$1000,0),MATCH($A76,'实盘净值数据(iFinD公式)'!$B$3:$AA$3,0))/I$85,I112)</x:f>
        <x:v>#NAME?</x:v>
      </x:c>
      <x:c r="J76" s="22" t="e">
        <x:f aca="0">IFERROR(INDEX(分期持仓明细!$B$5:$AA$200,J$82-4,MATCH(LEFT($A76,6),分期持仓明细!$B$3:$AA$3,0))*INDEX('实盘净值数据(iFinD公式)'!$B$5:$AA$1000,$B$81,MATCH($A76,'实盘净值数据(iFinD公式)'!$B$3:$AA$3,0))/INDEX('实盘净值数据(iFinD公式)'!$B$5:$AA$1000,MATCH(J$84,'实盘净值数据(iFinD公式)'!$A$5:$A$1000,0),MATCH($A76,'实盘净值数据(iFinD公式)'!$B$3:$AA$3,0))/J$85,J112)</x:f>
        <x:v>#NAME?</x:v>
      </x:c>
      <x:c r="K76" s="22" t="e">
        <x:f aca="0">IFERROR(INDEX(分期持仓明细!$B$5:$AA$200,K$82-4,MATCH(LEFT($A76,6),分期持仓明细!$B$3:$AA$3,0))*INDEX('实盘净值数据(iFinD公式)'!$B$5:$AA$1000,$B$81,MATCH($A76,'实盘净值数据(iFinD公式)'!$B$3:$AA$3,0))/INDEX('实盘净值数据(iFinD公式)'!$B$5:$AA$1000,MATCH(K$84,'实盘净值数据(iFinD公式)'!$A$5:$A$1000,0),MATCH($A76,'实盘净值数据(iFinD公式)'!$B$3:$AA$3,0))/K$85,K112)</x:f>
        <x:v>#NAME?</x:v>
      </x:c>
      <x:c r="L76" s="22" t="e">
        <x:f aca="0">IFERROR(INDEX(分期持仓明细!$B$5:$AA$200,L$82-4,MATCH(LEFT($A76,6),分期持仓明细!$B$3:$AA$3,0))*INDEX('实盘净值数据(iFinD公式)'!$B$5:$AA$1000,$B$81,MATCH($A76,'实盘净值数据(iFinD公式)'!$B$3:$AA$3,0))/INDEX('实盘净值数据(iFinD公式)'!$B$5:$AA$1000,MATCH(L$84,'实盘净值数据(iFinD公式)'!$A$5:$A$1000,0),MATCH($A76,'实盘净值数据(iFinD公式)'!$B$3:$AA$3,0))/L$85,L112)</x:f>
        <x:v>#NAME?</x:v>
      </x:c>
      <x:c r="M76" t="e">
        <x:f aca="0">IF(G76&gt;0,COUNTIF(G$53:G76,"&gt;0"),"")</x:f>
        <x:v>#NAME?</x:v>
      </x:c>
      <x:c r="N76" t="e">
        <x:f aca="0">IF(H76&gt;0,COUNTIF(H$53:H76,"&gt;0"),"")</x:f>
        <x:v>#NAME?</x:v>
      </x:c>
      <x:c r="O76" t="e">
        <x:f aca="0">IF(I76&gt;0,COUNTIF(I$53:I76,"&gt;0"),"")</x:f>
        <x:v>#NAME?</x:v>
      </x:c>
      <x:c r="P76" t="e">
        <x:f aca="0">IF(J76&gt;0,COUNTIF(J$53:J76,"&gt;0"),"")</x:f>
        <x:v>#NAME?</x:v>
      </x:c>
      <x:c r="Q76" t="e">
        <x:f aca="0">IF(K76&gt;0,COUNTIF(K$53:K76,"&gt;0"),"")</x:f>
        <x:v>#NAME?</x:v>
      </x:c>
      <x:c r="R76" t="e">
        <x:f aca="0">IF(L76&gt;0,COUNTIF(L$53:L76,"&gt;0"),"")</x:f>
        <x:v>#NAME?</x:v>
      </x:c>
    </x:row>
    <x:row r="77" ht="12.649999618530273" hidden="0">
      <x:c r="A77" s="32" t="str">
        <x:v>003376.OF</x:v>
      </x:c>
      <x:c r="B77" s="32" t="str">
        <x:v>广发中债7-10年国开债A</x:v>
      </x:c>
      <x:c r="C77" s="32" t="str">
        <x:v>生息</x:v>
      </x:c>
      <x:c r="D77" s="32" t="str">
        <x:v>-</x:v>
      </x:c>
      <x:c r="E77" s="32" t="str">
        <x:v>债券</x:v>
      </x:c>
      <x:c r="F77" s="32" t="str">
        <x:v>债券&amp;保障池子（生息）</x:v>
      </x:c>
      <x:c r="G77" s="33" t="e">
        <x:f aca="0">IFERROR(INDEX(分期持仓明细!$B$5:$AA$200,G$82-4,MATCH(LEFT($A77,6),分期持仓明细!$B$3:$AA$3,0))*INDEX('实盘净值数据(iFinD公式)'!$B$5:$AA$1000,$B$81,MATCH($A77,'实盘净值数据(iFinD公式)'!$B$3:$AA$3,0))/INDEX('实盘净值数据(iFinD公式)'!$B$5:$AA$1000,MATCH(G$84,'实盘净值数据(iFinD公式)'!$A$5:$A$1000,0),MATCH($A77,'实盘净值数据(iFinD公式)'!$B$3:$AA$3,0))/G$85,G113)</x:f>
        <x:v>#NAME?</x:v>
      </x:c>
      <x:c r="H77" s="33" t="e">
        <x:f aca="0">IFERROR(INDEX(分期持仓明细!$B$5:$AA$200,H$82-4,MATCH(LEFT($A77,6),分期持仓明细!$B$3:$AA$3,0))*INDEX('实盘净值数据(iFinD公式)'!$B$5:$AA$1000,$B$81,MATCH($A77,'实盘净值数据(iFinD公式)'!$B$3:$AA$3,0))/INDEX('实盘净值数据(iFinD公式)'!$B$5:$AA$1000,MATCH(H$84,'实盘净值数据(iFinD公式)'!$A$5:$A$1000,0),MATCH($A77,'实盘净值数据(iFinD公式)'!$B$3:$AA$3,0))/H$85,H113)</x:f>
        <x:v>#NAME?</x:v>
      </x:c>
      <x:c r="I77" s="33" t="e">
        <x:f aca="0">IFERROR(INDEX(分期持仓明细!$B$5:$AA$200,I$82-4,MATCH(LEFT($A77,6),分期持仓明细!$B$3:$AA$3,0))*INDEX('实盘净值数据(iFinD公式)'!$B$5:$AA$1000,$B$81,MATCH($A77,'实盘净值数据(iFinD公式)'!$B$3:$AA$3,0))/INDEX('实盘净值数据(iFinD公式)'!$B$5:$AA$1000,MATCH(I$84,'实盘净值数据(iFinD公式)'!$A$5:$A$1000,0),MATCH($A77,'实盘净值数据(iFinD公式)'!$B$3:$AA$3,0))/I$85,I113)</x:f>
        <x:v>#NAME?</x:v>
      </x:c>
      <x:c r="J77" s="33" t="e">
        <x:f aca="0">IFERROR(INDEX(分期持仓明细!$B$5:$AA$200,J$82-4,MATCH(LEFT($A77,6),分期持仓明细!$B$3:$AA$3,0))*INDEX('实盘净值数据(iFinD公式)'!$B$5:$AA$1000,$B$81,MATCH($A77,'实盘净值数据(iFinD公式)'!$B$3:$AA$3,0))/INDEX('实盘净值数据(iFinD公式)'!$B$5:$AA$1000,MATCH(J$84,'实盘净值数据(iFinD公式)'!$A$5:$A$1000,0),MATCH($A77,'实盘净值数据(iFinD公式)'!$B$3:$AA$3,0))/J$85,J113)</x:f>
        <x:v>#NAME?</x:v>
      </x:c>
      <x:c r="K77" s="33" t="e">
        <x:f aca="0">IFERROR(INDEX(分期持仓明细!$B$5:$AA$200,K$82-4,MATCH(LEFT($A77,6),分期持仓明细!$B$3:$AA$3,0))*INDEX('实盘净值数据(iFinD公式)'!$B$5:$AA$1000,$B$81,MATCH($A77,'实盘净值数据(iFinD公式)'!$B$3:$AA$3,0))/INDEX('实盘净值数据(iFinD公式)'!$B$5:$AA$1000,MATCH(K$84,'实盘净值数据(iFinD公式)'!$A$5:$A$1000,0),MATCH($A77,'实盘净值数据(iFinD公式)'!$B$3:$AA$3,0))/K$85,K113)</x:f>
        <x:v>#NAME?</x:v>
      </x:c>
      <x:c r="L77" s="33" t="e">
        <x:f aca="0">IFERROR(INDEX(分期持仓明细!$B$5:$AA$200,L$82-4,MATCH(LEFT($A77,6),分期持仓明细!$B$3:$AA$3,0))*INDEX('实盘净值数据(iFinD公式)'!$B$5:$AA$1000,$B$81,MATCH($A77,'实盘净值数据(iFinD公式)'!$B$3:$AA$3,0))/INDEX('实盘净值数据(iFinD公式)'!$B$5:$AA$1000,MATCH(L$84,'实盘净值数据(iFinD公式)'!$A$5:$A$1000,0),MATCH($A77,'实盘净值数据(iFinD公式)'!$B$3:$AA$3,0))/L$85,L113)</x:f>
        <x:v>#NAME?</x:v>
      </x:c>
      <x:c r="M77" t="e">
        <x:f>IF(G77&gt;0,COUNTIF(G$53:G77,"&gt;0"),"")</x:f>
        <x:v>#NAME?</x:v>
      </x:c>
      <x:c r="N77" t="e">
        <x:f>IF(H77&gt;0,COUNTIF(H$53:H77,"&gt;0"),"")</x:f>
        <x:v>#NAME?</x:v>
      </x:c>
      <x:c r="O77" t="e">
        <x:f>IF(I77&gt;0,COUNTIF(I$53:I77,"&gt;0"),"")</x:f>
        <x:v>#NAME?</x:v>
      </x:c>
      <x:c r="P77" t="e">
        <x:f>IF(J77&gt;0,COUNTIF(J$53:J77,"&gt;0"),"")</x:f>
        <x:v>#NAME?</x:v>
      </x:c>
      <x:c r="Q77" t="e">
        <x:f>IF(K77&gt;0,COUNTIF(K$53:K77,"&gt;0"),"")</x:f>
        <x:v>#NAME?</x:v>
      </x:c>
      <x:c r="R77" t="e">
        <x:f>IF(L77&gt;0,COUNTIF(L$53:L77,"&gt;0"),"")</x:f>
        <x:v>#NAME?</x:v>
      </x:c>
    </x:row>
    <x:row r="78" ht="12.649999618530273" hidden="0">
      <x:c r="A78" t="str">
        <x:v>008015.OF</x:v>
      </x:c>
      <x:c r="B78" t="str">
        <x:v>嘉实中债3-5年国开债A</x:v>
      </x:c>
      <x:c r="C78" t="str">
        <x:v>生息</x:v>
      </x:c>
      <x:c r="D78" t="str">
        <x:v>-</x:v>
      </x:c>
      <x:c r="E78" t="str">
        <x:v>债券</x:v>
      </x:c>
      <x:c r="F78" t="str">
        <x:v>债券&amp;保障池子（生息）</x:v>
      </x:c>
      <x:c r="G78" t="e">
        <x:f>IFERROR(INDEX(分期持仓明细!$B$5:$AA$200,G$82-4,MATCH(LEFT($A78,6),分期持仓明细!$B$3:$AA$3,0))*INDEX('实盘净值数据(iFinD公式)'!$B$5:$AA$1000,$B$81,MATCH($A78,'实盘净值数据(iFinD公式)'!$B$3:$AA$3,0))/INDEX('实盘净值数据(iFinD公式)'!$B$5:$AA$1000,MATCH(G$84,'实盘净值数据(iFinD公式)'!$A$5:$A$1000,0),MATCH($A78,'实盘净值数据(iFinD公式)'!$B$3:$AA$3,0))/G$85,G114)</x:f>
        <x:v>#NAME?</x:v>
      </x:c>
      <x:c r="H78" t="e">
        <x:f>IFERROR(INDEX(分期持仓明细!$B$5:$AA$200,H$82-4,MATCH(LEFT($A78,6),分期持仓明细!$B$3:$AA$3,0))*INDEX('实盘净值数据(iFinD公式)'!$B$5:$AA$1000,$B$81,MATCH($A78,'实盘净值数据(iFinD公式)'!$B$3:$AA$3,0))/INDEX('实盘净值数据(iFinD公式)'!$B$5:$AA$1000,MATCH(H$84,'实盘净值数据(iFinD公式)'!$A$5:$A$1000,0),MATCH($A78,'实盘净值数据(iFinD公式)'!$B$3:$AA$3,0))/H$85,H114)</x:f>
        <x:v>#NAME?</x:v>
      </x:c>
      <x:c r="I78" t="e">
        <x:f>IFERROR(INDEX(分期持仓明细!$B$5:$AA$200,I$82-4,MATCH(LEFT($A78,6),分期持仓明细!$B$3:$AA$3,0))*INDEX('实盘净值数据(iFinD公式)'!$B$5:$AA$1000,$B$81,MATCH($A78,'实盘净值数据(iFinD公式)'!$B$3:$AA$3,0))/INDEX('实盘净值数据(iFinD公式)'!$B$5:$AA$1000,MATCH(I$84,'实盘净值数据(iFinD公式)'!$A$5:$A$1000,0),MATCH($A78,'实盘净值数据(iFinD公式)'!$B$3:$AA$3,0))/I$85,I114)</x:f>
        <x:v>#NAME?</x:v>
      </x:c>
      <x:c r="J78" t="e">
        <x:f>IFERROR(INDEX(分期持仓明细!$B$5:$AA$200,J$82-4,MATCH(LEFT($A78,6),分期持仓明细!$B$3:$AA$3,0))*INDEX('实盘净值数据(iFinD公式)'!$B$5:$AA$1000,$B$81,MATCH($A78,'实盘净值数据(iFinD公式)'!$B$3:$AA$3,0))/INDEX('实盘净值数据(iFinD公式)'!$B$5:$AA$1000,MATCH(J$84,'实盘净值数据(iFinD公式)'!$A$5:$A$1000,0),MATCH($A78,'实盘净值数据(iFinD公式)'!$B$3:$AA$3,0))/J$85,J114)</x:f>
        <x:v>#NAME?</x:v>
      </x:c>
      <x:c r="K78" t="e">
        <x:f>IFERROR(INDEX(分期持仓明细!$B$5:$AA$200,K$82-4,MATCH(LEFT($A78,6),分期持仓明细!$B$3:$AA$3,0))*INDEX('实盘净值数据(iFinD公式)'!$B$5:$AA$1000,$B$81,MATCH($A78,'实盘净值数据(iFinD公式)'!$B$3:$AA$3,0))/INDEX('实盘净值数据(iFinD公式)'!$B$5:$AA$1000,MATCH(K$84,'实盘净值数据(iFinD公式)'!$A$5:$A$1000,0),MATCH($A78,'实盘净值数据(iFinD公式)'!$B$3:$AA$3,0))/K$85,K114)</x:f>
        <x:v>#NAME?</x:v>
      </x:c>
      <x:c r="L78" t="e">
        <x:f>IFERROR(INDEX(分期持仓明细!$B$5:$AA$200,L$82-4,MATCH(LEFT($A78,6),分期持仓明细!$B$3:$AA$3,0))*INDEX('实盘净值数据(iFinD公式)'!$B$5:$AA$1000,$B$81,MATCH($A78,'实盘净值数据(iFinD公式)'!$B$3:$AA$3,0))/INDEX('实盘净值数据(iFinD公式)'!$B$5:$AA$1000,MATCH(L$84,'实盘净值数据(iFinD公式)'!$A$5:$A$1000,0),MATCH($A78,'实盘净值数据(iFinD公式)'!$B$3:$AA$3,0))/L$85,L114)</x:f>
        <x:v>#NAME?</x:v>
      </x:c>
      <x:c r="M78" t="e">
        <x:f>IF(G78&gt;0,COUNTIF(G$53:G78,"&gt;0"),"")</x:f>
        <x:v>#NAME?</x:v>
      </x:c>
      <x:c r="N78" t="e">
        <x:f>IF(H78&gt;0,COUNTIF(H$53:H78,"&gt;0"),"")</x:f>
        <x:v>#NAME?</x:v>
      </x:c>
      <x:c r="O78" t="e">
        <x:f>IF(I78&gt;0,COUNTIF(I$53:I78,"&gt;0"),"")</x:f>
        <x:v>#NAME?</x:v>
      </x:c>
      <x:c r="P78" t="e">
        <x:f>IF(J78&gt;0,COUNTIF(J$53:J78,"&gt;0"),"")</x:f>
        <x:v>#NAME?</x:v>
      </x:c>
      <x:c r="Q78" t="e">
        <x:f>IF(K78&gt;0,COUNTIF(K$53:K78,"&gt;0"),"")</x:f>
        <x:v>#NAME?</x:v>
      </x:c>
      <x:c r="R78" t="e">
        <x:f>IF(L78&gt;0,COUNTIF(L$53:L78,"&gt;0"),"")</x:f>
        <x:v>#NAME?</x:v>
      </x:c>
    </x:row>
    <x:row r="79" ht="12.649999618530273" hidden="0">
      <x:c r="A79" t="str">
        <x:v>合计</x:v>
      </x:c>
      <x:c r="B79"/>
      <x:c r="C79"/>
      <x:c r="D79"/>
      <x:c r="E79"/>
      <x:c r="F79"/>
      <x:c r="G79" t="e">
        <x:f>SUM(G53:G78)</x:f>
        <x:v>#NAME?</x:v>
      </x:c>
      <x:c r="H79" t="e">
        <x:f>SUM(H53:H78)</x:f>
        <x:v>#NAME?</x:v>
      </x:c>
      <x:c r="I79" t="e">
        <x:f>SUM(I53:I78)</x:f>
        <x:v>#NAME?</x:v>
      </x:c>
      <x:c r="J79" t="e">
        <x:f>SUM(J53:J78)</x:f>
        <x:v>#NAME?</x:v>
      </x:c>
      <x:c r="K79" t="e">
        <x:f>SUM(K53:K78)</x:f>
        <x:v>#NAME?</x:v>
      </x:c>
      <x:c r="L79" t="e">
        <x:f>SUM(L53:L78)</x:f>
        <x:v>#NAME?</x:v>
      </x:c>
      <x:c r="M79"/>
      <x:c r="N79"/>
      <x:c r="O79"/>
      <x:c r="P79"/>
      <x:c r="Q79"/>
      <x:c r="R79"/>
    </x:row>
    <x:row r="80" ht="21" hidden="0" customHeight="1">
      <x:c r="A80" s="29" t="s">
        <x:v>139</x:v>
      </x:c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</x:row>
    <x:row r="81" ht="27.75" hidden="0" customHeight="1">
      <x:c r="A81" s="31" t="s">
        <x:v>140</x:v>
      </x:c>
      <x:c r="B81" s="34" t="n">
        <x:f aca="1">IFERROR(MATCH(TODAY()-1,'实盘净值数据(iFinD公式)'!$A$5:$A$1000,1),0)</x:f>
        <x:v>63</x:v>
      </x:c>
      <x:c r="G81" s="20" t="s">
        <x:v>96</x:v>
      </x:c>
      <x:c r="H81" s="20" t="s">
        <x:v>97</x:v>
      </x:c>
      <x:c r="I81" s="20" t="s">
        <x:v>98</x:v>
      </x:c>
      <x:c r="J81" s="30" t="s">
        <x:v>80</x:v>
      </x:c>
      <x:c r="K81" s="30" t="s">
        <x:v>99</x:v>
      </x:c>
      <x:c r="L81" s="30" t="s">
        <x:v>82</x:v>
      </x:c>
    </x:row>
    <x:row r="82" ht="12.649999618530273" hidden="0">
      <x:c r="A82" s="31" t="s">
        <x:v>141</x:v>
      </x:c>
      <x:c r="B82" s="35" t="n">
        <x:f aca="0">IF($B$81=0,"",INDEX('实盘净值数据(iFinD公式)'!$A$5:$A$1000,$B$81))</x:f>
        <x:v>46280</x:v>
      </x:c>
      <x:c r="F82" s="36" t="s">
        <x:v>142</x:v>
      </x:c>
      <x:c r="G82" s="31" t="n">
        <x:f aca="0">IFERROR(MAX(M$86:M$281),0)</x:f>
        <x:v>0</x:v>
      </x:c>
      <x:c r="H82" s="31" t="n">
        <x:f aca="0">IFERROR(MAX(N$86:N$281),0)</x:f>
        <x:v>0</x:v>
      </x:c>
      <x:c r="I82" s="31" t="n">
        <x:f aca="0">IFERROR(MAX(O$86:O$281),0)</x:f>
        <x:v>0</x:v>
      </x:c>
      <x:c r="J82" s="31" t="n">
        <x:f aca="0">IFERROR(MAX(P$86:P$281),0)</x:f>
        <x:v>0</x:v>
      </x:c>
      <x:c r="K82" s="31" t="n">
        <x:f aca="0">IFERROR(MAX(Q$86:Q$281),0)</x:f>
        <x:v>0</x:v>
      </x:c>
      <x:c r="L82" s="31" t="n">
        <x:f aca="0">IFERROR(MAX(R$86:R$281),0)</x:f>
        <x:v>0</x:v>
      </x:c>
    </x:row>
    <x:row r="83" ht="31.5" hidden="0" customHeight="1">
      <x:c r="A83" s="31"/>
      <x:c r="B83" s="31"/>
      <x:c r="F83" s="36" t="s">
        <x:v>143</x:v>
      </x:c>
      <x:c r="G83" s="37" t="e">
        <x:f aca="0">IF(G$82=0,"",INDEX(分期持仓明细!$A$5:$A$200,G$82-4))</x:f>
        <x:v>#NAME?</x:v>
      </x:c>
      <x:c r="H83" s="37" t="e">
        <x:f aca="0">IF(H$82=0,"",INDEX(分期持仓明细!$A$5:$A$200,H$82-4))</x:f>
        <x:v>#NAME?</x:v>
      </x:c>
      <x:c r="I83" s="37" t="e">
        <x:f aca="0">IF(I$82=0,"",INDEX(分期持仓明细!$A$5:$A$200,I$82-4))</x:f>
        <x:v>#NAME?</x:v>
      </x:c>
      <x:c r="J83" s="37" t="e">
        <x:f aca="0">IF(J$82=0,"",INDEX(分期持仓明细!$A$5:$A$200,J$82-4))</x:f>
        <x:v>#NAME?</x:v>
      </x:c>
      <x:c r="K83" s="37" t="e">
        <x:f aca="0">IF(K$82=0,"",INDEX(分期持仓明细!$A$5:$A$200,K$82-4))</x:f>
        <x:v>#NAME?</x:v>
      </x:c>
      <x:c r="L83" s="37" t="e">
        <x:f aca="0">IF(L$82=0,"",INDEX(分期持仓明细!$A$5:$A$200,L$82-4))</x:f>
        <x:v>#NAME?</x:v>
      </x:c>
    </x:row>
    <x:row r="84" ht="12.649999618530273" hidden="0">
      <x:c r="A84" s="31"/>
      <x:c r="B84" s="31"/>
      <x:c r="F84" s="36" t="s">
        <x:v>144</x:v>
      </x:c>
      <x:c r="G84" s="35" t="e">
        <x:f aca="0">IF(G$82=0,"",INDEX(分期持仓明细!$AC$5:$AC$200,G$82-4))</x:f>
        <x:v>#NAME?</x:v>
      </x:c>
      <x:c r="H84" s="35" t="e">
        <x:f aca="0">IF(H$82=0,"",INDEX(分期持仓明细!$AC$5:$AC$200,H$82-4))</x:f>
        <x:v>#NAME?</x:v>
      </x:c>
      <x:c r="I84" s="35" t="e">
        <x:f aca="0">IF(I$82=0,"",INDEX(分期持仓明细!$AC$5:$AC$200,I$82-4))</x:f>
        <x:v>#NAME?</x:v>
      </x:c>
      <x:c r="J84" s="35" t="e">
        <x:f aca="0">IF(J$82=0,"",INDEX(分期持仓明细!$AC$5:$AC$200,J$82-4))</x:f>
        <x:v>#NAME?</x:v>
      </x:c>
      <x:c r="K84" s="35" t="e">
        <x:f aca="0">IF(K$82=0,"",INDEX(分期持仓明细!$AC$5:$AC$200,K$82-4))</x:f>
        <x:v>#NAME?</x:v>
      </x:c>
      <x:c r="L84" s="35" t="e">
        <x:f aca="0">IF(L$82=0,"",INDEX(分期持仓明细!$AC$5:$AC$200,L$82-4))</x:f>
        <x:v>#NAME?</x:v>
      </x:c>
    </x:row>
    <x:row r="85" ht="12.649999618530273" hidden="0">
      <x:c r="A85" s="31"/>
      <x:c r="B85" s="31"/>
      <x:c r="F85" s="36" t="s">
        <x:v>145</x:v>
      </x:c>
      <x:c r="G85" s="38" t="e">
        <x:f aca="0">IFERROR(SUMPRODUCT(INDEX(分期持仓明细!$B$5:$AA$200,G$82-4,0),INDEX('实盘净值数据(iFinD公式)'!$B$5:$AA$1000,$B$81,0)/INDEX('实盘净值数据(iFinD公式)'!$B$5:$AA$1000,MATCH(G$84,'实盘净值数据(iFinD公式)'!$A$5:$A$1000,0),0)),0)</x:f>
        <x:v>#NAME?</x:v>
      </x:c>
      <x:c r="H85" s="38" t="e">
        <x:f aca="0">IFERROR(SUMPRODUCT(INDEX(分期持仓明细!$B$5:$AA$200,H$82-4,0),INDEX('实盘净值数据(iFinD公式)'!$B$5:$AA$1000,$B$81,0)/INDEX('实盘净值数据(iFinD公式)'!$B$5:$AA$1000,MATCH(H$84,'实盘净值数据(iFinD公式)'!$A$5:$A$1000,0),0)),0)</x:f>
        <x:v>#NAME?</x:v>
      </x:c>
      <x:c r="I85" s="38" t="e">
        <x:f aca="0">IFERROR(SUMPRODUCT(INDEX(分期持仓明细!$B$5:$AA$200,I$82-4,0),INDEX('实盘净值数据(iFinD公式)'!$B$5:$AA$1000,$B$81,0)/INDEX('实盘净值数据(iFinD公式)'!$B$5:$AA$1000,MATCH(I$84,'实盘净值数据(iFinD公式)'!$A$5:$A$1000,0),0)),0)</x:f>
        <x:v>#NAME?</x:v>
      </x:c>
      <x:c r="J85" s="38" t="e">
        <x:f aca="0">IFERROR(SUMPRODUCT(INDEX(分期持仓明细!$B$5:$AA$200,J$82-4,0),INDEX('实盘净值数据(iFinD公式)'!$B$5:$AA$1000,$B$81,0)/INDEX('实盘净值数据(iFinD公式)'!$B$5:$AA$1000,MATCH(J$84,'实盘净值数据(iFinD公式)'!$A$5:$A$1000,0),0)),0)</x:f>
        <x:v>#NAME?</x:v>
      </x:c>
      <x:c r="K85" s="38" t="e">
        <x:f aca="0">IFERROR(SUMPRODUCT(INDEX(分期持仓明细!$B$5:$AA$200,K$82-4,0),INDEX('实盘净值数据(iFinD公式)'!$B$5:$AA$1000,$B$81,0)/INDEX('实盘净值数据(iFinD公式)'!$B$5:$AA$1000,MATCH(K$84,'实盘净值数据(iFinD公式)'!$A$5:$A$1000,0),0)),0)</x:f>
        <x:v>#NAME?</x:v>
      </x:c>
      <x:c r="L85" s="38" t="e">
        <x:f aca="0">IFERROR(SUMPRODUCT(INDEX(分期持仓明细!$B$5:$AA$200,L$82-4,0),INDEX('实盘净值数据(iFinD公式)'!$B$5:$AA$1000,$B$81,0)/INDEX('实盘净值数据(iFinD公式)'!$B$5:$AA$1000,MATCH(L$84,'实盘净值数据(iFinD公式)'!$A$5:$A$1000,0),0)),0)</x:f>
        <x:v>#NAME?</x:v>
      </x:c>
    </x:row>
    <x:row r="86" ht="12.649999618530273" hidden="0">
      <x:c r="M86" t="e">
        <x:f aca="0">IF(LEFT(分期持仓明细!$A$5,LEN(G$81)+2)=G$81&amp;" ·",ROW(分期持仓明细!$A$5),0)</x:f>
        <x:v>#NAME?</x:v>
      </x:c>
      <x:c r="N86" t="e">
        <x:f aca="0">IF(LEFT(分期持仓明细!$A$5,LEN(H$81)+2)=H$81&amp;" ·",ROW(分期持仓明细!$A$5),0)</x:f>
        <x:v>#NAME?</x:v>
      </x:c>
      <x:c r="O86" t="e">
        <x:f aca="0">IF(LEFT(分期持仓明细!$A$5,LEN(I$81)+2)=I$81&amp;" ·",ROW(分期持仓明细!$A$5),0)</x:f>
        <x:v>#NAME?</x:v>
      </x:c>
      <x:c r="P86" t="e">
        <x:f aca="0">IF(LEFT(分期持仓明细!$A$5,LEN(J$81)+2)=J$81&amp;" ·",ROW(分期持仓明细!$A$5),0)</x:f>
        <x:v>#NAME?</x:v>
      </x:c>
      <x:c r="Q86" t="e">
        <x:f aca="0">IF(LEFT(分期持仓明细!$A$5,LEN(K$81)+2)=K$81&amp;" ·",ROW(分期持仓明细!$A$5),0)</x:f>
        <x:v>#NAME?</x:v>
      </x:c>
      <x:c r="R86" t="e">
        <x:f aca="0">IF(LEFT(分期持仓明细!$A$5,LEN(L$81)+2)=L$81&amp;" ·",ROW(分期持仓明细!$A$5),0)</x:f>
        <x:v>#NAME?</x:v>
      </x:c>
    </x:row>
    <x:row r="87" ht="12.649999618530273" hidden="0">
      <x:c r="M87" t="e">
        <x:f aca="0">IF(LEFT(分期持仓明细!$A$6,LEN(G$81)+2)=G$81&amp;" ·",ROW(分期持仓明细!$A$6),0)</x:f>
        <x:v>#NAME?</x:v>
      </x:c>
      <x:c r="N87" t="e">
        <x:f aca="0">IF(LEFT(分期持仓明细!$A$6,LEN(H$81)+2)=H$81&amp;" ·",ROW(分期持仓明细!$A$6),0)</x:f>
        <x:v>#NAME?</x:v>
      </x:c>
      <x:c r="O87" t="e">
        <x:f aca="0">IF(LEFT(分期持仓明细!$A$6,LEN(I$81)+2)=I$81&amp;" ·",ROW(分期持仓明细!$A$6),0)</x:f>
        <x:v>#NAME?</x:v>
      </x:c>
      <x:c r="P87" t="e">
        <x:f aca="0">IF(LEFT(分期持仓明细!$A$6,LEN(J$81)+2)=J$81&amp;" ·",ROW(分期持仓明细!$A$6),0)</x:f>
        <x:v>#NAME?</x:v>
      </x:c>
      <x:c r="Q87" t="e">
        <x:f aca="0">IF(LEFT(分期持仓明细!$A$6,LEN(K$81)+2)=K$81&amp;" ·",ROW(分期持仓明细!$A$6),0)</x:f>
        <x:v>#NAME?</x:v>
      </x:c>
      <x:c r="R87" t="e">
        <x:f aca="0">IF(LEFT(分期持仓明细!$A$6,LEN(L$81)+2)=L$81&amp;" ·",ROW(分期持仓明细!$A$6),0)</x:f>
        <x:v>#NAME?</x:v>
      </x:c>
    </x:row>
    <x:row r="88" ht="13.399999618530273" hidden="0">
      <x:c r="A88" s="39" t="s">
        <x:v>146</x:v>
      </x:c>
      <x:c r="B88" s="39"/>
      <x:c r="C88" s="39"/>
      <x:c r="D88" s="39"/>
      <x:c r="E88" s="39"/>
      <x:c r="F88" s="39"/>
      <x:c r="G88" s="20" t="s">
        <x:v>96</x:v>
      </x:c>
      <x:c r="H88" s="20" t="s">
        <x:v>97</x:v>
      </x:c>
      <x:c r="I88" s="20" t="s">
        <x:v>98</x:v>
      </x:c>
      <x:c r="J88" s="30" t="s">
        <x:v>80</x:v>
      </x:c>
      <x:c r="K88" s="30" t="s">
        <x:v>99</x:v>
      </x:c>
      <x:c r="L88" s="30" t="s">
        <x:v>82</x:v>
      </x:c>
      <x:c r="M88" t="e">
        <x:f aca="0">IF(LEFT(分期持仓明细!$A$7,LEN(G$81)+2)=G$81&amp;" ·",ROW(分期持仓明细!$A$7),0)</x:f>
        <x:v>#NAME?</x:v>
      </x:c>
      <x:c r="N88" t="e">
        <x:f aca="0">IF(LEFT(分期持仓明细!$A$7,LEN(H$81)+2)=H$81&amp;" ·",ROW(分期持仓明细!$A$7),0)</x:f>
        <x:v>#NAME?</x:v>
      </x:c>
      <x:c r="O88" t="e">
        <x:f aca="0">IF(LEFT(分期持仓明细!$A$7,LEN(I$81)+2)=I$81&amp;" ·",ROW(分期持仓明细!$A$7),0)</x:f>
        <x:v>#NAME?</x:v>
      </x:c>
      <x:c r="P88" t="e">
        <x:f aca="0">IF(LEFT(分期持仓明细!$A$7,LEN(J$81)+2)=J$81&amp;" ·",ROW(分期持仓明细!$A$7),0)</x:f>
        <x:v>#NAME?</x:v>
      </x:c>
      <x:c r="Q88" t="e">
        <x:f aca="0">IF(LEFT(分期持仓明细!$A$7,LEN(K$81)+2)=K$81&amp;" ·",ROW(分期持仓明细!$A$7),0)</x:f>
        <x:v>#NAME?</x:v>
      </x:c>
      <x:c r="R88" t="e">
        <x:f aca="0">IF(LEFT(分期持仓明细!$A$7,LEN(L$81)+2)=L$81&amp;" ·",ROW(分期持仓明细!$A$7),0)</x:f>
        <x:v>#NAME?</x:v>
      </x:c>
    </x:row>
    <x:row r="89" ht="12.649999618530273" hidden="0">
      <x:c r="A89" s="21" t="s">
        <x:v>29</x:v>
      </x:c>
      <x:c r="B89" s="31" t="s">
        <x:v>100</x:v>
      </x:c>
      <x:c r="C89" s="23" t="s">
        <x:v>101</x:v>
      </x:c>
      <x:c r="D89" s="21" t="s">
        <x:v>102</x:v>
      </x:c>
      <x:c r="E89" s="23" t="s">
        <x:v>103</x:v>
      </x:c>
      <x:c r="F89" s="23" t="s">
        <x:v>104</x:v>
      </x:c>
      <x:c r="G89" s="22" t="n">
        <x:v>0</x:v>
      </x:c>
      <x:c r="H89" s="22" t="n">
        <x:v>0</x:v>
      </x:c>
      <x:c r="I89" s="22" t="n">
        <x:v>0</x:v>
      </x:c>
      <x:c r="J89" s="22" t="n">
        <x:v>0.0541434744722451</x:v>
      </x:c>
      <x:c r="K89" s="22" t="n">
        <x:v>0.0517944938202631</x:v>
      </x:c>
      <x:c r="L89" s="22" t="n">
        <x:v>0.107850603096055</x:v>
      </x:c>
      <x:c r="M89" t="e">
        <x:f aca="0">IF(LEFT(分期持仓明细!$A$8,LEN(G$81)+2)=G$81&amp;" ·",ROW(分期持仓明细!$A$8),0)</x:f>
        <x:v>#NAME?</x:v>
      </x:c>
      <x:c r="N89" t="e">
        <x:f aca="0">IF(LEFT(分期持仓明细!$A$8,LEN(H$81)+2)=H$81&amp;" ·",ROW(分期持仓明细!$A$8),0)</x:f>
        <x:v>#NAME?</x:v>
      </x:c>
      <x:c r="O89" t="e">
        <x:f aca="0">IF(LEFT(分期持仓明细!$A$8,LEN(I$81)+2)=I$81&amp;" ·",ROW(分期持仓明细!$A$8),0)</x:f>
        <x:v>#NAME?</x:v>
      </x:c>
      <x:c r="P89" t="e">
        <x:f aca="0">IF(LEFT(分期持仓明细!$A$8,LEN(J$81)+2)=J$81&amp;" ·",ROW(分期持仓明细!$A$8),0)</x:f>
        <x:v>#NAME?</x:v>
      </x:c>
      <x:c r="Q89" t="e">
        <x:f aca="0">IF(LEFT(分期持仓明细!$A$8,LEN(K$81)+2)=K$81&amp;" ·",ROW(分期持仓明细!$A$8),0)</x:f>
        <x:v>#NAME?</x:v>
      </x:c>
      <x:c r="R89" t="e">
        <x:f aca="0">IF(LEFT(分期持仓明细!$A$8,LEN(L$81)+2)=L$81&amp;" ·",ROW(分期持仓明细!$A$8),0)</x:f>
        <x:v>#NAME?</x:v>
      </x:c>
    </x:row>
    <x:row r="90" ht="12.649999618530273" hidden="0">
      <x:c r="A90" s="21" t="s">
        <x:v>30</x:v>
      </x:c>
      <x:c r="B90" s="31" t="s">
        <x:v>105</x:v>
      </x:c>
      <x:c r="C90" s="23" t="s">
        <x:v>101</x:v>
      </x:c>
      <x:c r="D90" s="21" t="s">
        <x:v>102</x:v>
      </x:c>
      <x:c r="E90" s="23" t="s">
        <x:v>106</x:v>
      </x:c>
      <x:c r="F90" s="23" t="s">
        <x:v>107</x:v>
      </x:c>
      <x:c r="G90" s="22" t="n">
        <x:v>0.0543383458789868</x:v>
      </x:c>
      <x:c r="H90" s="22" t="n">
        <x:v>0.0531330332378094</x:v>
      </x:c>
      <x:c r="I90" s="22" t="n">
        <x:v>0.0512801279937777</x:v>
      </x:c>
      <x:c r="J90" s="22" t="n">
        <x:v>0.043923928891401</x:v>
      </x:c>
      <x:c r="K90" s="22" t="n">
        <x:v>0.043953761240858</x:v>
      </x:c>
      <x:c r="L90" s="22" t="n">
        <x:v>0.0853043720680882</x:v>
      </x:c>
      <x:c r="M90" t="e">
        <x:f aca="0">IF(LEFT(分期持仓明细!$A$9,LEN(G$81)+2)=G$81&amp;" ·",ROW(分期持仓明细!$A$9),0)</x:f>
        <x:v>#NAME?</x:v>
      </x:c>
      <x:c r="N90" t="e">
        <x:f aca="0">IF(LEFT(分期持仓明细!$A$9,LEN(H$81)+2)=H$81&amp;" ·",ROW(分期持仓明细!$A$9),0)</x:f>
        <x:v>#NAME?</x:v>
      </x:c>
      <x:c r="O90" t="e">
        <x:f aca="0">IF(LEFT(分期持仓明细!$A$9,LEN(I$81)+2)=I$81&amp;" ·",ROW(分期持仓明细!$A$9),0)</x:f>
        <x:v>#NAME?</x:v>
      </x:c>
      <x:c r="P90" t="e">
        <x:f aca="0">IF(LEFT(分期持仓明细!$A$9,LEN(J$81)+2)=J$81&amp;" ·",ROW(分期持仓明细!$A$9),0)</x:f>
        <x:v>#NAME?</x:v>
      </x:c>
      <x:c r="Q90" t="e">
        <x:f aca="0">IF(LEFT(分期持仓明细!$A$9,LEN(K$81)+2)=K$81&amp;" ·",ROW(分期持仓明细!$A$9),0)</x:f>
        <x:v>#NAME?</x:v>
      </x:c>
      <x:c r="R90" t="e">
        <x:f aca="0">IF(LEFT(分期持仓明细!$A$9,LEN(L$81)+2)=L$81&amp;" ·",ROW(分期持仓明细!$A$9),0)</x:f>
        <x:v>#NAME?</x:v>
      </x:c>
    </x:row>
    <x:row r="91" ht="12.649999618530273" hidden="0">
      <x:c r="A91" s="21" t="s">
        <x:v>31</x:v>
      </x:c>
      <x:c r="B91" s="31" t="s">
        <x:v>108</x:v>
      </x:c>
      <x:c r="C91" s="23" t="s">
        <x:v>109</x:v>
      </x:c>
      <x:c r="D91" s="23" t="s">
        <x:v>96</x:v>
      </x:c>
      <x:c r="E91" s="23" t="s">
        <x:v>110</x:v>
      </x:c>
      <x:c r="F91" s="23" t="s">
        <x:v>111</x:v>
      </x:c>
      <x:c r="G91" s="22" t="n">
        <x:v>0.168147985404116</x:v>
      </x:c>
      <x:c r="H91" s="22" t="n">
        <x:v>0.169724341943878</x:v>
      </x:c>
      <x:c r="I91" s="22" t="n">
        <x:v>0</x:v>
      </x:c>
      <x:c r="J91" s="22" t="n">
        <x:v>0</x:v>
      </x:c>
      <x:c r="K91" s="22" t="n">
        <x:v>0.0087369099448945</x:v>
      </x:c>
      <x:c r="L91" s="22" t="n">
        <x:v>0</x:v>
      </x:c>
      <x:c r="M91" t="e">
        <x:f aca="0">IF(LEFT(分期持仓明细!$A$10,LEN(G$81)+2)=G$81&amp;" ·",ROW(分期持仓明细!$A$10),0)</x:f>
        <x:v>#NAME?</x:v>
      </x:c>
      <x:c r="N91" t="e">
        <x:f aca="0">IF(LEFT(分期持仓明细!$A$10,LEN(H$81)+2)=H$81&amp;" ·",ROW(分期持仓明细!$A$10),0)</x:f>
        <x:v>#NAME?</x:v>
      </x:c>
      <x:c r="O91" t="e">
        <x:f aca="0">IF(LEFT(分期持仓明细!$A$10,LEN(I$81)+2)=I$81&amp;" ·",ROW(分期持仓明细!$A$10),0)</x:f>
        <x:v>#NAME?</x:v>
      </x:c>
      <x:c r="P91" t="e">
        <x:f aca="0">IF(LEFT(分期持仓明细!$A$10,LEN(J$81)+2)=J$81&amp;" ·",ROW(分期持仓明细!$A$10),0)</x:f>
        <x:v>#NAME?</x:v>
      </x:c>
      <x:c r="Q91" t="e">
        <x:f aca="0">IF(LEFT(分期持仓明细!$A$10,LEN(K$81)+2)=K$81&amp;" ·",ROW(分期持仓明细!$A$10),0)</x:f>
        <x:v>#NAME?</x:v>
      </x:c>
      <x:c r="R91" t="e">
        <x:f aca="0">IF(LEFT(分期持仓明细!$A$10,LEN(L$81)+2)=L$81&amp;" ·",ROW(分期持仓明细!$A$10),0)</x:f>
        <x:v>#NAME?</x:v>
      </x:c>
    </x:row>
    <x:row r="92" ht="12.649999618530273" hidden="0">
      <x:c r="A92" s="21" t="s">
        <x:v>32</x:v>
      </x:c>
      <x:c r="B92" s="31" t="s">
        <x:v>112</x:v>
      </x:c>
      <x:c r="C92" s="23" t="s">
        <x:v>109</x:v>
      </x:c>
      <x:c r="D92" s="23" t="s">
        <x:v>113</x:v>
      </x:c>
      <x:c r="E92" s="23" t="s">
        <x:v>113</x:v>
      </x:c>
      <x:c r="F92" s="23" t="s">
        <x:v>114</x:v>
      </x:c>
      <x:c r="G92" s="22" t="n">
        <x:v>0</x:v>
      </x:c>
      <x:c r="H92" s="22" t="n">
        <x:v>0</x:v>
      </x:c>
      <x:c r="I92" s="22" t="n">
        <x:v>0</x:v>
      </x:c>
      <x:c r="J92" s="22" t="n">
        <x:v>0</x:v>
      </x:c>
      <x:c r="K92" s="22" t="n">
        <x:v>0.0128975499557758</x:v>
      </x:c>
      <x:c r="L92" s="22" t="n">
        <x:v>0</x:v>
      </x:c>
      <x:c r="M92" t="e">
        <x:f aca="0">IF(LEFT(分期持仓明细!$A$11,LEN(G$81)+2)=G$81&amp;" ·",ROW(分期持仓明细!$A$11),0)</x:f>
        <x:v>#NAME?</x:v>
      </x:c>
      <x:c r="N92" t="e">
        <x:f aca="0">IF(LEFT(分期持仓明细!$A$11,LEN(H$81)+2)=H$81&amp;" ·",ROW(分期持仓明细!$A$11),0)</x:f>
        <x:v>#NAME?</x:v>
      </x:c>
      <x:c r="O92" t="e">
        <x:f aca="0">IF(LEFT(分期持仓明细!$A$11,LEN(I$81)+2)=I$81&amp;" ·",ROW(分期持仓明细!$A$11),0)</x:f>
        <x:v>#NAME?</x:v>
      </x:c>
      <x:c r="P92" t="e">
        <x:f aca="0">IF(LEFT(分期持仓明细!$A$11,LEN(J$81)+2)=J$81&amp;" ·",ROW(分期持仓明细!$A$11),0)</x:f>
        <x:v>#NAME?</x:v>
      </x:c>
      <x:c r="Q92" t="e">
        <x:f aca="0">IF(LEFT(分期持仓明细!$A$11,LEN(K$81)+2)=K$81&amp;" ·",ROW(分期持仓明细!$A$11),0)</x:f>
        <x:v>#NAME?</x:v>
      </x:c>
      <x:c r="R92" t="e">
        <x:f aca="0">IF(LEFT(分期持仓明细!$A$11,LEN(L$81)+2)=L$81&amp;" ·",ROW(分期持仓明细!$A$11),0)</x:f>
        <x:v>#NAME?</x:v>
      </x:c>
    </x:row>
    <x:row r="93" ht="12.649999618530273" hidden="0">
      <x:c r="A93" s="21" t="s">
        <x:v>33</x:v>
      </x:c>
      <x:c r="B93" s="31" t="s">
        <x:v>115</x:v>
      </x:c>
      <x:c r="C93" s="23" t="s">
        <x:v>109</x:v>
      </x:c>
      <x:c r="D93" s="23" t="s">
        <x:v>113</x:v>
      </x:c>
      <x:c r="E93" s="23" t="s">
        <x:v>113</x:v>
      </x:c>
      <x:c r="F93" s="23" t="s">
        <x:v>116</x:v>
      </x:c>
      <x:c r="G93" s="22" t="n">
        <x:v>0</x:v>
      </x:c>
      <x:c r="H93" s="22" t="n">
        <x:v>0</x:v>
      </x:c>
      <x:c r="I93" s="22" t="n">
        <x:v>0</x:v>
      </x:c>
      <x:c r="J93" s="22" t="n">
        <x:v>0.0128555582524547</x:v>
      </x:c>
      <x:c r="K93" s="22" t="n">
        <x:v>0</x:v>
      </x:c>
      <x:c r="L93" s="22" t="n">
        <x:v>0.0384103411151408</x:v>
      </x:c>
      <x:c r="M93" t="e">
        <x:f aca="0">IF(LEFT(分期持仓明细!$A$12,LEN(G$81)+2)=G$81&amp;" ·",ROW(分期持仓明细!$A$12),0)</x:f>
        <x:v>#NAME?</x:v>
      </x:c>
      <x:c r="N93" t="e">
        <x:f aca="0">IF(LEFT(分期持仓明细!$A$12,LEN(H$81)+2)=H$81&amp;" ·",ROW(分期持仓明细!$A$12),0)</x:f>
        <x:v>#NAME?</x:v>
      </x:c>
      <x:c r="O93" t="e">
        <x:f aca="0">IF(LEFT(分期持仓明细!$A$12,LEN(I$81)+2)=I$81&amp;" ·",ROW(分期持仓明细!$A$12),0)</x:f>
        <x:v>#NAME?</x:v>
      </x:c>
      <x:c r="P93" t="e">
        <x:f aca="0">IF(LEFT(分期持仓明细!$A$12,LEN(J$81)+2)=J$81&amp;" ·",ROW(分期持仓明细!$A$12),0)</x:f>
        <x:v>#NAME?</x:v>
      </x:c>
      <x:c r="Q93" t="e">
        <x:f aca="0">IF(LEFT(分期持仓明细!$A$12,LEN(K$81)+2)=K$81&amp;" ·",ROW(分期持仓明细!$A$12),0)</x:f>
        <x:v>#NAME?</x:v>
      </x:c>
      <x:c r="R93" t="e">
        <x:f aca="0">IF(LEFT(分期持仓明细!$A$12,LEN(L$81)+2)=L$81&amp;" ·",ROW(分期持仓明细!$A$12),0)</x:f>
        <x:v>#NAME?</x:v>
      </x:c>
    </x:row>
    <x:row r="94" ht="12.649999618530273" hidden="0">
      <x:c r="A94" s="21" t="s">
        <x:v>34</x:v>
      </x:c>
      <x:c r="B94" s="31" t="s">
        <x:v>117</x:v>
      </x:c>
      <x:c r="C94" s="23" t="s">
        <x:v>109</x:v>
      </x:c>
      <x:c r="D94" s="23" t="s">
        <x:v>96</x:v>
      </x:c>
      <x:c r="E94" s="23" t="s">
        <x:v>118</x:v>
      </x:c>
      <x:c r="F94" s="23" t="s">
        <x:v>111</x:v>
      </x:c>
      <x:c r="G94" s="22" t="n">
        <x:v>0</x:v>
      </x:c>
      <x:c r="H94" s="22" t="n">
        <x:v>0</x:v>
      </x:c>
      <x:c r="I94" s="22" t="n">
        <x:v>0</x:v>
      </x:c>
      <x:c r="J94" s="22" t="n">
        <x:v>0</x:v>
      </x:c>
      <x:c r="K94" s="22" t="n">
        <x:v>0</x:v>
      </x:c>
      <x:c r="L94" s="22" t="n">
        <x:v>0</x:v>
      </x:c>
      <x:c r="M94" t="e">
        <x:f aca="0">IF(LEFT(分期持仓明细!$A$13,LEN(G$81)+2)=G$81&amp;" ·",ROW(分期持仓明细!$A$13),0)</x:f>
        <x:v>#NAME?</x:v>
      </x:c>
      <x:c r="N94" t="e">
        <x:f aca="0">IF(LEFT(分期持仓明细!$A$13,LEN(H$81)+2)=H$81&amp;" ·",ROW(分期持仓明细!$A$13),0)</x:f>
        <x:v>#NAME?</x:v>
      </x:c>
      <x:c r="O94" t="e">
        <x:f aca="0">IF(LEFT(分期持仓明细!$A$13,LEN(I$81)+2)=I$81&amp;" ·",ROW(分期持仓明细!$A$13),0)</x:f>
        <x:v>#NAME?</x:v>
      </x:c>
      <x:c r="P94" t="e">
        <x:f aca="0">IF(LEFT(分期持仓明细!$A$13,LEN(J$81)+2)=J$81&amp;" ·",ROW(分期持仓明细!$A$13),0)</x:f>
        <x:v>#NAME?</x:v>
      </x:c>
      <x:c r="Q94" t="e">
        <x:f aca="0">IF(LEFT(分期持仓明细!$A$13,LEN(K$81)+2)=K$81&amp;" ·",ROW(分期持仓明细!$A$13),0)</x:f>
        <x:v>#NAME?</x:v>
      </x:c>
      <x:c r="R94" t="e">
        <x:f aca="0">IF(LEFT(分期持仓明细!$A$13,LEN(L$81)+2)=L$81&amp;" ·",ROW(分期持仓明细!$A$13),0)</x:f>
        <x:v>#NAME?</x:v>
      </x:c>
    </x:row>
    <x:row r="95" ht="12.649999618530273" hidden="0">
      <x:c r="A95" s="21" t="s">
        <x:v>35</x:v>
      </x:c>
      <x:c r="B95" s="31" t="s">
        <x:v>119</x:v>
      </x:c>
      <x:c r="C95" s="23" t="s">
        <x:v>109</x:v>
      </x:c>
      <x:c r="D95" s="23" t="s">
        <x:v>96</x:v>
      </x:c>
      <x:c r="E95" s="23" t="s">
        <x:v>118</x:v>
      </x:c>
      <x:c r="F95" s="23" t="s">
        <x:v>116</x:v>
      </x:c>
      <x:c r="G95" s="22" t="n">
        <x:v>0</x:v>
      </x:c>
      <x:c r="H95" s="22" t="n">
        <x:v>0</x:v>
      </x:c>
      <x:c r="I95" s="22" t="n">
        <x:v>0</x:v>
      </x:c>
      <x:c r="J95" s="22" t="n">
        <x:v>0</x:v>
      </x:c>
      <x:c r="K95" s="22" t="n">
        <x:v>0</x:v>
      </x:c>
      <x:c r="L95" s="22" t="n">
        <x:v>0</x:v>
      </x:c>
      <x:c r="M95" t="e">
        <x:f aca="0">IF(LEFT(分期持仓明细!$A$14,LEN(G$81)+2)=G$81&amp;" ·",ROW(分期持仓明细!$A$14),0)</x:f>
        <x:v>#NAME?</x:v>
      </x:c>
      <x:c r="N95" t="e">
        <x:f aca="0">IF(LEFT(分期持仓明细!$A$14,LEN(H$81)+2)=H$81&amp;" ·",ROW(分期持仓明细!$A$14),0)</x:f>
        <x:v>#NAME?</x:v>
      </x:c>
      <x:c r="O95" t="e">
        <x:f aca="0">IF(LEFT(分期持仓明细!$A$14,LEN(I$81)+2)=I$81&amp;" ·",ROW(分期持仓明细!$A$14),0)</x:f>
        <x:v>#NAME?</x:v>
      </x:c>
      <x:c r="P95" t="e">
        <x:f aca="0">IF(LEFT(分期持仓明细!$A$14,LEN(J$81)+2)=J$81&amp;" ·",ROW(分期持仓明细!$A$14),0)</x:f>
        <x:v>#NAME?</x:v>
      </x:c>
      <x:c r="Q95" t="e">
        <x:f aca="0">IF(LEFT(分期持仓明细!$A$14,LEN(K$81)+2)=K$81&amp;" ·",ROW(分期持仓明细!$A$14),0)</x:f>
        <x:v>#NAME?</x:v>
      </x:c>
      <x:c r="R95" t="e">
        <x:f aca="0">IF(LEFT(分期持仓明细!$A$14,LEN(L$81)+2)=L$81&amp;" ·",ROW(分期持仓明细!$A$14),0)</x:f>
        <x:v>#NAME?</x:v>
      </x:c>
    </x:row>
    <x:row r="96" ht="12.649999618530273" hidden="0">
      <x:c r="A96" s="21" t="s">
        <x:v>36</x:v>
      </x:c>
      <x:c r="B96" s="31" t="s">
        <x:v>9</x:v>
      </x:c>
      <x:c r="C96" s="23" t="s">
        <x:v>109</x:v>
      </x:c>
      <x:c r="D96" s="23" t="s">
        <x:v>96</x:v>
      </x:c>
      <x:c r="E96" s="23" t="s">
        <x:v>110</x:v>
      </x:c>
      <x:c r="F96" s="23" t="s">
        <x:v>107</x:v>
      </x:c>
      <x:c r="G96" s="22" t="n">
        <x:v>0</x:v>
      </x:c>
      <x:c r="H96" s="22" t="n">
        <x:v>0</x:v>
      </x:c>
      <x:c r="I96" s="22" t="n">
        <x:v>0.186434602530956</x:v>
      </x:c>
      <x:c r="J96" s="22" t="n">
        <x:v>0.00963002947244225</x:v>
      </x:c>
      <x:c r="K96" s="22" t="n">
        <x:v>0</x:v>
      </x:c>
      <x:c r="L96" s="22" t="n">
        <x:v>0.0287736941077944</x:v>
      </x:c>
      <x:c r="M96" t="e">
        <x:f aca="0">IF(LEFT(分期持仓明细!$A$15,LEN(G$81)+2)=G$81&amp;" ·",ROW(分期持仓明细!$A$15),0)</x:f>
        <x:v>#NAME?</x:v>
      </x:c>
      <x:c r="N96" t="e">
        <x:f aca="0">IF(LEFT(分期持仓明细!$A$15,LEN(H$81)+2)=H$81&amp;" ·",ROW(分期持仓明细!$A$15),0)</x:f>
        <x:v>#NAME?</x:v>
      </x:c>
      <x:c r="O96" t="e">
        <x:f aca="0">IF(LEFT(分期持仓明细!$A$15,LEN(I$81)+2)=I$81&amp;" ·",ROW(分期持仓明细!$A$15),0)</x:f>
        <x:v>#NAME?</x:v>
      </x:c>
      <x:c r="P96" t="e">
        <x:f aca="0">IF(LEFT(分期持仓明细!$A$15,LEN(J$81)+2)=J$81&amp;" ·",ROW(分期持仓明细!$A$15),0)</x:f>
        <x:v>#NAME?</x:v>
      </x:c>
      <x:c r="Q96" t="e">
        <x:f aca="0">IF(LEFT(分期持仓明细!$A$15,LEN(K$81)+2)=K$81&amp;" ·",ROW(分期持仓明细!$A$15),0)</x:f>
        <x:v>#NAME?</x:v>
      </x:c>
      <x:c r="R96" t="e">
        <x:f aca="0">IF(LEFT(分期持仓明细!$A$15,LEN(L$81)+2)=L$81&amp;" ·",ROW(分期持仓明细!$A$15),0)</x:f>
        <x:v>#NAME?</x:v>
      </x:c>
    </x:row>
    <x:row r="97" ht="12.649999618530273" hidden="0">
      <x:c r="A97" s="21" t="s">
        <x:v>37</x:v>
      </x:c>
      <x:c r="B97" s="31" t="s">
        <x:v>120</x:v>
      </x:c>
      <x:c r="C97" s="23" t="s">
        <x:v>109</x:v>
      </x:c>
      <x:c r="D97" s="23" t="s">
        <x:v>96</x:v>
      </x:c>
      <x:c r="E97" s="23" t="s">
        <x:v>110</x:v>
      </x:c>
      <x:c r="F97" s="23" t="s">
        <x:v>111</x:v>
      </x:c>
      <x:c r="G97" s="22" t="n">
        <x:v>0.246489965722574</x:v>
      </x:c>
      <x:c r="H97" s="22" t="n">
        <x:v>0.244757136211324</x:v>
      </x:c>
      <x:c r="I97" s="22" t="n">
        <x:v>0</x:v>
      </x:c>
      <x:c r="J97" s="22" t="n">
        <x:v>0</x:v>
      </x:c>
      <x:c r="K97" s="22" t="n">
        <x:v>0.0122591400735027</x:v>
      </x:c>
      <x:c r="L97" s="22" t="n">
        <x:v>0</x:v>
      </x:c>
      <x:c r="M97" t="e">
        <x:f aca="0">IF(LEFT(分期持仓明细!$A$16,LEN(G$81)+2)=G$81&amp;" ·",ROW(分期持仓明细!$A$16),0)</x:f>
        <x:v>#NAME?</x:v>
      </x:c>
      <x:c r="N97" t="e">
        <x:f aca="0">IF(LEFT(分期持仓明细!$A$16,LEN(H$81)+2)=H$81&amp;" ·",ROW(分期持仓明细!$A$16),0)</x:f>
        <x:v>#NAME?</x:v>
      </x:c>
      <x:c r="O97" t="e">
        <x:f aca="0">IF(LEFT(分期持仓明细!$A$16,LEN(I$81)+2)=I$81&amp;" ·",ROW(分期持仓明细!$A$16),0)</x:f>
        <x:v>#NAME?</x:v>
      </x:c>
      <x:c r="P97" t="e">
        <x:f aca="0">IF(LEFT(分期持仓明细!$A$16,LEN(J$81)+2)=J$81&amp;" ·",ROW(分期持仓明细!$A$16),0)</x:f>
        <x:v>#NAME?</x:v>
      </x:c>
      <x:c r="Q97" t="e">
        <x:f aca="0">IF(LEFT(分期持仓明细!$A$16,LEN(K$81)+2)=K$81&amp;" ·",ROW(分期持仓明细!$A$16),0)</x:f>
        <x:v>#NAME?</x:v>
      </x:c>
      <x:c r="R97" t="e">
        <x:f aca="0">IF(LEFT(分期持仓明细!$A$16,LEN(L$81)+2)=L$81&amp;" ·",ROW(分期持仓明细!$A$16),0)</x:f>
        <x:v>#NAME?</x:v>
      </x:c>
    </x:row>
    <x:row r="98" ht="12.649999618530273" hidden="0">
      <x:c r="A98" s="21" t="s">
        <x:v>38</x:v>
      </x:c>
      <x:c r="B98" s="31" t="s">
        <x:v>121</x:v>
      </x:c>
      <x:c r="C98" s="23" t="s">
        <x:v>109</x:v>
      </x:c>
      <x:c r="D98" s="23" t="s">
        <x:v>96</x:v>
      </x:c>
      <x:c r="E98" s="23" t="s">
        <x:v>110</x:v>
      </x:c>
      <x:c r="F98" s="23" t="s">
        <x:v>116</x:v>
      </x:c>
      <x:c r="G98" s="22" t="n">
        <x:v>0</x:v>
      </x:c>
      <x:c r="H98" s="22" t="n">
        <x:v>0</x:v>
      </x:c>
      <x:c r="I98" s="22" t="n">
        <x:v>0.233334253788222</x:v>
      </x:c>
      <x:c r="J98" s="22" t="n">
        <x:v>0.0110606704366499</x:v>
      </x:c>
      <x:c r="K98" s="22" t="n">
        <x:v>0</x:v>
      </x:c>
      <x:c r="L98" s="22" t="n">
        <x:v>0.0330472108980905</x:v>
      </x:c>
      <x:c r="M98" t="e">
        <x:f aca="0">IF(LEFT(分期持仓明细!$A$17,LEN(G$81)+2)=G$81&amp;" ·",ROW(分期持仓明细!$A$17),0)</x:f>
        <x:v>#NAME?</x:v>
      </x:c>
      <x:c r="N98" t="e">
        <x:f aca="0">IF(LEFT(分期持仓明细!$A$17,LEN(H$81)+2)=H$81&amp;" ·",ROW(分期持仓明细!$A$17),0)</x:f>
        <x:v>#NAME?</x:v>
      </x:c>
      <x:c r="O98" t="e">
        <x:f aca="0">IF(LEFT(分期持仓明细!$A$17,LEN(I$81)+2)=I$81&amp;" ·",ROW(分期持仓明细!$A$17),0)</x:f>
        <x:v>#NAME?</x:v>
      </x:c>
      <x:c r="P98" t="e">
        <x:f aca="0">IF(LEFT(分期持仓明细!$A$17,LEN(J$81)+2)=J$81&amp;" ·",ROW(分期持仓明细!$A$17),0)</x:f>
        <x:v>#NAME?</x:v>
      </x:c>
      <x:c r="Q98" t="e">
        <x:f aca="0">IF(LEFT(分期持仓明细!$A$17,LEN(K$81)+2)=K$81&amp;" ·",ROW(分期持仓明细!$A$17),0)</x:f>
        <x:v>#NAME?</x:v>
      </x:c>
      <x:c r="R98" t="e">
        <x:f aca="0">IF(LEFT(分期持仓明细!$A$17,LEN(L$81)+2)=L$81&amp;" ·",ROW(分期持仓明细!$A$17),0)</x:f>
        <x:v>#NAME?</x:v>
      </x:c>
    </x:row>
    <x:row r="99" ht="12.649999618530273" hidden="0">
      <x:c r="A99" s="21" t="s">
        <x:v>39</x:v>
      </x:c>
      <x:c r="B99" s="31" t="s">
        <x:v>122</x:v>
      </x:c>
      <x:c r="C99" s="23" t="s">
        <x:v>109</x:v>
      </x:c>
      <x:c r="D99" s="23" t="s">
        <x:v>113</x:v>
      </x:c>
      <x:c r="E99" s="23" t="s">
        <x:v>113</x:v>
      </x:c>
      <x:c r="F99" s="23" t="s">
        <x:v>114</x:v>
      </x:c>
      <x:c r="G99" s="22" t="n">
        <x:v>0</x:v>
      </x:c>
      <x:c r="H99" s="22" t="n">
        <x:v>0</x:v>
      </x:c>
      <x:c r="I99" s="22" t="n">
        <x:v>0</x:v>
      </x:c>
      <x:c r="J99" s="22" t="n">
        <x:v>0</x:v>
      </x:c>
      <x:c r="K99" s="22" t="n">
        <x:v>0.0130581120686301</x:v>
      </x:c>
      <x:c r="L99" s="22" t="n">
        <x:v>0</x:v>
      </x:c>
      <x:c r="M99" t="e">
        <x:f aca="0">IF(LEFT(分期持仓明细!$A$18,LEN(G$81)+2)=G$81&amp;" ·",ROW(分期持仓明细!$A$18),0)</x:f>
        <x:v>#NAME?</x:v>
      </x:c>
      <x:c r="N99" t="e">
        <x:f aca="0">IF(LEFT(分期持仓明细!$A$18,LEN(H$81)+2)=H$81&amp;" ·",ROW(分期持仓明细!$A$18),0)</x:f>
        <x:v>#NAME?</x:v>
      </x:c>
      <x:c r="O99" t="e">
        <x:f aca="0">IF(LEFT(分期持仓明细!$A$18,LEN(I$81)+2)=I$81&amp;" ·",ROW(分期持仓明细!$A$18),0)</x:f>
        <x:v>#NAME?</x:v>
      </x:c>
      <x:c r="P99" t="e">
        <x:f aca="0">IF(LEFT(分期持仓明细!$A$18,LEN(J$81)+2)=J$81&amp;" ·",ROW(分期持仓明细!$A$18),0)</x:f>
        <x:v>#NAME?</x:v>
      </x:c>
      <x:c r="Q99" t="e">
        <x:f aca="0">IF(LEFT(分期持仓明细!$A$18,LEN(K$81)+2)=K$81&amp;" ·",ROW(分期持仓明细!$A$18),0)</x:f>
        <x:v>#NAME?</x:v>
      </x:c>
      <x:c r="R99" t="e">
        <x:f aca="0">IF(LEFT(分期持仓明细!$A$18,LEN(L$81)+2)=L$81&amp;" ·",ROW(分期持仓明细!$A$18),0)</x:f>
        <x:v>#NAME?</x:v>
      </x:c>
    </x:row>
    <x:row r="100" ht="12.649999618530273" hidden="0">
      <x:c r="A100" s="21" t="s">
        <x:v>40</x:v>
      </x:c>
      <x:c r="B100" s="31" t="s">
        <x:v>123</x:v>
      </x:c>
      <x:c r="C100" s="23" t="s">
        <x:v>109</x:v>
      </x:c>
      <x:c r="D100" s="23" t="s">
        <x:v>113</x:v>
      </x:c>
      <x:c r="E100" s="23" t="s">
        <x:v>113</x:v>
      </x:c>
      <x:c r="F100" s="23" t="s">
        <x:v>116</x:v>
      </x:c>
      <x:c r="G100" s="22" t="n">
        <x:v>0</x:v>
      </x:c>
      <x:c r="H100" s="22" t="n">
        <x:v>0</x:v>
      </x:c>
      <x:c r="I100" s="22" t="n">
        <x:v>0</x:v>
      </x:c>
      <x:c r="J100" s="22" t="n">
        <x:v>0.012881708223883</x:v>
      </x:c>
      <x:c r="K100" s="22" t="n">
        <x:v>0</x:v>
      </x:c>
      <x:c r="L100" s="22" t="n">
        <x:v>0.0384911461668474</x:v>
      </x:c>
      <x:c r="M100" t="e">
        <x:f aca="0">IF(LEFT(分期持仓明细!$A$19,LEN(G$81)+2)=G$81&amp;" ·",ROW(分期持仓明细!$A$19),0)</x:f>
        <x:v>#NAME?</x:v>
      </x:c>
      <x:c r="N100" t="e">
        <x:f aca="0">IF(LEFT(分期持仓明细!$A$19,LEN(H$81)+2)=H$81&amp;" ·",ROW(分期持仓明细!$A$19),0)</x:f>
        <x:v>#NAME?</x:v>
      </x:c>
      <x:c r="O100" t="e">
        <x:f aca="0">IF(LEFT(分期持仓明细!$A$19,LEN(I$81)+2)=I$81&amp;" ·",ROW(分期持仓明细!$A$19),0)</x:f>
        <x:v>#NAME?</x:v>
      </x:c>
      <x:c r="P100" t="e">
        <x:f aca="0">IF(LEFT(分期持仓明细!$A$19,LEN(J$81)+2)=J$81&amp;" ·",ROW(分期持仓明细!$A$19),0)</x:f>
        <x:v>#NAME?</x:v>
      </x:c>
      <x:c r="Q100" t="e">
        <x:f aca="0">IF(LEFT(分期持仓明细!$A$19,LEN(K$81)+2)=K$81&amp;" ·",ROW(分期持仓明细!$A$19),0)</x:f>
        <x:v>#NAME?</x:v>
      </x:c>
      <x:c r="R100" t="e">
        <x:f aca="0">IF(LEFT(分期持仓明细!$A$19,LEN(L$81)+2)=L$81&amp;" ·",ROW(分期持仓明细!$A$19),0)</x:f>
        <x:v>#NAME?</x:v>
      </x:c>
    </x:row>
    <x:row r="101" ht="12.649999618530273" hidden="0">
      <x:c r="A101" s="21" t="s">
        <x:v>41</x:v>
      </x:c>
      <x:c r="B101" s="31" t="s">
        <x:v>124</x:v>
      </x:c>
      <x:c r="C101" s="23" t="s">
        <x:v>109</x:v>
      </x:c>
      <x:c r="D101" s="23" t="s">
        <x:v>113</x:v>
      </x:c>
      <x:c r="E101" s="23" t="s">
        <x:v>113</x:v>
      </x:c>
      <x:c r="F101" s="23" t="s">
        <x:v>114</x:v>
      </x:c>
      <x:c r="G101" s="22" t="n">
        <x:v>0</x:v>
      </x:c>
      <x:c r="H101" s="22" t="n">
        <x:v>0</x:v>
      </x:c>
      <x:c r="I101" s="22" t="n">
        <x:v>0</x:v>
      </x:c>
      <x:c r="J101" s="22" t="n">
        <x:v>0</x:v>
      </x:c>
      <x:c r="K101" s="22" t="n">
        <x:v>0.0133113556609629</x:v>
      </x:c>
      <x:c r="L101" s="22" t="n">
        <x:v>0</x:v>
      </x:c>
      <x:c r="M101" t="e">
        <x:f aca="0">IF(LEFT(分期持仓明细!$A$20,LEN(G$81)+2)=G$81&amp;" ·",ROW(分期持仓明细!$A$20),0)</x:f>
        <x:v>#NAME?</x:v>
      </x:c>
      <x:c r="N101" t="e">
        <x:f aca="0">IF(LEFT(分期持仓明细!$A$20,LEN(H$81)+2)=H$81&amp;" ·",ROW(分期持仓明细!$A$20),0)</x:f>
        <x:v>#NAME?</x:v>
      </x:c>
      <x:c r="O101" t="e">
        <x:f aca="0">IF(LEFT(分期持仓明细!$A$20,LEN(I$81)+2)=I$81&amp;" ·",ROW(分期持仓明细!$A$20),0)</x:f>
        <x:v>#NAME?</x:v>
      </x:c>
      <x:c r="P101" t="e">
        <x:f aca="0">IF(LEFT(分期持仓明细!$A$20,LEN(J$81)+2)=J$81&amp;" ·",ROW(分期持仓明细!$A$20),0)</x:f>
        <x:v>#NAME?</x:v>
      </x:c>
      <x:c r="Q101" t="e">
        <x:f aca="0">IF(LEFT(分期持仓明细!$A$20,LEN(K$81)+2)=K$81&amp;" ·",ROW(分期持仓明细!$A$20),0)</x:f>
        <x:v>#NAME?</x:v>
      </x:c>
      <x:c r="R101" t="e">
        <x:f aca="0">IF(LEFT(分期持仓明细!$A$20,LEN(L$81)+2)=L$81&amp;" ·",ROW(分期持仓明细!$A$20),0)</x:f>
        <x:v>#NAME?</x:v>
      </x:c>
    </x:row>
    <x:row r="102" ht="12.649999618530273" hidden="0">
      <x:c r="A102" s="21" t="s">
        <x:v>42</x:v>
      </x:c>
      <x:c r="B102" s="31" t="s">
        <x:v>125</x:v>
      </x:c>
      <x:c r="C102" s="23" t="s">
        <x:v>109</x:v>
      </x:c>
      <x:c r="D102" s="23" t="s">
        <x:v>113</x:v>
      </x:c>
      <x:c r="E102" s="23" t="s">
        <x:v>113</x:v>
      </x:c>
      <x:c r="F102" s="23" t="s">
        <x:v>116</x:v>
      </x:c>
      <x:c r="G102" s="22" t="n">
        <x:v>0</x:v>
      </x:c>
      <x:c r="H102" s="22" t="n">
        <x:v>0</x:v>
      </x:c>
      <x:c r="I102" s="22" t="n">
        <x:v>0</x:v>
      </x:c>
      <x:c r="J102" s="22" t="n">
        <x:v>0.0130089994347181</x:v>
      </x:c>
      <x:c r="K102" s="22" t="n">
        <x:v>0</x:v>
      </x:c>
      <x:c r="L102" s="22" t="n">
        <x:v>0.0388686184116084</x:v>
      </x:c>
      <x:c r="M102" t="e">
        <x:f aca="0">IF(LEFT(分期持仓明细!$A$21,LEN(G$81)+2)=G$81&amp;" ·",ROW(分期持仓明细!$A$21),0)</x:f>
        <x:v>#NAME?</x:v>
      </x:c>
      <x:c r="N102" t="e">
        <x:f aca="0">IF(LEFT(分期持仓明细!$A$21,LEN(H$81)+2)=H$81&amp;" ·",ROW(分期持仓明细!$A$21),0)</x:f>
        <x:v>#NAME?</x:v>
      </x:c>
      <x:c r="O102" t="e">
        <x:f aca="0">IF(LEFT(分期持仓明细!$A$21,LEN(I$81)+2)=I$81&amp;" ·",ROW(分期持仓明细!$A$21),0)</x:f>
        <x:v>#NAME?</x:v>
      </x:c>
      <x:c r="P102" t="e">
        <x:f aca="0">IF(LEFT(分期持仓明细!$A$21,LEN(J$81)+2)=J$81&amp;" ·",ROW(分期持仓明细!$A$21),0)</x:f>
        <x:v>#NAME?</x:v>
      </x:c>
      <x:c r="Q102" t="e">
        <x:f aca="0">IF(LEFT(分期持仓明细!$A$21,LEN(K$81)+2)=K$81&amp;" ·",ROW(分期持仓明细!$A$21),0)</x:f>
        <x:v>#NAME?</x:v>
      </x:c>
      <x:c r="R102" t="e">
        <x:f aca="0">IF(LEFT(分期持仓明细!$A$21,LEN(L$81)+2)=L$81&amp;" ·",ROW(分期持仓明细!$A$21),0)</x:f>
        <x:v>#NAME?</x:v>
      </x:c>
    </x:row>
    <x:row r="103" ht="12.649999618530273" hidden="0">
      <x:c r="A103" s="21" t="s">
        <x:v>43</x:v>
      </x:c>
      <x:c r="B103" s="31" t="s">
        <x:v>126</x:v>
      </x:c>
      <x:c r="C103" s="23" t="s">
        <x:v>109</x:v>
      </x:c>
      <x:c r="D103" s="23" t="s">
        <x:v>96</x:v>
      </x:c>
      <x:c r="E103" s="23" t="s">
        <x:v>110</x:v>
      </x:c>
      <x:c r="F103" s="23" t="s">
        <x:v>111</x:v>
      </x:c>
      <x:c r="G103" s="22" t="n">
        <x:v>0.159124880074179</x:v>
      </x:c>
      <x:c r="H103" s="22" t="n">
        <x:v>0.159025079054265</x:v>
      </x:c>
      <x:c r="I103" s="22" t="n">
        <x:v>0</x:v>
      </x:c>
      <x:c r="J103" s="22" t="n">
        <x:v>0</x:v>
      </x:c>
      <x:c r="K103" s="22" t="n">
        <x:v>0.00840985580066948</x:v>
      </x:c>
      <x:c r="L103" s="22" t="n">
        <x:v>0</x:v>
      </x:c>
      <x:c r="M103" t="e">
        <x:f aca="0">IF(LEFT(分期持仓明细!$A$22,LEN(G$81)+2)=G$81&amp;" ·",ROW(分期持仓明细!$A$22),0)</x:f>
        <x:v>#NAME?</x:v>
      </x:c>
      <x:c r="N103" t="e">
        <x:f aca="0">IF(LEFT(分期持仓明细!$A$22,LEN(H$81)+2)=H$81&amp;" ·",ROW(分期持仓明细!$A$22),0)</x:f>
        <x:v>#NAME?</x:v>
      </x:c>
      <x:c r="O103" t="e">
        <x:f aca="0">IF(LEFT(分期持仓明细!$A$22,LEN(I$81)+2)=I$81&amp;" ·",ROW(分期持仓明细!$A$22),0)</x:f>
        <x:v>#NAME?</x:v>
      </x:c>
      <x:c r="P103" t="e">
        <x:f aca="0">IF(LEFT(分期持仓明细!$A$22,LEN(J$81)+2)=J$81&amp;" ·",ROW(分期持仓明细!$A$22),0)</x:f>
        <x:v>#NAME?</x:v>
      </x:c>
      <x:c r="Q103" t="e">
        <x:f aca="0">IF(LEFT(分期持仓明细!$A$22,LEN(K$81)+2)=K$81&amp;" ·",ROW(分期持仓明细!$A$22),0)</x:f>
        <x:v>#NAME?</x:v>
      </x:c>
      <x:c r="R103" t="e">
        <x:f aca="0">IF(LEFT(分期持仓明细!$A$22,LEN(L$81)+2)=L$81&amp;" ·",ROW(分期持仓明细!$A$22),0)</x:f>
        <x:v>#NAME?</x:v>
      </x:c>
    </x:row>
    <x:row r="104" ht="12.649999618530273" hidden="0">
      <x:c r="A104" s="21" t="s">
        <x:v>44</x:v>
      </x:c>
      <x:c r="B104" s="31" t="s">
        <x:v>127</x:v>
      </x:c>
      <x:c r="C104" s="23" t="s">
        <x:v>109</x:v>
      </x:c>
      <x:c r="D104" s="23" t="s">
        <x:v>96</x:v>
      </x:c>
      <x:c r="E104" s="23" t="s">
        <x:v>110</x:v>
      </x:c>
      <x:c r="F104" s="23" t="s">
        <x:v>111</x:v>
      </x:c>
      <x:c r="G104" s="22" t="n">
        <x:v>0.17230499151578</x:v>
      </x:c>
      <x:c r="H104" s="22" t="n">
        <x:v>0.173109921902493</x:v>
      </x:c>
      <x:c r="I104" s="22" t="n">
        <x:v>0</x:v>
      </x:c>
      <x:c r="J104" s="22" t="n">
        <x:v>0</x:v>
      </x:c>
      <x:c r="K104" s="22" t="n">
        <x:v>0.00898018069883484</x:v>
      </x:c>
      <x:c r="L104" s="22" t="n">
        <x:v>0</x:v>
      </x:c>
      <x:c r="M104" t="e">
        <x:f aca="0">IF(LEFT(分期持仓明细!$A$23,LEN(G$81)+2)=G$81&amp;" ·",ROW(分期持仓明细!$A$23),0)</x:f>
        <x:v>#NAME?</x:v>
      </x:c>
      <x:c r="N104" t="e">
        <x:f aca="0">IF(LEFT(分期持仓明细!$A$23,LEN(H$81)+2)=H$81&amp;" ·",ROW(分期持仓明细!$A$23),0)</x:f>
        <x:v>#NAME?</x:v>
      </x:c>
      <x:c r="O104" t="e">
        <x:f aca="0">IF(LEFT(分期持仓明细!$A$23,LEN(I$81)+2)=I$81&amp;" ·",ROW(分期持仓明细!$A$23),0)</x:f>
        <x:v>#NAME?</x:v>
      </x:c>
      <x:c r="P104" t="e">
        <x:f aca="0">IF(LEFT(分期持仓明细!$A$23,LEN(J$81)+2)=J$81&amp;" ·",ROW(分期持仓明细!$A$23),0)</x:f>
        <x:v>#NAME?</x:v>
      </x:c>
      <x:c r="Q104" t="e">
        <x:f aca="0">IF(LEFT(分期持仓明细!$A$23,LEN(K$81)+2)=K$81&amp;" ·",ROW(分期持仓明细!$A$23),0)</x:f>
        <x:v>#NAME?</x:v>
      </x:c>
      <x:c r="R104" t="e">
        <x:f aca="0">IF(LEFT(分期持仓明细!$A$23,LEN(L$81)+2)=L$81&amp;" ·",ROW(分期持仓明细!$A$23),0)</x:f>
        <x:v>#NAME?</x:v>
      </x:c>
    </x:row>
    <x:row r="105" ht="12.649999618530273" hidden="0">
      <x:c r="A105" s="21" t="s">
        <x:v>45</x:v>
      </x:c>
      <x:c r="B105" s="31" t="s">
        <x:v>128</x:v>
      </x:c>
      <x:c r="C105" s="23" t="s">
        <x:v>109</x:v>
      </x:c>
      <x:c r="D105" s="23" t="s">
        <x:v>96</x:v>
      </x:c>
      <x:c r="E105" s="23" t="s">
        <x:v>110</x:v>
      </x:c>
      <x:c r="F105" s="23" t="s">
        <x:v>116</x:v>
      </x:c>
      <x:c r="G105" s="22" t="n">
        <x:v>0</x:v>
      </x:c>
      <x:c r="H105" s="22" t="n">
        <x:v>0</x:v>
      </x:c>
      <x:c r="I105" s="22" t="n">
        <x:v>0.168142277908135</x:v>
      </x:c>
      <x:c r="J105" s="22" t="n">
        <x:v>0.00871369195262731</x:v>
      </x:c>
      <x:c r="K105" s="22" t="n">
        <x:v>0</x:v>
      </x:c>
      <x:c r="L105" s="22" t="n">
        <x:v>0.0260364499689197</x:v>
      </x:c>
      <x:c r="M105" t="e">
        <x:f aca="0">IF(LEFT(分期持仓明细!$A$24,LEN(G$81)+2)=G$81&amp;" ·",ROW(分期持仓明细!$A$24),0)</x:f>
        <x:v>#NAME?</x:v>
      </x:c>
      <x:c r="N105" t="e">
        <x:f aca="0">IF(LEFT(分期持仓明细!$A$24,LEN(H$81)+2)=H$81&amp;" ·",ROW(分期持仓明细!$A$24),0)</x:f>
        <x:v>#NAME?</x:v>
      </x:c>
      <x:c r="O105" t="e">
        <x:f aca="0">IF(LEFT(分期持仓明细!$A$24,LEN(I$81)+2)=I$81&amp;" ·",ROW(分期持仓明细!$A$24),0)</x:f>
        <x:v>#NAME?</x:v>
      </x:c>
      <x:c r="P105" t="e">
        <x:f aca="0">IF(LEFT(分期持仓明细!$A$24,LEN(J$81)+2)=J$81&amp;" ·",ROW(分期持仓明细!$A$24),0)</x:f>
        <x:v>#NAME?</x:v>
      </x:c>
      <x:c r="Q105" t="e">
        <x:f aca="0">IF(LEFT(分期持仓明细!$A$24,LEN(K$81)+2)=K$81&amp;" ·",ROW(分期持仓明细!$A$24),0)</x:f>
        <x:v>#NAME?</x:v>
      </x:c>
      <x:c r="R105" t="e">
        <x:f aca="0">IF(LEFT(分期持仓明细!$A$24,LEN(L$81)+2)=L$81&amp;" ·",ROW(分期持仓明细!$A$24),0)</x:f>
        <x:v>#NAME?</x:v>
      </x:c>
    </x:row>
    <x:row r="106" ht="12.649999618530273" hidden="0">
      <x:c r="A106" s="21" t="s">
        <x:v>46</x:v>
      </x:c>
      <x:c r="B106" s="31" t="s">
        <x:v>129</x:v>
      </x:c>
      <x:c r="C106" s="23" t="s">
        <x:v>109</x:v>
      </x:c>
      <x:c r="D106" s="23" t="s">
        <x:v>96</x:v>
      </x:c>
      <x:c r="E106" s="23" t="s">
        <x:v>110</x:v>
      </x:c>
      <x:c r="F106" s="23" t="s">
        <x:v>116</x:v>
      </x:c>
      <x:c r="G106" s="22" t="n">
        <x:v>0</x:v>
      </x:c>
      <x:c r="H106" s="22" t="n">
        <x:v>0</x:v>
      </x:c>
      <x:c r="I106" s="22" t="n">
        <x:v>0.167355381098162</x:v>
      </x:c>
      <x:c r="J106" s="22" t="n">
        <x:v>0.00864566714854695</x:v>
      </x:c>
      <x:c r="K106" s="22" t="n">
        <x:v>0</x:v>
      </x:c>
      <x:c r="L106" s="22" t="n">
        <x:v>0.0258340496056666</x:v>
      </x:c>
      <x:c r="M106" t="e">
        <x:f aca="0">IF(LEFT(分期持仓明细!$A$25,LEN(G$81)+2)=G$81&amp;" ·",ROW(分期持仓明细!$A$25),0)</x:f>
        <x:v>#NAME?</x:v>
      </x:c>
      <x:c r="N106" t="e">
        <x:f aca="0">IF(LEFT(分期持仓明细!$A$25,LEN(H$81)+2)=H$81&amp;" ·",ROW(分期持仓明细!$A$25),0)</x:f>
        <x:v>#NAME?</x:v>
      </x:c>
      <x:c r="O106" t="e">
        <x:f aca="0">IF(LEFT(分期持仓明细!$A$25,LEN(I$81)+2)=I$81&amp;" ·",ROW(分期持仓明细!$A$25),0)</x:f>
        <x:v>#NAME?</x:v>
      </x:c>
      <x:c r="P106" t="e">
        <x:f aca="0">IF(LEFT(分期持仓明细!$A$25,LEN(J$81)+2)=J$81&amp;" ·",ROW(分期持仓明细!$A$25),0)</x:f>
        <x:v>#NAME?</x:v>
      </x:c>
      <x:c r="Q106" t="e">
        <x:f aca="0">IF(LEFT(分期持仓明细!$A$25,LEN(K$81)+2)=K$81&amp;" ·",ROW(分期持仓明细!$A$25),0)</x:f>
        <x:v>#NAME?</x:v>
      </x:c>
      <x:c r="R106" t="e">
        <x:f aca="0">IF(LEFT(分期持仓明细!$A$25,LEN(L$81)+2)=L$81&amp;" ·",ROW(分期持仓明细!$A$25),0)</x:f>
        <x:v>#NAME?</x:v>
      </x:c>
    </x:row>
    <x:row r="107" ht="12.649999618530273" hidden="0">
      <x:c r="A107" s="21" t="s">
        <x:v>47</x:v>
      </x:c>
      <x:c r="B107" s="31" t="s">
        <x:v>130</x:v>
      </x:c>
      <x:c r="C107" s="23" t="s">
        <x:v>109</x:v>
      </x:c>
      <x:c r="D107" s="23" t="s">
        <x:v>96</x:v>
      </x:c>
      <x:c r="E107" s="23" t="s">
        <x:v>118</x:v>
      </x:c>
      <x:c r="F107" s="23" t="s">
        <x:v>111</x:v>
      </x:c>
      <x:c r="G107" s="22" t="n">
        <x:v>0.13112866075669</x:v>
      </x:c>
      <x:c r="H107" s="22" t="n">
        <x:v>0.131775011789742</x:v>
      </x:c>
      <x:c r="I107" s="22" t="n">
        <x:v>0</x:v>
      </x:c>
      <x:c r="J107" s="22" t="n">
        <x:v>0</x:v>
      </x:c>
      <x:c r="K107" s="22" t="n">
        <x:v>0.00585609681818959</x:v>
      </x:c>
      <x:c r="L107" s="22" t="n">
        <x:v>0</x:v>
      </x:c>
      <x:c r="M107" t="e">
        <x:f aca="0">IF(LEFT(分期持仓明细!$A$26,LEN(G$81)+2)=G$81&amp;" ·",ROW(分期持仓明细!$A$26),0)</x:f>
        <x:v>#NAME?</x:v>
      </x:c>
      <x:c r="N107" t="e">
        <x:f aca="0">IF(LEFT(分期持仓明细!$A$26,LEN(H$81)+2)=H$81&amp;" ·",ROW(分期持仓明细!$A$26),0)</x:f>
        <x:v>#NAME?</x:v>
      </x:c>
      <x:c r="O107" t="e">
        <x:f aca="0">IF(LEFT(分期持仓明细!$A$26,LEN(I$81)+2)=I$81&amp;" ·",ROW(分期持仓明细!$A$26),0)</x:f>
        <x:v>#NAME?</x:v>
      </x:c>
      <x:c r="P107" t="e">
        <x:f aca="0">IF(LEFT(分期持仓明细!$A$26,LEN(J$81)+2)=J$81&amp;" ·",ROW(分期持仓明细!$A$26),0)</x:f>
        <x:v>#NAME?</x:v>
      </x:c>
      <x:c r="Q107" t="e">
        <x:f aca="0">IF(LEFT(分期持仓明细!$A$26,LEN(K$81)+2)=K$81&amp;" ·",ROW(分期持仓明细!$A$26),0)</x:f>
        <x:v>#NAME?</x:v>
      </x:c>
      <x:c r="R107" t="e">
        <x:f aca="0">IF(LEFT(分期持仓明细!$A$26,LEN(L$81)+2)=L$81&amp;" ·",ROW(分期持仓明细!$A$26),0)</x:f>
        <x:v>#NAME?</x:v>
      </x:c>
    </x:row>
    <x:row r="108" ht="12.649999618530273" hidden="0">
      <x:c r="A108" s="21" t="s">
        <x:v>48</x:v>
      </x:c>
      <x:c r="B108" s="31" t="s">
        <x:v>131</x:v>
      </x:c>
      <x:c r="C108" s="23" t="s">
        <x:v>109</x:v>
      </x:c>
      <x:c r="D108" s="23" t="s">
        <x:v>96</x:v>
      </x:c>
      <x:c r="E108" s="23" t="s">
        <x:v>118</x:v>
      </x:c>
      <x:c r="F108" s="23" t="s">
        <x:v>116</x:v>
      </x:c>
      <x:c r="G108" s="22" t="n">
        <x:v>0</x:v>
      </x:c>
      <x:c r="H108" s="22" t="n">
        <x:v>0</x:v>
      </x:c>
      <x:c r="I108" s="22" t="n">
        <x:v>0.125071424930008</x:v>
      </x:c>
      <x:c r="J108" s="22" t="n">
        <x:v>0.00541339081014509</x:v>
      </x:c>
      <x:c r="K108" s="22" t="n">
        <x:v>0</x:v>
      </x:c>
      <x:c r="L108" s="22" t="n">
        <x:v>0.0161748008585022</x:v>
      </x:c>
      <x:c r="M108" t="e">
        <x:f aca="0">IF(LEFT(分期持仓明细!$A$27,LEN(G$81)+2)=G$81&amp;" ·",ROW(分期持仓明细!$A$27),0)</x:f>
        <x:v>#NAME?</x:v>
      </x:c>
      <x:c r="N108" t="e">
        <x:f aca="0">IF(LEFT(分期持仓明细!$A$27,LEN(H$81)+2)=H$81&amp;" ·",ROW(分期持仓明细!$A$27),0)</x:f>
        <x:v>#NAME?</x:v>
      </x:c>
      <x:c r="O108" t="e">
        <x:f aca="0">IF(LEFT(分期持仓明细!$A$27,LEN(I$81)+2)=I$81&amp;" ·",ROW(分期持仓明细!$A$27),0)</x:f>
        <x:v>#NAME?</x:v>
      </x:c>
      <x:c r="P108" t="e">
        <x:f aca="0">IF(LEFT(分期持仓明细!$A$27,LEN(J$81)+2)=J$81&amp;" ·",ROW(分期持仓明细!$A$27),0)</x:f>
        <x:v>#NAME?</x:v>
      </x:c>
      <x:c r="Q108" t="e">
        <x:f aca="0">IF(LEFT(分期持仓明细!$A$27,LEN(K$81)+2)=K$81&amp;" ·",ROW(分期持仓明细!$A$27),0)</x:f>
        <x:v>#NAME?</x:v>
      </x:c>
      <x:c r="R108" t="e">
        <x:f aca="0">IF(LEFT(分期持仓明细!$A$27,LEN(L$81)+2)=L$81&amp;" ·",ROW(分期持仓明细!$A$27),0)</x:f>
        <x:v>#NAME?</x:v>
      </x:c>
    </x:row>
    <x:row r="109" ht="12.649999618530273" hidden="0">
      <x:c r="A109" s="21" t="s">
        <x:v>49</x:v>
      </x:c>
      <x:c r="B109" s="31" t="s">
        <x:v>132</x:v>
      </x:c>
      <x:c r="C109" s="23" t="s">
        <x:v>109</x:v>
      </x:c>
      <x:c r="D109" s="23" t="s">
        <x:v>113</x:v>
      </x:c>
      <x:c r="E109" s="23" t="s">
        <x:v>113</x:v>
      </x:c>
      <x:c r="F109" s="23" t="s">
        <x:v>114</x:v>
      </x:c>
      <x:c r="G109" s="22" t="n">
        <x:v>0</x:v>
      </x:c>
      <x:c r="H109" s="22" t="n">
        <x:v>0</x:v>
      </x:c>
      <x:c r="I109" s="22" t="n">
        <x:v>0</x:v>
      </x:c>
      <x:c r="J109" s="22" t="n">
        <x:v>0</x:v>
      </x:c>
      <x:c r="K109" s="22" t="n">
        <x:v>0.0127439776941714</x:v>
      </x:c>
      <x:c r="L109" s="22" t="n">
        <x:v>0</x:v>
      </x:c>
      <x:c r="M109" t="e">
        <x:f aca="0">IF(LEFT(分期持仓明细!$A$28,LEN(G$81)+2)=G$81&amp;" ·",ROW(分期持仓明细!$A$28),0)</x:f>
        <x:v>#NAME?</x:v>
      </x:c>
      <x:c r="N109" t="e">
        <x:f aca="0">IF(LEFT(分期持仓明细!$A$28,LEN(H$81)+2)=H$81&amp;" ·",ROW(分期持仓明细!$A$28),0)</x:f>
        <x:v>#NAME?</x:v>
      </x:c>
      <x:c r="O109" t="e">
        <x:f aca="0">IF(LEFT(分期持仓明细!$A$28,LEN(I$81)+2)=I$81&amp;" ·",ROW(分期持仓明细!$A$28),0)</x:f>
        <x:v>#NAME?</x:v>
      </x:c>
      <x:c r="P109" t="e">
        <x:f aca="0">IF(LEFT(分期持仓明细!$A$28,LEN(J$81)+2)=J$81&amp;" ·",ROW(分期持仓明细!$A$28),0)</x:f>
        <x:v>#NAME?</x:v>
      </x:c>
      <x:c r="Q109" t="e">
        <x:f aca="0">IF(LEFT(分期持仓明细!$A$28,LEN(K$81)+2)=K$81&amp;" ·",ROW(分期持仓明细!$A$28),0)</x:f>
        <x:v>#NAME?</x:v>
      </x:c>
      <x:c r="R109" t="e">
        <x:f aca="0">IF(LEFT(分期持仓明细!$A$28,LEN(L$81)+2)=L$81&amp;" ·",ROW(分期持仓明细!$A$28),0)</x:f>
        <x:v>#NAME?</x:v>
      </x:c>
    </x:row>
    <x:row r="110" ht="12.649999618530273" hidden="0">
      <x:c r="A110" s="21" t="s">
        <x:v>50</x:v>
      </x:c>
      <x:c r="B110" s="31" t="s">
        <x:v>133</x:v>
      </x:c>
      <x:c r="C110" s="23" t="s">
        <x:v>109</x:v>
      </x:c>
      <x:c r="D110" s="23" t="s">
        <x:v>113</x:v>
      </x:c>
      <x:c r="E110" s="23" t="s">
        <x:v>113</x:v>
      </x:c>
      <x:c r="F110" s="23" t="s">
        <x:v>116</x:v>
      </x:c>
      <x:c r="G110" s="22" t="n">
        <x:v>0</x:v>
      </x:c>
      <x:c r="H110" s="22" t="n">
        <x:v>0</x:v>
      </x:c>
      <x:c r="I110" s="22" t="n">
        <x:v>0</x:v>
      </x:c>
      <x:c r="J110" s="22" t="n">
        <x:v>0.0127620485626376</x:v>
      </x:c>
      <x:c r="K110" s="22" t="n">
        <x:v>0</x:v>
      </x:c>
      <x:c r="L110" s="22" t="n">
        <x:v>0.0381325714317698</x:v>
      </x:c>
      <x:c r="M110" t="e">
        <x:f aca="0">IF(LEFT(分期持仓明细!$A$29,LEN(G$81)+2)=G$81&amp;" ·",ROW(分期持仓明细!$A$29),0)</x:f>
        <x:v>#NAME?</x:v>
      </x:c>
      <x:c r="N110" t="e">
        <x:f aca="0">IF(LEFT(分期持仓明细!$A$29,LEN(H$81)+2)=H$81&amp;" ·",ROW(分期持仓明细!$A$29),0)</x:f>
        <x:v>#NAME?</x:v>
      </x:c>
      <x:c r="O110" t="e">
        <x:f aca="0">IF(LEFT(分期持仓明细!$A$29,LEN(I$81)+2)=I$81&amp;" ·",ROW(分期持仓明细!$A$29),0)</x:f>
        <x:v>#NAME?</x:v>
      </x:c>
      <x:c r="P110" t="e">
        <x:f aca="0">IF(LEFT(分期持仓明细!$A$29,LEN(J$81)+2)=J$81&amp;" ·",ROW(分期持仓明细!$A$29),0)</x:f>
        <x:v>#NAME?</x:v>
      </x:c>
      <x:c r="Q110" t="e">
        <x:f aca="0">IF(LEFT(分期持仓明细!$A$29,LEN(K$81)+2)=K$81&amp;" ·",ROW(分期持仓明细!$A$29),0)</x:f>
        <x:v>#NAME?</x:v>
      </x:c>
      <x:c r="R110" t="e">
        <x:f aca="0">IF(LEFT(分期持仓明细!$A$29,LEN(L$81)+2)=L$81&amp;" ·",ROW(分期持仓明细!$A$29),0)</x:f>
        <x:v>#NAME?</x:v>
      </x:c>
    </x:row>
    <x:row r="111" ht="12.649999618530273" hidden="0">
      <x:c r="A111" s="21" t="s">
        <x:v>51</x:v>
      </x:c>
      <x:c r="B111" s="31" t="s">
        <x:v>134</x:v>
      </x:c>
      <x:c r="C111" s="23" t="s">
        <x:v>101</x:v>
      </x:c>
      <x:c r="D111" s="21" t="s">
        <x:v>102</x:v>
      </x:c>
      <x:c r="E111" s="23" t="s">
        <x:v>135</x:v>
      </x:c>
      <x:c r="F111" s="23" t="s">
        <x:v>136</x:v>
      </x:c>
      <x:c r="G111" s="22" t="n">
        <x:v>0</x:v>
      </x:c>
      <x:c r="H111" s="22" t="n">
        <x:v>0</x:v>
      </x:c>
      <x:c r="I111" s="22" t="n">
        <x:v>0</x:v>
      </x:c>
      <x:c r="J111" s="22" t="n">
        <x:v>0.797450095445645</x:v>
      </x:c>
      <x:c r="K111" s="22" t="n">
        <x:v>0.798475020551742</x:v>
      </x:c>
      <x:c r="L111" s="22" t="n">
        <x:v>0.492160060025827</x:v>
      </x:c>
      <x:c r="M111" t="e">
        <x:f aca="0">IF(LEFT(分期持仓明细!$A$30,LEN(G$81)+2)=G$81&amp;" ·",ROW(分期持仓明细!$A$30),0)</x:f>
        <x:v>#NAME?</x:v>
      </x:c>
      <x:c r="N111" t="e">
        <x:f aca="0">IF(LEFT(分期持仓明细!$A$30,LEN(H$81)+2)=H$81&amp;" ·",ROW(分期持仓明细!$A$30),0)</x:f>
        <x:v>#NAME?</x:v>
      </x:c>
      <x:c r="O111" t="e">
        <x:f aca="0">IF(LEFT(分期持仓明细!$A$30,LEN(I$81)+2)=I$81&amp;" ·",ROW(分期持仓明细!$A$30),0)</x:f>
        <x:v>#NAME?</x:v>
      </x:c>
      <x:c r="P111" t="e">
        <x:f aca="0">IF(LEFT(分期持仓明细!$A$30,LEN(J$81)+2)=J$81&amp;" ·",ROW(分期持仓明细!$A$30),0)</x:f>
        <x:v>#NAME?</x:v>
      </x:c>
      <x:c r="Q111" t="e">
        <x:f aca="0">IF(LEFT(分期持仓明细!$A$30,LEN(K$81)+2)=K$81&amp;" ·",ROW(分期持仓明细!$A$30),0)</x:f>
        <x:v>#NAME?</x:v>
      </x:c>
      <x:c r="R111" t="e">
        <x:f aca="0">IF(LEFT(分期持仓明细!$A$30,LEN(L$81)+2)=L$81&amp;" ·",ROW(分期持仓明细!$A$30),0)</x:f>
        <x:v>#NAME?</x:v>
      </x:c>
    </x:row>
    <x:row r="112" ht="12.649999618530273" hidden="0">
      <x:c r="A112" s="21" t="s">
        <x:v>137</x:v>
      </x:c>
      <x:c r="B112" s="31" t="s">
        <x:v>138</x:v>
      </x:c>
      <x:c r="C112" s="23" t="s">
        <x:v>109</x:v>
      </x:c>
      <x:c r="D112" s="23" t="s">
        <x:v>96</x:v>
      </x:c>
      <x:c r="E112" s="23" t="s">
        <x:v>110</x:v>
      </x:c>
      <x:c r="F112" s="23" t="s">
        <x:v>111</x:v>
      </x:c>
      <x:c r="G112" s="22" t="n">
        <x:v>0.0684651706476744</x:v>
      </x:c>
      <x:c r="H112" s="22" t="n">
        <x:v>0.0684754758604877</x:v>
      </x:c>
      <x:c r="I112" s="22" t="n">
        <x:v>0.06838193175074</x:v>
      </x:c>
      <x:c r="J112" s="22" t="n">
        <x:v>0.00951073689660377</x:v>
      </x:c>
      <x:c r="K112" s="22" t="n">
        <x:v>0.00952354567150528</x:v>
      </x:c>
      <x:c r="L112" s="22" t="n">
        <x:v>0.0309160822456897</x:v>
      </x:c>
      <x:c r="M112" t="e">
        <x:f aca="0">IF(LEFT(分期持仓明细!$A$31,LEN(G$81)+2)=G$81&amp;" ·",ROW(分期持仓明细!$A$31),0)</x:f>
        <x:v>#NAME?</x:v>
      </x:c>
      <x:c r="N112" t="e">
        <x:f aca="0">IF(LEFT(分期持仓明细!$A$31,LEN(H$81)+2)=H$81&amp;" ·",ROW(分期持仓明细!$A$31),0)</x:f>
        <x:v>#NAME?</x:v>
      </x:c>
      <x:c r="O112" t="e">
        <x:f aca="0">IF(LEFT(分期持仓明细!$A$31,LEN(I$81)+2)=I$81&amp;" ·",ROW(分期持仓明细!$A$31),0)</x:f>
        <x:v>#NAME?</x:v>
      </x:c>
      <x:c r="P112" t="e">
        <x:f aca="0">IF(LEFT(分期持仓明细!$A$31,LEN(J$81)+2)=J$81&amp;" ·",ROW(分期持仓明细!$A$31),0)</x:f>
        <x:v>#NAME?</x:v>
      </x:c>
      <x:c r="Q112" t="e">
        <x:f aca="0">IF(LEFT(分期持仓明细!$A$31,LEN(K$81)+2)=K$81&amp;" ·",ROW(分期持仓明细!$A$31),0)</x:f>
        <x:v>#NAME?</x:v>
      </x:c>
      <x:c r="R112" t="e">
        <x:f aca="0">IF(LEFT(分期持仓明细!$A$31,LEN(L$81)+2)=L$81&amp;" ·",ROW(分期持仓明细!$A$31),0)</x:f>
        <x:v>#NAME?</x:v>
      </x:c>
    </x:row>
    <x:row r="113" ht="12.649999618530273" hidden="0">
      <x:c r="M113" t="e">
        <x:f aca="0">IF(LEFT(分期持仓明细!$A$32,LEN(G$81)+2)=G$81&amp;" ·",ROW(分期持仓明细!$A$32),0)</x:f>
        <x:v>#NAME?</x:v>
      </x:c>
      <x:c r="N113" t="e">
        <x:f aca="0">IF(LEFT(分期持仓明细!$A$32,LEN(H$81)+2)=H$81&amp;" ·",ROW(分期持仓明细!$A$32),0)</x:f>
        <x:v>#NAME?</x:v>
      </x:c>
      <x:c r="O113" t="e">
        <x:f aca="0">IF(LEFT(分期持仓明细!$A$32,LEN(I$81)+2)=I$81&amp;" ·",ROW(分期持仓明细!$A$32),0)</x:f>
        <x:v>#NAME?</x:v>
      </x:c>
      <x:c r="P113" t="e">
        <x:f aca="0">IF(LEFT(分期持仓明细!$A$32,LEN(J$81)+2)=J$81&amp;" ·",ROW(分期持仓明细!$A$32),0)</x:f>
        <x:v>#NAME?</x:v>
      </x:c>
      <x:c r="Q113" t="e">
        <x:f aca="0">IF(LEFT(分期持仓明细!$A$32,LEN(K$81)+2)=K$81&amp;" ·",ROW(分期持仓明细!$A$32),0)</x:f>
        <x:v>#NAME?</x:v>
      </x:c>
      <x:c r="R113" t="e">
        <x:f aca="0">IF(LEFT(分期持仓明细!$A$32,LEN(L$81)+2)=L$81&amp;" ·",ROW(分期持仓明细!$A$32),0)</x:f>
        <x:v>#NAME?</x:v>
      </x:c>
    </x:row>
    <x:row r="114" ht="12.649999618530273" hidden="0">
      <x:c r="M114" t="e">
        <x:f aca="0">IF(LEFT(分期持仓明细!$A$33,LEN(G$81)+2)=G$81&amp;" ·",ROW(分期持仓明细!$A$33),0)</x:f>
        <x:v>#NAME?</x:v>
      </x:c>
      <x:c r="N114" t="e">
        <x:f aca="0">IF(LEFT(分期持仓明细!$A$33,LEN(H$81)+2)=H$81&amp;" ·",ROW(分期持仓明细!$A$33),0)</x:f>
        <x:v>#NAME?</x:v>
      </x:c>
      <x:c r="O114" t="e">
        <x:f aca="0">IF(LEFT(分期持仓明细!$A$33,LEN(I$81)+2)=I$81&amp;" ·",ROW(分期持仓明细!$A$33),0)</x:f>
        <x:v>#NAME?</x:v>
      </x:c>
      <x:c r="P114" t="e">
        <x:f aca="0">IF(LEFT(分期持仓明细!$A$33,LEN(J$81)+2)=J$81&amp;" ·",ROW(分期持仓明细!$A$33),0)</x:f>
        <x:v>#NAME?</x:v>
      </x:c>
      <x:c r="Q114" t="e">
        <x:f aca="0">IF(LEFT(分期持仓明细!$A$33,LEN(K$81)+2)=K$81&amp;" ·",ROW(分期持仓明细!$A$33),0)</x:f>
        <x:v>#NAME?</x:v>
      </x:c>
      <x:c r="R114" t="e">
        <x:f aca="0">IF(LEFT(分期持仓明细!$A$33,LEN(L$81)+2)=L$81&amp;" ·",ROW(分期持仓明细!$A$33),0)</x:f>
        <x:v>#NAME?</x:v>
      </x:c>
    </x:row>
    <x:row r="115" ht="12.649999618530273" hidden="0">
      <x:c r="M115" t="e">
        <x:f aca="0">IF(LEFT(分期持仓明细!$A$34,LEN(G$81)+2)=G$81&amp;" ·",ROW(分期持仓明细!$A$34),0)</x:f>
        <x:v>#NAME?</x:v>
      </x:c>
      <x:c r="N115" t="e">
        <x:f aca="0">IF(LEFT(分期持仓明细!$A$34,LEN(H$81)+2)=H$81&amp;" ·",ROW(分期持仓明细!$A$34),0)</x:f>
        <x:v>#NAME?</x:v>
      </x:c>
      <x:c r="O115" t="e">
        <x:f aca="0">IF(LEFT(分期持仓明细!$A$34,LEN(I$81)+2)=I$81&amp;" ·",ROW(分期持仓明细!$A$34),0)</x:f>
        <x:v>#NAME?</x:v>
      </x:c>
      <x:c r="P115" t="e">
        <x:f aca="0">IF(LEFT(分期持仓明细!$A$34,LEN(J$81)+2)=J$81&amp;" ·",ROW(分期持仓明细!$A$34),0)</x:f>
        <x:v>#NAME?</x:v>
      </x:c>
      <x:c r="Q115" t="e">
        <x:f aca="0">IF(LEFT(分期持仓明细!$A$34,LEN(K$81)+2)=K$81&amp;" ·",ROW(分期持仓明细!$A$34),0)</x:f>
        <x:v>#NAME?</x:v>
      </x:c>
      <x:c r="R115" t="e">
        <x:f aca="0">IF(LEFT(分期持仓明细!$A$34,LEN(L$81)+2)=L$81&amp;" ·",ROW(分期持仓明细!$A$34),0)</x:f>
        <x:v>#NAME?</x:v>
      </x:c>
    </x:row>
    <x:row r="116" ht="12.649999618530273" hidden="0">
      <x:c r="M116" t="e">
        <x:f aca="0">IF(LEFT(分期持仓明细!$A$35,LEN(G$81)+2)=G$81&amp;" ·",ROW(分期持仓明细!$A$35),0)</x:f>
        <x:v>#NAME?</x:v>
      </x:c>
      <x:c r="N116" t="e">
        <x:f aca="0">IF(LEFT(分期持仓明细!$A$35,LEN(H$81)+2)=H$81&amp;" ·",ROW(分期持仓明细!$A$35),0)</x:f>
        <x:v>#NAME?</x:v>
      </x:c>
      <x:c r="O116" t="e">
        <x:f aca="0">IF(LEFT(分期持仓明细!$A$35,LEN(I$81)+2)=I$81&amp;" ·",ROW(分期持仓明细!$A$35),0)</x:f>
        <x:v>#NAME?</x:v>
      </x:c>
      <x:c r="P116" t="e">
        <x:f aca="0">IF(LEFT(分期持仓明细!$A$35,LEN(J$81)+2)=J$81&amp;" ·",ROW(分期持仓明细!$A$35),0)</x:f>
        <x:v>#NAME?</x:v>
      </x:c>
      <x:c r="Q116" t="e">
        <x:f aca="0">IF(LEFT(分期持仓明细!$A$35,LEN(K$81)+2)=K$81&amp;" ·",ROW(分期持仓明细!$A$35),0)</x:f>
        <x:v>#NAME?</x:v>
      </x:c>
      <x:c r="R116" t="e">
        <x:f aca="0">IF(LEFT(分期持仓明细!$A$35,LEN(L$81)+2)=L$81&amp;" ·",ROW(分期持仓明细!$A$35),0)</x:f>
        <x:v>#NAME?</x:v>
      </x:c>
    </x:row>
    <x:row r="117" ht="12.649999618530273" hidden="0">
      <x:c r="M117" t="e">
        <x:f aca="0">IF(LEFT(分期持仓明细!$A$36,LEN(G$81)+2)=G$81&amp;" ·",ROW(分期持仓明细!$A$36),0)</x:f>
        <x:v>#NAME?</x:v>
      </x:c>
      <x:c r="N117" t="e">
        <x:f aca="0">IF(LEFT(分期持仓明细!$A$36,LEN(H$81)+2)=H$81&amp;" ·",ROW(分期持仓明细!$A$36),0)</x:f>
        <x:v>#NAME?</x:v>
      </x:c>
      <x:c r="O117" t="e">
        <x:f aca="0">IF(LEFT(分期持仓明细!$A$36,LEN(I$81)+2)=I$81&amp;" ·",ROW(分期持仓明细!$A$36),0)</x:f>
        <x:v>#NAME?</x:v>
      </x:c>
      <x:c r="P117" t="e">
        <x:f aca="0">IF(LEFT(分期持仓明细!$A$36,LEN(J$81)+2)=J$81&amp;" ·",ROW(分期持仓明细!$A$36),0)</x:f>
        <x:v>#NAME?</x:v>
      </x:c>
      <x:c r="Q117" t="e">
        <x:f aca="0">IF(LEFT(分期持仓明细!$A$36,LEN(K$81)+2)=K$81&amp;" ·",ROW(分期持仓明细!$A$36),0)</x:f>
        <x:v>#NAME?</x:v>
      </x:c>
      <x:c r="R117" t="e">
        <x:f aca="0">IF(LEFT(分期持仓明细!$A$36,LEN(L$81)+2)=L$81&amp;" ·",ROW(分期持仓明细!$A$36),0)</x:f>
        <x:v>#NAME?</x:v>
      </x:c>
    </x:row>
    <x:row r="118" ht="12.649999618530273" hidden="0">
      <x:c r="M118" t="e">
        <x:f aca="0">IF(LEFT(分期持仓明细!$A$37,LEN(G$81)+2)=G$81&amp;" ·",ROW(分期持仓明细!$A$37),0)</x:f>
        <x:v>#NAME?</x:v>
      </x:c>
      <x:c r="N118" t="e">
        <x:f aca="0">IF(LEFT(分期持仓明细!$A$37,LEN(H$81)+2)=H$81&amp;" ·",ROW(分期持仓明细!$A$37),0)</x:f>
        <x:v>#NAME?</x:v>
      </x:c>
      <x:c r="O118" t="e">
        <x:f aca="0">IF(LEFT(分期持仓明细!$A$37,LEN(I$81)+2)=I$81&amp;" ·",ROW(分期持仓明细!$A$37),0)</x:f>
        <x:v>#NAME?</x:v>
      </x:c>
      <x:c r="P118" t="e">
        <x:f aca="0">IF(LEFT(分期持仓明细!$A$37,LEN(J$81)+2)=J$81&amp;" ·",ROW(分期持仓明细!$A$37),0)</x:f>
        <x:v>#NAME?</x:v>
      </x:c>
      <x:c r="Q118" t="e">
        <x:f aca="0">IF(LEFT(分期持仓明细!$A$37,LEN(K$81)+2)=K$81&amp;" ·",ROW(分期持仓明细!$A$37),0)</x:f>
        <x:v>#NAME?</x:v>
      </x:c>
      <x:c r="R118" t="e">
        <x:f aca="0">IF(LEFT(分期持仓明细!$A$37,LEN(L$81)+2)=L$81&amp;" ·",ROW(分期持仓明细!$A$37),0)</x:f>
        <x:v>#NAME?</x:v>
      </x:c>
    </x:row>
    <x:row r="119" ht="12.649999618530273" hidden="0">
      <x:c r="M119" t="e">
        <x:f aca="0">IF(LEFT(分期持仓明细!$A$38,LEN(G$81)+2)=G$81&amp;" ·",ROW(分期持仓明细!$A$38),0)</x:f>
        <x:v>#NAME?</x:v>
      </x:c>
      <x:c r="N119" t="e">
        <x:f aca="0">IF(LEFT(分期持仓明细!$A$38,LEN(H$81)+2)=H$81&amp;" ·",ROW(分期持仓明细!$A$38),0)</x:f>
        <x:v>#NAME?</x:v>
      </x:c>
      <x:c r="O119" t="e">
        <x:f aca="0">IF(LEFT(分期持仓明细!$A$38,LEN(I$81)+2)=I$81&amp;" ·",ROW(分期持仓明细!$A$38),0)</x:f>
        <x:v>#NAME?</x:v>
      </x:c>
      <x:c r="P119" t="e">
        <x:f aca="0">IF(LEFT(分期持仓明细!$A$38,LEN(J$81)+2)=J$81&amp;" ·",ROW(分期持仓明细!$A$38),0)</x:f>
        <x:v>#NAME?</x:v>
      </x:c>
      <x:c r="Q119" t="e">
        <x:f aca="0">IF(LEFT(分期持仓明细!$A$38,LEN(K$81)+2)=K$81&amp;" ·",ROW(分期持仓明细!$A$38),0)</x:f>
        <x:v>#NAME?</x:v>
      </x:c>
      <x:c r="R119" t="e">
        <x:f aca="0">IF(LEFT(分期持仓明细!$A$38,LEN(L$81)+2)=L$81&amp;" ·",ROW(分期持仓明细!$A$38),0)</x:f>
        <x:v>#NAME?</x:v>
      </x:c>
    </x:row>
    <x:row r="120" ht="12.649999618530273" hidden="0">
      <x:c r="M120" t="e">
        <x:f aca="0">IF(LEFT(分期持仓明细!$A$39,LEN(G$81)+2)=G$81&amp;" ·",ROW(分期持仓明细!$A$39),0)</x:f>
        <x:v>#NAME?</x:v>
      </x:c>
      <x:c r="N120" t="e">
        <x:f aca="0">IF(LEFT(分期持仓明细!$A$39,LEN(H$81)+2)=H$81&amp;" ·",ROW(分期持仓明细!$A$39),0)</x:f>
        <x:v>#NAME?</x:v>
      </x:c>
      <x:c r="O120" t="e">
        <x:f aca="0">IF(LEFT(分期持仓明细!$A$39,LEN(I$81)+2)=I$81&amp;" ·",ROW(分期持仓明细!$A$39),0)</x:f>
        <x:v>#NAME?</x:v>
      </x:c>
      <x:c r="P120" t="e">
        <x:f aca="0">IF(LEFT(分期持仓明细!$A$39,LEN(J$81)+2)=J$81&amp;" ·",ROW(分期持仓明细!$A$39),0)</x:f>
        <x:v>#NAME?</x:v>
      </x:c>
      <x:c r="Q120" t="e">
        <x:f aca="0">IF(LEFT(分期持仓明细!$A$39,LEN(K$81)+2)=K$81&amp;" ·",ROW(分期持仓明细!$A$39),0)</x:f>
        <x:v>#NAME?</x:v>
      </x:c>
      <x:c r="R120" t="e">
        <x:f aca="0">IF(LEFT(分期持仓明细!$A$39,LEN(L$81)+2)=L$81&amp;" ·",ROW(分期持仓明细!$A$39),0)</x:f>
        <x:v>#NAME?</x:v>
      </x:c>
    </x:row>
    <x:row r="121" ht="12.649999618530273" hidden="0">
      <x:c r="M121" t="e">
        <x:f aca="0">IF(LEFT(分期持仓明细!$A$40,LEN(G$81)+2)=G$81&amp;" ·",ROW(分期持仓明细!$A$40),0)</x:f>
        <x:v>#NAME?</x:v>
      </x:c>
      <x:c r="N121" t="e">
        <x:f aca="0">IF(LEFT(分期持仓明细!$A$40,LEN(H$81)+2)=H$81&amp;" ·",ROW(分期持仓明细!$A$40),0)</x:f>
        <x:v>#NAME?</x:v>
      </x:c>
      <x:c r="O121" t="e">
        <x:f aca="0">IF(LEFT(分期持仓明细!$A$40,LEN(I$81)+2)=I$81&amp;" ·",ROW(分期持仓明细!$A$40),0)</x:f>
        <x:v>#NAME?</x:v>
      </x:c>
      <x:c r="P121" t="e">
        <x:f aca="0">IF(LEFT(分期持仓明细!$A$40,LEN(J$81)+2)=J$81&amp;" ·",ROW(分期持仓明细!$A$40),0)</x:f>
        <x:v>#NAME?</x:v>
      </x:c>
      <x:c r="Q121" t="e">
        <x:f aca="0">IF(LEFT(分期持仓明细!$A$40,LEN(K$81)+2)=K$81&amp;" ·",ROW(分期持仓明细!$A$40),0)</x:f>
        <x:v>#NAME?</x:v>
      </x:c>
      <x:c r="R121" t="e">
        <x:f aca="0">IF(LEFT(分期持仓明细!$A$40,LEN(L$81)+2)=L$81&amp;" ·",ROW(分期持仓明细!$A$40),0)</x:f>
        <x:v>#NAME?</x:v>
      </x:c>
    </x:row>
    <x:row r="122" ht="12.649999618530273" hidden="0">
      <x:c r="M122" t="e">
        <x:f aca="0">IF(LEFT(分期持仓明细!$A$41,LEN(G$81)+2)=G$81&amp;" ·",ROW(分期持仓明细!$A$41),0)</x:f>
        <x:v>#NAME?</x:v>
      </x:c>
      <x:c r="N122" t="e">
        <x:f aca="0">IF(LEFT(分期持仓明细!$A$41,LEN(H$81)+2)=H$81&amp;" ·",ROW(分期持仓明细!$A$41),0)</x:f>
        <x:v>#NAME?</x:v>
      </x:c>
      <x:c r="O122" t="e">
        <x:f aca="0">IF(LEFT(分期持仓明细!$A$41,LEN(I$81)+2)=I$81&amp;" ·",ROW(分期持仓明细!$A$41),0)</x:f>
        <x:v>#NAME?</x:v>
      </x:c>
      <x:c r="P122" t="e">
        <x:f aca="0">IF(LEFT(分期持仓明细!$A$41,LEN(J$81)+2)=J$81&amp;" ·",ROW(分期持仓明细!$A$41),0)</x:f>
        <x:v>#NAME?</x:v>
      </x:c>
      <x:c r="Q122" t="e">
        <x:f aca="0">IF(LEFT(分期持仓明细!$A$41,LEN(K$81)+2)=K$81&amp;" ·",ROW(分期持仓明细!$A$41),0)</x:f>
        <x:v>#NAME?</x:v>
      </x:c>
      <x:c r="R122" t="e">
        <x:f aca="0">IF(LEFT(分期持仓明细!$A$41,LEN(L$81)+2)=L$81&amp;" ·",ROW(分期持仓明细!$A$41),0)</x:f>
        <x:v>#NAME?</x:v>
      </x:c>
    </x:row>
    <x:row r="123" ht="12.649999618530273" hidden="0">
      <x:c r="M123" t="e">
        <x:f aca="0">IF(LEFT(分期持仓明细!$A$42,LEN(G$81)+2)=G$81&amp;" ·",ROW(分期持仓明细!$A$42),0)</x:f>
        <x:v>#NAME?</x:v>
      </x:c>
      <x:c r="N123" t="e">
        <x:f aca="0">IF(LEFT(分期持仓明细!$A$42,LEN(H$81)+2)=H$81&amp;" ·",ROW(分期持仓明细!$A$42),0)</x:f>
        <x:v>#NAME?</x:v>
      </x:c>
      <x:c r="O123" t="e">
        <x:f aca="0">IF(LEFT(分期持仓明细!$A$42,LEN(I$81)+2)=I$81&amp;" ·",ROW(分期持仓明细!$A$42),0)</x:f>
        <x:v>#NAME?</x:v>
      </x:c>
      <x:c r="P123" t="e">
        <x:f aca="0">IF(LEFT(分期持仓明细!$A$42,LEN(J$81)+2)=J$81&amp;" ·",ROW(分期持仓明细!$A$42),0)</x:f>
        <x:v>#NAME?</x:v>
      </x:c>
      <x:c r="Q123" t="e">
        <x:f aca="0">IF(LEFT(分期持仓明细!$A$42,LEN(K$81)+2)=K$81&amp;" ·",ROW(分期持仓明细!$A$42),0)</x:f>
        <x:v>#NAME?</x:v>
      </x:c>
      <x:c r="R123" t="e">
        <x:f aca="0">IF(LEFT(分期持仓明细!$A$42,LEN(L$81)+2)=L$81&amp;" ·",ROW(分期持仓明细!$A$42),0)</x:f>
        <x:v>#NAME?</x:v>
      </x:c>
    </x:row>
    <x:row r="124" ht="12.649999618530273" hidden="0">
      <x:c r="M124" t="e">
        <x:f aca="0">IF(LEFT(分期持仓明细!$A$43,LEN(G$81)+2)=G$81&amp;" ·",ROW(分期持仓明细!$A$43),0)</x:f>
        <x:v>#NAME?</x:v>
      </x:c>
      <x:c r="N124" t="e">
        <x:f aca="0">IF(LEFT(分期持仓明细!$A$43,LEN(H$81)+2)=H$81&amp;" ·",ROW(分期持仓明细!$A$43),0)</x:f>
        <x:v>#NAME?</x:v>
      </x:c>
      <x:c r="O124" t="e">
        <x:f aca="0">IF(LEFT(分期持仓明细!$A$43,LEN(I$81)+2)=I$81&amp;" ·",ROW(分期持仓明细!$A$43),0)</x:f>
        <x:v>#NAME?</x:v>
      </x:c>
      <x:c r="P124" t="e">
        <x:f aca="0">IF(LEFT(分期持仓明细!$A$43,LEN(J$81)+2)=J$81&amp;" ·",ROW(分期持仓明细!$A$43),0)</x:f>
        <x:v>#NAME?</x:v>
      </x:c>
      <x:c r="Q124" t="e">
        <x:f aca="0">IF(LEFT(分期持仓明细!$A$43,LEN(K$81)+2)=K$81&amp;" ·",ROW(分期持仓明细!$A$43),0)</x:f>
        <x:v>#NAME?</x:v>
      </x:c>
      <x:c r="R124" t="e">
        <x:f aca="0">IF(LEFT(分期持仓明细!$A$43,LEN(L$81)+2)=L$81&amp;" ·",ROW(分期持仓明细!$A$43),0)</x:f>
        <x:v>#NAME?</x:v>
      </x:c>
    </x:row>
    <x:row r="125" ht="12.649999618530273" hidden="0">
      <x:c r="M125" t="e">
        <x:f aca="0">IF(LEFT(分期持仓明细!$A$44,LEN(G$81)+2)=G$81&amp;" ·",ROW(分期持仓明细!$A$44),0)</x:f>
        <x:v>#NAME?</x:v>
      </x:c>
      <x:c r="N125" t="e">
        <x:f aca="0">IF(LEFT(分期持仓明细!$A$44,LEN(H$81)+2)=H$81&amp;" ·",ROW(分期持仓明细!$A$44),0)</x:f>
        <x:v>#NAME?</x:v>
      </x:c>
      <x:c r="O125" t="e">
        <x:f aca="0">IF(LEFT(分期持仓明细!$A$44,LEN(I$81)+2)=I$81&amp;" ·",ROW(分期持仓明细!$A$44),0)</x:f>
        <x:v>#NAME?</x:v>
      </x:c>
      <x:c r="P125" t="e">
        <x:f aca="0">IF(LEFT(分期持仓明细!$A$44,LEN(J$81)+2)=J$81&amp;" ·",ROW(分期持仓明细!$A$44),0)</x:f>
        <x:v>#NAME?</x:v>
      </x:c>
      <x:c r="Q125" t="e">
        <x:f aca="0">IF(LEFT(分期持仓明细!$A$44,LEN(K$81)+2)=K$81&amp;" ·",ROW(分期持仓明细!$A$44),0)</x:f>
        <x:v>#NAME?</x:v>
      </x:c>
      <x:c r="R125" t="e">
        <x:f aca="0">IF(LEFT(分期持仓明细!$A$44,LEN(L$81)+2)=L$81&amp;" ·",ROW(分期持仓明细!$A$44),0)</x:f>
        <x:v>#NAME?</x:v>
      </x:c>
    </x:row>
    <x:row r="126" ht="12.649999618530273" hidden="0">
      <x:c r="M126" t="e">
        <x:f aca="0">IF(LEFT(分期持仓明细!$A$45,LEN(G$81)+2)=G$81&amp;" ·",ROW(分期持仓明细!$A$45),0)</x:f>
        <x:v>#NAME?</x:v>
      </x:c>
      <x:c r="N126" t="e">
        <x:f aca="0">IF(LEFT(分期持仓明细!$A$45,LEN(H$81)+2)=H$81&amp;" ·",ROW(分期持仓明细!$A$45),0)</x:f>
        <x:v>#NAME?</x:v>
      </x:c>
      <x:c r="O126" t="e">
        <x:f aca="0">IF(LEFT(分期持仓明细!$A$45,LEN(I$81)+2)=I$81&amp;" ·",ROW(分期持仓明细!$A$45),0)</x:f>
        <x:v>#NAME?</x:v>
      </x:c>
      <x:c r="P126" t="e">
        <x:f aca="0">IF(LEFT(分期持仓明细!$A$45,LEN(J$81)+2)=J$81&amp;" ·",ROW(分期持仓明细!$A$45),0)</x:f>
        <x:v>#NAME?</x:v>
      </x:c>
      <x:c r="Q126" t="e">
        <x:f aca="0">IF(LEFT(分期持仓明细!$A$45,LEN(K$81)+2)=K$81&amp;" ·",ROW(分期持仓明细!$A$45),0)</x:f>
        <x:v>#NAME?</x:v>
      </x:c>
      <x:c r="R126" t="e">
        <x:f aca="0">IF(LEFT(分期持仓明细!$A$45,LEN(L$81)+2)=L$81&amp;" ·",ROW(分期持仓明细!$A$45),0)</x:f>
        <x:v>#NAME?</x:v>
      </x:c>
    </x:row>
    <x:row r="127" ht="12.649999618530273" hidden="0">
      <x:c r="M127" t="e">
        <x:f aca="0">IF(LEFT(分期持仓明细!$A$46,LEN(G$81)+2)=G$81&amp;" ·",ROW(分期持仓明细!$A$46),0)</x:f>
        <x:v>#NAME?</x:v>
      </x:c>
      <x:c r="N127" t="e">
        <x:f aca="0">IF(LEFT(分期持仓明细!$A$46,LEN(H$81)+2)=H$81&amp;" ·",ROW(分期持仓明细!$A$46),0)</x:f>
        <x:v>#NAME?</x:v>
      </x:c>
      <x:c r="O127" t="e">
        <x:f aca="0">IF(LEFT(分期持仓明细!$A$46,LEN(I$81)+2)=I$81&amp;" ·",ROW(分期持仓明细!$A$46),0)</x:f>
        <x:v>#NAME?</x:v>
      </x:c>
      <x:c r="P127" t="e">
        <x:f aca="0">IF(LEFT(分期持仓明细!$A$46,LEN(J$81)+2)=J$81&amp;" ·",ROW(分期持仓明细!$A$46),0)</x:f>
        <x:v>#NAME?</x:v>
      </x:c>
      <x:c r="Q127" t="e">
        <x:f aca="0">IF(LEFT(分期持仓明细!$A$46,LEN(K$81)+2)=K$81&amp;" ·",ROW(分期持仓明细!$A$46),0)</x:f>
        <x:v>#NAME?</x:v>
      </x:c>
      <x:c r="R127" t="e">
        <x:f aca="0">IF(LEFT(分期持仓明细!$A$46,LEN(L$81)+2)=L$81&amp;" ·",ROW(分期持仓明细!$A$46),0)</x:f>
        <x:v>#NAME?</x:v>
      </x:c>
    </x:row>
    <x:row r="128" ht="12.649999618530273" hidden="0">
      <x:c r="M128" t="e">
        <x:f aca="0">IF(LEFT(分期持仓明细!$A$47,LEN(G$81)+2)=G$81&amp;" ·",ROW(分期持仓明细!$A$47),0)</x:f>
        <x:v>#NAME?</x:v>
      </x:c>
      <x:c r="N128" t="e">
        <x:f aca="0">IF(LEFT(分期持仓明细!$A$47,LEN(H$81)+2)=H$81&amp;" ·",ROW(分期持仓明细!$A$47),0)</x:f>
        <x:v>#NAME?</x:v>
      </x:c>
      <x:c r="O128" t="e">
        <x:f aca="0">IF(LEFT(分期持仓明细!$A$47,LEN(I$81)+2)=I$81&amp;" ·",ROW(分期持仓明细!$A$47),0)</x:f>
        <x:v>#NAME?</x:v>
      </x:c>
      <x:c r="P128" t="e">
        <x:f aca="0">IF(LEFT(分期持仓明细!$A$47,LEN(J$81)+2)=J$81&amp;" ·",ROW(分期持仓明细!$A$47),0)</x:f>
        <x:v>#NAME?</x:v>
      </x:c>
      <x:c r="Q128" t="e">
        <x:f aca="0">IF(LEFT(分期持仓明细!$A$47,LEN(K$81)+2)=K$81&amp;" ·",ROW(分期持仓明细!$A$47),0)</x:f>
        <x:v>#NAME?</x:v>
      </x:c>
      <x:c r="R128" t="e">
        <x:f aca="0">IF(LEFT(分期持仓明细!$A$47,LEN(L$81)+2)=L$81&amp;" ·",ROW(分期持仓明细!$A$47),0)</x:f>
        <x:v>#NAME?</x:v>
      </x:c>
    </x:row>
    <x:row r="129" ht="12.649999618530273" hidden="0">
      <x:c r="M129" t="e">
        <x:f aca="0">IF(LEFT(分期持仓明细!$A$48,LEN(G$81)+2)=G$81&amp;" ·",ROW(分期持仓明细!$A$48),0)</x:f>
        <x:v>#NAME?</x:v>
      </x:c>
      <x:c r="N129" t="e">
        <x:f aca="0">IF(LEFT(分期持仓明细!$A$48,LEN(H$81)+2)=H$81&amp;" ·",ROW(分期持仓明细!$A$48),0)</x:f>
        <x:v>#NAME?</x:v>
      </x:c>
      <x:c r="O129" t="e">
        <x:f aca="0">IF(LEFT(分期持仓明细!$A$48,LEN(I$81)+2)=I$81&amp;" ·",ROW(分期持仓明细!$A$48),0)</x:f>
        <x:v>#NAME?</x:v>
      </x:c>
      <x:c r="P129" t="e">
        <x:f aca="0">IF(LEFT(分期持仓明细!$A$48,LEN(J$81)+2)=J$81&amp;" ·",ROW(分期持仓明细!$A$48),0)</x:f>
        <x:v>#NAME?</x:v>
      </x:c>
      <x:c r="Q129" t="e">
        <x:f aca="0">IF(LEFT(分期持仓明细!$A$48,LEN(K$81)+2)=K$81&amp;" ·",ROW(分期持仓明细!$A$48),0)</x:f>
        <x:v>#NAME?</x:v>
      </x:c>
      <x:c r="R129" t="e">
        <x:f aca="0">IF(LEFT(分期持仓明细!$A$48,LEN(L$81)+2)=L$81&amp;" ·",ROW(分期持仓明细!$A$48),0)</x:f>
        <x:v>#NAME?</x:v>
      </x:c>
    </x:row>
    <x:row r="130" ht="12.649999618530273" hidden="0">
      <x:c r="M130" t="e">
        <x:f aca="0">IF(LEFT(分期持仓明细!$A$49,LEN(G$81)+2)=G$81&amp;" ·",ROW(分期持仓明细!$A$49),0)</x:f>
        <x:v>#NAME?</x:v>
      </x:c>
      <x:c r="N130" t="e">
        <x:f aca="0">IF(LEFT(分期持仓明细!$A$49,LEN(H$81)+2)=H$81&amp;" ·",ROW(分期持仓明细!$A$49),0)</x:f>
        <x:v>#NAME?</x:v>
      </x:c>
      <x:c r="O130" t="e">
        <x:f aca="0">IF(LEFT(分期持仓明细!$A$49,LEN(I$81)+2)=I$81&amp;" ·",ROW(分期持仓明细!$A$49),0)</x:f>
        <x:v>#NAME?</x:v>
      </x:c>
      <x:c r="P130" t="e">
        <x:f aca="0">IF(LEFT(分期持仓明细!$A$49,LEN(J$81)+2)=J$81&amp;" ·",ROW(分期持仓明细!$A$49),0)</x:f>
        <x:v>#NAME?</x:v>
      </x:c>
      <x:c r="Q130" t="e">
        <x:f aca="0">IF(LEFT(分期持仓明细!$A$49,LEN(K$81)+2)=K$81&amp;" ·",ROW(分期持仓明细!$A$49),0)</x:f>
        <x:v>#NAME?</x:v>
      </x:c>
      <x:c r="R130" t="e">
        <x:f aca="0">IF(LEFT(分期持仓明细!$A$49,LEN(L$81)+2)=L$81&amp;" ·",ROW(分期持仓明细!$A$49),0)</x:f>
        <x:v>#NAME?</x:v>
      </x:c>
    </x:row>
    <x:row r="131" ht="12.649999618530273" hidden="0">
      <x:c r="M131" t="e">
        <x:f aca="0">IF(LEFT(分期持仓明细!$A$50,LEN(G$81)+2)=G$81&amp;" ·",ROW(分期持仓明细!$A$50),0)</x:f>
        <x:v>#NAME?</x:v>
      </x:c>
      <x:c r="N131" t="e">
        <x:f aca="0">IF(LEFT(分期持仓明细!$A$50,LEN(H$81)+2)=H$81&amp;" ·",ROW(分期持仓明细!$A$50),0)</x:f>
        <x:v>#NAME?</x:v>
      </x:c>
      <x:c r="O131" t="e">
        <x:f aca="0">IF(LEFT(分期持仓明细!$A$50,LEN(I$81)+2)=I$81&amp;" ·",ROW(分期持仓明细!$A$50),0)</x:f>
        <x:v>#NAME?</x:v>
      </x:c>
      <x:c r="P131" t="e">
        <x:f aca="0">IF(LEFT(分期持仓明细!$A$50,LEN(J$81)+2)=J$81&amp;" ·",ROW(分期持仓明细!$A$50),0)</x:f>
        <x:v>#NAME?</x:v>
      </x:c>
      <x:c r="Q131" t="e">
        <x:f aca="0">IF(LEFT(分期持仓明细!$A$50,LEN(K$81)+2)=K$81&amp;" ·",ROW(分期持仓明细!$A$50),0)</x:f>
        <x:v>#NAME?</x:v>
      </x:c>
      <x:c r="R131" t="e">
        <x:f aca="0">IF(LEFT(分期持仓明细!$A$50,LEN(L$81)+2)=L$81&amp;" ·",ROW(分期持仓明细!$A$50),0)</x:f>
        <x:v>#NAME?</x:v>
      </x:c>
    </x:row>
    <x:row r="132" ht="12.649999618530273" hidden="0">
      <x:c r="M132" t="e">
        <x:f aca="0">IF(LEFT(分期持仓明细!$A$51,LEN(G$81)+2)=G$81&amp;" ·",ROW(分期持仓明细!$A$51),0)</x:f>
        <x:v>#NAME?</x:v>
      </x:c>
      <x:c r="N132" t="e">
        <x:f aca="0">IF(LEFT(分期持仓明细!$A$51,LEN(H$81)+2)=H$81&amp;" ·",ROW(分期持仓明细!$A$51),0)</x:f>
        <x:v>#NAME?</x:v>
      </x:c>
      <x:c r="O132" t="e">
        <x:f aca="0">IF(LEFT(分期持仓明细!$A$51,LEN(I$81)+2)=I$81&amp;" ·",ROW(分期持仓明细!$A$51),0)</x:f>
        <x:v>#NAME?</x:v>
      </x:c>
      <x:c r="P132" t="e">
        <x:f aca="0">IF(LEFT(分期持仓明细!$A$51,LEN(J$81)+2)=J$81&amp;" ·",ROW(分期持仓明细!$A$51),0)</x:f>
        <x:v>#NAME?</x:v>
      </x:c>
      <x:c r="Q132" t="e">
        <x:f aca="0">IF(LEFT(分期持仓明细!$A$51,LEN(K$81)+2)=K$81&amp;" ·",ROW(分期持仓明细!$A$51),0)</x:f>
        <x:v>#NAME?</x:v>
      </x:c>
      <x:c r="R132" t="e">
        <x:f aca="0">IF(LEFT(分期持仓明细!$A$51,LEN(L$81)+2)=L$81&amp;" ·",ROW(分期持仓明细!$A$51),0)</x:f>
        <x:v>#NAME?</x:v>
      </x:c>
    </x:row>
    <x:row r="133" ht="12.649999618530273" hidden="0">
      <x:c r="M133" t="e">
        <x:f aca="0">IF(LEFT(分期持仓明细!$A$52,LEN(G$81)+2)=G$81&amp;" ·",ROW(分期持仓明细!$A$52),0)</x:f>
        <x:v>#NAME?</x:v>
      </x:c>
      <x:c r="N133" t="e">
        <x:f aca="0">IF(LEFT(分期持仓明细!$A$52,LEN(H$81)+2)=H$81&amp;" ·",ROW(分期持仓明细!$A$52),0)</x:f>
        <x:v>#NAME?</x:v>
      </x:c>
      <x:c r="O133" t="e">
        <x:f aca="0">IF(LEFT(分期持仓明细!$A$52,LEN(I$81)+2)=I$81&amp;" ·",ROW(分期持仓明细!$A$52),0)</x:f>
        <x:v>#NAME?</x:v>
      </x:c>
      <x:c r="P133" t="e">
        <x:f aca="0">IF(LEFT(分期持仓明细!$A$52,LEN(J$81)+2)=J$81&amp;" ·",ROW(分期持仓明细!$A$52),0)</x:f>
        <x:v>#NAME?</x:v>
      </x:c>
      <x:c r="Q133" t="e">
        <x:f aca="0">IF(LEFT(分期持仓明细!$A$52,LEN(K$81)+2)=K$81&amp;" ·",ROW(分期持仓明细!$A$52),0)</x:f>
        <x:v>#NAME?</x:v>
      </x:c>
      <x:c r="R133" t="e">
        <x:f aca="0">IF(LEFT(分期持仓明细!$A$52,LEN(L$81)+2)=L$81&amp;" ·",ROW(分期持仓明细!$A$52),0)</x:f>
        <x:v>#NAME?</x:v>
      </x:c>
    </x:row>
    <x:row r="134" ht="12.649999618530273" hidden="0">
      <x:c r="M134" t="e">
        <x:f aca="0">IF(LEFT(分期持仓明细!$A$53,LEN(G$81)+2)=G$81&amp;" ·",ROW(分期持仓明细!$A$53),0)</x:f>
        <x:v>#NAME?</x:v>
      </x:c>
      <x:c r="N134" t="e">
        <x:f aca="0">IF(LEFT(分期持仓明细!$A$53,LEN(H$81)+2)=H$81&amp;" ·",ROW(分期持仓明细!$A$53),0)</x:f>
        <x:v>#NAME?</x:v>
      </x:c>
      <x:c r="O134" t="e">
        <x:f aca="0">IF(LEFT(分期持仓明细!$A$53,LEN(I$81)+2)=I$81&amp;" ·",ROW(分期持仓明细!$A$53),0)</x:f>
        <x:v>#NAME?</x:v>
      </x:c>
      <x:c r="P134" t="e">
        <x:f aca="0">IF(LEFT(分期持仓明细!$A$53,LEN(J$81)+2)=J$81&amp;" ·",ROW(分期持仓明细!$A$53),0)</x:f>
        <x:v>#NAME?</x:v>
      </x:c>
      <x:c r="Q134" t="e">
        <x:f aca="0">IF(LEFT(分期持仓明细!$A$53,LEN(K$81)+2)=K$81&amp;" ·",ROW(分期持仓明细!$A$53),0)</x:f>
        <x:v>#NAME?</x:v>
      </x:c>
      <x:c r="R134" t="e">
        <x:f aca="0">IF(LEFT(分期持仓明细!$A$53,LEN(L$81)+2)=L$81&amp;" ·",ROW(分期持仓明细!$A$53),0)</x:f>
        <x:v>#NAME?</x:v>
      </x:c>
    </x:row>
    <x:row r="135" ht="12.649999618530273" hidden="0">
      <x:c r="M135" t="e">
        <x:f aca="0">IF(LEFT(分期持仓明细!$A$54,LEN(G$81)+2)=G$81&amp;" ·",ROW(分期持仓明细!$A$54),0)</x:f>
        <x:v>#NAME?</x:v>
      </x:c>
      <x:c r="N135" t="e">
        <x:f aca="0">IF(LEFT(分期持仓明细!$A$54,LEN(H$81)+2)=H$81&amp;" ·",ROW(分期持仓明细!$A$54),0)</x:f>
        <x:v>#NAME?</x:v>
      </x:c>
      <x:c r="O135" t="e">
        <x:f aca="0">IF(LEFT(分期持仓明细!$A$54,LEN(I$81)+2)=I$81&amp;" ·",ROW(分期持仓明细!$A$54),0)</x:f>
        <x:v>#NAME?</x:v>
      </x:c>
      <x:c r="P135" t="e">
        <x:f aca="0">IF(LEFT(分期持仓明细!$A$54,LEN(J$81)+2)=J$81&amp;" ·",ROW(分期持仓明细!$A$54),0)</x:f>
        <x:v>#NAME?</x:v>
      </x:c>
      <x:c r="Q135" t="e">
        <x:f aca="0">IF(LEFT(分期持仓明细!$A$54,LEN(K$81)+2)=K$81&amp;" ·",ROW(分期持仓明细!$A$54),0)</x:f>
        <x:v>#NAME?</x:v>
      </x:c>
      <x:c r="R135" t="e">
        <x:f aca="0">IF(LEFT(分期持仓明细!$A$54,LEN(L$81)+2)=L$81&amp;" ·",ROW(分期持仓明细!$A$54),0)</x:f>
        <x:v>#NAME?</x:v>
      </x:c>
    </x:row>
    <x:row r="136" ht="12.649999618530273" hidden="0">
      <x:c r="M136" t="e">
        <x:f aca="0">IF(LEFT(分期持仓明细!$A$55,LEN(G$81)+2)=G$81&amp;" ·",ROW(分期持仓明细!$A$55),0)</x:f>
        <x:v>#NAME?</x:v>
      </x:c>
      <x:c r="N136" t="e">
        <x:f aca="0">IF(LEFT(分期持仓明细!$A$55,LEN(H$81)+2)=H$81&amp;" ·",ROW(分期持仓明细!$A$55),0)</x:f>
        <x:v>#NAME?</x:v>
      </x:c>
      <x:c r="O136" t="e">
        <x:f aca="0">IF(LEFT(分期持仓明细!$A$55,LEN(I$81)+2)=I$81&amp;" ·",ROW(分期持仓明细!$A$55),0)</x:f>
        <x:v>#NAME?</x:v>
      </x:c>
      <x:c r="P136" t="e">
        <x:f aca="0">IF(LEFT(分期持仓明细!$A$55,LEN(J$81)+2)=J$81&amp;" ·",ROW(分期持仓明细!$A$55),0)</x:f>
        <x:v>#NAME?</x:v>
      </x:c>
      <x:c r="Q136" t="e">
        <x:f aca="0">IF(LEFT(分期持仓明细!$A$55,LEN(K$81)+2)=K$81&amp;" ·",ROW(分期持仓明细!$A$55),0)</x:f>
        <x:v>#NAME?</x:v>
      </x:c>
      <x:c r="R136" t="e">
        <x:f aca="0">IF(LEFT(分期持仓明细!$A$55,LEN(L$81)+2)=L$81&amp;" ·",ROW(分期持仓明细!$A$55),0)</x:f>
        <x:v>#NAME?</x:v>
      </x:c>
    </x:row>
    <x:row r="137" ht="12.649999618530273" hidden="0">
      <x:c r="M137" t="e">
        <x:f aca="0">IF(LEFT(分期持仓明细!$A$56,LEN(G$81)+2)=G$81&amp;" ·",ROW(分期持仓明细!$A$56),0)</x:f>
        <x:v>#NAME?</x:v>
      </x:c>
      <x:c r="N137" t="e">
        <x:f aca="0">IF(LEFT(分期持仓明细!$A$56,LEN(H$81)+2)=H$81&amp;" ·",ROW(分期持仓明细!$A$56),0)</x:f>
        <x:v>#NAME?</x:v>
      </x:c>
      <x:c r="O137" t="e">
        <x:f aca="0">IF(LEFT(分期持仓明细!$A$56,LEN(I$81)+2)=I$81&amp;" ·",ROW(分期持仓明细!$A$56),0)</x:f>
        <x:v>#NAME?</x:v>
      </x:c>
      <x:c r="P137" t="e">
        <x:f aca="0">IF(LEFT(分期持仓明细!$A$56,LEN(J$81)+2)=J$81&amp;" ·",ROW(分期持仓明细!$A$56),0)</x:f>
        <x:v>#NAME?</x:v>
      </x:c>
      <x:c r="Q137" t="e">
        <x:f aca="0">IF(LEFT(分期持仓明细!$A$56,LEN(K$81)+2)=K$81&amp;" ·",ROW(分期持仓明细!$A$56),0)</x:f>
        <x:v>#NAME?</x:v>
      </x:c>
      <x:c r="R137" t="e">
        <x:f aca="0">IF(LEFT(分期持仓明细!$A$56,LEN(L$81)+2)=L$81&amp;" ·",ROW(分期持仓明细!$A$56),0)</x:f>
        <x:v>#NAME?</x:v>
      </x:c>
    </x:row>
    <x:row r="138" ht="12.649999618530273" hidden="0">
      <x:c r="M138" t="e">
        <x:f aca="0">IF(LEFT(分期持仓明细!$A$57,LEN(G$81)+2)=G$81&amp;" ·",ROW(分期持仓明细!$A$57),0)</x:f>
        <x:v>#NAME?</x:v>
      </x:c>
      <x:c r="N138" t="e">
        <x:f aca="0">IF(LEFT(分期持仓明细!$A$57,LEN(H$81)+2)=H$81&amp;" ·",ROW(分期持仓明细!$A$57),0)</x:f>
        <x:v>#NAME?</x:v>
      </x:c>
      <x:c r="O138" t="e">
        <x:f aca="0">IF(LEFT(分期持仓明细!$A$57,LEN(I$81)+2)=I$81&amp;" ·",ROW(分期持仓明细!$A$57),0)</x:f>
        <x:v>#NAME?</x:v>
      </x:c>
      <x:c r="P138" t="e">
        <x:f aca="0">IF(LEFT(分期持仓明细!$A$57,LEN(J$81)+2)=J$81&amp;" ·",ROW(分期持仓明细!$A$57),0)</x:f>
        <x:v>#NAME?</x:v>
      </x:c>
      <x:c r="Q138" t="e">
        <x:f aca="0">IF(LEFT(分期持仓明细!$A$57,LEN(K$81)+2)=K$81&amp;" ·",ROW(分期持仓明细!$A$57),0)</x:f>
        <x:v>#NAME?</x:v>
      </x:c>
      <x:c r="R138" t="e">
        <x:f aca="0">IF(LEFT(分期持仓明细!$A$57,LEN(L$81)+2)=L$81&amp;" ·",ROW(分期持仓明细!$A$57),0)</x:f>
        <x:v>#NAME?</x:v>
      </x:c>
    </x:row>
    <x:row r="139" ht="12.649999618530273" hidden="0">
      <x:c r="M139" t="e">
        <x:f aca="0">IF(LEFT(分期持仓明细!$A$58,LEN(G$81)+2)=G$81&amp;" ·",ROW(分期持仓明细!$A$58),0)</x:f>
        <x:v>#NAME?</x:v>
      </x:c>
      <x:c r="N139" t="e">
        <x:f aca="0">IF(LEFT(分期持仓明细!$A$58,LEN(H$81)+2)=H$81&amp;" ·",ROW(分期持仓明细!$A$58),0)</x:f>
        <x:v>#NAME?</x:v>
      </x:c>
      <x:c r="O139" t="e">
        <x:f aca="0">IF(LEFT(分期持仓明细!$A$58,LEN(I$81)+2)=I$81&amp;" ·",ROW(分期持仓明细!$A$58),0)</x:f>
        <x:v>#NAME?</x:v>
      </x:c>
      <x:c r="P139" t="e">
        <x:f aca="0">IF(LEFT(分期持仓明细!$A$58,LEN(J$81)+2)=J$81&amp;" ·",ROW(分期持仓明细!$A$58),0)</x:f>
        <x:v>#NAME?</x:v>
      </x:c>
      <x:c r="Q139" t="e">
        <x:f aca="0">IF(LEFT(分期持仓明细!$A$58,LEN(K$81)+2)=K$81&amp;" ·",ROW(分期持仓明细!$A$58),0)</x:f>
        <x:v>#NAME?</x:v>
      </x:c>
      <x:c r="R139" t="e">
        <x:f aca="0">IF(LEFT(分期持仓明细!$A$58,LEN(L$81)+2)=L$81&amp;" ·",ROW(分期持仓明细!$A$58),0)</x:f>
        <x:v>#NAME?</x:v>
      </x:c>
    </x:row>
    <x:row r="140" ht="12.649999618530273" hidden="0">
      <x:c r="M140" t="e">
        <x:f aca="0">IF(LEFT(分期持仓明细!$A$59,LEN(G$81)+2)=G$81&amp;" ·",ROW(分期持仓明细!$A$59),0)</x:f>
        <x:v>#NAME?</x:v>
      </x:c>
      <x:c r="N140" t="e">
        <x:f aca="0">IF(LEFT(分期持仓明细!$A$59,LEN(H$81)+2)=H$81&amp;" ·",ROW(分期持仓明细!$A$59),0)</x:f>
        <x:v>#NAME?</x:v>
      </x:c>
      <x:c r="O140" t="e">
        <x:f aca="0">IF(LEFT(分期持仓明细!$A$59,LEN(I$81)+2)=I$81&amp;" ·",ROW(分期持仓明细!$A$59),0)</x:f>
        <x:v>#NAME?</x:v>
      </x:c>
      <x:c r="P140" t="e">
        <x:f aca="0">IF(LEFT(分期持仓明细!$A$59,LEN(J$81)+2)=J$81&amp;" ·",ROW(分期持仓明细!$A$59),0)</x:f>
        <x:v>#NAME?</x:v>
      </x:c>
      <x:c r="Q140" t="e">
        <x:f aca="0">IF(LEFT(分期持仓明细!$A$59,LEN(K$81)+2)=K$81&amp;" ·",ROW(分期持仓明细!$A$59),0)</x:f>
        <x:v>#NAME?</x:v>
      </x:c>
      <x:c r="R140" t="e">
        <x:f aca="0">IF(LEFT(分期持仓明细!$A$59,LEN(L$81)+2)=L$81&amp;" ·",ROW(分期持仓明细!$A$59),0)</x:f>
        <x:v>#NAME?</x:v>
      </x:c>
    </x:row>
    <x:row r="141" ht="12.649999618530273" hidden="0">
      <x:c r="M141" t="e">
        <x:f aca="0">IF(LEFT(分期持仓明细!$A$60,LEN(G$81)+2)=G$81&amp;" ·",ROW(分期持仓明细!$A$60),0)</x:f>
        <x:v>#NAME?</x:v>
      </x:c>
      <x:c r="N141" t="e">
        <x:f aca="0">IF(LEFT(分期持仓明细!$A$60,LEN(H$81)+2)=H$81&amp;" ·",ROW(分期持仓明细!$A$60),0)</x:f>
        <x:v>#NAME?</x:v>
      </x:c>
      <x:c r="O141" t="e">
        <x:f aca="0">IF(LEFT(分期持仓明细!$A$60,LEN(I$81)+2)=I$81&amp;" ·",ROW(分期持仓明细!$A$60),0)</x:f>
        <x:v>#NAME?</x:v>
      </x:c>
      <x:c r="P141" t="e">
        <x:f aca="0">IF(LEFT(分期持仓明细!$A$60,LEN(J$81)+2)=J$81&amp;" ·",ROW(分期持仓明细!$A$60),0)</x:f>
        <x:v>#NAME?</x:v>
      </x:c>
      <x:c r="Q141" t="e">
        <x:f aca="0">IF(LEFT(分期持仓明细!$A$60,LEN(K$81)+2)=K$81&amp;" ·",ROW(分期持仓明细!$A$60),0)</x:f>
        <x:v>#NAME?</x:v>
      </x:c>
      <x:c r="R141" t="e">
        <x:f aca="0">IF(LEFT(分期持仓明细!$A$60,LEN(L$81)+2)=L$81&amp;" ·",ROW(分期持仓明细!$A$60),0)</x:f>
        <x:v>#NAME?</x:v>
      </x:c>
    </x:row>
    <x:row r="142" ht="12.649999618530273" hidden="0">
      <x:c r="M142" t="e">
        <x:f aca="0">IF(LEFT(分期持仓明细!$A$61,LEN(G$81)+2)=G$81&amp;" ·",ROW(分期持仓明细!$A$61),0)</x:f>
        <x:v>#NAME?</x:v>
      </x:c>
      <x:c r="N142" t="e">
        <x:f aca="0">IF(LEFT(分期持仓明细!$A$61,LEN(H$81)+2)=H$81&amp;" ·",ROW(分期持仓明细!$A$61),0)</x:f>
        <x:v>#NAME?</x:v>
      </x:c>
      <x:c r="O142" t="e">
        <x:f aca="0">IF(LEFT(分期持仓明细!$A$61,LEN(I$81)+2)=I$81&amp;" ·",ROW(分期持仓明细!$A$61),0)</x:f>
        <x:v>#NAME?</x:v>
      </x:c>
      <x:c r="P142" t="e">
        <x:f aca="0">IF(LEFT(分期持仓明细!$A$61,LEN(J$81)+2)=J$81&amp;" ·",ROW(分期持仓明细!$A$61),0)</x:f>
        <x:v>#NAME?</x:v>
      </x:c>
      <x:c r="Q142" t="e">
        <x:f aca="0">IF(LEFT(分期持仓明细!$A$61,LEN(K$81)+2)=K$81&amp;" ·",ROW(分期持仓明细!$A$61),0)</x:f>
        <x:v>#NAME?</x:v>
      </x:c>
      <x:c r="R142" t="e">
        <x:f aca="0">IF(LEFT(分期持仓明细!$A$61,LEN(L$81)+2)=L$81&amp;" ·",ROW(分期持仓明细!$A$61),0)</x:f>
        <x:v>#NAME?</x:v>
      </x:c>
    </x:row>
    <x:row r="143" ht="12.649999618530273" hidden="0">
      <x:c r="M143" t="e">
        <x:f aca="0">IF(LEFT(分期持仓明细!$A$62,LEN(G$81)+2)=G$81&amp;" ·",ROW(分期持仓明细!$A$62),0)</x:f>
        <x:v>#NAME?</x:v>
      </x:c>
      <x:c r="N143" t="e">
        <x:f aca="0">IF(LEFT(分期持仓明细!$A$62,LEN(H$81)+2)=H$81&amp;" ·",ROW(分期持仓明细!$A$62),0)</x:f>
        <x:v>#NAME?</x:v>
      </x:c>
      <x:c r="O143" t="e">
        <x:f aca="0">IF(LEFT(分期持仓明细!$A$62,LEN(I$81)+2)=I$81&amp;" ·",ROW(分期持仓明细!$A$62),0)</x:f>
        <x:v>#NAME?</x:v>
      </x:c>
      <x:c r="P143" t="e">
        <x:f aca="0">IF(LEFT(分期持仓明细!$A$62,LEN(J$81)+2)=J$81&amp;" ·",ROW(分期持仓明细!$A$62),0)</x:f>
        <x:v>#NAME?</x:v>
      </x:c>
      <x:c r="Q143" t="e">
        <x:f aca="0">IF(LEFT(分期持仓明细!$A$62,LEN(K$81)+2)=K$81&amp;" ·",ROW(分期持仓明细!$A$62),0)</x:f>
        <x:v>#NAME?</x:v>
      </x:c>
      <x:c r="R143" t="e">
        <x:f aca="0">IF(LEFT(分期持仓明细!$A$62,LEN(L$81)+2)=L$81&amp;" ·",ROW(分期持仓明细!$A$62),0)</x:f>
        <x:v>#NAME?</x:v>
      </x:c>
    </x:row>
    <x:row r="144" ht="12.649999618530273" hidden="0">
      <x:c r="M144" t="e">
        <x:f aca="0">IF(LEFT(分期持仓明细!$A$63,LEN(G$81)+2)=G$81&amp;" ·",ROW(分期持仓明细!$A$63),0)</x:f>
        <x:v>#NAME?</x:v>
      </x:c>
      <x:c r="N144" t="e">
        <x:f aca="0">IF(LEFT(分期持仓明细!$A$63,LEN(H$81)+2)=H$81&amp;" ·",ROW(分期持仓明细!$A$63),0)</x:f>
        <x:v>#NAME?</x:v>
      </x:c>
      <x:c r="O144" t="e">
        <x:f aca="0">IF(LEFT(分期持仓明细!$A$63,LEN(I$81)+2)=I$81&amp;" ·",ROW(分期持仓明细!$A$63),0)</x:f>
        <x:v>#NAME?</x:v>
      </x:c>
      <x:c r="P144" t="e">
        <x:f aca="0">IF(LEFT(分期持仓明细!$A$63,LEN(J$81)+2)=J$81&amp;" ·",ROW(分期持仓明细!$A$63),0)</x:f>
        <x:v>#NAME?</x:v>
      </x:c>
      <x:c r="Q144" t="e">
        <x:f aca="0">IF(LEFT(分期持仓明细!$A$63,LEN(K$81)+2)=K$81&amp;" ·",ROW(分期持仓明细!$A$63),0)</x:f>
        <x:v>#NAME?</x:v>
      </x:c>
      <x:c r="R144" t="e">
        <x:f aca="0">IF(LEFT(分期持仓明细!$A$63,LEN(L$81)+2)=L$81&amp;" ·",ROW(分期持仓明细!$A$63),0)</x:f>
        <x:v>#NAME?</x:v>
      </x:c>
    </x:row>
    <x:row r="145" ht="12.649999618530273" hidden="0">
      <x:c r="M145" t="e">
        <x:f aca="0">IF(LEFT(分期持仓明细!$A$64,LEN(G$81)+2)=G$81&amp;" ·",ROW(分期持仓明细!$A$64),0)</x:f>
        <x:v>#NAME?</x:v>
      </x:c>
      <x:c r="N145" t="e">
        <x:f aca="0">IF(LEFT(分期持仓明细!$A$64,LEN(H$81)+2)=H$81&amp;" ·",ROW(分期持仓明细!$A$64),0)</x:f>
        <x:v>#NAME?</x:v>
      </x:c>
      <x:c r="O145" t="e">
        <x:f aca="0">IF(LEFT(分期持仓明细!$A$64,LEN(I$81)+2)=I$81&amp;" ·",ROW(分期持仓明细!$A$64),0)</x:f>
        <x:v>#NAME?</x:v>
      </x:c>
      <x:c r="P145" t="e">
        <x:f aca="0">IF(LEFT(分期持仓明细!$A$64,LEN(J$81)+2)=J$81&amp;" ·",ROW(分期持仓明细!$A$64),0)</x:f>
        <x:v>#NAME?</x:v>
      </x:c>
      <x:c r="Q145" t="e">
        <x:f aca="0">IF(LEFT(分期持仓明细!$A$64,LEN(K$81)+2)=K$81&amp;" ·",ROW(分期持仓明细!$A$64),0)</x:f>
        <x:v>#NAME?</x:v>
      </x:c>
      <x:c r="R145" t="e">
        <x:f aca="0">IF(LEFT(分期持仓明细!$A$64,LEN(L$81)+2)=L$81&amp;" ·",ROW(分期持仓明细!$A$64),0)</x:f>
        <x:v>#NAME?</x:v>
      </x:c>
    </x:row>
    <x:row r="146" ht="12.649999618530273" hidden="0">
      <x:c r="M146" t="e">
        <x:f aca="0">IF(LEFT(分期持仓明细!$A$65,LEN(G$81)+2)=G$81&amp;" ·",ROW(分期持仓明细!$A$65),0)</x:f>
        <x:v>#NAME?</x:v>
      </x:c>
      <x:c r="N146" t="e">
        <x:f aca="0">IF(LEFT(分期持仓明细!$A$65,LEN(H$81)+2)=H$81&amp;" ·",ROW(分期持仓明细!$A$65),0)</x:f>
        <x:v>#NAME?</x:v>
      </x:c>
      <x:c r="O146" t="e">
        <x:f aca="0">IF(LEFT(分期持仓明细!$A$65,LEN(I$81)+2)=I$81&amp;" ·",ROW(分期持仓明细!$A$65),0)</x:f>
        <x:v>#NAME?</x:v>
      </x:c>
      <x:c r="P146" t="e">
        <x:f aca="0">IF(LEFT(分期持仓明细!$A$65,LEN(J$81)+2)=J$81&amp;" ·",ROW(分期持仓明细!$A$65),0)</x:f>
        <x:v>#NAME?</x:v>
      </x:c>
      <x:c r="Q146" t="e">
        <x:f aca="0">IF(LEFT(分期持仓明细!$A$65,LEN(K$81)+2)=K$81&amp;" ·",ROW(分期持仓明细!$A$65),0)</x:f>
        <x:v>#NAME?</x:v>
      </x:c>
      <x:c r="R146" t="e">
        <x:f aca="0">IF(LEFT(分期持仓明细!$A$65,LEN(L$81)+2)=L$81&amp;" ·",ROW(分期持仓明细!$A$65),0)</x:f>
        <x:v>#NAME?</x:v>
      </x:c>
    </x:row>
    <x:row r="147" ht="12.649999618530273" hidden="0">
      <x:c r="M147" t="e">
        <x:f aca="0">IF(LEFT(分期持仓明细!$A$66,LEN(G$81)+2)=G$81&amp;" ·",ROW(分期持仓明细!$A$66),0)</x:f>
        <x:v>#NAME?</x:v>
      </x:c>
      <x:c r="N147" t="e">
        <x:f aca="0">IF(LEFT(分期持仓明细!$A$66,LEN(H$81)+2)=H$81&amp;" ·",ROW(分期持仓明细!$A$66),0)</x:f>
        <x:v>#NAME?</x:v>
      </x:c>
      <x:c r="O147" t="e">
        <x:f aca="0">IF(LEFT(分期持仓明细!$A$66,LEN(I$81)+2)=I$81&amp;" ·",ROW(分期持仓明细!$A$66),0)</x:f>
        <x:v>#NAME?</x:v>
      </x:c>
      <x:c r="P147" t="e">
        <x:f aca="0">IF(LEFT(分期持仓明细!$A$66,LEN(J$81)+2)=J$81&amp;" ·",ROW(分期持仓明细!$A$66),0)</x:f>
        <x:v>#NAME?</x:v>
      </x:c>
      <x:c r="Q147" t="e">
        <x:f aca="0">IF(LEFT(分期持仓明细!$A$66,LEN(K$81)+2)=K$81&amp;" ·",ROW(分期持仓明细!$A$66),0)</x:f>
        <x:v>#NAME?</x:v>
      </x:c>
      <x:c r="R147" t="e">
        <x:f aca="0">IF(LEFT(分期持仓明细!$A$66,LEN(L$81)+2)=L$81&amp;" ·",ROW(分期持仓明细!$A$66),0)</x:f>
        <x:v>#NAME?</x:v>
      </x:c>
    </x:row>
    <x:row r="148" ht="12.649999618530273" hidden="0">
      <x:c r="M148" t="e">
        <x:f aca="0">IF(LEFT(分期持仓明细!$A$67,LEN(G$81)+2)=G$81&amp;" ·",ROW(分期持仓明细!$A$67),0)</x:f>
        <x:v>#NAME?</x:v>
      </x:c>
      <x:c r="N148" t="e">
        <x:f aca="0">IF(LEFT(分期持仓明细!$A$67,LEN(H$81)+2)=H$81&amp;" ·",ROW(分期持仓明细!$A$67),0)</x:f>
        <x:v>#NAME?</x:v>
      </x:c>
      <x:c r="O148" t="e">
        <x:f aca="0">IF(LEFT(分期持仓明细!$A$67,LEN(I$81)+2)=I$81&amp;" ·",ROW(分期持仓明细!$A$67),0)</x:f>
        <x:v>#NAME?</x:v>
      </x:c>
      <x:c r="P148" t="e">
        <x:f aca="0">IF(LEFT(分期持仓明细!$A$67,LEN(J$81)+2)=J$81&amp;" ·",ROW(分期持仓明细!$A$67),0)</x:f>
        <x:v>#NAME?</x:v>
      </x:c>
      <x:c r="Q148" t="e">
        <x:f aca="0">IF(LEFT(分期持仓明细!$A$67,LEN(K$81)+2)=K$81&amp;" ·",ROW(分期持仓明细!$A$67),0)</x:f>
        <x:v>#NAME?</x:v>
      </x:c>
      <x:c r="R148" t="e">
        <x:f aca="0">IF(LEFT(分期持仓明细!$A$67,LEN(L$81)+2)=L$81&amp;" ·",ROW(分期持仓明细!$A$67),0)</x:f>
        <x:v>#NAME?</x:v>
      </x:c>
    </x:row>
    <x:row r="149" ht="12.649999618530273" hidden="0">
      <x:c r="M149" t="e">
        <x:f aca="0">IF(LEFT(分期持仓明细!$A$68,LEN(G$81)+2)=G$81&amp;" ·",ROW(分期持仓明细!$A$68),0)</x:f>
        <x:v>#NAME?</x:v>
      </x:c>
      <x:c r="N149" t="e">
        <x:f aca="0">IF(LEFT(分期持仓明细!$A$68,LEN(H$81)+2)=H$81&amp;" ·",ROW(分期持仓明细!$A$68),0)</x:f>
        <x:v>#NAME?</x:v>
      </x:c>
      <x:c r="O149" t="e">
        <x:f aca="0">IF(LEFT(分期持仓明细!$A$68,LEN(I$81)+2)=I$81&amp;" ·",ROW(分期持仓明细!$A$68),0)</x:f>
        <x:v>#NAME?</x:v>
      </x:c>
      <x:c r="P149" t="e">
        <x:f aca="0">IF(LEFT(分期持仓明细!$A$68,LEN(J$81)+2)=J$81&amp;" ·",ROW(分期持仓明细!$A$68),0)</x:f>
        <x:v>#NAME?</x:v>
      </x:c>
      <x:c r="Q149" t="e">
        <x:f aca="0">IF(LEFT(分期持仓明细!$A$68,LEN(K$81)+2)=K$81&amp;" ·",ROW(分期持仓明细!$A$68),0)</x:f>
        <x:v>#NAME?</x:v>
      </x:c>
      <x:c r="R149" t="e">
        <x:f aca="0">IF(LEFT(分期持仓明细!$A$68,LEN(L$81)+2)=L$81&amp;" ·",ROW(分期持仓明细!$A$68),0)</x:f>
        <x:v>#NAME?</x:v>
      </x:c>
    </x:row>
    <x:row r="150" ht="12.649999618530273" hidden="0">
      <x:c r="M150" t="e">
        <x:f aca="0">IF(LEFT(分期持仓明细!$A$69,LEN(G$81)+2)=G$81&amp;" ·",ROW(分期持仓明细!$A$69),0)</x:f>
        <x:v>#NAME?</x:v>
      </x:c>
      <x:c r="N150" t="e">
        <x:f aca="0">IF(LEFT(分期持仓明细!$A$69,LEN(H$81)+2)=H$81&amp;" ·",ROW(分期持仓明细!$A$69),0)</x:f>
        <x:v>#NAME?</x:v>
      </x:c>
      <x:c r="O150" t="e">
        <x:f aca="0">IF(LEFT(分期持仓明细!$A$69,LEN(I$81)+2)=I$81&amp;" ·",ROW(分期持仓明细!$A$69),0)</x:f>
        <x:v>#NAME?</x:v>
      </x:c>
      <x:c r="P150" t="e">
        <x:f aca="0">IF(LEFT(分期持仓明细!$A$69,LEN(J$81)+2)=J$81&amp;" ·",ROW(分期持仓明细!$A$69),0)</x:f>
        <x:v>#NAME?</x:v>
      </x:c>
      <x:c r="Q150" t="e">
        <x:f aca="0">IF(LEFT(分期持仓明细!$A$69,LEN(K$81)+2)=K$81&amp;" ·",ROW(分期持仓明细!$A$69),0)</x:f>
        <x:v>#NAME?</x:v>
      </x:c>
      <x:c r="R150" t="e">
        <x:f aca="0">IF(LEFT(分期持仓明细!$A$69,LEN(L$81)+2)=L$81&amp;" ·",ROW(分期持仓明细!$A$69),0)</x:f>
        <x:v>#NAME?</x:v>
      </x:c>
    </x:row>
    <x:row r="151" ht="12.649999618530273" hidden="0">
      <x:c r="M151" t="e">
        <x:f aca="0">IF(LEFT(分期持仓明细!$A$70,LEN(G$81)+2)=G$81&amp;" ·",ROW(分期持仓明细!$A$70),0)</x:f>
        <x:v>#NAME?</x:v>
      </x:c>
      <x:c r="N151" t="e">
        <x:f aca="0">IF(LEFT(分期持仓明细!$A$70,LEN(H$81)+2)=H$81&amp;" ·",ROW(分期持仓明细!$A$70),0)</x:f>
        <x:v>#NAME?</x:v>
      </x:c>
      <x:c r="O151" t="e">
        <x:f aca="0">IF(LEFT(分期持仓明细!$A$70,LEN(I$81)+2)=I$81&amp;" ·",ROW(分期持仓明细!$A$70),0)</x:f>
        <x:v>#NAME?</x:v>
      </x:c>
      <x:c r="P151" t="e">
        <x:f aca="0">IF(LEFT(分期持仓明细!$A$70,LEN(J$81)+2)=J$81&amp;" ·",ROW(分期持仓明细!$A$70),0)</x:f>
        <x:v>#NAME?</x:v>
      </x:c>
      <x:c r="Q151" t="e">
        <x:f aca="0">IF(LEFT(分期持仓明细!$A$70,LEN(K$81)+2)=K$81&amp;" ·",ROW(分期持仓明细!$A$70),0)</x:f>
        <x:v>#NAME?</x:v>
      </x:c>
      <x:c r="R151" t="e">
        <x:f aca="0">IF(LEFT(分期持仓明细!$A$70,LEN(L$81)+2)=L$81&amp;" ·",ROW(分期持仓明细!$A$70),0)</x:f>
        <x:v>#NAME?</x:v>
      </x:c>
    </x:row>
    <x:row r="152" ht="12.649999618530273" hidden="0">
      <x:c r="M152" t="e">
        <x:f aca="0">IF(LEFT(分期持仓明细!$A$71,LEN(G$81)+2)=G$81&amp;" ·",ROW(分期持仓明细!$A$71),0)</x:f>
        <x:v>#NAME?</x:v>
      </x:c>
      <x:c r="N152" t="e">
        <x:f aca="0">IF(LEFT(分期持仓明细!$A$71,LEN(H$81)+2)=H$81&amp;" ·",ROW(分期持仓明细!$A$71),0)</x:f>
        <x:v>#NAME?</x:v>
      </x:c>
      <x:c r="O152" t="e">
        <x:f aca="0">IF(LEFT(分期持仓明细!$A$71,LEN(I$81)+2)=I$81&amp;" ·",ROW(分期持仓明细!$A$71),0)</x:f>
        <x:v>#NAME?</x:v>
      </x:c>
      <x:c r="P152" t="e">
        <x:f aca="0">IF(LEFT(分期持仓明细!$A$71,LEN(J$81)+2)=J$81&amp;" ·",ROW(分期持仓明细!$A$71),0)</x:f>
        <x:v>#NAME?</x:v>
      </x:c>
      <x:c r="Q152" t="e">
        <x:f aca="0">IF(LEFT(分期持仓明细!$A$71,LEN(K$81)+2)=K$81&amp;" ·",ROW(分期持仓明细!$A$71),0)</x:f>
        <x:v>#NAME?</x:v>
      </x:c>
      <x:c r="R152" t="e">
        <x:f aca="0">IF(LEFT(分期持仓明细!$A$71,LEN(L$81)+2)=L$81&amp;" ·",ROW(分期持仓明细!$A$71),0)</x:f>
        <x:v>#NAME?</x:v>
      </x:c>
    </x:row>
    <x:row r="153" ht="12.649999618530273" hidden="0">
      <x:c r="M153" t="e">
        <x:f aca="0">IF(LEFT(分期持仓明细!$A$72,LEN(G$81)+2)=G$81&amp;" ·",ROW(分期持仓明细!$A$72),0)</x:f>
        <x:v>#NAME?</x:v>
      </x:c>
      <x:c r="N153" t="e">
        <x:f aca="0">IF(LEFT(分期持仓明细!$A$72,LEN(H$81)+2)=H$81&amp;" ·",ROW(分期持仓明细!$A$72),0)</x:f>
        <x:v>#NAME?</x:v>
      </x:c>
      <x:c r="O153" t="e">
        <x:f aca="0">IF(LEFT(分期持仓明细!$A$72,LEN(I$81)+2)=I$81&amp;" ·",ROW(分期持仓明细!$A$72),0)</x:f>
        <x:v>#NAME?</x:v>
      </x:c>
      <x:c r="P153" t="e">
        <x:f aca="0">IF(LEFT(分期持仓明细!$A$72,LEN(J$81)+2)=J$81&amp;" ·",ROW(分期持仓明细!$A$72),0)</x:f>
        <x:v>#NAME?</x:v>
      </x:c>
      <x:c r="Q153" t="e">
        <x:f aca="0">IF(LEFT(分期持仓明细!$A$72,LEN(K$81)+2)=K$81&amp;" ·",ROW(分期持仓明细!$A$72),0)</x:f>
        <x:v>#NAME?</x:v>
      </x:c>
      <x:c r="R153" t="e">
        <x:f aca="0">IF(LEFT(分期持仓明细!$A$72,LEN(L$81)+2)=L$81&amp;" ·",ROW(分期持仓明细!$A$72),0)</x:f>
        <x:v>#NAME?</x:v>
      </x:c>
    </x:row>
    <x:row r="154" ht="12.649999618530273" hidden="0">
      <x:c r="M154" t="e">
        <x:f aca="0">IF(LEFT(分期持仓明细!$A$73,LEN(G$81)+2)=G$81&amp;" ·",ROW(分期持仓明细!$A$73),0)</x:f>
        <x:v>#NAME?</x:v>
      </x:c>
      <x:c r="N154" t="e">
        <x:f aca="0">IF(LEFT(分期持仓明细!$A$73,LEN(H$81)+2)=H$81&amp;" ·",ROW(分期持仓明细!$A$73),0)</x:f>
        <x:v>#NAME?</x:v>
      </x:c>
      <x:c r="O154" t="e">
        <x:f aca="0">IF(LEFT(分期持仓明细!$A$73,LEN(I$81)+2)=I$81&amp;" ·",ROW(分期持仓明细!$A$73),0)</x:f>
        <x:v>#NAME?</x:v>
      </x:c>
      <x:c r="P154" t="e">
        <x:f aca="0">IF(LEFT(分期持仓明细!$A$73,LEN(J$81)+2)=J$81&amp;" ·",ROW(分期持仓明细!$A$73),0)</x:f>
        <x:v>#NAME?</x:v>
      </x:c>
      <x:c r="Q154" t="e">
        <x:f aca="0">IF(LEFT(分期持仓明细!$A$73,LEN(K$81)+2)=K$81&amp;" ·",ROW(分期持仓明细!$A$73),0)</x:f>
        <x:v>#NAME?</x:v>
      </x:c>
      <x:c r="R154" t="e">
        <x:f aca="0">IF(LEFT(分期持仓明细!$A$73,LEN(L$81)+2)=L$81&amp;" ·",ROW(分期持仓明细!$A$73),0)</x:f>
        <x:v>#NAME?</x:v>
      </x:c>
    </x:row>
    <x:row r="155" ht="12.649999618530273" hidden="0">
      <x:c r="M155" t="e">
        <x:f aca="0">IF(LEFT(分期持仓明细!$A$74,LEN(G$81)+2)=G$81&amp;" ·",ROW(分期持仓明细!$A$74),0)</x:f>
        <x:v>#NAME?</x:v>
      </x:c>
      <x:c r="N155" t="e">
        <x:f aca="0">IF(LEFT(分期持仓明细!$A$74,LEN(H$81)+2)=H$81&amp;" ·",ROW(分期持仓明细!$A$74),0)</x:f>
        <x:v>#NAME?</x:v>
      </x:c>
      <x:c r="O155" t="e">
        <x:f aca="0">IF(LEFT(分期持仓明细!$A$74,LEN(I$81)+2)=I$81&amp;" ·",ROW(分期持仓明细!$A$74),0)</x:f>
        <x:v>#NAME?</x:v>
      </x:c>
      <x:c r="P155" t="e">
        <x:f aca="0">IF(LEFT(分期持仓明细!$A$74,LEN(J$81)+2)=J$81&amp;" ·",ROW(分期持仓明细!$A$74),0)</x:f>
        <x:v>#NAME?</x:v>
      </x:c>
      <x:c r="Q155" t="e">
        <x:f aca="0">IF(LEFT(分期持仓明细!$A$74,LEN(K$81)+2)=K$81&amp;" ·",ROW(分期持仓明细!$A$74),0)</x:f>
        <x:v>#NAME?</x:v>
      </x:c>
      <x:c r="R155" t="e">
        <x:f aca="0">IF(LEFT(分期持仓明细!$A$74,LEN(L$81)+2)=L$81&amp;" ·",ROW(分期持仓明细!$A$74),0)</x:f>
        <x:v>#NAME?</x:v>
      </x:c>
    </x:row>
    <x:row r="156" ht="12.649999618530273" hidden="0">
      <x:c r="M156" t="e">
        <x:f aca="0">IF(LEFT(分期持仓明细!$A$75,LEN(G$81)+2)=G$81&amp;" ·",ROW(分期持仓明细!$A$75),0)</x:f>
        <x:v>#NAME?</x:v>
      </x:c>
      <x:c r="N156" t="e">
        <x:f aca="0">IF(LEFT(分期持仓明细!$A$75,LEN(H$81)+2)=H$81&amp;" ·",ROW(分期持仓明细!$A$75),0)</x:f>
        <x:v>#NAME?</x:v>
      </x:c>
      <x:c r="O156" t="e">
        <x:f aca="0">IF(LEFT(分期持仓明细!$A$75,LEN(I$81)+2)=I$81&amp;" ·",ROW(分期持仓明细!$A$75),0)</x:f>
        <x:v>#NAME?</x:v>
      </x:c>
      <x:c r="P156" t="e">
        <x:f aca="0">IF(LEFT(分期持仓明细!$A$75,LEN(J$81)+2)=J$81&amp;" ·",ROW(分期持仓明细!$A$75),0)</x:f>
        <x:v>#NAME?</x:v>
      </x:c>
      <x:c r="Q156" t="e">
        <x:f aca="0">IF(LEFT(分期持仓明细!$A$75,LEN(K$81)+2)=K$81&amp;" ·",ROW(分期持仓明细!$A$75),0)</x:f>
        <x:v>#NAME?</x:v>
      </x:c>
      <x:c r="R156" t="e">
        <x:f aca="0">IF(LEFT(分期持仓明细!$A$75,LEN(L$81)+2)=L$81&amp;" ·",ROW(分期持仓明细!$A$75),0)</x:f>
        <x:v>#NAME?</x:v>
      </x:c>
    </x:row>
    <x:row r="157" ht="12.649999618530273" hidden="0">
      <x:c r="M157" t="e">
        <x:f aca="0">IF(LEFT(分期持仓明细!$A$78,LEN(G$81)+2)=G$81&amp;" ·",ROW(分期持仓明细!$A$78),0)</x:f>
        <x:v>#NAME?</x:v>
      </x:c>
      <x:c r="N157" t="e">
        <x:f aca="0">IF(LEFT(分期持仓明细!$A$78,LEN(H$81)+2)=H$81&amp;" ·",ROW(分期持仓明细!$A$78),0)</x:f>
        <x:v>#NAME?</x:v>
      </x:c>
      <x:c r="O157" t="e">
        <x:f aca="0">IF(LEFT(分期持仓明细!$A$78,LEN(I$81)+2)=I$81&amp;" ·",ROW(分期持仓明细!$A$78),0)</x:f>
        <x:v>#NAME?</x:v>
      </x:c>
      <x:c r="P157" t="e">
        <x:f aca="0">IF(LEFT(分期持仓明细!$A$78,LEN(J$81)+2)=J$81&amp;" ·",ROW(分期持仓明细!$A$78),0)</x:f>
        <x:v>#NAME?</x:v>
      </x:c>
      <x:c r="Q157" t="e">
        <x:f aca="0">IF(LEFT(分期持仓明细!$A$78,LEN(K$81)+2)=K$81&amp;" ·",ROW(分期持仓明细!$A$78),0)</x:f>
        <x:v>#NAME?</x:v>
      </x:c>
      <x:c r="R157" t="e">
        <x:f aca="0">IF(LEFT(分期持仓明细!$A$78,LEN(L$81)+2)=L$81&amp;" ·",ROW(分期持仓明细!$A$78),0)</x:f>
        <x:v>#NAME?</x:v>
      </x:c>
    </x:row>
    <x:row r="158" ht="12.649999618530273" hidden="0">
      <x:c r="M158" t="e">
        <x:f aca="0">IF(LEFT(分期持仓明细!$A$77,LEN(G$81)+2)=G$81&amp;" ·",ROW(分期持仓明细!$A$77),0)</x:f>
        <x:v>#NAME?</x:v>
      </x:c>
      <x:c r="N158" t="e">
        <x:f aca="0">IF(LEFT(分期持仓明细!$A$77,LEN(H$81)+2)=H$81&amp;" ·",ROW(分期持仓明细!$A$77),0)</x:f>
        <x:v>#NAME?</x:v>
      </x:c>
      <x:c r="O158" t="e">
        <x:f aca="0">IF(LEFT(分期持仓明细!$A$77,LEN(I$81)+2)=I$81&amp;" ·",ROW(分期持仓明细!$A$77),0)</x:f>
        <x:v>#NAME?</x:v>
      </x:c>
      <x:c r="P158" t="e">
        <x:f aca="0">IF(LEFT(分期持仓明细!$A$77,LEN(J$81)+2)=J$81&amp;" ·",ROW(分期持仓明细!$A$77),0)</x:f>
        <x:v>#NAME?</x:v>
      </x:c>
      <x:c r="Q158" t="e">
        <x:f aca="0">IF(LEFT(分期持仓明细!$A$77,LEN(K$81)+2)=K$81&amp;" ·",ROW(分期持仓明细!$A$77),0)</x:f>
        <x:v>#NAME?</x:v>
      </x:c>
      <x:c r="R158" t="e">
        <x:f aca="0">IF(LEFT(分期持仓明细!$A$77,LEN(L$81)+2)=L$81&amp;" ·",ROW(分期持仓明细!$A$77),0)</x:f>
        <x:v>#NAME?</x:v>
      </x:c>
    </x:row>
    <x:row r="159" ht="12.649999618530273" hidden="0">
      <x:c r="M159" t="e">
        <x:f aca="0">IF(LEFT(分期持仓明细!$A$78,LEN(G$81)+2)=G$81&amp;" ·",ROW(分期持仓明细!$A$78),0)</x:f>
        <x:v>#NAME?</x:v>
      </x:c>
      <x:c r="N159" t="e">
        <x:f aca="0">IF(LEFT(分期持仓明细!$A$78,LEN(H$81)+2)=H$81&amp;" ·",ROW(分期持仓明细!$A$78),0)</x:f>
        <x:v>#NAME?</x:v>
      </x:c>
      <x:c r="O159" t="e">
        <x:f aca="0">IF(LEFT(分期持仓明细!$A$78,LEN(I$81)+2)=I$81&amp;" ·",ROW(分期持仓明细!$A$78),0)</x:f>
        <x:v>#NAME?</x:v>
      </x:c>
      <x:c r="P159" t="e">
        <x:f aca="0">IF(LEFT(分期持仓明细!$A$78,LEN(J$81)+2)=J$81&amp;" ·",ROW(分期持仓明细!$A$78),0)</x:f>
        <x:v>#NAME?</x:v>
      </x:c>
      <x:c r="Q159" t="e">
        <x:f aca="0">IF(LEFT(分期持仓明细!$A$78,LEN(K$81)+2)=K$81&amp;" ·",ROW(分期持仓明细!$A$78),0)</x:f>
        <x:v>#NAME?</x:v>
      </x:c>
      <x:c r="R159" t="e">
        <x:f aca="0">IF(LEFT(分期持仓明细!$A$78,LEN(L$81)+2)=L$81&amp;" ·",ROW(分期持仓明细!$A$78),0)</x:f>
        <x:v>#NAME?</x:v>
      </x:c>
    </x:row>
    <x:row r="160" ht="12.649999618530273" hidden="0">
      <x:c r="M160" t="e">
        <x:f aca="0">IF(LEFT(分期持仓明细!$A$79,LEN(G$81)+2)=G$81&amp;" ·",ROW(分期持仓明细!$A$79),0)</x:f>
        <x:v>#NAME?</x:v>
      </x:c>
      <x:c r="N160" t="e">
        <x:f aca="0">IF(LEFT(分期持仓明细!$A$79,LEN(H$81)+2)=H$81&amp;" ·",ROW(分期持仓明细!$A$79),0)</x:f>
        <x:v>#NAME?</x:v>
      </x:c>
      <x:c r="O160" t="e">
        <x:f aca="0">IF(LEFT(分期持仓明细!$A$79,LEN(I$81)+2)=I$81&amp;" ·",ROW(分期持仓明细!$A$79),0)</x:f>
        <x:v>#NAME?</x:v>
      </x:c>
      <x:c r="P160" t="e">
        <x:f aca="0">IF(LEFT(分期持仓明细!$A$79,LEN(J$81)+2)=J$81&amp;" ·",ROW(分期持仓明细!$A$79),0)</x:f>
        <x:v>#NAME?</x:v>
      </x:c>
      <x:c r="Q160" t="e">
        <x:f aca="0">IF(LEFT(分期持仓明细!$A$79,LEN(K$81)+2)=K$81&amp;" ·",ROW(分期持仓明细!$A$79),0)</x:f>
        <x:v>#NAME?</x:v>
      </x:c>
      <x:c r="R160" t="e">
        <x:f aca="0">IF(LEFT(分期持仓明细!$A$79,LEN(L$81)+2)=L$81&amp;" ·",ROW(分期持仓明细!$A$79),0)</x:f>
        <x:v>#NAME?</x:v>
      </x:c>
    </x:row>
    <x:row r="161" ht="12.649999618530273" hidden="0">
      <x:c r="M161" t="e">
        <x:f aca="0">IF(LEFT(分期持仓明细!$A$80,LEN(G$81)+2)=G$81&amp;" ·",ROW(分期持仓明细!$A$80),0)</x:f>
        <x:v>#NAME?</x:v>
      </x:c>
      <x:c r="N161" t="e">
        <x:f aca="0">IF(LEFT(分期持仓明细!$A$80,LEN(H$81)+2)=H$81&amp;" ·",ROW(分期持仓明细!$A$80),0)</x:f>
        <x:v>#NAME?</x:v>
      </x:c>
      <x:c r="O161" t="e">
        <x:f aca="0">IF(LEFT(分期持仓明细!$A$80,LEN(I$81)+2)=I$81&amp;" ·",ROW(分期持仓明细!$A$80),0)</x:f>
        <x:v>#NAME?</x:v>
      </x:c>
      <x:c r="P161" t="e">
        <x:f aca="0">IF(LEFT(分期持仓明细!$A$80,LEN(J$81)+2)=J$81&amp;" ·",ROW(分期持仓明细!$A$80),0)</x:f>
        <x:v>#NAME?</x:v>
      </x:c>
      <x:c r="Q161" t="e">
        <x:f aca="0">IF(LEFT(分期持仓明细!$A$80,LEN(K$81)+2)=K$81&amp;" ·",ROW(分期持仓明细!$A$80),0)</x:f>
        <x:v>#NAME?</x:v>
      </x:c>
      <x:c r="R161" t="e">
        <x:f aca="0">IF(LEFT(分期持仓明细!$A$80,LEN(L$81)+2)=L$81&amp;" ·",ROW(分期持仓明细!$A$80),0)</x:f>
        <x:v>#NAME?</x:v>
      </x:c>
    </x:row>
    <x:row r="162" ht="12.649999618530273" hidden="0">
      <x:c r="M162" t="e">
        <x:f aca="0">IF(LEFT(分期持仓明细!$A$81,LEN(G$81)+2)=G$81&amp;" ·",ROW(分期持仓明细!$A$81),0)</x:f>
        <x:v>#NAME?</x:v>
      </x:c>
      <x:c r="N162" t="e">
        <x:f aca="0">IF(LEFT(分期持仓明细!$A$81,LEN(H$81)+2)=H$81&amp;" ·",ROW(分期持仓明细!$A$81),0)</x:f>
        <x:v>#NAME?</x:v>
      </x:c>
      <x:c r="O162" t="e">
        <x:f aca="0">IF(LEFT(分期持仓明细!$A$81,LEN(I$81)+2)=I$81&amp;" ·",ROW(分期持仓明细!$A$81),0)</x:f>
        <x:v>#NAME?</x:v>
      </x:c>
      <x:c r="P162" t="e">
        <x:f aca="0">IF(LEFT(分期持仓明细!$A$81,LEN(J$81)+2)=J$81&amp;" ·",ROW(分期持仓明细!$A$81),0)</x:f>
        <x:v>#NAME?</x:v>
      </x:c>
      <x:c r="Q162" t="e">
        <x:f aca="0">IF(LEFT(分期持仓明细!$A$81,LEN(K$81)+2)=K$81&amp;" ·",ROW(分期持仓明细!$A$81),0)</x:f>
        <x:v>#NAME?</x:v>
      </x:c>
      <x:c r="R162" t="e">
        <x:f aca="0">IF(LEFT(分期持仓明细!$A$81,LEN(L$81)+2)=L$81&amp;" ·",ROW(分期持仓明细!$A$81),0)</x:f>
        <x:v>#NAME?</x:v>
      </x:c>
    </x:row>
    <x:row r="163" ht="12.649999618530273" hidden="0">
      <x:c r="M163" t="e">
        <x:f aca="0">IF(LEFT(分期持仓明细!$A$82,LEN(G$81)+2)=G$81&amp;" ·",ROW(分期持仓明细!$A$82),0)</x:f>
        <x:v>#NAME?</x:v>
      </x:c>
      <x:c r="N163" t="e">
        <x:f aca="0">IF(LEFT(分期持仓明细!$A$82,LEN(H$81)+2)=H$81&amp;" ·",ROW(分期持仓明细!$A$82),0)</x:f>
        <x:v>#NAME?</x:v>
      </x:c>
      <x:c r="O163" t="e">
        <x:f aca="0">IF(LEFT(分期持仓明细!$A$82,LEN(I$81)+2)=I$81&amp;" ·",ROW(分期持仓明细!$A$82),0)</x:f>
        <x:v>#NAME?</x:v>
      </x:c>
      <x:c r="P163" t="e">
        <x:f aca="0">IF(LEFT(分期持仓明细!$A$82,LEN(J$81)+2)=J$81&amp;" ·",ROW(分期持仓明细!$A$82),0)</x:f>
        <x:v>#NAME?</x:v>
      </x:c>
      <x:c r="Q163" t="e">
        <x:f aca="0">IF(LEFT(分期持仓明细!$A$82,LEN(K$81)+2)=K$81&amp;" ·",ROW(分期持仓明细!$A$82),0)</x:f>
        <x:v>#NAME?</x:v>
      </x:c>
      <x:c r="R163" t="e">
        <x:f aca="0">IF(LEFT(分期持仓明细!$A$82,LEN(L$81)+2)=L$81&amp;" ·",ROW(分期持仓明细!$A$82),0)</x:f>
        <x:v>#NAME?</x:v>
      </x:c>
    </x:row>
    <x:row r="164" ht="12.649999618530273" hidden="0">
      <x:c r="M164" t="e">
        <x:f aca="0">IF(LEFT(分期持仓明细!$A$83,LEN(G$81)+2)=G$81&amp;" ·",ROW(分期持仓明细!$A$83),0)</x:f>
        <x:v>#NAME?</x:v>
      </x:c>
      <x:c r="N164" t="e">
        <x:f aca="0">IF(LEFT(分期持仓明细!$A$83,LEN(H$81)+2)=H$81&amp;" ·",ROW(分期持仓明细!$A$83),0)</x:f>
        <x:v>#NAME?</x:v>
      </x:c>
      <x:c r="O164" t="e">
        <x:f aca="0">IF(LEFT(分期持仓明细!$A$83,LEN(I$81)+2)=I$81&amp;" ·",ROW(分期持仓明细!$A$83),0)</x:f>
        <x:v>#NAME?</x:v>
      </x:c>
      <x:c r="P164" t="e">
        <x:f aca="0">IF(LEFT(分期持仓明细!$A$83,LEN(J$81)+2)=J$81&amp;" ·",ROW(分期持仓明细!$A$83),0)</x:f>
        <x:v>#NAME?</x:v>
      </x:c>
      <x:c r="Q164" t="e">
        <x:f aca="0">IF(LEFT(分期持仓明细!$A$83,LEN(K$81)+2)=K$81&amp;" ·",ROW(分期持仓明细!$A$83),0)</x:f>
        <x:v>#NAME?</x:v>
      </x:c>
      <x:c r="R164" t="e">
        <x:f aca="0">IF(LEFT(分期持仓明细!$A$83,LEN(L$81)+2)=L$81&amp;" ·",ROW(分期持仓明细!$A$83),0)</x:f>
        <x:v>#NAME?</x:v>
      </x:c>
    </x:row>
    <x:row r="165" ht="12.649999618530273" hidden="0">
      <x:c r="M165" t="e">
        <x:f aca="0">IF(LEFT(分期持仓明细!$A$84,LEN(G$81)+2)=G$81&amp;" ·",ROW(分期持仓明细!$A$84),0)</x:f>
        <x:v>#NAME?</x:v>
      </x:c>
      <x:c r="N165" t="e">
        <x:f aca="0">IF(LEFT(分期持仓明细!$A$84,LEN(H$81)+2)=H$81&amp;" ·",ROW(分期持仓明细!$A$84),0)</x:f>
        <x:v>#NAME?</x:v>
      </x:c>
      <x:c r="O165" t="e">
        <x:f aca="0">IF(LEFT(分期持仓明细!$A$84,LEN(I$81)+2)=I$81&amp;" ·",ROW(分期持仓明细!$A$84),0)</x:f>
        <x:v>#NAME?</x:v>
      </x:c>
      <x:c r="P165" t="e">
        <x:f aca="0">IF(LEFT(分期持仓明细!$A$84,LEN(J$81)+2)=J$81&amp;" ·",ROW(分期持仓明细!$A$84),0)</x:f>
        <x:v>#NAME?</x:v>
      </x:c>
      <x:c r="Q165" t="e">
        <x:f aca="0">IF(LEFT(分期持仓明细!$A$84,LEN(K$81)+2)=K$81&amp;" ·",ROW(分期持仓明细!$A$84),0)</x:f>
        <x:v>#NAME?</x:v>
      </x:c>
      <x:c r="R165" t="e">
        <x:f aca="0">IF(LEFT(分期持仓明细!$A$84,LEN(L$81)+2)=L$81&amp;" ·",ROW(分期持仓明细!$A$84),0)</x:f>
        <x:v>#NAME?</x:v>
      </x:c>
    </x:row>
    <x:row r="166" ht="12.649999618530273" hidden="0">
      <x:c r="M166" t="e">
        <x:f aca="0">IF(LEFT(分期持仓明细!$A$85,LEN(G$81)+2)=G$81&amp;" ·",ROW(分期持仓明细!$A$85),0)</x:f>
        <x:v>#NAME?</x:v>
      </x:c>
      <x:c r="N166" t="e">
        <x:f aca="0">IF(LEFT(分期持仓明细!$A$85,LEN(H$81)+2)=H$81&amp;" ·",ROW(分期持仓明细!$A$85),0)</x:f>
        <x:v>#NAME?</x:v>
      </x:c>
      <x:c r="O166" t="e">
        <x:f aca="0">IF(LEFT(分期持仓明细!$A$85,LEN(I$81)+2)=I$81&amp;" ·",ROW(分期持仓明细!$A$85),0)</x:f>
        <x:v>#NAME?</x:v>
      </x:c>
      <x:c r="P166" t="e">
        <x:f aca="0">IF(LEFT(分期持仓明细!$A$85,LEN(J$81)+2)=J$81&amp;" ·",ROW(分期持仓明细!$A$85),0)</x:f>
        <x:v>#NAME?</x:v>
      </x:c>
      <x:c r="Q166" t="e">
        <x:f aca="0">IF(LEFT(分期持仓明细!$A$85,LEN(K$81)+2)=K$81&amp;" ·",ROW(分期持仓明细!$A$85),0)</x:f>
        <x:v>#NAME?</x:v>
      </x:c>
      <x:c r="R166" t="e">
        <x:f aca="0">IF(LEFT(分期持仓明细!$A$85,LEN(L$81)+2)=L$81&amp;" ·",ROW(分期持仓明细!$A$85),0)</x:f>
        <x:v>#NAME?</x:v>
      </x:c>
    </x:row>
    <x:row r="167" ht="12.649999618530273" hidden="0">
      <x:c r="M167" t="e">
        <x:f aca="0">IF(LEFT(分期持仓明细!$A$86,LEN(G$81)+2)=G$81&amp;" ·",ROW(分期持仓明细!$A$86),0)</x:f>
        <x:v>#NAME?</x:v>
      </x:c>
      <x:c r="N167" t="e">
        <x:f aca="0">IF(LEFT(分期持仓明细!$A$86,LEN(H$81)+2)=H$81&amp;" ·",ROW(分期持仓明细!$A$86),0)</x:f>
        <x:v>#NAME?</x:v>
      </x:c>
      <x:c r="O167" t="e">
        <x:f aca="0">IF(LEFT(分期持仓明细!$A$86,LEN(I$81)+2)=I$81&amp;" ·",ROW(分期持仓明细!$A$86),0)</x:f>
        <x:v>#NAME?</x:v>
      </x:c>
      <x:c r="P167" t="e">
        <x:f aca="0">IF(LEFT(分期持仓明细!$A$86,LEN(J$81)+2)=J$81&amp;" ·",ROW(分期持仓明细!$A$86),0)</x:f>
        <x:v>#NAME?</x:v>
      </x:c>
      <x:c r="Q167" t="e">
        <x:f aca="0">IF(LEFT(分期持仓明细!$A$86,LEN(K$81)+2)=K$81&amp;" ·",ROW(分期持仓明细!$A$86),0)</x:f>
        <x:v>#NAME?</x:v>
      </x:c>
      <x:c r="R167" t="e">
        <x:f aca="0">IF(LEFT(分期持仓明细!$A$86,LEN(L$81)+2)=L$81&amp;" ·",ROW(分期持仓明细!$A$86),0)</x:f>
        <x:v>#NAME?</x:v>
      </x:c>
    </x:row>
    <x:row r="168" ht="12.649999618530273" hidden="0">
      <x:c r="M168" t="e">
        <x:f aca="0">IF(LEFT(分期持仓明细!$A$87,LEN(G$81)+2)=G$81&amp;" ·",ROW(分期持仓明细!$A$87),0)</x:f>
        <x:v>#NAME?</x:v>
      </x:c>
      <x:c r="N168" t="e">
        <x:f aca="0">IF(LEFT(分期持仓明细!$A$87,LEN(H$81)+2)=H$81&amp;" ·",ROW(分期持仓明细!$A$87),0)</x:f>
        <x:v>#NAME?</x:v>
      </x:c>
      <x:c r="O168" t="e">
        <x:f aca="0">IF(LEFT(分期持仓明细!$A$87,LEN(I$81)+2)=I$81&amp;" ·",ROW(分期持仓明细!$A$87),0)</x:f>
        <x:v>#NAME?</x:v>
      </x:c>
      <x:c r="P168" t="e">
        <x:f aca="0">IF(LEFT(分期持仓明细!$A$87,LEN(J$81)+2)=J$81&amp;" ·",ROW(分期持仓明细!$A$87),0)</x:f>
        <x:v>#NAME?</x:v>
      </x:c>
      <x:c r="Q168" t="e">
        <x:f aca="0">IF(LEFT(分期持仓明细!$A$87,LEN(K$81)+2)=K$81&amp;" ·",ROW(分期持仓明细!$A$87),0)</x:f>
        <x:v>#NAME?</x:v>
      </x:c>
      <x:c r="R168" t="e">
        <x:f aca="0">IF(LEFT(分期持仓明细!$A$87,LEN(L$81)+2)=L$81&amp;" ·",ROW(分期持仓明细!$A$87),0)</x:f>
        <x:v>#NAME?</x:v>
      </x:c>
    </x:row>
    <x:row r="169" ht="12.649999618530273" hidden="0">
      <x:c r="M169" t="e">
        <x:f aca="0">IF(LEFT(分期持仓明细!$A$88,LEN(G$81)+2)=G$81&amp;" ·",ROW(分期持仓明细!$A$88),0)</x:f>
        <x:v>#NAME?</x:v>
      </x:c>
      <x:c r="N169" t="e">
        <x:f aca="0">IF(LEFT(分期持仓明细!$A$88,LEN(H$81)+2)=H$81&amp;" ·",ROW(分期持仓明细!$A$88),0)</x:f>
        <x:v>#NAME?</x:v>
      </x:c>
      <x:c r="O169" t="e">
        <x:f aca="0">IF(LEFT(分期持仓明细!$A$88,LEN(I$81)+2)=I$81&amp;" ·",ROW(分期持仓明细!$A$88),0)</x:f>
        <x:v>#NAME?</x:v>
      </x:c>
      <x:c r="P169" t="e">
        <x:f aca="0">IF(LEFT(分期持仓明细!$A$88,LEN(J$81)+2)=J$81&amp;" ·",ROW(分期持仓明细!$A$88),0)</x:f>
        <x:v>#NAME?</x:v>
      </x:c>
      <x:c r="Q169" t="e">
        <x:f aca="0">IF(LEFT(分期持仓明细!$A$88,LEN(K$81)+2)=K$81&amp;" ·",ROW(分期持仓明细!$A$88),0)</x:f>
        <x:v>#NAME?</x:v>
      </x:c>
      <x:c r="R169" t="e">
        <x:f aca="0">IF(LEFT(分期持仓明细!$A$88,LEN(L$81)+2)=L$81&amp;" ·",ROW(分期持仓明细!$A$88),0)</x:f>
        <x:v>#NAME?</x:v>
      </x:c>
    </x:row>
    <x:row r="170" ht="12.649999618530273" hidden="0">
      <x:c r="M170" t="e">
        <x:f aca="0">IF(LEFT(分期持仓明细!$A$89,LEN(G$81)+2)=G$81&amp;" ·",ROW(分期持仓明细!$A$89),0)</x:f>
        <x:v>#NAME?</x:v>
      </x:c>
      <x:c r="N170" t="e">
        <x:f aca="0">IF(LEFT(分期持仓明细!$A$89,LEN(H$81)+2)=H$81&amp;" ·",ROW(分期持仓明细!$A$89),0)</x:f>
        <x:v>#NAME?</x:v>
      </x:c>
      <x:c r="O170" t="e">
        <x:f aca="0">IF(LEFT(分期持仓明细!$A$89,LEN(I$81)+2)=I$81&amp;" ·",ROW(分期持仓明细!$A$89),0)</x:f>
        <x:v>#NAME?</x:v>
      </x:c>
      <x:c r="P170" t="e">
        <x:f aca="0">IF(LEFT(分期持仓明细!$A$89,LEN(J$81)+2)=J$81&amp;" ·",ROW(分期持仓明细!$A$89),0)</x:f>
        <x:v>#NAME?</x:v>
      </x:c>
      <x:c r="Q170" t="e">
        <x:f aca="0">IF(LEFT(分期持仓明细!$A$89,LEN(K$81)+2)=K$81&amp;" ·",ROW(分期持仓明细!$A$89),0)</x:f>
        <x:v>#NAME?</x:v>
      </x:c>
      <x:c r="R170" t="e">
        <x:f aca="0">IF(LEFT(分期持仓明细!$A$89,LEN(L$81)+2)=L$81&amp;" ·",ROW(分期持仓明细!$A$89),0)</x:f>
        <x:v>#NAME?</x:v>
      </x:c>
    </x:row>
    <x:row r="171" ht="12.649999618530273" hidden="0">
      <x:c r="M171" t="e">
        <x:f aca="0">IF(LEFT(分期持仓明细!$A$90,LEN(G$81)+2)=G$81&amp;" ·",ROW(分期持仓明细!$A$90),0)</x:f>
        <x:v>#NAME?</x:v>
      </x:c>
      <x:c r="N171" t="e">
        <x:f aca="0">IF(LEFT(分期持仓明细!$A$90,LEN(H$81)+2)=H$81&amp;" ·",ROW(分期持仓明细!$A$90),0)</x:f>
        <x:v>#NAME?</x:v>
      </x:c>
      <x:c r="O171" t="e">
        <x:f aca="0">IF(LEFT(分期持仓明细!$A$90,LEN(I$81)+2)=I$81&amp;" ·",ROW(分期持仓明细!$A$90),0)</x:f>
        <x:v>#NAME?</x:v>
      </x:c>
      <x:c r="P171" t="e">
        <x:f aca="0">IF(LEFT(分期持仓明细!$A$90,LEN(J$81)+2)=J$81&amp;" ·",ROW(分期持仓明细!$A$90),0)</x:f>
        <x:v>#NAME?</x:v>
      </x:c>
      <x:c r="Q171" t="e">
        <x:f aca="0">IF(LEFT(分期持仓明细!$A$90,LEN(K$81)+2)=K$81&amp;" ·",ROW(分期持仓明细!$A$90),0)</x:f>
        <x:v>#NAME?</x:v>
      </x:c>
      <x:c r="R171" t="e">
        <x:f aca="0">IF(LEFT(分期持仓明细!$A$90,LEN(L$81)+2)=L$81&amp;" ·",ROW(分期持仓明细!$A$90),0)</x:f>
        <x:v>#NAME?</x:v>
      </x:c>
    </x:row>
    <x:row r="172" ht="12.649999618530273" hidden="0">
      <x:c r="M172" t="e">
        <x:f aca="0">IF(LEFT(分期持仓明细!$A$91,LEN(G$81)+2)=G$81&amp;" ·",ROW(分期持仓明细!$A$91),0)</x:f>
        <x:v>#NAME?</x:v>
      </x:c>
      <x:c r="N172" t="e">
        <x:f aca="0">IF(LEFT(分期持仓明细!$A$91,LEN(H$81)+2)=H$81&amp;" ·",ROW(分期持仓明细!$A$91),0)</x:f>
        <x:v>#NAME?</x:v>
      </x:c>
      <x:c r="O172" t="e">
        <x:f aca="0">IF(LEFT(分期持仓明细!$A$91,LEN(I$81)+2)=I$81&amp;" ·",ROW(分期持仓明细!$A$91),0)</x:f>
        <x:v>#NAME?</x:v>
      </x:c>
      <x:c r="P172" t="e">
        <x:f aca="0">IF(LEFT(分期持仓明细!$A$91,LEN(J$81)+2)=J$81&amp;" ·",ROW(分期持仓明细!$A$91),0)</x:f>
        <x:v>#NAME?</x:v>
      </x:c>
      <x:c r="Q172" t="e">
        <x:f aca="0">IF(LEFT(分期持仓明细!$A$91,LEN(K$81)+2)=K$81&amp;" ·",ROW(分期持仓明细!$A$91),0)</x:f>
        <x:v>#NAME?</x:v>
      </x:c>
      <x:c r="R172" t="e">
        <x:f aca="0">IF(LEFT(分期持仓明细!$A$91,LEN(L$81)+2)=L$81&amp;" ·",ROW(分期持仓明细!$A$91),0)</x:f>
        <x:v>#NAME?</x:v>
      </x:c>
    </x:row>
    <x:row r="173" ht="12.649999618530273" hidden="0">
      <x:c r="M173" t="e">
        <x:f aca="0">IF(LEFT(分期持仓明细!$A$92,LEN(G$81)+2)=G$81&amp;" ·",ROW(分期持仓明细!$A$92),0)</x:f>
        <x:v>#NAME?</x:v>
      </x:c>
      <x:c r="N173" t="e">
        <x:f aca="0">IF(LEFT(分期持仓明细!$A$92,LEN(H$81)+2)=H$81&amp;" ·",ROW(分期持仓明细!$A$92),0)</x:f>
        <x:v>#NAME?</x:v>
      </x:c>
      <x:c r="O173" t="e">
        <x:f aca="0">IF(LEFT(分期持仓明细!$A$92,LEN(I$81)+2)=I$81&amp;" ·",ROW(分期持仓明细!$A$92),0)</x:f>
        <x:v>#NAME?</x:v>
      </x:c>
      <x:c r="P173" t="e">
        <x:f aca="0">IF(LEFT(分期持仓明细!$A$92,LEN(J$81)+2)=J$81&amp;" ·",ROW(分期持仓明细!$A$92),0)</x:f>
        <x:v>#NAME?</x:v>
      </x:c>
      <x:c r="Q173" t="e">
        <x:f aca="0">IF(LEFT(分期持仓明细!$A$92,LEN(K$81)+2)=K$81&amp;" ·",ROW(分期持仓明细!$A$92),0)</x:f>
        <x:v>#NAME?</x:v>
      </x:c>
      <x:c r="R173" t="e">
        <x:f aca="0">IF(LEFT(分期持仓明细!$A$92,LEN(L$81)+2)=L$81&amp;" ·",ROW(分期持仓明细!$A$92),0)</x:f>
        <x:v>#NAME?</x:v>
      </x:c>
    </x:row>
    <x:row r="174" ht="12.649999618530273" hidden="0">
      <x:c r="M174" t="e">
        <x:f aca="0">IF(LEFT(分期持仓明细!$A$93,LEN(G$81)+2)=G$81&amp;" ·",ROW(分期持仓明细!$A$93),0)</x:f>
        <x:v>#NAME?</x:v>
      </x:c>
      <x:c r="N174" t="e">
        <x:f aca="0">IF(LEFT(分期持仓明细!$A$93,LEN(H$81)+2)=H$81&amp;" ·",ROW(分期持仓明细!$A$93),0)</x:f>
        <x:v>#NAME?</x:v>
      </x:c>
      <x:c r="O174" t="e">
        <x:f aca="0">IF(LEFT(分期持仓明细!$A$93,LEN(I$81)+2)=I$81&amp;" ·",ROW(分期持仓明细!$A$93),0)</x:f>
        <x:v>#NAME?</x:v>
      </x:c>
      <x:c r="P174" t="e">
        <x:f aca="0">IF(LEFT(分期持仓明细!$A$93,LEN(J$81)+2)=J$81&amp;" ·",ROW(分期持仓明细!$A$93),0)</x:f>
        <x:v>#NAME?</x:v>
      </x:c>
      <x:c r="Q174" t="e">
        <x:f aca="0">IF(LEFT(分期持仓明细!$A$93,LEN(K$81)+2)=K$81&amp;" ·",ROW(分期持仓明细!$A$93),0)</x:f>
        <x:v>#NAME?</x:v>
      </x:c>
      <x:c r="R174" t="e">
        <x:f aca="0">IF(LEFT(分期持仓明细!$A$93,LEN(L$81)+2)=L$81&amp;" ·",ROW(分期持仓明细!$A$93),0)</x:f>
        <x:v>#NAME?</x:v>
      </x:c>
    </x:row>
    <x:row r="175" ht="12.649999618530273" hidden="0">
      <x:c r="M175" t="e">
        <x:f aca="0">IF(LEFT(分期持仓明细!$A$94,LEN(G$81)+2)=G$81&amp;" ·",ROW(分期持仓明细!$A$94),0)</x:f>
        <x:v>#NAME?</x:v>
      </x:c>
      <x:c r="N175" t="e">
        <x:f aca="0">IF(LEFT(分期持仓明细!$A$94,LEN(H$81)+2)=H$81&amp;" ·",ROW(分期持仓明细!$A$94),0)</x:f>
        <x:v>#NAME?</x:v>
      </x:c>
      <x:c r="O175" t="e">
        <x:f aca="0">IF(LEFT(分期持仓明细!$A$94,LEN(I$81)+2)=I$81&amp;" ·",ROW(分期持仓明细!$A$94),0)</x:f>
        <x:v>#NAME?</x:v>
      </x:c>
      <x:c r="P175" t="e">
        <x:f aca="0">IF(LEFT(分期持仓明细!$A$94,LEN(J$81)+2)=J$81&amp;" ·",ROW(分期持仓明细!$A$94),0)</x:f>
        <x:v>#NAME?</x:v>
      </x:c>
      <x:c r="Q175" t="e">
        <x:f aca="0">IF(LEFT(分期持仓明细!$A$94,LEN(K$81)+2)=K$81&amp;" ·",ROW(分期持仓明细!$A$94),0)</x:f>
        <x:v>#NAME?</x:v>
      </x:c>
      <x:c r="R175" t="e">
        <x:f aca="0">IF(LEFT(分期持仓明细!$A$94,LEN(L$81)+2)=L$81&amp;" ·",ROW(分期持仓明细!$A$94),0)</x:f>
        <x:v>#NAME?</x:v>
      </x:c>
    </x:row>
    <x:row r="176" ht="12.649999618530273" hidden="0">
      <x:c r="M176" t="e">
        <x:f aca="0">IF(LEFT(分期持仓明细!$A$95,LEN(G$81)+2)=G$81&amp;" ·",ROW(分期持仓明细!$A$95),0)</x:f>
        <x:v>#NAME?</x:v>
      </x:c>
      <x:c r="N176" t="e">
        <x:f aca="0">IF(LEFT(分期持仓明细!$A$95,LEN(H$81)+2)=H$81&amp;" ·",ROW(分期持仓明细!$A$95),0)</x:f>
        <x:v>#NAME?</x:v>
      </x:c>
      <x:c r="O176" t="e">
        <x:f aca="0">IF(LEFT(分期持仓明细!$A$95,LEN(I$81)+2)=I$81&amp;" ·",ROW(分期持仓明细!$A$95),0)</x:f>
        <x:v>#NAME?</x:v>
      </x:c>
      <x:c r="P176" t="e">
        <x:f aca="0">IF(LEFT(分期持仓明细!$A$95,LEN(J$81)+2)=J$81&amp;" ·",ROW(分期持仓明细!$A$95),0)</x:f>
        <x:v>#NAME?</x:v>
      </x:c>
      <x:c r="Q176" t="e">
        <x:f aca="0">IF(LEFT(分期持仓明细!$A$95,LEN(K$81)+2)=K$81&amp;" ·",ROW(分期持仓明细!$A$95),0)</x:f>
        <x:v>#NAME?</x:v>
      </x:c>
      <x:c r="R176" t="e">
        <x:f aca="0">IF(LEFT(分期持仓明细!$A$95,LEN(L$81)+2)=L$81&amp;" ·",ROW(分期持仓明细!$A$95),0)</x:f>
        <x:v>#NAME?</x:v>
      </x:c>
    </x:row>
    <x:row r="177" ht="12.649999618530273" hidden="0">
      <x:c r="M177" t="e">
        <x:f aca="0">IF(LEFT(分期持仓明细!$A$96,LEN(G$81)+2)=G$81&amp;" ·",ROW(分期持仓明细!$A$96),0)</x:f>
        <x:v>#NAME?</x:v>
      </x:c>
      <x:c r="N177" t="e">
        <x:f aca="0">IF(LEFT(分期持仓明细!$A$96,LEN(H$81)+2)=H$81&amp;" ·",ROW(分期持仓明细!$A$96),0)</x:f>
        <x:v>#NAME?</x:v>
      </x:c>
      <x:c r="O177" t="e">
        <x:f aca="0">IF(LEFT(分期持仓明细!$A$96,LEN(I$81)+2)=I$81&amp;" ·",ROW(分期持仓明细!$A$96),0)</x:f>
        <x:v>#NAME?</x:v>
      </x:c>
      <x:c r="P177" t="e">
        <x:f aca="0">IF(LEFT(分期持仓明细!$A$96,LEN(J$81)+2)=J$81&amp;" ·",ROW(分期持仓明细!$A$96),0)</x:f>
        <x:v>#NAME?</x:v>
      </x:c>
      <x:c r="Q177" t="e">
        <x:f aca="0">IF(LEFT(分期持仓明细!$A$96,LEN(K$81)+2)=K$81&amp;" ·",ROW(分期持仓明细!$A$96),0)</x:f>
        <x:v>#NAME?</x:v>
      </x:c>
      <x:c r="R177" t="e">
        <x:f aca="0">IF(LEFT(分期持仓明细!$A$96,LEN(L$81)+2)=L$81&amp;" ·",ROW(分期持仓明细!$A$96),0)</x:f>
        <x:v>#NAME?</x:v>
      </x:c>
    </x:row>
    <x:row r="178" ht="12.649999618530273" hidden="0">
      <x:c r="M178" t="e">
        <x:f aca="0">IF(LEFT(分期持仓明细!$A$97,LEN(G$81)+2)=G$81&amp;" ·",ROW(分期持仓明细!$A$97),0)</x:f>
        <x:v>#NAME?</x:v>
      </x:c>
      <x:c r="N178" t="e">
        <x:f aca="0">IF(LEFT(分期持仓明细!$A$97,LEN(H$81)+2)=H$81&amp;" ·",ROW(分期持仓明细!$A$97),0)</x:f>
        <x:v>#NAME?</x:v>
      </x:c>
      <x:c r="O178" t="e">
        <x:f aca="0">IF(LEFT(分期持仓明细!$A$97,LEN(I$81)+2)=I$81&amp;" ·",ROW(分期持仓明细!$A$97),0)</x:f>
        <x:v>#NAME?</x:v>
      </x:c>
      <x:c r="P178" t="e">
        <x:f aca="0">IF(LEFT(分期持仓明细!$A$97,LEN(J$81)+2)=J$81&amp;" ·",ROW(分期持仓明细!$A$97),0)</x:f>
        <x:v>#NAME?</x:v>
      </x:c>
      <x:c r="Q178" t="e">
        <x:f aca="0">IF(LEFT(分期持仓明细!$A$97,LEN(K$81)+2)=K$81&amp;" ·",ROW(分期持仓明细!$A$97),0)</x:f>
        <x:v>#NAME?</x:v>
      </x:c>
      <x:c r="R178" t="e">
        <x:f aca="0">IF(LEFT(分期持仓明细!$A$97,LEN(L$81)+2)=L$81&amp;" ·",ROW(分期持仓明细!$A$97),0)</x:f>
        <x:v>#NAME?</x:v>
      </x:c>
    </x:row>
    <x:row r="179" ht="12.649999618530273" hidden="0">
      <x:c r="M179" t="e">
        <x:f aca="0">IF(LEFT(分期持仓明细!$A$98,LEN(G$81)+2)=G$81&amp;" ·",ROW(分期持仓明细!$A$98),0)</x:f>
        <x:v>#NAME?</x:v>
      </x:c>
      <x:c r="N179" t="e">
        <x:f aca="0">IF(LEFT(分期持仓明细!$A$98,LEN(H$81)+2)=H$81&amp;" ·",ROW(分期持仓明细!$A$98),0)</x:f>
        <x:v>#NAME?</x:v>
      </x:c>
      <x:c r="O179" t="e">
        <x:f aca="0">IF(LEFT(分期持仓明细!$A$98,LEN(I$81)+2)=I$81&amp;" ·",ROW(分期持仓明细!$A$98),0)</x:f>
        <x:v>#NAME?</x:v>
      </x:c>
      <x:c r="P179" t="e">
        <x:f aca="0">IF(LEFT(分期持仓明细!$A$98,LEN(J$81)+2)=J$81&amp;" ·",ROW(分期持仓明细!$A$98),0)</x:f>
        <x:v>#NAME?</x:v>
      </x:c>
      <x:c r="Q179" t="e">
        <x:f aca="0">IF(LEFT(分期持仓明细!$A$98,LEN(K$81)+2)=K$81&amp;" ·",ROW(分期持仓明细!$A$98),0)</x:f>
        <x:v>#NAME?</x:v>
      </x:c>
      <x:c r="R179" t="e">
        <x:f aca="0">IF(LEFT(分期持仓明细!$A$98,LEN(L$81)+2)=L$81&amp;" ·",ROW(分期持仓明细!$A$98),0)</x:f>
        <x:v>#NAME?</x:v>
      </x:c>
    </x:row>
    <x:row r="180" ht="12.649999618530273" hidden="0">
      <x:c r="M180" t="e">
        <x:f aca="0">IF(LEFT(分期持仓明细!$A$99,LEN(G$81)+2)=G$81&amp;" ·",ROW(分期持仓明细!$A$99),0)</x:f>
        <x:v>#NAME?</x:v>
      </x:c>
      <x:c r="N180" t="e">
        <x:f aca="0">IF(LEFT(分期持仓明细!$A$99,LEN(H$81)+2)=H$81&amp;" ·",ROW(分期持仓明细!$A$99),0)</x:f>
        <x:v>#NAME?</x:v>
      </x:c>
      <x:c r="O180" t="e">
        <x:f aca="0">IF(LEFT(分期持仓明细!$A$99,LEN(I$81)+2)=I$81&amp;" ·",ROW(分期持仓明细!$A$99),0)</x:f>
        <x:v>#NAME?</x:v>
      </x:c>
      <x:c r="P180" t="e">
        <x:f aca="0">IF(LEFT(分期持仓明细!$A$99,LEN(J$81)+2)=J$81&amp;" ·",ROW(分期持仓明细!$A$99),0)</x:f>
        <x:v>#NAME?</x:v>
      </x:c>
      <x:c r="Q180" t="e">
        <x:f aca="0">IF(LEFT(分期持仓明细!$A$99,LEN(K$81)+2)=K$81&amp;" ·",ROW(分期持仓明细!$A$99),0)</x:f>
        <x:v>#NAME?</x:v>
      </x:c>
      <x:c r="R180" t="e">
        <x:f aca="0">IF(LEFT(分期持仓明细!$A$99,LEN(L$81)+2)=L$81&amp;" ·",ROW(分期持仓明细!$A$99),0)</x:f>
        <x:v>#NAME?</x:v>
      </x:c>
    </x:row>
    <x:row r="181" ht="12.649999618530273" hidden="0">
      <x:c r="M181" t="e">
        <x:f aca="0">IF(LEFT(分期持仓明细!$A$100,LEN(G$81)+2)=G$81&amp;" ·",ROW(分期持仓明细!$A$100),0)</x:f>
        <x:v>#NAME?</x:v>
      </x:c>
      <x:c r="N181" t="e">
        <x:f aca="0">IF(LEFT(分期持仓明细!$A$100,LEN(H$81)+2)=H$81&amp;" ·",ROW(分期持仓明细!$A$100),0)</x:f>
        <x:v>#NAME?</x:v>
      </x:c>
      <x:c r="O181" t="e">
        <x:f aca="0">IF(LEFT(分期持仓明细!$A$100,LEN(I$81)+2)=I$81&amp;" ·",ROW(分期持仓明细!$A$100),0)</x:f>
        <x:v>#NAME?</x:v>
      </x:c>
      <x:c r="P181" t="e">
        <x:f aca="0">IF(LEFT(分期持仓明细!$A$100,LEN(J$81)+2)=J$81&amp;" ·",ROW(分期持仓明细!$A$100),0)</x:f>
        <x:v>#NAME?</x:v>
      </x:c>
      <x:c r="Q181" t="e">
        <x:f aca="0">IF(LEFT(分期持仓明细!$A$100,LEN(K$81)+2)=K$81&amp;" ·",ROW(分期持仓明细!$A$100),0)</x:f>
        <x:v>#NAME?</x:v>
      </x:c>
      <x:c r="R181" t="e">
        <x:f aca="0">IF(LEFT(分期持仓明细!$A$100,LEN(L$81)+2)=L$81&amp;" ·",ROW(分期持仓明细!$A$100),0)</x:f>
        <x:v>#NAME?</x:v>
      </x:c>
    </x:row>
    <x:row r="182" ht="12.649999618530273" hidden="0">
      <x:c r="M182" t="e">
        <x:f aca="0">IF(LEFT(分期持仓明细!$A$101,LEN(G$81)+2)=G$81&amp;" ·",ROW(分期持仓明细!$A$101),0)</x:f>
        <x:v>#NAME?</x:v>
      </x:c>
      <x:c r="N182" t="e">
        <x:f aca="0">IF(LEFT(分期持仓明细!$A$101,LEN(H$81)+2)=H$81&amp;" ·",ROW(分期持仓明细!$A$101),0)</x:f>
        <x:v>#NAME?</x:v>
      </x:c>
      <x:c r="O182" t="e">
        <x:f aca="0">IF(LEFT(分期持仓明细!$A$101,LEN(I$81)+2)=I$81&amp;" ·",ROW(分期持仓明细!$A$101),0)</x:f>
        <x:v>#NAME?</x:v>
      </x:c>
      <x:c r="P182" t="e">
        <x:f aca="0">IF(LEFT(分期持仓明细!$A$101,LEN(J$81)+2)=J$81&amp;" ·",ROW(分期持仓明细!$A$101),0)</x:f>
        <x:v>#NAME?</x:v>
      </x:c>
      <x:c r="Q182" t="e">
        <x:f aca="0">IF(LEFT(分期持仓明细!$A$101,LEN(K$81)+2)=K$81&amp;" ·",ROW(分期持仓明细!$A$101),0)</x:f>
        <x:v>#NAME?</x:v>
      </x:c>
      <x:c r="R182" t="e">
        <x:f aca="0">IF(LEFT(分期持仓明细!$A$101,LEN(L$81)+2)=L$81&amp;" ·",ROW(分期持仓明细!$A$101),0)</x:f>
        <x:v>#NAME?</x:v>
      </x:c>
    </x:row>
    <x:row r="183" ht="12.649999618530273" hidden="0">
      <x:c r="M183" t="e">
        <x:f aca="0">IF(LEFT(分期持仓明细!$A$102,LEN(G$81)+2)=G$81&amp;" ·",ROW(分期持仓明细!$A$102),0)</x:f>
        <x:v>#NAME?</x:v>
      </x:c>
      <x:c r="N183" t="e">
        <x:f aca="0">IF(LEFT(分期持仓明细!$A$102,LEN(H$81)+2)=H$81&amp;" ·",ROW(分期持仓明细!$A$102),0)</x:f>
        <x:v>#NAME?</x:v>
      </x:c>
      <x:c r="O183" t="e">
        <x:f aca="0">IF(LEFT(分期持仓明细!$A$102,LEN(I$81)+2)=I$81&amp;" ·",ROW(分期持仓明细!$A$102),0)</x:f>
        <x:v>#NAME?</x:v>
      </x:c>
      <x:c r="P183" t="e">
        <x:f aca="0">IF(LEFT(分期持仓明细!$A$102,LEN(J$81)+2)=J$81&amp;" ·",ROW(分期持仓明细!$A$102),0)</x:f>
        <x:v>#NAME?</x:v>
      </x:c>
      <x:c r="Q183" t="e">
        <x:f aca="0">IF(LEFT(分期持仓明细!$A$102,LEN(K$81)+2)=K$81&amp;" ·",ROW(分期持仓明细!$A$102),0)</x:f>
        <x:v>#NAME?</x:v>
      </x:c>
      <x:c r="R183" t="e">
        <x:f aca="0">IF(LEFT(分期持仓明细!$A$102,LEN(L$81)+2)=L$81&amp;" ·",ROW(分期持仓明细!$A$102),0)</x:f>
        <x:v>#NAME?</x:v>
      </x:c>
    </x:row>
    <x:row r="184" ht="12.649999618530273" hidden="0">
      <x:c r="M184" t="e">
        <x:f aca="0">IF(LEFT(分期持仓明细!$A$103,LEN(G$81)+2)=G$81&amp;" ·",ROW(分期持仓明细!$A$103),0)</x:f>
        <x:v>#NAME?</x:v>
      </x:c>
      <x:c r="N184" t="e">
        <x:f aca="0">IF(LEFT(分期持仓明细!$A$103,LEN(H$81)+2)=H$81&amp;" ·",ROW(分期持仓明细!$A$103),0)</x:f>
        <x:v>#NAME?</x:v>
      </x:c>
      <x:c r="O184" t="e">
        <x:f aca="0">IF(LEFT(分期持仓明细!$A$103,LEN(I$81)+2)=I$81&amp;" ·",ROW(分期持仓明细!$A$103),0)</x:f>
        <x:v>#NAME?</x:v>
      </x:c>
      <x:c r="P184" t="e">
        <x:f aca="0">IF(LEFT(分期持仓明细!$A$103,LEN(J$81)+2)=J$81&amp;" ·",ROW(分期持仓明细!$A$103),0)</x:f>
        <x:v>#NAME?</x:v>
      </x:c>
      <x:c r="Q184" t="e">
        <x:f aca="0">IF(LEFT(分期持仓明细!$A$103,LEN(K$81)+2)=K$81&amp;" ·",ROW(分期持仓明细!$A$103),0)</x:f>
        <x:v>#NAME?</x:v>
      </x:c>
      <x:c r="R184" t="e">
        <x:f aca="0">IF(LEFT(分期持仓明细!$A$103,LEN(L$81)+2)=L$81&amp;" ·",ROW(分期持仓明细!$A$103),0)</x:f>
        <x:v>#NAME?</x:v>
      </x:c>
    </x:row>
    <x:row r="185" ht="12.649999618530273" hidden="0">
      <x:c r="M185" t="e">
        <x:f aca="0">IF(LEFT(分期持仓明细!$A$104,LEN(G$81)+2)=G$81&amp;" ·",ROW(分期持仓明细!$A$104),0)</x:f>
        <x:v>#NAME?</x:v>
      </x:c>
      <x:c r="N185" t="e">
        <x:f aca="0">IF(LEFT(分期持仓明细!$A$104,LEN(H$81)+2)=H$81&amp;" ·",ROW(分期持仓明细!$A$104),0)</x:f>
        <x:v>#NAME?</x:v>
      </x:c>
      <x:c r="O185" t="e">
        <x:f aca="0">IF(LEFT(分期持仓明细!$A$104,LEN(I$81)+2)=I$81&amp;" ·",ROW(分期持仓明细!$A$104),0)</x:f>
        <x:v>#NAME?</x:v>
      </x:c>
      <x:c r="P185" t="e">
        <x:f aca="0">IF(LEFT(分期持仓明细!$A$104,LEN(J$81)+2)=J$81&amp;" ·",ROW(分期持仓明细!$A$104),0)</x:f>
        <x:v>#NAME?</x:v>
      </x:c>
      <x:c r="Q185" t="e">
        <x:f aca="0">IF(LEFT(分期持仓明细!$A$104,LEN(K$81)+2)=K$81&amp;" ·",ROW(分期持仓明细!$A$104),0)</x:f>
        <x:v>#NAME?</x:v>
      </x:c>
      <x:c r="R185" t="e">
        <x:f aca="0">IF(LEFT(分期持仓明细!$A$104,LEN(L$81)+2)=L$81&amp;" ·",ROW(分期持仓明细!$A$104),0)</x:f>
        <x:v>#NAME?</x:v>
      </x:c>
    </x:row>
    <x:row r="186" ht="12.649999618530273" hidden="0">
      <x:c r="M186" t="e">
        <x:f aca="0">IF(LEFT(分期持仓明细!$A$105,LEN(G$81)+2)=G$81&amp;" ·",ROW(分期持仓明细!$A$105),0)</x:f>
        <x:v>#NAME?</x:v>
      </x:c>
      <x:c r="N186" t="e">
        <x:f aca="0">IF(LEFT(分期持仓明细!$A$105,LEN(H$81)+2)=H$81&amp;" ·",ROW(分期持仓明细!$A$105),0)</x:f>
        <x:v>#NAME?</x:v>
      </x:c>
      <x:c r="O186" t="e">
        <x:f aca="0">IF(LEFT(分期持仓明细!$A$105,LEN(I$81)+2)=I$81&amp;" ·",ROW(分期持仓明细!$A$105),0)</x:f>
        <x:v>#NAME?</x:v>
      </x:c>
      <x:c r="P186" t="e">
        <x:f aca="0">IF(LEFT(分期持仓明细!$A$105,LEN(J$81)+2)=J$81&amp;" ·",ROW(分期持仓明细!$A$105),0)</x:f>
        <x:v>#NAME?</x:v>
      </x:c>
      <x:c r="Q186" t="e">
        <x:f aca="0">IF(LEFT(分期持仓明细!$A$105,LEN(K$81)+2)=K$81&amp;" ·",ROW(分期持仓明细!$A$105),0)</x:f>
        <x:v>#NAME?</x:v>
      </x:c>
      <x:c r="R186" t="e">
        <x:f aca="0">IF(LEFT(分期持仓明细!$A$105,LEN(L$81)+2)=L$81&amp;" ·",ROW(分期持仓明细!$A$105),0)</x:f>
        <x:v>#NAME?</x:v>
      </x:c>
    </x:row>
    <x:row r="187" ht="12.649999618530273" hidden="0">
      <x:c r="M187" t="e">
        <x:f aca="0">IF(LEFT(分期持仓明细!$A$106,LEN(G$81)+2)=G$81&amp;" ·",ROW(分期持仓明细!$A$106),0)</x:f>
        <x:v>#NAME?</x:v>
      </x:c>
      <x:c r="N187" t="e">
        <x:f aca="0">IF(LEFT(分期持仓明细!$A$106,LEN(H$81)+2)=H$81&amp;" ·",ROW(分期持仓明细!$A$106),0)</x:f>
        <x:v>#NAME?</x:v>
      </x:c>
      <x:c r="O187" t="e">
        <x:f aca="0">IF(LEFT(分期持仓明细!$A$106,LEN(I$81)+2)=I$81&amp;" ·",ROW(分期持仓明细!$A$106),0)</x:f>
        <x:v>#NAME?</x:v>
      </x:c>
      <x:c r="P187" t="e">
        <x:f aca="0">IF(LEFT(分期持仓明细!$A$106,LEN(J$81)+2)=J$81&amp;" ·",ROW(分期持仓明细!$A$106),0)</x:f>
        <x:v>#NAME?</x:v>
      </x:c>
      <x:c r="Q187" t="e">
        <x:f aca="0">IF(LEFT(分期持仓明细!$A$106,LEN(K$81)+2)=K$81&amp;" ·",ROW(分期持仓明细!$A$106),0)</x:f>
        <x:v>#NAME?</x:v>
      </x:c>
      <x:c r="R187" t="e">
        <x:f aca="0">IF(LEFT(分期持仓明细!$A$106,LEN(L$81)+2)=L$81&amp;" ·",ROW(分期持仓明细!$A$106),0)</x:f>
        <x:v>#NAME?</x:v>
      </x:c>
    </x:row>
    <x:row r="188" ht="12.649999618530273" hidden="0">
      <x:c r="M188" t="e">
        <x:f aca="0">IF(LEFT(分期持仓明细!$A$107,LEN(G$81)+2)=G$81&amp;" ·",ROW(分期持仓明细!$A$107),0)</x:f>
        <x:v>#NAME?</x:v>
      </x:c>
      <x:c r="N188" t="e">
        <x:f aca="0">IF(LEFT(分期持仓明细!$A$107,LEN(H$81)+2)=H$81&amp;" ·",ROW(分期持仓明细!$A$107),0)</x:f>
        <x:v>#NAME?</x:v>
      </x:c>
      <x:c r="O188" t="e">
        <x:f aca="0">IF(LEFT(分期持仓明细!$A$107,LEN(I$81)+2)=I$81&amp;" ·",ROW(分期持仓明细!$A$107),0)</x:f>
        <x:v>#NAME?</x:v>
      </x:c>
      <x:c r="P188" t="e">
        <x:f aca="0">IF(LEFT(分期持仓明细!$A$107,LEN(J$81)+2)=J$81&amp;" ·",ROW(分期持仓明细!$A$107),0)</x:f>
        <x:v>#NAME?</x:v>
      </x:c>
      <x:c r="Q188" t="e">
        <x:f aca="0">IF(LEFT(分期持仓明细!$A$107,LEN(K$81)+2)=K$81&amp;" ·",ROW(分期持仓明细!$A$107),0)</x:f>
        <x:v>#NAME?</x:v>
      </x:c>
      <x:c r="R188" t="e">
        <x:f aca="0">IF(LEFT(分期持仓明细!$A$107,LEN(L$81)+2)=L$81&amp;" ·",ROW(分期持仓明细!$A$107),0)</x:f>
        <x:v>#NAME?</x:v>
      </x:c>
    </x:row>
    <x:row r="189" ht="12.649999618530273" hidden="0">
      <x:c r="M189" t="e">
        <x:f aca="0">IF(LEFT(分期持仓明细!$A$108,LEN(G$81)+2)=G$81&amp;" ·",ROW(分期持仓明细!$A$108),0)</x:f>
        <x:v>#NAME?</x:v>
      </x:c>
      <x:c r="N189" t="e">
        <x:f aca="0">IF(LEFT(分期持仓明细!$A$108,LEN(H$81)+2)=H$81&amp;" ·",ROW(分期持仓明细!$A$108),0)</x:f>
        <x:v>#NAME?</x:v>
      </x:c>
      <x:c r="O189" t="e">
        <x:f aca="0">IF(LEFT(分期持仓明细!$A$108,LEN(I$81)+2)=I$81&amp;" ·",ROW(分期持仓明细!$A$108),0)</x:f>
        <x:v>#NAME?</x:v>
      </x:c>
      <x:c r="P189" t="e">
        <x:f aca="0">IF(LEFT(分期持仓明细!$A$108,LEN(J$81)+2)=J$81&amp;" ·",ROW(分期持仓明细!$A$108),0)</x:f>
        <x:v>#NAME?</x:v>
      </x:c>
      <x:c r="Q189" t="e">
        <x:f aca="0">IF(LEFT(分期持仓明细!$A$108,LEN(K$81)+2)=K$81&amp;" ·",ROW(分期持仓明细!$A$108),0)</x:f>
        <x:v>#NAME?</x:v>
      </x:c>
      <x:c r="R189" t="e">
        <x:f aca="0">IF(LEFT(分期持仓明细!$A$108,LEN(L$81)+2)=L$81&amp;" ·",ROW(分期持仓明细!$A$108),0)</x:f>
        <x:v>#NAME?</x:v>
      </x:c>
    </x:row>
    <x:row r="190" ht="12.649999618530273" hidden="0">
      <x:c r="M190" t="e">
        <x:f aca="0">IF(LEFT(分期持仓明细!$A$109,LEN(G$81)+2)=G$81&amp;" ·",ROW(分期持仓明细!$A$109),0)</x:f>
        <x:v>#NAME?</x:v>
      </x:c>
      <x:c r="N190" t="e">
        <x:f aca="0">IF(LEFT(分期持仓明细!$A$109,LEN(H$81)+2)=H$81&amp;" ·",ROW(分期持仓明细!$A$109),0)</x:f>
        <x:v>#NAME?</x:v>
      </x:c>
      <x:c r="O190" t="e">
        <x:f aca="0">IF(LEFT(分期持仓明细!$A$109,LEN(I$81)+2)=I$81&amp;" ·",ROW(分期持仓明细!$A$109),0)</x:f>
        <x:v>#NAME?</x:v>
      </x:c>
      <x:c r="P190" t="e">
        <x:f aca="0">IF(LEFT(分期持仓明细!$A$109,LEN(J$81)+2)=J$81&amp;" ·",ROW(分期持仓明细!$A$109),0)</x:f>
        <x:v>#NAME?</x:v>
      </x:c>
      <x:c r="Q190" t="e">
        <x:f aca="0">IF(LEFT(分期持仓明细!$A$109,LEN(K$81)+2)=K$81&amp;" ·",ROW(分期持仓明细!$A$109),0)</x:f>
        <x:v>#NAME?</x:v>
      </x:c>
      <x:c r="R190" t="e">
        <x:f aca="0">IF(LEFT(分期持仓明细!$A$109,LEN(L$81)+2)=L$81&amp;" ·",ROW(分期持仓明细!$A$109),0)</x:f>
        <x:v>#NAME?</x:v>
      </x:c>
    </x:row>
    <x:row r="191" ht="12.649999618530273" hidden="0">
      <x:c r="M191" t="e">
        <x:f aca="0">IF(LEFT(分期持仓明细!$A$110,LEN(G$81)+2)=G$81&amp;" ·",ROW(分期持仓明细!$A$110),0)</x:f>
        <x:v>#NAME?</x:v>
      </x:c>
      <x:c r="N191" t="e">
        <x:f aca="0">IF(LEFT(分期持仓明细!$A$110,LEN(H$81)+2)=H$81&amp;" ·",ROW(分期持仓明细!$A$110),0)</x:f>
        <x:v>#NAME?</x:v>
      </x:c>
      <x:c r="O191" t="e">
        <x:f aca="0">IF(LEFT(分期持仓明细!$A$110,LEN(I$81)+2)=I$81&amp;" ·",ROW(分期持仓明细!$A$110),0)</x:f>
        <x:v>#NAME?</x:v>
      </x:c>
      <x:c r="P191" t="e">
        <x:f aca="0">IF(LEFT(分期持仓明细!$A$110,LEN(J$81)+2)=J$81&amp;" ·",ROW(分期持仓明细!$A$110),0)</x:f>
        <x:v>#NAME?</x:v>
      </x:c>
      <x:c r="Q191" t="e">
        <x:f aca="0">IF(LEFT(分期持仓明细!$A$110,LEN(K$81)+2)=K$81&amp;" ·",ROW(分期持仓明细!$A$110),0)</x:f>
        <x:v>#NAME?</x:v>
      </x:c>
      <x:c r="R191" t="e">
        <x:f aca="0">IF(LEFT(分期持仓明细!$A$110,LEN(L$81)+2)=L$81&amp;" ·",ROW(分期持仓明细!$A$110),0)</x:f>
        <x:v>#NAME?</x:v>
      </x:c>
    </x:row>
    <x:row r="192" ht="12.649999618530273" hidden="0">
      <x:c r="M192" t="e">
        <x:f aca="0">IF(LEFT(分期持仓明细!$A$111,LEN(G$81)+2)=G$81&amp;" ·",ROW(分期持仓明细!$A$111),0)</x:f>
        <x:v>#NAME?</x:v>
      </x:c>
      <x:c r="N192" t="e">
        <x:f aca="0">IF(LEFT(分期持仓明细!$A$111,LEN(H$81)+2)=H$81&amp;" ·",ROW(分期持仓明细!$A$111),0)</x:f>
        <x:v>#NAME?</x:v>
      </x:c>
      <x:c r="O192" t="e">
        <x:f aca="0">IF(LEFT(分期持仓明细!$A$111,LEN(I$81)+2)=I$81&amp;" ·",ROW(分期持仓明细!$A$111),0)</x:f>
        <x:v>#NAME?</x:v>
      </x:c>
      <x:c r="P192" t="e">
        <x:f aca="0">IF(LEFT(分期持仓明细!$A$111,LEN(J$81)+2)=J$81&amp;" ·",ROW(分期持仓明细!$A$111),0)</x:f>
        <x:v>#NAME?</x:v>
      </x:c>
      <x:c r="Q192" t="e">
        <x:f aca="0">IF(LEFT(分期持仓明细!$A$111,LEN(K$81)+2)=K$81&amp;" ·",ROW(分期持仓明细!$A$111),0)</x:f>
        <x:v>#NAME?</x:v>
      </x:c>
      <x:c r="R192" t="e">
        <x:f aca="0">IF(LEFT(分期持仓明细!$A$111,LEN(L$81)+2)=L$81&amp;" ·",ROW(分期持仓明细!$A$111),0)</x:f>
        <x:v>#NAME?</x:v>
      </x:c>
    </x:row>
    <x:row r="193" ht="12.649999618530273" hidden="0">
      <x:c r="M193" t="e">
        <x:f aca="0">IF(LEFT(分期持仓明细!$A$112,LEN(G$81)+2)=G$81&amp;" ·",ROW(分期持仓明细!$A$112),0)</x:f>
        <x:v>#NAME?</x:v>
      </x:c>
      <x:c r="N193" t="e">
        <x:f aca="0">IF(LEFT(分期持仓明细!$A$112,LEN(H$81)+2)=H$81&amp;" ·",ROW(分期持仓明细!$A$112),0)</x:f>
        <x:v>#NAME?</x:v>
      </x:c>
      <x:c r="O193" t="e">
        <x:f aca="0">IF(LEFT(分期持仓明细!$A$112,LEN(I$81)+2)=I$81&amp;" ·",ROW(分期持仓明细!$A$112),0)</x:f>
        <x:v>#NAME?</x:v>
      </x:c>
      <x:c r="P193" t="e">
        <x:f aca="0">IF(LEFT(分期持仓明细!$A$112,LEN(J$81)+2)=J$81&amp;" ·",ROW(分期持仓明细!$A$112),0)</x:f>
        <x:v>#NAME?</x:v>
      </x:c>
      <x:c r="Q193" t="e">
        <x:f aca="0">IF(LEFT(分期持仓明细!$A$112,LEN(K$81)+2)=K$81&amp;" ·",ROW(分期持仓明细!$A$112),0)</x:f>
        <x:v>#NAME?</x:v>
      </x:c>
      <x:c r="R193" t="e">
        <x:f aca="0">IF(LEFT(分期持仓明细!$A$112,LEN(L$81)+2)=L$81&amp;" ·",ROW(分期持仓明细!$A$112),0)</x:f>
        <x:v>#NAME?</x:v>
      </x:c>
    </x:row>
    <x:row r="194" ht="12.649999618530273" hidden="0">
      <x:c r="M194" t="e">
        <x:f aca="0">IF(LEFT(分期持仓明细!$A$113,LEN(G$81)+2)=G$81&amp;" ·",ROW(分期持仓明细!$A$113),0)</x:f>
        <x:v>#NAME?</x:v>
      </x:c>
      <x:c r="N194" t="e">
        <x:f aca="0">IF(LEFT(分期持仓明细!$A$113,LEN(H$81)+2)=H$81&amp;" ·",ROW(分期持仓明细!$A$113),0)</x:f>
        <x:v>#NAME?</x:v>
      </x:c>
      <x:c r="O194" t="e">
        <x:f aca="0">IF(LEFT(分期持仓明细!$A$113,LEN(I$81)+2)=I$81&amp;" ·",ROW(分期持仓明细!$A$113),0)</x:f>
        <x:v>#NAME?</x:v>
      </x:c>
      <x:c r="P194" t="e">
        <x:f aca="0">IF(LEFT(分期持仓明细!$A$113,LEN(J$81)+2)=J$81&amp;" ·",ROW(分期持仓明细!$A$113),0)</x:f>
        <x:v>#NAME?</x:v>
      </x:c>
      <x:c r="Q194" t="e">
        <x:f aca="0">IF(LEFT(分期持仓明细!$A$113,LEN(K$81)+2)=K$81&amp;" ·",ROW(分期持仓明细!$A$113),0)</x:f>
        <x:v>#NAME?</x:v>
      </x:c>
      <x:c r="R194" t="e">
        <x:f aca="0">IF(LEFT(分期持仓明细!$A$113,LEN(L$81)+2)=L$81&amp;" ·",ROW(分期持仓明细!$A$113),0)</x:f>
        <x:v>#NAME?</x:v>
      </x:c>
    </x:row>
    <x:row r="195" ht="12.649999618530273" hidden="0">
      <x:c r="M195" t="e">
        <x:f aca="0">IF(LEFT(分期持仓明细!$A$114,LEN(G$81)+2)=G$81&amp;" ·",ROW(分期持仓明细!$A$114),0)</x:f>
        <x:v>#NAME?</x:v>
      </x:c>
      <x:c r="N195" t="e">
        <x:f aca="0">IF(LEFT(分期持仓明细!$A$114,LEN(H$81)+2)=H$81&amp;" ·",ROW(分期持仓明细!$A$114),0)</x:f>
        <x:v>#NAME?</x:v>
      </x:c>
      <x:c r="O195" t="e">
        <x:f aca="0">IF(LEFT(分期持仓明细!$A$114,LEN(I$81)+2)=I$81&amp;" ·",ROW(分期持仓明细!$A$114),0)</x:f>
        <x:v>#NAME?</x:v>
      </x:c>
      <x:c r="P195" t="e">
        <x:f aca="0">IF(LEFT(分期持仓明细!$A$114,LEN(J$81)+2)=J$81&amp;" ·",ROW(分期持仓明细!$A$114),0)</x:f>
        <x:v>#NAME?</x:v>
      </x:c>
      <x:c r="Q195" t="e">
        <x:f aca="0">IF(LEFT(分期持仓明细!$A$114,LEN(K$81)+2)=K$81&amp;" ·",ROW(分期持仓明细!$A$114),0)</x:f>
        <x:v>#NAME?</x:v>
      </x:c>
      <x:c r="R195" t="e">
        <x:f aca="0">IF(LEFT(分期持仓明细!$A$114,LEN(L$81)+2)=L$81&amp;" ·",ROW(分期持仓明细!$A$114),0)</x:f>
        <x:v>#NAME?</x:v>
      </x:c>
    </x:row>
    <x:row r="196" ht="12.649999618530273" hidden="0">
      <x:c r="M196" t="e">
        <x:f aca="0">IF(LEFT(分期持仓明细!$A$115,LEN(G$81)+2)=G$81&amp;" ·",ROW(分期持仓明细!$A$115),0)</x:f>
        <x:v>#NAME?</x:v>
      </x:c>
      <x:c r="N196" t="e">
        <x:f aca="0">IF(LEFT(分期持仓明细!$A$115,LEN(H$81)+2)=H$81&amp;" ·",ROW(分期持仓明细!$A$115),0)</x:f>
        <x:v>#NAME?</x:v>
      </x:c>
      <x:c r="O196" t="e">
        <x:f aca="0">IF(LEFT(分期持仓明细!$A$115,LEN(I$81)+2)=I$81&amp;" ·",ROW(分期持仓明细!$A$115),0)</x:f>
        <x:v>#NAME?</x:v>
      </x:c>
      <x:c r="P196" t="e">
        <x:f aca="0">IF(LEFT(分期持仓明细!$A$115,LEN(J$81)+2)=J$81&amp;" ·",ROW(分期持仓明细!$A$115),0)</x:f>
        <x:v>#NAME?</x:v>
      </x:c>
      <x:c r="Q196" t="e">
        <x:f aca="0">IF(LEFT(分期持仓明细!$A$115,LEN(K$81)+2)=K$81&amp;" ·",ROW(分期持仓明细!$A$115),0)</x:f>
        <x:v>#NAME?</x:v>
      </x:c>
      <x:c r="R196" t="e">
        <x:f aca="0">IF(LEFT(分期持仓明细!$A$115,LEN(L$81)+2)=L$81&amp;" ·",ROW(分期持仓明细!$A$115),0)</x:f>
        <x:v>#NAME?</x:v>
      </x:c>
    </x:row>
    <x:row r="197" ht="12.649999618530273" hidden="0">
      <x:c r="M197" t="e">
        <x:f aca="0">IF(LEFT(分期持仓明细!$A$116,LEN(G$81)+2)=G$81&amp;" ·",ROW(分期持仓明细!$A$116),0)</x:f>
        <x:v>#NAME?</x:v>
      </x:c>
      <x:c r="N197" t="e">
        <x:f aca="0">IF(LEFT(分期持仓明细!$A$116,LEN(H$81)+2)=H$81&amp;" ·",ROW(分期持仓明细!$A$116),0)</x:f>
        <x:v>#NAME?</x:v>
      </x:c>
      <x:c r="O197" t="e">
        <x:f aca="0">IF(LEFT(分期持仓明细!$A$116,LEN(I$81)+2)=I$81&amp;" ·",ROW(分期持仓明细!$A$116),0)</x:f>
        <x:v>#NAME?</x:v>
      </x:c>
      <x:c r="P197" t="e">
        <x:f aca="0">IF(LEFT(分期持仓明细!$A$116,LEN(J$81)+2)=J$81&amp;" ·",ROW(分期持仓明细!$A$116),0)</x:f>
        <x:v>#NAME?</x:v>
      </x:c>
      <x:c r="Q197" t="e">
        <x:f aca="0">IF(LEFT(分期持仓明细!$A$116,LEN(K$81)+2)=K$81&amp;" ·",ROW(分期持仓明细!$A$116),0)</x:f>
        <x:v>#NAME?</x:v>
      </x:c>
      <x:c r="R197" t="e">
        <x:f aca="0">IF(LEFT(分期持仓明细!$A$116,LEN(L$81)+2)=L$81&amp;" ·",ROW(分期持仓明细!$A$116),0)</x:f>
        <x:v>#NAME?</x:v>
      </x:c>
    </x:row>
    <x:row r="198" ht="12.649999618530273" hidden="0">
      <x:c r="M198" t="e">
        <x:f aca="0">IF(LEFT(分期持仓明细!$A$117,LEN(G$81)+2)=G$81&amp;" ·",ROW(分期持仓明细!$A$117),0)</x:f>
        <x:v>#NAME?</x:v>
      </x:c>
      <x:c r="N198" t="e">
        <x:f aca="0">IF(LEFT(分期持仓明细!$A$117,LEN(H$81)+2)=H$81&amp;" ·",ROW(分期持仓明细!$A$117),0)</x:f>
        <x:v>#NAME?</x:v>
      </x:c>
      <x:c r="O198" t="e">
        <x:f aca="0">IF(LEFT(分期持仓明细!$A$117,LEN(I$81)+2)=I$81&amp;" ·",ROW(分期持仓明细!$A$117),0)</x:f>
        <x:v>#NAME?</x:v>
      </x:c>
      <x:c r="P198" t="e">
        <x:f aca="0">IF(LEFT(分期持仓明细!$A$117,LEN(J$81)+2)=J$81&amp;" ·",ROW(分期持仓明细!$A$117),0)</x:f>
        <x:v>#NAME?</x:v>
      </x:c>
      <x:c r="Q198" t="e">
        <x:f aca="0">IF(LEFT(分期持仓明细!$A$117,LEN(K$81)+2)=K$81&amp;" ·",ROW(分期持仓明细!$A$117),0)</x:f>
        <x:v>#NAME?</x:v>
      </x:c>
      <x:c r="R198" t="e">
        <x:f aca="0">IF(LEFT(分期持仓明细!$A$117,LEN(L$81)+2)=L$81&amp;" ·",ROW(分期持仓明细!$A$117),0)</x:f>
        <x:v>#NAME?</x:v>
      </x:c>
    </x:row>
    <x:row r="199" ht="12.649999618530273" hidden="0">
      <x:c r="M199" t="e">
        <x:f aca="0">IF(LEFT(分期持仓明细!$A$118,LEN(G$81)+2)=G$81&amp;" ·",ROW(分期持仓明细!$A$118),0)</x:f>
        <x:v>#NAME?</x:v>
      </x:c>
      <x:c r="N199" t="e">
        <x:f aca="0">IF(LEFT(分期持仓明细!$A$118,LEN(H$81)+2)=H$81&amp;" ·",ROW(分期持仓明细!$A$118),0)</x:f>
        <x:v>#NAME?</x:v>
      </x:c>
      <x:c r="O199" t="e">
        <x:f aca="0">IF(LEFT(分期持仓明细!$A$118,LEN(I$81)+2)=I$81&amp;" ·",ROW(分期持仓明细!$A$118),0)</x:f>
        <x:v>#NAME?</x:v>
      </x:c>
      <x:c r="P199" t="e">
        <x:f aca="0">IF(LEFT(分期持仓明细!$A$118,LEN(J$81)+2)=J$81&amp;" ·",ROW(分期持仓明细!$A$118),0)</x:f>
        <x:v>#NAME?</x:v>
      </x:c>
      <x:c r="Q199" t="e">
        <x:f aca="0">IF(LEFT(分期持仓明细!$A$118,LEN(K$81)+2)=K$81&amp;" ·",ROW(分期持仓明细!$A$118),0)</x:f>
        <x:v>#NAME?</x:v>
      </x:c>
      <x:c r="R199" t="e">
        <x:f aca="0">IF(LEFT(分期持仓明细!$A$118,LEN(L$81)+2)=L$81&amp;" ·",ROW(分期持仓明细!$A$118),0)</x:f>
        <x:v>#NAME?</x:v>
      </x:c>
    </x:row>
    <x:row r="200" ht="12.649999618530273" hidden="0">
      <x:c r="M200" t="e">
        <x:f aca="0">IF(LEFT(分期持仓明细!$A$119,LEN(G$81)+2)=G$81&amp;" ·",ROW(分期持仓明细!$A$119),0)</x:f>
        <x:v>#NAME?</x:v>
      </x:c>
      <x:c r="N200" t="e">
        <x:f aca="0">IF(LEFT(分期持仓明细!$A$119,LEN(H$81)+2)=H$81&amp;" ·",ROW(分期持仓明细!$A$119),0)</x:f>
        <x:v>#NAME?</x:v>
      </x:c>
      <x:c r="O200" t="e">
        <x:f aca="0">IF(LEFT(分期持仓明细!$A$119,LEN(I$81)+2)=I$81&amp;" ·",ROW(分期持仓明细!$A$119),0)</x:f>
        <x:v>#NAME?</x:v>
      </x:c>
      <x:c r="P200" t="e">
        <x:f aca="0">IF(LEFT(分期持仓明细!$A$119,LEN(J$81)+2)=J$81&amp;" ·",ROW(分期持仓明细!$A$119),0)</x:f>
        <x:v>#NAME?</x:v>
      </x:c>
      <x:c r="Q200" t="e">
        <x:f aca="0">IF(LEFT(分期持仓明细!$A$119,LEN(K$81)+2)=K$81&amp;" ·",ROW(分期持仓明细!$A$119),0)</x:f>
        <x:v>#NAME?</x:v>
      </x:c>
      <x:c r="R200" t="e">
        <x:f aca="0">IF(LEFT(分期持仓明细!$A$119,LEN(L$81)+2)=L$81&amp;" ·",ROW(分期持仓明细!$A$119),0)</x:f>
        <x:v>#NAME?</x:v>
      </x:c>
    </x:row>
    <x:row r="201" ht="12.649999618530273" hidden="0">
      <x:c r="M201" t="e">
        <x:f aca="0">IF(LEFT(分期持仓明细!$A$120,LEN(G$81)+2)=G$81&amp;" ·",ROW(分期持仓明细!$A$120),0)</x:f>
        <x:v>#NAME?</x:v>
      </x:c>
      <x:c r="N201" t="e">
        <x:f aca="0">IF(LEFT(分期持仓明细!$A$120,LEN(H$81)+2)=H$81&amp;" ·",ROW(分期持仓明细!$A$120),0)</x:f>
        <x:v>#NAME?</x:v>
      </x:c>
      <x:c r="O201" t="e">
        <x:f aca="0">IF(LEFT(分期持仓明细!$A$120,LEN(I$81)+2)=I$81&amp;" ·",ROW(分期持仓明细!$A$120),0)</x:f>
        <x:v>#NAME?</x:v>
      </x:c>
      <x:c r="P201" t="e">
        <x:f aca="0">IF(LEFT(分期持仓明细!$A$120,LEN(J$81)+2)=J$81&amp;" ·",ROW(分期持仓明细!$A$120),0)</x:f>
        <x:v>#NAME?</x:v>
      </x:c>
      <x:c r="Q201" t="e">
        <x:f aca="0">IF(LEFT(分期持仓明细!$A$120,LEN(K$81)+2)=K$81&amp;" ·",ROW(分期持仓明细!$A$120),0)</x:f>
        <x:v>#NAME?</x:v>
      </x:c>
      <x:c r="R201" t="e">
        <x:f aca="0">IF(LEFT(分期持仓明细!$A$120,LEN(L$81)+2)=L$81&amp;" ·",ROW(分期持仓明细!$A$120),0)</x:f>
        <x:v>#NAME?</x:v>
      </x:c>
    </x:row>
    <x:row r="202" ht="12.649999618530273" hidden="0">
      <x:c r="M202" t="e">
        <x:f aca="0">IF(LEFT(分期持仓明细!$A$121,LEN(G$81)+2)=G$81&amp;" ·",ROW(分期持仓明细!$A$121),0)</x:f>
        <x:v>#NAME?</x:v>
      </x:c>
      <x:c r="N202" t="e">
        <x:f aca="0">IF(LEFT(分期持仓明细!$A$121,LEN(H$81)+2)=H$81&amp;" ·",ROW(分期持仓明细!$A$121),0)</x:f>
        <x:v>#NAME?</x:v>
      </x:c>
      <x:c r="O202" t="e">
        <x:f aca="0">IF(LEFT(分期持仓明细!$A$121,LEN(I$81)+2)=I$81&amp;" ·",ROW(分期持仓明细!$A$121),0)</x:f>
        <x:v>#NAME?</x:v>
      </x:c>
      <x:c r="P202" t="e">
        <x:f aca="0">IF(LEFT(分期持仓明细!$A$121,LEN(J$81)+2)=J$81&amp;" ·",ROW(分期持仓明细!$A$121),0)</x:f>
        <x:v>#NAME?</x:v>
      </x:c>
      <x:c r="Q202" t="e">
        <x:f aca="0">IF(LEFT(分期持仓明细!$A$121,LEN(K$81)+2)=K$81&amp;" ·",ROW(分期持仓明细!$A$121),0)</x:f>
        <x:v>#NAME?</x:v>
      </x:c>
      <x:c r="R202" t="e">
        <x:f aca="0">IF(LEFT(分期持仓明细!$A$121,LEN(L$81)+2)=L$81&amp;" ·",ROW(分期持仓明细!$A$121),0)</x:f>
        <x:v>#NAME?</x:v>
      </x:c>
    </x:row>
    <x:row r="203" ht="12.649999618530273" hidden="0">
      <x:c r="M203" t="e">
        <x:f aca="0">IF(LEFT(分期持仓明细!$A$122,LEN(G$81)+2)=G$81&amp;" ·",ROW(分期持仓明细!$A$122),0)</x:f>
        <x:v>#NAME?</x:v>
      </x:c>
      <x:c r="N203" t="e">
        <x:f aca="0">IF(LEFT(分期持仓明细!$A$122,LEN(H$81)+2)=H$81&amp;" ·",ROW(分期持仓明细!$A$122),0)</x:f>
        <x:v>#NAME?</x:v>
      </x:c>
      <x:c r="O203" t="e">
        <x:f aca="0">IF(LEFT(分期持仓明细!$A$122,LEN(I$81)+2)=I$81&amp;" ·",ROW(分期持仓明细!$A$122),0)</x:f>
        <x:v>#NAME?</x:v>
      </x:c>
      <x:c r="P203" t="e">
        <x:f aca="0">IF(LEFT(分期持仓明细!$A$122,LEN(J$81)+2)=J$81&amp;" ·",ROW(分期持仓明细!$A$122),0)</x:f>
        <x:v>#NAME?</x:v>
      </x:c>
      <x:c r="Q203" t="e">
        <x:f aca="0">IF(LEFT(分期持仓明细!$A$122,LEN(K$81)+2)=K$81&amp;" ·",ROW(分期持仓明细!$A$122),0)</x:f>
        <x:v>#NAME?</x:v>
      </x:c>
      <x:c r="R203" t="e">
        <x:f aca="0">IF(LEFT(分期持仓明细!$A$122,LEN(L$81)+2)=L$81&amp;" ·",ROW(分期持仓明细!$A$122),0)</x:f>
        <x:v>#NAME?</x:v>
      </x:c>
    </x:row>
    <x:row r="204" ht="12.649999618530273" hidden="0">
      <x:c r="M204" t="e">
        <x:f aca="0">IF(LEFT(分期持仓明细!$A$123,LEN(G$81)+2)=G$81&amp;" ·",ROW(分期持仓明细!$A$123),0)</x:f>
        <x:v>#NAME?</x:v>
      </x:c>
      <x:c r="N204" t="e">
        <x:f aca="0">IF(LEFT(分期持仓明细!$A$123,LEN(H$81)+2)=H$81&amp;" ·",ROW(分期持仓明细!$A$123),0)</x:f>
        <x:v>#NAME?</x:v>
      </x:c>
      <x:c r="O204" t="e">
        <x:f aca="0">IF(LEFT(分期持仓明细!$A$123,LEN(I$81)+2)=I$81&amp;" ·",ROW(分期持仓明细!$A$123),0)</x:f>
        <x:v>#NAME?</x:v>
      </x:c>
      <x:c r="P204" t="e">
        <x:f aca="0">IF(LEFT(分期持仓明细!$A$123,LEN(J$81)+2)=J$81&amp;" ·",ROW(分期持仓明细!$A$123),0)</x:f>
        <x:v>#NAME?</x:v>
      </x:c>
      <x:c r="Q204" t="e">
        <x:f aca="0">IF(LEFT(分期持仓明细!$A$123,LEN(K$81)+2)=K$81&amp;" ·",ROW(分期持仓明细!$A$123),0)</x:f>
        <x:v>#NAME?</x:v>
      </x:c>
      <x:c r="R204" t="e">
        <x:f aca="0">IF(LEFT(分期持仓明细!$A$123,LEN(L$81)+2)=L$81&amp;" ·",ROW(分期持仓明细!$A$123),0)</x:f>
        <x:v>#NAME?</x:v>
      </x:c>
    </x:row>
    <x:row r="205" ht="12.649999618530273" hidden="0">
      <x:c r="M205" t="e">
        <x:f aca="0">IF(LEFT(分期持仓明细!$A$124,LEN(G$81)+2)=G$81&amp;" ·",ROW(分期持仓明细!$A$124),0)</x:f>
        <x:v>#NAME?</x:v>
      </x:c>
      <x:c r="N205" t="e">
        <x:f aca="0">IF(LEFT(分期持仓明细!$A$124,LEN(H$81)+2)=H$81&amp;" ·",ROW(分期持仓明细!$A$124),0)</x:f>
        <x:v>#NAME?</x:v>
      </x:c>
      <x:c r="O205" t="e">
        <x:f aca="0">IF(LEFT(分期持仓明细!$A$124,LEN(I$81)+2)=I$81&amp;" ·",ROW(分期持仓明细!$A$124),0)</x:f>
        <x:v>#NAME?</x:v>
      </x:c>
      <x:c r="P205" t="e">
        <x:f aca="0">IF(LEFT(分期持仓明细!$A$124,LEN(J$81)+2)=J$81&amp;" ·",ROW(分期持仓明细!$A$124),0)</x:f>
        <x:v>#NAME?</x:v>
      </x:c>
      <x:c r="Q205" t="e">
        <x:f aca="0">IF(LEFT(分期持仓明细!$A$124,LEN(K$81)+2)=K$81&amp;" ·",ROW(分期持仓明细!$A$124),0)</x:f>
        <x:v>#NAME?</x:v>
      </x:c>
      <x:c r="R205" t="e">
        <x:f aca="0">IF(LEFT(分期持仓明细!$A$124,LEN(L$81)+2)=L$81&amp;" ·",ROW(分期持仓明细!$A$124),0)</x:f>
        <x:v>#NAME?</x:v>
      </x:c>
    </x:row>
    <x:row r="206" ht="12.649999618530273" hidden="0">
      <x:c r="M206" t="e">
        <x:f aca="0">IF(LEFT(分期持仓明细!$A$125,LEN(G$81)+2)=G$81&amp;" ·",ROW(分期持仓明细!$A$125),0)</x:f>
        <x:v>#NAME?</x:v>
      </x:c>
      <x:c r="N206" t="e">
        <x:f aca="0">IF(LEFT(分期持仓明细!$A$125,LEN(H$81)+2)=H$81&amp;" ·",ROW(分期持仓明细!$A$125),0)</x:f>
        <x:v>#NAME?</x:v>
      </x:c>
      <x:c r="O206" t="e">
        <x:f aca="0">IF(LEFT(分期持仓明细!$A$125,LEN(I$81)+2)=I$81&amp;" ·",ROW(分期持仓明细!$A$125),0)</x:f>
        <x:v>#NAME?</x:v>
      </x:c>
      <x:c r="P206" t="e">
        <x:f aca="0">IF(LEFT(分期持仓明细!$A$125,LEN(J$81)+2)=J$81&amp;" ·",ROW(分期持仓明细!$A$125),0)</x:f>
        <x:v>#NAME?</x:v>
      </x:c>
      <x:c r="Q206" t="e">
        <x:f aca="0">IF(LEFT(分期持仓明细!$A$125,LEN(K$81)+2)=K$81&amp;" ·",ROW(分期持仓明细!$A$125),0)</x:f>
        <x:v>#NAME?</x:v>
      </x:c>
      <x:c r="R206" t="e">
        <x:f aca="0">IF(LEFT(分期持仓明细!$A$125,LEN(L$81)+2)=L$81&amp;" ·",ROW(分期持仓明细!$A$125),0)</x:f>
        <x:v>#NAME?</x:v>
      </x:c>
    </x:row>
    <x:row r="207" ht="12.649999618530273" hidden="0">
      <x:c r="M207" t="e">
        <x:f aca="0">IF(LEFT(分期持仓明细!$A$126,LEN(G$81)+2)=G$81&amp;" ·",ROW(分期持仓明细!$A$126),0)</x:f>
        <x:v>#NAME?</x:v>
      </x:c>
      <x:c r="N207" t="e">
        <x:f aca="0">IF(LEFT(分期持仓明细!$A$126,LEN(H$81)+2)=H$81&amp;" ·",ROW(分期持仓明细!$A$126),0)</x:f>
        <x:v>#NAME?</x:v>
      </x:c>
      <x:c r="O207" t="e">
        <x:f aca="0">IF(LEFT(分期持仓明细!$A$126,LEN(I$81)+2)=I$81&amp;" ·",ROW(分期持仓明细!$A$126),0)</x:f>
        <x:v>#NAME?</x:v>
      </x:c>
      <x:c r="P207" t="e">
        <x:f aca="0">IF(LEFT(分期持仓明细!$A$126,LEN(J$81)+2)=J$81&amp;" ·",ROW(分期持仓明细!$A$126),0)</x:f>
        <x:v>#NAME?</x:v>
      </x:c>
      <x:c r="Q207" t="e">
        <x:f aca="0">IF(LEFT(分期持仓明细!$A$126,LEN(K$81)+2)=K$81&amp;" ·",ROW(分期持仓明细!$A$126),0)</x:f>
        <x:v>#NAME?</x:v>
      </x:c>
      <x:c r="R207" t="e">
        <x:f aca="0">IF(LEFT(分期持仓明细!$A$126,LEN(L$81)+2)=L$81&amp;" ·",ROW(分期持仓明细!$A$126),0)</x:f>
        <x:v>#NAME?</x:v>
      </x:c>
    </x:row>
    <x:row r="208" ht="12.649999618530273" hidden="0">
      <x:c r="M208" t="e">
        <x:f aca="0">IF(LEFT(分期持仓明细!$A$127,LEN(G$81)+2)=G$81&amp;" ·",ROW(分期持仓明细!$A$127),0)</x:f>
        <x:v>#NAME?</x:v>
      </x:c>
      <x:c r="N208" t="e">
        <x:f aca="0">IF(LEFT(分期持仓明细!$A$127,LEN(H$81)+2)=H$81&amp;" ·",ROW(分期持仓明细!$A$127),0)</x:f>
        <x:v>#NAME?</x:v>
      </x:c>
      <x:c r="O208" t="e">
        <x:f aca="0">IF(LEFT(分期持仓明细!$A$127,LEN(I$81)+2)=I$81&amp;" ·",ROW(分期持仓明细!$A$127),0)</x:f>
        <x:v>#NAME?</x:v>
      </x:c>
      <x:c r="P208" t="e">
        <x:f aca="0">IF(LEFT(分期持仓明细!$A$127,LEN(J$81)+2)=J$81&amp;" ·",ROW(分期持仓明细!$A$127),0)</x:f>
        <x:v>#NAME?</x:v>
      </x:c>
      <x:c r="Q208" t="e">
        <x:f aca="0">IF(LEFT(分期持仓明细!$A$127,LEN(K$81)+2)=K$81&amp;" ·",ROW(分期持仓明细!$A$127),0)</x:f>
        <x:v>#NAME?</x:v>
      </x:c>
      <x:c r="R208" t="e">
        <x:f aca="0">IF(LEFT(分期持仓明细!$A$127,LEN(L$81)+2)=L$81&amp;" ·",ROW(分期持仓明细!$A$127),0)</x:f>
        <x:v>#NAME?</x:v>
      </x:c>
    </x:row>
    <x:row r="209" ht="12.649999618530273" hidden="0">
      <x:c r="M209" t="e">
        <x:f aca="0">IF(LEFT(分期持仓明细!$A$128,LEN(G$81)+2)=G$81&amp;" ·",ROW(分期持仓明细!$A$128),0)</x:f>
        <x:v>#NAME?</x:v>
      </x:c>
      <x:c r="N209" t="e">
        <x:f aca="0">IF(LEFT(分期持仓明细!$A$128,LEN(H$81)+2)=H$81&amp;" ·",ROW(分期持仓明细!$A$128),0)</x:f>
        <x:v>#NAME?</x:v>
      </x:c>
      <x:c r="O209" t="e">
        <x:f aca="0">IF(LEFT(分期持仓明细!$A$128,LEN(I$81)+2)=I$81&amp;" ·",ROW(分期持仓明细!$A$128),0)</x:f>
        <x:v>#NAME?</x:v>
      </x:c>
      <x:c r="P209" t="e">
        <x:f aca="0">IF(LEFT(分期持仓明细!$A$128,LEN(J$81)+2)=J$81&amp;" ·",ROW(分期持仓明细!$A$128),0)</x:f>
        <x:v>#NAME?</x:v>
      </x:c>
      <x:c r="Q209" t="e">
        <x:f aca="0">IF(LEFT(分期持仓明细!$A$128,LEN(K$81)+2)=K$81&amp;" ·",ROW(分期持仓明细!$A$128),0)</x:f>
        <x:v>#NAME?</x:v>
      </x:c>
      <x:c r="R209" t="e">
        <x:f aca="0">IF(LEFT(分期持仓明细!$A$128,LEN(L$81)+2)=L$81&amp;" ·",ROW(分期持仓明细!$A$128),0)</x:f>
        <x:v>#NAME?</x:v>
      </x:c>
    </x:row>
    <x:row r="210" ht="12.649999618530273" hidden="0">
      <x:c r="M210" t="e">
        <x:f aca="0">IF(LEFT(分期持仓明细!$A$129,LEN(G$81)+2)=G$81&amp;" ·",ROW(分期持仓明细!$A$129),0)</x:f>
        <x:v>#NAME?</x:v>
      </x:c>
      <x:c r="N210" t="e">
        <x:f aca="0">IF(LEFT(分期持仓明细!$A$129,LEN(H$81)+2)=H$81&amp;" ·",ROW(分期持仓明细!$A$129),0)</x:f>
        <x:v>#NAME?</x:v>
      </x:c>
      <x:c r="O210" t="e">
        <x:f aca="0">IF(LEFT(分期持仓明细!$A$129,LEN(I$81)+2)=I$81&amp;" ·",ROW(分期持仓明细!$A$129),0)</x:f>
        <x:v>#NAME?</x:v>
      </x:c>
      <x:c r="P210" t="e">
        <x:f aca="0">IF(LEFT(分期持仓明细!$A$129,LEN(J$81)+2)=J$81&amp;" ·",ROW(分期持仓明细!$A$129),0)</x:f>
        <x:v>#NAME?</x:v>
      </x:c>
      <x:c r="Q210" t="e">
        <x:f aca="0">IF(LEFT(分期持仓明细!$A$129,LEN(K$81)+2)=K$81&amp;" ·",ROW(分期持仓明细!$A$129),0)</x:f>
        <x:v>#NAME?</x:v>
      </x:c>
      <x:c r="R210" t="e">
        <x:f aca="0">IF(LEFT(分期持仓明细!$A$129,LEN(L$81)+2)=L$81&amp;" ·",ROW(分期持仓明细!$A$129),0)</x:f>
        <x:v>#NAME?</x:v>
      </x:c>
    </x:row>
    <x:row r="211" ht="12.649999618530273" hidden="0">
      <x:c r="M211" t="e">
        <x:f aca="0">IF(LEFT(分期持仓明细!$A$130,LEN(G$81)+2)=G$81&amp;" ·",ROW(分期持仓明细!$A$130),0)</x:f>
        <x:v>#NAME?</x:v>
      </x:c>
      <x:c r="N211" t="e">
        <x:f aca="0">IF(LEFT(分期持仓明细!$A$130,LEN(H$81)+2)=H$81&amp;" ·",ROW(分期持仓明细!$A$130),0)</x:f>
        <x:v>#NAME?</x:v>
      </x:c>
      <x:c r="O211" t="e">
        <x:f aca="0">IF(LEFT(分期持仓明细!$A$130,LEN(I$81)+2)=I$81&amp;" ·",ROW(分期持仓明细!$A$130),0)</x:f>
        <x:v>#NAME?</x:v>
      </x:c>
      <x:c r="P211" t="e">
        <x:f aca="0">IF(LEFT(分期持仓明细!$A$130,LEN(J$81)+2)=J$81&amp;" ·",ROW(分期持仓明细!$A$130),0)</x:f>
        <x:v>#NAME?</x:v>
      </x:c>
      <x:c r="Q211" t="e">
        <x:f aca="0">IF(LEFT(分期持仓明细!$A$130,LEN(K$81)+2)=K$81&amp;" ·",ROW(分期持仓明细!$A$130),0)</x:f>
        <x:v>#NAME?</x:v>
      </x:c>
      <x:c r="R211" t="e">
        <x:f aca="0">IF(LEFT(分期持仓明细!$A$130,LEN(L$81)+2)=L$81&amp;" ·",ROW(分期持仓明细!$A$130),0)</x:f>
        <x:v>#NAME?</x:v>
      </x:c>
    </x:row>
    <x:row r="212" ht="12.649999618530273" hidden="0">
      <x:c r="M212" t="e">
        <x:f aca="0">IF(LEFT(分期持仓明细!$A$131,LEN(G$81)+2)=G$81&amp;" ·",ROW(分期持仓明细!$A$131),0)</x:f>
        <x:v>#NAME?</x:v>
      </x:c>
      <x:c r="N212" t="e">
        <x:f aca="0">IF(LEFT(分期持仓明细!$A$131,LEN(H$81)+2)=H$81&amp;" ·",ROW(分期持仓明细!$A$131),0)</x:f>
        <x:v>#NAME?</x:v>
      </x:c>
      <x:c r="O212" t="e">
        <x:f aca="0">IF(LEFT(分期持仓明细!$A$131,LEN(I$81)+2)=I$81&amp;" ·",ROW(分期持仓明细!$A$131),0)</x:f>
        <x:v>#NAME?</x:v>
      </x:c>
      <x:c r="P212" t="e">
        <x:f aca="0">IF(LEFT(分期持仓明细!$A$131,LEN(J$81)+2)=J$81&amp;" ·",ROW(分期持仓明细!$A$131),0)</x:f>
        <x:v>#NAME?</x:v>
      </x:c>
      <x:c r="Q212" t="e">
        <x:f aca="0">IF(LEFT(分期持仓明细!$A$131,LEN(K$81)+2)=K$81&amp;" ·",ROW(分期持仓明细!$A$131),0)</x:f>
        <x:v>#NAME?</x:v>
      </x:c>
      <x:c r="R212" t="e">
        <x:f aca="0">IF(LEFT(分期持仓明细!$A$131,LEN(L$81)+2)=L$81&amp;" ·",ROW(分期持仓明细!$A$131),0)</x:f>
        <x:v>#NAME?</x:v>
      </x:c>
    </x:row>
    <x:row r="213" ht="12.649999618530273" hidden="0">
      <x:c r="M213" t="e">
        <x:f aca="0">IF(LEFT(分期持仓明细!$A$132,LEN(G$81)+2)=G$81&amp;" ·",ROW(分期持仓明细!$A$132),0)</x:f>
        <x:v>#NAME?</x:v>
      </x:c>
      <x:c r="N213" t="e">
        <x:f aca="0">IF(LEFT(分期持仓明细!$A$132,LEN(H$81)+2)=H$81&amp;" ·",ROW(分期持仓明细!$A$132),0)</x:f>
        <x:v>#NAME?</x:v>
      </x:c>
      <x:c r="O213" t="e">
        <x:f aca="0">IF(LEFT(分期持仓明细!$A$132,LEN(I$81)+2)=I$81&amp;" ·",ROW(分期持仓明细!$A$132),0)</x:f>
        <x:v>#NAME?</x:v>
      </x:c>
      <x:c r="P213" t="e">
        <x:f aca="0">IF(LEFT(分期持仓明细!$A$132,LEN(J$81)+2)=J$81&amp;" ·",ROW(分期持仓明细!$A$132),0)</x:f>
        <x:v>#NAME?</x:v>
      </x:c>
      <x:c r="Q213" t="e">
        <x:f aca="0">IF(LEFT(分期持仓明细!$A$132,LEN(K$81)+2)=K$81&amp;" ·",ROW(分期持仓明细!$A$132),0)</x:f>
        <x:v>#NAME?</x:v>
      </x:c>
      <x:c r="R213" t="e">
        <x:f aca="0">IF(LEFT(分期持仓明细!$A$132,LEN(L$81)+2)=L$81&amp;" ·",ROW(分期持仓明细!$A$132),0)</x:f>
        <x:v>#NAME?</x:v>
      </x:c>
    </x:row>
    <x:row r="214" ht="12.649999618530273" hidden="0">
      <x:c r="M214" t="e">
        <x:f aca="0">IF(LEFT(分期持仓明细!$A$133,LEN(G$81)+2)=G$81&amp;" ·",ROW(分期持仓明细!$A$133),0)</x:f>
        <x:v>#NAME?</x:v>
      </x:c>
      <x:c r="N214" t="e">
        <x:f aca="0">IF(LEFT(分期持仓明细!$A$133,LEN(H$81)+2)=H$81&amp;" ·",ROW(分期持仓明细!$A$133),0)</x:f>
        <x:v>#NAME?</x:v>
      </x:c>
      <x:c r="O214" t="e">
        <x:f aca="0">IF(LEFT(分期持仓明细!$A$133,LEN(I$81)+2)=I$81&amp;" ·",ROW(分期持仓明细!$A$133),0)</x:f>
        <x:v>#NAME?</x:v>
      </x:c>
      <x:c r="P214" t="e">
        <x:f aca="0">IF(LEFT(分期持仓明细!$A$133,LEN(J$81)+2)=J$81&amp;" ·",ROW(分期持仓明细!$A$133),0)</x:f>
        <x:v>#NAME?</x:v>
      </x:c>
      <x:c r="Q214" t="e">
        <x:f aca="0">IF(LEFT(分期持仓明细!$A$133,LEN(K$81)+2)=K$81&amp;" ·",ROW(分期持仓明细!$A$133),0)</x:f>
        <x:v>#NAME?</x:v>
      </x:c>
      <x:c r="R214" t="e">
        <x:f aca="0">IF(LEFT(分期持仓明细!$A$133,LEN(L$81)+2)=L$81&amp;" ·",ROW(分期持仓明细!$A$133),0)</x:f>
        <x:v>#NAME?</x:v>
      </x:c>
    </x:row>
    <x:row r="215" ht="12.649999618530273" hidden="0">
      <x:c r="M215" t="e">
        <x:f aca="0">IF(LEFT(分期持仓明细!$A$134,LEN(G$81)+2)=G$81&amp;" ·",ROW(分期持仓明细!$A$134),0)</x:f>
        <x:v>#NAME?</x:v>
      </x:c>
      <x:c r="N215" t="e">
        <x:f aca="0">IF(LEFT(分期持仓明细!$A$134,LEN(H$81)+2)=H$81&amp;" ·",ROW(分期持仓明细!$A$134),0)</x:f>
        <x:v>#NAME?</x:v>
      </x:c>
      <x:c r="O215" t="e">
        <x:f aca="0">IF(LEFT(分期持仓明细!$A$134,LEN(I$81)+2)=I$81&amp;" ·",ROW(分期持仓明细!$A$134),0)</x:f>
        <x:v>#NAME?</x:v>
      </x:c>
      <x:c r="P215" t="e">
        <x:f aca="0">IF(LEFT(分期持仓明细!$A$134,LEN(J$81)+2)=J$81&amp;" ·",ROW(分期持仓明细!$A$134),0)</x:f>
        <x:v>#NAME?</x:v>
      </x:c>
      <x:c r="Q215" t="e">
        <x:f aca="0">IF(LEFT(分期持仓明细!$A$134,LEN(K$81)+2)=K$81&amp;" ·",ROW(分期持仓明细!$A$134),0)</x:f>
        <x:v>#NAME?</x:v>
      </x:c>
      <x:c r="R215" t="e">
        <x:f aca="0">IF(LEFT(分期持仓明细!$A$134,LEN(L$81)+2)=L$81&amp;" ·",ROW(分期持仓明细!$A$134),0)</x:f>
        <x:v>#NAME?</x:v>
      </x:c>
    </x:row>
    <x:row r="216" ht="12.649999618530273" hidden="0">
      <x:c r="M216" t="e">
        <x:f aca="0">IF(LEFT(分期持仓明细!$A$135,LEN(G$81)+2)=G$81&amp;" ·",ROW(分期持仓明细!$A$135),0)</x:f>
        <x:v>#NAME?</x:v>
      </x:c>
      <x:c r="N216" t="e">
        <x:f aca="0">IF(LEFT(分期持仓明细!$A$135,LEN(H$81)+2)=H$81&amp;" ·",ROW(分期持仓明细!$A$135),0)</x:f>
        <x:v>#NAME?</x:v>
      </x:c>
      <x:c r="O216" t="e">
        <x:f aca="0">IF(LEFT(分期持仓明细!$A$135,LEN(I$81)+2)=I$81&amp;" ·",ROW(分期持仓明细!$A$135),0)</x:f>
        <x:v>#NAME?</x:v>
      </x:c>
      <x:c r="P216" t="e">
        <x:f aca="0">IF(LEFT(分期持仓明细!$A$135,LEN(J$81)+2)=J$81&amp;" ·",ROW(分期持仓明细!$A$135),0)</x:f>
        <x:v>#NAME?</x:v>
      </x:c>
      <x:c r="Q216" t="e">
        <x:f aca="0">IF(LEFT(分期持仓明细!$A$135,LEN(K$81)+2)=K$81&amp;" ·",ROW(分期持仓明细!$A$135),0)</x:f>
        <x:v>#NAME?</x:v>
      </x:c>
      <x:c r="R216" t="e">
        <x:f aca="0">IF(LEFT(分期持仓明细!$A$135,LEN(L$81)+2)=L$81&amp;" ·",ROW(分期持仓明细!$A$135),0)</x:f>
        <x:v>#NAME?</x:v>
      </x:c>
    </x:row>
    <x:row r="217" ht="12.649999618530273" hidden="0">
      <x:c r="M217" t="e">
        <x:f aca="0">IF(LEFT(分期持仓明细!$A$136,LEN(G$81)+2)=G$81&amp;" ·",ROW(分期持仓明细!$A$136),0)</x:f>
        <x:v>#NAME?</x:v>
      </x:c>
      <x:c r="N217" t="e">
        <x:f aca="0">IF(LEFT(分期持仓明细!$A$136,LEN(H$81)+2)=H$81&amp;" ·",ROW(分期持仓明细!$A$136),0)</x:f>
        <x:v>#NAME?</x:v>
      </x:c>
      <x:c r="O217" t="e">
        <x:f aca="0">IF(LEFT(分期持仓明细!$A$136,LEN(I$81)+2)=I$81&amp;" ·",ROW(分期持仓明细!$A$136),0)</x:f>
        <x:v>#NAME?</x:v>
      </x:c>
      <x:c r="P217" t="e">
        <x:f aca="0">IF(LEFT(分期持仓明细!$A$136,LEN(J$81)+2)=J$81&amp;" ·",ROW(分期持仓明细!$A$136),0)</x:f>
        <x:v>#NAME?</x:v>
      </x:c>
      <x:c r="Q217" t="e">
        <x:f aca="0">IF(LEFT(分期持仓明细!$A$136,LEN(K$81)+2)=K$81&amp;" ·",ROW(分期持仓明细!$A$136),0)</x:f>
        <x:v>#NAME?</x:v>
      </x:c>
      <x:c r="R217" t="e">
        <x:f aca="0">IF(LEFT(分期持仓明细!$A$136,LEN(L$81)+2)=L$81&amp;" ·",ROW(分期持仓明细!$A$136),0)</x:f>
        <x:v>#NAME?</x:v>
      </x:c>
    </x:row>
    <x:row r="218" ht="12.649999618530273" hidden="0">
      <x:c r="M218" t="e">
        <x:f aca="0">IF(LEFT(分期持仓明细!$A$137,LEN(G$81)+2)=G$81&amp;" ·",ROW(分期持仓明细!$A$137),0)</x:f>
        <x:v>#NAME?</x:v>
      </x:c>
      <x:c r="N218" t="e">
        <x:f aca="0">IF(LEFT(分期持仓明细!$A$137,LEN(H$81)+2)=H$81&amp;" ·",ROW(分期持仓明细!$A$137),0)</x:f>
        <x:v>#NAME?</x:v>
      </x:c>
      <x:c r="O218" t="e">
        <x:f aca="0">IF(LEFT(分期持仓明细!$A$137,LEN(I$81)+2)=I$81&amp;" ·",ROW(分期持仓明细!$A$137),0)</x:f>
        <x:v>#NAME?</x:v>
      </x:c>
      <x:c r="P218" t="e">
        <x:f aca="0">IF(LEFT(分期持仓明细!$A$137,LEN(J$81)+2)=J$81&amp;" ·",ROW(分期持仓明细!$A$137),0)</x:f>
        <x:v>#NAME?</x:v>
      </x:c>
      <x:c r="Q218" t="e">
        <x:f aca="0">IF(LEFT(分期持仓明细!$A$137,LEN(K$81)+2)=K$81&amp;" ·",ROW(分期持仓明细!$A$137),0)</x:f>
        <x:v>#NAME?</x:v>
      </x:c>
      <x:c r="R218" t="e">
        <x:f aca="0">IF(LEFT(分期持仓明细!$A$137,LEN(L$81)+2)=L$81&amp;" ·",ROW(分期持仓明细!$A$137),0)</x:f>
        <x:v>#NAME?</x:v>
      </x:c>
    </x:row>
    <x:row r="219" ht="12.649999618530273" hidden="0">
      <x:c r="M219" t="e">
        <x:f aca="0">IF(LEFT(分期持仓明细!$A$138,LEN(G$81)+2)=G$81&amp;" ·",ROW(分期持仓明细!$A$138),0)</x:f>
        <x:v>#NAME?</x:v>
      </x:c>
      <x:c r="N219" t="e">
        <x:f aca="0">IF(LEFT(分期持仓明细!$A$138,LEN(H$81)+2)=H$81&amp;" ·",ROW(分期持仓明细!$A$138),0)</x:f>
        <x:v>#NAME?</x:v>
      </x:c>
      <x:c r="O219" t="e">
        <x:f aca="0">IF(LEFT(分期持仓明细!$A$138,LEN(I$81)+2)=I$81&amp;" ·",ROW(分期持仓明细!$A$138),0)</x:f>
        <x:v>#NAME?</x:v>
      </x:c>
      <x:c r="P219" t="e">
        <x:f aca="0">IF(LEFT(分期持仓明细!$A$138,LEN(J$81)+2)=J$81&amp;" ·",ROW(分期持仓明细!$A$138),0)</x:f>
        <x:v>#NAME?</x:v>
      </x:c>
      <x:c r="Q219" t="e">
        <x:f aca="0">IF(LEFT(分期持仓明细!$A$138,LEN(K$81)+2)=K$81&amp;" ·",ROW(分期持仓明细!$A$138),0)</x:f>
        <x:v>#NAME?</x:v>
      </x:c>
      <x:c r="R219" t="e">
        <x:f aca="0">IF(LEFT(分期持仓明细!$A$138,LEN(L$81)+2)=L$81&amp;" ·",ROW(分期持仓明细!$A$138),0)</x:f>
        <x:v>#NAME?</x:v>
      </x:c>
    </x:row>
    <x:row r="220" ht="12.649999618530273" hidden="0">
      <x:c r="M220" t="e">
        <x:f aca="0">IF(LEFT(分期持仓明细!$A$139,LEN(G$81)+2)=G$81&amp;" ·",ROW(分期持仓明细!$A$139),0)</x:f>
        <x:v>#NAME?</x:v>
      </x:c>
      <x:c r="N220" t="e">
        <x:f aca="0">IF(LEFT(分期持仓明细!$A$139,LEN(H$81)+2)=H$81&amp;" ·",ROW(分期持仓明细!$A$139),0)</x:f>
        <x:v>#NAME?</x:v>
      </x:c>
      <x:c r="O220" t="e">
        <x:f aca="0">IF(LEFT(分期持仓明细!$A$139,LEN(I$81)+2)=I$81&amp;" ·",ROW(分期持仓明细!$A$139),0)</x:f>
        <x:v>#NAME?</x:v>
      </x:c>
      <x:c r="P220" t="e">
        <x:f aca="0">IF(LEFT(分期持仓明细!$A$139,LEN(J$81)+2)=J$81&amp;" ·",ROW(分期持仓明细!$A$139),0)</x:f>
        <x:v>#NAME?</x:v>
      </x:c>
      <x:c r="Q220" t="e">
        <x:f aca="0">IF(LEFT(分期持仓明细!$A$139,LEN(K$81)+2)=K$81&amp;" ·",ROW(分期持仓明细!$A$139),0)</x:f>
        <x:v>#NAME?</x:v>
      </x:c>
      <x:c r="R220" t="e">
        <x:f aca="0">IF(LEFT(分期持仓明细!$A$139,LEN(L$81)+2)=L$81&amp;" ·",ROW(分期持仓明细!$A$139),0)</x:f>
        <x:v>#NAME?</x:v>
      </x:c>
    </x:row>
    <x:row r="221" ht="12.649999618530273" hidden="0">
      <x:c r="M221" t="e">
        <x:f aca="0">IF(LEFT(分期持仓明细!$A$140,LEN(G$81)+2)=G$81&amp;" ·",ROW(分期持仓明细!$A$140),0)</x:f>
        <x:v>#NAME?</x:v>
      </x:c>
      <x:c r="N221" t="e">
        <x:f aca="0">IF(LEFT(分期持仓明细!$A$140,LEN(H$81)+2)=H$81&amp;" ·",ROW(分期持仓明细!$A$140),0)</x:f>
        <x:v>#NAME?</x:v>
      </x:c>
      <x:c r="O221" t="e">
        <x:f aca="0">IF(LEFT(分期持仓明细!$A$140,LEN(I$81)+2)=I$81&amp;" ·",ROW(分期持仓明细!$A$140),0)</x:f>
        <x:v>#NAME?</x:v>
      </x:c>
      <x:c r="P221" t="e">
        <x:f aca="0">IF(LEFT(分期持仓明细!$A$140,LEN(J$81)+2)=J$81&amp;" ·",ROW(分期持仓明细!$A$140),0)</x:f>
        <x:v>#NAME?</x:v>
      </x:c>
      <x:c r="Q221" t="e">
        <x:f aca="0">IF(LEFT(分期持仓明细!$A$140,LEN(K$81)+2)=K$81&amp;" ·",ROW(分期持仓明细!$A$140),0)</x:f>
        <x:v>#NAME?</x:v>
      </x:c>
      <x:c r="R221" t="e">
        <x:f aca="0">IF(LEFT(分期持仓明细!$A$140,LEN(L$81)+2)=L$81&amp;" ·",ROW(分期持仓明细!$A$140),0)</x:f>
        <x:v>#NAME?</x:v>
      </x:c>
    </x:row>
    <x:row r="222" ht="12.649999618530273" hidden="0">
      <x:c r="M222" t="e">
        <x:f aca="0">IF(LEFT(分期持仓明细!$A$141,LEN(G$81)+2)=G$81&amp;" ·",ROW(分期持仓明细!$A$141),0)</x:f>
        <x:v>#NAME?</x:v>
      </x:c>
      <x:c r="N222" t="e">
        <x:f aca="0">IF(LEFT(分期持仓明细!$A$141,LEN(H$81)+2)=H$81&amp;" ·",ROW(分期持仓明细!$A$141),0)</x:f>
        <x:v>#NAME?</x:v>
      </x:c>
      <x:c r="O222" t="e">
        <x:f aca="0">IF(LEFT(分期持仓明细!$A$141,LEN(I$81)+2)=I$81&amp;" ·",ROW(分期持仓明细!$A$141),0)</x:f>
        <x:v>#NAME?</x:v>
      </x:c>
      <x:c r="P222" t="e">
        <x:f aca="0">IF(LEFT(分期持仓明细!$A$141,LEN(J$81)+2)=J$81&amp;" ·",ROW(分期持仓明细!$A$141),0)</x:f>
        <x:v>#NAME?</x:v>
      </x:c>
      <x:c r="Q222" t="e">
        <x:f aca="0">IF(LEFT(分期持仓明细!$A$141,LEN(K$81)+2)=K$81&amp;" ·",ROW(分期持仓明细!$A$141),0)</x:f>
        <x:v>#NAME?</x:v>
      </x:c>
      <x:c r="R222" t="e">
        <x:f aca="0">IF(LEFT(分期持仓明细!$A$141,LEN(L$81)+2)=L$81&amp;" ·",ROW(分期持仓明细!$A$141),0)</x:f>
        <x:v>#NAME?</x:v>
      </x:c>
    </x:row>
    <x:row r="223" ht="12.649999618530273" hidden="0">
      <x:c r="M223" t="e">
        <x:f aca="0">IF(LEFT(分期持仓明细!$A$142,LEN(G$81)+2)=G$81&amp;" ·",ROW(分期持仓明细!$A$142),0)</x:f>
        <x:v>#NAME?</x:v>
      </x:c>
      <x:c r="N223" t="e">
        <x:f aca="0">IF(LEFT(分期持仓明细!$A$142,LEN(H$81)+2)=H$81&amp;" ·",ROW(分期持仓明细!$A$142),0)</x:f>
        <x:v>#NAME?</x:v>
      </x:c>
      <x:c r="O223" t="e">
        <x:f aca="0">IF(LEFT(分期持仓明细!$A$142,LEN(I$81)+2)=I$81&amp;" ·",ROW(分期持仓明细!$A$142),0)</x:f>
        <x:v>#NAME?</x:v>
      </x:c>
      <x:c r="P223" t="e">
        <x:f aca="0">IF(LEFT(分期持仓明细!$A$142,LEN(J$81)+2)=J$81&amp;" ·",ROW(分期持仓明细!$A$142),0)</x:f>
        <x:v>#NAME?</x:v>
      </x:c>
      <x:c r="Q223" t="e">
        <x:f aca="0">IF(LEFT(分期持仓明细!$A$142,LEN(K$81)+2)=K$81&amp;" ·",ROW(分期持仓明细!$A$142),0)</x:f>
        <x:v>#NAME?</x:v>
      </x:c>
      <x:c r="R223" t="e">
        <x:f aca="0">IF(LEFT(分期持仓明细!$A$142,LEN(L$81)+2)=L$81&amp;" ·",ROW(分期持仓明细!$A$142),0)</x:f>
        <x:v>#NAME?</x:v>
      </x:c>
    </x:row>
    <x:row r="224" ht="12.649999618530273" hidden="0">
      <x:c r="M224" t="e">
        <x:f aca="0">IF(LEFT(分期持仓明细!$A$143,LEN(G$81)+2)=G$81&amp;" ·",ROW(分期持仓明细!$A$143),0)</x:f>
        <x:v>#NAME?</x:v>
      </x:c>
      <x:c r="N224" t="e">
        <x:f aca="0">IF(LEFT(分期持仓明细!$A$143,LEN(H$81)+2)=H$81&amp;" ·",ROW(分期持仓明细!$A$143),0)</x:f>
        <x:v>#NAME?</x:v>
      </x:c>
      <x:c r="O224" t="e">
        <x:f aca="0">IF(LEFT(分期持仓明细!$A$143,LEN(I$81)+2)=I$81&amp;" ·",ROW(分期持仓明细!$A$143),0)</x:f>
        <x:v>#NAME?</x:v>
      </x:c>
      <x:c r="P224" t="e">
        <x:f aca="0">IF(LEFT(分期持仓明细!$A$143,LEN(J$81)+2)=J$81&amp;" ·",ROW(分期持仓明细!$A$143),0)</x:f>
        <x:v>#NAME?</x:v>
      </x:c>
      <x:c r="Q224" t="e">
        <x:f aca="0">IF(LEFT(分期持仓明细!$A$143,LEN(K$81)+2)=K$81&amp;" ·",ROW(分期持仓明细!$A$143),0)</x:f>
        <x:v>#NAME?</x:v>
      </x:c>
      <x:c r="R224" t="e">
        <x:f aca="0">IF(LEFT(分期持仓明细!$A$143,LEN(L$81)+2)=L$81&amp;" ·",ROW(分期持仓明细!$A$143),0)</x:f>
        <x:v>#NAME?</x:v>
      </x:c>
    </x:row>
    <x:row r="225" ht="12.649999618530273" hidden="0">
      <x:c r="M225" t="e">
        <x:f aca="0">IF(LEFT(分期持仓明细!$A$144,LEN(G$81)+2)=G$81&amp;" ·",ROW(分期持仓明细!$A$144),0)</x:f>
        <x:v>#NAME?</x:v>
      </x:c>
      <x:c r="N225" t="e">
        <x:f aca="0">IF(LEFT(分期持仓明细!$A$144,LEN(H$81)+2)=H$81&amp;" ·",ROW(分期持仓明细!$A$144),0)</x:f>
        <x:v>#NAME?</x:v>
      </x:c>
      <x:c r="O225" t="e">
        <x:f aca="0">IF(LEFT(分期持仓明细!$A$144,LEN(I$81)+2)=I$81&amp;" ·",ROW(分期持仓明细!$A$144),0)</x:f>
        <x:v>#NAME?</x:v>
      </x:c>
      <x:c r="P225" t="e">
        <x:f aca="0">IF(LEFT(分期持仓明细!$A$144,LEN(J$81)+2)=J$81&amp;" ·",ROW(分期持仓明细!$A$144),0)</x:f>
        <x:v>#NAME?</x:v>
      </x:c>
      <x:c r="Q225" t="e">
        <x:f aca="0">IF(LEFT(分期持仓明细!$A$144,LEN(K$81)+2)=K$81&amp;" ·",ROW(分期持仓明细!$A$144),0)</x:f>
        <x:v>#NAME?</x:v>
      </x:c>
      <x:c r="R225" t="e">
        <x:f aca="0">IF(LEFT(分期持仓明细!$A$144,LEN(L$81)+2)=L$81&amp;" ·",ROW(分期持仓明细!$A$144),0)</x:f>
        <x:v>#NAME?</x:v>
      </x:c>
    </x:row>
    <x:row r="226" ht="12.649999618530273" hidden="0">
      <x:c r="M226" t="e">
        <x:f aca="0">IF(LEFT(分期持仓明细!$A$145,LEN(G$81)+2)=G$81&amp;" ·",ROW(分期持仓明细!$A$145),0)</x:f>
        <x:v>#NAME?</x:v>
      </x:c>
      <x:c r="N226" t="e">
        <x:f aca="0">IF(LEFT(分期持仓明细!$A$145,LEN(H$81)+2)=H$81&amp;" ·",ROW(分期持仓明细!$A$145),0)</x:f>
        <x:v>#NAME?</x:v>
      </x:c>
      <x:c r="O226" t="e">
        <x:f aca="0">IF(LEFT(分期持仓明细!$A$145,LEN(I$81)+2)=I$81&amp;" ·",ROW(分期持仓明细!$A$145),0)</x:f>
        <x:v>#NAME?</x:v>
      </x:c>
      <x:c r="P226" t="e">
        <x:f aca="0">IF(LEFT(分期持仓明细!$A$145,LEN(J$81)+2)=J$81&amp;" ·",ROW(分期持仓明细!$A$145),0)</x:f>
        <x:v>#NAME?</x:v>
      </x:c>
      <x:c r="Q226" t="e">
        <x:f aca="0">IF(LEFT(分期持仓明细!$A$145,LEN(K$81)+2)=K$81&amp;" ·",ROW(分期持仓明细!$A$145),0)</x:f>
        <x:v>#NAME?</x:v>
      </x:c>
      <x:c r="R226" t="e">
        <x:f aca="0">IF(LEFT(分期持仓明细!$A$145,LEN(L$81)+2)=L$81&amp;" ·",ROW(分期持仓明细!$A$145),0)</x:f>
        <x:v>#NAME?</x:v>
      </x:c>
    </x:row>
    <x:row r="227" ht="12.649999618530273" hidden="0">
      <x:c r="M227" t="e">
        <x:f aca="0">IF(LEFT(分期持仓明细!$A$146,LEN(G$81)+2)=G$81&amp;" ·",ROW(分期持仓明细!$A$146),0)</x:f>
        <x:v>#NAME?</x:v>
      </x:c>
      <x:c r="N227" t="e">
        <x:f aca="0">IF(LEFT(分期持仓明细!$A$146,LEN(H$81)+2)=H$81&amp;" ·",ROW(分期持仓明细!$A$146),0)</x:f>
        <x:v>#NAME?</x:v>
      </x:c>
      <x:c r="O227" t="e">
        <x:f aca="0">IF(LEFT(分期持仓明细!$A$146,LEN(I$81)+2)=I$81&amp;" ·",ROW(分期持仓明细!$A$146),0)</x:f>
        <x:v>#NAME?</x:v>
      </x:c>
      <x:c r="P227" t="e">
        <x:f aca="0">IF(LEFT(分期持仓明细!$A$146,LEN(J$81)+2)=J$81&amp;" ·",ROW(分期持仓明细!$A$146),0)</x:f>
        <x:v>#NAME?</x:v>
      </x:c>
      <x:c r="Q227" t="e">
        <x:f aca="0">IF(LEFT(分期持仓明细!$A$146,LEN(K$81)+2)=K$81&amp;" ·",ROW(分期持仓明细!$A$146),0)</x:f>
        <x:v>#NAME?</x:v>
      </x:c>
      <x:c r="R227" t="e">
        <x:f aca="0">IF(LEFT(分期持仓明细!$A$146,LEN(L$81)+2)=L$81&amp;" ·",ROW(分期持仓明细!$A$146),0)</x:f>
        <x:v>#NAME?</x:v>
      </x:c>
    </x:row>
    <x:row r="228" ht="12.649999618530273" hidden="0">
      <x:c r="M228" t="e">
        <x:f aca="0">IF(LEFT(分期持仓明细!$A$147,LEN(G$81)+2)=G$81&amp;" ·",ROW(分期持仓明细!$A$147),0)</x:f>
        <x:v>#NAME?</x:v>
      </x:c>
      <x:c r="N228" t="e">
        <x:f aca="0">IF(LEFT(分期持仓明细!$A$147,LEN(H$81)+2)=H$81&amp;" ·",ROW(分期持仓明细!$A$147),0)</x:f>
        <x:v>#NAME?</x:v>
      </x:c>
      <x:c r="O228" t="e">
        <x:f aca="0">IF(LEFT(分期持仓明细!$A$147,LEN(I$81)+2)=I$81&amp;" ·",ROW(分期持仓明细!$A$147),0)</x:f>
        <x:v>#NAME?</x:v>
      </x:c>
      <x:c r="P228" t="e">
        <x:f aca="0">IF(LEFT(分期持仓明细!$A$147,LEN(J$81)+2)=J$81&amp;" ·",ROW(分期持仓明细!$A$147),0)</x:f>
        <x:v>#NAME?</x:v>
      </x:c>
      <x:c r="Q228" t="e">
        <x:f aca="0">IF(LEFT(分期持仓明细!$A$147,LEN(K$81)+2)=K$81&amp;" ·",ROW(分期持仓明细!$A$147),0)</x:f>
        <x:v>#NAME?</x:v>
      </x:c>
      <x:c r="R228" t="e">
        <x:f aca="0">IF(LEFT(分期持仓明细!$A$147,LEN(L$81)+2)=L$81&amp;" ·",ROW(分期持仓明细!$A$147),0)</x:f>
        <x:v>#NAME?</x:v>
      </x:c>
    </x:row>
    <x:row r="229" ht="12.649999618530273" hidden="0">
      <x:c r="M229" t="e">
        <x:f aca="0">IF(LEFT(分期持仓明细!$A$148,LEN(G$81)+2)=G$81&amp;" ·",ROW(分期持仓明细!$A$148),0)</x:f>
        <x:v>#NAME?</x:v>
      </x:c>
      <x:c r="N229" t="e">
        <x:f aca="0">IF(LEFT(分期持仓明细!$A$148,LEN(H$81)+2)=H$81&amp;" ·",ROW(分期持仓明细!$A$148),0)</x:f>
        <x:v>#NAME?</x:v>
      </x:c>
      <x:c r="O229" t="e">
        <x:f aca="0">IF(LEFT(分期持仓明细!$A$148,LEN(I$81)+2)=I$81&amp;" ·",ROW(分期持仓明细!$A$148),0)</x:f>
        <x:v>#NAME?</x:v>
      </x:c>
      <x:c r="P229" t="e">
        <x:f aca="0">IF(LEFT(分期持仓明细!$A$148,LEN(J$81)+2)=J$81&amp;" ·",ROW(分期持仓明细!$A$148),0)</x:f>
        <x:v>#NAME?</x:v>
      </x:c>
      <x:c r="Q229" t="e">
        <x:f aca="0">IF(LEFT(分期持仓明细!$A$148,LEN(K$81)+2)=K$81&amp;" ·",ROW(分期持仓明细!$A$148),0)</x:f>
        <x:v>#NAME?</x:v>
      </x:c>
      <x:c r="R229" t="e">
        <x:f aca="0">IF(LEFT(分期持仓明细!$A$148,LEN(L$81)+2)=L$81&amp;" ·",ROW(分期持仓明细!$A$148),0)</x:f>
        <x:v>#NAME?</x:v>
      </x:c>
    </x:row>
    <x:row r="230" ht="12.649999618530273" hidden="0">
      <x:c r="M230" t="e">
        <x:f aca="0">IF(LEFT(分期持仓明细!$A$149,LEN(G$81)+2)=G$81&amp;" ·",ROW(分期持仓明细!$A$149),0)</x:f>
        <x:v>#NAME?</x:v>
      </x:c>
      <x:c r="N230" t="e">
        <x:f aca="0">IF(LEFT(分期持仓明细!$A$149,LEN(H$81)+2)=H$81&amp;" ·",ROW(分期持仓明细!$A$149),0)</x:f>
        <x:v>#NAME?</x:v>
      </x:c>
      <x:c r="O230" t="e">
        <x:f aca="0">IF(LEFT(分期持仓明细!$A$149,LEN(I$81)+2)=I$81&amp;" ·",ROW(分期持仓明细!$A$149),0)</x:f>
        <x:v>#NAME?</x:v>
      </x:c>
      <x:c r="P230" t="e">
        <x:f aca="0">IF(LEFT(分期持仓明细!$A$149,LEN(J$81)+2)=J$81&amp;" ·",ROW(分期持仓明细!$A$149),0)</x:f>
        <x:v>#NAME?</x:v>
      </x:c>
      <x:c r="Q230" t="e">
        <x:f aca="0">IF(LEFT(分期持仓明细!$A$149,LEN(K$81)+2)=K$81&amp;" ·",ROW(分期持仓明细!$A$149),0)</x:f>
        <x:v>#NAME?</x:v>
      </x:c>
      <x:c r="R230" t="e">
        <x:f aca="0">IF(LEFT(分期持仓明细!$A$149,LEN(L$81)+2)=L$81&amp;" ·",ROW(分期持仓明细!$A$149),0)</x:f>
        <x:v>#NAME?</x:v>
      </x:c>
    </x:row>
    <x:row r="231" ht="12.649999618530273" hidden="0">
      <x:c r="M231" t="e">
        <x:f aca="0">IF(LEFT(分期持仓明细!$A$150,LEN(G$81)+2)=G$81&amp;" ·",ROW(分期持仓明细!$A$150),0)</x:f>
        <x:v>#NAME?</x:v>
      </x:c>
      <x:c r="N231" t="e">
        <x:f aca="0">IF(LEFT(分期持仓明细!$A$150,LEN(H$81)+2)=H$81&amp;" ·",ROW(分期持仓明细!$A$150),0)</x:f>
        <x:v>#NAME?</x:v>
      </x:c>
      <x:c r="O231" t="e">
        <x:f aca="0">IF(LEFT(分期持仓明细!$A$150,LEN(I$81)+2)=I$81&amp;" ·",ROW(分期持仓明细!$A$150),0)</x:f>
        <x:v>#NAME?</x:v>
      </x:c>
      <x:c r="P231" t="e">
        <x:f aca="0">IF(LEFT(分期持仓明细!$A$150,LEN(J$81)+2)=J$81&amp;" ·",ROW(分期持仓明细!$A$150),0)</x:f>
        <x:v>#NAME?</x:v>
      </x:c>
      <x:c r="Q231" t="e">
        <x:f aca="0">IF(LEFT(分期持仓明细!$A$150,LEN(K$81)+2)=K$81&amp;" ·",ROW(分期持仓明细!$A$150),0)</x:f>
        <x:v>#NAME?</x:v>
      </x:c>
      <x:c r="R231" t="e">
        <x:f aca="0">IF(LEFT(分期持仓明细!$A$150,LEN(L$81)+2)=L$81&amp;" ·",ROW(分期持仓明细!$A$150),0)</x:f>
        <x:v>#NAME?</x:v>
      </x:c>
    </x:row>
    <x:row r="232" ht="12.649999618530273" hidden="0">
      <x:c r="M232" t="e">
        <x:f aca="0">IF(LEFT(分期持仓明细!$A$151,LEN(G$81)+2)=G$81&amp;" ·",ROW(分期持仓明细!$A$151),0)</x:f>
        <x:v>#NAME?</x:v>
      </x:c>
      <x:c r="N232" t="e">
        <x:f aca="0">IF(LEFT(分期持仓明细!$A$151,LEN(H$81)+2)=H$81&amp;" ·",ROW(分期持仓明细!$A$151),0)</x:f>
        <x:v>#NAME?</x:v>
      </x:c>
      <x:c r="O232" t="e">
        <x:f aca="0">IF(LEFT(分期持仓明细!$A$151,LEN(I$81)+2)=I$81&amp;" ·",ROW(分期持仓明细!$A$151),0)</x:f>
        <x:v>#NAME?</x:v>
      </x:c>
      <x:c r="P232" t="e">
        <x:f aca="0">IF(LEFT(分期持仓明细!$A$151,LEN(J$81)+2)=J$81&amp;" ·",ROW(分期持仓明细!$A$151),0)</x:f>
        <x:v>#NAME?</x:v>
      </x:c>
      <x:c r="Q232" t="e">
        <x:f aca="0">IF(LEFT(分期持仓明细!$A$151,LEN(K$81)+2)=K$81&amp;" ·",ROW(分期持仓明细!$A$151),0)</x:f>
        <x:v>#NAME?</x:v>
      </x:c>
      <x:c r="R232" t="e">
        <x:f aca="0">IF(LEFT(分期持仓明细!$A$151,LEN(L$81)+2)=L$81&amp;" ·",ROW(分期持仓明细!$A$151),0)</x:f>
        <x:v>#NAME?</x:v>
      </x:c>
    </x:row>
    <x:row r="233" ht="12.649999618530273" hidden="0">
      <x:c r="M233" t="e">
        <x:f aca="0">IF(LEFT(分期持仓明细!$A$152,LEN(G$81)+2)=G$81&amp;" ·",ROW(分期持仓明细!$A$152),0)</x:f>
        <x:v>#NAME?</x:v>
      </x:c>
      <x:c r="N233" t="e">
        <x:f aca="0">IF(LEFT(分期持仓明细!$A$152,LEN(H$81)+2)=H$81&amp;" ·",ROW(分期持仓明细!$A$152),0)</x:f>
        <x:v>#NAME?</x:v>
      </x:c>
      <x:c r="O233" t="e">
        <x:f aca="0">IF(LEFT(分期持仓明细!$A$152,LEN(I$81)+2)=I$81&amp;" ·",ROW(分期持仓明细!$A$152),0)</x:f>
        <x:v>#NAME?</x:v>
      </x:c>
      <x:c r="P233" t="e">
        <x:f aca="0">IF(LEFT(分期持仓明细!$A$152,LEN(J$81)+2)=J$81&amp;" ·",ROW(分期持仓明细!$A$152),0)</x:f>
        <x:v>#NAME?</x:v>
      </x:c>
      <x:c r="Q233" t="e">
        <x:f aca="0">IF(LEFT(分期持仓明细!$A$152,LEN(K$81)+2)=K$81&amp;" ·",ROW(分期持仓明细!$A$152),0)</x:f>
        <x:v>#NAME?</x:v>
      </x:c>
      <x:c r="R233" t="e">
        <x:f aca="0">IF(LEFT(分期持仓明细!$A$152,LEN(L$81)+2)=L$81&amp;" ·",ROW(分期持仓明细!$A$152),0)</x:f>
        <x:v>#NAME?</x:v>
      </x:c>
    </x:row>
    <x:row r="234" ht="12.649999618530273" hidden="0">
      <x:c r="M234" t="e">
        <x:f aca="0">IF(LEFT(分期持仓明细!$A$153,LEN(G$81)+2)=G$81&amp;" ·",ROW(分期持仓明细!$A$153),0)</x:f>
        <x:v>#NAME?</x:v>
      </x:c>
      <x:c r="N234" t="e">
        <x:f aca="0">IF(LEFT(分期持仓明细!$A$153,LEN(H$81)+2)=H$81&amp;" ·",ROW(分期持仓明细!$A$153),0)</x:f>
        <x:v>#NAME?</x:v>
      </x:c>
      <x:c r="O234" t="e">
        <x:f aca="0">IF(LEFT(分期持仓明细!$A$153,LEN(I$81)+2)=I$81&amp;" ·",ROW(分期持仓明细!$A$153),0)</x:f>
        <x:v>#NAME?</x:v>
      </x:c>
      <x:c r="P234" t="e">
        <x:f aca="0">IF(LEFT(分期持仓明细!$A$153,LEN(J$81)+2)=J$81&amp;" ·",ROW(分期持仓明细!$A$153),0)</x:f>
        <x:v>#NAME?</x:v>
      </x:c>
      <x:c r="Q234" t="e">
        <x:f aca="0">IF(LEFT(分期持仓明细!$A$153,LEN(K$81)+2)=K$81&amp;" ·",ROW(分期持仓明细!$A$153),0)</x:f>
        <x:v>#NAME?</x:v>
      </x:c>
      <x:c r="R234" t="e">
        <x:f aca="0">IF(LEFT(分期持仓明细!$A$153,LEN(L$81)+2)=L$81&amp;" ·",ROW(分期持仓明细!$A$153),0)</x:f>
        <x:v>#NAME?</x:v>
      </x:c>
    </x:row>
    <x:row r="235" ht="12.649999618530273" hidden="0">
      <x:c r="M235" t="e">
        <x:f aca="0">IF(LEFT(分期持仓明细!$A$154,LEN(G$81)+2)=G$81&amp;" ·",ROW(分期持仓明细!$A$154),0)</x:f>
        <x:v>#NAME?</x:v>
      </x:c>
      <x:c r="N235" t="e">
        <x:f aca="0">IF(LEFT(分期持仓明细!$A$154,LEN(H$81)+2)=H$81&amp;" ·",ROW(分期持仓明细!$A$154),0)</x:f>
        <x:v>#NAME?</x:v>
      </x:c>
      <x:c r="O235" t="e">
        <x:f aca="0">IF(LEFT(分期持仓明细!$A$154,LEN(I$81)+2)=I$81&amp;" ·",ROW(分期持仓明细!$A$154),0)</x:f>
        <x:v>#NAME?</x:v>
      </x:c>
      <x:c r="P235" t="e">
        <x:f aca="0">IF(LEFT(分期持仓明细!$A$154,LEN(J$81)+2)=J$81&amp;" ·",ROW(分期持仓明细!$A$154),0)</x:f>
        <x:v>#NAME?</x:v>
      </x:c>
      <x:c r="Q235" t="e">
        <x:f aca="0">IF(LEFT(分期持仓明细!$A$154,LEN(K$81)+2)=K$81&amp;" ·",ROW(分期持仓明细!$A$154),0)</x:f>
        <x:v>#NAME?</x:v>
      </x:c>
      <x:c r="R235" t="e">
        <x:f aca="0">IF(LEFT(分期持仓明细!$A$154,LEN(L$81)+2)=L$81&amp;" ·",ROW(分期持仓明细!$A$154),0)</x:f>
        <x:v>#NAME?</x:v>
      </x:c>
    </x:row>
    <x:row r="236" ht="12.649999618530273" hidden="0">
      <x:c r="M236" t="e">
        <x:f aca="0">IF(LEFT(分期持仓明细!$A$155,LEN(G$81)+2)=G$81&amp;" ·",ROW(分期持仓明细!$A$155),0)</x:f>
        <x:v>#NAME?</x:v>
      </x:c>
      <x:c r="N236" t="e">
        <x:f aca="0">IF(LEFT(分期持仓明细!$A$155,LEN(H$81)+2)=H$81&amp;" ·",ROW(分期持仓明细!$A$155),0)</x:f>
        <x:v>#NAME?</x:v>
      </x:c>
      <x:c r="O236" t="e">
        <x:f aca="0">IF(LEFT(分期持仓明细!$A$155,LEN(I$81)+2)=I$81&amp;" ·",ROW(分期持仓明细!$A$155),0)</x:f>
        <x:v>#NAME?</x:v>
      </x:c>
      <x:c r="P236" t="e">
        <x:f aca="0">IF(LEFT(分期持仓明细!$A$155,LEN(J$81)+2)=J$81&amp;" ·",ROW(分期持仓明细!$A$155),0)</x:f>
        <x:v>#NAME?</x:v>
      </x:c>
      <x:c r="Q236" t="e">
        <x:f aca="0">IF(LEFT(分期持仓明细!$A$155,LEN(K$81)+2)=K$81&amp;" ·",ROW(分期持仓明细!$A$155),0)</x:f>
        <x:v>#NAME?</x:v>
      </x:c>
      <x:c r="R236" t="e">
        <x:f aca="0">IF(LEFT(分期持仓明细!$A$155,LEN(L$81)+2)=L$81&amp;" ·",ROW(分期持仓明细!$A$155),0)</x:f>
        <x:v>#NAME?</x:v>
      </x:c>
    </x:row>
    <x:row r="237" ht="12.649999618530273" hidden="0">
      <x:c r="M237" t="e">
        <x:f aca="0">IF(LEFT(分期持仓明细!$A$156,LEN(G$81)+2)=G$81&amp;" ·",ROW(分期持仓明细!$A$156),0)</x:f>
        <x:v>#NAME?</x:v>
      </x:c>
      <x:c r="N237" t="e">
        <x:f aca="0">IF(LEFT(分期持仓明细!$A$156,LEN(H$81)+2)=H$81&amp;" ·",ROW(分期持仓明细!$A$156),0)</x:f>
        <x:v>#NAME?</x:v>
      </x:c>
      <x:c r="O237" t="e">
        <x:f aca="0">IF(LEFT(分期持仓明细!$A$156,LEN(I$81)+2)=I$81&amp;" ·",ROW(分期持仓明细!$A$156),0)</x:f>
        <x:v>#NAME?</x:v>
      </x:c>
      <x:c r="P237" t="e">
        <x:f aca="0">IF(LEFT(分期持仓明细!$A$156,LEN(J$81)+2)=J$81&amp;" ·",ROW(分期持仓明细!$A$156),0)</x:f>
        <x:v>#NAME?</x:v>
      </x:c>
      <x:c r="Q237" t="e">
        <x:f aca="0">IF(LEFT(分期持仓明细!$A$156,LEN(K$81)+2)=K$81&amp;" ·",ROW(分期持仓明细!$A$156),0)</x:f>
        <x:v>#NAME?</x:v>
      </x:c>
      <x:c r="R237" t="e">
        <x:f aca="0">IF(LEFT(分期持仓明细!$A$156,LEN(L$81)+2)=L$81&amp;" ·",ROW(分期持仓明细!$A$156),0)</x:f>
        <x:v>#NAME?</x:v>
      </x:c>
    </x:row>
    <x:row r="238" ht="12.649999618530273" hidden="0">
      <x:c r="M238" t="e">
        <x:f aca="0">IF(LEFT(分期持仓明细!$A$157,LEN(G$81)+2)=G$81&amp;" ·",ROW(分期持仓明细!$A$157),0)</x:f>
        <x:v>#NAME?</x:v>
      </x:c>
      <x:c r="N238" t="e">
        <x:f aca="0">IF(LEFT(分期持仓明细!$A$157,LEN(H$81)+2)=H$81&amp;" ·",ROW(分期持仓明细!$A$157),0)</x:f>
        <x:v>#NAME?</x:v>
      </x:c>
      <x:c r="O238" t="e">
        <x:f aca="0">IF(LEFT(分期持仓明细!$A$157,LEN(I$81)+2)=I$81&amp;" ·",ROW(分期持仓明细!$A$157),0)</x:f>
        <x:v>#NAME?</x:v>
      </x:c>
      <x:c r="P238" t="e">
        <x:f aca="0">IF(LEFT(分期持仓明细!$A$157,LEN(J$81)+2)=J$81&amp;" ·",ROW(分期持仓明细!$A$157),0)</x:f>
        <x:v>#NAME?</x:v>
      </x:c>
      <x:c r="Q238" t="e">
        <x:f aca="0">IF(LEFT(分期持仓明细!$A$157,LEN(K$81)+2)=K$81&amp;" ·",ROW(分期持仓明细!$A$157),0)</x:f>
        <x:v>#NAME?</x:v>
      </x:c>
      <x:c r="R238" t="e">
        <x:f aca="0">IF(LEFT(分期持仓明细!$A$157,LEN(L$81)+2)=L$81&amp;" ·",ROW(分期持仓明细!$A$157),0)</x:f>
        <x:v>#NAME?</x:v>
      </x:c>
    </x:row>
    <x:row r="239" ht="12.649999618530273" hidden="0">
      <x:c r="M239" t="e">
        <x:f aca="0">IF(LEFT(分期持仓明细!$A$158,LEN(G$81)+2)=G$81&amp;" ·",ROW(分期持仓明细!$A$158),0)</x:f>
        <x:v>#NAME?</x:v>
      </x:c>
      <x:c r="N239" t="e">
        <x:f aca="0">IF(LEFT(分期持仓明细!$A$158,LEN(H$81)+2)=H$81&amp;" ·",ROW(分期持仓明细!$A$158),0)</x:f>
        <x:v>#NAME?</x:v>
      </x:c>
      <x:c r="O239" t="e">
        <x:f aca="0">IF(LEFT(分期持仓明细!$A$158,LEN(I$81)+2)=I$81&amp;" ·",ROW(分期持仓明细!$A$158),0)</x:f>
        <x:v>#NAME?</x:v>
      </x:c>
      <x:c r="P239" t="e">
        <x:f aca="0">IF(LEFT(分期持仓明细!$A$158,LEN(J$81)+2)=J$81&amp;" ·",ROW(分期持仓明细!$A$158),0)</x:f>
        <x:v>#NAME?</x:v>
      </x:c>
      <x:c r="Q239" t="e">
        <x:f aca="0">IF(LEFT(分期持仓明细!$A$158,LEN(K$81)+2)=K$81&amp;" ·",ROW(分期持仓明细!$A$158),0)</x:f>
        <x:v>#NAME?</x:v>
      </x:c>
      <x:c r="R239" t="e">
        <x:f aca="0">IF(LEFT(分期持仓明细!$A$158,LEN(L$81)+2)=L$81&amp;" ·",ROW(分期持仓明细!$A$158),0)</x:f>
        <x:v>#NAME?</x:v>
      </x:c>
    </x:row>
    <x:row r="240" ht="12.649999618530273" hidden="0">
      <x:c r="M240" t="e">
        <x:f aca="0">IF(LEFT(分期持仓明细!$A$159,LEN(G$81)+2)=G$81&amp;" ·",ROW(分期持仓明细!$A$159),0)</x:f>
        <x:v>#NAME?</x:v>
      </x:c>
      <x:c r="N240" t="e">
        <x:f aca="0">IF(LEFT(分期持仓明细!$A$159,LEN(H$81)+2)=H$81&amp;" ·",ROW(分期持仓明细!$A$159),0)</x:f>
        <x:v>#NAME?</x:v>
      </x:c>
      <x:c r="O240" t="e">
        <x:f aca="0">IF(LEFT(分期持仓明细!$A$159,LEN(I$81)+2)=I$81&amp;" ·",ROW(分期持仓明细!$A$159),0)</x:f>
        <x:v>#NAME?</x:v>
      </x:c>
      <x:c r="P240" t="e">
        <x:f aca="0">IF(LEFT(分期持仓明细!$A$159,LEN(J$81)+2)=J$81&amp;" ·",ROW(分期持仓明细!$A$159),0)</x:f>
        <x:v>#NAME?</x:v>
      </x:c>
      <x:c r="Q240" t="e">
        <x:f aca="0">IF(LEFT(分期持仓明细!$A$159,LEN(K$81)+2)=K$81&amp;" ·",ROW(分期持仓明细!$A$159),0)</x:f>
        <x:v>#NAME?</x:v>
      </x:c>
      <x:c r="R240" t="e">
        <x:f aca="0">IF(LEFT(分期持仓明细!$A$159,LEN(L$81)+2)=L$81&amp;" ·",ROW(分期持仓明细!$A$159),0)</x:f>
        <x:v>#NAME?</x:v>
      </x:c>
    </x:row>
    <x:row r="241" ht="12.649999618530273" hidden="0">
      <x:c r="M241" t="e">
        <x:f aca="0">IF(LEFT(分期持仓明细!$A$160,LEN(G$81)+2)=G$81&amp;" ·",ROW(分期持仓明细!$A$160),0)</x:f>
        <x:v>#NAME?</x:v>
      </x:c>
      <x:c r="N241" t="e">
        <x:f aca="0">IF(LEFT(分期持仓明细!$A$160,LEN(H$81)+2)=H$81&amp;" ·",ROW(分期持仓明细!$A$160),0)</x:f>
        <x:v>#NAME?</x:v>
      </x:c>
      <x:c r="O241" t="e">
        <x:f aca="0">IF(LEFT(分期持仓明细!$A$160,LEN(I$81)+2)=I$81&amp;" ·",ROW(分期持仓明细!$A$160),0)</x:f>
        <x:v>#NAME?</x:v>
      </x:c>
      <x:c r="P241" t="e">
        <x:f aca="0">IF(LEFT(分期持仓明细!$A$160,LEN(J$81)+2)=J$81&amp;" ·",ROW(分期持仓明细!$A$160),0)</x:f>
        <x:v>#NAME?</x:v>
      </x:c>
      <x:c r="Q241" t="e">
        <x:f aca="0">IF(LEFT(分期持仓明细!$A$160,LEN(K$81)+2)=K$81&amp;" ·",ROW(分期持仓明细!$A$160),0)</x:f>
        <x:v>#NAME?</x:v>
      </x:c>
      <x:c r="R241" t="e">
        <x:f aca="0">IF(LEFT(分期持仓明细!$A$160,LEN(L$81)+2)=L$81&amp;" ·",ROW(分期持仓明细!$A$160),0)</x:f>
        <x:v>#NAME?</x:v>
      </x:c>
    </x:row>
    <x:row r="242" ht="12.649999618530273" hidden="0">
      <x:c r="M242" t="e">
        <x:f aca="0">IF(LEFT(分期持仓明细!$A$161,LEN(G$81)+2)=G$81&amp;" ·",ROW(分期持仓明细!$A$161),0)</x:f>
        <x:v>#NAME?</x:v>
      </x:c>
      <x:c r="N242" t="e">
        <x:f aca="0">IF(LEFT(分期持仓明细!$A$161,LEN(H$81)+2)=H$81&amp;" ·",ROW(分期持仓明细!$A$161),0)</x:f>
        <x:v>#NAME?</x:v>
      </x:c>
      <x:c r="O242" t="e">
        <x:f aca="0">IF(LEFT(分期持仓明细!$A$161,LEN(I$81)+2)=I$81&amp;" ·",ROW(分期持仓明细!$A$161),0)</x:f>
        <x:v>#NAME?</x:v>
      </x:c>
      <x:c r="P242" t="e">
        <x:f aca="0">IF(LEFT(分期持仓明细!$A$161,LEN(J$81)+2)=J$81&amp;" ·",ROW(分期持仓明细!$A$161),0)</x:f>
        <x:v>#NAME?</x:v>
      </x:c>
      <x:c r="Q242" t="e">
        <x:f aca="0">IF(LEFT(分期持仓明细!$A$161,LEN(K$81)+2)=K$81&amp;" ·",ROW(分期持仓明细!$A$161),0)</x:f>
        <x:v>#NAME?</x:v>
      </x:c>
      <x:c r="R242" t="e">
        <x:f aca="0">IF(LEFT(分期持仓明细!$A$161,LEN(L$81)+2)=L$81&amp;" ·",ROW(分期持仓明细!$A$161),0)</x:f>
        <x:v>#NAME?</x:v>
      </x:c>
    </x:row>
    <x:row r="243" ht="12.649999618530273" hidden="0">
      <x:c r="M243" t="e">
        <x:f aca="0">IF(LEFT(分期持仓明细!$A$162,LEN(G$81)+2)=G$81&amp;" ·",ROW(分期持仓明细!$A$162),0)</x:f>
        <x:v>#NAME?</x:v>
      </x:c>
      <x:c r="N243" t="e">
        <x:f aca="0">IF(LEFT(分期持仓明细!$A$162,LEN(H$81)+2)=H$81&amp;" ·",ROW(分期持仓明细!$A$162),0)</x:f>
        <x:v>#NAME?</x:v>
      </x:c>
      <x:c r="O243" t="e">
        <x:f aca="0">IF(LEFT(分期持仓明细!$A$162,LEN(I$81)+2)=I$81&amp;" ·",ROW(分期持仓明细!$A$162),0)</x:f>
        <x:v>#NAME?</x:v>
      </x:c>
      <x:c r="P243" t="e">
        <x:f aca="0">IF(LEFT(分期持仓明细!$A$162,LEN(J$81)+2)=J$81&amp;" ·",ROW(分期持仓明细!$A$162),0)</x:f>
        <x:v>#NAME?</x:v>
      </x:c>
      <x:c r="Q243" t="e">
        <x:f aca="0">IF(LEFT(分期持仓明细!$A$162,LEN(K$81)+2)=K$81&amp;" ·",ROW(分期持仓明细!$A$162),0)</x:f>
        <x:v>#NAME?</x:v>
      </x:c>
      <x:c r="R243" t="e">
        <x:f aca="0">IF(LEFT(分期持仓明细!$A$162,LEN(L$81)+2)=L$81&amp;" ·",ROW(分期持仓明细!$A$162),0)</x:f>
        <x:v>#NAME?</x:v>
      </x:c>
    </x:row>
    <x:row r="244" ht="12.649999618530273" hidden="0">
      <x:c r="M244" t="e">
        <x:f aca="0">IF(LEFT(分期持仓明细!$A$163,LEN(G$81)+2)=G$81&amp;" ·",ROW(分期持仓明细!$A$163),0)</x:f>
        <x:v>#NAME?</x:v>
      </x:c>
      <x:c r="N244" t="e">
        <x:f aca="0">IF(LEFT(分期持仓明细!$A$163,LEN(H$81)+2)=H$81&amp;" ·",ROW(分期持仓明细!$A$163),0)</x:f>
        <x:v>#NAME?</x:v>
      </x:c>
      <x:c r="O244" t="e">
        <x:f aca="0">IF(LEFT(分期持仓明细!$A$163,LEN(I$81)+2)=I$81&amp;" ·",ROW(分期持仓明细!$A$163),0)</x:f>
        <x:v>#NAME?</x:v>
      </x:c>
      <x:c r="P244" t="e">
        <x:f aca="0">IF(LEFT(分期持仓明细!$A$163,LEN(J$81)+2)=J$81&amp;" ·",ROW(分期持仓明细!$A$163),0)</x:f>
        <x:v>#NAME?</x:v>
      </x:c>
      <x:c r="Q244" t="e">
        <x:f aca="0">IF(LEFT(分期持仓明细!$A$163,LEN(K$81)+2)=K$81&amp;" ·",ROW(分期持仓明细!$A$163),0)</x:f>
        <x:v>#NAME?</x:v>
      </x:c>
      <x:c r="R244" t="e">
        <x:f aca="0">IF(LEFT(分期持仓明细!$A$163,LEN(L$81)+2)=L$81&amp;" ·",ROW(分期持仓明细!$A$163),0)</x:f>
        <x:v>#NAME?</x:v>
      </x:c>
    </x:row>
    <x:row r="245" ht="12.649999618530273" hidden="0">
      <x:c r="M245" t="e">
        <x:f aca="0">IF(LEFT(分期持仓明细!$A$164,LEN(G$81)+2)=G$81&amp;" ·",ROW(分期持仓明细!$A$164),0)</x:f>
        <x:v>#NAME?</x:v>
      </x:c>
      <x:c r="N245" t="e">
        <x:f aca="0">IF(LEFT(分期持仓明细!$A$164,LEN(H$81)+2)=H$81&amp;" ·",ROW(分期持仓明细!$A$164),0)</x:f>
        <x:v>#NAME?</x:v>
      </x:c>
      <x:c r="O245" t="e">
        <x:f aca="0">IF(LEFT(分期持仓明细!$A$164,LEN(I$81)+2)=I$81&amp;" ·",ROW(分期持仓明细!$A$164),0)</x:f>
        <x:v>#NAME?</x:v>
      </x:c>
      <x:c r="P245" t="e">
        <x:f aca="0">IF(LEFT(分期持仓明细!$A$164,LEN(J$81)+2)=J$81&amp;" ·",ROW(分期持仓明细!$A$164),0)</x:f>
        <x:v>#NAME?</x:v>
      </x:c>
      <x:c r="Q245" t="e">
        <x:f aca="0">IF(LEFT(分期持仓明细!$A$164,LEN(K$81)+2)=K$81&amp;" ·",ROW(分期持仓明细!$A$164),0)</x:f>
        <x:v>#NAME?</x:v>
      </x:c>
      <x:c r="R245" t="e">
        <x:f aca="0">IF(LEFT(分期持仓明细!$A$164,LEN(L$81)+2)=L$81&amp;" ·",ROW(分期持仓明细!$A$164),0)</x:f>
        <x:v>#NAME?</x:v>
      </x:c>
    </x:row>
    <x:row r="246" ht="12.649999618530273" hidden="0">
      <x:c r="M246" t="e">
        <x:f aca="0">IF(LEFT(分期持仓明细!$A$165,LEN(G$81)+2)=G$81&amp;" ·",ROW(分期持仓明细!$A$165),0)</x:f>
        <x:v>#NAME?</x:v>
      </x:c>
      <x:c r="N246" t="e">
        <x:f aca="0">IF(LEFT(分期持仓明细!$A$165,LEN(H$81)+2)=H$81&amp;" ·",ROW(分期持仓明细!$A$165),0)</x:f>
        <x:v>#NAME?</x:v>
      </x:c>
      <x:c r="O246" t="e">
        <x:f aca="0">IF(LEFT(分期持仓明细!$A$165,LEN(I$81)+2)=I$81&amp;" ·",ROW(分期持仓明细!$A$165),0)</x:f>
        <x:v>#NAME?</x:v>
      </x:c>
      <x:c r="P246" t="e">
        <x:f aca="0">IF(LEFT(分期持仓明细!$A$165,LEN(J$81)+2)=J$81&amp;" ·",ROW(分期持仓明细!$A$165),0)</x:f>
        <x:v>#NAME?</x:v>
      </x:c>
      <x:c r="Q246" t="e">
        <x:f aca="0">IF(LEFT(分期持仓明细!$A$165,LEN(K$81)+2)=K$81&amp;" ·",ROW(分期持仓明细!$A$165),0)</x:f>
        <x:v>#NAME?</x:v>
      </x:c>
      <x:c r="R246" t="e">
        <x:f aca="0">IF(LEFT(分期持仓明细!$A$165,LEN(L$81)+2)=L$81&amp;" ·",ROW(分期持仓明细!$A$165),0)</x:f>
        <x:v>#NAME?</x:v>
      </x:c>
    </x:row>
    <x:row r="247" ht="12.649999618530273" hidden="0">
      <x:c r="M247" t="e">
        <x:f aca="0">IF(LEFT(分期持仓明细!$A$166,LEN(G$81)+2)=G$81&amp;" ·",ROW(分期持仓明细!$A$166),0)</x:f>
        <x:v>#NAME?</x:v>
      </x:c>
      <x:c r="N247" t="e">
        <x:f aca="0">IF(LEFT(分期持仓明细!$A$166,LEN(H$81)+2)=H$81&amp;" ·",ROW(分期持仓明细!$A$166),0)</x:f>
        <x:v>#NAME?</x:v>
      </x:c>
      <x:c r="O247" t="e">
        <x:f aca="0">IF(LEFT(分期持仓明细!$A$166,LEN(I$81)+2)=I$81&amp;" ·",ROW(分期持仓明细!$A$166),0)</x:f>
        <x:v>#NAME?</x:v>
      </x:c>
      <x:c r="P247" t="e">
        <x:f aca="0">IF(LEFT(分期持仓明细!$A$166,LEN(J$81)+2)=J$81&amp;" ·",ROW(分期持仓明细!$A$166),0)</x:f>
        <x:v>#NAME?</x:v>
      </x:c>
      <x:c r="Q247" t="e">
        <x:f aca="0">IF(LEFT(分期持仓明细!$A$166,LEN(K$81)+2)=K$81&amp;" ·",ROW(分期持仓明细!$A$166),0)</x:f>
        <x:v>#NAME?</x:v>
      </x:c>
      <x:c r="R247" t="e">
        <x:f aca="0">IF(LEFT(分期持仓明细!$A$166,LEN(L$81)+2)=L$81&amp;" ·",ROW(分期持仓明细!$A$166),0)</x:f>
        <x:v>#NAME?</x:v>
      </x:c>
    </x:row>
    <x:row r="248" ht="12.649999618530273" hidden="0">
      <x:c r="M248" t="e">
        <x:f aca="0">IF(LEFT(分期持仓明细!$A$167,LEN(G$81)+2)=G$81&amp;" ·",ROW(分期持仓明细!$A$167),0)</x:f>
        <x:v>#NAME?</x:v>
      </x:c>
      <x:c r="N248" t="e">
        <x:f aca="0">IF(LEFT(分期持仓明细!$A$167,LEN(H$81)+2)=H$81&amp;" ·",ROW(分期持仓明细!$A$167),0)</x:f>
        <x:v>#NAME?</x:v>
      </x:c>
      <x:c r="O248" t="e">
        <x:f aca="0">IF(LEFT(分期持仓明细!$A$167,LEN(I$81)+2)=I$81&amp;" ·",ROW(分期持仓明细!$A$167),0)</x:f>
        <x:v>#NAME?</x:v>
      </x:c>
      <x:c r="P248" t="e">
        <x:f aca="0">IF(LEFT(分期持仓明细!$A$167,LEN(J$81)+2)=J$81&amp;" ·",ROW(分期持仓明细!$A$167),0)</x:f>
        <x:v>#NAME?</x:v>
      </x:c>
      <x:c r="Q248" t="e">
        <x:f aca="0">IF(LEFT(分期持仓明细!$A$167,LEN(K$81)+2)=K$81&amp;" ·",ROW(分期持仓明细!$A$167),0)</x:f>
        <x:v>#NAME?</x:v>
      </x:c>
      <x:c r="R248" t="e">
        <x:f aca="0">IF(LEFT(分期持仓明细!$A$167,LEN(L$81)+2)=L$81&amp;" ·",ROW(分期持仓明细!$A$167),0)</x:f>
        <x:v>#NAME?</x:v>
      </x:c>
    </x:row>
    <x:row r="249" ht="12.649999618530273" hidden="0">
      <x:c r="M249" t="e">
        <x:f aca="0">IF(LEFT(分期持仓明细!$A$168,LEN(G$81)+2)=G$81&amp;" ·",ROW(分期持仓明细!$A$168),0)</x:f>
        <x:v>#NAME?</x:v>
      </x:c>
      <x:c r="N249" t="e">
        <x:f aca="0">IF(LEFT(分期持仓明细!$A$168,LEN(H$81)+2)=H$81&amp;" ·",ROW(分期持仓明细!$A$168),0)</x:f>
        <x:v>#NAME?</x:v>
      </x:c>
      <x:c r="O249" t="e">
        <x:f aca="0">IF(LEFT(分期持仓明细!$A$168,LEN(I$81)+2)=I$81&amp;" ·",ROW(分期持仓明细!$A$168),0)</x:f>
        <x:v>#NAME?</x:v>
      </x:c>
      <x:c r="P249" t="e">
        <x:f aca="0">IF(LEFT(分期持仓明细!$A$168,LEN(J$81)+2)=J$81&amp;" ·",ROW(分期持仓明细!$A$168),0)</x:f>
        <x:v>#NAME?</x:v>
      </x:c>
      <x:c r="Q249" t="e">
        <x:f aca="0">IF(LEFT(分期持仓明细!$A$168,LEN(K$81)+2)=K$81&amp;" ·",ROW(分期持仓明细!$A$168),0)</x:f>
        <x:v>#NAME?</x:v>
      </x:c>
      <x:c r="R249" t="e">
        <x:f aca="0">IF(LEFT(分期持仓明细!$A$168,LEN(L$81)+2)=L$81&amp;" ·",ROW(分期持仓明细!$A$168),0)</x:f>
        <x:v>#NAME?</x:v>
      </x:c>
    </x:row>
    <x:row r="250" ht="12.649999618530273" hidden="0">
      <x:c r="M250" t="e">
        <x:f aca="0">IF(LEFT(分期持仓明细!$A$169,LEN(G$81)+2)=G$81&amp;" ·",ROW(分期持仓明细!$A$169),0)</x:f>
        <x:v>#NAME?</x:v>
      </x:c>
      <x:c r="N250" t="e">
        <x:f aca="0">IF(LEFT(分期持仓明细!$A$169,LEN(H$81)+2)=H$81&amp;" ·",ROW(分期持仓明细!$A$169),0)</x:f>
        <x:v>#NAME?</x:v>
      </x:c>
      <x:c r="O250" t="e">
        <x:f aca="0">IF(LEFT(分期持仓明细!$A$169,LEN(I$81)+2)=I$81&amp;" ·",ROW(分期持仓明细!$A$169),0)</x:f>
        <x:v>#NAME?</x:v>
      </x:c>
      <x:c r="P250" t="e">
        <x:f aca="0">IF(LEFT(分期持仓明细!$A$169,LEN(J$81)+2)=J$81&amp;" ·",ROW(分期持仓明细!$A$169),0)</x:f>
        <x:v>#NAME?</x:v>
      </x:c>
      <x:c r="Q250" t="e">
        <x:f aca="0">IF(LEFT(分期持仓明细!$A$169,LEN(K$81)+2)=K$81&amp;" ·",ROW(分期持仓明细!$A$169),0)</x:f>
        <x:v>#NAME?</x:v>
      </x:c>
      <x:c r="R250" t="e">
        <x:f aca="0">IF(LEFT(分期持仓明细!$A$169,LEN(L$81)+2)=L$81&amp;" ·",ROW(分期持仓明细!$A$169),0)</x:f>
        <x:v>#NAME?</x:v>
      </x:c>
    </x:row>
    <x:row r="251" ht="12.649999618530273" hidden="0">
      <x:c r="M251" t="e">
        <x:f aca="0">IF(LEFT(分期持仓明细!$A$170,LEN(G$81)+2)=G$81&amp;" ·",ROW(分期持仓明细!$A$170),0)</x:f>
        <x:v>#NAME?</x:v>
      </x:c>
      <x:c r="N251" t="e">
        <x:f aca="0">IF(LEFT(分期持仓明细!$A$170,LEN(H$81)+2)=H$81&amp;" ·",ROW(分期持仓明细!$A$170),0)</x:f>
        <x:v>#NAME?</x:v>
      </x:c>
      <x:c r="O251" t="e">
        <x:f aca="0">IF(LEFT(分期持仓明细!$A$170,LEN(I$81)+2)=I$81&amp;" ·",ROW(分期持仓明细!$A$170),0)</x:f>
        <x:v>#NAME?</x:v>
      </x:c>
      <x:c r="P251" t="e">
        <x:f aca="0">IF(LEFT(分期持仓明细!$A$170,LEN(J$81)+2)=J$81&amp;" ·",ROW(分期持仓明细!$A$170),0)</x:f>
        <x:v>#NAME?</x:v>
      </x:c>
      <x:c r="Q251" t="e">
        <x:f aca="0">IF(LEFT(分期持仓明细!$A$170,LEN(K$81)+2)=K$81&amp;" ·",ROW(分期持仓明细!$A$170),0)</x:f>
        <x:v>#NAME?</x:v>
      </x:c>
      <x:c r="R251" t="e">
        <x:f aca="0">IF(LEFT(分期持仓明细!$A$170,LEN(L$81)+2)=L$81&amp;" ·",ROW(分期持仓明细!$A$170),0)</x:f>
        <x:v>#NAME?</x:v>
      </x:c>
    </x:row>
    <x:row r="252" ht="12.649999618530273" hidden="0">
      <x:c r="M252" t="e">
        <x:f aca="0">IF(LEFT(分期持仓明细!$A$171,LEN(G$81)+2)=G$81&amp;" ·",ROW(分期持仓明细!$A$171),0)</x:f>
        <x:v>#NAME?</x:v>
      </x:c>
      <x:c r="N252" t="e">
        <x:f aca="0">IF(LEFT(分期持仓明细!$A$171,LEN(H$81)+2)=H$81&amp;" ·",ROW(分期持仓明细!$A$171),0)</x:f>
        <x:v>#NAME?</x:v>
      </x:c>
      <x:c r="O252" t="e">
        <x:f aca="0">IF(LEFT(分期持仓明细!$A$171,LEN(I$81)+2)=I$81&amp;" ·",ROW(分期持仓明细!$A$171),0)</x:f>
        <x:v>#NAME?</x:v>
      </x:c>
      <x:c r="P252" t="e">
        <x:f aca="0">IF(LEFT(分期持仓明细!$A$171,LEN(J$81)+2)=J$81&amp;" ·",ROW(分期持仓明细!$A$171),0)</x:f>
        <x:v>#NAME?</x:v>
      </x:c>
      <x:c r="Q252" t="e">
        <x:f aca="0">IF(LEFT(分期持仓明细!$A$171,LEN(K$81)+2)=K$81&amp;" ·",ROW(分期持仓明细!$A$171),0)</x:f>
        <x:v>#NAME?</x:v>
      </x:c>
      <x:c r="R252" t="e">
        <x:f aca="0">IF(LEFT(分期持仓明细!$A$171,LEN(L$81)+2)=L$81&amp;" ·",ROW(分期持仓明细!$A$171),0)</x:f>
        <x:v>#NAME?</x:v>
      </x:c>
    </x:row>
    <x:row r="253" ht="12.649999618530273" hidden="0">
      <x:c r="M253" t="e">
        <x:f aca="0">IF(LEFT(分期持仓明细!$A$172,LEN(G$81)+2)=G$81&amp;" ·",ROW(分期持仓明细!$A$172),0)</x:f>
        <x:v>#NAME?</x:v>
      </x:c>
      <x:c r="N253" t="e">
        <x:f aca="0">IF(LEFT(分期持仓明细!$A$172,LEN(H$81)+2)=H$81&amp;" ·",ROW(分期持仓明细!$A$172),0)</x:f>
        <x:v>#NAME?</x:v>
      </x:c>
      <x:c r="O253" t="e">
        <x:f aca="0">IF(LEFT(分期持仓明细!$A$172,LEN(I$81)+2)=I$81&amp;" ·",ROW(分期持仓明细!$A$172),0)</x:f>
        <x:v>#NAME?</x:v>
      </x:c>
      <x:c r="P253" t="e">
        <x:f aca="0">IF(LEFT(分期持仓明细!$A$172,LEN(J$81)+2)=J$81&amp;" ·",ROW(分期持仓明细!$A$172),0)</x:f>
        <x:v>#NAME?</x:v>
      </x:c>
      <x:c r="Q253" t="e">
        <x:f aca="0">IF(LEFT(分期持仓明细!$A$172,LEN(K$81)+2)=K$81&amp;" ·",ROW(分期持仓明细!$A$172),0)</x:f>
        <x:v>#NAME?</x:v>
      </x:c>
      <x:c r="R253" t="e">
        <x:f aca="0">IF(LEFT(分期持仓明细!$A$172,LEN(L$81)+2)=L$81&amp;" ·",ROW(分期持仓明细!$A$172),0)</x:f>
        <x:v>#NAME?</x:v>
      </x:c>
    </x:row>
    <x:row r="254" ht="12.649999618530273" hidden="0">
      <x:c r="M254" t="e">
        <x:f aca="0">IF(LEFT(分期持仓明细!$A$173,LEN(G$81)+2)=G$81&amp;" ·",ROW(分期持仓明细!$A$173),0)</x:f>
        <x:v>#NAME?</x:v>
      </x:c>
      <x:c r="N254" t="e">
        <x:f aca="0">IF(LEFT(分期持仓明细!$A$173,LEN(H$81)+2)=H$81&amp;" ·",ROW(分期持仓明细!$A$173),0)</x:f>
        <x:v>#NAME?</x:v>
      </x:c>
      <x:c r="O254" t="e">
        <x:f aca="0">IF(LEFT(分期持仓明细!$A$173,LEN(I$81)+2)=I$81&amp;" ·",ROW(分期持仓明细!$A$173),0)</x:f>
        <x:v>#NAME?</x:v>
      </x:c>
      <x:c r="P254" t="e">
        <x:f aca="0">IF(LEFT(分期持仓明细!$A$173,LEN(J$81)+2)=J$81&amp;" ·",ROW(分期持仓明细!$A$173),0)</x:f>
        <x:v>#NAME?</x:v>
      </x:c>
      <x:c r="Q254" t="e">
        <x:f aca="0">IF(LEFT(分期持仓明细!$A$173,LEN(K$81)+2)=K$81&amp;" ·",ROW(分期持仓明细!$A$173),0)</x:f>
        <x:v>#NAME?</x:v>
      </x:c>
      <x:c r="R254" t="e">
        <x:f aca="0">IF(LEFT(分期持仓明细!$A$173,LEN(L$81)+2)=L$81&amp;" ·",ROW(分期持仓明细!$A$173),0)</x:f>
        <x:v>#NAME?</x:v>
      </x:c>
    </x:row>
    <x:row r="255" ht="12.649999618530273" hidden="0">
      <x:c r="M255" t="e">
        <x:f aca="0">IF(LEFT(分期持仓明细!$A$174,LEN(G$81)+2)=G$81&amp;" ·",ROW(分期持仓明细!$A$174),0)</x:f>
        <x:v>#NAME?</x:v>
      </x:c>
      <x:c r="N255" t="e">
        <x:f aca="0">IF(LEFT(分期持仓明细!$A$174,LEN(H$81)+2)=H$81&amp;" ·",ROW(分期持仓明细!$A$174),0)</x:f>
        <x:v>#NAME?</x:v>
      </x:c>
      <x:c r="O255" t="e">
        <x:f aca="0">IF(LEFT(分期持仓明细!$A$174,LEN(I$81)+2)=I$81&amp;" ·",ROW(分期持仓明细!$A$174),0)</x:f>
        <x:v>#NAME?</x:v>
      </x:c>
      <x:c r="P255" t="e">
        <x:f aca="0">IF(LEFT(分期持仓明细!$A$174,LEN(J$81)+2)=J$81&amp;" ·",ROW(分期持仓明细!$A$174),0)</x:f>
        <x:v>#NAME?</x:v>
      </x:c>
      <x:c r="Q255" t="e">
        <x:f aca="0">IF(LEFT(分期持仓明细!$A$174,LEN(K$81)+2)=K$81&amp;" ·",ROW(分期持仓明细!$A$174),0)</x:f>
        <x:v>#NAME?</x:v>
      </x:c>
      <x:c r="R255" t="e">
        <x:f aca="0">IF(LEFT(分期持仓明细!$A$174,LEN(L$81)+2)=L$81&amp;" ·",ROW(分期持仓明细!$A$174),0)</x:f>
        <x:v>#NAME?</x:v>
      </x:c>
    </x:row>
    <x:row r="256" ht="12.649999618530273" hidden="0">
      <x:c r="M256" t="e">
        <x:f aca="0">IF(LEFT(分期持仓明细!$A$175,LEN(G$81)+2)=G$81&amp;" ·",ROW(分期持仓明细!$A$175),0)</x:f>
        <x:v>#NAME?</x:v>
      </x:c>
      <x:c r="N256" t="e">
        <x:f aca="0">IF(LEFT(分期持仓明细!$A$175,LEN(H$81)+2)=H$81&amp;" ·",ROW(分期持仓明细!$A$175),0)</x:f>
        <x:v>#NAME?</x:v>
      </x:c>
      <x:c r="O256" t="e">
        <x:f aca="0">IF(LEFT(分期持仓明细!$A$175,LEN(I$81)+2)=I$81&amp;" ·",ROW(分期持仓明细!$A$175),0)</x:f>
        <x:v>#NAME?</x:v>
      </x:c>
      <x:c r="P256" t="e">
        <x:f aca="0">IF(LEFT(分期持仓明细!$A$175,LEN(J$81)+2)=J$81&amp;" ·",ROW(分期持仓明细!$A$175),0)</x:f>
        <x:v>#NAME?</x:v>
      </x:c>
      <x:c r="Q256" t="e">
        <x:f aca="0">IF(LEFT(分期持仓明细!$A$175,LEN(K$81)+2)=K$81&amp;" ·",ROW(分期持仓明细!$A$175),0)</x:f>
        <x:v>#NAME?</x:v>
      </x:c>
      <x:c r="R256" t="e">
        <x:f aca="0">IF(LEFT(分期持仓明细!$A$175,LEN(L$81)+2)=L$81&amp;" ·",ROW(分期持仓明细!$A$175),0)</x:f>
        <x:v>#NAME?</x:v>
      </x:c>
    </x:row>
    <x:row r="257" ht="12.649999618530273" hidden="0">
      <x:c r="M257" t="e">
        <x:f aca="0">IF(LEFT(分期持仓明细!$A$176,LEN(G$81)+2)=G$81&amp;" ·",ROW(分期持仓明细!$A$176),0)</x:f>
        <x:v>#NAME?</x:v>
      </x:c>
      <x:c r="N257" t="e">
        <x:f aca="0">IF(LEFT(分期持仓明细!$A$176,LEN(H$81)+2)=H$81&amp;" ·",ROW(分期持仓明细!$A$176),0)</x:f>
        <x:v>#NAME?</x:v>
      </x:c>
      <x:c r="O257" t="e">
        <x:f aca="0">IF(LEFT(分期持仓明细!$A$176,LEN(I$81)+2)=I$81&amp;" ·",ROW(分期持仓明细!$A$176),0)</x:f>
        <x:v>#NAME?</x:v>
      </x:c>
      <x:c r="P257" t="e">
        <x:f aca="0">IF(LEFT(分期持仓明细!$A$176,LEN(J$81)+2)=J$81&amp;" ·",ROW(分期持仓明细!$A$176),0)</x:f>
        <x:v>#NAME?</x:v>
      </x:c>
      <x:c r="Q257" t="e">
        <x:f aca="0">IF(LEFT(分期持仓明细!$A$176,LEN(K$81)+2)=K$81&amp;" ·",ROW(分期持仓明细!$A$176),0)</x:f>
        <x:v>#NAME?</x:v>
      </x:c>
      <x:c r="R257" t="e">
        <x:f aca="0">IF(LEFT(分期持仓明细!$A$176,LEN(L$81)+2)=L$81&amp;" ·",ROW(分期持仓明细!$A$176),0)</x:f>
        <x:v>#NAME?</x:v>
      </x:c>
    </x:row>
    <x:row r="258" ht="12.649999618530273" hidden="0">
      <x:c r="M258" t="e">
        <x:f aca="0">IF(LEFT(分期持仓明细!$A$177,LEN(G$81)+2)=G$81&amp;" ·",ROW(分期持仓明细!$A$177),0)</x:f>
        <x:v>#NAME?</x:v>
      </x:c>
      <x:c r="N258" t="e">
        <x:f aca="0">IF(LEFT(分期持仓明细!$A$177,LEN(H$81)+2)=H$81&amp;" ·",ROW(分期持仓明细!$A$177),0)</x:f>
        <x:v>#NAME?</x:v>
      </x:c>
      <x:c r="O258" t="e">
        <x:f aca="0">IF(LEFT(分期持仓明细!$A$177,LEN(I$81)+2)=I$81&amp;" ·",ROW(分期持仓明细!$A$177),0)</x:f>
        <x:v>#NAME?</x:v>
      </x:c>
      <x:c r="P258" t="e">
        <x:f aca="0">IF(LEFT(分期持仓明细!$A$177,LEN(J$81)+2)=J$81&amp;" ·",ROW(分期持仓明细!$A$177),0)</x:f>
        <x:v>#NAME?</x:v>
      </x:c>
      <x:c r="Q258" t="e">
        <x:f aca="0">IF(LEFT(分期持仓明细!$A$177,LEN(K$81)+2)=K$81&amp;" ·",ROW(分期持仓明细!$A$177),0)</x:f>
        <x:v>#NAME?</x:v>
      </x:c>
      <x:c r="R258" t="e">
        <x:f aca="0">IF(LEFT(分期持仓明细!$A$177,LEN(L$81)+2)=L$81&amp;" ·",ROW(分期持仓明细!$A$177),0)</x:f>
        <x:v>#NAME?</x:v>
      </x:c>
    </x:row>
    <x:row r="259" ht="12.649999618530273" hidden="0">
      <x:c r="M259" t="e">
        <x:f aca="0">IF(LEFT(分期持仓明细!$A$178,LEN(G$81)+2)=G$81&amp;" ·",ROW(分期持仓明细!$A$178),0)</x:f>
        <x:v>#NAME?</x:v>
      </x:c>
      <x:c r="N259" t="e">
        <x:f aca="0">IF(LEFT(分期持仓明细!$A$178,LEN(H$81)+2)=H$81&amp;" ·",ROW(分期持仓明细!$A$178),0)</x:f>
        <x:v>#NAME?</x:v>
      </x:c>
      <x:c r="O259" t="e">
        <x:f aca="0">IF(LEFT(分期持仓明细!$A$178,LEN(I$81)+2)=I$81&amp;" ·",ROW(分期持仓明细!$A$178),0)</x:f>
        <x:v>#NAME?</x:v>
      </x:c>
      <x:c r="P259" t="e">
        <x:f aca="0">IF(LEFT(分期持仓明细!$A$178,LEN(J$81)+2)=J$81&amp;" ·",ROW(分期持仓明细!$A$178),0)</x:f>
        <x:v>#NAME?</x:v>
      </x:c>
      <x:c r="Q259" t="e">
        <x:f aca="0">IF(LEFT(分期持仓明细!$A$178,LEN(K$81)+2)=K$81&amp;" ·",ROW(分期持仓明细!$A$178),0)</x:f>
        <x:v>#NAME?</x:v>
      </x:c>
      <x:c r="R259" t="e">
        <x:f aca="0">IF(LEFT(分期持仓明细!$A$178,LEN(L$81)+2)=L$81&amp;" ·",ROW(分期持仓明细!$A$178),0)</x:f>
        <x:v>#NAME?</x:v>
      </x:c>
    </x:row>
    <x:row r="260" ht="12.649999618530273" hidden="0">
      <x:c r="M260" t="e">
        <x:f aca="0">IF(LEFT(分期持仓明细!$A$179,LEN(G$81)+2)=G$81&amp;" ·",ROW(分期持仓明细!$A$179),0)</x:f>
        <x:v>#NAME?</x:v>
      </x:c>
      <x:c r="N260" t="e">
        <x:f aca="0">IF(LEFT(分期持仓明细!$A$179,LEN(H$81)+2)=H$81&amp;" ·",ROW(分期持仓明细!$A$179),0)</x:f>
        <x:v>#NAME?</x:v>
      </x:c>
      <x:c r="O260" t="e">
        <x:f aca="0">IF(LEFT(分期持仓明细!$A$179,LEN(I$81)+2)=I$81&amp;" ·",ROW(分期持仓明细!$A$179),0)</x:f>
        <x:v>#NAME?</x:v>
      </x:c>
      <x:c r="P260" t="e">
        <x:f aca="0">IF(LEFT(分期持仓明细!$A$179,LEN(J$81)+2)=J$81&amp;" ·",ROW(分期持仓明细!$A$179),0)</x:f>
        <x:v>#NAME?</x:v>
      </x:c>
      <x:c r="Q260" t="e">
        <x:f aca="0">IF(LEFT(分期持仓明细!$A$179,LEN(K$81)+2)=K$81&amp;" ·",ROW(分期持仓明细!$A$179),0)</x:f>
        <x:v>#NAME?</x:v>
      </x:c>
      <x:c r="R260" t="e">
        <x:f aca="0">IF(LEFT(分期持仓明细!$A$179,LEN(L$81)+2)=L$81&amp;" ·",ROW(分期持仓明细!$A$179),0)</x:f>
        <x:v>#NAME?</x:v>
      </x:c>
    </x:row>
    <x:row r="261" ht="12.649999618530273" hidden="0">
      <x:c r="M261" t="e">
        <x:f aca="0">IF(LEFT(分期持仓明细!$A$180,LEN(G$81)+2)=G$81&amp;" ·",ROW(分期持仓明细!$A$180),0)</x:f>
        <x:v>#NAME?</x:v>
      </x:c>
      <x:c r="N261" t="e">
        <x:f aca="0">IF(LEFT(分期持仓明细!$A$180,LEN(H$81)+2)=H$81&amp;" ·",ROW(分期持仓明细!$A$180),0)</x:f>
        <x:v>#NAME?</x:v>
      </x:c>
      <x:c r="O261" t="e">
        <x:f aca="0">IF(LEFT(分期持仓明细!$A$180,LEN(I$81)+2)=I$81&amp;" ·",ROW(分期持仓明细!$A$180),0)</x:f>
        <x:v>#NAME?</x:v>
      </x:c>
      <x:c r="P261" t="e">
        <x:f aca="0">IF(LEFT(分期持仓明细!$A$180,LEN(J$81)+2)=J$81&amp;" ·",ROW(分期持仓明细!$A$180),0)</x:f>
        <x:v>#NAME?</x:v>
      </x:c>
      <x:c r="Q261" t="e">
        <x:f aca="0">IF(LEFT(分期持仓明细!$A$180,LEN(K$81)+2)=K$81&amp;" ·",ROW(分期持仓明细!$A$180),0)</x:f>
        <x:v>#NAME?</x:v>
      </x:c>
      <x:c r="R261" t="e">
        <x:f aca="0">IF(LEFT(分期持仓明细!$A$180,LEN(L$81)+2)=L$81&amp;" ·",ROW(分期持仓明细!$A$180),0)</x:f>
        <x:v>#NAME?</x:v>
      </x:c>
    </x:row>
    <x:row r="262" ht="12.649999618530273" hidden="0">
      <x:c r="M262" t="e">
        <x:f aca="0">IF(LEFT(分期持仓明细!$A$181,LEN(G$81)+2)=G$81&amp;" ·",ROW(分期持仓明细!$A$181),0)</x:f>
        <x:v>#NAME?</x:v>
      </x:c>
      <x:c r="N262" t="e">
        <x:f aca="0">IF(LEFT(分期持仓明细!$A$181,LEN(H$81)+2)=H$81&amp;" ·",ROW(分期持仓明细!$A$181),0)</x:f>
        <x:v>#NAME?</x:v>
      </x:c>
      <x:c r="O262" t="e">
        <x:f aca="0">IF(LEFT(分期持仓明细!$A$181,LEN(I$81)+2)=I$81&amp;" ·",ROW(分期持仓明细!$A$181),0)</x:f>
        <x:v>#NAME?</x:v>
      </x:c>
      <x:c r="P262" t="e">
        <x:f aca="0">IF(LEFT(分期持仓明细!$A$181,LEN(J$81)+2)=J$81&amp;" ·",ROW(分期持仓明细!$A$181),0)</x:f>
        <x:v>#NAME?</x:v>
      </x:c>
      <x:c r="Q262" t="e">
        <x:f aca="0">IF(LEFT(分期持仓明细!$A$181,LEN(K$81)+2)=K$81&amp;" ·",ROW(分期持仓明细!$A$181),0)</x:f>
        <x:v>#NAME?</x:v>
      </x:c>
      <x:c r="R262" t="e">
        <x:f aca="0">IF(LEFT(分期持仓明细!$A$181,LEN(L$81)+2)=L$81&amp;" ·",ROW(分期持仓明细!$A$181),0)</x:f>
        <x:v>#NAME?</x:v>
      </x:c>
    </x:row>
    <x:row r="263" ht="12.649999618530273" hidden="0">
      <x:c r="M263" t="e">
        <x:f aca="0">IF(LEFT(分期持仓明细!$A$182,LEN(G$81)+2)=G$81&amp;" ·",ROW(分期持仓明细!$A$182),0)</x:f>
        <x:v>#NAME?</x:v>
      </x:c>
      <x:c r="N263" t="e">
        <x:f aca="0">IF(LEFT(分期持仓明细!$A$182,LEN(H$81)+2)=H$81&amp;" ·",ROW(分期持仓明细!$A$182),0)</x:f>
        <x:v>#NAME?</x:v>
      </x:c>
      <x:c r="O263" t="e">
        <x:f aca="0">IF(LEFT(分期持仓明细!$A$182,LEN(I$81)+2)=I$81&amp;" ·",ROW(分期持仓明细!$A$182),0)</x:f>
        <x:v>#NAME?</x:v>
      </x:c>
      <x:c r="P263" t="e">
        <x:f aca="0">IF(LEFT(分期持仓明细!$A$182,LEN(J$81)+2)=J$81&amp;" ·",ROW(分期持仓明细!$A$182),0)</x:f>
        <x:v>#NAME?</x:v>
      </x:c>
      <x:c r="Q263" t="e">
        <x:f aca="0">IF(LEFT(分期持仓明细!$A$182,LEN(K$81)+2)=K$81&amp;" ·",ROW(分期持仓明细!$A$182),0)</x:f>
        <x:v>#NAME?</x:v>
      </x:c>
      <x:c r="R263" t="e">
        <x:f aca="0">IF(LEFT(分期持仓明细!$A$182,LEN(L$81)+2)=L$81&amp;" ·",ROW(分期持仓明细!$A$182),0)</x:f>
        <x:v>#NAME?</x:v>
      </x:c>
    </x:row>
    <x:row r="264" ht="12.649999618530273" hidden="0">
      <x:c r="M264" t="e">
        <x:f aca="0">IF(LEFT(分期持仓明细!$A$183,LEN(G$81)+2)=G$81&amp;" ·",ROW(分期持仓明细!$A$183),0)</x:f>
        <x:v>#NAME?</x:v>
      </x:c>
      <x:c r="N264" t="e">
        <x:f aca="0">IF(LEFT(分期持仓明细!$A$183,LEN(H$81)+2)=H$81&amp;" ·",ROW(分期持仓明细!$A$183),0)</x:f>
        <x:v>#NAME?</x:v>
      </x:c>
      <x:c r="O264" t="e">
        <x:f aca="0">IF(LEFT(分期持仓明细!$A$183,LEN(I$81)+2)=I$81&amp;" ·",ROW(分期持仓明细!$A$183),0)</x:f>
        <x:v>#NAME?</x:v>
      </x:c>
      <x:c r="P264" t="e">
        <x:f aca="0">IF(LEFT(分期持仓明细!$A$183,LEN(J$81)+2)=J$81&amp;" ·",ROW(分期持仓明细!$A$183),0)</x:f>
        <x:v>#NAME?</x:v>
      </x:c>
      <x:c r="Q264" t="e">
        <x:f aca="0">IF(LEFT(分期持仓明细!$A$183,LEN(K$81)+2)=K$81&amp;" ·",ROW(分期持仓明细!$A$183),0)</x:f>
        <x:v>#NAME?</x:v>
      </x:c>
      <x:c r="R264" t="e">
        <x:f aca="0">IF(LEFT(分期持仓明细!$A$183,LEN(L$81)+2)=L$81&amp;" ·",ROW(分期持仓明细!$A$183),0)</x:f>
        <x:v>#NAME?</x:v>
      </x:c>
    </x:row>
    <x:row r="265" ht="12.649999618530273" hidden="0">
      <x:c r="M265" t="e">
        <x:f aca="0">IF(LEFT(分期持仓明细!$A$184,LEN(G$81)+2)=G$81&amp;" ·",ROW(分期持仓明细!$A$184),0)</x:f>
        <x:v>#NAME?</x:v>
      </x:c>
      <x:c r="N265" t="e">
        <x:f aca="0">IF(LEFT(分期持仓明细!$A$184,LEN(H$81)+2)=H$81&amp;" ·",ROW(分期持仓明细!$A$184),0)</x:f>
        <x:v>#NAME?</x:v>
      </x:c>
      <x:c r="O265" t="e">
        <x:f aca="0">IF(LEFT(分期持仓明细!$A$184,LEN(I$81)+2)=I$81&amp;" ·",ROW(分期持仓明细!$A$184),0)</x:f>
        <x:v>#NAME?</x:v>
      </x:c>
      <x:c r="P265" t="e">
        <x:f aca="0">IF(LEFT(分期持仓明细!$A$184,LEN(J$81)+2)=J$81&amp;" ·",ROW(分期持仓明细!$A$184),0)</x:f>
        <x:v>#NAME?</x:v>
      </x:c>
      <x:c r="Q265" t="e">
        <x:f aca="0">IF(LEFT(分期持仓明细!$A$184,LEN(K$81)+2)=K$81&amp;" ·",ROW(分期持仓明细!$A$184),0)</x:f>
        <x:v>#NAME?</x:v>
      </x:c>
      <x:c r="R265" t="e">
        <x:f aca="0">IF(LEFT(分期持仓明细!$A$184,LEN(L$81)+2)=L$81&amp;" ·",ROW(分期持仓明细!$A$184),0)</x:f>
        <x:v>#NAME?</x:v>
      </x:c>
    </x:row>
    <x:row r="266" ht="12.649999618530273" hidden="0">
      <x:c r="M266" t="e">
        <x:f aca="0">IF(LEFT(分期持仓明细!$A$185,LEN(G$81)+2)=G$81&amp;" ·",ROW(分期持仓明细!$A$185),0)</x:f>
        <x:v>#NAME?</x:v>
      </x:c>
      <x:c r="N266" t="e">
        <x:f aca="0">IF(LEFT(分期持仓明细!$A$185,LEN(H$81)+2)=H$81&amp;" ·",ROW(分期持仓明细!$A$185),0)</x:f>
        <x:v>#NAME?</x:v>
      </x:c>
      <x:c r="O266" t="e">
        <x:f aca="0">IF(LEFT(分期持仓明细!$A$185,LEN(I$81)+2)=I$81&amp;" ·",ROW(分期持仓明细!$A$185),0)</x:f>
        <x:v>#NAME?</x:v>
      </x:c>
      <x:c r="P266" t="e">
        <x:f aca="0">IF(LEFT(分期持仓明细!$A$185,LEN(J$81)+2)=J$81&amp;" ·",ROW(分期持仓明细!$A$185),0)</x:f>
        <x:v>#NAME?</x:v>
      </x:c>
      <x:c r="Q266" t="e">
        <x:f aca="0">IF(LEFT(分期持仓明细!$A$185,LEN(K$81)+2)=K$81&amp;" ·",ROW(分期持仓明细!$A$185),0)</x:f>
        <x:v>#NAME?</x:v>
      </x:c>
      <x:c r="R266" t="e">
        <x:f aca="0">IF(LEFT(分期持仓明细!$A$185,LEN(L$81)+2)=L$81&amp;" ·",ROW(分期持仓明细!$A$185),0)</x:f>
        <x:v>#NAME?</x:v>
      </x:c>
    </x:row>
    <x:row r="267" ht="12.649999618530273" hidden="0">
      <x:c r="M267" t="e">
        <x:f aca="0">IF(LEFT(分期持仓明细!$A$186,LEN(G$81)+2)=G$81&amp;" ·",ROW(分期持仓明细!$A$186),0)</x:f>
        <x:v>#NAME?</x:v>
      </x:c>
      <x:c r="N267" t="e">
        <x:f aca="0">IF(LEFT(分期持仓明细!$A$186,LEN(H$81)+2)=H$81&amp;" ·",ROW(分期持仓明细!$A$186),0)</x:f>
        <x:v>#NAME?</x:v>
      </x:c>
      <x:c r="O267" t="e">
        <x:f aca="0">IF(LEFT(分期持仓明细!$A$186,LEN(I$81)+2)=I$81&amp;" ·",ROW(分期持仓明细!$A$186),0)</x:f>
        <x:v>#NAME?</x:v>
      </x:c>
      <x:c r="P267" t="e">
        <x:f aca="0">IF(LEFT(分期持仓明细!$A$186,LEN(J$81)+2)=J$81&amp;" ·",ROW(分期持仓明细!$A$186),0)</x:f>
        <x:v>#NAME?</x:v>
      </x:c>
      <x:c r="Q267" t="e">
        <x:f aca="0">IF(LEFT(分期持仓明细!$A$186,LEN(K$81)+2)=K$81&amp;" ·",ROW(分期持仓明细!$A$186),0)</x:f>
        <x:v>#NAME?</x:v>
      </x:c>
      <x:c r="R267" t="e">
        <x:f aca="0">IF(LEFT(分期持仓明细!$A$186,LEN(L$81)+2)=L$81&amp;" ·",ROW(分期持仓明细!$A$186),0)</x:f>
        <x:v>#NAME?</x:v>
      </x:c>
    </x:row>
    <x:row r="268" ht="12.649999618530273" hidden="0">
      <x:c r="M268" t="e">
        <x:f aca="0">IF(LEFT(分期持仓明细!$A$187,LEN(G$81)+2)=G$81&amp;" ·",ROW(分期持仓明细!$A$187),0)</x:f>
        <x:v>#NAME?</x:v>
      </x:c>
      <x:c r="N268" t="e">
        <x:f aca="0">IF(LEFT(分期持仓明细!$A$187,LEN(H$81)+2)=H$81&amp;" ·",ROW(分期持仓明细!$A$187),0)</x:f>
        <x:v>#NAME?</x:v>
      </x:c>
      <x:c r="O268" t="e">
        <x:f aca="0">IF(LEFT(分期持仓明细!$A$187,LEN(I$81)+2)=I$81&amp;" ·",ROW(分期持仓明细!$A$187),0)</x:f>
        <x:v>#NAME?</x:v>
      </x:c>
      <x:c r="P268" t="e">
        <x:f aca="0">IF(LEFT(分期持仓明细!$A$187,LEN(J$81)+2)=J$81&amp;" ·",ROW(分期持仓明细!$A$187),0)</x:f>
        <x:v>#NAME?</x:v>
      </x:c>
      <x:c r="Q268" t="e">
        <x:f aca="0">IF(LEFT(分期持仓明细!$A$187,LEN(K$81)+2)=K$81&amp;" ·",ROW(分期持仓明细!$A$187),0)</x:f>
        <x:v>#NAME?</x:v>
      </x:c>
      <x:c r="R268" t="e">
        <x:f aca="0">IF(LEFT(分期持仓明细!$A$187,LEN(L$81)+2)=L$81&amp;" ·",ROW(分期持仓明细!$A$187),0)</x:f>
        <x:v>#NAME?</x:v>
      </x:c>
    </x:row>
    <x:row r="269" ht="12.649999618530273" hidden="0">
      <x:c r="M269" t="e">
        <x:f aca="0">IF(LEFT(分期持仓明细!$A$188,LEN(G$81)+2)=G$81&amp;" ·",ROW(分期持仓明细!$A$188),0)</x:f>
        <x:v>#NAME?</x:v>
      </x:c>
      <x:c r="N269" t="e">
        <x:f aca="0">IF(LEFT(分期持仓明细!$A$188,LEN(H$81)+2)=H$81&amp;" ·",ROW(分期持仓明细!$A$188),0)</x:f>
        <x:v>#NAME?</x:v>
      </x:c>
      <x:c r="O269" t="e">
        <x:f aca="0">IF(LEFT(分期持仓明细!$A$188,LEN(I$81)+2)=I$81&amp;" ·",ROW(分期持仓明细!$A$188),0)</x:f>
        <x:v>#NAME?</x:v>
      </x:c>
      <x:c r="P269" t="e">
        <x:f aca="0">IF(LEFT(分期持仓明细!$A$188,LEN(J$81)+2)=J$81&amp;" ·",ROW(分期持仓明细!$A$188),0)</x:f>
        <x:v>#NAME?</x:v>
      </x:c>
      <x:c r="Q269" t="e">
        <x:f aca="0">IF(LEFT(分期持仓明细!$A$188,LEN(K$81)+2)=K$81&amp;" ·",ROW(分期持仓明细!$A$188),0)</x:f>
        <x:v>#NAME?</x:v>
      </x:c>
      <x:c r="R269" t="e">
        <x:f aca="0">IF(LEFT(分期持仓明细!$A$188,LEN(L$81)+2)=L$81&amp;" ·",ROW(分期持仓明细!$A$188),0)</x:f>
        <x:v>#NAME?</x:v>
      </x:c>
    </x:row>
    <x:row r="270" ht="12.649999618530273" hidden="0">
      <x:c r="M270" t="e">
        <x:f aca="0">IF(LEFT(分期持仓明细!$A$189,LEN(G$81)+2)=G$81&amp;" ·",ROW(分期持仓明细!$A$189),0)</x:f>
        <x:v>#NAME?</x:v>
      </x:c>
      <x:c r="N270" t="e">
        <x:f aca="0">IF(LEFT(分期持仓明细!$A$189,LEN(H$81)+2)=H$81&amp;" ·",ROW(分期持仓明细!$A$189),0)</x:f>
        <x:v>#NAME?</x:v>
      </x:c>
      <x:c r="O270" t="e">
        <x:f aca="0">IF(LEFT(分期持仓明细!$A$189,LEN(I$81)+2)=I$81&amp;" ·",ROW(分期持仓明细!$A$189),0)</x:f>
        <x:v>#NAME?</x:v>
      </x:c>
      <x:c r="P270" t="e">
        <x:f aca="0">IF(LEFT(分期持仓明细!$A$189,LEN(J$81)+2)=J$81&amp;" ·",ROW(分期持仓明细!$A$189),0)</x:f>
        <x:v>#NAME?</x:v>
      </x:c>
      <x:c r="Q270" t="e">
        <x:f aca="0">IF(LEFT(分期持仓明细!$A$189,LEN(K$81)+2)=K$81&amp;" ·",ROW(分期持仓明细!$A$189),0)</x:f>
        <x:v>#NAME?</x:v>
      </x:c>
      <x:c r="R270" t="e">
        <x:f aca="0">IF(LEFT(分期持仓明细!$A$189,LEN(L$81)+2)=L$81&amp;" ·",ROW(分期持仓明细!$A$189),0)</x:f>
        <x:v>#NAME?</x:v>
      </x:c>
    </x:row>
    <x:row r="271" ht="12.649999618530273" hidden="0">
      <x:c r="M271" t="e">
        <x:f aca="0">IF(LEFT(分期持仓明细!$A$190,LEN(G$81)+2)=G$81&amp;" ·",ROW(分期持仓明细!$A$190),0)</x:f>
        <x:v>#NAME?</x:v>
      </x:c>
      <x:c r="N271" t="e">
        <x:f aca="0">IF(LEFT(分期持仓明细!$A$190,LEN(H$81)+2)=H$81&amp;" ·",ROW(分期持仓明细!$A$190),0)</x:f>
        <x:v>#NAME?</x:v>
      </x:c>
      <x:c r="O271" t="e">
        <x:f aca="0">IF(LEFT(分期持仓明细!$A$190,LEN(I$81)+2)=I$81&amp;" ·",ROW(分期持仓明细!$A$190),0)</x:f>
        <x:v>#NAME?</x:v>
      </x:c>
      <x:c r="P271" t="e">
        <x:f aca="0">IF(LEFT(分期持仓明细!$A$190,LEN(J$81)+2)=J$81&amp;" ·",ROW(分期持仓明细!$A$190),0)</x:f>
        <x:v>#NAME?</x:v>
      </x:c>
      <x:c r="Q271" t="e">
        <x:f aca="0">IF(LEFT(分期持仓明细!$A$190,LEN(K$81)+2)=K$81&amp;" ·",ROW(分期持仓明细!$A$190),0)</x:f>
        <x:v>#NAME?</x:v>
      </x:c>
      <x:c r="R271" t="e">
        <x:f aca="0">IF(LEFT(分期持仓明细!$A$190,LEN(L$81)+2)=L$81&amp;" ·",ROW(分期持仓明细!$A$190),0)</x:f>
        <x:v>#NAME?</x:v>
      </x:c>
    </x:row>
    <x:row r="272" ht="12.649999618530273" hidden="0">
      <x:c r="M272" t="e">
        <x:f aca="0">IF(LEFT(分期持仓明细!$A$191,LEN(G$81)+2)=G$81&amp;" ·",ROW(分期持仓明细!$A$191),0)</x:f>
        <x:v>#NAME?</x:v>
      </x:c>
      <x:c r="N272" t="e">
        <x:f aca="0">IF(LEFT(分期持仓明细!$A$191,LEN(H$81)+2)=H$81&amp;" ·",ROW(分期持仓明细!$A$191),0)</x:f>
        <x:v>#NAME?</x:v>
      </x:c>
      <x:c r="O272" t="e">
        <x:f aca="0">IF(LEFT(分期持仓明细!$A$191,LEN(I$81)+2)=I$81&amp;" ·",ROW(分期持仓明细!$A$191),0)</x:f>
        <x:v>#NAME?</x:v>
      </x:c>
      <x:c r="P272" t="e">
        <x:f aca="0">IF(LEFT(分期持仓明细!$A$191,LEN(J$81)+2)=J$81&amp;" ·",ROW(分期持仓明细!$A$191),0)</x:f>
        <x:v>#NAME?</x:v>
      </x:c>
      <x:c r="Q272" t="e">
        <x:f aca="0">IF(LEFT(分期持仓明细!$A$191,LEN(K$81)+2)=K$81&amp;" ·",ROW(分期持仓明细!$A$191),0)</x:f>
        <x:v>#NAME?</x:v>
      </x:c>
      <x:c r="R272" t="e">
        <x:f aca="0">IF(LEFT(分期持仓明细!$A$191,LEN(L$81)+2)=L$81&amp;" ·",ROW(分期持仓明细!$A$191),0)</x:f>
        <x:v>#NAME?</x:v>
      </x:c>
    </x:row>
    <x:row r="273" ht="12.649999618530273" hidden="0">
      <x:c r="M273" t="e">
        <x:f aca="0">IF(LEFT(分期持仓明细!$A$192,LEN(G$81)+2)=G$81&amp;" ·",ROW(分期持仓明细!$A$192),0)</x:f>
        <x:v>#NAME?</x:v>
      </x:c>
      <x:c r="N273" t="e">
        <x:f aca="0">IF(LEFT(分期持仓明细!$A$192,LEN(H$81)+2)=H$81&amp;" ·",ROW(分期持仓明细!$A$192),0)</x:f>
        <x:v>#NAME?</x:v>
      </x:c>
      <x:c r="O273" t="e">
        <x:f aca="0">IF(LEFT(分期持仓明细!$A$192,LEN(I$81)+2)=I$81&amp;" ·",ROW(分期持仓明细!$A$192),0)</x:f>
        <x:v>#NAME?</x:v>
      </x:c>
      <x:c r="P273" t="e">
        <x:f aca="0">IF(LEFT(分期持仓明细!$A$192,LEN(J$81)+2)=J$81&amp;" ·",ROW(分期持仓明细!$A$192),0)</x:f>
        <x:v>#NAME?</x:v>
      </x:c>
      <x:c r="Q273" t="e">
        <x:f aca="0">IF(LEFT(分期持仓明细!$A$192,LEN(K$81)+2)=K$81&amp;" ·",ROW(分期持仓明细!$A$192),0)</x:f>
        <x:v>#NAME?</x:v>
      </x:c>
      <x:c r="R273" t="e">
        <x:f aca="0">IF(LEFT(分期持仓明细!$A$192,LEN(L$81)+2)=L$81&amp;" ·",ROW(分期持仓明细!$A$192),0)</x:f>
        <x:v>#NAME?</x:v>
      </x:c>
    </x:row>
    <x:row r="274" ht="12.649999618530273" hidden="0">
      <x:c r="M274" t="e">
        <x:f aca="0">IF(LEFT(分期持仓明细!$A$193,LEN(G$81)+2)=G$81&amp;" ·",ROW(分期持仓明细!$A$193),0)</x:f>
        <x:v>#NAME?</x:v>
      </x:c>
      <x:c r="N274" t="e">
        <x:f aca="0">IF(LEFT(分期持仓明细!$A$193,LEN(H$81)+2)=H$81&amp;" ·",ROW(分期持仓明细!$A$193),0)</x:f>
        <x:v>#NAME?</x:v>
      </x:c>
      <x:c r="O274" t="e">
        <x:f aca="0">IF(LEFT(分期持仓明细!$A$193,LEN(I$81)+2)=I$81&amp;" ·",ROW(分期持仓明细!$A$193),0)</x:f>
        <x:v>#NAME?</x:v>
      </x:c>
      <x:c r="P274" t="e">
        <x:f aca="0">IF(LEFT(分期持仓明细!$A$193,LEN(J$81)+2)=J$81&amp;" ·",ROW(分期持仓明细!$A$193),0)</x:f>
        <x:v>#NAME?</x:v>
      </x:c>
      <x:c r="Q274" t="e">
        <x:f aca="0">IF(LEFT(分期持仓明细!$A$193,LEN(K$81)+2)=K$81&amp;" ·",ROW(分期持仓明细!$A$193),0)</x:f>
        <x:v>#NAME?</x:v>
      </x:c>
      <x:c r="R274" t="e">
        <x:f aca="0">IF(LEFT(分期持仓明细!$A$193,LEN(L$81)+2)=L$81&amp;" ·",ROW(分期持仓明细!$A$193),0)</x:f>
        <x:v>#NAME?</x:v>
      </x:c>
    </x:row>
    <x:row r="275" ht="12.649999618530273" hidden="0">
      <x:c r="M275" t="e">
        <x:f aca="0">IF(LEFT(分期持仓明细!$A$194,LEN(G$81)+2)=G$81&amp;" ·",ROW(分期持仓明细!$A$194),0)</x:f>
        <x:v>#NAME?</x:v>
      </x:c>
      <x:c r="N275" t="e">
        <x:f aca="0">IF(LEFT(分期持仓明细!$A$194,LEN(H$81)+2)=H$81&amp;" ·",ROW(分期持仓明细!$A$194),0)</x:f>
        <x:v>#NAME?</x:v>
      </x:c>
      <x:c r="O275" t="e">
        <x:f aca="0">IF(LEFT(分期持仓明细!$A$194,LEN(I$81)+2)=I$81&amp;" ·",ROW(分期持仓明细!$A$194),0)</x:f>
        <x:v>#NAME?</x:v>
      </x:c>
      <x:c r="P275" t="e">
        <x:f aca="0">IF(LEFT(分期持仓明细!$A$194,LEN(J$81)+2)=J$81&amp;" ·",ROW(分期持仓明细!$A$194),0)</x:f>
        <x:v>#NAME?</x:v>
      </x:c>
      <x:c r="Q275" t="e">
        <x:f aca="0">IF(LEFT(分期持仓明细!$A$194,LEN(K$81)+2)=K$81&amp;" ·",ROW(分期持仓明细!$A$194),0)</x:f>
        <x:v>#NAME?</x:v>
      </x:c>
      <x:c r="R275" t="e">
        <x:f aca="0">IF(LEFT(分期持仓明细!$A$194,LEN(L$81)+2)=L$81&amp;" ·",ROW(分期持仓明细!$A$194),0)</x:f>
        <x:v>#NAME?</x:v>
      </x:c>
    </x:row>
    <x:row r="276" ht="12.649999618530273" hidden="0">
      <x:c r="M276" t="e">
        <x:f aca="0">IF(LEFT(分期持仓明细!$A$195,LEN(G$81)+2)=G$81&amp;" ·",ROW(分期持仓明细!$A$195),0)</x:f>
        <x:v>#NAME?</x:v>
      </x:c>
      <x:c r="N276" t="e">
        <x:f aca="0">IF(LEFT(分期持仓明细!$A$195,LEN(H$81)+2)=H$81&amp;" ·",ROW(分期持仓明细!$A$195),0)</x:f>
        <x:v>#NAME?</x:v>
      </x:c>
      <x:c r="O276" t="e">
        <x:f aca="0">IF(LEFT(分期持仓明细!$A$195,LEN(I$81)+2)=I$81&amp;" ·",ROW(分期持仓明细!$A$195),0)</x:f>
        <x:v>#NAME?</x:v>
      </x:c>
      <x:c r="P276" t="e">
        <x:f aca="0">IF(LEFT(分期持仓明细!$A$195,LEN(J$81)+2)=J$81&amp;" ·",ROW(分期持仓明细!$A$195),0)</x:f>
        <x:v>#NAME?</x:v>
      </x:c>
      <x:c r="Q276" t="e">
        <x:f aca="0">IF(LEFT(分期持仓明细!$A$195,LEN(K$81)+2)=K$81&amp;" ·",ROW(分期持仓明细!$A$195),0)</x:f>
        <x:v>#NAME?</x:v>
      </x:c>
      <x:c r="R276" t="e">
        <x:f aca="0">IF(LEFT(分期持仓明细!$A$195,LEN(L$81)+2)=L$81&amp;" ·",ROW(分期持仓明细!$A$195),0)</x:f>
        <x:v>#NAME?</x:v>
      </x:c>
    </x:row>
    <x:row r="277" ht="12.649999618530273" hidden="0">
      <x:c r="M277" t="e">
        <x:f aca="0">IF(LEFT(分期持仓明细!$A$196,LEN(G$81)+2)=G$81&amp;" ·",ROW(分期持仓明细!$A$196),0)</x:f>
        <x:v>#NAME?</x:v>
      </x:c>
      <x:c r="N277" t="e">
        <x:f aca="0">IF(LEFT(分期持仓明细!$A$196,LEN(H$81)+2)=H$81&amp;" ·",ROW(分期持仓明细!$A$196),0)</x:f>
        <x:v>#NAME?</x:v>
      </x:c>
      <x:c r="O277" t="e">
        <x:f aca="0">IF(LEFT(分期持仓明细!$A$196,LEN(I$81)+2)=I$81&amp;" ·",ROW(分期持仓明细!$A$196),0)</x:f>
        <x:v>#NAME?</x:v>
      </x:c>
      <x:c r="P277" t="e">
        <x:f aca="0">IF(LEFT(分期持仓明细!$A$196,LEN(J$81)+2)=J$81&amp;" ·",ROW(分期持仓明细!$A$196),0)</x:f>
        <x:v>#NAME?</x:v>
      </x:c>
      <x:c r="Q277" t="e">
        <x:f aca="0">IF(LEFT(分期持仓明细!$A$196,LEN(K$81)+2)=K$81&amp;" ·",ROW(分期持仓明细!$A$196),0)</x:f>
        <x:v>#NAME?</x:v>
      </x:c>
      <x:c r="R277" t="e">
        <x:f aca="0">IF(LEFT(分期持仓明细!$A$196,LEN(L$81)+2)=L$81&amp;" ·",ROW(分期持仓明细!$A$196),0)</x:f>
        <x:v>#NAME?</x:v>
      </x:c>
    </x:row>
    <x:row r="278" ht="12.649999618530273" hidden="0">
      <x:c r="M278" t="e">
        <x:f aca="0">IF(LEFT(分期持仓明细!$A$197,LEN(G$81)+2)=G$81&amp;" ·",ROW(分期持仓明细!$A$197),0)</x:f>
        <x:v>#NAME?</x:v>
      </x:c>
      <x:c r="N278" t="e">
        <x:f aca="0">IF(LEFT(分期持仓明细!$A$197,LEN(H$81)+2)=H$81&amp;" ·",ROW(分期持仓明细!$A$197),0)</x:f>
        <x:v>#NAME?</x:v>
      </x:c>
      <x:c r="O278" t="e">
        <x:f aca="0">IF(LEFT(分期持仓明细!$A$197,LEN(I$81)+2)=I$81&amp;" ·",ROW(分期持仓明细!$A$197),0)</x:f>
        <x:v>#NAME?</x:v>
      </x:c>
      <x:c r="P278" t="e">
        <x:f aca="0">IF(LEFT(分期持仓明细!$A$197,LEN(J$81)+2)=J$81&amp;" ·",ROW(分期持仓明细!$A$197),0)</x:f>
        <x:v>#NAME?</x:v>
      </x:c>
      <x:c r="Q278" t="e">
        <x:f aca="0">IF(LEFT(分期持仓明细!$A$197,LEN(K$81)+2)=K$81&amp;" ·",ROW(分期持仓明细!$A$197),0)</x:f>
        <x:v>#NAME?</x:v>
      </x:c>
      <x:c r="R278" t="e">
        <x:f aca="0">IF(LEFT(分期持仓明细!$A$197,LEN(L$81)+2)=L$81&amp;" ·",ROW(分期持仓明细!$A$197),0)</x:f>
        <x:v>#NAME?</x:v>
      </x:c>
    </x:row>
    <x:row r="279" ht="12.649999618530273" hidden="0">
      <x:c r="M279" t="e">
        <x:f aca="0">IF(LEFT(分期持仓明细!$A$198,LEN(G$81)+2)=G$81&amp;" ·",ROW(分期持仓明细!$A$198),0)</x:f>
        <x:v>#NAME?</x:v>
      </x:c>
      <x:c r="N279" t="e">
        <x:f aca="0">IF(LEFT(分期持仓明细!$A$198,LEN(H$81)+2)=H$81&amp;" ·",ROW(分期持仓明细!$A$198),0)</x:f>
        <x:v>#NAME?</x:v>
      </x:c>
      <x:c r="O279" t="e">
        <x:f aca="0">IF(LEFT(分期持仓明细!$A$198,LEN(I$81)+2)=I$81&amp;" ·",ROW(分期持仓明细!$A$198),0)</x:f>
        <x:v>#NAME?</x:v>
      </x:c>
      <x:c r="P279" t="e">
        <x:f aca="0">IF(LEFT(分期持仓明细!$A$198,LEN(J$81)+2)=J$81&amp;" ·",ROW(分期持仓明细!$A$198),0)</x:f>
        <x:v>#NAME?</x:v>
      </x:c>
      <x:c r="Q279" t="e">
        <x:f aca="0">IF(LEFT(分期持仓明细!$A$198,LEN(K$81)+2)=K$81&amp;" ·",ROW(分期持仓明细!$A$198),0)</x:f>
        <x:v>#NAME?</x:v>
      </x:c>
      <x:c r="R279" t="e">
        <x:f aca="0">IF(LEFT(分期持仓明细!$A$198,LEN(L$81)+2)=L$81&amp;" ·",ROW(分期持仓明细!$A$198),0)</x:f>
        <x:v>#NAME?</x:v>
      </x:c>
    </x:row>
    <x:row r="280" ht="12.649999618530273" hidden="0">
      <x:c r="M280" t="e">
        <x:f aca="0">IF(LEFT(分期持仓明细!$A$199,LEN(G$81)+2)=G$81&amp;" ·",ROW(分期持仓明细!$A$199),0)</x:f>
        <x:v>#NAME?</x:v>
      </x:c>
      <x:c r="N280" t="e">
        <x:f aca="0">IF(LEFT(分期持仓明细!$A$199,LEN(H$81)+2)=H$81&amp;" ·",ROW(分期持仓明细!$A$199),0)</x:f>
        <x:v>#NAME?</x:v>
      </x:c>
      <x:c r="O280" t="e">
        <x:f aca="0">IF(LEFT(分期持仓明细!$A$199,LEN(I$81)+2)=I$81&amp;" ·",ROW(分期持仓明细!$A$199),0)</x:f>
        <x:v>#NAME?</x:v>
      </x:c>
      <x:c r="P280" t="e">
        <x:f aca="0">IF(LEFT(分期持仓明细!$A$199,LEN(J$81)+2)=J$81&amp;" ·",ROW(分期持仓明细!$A$199),0)</x:f>
        <x:v>#NAME?</x:v>
      </x:c>
      <x:c r="Q280" t="e">
        <x:f aca="0">IF(LEFT(分期持仓明细!$A$199,LEN(K$81)+2)=K$81&amp;" ·",ROW(分期持仓明细!$A$199),0)</x:f>
        <x:v>#NAME?</x:v>
      </x:c>
      <x:c r="R280" t="e">
        <x:f aca="0">IF(LEFT(分期持仓明细!$A$199,LEN(L$81)+2)=L$81&amp;" ·",ROW(分期持仓明细!$A$199),0)</x:f>
        <x:v>#NAME?</x:v>
      </x:c>
    </x:row>
    <x:row r="281" ht="12.649999618530273" hidden="0">
      <x:c r="M281" t="e">
        <x:f aca="0">IF(LEFT(分期持仓明细!$A$200,LEN(G$81)+2)=G$81&amp;" ·",ROW(分期持仓明细!$A$200),0)</x:f>
        <x:v>#NAME?</x:v>
      </x:c>
      <x:c r="N281" t="e">
        <x:f aca="0">IF(LEFT(分期持仓明细!$A$200,LEN(H$81)+2)=H$81&amp;" ·",ROW(分期持仓明细!$A$200),0)</x:f>
        <x:v>#NAME?</x:v>
      </x:c>
      <x:c r="O281" t="e">
        <x:f aca="0">IF(LEFT(分期持仓明细!$A$200,LEN(I$81)+2)=I$81&amp;" ·",ROW(分期持仓明细!$A$200),0)</x:f>
        <x:v>#NAME?</x:v>
      </x:c>
      <x:c r="P281" t="e">
        <x:f aca="0">IF(LEFT(分期持仓明细!$A$200,LEN(J$81)+2)=J$81&amp;" ·",ROW(分期持仓明细!$A$200),0)</x:f>
        <x:v>#NAME?</x:v>
      </x:c>
      <x:c r="Q281" t="e">
        <x:f aca="0">IF(LEFT(分期持仓明细!$A$200,LEN(K$81)+2)=K$81&amp;" ·",ROW(分期持仓明细!$A$200),0)</x:f>
        <x:v>#NAME?</x:v>
      </x:c>
      <x:c r="R281" t="e">
        <x:f aca="0">IF(LEFT(分期持仓明细!$A$200,LEN(L$81)+2)=L$81&amp;" ·",ROW(分期持仓明细!$A$200),0)</x:f>
        <x:v>#NAME?</x:v>
      </x:c>
    </x:row>
  </x:sheetData>
  <x:mergeCells>
    <x:mergeCell ref="A1:L1"/>
    <x:mergeCell ref="D2:H2"/>
    <x:mergeCell ref="A3:L3"/>
    <x:mergeCell ref="A5:E5"/>
    <x:mergeCell ref="A31:G31"/>
    <x:mergeCell ref="A33:F33"/>
    <x:mergeCell ref="A38:H38"/>
    <x:mergeCell ref="A40:C40"/>
    <x:mergeCell ref="A45:E45"/>
    <x:mergeCell ref="A47:H47"/>
    <x:mergeCell ref="A50:L50"/>
    <x:mergeCell ref="A51:L51"/>
    <x:mergeCell ref="A80:L80"/>
    <x:mergeCell ref="A88:F88"/>
  </x:mergeCells>
  <x:conditionalFormatting sqref="A7:G30">
    <x:cfRule type="expression" dxfId="0" priority="2" aboveAverage="0" percent="0" bottom="0" rank="0" equalAverage="0">
      <x:formula>AND($D7="主动",$E7&gt;$L$2)</x:formula>
    </x:cfRule>
  </x:conditionalFormatting>
  <x:conditionalFormatting sqref="F7:F30">
    <x:cfRule type="containsText" dxfId="1" priority="3" aboveAverage="0" percent="0" bottom="0" operator="containsText" text="正常" rank="0" equalAverage="0">
      <x:formula>NOT(ISERROR(SEARCH("正常",F7)))</x:formula>
    </x:cfRule>
  </x:conditionalFormatting>
  <x:conditionalFormatting sqref="D35:D37">
    <x:cfRule type="expression" dxfId="2" priority="4" aboveAverage="0" percent="0" bottom="0" rank="0" equalAverage="0">
      <x:formula>ABS(D35)&gt;$J$2</x:formula>
    </x:cfRule>
  </x:conditionalFormatting>
  <x:conditionalFormatting sqref="G35:G37">
    <x:cfRule type="expression" dxfId="3" priority="5" aboveAverage="0" percent="0" bottom="0" rank="0" equalAverage="0">
      <x:formula>ABS(G35)&gt;$J$2</x:formula>
    </x:cfRule>
  </x:conditionalFormatting>
  <x:dataValidations count="3">
    <x:dataValidation type="list" errorStyle="stop" operator="between" allowBlank="0" showDropDown="0" showInputMessage="0" showErrorMessage="0" sqref="C53:C76">
      <x:formula1>"增值,生息"</x:formula1>
      <x:formula2>0</x:formula2>
    </x:dataValidation>
    <x:dataValidation type="list" errorStyle="stop" operator="between" allowBlank="0" showDropDown="0" showInputMessage="0" showErrorMessage="0" sqref="D53:D76">
      <x:formula1>"产业趋势,指增,-"</x:formula1>
      <x:formula2>0</x:formula2>
    </x:dataValidation>
    <x:dataValidation type="list" errorStyle="stop" operator="between" allowBlank="0" showDropDown="0" showInputMessage="0" showErrorMessage="0" sqref="E53:E76">
      <x:formula1>"主动,指数,指增,货币,债券,保障"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BBB59"/>
  </x:sheetPr>
  <x:sheetViews>
    <x:sheetView showGridLines="1" workbookViewId="0"/>
  </x:sheetViews>
  <x:sheetFormatPr defaultColWidth="8.80859375" defaultRowHeight="12"/>
  <x:cols>
    <x:col min="1" max="1" width="8" hidden="0" customWidth="1"/>
    <x:col min="2" max="2" width="16" hidden="0" customWidth="1"/>
    <x:col min="3" max="3" width="25.3700008392334" hidden="0" customWidth="1"/>
    <x:col min="4" max="5" width="12.539999961853027" style="40" hidden="0" customWidth="1"/>
    <x:col min="6" max="6" width="12" hidden="0" customWidth="1"/>
    <x:col min="7" max="7" width="15.270000457763672" hidden="0" customWidth="1"/>
    <x:col min="8" max="8" width="12.539999961853027" hidden="0" customWidth="1"/>
    <x:col min="9" max="9" width="21.18000030517578" hidden="0" customWidth="1"/>
  </x:cols>
  <x:sheetData>
    <x:row r="1" ht="12" hidden="0">
      <x:c r="E1" s="41" t="e">
        <x:f aca="0">VLOOKUP(E3,实盘组合净值!$A:$P,14)</x:f>
        <x:v>#NAME?</x:v>
      </x:c>
      <x:c r="F1" s="41" t="e">
        <x:f aca="0">VLOOKUP(F3,实盘组合净值!$A:$P,14)</x:f>
        <x:v>#NAME?</x:v>
      </x:c>
      <x:c r="G1" s="41" t="e">
        <x:f aca="0">VLOOKUP(G3,实盘组合净值!$A:$P,14)</x:f>
        <x:v>#NAME?</x:v>
      </x:c>
      <x:c r="H1" s="41" t="e">
        <x:f aca="0">VLOOKUP(H3,实盘组合净值!$A:$P,14)</x:f>
        <x:v>#NAME?</x:v>
      </x:c>
    </x:row>
    <x:row r="2" ht="12" hidden="0">
      <x:c r="E2" s="41" t="e">
        <x:f aca="0">VLOOKUP(E5,实盘组合净值!$A:$P,14)</x:f>
        <x:v>#NAME?</x:v>
      </x:c>
      <x:c r="F2" s="41" t="e">
        <x:f aca="0">VLOOKUP(F5,实盘组合净值!$A:$P,14)</x:f>
        <x:v>#NAME?</x:v>
      </x:c>
      <x:c r="G2" s="41" t="e">
        <x:f aca="0">VLOOKUP(G5,实盘组合净值!$A:$P,14)</x:f>
        <x:v>#NAME?</x:v>
      </x:c>
      <x:c r="H2" s="41" t="e">
        <x:f aca="0">VLOOKUP(H5,实盘组合净值!$A:$P,14)</x:f>
        <x:v>#NAME?</x:v>
      </x:c>
    </x:row>
    <x:row r="3" ht="12" hidden="0">
      <x:c r="E3" s="42" t="n">
        <x:f aca="0">E5-7</x:f>
        <x:v>46248</x:v>
      </x:c>
      <x:c r="F3" s="43" t="n">
        <x:v>46191</x:v>
      </x:c>
      <x:c r="G3" s="43" t="n">
        <x:v>46191</x:v>
      </x:c>
      <x:c r="H3" s="43" t="n">
        <x:v>46234</x:v>
      </x:c>
    </x:row>
    <x:row r="4" ht="12" hidden="0">
      <x:c r="E4" s="42" t="n">
        <x:f aca="0">E5-5</x:f>
        <x:v>46250</x:v>
      </x:c>
      <x:c r="F4" s="43" t="n">
        <x:v>46195</x:v>
      </x:c>
      <x:c r="G4" s="43" t="n">
        <x:v>46195</x:v>
      </x:c>
      <x:c r="H4" s="43" t="n">
        <x:v>46237</x:v>
      </x:c>
    </x:row>
    <x:row r="5" ht="12" hidden="0">
      <x:c r="E5" s="44" t="n">
        <x:v>46255</x:v>
      </x:c>
      <x:c r="F5" s="45" t="e">
        <x:f aca="0">偏离度监控!B2</x:f>
        <x:v>#NAME?</x:v>
      </x:c>
      <x:c r="G5" s="43" t="n">
        <x:v>46233</x:v>
      </x:c>
      <x:c r="H5" s="43" t="e">
        <x:f aca="0">F5</x:f>
        <x:v>#NAME?</x:v>
      </x:c>
    </x:row>
    <x:row r="6" ht="33" hidden="0" customHeight="1">
      <x:c r="A6" s="46"/>
      <x:c r="B6" s="46"/>
      <x:c r="C6" s="47" t="s">
        <x:v>147</x:v>
      </x:c>
      <x:c r="D6" s="47"/>
      <x:c r="E6" s="47"/>
      <x:c r="F6" s="47"/>
      <x:c r="G6" s="47"/>
      <x:c r="H6" s="47"/>
      <x:c r="I6" s="47"/>
    </x:row>
    <x:row r="7" ht="28.350000381469727" hidden="0">
      <x:c r="A7" s="48" t="s">
        <x:v>148</x:v>
      </x:c>
      <x:c r="B7" s="48" t="s">
        <x:v>28</x:v>
      </x:c>
      <x:c r="C7" s="48" t="s">
        <x:v>149</x:v>
      </x:c>
      <x:c r="D7" s="49" t="s">
        <x:v>150</x:v>
      </x:c>
      <x:c r="E7" s="50" t="s">
        <x:v>151</x:v>
      </x:c>
      <x:c r="F7" s="50" t="s">
        <x:v>152</x:v>
      </x:c>
      <x:c r="G7" s="51" t="s">
        <x:v>153</x:v>
      </x:c>
      <x:c r="H7" s="51" t="s">
        <x:v>154</x:v>
      </x:c>
      <x:c r="I7" s="52" t="s">
        <x:v>155</x:v>
      </x:c>
    </x:row>
    <x:row r="8" ht="15.649999618530273" hidden="0">
      <x:c r="A8" s="53" t="s">
        <x:v>68</x:v>
      </x:c>
      <x:c r="B8" s="54"/>
      <x:c r="C8" s="55" t="s">
        <x:v>156</x:v>
      </x:c>
      <x:c r="D8" s="56"/>
      <x:c r="E8" s="57" t="e">
        <x:f aca="0">E$2/E$1-1</x:f>
        <x:v>#NAME?</x:v>
      </x:c>
      <x:c r="F8" s="57" t="e">
        <x:f aca="0">F$2/F$1-1</x:f>
        <x:v>#NAME?</x:v>
      </x:c>
      <x:c r="G8" s="57" t="e">
        <x:f aca="0">G$2/G$1-1</x:f>
        <x:v>#NAME?</x:v>
      </x:c>
      <x:c r="H8" s="57" t="e">
        <x:f aca="0">H$2/H$1-1</x:f>
        <x:v>#NAME?</x:v>
      </x:c>
      <x:c r="I8" s="57" t="e">
        <x:f aca="0">'看板-10-90基石'!$F$7</x:f>
        <x:v>#NAME?</x:v>
      </x:c>
    </x:row>
    <x:row r="9" ht="13.800000190734863" hidden="0">
      <x:c r="A9" s="58" t="n">
        <x:v>1</x:v>
      </x:c>
      <x:c r="B9" s="59" t="s">
        <x:v>157</x:v>
      </x:c>
      <x:c r="C9" s="60" t="s">
        <x:v>158</x:v>
      </x:c>
      <x:c r="D9" s="61" t="n">
        <x:v>712</x:v>
      </x:c>
      <x:c r="E9" s="62" t="e">
        <x:f aca="0">[1]!thsiFinD("ths_adjustment_nvg_ratio_fund",$B9,E$4,E$5,101)/100</x:f>
        <x:v>#NAME?</x:v>
      </x:c>
      <x:c r="F9" s="62" t="e">
        <x:f aca="0">[1]!thsiFinD("ths_adjustment_nvg_ratio_fund",$B9,F$4,F$5,101)/100</x:f>
        <x:v>#NAME?</x:v>
      </x:c>
      <x:c r="G9" s="62" t="e">
        <x:f aca="0">[1]!thsiFinD("ths_adjustment_nvg_ratio_fund",$B9,G$4,G$5,101)/100</x:f>
        <x:v>#NAME?</x:v>
      </x:c>
      <x:c r="H9" s="62" t="e">
        <x:f aca="0">[1]!thsiFinD("ths_adjustment_nvg_ratio_fund",$B9,H$4,H$5,101)/100</x:f>
        <x:v>#NAME?</x:v>
      </x:c>
      <x:c r="I9" s="62" t="e">
        <x:f aca="0">-[1]!thsiFinD("ths_max_retrace_rate_all_fund",$B9,F$3,F$5)/100</x:f>
        <x:v>#NAME?</x:v>
      </x:c>
    </x:row>
    <x:row r="10" ht="13.800000190734863" hidden="0">
      <x:c r="A10" s="63" t="n">
        <x:v>2</x:v>
      </x:c>
      <x:c r="B10" s="64" t="s">
        <x:v>159</x:v>
      </x:c>
      <x:c r="C10" s="65" t="s">
        <x:v>160</x:v>
      </x:c>
      <x:c r="D10" s="66" t="n">
        <x:v>584</x:v>
      </x:c>
      <x:c r="E10" s="67" t="e">
        <x:f aca="0">[1]!thsiFinD("ths_adjustment_nvg_ratio_fund",$B10,E$4,E$5,101)/100</x:f>
        <x:v>#NAME?</x:v>
      </x:c>
      <x:c r="F10" s="67" t="e">
        <x:f aca="0">[1]!thsiFinD("ths_adjustment_nvg_ratio_fund",$B10,F$4,F$5,101)/100</x:f>
        <x:v>#NAME?</x:v>
      </x:c>
      <x:c r="G10" s="67" t="e">
        <x:f aca="0">[1]!thsiFinD("ths_adjustment_nvg_ratio_fund",$B10,G$4,G$5,101)/100</x:f>
        <x:v>#NAME?</x:v>
      </x:c>
      <x:c r="H10" s="67" t="e">
        <x:f aca="0">[1]!thsiFinD("ths_adjustment_nvg_ratio_fund",$B10,H$4,H$5,101)/100</x:f>
        <x:v>#NAME?</x:v>
      </x:c>
      <x:c r="I10" s="67" t="e">
        <x:f aca="0">-[1]!thsiFinD("ths_max_retrace_rate_all_fund",$B10,F$3,F$5)/100</x:f>
        <x:v>#NAME?</x:v>
      </x:c>
    </x:row>
    <x:row r="11" ht="13.800000190734863" hidden="0">
      <x:c r="A11" s="58" t="n">
        <x:v>3</x:v>
      </x:c>
      <x:c r="B11" s="59" t="s">
        <x:v>161</x:v>
      </x:c>
      <x:c r="C11" s="60" t="s">
        <x:v>162</x:v>
      </x:c>
      <x:c r="D11" s="61" t="n">
        <x:v>576</x:v>
      </x:c>
      <x:c r="E11" s="62" t="e">
        <x:f aca="0">[1]!thsiFinD("ths_adjustment_nvg_ratio_fund",$B11,E$4,E$5,101)/100</x:f>
        <x:v>#NAME?</x:v>
      </x:c>
      <x:c r="F11" s="62" t="e">
        <x:f aca="0">[1]!thsiFinD("ths_adjustment_nvg_ratio_fund",$B11,F$4,F$5,101)/100</x:f>
        <x:v>#NAME?</x:v>
      </x:c>
      <x:c r="G11" s="62" t="e">
        <x:f aca="0">[1]!thsiFinD("ths_adjustment_nvg_ratio_fund",$B11,G$4,G$5,101)/100</x:f>
        <x:v>#NAME?</x:v>
      </x:c>
      <x:c r="H11" s="62" t="e">
        <x:f aca="0">[1]!thsiFinD("ths_adjustment_nvg_ratio_fund",$B11,H$4,H$5,101)/100</x:f>
        <x:v>#NAME?</x:v>
      </x:c>
      <x:c r="I11" s="62" t="e">
        <x:f aca="0">-[1]!thsiFinD("ths_max_retrace_rate_all_fund",$B11,F$3,F$5)/100</x:f>
        <x:v>#NAME?</x:v>
      </x:c>
    </x:row>
    <x:row r="12" ht="13.800000190734863" hidden="0">
      <x:c r="A12" s="63" t="n">
        <x:v>4</x:v>
      </x:c>
      <x:c r="B12" s="64" t="s">
        <x:v>163</x:v>
      </x:c>
      <x:c r="C12" s="65" t="s">
        <x:v>164</x:v>
      </x:c>
      <x:c r="D12" s="66" t="n">
        <x:v>393</x:v>
      </x:c>
      <x:c r="E12" s="67" t="e">
        <x:f aca="0">[1]!thsiFinD("ths_adjustment_nvg_ratio_fund",$B12,E$4,E$5,101)/100</x:f>
        <x:v>#NAME?</x:v>
      </x:c>
      <x:c r="F12" s="67" t="e">
        <x:f aca="0">[1]!thsiFinD("ths_adjustment_nvg_ratio_fund",$B12,F$4,F$5,101)/100</x:f>
        <x:v>#NAME?</x:v>
      </x:c>
      <x:c r="G12" s="67" t="e">
        <x:f aca="0">[1]!thsiFinD("ths_adjustment_nvg_ratio_fund",$B12,G$4,G$5,101)/100</x:f>
        <x:v>#NAME?</x:v>
      </x:c>
      <x:c r="H12" s="67" t="e">
        <x:f aca="0">[1]!thsiFinD("ths_adjustment_nvg_ratio_fund",$B12,H$4,H$5,101)/100</x:f>
        <x:v>#NAME?</x:v>
      </x:c>
      <x:c r="I12" s="67" t="e">
        <x:f aca="0">-[1]!thsiFinD("ths_max_retrace_rate_all_fund",$B12,F$3,F$5)/100</x:f>
        <x:v>#NAME?</x:v>
      </x:c>
    </x:row>
    <x:row r="13" ht="13.800000190734863" hidden="0">
      <x:c r="A13" s="58" t="n">
        <x:v>5</x:v>
      </x:c>
      <x:c r="B13" s="59" t="s">
        <x:v>165</x:v>
      </x:c>
      <x:c r="C13" s="60" t="s">
        <x:v>166</x:v>
      </x:c>
      <x:c r="D13" s="61" t="n">
        <x:v>391</x:v>
      </x:c>
      <x:c r="E13" s="62" t="e">
        <x:f aca="0">[1]!thsiFinD("ths_adjustment_nvg_ratio_fund",$B13,E$4,E$5,101)/100</x:f>
        <x:v>#NAME?</x:v>
      </x:c>
      <x:c r="F13" s="62" t="e">
        <x:f aca="0">[1]!thsiFinD("ths_adjustment_nvg_ratio_fund",$B13,F$4,F$5,101)/100</x:f>
        <x:v>#NAME?</x:v>
      </x:c>
      <x:c r="G13" s="62" t="e">
        <x:f aca="0">[1]!thsiFinD("ths_adjustment_nvg_ratio_fund",$B13,G$4,G$5,101)/100</x:f>
        <x:v>#NAME?</x:v>
      </x:c>
      <x:c r="H13" s="62" t="e">
        <x:f aca="0">[1]!thsiFinD("ths_adjustment_nvg_ratio_fund",$B13,H$4,H$5,101)/100</x:f>
        <x:v>#NAME?</x:v>
      </x:c>
      <x:c r="I13" s="62" t="e">
        <x:f aca="0">-[1]!thsiFinD("ths_max_retrace_rate_all_fund",$B13,F$3,F$5)/100</x:f>
        <x:v>#NAME?</x:v>
      </x:c>
    </x:row>
    <x:row r="14" ht="13.800000190734863" hidden="0">
      <x:c r="A14" s="63" t="n">
        <x:v>6</x:v>
      </x:c>
      <x:c r="B14" s="64" t="s">
        <x:v>167</x:v>
      </x:c>
      <x:c r="C14" s="65" t="s">
        <x:v>168</x:v>
      </x:c>
      <x:c r="D14" s="66" t="n">
        <x:v>365</x:v>
      </x:c>
      <x:c r="E14" s="67" t="e">
        <x:f aca="0">[1]!thsiFinD("ths_adjustment_nvg_ratio_fund",$B14,E$4,E$5,101)/100</x:f>
        <x:v>#NAME?</x:v>
      </x:c>
      <x:c r="F14" s="67" t="e">
        <x:f aca="0">[1]!thsiFinD("ths_adjustment_nvg_ratio_fund",$B14,F$4,F$5,101)/100</x:f>
        <x:v>#NAME?</x:v>
      </x:c>
      <x:c r="G14" s="67" t="e">
        <x:f aca="0">[1]!thsiFinD("ths_adjustment_nvg_ratio_fund",$B14,G$4,G$5,101)/100</x:f>
        <x:v>#NAME?</x:v>
      </x:c>
      <x:c r="H14" s="67" t="e">
        <x:f aca="0">[1]!thsiFinD("ths_adjustment_nvg_ratio_fund",$B14,H$4,H$5,101)/100</x:f>
        <x:v>#NAME?</x:v>
      </x:c>
      <x:c r="I14" s="67" t="e">
        <x:f aca="0">-[1]!thsiFinD("ths_max_retrace_rate_all_fund",$B14,F$3,F$5)/100</x:f>
        <x:v>#NAME?</x:v>
      </x:c>
    </x:row>
    <x:row r="15" ht="13.800000190734863" hidden="0">
      <x:c r="A15" s="58" t="n">
        <x:v>7</x:v>
      </x:c>
      <x:c r="B15" s="59" t="s">
        <x:v>169</x:v>
      </x:c>
      <x:c r="C15" s="60" t="s">
        <x:v>170</x:v>
      </x:c>
      <x:c r="D15" s="61" t="n">
        <x:v>361</x:v>
      </x:c>
      <x:c r="E15" s="62" t="e">
        <x:f aca="0">[1]!thsiFinD("ths_adjustment_nvg_ratio_fund",$B15,E$4,E$5,101)/100</x:f>
        <x:v>#NAME?</x:v>
      </x:c>
      <x:c r="F15" s="62" t="e">
        <x:f aca="0">[1]!thsiFinD("ths_adjustment_nvg_ratio_fund",$B15,F$4,F$5,101)/100</x:f>
        <x:v>#NAME?</x:v>
      </x:c>
      <x:c r="G15" s="62" t="e">
        <x:f aca="0">[1]!thsiFinD("ths_adjustment_nvg_ratio_fund",$B15,G$4,G$5,101)/100</x:f>
        <x:v>#NAME?</x:v>
      </x:c>
      <x:c r="H15" s="62" t="e">
        <x:f aca="0">[1]!thsiFinD("ths_adjustment_nvg_ratio_fund",$B15,H$4,H$5,101)/100</x:f>
        <x:v>#NAME?</x:v>
      </x:c>
      <x:c r="I15" s="62" t="e">
        <x:f aca="0">-[1]!thsiFinD("ths_max_retrace_rate_all_fund",$B15,F$3,F$5)/100</x:f>
        <x:v>#NAME?</x:v>
      </x:c>
    </x:row>
    <x:row r="16" ht="13.800000190734863" hidden="0">
      <x:c r="A16" s="63" t="n">
        <x:v>8</x:v>
      </x:c>
      <x:c r="B16" s="64" t="s">
        <x:v>171</x:v>
      </x:c>
      <x:c r="C16" s="65" t="s">
        <x:v>172</x:v>
      </x:c>
      <x:c r="D16" s="66" t="n">
        <x:v>359</x:v>
      </x:c>
      <x:c r="E16" s="67" t="e">
        <x:f aca="0">[1]!thsiFinD("ths_adjustment_nvg_ratio_fund",$B16,E$4,E$5,101)/100</x:f>
        <x:v>#NAME?</x:v>
      </x:c>
      <x:c r="F16" s="67" t="e">
        <x:f aca="0">[1]!thsiFinD("ths_adjustment_nvg_ratio_fund",$B16,F$4,F$5,101)/100</x:f>
        <x:v>#NAME?</x:v>
      </x:c>
      <x:c r="G16" s="67" t="e">
        <x:f aca="0">[1]!thsiFinD("ths_adjustment_nvg_ratio_fund",$B16,G$4,G$5,101)/100</x:f>
        <x:v>#NAME?</x:v>
      </x:c>
      <x:c r="H16" s="67" t="e">
        <x:f aca="0">[1]!thsiFinD("ths_adjustment_nvg_ratio_fund",$B16,H$4,H$5,101)/100</x:f>
        <x:v>#NAME?</x:v>
      </x:c>
      <x:c r="I16" s="67" t="e">
        <x:f aca="0">-[1]!thsiFinD("ths_max_retrace_rate_all_fund",$B16,F$3,F$5)/100</x:f>
        <x:v>#NAME?</x:v>
      </x:c>
    </x:row>
    <x:row r="17" ht="13.800000190734863" hidden="0">
      <x:c r="A17" s="58" t="n">
        <x:v>9</x:v>
      </x:c>
      <x:c r="B17" s="59" t="s">
        <x:v>173</x:v>
      </x:c>
      <x:c r="C17" s="60" t="s">
        <x:v>174</x:v>
      </x:c>
      <x:c r="D17" s="61" t="n">
        <x:v>342</x:v>
      </x:c>
      <x:c r="E17" s="62" t="e">
        <x:f aca="0">[1]!thsiFinD("ths_adjustment_nvg_ratio_fund",$B17,E$4,E$5,101)/100</x:f>
        <x:v>#NAME?</x:v>
      </x:c>
      <x:c r="F17" s="62" t="e">
        <x:f aca="0">[1]!thsiFinD("ths_adjustment_nvg_ratio_fund",$B17,F$4,F$5,101)/100</x:f>
        <x:v>#NAME?</x:v>
      </x:c>
      <x:c r="G17" s="62" t="e">
        <x:f aca="0">[1]!thsiFinD("ths_adjustment_nvg_ratio_fund",$B17,G$4,G$5,101)/100</x:f>
        <x:v>#NAME?</x:v>
      </x:c>
      <x:c r="H17" s="62" t="e">
        <x:f aca="0">[1]!thsiFinD("ths_adjustment_nvg_ratio_fund",$B17,H$4,H$5,101)/100</x:f>
        <x:v>#NAME?</x:v>
      </x:c>
      <x:c r="I17" s="62" t="e">
        <x:f aca="0">-[1]!thsiFinD("ths_max_retrace_rate_all_fund",$B17,F$3,F$5)/100</x:f>
        <x:v>#NAME?</x:v>
      </x:c>
    </x:row>
    <x:row r="18" ht="13.800000190734863" hidden="0">
      <x:c r="A18" s="68" t="n">
        <x:v>10</x:v>
      </x:c>
      <x:c r="B18" s="69" t="s">
        <x:v>175</x:v>
      </x:c>
      <x:c r="C18" s="70" t="s">
        <x:v>176</x:v>
      </x:c>
      <x:c r="D18" s="71" t="n">
        <x:v>314</x:v>
      </x:c>
      <x:c r="E18" s="67" t="e">
        <x:f aca="0">[1]!thsiFinD("ths_adjustment_nvg_ratio_fund",$B18,E$4,E$5,101)/100</x:f>
        <x:v>#NAME?</x:v>
      </x:c>
      <x:c r="F18" s="67" t="e">
        <x:f aca="0">[1]!thsiFinD("ths_adjustment_nvg_ratio_fund",$B18,F$4,F$5,101)/100</x:f>
        <x:v>#NAME?</x:v>
      </x:c>
      <x:c r="G18" s="67" t="e">
        <x:f aca="0">[1]!thsiFinD("ths_adjustment_nvg_ratio_fund",$B18,G$4,G$5,101)/100</x:f>
        <x:v>#NAME?</x:v>
      </x:c>
      <x:c r="H18" s="67" t="e">
        <x:f aca="0">[1]!thsiFinD("ths_adjustment_nvg_ratio_fund",$B18,H$4,H$5,101)/100</x:f>
        <x:v>#NAME?</x:v>
      </x:c>
      <x:c r="I18" s="67" t="e">
        <x:f aca="0">-[1]!thsiFinD("ths_max_retrace_rate_all_fund",$B18,F$3,F$5)/100</x:f>
        <x:v>#NAME?</x:v>
      </x:c>
    </x:row>
    <x:row r="21" ht="39" hidden="0" customHeight="1">
      <x:c r="A21" s="72"/>
      <x:c r="B21" s="72"/>
      <x:c r="C21" s="47" t="s">
        <x:v>177</x:v>
      </x:c>
      <x:c r="D21" s="47"/>
      <x:c r="E21" s="47"/>
      <x:c r="F21" s="47"/>
      <x:c r="G21" s="47"/>
      <x:c r="H21" s="47"/>
      <x:c r="I21" s="47"/>
    </x:row>
    <x:row r="22" ht="36" hidden="0" customHeight="1">
      <x:c r="A22" s="73" t="e">
        <x:f aca="0">表3[[#Headers],[序号]]</x:f>
        <x:v>#NAME?</x:v>
      </x:c>
      <x:c r="B22" s="73" t="e">
        <x:f aca="0">表3[[#Headers],[基金代码]]</x:f>
        <x:v>#NAME?</x:v>
      </x:c>
      <x:c r="C22" s="73" t="e">
        <x:f aca="0">表3[[#Headers],[产品/基金名称]]</x:f>
        <x:v>#NAME?</x:v>
      </x:c>
      <x:c r="D22" s="73" t="e">
        <x:f aca="0">表3[[#Headers],[26Q2规模（亿元）]]</x:f>
        <x:v>#NAME?</x:v>
      </x:c>
      <x:c r="E22" s="73" t="e">
        <x:f aca="0">表3[[#Headers],[上周]]</x:f>
        <x:v>#NAME?</x:v>
      </x:c>
      <x:c r="F22" s="73" t="e">
        <x:f aca="0">表3[[#Headers],[上线以来]]</x:f>
        <x:v>#NAME?</x:v>
      </x:c>
      <x:c r="G22" s="73" t="e">
        <x:f aca="0">表3[[#Headers],[6/22-7/30]]</x:f>
        <x:v>#NAME?</x:v>
      </x:c>
      <x:c r="H22" s="73" t="e">
        <x:f aca="0">表3[[#Headers],[7.31至今]]</x:f>
        <x:v>#NAME?</x:v>
      </x:c>
      <x:c r="I22" s="74" t="e">
        <x:f aca="0">表3[[#Headers],[最大回撤（上线以来）]]</x:f>
        <x:v>#NAME?</x:v>
      </x:c>
    </x:row>
    <x:row r="23" ht="15.649999618530273" hidden="0">
      <x:c r="A23" s="53" t="s">
        <x:v>68</x:v>
      </x:c>
      <x:c r="B23" s="54"/>
      <x:c r="C23" s="55" t="str">
        <x:f aca="0">C8</x:f>
        <x:v>10/90基石投顾组合</x:v>
      </x:c>
      <x:c r="D23" s="54"/>
      <x:c r="E23" s="75" t="e">
        <x:f aca="0">E$2/E$1-1</x:f>
        <x:v>#NAME?</x:v>
      </x:c>
      <x:c r="F23" s="75" t="e">
        <x:f aca="0">F$2/F$1-1</x:f>
        <x:v>#NAME?</x:v>
      </x:c>
      <x:c r="G23" s="75" t="e">
        <x:f aca="0">G$2/G$1-1</x:f>
        <x:v>#NAME?</x:v>
      </x:c>
      <x:c r="H23" s="75" t="e">
        <x:f aca="0">H$2/H$1-1</x:f>
        <x:v>#NAME?</x:v>
      </x:c>
      <x:c r="I23" s="76" t="e">
        <x:f aca="0">'看板-10-90基石'!$F$7</x:f>
        <x:v>#NAME?</x:v>
      </x:c>
    </x:row>
    <x:row r="24" ht="13.800000190734863" hidden="0">
      <x:c r="A24" s="58" t="n">
        <x:v>1</x:v>
      </x:c>
      <x:c r="B24" s="59" t="s">
        <x:v>157</x:v>
      </x:c>
      <x:c r="C24" s="60" t="s">
        <x:v>158</x:v>
      </x:c>
      <x:c r="D24" s="59" t="n">
        <x:v>391</x:v>
      </x:c>
      <x:c r="E24" s="77" t="e">
        <x:f aca="0">[1]!thsiFinD("ths_adjustment_nvg_ratio_fund",$B24,E$4,E$5,101)/100</x:f>
        <x:v>#NAME?</x:v>
      </x:c>
      <x:c r="F24" s="77" t="e">
        <x:f aca="0">[1]!thsiFinD("ths_adjustment_nvg_ratio_fund",$B24,F$4,F$5,101)/100</x:f>
        <x:v>#NAME?</x:v>
      </x:c>
      <x:c r="G24" s="77" t="e">
        <x:f aca="0">[1]!thsiFinD("ths_adjustment_nvg_ratio_fund",$B24,G$4,G$5,101)/100</x:f>
        <x:v>#NAME?</x:v>
      </x:c>
      <x:c r="H24" s="77" t="e">
        <x:f aca="0">[1]!thsiFinD("ths_adjustment_nvg_ratio_fund",$B24,H$4,H$5,101)/100</x:f>
        <x:v>#NAME?</x:v>
      </x:c>
      <x:c r="I24" s="78" t="e">
        <x:f aca="0">-[1]!thsiFinD("ths_max_retrace_rate_all_fund",$B24,F$3,F$5)/100</x:f>
        <x:v>#NAME?</x:v>
      </x:c>
    </x:row>
    <x:row r="25" ht="13.800000190734863" hidden="0">
      <x:c r="A25" s="63" t="n">
        <x:v>2</x:v>
      </x:c>
      <x:c r="B25" s="64" t="s">
        <x:v>165</x:v>
      </x:c>
      <x:c r="C25" s="65" t="s">
        <x:v>166</x:v>
      </x:c>
      <x:c r="D25" s="64" t="n">
        <x:v>347</x:v>
      </x:c>
      <x:c r="E25" s="79" t="e">
        <x:f aca="0">[1]!thsiFinD("ths_adjustment_nvg_ratio_fund",$B25,E$4,E$5,101)/100</x:f>
        <x:v>#NAME?</x:v>
      </x:c>
      <x:c r="F25" s="79" t="e">
        <x:f aca="0">[1]!thsiFinD("ths_adjustment_nvg_ratio_fund",$B25,F$4,F$5,101)/100</x:f>
        <x:v>#NAME?</x:v>
      </x:c>
      <x:c r="G25" s="79" t="e">
        <x:f aca="0">[1]!thsiFinD("ths_adjustment_nvg_ratio_fund",$B25,G$4,G$5,101)/100</x:f>
        <x:v>#NAME?</x:v>
      </x:c>
      <x:c r="H25" s="79" t="e">
        <x:f aca="0">[1]!thsiFinD("ths_adjustment_nvg_ratio_fund",$B25,H$4,H$5,101)/100</x:f>
        <x:v>#NAME?</x:v>
      </x:c>
      <x:c r="I25" s="80" t="e">
        <x:f aca="0">-[1]!thsiFinD("ths_max_retrace_rate_all_fund",$B25,F$3,F$5)/100</x:f>
        <x:v>#NAME?</x:v>
      </x:c>
    </x:row>
    <x:row r="26" ht="13.800000190734863" hidden="0">
      <x:c r="A26" s="58" t="n">
        <x:v>3</x:v>
      </x:c>
      <x:c r="B26" s="59" t="s">
        <x:v>178</x:v>
      </x:c>
      <x:c r="C26" s="60" t="s">
        <x:v>179</x:v>
      </x:c>
      <x:c r="D26" s="59" t="n">
        <x:v>255</x:v>
      </x:c>
      <x:c r="E26" s="77" t="e">
        <x:f aca="0">[1]!thsiFinD("ths_adjustment_nvg_ratio_fund",$B26,E$4,E$5,101)/100</x:f>
        <x:v>#NAME?</x:v>
      </x:c>
      <x:c r="F26" s="77" t="e">
        <x:f aca="0">[1]!thsiFinD("ths_adjustment_nvg_ratio_fund",$B26,F$4,F$5,101)/100</x:f>
        <x:v>#NAME?</x:v>
      </x:c>
      <x:c r="G26" s="77" t="e">
        <x:f aca="0">[1]!thsiFinD("ths_adjustment_nvg_ratio_fund",$B26,G$4,G$5,101)/100</x:f>
        <x:v>#NAME?</x:v>
      </x:c>
      <x:c r="H26" s="77" t="e">
        <x:f aca="0">[1]!thsiFinD("ths_adjustment_nvg_ratio_fund",$B26,H$4,H$5,101)/100</x:f>
        <x:v>#NAME?</x:v>
      </x:c>
      <x:c r="I26" s="78" t="e">
        <x:f aca="0">-[1]!thsiFinD("ths_max_retrace_rate_all_fund",$B26,F$3,F$5)/100</x:f>
        <x:v>#NAME?</x:v>
      </x:c>
    </x:row>
    <x:row r="27" ht="13.800000190734863" hidden="0">
      <x:c r="A27" s="63" t="n">
        <x:v>4</x:v>
      </x:c>
      <x:c r="B27" s="64" t="s">
        <x:v>159</x:v>
      </x:c>
      <x:c r="C27" s="65" t="s">
        <x:v>160</x:v>
      </x:c>
      <x:c r="D27" s="64" t="n">
        <x:v>228</x:v>
      </x:c>
      <x:c r="E27" s="79" t="e">
        <x:f aca="0">[1]!thsiFinD("ths_adjustment_nvg_ratio_fund",$B27,E$4,E$5,101)/100</x:f>
        <x:v>#NAME?</x:v>
      </x:c>
      <x:c r="F27" s="79" t="e">
        <x:f aca="0">[1]!thsiFinD("ths_adjustment_nvg_ratio_fund",$B27,F$4,F$5,101)/100</x:f>
        <x:v>#NAME?</x:v>
      </x:c>
      <x:c r="G27" s="79" t="e">
        <x:f aca="0">[1]!thsiFinD("ths_adjustment_nvg_ratio_fund",$B27,G$4,G$5,101)/100</x:f>
        <x:v>#NAME?</x:v>
      </x:c>
      <x:c r="H27" s="79" t="e">
        <x:f aca="0">[1]!thsiFinD("ths_adjustment_nvg_ratio_fund",$B27,H$4,H$5,101)/100</x:f>
        <x:v>#NAME?</x:v>
      </x:c>
      <x:c r="I27" s="80" t="e">
        <x:f aca="0">-[1]!thsiFinD("ths_max_retrace_rate_all_fund",$B27,F$3,F$5)/100</x:f>
        <x:v>#NAME?</x:v>
      </x:c>
    </x:row>
    <x:row r="28" ht="13.800000190734863" hidden="0">
      <x:c r="A28" s="58" t="n">
        <x:v>5</x:v>
      </x:c>
      <x:c r="B28" s="59" t="s">
        <x:v>180</x:v>
      </x:c>
      <x:c r="C28" s="60" t="s">
        <x:v>181</x:v>
      </x:c>
      <x:c r="D28" s="59" t="n">
        <x:v>172</x:v>
      </x:c>
      <x:c r="E28" s="77" t="e">
        <x:f aca="0">[1]!thsiFinD("ths_adjustment_nvg_ratio_fund",$B28,E$4,E$5,101)/100</x:f>
        <x:v>#NAME?</x:v>
      </x:c>
      <x:c r="F28" s="77" t="e">
        <x:f aca="0">[1]!thsiFinD("ths_adjustment_nvg_ratio_fund",$B28,F$4,F$5,101)/100</x:f>
        <x:v>#NAME?</x:v>
      </x:c>
      <x:c r="G28" s="77" t="e">
        <x:f aca="0">[1]!thsiFinD("ths_adjustment_nvg_ratio_fund",$B28,G$4,G$5,101)/100</x:f>
        <x:v>#NAME?</x:v>
      </x:c>
      <x:c r="H28" s="77" t="e">
        <x:f aca="0">[1]!thsiFinD("ths_adjustment_nvg_ratio_fund",$B28,H$4,H$5,101)/100</x:f>
        <x:v>#NAME?</x:v>
      </x:c>
      <x:c r="I28" s="78" t="e">
        <x:f aca="0">-[1]!thsiFinD("ths_max_retrace_rate_all_fund",$B28,F$3,F$5)/100</x:f>
        <x:v>#NAME?</x:v>
      </x:c>
    </x:row>
    <x:row r="29" ht="13.800000190734863" hidden="0">
      <x:c r="A29" s="63" t="n">
        <x:v>6</x:v>
      </x:c>
      <x:c r="B29" s="64" t="s">
        <x:v>173</x:v>
      </x:c>
      <x:c r="C29" s="65" t="s">
        <x:v>174</x:v>
      </x:c>
      <x:c r="D29" s="64" t="n">
        <x:v>146</x:v>
      </x:c>
      <x:c r="E29" s="79" t="e">
        <x:f aca="0">[1]!thsiFinD("ths_adjustment_nvg_ratio_fund",$B29,E$4,E$5,101)/100</x:f>
        <x:v>#NAME?</x:v>
      </x:c>
      <x:c r="F29" s="79" t="e">
        <x:f aca="0">[1]!thsiFinD("ths_adjustment_nvg_ratio_fund",$B29,F$4,F$5,101)/100</x:f>
        <x:v>#NAME?</x:v>
      </x:c>
      <x:c r="G29" s="79" t="e">
        <x:f aca="0">[1]!thsiFinD("ths_adjustment_nvg_ratio_fund",$B29,G$4,G$5,101)/100</x:f>
        <x:v>#NAME?</x:v>
      </x:c>
      <x:c r="H29" s="79" t="e">
        <x:f aca="0">[1]!thsiFinD("ths_adjustment_nvg_ratio_fund",$B29,H$4,H$5,101)/100</x:f>
        <x:v>#NAME?</x:v>
      </x:c>
      <x:c r="I29" s="80" t="e">
        <x:f aca="0">-[1]!thsiFinD("ths_max_retrace_rate_all_fund",$B29,F$3,F$5)/100</x:f>
        <x:v>#NAME?</x:v>
      </x:c>
    </x:row>
    <x:row r="30" ht="13.800000190734863" hidden="0">
      <x:c r="A30" s="58" t="n">
        <x:v>7</x:v>
      </x:c>
      <x:c r="B30" s="59" t="s">
        <x:v>182</x:v>
      </x:c>
      <x:c r="C30" s="60" t="s">
        <x:v>183</x:v>
      </x:c>
      <x:c r="D30" s="59" t="n">
        <x:v>130</x:v>
      </x:c>
      <x:c r="E30" s="77" t="e">
        <x:f aca="0">[1]!thsiFinD("ths_adjustment_nvg_ratio_fund",$B30,E$4,E$5,101)/100</x:f>
        <x:v>#NAME?</x:v>
      </x:c>
      <x:c r="F30" s="77" t="e">
        <x:f aca="0">[1]!thsiFinD("ths_adjustment_nvg_ratio_fund",$B30,F$4,F$5,101)/100</x:f>
        <x:v>#NAME?</x:v>
      </x:c>
      <x:c r="G30" s="77" t="e">
        <x:f aca="0">[1]!thsiFinD("ths_adjustment_nvg_ratio_fund",$B30,G$4,G$5,101)/100</x:f>
        <x:v>#NAME?</x:v>
      </x:c>
      <x:c r="H30" s="77" t="e">
        <x:f aca="0">[1]!thsiFinD("ths_adjustment_nvg_ratio_fund",$B30,H$4,H$5,101)/100</x:f>
        <x:v>#NAME?</x:v>
      </x:c>
      <x:c r="I30" s="78" t="e">
        <x:f aca="0">-[1]!thsiFinD("ths_max_retrace_rate_all_fund",$B30,F$3,F$5)/100</x:f>
        <x:v>#NAME?</x:v>
      </x:c>
    </x:row>
    <x:row r="31" ht="13.800000190734863" hidden="0">
      <x:c r="A31" s="63" t="n">
        <x:v>8</x:v>
      </x:c>
      <x:c r="B31" s="64" t="s">
        <x:v>169</x:v>
      </x:c>
      <x:c r="C31" s="65" t="s">
        <x:v>170</x:v>
      </x:c>
      <x:c r="D31" s="64" t="n">
        <x:v>123</x:v>
      </x:c>
      <x:c r="E31" s="79" t="e">
        <x:f aca="0">[1]!thsiFinD("ths_adjustment_nvg_ratio_fund",$B31,E$4,E$5,101)/100</x:f>
        <x:v>#NAME?</x:v>
      </x:c>
      <x:c r="F31" s="79" t="e">
        <x:f aca="0">[1]!thsiFinD("ths_adjustment_nvg_ratio_fund",$B31,F$4,F$5,101)/100</x:f>
        <x:v>#NAME?</x:v>
      </x:c>
      <x:c r="G31" s="79" t="e">
        <x:f aca="0">[1]!thsiFinD("ths_adjustment_nvg_ratio_fund",$B31,G$4,G$5,101)/100</x:f>
        <x:v>#NAME?</x:v>
      </x:c>
      <x:c r="H31" s="79" t="e">
        <x:f aca="0">[1]!thsiFinD("ths_adjustment_nvg_ratio_fund",$B31,H$4,H$5,101)/100</x:f>
        <x:v>#NAME?</x:v>
      </x:c>
      <x:c r="I31" s="80" t="e">
        <x:f aca="0">-[1]!thsiFinD("ths_max_retrace_rate_all_fund",$B31,F$3,F$5)/100</x:f>
        <x:v>#NAME?</x:v>
      </x:c>
    </x:row>
    <x:row r="32" ht="13.800000190734863" hidden="0">
      <x:c r="A32" s="58" t="n">
        <x:v>9</x:v>
      </x:c>
      <x:c r="B32" s="59" t="s">
        <x:v>184</x:v>
      </x:c>
      <x:c r="C32" s="60" t="s">
        <x:v>185</x:v>
      </x:c>
      <x:c r="D32" s="59" t="n">
        <x:v>120</x:v>
      </x:c>
      <x:c r="E32" s="77" t="e">
        <x:f aca="0">[1]!thsiFinD("ths_adjustment_nvg_ratio_fund",$B32,E$4,E$5,101)/100</x:f>
        <x:v>#NAME?</x:v>
      </x:c>
      <x:c r="F32" s="77" t="e">
        <x:f aca="0">[1]!thsiFinD("ths_adjustment_nvg_ratio_fund",$B32,F$4,F$5,101)/100</x:f>
        <x:v>#NAME?</x:v>
      </x:c>
      <x:c r="G32" s="77" t="e">
        <x:f aca="0">[1]!thsiFinD("ths_adjustment_nvg_ratio_fund",$B32,G$4,G$5,101)/100</x:f>
        <x:v>#NAME?</x:v>
      </x:c>
      <x:c r="H32" s="77" t="e">
        <x:f aca="0">[1]!thsiFinD("ths_adjustment_nvg_ratio_fund",$B32,H$4,H$5,101)/100</x:f>
        <x:v>#NAME?</x:v>
      </x:c>
      <x:c r="I32" s="78" t="e">
        <x:f aca="0">-[1]!thsiFinD("ths_max_retrace_rate_all_fund",$B32,F$3,F$5)/100</x:f>
        <x:v>#NAME?</x:v>
      </x:c>
    </x:row>
    <x:row r="33" ht="13.800000190734863" hidden="0">
      <x:c r="A33" s="81" t="n">
        <x:v>10</x:v>
      </x:c>
      <x:c r="B33" s="82" t="s">
        <x:v>171</x:v>
      </x:c>
      <x:c r="C33" s="83" t="s">
        <x:v>172</x:v>
      </x:c>
      <x:c r="D33" s="82" t="n">
        <x:v>114</x:v>
      </x:c>
      <x:c r="E33" s="84" t="e">
        <x:f aca="0">[1]!thsiFinD("ths_adjustment_nvg_ratio_fund",$B33,E$4,E$5,101)/100</x:f>
        <x:v>#NAME?</x:v>
      </x:c>
      <x:c r="F33" s="84" t="e">
        <x:f aca="0">[1]!thsiFinD("ths_adjustment_nvg_ratio_fund",$B33,F$4,F$5,101)/100</x:f>
        <x:v>#NAME?</x:v>
      </x:c>
      <x:c r="G33" s="84" t="e">
        <x:f aca="0">[1]!thsiFinD("ths_adjustment_nvg_ratio_fund",$B33,G$4,G$5,101)/100</x:f>
        <x:v>#NAME?</x:v>
      </x:c>
      <x:c r="H33" s="84" t="e">
        <x:f aca="0">[1]!thsiFinD("ths_adjustment_nvg_ratio_fund",$B33,H$4,H$5,101)/100</x:f>
        <x:v>#NAME?</x:v>
      </x:c>
      <x:c r="I33" s="85" t="e">
        <x:f aca="0">-[1]!thsiFinD("ths_max_retrace_rate_all_fund",$B33,F$3,F$5)/100</x:f>
        <x:v>#NAME?</x:v>
      </x:c>
    </x:row>
    <x:row r="36" ht="36" hidden="0" customHeight="1">
      <x:c r="A36" s="46"/>
      <x:c r="B36" s="46"/>
      <x:c r="C36" s="47" t="s">
        <x:v>186</x:v>
      </x:c>
      <x:c r="D36" s="47"/>
      <x:c r="E36" s="47"/>
      <x:c r="F36" s="47"/>
      <x:c r="G36" s="47"/>
      <x:c r="H36" s="47"/>
      <x:c r="I36" s="47"/>
    </x:row>
    <x:row r="37" ht="42.75" hidden="0" customHeight="1">
      <x:c r="A37" s="73" t="e">
        <x:f aca="0">A22</x:f>
        <x:v>#NAME?</x:v>
      </x:c>
      <x:c r="B37" s="73" t="e">
        <x:f aca="0">B22</x:f>
        <x:v>#NAME?</x:v>
      </x:c>
      <x:c r="C37" s="73" t="e">
        <x:f aca="0">C22</x:f>
        <x:v>#NAME?</x:v>
      </x:c>
      <x:c r="D37" s="86" t="s">
        <x:v>187</x:v>
      </x:c>
      <x:c r="E37" s="86" t="e">
        <x:f aca="0">E22</x:f>
        <x:v>#NAME?</x:v>
      </x:c>
      <x:c r="F37" s="86" t="e">
        <x:f aca="0">F22</x:f>
        <x:v>#NAME?</x:v>
      </x:c>
      <x:c r="G37" s="86" t="e">
        <x:f aca="0">G22</x:f>
        <x:v>#NAME?</x:v>
      </x:c>
      <x:c r="H37" s="86" t="e">
        <x:f aca="0">H22</x:f>
        <x:v>#NAME?</x:v>
      </x:c>
      <x:c r="I37" s="74" t="e">
        <x:f aca="0">I22</x:f>
        <x:v>#NAME?</x:v>
      </x:c>
    </x:row>
    <x:row r="38" ht="15.649999618530273" hidden="0">
      <x:c r="A38" s="53" t="s">
        <x:v>68</x:v>
      </x:c>
      <x:c r="B38" s="54"/>
      <x:c r="C38" s="55" t="str">
        <x:f aca="0">C8</x:f>
        <x:v>10/90基石投顾组合</x:v>
      </x:c>
      <x:c r="D38" s="87"/>
      <x:c r="E38" s="88" t="e">
        <x:f aca="0">E$2/E$1-1</x:f>
        <x:v>#NAME?</x:v>
      </x:c>
      <x:c r="F38" s="88" t="e">
        <x:f aca="0">F$2/F$1-1</x:f>
        <x:v>#NAME?</x:v>
      </x:c>
      <x:c r="G38" s="75" t="e">
        <x:f aca="0">G$2/G$1-1</x:f>
        <x:v>#NAME?</x:v>
      </x:c>
      <x:c r="H38" s="75" t="e">
        <x:f aca="0">H$2/H$1-1</x:f>
        <x:v>#NAME?</x:v>
      </x:c>
      <x:c r="I38" s="76" t="e">
        <x:f aca="0">'看板-10-90基石'!$F$7</x:f>
        <x:v>#NAME?</x:v>
      </x:c>
    </x:row>
    <x:row r="39" ht="14.149999618530273" hidden="0">
      <x:c r="A39" s="58" t="n">
        <x:v>1</x:v>
      </x:c>
      <x:c r="B39" s="59" t="s">
        <x:v>188</x:v>
      </x:c>
      <x:c r="C39" s="60" t="s">
        <x:v>189</x:v>
      </x:c>
      <x:c r="D39" s="89" t="n">
        <x:v>5265</x:v>
      </x:c>
      <x:c r="E39" s="90" t="e">
        <x:f aca="0">[1]!thsiFinD("ths_adjustment_nvg_ratio_fund",$B39,E$4,E$5,101)/100</x:f>
        <x:v>#NAME?</x:v>
      </x:c>
      <x:c r="F39" s="90" t="e">
        <x:f aca="0">[1]!thsiFinD("ths_adjustment_nvg_ratio_fund",$B39,F$4,F$5,101)/100</x:f>
        <x:v>#NAME?</x:v>
      </x:c>
      <x:c r="G39" s="77" t="e">
        <x:f aca="0">[1]!thsiFinD("ths_adjustment_nvg_ratio_fund",$B39,G$4,G$5,101)/100</x:f>
        <x:v>#NAME?</x:v>
      </x:c>
      <x:c r="H39" s="77" t="e">
        <x:f aca="0">[1]!thsiFinD("ths_adjustment_nvg_ratio_fund",$B39,H$4,H$5,101)/100</x:f>
        <x:v>#NAME?</x:v>
      </x:c>
      <x:c r="I39" s="78" t="e">
        <x:f aca="0">-[1]!thsiFinD("ths_max_retrace_rate_all_fund",$B39,F$3,F$5)/100</x:f>
        <x:v>#NAME?</x:v>
      </x:c>
    </x:row>
    <x:row r="40" ht="14.149999618530273" hidden="0">
      <x:c r="A40" s="63" t="n">
        <x:v>2</x:v>
      </x:c>
      <x:c r="B40" s="64" t="s">
        <x:v>190</x:v>
      </x:c>
      <x:c r="C40" s="65" t="s">
        <x:v>191</x:v>
      </x:c>
      <x:c r="D40" s="91" t="n">
        <x:v>896</x:v>
      </x:c>
      <x:c r="E40" s="92" t="e">
        <x:f aca="0">[1]!thsiFinD("ths_adjustment_nvg_ratio_fund",$B40,E$4,E$5,101)/100</x:f>
        <x:v>#NAME?</x:v>
      </x:c>
      <x:c r="F40" s="92" t="e">
        <x:f aca="0">[1]!thsiFinD("ths_adjustment_nvg_ratio_fund",$B40,F$4,F$5,101)/100</x:f>
        <x:v>#NAME?</x:v>
      </x:c>
      <x:c r="G40" s="79" t="e">
        <x:f aca="0">[1]!thsiFinD("ths_adjustment_nvg_ratio_fund",$B40,G$4,G$5,101)/100</x:f>
        <x:v>#NAME?</x:v>
      </x:c>
      <x:c r="H40" s="79" t="e">
        <x:f aca="0">[1]!thsiFinD("ths_adjustment_nvg_ratio_fund",$B40,H$4,H$5,101)/100</x:f>
        <x:v>#NAME?</x:v>
      </x:c>
      <x:c r="I40" s="80" t="e">
        <x:f aca="0">-[1]!thsiFinD("ths_max_retrace_rate_all_fund",$B40,F$3,F$5)/100</x:f>
        <x:v>#NAME?</x:v>
      </x:c>
    </x:row>
    <x:row r="41" ht="14.149999618530273" hidden="0">
      <x:c r="A41" s="58" t="n">
        <x:v>3</x:v>
      </x:c>
      <x:c r="B41" s="59" t="s">
        <x:v>192</x:v>
      </x:c>
      <x:c r="C41" s="60" t="s">
        <x:v>193</x:v>
      </x:c>
      <x:c r="D41" s="89" t="n">
        <x:v>239</x:v>
      </x:c>
      <x:c r="E41" s="90" t="e">
        <x:f aca="0">[1]!thsiFinD("ths_adjustment_nvg_ratio_fund",$B41,E$4,E$5,101)/100</x:f>
        <x:v>#NAME?</x:v>
      </x:c>
      <x:c r="F41" s="90" t="e">
        <x:f aca="0">[1]!thsiFinD("ths_adjustment_nvg_ratio_fund",$B41,F$4,F$5,101)/100</x:f>
        <x:v>#NAME?</x:v>
      </x:c>
      <x:c r="G41" s="77" t="e">
        <x:f aca="0">[1]!thsiFinD("ths_adjustment_nvg_ratio_fund",$B41,G$4,G$5,101)/100</x:f>
        <x:v>#NAME?</x:v>
      </x:c>
      <x:c r="H41" s="77" t="e">
        <x:f aca="0">[1]!thsiFinD("ths_adjustment_nvg_ratio_fund",$B41,H$4,H$5,101)/100</x:f>
        <x:v>#NAME?</x:v>
      </x:c>
      <x:c r="I41" s="78" t="e">
        <x:f aca="0">-[1]!thsiFinD("ths_max_retrace_rate_all_fund",$B41,F$3,F$5)/100</x:f>
        <x:v>#NAME?</x:v>
      </x:c>
    </x:row>
    <x:row r="42" ht="13.800000190734863" hidden="0">
      <x:c r="A42" s="63" t="n">
        <x:v>4</x:v>
      </x:c>
      <x:c r="B42" s="64" t="s">
        <x:v>165</x:v>
      </x:c>
      <x:c r="C42" s="65" t="s">
        <x:v>166</x:v>
      </x:c>
      <x:c r="D42" s="91" t="n">
        <x:v>225</x:v>
      </x:c>
      <x:c r="E42" s="92" t="e">
        <x:f aca="0">[1]!thsiFinD("ths_adjustment_nvg_ratio_fund",$B42,E$4,E$5,101)/100</x:f>
        <x:v>#NAME?</x:v>
      </x:c>
      <x:c r="F42" s="92" t="e">
        <x:f aca="0">[1]!thsiFinD("ths_adjustment_nvg_ratio_fund",$B42,F$4,F$5,101)/100</x:f>
        <x:v>#NAME?</x:v>
      </x:c>
      <x:c r="G42" s="79" t="e">
        <x:f aca="0">[1]!thsiFinD("ths_adjustment_nvg_ratio_fund",$B42,G$4,G$5,101)/100</x:f>
        <x:v>#NAME?</x:v>
      </x:c>
      <x:c r="H42" s="79" t="e">
        <x:f aca="0">[1]!thsiFinD("ths_adjustment_nvg_ratio_fund",$B42,H$4,H$5,101)/100</x:f>
        <x:v>#NAME?</x:v>
      </x:c>
      <x:c r="I42" s="80" t="e">
        <x:f aca="0">-[1]!thsiFinD("ths_max_retrace_rate_all_fund",$B42,F$3,F$5)/100</x:f>
        <x:v>#NAME?</x:v>
      </x:c>
    </x:row>
    <x:row r="43" ht="13.800000190734863" hidden="0">
      <x:c r="A43" s="58" t="n">
        <x:v>5</x:v>
      </x:c>
      <x:c r="B43" s="59" t="s">
        <x:v>194</x:v>
      </x:c>
      <x:c r="C43" s="60" t="s">
        <x:v>195</x:v>
      </x:c>
      <x:c r="D43" s="89" t="n">
        <x:v>205</x:v>
      </x:c>
      <x:c r="E43" s="90" t="e">
        <x:f aca="0">[1]!thsiFinD("ths_adjustment_nvg_ratio_fund",$B43,E$4,E$5,101)/100</x:f>
        <x:v>#NAME?</x:v>
      </x:c>
      <x:c r="F43" s="90" t="e">
        <x:f aca="0">[1]!thsiFinD("ths_adjustment_nvg_ratio_fund",$B43,F$4,F$5,101)/100</x:f>
        <x:v>#NAME?</x:v>
      </x:c>
      <x:c r="G43" s="77" t="e">
        <x:f aca="0">[1]!thsiFinD("ths_adjustment_nvg_ratio_fund",$B43,G$4,G$5,101)/100</x:f>
        <x:v>#NAME?</x:v>
      </x:c>
      <x:c r="H43" s="77" t="e">
        <x:f aca="0">[1]!thsiFinD("ths_adjustment_nvg_ratio_fund",$B43,H$4,H$5,101)/100</x:f>
        <x:v>#NAME?</x:v>
      </x:c>
      <x:c r="I43" s="78" t="e">
        <x:f aca="0">-[1]!thsiFinD("ths_max_retrace_rate_all_fund",$B43,F$3,F$5)/100</x:f>
        <x:v>#NAME?</x:v>
      </x:c>
    </x:row>
    <x:row r="44" ht="14.149999618530273" hidden="0">
      <x:c r="A44" s="63" t="n">
        <x:v>6</x:v>
      </x:c>
      <x:c r="B44" s="64" t="s">
        <x:v>196</x:v>
      </x:c>
      <x:c r="C44" s="65" t="s">
        <x:v>197</x:v>
      </x:c>
      <x:c r="D44" s="91" t="n">
        <x:v>190</x:v>
      </x:c>
      <x:c r="E44" s="92" t="e">
        <x:f aca="0">[1]!thsiFinD("ths_adjustment_nvg_ratio_fund",$B44,E$4,E$5,101)/100</x:f>
        <x:v>#NAME?</x:v>
      </x:c>
      <x:c r="F44" s="92" t="e">
        <x:f aca="0">[1]!thsiFinD("ths_adjustment_nvg_ratio_fund",$B44,F$4,F$5,101)/100</x:f>
        <x:v>#NAME?</x:v>
      </x:c>
      <x:c r="G44" s="79" t="e">
        <x:f aca="0">[1]!thsiFinD("ths_adjustment_nvg_ratio_fund",$B44,G$4,G$5,101)/100</x:f>
        <x:v>#NAME?</x:v>
      </x:c>
      <x:c r="H44" s="79" t="e">
        <x:f aca="0">[1]!thsiFinD("ths_adjustment_nvg_ratio_fund",$B44,H$4,H$5,101)/100</x:f>
        <x:v>#NAME?</x:v>
      </x:c>
      <x:c r="I44" s="80" t="e">
        <x:f aca="0">-[1]!thsiFinD("ths_max_retrace_rate_all_fund",$B44,F$3,F$5)/100</x:f>
        <x:v>#NAME?</x:v>
      </x:c>
    </x:row>
    <x:row r="45" ht="13.800000190734863" hidden="0">
      <x:c r="A45" s="58" t="n">
        <x:v>7</x:v>
      </x:c>
      <x:c r="B45" s="59" t="s">
        <x:v>198</x:v>
      </x:c>
      <x:c r="C45" s="60" t="s">
        <x:v>199</x:v>
      </x:c>
      <x:c r="D45" s="89" t="n">
        <x:v>189</x:v>
      </x:c>
      <x:c r="E45" s="90" t="e">
        <x:f aca="0">[1]!thsiFinD("ths_adjustment_nvg_ratio_fund",$B45,E$4,E$5,101)/100</x:f>
        <x:v>#NAME?</x:v>
      </x:c>
      <x:c r="F45" s="90" t="e">
        <x:f aca="0">[1]!thsiFinD("ths_adjustment_nvg_ratio_fund",$B45,F$4,F$5,101)/100</x:f>
        <x:v>#NAME?</x:v>
      </x:c>
      <x:c r="G45" s="77" t="e">
        <x:f aca="0">[1]!thsiFinD("ths_adjustment_nvg_ratio_fund",$B45,G$4,G$5,101)/100</x:f>
        <x:v>#NAME?</x:v>
      </x:c>
      <x:c r="H45" s="77" t="e">
        <x:f aca="0">[1]!thsiFinD("ths_adjustment_nvg_ratio_fund",$B45,H$4,H$5,101)/100</x:f>
        <x:v>#NAME?</x:v>
      </x:c>
      <x:c r="I45" s="78" t="e">
        <x:f aca="0">-[1]!thsiFinD("ths_max_retrace_rate_all_fund",$B45,F$3,F$5)/100</x:f>
        <x:v>#NAME?</x:v>
      </x:c>
    </x:row>
    <x:row r="46" ht="13.800000190734863" hidden="0">
      <x:c r="A46" s="63" t="n">
        <x:v>8</x:v>
      </x:c>
      <x:c r="B46" s="64" t="s">
        <x:v>200</x:v>
      </x:c>
      <x:c r="C46" s="65" t="s">
        <x:v>201</x:v>
      </x:c>
      <x:c r="D46" s="91" t="n">
        <x:v>184</x:v>
      </x:c>
      <x:c r="E46" s="92" t="e">
        <x:f aca="0">[1]!thsiFinD("ths_adjustment_nvg_ratio_fund",$B46,E$4,E$5,101)/100</x:f>
        <x:v>#NAME?</x:v>
      </x:c>
      <x:c r="F46" s="92" t="e">
        <x:f aca="0">[1]!thsiFinD("ths_adjustment_nvg_ratio_fund",$B46,F$4,F$5,101)/100</x:f>
        <x:v>#NAME?</x:v>
      </x:c>
      <x:c r="G46" s="79" t="e">
        <x:f aca="0">[1]!thsiFinD("ths_adjustment_nvg_ratio_fund",$B46,G$4,G$5,101)/100</x:f>
        <x:v>#NAME?</x:v>
      </x:c>
      <x:c r="H46" s="79" t="e">
        <x:f aca="0">[1]!thsiFinD("ths_adjustment_nvg_ratio_fund",$B46,H$4,H$5,101)/100</x:f>
        <x:v>#NAME?</x:v>
      </x:c>
      <x:c r="I46" s="80" t="e">
        <x:f aca="0">-[1]!thsiFinD("ths_max_retrace_rate_all_fund",$B46,F$3,F$5)/100</x:f>
        <x:v>#NAME?</x:v>
      </x:c>
    </x:row>
    <x:row r="47" ht="14.149999618530273" hidden="0">
      <x:c r="A47" s="58" t="n">
        <x:v>9</x:v>
      </x:c>
      <x:c r="B47" s="59" t="s">
        <x:v>202</x:v>
      </x:c>
      <x:c r="C47" s="60" t="s">
        <x:v>203</x:v>
      </x:c>
      <x:c r="D47" s="89" t="n">
        <x:v>174</x:v>
      </x:c>
      <x:c r="E47" s="93" t="e">
        <x:f aca="0">[1]!thsiFinD("ths_adjustment_nvg_ratio_fund",$B47,E$4,E$5,101)/100</x:f>
        <x:v>#NAME?</x:v>
      </x:c>
      <x:c r="F47" s="93" t="e">
        <x:f aca="0">[1]!thsiFinD("ths_adjustment_nvg_ratio_fund",$B47,F$4,F$5,101)/100</x:f>
        <x:v>#NAME?</x:v>
      </x:c>
      <x:c r="G47" s="77" t="e">
        <x:f aca="0">[1]!thsiFinD("ths_adjustment_nvg_ratio_fund",$B47,G$4,G$5,101)/100</x:f>
        <x:v>#NAME?</x:v>
      </x:c>
      <x:c r="H47" s="77" t="e">
        <x:f aca="0">[1]!thsiFinD("ths_adjustment_nvg_ratio_fund",$B47,H$4,H$5,101)/100</x:f>
        <x:v>#NAME?</x:v>
      </x:c>
      <x:c r="I47" s="78" t="e">
        <x:f aca="0">-[1]!thsiFinD("ths_max_retrace_rate_all_fund",$B47,F$3,F$5)/100</x:f>
        <x:v>#NAME?</x:v>
      </x:c>
    </x:row>
    <x:row r="48" ht="13.800000190734863" hidden="0">
      <x:c r="A48" s="81" t="n">
        <x:v>10</x:v>
      </x:c>
      <x:c r="B48" s="82" t="s">
        <x:v>204</x:v>
      </x:c>
      <x:c r="C48" s="83" t="s">
        <x:v>205</x:v>
      </x:c>
      <x:c r="D48" s="94" t="n">
        <x:v>170</x:v>
      </x:c>
      <x:c r="E48" s="95" t="e">
        <x:f aca="0">[1]!thsiFinD("ths_adjustment_nvg_ratio_fund",$B48,E$4,E$5,101)/100</x:f>
        <x:v>#NAME?</x:v>
      </x:c>
      <x:c r="F48" s="95" t="e">
        <x:f aca="0">[1]!thsiFinD("ths_adjustment_nvg_ratio_fund",$B48,F$4,F$5,101)/100</x:f>
        <x:v>#NAME?</x:v>
      </x:c>
      <x:c r="G48" s="84" t="e">
        <x:f aca="0">[1]!thsiFinD("ths_adjustment_nvg_ratio_fund",$B48,G$4,G$5,101)/100</x:f>
        <x:v>#NAME?</x:v>
      </x:c>
      <x:c r="H48" s="84" t="e">
        <x:f aca="0">[1]!thsiFinD("ths_adjustment_nvg_ratio_fund",$B48,H$4,H$5,101)/100</x:f>
        <x:v>#NAME?</x:v>
      </x:c>
      <x:c r="I48" s="85" t="e">
        <x:f aca="0">-[1]!thsiFinD("ths_max_retrace_rate_all_fund",$B48,F$3,F$5)/100</x:f>
        <x:v>#NAME?</x:v>
      </x:c>
    </x:row>
    <x:row r="50" ht="14.149999618530273" hidden="0" customHeight="1">
      <x:c r="A50" s="96" t="s">
        <x:v>206</x:v>
      </x:c>
      <x:c r="B50" s="96"/>
      <x:c r="C50" s="96"/>
      <x:c r="D50" s="96"/>
      <x:c r="E50" s="96"/>
      <x:c r="F50" s="96"/>
      <x:c r="G50" s="96"/>
      <x:c r="H50" s="96"/>
      <x:c r="I50" s="96"/>
    </x:row>
    <x:row r="51" ht="14.149999618530273" hidden="0" customHeight="1">
      <x:c r="A51" s="96" t="s">
        <x:v>207</x:v>
      </x:c>
      <x:c r="B51" s="96"/>
      <x:c r="C51" s="96"/>
      <x:c r="D51" s="96"/>
      <x:c r="E51" s="96"/>
      <x:c r="F51" s="96"/>
      <x:c r="G51" s="96"/>
      <x:c r="H51" s="96"/>
      <x:c r="I51" s="96"/>
    </x:row>
    <x:row r="52" ht="14.149999618530273" hidden="0" customHeight="1">
      <x:c r="A52" s="96" t="str">
        <x:v>数据源：同花顺 iFinD；净值明细、组合净值和看板均已预铺公式并自动延伸至最新可用净值日。</x:v>
      </x:c>
      <x:c r="B52" s="96"/>
      <x:c r="C52" s="96"/>
      <x:c r="D52" s="96"/>
      <x:c r="E52" s="96"/>
      <x:c r="F52" s="96"/>
      <x:c r="G52" s="96"/>
      <x:c r="H52" s="96"/>
      <x:c r="I52" s="96"/>
    </x:row>
  </x:sheetData>
  <x:mergeCells>
    <x:mergeCell ref="C6:I6"/>
    <x:mergeCell ref="C21:I21"/>
    <x:mergeCell ref="C36:I36"/>
    <x:mergeCell ref="A50:I50"/>
    <x:mergeCell ref="A51:I51"/>
    <x:mergeCell ref="A52:I52"/>
  </x:mergeCells>
  <x:conditionalFormatting sqref="E39:I48">
    <x:cfRule type="cellIs" dxfId="14" priority="2" aboveAverage="0" percent="0" bottom="0" operator="greaterThan" rank="0" equalAverage="0">
      <x:formula>0</x:formula>
    </x:cfRule>
  </x:conditionalFormatting>
  <x:conditionalFormatting sqref="E38:I38">
    <x:cfRule type="cellIs" dxfId="15" priority="3" aboveAverage="0" percent="0" bottom="0" operator="greaterThan" rank="0" equalAverage="0">
      <x:formula>0</x:formula>
    </x:cfRule>
    <x:cfRule type="cellIs" dxfId="16" priority="4" aboveAverage="0" percent="0" bottom="0" operator="lessThan" rank="0" equalAverage="0">
      <x:formula>0</x:formula>
    </x:cfRule>
  </x:conditionalFormatting>
  <x:conditionalFormatting sqref="E24:I33">
    <x:cfRule type="cellIs" dxfId="17" priority="5" aboveAverage="0" percent="0" bottom="0" operator="greaterThan" rank="0" equalAverage="0">
      <x:formula>0</x:formula>
    </x:cfRule>
  </x:conditionalFormatting>
  <x:conditionalFormatting sqref="E23:I23">
    <x:cfRule type="cellIs" dxfId="18" priority="6" aboveAverage="0" percent="0" bottom="0" operator="greaterThan" rank="0" equalAverage="0">
      <x:formula>0</x:formula>
    </x:cfRule>
    <x:cfRule type="cellIs" dxfId="19" priority="7" aboveAverage="0" percent="0" bottom="0" operator="lessThan" rank="0" equalAverage="0">
      <x:formula>0</x:formula>
    </x:cfRule>
  </x:conditionalFormatting>
  <x:conditionalFormatting sqref="E9:I18">
    <x:cfRule type="cellIs" dxfId="20" priority="8" aboveAverage="0" percent="0" bottom="0" operator="greaterThan" rank="0" equalAverage="0">
      <x:formula>0</x:formula>
    </x:cfRule>
  </x:conditionalFormatting>
  <x:conditionalFormatting sqref="E8:I8">
    <x:cfRule type="cellIs" dxfId="21" priority="9" aboveAverage="0" percent="0" bottom="0" operator="greaterThan" rank="0" equalAverage="0">
      <x:formula>0</x:formula>
    </x:cfRule>
    <x:cfRule type="cellIs" dxfId="22" priority="10" aboveAverage="0" percent="0" bottom="0" operator="lessThan" rank="0" equalAverage="0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9accfb5fd8430c"/>
  </x:tableParts>
</x:worksheet>
</file>

<file path=xl/worksheets/sheet4.xml><?xml version="1.0" encoding="utf-8"?>
<x:worksheet xmlns:x="http://schemas.openxmlformats.org/spreadsheetml/2006/main">
  <x:sheetPr>
    <x:tabColor rgb="FF9BBB59"/>
  </x:sheetPr>
  <x:sheetViews>
    <x:sheetView showGridLines="1" workbookViewId="0"/>
  </x:sheetViews>
  <x:sheetFormatPr defaultColWidth="8.80859375" defaultRowHeight="12"/>
  <x:cols>
    <x:col min="1" max="1" width="8" hidden="0" customWidth="1"/>
    <x:col min="2" max="2" width="16" hidden="0" customWidth="1"/>
    <x:col min="3" max="3" width="25.3700008392334" hidden="0" customWidth="1"/>
    <x:col min="4" max="5" width="12.539999961853027" style="40" hidden="0" customWidth="1"/>
    <x:col min="6" max="6" width="12" hidden="0" customWidth="1"/>
    <x:col min="7" max="7" width="15.270000457763672" hidden="0" customWidth="1"/>
    <x:col min="8" max="8" width="12.539999961853027" hidden="0" customWidth="1"/>
    <x:col min="9" max="9" width="21.18000030517578" hidden="0" customWidth="1"/>
  </x:cols>
  <x:sheetData>
    <x:row r="1" ht="12" hidden="0">
      <x:c r="E1" s="41" t="e">
        <x:f aca="0">VLOOKUP(E3,恒生净值!$A:$C,2)</x:f>
        <x:v>#NAME?</x:v>
      </x:c>
      <x:c r="F1" s="41" t="e">
        <x:f aca="0">VLOOKUP(F3,恒生净值!$A:$C,2)</x:f>
        <x:v>#NAME?</x:v>
      </x:c>
      <x:c r="G1" s="41" t="e">
        <x:f aca="0">VLOOKUP(G3,恒生净值!$A:$C,2)</x:f>
        <x:v>#NAME?</x:v>
      </x:c>
      <x:c r="H1" s="41" t="e">
        <x:f aca="0">VLOOKUP(H3,恒生净值!$A:$C,2)</x:f>
        <x:v>#NAME?</x:v>
      </x:c>
    </x:row>
    <x:row r="2" ht="12" hidden="0">
      <x:c r="E2" s="41" t="e">
        <x:f aca="0">VLOOKUP(E5,恒生净值!$A:$C,2)</x:f>
        <x:v>#NAME?</x:v>
      </x:c>
      <x:c r="F2" s="41" t="e">
        <x:f aca="0">VLOOKUP(F5,恒生净值!$A:$C,2)</x:f>
        <x:v>#NAME?</x:v>
      </x:c>
      <x:c r="G2" s="41" t="e">
        <x:f aca="0">VLOOKUP(G5,恒生净值!$A:$C,2)</x:f>
        <x:v>#NAME?</x:v>
      </x:c>
      <x:c r="H2" s="41" t="e">
        <x:f aca="0">VLOOKUP(H5,恒生净值!$A:$C,2)</x:f>
        <x:v>#NAME?</x:v>
      </x:c>
    </x:row>
    <x:row r="3" ht="12" hidden="0">
      <x:c r="E3" s="42" t="n">
        <x:f aca="0">E5-7</x:f>
        <x:v>46248</x:v>
      </x:c>
      <x:c r="F3" s="43" t="n">
        <x:v>46191</x:v>
      </x:c>
      <x:c r="G3" s="43" t="n">
        <x:v>46191</x:v>
      </x:c>
      <x:c r="H3" s="43" t="n">
        <x:v>46234</x:v>
      </x:c>
    </x:row>
    <x:row r="4" ht="12" hidden="0">
      <x:c r="E4" s="42" t="n">
        <x:f aca="0">E5-5</x:f>
        <x:v>46250</x:v>
      </x:c>
      <x:c r="F4" s="43" t="n">
        <x:v>46195</x:v>
      </x:c>
      <x:c r="G4" s="43" t="n">
        <x:v>46195</x:v>
      </x:c>
      <x:c r="H4" s="43" t="n">
        <x:v>46237</x:v>
      </x:c>
    </x:row>
    <x:row r="5" ht="12" hidden="0">
      <x:c r="E5" s="44" t="n">
        <x:v>46255</x:v>
      </x:c>
      <x:c r="F5" s="45" t="e">
        <x:f aca="0">偏离度监控!B2</x:f>
        <x:v>#NAME?</x:v>
      </x:c>
      <x:c r="G5" s="43" t="n">
        <x:v>46233</x:v>
      </x:c>
      <x:c r="H5" s="43" t="e">
        <x:f aca="0">F5</x:f>
        <x:v>#NAME?</x:v>
      </x:c>
    </x:row>
    <x:row r="6" ht="33" hidden="0" customHeight="1">
      <x:c r="A6" s="46"/>
      <x:c r="B6" s="46"/>
      <x:c r="C6" s="47" t="s">
        <x:v>147</x:v>
      </x:c>
      <x:c r="D6" s="47"/>
      <x:c r="E6" s="47"/>
      <x:c r="F6" s="47"/>
      <x:c r="G6" s="47"/>
      <x:c r="H6" s="47"/>
      <x:c r="I6" s="47"/>
    </x:row>
    <x:row r="7" ht="28.350000381469727" hidden="0">
      <x:c r="A7" s="48" t="s">
        <x:v>148</x:v>
      </x:c>
      <x:c r="B7" s="48" t="s">
        <x:v>28</x:v>
      </x:c>
      <x:c r="C7" s="48" t="s">
        <x:v>149</x:v>
      </x:c>
      <x:c r="D7" s="49" t="s">
        <x:v>150</x:v>
      </x:c>
      <x:c r="E7" s="50" t="s">
        <x:v>151</x:v>
      </x:c>
      <x:c r="F7" s="50" t="s">
        <x:v>152</x:v>
      </x:c>
      <x:c r="G7" s="51" t="s">
        <x:v>153</x:v>
      </x:c>
      <x:c r="H7" s="51" t="s">
        <x:v>154</x:v>
      </x:c>
      <x:c r="I7" s="52" t="s">
        <x:v>155</x:v>
      </x:c>
    </x:row>
    <x:row r="8" ht="15.649999618530273" hidden="0">
      <x:c r="A8" s="53" t="s">
        <x:v>68</x:v>
      </x:c>
      <x:c r="B8" s="54"/>
      <x:c r="C8" s="55" t="s">
        <x:v>156</x:v>
      </x:c>
      <x:c r="D8" s="56"/>
      <x:c r="E8" s="57" t="e">
        <x:f aca="0">E$2/E$1-1</x:f>
        <x:v>#NAME?</x:v>
      </x:c>
      <x:c r="F8" s="57" t="e">
        <x:f aca="0">F$2/F$1-1</x:f>
        <x:v>#NAME?</x:v>
      </x:c>
      <x:c r="G8" s="57" t="e">
        <x:f aca="0">G$2/G$1-1</x:f>
        <x:v>#NAME?</x:v>
      </x:c>
      <x:c r="H8" s="57" t="e">
        <x:f aca="0">H$2/H$1-1</x:f>
        <x:v>#NAME?</x:v>
      </x:c>
      <x:c r="I8" s="57" t="e">
        <x:f aca="0">恒生净值!S25</x:f>
        <x:v>#NAME?</x:v>
      </x:c>
    </x:row>
    <x:row r="9" ht="13.800000190734863" hidden="0">
      <x:c r="A9" s="58" t="n">
        <x:v>1</x:v>
      </x:c>
      <x:c r="B9" s="59" t="s">
        <x:v>157</x:v>
      </x:c>
      <x:c r="C9" s="60" t="s">
        <x:v>158</x:v>
      </x:c>
      <x:c r="D9" s="61" t="n">
        <x:v>712</x:v>
      </x:c>
      <x:c r="E9" s="62" t="e">
        <x:f aca="0">[1]!thsiFinD("ths_adjustment_nvg_ratio_fund",$B9,E$4,E$5,101)/100</x:f>
        <x:v>#NAME?</x:v>
      </x:c>
      <x:c r="F9" s="62" t="e">
        <x:f aca="0">[1]!thsiFinD("ths_adjustment_nvg_ratio_fund",$B9,F$4,F$5,101)/100</x:f>
        <x:v>#NAME?</x:v>
      </x:c>
      <x:c r="G9" s="62" t="e">
        <x:f aca="0">[1]!thsiFinD("ths_adjustment_nvg_ratio_fund",$B9,G$4,G$5,101)/100</x:f>
        <x:v>#NAME?</x:v>
      </x:c>
      <x:c r="H9" s="62" t="e">
        <x:f aca="0">[1]!thsiFinD("ths_adjustment_nvg_ratio_fund",$B9,H$4,H$5,101)/100</x:f>
        <x:v>#NAME?</x:v>
      </x:c>
      <x:c r="I9" s="62" t="e">
        <x:f aca="0">-[1]!thsiFinD("ths_max_retrace_rate_all_fund",$B9,F$3,F$5)/100</x:f>
        <x:v>#NAME?</x:v>
      </x:c>
    </x:row>
    <x:row r="10" ht="13.800000190734863" hidden="0">
      <x:c r="A10" s="63" t="n">
        <x:v>2</x:v>
      </x:c>
      <x:c r="B10" s="64" t="s">
        <x:v>159</x:v>
      </x:c>
      <x:c r="C10" s="65" t="s">
        <x:v>160</x:v>
      </x:c>
      <x:c r="D10" s="66" t="n">
        <x:v>584</x:v>
      </x:c>
      <x:c r="E10" s="67" t="e">
        <x:f aca="0">[1]!thsiFinD("ths_adjustment_nvg_ratio_fund",$B10,E$4,E$5,101)/100</x:f>
        <x:v>#NAME?</x:v>
      </x:c>
      <x:c r="F10" s="67" t="e">
        <x:f aca="0">[1]!thsiFinD("ths_adjustment_nvg_ratio_fund",$B10,F$4,F$5,101)/100</x:f>
        <x:v>#NAME?</x:v>
      </x:c>
      <x:c r="G10" s="67" t="e">
        <x:f aca="0">[1]!thsiFinD("ths_adjustment_nvg_ratio_fund",$B10,G$4,G$5,101)/100</x:f>
        <x:v>#NAME?</x:v>
      </x:c>
      <x:c r="H10" s="67" t="e">
        <x:f aca="0">[1]!thsiFinD("ths_adjustment_nvg_ratio_fund",$B10,H$4,H$5,101)/100</x:f>
        <x:v>#NAME?</x:v>
      </x:c>
      <x:c r="I10" s="67" t="e">
        <x:f aca="0">-[1]!thsiFinD("ths_max_retrace_rate_all_fund",$B10,F$3,F$5)/100</x:f>
        <x:v>#NAME?</x:v>
      </x:c>
    </x:row>
    <x:row r="11" ht="13.800000190734863" hidden="0">
      <x:c r="A11" s="58" t="n">
        <x:v>3</x:v>
      </x:c>
      <x:c r="B11" s="59" t="s">
        <x:v>161</x:v>
      </x:c>
      <x:c r="C11" s="60" t="s">
        <x:v>162</x:v>
      </x:c>
      <x:c r="D11" s="61" t="n">
        <x:v>576</x:v>
      </x:c>
      <x:c r="E11" s="62" t="e">
        <x:f aca="0">[1]!thsiFinD("ths_adjustment_nvg_ratio_fund",$B11,E$4,E$5,101)/100</x:f>
        <x:v>#NAME?</x:v>
      </x:c>
      <x:c r="F11" s="62" t="e">
        <x:f aca="0">[1]!thsiFinD("ths_adjustment_nvg_ratio_fund",$B11,F$4,F$5,101)/100</x:f>
        <x:v>#NAME?</x:v>
      </x:c>
      <x:c r="G11" s="62" t="e">
        <x:f aca="0">[1]!thsiFinD("ths_adjustment_nvg_ratio_fund",$B11,G$4,G$5,101)/100</x:f>
        <x:v>#NAME?</x:v>
      </x:c>
      <x:c r="H11" s="62" t="e">
        <x:f aca="0">[1]!thsiFinD("ths_adjustment_nvg_ratio_fund",$B11,H$4,H$5,101)/100</x:f>
        <x:v>#NAME?</x:v>
      </x:c>
      <x:c r="I11" s="62" t="e">
        <x:f aca="0">-[1]!thsiFinD("ths_max_retrace_rate_all_fund",$B11,F$3,F$5)/100</x:f>
        <x:v>#NAME?</x:v>
      </x:c>
    </x:row>
    <x:row r="12" ht="13.800000190734863" hidden="0">
      <x:c r="A12" s="63" t="n">
        <x:v>4</x:v>
      </x:c>
      <x:c r="B12" s="64" t="s">
        <x:v>163</x:v>
      </x:c>
      <x:c r="C12" s="65" t="s">
        <x:v>164</x:v>
      </x:c>
      <x:c r="D12" s="66" t="n">
        <x:v>393</x:v>
      </x:c>
      <x:c r="E12" s="67" t="e">
        <x:f aca="0">[1]!thsiFinD("ths_adjustment_nvg_ratio_fund",$B12,E$4,E$5,101)/100</x:f>
        <x:v>#NAME?</x:v>
      </x:c>
      <x:c r="F12" s="67" t="e">
        <x:f aca="0">[1]!thsiFinD("ths_adjustment_nvg_ratio_fund",$B12,F$4,F$5,101)/100</x:f>
        <x:v>#NAME?</x:v>
      </x:c>
      <x:c r="G12" s="67" t="e">
        <x:f aca="0">[1]!thsiFinD("ths_adjustment_nvg_ratio_fund",$B12,G$4,G$5,101)/100</x:f>
        <x:v>#NAME?</x:v>
      </x:c>
      <x:c r="H12" s="67" t="e">
        <x:f aca="0">[1]!thsiFinD("ths_adjustment_nvg_ratio_fund",$B12,H$4,H$5,101)/100</x:f>
        <x:v>#NAME?</x:v>
      </x:c>
      <x:c r="I12" s="67" t="e">
        <x:f aca="0">-[1]!thsiFinD("ths_max_retrace_rate_all_fund",$B12,F$3,F$5)/100</x:f>
        <x:v>#NAME?</x:v>
      </x:c>
    </x:row>
    <x:row r="13" ht="13.800000190734863" hidden="0">
      <x:c r="A13" s="58" t="n">
        <x:v>5</x:v>
      </x:c>
      <x:c r="B13" s="59" t="s">
        <x:v>165</x:v>
      </x:c>
      <x:c r="C13" s="60" t="s">
        <x:v>166</x:v>
      </x:c>
      <x:c r="D13" s="61" t="n">
        <x:v>391</x:v>
      </x:c>
      <x:c r="E13" s="62" t="e">
        <x:f aca="0">[1]!thsiFinD("ths_adjustment_nvg_ratio_fund",$B13,E$4,E$5,101)/100</x:f>
        <x:v>#NAME?</x:v>
      </x:c>
      <x:c r="F13" s="62" t="e">
        <x:f aca="0">[1]!thsiFinD("ths_adjustment_nvg_ratio_fund",$B13,F$4,F$5,101)/100</x:f>
        <x:v>#NAME?</x:v>
      </x:c>
      <x:c r="G13" s="62" t="e">
        <x:f aca="0">[1]!thsiFinD("ths_adjustment_nvg_ratio_fund",$B13,G$4,G$5,101)/100</x:f>
        <x:v>#NAME?</x:v>
      </x:c>
      <x:c r="H13" s="62" t="e">
        <x:f aca="0">[1]!thsiFinD("ths_adjustment_nvg_ratio_fund",$B13,H$4,H$5,101)/100</x:f>
        <x:v>#NAME?</x:v>
      </x:c>
      <x:c r="I13" s="62" t="e">
        <x:f aca="0">-[1]!thsiFinD("ths_max_retrace_rate_all_fund",$B13,F$3,F$5)/100</x:f>
        <x:v>#NAME?</x:v>
      </x:c>
    </x:row>
    <x:row r="14" ht="13.800000190734863" hidden="0">
      <x:c r="A14" s="63" t="n">
        <x:v>6</x:v>
      </x:c>
      <x:c r="B14" s="64" t="s">
        <x:v>167</x:v>
      </x:c>
      <x:c r="C14" s="65" t="s">
        <x:v>168</x:v>
      </x:c>
      <x:c r="D14" s="66" t="n">
        <x:v>365</x:v>
      </x:c>
      <x:c r="E14" s="67" t="e">
        <x:f aca="0">[1]!thsiFinD("ths_adjustment_nvg_ratio_fund",$B14,E$4,E$5,101)/100</x:f>
        <x:v>#NAME?</x:v>
      </x:c>
      <x:c r="F14" s="67" t="e">
        <x:f aca="0">[1]!thsiFinD("ths_adjustment_nvg_ratio_fund",$B14,F$4,F$5,101)/100</x:f>
        <x:v>#NAME?</x:v>
      </x:c>
      <x:c r="G14" s="67" t="e">
        <x:f aca="0">[1]!thsiFinD("ths_adjustment_nvg_ratio_fund",$B14,G$4,G$5,101)/100</x:f>
        <x:v>#NAME?</x:v>
      </x:c>
      <x:c r="H14" s="67" t="e">
        <x:f aca="0">[1]!thsiFinD("ths_adjustment_nvg_ratio_fund",$B14,H$4,H$5,101)/100</x:f>
        <x:v>#NAME?</x:v>
      </x:c>
      <x:c r="I14" s="67" t="e">
        <x:f aca="0">-[1]!thsiFinD("ths_max_retrace_rate_all_fund",$B14,F$3,F$5)/100</x:f>
        <x:v>#NAME?</x:v>
      </x:c>
    </x:row>
    <x:row r="15" ht="13.800000190734863" hidden="0">
      <x:c r="A15" s="58" t="n">
        <x:v>7</x:v>
      </x:c>
      <x:c r="B15" s="59" t="s">
        <x:v>169</x:v>
      </x:c>
      <x:c r="C15" s="60" t="s">
        <x:v>170</x:v>
      </x:c>
      <x:c r="D15" s="61" t="n">
        <x:v>361</x:v>
      </x:c>
      <x:c r="E15" s="62" t="e">
        <x:f aca="0">[1]!thsiFinD("ths_adjustment_nvg_ratio_fund",$B15,E$4,E$5,101)/100</x:f>
        <x:v>#NAME?</x:v>
      </x:c>
      <x:c r="F15" s="62" t="e">
        <x:f aca="0">[1]!thsiFinD("ths_adjustment_nvg_ratio_fund",$B15,F$4,F$5,101)/100</x:f>
        <x:v>#NAME?</x:v>
      </x:c>
      <x:c r="G15" s="62" t="e">
        <x:f aca="0">[1]!thsiFinD("ths_adjustment_nvg_ratio_fund",$B15,G$4,G$5,101)/100</x:f>
        <x:v>#NAME?</x:v>
      </x:c>
      <x:c r="H15" s="62" t="e">
        <x:f aca="0">[1]!thsiFinD("ths_adjustment_nvg_ratio_fund",$B15,H$4,H$5,101)/100</x:f>
        <x:v>#NAME?</x:v>
      </x:c>
      <x:c r="I15" s="62" t="e">
        <x:f aca="0">-[1]!thsiFinD("ths_max_retrace_rate_all_fund",$B15,F$3,F$5)/100</x:f>
        <x:v>#NAME?</x:v>
      </x:c>
    </x:row>
    <x:row r="16" ht="13.800000190734863" hidden="0">
      <x:c r="A16" s="63" t="n">
        <x:v>8</x:v>
      </x:c>
      <x:c r="B16" s="64" t="s">
        <x:v>171</x:v>
      </x:c>
      <x:c r="C16" s="65" t="s">
        <x:v>172</x:v>
      </x:c>
      <x:c r="D16" s="66" t="n">
        <x:v>359</x:v>
      </x:c>
      <x:c r="E16" s="67" t="e">
        <x:f aca="0">[1]!thsiFinD("ths_adjustment_nvg_ratio_fund",$B16,E$4,E$5,101)/100</x:f>
        <x:v>#NAME?</x:v>
      </x:c>
      <x:c r="F16" s="67" t="e">
        <x:f aca="0">[1]!thsiFinD("ths_adjustment_nvg_ratio_fund",$B16,F$4,F$5,101)/100</x:f>
        <x:v>#NAME?</x:v>
      </x:c>
      <x:c r="G16" s="67" t="e">
        <x:f aca="0">[1]!thsiFinD("ths_adjustment_nvg_ratio_fund",$B16,G$4,G$5,101)/100</x:f>
        <x:v>#NAME?</x:v>
      </x:c>
      <x:c r="H16" s="67" t="e">
        <x:f aca="0">[1]!thsiFinD("ths_adjustment_nvg_ratio_fund",$B16,H$4,H$5,101)/100</x:f>
        <x:v>#NAME?</x:v>
      </x:c>
      <x:c r="I16" s="67" t="e">
        <x:f aca="0">-[1]!thsiFinD("ths_max_retrace_rate_all_fund",$B16,F$3,F$5)/100</x:f>
        <x:v>#NAME?</x:v>
      </x:c>
    </x:row>
    <x:row r="17" ht="13.800000190734863" hidden="0">
      <x:c r="A17" s="58" t="n">
        <x:v>9</x:v>
      </x:c>
      <x:c r="B17" s="59" t="s">
        <x:v>173</x:v>
      </x:c>
      <x:c r="C17" s="60" t="s">
        <x:v>174</x:v>
      </x:c>
      <x:c r="D17" s="61" t="n">
        <x:v>342</x:v>
      </x:c>
      <x:c r="E17" s="62" t="e">
        <x:f aca="0">[1]!thsiFinD("ths_adjustment_nvg_ratio_fund",$B17,E$4,E$5,101)/100</x:f>
        <x:v>#NAME?</x:v>
      </x:c>
      <x:c r="F17" s="62" t="e">
        <x:f aca="0">[1]!thsiFinD("ths_adjustment_nvg_ratio_fund",$B17,F$4,F$5,101)/100</x:f>
        <x:v>#NAME?</x:v>
      </x:c>
      <x:c r="G17" s="62" t="e">
        <x:f aca="0">[1]!thsiFinD("ths_adjustment_nvg_ratio_fund",$B17,G$4,G$5,101)/100</x:f>
        <x:v>#NAME?</x:v>
      </x:c>
      <x:c r="H17" s="62" t="e">
        <x:f aca="0">[1]!thsiFinD("ths_adjustment_nvg_ratio_fund",$B17,H$4,H$5,101)/100</x:f>
        <x:v>#NAME?</x:v>
      </x:c>
      <x:c r="I17" s="62" t="e">
        <x:f aca="0">-[1]!thsiFinD("ths_max_retrace_rate_all_fund",$B17,F$3,F$5)/100</x:f>
        <x:v>#NAME?</x:v>
      </x:c>
    </x:row>
    <x:row r="18" ht="13.800000190734863" hidden="0">
      <x:c r="A18" s="68" t="n">
        <x:v>10</x:v>
      </x:c>
      <x:c r="B18" s="69" t="s">
        <x:v>175</x:v>
      </x:c>
      <x:c r="C18" s="70" t="s">
        <x:v>176</x:v>
      </x:c>
      <x:c r="D18" s="71" t="n">
        <x:v>314</x:v>
      </x:c>
      <x:c r="E18" s="67" t="e">
        <x:f aca="0">[1]!thsiFinD("ths_adjustment_nvg_ratio_fund",$B18,E$4,E$5,101)/100</x:f>
        <x:v>#NAME?</x:v>
      </x:c>
      <x:c r="F18" s="67" t="e">
        <x:f aca="0">[1]!thsiFinD("ths_adjustment_nvg_ratio_fund",$B18,F$4,F$5,101)/100</x:f>
        <x:v>#NAME?</x:v>
      </x:c>
      <x:c r="G18" s="67" t="e">
        <x:f aca="0">[1]!thsiFinD("ths_adjustment_nvg_ratio_fund",$B18,G$4,G$5,101)/100</x:f>
        <x:v>#NAME?</x:v>
      </x:c>
      <x:c r="H18" s="67" t="e">
        <x:f aca="0">[1]!thsiFinD("ths_adjustment_nvg_ratio_fund",$B18,H$4,H$5,101)/100</x:f>
        <x:v>#NAME?</x:v>
      </x:c>
      <x:c r="I18" s="67" t="e">
        <x:f aca="0">-[1]!thsiFinD("ths_max_retrace_rate_all_fund",$B18,F$3,F$5)/100</x:f>
        <x:v>#NAME?</x:v>
      </x:c>
    </x:row>
    <x:row r="21" ht="39" hidden="0" customHeight="1">
      <x:c r="A21" s="72"/>
      <x:c r="B21" s="72"/>
      <x:c r="C21" s="47" t="s">
        <x:v>177</x:v>
      </x:c>
      <x:c r="D21" s="47"/>
      <x:c r="E21" s="47"/>
      <x:c r="F21" s="47"/>
      <x:c r="G21" s="47"/>
      <x:c r="H21" s="47"/>
      <x:c r="I21" s="47"/>
    </x:row>
    <x:row r="22" ht="36" hidden="0" customHeight="1">
      <x:c r="A22" s="86" t="e">
        <x:f aca="0">表3_2[[#Headers],[序号]]</x:f>
        <x:v>#NAME?</x:v>
      </x:c>
      <x:c r="B22" s="86" t="e">
        <x:f aca="0">表3_2[[#Headers],[基金代码]]</x:f>
        <x:v>#NAME?</x:v>
      </x:c>
      <x:c r="C22" s="86" t="e">
        <x:f aca="0">表3_2[[#Headers],[产品/基金名称]]</x:f>
        <x:v>#NAME?</x:v>
      </x:c>
      <x:c r="D22" s="86" t="e">
        <x:f aca="0">表3_2[[#Headers],[26Q2规模（亿元）]]</x:f>
        <x:v>#NAME?</x:v>
      </x:c>
      <x:c r="E22" s="86" t="e">
        <x:f aca="0">表3_2[[#Headers],[上周]]</x:f>
        <x:v>#NAME?</x:v>
      </x:c>
      <x:c r="F22" s="86" t="e">
        <x:f aca="0">表3_2[[#Headers],[上线以来]]</x:f>
        <x:v>#NAME?</x:v>
      </x:c>
      <x:c r="G22" s="86" t="e">
        <x:f aca="0">表3_2[[#Headers],[6/22-7/30]]</x:f>
        <x:v>#NAME?</x:v>
      </x:c>
      <x:c r="H22" s="86" t="e">
        <x:f aca="0">表3_2[[#Headers],[7.31至今]]</x:f>
        <x:v>#NAME?</x:v>
      </x:c>
      <x:c r="I22" s="74" t="e">
        <x:f aca="0">表3_2[[#Headers],[最大回撤（上线以来）]]</x:f>
        <x:v>#NAME?</x:v>
      </x:c>
    </x:row>
    <x:row r="23" ht="15.649999618530273" hidden="0">
      <x:c r="A23" s="53" t="s">
        <x:v>68</x:v>
      </x:c>
      <x:c r="B23" s="54"/>
      <x:c r="C23" s="55" t="str">
        <x:f aca="0">C8</x:f>
        <x:v>10/90基石投顾组合</x:v>
      </x:c>
      <x:c r="D23" s="54"/>
      <x:c r="E23" s="75" t="e">
        <x:f aca="0">E$2/E$1-1</x:f>
        <x:v>#NAME?</x:v>
      </x:c>
      <x:c r="F23" s="75" t="e">
        <x:f aca="0">F$2/F$1-1</x:f>
        <x:v>#NAME?</x:v>
      </x:c>
      <x:c r="G23" s="75" t="e">
        <x:f aca="0">G$2/G$1-1</x:f>
        <x:v>#NAME?</x:v>
      </x:c>
      <x:c r="H23" s="75" t="e">
        <x:f aca="0">H$2/H$1-1</x:f>
        <x:v>#NAME?</x:v>
      </x:c>
      <x:c r="I23" s="76" t="e">
        <x:f aca="0">I8</x:f>
        <x:v>#NAME?</x:v>
      </x:c>
    </x:row>
    <x:row r="24" ht="13.800000190734863" hidden="0">
      <x:c r="A24" s="58" t="n">
        <x:v>1</x:v>
      </x:c>
      <x:c r="B24" s="59" t="s">
        <x:v>157</x:v>
      </x:c>
      <x:c r="C24" s="60" t="s">
        <x:v>158</x:v>
      </x:c>
      <x:c r="D24" s="59" t="n">
        <x:v>391</x:v>
      </x:c>
      <x:c r="E24" s="77" t="e">
        <x:f aca="0">[1]!thsiFinD("ths_adjustment_nvg_ratio_fund",$B24,E$4,E$5,101)/100</x:f>
        <x:v>#NAME?</x:v>
      </x:c>
      <x:c r="F24" s="77" t="e">
        <x:f aca="0">[1]!thsiFinD("ths_adjustment_nvg_ratio_fund",$B24,F$4,F$5,101)/100</x:f>
        <x:v>#NAME?</x:v>
      </x:c>
      <x:c r="G24" s="77" t="e">
        <x:f aca="0">[1]!thsiFinD("ths_adjustment_nvg_ratio_fund",$B24,G$4,G$5,101)/100</x:f>
        <x:v>#NAME?</x:v>
      </x:c>
      <x:c r="H24" s="77" t="e">
        <x:f aca="0">[1]!thsiFinD("ths_adjustment_nvg_ratio_fund",$B24,H$4,H$5,101)/100</x:f>
        <x:v>#NAME?</x:v>
      </x:c>
      <x:c r="I24" s="78" t="e">
        <x:f aca="0">-[1]!thsiFinD("ths_max_retrace_rate_all_fund",$B24,F$3,F$5)/100</x:f>
        <x:v>#NAME?</x:v>
      </x:c>
    </x:row>
    <x:row r="25" ht="13.800000190734863" hidden="0">
      <x:c r="A25" s="63" t="n">
        <x:v>2</x:v>
      </x:c>
      <x:c r="B25" s="64" t="s">
        <x:v>165</x:v>
      </x:c>
      <x:c r="C25" s="65" t="s">
        <x:v>166</x:v>
      </x:c>
      <x:c r="D25" s="64" t="n">
        <x:v>347</x:v>
      </x:c>
      <x:c r="E25" s="79" t="e">
        <x:f aca="0">[1]!thsiFinD("ths_adjustment_nvg_ratio_fund",$B25,E$4,E$5,101)/100</x:f>
        <x:v>#NAME?</x:v>
      </x:c>
      <x:c r="F25" s="79" t="e">
        <x:f aca="0">[1]!thsiFinD("ths_adjustment_nvg_ratio_fund",$B25,F$4,F$5,101)/100</x:f>
        <x:v>#NAME?</x:v>
      </x:c>
      <x:c r="G25" s="79" t="e">
        <x:f aca="0">[1]!thsiFinD("ths_adjustment_nvg_ratio_fund",$B25,G$4,G$5,101)/100</x:f>
        <x:v>#NAME?</x:v>
      </x:c>
      <x:c r="H25" s="79" t="e">
        <x:f aca="0">[1]!thsiFinD("ths_adjustment_nvg_ratio_fund",$B25,H$4,H$5,101)/100</x:f>
        <x:v>#NAME?</x:v>
      </x:c>
      <x:c r="I25" s="80" t="e">
        <x:f aca="0">-[1]!thsiFinD("ths_max_retrace_rate_all_fund",$B25,F$3,F$5)/100</x:f>
        <x:v>#NAME?</x:v>
      </x:c>
    </x:row>
    <x:row r="26" ht="13.800000190734863" hidden="0">
      <x:c r="A26" s="58" t="n">
        <x:v>3</x:v>
      </x:c>
      <x:c r="B26" s="59" t="s">
        <x:v>178</x:v>
      </x:c>
      <x:c r="C26" s="60" t="s">
        <x:v>179</x:v>
      </x:c>
      <x:c r="D26" s="59" t="n">
        <x:v>255</x:v>
      </x:c>
      <x:c r="E26" s="77" t="e">
        <x:f aca="0">[1]!thsiFinD("ths_adjustment_nvg_ratio_fund",$B26,E$4,E$5,101)/100</x:f>
        <x:v>#NAME?</x:v>
      </x:c>
      <x:c r="F26" s="77" t="e">
        <x:f aca="0">[1]!thsiFinD("ths_adjustment_nvg_ratio_fund",$B26,F$4,F$5,101)/100</x:f>
        <x:v>#NAME?</x:v>
      </x:c>
      <x:c r="G26" s="77" t="e">
        <x:f aca="0">[1]!thsiFinD("ths_adjustment_nvg_ratio_fund",$B26,G$4,G$5,101)/100</x:f>
        <x:v>#NAME?</x:v>
      </x:c>
      <x:c r="H26" s="77" t="e">
        <x:f aca="0">[1]!thsiFinD("ths_adjustment_nvg_ratio_fund",$B26,H$4,H$5,101)/100</x:f>
        <x:v>#NAME?</x:v>
      </x:c>
      <x:c r="I26" s="78" t="e">
        <x:f aca="0">-[1]!thsiFinD("ths_max_retrace_rate_all_fund",$B26,F$3,F$5)/100</x:f>
        <x:v>#NAME?</x:v>
      </x:c>
    </x:row>
    <x:row r="27" ht="13.800000190734863" hidden="0">
      <x:c r="A27" s="63" t="n">
        <x:v>4</x:v>
      </x:c>
      <x:c r="B27" s="64" t="s">
        <x:v>159</x:v>
      </x:c>
      <x:c r="C27" s="65" t="s">
        <x:v>160</x:v>
      </x:c>
      <x:c r="D27" s="64" t="n">
        <x:v>228</x:v>
      </x:c>
      <x:c r="E27" s="79" t="e">
        <x:f aca="0">[1]!thsiFinD("ths_adjustment_nvg_ratio_fund",$B27,E$4,E$5,101)/100</x:f>
        <x:v>#NAME?</x:v>
      </x:c>
      <x:c r="F27" s="79" t="e">
        <x:f aca="0">[1]!thsiFinD("ths_adjustment_nvg_ratio_fund",$B27,F$4,F$5,101)/100</x:f>
        <x:v>#NAME?</x:v>
      </x:c>
      <x:c r="G27" s="79" t="e">
        <x:f aca="0">[1]!thsiFinD("ths_adjustment_nvg_ratio_fund",$B27,G$4,G$5,101)/100</x:f>
        <x:v>#NAME?</x:v>
      </x:c>
      <x:c r="H27" s="79" t="e">
        <x:f aca="0">[1]!thsiFinD("ths_adjustment_nvg_ratio_fund",$B27,H$4,H$5,101)/100</x:f>
        <x:v>#NAME?</x:v>
      </x:c>
      <x:c r="I27" s="80" t="e">
        <x:f aca="0">-[1]!thsiFinD("ths_max_retrace_rate_all_fund",$B27,F$3,F$5)/100</x:f>
        <x:v>#NAME?</x:v>
      </x:c>
    </x:row>
    <x:row r="28" ht="13.800000190734863" hidden="0">
      <x:c r="A28" s="58" t="n">
        <x:v>5</x:v>
      </x:c>
      <x:c r="B28" s="59" t="s">
        <x:v>180</x:v>
      </x:c>
      <x:c r="C28" s="60" t="s">
        <x:v>181</x:v>
      </x:c>
      <x:c r="D28" s="59" t="n">
        <x:v>172</x:v>
      </x:c>
      <x:c r="E28" s="77" t="e">
        <x:f aca="0">[1]!thsiFinD("ths_adjustment_nvg_ratio_fund",$B28,E$4,E$5,101)/100</x:f>
        <x:v>#NAME?</x:v>
      </x:c>
      <x:c r="F28" s="77" t="e">
        <x:f aca="0">[1]!thsiFinD("ths_adjustment_nvg_ratio_fund",$B28,F$4,F$5,101)/100</x:f>
        <x:v>#NAME?</x:v>
      </x:c>
      <x:c r="G28" s="77" t="e">
        <x:f aca="0">[1]!thsiFinD("ths_adjustment_nvg_ratio_fund",$B28,G$4,G$5,101)/100</x:f>
        <x:v>#NAME?</x:v>
      </x:c>
      <x:c r="H28" s="77" t="e">
        <x:f aca="0">[1]!thsiFinD("ths_adjustment_nvg_ratio_fund",$B28,H$4,H$5,101)/100</x:f>
        <x:v>#NAME?</x:v>
      </x:c>
      <x:c r="I28" s="78" t="e">
        <x:f aca="0">-[1]!thsiFinD("ths_max_retrace_rate_all_fund",$B28,F$3,F$5)/100</x:f>
        <x:v>#NAME?</x:v>
      </x:c>
    </x:row>
    <x:row r="29" ht="13.800000190734863" hidden="0">
      <x:c r="A29" s="63" t="n">
        <x:v>6</x:v>
      </x:c>
      <x:c r="B29" s="64" t="s">
        <x:v>173</x:v>
      </x:c>
      <x:c r="C29" s="65" t="s">
        <x:v>174</x:v>
      </x:c>
      <x:c r="D29" s="64" t="n">
        <x:v>146</x:v>
      </x:c>
      <x:c r="E29" s="79" t="e">
        <x:f aca="0">[1]!thsiFinD("ths_adjustment_nvg_ratio_fund",$B29,E$4,E$5,101)/100</x:f>
        <x:v>#NAME?</x:v>
      </x:c>
      <x:c r="F29" s="79" t="e">
        <x:f aca="0">[1]!thsiFinD("ths_adjustment_nvg_ratio_fund",$B29,F$4,F$5,101)/100</x:f>
        <x:v>#NAME?</x:v>
      </x:c>
      <x:c r="G29" s="79" t="e">
        <x:f aca="0">[1]!thsiFinD("ths_adjustment_nvg_ratio_fund",$B29,G$4,G$5,101)/100</x:f>
        <x:v>#NAME?</x:v>
      </x:c>
      <x:c r="H29" s="79" t="e">
        <x:f aca="0">[1]!thsiFinD("ths_adjustment_nvg_ratio_fund",$B29,H$4,H$5,101)/100</x:f>
        <x:v>#NAME?</x:v>
      </x:c>
      <x:c r="I29" s="80" t="e">
        <x:f aca="0">-[1]!thsiFinD("ths_max_retrace_rate_all_fund",$B29,F$3,F$5)/100</x:f>
        <x:v>#NAME?</x:v>
      </x:c>
    </x:row>
    <x:row r="30" ht="13.800000190734863" hidden="0">
      <x:c r="A30" s="58" t="n">
        <x:v>7</x:v>
      </x:c>
      <x:c r="B30" s="59" t="s">
        <x:v>182</x:v>
      </x:c>
      <x:c r="C30" s="60" t="s">
        <x:v>183</x:v>
      </x:c>
      <x:c r="D30" s="59" t="n">
        <x:v>130</x:v>
      </x:c>
      <x:c r="E30" s="77" t="e">
        <x:f aca="0">[1]!thsiFinD("ths_adjustment_nvg_ratio_fund",$B30,E$4,E$5,101)/100</x:f>
        <x:v>#NAME?</x:v>
      </x:c>
      <x:c r="F30" s="77" t="e">
        <x:f aca="0">[1]!thsiFinD("ths_adjustment_nvg_ratio_fund",$B30,F$4,F$5,101)/100</x:f>
        <x:v>#NAME?</x:v>
      </x:c>
      <x:c r="G30" s="77" t="e">
        <x:f aca="0">[1]!thsiFinD("ths_adjustment_nvg_ratio_fund",$B30,G$4,G$5,101)/100</x:f>
        <x:v>#NAME?</x:v>
      </x:c>
      <x:c r="H30" s="77" t="e">
        <x:f aca="0">[1]!thsiFinD("ths_adjustment_nvg_ratio_fund",$B30,H$4,H$5,101)/100</x:f>
        <x:v>#NAME?</x:v>
      </x:c>
      <x:c r="I30" s="78" t="e">
        <x:f aca="0">-[1]!thsiFinD("ths_max_retrace_rate_all_fund",$B30,F$3,F$5)/100</x:f>
        <x:v>#NAME?</x:v>
      </x:c>
    </x:row>
    <x:row r="31" ht="13.800000190734863" hidden="0">
      <x:c r="A31" s="63" t="n">
        <x:v>8</x:v>
      </x:c>
      <x:c r="B31" s="64" t="s">
        <x:v>169</x:v>
      </x:c>
      <x:c r="C31" s="65" t="s">
        <x:v>170</x:v>
      </x:c>
      <x:c r="D31" s="64" t="n">
        <x:v>123</x:v>
      </x:c>
      <x:c r="E31" s="79" t="e">
        <x:f aca="0">[1]!thsiFinD("ths_adjustment_nvg_ratio_fund",$B31,E$4,E$5,101)/100</x:f>
        <x:v>#NAME?</x:v>
      </x:c>
      <x:c r="F31" s="79" t="e">
        <x:f aca="0">[1]!thsiFinD("ths_adjustment_nvg_ratio_fund",$B31,F$4,F$5,101)/100</x:f>
        <x:v>#NAME?</x:v>
      </x:c>
      <x:c r="G31" s="79" t="e">
        <x:f aca="0">[1]!thsiFinD("ths_adjustment_nvg_ratio_fund",$B31,G$4,G$5,101)/100</x:f>
        <x:v>#NAME?</x:v>
      </x:c>
      <x:c r="H31" s="79" t="e">
        <x:f aca="0">[1]!thsiFinD("ths_adjustment_nvg_ratio_fund",$B31,H$4,H$5,101)/100</x:f>
        <x:v>#NAME?</x:v>
      </x:c>
      <x:c r="I31" s="80" t="e">
        <x:f aca="0">-[1]!thsiFinD("ths_max_retrace_rate_all_fund",$B31,F$3,F$5)/100</x:f>
        <x:v>#NAME?</x:v>
      </x:c>
    </x:row>
    <x:row r="32" ht="13.800000190734863" hidden="0">
      <x:c r="A32" s="58" t="n">
        <x:v>9</x:v>
      </x:c>
      <x:c r="B32" s="59" t="s">
        <x:v>184</x:v>
      </x:c>
      <x:c r="C32" s="60" t="s">
        <x:v>185</x:v>
      </x:c>
      <x:c r="D32" s="59" t="n">
        <x:v>120</x:v>
      </x:c>
      <x:c r="E32" s="77" t="e">
        <x:f aca="0">[1]!thsiFinD("ths_adjustment_nvg_ratio_fund",$B32,E$4,E$5,101)/100</x:f>
        <x:v>#NAME?</x:v>
      </x:c>
      <x:c r="F32" s="77" t="e">
        <x:f aca="0">[1]!thsiFinD("ths_adjustment_nvg_ratio_fund",$B32,F$4,F$5,101)/100</x:f>
        <x:v>#NAME?</x:v>
      </x:c>
      <x:c r="G32" s="77" t="e">
        <x:f aca="0">[1]!thsiFinD("ths_adjustment_nvg_ratio_fund",$B32,G$4,G$5,101)/100</x:f>
        <x:v>#NAME?</x:v>
      </x:c>
      <x:c r="H32" s="77" t="e">
        <x:f aca="0">[1]!thsiFinD("ths_adjustment_nvg_ratio_fund",$B32,H$4,H$5,101)/100</x:f>
        <x:v>#NAME?</x:v>
      </x:c>
      <x:c r="I32" s="78" t="e">
        <x:f aca="0">-[1]!thsiFinD("ths_max_retrace_rate_all_fund",$B32,F$3,F$5)/100</x:f>
        <x:v>#NAME?</x:v>
      </x:c>
    </x:row>
    <x:row r="33" ht="13.800000190734863" hidden="0">
      <x:c r="A33" s="81" t="n">
        <x:v>10</x:v>
      </x:c>
      <x:c r="B33" s="82" t="s">
        <x:v>171</x:v>
      </x:c>
      <x:c r="C33" s="83" t="s">
        <x:v>172</x:v>
      </x:c>
      <x:c r="D33" s="82" t="n">
        <x:v>114</x:v>
      </x:c>
      <x:c r="E33" s="84" t="e">
        <x:f aca="0">[1]!thsiFinD("ths_adjustment_nvg_ratio_fund",$B33,E$4,E$5,101)/100</x:f>
        <x:v>#NAME?</x:v>
      </x:c>
      <x:c r="F33" s="84" t="e">
        <x:f aca="0">[1]!thsiFinD("ths_adjustment_nvg_ratio_fund",$B33,F$4,F$5,101)/100</x:f>
        <x:v>#NAME?</x:v>
      </x:c>
      <x:c r="G33" s="84" t="e">
        <x:f aca="0">[1]!thsiFinD("ths_adjustment_nvg_ratio_fund",$B33,G$4,G$5,101)/100</x:f>
        <x:v>#NAME?</x:v>
      </x:c>
      <x:c r="H33" s="84" t="e">
        <x:f aca="0">[1]!thsiFinD("ths_adjustment_nvg_ratio_fund",$B33,H$4,H$5,101)/100</x:f>
        <x:v>#NAME?</x:v>
      </x:c>
      <x:c r="I33" s="85" t="e">
        <x:f aca="0">-[1]!thsiFinD("ths_max_retrace_rate_all_fund",$B33,F$3,F$5)/100</x:f>
        <x:v>#NAME?</x:v>
      </x:c>
    </x:row>
    <x:row r="36" ht="36" hidden="0" customHeight="1">
      <x:c r="A36" s="46"/>
      <x:c r="B36" s="46"/>
      <x:c r="C36" s="47" t="s">
        <x:v>186</x:v>
      </x:c>
      <x:c r="D36" s="47"/>
      <x:c r="E36" s="47"/>
      <x:c r="F36" s="47"/>
      <x:c r="G36" s="47"/>
      <x:c r="H36" s="47"/>
      <x:c r="I36" s="47"/>
    </x:row>
    <x:row r="37" ht="42.75" hidden="0" customHeight="1">
      <x:c r="A37" s="86" t="e">
        <x:f aca="0">A22</x:f>
        <x:v>#NAME?</x:v>
      </x:c>
      <x:c r="B37" s="86" t="e">
        <x:f aca="0">B22</x:f>
        <x:v>#NAME?</x:v>
      </x:c>
      <x:c r="C37" s="86" t="e">
        <x:f aca="0">C22</x:f>
        <x:v>#NAME?</x:v>
      </x:c>
      <x:c r="D37" s="86" t="s">
        <x:v>187</x:v>
      </x:c>
      <x:c r="E37" s="86" t="e">
        <x:f aca="0">E22</x:f>
        <x:v>#NAME?</x:v>
      </x:c>
      <x:c r="F37" s="86" t="e">
        <x:f aca="0">F22</x:f>
        <x:v>#NAME?</x:v>
      </x:c>
      <x:c r="G37" s="86" t="e">
        <x:f aca="0">G22</x:f>
        <x:v>#NAME?</x:v>
      </x:c>
      <x:c r="H37" s="86" t="e">
        <x:f aca="0">H22</x:f>
        <x:v>#NAME?</x:v>
      </x:c>
      <x:c r="I37" s="74" t="e">
        <x:f aca="0">I22</x:f>
        <x:v>#NAME?</x:v>
      </x:c>
    </x:row>
    <x:row r="38" ht="15.649999618530273" hidden="0">
      <x:c r="A38" s="53" t="s">
        <x:v>68</x:v>
      </x:c>
      <x:c r="B38" s="54"/>
      <x:c r="C38" s="55" t="str">
        <x:f aca="0">C8</x:f>
        <x:v>10/90基石投顾组合</x:v>
      </x:c>
      <x:c r="D38" s="87"/>
      <x:c r="E38" s="88" t="e">
        <x:f aca="0">E$2/E$1-1</x:f>
        <x:v>#NAME?</x:v>
      </x:c>
      <x:c r="F38" s="88" t="e">
        <x:f aca="0">F$2/F$1-1</x:f>
        <x:v>#NAME?</x:v>
      </x:c>
      <x:c r="G38" s="75" t="e">
        <x:f aca="0">G$2/G$1-1</x:f>
        <x:v>#NAME?</x:v>
      </x:c>
      <x:c r="H38" s="75" t="e">
        <x:f aca="0">H$2/H$1-1</x:f>
        <x:v>#NAME?</x:v>
      </x:c>
      <x:c r="I38" s="76" t="e">
        <x:f aca="0">I8</x:f>
        <x:v>#NAME?</x:v>
      </x:c>
    </x:row>
    <x:row r="39" ht="14.149999618530273" hidden="0">
      <x:c r="A39" s="58" t="n">
        <x:v>1</x:v>
      </x:c>
      <x:c r="B39" s="59" t="s">
        <x:v>188</x:v>
      </x:c>
      <x:c r="C39" s="60" t="s">
        <x:v>189</x:v>
      </x:c>
      <x:c r="D39" s="89" t="n">
        <x:v>5265</x:v>
      </x:c>
      <x:c r="E39" s="90" t="e">
        <x:f aca="0">[1]!thsiFinD("ths_adjustment_nvg_ratio_fund",$B39,E$4,E$5,101)/100</x:f>
        <x:v>#NAME?</x:v>
      </x:c>
      <x:c r="F39" s="90" t="e">
        <x:f aca="0">[1]!thsiFinD("ths_adjustment_nvg_ratio_fund",$B39,F$4,F$5,101)/100</x:f>
        <x:v>#NAME?</x:v>
      </x:c>
      <x:c r="G39" s="77" t="e">
        <x:f aca="0">[1]!thsiFinD("ths_adjustment_nvg_ratio_fund",$B39,G$4,G$5,101)/100</x:f>
        <x:v>#NAME?</x:v>
      </x:c>
      <x:c r="H39" s="77" t="e">
        <x:f aca="0">[1]!thsiFinD("ths_adjustment_nvg_ratio_fund",$B39,H$4,H$5,101)/100</x:f>
        <x:v>#NAME?</x:v>
      </x:c>
      <x:c r="I39" s="78" t="e">
        <x:f aca="0">-[1]!thsiFinD("ths_max_retrace_rate_all_fund",$B39,F$3,F$5)/100</x:f>
        <x:v>#NAME?</x:v>
      </x:c>
    </x:row>
    <x:row r="40" ht="14.149999618530273" hidden="0">
      <x:c r="A40" s="63" t="n">
        <x:v>2</x:v>
      </x:c>
      <x:c r="B40" s="64" t="s">
        <x:v>190</x:v>
      </x:c>
      <x:c r="C40" s="65" t="s">
        <x:v>191</x:v>
      </x:c>
      <x:c r="D40" s="91" t="n">
        <x:v>896</x:v>
      </x:c>
      <x:c r="E40" s="92" t="e">
        <x:f aca="0">[1]!thsiFinD("ths_adjustment_nvg_ratio_fund",$B40,E$4,E$5,101)/100</x:f>
        <x:v>#NAME?</x:v>
      </x:c>
      <x:c r="F40" s="92" t="e">
        <x:f aca="0">[1]!thsiFinD("ths_adjustment_nvg_ratio_fund",$B40,F$4,F$5,101)/100</x:f>
        <x:v>#NAME?</x:v>
      </x:c>
      <x:c r="G40" s="79" t="e">
        <x:f aca="0">[1]!thsiFinD("ths_adjustment_nvg_ratio_fund",$B40,G$4,G$5,101)/100</x:f>
        <x:v>#NAME?</x:v>
      </x:c>
      <x:c r="H40" s="79" t="e">
        <x:f aca="0">[1]!thsiFinD("ths_adjustment_nvg_ratio_fund",$B40,H$4,H$5,101)/100</x:f>
        <x:v>#NAME?</x:v>
      </x:c>
      <x:c r="I40" s="80" t="e">
        <x:f aca="0">-[1]!thsiFinD("ths_max_retrace_rate_all_fund",$B40,F$3,F$5)/100</x:f>
        <x:v>#NAME?</x:v>
      </x:c>
    </x:row>
    <x:row r="41" ht="14.149999618530273" hidden="0">
      <x:c r="A41" s="58" t="n">
        <x:v>3</x:v>
      </x:c>
      <x:c r="B41" s="59" t="s">
        <x:v>192</x:v>
      </x:c>
      <x:c r="C41" s="60" t="s">
        <x:v>193</x:v>
      </x:c>
      <x:c r="D41" s="89" t="n">
        <x:v>239</x:v>
      </x:c>
      <x:c r="E41" s="90" t="e">
        <x:f aca="0">[1]!thsiFinD("ths_adjustment_nvg_ratio_fund",$B41,E$4,E$5,101)/100</x:f>
        <x:v>#NAME?</x:v>
      </x:c>
      <x:c r="F41" s="90" t="e">
        <x:f aca="0">[1]!thsiFinD("ths_adjustment_nvg_ratio_fund",$B41,F$4,F$5,101)/100</x:f>
        <x:v>#NAME?</x:v>
      </x:c>
      <x:c r="G41" s="77" t="e">
        <x:f aca="0">[1]!thsiFinD("ths_adjustment_nvg_ratio_fund",$B41,G$4,G$5,101)/100</x:f>
        <x:v>#NAME?</x:v>
      </x:c>
      <x:c r="H41" s="77" t="e">
        <x:f aca="0">[1]!thsiFinD("ths_adjustment_nvg_ratio_fund",$B41,H$4,H$5,101)/100</x:f>
        <x:v>#NAME?</x:v>
      </x:c>
      <x:c r="I41" s="78" t="e">
        <x:f aca="0">-[1]!thsiFinD("ths_max_retrace_rate_all_fund",$B41,F$3,F$5)/100</x:f>
        <x:v>#NAME?</x:v>
      </x:c>
    </x:row>
    <x:row r="42" ht="13.800000190734863" hidden="0">
      <x:c r="A42" s="63" t="n">
        <x:v>4</x:v>
      </x:c>
      <x:c r="B42" s="64" t="s">
        <x:v>165</x:v>
      </x:c>
      <x:c r="C42" s="65" t="s">
        <x:v>166</x:v>
      </x:c>
      <x:c r="D42" s="91" t="n">
        <x:v>225</x:v>
      </x:c>
      <x:c r="E42" s="92" t="e">
        <x:f aca="0">[1]!thsiFinD("ths_adjustment_nvg_ratio_fund",$B42,E$4,E$5,101)/100</x:f>
        <x:v>#NAME?</x:v>
      </x:c>
      <x:c r="F42" s="92" t="e">
        <x:f aca="0">[1]!thsiFinD("ths_adjustment_nvg_ratio_fund",$B42,F$4,F$5,101)/100</x:f>
        <x:v>#NAME?</x:v>
      </x:c>
      <x:c r="G42" s="79" t="e">
        <x:f aca="0">[1]!thsiFinD("ths_adjustment_nvg_ratio_fund",$B42,G$4,G$5,101)/100</x:f>
        <x:v>#NAME?</x:v>
      </x:c>
      <x:c r="H42" s="79" t="e">
        <x:f aca="0">[1]!thsiFinD("ths_adjustment_nvg_ratio_fund",$B42,H$4,H$5,101)/100</x:f>
        <x:v>#NAME?</x:v>
      </x:c>
      <x:c r="I42" s="80" t="e">
        <x:f aca="0">-[1]!thsiFinD("ths_max_retrace_rate_all_fund",$B42,F$3,F$5)/100</x:f>
        <x:v>#NAME?</x:v>
      </x:c>
    </x:row>
    <x:row r="43" ht="13.800000190734863" hidden="0">
      <x:c r="A43" s="58" t="n">
        <x:v>5</x:v>
      </x:c>
      <x:c r="B43" s="59" t="s">
        <x:v>194</x:v>
      </x:c>
      <x:c r="C43" s="60" t="s">
        <x:v>195</x:v>
      </x:c>
      <x:c r="D43" s="89" t="n">
        <x:v>205</x:v>
      </x:c>
      <x:c r="E43" s="90" t="e">
        <x:f aca="0">[1]!thsiFinD("ths_adjustment_nvg_ratio_fund",$B43,E$4,E$5,101)/100</x:f>
        <x:v>#NAME?</x:v>
      </x:c>
      <x:c r="F43" s="90" t="e">
        <x:f aca="0">[1]!thsiFinD("ths_adjustment_nvg_ratio_fund",$B43,F$4,F$5,101)/100</x:f>
        <x:v>#NAME?</x:v>
      </x:c>
      <x:c r="G43" s="77" t="e">
        <x:f aca="0">[1]!thsiFinD("ths_adjustment_nvg_ratio_fund",$B43,G$4,G$5,101)/100</x:f>
        <x:v>#NAME?</x:v>
      </x:c>
      <x:c r="H43" s="77" t="e">
        <x:f aca="0">[1]!thsiFinD("ths_adjustment_nvg_ratio_fund",$B43,H$4,H$5,101)/100</x:f>
        <x:v>#NAME?</x:v>
      </x:c>
      <x:c r="I43" s="78" t="e">
        <x:f aca="0">-[1]!thsiFinD("ths_max_retrace_rate_all_fund",$B43,F$3,F$5)/100</x:f>
        <x:v>#NAME?</x:v>
      </x:c>
    </x:row>
    <x:row r="44" ht="14.149999618530273" hidden="0">
      <x:c r="A44" s="63" t="n">
        <x:v>6</x:v>
      </x:c>
      <x:c r="B44" s="64" t="s">
        <x:v>196</x:v>
      </x:c>
      <x:c r="C44" s="65" t="s">
        <x:v>197</x:v>
      </x:c>
      <x:c r="D44" s="91" t="n">
        <x:v>190</x:v>
      </x:c>
      <x:c r="E44" s="92" t="e">
        <x:f aca="0">[1]!thsiFinD("ths_adjustment_nvg_ratio_fund",$B44,E$4,E$5,101)/100</x:f>
        <x:v>#NAME?</x:v>
      </x:c>
      <x:c r="F44" s="92" t="e">
        <x:f aca="0">[1]!thsiFinD("ths_adjustment_nvg_ratio_fund",$B44,F$4,F$5,101)/100</x:f>
        <x:v>#NAME?</x:v>
      </x:c>
      <x:c r="G44" s="79" t="e">
        <x:f aca="0">[1]!thsiFinD("ths_adjustment_nvg_ratio_fund",$B44,G$4,G$5,101)/100</x:f>
        <x:v>#NAME?</x:v>
      </x:c>
      <x:c r="H44" s="79" t="e">
        <x:f aca="0">[1]!thsiFinD("ths_adjustment_nvg_ratio_fund",$B44,H$4,H$5,101)/100</x:f>
        <x:v>#NAME?</x:v>
      </x:c>
      <x:c r="I44" s="80" t="e">
        <x:f aca="0">-[1]!thsiFinD("ths_max_retrace_rate_all_fund",$B44,F$3,F$5)/100</x:f>
        <x:v>#NAME?</x:v>
      </x:c>
    </x:row>
    <x:row r="45" ht="13.800000190734863" hidden="0">
      <x:c r="A45" s="58" t="n">
        <x:v>7</x:v>
      </x:c>
      <x:c r="B45" s="59" t="s">
        <x:v>198</x:v>
      </x:c>
      <x:c r="C45" s="60" t="s">
        <x:v>199</x:v>
      </x:c>
      <x:c r="D45" s="89" t="n">
        <x:v>189</x:v>
      </x:c>
      <x:c r="E45" s="90" t="e">
        <x:f aca="0">[1]!thsiFinD("ths_adjustment_nvg_ratio_fund",$B45,E$4,E$5,101)/100</x:f>
        <x:v>#NAME?</x:v>
      </x:c>
      <x:c r="F45" s="90" t="e">
        <x:f aca="0">[1]!thsiFinD("ths_adjustment_nvg_ratio_fund",$B45,F$4,F$5,101)/100</x:f>
        <x:v>#NAME?</x:v>
      </x:c>
      <x:c r="G45" s="77" t="e">
        <x:f aca="0">[1]!thsiFinD("ths_adjustment_nvg_ratio_fund",$B45,G$4,G$5,101)/100</x:f>
        <x:v>#NAME?</x:v>
      </x:c>
      <x:c r="H45" s="77" t="e">
        <x:f aca="0">[1]!thsiFinD("ths_adjustment_nvg_ratio_fund",$B45,H$4,H$5,101)/100</x:f>
        <x:v>#NAME?</x:v>
      </x:c>
      <x:c r="I45" s="78" t="e">
        <x:f aca="0">-[1]!thsiFinD("ths_max_retrace_rate_all_fund",$B45,F$3,F$5)/100</x:f>
        <x:v>#NAME?</x:v>
      </x:c>
    </x:row>
    <x:row r="46" ht="13.800000190734863" hidden="0">
      <x:c r="A46" s="63" t="n">
        <x:v>8</x:v>
      </x:c>
      <x:c r="B46" s="64" t="s">
        <x:v>200</x:v>
      </x:c>
      <x:c r="C46" s="65" t="s">
        <x:v>201</x:v>
      </x:c>
      <x:c r="D46" s="91" t="n">
        <x:v>184</x:v>
      </x:c>
      <x:c r="E46" s="92" t="e">
        <x:f aca="0">[1]!thsiFinD("ths_adjustment_nvg_ratio_fund",$B46,E$4,E$5,101)/100</x:f>
        <x:v>#NAME?</x:v>
      </x:c>
      <x:c r="F46" s="92" t="e">
        <x:f aca="0">[1]!thsiFinD("ths_adjustment_nvg_ratio_fund",$B46,F$4,F$5,101)/100</x:f>
        <x:v>#NAME?</x:v>
      </x:c>
      <x:c r="G46" s="79" t="e">
        <x:f aca="0">[1]!thsiFinD("ths_adjustment_nvg_ratio_fund",$B46,G$4,G$5,101)/100</x:f>
        <x:v>#NAME?</x:v>
      </x:c>
      <x:c r="H46" s="79" t="e">
        <x:f aca="0">[1]!thsiFinD("ths_adjustment_nvg_ratio_fund",$B46,H$4,H$5,101)/100</x:f>
        <x:v>#NAME?</x:v>
      </x:c>
      <x:c r="I46" s="80" t="e">
        <x:f aca="0">-[1]!thsiFinD("ths_max_retrace_rate_all_fund",$B46,F$3,F$5)/100</x:f>
        <x:v>#NAME?</x:v>
      </x:c>
    </x:row>
    <x:row r="47" ht="14.149999618530273" hidden="0">
      <x:c r="A47" s="58" t="n">
        <x:v>9</x:v>
      </x:c>
      <x:c r="B47" s="59" t="s">
        <x:v>202</x:v>
      </x:c>
      <x:c r="C47" s="60" t="s">
        <x:v>203</x:v>
      </x:c>
      <x:c r="D47" s="89" t="n">
        <x:v>174</x:v>
      </x:c>
      <x:c r="E47" s="93" t="e">
        <x:f aca="0">[1]!thsiFinD("ths_adjustment_nvg_ratio_fund",$B47,E$4,E$5,101)/100</x:f>
        <x:v>#NAME?</x:v>
      </x:c>
      <x:c r="F47" s="93" t="e">
        <x:f aca="0">[1]!thsiFinD("ths_adjustment_nvg_ratio_fund",$B47,F$4,F$5,101)/100</x:f>
        <x:v>#NAME?</x:v>
      </x:c>
      <x:c r="G47" s="77" t="e">
        <x:f aca="0">[1]!thsiFinD("ths_adjustment_nvg_ratio_fund",$B47,G$4,G$5,101)/100</x:f>
        <x:v>#NAME?</x:v>
      </x:c>
      <x:c r="H47" s="77" t="e">
        <x:f aca="0">[1]!thsiFinD("ths_adjustment_nvg_ratio_fund",$B47,H$4,H$5,101)/100</x:f>
        <x:v>#NAME?</x:v>
      </x:c>
      <x:c r="I47" s="78" t="e">
        <x:f aca="0">-[1]!thsiFinD("ths_max_retrace_rate_all_fund",$B47,F$3,F$5)/100</x:f>
        <x:v>#NAME?</x:v>
      </x:c>
    </x:row>
    <x:row r="48" ht="13.800000190734863" hidden="0">
      <x:c r="A48" s="81" t="n">
        <x:v>10</x:v>
      </x:c>
      <x:c r="B48" s="82" t="s">
        <x:v>204</x:v>
      </x:c>
      <x:c r="C48" s="83" t="s">
        <x:v>205</x:v>
      </x:c>
      <x:c r="D48" s="94" t="n">
        <x:v>170</x:v>
      </x:c>
      <x:c r="E48" s="95" t="e">
        <x:f aca="0">[1]!thsiFinD("ths_adjustment_nvg_ratio_fund",$B48,E$4,E$5,101)/100</x:f>
        <x:v>#NAME?</x:v>
      </x:c>
      <x:c r="F48" s="95" t="e">
        <x:f aca="0">[1]!thsiFinD("ths_adjustment_nvg_ratio_fund",$B48,F$4,F$5,101)/100</x:f>
        <x:v>#NAME?</x:v>
      </x:c>
      <x:c r="G48" s="84" t="e">
        <x:f aca="0">[1]!thsiFinD("ths_adjustment_nvg_ratio_fund",$B48,G$4,G$5,101)/100</x:f>
        <x:v>#NAME?</x:v>
      </x:c>
      <x:c r="H48" s="84" t="e">
        <x:f aca="0">[1]!thsiFinD("ths_adjustment_nvg_ratio_fund",$B48,H$4,H$5,101)/100</x:f>
        <x:v>#NAME?</x:v>
      </x:c>
      <x:c r="I48" s="85" t="e">
        <x:f aca="0">-[1]!thsiFinD("ths_max_retrace_rate_all_fund",$B48,F$3,F$5)/100</x:f>
        <x:v>#NAME?</x:v>
      </x:c>
    </x:row>
    <x:row r="50" ht="14.149999618530273" hidden="0" customHeight="1">
      <x:c r="A50" s="96" t="s">
        <x:v>206</x:v>
      </x:c>
      <x:c r="B50" s="96"/>
      <x:c r="C50" s="96"/>
      <x:c r="D50" s="96"/>
      <x:c r="E50" s="96"/>
      <x:c r="F50" s="96"/>
      <x:c r="G50" s="96"/>
      <x:c r="H50" s="96"/>
      <x:c r="I50" s="96"/>
    </x:row>
    <x:row r="51" ht="14.149999618530273" hidden="0" customHeight="1">
      <x:c r="A51" s="96" t="s">
        <x:v>207</x:v>
      </x:c>
      <x:c r="B51" s="96"/>
      <x:c r="C51" s="96"/>
      <x:c r="D51" s="96"/>
      <x:c r="E51" s="96"/>
      <x:c r="F51" s="96"/>
      <x:c r="G51" s="96"/>
      <x:c r="H51" s="96"/>
      <x:c r="I51" s="96"/>
    </x:row>
    <x:row r="52" ht="14.149999618530273" hidden="0" customHeight="1">
      <x:c r="A52" s="96" t="str">
        <x:v>数据源：同花顺 iFinD；净值明细、组合净值和看板均已预铺公式并自动延伸至最新可用净值日。</x:v>
      </x:c>
      <x:c r="B52" s="96"/>
      <x:c r="C52" s="96"/>
      <x:c r="D52" s="96"/>
      <x:c r="E52" s="96"/>
      <x:c r="F52" s="96"/>
      <x:c r="G52" s="96"/>
      <x:c r="H52" s="96"/>
      <x:c r="I52" s="96"/>
    </x:row>
  </x:sheetData>
  <x:mergeCells>
    <x:mergeCell ref="C6:I6"/>
    <x:mergeCell ref="C21:I21"/>
    <x:mergeCell ref="C36:I36"/>
    <x:mergeCell ref="A50:I50"/>
    <x:mergeCell ref="A51:I51"/>
    <x:mergeCell ref="A52:I52"/>
  </x:mergeCells>
  <x:conditionalFormatting sqref="E39:I48">
    <x:cfRule type="cellIs" dxfId="23" priority="2" aboveAverage="0" percent="0" bottom="0" operator="greaterThan" rank="0" equalAverage="0">
      <x:formula>0</x:formula>
    </x:cfRule>
  </x:conditionalFormatting>
  <x:conditionalFormatting sqref="E38:I38">
    <x:cfRule type="cellIs" dxfId="24" priority="3" aboveAverage="0" percent="0" bottom="0" operator="greaterThan" rank="0" equalAverage="0">
      <x:formula>0</x:formula>
    </x:cfRule>
    <x:cfRule type="cellIs" dxfId="25" priority="4" aboveAverage="0" percent="0" bottom="0" operator="lessThan" rank="0" equalAverage="0">
      <x:formula>0</x:formula>
    </x:cfRule>
  </x:conditionalFormatting>
  <x:conditionalFormatting sqref="E24:I33">
    <x:cfRule type="cellIs" dxfId="26" priority="5" aboveAverage="0" percent="0" bottom="0" operator="greaterThan" rank="0" equalAverage="0">
      <x:formula>0</x:formula>
    </x:cfRule>
  </x:conditionalFormatting>
  <x:conditionalFormatting sqref="E23:I23">
    <x:cfRule type="cellIs" dxfId="27" priority="6" aboveAverage="0" percent="0" bottom="0" operator="greaterThan" rank="0" equalAverage="0">
      <x:formula>0</x:formula>
    </x:cfRule>
    <x:cfRule type="cellIs" dxfId="28" priority="7" aboveAverage="0" percent="0" bottom="0" operator="lessThan" rank="0" equalAverage="0">
      <x:formula>0</x:formula>
    </x:cfRule>
  </x:conditionalFormatting>
  <x:conditionalFormatting sqref="E9:I18">
    <x:cfRule type="cellIs" dxfId="29" priority="8" aboveAverage="0" percent="0" bottom="0" operator="greaterThan" rank="0" equalAverage="0">
      <x:formula>0</x:formula>
    </x:cfRule>
  </x:conditionalFormatting>
  <x:conditionalFormatting sqref="E8:I8">
    <x:cfRule type="cellIs" dxfId="30" priority="9" aboveAverage="0" percent="0" bottom="0" operator="greaterThan" rank="0" equalAverage="0">
      <x:formula>0</x:formula>
    </x:cfRule>
    <x:cfRule type="cellIs" dxfId="31" priority="10" aboveAverage="0" percent="0" bottom="0" operator="lessThan" rank="0" equalAverage="0">
      <x:formula>0</x:formula>
    </x:cfRule>
  </x:conditionalFormatting>
  <x:pageMargins left="0.7" right="0.7" top="0.75" bottom="0.75" header="0.3" footer="0.3"/>
  <x:drawing xmlns:r="http://schemas.openxmlformats.org/officeDocument/2006/relationships" r:id="Rb0dd81d49e5049f3"/>
  <x:tableParts count="1">
    <x:tablePart xmlns:r="http://schemas.openxmlformats.org/officeDocument/2006/relationships" r:id="Rdab1d4ee237e4975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0859375" defaultRowHeight="12"/>
  <x:cols>
    <x:col min="1" max="1" width="10.630000114440918" hidden="0" customWidth="1"/>
    <x:col min="19" max="19" width="12.180000305175781" hidden="0" customWidth="1"/>
  </x:cols>
  <x:sheetData>
    <x:row r="1" ht="12.649999618530273" hidden="0">
      <x:c r="A1" t="e">
        <x:f aca="0">[1]!HX_AutoDate(1,"2026-06-18",偏离度监控!B82,-1,-1,0,1,0,0,0,"SSE",63,0)</x:f>
        <x:v>#NAME?</x:v>
      </x:c>
      <x:c r="B1" s="97" t="s">
        <x:v>208</x:v>
      </x:c>
      <x:c r="C1" s="97" t="n">
        <x:v>1090</x:v>
      </x:c>
    </x:row>
    <x:row r="2" ht="12.649999618530273" hidden="0">
      <x:c r="A2" s="98" t="n">
        <x:v>46191</x:v>
      </x:c>
      <x:c r="B2" t="n">
        <x:v>1</x:v>
      </x:c>
    </x:row>
    <x:row r="3" ht="12.649999618530273" hidden="0">
      <x:c r="A3" s="98" t="n">
        <x:v>46195</x:v>
      </x:c>
      <x:c r="B3" t="n">
        <x:v>1.00089571</x:v>
      </x:c>
    </x:row>
    <x:row r="4" ht="12.649999618530273" hidden="0">
      <x:c r="A4" s="98" t="n">
        <x:v>46196</x:v>
      </x:c>
      <x:c r="B4" t="n">
        <x:v>0.99782281</x:v>
      </x:c>
    </x:row>
    <x:row r="5" ht="12.649999618530273" hidden="0">
      <x:c r="A5" s="98" t="n">
        <x:v>46197</x:v>
      </x:c>
      <x:c r="B5" t="n">
        <x:v>0.9997708</x:v>
      </x:c>
      <x:c r="C5" t="e">
        <x:f aca="0">'[2]1090账户投顾组合-数据视图-20260825'!B3</x:f>
        <x:v>#REF!</x:v>
      </x:c>
      <x:c r="G5" s="99" t="s">
        <x:v>209</x:v>
      </x:c>
    </x:row>
    <x:row r="6" ht="12.649999618530273" hidden="0">
      <x:c r="A6" s="98" t="n">
        <x:v>46198</x:v>
      </x:c>
      <x:c r="B6" t="n">
        <x:v>1.00127827</x:v>
      </x:c>
      <x:c r="C6" t="e">
        <x:f aca="0">'[2]1090账户投顾组合-数据视图-20260825'!B4</x:f>
        <x:v>#REF!</x:v>
      </x:c>
    </x:row>
    <x:row r="7" ht="12.649999618530273" hidden="0">
      <x:c r="A7" s="98" t="n">
        <x:v>46199</x:v>
      </x:c>
      <x:c r="B7" t="n">
        <x:v>0.99893009</x:v>
      </x:c>
      <x:c r="C7" t="e">
        <x:f aca="0">'[2]1090账户投顾组合-数据视图-20260825'!B5</x:f>
        <x:v>#REF!</x:v>
      </x:c>
    </x:row>
    <x:row r="8" ht="12.649999618530273" hidden="0">
      <x:c r="A8" s="98" t="n">
        <x:v>46202</x:v>
      </x:c>
      <x:c r="B8" t="n">
        <x:v>1.00052151</x:v>
      </x:c>
      <x:c r="C8" t="e">
        <x:f aca="0">'[2]1090账户投顾组合-数据视图-20260825'!B6</x:f>
        <x:v>#REF!</x:v>
      </x:c>
    </x:row>
    <x:row r="9" ht="12.649999618530273" hidden="0">
      <x:c r="A9" s="98" t="n">
        <x:v>46203</x:v>
      </x:c>
      <x:c r="B9" t="n">
        <x:v>1.00271066</x:v>
      </x:c>
      <x:c r="C9" t="e">
        <x:f aca="0">'[2]1090账户投顾组合-数据视图-20260825'!B7</x:f>
        <x:v>#REF!</x:v>
      </x:c>
    </x:row>
    <x:row r="10" ht="12.649999618530273" hidden="0">
      <x:c r="A10" s="98" t="n">
        <x:v>46204</x:v>
      </x:c>
      <x:c r="B10" t="n">
        <x:v>0.99998488</x:v>
      </x:c>
      <x:c r="C10" t="e">
        <x:f aca="0">'[2]1090账户投顾组合-数据视图-20260825'!B8</x:f>
        <x:v>#REF!</x:v>
      </x:c>
    </x:row>
    <x:row r="11" ht="12.649999618530273" hidden="0">
      <x:c r="A11" s="98" t="n">
        <x:v>46205</x:v>
      </x:c>
      <x:c r="B11" t="n">
        <x:v>0.99402933</x:v>
      </x:c>
      <x:c r="C11" t="e">
        <x:f aca="0">'[2]1090账户投顾组合-数据视图-20260825'!B9</x:f>
        <x:v>#REF!</x:v>
      </x:c>
    </x:row>
    <x:row r="12" ht="12.649999618530273" hidden="0">
      <x:c r="A12" s="98" t="n">
        <x:v>46206</x:v>
      </x:c>
      <x:c r="B12" t="n">
        <x:v>0.99491237</x:v>
      </x:c>
      <x:c r="C12" t="e">
        <x:f aca="0">'[2]1090账户投顾组合-数据视图-20260825'!B10</x:f>
        <x:v>#REF!</x:v>
      </x:c>
    </x:row>
    <x:row r="13" ht="12.649999618530273" hidden="0">
      <x:c r="A13" s="98" t="n">
        <x:v>46209</x:v>
      </x:c>
      <x:c r="B13" t="n">
        <x:v>0.99396984</x:v>
      </x:c>
      <x:c r="C13" t="e">
        <x:f aca="0">'[2]1090账户投顾组合-数据视图-20260825'!B11</x:f>
        <x:v>#REF!</x:v>
      </x:c>
    </x:row>
    <x:row r="14" ht="12.649999618530273" hidden="0">
      <x:c r="A14" s="98" t="n">
        <x:v>46210</x:v>
      </x:c>
      <x:c r="B14" t="n">
        <x:v>0.99336489</x:v>
      </x:c>
      <x:c r="C14" t="e">
        <x:f aca="0">'[2]1090账户投顾组合-数据视图-20260825'!B12</x:f>
        <x:v>#REF!</x:v>
      </x:c>
    </x:row>
    <x:row r="15" ht="12.649999618530273" hidden="0">
      <x:c r="A15" s="98" t="n">
        <x:v>46211</x:v>
      </x:c>
      <x:c r="B15" t="n">
        <x:v>0.99351509</x:v>
      </x:c>
      <x:c r="C15" t="e">
        <x:f aca="0">'[2]1090账户投顾组合-数据视图-20260825'!B13</x:f>
        <x:v>#REF!</x:v>
      </x:c>
    </x:row>
    <x:row r="16" ht="12.649999618530273" hidden="0">
      <x:c r="A16" s="98" t="n">
        <x:v>46212</x:v>
      </x:c>
      <x:c r="B16" t="n">
        <x:v>0.99860982</x:v>
      </x:c>
      <x:c r="C16" t="e">
        <x:f aca="0">'[2]1090账户投顾组合-数据视图-20260825'!B14</x:f>
        <x:v>#REF!</x:v>
      </x:c>
    </x:row>
    <x:row r="17" ht="12.649999618530273" hidden="0">
      <x:c r="A17" s="98" t="n">
        <x:v>46213</x:v>
      </x:c>
      <x:c r="B17" t="n">
        <x:v>0.99488466</x:v>
      </x:c>
      <x:c r="C17" t="e">
        <x:f aca="0">'[2]1090账户投顾组合-数据视图-20260825'!B15</x:f>
        <x:v>#REF!</x:v>
      </x:c>
    </x:row>
    <x:row r="18" ht="12.649999618530273" hidden="0">
      <x:c r="A18" s="98" t="n">
        <x:v>46216</x:v>
      </x:c>
      <x:c r="B18" t="n">
        <x:v>0.98970134</x:v>
      </x:c>
      <x:c r="C18" t="e">
        <x:f aca="0">'[2]1090账户投顾组合-数据视图-20260825'!B16</x:f>
        <x:v>#REF!</x:v>
      </x:c>
    </x:row>
    <x:row r="19" ht="12.649999618530273" hidden="0">
      <x:c r="A19" s="98" t="n">
        <x:v>46217</x:v>
      </x:c>
      <x:c r="B19" t="n">
        <x:v>0.99245271</x:v>
      </x:c>
      <x:c r="C19" t="e">
        <x:f aca="0">'[2]1090账户投顾组合-数据视图-20260825'!B17</x:f>
        <x:v>#REF!</x:v>
      </x:c>
      <x:c r="G19" s="100" t="s">
        <x:v>210</x:v>
      </x:c>
      <x:c r="H19" s="100" t="s">
        <x:v>211</x:v>
      </x:c>
      <x:c r="I19" s="100" t="s">
        <x:v>212</x:v>
      </x:c>
      <x:c r="J19" s="100" t="s">
        <x:v>213</x:v>
      </x:c>
      <x:c r="K19" s="100" t="s">
        <x:v>214</x:v>
      </x:c>
      <x:c r="L19" s="100" t="s">
        <x:v>215</x:v>
      </x:c>
      <x:c r="M19" s="100" t="s">
        <x:v>216</x:v>
      </x:c>
      <x:c r="N19" s="100" t="s">
        <x:v>217</x:v>
      </x:c>
      <x:c r="O19" s="100" t="s">
        <x:v>218</x:v>
      </x:c>
      <x:c r="P19" s="100" t="s">
        <x:v>219</x:v>
      </x:c>
      <x:c r="Q19" s="100" t="s">
        <x:v>220</x:v>
      </x:c>
      <x:c r="R19" s="100" t="s">
        <x:v>221</x:v>
      </x:c>
      <x:c r="S19" s="100" t="s">
        <x:v>222</x:v>
      </x:c>
      <x:c r="T19" s="100" t="s">
        <x:v>223</x:v>
      </x:c>
    </x:row>
    <x:row r="20" ht="12.649999618530273" hidden="0">
      <x:c r="A20" s="98" t="n">
        <x:v>46218</x:v>
      </x:c>
      <x:c r="B20" t="n">
        <x:v>0.99005834</x:v>
      </x:c>
      <x:c r="C20" t="e">
        <x:f aca="0">'[2]1090账户投顾组合-数据视图-20260825'!B18</x:f>
        <x:v>#REF!</x:v>
      </x:c>
      <x:c r="G20" s="100" t="s">
        <x:v>224</x:v>
      </x:c>
      <x:c r="H20" s="101" t="s">
        <x:v>225</x:v>
      </x:c>
      <x:c r="I20" s="101" t="s">
        <x:v>226</x:v>
      </x:c>
      <x:c r="J20" s="101" t="s">
        <x:v>227</x:v>
      </x:c>
      <x:c r="K20" s="101" t="s">
        <x:v>228</x:v>
      </x:c>
      <x:c r="L20" s="101" t="s">
        <x:v>229</x:v>
      </x:c>
      <x:c r="M20" s="101" t="s">
        <x:v>230</x:v>
      </x:c>
      <x:c r="N20" s="101" t="s">
        <x:v>228</x:v>
      </x:c>
      <x:c r="O20" s="101" t="s">
        <x:v>228</x:v>
      </x:c>
      <x:c r="P20" s="101" t="s">
        <x:v>228</x:v>
      </x:c>
      <x:c r="Q20" s="101" t="s">
        <x:v>228</x:v>
      </x:c>
      <x:c r="R20" s="101" t="s">
        <x:v>228</x:v>
      </x:c>
      <x:c r="S20" s="101" t="s">
        <x:v>228</x:v>
      </x:c>
      <x:c r="T20" s="101" t="s">
        <x:v>228</x:v>
      </x:c>
    </x:row>
    <x:row r="21" ht="12.649999618530273" hidden="0">
      <x:c r="A21" s="98" t="n">
        <x:v>46219</x:v>
      </x:c>
      <x:c r="B21" t="n">
        <x:v>0.98597556</x:v>
      </x:c>
      <x:c r="C21" t="e">
        <x:f aca="0">'[2]1090账户投顾组合-数据视图-20260825'!B19</x:f>
        <x:v>#REF!</x:v>
      </x:c>
      <x:c r="G21" s="100" t="s">
        <x:v>231</x:v>
      </x:c>
      <x:c r="H21" s="101" t="s">
        <x:v>232</x:v>
      </x:c>
      <x:c r="I21" s="101" t="s">
        <x:v>233</x:v>
      </x:c>
      <x:c r="J21" s="101" t="s">
        <x:v>234</x:v>
      </x:c>
      <x:c r="K21" s="101" t="s">
        <x:v>235</x:v>
      </x:c>
      <x:c r="L21" s="101" t="s">
        <x:v>236</x:v>
      </x:c>
      <x:c r="M21" s="101" t="s">
        <x:v>237</x:v>
      </x:c>
      <x:c r="N21" s="101" t="s">
        <x:v>235</x:v>
      </x:c>
      <x:c r="O21" s="101" t="s">
        <x:v>235</x:v>
      </x:c>
      <x:c r="P21" s="101" t="s">
        <x:v>235</x:v>
      </x:c>
      <x:c r="Q21" s="101" t="s">
        <x:v>235</x:v>
      </x:c>
      <x:c r="R21" s="101" t="s">
        <x:v>235</x:v>
      </x:c>
      <x:c r="S21" s="101" t="s">
        <x:v>235</x:v>
      </x:c>
      <x:c r="T21" s="101" t="s">
        <x:v>235</x:v>
      </x:c>
    </x:row>
    <x:row r="22" ht="12.649999618530273" hidden="0">
      <x:c r="A22" s="98" t="n">
        <x:v>46220</x:v>
      </x:c>
      <x:c r="B22" t="n">
        <x:v>0.97886372</x:v>
      </x:c>
      <x:c r="C22" t="e">
        <x:f aca="0">'[2]1090账户投顾组合-数据视图-20260825'!B20</x:f>
        <x:v>#REF!</x:v>
      </x:c>
      <x:c r="G22" s="100" t="s">
        <x:v>238</x:v>
      </x:c>
      <x:c r="H22" s="101" t="s">
        <x:v>239</x:v>
      </x:c>
      <x:c r="I22" s="101" t="s">
        <x:v>240</x:v>
      </x:c>
      <x:c r="J22" s="101" t="s">
        <x:v>241</x:v>
      </x:c>
      <x:c r="K22" s="101" t="s">
        <x:v>242</x:v>
      </x:c>
      <x:c r="L22" s="101" t="s">
        <x:v>243</x:v>
      </x:c>
      <x:c r="M22" s="101" t="s">
        <x:v>244</x:v>
      </x:c>
      <x:c r="N22" s="101" t="s">
        <x:v>242</x:v>
      </x:c>
      <x:c r="O22" s="101" t="s">
        <x:v>242</x:v>
      </x:c>
      <x:c r="P22" s="101" t="s">
        <x:v>242</x:v>
      </x:c>
      <x:c r="Q22" s="101" t="s">
        <x:v>242</x:v>
      </x:c>
      <x:c r="R22" s="101" t="s">
        <x:v>242</x:v>
      </x:c>
      <x:c r="S22" s="101" t="s">
        <x:v>242</x:v>
      </x:c>
      <x:c r="T22" s="101" t="s">
        <x:v>242</x:v>
      </x:c>
    </x:row>
    <x:row r="23" ht="12.649999618530273" hidden="0">
      <x:c r="A23" s="98" t="n">
        <x:v>46223</x:v>
      </x:c>
      <x:c r="B23" t="n">
        <x:v>0.9753755</x:v>
      </x:c>
      <x:c r="C23" t="e">
        <x:f aca="0">'[2]1090账户投顾组合-数据视图-20260825'!B21</x:f>
        <x:v>#REF!</x:v>
      </x:c>
      <x:c r="G23" s="100" t="s">
        <x:v>245</x:v>
      </x:c>
      <x:c r="H23" s="101" t="s">
        <x:v>246</x:v>
      </x:c>
      <x:c r="I23" s="101" t="s">
        <x:v>247</x:v>
      </x:c>
      <x:c r="J23" s="101" t="s">
        <x:v>248</x:v>
      </x:c>
      <x:c r="K23" s="101" t="s">
        <x:v>249</x:v>
      </x:c>
      <x:c r="L23" s="101" t="s">
        <x:v>250</x:v>
      </x:c>
      <x:c r="M23" s="101" t="s">
        <x:v>251</x:v>
      </x:c>
      <x:c r="N23" s="101" t="s">
        <x:v>249</x:v>
      </x:c>
      <x:c r="O23" s="101" t="s">
        <x:v>249</x:v>
      </x:c>
      <x:c r="P23" s="101" t="s">
        <x:v>249</x:v>
      </x:c>
      <x:c r="Q23" s="101" t="s">
        <x:v>249</x:v>
      </x:c>
      <x:c r="R23" s="101" t="s">
        <x:v>249</x:v>
      </x:c>
      <x:c r="S23" s="101" t="s">
        <x:v>249</x:v>
      </x:c>
      <x:c r="T23" s="101" t="s">
        <x:v>249</x:v>
      </x:c>
    </x:row>
    <x:row r="24" ht="12.649999618530273" hidden="0">
      <x:c r="A24" s="98" t="n">
        <x:v>46224</x:v>
      </x:c>
      <x:c r="B24" t="n">
        <x:v>0.98437008</x:v>
      </x:c>
      <x:c r="C24" t="e">
        <x:f aca="0">'[2]1090账户投顾组合-数据视图-20260825'!B22</x:f>
        <x:v>#REF!</x:v>
      </x:c>
      <x:c r="G24" s="100" t="s">
        <x:v>252</x:v>
      </x:c>
      <x:c r="H24" s="101" t="s">
        <x:v>225</x:v>
      </x:c>
      <x:c r="I24" s="101" t="s">
        <x:v>253</x:v>
      </x:c>
      <x:c r="J24" s="101" t="s">
        <x:v>227</x:v>
      </x:c>
      <x:c r="K24" s="101" t="s">
        <x:v>227</x:v>
      </x:c>
      <x:c r="L24" s="101" t="s">
        <x:v>253</x:v>
      </x:c>
      <x:c r="M24" s="101" t="s">
        <x:v>253</x:v>
      </x:c>
      <x:c r="N24" s="101" t="s">
        <x:v>227</x:v>
      </x:c>
      <x:c r="O24" s="101" t="s">
        <x:v>227</x:v>
      </x:c>
      <x:c r="P24" s="101" t="s">
        <x:v>227</x:v>
      </x:c>
      <x:c r="Q24" s="101" t="s">
        <x:v>227</x:v>
      </x:c>
      <x:c r="R24" s="101" t="s">
        <x:v>227</x:v>
      </x:c>
      <x:c r="S24" s="101" t="s">
        <x:v>227</x:v>
      </x:c>
      <x:c r="T24" s="101" t="s">
        <x:v>227</x:v>
      </x:c>
    </x:row>
    <x:row r="25" ht="12.649999618530273" hidden="0">
      <x:c r="A25" s="98" t="n">
        <x:v>46225</x:v>
      </x:c>
      <x:c r="B25" t="n">
        <x:v>0.98402324</x:v>
      </x:c>
      <x:c r="C25" t="e">
        <x:f aca="0">'[2]1090账户投顾组合-数据视图-20260825'!B23</x:f>
        <x:v>#REF!</x:v>
      </x:c>
      <x:c r="G25" s="100" t="s">
        <x:v>254</x:v>
      </x:c>
      <x:c r="H25" s="101" t="s">
        <x:v>225</x:v>
      </x:c>
      <x:c r="I25" s="101" t="s">
        <x:v>255</x:v>
      </x:c>
      <x:c r="J25" s="101" t="s">
        <x:v>256</x:v>
      </x:c>
      <x:c r="K25" s="101" t="s">
        <x:v>256</x:v>
      </x:c>
      <x:c r="L25" s="101" t="s">
        <x:v>255</x:v>
      </x:c>
      <x:c r="M25" s="101" t="s">
        <x:v>257</x:v>
      </x:c>
      <x:c r="N25" s="101" t="s">
        <x:v>256</x:v>
      </x:c>
      <x:c r="O25" s="101" t="s">
        <x:v>256</x:v>
      </x:c>
      <x:c r="P25" s="101" t="s">
        <x:v>256</x:v>
      </x:c>
      <x:c r="Q25" s="101" t="s">
        <x:v>256</x:v>
      </x:c>
      <x:c r="R25" s="101" t="s">
        <x:v>256</x:v>
      </x:c>
      <x:c r="S25" s="102" t="n">
        <x:v>-0.0289</x:v>
      </x:c>
      <x:c r="T25" s="101" t="s">
        <x:v>256</x:v>
      </x:c>
    </x:row>
    <x:row r="26" ht="12.649999618530273" hidden="0">
      <x:c r="A26" s="98" t="n">
        <x:v>46226</x:v>
      </x:c>
      <x:c r="B26" t="n">
        <x:v>0.98279921</x:v>
      </x:c>
      <x:c r="C26" t="e">
        <x:f aca="0">'[2]1090账户投顾组合-数据视图-20260825'!B24</x:f>
        <x:v>#REF!</x:v>
      </x:c>
      <x:c r="G26" s="100" t="s">
        <x:v>258</x:v>
      </x:c>
      <x:c r="H26" s="101" t="s">
        <x:v>259</x:v>
      </x:c>
      <x:c r="I26" s="101" t="s">
        <x:v>260</x:v>
      </x:c>
      <x:c r="J26" s="101" t="s">
        <x:v>259</x:v>
      </x:c>
      <x:c r="K26" s="101" t="s">
        <x:v>261</x:v>
      </x:c>
      <x:c r="L26" s="101" t="s">
        <x:v>259</x:v>
      </x:c>
      <x:c r="M26" s="101" t="s">
        <x:v>262</x:v>
      </x:c>
      <x:c r="N26" s="101" t="s">
        <x:v>261</x:v>
      </x:c>
      <x:c r="O26" s="101" t="s">
        <x:v>261</x:v>
      </x:c>
      <x:c r="P26" s="101" t="s">
        <x:v>261</x:v>
      </x:c>
      <x:c r="Q26" s="101" t="s">
        <x:v>261</x:v>
      </x:c>
      <x:c r="R26" s="101" t="s">
        <x:v>261</x:v>
      </x:c>
      <x:c r="S26" s="101" t="s">
        <x:v>261</x:v>
      </x:c>
      <x:c r="T26" s="101" t="s">
        <x:v>261</x:v>
      </x:c>
    </x:row>
    <x:row r="27" ht="12.649999618530273" hidden="0">
      <x:c r="A27" s="98" t="n">
        <x:v>46227</x:v>
      </x:c>
      <x:c r="B27" t="n">
        <x:v>0.98152946</x:v>
      </x:c>
      <x:c r="C27" t="e">
        <x:f aca="0">'[2]1090账户投顾组合-数据视图-20260825'!B25</x:f>
        <x:v>#REF!</x:v>
      </x:c>
      <x:c r="G27" s="100" t="s">
        <x:v>263</x:v>
      </x:c>
      <x:c r="H27" s="101" t="s">
        <x:v>264</x:v>
      </x:c>
      <x:c r="I27" s="101" t="s">
        <x:v>265</x:v>
      </x:c>
      <x:c r="J27" s="101" t="s">
        <x:v>266</x:v>
      </x:c>
      <x:c r="K27" s="101" t="s">
        <x:v>267</x:v>
      </x:c>
      <x:c r="L27" s="101" t="s">
        <x:v>268</x:v>
      </x:c>
      <x:c r="M27" s="101" t="s">
        <x:v>269</x:v>
      </x:c>
      <x:c r="N27" s="101" t="s">
        <x:v>267</x:v>
      </x:c>
      <x:c r="O27" s="101" t="s">
        <x:v>267</x:v>
      </x:c>
      <x:c r="P27" s="101" t="s">
        <x:v>267</x:v>
      </x:c>
      <x:c r="Q27" s="101" t="s">
        <x:v>267</x:v>
      </x:c>
      <x:c r="R27" s="101" t="s">
        <x:v>267</x:v>
      </x:c>
      <x:c r="S27" s="101" t="s">
        <x:v>267</x:v>
      </x:c>
      <x:c r="T27" s="101" t="s">
        <x:v>267</x:v>
      </x:c>
    </x:row>
    <x:row r="28" ht="12.649999618530273" hidden="0">
      <x:c r="A28" s="98" t="n">
        <x:v>46230</x:v>
      </x:c>
      <x:c r="B28" t="n">
        <x:v>0.98516413</x:v>
      </x:c>
      <x:c r="C28" t="e">
        <x:f aca="0">'[2]1090账户投顾组合-数据视图-20260825'!B26</x:f>
        <x:v>#REF!</x:v>
      </x:c>
      <x:c r="G28" s="100" t="s">
        <x:v>270</x:v>
      </x:c>
      <x:c r="H28" s="100" t="s">
        <x:v>271</x:v>
      </x:c>
      <x:c r="I28" s="100" t="s">
        <x:v>271</x:v>
      </x:c>
      <x:c r="J28" s="100" t="s">
        <x:v>271</x:v>
      </x:c>
      <x:c r="K28" s="100" t="s">
        <x:v>271</x:v>
      </x:c>
      <x:c r="L28" s="100" t="s">
        <x:v>271</x:v>
      </x:c>
      <x:c r="M28" s="101" t="s">
        <x:v>272</x:v>
      </x:c>
      <x:c r="N28" s="100" t="s">
        <x:v>271</x:v>
      </x:c>
      <x:c r="O28" s="100" t="s">
        <x:v>271</x:v>
      </x:c>
      <x:c r="P28" s="100" t="s">
        <x:v>271</x:v>
      </x:c>
      <x:c r="Q28" s="100" t="s">
        <x:v>271</x:v>
      </x:c>
      <x:c r="R28" s="100" t="s">
        <x:v>271</x:v>
      </x:c>
      <x:c r="S28" s="100" t="s">
        <x:v>271</x:v>
      </x:c>
      <x:c r="T28" s="100" t="s">
        <x:v>271</x:v>
      </x:c>
    </x:row>
    <x:row r="29" ht="12.649999618530273" hidden="0">
      <x:c r="A29" s="98" t="n">
        <x:v>46231</x:v>
      </x:c>
      <x:c r="B29" t="n">
        <x:v>0.97865577</x:v>
      </x:c>
      <x:c r="C29" t="e">
        <x:f aca="0">'[2]1090账户投顾组合-数据视图-20260825'!B27</x:f>
        <x:v>#REF!</x:v>
      </x:c>
      <x:c r="G29" s="100" t="s">
        <x:v>273</x:v>
      </x:c>
      <x:c r="H29" s="101" t="s">
        <x:v>232</x:v>
      </x:c>
      <x:c r="I29" s="101" t="s">
        <x:v>274</x:v>
      </x:c>
      <x:c r="J29" s="101" t="s">
        <x:v>274</x:v>
      </x:c>
      <x:c r="K29" s="101" t="s">
        <x:v>274</x:v>
      </x:c>
      <x:c r="L29" s="101" t="s">
        <x:v>274</x:v>
      </x:c>
      <x:c r="M29" s="101" t="s">
        <x:v>274</x:v>
      </x:c>
      <x:c r="N29" s="101" t="s">
        <x:v>274</x:v>
      </x:c>
      <x:c r="O29" s="101" t="s">
        <x:v>274</x:v>
      </x:c>
      <x:c r="P29" s="101" t="s">
        <x:v>274</x:v>
      </x:c>
      <x:c r="Q29" s="101" t="s">
        <x:v>274</x:v>
      </x:c>
      <x:c r="R29" s="101" t="s">
        <x:v>274</x:v>
      </x:c>
      <x:c r="S29" s="101" t="s">
        <x:v>274</x:v>
      </x:c>
      <x:c r="T29" s="101" t="s">
        <x:v>274</x:v>
      </x:c>
    </x:row>
    <x:row r="30" ht="12.649999618530273" hidden="0">
      <x:c r="A30" s="98" t="n">
        <x:v>46232</x:v>
      </x:c>
      <x:c r="B30" t="n">
        <x:v>0.97811843</x:v>
      </x:c>
      <x:c r="C30" t="e">
        <x:f aca="0">'[2]1090账户投顾组合-数据视图-20260825'!B28</x:f>
        <x:v>#REF!</x:v>
      </x:c>
      <x:c r="G30" s="100" t="s">
        <x:v>275</x:v>
      </x:c>
      <x:c r="H30" s="101" t="s">
        <x:v>232</x:v>
      </x:c>
      <x:c r="I30" s="101" t="s">
        <x:v>276</x:v>
      </x:c>
      <x:c r="J30" s="101" t="s">
        <x:v>277</x:v>
      </x:c>
      <x:c r="K30" s="101" t="s">
        <x:v>277</x:v>
      </x:c>
      <x:c r="L30" s="101" t="s">
        <x:v>276</x:v>
      </x:c>
      <x:c r="M30" s="101" t="s">
        <x:v>278</x:v>
      </x:c>
      <x:c r="N30" s="101" t="s">
        <x:v>277</x:v>
      </x:c>
      <x:c r="O30" s="101" t="s">
        <x:v>277</x:v>
      </x:c>
      <x:c r="P30" s="101" t="s">
        <x:v>277</x:v>
      </x:c>
      <x:c r="Q30" s="101" t="s">
        <x:v>277</x:v>
      </x:c>
      <x:c r="R30" s="101" t="s">
        <x:v>277</x:v>
      </x:c>
      <x:c r="S30" s="101" t="s">
        <x:v>277</x:v>
      </x:c>
      <x:c r="T30" s="101" t="s">
        <x:v>277</x:v>
      </x:c>
    </x:row>
    <x:row r="31" ht="12.649999618530273" hidden="0">
      <x:c r="A31" s="98" t="n">
        <x:v>46233</x:v>
      </x:c>
      <x:c r="B31" t="n">
        <x:v>0.97376326</x:v>
      </x:c>
      <x:c r="C31" t="e">
        <x:f aca="0">'[2]1090账户投顾组合-数据视图-20260825'!B29</x:f>
        <x:v>#REF!</x:v>
      </x:c>
      <x:c r="G31" s="100" t="s">
        <x:v>279</x:v>
      </x:c>
      <x:c r="H31" s="101" t="s">
        <x:v>280</x:v>
      </x:c>
      <x:c r="I31" s="101" t="s">
        <x:v>281</x:v>
      </x:c>
      <x:c r="J31" s="101" t="s">
        <x:v>282</x:v>
      </x:c>
      <x:c r="K31" s="101" t="s">
        <x:v>283</x:v>
      </x:c>
      <x:c r="L31" s="101" t="s">
        <x:v>284</x:v>
      </x:c>
      <x:c r="M31" s="101" t="s">
        <x:v>285</x:v>
      </x:c>
      <x:c r="N31" s="101" t="s">
        <x:v>283</x:v>
      </x:c>
      <x:c r="O31" s="101" t="s">
        <x:v>283</x:v>
      </x:c>
      <x:c r="P31" s="101" t="s">
        <x:v>283</x:v>
      </x:c>
      <x:c r="Q31" s="101" t="s">
        <x:v>283</x:v>
      </x:c>
      <x:c r="R31" s="101" t="s">
        <x:v>283</x:v>
      </x:c>
      <x:c r="S31" s="101" t="s">
        <x:v>283</x:v>
      </x:c>
      <x:c r="T31" s="101" t="s">
        <x:v>283</x:v>
      </x:c>
    </x:row>
    <x:row r="32" ht="12.649999618530273" hidden="0">
      <x:c r="A32" s="98" t="n">
        <x:v>46234</x:v>
      </x:c>
      <x:c r="B32" t="n">
        <x:v>0.97705802</x:v>
      </x:c>
      <x:c r="C32" t="e">
        <x:f aca="0">'[2]1090账户投顾组合-数据视图-20260825'!B30</x:f>
        <x:v>#REF!</x:v>
      </x:c>
      <x:c r="G32" s="100" t="s">
        <x:v>286</x:v>
      </x:c>
      <x:c r="H32" s="101" t="s">
        <x:v>280</x:v>
      </x:c>
      <x:c r="I32" s="101" t="s">
        <x:v>287</x:v>
      </x:c>
      <x:c r="J32" s="101" t="s">
        <x:v>288</x:v>
      </x:c>
      <x:c r="K32" s="101" t="s">
        <x:v>289</x:v>
      </x:c>
      <x:c r="L32" s="101" t="s">
        <x:v>290</x:v>
      </x:c>
      <x:c r="M32" s="101" t="s">
        <x:v>291</x:v>
      </x:c>
      <x:c r="N32" s="101" t="s">
        <x:v>289</x:v>
      </x:c>
      <x:c r="O32" s="101" t="s">
        <x:v>289</x:v>
      </x:c>
      <x:c r="P32" s="101" t="s">
        <x:v>289</x:v>
      </x:c>
      <x:c r="Q32" s="101" t="s">
        <x:v>289</x:v>
      </x:c>
      <x:c r="R32" s="101" t="s">
        <x:v>289</x:v>
      </x:c>
      <x:c r="S32" s="101" t="s">
        <x:v>289</x:v>
      </x:c>
      <x:c r="T32" s="101" t="s">
        <x:v>289</x:v>
      </x:c>
    </x:row>
    <x:row r="33" ht="12.649999618530273" hidden="0">
      <x:c r="A33" s="98" t="n">
        <x:v>46237</x:v>
      </x:c>
      <x:c r="B33" t="n">
        <x:v>0.97469599</x:v>
      </x:c>
      <x:c r="C33" t="e">
        <x:f aca="0">'[2]1090账户投顾组合-数据视图-20260825'!B31</x:f>
        <x:v>#REF!</x:v>
      </x:c>
      <x:c r="G33" s="100" t="s">
        <x:v>292</x:v>
      </x:c>
      <x:c r="H33" s="101" t="s">
        <x:v>280</x:v>
      </x:c>
      <x:c r="I33" s="101" t="s">
        <x:v>293</x:v>
      </x:c>
      <x:c r="J33" s="101" t="s">
        <x:v>294</x:v>
      </x:c>
      <x:c r="K33" s="101" t="s">
        <x:v>295</x:v>
      </x:c>
      <x:c r="L33" s="101" t="s">
        <x:v>296</x:v>
      </x:c>
      <x:c r="M33" s="101" t="s">
        <x:v>297</x:v>
      </x:c>
      <x:c r="N33" s="101" t="s">
        <x:v>295</x:v>
      </x:c>
      <x:c r="O33" s="101" t="s">
        <x:v>295</x:v>
      </x:c>
      <x:c r="P33" s="101" t="s">
        <x:v>295</x:v>
      </x:c>
      <x:c r="Q33" s="101" t="s">
        <x:v>295</x:v>
      </x:c>
      <x:c r="R33" s="101" t="s">
        <x:v>295</x:v>
      </x:c>
      <x:c r="S33" s="101" t="s">
        <x:v>295</x:v>
      </x:c>
      <x:c r="T33" s="101" t="s">
        <x:v>295</x:v>
      </x:c>
    </x:row>
    <x:row r="34" ht="12.649999618530273" hidden="0">
      <x:c r="A34" s="98" t="n">
        <x:v>46238</x:v>
      </x:c>
      <x:c r="B34" t="n">
        <x:v>0.97954497</x:v>
      </x:c>
      <x:c r="C34" t="e">
        <x:f aca="0">'[2]1090账户投顾组合-数据视图-20260825'!B32</x:f>
        <x:v>#REF!</x:v>
      </x:c>
      <x:c r="G34" s="100" t="s">
        <x:v>298</x:v>
      </x:c>
      <x:c r="H34" s="101" t="s">
        <x:v>280</x:v>
      </x:c>
      <x:c r="I34" s="101" t="s">
        <x:v>299</x:v>
      </x:c>
      <x:c r="J34" s="101" t="s">
        <x:v>300</x:v>
      </x:c>
      <x:c r="K34" s="101" t="s">
        <x:v>301</x:v>
      </x:c>
      <x:c r="L34" s="101" t="s">
        <x:v>302</x:v>
      </x:c>
      <x:c r="M34" s="101" t="s">
        <x:v>303</x:v>
      </x:c>
      <x:c r="N34" s="101" t="s">
        <x:v>301</x:v>
      </x:c>
      <x:c r="O34" s="101" t="s">
        <x:v>301</x:v>
      </x:c>
      <x:c r="P34" s="101" t="s">
        <x:v>301</x:v>
      </x:c>
      <x:c r="Q34" s="101" t="s">
        <x:v>301</x:v>
      </x:c>
      <x:c r="R34" s="101" t="s">
        <x:v>301</x:v>
      </x:c>
      <x:c r="S34" s="101" t="s">
        <x:v>301</x:v>
      </x:c>
      <x:c r="T34" s="101" t="s">
        <x:v>301</x:v>
      </x:c>
    </x:row>
    <x:row r="35" ht="12.649999618530273" hidden="0">
      <x:c r="A35" s="98" t="n">
        <x:v>46239</x:v>
      </x:c>
      <x:c r="B35" t="n">
        <x:v>0.98421564</x:v>
      </x:c>
      <x:c r="C35" t="e">
        <x:f aca="0">'[2]1090账户投顾组合-数据视图-20260825'!B33</x:f>
        <x:v>#REF!</x:v>
      </x:c>
      <x:c r="G35" s="100" t="s">
        <x:v>304</x:v>
      </x:c>
      <x:c r="H35" s="101" t="s">
        <x:v>280</x:v>
      </x:c>
      <x:c r="I35" s="101" t="s">
        <x:v>305</x:v>
      </x:c>
      <x:c r="J35" s="101" t="s">
        <x:v>306</x:v>
      </x:c>
      <x:c r="K35" s="101" t="s">
        <x:v>307</x:v>
      </x:c>
      <x:c r="L35" s="101" t="s">
        <x:v>308</x:v>
      </x:c>
      <x:c r="M35" s="101" t="s">
        <x:v>309</x:v>
      </x:c>
      <x:c r="N35" s="101" t="s">
        <x:v>307</x:v>
      </x:c>
      <x:c r="O35" s="101" t="s">
        <x:v>307</x:v>
      </x:c>
      <x:c r="P35" s="101" t="s">
        <x:v>307</x:v>
      </x:c>
      <x:c r="Q35" s="101" t="s">
        <x:v>307</x:v>
      </x:c>
      <x:c r="R35" s="101" t="s">
        <x:v>307</x:v>
      </x:c>
      <x:c r="S35" s="101" t="s">
        <x:v>307</x:v>
      </x:c>
      <x:c r="T35" s="101" t="s">
        <x:v>307</x:v>
      </x:c>
    </x:row>
    <x:row r="36" ht="12.649999618530273" hidden="0">
      <x:c r="A36" s="98" t="n">
        <x:v>46240</x:v>
      </x:c>
      <x:c r="B36" t="n">
        <x:v>0.98658983</x:v>
      </x:c>
      <x:c r="C36" t="e">
        <x:f aca="0">'[2]1090账户投顾组合-数据视图-20260825'!B34</x:f>
        <x:v>#REF!</x:v>
      </x:c>
      <x:c r="G36" s="100" t="s">
        <x:v>310</x:v>
      </x:c>
      <x:c r="H36" s="101" t="s">
        <x:v>280</x:v>
      </x:c>
      <x:c r="I36" s="101" t="s">
        <x:v>311</x:v>
      </x:c>
      <x:c r="J36" s="101" t="s">
        <x:v>312</x:v>
      </x:c>
      <x:c r="K36" s="101" t="s">
        <x:v>313</x:v>
      </x:c>
      <x:c r="L36" s="101" t="s">
        <x:v>314</x:v>
      </x:c>
      <x:c r="M36" s="101" t="s">
        <x:v>315</x:v>
      </x:c>
      <x:c r="N36" s="101" t="s">
        <x:v>313</x:v>
      </x:c>
      <x:c r="O36" s="101" t="s">
        <x:v>313</x:v>
      </x:c>
      <x:c r="P36" s="101" t="s">
        <x:v>313</x:v>
      </x:c>
      <x:c r="Q36" s="101" t="s">
        <x:v>313</x:v>
      </x:c>
      <x:c r="R36" s="101" t="s">
        <x:v>313</x:v>
      </x:c>
      <x:c r="S36" s="101" t="s">
        <x:v>313</x:v>
      </x:c>
      <x:c r="T36" s="101" t="s">
        <x:v>313</x:v>
      </x:c>
    </x:row>
    <x:row r="37" ht="12.649999618530273" hidden="0">
      <x:c r="A37" s="98" t="n">
        <x:v>46241</x:v>
      </x:c>
      <x:c r="B37" t="n">
        <x:v>0.9897759</x:v>
      </x:c>
      <x:c r="C37" t="e">
        <x:f aca="0">'[2]1090账户投顾组合-数据视图-20260825'!B35</x:f>
        <x:v>#REF!</x:v>
      </x:c>
      <x:c r="G37" s="100" t="s">
        <x:v>316</x:v>
      </x:c>
      <x:c r="H37" s="101" t="s">
        <x:v>317</x:v>
      </x:c>
      <x:c r="I37" s="101" t="s">
        <x:v>318</x:v>
      </x:c>
      <x:c r="J37" s="101" t="s">
        <x:v>319</x:v>
      </x:c>
      <x:c r="K37" s="101" t="s">
        <x:v>320</x:v>
      </x:c>
      <x:c r="L37" s="101" t="s">
        <x:v>321</x:v>
      </x:c>
      <x:c r="M37" s="101" t="s">
        <x:v>322</x:v>
      </x:c>
      <x:c r="N37" s="101" t="s">
        <x:v>320</x:v>
      </x:c>
      <x:c r="O37" s="101" t="s">
        <x:v>320</x:v>
      </x:c>
      <x:c r="P37" s="101" t="s">
        <x:v>320</x:v>
      </x:c>
      <x:c r="Q37" s="101" t="s">
        <x:v>320</x:v>
      </x:c>
      <x:c r="R37" s="101" t="s">
        <x:v>320</x:v>
      </x:c>
      <x:c r="S37" s="101" t="s">
        <x:v>320</x:v>
      </x:c>
      <x:c r="T37" s="101" t="s">
        <x:v>320</x:v>
      </x:c>
    </x:row>
    <x:row r="38" ht="12.649999618530273" hidden="0">
      <x:c r="A38" s="98" t="n">
        <x:v>46244</x:v>
      </x:c>
      <x:c r="B38" t="n">
        <x:v>0.99185254</x:v>
      </x:c>
      <x:c r="C38" t="e">
        <x:f aca="0">'[2]1090账户投顾组合-数据视图-20260825'!B36</x:f>
        <x:v>#REF!</x:v>
      </x:c>
      <x:c r="G38" s="100" t="s">
        <x:v>323</x:v>
      </x:c>
      <x:c r="H38" s="101" t="s">
        <x:v>280</x:v>
      </x:c>
      <x:c r="I38" s="101" t="s">
        <x:v>280</x:v>
      </x:c>
      <x:c r="J38" s="101" t="s">
        <x:v>280</x:v>
      </x:c>
      <x:c r="K38" s="101" t="s">
        <x:v>280</x:v>
      </x:c>
      <x:c r="L38" s="101" t="s">
        <x:v>280</x:v>
      </x:c>
      <x:c r="M38" s="101" t="s">
        <x:v>280</x:v>
      </x:c>
      <x:c r="N38" s="101" t="s">
        <x:v>280</x:v>
      </x:c>
      <x:c r="O38" s="101" t="s">
        <x:v>280</x:v>
      </x:c>
      <x:c r="P38" s="101" t="s">
        <x:v>280</x:v>
      </x:c>
      <x:c r="Q38" s="101" t="s">
        <x:v>280</x:v>
      </x:c>
      <x:c r="R38" s="101" t="s">
        <x:v>280</x:v>
      </x:c>
      <x:c r="S38" s="101" t="s">
        <x:v>280</x:v>
      </x:c>
      <x:c r="T38" s="101" t="s">
        <x:v>280</x:v>
      </x:c>
    </x:row>
    <x:row r="39" ht="12.649999618530273" hidden="0">
      <x:c r="A39" s="98" t="n">
        <x:v>46245</x:v>
      </x:c>
      <x:c r="B39" t="n">
        <x:v>0.99059756</x:v>
      </x:c>
      <x:c r="C39" t="e">
        <x:f aca="0">'[2]1090账户投顾组合-数据视图-20260825'!B37</x:f>
        <x:v>#REF!</x:v>
      </x:c>
      <x:c r="G39" s="100" t="s">
        <x:v>324</x:v>
      </x:c>
      <x:c r="H39" s="101" t="s">
        <x:v>280</x:v>
      </x:c>
      <x:c r="I39" s="101" t="s">
        <x:v>325</x:v>
      </x:c>
      <x:c r="J39" s="101" t="s">
        <x:v>326</x:v>
      </x:c>
      <x:c r="K39" s="101" t="s">
        <x:v>327</x:v>
      </x:c>
      <x:c r="L39" s="101" t="s">
        <x:v>328</x:v>
      </x:c>
      <x:c r="M39" s="101" t="s">
        <x:v>329</x:v>
      </x:c>
      <x:c r="N39" s="101" t="s">
        <x:v>327</x:v>
      </x:c>
      <x:c r="O39" s="101" t="s">
        <x:v>327</x:v>
      </x:c>
      <x:c r="P39" s="101" t="s">
        <x:v>327</x:v>
      </x:c>
      <x:c r="Q39" s="101" t="s">
        <x:v>327</x:v>
      </x:c>
      <x:c r="R39" s="101" t="s">
        <x:v>327</x:v>
      </x:c>
      <x:c r="S39" s="101" t="s">
        <x:v>327</x:v>
      </x:c>
      <x:c r="T39" s="101" t="s">
        <x:v>327</x:v>
      </x:c>
    </x:row>
    <x:row r="40" ht="12.649999618530273" hidden="0">
      <x:c r="A40" s="98" t="n">
        <x:v>46246</x:v>
      </x:c>
      <x:c r="B40" t="n">
        <x:v>0.99333244</x:v>
      </x:c>
      <x:c r="C40" t="e">
        <x:f aca="0">'[2]1090账户投顾组合-数据视图-20260825'!B38</x:f>
        <x:v>#REF!</x:v>
      </x:c>
      <x:c r="G40" s="100" t="s">
        <x:v>330</x:v>
      </x:c>
      <x:c r="H40" s="101" t="s">
        <x:v>280</x:v>
      </x:c>
      <x:c r="I40" s="101" t="s">
        <x:v>331</x:v>
      </x:c>
      <x:c r="J40" s="101" t="s">
        <x:v>332</x:v>
      </x:c>
      <x:c r="K40" s="101" t="s">
        <x:v>333</x:v>
      </x:c>
      <x:c r="L40" s="101" t="s">
        <x:v>334</x:v>
      </x:c>
      <x:c r="M40" s="101" t="s">
        <x:v>335</x:v>
      </x:c>
      <x:c r="N40" s="101" t="s">
        <x:v>333</x:v>
      </x:c>
      <x:c r="O40" s="101" t="s">
        <x:v>333</x:v>
      </x:c>
      <x:c r="P40" s="101" t="s">
        <x:v>333</x:v>
      </x:c>
      <x:c r="Q40" s="101" t="s">
        <x:v>333</x:v>
      </x:c>
      <x:c r="R40" s="101" t="s">
        <x:v>333</x:v>
      </x:c>
      <x:c r="S40" s="101" t="s">
        <x:v>333</x:v>
      </x:c>
      <x:c r="T40" s="101" t="s">
        <x:v>333</x:v>
      </x:c>
    </x:row>
    <x:row r="41" ht="12.649999618530273" hidden="0">
      <x:c r="A41" s="98" t="n">
        <x:v>46247</x:v>
      </x:c>
      <x:c r="B41" t="n">
        <x:v>0.99285563</x:v>
      </x:c>
      <x:c r="C41" t="e">
        <x:f aca="0">'[2]1090账户投顾组合-数据视图-20260825'!B39</x:f>
        <x:v>#REF!</x:v>
      </x:c>
      <x:c r="G41" s="100" t="s">
        <x:v>336</x:v>
      </x:c>
      <x:c r="H41" s="101" t="s">
        <x:v>259</x:v>
      </x:c>
      <x:c r="I41" s="101" t="s">
        <x:v>259</x:v>
      </x:c>
      <x:c r="J41" s="101" t="s">
        <x:v>337</x:v>
      </x:c>
      <x:c r="K41" s="101" t="s">
        <x:v>337</x:v>
      </x:c>
      <x:c r="L41" s="101" t="s">
        <x:v>259</x:v>
      </x:c>
      <x:c r="M41" s="101" t="s">
        <x:v>259</x:v>
      </x:c>
      <x:c r="N41" s="101" t="s">
        <x:v>337</x:v>
      </x:c>
      <x:c r="O41" s="101" t="s">
        <x:v>337</x:v>
      </x:c>
      <x:c r="P41" s="101" t="s">
        <x:v>337</x:v>
      </x:c>
      <x:c r="Q41" s="101" t="s">
        <x:v>337</x:v>
      </x:c>
      <x:c r="R41" s="101" t="s">
        <x:v>337</x:v>
      </x:c>
      <x:c r="S41" s="101" t="s">
        <x:v>337</x:v>
      </x:c>
      <x:c r="T41" s="101" t="s">
        <x:v>337</x:v>
      </x:c>
    </x:row>
    <x:row r="42" ht="12.649999618530273" hidden="0">
      <x:c r="A42" s="98" t="n">
        <x:v>46248</x:v>
      </x:c>
      <x:c r="B42" t="n">
        <x:v>0.9935801</x:v>
      </x:c>
      <x:c r="C42" t="e">
        <x:f aca="0">'[2]1090账户投顾组合-数据视图-20260825'!B40</x:f>
        <x:v>#REF!</x:v>
      </x:c>
      <x:c r="G42" s="100" t="s">
        <x:v>338</x:v>
      </x:c>
      <x:c r="H42" s="101" t="s">
        <x:v>280</x:v>
      </x:c>
      <x:c r="I42" s="101" t="s">
        <x:v>280</x:v>
      </x:c>
      <x:c r="J42" s="101" t="s">
        <x:v>259</x:v>
      </x:c>
      <x:c r="K42" s="101" t="s">
        <x:v>339</x:v>
      </x:c>
      <x:c r="L42" s="101" t="s">
        <x:v>280</x:v>
      </x:c>
      <x:c r="M42" s="101" t="s">
        <x:v>280</x:v>
      </x:c>
      <x:c r="N42" s="101" t="s">
        <x:v>339</x:v>
      </x:c>
      <x:c r="O42" s="101" t="s">
        <x:v>339</x:v>
      </x:c>
      <x:c r="P42" s="101" t="s">
        <x:v>339</x:v>
      </x:c>
      <x:c r="Q42" s="101" t="s">
        <x:v>339</x:v>
      </x:c>
      <x:c r="R42" s="101" t="s">
        <x:v>339</x:v>
      </x:c>
      <x:c r="S42" s="101" t="s">
        <x:v>339</x:v>
      </x:c>
      <x:c r="T42" s="101" t="s">
        <x:v>339</x:v>
      </x:c>
    </x:row>
    <x:row r="43" ht="12.649999618530273" hidden="0">
      <x:c r="A43" s="98" t="n">
        <x:v>46251</x:v>
      </x:c>
      <x:c r="B43" t="n">
        <x:v>0.99851228</x:v>
      </x:c>
      <x:c r="C43" t="e">
        <x:f aca="0">'[2]1090账户投顾组合-数据视图-20260825'!B41</x:f>
        <x:v>#REF!</x:v>
      </x:c>
    </x:row>
    <x:row r="44" ht="12.649999618530273" hidden="0">
      <x:c r="A44" s="98" t="n">
        <x:v>46252</x:v>
      </x:c>
      <x:c r="B44" t="n">
        <x:v>0.99936335</x:v>
      </x:c>
      <x:c r="C44" t="e">
        <x:f aca="0">'[2]1090账户投顾组合-数据视图-20260825'!B42</x:f>
        <x:v>#REF!</x:v>
      </x:c>
    </x:row>
    <x:row r="45" ht="12.649999618530273" hidden="0">
      <x:c r="A45" s="98" t="n">
        <x:v>46253</x:v>
      </x:c>
      <x:c r="B45" t="n">
        <x:v>0.99164844</x:v>
      </x:c>
      <x:c r="C45" t="e">
        <x:f aca="0">'[2]1090账户投顾组合-数据视图-20260825'!B43</x:f>
        <x:v>#REF!</x:v>
      </x:c>
    </x:row>
    <x:row r="46" ht="12.649999618530273" hidden="0">
      <x:c r="A46" s="98" t="n">
        <x:v>46254</x:v>
      </x:c>
      <x:c r="B46" t="n">
        <x:v>0.99370515</x:v>
      </x:c>
      <x:c r="C46" t="e">
        <x:f aca="0">'[2]1090账户投顾组合-数据视图-20260825'!B44</x:f>
        <x:v>#REF!</x:v>
      </x:c>
    </x:row>
    <x:row r="47" ht="12.649999618530273" hidden="0">
      <x:c r="A47" s="98" t="n">
        <x:v>46255</x:v>
      </x:c>
      <x:c r="B47" t="n">
        <x:v>0.99494352</x:v>
      </x:c>
      <x:c r="C47" t="e">
        <x:f aca="0">'[2]1090账户投顾组合-数据视图-20260825'!B45</x:f>
        <x:v>#REF!</x:v>
      </x:c>
    </x:row>
    <x:row r="48" ht="12.649999618530273" hidden="0">
      <x:c r="A48" s="98" t="n">
        <x:v>46258</x:v>
      </x:c>
      <x:c r="B48" t="n">
        <x:v>0.99464253</x:v>
      </x:c>
      <x:c r="C48" t="e">
        <x:f aca="0">'[2]1090账户投顾组合-数据视图-20260825'!B46</x:f>
        <x:v>#REF!</x:v>
      </x:c>
    </x:row>
    <x:row r="49" ht="12.649999618530273" hidden="0">
      <x:c r="A49" s="98" t="n">
        <x:v>46259</x:v>
      </x:c>
    </x:row>
    <x:row r="50" ht="12.649999618530273" hidden="0">
      <x:c r="A50" s="98" t="n">
        <x:v>46260</x:v>
      </x:c>
    </x:row>
    <x:row r="51" ht="12.649999618530273" hidden="0">
      <x:c r="A51" s="98" t="n">
        <x:v>46261</x:v>
      </x:c>
    </x:row>
    <x:row r="52" ht="12.649999618530273" hidden="0">
      <x:c r="A52" s="98" t="n">
        <x:v>46262</x:v>
      </x:c>
    </x:row>
    <x:row r="53" ht="12.649999618530273" hidden="0">
      <x:c r="A53" s="98" t="n">
        <x:v>46265</x:v>
      </x:c>
    </x:row>
    <x:row r="54" ht="12.649999618530273" hidden="0">
      <x:c r="A54" s="98" t="n">
        <x:v>46266</x:v>
      </x:c>
    </x:row>
    <x:row r="55" ht="12.649999618530273" hidden="0">
      <x:c r="A55" s="98" t="n">
        <x:v>46267</x:v>
      </x:c>
    </x:row>
    <x:row r="56" ht="12.649999618530273" hidden="0">
      <x:c r="A56" s="98" t="n">
        <x:v>46268</x:v>
      </x:c>
    </x:row>
    <x:row r="57" ht="12.649999618530273" hidden="0">
      <x:c r="A57" s="98" t="n">
        <x:v>46269</x:v>
      </x:c>
    </x:row>
    <x:row r="58" ht="12.649999618530273" hidden="0">
      <x:c r="A58" s="98" t="n">
        <x:v>46272</x:v>
      </x:c>
    </x:row>
    <x:row r="59" ht="12.649999618530273" hidden="0">
      <x:c r="A59" s="98" t="n">
        <x:v>46273</x:v>
      </x:c>
    </x:row>
    <x:row r="60" ht="12.649999618530273" hidden="0">
      <x:c r="A60" s="98" t="n">
        <x:v>46274</x:v>
      </x:c>
    </x:row>
    <x:row r="61" ht="12.649999618530273" hidden="0">
      <x:c r="A61" s="98" t="n">
        <x:v>46275</x:v>
      </x:c>
    </x:row>
    <x:row r="62" ht="12.649999618530273" hidden="0">
      <x:c r="A62" s="98" t="n">
        <x:v>46276</x:v>
      </x:c>
    </x:row>
    <x:row r="63" ht="12.649999618530273" hidden="0">
      <x:c r="A63" s="98" t="n">
        <x:v>46279</x:v>
      </x:c>
    </x:row>
    <x:row r="64" ht="12.649999618530273" hidden="0">
      <x:c r="A64" s="98" t="n">
        <x:v>46280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13.1899995803833" hidden="0" customWidth="1"/>
  </x:cols>
  <x:sheetData>
    <x:row r="1" ht="19.5" hidden="0" customHeight="1">
      <x:c r="A1" s="103" t="s">
        <x:v>340</x:v>
      </x:c>
      <x:c r="B1" s="103"/>
      <x:c r="C1" s="103"/>
      <x:c r="D1" s="103"/>
      <x:c r="Z1"/>
      <x:c r="AA1"/>
    </x:row>
    <x:row r="2" ht="13.5" hidden="0">
      <x:c r="A2" s="104" t="n">
        <x:f aca="1">TODAY()</x:f>
        <x:v>46281</x:v>
      </x:c>
      <x:c r="Z2"/>
      <x:c r="AA2"/>
    </x:row>
    <x:row r="3" ht="24.75" hidden="0" customHeight="1">
      <x:c r="A3" s="2" t="s">
        <x:v>341</x:v>
      </x:c>
      <x:c r="B3" s="105" t="e">
        <x:f aca="0">实盘持仓初始配置!B3</x:f>
        <x:v>#NAME?</x:v>
      </x:c>
      <x:c r="C3" s="105" t="e">
        <x:f aca="0">实盘持仓初始配置!C3</x:f>
        <x:v>#NAME?</x:v>
      </x:c>
      <x:c r="D3" s="105" t="e">
        <x:f aca="0">实盘持仓初始配置!D3</x:f>
        <x:v>#NAME?</x:v>
      </x:c>
      <x:c r="E3" s="105" t="e">
        <x:f aca="0">实盘持仓初始配置!E3</x:f>
        <x:v>#NAME?</x:v>
      </x:c>
      <x:c r="F3" s="105" t="e">
        <x:f aca="0">实盘持仓初始配置!F3</x:f>
        <x:v>#NAME?</x:v>
      </x:c>
      <x:c r="G3" s="105" t="e">
        <x:f aca="0">实盘持仓初始配置!G3</x:f>
        <x:v>#NAME?</x:v>
      </x:c>
      <x:c r="H3" s="105" t="e">
        <x:f aca="0">实盘持仓初始配置!H3</x:f>
        <x:v>#NAME?</x:v>
      </x:c>
      <x:c r="I3" s="105" t="e">
        <x:f aca="0">实盘持仓初始配置!I3</x:f>
        <x:v>#NAME?</x:v>
      </x:c>
      <x:c r="J3" s="105" t="e">
        <x:f aca="0">实盘持仓初始配置!J3</x:f>
        <x:v>#NAME?</x:v>
      </x:c>
      <x:c r="K3" s="105" t="e">
        <x:f aca="0">实盘持仓初始配置!K3</x:f>
        <x:v>#NAME?</x:v>
      </x:c>
      <x:c r="L3" s="105" t="e">
        <x:f aca="0">实盘持仓初始配置!L3</x:f>
        <x:v>#NAME?</x:v>
      </x:c>
      <x:c r="M3" s="105" t="e">
        <x:f aca="0">实盘持仓初始配置!M3</x:f>
        <x:v>#NAME?</x:v>
      </x:c>
      <x:c r="N3" s="105" t="e">
        <x:f aca="0">实盘持仓初始配置!N3</x:f>
        <x:v>#NAME?</x:v>
      </x:c>
      <x:c r="O3" s="105" t="e">
        <x:f aca="0">实盘持仓初始配置!O3</x:f>
        <x:v>#NAME?</x:v>
      </x:c>
      <x:c r="P3" s="105" t="e">
        <x:f aca="0">实盘持仓初始配置!P3</x:f>
        <x:v>#NAME?</x:v>
      </x:c>
      <x:c r="Q3" s="105" t="e">
        <x:f aca="0">实盘持仓初始配置!Q3</x:f>
        <x:v>#NAME?</x:v>
      </x:c>
      <x:c r="R3" s="105" t="e">
        <x:f aca="0">实盘持仓初始配置!R3</x:f>
        <x:v>#NAME?</x:v>
      </x:c>
      <x:c r="S3" s="105" t="e">
        <x:f aca="0">实盘持仓初始配置!S3</x:f>
        <x:v>#NAME?</x:v>
      </x:c>
      <x:c r="T3" s="105" t="e">
        <x:f aca="0">实盘持仓初始配置!T3</x:f>
        <x:v>#NAME?</x:v>
      </x:c>
      <x:c r="U3" s="105" t="e">
        <x:f aca="0">实盘持仓初始配置!U3</x:f>
        <x:v>#NAME?</x:v>
      </x:c>
      <x:c r="V3" s="105" t="e">
        <x:f aca="0">实盘持仓初始配置!V3</x:f>
        <x:v>#NAME?</x:v>
      </x:c>
      <x:c r="W3" s="105" t="e">
        <x:f aca="0">实盘持仓初始配置!W3</x:f>
        <x:v>#NAME?</x:v>
      </x:c>
      <x:c r="X3" s="105" t="e">
        <x:f aca="0">实盘持仓初始配置!X3</x:f>
        <x:v>#NAME?</x:v>
      </x:c>
      <x:c r="Y3" s="105" t="s">
        <x:v>137</x:v>
      </x:c>
      <x:c r="Z3" t="str">
        <x:v>003376.OF</x:v>
      </x:c>
      <x:c r="AA3" t="str">
        <x:v>008015.OF</x:v>
      </x:c>
    </x:row>
    <x:row r="4" ht="51.75" hidden="0" customHeight="1">
      <x:c r="A4" s="2" t="e">
        <x:f aca="0">[1]!HX_AutoDate(1,"2026-06-18",A2,-1,-1,0,0,0,0,0,"SSE",64,0)</x:f>
        <x:v>#NAME?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  <x:c r="L4" s="3" t="s">
        <x:v>12</x:v>
      </x:c>
      <x:c r="M4" s="3" t="s">
        <x:v>13</x:v>
      </x:c>
      <x:c r="N4" s="3" t="s">
        <x:v>14</x:v>
      </x:c>
      <x:c r="O4" s="3" t="s">
        <x:v>15</x:v>
      </x:c>
      <x:c r="P4" s="3" t="s">
        <x:v>16</x:v>
      </x:c>
      <x:c r="Q4" s="3" t="s">
        <x:v>17</x:v>
      </x:c>
      <x:c r="R4" s="3" t="s">
        <x:v>18</x:v>
      </x:c>
      <x:c r="S4" s="3" t="s">
        <x:v>19</x:v>
      </x:c>
      <x:c r="T4" s="3" t="s">
        <x:v>20</x:v>
      </x:c>
      <x:c r="U4" s="3" t="s">
        <x:v>21</x:v>
      </x:c>
      <x:c r="V4" s="3" t="s">
        <x:v>22</x:v>
      </x:c>
      <x:c r="W4" s="3" t="s">
        <x:v>23</x:v>
      </x:c>
      <x:c r="X4" s="3" t="s">
        <x:v>24</x:v>
      </x:c>
      <x:c r="Y4" s="3" t="s">
        <x:v>138</x:v>
      </x:c>
      <x:c r="Z4" t="str">
        <x:v>广发中债7-10年国开债A</x:v>
      </x:c>
      <x:c r="AA4" t="str">
        <x:v>嘉实中债3-5年国开债A</x:v>
      </x:c>
    </x:row>
    <x:row r="5" ht="12" hidden="0">
      <x:c r="A5" s="9" t="n">
        <x:v>46191</x:v>
      </x:c>
      <x:c r="B5" s="106" t="e">
        <x:f aca="0">IF($A5="","",[1]!thsiFinD("ths_adjustment_nv_fund",B$3,$A5))</x:f>
        <x:v>#NAME?</x:v>
      </x:c>
      <x:c r="C5" s="106" t="e">
        <x:f aca="0">IF($A5="","",[1]!thsiFinD("ths_adjustment_nv_fund",C$3,$A5))</x:f>
        <x:v>#NAME?</x:v>
      </x:c>
      <x:c r="D5" s="106" t="e">
        <x:f aca="0">IF($A5="","",[1]!thsiFinD("ths_adjustment_nv_fund",D$3,$A5))</x:f>
        <x:v>#NAME?</x:v>
      </x:c>
      <x:c r="E5" s="106" t="e">
        <x:f aca="0">IF($A5="","",[1]!thsiFinD("ths_adjustment_nv_fund",E$3,$A5))</x:f>
        <x:v>#NAME?</x:v>
      </x:c>
      <x:c r="F5" s="106" t="e">
        <x:f aca="0">IF($A5="","",[1]!thsiFinD("ths_adjustment_nv_fund",F$3,$A5))</x:f>
        <x:v>#NAME?</x:v>
      </x:c>
      <x:c r="G5" s="106" t="e">
        <x:f aca="0">IF($A5="","",[1]!thsiFinD("ths_adjustment_nv_fund",G$3,$A5))</x:f>
        <x:v>#NAME?</x:v>
      </x:c>
      <x:c r="H5" s="106" t="e">
        <x:f aca="0">IF($A5="","",[1]!thsiFinD("ths_adjustment_nv_fund",H$3,$A5))</x:f>
        <x:v>#NAME?</x:v>
      </x:c>
      <x:c r="I5" s="106" t="e">
        <x:f aca="0">IF($A5="","",[1]!thsiFinD("ths_adjustment_nv_fund",I$3,$A5))</x:f>
        <x:v>#NAME?</x:v>
      </x:c>
      <x:c r="J5" s="106" t="e">
        <x:f aca="0">IF($A5="","",[1]!thsiFinD("ths_adjustment_nv_fund",J$3,$A5))</x:f>
        <x:v>#NAME?</x:v>
      </x:c>
      <x:c r="K5" s="106" t="e">
        <x:f aca="0">IF($A5="","",[1]!thsiFinD("ths_adjustment_nv_fund",K$3,$A5))</x:f>
        <x:v>#NAME?</x:v>
      </x:c>
      <x:c r="L5" s="106" t="e">
        <x:f aca="0">IF($A5="","",[1]!thsiFinD("ths_adjustment_nv_fund",L$3,$A5))</x:f>
        <x:v>#NAME?</x:v>
      </x:c>
      <x:c r="M5" s="106" t="e">
        <x:f aca="0">IF($A5="","",[1]!thsiFinD("ths_adjustment_nv_fund",M$3,$A5))</x:f>
        <x:v>#NAME?</x:v>
      </x:c>
      <x:c r="N5" s="106" t="e">
        <x:f aca="0">IF($A5="","",[1]!thsiFinD("ths_adjustment_nv_fund",N$3,$A5))</x:f>
        <x:v>#NAME?</x:v>
      </x:c>
      <x:c r="O5" s="106" t="e">
        <x:f aca="0">IF($A5="","",[1]!thsiFinD("ths_adjustment_nv_fund",O$3,$A5))</x:f>
        <x:v>#NAME?</x:v>
      </x:c>
      <x:c r="P5" s="106" t="e">
        <x:f aca="0">IF($A5="","",[1]!thsiFinD("ths_adjustment_nv_fund",P$3,$A5))</x:f>
        <x:v>#NAME?</x:v>
      </x:c>
      <x:c r="Q5" s="106" t="e">
        <x:f aca="0">IF($A5="","",[1]!thsiFinD("ths_adjustment_nv_fund",Q$3,$A5))</x:f>
        <x:v>#NAME?</x:v>
      </x:c>
      <x:c r="R5" s="106" t="e">
        <x:f aca="0">IF($A5="","",[1]!thsiFinD("ths_adjustment_nv_fund",R$3,$A5))</x:f>
        <x:v>#NAME?</x:v>
      </x:c>
      <x:c r="S5" s="106" t="e">
        <x:f aca="0">IF($A5="","",[1]!thsiFinD("ths_adjustment_nv_fund",S$3,$A5))</x:f>
        <x:v>#NAME?</x:v>
      </x:c>
      <x:c r="T5" s="106" t="e">
        <x:f aca="0">IF($A5="","",[1]!thsiFinD("ths_adjustment_nv_fund",T$3,$A5))</x:f>
        <x:v>#NAME?</x:v>
      </x:c>
      <x:c r="U5" s="106" t="e">
        <x:f aca="0">IF($A5="","",[1]!thsiFinD("ths_adjustment_nv_fund",U$3,$A5))</x:f>
        <x:v>#NAME?</x:v>
      </x:c>
      <x:c r="V5" s="106" t="e">
        <x:f aca="0">IF($A5="","",[1]!thsiFinD("ths_adjustment_nv_fund",V$3,$A5))</x:f>
        <x:v>#NAME?</x:v>
      </x:c>
      <x:c r="W5" s="106" t="e">
        <x:f aca="0">IF($A5="","",[1]!thsiFinD("ths_adjustment_nv_fund",W$3,$A5))</x:f>
        <x:v>#NAME?</x:v>
      </x:c>
      <x:c r="X5" s="106" t="e">
        <x:f aca="0">IF($A5="","",[1]!thsiFinD("ths_adjustment_nv_fund",X$3,$A5))</x:f>
        <x:v>#NAME?</x:v>
      </x:c>
      <x:c r="Y5" s="106" t="e">
        <x:f aca="0">IF($A5="","",[1]!thsiFinD("ths_adjustment_nv_fund",Y$3,$A5))</x:f>
        <x:v>#NAME?</x:v>
      </x:c>
      <x:c r="Z5" t="e">
        <x:f>IF($A5="","",[1]!thsiFinD("ths_adjustment_nv_fund",Z$3,$A5))</x:f>
        <x:v>#NAME?</x:v>
      </x:c>
      <x:c r="AA5" t="e">
        <x:f>IF($A5="","",[1]!thsiFinD("ths_adjustment_nv_fund",AA$3,$A5))</x:f>
        <x:v>#NAME?</x:v>
      </x:c>
    </x:row>
    <x:row r="6" ht="12" hidden="0">
      <x:c r="A6" s="9" t="n">
        <x:v>46195</x:v>
      </x:c>
      <x:c r="B6" s="106" t="e">
        <x:f aca="0">IF($A6="","",[1]!thsiFinD("ths_adjustment_nv_fund",B$3,$A6))</x:f>
        <x:v>#NAME?</x:v>
      </x:c>
      <x:c r="C6" s="106" t="e">
        <x:f aca="0">IF($A6="","",[1]!thsiFinD("ths_adjustment_nv_fund",C$3,$A6))</x:f>
        <x:v>#NAME?</x:v>
      </x:c>
      <x:c r="D6" s="106" t="e">
        <x:f aca="0">IF($A6="","",[1]!thsiFinD("ths_adjustment_nv_fund",D$3,$A6))</x:f>
        <x:v>#NAME?</x:v>
      </x:c>
      <x:c r="E6" s="106" t="e">
        <x:f aca="0">IF($A6="","",[1]!thsiFinD("ths_adjustment_nv_fund",E$3,$A6))</x:f>
        <x:v>#NAME?</x:v>
      </x:c>
      <x:c r="F6" s="106" t="e">
        <x:f aca="0">IF($A6="","",[1]!thsiFinD("ths_adjustment_nv_fund",F$3,$A6))</x:f>
        <x:v>#NAME?</x:v>
      </x:c>
      <x:c r="G6" s="106" t="e">
        <x:f aca="0">IF($A6="","",[1]!thsiFinD("ths_adjustment_nv_fund",G$3,$A6))</x:f>
        <x:v>#NAME?</x:v>
      </x:c>
      <x:c r="H6" s="106" t="e">
        <x:f aca="0">IF($A6="","",[1]!thsiFinD("ths_adjustment_nv_fund",H$3,$A6))</x:f>
        <x:v>#NAME?</x:v>
      </x:c>
      <x:c r="I6" s="106" t="e">
        <x:f aca="0">IF($A6="","",[1]!thsiFinD("ths_adjustment_nv_fund",I$3,$A6))</x:f>
        <x:v>#NAME?</x:v>
      </x:c>
      <x:c r="J6" s="106" t="e">
        <x:f aca="0">IF($A6="","",[1]!thsiFinD("ths_adjustment_nv_fund",J$3,$A6))</x:f>
        <x:v>#NAME?</x:v>
      </x:c>
      <x:c r="K6" s="106" t="e">
        <x:f aca="0">IF($A6="","",[1]!thsiFinD("ths_adjustment_nv_fund",K$3,$A6))</x:f>
        <x:v>#NAME?</x:v>
      </x:c>
      <x:c r="L6" s="106" t="e">
        <x:f aca="0">IF($A6="","",[1]!thsiFinD("ths_adjustment_nv_fund",L$3,$A6))</x:f>
        <x:v>#NAME?</x:v>
      </x:c>
      <x:c r="M6" s="106" t="e">
        <x:f aca="0">IF($A6="","",[1]!thsiFinD("ths_adjustment_nv_fund",M$3,$A6))</x:f>
        <x:v>#NAME?</x:v>
      </x:c>
      <x:c r="N6" s="106" t="e">
        <x:f aca="0">IF($A6="","",[1]!thsiFinD("ths_adjustment_nv_fund",N$3,$A6))</x:f>
        <x:v>#NAME?</x:v>
      </x:c>
      <x:c r="O6" s="106" t="e">
        <x:f aca="0">IF($A6="","",[1]!thsiFinD("ths_adjustment_nv_fund",O$3,$A6))</x:f>
        <x:v>#NAME?</x:v>
      </x:c>
      <x:c r="P6" s="106" t="e">
        <x:f aca="0">IF($A6="","",[1]!thsiFinD("ths_adjustment_nv_fund",P$3,$A6))</x:f>
        <x:v>#NAME?</x:v>
      </x:c>
      <x:c r="Q6" s="106" t="e">
        <x:f aca="0">IF($A6="","",[1]!thsiFinD("ths_adjustment_nv_fund",Q$3,$A6))</x:f>
        <x:v>#NAME?</x:v>
      </x:c>
      <x:c r="R6" s="106" t="e">
        <x:f aca="0">IF($A6="","",[1]!thsiFinD("ths_adjustment_nv_fund",R$3,$A6))</x:f>
        <x:v>#NAME?</x:v>
      </x:c>
      <x:c r="S6" s="106" t="e">
        <x:f aca="0">IF($A6="","",[1]!thsiFinD("ths_adjustment_nv_fund",S$3,$A6))</x:f>
        <x:v>#NAME?</x:v>
      </x:c>
      <x:c r="T6" s="106" t="e">
        <x:f aca="0">IF($A6="","",[1]!thsiFinD("ths_adjustment_nv_fund",T$3,$A6))</x:f>
        <x:v>#NAME?</x:v>
      </x:c>
      <x:c r="U6" s="106" t="e">
        <x:f aca="0">IF($A6="","",[1]!thsiFinD("ths_adjustment_nv_fund",U$3,$A6))</x:f>
        <x:v>#NAME?</x:v>
      </x:c>
      <x:c r="V6" s="106" t="e">
        <x:f aca="0">IF($A6="","",[1]!thsiFinD("ths_adjustment_nv_fund",V$3,$A6))</x:f>
        <x:v>#NAME?</x:v>
      </x:c>
      <x:c r="W6" s="106" t="e">
        <x:f aca="0">IF($A6="","",[1]!thsiFinD("ths_adjustment_nv_fund",W$3,$A6))</x:f>
        <x:v>#NAME?</x:v>
      </x:c>
      <x:c r="X6" s="106" t="e">
        <x:f aca="0">IF($A6="","",[1]!thsiFinD("ths_adjustment_nv_fund",X$3,$A6))</x:f>
        <x:v>#NAME?</x:v>
      </x:c>
      <x:c r="Y6" s="106" t="e">
        <x:f aca="0">IF($A6="","",[1]!thsiFinD("ths_adjustment_nv_fund",Y$3,$A6))</x:f>
        <x:v>#NAME?</x:v>
      </x:c>
      <x:c r="Z6" t="e">
        <x:f>IF($A6="","",[1]!thsiFinD("ths_adjustment_nv_fund",Z$3,$A6))</x:f>
        <x:v>#NAME?</x:v>
      </x:c>
      <x:c r="AA6" t="e">
        <x:f>IF($A6="","",[1]!thsiFinD("ths_adjustment_nv_fund",AA$3,$A6))</x:f>
        <x:v>#NAME?</x:v>
      </x:c>
    </x:row>
    <x:row r="7" ht="12" hidden="0">
      <x:c r="A7" s="9" t="n">
        <x:v>46196</x:v>
      </x:c>
      <x:c r="B7" s="106" t="e">
        <x:f aca="0">IF($A7="","",[1]!thsiFinD("ths_adjustment_nv_fund",B$3,$A7))</x:f>
        <x:v>#NAME?</x:v>
      </x:c>
      <x:c r="C7" s="106" t="e">
        <x:f aca="0">IF($A7="","",[1]!thsiFinD("ths_adjustment_nv_fund",C$3,$A7))</x:f>
        <x:v>#NAME?</x:v>
      </x:c>
      <x:c r="D7" s="106" t="e">
        <x:f aca="0">IF($A7="","",[1]!thsiFinD("ths_adjustment_nv_fund",D$3,$A7))</x:f>
        <x:v>#NAME?</x:v>
      </x:c>
      <x:c r="E7" s="106" t="e">
        <x:f aca="0">IF($A7="","",[1]!thsiFinD("ths_adjustment_nv_fund",E$3,$A7))</x:f>
        <x:v>#NAME?</x:v>
      </x:c>
      <x:c r="F7" s="106" t="e">
        <x:f aca="0">IF($A7="","",[1]!thsiFinD("ths_adjustment_nv_fund",F$3,$A7))</x:f>
        <x:v>#NAME?</x:v>
      </x:c>
      <x:c r="G7" s="106" t="e">
        <x:f aca="0">IF($A7="","",[1]!thsiFinD("ths_adjustment_nv_fund",G$3,$A7))</x:f>
        <x:v>#NAME?</x:v>
      </x:c>
      <x:c r="H7" s="106" t="e">
        <x:f aca="0">IF($A7="","",[1]!thsiFinD("ths_adjustment_nv_fund",H$3,$A7))</x:f>
        <x:v>#NAME?</x:v>
      </x:c>
      <x:c r="I7" s="106" t="e">
        <x:f aca="0">IF($A7="","",[1]!thsiFinD("ths_adjustment_nv_fund",I$3,$A7))</x:f>
        <x:v>#NAME?</x:v>
      </x:c>
      <x:c r="J7" s="106" t="e">
        <x:f aca="0">IF($A7="","",[1]!thsiFinD("ths_adjustment_nv_fund",J$3,$A7))</x:f>
        <x:v>#NAME?</x:v>
      </x:c>
      <x:c r="K7" s="106" t="e">
        <x:f aca="0">IF($A7="","",[1]!thsiFinD("ths_adjustment_nv_fund",K$3,$A7))</x:f>
        <x:v>#NAME?</x:v>
      </x:c>
      <x:c r="L7" s="106" t="e">
        <x:f aca="0">IF($A7="","",[1]!thsiFinD("ths_adjustment_nv_fund",L$3,$A7))</x:f>
        <x:v>#NAME?</x:v>
      </x:c>
      <x:c r="M7" s="106" t="e">
        <x:f aca="0">IF($A7="","",[1]!thsiFinD("ths_adjustment_nv_fund",M$3,$A7))</x:f>
        <x:v>#NAME?</x:v>
      </x:c>
      <x:c r="N7" s="106" t="e">
        <x:f aca="0">IF($A7="","",[1]!thsiFinD("ths_adjustment_nv_fund",N$3,$A7))</x:f>
        <x:v>#NAME?</x:v>
      </x:c>
      <x:c r="O7" s="106" t="e">
        <x:f aca="0">IF($A7="","",[1]!thsiFinD("ths_adjustment_nv_fund",O$3,$A7))</x:f>
        <x:v>#NAME?</x:v>
      </x:c>
      <x:c r="P7" s="106" t="e">
        <x:f aca="0">IF($A7="","",[1]!thsiFinD("ths_adjustment_nv_fund",P$3,$A7))</x:f>
        <x:v>#NAME?</x:v>
      </x:c>
      <x:c r="Q7" s="106" t="e">
        <x:f aca="0">IF($A7="","",[1]!thsiFinD("ths_adjustment_nv_fund",Q$3,$A7))</x:f>
        <x:v>#NAME?</x:v>
      </x:c>
      <x:c r="R7" s="106" t="e">
        <x:f aca="0">IF($A7="","",[1]!thsiFinD("ths_adjustment_nv_fund",R$3,$A7))</x:f>
        <x:v>#NAME?</x:v>
      </x:c>
      <x:c r="S7" s="106" t="e">
        <x:f aca="0">IF($A7="","",[1]!thsiFinD("ths_adjustment_nv_fund",S$3,$A7))</x:f>
        <x:v>#NAME?</x:v>
      </x:c>
      <x:c r="T7" s="106" t="e">
        <x:f aca="0">IF($A7="","",[1]!thsiFinD("ths_adjustment_nv_fund",T$3,$A7))</x:f>
        <x:v>#NAME?</x:v>
      </x:c>
      <x:c r="U7" s="106" t="e">
        <x:f aca="0">IF($A7="","",[1]!thsiFinD("ths_adjustment_nv_fund",U$3,$A7))</x:f>
        <x:v>#NAME?</x:v>
      </x:c>
      <x:c r="V7" s="106" t="e">
        <x:f aca="0">IF($A7="","",[1]!thsiFinD("ths_adjustment_nv_fund",V$3,$A7))</x:f>
        <x:v>#NAME?</x:v>
      </x:c>
      <x:c r="W7" s="106" t="e">
        <x:f aca="0">IF($A7="","",[1]!thsiFinD("ths_adjustment_nv_fund",W$3,$A7))</x:f>
        <x:v>#NAME?</x:v>
      </x:c>
      <x:c r="X7" s="106" t="e">
        <x:f aca="0">IF($A7="","",[1]!thsiFinD("ths_adjustment_nv_fund",X$3,$A7))</x:f>
        <x:v>#NAME?</x:v>
      </x:c>
      <x:c r="Y7" s="106" t="e">
        <x:f aca="0">IF($A7="","",[1]!thsiFinD("ths_adjustment_nv_fund",Y$3,$A7))</x:f>
        <x:v>#NAME?</x:v>
      </x:c>
      <x:c r="Z7" t="e">
        <x:f>IF($A7="","",[1]!thsiFinD("ths_adjustment_nv_fund",Z$3,$A7))</x:f>
        <x:v>#NAME?</x:v>
      </x:c>
      <x:c r="AA7" t="e">
        <x:f>IF($A7="","",[1]!thsiFinD("ths_adjustment_nv_fund",AA$3,$A7))</x:f>
        <x:v>#NAME?</x:v>
      </x:c>
    </x:row>
    <x:row r="8" ht="12" hidden="0">
      <x:c r="A8" s="9" t="n">
        <x:v>46197</x:v>
      </x:c>
      <x:c r="B8" s="106" t="e">
        <x:f aca="0">IF($A8="","",[1]!thsiFinD("ths_adjustment_nv_fund",B$3,$A8))</x:f>
        <x:v>#NAME?</x:v>
      </x:c>
      <x:c r="C8" s="106" t="e">
        <x:f aca="0">IF($A8="","",[1]!thsiFinD("ths_adjustment_nv_fund",C$3,$A8))</x:f>
        <x:v>#NAME?</x:v>
      </x:c>
      <x:c r="D8" s="106" t="e">
        <x:f aca="0">IF($A8="","",[1]!thsiFinD("ths_adjustment_nv_fund",D$3,$A8))</x:f>
        <x:v>#NAME?</x:v>
      </x:c>
      <x:c r="E8" s="106" t="e">
        <x:f aca="0">IF($A8="","",[1]!thsiFinD("ths_adjustment_nv_fund",E$3,$A8))</x:f>
        <x:v>#NAME?</x:v>
      </x:c>
      <x:c r="F8" s="106" t="e">
        <x:f aca="0">IF($A8="","",[1]!thsiFinD("ths_adjustment_nv_fund",F$3,$A8))</x:f>
        <x:v>#NAME?</x:v>
      </x:c>
      <x:c r="G8" s="106" t="e">
        <x:f aca="0">IF($A8="","",[1]!thsiFinD("ths_adjustment_nv_fund",G$3,$A8))</x:f>
        <x:v>#NAME?</x:v>
      </x:c>
      <x:c r="H8" s="106" t="e">
        <x:f aca="0">IF($A8="","",[1]!thsiFinD("ths_adjustment_nv_fund",H$3,$A8))</x:f>
        <x:v>#NAME?</x:v>
      </x:c>
      <x:c r="I8" s="106" t="e">
        <x:f aca="0">IF($A8="","",[1]!thsiFinD("ths_adjustment_nv_fund",I$3,$A8))</x:f>
        <x:v>#NAME?</x:v>
      </x:c>
      <x:c r="J8" s="106" t="e">
        <x:f aca="0">IF($A8="","",[1]!thsiFinD("ths_adjustment_nv_fund",J$3,$A8))</x:f>
        <x:v>#NAME?</x:v>
      </x:c>
      <x:c r="K8" s="106" t="e">
        <x:f aca="0">IF($A8="","",[1]!thsiFinD("ths_adjustment_nv_fund",K$3,$A8))</x:f>
        <x:v>#NAME?</x:v>
      </x:c>
      <x:c r="L8" s="106" t="e">
        <x:f aca="0">IF($A8="","",[1]!thsiFinD("ths_adjustment_nv_fund",L$3,$A8))</x:f>
        <x:v>#NAME?</x:v>
      </x:c>
      <x:c r="M8" s="106" t="e">
        <x:f aca="0">IF($A8="","",[1]!thsiFinD("ths_adjustment_nv_fund",M$3,$A8))</x:f>
        <x:v>#NAME?</x:v>
      </x:c>
      <x:c r="N8" s="106" t="e">
        <x:f aca="0">IF($A8="","",[1]!thsiFinD("ths_adjustment_nv_fund",N$3,$A8))</x:f>
        <x:v>#NAME?</x:v>
      </x:c>
      <x:c r="O8" s="106" t="e">
        <x:f aca="0">IF($A8="","",[1]!thsiFinD("ths_adjustment_nv_fund",O$3,$A8))</x:f>
        <x:v>#NAME?</x:v>
      </x:c>
      <x:c r="P8" s="106" t="e">
        <x:f aca="0">IF($A8="","",[1]!thsiFinD("ths_adjustment_nv_fund",P$3,$A8))</x:f>
        <x:v>#NAME?</x:v>
      </x:c>
      <x:c r="Q8" s="106" t="e">
        <x:f aca="0">IF($A8="","",[1]!thsiFinD("ths_adjustment_nv_fund",Q$3,$A8))</x:f>
        <x:v>#NAME?</x:v>
      </x:c>
      <x:c r="R8" s="106" t="e">
        <x:f aca="0">IF($A8="","",[1]!thsiFinD("ths_adjustment_nv_fund",R$3,$A8))</x:f>
        <x:v>#NAME?</x:v>
      </x:c>
      <x:c r="S8" s="106" t="e">
        <x:f aca="0">IF($A8="","",[1]!thsiFinD("ths_adjustment_nv_fund",S$3,$A8))</x:f>
        <x:v>#NAME?</x:v>
      </x:c>
      <x:c r="T8" s="106" t="e">
        <x:f aca="0">IF($A8="","",[1]!thsiFinD("ths_adjustment_nv_fund",T$3,$A8))</x:f>
        <x:v>#NAME?</x:v>
      </x:c>
      <x:c r="U8" s="106" t="e">
        <x:f aca="0">IF($A8="","",[1]!thsiFinD("ths_adjustment_nv_fund",U$3,$A8))</x:f>
        <x:v>#NAME?</x:v>
      </x:c>
      <x:c r="V8" s="106" t="e">
        <x:f aca="0">IF($A8="","",[1]!thsiFinD("ths_adjustment_nv_fund",V$3,$A8))</x:f>
        <x:v>#NAME?</x:v>
      </x:c>
      <x:c r="W8" s="106" t="e">
        <x:f aca="0">IF($A8="","",[1]!thsiFinD("ths_adjustment_nv_fund",W$3,$A8))</x:f>
        <x:v>#NAME?</x:v>
      </x:c>
      <x:c r="X8" s="106" t="e">
        <x:f aca="0">IF($A8="","",[1]!thsiFinD("ths_adjustment_nv_fund",X$3,$A8))</x:f>
        <x:v>#NAME?</x:v>
      </x:c>
      <x:c r="Y8" s="106" t="e">
        <x:f aca="0">IF($A8="","",[1]!thsiFinD("ths_adjustment_nv_fund",Y$3,$A8))</x:f>
        <x:v>#NAME?</x:v>
      </x:c>
      <x:c r="Z8" t="e">
        <x:f>IF($A8="","",[1]!thsiFinD("ths_adjustment_nv_fund",Z$3,$A8))</x:f>
        <x:v>#NAME?</x:v>
      </x:c>
      <x:c r="AA8" t="e">
        <x:f>IF($A8="","",[1]!thsiFinD("ths_adjustment_nv_fund",AA$3,$A8))</x:f>
        <x:v>#NAME?</x:v>
      </x:c>
    </x:row>
    <x:row r="9" ht="12" hidden="0">
      <x:c r="A9" s="9" t="n">
        <x:v>46198</x:v>
      </x:c>
      <x:c r="B9" s="106" t="e">
        <x:f aca="0">IF($A9="","",[1]!thsiFinD("ths_adjustment_nv_fund",B$3,$A9))</x:f>
        <x:v>#NAME?</x:v>
      </x:c>
      <x:c r="C9" s="106" t="e">
        <x:f aca="0">IF($A9="","",[1]!thsiFinD("ths_adjustment_nv_fund",C$3,$A9))</x:f>
        <x:v>#NAME?</x:v>
      </x:c>
      <x:c r="D9" s="106" t="e">
        <x:f aca="0">IF($A9="","",[1]!thsiFinD("ths_adjustment_nv_fund",D$3,$A9))</x:f>
        <x:v>#NAME?</x:v>
      </x:c>
      <x:c r="E9" s="106" t="e">
        <x:f aca="0">IF($A9="","",[1]!thsiFinD("ths_adjustment_nv_fund",E$3,$A9))</x:f>
        <x:v>#NAME?</x:v>
      </x:c>
      <x:c r="F9" s="106" t="e">
        <x:f aca="0">IF($A9="","",[1]!thsiFinD("ths_adjustment_nv_fund",F$3,$A9))</x:f>
        <x:v>#NAME?</x:v>
      </x:c>
      <x:c r="G9" s="106" t="e">
        <x:f aca="0">IF($A9="","",[1]!thsiFinD("ths_adjustment_nv_fund",G$3,$A9))</x:f>
        <x:v>#NAME?</x:v>
      </x:c>
      <x:c r="H9" s="106" t="e">
        <x:f aca="0">IF($A9="","",[1]!thsiFinD("ths_adjustment_nv_fund",H$3,$A9))</x:f>
        <x:v>#NAME?</x:v>
      </x:c>
      <x:c r="I9" s="106" t="e">
        <x:f aca="0">IF($A9="","",[1]!thsiFinD("ths_adjustment_nv_fund",I$3,$A9))</x:f>
        <x:v>#NAME?</x:v>
      </x:c>
      <x:c r="J9" s="106" t="e">
        <x:f aca="0">IF($A9="","",[1]!thsiFinD("ths_adjustment_nv_fund",J$3,$A9))</x:f>
        <x:v>#NAME?</x:v>
      </x:c>
      <x:c r="K9" s="106" t="e">
        <x:f aca="0">IF($A9="","",[1]!thsiFinD("ths_adjustment_nv_fund",K$3,$A9))</x:f>
        <x:v>#NAME?</x:v>
      </x:c>
      <x:c r="L9" s="106" t="e">
        <x:f aca="0">IF($A9="","",[1]!thsiFinD("ths_adjustment_nv_fund",L$3,$A9))</x:f>
        <x:v>#NAME?</x:v>
      </x:c>
      <x:c r="M9" s="106" t="e">
        <x:f aca="0">IF($A9="","",[1]!thsiFinD("ths_adjustment_nv_fund",M$3,$A9))</x:f>
        <x:v>#NAME?</x:v>
      </x:c>
      <x:c r="N9" s="106" t="e">
        <x:f aca="0">IF($A9="","",[1]!thsiFinD("ths_adjustment_nv_fund",N$3,$A9))</x:f>
        <x:v>#NAME?</x:v>
      </x:c>
      <x:c r="O9" s="106" t="e">
        <x:f aca="0">IF($A9="","",[1]!thsiFinD("ths_adjustment_nv_fund",O$3,$A9))</x:f>
        <x:v>#NAME?</x:v>
      </x:c>
      <x:c r="P9" s="106" t="e">
        <x:f aca="0">IF($A9="","",[1]!thsiFinD("ths_adjustment_nv_fund",P$3,$A9))</x:f>
        <x:v>#NAME?</x:v>
      </x:c>
      <x:c r="Q9" s="106" t="e">
        <x:f aca="0">IF($A9="","",[1]!thsiFinD("ths_adjustment_nv_fund",Q$3,$A9))</x:f>
        <x:v>#NAME?</x:v>
      </x:c>
      <x:c r="R9" s="106" t="e">
        <x:f aca="0">IF($A9="","",[1]!thsiFinD("ths_adjustment_nv_fund",R$3,$A9))</x:f>
        <x:v>#NAME?</x:v>
      </x:c>
      <x:c r="S9" s="106" t="e">
        <x:f aca="0">IF($A9="","",[1]!thsiFinD("ths_adjustment_nv_fund",S$3,$A9))</x:f>
        <x:v>#NAME?</x:v>
      </x:c>
      <x:c r="T9" s="106" t="e">
        <x:f aca="0">IF($A9="","",[1]!thsiFinD("ths_adjustment_nv_fund",T$3,$A9))</x:f>
        <x:v>#NAME?</x:v>
      </x:c>
      <x:c r="U9" s="106" t="e">
        <x:f aca="0">IF($A9="","",[1]!thsiFinD("ths_adjustment_nv_fund",U$3,$A9))</x:f>
        <x:v>#NAME?</x:v>
      </x:c>
      <x:c r="V9" s="106" t="e">
        <x:f aca="0">IF($A9="","",[1]!thsiFinD("ths_adjustment_nv_fund",V$3,$A9))</x:f>
        <x:v>#NAME?</x:v>
      </x:c>
      <x:c r="W9" s="106" t="e">
        <x:f aca="0">IF($A9="","",[1]!thsiFinD("ths_adjustment_nv_fund",W$3,$A9))</x:f>
        <x:v>#NAME?</x:v>
      </x:c>
      <x:c r="X9" s="106" t="e">
        <x:f aca="0">IF($A9="","",[1]!thsiFinD("ths_adjustment_nv_fund",X$3,$A9))</x:f>
        <x:v>#NAME?</x:v>
      </x:c>
      <x:c r="Y9" s="106" t="e">
        <x:f aca="0">IF($A9="","",[1]!thsiFinD("ths_adjustment_nv_fund",Y$3,$A9))</x:f>
        <x:v>#NAME?</x:v>
      </x:c>
      <x:c r="Z9" t="e">
        <x:f>IF($A9="","",[1]!thsiFinD("ths_adjustment_nv_fund",Z$3,$A9))</x:f>
        <x:v>#NAME?</x:v>
      </x:c>
      <x:c r="AA9" t="e">
        <x:f>IF($A9="","",[1]!thsiFinD("ths_adjustment_nv_fund",AA$3,$A9))</x:f>
        <x:v>#NAME?</x:v>
      </x:c>
    </x:row>
    <x:row r="10" ht="12" hidden="0">
      <x:c r="A10" s="9" t="n">
        <x:v>46199</x:v>
      </x:c>
      <x:c r="B10" s="106" t="e">
        <x:f aca="0">IF($A10="","",[1]!thsiFinD("ths_adjustment_nv_fund",B$3,$A10))</x:f>
        <x:v>#NAME?</x:v>
      </x:c>
      <x:c r="C10" s="106" t="e">
        <x:f aca="0">IF($A10="","",[1]!thsiFinD("ths_adjustment_nv_fund",C$3,$A10))</x:f>
        <x:v>#NAME?</x:v>
      </x:c>
      <x:c r="D10" s="106" t="e">
        <x:f aca="0">IF($A10="","",[1]!thsiFinD("ths_adjustment_nv_fund",D$3,$A10))</x:f>
        <x:v>#NAME?</x:v>
      </x:c>
      <x:c r="E10" s="106" t="e">
        <x:f aca="0">IF($A10="","",[1]!thsiFinD("ths_adjustment_nv_fund",E$3,$A10))</x:f>
        <x:v>#NAME?</x:v>
      </x:c>
      <x:c r="F10" s="106" t="e">
        <x:f aca="0">IF($A10="","",[1]!thsiFinD("ths_adjustment_nv_fund",F$3,$A10))</x:f>
        <x:v>#NAME?</x:v>
      </x:c>
      <x:c r="G10" s="106" t="e">
        <x:f aca="0">IF($A10="","",[1]!thsiFinD("ths_adjustment_nv_fund",G$3,$A10))</x:f>
        <x:v>#NAME?</x:v>
      </x:c>
      <x:c r="H10" s="106" t="e">
        <x:f aca="0">IF($A10="","",[1]!thsiFinD("ths_adjustment_nv_fund",H$3,$A10))</x:f>
        <x:v>#NAME?</x:v>
      </x:c>
      <x:c r="I10" s="106" t="e">
        <x:f aca="0">IF($A10="","",[1]!thsiFinD("ths_adjustment_nv_fund",I$3,$A10))</x:f>
        <x:v>#NAME?</x:v>
      </x:c>
      <x:c r="J10" s="106" t="e">
        <x:f aca="0">IF($A10="","",[1]!thsiFinD("ths_adjustment_nv_fund",J$3,$A10))</x:f>
        <x:v>#NAME?</x:v>
      </x:c>
      <x:c r="K10" s="106" t="e">
        <x:f aca="0">IF($A10="","",[1]!thsiFinD("ths_adjustment_nv_fund",K$3,$A10))</x:f>
        <x:v>#NAME?</x:v>
      </x:c>
      <x:c r="L10" s="106" t="e">
        <x:f aca="0">IF($A10="","",[1]!thsiFinD("ths_adjustment_nv_fund",L$3,$A10))</x:f>
        <x:v>#NAME?</x:v>
      </x:c>
      <x:c r="M10" s="106" t="e">
        <x:f aca="0">IF($A10="","",[1]!thsiFinD("ths_adjustment_nv_fund",M$3,$A10))</x:f>
        <x:v>#NAME?</x:v>
      </x:c>
      <x:c r="N10" s="106" t="e">
        <x:f aca="0">IF($A10="","",[1]!thsiFinD("ths_adjustment_nv_fund",N$3,$A10))</x:f>
        <x:v>#NAME?</x:v>
      </x:c>
      <x:c r="O10" s="106" t="e">
        <x:f aca="0">IF($A10="","",[1]!thsiFinD("ths_adjustment_nv_fund",O$3,$A10))</x:f>
        <x:v>#NAME?</x:v>
      </x:c>
      <x:c r="P10" s="106" t="e">
        <x:f aca="0">IF($A10="","",[1]!thsiFinD("ths_adjustment_nv_fund",P$3,$A10))</x:f>
        <x:v>#NAME?</x:v>
      </x:c>
      <x:c r="Q10" s="106" t="e">
        <x:f aca="0">IF($A10="","",[1]!thsiFinD("ths_adjustment_nv_fund",Q$3,$A10))</x:f>
        <x:v>#NAME?</x:v>
      </x:c>
      <x:c r="R10" s="106" t="e">
        <x:f aca="0">IF($A10="","",[1]!thsiFinD("ths_adjustment_nv_fund",R$3,$A10))</x:f>
        <x:v>#NAME?</x:v>
      </x:c>
      <x:c r="S10" s="106" t="e">
        <x:f aca="0">IF($A10="","",[1]!thsiFinD("ths_adjustment_nv_fund",S$3,$A10))</x:f>
        <x:v>#NAME?</x:v>
      </x:c>
      <x:c r="T10" s="106" t="e">
        <x:f aca="0">IF($A10="","",[1]!thsiFinD("ths_adjustment_nv_fund",T$3,$A10))</x:f>
        <x:v>#NAME?</x:v>
      </x:c>
      <x:c r="U10" s="106" t="e">
        <x:f aca="0">IF($A10="","",[1]!thsiFinD("ths_adjustment_nv_fund",U$3,$A10))</x:f>
        <x:v>#NAME?</x:v>
      </x:c>
      <x:c r="V10" s="106" t="e">
        <x:f aca="0">IF($A10="","",[1]!thsiFinD("ths_adjustment_nv_fund",V$3,$A10))</x:f>
        <x:v>#NAME?</x:v>
      </x:c>
      <x:c r="W10" s="106" t="e">
        <x:f aca="0">IF($A10="","",[1]!thsiFinD("ths_adjustment_nv_fund",W$3,$A10))</x:f>
        <x:v>#NAME?</x:v>
      </x:c>
      <x:c r="X10" s="106" t="e">
        <x:f aca="0">IF($A10="","",[1]!thsiFinD("ths_adjustment_nv_fund",X$3,$A10))</x:f>
        <x:v>#NAME?</x:v>
      </x:c>
      <x:c r="Y10" s="106" t="e">
        <x:f aca="0">IF($A10="","",[1]!thsiFinD("ths_adjustment_nv_fund",Y$3,$A10))</x:f>
        <x:v>#NAME?</x:v>
      </x:c>
      <x:c r="Z10" t="e">
        <x:f>IF($A10="","",[1]!thsiFinD("ths_adjustment_nv_fund",Z$3,$A10))</x:f>
        <x:v>#NAME?</x:v>
      </x:c>
      <x:c r="AA10" t="e">
        <x:f>IF($A10="","",[1]!thsiFinD("ths_adjustment_nv_fund",AA$3,$A10))</x:f>
        <x:v>#NAME?</x:v>
      </x:c>
    </x:row>
    <x:row r="11" ht="12" hidden="0">
      <x:c r="A11" s="9" t="n">
        <x:v>46202</x:v>
      </x:c>
      <x:c r="B11" s="106" t="e">
        <x:f aca="0">IF($A11="","",[1]!thsiFinD("ths_adjustment_nv_fund",B$3,$A11))</x:f>
        <x:v>#NAME?</x:v>
      </x:c>
      <x:c r="C11" s="106" t="e">
        <x:f aca="0">IF($A11="","",[1]!thsiFinD("ths_adjustment_nv_fund",C$3,$A11))</x:f>
        <x:v>#NAME?</x:v>
      </x:c>
      <x:c r="D11" s="106" t="e">
        <x:f aca="0">IF($A11="","",[1]!thsiFinD("ths_adjustment_nv_fund",D$3,$A11))</x:f>
        <x:v>#NAME?</x:v>
      </x:c>
      <x:c r="E11" s="106" t="e">
        <x:f aca="0">IF($A11="","",[1]!thsiFinD("ths_adjustment_nv_fund",E$3,$A11))</x:f>
        <x:v>#NAME?</x:v>
      </x:c>
      <x:c r="F11" s="106" t="e">
        <x:f aca="0">IF($A11="","",[1]!thsiFinD("ths_adjustment_nv_fund",F$3,$A11))</x:f>
        <x:v>#NAME?</x:v>
      </x:c>
      <x:c r="G11" s="106" t="e">
        <x:f aca="0">IF($A11="","",[1]!thsiFinD("ths_adjustment_nv_fund",G$3,$A11))</x:f>
        <x:v>#NAME?</x:v>
      </x:c>
      <x:c r="H11" s="106" t="e">
        <x:f aca="0">IF($A11="","",[1]!thsiFinD("ths_adjustment_nv_fund",H$3,$A11))</x:f>
        <x:v>#NAME?</x:v>
      </x:c>
      <x:c r="I11" s="106" t="e">
        <x:f aca="0">IF($A11="","",[1]!thsiFinD("ths_adjustment_nv_fund",I$3,$A11))</x:f>
        <x:v>#NAME?</x:v>
      </x:c>
      <x:c r="J11" s="106" t="e">
        <x:f aca="0">IF($A11="","",[1]!thsiFinD("ths_adjustment_nv_fund",J$3,$A11))</x:f>
        <x:v>#NAME?</x:v>
      </x:c>
      <x:c r="K11" s="106" t="e">
        <x:f aca="0">IF($A11="","",[1]!thsiFinD("ths_adjustment_nv_fund",K$3,$A11))</x:f>
        <x:v>#NAME?</x:v>
      </x:c>
      <x:c r="L11" s="106" t="e">
        <x:f aca="0">IF($A11="","",[1]!thsiFinD("ths_adjustment_nv_fund",L$3,$A11))</x:f>
        <x:v>#NAME?</x:v>
      </x:c>
      <x:c r="M11" s="106" t="e">
        <x:f aca="0">IF($A11="","",[1]!thsiFinD("ths_adjustment_nv_fund",M$3,$A11))</x:f>
        <x:v>#NAME?</x:v>
      </x:c>
      <x:c r="N11" s="106" t="e">
        <x:f aca="0">IF($A11="","",[1]!thsiFinD("ths_adjustment_nv_fund",N$3,$A11))</x:f>
        <x:v>#NAME?</x:v>
      </x:c>
      <x:c r="O11" s="106" t="e">
        <x:f aca="0">IF($A11="","",[1]!thsiFinD("ths_adjustment_nv_fund",O$3,$A11))</x:f>
        <x:v>#NAME?</x:v>
      </x:c>
      <x:c r="P11" s="106" t="e">
        <x:f aca="0">IF($A11="","",[1]!thsiFinD("ths_adjustment_nv_fund",P$3,$A11))</x:f>
        <x:v>#NAME?</x:v>
      </x:c>
      <x:c r="Q11" s="106" t="e">
        <x:f aca="0">IF($A11="","",[1]!thsiFinD("ths_adjustment_nv_fund",Q$3,$A11))</x:f>
        <x:v>#NAME?</x:v>
      </x:c>
      <x:c r="R11" s="106" t="e">
        <x:f aca="0">IF($A11="","",[1]!thsiFinD("ths_adjustment_nv_fund",R$3,$A11))</x:f>
        <x:v>#NAME?</x:v>
      </x:c>
      <x:c r="S11" s="106" t="e">
        <x:f aca="0">IF($A11="","",[1]!thsiFinD("ths_adjustment_nv_fund",S$3,$A11))</x:f>
        <x:v>#NAME?</x:v>
      </x:c>
      <x:c r="T11" s="106" t="e">
        <x:f aca="0">IF($A11="","",[1]!thsiFinD("ths_adjustment_nv_fund",T$3,$A11))</x:f>
        <x:v>#NAME?</x:v>
      </x:c>
      <x:c r="U11" s="106" t="e">
        <x:f aca="0">IF($A11="","",[1]!thsiFinD("ths_adjustment_nv_fund",U$3,$A11))</x:f>
        <x:v>#NAME?</x:v>
      </x:c>
      <x:c r="V11" s="106" t="e">
        <x:f aca="0">IF($A11="","",[1]!thsiFinD("ths_adjustment_nv_fund",V$3,$A11))</x:f>
        <x:v>#NAME?</x:v>
      </x:c>
      <x:c r="W11" s="106" t="e">
        <x:f aca="0">IF($A11="","",[1]!thsiFinD("ths_adjustment_nv_fund",W$3,$A11))</x:f>
        <x:v>#NAME?</x:v>
      </x:c>
      <x:c r="X11" s="106" t="e">
        <x:f aca="0">IF($A11="","",[1]!thsiFinD("ths_adjustment_nv_fund",X$3,$A11))</x:f>
        <x:v>#NAME?</x:v>
      </x:c>
      <x:c r="Y11" s="106" t="e">
        <x:f aca="0">IF($A11="","",[1]!thsiFinD("ths_adjustment_nv_fund",Y$3,$A11))</x:f>
        <x:v>#NAME?</x:v>
      </x:c>
      <x:c r="Z11" t="e">
        <x:f>IF($A11="","",[1]!thsiFinD("ths_adjustment_nv_fund",Z$3,$A11))</x:f>
        <x:v>#NAME?</x:v>
      </x:c>
      <x:c r="AA11" t="e">
        <x:f>IF($A11="","",[1]!thsiFinD("ths_adjustment_nv_fund",AA$3,$A11))</x:f>
        <x:v>#NAME?</x:v>
      </x:c>
    </x:row>
    <x:row r="12" ht="12" hidden="0">
      <x:c r="A12" s="9" t="n">
        <x:v>46203</x:v>
      </x:c>
      <x:c r="B12" s="106" t="e">
        <x:f aca="0">IF($A12="","",[1]!thsiFinD("ths_adjustment_nv_fund",B$3,$A12))</x:f>
        <x:v>#NAME?</x:v>
      </x:c>
      <x:c r="C12" s="106" t="e">
        <x:f aca="0">IF($A12="","",[1]!thsiFinD("ths_adjustment_nv_fund",C$3,$A12))</x:f>
        <x:v>#NAME?</x:v>
      </x:c>
      <x:c r="D12" s="106" t="e">
        <x:f aca="0">IF($A12="","",[1]!thsiFinD("ths_adjustment_nv_fund",D$3,$A12))</x:f>
        <x:v>#NAME?</x:v>
      </x:c>
      <x:c r="E12" s="106" t="e">
        <x:f aca="0">IF($A12="","",[1]!thsiFinD("ths_adjustment_nv_fund",E$3,$A12))</x:f>
        <x:v>#NAME?</x:v>
      </x:c>
      <x:c r="F12" s="106" t="e">
        <x:f aca="0">IF($A12="","",[1]!thsiFinD("ths_adjustment_nv_fund",F$3,$A12))</x:f>
        <x:v>#NAME?</x:v>
      </x:c>
      <x:c r="G12" s="106" t="e">
        <x:f aca="0">IF($A12="","",[1]!thsiFinD("ths_adjustment_nv_fund",G$3,$A12))</x:f>
        <x:v>#NAME?</x:v>
      </x:c>
      <x:c r="H12" s="106" t="e">
        <x:f aca="0">IF($A12="","",[1]!thsiFinD("ths_adjustment_nv_fund",H$3,$A12))</x:f>
        <x:v>#NAME?</x:v>
      </x:c>
      <x:c r="I12" s="106" t="e">
        <x:f aca="0">IF($A12="","",[1]!thsiFinD("ths_adjustment_nv_fund",I$3,$A12))</x:f>
        <x:v>#NAME?</x:v>
      </x:c>
      <x:c r="J12" s="106" t="e">
        <x:f aca="0">IF($A12="","",[1]!thsiFinD("ths_adjustment_nv_fund",J$3,$A12))</x:f>
        <x:v>#NAME?</x:v>
      </x:c>
      <x:c r="K12" s="106" t="e">
        <x:f aca="0">IF($A12="","",[1]!thsiFinD("ths_adjustment_nv_fund",K$3,$A12))</x:f>
        <x:v>#NAME?</x:v>
      </x:c>
      <x:c r="L12" s="106" t="e">
        <x:f aca="0">IF($A12="","",[1]!thsiFinD("ths_adjustment_nv_fund",L$3,$A12))</x:f>
        <x:v>#NAME?</x:v>
      </x:c>
      <x:c r="M12" s="106" t="e">
        <x:f aca="0">IF($A12="","",[1]!thsiFinD("ths_adjustment_nv_fund",M$3,$A12))</x:f>
        <x:v>#NAME?</x:v>
      </x:c>
      <x:c r="N12" s="106" t="e">
        <x:f aca="0">IF($A12="","",[1]!thsiFinD("ths_adjustment_nv_fund",N$3,$A12))</x:f>
        <x:v>#NAME?</x:v>
      </x:c>
      <x:c r="O12" s="106" t="e">
        <x:f aca="0">IF($A12="","",[1]!thsiFinD("ths_adjustment_nv_fund",O$3,$A12))</x:f>
        <x:v>#NAME?</x:v>
      </x:c>
      <x:c r="P12" s="106" t="e">
        <x:f aca="0">IF($A12="","",[1]!thsiFinD("ths_adjustment_nv_fund",P$3,$A12))</x:f>
        <x:v>#NAME?</x:v>
      </x:c>
      <x:c r="Q12" s="106" t="e">
        <x:f aca="0">IF($A12="","",[1]!thsiFinD("ths_adjustment_nv_fund",Q$3,$A12))</x:f>
        <x:v>#NAME?</x:v>
      </x:c>
      <x:c r="R12" s="106" t="e">
        <x:f aca="0">IF($A12="","",[1]!thsiFinD("ths_adjustment_nv_fund",R$3,$A12))</x:f>
        <x:v>#NAME?</x:v>
      </x:c>
      <x:c r="S12" s="106" t="e">
        <x:f aca="0">IF($A12="","",[1]!thsiFinD("ths_adjustment_nv_fund",S$3,$A12))</x:f>
        <x:v>#NAME?</x:v>
      </x:c>
      <x:c r="T12" s="106" t="e">
        <x:f aca="0">IF($A12="","",[1]!thsiFinD("ths_adjustment_nv_fund",T$3,$A12))</x:f>
        <x:v>#NAME?</x:v>
      </x:c>
      <x:c r="U12" s="106" t="e">
        <x:f aca="0">IF($A12="","",[1]!thsiFinD("ths_adjustment_nv_fund",U$3,$A12))</x:f>
        <x:v>#NAME?</x:v>
      </x:c>
      <x:c r="V12" s="106" t="e">
        <x:f aca="0">IF($A12="","",[1]!thsiFinD("ths_adjustment_nv_fund",V$3,$A12))</x:f>
        <x:v>#NAME?</x:v>
      </x:c>
      <x:c r="W12" s="106" t="e">
        <x:f aca="0">IF($A12="","",[1]!thsiFinD("ths_adjustment_nv_fund",W$3,$A12))</x:f>
        <x:v>#NAME?</x:v>
      </x:c>
      <x:c r="X12" s="106" t="e">
        <x:f aca="0">IF($A12="","",[1]!thsiFinD("ths_adjustment_nv_fund",X$3,$A12))</x:f>
        <x:v>#NAME?</x:v>
      </x:c>
      <x:c r="Y12" s="106" t="e">
        <x:f aca="0">IF($A12="","",[1]!thsiFinD("ths_adjustment_nv_fund",Y$3,$A12))</x:f>
        <x:v>#NAME?</x:v>
      </x:c>
      <x:c r="Z12" t="e">
        <x:f>IF($A12="","",[1]!thsiFinD("ths_adjustment_nv_fund",Z$3,$A12))</x:f>
        <x:v>#NAME?</x:v>
      </x:c>
      <x:c r="AA12" t="e">
        <x:f>IF($A12="","",[1]!thsiFinD("ths_adjustment_nv_fund",AA$3,$A12))</x:f>
        <x:v>#NAME?</x:v>
      </x:c>
    </x:row>
    <x:row r="13" ht="12" hidden="0">
      <x:c r="A13" s="9" t="n">
        <x:v>46204</x:v>
      </x:c>
      <x:c r="B13" s="106" t="e">
        <x:f aca="0">IF($A13="","",[1]!thsiFinD("ths_adjustment_nv_fund",B$3,$A13))</x:f>
        <x:v>#NAME?</x:v>
      </x:c>
      <x:c r="C13" s="106" t="e">
        <x:f aca="0">IF($A13="","",[1]!thsiFinD("ths_adjustment_nv_fund",C$3,$A13))</x:f>
        <x:v>#NAME?</x:v>
      </x:c>
      <x:c r="D13" s="106" t="e">
        <x:f aca="0">IF($A13="","",[1]!thsiFinD("ths_adjustment_nv_fund",D$3,$A13))</x:f>
        <x:v>#NAME?</x:v>
      </x:c>
      <x:c r="E13" s="106" t="e">
        <x:f aca="0">IF($A13="","",[1]!thsiFinD("ths_adjustment_nv_fund",E$3,$A13))</x:f>
        <x:v>#NAME?</x:v>
      </x:c>
      <x:c r="F13" s="106" t="e">
        <x:f aca="0">IF($A13="","",[1]!thsiFinD("ths_adjustment_nv_fund",F$3,$A13))</x:f>
        <x:v>#NAME?</x:v>
      </x:c>
      <x:c r="G13" s="106" t="e">
        <x:f aca="0">IF($A13="","",[1]!thsiFinD("ths_adjustment_nv_fund",G$3,$A13))</x:f>
        <x:v>#NAME?</x:v>
      </x:c>
      <x:c r="H13" s="106" t="e">
        <x:f aca="0">IF($A13="","",[1]!thsiFinD("ths_adjustment_nv_fund",H$3,$A13))</x:f>
        <x:v>#NAME?</x:v>
      </x:c>
      <x:c r="I13" s="106" t="e">
        <x:f aca="0">IF($A13="","",[1]!thsiFinD("ths_adjustment_nv_fund",I$3,$A13))</x:f>
        <x:v>#NAME?</x:v>
      </x:c>
      <x:c r="J13" s="106" t="e">
        <x:f aca="0">IF($A13="","",[1]!thsiFinD("ths_adjustment_nv_fund",J$3,$A13))</x:f>
        <x:v>#NAME?</x:v>
      </x:c>
      <x:c r="K13" s="106" t="e">
        <x:f aca="0">IF($A13="","",[1]!thsiFinD("ths_adjustment_nv_fund",K$3,$A13))</x:f>
        <x:v>#NAME?</x:v>
      </x:c>
      <x:c r="L13" s="106" t="e">
        <x:f aca="0">IF($A13="","",[1]!thsiFinD("ths_adjustment_nv_fund",L$3,$A13))</x:f>
        <x:v>#NAME?</x:v>
      </x:c>
      <x:c r="M13" s="106" t="e">
        <x:f aca="0">IF($A13="","",[1]!thsiFinD("ths_adjustment_nv_fund",M$3,$A13))</x:f>
        <x:v>#NAME?</x:v>
      </x:c>
      <x:c r="N13" s="106" t="e">
        <x:f aca="0">IF($A13="","",[1]!thsiFinD("ths_adjustment_nv_fund",N$3,$A13))</x:f>
        <x:v>#NAME?</x:v>
      </x:c>
      <x:c r="O13" s="106" t="e">
        <x:f aca="0">IF($A13="","",[1]!thsiFinD("ths_adjustment_nv_fund",O$3,$A13))</x:f>
        <x:v>#NAME?</x:v>
      </x:c>
      <x:c r="P13" s="106" t="e">
        <x:f aca="0">IF($A13="","",[1]!thsiFinD("ths_adjustment_nv_fund",P$3,$A13))</x:f>
        <x:v>#NAME?</x:v>
      </x:c>
      <x:c r="Q13" s="106" t="e">
        <x:f aca="0">IF($A13="","",[1]!thsiFinD("ths_adjustment_nv_fund",Q$3,$A13))</x:f>
        <x:v>#NAME?</x:v>
      </x:c>
      <x:c r="R13" s="106" t="e">
        <x:f aca="0">IF($A13="","",[1]!thsiFinD("ths_adjustment_nv_fund",R$3,$A13))</x:f>
        <x:v>#NAME?</x:v>
      </x:c>
      <x:c r="S13" s="106" t="e">
        <x:f aca="0">IF($A13="","",[1]!thsiFinD("ths_adjustment_nv_fund",S$3,$A13))</x:f>
        <x:v>#NAME?</x:v>
      </x:c>
      <x:c r="T13" s="106" t="e">
        <x:f aca="0">IF($A13="","",[1]!thsiFinD("ths_adjustment_nv_fund",T$3,$A13))</x:f>
        <x:v>#NAME?</x:v>
      </x:c>
      <x:c r="U13" s="106" t="e">
        <x:f aca="0">IF($A13="","",[1]!thsiFinD("ths_adjustment_nv_fund",U$3,$A13))</x:f>
        <x:v>#NAME?</x:v>
      </x:c>
      <x:c r="V13" s="106" t="e">
        <x:f aca="0">IF($A13="","",[1]!thsiFinD("ths_adjustment_nv_fund",V$3,$A13))</x:f>
        <x:v>#NAME?</x:v>
      </x:c>
      <x:c r="W13" s="106" t="e">
        <x:f aca="0">IF($A13="","",[1]!thsiFinD("ths_adjustment_nv_fund",W$3,$A13))</x:f>
        <x:v>#NAME?</x:v>
      </x:c>
      <x:c r="X13" s="106" t="e">
        <x:f aca="0">IF($A13="","",[1]!thsiFinD("ths_adjustment_nv_fund",X$3,$A13))</x:f>
        <x:v>#NAME?</x:v>
      </x:c>
      <x:c r="Y13" s="106" t="e">
        <x:f aca="0">IF($A13="","",[1]!thsiFinD("ths_adjustment_nv_fund",Y$3,$A13))</x:f>
        <x:v>#NAME?</x:v>
      </x:c>
      <x:c r="Z13" t="e">
        <x:f>IF($A13="","",[1]!thsiFinD("ths_adjustment_nv_fund",Z$3,$A13))</x:f>
        <x:v>#NAME?</x:v>
      </x:c>
      <x:c r="AA13" t="e">
        <x:f>IF($A13="","",[1]!thsiFinD("ths_adjustment_nv_fund",AA$3,$A13))</x:f>
        <x:v>#NAME?</x:v>
      </x:c>
    </x:row>
    <x:row r="14" ht="12" hidden="0">
      <x:c r="A14" s="9" t="n">
        <x:v>46205</x:v>
      </x:c>
      <x:c r="B14" s="106" t="e">
        <x:f aca="0">IF($A14="","",[1]!thsiFinD("ths_adjustment_nv_fund",B$3,$A14))</x:f>
        <x:v>#NAME?</x:v>
      </x:c>
      <x:c r="C14" s="106" t="e">
        <x:f aca="0">IF($A14="","",[1]!thsiFinD("ths_adjustment_nv_fund",C$3,$A14))</x:f>
        <x:v>#NAME?</x:v>
      </x:c>
      <x:c r="D14" s="106" t="e">
        <x:f aca="0">IF($A14="","",[1]!thsiFinD("ths_adjustment_nv_fund",D$3,$A14))</x:f>
        <x:v>#NAME?</x:v>
      </x:c>
      <x:c r="E14" s="106" t="e">
        <x:f aca="0">IF($A14="","",[1]!thsiFinD("ths_adjustment_nv_fund",E$3,$A14))</x:f>
        <x:v>#NAME?</x:v>
      </x:c>
      <x:c r="F14" s="106" t="e">
        <x:f aca="0">IF($A14="","",[1]!thsiFinD("ths_adjustment_nv_fund",F$3,$A14))</x:f>
        <x:v>#NAME?</x:v>
      </x:c>
      <x:c r="G14" s="106" t="e">
        <x:f aca="0">IF($A14="","",[1]!thsiFinD("ths_adjustment_nv_fund",G$3,$A14))</x:f>
        <x:v>#NAME?</x:v>
      </x:c>
      <x:c r="H14" s="106" t="e">
        <x:f aca="0">IF($A14="","",[1]!thsiFinD("ths_adjustment_nv_fund",H$3,$A14))</x:f>
        <x:v>#NAME?</x:v>
      </x:c>
      <x:c r="I14" s="106" t="e">
        <x:f aca="0">IF($A14="","",[1]!thsiFinD("ths_adjustment_nv_fund",I$3,$A14))</x:f>
        <x:v>#NAME?</x:v>
      </x:c>
      <x:c r="J14" s="106" t="e">
        <x:f aca="0">IF($A14="","",[1]!thsiFinD("ths_adjustment_nv_fund",J$3,$A14))</x:f>
        <x:v>#NAME?</x:v>
      </x:c>
      <x:c r="K14" s="106" t="e">
        <x:f aca="0">IF($A14="","",[1]!thsiFinD("ths_adjustment_nv_fund",K$3,$A14))</x:f>
        <x:v>#NAME?</x:v>
      </x:c>
      <x:c r="L14" s="106" t="e">
        <x:f aca="0">IF($A14="","",[1]!thsiFinD("ths_adjustment_nv_fund",L$3,$A14))</x:f>
        <x:v>#NAME?</x:v>
      </x:c>
      <x:c r="M14" s="106" t="e">
        <x:f aca="0">IF($A14="","",[1]!thsiFinD("ths_adjustment_nv_fund",M$3,$A14))</x:f>
        <x:v>#NAME?</x:v>
      </x:c>
      <x:c r="N14" s="106" t="e">
        <x:f aca="0">IF($A14="","",[1]!thsiFinD("ths_adjustment_nv_fund",N$3,$A14))</x:f>
        <x:v>#NAME?</x:v>
      </x:c>
      <x:c r="O14" s="106" t="e">
        <x:f aca="0">IF($A14="","",[1]!thsiFinD("ths_adjustment_nv_fund",O$3,$A14))</x:f>
        <x:v>#NAME?</x:v>
      </x:c>
      <x:c r="P14" s="106" t="e">
        <x:f aca="0">IF($A14="","",[1]!thsiFinD("ths_adjustment_nv_fund",P$3,$A14))</x:f>
        <x:v>#NAME?</x:v>
      </x:c>
      <x:c r="Q14" s="106" t="e">
        <x:f aca="0">IF($A14="","",[1]!thsiFinD("ths_adjustment_nv_fund",Q$3,$A14))</x:f>
        <x:v>#NAME?</x:v>
      </x:c>
      <x:c r="R14" s="106" t="e">
        <x:f aca="0">IF($A14="","",[1]!thsiFinD("ths_adjustment_nv_fund",R$3,$A14))</x:f>
        <x:v>#NAME?</x:v>
      </x:c>
      <x:c r="S14" s="106" t="e">
        <x:f aca="0">IF($A14="","",[1]!thsiFinD("ths_adjustment_nv_fund",S$3,$A14))</x:f>
        <x:v>#NAME?</x:v>
      </x:c>
      <x:c r="T14" s="106" t="e">
        <x:f aca="0">IF($A14="","",[1]!thsiFinD("ths_adjustment_nv_fund",T$3,$A14))</x:f>
        <x:v>#NAME?</x:v>
      </x:c>
      <x:c r="U14" s="106" t="e">
        <x:f aca="0">IF($A14="","",[1]!thsiFinD("ths_adjustment_nv_fund",U$3,$A14))</x:f>
        <x:v>#NAME?</x:v>
      </x:c>
      <x:c r="V14" s="106" t="e">
        <x:f aca="0">IF($A14="","",[1]!thsiFinD("ths_adjustment_nv_fund",V$3,$A14))</x:f>
        <x:v>#NAME?</x:v>
      </x:c>
      <x:c r="W14" s="106" t="e">
        <x:f aca="0">IF($A14="","",[1]!thsiFinD("ths_adjustment_nv_fund",W$3,$A14))</x:f>
        <x:v>#NAME?</x:v>
      </x:c>
      <x:c r="X14" s="106" t="e">
        <x:f aca="0">IF($A14="","",[1]!thsiFinD("ths_adjustment_nv_fund",X$3,$A14))</x:f>
        <x:v>#NAME?</x:v>
      </x:c>
      <x:c r="Y14" s="106" t="e">
        <x:f aca="0">IF($A14="","",[1]!thsiFinD("ths_adjustment_nv_fund",Y$3,$A14))</x:f>
        <x:v>#NAME?</x:v>
      </x:c>
      <x:c r="Z14" t="e">
        <x:f>IF($A14="","",[1]!thsiFinD("ths_adjustment_nv_fund",Z$3,$A14))</x:f>
        <x:v>#NAME?</x:v>
      </x:c>
      <x:c r="AA14" t="e">
        <x:f>IF($A14="","",[1]!thsiFinD("ths_adjustment_nv_fund",AA$3,$A14))</x:f>
        <x:v>#NAME?</x:v>
      </x:c>
    </x:row>
    <x:row r="15" ht="12" hidden="0">
      <x:c r="A15" s="9" t="n">
        <x:v>46206</x:v>
      </x:c>
      <x:c r="B15" s="106" t="e">
        <x:f aca="0">IF($A15="","",[1]!thsiFinD("ths_adjustment_nv_fund",B$3,$A15))</x:f>
        <x:v>#NAME?</x:v>
      </x:c>
      <x:c r="C15" s="106" t="e">
        <x:f aca="0">IF($A15="","",[1]!thsiFinD("ths_adjustment_nv_fund",C$3,$A15))</x:f>
        <x:v>#NAME?</x:v>
      </x:c>
      <x:c r="D15" s="106" t="e">
        <x:f aca="0">IF($A15="","",[1]!thsiFinD("ths_adjustment_nv_fund",D$3,$A15))</x:f>
        <x:v>#NAME?</x:v>
      </x:c>
      <x:c r="E15" s="106" t="e">
        <x:f aca="0">IF($A15="","",[1]!thsiFinD("ths_adjustment_nv_fund",E$3,$A15))</x:f>
        <x:v>#NAME?</x:v>
      </x:c>
      <x:c r="F15" s="106" t="e">
        <x:f aca="0">IF($A15="","",[1]!thsiFinD("ths_adjustment_nv_fund",F$3,$A15))</x:f>
        <x:v>#NAME?</x:v>
      </x:c>
      <x:c r="G15" s="106" t="e">
        <x:f aca="0">IF($A15="","",[1]!thsiFinD("ths_adjustment_nv_fund",G$3,$A15))</x:f>
        <x:v>#NAME?</x:v>
      </x:c>
      <x:c r="H15" s="106" t="e">
        <x:f aca="0">IF($A15="","",[1]!thsiFinD("ths_adjustment_nv_fund",H$3,$A15))</x:f>
        <x:v>#NAME?</x:v>
      </x:c>
      <x:c r="I15" s="106" t="e">
        <x:f aca="0">IF($A15="","",[1]!thsiFinD("ths_adjustment_nv_fund",I$3,$A15))</x:f>
        <x:v>#NAME?</x:v>
      </x:c>
      <x:c r="J15" s="106" t="e">
        <x:f aca="0">IF($A15="","",[1]!thsiFinD("ths_adjustment_nv_fund",J$3,$A15))</x:f>
        <x:v>#NAME?</x:v>
      </x:c>
      <x:c r="K15" s="106" t="e">
        <x:f aca="0">IF($A15="","",[1]!thsiFinD("ths_adjustment_nv_fund",K$3,$A15))</x:f>
        <x:v>#NAME?</x:v>
      </x:c>
      <x:c r="L15" s="106" t="e">
        <x:f aca="0">IF($A15="","",[1]!thsiFinD("ths_adjustment_nv_fund",L$3,$A15))</x:f>
        <x:v>#NAME?</x:v>
      </x:c>
      <x:c r="M15" s="106" t="e">
        <x:f aca="0">IF($A15="","",[1]!thsiFinD("ths_adjustment_nv_fund",M$3,$A15))</x:f>
        <x:v>#NAME?</x:v>
      </x:c>
      <x:c r="N15" s="106" t="e">
        <x:f aca="0">IF($A15="","",[1]!thsiFinD("ths_adjustment_nv_fund",N$3,$A15))</x:f>
        <x:v>#NAME?</x:v>
      </x:c>
      <x:c r="O15" s="106" t="e">
        <x:f aca="0">IF($A15="","",[1]!thsiFinD("ths_adjustment_nv_fund",O$3,$A15))</x:f>
        <x:v>#NAME?</x:v>
      </x:c>
      <x:c r="P15" s="106" t="e">
        <x:f aca="0">IF($A15="","",[1]!thsiFinD("ths_adjustment_nv_fund",P$3,$A15))</x:f>
        <x:v>#NAME?</x:v>
      </x:c>
      <x:c r="Q15" s="106" t="e">
        <x:f aca="0">IF($A15="","",[1]!thsiFinD("ths_adjustment_nv_fund",Q$3,$A15))</x:f>
        <x:v>#NAME?</x:v>
      </x:c>
      <x:c r="R15" s="106" t="e">
        <x:f aca="0">IF($A15="","",[1]!thsiFinD("ths_adjustment_nv_fund",R$3,$A15))</x:f>
        <x:v>#NAME?</x:v>
      </x:c>
      <x:c r="S15" s="106" t="e">
        <x:f aca="0">IF($A15="","",[1]!thsiFinD("ths_adjustment_nv_fund",S$3,$A15))</x:f>
        <x:v>#NAME?</x:v>
      </x:c>
      <x:c r="T15" s="106" t="e">
        <x:f aca="0">IF($A15="","",[1]!thsiFinD("ths_adjustment_nv_fund",T$3,$A15))</x:f>
        <x:v>#NAME?</x:v>
      </x:c>
      <x:c r="U15" s="106" t="e">
        <x:f aca="0">IF($A15="","",[1]!thsiFinD("ths_adjustment_nv_fund",U$3,$A15))</x:f>
        <x:v>#NAME?</x:v>
      </x:c>
      <x:c r="V15" s="106" t="e">
        <x:f aca="0">IF($A15="","",[1]!thsiFinD("ths_adjustment_nv_fund",V$3,$A15))</x:f>
        <x:v>#NAME?</x:v>
      </x:c>
      <x:c r="W15" s="106" t="e">
        <x:f aca="0">IF($A15="","",[1]!thsiFinD("ths_adjustment_nv_fund",W$3,$A15))</x:f>
        <x:v>#NAME?</x:v>
      </x:c>
      <x:c r="X15" s="106" t="e">
        <x:f aca="0">IF($A15="","",[1]!thsiFinD("ths_adjustment_nv_fund",X$3,$A15))</x:f>
        <x:v>#NAME?</x:v>
      </x:c>
      <x:c r="Y15" s="106" t="e">
        <x:f aca="0">IF($A15="","",[1]!thsiFinD("ths_adjustment_nv_fund",Y$3,$A15))</x:f>
        <x:v>#NAME?</x:v>
      </x:c>
      <x:c r="Z15" t="e">
        <x:f>IF($A15="","",[1]!thsiFinD("ths_adjustment_nv_fund",Z$3,$A15))</x:f>
        <x:v>#NAME?</x:v>
      </x:c>
      <x:c r="AA15" t="e">
        <x:f>IF($A15="","",[1]!thsiFinD("ths_adjustment_nv_fund",AA$3,$A15))</x:f>
        <x:v>#NAME?</x:v>
      </x:c>
    </x:row>
    <x:row r="16" ht="12" hidden="0">
      <x:c r="A16" s="9" t="n">
        <x:v>46209</x:v>
      </x:c>
      <x:c r="B16" s="106" t="e">
        <x:f aca="0">IF($A16="","",[1]!thsiFinD("ths_adjustment_nv_fund",B$3,$A16))</x:f>
        <x:v>#NAME?</x:v>
      </x:c>
      <x:c r="C16" s="106" t="e">
        <x:f aca="0">IF($A16="","",[1]!thsiFinD("ths_adjustment_nv_fund",C$3,$A16))</x:f>
        <x:v>#NAME?</x:v>
      </x:c>
      <x:c r="D16" s="106" t="e">
        <x:f aca="0">IF($A16="","",[1]!thsiFinD("ths_adjustment_nv_fund",D$3,$A16))</x:f>
        <x:v>#NAME?</x:v>
      </x:c>
      <x:c r="E16" s="106" t="e">
        <x:f aca="0">IF($A16="","",[1]!thsiFinD("ths_adjustment_nv_fund",E$3,$A16))</x:f>
        <x:v>#NAME?</x:v>
      </x:c>
      <x:c r="F16" s="106" t="e">
        <x:f aca="0">IF($A16="","",[1]!thsiFinD("ths_adjustment_nv_fund",F$3,$A16))</x:f>
        <x:v>#NAME?</x:v>
      </x:c>
      <x:c r="G16" s="106" t="e">
        <x:f aca="0">IF($A16="","",[1]!thsiFinD("ths_adjustment_nv_fund",G$3,$A16))</x:f>
        <x:v>#NAME?</x:v>
      </x:c>
      <x:c r="H16" s="106" t="e">
        <x:f aca="0">IF($A16="","",[1]!thsiFinD("ths_adjustment_nv_fund",H$3,$A16))</x:f>
        <x:v>#NAME?</x:v>
      </x:c>
      <x:c r="I16" s="106" t="e">
        <x:f aca="0">IF($A16="","",[1]!thsiFinD("ths_adjustment_nv_fund",I$3,$A16))</x:f>
        <x:v>#NAME?</x:v>
      </x:c>
      <x:c r="J16" s="106" t="e">
        <x:f aca="0">IF($A16="","",[1]!thsiFinD("ths_adjustment_nv_fund",J$3,$A16))</x:f>
        <x:v>#NAME?</x:v>
      </x:c>
      <x:c r="K16" s="106" t="e">
        <x:f aca="0">IF($A16="","",[1]!thsiFinD("ths_adjustment_nv_fund",K$3,$A16))</x:f>
        <x:v>#NAME?</x:v>
      </x:c>
      <x:c r="L16" s="106" t="e">
        <x:f aca="0">IF($A16="","",[1]!thsiFinD("ths_adjustment_nv_fund",L$3,$A16))</x:f>
        <x:v>#NAME?</x:v>
      </x:c>
      <x:c r="M16" s="106" t="e">
        <x:f aca="0">IF($A16="","",[1]!thsiFinD("ths_adjustment_nv_fund",M$3,$A16))</x:f>
        <x:v>#NAME?</x:v>
      </x:c>
      <x:c r="N16" s="106" t="e">
        <x:f aca="0">IF($A16="","",[1]!thsiFinD("ths_adjustment_nv_fund",N$3,$A16))</x:f>
        <x:v>#NAME?</x:v>
      </x:c>
      <x:c r="O16" s="106" t="e">
        <x:f aca="0">IF($A16="","",[1]!thsiFinD("ths_adjustment_nv_fund",O$3,$A16))</x:f>
        <x:v>#NAME?</x:v>
      </x:c>
      <x:c r="P16" s="106" t="e">
        <x:f aca="0">IF($A16="","",[1]!thsiFinD("ths_adjustment_nv_fund",P$3,$A16))</x:f>
        <x:v>#NAME?</x:v>
      </x:c>
      <x:c r="Q16" s="106" t="e">
        <x:f aca="0">IF($A16="","",[1]!thsiFinD("ths_adjustment_nv_fund",Q$3,$A16))</x:f>
        <x:v>#NAME?</x:v>
      </x:c>
      <x:c r="R16" s="106" t="e">
        <x:f aca="0">IF($A16="","",[1]!thsiFinD("ths_adjustment_nv_fund",R$3,$A16))</x:f>
        <x:v>#NAME?</x:v>
      </x:c>
      <x:c r="S16" s="106" t="e">
        <x:f aca="0">IF($A16="","",[1]!thsiFinD("ths_adjustment_nv_fund",S$3,$A16))</x:f>
        <x:v>#NAME?</x:v>
      </x:c>
      <x:c r="T16" s="106" t="e">
        <x:f aca="0">IF($A16="","",[1]!thsiFinD("ths_adjustment_nv_fund",T$3,$A16))</x:f>
        <x:v>#NAME?</x:v>
      </x:c>
      <x:c r="U16" s="106" t="e">
        <x:f aca="0">IF($A16="","",[1]!thsiFinD("ths_adjustment_nv_fund",U$3,$A16))</x:f>
        <x:v>#NAME?</x:v>
      </x:c>
      <x:c r="V16" s="106" t="e">
        <x:f aca="0">IF($A16="","",[1]!thsiFinD("ths_adjustment_nv_fund",V$3,$A16))</x:f>
        <x:v>#NAME?</x:v>
      </x:c>
      <x:c r="W16" s="106" t="e">
        <x:f aca="0">IF($A16="","",[1]!thsiFinD("ths_adjustment_nv_fund",W$3,$A16))</x:f>
        <x:v>#NAME?</x:v>
      </x:c>
      <x:c r="X16" s="106" t="e">
        <x:f aca="0">IF($A16="","",[1]!thsiFinD("ths_adjustment_nv_fund",X$3,$A16))</x:f>
        <x:v>#NAME?</x:v>
      </x:c>
      <x:c r="Y16" s="106" t="e">
        <x:f aca="0">IF($A16="","",[1]!thsiFinD("ths_adjustment_nv_fund",Y$3,$A16))</x:f>
        <x:v>#NAME?</x:v>
      </x:c>
      <x:c r="Z16" t="e">
        <x:f>IF($A16="","",[1]!thsiFinD("ths_adjustment_nv_fund",Z$3,$A16))</x:f>
        <x:v>#NAME?</x:v>
      </x:c>
      <x:c r="AA16" t="e">
        <x:f>IF($A16="","",[1]!thsiFinD("ths_adjustment_nv_fund",AA$3,$A16))</x:f>
        <x:v>#NAME?</x:v>
      </x:c>
    </x:row>
    <x:row r="17" ht="12" hidden="0">
      <x:c r="A17" s="9" t="n">
        <x:v>46210</x:v>
      </x:c>
      <x:c r="B17" s="106" t="e">
        <x:f aca="0">IF($A17="","",[1]!thsiFinD("ths_adjustment_nv_fund",B$3,$A17))</x:f>
        <x:v>#NAME?</x:v>
      </x:c>
      <x:c r="C17" s="106" t="e">
        <x:f aca="0">IF($A17="","",[1]!thsiFinD("ths_adjustment_nv_fund",C$3,$A17))</x:f>
        <x:v>#NAME?</x:v>
      </x:c>
      <x:c r="D17" s="106" t="e">
        <x:f aca="0">IF($A17="","",[1]!thsiFinD("ths_adjustment_nv_fund",D$3,$A17))</x:f>
        <x:v>#NAME?</x:v>
      </x:c>
      <x:c r="E17" s="106" t="e">
        <x:f aca="0">IF($A17="","",[1]!thsiFinD("ths_adjustment_nv_fund",E$3,$A17))</x:f>
        <x:v>#NAME?</x:v>
      </x:c>
      <x:c r="F17" s="106" t="e">
        <x:f aca="0">IF($A17="","",[1]!thsiFinD("ths_adjustment_nv_fund",F$3,$A17))</x:f>
        <x:v>#NAME?</x:v>
      </x:c>
      <x:c r="G17" s="106" t="e">
        <x:f aca="0">IF($A17="","",[1]!thsiFinD("ths_adjustment_nv_fund",G$3,$A17))</x:f>
        <x:v>#NAME?</x:v>
      </x:c>
      <x:c r="H17" s="106" t="e">
        <x:f aca="0">IF($A17="","",[1]!thsiFinD("ths_adjustment_nv_fund",H$3,$A17))</x:f>
        <x:v>#NAME?</x:v>
      </x:c>
      <x:c r="I17" s="106" t="e">
        <x:f aca="0">IF($A17="","",[1]!thsiFinD("ths_adjustment_nv_fund",I$3,$A17))</x:f>
        <x:v>#NAME?</x:v>
      </x:c>
      <x:c r="J17" s="106" t="e">
        <x:f aca="0">IF($A17="","",[1]!thsiFinD("ths_adjustment_nv_fund",J$3,$A17))</x:f>
        <x:v>#NAME?</x:v>
      </x:c>
      <x:c r="K17" s="106" t="e">
        <x:f aca="0">IF($A17="","",[1]!thsiFinD("ths_adjustment_nv_fund",K$3,$A17))</x:f>
        <x:v>#NAME?</x:v>
      </x:c>
      <x:c r="L17" s="106" t="e">
        <x:f aca="0">IF($A17="","",[1]!thsiFinD("ths_adjustment_nv_fund",L$3,$A17))</x:f>
        <x:v>#NAME?</x:v>
      </x:c>
      <x:c r="M17" s="106" t="e">
        <x:f aca="0">IF($A17="","",[1]!thsiFinD("ths_adjustment_nv_fund",M$3,$A17))</x:f>
        <x:v>#NAME?</x:v>
      </x:c>
      <x:c r="N17" s="106" t="e">
        <x:f aca="0">IF($A17="","",[1]!thsiFinD("ths_adjustment_nv_fund",N$3,$A17))</x:f>
        <x:v>#NAME?</x:v>
      </x:c>
      <x:c r="O17" s="106" t="e">
        <x:f aca="0">IF($A17="","",[1]!thsiFinD("ths_adjustment_nv_fund",O$3,$A17))</x:f>
        <x:v>#NAME?</x:v>
      </x:c>
      <x:c r="P17" s="106" t="e">
        <x:f aca="0">IF($A17="","",[1]!thsiFinD("ths_adjustment_nv_fund",P$3,$A17))</x:f>
        <x:v>#NAME?</x:v>
      </x:c>
      <x:c r="Q17" s="106" t="e">
        <x:f aca="0">IF($A17="","",[1]!thsiFinD("ths_adjustment_nv_fund",Q$3,$A17))</x:f>
        <x:v>#NAME?</x:v>
      </x:c>
      <x:c r="R17" s="106" t="e">
        <x:f aca="0">IF($A17="","",[1]!thsiFinD("ths_adjustment_nv_fund",R$3,$A17))</x:f>
        <x:v>#NAME?</x:v>
      </x:c>
      <x:c r="S17" s="106" t="e">
        <x:f aca="0">IF($A17="","",[1]!thsiFinD("ths_adjustment_nv_fund",S$3,$A17))</x:f>
        <x:v>#NAME?</x:v>
      </x:c>
      <x:c r="T17" s="106" t="e">
        <x:f aca="0">IF($A17="","",[1]!thsiFinD("ths_adjustment_nv_fund",T$3,$A17))</x:f>
        <x:v>#NAME?</x:v>
      </x:c>
      <x:c r="U17" s="106" t="e">
        <x:f aca="0">IF($A17="","",[1]!thsiFinD("ths_adjustment_nv_fund",U$3,$A17))</x:f>
        <x:v>#NAME?</x:v>
      </x:c>
      <x:c r="V17" s="106" t="e">
        <x:f aca="0">IF($A17="","",[1]!thsiFinD("ths_adjustment_nv_fund",V$3,$A17))</x:f>
        <x:v>#NAME?</x:v>
      </x:c>
      <x:c r="W17" s="106" t="e">
        <x:f aca="0">IF($A17="","",[1]!thsiFinD("ths_adjustment_nv_fund",W$3,$A17))</x:f>
        <x:v>#NAME?</x:v>
      </x:c>
      <x:c r="X17" s="106" t="e">
        <x:f aca="0">IF($A17="","",[1]!thsiFinD("ths_adjustment_nv_fund",X$3,$A17))</x:f>
        <x:v>#NAME?</x:v>
      </x:c>
      <x:c r="Y17" s="106" t="e">
        <x:f aca="0">IF($A17="","",[1]!thsiFinD("ths_adjustment_nv_fund",Y$3,$A17))</x:f>
        <x:v>#NAME?</x:v>
      </x:c>
      <x:c r="Z17" t="e">
        <x:f>IF($A17="","",[1]!thsiFinD("ths_adjustment_nv_fund",Z$3,$A17))</x:f>
        <x:v>#NAME?</x:v>
      </x:c>
      <x:c r="AA17" t="e">
        <x:f>IF($A17="","",[1]!thsiFinD("ths_adjustment_nv_fund",AA$3,$A17))</x:f>
        <x:v>#NAME?</x:v>
      </x:c>
    </x:row>
    <x:row r="18" ht="12" hidden="0">
      <x:c r="A18" s="9" t="n">
        <x:v>46211</x:v>
      </x:c>
      <x:c r="B18" s="106" t="e">
        <x:f aca="0">IF($A18="","",[1]!thsiFinD("ths_adjustment_nv_fund",B$3,$A18))</x:f>
        <x:v>#NAME?</x:v>
      </x:c>
      <x:c r="C18" s="106" t="e">
        <x:f aca="0">IF($A18="","",[1]!thsiFinD("ths_adjustment_nv_fund",C$3,$A18))</x:f>
        <x:v>#NAME?</x:v>
      </x:c>
      <x:c r="D18" s="106" t="e">
        <x:f aca="0">IF($A18="","",[1]!thsiFinD("ths_adjustment_nv_fund",D$3,$A18))</x:f>
        <x:v>#NAME?</x:v>
      </x:c>
      <x:c r="E18" s="106" t="e">
        <x:f aca="0">IF($A18="","",[1]!thsiFinD("ths_adjustment_nv_fund",E$3,$A18))</x:f>
        <x:v>#NAME?</x:v>
      </x:c>
      <x:c r="F18" s="106" t="e">
        <x:f aca="0">IF($A18="","",[1]!thsiFinD("ths_adjustment_nv_fund",F$3,$A18))</x:f>
        <x:v>#NAME?</x:v>
      </x:c>
      <x:c r="G18" s="106" t="e">
        <x:f aca="0">IF($A18="","",[1]!thsiFinD("ths_adjustment_nv_fund",G$3,$A18))</x:f>
        <x:v>#NAME?</x:v>
      </x:c>
      <x:c r="H18" s="106" t="e">
        <x:f aca="0">IF($A18="","",[1]!thsiFinD("ths_adjustment_nv_fund",H$3,$A18))</x:f>
        <x:v>#NAME?</x:v>
      </x:c>
      <x:c r="I18" s="106" t="e">
        <x:f aca="0">IF($A18="","",[1]!thsiFinD("ths_adjustment_nv_fund",I$3,$A18))</x:f>
        <x:v>#NAME?</x:v>
      </x:c>
      <x:c r="J18" s="106" t="e">
        <x:f aca="0">IF($A18="","",[1]!thsiFinD("ths_adjustment_nv_fund",J$3,$A18))</x:f>
        <x:v>#NAME?</x:v>
      </x:c>
      <x:c r="K18" s="106" t="e">
        <x:f aca="0">IF($A18="","",[1]!thsiFinD("ths_adjustment_nv_fund",K$3,$A18))</x:f>
        <x:v>#NAME?</x:v>
      </x:c>
      <x:c r="L18" s="106" t="e">
        <x:f aca="0">IF($A18="","",[1]!thsiFinD("ths_adjustment_nv_fund",L$3,$A18))</x:f>
        <x:v>#NAME?</x:v>
      </x:c>
      <x:c r="M18" s="106" t="e">
        <x:f aca="0">IF($A18="","",[1]!thsiFinD("ths_adjustment_nv_fund",M$3,$A18))</x:f>
        <x:v>#NAME?</x:v>
      </x:c>
      <x:c r="N18" s="106" t="e">
        <x:f aca="0">IF($A18="","",[1]!thsiFinD("ths_adjustment_nv_fund",N$3,$A18))</x:f>
        <x:v>#NAME?</x:v>
      </x:c>
      <x:c r="O18" s="106" t="e">
        <x:f aca="0">IF($A18="","",[1]!thsiFinD("ths_adjustment_nv_fund",O$3,$A18))</x:f>
        <x:v>#NAME?</x:v>
      </x:c>
      <x:c r="P18" s="106" t="e">
        <x:f aca="0">IF($A18="","",[1]!thsiFinD("ths_adjustment_nv_fund",P$3,$A18))</x:f>
        <x:v>#NAME?</x:v>
      </x:c>
      <x:c r="Q18" s="106" t="e">
        <x:f aca="0">IF($A18="","",[1]!thsiFinD("ths_adjustment_nv_fund",Q$3,$A18))</x:f>
        <x:v>#NAME?</x:v>
      </x:c>
      <x:c r="R18" s="106" t="e">
        <x:f aca="0">IF($A18="","",[1]!thsiFinD("ths_adjustment_nv_fund",R$3,$A18))</x:f>
        <x:v>#NAME?</x:v>
      </x:c>
      <x:c r="S18" s="106" t="e">
        <x:f aca="0">IF($A18="","",[1]!thsiFinD("ths_adjustment_nv_fund",S$3,$A18))</x:f>
        <x:v>#NAME?</x:v>
      </x:c>
      <x:c r="T18" s="106" t="e">
        <x:f aca="0">IF($A18="","",[1]!thsiFinD("ths_adjustment_nv_fund",T$3,$A18))</x:f>
        <x:v>#NAME?</x:v>
      </x:c>
      <x:c r="U18" s="106" t="e">
        <x:f aca="0">IF($A18="","",[1]!thsiFinD("ths_adjustment_nv_fund",U$3,$A18))</x:f>
        <x:v>#NAME?</x:v>
      </x:c>
      <x:c r="V18" s="106" t="e">
        <x:f aca="0">IF($A18="","",[1]!thsiFinD("ths_adjustment_nv_fund",V$3,$A18))</x:f>
        <x:v>#NAME?</x:v>
      </x:c>
      <x:c r="W18" s="106" t="e">
        <x:f aca="0">IF($A18="","",[1]!thsiFinD("ths_adjustment_nv_fund",W$3,$A18))</x:f>
        <x:v>#NAME?</x:v>
      </x:c>
      <x:c r="X18" s="106" t="e">
        <x:f aca="0">IF($A18="","",[1]!thsiFinD("ths_adjustment_nv_fund",X$3,$A18))</x:f>
        <x:v>#NAME?</x:v>
      </x:c>
      <x:c r="Y18" s="106" t="e">
        <x:f aca="0">IF($A18="","",[1]!thsiFinD("ths_adjustment_nv_fund",Y$3,$A18))</x:f>
        <x:v>#NAME?</x:v>
      </x:c>
      <x:c r="Z18" t="e">
        <x:f>IF($A18="","",[1]!thsiFinD("ths_adjustment_nv_fund",Z$3,$A18))</x:f>
        <x:v>#NAME?</x:v>
      </x:c>
      <x:c r="AA18" t="e">
        <x:f>IF($A18="","",[1]!thsiFinD("ths_adjustment_nv_fund",AA$3,$A18))</x:f>
        <x:v>#NAME?</x:v>
      </x:c>
    </x:row>
    <x:row r="19" ht="12" hidden="0">
      <x:c r="A19" s="9" t="n">
        <x:v>46212</x:v>
      </x:c>
      <x:c r="B19" s="106" t="e">
        <x:f aca="0">IF($A19="","",[1]!thsiFinD("ths_adjustment_nv_fund",B$3,$A19))</x:f>
        <x:v>#NAME?</x:v>
      </x:c>
      <x:c r="C19" s="106" t="e">
        <x:f aca="0">IF($A19="","",[1]!thsiFinD("ths_adjustment_nv_fund",C$3,$A19))</x:f>
        <x:v>#NAME?</x:v>
      </x:c>
      <x:c r="D19" s="106" t="e">
        <x:f aca="0">IF($A19="","",[1]!thsiFinD("ths_adjustment_nv_fund",D$3,$A19))</x:f>
        <x:v>#NAME?</x:v>
      </x:c>
      <x:c r="E19" s="106" t="e">
        <x:f aca="0">IF($A19="","",[1]!thsiFinD("ths_adjustment_nv_fund",E$3,$A19))</x:f>
        <x:v>#NAME?</x:v>
      </x:c>
      <x:c r="F19" s="106" t="e">
        <x:f aca="0">IF($A19="","",[1]!thsiFinD("ths_adjustment_nv_fund",F$3,$A19))</x:f>
        <x:v>#NAME?</x:v>
      </x:c>
      <x:c r="G19" s="106" t="e">
        <x:f aca="0">IF($A19="","",[1]!thsiFinD("ths_adjustment_nv_fund",G$3,$A19))</x:f>
        <x:v>#NAME?</x:v>
      </x:c>
      <x:c r="H19" s="106" t="e">
        <x:f aca="0">IF($A19="","",[1]!thsiFinD("ths_adjustment_nv_fund",H$3,$A19))</x:f>
        <x:v>#NAME?</x:v>
      </x:c>
      <x:c r="I19" s="106" t="e">
        <x:f aca="0">IF($A19="","",[1]!thsiFinD("ths_adjustment_nv_fund",I$3,$A19))</x:f>
        <x:v>#NAME?</x:v>
      </x:c>
      <x:c r="J19" s="106" t="e">
        <x:f aca="0">IF($A19="","",[1]!thsiFinD("ths_adjustment_nv_fund",J$3,$A19))</x:f>
        <x:v>#NAME?</x:v>
      </x:c>
      <x:c r="K19" s="106" t="e">
        <x:f aca="0">IF($A19="","",[1]!thsiFinD("ths_adjustment_nv_fund",K$3,$A19))</x:f>
        <x:v>#NAME?</x:v>
      </x:c>
      <x:c r="L19" s="106" t="e">
        <x:f aca="0">IF($A19="","",[1]!thsiFinD("ths_adjustment_nv_fund",L$3,$A19))</x:f>
        <x:v>#NAME?</x:v>
      </x:c>
      <x:c r="M19" s="106" t="e">
        <x:f aca="0">IF($A19="","",[1]!thsiFinD("ths_adjustment_nv_fund",M$3,$A19))</x:f>
        <x:v>#NAME?</x:v>
      </x:c>
      <x:c r="N19" s="106" t="e">
        <x:f aca="0">IF($A19="","",[1]!thsiFinD("ths_adjustment_nv_fund",N$3,$A19))</x:f>
        <x:v>#NAME?</x:v>
      </x:c>
      <x:c r="O19" s="106" t="e">
        <x:f aca="0">IF($A19="","",[1]!thsiFinD("ths_adjustment_nv_fund",O$3,$A19))</x:f>
        <x:v>#NAME?</x:v>
      </x:c>
      <x:c r="P19" s="106" t="e">
        <x:f aca="0">IF($A19="","",[1]!thsiFinD("ths_adjustment_nv_fund",P$3,$A19))</x:f>
        <x:v>#NAME?</x:v>
      </x:c>
      <x:c r="Q19" s="106" t="e">
        <x:f aca="0">IF($A19="","",[1]!thsiFinD("ths_adjustment_nv_fund",Q$3,$A19))</x:f>
        <x:v>#NAME?</x:v>
      </x:c>
      <x:c r="R19" s="106" t="e">
        <x:f aca="0">IF($A19="","",[1]!thsiFinD("ths_adjustment_nv_fund",R$3,$A19))</x:f>
        <x:v>#NAME?</x:v>
      </x:c>
      <x:c r="S19" s="106" t="e">
        <x:f aca="0">IF($A19="","",[1]!thsiFinD("ths_adjustment_nv_fund",S$3,$A19))</x:f>
        <x:v>#NAME?</x:v>
      </x:c>
      <x:c r="T19" s="106" t="e">
        <x:f aca="0">IF($A19="","",[1]!thsiFinD("ths_adjustment_nv_fund",T$3,$A19))</x:f>
        <x:v>#NAME?</x:v>
      </x:c>
      <x:c r="U19" s="106" t="e">
        <x:f aca="0">IF($A19="","",[1]!thsiFinD("ths_adjustment_nv_fund",U$3,$A19))</x:f>
        <x:v>#NAME?</x:v>
      </x:c>
      <x:c r="V19" s="106" t="e">
        <x:f aca="0">IF($A19="","",[1]!thsiFinD("ths_adjustment_nv_fund",V$3,$A19))</x:f>
        <x:v>#NAME?</x:v>
      </x:c>
      <x:c r="W19" s="106" t="e">
        <x:f aca="0">IF($A19="","",[1]!thsiFinD("ths_adjustment_nv_fund",W$3,$A19))</x:f>
        <x:v>#NAME?</x:v>
      </x:c>
      <x:c r="X19" s="106" t="e">
        <x:f aca="0">IF($A19="","",[1]!thsiFinD("ths_adjustment_nv_fund",X$3,$A19))</x:f>
        <x:v>#NAME?</x:v>
      </x:c>
      <x:c r="Y19" s="106" t="e">
        <x:f aca="0">IF($A19="","",[1]!thsiFinD("ths_adjustment_nv_fund",Y$3,$A19))</x:f>
        <x:v>#NAME?</x:v>
      </x:c>
      <x:c r="Z19" t="e">
        <x:f>IF($A19="","",[1]!thsiFinD("ths_adjustment_nv_fund",Z$3,$A19))</x:f>
        <x:v>#NAME?</x:v>
      </x:c>
      <x:c r="AA19" t="e">
        <x:f>IF($A19="","",[1]!thsiFinD("ths_adjustment_nv_fund",AA$3,$A19))</x:f>
        <x:v>#NAME?</x:v>
      </x:c>
    </x:row>
    <x:row r="20" ht="12" hidden="0">
      <x:c r="A20" s="9" t="n">
        <x:v>46213</x:v>
      </x:c>
      <x:c r="B20" s="106" t="e">
        <x:f aca="0">IF($A20="","",[1]!thsiFinD("ths_adjustment_nv_fund",B$3,$A20))</x:f>
        <x:v>#NAME?</x:v>
      </x:c>
      <x:c r="C20" s="106" t="e">
        <x:f aca="0">IF($A20="","",[1]!thsiFinD("ths_adjustment_nv_fund",C$3,$A20))</x:f>
        <x:v>#NAME?</x:v>
      </x:c>
      <x:c r="D20" s="106" t="e">
        <x:f aca="0">IF($A20="","",[1]!thsiFinD("ths_adjustment_nv_fund",D$3,$A20))</x:f>
        <x:v>#NAME?</x:v>
      </x:c>
      <x:c r="E20" s="106" t="e">
        <x:f aca="0">IF($A20="","",[1]!thsiFinD("ths_adjustment_nv_fund",E$3,$A20))</x:f>
        <x:v>#NAME?</x:v>
      </x:c>
      <x:c r="F20" s="106" t="e">
        <x:f aca="0">IF($A20="","",[1]!thsiFinD("ths_adjustment_nv_fund",F$3,$A20))</x:f>
        <x:v>#NAME?</x:v>
      </x:c>
      <x:c r="G20" s="106" t="e">
        <x:f aca="0">IF($A20="","",[1]!thsiFinD("ths_adjustment_nv_fund",G$3,$A20))</x:f>
        <x:v>#NAME?</x:v>
      </x:c>
      <x:c r="H20" s="106" t="e">
        <x:f aca="0">IF($A20="","",[1]!thsiFinD("ths_adjustment_nv_fund",H$3,$A20))</x:f>
        <x:v>#NAME?</x:v>
      </x:c>
      <x:c r="I20" s="106" t="e">
        <x:f aca="0">IF($A20="","",[1]!thsiFinD("ths_adjustment_nv_fund",I$3,$A20))</x:f>
        <x:v>#NAME?</x:v>
      </x:c>
      <x:c r="J20" s="106" t="e">
        <x:f aca="0">IF($A20="","",[1]!thsiFinD("ths_adjustment_nv_fund",J$3,$A20))</x:f>
        <x:v>#NAME?</x:v>
      </x:c>
      <x:c r="K20" s="106" t="e">
        <x:f aca="0">IF($A20="","",[1]!thsiFinD("ths_adjustment_nv_fund",K$3,$A20))</x:f>
        <x:v>#NAME?</x:v>
      </x:c>
      <x:c r="L20" s="106" t="e">
        <x:f aca="0">IF($A20="","",[1]!thsiFinD("ths_adjustment_nv_fund",L$3,$A20))</x:f>
        <x:v>#NAME?</x:v>
      </x:c>
      <x:c r="M20" s="106" t="e">
        <x:f aca="0">IF($A20="","",[1]!thsiFinD("ths_adjustment_nv_fund",M$3,$A20))</x:f>
        <x:v>#NAME?</x:v>
      </x:c>
      <x:c r="N20" s="106" t="e">
        <x:f aca="0">IF($A20="","",[1]!thsiFinD("ths_adjustment_nv_fund",N$3,$A20))</x:f>
        <x:v>#NAME?</x:v>
      </x:c>
      <x:c r="O20" s="106" t="e">
        <x:f aca="0">IF($A20="","",[1]!thsiFinD("ths_adjustment_nv_fund",O$3,$A20))</x:f>
        <x:v>#NAME?</x:v>
      </x:c>
      <x:c r="P20" s="106" t="e">
        <x:f aca="0">IF($A20="","",[1]!thsiFinD("ths_adjustment_nv_fund",P$3,$A20))</x:f>
        <x:v>#NAME?</x:v>
      </x:c>
      <x:c r="Q20" s="106" t="e">
        <x:f aca="0">IF($A20="","",[1]!thsiFinD("ths_adjustment_nv_fund",Q$3,$A20))</x:f>
        <x:v>#NAME?</x:v>
      </x:c>
      <x:c r="R20" s="106" t="e">
        <x:f aca="0">IF($A20="","",[1]!thsiFinD("ths_adjustment_nv_fund",R$3,$A20))</x:f>
        <x:v>#NAME?</x:v>
      </x:c>
      <x:c r="S20" s="106" t="e">
        <x:f aca="0">IF($A20="","",[1]!thsiFinD("ths_adjustment_nv_fund",S$3,$A20))</x:f>
        <x:v>#NAME?</x:v>
      </x:c>
      <x:c r="T20" s="106" t="e">
        <x:f aca="0">IF($A20="","",[1]!thsiFinD("ths_adjustment_nv_fund",T$3,$A20))</x:f>
        <x:v>#NAME?</x:v>
      </x:c>
      <x:c r="U20" s="106" t="e">
        <x:f aca="0">IF($A20="","",[1]!thsiFinD("ths_adjustment_nv_fund",U$3,$A20))</x:f>
        <x:v>#NAME?</x:v>
      </x:c>
      <x:c r="V20" s="106" t="e">
        <x:f aca="0">IF($A20="","",[1]!thsiFinD("ths_adjustment_nv_fund",V$3,$A20))</x:f>
        <x:v>#NAME?</x:v>
      </x:c>
      <x:c r="W20" s="106" t="e">
        <x:f aca="0">IF($A20="","",[1]!thsiFinD("ths_adjustment_nv_fund",W$3,$A20))</x:f>
        <x:v>#NAME?</x:v>
      </x:c>
      <x:c r="X20" s="106" t="e">
        <x:f aca="0">IF($A20="","",[1]!thsiFinD("ths_adjustment_nv_fund",X$3,$A20))</x:f>
        <x:v>#NAME?</x:v>
      </x:c>
      <x:c r="Y20" s="106" t="e">
        <x:f aca="0">IF($A20="","",[1]!thsiFinD("ths_adjustment_nv_fund",Y$3,$A20))</x:f>
        <x:v>#NAME?</x:v>
      </x:c>
      <x:c r="Z20" t="e">
        <x:f>IF($A20="","",[1]!thsiFinD("ths_adjustment_nv_fund",Z$3,$A20))</x:f>
        <x:v>#NAME?</x:v>
      </x:c>
      <x:c r="AA20" t="e">
        <x:f>IF($A20="","",[1]!thsiFinD("ths_adjustment_nv_fund",AA$3,$A20))</x:f>
        <x:v>#NAME?</x:v>
      </x:c>
    </x:row>
    <x:row r="21" ht="12" hidden="0">
      <x:c r="A21" s="9" t="n">
        <x:v>46216</x:v>
      </x:c>
      <x:c r="B21" s="106" t="e">
        <x:f aca="0">IF($A21="","",[1]!thsiFinD("ths_adjustment_nv_fund",B$3,$A21))</x:f>
        <x:v>#NAME?</x:v>
      </x:c>
      <x:c r="C21" s="106" t="e">
        <x:f aca="0">IF($A21="","",[1]!thsiFinD("ths_adjustment_nv_fund",C$3,$A21))</x:f>
        <x:v>#NAME?</x:v>
      </x:c>
      <x:c r="D21" s="106" t="e">
        <x:f aca="0">IF($A21="","",[1]!thsiFinD("ths_adjustment_nv_fund",D$3,$A21))</x:f>
        <x:v>#NAME?</x:v>
      </x:c>
      <x:c r="E21" s="106" t="e">
        <x:f aca="0">IF($A21="","",[1]!thsiFinD("ths_adjustment_nv_fund",E$3,$A21))</x:f>
        <x:v>#NAME?</x:v>
      </x:c>
      <x:c r="F21" s="106" t="e">
        <x:f aca="0">IF($A21="","",[1]!thsiFinD("ths_adjustment_nv_fund",F$3,$A21))</x:f>
        <x:v>#NAME?</x:v>
      </x:c>
      <x:c r="G21" s="106" t="e">
        <x:f aca="0">IF($A21="","",[1]!thsiFinD("ths_adjustment_nv_fund",G$3,$A21))</x:f>
        <x:v>#NAME?</x:v>
      </x:c>
      <x:c r="H21" s="106" t="e">
        <x:f aca="0">IF($A21="","",[1]!thsiFinD("ths_adjustment_nv_fund",H$3,$A21))</x:f>
        <x:v>#NAME?</x:v>
      </x:c>
      <x:c r="I21" s="106" t="e">
        <x:f aca="0">IF($A21="","",[1]!thsiFinD("ths_adjustment_nv_fund",I$3,$A21))</x:f>
        <x:v>#NAME?</x:v>
      </x:c>
      <x:c r="J21" s="106" t="e">
        <x:f aca="0">IF($A21="","",[1]!thsiFinD("ths_adjustment_nv_fund",J$3,$A21))</x:f>
        <x:v>#NAME?</x:v>
      </x:c>
      <x:c r="K21" s="106" t="e">
        <x:f aca="0">IF($A21="","",[1]!thsiFinD("ths_adjustment_nv_fund",K$3,$A21))</x:f>
        <x:v>#NAME?</x:v>
      </x:c>
      <x:c r="L21" s="106" t="e">
        <x:f aca="0">IF($A21="","",[1]!thsiFinD("ths_adjustment_nv_fund",L$3,$A21))</x:f>
        <x:v>#NAME?</x:v>
      </x:c>
      <x:c r="M21" s="106" t="e">
        <x:f aca="0">IF($A21="","",[1]!thsiFinD("ths_adjustment_nv_fund",M$3,$A21))</x:f>
        <x:v>#NAME?</x:v>
      </x:c>
      <x:c r="N21" s="106" t="e">
        <x:f aca="0">IF($A21="","",[1]!thsiFinD("ths_adjustment_nv_fund",N$3,$A21))</x:f>
        <x:v>#NAME?</x:v>
      </x:c>
      <x:c r="O21" s="106" t="e">
        <x:f aca="0">IF($A21="","",[1]!thsiFinD("ths_adjustment_nv_fund",O$3,$A21))</x:f>
        <x:v>#NAME?</x:v>
      </x:c>
      <x:c r="P21" s="106" t="e">
        <x:f aca="0">IF($A21="","",[1]!thsiFinD("ths_adjustment_nv_fund",P$3,$A21))</x:f>
        <x:v>#NAME?</x:v>
      </x:c>
      <x:c r="Q21" s="106" t="e">
        <x:f aca="0">IF($A21="","",[1]!thsiFinD("ths_adjustment_nv_fund",Q$3,$A21))</x:f>
        <x:v>#NAME?</x:v>
      </x:c>
      <x:c r="R21" s="106" t="e">
        <x:f aca="0">IF($A21="","",[1]!thsiFinD("ths_adjustment_nv_fund",R$3,$A21))</x:f>
        <x:v>#NAME?</x:v>
      </x:c>
      <x:c r="S21" s="106" t="e">
        <x:f aca="0">IF($A21="","",[1]!thsiFinD("ths_adjustment_nv_fund",S$3,$A21))</x:f>
        <x:v>#NAME?</x:v>
      </x:c>
      <x:c r="T21" s="106" t="e">
        <x:f aca="0">IF($A21="","",[1]!thsiFinD("ths_adjustment_nv_fund",T$3,$A21))</x:f>
        <x:v>#NAME?</x:v>
      </x:c>
      <x:c r="U21" s="106" t="e">
        <x:f aca="0">IF($A21="","",[1]!thsiFinD("ths_adjustment_nv_fund",U$3,$A21))</x:f>
        <x:v>#NAME?</x:v>
      </x:c>
      <x:c r="V21" s="106" t="e">
        <x:f aca="0">IF($A21="","",[1]!thsiFinD("ths_adjustment_nv_fund",V$3,$A21))</x:f>
        <x:v>#NAME?</x:v>
      </x:c>
      <x:c r="W21" s="106" t="e">
        <x:f aca="0">IF($A21="","",[1]!thsiFinD("ths_adjustment_nv_fund",W$3,$A21))</x:f>
        <x:v>#NAME?</x:v>
      </x:c>
      <x:c r="X21" s="106" t="e">
        <x:f aca="0">IF($A21="","",[1]!thsiFinD("ths_adjustment_nv_fund",X$3,$A21))</x:f>
        <x:v>#NAME?</x:v>
      </x:c>
      <x:c r="Y21" s="106" t="e">
        <x:f aca="0">IF($A21="","",[1]!thsiFinD("ths_adjustment_nv_fund",Y$3,$A21))</x:f>
        <x:v>#NAME?</x:v>
      </x:c>
      <x:c r="Z21" t="e">
        <x:f>IF($A21="","",[1]!thsiFinD("ths_adjustment_nv_fund",Z$3,$A21))</x:f>
        <x:v>#NAME?</x:v>
      </x:c>
      <x:c r="AA21" t="e">
        <x:f>IF($A21="","",[1]!thsiFinD("ths_adjustment_nv_fund",AA$3,$A21))</x:f>
        <x:v>#NAME?</x:v>
      </x:c>
    </x:row>
    <x:row r="22" ht="12" hidden="0">
      <x:c r="A22" s="9" t="n">
        <x:v>46217</x:v>
      </x:c>
      <x:c r="B22" s="106" t="e">
        <x:f aca="0">IF($A22="","",[1]!thsiFinD("ths_adjustment_nv_fund",B$3,$A22))</x:f>
        <x:v>#NAME?</x:v>
      </x:c>
      <x:c r="C22" s="106" t="e">
        <x:f aca="0">IF($A22="","",[1]!thsiFinD("ths_adjustment_nv_fund",C$3,$A22))</x:f>
        <x:v>#NAME?</x:v>
      </x:c>
      <x:c r="D22" s="106" t="e">
        <x:f aca="0">IF($A22="","",[1]!thsiFinD("ths_adjustment_nv_fund",D$3,$A22))</x:f>
        <x:v>#NAME?</x:v>
      </x:c>
      <x:c r="E22" s="106" t="e">
        <x:f aca="0">IF($A22="","",[1]!thsiFinD("ths_adjustment_nv_fund",E$3,$A22))</x:f>
        <x:v>#NAME?</x:v>
      </x:c>
      <x:c r="F22" s="106" t="e">
        <x:f aca="0">IF($A22="","",[1]!thsiFinD("ths_adjustment_nv_fund",F$3,$A22))</x:f>
        <x:v>#NAME?</x:v>
      </x:c>
      <x:c r="G22" s="106" t="e">
        <x:f aca="0">IF($A22="","",[1]!thsiFinD("ths_adjustment_nv_fund",G$3,$A22))</x:f>
        <x:v>#NAME?</x:v>
      </x:c>
      <x:c r="H22" s="106" t="e">
        <x:f aca="0">IF($A22="","",[1]!thsiFinD("ths_adjustment_nv_fund",H$3,$A22))</x:f>
        <x:v>#NAME?</x:v>
      </x:c>
      <x:c r="I22" s="106" t="e">
        <x:f aca="0">IF($A22="","",[1]!thsiFinD("ths_adjustment_nv_fund",I$3,$A22))</x:f>
        <x:v>#NAME?</x:v>
      </x:c>
      <x:c r="J22" s="106" t="e">
        <x:f aca="0">IF($A22="","",[1]!thsiFinD("ths_adjustment_nv_fund",J$3,$A22))</x:f>
        <x:v>#NAME?</x:v>
      </x:c>
      <x:c r="K22" s="106" t="e">
        <x:f aca="0">IF($A22="","",[1]!thsiFinD("ths_adjustment_nv_fund",K$3,$A22))</x:f>
        <x:v>#NAME?</x:v>
      </x:c>
      <x:c r="L22" s="106" t="e">
        <x:f aca="0">IF($A22="","",[1]!thsiFinD("ths_adjustment_nv_fund",L$3,$A22))</x:f>
        <x:v>#NAME?</x:v>
      </x:c>
      <x:c r="M22" s="106" t="e">
        <x:f aca="0">IF($A22="","",[1]!thsiFinD("ths_adjustment_nv_fund",M$3,$A22))</x:f>
        <x:v>#NAME?</x:v>
      </x:c>
      <x:c r="N22" s="106" t="e">
        <x:f aca="0">IF($A22="","",[1]!thsiFinD("ths_adjustment_nv_fund",N$3,$A22))</x:f>
        <x:v>#NAME?</x:v>
      </x:c>
      <x:c r="O22" s="106" t="e">
        <x:f aca="0">IF($A22="","",[1]!thsiFinD("ths_adjustment_nv_fund",O$3,$A22))</x:f>
        <x:v>#NAME?</x:v>
      </x:c>
      <x:c r="P22" s="106" t="e">
        <x:f aca="0">IF($A22="","",[1]!thsiFinD("ths_adjustment_nv_fund",P$3,$A22))</x:f>
        <x:v>#NAME?</x:v>
      </x:c>
      <x:c r="Q22" s="106" t="e">
        <x:f aca="0">IF($A22="","",[1]!thsiFinD("ths_adjustment_nv_fund",Q$3,$A22))</x:f>
        <x:v>#NAME?</x:v>
      </x:c>
      <x:c r="R22" s="106" t="e">
        <x:f aca="0">IF($A22="","",[1]!thsiFinD("ths_adjustment_nv_fund",R$3,$A22))</x:f>
        <x:v>#NAME?</x:v>
      </x:c>
      <x:c r="S22" s="106" t="e">
        <x:f aca="0">IF($A22="","",[1]!thsiFinD("ths_adjustment_nv_fund",S$3,$A22))</x:f>
        <x:v>#NAME?</x:v>
      </x:c>
      <x:c r="T22" s="106" t="e">
        <x:f aca="0">IF($A22="","",[1]!thsiFinD("ths_adjustment_nv_fund",T$3,$A22))</x:f>
        <x:v>#NAME?</x:v>
      </x:c>
      <x:c r="U22" s="106" t="e">
        <x:f aca="0">IF($A22="","",[1]!thsiFinD("ths_adjustment_nv_fund",U$3,$A22))</x:f>
        <x:v>#NAME?</x:v>
      </x:c>
      <x:c r="V22" s="106" t="e">
        <x:f aca="0">IF($A22="","",[1]!thsiFinD("ths_adjustment_nv_fund",V$3,$A22))</x:f>
        <x:v>#NAME?</x:v>
      </x:c>
      <x:c r="W22" s="106" t="e">
        <x:f aca="0">IF($A22="","",[1]!thsiFinD("ths_adjustment_nv_fund",W$3,$A22))</x:f>
        <x:v>#NAME?</x:v>
      </x:c>
      <x:c r="X22" s="106" t="e">
        <x:f aca="0">IF($A22="","",[1]!thsiFinD("ths_adjustment_nv_fund",X$3,$A22))</x:f>
        <x:v>#NAME?</x:v>
      </x:c>
      <x:c r="Y22" s="106" t="e">
        <x:f aca="0">IF($A22="","",[1]!thsiFinD("ths_adjustment_nv_fund",Y$3,$A22))</x:f>
        <x:v>#NAME?</x:v>
      </x:c>
      <x:c r="Z22" t="e">
        <x:f>IF($A22="","",[1]!thsiFinD("ths_adjustment_nv_fund",Z$3,$A22))</x:f>
        <x:v>#NAME?</x:v>
      </x:c>
      <x:c r="AA22" t="e">
        <x:f>IF($A22="","",[1]!thsiFinD("ths_adjustment_nv_fund",AA$3,$A22))</x:f>
        <x:v>#NAME?</x:v>
      </x:c>
    </x:row>
    <x:row r="23" ht="12" hidden="0">
      <x:c r="A23" s="9" t="n">
        <x:v>46218</x:v>
      </x:c>
      <x:c r="B23" s="106" t="e">
        <x:f aca="0">IF($A23="","",[1]!thsiFinD("ths_adjustment_nv_fund",B$3,$A23))</x:f>
        <x:v>#NAME?</x:v>
      </x:c>
      <x:c r="C23" s="106" t="e">
        <x:f aca="0">IF($A23="","",[1]!thsiFinD("ths_adjustment_nv_fund",C$3,$A23))</x:f>
        <x:v>#NAME?</x:v>
      </x:c>
      <x:c r="D23" s="106" t="e">
        <x:f aca="0">IF($A23="","",[1]!thsiFinD("ths_adjustment_nv_fund",D$3,$A23))</x:f>
        <x:v>#NAME?</x:v>
      </x:c>
      <x:c r="E23" s="106" t="e">
        <x:f aca="0">IF($A23="","",[1]!thsiFinD("ths_adjustment_nv_fund",E$3,$A23))</x:f>
        <x:v>#NAME?</x:v>
      </x:c>
      <x:c r="F23" s="106" t="e">
        <x:f aca="0">IF($A23="","",[1]!thsiFinD("ths_adjustment_nv_fund",F$3,$A23))</x:f>
        <x:v>#NAME?</x:v>
      </x:c>
      <x:c r="G23" s="106" t="e">
        <x:f aca="0">IF($A23="","",[1]!thsiFinD("ths_adjustment_nv_fund",G$3,$A23))</x:f>
        <x:v>#NAME?</x:v>
      </x:c>
      <x:c r="H23" s="106" t="e">
        <x:f aca="0">IF($A23="","",[1]!thsiFinD("ths_adjustment_nv_fund",H$3,$A23))</x:f>
        <x:v>#NAME?</x:v>
      </x:c>
      <x:c r="I23" s="106" t="e">
        <x:f aca="0">IF($A23="","",[1]!thsiFinD("ths_adjustment_nv_fund",I$3,$A23))</x:f>
        <x:v>#NAME?</x:v>
      </x:c>
      <x:c r="J23" s="106" t="e">
        <x:f aca="0">IF($A23="","",[1]!thsiFinD("ths_adjustment_nv_fund",J$3,$A23))</x:f>
        <x:v>#NAME?</x:v>
      </x:c>
      <x:c r="K23" s="106" t="e">
        <x:f aca="0">IF($A23="","",[1]!thsiFinD("ths_adjustment_nv_fund",K$3,$A23))</x:f>
        <x:v>#NAME?</x:v>
      </x:c>
      <x:c r="L23" s="106" t="e">
        <x:f aca="0">IF($A23="","",[1]!thsiFinD("ths_adjustment_nv_fund",L$3,$A23))</x:f>
        <x:v>#NAME?</x:v>
      </x:c>
      <x:c r="M23" s="106" t="e">
        <x:f aca="0">IF($A23="","",[1]!thsiFinD("ths_adjustment_nv_fund",M$3,$A23))</x:f>
        <x:v>#NAME?</x:v>
      </x:c>
      <x:c r="N23" s="106" t="e">
        <x:f aca="0">IF($A23="","",[1]!thsiFinD("ths_adjustment_nv_fund",N$3,$A23))</x:f>
        <x:v>#NAME?</x:v>
      </x:c>
      <x:c r="O23" s="106" t="e">
        <x:f aca="0">IF($A23="","",[1]!thsiFinD("ths_adjustment_nv_fund",O$3,$A23))</x:f>
        <x:v>#NAME?</x:v>
      </x:c>
      <x:c r="P23" s="106" t="e">
        <x:f aca="0">IF($A23="","",[1]!thsiFinD("ths_adjustment_nv_fund",P$3,$A23))</x:f>
        <x:v>#NAME?</x:v>
      </x:c>
      <x:c r="Q23" s="106" t="e">
        <x:f aca="0">IF($A23="","",[1]!thsiFinD("ths_adjustment_nv_fund",Q$3,$A23))</x:f>
        <x:v>#NAME?</x:v>
      </x:c>
      <x:c r="R23" s="106" t="e">
        <x:f aca="0">IF($A23="","",[1]!thsiFinD("ths_adjustment_nv_fund",R$3,$A23))</x:f>
        <x:v>#NAME?</x:v>
      </x:c>
      <x:c r="S23" s="106" t="e">
        <x:f aca="0">IF($A23="","",[1]!thsiFinD("ths_adjustment_nv_fund",S$3,$A23))</x:f>
        <x:v>#NAME?</x:v>
      </x:c>
      <x:c r="T23" s="106" t="e">
        <x:f aca="0">IF($A23="","",[1]!thsiFinD("ths_adjustment_nv_fund",T$3,$A23))</x:f>
        <x:v>#NAME?</x:v>
      </x:c>
      <x:c r="U23" s="106" t="e">
        <x:f aca="0">IF($A23="","",[1]!thsiFinD("ths_adjustment_nv_fund",U$3,$A23))</x:f>
        <x:v>#NAME?</x:v>
      </x:c>
      <x:c r="V23" s="106" t="e">
        <x:f aca="0">IF($A23="","",[1]!thsiFinD("ths_adjustment_nv_fund",V$3,$A23))</x:f>
        <x:v>#NAME?</x:v>
      </x:c>
      <x:c r="W23" s="106" t="e">
        <x:f aca="0">IF($A23="","",[1]!thsiFinD("ths_adjustment_nv_fund",W$3,$A23))</x:f>
        <x:v>#NAME?</x:v>
      </x:c>
      <x:c r="X23" s="106" t="e">
        <x:f aca="0">IF($A23="","",[1]!thsiFinD("ths_adjustment_nv_fund",X$3,$A23))</x:f>
        <x:v>#NAME?</x:v>
      </x:c>
      <x:c r="Y23" s="106" t="e">
        <x:f aca="0">IF($A23="","",[1]!thsiFinD("ths_adjustment_nv_fund",Y$3,$A23))</x:f>
        <x:v>#NAME?</x:v>
      </x:c>
      <x:c r="Z23" t="e">
        <x:f>IF($A23="","",[1]!thsiFinD("ths_adjustment_nv_fund",Z$3,$A23))</x:f>
        <x:v>#NAME?</x:v>
      </x:c>
      <x:c r="AA23" t="e">
        <x:f>IF($A23="","",[1]!thsiFinD("ths_adjustment_nv_fund",AA$3,$A23))</x:f>
        <x:v>#NAME?</x:v>
      </x:c>
    </x:row>
    <x:row r="24" ht="12" hidden="0">
      <x:c r="A24" s="9" t="n">
        <x:v>46219</x:v>
      </x:c>
      <x:c r="B24" s="106" t="e">
        <x:f aca="0">IF($A24="","",[1]!thsiFinD("ths_adjustment_nv_fund",B$3,$A24))</x:f>
        <x:v>#NAME?</x:v>
      </x:c>
      <x:c r="C24" s="106" t="e">
        <x:f aca="0">IF($A24="","",[1]!thsiFinD("ths_adjustment_nv_fund",C$3,$A24))</x:f>
        <x:v>#NAME?</x:v>
      </x:c>
      <x:c r="D24" s="106" t="e">
        <x:f aca="0">IF($A24="","",[1]!thsiFinD("ths_adjustment_nv_fund",D$3,$A24))</x:f>
        <x:v>#NAME?</x:v>
      </x:c>
      <x:c r="E24" s="106" t="e">
        <x:f aca="0">IF($A24="","",[1]!thsiFinD("ths_adjustment_nv_fund",E$3,$A24))</x:f>
        <x:v>#NAME?</x:v>
      </x:c>
      <x:c r="F24" s="106" t="e">
        <x:f aca="0">IF($A24="","",[1]!thsiFinD("ths_adjustment_nv_fund",F$3,$A24))</x:f>
        <x:v>#NAME?</x:v>
      </x:c>
      <x:c r="G24" s="106" t="e">
        <x:f aca="0">IF($A24="","",[1]!thsiFinD("ths_adjustment_nv_fund",G$3,$A24))</x:f>
        <x:v>#NAME?</x:v>
      </x:c>
      <x:c r="H24" s="106" t="e">
        <x:f aca="0">IF($A24="","",[1]!thsiFinD("ths_adjustment_nv_fund",H$3,$A24))</x:f>
        <x:v>#NAME?</x:v>
      </x:c>
      <x:c r="I24" s="106" t="e">
        <x:f aca="0">IF($A24="","",[1]!thsiFinD("ths_adjustment_nv_fund",I$3,$A24))</x:f>
        <x:v>#NAME?</x:v>
      </x:c>
      <x:c r="J24" s="106" t="e">
        <x:f aca="0">IF($A24="","",[1]!thsiFinD("ths_adjustment_nv_fund",J$3,$A24))</x:f>
        <x:v>#NAME?</x:v>
      </x:c>
      <x:c r="K24" s="106" t="e">
        <x:f aca="0">IF($A24="","",[1]!thsiFinD("ths_adjustment_nv_fund",K$3,$A24))</x:f>
        <x:v>#NAME?</x:v>
      </x:c>
      <x:c r="L24" s="106" t="e">
        <x:f aca="0">IF($A24="","",[1]!thsiFinD("ths_adjustment_nv_fund",L$3,$A24))</x:f>
        <x:v>#NAME?</x:v>
      </x:c>
      <x:c r="M24" s="106" t="e">
        <x:f aca="0">IF($A24="","",[1]!thsiFinD("ths_adjustment_nv_fund",M$3,$A24))</x:f>
        <x:v>#NAME?</x:v>
      </x:c>
      <x:c r="N24" s="106" t="e">
        <x:f aca="0">IF($A24="","",[1]!thsiFinD("ths_adjustment_nv_fund",N$3,$A24))</x:f>
        <x:v>#NAME?</x:v>
      </x:c>
      <x:c r="O24" s="106" t="e">
        <x:f aca="0">IF($A24="","",[1]!thsiFinD("ths_adjustment_nv_fund",O$3,$A24))</x:f>
        <x:v>#NAME?</x:v>
      </x:c>
      <x:c r="P24" s="106" t="e">
        <x:f aca="0">IF($A24="","",[1]!thsiFinD("ths_adjustment_nv_fund",P$3,$A24))</x:f>
        <x:v>#NAME?</x:v>
      </x:c>
      <x:c r="Q24" s="106" t="e">
        <x:f aca="0">IF($A24="","",[1]!thsiFinD("ths_adjustment_nv_fund",Q$3,$A24))</x:f>
        <x:v>#NAME?</x:v>
      </x:c>
      <x:c r="R24" s="106" t="e">
        <x:f aca="0">IF($A24="","",[1]!thsiFinD("ths_adjustment_nv_fund",R$3,$A24))</x:f>
        <x:v>#NAME?</x:v>
      </x:c>
      <x:c r="S24" s="106" t="e">
        <x:f aca="0">IF($A24="","",[1]!thsiFinD("ths_adjustment_nv_fund",S$3,$A24))</x:f>
        <x:v>#NAME?</x:v>
      </x:c>
      <x:c r="T24" s="106" t="e">
        <x:f aca="0">IF($A24="","",[1]!thsiFinD("ths_adjustment_nv_fund",T$3,$A24))</x:f>
        <x:v>#NAME?</x:v>
      </x:c>
      <x:c r="U24" s="106" t="e">
        <x:f aca="0">IF($A24="","",[1]!thsiFinD("ths_adjustment_nv_fund",U$3,$A24))</x:f>
        <x:v>#NAME?</x:v>
      </x:c>
      <x:c r="V24" s="106" t="e">
        <x:f aca="0">IF($A24="","",[1]!thsiFinD("ths_adjustment_nv_fund",V$3,$A24))</x:f>
        <x:v>#NAME?</x:v>
      </x:c>
      <x:c r="W24" s="106" t="e">
        <x:f aca="0">IF($A24="","",[1]!thsiFinD("ths_adjustment_nv_fund",W$3,$A24))</x:f>
        <x:v>#NAME?</x:v>
      </x:c>
      <x:c r="X24" s="106" t="e">
        <x:f aca="0">IF($A24="","",[1]!thsiFinD("ths_adjustment_nv_fund",X$3,$A24))</x:f>
        <x:v>#NAME?</x:v>
      </x:c>
      <x:c r="Y24" s="106" t="e">
        <x:f aca="0">IF($A24="","",[1]!thsiFinD("ths_adjustment_nv_fund",Y$3,$A24))</x:f>
        <x:v>#NAME?</x:v>
      </x:c>
      <x:c r="Z24" t="e">
        <x:f>IF($A24="","",[1]!thsiFinD("ths_adjustment_nv_fund",Z$3,$A24))</x:f>
        <x:v>#NAME?</x:v>
      </x:c>
      <x:c r="AA24" t="e">
        <x:f>IF($A24="","",[1]!thsiFinD("ths_adjustment_nv_fund",AA$3,$A24))</x:f>
        <x:v>#NAME?</x:v>
      </x:c>
    </x:row>
    <x:row r="25" ht="12" hidden="0">
      <x:c r="A25" s="9" t="n">
        <x:v>46220</x:v>
      </x:c>
      <x:c r="B25" s="106" t="e">
        <x:f aca="0">IF($A25="","",[1]!thsiFinD("ths_adjustment_nv_fund",B$3,$A25))</x:f>
        <x:v>#NAME?</x:v>
      </x:c>
      <x:c r="C25" s="106" t="e">
        <x:f aca="0">IF($A25="","",[1]!thsiFinD("ths_adjustment_nv_fund",C$3,$A25))</x:f>
        <x:v>#NAME?</x:v>
      </x:c>
      <x:c r="D25" s="106" t="e">
        <x:f aca="0">IF($A25="","",[1]!thsiFinD("ths_adjustment_nv_fund",D$3,$A25))</x:f>
        <x:v>#NAME?</x:v>
      </x:c>
      <x:c r="E25" s="106" t="e">
        <x:f aca="0">IF($A25="","",[1]!thsiFinD("ths_adjustment_nv_fund",E$3,$A25))</x:f>
        <x:v>#NAME?</x:v>
      </x:c>
      <x:c r="F25" s="106" t="e">
        <x:f aca="0">IF($A25="","",[1]!thsiFinD("ths_adjustment_nv_fund",F$3,$A25))</x:f>
        <x:v>#NAME?</x:v>
      </x:c>
      <x:c r="G25" s="106" t="e">
        <x:f aca="0">IF($A25="","",[1]!thsiFinD("ths_adjustment_nv_fund",G$3,$A25))</x:f>
        <x:v>#NAME?</x:v>
      </x:c>
      <x:c r="H25" s="106" t="e">
        <x:f aca="0">IF($A25="","",[1]!thsiFinD("ths_adjustment_nv_fund",H$3,$A25))</x:f>
        <x:v>#NAME?</x:v>
      </x:c>
      <x:c r="I25" s="106" t="e">
        <x:f aca="0">IF($A25="","",[1]!thsiFinD("ths_adjustment_nv_fund",I$3,$A25))</x:f>
        <x:v>#NAME?</x:v>
      </x:c>
      <x:c r="J25" s="106" t="e">
        <x:f aca="0">IF($A25="","",[1]!thsiFinD("ths_adjustment_nv_fund",J$3,$A25))</x:f>
        <x:v>#NAME?</x:v>
      </x:c>
      <x:c r="K25" s="106" t="e">
        <x:f aca="0">IF($A25="","",[1]!thsiFinD("ths_adjustment_nv_fund",K$3,$A25))</x:f>
        <x:v>#NAME?</x:v>
      </x:c>
      <x:c r="L25" s="106" t="e">
        <x:f aca="0">IF($A25="","",[1]!thsiFinD("ths_adjustment_nv_fund",L$3,$A25))</x:f>
        <x:v>#NAME?</x:v>
      </x:c>
      <x:c r="M25" s="106" t="e">
        <x:f aca="0">IF($A25="","",[1]!thsiFinD("ths_adjustment_nv_fund",M$3,$A25))</x:f>
        <x:v>#NAME?</x:v>
      </x:c>
      <x:c r="N25" s="106" t="e">
        <x:f aca="0">IF($A25="","",[1]!thsiFinD("ths_adjustment_nv_fund",N$3,$A25))</x:f>
        <x:v>#NAME?</x:v>
      </x:c>
      <x:c r="O25" s="106" t="e">
        <x:f aca="0">IF($A25="","",[1]!thsiFinD("ths_adjustment_nv_fund",O$3,$A25))</x:f>
        <x:v>#NAME?</x:v>
      </x:c>
      <x:c r="P25" s="106" t="e">
        <x:f aca="0">IF($A25="","",[1]!thsiFinD("ths_adjustment_nv_fund",P$3,$A25))</x:f>
        <x:v>#NAME?</x:v>
      </x:c>
      <x:c r="Q25" s="106" t="e">
        <x:f aca="0">IF($A25="","",[1]!thsiFinD("ths_adjustment_nv_fund",Q$3,$A25))</x:f>
        <x:v>#NAME?</x:v>
      </x:c>
      <x:c r="R25" s="106" t="e">
        <x:f aca="0">IF($A25="","",[1]!thsiFinD("ths_adjustment_nv_fund",R$3,$A25))</x:f>
        <x:v>#NAME?</x:v>
      </x:c>
      <x:c r="S25" s="106" t="e">
        <x:f aca="0">IF($A25="","",[1]!thsiFinD("ths_adjustment_nv_fund",S$3,$A25))</x:f>
        <x:v>#NAME?</x:v>
      </x:c>
      <x:c r="T25" s="106" t="e">
        <x:f aca="0">IF($A25="","",[1]!thsiFinD("ths_adjustment_nv_fund",T$3,$A25))</x:f>
        <x:v>#NAME?</x:v>
      </x:c>
      <x:c r="U25" s="106" t="e">
        <x:f aca="0">IF($A25="","",[1]!thsiFinD("ths_adjustment_nv_fund",U$3,$A25))</x:f>
        <x:v>#NAME?</x:v>
      </x:c>
      <x:c r="V25" s="106" t="e">
        <x:f aca="0">IF($A25="","",[1]!thsiFinD("ths_adjustment_nv_fund",V$3,$A25))</x:f>
        <x:v>#NAME?</x:v>
      </x:c>
      <x:c r="W25" s="106" t="e">
        <x:f aca="0">IF($A25="","",[1]!thsiFinD("ths_adjustment_nv_fund",W$3,$A25))</x:f>
        <x:v>#NAME?</x:v>
      </x:c>
      <x:c r="X25" s="106" t="e">
        <x:f aca="0">IF($A25="","",[1]!thsiFinD("ths_adjustment_nv_fund",X$3,$A25))</x:f>
        <x:v>#NAME?</x:v>
      </x:c>
      <x:c r="Y25" s="106" t="e">
        <x:f aca="0">IF($A25="","",[1]!thsiFinD("ths_adjustment_nv_fund",Y$3,$A25))</x:f>
        <x:v>#NAME?</x:v>
      </x:c>
      <x:c r="Z25" t="e">
        <x:f>IF($A25="","",[1]!thsiFinD("ths_adjustment_nv_fund",Z$3,$A25))</x:f>
        <x:v>#NAME?</x:v>
      </x:c>
      <x:c r="AA25" t="e">
        <x:f>IF($A25="","",[1]!thsiFinD("ths_adjustment_nv_fund",AA$3,$A25))</x:f>
        <x:v>#NAME?</x:v>
      </x:c>
    </x:row>
    <x:row r="26" ht="12" hidden="0">
      <x:c r="A26" s="9" t="n">
        <x:v>46223</x:v>
      </x:c>
      <x:c r="B26" s="106" t="e">
        <x:f aca="0">IF($A26="","",[1]!thsiFinD("ths_adjustment_nv_fund",B$3,$A26))</x:f>
        <x:v>#NAME?</x:v>
      </x:c>
      <x:c r="C26" s="106" t="e">
        <x:f aca="0">IF($A26="","",[1]!thsiFinD("ths_adjustment_nv_fund",C$3,$A26))</x:f>
        <x:v>#NAME?</x:v>
      </x:c>
      <x:c r="D26" s="106" t="e">
        <x:f aca="0">IF($A26="","",[1]!thsiFinD("ths_adjustment_nv_fund",D$3,$A26))</x:f>
        <x:v>#NAME?</x:v>
      </x:c>
      <x:c r="E26" s="106" t="e">
        <x:f aca="0">IF($A26="","",[1]!thsiFinD("ths_adjustment_nv_fund",E$3,$A26))</x:f>
        <x:v>#NAME?</x:v>
      </x:c>
      <x:c r="F26" s="106" t="e">
        <x:f aca="0">IF($A26="","",[1]!thsiFinD("ths_adjustment_nv_fund",F$3,$A26))</x:f>
        <x:v>#NAME?</x:v>
      </x:c>
      <x:c r="G26" s="106" t="e">
        <x:f aca="0">IF($A26="","",[1]!thsiFinD("ths_adjustment_nv_fund",G$3,$A26))</x:f>
        <x:v>#NAME?</x:v>
      </x:c>
      <x:c r="H26" s="106" t="e">
        <x:f aca="0">IF($A26="","",[1]!thsiFinD("ths_adjustment_nv_fund",H$3,$A26))</x:f>
        <x:v>#NAME?</x:v>
      </x:c>
      <x:c r="I26" s="106" t="e">
        <x:f aca="0">IF($A26="","",[1]!thsiFinD("ths_adjustment_nv_fund",I$3,$A26))</x:f>
        <x:v>#NAME?</x:v>
      </x:c>
      <x:c r="J26" s="106" t="e">
        <x:f aca="0">IF($A26="","",[1]!thsiFinD("ths_adjustment_nv_fund",J$3,$A26))</x:f>
        <x:v>#NAME?</x:v>
      </x:c>
      <x:c r="K26" s="106" t="e">
        <x:f aca="0">IF($A26="","",[1]!thsiFinD("ths_adjustment_nv_fund",K$3,$A26))</x:f>
        <x:v>#NAME?</x:v>
      </x:c>
      <x:c r="L26" s="106" t="e">
        <x:f aca="0">IF($A26="","",[1]!thsiFinD("ths_adjustment_nv_fund",L$3,$A26))</x:f>
        <x:v>#NAME?</x:v>
      </x:c>
      <x:c r="M26" s="106" t="e">
        <x:f aca="0">IF($A26="","",[1]!thsiFinD("ths_adjustment_nv_fund",M$3,$A26))</x:f>
        <x:v>#NAME?</x:v>
      </x:c>
      <x:c r="N26" s="106" t="e">
        <x:f aca="0">IF($A26="","",[1]!thsiFinD("ths_adjustment_nv_fund",N$3,$A26))</x:f>
        <x:v>#NAME?</x:v>
      </x:c>
      <x:c r="O26" s="106" t="e">
        <x:f aca="0">IF($A26="","",[1]!thsiFinD("ths_adjustment_nv_fund",O$3,$A26))</x:f>
        <x:v>#NAME?</x:v>
      </x:c>
      <x:c r="P26" s="106" t="e">
        <x:f aca="0">IF($A26="","",[1]!thsiFinD("ths_adjustment_nv_fund",P$3,$A26))</x:f>
        <x:v>#NAME?</x:v>
      </x:c>
      <x:c r="Q26" s="106" t="e">
        <x:f aca="0">IF($A26="","",[1]!thsiFinD("ths_adjustment_nv_fund",Q$3,$A26))</x:f>
        <x:v>#NAME?</x:v>
      </x:c>
      <x:c r="R26" s="106" t="e">
        <x:f aca="0">IF($A26="","",[1]!thsiFinD("ths_adjustment_nv_fund",R$3,$A26))</x:f>
        <x:v>#NAME?</x:v>
      </x:c>
      <x:c r="S26" s="106" t="e">
        <x:f aca="0">IF($A26="","",[1]!thsiFinD("ths_adjustment_nv_fund",S$3,$A26))</x:f>
        <x:v>#NAME?</x:v>
      </x:c>
      <x:c r="T26" s="106" t="e">
        <x:f aca="0">IF($A26="","",[1]!thsiFinD("ths_adjustment_nv_fund",T$3,$A26))</x:f>
        <x:v>#NAME?</x:v>
      </x:c>
      <x:c r="U26" s="106" t="e">
        <x:f aca="0">IF($A26="","",[1]!thsiFinD("ths_adjustment_nv_fund",U$3,$A26))</x:f>
        <x:v>#NAME?</x:v>
      </x:c>
      <x:c r="V26" s="106" t="e">
        <x:f aca="0">IF($A26="","",[1]!thsiFinD("ths_adjustment_nv_fund",V$3,$A26))</x:f>
        <x:v>#NAME?</x:v>
      </x:c>
      <x:c r="W26" s="106" t="e">
        <x:f aca="0">IF($A26="","",[1]!thsiFinD("ths_adjustment_nv_fund",W$3,$A26))</x:f>
        <x:v>#NAME?</x:v>
      </x:c>
      <x:c r="X26" s="106" t="e">
        <x:f aca="0">IF($A26="","",[1]!thsiFinD("ths_adjustment_nv_fund",X$3,$A26))</x:f>
        <x:v>#NAME?</x:v>
      </x:c>
      <x:c r="Y26" s="106" t="e">
        <x:f aca="0">IF($A26="","",[1]!thsiFinD("ths_adjustment_nv_fund",Y$3,$A26))</x:f>
        <x:v>#NAME?</x:v>
      </x:c>
      <x:c r="Z26" t="e">
        <x:f>IF($A26="","",[1]!thsiFinD("ths_adjustment_nv_fund",Z$3,$A26))</x:f>
        <x:v>#NAME?</x:v>
      </x:c>
      <x:c r="AA26" t="e">
        <x:f>IF($A26="","",[1]!thsiFinD("ths_adjustment_nv_fund",AA$3,$A26))</x:f>
        <x:v>#NAME?</x:v>
      </x:c>
    </x:row>
    <x:row r="27" ht="12" hidden="0">
      <x:c r="A27" s="9" t="n">
        <x:v>46224</x:v>
      </x:c>
      <x:c r="B27" s="106" t="e">
        <x:f aca="0">IF($A27="","",[1]!thsiFinD("ths_adjustment_nv_fund",B$3,$A27))</x:f>
        <x:v>#NAME?</x:v>
      </x:c>
      <x:c r="C27" s="106" t="e">
        <x:f aca="0">IF($A27="","",[1]!thsiFinD("ths_adjustment_nv_fund",C$3,$A27))</x:f>
        <x:v>#NAME?</x:v>
      </x:c>
      <x:c r="D27" s="106" t="e">
        <x:f aca="0">IF($A27="","",[1]!thsiFinD("ths_adjustment_nv_fund",D$3,$A27))</x:f>
        <x:v>#NAME?</x:v>
      </x:c>
      <x:c r="E27" s="106" t="e">
        <x:f aca="0">IF($A27="","",[1]!thsiFinD("ths_adjustment_nv_fund",E$3,$A27))</x:f>
        <x:v>#NAME?</x:v>
      </x:c>
      <x:c r="F27" s="106" t="e">
        <x:f aca="0">IF($A27="","",[1]!thsiFinD("ths_adjustment_nv_fund",F$3,$A27))</x:f>
        <x:v>#NAME?</x:v>
      </x:c>
      <x:c r="G27" s="106" t="e">
        <x:f aca="0">IF($A27="","",[1]!thsiFinD("ths_adjustment_nv_fund",G$3,$A27))</x:f>
        <x:v>#NAME?</x:v>
      </x:c>
      <x:c r="H27" s="106" t="e">
        <x:f aca="0">IF($A27="","",[1]!thsiFinD("ths_adjustment_nv_fund",H$3,$A27))</x:f>
        <x:v>#NAME?</x:v>
      </x:c>
      <x:c r="I27" s="106" t="e">
        <x:f aca="0">IF($A27="","",[1]!thsiFinD("ths_adjustment_nv_fund",I$3,$A27))</x:f>
        <x:v>#NAME?</x:v>
      </x:c>
      <x:c r="J27" s="106" t="e">
        <x:f aca="0">IF($A27="","",[1]!thsiFinD("ths_adjustment_nv_fund",J$3,$A27))</x:f>
        <x:v>#NAME?</x:v>
      </x:c>
      <x:c r="K27" s="106" t="e">
        <x:f aca="0">IF($A27="","",[1]!thsiFinD("ths_adjustment_nv_fund",K$3,$A27))</x:f>
        <x:v>#NAME?</x:v>
      </x:c>
      <x:c r="L27" s="106" t="e">
        <x:f aca="0">IF($A27="","",[1]!thsiFinD("ths_adjustment_nv_fund",L$3,$A27))</x:f>
        <x:v>#NAME?</x:v>
      </x:c>
      <x:c r="M27" s="106" t="e">
        <x:f aca="0">IF($A27="","",[1]!thsiFinD("ths_adjustment_nv_fund",M$3,$A27))</x:f>
        <x:v>#NAME?</x:v>
      </x:c>
      <x:c r="N27" s="106" t="e">
        <x:f aca="0">IF($A27="","",[1]!thsiFinD("ths_adjustment_nv_fund",N$3,$A27))</x:f>
        <x:v>#NAME?</x:v>
      </x:c>
      <x:c r="O27" s="106" t="e">
        <x:f aca="0">IF($A27="","",[1]!thsiFinD("ths_adjustment_nv_fund",O$3,$A27))</x:f>
        <x:v>#NAME?</x:v>
      </x:c>
      <x:c r="P27" s="106" t="e">
        <x:f aca="0">IF($A27="","",[1]!thsiFinD("ths_adjustment_nv_fund",P$3,$A27))</x:f>
        <x:v>#NAME?</x:v>
      </x:c>
      <x:c r="Q27" s="106" t="e">
        <x:f aca="0">IF($A27="","",[1]!thsiFinD("ths_adjustment_nv_fund",Q$3,$A27))</x:f>
        <x:v>#NAME?</x:v>
      </x:c>
      <x:c r="R27" s="106" t="e">
        <x:f aca="0">IF($A27="","",[1]!thsiFinD("ths_adjustment_nv_fund",R$3,$A27))</x:f>
        <x:v>#NAME?</x:v>
      </x:c>
      <x:c r="S27" s="106" t="e">
        <x:f aca="0">IF($A27="","",[1]!thsiFinD("ths_adjustment_nv_fund",S$3,$A27))</x:f>
        <x:v>#NAME?</x:v>
      </x:c>
      <x:c r="T27" s="106" t="e">
        <x:f aca="0">IF($A27="","",[1]!thsiFinD("ths_adjustment_nv_fund",T$3,$A27))</x:f>
        <x:v>#NAME?</x:v>
      </x:c>
      <x:c r="U27" s="106" t="e">
        <x:f aca="0">IF($A27="","",[1]!thsiFinD("ths_adjustment_nv_fund",U$3,$A27))</x:f>
        <x:v>#NAME?</x:v>
      </x:c>
      <x:c r="V27" s="106" t="e">
        <x:f aca="0">IF($A27="","",[1]!thsiFinD("ths_adjustment_nv_fund",V$3,$A27))</x:f>
        <x:v>#NAME?</x:v>
      </x:c>
      <x:c r="W27" s="106" t="e">
        <x:f aca="0">IF($A27="","",[1]!thsiFinD("ths_adjustment_nv_fund",W$3,$A27))</x:f>
        <x:v>#NAME?</x:v>
      </x:c>
      <x:c r="X27" s="106" t="e">
        <x:f aca="0">IF($A27="","",[1]!thsiFinD("ths_adjustment_nv_fund",X$3,$A27))</x:f>
        <x:v>#NAME?</x:v>
      </x:c>
      <x:c r="Y27" s="106" t="e">
        <x:f aca="0">IF($A27="","",[1]!thsiFinD("ths_adjustment_nv_fund",Y$3,$A27))</x:f>
        <x:v>#NAME?</x:v>
      </x:c>
      <x:c r="Z27" t="e">
        <x:f>IF($A27="","",[1]!thsiFinD("ths_adjustment_nv_fund",Z$3,$A27))</x:f>
        <x:v>#NAME?</x:v>
      </x:c>
      <x:c r="AA27" t="e">
        <x:f>IF($A27="","",[1]!thsiFinD("ths_adjustment_nv_fund",AA$3,$A27))</x:f>
        <x:v>#NAME?</x:v>
      </x:c>
    </x:row>
    <x:row r="28" ht="12" hidden="0">
      <x:c r="A28" s="9" t="n">
        <x:v>46225</x:v>
      </x:c>
      <x:c r="B28" s="106" t="e">
        <x:f aca="0">IF($A28="","",[1]!thsiFinD("ths_adjustment_nv_fund",B$3,$A28))</x:f>
        <x:v>#NAME?</x:v>
      </x:c>
      <x:c r="C28" s="106" t="e">
        <x:f aca="0">IF($A28="","",[1]!thsiFinD("ths_adjustment_nv_fund",C$3,$A28))</x:f>
        <x:v>#NAME?</x:v>
      </x:c>
      <x:c r="D28" s="106" t="e">
        <x:f aca="0">IF($A28="","",[1]!thsiFinD("ths_adjustment_nv_fund",D$3,$A28))</x:f>
        <x:v>#NAME?</x:v>
      </x:c>
      <x:c r="E28" s="106" t="e">
        <x:f aca="0">IF($A28="","",[1]!thsiFinD("ths_adjustment_nv_fund",E$3,$A28))</x:f>
        <x:v>#NAME?</x:v>
      </x:c>
      <x:c r="F28" s="106" t="e">
        <x:f aca="0">IF($A28="","",[1]!thsiFinD("ths_adjustment_nv_fund",F$3,$A28))</x:f>
        <x:v>#NAME?</x:v>
      </x:c>
      <x:c r="G28" s="106" t="e">
        <x:f aca="0">IF($A28="","",[1]!thsiFinD("ths_adjustment_nv_fund",G$3,$A28))</x:f>
        <x:v>#NAME?</x:v>
      </x:c>
      <x:c r="H28" s="106" t="e">
        <x:f aca="0">IF($A28="","",[1]!thsiFinD("ths_adjustment_nv_fund",H$3,$A28))</x:f>
        <x:v>#NAME?</x:v>
      </x:c>
      <x:c r="I28" s="106" t="e">
        <x:f aca="0">IF($A28="","",[1]!thsiFinD("ths_adjustment_nv_fund",I$3,$A28))</x:f>
        <x:v>#NAME?</x:v>
      </x:c>
      <x:c r="J28" s="106" t="e">
        <x:f aca="0">IF($A28="","",[1]!thsiFinD("ths_adjustment_nv_fund",J$3,$A28))</x:f>
        <x:v>#NAME?</x:v>
      </x:c>
      <x:c r="K28" s="106" t="e">
        <x:f aca="0">IF($A28="","",[1]!thsiFinD("ths_adjustment_nv_fund",K$3,$A28))</x:f>
        <x:v>#NAME?</x:v>
      </x:c>
      <x:c r="L28" s="106" t="e">
        <x:f aca="0">IF($A28="","",[1]!thsiFinD("ths_adjustment_nv_fund",L$3,$A28))</x:f>
        <x:v>#NAME?</x:v>
      </x:c>
      <x:c r="M28" s="106" t="e">
        <x:f aca="0">IF($A28="","",[1]!thsiFinD("ths_adjustment_nv_fund",M$3,$A28))</x:f>
        <x:v>#NAME?</x:v>
      </x:c>
      <x:c r="N28" s="106" t="e">
        <x:f aca="0">IF($A28="","",[1]!thsiFinD("ths_adjustment_nv_fund",N$3,$A28))</x:f>
        <x:v>#NAME?</x:v>
      </x:c>
      <x:c r="O28" s="106" t="e">
        <x:f aca="0">IF($A28="","",[1]!thsiFinD("ths_adjustment_nv_fund",O$3,$A28))</x:f>
        <x:v>#NAME?</x:v>
      </x:c>
      <x:c r="P28" s="106" t="e">
        <x:f aca="0">IF($A28="","",[1]!thsiFinD("ths_adjustment_nv_fund",P$3,$A28))</x:f>
        <x:v>#NAME?</x:v>
      </x:c>
      <x:c r="Q28" s="106" t="e">
        <x:f aca="0">IF($A28="","",[1]!thsiFinD("ths_adjustment_nv_fund",Q$3,$A28))</x:f>
        <x:v>#NAME?</x:v>
      </x:c>
      <x:c r="R28" s="106" t="e">
        <x:f aca="0">IF($A28="","",[1]!thsiFinD("ths_adjustment_nv_fund",R$3,$A28))</x:f>
        <x:v>#NAME?</x:v>
      </x:c>
      <x:c r="S28" s="106" t="e">
        <x:f aca="0">IF($A28="","",[1]!thsiFinD("ths_adjustment_nv_fund",S$3,$A28))</x:f>
        <x:v>#NAME?</x:v>
      </x:c>
      <x:c r="T28" s="106" t="e">
        <x:f aca="0">IF($A28="","",[1]!thsiFinD("ths_adjustment_nv_fund",T$3,$A28))</x:f>
        <x:v>#NAME?</x:v>
      </x:c>
      <x:c r="U28" s="106" t="e">
        <x:f aca="0">IF($A28="","",[1]!thsiFinD("ths_adjustment_nv_fund",U$3,$A28))</x:f>
        <x:v>#NAME?</x:v>
      </x:c>
      <x:c r="V28" s="106" t="e">
        <x:f aca="0">IF($A28="","",[1]!thsiFinD("ths_adjustment_nv_fund",V$3,$A28))</x:f>
        <x:v>#NAME?</x:v>
      </x:c>
      <x:c r="W28" s="106" t="e">
        <x:f aca="0">IF($A28="","",[1]!thsiFinD("ths_adjustment_nv_fund",W$3,$A28))</x:f>
        <x:v>#NAME?</x:v>
      </x:c>
      <x:c r="X28" s="106" t="e">
        <x:f aca="0">IF($A28="","",[1]!thsiFinD("ths_adjustment_nv_fund",X$3,$A28))</x:f>
        <x:v>#NAME?</x:v>
      </x:c>
      <x:c r="Y28" s="106" t="e">
        <x:f aca="0">IF($A28="","",[1]!thsiFinD("ths_adjustment_nv_fund",Y$3,$A28))</x:f>
        <x:v>#NAME?</x:v>
      </x:c>
      <x:c r="Z28" t="e">
        <x:f>IF($A28="","",[1]!thsiFinD("ths_adjustment_nv_fund",Z$3,$A28))</x:f>
        <x:v>#NAME?</x:v>
      </x:c>
      <x:c r="AA28" t="e">
        <x:f>IF($A28="","",[1]!thsiFinD("ths_adjustment_nv_fund",AA$3,$A28))</x:f>
        <x:v>#NAME?</x:v>
      </x:c>
    </x:row>
    <x:row r="29" ht="12" hidden="0">
      <x:c r="A29" s="9" t="n">
        <x:v>46226</x:v>
      </x:c>
      <x:c r="B29" s="106" t="e">
        <x:f aca="0">IF($A29="","",[1]!thsiFinD("ths_adjustment_nv_fund",B$3,$A29))</x:f>
        <x:v>#NAME?</x:v>
      </x:c>
      <x:c r="C29" s="106" t="e">
        <x:f aca="0">IF($A29="","",[1]!thsiFinD("ths_adjustment_nv_fund",C$3,$A29))</x:f>
        <x:v>#NAME?</x:v>
      </x:c>
      <x:c r="D29" s="106" t="e">
        <x:f aca="0">IF($A29="","",[1]!thsiFinD("ths_adjustment_nv_fund",D$3,$A29))</x:f>
        <x:v>#NAME?</x:v>
      </x:c>
      <x:c r="E29" s="106" t="e">
        <x:f aca="0">IF($A29="","",[1]!thsiFinD("ths_adjustment_nv_fund",E$3,$A29))</x:f>
        <x:v>#NAME?</x:v>
      </x:c>
      <x:c r="F29" s="106" t="e">
        <x:f aca="0">IF($A29="","",[1]!thsiFinD("ths_adjustment_nv_fund",F$3,$A29))</x:f>
        <x:v>#NAME?</x:v>
      </x:c>
      <x:c r="G29" s="106" t="e">
        <x:f aca="0">IF($A29="","",[1]!thsiFinD("ths_adjustment_nv_fund",G$3,$A29))</x:f>
        <x:v>#NAME?</x:v>
      </x:c>
      <x:c r="H29" s="106" t="e">
        <x:f aca="0">IF($A29="","",[1]!thsiFinD("ths_adjustment_nv_fund",H$3,$A29))</x:f>
        <x:v>#NAME?</x:v>
      </x:c>
      <x:c r="I29" s="106" t="e">
        <x:f aca="0">IF($A29="","",[1]!thsiFinD("ths_adjustment_nv_fund",I$3,$A29))</x:f>
        <x:v>#NAME?</x:v>
      </x:c>
      <x:c r="J29" s="106" t="e">
        <x:f aca="0">IF($A29="","",[1]!thsiFinD("ths_adjustment_nv_fund",J$3,$A29))</x:f>
        <x:v>#NAME?</x:v>
      </x:c>
      <x:c r="K29" s="106" t="e">
        <x:f aca="0">IF($A29="","",[1]!thsiFinD("ths_adjustment_nv_fund",K$3,$A29))</x:f>
        <x:v>#NAME?</x:v>
      </x:c>
      <x:c r="L29" s="106" t="e">
        <x:f aca="0">IF($A29="","",[1]!thsiFinD("ths_adjustment_nv_fund",L$3,$A29))</x:f>
        <x:v>#NAME?</x:v>
      </x:c>
      <x:c r="M29" s="106" t="e">
        <x:f aca="0">IF($A29="","",[1]!thsiFinD("ths_adjustment_nv_fund",M$3,$A29))</x:f>
        <x:v>#NAME?</x:v>
      </x:c>
      <x:c r="N29" s="106" t="e">
        <x:f aca="0">IF($A29="","",[1]!thsiFinD("ths_adjustment_nv_fund",N$3,$A29))</x:f>
        <x:v>#NAME?</x:v>
      </x:c>
      <x:c r="O29" s="106" t="e">
        <x:f aca="0">IF($A29="","",[1]!thsiFinD("ths_adjustment_nv_fund",O$3,$A29))</x:f>
        <x:v>#NAME?</x:v>
      </x:c>
      <x:c r="P29" s="106" t="e">
        <x:f aca="0">IF($A29="","",[1]!thsiFinD("ths_adjustment_nv_fund",P$3,$A29))</x:f>
        <x:v>#NAME?</x:v>
      </x:c>
      <x:c r="Q29" s="106" t="e">
        <x:f aca="0">IF($A29="","",[1]!thsiFinD("ths_adjustment_nv_fund",Q$3,$A29))</x:f>
        <x:v>#NAME?</x:v>
      </x:c>
      <x:c r="R29" s="106" t="e">
        <x:f aca="0">IF($A29="","",[1]!thsiFinD("ths_adjustment_nv_fund",R$3,$A29))</x:f>
        <x:v>#NAME?</x:v>
      </x:c>
      <x:c r="S29" s="106" t="e">
        <x:f aca="0">IF($A29="","",[1]!thsiFinD("ths_adjustment_nv_fund",S$3,$A29))</x:f>
        <x:v>#NAME?</x:v>
      </x:c>
      <x:c r="T29" s="106" t="e">
        <x:f aca="0">IF($A29="","",[1]!thsiFinD("ths_adjustment_nv_fund",T$3,$A29))</x:f>
        <x:v>#NAME?</x:v>
      </x:c>
      <x:c r="U29" s="106" t="e">
        <x:f aca="0">IF($A29="","",[1]!thsiFinD("ths_adjustment_nv_fund",U$3,$A29))</x:f>
        <x:v>#NAME?</x:v>
      </x:c>
      <x:c r="V29" s="106" t="e">
        <x:f aca="0">IF($A29="","",[1]!thsiFinD("ths_adjustment_nv_fund",V$3,$A29))</x:f>
        <x:v>#NAME?</x:v>
      </x:c>
      <x:c r="W29" s="106" t="e">
        <x:f aca="0">IF($A29="","",[1]!thsiFinD("ths_adjustment_nv_fund",W$3,$A29))</x:f>
        <x:v>#NAME?</x:v>
      </x:c>
      <x:c r="X29" s="106" t="e">
        <x:f aca="0">IF($A29="","",[1]!thsiFinD("ths_adjustment_nv_fund",X$3,$A29))</x:f>
        <x:v>#NAME?</x:v>
      </x:c>
      <x:c r="Y29" s="106" t="e">
        <x:f aca="0">IF($A29="","",[1]!thsiFinD("ths_adjustment_nv_fund",Y$3,$A29))</x:f>
        <x:v>#NAME?</x:v>
      </x:c>
      <x:c r="Z29" t="e">
        <x:f>IF($A29="","",[1]!thsiFinD("ths_adjustment_nv_fund",Z$3,$A29))</x:f>
        <x:v>#NAME?</x:v>
      </x:c>
      <x:c r="AA29" t="e">
        <x:f>IF($A29="","",[1]!thsiFinD("ths_adjustment_nv_fund",AA$3,$A29))</x:f>
        <x:v>#NAME?</x:v>
      </x:c>
    </x:row>
    <x:row r="30" ht="12" hidden="0">
      <x:c r="A30" s="9" t="n">
        <x:v>46227</x:v>
      </x:c>
      <x:c r="B30" s="106" t="e">
        <x:f aca="0">IF($A30="","",[1]!thsiFinD("ths_adjustment_nv_fund",B$3,$A30))</x:f>
        <x:v>#NAME?</x:v>
      </x:c>
      <x:c r="C30" s="106" t="e">
        <x:f aca="0">IF($A30="","",[1]!thsiFinD("ths_adjustment_nv_fund",C$3,$A30))</x:f>
        <x:v>#NAME?</x:v>
      </x:c>
      <x:c r="D30" s="106" t="e">
        <x:f aca="0">IF($A30="","",[1]!thsiFinD("ths_adjustment_nv_fund",D$3,$A30))</x:f>
        <x:v>#NAME?</x:v>
      </x:c>
      <x:c r="E30" s="106" t="e">
        <x:f aca="0">IF($A30="","",[1]!thsiFinD("ths_adjustment_nv_fund",E$3,$A30))</x:f>
        <x:v>#NAME?</x:v>
      </x:c>
      <x:c r="F30" s="106" t="e">
        <x:f aca="0">IF($A30="","",[1]!thsiFinD("ths_adjustment_nv_fund",F$3,$A30))</x:f>
        <x:v>#NAME?</x:v>
      </x:c>
      <x:c r="G30" s="106" t="e">
        <x:f aca="0">IF($A30="","",[1]!thsiFinD("ths_adjustment_nv_fund",G$3,$A30))</x:f>
        <x:v>#NAME?</x:v>
      </x:c>
      <x:c r="H30" s="106" t="e">
        <x:f aca="0">IF($A30="","",[1]!thsiFinD("ths_adjustment_nv_fund",H$3,$A30))</x:f>
        <x:v>#NAME?</x:v>
      </x:c>
      <x:c r="I30" s="106" t="e">
        <x:f aca="0">IF($A30="","",[1]!thsiFinD("ths_adjustment_nv_fund",I$3,$A30))</x:f>
        <x:v>#NAME?</x:v>
      </x:c>
      <x:c r="J30" s="106" t="e">
        <x:f aca="0">IF($A30="","",[1]!thsiFinD("ths_adjustment_nv_fund",J$3,$A30))</x:f>
        <x:v>#NAME?</x:v>
      </x:c>
      <x:c r="K30" s="106" t="e">
        <x:f aca="0">IF($A30="","",[1]!thsiFinD("ths_adjustment_nv_fund",K$3,$A30))</x:f>
        <x:v>#NAME?</x:v>
      </x:c>
      <x:c r="L30" s="106" t="e">
        <x:f aca="0">IF($A30="","",[1]!thsiFinD("ths_adjustment_nv_fund",L$3,$A30))</x:f>
        <x:v>#NAME?</x:v>
      </x:c>
      <x:c r="M30" s="106" t="e">
        <x:f aca="0">IF($A30="","",[1]!thsiFinD("ths_adjustment_nv_fund",M$3,$A30))</x:f>
        <x:v>#NAME?</x:v>
      </x:c>
      <x:c r="N30" s="106" t="e">
        <x:f aca="0">IF($A30="","",[1]!thsiFinD("ths_adjustment_nv_fund",N$3,$A30))</x:f>
        <x:v>#NAME?</x:v>
      </x:c>
      <x:c r="O30" s="106" t="e">
        <x:f aca="0">IF($A30="","",[1]!thsiFinD("ths_adjustment_nv_fund",O$3,$A30))</x:f>
        <x:v>#NAME?</x:v>
      </x:c>
      <x:c r="P30" s="106" t="e">
        <x:f aca="0">IF($A30="","",[1]!thsiFinD("ths_adjustment_nv_fund",P$3,$A30))</x:f>
        <x:v>#NAME?</x:v>
      </x:c>
      <x:c r="Q30" s="106" t="e">
        <x:f aca="0">IF($A30="","",[1]!thsiFinD("ths_adjustment_nv_fund",Q$3,$A30))</x:f>
        <x:v>#NAME?</x:v>
      </x:c>
      <x:c r="R30" s="106" t="e">
        <x:f aca="0">IF($A30="","",[1]!thsiFinD("ths_adjustment_nv_fund",R$3,$A30))</x:f>
        <x:v>#NAME?</x:v>
      </x:c>
      <x:c r="S30" s="106" t="e">
        <x:f aca="0">IF($A30="","",[1]!thsiFinD("ths_adjustment_nv_fund",S$3,$A30))</x:f>
        <x:v>#NAME?</x:v>
      </x:c>
      <x:c r="T30" s="106" t="e">
        <x:f aca="0">IF($A30="","",[1]!thsiFinD("ths_adjustment_nv_fund",T$3,$A30))</x:f>
        <x:v>#NAME?</x:v>
      </x:c>
      <x:c r="U30" s="106" t="e">
        <x:f aca="0">IF($A30="","",[1]!thsiFinD("ths_adjustment_nv_fund",U$3,$A30))</x:f>
        <x:v>#NAME?</x:v>
      </x:c>
      <x:c r="V30" s="106" t="e">
        <x:f aca="0">IF($A30="","",[1]!thsiFinD("ths_adjustment_nv_fund",V$3,$A30))</x:f>
        <x:v>#NAME?</x:v>
      </x:c>
      <x:c r="W30" s="106" t="e">
        <x:f aca="0">IF($A30="","",[1]!thsiFinD("ths_adjustment_nv_fund",W$3,$A30))</x:f>
        <x:v>#NAME?</x:v>
      </x:c>
      <x:c r="X30" s="106" t="e">
        <x:f aca="0">IF($A30="","",[1]!thsiFinD("ths_adjustment_nv_fund",X$3,$A30))</x:f>
        <x:v>#NAME?</x:v>
      </x:c>
      <x:c r="Y30" s="106" t="e">
        <x:f aca="0">IF($A30="","",[1]!thsiFinD("ths_adjustment_nv_fund",Y$3,$A30))</x:f>
        <x:v>#NAME?</x:v>
      </x:c>
      <x:c r="Z30" t="e">
        <x:f>IF($A30="","",[1]!thsiFinD("ths_adjustment_nv_fund",Z$3,$A30))</x:f>
        <x:v>#NAME?</x:v>
      </x:c>
      <x:c r="AA30" t="e">
        <x:f>IF($A30="","",[1]!thsiFinD("ths_adjustment_nv_fund",AA$3,$A30))</x:f>
        <x:v>#NAME?</x:v>
      </x:c>
    </x:row>
    <x:row r="31" ht="12" hidden="0">
      <x:c r="A31" s="9" t="n">
        <x:v>46230</x:v>
      </x:c>
      <x:c r="B31" s="106" t="e">
        <x:f aca="0">IF($A31="","",[1]!thsiFinD("ths_adjustment_nv_fund",B$3,$A31))</x:f>
        <x:v>#NAME?</x:v>
      </x:c>
      <x:c r="C31" s="106" t="e">
        <x:f aca="0">IF($A31="","",[1]!thsiFinD("ths_adjustment_nv_fund",C$3,$A31))</x:f>
        <x:v>#NAME?</x:v>
      </x:c>
      <x:c r="D31" s="106" t="e">
        <x:f aca="0">IF($A31="","",[1]!thsiFinD("ths_adjustment_nv_fund",D$3,$A31))</x:f>
        <x:v>#NAME?</x:v>
      </x:c>
      <x:c r="E31" s="106" t="e">
        <x:f aca="0">IF($A31="","",[1]!thsiFinD("ths_adjustment_nv_fund",E$3,$A31))</x:f>
        <x:v>#NAME?</x:v>
      </x:c>
      <x:c r="F31" s="106" t="e">
        <x:f aca="0">IF($A31="","",[1]!thsiFinD("ths_adjustment_nv_fund",F$3,$A31))</x:f>
        <x:v>#NAME?</x:v>
      </x:c>
      <x:c r="G31" s="106" t="e">
        <x:f aca="0">IF($A31="","",[1]!thsiFinD("ths_adjustment_nv_fund",G$3,$A31))</x:f>
        <x:v>#NAME?</x:v>
      </x:c>
      <x:c r="H31" s="106" t="e">
        <x:f aca="0">IF($A31="","",[1]!thsiFinD("ths_adjustment_nv_fund",H$3,$A31))</x:f>
        <x:v>#NAME?</x:v>
      </x:c>
      <x:c r="I31" s="106" t="e">
        <x:f aca="0">IF($A31="","",[1]!thsiFinD("ths_adjustment_nv_fund",I$3,$A31))</x:f>
        <x:v>#NAME?</x:v>
      </x:c>
      <x:c r="J31" s="106" t="e">
        <x:f aca="0">IF($A31="","",[1]!thsiFinD("ths_adjustment_nv_fund",J$3,$A31))</x:f>
        <x:v>#NAME?</x:v>
      </x:c>
      <x:c r="K31" s="106" t="e">
        <x:f aca="0">IF($A31="","",[1]!thsiFinD("ths_adjustment_nv_fund",K$3,$A31))</x:f>
        <x:v>#NAME?</x:v>
      </x:c>
      <x:c r="L31" s="106" t="e">
        <x:f aca="0">IF($A31="","",[1]!thsiFinD("ths_adjustment_nv_fund",L$3,$A31))</x:f>
        <x:v>#NAME?</x:v>
      </x:c>
      <x:c r="M31" s="106" t="e">
        <x:f aca="0">IF($A31="","",[1]!thsiFinD("ths_adjustment_nv_fund",M$3,$A31))</x:f>
        <x:v>#NAME?</x:v>
      </x:c>
      <x:c r="N31" s="106" t="e">
        <x:f aca="0">IF($A31="","",[1]!thsiFinD("ths_adjustment_nv_fund",N$3,$A31))</x:f>
        <x:v>#NAME?</x:v>
      </x:c>
      <x:c r="O31" s="106" t="e">
        <x:f aca="0">IF($A31="","",[1]!thsiFinD("ths_adjustment_nv_fund",O$3,$A31))</x:f>
        <x:v>#NAME?</x:v>
      </x:c>
      <x:c r="P31" s="106" t="e">
        <x:f aca="0">IF($A31="","",[1]!thsiFinD("ths_adjustment_nv_fund",P$3,$A31))</x:f>
        <x:v>#NAME?</x:v>
      </x:c>
      <x:c r="Q31" s="106" t="e">
        <x:f aca="0">IF($A31="","",[1]!thsiFinD("ths_adjustment_nv_fund",Q$3,$A31))</x:f>
        <x:v>#NAME?</x:v>
      </x:c>
      <x:c r="R31" s="106" t="e">
        <x:f aca="0">IF($A31="","",[1]!thsiFinD("ths_adjustment_nv_fund",R$3,$A31))</x:f>
        <x:v>#NAME?</x:v>
      </x:c>
      <x:c r="S31" s="106" t="e">
        <x:f aca="0">IF($A31="","",[1]!thsiFinD("ths_adjustment_nv_fund",S$3,$A31))</x:f>
        <x:v>#NAME?</x:v>
      </x:c>
      <x:c r="T31" s="106" t="e">
        <x:f aca="0">IF($A31="","",[1]!thsiFinD("ths_adjustment_nv_fund",T$3,$A31))</x:f>
        <x:v>#NAME?</x:v>
      </x:c>
      <x:c r="U31" s="106" t="e">
        <x:f aca="0">IF($A31="","",[1]!thsiFinD("ths_adjustment_nv_fund",U$3,$A31))</x:f>
        <x:v>#NAME?</x:v>
      </x:c>
      <x:c r="V31" s="106" t="e">
        <x:f aca="0">IF($A31="","",[1]!thsiFinD("ths_adjustment_nv_fund",V$3,$A31))</x:f>
        <x:v>#NAME?</x:v>
      </x:c>
      <x:c r="W31" s="106" t="e">
        <x:f aca="0">IF($A31="","",[1]!thsiFinD("ths_adjustment_nv_fund",W$3,$A31))</x:f>
        <x:v>#NAME?</x:v>
      </x:c>
      <x:c r="X31" s="106" t="e">
        <x:f aca="0">IF($A31="","",[1]!thsiFinD("ths_adjustment_nv_fund",X$3,$A31))</x:f>
        <x:v>#NAME?</x:v>
      </x:c>
      <x:c r="Y31" s="106" t="e">
        <x:f aca="0">IF($A31="","",[1]!thsiFinD("ths_adjustment_nv_fund",Y$3,$A31))</x:f>
        <x:v>#NAME?</x:v>
      </x:c>
      <x:c r="Z31" t="e">
        <x:f>IF($A31="","",[1]!thsiFinD("ths_adjustment_nv_fund",Z$3,$A31))</x:f>
        <x:v>#NAME?</x:v>
      </x:c>
      <x:c r="AA31" t="e">
        <x:f>IF($A31="","",[1]!thsiFinD("ths_adjustment_nv_fund",AA$3,$A31))</x:f>
        <x:v>#NAME?</x:v>
      </x:c>
    </x:row>
    <x:row r="32" ht="12" hidden="0">
      <x:c r="A32" s="9" t="n">
        <x:v>46231</x:v>
      </x:c>
      <x:c r="B32" s="106" t="e">
        <x:f aca="0">IF($A32="","",[1]!thsiFinD("ths_adjustment_nv_fund",B$3,$A32))</x:f>
        <x:v>#NAME?</x:v>
      </x:c>
      <x:c r="C32" s="106" t="e">
        <x:f aca="0">IF($A32="","",[1]!thsiFinD("ths_adjustment_nv_fund",C$3,$A32))</x:f>
        <x:v>#NAME?</x:v>
      </x:c>
      <x:c r="D32" s="106" t="e">
        <x:f aca="0">IF($A32="","",[1]!thsiFinD("ths_adjustment_nv_fund",D$3,$A32))</x:f>
        <x:v>#NAME?</x:v>
      </x:c>
      <x:c r="E32" s="106" t="e">
        <x:f aca="0">IF($A32="","",[1]!thsiFinD("ths_adjustment_nv_fund",E$3,$A32))</x:f>
        <x:v>#NAME?</x:v>
      </x:c>
      <x:c r="F32" s="106" t="e">
        <x:f aca="0">IF($A32="","",[1]!thsiFinD("ths_adjustment_nv_fund",F$3,$A32))</x:f>
        <x:v>#NAME?</x:v>
      </x:c>
      <x:c r="G32" s="106" t="e">
        <x:f aca="0">IF($A32="","",[1]!thsiFinD("ths_adjustment_nv_fund",G$3,$A32))</x:f>
        <x:v>#NAME?</x:v>
      </x:c>
      <x:c r="H32" s="106" t="e">
        <x:f aca="0">IF($A32="","",[1]!thsiFinD("ths_adjustment_nv_fund",H$3,$A32))</x:f>
        <x:v>#NAME?</x:v>
      </x:c>
      <x:c r="I32" s="106" t="e">
        <x:f aca="0">IF($A32="","",[1]!thsiFinD("ths_adjustment_nv_fund",I$3,$A32))</x:f>
        <x:v>#NAME?</x:v>
      </x:c>
      <x:c r="J32" s="106" t="e">
        <x:f aca="0">IF($A32="","",[1]!thsiFinD("ths_adjustment_nv_fund",J$3,$A32))</x:f>
        <x:v>#NAME?</x:v>
      </x:c>
      <x:c r="K32" s="106" t="e">
        <x:f aca="0">IF($A32="","",[1]!thsiFinD("ths_adjustment_nv_fund",K$3,$A32))</x:f>
        <x:v>#NAME?</x:v>
      </x:c>
      <x:c r="L32" s="106" t="e">
        <x:f aca="0">IF($A32="","",[1]!thsiFinD("ths_adjustment_nv_fund",L$3,$A32))</x:f>
        <x:v>#NAME?</x:v>
      </x:c>
      <x:c r="M32" s="106" t="e">
        <x:f aca="0">IF($A32="","",[1]!thsiFinD("ths_adjustment_nv_fund",M$3,$A32))</x:f>
        <x:v>#NAME?</x:v>
      </x:c>
      <x:c r="N32" s="106" t="e">
        <x:f aca="0">IF($A32="","",[1]!thsiFinD("ths_adjustment_nv_fund",N$3,$A32))</x:f>
        <x:v>#NAME?</x:v>
      </x:c>
      <x:c r="O32" s="106" t="e">
        <x:f aca="0">IF($A32="","",[1]!thsiFinD("ths_adjustment_nv_fund",O$3,$A32))</x:f>
        <x:v>#NAME?</x:v>
      </x:c>
      <x:c r="P32" s="106" t="e">
        <x:f aca="0">IF($A32="","",[1]!thsiFinD("ths_adjustment_nv_fund",P$3,$A32))</x:f>
        <x:v>#NAME?</x:v>
      </x:c>
      <x:c r="Q32" s="106" t="e">
        <x:f aca="0">IF($A32="","",[1]!thsiFinD("ths_adjustment_nv_fund",Q$3,$A32))</x:f>
        <x:v>#NAME?</x:v>
      </x:c>
      <x:c r="R32" s="106" t="e">
        <x:f aca="0">IF($A32="","",[1]!thsiFinD("ths_adjustment_nv_fund",R$3,$A32))</x:f>
        <x:v>#NAME?</x:v>
      </x:c>
      <x:c r="S32" s="106" t="e">
        <x:f aca="0">IF($A32="","",[1]!thsiFinD("ths_adjustment_nv_fund",S$3,$A32))</x:f>
        <x:v>#NAME?</x:v>
      </x:c>
      <x:c r="T32" s="106" t="e">
        <x:f aca="0">IF($A32="","",[1]!thsiFinD("ths_adjustment_nv_fund",T$3,$A32))</x:f>
        <x:v>#NAME?</x:v>
      </x:c>
      <x:c r="U32" s="106" t="e">
        <x:f aca="0">IF($A32="","",[1]!thsiFinD("ths_adjustment_nv_fund",U$3,$A32))</x:f>
        <x:v>#NAME?</x:v>
      </x:c>
      <x:c r="V32" s="106" t="e">
        <x:f aca="0">IF($A32="","",[1]!thsiFinD("ths_adjustment_nv_fund",V$3,$A32))</x:f>
        <x:v>#NAME?</x:v>
      </x:c>
      <x:c r="W32" s="106" t="e">
        <x:f aca="0">IF($A32="","",[1]!thsiFinD("ths_adjustment_nv_fund",W$3,$A32))</x:f>
        <x:v>#NAME?</x:v>
      </x:c>
      <x:c r="X32" s="106" t="e">
        <x:f aca="0">IF($A32="","",[1]!thsiFinD("ths_adjustment_nv_fund",X$3,$A32))</x:f>
        <x:v>#NAME?</x:v>
      </x:c>
      <x:c r="Y32" s="106" t="e">
        <x:f aca="0">IF($A32="","",[1]!thsiFinD("ths_adjustment_nv_fund",Y$3,$A32))</x:f>
        <x:v>#NAME?</x:v>
      </x:c>
      <x:c r="Z32" t="e">
        <x:f>IF($A32="","",[1]!thsiFinD("ths_adjustment_nv_fund",Z$3,$A32))</x:f>
        <x:v>#NAME?</x:v>
      </x:c>
      <x:c r="AA32" t="e">
        <x:f>IF($A32="","",[1]!thsiFinD("ths_adjustment_nv_fund",AA$3,$A32))</x:f>
        <x:v>#NAME?</x:v>
      </x:c>
    </x:row>
    <x:row r="33" ht="12" hidden="0">
      <x:c r="A33" s="9" t="n">
        <x:v>46232</x:v>
      </x:c>
      <x:c r="B33" s="106" t="e">
        <x:f aca="0">IF($A33="","",[1]!thsiFinD("ths_adjustment_nv_fund",B$3,$A33))</x:f>
        <x:v>#NAME?</x:v>
      </x:c>
      <x:c r="C33" s="106" t="e">
        <x:f aca="0">IF($A33="","",[1]!thsiFinD("ths_adjustment_nv_fund",C$3,$A33))</x:f>
        <x:v>#NAME?</x:v>
      </x:c>
      <x:c r="D33" s="106" t="e">
        <x:f aca="0">IF($A33="","",[1]!thsiFinD("ths_adjustment_nv_fund",D$3,$A33))</x:f>
        <x:v>#NAME?</x:v>
      </x:c>
      <x:c r="E33" s="106" t="e">
        <x:f aca="0">IF($A33="","",[1]!thsiFinD("ths_adjustment_nv_fund",E$3,$A33))</x:f>
        <x:v>#NAME?</x:v>
      </x:c>
      <x:c r="F33" s="106" t="e">
        <x:f aca="0">IF($A33="","",[1]!thsiFinD("ths_adjustment_nv_fund",F$3,$A33))</x:f>
        <x:v>#NAME?</x:v>
      </x:c>
      <x:c r="G33" s="106" t="e">
        <x:f aca="0">IF($A33="","",[1]!thsiFinD("ths_adjustment_nv_fund",G$3,$A33))</x:f>
        <x:v>#NAME?</x:v>
      </x:c>
      <x:c r="H33" s="106" t="e">
        <x:f aca="0">IF($A33="","",[1]!thsiFinD("ths_adjustment_nv_fund",H$3,$A33))</x:f>
        <x:v>#NAME?</x:v>
      </x:c>
      <x:c r="I33" s="106" t="e">
        <x:f aca="0">IF($A33="","",[1]!thsiFinD("ths_adjustment_nv_fund",I$3,$A33))</x:f>
        <x:v>#NAME?</x:v>
      </x:c>
      <x:c r="J33" s="106" t="e">
        <x:f aca="0">IF($A33="","",[1]!thsiFinD("ths_adjustment_nv_fund",J$3,$A33))</x:f>
        <x:v>#NAME?</x:v>
      </x:c>
      <x:c r="K33" s="106" t="e">
        <x:f aca="0">IF($A33="","",[1]!thsiFinD("ths_adjustment_nv_fund",K$3,$A33))</x:f>
        <x:v>#NAME?</x:v>
      </x:c>
      <x:c r="L33" s="106" t="e">
        <x:f aca="0">IF($A33="","",[1]!thsiFinD("ths_adjustment_nv_fund",L$3,$A33))</x:f>
        <x:v>#NAME?</x:v>
      </x:c>
      <x:c r="M33" s="106" t="e">
        <x:f aca="0">IF($A33="","",[1]!thsiFinD("ths_adjustment_nv_fund",M$3,$A33))</x:f>
        <x:v>#NAME?</x:v>
      </x:c>
      <x:c r="N33" s="106" t="e">
        <x:f aca="0">IF($A33="","",[1]!thsiFinD("ths_adjustment_nv_fund",N$3,$A33))</x:f>
        <x:v>#NAME?</x:v>
      </x:c>
      <x:c r="O33" s="106" t="e">
        <x:f aca="0">IF($A33="","",[1]!thsiFinD("ths_adjustment_nv_fund",O$3,$A33))</x:f>
        <x:v>#NAME?</x:v>
      </x:c>
      <x:c r="P33" s="106" t="e">
        <x:f aca="0">IF($A33="","",[1]!thsiFinD("ths_adjustment_nv_fund",P$3,$A33))</x:f>
        <x:v>#NAME?</x:v>
      </x:c>
      <x:c r="Q33" s="106" t="e">
        <x:f aca="0">IF($A33="","",[1]!thsiFinD("ths_adjustment_nv_fund",Q$3,$A33))</x:f>
        <x:v>#NAME?</x:v>
      </x:c>
      <x:c r="R33" s="106" t="e">
        <x:f aca="0">IF($A33="","",[1]!thsiFinD("ths_adjustment_nv_fund",R$3,$A33))</x:f>
        <x:v>#NAME?</x:v>
      </x:c>
      <x:c r="S33" s="106" t="e">
        <x:f aca="0">IF($A33="","",[1]!thsiFinD("ths_adjustment_nv_fund",S$3,$A33))</x:f>
        <x:v>#NAME?</x:v>
      </x:c>
      <x:c r="T33" s="106" t="e">
        <x:f aca="0">IF($A33="","",[1]!thsiFinD("ths_adjustment_nv_fund",T$3,$A33))</x:f>
        <x:v>#NAME?</x:v>
      </x:c>
      <x:c r="U33" s="106" t="e">
        <x:f aca="0">IF($A33="","",[1]!thsiFinD("ths_adjustment_nv_fund",U$3,$A33))</x:f>
        <x:v>#NAME?</x:v>
      </x:c>
      <x:c r="V33" s="106" t="e">
        <x:f aca="0">IF($A33="","",[1]!thsiFinD("ths_adjustment_nv_fund",V$3,$A33))</x:f>
        <x:v>#NAME?</x:v>
      </x:c>
      <x:c r="W33" s="106" t="e">
        <x:f aca="0">IF($A33="","",[1]!thsiFinD("ths_adjustment_nv_fund",W$3,$A33))</x:f>
        <x:v>#NAME?</x:v>
      </x:c>
      <x:c r="X33" s="106" t="e">
        <x:f aca="0">IF($A33="","",[1]!thsiFinD("ths_adjustment_nv_fund",X$3,$A33))</x:f>
        <x:v>#NAME?</x:v>
      </x:c>
      <x:c r="Y33" s="106" t="e">
        <x:f aca="0">IF($A33="","",[1]!thsiFinD("ths_adjustment_nv_fund",Y$3,$A33))</x:f>
        <x:v>#NAME?</x:v>
      </x:c>
      <x:c r="Z33" t="e">
        <x:f>IF($A33="","",[1]!thsiFinD("ths_adjustment_nv_fund",Z$3,$A33))</x:f>
        <x:v>#NAME?</x:v>
      </x:c>
      <x:c r="AA33" t="e">
        <x:f>IF($A33="","",[1]!thsiFinD("ths_adjustment_nv_fund",AA$3,$A33))</x:f>
        <x:v>#NAME?</x:v>
      </x:c>
    </x:row>
    <x:row r="34" ht="12" hidden="0">
      <x:c r="A34" s="9" t="n">
        <x:v>46233</x:v>
      </x:c>
      <x:c r="B34" s="106" t="e">
        <x:f aca="0">IF($A34="","",[1]!thsiFinD("ths_adjustment_nv_fund",B$3,$A34))</x:f>
        <x:v>#NAME?</x:v>
      </x:c>
      <x:c r="C34" s="106" t="e">
        <x:f aca="0">IF($A34="","",[1]!thsiFinD("ths_adjustment_nv_fund",C$3,$A34))</x:f>
        <x:v>#NAME?</x:v>
      </x:c>
      <x:c r="D34" s="106" t="e">
        <x:f aca="0">IF($A34="","",[1]!thsiFinD("ths_adjustment_nv_fund",D$3,$A34))</x:f>
        <x:v>#NAME?</x:v>
      </x:c>
      <x:c r="E34" s="106" t="e">
        <x:f aca="0">IF($A34="","",[1]!thsiFinD("ths_adjustment_nv_fund",E$3,$A34))</x:f>
        <x:v>#NAME?</x:v>
      </x:c>
      <x:c r="F34" s="106" t="e">
        <x:f aca="0">IF($A34="","",[1]!thsiFinD("ths_adjustment_nv_fund",F$3,$A34))</x:f>
        <x:v>#NAME?</x:v>
      </x:c>
      <x:c r="G34" s="106" t="e">
        <x:f aca="0">IF($A34="","",[1]!thsiFinD("ths_adjustment_nv_fund",G$3,$A34))</x:f>
        <x:v>#NAME?</x:v>
      </x:c>
      <x:c r="H34" s="106" t="e">
        <x:f aca="0">IF($A34="","",[1]!thsiFinD("ths_adjustment_nv_fund",H$3,$A34))</x:f>
        <x:v>#NAME?</x:v>
      </x:c>
      <x:c r="I34" s="106" t="e">
        <x:f aca="0">IF($A34="","",[1]!thsiFinD("ths_adjustment_nv_fund",I$3,$A34))</x:f>
        <x:v>#NAME?</x:v>
      </x:c>
      <x:c r="J34" s="106" t="e">
        <x:f aca="0">IF($A34="","",[1]!thsiFinD("ths_adjustment_nv_fund",J$3,$A34))</x:f>
        <x:v>#NAME?</x:v>
      </x:c>
      <x:c r="K34" s="106" t="e">
        <x:f aca="0">IF($A34="","",[1]!thsiFinD("ths_adjustment_nv_fund",K$3,$A34))</x:f>
        <x:v>#NAME?</x:v>
      </x:c>
      <x:c r="L34" s="106" t="e">
        <x:f aca="0">IF($A34="","",[1]!thsiFinD("ths_adjustment_nv_fund",L$3,$A34))</x:f>
        <x:v>#NAME?</x:v>
      </x:c>
      <x:c r="M34" s="106" t="e">
        <x:f aca="0">IF($A34="","",[1]!thsiFinD("ths_adjustment_nv_fund",M$3,$A34))</x:f>
        <x:v>#NAME?</x:v>
      </x:c>
      <x:c r="N34" s="106" t="e">
        <x:f aca="0">IF($A34="","",[1]!thsiFinD("ths_adjustment_nv_fund",N$3,$A34))</x:f>
        <x:v>#NAME?</x:v>
      </x:c>
      <x:c r="O34" s="106" t="e">
        <x:f aca="0">IF($A34="","",[1]!thsiFinD("ths_adjustment_nv_fund",O$3,$A34))</x:f>
        <x:v>#NAME?</x:v>
      </x:c>
      <x:c r="P34" s="106" t="e">
        <x:f aca="0">IF($A34="","",[1]!thsiFinD("ths_adjustment_nv_fund",P$3,$A34))</x:f>
        <x:v>#NAME?</x:v>
      </x:c>
      <x:c r="Q34" s="106" t="e">
        <x:f aca="0">IF($A34="","",[1]!thsiFinD("ths_adjustment_nv_fund",Q$3,$A34))</x:f>
        <x:v>#NAME?</x:v>
      </x:c>
      <x:c r="R34" s="106" t="e">
        <x:f aca="0">IF($A34="","",[1]!thsiFinD("ths_adjustment_nv_fund",R$3,$A34))</x:f>
        <x:v>#NAME?</x:v>
      </x:c>
      <x:c r="S34" s="106" t="e">
        <x:f aca="0">IF($A34="","",[1]!thsiFinD("ths_adjustment_nv_fund",S$3,$A34))</x:f>
        <x:v>#NAME?</x:v>
      </x:c>
      <x:c r="T34" s="106" t="e">
        <x:f aca="0">IF($A34="","",[1]!thsiFinD("ths_adjustment_nv_fund",T$3,$A34))</x:f>
        <x:v>#NAME?</x:v>
      </x:c>
      <x:c r="U34" s="106" t="e">
        <x:f aca="0">IF($A34="","",[1]!thsiFinD("ths_adjustment_nv_fund",U$3,$A34))</x:f>
        <x:v>#NAME?</x:v>
      </x:c>
      <x:c r="V34" s="106" t="e">
        <x:f aca="0">IF($A34="","",[1]!thsiFinD("ths_adjustment_nv_fund",V$3,$A34))</x:f>
        <x:v>#NAME?</x:v>
      </x:c>
      <x:c r="W34" s="106" t="e">
        <x:f aca="0">IF($A34="","",[1]!thsiFinD("ths_adjustment_nv_fund",W$3,$A34))</x:f>
        <x:v>#NAME?</x:v>
      </x:c>
      <x:c r="X34" s="106" t="e">
        <x:f aca="0">IF($A34="","",[1]!thsiFinD("ths_adjustment_nv_fund",X$3,$A34))</x:f>
        <x:v>#NAME?</x:v>
      </x:c>
      <x:c r="Y34" s="106" t="e">
        <x:f aca="0">IF($A34="","",[1]!thsiFinD("ths_adjustment_nv_fund",Y$3,$A34))</x:f>
        <x:v>#NAME?</x:v>
      </x:c>
      <x:c r="Z34" t="e">
        <x:f>IF($A34="","",[1]!thsiFinD("ths_adjustment_nv_fund",Z$3,$A34))</x:f>
        <x:v>#NAME?</x:v>
      </x:c>
      <x:c r="AA34" t="e">
        <x:f>IF($A34="","",[1]!thsiFinD("ths_adjustment_nv_fund",AA$3,$A34))</x:f>
        <x:v>#NAME?</x:v>
      </x:c>
    </x:row>
    <x:row r="35" ht="12" hidden="0">
      <x:c r="A35" s="9" t="n">
        <x:v>46234</x:v>
      </x:c>
      <x:c r="B35" s="106" t="e">
        <x:f aca="0">IF($A35="","",[1]!thsiFinD("ths_adjustment_nv_fund",B$3,$A35))</x:f>
        <x:v>#NAME?</x:v>
      </x:c>
      <x:c r="C35" s="106" t="e">
        <x:f aca="0">IF($A35="","",[1]!thsiFinD("ths_adjustment_nv_fund",C$3,$A35))</x:f>
        <x:v>#NAME?</x:v>
      </x:c>
      <x:c r="D35" s="106" t="e">
        <x:f aca="0">IF($A35="","",[1]!thsiFinD("ths_adjustment_nv_fund",D$3,$A35))</x:f>
        <x:v>#NAME?</x:v>
      </x:c>
      <x:c r="E35" s="106" t="e">
        <x:f aca="0">IF($A35="","",[1]!thsiFinD("ths_adjustment_nv_fund",E$3,$A35))</x:f>
        <x:v>#NAME?</x:v>
      </x:c>
      <x:c r="F35" s="106" t="e">
        <x:f aca="0">IF($A35="","",[1]!thsiFinD("ths_adjustment_nv_fund",F$3,$A35))</x:f>
        <x:v>#NAME?</x:v>
      </x:c>
      <x:c r="G35" s="106" t="e">
        <x:f aca="0">IF($A35="","",[1]!thsiFinD("ths_adjustment_nv_fund",G$3,$A35))</x:f>
        <x:v>#NAME?</x:v>
      </x:c>
      <x:c r="H35" s="106" t="e">
        <x:f aca="0">IF($A35="","",[1]!thsiFinD("ths_adjustment_nv_fund",H$3,$A35))</x:f>
        <x:v>#NAME?</x:v>
      </x:c>
      <x:c r="I35" s="106" t="e">
        <x:f aca="0">IF($A35="","",[1]!thsiFinD("ths_adjustment_nv_fund",I$3,$A35))</x:f>
        <x:v>#NAME?</x:v>
      </x:c>
      <x:c r="J35" s="106" t="e">
        <x:f aca="0">IF($A35="","",[1]!thsiFinD("ths_adjustment_nv_fund",J$3,$A35))</x:f>
        <x:v>#NAME?</x:v>
      </x:c>
      <x:c r="K35" s="106" t="e">
        <x:f aca="0">IF($A35="","",[1]!thsiFinD("ths_adjustment_nv_fund",K$3,$A35))</x:f>
        <x:v>#NAME?</x:v>
      </x:c>
      <x:c r="L35" s="106" t="e">
        <x:f aca="0">IF($A35="","",[1]!thsiFinD("ths_adjustment_nv_fund",L$3,$A35))</x:f>
        <x:v>#NAME?</x:v>
      </x:c>
      <x:c r="M35" s="106" t="e">
        <x:f aca="0">IF($A35="","",[1]!thsiFinD("ths_adjustment_nv_fund",M$3,$A35))</x:f>
        <x:v>#NAME?</x:v>
      </x:c>
      <x:c r="N35" s="106" t="e">
        <x:f aca="0">IF($A35="","",[1]!thsiFinD("ths_adjustment_nv_fund",N$3,$A35))</x:f>
        <x:v>#NAME?</x:v>
      </x:c>
      <x:c r="O35" s="106" t="e">
        <x:f aca="0">IF($A35="","",[1]!thsiFinD("ths_adjustment_nv_fund",O$3,$A35))</x:f>
        <x:v>#NAME?</x:v>
      </x:c>
      <x:c r="P35" s="106" t="e">
        <x:f aca="0">IF($A35="","",[1]!thsiFinD("ths_adjustment_nv_fund",P$3,$A35))</x:f>
        <x:v>#NAME?</x:v>
      </x:c>
      <x:c r="Q35" s="106" t="e">
        <x:f aca="0">IF($A35="","",[1]!thsiFinD("ths_adjustment_nv_fund",Q$3,$A35))</x:f>
        <x:v>#NAME?</x:v>
      </x:c>
      <x:c r="R35" s="106" t="e">
        <x:f aca="0">IF($A35="","",[1]!thsiFinD("ths_adjustment_nv_fund",R$3,$A35))</x:f>
        <x:v>#NAME?</x:v>
      </x:c>
      <x:c r="S35" s="106" t="e">
        <x:f aca="0">IF($A35="","",[1]!thsiFinD("ths_adjustment_nv_fund",S$3,$A35))</x:f>
        <x:v>#NAME?</x:v>
      </x:c>
      <x:c r="T35" s="106" t="e">
        <x:f aca="0">IF($A35="","",[1]!thsiFinD("ths_adjustment_nv_fund",T$3,$A35))</x:f>
        <x:v>#NAME?</x:v>
      </x:c>
      <x:c r="U35" s="106" t="e">
        <x:f aca="0">IF($A35="","",[1]!thsiFinD("ths_adjustment_nv_fund",U$3,$A35))</x:f>
        <x:v>#NAME?</x:v>
      </x:c>
      <x:c r="V35" s="106" t="e">
        <x:f aca="0">IF($A35="","",[1]!thsiFinD("ths_adjustment_nv_fund",V$3,$A35))</x:f>
        <x:v>#NAME?</x:v>
      </x:c>
      <x:c r="W35" s="106" t="e">
        <x:f aca="0">IF($A35="","",[1]!thsiFinD("ths_adjustment_nv_fund",W$3,$A35))</x:f>
        <x:v>#NAME?</x:v>
      </x:c>
      <x:c r="X35" s="106" t="e">
        <x:f aca="0">IF($A35="","",[1]!thsiFinD("ths_adjustment_nv_fund",X$3,$A35))</x:f>
        <x:v>#NAME?</x:v>
      </x:c>
      <x:c r="Y35" s="106" t="e">
        <x:f aca="0">IF($A35="","",[1]!thsiFinD("ths_adjustment_nv_fund",Y$3,$A35))</x:f>
        <x:v>#NAME?</x:v>
      </x:c>
      <x:c r="Z35" t="e">
        <x:f>IF($A35="","",[1]!thsiFinD("ths_adjustment_nv_fund",Z$3,$A35))</x:f>
        <x:v>#NAME?</x:v>
      </x:c>
      <x:c r="AA35" t="e">
        <x:f>IF($A35="","",[1]!thsiFinD("ths_adjustment_nv_fund",AA$3,$A35))</x:f>
        <x:v>#NAME?</x:v>
      </x:c>
    </x:row>
    <x:row r="36" ht="12" hidden="0">
      <x:c r="A36" s="9" t="n">
        <x:v>46237</x:v>
      </x:c>
      <x:c r="B36" s="106" t="e">
        <x:f aca="0">IF($A36="","",[1]!thsiFinD("ths_adjustment_nv_fund",B$3,$A36))</x:f>
        <x:v>#NAME?</x:v>
      </x:c>
      <x:c r="C36" s="106" t="e">
        <x:f aca="0">IF($A36="","",[1]!thsiFinD("ths_adjustment_nv_fund",C$3,$A36))</x:f>
        <x:v>#NAME?</x:v>
      </x:c>
      <x:c r="D36" s="106" t="e">
        <x:f aca="0">IF($A36="","",[1]!thsiFinD("ths_adjustment_nv_fund",D$3,$A36))</x:f>
        <x:v>#NAME?</x:v>
      </x:c>
      <x:c r="E36" s="106" t="e">
        <x:f aca="0">IF($A36="","",[1]!thsiFinD("ths_adjustment_nv_fund",E$3,$A36))</x:f>
        <x:v>#NAME?</x:v>
      </x:c>
      <x:c r="F36" s="106" t="e">
        <x:f aca="0">IF($A36="","",[1]!thsiFinD("ths_adjustment_nv_fund",F$3,$A36))</x:f>
        <x:v>#NAME?</x:v>
      </x:c>
      <x:c r="G36" s="106" t="e">
        <x:f aca="0">IF($A36="","",[1]!thsiFinD("ths_adjustment_nv_fund",G$3,$A36))</x:f>
        <x:v>#NAME?</x:v>
      </x:c>
      <x:c r="H36" s="106" t="e">
        <x:f aca="0">IF($A36="","",[1]!thsiFinD("ths_adjustment_nv_fund",H$3,$A36))</x:f>
        <x:v>#NAME?</x:v>
      </x:c>
      <x:c r="I36" s="106" t="e">
        <x:f aca="0">IF($A36="","",[1]!thsiFinD("ths_adjustment_nv_fund",I$3,$A36))</x:f>
        <x:v>#NAME?</x:v>
      </x:c>
      <x:c r="J36" s="106" t="e">
        <x:f aca="0">IF($A36="","",[1]!thsiFinD("ths_adjustment_nv_fund",J$3,$A36))</x:f>
        <x:v>#NAME?</x:v>
      </x:c>
      <x:c r="K36" s="106" t="e">
        <x:f aca="0">IF($A36="","",[1]!thsiFinD("ths_adjustment_nv_fund",K$3,$A36))</x:f>
        <x:v>#NAME?</x:v>
      </x:c>
      <x:c r="L36" s="106" t="e">
        <x:f aca="0">IF($A36="","",[1]!thsiFinD("ths_adjustment_nv_fund",L$3,$A36))</x:f>
        <x:v>#NAME?</x:v>
      </x:c>
      <x:c r="M36" s="106" t="e">
        <x:f aca="0">IF($A36="","",[1]!thsiFinD("ths_adjustment_nv_fund",M$3,$A36))</x:f>
        <x:v>#NAME?</x:v>
      </x:c>
      <x:c r="N36" s="106" t="e">
        <x:f aca="0">IF($A36="","",[1]!thsiFinD("ths_adjustment_nv_fund",N$3,$A36))</x:f>
        <x:v>#NAME?</x:v>
      </x:c>
      <x:c r="O36" s="106" t="e">
        <x:f aca="0">IF($A36="","",[1]!thsiFinD("ths_adjustment_nv_fund",O$3,$A36))</x:f>
        <x:v>#NAME?</x:v>
      </x:c>
      <x:c r="P36" s="106" t="e">
        <x:f aca="0">IF($A36="","",[1]!thsiFinD("ths_adjustment_nv_fund",P$3,$A36))</x:f>
        <x:v>#NAME?</x:v>
      </x:c>
      <x:c r="Q36" s="106" t="e">
        <x:f aca="0">IF($A36="","",[1]!thsiFinD("ths_adjustment_nv_fund",Q$3,$A36))</x:f>
        <x:v>#NAME?</x:v>
      </x:c>
      <x:c r="R36" s="106" t="e">
        <x:f aca="0">IF($A36="","",[1]!thsiFinD("ths_adjustment_nv_fund",R$3,$A36))</x:f>
        <x:v>#NAME?</x:v>
      </x:c>
      <x:c r="S36" s="106" t="e">
        <x:f aca="0">IF($A36="","",[1]!thsiFinD("ths_adjustment_nv_fund",S$3,$A36))</x:f>
        <x:v>#NAME?</x:v>
      </x:c>
      <x:c r="T36" s="106" t="e">
        <x:f aca="0">IF($A36="","",[1]!thsiFinD("ths_adjustment_nv_fund",T$3,$A36))</x:f>
        <x:v>#NAME?</x:v>
      </x:c>
      <x:c r="U36" s="106" t="e">
        <x:f aca="0">IF($A36="","",[1]!thsiFinD("ths_adjustment_nv_fund",U$3,$A36))</x:f>
        <x:v>#NAME?</x:v>
      </x:c>
      <x:c r="V36" s="106" t="e">
        <x:f aca="0">IF($A36="","",[1]!thsiFinD("ths_adjustment_nv_fund",V$3,$A36))</x:f>
        <x:v>#NAME?</x:v>
      </x:c>
      <x:c r="W36" s="106" t="e">
        <x:f aca="0">IF($A36="","",[1]!thsiFinD("ths_adjustment_nv_fund",W$3,$A36))</x:f>
        <x:v>#NAME?</x:v>
      </x:c>
      <x:c r="X36" s="106" t="e">
        <x:f aca="0">IF($A36="","",[1]!thsiFinD("ths_adjustment_nv_fund",X$3,$A36))</x:f>
        <x:v>#NAME?</x:v>
      </x:c>
      <x:c r="Y36" s="106" t="e">
        <x:f aca="0">IF($A36="","",[1]!thsiFinD("ths_adjustment_nv_fund",Y$3,$A36))</x:f>
        <x:v>#NAME?</x:v>
      </x:c>
      <x:c r="Z36" t="e">
        <x:f>IF($A36="","",[1]!thsiFinD("ths_adjustment_nv_fund",Z$3,$A36))</x:f>
        <x:v>#NAME?</x:v>
      </x:c>
      <x:c r="AA36" t="e">
        <x:f>IF($A36="","",[1]!thsiFinD("ths_adjustment_nv_fund",AA$3,$A36))</x:f>
        <x:v>#NAME?</x:v>
      </x:c>
    </x:row>
    <x:row r="37" ht="12" hidden="0">
      <x:c r="A37" s="9" t="n">
        <x:v>46238</x:v>
      </x:c>
      <x:c r="B37" s="106" t="e">
        <x:f aca="0">IF($A37="","",[1]!thsiFinD("ths_adjustment_nv_fund",B$3,$A37))</x:f>
        <x:v>#NAME?</x:v>
      </x:c>
      <x:c r="C37" s="106" t="e">
        <x:f aca="0">IF($A37="","",[1]!thsiFinD("ths_adjustment_nv_fund",C$3,$A37))</x:f>
        <x:v>#NAME?</x:v>
      </x:c>
      <x:c r="D37" s="106" t="e">
        <x:f aca="0">IF($A37="","",[1]!thsiFinD("ths_adjustment_nv_fund",D$3,$A37))</x:f>
        <x:v>#NAME?</x:v>
      </x:c>
      <x:c r="E37" s="106" t="e">
        <x:f aca="0">IF($A37="","",[1]!thsiFinD("ths_adjustment_nv_fund",E$3,$A37))</x:f>
        <x:v>#NAME?</x:v>
      </x:c>
      <x:c r="F37" s="106" t="e">
        <x:f aca="0">IF($A37="","",[1]!thsiFinD("ths_adjustment_nv_fund",F$3,$A37))</x:f>
        <x:v>#NAME?</x:v>
      </x:c>
      <x:c r="G37" s="106" t="e">
        <x:f aca="0">IF($A37="","",[1]!thsiFinD("ths_adjustment_nv_fund",G$3,$A37))</x:f>
        <x:v>#NAME?</x:v>
      </x:c>
      <x:c r="H37" s="106" t="e">
        <x:f aca="0">IF($A37="","",[1]!thsiFinD("ths_adjustment_nv_fund",H$3,$A37))</x:f>
        <x:v>#NAME?</x:v>
      </x:c>
      <x:c r="I37" s="106" t="e">
        <x:f aca="0">IF($A37="","",[1]!thsiFinD("ths_adjustment_nv_fund",I$3,$A37))</x:f>
        <x:v>#NAME?</x:v>
      </x:c>
      <x:c r="J37" s="106" t="e">
        <x:f aca="0">IF($A37="","",[1]!thsiFinD("ths_adjustment_nv_fund",J$3,$A37))</x:f>
        <x:v>#NAME?</x:v>
      </x:c>
      <x:c r="K37" s="106" t="e">
        <x:f aca="0">IF($A37="","",[1]!thsiFinD("ths_adjustment_nv_fund",K$3,$A37))</x:f>
        <x:v>#NAME?</x:v>
      </x:c>
      <x:c r="L37" s="106" t="e">
        <x:f aca="0">IF($A37="","",[1]!thsiFinD("ths_adjustment_nv_fund",L$3,$A37))</x:f>
        <x:v>#NAME?</x:v>
      </x:c>
      <x:c r="M37" s="106" t="e">
        <x:f aca="0">IF($A37="","",[1]!thsiFinD("ths_adjustment_nv_fund",M$3,$A37))</x:f>
        <x:v>#NAME?</x:v>
      </x:c>
      <x:c r="N37" s="106" t="e">
        <x:f aca="0">IF($A37="","",[1]!thsiFinD("ths_adjustment_nv_fund",N$3,$A37))</x:f>
        <x:v>#NAME?</x:v>
      </x:c>
      <x:c r="O37" s="106" t="e">
        <x:f aca="0">IF($A37="","",[1]!thsiFinD("ths_adjustment_nv_fund",O$3,$A37))</x:f>
        <x:v>#NAME?</x:v>
      </x:c>
      <x:c r="P37" s="106" t="e">
        <x:f aca="0">IF($A37="","",[1]!thsiFinD("ths_adjustment_nv_fund",P$3,$A37))</x:f>
        <x:v>#NAME?</x:v>
      </x:c>
      <x:c r="Q37" s="106" t="e">
        <x:f aca="0">IF($A37="","",[1]!thsiFinD("ths_adjustment_nv_fund",Q$3,$A37))</x:f>
        <x:v>#NAME?</x:v>
      </x:c>
      <x:c r="R37" s="106" t="e">
        <x:f aca="0">IF($A37="","",[1]!thsiFinD("ths_adjustment_nv_fund",R$3,$A37))</x:f>
        <x:v>#NAME?</x:v>
      </x:c>
      <x:c r="S37" s="106" t="e">
        <x:f aca="0">IF($A37="","",[1]!thsiFinD("ths_adjustment_nv_fund",S$3,$A37))</x:f>
        <x:v>#NAME?</x:v>
      </x:c>
      <x:c r="T37" s="106" t="e">
        <x:f aca="0">IF($A37="","",[1]!thsiFinD("ths_adjustment_nv_fund",T$3,$A37))</x:f>
        <x:v>#NAME?</x:v>
      </x:c>
      <x:c r="U37" s="106" t="e">
        <x:f aca="0">IF($A37="","",[1]!thsiFinD("ths_adjustment_nv_fund",U$3,$A37))</x:f>
        <x:v>#NAME?</x:v>
      </x:c>
      <x:c r="V37" s="106" t="e">
        <x:f aca="0">IF($A37="","",[1]!thsiFinD("ths_adjustment_nv_fund",V$3,$A37))</x:f>
        <x:v>#NAME?</x:v>
      </x:c>
      <x:c r="W37" s="106" t="e">
        <x:f aca="0">IF($A37="","",[1]!thsiFinD("ths_adjustment_nv_fund",W$3,$A37))</x:f>
        <x:v>#NAME?</x:v>
      </x:c>
      <x:c r="X37" s="106" t="e">
        <x:f aca="0">IF($A37="","",[1]!thsiFinD("ths_adjustment_nv_fund",X$3,$A37))</x:f>
        <x:v>#NAME?</x:v>
      </x:c>
      <x:c r="Y37" s="106" t="e">
        <x:f aca="0">IF($A37="","",[1]!thsiFinD("ths_adjustment_nv_fund",Y$3,$A37))</x:f>
        <x:v>#NAME?</x:v>
      </x:c>
      <x:c r="Z37" t="e">
        <x:f>IF($A37="","",[1]!thsiFinD("ths_adjustment_nv_fund",Z$3,$A37))</x:f>
        <x:v>#NAME?</x:v>
      </x:c>
      <x:c r="AA37" t="e">
        <x:f>IF($A37="","",[1]!thsiFinD("ths_adjustment_nv_fund",AA$3,$A37))</x:f>
        <x:v>#NAME?</x:v>
      </x:c>
    </x:row>
    <x:row r="38" ht="12" hidden="0">
      <x:c r="A38" s="9" t="n">
        <x:v>46239</x:v>
      </x:c>
      <x:c r="B38" s="106" t="e">
        <x:f aca="0">IF($A38="","",[1]!thsiFinD("ths_adjustment_nv_fund",B$3,$A38))</x:f>
        <x:v>#NAME?</x:v>
      </x:c>
      <x:c r="C38" s="106" t="e">
        <x:f aca="0">IF($A38="","",[1]!thsiFinD("ths_adjustment_nv_fund",C$3,$A38))</x:f>
        <x:v>#NAME?</x:v>
      </x:c>
      <x:c r="D38" s="106" t="e">
        <x:f aca="0">IF($A38="","",[1]!thsiFinD("ths_adjustment_nv_fund",D$3,$A38))</x:f>
        <x:v>#NAME?</x:v>
      </x:c>
      <x:c r="E38" s="106" t="e">
        <x:f aca="0">IF($A38="","",[1]!thsiFinD("ths_adjustment_nv_fund",E$3,$A38))</x:f>
        <x:v>#NAME?</x:v>
      </x:c>
      <x:c r="F38" s="106" t="e">
        <x:f aca="0">IF($A38="","",[1]!thsiFinD("ths_adjustment_nv_fund",F$3,$A38))</x:f>
        <x:v>#NAME?</x:v>
      </x:c>
      <x:c r="G38" s="106" t="e">
        <x:f aca="0">IF($A38="","",[1]!thsiFinD("ths_adjustment_nv_fund",G$3,$A38))</x:f>
        <x:v>#NAME?</x:v>
      </x:c>
      <x:c r="H38" s="106" t="e">
        <x:f aca="0">IF($A38="","",[1]!thsiFinD("ths_adjustment_nv_fund",H$3,$A38))</x:f>
        <x:v>#NAME?</x:v>
      </x:c>
      <x:c r="I38" s="106" t="e">
        <x:f aca="0">IF($A38="","",[1]!thsiFinD("ths_adjustment_nv_fund",I$3,$A38))</x:f>
        <x:v>#NAME?</x:v>
      </x:c>
      <x:c r="J38" s="106" t="e">
        <x:f aca="0">IF($A38="","",[1]!thsiFinD("ths_adjustment_nv_fund",J$3,$A38))</x:f>
        <x:v>#NAME?</x:v>
      </x:c>
      <x:c r="K38" s="106" t="e">
        <x:f aca="0">IF($A38="","",[1]!thsiFinD("ths_adjustment_nv_fund",K$3,$A38))</x:f>
        <x:v>#NAME?</x:v>
      </x:c>
      <x:c r="L38" s="106" t="e">
        <x:f aca="0">IF($A38="","",[1]!thsiFinD("ths_adjustment_nv_fund",L$3,$A38))</x:f>
        <x:v>#NAME?</x:v>
      </x:c>
      <x:c r="M38" s="106" t="e">
        <x:f aca="0">IF($A38="","",[1]!thsiFinD("ths_adjustment_nv_fund",M$3,$A38))</x:f>
        <x:v>#NAME?</x:v>
      </x:c>
      <x:c r="N38" s="106" t="e">
        <x:f aca="0">IF($A38="","",[1]!thsiFinD("ths_adjustment_nv_fund",N$3,$A38))</x:f>
        <x:v>#NAME?</x:v>
      </x:c>
      <x:c r="O38" s="106" t="e">
        <x:f aca="0">IF($A38="","",[1]!thsiFinD("ths_adjustment_nv_fund",O$3,$A38))</x:f>
        <x:v>#NAME?</x:v>
      </x:c>
      <x:c r="P38" s="106" t="e">
        <x:f aca="0">IF($A38="","",[1]!thsiFinD("ths_adjustment_nv_fund",P$3,$A38))</x:f>
        <x:v>#NAME?</x:v>
      </x:c>
      <x:c r="Q38" s="106" t="e">
        <x:f aca="0">IF($A38="","",[1]!thsiFinD("ths_adjustment_nv_fund",Q$3,$A38))</x:f>
        <x:v>#NAME?</x:v>
      </x:c>
      <x:c r="R38" s="106" t="e">
        <x:f aca="0">IF($A38="","",[1]!thsiFinD("ths_adjustment_nv_fund",R$3,$A38))</x:f>
        <x:v>#NAME?</x:v>
      </x:c>
      <x:c r="S38" s="106" t="e">
        <x:f aca="0">IF($A38="","",[1]!thsiFinD("ths_adjustment_nv_fund",S$3,$A38))</x:f>
        <x:v>#NAME?</x:v>
      </x:c>
      <x:c r="T38" s="106" t="e">
        <x:f aca="0">IF($A38="","",[1]!thsiFinD("ths_adjustment_nv_fund",T$3,$A38))</x:f>
        <x:v>#NAME?</x:v>
      </x:c>
      <x:c r="U38" s="106" t="e">
        <x:f aca="0">IF($A38="","",[1]!thsiFinD("ths_adjustment_nv_fund",U$3,$A38))</x:f>
        <x:v>#NAME?</x:v>
      </x:c>
      <x:c r="V38" s="106" t="e">
        <x:f aca="0">IF($A38="","",[1]!thsiFinD("ths_adjustment_nv_fund",V$3,$A38))</x:f>
        <x:v>#NAME?</x:v>
      </x:c>
      <x:c r="W38" s="106" t="e">
        <x:f aca="0">IF($A38="","",[1]!thsiFinD("ths_adjustment_nv_fund",W$3,$A38))</x:f>
        <x:v>#NAME?</x:v>
      </x:c>
      <x:c r="X38" s="106" t="e">
        <x:f aca="0">IF($A38="","",[1]!thsiFinD("ths_adjustment_nv_fund",X$3,$A38))</x:f>
        <x:v>#NAME?</x:v>
      </x:c>
      <x:c r="Y38" s="106" t="e">
        <x:f aca="0">IF($A38="","",[1]!thsiFinD("ths_adjustment_nv_fund",Y$3,$A38))</x:f>
        <x:v>#NAME?</x:v>
      </x:c>
      <x:c r="Z38" t="e">
        <x:f>IF($A38="","",[1]!thsiFinD("ths_adjustment_nv_fund",Z$3,$A38))</x:f>
        <x:v>#NAME?</x:v>
      </x:c>
      <x:c r="AA38" t="e">
        <x:f>IF($A38="","",[1]!thsiFinD("ths_adjustment_nv_fund",AA$3,$A38))</x:f>
        <x:v>#NAME?</x:v>
      </x:c>
    </x:row>
    <x:row r="39" ht="12" hidden="0">
      <x:c r="A39" s="9" t="n">
        <x:v>46240</x:v>
      </x:c>
      <x:c r="B39" s="106" t="e">
        <x:f aca="0">IF($A39="","",[1]!thsiFinD("ths_adjustment_nv_fund",B$3,$A39))</x:f>
        <x:v>#NAME?</x:v>
      </x:c>
      <x:c r="C39" s="106" t="e">
        <x:f aca="0">IF($A39="","",[1]!thsiFinD("ths_adjustment_nv_fund",C$3,$A39))</x:f>
        <x:v>#NAME?</x:v>
      </x:c>
      <x:c r="D39" s="106" t="e">
        <x:f aca="0">IF($A39="","",[1]!thsiFinD("ths_adjustment_nv_fund",D$3,$A39))</x:f>
        <x:v>#NAME?</x:v>
      </x:c>
      <x:c r="E39" s="106" t="e">
        <x:f aca="0">IF($A39="","",[1]!thsiFinD("ths_adjustment_nv_fund",E$3,$A39))</x:f>
        <x:v>#NAME?</x:v>
      </x:c>
      <x:c r="F39" s="106" t="e">
        <x:f aca="0">IF($A39="","",[1]!thsiFinD("ths_adjustment_nv_fund",F$3,$A39))</x:f>
        <x:v>#NAME?</x:v>
      </x:c>
      <x:c r="G39" s="106" t="e">
        <x:f aca="0">IF($A39="","",[1]!thsiFinD("ths_adjustment_nv_fund",G$3,$A39))</x:f>
        <x:v>#NAME?</x:v>
      </x:c>
      <x:c r="H39" s="106" t="e">
        <x:f aca="0">IF($A39="","",[1]!thsiFinD("ths_adjustment_nv_fund",H$3,$A39))</x:f>
        <x:v>#NAME?</x:v>
      </x:c>
      <x:c r="I39" s="106" t="e">
        <x:f aca="0">IF($A39="","",[1]!thsiFinD("ths_adjustment_nv_fund",I$3,$A39))</x:f>
        <x:v>#NAME?</x:v>
      </x:c>
      <x:c r="J39" s="106" t="e">
        <x:f aca="0">IF($A39="","",[1]!thsiFinD("ths_adjustment_nv_fund",J$3,$A39))</x:f>
        <x:v>#NAME?</x:v>
      </x:c>
      <x:c r="K39" s="106" t="e">
        <x:f aca="0">IF($A39="","",[1]!thsiFinD("ths_adjustment_nv_fund",K$3,$A39))</x:f>
        <x:v>#NAME?</x:v>
      </x:c>
      <x:c r="L39" s="106" t="e">
        <x:f aca="0">IF($A39="","",[1]!thsiFinD("ths_adjustment_nv_fund",L$3,$A39))</x:f>
        <x:v>#NAME?</x:v>
      </x:c>
      <x:c r="M39" s="106" t="e">
        <x:f aca="0">IF($A39="","",[1]!thsiFinD("ths_adjustment_nv_fund",M$3,$A39))</x:f>
        <x:v>#NAME?</x:v>
      </x:c>
      <x:c r="N39" s="106" t="e">
        <x:f aca="0">IF($A39="","",[1]!thsiFinD("ths_adjustment_nv_fund",N$3,$A39))</x:f>
        <x:v>#NAME?</x:v>
      </x:c>
      <x:c r="O39" s="106" t="e">
        <x:f aca="0">IF($A39="","",[1]!thsiFinD("ths_adjustment_nv_fund",O$3,$A39))</x:f>
        <x:v>#NAME?</x:v>
      </x:c>
      <x:c r="P39" s="106" t="e">
        <x:f aca="0">IF($A39="","",[1]!thsiFinD("ths_adjustment_nv_fund",P$3,$A39))</x:f>
        <x:v>#NAME?</x:v>
      </x:c>
      <x:c r="Q39" s="106" t="e">
        <x:f aca="0">IF($A39="","",[1]!thsiFinD("ths_adjustment_nv_fund",Q$3,$A39))</x:f>
        <x:v>#NAME?</x:v>
      </x:c>
      <x:c r="R39" s="106" t="e">
        <x:f aca="0">IF($A39="","",[1]!thsiFinD("ths_adjustment_nv_fund",R$3,$A39))</x:f>
        <x:v>#NAME?</x:v>
      </x:c>
      <x:c r="S39" s="106" t="e">
        <x:f aca="0">IF($A39="","",[1]!thsiFinD("ths_adjustment_nv_fund",S$3,$A39))</x:f>
        <x:v>#NAME?</x:v>
      </x:c>
      <x:c r="T39" s="106" t="e">
        <x:f aca="0">IF($A39="","",[1]!thsiFinD("ths_adjustment_nv_fund",T$3,$A39))</x:f>
        <x:v>#NAME?</x:v>
      </x:c>
      <x:c r="U39" s="106" t="e">
        <x:f aca="0">IF($A39="","",[1]!thsiFinD("ths_adjustment_nv_fund",U$3,$A39))</x:f>
        <x:v>#NAME?</x:v>
      </x:c>
      <x:c r="V39" s="106" t="e">
        <x:f aca="0">IF($A39="","",[1]!thsiFinD("ths_adjustment_nv_fund",V$3,$A39))</x:f>
        <x:v>#NAME?</x:v>
      </x:c>
      <x:c r="W39" s="106" t="e">
        <x:f aca="0">IF($A39="","",[1]!thsiFinD("ths_adjustment_nv_fund",W$3,$A39))</x:f>
        <x:v>#NAME?</x:v>
      </x:c>
      <x:c r="X39" s="106" t="e">
        <x:f aca="0">IF($A39="","",[1]!thsiFinD("ths_adjustment_nv_fund",X$3,$A39))</x:f>
        <x:v>#NAME?</x:v>
      </x:c>
      <x:c r="Y39" s="106" t="e">
        <x:f aca="0">IF($A39="","",[1]!thsiFinD("ths_adjustment_nv_fund",Y$3,$A39))</x:f>
        <x:v>#NAME?</x:v>
      </x:c>
      <x:c r="Z39" t="e">
        <x:f>IF($A39="","",[1]!thsiFinD("ths_adjustment_nv_fund",Z$3,$A39))</x:f>
        <x:v>#NAME?</x:v>
      </x:c>
      <x:c r="AA39" t="e">
        <x:f>IF($A39="","",[1]!thsiFinD("ths_adjustment_nv_fund",AA$3,$A39))</x:f>
        <x:v>#NAME?</x:v>
      </x:c>
    </x:row>
    <x:row r="40" ht="12" hidden="0">
      <x:c r="A40" s="9" t="n">
        <x:v>46241</x:v>
      </x:c>
      <x:c r="B40" s="106" t="e">
        <x:f aca="0">IF($A40="","",[1]!thsiFinD("ths_adjustment_nv_fund",B$3,$A40))</x:f>
        <x:v>#NAME?</x:v>
      </x:c>
      <x:c r="C40" s="106" t="e">
        <x:f aca="0">IF($A40="","",[1]!thsiFinD("ths_adjustment_nv_fund",C$3,$A40))</x:f>
        <x:v>#NAME?</x:v>
      </x:c>
      <x:c r="D40" s="106" t="e">
        <x:f aca="0">IF($A40="","",[1]!thsiFinD("ths_adjustment_nv_fund",D$3,$A40))</x:f>
        <x:v>#NAME?</x:v>
      </x:c>
      <x:c r="E40" s="106" t="e">
        <x:f aca="0">IF($A40="","",[1]!thsiFinD("ths_adjustment_nv_fund",E$3,$A40))</x:f>
        <x:v>#NAME?</x:v>
      </x:c>
      <x:c r="F40" s="106" t="e">
        <x:f aca="0">IF($A40="","",[1]!thsiFinD("ths_adjustment_nv_fund",F$3,$A40))</x:f>
        <x:v>#NAME?</x:v>
      </x:c>
      <x:c r="G40" s="106" t="e">
        <x:f aca="0">IF($A40="","",[1]!thsiFinD("ths_adjustment_nv_fund",G$3,$A40))</x:f>
        <x:v>#NAME?</x:v>
      </x:c>
      <x:c r="H40" s="106" t="e">
        <x:f aca="0">IF($A40="","",[1]!thsiFinD("ths_adjustment_nv_fund",H$3,$A40))</x:f>
        <x:v>#NAME?</x:v>
      </x:c>
      <x:c r="I40" s="106" t="e">
        <x:f aca="0">IF($A40="","",[1]!thsiFinD("ths_adjustment_nv_fund",I$3,$A40))</x:f>
        <x:v>#NAME?</x:v>
      </x:c>
      <x:c r="J40" s="106" t="e">
        <x:f aca="0">IF($A40="","",[1]!thsiFinD("ths_adjustment_nv_fund",J$3,$A40))</x:f>
        <x:v>#NAME?</x:v>
      </x:c>
      <x:c r="K40" s="106" t="e">
        <x:f aca="0">IF($A40="","",[1]!thsiFinD("ths_adjustment_nv_fund",K$3,$A40))</x:f>
        <x:v>#NAME?</x:v>
      </x:c>
      <x:c r="L40" s="106" t="e">
        <x:f aca="0">IF($A40="","",[1]!thsiFinD("ths_adjustment_nv_fund",L$3,$A40))</x:f>
        <x:v>#NAME?</x:v>
      </x:c>
      <x:c r="M40" s="106" t="e">
        <x:f aca="0">IF($A40="","",[1]!thsiFinD("ths_adjustment_nv_fund",M$3,$A40))</x:f>
        <x:v>#NAME?</x:v>
      </x:c>
      <x:c r="N40" s="106" t="e">
        <x:f aca="0">IF($A40="","",[1]!thsiFinD("ths_adjustment_nv_fund",N$3,$A40))</x:f>
        <x:v>#NAME?</x:v>
      </x:c>
      <x:c r="O40" s="106" t="e">
        <x:f aca="0">IF($A40="","",[1]!thsiFinD("ths_adjustment_nv_fund",O$3,$A40))</x:f>
        <x:v>#NAME?</x:v>
      </x:c>
      <x:c r="P40" s="106" t="e">
        <x:f aca="0">IF($A40="","",[1]!thsiFinD("ths_adjustment_nv_fund",P$3,$A40))</x:f>
        <x:v>#NAME?</x:v>
      </x:c>
      <x:c r="Q40" s="106" t="e">
        <x:f aca="0">IF($A40="","",[1]!thsiFinD("ths_adjustment_nv_fund",Q$3,$A40))</x:f>
        <x:v>#NAME?</x:v>
      </x:c>
      <x:c r="R40" s="106" t="e">
        <x:f aca="0">IF($A40="","",[1]!thsiFinD("ths_adjustment_nv_fund",R$3,$A40))</x:f>
        <x:v>#NAME?</x:v>
      </x:c>
      <x:c r="S40" s="106" t="e">
        <x:f aca="0">IF($A40="","",[1]!thsiFinD("ths_adjustment_nv_fund",S$3,$A40))</x:f>
        <x:v>#NAME?</x:v>
      </x:c>
      <x:c r="T40" s="106" t="e">
        <x:f aca="0">IF($A40="","",[1]!thsiFinD("ths_adjustment_nv_fund",T$3,$A40))</x:f>
        <x:v>#NAME?</x:v>
      </x:c>
      <x:c r="U40" s="106" t="e">
        <x:f aca="0">IF($A40="","",[1]!thsiFinD("ths_adjustment_nv_fund",U$3,$A40))</x:f>
        <x:v>#NAME?</x:v>
      </x:c>
      <x:c r="V40" s="106" t="e">
        <x:f aca="0">IF($A40="","",[1]!thsiFinD("ths_adjustment_nv_fund",V$3,$A40))</x:f>
        <x:v>#NAME?</x:v>
      </x:c>
      <x:c r="W40" s="106" t="e">
        <x:f aca="0">IF($A40="","",[1]!thsiFinD("ths_adjustment_nv_fund",W$3,$A40))</x:f>
        <x:v>#NAME?</x:v>
      </x:c>
      <x:c r="X40" s="106" t="e">
        <x:f aca="0">IF($A40="","",[1]!thsiFinD("ths_adjustment_nv_fund",X$3,$A40))</x:f>
        <x:v>#NAME?</x:v>
      </x:c>
      <x:c r="Y40" s="106" t="e">
        <x:f aca="0">IF($A40="","",[1]!thsiFinD("ths_adjustment_nv_fund",Y$3,$A40))</x:f>
        <x:v>#NAME?</x:v>
      </x:c>
      <x:c r="Z40" t="e">
        <x:f>IF($A40="","",[1]!thsiFinD("ths_adjustment_nv_fund",Z$3,$A40))</x:f>
        <x:v>#NAME?</x:v>
      </x:c>
      <x:c r="AA40" t="e">
        <x:f>IF($A40="","",[1]!thsiFinD("ths_adjustment_nv_fund",AA$3,$A40))</x:f>
        <x:v>#NAME?</x:v>
      </x:c>
    </x:row>
    <x:row r="41" ht="12" hidden="0">
      <x:c r="A41" s="9" t="n">
        <x:v>46244</x:v>
      </x:c>
      <x:c r="B41" s="106" t="e">
        <x:f aca="0">IF($A41="","",[1]!thsiFinD("ths_adjustment_nv_fund",B$3,$A41))</x:f>
        <x:v>#NAME?</x:v>
      </x:c>
      <x:c r="C41" s="106" t="e">
        <x:f aca="0">IF($A41="","",[1]!thsiFinD("ths_adjustment_nv_fund",C$3,$A41))</x:f>
        <x:v>#NAME?</x:v>
      </x:c>
      <x:c r="D41" s="106" t="e">
        <x:f aca="0">IF($A41="","",[1]!thsiFinD("ths_adjustment_nv_fund",D$3,$A41))</x:f>
        <x:v>#NAME?</x:v>
      </x:c>
      <x:c r="E41" s="106" t="e">
        <x:f aca="0">IF($A41="","",[1]!thsiFinD("ths_adjustment_nv_fund",E$3,$A41))</x:f>
        <x:v>#NAME?</x:v>
      </x:c>
      <x:c r="F41" s="106" t="e">
        <x:f aca="0">IF($A41="","",[1]!thsiFinD("ths_adjustment_nv_fund",F$3,$A41))</x:f>
        <x:v>#NAME?</x:v>
      </x:c>
      <x:c r="G41" s="106" t="e">
        <x:f aca="0">IF($A41="","",[1]!thsiFinD("ths_adjustment_nv_fund",G$3,$A41))</x:f>
        <x:v>#NAME?</x:v>
      </x:c>
      <x:c r="H41" s="106" t="e">
        <x:f aca="0">IF($A41="","",[1]!thsiFinD("ths_adjustment_nv_fund",H$3,$A41))</x:f>
        <x:v>#NAME?</x:v>
      </x:c>
      <x:c r="I41" s="106" t="e">
        <x:f aca="0">IF($A41="","",[1]!thsiFinD("ths_adjustment_nv_fund",I$3,$A41))</x:f>
        <x:v>#NAME?</x:v>
      </x:c>
      <x:c r="J41" s="106" t="e">
        <x:f aca="0">IF($A41="","",[1]!thsiFinD("ths_adjustment_nv_fund",J$3,$A41))</x:f>
        <x:v>#NAME?</x:v>
      </x:c>
      <x:c r="K41" s="106" t="e">
        <x:f aca="0">IF($A41="","",[1]!thsiFinD("ths_adjustment_nv_fund",K$3,$A41))</x:f>
        <x:v>#NAME?</x:v>
      </x:c>
      <x:c r="L41" s="106" t="e">
        <x:f aca="0">IF($A41="","",[1]!thsiFinD("ths_adjustment_nv_fund",L$3,$A41))</x:f>
        <x:v>#NAME?</x:v>
      </x:c>
      <x:c r="M41" s="106" t="e">
        <x:f aca="0">IF($A41="","",[1]!thsiFinD("ths_adjustment_nv_fund",M$3,$A41))</x:f>
        <x:v>#NAME?</x:v>
      </x:c>
      <x:c r="N41" s="106" t="e">
        <x:f aca="0">IF($A41="","",[1]!thsiFinD("ths_adjustment_nv_fund",N$3,$A41))</x:f>
        <x:v>#NAME?</x:v>
      </x:c>
      <x:c r="O41" s="106" t="e">
        <x:f aca="0">IF($A41="","",[1]!thsiFinD("ths_adjustment_nv_fund",O$3,$A41))</x:f>
        <x:v>#NAME?</x:v>
      </x:c>
      <x:c r="P41" s="106" t="e">
        <x:f aca="0">IF($A41="","",[1]!thsiFinD("ths_adjustment_nv_fund",P$3,$A41))</x:f>
        <x:v>#NAME?</x:v>
      </x:c>
      <x:c r="Q41" s="106" t="e">
        <x:f aca="0">IF($A41="","",[1]!thsiFinD("ths_adjustment_nv_fund",Q$3,$A41))</x:f>
        <x:v>#NAME?</x:v>
      </x:c>
      <x:c r="R41" s="106" t="e">
        <x:f aca="0">IF($A41="","",[1]!thsiFinD("ths_adjustment_nv_fund",R$3,$A41))</x:f>
        <x:v>#NAME?</x:v>
      </x:c>
      <x:c r="S41" s="106" t="e">
        <x:f aca="0">IF($A41="","",[1]!thsiFinD("ths_adjustment_nv_fund",S$3,$A41))</x:f>
        <x:v>#NAME?</x:v>
      </x:c>
      <x:c r="T41" s="106" t="e">
        <x:f aca="0">IF($A41="","",[1]!thsiFinD("ths_adjustment_nv_fund",T$3,$A41))</x:f>
        <x:v>#NAME?</x:v>
      </x:c>
      <x:c r="U41" s="106" t="e">
        <x:f aca="0">IF($A41="","",[1]!thsiFinD("ths_adjustment_nv_fund",U$3,$A41))</x:f>
        <x:v>#NAME?</x:v>
      </x:c>
      <x:c r="V41" s="106" t="e">
        <x:f aca="0">IF($A41="","",[1]!thsiFinD("ths_adjustment_nv_fund",V$3,$A41))</x:f>
        <x:v>#NAME?</x:v>
      </x:c>
      <x:c r="W41" s="106" t="e">
        <x:f aca="0">IF($A41="","",[1]!thsiFinD("ths_adjustment_nv_fund",W$3,$A41))</x:f>
        <x:v>#NAME?</x:v>
      </x:c>
      <x:c r="X41" s="106" t="e">
        <x:f aca="0">IF($A41="","",[1]!thsiFinD("ths_adjustment_nv_fund",X$3,$A41))</x:f>
        <x:v>#NAME?</x:v>
      </x:c>
      <x:c r="Y41" s="106" t="e">
        <x:f aca="0">IF($A41="","",[1]!thsiFinD("ths_adjustment_nv_fund",Y$3,$A41))</x:f>
        <x:v>#NAME?</x:v>
      </x:c>
      <x:c r="Z41" t="e">
        <x:f>IF($A41="","",[1]!thsiFinD("ths_adjustment_nv_fund",Z$3,$A41))</x:f>
        <x:v>#NAME?</x:v>
      </x:c>
      <x:c r="AA41" t="e">
        <x:f>IF($A41="","",[1]!thsiFinD("ths_adjustment_nv_fund",AA$3,$A41))</x:f>
        <x:v>#NAME?</x:v>
      </x:c>
    </x:row>
    <x:row r="42" ht="12" hidden="0">
      <x:c r="A42" s="9" t="n">
        <x:v>46245</x:v>
      </x:c>
      <x:c r="B42" s="106" t="e">
        <x:f aca="0">IF($A42="","",[1]!thsiFinD("ths_adjustment_nv_fund",B$3,$A42))</x:f>
        <x:v>#NAME?</x:v>
      </x:c>
      <x:c r="C42" s="106" t="e">
        <x:f aca="0">IF($A42="","",[1]!thsiFinD("ths_adjustment_nv_fund",C$3,$A42))</x:f>
        <x:v>#NAME?</x:v>
      </x:c>
      <x:c r="D42" s="106" t="e">
        <x:f aca="0">IF($A42="","",[1]!thsiFinD("ths_adjustment_nv_fund",D$3,$A42))</x:f>
        <x:v>#NAME?</x:v>
      </x:c>
      <x:c r="E42" s="106" t="e">
        <x:f aca="0">IF($A42="","",[1]!thsiFinD("ths_adjustment_nv_fund",E$3,$A42))</x:f>
        <x:v>#NAME?</x:v>
      </x:c>
      <x:c r="F42" s="106" t="e">
        <x:f aca="0">IF($A42="","",[1]!thsiFinD("ths_adjustment_nv_fund",F$3,$A42))</x:f>
        <x:v>#NAME?</x:v>
      </x:c>
      <x:c r="G42" s="106" t="e">
        <x:f aca="0">IF($A42="","",[1]!thsiFinD("ths_adjustment_nv_fund",G$3,$A42))</x:f>
        <x:v>#NAME?</x:v>
      </x:c>
      <x:c r="H42" s="106" t="e">
        <x:f aca="0">IF($A42="","",[1]!thsiFinD("ths_adjustment_nv_fund",H$3,$A42))</x:f>
        <x:v>#NAME?</x:v>
      </x:c>
      <x:c r="I42" s="106" t="e">
        <x:f aca="0">IF($A42="","",[1]!thsiFinD("ths_adjustment_nv_fund",I$3,$A42))</x:f>
        <x:v>#NAME?</x:v>
      </x:c>
      <x:c r="J42" s="106" t="e">
        <x:f aca="0">IF($A42="","",[1]!thsiFinD("ths_adjustment_nv_fund",J$3,$A42))</x:f>
        <x:v>#NAME?</x:v>
      </x:c>
      <x:c r="K42" s="106" t="e">
        <x:f aca="0">IF($A42="","",[1]!thsiFinD("ths_adjustment_nv_fund",K$3,$A42))</x:f>
        <x:v>#NAME?</x:v>
      </x:c>
      <x:c r="L42" s="106" t="e">
        <x:f aca="0">IF($A42="","",[1]!thsiFinD("ths_adjustment_nv_fund",L$3,$A42))</x:f>
        <x:v>#NAME?</x:v>
      </x:c>
      <x:c r="M42" s="106" t="e">
        <x:f aca="0">IF($A42="","",[1]!thsiFinD("ths_adjustment_nv_fund",M$3,$A42))</x:f>
        <x:v>#NAME?</x:v>
      </x:c>
      <x:c r="N42" s="106" t="e">
        <x:f aca="0">IF($A42="","",[1]!thsiFinD("ths_adjustment_nv_fund",N$3,$A42))</x:f>
        <x:v>#NAME?</x:v>
      </x:c>
      <x:c r="O42" s="106" t="e">
        <x:f aca="0">IF($A42="","",[1]!thsiFinD("ths_adjustment_nv_fund",O$3,$A42))</x:f>
        <x:v>#NAME?</x:v>
      </x:c>
      <x:c r="P42" s="106" t="e">
        <x:f aca="0">IF($A42="","",[1]!thsiFinD("ths_adjustment_nv_fund",P$3,$A42))</x:f>
        <x:v>#NAME?</x:v>
      </x:c>
      <x:c r="Q42" s="106" t="e">
        <x:f aca="0">IF($A42="","",[1]!thsiFinD("ths_adjustment_nv_fund",Q$3,$A42))</x:f>
        <x:v>#NAME?</x:v>
      </x:c>
      <x:c r="R42" s="106" t="e">
        <x:f aca="0">IF($A42="","",[1]!thsiFinD("ths_adjustment_nv_fund",R$3,$A42))</x:f>
        <x:v>#NAME?</x:v>
      </x:c>
      <x:c r="S42" s="106" t="e">
        <x:f aca="0">IF($A42="","",[1]!thsiFinD("ths_adjustment_nv_fund",S$3,$A42))</x:f>
        <x:v>#NAME?</x:v>
      </x:c>
      <x:c r="T42" s="106" t="e">
        <x:f aca="0">IF($A42="","",[1]!thsiFinD("ths_adjustment_nv_fund",T$3,$A42))</x:f>
        <x:v>#NAME?</x:v>
      </x:c>
      <x:c r="U42" s="106" t="e">
        <x:f aca="0">IF($A42="","",[1]!thsiFinD("ths_adjustment_nv_fund",U$3,$A42))</x:f>
        <x:v>#NAME?</x:v>
      </x:c>
      <x:c r="V42" s="106" t="e">
        <x:f aca="0">IF($A42="","",[1]!thsiFinD("ths_adjustment_nv_fund",V$3,$A42))</x:f>
        <x:v>#NAME?</x:v>
      </x:c>
      <x:c r="W42" s="106" t="e">
        <x:f aca="0">IF($A42="","",[1]!thsiFinD("ths_adjustment_nv_fund",W$3,$A42))</x:f>
        <x:v>#NAME?</x:v>
      </x:c>
      <x:c r="X42" s="106" t="e">
        <x:f aca="0">IF($A42="","",[1]!thsiFinD("ths_adjustment_nv_fund",X$3,$A42))</x:f>
        <x:v>#NAME?</x:v>
      </x:c>
      <x:c r="Y42" s="106" t="e">
        <x:f aca="0">IF($A42="","",[1]!thsiFinD("ths_adjustment_nv_fund",Y$3,$A42))</x:f>
        <x:v>#NAME?</x:v>
      </x:c>
      <x:c r="Z42" t="e">
        <x:f>IF($A42="","",[1]!thsiFinD("ths_adjustment_nv_fund",Z$3,$A42))</x:f>
        <x:v>#NAME?</x:v>
      </x:c>
      <x:c r="AA42" t="e">
        <x:f>IF($A42="","",[1]!thsiFinD("ths_adjustment_nv_fund",AA$3,$A42))</x:f>
        <x:v>#NAME?</x:v>
      </x:c>
    </x:row>
    <x:row r="43" ht="12" hidden="0">
      <x:c r="A43" s="9" t="n">
        <x:v>46246</x:v>
      </x:c>
      <x:c r="B43" s="106" t="e">
        <x:f aca="0">IF($A43="","",[1]!thsiFinD("ths_adjustment_nv_fund",B$3,$A43))</x:f>
        <x:v>#NAME?</x:v>
      </x:c>
      <x:c r="C43" s="106" t="e">
        <x:f aca="0">IF($A43="","",[1]!thsiFinD("ths_adjustment_nv_fund",C$3,$A43))</x:f>
        <x:v>#NAME?</x:v>
      </x:c>
      <x:c r="D43" s="106" t="e">
        <x:f aca="0">IF($A43="","",[1]!thsiFinD("ths_adjustment_nv_fund",D$3,$A43))</x:f>
        <x:v>#NAME?</x:v>
      </x:c>
      <x:c r="E43" s="106" t="e">
        <x:f aca="0">IF($A43="","",[1]!thsiFinD("ths_adjustment_nv_fund",E$3,$A43))</x:f>
        <x:v>#NAME?</x:v>
      </x:c>
      <x:c r="F43" s="106" t="e">
        <x:f aca="0">IF($A43="","",[1]!thsiFinD("ths_adjustment_nv_fund",F$3,$A43))</x:f>
        <x:v>#NAME?</x:v>
      </x:c>
      <x:c r="G43" s="106" t="e">
        <x:f aca="0">IF($A43="","",[1]!thsiFinD("ths_adjustment_nv_fund",G$3,$A43))</x:f>
        <x:v>#NAME?</x:v>
      </x:c>
      <x:c r="H43" s="106" t="e">
        <x:f aca="0">IF($A43="","",[1]!thsiFinD("ths_adjustment_nv_fund",H$3,$A43))</x:f>
        <x:v>#NAME?</x:v>
      </x:c>
      <x:c r="I43" s="106" t="e">
        <x:f aca="0">IF($A43="","",[1]!thsiFinD("ths_adjustment_nv_fund",I$3,$A43))</x:f>
        <x:v>#NAME?</x:v>
      </x:c>
      <x:c r="J43" s="106" t="e">
        <x:f aca="0">IF($A43="","",[1]!thsiFinD("ths_adjustment_nv_fund",J$3,$A43))</x:f>
        <x:v>#NAME?</x:v>
      </x:c>
      <x:c r="K43" s="106" t="e">
        <x:f aca="0">IF($A43="","",[1]!thsiFinD("ths_adjustment_nv_fund",K$3,$A43))</x:f>
        <x:v>#NAME?</x:v>
      </x:c>
      <x:c r="L43" s="106" t="e">
        <x:f aca="0">IF($A43="","",[1]!thsiFinD("ths_adjustment_nv_fund",L$3,$A43))</x:f>
        <x:v>#NAME?</x:v>
      </x:c>
      <x:c r="M43" s="106" t="e">
        <x:f aca="0">IF($A43="","",[1]!thsiFinD("ths_adjustment_nv_fund",M$3,$A43))</x:f>
        <x:v>#NAME?</x:v>
      </x:c>
      <x:c r="N43" s="106" t="e">
        <x:f aca="0">IF($A43="","",[1]!thsiFinD("ths_adjustment_nv_fund",N$3,$A43))</x:f>
        <x:v>#NAME?</x:v>
      </x:c>
      <x:c r="O43" s="106" t="e">
        <x:f aca="0">IF($A43="","",[1]!thsiFinD("ths_adjustment_nv_fund",O$3,$A43))</x:f>
        <x:v>#NAME?</x:v>
      </x:c>
      <x:c r="P43" s="106" t="e">
        <x:f aca="0">IF($A43="","",[1]!thsiFinD("ths_adjustment_nv_fund",P$3,$A43))</x:f>
        <x:v>#NAME?</x:v>
      </x:c>
      <x:c r="Q43" s="106" t="e">
        <x:f aca="0">IF($A43="","",[1]!thsiFinD("ths_adjustment_nv_fund",Q$3,$A43))</x:f>
        <x:v>#NAME?</x:v>
      </x:c>
      <x:c r="R43" s="106" t="e">
        <x:f aca="0">IF($A43="","",[1]!thsiFinD("ths_adjustment_nv_fund",R$3,$A43))</x:f>
        <x:v>#NAME?</x:v>
      </x:c>
      <x:c r="S43" s="106" t="e">
        <x:f aca="0">IF($A43="","",[1]!thsiFinD("ths_adjustment_nv_fund",S$3,$A43))</x:f>
        <x:v>#NAME?</x:v>
      </x:c>
      <x:c r="T43" s="106" t="e">
        <x:f aca="0">IF($A43="","",[1]!thsiFinD("ths_adjustment_nv_fund",T$3,$A43))</x:f>
        <x:v>#NAME?</x:v>
      </x:c>
      <x:c r="U43" s="106" t="e">
        <x:f aca="0">IF($A43="","",[1]!thsiFinD("ths_adjustment_nv_fund",U$3,$A43))</x:f>
        <x:v>#NAME?</x:v>
      </x:c>
      <x:c r="V43" s="106" t="e">
        <x:f aca="0">IF($A43="","",[1]!thsiFinD("ths_adjustment_nv_fund",V$3,$A43))</x:f>
        <x:v>#NAME?</x:v>
      </x:c>
      <x:c r="W43" s="106" t="e">
        <x:f aca="0">IF($A43="","",[1]!thsiFinD("ths_adjustment_nv_fund",W$3,$A43))</x:f>
        <x:v>#NAME?</x:v>
      </x:c>
      <x:c r="X43" s="106" t="e">
        <x:f aca="0">IF($A43="","",[1]!thsiFinD("ths_adjustment_nv_fund",X$3,$A43))</x:f>
        <x:v>#NAME?</x:v>
      </x:c>
      <x:c r="Y43" s="106" t="e">
        <x:f aca="0">IF($A43="","",[1]!thsiFinD("ths_adjustment_nv_fund",Y$3,$A43))</x:f>
        <x:v>#NAME?</x:v>
      </x:c>
      <x:c r="Z43" t="e">
        <x:f>IF($A43="","",[1]!thsiFinD("ths_adjustment_nv_fund",Z$3,$A43))</x:f>
        <x:v>#NAME?</x:v>
      </x:c>
      <x:c r="AA43" t="e">
        <x:f>IF($A43="","",[1]!thsiFinD("ths_adjustment_nv_fund",AA$3,$A43))</x:f>
        <x:v>#NAME?</x:v>
      </x:c>
    </x:row>
    <x:row r="44" ht="12" hidden="0">
      <x:c r="A44" s="9" t="n">
        <x:v>46247</x:v>
      </x:c>
      <x:c r="B44" s="106" t="e">
        <x:f aca="0">IF($A44="","",[1]!thsiFinD("ths_adjustment_nv_fund",B$3,$A44))</x:f>
        <x:v>#NAME?</x:v>
      </x:c>
      <x:c r="C44" s="106" t="e">
        <x:f aca="0">IF($A44="","",[1]!thsiFinD("ths_adjustment_nv_fund",C$3,$A44))</x:f>
        <x:v>#NAME?</x:v>
      </x:c>
      <x:c r="D44" s="106" t="e">
        <x:f aca="0">IF($A44="","",[1]!thsiFinD("ths_adjustment_nv_fund",D$3,$A44))</x:f>
        <x:v>#NAME?</x:v>
      </x:c>
      <x:c r="E44" s="106" t="e">
        <x:f aca="0">IF($A44="","",[1]!thsiFinD("ths_adjustment_nv_fund",E$3,$A44))</x:f>
        <x:v>#NAME?</x:v>
      </x:c>
      <x:c r="F44" s="106" t="e">
        <x:f aca="0">IF($A44="","",[1]!thsiFinD("ths_adjustment_nv_fund",F$3,$A44))</x:f>
        <x:v>#NAME?</x:v>
      </x:c>
      <x:c r="G44" s="106" t="e">
        <x:f aca="0">IF($A44="","",[1]!thsiFinD("ths_adjustment_nv_fund",G$3,$A44))</x:f>
        <x:v>#NAME?</x:v>
      </x:c>
      <x:c r="H44" s="106" t="e">
        <x:f aca="0">IF($A44="","",[1]!thsiFinD("ths_adjustment_nv_fund",H$3,$A44))</x:f>
        <x:v>#NAME?</x:v>
      </x:c>
      <x:c r="I44" s="106" t="e">
        <x:f aca="0">IF($A44="","",[1]!thsiFinD("ths_adjustment_nv_fund",I$3,$A44))</x:f>
        <x:v>#NAME?</x:v>
      </x:c>
      <x:c r="J44" s="106" t="e">
        <x:f aca="0">IF($A44="","",[1]!thsiFinD("ths_adjustment_nv_fund",J$3,$A44))</x:f>
        <x:v>#NAME?</x:v>
      </x:c>
      <x:c r="K44" s="106" t="e">
        <x:f aca="0">IF($A44="","",[1]!thsiFinD("ths_adjustment_nv_fund",K$3,$A44))</x:f>
        <x:v>#NAME?</x:v>
      </x:c>
      <x:c r="L44" s="106" t="e">
        <x:f aca="0">IF($A44="","",[1]!thsiFinD("ths_adjustment_nv_fund",L$3,$A44))</x:f>
        <x:v>#NAME?</x:v>
      </x:c>
      <x:c r="M44" s="106" t="e">
        <x:f aca="0">IF($A44="","",[1]!thsiFinD("ths_adjustment_nv_fund",M$3,$A44))</x:f>
        <x:v>#NAME?</x:v>
      </x:c>
      <x:c r="N44" s="106" t="e">
        <x:f aca="0">IF($A44="","",[1]!thsiFinD("ths_adjustment_nv_fund",N$3,$A44))</x:f>
        <x:v>#NAME?</x:v>
      </x:c>
      <x:c r="O44" s="106" t="e">
        <x:f aca="0">IF($A44="","",[1]!thsiFinD("ths_adjustment_nv_fund",O$3,$A44))</x:f>
        <x:v>#NAME?</x:v>
      </x:c>
      <x:c r="P44" s="106" t="e">
        <x:f aca="0">IF($A44="","",[1]!thsiFinD("ths_adjustment_nv_fund",P$3,$A44))</x:f>
        <x:v>#NAME?</x:v>
      </x:c>
      <x:c r="Q44" s="106" t="e">
        <x:f aca="0">IF($A44="","",[1]!thsiFinD("ths_adjustment_nv_fund",Q$3,$A44))</x:f>
        <x:v>#NAME?</x:v>
      </x:c>
      <x:c r="R44" s="106" t="e">
        <x:f aca="0">IF($A44="","",[1]!thsiFinD("ths_adjustment_nv_fund",R$3,$A44))</x:f>
        <x:v>#NAME?</x:v>
      </x:c>
      <x:c r="S44" s="106" t="e">
        <x:f aca="0">IF($A44="","",[1]!thsiFinD("ths_adjustment_nv_fund",S$3,$A44))</x:f>
        <x:v>#NAME?</x:v>
      </x:c>
      <x:c r="T44" s="106" t="e">
        <x:f aca="0">IF($A44="","",[1]!thsiFinD("ths_adjustment_nv_fund",T$3,$A44))</x:f>
        <x:v>#NAME?</x:v>
      </x:c>
      <x:c r="U44" s="106" t="e">
        <x:f aca="0">IF($A44="","",[1]!thsiFinD("ths_adjustment_nv_fund",U$3,$A44))</x:f>
        <x:v>#NAME?</x:v>
      </x:c>
      <x:c r="V44" s="106" t="e">
        <x:f aca="0">IF($A44="","",[1]!thsiFinD("ths_adjustment_nv_fund",V$3,$A44))</x:f>
        <x:v>#NAME?</x:v>
      </x:c>
      <x:c r="W44" s="106" t="e">
        <x:f aca="0">IF($A44="","",[1]!thsiFinD("ths_adjustment_nv_fund",W$3,$A44))</x:f>
        <x:v>#NAME?</x:v>
      </x:c>
      <x:c r="X44" s="106" t="e">
        <x:f aca="0">IF($A44="","",[1]!thsiFinD("ths_adjustment_nv_fund",X$3,$A44))</x:f>
        <x:v>#NAME?</x:v>
      </x:c>
      <x:c r="Y44" s="106" t="e">
        <x:f aca="0">IF($A44="","",[1]!thsiFinD("ths_adjustment_nv_fund",Y$3,$A44))</x:f>
        <x:v>#NAME?</x:v>
      </x:c>
      <x:c r="Z44" t="e">
        <x:f>IF($A44="","",[1]!thsiFinD("ths_adjustment_nv_fund",Z$3,$A44))</x:f>
        <x:v>#NAME?</x:v>
      </x:c>
      <x:c r="AA44" t="e">
        <x:f>IF($A44="","",[1]!thsiFinD("ths_adjustment_nv_fund",AA$3,$A44))</x:f>
        <x:v>#NAME?</x:v>
      </x:c>
    </x:row>
    <x:row r="45" ht="12" hidden="0">
      <x:c r="A45" s="9" t="n">
        <x:v>46248</x:v>
      </x:c>
      <x:c r="B45" s="106" t="e">
        <x:f aca="0">IF($A45="","",[1]!thsiFinD("ths_adjustment_nv_fund",B$3,$A45))</x:f>
        <x:v>#NAME?</x:v>
      </x:c>
      <x:c r="C45" s="106" t="e">
        <x:f aca="0">IF($A45="","",[1]!thsiFinD("ths_adjustment_nv_fund",C$3,$A45))</x:f>
        <x:v>#NAME?</x:v>
      </x:c>
      <x:c r="D45" s="106" t="e">
        <x:f aca="0">IF($A45="","",[1]!thsiFinD("ths_adjustment_nv_fund",D$3,$A45))</x:f>
        <x:v>#NAME?</x:v>
      </x:c>
      <x:c r="E45" s="106" t="e">
        <x:f aca="0">IF($A45="","",[1]!thsiFinD("ths_adjustment_nv_fund",E$3,$A45))</x:f>
        <x:v>#NAME?</x:v>
      </x:c>
      <x:c r="F45" s="106" t="e">
        <x:f aca="0">IF($A45="","",[1]!thsiFinD("ths_adjustment_nv_fund",F$3,$A45))</x:f>
        <x:v>#NAME?</x:v>
      </x:c>
      <x:c r="G45" s="106" t="e">
        <x:f aca="0">IF($A45="","",[1]!thsiFinD("ths_adjustment_nv_fund",G$3,$A45))</x:f>
        <x:v>#NAME?</x:v>
      </x:c>
      <x:c r="H45" s="106" t="e">
        <x:f aca="0">IF($A45="","",[1]!thsiFinD("ths_adjustment_nv_fund",H$3,$A45))</x:f>
        <x:v>#NAME?</x:v>
      </x:c>
      <x:c r="I45" s="106" t="e">
        <x:f aca="0">IF($A45="","",[1]!thsiFinD("ths_adjustment_nv_fund",I$3,$A45))</x:f>
        <x:v>#NAME?</x:v>
      </x:c>
      <x:c r="J45" s="106" t="e">
        <x:f aca="0">IF($A45="","",[1]!thsiFinD("ths_adjustment_nv_fund",J$3,$A45))</x:f>
        <x:v>#NAME?</x:v>
      </x:c>
      <x:c r="K45" s="106" t="e">
        <x:f aca="0">IF($A45="","",[1]!thsiFinD("ths_adjustment_nv_fund",K$3,$A45))</x:f>
        <x:v>#NAME?</x:v>
      </x:c>
      <x:c r="L45" s="106" t="e">
        <x:f aca="0">IF($A45="","",[1]!thsiFinD("ths_adjustment_nv_fund",L$3,$A45))</x:f>
        <x:v>#NAME?</x:v>
      </x:c>
      <x:c r="M45" s="106" t="e">
        <x:f aca="0">IF($A45="","",[1]!thsiFinD("ths_adjustment_nv_fund",M$3,$A45))</x:f>
        <x:v>#NAME?</x:v>
      </x:c>
      <x:c r="N45" s="106" t="e">
        <x:f aca="0">IF($A45="","",[1]!thsiFinD("ths_adjustment_nv_fund",N$3,$A45))</x:f>
        <x:v>#NAME?</x:v>
      </x:c>
      <x:c r="O45" s="106" t="e">
        <x:f aca="0">IF($A45="","",[1]!thsiFinD("ths_adjustment_nv_fund",O$3,$A45))</x:f>
        <x:v>#NAME?</x:v>
      </x:c>
      <x:c r="P45" s="106" t="e">
        <x:f aca="0">IF($A45="","",[1]!thsiFinD("ths_adjustment_nv_fund",P$3,$A45))</x:f>
        <x:v>#NAME?</x:v>
      </x:c>
      <x:c r="Q45" s="106" t="e">
        <x:f aca="0">IF($A45="","",[1]!thsiFinD("ths_adjustment_nv_fund",Q$3,$A45))</x:f>
        <x:v>#NAME?</x:v>
      </x:c>
      <x:c r="R45" s="106" t="e">
        <x:f aca="0">IF($A45="","",[1]!thsiFinD("ths_adjustment_nv_fund",R$3,$A45))</x:f>
        <x:v>#NAME?</x:v>
      </x:c>
      <x:c r="S45" s="106" t="e">
        <x:f aca="0">IF($A45="","",[1]!thsiFinD("ths_adjustment_nv_fund",S$3,$A45))</x:f>
        <x:v>#NAME?</x:v>
      </x:c>
      <x:c r="T45" s="106" t="e">
        <x:f aca="0">IF($A45="","",[1]!thsiFinD("ths_adjustment_nv_fund",T$3,$A45))</x:f>
        <x:v>#NAME?</x:v>
      </x:c>
      <x:c r="U45" s="106" t="e">
        <x:f aca="0">IF($A45="","",[1]!thsiFinD("ths_adjustment_nv_fund",U$3,$A45))</x:f>
        <x:v>#NAME?</x:v>
      </x:c>
      <x:c r="V45" s="106" t="e">
        <x:f aca="0">IF($A45="","",[1]!thsiFinD("ths_adjustment_nv_fund",V$3,$A45))</x:f>
        <x:v>#NAME?</x:v>
      </x:c>
      <x:c r="W45" s="106" t="e">
        <x:f aca="0">IF($A45="","",[1]!thsiFinD("ths_adjustment_nv_fund",W$3,$A45))</x:f>
        <x:v>#NAME?</x:v>
      </x:c>
      <x:c r="X45" s="106" t="e">
        <x:f aca="0">IF($A45="","",[1]!thsiFinD("ths_adjustment_nv_fund",X$3,$A45))</x:f>
        <x:v>#NAME?</x:v>
      </x:c>
      <x:c r="Y45" s="106" t="e">
        <x:f aca="0">IF($A45="","",[1]!thsiFinD("ths_adjustment_nv_fund",Y$3,$A45))</x:f>
        <x:v>#NAME?</x:v>
      </x:c>
      <x:c r="Z45" t="e">
        <x:f>IF($A45="","",[1]!thsiFinD("ths_adjustment_nv_fund",Z$3,$A45))</x:f>
        <x:v>#NAME?</x:v>
      </x:c>
      <x:c r="AA45" t="e">
        <x:f>IF($A45="","",[1]!thsiFinD("ths_adjustment_nv_fund",AA$3,$A45))</x:f>
        <x:v>#NAME?</x:v>
      </x:c>
    </x:row>
    <x:row r="46" ht="12" hidden="0">
      <x:c r="A46" s="9" t="n">
        <x:v>46251</x:v>
      </x:c>
      <x:c r="B46" s="106" t="e">
        <x:f aca="0">IF($A46="","",[1]!thsiFinD("ths_adjustment_nv_fund",B$3,$A46))</x:f>
        <x:v>#NAME?</x:v>
      </x:c>
      <x:c r="C46" s="106" t="e">
        <x:f aca="0">IF($A46="","",[1]!thsiFinD("ths_adjustment_nv_fund",C$3,$A46))</x:f>
        <x:v>#NAME?</x:v>
      </x:c>
      <x:c r="D46" s="106" t="e">
        <x:f aca="0">IF($A46="","",[1]!thsiFinD("ths_adjustment_nv_fund",D$3,$A46))</x:f>
        <x:v>#NAME?</x:v>
      </x:c>
      <x:c r="E46" s="106" t="e">
        <x:f aca="0">IF($A46="","",[1]!thsiFinD("ths_adjustment_nv_fund",E$3,$A46))</x:f>
        <x:v>#NAME?</x:v>
      </x:c>
      <x:c r="F46" s="106" t="e">
        <x:f aca="0">IF($A46="","",[1]!thsiFinD("ths_adjustment_nv_fund",F$3,$A46))</x:f>
        <x:v>#NAME?</x:v>
      </x:c>
      <x:c r="G46" s="106" t="e">
        <x:f aca="0">IF($A46="","",[1]!thsiFinD("ths_adjustment_nv_fund",G$3,$A46))</x:f>
        <x:v>#NAME?</x:v>
      </x:c>
      <x:c r="H46" s="106" t="e">
        <x:f aca="0">IF($A46="","",[1]!thsiFinD("ths_adjustment_nv_fund",H$3,$A46))</x:f>
        <x:v>#NAME?</x:v>
      </x:c>
      <x:c r="I46" s="106" t="e">
        <x:f aca="0">IF($A46="","",[1]!thsiFinD("ths_adjustment_nv_fund",I$3,$A46))</x:f>
        <x:v>#NAME?</x:v>
      </x:c>
      <x:c r="J46" s="106" t="e">
        <x:f aca="0">IF($A46="","",[1]!thsiFinD("ths_adjustment_nv_fund",J$3,$A46))</x:f>
        <x:v>#NAME?</x:v>
      </x:c>
      <x:c r="K46" s="106" t="e">
        <x:f aca="0">IF($A46="","",[1]!thsiFinD("ths_adjustment_nv_fund",K$3,$A46))</x:f>
        <x:v>#NAME?</x:v>
      </x:c>
      <x:c r="L46" s="106" t="e">
        <x:f aca="0">IF($A46="","",[1]!thsiFinD("ths_adjustment_nv_fund",L$3,$A46))</x:f>
        <x:v>#NAME?</x:v>
      </x:c>
      <x:c r="M46" s="106" t="e">
        <x:f aca="0">IF($A46="","",[1]!thsiFinD("ths_adjustment_nv_fund",M$3,$A46))</x:f>
        <x:v>#NAME?</x:v>
      </x:c>
      <x:c r="N46" s="106" t="e">
        <x:f aca="0">IF($A46="","",[1]!thsiFinD("ths_adjustment_nv_fund",N$3,$A46))</x:f>
        <x:v>#NAME?</x:v>
      </x:c>
      <x:c r="O46" s="106" t="e">
        <x:f aca="0">IF($A46="","",[1]!thsiFinD("ths_adjustment_nv_fund",O$3,$A46))</x:f>
        <x:v>#NAME?</x:v>
      </x:c>
      <x:c r="P46" s="106" t="e">
        <x:f aca="0">IF($A46="","",[1]!thsiFinD("ths_adjustment_nv_fund",P$3,$A46))</x:f>
        <x:v>#NAME?</x:v>
      </x:c>
      <x:c r="Q46" s="106" t="e">
        <x:f aca="0">IF($A46="","",[1]!thsiFinD("ths_adjustment_nv_fund",Q$3,$A46))</x:f>
        <x:v>#NAME?</x:v>
      </x:c>
      <x:c r="R46" s="106" t="e">
        <x:f aca="0">IF($A46="","",[1]!thsiFinD("ths_adjustment_nv_fund",R$3,$A46))</x:f>
        <x:v>#NAME?</x:v>
      </x:c>
      <x:c r="S46" s="106" t="e">
        <x:f aca="0">IF($A46="","",[1]!thsiFinD("ths_adjustment_nv_fund",S$3,$A46))</x:f>
        <x:v>#NAME?</x:v>
      </x:c>
      <x:c r="T46" s="106" t="e">
        <x:f aca="0">IF($A46="","",[1]!thsiFinD("ths_adjustment_nv_fund",T$3,$A46))</x:f>
        <x:v>#NAME?</x:v>
      </x:c>
      <x:c r="U46" s="106" t="e">
        <x:f aca="0">IF($A46="","",[1]!thsiFinD("ths_adjustment_nv_fund",U$3,$A46))</x:f>
        <x:v>#NAME?</x:v>
      </x:c>
      <x:c r="V46" s="106" t="e">
        <x:f aca="0">IF($A46="","",[1]!thsiFinD("ths_adjustment_nv_fund",V$3,$A46))</x:f>
        <x:v>#NAME?</x:v>
      </x:c>
      <x:c r="W46" s="106" t="e">
        <x:f aca="0">IF($A46="","",[1]!thsiFinD("ths_adjustment_nv_fund",W$3,$A46))</x:f>
        <x:v>#NAME?</x:v>
      </x:c>
      <x:c r="X46" s="106" t="e">
        <x:f aca="0">IF($A46="","",[1]!thsiFinD("ths_adjustment_nv_fund",X$3,$A46))</x:f>
        <x:v>#NAME?</x:v>
      </x:c>
      <x:c r="Y46" s="106" t="e">
        <x:f aca="0">IF($A46="","",[1]!thsiFinD("ths_adjustment_nv_fund",Y$3,$A46))</x:f>
        <x:v>#NAME?</x:v>
      </x:c>
      <x:c r="Z46" t="e">
        <x:f>IF($A46="","",[1]!thsiFinD("ths_adjustment_nv_fund",Z$3,$A46))</x:f>
        <x:v>#NAME?</x:v>
      </x:c>
      <x:c r="AA46" t="e">
        <x:f>IF($A46="","",[1]!thsiFinD("ths_adjustment_nv_fund",AA$3,$A46))</x:f>
        <x:v>#NAME?</x:v>
      </x:c>
    </x:row>
    <x:row r="47" ht="12" hidden="0">
      <x:c r="A47" s="9" t="n">
        <x:v>46252</x:v>
      </x:c>
      <x:c r="B47" s="106" t="e">
        <x:f aca="0">IF($A47="","",[1]!thsiFinD("ths_adjustment_nv_fund",B$3,$A47))</x:f>
        <x:v>#NAME?</x:v>
      </x:c>
      <x:c r="C47" s="106" t="e">
        <x:f aca="0">IF($A47="","",[1]!thsiFinD("ths_adjustment_nv_fund",C$3,$A47))</x:f>
        <x:v>#NAME?</x:v>
      </x:c>
      <x:c r="D47" s="106" t="e">
        <x:f aca="0">IF($A47="","",[1]!thsiFinD("ths_adjustment_nv_fund",D$3,$A47))</x:f>
        <x:v>#NAME?</x:v>
      </x:c>
      <x:c r="E47" s="106" t="e">
        <x:f aca="0">IF($A47="","",[1]!thsiFinD("ths_adjustment_nv_fund",E$3,$A47))</x:f>
        <x:v>#NAME?</x:v>
      </x:c>
      <x:c r="F47" s="106" t="e">
        <x:f aca="0">IF($A47="","",[1]!thsiFinD("ths_adjustment_nv_fund",F$3,$A47))</x:f>
        <x:v>#NAME?</x:v>
      </x:c>
      <x:c r="G47" s="106" t="e">
        <x:f aca="0">IF($A47="","",[1]!thsiFinD("ths_adjustment_nv_fund",G$3,$A47))</x:f>
        <x:v>#NAME?</x:v>
      </x:c>
      <x:c r="H47" s="106" t="e">
        <x:f aca="0">IF($A47="","",[1]!thsiFinD("ths_adjustment_nv_fund",H$3,$A47))</x:f>
        <x:v>#NAME?</x:v>
      </x:c>
      <x:c r="I47" s="106" t="e">
        <x:f aca="0">IF($A47="","",[1]!thsiFinD("ths_adjustment_nv_fund",I$3,$A47))</x:f>
        <x:v>#NAME?</x:v>
      </x:c>
      <x:c r="J47" s="106" t="e">
        <x:f aca="0">IF($A47="","",[1]!thsiFinD("ths_adjustment_nv_fund",J$3,$A47))</x:f>
        <x:v>#NAME?</x:v>
      </x:c>
      <x:c r="K47" s="106" t="e">
        <x:f aca="0">IF($A47="","",[1]!thsiFinD("ths_adjustment_nv_fund",K$3,$A47))</x:f>
        <x:v>#NAME?</x:v>
      </x:c>
      <x:c r="L47" s="106" t="e">
        <x:f aca="0">IF($A47="","",[1]!thsiFinD("ths_adjustment_nv_fund",L$3,$A47))</x:f>
        <x:v>#NAME?</x:v>
      </x:c>
      <x:c r="M47" s="106" t="e">
        <x:f aca="0">IF($A47="","",[1]!thsiFinD("ths_adjustment_nv_fund",M$3,$A47))</x:f>
        <x:v>#NAME?</x:v>
      </x:c>
      <x:c r="N47" s="106" t="e">
        <x:f aca="0">IF($A47="","",[1]!thsiFinD("ths_adjustment_nv_fund",N$3,$A47))</x:f>
        <x:v>#NAME?</x:v>
      </x:c>
      <x:c r="O47" s="106" t="e">
        <x:f aca="0">IF($A47="","",[1]!thsiFinD("ths_adjustment_nv_fund",O$3,$A47))</x:f>
        <x:v>#NAME?</x:v>
      </x:c>
      <x:c r="P47" s="106" t="e">
        <x:f aca="0">IF($A47="","",[1]!thsiFinD("ths_adjustment_nv_fund",P$3,$A47))</x:f>
        <x:v>#NAME?</x:v>
      </x:c>
      <x:c r="Q47" s="106" t="e">
        <x:f aca="0">IF($A47="","",[1]!thsiFinD("ths_adjustment_nv_fund",Q$3,$A47))</x:f>
        <x:v>#NAME?</x:v>
      </x:c>
      <x:c r="R47" s="106" t="e">
        <x:f aca="0">IF($A47="","",[1]!thsiFinD("ths_adjustment_nv_fund",R$3,$A47))</x:f>
        <x:v>#NAME?</x:v>
      </x:c>
      <x:c r="S47" s="106" t="e">
        <x:f aca="0">IF($A47="","",[1]!thsiFinD("ths_adjustment_nv_fund",S$3,$A47))</x:f>
        <x:v>#NAME?</x:v>
      </x:c>
      <x:c r="T47" s="106" t="e">
        <x:f aca="0">IF($A47="","",[1]!thsiFinD("ths_adjustment_nv_fund",T$3,$A47))</x:f>
        <x:v>#NAME?</x:v>
      </x:c>
      <x:c r="U47" s="106" t="e">
        <x:f aca="0">IF($A47="","",[1]!thsiFinD("ths_adjustment_nv_fund",U$3,$A47))</x:f>
        <x:v>#NAME?</x:v>
      </x:c>
      <x:c r="V47" s="106" t="e">
        <x:f aca="0">IF($A47="","",[1]!thsiFinD("ths_adjustment_nv_fund",V$3,$A47))</x:f>
        <x:v>#NAME?</x:v>
      </x:c>
      <x:c r="W47" s="106" t="e">
        <x:f aca="0">IF($A47="","",[1]!thsiFinD("ths_adjustment_nv_fund",W$3,$A47))</x:f>
        <x:v>#NAME?</x:v>
      </x:c>
      <x:c r="X47" s="106" t="e">
        <x:f aca="0">IF($A47="","",[1]!thsiFinD("ths_adjustment_nv_fund",X$3,$A47))</x:f>
        <x:v>#NAME?</x:v>
      </x:c>
      <x:c r="Y47" s="106" t="e">
        <x:f aca="0">IF($A47="","",[1]!thsiFinD("ths_adjustment_nv_fund",Y$3,$A47))</x:f>
        <x:v>#NAME?</x:v>
      </x:c>
      <x:c r="Z47" t="e">
        <x:f>IF($A47="","",[1]!thsiFinD("ths_adjustment_nv_fund",Z$3,$A47))</x:f>
        <x:v>#NAME?</x:v>
      </x:c>
      <x:c r="AA47" t="e">
        <x:f>IF($A47="","",[1]!thsiFinD("ths_adjustment_nv_fund",AA$3,$A47))</x:f>
        <x:v>#NAME?</x:v>
      </x:c>
    </x:row>
    <x:row r="48" ht="12" hidden="0">
      <x:c r="A48" s="9" t="n">
        <x:v>46253</x:v>
      </x:c>
      <x:c r="B48" s="106" t="e">
        <x:f aca="0">IF($A48="","",[1]!thsiFinD("ths_adjustment_nv_fund",B$3,$A48))</x:f>
        <x:v>#NAME?</x:v>
      </x:c>
      <x:c r="C48" s="106" t="e">
        <x:f aca="0">IF($A48="","",[1]!thsiFinD("ths_adjustment_nv_fund",C$3,$A48))</x:f>
        <x:v>#NAME?</x:v>
      </x:c>
      <x:c r="D48" s="106" t="e">
        <x:f aca="0">IF($A48="","",[1]!thsiFinD("ths_adjustment_nv_fund",D$3,$A48))</x:f>
        <x:v>#NAME?</x:v>
      </x:c>
      <x:c r="E48" s="106" t="e">
        <x:f aca="0">IF($A48="","",[1]!thsiFinD("ths_adjustment_nv_fund",E$3,$A48))</x:f>
        <x:v>#NAME?</x:v>
      </x:c>
      <x:c r="F48" s="106" t="e">
        <x:f aca="0">IF($A48="","",[1]!thsiFinD("ths_adjustment_nv_fund",F$3,$A48))</x:f>
        <x:v>#NAME?</x:v>
      </x:c>
      <x:c r="G48" s="106" t="e">
        <x:f aca="0">IF($A48="","",[1]!thsiFinD("ths_adjustment_nv_fund",G$3,$A48))</x:f>
        <x:v>#NAME?</x:v>
      </x:c>
      <x:c r="H48" s="106" t="e">
        <x:f aca="0">IF($A48="","",[1]!thsiFinD("ths_adjustment_nv_fund",H$3,$A48))</x:f>
        <x:v>#NAME?</x:v>
      </x:c>
      <x:c r="I48" s="106" t="e">
        <x:f aca="0">IF($A48="","",[1]!thsiFinD("ths_adjustment_nv_fund",I$3,$A48))</x:f>
        <x:v>#NAME?</x:v>
      </x:c>
      <x:c r="J48" s="106" t="e">
        <x:f aca="0">IF($A48="","",[1]!thsiFinD("ths_adjustment_nv_fund",J$3,$A48))</x:f>
        <x:v>#NAME?</x:v>
      </x:c>
      <x:c r="K48" s="106" t="e">
        <x:f aca="0">IF($A48="","",[1]!thsiFinD("ths_adjustment_nv_fund",K$3,$A48))</x:f>
        <x:v>#NAME?</x:v>
      </x:c>
      <x:c r="L48" s="106" t="e">
        <x:f aca="0">IF($A48="","",[1]!thsiFinD("ths_adjustment_nv_fund",L$3,$A48))</x:f>
        <x:v>#NAME?</x:v>
      </x:c>
      <x:c r="M48" s="106" t="e">
        <x:f aca="0">IF($A48="","",[1]!thsiFinD("ths_adjustment_nv_fund",M$3,$A48))</x:f>
        <x:v>#NAME?</x:v>
      </x:c>
      <x:c r="N48" s="106" t="e">
        <x:f aca="0">IF($A48="","",[1]!thsiFinD("ths_adjustment_nv_fund",N$3,$A48))</x:f>
        <x:v>#NAME?</x:v>
      </x:c>
      <x:c r="O48" s="106" t="e">
        <x:f aca="0">IF($A48="","",[1]!thsiFinD("ths_adjustment_nv_fund",O$3,$A48))</x:f>
        <x:v>#NAME?</x:v>
      </x:c>
      <x:c r="P48" s="106" t="e">
        <x:f aca="0">IF($A48="","",[1]!thsiFinD("ths_adjustment_nv_fund",P$3,$A48))</x:f>
        <x:v>#NAME?</x:v>
      </x:c>
      <x:c r="Q48" s="106" t="e">
        <x:f aca="0">IF($A48="","",[1]!thsiFinD("ths_adjustment_nv_fund",Q$3,$A48))</x:f>
        <x:v>#NAME?</x:v>
      </x:c>
      <x:c r="R48" s="106" t="e">
        <x:f aca="0">IF($A48="","",[1]!thsiFinD("ths_adjustment_nv_fund",R$3,$A48))</x:f>
        <x:v>#NAME?</x:v>
      </x:c>
      <x:c r="S48" s="106" t="e">
        <x:f aca="0">IF($A48="","",[1]!thsiFinD("ths_adjustment_nv_fund",S$3,$A48))</x:f>
        <x:v>#NAME?</x:v>
      </x:c>
      <x:c r="T48" s="106" t="e">
        <x:f aca="0">IF($A48="","",[1]!thsiFinD("ths_adjustment_nv_fund",T$3,$A48))</x:f>
        <x:v>#NAME?</x:v>
      </x:c>
      <x:c r="U48" s="106" t="e">
        <x:f aca="0">IF($A48="","",[1]!thsiFinD("ths_adjustment_nv_fund",U$3,$A48))</x:f>
        <x:v>#NAME?</x:v>
      </x:c>
      <x:c r="V48" s="106" t="e">
        <x:f aca="0">IF($A48="","",[1]!thsiFinD("ths_adjustment_nv_fund",V$3,$A48))</x:f>
        <x:v>#NAME?</x:v>
      </x:c>
      <x:c r="W48" s="106" t="e">
        <x:f aca="0">IF($A48="","",[1]!thsiFinD("ths_adjustment_nv_fund",W$3,$A48))</x:f>
        <x:v>#NAME?</x:v>
      </x:c>
      <x:c r="X48" s="106" t="e">
        <x:f aca="0">IF($A48="","",[1]!thsiFinD("ths_adjustment_nv_fund",X$3,$A48))</x:f>
        <x:v>#NAME?</x:v>
      </x:c>
      <x:c r="Y48" s="106" t="e">
        <x:f aca="0">IF($A48="","",[1]!thsiFinD("ths_adjustment_nv_fund",Y$3,$A48))</x:f>
        <x:v>#NAME?</x:v>
      </x:c>
      <x:c r="Z48" t="e">
        <x:f>IF($A48="","",[1]!thsiFinD("ths_adjustment_nv_fund",Z$3,$A48))</x:f>
        <x:v>#NAME?</x:v>
      </x:c>
      <x:c r="AA48" t="e">
        <x:f>IF($A48="","",[1]!thsiFinD("ths_adjustment_nv_fund",AA$3,$A48))</x:f>
        <x:v>#NAME?</x:v>
      </x:c>
    </x:row>
    <x:row r="49" ht="12" hidden="0">
      <x:c r="A49" s="9" t="n">
        <x:v>46254</x:v>
      </x:c>
      <x:c r="B49" s="106" t="e">
        <x:f aca="0">IF($A49="","",[1]!thsiFinD("ths_adjustment_nv_fund",B$3,$A49))</x:f>
        <x:v>#NAME?</x:v>
      </x:c>
      <x:c r="C49" s="106" t="e">
        <x:f aca="0">IF($A49="","",[1]!thsiFinD("ths_adjustment_nv_fund",C$3,$A49))</x:f>
        <x:v>#NAME?</x:v>
      </x:c>
      <x:c r="D49" s="106" t="e">
        <x:f aca="0">IF($A49="","",[1]!thsiFinD("ths_adjustment_nv_fund",D$3,$A49))</x:f>
        <x:v>#NAME?</x:v>
      </x:c>
      <x:c r="E49" s="106" t="e">
        <x:f aca="0">IF($A49="","",[1]!thsiFinD("ths_adjustment_nv_fund",E$3,$A49))</x:f>
        <x:v>#NAME?</x:v>
      </x:c>
      <x:c r="F49" s="106" t="e">
        <x:f aca="0">IF($A49="","",[1]!thsiFinD("ths_adjustment_nv_fund",F$3,$A49))</x:f>
        <x:v>#NAME?</x:v>
      </x:c>
      <x:c r="G49" s="106" t="e">
        <x:f aca="0">IF($A49="","",[1]!thsiFinD("ths_adjustment_nv_fund",G$3,$A49))</x:f>
        <x:v>#NAME?</x:v>
      </x:c>
      <x:c r="H49" s="106" t="e">
        <x:f aca="0">IF($A49="","",[1]!thsiFinD("ths_adjustment_nv_fund",H$3,$A49))</x:f>
        <x:v>#NAME?</x:v>
      </x:c>
      <x:c r="I49" s="106" t="e">
        <x:f aca="0">IF($A49="","",[1]!thsiFinD("ths_adjustment_nv_fund",I$3,$A49))</x:f>
        <x:v>#NAME?</x:v>
      </x:c>
      <x:c r="J49" s="106" t="e">
        <x:f aca="0">IF($A49="","",[1]!thsiFinD("ths_adjustment_nv_fund",J$3,$A49))</x:f>
        <x:v>#NAME?</x:v>
      </x:c>
      <x:c r="K49" s="106" t="e">
        <x:f aca="0">IF($A49="","",[1]!thsiFinD("ths_adjustment_nv_fund",K$3,$A49))</x:f>
        <x:v>#NAME?</x:v>
      </x:c>
      <x:c r="L49" s="106" t="e">
        <x:f aca="0">IF($A49="","",[1]!thsiFinD("ths_adjustment_nv_fund",L$3,$A49))</x:f>
        <x:v>#NAME?</x:v>
      </x:c>
      <x:c r="M49" s="106" t="e">
        <x:f aca="0">IF($A49="","",[1]!thsiFinD("ths_adjustment_nv_fund",M$3,$A49))</x:f>
        <x:v>#NAME?</x:v>
      </x:c>
      <x:c r="N49" s="106" t="e">
        <x:f aca="0">IF($A49="","",[1]!thsiFinD("ths_adjustment_nv_fund",N$3,$A49))</x:f>
        <x:v>#NAME?</x:v>
      </x:c>
      <x:c r="O49" s="106" t="e">
        <x:f aca="0">IF($A49="","",[1]!thsiFinD("ths_adjustment_nv_fund",O$3,$A49))</x:f>
        <x:v>#NAME?</x:v>
      </x:c>
      <x:c r="P49" s="106" t="e">
        <x:f aca="0">IF($A49="","",[1]!thsiFinD("ths_adjustment_nv_fund",P$3,$A49))</x:f>
        <x:v>#NAME?</x:v>
      </x:c>
      <x:c r="Q49" s="106" t="e">
        <x:f aca="0">IF($A49="","",[1]!thsiFinD("ths_adjustment_nv_fund",Q$3,$A49))</x:f>
        <x:v>#NAME?</x:v>
      </x:c>
      <x:c r="R49" s="106" t="e">
        <x:f aca="0">IF($A49="","",[1]!thsiFinD("ths_adjustment_nv_fund",R$3,$A49))</x:f>
        <x:v>#NAME?</x:v>
      </x:c>
      <x:c r="S49" s="106" t="e">
        <x:f aca="0">IF($A49="","",[1]!thsiFinD("ths_adjustment_nv_fund",S$3,$A49))</x:f>
        <x:v>#NAME?</x:v>
      </x:c>
      <x:c r="T49" s="106" t="e">
        <x:f aca="0">IF($A49="","",[1]!thsiFinD("ths_adjustment_nv_fund",T$3,$A49))</x:f>
        <x:v>#NAME?</x:v>
      </x:c>
      <x:c r="U49" s="106" t="e">
        <x:f aca="0">IF($A49="","",[1]!thsiFinD("ths_adjustment_nv_fund",U$3,$A49))</x:f>
        <x:v>#NAME?</x:v>
      </x:c>
      <x:c r="V49" s="106" t="e">
        <x:f aca="0">IF($A49="","",[1]!thsiFinD("ths_adjustment_nv_fund",V$3,$A49))</x:f>
        <x:v>#NAME?</x:v>
      </x:c>
      <x:c r="W49" s="106" t="e">
        <x:f aca="0">IF($A49="","",[1]!thsiFinD("ths_adjustment_nv_fund",W$3,$A49))</x:f>
        <x:v>#NAME?</x:v>
      </x:c>
      <x:c r="X49" s="106" t="e">
        <x:f aca="0">IF($A49="","",[1]!thsiFinD("ths_adjustment_nv_fund",X$3,$A49))</x:f>
        <x:v>#NAME?</x:v>
      </x:c>
      <x:c r="Y49" s="106" t="e">
        <x:f aca="0">IF($A49="","",[1]!thsiFinD("ths_adjustment_nv_fund",Y$3,$A49))</x:f>
        <x:v>#NAME?</x:v>
      </x:c>
      <x:c r="Z49" t="e">
        <x:f>IF($A49="","",[1]!thsiFinD("ths_adjustment_nv_fund",Z$3,$A49))</x:f>
        <x:v>#NAME?</x:v>
      </x:c>
      <x:c r="AA49" t="e">
        <x:f>IF($A49="","",[1]!thsiFinD("ths_adjustment_nv_fund",AA$3,$A49))</x:f>
        <x:v>#NAME?</x:v>
      </x:c>
    </x:row>
    <x:row r="50" ht="12" hidden="0">
      <x:c r="A50" s="9" t="n">
        <x:v>46255</x:v>
      </x:c>
      <x:c r="B50" s="106" t="e">
        <x:f aca="0">IF($A50="","",[1]!thsiFinD("ths_adjustment_nv_fund",B$3,$A50))</x:f>
        <x:v>#NAME?</x:v>
      </x:c>
      <x:c r="C50" s="106" t="e">
        <x:f aca="0">IF($A50="","",[1]!thsiFinD("ths_adjustment_nv_fund",C$3,$A50))</x:f>
        <x:v>#NAME?</x:v>
      </x:c>
      <x:c r="D50" s="106" t="e">
        <x:f aca="0">IF($A50="","",[1]!thsiFinD("ths_adjustment_nv_fund",D$3,$A50))</x:f>
        <x:v>#NAME?</x:v>
      </x:c>
      <x:c r="E50" s="106" t="e">
        <x:f aca="0">IF($A50="","",[1]!thsiFinD("ths_adjustment_nv_fund",E$3,$A50))</x:f>
        <x:v>#NAME?</x:v>
      </x:c>
      <x:c r="F50" s="106" t="e">
        <x:f aca="0">IF($A50="","",[1]!thsiFinD("ths_adjustment_nv_fund",F$3,$A50))</x:f>
        <x:v>#NAME?</x:v>
      </x:c>
      <x:c r="G50" s="106" t="e">
        <x:f aca="0">IF($A50="","",[1]!thsiFinD("ths_adjustment_nv_fund",G$3,$A50))</x:f>
        <x:v>#NAME?</x:v>
      </x:c>
      <x:c r="H50" s="106" t="e">
        <x:f aca="0">IF($A50="","",[1]!thsiFinD("ths_adjustment_nv_fund",H$3,$A50))</x:f>
        <x:v>#NAME?</x:v>
      </x:c>
      <x:c r="I50" s="106" t="e">
        <x:f aca="0">IF($A50="","",[1]!thsiFinD("ths_adjustment_nv_fund",I$3,$A50))</x:f>
        <x:v>#NAME?</x:v>
      </x:c>
      <x:c r="J50" s="106" t="e">
        <x:f aca="0">IF($A50="","",[1]!thsiFinD("ths_adjustment_nv_fund",J$3,$A50))</x:f>
        <x:v>#NAME?</x:v>
      </x:c>
      <x:c r="K50" s="106" t="e">
        <x:f aca="0">IF($A50="","",[1]!thsiFinD("ths_adjustment_nv_fund",K$3,$A50))</x:f>
        <x:v>#NAME?</x:v>
      </x:c>
      <x:c r="L50" s="106" t="e">
        <x:f aca="0">IF($A50="","",[1]!thsiFinD("ths_adjustment_nv_fund",L$3,$A50))</x:f>
        <x:v>#NAME?</x:v>
      </x:c>
      <x:c r="M50" s="106" t="e">
        <x:f aca="0">IF($A50="","",[1]!thsiFinD("ths_adjustment_nv_fund",M$3,$A50))</x:f>
        <x:v>#NAME?</x:v>
      </x:c>
      <x:c r="N50" s="106" t="e">
        <x:f aca="0">IF($A50="","",[1]!thsiFinD("ths_adjustment_nv_fund",N$3,$A50))</x:f>
        <x:v>#NAME?</x:v>
      </x:c>
      <x:c r="O50" s="106" t="e">
        <x:f aca="0">IF($A50="","",[1]!thsiFinD("ths_adjustment_nv_fund",O$3,$A50))</x:f>
        <x:v>#NAME?</x:v>
      </x:c>
      <x:c r="P50" s="106" t="e">
        <x:f aca="0">IF($A50="","",[1]!thsiFinD("ths_adjustment_nv_fund",P$3,$A50))</x:f>
        <x:v>#NAME?</x:v>
      </x:c>
      <x:c r="Q50" s="106" t="e">
        <x:f aca="0">IF($A50="","",[1]!thsiFinD("ths_adjustment_nv_fund",Q$3,$A50))</x:f>
        <x:v>#NAME?</x:v>
      </x:c>
      <x:c r="R50" s="106" t="e">
        <x:f aca="0">IF($A50="","",[1]!thsiFinD("ths_adjustment_nv_fund",R$3,$A50))</x:f>
        <x:v>#NAME?</x:v>
      </x:c>
      <x:c r="S50" s="106" t="e">
        <x:f aca="0">IF($A50="","",[1]!thsiFinD("ths_adjustment_nv_fund",S$3,$A50))</x:f>
        <x:v>#NAME?</x:v>
      </x:c>
      <x:c r="T50" s="106" t="e">
        <x:f aca="0">IF($A50="","",[1]!thsiFinD("ths_adjustment_nv_fund",T$3,$A50))</x:f>
        <x:v>#NAME?</x:v>
      </x:c>
      <x:c r="U50" s="106" t="e">
        <x:f aca="0">IF($A50="","",[1]!thsiFinD("ths_adjustment_nv_fund",U$3,$A50))</x:f>
        <x:v>#NAME?</x:v>
      </x:c>
      <x:c r="V50" s="106" t="e">
        <x:f aca="0">IF($A50="","",[1]!thsiFinD("ths_adjustment_nv_fund",V$3,$A50))</x:f>
        <x:v>#NAME?</x:v>
      </x:c>
      <x:c r="W50" s="106" t="e">
        <x:f aca="0">IF($A50="","",[1]!thsiFinD("ths_adjustment_nv_fund",W$3,$A50))</x:f>
        <x:v>#NAME?</x:v>
      </x:c>
      <x:c r="X50" s="106" t="e">
        <x:f aca="0">IF($A50="","",[1]!thsiFinD("ths_adjustment_nv_fund",X$3,$A50))</x:f>
        <x:v>#NAME?</x:v>
      </x:c>
      <x:c r="Y50" s="106" t="e">
        <x:f aca="0">IF($A50="","",[1]!thsiFinD("ths_adjustment_nv_fund",Y$3,$A50))</x:f>
        <x:v>#NAME?</x:v>
      </x:c>
      <x:c r="Z50" t="e">
        <x:f>IF($A50="","",[1]!thsiFinD("ths_adjustment_nv_fund",Z$3,$A50))</x:f>
        <x:v>#NAME?</x:v>
      </x:c>
      <x:c r="AA50" t="e">
        <x:f>IF($A50="","",[1]!thsiFinD("ths_adjustment_nv_fund",AA$3,$A50))</x:f>
        <x:v>#NAME?</x:v>
      </x:c>
    </x:row>
    <x:row r="51" ht="12" hidden="0">
      <x:c r="A51" s="9" t="n">
        <x:v>46258</x:v>
      </x:c>
      <x:c r="B51" s="106" t="e">
        <x:f aca="0">IF($A51="","",[1]!thsiFinD("ths_adjustment_nv_fund",B$3,$A51))</x:f>
        <x:v>#NAME?</x:v>
      </x:c>
      <x:c r="C51" s="106" t="e">
        <x:f aca="0">IF($A51="","",[1]!thsiFinD("ths_adjustment_nv_fund",C$3,$A51))</x:f>
        <x:v>#NAME?</x:v>
      </x:c>
      <x:c r="D51" s="106" t="e">
        <x:f aca="0">IF($A51="","",[1]!thsiFinD("ths_adjustment_nv_fund",D$3,$A51))</x:f>
        <x:v>#NAME?</x:v>
      </x:c>
      <x:c r="E51" s="106" t="e">
        <x:f aca="0">IF($A51="","",[1]!thsiFinD("ths_adjustment_nv_fund",E$3,$A51))</x:f>
        <x:v>#NAME?</x:v>
      </x:c>
      <x:c r="F51" s="106" t="e">
        <x:f aca="0">IF($A51="","",[1]!thsiFinD("ths_adjustment_nv_fund",F$3,$A51))</x:f>
        <x:v>#NAME?</x:v>
      </x:c>
      <x:c r="G51" s="106" t="e">
        <x:f aca="0">IF($A51="","",[1]!thsiFinD("ths_adjustment_nv_fund",G$3,$A51))</x:f>
        <x:v>#NAME?</x:v>
      </x:c>
      <x:c r="H51" s="106" t="e">
        <x:f aca="0">IF($A51="","",[1]!thsiFinD("ths_adjustment_nv_fund",H$3,$A51))</x:f>
        <x:v>#NAME?</x:v>
      </x:c>
      <x:c r="I51" s="106" t="e">
        <x:f aca="0">IF($A51="","",[1]!thsiFinD("ths_adjustment_nv_fund",I$3,$A51))</x:f>
        <x:v>#NAME?</x:v>
      </x:c>
      <x:c r="J51" s="106" t="e">
        <x:f aca="0">IF($A51="","",[1]!thsiFinD("ths_adjustment_nv_fund",J$3,$A51))</x:f>
        <x:v>#NAME?</x:v>
      </x:c>
      <x:c r="K51" s="106" t="e">
        <x:f aca="0">IF($A51="","",[1]!thsiFinD("ths_adjustment_nv_fund",K$3,$A51))</x:f>
        <x:v>#NAME?</x:v>
      </x:c>
      <x:c r="L51" s="106" t="e">
        <x:f aca="0">IF($A51="","",[1]!thsiFinD("ths_adjustment_nv_fund",L$3,$A51))</x:f>
        <x:v>#NAME?</x:v>
      </x:c>
      <x:c r="M51" s="106" t="e">
        <x:f aca="0">IF($A51="","",[1]!thsiFinD("ths_adjustment_nv_fund",M$3,$A51))</x:f>
        <x:v>#NAME?</x:v>
      </x:c>
      <x:c r="N51" s="106" t="e">
        <x:f aca="0">IF($A51="","",[1]!thsiFinD("ths_adjustment_nv_fund",N$3,$A51))</x:f>
        <x:v>#NAME?</x:v>
      </x:c>
      <x:c r="O51" s="106" t="e">
        <x:f aca="0">IF($A51="","",[1]!thsiFinD("ths_adjustment_nv_fund",O$3,$A51))</x:f>
        <x:v>#NAME?</x:v>
      </x:c>
      <x:c r="P51" s="106" t="e">
        <x:f aca="0">IF($A51="","",[1]!thsiFinD("ths_adjustment_nv_fund",P$3,$A51))</x:f>
        <x:v>#NAME?</x:v>
      </x:c>
      <x:c r="Q51" s="106" t="e">
        <x:f aca="0">IF($A51="","",[1]!thsiFinD("ths_adjustment_nv_fund",Q$3,$A51))</x:f>
        <x:v>#NAME?</x:v>
      </x:c>
      <x:c r="R51" s="106" t="e">
        <x:f aca="0">IF($A51="","",[1]!thsiFinD("ths_adjustment_nv_fund",R$3,$A51))</x:f>
        <x:v>#NAME?</x:v>
      </x:c>
      <x:c r="S51" s="106" t="e">
        <x:f aca="0">IF($A51="","",[1]!thsiFinD("ths_adjustment_nv_fund",S$3,$A51))</x:f>
        <x:v>#NAME?</x:v>
      </x:c>
      <x:c r="T51" s="106" t="e">
        <x:f aca="0">IF($A51="","",[1]!thsiFinD("ths_adjustment_nv_fund",T$3,$A51))</x:f>
        <x:v>#NAME?</x:v>
      </x:c>
      <x:c r="U51" s="106" t="e">
        <x:f aca="0">IF($A51="","",[1]!thsiFinD("ths_adjustment_nv_fund",U$3,$A51))</x:f>
        <x:v>#NAME?</x:v>
      </x:c>
      <x:c r="V51" s="106" t="e">
        <x:f aca="0">IF($A51="","",[1]!thsiFinD("ths_adjustment_nv_fund",V$3,$A51))</x:f>
        <x:v>#NAME?</x:v>
      </x:c>
      <x:c r="W51" s="106" t="e">
        <x:f aca="0">IF($A51="","",[1]!thsiFinD("ths_adjustment_nv_fund",W$3,$A51))</x:f>
        <x:v>#NAME?</x:v>
      </x:c>
      <x:c r="X51" s="106" t="e">
        <x:f aca="0">IF($A51="","",[1]!thsiFinD("ths_adjustment_nv_fund",X$3,$A51))</x:f>
        <x:v>#NAME?</x:v>
      </x:c>
      <x:c r="Y51" s="106" t="e">
        <x:f aca="0">IF($A51="","",[1]!thsiFinD("ths_adjustment_nv_fund",Y$3,$A51))</x:f>
        <x:v>#NAME?</x:v>
      </x:c>
      <x:c r="Z51" t="e">
        <x:f>IF($A51="","",[1]!thsiFinD("ths_adjustment_nv_fund",Z$3,$A51))</x:f>
        <x:v>#NAME?</x:v>
      </x:c>
      <x:c r="AA51" t="e">
        <x:f>IF($A51="","",[1]!thsiFinD("ths_adjustment_nv_fund",AA$3,$A51))</x:f>
        <x:v>#NAME?</x:v>
      </x:c>
    </x:row>
    <x:row r="52" ht="12" hidden="0">
      <x:c r="A52" s="9" t="n">
        <x:v>46259</x:v>
      </x:c>
      <x:c r="B52" s="106" t="e">
        <x:f aca="0">IF($A52="","",[1]!thsiFinD("ths_adjustment_nv_fund",B$3,$A52))</x:f>
        <x:v>#NAME?</x:v>
      </x:c>
      <x:c r="C52" s="106" t="e">
        <x:f aca="0">IF($A52="","",[1]!thsiFinD("ths_adjustment_nv_fund",C$3,$A52))</x:f>
        <x:v>#NAME?</x:v>
      </x:c>
      <x:c r="D52" s="106" t="e">
        <x:f aca="0">IF($A52="","",[1]!thsiFinD("ths_adjustment_nv_fund",D$3,$A52))</x:f>
        <x:v>#NAME?</x:v>
      </x:c>
      <x:c r="E52" s="106" t="e">
        <x:f aca="0">IF($A52="","",[1]!thsiFinD("ths_adjustment_nv_fund",E$3,$A52))</x:f>
        <x:v>#NAME?</x:v>
      </x:c>
      <x:c r="F52" s="106" t="e">
        <x:f aca="0">IF($A52="","",[1]!thsiFinD("ths_adjustment_nv_fund",F$3,$A52))</x:f>
        <x:v>#NAME?</x:v>
      </x:c>
      <x:c r="G52" s="106" t="e">
        <x:f aca="0">IF($A52="","",[1]!thsiFinD("ths_adjustment_nv_fund",G$3,$A52))</x:f>
        <x:v>#NAME?</x:v>
      </x:c>
      <x:c r="H52" s="106" t="e">
        <x:f aca="0">IF($A52="","",[1]!thsiFinD("ths_adjustment_nv_fund",H$3,$A52))</x:f>
        <x:v>#NAME?</x:v>
      </x:c>
      <x:c r="I52" s="106" t="e">
        <x:f aca="0">IF($A52="","",[1]!thsiFinD("ths_adjustment_nv_fund",I$3,$A52))</x:f>
        <x:v>#NAME?</x:v>
      </x:c>
      <x:c r="J52" s="106" t="e">
        <x:f aca="0">IF($A52="","",[1]!thsiFinD("ths_adjustment_nv_fund",J$3,$A52))</x:f>
        <x:v>#NAME?</x:v>
      </x:c>
      <x:c r="K52" s="106" t="e">
        <x:f aca="0">IF($A52="","",[1]!thsiFinD("ths_adjustment_nv_fund",K$3,$A52))</x:f>
        <x:v>#NAME?</x:v>
      </x:c>
      <x:c r="L52" s="106" t="e">
        <x:f aca="0">IF($A52="","",[1]!thsiFinD("ths_adjustment_nv_fund",L$3,$A52))</x:f>
        <x:v>#NAME?</x:v>
      </x:c>
      <x:c r="M52" s="106" t="e">
        <x:f aca="0">IF($A52="","",[1]!thsiFinD("ths_adjustment_nv_fund",M$3,$A52))</x:f>
        <x:v>#NAME?</x:v>
      </x:c>
      <x:c r="N52" s="106" t="e">
        <x:f aca="0">IF($A52="","",[1]!thsiFinD("ths_adjustment_nv_fund",N$3,$A52))</x:f>
        <x:v>#NAME?</x:v>
      </x:c>
      <x:c r="O52" s="106" t="e">
        <x:f aca="0">IF($A52="","",[1]!thsiFinD("ths_adjustment_nv_fund",O$3,$A52))</x:f>
        <x:v>#NAME?</x:v>
      </x:c>
      <x:c r="P52" s="106" t="e">
        <x:f aca="0">IF($A52="","",[1]!thsiFinD("ths_adjustment_nv_fund",P$3,$A52))</x:f>
        <x:v>#NAME?</x:v>
      </x:c>
      <x:c r="Q52" s="106" t="e">
        <x:f aca="0">IF($A52="","",[1]!thsiFinD("ths_adjustment_nv_fund",Q$3,$A52))</x:f>
        <x:v>#NAME?</x:v>
      </x:c>
      <x:c r="R52" s="106" t="e">
        <x:f aca="0">IF($A52="","",[1]!thsiFinD("ths_adjustment_nv_fund",R$3,$A52))</x:f>
        <x:v>#NAME?</x:v>
      </x:c>
      <x:c r="S52" s="106" t="e">
        <x:f aca="0">IF($A52="","",[1]!thsiFinD("ths_adjustment_nv_fund",S$3,$A52))</x:f>
        <x:v>#NAME?</x:v>
      </x:c>
      <x:c r="T52" s="106" t="e">
        <x:f aca="0">IF($A52="","",[1]!thsiFinD("ths_adjustment_nv_fund",T$3,$A52))</x:f>
        <x:v>#NAME?</x:v>
      </x:c>
      <x:c r="U52" s="106" t="e">
        <x:f aca="0">IF($A52="","",[1]!thsiFinD("ths_adjustment_nv_fund",U$3,$A52))</x:f>
        <x:v>#NAME?</x:v>
      </x:c>
      <x:c r="V52" s="106" t="e">
        <x:f aca="0">IF($A52="","",[1]!thsiFinD("ths_adjustment_nv_fund",V$3,$A52))</x:f>
        <x:v>#NAME?</x:v>
      </x:c>
      <x:c r="W52" s="106" t="e">
        <x:f aca="0">IF($A52="","",[1]!thsiFinD("ths_adjustment_nv_fund",W$3,$A52))</x:f>
        <x:v>#NAME?</x:v>
      </x:c>
      <x:c r="X52" s="106" t="e">
        <x:f aca="0">IF($A52="","",[1]!thsiFinD("ths_adjustment_nv_fund",X$3,$A52))</x:f>
        <x:v>#NAME?</x:v>
      </x:c>
      <x:c r="Y52" s="106" t="e">
        <x:f aca="0">IF($A52="","",[1]!thsiFinD("ths_adjustment_nv_fund",Y$3,$A52))</x:f>
        <x:v>#NAME?</x:v>
      </x:c>
      <x:c r="Z52" t="e">
        <x:f>IF($A52="","",[1]!thsiFinD("ths_adjustment_nv_fund",Z$3,$A52))</x:f>
        <x:v>#NAME?</x:v>
      </x:c>
      <x:c r="AA52" t="e">
        <x:f>IF($A52="","",[1]!thsiFinD("ths_adjustment_nv_fund",AA$3,$A52))</x:f>
        <x:v>#NAME?</x:v>
      </x:c>
    </x:row>
    <x:row r="53" ht="12" hidden="0">
      <x:c r="A53" s="9" t="n">
        <x:v>46260</x:v>
      </x:c>
      <x:c r="B53" s="106" t="e">
        <x:f aca="0">IF($A53="","",[1]!thsiFinD("ths_adjustment_nv_fund",B$3,$A53))</x:f>
        <x:v>#NAME?</x:v>
      </x:c>
      <x:c r="C53" s="106" t="e">
        <x:f aca="0">IF($A53="","",[1]!thsiFinD("ths_adjustment_nv_fund",C$3,$A53))</x:f>
        <x:v>#NAME?</x:v>
      </x:c>
      <x:c r="D53" s="106" t="e">
        <x:f aca="0">IF($A53="","",[1]!thsiFinD("ths_adjustment_nv_fund",D$3,$A53))</x:f>
        <x:v>#NAME?</x:v>
      </x:c>
      <x:c r="E53" s="106" t="e">
        <x:f aca="0">IF($A53="","",[1]!thsiFinD("ths_adjustment_nv_fund",E$3,$A53))</x:f>
        <x:v>#NAME?</x:v>
      </x:c>
      <x:c r="F53" s="106" t="e">
        <x:f aca="0">IF($A53="","",[1]!thsiFinD("ths_adjustment_nv_fund",F$3,$A53))</x:f>
        <x:v>#NAME?</x:v>
      </x:c>
      <x:c r="G53" s="106" t="e">
        <x:f aca="0">IF($A53="","",[1]!thsiFinD("ths_adjustment_nv_fund",G$3,$A53))</x:f>
        <x:v>#NAME?</x:v>
      </x:c>
      <x:c r="H53" s="106" t="e">
        <x:f aca="0">IF($A53="","",[1]!thsiFinD("ths_adjustment_nv_fund",H$3,$A53))</x:f>
        <x:v>#NAME?</x:v>
      </x:c>
      <x:c r="I53" s="106" t="e">
        <x:f aca="0">IF($A53="","",[1]!thsiFinD("ths_adjustment_nv_fund",I$3,$A53))</x:f>
        <x:v>#NAME?</x:v>
      </x:c>
      <x:c r="J53" s="106" t="e">
        <x:f aca="0">IF($A53="","",[1]!thsiFinD("ths_adjustment_nv_fund",J$3,$A53))</x:f>
        <x:v>#NAME?</x:v>
      </x:c>
      <x:c r="K53" s="106" t="e">
        <x:f aca="0">IF($A53="","",[1]!thsiFinD("ths_adjustment_nv_fund",K$3,$A53))</x:f>
        <x:v>#NAME?</x:v>
      </x:c>
      <x:c r="L53" s="106" t="e">
        <x:f aca="0">IF($A53="","",[1]!thsiFinD("ths_adjustment_nv_fund",L$3,$A53))</x:f>
        <x:v>#NAME?</x:v>
      </x:c>
      <x:c r="M53" s="106" t="e">
        <x:f aca="0">IF($A53="","",[1]!thsiFinD("ths_adjustment_nv_fund",M$3,$A53))</x:f>
        <x:v>#NAME?</x:v>
      </x:c>
      <x:c r="N53" s="106" t="e">
        <x:f aca="0">IF($A53="","",[1]!thsiFinD("ths_adjustment_nv_fund",N$3,$A53))</x:f>
        <x:v>#NAME?</x:v>
      </x:c>
      <x:c r="O53" s="106" t="e">
        <x:f aca="0">IF($A53="","",[1]!thsiFinD("ths_adjustment_nv_fund",O$3,$A53))</x:f>
        <x:v>#NAME?</x:v>
      </x:c>
      <x:c r="P53" s="106" t="e">
        <x:f aca="0">IF($A53="","",[1]!thsiFinD("ths_adjustment_nv_fund",P$3,$A53))</x:f>
        <x:v>#NAME?</x:v>
      </x:c>
      <x:c r="Q53" s="106" t="e">
        <x:f aca="0">IF($A53="","",[1]!thsiFinD("ths_adjustment_nv_fund",Q$3,$A53))</x:f>
        <x:v>#NAME?</x:v>
      </x:c>
      <x:c r="R53" s="106" t="e">
        <x:f aca="0">IF($A53="","",[1]!thsiFinD("ths_adjustment_nv_fund",R$3,$A53))</x:f>
        <x:v>#NAME?</x:v>
      </x:c>
      <x:c r="S53" s="106" t="e">
        <x:f aca="0">IF($A53="","",[1]!thsiFinD("ths_adjustment_nv_fund",S$3,$A53))</x:f>
        <x:v>#NAME?</x:v>
      </x:c>
      <x:c r="T53" s="106" t="e">
        <x:f aca="0">IF($A53="","",[1]!thsiFinD("ths_adjustment_nv_fund",T$3,$A53))</x:f>
        <x:v>#NAME?</x:v>
      </x:c>
      <x:c r="U53" s="106" t="e">
        <x:f aca="0">IF($A53="","",[1]!thsiFinD("ths_adjustment_nv_fund",U$3,$A53))</x:f>
        <x:v>#NAME?</x:v>
      </x:c>
      <x:c r="V53" s="106" t="e">
        <x:f aca="0">IF($A53="","",[1]!thsiFinD("ths_adjustment_nv_fund",V$3,$A53))</x:f>
        <x:v>#NAME?</x:v>
      </x:c>
      <x:c r="W53" s="106" t="e">
        <x:f aca="0">IF($A53="","",[1]!thsiFinD("ths_adjustment_nv_fund",W$3,$A53))</x:f>
        <x:v>#NAME?</x:v>
      </x:c>
      <x:c r="X53" s="106" t="e">
        <x:f aca="0">IF($A53="","",[1]!thsiFinD("ths_adjustment_nv_fund",X$3,$A53))</x:f>
        <x:v>#NAME?</x:v>
      </x:c>
      <x:c r="Y53" s="106" t="e">
        <x:f aca="0">IF($A53="","",[1]!thsiFinD("ths_adjustment_nv_fund",Y$3,$A53))</x:f>
        <x:v>#NAME?</x:v>
      </x:c>
      <x:c r="Z53" t="e">
        <x:f>IF($A53="","",[1]!thsiFinD("ths_adjustment_nv_fund",Z$3,$A53))</x:f>
        <x:v>#NAME?</x:v>
      </x:c>
      <x:c r="AA53" t="e">
        <x:f>IF($A53="","",[1]!thsiFinD("ths_adjustment_nv_fund",AA$3,$A53))</x:f>
        <x:v>#NAME?</x:v>
      </x:c>
    </x:row>
    <x:row r="54" ht="12" hidden="0">
      <x:c r="A54" s="9" t="n">
        <x:v>46261</x:v>
      </x:c>
      <x:c r="B54" s="106" t="e">
        <x:f aca="0">IF($A54="","",[1]!thsiFinD("ths_adjustment_nv_fund",B$3,$A54))</x:f>
        <x:v>#NAME?</x:v>
      </x:c>
      <x:c r="C54" s="106" t="e">
        <x:f aca="0">IF($A54="","",[1]!thsiFinD("ths_adjustment_nv_fund",C$3,$A54))</x:f>
        <x:v>#NAME?</x:v>
      </x:c>
      <x:c r="D54" s="106" t="e">
        <x:f aca="0">IF($A54="","",[1]!thsiFinD("ths_adjustment_nv_fund",D$3,$A54))</x:f>
        <x:v>#NAME?</x:v>
      </x:c>
      <x:c r="E54" s="106" t="e">
        <x:f aca="0">IF($A54="","",[1]!thsiFinD("ths_adjustment_nv_fund",E$3,$A54))</x:f>
        <x:v>#NAME?</x:v>
      </x:c>
      <x:c r="F54" s="106" t="e">
        <x:f aca="0">IF($A54="","",[1]!thsiFinD("ths_adjustment_nv_fund",F$3,$A54))</x:f>
        <x:v>#NAME?</x:v>
      </x:c>
      <x:c r="G54" s="106" t="e">
        <x:f aca="0">IF($A54="","",[1]!thsiFinD("ths_adjustment_nv_fund",G$3,$A54))</x:f>
        <x:v>#NAME?</x:v>
      </x:c>
      <x:c r="H54" s="106" t="e">
        <x:f aca="0">IF($A54="","",[1]!thsiFinD("ths_adjustment_nv_fund",H$3,$A54))</x:f>
        <x:v>#NAME?</x:v>
      </x:c>
      <x:c r="I54" s="106" t="e">
        <x:f aca="0">IF($A54="","",[1]!thsiFinD("ths_adjustment_nv_fund",I$3,$A54))</x:f>
        <x:v>#NAME?</x:v>
      </x:c>
      <x:c r="J54" s="106" t="e">
        <x:f aca="0">IF($A54="","",[1]!thsiFinD("ths_adjustment_nv_fund",J$3,$A54))</x:f>
        <x:v>#NAME?</x:v>
      </x:c>
      <x:c r="K54" s="106" t="e">
        <x:f aca="0">IF($A54="","",[1]!thsiFinD("ths_adjustment_nv_fund",K$3,$A54))</x:f>
        <x:v>#NAME?</x:v>
      </x:c>
      <x:c r="L54" s="106" t="e">
        <x:f aca="0">IF($A54="","",[1]!thsiFinD("ths_adjustment_nv_fund",L$3,$A54))</x:f>
        <x:v>#NAME?</x:v>
      </x:c>
      <x:c r="M54" s="106" t="e">
        <x:f aca="0">IF($A54="","",[1]!thsiFinD("ths_adjustment_nv_fund",M$3,$A54))</x:f>
        <x:v>#NAME?</x:v>
      </x:c>
      <x:c r="N54" s="106" t="e">
        <x:f aca="0">IF($A54="","",[1]!thsiFinD("ths_adjustment_nv_fund",N$3,$A54))</x:f>
        <x:v>#NAME?</x:v>
      </x:c>
      <x:c r="O54" s="106" t="e">
        <x:f aca="0">IF($A54="","",[1]!thsiFinD("ths_adjustment_nv_fund",O$3,$A54))</x:f>
        <x:v>#NAME?</x:v>
      </x:c>
      <x:c r="P54" s="106" t="e">
        <x:f aca="0">IF($A54="","",[1]!thsiFinD("ths_adjustment_nv_fund",P$3,$A54))</x:f>
        <x:v>#NAME?</x:v>
      </x:c>
      <x:c r="Q54" s="106" t="e">
        <x:f aca="0">IF($A54="","",[1]!thsiFinD("ths_adjustment_nv_fund",Q$3,$A54))</x:f>
        <x:v>#NAME?</x:v>
      </x:c>
      <x:c r="R54" s="106" t="e">
        <x:f aca="0">IF($A54="","",[1]!thsiFinD("ths_adjustment_nv_fund",R$3,$A54))</x:f>
        <x:v>#NAME?</x:v>
      </x:c>
      <x:c r="S54" s="106" t="e">
        <x:f aca="0">IF($A54="","",[1]!thsiFinD("ths_adjustment_nv_fund",S$3,$A54))</x:f>
        <x:v>#NAME?</x:v>
      </x:c>
      <x:c r="T54" s="106" t="e">
        <x:f aca="0">IF($A54="","",[1]!thsiFinD("ths_adjustment_nv_fund",T$3,$A54))</x:f>
        <x:v>#NAME?</x:v>
      </x:c>
      <x:c r="U54" s="106" t="e">
        <x:f aca="0">IF($A54="","",[1]!thsiFinD("ths_adjustment_nv_fund",U$3,$A54))</x:f>
        <x:v>#NAME?</x:v>
      </x:c>
      <x:c r="V54" s="106" t="e">
        <x:f aca="0">IF($A54="","",[1]!thsiFinD("ths_adjustment_nv_fund",V$3,$A54))</x:f>
        <x:v>#NAME?</x:v>
      </x:c>
      <x:c r="W54" s="106" t="e">
        <x:f aca="0">IF($A54="","",[1]!thsiFinD("ths_adjustment_nv_fund",W$3,$A54))</x:f>
        <x:v>#NAME?</x:v>
      </x:c>
      <x:c r="X54" s="106" t="e">
        <x:f aca="0">IF($A54="","",[1]!thsiFinD("ths_adjustment_nv_fund",X$3,$A54))</x:f>
        <x:v>#NAME?</x:v>
      </x:c>
      <x:c r="Y54" s="106" t="e">
        <x:f aca="0">IF($A54="","",[1]!thsiFinD("ths_adjustment_nv_fund",Y$3,$A54))</x:f>
        <x:v>#NAME?</x:v>
      </x:c>
      <x:c r="Z54" t="e">
        <x:f>IF($A54="","",[1]!thsiFinD("ths_adjustment_nv_fund",Z$3,$A54))</x:f>
        <x:v>#NAME?</x:v>
      </x:c>
      <x:c r="AA54" t="e">
        <x:f>IF($A54="","",[1]!thsiFinD("ths_adjustment_nv_fund",AA$3,$A54))</x:f>
        <x:v>#NAME?</x:v>
      </x:c>
    </x:row>
    <x:row r="55" ht="12" hidden="0">
      <x:c r="A55" s="9" t="n">
        <x:v>46262</x:v>
      </x:c>
      <x:c r="B55" s="106" t="e">
        <x:f aca="0">IF($A55="","",[1]!thsiFinD("ths_adjustment_nv_fund",B$3,$A55))</x:f>
        <x:v>#NAME?</x:v>
      </x:c>
      <x:c r="C55" s="106" t="e">
        <x:f aca="0">IF($A55="","",[1]!thsiFinD("ths_adjustment_nv_fund",C$3,$A55))</x:f>
        <x:v>#NAME?</x:v>
      </x:c>
      <x:c r="D55" s="106" t="e">
        <x:f aca="0">IF($A55="","",[1]!thsiFinD("ths_adjustment_nv_fund",D$3,$A55))</x:f>
        <x:v>#NAME?</x:v>
      </x:c>
      <x:c r="E55" s="106" t="e">
        <x:f aca="0">IF($A55="","",[1]!thsiFinD("ths_adjustment_nv_fund",E$3,$A55))</x:f>
        <x:v>#NAME?</x:v>
      </x:c>
      <x:c r="F55" s="106" t="e">
        <x:f aca="0">IF($A55="","",[1]!thsiFinD("ths_adjustment_nv_fund",F$3,$A55))</x:f>
        <x:v>#NAME?</x:v>
      </x:c>
      <x:c r="G55" s="106" t="e">
        <x:f aca="0">IF($A55="","",[1]!thsiFinD("ths_adjustment_nv_fund",G$3,$A55))</x:f>
        <x:v>#NAME?</x:v>
      </x:c>
      <x:c r="H55" s="106" t="e">
        <x:f aca="0">IF($A55="","",[1]!thsiFinD("ths_adjustment_nv_fund",H$3,$A55))</x:f>
        <x:v>#NAME?</x:v>
      </x:c>
      <x:c r="I55" s="106" t="e">
        <x:f aca="0">IF($A55="","",[1]!thsiFinD("ths_adjustment_nv_fund",I$3,$A55))</x:f>
        <x:v>#NAME?</x:v>
      </x:c>
      <x:c r="J55" s="106" t="e">
        <x:f aca="0">IF($A55="","",[1]!thsiFinD("ths_adjustment_nv_fund",J$3,$A55))</x:f>
        <x:v>#NAME?</x:v>
      </x:c>
      <x:c r="K55" s="106" t="e">
        <x:f aca="0">IF($A55="","",[1]!thsiFinD("ths_adjustment_nv_fund",K$3,$A55))</x:f>
        <x:v>#NAME?</x:v>
      </x:c>
      <x:c r="L55" s="106" t="e">
        <x:f aca="0">IF($A55="","",[1]!thsiFinD("ths_adjustment_nv_fund",L$3,$A55))</x:f>
        <x:v>#NAME?</x:v>
      </x:c>
      <x:c r="M55" s="106" t="e">
        <x:f aca="0">IF($A55="","",[1]!thsiFinD("ths_adjustment_nv_fund",M$3,$A55))</x:f>
        <x:v>#NAME?</x:v>
      </x:c>
      <x:c r="N55" s="106" t="e">
        <x:f aca="0">IF($A55="","",[1]!thsiFinD("ths_adjustment_nv_fund",N$3,$A55))</x:f>
        <x:v>#NAME?</x:v>
      </x:c>
      <x:c r="O55" s="106" t="e">
        <x:f aca="0">IF($A55="","",[1]!thsiFinD("ths_adjustment_nv_fund",O$3,$A55))</x:f>
        <x:v>#NAME?</x:v>
      </x:c>
      <x:c r="P55" s="106" t="e">
        <x:f aca="0">IF($A55="","",[1]!thsiFinD("ths_adjustment_nv_fund",P$3,$A55))</x:f>
        <x:v>#NAME?</x:v>
      </x:c>
      <x:c r="Q55" s="106" t="e">
        <x:f aca="0">IF($A55="","",[1]!thsiFinD("ths_adjustment_nv_fund",Q$3,$A55))</x:f>
        <x:v>#NAME?</x:v>
      </x:c>
      <x:c r="R55" s="106" t="e">
        <x:f aca="0">IF($A55="","",[1]!thsiFinD("ths_adjustment_nv_fund",R$3,$A55))</x:f>
        <x:v>#NAME?</x:v>
      </x:c>
      <x:c r="S55" s="106" t="e">
        <x:f aca="0">IF($A55="","",[1]!thsiFinD("ths_adjustment_nv_fund",S$3,$A55))</x:f>
        <x:v>#NAME?</x:v>
      </x:c>
      <x:c r="T55" s="106" t="e">
        <x:f aca="0">IF($A55="","",[1]!thsiFinD("ths_adjustment_nv_fund",T$3,$A55))</x:f>
        <x:v>#NAME?</x:v>
      </x:c>
      <x:c r="U55" s="106" t="e">
        <x:f aca="0">IF($A55="","",[1]!thsiFinD("ths_adjustment_nv_fund",U$3,$A55))</x:f>
        <x:v>#NAME?</x:v>
      </x:c>
      <x:c r="V55" s="106" t="e">
        <x:f aca="0">IF($A55="","",[1]!thsiFinD("ths_adjustment_nv_fund",V$3,$A55))</x:f>
        <x:v>#NAME?</x:v>
      </x:c>
      <x:c r="W55" s="106" t="e">
        <x:f aca="0">IF($A55="","",[1]!thsiFinD("ths_adjustment_nv_fund",W$3,$A55))</x:f>
        <x:v>#NAME?</x:v>
      </x:c>
      <x:c r="X55" s="106" t="e">
        <x:f aca="0">IF($A55="","",[1]!thsiFinD("ths_adjustment_nv_fund",X$3,$A55))</x:f>
        <x:v>#NAME?</x:v>
      </x:c>
      <x:c r="Y55" s="106" t="e">
        <x:f aca="0">IF($A55="","",[1]!thsiFinD("ths_adjustment_nv_fund",Y$3,$A55))</x:f>
        <x:v>#NAME?</x:v>
      </x:c>
      <x:c r="Z55" t="e">
        <x:f>IF($A55="","",[1]!thsiFinD("ths_adjustment_nv_fund",Z$3,$A55))</x:f>
        <x:v>#NAME?</x:v>
      </x:c>
      <x:c r="AA55" t="e">
        <x:f>IF($A55="","",[1]!thsiFinD("ths_adjustment_nv_fund",AA$3,$A55))</x:f>
        <x:v>#NAME?</x:v>
      </x:c>
    </x:row>
    <x:row r="56" ht="12" hidden="0">
      <x:c r="A56" s="9" t="n">
        <x:v>46265</x:v>
      </x:c>
      <x:c r="B56" s="106" t="e">
        <x:f aca="0">IF($A56="","",[1]!thsiFinD("ths_adjustment_nv_fund",B$3,$A56))</x:f>
        <x:v>#NAME?</x:v>
      </x:c>
      <x:c r="C56" s="106" t="e">
        <x:f aca="0">IF($A56="","",[1]!thsiFinD("ths_adjustment_nv_fund",C$3,$A56))</x:f>
        <x:v>#NAME?</x:v>
      </x:c>
      <x:c r="D56" s="106" t="e">
        <x:f aca="0">IF($A56="","",[1]!thsiFinD("ths_adjustment_nv_fund",D$3,$A56))</x:f>
        <x:v>#NAME?</x:v>
      </x:c>
      <x:c r="E56" s="106" t="e">
        <x:f aca="0">IF($A56="","",[1]!thsiFinD("ths_adjustment_nv_fund",E$3,$A56))</x:f>
        <x:v>#NAME?</x:v>
      </x:c>
      <x:c r="F56" s="106" t="e">
        <x:f aca="0">IF($A56="","",[1]!thsiFinD("ths_adjustment_nv_fund",F$3,$A56))</x:f>
        <x:v>#NAME?</x:v>
      </x:c>
      <x:c r="G56" s="106" t="e">
        <x:f aca="0">IF($A56="","",[1]!thsiFinD("ths_adjustment_nv_fund",G$3,$A56))</x:f>
        <x:v>#NAME?</x:v>
      </x:c>
      <x:c r="H56" s="106" t="e">
        <x:f aca="0">IF($A56="","",[1]!thsiFinD("ths_adjustment_nv_fund",H$3,$A56))</x:f>
        <x:v>#NAME?</x:v>
      </x:c>
      <x:c r="I56" s="106" t="e">
        <x:f aca="0">IF($A56="","",[1]!thsiFinD("ths_adjustment_nv_fund",I$3,$A56))</x:f>
        <x:v>#NAME?</x:v>
      </x:c>
      <x:c r="J56" s="106" t="e">
        <x:f aca="0">IF($A56="","",[1]!thsiFinD("ths_adjustment_nv_fund",J$3,$A56))</x:f>
        <x:v>#NAME?</x:v>
      </x:c>
      <x:c r="K56" s="106" t="e">
        <x:f aca="0">IF($A56="","",[1]!thsiFinD("ths_adjustment_nv_fund",K$3,$A56))</x:f>
        <x:v>#NAME?</x:v>
      </x:c>
      <x:c r="L56" s="106" t="e">
        <x:f aca="0">IF($A56="","",[1]!thsiFinD("ths_adjustment_nv_fund",L$3,$A56))</x:f>
        <x:v>#NAME?</x:v>
      </x:c>
      <x:c r="M56" s="106" t="e">
        <x:f aca="0">IF($A56="","",[1]!thsiFinD("ths_adjustment_nv_fund",M$3,$A56))</x:f>
        <x:v>#NAME?</x:v>
      </x:c>
      <x:c r="N56" s="106" t="e">
        <x:f aca="0">IF($A56="","",[1]!thsiFinD("ths_adjustment_nv_fund",N$3,$A56))</x:f>
        <x:v>#NAME?</x:v>
      </x:c>
      <x:c r="O56" s="106" t="e">
        <x:f aca="0">IF($A56="","",[1]!thsiFinD("ths_adjustment_nv_fund",O$3,$A56))</x:f>
        <x:v>#NAME?</x:v>
      </x:c>
      <x:c r="P56" s="106" t="e">
        <x:f aca="0">IF($A56="","",[1]!thsiFinD("ths_adjustment_nv_fund",P$3,$A56))</x:f>
        <x:v>#NAME?</x:v>
      </x:c>
      <x:c r="Q56" s="106" t="e">
        <x:f aca="0">IF($A56="","",[1]!thsiFinD("ths_adjustment_nv_fund",Q$3,$A56))</x:f>
        <x:v>#NAME?</x:v>
      </x:c>
      <x:c r="R56" s="106" t="e">
        <x:f aca="0">IF($A56="","",[1]!thsiFinD("ths_adjustment_nv_fund",R$3,$A56))</x:f>
        <x:v>#NAME?</x:v>
      </x:c>
      <x:c r="S56" s="106" t="e">
        <x:f aca="0">IF($A56="","",[1]!thsiFinD("ths_adjustment_nv_fund",S$3,$A56))</x:f>
        <x:v>#NAME?</x:v>
      </x:c>
      <x:c r="T56" s="106" t="e">
        <x:f aca="0">IF($A56="","",[1]!thsiFinD("ths_adjustment_nv_fund",T$3,$A56))</x:f>
        <x:v>#NAME?</x:v>
      </x:c>
      <x:c r="U56" s="106" t="e">
        <x:f aca="0">IF($A56="","",[1]!thsiFinD("ths_adjustment_nv_fund",U$3,$A56))</x:f>
        <x:v>#NAME?</x:v>
      </x:c>
      <x:c r="V56" s="106" t="e">
        <x:f aca="0">IF($A56="","",[1]!thsiFinD("ths_adjustment_nv_fund",V$3,$A56))</x:f>
        <x:v>#NAME?</x:v>
      </x:c>
      <x:c r="W56" s="106" t="e">
        <x:f aca="0">IF($A56="","",[1]!thsiFinD("ths_adjustment_nv_fund",W$3,$A56))</x:f>
        <x:v>#NAME?</x:v>
      </x:c>
      <x:c r="X56" s="106" t="e">
        <x:f aca="0">IF($A56="","",[1]!thsiFinD("ths_adjustment_nv_fund",X$3,$A56))</x:f>
        <x:v>#NAME?</x:v>
      </x:c>
      <x:c r="Y56" s="106" t="e">
        <x:f aca="0">IF($A56="","",[1]!thsiFinD("ths_adjustment_nv_fund",Y$3,$A56))</x:f>
        <x:v>#NAME?</x:v>
      </x:c>
      <x:c r="Z56" t="e">
        <x:f>IF($A56="","",[1]!thsiFinD("ths_adjustment_nv_fund",Z$3,$A56))</x:f>
        <x:v>#NAME?</x:v>
      </x:c>
      <x:c r="AA56" t="e">
        <x:f>IF($A56="","",[1]!thsiFinD("ths_adjustment_nv_fund",AA$3,$A56))</x:f>
        <x:v>#NAME?</x:v>
      </x:c>
    </x:row>
    <x:row r="57" ht="12" hidden="0">
      <x:c r="A57" s="9" t="n">
        <x:v>46266</x:v>
      </x:c>
      <x:c r="B57" s="106" t="e">
        <x:f aca="0">IF($A57="","",[1]!thsiFinD("ths_adjustment_nv_fund",B$3,$A57))</x:f>
        <x:v>#NAME?</x:v>
      </x:c>
      <x:c r="C57" s="106" t="e">
        <x:f aca="0">IF($A57="","",[1]!thsiFinD("ths_adjustment_nv_fund",C$3,$A57))</x:f>
        <x:v>#NAME?</x:v>
      </x:c>
      <x:c r="D57" s="106" t="e">
        <x:f aca="0">IF($A57="","",[1]!thsiFinD("ths_adjustment_nv_fund",D$3,$A57))</x:f>
        <x:v>#NAME?</x:v>
      </x:c>
      <x:c r="E57" s="106" t="e">
        <x:f aca="0">IF($A57="","",[1]!thsiFinD("ths_adjustment_nv_fund",E$3,$A57))</x:f>
        <x:v>#NAME?</x:v>
      </x:c>
      <x:c r="F57" s="106" t="e">
        <x:f aca="0">IF($A57="","",[1]!thsiFinD("ths_adjustment_nv_fund",F$3,$A57))</x:f>
        <x:v>#NAME?</x:v>
      </x:c>
      <x:c r="G57" s="106" t="e">
        <x:f aca="0">IF($A57="","",[1]!thsiFinD("ths_adjustment_nv_fund",G$3,$A57))</x:f>
        <x:v>#NAME?</x:v>
      </x:c>
      <x:c r="H57" s="106" t="e">
        <x:f aca="0">IF($A57="","",[1]!thsiFinD("ths_adjustment_nv_fund",H$3,$A57))</x:f>
        <x:v>#NAME?</x:v>
      </x:c>
      <x:c r="I57" s="106" t="e">
        <x:f aca="0">IF($A57="","",[1]!thsiFinD("ths_adjustment_nv_fund",I$3,$A57))</x:f>
        <x:v>#NAME?</x:v>
      </x:c>
      <x:c r="J57" s="106" t="e">
        <x:f aca="0">IF($A57="","",[1]!thsiFinD("ths_adjustment_nv_fund",J$3,$A57))</x:f>
        <x:v>#NAME?</x:v>
      </x:c>
      <x:c r="K57" s="106" t="e">
        <x:f aca="0">IF($A57="","",[1]!thsiFinD("ths_adjustment_nv_fund",K$3,$A57))</x:f>
        <x:v>#NAME?</x:v>
      </x:c>
      <x:c r="L57" s="106" t="e">
        <x:f aca="0">IF($A57="","",[1]!thsiFinD("ths_adjustment_nv_fund",L$3,$A57))</x:f>
        <x:v>#NAME?</x:v>
      </x:c>
      <x:c r="M57" s="106" t="e">
        <x:f aca="0">IF($A57="","",[1]!thsiFinD("ths_adjustment_nv_fund",M$3,$A57))</x:f>
        <x:v>#NAME?</x:v>
      </x:c>
      <x:c r="N57" s="106" t="e">
        <x:f aca="0">IF($A57="","",[1]!thsiFinD("ths_adjustment_nv_fund",N$3,$A57))</x:f>
        <x:v>#NAME?</x:v>
      </x:c>
      <x:c r="O57" s="106" t="e">
        <x:f aca="0">IF($A57="","",[1]!thsiFinD("ths_adjustment_nv_fund",O$3,$A57))</x:f>
        <x:v>#NAME?</x:v>
      </x:c>
      <x:c r="P57" s="106" t="e">
        <x:f aca="0">IF($A57="","",[1]!thsiFinD("ths_adjustment_nv_fund",P$3,$A57))</x:f>
        <x:v>#NAME?</x:v>
      </x:c>
      <x:c r="Q57" s="106" t="e">
        <x:f aca="0">IF($A57="","",[1]!thsiFinD("ths_adjustment_nv_fund",Q$3,$A57))</x:f>
        <x:v>#NAME?</x:v>
      </x:c>
      <x:c r="R57" s="106" t="e">
        <x:f aca="0">IF($A57="","",[1]!thsiFinD("ths_adjustment_nv_fund",R$3,$A57))</x:f>
        <x:v>#NAME?</x:v>
      </x:c>
      <x:c r="S57" s="106" t="e">
        <x:f aca="0">IF($A57="","",[1]!thsiFinD("ths_adjustment_nv_fund",S$3,$A57))</x:f>
        <x:v>#NAME?</x:v>
      </x:c>
      <x:c r="T57" s="106" t="e">
        <x:f aca="0">IF($A57="","",[1]!thsiFinD("ths_adjustment_nv_fund",T$3,$A57))</x:f>
        <x:v>#NAME?</x:v>
      </x:c>
      <x:c r="U57" s="106" t="e">
        <x:f aca="0">IF($A57="","",[1]!thsiFinD("ths_adjustment_nv_fund",U$3,$A57))</x:f>
        <x:v>#NAME?</x:v>
      </x:c>
      <x:c r="V57" s="106" t="e">
        <x:f aca="0">IF($A57="","",[1]!thsiFinD("ths_adjustment_nv_fund",V$3,$A57))</x:f>
        <x:v>#NAME?</x:v>
      </x:c>
      <x:c r="W57" s="106" t="e">
        <x:f aca="0">IF($A57="","",[1]!thsiFinD("ths_adjustment_nv_fund",W$3,$A57))</x:f>
        <x:v>#NAME?</x:v>
      </x:c>
      <x:c r="X57" s="106" t="e">
        <x:f aca="0">IF($A57="","",[1]!thsiFinD("ths_adjustment_nv_fund",X$3,$A57))</x:f>
        <x:v>#NAME?</x:v>
      </x:c>
      <x:c r="Y57" s="106" t="e">
        <x:f aca="0">IF($A57="","",[1]!thsiFinD("ths_adjustment_nv_fund",Y$3,$A57))</x:f>
        <x:v>#NAME?</x:v>
      </x:c>
      <x:c r="Z57" t="e">
        <x:f>IF($A57="","",[1]!thsiFinD("ths_adjustment_nv_fund",Z$3,$A57))</x:f>
        <x:v>#NAME?</x:v>
      </x:c>
      <x:c r="AA57" t="e">
        <x:f>IF($A57="","",[1]!thsiFinD("ths_adjustment_nv_fund",AA$3,$A57))</x:f>
        <x:v>#NAME?</x:v>
      </x:c>
    </x:row>
    <x:row r="58" ht="12" hidden="0">
      <x:c r="A58" s="9" t="n">
        <x:v>46267</x:v>
      </x:c>
      <x:c r="B58" s="106" t="e">
        <x:f aca="0">IF($A58="","",[1]!thsiFinD("ths_adjustment_nv_fund",B$3,$A58))</x:f>
        <x:v>#NAME?</x:v>
      </x:c>
      <x:c r="C58" s="106" t="e">
        <x:f aca="0">IF($A58="","",[1]!thsiFinD("ths_adjustment_nv_fund",C$3,$A58))</x:f>
        <x:v>#NAME?</x:v>
      </x:c>
      <x:c r="D58" s="106" t="e">
        <x:f aca="0">IF($A58="","",[1]!thsiFinD("ths_adjustment_nv_fund",D$3,$A58))</x:f>
        <x:v>#NAME?</x:v>
      </x:c>
      <x:c r="E58" s="106" t="e">
        <x:f aca="0">IF($A58="","",[1]!thsiFinD("ths_adjustment_nv_fund",E$3,$A58))</x:f>
        <x:v>#NAME?</x:v>
      </x:c>
      <x:c r="F58" s="106" t="e">
        <x:f aca="0">IF($A58="","",[1]!thsiFinD("ths_adjustment_nv_fund",F$3,$A58))</x:f>
        <x:v>#NAME?</x:v>
      </x:c>
      <x:c r="G58" s="106" t="e">
        <x:f aca="0">IF($A58="","",[1]!thsiFinD("ths_adjustment_nv_fund",G$3,$A58))</x:f>
        <x:v>#NAME?</x:v>
      </x:c>
      <x:c r="H58" s="106" t="e">
        <x:f aca="0">IF($A58="","",[1]!thsiFinD("ths_adjustment_nv_fund",H$3,$A58))</x:f>
        <x:v>#NAME?</x:v>
      </x:c>
      <x:c r="I58" s="106" t="e">
        <x:f aca="0">IF($A58="","",[1]!thsiFinD("ths_adjustment_nv_fund",I$3,$A58))</x:f>
        <x:v>#NAME?</x:v>
      </x:c>
      <x:c r="J58" s="106" t="e">
        <x:f aca="0">IF($A58="","",[1]!thsiFinD("ths_adjustment_nv_fund",J$3,$A58))</x:f>
        <x:v>#NAME?</x:v>
      </x:c>
      <x:c r="K58" s="106" t="e">
        <x:f aca="0">IF($A58="","",[1]!thsiFinD("ths_adjustment_nv_fund",K$3,$A58))</x:f>
        <x:v>#NAME?</x:v>
      </x:c>
      <x:c r="L58" s="106" t="e">
        <x:f aca="0">IF($A58="","",[1]!thsiFinD("ths_adjustment_nv_fund",L$3,$A58))</x:f>
        <x:v>#NAME?</x:v>
      </x:c>
      <x:c r="M58" s="106" t="e">
        <x:f aca="0">IF($A58="","",[1]!thsiFinD("ths_adjustment_nv_fund",M$3,$A58))</x:f>
        <x:v>#NAME?</x:v>
      </x:c>
      <x:c r="N58" s="106" t="e">
        <x:f aca="0">IF($A58="","",[1]!thsiFinD("ths_adjustment_nv_fund",N$3,$A58))</x:f>
        <x:v>#NAME?</x:v>
      </x:c>
      <x:c r="O58" s="106" t="e">
        <x:f aca="0">IF($A58="","",[1]!thsiFinD("ths_adjustment_nv_fund",O$3,$A58))</x:f>
        <x:v>#NAME?</x:v>
      </x:c>
      <x:c r="P58" s="106" t="e">
        <x:f aca="0">IF($A58="","",[1]!thsiFinD("ths_adjustment_nv_fund",P$3,$A58))</x:f>
        <x:v>#NAME?</x:v>
      </x:c>
      <x:c r="Q58" s="106" t="e">
        <x:f aca="0">IF($A58="","",[1]!thsiFinD("ths_adjustment_nv_fund",Q$3,$A58))</x:f>
        <x:v>#NAME?</x:v>
      </x:c>
      <x:c r="R58" s="106" t="e">
        <x:f aca="0">IF($A58="","",[1]!thsiFinD("ths_adjustment_nv_fund",R$3,$A58))</x:f>
        <x:v>#NAME?</x:v>
      </x:c>
      <x:c r="S58" s="106" t="e">
        <x:f aca="0">IF($A58="","",[1]!thsiFinD("ths_adjustment_nv_fund",S$3,$A58))</x:f>
        <x:v>#NAME?</x:v>
      </x:c>
      <x:c r="T58" s="106" t="e">
        <x:f aca="0">IF($A58="","",[1]!thsiFinD("ths_adjustment_nv_fund",T$3,$A58))</x:f>
        <x:v>#NAME?</x:v>
      </x:c>
      <x:c r="U58" s="106" t="e">
        <x:f aca="0">IF($A58="","",[1]!thsiFinD("ths_adjustment_nv_fund",U$3,$A58))</x:f>
        <x:v>#NAME?</x:v>
      </x:c>
      <x:c r="V58" s="106" t="e">
        <x:f aca="0">IF($A58="","",[1]!thsiFinD("ths_adjustment_nv_fund",V$3,$A58))</x:f>
        <x:v>#NAME?</x:v>
      </x:c>
      <x:c r="W58" s="106" t="e">
        <x:f aca="0">IF($A58="","",[1]!thsiFinD("ths_adjustment_nv_fund",W$3,$A58))</x:f>
        <x:v>#NAME?</x:v>
      </x:c>
      <x:c r="X58" s="106" t="e">
        <x:f aca="0">IF($A58="","",[1]!thsiFinD("ths_adjustment_nv_fund",X$3,$A58))</x:f>
        <x:v>#NAME?</x:v>
      </x:c>
      <x:c r="Y58" s="106" t="e">
        <x:f aca="0">IF($A58="","",[1]!thsiFinD("ths_adjustment_nv_fund",Y$3,$A58))</x:f>
        <x:v>#NAME?</x:v>
      </x:c>
      <x:c r="Z58" t="e">
        <x:f>IF($A58="","",[1]!thsiFinD("ths_adjustment_nv_fund",Z$3,$A58))</x:f>
        <x:v>#NAME?</x:v>
      </x:c>
      <x:c r="AA58" t="e">
        <x:f>IF($A58="","",[1]!thsiFinD("ths_adjustment_nv_fund",AA$3,$A58))</x:f>
        <x:v>#NAME?</x:v>
      </x:c>
    </x:row>
    <x:row r="59" ht="12" hidden="0">
      <x:c r="A59" s="9" t="n">
        <x:v>46268</x:v>
      </x:c>
      <x:c r="B59" s="106" t="e">
        <x:f aca="0">IF($A59="","",[1]!thsiFinD("ths_adjustment_nv_fund",B$3,$A59))</x:f>
        <x:v>#NAME?</x:v>
      </x:c>
      <x:c r="C59" s="106" t="e">
        <x:f aca="0">IF($A59="","",[1]!thsiFinD("ths_adjustment_nv_fund",C$3,$A59))</x:f>
        <x:v>#NAME?</x:v>
      </x:c>
      <x:c r="D59" s="106" t="e">
        <x:f aca="0">IF($A59="","",[1]!thsiFinD("ths_adjustment_nv_fund",D$3,$A59))</x:f>
        <x:v>#NAME?</x:v>
      </x:c>
      <x:c r="E59" s="106" t="e">
        <x:f aca="0">IF($A59="","",[1]!thsiFinD("ths_adjustment_nv_fund",E$3,$A59))</x:f>
        <x:v>#NAME?</x:v>
      </x:c>
      <x:c r="F59" s="106" t="e">
        <x:f aca="0">IF($A59="","",[1]!thsiFinD("ths_adjustment_nv_fund",F$3,$A59))</x:f>
        <x:v>#NAME?</x:v>
      </x:c>
      <x:c r="G59" s="106" t="e">
        <x:f aca="0">IF($A59="","",[1]!thsiFinD("ths_adjustment_nv_fund",G$3,$A59))</x:f>
        <x:v>#NAME?</x:v>
      </x:c>
      <x:c r="H59" s="106" t="e">
        <x:f aca="0">IF($A59="","",[1]!thsiFinD("ths_adjustment_nv_fund",H$3,$A59))</x:f>
        <x:v>#NAME?</x:v>
      </x:c>
      <x:c r="I59" s="106" t="e">
        <x:f aca="0">IF($A59="","",[1]!thsiFinD("ths_adjustment_nv_fund",I$3,$A59))</x:f>
        <x:v>#NAME?</x:v>
      </x:c>
      <x:c r="J59" s="106" t="e">
        <x:f aca="0">IF($A59="","",[1]!thsiFinD("ths_adjustment_nv_fund",J$3,$A59))</x:f>
        <x:v>#NAME?</x:v>
      </x:c>
      <x:c r="K59" s="106" t="e">
        <x:f aca="0">IF($A59="","",[1]!thsiFinD("ths_adjustment_nv_fund",K$3,$A59))</x:f>
        <x:v>#NAME?</x:v>
      </x:c>
      <x:c r="L59" s="106" t="e">
        <x:f aca="0">IF($A59="","",[1]!thsiFinD("ths_adjustment_nv_fund",L$3,$A59))</x:f>
        <x:v>#NAME?</x:v>
      </x:c>
      <x:c r="M59" s="106" t="e">
        <x:f aca="0">IF($A59="","",[1]!thsiFinD("ths_adjustment_nv_fund",M$3,$A59))</x:f>
        <x:v>#NAME?</x:v>
      </x:c>
      <x:c r="N59" s="106" t="e">
        <x:f aca="0">IF($A59="","",[1]!thsiFinD("ths_adjustment_nv_fund",N$3,$A59))</x:f>
        <x:v>#NAME?</x:v>
      </x:c>
      <x:c r="O59" s="106" t="e">
        <x:f aca="0">IF($A59="","",[1]!thsiFinD("ths_adjustment_nv_fund",O$3,$A59))</x:f>
        <x:v>#NAME?</x:v>
      </x:c>
      <x:c r="P59" s="106" t="e">
        <x:f aca="0">IF($A59="","",[1]!thsiFinD("ths_adjustment_nv_fund",P$3,$A59))</x:f>
        <x:v>#NAME?</x:v>
      </x:c>
      <x:c r="Q59" s="106" t="e">
        <x:f aca="0">IF($A59="","",[1]!thsiFinD("ths_adjustment_nv_fund",Q$3,$A59))</x:f>
        <x:v>#NAME?</x:v>
      </x:c>
      <x:c r="R59" s="106" t="e">
        <x:f aca="0">IF($A59="","",[1]!thsiFinD("ths_adjustment_nv_fund",R$3,$A59))</x:f>
        <x:v>#NAME?</x:v>
      </x:c>
      <x:c r="S59" s="106" t="e">
        <x:f aca="0">IF($A59="","",[1]!thsiFinD("ths_adjustment_nv_fund",S$3,$A59))</x:f>
        <x:v>#NAME?</x:v>
      </x:c>
      <x:c r="T59" s="106" t="e">
        <x:f aca="0">IF($A59="","",[1]!thsiFinD("ths_adjustment_nv_fund",T$3,$A59))</x:f>
        <x:v>#NAME?</x:v>
      </x:c>
      <x:c r="U59" s="106" t="e">
        <x:f aca="0">IF($A59="","",[1]!thsiFinD("ths_adjustment_nv_fund",U$3,$A59))</x:f>
        <x:v>#NAME?</x:v>
      </x:c>
      <x:c r="V59" s="106" t="e">
        <x:f aca="0">IF($A59="","",[1]!thsiFinD("ths_adjustment_nv_fund",V$3,$A59))</x:f>
        <x:v>#NAME?</x:v>
      </x:c>
      <x:c r="W59" s="106" t="e">
        <x:f aca="0">IF($A59="","",[1]!thsiFinD("ths_adjustment_nv_fund",W$3,$A59))</x:f>
        <x:v>#NAME?</x:v>
      </x:c>
      <x:c r="X59" s="106" t="e">
        <x:f aca="0">IF($A59="","",[1]!thsiFinD("ths_adjustment_nv_fund",X$3,$A59))</x:f>
        <x:v>#NAME?</x:v>
      </x:c>
      <x:c r="Y59" s="106" t="e">
        <x:f aca="0">IF($A59="","",[1]!thsiFinD("ths_adjustment_nv_fund",Y$3,$A59))</x:f>
        <x:v>#NAME?</x:v>
      </x:c>
      <x:c r="Z59" t="e">
        <x:f>IF($A59="","",[1]!thsiFinD("ths_adjustment_nv_fund",Z$3,$A59))</x:f>
        <x:v>#NAME?</x:v>
      </x:c>
      <x:c r="AA59" t="e">
        <x:f>IF($A59="","",[1]!thsiFinD("ths_adjustment_nv_fund",AA$3,$A59))</x:f>
        <x:v>#NAME?</x:v>
      </x:c>
    </x:row>
    <x:row r="60" ht="12" hidden="0">
      <x:c r="A60" s="9" t="n">
        <x:v>46269</x:v>
      </x:c>
      <x:c r="B60" s="106" t="e">
        <x:f aca="0">IF($A60="","",[1]!thsiFinD("ths_adjustment_nv_fund",B$3,$A60))</x:f>
        <x:v>#NAME?</x:v>
      </x:c>
      <x:c r="C60" s="106" t="e">
        <x:f aca="0">IF($A60="","",[1]!thsiFinD("ths_adjustment_nv_fund",C$3,$A60))</x:f>
        <x:v>#NAME?</x:v>
      </x:c>
      <x:c r="D60" s="106" t="e">
        <x:f aca="0">IF($A60="","",[1]!thsiFinD("ths_adjustment_nv_fund",D$3,$A60))</x:f>
        <x:v>#NAME?</x:v>
      </x:c>
      <x:c r="E60" s="106" t="e">
        <x:f aca="0">IF($A60="","",[1]!thsiFinD("ths_adjustment_nv_fund",E$3,$A60))</x:f>
        <x:v>#NAME?</x:v>
      </x:c>
      <x:c r="F60" s="106" t="e">
        <x:f aca="0">IF($A60="","",[1]!thsiFinD("ths_adjustment_nv_fund",F$3,$A60))</x:f>
        <x:v>#NAME?</x:v>
      </x:c>
      <x:c r="G60" s="106" t="e">
        <x:f aca="0">IF($A60="","",[1]!thsiFinD("ths_adjustment_nv_fund",G$3,$A60))</x:f>
        <x:v>#NAME?</x:v>
      </x:c>
      <x:c r="H60" s="106" t="e">
        <x:f aca="0">IF($A60="","",[1]!thsiFinD("ths_adjustment_nv_fund",H$3,$A60))</x:f>
        <x:v>#NAME?</x:v>
      </x:c>
      <x:c r="I60" s="106" t="e">
        <x:f aca="0">IF($A60="","",[1]!thsiFinD("ths_adjustment_nv_fund",I$3,$A60))</x:f>
        <x:v>#NAME?</x:v>
      </x:c>
      <x:c r="J60" s="106" t="e">
        <x:f aca="0">IF($A60="","",[1]!thsiFinD("ths_adjustment_nv_fund",J$3,$A60))</x:f>
        <x:v>#NAME?</x:v>
      </x:c>
      <x:c r="K60" s="106" t="e">
        <x:f aca="0">IF($A60="","",[1]!thsiFinD("ths_adjustment_nv_fund",K$3,$A60))</x:f>
        <x:v>#NAME?</x:v>
      </x:c>
      <x:c r="L60" s="106" t="e">
        <x:f aca="0">IF($A60="","",[1]!thsiFinD("ths_adjustment_nv_fund",L$3,$A60))</x:f>
        <x:v>#NAME?</x:v>
      </x:c>
      <x:c r="M60" s="106" t="e">
        <x:f aca="0">IF($A60="","",[1]!thsiFinD("ths_adjustment_nv_fund",M$3,$A60))</x:f>
        <x:v>#NAME?</x:v>
      </x:c>
      <x:c r="N60" s="106" t="e">
        <x:f aca="0">IF($A60="","",[1]!thsiFinD("ths_adjustment_nv_fund",N$3,$A60))</x:f>
        <x:v>#NAME?</x:v>
      </x:c>
      <x:c r="O60" s="106" t="e">
        <x:f aca="0">IF($A60="","",[1]!thsiFinD("ths_adjustment_nv_fund",O$3,$A60))</x:f>
        <x:v>#NAME?</x:v>
      </x:c>
      <x:c r="P60" s="106" t="e">
        <x:f aca="0">IF($A60="","",[1]!thsiFinD("ths_adjustment_nv_fund",P$3,$A60))</x:f>
        <x:v>#NAME?</x:v>
      </x:c>
      <x:c r="Q60" s="106" t="e">
        <x:f aca="0">IF($A60="","",[1]!thsiFinD("ths_adjustment_nv_fund",Q$3,$A60))</x:f>
        <x:v>#NAME?</x:v>
      </x:c>
      <x:c r="R60" s="106" t="e">
        <x:f aca="0">IF($A60="","",[1]!thsiFinD("ths_adjustment_nv_fund",R$3,$A60))</x:f>
        <x:v>#NAME?</x:v>
      </x:c>
      <x:c r="S60" s="106" t="e">
        <x:f aca="0">IF($A60="","",[1]!thsiFinD("ths_adjustment_nv_fund",S$3,$A60))</x:f>
        <x:v>#NAME?</x:v>
      </x:c>
      <x:c r="T60" s="106" t="e">
        <x:f aca="0">IF($A60="","",[1]!thsiFinD("ths_adjustment_nv_fund",T$3,$A60))</x:f>
        <x:v>#NAME?</x:v>
      </x:c>
      <x:c r="U60" s="106" t="e">
        <x:f aca="0">IF($A60="","",[1]!thsiFinD("ths_adjustment_nv_fund",U$3,$A60))</x:f>
        <x:v>#NAME?</x:v>
      </x:c>
      <x:c r="V60" s="106" t="e">
        <x:f aca="0">IF($A60="","",[1]!thsiFinD("ths_adjustment_nv_fund",V$3,$A60))</x:f>
        <x:v>#NAME?</x:v>
      </x:c>
      <x:c r="W60" s="106" t="e">
        <x:f aca="0">IF($A60="","",[1]!thsiFinD("ths_adjustment_nv_fund",W$3,$A60))</x:f>
        <x:v>#NAME?</x:v>
      </x:c>
      <x:c r="X60" s="106" t="e">
        <x:f aca="0">IF($A60="","",[1]!thsiFinD("ths_adjustment_nv_fund",X$3,$A60))</x:f>
        <x:v>#NAME?</x:v>
      </x:c>
      <x:c r="Y60" s="106" t="e">
        <x:f aca="0">IF($A60="","",[1]!thsiFinD("ths_adjustment_nv_fund",Y$3,$A60))</x:f>
        <x:v>#NAME?</x:v>
      </x:c>
      <x:c r="Z60" t="e">
        <x:f>IF($A60="","",[1]!thsiFinD("ths_adjustment_nv_fund",Z$3,$A60))</x:f>
        <x:v>#NAME?</x:v>
      </x:c>
      <x:c r="AA60" t="e">
        <x:f>IF($A60="","",[1]!thsiFinD("ths_adjustment_nv_fund",AA$3,$A60))</x:f>
        <x:v>#NAME?</x:v>
      </x:c>
    </x:row>
    <x:row r="61" ht="12" hidden="0">
      <x:c r="A61" s="9" t="n">
        <x:v>46272</x:v>
      </x:c>
      <x:c r="B61" s="106" t="e">
        <x:f aca="0">IF($A61="","",[1]!thsiFinD("ths_adjustment_nv_fund",B$3,$A61))</x:f>
        <x:v>#NAME?</x:v>
      </x:c>
      <x:c r="C61" s="106" t="e">
        <x:f aca="0">IF($A61="","",[1]!thsiFinD("ths_adjustment_nv_fund",C$3,$A61))</x:f>
        <x:v>#NAME?</x:v>
      </x:c>
      <x:c r="D61" s="106" t="e">
        <x:f aca="0">IF($A61="","",[1]!thsiFinD("ths_adjustment_nv_fund",D$3,$A61))</x:f>
        <x:v>#NAME?</x:v>
      </x:c>
      <x:c r="E61" s="106" t="e">
        <x:f aca="0">IF($A61="","",[1]!thsiFinD("ths_adjustment_nv_fund",E$3,$A61))</x:f>
        <x:v>#NAME?</x:v>
      </x:c>
      <x:c r="F61" s="106" t="e">
        <x:f aca="0">IF($A61="","",[1]!thsiFinD("ths_adjustment_nv_fund",F$3,$A61))</x:f>
        <x:v>#NAME?</x:v>
      </x:c>
      <x:c r="G61" s="106" t="e">
        <x:f aca="0">IF($A61="","",[1]!thsiFinD("ths_adjustment_nv_fund",G$3,$A61))</x:f>
        <x:v>#NAME?</x:v>
      </x:c>
      <x:c r="H61" s="106" t="e">
        <x:f aca="0">IF($A61="","",[1]!thsiFinD("ths_adjustment_nv_fund",H$3,$A61))</x:f>
        <x:v>#NAME?</x:v>
      </x:c>
      <x:c r="I61" s="106" t="e">
        <x:f aca="0">IF($A61="","",[1]!thsiFinD("ths_adjustment_nv_fund",I$3,$A61))</x:f>
        <x:v>#NAME?</x:v>
      </x:c>
      <x:c r="J61" s="106" t="e">
        <x:f aca="0">IF($A61="","",[1]!thsiFinD("ths_adjustment_nv_fund",J$3,$A61))</x:f>
        <x:v>#NAME?</x:v>
      </x:c>
      <x:c r="K61" s="106" t="e">
        <x:f aca="0">IF($A61="","",[1]!thsiFinD("ths_adjustment_nv_fund",K$3,$A61))</x:f>
        <x:v>#NAME?</x:v>
      </x:c>
      <x:c r="L61" s="106" t="e">
        <x:f aca="0">IF($A61="","",[1]!thsiFinD("ths_adjustment_nv_fund",L$3,$A61))</x:f>
        <x:v>#NAME?</x:v>
      </x:c>
      <x:c r="M61" s="106" t="e">
        <x:f aca="0">IF($A61="","",[1]!thsiFinD("ths_adjustment_nv_fund",M$3,$A61))</x:f>
        <x:v>#NAME?</x:v>
      </x:c>
      <x:c r="N61" s="106" t="e">
        <x:f aca="0">IF($A61="","",[1]!thsiFinD("ths_adjustment_nv_fund",N$3,$A61))</x:f>
        <x:v>#NAME?</x:v>
      </x:c>
      <x:c r="O61" s="106" t="e">
        <x:f aca="0">IF($A61="","",[1]!thsiFinD("ths_adjustment_nv_fund",O$3,$A61))</x:f>
        <x:v>#NAME?</x:v>
      </x:c>
      <x:c r="P61" s="106" t="e">
        <x:f aca="0">IF($A61="","",[1]!thsiFinD("ths_adjustment_nv_fund",P$3,$A61))</x:f>
        <x:v>#NAME?</x:v>
      </x:c>
      <x:c r="Q61" s="106" t="e">
        <x:f aca="0">IF($A61="","",[1]!thsiFinD("ths_adjustment_nv_fund",Q$3,$A61))</x:f>
        <x:v>#NAME?</x:v>
      </x:c>
      <x:c r="R61" s="106" t="e">
        <x:f aca="0">IF($A61="","",[1]!thsiFinD("ths_adjustment_nv_fund",R$3,$A61))</x:f>
        <x:v>#NAME?</x:v>
      </x:c>
      <x:c r="S61" s="106" t="e">
        <x:f aca="0">IF($A61="","",[1]!thsiFinD("ths_adjustment_nv_fund",S$3,$A61))</x:f>
        <x:v>#NAME?</x:v>
      </x:c>
      <x:c r="T61" s="106" t="e">
        <x:f aca="0">IF($A61="","",[1]!thsiFinD("ths_adjustment_nv_fund",T$3,$A61))</x:f>
        <x:v>#NAME?</x:v>
      </x:c>
      <x:c r="U61" s="106" t="e">
        <x:f aca="0">IF($A61="","",[1]!thsiFinD("ths_adjustment_nv_fund",U$3,$A61))</x:f>
        <x:v>#NAME?</x:v>
      </x:c>
      <x:c r="V61" s="106" t="e">
        <x:f aca="0">IF($A61="","",[1]!thsiFinD("ths_adjustment_nv_fund",V$3,$A61))</x:f>
        <x:v>#NAME?</x:v>
      </x:c>
      <x:c r="W61" s="106" t="e">
        <x:f aca="0">IF($A61="","",[1]!thsiFinD("ths_adjustment_nv_fund",W$3,$A61))</x:f>
        <x:v>#NAME?</x:v>
      </x:c>
      <x:c r="X61" s="106" t="e">
        <x:f aca="0">IF($A61="","",[1]!thsiFinD("ths_adjustment_nv_fund",X$3,$A61))</x:f>
        <x:v>#NAME?</x:v>
      </x:c>
      <x:c r="Y61" s="106" t="e">
        <x:f aca="0">IF($A61="","",[1]!thsiFinD("ths_adjustment_nv_fund",Y$3,$A61))</x:f>
        <x:v>#NAME?</x:v>
      </x:c>
      <x:c r="Z61" t="e">
        <x:f>IF($A61="","",[1]!thsiFinD("ths_adjustment_nv_fund",Z$3,$A61))</x:f>
        <x:v>#NAME?</x:v>
      </x:c>
      <x:c r="AA61" t="e">
        <x:f>IF($A61="","",[1]!thsiFinD("ths_adjustment_nv_fund",AA$3,$A61))</x:f>
        <x:v>#NAME?</x:v>
      </x:c>
    </x:row>
    <x:row r="62" ht="12" hidden="0">
      <x:c r="A62" s="9" t="n">
        <x:v>46273</x:v>
      </x:c>
      <x:c r="B62" s="106" t="e">
        <x:f aca="0">IF($A62="","",[1]!thsiFinD("ths_adjustment_nv_fund",B$3,$A62))</x:f>
        <x:v>#NAME?</x:v>
      </x:c>
      <x:c r="C62" s="106" t="e">
        <x:f aca="0">IF($A62="","",[1]!thsiFinD("ths_adjustment_nv_fund",C$3,$A62))</x:f>
        <x:v>#NAME?</x:v>
      </x:c>
      <x:c r="D62" s="106" t="e">
        <x:f aca="0">IF($A62="","",[1]!thsiFinD("ths_adjustment_nv_fund",D$3,$A62))</x:f>
        <x:v>#NAME?</x:v>
      </x:c>
      <x:c r="E62" s="106" t="e">
        <x:f aca="0">IF($A62="","",[1]!thsiFinD("ths_adjustment_nv_fund",E$3,$A62))</x:f>
        <x:v>#NAME?</x:v>
      </x:c>
      <x:c r="F62" s="106" t="e">
        <x:f aca="0">IF($A62="","",[1]!thsiFinD("ths_adjustment_nv_fund",F$3,$A62))</x:f>
        <x:v>#NAME?</x:v>
      </x:c>
      <x:c r="G62" s="106" t="e">
        <x:f aca="0">IF($A62="","",[1]!thsiFinD("ths_adjustment_nv_fund",G$3,$A62))</x:f>
        <x:v>#NAME?</x:v>
      </x:c>
      <x:c r="H62" s="106" t="e">
        <x:f aca="0">IF($A62="","",[1]!thsiFinD("ths_adjustment_nv_fund",H$3,$A62))</x:f>
        <x:v>#NAME?</x:v>
      </x:c>
      <x:c r="I62" s="106" t="e">
        <x:f aca="0">IF($A62="","",[1]!thsiFinD("ths_adjustment_nv_fund",I$3,$A62))</x:f>
        <x:v>#NAME?</x:v>
      </x:c>
      <x:c r="J62" s="106" t="e">
        <x:f aca="0">IF($A62="","",[1]!thsiFinD("ths_adjustment_nv_fund",J$3,$A62))</x:f>
        <x:v>#NAME?</x:v>
      </x:c>
      <x:c r="K62" s="106" t="e">
        <x:f aca="0">IF($A62="","",[1]!thsiFinD("ths_adjustment_nv_fund",K$3,$A62))</x:f>
        <x:v>#NAME?</x:v>
      </x:c>
      <x:c r="L62" s="106" t="e">
        <x:f aca="0">IF($A62="","",[1]!thsiFinD("ths_adjustment_nv_fund",L$3,$A62))</x:f>
        <x:v>#NAME?</x:v>
      </x:c>
      <x:c r="M62" s="106" t="e">
        <x:f aca="0">IF($A62="","",[1]!thsiFinD("ths_adjustment_nv_fund",M$3,$A62))</x:f>
        <x:v>#NAME?</x:v>
      </x:c>
      <x:c r="N62" s="106" t="e">
        <x:f aca="0">IF($A62="","",[1]!thsiFinD("ths_adjustment_nv_fund",N$3,$A62))</x:f>
        <x:v>#NAME?</x:v>
      </x:c>
      <x:c r="O62" s="106" t="e">
        <x:f aca="0">IF($A62="","",[1]!thsiFinD("ths_adjustment_nv_fund",O$3,$A62))</x:f>
        <x:v>#NAME?</x:v>
      </x:c>
      <x:c r="P62" s="106" t="e">
        <x:f aca="0">IF($A62="","",[1]!thsiFinD("ths_adjustment_nv_fund",P$3,$A62))</x:f>
        <x:v>#NAME?</x:v>
      </x:c>
      <x:c r="Q62" s="106" t="e">
        <x:f aca="0">IF($A62="","",[1]!thsiFinD("ths_adjustment_nv_fund",Q$3,$A62))</x:f>
        <x:v>#NAME?</x:v>
      </x:c>
      <x:c r="R62" s="106" t="e">
        <x:f aca="0">IF($A62="","",[1]!thsiFinD("ths_adjustment_nv_fund",R$3,$A62))</x:f>
        <x:v>#NAME?</x:v>
      </x:c>
      <x:c r="S62" s="106" t="e">
        <x:f aca="0">IF($A62="","",[1]!thsiFinD("ths_adjustment_nv_fund",S$3,$A62))</x:f>
        <x:v>#NAME?</x:v>
      </x:c>
      <x:c r="T62" s="106" t="e">
        <x:f aca="0">IF($A62="","",[1]!thsiFinD("ths_adjustment_nv_fund",T$3,$A62))</x:f>
        <x:v>#NAME?</x:v>
      </x:c>
      <x:c r="U62" s="106" t="e">
        <x:f aca="0">IF($A62="","",[1]!thsiFinD("ths_adjustment_nv_fund",U$3,$A62))</x:f>
        <x:v>#NAME?</x:v>
      </x:c>
      <x:c r="V62" s="106" t="e">
        <x:f aca="0">IF($A62="","",[1]!thsiFinD("ths_adjustment_nv_fund",V$3,$A62))</x:f>
        <x:v>#NAME?</x:v>
      </x:c>
      <x:c r="W62" s="106" t="e">
        <x:f aca="0">IF($A62="","",[1]!thsiFinD("ths_adjustment_nv_fund",W$3,$A62))</x:f>
        <x:v>#NAME?</x:v>
      </x:c>
      <x:c r="X62" s="106" t="e">
        <x:f aca="0">IF($A62="","",[1]!thsiFinD("ths_adjustment_nv_fund",X$3,$A62))</x:f>
        <x:v>#NAME?</x:v>
      </x:c>
      <x:c r="Y62" s="106" t="e">
        <x:f aca="0">IF($A62="","",[1]!thsiFinD("ths_adjustment_nv_fund",Y$3,$A62))</x:f>
        <x:v>#NAME?</x:v>
      </x:c>
      <x:c r="Z62" t="e">
        <x:f>IF($A62="","",[1]!thsiFinD("ths_adjustment_nv_fund",Z$3,$A62))</x:f>
        <x:v>#NAME?</x:v>
      </x:c>
      <x:c r="AA62" t="e">
        <x:f>IF($A62="","",[1]!thsiFinD("ths_adjustment_nv_fund",AA$3,$A62))</x:f>
        <x:v>#NAME?</x:v>
      </x:c>
    </x:row>
    <x:row r="63" ht="12" hidden="0">
      <x:c r="A63" s="9" t="n">
        <x:v>46274</x:v>
      </x:c>
      <x:c r="B63" s="106" t="e">
        <x:f aca="0">IF($A63="","",[1]!thsiFinD("ths_adjustment_nv_fund",B$3,$A63))</x:f>
        <x:v>#NAME?</x:v>
      </x:c>
      <x:c r="C63" s="106" t="e">
        <x:f aca="0">IF($A63="","",[1]!thsiFinD("ths_adjustment_nv_fund",C$3,$A63))</x:f>
        <x:v>#NAME?</x:v>
      </x:c>
      <x:c r="D63" s="106" t="e">
        <x:f aca="0">IF($A63="","",[1]!thsiFinD("ths_adjustment_nv_fund",D$3,$A63))</x:f>
        <x:v>#NAME?</x:v>
      </x:c>
      <x:c r="E63" s="106" t="e">
        <x:f aca="0">IF($A63="","",[1]!thsiFinD("ths_adjustment_nv_fund",E$3,$A63))</x:f>
        <x:v>#NAME?</x:v>
      </x:c>
      <x:c r="F63" s="106" t="e">
        <x:f aca="0">IF($A63="","",[1]!thsiFinD("ths_adjustment_nv_fund",F$3,$A63))</x:f>
        <x:v>#NAME?</x:v>
      </x:c>
      <x:c r="G63" s="106" t="e">
        <x:f aca="0">IF($A63="","",[1]!thsiFinD("ths_adjustment_nv_fund",G$3,$A63))</x:f>
        <x:v>#NAME?</x:v>
      </x:c>
      <x:c r="H63" s="106" t="e">
        <x:f aca="0">IF($A63="","",[1]!thsiFinD("ths_adjustment_nv_fund",H$3,$A63))</x:f>
        <x:v>#NAME?</x:v>
      </x:c>
      <x:c r="I63" s="106" t="e">
        <x:f aca="0">IF($A63="","",[1]!thsiFinD("ths_adjustment_nv_fund",I$3,$A63))</x:f>
        <x:v>#NAME?</x:v>
      </x:c>
      <x:c r="J63" s="106" t="e">
        <x:f aca="0">IF($A63="","",[1]!thsiFinD("ths_adjustment_nv_fund",J$3,$A63))</x:f>
        <x:v>#NAME?</x:v>
      </x:c>
      <x:c r="K63" s="106" t="e">
        <x:f aca="0">IF($A63="","",[1]!thsiFinD("ths_adjustment_nv_fund",K$3,$A63))</x:f>
        <x:v>#NAME?</x:v>
      </x:c>
      <x:c r="L63" s="106" t="e">
        <x:f aca="0">IF($A63="","",[1]!thsiFinD("ths_adjustment_nv_fund",L$3,$A63))</x:f>
        <x:v>#NAME?</x:v>
      </x:c>
      <x:c r="M63" s="106" t="e">
        <x:f aca="0">IF($A63="","",[1]!thsiFinD("ths_adjustment_nv_fund",M$3,$A63))</x:f>
        <x:v>#NAME?</x:v>
      </x:c>
      <x:c r="N63" s="106" t="e">
        <x:f aca="0">IF($A63="","",[1]!thsiFinD("ths_adjustment_nv_fund",N$3,$A63))</x:f>
        <x:v>#NAME?</x:v>
      </x:c>
      <x:c r="O63" s="106" t="e">
        <x:f aca="0">IF($A63="","",[1]!thsiFinD("ths_adjustment_nv_fund",O$3,$A63))</x:f>
        <x:v>#NAME?</x:v>
      </x:c>
      <x:c r="P63" s="106" t="e">
        <x:f aca="0">IF($A63="","",[1]!thsiFinD("ths_adjustment_nv_fund",P$3,$A63))</x:f>
        <x:v>#NAME?</x:v>
      </x:c>
      <x:c r="Q63" s="106" t="e">
        <x:f aca="0">IF($A63="","",[1]!thsiFinD("ths_adjustment_nv_fund",Q$3,$A63))</x:f>
        <x:v>#NAME?</x:v>
      </x:c>
      <x:c r="R63" s="106" t="e">
        <x:f aca="0">IF($A63="","",[1]!thsiFinD("ths_adjustment_nv_fund",R$3,$A63))</x:f>
        <x:v>#NAME?</x:v>
      </x:c>
      <x:c r="S63" s="106" t="e">
        <x:f aca="0">IF($A63="","",[1]!thsiFinD("ths_adjustment_nv_fund",S$3,$A63))</x:f>
        <x:v>#NAME?</x:v>
      </x:c>
      <x:c r="T63" s="106" t="e">
        <x:f aca="0">IF($A63="","",[1]!thsiFinD("ths_adjustment_nv_fund",T$3,$A63))</x:f>
        <x:v>#NAME?</x:v>
      </x:c>
      <x:c r="U63" s="106" t="e">
        <x:f aca="0">IF($A63="","",[1]!thsiFinD("ths_adjustment_nv_fund",U$3,$A63))</x:f>
        <x:v>#NAME?</x:v>
      </x:c>
      <x:c r="V63" s="106" t="e">
        <x:f aca="0">IF($A63="","",[1]!thsiFinD("ths_adjustment_nv_fund",V$3,$A63))</x:f>
        <x:v>#NAME?</x:v>
      </x:c>
      <x:c r="W63" s="106" t="e">
        <x:f aca="0">IF($A63="","",[1]!thsiFinD("ths_adjustment_nv_fund",W$3,$A63))</x:f>
        <x:v>#NAME?</x:v>
      </x:c>
      <x:c r="X63" s="106" t="e">
        <x:f aca="0">IF($A63="","",[1]!thsiFinD("ths_adjustment_nv_fund",X$3,$A63))</x:f>
        <x:v>#NAME?</x:v>
      </x:c>
      <x:c r="Y63" s="106" t="e">
        <x:f aca="0">IF($A63="","",[1]!thsiFinD("ths_adjustment_nv_fund",Y$3,$A63))</x:f>
        <x:v>#NAME?</x:v>
      </x:c>
      <x:c r="Z63" t="e">
        <x:f>IF($A63="","",[1]!thsiFinD("ths_adjustment_nv_fund",Z$3,$A63))</x:f>
        <x:v>#NAME?</x:v>
      </x:c>
      <x:c r="AA63" t="e">
        <x:f>IF($A63="","",[1]!thsiFinD("ths_adjustment_nv_fund",AA$3,$A63))</x:f>
        <x:v>#NAME?</x:v>
      </x:c>
    </x:row>
    <x:row r="64" ht="12" hidden="0">
      <x:c r="A64" s="9" t="n">
        <x:v>46275</x:v>
      </x:c>
      <x:c r="B64" s="106" t="e">
        <x:f aca="0">IF($A64="","",[1]!thsiFinD("ths_adjustment_nv_fund",B$3,$A64))</x:f>
        <x:v>#NAME?</x:v>
      </x:c>
      <x:c r="C64" s="106" t="e">
        <x:f aca="0">IF($A64="","",[1]!thsiFinD("ths_adjustment_nv_fund",C$3,$A64))</x:f>
        <x:v>#NAME?</x:v>
      </x:c>
      <x:c r="D64" s="106" t="e">
        <x:f aca="0">IF($A64="","",[1]!thsiFinD("ths_adjustment_nv_fund",D$3,$A64))</x:f>
        <x:v>#NAME?</x:v>
      </x:c>
      <x:c r="E64" s="106" t="e">
        <x:f aca="0">IF($A64="","",[1]!thsiFinD("ths_adjustment_nv_fund",E$3,$A64))</x:f>
        <x:v>#NAME?</x:v>
      </x:c>
      <x:c r="F64" s="106" t="e">
        <x:f aca="0">IF($A64="","",[1]!thsiFinD("ths_adjustment_nv_fund",F$3,$A64))</x:f>
        <x:v>#NAME?</x:v>
      </x:c>
      <x:c r="G64" s="106" t="e">
        <x:f aca="0">IF($A64="","",[1]!thsiFinD("ths_adjustment_nv_fund",G$3,$A64))</x:f>
        <x:v>#NAME?</x:v>
      </x:c>
      <x:c r="H64" s="106" t="e">
        <x:f aca="0">IF($A64="","",[1]!thsiFinD("ths_adjustment_nv_fund",H$3,$A64))</x:f>
        <x:v>#NAME?</x:v>
      </x:c>
      <x:c r="I64" s="106" t="e">
        <x:f aca="0">IF($A64="","",[1]!thsiFinD("ths_adjustment_nv_fund",I$3,$A64))</x:f>
        <x:v>#NAME?</x:v>
      </x:c>
      <x:c r="J64" s="106" t="e">
        <x:f aca="0">IF($A64="","",[1]!thsiFinD("ths_adjustment_nv_fund",J$3,$A64))</x:f>
        <x:v>#NAME?</x:v>
      </x:c>
      <x:c r="K64" s="106" t="e">
        <x:f aca="0">IF($A64="","",[1]!thsiFinD("ths_adjustment_nv_fund",K$3,$A64))</x:f>
        <x:v>#NAME?</x:v>
      </x:c>
      <x:c r="L64" s="106" t="e">
        <x:f aca="0">IF($A64="","",[1]!thsiFinD("ths_adjustment_nv_fund",L$3,$A64))</x:f>
        <x:v>#NAME?</x:v>
      </x:c>
      <x:c r="M64" s="106" t="e">
        <x:f aca="0">IF($A64="","",[1]!thsiFinD("ths_adjustment_nv_fund",M$3,$A64))</x:f>
        <x:v>#NAME?</x:v>
      </x:c>
      <x:c r="N64" s="106" t="e">
        <x:f aca="0">IF($A64="","",[1]!thsiFinD("ths_adjustment_nv_fund",N$3,$A64))</x:f>
        <x:v>#NAME?</x:v>
      </x:c>
      <x:c r="O64" s="106" t="e">
        <x:f aca="0">IF($A64="","",[1]!thsiFinD("ths_adjustment_nv_fund",O$3,$A64))</x:f>
        <x:v>#NAME?</x:v>
      </x:c>
      <x:c r="P64" s="106" t="e">
        <x:f aca="0">IF($A64="","",[1]!thsiFinD("ths_adjustment_nv_fund",P$3,$A64))</x:f>
        <x:v>#NAME?</x:v>
      </x:c>
      <x:c r="Q64" s="106" t="e">
        <x:f aca="0">IF($A64="","",[1]!thsiFinD("ths_adjustment_nv_fund",Q$3,$A64))</x:f>
        <x:v>#NAME?</x:v>
      </x:c>
      <x:c r="R64" s="106" t="e">
        <x:f aca="0">IF($A64="","",[1]!thsiFinD("ths_adjustment_nv_fund",R$3,$A64))</x:f>
        <x:v>#NAME?</x:v>
      </x:c>
      <x:c r="S64" s="106" t="e">
        <x:f aca="0">IF($A64="","",[1]!thsiFinD("ths_adjustment_nv_fund",S$3,$A64))</x:f>
        <x:v>#NAME?</x:v>
      </x:c>
      <x:c r="T64" s="106" t="e">
        <x:f aca="0">IF($A64="","",[1]!thsiFinD("ths_adjustment_nv_fund",T$3,$A64))</x:f>
        <x:v>#NAME?</x:v>
      </x:c>
      <x:c r="U64" s="106" t="e">
        <x:f aca="0">IF($A64="","",[1]!thsiFinD("ths_adjustment_nv_fund",U$3,$A64))</x:f>
        <x:v>#NAME?</x:v>
      </x:c>
      <x:c r="V64" s="106" t="e">
        <x:f aca="0">IF($A64="","",[1]!thsiFinD("ths_adjustment_nv_fund",V$3,$A64))</x:f>
        <x:v>#NAME?</x:v>
      </x:c>
      <x:c r="W64" s="106" t="e">
        <x:f aca="0">IF($A64="","",[1]!thsiFinD("ths_adjustment_nv_fund",W$3,$A64))</x:f>
        <x:v>#NAME?</x:v>
      </x:c>
      <x:c r="X64" s="106" t="e">
        <x:f aca="0">IF($A64="","",[1]!thsiFinD("ths_adjustment_nv_fund",X$3,$A64))</x:f>
        <x:v>#NAME?</x:v>
      </x:c>
      <x:c r="Y64" s="106" t="e">
        <x:f aca="0">IF($A64="","",[1]!thsiFinD("ths_adjustment_nv_fund",Y$3,$A64))</x:f>
        <x:v>#NAME?</x:v>
      </x:c>
      <x:c r="Z64" t="e">
        <x:f>IF($A64="","",[1]!thsiFinD("ths_adjustment_nv_fund",Z$3,$A64))</x:f>
        <x:v>#NAME?</x:v>
      </x:c>
      <x:c r="AA64" t="e">
        <x:f>IF($A64="","",[1]!thsiFinD("ths_adjustment_nv_fund",AA$3,$A64))</x:f>
        <x:v>#NAME?</x:v>
      </x:c>
    </x:row>
    <x:row r="65" ht="12" hidden="0">
      <x:c r="A65" s="9" t="n">
        <x:v>46276</x:v>
      </x:c>
      <x:c r="B65" s="106" t="e">
        <x:f aca="0">IF($A65="","",[1]!thsiFinD("ths_adjustment_nv_fund",B$3,$A65))</x:f>
        <x:v>#NAME?</x:v>
      </x:c>
      <x:c r="C65" s="106" t="e">
        <x:f aca="0">IF($A65="","",[1]!thsiFinD("ths_adjustment_nv_fund",C$3,$A65))</x:f>
        <x:v>#NAME?</x:v>
      </x:c>
      <x:c r="D65" s="106" t="e">
        <x:f aca="0">IF($A65="","",[1]!thsiFinD("ths_adjustment_nv_fund",D$3,$A65))</x:f>
        <x:v>#NAME?</x:v>
      </x:c>
      <x:c r="E65" s="106" t="e">
        <x:f aca="0">IF($A65="","",[1]!thsiFinD("ths_adjustment_nv_fund",E$3,$A65))</x:f>
        <x:v>#NAME?</x:v>
      </x:c>
      <x:c r="F65" s="106" t="e">
        <x:f aca="0">IF($A65="","",[1]!thsiFinD("ths_adjustment_nv_fund",F$3,$A65))</x:f>
        <x:v>#NAME?</x:v>
      </x:c>
      <x:c r="G65" s="106" t="e">
        <x:f aca="0">IF($A65="","",[1]!thsiFinD("ths_adjustment_nv_fund",G$3,$A65))</x:f>
        <x:v>#NAME?</x:v>
      </x:c>
      <x:c r="H65" s="106" t="e">
        <x:f aca="0">IF($A65="","",[1]!thsiFinD("ths_adjustment_nv_fund",H$3,$A65))</x:f>
        <x:v>#NAME?</x:v>
      </x:c>
      <x:c r="I65" s="106" t="e">
        <x:f aca="0">IF($A65="","",[1]!thsiFinD("ths_adjustment_nv_fund",I$3,$A65))</x:f>
        <x:v>#NAME?</x:v>
      </x:c>
      <x:c r="J65" s="106" t="e">
        <x:f aca="0">IF($A65="","",[1]!thsiFinD("ths_adjustment_nv_fund",J$3,$A65))</x:f>
        <x:v>#NAME?</x:v>
      </x:c>
      <x:c r="K65" s="106" t="e">
        <x:f aca="0">IF($A65="","",[1]!thsiFinD("ths_adjustment_nv_fund",K$3,$A65))</x:f>
        <x:v>#NAME?</x:v>
      </x:c>
      <x:c r="L65" s="106" t="e">
        <x:f aca="0">IF($A65="","",[1]!thsiFinD("ths_adjustment_nv_fund",L$3,$A65))</x:f>
        <x:v>#NAME?</x:v>
      </x:c>
      <x:c r="M65" s="106" t="e">
        <x:f aca="0">IF($A65="","",[1]!thsiFinD("ths_adjustment_nv_fund",M$3,$A65))</x:f>
        <x:v>#NAME?</x:v>
      </x:c>
      <x:c r="N65" s="106" t="e">
        <x:f aca="0">IF($A65="","",[1]!thsiFinD("ths_adjustment_nv_fund",N$3,$A65))</x:f>
        <x:v>#NAME?</x:v>
      </x:c>
      <x:c r="O65" s="106" t="e">
        <x:f aca="0">IF($A65="","",[1]!thsiFinD("ths_adjustment_nv_fund",O$3,$A65))</x:f>
        <x:v>#NAME?</x:v>
      </x:c>
      <x:c r="P65" s="106" t="e">
        <x:f aca="0">IF($A65="","",[1]!thsiFinD("ths_adjustment_nv_fund",P$3,$A65))</x:f>
        <x:v>#NAME?</x:v>
      </x:c>
      <x:c r="Q65" s="106" t="e">
        <x:f aca="0">IF($A65="","",[1]!thsiFinD("ths_adjustment_nv_fund",Q$3,$A65))</x:f>
        <x:v>#NAME?</x:v>
      </x:c>
      <x:c r="R65" s="106" t="e">
        <x:f aca="0">IF($A65="","",[1]!thsiFinD("ths_adjustment_nv_fund",R$3,$A65))</x:f>
        <x:v>#NAME?</x:v>
      </x:c>
      <x:c r="S65" s="106" t="e">
        <x:f aca="0">IF($A65="","",[1]!thsiFinD("ths_adjustment_nv_fund",S$3,$A65))</x:f>
        <x:v>#NAME?</x:v>
      </x:c>
      <x:c r="T65" s="106" t="e">
        <x:f aca="0">IF($A65="","",[1]!thsiFinD("ths_adjustment_nv_fund",T$3,$A65))</x:f>
        <x:v>#NAME?</x:v>
      </x:c>
      <x:c r="U65" s="106" t="e">
        <x:f aca="0">IF($A65="","",[1]!thsiFinD("ths_adjustment_nv_fund",U$3,$A65))</x:f>
        <x:v>#NAME?</x:v>
      </x:c>
      <x:c r="V65" s="106" t="e">
        <x:f aca="0">IF($A65="","",[1]!thsiFinD("ths_adjustment_nv_fund",V$3,$A65))</x:f>
        <x:v>#NAME?</x:v>
      </x:c>
      <x:c r="W65" s="106" t="e">
        <x:f aca="0">IF($A65="","",[1]!thsiFinD("ths_adjustment_nv_fund",W$3,$A65))</x:f>
        <x:v>#NAME?</x:v>
      </x:c>
      <x:c r="X65" s="106" t="e">
        <x:f aca="0">IF($A65="","",[1]!thsiFinD("ths_adjustment_nv_fund",X$3,$A65))</x:f>
        <x:v>#NAME?</x:v>
      </x:c>
      <x:c r="Y65" s="106" t="e">
        <x:f aca="0">IF($A65="","",[1]!thsiFinD("ths_adjustment_nv_fund",Y$3,$A65))</x:f>
        <x:v>#NAME?</x:v>
      </x:c>
      <x:c r="Z65" t="e">
        <x:f>IF($A65="","",[1]!thsiFinD("ths_adjustment_nv_fund",Z$3,$A65))</x:f>
        <x:v>#NAME?</x:v>
      </x:c>
      <x:c r="AA65" t="e">
        <x:f>IF($A65="","",[1]!thsiFinD("ths_adjustment_nv_fund",AA$3,$A65))</x:f>
        <x:v>#NAME?</x:v>
      </x:c>
    </x:row>
    <x:row r="66" ht="12" hidden="0">
      <x:c r="A66" s="9" t="n">
        <x:v>46279</x:v>
      </x:c>
      <x:c r="B66" s="106" t="e">
        <x:f aca="0">IF($A66="","",[1]!thsiFinD("ths_adjustment_nv_fund",B$3,$A66))</x:f>
        <x:v>#NAME?</x:v>
      </x:c>
      <x:c r="C66" s="106" t="e">
        <x:f aca="0">IF($A66="","",[1]!thsiFinD("ths_adjustment_nv_fund",C$3,$A66))</x:f>
        <x:v>#NAME?</x:v>
      </x:c>
      <x:c r="D66" s="106" t="e">
        <x:f aca="0">IF($A66="","",[1]!thsiFinD("ths_adjustment_nv_fund",D$3,$A66))</x:f>
        <x:v>#NAME?</x:v>
      </x:c>
      <x:c r="E66" s="106" t="e">
        <x:f aca="0">IF($A66="","",[1]!thsiFinD("ths_adjustment_nv_fund",E$3,$A66))</x:f>
        <x:v>#NAME?</x:v>
      </x:c>
      <x:c r="F66" s="106" t="e">
        <x:f aca="0">IF($A66="","",[1]!thsiFinD("ths_adjustment_nv_fund",F$3,$A66))</x:f>
        <x:v>#NAME?</x:v>
      </x:c>
      <x:c r="G66" s="106" t="e">
        <x:f aca="0">IF($A66="","",[1]!thsiFinD("ths_adjustment_nv_fund",G$3,$A66))</x:f>
        <x:v>#NAME?</x:v>
      </x:c>
      <x:c r="H66" s="106" t="e">
        <x:f aca="0">IF($A66="","",[1]!thsiFinD("ths_adjustment_nv_fund",H$3,$A66))</x:f>
        <x:v>#NAME?</x:v>
      </x:c>
      <x:c r="I66" s="106" t="e">
        <x:f aca="0">IF($A66="","",[1]!thsiFinD("ths_adjustment_nv_fund",I$3,$A66))</x:f>
        <x:v>#NAME?</x:v>
      </x:c>
      <x:c r="J66" s="106" t="e">
        <x:f aca="0">IF($A66="","",[1]!thsiFinD("ths_adjustment_nv_fund",J$3,$A66))</x:f>
        <x:v>#NAME?</x:v>
      </x:c>
      <x:c r="K66" s="106" t="e">
        <x:f aca="0">IF($A66="","",[1]!thsiFinD("ths_adjustment_nv_fund",K$3,$A66))</x:f>
        <x:v>#NAME?</x:v>
      </x:c>
      <x:c r="L66" s="106" t="e">
        <x:f aca="0">IF($A66="","",[1]!thsiFinD("ths_adjustment_nv_fund",L$3,$A66))</x:f>
        <x:v>#NAME?</x:v>
      </x:c>
      <x:c r="M66" s="106" t="e">
        <x:f aca="0">IF($A66="","",[1]!thsiFinD("ths_adjustment_nv_fund",M$3,$A66))</x:f>
        <x:v>#NAME?</x:v>
      </x:c>
      <x:c r="N66" s="106" t="e">
        <x:f aca="0">IF($A66="","",[1]!thsiFinD("ths_adjustment_nv_fund",N$3,$A66))</x:f>
        <x:v>#NAME?</x:v>
      </x:c>
      <x:c r="O66" s="106" t="e">
        <x:f aca="0">IF($A66="","",[1]!thsiFinD("ths_adjustment_nv_fund",O$3,$A66))</x:f>
        <x:v>#NAME?</x:v>
      </x:c>
      <x:c r="P66" s="106" t="e">
        <x:f aca="0">IF($A66="","",[1]!thsiFinD("ths_adjustment_nv_fund",P$3,$A66))</x:f>
        <x:v>#NAME?</x:v>
      </x:c>
      <x:c r="Q66" s="106" t="e">
        <x:f aca="0">IF($A66="","",[1]!thsiFinD("ths_adjustment_nv_fund",Q$3,$A66))</x:f>
        <x:v>#NAME?</x:v>
      </x:c>
      <x:c r="R66" s="106" t="e">
        <x:f aca="0">IF($A66="","",[1]!thsiFinD("ths_adjustment_nv_fund",R$3,$A66))</x:f>
        <x:v>#NAME?</x:v>
      </x:c>
      <x:c r="S66" s="106" t="e">
        <x:f aca="0">IF($A66="","",[1]!thsiFinD("ths_adjustment_nv_fund",S$3,$A66))</x:f>
        <x:v>#NAME?</x:v>
      </x:c>
      <x:c r="T66" s="106" t="e">
        <x:f aca="0">IF($A66="","",[1]!thsiFinD("ths_adjustment_nv_fund",T$3,$A66))</x:f>
        <x:v>#NAME?</x:v>
      </x:c>
      <x:c r="U66" s="106" t="e">
        <x:f aca="0">IF($A66="","",[1]!thsiFinD("ths_adjustment_nv_fund",U$3,$A66))</x:f>
        <x:v>#NAME?</x:v>
      </x:c>
      <x:c r="V66" s="106" t="e">
        <x:f aca="0">IF($A66="","",[1]!thsiFinD("ths_adjustment_nv_fund",V$3,$A66))</x:f>
        <x:v>#NAME?</x:v>
      </x:c>
      <x:c r="W66" s="106" t="e">
        <x:f aca="0">IF($A66="","",[1]!thsiFinD("ths_adjustment_nv_fund",W$3,$A66))</x:f>
        <x:v>#NAME?</x:v>
      </x:c>
      <x:c r="X66" s="106" t="e">
        <x:f aca="0">IF($A66="","",[1]!thsiFinD("ths_adjustment_nv_fund",X$3,$A66))</x:f>
        <x:v>#NAME?</x:v>
      </x:c>
      <x:c r="Y66" s="106" t="e">
        <x:f aca="0">IF($A66="","",[1]!thsiFinD("ths_adjustment_nv_fund",Y$3,$A66))</x:f>
        <x:v>#NAME?</x:v>
      </x:c>
      <x:c r="Z66" t="e">
        <x:f>IF($A66="","",[1]!thsiFinD("ths_adjustment_nv_fund",Z$3,$A66))</x:f>
        <x:v>#NAME?</x:v>
      </x:c>
      <x:c r="AA66" t="e">
        <x:f>IF($A66="","",[1]!thsiFinD("ths_adjustment_nv_fund",AA$3,$A66))</x:f>
        <x:v>#NAME?</x:v>
      </x:c>
    </x:row>
    <x:row r="67" ht="12" hidden="0">
      <x:c r="A67" s="9" t="n">
        <x:v>46280</x:v>
      </x:c>
      <x:c r="B67" s="106" t="e">
        <x:f aca="0">IF($A67="","",[1]!thsiFinD("ths_adjustment_nv_fund",B$3,$A67))</x:f>
        <x:v>#NAME?</x:v>
      </x:c>
      <x:c r="C67" s="106" t="e">
        <x:f aca="0">IF($A67="","",[1]!thsiFinD("ths_adjustment_nv_fund",C$3,$A67))</x:f>
        <x:v>#NAME?</x:v>
      </x:c>
      <x:c r="D67" s="106" t="e">
        <x:f aca="0">IF($A67="","",[1]!thsiFinD("ths_adjustment_nv_fund",D$3,$A67))</x:f>
        <x:v>#NAME?</x:v>
      </x:c>
      <x:c r="E67" s="106" t="e">
        <x:f aca="0">IF($A67="","",[1]!thsiFinD("ths_adjustment_nv_fund",E$3,$A67))</x:f>
        <x:v>#NAME?</x:v>
      </x:c>
      <x:c r="F67" s="106" t="e">
        <x:f aca="0">IF($A67="","",[1]!thsiFinD("ths_adjustment_nv_fund",F$3,$A67))</x:f>
        <x:v>#NAME?</x:v>
      </x:c>
      <x:c r="G67" s="106" t="e">
        <x:f aca="0">IF($A67="","",[1]!thsiFinD("ths_adjustment_nv_fund",G$3,$A67))</x:f>
        <x:v>#NAME?</x:v>
      </x:c>
      <x:c r="H67" s="106" t="e">
        <x:f aca="0">IF($A67="","",[1]!thsiFinD("ths_adjustment_nv_fund",H$3,$A67))</x:f>
        <x:v>#NAME?</x:v>
      </x:c>
      <x:c r="I67" s="106" t="e">
        <x:f aca="0">IF($A67="","",[1]!thsiFinD("ths_adjustment_nv_fund",I$3,$A67))</x:f>
        <x:v>#NAME?</x:v>
      </x:c>
      <x:c r="J67" s="106" t="e">
        <x:f aca="0">IF($A67="","",[1]!thsiFinD("ths_adjustment_nv_fund",J$3,$A67))</x:f>
        <x:v>#NAME?</x:v>
      </x:c>
      <x:c r="K67" s="106" t="e">
        <x:f aca="0">IF($A67="","",[1]!thsiFinD("ths_adjustment_nv_fund",K$3,$A67))</x:f>
        <x:v>#NAME?</x:v>
      </x:c>
      <x:c r="L67" s="106" t="e">
        <x:f aca="0">IF($A67="","",[1]!thsiFinD("ths_adjustment_nv_fund",L$3,$A67))</x:f>
        <x:v>#NAME?</x:v>
      </x:c>
      <x:c r="M67" s="106" t="e">
        <x:f aca="0">IF($A67="","",[1]!thsiFinD("ths_adjustment_nv_fund",M$3,$A67))</x:f>
        <x:v>#NAME?</x:v>
      </x:c>
      <x:c r="N67" s="106" t="e">
        <x:f aca="0">IF($A67="","",[1]!thsiFinD("ths_adjustment_nv_fund",N$3,$A67))</x:f>
        <x:v>#NAME?</x:v>
      </x:c>
      <x:c r="O67" s="106" t="e">
        <x:f aca="0">IF($A67="","",[1]!thsiFinD("ths_adjustment_nv_fund",O$3,$A67))</x:f>
        <x:v>#NAME?</x:v>
      </x:c>
      <x:c r="P67" s="106" t="e">
        <x:f aca="0">IF($A67="","",[1]!thsiFinD("ths_adjustment_nv_fund",P$3,$A67))</x:f>
        <x:v>#NAME?</x:v>
      </x:c>
      <x:c r="Q67" s="106" t="e">
        <x:f aca="0">IF($A67="","",[1]!thsiFinD("ths_adjustment_nv_fund",Q$3,$A67))</x:f>
        <x:v>#NAME?</x:v>
      </x:c>
      <x:c r="R67" s="106" t="e">
        <x:f aca="0">IF($A67="","",[1]!thsiFinD("ths_adjustment_nv_fund",R$3,$A67))</x:f>
        <x:v>#NAME?</x:v>
      </x:c>
      <x:c r="S67" s="106" t="e">
        <x:f aca="0">IF($A67="","",[1]!thsiFinD("ths_adjustment_nv_fund",S$3,$A67))</x:f>
        <x:v>#NAME?</x:v>
      </x:c>
      <x:c r="T67" s="106" t="e">
        <x:f aca="0">IF($A67="","",[1]!thsiFinD("ths_adjustment_nv_fund",T$3,$A67))</x:f>
        <x:v>#NAME?</x:v>
      </x:c>
      <x:c r="U67" s="106" t="e">
        <x:f aca="0">IF($A67="","",[1]!thsiFinD("ths_adjustment_nv_fund",U$3,$A67))</x:f>
        <x:v>#NAME?</x:v>
      </x:c>
      <x:c r="V67" s="106" t="e">
        <x:f aca="0">IF($A67="","",[1]!thsiFinD("ths_adjustment_nv_fund",V$3,$A67))</x:f>
        <x:v>#NAME?</x:v>
      </x:c>
      <x:c r="W67" s="106" t="e">
        <x:f aca="0">IF($A67="","",[1]!thsiFinD("ths_adjustment_nv_fund",W$3,$A67))</x:f>
        <x:v>#NAME?</x:v>
      </x:c>
      <x:c r="X67" s="106" t="e">
        <x:f aca="0">IF($A67="","",[1]!thsiFinD("ths_adjustment_nv_fund",X$3,$A67))</x:f>
        <x:v>#NAME?</x:v>
      </x:c>
      <x:c r="Y67" s="106" t="e">
        <x:f aca="0">IF($A67="","",[1]!thsiFinD("ths_adjustment_nv_fund",Y$3,$A67))</x:f>
        <x:v>#NAME?</x:v>
      </x:c>
      <x:c r="Z67" t="e">
        <x:f>IF($A67="","",[1]!thsiFinD("ths_adjustment_nv_fund",Z$3,$A67))</x:f>
        <x:v>#NAME?</x:v>
      </x:c>
      <x:c r="AA67" t="e">
        <x:f>IF($A67="","",[1]!thsiFinD("ths_adjustment_nv_fund",AA$3,$A67))</x:f>
        <x:v>#NAME?</x:v>
      </x:c>
    </x:row>
    <x:row r="68" ht="12" hidden="0">
      <x:c r="A68" s="9" t="n">
        <x:v>46281</x:v>
      </x:c>
      <x:c r="B68" s="106" t="e">
        <x:f aca="0">IF($A68="","",[1]!thsiFinD("ths_adjustment_nv_fund",B$3,$A68))</x:f>
        <x:v>#NAME?</x:v>
      </x:c>
      <x:c r="C68" s="106" t="e">
        <x:f aca="0">IF($A68="","",[1]!thsiFinD("ths_adjustment_nv_fund",C$3,$A68))</x:f>
        <x:v>#NAME?</x:v>
      </x:c>
      <x:c r="D68" s="106" t="e">
        <x:f aca="0">IF($A68="","",[1]!thsiFinD("ths_adjustment_nv_fund",D$3,$A68))</x:f>
        <x:v>#NAME?</x:v>
      </x:c>
      <x:c r="E68" s="106" t="e">
        <x:f aca="0">IF($A68="","",[1]!thsiFinD("ths_adjustment_nv_fund",E$3,$A68))</x:f>
        <x:v>#NAME?</x:v>
      </x:c>
      <x:c r="F68" s="106" t="e">
        <x:f aca="0">IF($A68="","",[1]!thsiFinD("ths_adjustment_nv_fund",F$3,$A68))</x:f>
        <x:v>#NAME?</x:v>
      </x:c>
      <x:c r="G68" s="106" t="e">
        <x:f aca="0">IF($A68="","",[1]!thsiFinD("ths_adjustment_nv_fund",G$3,$A68))</x:f>
        <x:v>#NAME?</x:v>
      </x:c>
      <x:c r="H68" s="106" t="e">
        <x:f aca="0">IF($A68="","",[1]!thsiFinD("ths_adjustment_nv_fund",H$3,$A68))</x:f>
        <x:v>#NAME?</x:v>
      </x:c>
      <x:c r="I68" s="106" t="e">
        <x:f aca="0">IF($A68="","",[1]!thsiFinD("ths_adjustment_nv_fund",I$3,$A68))</x:f>
        <x:v>#NAME?</x:v>
      </x:c>
      <x:c r="J68" s="106" t="e">
        <x:f aca="0">IF($A68="","",[1]!thsiFinD("ths_adjustment_nv_fund",J$3,$A68))</x:f>
        <x:v>#NAME?</x:v>
      </x:c>
      <x:c r="K68" s="106" t="e">
        <x:f aca="0">IF($A68="","",[1]!thsiFinD("ths_adjustment_nv_fund",K$3,$A68))</x:f>
        <x:v>#NAME?</x:v>
      </x:c>
      <x:c r="L68" s="106" t="e">
        <x:f aca="0">IF($A68="","",[1]!thsiFinD("ths_adjustment_nv_fund",L$3,$A68))</x:f>
        <x:v>#NAME?</x:v>
      </x:c>
      <x:c r="M68" s="106" t="e">
        <x:f aca="0">IF($A68="","",[1]!thsiFinD("ths_adjustment_nv_fund",M$3,$A68))</x:f>
        <x:v>#NAME?</x:v>
      </x:c>
      <x:c r="N68" s="106" t="e">
        <x:f aca="0">IF($A68="","",[1]!thsiFinD("ths_adjustment_nv_fund",N$3,$A68))</x:f>
        <x:v>#NAME?</x:v>
      </x:c>
      <x:c r="O68" s="106" t="e">
        <x:f aca="0">IF($A68="","",[1]!thsiFinD("ths_adjustment_nv_fund",O$3,$A68))</x:f>
        <x:v>#NAME?</x:v>
      </x:c>
      <x:c r="P68" s="106" t="e">
        <x:f aca="0">IF($A68="","",[1]!thsiFinD("ths_adjustment_nv_fund",P$3,$A68))</x:f>
        <x:v>#NAME?</x:v>
      </x:c>
      <x:c r="Q68" s="106" t="e">
        <x:f aca="0">IF($A68="","",[1]!thsiFinD("ths_adjustment_nv_fund",Q$3,$A68))</x:f>
        <x:v>#NAME?</x:v>
      </x:c>
      <x:c r="R68" s="106" t="e">
        <x:f aca="0">IF($A68="","",[1]!thsiFinD("ths_adjustment_nv_fund",R$3,$A68))</x:f>
        <x:v>#NAME?</x:v>
      </x:c>
      <x:c r="S68" s="106" t="e">
        <x:f aca="0">IF($A68="","",[1]!thsiFinD("ths_adjustment_nv_fund",S$3,$A68))</x:f>
        <x:v>#NAME?</x:v>
      </x:c>
      <x:c r="T68" s="106" t="e">
        <x:f aca="0">IF($A68="","",[1]!thsiFinD("ths_adjustment_nv_fund",T$3,$A68))</x:f>
        <x:v>#NAME?</x:v>
      </x:c>
      <x:c r="U68" s="106" t="e">
        <x:f aca="0">IF($A68="","",[1]!thsiFinD("ths_adjustment_nv_fund",U$3,$A68))</x:f>
        <x:v>#NAME?</x:v>
      </x:c>
      <x:c r="V68" s="106" t="e">
        <x:f aca="0">IF($A68="","",[1]!thsiFinD("ths_adjustment_nv_fund",V$3,$A68))</x:f>
        <x:v>#NAME?</x:v>
      </x:c>
      <x:c r="W68" s="106" t="e">
        <x:f aca="0">IF($A68="","",[1]!thsiFinD("ths_adjustment_nv_fund",W$3,$A68))</x:f>
        <x:v>#NAME?</x:v>
      </x:c>
      <x:c r="X68" s="106" t="e">
        <x:f aca="0">IF($A68="","",[1]!thsiFinD("ths_adjustment_nv_fund",X$3,$A68))</x:f>
        <x:v>#NAME?</x:v>
      </x:c>
      <x:c r="Y68" s="106" t="e">
        <x:f aca="0">IF($A68="","",[1]!thsiFinD("ths_adjustment_nv_fund",Y$3,$A68))</x:f>
        <x:v>#NAME?</x:v>
      </x:c>
      <x:c r="Z68" t="e">
        <x:f>IF($A68="","",[1]!thsiFinD("ths_adjustment_nv_fund",Z$3,$A68))</x:f>
        <x:v>#NAME?</x:v>
      </x:c>
      <x:c r="AA68" t="e">
        <x:f>IF($A68="","",[1]!thsiFinD("ths_adjustment_nv_fund",AA$3,$A68))</x:f>
        <x:v>#NAME?</x:v>
      </x:c>
    </x:row>
    <x:row r="69" ht="12" hidden="0">
      <x:c r="A69" s="9"/>
      <x:c r="B69" s="106" t="e">
        <x:f aca="0">IF($A69="","",[1]!thsiFinD("ths_adjustment_nv_fund",B$3,$A69))</x:f>
        <x:v>#NAME?</x:v>
      </x:c>
      <x:c r="C69" s="106" t="e">
        <x:f aca="0">IF($A69="","",[1]!thsiFinD("ths_adjustment_nv_fund",C$3,$A69))</x:f>
        <x:v>#NAME?</x:v>
      </x:c>
      <x:c r="D69" s="106" t="e">
        <x:f aca="0">IF($A69="","",[1]!thsiFinD("ths_adjustment_nv_fund",D$3,$A69))</x:f>
        <x:v>#NAME?</x:v>
      </x:c>
      <x:c r="E69" s="106" t="e">
        <x:f aca="0">IF($A69="","",[1]!thsiFinD("ths_adjustment_nv_fund",E$3,$A69))</x:f>
        <x:v>#NAME?</x:v>
      </x:c>
      <x:c r="F69" s="106" t="e">
        <x:f aca="0">IF($A69="","",[1]!thsiFinD("ths_adjustment_nv_fund",F$3,$A69))</x:f>
        <x:v>#NAME?</x:v>
      </x:c>
      <x:c r="G69" s="106" t="e">
        <x:f aca="0">IF($A69="","",[1]!thsiFinD("ths_adjustment_nv_fund",G$3,$A69))</x:f>
        <x:v>#NAME?</x:v>
      </x:c>
      <x:c r="H69" s="106" t="e">
        <x:f aca="0">IF($A69="","",[1]!thsiFinD("ths_adjustment_nv_fund",H$3,$A69))</x:f>
        <x:v>#NAME?</x:v>
      </x:c>
      <x:c r="I69" s="106" t="e">
        <x:f aca="0">IF($A69="","",[1]!thsiFinD("ths_adjustment_nv_fund",I$3,$A69))</x:f>
        <x:v>#NAME?</x:v>
      </x:c>
      <x:c r="J69" s="106" t="e">
        <x:f aca="0">IF($A69="","",[1]!thsiFinD("ths_adjustment_nv_fund",J$3,$A69))</x:f>
        <x:v>#NAME?</x:v>
      </x:c>
      <x:c r="K69" s="106" t="e">
        <x:f aca="0">IF($A69="","",[1]!thsiFinD("ths_adjustment_nv_fund",K$3,$A69))</x:f>
        <x:v>#NAME?</x:v>
      </x:c>
      <x:c r="L69" s="106" t="e">
        <x:f aca="0">IF($A69="","",[1]!thsiFinD("ths_adjustment_nv_fund",L$3,$A69))</x:f>
        <x:v>#NAME?</x:v>
      </x:c>
      <x:c r="M69" s="106" t="e">
        <x:f aca="0">IF($A69="","",[1]!thsiFinD("ths_adjustment_nv_fund",M$3,$A69))</x:f>
        <x:v>#NAME?</x:v>
      </x:c>
      <x:c r="N69" s="106" t="e">
        <x:f aca="0">IF($A69="","",[1]!thsiFinD("ths_adjustment_nv_fund",N$3,$A69))</x:f>
        <x:v>#NAME?</x:v>
      </x:c>
      <x:c r="O69" s="106" t="e">
        <x:f aca="0">IF($A69="","",[1]!thsiFinD("ths_adjustment_nv_fund",O$3,$A69))</x:f>
        <x:v>#NAME?</x:v>
      </x:c>
      <x:c r="P69" s="106" t="e">
        <x:f aca="0">IF($A69="","",[1]!thsiFinD("ths_adjustment_nv_fund",P$3,$A69))</x:f>
        <x:v>#NAME?</x:v>
      </x:c>
      <x:c r="Q69" s="106" t="e">
        <x:f aca="0">IF($A69="","",[1]!thsiFinD("ths_adjustment_nv_fund",Q$3,$A69))</x:f>
        <x:v>#NAME?</x:v>
      </x:c>
      <x:c r="R69" s="106" t="e">
        <x:f aca="0">IF($A69="","",[1]!thsiFinD("ths_adjustment_nv_fund",R$3,$A69))</x:f>
        <x:v>#NAME?</x:v>
      </x:c>
      <x:c r="S69" s="106" t="e">
        <x:f aca="0">IF($A69="","",[1]!thsiFinD("ths_adjustment_nv_fund",S$3,$A69))</x:f>
        <x:v>#NAME?</x:v>
      </x:c>
      <x:c r="T69" s="106" t="e">
        <x:f aca="0">IF($A69="","",[1]!thsiFinD("ths_adjustment_nv_fund",T$3,$A69))</x:f>
        <x:v>#NAME?</x:v>
      </x:c>
      <x:c r="U69" s="106" t="e">
        <x:f aca="0">IF($A69="","",[1]!thsiFinD("ths_adjustment_nv_fund",U$3,$A69))</x:f>
        <x:v>#NAME?</x:v>
      </x:c>
      <x:c r="V69" s="106" t="e">
        <x:f aca="0">IF($A69="","",[1]!thsiFinD("ths_adjustment_nv_fund",V$3,$A69))</x:f>
        <x:v>#NAME?</x:v>
      </x:c>
      <x:c r="W69" s="106" t="e">
        <x:f aca="0">IF($A69="","",[1]!thsiFinD("ths_adjustment_nv_fund",W$3,$A69))</x:f>
        <x:v>#NAME?</x:v>
      </x:c>
      <x:c r="X69" s="106" t="e">
        <x:f aca="0">IF($A69="","",[1]!thsiFinD("ths_adjustment_nv_fund",X$3,$A69))</x:f>
        <x:v>#NAME?</x:v>
      </x:c>
      <x:c r="Y69" s="106" t="e">
        <x:f aca="0">IF($A69="","",[1]!thsiFinD("ths_adjustment_nv_fund",Y$3,$A69))</x:f>
        <x:v>#NAME?</x:v>
      </x:c>
      <x:c r="Z69" t="e">
        <x:f>IF($A69="","",[1]!thsiFinD("ths_adjustment_nv_fund",Z$3,$A69))</x:f>
        <x:v>#NAME?</x:v>
      </x:c>
      <x:c r="AA69" t="e">
        <x:f>IF($A69="","",[1]!thsiFinD("ths_adjustment_nv_fund",AA$3,$A69))</x:f>
        <x:v>#NAME?</x:v>
      </x:c>
    </x:row>
    <x:row r="70" ht="12" hidden="0">
      <x:c r="A70" s="9"/>
      <x:c r="B70" s="106" t="e">
        <x:f aca="0">IF($A70="","",[1]!thsiFinD("ths_adjustment_nv_fund",B$3,$A70))</x:f>
        <x:v>#NAME?</x:v>
      </x:c>
      <x:c r="C70" s="106" t="e">
        <x:f aca="0">IF($A70="","",[1]!thsiFinD("ths_adjustment_nv_fund",C$3,$A70))</x:f>
        <x:v>#NAME?</x:v>
      </x:c>
      <x:c r="D70" s="106" t="e">
        <x:f aca="0">IF($A70="","",[1]!thsiFinD("ths_adjustment_nv_fund",D$3,$A70))</x:f>
        <x:v>#NAME?</x:v>
      </x:c>
      <x:c r="E70" s="106" t="e">
        <x:f aca="0">IF($A70="","",[1]!thsiFinD("ths_adjustment_nv_fund",E$3,$A70))</x:f>
        <x:v>#NAME?</x:v>
      </x:c>
      <x:c r="F70" s="106" t="e">
        <x:f aca="0">IF($A70="","",[1]!thsiFinD("ths_adjustment_nv_fund",F$3,$A70))</x:f>
        <x:v>#NAME?</x:v>
      </x:c>
      <x:c r="G70" s="106" t="e">
        <x:f aca="0">IF($A70="","",[1]!thsiFinD("ths_adjustment_nv_fund",G$3,$A70))</x:f>
        <x:v>#NAME?</x:v>
      </x:c>
      <x:c r="H70" s="106" t="e">
        <x:f aca="0">IF($A70="","",[1]!thsiFinD("ths_adjustment_nv_fund",H$3,$A70))</x:f>
        <x:v>#NAME?</x:v>
      </x:c>
      <x:c r="I70" s="106" t="e">
        <x:f aca="0">IF($A70="","",[1]!thsiFinD("ths_adjustment_nv_fund",I$3,$A70))</x:f>
        <x:v>#NAME?</x:v>
      </x:c>
      <x:c r="J70" s="106" t="e">
        <x:f aca="0">IF($A70="","",[1]!thsiFinD("ths_adjustment_nv_fund",J$3,$A70))</x:f>
        <x:v>#NAME?</x:v>
      </x:c>
      <x:c r="K70" s="106" t="e">
        <x:f aca="0">IF($A70="","",[1]!thsiFinD("ths_adjustment_nv_fund",K$3,$A70))</x:f>
        <x:v>#NAME?</x:v>
      </x:c>
      <x:c r="L70" s="106" t="e">
        <x:f aca="0">IF($A70="","",[1]!thsiFinD("ths_adjustment_nv_fund",L$3,$A70))</x:f>
        <x:v>#NAME?</x:v>
      </x:c>
      <x:c r="M70" s="106" t="e">
        <x:f aca="0">IF($A70="","",[1]!thsiFinD("ths_adjustment_nv_fund",M$3,$A70))</x:f>
        <x:v>#NAME?</x:v>
      </x:c>
      <x:c r="N70" s="106" t="e">
        <x:f aca="0">IF($A70="","",[1]!thsiFinD("ths_adjustment_nv_fund",N$3,$A70))</x:f>
        <x:v>#NAME?</x:v>
      </x:c>
      <x:c r="O70" s="106" t="e">
        <x:f aca="0">IF($A70="","",[1]!thsiFinD("ths_adjustment_nv_fund",O$3,$A70))</x:f>
        <x:v>#NAME?</x:v>
      </x:c>
      <x:c r="P70" s="106" t="e">
        <x:f aca="0">IF($A70="","",[1]!thsiFinD("ths_adjustment_nv_fund",P$3,$A70))</x:f>
        <x:v>#NAME?</x:v>
      </x:c>
      <x:c r="Q70" s="106" t="e">
        <x:f aca="0">IF($A70="","",[1]!thsiFinD("ths_adjustment_nv_fund",Q$3,$A70))</x:f>
        <x:v>#NAME?</x:v>
      </x:c>
      <x:c r="R70" s="106" t="e">
        <x:f aca="0">IF($A70="","",[1]!thsiFinD("ths_adjustment_nv_fund",R$3,$A70))</x:f>
        <x:v>#NAME?</x:v>
      </x:c>
      <x:c r="S70" s="106" t="e">
        <x:f aca="0">IF($A70="","",[1]!thsiFinD("ths_adjustment_nv_fund",S$3,$A70))</x:f>
        <x:v>#NAME?</x:v>
      </x:c>
      <x:c r="T70" s="106" t="e">
        <x:f aca="0">IF($A70="","",[1]!thsiFinD("ths_adjustment_nv_fund",T$3,$A70))</x:f>
        <x:v>#NAME?</x:v>
      </x:c>
      <x:c r="U70" s="106" t="e">
        <x:f aca="0">IF($A70="","",[1]!thsiFinD("ths_adjustment_nv_fund",U$3,$A70))</x:f>
        <x:v>#NAME?</x:v>
      </x:c>
      <x:c r="V70" s="106" t="e">
        <x:f aca="0">IF($A70="","",[1]!thsiFinD("ths_adjustment_nv_fund",V$3,$A70))</x:f>
        <x:v>#NAME?</x:v>
      </x:c>
      <x:c r="W70" s="106" t="e">
        <x:f aca="0">IF($A70="","",[1]!thsiFinD("ths_adjustment_nv_fund",W$3,$A70))</x:f>
        <x:v>#NAME?</x:v>
      </x:c>
      <x:c r="X70" s="106" t="e">
        <x:f aca="0">IF($A70="","",[1]!thsiFinD("ths_adjustment_nv_fund",X$3,$A70))</x:f>
        <x:v>#NAME?</x:v>
      </x:c>
      <x:c r="Y70" s="106" t="e">
        <x:f aca="0">IF($A70="","",[1]!thsiFinD("ths_adjustment_nv_fund",Y$3,$A70))</x:f>
        <x:v>#NAME?</x:v>
      </x:c>
      <x:c r="Z70" t="e">
        <x:f>IF($A70="","",[1]!thsiFinD("ths_adjustment_nv_fund",Z$3,$A70))</x:f>
        <x:v>#NAME?</x:v>
      </x:c>
      <x:c r="AA70" t="e">
        <x:f>IF($A70="","",[1]!thsiFinD("ths_adjustment_nv_fund",AA$3,$A70))</x:f>
        <x:v>#NAME?</x:v>
      </x:c>
    </x:row>
    <x:row r="71" ht="12" hidden="0">
      <x:c r="A71" s="9"/>
      <x:c r="B71" s="106" t="e">
        <x:f aca="0">IF($A71="","",[1]!thsiFinD("ths_adjustment_nv_fund",B$3,$A71))</x:f>
        <x:v>#NAME?</x:v>
      </x:c>
      <x:c r="C71" s="106" t="e">
        <x:f aca="0">IF($A71="","",[1]!thsiFinD("ths_adjustment_nv_fund",C$3,$A71))</x:f>
        <x:v>#NAME?</x:v>
      </x:c>
      <x:c r="D71" s="106" t="e">
        <x:f aca="0">IF($A71="","",[1]!thsiFinD("ths_adjustment_nv_fund",D$3,$A71))</x:f>
        <x:v>#NAME?</x:v>
      </x:c>
      <x:c r="E71" s="106" t="e">
        <x:f aca="0">IF($A71="","",[1]!thsiFinD("ths_adjustment_nv_fund",E$3,$A71))</x:f>
        <x:v>#NAME?</x:v>
      </x:c>
      <x:c r="F71" s="106" t="e">
        <x:f aca="0">IF($A71="","",[1]!thsiFinD("ths_adjustment_nv_fund",F$3,$A71))</x:f>
        <x:v>#NAME?</x:v>
      </x:c>
      <x:c r="G71" s="106" t="e">
        <x:f aca="0">IF($A71="","",[1]!thsiFinD("ths_adjustment_nv_fund",G$3,$A71))</x:f>
        <x:v>#NAME?</x:v>
      </x:c>
      <x:c r="H71" s="106" t="e">
        <x:f aca="0">IF($A71="","",[1]!thsiFinD("ths_adjustment_nv_fund",H$3,$A71))</x:f>
        <x:v>#NAME?</x:v>
      </x:c>
      <x:c r="I71" s="106" t="e">
        <x:f aca="0">IF($A71="","",[1]!thsiFinD("ths_adjustment_nv_fund",I$3,$A71))</x:f>
        <x:v>#NAME?</x:v>
      </x:c>
      <x:c r="J71" s="106" t="e">
        <x:f aca="0">IF($A71="","",[1]!thsiFinD("ths_adjustment_nv_fund",J$3,$A71))</x:f>
        <x:v>#NAME?</x:v>
      </x:c>
      <x:c r="K71" s="106" t="e">
        <x:f aca="0">IF($A71="","",[1]!thsiFinD("ths_adjustment_nv_fund",K$3,$A71))</x:f>
        <x:v>#NAME?</x:v>
      </x:c>
      <x:c r="L71" s="106" t="e">
        <x:f aca="0">IF($A71="","",[1]!thsiFinD("ths_adjustment_nv_fund",L$3,$A71))</x:f>
        <x:v>#NAME?</x:v>
      </x:c>
      <x:c r="M71" s="106" t="e">
        <x:f aca="0">IF($A71="","",[1]!thsiFinD("ths_adjustment_nv_fund",M$3,$A71))</x:f>
        <x:v>#NAME?</x:v>
      </x:c>
      <x:c r="N71" s="106" t="e">
        <x:f aca="0">IF($A71="","",[1]!thsiFinD("ths_adjustment_nv_fund",N$3,$A71))</x:f>
        <x:v>#NAME?</x:v>
      </x:c>
      <x:c r="O71" s="106" t="e">
        <x:f aca="0">IF($A71="","",[1]!thsiFinD("ths_adjustment_nv_fund",O$3,$A71))</x:f>
        <x:v>#NAME?</x:v>
      </x:c>
      <x:c r="P71" s="106" t="e">
        <x:f aca="0">IF($A71="","",[1]!thsiFinD("ths_adjustment_nv_fund",P$3,$A71))</x:f>
        <x:v>#NAME?</x:v>
      </x:c>
      <x:c r="Q71" s="106" t="e">
        <x:f aca="0">IF($A71="","",[1]!thsiFinD("ths_adjustment_nv_fund",Q$3,$A71))</x:f>
        <x:v>#NAME?</x:v>
      </x:c>
      <x:c r="R71" s="106" t="e">
        <x:f aca="0">IF($A71="","",[1]!thsiFinD("ths_adjustment_nv_fund",R$3,$A71))</x:f>
        <x:v>#NAME?</x:v>
      </x:c>
      <x:c r="S71" s="106" t="e">
        <x:f aca="0">IF($A71="","",[1]!thsiFinD("ths_adjustment_nv_fund",S$3,$A71))</x:f>
        <x:v>#NAME?</x:v>
      </x:c>
      <x:c r="T71" s="106" t="e">
        <x:f aca="0">IF($A71="","",[1]!thsiFinD("ths_adjustment_nv_fund",T$3,$A71))</x:f>
        <x:v>#NAME?</x:v>
      </x:c>
      <x:c r="U71" s="106" t="e">
        <x:f aca="0">IF($A71="","",[1]!thsiFinD("ths_adjustment_nv_fund",U$3,$A71))</x:f>
        <x:v>#NAME?</x:v>
      </x:c>
      <x:c r="V71" s="106" t="e">
        <x:f aca="0">IF($A71="","",[1]!thsiFinD("ths_adjustment_nv_fund",V$3,$A71))</x:f>
        <x:v>#NAME?</x:v>
      </x:c>
      <x:c r="W71" s="106" t="e">
        <x:f aca="0">IF($A71="","",[1]!thsiFinD("ths_adjustment_nv_fund",W$3,$A71))</x:f>
        <x:v>#NAME?</x:v>
      </x:c>
      <x:c r="X71" s="106" t="e">
        <x:f aca="0">IF($A71="","",[1]!thsiFinD("ths_adjustment_nv_fund",X$3,$A71))</x:f>
        <x:v>#NAME?</x:v>
      </x:c>
      <x:c r="Y71" s="106" t="e">
        <x:f aca="0">IF($A71="","",[1]!thsiFinD("ths_adjustment_nv_fund",Y$3,$A71))</x:f>
        <x:v>#NAME?</x:v>
      </x:c>
      <x:c r="Z71" t="e">
        <x:f>IF($A71="","",[1]!thsiFinD("ths_adjustment_nv_fund",Z$3,$A71))</x:f>
        <x:v>#NAME?</x:v>
      </x:c>
      <x:c r="AA71" t="e">
        <x:f>IF($A71="","",[1]!thsiFinD("ths_adjustment_nv_fund",AA$3,$A71))</x:f>
        <x:v>#NAME?</x:v>
      </x:c>
    </x:row>
    <x:row r="72" ht="12" hidden="0">
      <x:c r="A72" s="9"/>
      <x:c r="B72" s="106" t="e">
        <x:f aca="0">IF($A72="","",[1]!thsiFinD("ths_adjustment_nv_fund",B$3,$A72))</x:f>
        <x:v>#NAME?</x:v>
      </x:c>
      <x:c r="C72" s="106" t="e">
        <x:f aca="0">IF($A72="","",[1]!thsiFinD("ths_adjustment_nv_fund",C$3,$A72))</x:f>
        <x:v>#NAME?</x:v>
      </x:c>
      <x:c r="D72" s="106" t="e">
        <x:f aca="0">IF($A72="","",[1]!thsiFinD("ths_adjustment_nv_fund",D$3,$A72))</x:f>
        <x:v>#NAME?</x:v>
      </x:c>
      <x:c r="E72" s="106" t="e">
        <x:f aca="0">IF($A72="","",[1]!thsiFinD("ths_adjustment_nv_fund",E$3,$A72))</x:f>
        <x:v>#NAME?</x:v>
      </x:c>
      <x:c r="F72" s="106" t="e">
        <x:f aca="0">IF($A72="","",[1]!thsiFinD("ths_adjustment_nv_fund",F$3,$A72))</x:f>
        <x:v>#NAME?</x:v>
      </x:c>
      <x:c r="G72" s="106" t="e">
        <x:f aca="0">IF($A72="","",[1]!thsiFinD("ths_adjustment_nv_fund",G$3,$A72))</x:f>
        <x:v>#NAME?</x:v>
      </x:c>
      <x:c r="H72" s="106" t="e">
        <x:f aca="0">IF($A72="","",[1]!thsiFinD("ths_adjustment_nv_fund",H$3,$A72))</x:f>
        <x:v>#NAME?</x:v>
      </x:c>
      <x:c r="I72" s="106" t="e">
        <x:f aca="0">IF($A72="","",[1]!thsiFinD("ths_adjustment_nv_fund",I$3,$A72))</x:f>
        <x:v>#NAME?</x:v>
      </x:c>
      <x:c r="J72" s="106" t="e">
        <x:f aca="0">IF($A72="","",[1]!thsiFinD("ths_adjustment_nv_fund",J$3,$A72))</x:f>
        <x:v>#NAME?</x:v>
      </x:c>
      <x:c r="K72" s="106" t="e">
        <x:f aca="0">IF($A72="","",[1]!thsiFinD("ths_adjustment_nv_fund",K$3,$A72))</x:f>
        <x:v>#NAME?</x:v>
      </x:c>
      <x:c r="L72" s="106" t="e">
        <x:f aca="0">IF($A72="","",[1]!thsiFinD("ths_adjustment_nv_fund",L$3,$A72))</x:f>
        <x:v>#NAME?</x:v>
      </x:c>
      <x:c r="M72" s="106" t="e">
        <x:f aca="0">IF($A72="","",[1]!thsiFinD("ths_adjustment_nv_fund",M$3,$A72))</x:f>
        <x:v>#NAME?</x:v>
      </x:c>
      <x:c r="N72" s="106" t="e">
        <x:f aca="0">IF($A72="","",[1]!thsiFinD("ths_adjustment_nv_fund",N$3,$A72))</x:f>
        <x:v>#NAME?</x:v>
      </x:c>
      <x:c r="O72" s="106" t="e">
        <x:f aca="0">IF($A72="","",[1]!thsiFinD("ths_adjustment_nv_fund",O$3,$A72))</x:f>
        <x:v>#NAME?</x:v>
      </x:c>
      <x:c r="P72" s="106" t="e">
        <x:f aca="0">IF($A72="","",[1]!thsiFinD("ths_adjustment_nv_fund",P$3,$A72))</x:f>
        <x:v>#NAME?</x:v>
      </x:c>
      <x:c r="Q72" s="106" t="e">
        <x:f aca="0">IF($A72="","",[1]!thsiFinD("ths_adjustment_nv_fund",Q$3,$A72))</x:f>
        <x:v>#NAME?</x:v>
      </x:c>
      <x:c r="R72" s="106" t="e">
        <x:f aca="0">IF($A72="","",[1]!thsiFinD("ths_adjustment_nv_fund",R$3,$A72))</x:f>
        <x:v>#NAME?</x:v>
      </x:c>
      <x:c r="S72" s="106" t="e">
        <x:f aca="0">IF($A72="","",[1]!thsiFinD("ths_adjustment_nv_fund",S$3,$A72))</x:f>
        <x:v>#NAME?</x:v>
      </x:c>
      <x:c r="T72" s="106" t="e">
        <x:f aca="0">IF($A72="","",[1]!thsiFinD("ths_adjustment_nv_fund",T$3,$A72))</x:f>
        <x:v>#NAME?</x:v>
      </x:c>
      <x:c r="U72" s="106" t="e">
        <x:f aca="0">IF($A72="","",[1]!thsiFinD("ths_adjustment_nv_fund",U$3,$A72))</x:f>
        <x:v>#NAME?</x:v>
      </x:c>
      <x:c r="V72" s="106" t="e">
        <x:f aca="0">IF($A72="","",[1]!thsiFinD("ths_adjustment_nv_fund",V$3,$A72))</x:f>
        <x:v>#NAME?</x:v>
      </x:c>
      <x:c r="W72" s="106" t="e">
        <x:f aca="0">IF($A72="","",[1]!thsiFinD("ths_adjustment_nv_fund",W$3,$A72))</x:f>
        <x:v>#NAME?</x:v>
      </x:c>
      <x:c r="X72" s="106" t="e">
        <x:f aca="0">IF($A72="","",[1]!thsiFinD("ths_adjustment_nv_fund",X$3,$A72))</x:f>
        <x:v>#NAME?</x:v>
      </x:c>
      <x:c r="Y72" s="106" t="e">
        <x:f aca="0">IF($A72="","",[1]!thsiFinD("ths_adjustment_nv_fund",Y$3,$A72))</x:f>
        <x:v>#NAME?</x:v>
      </x:c>
      <x:c r="Z72" t="e">
        <x:f>IF($A72="","",[1]!thsiFinD("ths_adjustment_nv_fund",Z$3,$A72))</x:f>
        <x:v>#NAME?</x:v>
      </x:c>
      <x:c r="AA72" t="e">
        <x:f>IF($A72="","",[1]!thsiFinD("ths_adjustment_nv_fund",AA$3,$A72))</x:f>
        <x:v>#NAME?</x:v>
      </x:c>
    </x:row>
    <x:row r="73" ht="12" hidden="0">
      <x:c r="A73" s="9"/>
      <x:c r="B73" s="106" t="e">
        <x:f aca="0">IF($A73="","",[1]!thsiFinD("ths_adjustment_nv_fund",B$3,$A73))</x:f>
        <x:v>#NAME?</x:v>
      </x:c>
      <x:c r="C73" s="106" t="e">
        <x:f aca="0">IF($A73="","",[1]!thsiFinD("ths_adjustment_nv_fund",C$3,$A73))</x:f>
        <x:v>#NAME?</x:v>
      </x:c>
      <x:c r="D73" s="106" t="e">
        <x:f aca="0">IF($A73="","",[1]!thsiFinD("ths_adjustment_nv_fund",D$3,$A73))</x:f>
        <x:v>#NAME?</x:v>
      </x:c>
      <x:c r="E73" s="106" t="e">
        <x:f aca="0">IF($A73="","",[1]!thsiFinD("ths_adjustment_nv_fund",E$3,$A73))</x:f>
        <x:v>#NAME?</x:v>
      </x:c>
      <x:c r="F73" s="106" t="e">
        <x:f aca="0">IF($A73="","",[1]!thsiFinD("ths_adjustment_nv_fund",F$3,$A73))</x:f>
        <x:v>#NAME?</x:v>
      </x:c>
      <x:c r="G73" s="106" t="e">
        <x:f aca="0">IF($A73="","",[1]!thsiFinD("ths_adjustment_nv_fund",G$3,$A73))</x:f>
        <x:v>#NAME?</x:v>
      </x:c>
      <x:c r="H73" s="106" t="e">
        <x:f aca="0">IF($A73="","",[1]!thsiFinD("ths_adjustment_nv_fund",H$3,$A73))</x:f>
        <x:v>#NAME?</x:v>
      </x:c>
      <x:c r="I73" s="106" t="e">
        <x:f aca="0">IF($A73="","",[1]!thsiFinD("ths_adjustment_nv_fund",I$3,$A73))</x:f>
        <x:v>#NAME?</x:v>
      </x:c>
      <x:c r="J73" s="106" t="e">
        <x:f aca="0">IF($A73="","",[1]!thsiFinD("ths_adjustment_nv_fund",J$3,$A73))</x:f>
        <x:v>#NAME?</x:v>
      </x:c>
      <x:c r="K73" s="106" t="e">
        <x:f aca="0">IF($A73="","",[1]!thsiFinD("ths_adjustment_nv_fund",K$3,$A73))</x:f>
        <x:v>#NAME?</x:v>
      </x:c>
      <x:c r="L73" s="106" t="e">
        <x:f aca="0">IF($A73="","",[1]!thsiFinD("ths_adjustment_nv_fund",L$3,$A73))</x:f>
        <x:v>#NAME?</x:v>
      </x:c>
      <x:c r="M73" s="106" t="e">
        <x:f aca="0">IF($A73="","",[1]!thsiFinD("ths_adjustment_nv_fund",M$3,$A73))</x:f>
        <x:v>#NAME?</x:v>
      </x:c>
      <x:c r="N73" s="106" t="e">
        <x:f aca="0">IF($A73="","",[1]!thsiFinD("ths_adjustment_nv_fund",N$3,$A73))</x:f>
        <x:v>#NAME?</x:v>
      </x:c>
      <x:c r="O73" s="106" t="e">
        <x:f aca="0">IF($A73="","",[1]!thsiFinD("ths_adjustment_nv_fund",O$3,$A73))</x:f>
        <x:v>#NAME?</x:v>
      </x:c>
      <x:c r="P73" s="106" t="e">
        <x:f aca="0">IF($A73="","",[1]!thsiFinD("ths_adjustment_nv_fund",P$3,$A73))</x:f>
        <x:v>#NAME?</x:v>
      </x:c>
      <x:c r="Q73" s="106" t="e">
        <x:f aca="0">IF($A73="","",[1]!thsiFinD("ths_adjustment_nv_fund",Q$3,$A73))</x:f>
        <x:v>#NAME?</x:v>
      </x:c>
      <x:c r="R73" s="106" t="e">
        <x:f aca="0">IF($A73="","",[1]!thsiFinD("ths_adjustment_nv_fund",R$3,$A73))</x:f>
        <x:v>#NAME?</x:v>
      </x:c>
      <x:c r="S73" s="106" t="e">
        <x:f aca="0">IF($A73="","",[1]!thsiFinD("ths_adjustment_nv_fund",S$3,$A73))</x:f>
        <x:v>#NAME?</x:v>
      </x:c>
      <x:c r="T73" s="106" t="e">
        <x:f aca="0">IF($A73="","",[1]!thsiFinD("ths_adjustment_nv_fund",T$3,$A73))</x:f>
        <x:v>#NAME?</x:v>
      </x:c>
      <x:c r="U73" s="106" t="e">
        <x:f aca="0">IF($A73="","",[1]!thsiFinD("ths_adjustment_nv_fund",U$3,$A73))</x:f>
        <x:v>#NAME?</x:v>
      </x:c>
      <x:c r="V73" s="106" t="e">
        <x:f aca="0">IF($A73="","",[1]!thsiFinD("ths_adjustment_nv_fund",V$3,$A73))</x:f>
        <x:v>#NAME?</x:v>
      </x:c>
      <x:c r="W73" s="106" t="e">
        <x:f aca="0">IF($A73="","",[1]!thsiFinD("ths_adjustment_nv_fund",W$3,$A73))</x:f>
        <x:v>#NAME?</x:v>
      </x:c>
      <x:c r="X73" s="106" t="e">
        <x:f aca="0">IF($A73="","",[1]!thsiFinD("ths_adjustment_nv_fund",X$3,$A73))</x:f>
        <x:v>#NAME?</x:v>
      </x:c>
      <x:c r="Y73" s="106" t="e">
        <x:f aca="0">IF($A73="","",[1]!thsiFinD("ths_adjustment_nv_fund",Y$3,$A73))</x:f>
        <x:v>#NAME?</x:v>
      </x:c>
      <x:c r="Z73" t="e">
        <x:f>IF($A73="","",[1]!thsiFinD("ths_adjustment_nv_fund",Z$3,$A73))</x:f>
        <x:v>#NAME?</x:v>
      </x:c>
      <x:c r="AA73" t="e">
        <x:f>IF($A73="","",[1]!thsiFinD("ths_adjustment_nv_fund",AA$3,$A73))</x:f>
        <x:v>#NAME?</x:v>
      </x:c>
    </x:row>
    <x:row r="74" ht="12" hidden="0">
      <x:c r="A74" s="9"/>
      <x:c r="B74" s="106" t="e">
        <x:f aca="0">IF($A74="","",[1]!thsiFinD("ths_adjustment_nv_fund",B$3,$A74))</x:f>
        <x:v>#NAME?</x:v>
      </x:c>
      <x:c r="C74" s="106" t="e">
        <x:f aca="0">IF($A74="","",[1]!thsiFinD("ths_adjustment_nv_fund",C$3,$A74))</x:f>
        <x:v>#NAME?</x:v>
      </x:c>
      <x:c r="D74" s="106" t="e">
        <x:f aca="0">IF($A74="","",[1]!thsiFinD("ths_adjustment_nv_fund",D$3,$A74))</x:f>
        <x:v>#NAME?</x:v>
      </x:c>
      <x:c r="E74" s="106" t="e">
        <x:f aca="0">IF($A74="","",[1]!thsiFinD("ths_adjustment_nv_fund",E$3,$A74))</x:f>
        <x:v>#NAME?</x:v>
      </x:c>
      <x:c r="F74" s="106" t="e">
        <x:f aca="0">IF($A74="","",[1]!thsiFinD("ths_adjustment_nv_fund",F$3,$A74))</x:f>
        <x:v>#NAME?</x:v>
      </x:c>
      <x:c r="G74" s="106" t="e">
        <x:f aca="0">IF($A74="","",[1]!thsiFinD("ths_adjustment_nv_fund",G$3,$A74))</x:f>
        <x:v>#NAME?</x:v>
      </x:c>
      <x:c r="H74" s="106" t="e">
        <x:f aca="0">IF($A74="","",[1]!thsiFinD("ths_adjustment_nv_fund",H$3,$A74))</x:f>
        <x:v>#NAME?</x:v>
      </x:c>
      <x:c r="I74" s="106" t="e">
        <x:f aca="0">IF($A74="","",[1]!thsiFinD("ths_adjustment_nv_fund",I$3,$A74))</x:f>
        <x:v>#NAME?</x:v>
      </x:c>
      <x:c r="J74" s="106" t="e">
        <x:f aca="0">IF($A74="","",[1]!thsiFinD("ths_adjustment_nv_fund",J$3,$A74))</x:f>
        <x:v>#NAME?</x:v>
      </x:c>
      <x:c r="K74" s="106" t="e">
        <x:f aca="0">IF($A74="","",[1]!thsiFinD("ths_adjustment_nv_fund",K$3,$A74))</x:f>
        <x:v>#NAME?</x:v>
      </x:c>
      <x:c r="L74" s="106" t="e">
        <x:f aca="0">IF($A74="","",[1]!thsiFinD("ths_adjustment_nv_fund",L$3,$A74))</x:f>
        <x:v>#NAME?</x:v>
      </x:c>
      <x:c r="M74" s="106" t="e">
        <x:f aca="0">IF($A74="","",[1]!thsiFinD("ths_adjustment_nv_fund",M$3,$A74))</x:f>
        <x:v>#NAME?</x:v>
      </x:c>
      <x:c r="N74" s="106" t="e">
        <x:f aca="0">IF($A74="","",[1]!thsiFinD("ths_adjustment_nv_fund",N$3,$A74))</x:f>
        <x:v>#NAME?</x:v>
      </x:c>
      <x:c r="O74" s="106" t="e">
        <x:f aca="0">IF($A74="","",[1]!thsiFinD("ths_adjustment_nv_fund",O$3,$A74))</x:f>
        <x:v>#NAME?</x:v>
      </x:c>
      <x:c r="P74" s="106" t="e">
        <x:f aca="0">IF($A74="","",[1]!thsiFinD("ths_adjustment_nv_fund",P$3,$A74))</x:f>
        <x:v>#NAME?</x:v>
      </x:c>
      <x:c r="Q74" s="106" t="e">
        <x:f aca="0">IF($A74="","",[1]!thsiFinD("ths_adjustment_nv_fund",Q$3,$A74))</x:f>
        <x:v>#NAME?</x:v>
      </x:c>
      <x:c r="R74" s="106" t="e">
        <x:f aca="0">IF($A74="","",[1]!thsiFinD("ths_adjustment_nv_fund",R$3,$A74))</x:f>
        <x:v>#NAME?</x:v>
      </x:c>
      <x:c r="S74" s="106" t="e">
        <x:f aca="0">IF($A74="","",[1]!thsiFinD("ths_adjustment_nv_fund",S$3,$A74))</x:f>
        <x:v>#NAME?</x:v>
      </x:c>
      <x:c r="T74" s="106" t="e">
        <x:f aca="0">IF($A74="","",[1]!thsiFinD("ths_adjustment_nv_fund",T$3,$A74))</x:f>
        <x:v>#NAME?</x:v>
      </x:c>
      <x:c r="U74" s="106" t="e">
        <x:f aca="0">IF($A74="","",[1]!thsiFinD("ths_adjustment_nv_fund",U$3,$A74))</x:f>
        <x:v>#NAME?</x:v>
      </x:c>
      <x:c r="V74" s="106" t="e">
        <x:f aca="0">IF($A74="","",[1]!thsiFinD("ths_adjustment_nv_fund",V$3,$A74))</x:f>
        <x:v>#NAME?</x:v>
      </x:c>
      <x:c r="W74" s="106" t="e">
        <x:f aca="0">IF($A74="","",[1]!thsiFinD("ths_adjustment_nv_fund",W$3,$A74))</x:f>
        <x:v>#NAME?</x:v>
      </x:c>
      <x:c r="X74" s="106" t="e">
        <x:f aca="0">IF($A74="","",[1]!thsiFinD("ths_adjustment_nv_fund",X$3,$A74))</x:f>
        <x:v>#NAME?</x:v>
      </x:c>
      <x:c r="Y74" s="106" t="e">
        <x:f aca="0">IF($A74="","",[1]!thsiFinD("ths_adjustment_nv_fund",Y$3,$A74))</x:f>
        <x:v>#NAME?</x:v>
      </x:c>
      <x:c r="Z74" t="e">
        <x:f>IF($A74="","",[1]!thsiFinD("ths_adjustment_nv_fund",Z$3,$A74))</x:f>
        <x:v>#NAME?</x:v>
      </x:c>
      <x:c r="AA74" t="e">
        <x:f>IF($A74="","",[1]!thsiFinD("ths_adjustment_nv_fund",AA$3,$A74))</x:f>
        <x:v>#NAME?</x:v>
      </x:c>
    </x:row>
    <x:row r="75" ht="12" hidden="0">
      <x:c r="A75" s="9"/>
      <x:c r="B75" s="106" t="e">
        <x:f aca="0">IF($A75="","",[1]!thsiFinD("ths_adjustment_nv_fund",B$3,$A75))</x:f>
        <x:v>#NAME?</x:v>
      </x:c>
      <x:c r="C75" s="106" t="e">
        <x:f aca="0">IF($A75="","",[1]!thsiFinD("ths_adjustment_nv_fund",C$3,$A75))</x:f>
        <x:v>#NAME?</x:v>
      </x:c>
      <x:c r="D75" s="106" t="e">
        <x:f aca="0">IF($A75="","",[1]!thsiFinD("ths_adjustment_nv_fund",D$3,$A75))</x:f>
        <x:v>#NAME?</x:v>
      </x:c>
      <x:c r="E75" s="106" t="e">
        <x:f aca="0">IF($A75="","",[1]!thsiFinD("ths_adjustment_nv_fund",E$3,$A75))</x:f>
        <x:v>#NAME?</x:v>
      </x:c>
      <x:c r="F75" s="106" t="e">
        <x:f aca="0">IF($A75="","",[1]!thsiFinD("ths_adjustment_nv_fund",F$3,$A75))</x:f>
        <x:v>#NAME?</x:v>
      </x:c>
      <x:c r="G75" s="106" t="e">
        <x:f aca="0">IF($A75="","",[1]!thsiFinD("ths_adjustment_nv_fund",G$3,$A75))</x:f>
        <x:v>#NAME?</x:v>
      </x:c>
      <x:c r="H75" s="106" t="e">
        <x:f aca="0">IF($A75="","",[1]!thsiFinD("ths_adjustment_nv_fund",H$3,$A75))</x:f>
        <x:v>#NAME?</x:v>
      </x:c>
      <x:c r="I75" s="106" t="e">
        <x:f aca="0">IF($A75="","",[1]!thsiFinD("ths_adjustment_nv_fund",I$3,$A75))</x:f>
        <x:v>#NAME?</x:v>
      </x:c>
      <x:c r="J75" s="106" t="e">
        <x:f aca="0">IF($A75="","",[1]!thsiFinD("ths_adjustment_nv_fund",J$3,$A75))</x:f>
        <x:v>#NAME?</x:v>
      </x:c>
      <x:c r="K75" s="106" t="e">
        <x:f aca="0">IF($A75="","",[1]!thsiFinD("ths_adjustment_nv_fund",K$3,$A75))</x:f>
        <x:v>#NAME?</x:v>
      </x:c>
      <x:c r="L75" s="106" t="e">
        <x:f aca="0">IF($A75="","",[1]!thsiFinD("ths_adjustment_nv_fund",L$3,$A75))</x:f>
        <x:v>#NAME?</x:v>
      </x:c>
      <x:c r="M75" s="106" t="e">
        <x:f aca="0">IF($A75="","",[1]!thsiFinD("ths_adjustment_nv_fund",M$3,$A75))</x:f>
        <x:v>#NAME?</x:v>
      </x:c>
      <x:c r="N75" s="106" t="e">
        <x:f aca="0">IF($A75="","",[1]!thsiFinD("ths_adjustment_nv_fund",N$3,$A75))</x:f>
        <x:v>#NAME?</x:v>
      </x:c>
      <x:c r="O75" s="106" t="e">
        <x:f aca="0">IF($A75="","",[1]!thsiFinD("ths_adjustment_nv_fund",O$3,$A75))</x:f>
        <x:v>#NAME?</x:v>
      </x:c>
      <x:c r="P75" s="106" t="e">
        <x:f aca="0">IF($A75="","",[1]!thsiFinD("ths_adjustment_nv_fund",P$3,$A75))</x:f>
        <x:v>#NAME?</x:v>
      </x:c>
      <x:c r="Q75" s="106" t="e">
        <x:f aca="0">IF($A75="","",[1]!thsiFinD("ths_adjustment_nv_fund",Q$3,$A75))</x:f>
        <x:v>#NAME?</x:v>
      </x:c>
      <x:c r="R75" s="106" t="e">
        <x:f aca="0">IF($A75="","",[1]!thsiFinD("ths_adjustment_nv_fund",R$3,$A75))</x:f>
        <x:v>#NAME?</x:v>
      </x:c>
      <x:c r="S75" s="106" t="e">
        <x:f aca="0">IF($A75="","",[1]!thsiFinD("ths_adjustment_nv_fund",S$3,$A75))</x:f>
        <x:v>#NAME?</x:v>
      </x:c>
      <x:c r="T75" s="106" t="e">
        <x:f aca="0">IF($A75="","",[1]!thsiFinD("ths_adjustment_nv_fund",T$3,$A75))</x:f>
        <x:v>#NAME?</x:v>
      </x:c>
      <x:c r="U75" s="106" t="e">
        <x:f aca="0">IF($A75="","",[1]!thsiFinD("ths_adjustment_nv_fund",U$3,$A75))</x:f>
        <x:v>#NAME?</x:v>
      </x:c>
      <x:c r="V75" s="106" t="e">
        <x:f aca="0">IF($A75="","",[1]!thsiFinD("ths_adjustment_nv_fund",V$3,$A75))</x:f>
        <x:v>#NAME?</x:v>
      </x:c>
      <x:c r="W75" s="106" t="e">
        <x:f aca="0">IF($A75="","",[1]!thsiFinD("ths_adjustment_nv_fund",W$3,$A75))</x:f>
        <x:v>#NAME?</x:v>
      </x:c>
      <x:c r="X75" s="106" t="e">
        <x:f aca="0">IF($A75="","",[1]!thsiFinD("ths_adjustment_nv_fund",X$3,$A75))</x:f>
        <x:v>#NAME?</x:v>
      </x:c>
      <x:c r="Y75" s="106" t="e">
        <x:f aca="0">IF($A75="","",[1]!thsiFinD("ths_adjustment_nv_fund",Y$3,$A75))</x:f>
        <x:v>#NAME?</x:v>
      </x:c>
      <x:c r="Z75" t="e">
        <x:f>IF($A75="","",[1]!thsiFinD("ths_adjustment_nv_fund",Z$3,$A75))</x:f>
        <x:v>#NAME?</x:v>
      </x:c>
      <x:c r="AA75" t="e">
        <x:f>IF($A75="","",[1]!thsiFinD("ths_adjustment_nv_fund",AA$3,$A75))</x:f>
        <x:v>#NAME?</x:v>
      </x:c>
    </x:row>
    <x:row r="76" ht="12" hidden="0">
      <x:c r="A76" s="9"/>
      <x:c r="B76" s="106" t="e">
        <x:f aca="0">IF($A76="","",[1]!thsiFinD("ths_adjustment_nv_fund",B$3,$A76))</x:f>
        <x:v>#NAME?</x:v>
      </x:c>
      <x:c r="C76" s="106" t="e">
        <x:f aca="0">IF($A76="","",[1]!thsiFinD("ths_adjustment_nv_fund",C$3,$A76))</x:f>
        <x:v>#NAME?</x:v>
      </x:c>
      <x:c r="D76" s="106" t="e">
        <x:f aca="0">IF($A76="","",[1]!thsiFinD("ths_adjustment_nv_fund",D$3,$A76))</x:f>
        <x:v>#NAME?</x:v>
      </x:c>
      <x:c r="E76" s="106" t="e">
        <x:f aca="0">IF($A76="","",[1]!thsiFinD("ths_adjustment_nv_fund",E$3,$A76))</x:f>
        <x:v>#NAME?</x:v>
      </x:c>
      <x:c r="F76" s="106" t="e">
        <x:f aca="0">IF($A76="","",[1]!thsiFinD("ths_adjustment_nv_fund",F$3,$A76))</x:f>
        <x:v>#NAME?</x:v>
      </x:c>
      <x:c r="G76" s="106" t="e">
        <x:f aca="0">IF($A76="","",[1]!thsiFinD("ths_adjustment_nv_fund",G$3,$A76))</x:f>
        <x:v>#NAME?</x:v>
      </x:c>
      <x:c r="H76" s="106" t="e">
        <x:f aca="0">IF($A76="","",[1]!thsiFinD("ths_adjustment_nv_fund",H$3,$A76))</x:f>
        <x:v>#NAME?</x:v>
      </x:c>
      <x:c r="I76" s="106" t="e">
        <x:f aca="0">IF($A76="","",[1]!thsiFinD("ths_adjustment_nv_fund",I$3,$A76))</x:f>
        <x:v>#NAME?</x:v>
      </x:c>
      <x:c r="J76" s="106" t="e">
        <x:f aca="0">IF($A76="","",[1]!thsiFinD("ths_adjustment_nv_fund",J$3,$A76))</x:f>
        <x:v>#NAME?</x:v>
      </x:c>
      <x:c r="K76" s="106" t="e">
        <x:f aca="0">IF($A76="","",[1]!thsiFinD("ths_adjustment_nv_fund",K$3,$A76))</x:f>
        <x:v>#NAME?</x:v>
      </x:c>
      <x:c r="L76" s="106" t="e">
        <x:f aca="0">IF($A76="","",[1]!thsiFinD("ths_adjustment_nv_fund",L$3,$A76))</x:f>
        <x:v>#NAME?</x:v>
      </x:c>
      <x:c r="M76" s="106" t="e">
        <x:f aca="0">IF($A76="","",[1]!thsiFinD("ths_adjustment_nv_fund",M$3,$A76))</x:f>
        <x:v>#NAME?</x:v>
      </x:c>
      <x:c r="N76" s="106" t="e">
        <x:f aca="0">IF($A76="","",[1]!thsiFinD("ths_adjustment_nv_fund",N$3,$A76))</x:f>
        <x:v>#NAME?</x:v>
      </x:c>
      <x:c r="O76" s="106" t="e">
        <x:f aca="0">IF($A76="","",[1]!thsiFinD("ths_adjustment_nv_fund",O$3,$A76))</x:f>
        <x:v>#NAME?</x:v>
      </x:c>
      <x:c r="P76" s="106" t="e">
        <x:f aca="0">IF($A76="","",[1]!thsiFinD("ths_adjustment_nv_fund",P$3,$A76))</x:f>
        <x:v>#NAME?</x:v>
      </x:c>
      <x:c r="Q76" s="106" t="e">
        <x:f aca="0">IF($A76="","",[1]!thsiFinD("ths_adjustment_nv_fund",Q$3,$A76))</x:f>
        <x:v>#NAME?</x:v>
      </x:c>
      <x:c r="R76" s="106" t="e">
        <x:f aca="0">IF($A76="","",[1]!thsiFinD("ths_adjustment_nv_fund",R$3,$A76))</x:f>
        <x:v>#NAME?</x:v>
      </x:c>
      <x:c r="S76" s="106" t="e">
        <x:f aca="0">IF($A76="","",[1]!thsiFinD("ths_adjustment_nv_fund",S$3,$A76))</x:f>
        <x:v>#NAME?</x:v>
      </x:c>
      <x:c r="T76" s="106" t="e">
        <x:f aca="0">IF($A76="","",[1]!thsiFinD("ths_adjustment_nv_fund",T$3,$A76))</x:f>
        <x:v>#NAME?</x:v>
      </x:c>
      <x:c r="U76" s="106" t="e">
        <x:f aca="0">IF($A76="","",[1]!thsiFinD("ths_adjustment_nv_fund",U$3,$A76))</x:f>
        <x:v>#NAME?</x:v>
      </x:c>
      <x:c r="V76" s="106" t="e">
        <x:f aca="0">IF($A76="","",[1]!thsiFinD("ths_adjustment_nv_fund",V$3,$A76))</x:f>
        <x:v>#NAME?</x:v>
      </x:c>
      <x:c r="W76" s="106" t="e">
        <x:f aca="0">IF($A76="","",[1]!thsiFinD("ths_adjustment_nv_fund",W$3,$A76))</x:f>
        <x:v>#NAME?</x:v>
      </x:c>
      <x:c r="X76" s="106" t="e">
        <x:f aca="0">IF($A76="","",[1]!thsiFinD("ths_adjustment_nv_fund",X$3,$A76))</x:f>
        <x:v>#NAME?</x:v>
      </x:c>
      <x:c r="Y76" s="106" t="e">
        <x:f aca="0">IF($A76="","",[1]!thsiFinD("ths_adjustment_nv_fund",Y$3,$A76))</x:f>
        <x:v>#NAME?</x:v>
      </x:c>
      <x:c r="Z76" t="e">
        <x:f>IF($A76="","",[1]!thsiFinD("ths_adjustment_nv_fund",Z$3,$A76))</x:f>
        <x:v>#NAME?</x:v>
      </x:c>
      <x:c r="AA76" t="e">
        <x:f>IF($A76="","",[1]!thsiFinD("ths_adjustment_nv_fund",AA$3,$A76))</x:f>
        <x:v>#NAME?</x:v>
      </x:c>
    </x:row>
    <x:row r="77" ht="12" hidden="0">
      <x:c r="A77" s="9"/>
      <x:c r="B77" s="106" t="e">
        <x:f aca="0">IF($A77="","",[1]!thsiFinD("ths_adjustment_nv_fund",B$3,$A77))</x:f>
        <x:v>#NAME?</x:v>
      </x:c>
      <x:c r="C77" s="106" t="e">
        <x:f aca="0">IF($A77="","",[1]!thsiFinD("ths_adjustment_nv_fund",C$3,$A77))</x:f>
        <x:v>#NAME?</x:v>
      </x:c>
      <x:c r="D77" s="106" t="e">
        <x:f aca="0">IF($A77="","",[1]!thsiFinD("ths_adjustment_nv_fund",D$3,$A77))</x:f>
        <x:v>#NAME?</x:v>
      </x:c>
      <x:c r="E77" s="106" t="e">
        <x:f aca="0">IF($A77="","",[1]!thsiFinD("ths_adjustment_nv_fund",E$3,$A77))</x:f>
        <x:v>#NAME?</x:v>
      </x:c>
      <x:c r="F77" s="106" t="e">
        <x:f aca="0">IF($A77="","",[1]!thsiFinD("ths_adjustment_nv_fund",F$3,$A77))</x:f>
        <x:v>#NAME?</x:v>
      </x:c>
      <x:c r="G77" s="106" t="e">
        <x:f aca="0">IF($A77="","",[1]!thsiFinD("ths_adjustment_nv_fund",G$3,$A77))</x:f>
        <x:v>#NAME?</x:v>
      </x:c>
      <x:c r="H77" s="106" t="e">
        <x:f aca="0">IF($A77="","",[1]!thsiFinD("ths_adjustment_nv_fund",H$3,$A77))</x:f>
        <x:v>#NAME?</x:v>
      </x:c>
      <x:c r="I77" s="106" t="e">
        <x:f aca="0">IF($A77="","",[1]!thsiFinD("ths_adjustment_nv_fund",I$3,$A77))</x:f>
        <x:v>#NAME?</x:v>
      </x:c>
      <x:c r="J77" s="106" t="e">
        <x:f aca="0">IF($A77="","",[1]!thsiFinD("ths_adjustment_nv_fund",J$3,$A77))</x:f>
        <x:v>#NAME?</x:v>
      </x:c>
      <x:c r="K77" s="106" t="e">
        <x:f aca="0">IF($A77="","",[1]!thsiFinD("ths_adjustment_nv_fund",K$3,$A77))</x:f>
        <x:v>#NAME?</x:v>
      </x:c>
      <x:c r="L77" s="106" t="e">
        <x:f aca="0">IF($A77="","",[1]!thsiFinD("ths_adjustment_nv_fund",L$3,$A77))</x:f>
        <x:v>#NAME?</x:v>
      </x:c>
      <x:c r="M77" s="106" t="e">
        <x:f aca="0">IF($A77="","",[1]!thsiFinD("ths_adjustment_nv_fund",M$3,$A77))</x:f>
        <x:v>#NAME?</x:v>
      </x:c>
      <x:c r="N77" s="106" t="e">
        <x:f aca="0">IF($A77="","",[1]!thsiFinD("ths_adjustment_nv_fund",N$3,$A77))</x:f>
        <x:v>#NAME?</x:v>
      </x:c>
      <x:c r="O77" s="106" t="e">
        <x:f aca="0">IF($A77="","",[1]!thsiFinD("ths_adjustment_nv_fund",O$3,$A77))</x:f>
        <x:v>#NAME?</x:v>
      </x:c>
      <x:c r="P77" s="106" t="e">
        <x:f aca="0">IF($A77="","",[1]!thsiFinD("ths_adjustment_nv_fund",P$3,$A77))</x:f>
        <x:v>#NAME?</x:v>
      </x:c>
      <x:c r="Q77" s="106" t="e">
        <x:f aca="0">IF($A77="","",[1]!thsiFinD("ths_adjustment_nv_fund",Q$3,$A77))</x:f>
        <x:v>#NAME?</x:v>
      </x:c>
      <x:c r="R77" s="106" t="e">
        <x:f aca="0">IF($A77="","",[1]!thsiFinD("ths_adjustment_nv_fund",R$3,$A77))</x:f>
        <x:v>#NAME?</x:v>
      </x:c>
      <x:c r="S77" s="106" t="e">
        <x:f aca="0">IF($A77="","",[1]!thsiFinD("ths_adjustment_nv_fund",S$3,$A77))</x:f>
        <x:v>#NAME?</x:v>
      </x:c>
      <x:c r="T77" s="106" t="e">
        <x:f aca="0">IF($A77="","",[1]!thsiFinD("ths_adjustment_nv_fund",T$3,$A77))</x:f>
        <x:v>#NAME?</x:v>
      </x:c>
      <x:c r="U77" s="106" t="e">
        <x:f aca="0">IF($A77="","",[1]!thsiFinD("ths_adjustment_nv_fund",U$3,$A77))</x:f>
        <x:v>#NAME?</x:v>
      </x:c>
      <x:c r="V77" s="106" t="e">
        <x:f aca="0">IF($A77="","",[1]!thsiFinD("ths_adjustment_nv_fund",V$3,$A77))</x:f>
        <x:v>#NAME?</x:v>
      </x:c>
      <x:c r="W77" s="106" t="e">
        <x:f aca="0">IF($A77="","",[1]!thsiFinD("ths_adjustment_nv_fund",W$3,$A77))</x:f>
        <x:v>#NAME?</x:v>
      </x:c>
      <x:c r="X77" s="106" t="e">
        <x:f aca="0">IF($A77="","",[1]!thsiFinD("ths_adjustment_nv_fund",X$3,$A77))</x:f>
        <x:v>#NAME?</x:v>
      </x:c>
      <x:c r="Y77" s="106" t="e">
        <x:f aca="0">IF($A77="","",[1]!thsiFinD("ths_adjustment_nv_fund",Y$3,$A77))</x:f>
        <x:v>#NAME?</x:v>
      </x:c>
      <x:c r="Z77" t="e">
        <x:f>IF($A77="","",[1]!thsiFinD("ths_adjustment_nv_fund",Z$3,$A77))</x:f>
        <x:v>#NAME?</x:v>
      </x:c>
      <x:c r="AA77" t="e">
        <x:f>IF($A77="","",[1]!thsiFinD("ths_adjustment_nv_fund",AA$3,$A77))</x:f>
        <x:v>#NAME?</x:v>
      </x:c>
    </x:row>
    <x:row r="78" ht="12" hidden="0">
      <x:c r="A78" s="9"/>
      <x:c r="B78" s="106" t="e">
        <x:f aca="0">IF($A78="","",[1]!thsiFinD("ths_adjustment_nv_fund",B$3,$A78))</x:f>
        <x:v>#NAME?</x:v>
      </x:c>
      <x:c r="C78" s="106" t="e">
        <x:f aca="0">IF($A78="","",[1]!thsiFinD("ths_adjustment_nv_fund",C$3,$A78))</x:f>
        <x:v>#NAME?</x:v>
      </x:c>
      <x:c r="D78" s="106" t="e">
        <x:f aca="0">IF($A78="","",[1]!thsiFinD("ths_adjustment_nv_fund",D$3,$A78))</x:f>
        <x:v>#NAME?</x:v>
      </x:c>
      <x:c r="E78" s="106" t="e">
        <x:f aca="0">IF($A78="","",[1]!thsiFinD("ths_adjustment_nv_fund",E$3,$A78))</x:f>
        <x:v>#NAME?</x:v>
      </x:c>
      <x:c r="F78" s="106" t="e">
        <x:f aca="0">IF($A78="","",[1]!thsiFinD("ths_adjustment_nv_fund",F$3,$A78))</x:f>
        <x:v>#NAME?</x:v>
      </x:c>
      <x:c r="G78" s="106" t="e">
        <x:f aca="0">IF($A78="","",[1]!thsiFinD("ths_adjustment_nv_fund",G$3,$A78))</x:f>
        <x:v>#NAME?</x:v>
      </x:c>
      <x:c r="H78" s="106" t="e">
        <x:f aca="0">IF($A78="","",[1]!thsiFinD("ths_adjustment_nv_fund",H$3,$A78))</x:f>
        <x:v>#NAME?</x:v>
      </x:c>
      <x:c r="I78" s="106" t="e">
        <x:f aca="0">IF($A78="","",[1]!thsiFinD("ths_adjustment_nv_fund",I$3,$A78))</x:f>
        <x:v>#NAME?</x:v>
      </x:c>
      <x:c r="J78" s="106" t="e">
        <x:f aca="0">IF($A78="","",[1]!thsiFinD("ths_adjustment_nv_fund",J$3,$A78))</x:f>
        <x:v>#NAME?</x:v>
      </x:c>
      <x:c r="K78" s="106" t="e">
        <x:f aca="0">IF($A78="","",[1]!thsiFinD("ths_adjustment_nv_fund",K$3,$A78))</x:f>
        <x:v>#NAME?</x:v>
      </x:c>
      <x:c r="L78" s="106" t="e">
        <x:f aca="0">IF($A78="","",[1]!thsiFinD("ths_adjustment_nv_fund",L$3,$A78))</x:f>
        <x:v>#NAME?</x:v>
      </x:c>
      <x:c r="M78" s="106" t="e">
        <x:f aca="0">IF($A78="","",[1]!thsiFinD("ths_adjustment_nv_fund",M$3,$A78))</x:f>
        <x:v>#NAME?</x:v>
      </x:c>
      <x:c r="N78" s="106" t="e">
        <x:f aca="0">IF($A78="","",[1]!thsiFinD("ths_adjustment_nv_fund",N$3,$A78))</x:f>
        <x:v>#NAME?</x:v>
      </x:c>
      <x:c r="O78" s="106" t="e">
        <x:f aca="0">IF($A78="","",[1]!thsiFinD("ths_adjustment_nv_fund",O$3,$A78))</x:f>
        <x:v>#NAME?</x:v>
      </x:c>
      <x:c r="P78" s="106" t="e">
        <x:f aca="0">IF($A78="","",[1]!thsiFinD("ths_adjustment_nv_fund",P$3,$A78))</x:f>
        <x:v>#NAME?</x:v>
      </x:c>
      <x:c r="Q78" s="106" t="e">
        <x:f aca="0">IF($A78="","",[1]!thsiFinD("ths_adjustment_nv_fund",Q$3,$A78))</x:f>
        <x:v>#NAME?</x:v>
      </x:c>
      <x:c r="R78" s="106" t="e">
        <x:f aca="0">IF($A78="","",[1]!thsiFinD("ths_adjustment_nv_fund",R$3,$A78))</x:f>
        <x:v>#NAME?</x:v>
      </x:c>
      <x:c r="S78" s="106" t="e">
        <x:f aca="0">IF($A78="","",[1]!thsiFinD("ths_adjustment_nv_fund",S$3,$A78))</x:f>
        <x:v>#NAME?</x:v>
      </x:c>
      <x:c r="T78" s="106" t="e">
        <x:f aca="0">IF($A78="","",[1]!thsiFinD("ths_adjustment_nv_fund",T$3,$A78))</x:f>
        <x:v>#NAME?</x:v>
      </x:c>
      <x:c r="U78" s="106" t="e">
        <x:f aca="0">IF($A78="","",[1]!thsiFinD("ths_adjustment_nv_fund",U$3,$A78))</x:f>
        <x:v>#NAME?</x:v>
      </x:c>
      <x:c r="V78" s="106" t="e">
        <x:f aca="0">IF($A78="","",[1]!thsiFinD("ths_adjustment_nv_fund",V$3,$A78))</x:f>
        <x:v>#NAME?</x:v>
      </x:c>
      <x:c r="W78" s="106" t="e">
        <x:f aca="0">IF($A78="","",[1]!thsiFinD("ths_adjustment_nv_fund",W$3,$A78))</x:f>
        <x:v>#NAME?</x:v>
      </x:c>
      <x:c r="X78" s="106" t="e">
        <x:f aca="0">IF($A78="","",[1]!thsiFinD("ths_adjustment_nv_fund",X$3,$A78))</x:f>
        <x:v>#NAME?</x:v>
      </x:c>
      <x:c r="Y78" s="106" t="e">
        <x:f aca="0">IF($A78="","",[1]!thsiFinD("ths_adjustment_nv_fund",Y$3,$A78))</x:f>
        <x:v>#NAME?</x:v>
      </x:c>
      <x:c r="Z78" t="e">
        <x:f>IF($A78="","",[1]!thsiFinD("ths_adjustment_nv_fund",Z$3,$A78))</x:f>
        <x:v>#NAME?</x:v>
      </x:c>
      <x:c r="AA78" t="e">
        <x:f>IF($A78="","",[1]!thsiFinD("ths_adjustment_nv_fund",AA$3,$A78))</x:f>
        <x:v>#NAME?</x:v>
      </x:c>
    </x:row>
    <x:row r="79" ht="12" hidden="0">
      <x:c r="A79" s="9"/>
      <x:c r="B79" s="106" t="e">
        <x:f aca="0">IF($A79="","",[1]!thsiFinD("ths_adjustment_nv_fund",B$3,$A79))</x:f>
        <x:v>#NAME?</x:v>
      </x:c>
      <x:c r="C79" s="106" t="e">
        <x:f aca="0">IF($A79="","",[1]!thsiFinD("ths_adjustment_nv_fund",C$3,$A79))</x:f>
        <x:v>#NAME?</x:v>
      </x:c>
      <x:c r="D79" s="106" t="e">
        <x:f aca="0">IF($A79="","",[1]!thsiFinD("ths_adjustment_nv_fund",D$3,$A79))</x:f>
        <x:v>#NAME?</x:v>
      </x:c>
      <x:c r="E79" s="106" t="e">
        <x:f aca="0">IF($A79="","",[1]!thsiFinD("ths_adjustment_nv_fund",E$3,$A79))</x:f>
        <x:v>#NAME?</x:v>
      </x:c>
      <x:c r="F79" s="106" t="e">
        <x:f aca="0">IF($A79="","",[1]!thsiFinD("ths_adjustment_nv_fund",F$3,$A79))</x:f>
        <x:v>#NAME?</x:v>
      </x:c>
      <x:c r="G79" s="106" t="e">
        <x:f aca="0">IF($A79="","",[1]!thsiFinD("ths_adjustment_nv_fund",G$3,$A79))</x:f>
        <x:v>#NAME?</x:v>
      </x:c>
      <x:c r="H79" s="106" t="e">
        <x:f aca="0">IF($A79="","",[1]!thsiFinD("ths_adjustment_nv_fund",H$3,$A79))</x:f>
        <x:v>#NAME?</x:v>
      </x:c>
      <x:c r="I79" s="106" t="e">
        <x:f aca="0">IF($A79="","",[1]!thsiFinD("ths_adjustment_nv_fund",I$3,$A79))</x:f>
        <x:v>#NAME?</x:v>
      </x:c>
      <x:c r="J79" s="106" t="e">
        <x:f aca="0">IF($A79="","",[1]!thsiFinD("ths_adjustment_nv_fund",J$3,$A79))</x:f>
        <x:v>#NAME?</x:v>
      </x:c>
      <x:c r="K79" s="106" t="e">
        <x:f aca="0">IF($A79="","",[1]!thsiFinD("ths_adjustment_nv_fund",K$3,$A79))</x:f>
        <x:v>#NAME?</x:v>
      </x:c>
      <x:c r="L79" s="106" t="e">
        <x:f aca="0">IF($A79="","",[1]!thsiFinD("ths_adjustment_nv_fund",L$3,$A79))</x:f>
        <x:v>#NAME?</x:v>
      </x:c>
      <x:c r="M79" s="106" t="e">
        <x:f aca="0">IF($A79="","",[1]!thsiFinD("ths_adjustment_nv_fund",M$3,$A79))</x:f>
        <x:v>#NAME?</x:v>
      </x:c>
      <x:c r="N79" s="106" t="e">
        <x:f aca="0">IF($A79="","",[1]!thsiFinD("ths_adjustment_nv_fund",N$3,$A79))</x:f>
        <x:v>#NAME?</x:v>
      </x:c>
      <x:c r="O79" s="106" t="e">
        <x:f aca="0">IF($A79="","",[1]!thsiFinD("ths_adjustment_nv_fund",O$3,$A79))</x:f>
        <x:v>#NAME?</x:v>
      </x:c>
      <x:c r="P79" s="106" t="e">
        <x:f aca="0">IF($A79="","",[1]!thsiFinD("ths_adjustment_nv_fund",P$3,$A79))</x:f>
        <x:v>#NAME?</x:v>
      </x:c>
      <x:c r="Q79" s="106" t="e">
        <x:f aca="0">IF($A79="","",[1]!thsiFinD("ths_adjustment_nv_fund",Q$3,$A79))</x:f>
        <x:v>#NAME?</x:v>
      </x:c>
      <x:c r="R79" s="106" t="e">
        <x:f aca="0">IF($A79="","",[1]!thsiFinD("ths_adjustment_nv_fund",R$3,$A79))</x:f>
        <x:v>#NAME?</x:v>
      </x:c>
      <x:c r="S79" s="106" t="e">
        <x:f aca="0">IF($A79="","",[1]!thsiFinD("ths_adjustment_nv_fund",S$3,$A79))</x:f>
        <x:v>#NAME?</x:v>
      </x:c>
      <x:c r="T79" s="106" t="e">
        <x:f aca="0">IF($A79="","",[1]!thsiFinD("ths_adjustment_nv_fund",T$3,$A79))</x:f>
        <x:v>#NAME?</x:v>
      </x:c>
      <x:c r="U79" s="106" t="e">
        <x:f aca="0">IF($A79="","",[1]!thsiFinD("ths_adjustment_nv_fund",U$3,$A79))</x:f>
        <x:v>#NAME?</x:v>
      </x:c>
      <x:c r="V79" s="106" t="e">
        <x:f aca="0">IF($A79="","",[1]!thsiFinD("ths_adjustment_nv_fund",V$3,$A79))</x:f>
        <x:v>#NAME?</x:v>
      </x:c>
      <x:c r="W79" s="106" t="e">
        <x:f aca="0">IF($A79="","",[1]!thsiFinD("ths_adjustment_nv_fund",W$3,$A79))</x:f>
        <x:v>#NAME?</x:v>
      </x:c>
      <x:c r="X79" s="106" t="e">
        <x:f aca="0">IF($A79="","",[1]!thsiFinD("ths_adjustment_nv_fund",X$3,$A79))</x:f>
        <x:v>#NAME?</x:v>
      </x:c>
      <x:c r="Y79" s="106" t="e">
        <x:f aca="0">IF($A79="","",[1]!thsiFinD("ths_adjustment_nv_fund",Y$3,$A79))</x:f>
        <x:v>#NAME?</x:v>
      </x:c>
      <x:c r="Z79" t="e">
        <x:f>IF($A79="","",[1]!thsiFinD("ths_adjustment_nv_fund",Z$3,$A79))</x:f>
        <x:v>#NAME?</x:v>
      </x:c>
      <x:c r="AA79" t="e">
        <x:f>IF($A79="","",[1]!thsiFinD("ths_adjustment_nv_fund",AA$3,$A79))</x:f>
        <x:v>#NAME?</x:v>
      </x:c>
    </x:row>
    <x:row r="80" ht="12" hidden="0">
      <x:c r="A80" s="9"/>
      <x:c r="B80" s="106" t="e">
        <x:f aca="0">IF($A80="","",[1]!thsiFinD("ths_adjustment_nv_fund",B$3,$A80))</x:f>
        <x:v>#NAME?</x:v>
      </x:c>
      <x:c r="C80" s="106" t="e">
        <x:f aca="0">IF($A80="","",[1]!thsiFinD("ths_adjustment_nv_fund",C$3,$A80))</x:f>
        <x:v>#NAME?</x:v>
      </x:c>
      <x:c r="D80" s="106" t="e">
        <x:f aca="0">IF($A80="","",[1]!thsiFinD("ths_adjustment_nv_fund",D$3,$A80))</x:f>
        <x:v>#NAME?</x:v>
      </x:c>
      <x:c r="E80" s="106" t="e">
        <x:f aca="0">IF($A80="","",[1]!thsiFinD("ths_adjustment_nv_fund",E$3,$A80))</x:f>
        <x:v>#NAME?</x:v>
      </x:c>
      <x:c r="F80" s="106" t="e">
        <x:f aca="0">IF($A80="","",[1]!thsiFinD("ths_adjustment_nv_fund",F$3,$A80))</x:f>
        <x:v>#NAME?</x:v>
      </x:c>
      <x:c r="G80" s="106" t="e">
        <x:f aca="0">IF($A80="","",[1]!thsiFinD("ths_adjustment_nv_fund",G$3,$A80))</x:f>
        <x:v>#NAME?</x:v>
      </x:c>
      <x:c r="H80" s="106" t="e">
        <x:f aca="0">IF($A80="","",[1]!thsiFinD("ths_adjustment_nv_fund",H$3,$A80))</x:f>
        <x:v>#NAME?</x:v>
      </x:c>
      <x:c r="I80" s="106" t="e">
        <x:f aca="0">IF($A80="","",[1]!thsiFinD("ths_adjustment_nv_fund",I$3,$A80))</x:f>
        <x:v>#NAME?</x:v>
      </x:c>
      <x:c r="J80" s="106" t="e">
        <x:f aca="0">IF($A80="","",[1]!thsiFinD("ths_adjustment_nv_fund",J$3,$A80))</x:f>
        <x:v>#NAME?</x:v>
      </x:c>
      <x:c r="K80" s="106" t="e">
        <x:f aca="0">IF($A80="","",[1]!thsiFinD("ths_adjustment_nv_fund",K$3,$A80))</x:f>
        <x:v>#NAME?</x:v>
      </x:c>
      <x:c r="L80" s="106" t="e">
        <x:f aca="0">IF($A80="","",[1]!thsiFinD("ths_adjustment_nv_fund",L$3,$A80))</x:f>
        <x:v>#NAME?</x:v>
      </x:c>
      <x:c r="M80" s="106" t="e">
        <x:f aca="0">IF($A80="","",[1]!thsiFinD("ths_adjustment_nv_fund",M$3,$A80))</x:f>
        <x:v>#NAME?</x:v>
      </x:c>
      <x:c r="N80" s="106" t="e">
        <x:f aca="0">IF($A80="","",[1]!thsiFinD("ths_adjustment_nv_fund",N$3,$A80))</x:f>
        <x:v>#NAME?</x:v>
      </x:c>
      <x:c r="O80" s="106" t="e">
        <x:f aca="0">IF($A80="","",[1]!thsiFinD("ths_adjustment_nv_fund",O$3,$A80))</x:f>
        <x:v>#NAME?</x:v>
      </x:c>
      <x:c r="P80" s="106" t="e">
        <x:f aca="0">IF($A80="","",[1]!thsiFinD("ths_adjustment_nv_fund",P$3,$A80))</x:f>
        <x:v>#NAME?</x:v>
      </x:c>
      <x:c r="Q80" s="106" t="e">
        <x:f aca="0">IF($A80="","",[1]!thsiFinD("ths_adjustment_nv_fund",Q$3,$A80))</x:f>
        <x:v>#NAME?</x:v>
      </x:c>
      <x:c r="R80" s="106" t="e">
        <x:f aca="0">IF($A80="","",[1]!thsiFinD("ths_adjustment_nv_fund",R$3,$A80))</x:f>
        <x:v>#NAME?</x:v>
      </x:c>
      <x:c r="S80" s="106" t="e">
        <x:f aca="0">IF($A80="","",[1]!thsiFinD("ths_adjustment_nv_fund",S$3,$A80))</x:f>
        <x:v>#NAME?</x:v>
      </x:c>
      <x:c r="T80" s="106" t="e">
        <x:f aca="0">IF($A80="","",[1]!thsiFinD("ths_adjustment_nv_fund",T$3,$A80))</x:f>
        <x:v>#NAME?</x:v>
      </x:c>
      <x:c r="U80" s="106" t="e">
        <x:f aca="0">IF($A80="","",[1]!thsiFinD("ths_adjustment_nv_fund",U$3,$A80))</x:f>
        <x:v>#NAME?</x:v>
      </x:c>
      <x:c r="V80" s="106" t="e">
        <x:f aca="0">IF($A80="","",[1]!thsiFinD("ths_adjustment_nv_fund",V$3,$A80))</x:f>
        <x:v>#NAME?</x:v>
      </x:c>
      <x:c r="W80" s="106" t="e">
        <x:f aca="0">IF($A80="","",[1]!thsiFinD("ths_adjustment_nv_fund",W$3,$A80))</x:f>
        <x:v>#NAME?</x:v>
      </x:c>
      <x:c r="X80" s="106" t="e">
        <x:f aca="0">IF($A80="","",[1]!thsiFinD("ths_adjustment_nv_fund",X$3,$A80))</x:f>
        <x:v>#NAME?</x:v>
      </x:c>
      <x:c r="Y80" s="106" t="e">
        <x:f aca="0">IF($A80="","",[1]!thsiFinD("ths_adjustment_nv_fund",Y$3,$A80))</x:f>
        <x:v>#NAME?</x:v>
      </x:c>
      <x:c r="Z80" t="e">
        <x:f>IF($A80="","",[1]!thsiFinD("ths_adjustment_nv_fund",Z$3,$A80))</x:f>
        <x:v>#NAME?</x:v>
      </x:c>
      <x:c r="AA80" t="e">
        <x:f>IF($A80="","",[1]!thsiFinD("ths_adjustment_nv_fund",AA$3,$A80))</x:f>
        <x:v>#NAME?</x:v>
      </x:c>
    </x:row>
    <x:row r="81" ht="12" hidden="0">
      <x:c r="A81" s="9"/>
      <x:c r="B81" s="106" t="e">
        <x:f aca="0">IF($A81="","",[1]!thsiFinD("ths_adjustment_nv_fund",B$3,$A81))</x:f>
        <x:v>#NAME?</x:v>
      </x:c>
      <x:c r="C81" s="106" t="e">
        <x:f aca="0">IF($A81="","",[1]!thsiFinD("ths_adjustment_nv_fund",C$3,$A81))</x:f>
        <x:v>#NAME?</x:v>
      </x:c>
      <x:c r="D81" s="106" t="e">
        <x:f aca="0">IF($A81="","",[1]!thsiFinD("ths_adjustment_nv_fund",D$3,$A81))</x:f>
        <x:v>#NAME?</x:v>
      </x:c>
      <x:c r="E81" s="106" t="e">
        <x:f aca="0">IF($A81="","",[1]!thsiFinD("ths_adjustment_nv_fund",E$3,$A81))</x:f>
        <x:v>#NAME?</x:v>
      </x:c>
      <x:c r="F81" s="106" t="e">
        <x:f aca="0">IF($A81="","",[1]!thsiFinD("ths_adjustment_nv_fund",F$3,$A81))</x:f>
        <x:v>#NAME?</x:v>
      </x:c>
      <x:c r="G81" s="106" t="e">
        <x:f aca="0">IF($A81="","",[1]!thsiFinD("ths_adjustment_nv_fund",G$3,$A81))</x:f>
        <x:v>#NAME?</x:v>
      </x:c>
      <x:c r="H81" s="106" t="e">
        <x:f aca="0">IF($A81="","",[1]!thsiFinD("ths_adjustment_nv_fund",H$3,$A81))</x:f>
        <x:v>#NAME?</x:v>
      </x:c>
      <x:c r="I81" s="106" t="e">
        <x:f aca="0">IF($A81="","",[1]!thsiFinD("ths_adjustment_nv_fund",I$3,$A81))</x:f>
        <x:v>#NAME?</x:v>
      </x:c>
      <x:c r="J81" s="106" t="e">
        <x:f aca="0">IF($A81="","",[1]!thsiFinD("ths_adjustment_nv_fund",J$3,$A81))</x:f>
        <x:v>#NAME?</x:v>
      </x:c>
      <x:c r="K81" s="106" t="e">
        <x:f aca="0">IF($A81="","",[1]!thsiFinD("ths_adjustment_nv_fund",K$3,$A81))</x:f>
        <x:v>#NAME?</x:v>
      </x:c>
      <x:c r="L81" s="106" t="e">
        <x:f aca="0">IF($A81="","",[1]!thsiFinD("ths_adjustment_nv_fund",L$3,$A81))</x:f>
        <x:v>#NAME?</x:v>
      </x:c>
      <x:c r="M81" s="106" t="e">
        <x:f aca="0">IF($A81="","",[1]!thsiFinD("ths_adjustment_nv_fund",M$3,$A81))</x:f>
        <x:v>#NAME?</x:v>
      </x:c>
      <x:c r="N81" s="106" t="e">
        <x:f aca="0">IF($A81="","",[1]!thsiFinD("ths_adjustment_nv_fund",N$3,$A81))</x:f>
        <x:v>#NAME?</x:v>
      </x:c>
      <x:c r="O81" s="106" t="e">
        <x:f aca="0">IF($A81="","",[1]!thsiFinD("ths_adjustment_nv_fund",O$3,$A81))</x:f>
        <x:v>#NAME?</x:v>
      </x:c>
      <x:c r="P81" s="106" t="e">
        <x:f aca="0">IF($A81="","",[1]!thsiFinD("ths_adjustment_nv_fund",P$3,$A81))</x:f>
        <x:v>#NAME?</x:v>
      </x:c>
      <x:c r="Q81" s="106" t="e">
        <x:f aca="0">IF($A81="","",[1]!thsiFinD("ths_adjustment_nv_fund",Q$3,$A81))</x:f>
        <x:v>#NAME?</x:v>
      </x:c>
      <x:c r="R81" s="106" t="e">
        <x:f aca="0">IF($A81="","",[1]!thsiFinD("ths_adjustment_nv_fund",R$3,$A81))</x:f>
        <x:v>#NAME?</x:v>
      </x:c>
      <x:c r="S81" s="106" t="e">
        <x:f aca="0">IF($A81="","",[1]!thsiFinD("ths_adjustment_nv_fund",S$3,$A81))</x:f>
        <x:v>#NAME?</x:v>
      </x:c>
      <x:c r="T81" s="106" t="e">
        <x:f aca="0">IF($A81="","",[1]!thsiFinD("ths_adjustment_nv_fund",T$3,$A81))</x:f>
        <x:v>#NAME?</x:v>
      </x:c>
      <x:c r="U81" s="106" t="e">
        <x:f aca="0">IF($A81="","",[1]!thsiFinD("ths_adjustment_nv_fund",U$3,$A81))</x:f>
        <x:v>#NAME?</x:v>
      </x:c>
      <x:c r="V81" s="106" t="e">
        <x:f aca="0">IF($A81="","",[1]!thsiFinD("ths_adjustment_nv_fund",V$3,$A81))</x:f>
        <x:v>#NAME?</x:v>
      </x:c>
      <x:c r="W81" s="106" t="e">
        <x:f aca="0">IF($A81="","",[1]!thsiFinD("ths_adjustment_nv_fund",W$3,$A81))</x:f>
        <x:v>#NAME?</x:v>
      </x:c>
      <x:c r="X81" s="106" t="e">
        <x:f aca="0">IF($A81="","",[1]!thsiFinD("ths_adjustment_nv_fund",X$3,$A81))</x:f>
        <x:v>#NAME?</x:v>
      </x:c>
      <x:c r="Y81" s="106" t="e">
        <x:f aca="0">IF($A81="","",[1]!thsiFinD("ths_adjustment_nv_fund",Y$3,$A81))</x:f>
        <x:v>#NAME?</x:v>
      </x:c>
      <x:c r="Z81" t="e">
        <x:f>IF($A81="","",[1]!thsiFinD("ths_adjustment_nv_fund",Z$3,$A81))</x:f>
        <x:v>#NAME?</x:v>
      </x:c>
      <x:c r="AA81" t="e">
        <x:f>IF($A81="","",[1]!thsiFinD("ths_adjustment_nv_fund",AA$3,$A81))</x:f>
        <x:v>#NAME?</x:v>
      </x:c>
    </x:row>
    <x:row r="82" ht="12" hidden="0">
      <x:c r="A82" s="9"/>
      <x:c r="B82" s="106" t="e">
        <x:f aca="0">IF($A82="","",[1]!thsiFinD("ths_adjustment_nv_fund",B$3,$A82))</x:f>
        <x:v>#NAME?</x:v>
      </x:c>
      <x:c r="C82" s="106" t="e">
        <x:f aca="0">IF($A82="","",[1]!thsiFinD("ths_adjustment_nv_fund",C$3,$A82))</x:f>
        <x:v>#NAME?</x:v>
      </x:c>
      <x:c r="D82" s="106" t="e">
        <x:f aca="0">IF($A82="","",[1]!thsiFinD("ths_adjustment_nv_fund",D$3,$A82))</x:f>
        <x:v>#NAME?</x:v>
      </x:c>
      <x:c r="E82" s="106" t="e">
        <x:f aca="0">IF($A82="","",[1]!thsiFinD("ths_adjustment_nv_fund",E$3,$A82))</x:f>
        <x:v>#NAME?</x:v>
      </x:c>
      <x:c r="F82" s="106" t="e">
        <x:f aca="0">IF($A82="","",[1]!thsiFinD("ths_adjustment_nv_fund",F$3,$A82))</x:f>
        <x:v>#NAME?</x:v>
      </x:c>
      <x:c r="G82" s="106" t="e">
        <x:f aca="0">IF($A82="","",[1]!thsiFinD("ths_adjustment_nv_fund",G$3,$A82))</x:f>
        <x:v>#NAME?</x:v>
      </x:c>
      <x:c r="H82" s="106" t="e">
        <x:f aca="0">IF($A82="","",[1]!thsiFinD("ths_adjustment_nv_fund",H$3,$A82))</x:f>
        <x:v>#NAME?</x:v>
      </x:c>
      <x:c r="I82" s="106" t="e">
        <x:f aca="0">IF($A82="","",[1]!thsiFinD("ths_adjustment_nv_fund",I$3,$A82))</x:f>
        <x:v>#NAME?</x:v>
      </x:c>
      <x:c r="J82" s="106" t="e">
        <x:f aca="0">IF($A82="","",[1]!thsiFinD("ths_adjustment_nv_fund",J$3,$A82))</x:f>
        <x:v>#NAME?</x:v>
      </x:c>
      <x:c r="K82" s="106" t="e">
        <x:f aca="0">IF($A82="","",[1]!thsiFinD("ths_adjustment_nv_fund",K$3,$A82))</x:f>
        <x:v>#NAME?</x:v>
      </x:c>
      <x:c r="L82" s="106" t="e">
        <x:f aca="0">IF($A82="","",[1]!thsiFinD("ths_adjustment_nv_fund",L$3,$A82))</x:f>
        <x:v>#NAME?</x:v>
      </x:c>
      <x:c r="M82" s="106" t="e">
        <x:f aca="0">IF($A82="","",[1]!thsiFinD("ths_adjustment_nv_fund",M$3,$A82))</x:f>
        <x:v>#NAME?</x:v>
      </x:c>
      <x:c r="N82" s="106" t="e">
        <x:f aca="0">IF($A82="","",[1]!thsiFinD("ths_adjustment_nv_fund",N$3,$A82))</x:f>
        <x:v>#NAME?</x:v>
      </x:c>
      <x:c r="O82" s="106" t="e">
        <x:f aca="0">IF($A82="","",[1]!thsiFinD("ths_adjustment_nv_fund",O$3,$A82))</x:f>
        <x:v>#NAME?</x:v>
      </x:c>
      <x:c r="P82" s="106" t="e">
        <x:f aca="0">IF($A82="","",[1]!thsiFinD("ths_adjustment_nv_fund",P$3,$A82))</x:f>
        <x:v>#NAME?</x:v>
      </x:c>
      <x:c r="Q82" s="106" t="e">
        <x:f aca="0">IF($A82="","",[1]!thsiFinD("ths_adjustment_nv_fund",Q$3,$A82))</x:f>
        <x:v>#NAME?</x:v>
      </x:c>
      <x:c r="R82" s="106" t="e">
        <x:f aca="0">IF($A82="","",[1]!thsiFinD("ths_adjustment_nv_fund",R$3,$A82))</x:f>
        <x:v>#NAME?</x:v>
      </x:c>
      <x:c r="S82" s="106" t="e">
        <x:f aca="0">IF($A82="","",[1]!thsiFinD("ths_adjustment_nv_fund",S$3,$A82))</x:f>
        <x:v>#NAME?</x:v>
      </x:c>
      <x:c r="T82" s="106" t="e">
        <x:f aca="0">IF($A82="","",[1]!thsiFinD("ths_adjustment_nv_fund",T$3,$A82))</x:f>
        <x:v>#NAME?</x:v>
      </x:c>
      <x:c r="U82" s="106" t="e">
        <x:f aca="0">IF($A82="","",[1]!thsiFinD("ths_adjustment_nv_fund",U$3,$A82))</x:f>
        <x:v>#NAME?</x:v>
      </x:c>
      <x:c r="V82" s="106" t="e">
        <x:f aca="0">IF($A82="","",[1]!thsiFinD("ths_adjustment_nv_fund",V$3,$A82))</x:f>
        <x:v>#NAME?</x:v>
      </x:c>
      <x:c r="W82" s="106" t="e">
        <x:f aca="0">IF($A82="","",[1]!thsiFinD("ths_adjustment_nv_fund",W$3,$A82))</x:f>
        <x:v>#NAME?</x:v>
      </x:c>
      <x:c r="X82" s="106" t="e">
        <x:f aca="0">IF($A82="","",[1]!thsiFinD("ths_adjustment_nv_fund",X$3,$A82))</x:f>
        <x:v>#NAME?</x:v>
      </x:c>
      <x:c r="Y82" s="106" t="e">
        <x:f aca="0">IF($A82="","",[1]!thsiFinD("ths_adjustment_nv_fund",Y$3,$A82))</x:f>
        <x:v>#NAME?</x:v>
      </x:c>
      <x:c r="Z82" t="e">
        <x:f>IF($A82="","",[1]!thsiFinD("ths_adjustment_nv_fund",Z$3,$A82))</x:f>
        <x:v>#NAME?</x:v>
      </x:c>
      <x:c r="AA82" t="e">
        <x:f>IF($A82="","",[1]!thsiFinD("ths_adjustment_nv_fund",AA$3,$A82))</x:f>
        <x:v>#NAME?</x:v>
      </x:c>
    </x:row>
    <x:row r="83" ht="12" hidden="0">
      <x:c r="A83" s="9"/>
      <x:c r="B83" s="106" t="e">
        <x:f aca="0">IF($A83="","",[1]!thsiFinD("ths_adjustment_nv_fund",B$3,$A83))</x:f>
        <x:v>#NAME?</x:v>
      </x:c>
      <x:c r="C83" s="106" t="e">
        <x:f aca="0">IF($A83="","",[1]!thsiFinD("ths_adjustment_nv_fund",C$3,$A83))</x:f>
        <x:v>#NAME?</x:v>
      </x:c>
      <x:c r="D83" s="106" t="e">
        <x:f aca="0">IF($A83="","",[1]!thsiFinD("ths_adjustment_nv_fund",D$3,$A83))</x:f>
        <x:v>#NAME?</x:v>
      </x:c>
      <x:c r="E83" s="106" t="e">
        <x:f aca="0">IF($A83="","",[1]!thsiFinD("ths_adjustment_nv_fund",E$3,$A83))</x:f>
        <x:v>#NAME?</x:v>
      </x:c>
      <x:c r="F83" s="106" t="e">
        <x:f aca="0">IF($A83="","",[1]!thsiFinD("ths_adjustment_nv_fund",F$3,$A83))</x:f>
        <x:v>#NAME?</x:v>
      </x:c>
      <x:c r="G83" s="106" t="e">
        <x:f aca="0">IF($A83="","",[1]!thsiFinD("ths_adjustment_nv_fund",G$3,$A83))</x:f>
        <x:v>#NAME?</x:v>
      </x:c>
      <x:c r="H83" s="106" t="e">
        <x:f aca="0">IF($A83="","",[1]!thsiFinD("ths_adjustment_nv_fund",H$3,$A83))</x:f>
        <x:v>#NAME?</x:v>
      </x:c>
      <x:c r="I83" s="106" t="e">
        <x:f aca="0">IF($A83="","",[1]!thsiFinD("ths_adjustment_nv_fund",I$3,$A83))</x:f>
        <x:v>#NAME?</x:v>
      </x:c>
      <x:c r="J83" s="106" t="e">
        <x:f aca="0">IF($A83="","",[1]!thsiFinD("ths_adjustment_nv_fund",J$3,$A83))</x:f>
        <x:v>#NAME?</x:v>
      </x:c>
      <x:c r="K83" s="106" t="e">
        <x:f aca="0">IF($A83="","",[1]!thsiFinD("ths_adjustment_nv_fund",K$3,$A83))</x:f>
        <x:v>#NAME?</x:v>
      </x:c>
      <x:c r="L83" s="106" t="e">
        <x:f aca="0">IF($A83="","",[1]!thsiFinD("ths_adjustment_nv_fund",L$3,$A83))</x:f>
        <x:v>#NAME?</x:v>
      </x:c>
      <x:c r="M83" s="106" t="e">
        <x:f aca="0">IF($A83="","",[1]!thsiFinD("ths_adjustment_nv_fund",M$3,$A83))</x:f>
        <x:v>#NAME?</x:v>
      </x:c>
      <x:c r="N83" s="106" t="e">
        <x:f aca="0">IF($A83="","",[1]!thsiFinD("ths_adjustment_nv_fund",N$3,$A83))</x:f>
        <x:v>#NAME?</x:v>
      </x:c>
      <x:c r="O83" s="106" t="e">
        <x:f aca="0">IF($A83="","",[1]!thsiFinD("ths_adjustment_nv_fund",O$3,$A83))</x:f>
        <x:v>#NAME?</x:v>
      </x:c>
      <x:c r="P83" s="106" t="e">
        <x:f aca="0">IF($A83="","",[1]!thsiFinD("ths_adjustment_nv_fund",P$3,$A83))</x:f>
        <x:v>#NAME?</x:v>
      </x:c>
      <x:c r="Q83" s="106" t="e">
        <x:f aca="0">IF($A83="","",[1]!thsiFinD("ths_adjustment_nv_fund",Q$3,$A83))</x:f>
        <x:v>#NAME?</x:v>
      </x:c>
      <x:c r="R83" s="106" t="e">
        <x:f aca="0">IF($A83="","",[1]!thsiFinD("ths_adjustment_nv_fund",R$3,$A83))</x:f>
        <x:v>#NAME?</x:v>
      </x:c>
      <x:c r="S83" s="106" t="e">
        <x:f aca="0">IF($A83="","",[1]!thsiFinD("ths_adjustment_nv_fund",S$3,$A83))</x:f>
        <x:v>#NAME?</x:v>
      </x:c>
      <x:c r="T83" s="106" t="e">
        <x:f aca="0">IF($A83="","",[1]!thsiFinD("ths_adjustment_nv_fund",T$3,$A83))</x:f>
        <x:v>#NAME?</x:v>
      </x:c>
      <x:c r="U83" s="106" t="e">
        <x:f aca="0">IF($A83="","",[1]!thsiFinD("ths_adjustment_nv_fund",U$3,$A83))</x:f>
        <x:v>#NAME?</x:v>
      </x:c>
      <x:c r="V83" s="106" t="e">
        <x:f aca="0">IF($A83="","",[1]!thsiFinD("ths_adjustment_nv_fund",V$3,$A83))</x:f>
        <x:v>#NAME?</x:v>
      </x:c>
      <x:c r="W83" s="106" t="e">
        <x:f aca="0">IF($A83="","",[1]!thsiFinD("ths_adjustment_nv_fund",W$3,$A83))</x:f>
        <x:v>#NAME?</x:v>
      </x:c>
      <x:c r="X83" s="106" t="e">
        <x:f aca="0">IF($A83="","",[1]!thsiFinD("ths_adjustment_nv_fund",X$3,$A83))</x:f>
        <x:v>#NAME?</x:v>
      </x:c>
      <x:c r="Y83" s="106" t="e">
        <x:f aca="0">IF($A83="","",[1]!thsiFinD("ths_adjustment_nv_fund",Y$3,$A83))</x:f>
        <x:v>#NAME?</x:v>
      </x:c>
      <x:c r="Z83" t="e">
        <x:f>IF($A83="","",[1]!thsiFinD("ths_adjustment_nv_fund",Z$3,$A83))</x:f>
        <x:v>#NAME?</x:v>
      </x:c>
      <x:c r="AA83" t="e">
        <x:f>IF($A83="","",[1]!thsiFinD("ths_adjustment_nv_fund",AA$3,$A83))</x:f>
        <x:v>#NAME?</x:v>
      </x:c>
    </x:row>
    <x:row r="84" ht="12" hidden="0">
      <x:c r="A84" s="9"/>
      <x:c r="B84" s="106" t="e">
        <x:f aca="0">IF($A84="","",[1]!thsiFinD("ths_adjustment_nv_fund",B$3,$A84))</x:f>
        <x:v>#NAME?</x:v>
      </x:c>
      <x:c r="C84" s="106" t="e">
        <x:f aca="0">IF($A84="","",[1]!thsiFinD("ths_adjustment_nv_fund",C$3,$A84))</x:f>
        <x:v>#NAME?</x:v>
      </x:c>
      <x:c r="D84" s="106" t="e">
        <x:f aca="0">IF($A84="","",[1]!thsiFinD("ths_adjustment_nv_fund",D$3,$A84))</x:f>
        <x:v>#NAME?</x:v>
      </x:c>
      <x:c r="E84" s="106" t="e">
        <x:f aca="0">IF($A84="","",[1]!thsiFinD("ths_adjustment_nv_fund",E$3,$A84))</x:f>
        <x:v>#NAME?</x:v>
      </x:c>
      <x:c r="F84" s="106" t="e">
        <x:f aca="0">IF($A84="","",[1]!thsiFinD("ths_adjustment_nv_fund",F$3,$A84))</x:f>
        <x:v>#NAME?</x:v>
      </x:c>
      <x:c r="G84" s="106" t="e">
        <x:f aca="0">IF($A84="","",[1]!thsiFinD("ths_adjustment_nv_fund",G$3,$A84))</x:f>
        <x:v>#NAME?</x:v>
      </x:c>
      <x:c r="H84" s="106" t="e">
        <x:f aca="0">IF($A84="","",[1]!thsiFinD("ths_adjustment_nv_fund",H$3,$A84))</x:f>
        <x:v>#NAME?</x:v>
      </x:c>
      <x:c r="I84" s="106" t="e">
        <x:f aca="0">IF($A84="","",[1]!thsiFinD("ths_adjustment_nv_fund",I$3,$A84))</x:f>
        <x:v>#NAME?</x:v>
      </x:c>
      <x:c r="J84" s="106" t="e">
        <x:f aca="0">IF($A84="","",[1]!thsiFinD("ths_adjustment_nv_fund",J$3,$A84))</x:f>
        <x:v>#NAME?</x:v>
      </x:c>
      <x:c r="K84" s="106" t="e">
        <x:f aca="0">IF($A84="","",[1]!thsiFinD("ths_adjustment_nv_fund",K$3,$A84))</x:f>
        <x:v>#NAME?</x:v>
      </x:c>
      <x:c r="L84" s="106" t="e">
        <x:f aca="0">IF($A84="","",[1]!thsiFinD("ths_adjustment_nv_fund",L$3,$A84))</x:f>
        <x:v>#NAME?</x:v>
      </x:c>
      <x:c r="M84" s="106" t="e">
        <x:f aca="0">IF($A84="","",[1]!thsiFinD("ths_adjustment_nv_fund",M$3,$A84))</x:f>
        <x:v>#NAME?</x:v>
      </x:c>
      <x:c r="N84" s="106" t="e">
        <x:f aca="0">IF($A84="","",[1]!thsiFinD("ths_adjustment_nv_fund",N$3,$A84))</x:f>
        <x:v>#NAME?</x:v>
      </x:c>
      <x:c r="O84" s="106" t="e">
        <x:f aca="0">IF($A84="","",[1]!thsiFinD("ths_adjustment_nv_fund",O$3,$A84))</x:f>
        <x:v>#NAME?</x:v>
      </x:c>
      <x:c r="P84" s="106" t="e">
        <x:f aca="0">IF($A84="","",[1]!thsiFinD("ths_adjustment_nv_fund",P$3,$A84))</x:f>
        <x:v>#NAME?</x:v>
      </x:c>
      <x:c r="Q84" s="106" t="e">
        <x:f aca="0">IF($A84="","",[1]!thsiFinD("ths_adjustment_nv_fund",Q$3,$A84))</x:f>
        <x:v>#NAME?</x:v>
      </x:c>
      <x:c r="R84" s="106" t="e">
        <x:f aca="0">IF($A84="","",[1]!thsiFinD("ths_adjustment_nv_fund",R$3,$A84))</x:f>
        <x:v>#NAME?</x:v>
      </x:c>
      <x:c r="S84" s="106" t="e">
        <x:f aca="0">IF($A84="","",[1]!thsiFinD("ths_adjustment_nv_fund",S$3,$A84))</x:f>
        <x:v>#NAME?</x:v>
      </x:c>
      <x:c r="T84" s="106" t="e">
        <x:f aca="0">IF($A84="","",[1]!thsiFinD("ths_adjustment_nv_fund",T$3,$A84))</x:f>
        <x:v>#NAME?</x:v>
      </x:c>
      <x:c r="U84" s="106" t="e">
        <x:f aca="0">IF($A84="","",[1]!thsiFinD("ths_adjustment_nv_fund",U$3,$A84))</x:f>
        <x:v>#NAME?</x:v>
      </x:c>
      <x:c r="V84" s="106" t="e">
        <x:f aca="0">IF($A84="","",[1]!thsiFinD("ths_adjustment_nv_fund",V$3,$A84))</x:f>
        <x:v>#NAME?</x:v>
      </x:c>
      <x:c r="W84" s="106" t="e">
        <x:f aca="0">IF($A84="","",[1]!thsiFinD("ths_adjustment_nv_fund",W$3,$A84))</x:f>
        <x:v>#NAME?</x:v>
      </x:c>
      <x:c r="X84" s="106" t="e">
        <x:f aca="0">IF($A84="","",[1]!thsiFinD("ths_adjustment_nv_fund",X$3,$A84))</x:f>
        <x:v>#NAME?</x:v>
      </x:c>
      <x:c r="Y84" s="106" t="e">
        <x:f aca="0">IF($A84="","",[1]!thsiFinD("ths_adjustment_nv_fund",Y$3,$A84))</x:f>
        <x:v>#NAME?</x:v>
      </x:c>
      <x:c r="Z84" t="e">
        <x:f>IF($A84="","",[1]!thsiFinD("ths_adjustment_nv_fund",Z$3,$A84))</x:f>
        <x:v>#NAME?</x:v>
      </x:c>
      <x:c r="AA84" t="e">
        <x:f>IF($A84="","",[1]!thsiFinD("ths_adjustment_nv_fund",AA$3,$A84))</x:f>
        <x:v>#NAME?</x:v>
      </x:c>
    </x:row>
    <x:row r="85" ht="12" hidden="0">
      <x:c r="A85" s="9"/>
      <x:c r="B85" s="106" t="e">
        <x:f aca="0">IF($A85="","",[1]!thsiFinD("ths_adjustment_nv_fund",B$3,$A85))</x:f>
        <x:v>#NAME?</x:v>
      </x:c>
      <x:c r="C85" s="106" t="e">
        <x:f aca="0">IF($A85="","",[1]!thsiFinD("ths_adjustment_nv_fund",C$3,$A85))</x:f>
        <x:v>#NAME?</x:v>
      </x:c>
      <x:c r="D85" s="106" t="e">
        <x:f aca="0">IF($A85="","",[1]!thsiFinD("ths_adjustment_nv_fund",D$3,$A85))</x:f>
        <x:v>#NAME?</x:v>
      </x:c>
      <x:c r="E85" s="106" t="e">
        <x:f aca="0">IF($A85="","",[1]!thsiFinD("ths_adjustment_nv_fund",E$3,$A85))</x:f>
        <x:v>#NAME?</x:v>
      </x:c>
      <x:c r="F85" s="106" t="e">
        <x:f aca="0">IF($A85="","",[1]!thsiFinD("ths_adjustment_nv_fund",F$3,$A85))</x:f>
        <x:v>#NAME?</x:v>
      </x:c>
      <x:c r="G85" s="106" t="e">
        <x:f aca="0">IF($A85="","",[1]!thsiFinD("ths_adjustment_nv_fund",G$3,$A85))</x:f>
        <x:v>#NAME?</x:v>
      </x:c>
      <x:c r="H85" s="106" t="e">
        <x:f aca="0">IF($A85="","",[1]!thsiFinD("ths_adjustment_nv_fund",H$3,$A85))</x:f>
        <x:v>#NAME?</x:v>
      </x:c>
      <x:c r="I85" s="106" t="e">
        <x:f aca="0">IF($A85="","",[1]!thsiFinD("ths_adjustment_nv_fund",I$3,$A85))</x:f>
        <x:v>#NAME?</x:v>
      </x:c>
      <x:c r="J85" s="106" t="e">
        <x:f aca="0">IF($A85="","",[1]!thsiFinD("ths_adjustment_nv_fund",J$3,$A85))</x:f>
        <x:v>#NAME?</x:v>
      </x:c>
      <x:c r="K85" s="106" t="e">
        <x:f aca="0">IF($A85="","",[1]!thsiFinD("ths_adjustment_nv_fund",K$3,$A85))</x:f>
        <x:v>#NAME?</x:v>
      </x:c>
      <x:c r="L85" s="106" t="e">
        <x:f aca="0">IF($A85="","",[1]!thsiFinD("ths_adjustment_nv_fund",L$3,$A85))</x:f>
        <x:v>#NAME?</x:v>
      </x:c>
      <x:c r="M85" s="106" t="e">
        <x:f aca="0">IF($A85="","",[1]!thsiFinD("ths_adjustment_nv_fund",M$3,$A85))</x:f>
        <x:v>#NAME?</x:v>
      </x:c>
      <x:c r="N85" s="106" t="e">
        <x:f aca="0">IF($A85="","",[1]!thsiFinD("ths_adjustment_nv_fund",N$3,$A85))</x:f>
        <x:v>#NAME?</x:v>
      </x:c>
      <x:c r="O85" s="106" t="e">
        <x:f aca="0">IF($A85="","",[1]!thsiFinD("ths_adjustment_nv_fund",O$3,$A85))</x:f>
        <x:v>#NAME?</x:v>
      </x:c>
      <x:c r="P85" s="106" t="e">
        <x:f aca="0">IF($A85="","",[1]!thsiFinD("ths_adjustment_nv_fund",P$3,$A85))</x:f>
        <x:v>#NAME?</x:v>
      </x:c>
      <x:c r="Q85" s="106" t="e">
        <x:f aca="0">IF($A85="","",[1]!thsiFinD("ths_adjustment_nv_fund",Q$3,$A85))</x:f>
        <x:v>#NAME?</x:v>
      </x:c>
      <x:c r="R85" s="106" t="e">
        <x:f aca="0">IF($A85="","",[1]!thsiFinD("ths_adjustment_nv_fund",R$3,$A85))</x:f>
        <x:v>#NAME?</x:v>
      </x:c>
      <x:c r="S85" s="106" t="e">
        <x:f aca="0">IF($A85="","",[1]!thsiFinD("ths_adjustment_nv_fund",S$3,$A85))</x:f>
        <x:v>#NAME?</x:v>
      </x:c>
      <x:c r="T85" s="106" t="e">
        <x:f aca="0">IF($A85="","",[1]!thsiFinD("ths_adjustment_nv_fund",T$3,$A85))</x:f>
        <x:v>#NAME?</x:v>
      </x:c>
      <x:c r="U85" s="106" t="e">
        <x:f aca="0">IF($A85="","",[1]!thsiFinD("ths_adjustment_nv_fund",U$3,$A85))</x:f>
        <x:v>#NAME?</x:v>
      </x:c>
      <x:c r="V85" s="106" t="e">
        <x:f aca="0">IF($A85="","",[1]!thsiFinD("ths_adjustment_nv_fund",V$3,$A85))</x:f>
        <x:v>#NAME?</x:v>
      </x:c>
      <x:c r="W85" s="106" t="e">
        <x:f aca="0">IF($A85="","",[1]!thsiFinD("ths_adjustment_nv_fund",W$3,$A85))</x:f>
        <x:v>#NAME?</x:v>
      </x:c>
      <x:c r="X85" s="106" t="e">
        <x:f aca="0">IF($A85="","",[1]!thsiFinD("ths_adjustment_nv_fund",X$3,$A85))</x:f>
        <x:v>#NAME?</x:v>
      </x:c>
      <x:c r="Y85" s="106" t="e">
        <x:f aca="0">IF($A85="","",[1]!thsiFinD("ths_adjustment_nv_fund",Y$3,$A85))</x:f>
        <x:v>#NAME?</x:v>
      </x:c>
      <x:c r="Z85" t="e">
        <x:f>IF($A85="","",[1]!thsiFinD("ths_adjustment_nv_fund",Z$3,$A85))</x:f>
        <x:v>#NAME?</x:v>
      </x:c>
      <x:c r="AA85" t="e">
        <x:f>IF($A85="","",[1]!thsiFinD("ths_adjustment_nv_fund",AA$3,$A85))</x:f>
        <x:v>#NAME?</x:v>
      </x:c>
    </x:row>
    <x:row r="86" ht="12" hidden="0">
      <x:c r="A86" s="9"/>
      <x:c r="B86" s="106" t="e">
        <x:f aca="0">IF($A86="","",[1]!thsiFinD("ths_adjustment_nv_fund",B$3,$A86))</x:f>
        <x:v>#NAME?</x:v>
      </x:c>
      <x:c r="C86" s="106" t="e">
        <x:f aca="0">IF($A86="","",[1]!thsiFinD("ths_adjustment_nv_fund",C$3,$A86))</x:f>
        <x:v>#NAME?</x:v>
      </x:c>
      <x:c r="D86" s="106" t="e">
        <x:f aca="0">IF($A86="","",[1]!thsiFinD("ths_adjustment_nv_fund",D$3,$A86))</x:f>
        <x:v>#NAME?</x:v>
      </x:c>
      <x:c r="E86" s="106" t="e">
        <x:f aca="0">IF($A86="","",[1]!thsiFinD("ths_adjustment_nv_fund",E$3,$A86))</x:f>
        <x:v>#NAME?</x:v>
      </x:c>
      <x:c r="F86" s="106" t="e">
        <x:f aca="0">IF($A86="","",[1]!thsiFinD("ths_adjustment_nv_fund",F$3,$A86))</x:f>
        <x:v>#NAME?</x:v>
      </x:c>
      <x:c r="G86" s="106" t="e">
        <x:f aca="0">IF($A86="","",[1]!thsiFinD("ths_adjustment_nv_fund",G$3,$A86))</x:f>
        <x:v>#NAME?</x:v>
      </x:c>
      <x:c r="H86" s="106" t="e">
        <x:f aca="0">IF($A86="","",[1]!thsiFinD("ths_adjustment_nv_fund",H$3,$A86))</x:f>
        <x:v>#NAME?</x:v>
      </x:c>
      <x:c r="I86" s="106" t="e">
        <x:f aca="0">IF($A86="","",[1]!thsiFinD("ths_adjustment_nv_fund",I$3,$A86))</x:f>
        <x:v>#NAME?</x:v>
      </x:c>
      <x:c r="J86" s="106" t="e">
        <x:f aca="0">IF($A86="","",[1]!thsiFinD("ths_adjustment_nv_fund",J$3,$A86))</x:f>
        <x:v>#NAME?</x:v>
      </x:c>
      <x:c r="K86" s="106" t="e">
        <x:f aca="0">IF($A86="","",[1]!thsiFinD("ths_adjustment_nv_fund",K$3,$A86))</x:f>
        <x:v>#NAME?</x:v>
      </x:c>
      <x:c r="L86" s="106" t="e">
        <x:f aca="0">IF($A86="","",[1]!thsiFinD("ths_adjustment_nv_fund",L$3,$A86))</x:f>
        <x:v>#NAME?</x:v>
      </x:c>
      <x:c r="M86" s="106" t="e">
        <x:f aca="0">IF($A86="","",[1]!thsiFinD("ths_adjustment_nv_fund",M$3,$A86))</x:f>
        <x:v>#NAME?</x:v>
      </x:c>
      <x:c r="N86" s="106" t="e">
        <x:f aca="0">IF($A86="","",[1]!thsiFinD("ths_adjustment_nv_fund",N$3,$A86))</x:f>
        <x:v>#NAME?</x:v>
      </x:c>
      <x:c r="O86" s="106" t="e">
        <x:f aca="0">IF($A86="","",[1]!thsiFinD("ths_adjustment_nv_fund",O$3,$A86))</x:f>
        <x:v>#NAME?</x:v>
      </x:c>
      <x:c r="P86" s="106" t="e">
        <x:f aca="0">IF($A86="","",[1]!thsiFinD("ths_adjustment_nv_fund",P$3,$A86))</x:f>
        <x:v>#NAME?</x:v>
      </x:c>
      <x:c r="Q86" s="106" t="e">
        <x:f aca="0">IF($A86="","",[1]!thsiFinD("ths_adjustment_nv_fund",Q$3,$A86))</x:f>
        <x:v>#NAME?</x:v>
      </x:c>
      <x:c r="R86" s="106" t="e">
        <x:f aca="0">IF($A86="","",[1]!thsiFinD("ths_adjustment_nv_fund",R$3,$A86))</x:f>
        <x:v>#NAME?</x:v>
      </x:c>
      <x:c r="S86" s="106" t="e">
        <x:f aca="0">IF($A86="","",[1]!thsiFinD("ths_adjustment_nv_fund",S$3,$A86))</x:f>
        <x:v>#NAME?</x:v>
      </x:c>
      <x:c r="T86" s="106" t="e">
        <x:f aca="0">IF($A86="","",[1]!thsiFinD("ths_adjustment_nv_fund",T$3,$A86))</x:f>
        <x:v>#NAME?</x:v>
      </x:c>
      <x:c r="U86" s="106" t="e">
        <x:f aca="0">IF($A86="","",[1]!thsiFinD("ths_adjustment_nv_fund",U$3,$A86))</x:f>
        <x:v>#NAME?</x:v>
      </x:c>
      <x:c r="V86" s="106" t="e">
        <x:f aca="0">IF($A86="","",[1]!thsiFinD("ths_adjustment_nv_fund",V$3,$A86))</x:f>
        <x:v>#NAME?</x:v>
      </x:c>
      <x:c r="W86" s="106" t="e">
        <x:f aca="0">IF($A86="","",[1]!thsiFinD("ths_adjustment_nv_fund",W$3,$A86))</x:f>
        <x:v>#NAME?</x:v>
      </x:c>
      <x:c r="X86" s="106" t="e">
        <x:f aca="0">IF($A86="","",[1]!thsiFinD("ths_adjustment_nv_fund",X$3,$A86))</x:f>
        <x:v>#NAME?</x:v>
      </x:c>
      <x:c r="Y86" s="106" t="e">
        <x:f aca="0">IF($A86="","",[1]!thsiFinD("ths_adjustment_nv_fund",Y$3,$A86))</x:f>
        <x:v>#NAME?</x:v>
      </x:c>
      <x:c r="Z86" t="e">
        <x:f>IF($A86="","",[1]!thsiFinD("ths_adjustment_nv_fund",Z$3,$A86))</x:f>
        <x:v>#NAME?</x:v>
      </x:c>
      <x:c r="AA86" t="e">
        <x:f>IF($A86="","",[1]!thsiFinD("ths_adjustment_nv_fund",AA$3,$A86))</x:f>
        <x:v>#NAME?</x:v>
      </x:c>
    </x:row>
    <x:row r="87" ht="12" hidden="0">
      <x:c r="A87" s="9"/>
      <x:c r="B87" s="106" t="e">
        <x:f aca="0">IF($A87="","",[1]!thsiFinD("ths_adjustment_nv_fund",B$3,$A87))</x:f>
        <x:v>#NAME?</x:v>
      </x:c>
      <x:c r="C87" s="106" t="e">
        <x:f aca="0">IF($A87="","",[1]!thsiFinD("ths_adjustment_nv_fund",C$3,$A87))</x:f>
        <x:v>#NAME?</x:v>
      </x:c>
      <x:c r="D87" s="106" t="e">
        <x:f aca="0">IF($A87="","",[1]!thsiFinD("ths_adjustment_nv_fund",D$3,$A87))</x:f>
        <x:v>#NAME?</x:v>
      </x:c>
      <x:c r="E87" s="106" t="e">
        <x:f aca="0">IF($A87="","",[1]!thsiFinD("ths_adjustment_nv_fund",E$3,$A87))</x:f>
        <x:v>#NAME?</x:v>
      </x:c>
      <x:c r="F87" s="106" t="e">
        <x:f aca="0">IF($A87="","",[1]!thsiFinD("ths_adjustment_nv_fund",F$3,$A87))</x:f>
        <x:v>#NAME?</x:v>
      </x:c>
      <x:c r="G87" s="106" t="e">
        <x:f aca="0">IF($A87="","",[1]!thsiFinD("ths_adjustment_nv_fund",G$3,$A87))</x:f>
        <x:v>#NAME?</x:v>
      </x:c>
      <x:c r="H87" s="106" t="e">
        <x:f aca="0">IF($A87="","",[1]!thsiFinD("ths_adjustment_nv_fund",H$3,$A87))</x:f>
        <x:v>#NAME?</x:v>
      </x:c>
      <x:c r="I87" s="106" t="e">
        <x:f aca="0">IF($A87="","",[1]!thsiFinD("ths_adjustment_nv_fund",I$3,$A87))</x:f>
        <x:v>#NAME?</x:v>
      </x:c>
      <x:c r="J87" s="106" t="e">
        <x:f aca="0">IF($A87="","",[1]!thsiFinD("ths_adjustment_nv_fund",J$3,$A87))</x:f>
        <x:v>#NAME?</x:v>
      </x:c>
      <x:c r="K87" s="106" t="e">
        <x:f aca="0">IF($A87="","",[1]!thsiFinD("ths_adjustment_nv_fund",K$3,$A87))</x:f>
        <x:v>#NAME?</x:v>
      </x:c>
      <x:c r="L87" s="106" t="e">
        <x:f aca="0">IF($A87="","",[1]!thsiFinD("ths_adjustment_nv_fund",L$3,$A87))</x:f>
        <x:v>#NAME?</x:v>
      </x:c>
      <x:c r="M87" s="106" t="e">
        <x:f aca="0">IF($A87="","",[1]!thsiFinD("ths_adjustment_nv_fund",M$3,$A87))</x:f>
        <x:v>#NAME?</x:v>
      </x:c>
      <x:c r="N87" s="106" t="e">
        <x:f aca="0">IF($A87="","",[1]!thsiFinD("ths_adjustment_nv_fund",N$3,$A87))</x:f>
        <x:v>#NAME?</x:v>
      </x:c>
      <x:c r="O87" s="106" t="e">
        <x:f aca="0">IF($A87="","",[1]!thsiFinD("ths_adjustment_nv_fund",O$3,$A87))</x:f>
        <x:v>#NAME?</x:v>
      </x:c>
      <x:c r="P87" s="106" t="e">
        <x:f aca="0">IF($A87="","",[1]!thsiFinD("ths_adjustment_nv_fund",P$3,$A87))</x:f>
        <x:v>#NAME?</x:v>
      </x:c>
      <x:c r="Q87" s="106" t="e">
        <x:f aca="0">IF($A87="","",[1]!thsiFinD("ths_adjustment_nv_fund",Q$3,$A87))</x:f>
        <x:v>#NAME?</x:v>
      </x:c>
      <x:c r="R87" s="106" t="e">
        <x:f aca="0">IF($A87="","",[1]!thsiFinD("ths_adjustment_nv_fund",R$3,$A87))</x:f>
        <x:v>#NAME?</x:v>
      </x:c>
      <x:c r="S87" s="106" t="e">
        <x:f aca="0">IF($A87="","",[1]!thsiFinD("ths_adjustment_nv_fund",S$3,$A87))</x:f>
        <x:v>#NAME?</x:v>
      </x:c>
      <x:c r="T87" s="106" t="e">
        <x:f aca="0">IF($A87="","",[1]!thsiFinD("ths_adjustment_nv_fund",T$3,$A87))</x:f>
        <x:v>#NAME?</x:v>
      </x:c>
      <x:c r="U87" s="106" t="e">
        <x:f aca="0">IF($A87="","",[1]!thsiFinD("ths_adjustment_nv_fund",U$3,$A87))</x:f>
        <x:v>#NAME?</x:v>
      </x:c>
      <x:c r="V87" s="106" t="e">
        <x:f aca="0">IF($A87="","",[1]!thsiFinD("ths_adjustment_nv_fund",V$3,$A87))</x:f>
        <x:v>#NAME?</x:v>
      </x:c>
      <x:c r="W87" s="106" t="e">
        <x:f aca="0">IF($A87="","",[1]!thsiFinD("ths_adjustment_nv_fund",W$3,$A87))</x:f>
        <x:v>#NAME?</x:v>
      </x:c>
      <x:c r="X87" s="106" t="e">
        <x:f aca="0">IF($A87="","",[1]!thsiFinD("ths_adjustment_nv_fund",X$3,$A87))</x:f>
        <x:v>#NAME?</x:v>
      </x:c>
      <x:c r="Y87" s="106" t="e">
        <x:f aca="0">IF($A87="","",[1]!thsiFinD("ths_adjustment_nv_fund",Y$3,$A87))</x:f>
        <x:v>#NAME?</x:v>
      </x:c>
      <x:c r="Z87" t="e">
        <x:f>IF($A87="","",[1]!thsiFinD("ths_adjustment_nv_fund",Z$3,$A87))</x:f>
        <x:v>#NAME?</x:v>
      </x:c>
      <x:c r="AA87" t="e">
        <x:f>IF($A87="","",[1]!thsiFinD("ths_adjustment_nv_fund",AA$3,$A87))</x:f>
        <x:v>#NAME?</x:v>
      </x:c>
    </x:row>
    <x:row r="88" ht="12" hidden="0">
      <x:c r="A88" s="9"/>
      <x:c r="B88" s="106" t="e">
        <x:f aca="0">IF($A88="","",[1]!thsiFinD("ths_adjustment_nv_fund",B$3,$A88))</x:f>
        <x:v>#NAME?</x:v>
      </x:c>
      <x:c r="C88" s="106" t="e">
        <x:f aca="0">IF($A88="","",[1]!thsiFinD("ths_adjustment_nv_fund",C$3,$A88))</x:f>
        <x:v>#NAME?</x:v>
      </x:c>
      <x:c r="D88" s="106" t="e">
        <x:f aca="0">IF($A88="","",[1]!thsiFinD("ths_adjustment_nv_fund",D$3,$A88))</x:f>
        <x:v>#NAME?</x:v>
      </x:c>
      <x:c r="E88" s="106" t="e">
        <x:f aca="0">IF($A88="","",[1]!thsiFinD("ths_adjustment_nv_fund",E$3,$A88))</x:f>
        <x:v>#NAME?</x:v>
      </x:c>
      <x:c r="F88" s="106" t="e">
        <x:f aca="0">IF($A88="","",[1]!thsiFinD("ths_adjustment_nv_fund",F$3,$A88))</x:f>
        <x:v>#NAME?</x:v>
      </x:c>
      <x:c r="G88" s="106" t="e">
        <x:f aca="0">IF($A88="","",[1]!thsiFinD("ths_adjustment_nv_fund",G$3,$A88))</x:f>
        <x:v>#NAME?</x:v>
      </x:c>
      <x:c r="H88" s="106" t="e">
        <x:f aca="0">IF($A88="","",[1]!thsiFinD("ths_adjustment_nv_fund",H$3,$A88))</x:f>
        <x:v>#NAME?</x:v>
      </x:c>
      <x:c r="I88" s="106" t="e">
        <x:f aca="0">IF($A88="","",[1]!thsiFinD("ths_adjustment_nv_fund",I$3,$A88))</x:f>
        <x:v>#NAME?</x:v>
      </x:c>
      <x:c r="J88" s="106" t="e">
        <x:f aca="0">IF($A88="","",[1]!thsiFinD("ths_adjustment_nv_fund",J$3,$A88))</x:f>
        <x:v>#NAME?</x:v>
      </x:c>
      <x:c r="K88" s="106" t="e">
        <x:f aca="0">IF($A88="","",[1]!thsiFinD("ths_adjustment_nv_fund",K$3,$A88))</x:f>
        <x:v>#NAME?</x:v>
      </x:c>
      <x:c r="L88" s="106" t="e">
        <x:f aca="0">IF($A88="","",[1]!thsiFinD("ths_adjustment_nv_fund",L$3,$A88))</x:f>
        <x:v>#NAME?</x:v>
      </x:c>
      <x:c r="M88" s="106" t="e">
        <x:f aca="0">IF($A88="","",[1]!thsiFinD("ths_adjustment_nv_fund",M$3,$A88))</x:f>
        <x:v>#NAME?</x:v>
      </x:c>
      <x:c r="N88" s="106" t="e">
        <x:f aca="0">IF($A88="","",[1]!thsiFinD("ths_adjustment_nv_fund",N$3,$A88))</x:f>
        <x:v>#NAME?</x:v>
      </x:c>
      <x:c r="O88" s="106" t="e">
        <x:f aca="0">IF($A88="","",[1]!thsiFinD("ths_adjustment_nv_fund",O$3,$A88))</x:f>
        <x:v>#NAME?</x:v>
      </x:c>
      <x:c r="P88" s="106" t="e">
        <x:f aca="0">IF($A88="","",[1]!thsiFinD("ths_adjustment_nv_fund",P$3,$A88))</x:f>
        <x:v>#NAME?</x:v>
      </x:c>
      <x:c r="Q88" s="106" t="e">
        <x:f aca="0">IF($A88="","",[1]!thsiFinD("ths_adjustment_nv_fund",Q$3,$A88))</x:f>
        <x:v>#NAME?</x:v>
      </x:c>
      <x:c r="R88" s="106" t="e">
        <x:f aca="0">IF($A88="","",[1]!thsiFinD("ths_adjustment_nv_fund",R$3,$A88))</x:f>
        <x:v>#NAME?</x:v>
      </x:c>
      <x:c r="S88" s="106" t="e">
        <x:f aca="0">IF($A88="","",[1]!thsiFinD("ths_adjustment_nv_fund",S$3,$A88))</x:f>
        <x:v>#NAME?</x:v>
      </x:c>
      <x:c r="T88" s="106" t="e">
        <x:f aca="0">IF($A88="","",[1]!thsiFinD("ths_adjustment_nv_fund",T$3,$A88))</x:f>
        <x:v>#NAME?</x:v>
      </x:c>
      <x:c r="U88" s="106" t="e">
        <x:f aca="0">IF($A88="","",[1]!thsiFinD("ths_adjustment_nv_fund",U$3,$A88))</x:f>
        <x:v>#NAME?</x:v>
      </x:c>
      <x:c r="V88" s="106" t="e">
        <x:f aca="0">IF($A88="","",[1]!thsiFinD("ths_adjustment_nv_fund",V$3,$A88))</x:f>
        <x:v>#NAME?</x:v>
      </x:c>
      <x:c r="W88" s="106" t="e">
        <x:f aca="0">IF($A88="","",[1]!thsiFinD("ths_adjustment_nv_fund",W$3,$A88))</x:f>
        <x:v>#NAME?</x:v>
      </x:c>
      <x:c r="X88" s="106" t="e">
        <x:f aca="0">IF($A88="","",[1]!thsiFinD("ths_adjustment_nv_fund",X$3,$A88))</x:f>
        <x:v>#NAME?</x:v>
      </x:c>
      <x:c r="Y88" s="106" t="e">
        <x:f aca="0">IF($A88="","",[1]!thsiFinD("ths_adjustment_nv_fund",Y$3,$A88))</x:f>
        <x:v>#NAME?</x:v>
      </x:c>
      <x:c r="Z88" t="e">
        <x:f>IF($A88="","",[1]!thsiFinD("ths_adjustment_nv_fund",Z$3,$A88))</x:f>
        <x:v>#NAME?</x:v>
      </x:c>
      <x:c r="AA88" t="e">
        <x:f>IF($A88="","",[1]!thsiFinD("ths_adjustment_nv_fund",AA$3,$A88))</x:f>
        <x:v>#NAME?</x:v>
      </x:c>
    </x:row>
    <x:row r="89" ht="12" hidden="0">
      <x:c r="A89" s="9"/>
      <x:c r="B89" s="106" t="e">
        <x:f aca="0">IF($A89="","",[1]!thsiFinD("ths_adjustment_nv_fund",B$3,$A89))</x:f>
        <x:v>#NAME?</x:v>
      </x:c>
      <x:c r="C89" s="106" t="e">
        <x:f aca="0">IF($A89="","",[1]!thsiFinD("ths_adjustment_nv_fund",C$3,$A89))</x:f>
        <x:v>#NAME?</x:v>
      </x:c>
      <x:c r="D89" s="106" t="e">
        <x:f aca="0">IF($A89="","",[1]!thsiFinD("ths_adjustment_nv_fund",D$3,$A89))</x:f>
        <x:v>#NAME?</x:v>
      </x:c>
      <x:c r="E89" s="106" t="e">
        <x:f aca="0">IF($A89="","",[1]!thsiFinD("ths_adjustment_nv_fund",E$3,$A89))</x:f>
        <x:v>#NAME?</x:v>
      </x:c>
      <x:c r="F89" s="106" t="e">
        <x:f aca="0">IF($A89="","",[1]!thsiFinD("ths_adjustment_nv_fund",F$3,$A89))</x:f>
        <x:v>#NAME?</x:v>
      </x:c>
      <x:c r="G89" s="106" t="e">
        <x:f aca="0">IF($A89="","",[1]!thsiFinD("ths_adjustment_nv_fund",G$3,$A89))</x:f>
        <x:v>#NAME?</x:v>
      </x:c>
      <x:c r="H89" s="106" t="e">
        <x:f aca="0">IF($A89="","",[1]!thsiFinD("ths_adjustment_nv_fund",H$3,$A89))</x:f>
        <x:v>#NAME?</x:v>
      </x:c>
      <x:c r="I89" s="106" t="e">
        <x:f aca="0">IF($A89="","",[1]!thsiFinD("ths_adjustment_nv_fund",I$3,$A89))</x:f>
        <x:v>#NAME?</x:v>
      </x:c>
      <x:c r="J89" s="106" t="e">
        <x:f aca="0">IF($A89="","",[1]!thsiFinD("ths_adjustment_nv_fund",J$3,$A89))</x:f>
        <x:v>#NAME?</x:v>
      </x:c>
      <x:c r="K89" s="106" t="e">
        <x:f aca="0">IF($A89="","",[1]!thsiFinD("ths_adjustment_nv_fund",K$3,$A89))</x:f>
        <x:v>#NAME?</x:v>
      </x:c>
      <x:c r="L89" s="106" t="e">
        <x:f aca="0">IF($A89="","",[1]!thsiFinD("ths_adjustment_nv_fund",L$3,$A89))</x:f>
        <x:v>#NAME?</x:v>
      </x:c>
      <x:c r="M89" s="106" t="e">
        <x:f aca="0">IF($A89="","",[1]!thsiFinD("ths_adjustment_nv_fund",M$3,$A89))</x:f>
        <x:v>#NAME?</x:v>
      </x:c>
      <x:c r="N89" s="106" t="e">
        <x:f aca="0">IF($A89="","",[1]!thsiFinD("ths_adjustment_nv_fund",N$3,$A89))</x:f>
        <x:v>#NAME?</x:v>
      </x:c>
      <x:c r="O89" s="106" t="e">
        <x:f aca="0">IF($A89="","",[1]!thsiFinD("ths_adjustment_nv_fund",O$3,$A89))</x:f>
        <x:v>#NAME?</x:v>
      </x:c>
      <x:c r="P89" s="106" t="e">
        <x:f aca="0">IF($A89="","",[1]!thsiFinD("ths_adjustment_nv_fund",P$3,$A89))</x:f>
        <x:v>#NAME?</x:v>
      </x:c>
      <x:c r="Q89" s="106" t="e">
        <x:f aca="0">IF($A89="","",[1]!thsiFinD("ths_adjustment_nv_fund",Q$3,$A89))</x:f>
        <x:v>#NAME?</x:v>
      </x:c>
      <x:c r="R89" s="106" t="e">
        <x:f aca="0">IF($A89="","",[1]!thsiFinD("ths_adjustment_nv_fund",R$3,$A89))</x:f>
        <x:v>#NAME?</x:v>
      </x:c>
      <x:c r="S89" s="106" t="e">
        <x:f aca="0">IF($A89="","",[1]!thsiFinD("ths_adjustment_nv_fund",S$3,$A89))</x:f>
        <x:v>#NAME?</x:v>
      </x:c>
      <x:c r="T89" s="106" t="e">
        <x:f aca="0">IF($A89="","",[1]!thsiFinD("ths_adjustment_nv_fund",T$3,$A89))</x:f>
        <x:v>#NAME?</x:v>
      </x:c>
      <x:c r="U89" s="106" t="e">
        <x:f aca="0">IF($A89="","",[1]!thsiFinD("ths_adjustment_nv_fund",U$3,$A89))</x:f>
        <x:v>#NAME?</x:v>
      </x:c>
      <x:c r="V89" s="106" t="e">
        <x:f aca="0">IF($A89="","",[1]!thsiFinD("ths_adjustment_nv_fund",V$3,$A89))</x:f>
        <x:v>#NAME?</x:v>
      </x:c>
      <x:c r="W89" s="106" t="e">
        <x:f aca="0">IF($A89="","",[1]!thsiFinD("ths_adjustment_nv_fund",W$3,$A89))</x:f>
        <x:v>#NAME?</x:v>
      </x:c>
      <x:c r="X89" s="106" t="e">
        <x:f aca="0">IF($A89="","",[1]!thsiFinD("ths_adjustment_nv_fund",X$3,$A89))</x:f>
        <x:v>#NAME?</x:v>
      </x:c>
      <x:c r="Y89" s="106" t="e">
        <x:f aca="0">IF($A89="","",[1]!thsiFinD("ths_adjustment_nv_fund",Y$3,$A89))</x:f>
        <x:v>#NAME?</x:v>
      </x:c>
      <x:c r="Z89" t="e">
        <x:f>IF($A89="","",[1]!thsiFinD("ths_adjustment_nv_fund",Z$3,$A89))</x:f>
        <x:v>#NAME?</x:v>
      </x:c>
      <x:c r="AA89" t="e">
        <x:f>IF($A89="","",[1]!thsiFinD("ths_adjustment_nv_fund",AA$3,$A89))</x:f>
        <x:v>#NAME?</x:v>
      </x:c>
    </x:row>
    <x:row r="90" ht="12" hidden="0">
      <x:c r="A90" s="9"/>
      <x:c r="B90" s="106" t="e">
        <x:f aca="0">IF($A90="","",[1]!thsiFinD("ths_adjustment_nv_fund",B$3,$A90))</x:f>
        <x:v>#NAME?</x:v>
      </x:c>
      <x:c r="C90" s="106" t="e">
        <x:f aca="0">IF($A90="","",[1]!thsiFinD("ths_adjustment_nv_fund",C$3,$A90))</x:f>
        <x:v>#NAME?</x:v>
      </x:c>
      <x:c r="D90" s="106" t="e">
        <x:f aca="0">IF($A90="","",[1]!thsiFinD("ths_adjustment_nv_fund",D$3,$A90))</x:f>
        <x:v>#NAME?</x:v>
      </x:c>
      <x:c r="E90" s="106" t="e">
        <x:f aca="0">IF($A90="","",[1]!thsiFinD("ths_adjustment_nv_fund",E$3,$A90))</x:f>
        <x:v>#NAME?</x:v>
      </x:c>
      <x:c r="F90" s="106" t="e">
        <x:f aca="0">IF($A90="","",[1]!thsiFinD("ths_adjustment_nv_fund",F$3,$A90))</x:f>
        <x:v>#NAME?</x:v>
      </x:c>
      <x:c r="G90" s="106" t="e">
        <x:f aca="0">IF($A90="","",[1]!thsiFinD("ths_adjustment_nv_fund",G$3,$A90))</x:f>
        <x:v>#NAME?</x:v>
      </x:c>
      <x:c r="H90" s="106" t="e">
        <x:f aca="0">IF($A90="","",[1]!thsiFinD("ths_adjustment_nv_fund",H$3,$A90))</x:f>
        <x:v>#NAME?</x:v>
      </x:c>
      <x:c r="I90" s="106" t="e">
        <x:f aca="0">IF($A90="","",[1]!thsiFinD("ths_adjustment_nv_fund",I$3,$A90))</x:f>
        <x:v>#NAME?</x:v>
      </x:c>
      <x:c r="J90" s="106" t="e">
        <x:f aca="0">IF($A90="","",[1]!thsiFinD("ths_adjustment_nv_fund",J$3,$A90))</x:f>
        <x:v>#NAME?</x:v>
      </x:c>
      <x:c r="K90" s="106" t="e">
        <x:f aca="0">IF($A90="","",[1]!thsiFinD("ths_adjustment_nv_fund",K$3,$A90))</x:f>
        <x:v>#NAME?</x:v>
      </x:c>
      <x:c r="L90" s="106" t="e">
        <x:f aca="0">IF($A90="","",[1]!thsiFinD("ths_adjustment_nv_fund",L$3,$A90))</x:f>
        <x:v>#NAME?</x:v>
      </x:c>
      <x:c r="M90" s="106" t="e">
        <x:f aca="0">IF($A90="","",[1]!thsiFinD("ths_adjustment_nv_fund",M$3,$A90))</x:f>
        <x:v>#NAME?</x:v>
      </x:c>
      <x:c r="N90" s="106" t="e">
        <x:f aca="0">IF($A90="","",[1]!thsiFinD("ths_adjustment_nv_fund",N$3,$A90))</x:f>
        <x:v>#NAME?</x:v>
      </x:c>
      <x:c r="O90" s="106" t="e">
        <x:f aca="0">IF($A90="","",[1]!thsiFinD("ths_adjustment_nv_fund",O$3,$A90))</x:f>
        <x:v>#NAME?</x:v>
      </x:c>
      <x:c r="P90" s="106" t="e">
        <x:f aca="0">IF($A90="","",[1]!thsiFinD("ths_adjustment_nv_fund",P$3,$A90))</x:f>
        <x:v>#NAME?</x:v>
      </x:c>
      <x:c r="Q90" s="106" t="e">
        <x:f aca="0">IF($A90="","",[1]!thsiFinD("ths_adjustment_nv_fund",Q$3,$A90))</x:f>
        <x:v>#NAME?</x:v>
      </x:c>
      <x:c r="R90" s="106" t="e">
        <x:f aca="0">IF($A90="","",[1]!thsiFinD("ths_adjustment_nv_fund",R$3,$A90))</x:f>
        <x:v>#NAME?</x:v>
      </x:c>
      <x:c r="S90" s="106" t="e">
        <x:f aca="0">IF($A90="","",[1]!thsiFinD("ths_adjustment_nv_fund",S$3,$A90))</x:f>
        <x:v>#NAME?</x:v>
      </x:c>
      <x:c r="T90" s="106" t="e">
        <x:f aca="0">IF($A90="","",[1]!thsiFinD("ths_adjustment_nv_fund",T$3,$A90))</x:f>
        <x:v>#NAME?</x:v>
      </x:c>
      <x:c r="U90" s="106" t="e">
        <x:f aca="0">IF($A90="","",[1]!thsiFinD("ths_adjustment_nv_fund",U$3,$A90))</x:f>
        <x:v>#NAME?</x:v>
      </x:c>
      <x:c r="V90" s="106" t="e">
        <x:f aca="0">IF($A90="","",[1]!thsiFinD("ths_adjustment_nv_fund",V$3,$A90))</x:f>
        <x:v>#NAME?</x:v>
      </x:c>
      <x:c r="W90" s="106" t="e">
        <x:f aca="0">IF($A90="","",[1]!thsiFinD("ths_adjustment_nv_fund",W$3,$A90))</x:f>
        <x:v>#NAME?</x:v>
      </x:c>
      <x:c r="X90" s="106" t="e">
        <x:f aca="0">IF($A90="","",[1]!thsiFinD("ths_adjustment_nv_fund",X$3,$A90))</x:f>
        <x:v>#NAME?</x:v>
      </x:c>
      <x:c r="Y90" s="106" t="e">
        <x:f aca="0">IF($A90="","",[1]!thsiFinD("ths_adjustment_nv_fund",Y$3,$A90))</x:f>
        <x:v>#NAME?</x:v>
      </x:c>
      <x:c r="Z90" t="e">
        <x:f>IF($A90="","",[1]!thsiFinD("ths_adjustment_nv_fund",Z$3,$A90))</x:f>
        <x:v>#NAME?</x:v>
      </x:c>
      <x:c r="AA90" t="e">
        <x:f>IF($A90="","",[1]!thsiFinD("ths_adjustment_nv_fund",AA$3,$A90))</x:f>
        <x:v>#NAME?</x:v>
      </x:c>
    </x:row>
    <x:row r="91" ht="12" hidden="0">
      <x:c r="A91" s="9"/>
      <x:c r="B91" s="106" t="e">
        <x:f aca="0">IF($A91="","",[1]!thsiFinD("ths_adjustment_nv_fund",B$3,$A91))</x:f>
        <x:v>#NAME?</x:v>
      </x:c>
      <x:c r="C91" s="106" t="e">
        <x:f aca="0">IF($A91="","",[1]!thsiFinD("ths_adjustment_nv_fund",C$3,$A91))</x:f>
        <x:v>#NAME?</x:v>
      </x:c>
      <x:c r="D91" s="106" t="e">
        <x:f aca="0">IF($A91="","",[1]!thsiFinD("ths_adjustment_nv_fund",D$3,$A91))</x:f>
        <x:v>#NAME?</x:v>
      </x:c>
      <x:c r="E91" s="106" t="e">
        <x:f aca="0">IF($A91="","",[1]!thsiFinD("ths_adjustment_nv_fund",E$3,$A91))</x:f>
        <x:v>#NAME?</x:v>
      </x:c>
      <x:c r="F91" s="106" t="e">
        <x:f aca="0">IF($A91="","",[1]!thsiFinD("ths_adjustment_nv_fund",F$3,$A91))</x:f>
        <x:v>#NAME?</x:v>
      </x:c>
      <x:c r="G91" s="106" t="e">
        <x:f aca="0">IF($A91="","",[1]!thsiFinD("ths_adjustment_nv_fund",G$3,$A91))</x:f>
        <x:v>#NAME?</x:v>
      </x:c>
      <x:c r="H91" s="106" t="e">
        <x:f aca="0">IF($A91="","",[1]!thsiFinD("ths_adjustment_nv_fund",H$3,$A91))</x:f>
        <x:v>#NAME?</x:v>
      </x:c>
      <x:c r="I91" s="106" t="e">
        <x:f aca="0">IF($A91="","",[1]!thsiFinD("ths_adjustment_nv_fund",I$3,$A91))</x:f>
        <x:v>#NAME?</x:v>
      </x:c>
      <x:c r="J91" s="106" t="e">
        <x:f aca="0">IF($A91="","",[1]!thsiFinD("ths_adjustment_nv_fund",J$3,$A91))</x:f>
        <x:v>#NAME?</x:v>
      </x:c>
      <x:c r="K91" s="106" t="e">
        <x:f aca="0">IF($A91="","",[1]!thsiFinD("ths_adjustment_nv_fund",K$3,$A91))</x:f>
        <x:v>#NAME?</x:v>
      </x:c>
      <x:c r="L91" s="106" t="e">
        <x:f aca="0">IF($A91="","",[1]!thsiFinD("ths_adjustment_nv_fund",L$3,$A91))</x:f>
        <x:v>#NAME?</x:v>
      </x:c>
      <x:c r="M91" s="106" t="e">
        <x:f aca="0">IF($A91="","",[1]!thsiFinD("ths_adjustment_nv_fund",M$3,$A91))</x:f>
        <x:v>#NAME?</x:v>
      </x:c>
      <x:c r="N91" s="106" t="e">
        <x:f aca="0">IF($A91="","",[1]!thsiFinD("ths_adjustment_nv_fund",N$3,$A91))</x:f>
        <x:v>#NAME?</x:v>
      </x:c>
      <x:c r="O91" s="106" t="e">
        <x:f aca="0">IF($A91="","",[1]!thsiFinD("ths_adjustment_nv_fund",O$3,$A91))</x:f>
        <x:v>#NAME?</x:v>
      </x:c>
      <x:c r="P91" s="106" t="e">
        <x:f aca="0">IF($A91="","",[1]!thsiFinD("ths_adjustment_nv_fund",P$3,$A91))</x:f>
        <x:v>#NAME?</x:v>
      </x:c>
      <x:c r="Q91" s="106" t="e">
        <x:f aca="0">IF($A91="","",[1]!thsiFinD("ths_adjustment_nv_fund",Q$3,$A91))</x:f>
        <x:v>#NAME?</x:v>
      </x:c>
      <x:c r="R91" s="106" t="e">
        <x:f aca="0">IF($A91="","",[1]!thsiFinD("ths_adjustment_nv_fund",R$3,$A91))</x:f>
        <x:v>#NAME?</x:v>
      </x:c>
      <x:c r="S91" s="106" t="e">
        <x:f aca="0">IF($A91="","",[1]!thsiFinD("ths_adjustment_nv_fund",S$3,$A91))</x:f>
        <x:v>#NAME?</x:v>
      </x:c>
      <x:c r="T91" s="106" t="e">
        <x:f aca="0">IF($A91="","",[1]!thsiFinD("ths_adjustment_nv_fund",T$3,$A91))</x:f>
        <x:v>#NAME?</x:v>
      </x:c>
      <x:c r="U91" s="106" t="e">
        <x:f aca="0">IF($A91="","",[1]!thsiFinD("ths_adjustment_nv_fund",U$3,$A91))</x:f>
        <x:v>#NAME?</x:v>
      </x:c>
      <x:c r="V91" s="106" t="e">
        <x:f aca="0">IF($A91="","",[1]!thsiFinD("ths_adjustment_nv_fund",V$3,$A91))</x:f>
        <x:v>#NAME?</x:v>
      </x:c>
      <x:c r="W91" s="106" t="e">
        <x:f aca="0">IF($A91="","",[1]!thsiFinD("ths_adjustment_nv_fund",W$3,$A91))</x:f>
        <x:v>#NAME?</x:v>
      </x:c>
      <x:c r="X91" s="106" t="e">
        <x:f aca="0">IF($A91="","",[1]!thsiFinD("ths_adjustment_nv_fund",X$3,$A91))</x:f>
        <x:v>#NAME?</x:v>
      </x:c>
      <x:c r="Y91" s="106" t="e">
        <x:f aca="0">IF($A91="","",[1]!thsiFinD("ths_adjustment_nv_fund",Y$3,$A91))</x:f>
        <x:v>#NAME?</x:v>
      </x:c>
      <x:c r="Z91" t="e">
        <x:f>IF($A91="","",[1]!thsiFinD("ths_adjustment_nv_fund",Z$3,$A91))</x:f>
        <x:v>#NAME?</x:v>
      </x:c>
      <x:c r="AA91" t="e">
        <x:f>IF($A91="","",[1]!thsiFinD("ths_adjustment_nv_fund",AA$3,$A91))</x:f>
        <x:v>#NAME?</x:v>
      </x:c>
    </x:row>
    <x:row r="92" ht="12" hidden="0">
      <x:c r="A92" s="9"/>
      <x:c r="B92" s="106" t="e">
        <x:f aca="0">IF($A92="","",[1]!thsiFinD("ths_adjustment_nv_fund",B$3,$A92))</x:f>
        <x:v>#NAME?</x:v>
      </x:c>
      <x:c r="C92" s="106" t="e">
        <x:f aca="0">IF($A92="","",[1]!thsiFinD("ths_adjustment_nv_fund",C$3,$A92))</x:f>
        <x:v>#NAME?</x:v>
      </x:c>
      <x:c r="D92" s="106" t="e">
        <x:f aca="0">IF($A92="","",[1]!thsiFinD("ths_adjustment_nv_fund",D$3,$A92))</x:f>
        <x:v>#NAME?</x:v>
      </x:c>
      <x:c r="E92" s="106" t="e">
        <x:f aca="0">IF($A92="","",[1]!thsiFinD("ths_adjustment_nv_fund",E$3,$A92))</x:f>
        <x:v>#NAME?</x:v>
      </x:c>
      <x:c r="F92" s="106" t="e">
        <x:f aca="0">IF($A92="","",[1]!thsiFinD("ths_adjustment_nv_fund",F$3,$A92))</x:f>
        <x:v>#NAME?</x:v>
      </x:c>
      <x:c r="G92" s="106" t="e">
        <x:f aca="0">IF($A92="","",[1]!thsiFinD("ths_adjustment_nv_fund",G$3,$A92))</x:f>
        <x:v>#NAME?</x:v>
      </x:c>
      <x:c r="H92" s="106" t="e">
        <x:f aca="0">IF($A92="","",[1]!thsiFinD("ths_adjustment_nv_fund",H$3,$A92))</x:f>
        <x:v>#NAME?</x:v>
      </x:c>
      <x:c r="I92" s="106" t="e">
        <x:f aca="0">IF($A92="","",[1]!thsiFinD("ths_adjustment_nv_fund",I$3,$A92))</x:f>
        <x:v>#NAME?</x:v>
      </x:c>
      <x:c r="J92" s="106" t="e">
        <x:f aca="0">IF($A92="","",[1]!thsiFinD("ths_adjustment_nv_fund",J$3,$A92))</x:f>
        <x:v>#NAME?</x:v>
      </x:c>
      <x:c r="K92" s="106" t="e">
        <x:f aca="0">IF($A92="","",[1]!thsiFinD("ths_adjustment_nv_fund",K$3,$A92))</x:f>
        <x:v>#NAME?</x:v>
      </x:c>
      <x:c r="L92" s="106" t="e">
        <x:f aca="0">IF($A92="","",[1]!thsiFinD("ths_adjustment_nv_fund",L$3,$A92))</x:f>
        <x:v>#NAME?</x:v>
      </x:c>
      <x:c r="M92" s="106" t="e">
        <x:f aca="0">IF($A92="","",[1]!thsiFinD("ths_adjustment_nv_fund",M$3,$A92))</x:f>
        <x:v>#NAME?</x:v>
      </x:c>
      <x:c r="N92" s="106" t="e">
        <x:f aca="0">IF($A92="","",[1]!thsiFinD("ths_adjustment_nv_fund",N$3,$A92))</x:f>
        <x:v>#NAME?</x:v>
      </x:c>
      <x:c r="O92" s="106" t="e">
        <x:f aca="0">IF($A92="","",[1]!thsiFinD("ths_adjustment_nv_fund",O$3,$A92))</x:f>
        <x:v>#NAME?</x:v>
      </x:c>
      <x:c r="P92" s="106" t="e">
        <x:f aca="0">IF($A92="","",[1]!thsiFinD("ths_adjustment_nv_fund",P$3,$A92))</x:f>
        <x:v>#NAME?</x:v>
      </x:c>
      <x:c r="Q92" s="106" t="e">
        <x:f aca="0">IF($A92="","",[1]!thsiFinD("ths_adjustment_nv_fund",Q$3,$A92))</x:f>
        <x:v>#NAME?</x:v>
      </x:c>
      <x:c r="R92" s="106" t="e">
        <x:f aca="0">IF($A92="","",[1]!thsiFinD("ths_adjustment_nv_fund",R$3,$A92))</x:f>
        <x:v>#NAME?</x:v>
      </x:c>
      <x:c r="S92" s="106" t="e">
        <x:f aca="0">IF($A92="","",[1]!thsiFinD("ths_adjustment_nv_fund",S$3,$A92))</x:f>
        <x:v>#NAME?</x:v>
      </x:c>
      <x:c r="T92" s="106" t="e">
        <x:f aca="0">IF($A92="","",[1]!thsiFinD("ths_adjustment_nv_fund",T$3,$A92))</x:f>
        <x:v>#NAME?</x:v>
      </x:c>
      <x:c r="U92" s="106" t="e">
        <x:f aca="0">IF($A92="","",[1]!thsiFinD("ths_adjustment_nv_fund",U$3,$A92))</x:f>
        <x:v>#NAME?</x:v>
      </x:c>
      <x:c r="V92" s="106" t="e">
        <x:f aca="0">IF($A92="","",[1]!thsiFinD("ths_adjustment_nv_fund",V$3,$A92))</x:f>
        <x:v>#NAME?</x:v>
      </x:c>
      <x:c r="W92" s="106" t="e">
        <x:f aca="0">IF($A92="","",[1]!thsiFinD("ths_adjustment_nv_fund",W$3,$A92))</x:f>
        <x:v>#NAME?</x:v>
      </x:c>
      <x:c r="X92" s="106" t="e">
        <x:f aca="0">IF($A92="","",[1]!thsiFinD("ths_adjustment_nv_fund",X$3,$A92))</x:f>
        <x:v>#NAME?</x:v>
      </x:c>
      <x:c r="Y92" s="106" t="e">
        <x:f aca="0">IF($A92="","",[1]!thsiFinD("ths_adjustment_nv_fund",Y$3,$A92))</x:f>
        <x:v>#NAME?</x:v>
      </x:c>
      <x:c r="Z92" t="e">
        <x:f>IF($A92="","",[1]!thsiFinD("ths_adjustment_nv_fund",Z$3,$A92))</x:f>
        <x:v>#NAME?</x:v>
      </x:c>
      <x:c r="AA92" t="e">
        <x:f>IF($A92="","",[1]!thsiFinD("ths_adjustment_nv_fund",AA$3,$A92))</x:f>
        <x:v>#NAME?</x:v>
      </x:c>
    </x:row>
    <x:row r="93" ht="12" hidden="0">
      <x:c r="A93" s="9"/>
      <x:c r="B93" s="106" t="e">
        <x:f aca="0">IF($A93="","",[1]!thsiFinD("ths_adjustment_nv_fund",B$3,$A93))</x:f>
        <x:v>#NAME?</x:v>
      </x:c>
      <x:c r="C93" s="106" t="e">
        <x:f aca="0">IF($A93="","",[1]!thsiFinD("ths_adjustment_nv_fund",C$3,$A93))</x:f>
        <x:v>#NAME?</x:v>
      </x:c>
      <x:c r="D93" s="106" t="e">
        <x:f aca="0">IF($A93="","",[1]!thsiFinD("ths_adjustment_nv_fund",D$3,$A93))</x:f>
        <x:v>#NAME?</x:v>
      </x:c>
      <x:c r="E93" s="106" t="e">
        <x:f aca="0">IF($A93="","",[1]!thsiFinD("ths_adjustment_nv_fund",E$3,$A93))</x:f>
        <x:v>#NAME?</x:v>
      </x:c>
      <x:c r="F93" s="106" t="e">
        <x:f aca="0">IF($A93="","",[1]!thsiFinD("ths_adjustment_nv_fund",F$3,$A93))</x:f>
        <x:v>#NAME?</x:v>
      </x:c>
      <x:c r="G93" s="106" t="e">
        <x:f aca="0">IF($A93="","",[1]!thsiFinD("ths_adjustment_nv_fund",G$3,$A93))</x:f>
        <x:v>#NAME?</x:v>
      </x:c>
      <x:c r="H93" s="106" t="e">
        <x:f aca="0">IF($A93="","",[1]!thsiFinD("ths_adjustment_nv_fund",H$3,$A93))</x:f>
        <x:v>#NAME?</x:v>
      </x:c>
      <x:c r="I93" s="106" t="e">
        <x:f aca="0">IF($A93="","",[1]!thsiFinD("ths_adjustment_nv_fund",I$3,$A93))</x:f>
        <x:v>#NAME?</x:v>
      </x:c>
      <x:c r="J93" s="106" t="e">
        <x:f aca="0">IF($A93="","",[1]!thsiFinD("ths_adjustment_nv_fund",J$3,$A93))</x:f>
        <x:v>#NAME?</x:v>
      </x:c>
      <x:c r="K93" s="106" t="e">
        <x:f aca="0">IF($A93="","",[1]!thsiFinD("ths_adjustment_nv_fund",K$3,$A93))</x:f>
        <x:v>#NAME?</x:v>
      </x:c>
      <x:c r="L93" s="106" t="e">
        <x:f aca="0">IF($A93="","",[1]!thsiFinD("ths_adjustment_nv_fund",L$3,$A93))</x:f>
        <x:v>#NAME?</x:v>
      </x:c>
      <x:c r="M93" s="106" t="e">
        <x:f aca="0">IF($A93="","",[1]!thsiFinD("ths_adjustment_nv_fund",M$3,$A93))</x:f>
        <x:v>#NAME?</x:v>
      </x:c>
      <x:c r="N93" s="106" t="e">
        <x:f aca="0">IF($A93="","",[1]!thsiFinD("ths_adjustment_nv_fund",N$3,$A93))</x:f>
        <x:v>#NAME?</x:v>
      </x:c>
      <x:c r="O93" s="106" t="e">
        <x:f aca="0">IF($A93="","",[1]!thsiFinD("ths_adjustment_nv_fund",O$3,$A93))</x:f>
        <x:v>#NAME?</x:v>
      </x:c>
      <x:c r="P93" s="106" t="e">
        <x:f aca="0">IF($A93="","",[1]!thsiFinD("ths_adjustment_nv_fund",P$3,$A93))</x:f>
        <x:v>#NAME?</x:v>
      </x:c>
      <x:c r="Q93" s="106" t="e">
        <x:f aca="0">IF($A93="","",[1]!thsiFinD("ths_adjustment_nv_fund",Q$3,$A93))</x:f>
        <x:v>#NAME?</x:v>
      </x:c>
      <x:c r="R93" s="106" t="e">
        <x:f aca="0">IF($A93="","",[1]!thsiFinD("ths_adjustment_nv_fund",R$3,$A93))</x:f>
        <x:v>#NAME?</x:v>
      </x:c>
      <x:c r="S93" s="106" t="e">
        <x:f aca="0">IF($A93="","",[1]!thsiFinD("ths_adjustment_nv_fund",S$3,$A93))</x:f>
        <x:v>#NAME?</x:v>
      </x:c>
      <x:c r="T93" s="106" t="e">
        <x:f aca="0">IF($A93="","",[1]!thsiFinD("ths_adjustment_nv_fund",T$3,$A93))</x:f>
        <x:v>#NAME?</x:v>
      </x:c>
      <x:c r="U93" s="106" t="e">
        <x:f aca="0">IF($A93="","",[1]!thsiFinD("ths_adjustment_nv_fund",U$3,$A93))</x:f>
        <x:v>#NAME?</x:v>
      </x:c>
      <x:c r="V93" s="106" t="e">
        <x:f aca="0">IF($A93="","",[1]!thsiFinD("ths_adjustment_nv_fund",V$3,$A93))</x:f>
        <x:v>#NAME?</x:v>
      </x:c>
      <x:c r="W93" s="106" t="e">
        <x:f aca="0">IF($A93="","",[1]!thsiFinD("ths_adjustment_nv_fund",W$3,$A93))</x:f>
        <x:v>#NAME?</x:v>
      </x:c>
      <x:c r="X93" s="106" t="e">
        <x:f aca="0">IF($A93="","",[1]!thsiFinD("ths_adjustment_nv_fund",X$3,$A93))</x:f>
        <x:v>#NAME?</x:v>
      </x:c>
      <x:c r="Y93" s="106" t="e">
        <x:f aca="0">IF($A93="","",[1]!thsiFinD("ths_adjustment_nv_fund",Y$3,$A93))</x:f>
        <x:v>#NAME?</x:v>
      </x:c>
      <x:c r="Z93" t="e">
        <x:f>IF($A93="","",[1]!thsiFinD("ths_adjustment_nv_fund",Z$3,$A93))</x:f>
        <x:v>#NAME?</x:v>
      </x:c>
      <x:c r="AA93" t="e">
        <x:f>IF($A93="","",[1]!thsiFinD("ths_adjustment_nv_fund",AA$3,$A93))</x:f>
        <x:v>#NAME?</x:v>
      </x:c>
    </x:row>
    <x:row r="94" ht="12" hidden="0">
      <x:c r="A94" s="9"/>
      <x:c r="B94" s="106" t="e">
        <x:f aca="0">IF($A94="","",[1]!thsiFinD("ths_adjustment_nv_fund",B$3,$A94))</x:f>
        <x:v>#NAME?</x:v>
      </x:c>
      <x:c r="C94" s="106" t="e">
        <x:f aca="0">IF($A94="","",[1]!thsiFinD("ths_adjustment_nv_fund",C$3,$A94))</x:f>
        <x:v>#NAME?</x:v>
      </x:c>
      <x:c r="D94" s="106" t="e">
        <x:f aca="0">IF($A94="","",[1]!thsiFinD("ths_adjustment_nv_fund",D$3,$A94))</x:f>
        <x:v>#NAME?</x:v>
      </x:c>
      <x:c r="E94" s="106" t="e">
        <x:f aca="0">IF($A94="","",[1]!thsiFinD("ths_adjustment_nv_fund",E$3,$A94))</x:f>
        <x:v>#NAME?</x:v>
      </x:c>
      <x:c r="F94" s="106" t="e">
        <x:f aca="0">IF($A94="","",[1]!thsiFinD("ths_adjustment_nv_fund",F$3,$A94))</x:f>
        <x:v>#NAME?</x:v>
      </x:c>
      <x:c r="G94" s="106" t="e">
        <x:f aca="0">IF($A94="","",[1]!thsiFinD("ths_adjustment_nv_fund",G$3,$A94))</x:f>
        <x:v>#NAME?</x:v>
      </x:c>
      <x:c r="H94" s="106" t="e">
        <x:f aca="0">IF($A94="","",[1]!thsiFinD("ths_adjustment_nv_fund",H$3,$A94))</x:f>
        <x:v>#NAME?</x:v>
      </x:c>
      <x:c r="I94" s="106" t="e">
        <x:f aca="0">IF($A94="","",[1]!thsiFinD("ths_adjustment_nv_fund",I$3,$A94))</x:f>
        <x:v>#NAME?</x:v>
      </x:c>
      <x:c r="J94" s="106" t="e">
        <x:f aca="0">IF($A94="","",[1]!thsiFinD("ths_adjustment_nv_fund",J$3,$A94))</x:f>
        <x:v>#NAME?</x:v>
      </x:c>
      <x:c r="K94" s="106" t="e">
        <x:f aca="0">IF($A94="","",[1]!thsiFinD("ths_adjustment_nv_fund",K$3,$A94))</x:f>
        <x:v>#NAME?</x:v>
      </x:c>
      <x:c r="L94" s="106" t="e">
        <x:f aca="0">IF($A94="","",[1]!thsiFinD("ths_adjustment_nv_fund",L$3,$A94))</x:f>
        <x:v>#NAME?</x:v>
      </x:c>
      <x:c r="M94" s="106" t="e">
        <x:f aca="0">IF($A94="","",[1]!thsiFinD("ths_adjustment_nv_fund",M$3,$A94))</x:f>
        <x:v>#NAME?</x:v>
      </x:c>
      <x:c r="N94" s="106" t="e">
        <x:f aca="0">IF($A94="","",[1]!thsiFinD("ths_adjustment_nv_fund",N$3,$A94))</x:f>
        <x:v>#NAME?</x:v>
      </x:c>
      <x:c r="O94" s="106" t="e">
        <x:f aca="0">IF($A94="","",[1]!thsiFinD("ths_adjustment_nv_fund",O$3,$A94))</x:f>
        <x:v>#NAME?</x:v>
      </x:c>
      <x:c r="P94" s="106" t="e">
        <x:f aca="0">IF($A94="","",[1]!thsiFinD("ths_adjustment_nv_fund",P$3,$A94))</x:f>
        <x:v>#NAME?</x:v>
      </x:c>
      <x:c r="Q94" s="106" t="e">
        <x:f aca="0">IF($A94="","",[1]!thsiFinD("ths_adjustment_nv_fund",Q$3,$A94))</x:f>
        <x:v>#NAME?</x:v>
      </x:c>
      <x:c r="R94" s="106" t="e">
        <x:f aca="0">IF($A94="","",[1]!thsiFinD("ths_adjustment_nv_fund",R$3,$A94))</x:f>
        <x:v>#NAME?</x:v>
      </x:c>
      <x:c r="S94" s="106" t="e">
        <x:f aca="0">IF($A94="","",[1]!thsiFinD("ths_adjustment_nv_fund",S$3,$A94))</x:f>
        <x:v>#NAME?</x:v>
      </x:c>
      <x:c r="T94" s="106" t="e">
        <x:f aca="0">IF($A94="","",[1]!thsiFinD("ths_adjustment_nv_fund",T$3,$A94))</x:f>
        <x:v>#NAME?</x:v>
      </x:c>
      <x:c r="U94" s="106" t="e">
        <x:f aca="0">IF($A94="","",[1]!thsiFinD("ths_adjustment_nv_fund",U$3,$A94))</x:f>
        <x:v>#NAME?</x:v>
      </x:c>
      <x:c r="V94" s="106" t="e">
        <x:f aca="0">IF($A94="","",[1]!thsiFinD("ths_adjustment_nv_fund",V$3,$A94))</x:f>
        <x:v>#NAME?</x:v>
      </x:c>
      <x:c r="W94" s="106" t="e">
        <x:f aca="0">IF($A94="","",[1]!thsiFinD("ths_adjustment_nv_fund",W$3,$A94))</x:f>
        <x:v>#NAME?</x:v>
      </x:c>
      <x:c r="X94" s="106" t="e">
        <x:f aca="0">IF($A94="","",[1]!thsiFinD("ths_adjustment_nv_fund",X$3,$A94))</x:f>
        <x:v>#NAME?</x:v>
      </x:c>
      <x:c r="Y94" s="106" t="e">
        <x:f aca="0">IF($A94="","",[1]!thsiFinD("ths_adjustment_nv_fund",Y$3,$A94))</x:f>
        <x:v>#NAME?</x:v>
      </x:c>
      <x:c r="Z94" t="e">
        <x:f>IF($A94="","",[1]!thsiFinD("ths_adjustment_nv_fund",Z$3,$A94))</x:f>
        <x:v>#NAME?</x:v>
      </x:c>
      <x:c r="AA94" t="e">
        <x:f>IF($A94="","",[1]!thsiFinD("ths_adjustment_nv_fund",AA$3,$A94))</x:f>
        <x:v>#NAME?</x:v>
      </x:c>
    </x:row>
    <x:row r="95" ht="12" hidden="0">
      <x:c r="A95" s="9"/>
      <x:c r="B95" s="106" t="e">
        <x:f aca="0">IF($A95="","",[1]!thsiFinD("ths_adjustment_nv_fund",B$3,$A95))</x:f>
        <x:v>#NAME?</x:v>
      </x:c>
      <x:c r="C95" s="106" t="e">
        <x:f aca="0">IF($A95="","",[1]!thsiFinD("ths_adjustment_nv_fund",C$3,$A95))</x:f>
        <x:v>#NAME?</x:v>
      </x:c>
      <x:c r="D95" s="106" t="e">
        <x:f aca="0">IF($A95="","",[1]!thsiFinD("ths_adjustment_nv_fund",D$3,$A95))</x:f>
        <x:v>#NAME?</x:v>
      </x:c>
      <x:c r="E95" s="106" t="e">
        <x:f aca="0">IF($A95="","",[1]!thsiFinD("ths_adjustment_nv_fund",E$3,$A95))</x:f>
        <x:v>#NAME?</x:v>
      </x:c>
      <x:c r="F95" s="106" t="e">
        <x:f aca="0">IF($A95="","",[1]!thsiFinD("ths_adjustment_nv_fund",F$3,$A95))</x:f>
        <x:v>#NAME?</x:v>
      </x:c>
      <x:c r="G95" s="106" t="e">
        <x:f aca="0">IF($A95="","",[1]!thsiFinD("ths_adjustment_nv_fund",G$3,$A95))</x:f>
        <x:v>#NAME?</x:v>
      </x:c>
      <x:c r="H95" s="106" t="e">
        <x:f aca="0">IF($A95="","",[1]!thsiFinD("ths_adjustment_nv_fund",H$3,$A95))</x:f>
        <x:v>#NAME?</x:v>
      </x:c>
      <x:c r="I95" s="106" t="e">
        <x:f aca="0">IF($A95="","",[1]!thsiFinD("ths_adjustment_nv_fund",I$3,$A95))</x:f>
        <x:v>#NAME?</x:v>
      </x:c>
      <x:c r="J95" s="106" t="e">
        <x:f aca="0">IF($A95="","",[1]!thsiFinD("ths_adjustment_nv_fund",J$3,$A95))</x:f>
        <x:v>#NAME?</x:v>
      </x:c>
      <x:c r="K95" s="106" t="e">
        <x:f aca="0">IF($A95="","",[1]!thsiFinD("ths_adjustment_nv_fund",K$3,$A95))</x:f>
        <x:v>#NAME?</x:v>
      </x:c>
      <x:c r="L95" s="106" t="e">
        <x:f aca="0">IF($A95="","",[1]!thsiFinD("ths_adjustment_nv_fund",L$3,$A95))</x:f>
        <x:v>#NAME?</x:v>
      </x:c>
      <x:c r="M95" s="106" t="e">
        <x:f aca="0">IF($A95="","",[1]!thsiFinD("ths_adjustment_nv_fund",M$3,$A95))</x:f>
        <x:v>#NAME?</x:v>
      </x:c>
      <x:c r="N95" s="106" t="e">
        <x:f aca="0">IF($A95="","",[1]!thsiFinD("ths_adjustment_nv_fund",N$3,$A95))</x:f>
        <x:v>#NAME?</x:v>
      </x:c>
      <x:c r="O95" s="106" t="e">
        <x:f aca="0">IF($A95="","",[1]!thsiFinD("ths_adjustment_nv_fund",O$3,$A95))</x:f>
        <x:v>#NAME?</x:v>
      </x:c>
      <x:c r="P95" s="106" t="e">
        <x:f aca="0">IF($A95="","",[1]!thsiFinD("ths_adjustment_nv_fund",P$3,$A95))</x:f>
        <x:v>#NAME?</x:v>
      </x:c>
      <x:c r="Q95" s="106" t="e">
        <x:f aca="0">IF($A95="","",[1]!thsiFinD("ths_adjustment_nv_fund",Q$3,$A95))</x:f>
        <x:v>#NAME?</x:v>
      </x:c>
      <x:c r="R95" s="106" t="e">
        <x:f aca="0">IF($A95="","",[1]!thsiFinD("ths_adjustment_nv_fund",R$3,$A95))</x:f>
        <x:v>#NAME?</x:v>
      </x:c>
      <x:c r="S95" s="106" t="e">
        <x:f aca="0">IF($A95="","",[1]!thsiFinD("ths_adjustment_nv_fund",S$3,$A95))</x:f>
        <x:v>#NAME?</x:v>
      </x:c>
      <x:c r="T95" s="106" t="e">
        <x:f aca="0">IF($A95="","",[1]!thsiFinD("ths_adjustment_nv_fund",T$3,$A95))</x:f>
        <x:v>#NAME?</x:v>
      </x:c>
      <x:c r="U95" s="106" t="e">
        <x:f aca="0">IF($A95="","",[1]!thsiFinD("ths_adjustment_nv_fund",U$3,$A95))</x:f>
        <x:v>#NAME?</x:v>
      </x:c>
      <x:c r="V95" s="106" t="e">
        <x:f aca="0">IF($A95="","",[1]!thsiFinD("ths_adjustment_nv_fund",V$3,$A95))</x:f>
        <x:v>#NAME?</x:v>
      </x:c>
      <x:c r="W95" s="106" t="e">
        <x:f aca="0">IF($A95="","",[1]!thsiFinD("ths_adjustment_nv_fund",W$3,$A95))</x:f>
        <x:v>#NAME?</x:v>
      </x:c>
      <x:c r="X95" s="106" t="e">
        <x:f aca="0">IF($A95="","",[1]!thsiFinD("ths_adjustment_nv_fund",X$3,$A95))</x:f>
        <x:v>#NAME?</x:v>
      </x:c>
      <x:c r="Y95" s="106" t="e">
        <x:f aca="0">IF($A95="","",[1]!thsiFinD("ths_adjustment_nv_fund",Y$3,$A95))</x:f>
        <x:v>#NAME?</x:v>
      </x:c>
      <x:c r="Z95" t="e">
        <x:f>IF($A95="","",[1]!thsiFinD("ths_adjustment_nv_fund",Z$3,$A95))</x:f>
        <x:v>#NAME?</x:v>
      </x:c>
      <x:c r="AA95" t="e">
        <x:f>IF($A95="","",[1]!thsiFinD("ths_adjustment_nv_fund",AA$3,$A95))</x:f>
        <x:v>#NAME?</x:v>
      </x:c>
    </x:row>
    <x:row r="96" ht="12" hidden="0">
      <x:c r="A96" s="9"/>
      <x:c r="B96" s="106" t="e">
        <x:f aca="0">IF($A96="","",[1]!thsiFinD("ths_adjustment_nv_fund",B$3,$A96))</x:f>
        <x:v>#NAME?</x:v>
      </x:c>
      <x:c r="C96" s="106" t="e">
        <x:f aca="0">IF($A96="","",[1]!thsiFinD("ths_adjustment_nv_fund",C$3,$A96))</x:f>
        <x:v>#NAME?</x:v>
      </x:c>
      <x:c r="D96" s="106" t="e">
        <x:f aca="0">IF($A96="","",[1]!thsiFinD("ths_adjustment_nv_fund",D$3,$A96))</x:f>
        <x:v>#NAME?</x:v>
      </x:c>
      <x:c r="E96" s="106" t="e">
        <x:f aca="0">IF($A96="","",[1]!thsiFinD("ths_adjustment_nv_fund",E$3,$A96))</x:f>
        <x:v>#NAME?</x:v>
      </x:c>
      <x:c r="F96" s="106" t="e">
        <x:f aca="0">IF($A96="","",[1]!thsiFinD("ths_adjustment_nv_fund",F$3,$A96))</x:f>
        <x:v>#NAME?</x:v>
      </x:c>
      <x:c r="G96" s="106" t="e">
        <x:f aca="0">IF($A96="","",[1]!thsiFinD("ths_adjustment_nv_fund",G$3,$A96))</x:f>
        <x:v>#NAME?</x:v>
      </x:c>
      <x:c r="H96" s="106" t="e">
        <x:f aca="0">IF($A96="","",[1]!thsiFinD("ths_adjustment_nv_fund",H$3,$A96))</x:f>
        <x:v>#NAME?</x:v>
      </x:c>
      <x:c r="I96" s="106" t="e">
        <x:f aca="0">IF($A96="","",[1]!thsiFinD("ths_adjustment_nv_fund",I$3,$A96))</x:f>
        <x:v>#NAME?</x:v>
      </x:c>
      <x:c r="J96" s="106" t="e">
        <x:f aca="0">IF($A96="","",[1]!thsiFinD("ths_adjustment_nv_fund",J$3,$A96))</x:f>
        <x:v>#NAME?</x:v>
      </x:c>
      <x:c r="K96" s="106" t="e">
        <x:f aca="0">IF($A96="","",[1]!thsiFinD("ths_adjustment_nv_fund",K$3,$A96))</x:f>
        <x:v>#NAME?</x:v>
      </x:c>
      <x:c r="L96" s="106" t="e">
        <x:f aca="0">IF($A96="","",[1]!thsiFinD("ths_adjustment_nv_fund",L$3,$A96))</x:f>
        <x:v>#NAME?</x:v>
      </x:c>
      <x:c r="M96" s="106" t="e">
        <x:f aca="0">IF($A96="","",[1]!thsiFinD("ths_adjustment_nv_fund",M$3,$A96))</x:f>
        <x:v>#NAME?</x:v>
      </x:c>
      <x:c r="N96" s="106" t="e">
        <x:f aca="0">IF($A96="","",[1]!thsiFinD("ths_adjustment_nv_fund",N$3,$A96))</x:f>
        <x:v>#NAME?</x:v>
      </x:c>
      <x:c r="O96" s="106" t="e">
        <x:f aca="0">IF($A96="","",[1]!thsiFinD("ths_adjustment_nv_fund",O$3,$A96))</x:f>
        <x:v>#NAME?</x:v>
      </x:c>
      <x:c r="P96" s="106" t="e">
        <x:f aca="0">IF($A96="","",[1]!thsiFinD("ths_adjustment_nv_fund",P$3,$A96))</x:f>
        <x:v>#NAME?</x:v>
      </x:c>
      <x:c r="Q96" s="106" t="e">
        <x:f aca="0">IF($A96="","",[1]!thsiFinD("ths_adjustment_nv_fund",Q$3,$A96))</x:f>
        <x:v>#NAME?</x:v>
      </x:c>
      <x:c r="R96" s="106" t="e">
        <x:f aca="0">IF($A96="","",[1]!thsiFinD("ths_adjustment_nv_fund",R$3,$A96))</x:f>
        <x:v>#NAME?</x:v>
      </x:c>
      <x:c r="S96" s="106" t="e">
        <x:f aca="0">IF($A96="","",[1]!thsiFinD("ths_adjustment_nv_fund",S$3,$A96))</x:f>
        <x:v>#NAME?</x:v>
      </x:c>
      <x:c r="T96" s="106" t="e">
        <x:f aca="0">IF($A96="","",[1]!thsiFinD("ths_adjustment_nv_fund",T$3,$A96))</x:f>
        <x:v>#NAME?</x:v>
      </x:c>
      <x:c r="U96" s="106" t="e">
        <x:f aca="0">IF($A96="","",[1]!thsiFinD("ths_adjustment_nv_fund",U$3,$A96))</x:f>
        <x:v>#NAME?</x:v>
      </x:c>
      <x:c r="V96" s="106" t="e">
        <x:f aca="0">IF($A96="","",[1]!thsiFinD("ths_adjustment_nv_fund",V$3,$A96))</x:f>
        <x:v>#NAME?</x:v>
      </x:c>
      <x:c r="W96" s="106" t="e">
        <x:f aca="0">IF($A96="","",[1]!thsiFinD("ths_adjustment_nv_fund",W$3,$A96))</x:f>
        <x:v>#NAME?</x:v>
      </x:c>
      <x:c r="X96" s="106" t="e">
        <x:f aca="0">IF($A96="","",[1]!thsiFinD("ths_adjustment_nv_fund",X$3,$A96))</x:f>
        <x:v>#NAME?</x:v>
      </x:c>
      <x:c r="Y96" s="106" t="e">
        <x:f aca="0">IF($A96="","",[1]!thsiFinD("ths_adjustment_nv_fund",Y$3,$A96))</x:f>
        <x:v>#NAME?</x:v>
      </x:c>
      <x:c r="Z96" t="e">
        <x:f>IF($A96="","",[1]!thsiFinD("ths_adjustment_nv_fund",Z$3,$A96))</x:f>
        <x:v>#NAME?</x:v>
      </x:c>
      <x:c r="AA96" t="e">
        <x:f>IF($A96="","",[1]!thsiFinD("ths_adjustment_nv_fund",AA$3,$A96))</x:f>
        <x:v>#NAME?</x:v>
      </x:c>
    </x:row>
    <x:row r="97" ht="12" hidden="0">
      <x:c r="A97" s="9"/>
      <x:c r="B97" s="106" t="e">
        <x:f aca="0">IF($A97="","",[1]!thsiFinD("ths_adjustment_nv_fund",B$3,$A97))</x:f>
        <x:v>#NAME?</x:v>
      </x:c>
      <x:c r="C97" s="106" t="e">
        <x:f aca="0">IF($A97="","",[1]!thsiFinD("ths_adjustment_nv_fund",C$3,$A97))</x:f>
        <x:v>#NAME?</x:v>
      </x:c>
      <x:c r="D97" s="106" t="e">
        <x:f aca="0">IF($A97="","",[1]!thsiFinD("ths_adjustment_nv_fund",D$3,$A97))</x:f>
        <x:v>#NAME?</x:v>
      </x:c>
      <x:c r="E97" s="106" t="e">
        <x:f aca="0">IF($A97="","",[1]!thsiFinD("ths_adjustment_nv_fund",E$3,$A97))</x:f>
        <x:v>#NAME?</x:v>
      </x:c>
      <x:c r="F97" s="106" t="e">
        <x:f aca="0">IF($A97="","",[1]!thsiFinD("ths_adjustment_nv_fund",F$3,$A97))</x:f>
        <x:v>#NAME?</x:v>
      </x:c>
      <x:c r="G97" s="106" t="e">
        <x:f aca="0">IF($A97="","",[1]!thsiFinD("ths_adjustment_nv_fund",G$3,$A97))</x:f>
        <x:v>#NAME?</x:v>
      </x:c>
      <x:c r="H97" s="106" t="e">
        <x:f aca="0">IF($A97="","",[1]!thsiFinD("ths_adjustment_nv_fund",H$3,$A97))</x:f>
        <x:v>#NAME?</x:v>
      </x:c>
      <x:c r="I97" s="106" t="e">
        <x:f aca="0">IF($A97="","",[1]!thsiFinD("ths_adjustment_nv_fund",I$3,$A97))</x:f>
        <x:v>#NAME?</x:v>
      </x:c>
      <x:c r="J97" s="106" t="e">
        <x:f aca="0">IF($A97="","",[1]!thsiFinD("ths_adjustment_nv_fund",J$3,$A97))</x:f>
        <x:v>#NAME?</x:v>
      </x:c>
      <x:c r="K97" s="106" t="e">
        <x:f aca="0">IF($A97="","",[1]!thsiFinD("ths_adjustment_nv_fund",K$3,$A97))</x:f>
        <x:v>#NAME?</x:v>
      </x:c>
      <x:c r="L97" s="106" t="e">
        <x:f aca="0">IF($A97="","",[1]!thsiFinD("ths_adjustment_nv_fund",L$3,$A97))</x:f>
        <x:v>#NAME?</x:v>
      </x:c>
      <x:c r="M97" s="106" t="e">
        <x:f aca="0">IF($A97="","",[1]!thsiFinD("ths_adjustment_nv_fund",M$3,$A97))</x:f>
        <x:v>#NAME?</x:v>
      </x:c>
      <x:c r="N97" s="106" t="e">
        <x:f aca="0">IF($A97="","",[1]!thsiFinD("ths_adjustment_nv_fund",N$3,$A97))</x:f>
        <x:v>#NAME?</x:v>
      </x:c>
      <x:c r="O97" s="106" t="e">
        <x:f aca="0">IF($A97="","",[1]!thsiFinD("ths_adjustment_nv_fund",O$3,$A97))</x:f>
        <x:v>#NAME?</x:v>
      </x:c>
      <x:c r="P97" s="106" t="e">
        <x:f aca="0">IF($A97="","",[1]!thsiFinD("ths_adjustment_nv_fund",P$3,$A97))</x:f>
        <x:v>#NAME?</x:v>
      </x:c>
      <x:c r="Q97" s="106" t="e">
        <x:f aca="0">IF($A97="","",[1]!thsiFinD("ths_adjustment_nv_fund",Q$3,$A97))</x:f>
        <x:v>#NAME?</x:v>
      </x:c>
      <x:c r="R97" s="106" t="e">
        <x:f aca="0">IF($A97="","",[1]!thsiFinD("ths_adjustment_nv_fund",R$3,$A97))</x:f>
        <x:v>#NAME?</x:v>
      </x:c>
      <x:c r="S97" s="106" t="e">
        <x:f aca="0">IF($A97="","",[1]!thsiFinD("ths_adjustment_nv_fund",S$3,$A97))</x:f>
        <x:v>#NAME?</x:v>
      </x:c>
      <x:c r="T97" s="106" t="e">
        <x:f aca="0">IF($A97="","",[1]!thsiFinD("ths_adjustment_nv_fund",T$3,$A97))</x:f>
        <x:v>#NAME?</x:v>
      </x:c>
      <x:c r="U97" s="106" t="e">
        <x:f aca="0">IF($A97="","",[1]!thsiFinD("ths_adjustment_nv_fund",U$3,$A97))</x:f>
        <x:v>#NAME?</x:v>
      </x:c>
      <x:c r="V97" s="106" t="e">
        <x:f aca="0">IF($A97="","",[1]!thsiFinD("ths_adjustment_nv_fund",V$3,$A97))</x:f>
        <x:v>#NAME?</x:v>
      </x:c>
      <x:c r="W97" s="106" t="e">
        <x:f aca="0">IF($A97="","",[1]!thsiFinD("ths_adjustment_nv_fund",W$3,$A97))</x:f>
        <x:v>#NAME?</x:v>
      </x:c>
      <x:c r="X97" s="106" t="e">
        <x:f aca="0">IF($A97="","",[1]!thsiFinD("ths_adjustment_nv_fund",X$3,$A97))</x:f>
        <x:v>#NAME?</x:v>
      </x:c>
      <x:c r="Y97" s="106" t="e">
        <x:f aca="0">IF($A97="","",[1]!thsiFinD("ths_adjustment_nv_fund",Y$3,$A97))</x:f>
        <x:v>#NAME?</x:v>
      </x:c>
      <x:c r="Z97" t="e">
        <x:f>IF($A97="","",[1]!thsiFinD("ths_adjustment_nv_fund",Z$3,$A97))</x:f>
        <x:v>#NAME?</x:v>
      </x:c>
      <x:c r="AA97" t="e">
        <x:f>IF($A97="","",[1]!thsiFinD("ths_adjustment_nv_fund",AA$3,$A97))</x:f>
        <x:v>#NAME?</x:v>
      </x:c>
    </x:row>
    <x:row r="98" ht="12" hidden="0">
      <x:c r="A98" s="9"/>
      <x:c r="B98" s="106" t="e">
        <x:f aca="0">IF($A98="","",[1]!thsiFinD("ths_adjustment_nv_fund",B$3,$A98))</x:f>
        <x:v>#NAME?</x:v>
      </x:c>
      <x:c r="C98" s="106" t="e">
        <x:f aca="0">IF($A98="","",[1]!thsiFinD("ths_adjustment_nv_fund",C$3,$A98))</x:f>
        <x:v>#NAME?</x:v>
      </x:c>
      <x:c r="D98" s="106" t="e">
        <x:f aca="0">IF($A98="","",[1]!thsiFinD("ths_adjustment_nv_fund",D$3,$A98))</x:f>
        <x:v>#NAME?</x:v>
      </x:c>
      <x:c r="E98" s="106" t="e">
        <x:f aca="0">IF($A98="","",[1]!thsiFinD("ths_adjustment_nv_fund",E$3,$A98))</x:f>
        <x:v>#NAME?</x:v>
      </x:c>
      <x:c r="F98" s="106" t="e">
        <x:f aca="0">IF($A98="","",[1]!thsiFinD("ths_adjustment_nv_fund",F$3,$A98))</x:f>
        <x:v>#NAME?</x:v>
      </x:c>
      <x:c r="G98" s="106" t="e">
        <x:f aca="0">IF($A98="","",[1]!thsiFinD("ths_adjustment_nv_fund",G$3,$A98))</x:f>
        <x:v>#NAME?</x:v>
      </x:c>
      <x:c r="H98" s="106" t="e">
        <x:f aca="0">IF($A98="","",[1]!thsiFinD("ths_adjustment_nv_fund",H$3,$A98))</x:f>
        <x:v>#NAME?</x:v>
      </x:c>
      <x:c r="I98" s="106" t="e">
        <x:f aca="0">IF($A98="","",[1]!thsiFinD("ths_adjustment_nv_fund",I$3,$A98))</x:f>
        <x:v>#NAME?</x:v>
      </x:c>
      <x:c r="J98" s="106" t="e">
        <x:f aca="0">IF($A98="","",[1]!thsiFinD("ths_adjustment_nv_fund",J$3,$A98))</x:f>
        <x:v>#NAME?</x:v>
      </x:c>
      <x:c r="K98" s="106" t="e">
        <x:f aca="0">IF($A98="","",[1]!thsiFinD("ths_adjustment_nv_fund",K$3,$A98))</x:f>
        <x:v>#NAME?</x:v>
      </x:c>
      <x:c r="L98" s="106" t="e">
        <x:f aca="0">IF($A98="","",[1]!thsiFinD("ths_adjustment_nv_fund",L$3,$A98))</x:f>
        <x:v>#NAME?</x:v>
      </x:c>
      <x:c r="M98" s="106" t="e">
        <x:f aca="0">IF($A98="","",[1]!thsiFinD("ths_adjustment_nv_fund",M$3,$A98))</x:f>
        <x:v>#NAME?</x:v>
      </x:c>
      <x:c r="N98" s="106" t="e">
        <x:f aca="0">IF($A98="","",[1]!thsiFinD("ths_adjustment_nv_fund",N$3,$A98))</x:f>
        <x:v>#NAME?</x:v>
      </x:c>
      <x:c r="O98" s="106" t="e">
        <x:f aca="0">IF($A98="","",[1]!thsiFinD("ths_adjustment_nv_fund",O$3,$A98))</x:f>
        <x:v>#NAME?</x:v>
      </x:c>
      <x:c r="P98" s="106" t="e">
        <x:f aca="0">IF($A98="","",[1]!thsiFinD("ths_adjustment_nv_fund",P$3,$A98))</x:f>
        <x:v>#NAME?</x:v>
      </x:c>
      <x:c r="Q98" s="106" t="e">
        <x:f aca="0">IF($A98="","",[1]!thsiFinD("ths_adjustment_nv_fund",Q$3,$A98))</x:f>
        <x:v>#NAME?</x:v>
      </x:c>
      <x:c r="R98" s="106" t="e">
        <x:f aca="0">IF($A98="","",[1]!thsiFinD("ths_adjustment_nv_fund",R$3,$A98))</x:f>
        <x:v>#NAME?</x:v>
      </x:c>
      <x:c r="S98" s="106" t="e">
        <x:f aca="0">IF($A98="","",[1]!thsiFinD("ths_adjustment_nv_fund",S$3,$A98))</x:f>
        <x:v>#NAME?</x:v>
      </x:c>
      <x:c r="T98" s="106" t="e">
        <x:f aca="0">IF($A98="","",[1]!thsiFinD("ths_adjustment_nv_fund",T$3,$A98))</x:f>
        <x:v>#NAME?</x:v>
      </x:c>
      <x:c r="U98" s="106" t="e">
        <x:f aca="0">IF($A98="","",[1]!thsiFinD("ths_adjustment_nv_fund",U$3,$A98))</x:f>
        <x:v>#NAME?</x:v>
      </x:c>
      <x:c r="V98" s="106" t="e">
        <x:f aca="0">IF($A98="","",[1]!thsiFinD("ths_adjustment_nv_fund",V$3,$A98))</x:f>
        <x:v>#NAME?</x:v>
      </x:c>
      <x:c r="W98" s="106" t="e">
        <x:f aca="0">IF($A98="","",[1]!thsiFinD("ths_adjustment_nv_fund",W$3,$A98))</x:f>
        <x:v>#NAME?</x:v>
      </x:c>
      <x:c r="X98" s="106" t="e">
        <x:f aca="0">IF($A98="","",[1]!thsiFinD("ths_adjustment_nv_fund",X$3,$A98))</x:f>
        <x:v>#NAME?</x:v>
      </x:c>
      <x:c r="Y98" s="106" t="e">
        <x:f aca="0">IF($A98="","",[1]!thsiFinD("ths_adjustment_nv_fund",Y$3,$A98))</x:f>
        <x:v>#NAME?</x:v>
      </x:c>
      <x:c r="Z98" t="e">
        <x:f>IF($A98="","",[1]!thsiFinD("ths_adjustment_nv_fund",Z$3,$A98))</x:f>
        <x:v>#NAME?</x:v>
      </x:c>
      <x:c r="AA98" t="e">
        <x:f>IF($A98="","",[1]!thsiFinD("ths_adjustment_nv_fund",AA$3,$A98))</x:f>
        <x:v>#NAME?</x:v>
      </x:c>
    </x:row>
    <x:row r="99" ht="12" hidden="0">
      <x:c r="A99" s="9"/>
      <x:c r="B99" s="106" t="e">
        <x:f aca="0">IF($A99="","",[1]!thsiFinD("ths_adjustment_nv_fund",B$3,$A99))</x:f>
        <x:v>#NAME?</x:v>
      </x:c>
      <x:c r="C99" s="106" t="e">
        <x:f aca="0">IF($A99="","",[1]!thsiFinD("ths_adjustment_nv_fund",C$3,$A99))</x:f>
        <x:v>#NAME?</x:v>
      </x:c>
      <x:c r="D99" s="106" t="e">
        <x:f aca="0">IF($A99="","",[1]!thsiFinD("ths_adjustment_nv_fund",D$3,$A99))</x:f>
        <x:v>#NAME?</x:v>
      </x:c>
      <x:c r="E99" s="106" t="e">
        <x:f aca="0">IF($A99="","",[1]!thsiFinD("ths_adjustment_nv_fund",E$3,$A99))</x:f>
        <x:v>#NAME?</x:v>
      </x:c>
      <x:c r="F99" s="106" t="e">
        <x:f aca="0">IF($A99="","",[1]!thsiFinD("ths_adjustment_nv_fund",F$3,$A99))</x:f>
        <x:v>#NAME?</x:v>
      </x:c>
      <x:c r="G99" s="106" t="e">
        <x:f aca="0">IF($A99="","",[1]!thsiFinD("ths_adjustment_nv_fund",G$3,$A99))</x:f>
        <x:v>#NAME?</x:v>
      </x:c>
      <x:c r="H99" s="106" t="e">
        <x:f aca="0">IF($A99="","",[1]!thsiFinD("ths_adjustment_nv_fund",H$3,$A99))</x:f>
        <x:v>#NAME?</x:v>
      </x:c>
      <x:c r="I99" s="106" t="e">
        <x:f aca="0">IF($A99="","",[1]!thsiFinD("ths_adjustment_nv_fund",I$3,$A99))</x:f>
        <x:v>#NAME?</x:v>
      </x:c>
      <x:c r="J99" s="106" t="e">
        <x:f aca="0">IF($A99="","",[1]!thsiFinD("ths_adjustment_nv_fund",J$3,$A99))</x:f>
        <x:v>#NAME?</x:v>
      </x:c>
      <x:c r="K99" s="106" t="e">
        <x:f aca="0">IF($A99="","",[1]!thsiFinD("ths_adjustment_nv_fund",K$3,$A99))</x:f>
        <x:v>#NAME?</x:v>
      </x:c>
      <x:c r="L99" s="106" t="e">
        <x:f aca="0">IF($A99="","",[1]!thsiFinD("ths_adjustment_nv_fund",L$3,$A99))</x:f>
        <x:v>#NAME?</x:v>
      </x:c>
      <x:c r="M99" s="106" t="e">
        <x:f aca="0">IF($A99="","",[1]!thsiFinD("ths_adjustment_nv_fund",M$3,$A99))</x:f>
        <x:v>#NAME?</x:v>
      </x:c>
      <x:c r="N99" s="106" t="e">
        <x:f aca="0">IF($A99="","",[1]!thsiFinD("ths_adjustment_nv_fund",N$3,$A99))</x:f>
        <x:v>#NAME?</x:v>
      </x:c>
      <x:c r="O99" s="106" t="e">
        <x:f aca="0">IF($A99="","",[1]!thsiFinD("ths_adjustment_nv_fund",O$3,$A99))</x:f>
        <x:v>#NAME?</x:v>
      </x:c>
      <x:c r="P99" s="106" t="e">
        <x:f aca="0">IF($A99="","",[1]!thsiFinD("ths_adjustment_nv_fund",P$3,$A99))</x:f>
        <x:v>#NAME?</x:v>
      </x:c>
      <x:c r="Q99" s="106" t="e">
        <x:f aca="0">IF($A99="","",[1]!thsiFinD("ths_adjustment_nv_fund",Q$3,$A99))</x:f>
        <x:v>#NAME?</x:v>
      </x:c>
      <x:c r="R99" s="106" t="e">
        <x:f aca="0">IF($A99="","",[1]!thsiFinD("ths_adjustment_nv_fund",R$3,$A99))</x:f>
        <x:v>#NAME?</x:v>
      </x:c>
      <x:c r="S99" s="106" t="e">
        <x:f aca="0">IF($A99="","",[1]!thsiFinD("ths_adjustment_nv_fund",S$3,$A99))</x:f>
        <x:v>#NAME?</x:v>
      </x:c>
      <x:c r="T99" s="106" t="e">
        <x:f aca="0">IF($A99="","",[1]!thsiFinD("ths_adjustment_nv_fund",T$3,$A99))</x:f>
        <x:v>#NAME?</x:v>
      </x:c>
      <x:c r="U99" s="106" t="e">
        <x:f aca="0">IF($A99="","",[1]!thsiFinD("ths_adjustment_nv_fund",U$3,$A99))</x:f>
        <x:v>#NAME?</x:v>
      </x:c>
      <x:c r="V99" s="106" t="e">
        <x:f aca="0">IF($A99="","",[1]!thsiFinD("ths_adjustment_nv_fund",V$3,$A99))</x:f>
        <x:v>#NAME?</x:v>
      </x:c>
      <x:c r="W99" s="106" t="e">
        <x:f aca="0">IF($A99="","",[1]!thsiFinD("ths_adjustment_nv_fund",W$3,$A99))</x:f>
        <x:v>#NAME?</x:v>
      </x:c>
      <x:c r="X99" s="106" t="e">
        <x:f aca="0">IF($A99="","",[1]!thsiFinD("ths_adjustment_nv_fund",X$3,$A99))</x:f>
        <x:v>#NAME?</x:v>
      </x:c>
      <x:c r="Y99" s="106" t="e">
        <x:f aca="0">IF($A99="","",[1]!thsiFinD("ths_adjustment_nv_fund",Y$3,$A99))</x:f>
        <x:v>#NAME?</x:v>
      </x:c>
      <x:c r="Z99" t="e">
        <x:f>IF($A99="","",[1]!thsiFinD("ths_adjustment_nv_fund",Z$3,$A99))</x:f>
        <x:v>#NAME?</x:v>
      </x:c>
      <x:c r="AA99" t="e">
        <x:f>IF($A99="","",[1]!thsiFinD("ths_adjustment_nv_fund",AA$3,$A99))</x:f>
        <x:v>#NAME?</x:v>
      </x:c>
    </x:row>
    <x:row r="100" ht="12" hidden="0">
      <x:c r="A100" s="9"/>
      <x:c r="B100" s="106" t="e">
        <x:f aca="0">IF($A100="","",[1]!thsiFinD("ths_adjustment_nv_fund",B$3,$A100))</x:f>
        <x:v>#NAME?</x:v>
      </x:c>
      <x:c r="C100" s="106" t="e">
        <x:f aca="0">IF($A100="","",[1]!thsiFinD("ths_adjustment_nv_fund",C$3,$A100))</x:f>
        <x:v>#NAME?</x:v>
      </x:c>
      <x:c r="D100" s="106" t="e">
        <x:f aca="0">IF($A100="","",[1]!thsiFinD("ths_adjustment_nv_fund",D$3,$A100))</x:f>
        <x:v>#NAME?</x:v>
      </x:c>
      <x:c r="E100" s="106" t="e">
        <x:f aca="0">IF($A100="","",[1]!thsiFinD("ths_adjustment_nv_fund",E$3,$A100))</x:f>
        <x:v>#NAME?</x:v>
      </x:c>
      <x:c r="F100" s="106" t="e">
        <x:f aca="0">IF($A100="","",[1]!thsiFinD("ths_adjustment_nv_fund",F$3,$A100))</x:f>
        <x:v>#NAME?</x:v>
      </x:c>
      <x:c r="G100" s="106" t="e">
        <x:f aca="0">IF($A100="","",[1]!thsiFinD("ths_adjustment_nv_fund",G$3,$A100))</x:f>
        <x:v>#NAME?</x:v>
      </x:c>
      <x:c r="H100" s="106" t="e">
        <x:f aca="0">IF($A100="","",[1]!thsiFinD("ths_adjustment_nv_fund",H$3,$A100))</x:f>
        <x:v>#NAME?</x:v>
      </x:c>
      <x:c r="I100" s="106" t="e">
        <x:f aca="0">IF($A100="","",[1]!thsiFinD("ths_adjustment_nv_fund",I$3,$A100))</x:f>
        <x:v>#NAME?</x:v>
      </x:c>
      <x:c r="J100" s="106" t="e">
        <x:f aca="0">IF($A100="","",[1]!thsiFinD("ths_adjustment_nv_fund",J$3,$A100))</x:f>
        <x:v>#NAME?</x:v>
      </x:c>
      <x:c r="K100" s="106" t="e">
        <x:f aca="0">IF($A100="","",[1]!thsiFinD("ths_adjustment_nv_fund",K$3,$A100))</x:f>
        <x:v>#NAME?</x:v>
      </x:c>
      <x:c r="L100" s="106" t="e">
        <x:f aca="0">IF($A100="","",[1]!thsiFinD("ths_adjustment_nv_fund",L$3,$A100))</x:f>
        <x:v>#NAME?</x:v>
      </x:c>
      <x:c r="M100" s="106" t="e">
        <x:f aca="0">IF($A100="","",[1]!thsiFinD("ths_adjustment_nv_fund",M$3,$A100))</x:f>
        <x:v>#NAME?</x:v>
      </x:c>
      <x:c r="N100" s="106" t="e">
        <x:f aca="0">IF($A100="","",[1]!thsiFinD("ths_adjustment_nv_fund",N$3,$A100))</x:f>
        <x:v>#NAME?</x:v>
      </x:c>
      <x:c r="O100" s="106" t="e">
        <x:f aca="0">IF($A100="","",[1]!thsiFinD("ths_adjustment_nv_fund",O$3,$A100))</x:f>
        <x:v>#NAME?</x:v>
      </x:c>
      <x:c r="P100" s="106" t="e">
        <x:f aca="0">IF($A100="","",[1]!thsiFinD("ths_adjustment_nv_fund",P$3,$A100))</x:f>
        <x:v>#NAME?</x:v>
      </x:c>
      <x:c r="Q100" s="106" t="e">
        <x:f aca="0">IF($A100="","",[1]!thsiFinD("ths_adjustment_nv_fund",Q$3,$A100))</x:f>
        <x:v>#NAME?</x:v>
      </x:c>
      <x:c r="R100" s="106" t="e">
        <x:f aca="0">IF($A100="","",[1]!thsiFinD("ths_adjustment_nv_fund",R$3,$A100))</x:f>
        <x:v>#NAME?</x:v>
      </x:c>
      <x:c r="S100" s="106" t="e">
        <x:f aca="0">IF($A100="","",[1]!thsiFinD("ths_adjustment_nv_fund",S$3,$A100))</x:f>
        <x:v>#NAME?</x:v>
      </x:c>
      <x:c r="T100" s="106" t="e">
        <x:f aca="0">IF($A100="","",[1]!thsiFinD("ths_adjustment_nv_fund",T$3,$A100))</x:f>
        <x:v>#NAME?</x:v>
      </x:c>
      <x:c r="U100" s="106" t="e">
        <x:f aca="0">IF($A100="","",[1]!thsiFinD("ths_adjustment_nv_fund",U$3,$A100))</x:f>
        <x:v>#NAME?</x:v>
      </x:c>
      <x:c r="V100" s="106" t="e">
        <x:f aca="0">IF($A100="","",[1]!thsiFinD("ths_adjustment_nv_fund",V$3,$A100))</x:f>
        <x:v>#NAME?</x:v>
      </x:c>
      <x:c r="W100" s="106" t="e">
        <x:f aca="0">IF($A100="","",[1]!thsiFinD("ths_adjustment_nv_fund",W$3,$A100))</x:f>
        <x:v>#NAME?</x:v>
      </x:c>
      <x:c r="X100" s="106" t="e">
        <x:f aca="0">IF($A100="","",[1]!thsiFinD("ths_adjustment_nv_fund",X$3,$A100))</x:f>
        <x:v>#NAME?</x:v>
      </x:c>
      <x:c r="Y100" s="106" t="e">
        <x:f aca="0">IF($A100="","",[1]!thsiFinD("ths_adjustment_nv_fund",Y$3,$A100))</x:f>
        <x:v>#NAME?</x:v>
      </x:c>
      <x:c r="Z100" t="e">
        <x:f>IF($A100="","",[1]!thsiFinD("ths_adjustment_nv_fund",Z$3,$A100))</x:f>
        <x:v>#NAME?</x:v>
      </x:c>
      <x:c r="AA100" t="e">
        <x:f>IF($A100="","",[1]!thsiFinD("ths_adjustment_nv_fund",AA$3,$A100))</x:f>
        <x:v>#NAME?</x:v>
      </x:c>
    </x:row>
    <x:row r="101" ht="12" hidden="0">
      <x:c r="A101" s="9"/>
      <x:c r="B101" s="106" t="e">
        <x:f aca="0">IF($A101="","",[1]!thsiFinD("ths_adjustment_nv_fund",B$3,$A101))</x:f>
        <x:v>#NAME?</x:v>
      </x:c>
      <x:c r="C101" s="106" t="e">
        <x:f aca="0">IF($A101="","",[1]!thsiFinD("ths_adjustment_nv_fund",C$3,$A101))</x:f>
        <x:v>#NAME?</x:v>
      </x:c>
      <x:c r="D101" s="106" t="e">
        <x:f aca="0">IF($A101="","",[1]!thsiFinD("ths_adjustment_nv_fund",D$3,$A101))</x:f>
        <x:v>#NAME?</x:v>
      </x:c>
      <x:c r="E101" s="106" t="e">
        <x:f aca="0">IF($A101="","",[1]!thsiFinD("ths_adjustment_nv_fund",E$3,$A101))</x:f>
        <x:v>#NAME?</x:v>
      </x:c>
      <x:c r="F101" s="106" t="e">
        <x:f aca="0">IF($A101="","",[1]!thsiFinD("ths_adjustment_nv_fund",F$3,$A101))</x:f>
        <x:v>#NAME?</x:v>
      </x:c>
      <x:c r="G101" s="106" t="e">
        <x:f aca="0">IF($A101="","",[1]!thsiFinD("ths_adjustment_nv_fund",G$3,$A101))</x:f>
        <x:v>#NAME?</x:v>
      </x:c>
      <x:c r="H101" s="106" t="e">
        <x:f aca="0">IF($A101="","",[1]!thsiFinD("ths_adjustment_nv_fund",H$3,$A101))</x:f>
        <x:v>#NAME?</x:v>
      </x:c>
      <x:c r="I101" s="106" t="e">
        <x:f aca="0">IF($A101="","",[1]!thsiFinD("ths_adjustment_nv_fund",I$3,$A101))</x:f>
        <x:v>#NAME?</x:v>
      </x:c>
      <x:c r="J101" s="106" t="e">
        <x:f aca="0">IF($A101="","",[1]!thsiFinD("ths_adjustment_nv_fund",J$3,$A101))</x:f>
        <x:v>#NAME?</x:v>
      </x:c>
      <x:c r="K101" s="106" t="e">
        <x:f aca="0">IF($A101="","",[1]!thsiFinD("ths_adjustment_nv_fund",K$3,$A101))</x:f>
        <x:v>#NAME?</x:v>
      </x:c>
      <x:c r="L101" s="106" t="e">
        <x:f aca="0">IF($A101="","",[1]!thsiFinD("ths_adjustment_nv_fund",L$3,$A101))</x:f>
        <x:v>#NAME?</x:v>
      </x:c>
      <x:c r="M101" s="106" t="e">
        <x:f aca="0">IF($A101="","",[1]!thsiFinD("ths_adjustment_nv_fund",M$3,$A101))</x:f>
        <x:v>#NAME?</x:v>
      </x:c>
      <x:c r="N101" s="106" t="e">
        <x:f aca="0">IF($A101="","",[1]!thsiFinD("ths_adjustment_nv_fund",N$3,$A101))</x:f>
        <x:v>#NAME?</x:v>
      </x:c>
      <x:c r="O101" s="106" t="e">
        <x:f aca="0">IF($A101="","",[1]!thsiFinD("ths_adjustment_nv_fund",O$3,$A101))</x:f>
        <x:v>#NAME?</x:v>
      </x:c>
      <x:c r="P101" s="106" t="e">
        <x:f aca="0">IF($A101="","",[1]!thsiFinD("ths_adjustment_nv_fund",P$3,$A101))</x:f>
        <x:v>#NAME?</x:v>
      </x:c>
      <x:c r="Q101" s="106" t="e">
        <x:f aca="0">IF($A101="","",[1]!thsiFinD("ths_adjustment_nv_fund",Q$3,$A101))</x:f>
        <x:v>#NAME?</x:v>
      </x:c>
      <x:c r="R101" s="106" t="e">
        <x:f aca="0">IF($A101="","",[1]!thsiFinD("ths_adjustment_nv_fund",R$3,$A101))</x:f>
        <x:v>#NAME?</x:v>
      </x:c>
      <x:c r="S101" s="106" t="e">
        <x:f aca="0">IF($A101="","",[1]!thsiFinD("ths_adjustment_nv_fund",S$3,$A101))</x:f>
        <x:v>#NAME?</x:v>
      </x:c>
      <x:c r="T101" s="106" t="e">
        <x:f aca="0">IF($A101="","",[1]!thsiFinD("ths_adjustment_nv_fund",T$3,$A101))</x:f>
        <x:v>#NAME?</x:v>
      </x:c>
      <x:c r="U101" s="106" t="e">
        <x:f aca="0">IF($A101="","",[1]!thsiFinD("ths_adjustment_nv_fund",U$3,$A101))</x:f>
        <x:v>#NAME?</x:v>
      </x:c>
      <x:c r="V101" s="106" t="e">
        <x:f aca="0">IF($A101="","",[1]!thsiFinD("ths_adjustment_nv_fund",V$3,$A101))</x:f>
        <x:v>#NAME?</x:v>
      </x:c>
      <x:c r="W101" s="106" t="e">
        <x:f aca="0">IF($A101="","",[1]!thsiFinD("ths_adjustment_nv_fund",W$3,$A101))</x:f>
        <x:v>#NAME?</x:v>
      </x:c>
      <x:c r="X101" s="106" t="e">
        <x:f aca="0">IF($A101="","",[1]!thsiFinD("ths_adjustment_nv_fund",X$3,$A101))</x:f>
        <x:v>#NAME?</x:v>
      </x:c>
      <x:c r="Y101" s="106" t="e">
        <x:f aca="0">IF($A101="","",[1]!thsiFinD("ths_adjustment_nv_fund",Y$3,$A101))</x:f>
        <x:v>#NAME?</x:v>
      </x:c>
      <x:c r="Z101" t="e">
        <x:f>IF($A101="","",[1]!thsiFinD("ths_adjustment_nv_fund",Z$3,$A101))</x:f>
        <x:v>#NAME?</x:v>
      </x:c>
      <x:c r="AA101" t="e">
        <x:f>IF($A101="","",[1]!thsiFinD("ths_adjustment_nv_fund",AA$3,$A101))</x:f>
        <x:v>#NAME?</x:v>
      </x:c>
    </x:row>
    <x:row r="102" ht="12" hidden="0">
      <x:c r="A102" s="9"/>
      <x:c r="B102" s="106" t="e">
        <x:f aca="0">IF($A102="","",[1]!thsiFinD("ths_adjustment_nv_fund",B$3,$A102))</x:f>
        <x:v>#NAME?</x:v>
      </x:c>
      <x:c r="C102" s="106" t="e">
        <x:f aca="0">IF($A102="","",[1]!thsiFinD("ths_adjustment_nv_fund",C$3,$A102))</x:f>
        <x:v>#NAME?</x:v>
      </x:c>
      <x:c r="D102" s="106" t="e">
        <x:f aca="0">IF($A102="","",[1]!thsiFinD("ths_adjustment_nv_fund",D$3,$A102))</x:f>
        <x:v>#NAME?</x:v>
      </x:c>
      <x:c r="E102" s="106" t="e">
        <x:f aca="0">IF($A102="","",[1]!thsiFinD("ths_adjustment_nv_fund",E$3,$A102))</x:f>
        <x:v>#NAME?</x:v>
      </x:c>
      <x:c r="F102" s="106" t="e">
        <x:f aca="0">IF($A102="","",[1]!thsiFinD("ths_adjustment_nv_fund",F$3,$A102))</x:f>
        <x:v>#NAME?</x:v>
      </x:c>
      <x:c r="G102" s="106" t="e">
        <x:f aca="0">IF($A102="","",[1]!thsiFinD("ths_adjustment_nv_fund",G$3,$A102))</x:f>
        <x:v>#NAME?</x:v>
      </x:c>
      <x:c r="H102" s="106" t="e">
        <x:f aca="0">IF($A102="","",[1]!thsiFinD("ths_adjustment_nv_fund",H$3,$A102))</x:f>
        <x:v>#NAME?</x:v>
      </x:c>
      <x:c r="I102" s="106" t="e">
        <x:f aca="0">IF($A102="","",[1]!thsiFinD("ths_adjustment_nv_fund",I$3,$A102))</x:f>
        <x:v>#NAME?</x:v>
      </x:c>
      <x:c r="J102" s="106" t="e">
        <x:f aca="0">IF($A102="","",[1]!thsiFinD("ths_adjustment_nv_fund",J$3,$A102))</x:f>
        <x:v>#NAME?</x:v>
      </x:c>
      <x:c r="K102" s="106" t="e">
        <x:f aca="0">IF($A102="","",[1]!thsiFinD("ths_adjustment_nv_fund",K$3,$A102))</x:f>
        <x:v>#NAME?</x:v>
      </x:c>
      <x:c r="L102" s="106" t="e">
        <x:f aca="0">IF($A102="","",[1]!thsiFinD("ths_adjustment_nv_fund",L$3,$A102))</x:f>
        <x:v>#NAME?</x:v>
      </x:c>
      <x:c r="M102" s="106" t="e">
        <x:f aca="0">IF($A102="","",[1]!thsiFinD("ths_adjustment_nv_fund",M$3,$A102))</x:f>
        <x:v>#NAME?</x:v>
      </x:c>
      <x:c r="N102" s="106" t="e">
        <x:f aca="0">IF($A102="","",[1]!thsiFinD("ths_adjustment_nv_fund",N$3,$A102))</x:f>
        <x:v>#NAME?</x:v>
      </x:c>
      <x:c r="O102" s="106" t="e">
        <x:f aca="0">IF($A102="","",[1]!thsiFinD("ths_adjustment_nv_fund",O$3,$A102))</x:f>
        <x:v>#NAME?</x:v>
      </x:c>
      <x:c r="P102" s="106" t="e">
        <x:f aca="0">IF($A102="","",[1]!thsiFinD("ths_adjustment_nv_fund",P$3,$A102))</x:f>
        <x:v>#NAME?</x:v>
      </x:c>
      <x:c r="Q102" s="106" t="e">
        <x:f aca="0">IF($A102="","",[1]!thsiFinD("ths_adjustment_nv_fund",Q$3,$A102))</x:f>
        <x:v>#NAME?</x:v>
      </x:c>
      <x:c r="R102" s="106" t="e">
        <x:f aca="0">IF($A102="","",[1]!thsiFinD("ths_adjustment_nv_fund",R$3,$A102))</x:f>
        <x:v>#NAME?</x:v>
      </x:c>
      <x:c r="S102" s="106" t="e">
        <x:f aca="0">IF($A102="","",[1]!thsiFinD("ths_adjustment_nv_fund",S$3,$A102))</x:f>
        <x:v>#NAME?</x:v>
      </x:c>
      <x:c r="T102" s="106" t="e">
        <x:f aca="0">IF($A102="","",[1]!thsiFinD("ths_adjustment_nv_fund",T$3,$A102))</x:f>
        <x:v>#NAME?</x:v>
      </x:c>
      <x:c r="U102" s="106" t="e">
        <x:f aca="0">IF($A102="","",[1]!thsiFinD("ths_adjustment_nv_fund",U$3,$A102))</x:f>
        <x:v>#NAME?</x:v>
      </x:c>
      <x:c r="V102" s="106" t="e">
        <x:f aca="0">IF($A102="","",[1]!thsiFinD("ths_adjustment_nv_fund",V$3,$A102))</x:f>
        <x:v>#NAME?</x:v>
      </x:c>
      <x:c r="W102" s="106" t="e">
        <x:f aca="0">IF($A102="","",[1]!thsiFinD("ths_adjustment_nv_fund",W$3,$A102))</x:f>
        <x:v>#NAME?</x:v>
      </x:c>
      <x:c r="X102" s="106" t="e">
        <x:f aca="0">IF($A102="","",[1]!thsiFinD("ths_adjustment_nv_fund",X$3,$A102))</x:f>
        <x:v>#NAME?</x:v>
      </x:c>
      <x:c r="Y102" s="106" t="e">
        <x:f aca="0">IF($A102="","",[1]!thsiFinD("ths_adjustment_nv_fund",Y$3,$A102))</x:f>
        <x:v>#NAME?</x:v>
      </x:c>
      <x:c r="Z102" t="e">
        <x:f>IF($A102="","",[1]!thsiFinD("ths_adjustment_nv_fund",Z$3,$A102))</x:f>
        <x:v>#NAME?</x:v>
      </x:c>
      <x:c r="AA102" t="e">
        <x:f>IF($A102="","",[1]!thsiFinD("ths_adjustment_nv_fund",AA$3,$A102))</x:f>
        <x:v>#NAME?</x:v>
      </x:c>
    </x:row>
    <x:row r="103" ht="12" hidden="0">
      <x:c r="A103" s="9"/>
      <x:c r="B103" s="106" t="e">
        <x:f aca="0">IF($A103="","",[1]!thsiFinD("ths_adjustment_nv_fund",B$3,$A103))</x:f>
        <x:v>#NAME?</x:v>
      </x:c>
      <x:c r="C103" s="106" t="e">
        <x:f aca="0">IF($A103="","",[1]!thsiFinD("ths_adjustment_nv_fund",C$3,$A103))</x:f>
        <x:v>#NAME?</x:v>
      </x:c>
      <x:c r="D103" s="106" t="e">
        <x:f aca="0">IF($A103="","",[1]!thsiFinD("ths_adjustment_nv_fund",D$3,$A103))</x:f>
        <x:v>#NAME?</x:v>
      </x:c>
      <x:c r="E103" s="106" t="e">
        <x:f aca="0">IF($A103="","",[1]!thsiFinD("ths_adjustment_nv_fund",E$3,$A103))</x:f>
        <x:v>#NAME?</x:v>
      </x:c>
      <x:c r="F103" s="106" t="e">
        <x:f aca="0">IF($A103="","",[1]!thsiFinD("ths_adjustment_nv_fund",F$3,$A103))</x:f>
        <x:v>#NAME?</x:v>
      </x:c>
      <x:c r="G103" s="106" t="e">
        <x:f aca="0">IF($A103="","",[1]!thsiFinD("ths_adjustment_nv_fund",G$3,$A103))</x:f>
        <x:v>#NAME?</x:v>
      </x:c>
      <x:c r="H103" s="106" t="e">
        <x:f aca="0">IF($A103="","",[1]!thsiFinD("ths_adjustment_nv_fund",H$3,$A103))</x:f>
        <x:v>#NAME?</x:v>
      </x:c>
      <x:c r="I103" s="106" t="e">
        <x:f aca="0">IF($A103="","",[1]!thsiFinD("ths_adjustment_nv_fund",I$3,$A103))</x:f>
        <x:v>#NAME?</x:v>
      </x:c>
      <x:c r="J103" s="106" t="e">
        <x:f aca="0">IF($A103="","",[1]!thsiFinD("ths_adjustment_nv_fund",J$3,$A103))</x:f>
        <x:v>#NAME?</x:v>
      </x:c>
      <x:c r="K103" s="106" t="e">
        <x:f aca="0">IF($A103="","",[1]!thsiFinD("ths_adjustment_nv_fund",K$3,$A103))</x:f>
        <x:v>#NAME?</x:v>
      </x:c>
      <x:c r="L103" s="106" t="e">
        <x:f aca="0">IF($A103="","",[1]!thsiFinD("ths_adjustment_nv_fund",L$3,$A103))</x:f>
        <x:v>#NAME?</x:v>
      </x:c>
      <x:c r="M103" s="106" t="e">
        <x:f aca="0">IF($A103="","",[1]!thsiFinD("ths_adjustment_nv_fund",M$3,$A103))</x:f>
        <x:v>#NAME?</x:v>
      </x:c>
      <x:c r="N103" s="106" t="e">
        <x:f aca="0">IF($A103="","",[1]!thsiFinD("ths_adjustment_nv_fund",N$3,$A103))</x:f>
        <x:v>#NAME?</x:v>
      </x:c>
      <x:c r="O103" s="106" t="e">
        <x:f aca="0">IF($A103="","",[1]!thsiFinD("ths_adjustment_nv_fund",O$3,$A103))</x:f>
        <x:v>#NAME?</x:v>
      </x:c>
      <x:c r="P103" s="106" t="e">
        <x:f aca="0">IF($A103="","",[1]!thsiFinD("ths_adjustment_nv_fund",P$3,$A103))</x:f>
        <x:v>#NAME?</x:v>
      </x:c>
      <x:c r="Q103" s="106" t="e">
        <x:f aca="0">IF($A103="","",[1]!thsiFinD("ths_adjustment_nv_fund",Q$3,$A103))</x:f>
        <x:v>#NAME?</x:v>
      </x:c>
      <x:c r="R103" s="106" t="e">
        <x:f aca="0">IF($A103="","",[1]!thsiFinD("ths_adjustment_nv_fund",R$3,$A103))</x:f>
        <x:v>#NAME?</x:v>
      </x:c>
      <x:c r="S103" s="106" t="e">
        <x:f aca="0">IF($A103="","",[1]!thsiFinD("ths_adjustment_nv_fund",S$3,$A103))</x:f>
        <x:v>#NAME?</x:v>
      </x:c>
      <x:c r="T103" s="106" t="e">
        <x:f aca="0">IF($A103="","",[1]!thsiFinD("ths_adjustment_nv_fund",T$3,$A103))</x:f>
        <x:v>#NAME?</x:v>
      </x:c>
      <x:c r="U103" s="106" t="e">
        <x:f aca="0">IF($A103="","",[1]!thsiFinD("ths_adjustment_nv_fund",U$3,$A103))</x:f>
        <x:v>#NAME?</x:v>
      </x:c>
      <x:c r="V103" s="106" t="e">
        <x:f aca="0">IF($A103="","",[1]!thsiFinD("ths_adjustment_nv_fund",V$3,$A103))</x:f>
        <x:v>#NAME?</x:v>
      </x:c>
      <x:c r="W103" s="106" t="e">
        <x:f aca="0">IF($A103="","",[1]!thsiFinD("ths_adjustment_nv_fund",W$3,$A103))</x:f>
        <x:v>#NAME?</x:v>
      </x:c>
      <x:c r="X103" s="106" t="e">
        <x:f aca="0">IF($A103="","",[1]!thsiFinD("ths_adjustment_nv_fund",X$3,$A103))</x:f>
        <x:v>#NAME?</x:v>
      </x:c>
      <x:c r="Y103" s="106" t="e">
        <x:f aca="0">IF($A103="","",[1]!thsiFinD("ths_adjustment_nv_fund",Y$3,$A103))</x:f>
        <x:v>#NAME?</x:v>
      </x:c>
      <x:c r="Z103" t="e">
        <x:f>IF($A103="","",[1]!thsiFinD("ths_adjustment_nv_fund",Z$3,$A103))</x:f>
        <x:v>#NAME?</x:v>
      </x:c>
      <x:c r="AA103" t="e">
        <x:f>IF($A103="","",[1]!thsiFinD("ths_adjustment_nv_fund",AA$3,$A103))</x:f>
        <x:v>#NAME?</x:v>
      </x:c>
    </x:row>
    <x:row r="104" ht="12" hidden="0">
      <x:c r="A104" s="9"/>
      <x:c r="B104" s="106" t="e">
        <x:f aca="0">IF($A104="","",[1]!thsiFinD("ths_adjustment_nv_fund",B$3,$A104))</x:f>
        <x:v>#NAME?</x:v>
      </x:c>
      <x:c r="C104" s="106" t="e">
        <x:f aca="0">IF($A104="","",[1]!thsiFinD("ths_adjustment_nv_fund",C$3,$A104))</x:f>
        <x:v>#NAME?</x:v>
      </x:c>
      <x:c r="D104" s="106" t="e">
        <x:f aca="0">IF($A104="","",[1]!thsiFinD("ths_adjustment_nv_fund",D$3,$A104))</x:f>
        <x:v>#NAME?</x:v>
      </x:c>
      <x:c r="E104" s="106" t="e">
        <x:f aca="0">IF($A104="","",[1]!thsiFinD("ths_adjustment_nv_fund",E$3,$A104))</x:f>
        <x:v>#NAME?</x:v>
      </x:c>
      <x:c r="F104" s="106" t="e">
        <x:f aca="0">IF($A104="","",[1]!thsiFinD("ths_adjustment_nv_fund",F$3,$A104))</x:f>
        <x:v>#NAME?</x:v>
      </x:c>
      <x:c r="G104" s="106" t="e">
        <x:f aca="0">IF($A104="","",[1]!thsiFinD("ths_adjustment_nv_fund",G$3,$A104))</x:f>
        <x:v>#NAME?</x:v>
      </x:c>
      <x:c r="H104" s="106" t="e">
        <x:f aca="0">IF($A104="","",[1]!thsiFinD("ths_adjustment_nv_fund",H$3,$A104))</x:f>
        <x:v>#NAME?</x:v>
      </x:c>
      <x:c r="I104" s="106" t="e">
        <x:f aca="0">IF($A104="","",[1]!thsiFinD("ths_adjustment_nv_fund",I$3,$A104))</x:f>
        <x:v>#NAME?</x:v>
      </x:c>
      <x:c r="J104" s="106" t="e">
        <x:f aca="0">IF($A104="","",[1]!thsiFinD("ths_adjustment_nv_fund",J$3,$A104))</x:f>
        <x:v>#NAME?</x:v>
      </x:c>
      <x:c r="K104" s="106" t="e">
        <x:f aca="0">IF($A104="","",[1]!thsiFinD("ths_adjustment_nv_fund",K$3,$A104))</x:f>
        <x:v>#NAME?</x:v>
      </x:c>
      <x:c r="L104" s="106" t="e">
        <x:f aca="0">IF($A104="","",[1]!thsiFinD("ths_adjustment_nv_fund",L$3,$A104))</x:f>
        <x:v>#NAME?</x:v>
      </x:c>
      <x:c r="M104" s="106" t="e">
        <x:f aca="0">IF($A104="","",[1]!thsiFinD("ths_adjustment_nv_fund",M$3,$A104))</x:f>
        <x:v>#NAME?</x:v>
      </x:c>
      <x:c r="N104" s="106" t="e">
        <x:f aca="0">IF($A104="","",[1]!thsiFinD("ths_adjustment_nv_fund",N$3,$A104))</x:f>
        <x:v>#NAME?</x:v>
      </x:c>
      <x:c r="O104" s="106" t="e">
        <x:f aca="0">IF($A104="","",[1]!thsiFinD("ths_adjustment_nv_fund",O$3,$A104))</x:f>
        <x:v>#NAME?</x:v>
      </x:c>
      <x:c r="P104" s="106" t="e">
        <x:f aca="0">IF($A104="","",[1]!thsiFinD("ths_adjustment_nv_fund",P$3,$A104))</x:f>
        <x:v>#NAME?</x:v>
      </x:c>
      <x:c r="Q104" s="106" t="e">
        <x:f aca="0">IF($A104="","",[1]!thsiFinD("ths_adjustment_nv_fund",Q$3,$A104))</x:f>
        <x:v>#NAME?</x:v>
      </x:c>
      <x:c r="R104" s="106" t="e">
        <x:f aca="0">IF($A104="","",[1]!thsiFinD("ths_adjustment_nv_fund",R$3,$A104))</x:f>
        <x:v>#NAME?</x:v>
      </x:c>
      <x:c r="S104" s="106" t="e">
        <x:f aca="0">IF($A104="","",[1]!thsiFinD("ths_adjustment_nv_fund",S$3,$A104))</x:f>
        <x:v>#NAME?</x:v>
      </x:c>
      <x:c r="T104" s="106" t="e">
        <x:f aca="0">IF($A104="","",[1]!thsiFinD("ths_adjustment_nv_fund",T$3,$A104))</x:f>
        <x:v>#NAME?</x:v>
      </x:c>
      <x:c r="U104" s="106" t="e">
        <x:f aca="0">IF($A104="","",[1]!thsiFinD("ths_adjustment_nv_fund",U$3,$A104))</x:f>
        <x:v>#NAME?</x:v>
      </x:c>
      <x:c r="V104" s="106" t="e">
        <x:f aca="0">IF($A104="","",[1]!thsiFinD("ths_adjustment_nv_fund",V$3,$A104))</x:f>
        <x:v>#NAME?</x:v>
      </x:c>
      <x:c r="W104" s="106" t="e">
        <x:f aca="0">IF($A104="","",[1]!thsiFinD("ths_adjustment_nv_fund",W$3,$A104))</x:f>
        <x:v>#NAME?</x:v>
      </x:c>
      <x:c r="X104" s="106" t="e">
        <x:f aca="0">IF($A104="","",[1]!thsiFinD("ths_adjustment_nv_fund",X$3,$A104))</x:f>
        <x:v>#NAME?</x:v>
      </x:c>
      <x:c r="Y104" s="106" t="e">
        <x:f aca="0">IF($A104="","",[1]!thsiFinD("ths_adjustment_nv_fund",Y$3,$A104))</x:f>
        <x:v>#NAME?</x:v>
      </x:c>
      <x:c r="Z104" t="e">
        <x:f>IF($A104="","",[1]!thsiFinD("ths_adjustment_nv_fund",Z$3,$A104))</x:f>
        <x:v>#NAME?</x:v>
      </x:c>
      <x:c r="AA104" t="e">
        <x:f>IF($A104="","",[1]!thsiFinD("ths_adjustment_nv_fund",AA$3,$A104))</x:f>
        <x:v>#NAME?</x:v>
      </x:c>
    </x:row>
    <x:row r="105" ht="12" hidden="0">
      <x:c r="A105" s="9"/>
      <x:c r="B105" s="106" t="e">
        <x:f aca="0">IF($A105="","",[1]!thsiFinD("ths_adjustment_nv_fund",B$3,$A105))</x:f>
        <x:v>#NAME?</x:v>
      </x:c>
      <x:c r="C105" s="106" t="e">
        <x:f aca="0">IF($A105="","",[1]!thsiFinD("ths_adjustment_nv_fund",C$3,$A105))</x:f>
        <x:v>#NAME?</x:v>
      </x:c>
      <x:c r="D105" s="106" t="e">
        <x:f aca="0">IF($A105="","",[1]!thsiFinD("ths_adjustment_nv_fund",D$3,$A105))</x:f>
        <x:v>#NAME?</x:v>
      </x:c>
      <x:c r="E105" s="106" t="e">
        <x:f aca="0">IF($A105="","",[1]!thsiFinD("ths_adjustment_nv_fund",E$3,$A105))</x:f>
        <x:v>#NAME?</x:v>
      </x:c>
      <x:c r="F105" s="106" t="e">
        <x:f aca="0">IF($A105="","",[1]!thsiFinD("ths_adjustment_nv_fund",F$3,$A105))</x:f>
        <x:v>#NAME?</x:v>
      </x:c>
      <x:c r="G105" s="106" t="e">
        <x:f aca="0">IF($A105="","",[1]!thsiFinD("ths_adjustment_nv_fund",G$3,$A105))</x:f>
        <x:v>#NAME?</x:v>
      </x:c>
      <x:c r="H105" s="106" t="e">
        <x:f aca="0">IF($A105="","",[1]!thsiFinD("ths_adjustment_nv_fund",H$3,$A105))</x:f>
        <x:v>#NAME?</x:v>
      </x:c>
      <x:c r="I105" s="106" t="e">
        <x:f aca="0">IF($A105="","",[1]!thsiFinD("ths_adjustment_nv_fund",I$3,$A105))</x:f>
        <x:v>#NAME?</x:v>
      </x:c>
      <x:c r="J105" s="106" t="e">
        <x:f aca="0">IF($A105="","",[1]!thsiFinD("ths_adjustment_nv_fund",J$3,$A105))</x:f>
        <x:v>#NAME?</x:v>
      </x:c>
      <x:c r="K105" s="106" t="e">
        <x:f aca="0">IF($A105="","",[1]!thsiFinD("ths_adjustment_nv_fund",K$3,$A105))</x:f>
        <x:v>#NAME?</x:v>
      </x:c>
      <x:c r="L105" s="106" t="e">
        <x:f aca="0">IF($A105="","",[1]!thsiFinD("ths_adjustment_nv_fund",L$3,$A105))</x:f>
        <x:v>#NAME?</x:v>
      </x:c>
      <x:c r="M105" s="106" t="e">
        <x:f aca="0">IF($A105="","",[1]!thsiFinD("ths_adjustment_nv_fund",M$3,$A105))</x:f>
        <x:v>#NAME?</x:v>
      </x:c>
      <x:c r="N105" s="106" t="e">
        <x:f aca="0">IF($A105="","",[1]!thsiFinD("ths_adjustment_nv_fund",N$3,$A105))</x:f>
        <x:v>#NAME?</x:v>
      </x:c>
      <x:c r="O105" s="106" t="e">
        <x:f aca="0">IF($A105="","",[1]!thsiFinD("ths_adjustment_nv_fund",O$3,$A105))</x:f>
        <x:v>#NAME?</x:v>
      </x:c>
      <x:c r="P105" s="106" t="e">
        <x:f aca="0">IF($A105="","",[1]!thsiFinD("ths_adjustment_nv_fund",P$3,$A105))</x:f>
        <x:v>#NAME?</x:v>
      </x:c>
      <x:c r="Q105" s="106" t="e">
        <x:f aca="0">IF($A105="","",[1]!thsiFinD("ths_adjustment_nv_fund",Q$3,$A105))</x:f>
        <x:v>#NAME?</x:v>
      </x:c>
      <x:c r="R105" s="106" t="e">
        <x:f aca="0">IF($A105="","",[1]!thsiFinD("ths_adjustment_nv_fund",R$3,$A105))</x:f>
        <x:v>#NAME?</x:v>
      </x:c>
      <x:c r="S105" s="106" t="e">
        <x:f aca="0">IF($A105="","",[1]!thsiFinD("ths_adjustment_nv_fund",S$3,$A105))</x:f>
        <x:v>#NAME?</x:v>
      </x:c>
      <x:c r="T105" s="106" t="e">
        <x:f aca="0">IF($A105="","",[1]!thsiFinD("ths_adjustment_nv_fund",T$3,$A105))</x:f>
        <x:v>#NAME?</x:v>
      </x:c>
      <x:c r="U105" s="106" t="e">
        <x:f aca="0">IF($A105="","",[1]!thsiFinD("ths_adjustment_nv_fund",U$3,$A105))</x:f>
        <x:v>#NAME?</x:v>
      </x:c>
      <x:c r="V105" s="106" t="e">
        <x:f aca="0">IF($A105="","",[1]!thsiFinD("ths_adjustment_nv_fund",V$3,$A105))</x:f>
        <x:v>#NAME?</x:v>
      </x:c>
      <x:c r="W105" s="106" t="e">
        <x:f aca="0">IF($A105="","",[1]!thsiFinD("ths_adjustment_nv_fund",W$3,$A105))</x:f>
        <x:v>#NAME?</x:v>
      </x:c>
      <x:c r="X105" s="106" t="e">
        <x:f aca="0">IF($A105="","",[1]!thsiFinD("ths_adjustment_nv_fund",X$3,$A105))</x:f>
        <x:v>#NAME?</x:v>
      </x:c>
      <x:c r="Y105" s="106" t="e">
        <x:f aca="0">IF($A105="","",[1]!thsiFinD("ths_adjustment_nv_fund",Y$3,$A105))</x:f>
        <x:v>#NAME?</x:v>
      </x:c>
      <x:c r="Z105" t="e">
        <x:f>IF($A105="","",[1]!thsiFinD("ths_adjustment_nv_fund",Z$3,$A105))</x:f>
        <x:v>#NAME?</x:v>
      </x:c>
      <x:c r="AA105" t="e">
        <x:f>IF($A105="","",[1]!thsiFinD("ths_adjustment_nv_fund",AA$3,$A105))</x:f>
        <x:v>#NAME?</x:v>
      </x:c>
    </x:row>
    <x:row r="106" ht="12" hidden="0">
      <x:c r="A106" s="9"/>
      <x:c r="B106" s="106" t="e">
        <x:f aca="0">IF($A106="","",[1]!thsiFinD("ths_adjustment_nv_fund",B$3,$A106))</x:f>
        <x:v>#NAME?</x:v>
      </x:c>
      <x:c r="C106" s="106" t="e">
        <x:f aca="0">IF($A106="","",[1]!thsiFinD("ths_adjustment_nv_fund",C$3,$A106))</x:f>
        <x:v>#NAME?</x:v>
      </x:c>
      <x:c r="D106" s="106" t="e">
        <x:f aca="0">IF($A106="","",[1]!thsiFinD("ths_adjustment_nv_fund",D$3,$A106))</x:f>
        <x:v>#NAME?</x:v>
      </x:c>
      <x:c r="E106" s="106" t="e">
        <x:f aca="0">IF($A106="","",[1]!thsiFinD("ths_adjustment_nv_fund",E$3,$A106))</x:f>
        <x:v>#NAME?</x:v>
      </x:c>
      <x:c r="F106" s="106" t="e">
        <x:f aca="0">IF($A106="","",[1]!thsiFinD("ths_adjustment_nv_fund",F$3,$A106))</x:f>
        <x:v>#NAME?</x:v>
      </x:c>
      <x:c r="G106" s="106" t="e">
        <x:f aca="0">IF($A106="","",[1]!thsiFinD("ths_adjustment_nv_fund",G$3,$A106))</x:f>
        <x:v>#NAME?</x:v>
      </x:c>
      <x:c r="H106" s="106" t="e">
        <x:f aca="0">IF($A106="","",[1]!thsiFinD("ths_adjustment_nv_fund",H$3,$A106))</x:f>
        <x:v>#NAME?</x:v>
      </x:c>
      <x:c r="I106" s="106" t="e">
        <x:f aca="0">IF($A106="","",[1]!thsiFinD("ths_adjustment_nv_fund",I$3,$A106))</x:f>
        <x:v>#NAME?</x:v>
      </x:c>
      <x:c r="J106" s="106" t="e">
        <x:f aca="0">IF($A106="","",[1]!thsiFinD("ths_adjustment_nv_fund",J$3,$A106))</x:f>
        <x:v>#NAME?</x:v>
      </x:c>
      <x:c r="K106" s="106" t="e">
        <x:f aca="0">IF($A106="","",[1]!thsiFinD("ths_adjustment_nv_fund",K$3,$A106))</x:f>
        <x:v>#NAME?</x:v>
      </x:c>
      <x:c r="L106" s="106" t="e">
        <x:f aca="0">IF($A106="","",[1]!thsiFinD("ths_adjustment_nv_fund",L$3,$A106))</x:f>
        <x:v>#NAME?</x:v>
      </x:c>
      <x:c r="M106" s="106" t="e">
        <x:f aca="0">IF($A106="","",[1]!thsiFinD("ths_adjustment_nv_fund",M$3,$A106))</x:f>
        <x:v>#NAME?</x:v>
      </x:c>
      <x:c r="N106" s="106" t="e">
        <x:f aca="0">IF($A106="","",[1]!thsiFinD("ths_adjustment_nv_fund",N$3,$A106))</x:f>
        <x:v>#NAME?</x:v>
      </x:c>
      <x:c r="O106" s="106" t="e">
        <x:f aca="0">IF($A106="","",[1]!thsiFinD("ths_adjustment_nv_fund",O$3,$A106))</x:f>
        <x:v>#NAME?</x:v>
      </x:c>
      <x:c r="P106" s="106" t="e">
        <x:f aca="0">IF($A106="","",[1]!thsiFinD("ths_adjustment_nv_fund",P$3,$A106))</x:f>
        <x:v>#NAME?</x:v>
      </x:c>
      <x:c r="Q106" s="106" t="e">
        <x:f aca="0">IF($A106="","",[1]!thsiFinD("ths_adjustment_nv_fund",Q$3,$A106))</x:f>
        <x:v>#NAME?</x:v>
      </x:c>
      <x:c r="R106" s="106" t="e">
        <x:f aca="0">IF($A106="","",[1]!thsiFinD("ths_adjustment_nv_fund",R$3,$A106))</x:f>
        <x:v>#NAME?</x:v>
      </x:c>
      <x:c r="S106" s="106" t="e">
        <x:f aca="0">IF($A106="","",[1]!thsiFinD("ths_adjustment_nv_fund",S$3,$A106))</x:f>
        <x:v>#NAME?</x:v>
      </x:c>
      <x:c r="T106" s="106" t="e">
        <x:f aca="0">IF($A106="","",[1]!thsiFinD("ths_adjustment_nv_fund",T$3,$A106))</x:f>
        <x:v>#NAME?</x:v>
      </x:c>
      <x:c r="U106" s="106" t="e">
        <x:f aca="0">IF($A106="","",[1]!thsiFinD("ths_adjustment_nv_fund",U$3,$A106))</x:f>
        <x:v>#NAME?</x:v>
      </x:c>
      <x:c r="V106" s="106" t="e">
        <x:f aca="0">IF($A106="","",[1]!thsiFinD("ths_adjustment_nv_fund",V$3,$A106))</x:f>
        <x:v>#NAME?</x:v>
      </x:c>
      <x:c r="W106" s="106" t="e">
        <x:f aca="0">IF($A106="","",[1]!thsiFinD("ths_adjustment_nv_fund",W$3,$A106))</x:f>
        <x:v>#NAME?</x:v>
      </x:c>
      <x:c r="X106" s="106" t="e">
        <x:f aca="0">IF($A106="","",[1]!thsiFinD("ths_adjustment_nv_fund",X$3,$A106))</x:f>
        <x:v>#NAME?</x:v>
      </x:c>
      <x:c r="Y106" s="106" t="e">
        <x:f aca="0">IF($A106="","",[1]!thsiFinD("ths_adjustment_nv_fund",Y$3,$A106))</x:f>
        <x:v>#NAME?</x:v>
      </x:c>
      <x:c r="Z106" t="e">
        <x:f>IF($A106="","",[1]!thsiFinD("ths_adjustment_nv_fund",Z$3,$A106))</x:f>
        <x:v>#NAME?</x:v>
      </x:c>
      <x:c r="AA106" t="e">
        <x:f>IF($A106="","",[1]!thsiFinD("ths_adjustment_nv_fund",AA$3,$A106))</x:f>
        <x:v>#NAME?</x:v>
      </x:c>
    </x:row>
    <x:row r="107" ht="12" hidden="0">
      <x:c r="A107" s="9"/>
      <x:c r="B107" s="106" t="e">
        <x:f aca="0">IF($A107="","",[1]!thsiFinD("ths_adjustment_nv_fund",B$3,$A107))</x:f>
        <x:v>#NAME?</x:v>
      </x:c>
      <x:c r="C107" s="106" t="e">
        <x:f aca="0">IF($A107="","",[1]!thsiFinD("ths_adjustment_nv_fund",C$3,$A107))</x:f>
        <x:v>#NAME?</x:v>
      </x:c>
      <x:c r="D107" s="106" t="e">
        <x:f aca="0">IF($A107="","",[1]!thsiFinD("ths_adjustment_nv_fund",D$3,$A107))</x:f>
        <x:v>#NAME?</x:v>
      </x:c>
      <x:c r="E107" s="106" t="e">
        <x:f aca="0">IF($A107="","",[1]!thsiFinD("ths_adjustment_nv_fund",E$3,$A107))</x:f>
        <x:v>#NAME?</x:v>
      </x:c>
      <x:c r="F107" s="106" t="e">
        <x:f aca="0">IF($A107="","",[1]!thsiFinD("ths_adjustment_nv_fund",F$3,$A107))</x:f>
        <x:v>#NAME?</x:v>
      </x:c>
      <x:c r="G107" s="106" t="e">
        <x:f aca="0">IF($A107="","",[1]!thsiFinD("ths_adjustment_nv_fund",G$3,$A107))</x:f>
        <x:v>#NAME?</x:v>
      </x:c>
      <x:c r="H107" s="106" t="e">
        <x:f aca="0">IF($A107="","",[1]!thsiFinD("ths_adjustment_nv_fund",H$3,$A107))</x:f>
        <x:v>#NAME?</x:v>
      </x:c>
      <x:c r="I107" s="106" t="e">
        <x:f aca="0">IF($A107="","",[1]!thsiFinD("ths_adjustment_nv_fund",I$3,$A107))</x:f>
        <x:v>#NAME?</x:v>
      </x:c>
      <x:c r="J107" s="106" t="e">
        <x:f aca="0">IF($A107="","",[1]!thsiFinD("ths_adjustment_nv_fund",J$3,$A107))</x:f>
        <x:v>#NAME?</x:v>
      </x:c>
      <x:c r="K107" s="106" t="e">
        <x:f aca="0">IF($A107="","",[1]!thsiFinD("ths_adjustment_nv_fund",K$3,$A107))</x:f>
        <x:v>#NAME?</x:v>
      </x:c>
      <x:c r="L107" s="106" t="e">
        <x:f aca="0">IF($A107="","",[1]!thsiFinD("ths_adjustment_nv_fund",L$3,$A107))</x:f>
        <x:v>#NAME?</x:v>
      </x:c>
      <x:c r="M107" s="106" t="e">
        <x:f aca="0">IF($A107="","",[1]!thsiFinD("ths_adjustment_nv_fund",M$3,$A107))</x:f>
        <x:v>#NAME?</x:v>
      </x:c>
      <x:c r="N107" s="106" t="e">
        <x:f aca="0">IF($A107="","",[1]!thsiFinD("ths_adjustment_nv_fund",N$3,$A107))</x:f>
        <x:v>#NAME?</x:v>
      </x:c>
      <x:c r="O107" s="106" t="e">
        <x:f aca="0">IF($A107="","",[1]!thsiFinD("ths_adjustment_nv_fund",O$3,$A107))</x:f>
        <x:v>#NAME?</x:v>
      </x:c>
      <x:c r="P107" s="106" t="e">
        <x:f aca="0">IF($A107="","",[1]!thsiFinD("ths_adjustment_nv_fund",P$3,$A107))</x:f>
        <x:v>#NAME?</x:v>
      </x:c>
      <x:c r="Q107" s="106" t="e">
        <x:f aca="0">IF($A107="","",[1]!thsiFinD("ths_adjustment_nv_fund",Q$3,$A107))</x:f>
        <x:v>#NAME?</x:v>
      </x:c>
      <x:c r="R107" s="106" t="e">
        <x:f aca="0">IF($A107="","",[1]!thsiFinD("ths_adjustment_nv_fund",R$3,$A107))</x:f>
        <x:v>#NAME?</x:v>
      </x:c>
      <x:c r="S107" s="106" t="e">
        <x:f aca="0">IF($A107="","",[1]!thsiFinD("ths_adjustment_nv_fund",S$3,$A107))</x:f>
        <x:v>#NAME?</x:v>
      </x:c>
      <x:c r="T107" s="106" t="e">
        <x:f aca="0">IF($A107="","",[1]!thsiFinD("ths_adjustment_nv_fund",T$3,$A107))</x:f>
        <x:v>#NAME?</x:v>
      </x:c>
      <x:c r="U107" s="106" t="e">
        <x:f aca="0">IF($A107="","",[1]!thsiFinD("ths_adjustment_nv_fund",U$3,$A107))</x:f>
        <x:v>#NAME?</x:v>
      </x:c>
      <x:c r="V107" s="106" t="e">
        <x:f aca="0">IF($A107="","",[1]!thsiFinD("ths_adjustment_nv_fund",V$3,$A107))</x:f>
        <x:v>#NAME?</x:v>
      </x:c>
      <x:c r="W107" s="106" t="e">
        <x:f aca="0">IF($A107="","",[1]!thsiFinD("ths_adjustment_nv_fund",W$3,$A107))</x:f>
        <x:v>#NAME?</x:v>
      </x:c>
      <x:c r="X107" s="106" t="e">
        <x:f aca="0">IF($A107="","",[1]!thsiFinD("ths_adjustment_nv_fund",X$3,$A107))</x:f>
        <x:v>#NAME?</x:v>
      </x:c>
      <x:c r="Y107" s="106" t="e">
        <x:f aca="0">IF($A107="","",[1]!thsiFinD("ths_adjustment_nv_fund",Y$3,$A107))</x:f>
        <x:v>#NAME?</x:v>
      </x:c>
      <x:c r="Z107" t="e">
        <x:f>IF($A107="","",[1]!thsiFinD("ths_adjustment_nv_fund",Z$3,$A107))</x:f>
        <x:v>#NAME?</x:v>
      </x:c>
      <x:c r="AA107" t="e">
        <x:f>IF($A107="","",[1]!thsiFinD("ths_adjustment_nv_fund",AA$3,$A107))</x:f>
        <x:v>#NAME?</x:v>
      </x:c>
    </x:row>
    <x:row r="108" ht="12" hidden="0">
      <x:c r="A108" s="9"/>
      <x:c r="B108" s="106" t="e">
        <x:f aca="0">IF($A108="","",[1]!thsiFinD("ths_adjustment_nv_fund",B$3,$A108))</x:f>
        <x:v>#NAME?</x:v>
      </x:c>
      <x:c r="C108" s="106" t="e">
        <x:f aca="0">IF($A108="","",[1]!thsiFinD("ths_adjustment_nv_fund",C$3,$A108))</x:f>
        <x:v>#NAME?</x:v>
      </x:c>
      <x:c r="D108" s="106" t="e">
        <x:f aca="0">IF($A108="","",[1]!thsiFinD("ths_adjustment_nv_fund",D$3,$A108))</x:f>
        <x:v>#NAME?</x:v>
      </x:c>
      <x:c r="E108" s="106" t="e">
        <x:f aca="0">IF($A108="","",[1]!thsiFinD("ths_adjustment_nv_fund",E$3,$A108))</x:f>
        <x:v>#NAME?</x:v>
      </x:c>
      <x:c r="F108" s="106" t="e">
        <x:f aca="0">IF($A108="","",[1]!thsiFinD("ths_adjustment_nv_fund",F$3,$A108))</x:f>
        <x:v>#NAME?</x:v>
      </x:c>
      <x:c r="G108" s="106" t="e">
        <x:f aca="0">IF($A108="","",[1]!thsiFinD("ths_adjustment_nv_fund",G$3,$A108))</x:f>
        <x:v>#NAME?</x:v>
      </x:c>
      <x:c r="H108" s="106" t="e">
        <x:f aca="0">IF($A108="","",[1]!thsiFinD("ths_adjustment_nv_fund",H$3,$A108))</x:f>
        <x:v>#NAME?</x:v>
      </x:c>
      <x:c r="I108" s="106" t="e">
        <x:f aca="0">IF($A108="","",[1]!thsiFinD("ths_adjustment_nv_fund",I$3,$A108))</x:f>
        <x:v>#NAME?</x:v>
      </x:c>
      <x:c r="J108" s="106" t="e">
        <x:f aca="0">IF($A108="","",[1]!thsiFinD("ths_adjustment_nv_fund",J$3,$A108))</x:f>
        <x:v>#NAME?</x:v>
      </x:c>
      <x:c r="K108" s="106" t="e">
        <x:f aca="0">IF($A108="","",[1]!thsiFinD("ths_adjustment_nv_fund",K$3,$A108))</x:f>
        <x:v>#NAME?</x:v>
      </x:c>
      <x:c r="L108" s="106" t="e">
        <x:f aca="0">IF($A108="","",[1]!thsiFinD("ths_adjustment_nv_fund",L$3,$A108))</x:f>
        <x:v>#NAME?</x:v>
      </x:c>
      <x:c r="M108" s="106" t="e">
        <x:f aca="0">IF($A108="","",[1]!thsiFinD("ths_adjustment_nv_fund",M$3,$A108))</x:f>
        <x:v>#NAME?</x:v>
      </x:c>
      <x:c r="N108" s="106" t="e">
        <x:f aca="0">IF($A108="","",[1]!thsiFinD("ths_adjustment_nv_fund",N$3,$A108))</x:f>
        <x:v>#NAME?</x:v>
      </x:c>
      <x:c r="O108" s="106" t="e">
        <x:f aca="0">IF($A108="","",[1]!thsiFinD("ths_adjustment_nv_fund",O$3,$A108))</x:f>
        <x:v>#NAME?</x:v>
      </x:c>
      <x:c r="P108" s="106" t="e">
        <x:f aca="0">IF($A108="","",[1]!thsiFinD("ths_adjustment_nv_fund",P$3,$A108))</x:f>
        <x:v>#NAME?</x:v>
      </x:c>
      <x:c r="Q108" s="106" t="e">
        <x:f aca="0">IF($A108="","",[1]!thsiFinD("ths_adjustment_nv_fund",Q$3,$A108))</x:f>
        <x:v>#NAME?</x:v>
      </x:c>
      <x:c r="R108" s="106" t="e">
        <x:f aca="0">IF($A108="","",[1]!thsiFinD("ths_adjustment_nv_fund",R$3,$A108))</x:f>
        <x:v>#NAME?</x:v>
      </x:c>
      <x:c r="S108" s="106" t="e">
        <x:f aca="0">IF($A108="","",[1]!thsiFinD("ths_adjustment_nv_fund",S$3,$A108))</x:f>
        <x:v>#NAME?</x:v>
      </x:c>
      <x:c r="T108" s="106" t="e">
        <x:f aca="0">IF($A108="","",[1]!thsiFinD("ths_adjustment_nv_fund",T$3,$A108))</x:f>
        <x:v>#NAME?</x:v>
      </x:c>
      <x:c r="U108" s="106" t="e">
        <x:f aca="0">IF($A108="","",[1]!thsiFinD("ths_adjustment_nv_fund",U$3,$A108))</x:f>
        <x:v>#NAME?</x:v>
      </x:c>
      <x:c r="V108" s="106" t="e">
        <x:f aca="0">IF($A108="","",[1]!thsiFinD("ths_adjustment_nv_fund",V$3,$A108))</x:f>
        <x:v>#NAME?</x:v>
      </x:c>
      <x:c r="W108" s="106" t="e">
        <x:f aca="0">IF($A108="","",[1]!thsiFinD("ths_adjustment_nv_fund",W$3,$A108))</x:f>
        <x:v>#NAME?</x:v>
      </x:c>
      <x:c r="X108" s="106" t="e">
        <x:f aca="0">IF($A108="","",[1]!thsiFinD("ths_adjustment_nv_fund",X$3,$A108))</x:f>
        <x:v>#NAME?</x:v>
      </x:c>
      <x:c r="Y108" s="106" t="e">
        <x:f aca="0">IF($A108="","",[1]!thsiFinD("ths_adjustment_nv_fund",Y$3,$A108))</x:f>
        <x:v>#NAME?</x:v>
      </x:c>
      <x:c r="Z108" t="e">
        <x:f>IF($A108="","",[1]!thsiFinD("ths_adjustment_nv_fund",Z$3,$A108))</x:f>
        <x:v>#NAME?</x:v>
      </x:c>
      <x:c r="AA108" t="e">
        <x:f>IF($A108="","",[1]!thsiFinD("ths_adjustment_nv_fund",AA$3,$A108))</x:f>
        <x:v>#NAME?</x:v>
      </x:c>
    </x:row>
    <x:row r="109" ht="12" hidden="0">
      <x:c r="A109" s="9"/>
      <x:c r="B109" s="106" t="e">
        <x:f aca="0">IF($A109="","",[1]!thsiFinD("ths_adjustment_nv_fund",B$3,$A109))</x:f>
        <x:v>#NAME?</x:v>
      </x:c>
      <x:c r="C109" s="106" t="e">
        <x:f aca="0">IF($A109="","",[1]!thsiFinD("ths_adjustment_nv_fund",C$3,$A109))</x:f>
        <x:v>#NAME?</x:v>
      </x:c>
      <x:c r="D109" s="106" t="e">
        <x:f aca="0">IF($A109="","",[1]!thsiFinD("ths_adjustment_nv_fund",D$3,$A109))</x:f>
        <x:v>#NAME?</x:v>
      </x:c>
      <x:c r="E109" s="106" t="e">
        <x:f aca="0">IF($A109="","",[1]!thsiFinD("ths_adjustment_nv_fund",E$3,$A109))</x:f>
        <x:v>#NAME?</x:v>
      </x:c>
      <x:c r="F109" s="106" t="e">
        <x:f aca="0">IF($A109="","",[1]!thsiFinD("ths_adjustment_nv_fund",F$3,$A109))</x:f>
        <x:v>#NAME?</x:v>
      </x:c>
      <x:c r="G109" s="106" t="e">
        <x:f aca="0">IF($A109="","",[1]!thsiFinD("ths_adjustment_nv_fund",G$3,$A109))</x:f>
        <x:v>#NAME?</x:v>
      </x:c>
      <x:c r="H109" s="106" t="e">
        <x:f aca="0">IF($A109="","",[1]!thsiFinD("ths_adjustment_nv_fund",H$3,$A109))</x:f>
        <x:v>#NAME?</x:v>
      </x:c>
      <x:c r="I109" s="106" t="e">
        <x:f aca="0">IF($A109="","",[1]!thsiFinD("ths_adjustment_nv_fund",I$3,$A109))</x:f>
        <x:v>#NAME?</x:v>
      </x:c>
      <x:c r="J109" s="106" t="e">
        <x:f aca="0">IF($A109="","",[1]!thsiFinD("ths_adjustment_nv_fund",J$3,$A109))</x:f>
        <x:v>#NAME?</x:v>
      </x:c>
      <x:c r="K109" s="106" t="e">
        <x:f aca="0">IF($A109="","",[1]!thsiFinD("ths_adjustment_nv_fund",K$3,$A109))</x:f>
        <x:v>#NAME?</x:v>
      </x:c>
      <x:c r="L109" s="106" t="e">
        <x:f aca="0">IF($A109="","",[1]!thsiFinD("ths_adjustment_nv_fund",L$3,$A109))</x:f>
        <x:v>#NAME?</x:v>
      </x:c>
      <x:c r="M109" s="106" t="e">
        <x:f aca="0">IF($A109="","",[1]!thsiFinD("ths_adjustment_nv_fund",M$3,$A109))</x:f>
        <x:v>#NAME?</x:v>
      </x:c>
      <x:c r="N109" s="106" t="e">
        <x:f aca="0">IF($A109="","",[1]!thsiFinD("ths_adjustment_nv_fund",N$3,$A109))</x:f>
        <x:v>#NAME?</x:v>
      </x:c>
      <x:c r="O109" s="106" t="e">
        <x:f aca="0">IF($A109="","",[1]!thsiFinD("ths_adjustment_nv_fund",O$3,$A109))</x:f>
        <x:v>#NAME?</x:v>
      </x:c>
      <x:c r="P109" s="106" t="e">
        <x:f aca="0">IF($A109="","",[1]!thsiFinD("ths_adjustment_nv_fund",P$3,$A109))</x:f>
        <x:v>#NAME?</x:v>
      </x:c>
      <x:c r="Q109" s="106" t="e">
        <x:f aca="0">IF($A109="","",[1]!thsiFinD("ths_adjustment_nv_fund",Q$3,$A109))</x:f>
        <x:v>#NAME?</x:v>
      </x:c>
      <x:c r="R109" s="106" t="e">
        <x:f aca="0">IF($A109="","",[1]!thsiFinD("ths_adjustment_nv_fund",R$3,$A109))</x:f>
        <x:v>#NAME?</x:v>
      </x:c>
      <x:c r="S109" s="106" t="e">
        <x:f aca="0">IF($A109="","",[1]!thsiFinD("ths_adjustment_nv_fund",S$3,$A109))</x:f>
        <x:v>#NAME?</x:v>
      </x:c>
      <x:c r="T109" s="106" t="e">
        <x:f aca="0">IF($A109="","",[1]!thsiFinD("ths_adjustment_nv_fund",T$3,$A109))</x:f>
        <x:v>#NAME?</x:v>
      </x:c>
      <x:c r="U109" s="106" t="e">
        <x:f aca="0">IF($A109="","",[1]!thsiFinD("ths_adjustment_nv_fund",U$3,$A109))</x:f>
        <x:v>#NAME?</x:v>
      </x:c>
      <x:c r="V109" s="106" t="e">
        <x:f aca="0">IF($A109="","",[1]!thsiFinD("ths_adjustment_nv_fund",V$3,$A109))</x:f>
        <x:v>#NAME?</x:v>
      </x:c>
      <x:c r="W109" s="106" t="e">
        <x:f aca="0">IF($A109="","",[1]!thsiFinD("ths_adjustment_nv_fund",W$3,$A109))</x:f>
        <x:v>#NAME?</x:v>
      </x:c>
      <x:c r="X109" s="106" t="e">
        <x:f aca="0">IF($A109="","",[1]!thsiFinD("ths_adjustment_nv_fund",X$3,$A109))</x:f>
        <x:v>#NAME?</x:v>
      </x:c>
      <x:c r="Y109" s="106" t="e">
        <x:f aca="0">IF($A109="","",[1]!thsiFinD("ths_adjustment_nv_fund",Y$3,$A109))</x:f>
        <x:v>#NAME?</x:v>
      </x:c>
      <x:c r="Z109" t="e">
        <x:f>IF($A109="","",[1]!thsiFinD("ths_adjustment_nv_fund",Z$3,$A109))</x:f>
        <x:v>#NAME?</x:v>
      </x:c>
      <x:c r="AA109" t="e">
        <x:f>IF($A109="","",[1]!thsiFinD("ths_adjustment_nv_fund",AA$3,$A109))</x:f>
        <x:v>#NAME?</x:v>
      </x:c>
    </x:row>
    <x:row r="110" ht="12" hidden="0">
      <x:c r="A110" s="9"/>
      <x:c r="B110" s="106" t="e">
        <x:f aca="0">IF($A110="","",[1]!thsiFinD("ths_adjustment_nv_fund",B$3,$A110))</x:f>
        <x:v>#NAME?</x:v>
      </x:c>
      <x:c r="C110" s="106" t="e">
        <x:f aca="0">IF($A110="","",[1]!thsiFinD("ths_adjustment_nv_fund",C$3,$A110))</x:f>
        <x:v>#NAME?</x:v>
      </x:c>
      <x:c r="D110" s="106" t="e">
        <x:f aca="0">IF($A110="","",[1]!thsiFinD("ths_adjustment_nv_fund",D$3,$A110))</x:f>
        <x:v>#NAME?</x:v>
      </x:c>
      <x:c r="E110" s="106" t="e">
        <x:f aca="0">IF($A110="","",[1]!thsiFinD("ths_adjustment_nv_fund",E$3,$A110))</x:f>
        <x:v>#NAME?</x:v>
      </x:c>
      <x:c r="F110" s="106" t="e">
        <x:f aca="0">IF($A110="","",[1]!thsiFinD("ths_adjustment_nv_fund",F$3,$A110))</x:f>
        <x:v>#NAME?</x:v>
      </x:c>
      <x:c r="G110" s="106" t="e">
        <x:f aca="0">IF($A110="","",[1]!thsiFinD("ths_adjustment_nv_fund",G$3,$A110))</x:f>
        <x:v>#NAME?</x:v>
      </x:c>
      <x:c r="H110" s="106" t="e">
        <x:f aca="0">IF($A110="","",[1]!thsiFinD("ths_adjustment_nv_fund",H$3,$A110))</x:f>
        <x:v>#NAME?</x:v>
      </x:c>
      <x:c r="I110" s="106" t="e">
        <x:f aca="0">IF($A110="","",[1]!thsiFinD("ths_adjustment_nv_fund",I$3,$A110))</x:f>
        <x:v>#NAME?</x:v>
      </x:c>
      <x:c r="J110" s="106" t="e">
        <x:f aca="0">IF($A110="","",[1]!thsiFinD("ths_adjustment_nv_fund",J$3,$A110))</x:f>
        <x:v>#NAME?</x:v>
      </x:c>
      <x:c r="K110" s="106" t="e">
        <x:f aca="0">IF($A110="","",[1]!thsiFinD("ths_adjustment_nv_fund",K$3,$A110))</x:f>
        <x:v>#NAME?</x:v>
      </x:c>
      <x:c r="L110" s="106" t="e">
        <x:f aca="0">IF($A110="","",[1]!thsiFinD("ths_adjustment_nv_fund",L$3,$A110))</x:f>
        <x:v>#NAME?</x:v>
      </x:c>
      <x:c r="M110" s="106" t="e">
        <x:f aca="0">IF($A110="","",[1]!thsiFinD("ths_adjustment_nv_fund",M$3,$A110))</x:f>
        <x:v>#NAME?</x:v>
      </x:c>
      <x:c r="N110" s="106" t="e">
        <x:f aca="0">IF($A110="","",[1]!thsiFinD("ths_adjustment_nv_fund",N$3,$A110))</x:f>
        <x:v>#NAME?</x:v>
      </x:c>
      <x:c r="O110" s="106" t="e">
        <x:f aca="0">IF($A110="","",[1]!thsiFinD("ths_adjustment_nv_fund",O$3,$A110))</x:f>
        <x:v>#NAME?</x:v>
      </x:c>
      <x:c r="P110" s="106" t="e">
        <x:f aca="0">IF($A110="","",[1]!thsiFinD("ths_adjustment_nv_fund",P$3,$A110))</x:f>
        <x:v>#NAME?</x:v>
      </x:c>
      <x:c r="Q110" s="106" t="e">
        <x:f aca="0">IF($A110="","",[1]!thsiFinD("ths_adjustment_nv_fund",Q$3,$A110))</x:f>
        <x:v>#NAME?</x:v>
      </x:c>
      <x:c r="R110" s="106" t="e">
        <x:f aca="0">IF($A110="","",[1]!thsiFinD("ths_adjustment_nv_fund",R$3,$A110))</x:f>
        <x:v>#NAME?</x:v>
      </x:c>
      <x:c r="S110" s="106" t="e">
        <x:f aca="0">IF($A110="","",[1]!thsiFinD("ths_adjustment_nv_fund",S$3,$A110))</x:f>
        <x:v>#NAME?</x:v>
      </x:c>
      <x:c r="T110" s="106" t="e">
        <x:f aca="0">IF($A110="","",[1]!thsiFinD("ths_adjustment_nv_fund",T$3,$A110))</x:f>
        <x:v>#NAME?</x:v>
      </x:c>
      <x:c r="U110" s="106" t="e">
        <x:f aca="0">IF($A110="","",[1]!thsiFinD("ths_adjustment_nv_fund",U$3,$A110))</x:f>
        <x:v>#NAME?</x:v>
      </x:c>
      <x:c r="V110" s="106" t="e">
        <x:f aca="0">IF($A110="","",[1]!thsiFinD("ths_adjustment_nv_fund",V$3,$A110))</x:f>
        <x:v>#NAME?</x:v>
      </x:c>
      <x:c r="W110" s="106" t="e">
        <x:f aca="0">IF($A110="","",[1]!thsiFinD("ths_adjustment_nv_fund",W$3,$A110))</x:f>
        <x:v>#NAME?</x:v>
      </x:c>
      <x:c r="X110" s="106" t="e">
        <x:f aca="0">IF($A110="","",[1]!thsiFinD("ths_adjustment_nv_fund",X$3,$A110))</x:f>
        <x:v>#NAME?</x:v>
      </x:c>
      <x:c r="Y110" s="106" t="e">
        <x:f aca="0">IF($A110="","",[1]!thsiFinD("ths_adjustment_nv_fund",Y$3,$A110))</x:f>
        <x:v>#NAME?</x:v>
      </x:c>
      <x:c r="Z110" t="e">
        <x:f>IF($A110="","",[1]!thsiFinD("ths_adjustment_nv_fund",Z$3,$A110))</x:f>
        <x:v>#NAME?</x:v>
      </x:c>
      <x:c r="AA110" t="e">
        <x:f>IF($A110="","",[1]!thsiFinD("ths_adjustment_nv_fund",AA$3,$A110))</x:f>
        <x:v>#NAME?</x:v>
      </x:c>
    </x:row>
    <x:row r="111" ht="12" hidden="0">
      <x:c r="A111" s="9"/>
      <x:c r="B111" s="106" t="e">
        <x:f aca="0">IF($A111="","",[1]!thsiFinD("ths_adjustment_nv_fund",B$3,$A111))</x:f>
        <x:v>#NAME?</x:v>
      </x:c>
      <x:c r="C111" s="106" t="e">
        <x:f aca="0">IF($A111="","",[1]!thsiFinD("ths_adjustment_nv_fund",C$3,$A111))</x:f>
        <x:v>#NAME?</x:v>
      </x:c>
      <x:c r="D111" s="106" t="e">
        <x:f aca="0">IF($A111="","",[1]!thsiFinD("ths_adjustment_nv_fund",D$3,$A111))</x:f>
        <x:v>#NAME?</x:v>
      </x:c>
      <x:c r="E111" s="106" t="e">
        <x:f aca="0">IF($A111="","",[1]!thsiFinD("ths_adjustment_nv_fund",E$3,$A111))</x:f>
        <x:v>#NAME?</x:v>
      </x:c>
      <x:c r="F111" s="106" t="e">
        <x:f aca="0">IF($A111="","",[1]!thsiFinD("ths_adjustment_nv_fund",F$3,$A111))</x:f>
        <x:v>#NAME?</x:v>
      </x:c>
      <x:c r="G111" s="106" t="e">
        <x:f aca="0">IF($A111="","",[1]!thsiFinD("ths_adjustment_nv_fund",G$3,$A111))</x:f>
        <x:v>#NAME?</x:v>
      </x:c>
      <x:c r="H111" s="106" t="e">
        <x:f aca="0">IF($A111="","",[1]!thsiFinD("ths_adjustment_nv_fund",H$3,$A111))</x:f>
        <x:v>#NAME?</x:v>
      </x:c>
      <x:c r="I111" s="106" t="e">
        <x:f aca="0">IF($A111="","",[1]!thsiFinD("ths_adjustment_nv_fund",I$3,$A111))</x:f>
        <x:v>#NAME?</x:v>
      </x:c>
      <x:c r="J111" s="106" t="e">
        <x:f aca="0">IF($A111="","",[1]!thsiFinD("ths_adjustment_nv_fund",J$3,$A111))</x:f>
        <x:v>#NAME?</x:v>
      </x:c>
      <x:c r="K111" s="106" t="e">
        <x:f aca="0">IF($A111="","",[1]!thsiFinD("ths_adjustment_nv_fund",K$3,$A111))</x:f>
        <x:v>#NAME?</x:v>
      </x:c>
      <x:c r="L111" s="106" t="e">
        <x:f aca="0">IF($A111="","",[1]!thsiFinD("ths_adjustment_nv_fund",L$3,$A111))</x:f>
        <x:v>#NAME?</x:v>
      </x:c>
      <x:c r="M111" s="106" t="e">
        <x:f aca="0">IF($A111="","",[1]!thsiFinD("ths_adjustment_nv_fund",M$3,$A111))</x:f>
        <x:v>#NAME?</x:v>
      </x:c>
      <x:c r="N111" s="106" t="e">
        <x:f aca="0">IF($A111="","",[1]!thsiFinD("ths_adjustment_nv_fund",N$3,$A111))</x:f>
        <x:v>#NAME?</x:v>
      </x:c>
      <x:c r="O111" s="106" t="e">
        <x:f aca="0">IF($A111="","",[1]!thsiFinD("ths_adjustment_nv_fund",O$3,$A111))</x:f>
        <x:v>#NAME?</x:v>
      </x:c>
      <x:c r="P111" s="106" t="e">
        <x:f aca="0">IF($A111="","",[1]!thsiFinD("ths_adjustment_nv_fund",P$3,$A111))</x:f>
        <x:v>#NAME?</x:v>
      </x:c>
      <x:c r="Q111" s="106" t="e">
        <x:f aca="0">IF($A111="","",[1]!thsiFinD("ths_adjustment_nv_fund",Q$3,$A111))</x:f>
        <x:v>#NAME?</x:v>
      </x:c>
      <x:c r="R111" s="106" t="e">
        <x:f aca="0">IF($A111="","",[1]!thsiFinD("ths_adjustment_nv_fund",R$3,$A111))</x:f>
        <x:v>#NAME?</x:v>
      </x:c>
      <x:c r="S111" s="106" t="e">
        <x:f aca="0">IF($A111="","",[1]!thsiFinD("ths_adjustment_nv_fund",S$3,$A111))</x:f>
        <x:v>#NAME?</x:v>
      </x:c>
      <x:c r="T111" s="106" t="e">
        <x:f aca="0">IF($A111="","",[1]!thsiFinD("ths_adjustment_nv_fund",T$3,$A111))</x:f>
        <x:v>#NAME?</x:v>
      </x:c>
      <x:c r="U111" s="106" t="e">
        <x:f aca="0">IF($A111="","",[1]!thsiFinD("ths_adjustment_nv_fund",U$3,$A111))</x:f>
        <x:v>#NAME?</x:v>
      </x:c>
      <x:c r="V111" s="106" t="e">
        <x:f aca="0">IF($A111="","",[1]!thsiFinD("ths_adjustment_nv_fund",V$3,$A111))</x:f>
        <x:v>#NAME?</x:v>
      </x:c>
      <x:c r="W111" s="106" t="e">
        <x:f aca="0">IF($A111="","",[1]!thsiFinD("ths_adjustment_nv_fund",W$3,$A111))</x:f>
        <x:v>#NAME?</x:v>
      </x:c>
      <x:c r="X111" s="106" t="e">
        <x:f aca="0">IF($A111="","",[1]!thsiFinD("ths_adjustment_nv_fund",X$3,$A111))</x:f>
        <x:v>#NAME?</x:v>
      </x:c>
      <x:c r="Y111" s="106" t="e">
        <x:f aca="0">IF($A111="","",[1]!thsiFinD("ths_adjustment_nv_fund",Y$3,$A111))</x:f>
        <x:v>#NAME?</x:v>
      </x:c>
      <x:c r="Z111" t="e">
        <x:f>IF($A111="","",[1]!thsiFinD("ths_adjustment_nv_fund",Z$3,$A111))</x:f>
        <x:v>#NAME?</x:v>
      </x:c>
      <x:c r="AA111" t="e">
        <x:f>IF($A111="","",[1]!thsiFinD("ths_adjustment_nv_fund",AA$3,$A111))</x:f>
        <x:v>#NAME?</x:v>
      </x:c>
    </x:row>
    <x:row r="112" ht="12" hidden="0">
      <x:c r="A112" s="9"/>
      <x:c r="B112" s="106" t="e">
        <x:f aca="0">IF($A112="","",[1]!thsiFinD("ths_adjustment_nv_fund",B$3,$A112))</x:f>
        <x:v>#NAME?</x:v>
      </x:c>
      <x:c r="C112" s="106" t="e">
        <x:f aca="0">IF($A112="","",[1]!thsiFinD("ths_adjustment_nv_fund",C$3,$A112))</x:f>
        <x:v>#NAME?</x:v>
      </x:c>
      <x:c r="D112" s="106" t="e">
        <x:f aca="0">IF($A112="","",[1]!thsiFinD("ths_adjustment_nv_fund",D$3,$A112))</x:f>
        <x:v>#NAME?</x:v>
      </x:c>
      <x:c r="E112" s="106" t="e">
        <x:f aca="0">IF($A112="","",[1]!thsiFinD("ths_adjustment_nv_fund",E$3,$A112))</x:f>
        <x:v>#NAME?</x:v>
      </x:c>
      <x:c r="F112" s="106" t="e">
        <x:f aca="0">IF($A112="","",[1]!thsiFinD("ths_adjustment_nv_fund",F$3,$A112))</x:f>
        <x:v>#NAME?</x:v>
      </x:c>
      <x:c r="G112" s="106" t="e">
        <x:f aca="0">IF($A112="","",[1]!thsiFinD("ths_adjustment_nv_fund",G$3,$A112))</x:f>
        <x:v>#NAME?</x:v>
      </x:c>
      <x:c r="H112" s="106" t="e">
        <x:f aca="0">IF($A112="","",[1]!thsiFinD("ths_adjustment_nv_fund",H$3,$A112))</x:f>
        <x:v>#NAME?</x:v>
      </x:c>
      <x:c r="I112" s="106" t="e">
        <x:f aca="0">IF($A112="","",[1]!thsiFinD("ths_adjustment_nv_fund",I$3,$A112))</x:f>
        <x:v>#NAME?</x:v>
      </x:c>
      <x:c r="J112" s="106" t="e">
        <x:f aca="0">IF($A112="","",[1]!thsiFinD("ths_adjustment_nv_fund",J$3,$A112))</x:f>
        <x:v>#NAME?</x:v>
      </x:c>
      <x:c r="K112" s="106" t="e">
        <x:f aca="0">IF($A112="","",[1]!thsiFinD("ths_adjustment_nv_fund",K$3,$A112))</x:f>
        <x:v>#NAME?</x:v>
      </x:c>
      <x:c r="L112" s="106" t="e">
        <x:f aca="0">IF($A112="","",[1]!thsiFinD("ths_adjustment_nv_fund",L$3,$A112))</x:f>
        <x:v>#NAME?</x:v>
      </x:c>
      <x:c r="M112" s="106" t="e">
        <x:f aca="0">IF($A112="","",[1]!thsiFinD("ths_adjustment_nv_fund",M$3,$A112))</x:f>
        <x:v>#NAME?</x:v>
      </x:c>
      <x:c r="N112" s="106" t="e">
        <x:f aca="0">IF($A112="","",[1]!thsiFinD("ths_adjustment_nv_fund",N$3,$A112))</x:f>
        <x:v>#NAME?</x:v>
      </x:c>
      <x:c r="O112" s="106" t="e">
        <x:f aca="0">IF($A112="","",[1]!thsiFinD("ths_adjustment_nv_fund",O$3,$A112))</x:f>
        <x:v>#NAME?</x:v>
      </x:c>
      <x:c r="P112" s="106" t="e">
        <x:f aca="0">IF($A112="","",[1]!thsiFinD("ths_adjustment_nv_fund",P$3,$A112))</x:f>
        <x:v>#NAME?</x:v>
      </x:c>
      <x:c r="Q112" s="106" t="e">
        <x:f aca="0">IF($A112="","",[1]!thsiFinD("ths_adjustment_nv_fund",Q$3,$A112))</x:f>
        <x:v>#NAME?</x:v>
      </x:c>
      <x:c r="R112" s="106" t="e">
        <x:f aca="0">IF($A112="","",[1]!thsiFinD("ths_adjustment_nv_fund",R$3,$A112))</x:f>
        <x:v>#NAME?</x:v>
      </x:c>
      <x:c r="S112" s="106" t="e">
        <x:f aca="0">IF($A112="","",[1]!thsiFinD("ths_adjustment_nv_fund",S$3,$A112))</x:f>
        <x:v>#NAME?</x:v>
      </x:c>
      <x:c r="T112" s="106" t="e">
        <x:f aca="0">IF($A112="","",[1]!thsiFinD("ths_adjustment_nv_fund",T$3,$A112))</x:f>
        <x:v>#NAME?</x:v>
      </x:c>
      <x:c r="U112" s="106" t="e">
        <x:f aca="0">IF($A112="","",[1]!thsiFinD("ths_adjustment_nv_fund",U$3,$A112))</x:f>
        <x:v>#NAME?</x:v>
      </x:c>
      <x:c r="V112" s="106" t="e">
        <x:f aca="0">IF($A112="","",[1]!thsiFinD("ths_adjustment_nv_fund",V$3,$A112))</x:f>
        <x:v>#NAME?</x:v>
      </x:c>
      <x:c r="W112" s="106" t="e">
        <x:f aca="0">IF($A112="","",[1]!thsiFinD("ths_adjustment_nv_fund",W$3,$A112))</x:f>
        <x:v>#NAME?</x:v>
      </x:c>
      <x:c r="X112" s="106" t="e">
        <x:f aca="0">IF($A112="","",[1]!thsiFinD("ths_adjustment_nv_fund",X$3,$A112))</x:f>
        <x:v>#NAME?</x:v>
      </x:c>
      <x:c r="Y112" s="106" t="e">
        <x:f aca="0">IF($A112="","",[1]!thsiFinD("ths_adjustment_nv_fund",Y$3,$A112))</x:f>
        <x:v>#NAME?</x:v>
      </x:c>
      <x:c r="Z112" t="e">
        <x:f>IF($A112="","",[1]!thsiFinD("ths_adjustment_nv_fund",Z$3,$A112))</x:f>
        <x:v>#NAME?</x:v>
      </x:c>
      <x:c r="AA112" t="e">
        <x:f>IF($A112="","",[1]!thsiFinD("ths_adjustment_nv_fund",AA$3,$A112))</x:f>
        <x:v>#NAME?</x:v>
      </x:c>
    </x:row>
    <x:row r="113" ht="12" hidden="0">
      <x:c r="A113" s="9"/>
      <x:c r="B113" s="106" t="e">
        <x:f aca="0">IF($A113="","",[1]!thsiFinD("ths_adjustment_nv_fund",B$3,$A113))</x:f>
        <x:v>#NAME?</x:v>
      </x:c>
      <x:c r="C113" s="106" t="e">
        <x:f aca="0">IF($A113="","",[1]!thsiFinD("ths_adjustment_nv_fund",C$3,$A113))</x:f>
        <x:v>#NAME?</x:v>
      </x:c>
      <x:c r="D113" s="106" t="e">
        <x:f aca="0">IF($A113="","",[1]!thsiFinD("ths_adjustment_nv_fund",D$3,$A113))</x:f>
        <x:v>#NAME?</x:v>
      </x:c>
      <x:c r="E113" s="106" t="e">
        <x:f aca="0">IF($A113="","",[1]!thsiFinD("ths_adjustment_nv_fund",E$3,$A113))</x:f>
        <x:v>#NAME?</x:v>
      </x:c>
      <x:c r="F113" s="106" t="e">
        <x:f aca="0">IF($A113="","",[1]!thsiFinD("ths_adjustment_nv_fund",F$3,$A113))</x:f>
        <x:v>#NAME?</x:v>
      </x:c>
      <x:c r="G113" s="106" t="e">
        <x:f aca="0">IF($A113="","",[1]!thsiFinD("ths_adjustment_nv_fund",G$3,$A113))</x:f>
        <x:v>#NAME?</x:v>
      </x:c>
      <x:c r="H113" s="106" t="e">
        <x:f aca="0">IF($A113="","",[1]!thsiFinD("ths_adjustment_nv_fund",H$3,$A113))</x:f>
        <x:v>#NAME?</x:v>
      </x:c>
      <x:c r="I113" s="106" t="e">
        <x:f aca="0">IF($A113="","",[1]!thsiFinD("ths_adjustment_nv_fund",I$3,$A113))</x:f>
        <x:v>#NAME?</x:v>
      </x:c>
      <x:c r="J113" s="106" t="e">
        <x:f aca="0">IF($A113="","",[1]!thsiFinD("ths_adjustment_nv_fund",J$3,$A113))</x:f>
        <x:v>#NAME?</x:v>
      </x:c>
      <x:c r="K113" s="106" t="e">
        <x:f aca="0">IF($A113="","",[1]!thsiFinD("ths_adjustment_nv_fund",K$3,$A113))</x:f>
        <x:v>#NAME?</x:v>
      </x:c>
      <x:c r="L113" s="106" t="e">
        <x:f aca="0">IF($A113="","",[1]!thsiFinD("ths_adjustment_nv_fund",L$3,$A113))</x:f>
        <x:v>#NAME?</x:v>
      </x:c>
      <x:c r="M113" s="106" t="e">
        <x:f aca="0">IF($A113="","",[1]!thsiFinD("ths_adjustment_nv_fund",M$3,$A113))</x:f>
        <x:v>#NAME?</x:v>
      </x:c>
      <x:c r="N113" s="106" t="e">
        <x:f aca="0">IF($A113="","",[1]!thsiFinD("ths_adjustment_nv_fund",N$3,$A113))</x:f>
        <x:v>#NAME?</x:v>
      </x:c>
      <x:c r="O113" s="106" t="e">
        <x:f aca="0">IF($A113="","",[1]!thsiFinD("ths_adjustment_nv_fund",O$3,$A113))</x:f>
        <x:v>#NAME?</x:v>
      </x:c>
      <x:c r="P113" s="106" t="e">
        <x:f aca="0">IF($A113="","",[1]!thsiFinD("ths_adjustment_nv_fund",P$3,$A113))</x:f>
        <x:v>#NAME?</x:v>
      </x:c>
      <x:c r="Q113" s="106" t="e">
        <x:f aca="0">IF($A113="","",[1]!thsiFinD("ths_adjustment_nv_fund",Q$3,$A113))</x:f>
        <x:v>#NAME?</x:v>
      </x:c>
      <x:c r="R113" s="106" t="e">
        <x:f aca="0">IF($A113="","",[1]!thsiFinD("ths_adjustment_nv_fund",R$3,$A113))</x:f>
        <x:v>#NAME?</x:v>
      </x:c>
      <x:c r="S113" s="106" t="e">
        <x:f aca="0">IF($A113="","",[1]!thsiFinD("ths_adjustment_nv_fund",S$3,$A113))</x:f>
        <x:v>#NAME?</x:v>
      </x:c>
      <x:c r="T113" s="106" t="e">
        <x:f aca="0">IF($A113="","",[1]!thsiFinD("ths_adjustment_nv_fund",T$3,$A113))</x:f>
        <x:v>#NAME?</x:v>
      </x:c>
      <x:c r="U113" s="106" t="e">
        <x:f aca="0">IF($A113="","",[1]!thsiFinD("ths_adjustment_nv_fund",U$3,$A113))</x:f>
        <x:v>#NAME?</x:v>
      </x:c>
      <x:c r="V113" s="106" t="e">
        <x:f aca="0">IF($A113="","",[1]!thsiFinD("ths_adjustment_nv_fund",V$3,$A113))</x:f>
        <x:v>#NAME?</x:v>
      </x:c>
      <x:c r="W113" s="106" t="e">
        <x:f aca="0">IF($A113="","",[1]!thsiFinD("ths_adjustment_nv_fund",W$3,$A113))</x:f>
        <x:v>#NAME?</x:v>
      </x:c>
      <x:c r="X113" s="106" t="e">
        <x:f aca="0">IF($A113="","",[1]!thsiFinD("ths_adjustment_nv_fund",X$3,$A113))</x:f>
        <x:v>#NAME?</x:v>
      </x:c>
      <x:c r="Y113" s="106" t="e">
        <x:f aca="0">IF($A113="","",[1]!thsiFinD("ths_adjustment_nv_fund",Y$3,$A113))</x:f>
        <x:v>#NAME?</x:v>
      </x:c>
      <x:c r="Z113" t="e">
        <x:f>IF($A113="","",[1]!thsiFinD("ths_adjustment_nv_fund",Z$3,$A113))</x:f>
        <x:v>#NAME?</x:v>
      </x:c>
      <x:c r="AA113" t="e">
        <x:f>IF($A113="","",[1]!thsiFinD("ths_adjustment_nv_fund",AA$3,$A113))</x:f>
        <x:v>#NAME?</x:v>
      </x:c>
    </x:row>
    <x:row r="114" ht="12" hidden="0">
      <x:c r="A114" s="9"/>
      <x:c r="B114" s="106" t="e">
        <x:f aca="0">IF($A114="","",[1]!thsiFinD("ths_adjustment_nv_fund",B$3,$A114))</x:f>
        <x:v>#NAME?</x:v>
      </x:c>
      <x:c r="C114" s="106" t="e">
        <x:f aca="0">IF($A114="","",[1]!thsiFinD("ths_adjustment_nv_fund",C$3,$A114))</x:f>
        <x:v>#NAME?</x:v>
      </x:c>
      <x:c r="D114" s="106" t="e">
        <x:f aca="0">IF($A114="","",[1]!thsiFinD("ths_adjustment_nv_fund",D$3,$A114))</x:f>
        <x:v>#NAME?</x:v>
      </x:c>
      <x:c r="E114" s="106" t="e">
        <x:f aca="0">IF($A114="","",[1]!thsiFinD("ths_adjustment_nv_fund",E$3,$A114))</x:f>
        <x:v>#NAME?</x:v>
      </x:c>
      <x:c r="F114" s="106" t="e">
        <x:f aca="0">IF($A114="","",[1]!thsiFinD("ths_adjustment_nv_fund",F$3,$A114))</x:f>
        <x:v>#NAME?</x:v>
      </x:c>
      <x:c r="G114" s="106" t="e">
        <x:f aca="0">IF($A114="","",[1]!thsiFinD("ths_adjustment_nv_fund",G$3,$A114))</x:f>
        <x:v>#NAME?</x:v>
      </x:c>
      <x:c r="H114" s="106" t="e">
        <x:f aca="0">IF($A114="","",[1]!thsiFinD("ths_adjustment_nv_fund",H$3,$A114))</x:f>
        <x:v>#NAME?</x:v>
      </x:c>
      <x:c r="I114" s="106" t="e">
        <x:f aca="0">IF($A114="","",[1]!thsiFinD("ths_adjustment_nv_fund",I$3,$A114))</x:f>
        <x:v>#NAME?</x:v>
      </x:c>
      <x:c r="J114" s="106" t="e">
        <x:f aca="0">IF($A114="","",[1]!thsiFinD("ths_adjustment_nv_fund",J$3,$A114))</x:f>
        <x:v>#NAME?</x:v>
      </x:c>
      <x:c r="K114" s="106" t="e">
        <x:f aca="0">IF($A114="","",[1]!thsiFinD("ths_adjustment_nv_fund",K$3,$A114))</x:f>
        <x:v>#NAME?</x:v>
      </x:c>
      <x:c r="L114" s="106" t="e">
        <x:f aca="0">IF($A114="","",[1]!thsiFinD("ths_adjustment_nv_fund",L$3,$A114))</x:f>
        <x:v>#NAME?</x:v>
      </x:c>
      <x:c r="M114" s="106" t="e">
        <x:f aca="0">IF($A114="","",[1]!thsiFinD("ths_adjustment_nv_fund",M$3,$A114))</x:f>
        <x:v>#NAME?</x:v>
      </x:c>
      <x:c r="N114" s="106" t="e">
        <x:f aca="0">IF($A114="","",[1]!thsiFinD("ths_adjustment_nv_fund",N$3,$A114))</x:f>
        <x:v>#NAME?</x:v>
      </x:c>
      <x:c r="O114" s="106" t="e">
        <x:f aca="0">IF($A114="","",[1]!thsiFinD("ths_adjustment_nv_fund",O$3,$A114))</x:f>
        <x:v>#NAME?</x:v>
      </x:c>
      <x:c r="P114" s="106" t="e">
        <x:f aca="0">IF($A114="","",[1]!thsiFinD("ths_adjustment_nv_fund",P$3,$A114))</x:f>
        <x:v>#NAME?</x:v>
      </x:c>
      <x:c r="Q114" s="106" t="e">
        <x:f aca="0">IF($A114="","",[1]!thsiFinD("ths_adjustment_nv_fund",Q$3,$A114))</x:f>
        <x:v>#NAME?</x:v>
      </x:c>
      <x:c r="R114" s="106" t="e">
        <x:f aca="0">IF($A114="","",[1]!thsiFinD("ths_adjustment_nv_fund",R$3,$A114))</x:f>
        <x:v>#NAME?</x:v>
      </x:c>
      <x:c r="S114" s="106" t="e">
        <x:f aca="0">IF($A114="","",[1]!thsiFinD("ths_adjustment_nv_fund",S$3,$A114))</x:f>
        <x:v>#NAME?</x:v>
      </x:c>
      <x:c r="T114" s="106" t="e">
        <x:f aca="0">IF($A114="","",[1]!thsiFinD("ths_adjustment_nv_fund",T$3,$A114))</x:f>
        <x:v>#NAME?</x:v>
      </x:c>
      <x:c r="U114" s="106" t="e">
        <x:f aca="0">IF($A114="","",[1]!thsiFinD("ths_adjustment_nv_fund",U$3,$A114))</x:f>
        <x:v>#NAME?</x:v>
      </x:c>
      <x:c r="V114" s="106" t="e">
        <x:f aca="0">IF($A114="","",[1]!thsiFinD("ths_adjustment_nv_fund",V$3,$A114))</x:f>
        <x:v>#NAME?</x:v>
      </x:c>
      <x:c r="W114" s="106" t="e">
        <x:f aca="0">IF($A114="","",[1]!thsiFinD("ths_adjustment_nv_fund",W$3,$A114))</x:f>
        <x:v>#NAME?</x:v>
      </x:c>
      <x:c r="X114" s="106" t="e">
        <x:f aca="0">IF($A114="","",[1]!thsiFinD("ths_adjustment_nv_fund",X$3,$A114))</x:f>
        <x:v>#NAME?</x:v>
      </x:c>
      <x:c r="Y114" s="106" t="e">
        <x:f aca="0">IF($A114="","",[1]!thsiFinD("ths_adjustment_nv_fund",Y$3,$A114))</x:f>
        <x:v>#NAME?</x:v>
      </x:c>
      <x:c r="Z114" t="e">
        <x:f>IF($A114="","",[1]!thsiFinD("ths_adjustment_nv_fund",Z$3,$A114))</x:f>
        <x:v>#NAME?</x:v>
      </x:c>
      <x:c r="AA114" t="e">
        <x:f>IF($A114="","",[1]!thsiFinD("ths_adjustment_nv_fund",AA$3,$A114))</x:f>
        <x:v>#NAME?</x:v>
      </x:c>
    </x:row>
    <x:row r="115" ht="12" hidden="0">
      <x:c r="A115" s="9"/>
      <x:c r="B115" s="106" t="e">
        <x:f aca="0">IF($A115="","",[1]!thsiFinD("ths_adjustment_nv_fund",B$3,$A115))</x:f>
        <x:v>#NAME?</x:v>
      </x:c>
      <x:c r="C115" s="106" t="e">
        <x:f aca="0">IF($A115="","",[1]!thsiFinD("ths_adjustment_nv_fund",C$3,$A115))</x:f>
        <x:v>#NAME?</x:v>
      </x:c>
      <x:c r="D115" s="106" t="e">
        <x:f aca="0">IF($A115="","",[1]!thsiFinD("ths_adjustment_nv_fund",D$3,$A115))</x:f>
        <x:v>#NAME?</x:v>
      </x:c>
      <x:c r="E115" s="106" t="e">
        <x:f aca="0">IF($A115="","",[1]!thsiFinD("ths_adjustment_nv_fund",E$3,$A115))</x:f>
        <x:v>#NAME?</x:v>
      </x:c>
      <x:c r="F115" s="106" t="e">
        <x:f aca="0">IF($A115="","",[1]!thsiFinD("ths_adjustment_nv_fund",F$3,$A115))</x:f>
        <x:v>#NAME?</x:v>
      </x:c>
      <x:c r="G115" s="106" t="e">
        <x:f aca="0">IF($A115="","",[1]!thsiFinD("ths_adjustment_nv_fund",G$3,$A115))</x:f>
        <x:v>#NAME?</x:v>
      </x:c>
      <x:c r="H115" s="106" t="e">
        <x:f aca="0">IF($A115="","",[1]!thsiFinD("ths_adjustment_nv_fund",H$3,$A115))</x:f>
        <x:v>#NAME?</x:v>
      </x:c>
      <x:c r="I115" s="106" t="e">
        <x:f aca="0">IF($A115="","",[1]!thsiFinD("ths_adjustment_nv_fund",I$3,$A115))</x:f>
        <x:v>#NAME?</x:v>
      </x:c>
      <x:c r="J115" s="106" t="e">
        <x:f aca="0">IF($A115="","",[1]!thsiFinD("ths_adjustment_nv_fund",J$3,$A115))</x:f>
        <x:v>#NAME?</x:v>
      </x:c>
      <x:c r="K115" s="106" t="e">
        <x:f aca="0">IF($A115="","",[1]!thsiFinD("ths_adjustment_nv_fund",K$3,$A115))</x:f>
        <x:v>#NAME?</x:v>
      </x:c>
      <x:c r="L115" s="106" t="e">
        <x:f aca="0">IF($A115="","",[1]!thsiFinD("ths_adjustment_nv_fund",L$3,$A115))</x:f>
        <x:v>#NAME?</x:v>
      </x:c>
      <x:c r="M115" s="106" t="e">
        <x:f aca="0">IF($A115="","",[1]!thsiFinD("ths_adjustment_nv_fund",M$3,$A115))</x:f>
        <x:v>#NAME?</x:v>
      </x:c>
      <x:c r="N115" s="106" t="e">
        <x:f aca="0">IF($A115="","",[1]!thsiFinD("ths_adjustment_nv_fund",N$3,$A115))</x:f>
        <x:v>#NAME?</x:v>
      </x:c>
      <x:c r="O115" s="106" t="e">
        <x:f aca="0">IF($A115="","",[1]!thsiFinD("ths_adjustment_nv_fund",O$3,$A115))</x:f>
        <x:v>#NAME?</x:v>
      </x:c>
      <x:c r="P115" s="106" t="e">
        <x:f aca="0">IF($A115="","",[1]!thsiFinD("ths_adjustment_nv_fund",P$3,$A115))</x:f>
        <x:v>#NAME?</x:v>
      </x:c>
      <x:c r="Q115" s="106" t="e">
        <x:f aca="0">IF($A115="","",[1]!thsiFinD("ths_adjustment_nv_fund",Q$3,$A115))</x:f>
        <x:v>#NAME?</x:v>
      </x:c>
      <x:c r="R115" s="106" t="e">
        <x:f aca="0">IF($A115="","",[1]!thsiFinD("ths_adjustment_nv_fund",R$3,$A115))</x:f>
        <x:v>#NAME?</x:v>
      </x:c>
      <x:c r="S115" s="106" t="e">
        <x:f aca="0">IF($A115="","",[1]!thsiFinD("ths_adjustment_nv_fund",S$3,$A115))</x:f>
        <x:v>#NAME?</x:v>
      </x:c>
      <x:c r="T115" s="106" t="e">
        <x:f aca="0">IF($A115="","",[1]!thsiFinD("ths_adjustment_nv_fund",T$3,$A115))</x:f>
        <x:v>#NAME?</x:v>
      </x:c>
      <x:c r="U115" s="106" t="e">
        <x:f aca="0">IF($A115="","",[1]!thsiFinD("ths_adjustment_nv_fund",U$3,$A115))</x:f>
        <x:v>#NAME?</x:v>
      </x:c>
      <x:c r="V115" s="106" t="e">
        <x:f aca="0">IF($A115="","",[1]!thsiFinD("ths_adjustment_nv_fund",V$3,$A115))</x:f>
        <x:v>#NAME?</x:v>
      </x:c>
      <x:c r="W115" s="106" t="e">
        <x:f aca="0">IF($A115="","",[1]!thsiFinD("ths_adjustment_nv_fund",W$3,$A115))</x:f>
        <x:v>#NAME?</x:v>
      </x:c>
      <x:c r="X115" s="106" t="e">
        <x:f aca="0">IF($A115="","",[1]!thsiFinD("ths_adjustment_nv_fund",X$3,$A115))</x:f>
        <x:v>#NAME?</x:v>
      </x:c>
      <x:c r="Y115" s="106" t="e">
        <x:f aca="0">IF($A115="","",[1]!thsiFinD("ths_adjustment_nv_fund",Y$3,$A115))</x:f>
        <x:v>#NAME?</x:v>
      </x:c>
      <x:c r="Z115" t="e">
        <x:f>IF($A115="","",[1]!thsiFinD("ths_adjustment_nv_fund",Z$3,$A115))</x:f>
        <x:v>#NAME?</x:v>
      </x:c>
      <x:c r="AA115" t="e">
        <x:f>IF($A115="","",[1]!thsiFinD("ths_adjustment_nv_fund",AA$3,$A115))</x:f>
        <x:v>#NAME?</x:v>
      </x:c>
    </x:row>
    <x:row r="116" ht="12" hidden="0">
      <x:c r="A116" s="9"/>
      <x:c r="B116" s="106" t="e">
        <x:f aca="0">IF($A116="","",[1]!thsiFinD("ths_adjustment_nv_fund",B$3,$A116))</x:f>
        <x:v>#NAME?</x:v>
      </x:c>
      <x:c r="C116" s="106" t="e">
        <x:f aca="0">IF($A116="","",[1]!thsiFinD("ths_adjustment_nv_fund",C$3,$A116))</x:f>
        <x:v>#NAME?</x:v>
      </x:c>
      <x:c r="D116" s="106" t="e">
        <x:f aca="0">IF($A116="","",[1]!thsiFinD("ths_adjustment_nv_fund",D$3,$A116))</x:f>
        <x:v>#NAME?</x:v>
      </x:c>
      <x:c r="E116" s="106" t="e">
        <x:f aca="0">IF($A116="","",[1]!thsiFinD("ths_adjustment_nv_fund",E$3,$A116))</x:f>
        <x:v>#NAME?</x:v>
      </x:c>
      <x:c r="F116" s="106" t="e">
        <x:f aca="0">IF($A116="","",[1]!thsiFinD("ths_adjustment_nv_fund",F$3,$A116))</x:f>
        <x:v>#NAME?</x:v>
      </x:c>
      <x:c r="G116" s="106" t="e">
        <x:f aca="0">IF($A116="","",[1]!thsiFinD("ths_adjustment_nv_fund",G$3,$A116))</x:f>
        <x:v>#NAME?</x:v>
      </x:c>
      <x:c r="H116" s="106" t="e">
        <x:f aca="0">IF($A116="","",[1]!thsiFinD("ths_adjustment_nv_fund",H$3,$A116))</x:f>
        <x:v>#NAME?</x:v>
      </x:c>
      <x:c r="I116" s="106" t="e">
        <x:f aca="0">IF($A116="","",[1]!thsiFinD("ths_adjustment_nv_fund",I$3,$A116))</x:f>
        <x:v>#NAME?</x:v>
      </x:c>
      <x:c r="J116" s="106" t="e">
        <x:f aca="0">IF($A116="","",[1]!thsiFinD("ths_adjustment_nv_fund",J$3,$A116))</x:f>
        <x:v>#NAME?</x:v>
      </x:c>
      <x:c r="K116" s="106" t="e">
        <x:f aca="0">IF($A116="","",[1]!thsiFinD("ths_adjustment_nv_fund",K$3,$A116))</x:f>
        <x:v>#NAME?</x:v>
      </x:c>
      <x:c r="L116" s="106" t="e">
        <x:f aca="0">IF($A116="","",[1]!thsiFinD("ths_adjustment_nv_fund",L$3,$A116))</x:f>
        <x:v>#NAME?</x:v>
      </x:c>
      <x:c r="M116" s="106" t="e">
        <x:f aca="0">IF($A116="","",[1]!thsiFinD("ths_adjustment_nv_fund",M$3,$A116))</x:f>
        <x:v>#NAME?</x:v>
      </x:c>
      <x:c r="N116" s="106" t="e">
        <x:f aca="0">IF($A116="","",[1]!thsiFinD("ths_adjustment_nv_fund",N$3,$A116))</x:f>
        <x:v>#NAME?</x:v>
      </x:c>
      <x:c r="O116" s="106" t="e">
        <x:f aca="0">IF($A116="","",[1]!thsiFinD("ths_adjustment_nv_fund",O$3,$A116))</x:f>
        <x:v>#NAME?</x:v>
      </x:c>
      <x:c r="P116" s="106" t="e">
        <x:f aca="0">IF($A116="","",[1]!thsiFinD("ths_adjustment_nv_fund",P$3,$A116))</x:f>
        <x:v>#NAME?</x:v>
      </x:c>
      <x:c r="Q116" s="106" t="e">
        <x:f aca="0">IF($A116="","",[1]!thsiFinD("ths_adjustment_nv_fund",Q$3,$A116))</x:f>
        <x:v>#NAME?</x:v>
      </x:c>
      <x:c r="R116" s="106" t="e">
        <x:f aca="0">IF($A116="","",[1]!thsiFinD("ths_adjustment_nv_fund",R$3,$A116))</x:f>
        <x:v>#NAME?</x:v>
      </x:c>
      <x:c r="S116" s="106" t="e">
        <x:f aca="0">IF($A116="","",[1]!thsiFinD("ths_adjustment_nv_fund",S$3,$A116))</x:f>
        <x:v>#NAME?</x:v>
      </x:c>
      <x:c r="T116" s="106" t="e">
        <x:f aca="0">IF($A116="","",[1]!thsiFinD("ths_adjustment_nv_fund",T$3,$A116))</x:f>
        <x:v>#NAME?</x:v>
      </x:c>
      <x:c r="U116" s="106" t="e">
        <x:f aca="0">IF($A116="","",[1]!thsiFinD("ths_adjustment_nv_fund",U$3,$A116))</x:f>
        <x:v>#NAME?</x:v>
      </x:c>
      <x:c r="V116" s="106" t="e">
        <x:f aca="0">IF($A116="","",[1]!thsiFinD("ths_adjustment_nv_fund",V$3,$A116))</x:f>
        <x:v>#NAME?</x:v>
      </x:c>
      <x:c r="W116" s="106" t="e">
        <x:f aca="0">IF($A116="","",[1]!thsiFinD("ths_adjustment_nv_fund",W$3,$A116))</x:f>
        <x:v>#NAME?</x:v>
      </x:c>
      <x:c r="X116" s="106" t="e">
        <x:f aca="0">IF($A116="","",[1]!thsiFinD("ths_adjustment_nv_fund",X$3,$A116))</x:f>
        <x:v>#NAME?</x:v>
      </x:c>
      <x:c r="Y116" s="106" t="e">
        <x:f aca="0">IF($A116="","",[1]!thsiFinD("ths_adjustment_nv_fund",Y$3,$A116))</x:f>
        <x:v>#NAME?</x:v>
      </x:c>
      <x:c r="Z116" t="e">
        <x:f>IF($A116="","",[1]!thsiFinD("ths_adjustment_nv_fund",Z$3,$A116))</x:f>
        <x:v>#NAME?</x:v>
      </x:c>
      <x:c r="AA116" t="e">
        <x:f>IF($A116="","",[1]!thsiFinD("ths_adjustment_nv_fund",AA$3,$A116))</x:f>
        <x:v>#NAME?</x:v>
      </x:c>
    </x:row>
    <x:row r="117" ht="12" hidden="0">
      <x:c r="A117" s="9"/>
      <x:c r="B117" s="106" t="e">
        <x:f aca="0">IF($A117="","",[1]!thsiFinD("ths_adjustment_nv_fund",B$3,$A117))</x:f>
        <x:v>#NAME?</x:v>
      </x:c>
      <x:c r="C117" s="106" t="e">
        <x:f aca="0">IF($A117="","",[1]!thsiFinD("ths_adjustment_nv_fund",C$3,$A117))</x:f>
        <x:v>#NAME?</x:v>
      </x:c>
      <x:c r="D117" s="106" t="e">
        <x:f aca="0">IF($A117="","",[1]!thsiFinD("ths_adjustment_nv_fund",D$3,$A117))</x:f>
        <x:v>#NAME?</x:v>
      </x:c>
      <x:c r="E117" s="106" t="e">
        <x:f aca="0">IF($A117="","",[1]!thsiFinD("ths_adjustment_nv_fund",E$3,$A117))</x:f>
        <x:v>#NAME?</x:v>
      </x:c>
      <x:c r="F117" s="106" t="e">
        <x:f aca="0">IF($A117="","",[1]!thsiFinD("ths_adjustment_nv_fund",F$3,$A117))</x:f>
        <x:v>#NAME?</x:v>
      </x:c>
      <x:c r="G117" s="106" t="e">
        <x:f aca="0">IF($A117="","",[1]!thsiFinD("ths_adjustment_nv_fund",G$3,$A117))</x:f>
        <x:v>#NAME?</x:v>
      </x:c>
      <x:c r="H117" s="106" t="e">
        <x:f aca="0">IF($A117="","",[1]!thsiFinD("ths_adjustment_nv_fund",H$3,$A117))</x:f>
        <x:v>#NAME?</x:v>
      </x:c>
      <x:c r="I117" s="106" t="e">
        <x:f aca="0">IF($A117="","",[1]!thsiFinD("ths_adjustment_nv_fund",I$3,$A117))</x:f>
        <x:v>#NAME?</x:v>
      </x:c>
      <x:c r="J117" s="106" t="e">
        <x:f aca="0">IF($A117="","",[1]!thsiFinD("ths_adjustment_nv_fund",J$3,$A117))</x:f>
        <x:v>#NAME?</x:v>
      </x:c>
      <x:c r="K117" s="106" t="e">
        <x:f aca="0">IF($A117="","",[1]!thsiFinD("ths_adjustment_nv_fund",K$3,$A117))</x:f>
        <x:v>#NAME?</x:v>
      </x:c>
      <x:c r="L117" s="106" t="e">
        <x:f aca="0">IF($A117="","",[1]!thsiFinD("ths_adjustment_nv_fund",L$3,$A117))</x:f>
        <x:v>#NAME?</x:v>
      </x:c>
      <x:c r="M117" s="106" t="e">
        <x:f aca="0">IF($A117="","",[1]!thsiFinD("ths_adjustment_nv_fund",M$3,$A117))</x:f>
        <x:v>#NAME?</x:v>
      </x:c>
      <x:c r="N117" s="106" t="e">
        <x:f aca="0">IF($A117="","",[1]!thsiFinD("ths_adjustment_nv_fund",N$3,$A117))</x:f>
        <x:v>#NAME?</x:v>
      </x:c>
      <x:c r="O117" s="106" t="e">
        <x:f aca="0">IF($A117="","",[1]!thsiFinD("ths_adjustment_nv_fund",O$3,$A117))</x:f>
        <x:v>#NAME?</x:v>
      </x:c>
      <x:c r="P117" s="106" t="e">
        <x:f aca="0">IF($A117="","",[1]!thsiFinD("ths_adjustment_nv_fund",P$3,$A117))</x:f>
        <x:v>#NAME?</x:v>
      </x:c>
      <x:c r="Q117" s="106" t="e">
        <x:f aca="0">IF($A117="","",[1]!thsiFinD("ths_adjustment_nv_fund",Q$3,$A117))</x:f>
        <x:v>#NAME?</x:v>
      </x:c>
      <x:c r="R117" s="106" t="e">
        <x:f aca="0">IF($A117="","",[1]!thsiFinD("ths_adjustment_nv_fund",R$3,$A117))</x:f>
        <x:v>#NAME?</x:v>
      </x:c>
      <x:c r="S117" s="106" t="e">
        <x:f aca="0">IF($A117="","",[1]!thsiFinD("ths_adjustment_nv_fund",S$3,$A117))</x:f>
        <x:v>#NAME?</x:v>
      </x:c>
      <x:c r="T117" s="106" t="e">
        <x:f aca="0">IF($A117="","",[1]!thsiFinD("ths_adjustment_nv_fund",T$3,$A117))</x:f>
        <x:v>#NAME?</x:v>
      </x:c>
      <x:c r="U117" s="106" t="e">
        <x:f aca="0">IF($A117="","",[1]!thsiFinD("ths_adjustment_nv_fund",U$3,$A117))</x:f>
        <x:v>#NAME?</x:v>
      </x:c>
      <x:c r="V117" s="106" t="e">
        <x:f aca="0">IF($A117="","",[1]!thsiFinD("ths_adjustment_nv_fund",V$3,$A117))</x:f>
        <x:v>#NAME?</x:v>
      </x:c>
      <x:c r="W117" s="106" t="e">
        <x:f aca="0">IF($A117="","",[1]!thsiFinD("ths_adjustment_nv_fund",W$3,$A117))</x:f>
        <x:v>#NAME?</x:v>
      </x:c>
      <x:c r="X117" s="106" t="e">
        <x:f aca="0">IF($A117="","",[1]!thsiFinD("ths_adjustment_nv_fund",X$3,$A117))</x:f>
        <x:v>#NAME?</x:v>
      </x:c>
      <x:c r="Y117" s="106" t="e">
        <x:f aca="0">IF($A117="","",[1]!thsiFinD("ths_adjustment_nv_fund",Y$3,$A117))</x:f>
        <x:v>#NAME?</x:v>
      </x:c>
      <x:c r="Z117" t="e">
        <x:f>IF($A117="","",[1]!thsiFinD("ths_adjustment_nv_fund",Z$3,$A117))</x:f>
        <x:v>#NAME?</x:v>
      </x:c>
      <x:c r="AA117" t="e">
        <x:f>IF($A117="","",[1]!thsiFinD("ths_adjustment_nv_fund",AA$3,$A117))</x:f>
        <x:v>#NAME?</x:v>
      </x:c>
    </x:row>
    <x:row r="118" ht="12" hidden="0">
      <x:c r="A118" s="9"/>
      <x:c r="B118" s="106" t="e">
        <x:f aca="0">IF($A118="","",[1]!thsiFinD("ths_adjustment_nv_fund",B$3,$A118))</x:f>
        <x:v>#NAME?</x:v>
      </x:c>
      <x:c r="C118" s="106" t="e">
        <x:f aca="0">IF($A118="","",[1]!thsiFinD("ths_adjustment_nv_fund",C$3,$A118))</x:f>
        <x:v>#NAME?</x:v>
      </x:c>
      <x:c r="D118" s="106" t="e">
        <x:f aca="0">IF($A118="","",[1]!thsiFinD("ths_adjustment_nv_fund",D$3,$A118))</x:f>
        <x:v>#NAME?</x:v>
      </x:c>
      <x:c r="E118" s="106" t="e">
        <x:f aca="0">IF($A118="","",[1]!thsiFinD("ths_adjustment_nv_fund",E$3,$A118))</x:f>
        <x:v>#NAME?</x:v>
      </x:c>
      <x:c r="F118" s="106" t="e">
        <x:f aca="0">IF($A118="","",[1]!thsiFinD("ths_adjustment_nv_fund",F$3,$A118))</x:f>
        <x:v>#NAME?</x:v>
      </x:c>
      <x:c r="G118" s="106" t="e">
        <x:f aca="0">IF($A118="","",[1]!thsiFinD("ths_adjustment_nv_fund",G$3,$A118))</x:f>
        <x:v>#NAME?</x:v>
      </x:c>
      <x:c r="H118" s="106" t="e">
        <x:f aca="0">IF($A118="","",[1]!thsiFinD("ths_adjustment_nv_fund",H$3,$A118))</x:f>
        <x:v>#NAME?</x:v>
      </x:c>
      <x:c r="I118" s="106" t="e">
        <x:f aca="0">IF($A118="","",[1]!thsiFinD("ths_adjustment_nv_fund",I$3,$A118))</x:f>
        <x:v>#NAME?</x:v>
      </x:c>
      <x:c r="J118" s="106" t="e">
        <x:f aca="0">IF($A118="","",[1]!thsiFinD("ths_adjustment_nv_fund",J$3,$A118))</x:f>
        <x:v>#NAME?</x:v>
      </x:c>
      <x:c r="K118" s="106" t="e">
        <x:f aca="0">IF($A118="","",[1]!thsiFinD("ths_adjustment_nv_fund",K$3,$A118))</x:f>
        <x:v>#NAME?</x:v>
      </x:c>
      <x:c r="L118" s="106" t="e">
        <x:f aca="0">IF($A118="","",[1]!thsiFinD("ths_adjustment_nv_fund",L$3,$A118))</x:f>
        <x:v>#NAME?</x:v>
      </x:c>
      <x:c r="M118" s="106" t="e">
        <x:f aca="0">IF($A118="","",[1]!thsiFinD("ths_adjustment_nv_fund",M$3,$A118))</x:f>
        <x:v>#NAME?</x:v>
      </x:c>
      <x:c r="N118" s="106" t="e">
        <x:f aca="0">IF($A118="","",[1]!thsiFinD("ths_adjustment_nv_fund",N$3,$A118))</x:f>
        <x:v>#NAME?</x:v>
      </x:c>
      <x:c r="O118" s="106" t="e">
        <x:f aca="0">IF($A118="","",[1]!thsiFinD("ths_adjustment_nv_fund",O$3,$A118))</x:f>
        <x:v>#NAME?</x:v>
      </x:c>
      <x:c r="P118" s="106" t="e">
        <x:f aca="0">IF($A118="","",[1]!thsiFinD("ths_adjustment_nv_fund",P$3,$A118))</x:f>
        <x:v>#NAME?</x:v>
      </x:c>
      <x:c r="Q118" s="106" t="e">
        <x:f aca="0">IF($A118="","",[1]!thsiFinD("ths_adjustment_nv_fund",Q$3,$A118))</x:f>
        <x:v>#NAME?</x:v>
      </x:c>
      <x:c r="R118" s="106" t="e">
        <x:f aca="0">IF($A118="","",[1]!thsiFinD("ths_adjustment_nv_fund",R$3,$A118))</x:f>
        <x:v>#NAME?</x:v>
      </x:c>
      <x:c r="S118" s="106" t="e">
        <x:f aca="0">IF($A118="","",[1]!thsiFinD("ths_adjustment_nv_fund",S$3,$A118))</x:f>
        <x:v>#NAME?</x:v>
      </x:c>
      <x:c r="T118" s="106" t="e">
        <x:f aca="0">IF($A118="","",[1]!thsiFinD("ths_adjustment_nv_fund",T$3,$A118))</x:f>
        <x:v>#NAME?</x:v>
      </x:c>
      <x:c r="U118" s="106" t="e">
        <x:f aca="0">IF($A118="","",[1]!thsiFinD("ths_adjustment_nv_fund",U$3,$A118))</x:f>
        <x:v>#NAME?</x:v>
      </x:c>
      <x:c r="V118" s="106" t="e">
        <x:f aca="0">IF($A118="","",[1]!thsiFinD("ths_adjustment_nv_fund",V$3,$A118))</x:f>
        <x:v>#NAME?</x:v>
      </x:c>
      <x:c r="W118" s="106" t="e">
        <x:f aca="0">IF($A118="","",[1]!thsiFinD("ths_adjustment_nv_fund",W$3,$A118))</x:f>
        <x:v>#NAME?</x:v>
      </x:c>
      <x:c r="X118" s="106" t="e">
        <x:f aca="0">IF($A118="","",[1]!thsiFinD("ths_adjustment_nv_fund",X$3,$A118))</x:f>
        <x:v>#NAME?</x:v>
      </x:c>
      <x:c r="Y118" s="106" t="e">
        <x:f aca="0">IF($A118="","",[1]!thsiFinD("ths_adjustment_nv_fund",Y$3,$A118))</x:f>
        <x:v>#NAME?</x:v>
      </x:c>
      <x:c r="Z118" t="e">
        <x:f>IF($A118="","",[1]!thsiFinD("ths_adjustment_nv_fund",Z$3,$A118))</x:f>
        <x:v>#NAME?</x:v>
      </x:c>
      <x:c r="AA118" t="e">
        <x:f>IF($A118="","",[1]!thsiFinD("ths_adjustment_nv_fund",AA$3,$A118))</x:f>
        <x:v>#NAME?</x:v>
      </x:c>
    </x:row>
    <x:row r="119" ht="12" hidden="0">
      <x:c r="A119" s="9"/>
      <x:c r="B119" s="106" t="e">
        <x:f aca="0">IF($A119="","",[1]!thsiFinD("ths_adjustment_nv_fund",B$3,$A119))</x:f>
        <x:v>#NAME?</x:v>
      </x:c>
      <x:c r="C119" s="106" t="e">
        <x:f aca="0">IF($A119="","",[1]!thsiFinD("ths_adjustment_nv_fund",C$3,$A119))</x:f>
        <x:v>#NAME?</x:v>
      </x:c>
      <x:c r="D119" s="106" t="e">
        <x:f aca="0">IF($A119="","",[1]!thsiFinD("ths_adjustment_nv_fund",D$3,$A119))</x:f>
        <x:v>#NAME?</x:v>
      </x:c>
      <x:c r="E119" s="106" t="e">
        <x:f aca="0">IF($A119="","",[1]!thsiFinD("ths_adjustment_nv_fund",E$3,$A119))</x:f>
        <x:v>#NAME?</x:v>
      </x:c>
      <x:c r="F119" s="106" t="e">
        <x:f aca="0">IF($A119="","",[1]!thsiFinD("ths_adjustment_nv_fund",F$3,$A119))</x:f>
        <x:v>#NAME?</x:v>
      </x:c>
      <x:c r="G119" s="106" t="e">
        <x:f aca="0">IF($A119="","",[1]!thsiFinD("ths_adjustment_nv_fund",G$3,$A119))</x:f>
        <x:v>#NAME?</x:v>
      </x:c>
      <x:c r="H119" s="106" t="e">
        <x:f aca="0">IF($A119="","",[1]!thsiFinD("ths_adjustment_nv_fund",H$3,$A119))</x:f>
        <x:v>#NAME?</x:v>
      </x:c>
      <x:c r="I119" s="106" t="e">
        <x:f aca="0">IF($A119="","",[1]!thsiFinD("ths_adjustment_nv_fund",I$3,$A119))</x:f>
        <x:v>#NAME?</x:v>
      </x:c>
      <x:c r="J119" s="106" t="e">
        <x:f aca="0">IF($A119="","",[1]!thsiFinD("ths_adjustment_nv_fund",J$3,$A119))</x:f>
        <x:v>#NAME?</x:v>
      </x:c>
      <x:c r="K119" s="106" t="e">
        <x:f aca="0">IF($A119="","",[1]!thsiFinD("ths_adjustment_nv_fund",K$3,$A119))</x:f>
        <x:v>#NAME?</x:v>
      </x:c>
      <x:c r="L119" s="106" t="e">
        <x:f aca="0">IF($A119="","",[1]!thsiFinD("ths_adjustment_nv_fund",L$3,$A119))</x:f>
        <x:v>#NAME?</x:v>
      </x:c>
      <x:c r="M119" s="106" t="e">
        <x:f aca="0">IF($A119="","",[1]!thsiFinD("ths_adjustment_nv_fund",M$3,$A119))</x:f>
        <x:v>#NAME?</x:v>
      </x:c>
      <x:c r="N119" s="106" t="e">
        <x:f aca="0">IF($A119="","",[1]!thsiFinD("ths_adjustment_nv_fund",N$3,$A119))</x:f>
        <x:v>#NAME?</x:v>
      </x:c>
      <x:c r="O119" s="106" t="e">
        <x:f aca="0">IF($A119="","",[1]!thsiFinD("ths_adjustment_nv_fund",O$3,$A119))</x:f>
        <x:v>#NAME?</x:v>
      </x:c>
      <x:c r="P119" s="106" t="e">
        <x:f aca="0">IF($A119="","",[1]!thsiFinD("ths_adjustment_nv_fund",P$3,$A119))</x:f>
        <x:v>#NAME?</x:v>
      </x:c>
      <x:c r="Q119" s="106" t="e">
        <x:f aca="0">IF($A119="","",[1]!thsiFinD("ths_adjustment_nv_fund",Q$3,$A119))</x:f>
        <x:v>#NAME?</x:v>
      </x:c>
      <x:c r="R119" s="106" t="e">
        <x:f aca="0">IF($A119="","",[1]!thsiFinD("ths_adjustment_nv_fund",R$3,$A119))</x:f>
        <x:v>#NAME?</x:v>
      </x:c>
      <x:c r="S119" s="106" t="e">
        <x:f aca="0">IF($A119="","",[1]!thsiFinD("ths_adjustment_nv_fund",S$3,$A119))</x:f>
        <x:v>#NAME?</x:v>
      </x:c>
      <x:c r="T119" s="106" t="e">
        <x:f aca="0">IF($A119="","",[1]!thsiFinD("ths_adjustment_nv_fund",T$3,$A119))</x:f>
        <x:v>#NAME?</x:v>
      </x:c>
      <x:c r="U119" s="106" t="e">
        <x:f aca="0">IF($A119="","",[1]!thsiFinD("ths_adjustment_nv_fund",U$3,$A119))</x:f>
        <x:v>#NAME?</x:v>
      </x:c>
      <x:c r="V119" s="106" t="e">
        <x:f aca="0">IF($A119="","",[1]!thsiFinD("ths_adjustment_nv_fund",V$3,$A119))</x:f>
        <x:v>#NAME?</x:v>
      </x:c>
      <x:c r="W119" s="106" t="e">
        <x:f aca="0">IF($A119="","",[1]!thsiFinD("ths_adjustment_nv_fund",W$3,$A119))</x:f>
        <x:v>#NAME?</x:v>
      </x:c>
      <x:c r="X119" s="106" t="e">
        <x:f aca="0">IF($A119="","",[1]!thsiFinD("ths_adjustment_nv_fund",X$3,$A119))</x:f>
        <x:v>#NAME?</x:v>
      </x:c>
      <x:c r="Y119" s="106" t="e">
        <x:f aca="0">IF($A119="","",[1]!thsiFinD("ths_adjustment_nv_fund",Y$3,$A119))</x:f>
        <x:v>#NAME?</x:v>
      </x:c>
      <x:c r="Z119" t="e">
        <x:f>IF($A119="","",[1]!thsiFinD("ths_adjustment_nv_fund",Z$3,$A119))</x:f>
        <x:v>#NAME?</x:v>
      </x:c>
      <x:c r="AA119" t="e">
        <x:f>IF($A119="","",[1]!thsiFinD("ths_adjustment_nv_fund",AA$3,$A119))</x:f>
        <x:v>#NAME?</x:v>
      </x:c>
    </x:row>
    <x:row r="120" ht="12" hidden="0">
      <x:c r="A120" s="9"/>
      <x:c r="B120" s="106" t="e">
        <x:f aca="0">IF($A120="","",[1]!thsiFinD("ths_adjustment_nv_fund",B$3,$A120))</x:f>
        <x:v>#NAME?</x:v>
      </x:c>
      <x:c r="C120" s="106" t="e">
        <x:f aca="0">IF($A120="","",[1]!thsiFinD("ths_adjustment_nv_fund",C$3,$A120))</x:f>
        <x:v>#NAME?</x:v>
      </x:c>
      <x:c r="D120" s="106" t="e">
        <x:f aca="0">IF($A120="","",[1]!thsiFinD("ths_adjustment_nv_fund",D$3,$A120))</x:f>
        <x:v>#NAME?</x:v>
      </x:c>
      <x:c r="E120" s="106" t="e">
        <x:f aca="0">IF($A120="","",[1]!thsiFinD("ths_adjustment_nv_fund",E$3,$A120))</x:f>
        <x:v>#NAME?</x:v>
      </x:c>
      <x:c r="F120" s="106" t="e">
        <x:f aca="0">IF($A120="","",[1]!thsiFinD("ths_adjustment_nv_fund",F$3,$A120))</x:f>
        <x:v>#NAME?</x:v>
      </x:c>
      <x:c r="G120" s="106" t="e">
        <x:f aca="0">IF($A120="","",[1]!thsiFinD("ths_adjustment_nv_fund",G$3,$A120))</x:f>
        <x:v>#NAME?</x:v>
      </x:c>
      <x:c r="H120" s="106" t="e">
        <x:f aca="0">IF($A120="","",[1]!thsiFinD("ths_adjustment_nv_fund",H$3,$A120))</x:f>
        <x:v>#NAME?</x:v>
      </x:c>
      <x:c r="I120" s="106" t="e">
        <x:f aca="0">IF($A120="","",[1]!thsiFinD("ths_adjustment_nv_fund",I$3,$A120))</x:f>
        <x:v>#NAME?</x:v>
      </x:c>
      <x:c r="J120" s="106" t="e">
        <x:f aca="0">IF($A120="","",[1]!thsiFinD("ths_adjustment_nv_fund",J$3,$A120))</x:f>
        <x:v>#NAME?</x:v>
      </x:c>
      <x:c r="K120" s="106" t="e">
        <x:f aca="0">IF($A120="","",[1]!thsiFinD("ths_adjustment_nv_fund",K$3,$A120))</x:f>
        <x:v>#NAME?</x:v>
      </x:c>
      <x:c r="L120" s="106" t="e">
        <x:f aca="0">IF($A120="","",[1]!thsiFinD("ths_adjustment_nv_fund",L$3,$A120))</x:f>
        <x:v>#NAME?</x:v>
      </x:c>
      <x:c r="M120" s="106" t="e">
        <x:f aca="0">IF($A120="","",[1]!thsiFinD("ths_adjustment_nv_fund",M$3,$A120))</x:f>
        <x:v>#NAME?</x:v>
      </x:c>
      <x:c r="N120" s="106" t="e">
        <x:f aca="0">IF($A120="","",[1]!thsiFinD("ths_adjustment_nv_fund",N$3,$A120))</x:f>
        <x:v>#NAME?</x:v>
      </x:c>
      <x:c r="O120" s="106" t="e">
        <x:f aca="0">IF($A120="","",[1]!thsiFinD("ths_adjustment_nv_fund",O$3,$A120))</x:f>
        <x:v>#NAME?</x:v>
      </x:c>
      <x:c r="P120" s="106" t="e">
        <x:f aca="0">IF($A120="","",[1]!thsiFinD("ths_adjustment_nv_fund",P$3,$A120))</x:f>
        <x:v>#NAME?</x:v>
      </x:c>
      <x:c r="Q120" s="106" t="e">
        <x:f aca="0">IF($A120="","",[1]!thsiFinD("ths_adjustment_nv_fund",Q$3,$A120))</x:f>
        <x:v>#NAME?</x:v>
      </x:c>
      <x:c r="R120" s="106" t="e">
        <x:f aca="0">IF($A120="","",[1]!thsiFinD("ths_adjustment_nv_fund",R$3,$A120))</x:f>
        <x:v>#NAME?</x:v>
      </x:c>
      <x:c r="S120" s="106" t="e">
        <x:f aca="0">IF($A120="","",[1]!thsiFinD("ths_adjustment_nv_fund",S$3,$A120))</x:f>
        <x:v>#NAME?</x:v>
      </x:c>
      <x:c r="T120" s="106" t="e">
        <x:f aca="0">IF($A120="","",[1]!thsiFinD("ths_adjustment_nv_fund",T$3,$A120))</x:f>
        <x:v>#NAME?</x:v>
      </x:c>
      <x:c r="U120" s="106" t="e">
        <x:f aca="0">IF($A120="","",[1]!thsiFinD("ths_adjustment_nv_fund",U$3,$A120))</x:f>
        <x:v>#NAME?</x:v>
      </x:c>
      <x:c r="V120" s="106" t="e">
        <x:f aca="0">IF($A120="","",[1]!thsiFinD("ths_adjustment_nv_fund",V$3,$A120))</x:f>
        <x:v>#NAME?</x:v>
      </x:c>
      <x:c r="W120" s="106" t="e">
        <x:f aca="0">IF($A120="","",[1]!thsiFinD("ths_adjustment_nv_fund",W$3,$A120))</x:f>
        <x:v>#NAME?</x:v>
      </x:c>
      <x:c r="X120" s="106" t="e">
        <x:f aca="0">IF($A120="","",[1]!thsiFinD("ths_adjustment_nv_fund",X$3,$A120))</x:f>
        <x:v>#NAME?</x:v>
      </x:c>
      <x:c r="Y120" s="106" t="e">
        <x:f aca="0">IF($A120="","",[1]!thsiFinD("ths_adjustment_nv_fund",Y$3,$A120))</x:f>
        <x:v>#NAME?</x:v>
      </x:c>
      <x:c r="Z120" t="e">
        <x:f>IF($A120="","",[1]!thsiFinD("ths_adjustment_nv_fund",Z$3,$A120))</x:f>
        <x:v>#NAME?</x:v>
      </x:c>
      <x:c r="AA120" t="e">
        <x:f>IF($A120="","",[1]!thsiFinD("ths_adjustment_nv_fund",AA$3,$A120))</x:f>
        <x:v>#NAME?</x:v>
      </x:c>
    </x:row>
    <x:row r="121" ht="12" hidden="0">
      <x:c r="A121" s="9"/>
      <x:c r="B121" s="106" t="e">
        <x:f aca="0">IF($A121="","",[1]!thsiFinD("ths_adjustment_nv_fund",B$3,$A121))</x:f>
        <x:v>#NAME?</x:v>
      </x:c>
      <x:c r="C121" s="106" t="e">
        <x:f aca="0">IF($A121="","",[1]!thsiFinD("ths_adjustment_nv_fund",C$3,$A121))</x:f>
        <x:v>#NAME?</x:v>
      </x:c>
      <x:c r="D121" s="106" t="e">
        <x:f aca="0">IF($A121="","",[1]!thsiFinD("ths_adjustment_nv_fund",D$3,$A121))</x:f>
        <x:v>#NAME?</x:v>
      </x:c>
      <x:c r="E121" s="106" t="e">
        <x:f aca="0">IF($A121="","",[1]!thsiFinD("ths_adjustment_nv_fund",E$3,$A121))</x:f>
        <x:v>#NAME?</x:v>
      </x:c>
      <x:c r="F121" s="106" t="e">
        <x:f aca="0">IF($A121="","",[1]!thsiFinD("ths_adjustment_nv_fund",F$3,$A121))</x:f>
        <x:v>#NAME?</x:v>
      </x:c>
      <x:c r="G121" s="106" t="e">
        <x:f aca="0">IF($A121="","",[1]!thsiFinD("ths_adjustment_nv_fund",G$3,$A121))</x:f>
        <x:v>#NAME?</x:v>
      </x:c>
      <x:c r="H121" s="106" t="e">
        <x:f aca="0">IF($A121="","",[1]!thsiFinD("ths_adjustment_nv_fund",H$3,$A121))</x:f>
        <x:v>#NAME?</x:v>
      </x:c>
      <x:c r="I121" s="106" t="e">
        <x:f aca="0">IF($A121="","",[1]!thsiFinD("ths_adjustment_nv_fund",I$3,$A121))</x:f>
        <x:v>#NAME?</x:v>
      </x:c>
      <x:c r="J121" s="106" t="e">
        <x:f aca="0">IF($A121="","",[1]!thsiFinD("ths_adjustment_nv_fund",J$3,$A121))</x:f>
        <x:v>#NAME?</x:v>
      </x:c>
      <x:c r="K121" s="106" t="e">
        <x:f aca="0">IF($A121="","",[1]!thsiFinD("ths_adjustment_nv_fund",K$3,$A121))</x:f>
        <x:v>#NAME?</x:v>
      </x:c>
      <x:c r="L121" s="106" t="e">
        <x:f aca="0">IF($A121="","",[1]!thsiFinD("ths_adjustment_nv_fund",L$3,$A121))</x:f>
        <x:v>#NAME?</x:v>
      </x:c>
      <x:c r="M121" s="106" t="e">
        <x:f aca="0">IF($A121="","",[1]!thsiFinD("ths_adjustment_nv_fund",M$3,$A121))</x:f>
        <x:v>#NAME?</x:v>
      </x:c>
      <x:c r="N121" s="106" t="e">
        <x:f aca="0">IF($A121="","",[1]!thsiFinD("ths_adjustment_nv_fund",N$3,$A121))</x:f>
        <x:v>#NAME?</x:v>
      </x:c>
      <x:c r="O121" s="106" t="e">
        <x:f aca="0">IF($A121="","",[1]!thsiFinD("ths_adjustment_nv_fund",O$3,$A121))</x:f>
        <x:v>#NAME?</x:v>
      </x:c>
      <x:c r="P121" s="106" t="e">
        <x:f aca="0">IF($A121="","",[1]!thsiFinD("ths_adjustment_nv_fund",P$3,$A121))</x:f>
        <x:v>#NAME?</x:v>
      </x:c>
      <x:c r="Q121" s="106" t="e">
        <x:f aca="0">IF($A121="","",[1]!thsiFinD("ths_adjustment_nv_fund",Q$3,$A121))</x:f>
        <x:v>#NAME?</x:v>
      </x:c>
      <x:c r="R121" s="106" t="e">
        <x:f aca="0">IF($A121="","",[1]!thsiFinD("ths_adjustment_nv_fund",R$3,$A121))</x:f>
        <x:v>#NAME?</x:v>
      </x:c>
      <x:c r="S121" s="106" t="e">
        <x:f aca="0">IF($A121="","",[1]!thsiFinD("ths_adjustment_nv_fund",S$3,$A121))</x:f>
        <x:v>#NAME?</x:v>
      </x:c>
      <x:c r="T121" s="106" t="e">
        <x:f aca="0">IF($A121="","",[1]!thsiFinD("ths_adjustment_nv_fund",T$3,$A121))</x:f>
        <x:v>#NAME?</x:v>
      </x:c>
      <x:c r="U121" s="106" t="e">
        <x:f aca="0">IF($A121="","",[1]!thsiFinD("ths_adjustment_nv_fund",U$3,$A121))</x:f>
        <x:v>#NAME?</x:v>
      </x:c>
      <x:c r="V121" s="106" t="e">
        <x:f aca="0">IF($A121="","",[1]!thsiFinD("ths_adjustment_nv_fund",V$3,$A121))</x:f>
        <x:v>#NAME?</x:v>
      </x:c>
      <x:c r="W121" s="106" t="e">
        <x:f aca="0">IF($A121="","",[1]!thsiFinD("ths_adjustment_nv_fund",W$3,$A121))</x:f>
        <x:v>#NAME?</x:v>
      </x:c>
      <x:c r="X121" s="106" t="e">
        <x:f aca="0">IF($A121="","",[1]!thsiFinD("ths_adjustment_nv_fund",X$3,$A121))</x:f>
        <x:v>#NAME?</x:v>
      </x:c>
      <x:c r="Y121" s="106" t="e">
        <x:f aca="0">IF($A121="","",[1]!thsiFinD("ths_adjustment_nv_fund",Y$3,$A121))</x:f>
        <x:v>#NAME?</x:v>
      </x:c>
      <x:c r="Z121" t="e">
        <x:f>IF($A121="","",[1]!thsiFinD("ths_adjustment_nv_fund",Z$3,$A121))</x:f>
        <x:v>#NAME?</x:v>
      </x:c>
      <x:c r="AA121" t="e">
        <x:f>IF($A121="","",[1]!thsiFinD("ths_adjustment_nv_fund",AA$3,$A121))</x:f>
        <x:v>#NAME?</x:v>
      </x:c>
    </x:row>
    <x:row r="122" ht="12" hidden="0">
      <x:c r="A122" s="9"/>
      <x:c r="B122" s="106" t="e">
        <x:f aca="0">IF($A122="","",[1]!thsiFinD("ths_adjustment_nv_fund",B$3,$A122))</x:f>
        <x:v>#NAME?</x:v>
      </x:c>
      <x:c r="C122" s="106" t="e">
        <x:f aca="0">IF($A122="","",[1]!thsiFinD("ths_adjustment_nv_fund",C$3,$A122))</x:f>
        <x:v>#NAME?</x:v>
      </x:c>
      <x:c r="D122" s="106" t="e">
        <x:f aca="0">IF($A122="","",[1]!thsiFinD("ths_adjustment_nv_fund",D$3,$A122))</x:f>
        <x:v>#NAME?</x:v>
      </x:c>
      <x:c r="E122" s="106" t="e">
        <x:f aca="0">IF($A122="","",[1]!thsiFinD("ths_adjustment_nv_fund",E$3,$A122))</x:f>
        <x:v>#NAME?</x:v>
      </x:c>
      <x:c r="F122" s="106" t="e">
        <x:f aca="0">IF($A122="","",[1]!thsiFinD("ths_adjustment_nv_fund",F$3,$A122))</x:f>
        <x:v>#NAME?</x:v>
      </x:c>
      <x:c r="G122" s="106" t="e">
        <x:f aca="0">IF($A122="","",[1]!thsiFinD("ths_adjustment_nv_fund",G$3,$A122))</x:f>
        <x:v>#NAME?</x:v>
      </x:c>
      <x:c r="H122" s="106" t="e">
        <x:f aca="0">IF($A122="","",[1]!thsiFinD("ths_adjustment_nv_fund",H$3,$A122))</x:f>
        <x:v>#NAME?</x:v>
      </x:c>
      <x:c r="I122" s="106" t="e">
        <x:f aca="0">IF($A122="","",[1]!thsiFinD("ths_adjustment_nv_fund",I$3,$A122))</x:f>
        <x:v>#NAME?</x:v>
      </x:c>
      <x:c r="J122" s="106" t="e">
        <x:f aca="0">IF($A122="","",[1]!thsiFinD("ths_adjustment_nv_fund",J$3,$A122))</x:f>
        <x:v>#NAME?</x:v>
      </x:c>
      <x:c r="K122" s="106" t="e">
        <x:f aca="0">IF($A122="","",[1]!thsiFinD("ths_adjustment_nv_fund",K$3,$A122))</x:f>
        <x:v>#NAME?</x:v>
      </x:c>
      <x:c r="L122" s="106" t="e">
        <x:f aca="0">IF($A122="","",[1]!thsiFinD("ths_adjustment_nv_fund",L$3,$A122))</x:f>
        <x:v>#NAME?</x:v>
      </x:c>
      <x:c r="M122" s="106" t="e">
        <x:f aca="0">IF($A122="","",[1]!thsiFinD("ths_adjustment_nv_fund",M$3,$A122))</x:f>
        <x:v>#NAME?</x:v>
      </x:c>
      <x:c r="N122" s="106" t="e">
        <x:f aca="0">IF($A122="","",[1]!thsiFinD("ths_adjustment_nv_fund",N$3,$A122))</x:f>
        <x:v>#NAME?</x:v>
      </x:c>
      <x:c r="O122" s="106" t="e">
        <x:f aca="0">IF($A122="","",[1]!thsiFinD("ths_adjustment_nv_fund",O$3,$A122))</x:f>
        <x:v>#NAME?</x:v>
      </x:c>
      <x:c r="P122" s="106" t="e">
        <x:f aca="0">IF($A122="","",[1]!thsiFinD("ths_adjustment_nv_fund",P$3,$A122))</x:f>
        <x:v>#NAME?</x:v>
      </x:c>
      <x:c r="Q122" s="106" t="e">
        <x:f aca="0">IF($A122="","",[1]!thsiFinD("ths_adjustment_nv_fund",Q$3,$A122))</x:f>
        <x:v>#NAME?</x:v>
      </x:c>
      <x:c r="R122" s="106" t="e">
        <x:f aca="0">IF($A122="","",[1]!thsiFinD("ths_adjustment_nv_fund",R$3,$A122))</x:f>
        <x:v>#NAME?</x:v>
      </x:c>
      <x:c r="S122" s="106" t="e">
        <x:f aca="0">IF($A122="","",[1]!thsiFinD("ths_adjustment_nv_fund",S$3,$A122))</x:f>
        <x:v>#NAME?</x:v>
      </x:c>
      <x:c r="T122" s="106" t="e">
        <x:f aca="0">IF($A122="","",[1]!thsiFinD("ths_adjustment_nv_fund",T$3,$A122))</x:f>
        <x:v>#NAME?</x:v>
      </x:c>
      <x:c r="U122" s="106" t="e">
        <x:f aca="0">IF($A122="","",[1]!thsiFinD("ths_adjustment_nv_fund",U$3,$A122))</x:f>
        <x:v>#NAME?</x:v>
      </x:c>
      <x:c r="V122" s="106" t="e">
        <x:f aca="0">IF($A122="","",[1]!thsiFinD("ths_adjustment_nv_fund",V$3,$A122))</x:f>
        <x:v>#NAME?</x:v>
      </x:c>
      <x:c r="W122" s="106" t="e">
        <x:f aca="0">IF($A122="","",[1]!thsiFinD("ths_adjustment_nv_fund",W$3,$A122))</x:f>
        <x:v>#NAME?</x:v>
      </x:c>
      <x:c r="X122" s="106" t="e">
        <x:f aca="0">IF($A122="","",[1]!thsiFinD("ths_adjustment_nv_fund",X$3,$A122))</x:f>
        <x:v>#NAME?</x:v>
      </x:c>
      <x:c r="Y122" s="106" t="e">
        <x:f aca="0">IF($A122="","",[1]!thsiFinD("ths_adjustment_nv_fund",Y$3,$A122))</x:f>
        <x:v>#NAME?</x:v>
      </x:c>
      <x:c r="Z122" t="e">
        <x:f>IF($A122="","",[1]!thsiFinD("ths_adjustment_nv_fund",Z$3,$A122))</x:f>
        <x:v>#NAME?</x:v>
      </x:c>
      <x:c r="AA122" t="e">
        <x:f>IF($A122="","",[1]!thsiFinD("ths_adjustment_nv_fund",AA$3,$A122))</x:f>
        <x:v>#NAME?</x:v>
      </x:c>
    </x:row>
    <x:row r="123" ht="12" hidden="0">
      <x:c r="A123" s="9"/>
      <x:c r="B123" s="106" t="e">
        <x:f aca="0">IF($A123="","",[1]!thsiFinD("ths_adjustment_nv_fund",B$3,$A123))</x:f>
        <x:v>#NAME?</x:v>
      </x:c>
      <x:c r="C123" s="106" t="e">
        <x:f aca="0">IF($A123="","",[1]!thsiFinD("ths_adjustment_nv_fund",C$3,$A123))</x:f>
        <x:v>#NAME?</x:v>
      </x:c>
      <x:c r="D123" s="106" t="e">
        <x:f aca="0">IF($A123="","",[1]!thsiFinD("ths_adjustment_nv_fund",D$3,$A123))</x:f>
        <x:v>#NAME?</x:v>
      </x:c>
      <x:c r="E123" s="106" t="e">
        <x:f aca="0">IF($A123="","",[1]!thsiFinD("ths_adjustment_nv_fund",E$3,$A123))</x:f>
        <x:v>#NAME?</x:v>
      </x:c>
      <x:c r="F123" s="106" t="e">
        <x:f aca="0">IF($A123="","",[1]!thsiFinD("ths_adjustment_nv_fund",F$3,$A123))</x:f>
        <x:v>#NAME?</x:v>
      </x:c>
      <x:c r="G123" s="106" t="e">
        <x:f aca="0">IF($A123="","",[1]!thsiFinD("ths_adjustment_nv_fund",G$3,$A123))</x:f>
        <x:v>#NAME?</x:v>
      </x:c>
      <x:c r="H123" s="106" t="e">
        <x:f aca="0">IF($A123="","",[1]!thsiFinD("ths_adjustment_nv_fund",H$3,$A123))</x:f>
        <x:v>#NAME?</x:v>
      </x:c>
      <x:c r="I123" s="106" t="e">
        <x:f aca="0">IF($A123="","",[1]!thsiFinD("ths_adjustment_nv_fund",I$3,$A123))</x:f>
        <x:v>#NAME?</x:v>
      </x:c>
      <x:c r="J123" s="106" t="e">
        <x:f aca="0">IF($A123="","",[1]!thsiFinD("ths_adjustment_nv_fund",J$3,$A123))</x:f>
        <x:v>#NAME?</x:v>
      </x:c>
      <x:c r="K123" s="106" t="e">
        <x:f aca="0">IF($A123="","",[1]!thsiFinD("ths_adjustment_nv_fund",K$3,$A123))</x:f>
        <x:v>#NAME?</x:v>
      </x:c>
      <x:c r="L123" s="106" t="e">
        <x:f aca="0">IF($A123="","",[1]!thsiFinD("ths_adjustment_nv_fund",L$3,$A123))</x:f>
        <x:v>#NAME?</x:v>
      </x:c>
      <x:c r="M123" s="106" t="e">
        <x:f aca="0">IF($A123="","",[1]!thsiFinD("ths_adjustment_nv_fund",M$3,$A123))</x:f>
        <x:v>#NAME?</x:v>
      </x:c>
      <x:c r="N123" s="106" t="e">
        <x:f aca="0">IF($A123="","",[1]!thsiFinD("ths_adjustment_nv_fund",N$3,$A123))</x:f>
        <x:v>#NAME?</x:v>
      </x:c>
      <x:c r="O123" s="106" t="e">
        <x:f aca="0">IF($A123="","",[1]!thsiFinD("ths_adjustment_nv_fund",O$3,$A123))</x:f>
        <x:v>#NAME?</x:v>
      </x:c>
      <x:c r="P123" s="106" t="e">
        <x:f aca="0">IF($A123="","",[1]!thsiFinD("ths_adjustment_nv_fund",P$3,$A123))</x:f>
        <x:v>#NAME?</x:v>
      </x:c>
      <x:c r="Q123" s="106" t="e">
        <x:f aca="0">IF($A123="","",[1]!thsiFinD("ths_adjustment_nv_fund",Q$3,$A123))</x:f>
        <x:v>#NAME?</x:v>
      </x:c>
      <x:c r="R123" s="106" t="e">
        <x:f aca="0">IF($A123="","",[1]!thsiFinD("ths_adjustment_nv_fund",R$3,$A123))</x:f>
        <x:v>#NAME?</x:v>
      </x:c>
      <x:c r="S123" s="106" t="e">
        <x:f aca="0">IF($A123="","",[1]!thsiFinD("ths_adjustment_nv_fund",S$3,$A123))</x:f>
        <x:v>#NAME?</x:v>
      </x:c>
      <x:c r="T123" s="106" t="e">
        <x:f aca="0">IF($A123="","",[1]!thsiFinD("ths_adjustment_nv_fund",T$3,$A123))</x:f>
        <x:v>#NAME?</x:v>
      </x:c>
      <x:c r="U123" s="106" t="e">
        <x:f aca="0">IF($A123="","",[1]!thsiFinD("ths_adjustment_nv_fund",U$3,$A123))</x:f>
        <x:v>#NAME?</x:v>
      </x:c>
      <x:c r="V123" s="106" t="e">
        <x:f aca="0">IF($A123="","",[1]!thsiFinD("ths_adjustment_nv_fund",V$3,$A123))</x:f>
        <x:v>#NAME?</x:v>
      </x:c>
      <x:c r="W123" s="106" t="e">
        <x:f aca="0">IF($A123="","",[1]!thsiFinD("ths_adjustment_nv_fund",W$3,$A123))</x:f>
        <x:v>#NAME?</x:v>
      </x:c>
      <x:c r="X123" s="106" t="e">
        <x:f aca="0">IF($A123="","",[1]!thsiFinD("ths_adjustment_nv_fund",X$3,$A123))</x:f>
        <x:v>#NAME?</x:v>
      </x:c>
      <x:c r="Y123" s="106" t="e">
        <x:f aca="0">IF($A123="","",[1]!thsiFinD("ths_adjustment_nv_fund",Y$3,$A123))</x:f>
        <x:v>#NAME?</x:v>
      </x:c>
      <x:c r="Z123" t="e">
        <x:f>IF($A123="","",[1]!thsiFinD("ths_adjustment_nv_fund",Z$3,$A123))</x:f>
        <x:v>#NAME?</x:v>
      </x:c>
      <x:c r="AA123" t="e">
        <x:f>IF($A123="","",[1]!thsiFinD("ths_adjustment_nv_fund",AA$3,$A123))</x:f>
        <x:v>#NAME?</x:v>
      </x:c>
    </x:row>
    <x:row r="124" ht="12" hidden="0">
      <x:c r="A124" s="9"/>
      <x:c r="B124" s="106" t="e">
        <x:f aca="0">IF($A124="","",[1]!thsiFinD("ths_adjustment_nv_fund",B$3,$A124))</x:f>
        <x:v>#NAME?</x:v>
      </x:c>
      <x:c r="C124" s="106" t="e">
        <x:f aca="0">IF($A124="","",[1]!thsiFinD("ths_adjustment_nv_fund",C$3,$A124))</x:f>
        <x:v>#NAME?</x:v>
      </x:c>
      <x:c r="D124" s="106" t="e">
        <x:f aca="0">IF($A124="","",[1]!thsiFinD("ths_adjustment_nv_fund",D$3,$A124))</x:f>
        <x:v>#NAME?</x:v>
      </x:c>
      <x:c r="E124" s="106" t="e">
        <x:f aca="0">IF($A124="","",[1]!thsiFinD("ths_adjustment_nv_fund",E$3,$A124))</x:f>
        <x:v>#NAME?</x:v>
      </x:c>
      <x:c r="F124" s="106" t="e">
        <x:f aca="0">IF($A124="","",[1]!thsiFinD("ths_adjustment_nv_fund",F$3,$A124))</x:f>
        <x:v>#NAME?</x:v>
      </x:c>
      <x:c r="G124" s="106" t="e">
        <x:f aca="0">IF($A124="","",[1]!thsiFinD("ths_adjustment_nv_fund",G$3,$A124))</x:f>
        <x:v>#NAME?</x:v>
      </x:c>
      <x:c r="H124" s="106" t="e">
        <x:f aca="0">IF($A124="","",[1]!thsiFinD("ths_adjustment_nv_fund",H$3,$A124))</x:f>
        <x:v>#NAME?</x:v>
      </x:c>
      <x:c r="I124" s="106" t="e">
        <x:f aca="0">IF($A124="","",[1]!thsiFinD("ths_adjustment_nv_fund",I$3,$A124))</x:f>
        <x:v>#NAME?</x:v>
      </x:c>
      <x:c r="J124" s="106" t="e">
        <x:f aca="0">IF($A124="","",[1]!thsiFinD("ths_adjustment_nv_fund",J$3,$A124))</x:f>
        <x:v>#NAME?</x:v>
      </x:c>
      <x:c r="K124" s="106" t="e">
        <x:f aca="0">IF($A124="","",[1]!thsiFinD("ths_adjustment_nv_fund",K$3,$A124))</x:f>
        <x:v>#NAME?</x:v>
      </x:c>
      <x:c r="L124" s="106" t="e">
        <x:f aca="0">IF($A124="","",[1]!thsiFinD("ths_adjustment_nv_fund",L$3,$A124))</x:f>
        <x:v>#NAME?</x:v>
      </x:c>
      <x:c r="M124" s="106" t="e">
        <x:f aca="0">IF($A124="","",[1]!thsiFinD("ths_adjustment_nv_fund",M$3,$A124))</x:f>
        <x:v>#NAME?</x:v>
      </x:c>
      <x:c r="N124" s="106" t="e">
        <x:f aca="0">IF($A124="","",[1]!thsiFinD("ths_adjustment_nv_fund",N$3,$A124))</x:f>
        <x:v>#NAME?</x:v>
      </x:c>
      <x:c r="O124" s="106" t="e">
        <x:f aca="0">IF($A124="","",[1]!thsiFinD("ths_adjustment_nv_fund",O$3,$A124))</x:f>
        <x:v>#NAME?</x:v>
      </x:c>
      <x:c r="P124" s="106" t="e">
        <x:f aca="0">IF($A124="","",[1]!thsiFinD("ths_adjustment_nv_fund",P$3,$A124))</x:f>
        <x:v>#NAME?</x:v>
      </x:c>
      <x:c r="Q124" s="106" t="e">
        <x:f aca="0">IF($A124="","",[1]!thsiFinD("ths_adjustment_nv_fund",Q$3,$A124))</x:f>
        <x:v>#NAME?</x:v>
      </x:c>
      <x:c r="R124" s="106" t="e">
        <x:f aca="0">IF($A124="","",[1]!thsiFinD("ths_adjustment_nv_fund",R$3,$A124))</x:f>
        <x:v>#NAME?</x:v>
      </x:c>
      <x:c r="S124" s="106" t="e">
        <x:f aca="0">IF($A124="","",[1]!thsiFinD("ths_adjustment_nv_fund",S$3,$A124))</x:f>
        <x:v>#NAME?</x:v>
      </x:c>
      <x:c r="T124" s="106" t="e">
        <x:f aca="0">IF($A124="","",[1]!thsiFinD("ths_adjustment_nv_fund",T$3,$A124))</x:f>
        <x:v>#NAME?</x:v>
      </x:c>
      <x:c r="U124" s="106" t="e">
        <x:f aca="0">IF($A124="","",[1]!thsiFinD("ths_adjustment_nv_fund",U$3,$A124))</x:f>
        <x:v>#NAME?</x:v>
      </x:c>
      <x:c r="V124" s="106" t="e">
        <x:f aca="0">IF($A124="","",[1]!thsiFinD("ths_adjustment_nv_fund",V$3,$A124))</x:f>
        <x:v>#NAME?</x:v>
      </x:c>
      <x:c r="W124" s="106" t="e">
        <x:f aca="0">IF($A124="","",[1]!thsiFinD("ths_adjustment_nv_fund",W$3,$A124))</x:f>
        <x:v>#NAME?</x:v>
      </x:c>
      <x:c r="X124" s="106" t="e">
        <x:f aca="0">IF($A124="","",[1]!thsiFinD("ths_adjustment_nv_fund",X$3,$A124))</x:f>
        <x:v>#NAME?</x:v>
      </x:c>
      <x:c r="Y124" s="106" t="e">
        <x:f aca="0">IF($A124="","",[1]!thsiFinD("ths_adjustment_nv_fund",Y$3,$A124))</x:f>
        <x:v>#NAME?</x:v>
      </x:c>
      <x:c r="Z124" t="e">
        <x:f>IF($A124="","",[1]!thsiFinD("ths_adjustment_nv_fund",Z$3,$A124))</x:f>
        <x:v>#NAME?</x:v>
      </x:c>
      <x:c r="AA124" t="e">
        <x:f>IF($A124="","",[1]!thsiFinD("ths_adjustment_nv_fund",AA$3,$A124))</x:f>
        <x:v>#NAME?</x:v>
      </x:c>
    </x:row>
    <x:row r="125" ht="12" hidden="0">
      <x:c r="A125" s="9"/>
      <x:c r="B125" s="106" t="e">
        <x:f aca="0">IF($A125="","",[1]!thsiFinD("ths_adjustment_nv_fund",B$3,$A125))</x:f>
        <x:v>#NAME?</x:v>
      </x:c>
      <x:c r="C125" s="106" t="e">
        <x:f aca="0">IF($A125="","",[1]!thsiFinD("ths_adjustment_nv_fund",C$3,$A125))</x:f>
        <x:v>#NAME?</x:v>
      </x:c>
      <x:c r="D125" s="106" t="e">
        <x:f aca="0">IF($A125="","",[1]!thsiFinD("ths_adjustment_nv_fund",D$3,$A125))</x:f>
        <x:v>#NAME?</x:v>
      </x:c>
      <x:c r="E125" s="106" t="e">
        <x:f aca="0">IF($A125="","",[1]!thsiFinD("ths_adjustment_nv_fund",E$3,$A125))</x:f>
        <x:v>#NAME?</x:v>
      </x:c>
      <x:c r="F125" s="106" t="e">
        <x:f aca="0">IF($A125="","",[1]!thsiFinD("ths_adjustment_nv_fund",F$3,$A125))</x:f>
        <x:v>#NAME?</x:v>
      </x:c>
      <x:c r="G125" s="106" t="e">
        <x:f aca="0">IF($A125="","",[1]!thsiFinD("ths_adjustment_nv_fund",G$3,$A125))</x:f>
        <x:v>#NAME?</x:v>
      </x:c>
      <x:c r="H125" s="106" t="e">
        <x:f aca="0">IF($A125="","",[1]!thsiFinD("ths_adjustment_nv_fund",H$3,$A125))</x:f>
        <x:v>#NAME?</x:v>
      </x:c>
      <x:c r="I125" s="106" t="e">
        <x:f aca="0">IF($A125="","",[1]!thsiFinD("ths_adjustment_nv_fund",I$3,$A125))</x:f>
        <x:v>#NAME?</x:v>
      </x:c>
      <x:c r="J125" s="106" t="e">
        <x:f aca="0">IF($A125="","",[1]!thsiFinD("ths_adjustment_nv_fund",J$3,$A125))</x:f>
        <x:v>#NAME?</x:v>
      </x:c>
      <x:c r="K125" s="106" t="e">
        <x:f aca="0">IF($A125="","",[1]!thsiFinD("ths_adjustment_nv_fund",K$3,$A125))</x:f>
        <x:v>#NAME?</x:v>
      </x:c>
      <x:c r="L125" s="106" t="e">
        <x:f aca="0">IF($A125="","",[1]!thsiFinD("ths_adjustment_nv_fund",L$3,$A125))</x:f>
        <x:v>#NAME?</x:v>
      </x:c>
      <x:c r="M125" s="106" t="e">
        <x:f aca="0">IF($A125="","",[1]!thsiFinD("ths_adjustment_nv_fund",M$3,$A125))</x:f>
        <x:v>#NAME?</x:v>
      </x:c>
      <x:c r="N125" s="106" t="e">
        <x:f aca="0">IF($A125="","",[1]!thsiFinD("ths_adjustment_nv_fund",N$3,$A125))</x:f>
        <x:v>#NAME?</x:v>
      </x:c>
      <x:c r="O125" s="106" t="e">
        <x:f aca="0">IF($A125="","",[1]!thsiFinD("ths_adjustment_nv_fund",O$3,$A125))</x:f>
        <x:v>#NAME?</x:v>
      </x:c>
      <x:c r="P125" s="106" t="e">
        <x:f aca="0">IF($A125="","",[1]!thsiFinD("ths_adjustment_nv_fund",P$3,$A125))</x:f>
        <x:v>#NAME?</x:v>
      </x:c>
      <x:c r="Q125" s="106" t="e">
        <x:f aca="0">IF($A125="","",[1]!thsiFinD("ths_adjustment_nv_fund",Q$3,$A125))</x:f>
        <x:v>#NAME?</x:v>
      </x:c>
      <x:c r="R125" s="106" t="e">
        <x:f aca="0">IF($A125="","",[1]!thsiFinD("ths_adjustment_nv_fund",R$3,$A125))</x:f>
        <x:v>#NAME?</x:v>
      </x:c>
      <x:c r="S125" s="106" t="e">
        <x:f aca="0">IF($A125="","",[1]!thsiFinD("ths_adjustment_nv_fund",S$3,$A125))</x:f>
        <x:v>#NAME?</x:v>
      </x:c>
      <x:c r="T125" s="106" t="e">
        <x:f aca="0">IF($A125="","",[1]!thsiFinD("ths_adjustment_nv_fund",T$3,$A125))</x:f>
        <x:v>#NAME?</x:v>
      </x:c>
      <x:c r="U125" s="106" t="e">
        <x:f aca="0">IF($A125="","",[1]!thsiFinD("ths_adjustment_nv_fund",U$3,$A125))</x:f>
        <x:v>#NAME?</x:v>
      </x:c>
      <x:c r="V125" s="106" t="e">
        <x:f aca="0">IF($A125="","",[1]!thsiFinD("ths_adjustment_nv_fund",V$3,$A125))</x:f>
        <x:v>#NAME?</x:v>
      </x:c>
      <x:c r="W125" s="106" t="e">
        <x:f aca="0">IF($A125="","",[1]!thsiFinD("ths_adjustment_nv_fund",W$3,$A125))</x:f>
        <x:v>#NAME?</x:v>
      </x:c>
      <x:c r="X125" s="106" t="e">
        <x:f aca="0">IF($A125="","",[1]!thsiFinD("ths_adjustment_nv_fund",X$3,$A125))</x:f>
        <x:v>#NAME?</x:v>
      </x:c>
      <x:c r="Y125" s="106" t="e">
        <x:f aca="0">IF($A125="","",[1]!thsiFinD("ths_adjustment_nv_fund",Y$3,$A125))</x:f>
        <x:v>#NAME?</x:v>
      </x:c>
      <x:c r="Z125" t="e">
        <x:f>IF($A125="","",[1]!thsiFinD("ths_adjustment_nv_fund",Z$3,$A125))</x:f>
        <x:v>#NAME?</x:v>
      </x:c>
      <x:c r="AA125" t="e">
        <x:f>IF($A125="","",[1]!thsiFinD("ths_adjustment_nv_fund",AA$3,$A125))</x:f>
        <x:v>#NAME?</x:v>
      </x:c>
    </x:row>
    <x:row r="126" ht="12" hidden="0">
      <x:c r="A126" s="9"/>
      <x:c r="B126" s="106" t="e">
        <x:f aca="0">IF($A126="","",[1]!thsiFinD("ths_adjustment_nv_fund",B$3,$A126))</x:f>
        <x:v>#NAME?</x:v>
      </x:c>
      <x:c r="C126" s="106" t="e">
        <x:f aca="0">IF($A126="","",[1]!thsiFinD("ths_adjustment_nv_fund",C$3,$A126))</x:f>
        <x:v>#NAME?</x:v>
      </x:c>
      <x:c r="D126" s="106" t="e">
        <x:f aca="0">IF($A126="","",[1]!thsiFinD("ths_adjustment_nv_fund",D$3,$A126))</x:f>
        <x:v>#NAME?</x:v>
      </x:c>
      <x:c r="E126" s="106" t="e">
        <x:f aca="0">IF($A126="","",[1]!thsiFinD("ths_adjustment_nv_fund",E$3,$A126))</x:f>
        <x:v>#NAME?</x:v>
      </x:c>
      <x:c r="F126" s="106" t="e">
        <x:f aca="0">IF($A126="","",[1]!thsiFinD("ths_adjustment_nv_fund",F$3,$A126))</x:f>
        <x:v>#NAME?</x:v>
      </x:c>
      <x:c r="G126" s="106" t="e">
        <x:f aca="0">IF($A126="","",[1]!thsiFinD("ths_adjustment_nv_fund",G$3,$A126))</x:f>
        <x:v>#NAME?</x:v>
      </x:c>
      <x:c r="H126" s="106" t="e">
        <x:f aca="0">IF($A126="","",[1]!thsiFinD("ths_adjustment_nv_fund",H$3,$A126))</x:f>
        <x:v>#NAME?</x:v>
      </x:c>
      <x:c r="I126" s="106" t="e">
        <x:f aca="0">IF($A126="","",[1]!thsiFinD("ths_adjustment_nv_fund",I$3,$A126))</x:f>
        <x:v>#NAME?</x:v>
      </x:c>
      <x:c r="J126" s="106" t="e">
        <x:f aca="0">IF($A126="","",[1]!thsiFinD("ths_adjustment_nv_fund",J$3,$A126))</x:f>
        <x:v>#NAME?</x:v>
      </x:c>
      <x:c r="K126" s="106" t="e">
        <x:f aca="0">IF($A126="","",[1]!thsiFinD("ths_adjustment_nv_fund",K$3,$A126))</x:f>
        <x:v>#NAME?</x:v>
      </x:c>
      <x:c r="L126" s="106" t="e">
        <x:f aca="0">IF($A126="","",[1]!thsiFinD("ths_adjustment_nv_fund",L$3,$A126))</x:f>
        <x:v>#NAME?</x:v>
      </x:c>
      <x:c r="M126" s="106" t="e">
        <x:f aca="0">IF($A126="","",[1]!thsiFinD("ths_adjustment_nv_fund",M$3,$A126))</x:f>
        <x:v>#NAME?</x:v>
      </x:c>
      <x:c r="N126" s="106" t="e">
        <x:f aca="0">IF($A126="","",[1]!thsiFinD("ths_adjustment_nv_fund",N$3,$A126))</x:f>
        <x:v>#NAME?</x:v>
      </x:c>
      <x:c r="O126" s="106" t="e">
        <x:f aca="0">IF($A126="","",[1]!thsiFinD("ths_adjustment_nv_fund",O$3,$A126))</x:f>
        <x:v>#NAME?</x:v>
      </x:c>
      <x:c r="P126" s="106" t="e">
        <x:f aca="0">IF($A126="","",[1]!thsiFinD("ths_adjustment_nv_fund",P$3,$A126))</x:f>
        <x:v>#NAME?</x:v>
      </x:c>
      <x:c r="Q126" s="106" t="e">
        <x:f aca="0">IF($A126="","",[1]!thsiFinD("ths_adjustment_nv_fund",Q$3,$A126))</x:f>
        <x:v>#NAME?</x:v>
      </x:c>
      <x:c r="R126" s="106" t="e">
        <x:f aca="0">IF($A126="","",[1]!thsiFinD("ths_adjustment_nv_fund",R$3,$A126))</x:f>
        <x:v>#NAME?</x:v>
      </x:c>
      <x:c r="S126" s="106" t="e">
        <x:f aca="0">IF($A126="","",[1]!thsiFinD("ths_adjustment_nv_fund",S$3,$A126))</x:f>
        <x:v>#NAME?</x:v>
      </x:c>
      <x:c r="T126" s="106" t="e">
        <x:f aca="0">IF($A126="","",[1]!thsiFinD("ths_adjustment_nv_fund",T$3,$A126))</x:f>
        <x:v>#NAME?</x:v>
      </x:c>
      <x:c r="U126" s="106" t="e">
        <x:f aca="0">IF($A126="","",[1]!thsiFinD("ths_adjustment_nv_fund",U$3,$A126))</x:f>
        <x:v>#NAME?</x:v>
      </x:c>
      <x:c r="V126" s="106" t="e">
        <x:f aca="0">IF($A126="","",[1]!thsiFinD("ths_adjustment_nv_fund",V$3,$A126))</x:f>
        <x:v>#NAME?</x:v>
      </x:c>
      <x:c r="W126" s="106" t="e">
        <x:f aca="0">IF($A126="","",[1]!thsiFinD("ths_adjustment_nv_fund",W$3,$A126))</x:f>
        <x:v>#NAME?</x:v>
      </x:c>
      <x:c r="X126" s="106" t="e">
        <x:f aca="0">IF($A126="","",[1]!thsiFinD("ths_adjustment_nv_fund",X$3,$A126))</x:f>
        <x:v>#NAME?</x:v>
      </x:c>
      <x:c r="Y126" s="106" t="e">
        <x:f aca="0">IF($A126="","",[1]!thsiFinD("ths_adjustment_nv_fund",Y$3,$A126))</x:f>
        <x:v>#NAME?</x:v>
      </x:c>
      <x:c r="Z126" t="e">
        <x:f>IF($A126="","",[1]!thsiFinD("ths_adjustment_nv_fund",Z$3,$A126))</x:f>
        <x:v>#NAME?</x:v>
      </x:c>
      <x:c r="AA126" t="e">
        <x:f>IF($A126="","",[1]!thsiFinD("ths_adjustment_nv_fund",AA$3,$A126))</x:f>
        <x:v>#NAME?</x:v>
      </x:c>
    </x:row>
    <x:row r="127" ht="12" hidden="0">
      <x:c r="A127" s="9"/>
      <x:c r="B127" s="106" t="e">
        <x:f aca="0">IF($A127="","",[1]!thsiFinD("ths_adjustment_nv_fund",B$3,$A127))</x:f>
        <x:v>#NAME?</x:v>
      </x:c>
      <x:c r="C127" s="106" t="e">
        <x:f aca="0">IF($A127="","",[1]!thsiFinD("ths_adjustment_nv_fund",C$3,$A127))</x:f>
        <x:v>#NAME?</x:v>
      </x:c>
      <x:c r="D127" s="106" t="e">
        <x:f aca="0">IF($A127="","",[1]!thsiFinD("ths_adjustment_nv_fund",D$3,$A127))</x:f>
        <x:v>#NAME?</x:v>
      </x:c>
      <x:c r="E127" s="106" t="e">
        <x:f aca="0">IF($A127="","",[1]!thsiFinD("ths_adjustment_nv_fund",E$3,$A127))</x:f>
        <x:v>#NAME?</x:v>
      </x:c>
      <x:c r="F127" s="106" t="e">
        <x:f aca="0">IF($A127="","",[1]!thsiFinD("ths_adjustment_nv_fund",F$3,$A127))</x:f>
        <x:v>#NAME?</x:v>
      </x:c>
      <x:c r="G127" s="106" t="e">
        <x:f aca="0">IF($A127="","",[1]!thsiFinD("ths_adjustment_nv_fund",G$3,$A127))</x:f>
        <x:v>#NAME?</x:v>
      </x:c>
      <x:c r="H127" s="106" t="e">
        <x:f aca="0">IF($A127="","",[1]!thsiFinD("ths_adjustment_nv_fund",H$3,$A127))</x:f>
        <x:v>#NAME?</x:v>
      </x:c>
      <x:c r="I127" s="106" t="e">
        <x:f aca="0">IF($A127="","",[1]!thsiFinD("ths_adjustment_nv_fund",I$3,$A127))</x:f>
        <x:v>#NAME?</x:v>
      </x:c>
      <x:c r="J127" s="106" t="e">
        <x:f aca="0">IF($A127="","",[1]!thsiFinD("ths_adjustment_nv_fund",J$3,$A127))</x:f>
        <x:v>#NAME?</x:v>
      </x:c>
      <x:c r="K127" s="106" t="e">
        <x:f aca="0">IF($A127="","",[1]!thsiFinD("ths_adjustment_nv_fund",K$3,$A127))</x:f>
        <x:v>#NAME?</x:v>
      </x:c>
      <x:c r="L127" s="106" t="e">
        <x:f aca="0">IF($A127="","",[1]!thsiFinD("ths_adjustment_nv_fund",L$3,$A127))</x:f>
        <x:v>#NAME?</x:v>
      </x:c>
      <x:c r="M127" s="106" t="e">
        <x:f aca="0">IF($A127="","",[1]!thsiFinD("ths_adjustment_nv_fund",M$3,$A127))</x:f>
        <x:v>#NAME?</x:v>
      </x:c>
      <x:c r="N127" s="106" t="e">
        <x:f aca="0">IF($A127="","",[1]!thsiFinD("ths_adjustment_nv_fund",N$3,$A127))</x:f>
        <x:v>#NAME?</x:v>
      </x:c>
      <x:c r="O127" s="106" t="e">
        <x:f aca="0">IF($A127="","",[1]!thsiFinD("ths_adjustment_nv_fund",O$3,$A127))</x:f>
        <x:v>#NAME?</x:v>
      </x:c>
      <x:c r="P127" s="106" t="e">
        <x:f aca="0">IF($A127="","",[1]!thsiFinD("ths_adjustment_nv_fund",P$3,$A127))</x:f>
        <x:v>#NAME?</x:v>
      </x:c>
      <x:c r="Q127" s="106" t="e">
        <x:f aca="0">IF($A127="","",[1]!thsiFinD("ths_adjustment_nv_fund",Q$3,$A127))</x:f>
        <x:v>#NAME?</x:v>
      </x:c>
      <x:c r="R127" s="106" t="e">
        <x:f aca="0">IF($A127="","",[1]!thsiFinD("ths_adjustment_nv_fund",R$3,$A127))</x:f>
        <x:v>#NAME?</x:v>
      </x:c>
      <x:c r="S127" s="106" t="e">
        <x:f aca="0">IF($A127="","",[1]!thsiFinD("ths_adjustment_nv_fund",S$3,$A127))</x:f>
        <x:v>#NAME?</x:v>
      </x:c>
      <x:c r="T127" s="106" t="e">
        <x:f aca="0">IF($A127="","",[1]!thsiFinD("ths_adjustment_nv_fund",T$3,$A127))</x:f>
        <x:v>#NAME?</x:v>
      </x:c>
      <x:c r="U127" s="106" t="e">
        <x:f aca="0">IF($A127="","",[1]!thsiFinD("ths_adjustment_nv_fund",U$3,$A127))</x:f>
        <x:v>#NAME?</x:v>
      </x:c>
      <x:c r="V127" s="106" t="e">
        <x:f aca="0">IF($A127="","",[1]!thsiFinD("ths_adjustment_nv_fund",V$3,$A127))</x:f>
        <x:v>#NAME?</x:v>
      </x:c>
      <x:c r="W127" s="106" t="e">
        <x:f aca="0">IF($A127="","",[1]!thsiFinD("ths_adjustment_nv_fund",W$3,$A127))</x:f>
        <x:v>#NAME?</x:v>
      </x:c>
      <x:c r="X127" s="106" t="e">
        <x:f aca="0">IF($A127="","",[1]!thsiFinD("ths_adjustment_nv_fund",X$3,$A127))</x:f>
        <x:v>#NAME?</x:v>
      </x:c>
      <x:c r="Y127" s="106" t="e">
        <x:f aca="0">IF($A127="","",[1]!thsiFinD("ths_adjustment_nv_fund",Y$3,$A127))</x:f>
        <x:v>#NAME?</x:v>
      </x:c>
      <x:c r="Z127" t="e">
        <x:f>IF($A127="","",[1]!thsiFinD("ths_adjustment_nv_fund",Z$3,$A127))</x:f>
        <x:v>#NAME?</x:v>
      </x:c>
      <x:c r="AA127" t="e">
        <x:f>IF($A127="","",[1]!thsiFinD("ths_adjustment_nv_fund",AA$3,$A127))</x:f>
        <x:v>#NAME?</x:v>
      </x:c>
    </x:row>
    <x:row r="128" ht="12" hidden="0">
      <x:c r="A128" s="9"/>
      <x:c r="B128" s="106" t="e">
        <x:f aca="0">IF($A128="","",[1]!thsiFinD("ths_adjustment_nv_fund",B$3,$A128))</x:f>
        <x:v>#NAME?</x:v>
      </x:c>
      <x:c r="C128" s="106" t="e">
        <x:f aca="0">IF($A128="","",[1]!thsiFinD("ths_adjustment_nv_fund",C$3,$A128))</x:f>
        <x:v>#NAME?</x:v>
      </x:c>
      <x:c r="D128" s="106" t="e">
        <x:f aca="0">IF($A128="","",[1]!thsiFinD("ths_adjustment_nv_fund",D$3,$A128))</x:f>
        <x:v>#NAME?</x:v>
      </x:c>
      <x:c r="E128" s="106" t="e">
        <x:f aca="0">IF($A128="","",[1]!thsiFinD("ths_adjustment_nv_fund",E$3,$A128))</x:f>
        <x:v>#NAME?</x:v>
      </x:c>
      <x:c r="F128" s="106" t="e">
        <x:f aca="0">IF($A128="","",[1]!thsiFinD("ths_adjustment_nv_fund",F$3,$A128))</x:f>
        <x:v>#NAME?</x:v>
      </x:c>
      <x:c r="G128" s="106" t="e">
        <x:f aca="0">IF($A128="","",[1]!thsiFinD("ths_adjustment_nv_fund",G$3,$A128))</x:f>
        <x:v>#NAME?</x:v>
      </x:c>
      <x:c r="H128" s="106" t="e">
        <x:f aca="0">IF($A128="","",[1]!thsiFinD("ths_adjustment_nv_fund",H$3,$A128))</x:f>
        <x:v>#NAME?</x:v>
      </x:c>
      <x:c r="I128" s="106" t="e">
        <x:f aca="0">IF($A128="","",[1]!thsiFinD("ths_adjustment_nv_fund",I$3,$A128))</x:f>
        <x:v>#NAME?</x:v>
      </x:c>
      <x:c r="J128" s="106" t="e">
        <x:f aca="0">IF($A128="","",[1]!thsiFinD("ths_adjustment_nv_fund",J$3,$A128))</x:f>
        <x:v>#NAME?</x:v>
      </x:c>
      <x:c r="K128" s="106" t="e">
        <x:f aca="0">IF($A128="","",[1]!thsiFinD("ths_adjustment_nv_fund",K$3,$A128))</x:f>
        <x:v>#NAME?</x:v>
      </x:c>
      <x:c r="L128" s="106" t="e">
        <x:f aca="0">IF($A128="","",[1]!thsiFinD("ths_adjustment_nv_fund",L$3,$A128))</x:f>
        <x:v>#NAME?</x:v>
      </x:c>
      <x:c r="M128" s="106" t="e">
        <x:f aca="0">IF($A128="","",[1]!thsiFinD("ths_adjustment_nv_fund",M$3,$A128))</x:f>
        <x:v>#NAME?</x:v>
      </x:c>
      <x:c r="N128" s="106" t="e">
        <x:f aca="0">IF($A128="","",[1]!thsiFinD("ths_adjustment_nv_fund",N$3,$A128))</x:f>
        <x:v>#NAME?</x:v>
      </x:c>
      <x:c r="O128" s="106" t="e">
        <x:f aca="0">IF($A128="","",[1]!thsiFinD("ths_adjustment_nv_fund",O$3,$A128))</x:f>
        <x:v>#NAME?</x:v>
      </x:c>
      <x:c r="P128" s="106" t="e">
        <x:f aca="0">IF($A128="","",[1]!thsiFinD("ths_adjustment_nv_fund",P$3,$A128))</x:f>
        <x:v>#NAME?</x:v>
      </x:c>
      <x:c r="Q128" s="106" t="e">
        <x:f aca="0">IF($A128="","",[1]!thsiFinD("ths_adjustment_nv_fund",Q$3,$A128))</x:f>
        <x:v>#NAME?</x:v>
      </x:c>
      <x:c r="R128" s="106" t="e">
        <x:f aca="0">IF($A128="","",[1]!thsiFinD("ths_adjustment_nv_fund",R$3,$A128))</x:f>
        <x:v>#NAME?</x:v>
      </x:c>
      <x:c r="S128" s="106" t="e">
        <x:f aca="0">IF($A128="","",[1]!thsiFinD("ths_adjustment_nv_fund",S$3,$A128))</x:f>
        <x:v>#NAME?</x:v>
      </x:c>
      <x:c r="T128" s="106" t="e">
        <x:f aca="0">IF($A128="","",[1]!thsiFinD("ths_adjustment_nv_fund",T$3,$A128))</x:f>
        <x:v>#NAME?</x:v>
      </x:c>
      <x:c r="U128" s="106" t="e">
        <x:f aca="0">IF($A128="","",[1]!thsiFinD("ths_adjustment_nv_fund",U$3,$A128))</x:f>
        <x:v>#NAME?</x:v>
      </x:c>
      <x:c r="V128" s="106" t="e">
        <x:f aca="0">IF($A128="","",[1]!thsiFinD("ths_adjustment_nv_fund",V$3,$A128))</x:f>
        <x:v>#NAME?</x:v>
      </x:c>
      <x:c r="W128" s="106" t="e">
        <x:f aca="0">IF($A128="","",[1]!thsiFinD("ths_adjustment_nv_fund",W$3,$A128))</x:f>
        <x:v>#NAME?</x:v>
      </x:c>
      <x:c r="X128" s="106" t="e">
        <x:f aca="0">IF($A128="","",[1]!thsiFinD("ths_adjustment_nv_fund",X$3,$A128))</x:f>
        <x:v>#NAME?</x:v>
      </x:c>
      <x:c r="Y128" s="106" t="e">
        <x:f aca="0">IF($A128="","",[1]!thsiFinD("ths_adjustment_nv_fund",Y$3,$A128))</x:f>
        <x:v>#NAME?</x:v>
      </x:c>
      <x:c r="Z128" t="e">
        <x:f>IF($A128="","",[1]!thsiFinD("ths_adjustment_nv_fund",Z$3,$A128))</x:f>
        <x:v>#NAME?</x:v>
      </x:c>
      <x:c r="AA128" t="e">
        <x:f>IF($A128="","",[1]!thsiFinD("ths_adjustment_nv_fund",AA$3,$A128))</x:f>
        <x:v>#NAME?</x:v>
      </x:c>
    </x:row>
    <x:row r="129" ht="12" hidden="0">
      <x:c r="A129" s="9"/>
      <x:c r="B129" s="106" t="e">
        <x:f aca="0">IF($A129="","",[1]!thsiFinD("ths_adjustment_nv_fund",B$3,$A129))</x:f>
        <x:v>#NAME?</x:v>
      </x:c>
      <x:c r="C129" s="106" t="e">
        <x:f aca="0">IF($A129="","",[1]!thsiFinD("ths_adjustment_nv_fund",C$3,$A129))</x:f>
        <x:v>#NAME?</x:v>
      </x:c>
      <x:c r="D129" s="106" t="e">
        <x:f aca="0">IF($A129="","",[1]!thsiFinD("ths_adjustment_nv_fund",D$3,$A129))</x:f>
        <x:v>#NAME?</x:v>
      </x:c>
      <x:c r="E129" s="106" t="e">
        <x:f aca="0">IF($A129="","",[1]!thsiFinD("ths_adjustment_nv_fund",E$3,$A129))</x:f>
        <x:v>#NAME?</x:v>
      </x:c>
      <x:c r="F129" s="106" t="e">
        <x:f aca="0">IF($A129="","",[1]!thsiFinD("ths_adjustment_nv_fund",F$3,$A129))</x:f>
        <x:v>#NAME?</x:v>
      </x:c>
      <x:c r="G129" s="106" t="e">
        <x:f aca="0">IF($A129="","",[1]!thsiFinD("ths_adjustment_nv_fund",G$3,$A129))</x:f>
        <x:v>#NAME?</x:v>
      </x:c>
      <x:c r="H129" s="106" t="e">
        <x:f aca="0">IF($A129="","",[1]!thsiFinD("ths_adjustment_nv_fund",H$3,$A129))</x:f>
        <x:v>#NAME?</x:v>
      </x:c>
      <x:c r="I129" s="106" t="e">
        <x:f aca="0">IF($A129="","",[1]!thsiFinD("ths_adjustment_nv_fund",I$3,$A129))</x:f>
        <x:v>#NAME?</x:v>
      </x:c>
      <x:c r="J129" s="106" t="e">
        <x:f aca="0">IF($A129="","",[1]!thsiFinD("ths_adjustment_nv_fund",J$3,$A129))</x:f>
        <x:v>#NAME?</x:v>
      </x:c>
      <x:c r="K129" s="106" t="e">
        <x:f aca="0">IF($A129="","",[1]!thsiFinD("ths_adjustment_nv_fund",K$3,$A129))</x:f>
        <x:v>#NAME?</x:v>
      </x:c>
      <x:c r="L129" s="106" t="e">
        <x:f aca="0">IF($A129="","",[1]!thsiFinD("ths_adjustment_nv_fund",L$3,$A129))</x:f>
        <x:v>#NAME?</x:v>
      </x:c>
      <x:c r="M129" s="106" t="e">
        <x:f aca="0">IF($A129="","",[1]!thsiFinD("ths_adjustment_nv_fund",M$3,$A129))</x:f>
        <x:v>#NAME?</x:v>
      </x:c>
      <x:c r="N129" s="106" t="e">
        <x:f aca="0">IF($A129="","",[1]!thsiFinD("ths_adjustment_nv_fund",N$3,$A129))</x:f>
        <x:v>#NAME?</x:v>
      </x:c>
      <x:c r="O129" s="106" t="e">
        <x:f aca="0">IF($A129="","",[1]!thsiFinD("ths_adjustment_nv_fund",O$3,$A129))</x:f>
        <x:v>#NAME?</x:v>
      </x:c>
      <x:c r="P129" s="106" t="e">
        <x:f aca="0">IF($A129="","",[1]!thsiFinD("ths_adjustment_nv_fund",P$3,$A129))</x:f>
        <x:v>#NAME?</x:v>
      </x:c>
      <x:c r="Q129" s="106" t="e">
        <x:f aca="0">IF($A129="","",[1]!thsiFinD("ths_adjustment_nv_fund",Q$3,$A129))</x:f>
        <x:v>#NAME?</x:v>
      </x:c>
      <x:c r="R129" s="106" t="e">
        <x:f aca="0">IF($A129="","",[1]!thsiFinD("ths_adjustment_nv_fund",R$3,$A129))</x:f>
        <x:v>#NAME?</x:v>
      </x:c>
      <x:c r="S129" s="106" t="e">
        <x:f aca="0">IF($A129="","",[1]!thsiFinD("ths_adjustment_nv_fund",S$3,$A129))</x:f>
        <x:v>#NAME?</x:v>
      </x:c>
      <x:c r="T129" s="106" t="e">
        <x:f aca="0">IF($A129="","",[1]!thsiFinD("ths_adjustment_nv_fund",T$3,$A129))</x:f>
        <x:v>#NAME?</x:v>
      </x:c>
      <x:c r="U129" s="106" t="e">
        <x:f aca="0">IF($A129="","",[1]!thsiFinD("ths_adjustment_nv_fund",U$3,$A129))</x:f>
        <x:v>#NAME?</x:v>
      </x:c>
      <x:c r="V129" s="106" t="e">
        <x:f aca="0">IF($A129="","",[1]!thsiFinD("ths_adjustment_nv_fund",V$3,$A129))</x:f>
        <x:v>#NAME?</x:v>
      </x:c>
      <x:c r="W129" s="106" t="e">
        <x:f aca="0">IF($A129="","",[1]!thsiFinD("ths_adjustment_nv_fund",W$3,$A129))</x:f>
        <x:v>#NAME?</x:v>
      </x:c>
      <x:c r="X129" s="106" t="e">
        <x:f aca="0">IF($A129="","",[1]!thsiFinD("ths_adjustment_nv_fund",X$3,$A129))</x:f>
        <x:v>#NAME?</x:v>
      </x:c>
      <x:c r="Y129" s="106" t="e">
        <x:f aca="0">IF($A129="","",[1]!thsiFinD("ths_adjustment_nv_fund",Y$3,$A129))</x:f>
        <x:v>#NAME?</x:v>
      </x:c>
      <x:c r="Z129" t="e">
        <x:f>IF($A129="","",[1]!thsiFinD("ths_adjustment_nv_fund",Z$3,$A129))</x:f>
        <x:v>#NAME?</x:v>
      </x:c>
      <x:c r="AA129" t="e">
        <x:f>IF($A129="","",[1]!thsiFinD("ths_adjustment_nv_fund",AA$3,$A129))</x:f>
        <x:v>#NAME?</x:v>
      </x:c>
    </x:row>
    <x:row r="130" ht="12" hidden="0">
      <x:c r="A130" s="9"/>
      <x:c r="B130" s="106" t="e">
        <x:f aca="0">IF($A130="","",[1]!thsiFinD("ths_adjustment_nv_fund",B$3,$A130))</x:f>
        <x:v>#NAME?</x:v>
      </x:c>
      <x:c r="C130" s="106" t="e">
        <x:f aca="0">IF($A130="","",[1]!thsiFinD("ths_adjustment_nv_fund",C$3,$A130))</x:f>
        <x:v>#NAME?</x:v>
      </x:c>
      <x:c r="D130" s="106" t="e">
        <x:f aca="0">IF($A130="","",[1]!thsiFinD("ths_adjustment_nv_fund",D$3,$A130))</x:f>
        <x:v>#NAME?</x:v>
      </x:c>
      <x:c r="E130" s="106" t="e">
        <x:f aca="0">IF($A130="","",[1]!thsiFinD("ths_adjustment_nv_fund",E$3,$A130))</x:f>
        <x:v>#NAME?</x:v>
      </x:c>
      <x:c r="F130" s="106" t="e">
        <x:f aca="0">IF($A130="","",[1]!thsiFinD("ths_adjustment_nv_fund",F$3,$A130))</x:f>
        <x:v>#NAME?</x:v>
      </x:c>
      <x:c r="G130" s="106" t="e">
        <x:f aca="0">IF($A130="","",[1]!thsiFinD("ths_adjustment_nv_fund",G$3,$A130))</x:f>
        <x:v>#NAME?</x:v>
      </x:c>
      <x:c r="H130" s="106" t="e">
        <x:f aca="0">IF($A130="","",[1]!thsiFinD("ths_adjustment_nv_fund",H$3,$A130))</x:f>
        <x:v>#NAME?</x:v>
      </x:c>
      <x:c r="I130" s="106" t="e">
        <x:f aca="0">IF($A130="","",[1]!thsiFinD("ths_adjustment_nv_fund",I$3,$A130))</x:f>
        <x:v>#NAME?</x:v>
      </x:c>
      <x:c r="J130" s="106" t="e">
        <x:f aca="0">IF($A130="","",[1]!thsiFinD("ths_adjustment_nv_fund",J$3,$A130))</x:f>
        <x:v>#NAME?</x:v>
      </x:c>
      <x:c r="K130" s="106" t="e">
        <x:f aca="0">IF($A130="","",[1]!thsiFinD("ths_adjustment_nv_fund",K$3,$A130))</x:f>
        <x:v>#NAME?</x:v>
      </x:c>
      <x:c r="L130" s="106" t="e">
        <x:f aca="0">IF($A130="","",[1]!thsiFinD("ths_adjustment_nv_fund",L$3,$A130))</x:f>
        <x:v>#NAME?</x:v>
      </x:c>
      <x:c r="M130" s="106" t="e">
        <x:f aca="0">IF($A130="","",[1]!thsiFinD("ths_adjustment_nv_fund",M$3,$A130))</x:f>
        <x:v>#NAME?</x:v>
      </x:c>
      <x:c r="N130" s="106" t="e">
        <x:f aca="0">IF($A130="","",[1]!thsiFinD("ths_adjustment_nv_fund",N$3,$A130))</x:f>
        <x:v>#NAME?</x:v>
      </x:c>
      <x:c r="O130" s="106" t="e">
        <x:f aca="0">IF($A130="","",[1]!thsiFinD("ths_adjustment_nv_fund",O$3,$A130))</x:f>
        <x:v>#NAME?</x:v>
      </x:c>
      <x:c r="P130" s="106" t="e">
        <x:f aca="0">IF($A130="","",[1]!thsiFinD("ths_adjustment_nv_fund",P$3,$A130))</x:f>
        <x:v>#NAME?</x:v>
      </x:c>
      <x:c r="Q130" s="106" t="e">
        <x:f aca="0">IF($A130="","",[1]!thsiFinD("ths_adjustment_nv_fund",Q$3,$A130))</x:f>
        <x:v>#NAME?</x:v>
      </x:c>
      <x:c r="R130" s="106" t="e">
        <x:f aca="0">IF($A130="","",[1]!thsiFinD("ths_adjustment_nv_fund",R$3,$A130))</x:f>
        <x:v>#NAME?</x:v>
      </x:c>
      <x:c r="S130" s="106" t="e">
        <x:f aca="0">IF($A130="","",[1]!thsiFinD("ths_adjustment_nv_fund",S$3,$A130))</x:f>
        <x:v>#NAME?</x:v>
      </x:c>
      <x:c r="T130" s="106" t="e">
        <x:f aca="0">IF($A130="","",[1]!thsiFinD("ths_adjustment_nv_fund",T$3,$A130))</x:f>
        <x:v>#NAME?</x:v>
      </x:c>
      <x:c r="U130" s="106" t="e">
        <x:f aca="0">IF($A130="","",[1]!thsiFinD("ths_adjustment_nv_fund",U$3,$A130))</x:f>
        <x:v>#NAME?</x:v>
      </x:c>
      <x:c r="V130" s="106" t="e">
        <x:f aca="0">IF($A130="","",[1]!thsiFinD("ths_adjustment_nv_fund",V$3,$A130))</x:f>
        <x:v>#NAME?</x:v>
      </x:c>
      <x:c r="W130" s="106" t="e">
        <x:f aca="0">IF($A130="","",[1]!thsiFinD("ths_adjustment_nv_fund",W$3,$A130))</x:f>
        <x:v>#NAME?</x:v>
      </x:c>
      <x:c r="X130" s="106" t="e">
        <x:f aca="0">IF($A130="","",[1]!thsiFinD("ths_adjustment_nv_fund",X$3,$A130))</x:f>
        <x:v>#NAME?</x:v>
      </x:c>
      <x:c r="Y130" s="106" t="e">
        <x:f aca="0">IF($A130="","",[1]!thsiFinD("ths_adjustment_nv_fund",Y$3,$A130))</x:f>
        <x:v>#NAME?</x:v>
      </x:c>
      <x:c r="Z130" t="e">
        <x:f>IF($A130="","",[1]!thsiFinD("ths_adjustment_nv_fund",Z$3,$A130))</x:f>
        <x:v>#NAME?</x:v>
      </x:c>
      <x:c r="AA130" t="e">
        <x:f>IF($A130="","",[1]!thsiFinD("ths_adjustment_nv_fund",AA$3,$A130))</x:f>
        <x:v>#NAME?</x:v>
      </x:c>
    </x:row>
    <x:row r="131" ht="12" hidden="0">
      <x:c r="A131" s="9"/>
      <x:c r="B131" s="106" t="e">
        <x:f aca="0">IF($A131="","",[1]!thsiFinD("ths_adjustment_nv_fund",B$3,$A131))</x:f>
        <x:v>#NAME?</x:v>
      </x:c>
      <x:c r="C131" s="106" t="e">
        <x:f aca="0">IF($A131="","",[1]!thsiFinD("ths_adjustment_nv_fund",C$3,$A131))</x:f>
        <x:v>#NAME?</x:v>
      </x:c>
      <x:c r="D131" s="106" t="e">
        <x:f aca="0">IF($A131="","",[1]!thsiFinD("ths_adjustment_nv_fund",D$3,$A131))</x:f>
        <x:v>#NAME?</x:v>
      </x:c>
      <x:c r="E131" s="106" t="e">
        <x:f aca="0">IF($A131="","",[1]!thsiFinD("ths_adjustment_nv_fund",E$3,$A131))</x:f>
        <x:v>#NAME?</x:v>
      </x:c>
      <x:c r="F131" s="106" t="e">
        <x:f aca="0">IF($A131="","",[1]!thsiFinD("ths_adjustment_nv_fund",F$3,$A131))</x:f>
        <x:v>#NAME?</x:v>
      </x:c>
      <x:c r="G131" s="106" t="e">
        <x:f aca="0">IF($A131="","",[1]!thsiFinD("ths_adjustment_nv_fund",G$3,$A131))</x:f>
        <x:v>#NAME?</x:v>
      </x:c>
      <x:c r="H131" s="106" t="e">
        <x:f aca="0">IF($A131="","",[1]!thsiFinD("ths_adjustment_nv_fund",H$3,$A131))</x:f>
        <x:v>#NAME?</x:v>
      </x:c>
      <x:c r="I131" s="106" t="e">
        <x:f aca="0">IF($A131="","",[1]!thsiFinD("ths_adjustment_nv_fund",I$3,$A131))</x:f>
        <x:v>#NAME?</x:v>
      </x:c>
      <x:c r="J131" s="106" t="e">
        <x:f aca="0">IF($A131="","",[1]!thsiFinD("ths_adjustment_nv_fund",J$3,$A131))</x:f>
        <x:v>#NAME?</x:v>
      </x:c>
      <x:c r="K131" s="106" t="e">
        <x:f aca="0">IF($A131="","",[1]!thsiFinD("ths_adjustment_nv_fund",K$3,$A131))</x:f>
        <x:v>#NAME?</x:v>
      </x:c>
      <x:c r="L131" s="106" t="e">
        <x:f aca="0">IF($A131="","",[1]!thsiFinD("ths_adjustment_nv_fund",L$3,$A131))</x:f>
        <x:v>#NAME?</x:v>
      </x:c>
      <x:c r="M131" s="106" t="e">
        <x:f aca="0">IF($A131="","",[1]!thsiFinD("ths_adjustment_nv_fund",M$3,$A131))</x:f>
        <x:v>#NAME?</x:v>
      </x:c>
      <x:c r="N131" s="106" t="e">
        <x:f aca="0">IF($A131="","",[1]!thsiFinD("ths_adjustment_nv_fund",N$3,$A131))</x:f>
        <x:v>#NAME?</x:v>
      </x:c>
      <x:c r="O131" s="106" t="e">
        <x:f aca="0">IF($A131="","",[1]!thsiFinD("ths_adjustment_nv_fund",O$3,$A131))</x:f>
        <x:v>#NAME?</x:v>
      </x:c>
      <x:c r="P131" s="106" t="e">
        <x:f aca="0">IF($A131="","",[1]!thsiFinD("ths_adjustment_nv_fund",P$3,$A131))</x:f>
        <x:v>#NAME?</x:v>
      </x:c>
      <x:c r="Q131" s="106" t="e">
        <x:f aca="0">IF($A131="","",[1]!thsiFinD("ths_adjustment_nv_fund",Q$3,$A131))</x:f>
        <x:v>#NAME?</x:v>
      </x:c>
      <x:c r="R131" s="106" t="e">
        <x:f aca="0">IF($A131="","",[1]!thsiFinD("ths_adjustment_nv_fund",R$3,$A131))</x:f>
        <x:v>#NAME?</x:v>
      </x:c>
      <x:c r="S131" s="106" t="e">
        <x:f aca="0">IF($A131="","",[1]!thsiFinD("ths_adjustment_nv_fund",S$3,$A131))</x:f>
        <x:v>#NAME?</x:v>
      </x:c>
      <x:c r="T131" s="106" t="e">
        <x:f aca="0">IF($A131="","",[1]!thsiFinD("ths_adjustment_nv_fund",T$3,$A131))</x:f>
        <x:v>#NAME?</x:v>
      </x:c>
      <x:c r="U131" s="106" t="e">
        <x:f aca="0">IF($A131="","",[1]!thsiFinD("ths_adjustment_nv_fund",U$3,$A131))</x:f>
        <x:v>#NAME?</x:v>
      </x:c>
      <x:c r="V131" s="106" t="e">
        <x:f aca="0">IF($A131="","",[1]!thsiFinD("ths_adjustment_nv_fund",V$3,$A131))</x:f>
        <x:v>#NAME?</x:v>
      </x:c>
      <x:c r="W131" s="106" t="e">
        <x:f aca="0">IF($A131="","",[1]!thsiFinD("ths_adjustment_nv_fund",W$3,$A131))</x:f>
        <x:v>#NAME?</x:v>
      </x:c>
      <x:c r="X131" s="106" t="e">
        <x:f aca="0">IF($A131="","",[1]!thsiFinD("ths_adjustment_nv_fund",X$3,$A131))</x:f>
        <x:v>#NAME?</x:v>
      </x:c>
      <x:c r="Y131" s="106" t="e">
        <x:f aca="0">IF($A131="","",[1]!thsiFinD("ths_adjustment_nv_fund",Y$3,$A131))</x:f>
        <x:v>#NAME?</x:v>
      </x:c>
      <x:c r="Z131" t="e">
        <x:f>IF($A131="","",[1]!thsiFinD("ths_adjustment_nv_fund",Z$3,$A131))</x:f>
        <x:v>#NAME?</x:v>
      </x:c>
      <x:c r="AA131" t="e">
        <x:f>IF($A131="","",[1]!thsiFinD("ths_adjustment_nv_fund",AA$3,$A131))</x:f>
        <x:v>#NAME?</x:v>
      </x:c>
    </x:row>
    <x:row r="132" ht="12" hidden="0">
      <x:c r="A132" s="9"/>
      <x:c r="B132" s="106" t="e">
        <x:f aca="0">IF($A132="","",[1]!thsiFinD("ths_adjustment_nv_fund",B$3,$A132))</x:f>
        <x:v>#NAME?</x:v>
      </x:c>
      <x:c r="C132" s="106" t="e">
        <x:f aca="0">IF($A132="","",[1]!thsiFinD("ths_adjustment_nv_fund",C$3,$A132))</x:f>
        <x:v>#NAME?</x:v>
      </x:c>
      <x:c r="D132" s="106" t="e">
        <x:f aca="0">IF($A132="","",[1]!thsiFinD("ths_adjustment_nv_fund",D$3,$A132))</x:f>
        <x:v>#NAME?</x:v>
      </x:c>
      <x:c r="E132" s="106" t="e">
        <x:f aca="0">IF($A132="","",[1]!thsiFinD("ths_adjustment_nv_fund",E$3,$A132))</x:f>
        <x:v>#NAME?</x:v>
      </x:c>
      <x:c r="F132" s="106" t="e">
        <x:f aca="0">IF($A132="","",[1]!thsiFinD("ths_adjustment_nv_fund",F$3,$A132))</x:f>
        <x:v>#NAME?</x:v>
      </x:c>
      <x:c r="G132" s="106" t="e">
        <x:f aca="0">IF($A132="","",[1]!thsiFinD("ths_adjustment_nv_fund",G$3,$A132))</x:f>
        <x:v>#NAME?</x:v>
      </x:c>
      <x:c r="H132" s="106" t="e">
        <x:f aca="0">IF($A132="","",[1]!thsiFinD("ths_adjustment_nv_fund",H$3,$A132))</x:f>
        <x:v>#NAME?</x:v>
      </x:c>
      <x:c r="I132" s="106" t="e">
        <x:f aca="0">IF($A132="","",[1]!thsiFinD("ths_adjustment_nv_fund",I$3,$A132))</x:f>
        <x:v>#NAME?</x:v>
      </x:c>
      <x:c r="J132" s="106" t="e">
        <x:f aca="0">IF($A132="","",[1]!thsiFinD("ths_adjustment_nv_fund",J$3,$A132))</x:f>
        <x:v>#NAME?</x:v>
      </x:c>
      <x:c r="K132" s="106" t="e">
        <x:f aca="0">IF($A132="","",[1]!thsiFinD("ths_adjustment_nv_fund",K$3,$A132))</x:f>
        <x:v>#NAME?</x:v>
      </x:c>
      <x:c r="L132" s="106" t="e">
        <x:f aca="0">IF($A132="","",[1]!thsiFinD("ths_adjustment_nv_fund",L$3,$A132))</x:f>
        <x:v>#NAME?</x:v>
      </x:c>
      <x:c r="M132" s="106" t="e">
        <x:f aca="0">IF($A132="","",[1]!thsiFinD("ths_adjustment_nv_fund",M$3,$A132))</x:f>
        <x:v>#NAME?</x:v>
      </x:c>
      <x:c r="N132" s="106" t="e">
        <x:f aca="0">IF($A132="","",[1]!thsiFinD("ths_adjustment_nv_fund",N$3,$A132))</x:f>
        <x:v>#NAME?</x:v>
      </x:c>
      <x:c r="O132" s="106" t="e">
        <x:f aca="0">IF($A132="","",[1]!thsiFinD("ths_adjustment_nv_fund",O$3,$A132))</x:f>
        <x:v>#NAME?</x:v>
      </x:c>
      <x:c r="P132" s="106" t="e">
        <x:f aca="0">IF($A132="","",[1]!thsiFinD("ths_adjustment_nv_fund",P$3,$A132))</x:f>
        <x:v>#NAME?</x:v>
      </x:c>
      <x:c r="Q132" s="106" t="e">
        <x:f aca="0">IF($A132="","",[1]!thsiFinD("ths_adjustment_nv_fund",Q$3,$A132))</x:f>
        <x:v>#NAME?</x:v>
      </x:c>
      <x:c r="R132" s="106" t="e">
        <x:f aca="0">IF($A132="","",[1]!thsiFinD("ths_adjustment_nv_fund",R$3,$A132))</x:f>
        <x:v>#NAME?</x:v>
      </x:c>
      <x:c r="S132" s="106" t="e">
        <x:f aca="0">IF($A132="","",[1]!thsiFinD("ths_adjustment_nv_fund",S$3,$A132))</x:f>
        <x:v>#NAME?</x:v>
      </x:c>
      <x:c r="T132" s="106" t="e">
        <x:f aca="0">IF($A132="","",[1]!thsiFinD("ths_adjustment_nv_fund",T$3,$A132))</x:f>
        <x:v>#NAME?</x:v>
      </x:c>
      <x:c r="U132" s="106" t="e">
        <x:f aca="0">IF($A132="","",[1]!thsiFinD("ths_adjustment_nv_fund",U$3,$A132))</x:f>
        <x:v>#NAME?</x:v>
      </x:c>
      <x:c r="V132" s="106" t="e">
        <x:f aca="0">IF($A132="","",[1]!thsiFinD("ths_adjustment_nv_fund",V$3,$A132))</x:f>
        <x:v>#NAME?</x:v>
      </x:c>
      <x:c r="W132" s="106" t="e">
        <x:f aca="0">IF($A132="","",[1]!thsiFinD("ths_adjustment_nv_fund",W$3,$A132))</x:f>
        <x:v>#NAME?</x:v>
      </x:c>
      <x:c r="X132" s="106" t="e">
        <x:f aca="0">IF($A132="","",[1]!thsiFinD("ths_adjustment_nv_fund",X$3,$A132))</x:f>
        <x:v>#NAME?</x:v>
      </x:c>
      <x:c r="Y132" s="106" t="e">
        <x:f aca="0">IF($A132="","",[1]!thsiFinD("ths_adjustment_nv_fund",Y$3,$A132))</x:f>
        <x:v>#NAME?</x:v>
      </x:c>
      <x:c r="Z132" t="e">
        <x:f>IF($A132="","",[1]!thsiFinD("ths_adjustment_nv_fund",Z$3,$A132))</x:f>
        <x:v>#NAME?</x:v>
      </x:c>
      <x:c r="AA132" t="e">
        <x:f>IF($A132="","",[1]!thsiFinD("ths_adjustment_nv_fund",AA$3,$A132))</x:f>
        <x:v>#NAME?</x:v>
      </x:c>
    </x:row>
    <x:row r="133" ht="12" hidden="0">
      <x:c r="A133" s="9"/>
      <x:c r="B133" s="106" t="e">
        <x:f aca="0">IF($A133="","",[1]!thsiFinD("ths_adjustment_nv_fund",B$3,$A133))</x:f>
        <x:v>#NAME?</x:v>
      </x:c>
      <x:c r="C133" s="106" t="e">
        <x:f aca="0">IF($A133="","",[1]!thsiFinD("ths_adjustment_nv_fund",C$3,$A133))</x:f>
        <x:v>#NAME?</x:v>
      </x:c>
      <x:c r="D133" s="106" t="e">
        <x:f aca="0">IF($A133="","",[1]!thsiFinD("ths_adjustment_nv_fund",D$3,$A133))</x:f>
        <x:v>#NAME?</x:v>
      </x:c>
      <x:c r="E133" s="106" t="e">
        <x:f aca="0">IF($A133="","",[1]!thsiFinD("ths_adjustment_nv_fund",E$3,$A133))</x:f>
        <x:v>#NAME?</x:v>
      </x:c>
      <x:c r="F133" s="106" t="e">
        <x:f aca="0">IF($A133="","",[1]!thsiFinD("ths_adjustment_nv_fund",F$3,$A133))</x:f>
        <x:v>#NAME?</x:v>
      </x:c>
      <x:c r="G133" s="106" t="e">
        <x:f aca="0">IF($A133="","",[1]!thsiFinD("ths_adjustment_nv_fund",G$3,$A133))</x:f>
        <x:v>#NAME?</x:v>
      </x:c>
      <x:c r="H133" s="106" t="e">
        <x:f aca="0">IF($A133="","",[1]!thsiFinD("ths_adjustment_nv_fund",H$3,$A133))</x:f>
        <x:v>#NAME?</x:v>
      </x:c>
      <x:c r="I133" s="106" t="e">
        <x:f aca="0">IF($A133="","",[1]!thsiFinD("ths_adjustment_nv_fund",I$3,$A133))</x:f>
        <x:v>#NAME?</x:v>
      </x:c>
      <x:c r="J133" s="106" t="e">
        <x:f aca="0">IF($A133="","",[1]!thsiFinD("ths_adjustment_nv_fund",J$3,$A133))</x:f>
        <x:v>#NAME?</x:v>
      </x:c>
      <x:c r="K133" s="106" t="e">
        <x:f aca="0">IF($A133="","",[1]!thsiFinD("ths_adjustment_nv_fund",K$3,$A133))</x:f>
        <x:v>#NAME?</x:v>
      </x:c>
      <x:c r="L133" s="106" t="e">
        <x:f aca="0">IF($A133="","",[1]!thsiFinD("ths_adjustment_nv_fund",L$3,$A133))</x:f>
        <x:v>#NAME?</x:v>
      </x:c>
      <x:c r="M133" s="106" t="e">
        <x:f aca="0">IF($A133="","",[1]!thsiFinD("ths_adjustment_nv_fund",M$3,$A133))</x:f>
        <x:v>#NAME?</x:v>
      </x:c>
      <x:c r="N133" s="106" t="e">
        <x:f aca="0">IF($A133="","",[1]!thsiFinD("ths_adjustment_nv_fund",N$3,$A133))</x:f>
        <x:v>#NAME?</x:v>
      </x:c>
      <x:c r="O133" s="106" t="e">
        <x:f aca="0">IF($A133="","",[1]!thsiFinD("ths_adjustment_nv_fund",O$3,$A133))</x:f>
        <x:v>#NAME?</x:v>
      </x:c>
      <x:c r="P133" s="106" t="e">
        <x:f aca="0">IF($A133="","",[1]!thsiFinD("ths_adjustment_nv_fund",P$3,$A133))</x:f>
        <x:v>#NAME?</x:v>
      </x:c>
      <x:c r="Q133" s="106" t="e">
        <x:f aca="0">IF($A133="","",[1]!thsiFinD("ths_adjustment_nv_fund",Q$3,$A133))</x:f>
        <x:v>#NAME?</x:v>
      </x:c>
      <x:c r="R133" s="106" t="e">
        <x:f aca="0">IF($A133="","",[1]!thsiFinD("ths_adjustment_nv_fund",R$3,$A133))</x:f>
        <x:v>#NAME?</x:v>
      </x:c>
      <x:c r="S133" s="106" t="e">
        <x:f aca="0">IF($A133="","",[1]!thsiFinD("ths_adjustment_nv_fund",S$3,$A133))</x:f>
        <x:v>#NAME?</x:v>
      </x:c>
      <x:c r="T133" s="106" t="e">
        <x:f aca="0">IF($A133="","",[1]!thsiFinD("ths_adjustment_nv_fund",T$3,$A133))</x:f>
        <x:v>#NAME?</x:v>
      </x:c>
      <x:c r="U133" s="106" t="e">
        <x:f aca="0">IF($A133="","",[1]!thsiFinD("ths_adjustment_nv_fund",U$3,$A133))</x:f>
        <x:v>#NAME?</x:v>
      </x:c>
      <x:c r="V133" s="106" t="e">
        <x:f aca="0">IF($A133="","",[1]!thsiFinD("ths_adjustment_nv_fund",V$3,$A133))</x:f>
        <x:v>#NAME?</x:v>
      </x:c>
      <x:c r="W133" s="106" t="e">
        <x:f aca="0">IF($A133="","",[1]!thsiFinD("ths_adjustment_nv_fund",W$3,$A133))</x:f>
        <x:v>#NAME?</x:v>
      </x:c>
      <x:c r="X133" s="106" t="e">
        <x:f aca="0">IF($A133="","",[1]!thsiFinD("ths_adjustment_nv_fund",X$3,$A133))</x:f>
        <x:v>#NAME?</x:v>
      </x:c>
      <x:c r="Y133" s="106" t="e">
        <x:f aca="0">IF($A133="","",[1]!thsiFinD("ths_adjustment_nv_fund",Y$3,$A133))</x:f>
        <x:v>#NAME?</x:v>
      </x:c>
      <x:c r="Z133" t="e">
        <x:f>IF($A133="","",[1]!thsiFinD("ths_adjustment_nv_fund",Z$3,$A133))</x:f>
        <x:v>#NAME?</x:v>
      </x:c>
      <x:c r="AA133" t="e">
        <x:f>IF($A133="","",[1]!thsiFinD("ths_adjustment_nv_fund",AA$3,$A133))</x:f>
        <x:v>#NAME?</x:v>
      </x:c>
    </x:row>
    <x:row r="134">
      <x:c r="B134" s="146" t="e">
        <x:f>IF($A134="","",[1]!thsiFinD("ths_adjustment_nv_fund",B$3,$A134))</x:f>
        <x:v>#NAME?</x:v>
      </x:c>
      <x:c r="C134" s="146" t="e">
        <x:f>IF($A134="","",[1]!thsiFinD("ths_adjustment_nv_fund",C$3,$A134))</x:f>
        <x:v>#NAME?</x:v>
      </x:c>
      <x:c r="D134" s="146" t="e">
        <x:f>IF($A134="","",[1]!thsiFinD("ths_adjustment_nv_fund",D$3,$A134))</x:f>
        <x:v>#NAME?</x:v>
      </x:c>
      <x:c r="E134" s="146" t="e">
        <x:f>IF($A134="","",[1]!thsiFinD("ths_adjustment_nv_fund",E$3,$A134))</x:f>
        <x:v>#NAME?</x:v>
      </x:c>
      <x:c r="F134" s="146" t="e">
        <x:f>IF($A134="","",[1]!thsiFinD("ths_adjustment_nv_fund",F$3,$A134))</x:f>
        <x:v>#NAME?</x:v>
      </x:c>
      <x:c r="G134" s="146" t="e">
        <x:f>IF($A134="","",[1]!thsiFinD("ths_adjustment_nv_fund",G$3,$A134))</x:f>
        <x:v>#NAME?</x:v>
      </x:c>
      <x:c r="H134" s="146" t="e">
        <x:f>IF($A134="","",[1]!thsiFinD("ths_adjustment_nv_fund",H$3,$A134))</x:f>
        <x:v>#NAME?</x:v>
      </x:c>
      <x:c r="I134" s="146" t="e">
        <x:f>IF($A134="","",[1]!thsiFinD("ths_adjustment_nv_fund",I$3,$A134))</x:f>
        <x:v>#NAME?</x:v>
      </x:c>
      <x:c r="J134" s="146" t="e">
        <x:f>IF($A134="","",[1]!thsiFinD("ths_adjustment_nv_fund",J$3,$A134))</x:f>
        <x:v>#NAME?</x:v>
      </x:c>
      <x:c r="K134" s="146" t="e">
        <x:f>IF($A134="","",[1]!thsiFinD("ths_adjustment_nv_fund",K$3,$A134))</x:f>
        <x:v>#NAME?</x:v>
      </x:c>
      <x:c r="L134" s="146" t="e">
        <x:f>IF($A134="","",[1]!thsiFinD("ths_adjustment_nv_fund",L$3,$A134))</x:f>
        <x:v>#NAME?</x:v>
      </x:c>
      <x:c r="M134" s="146" t="e">
        <x:f>IF($A134="","",[1]!thsiFinD("ths_adjustment_nv_fund",M$3,$A134))</x:f>
        <x:v>#NAME?</x:v>
      </x:c>
      <x:c r="N134" s="146" t="e">
        <x:f>IF($A134="","",[1]!thsiFinD("ths_adjustment_nv_fund",N$3,$A134))</x:f>
        <x:v>#NAME?</x:v>
      </x:c>
      <x:c r="O134" s="146" t="e">
        <x:f>IF($A134="","",[1]!thsiFinD("ths_adjustment_nv_fund",O$3,$A134))</x:f>
        <x:v>#NAME?</x:v>
      </x:c>
      <x:c r="P134" s="146" t="e">
        <x:f>IF($A134="","",[1]!thsiFinD("ths_adjustment_nv_fund",P$3,$A134))</x:f>
        <x:v>#NAME?</x:v>
      </x:c>
      <x:c r="Q134" s="146" t="e">
        <x:f>IF($A134="","",[1]!thsiFinD("ths_adjustment_nv_fund",Q$3,$A134))</x:f>
        <x:v>#NAME?</x:v>
      </x:c>
      <x:c r="R134" s="146" t="e">
        <x:f>IF($A134="","",[1]!thsiFinD("ths_adjustment_nv_fund",R$3,$A134))</x:f>
        <x:v>#NAME?</x:v>
      </x:c>
      <x:c r="S134" s="146" t="e">
        <x:f>IF($A134="","",[1]!thsiFinD("ths_adjustment_nv_fund",S$3,$A134))</x:f>
        <x:v>#NAME?</x:v>
      </x:c>
      <x:c r="T134" s="146" t="e">
        <x:f>IF($A134="","",[1]!thsiFinD("ths_adjustment_nv_fund",T$3,$A134))</x:f>
        <x:v>#NAME?</x:v>
      </x:c>
      <x:c r="U134" s="146" t="e">
        <x:f>IF($A134="","",[1]!thsiFinD("ths_adjustment_nv_fund",U$3,$A134))</x:f>
        <x:v>#NAME?</x:v>
      </x:c>
      <x:c r="V134" s="146" t="e">
        <x:f>IF($A134="","",[1]!thsiFinD("ths_adjustment_nv_fund",V$3,$A134))</x:f>
        <x:v>#NAME?</x:v>
      </x:c>
      <x:c r="W134" s="146" t="e">
        <x:f>IF($A134="","",[1]!thsiFinD("ths_adjustment_nv_fund",W$3,$A134))</x:f>
        <x:v>#NAME?</x:v>
      </x:c>
      <x:c r="X134" s="146" t="e">
        <x:f>IF($A134="","",[1]!thsiFinD("ths_adjustment_nv_fund",X$3,$A134))</x:f>
        <x:v>#NAME?</x:v>
      </x:c>
      <x:c r="Y134" s="146" t="e">
        <x:f>IF($A134="","",[1]!thsiFinD("ths_adjustment_nv_fund",Y$3,$A134))</x:f>
        <x:v>#NAME?</x:v>
      </x:c>
      <x:c r="Z134" s="146" t="e">
        <x:f>IF($A134="","",[1]!thsiFinD("ths_adjustment_nv_fund",Z$3,$A134))</x:f>
        <x:v>#NAME?</x:v>
      </x:c>
      <x:c r="AA134" s="146" t="e">
        <x:f>IF($A134="","",[1]!thsiFinD("ths_adjustment_nv_fund",AA$3,$A134))</x:f>
        <x:v>#NAME?</x:v>
      </x:c>
    </x:row>
    <x:row r="135">
      <x:c r="B135" s="146" t="e">
        <x:f>IF($A135="","",[1]!thsiFinD("ths_adjustment_nv_fund",B$3,$A135))</x:f>
        <x:v>#NAME?</x:v>
      </x:c>
      <x:c r="C135" s="146" t="e">
        <x:f>IF($A135="","",[1]!thsiFinD("ths_adjustment_nv_fund",C$3,$A135))</x:f>
        <x:v>#NAME?</x:v>
      </x:c>
      <x:c r="D135" s="146" t="e">
        <x:f>IF($A135="","",[1]!thsiFinD("ths_adjustment_nv_fund",D$3,$A135))</x:f>
        <x:v>#NAME?</x:v>
      </x:c>
      <x:c r="E135" s="146" t="e">
        <x:f>IF($A135="","",[1]!thsiFinD("ths_adjustment_nv_fund",E$3,$A135))</x:f>
        <x:v>#NAME?</x:v>
      </x:c>
      <x:c r="F135" s="146" t="e">
        <x:f>IF($A135="","",[1]!thsiFinD("ths_adjustment_nv_fund",F$3,$A135))</x:f>
        <x:v>#NAME?</x:v>
      </x:c>
      <x:c r="G135" s="146" t="e">
        <x:f>IF($A135="","",[1]!thsiFinD("ths_adjustment_nv_fund",G$3,$A135))</x:f>
        <x:v>#NAME?</x:v>
      </x:c>
      <x:c r="H135" s="146" t="e">
        <x:f>IF($A135="","",[1]!thsiFinD("ths_adjustment_nv_fund",H$3,$A135))</x:f>
        <x:v>#NAME?</x:v>
      </x:c>
      <x:c r="I135" s="146" t="e">
        <x:f>IF($A135="","",[1]!thsiFinD("ths_adjustment_nv_fund",I$3,$A135))</x:f>
        <x:v>#NAME?</x:v>
      </x:c>
      <x:c r="J135" s="146" t="e">
        <x:f>IF($A135="","",[1]!thsiFinD("ths_adjustment_nv_fund",J$3,$A135))</x:f>
        <x:v>#NAME?</x:v>
      </x:c>
      <x:c r="K135" s="146" t="e">
        <x:f>IF($A135="","",[1]!thsiFinD("ths_adjustment_nv_fund",K$3,$A135))</x:f>
        <x:v>#NAME?</x:v>
      </x:c>
      <x:c r="L135" s="146" t="e">
        <x:f>IF($A135="","",[1]!thsiFinD("ths_adjustment_nv_fund",L$3,$A135))</x:f>
        <x:v>#NAME?</x:v>
      </x:c>
      <x:c r="M135" s="146" t="e">
        <x:f>IF($A135="","",[1]!thsiFinD("ths_adjustment_nv_fund",M$3,$A135))</x:f>
        <x:v>#NAME?</x:v>
      </x:c>
      <x:c r="N135" s="146" t="e">
        <x:f>IF($A135="","",[1]!thsiFinD("ths_adjustment_nv_fund",N$3,$A135))</x:f>
        <x:v>#NAME?</x:v>
      </x:c>
      <x:c r="O135" s="146" t="e">
        <x:f>IF($A135="","",[1]!thsiFinD("ths_adjustment_nv_fund",O$3,$A135))</x:f>
        <x:v>#NAME?</x:v>
      </x:c>
      <x:c r="P135" s="146" t="e">
        <x:f>IF($A135="","",[1]!thsiFinD("ths_adjustment_nv_fund",P$3,$A135))</x:f>
        <x:v>#NAME?</x:v>
      </x:c>
      <x:c r="Q135" s="146" t="e">
        <x:f>IF($A135="","",[1]!thsiFinD("ths_adjustment_nv_fund",Q$3,$A135))</x:f>
        <x:v>#NAME?</x:v>
      </x:c>
      <x:c r="R135" s="146" t="e">
        <x:f>IF($A135="","",[1]!thsiFinD("ths_adjustment_nv_fund",R$3,$A135))</x:f>
        <x:v>#NAME?</x:v>
      </x:c>
      <x:c r="S135" s="146" t="e">
        <x:f>IF($A135="","",[1]!thsiFinD("ths_adjustment_nv_fund",S$3,$A135))</x:f>
        <x:v>#NAME?</x:v>
      </x:c>
      <x:c r="T135" s="146" t="e">
        <x:f>IF($A135="","",[1]!thsiFinD("ths_adjustment_nv_fund",T$3,$A135))</x:f>
        <x:v>#NAME?</x:v>
      </x:c>
      <x:c r="U135" s="146" t="e">
        <x:f>IF($A135="","",[1]!thsiFinD("ths_adjustment_nv_fund",U$3,$A135))</x:f>
        <x:v>#NAME?</x:v>
      </x:c>
      <x:c r="V135" s="146" t="e">
        <x:f>IF($A135="","",[1]!thsiFinD("ths_adjustment_nv_fund",V$3,$A135))</x:f>
        <x:v>#NAME?</x:v>
      </x:c>
      <x:c r="W135" s="146" t="e">
        <x:f>IF($A135="","",[1]!thsiFinD("ths_adjustment_nv_fund",W$3,$A135))</x:f>
        <x:v>#NAME?</x:v>
      </x:c>
      <x:c r="X135" s="146" t="e">
        <x:f>IF($A135="","",[1]!thsiFinD("ths_adjustment_nv_fund",X$3,$A135))</x:f>
        <x:v>#NAME?</x:v>
      </x:c>
      <x:c r="Y135" s="146" t="e">
        <x:f>IF($A135="","",[1]!thsiFinD("ths_adjustment_nv_fund",Y$3,$A135))</x:f>
        <x:v>#NAME?</x:v>
      </x:c>
      <x:c r="Z135" s="146" t="e">
        <x:f>IF($A135="","",[1]!thsiFinD("ths_adjustment_nv_fund",Z$3,$A135))</x:f>
        <x:v>#NAME?</x:v>
      </x:c>
      <x:c r="AA135" s="146" t="e">
        <x:f>IF($A135="","",[1]!thsiFinD("ths_adjustment_nv_fund",AA$3,$A135))</x:f>
        <x:v>#NAME?</x:v>
      </x:c>
    </x:row>
    <x:row r="136">
      <x:c r="B136" s="146" t="e">
        <x:f>IF($A136="","",[1]!thsiFinD("ths_adjustment_nv_fund",B$3,$A136))</x:f>
        <x:v>#NAME?</x:v>
      </x:c>
      <x:c r="C136" s="146" t="e">
        <x:f>IF($A136="","",[1]!thsiFinD("ths_adjustment_nv_fund",C$3,$A136))</x:f>
        <x:v>#NAME?</x:v>
      </x:c>
      <x:c r="D136" s="146" t="e">
        <x:f>IF($A136="","",[1]!thsiFinD("ths_adjustment_nv_fund",D$3,$A136))</x:f>
        <x:v>#NAME?</x:v>
      </x:c>
      <x:c r="E136" s="146" t="e">
        <x:f>IF($A136="","",[1]!thsiFinD("ths_adjustment_nv_fund",E$3,$A136))</x:f>
        <x:v>#NAME?</x:v>
      </x:c>
      <x:c r="F136" s="146" t="e">
        <x:f>IF($A136="","",[1]!thsiFinD("ths_adjustment_nv_fund",F$3,$A136))</x:f>
        <x:v>#NAME?</x:v>
      </x:c>
      <x:c r="G136" s="146" t="e">
        <x:f>IF($A136="","",[1]!thsiFinD("ths_adjustment_nv_fund",G$3,$A136))</x:f>
        <x:v>#NAME?</x:v>
      </x:c>
      <x:c r="H136" s="146" t="e">
        <x:f>IF($A136="","",[1]!thsiFinD("ths_adjustment_nv_fund",H$3,$A136))</x:f>
        <x:v>#NAME?</x:v>
      </x:c>
      <x:c r="I136" s="146" t="e">
        <x:f>IF($A136="","",[1]!thsiFinD("ths_adjustment_nv_fund",I$3,$A136))</x:f>
        <x:v>#NAME?</x:v>
      </x:c>
      <x:c r="J136" s="146" t="e">
        <x:f>IF($A136="","",[1]!thsiFinD("ths_adjustment_nv_fund",J$3,$A136))</x:f>
        <x:v>#NAME?</x:v>
      </x:c>
      <x:c r="K136" s="146" t="e">
        <x:f>IF($A136="","",[1]!thsiFinD("ths_adjustment_nv_fund",K$3,$A136))</x:f>
        <x:v>#NAME?</x:v>
      </x:c>
      <x:c r="L136" s="146" t="e">
        <x:f>IF($A136="","",[1]!thsiFinD("ths_adjustment_nv_fund",L$3,$A136))</x:f>
        <x:v>#NAME?</x:v>
      </x:c>
      <x:c r="M136" s="146" t="e">
        <x:f>IF($A136="","",[1]!thsiFinD("ths_adjustment_nv_fund",M$3,$A136))</x:f>
        <x:v>#NAME?</x:v>
      </x:c>
      <x:c r="N136" s="146" t="e">
        <x:f>IF($A136="","",[1]!thsiFinD("ths_adjustment_nv_fund",N$3,$A136))</x:f>
        <x:v>#NAME?</x:v>
      </x:c>
      <x:c r="O136" s="146" t="e">
        <x:f>IF($A136="","",[1]!thsiFinD("ths_adjustment_nv_fund",O$3,$A136))</x:f>
        <x:v>#NAME?</x:v>
      </x:c>
      <x:c r="P136" s="146" t="e">
        <x:f>IF($A136="","",[1]!thsiFinD("ths_adjustment_nv_fund",P$3,$A136))</x:f>
        <x:v>#NAME?</x:v>
      </x:c>
      <x:c r="Q136" s="146" t="e">
        <x:f>IF($A136="","",[1]!thsiFinD("ths_adjustment_nv_fund",Q$3,$A136))</x:f>
        <x:v>#NAME?</x:v>
      </x:c>
      <x:c r="R136" s="146" t="e">
        <x:f>IF($A136="","",[1]!thsiFinD("ths_adjustment_nv_fund",R$3,$A136))</x:f>
        <x:v>#NAME?</x:v>
      </x:c>
      <x:c r="S136" s="146" t="e">
        <x:f>IF($A136="","",[1]!thsiFinD("ths_adjustment_nv_fund",S$3,$A136))</x:f>
        <x:v>#NAME?</x:v>
      </x:c>
      <x:c r="T136" s="146" t="e">
        <x:f>IF($A136="","",[1]!thsiFinD("ths_adjustment_nv_fund",T$3,$A136))</x:f>
        <x:v>#NAME?</x:v>
      </x:c>
      <x:c r="U136" s="146" t="e">
        <x:f>IF($A136="","",[1]!thsiFinD("ths_adjustment_nv_fund",U$3,$A136))</x:f>
        <x:v>#NAME?</x:v>
      </x:c>
      <x:c r="V136" s="146" t="e">
        <x:f>IF($A136="","",[1]!thsiFinD("ths_adjustment_nv_fund",V$3,$A136))</x:f>
        <x:v>#NAME?</x:v>
      </x:c>
      <x:c r="W136" s="146" t="e">
        <x:f>IF($A136="","",[1]!thsiFinD("ths_adjustment_nv_fund",W$3,$A136))</x:f>
        <x:v>#NAME?</x:v>
      </x:c>
      <x:c r="X136" s="146" t="e">
        <x:f>IF($A136="","",[1]!thsiFinD("ths_adjustment_nv_fund",X$3,$A136))</x:f>
        <x:v>#NAME?</x:v>
      </x:c>
      <x:c r="Y136" s="146" t="e">
        <x:f>IF($A136="","",[1]!thsiFinD("ths_adjustment_nv_fund",Y$3,$A136))</x:f>
        <x:v>#NAME?</x:v>
      </x:c>
      <x:c r="Z136" s="146" t="e">
        <x:f>IF($A136="","",[1]!thsiFinD("ths_adjustment_nv_fund",Z$3,$A136))</x:f>
        <x:v>#NAME?</x:v>
      </x:c>
      <x:c r="AA136" s="146" t="e">
        <x:f>IF($A136="","",[1]!thsiFinD("ths_adjustment_nv_fund",AA$3,$A136))</x:f>
        <x:v>#NAME?</x:v>
      </x:c>
    </x:row>
    <x:row r="137">
      <x:c r="B137" s="146" t="e">
        <x:f>IF($A137="","",[1]!thsiFinD("ths_adjustment_nv_fund",B$3,$A137))</x:f>
        <x:v>#NAME?</x:v>
      </x:c>
      <x:c r="C137" s="146" t="e">
        <x:f>IF($A137="","",[1]!thsiFinD("ths_adjustment_nv_fund",C$3,$A137))</x:f>
        <x:v>#NAME?</x:v>
      </x:c>
      <x:c r="D137" s="146" t="e">
        <x:f>IF($A137="","",[1]!thsiFinD("ths_adjustment_nv_fund",D$3,$A137))</x:f>
        <x:v>#NAME?</x:v>
      </x:c>
      <x:c r="E137" s="146" t="e">
        <x:f>IF($A137="","",[1]!thsiFinD("ths_adjustment_nv_fund",E$3,$A137))</x:f>
        <x:v>#NAME?</x:v>
      </x:c>
      <x:c r="F137" s="146" t="e">
        <x:f>IF($A137="","",[1]!thsiFinD("ths_adjustment_nv_fund",F$3,$A137))</x:f>
        <x:v>#NAME?</x:v>
      </x:c>
      <x:c r="G137" s="146" t="e">
        <x:f>IF($A137="","",[1]!thsiFinD("ths_adjustment_nv_fund",G$3,$A137))</x:f>
        <x:v>#NAME?</x:v>
      </x:c>
      <x:c r="H137" s="146" t="e">
        <x:f>IF($A137="","",[1]!thsiFinD("ths_adjustment_nv_fund",H$3,$A137))</x:f>
        <x:v>#NAME?</x:v>
      </x:c>
      <x:c r="I137" s="146" t="e">
        <x:f>IF($A137="","",[1]!thsiFinD("ths_adjustment_nv_fund",I$3,$A137))</x:f>
        <x:v>#NAME?</x:v>
      </x:c>
      <x:c r="J137" s="146" t="e">
        <x:f>IF($A137="","",[1]!thsiFinD("ths_adjustment_nv_fund",J$3,$A137))</x:f>
        <x:v>#NAME?</x:v>
      </x:c>
      <x:c r="K137" s="146" t="e">
        <x:f>IF($A137="","",[1]!thsiFinD("ths_adjustment_nv_fund",K$3,$A137))</x:f>
        <x:v>#NAME?</x:v>
      </x:c>
      <x:c r="L137" s="146" t="e">
        <x:f>IF($A137="","",[1]!thsiFinD("ths_adjustment_nv_fund",L$3,$A137))</x:f>
        <x:v>#NAME?</x:v>
      </x:c>
      <x:c r="M137" s="146" t="e">
        <x:f>IF($A137="","",[1]!thsiFinD("ths_adjustment_nv_fund",M$3,$A137))</x:f>
        <x:v>#NAME?</x:v>
      </x:c>
      <x:c r="N137" s="146" t="e">
        <x:f>IF($A137="","",[1]!thsiFinD("ths_adjustment_nv_fund",N$3,$A137))</x:f>
        <x:v>#NAME?</x:v>
      </x:c>
      <x:c r="O137" s="146" t="e">
        <x:f>IF($A137="","",[1]!thsiFinD("ths_adjustment_nv_fund",O$3,$A137))</x:f>
        <x:v>#NAME?</x:v>
      </x:c>
      <x:c r="P137" s="146" t="e">
        <x:f>IF($A137="","",[1]!thsiFinD("ths_adjustment_nv_fund",P$3,$A137))</x:f>
        <x:v>#NAME?</x:v>
      </x:c>
      <x:c r="Q137" s="146" t="e">
        <x:f>IF($A137="","",[1]!thsiFinD("ths_adjustment_nv_fund",Q$3,$A137))</x:f>
        <x:v>#NAME?</x:v>
      </x:c>
      <x:c r="R137" s="146" t="e">
        <x:f>IF($A137="","",[1]!thsiFinD("ths_adjustment_nv_fund",R$3,$A137))</x:f>
        <x:v>#NAME?</x:v>
      </x:c>
      <x:c r="S137" s="146" t="e">
        <x:f>IF($A137="","",[1]!thsiFinD("ths_adjustment_nv_fund",S$3,$A137))</x:f>
        <x:v>#NAME?</x:v>
      </x:c>
      <x:c r="T137" s="146" t="e">
        <x:f>IF($A137="","",[1]!thsiFinD("ths_adjustment_nv_fund",T$3,$A137))</x:f>
        <x:v>#NAME?</x:v>
      </x:c>
      <x:c r="U137" s="146" t="e">
        <x:f>IF($A137="","",[1]!thsiFinD("ths_adjustment_nv_fund",U$3,$A137))</x:f>
        <x:v>#NAME?</x:v>
      </x:c>
      <x:c r="V137" s="146" t="e">
        <x:f>IF($A137="","",[1]!thsiFinD("ths_adjustment_nv_fund",V$3,$A137))</x:f>
        <x:v>#NAME?</x:v>
      </x:c>
      <x:c r="W137" s="146" t="e">
        <x:f>IF($A137="","",[1]!thsiFinD("ths_adjustment_nv_fund",W$3,$A137))</x:f>
        <x:v>#NAME?</x:v>
      </x:c>
      <x:c r="X137" s="146" t="e">
        <x:f>IF($A137="","",[1]!thsiFinD("ths_adjustment_nv_fund",X$3,$A137))</x:f>
        <x:v>#NAME?</x:v>
      </x:c>
      <x:c r="Y137" s="146" t="e">
        <x:f>IF($A137="","",[1]!thsiFinD("ths_adjustment_nv_fund",Y$3,$A137))</x:f>
        <x:v>#NAME?</x:v>
      </x:c>
      <x:c r="Z137" s="146" t="e">
        <x:f>IF($A137="","",[1]!thsiFinD("ths_adjustment_nv_fund",Z$3,$A137))</x:f>
        <x:v>#NAME?</x:v>
      </x:c>
      <x:c r="AA137" s="146" t="e">
        <x:f>IF($A137="","",[1]!thsiFinD("ths_adjustment_nv_fund",AA$3,$A137))</x:f>
        <x:v>#NAME?</x:v>
      </x:c>
    </x:row>
    <x:row r="138">
      <x:c r="B138" s="146" t="e">
        <x:f>IF($A138="","",[1]!thsiFinD("ths_adjustment_nv_fund",B$3,$A138))</x:f>
        <x:v>#NAME?</x:v>
      </x:c>
      <x:c r="C138" s="146" t="e">
        <x:f>IF($A138="","",[1]!thsiFinD("ths_adjustment_nv_fund",C$3,$A138))</x:f>
        <x:v>#NAME?</x:v>
      </x:c>
      <x:c r="D138" s="146" t="e">
        <x:f>IF($A138="","",[1]!thsiFinD("ths_adjustment_nv_fund",D$3,$A138))</x:f>
        <x:v>#NAME?</x:v>
      </x:c>
      <x:c r="E138" s="146" t="e">
        <x:f>IF($A138="","",[1]!thsiFinD("ths_adjustment_nv_fund",E$3,$A138))</x:f>
        <x:v>#NAME?</x:v>
      </x:c>
      <x:c r="F138" s="146" t="e">
        <x:f>IF($A138="","",[1]!thsiFinD("ths_adjustment_nv_fund",F$3,$A138))</x:f>
        <x:v>#NAME?</x:v>
      </x:c>
      <x:c r="G138" s="146" t="e">
        <x:f>IF($A138="","",[1]!thsiFinD("ths_adjustment_nv_fund",G$3,$A138))</x:f>
        <x:v>#NAME?</x:v>
      </x:c>
      <x:c r="H138" s="146" t="e">
        <x:f>IF($A138="","",[1]!thsiFinD("ths_adjustment_nv_fund",H$3,$A138))</x:f>
        <x:v>#NAME?</x:v>
      </x:c>
      <x:c r="I138" s="146" t="e">
        <x:f>IF($A138="","",[1]!thsiFinD("ths_adjustment_nv_fund",I$3,$A138))</x:f>
        <x:v>#NAME?</x:v>
      </x:c>
      <x:c r="J138" s="146" t="e">
        <x:f>IF($A138="","",[1]!thsiFinD("ths_adjustment_nv_fund",J$3,$A138))</x:f>
        <x:v>#NAME?</x:v>
      </x:c>
      <x:c r="K138" s="146" t="e">
        <x:f>IF($A138="","",[1]!thsiFinD("ths_adjustment_nv_fund",K$3,$A138))</x:f>
        <x:v>#NAME?</x:v>
      </x:c>
      <x:c r="L138" s="146" t="e">
        <x:f>IF($A138="","",[1]!thsiFinD("ths_adjustment_nv_fund",L$3,$A138))</x:f>
        <x:v>#NAME?</x:v>
      </x:c>
      <x:c r="M138" s="146" t="e">
        <x:f>IF($A138="","",[1]!thsiFinD("ths_adjustment_nv_fund",M$3,$A138))</x:f>
        <x:v>#NAME?</x:v>
      </x:c>
      <x:c r="N138" s="146" t="e">
        <x:f>IF($A138="","",[1]!thsiFinD("ths_adjustment_nv_fund",N$3,$A138))</x:f>
        <x:v>#NAME?</x:v>
      </x:c>
      <x:c r="O138" s="146" t="e">
        <x:f>IF($A138="","",[1]!thsiFinD("ths_adjustment_nv_fund",O$3,$A138))</x:f>
        <x:v>#NAME?</x:v>
      </x:c>
      <x:c r="P138" s="146" t="e">
        <x:f>IF($A138="","",[1]!thsiFinD("ths_adjustment_nv_fund",P$3,$A138))</x:f>
        <x:v>#NAME?</x:v>
      </x:c>
      <x:c r="Q138" s="146" t="e">
        <x:f>IF($A138="","",[1]!thsiFinD("ths_adjustment_nv_fund",Q$3,$A138))</x:f>
        <x:v>#NAME?</x:v>
      </x:c>
      <x:c r="R138" s="146" t="e">
        <x:f>IF($A138="","",[1]!thsiFinD("ths_adjustment_nv_fund",R$3,$A138))</x:f>
        <x:v>#NAME?</x:v>
      </x:c>
      <x:c r="S138" s="146" t="e">
        <x:f>IF($A138="","",[1]!thsiFinD("ths_adjustment_nv_fund",S$3,$A138))</x:f>
        <x:v>#NAME?</x:v>
      </x:c>
      <x:c r="T138" s="146" t="e">
        <x:f>IF($A138="","",[1]!thsiFinD("ths_adjustment_nv_fund",T$3,$A138))</x:f>
        <x:v>#NAME?</x:v>
      </x:c>
      <x:c r="U138" s="146" t="e">
        <x:f>IF($A138="","",[1]!thsiFinD("ths_adjustment_nv_fund",U$3,$A138))</x:f>
        <x:v>#NAME?</x:v>
      </x:c>
      <x:c r="V138" s="146" t="e">
        <x:f>IF($A138="","",[1]!thsiFinD("ths_adjustment_nv_fund",V$3,$A138))</x:f>
        <x:v>#NAME?</x:v>
      </x:c>
      <x:c r="W138" s="146" t="e">
        <x:f>IF($A138="","",[1]!thsiFinD("ths_adjustment_nv_fund",W$3,$A138))</x:f>
        <x:v>#NAME?</x:v>
      </x:c>
      <x:c r="X138" s="146" t="e">
        <x:f>IF($A138="","",[1]!thsiFinD("ths_adjustment_nv_fund",X$3,$A138))</x:f>
        <x:v>#NAME?</x:v>
      </x:c>
      <x:c r="Y138" s="146" t="e">
        <x:f>IF($A138="","",[1]!thsiFinD("ths_adjustment_nv_fund",Y$3,$A138))</x:f>
        <x:v>#NAME?</x:v>
      </x:c>
      <x:c r="Z138" s="146" t="e">
        <x:f>IF($A138="","",[1]!thsiFinD("ths_adjustment_nv_fund",Z$3,$A138))</x:f>
        <x:v>#NAME?</x:v>
      </x:c>
      <x:c r="AA138" s="146" t="e">
        <x:f>IF($A138="","",[1]!thsiFinD("ths_adjustment_nv_fund",AA$3,$A138))</x:f>
        <x:v>#NAME?</x:v>
      </x:c>
    </x:row>
    <x:row r="139">
      <x:c r="B139" s="146" t="e">
        <x:f>IF($A139="","",[1]!thsiFinD("ths_adjustment_nv_fund",B$3,$A139))</x:f>
        <x:v>#NAME?</x:v>
      </x:c>
      <x:c r="C139" s="146" t="e">
        <x:f>IF($A139="","",[1]!thsiFinD("ths_adjustment_nv_fund",C$3,$A139))</x:f>
        <x:v>#NAME?</x:v>
      </x:c>
      <x:c r="D139" s="146" t="e">
        <x:f>IF($A139="","",[1]!thsiFinD("ths_adjustment_nv_fund",D$3,$A139))</x:f>
        <x:v>#NAME?</x:v>
      </x:c>
      <x:c r="E139" s="146" t="e">
        <x:f>IF($A139="","",[1]!thsiFinD("ths_adjustment_nv_fund",E$3,$A139))</x:f>
        <x:v>#NAME?</x:v>
      </x:c>
      <x:c r="F139" s="146" t="e">
        <x:f>IF($A139="","",[1]!thsiFinD("ths_adjustment_nv_fund",F$3,$A139))</x:f>
        <x:v>#NAME?</x:v>
      </x:c>
      <x:c r="G139" s="146" t="e">
        <x:f>IF($A139="","",[1]!thsiFinD("ths_adjustment_nv_fund",G$3,$A139))</x:f>
        <x:v>#NAME?</x:v>
      </x:c>
      <x:c r="H139" s="146" t="e">
        <x:f>IF($A139="","",[1]!thsiFinD("ths_adjustment_nv_fund",H$3,$A139))</x:f>
        <x:v>#NAME?</x:v>
      </x:c>
      <x:c r="I139" s="146" t="e">
        <x:f>IF($A139="","",[1]!thsiFinD("ths_adjustment_nv_fund",I$3,$A139))</x:f>
        <x:v>#NAME?</x:v>
      </x:c>
      <x:c r="J139" s="146" t="e">
        <x:f>IF($A139="","",[1]!thsiFinD("ths_adjustment_nv_fund",J$3,$A139))</x:f>
        <x:v>#NAME?</x:v>
      </x:c>
      <x:c r="K139" s="146" t="e">
        <x:f>IF($A139="","",[1]!thsiFinD("ths_adjustment_nv_fund",K$3,$A139))</x:f>
        <x:v>#NAME?</x:v>
      </x:c>
      <x:c r="L139" s="146" t="e">
        <x:f>IF($A139="","",[1]!thsiFinD("ths_adjustment_nv_fund",L$3,$A139))</x:f>
        <x:v>#NAME?</x:v>
      </x:c>
      <x:c r="M139" s="146" t="e">
        <x:f>IF($A139="","",[1]!thsiFinD("ths_adjustment_nv_fund",M$3,$A139))</x:f>
        <x:v>#NAME?</x:v>
      </x:c>
      <x:c r="N139" s="146" t="e">
        <x:f>IF($A139="","",[1]!thsiFinD("ths_adjustment_nv_fund",N$3,$A139))</x:f>
        <x:v>#NAME?</x:v>
      </x:c>
      <x:c r="O139" s="146" t="e">
        <x:f>IF($A139="","",[1]!thsiFinD("ths_adjustment_nv_fund",O$3,$A139))</x:f>
        <x:v>#NAME?</x:v>
      </x:c>
      <x:c r="P139" s="146" t="e">
        <x:f>IF($A139="","",[1]!thsiFinD("ths_adjustment_nv_fund",P$3,$A139))</x:f>
        <x:v>#NAME?</x:v>
      </x:c>
      <x:c r="Q139" s="146" t="e">
        <x:f>IF($A139="","",[1]!thsiFinD("ths_adjustment_nv_fund",Q$3,$A139))</x:f>
        <x:v>#NAME?</x:v>
      </x:c>
      <x:c r="R139" s="146" t="e">
        <x:f>IF($A139="","",[1]!thsiFinD("ths_adjustment_nv_fund",R$3,$A139))</x:f>
        <x:v>#NAME?</x:v>
      </x:c>
      <x:c r="S139" s="146" t="e">
        <x:f>IF($A139="","",[1]!thsiFinD("ths_adjustment_nv_fund",S$3,$A139))</x:f>
        <x:v>#NAME?</x:v>
      </x:c>
      <x:c r="T139" s="146" t="e">
        <x:f>IF($A139="","",[1]!thsiFinD("ths_adjustment_nv_fund",T$3,$A139))</x:f>
        <x:v>#NAME?</x:v>
      </x:c>
      <x:c r="U139" s="146" t="e">
        <x:f>IF($A139="","",[1]!thsiFinD("ths_adjustment_nv_fund",U$3,$A139))</x:f>
        <x:v>#NAME?</x:v>
      </x:c>
      <x:c r="V139" s="146" t="e">
        <x:f>IF($A139="","",[1]!thsiFinD("ths_adjustment_nv_fund",V$3,$A139))</x:f>
        <x:v>#NAME?</x:v>
      </x:c>
      <x:c r="W139" s="146" t="e">
        <x:f>IF($A139="","",[1]!thsiFinD("ths_adjustment_nv_fund",W$3,$A139))</x:f>
        <x:v>#NAME?</x:v>
      </x:c>
      <x:c r="X139" s="146" t="e">
        <x:f>IF($A139="","",[1]!thsiFinD("ths_adjustment_nv_fund",X$3,$A139))</x:f>
        <x:v>#NAME?</x:v>
      </x:c>
      <x:c r="Y139" s="146" t="e">
        <x:f>IF($A139="","",[1]!thsiFinD("ths_adjustment_nv_fund",Y$3,$A139))</x:f>
        <x:v>#NAME?</x:v>
      </x:c>
      <x:c r="Z139" s="146" t="e">
        <x:f>IF($A139="","",[1]!thsiFinD("ths_adjustment_nv_fund",Z$3,$A139))</x:f>
        <x:v>#NAME?</x:v>
      </x:c>
      <x:c r="AA139" s="146" t="e">
        <x:f>IF($A139="","",[1]!thsiFinD("ths_adjustment_nv_fund",AA$3,$A139))</x:f>
        <x:v>#NAME?</x:v>
      </x:c>
    </x:row>
    <x:row r="140">
      <x:c r="B140" s="146" t="e">
        <x:f>IF($A140="","",[1]!thsiFinD("ths_adjustment_nv_fund",B$3,$A140))</x:f>
        <x:v>#NAME?</x:v>
      </x:c>
      <x:c r="C140" s="146" t="e">
        <x:f>IF($A140="","",[1]!thsiFinD("ths_adjustment_nv_fund",C$3,$A140))</x:f>
        <x:v>#NAME?</x:v>
      </x:c>
      <x:c r="D140" s="146" t="e">
        <x:f>IF($A140="","",[1]!thsiFinD("ths_adjustment_nv_fund",D$3,$A140))</x:f>
        <x:v>#NAME?</x:v>
      </x:c>
      <x:c r="E140" s="146" t="e">
        <x:f>IF($A140="","",[1]!thsiFinD("ths_adjustment_nv_fund",E$3,$A140))</x:f>
        <x:v>#NAME?</x:v>
      </x:c>
      <x:c r="F140" s="146" t="e">
        <x:f>IF($A140="","",[1]!thsiFinD("ths_adjustment_nv_fund",F$3,$A140))</x:f>
        <x:v>#NAME?</x:v>
      </x:c>
      <x:c r="G140" s="146" t="e">
        <x:f>IF($A140="","",[1]!thsiFinD("ths_adjustment_nv_fund",G$3,$A140))</x:f>
        <x:v>#NAME?</x:v>
      </x:c>
      <x:c r="H140" s="146" t="e">
        <x:f>IF($A140="","",[1]!thsiFinD("ths_adjustment_nv_fund",H$3,$A140))</x:f>
        <x:v>#NAME?</x:v>
      </x:c>
      <x:c r="I140" s="146" t="e">
        <x:f>IF($A140="","",[1]!thsiFinD("ths_adjustment_nv_fund",I$3,$A140))</x:f>
        <x:v>#NAME?</x:v>
      </x:c>
      <x:c r="J140" s="146" t="e">
        <x:f>IF($A140="","",[1]!thsiFinD("ths_adjustment_nv_fund",J$3,$A140))</x:f>
        <x:v>#NAME?</x:v>
      </x:c>
      <x:c r="K140" s="146" t="e">
        <x:f>IF($A140="","",[1]!thsiFinD("ths_adjustment_nv_fund",K$3,$A140))</x:f>
        <x:v>#NAME?</x:v>
      </x:c>
      <x:c r="L140" s="146" t="e">
        <x:f>IF($A140="","",[1]!thsiFinD("ths_adjustment_nv_fund",L$3,$A140))</x:f>
        <x:v>#NAME?</x:v>
      </x:c>
      <x:c r="M140" s="146" t="e">
        <x:f>IF($A140="","",[1]!thsiFinD("ths_adjustment_nv_fund",M$3,$A140))</x:f>
        <x:v>#NAME?</x:v>
      </x:c>
      <x:c r="N140" s="146" t="e">
        <x:f>IF($A140="","",[1]!thsiFinD("ths_adjustment_nv_fund",N$3,$A140))</x:f>
        <x:v>#NAME?</x:v>
      </x:c>
      <x:c r="O140" s="146" t="e">
        <x:f>IF($A140="","",[1]!thsiFinD("ths_adjustment_nv_fund",O$3,$A140))</x:f>
        <x:v>#NAME?</x:v>
      </x:c>
      <x:c r="P140" s="146" t="e">
        <x:f>IF($A140="","",[1]!thsiFinD("ths_adjustment_nv_fund",P$3,$A140))</x:f>
        <x:v>#NAME?</x:v>
      </x:c>
      <x:c r="Q140" s="146" t="e">
        <x:f>IF($A140="","",[1]!thsiFinD("ths_adjustment_nv_fund",Q$3,$A140))</x:f>
        <x:v>#NAME?</x:v>
      </x:c>
      <x:c r="R140" s="146" t="e">
        <x:f>IF($A140="","",[1]!thsiFinD("ths_adjustment_nv_fund",R$3,$A140))</x:f>
        <x:v>#NAME?</x:v>
      </x:c>
      <x:c r="S140" s="146" t="e">
        <x:f>IF($A140="","",[1]!thsiFinD("ths_adjustment_nv_fund",S$3,$A140))</x:f>
        <x:v>#NAME?</x:v>
      </x:c>
      <x:c r="T140" s="146" t="e">
        <x:f>IF($A140="","",[1]!thsiFinD("ths_adjustment_nv_fund",T$3,$A140))</x:f>
        <x:v>#NAME?</x:v>
      </x:c>
      <x:c r="U140" s="146" t="e">
        <x:f>IF($A140="","",[1]!thsiFinD("ths_adjustment_nv_fund",U$3,$A140))</x:f>
        <x:v>#NAME?</x:v>
      </x:c>
      <x:c r="V140" s="146" t="e">
        <x:f>IF($A140="","",[1]!thsiFinD("ths_adjustment_nv_fund",V$3,$A140))</x:f>
        <x:v>#NAME?</x:v>
      </x:c>
      <x:c r="W140" s="146" t="e">
        <x:f>IF($A140="","",[1]!thsiFinD("ths_adjustment_nv_fund",W$3,$A140))</x:f>
        <x:v>#NAME?</x:v>
      </x:c>
      <x:c r="X140" s="146" t="e">
        <x:f>IF($A140="","",[1]!thsiFinD("ths_adjustment_nv_fund",X$3,$A140))</x:f>
        <x:v>#NAME?</x:v>
      </x:c>
      <x:c r="Y140" s="146" t="e">
        <x:f>IF($A140="","",[1]!thsiFinD("ths_adjustment_nv_fund",Y$3,$A140))</x:f>
        <x:v>#NAME?</x:v>
      </x:c>
      <x:c r="Z140" s="146" t="e">
        <x:f>IF($A140="","",[1]!thsiFinD("ths_adjustment_nv_fund",Z$3,$A140))</x:f>
        <x:v>#NAME?</x:v>
      </x:c>
      <x:c r="AA140" s="146" t="e">
        <x:f>IF($A140="","",[1]!thsiFinD("ths_adjustment_nv_fund",AA$3,$A140))</x:f>
        <x:v>#NAME?</x:v>
      </x:c>
    </x:row>
    <x:row r="141">
      <x:c r="B141" s="146" t="e">
        <x:f>IF($A141="","",[1]!thsiFinD("ths_adjustment_nv_fund",B$3,$A141))</x:f>
        <x:v>#NAME?</x:v>
      </x:c>
      <x:c r="C141" s="146" t="e">
        <x:f>IF($A141="","",[1]!thsiFinD("ths_adjustment_nv_fund",C$3,$A141))</x:f>
        <x:v>#NAME?</x:v>
      </x:c>
      <x:c r="D141" s="146" t="e">
        <x:f>IF($A141="","",[1]!thsiFinD("ths_adjustment_nv_fund",D$3,$A141))</x:f>
        <x:v>#NAME?</x:v>
      </x:c>
      <x:c r="E141" s="146" t="e">
        <x:f>IF($A141="","",[1]!thsiFinD("ths_adjustment_nv_fund",E$3,$A141))</x:f>
        <x:v>#NAME?</x:v>
      </x:c>
      <x:c r="F141" s="146" t="e">
        <x:f>IF($A141="","",[1]!thsiFinD("ths_adjustment_nv_fund",F$3,$A141))</x:f>
        <x:v>#NAME?</x:v>
      </x:c>
      <x:c r="G141" s="146" t="e">
        <x:f>IF($A141="","",[1]!thsiFinD("ths_adjustment_nv_fund",G$3,$A141))</x:f>
        <x:v>#NAME?</x:v>
      </x:c>
      <x:c r="H141" s="146" t="e">
        <x:f>IF($A141="","",[1]!thsiFinD("ths_adjustment_nv_fund",H$3,$A141))</x:f>
        <x:v>#NAME?</x:v>
      </x:c>
      <x:c r="I141" s="146" t="e">
        <x:f>IF($A141="","",[1]!thsiFinD("ths_adjustment_nv_fund",I$3,$A141))</x:f>
        <x:v>#NAME?</x:v>
      </x:c>
      <x:c r="J141" s="146" t="e">
        <x:f>IF($A141="","",[1]!thsiFinD("ths_adjustment_nv_fund",J$3,$A141))</x:f>
        <x:v>#NAME?</x:v>
      </x:c>
      <x:c r="K141" s="146" t="e">
        <x:f>IF($A141="","",[1]!thsiFinD("ths_adjustment_nv_fund",K$3,$A141))</x:f>
        <x:v>#NAME?</x:v>
      </x:c>
      <x:c r="L141" s="146" t="e">
        <x:f>IF($A141="","",[1]!thsiFinD("ths_adjustment_nv_fund",L$3,$A141))</x:f>
        <x:v>#NAME?</x:v>
      </x:c>
      <x:c r="M141" s="146" t="e">
        <x:f>IF($A141="","",[1]!thsiFinD("ths_adjustment_nv_fund",M$3,$A141))</x:f>
        <x:v>#NAME?</x:v>
      </x:c>
      <x:c r="N141" s="146" t="e">
        <x:f>IF($A141="","",[1]!thsiFinD("ths_adjustment_nv_fund",N$3,$A141))</x:f>
        <x:v>#NAME?</x:v>
      </x:c>
      <x:c r="O141" s="146" t="e">
        <x:f>IF($A141="","",[1]!thsiFinD("ths_adjustment_nv_fund",O$3,$A141))</x:f>
        <x:v>#NAME?</x:v>
      </x:c>
      <x:c r="P141" s="146" t="e">
        <x:f>IF($A141="","",[1]!thsiFinD("ths_adjustment_nv_fund",P$3,$A141))</x:f>
        <x:v>#NAME?</x:v>
      </x:c>
      <x:c r="Q141" s="146" t="e">
        <x:f>IF($A141="","",[1]!thsiFinD("ths_adjustment_nv_fund",Q$3,$A141))</x:f>
        <x:v>#NAME?</x:v>
      </x:c>
      <x:c r="R141" s="146" t="e">
        <x:f>IF($A141="","",[1]!thsiFinD("ths_adjustment_nv_fund",R$3,$A141))</x:f>
        <x:v>#NAME?</x:v>
      </x:c>
      <x:c r="S141" s="146" t="e">
        <x:f>IF($A141="","",[1]!thsiFinD("ths_adjustment_nv_fund",S$3,$A141))</x:f>
        <x:v>#NAME?</x:v>
      </x:c>
      <x:c r="T141" s="146" t="e">
        <x:f>IF($A141="","",[1]!thsiFinD("ths_adjustment_nv_fund",T$3,$A141))</x:f>
        <x:v>#NAME?</x:v>
      </x:c>
      <x:c r="U141" s="146" t="e">
        <x:f>IF($A141="","",[1]!thsiFinD("ths_adjustment_nv_fund",U$3,$A141))</x:f>
        <x:v>#NAME?</x:v>
      </x:c>
      <x:c r="V141" s="146" t="e">
        <x:f>IF($A141="","",[1]!thsiFinD("ths_adjustment_nv_fund",V$3,$A141))</x:f>
        <x:v>#NAME?</x:v>
      </x:c>
      <x:c r="W141" s="146" t="e">
        <x:f>IF($A141="","",[1]!thsiFinD("ths_adjustment_nv_fund",W$3,$A141))</x:f>
        <x:v>#NAME?</x:v>
      </x:c>
      <x:c r="X141" s="146" t="e">
        <x:f>IF($A141="","",[1]!thsiFinD("ths_adjustment_nv_fund",X$3,$A141))</x:f>
        <x:v>#NAME?</x:v>
      </x:c>
      <x:c r="Y141" s="146" t="e">
        <x:f>IF($A141="","",[1]!thsiFinD("ths_adjustment_nv_fund",Y$3,$A141))</x:f>
        <x:v>#NAME?</x:v>
      </x:c>
      <x:c r="Z141" s="146" t="e">
        <x:f>IF($A141="","",[1]!thsiFinD("ths_adjustment_nv_fund",Z$3,$A141))</x:f>
        <x:v>#NAME?</x:v>
      </x:c>
      <x:c r="AA141" s="146" t="e">
        <x:f>IF($A141="","",[1]!thsiFinD("ths_adjustment_nv_fund",AA$3,$A141))</x:f>
        <x:v>#NAME?</x:v>
      </x:c>
    </x:row>
    <x:row r="142">
      <x:c r="B142" s="146" t="e">
        <x:f>IF($A142="","",[1]!thsiFinD("ths_adjustment_nv_fund",B$3,$A142))</x:f>
        <x:v>#NAME?</x:v>
      </x:c>
      <x:c r="C142" s="146" t="e">
        <x:f>IF($A142="","",[1]!thsiFinD("ths_adjustment_nv_fund",C$3,$A142))</x:f>
        <x:v>#NAME?</x:v>
      </x:c>
      <x:c r="D142" s="146" t="e">
        <x:f>IF($A142="","",[1]!thsiFinD("ths_adjustment_nv_fund",D$3,$A142))</x:f>
        <x:v>#NAME?</x:v>
      </x:c>
      <x:c r="E142" s="146" t="e">
        <x:f>IF($A142="","",[1]!thsiFinD("ths_adjustment_nv_fund",E$3,$A142))</x:f>
        <x:v>#NAME?</x:v>
      </x:c>
      <x:c r="F142" s="146" t="e">
        <x:f>IF($A142="","",[1]!thsiFinD("ths_adjustment_nv_fund",F$3,$A142))</x:f>
        <x:v>#NAME?</x:v>
      </x:c>
      <x:c r="G142" s="146" t="e">
        <x:f>IF($A142="","",[1]!thsiFinD("ths_adjustment_nv_fund",G$3,$A142))</x:f>
        <x:v>#NAME?</x:v>
      </x:c>
      <x:c r="H142" s="146" t="e">
        <x:f>IF($A142="","",[1]!thsiFinD("ths_adjustment_nv_fund",H$3,$A142))</x:f>
        <x:v>#NAME?</x:v>
      </x:c>
      <x:c r="I142" s="146" t="e">
        <x:f>IF($A142="","",[1]!thsiFinD("ths_adjustment_nv_fund",I$3,$A142))</x:f>
        <x:v>#NAME?</x:v>
      </x:c>
      <x:c r="J142" s="146" t="e">
        <x:f>IF($A142="","",[1]!thsiFinD("ths_adjustment_nv_fund",J$3,$A142))</x:f>
        <x:v>#NAME?</x:v>
      </x:c>
      <x:c r="K142" s="146" t="e">
        <x:f>IF($A142="","",[1]!thsiFinD("ths_adjustment_nv_fund",K$3,$A142))</x:f>
        <x:v>#NAME?</x:v>
      </x:c>
      <x:c r="L142" s="146" t="e">
        <x:f>IF($A142="","",[1]!thsiFinD("ths_adjustment_nv_fund",L$3,$A142))</x:f>
        <x:v>#NAME?</x:v>
      </x:c>
      <x:c r="M142" s="146" t="e">
        <x:f>IF($A142="","",[1]!thsiFinD("ths_adjustment_nv_fund",M$3,$A142))</x:f>
        <x:v>#NAME?</x:v>
      </x:c>
      <x:c r="N142" s="146" t="e">
        <x:f>IF($A142="","",[1]!thsiFinD("ths_adjustment_nv_fund",N$3,$A142))</x:f>
        <x:v>#NAME?</x:v>
      </x:c>
      <x:c r="O142" s="146" t="e">
        <x:f>IF($A142="","",[1]!thsiFinD("ths_adjustment_nv_fund",O$3,$A142))</x:f>
        <x:v>#NAME?</x:v>
      </x:c>
      <x:c r="P142" s="146" t="e">
        <x:f>IF($A142="","",[1]!thsiFinD("ths_adjustment_nv_fund",P$3,$A142))</x:f>
        <x:v>#NAME?</x:v>
      </x:c>
      <x:c r="Q142" s="146" t="e">
        <x:f>IF($A142="","",[1]!thsiFinD("ths_adjustment_nv_fund",Q$3,$A142))</x:f>
        <x:v>#NAME?</x:v>
      </x:c>
      <x:c r="R142" s="146" t="e">
        <x:f>IF($A142="","",[1]!thsiFinD("ths_adjustment_nv_fund",R$3,$A142))</x:f>
        <x:v>#NAME?</x:v>
      </x:c>
      <x:c r="S142" s="146" t="e">
        <x:f>IF($A142="","",[1]!thsiFinD("ths_adjustment_nv_fund",S$3,$A142))</x:f>
        <x:v>#NAME?</x:v>
      </x:c>
      <x:c r="T142" s="146" t="e">
        <x:f>IF($A142="","",[1]!thsiFinD("ths_adjustment_nv_fund",T$3,$A142))</x:f>
        <x:v>#NAME?</x:v>
      </x:c>
      <x:c r="U142" s="146" t="e">
        <x:f>IF($A142="","",[1]!thsiFinD("ths_adjustment_nv_fund",U$3,$A142))</x:f>
        <x:v>#NAME?</x:v>
      </x:c>
      <x:c r="V142" s="146" t="e">
        <x:f>IF($A142="","",[1]!thsiFinD("ths_adjustment_nv_fund",V$3,$A142))</x:f>
        <x:v>#NAME?</x:v>
      </x:c>
      <x:c r="W142" s="146" t="e">
        <x:f>IF($A142="","",[1]!thsiFinD("ths_adjustment_nv_fund",W$3,$A142))</x:f>
        <x:v>#NAME?</x:v>
      </x:c>
      <x:c r="X142" s="146" t="e">
        <x:f>IF($A142="","",[1]!thsiFinD("ths_adjustment_nv_fund",X$3,$A142))</x:f>
        <x:v>#NAME?</x:v>
      </x:c>
      <x:c r="Y142" s="146" t="e">
        <x:f>IF($A142="","",[1]!thsiFinD("ths_adjustment_nv_fund",Y$3,$A142))</x:f>
        <x:v>#NAME?</x:v>
      </x:c>
      <x:c r="Z142" s="146" t="e">
        <x:f>IF($A142="","",[1]!thsiFinD("ths_adjustment_nv_fund",Z$3,$A142))</x:f>
        <x:v>#NAME?</x:v>
      </x:c>
      <x:c r="AA142" s="146" t="e">
        <x:f>IF($A142="","",[1]!thsiFinD("ths_adjustment_nv_fund",AA$3,$A142))</x:f>
        <x:v>#NAME?</x:v>
      </x:c>
    </x:row>
    <x:row r="143">
      <x:c r="B143" s="146" t="e">
        <x:f>IF($A143="","",[1]!thsiFinD("ths_adjustment_nv_fund",B$3,$A143))</x:f>
        <x:v>#NAME?</x:v>
      </x:c>
      <x:c r="C143" s="146" t="e">
        <x:f>IF($A143="","",[1]!thsiFinD("ths_adjustment_nv_fund",C$3,$A143))</x:f>
        <x:v>#NAME?</x:v>
      </x:c>
      <x:c r="D143" s="146" t="e">
        <x:f>IF($A143="","",[1]!thsiFinD("ths_adjustment_nv_fund",D$3,$A143))</x:f>
        <x:v>#NAME?</x:v>
      </x:c>
      <x:c r="E143" s="146" t="e">
        <x:f>IF($A143="","",[1]!thsiFinD("ths_adjustment_nv_fund",E$3,$A143))</x:f>
        <x:v>#NAME?</x:v>
      </x:c>
      <x:c r="F143" s="146" t="e">
        <x:f>IF($A143="","",[1]!thsiFinD("ths_adjustment_nv_fund",F$3,$A143))</x:f>
        <x:v>#NAME?</x:v>
      </x:c>
      <x:c r="G143" s="146" t="e">
        <x:f>IF($A143="","",[1]!thsiFinD("ths_adjustment_nv_fund",G$3,$A143))</x:f>
        <x:v>#NAME?</x:v>
      </x:c>
      <x:c r="H143" s="146" t="e">
        <x:f>IF($A143="","",[1]!thsiFinD("ths_adjustment_nv_fund",H$3,$A143))</x:f>
        <x:v>#NAME?</x:v>
      </x:c>
      <x:c r="I143" s="146" t="e">
        <x:f>IF($A143="","",[1]!thsiFinD("ths_adjustment_nv_fund",I$3,$A143))</x:f>
        <x:v>#NAME?</x:v>
      </x:c>
      <x:c r="J143" s="146" t="e">
        <x:f>IF($A143="","",[1]!thsiFinD("ths_adjustment_nv_fund",J$3,$A143))</x:f>
        <x:v>#NAME?</x:v>
      </x:c>
      <x:c r="K143" s="146" t="e">
        <x:f>IF($A143="","",[1]!thsiFinD("ths_adjustment_nv_fund",K$3,$A143))</x:f>
        <x:v>#NAME?</x:v>
      </x:c>
      <x:c r="L143" s="146" t="e">
        <x:f>IF($A143="","",[1]!thsiFinD("ths_adjustment_nv_fund",L$3,$A143))</x:f>
        <x:v>#NAME?</x:v>
      </x:c>
      <x:c r="M143" s="146" t="e">
        <x:f>IF($A143="","",[1]!thsiFinD("ths_adjustment_nv_fund",M$3,$A143))</x:f>
        <x:v>#NAME?</x:v>
      </x:c>
      <x:c r="N143" s="146" t="e">
        <x:f>IF($A143="","",[1]!thsiFinD("ths_adjustment_nv_fund",N$3,$A143))</x:f>
        <x:v>#NAME?</x:v>
      </x:c>
      <x:c r="O143" s="146" t="e">
        <x:f>IF($A143="","",[1]!thsiFinD("ths_adjustment_nv_fund",O$3,$A143))</x:f>
        <x:v>#NAME?</x:v>
      </x:c>
      <x:c r="P143" s="146" t="e">
        <x:f>IF($A143="","",[1]!thsiFinD("ths_adjustment_nv_fund",P$3,$A143))</x:f>
        <x:v>#NAME?</x:v>
      </x:c>
      <x:c r="Q143" s="146" t="e">
        <x:f>IF($A143="","",[1]!thsiFinD("ths_adjustment_nv_fund",Q$3,$A143))</x:f>
        <x:v>#NAME?</x:v>
      </x:c>
      <x:c r="R143" s="146" t="e">
        <x:f>IF($A143="","",[1]!thsiFinD("ths_adjustment_nv_fund",R$3,$A143))</x:f>
        <x:v>#NAME?</x:v>
      </x:c>
      <x:c r="S143" s="146" t="e">
        <x:f>IF($A143="","",[1]!thsiFinD("ths_adjustment_nv_fund",S$3,$A143))</x:f>
        <x:v>#NAME?</x:v>
      </x:c>
      <x:c r="T143" s="146" t="e">
        <x:f>IF($A143="","",[1]!thsiFinD("ths_adjustment_nv_fund",T$3,$A143))</x:f>
        <x:v>#NAME?</x:v>
      </x:c>
      <x:c r="U143" s="146" t="e">
        <x:f>IF($A143="","",[1]!thsiFinD("ths_adjustment_nv_fund",U$3,$A143))</x:f>
        <x:v>#NAME?</x:v>
      </x:c>
      <x:c r="V143" s="146" t="e">
        <x:f>IF($A143="","",[1]!thsiFinD("ths_adjustment_nv_fund",V$3,$A143))</x:f>
        <x:v>#NAME?</x:v>
      </x:c>
      <x:c r="W143" s="146" t="e">
        <x:f>IF($A143="","",[1]!thsiFinD("ths_adjustment_nv_fund",W$3,$A143))</x:f>
        <x:v>#NAME?</x:v>
      </x:c>
      <x:c r="X143" s="146" t="e">
        <x:f>IF($A143="","",[1]!thsiFinD("ths_adjustment_nv_fund",X$3,$A143))</x:f>
        <x:v>#NAME?</x:v>
      </x:c>
      <x:c r="Y143" s="146" t="e">
        <x:f>IF($A143="","",[1]!thsiFinD("ths_adjustment_nv_fund",Y$3,$A143))</x:f>
        <x:v>#NAME?</x:v>
      </x:c>
      <x:c r="Z143" s="146" t="e">
        <x:f>IF($A143="","",[1]!thsiFinD("ths_adjustment_nv_fund",Z$3,$A143))</x:f>
        <x:v>#NAME?</x:v>
      </x:c>
      <x:c r="AA143" s="146" t="e">
        <x:f>IF($A143="","",[1]!thsiFinD("ths_adjustment_nv_fund",AA$3,$A143))</x:f>
        <x:v>#NAME?</x:v>
      </x:c>
    </x:row>
    <x:row r="144">
      <x:c r="B144" s="146" t="e">
        <x:f>IF($A144="","",[1]!thsiFinD("ths_adjustment_nv_fund",B$3,$A144))</x:f>
        <x:v>#NAME?</x:v>
      </x:c>
      <x:c r="C144" s="146" t="e">
        <x:f>IF($A144="","",[1]!thsiFinD("ths_adjustment_nv_fund",C$3,$A144))</x:f>
        <x:v>#NAME?</x:v>
      </x:c>
      <x:c r="D144" s="146" t="e">
        <x:f>IF($A144="","",[1]!thsiFinD("ths_adjustment_nv_fund",D$3,$A144))</x:f>
        <x:v>#NAME?</x:v>
      </x:c>
      <x:c r="E144" s="146" t="e">
        <x:f>IF($A144="","",[1]!thsiFinD("ths_adjustment_nv_fund",E$3,$A144))</x:f>
        <x:v>#NAME?</x:v>
      </x:c>
      <x:c r="F144" s="146" t="e">
        <x:f>IF($A144="","",[1]!thsiFinD("ths_adjustment_nv_fund",F$3,$A144))</x:f>
        <x:v>#NAME?</x:v>
      </x:c>
      <x:c r="G144" s="146" t="e">
        <x:f>IF($A144="","",[1]!thsiFinD("ths_adjustment_nv_fund",G$3,$A144))</x:f>
        <x:v>#NAME?</x:v>
      </x:c>
      <x:c r="H144" s="146" t="e">
        <x:f>IF($A144="","",[1]!thsiFinD("ths_adjustment_nv_fund",H$3,$A144))</x:f>
        <x:v>#NAME?</x:v>
      </x:c>
      <x:c r="I144" s="146" t="e">
        <x:f>IF($A144="","",[1]!thsiFinD("ths_adjustment_nv_fund",I$3,$A144))</x:f>
        <x:v>#NAME?</x:v>
      </x:c>
      <x:c r="J144" s="146" t="e">
        <x:f>IF($A144="","",[1]!thsiFinD("ths_adjustment_nv_fund",J$3,$A144))</x:f>
        <x:v>#NAME?</x:v>
      </x:c>
      <x:c r="K144" s="146" t="e">
        <x:f>IF($A144="","",[1]!thsiFinD("ths_adjustment_nv_fund",K$3,$A144))</x:f>
        <x:v>#NAME?</x:v>
      </x:c>
      <x:c r="L144" s="146" t="e">
        <x:f>IF($A144="","",[1]!thsiFinD("ths_adjustment_nv_fund",L$3,$A144))</x:f>
        <x:v>#NAME?</x:v>
      </x:c>
      <x:c r="M144" s="146" t="e">
        <x:f>IF($A144="","",[1]!thsiFinD("ths_adjustment_nv_fund",M$3,$A144))</x:f>
        <x:v>#NAME?</x:v>
      </x:c>
      <x:c r="N144" s="146" t="e">
        <x:f>IF($A144="","",[1]!thsiFinD("ths_adjustment_nv_fund",N$3,$A144))</x:f>
        <x:v>#NAME?</x:v>
      </x:c>
      <x:c r="O144" s="146" t="e">
        <x:f>IF($A144="","",[1]!thsiFinD("ths_adjustment_nv_fund",O$3,$A144))</x:f>
        <x:v>#NAME?</x:v>
      </x:c>
      <x:c r="P144" s="146" t="e">
        <x:f>IF($A144="","",[1]!thsiFinD("ths_adjustment_nv_fund",P$3,$A144))</x:f>
        <x:v>#NAME?</x:v>
      </x:c>
      <x:c r="Q144" s="146" t="e">
        <x:f>IF($A144="","",[1]!thsiFinD("ths_adjustment_nv_fund",Q$3,$A144))</x:f>
        <x:v>#NAME?</x:v>
      </x:c>
      <x:c r="R144" s="146" t="e">
        <x:f>IF($A144="","",[1]!thsiFinD("ths_adjustment_nv_fund",R$3,$A144))</x:f>
        <x:v>#NAME?</x:v>
      </x:c>
      <x:c r="S144" s="146" t="e">
        <x:f>IF($A144="","",[1]!thsiFinD("ths_adjustment_nv_fund",S$3,$A144))</x:f>
        <x:v>#NAME?</x:v>
      </x:c>
      <x:c r="T144" s="146" t="e">
        <x:f>IF($A144="","",[1]!thsiFinD("ths_adjustment_nv_fund",T$3,$A144))</x:f>
        <x:v>#NAME?</x:v>
      </x:c>
      <x:c r="U144" s="146" t="e">
        <x:f>IF($A144="","",[1]!thsiFinD("ths_adjustment_nv_fund",U$3,$A144))</x:f>
        <x:v>#NAME?</x:v>
      </x:c>
      <x:c r="V144" s="146" t="e">
        <x:f>IF($A144="","",[1]!thsiFinD("ths_adjustment_nv_fund",V$3,$A144))</x:f>
        <x:v>#NAME?</x:v>
      </x:c>
      <x:c r="W144" s="146" t="e">
        <x:f>IF($A144="","",[1]!thsiFinD("ths_adjustment_nv_fund",W$3,$A144))</x:f>
        <x:v>#NAME?</x:v>
      </x:c>
      <x:c r="X144" s="146" t="e">
        <x:f>IF($A144="","",[1]!thsiFinD("ths_adjustment_nv_fund",X$3,$A144))</x:f>
        <x:v>#NAME?</x:v>
      </x:c>
      <x:c r="Y144" s="146" t="e">
        <x:f>IF($A144="","",[1]!thsiFinD("ths_adjustment_nv_fund",Y$3,$A144))</x:f>
        <x:v>#NAME?</x:v>
      </x:c>
      <x:c r="Z144" s="146" t="e">
        <x:f>IF($A144="","",[1]!thsiFinD("ths_adjustment_nv_fund",Z$3,$A144))</x:f>
        <x:v>#NAME?</x:v>
      </x:c>
      <x:c r="AA144" s="146" t="e">
        <x:f>IF($A144="","",[1]!thsiFinD("ths_adjustment_nv_fund",AA$3,$A144))</x:f>
        <x:v>#NAME?</x:v>
      </x:c>
    </x:row>
    <x:row r="145">
      <x:c r="B145" s="146" t="e">
        <x:f>IF($A145="","",[1]!thsiFinD("ths_adjustment_nv_fund",B$3,$A145))</x:f>
        <x:v>#NAME?</x:v>
      </x:c>
      <x:c r="C145" s="146" t="e">
        <x:f>IF($A145="","",[1]!thsiFinD("ths_adjustment_nv_fund",C$3,$A145))</x:f>
        <x:v>#NAME?</x:v>
      </x:c>
      <x:c r="D145" s="146" t="e">
        <x:f>IF($A145="","",[1]!thsiFinD("ths_adjustment_nv_fund",D$3,$A145))</x:f>
        <x:v>#NAME?</x:v>
      </x:c>
      <x:c r="E145" s="146" t="e">
        <x:f>IF($A145="","",[1]!thsiFinD("ths_adjustment_nv_fund",E$3,$A145))</x:f>
        <x:v>#NAME?</x:v>
      </x:c>
      <x:c r="F145" s="146" t="e">
        <x:f>IF($A145="","",[1]!thsiFinD("ths_adjustment_nv_fund",F$3,$A145))</x:f>
        <x:v>#NAME?</x:v>
      </x:c>
      <x:c r="G145" s="146" t="e">
        <x:f>IF($A145="","",[1]!thsiFinD("ths_adjustment_nv_fund",G$3,$A145))</x:f>
        <x:v>#NAME?</x:v>
      </x:c>
      <x:c r="H145" s="146" t="e">
        <x:f>IF($A145="","",[1]!thsiFinD("ths_adjustment_nv_fund",H$3,$A145))</x:f>
        <x:v>#NAME?</x:v>
      </x:c>
      <x:c r="I145" s="146" t="e">
        <x:f>IF($A145="","",[1]!thsiFinD("ths_adjustment_nv_fund",I$3,$A145))</x:f>
        <x:v>#NAME?</x:v>
      </x:c>
      <x:c r="J145" s="146" t="e">
        <x:f>IF($A145="","",[1]!thsiFinD("ths_adjustment_nv_fund",J$3,$A145))</x:f>
        <x:v>#NAME?</x:v>
      </x:c>
      <x:c r="K145" s="146" t="e">
        <x:f>IF($A145="","",[1]!thsiFinD("ths_adjustment_nv_fund",K$3,$A145))</x:f>
        <x:v>#NAME?</x:v>
      </x:c>
      <x:c r="L145" s="146" t="e">
        <x:f>IF($A145="","",[1]!thsiFinD("ths_adjustment_nv_fund",L$3,$A145))</x:f>
        <x:v>#NAME?</x:v>
      </x:c>
      <x:c r="M145" s="146" t="e">
        <x:f>IF($A145="","",[1]!thsiFinD("ths_adjustment_nv_fund",M$3,$A145))</x:f>
        <x:v>#NAME?</x:v>
      </x:c>
      <x:c r="N145" s="146" t="e">
        <x:f>IF($A145="","",[1]!thsiFinD("ths_adjustment_nv_fund",N$3,$A145))</x:f>
        <x:v>#NAME?</x:v>
      </x:c>
      <x:c r="O145" s="146" t="e">
        <x:f>IF($A145="","",[1]!thsiFinD("ths_adjustment_nv_fund",O$3,$A145))</x:f>
        <x:v>#NAME?</x:v>
      </x:c>
      <x:c r="P145" s="146" t="e">
        <x:f>IF($A145="","",[1]!thsiFinD("ths_adjustment_nv_fund",P$3,$A145))</x:f>
        <x:v>#NAME?</x:v>
      </x:c>
      <x:c r="Q145" s="146" t="e">
        <x:f>IF($A145="","",[1]!thsiFinD("ths_adjustment_nv_fund",Q$3,$A145))</x:f>
        <x:v>#NAME?</x:v>
      </x:c>
      <x:c r="R145" s="146" t="e">
        <x:f>IF($A145="","",[1]!thsiFinD("ths_adjustment_nv_fund",R$3,$A145))</x:f>
        <x:v>#NAME?</x:v>
      </x:c>
      <x:c r="S145" s="146" t="e">
        <x:f>IF($A145="","",[1]!thsiFinD("ths_adjustment_nv_fund",S$3,$A145))</x:f>
        <x:v>#NAME?</x:v>
      </x:c>
      <x:c r="T145" s="146" t="e">
        <x:f>IF($A145="","",[1]!thsiFinD("ths_adjustment_nv_fund",T$3,$A145))</x:f>
        <x:v>#NAME?</x:v>
      </x:c>
      <x:c r="U145" s="146" t="e">
        <x:f>IF($A145="","",[1]!thsiFinD("ths_adjustment_nv_fund",U$3,$A145))</x:f>
        <x:v>#NAME?</x:v>
      </x:c>
      <x:c r="V145" s="146" t="e">
        <x:f>IF($A145="","",[1]!thsiFinD("ths_adjustment_nv_fund",V$3,$A145))</x:f>
        <x:v>#NAME?</x:v>
      </x:c>
      <x:c r="W145" s="146" t="e">
        <x:f>IF($A145="","",[1]!thsiFinD("ths_adjustment_nv_fund",W$3,$A145))</x:f>
        <x:v>#NAME?</x:v>
      </x:c>
      <x:c r="X145" s="146" t="e">
        <x:f>IF($A145="","",[1]!thsiFinD("ths_adjustment_nv_fund",X$3,$A145))</x:f>
        <x:v>#NAME?</x:v>
      </x:c>
      <x:c r="Y145" s="146" t="e">
        <x:f>IF($A145="","",[1]!thsiFinD("ths_adjustment_nv_fund",Y$3,$A145))</x:f>
        <x:v>#NAME?</x:v>
      </x:c>
      <x:c r="Z145" s="146" t="e">
        <x:f>IF($A145="","",[1]!thsiFinD("ths_adjustment_nv_fund",Z$3,$A145))</x:f>
        <x:v>#NAME?</x:v>
      </x:c>
      <x:c r="AA145" s="146" t="e">
        <x:f>IF($A145="","",[1]!thsiFinD("ths_adjustment_nv_fund",AA$3,$A145))</x:f>
        <x:v>#NAME?</x:v>
      </x:c>
    </x:row>
    <x:row r="146">
      <x:c r="B146" s="146" t="e">
        <x:f>IF($A146="","",[1]!thsiFinD("ths_adjustment_nv_fund",B$3,$A146))</x:f>
        <x:v>#NAME?</x:v>
      </x:c>
      <x:c r="C146" s="146" t="e">
        <x:f>IF($A146="","",[1]!thsiFinD("ths_adjustment_nv_fund",C$3,$A146))</x:f>
        <x:v>#NAME?</x:v>
      </x:c>
      <x:c r="D146" s="146" t="e">
        <x:f>IF($A146="","",[1]!thsiFinD("ths_adjustment_nv_fund",D$3,$A146))</x:f>
        <x:v>#NAME?</x:v>
      </x:c>
      <x:c r="E146" s="146" t="e">
        <x:f>IF($A146="","",[1]!thsiFinD("ths_adjustment_nv_fund",E$3,$A146))</x:f>
        <x:v>#NAME?</x:v>
      </x:c>
      <x:c r="F146" s="146" t="e">
        <x:f>IF($A146="","",[1]!thsiFinD("ths_adjustment_nv_fund",F$3,$A146))</x:f>
        <x:v>#NAME?</x:v>
      </x:c>
      <x:c r="G146" s="146" t="e">
        <x:f>IF($A146="","",[1]!thsiFinD("ths_adjustment_nv_fund",G$3,$A146))</x:f>
        <x:v>#NAME?</x:v>
      </x:c>
      <x:c r="H146" s="146" t="e">
        <x:f>IF($A146="","",[1]!thsiFinD("ths_adjustment_nv_fund",H$3,$A146))</x:f>
        <x:v>#NAME?</x:v>
      </x:c>
      <x:c r="I146" s="146" t="e">
        <x:f>IF($A146="","",[1]!thsiFinD("ths_adjustment_nv_fund",I$3,$A146))</x:f>
        <x:v>#NAME?</x:v>
      </x:c>
      <x:c r="J146" s="146" t="e">
        <x:f>IF($A146="","",[1]!thsiFinD("ths_adjustment_nv_fund",J$3,$A146))</x:f>
        <x:v>#NAME?</x:v>
      </x:c>
      <x:c r="K146" s="146" t="e">
        <x:f>IF($A146="","",[1]!thsiFinD("ths_adjustment_nv_fund",K$3,$A146))</x:f>
        <x:v>#NAME?</x:v>
      </x:c>
      <x:c r="L146" s="146" t="e">
        <x:f>IF($A146="","",[1]!thsiFinD("ths_adjustment_nv_fund",L$3,$A146))</x:f>
        <x:v>#NAME?</x:v>
      </x:c>
      <x:c r="M146" s="146" t="e">
        <x:f>IF($A146="","",[1]!thsiFinD("ths_adjustment_nv_fund",M$3,$A146))</x:f>
        <x:v>#NAME?</x:v>
      </x:c>
      <x:c r="N146" s="146" t="e">
        <x:f>IF($A146="","",[1]!thsiFinD("ths_adjustment_nv_fund",N$3,$A146))</x:f>
        <x:v>#NAME?</x:v>
      </x:c>
      <x:c r="O146" s="146" t="e">
        <x:f>IF($A146="","",[1]!thsiFinD("ths_adjustment_nv_fund",O$3,$A146))</x:f>
        <x:v>#NAME?</x:v>
      </x:c>
      <x:c r="P146" s="146" t="e">
        <x:f>IF($A146="","",[1]!thsiFinD("ths_adjustment_nv_fund",P$3,$A146))</x:f>
        <x:v>#NAME?</x:v>
      </x:c>
      <x:c r="Q146" s="146" t="e">
        <x:f>IF($A146="","",[1]!thsiFinD("ths_adjustment_nv_fund",Q$3,$A146))</x:f>
        <x:v>#NAME?</x:v>
      </x:c>
      <x:c r="R146" s="146" t="e">
        <x:f>IF($A146="","",[1]!thsiFinD("ths_adjustment_nv_fund",R$3,$A146))</x:f>
        <x:v>#NAME?</x:v>
      </x:c>
      <x:c r="S146" s="146" t="e">
        <x:f>IF($A146="","",[1]!thsiFinD("ths_adjustment_nv_fund",S$3,$A146))</x:f>
        <x:v>#NAME?</x:v>
      </x:c>
      <x:c r="T146" s="146" t="e">
        <x:f>IF($A146="","",[1]!thsiFinD("ths_adjustment_nv_fund",T$3,$A146))</x:f>
        <x:v>#NAME?</x:v>
      </x:c>
      <x:c r="U146" s="146" t="e">
        <x:f>IF($A146="","",[1]!thsiFinD("ths_adjustment_nv_fund",U$3,$A146))</x:f>
        <x:v>#NAME?</x:v>
      </x:c>
      <x:c r="V146" s="146" t="e">
        <x:f>IF($A146="","",[1]!thsiFinD("ths_adjustment_nv_fund",V$3,$A146))</x:f>
        <x:v>#NAME?</x:v>
      </x:c>
      <x:c r="W146" s="146" t="e">
        <x:f>IF($A146="","",[1]!thsiFinD("ths_adjustment_nv_fund",W$3,$A146))</x:f>
        <x:v>#NAME?</x:v>
      </x:c>
      <x:c r="X146" s="146" t="e">
        <x:f>IF($A146="","",[1]!thsiFinD("ths_adjustment_nv_fund",X$3,$A146))</x:f>
        <x:v>#NAME?</x:v>
      </x:c>
      <x:c r="Y146" s="146" t="e">
        <x:f>IF($A146="","",[1]!thsiFinD("ths_adjustment_nv_fund",Y$3,$A146))</x:f>
        <x:v>#NAME?</x:v>
      </x:c>
      <x:c r="Z146" s="146" t="e">
        <x:f>IF($A146="","",[1]!thsiFinD("ths_adjustment_nv_fund",Z$3,$A146))</x:f>
        <x:v>#NAME?</x:v>
      </x:c>
      <x:c r="AA146" s="146" t="e">
        <x:f>IF($A146="","",[1]!thsiFinD("ths_adjustment_nv_fund",AA$3,$A146))</x:f>
        <x:v>#NAME?</x:v>
      </x:c>
    </x:row>
    <x:row r="147">
      <x:c r="B147" s="146" t="e">
        <x:f>IF($A147="","",[1]!thsiFinD("ths_adjustment_nv_fund",B$3,$A147))</x:f>
        <x:v>#NAME?</x:v>
      </x:c>
      <x:c r="C147" s="146" t="e">
        <x:f>IF($A147="","",[1]!thsiFinD("ths_adjustment_nv_fund",C$3,$A147))</x:f>
        <x:v>#NAME?</x:v>
      </x:c>
      <x:c r="D147" s="146" t="e">
        <x:f>IF($A147="","",[1]!thsiFinD("ths_adjustment_nv_fund",D$3,$A147))</x:f>
        <x:v>#NAME?</x:v>
      </x:c>
      <x:c r="E147" s="146" t="e">
        <x:f>IF($A147="","",[1]!thsiFinD("ths_adjustment_nv_fund",E$3,$A147))</x:f>
        <x:v>#NAME?</x:v>
      </x:c>
      <x:c r="F147" s="146" t="e">
        <x:f>IF($A147="","",[1]!thsiFinD("ths_adjustment_nv_fund",F$3,$A147))</x:f>
        <x:v>#NAME?</x:v>
      </x:c>
      <x:c r="G147" s="146" t="e">
        <x:f>IF($A147="","",[1]!thsiFinD("ths_adjustment_nv_fund",G$3,$A147))</x:f>
        <x:v>#NAME?</x:v>
      </x:c>
      <x:c r="H147" s="146" t="e">
        <x:f>IF($A147="","",[1]!thsiFinD("ths_adjustment_nv_fund",H$3,$A147))</x:f>
        <x:v>#NAME?</x:v>
      </x:c>
      <x:c r="I147" s="146" t="e">
        <x:f>IF($A147="","",[1]!thsiFinD("ths_adjustment_nv_fund",I$3,$A147))</x:f>
        <x:v>#NAME?</x:v>
      </x:c>
      <x:c r="J147" s="146" t="e">
        <x:f>IF($A147="","",[1]!thsiFinD("ths_adjustment_nv_fund",J$3,$A147))</x:f>
        <x:v>#NAME?</x:v>
      </x:c>
      <x:c r="K147" s="146" t="e">
        <x:f>IF($A147="","",[1]!thsiFinD("ths_adjustment_nv_fund",K$3,$A147))</x:f>
        <x:v>#NAME?</x:v>
      </x:c>
      <x:c r="L147" s="146" t="e">
        <x:f>IF($A147="","",[1]!thsiFinD("ths_adjustment_nv_fund",L$3,$A147))</x:f>
        <x:v>#NAME?</x:v>
      </x:c>
      <x:c r="M147" s="146" t="e">
        <x:f>IF($A147="","",[1]!thsiFinD("ths_adjustment_nv_fund",M$3,$A147))</x:f>
        <x:v>#NAME?</x:v>
      </x:c>
      <x:c r="N147" s="146" t="e">
        <x:f>IF($A147="","",[1]!thsiFinD("ths_adjustment_nv_fund",N$3,$A147))</x:f>
        <x:v>#NAME?</x:v>
      </x:c>
      <x:c r="O147" s="146" t="e">
        <x:f>IF($A147="","",[1]!thsiFinD("ths_adjustment_nv_fund",O$3,$A147))</x:f>
        <x:v>#NAME?</x:v>
      </x:c>
      <x:c r="P147" s="146" t="e">
        <x:f>IF($A147="","",[1]!thsiFinD("ths_adjustment_nv_fund",P$3,$A147))</x:f>
        <x:v>#NAME?</x:v>
      </x:c>
      <x:c r="Q147" s="146" t="e">
        <x:f>IF($A147="","",[1]!thsiFinD("ths_adjustment_nv_fund",Q$3,$A147))</x:f>
        <x:v>#NAME?</x:v>
      </x:c>
      <x:c r="R147" s="146" t="e">
        <x:f>IF($A147="","",[1]!thsiFinD("ths_adjustment_nv_fund",R$3,$A147))</x:f>
        <x:v>#NAME?</x:v>
      </x:c>
      <x:c r="S147" s="146" t="e">
        <x:f>IF($A147="","",[1]!thsiFinD("ths_adjustment_nv_fund",S$3,$A147))</x:f>
        <x:v>#NAME?</x:v>
      </x:c>
      <x:c r="T147" s="146" t="e">
        <x:f>IF($A147="","",[1]!thsiFinD("ths_adjustment_nv_fund",T$3,$A147))</x:f>
        <x:v>#NAME?</x:v>
      </x:c>
      <x:c r="U147" s="146" t="e">
        <x:f>IF($A147="","",[1]!thsiFinD("ths_adjustment_nv_fund",U$3,$A147))</x:f>
        <x:v>#NAME?</x:v>
      </x:c>
      <x:c r="V147" s="146" t="e">
        <x:f>IF($A147="","",[1]!thsiFinD("ths_adjustment_nv_fund",V$3,$A147))</x:f>
        <x:v>#NAME?</x:v>
      </x:c>
      <x:c r="W147" s="146" t="e">
        <x:f>IF($A147="","",[1]!thsiFinD("ths_adjustment_nv_fund",W$3,$A147))</x:f>
        <x:v>#NAME?</x:v>
      </x:c>
      <x:c r="X147" s="146" t="e">
        <x:f>IF($A147="","",[1]!thsiFinD("ths_adjustment_nv_fund",X$3,$A147))</x:f>
        <x:v>#NAME?</x:v>
      </x:c>
      <x:c r="Y147" s="146" t="e">
        <x:f>IF($A147="","",[1]!thsiFinD("ths_adjustment_nv_fund",Y$3,$A147))</x:f>
        <x:v>#NAME?</x:v>
      </x:c>
      <x:c r="Z147" s="146" t="e">
        <x:f>IF($A147="","",[1]!thsiFinD("ths_adjustment_nv_fund",Z$3,$A147))</x:f>
        <x:v>#NAME?</x:v>
      </x:c>
      <x:c r="AA147" s="146" t="e">
        <x:f>IF($A147="","",[1]!thsiFinD("ths_adjustment_nv_fund",AA$3,$A147))</x:f>
        <x:v>#NAME?</x:v>
      </x:c>
    </x:row>
    <x:row r="148">
      <x:c r="B148" s="146" t="e">
        <x:f>IF($A148="","",[1]!thsiFinD("ths_adjustment_nv_fund",B$3,$A148))</x:f>
        <x:v>#NAME?</x:v>
      </x:c>
      <x:c r="C148" s="146" t="e">
        <x:f>IF($A148="","",[1]!thsiFinD("ths_adjustment_nv_fund",C$3,$A148))</x:f>
        <x:v>#NAME?</x:v>
      </x:c>
      <x:c r="D148" s="146" t="e">
        <x:f>IF($A148="","",[1]!thsiFinD("ths_adjustment_nv_fund",D$3,$A148))</x:f>
        <x:v>#NAME?</x:v>
      </x:c>
      <x:c r="E148" s="146" t="e">
        <x:f>IF($A148="","",[1]!thsiFinD("ths_adjustment_nv_fund",E$3,$A148))</x:f>
        <x:v>#NAME?</x:v>
      </x:c>
      <x:c r="F148" s="146" t="e">
        <x:f>IF($A148="","",[1]!thsiFinD("ths_adjustment_nv_fund",F$3,$A148))</x:f>
        <x:v>#NAME?</x:v>
      </x:c>
      <x:c r="G148" s="146" t="e">
        <x:f>IF($A148="","",[1]!thsiFinD("ths_adjustment_nv_fund",G$3,$A148))</x:f>
        <x:v>#NAME?</x:v>
      </x:c>
      <x:c r="H148" s="146" t="e">
        <x:f>IF($A148="","",[1]!thsiFinD("ths_adjustment_nv_fund",H$3,$A148))</x:f>
        <x:v>#NAME?</x:v>
      </x:c>
      <x:c r="I148" s="146" t="e">
        <x:f>IF($A148="","",[1]!thsiFinD("ths_adjustment_nv_fund",I$3,$A148))</x:f>
        <x:v>#NAME?</x:v>
      </x:c>
      <x:c r="J148" s="146" t="e">
        <x:f>IF($A148="","",[1]!thsiFinD("ths_adjustment_nv_fund",J$3,$A148))</x:f>
        <x:v>#NAME?</x:v>
      </x:c>
      <x:c r="K148" s="146" t="e">
        <x:f>IF($A148="","",[1]!thsiFinD("ths_adjustment_nv_fund",K$3,$A148))</x:f>
        <x:v>#NAME?</x:v>
      </x:c>
      <x:c r="L148" s="146" t="e">
        <x:f>IF($A148="","",[1]!thsiFinD("ths_adjustment_nv_fund",L$3,$A148))</x:f>
        <x:v>#NAME?</x:v>
      </x:c>
      <x:c r="M148" s="146" t="e">
        <x:f>IF($A148="","",[1]!thsiFinD("ths_adjustment_nv_fund",M$3,$A148))</x:f>
        <x:v>#NAME?</x:v>
      </x:c>
      <x:c r="N148" s="146" t="e">
        <x:f>IF($A148="","",[1]!thsiFinD("ths_adjustment_nv_fund",N$3,$A148))</x:f>
        <x:v>#NAME?</x:v>
      </x:c>
      <x:c r="O148" s="146" t="e">
        <x:f>IF($A148="","",[1]!thsiFinD("ths_adjustment_nv_fund",O$3,$A148))</x:f>
        <x:v>#NAME?</x:v>
      </x:c>
      <x:c r="P148" s="146" t="e">
        <x:f>IF($A148="","",[1]!thsiFinD("ths_adjustment_nv_fund",P$3,$A148))</x:f>
        <x:v>#NAME?</x:v>
      </x:c>
      <x:c r="Q148" s="146" t="e">
        <x:f>IF($A148="","",[1]!thsiFinD("ths_adjustment_nv_fund",Q$3,$A148))</x:f>
        <x:v>#NAME?</x:v>
      </x:c>
      <x:c r="R148" s="146" t="e">
        <x:f>IF($A148="","",[1]!thsiFinD("ths_adjustment_nv_fund",R$3,$A148))</x:f>
        <x:v>#NAME?</x:v>
      </x:c>
      <x:c r="S148" s="146" t="e">
        <x:f>IF($A148="","",[1]!thsiFinD("ths_adjustment_nv_fund",S$3,$A148))</x:f>
        <x:v>#NAME?</x:v>
      </x:c>
      <x:c r="T148" s="146" t="e">
        <x:f>IF($A148="","",[1]!thsiFinD("ths_adjustment_nv_fund",T$3,$A148))</x:f>
        <x:v>#NAME?</x:v>
      </x:c>
      <x:c r="U148" s="146" t="e">
        <x:f>IF($A148="","",[1]!thsiFinD("ths_adjustment_nv_fund",U$3,$A148))</x:f>
        <x:v>#NAME?</x:v>
      </x:c>
      <x:c r="V148" s="146" t="e">
        <x:f>IF($A148="","",[1]!thsiFinD("ths_adjustment_nv_fund",V$3,$A148))</x:f>
        <x:v>#NAME?</x:v>
      </x:c>
      <x:c r="W148" s="146" t="e">
        <x:f>IF($A148="","",[1]!thsiFinD("ths_adjustment_nv_fund",W$3,$A148))</x:f>
        <x:v>#NAME?</x:v>
      </x:c>
      <x:c r="X148" s="146" t="e">
        <x:f>IF($A148="","",[1]!thsiFinD("ths_adjustment_nv_fund",X$3,$A148))</x:f>
        <x:v>#NAME?</x:v>
      </x:c>
      <x:c r="Y148" s="146" t="e">
        <x:f>IF($A148="","",[1]!thsiFinD("ths_adjustment_nv_fund",Y$3,$A148))</x:f>
        <x:v>#NAME?</x:v>
      </x:c>
      <x:c r="Z148" s="146" t="e">
        <x:f>IF($A148="","",[1]!thsiFinD("ths_adjustment_nv_fund",Z$3,$A148))</x:f>
        <x:v>#NAME?</x:v>
      </x:c>
      <x:c r="AA148" s="146" t="e">
        <x:f>IF($A148="","",[1]!thsiFinD("ths_adjustment_nv_fund",AA$3,$A148))</x:f>
        <x:v>#NAME?</x:v>
      </x:c>
    </x:row>
    <x:row r="149">
      <x:c r="B149" s="146" t="e">
        <x:f>IF($A149="","",[1]!thsiFinD("ths_adjustment_nv_fund",B$3,$A149))</x:f>
        <x:v>#NAME?</x:v>
      </x:c>
      <x:c r="C149" s="146" t="e">
        <x:f>IF($A149="","",[1]!thsiFinD("ths_adjustment_nv_fund",C$3,$A149))</x:f>
        <x:v>#NAME?</x:v>
      </x:c>
      <x:c r="D149" s="146" t="e">
        <x:f>IF($A149="","",[1]!thsiFinD("ths_adjustment_nv_fund",D$3,$A149))</x:f>
        <x:v>#NAME?</x:v>
      </x:c>
      <x:c r="E149" s="146" t="e">
        <x:f>IF($A149="","",[1]!thsiFinD("ths_adjustment_nv_fund",E$3,$A149))</x:f>
        <x:v>#NAME?</x:v>
      </x:c>
      <x:c r="F149" s="146" t="e">
        <x:f>IF($A149="","",[1]!thsiFinD("ths_adjustment_nv_fund",F$3,$A149))</x:f>
        <x:v>#NAME?</x:v>
      </x:c>
      <x:c r="G149" s="146" t="e">
        <x:f>IF($A149="","",[1]!thsiFinD("ths_adjustment_nv_fund",G$3,$A149))</x:f>
        <x:v>#NAME?</x:v>
      </x:c>
      <x:c r="H149" s="146" t="e">
        <x:f>IF($A149="","",[1]!thsiFinD("ths_adjustment_nv_fund",H$3,$A149))</x:f>
        <x:v>#NAME?</x:v>
      </x:c>
      <x:c r="I149" s="146" t="e">
        <x:f>IF($A149="","",[1]!thsiFinD("ths_adjustment_nv_fund",I$3,$A149))</x:f>
        <x:v>#NAME?</x:v>
      </x:c>
      <x:c r="J149" s="146" t="e">
        <x:f>IF($A149="","",[1]!thsiFinD("ths_adjustment_nv_fund",J$3,$A149))</x:f>
        <x:v>#NAME?</x:v>
      </x:c>
      <x:c r="K149" s="146" t="e">
        <x:f>IF($A149="","",[1]!thsiFinD("ths_adjustment_nv_fund",K$3,$A149))</x:f>
        <x:v>#NAME?</x:v>
      </x:c>
      <x:c r="L149" s="146" t="e">
        <x:f>IF($A149="","",[1]!thsiFinD("ths_adjustment_nv_fund",L$3,$A149))</x:f>
        <x:v>#NAME?</x:v>
      </x:c>
      <x:c r="M149" s="146" t="e">
        <x:f>IF($A149="","",[1]!thsiFinD("ths_adjustment_nv_fund",M$3,$A149))</x:f>
        <x:v>#NAME?</x:v>
      </x:c>
      <x:c r="N149" s="146" t="e">
        <x:f>IF($A149="","",[1]!thsiFinD("ths_adjustment_nv_fund",N$3,$A149))</x:f>
        <x:v>#NAME?</x:v>
      </x:c>
      <x:c r="O149" s="146" t="e">
        <x:f>IF($A149="","",[1]!thsiFinD("ths_adjustment_nv_fund",O$3,$A149))</x:f>
        <x:v>#NAME?</x:v>
      </x:c>
      <x:c r="P149" s="146" t="e">
        <x:f>IF($A149="","",[1]!thsiFinD("ths_adjustment_nv_fund",P$3,$A149))</x:f>
        <x:v>#NAME?</x:v>
      </x:c>
      <x:c r="Q149" s="146" t="e">
        <x:f>IF($A149="","",[1]!thsiFinD("ths_adjustment_nv_fund",Q$3,$A149))</x:f>
        <x:v>#NAME?</x:v>
      </x:c>
      <x:c r="R149" s="146" t="e">
        <x:f>IF($A149="","",[1]!thsiFinD("ths_adjustment_nv_fund",R$3,$A149))</x:f>
        <x:v>#NAME?</x:v>
      </x:c>
      <x:c r="S149" s="146" t="e">
        <x:f>IF($A149="","",[1]!thsiFinD("ths_adjustment_nv_fund",S$3,$A149))</x:f>
        <x:v>#NAME?</x:v>
      </x:c>
      <x:c r="T149" s="146" t="e">
        <x:f>IF($A149="","",[1]!thsiFinD("ths_adjustment_nv_fund",T$3,$A149))</x:f>
        <x:v>#NAME?</x:v>
      </x:c>
      <x:c r="U149" s="146" t="e">
        <x:f>IF($A149="","",[1]!thsiFinD("ths_adjustment_nv_fund",U$3,$A149))</x:f>
        <x:v>#NAME?</x:v>
      </x:c>
      <x:c r="V149" s="146" t="e">
        <x:f>IF($A149="","",[1]!thsiFinD("ths_adjustment_nv_fund",V$3,$A149))</x:f>
        <x:v>#NAME?</x:v>
      </x:c>
      <x:c r="W149" s="146" t="e">
        <x:f>IF($A149="","",[1]!thsiFinD("ths_adjustment_nv_fund",W$3,$A149))</x:f>
        <x:v>#NAME?</x:v>
      </x:c>
      <x:c r="X149" s="146" t="e">
        <x:f>IF($A149="","",[1]!thsiFinD("ths_adjustment_nv_fund",X$3,$A149))</x:f>
        <x:v>#NAME?</x:v>
      </x:c>
      <x:c r="Y149" s="146" t="e">
        <x:f>IF($A149="","",[1]!thsiFinD("ths_adjustment_nv_fund",Y$3,$A149))</x:f>
        <x:v>#NAME?</x:v>
      </x:c>
      <x:c r="Z149" s="146" t="e">
        <x:f>IF($A149="","",[1]!thsiFinD("ths_adjustment_nv_fund",Z$3,$A149))</x:f>
        <x:v>#NAME?</x:v>
      </x:c>
      <x:c r="AA149" s="146" t="e">
        <x:f>IF($A149="","",[1]!thsiFinD("ths_adjustment_nv_fund",AA$3,$A149))</x:f>
        <x:v>#NAME?</x:v>
      </x:c>
    </x:row>
    <x:row r="150">
      <x:c r="B150" s="146" t="e">
        <x:f>IF($A150="","",[1]!thsiFinD("ths_adjustment_nv_fund",B$3,$A150))</x:f>
        <x:v>#NAME?</x:v>
      </x:c>
      <x:c r="C150" s="146" t="e">
        <x:f>IF($A150="","",[1]!thsiFinD("ths_adjustment_nv_fund",C$3,$A150))</x:f>
        <x:v>#NAME?</x:v>
      </x:c>
      <x:c r="D150" s="146" t="e">
        <x:f>IF($A150="","",[1]!thsiFinD("ths_adjustment_nv_fund",D$3,$A150))</x:f>
        <x:v>#NAME?</x:v>
      </x:c>
      <x:c r="E150" s="146" t="e">
        <x:f>IF($A150="","",[1]!thsiFinD("ths_adjustment_nv_fund",E$3,$A150))</x:f>
        <x:v>#NAME?</x:v>
      </x:c>
      <x:c r="F150" s="146" t="e">
        <x:f>IF($A150="","",[1]!thsiFinD("ths_adjustment_nv_fund",F$3,$A150))</x:f>
        <x:v>#NAME?</x:v>
      </x:c>
      <x:c r="G150" s="146" t="e">
        <x:f>IF($A150="","",[1]!thsiFinD("ths_adjustment_nv_fund",G$3,$A150))</x:f>
        <x:v>#NAME?</x:v>
      </x:c>
      <x:c r="H150" s="146" t="e">
        <x:f>IF($A150="","",[1]!thsiFinD("ths_adjustment_nv_fund",H$3,$A150))</x:f>
        <x:v>#NAME?</x:v>
      </x:c>
      <x:c r="I150" s="146" t="e">
        <x:f>IF($A150="","",[1]!thsiFinD("ths_adjustment_nv_fund",I$3,$A150))</x:f>
        <x:v>#NAME?</x:v>
      </x:c>
      <x:c r="J150" s="146" t="e">
        <x:f>IF($A150="","",[1]!thsiFinD("ths_adjustment_nv_fund",J$3,$A150))</x:f>
        <x:v>#NAME?</x:v>
      </x:c>
      <x:c r="K150" s="146" t="e">
        <x:f>IF($A150="","",[1]!thsiFinD("ths_adjustment_nv_fund",K$3,$A150))</x:f>
        <x:v>#NAME?</x:v>
      </x:c>
      <x:c r="L150" s="146" t="e">
        <x:f>IF($A150="","",[1]!thsiFinD("ths_adjustment_nv_fund",L$3,$A150))</x:f>
        <x:v>#NAME?</x:v>
      </x:c>
      <x:c r="M150" s="146" t="e">
        <x:f>IF($A150="","",[1]!thsiFinD("ths_adjustment_nv_fund",M$3,$A150))</x:f>
        <x:v>#NAME?</x:v>
      </x:c>
      <x:c r="N150" s="146" t="e">
        <x:f>IF($A150="","",[1]!thsiFinD("ths_adjustment_nv_fund",N$3,$A150))</x:f>
        <x:v>#NAME?</x:v>
      </x:c>
      <x:c r="O150" s="146" t="e">
        <x:f>IF($A150="","",[1]!thsiFinD("ths_adjustment_nv_fund",O$3,$A150))</x:f>
        <x:v>#NAME?</x:v>
      </x:c>
      <x:c r="P150" s="146" t="e">
        <x:f>IF($A150="","",[1]!thsiFinD("ths_adjustment_nv_fund",P$3,$A150))</x:f>
        <x:v>#NAME?</x:v>
      </x:c>
      <x:c r="Q150" s="146" t="e">
        <x:f>IF($A150="","",[1]!thsiFinD("ths_adjustment_nv_fund",Q$3,$A150))</x:f>
        <x:v>#NAME?</x:v>
      </x:c>
      <x:c r="R150" s="146" t="e">
        <x:f>IF($A150="","",[1]!thsiFinD("ths_adjustment_nv_fund",R$3,$A150))</x:f>
        <x:v>#NAME?</x:v>
      </x:c>
      <x:c r="S150" s="146" t="e">
        <x:f>IF($A150="","",[1]!thsiFinD("ths_adjustment_nv_fund",S$3,$A150))</x:f>
        <x:v>#NAME?</x:v>
      </x:c>
      <x:c r="T150" s="146" t="e">
        <x:f>IF($A150="","",[1]!thsiFinD("ths_adjustment_nv_fund",T$3,$A150))</x:f>
        <x:v>#NAME?</x:v>
      </x:c>
      <x:c r="U150" s="146" t="e">
        <x:f>IF($A150="","",[1]!thsiFinD("ths_adjustment_nv_fund",U$3,$A150))</x:f>
        <x:v>#NAME?</x:v>
      </x:c>
      <x:c r="V150" s="146" t="e">
        <x:f>IF($A150="","",[1]!thsiFinD("ths_adjustment_nv_fund",V$3,$A150))</x:f>
        <x:v>#NAME?</x:v>
      </x:c>
      <x:c r="W150" s="146" t="e">
        <x:f>IF($A150="","",[1]!thsiFinD("ths_adjustment_nv_fund",W$3,$A150))</x:f>
        <x:v>#NAME?</x:v>
      </x:c>
      <x:c r="X150" s="146" t="e">
        <x:f>IF($A150="","",[1]!thsiFinD("ths_adjustment_nv_fund",X$3,$A150))</x:f>
        <x:v>#NAME?</x:v>
      </x:c>
      <x:c r="Y150" s="146" t="e">
        <x:f>IF($A150="","",[1]!thsiFinD("ths_adjustment_nv_fund",Y$3,$A150))</x:f>
        <x:v>#NAME?</x:v>
      </x:c>
      <x:c r="Z150" s="146" t="e">
        <x:f>IF($A150="","",[1]!thsiFinD("ths_adjustment_nv_fund",Z$3,$A150))</x:f>
        <x:v>#NAME?</x:v>
      </x:c>
      <x:c r="AA150" s="146" t="e">
        <x:f>IF($A150="","",[1]!thsiFinD("ths_adjustment_nv_fund",AA$3,$A150))</x:f>
        <x:v>#NAME?</x:v>
      </x:c>
    </x:row>
    <x:row r="151">
      <x:c r="B151" s="146" t="e">
        <x:f>IF($A151="","",[1]!thsiFinD("ths_adjustment_nv_fund",B$3,$A151))</x:f>
        <x:v>#NAME?</x:v>
      </x:c>
      <x:c r="C151" s="146" t="e">
        <x:f>IF($A151="","",[1]!thsiFinD("ths_adjustment_nv_fund",C$3,$A151))</x:f>
        <x:v>#NAME?</x:v>
      </x:c>
      <x:c r="D151" s="146" t="e">
        <x:f>IF($A151="","",[1]!thsiFinD("ths_adjustment_nv_fund",D$3,$A151))</x:f>
        <x:v>#NAME?</x:v>
      </x:c>
      <x:c r="E151" s="146" t="e">
        <x:f>IF($A151="","",[1]!thsiFinD("ths_adjustment_nv_fund",E$3,$A151))</x:f>
        <x:v>#NAME?</x:v>
      </x:c>
      <x:c r="F151" s="146" t="e">
        <x:f>IF($A151="","",[1]!thsiFinD("ths_adjustment_nv_fund",F$3,$A151))</x:f>
        <x:v>#NAME?</x:v>
      </x:c>
      <x:c r="G151" s="146" t="e">
        <x:f>IF($A151="","",[1]!thsiFinD("ths_adjustment_nv_fund",G$3,$A151))</x:f>
        <x:v>#NAME?</x:v>
      </x:c>
      <x:c r="H151" s="146" t="e">
        <x:f>IF($A151="","",[1]!thsiFinD("ths_adjustment_nv_fund",H$3,$A151))</x:f>
        <x:v>#NAME?</x:v>
      </x:c>
      <x:c r="I151" s="146" t="e">
        <x:f>IF($A151="","",[1]!thsiFinD("ths_adjustment_nv_fund",I$3,$A151))</x:f>
        <x:v>#NAME?</x:v>
      </x:c>
      <x:c r="J151" s="146" t="e">
        <x:f>IF($A151="","",[1]!thsiFinD("ths_adjustment_nv_fund",J$3,$A151))</x:f>
        <x:v>#NAME?</x:v>
      </x:c>
      <x:c r="K151" s="146" t="e">
        <x:f>IF($A151="","",[1]!thsiFinD("ths_adjustment_nv_fund",K$3,$A151))</x:f>
        <x:v>#NAME?</x:v>
      </x:c>
      <x:c r="L151" s="146" t="e">
        <x:f>IF($A151="","",[1]!thsiFinD("ths_adjustment_nv_fund",L$3,$A151))</x:f>
        <x:v>#NAME?</x:v>
      </x:c>
      <x:c r="M151" s="146" t="e">
        <x:f>IF($A151="","",[1]!thsiFinD("ths_adjustment_nv_fund",M$3,$A151))</x:f>
        <x:v>#NAME?</x:v>
      </x:c>
      <x:c r="N151" s="146" t="e">
        <x:f>IF($A151="","",[1]!thsiFinD("ths_adjustment_nv_fund",N$3,$A151))</x:f>
        <x:v>#NAME?</x:v>
      </x:c>
      <x:c r="O151" s="146" t="e">
        <x:f>IF($A151="","",[1]!thsiFinD("ths_adjustment_nv_fund",O$3,$A151))</x:f>
        <x:v>#NAME?</x:v>
      </x:c>
      <x:c r="P151" s="146" t="e">
        <x:f>IF($A151="","",[1]!thsiFinD("ths_adjustment_nv_fund",P$3,$A151))</x:f>
        <x:v>#NAME?</x:v>
      </x:c>
      <x:c r="Q151" s="146" t="e">
        <x:f>IF($A151="","",[1]!thsiFinD("ths_adjustment_nv_fund",Q$3,$A151))</x:f>
        <x:v>#NAME?</x:v>
      </x:c>
      <x:c r="R151" s="146" t="e">
        <x:f>IF($A151="","",[1]!thsiFinD("ths_adjustment_nv_fund",R$3,$A151))</x:f>
        <x:v>#NAME?</x:v>
      </x:c>
      <x:c r="S151" s="146" t="e">
        <x:f>IF($A151="","",[1]!thsiFinD("ths_adjustment_nv_fund",S$3,$A151))</x:f>
        <x:v>#NAME?</x:v>
      </x:c>
      <x:c r="T151" s="146" t="e">
        <x:f>IF($A151="","",[1]!thsiFinD("ths_adjustment_nv_fund",T$3,$A151))</x:f>
        <x:v>#NAME?</x:v>
      </x:c>
      <x:c r="U151" s="146" t="e">
        <x:f>IF($A151="","",[1]!thsiFinD("ths_adjustment_nv_fund",U$3,$A151))</x:f>
        <x:v>#NAME?</x:v>
      </x:c>
      <x:c r="V151" s="146" t="e">
        <x:f>IF($A151="","",[1]!thsiFinD("ths_adjustment_nv_fund",V$3,$A151))</x:f>
        <x:v>#NAME?</x:v>
      </x:c>
      <x:c r="W151" s="146" t="e">
        <x:f>IF($A151="","",[1]!thsiFinD("ths_adjustment_nv_fund",W$3,$A151))</x:f>
        <x:v>#NAME?</x:v>
      </x:c>
      <x:c r="X151" s="146" t="e">
        <x:f>IF($A151="","",[1]!thsiFinD("ths_adjustment_nv_fund",X$3,$A151))</x:f>
        <x:v>#NAME?</x:v>
      </x:c>
      <x:c r="Y151" s="146" t="e">
        <x:f>IF($A151="","",[1]!thsiFinD("ths_adjustment_nv_fund",Y$3,$A151))</x:f>
        <x:v>#NAME?</x:v>
      </x:c>
      <x:c r="Z151" s="146" t="e">
        <x:f>IF($A151="","",[1]!thsiFinD("ths_adjustment_nv_fund",Z$3,$A151))</x:f>
        <x:v>#NAME?</x:v>
      </x:c>
      <x:c r="AA151" s="146" t="e">
        <x:f>IF($A151="","",[1]!thsiFinD("ths_adjustment_nv_fund",AA$3,$A151))</x:f>
        <x:v>#NAME?</x:v>
      </x:c>
    </x:row>
    <x:row r="152">
      <x:c r="B152" s="146" t="e">
        <x:f>IF($A152="","",[1]!thsiFinD("ths_adjustment_nv_fund",B$3,$A152))</x:f>
        <x:v>#NAME?</x:v>
      </x:c>
      <x:c r="C152" s="146" t="e">
        <x:f>IF($A152="","",[1]!thsiFinD("ths_adjustment_nv_fund",C$3,$A152))</x:f>
        <x:v>#NAME?</x:v>
      </x:c>
      <x:c r="D152" s="146" t="e">
        <x:f>IF($A152="","",[1]!thsiFinD("ths_adjustment_nv_fund",D$3,$A152))</x:f>
        <x:v>#NAME?</x:v>
      </x:c>
      <x:c r="E152" s="146" t="e">
        <x:f>IF($A152="","",[1]!thsiFinD("ths_adjustment_nv_fund",E$3,$A152))</x:f>
        <x:v>#NAME?</x:v>
      </x:c>
      <x:c r="F152" s="146" t="e">
        <x:f>IF($A152="","",[1]!thsiFinD("ths_adjustment_nv_fund",F$3,$A152))</x:f>
        <x:v>#NAME?</x:v>
      </x:c>
      <x:c r="G152" s="146" t="e">
        <x:f>IF($A152="","",[1]!thsiFinD("ths_adjustment_nv_fund",G$3,$A152))</x:f>
        <x:v>#NAME?</x:v>
      </x:c>
      <x:c r="H152" s="146" t="e">
        <x:f>IF($A152="","",[1]!thsiFinD("ths_adjustment_nv_fund",H$3,$A152))</x:f>
        <x:v>#NAME?</x:v>
      </x:c>
      <x:c r="I152" s="146" t="e">
        <x:f>IF($A152="","",[1]!thsiFinD("ths_adjustment_nv_fund",I$3,$A152))</x:f>
        <x:v>#NAME?</x:v>
      </x:c>
      <x:c r="J152" s="146" t="e">
        <x:f>IF($A152="","",[1]!thsiFinD("ths_adjustment_nv_fund",J$3,$A152))</x:f>
        <x:v>#NAME?</x:v>
      </x:c>
      <x:c r="K152" s="146" t="e">
        <x:f>IF($A152="","",[1]!thsiFinD("ths_adjustment_nv_fund",K$3,$A152))</x:f>
        <x:v>#NAME?</x:v>
      </x:c>
      <x:c r="L152" s="146" t="e">
        <x:f>IF($A152="","",[1]!thsiFinD("ths_adjustment_nv_fund",L$3,$A152))</x:f>
        <x:v>#NAME?</x:v>
      </x:c>
      <x:c r="M152" s="146" t="e">
        <x:f>IF($A152="","",[1]!thsiFinD("ths_adjustment_nv_fund",M$3,$A152))</x:f>
        <x:v>#NAME?</x:v>
      </x:c>
      <x:c r="N152" s="146" t="e">
        <x:f>IF($A152="","",[1]!thsiFinD("ths_adjustment_nv_fund",N$3,$A152))</x:f>
        <x:v>#NAME?</x:v>
      </x:c>
      <x:c r="O152" s="146" t="e">
        <x:f>IF($A152="","",[1]!thsiFinD("ths_adjustment_nv_fund",O$3,$A152))</x:f>
        <x:v>#NAME?</x:v>
      </x:c>
      <x:c r="P152" s="146" t="e">
        <x:f>IF($A152="","",[1]!thsiFinD("ths_adjustment_nv_fund",P$3,$A152))</x:f>
        <x:v>#NAME?</x:v>
      </x:c>
      <x:c r="Q152" s="146" t="e">
        <x:f>IF($A152="","",[1]!thsiFinD("ths_adjustment_nv_fund",Q$3,$A152))</x:f>
        <x:v>#NAME?</x:v>
      </x:c>
      <x:c r="R152" s="146" t="e">
        <x:f>IF($A152="","",[1]!thsiFinD("ths_adjustment_nv_fund",R$3,$A152))</x:f>
        <x:v>#NAME?</x:v>
      </x:c>
      <x:c r="S152" s="146" t="e">
        <x:f>IF($A152="","",[1]!thsiFinD("ths_adjustment_nv_fund",S$3,$A152))</x:f>
        <x:v>#NAME?</x:v>
      </x:c>
      <x:c r="T152" s="146" t="e">
        <x:f>IF($A152="","",[1]!thsiFinD("ths_adjustment_nv_fund",T$3,$A152))</x:f>
        <x:v>#NAME?</x:v>
      </x:c>
      <x:c r="U152" s="146" t="e">
        <x:f>IF($A152="","",[1]!thsiFinD("ths_adjustment_nv_fund",U$3,$A152))</x:f>
        <x:v>#NAME?</x:v>
      </x:c>
      <x:c r="V152" s="146" t="e">
        <x:f>IF($A152="","",[1]!thsiFinD("ths_adjustment_nv_fund",V$3,$A152))</x:f>
        <x:v>#NAME?</x:v>
      </x:c>
      <x:c r="W152" s="146" t="e">
        <x:f>IF($A152="","",[1]!thsiFinD("ths_adjustment_nv_fund",W$3,$A152))</x:f>
        <x:v>#NAME?</x:v>
      </x:c>
      <x:c r="X152" s="146" t="e">
        <x:f>IF($A152="","",[1]!thsiFinD("ths_adjustment_nv_fund",X$3,$A152))</x:f>
        <x:v>#NAME?</x:v>
      </x:c>
      <x:c r="Y152" s="146" t="e">
        <x:f>IF($A152="","",[1]!thsiFinD("ths_adjustment_nv_fund",Y$3,$A152))</x:f>
        <x:v>#NAME?</x:v>
      </x:c>
      <x:c r="Z152" s="146" t="e">
        <x:f>IF($A152="","",[1]!thsiFinD("ths_adjustment_nv_fund",Z$3,$A152))</x:f>
        <x:v>#NAME?</x:v>
      </x:c>
      <x:c r="AA152" s="146" t="e">
        <x:f>IF($A152="","",[1]!thsiFinD("ths_adjustment_nv_fund",AA$3,$A152))</x:f>
        <x:v>#NAME?</x:v>
      </x:c>
    </x:row>
    <x:row r="153">
      <x:c r="B153" s="146" t="e">
        <x:f>IF($A153="","",[1]!thsiFinD("ths_adjustment_nv_fund",B$3,$A153))</x:f>
        <x:v>#NAME?</x:v>
      </x:c>
      <x:c r="C153" s="146" t="e">
        <x:f>IF($A153="","",[1]!thsiFinD("ths_adjustment_nv_fund",C$3,$A153))</x:f>
        <x:v>#NAME?</x:v>
      </x:c>
      <x:c r="D153" s="146" t="e">
        <x:f>IF($A153="","",[1]!thsiFinD("ths_adjustment_nv_fund",D$3,$A153))</x:f>
        <x:v>#NAME?</x:v>
      </x:c>
      <x:c r="E153" s="146" t="e">
        <x:f>IF($A153="","",[1]!thsiFinD("ths_adjustment_nv_fund",E$3,$A153))</x:f>
        <x:v>#NAME?</x:v>
      </x:c>
      <x:c r="F153" s="146" t="e">
        <x:f>IF($A153="","",[1]!thsiFinD("ths_adjustment_nv_fund",F$3,$A153))</x:f>
        <x:v>#NAME?</x:v>
      </x:c>
      <x:c r="G153" s="146" t="e">
        <x:f>IF($A153="","",[1]!thsiFinD("ths_adjustment_nv_fund",G$3,$A153))</x:f>
        <x:v>#NAME?</x:v>
      </x:c>
      <x:c r="H153" s="146" t="e">
        <x:f>IF($A153="","",[1]!thsiFinD("ths_adjustment_nv_fund",H$3,$A153))</x:f>
        <x:v>#NAME?</x:v>
      </x:c>
      <x:c r="I153" s="146" t="e">
        <x:f>IF($A153="","",[1]!thsiFinD("ths_adjustment_nv_fund",I$3,$A153))</x:f>
        <x:v>#NAME?</x:v>
      </x:c>
      <x:c r="J153" s="146" t="e">
        <x:f>IF($A153="","",[1]!thsiFinD("ths_adjustment_nv_fund",J$3,$A153))</x:f>
        <x:v>#NAME?</x:v>
      </x:c>
      <x:c r="K153" s="146" t="e">
        <x:f>IF($A153="","",[1]!thsiFinD("ths_adjustment_nv_fund",K$3,$A153))</x:f>
        <x:v>#NAME?</x:v>
      </x:c>
      <x:c r="L153" s="146" t="e">
        <x:f>IF($A153="","",[1]!thsiFinD("ths_adjustment_nv_fund",L$3,$A153))</x:f>
        <x:v>#NAME?</x:v>
      </x:c>
      <x:c r="M153" s="146" t="e">
        <x:f>IF($A153="","",[1]!thsiFinD("ths_adjustment_nv_fund",M$3,$A153))</x:f>
        <x:v>#NAME?</x:v>
      </x:c>
      <x:c r="N153" s="146" t="e">
        <x:f>IF($A153="","",[1]!thsiFinD("ths_adjustment_nv_fund",N$3,$A153))</x:f>
        <x:v>#NAME?</x:v>
      </x:c>
      <x:c r="O153" s="146" t="e">
        <x:f>IF($A153="","",[1]!thsiFinD("ths_adjustment_nv_fund",O$3,$A153))</x:f>
        <x:v>#NAME?</x:v>
      </x:c>
      <x:c r="P153" s="146" t="e">
        <x:f>IF($A153="","",[1]!thsiFinD("ths_adjustment_nv_fund",P$3,$A153))</x:f>
        <x:v>#NAME?</x:v>
      </x:c>
      <x:c r="Q153" s="146" t="e">
        <x:f>IF($A153="","",[1]!thsiFinD("ths_adjustment_nv_fund",Q$3,$A153))</x:f>
        <x:v>#NAME?</x:v>
      </x:c>
      <x:c r="R153" s="146" t="e">
        <x:f>IF($A153="","",[1]!thsiFinD("ths_adjustment_nv_fund",R$3,$A153))</x:f>
        <x:v>#NAME?</x:v>
      </x:c>
      <x:c r="S153" s="146" t="e">
        <x:f>IF($A153="","",[1]!thsiFinD("ths_adjustment_nv_fund",S$3,$A153))</x:f>
        <x:v>#NAME?</x:v>
      </x:c>
      <x:c r="T153" s="146" t="e">
        <x:f>IF($A153="","",[1]!thsiFinD("ths_adjustment_nv_fund",T$3,$A153))</x:f>
        <x:v>#NAME?</x:v>
      </x:c>
      <x:c r="U153" s="146" t="e">
        <x:f>IF($A153="","",[1]!thsiFinD("ths_adjustment_nv_fund",U$3,$A153))</x:f>
        <x:v>#NAME?</x:v>
      </x:c>
      <x:c r="V153" s="146" t="e">
        <x:f>IF($A153="","",[1]!thsiFinD("ths_adjustment_nv_fund",V$3,$A153))</x:f>
        <x:v>#NAME?</x:v>
      </x:c>
      <x:c r="W153" s="146" t="e">
        <x:f>IF($A153="","",[1]!thsiFinD("ths_adjustment_nv_fund",W$3,$A153))</x:f>
        <x:v>#NAME?</x:v>
      </x:c>
      <x:c r="X153" s="146" t="e">
        <x:f>IF($A153="","",[1]!thsiFinD("ths_adjustment_nv_fund",X$3,$A153))</x:f>
        <x:v>#NAME?</x:v>
      </x:c>
      <x:c r="Y153" s="146" t="e">
        <x:f>IF($A153="","",[1]!thsiFinD("ths_adjustment_nv_fund",Y$3,$A153))</x:f>
        <x:v>#NAME?</x:v>
      </x:c>
      <x:c r="Z153" s="146" t="e">
        <x:f>IF($A153="","",[1]!thsiFinD("ths_adjustment_nv_fund",Z$3,$A153))</x:f>
        <x:v>#NAME?</x:v>
      </x:c>
      <x:c r="AA153" s="146" t="e">
        <x:f>IF($A153="","",[1]!thsiFinD("ths_adjustment_nv_fund",AA$3,$A153))</x:f>
        <x:v>#NAME?</x:v>
      </x:c>
    </x:row>
    <x:row r="154">
      <x:c r="B154" s="146" t="e">
        <x:f>IF($A154="","",[1]!thsiFinD("ths_adjustment_nv_fund",B$3,$A154))</x:f>
        <x:v>#NAME?</x:v>
      </x:c>
      <x:c r="C154" s="146" t="e">
        <x:f>IF($A154="","",[1]!thsiFinD("ths_adjustment_nv_fund",C$3,$A154))</x:f>
        <x:v>#NAME?</x:v>
      </x:c>
      <x:c r="D154" s="146" t="e">
        <x:f>IF($A154="","",[1]!thsiFinD("ths_adjustment_nv_fund",D$3,$A154))</x:f>
        <x:v>#NAME?</x:v>
      </x:c>
      <x:c r="E154" s="146" t="e">
        <x:f>IF($A154="","",[1]!thsiFinD("ths_adjustment_nv_fund",E$3,$A154))</x:f>
        <x:v>#NAME?</x:v>
      </x:c>
      <x:c r="F154" s="146" t="e">
        <x:f>IF($A154="","",[1]!thsiFinD("ths_adjustment_nv_fund",F$3,$A154))</x:f>
        <x:v>#NAME?</x:v>
      </x:c>
      <x:c r="G154" s="146" t="e">
        <x:f>IF($A154="","",[1]!thsiFinD("ths_adjustment_nv_fund",G$3,$A154))</x:f>
        <x:v>#NAME?</x:v>
      </x:c>
      <x:c r="H154" s="146" t="e">
        <x:f>IF($A154="","",[1]!thsiFinD("ths_adjustment_nv_fund",H$3,$A154))</x:f>
        <x:v>#NAME?</x:v>
      </x:c>
      <x:c r="I154" s="146" t="e">
        <x:f>IF($A154="","",[1]!thsiFinD("ths_adjustment_nv_fund",I$3,$A154))</x:f>
        <x:v>#NAME?</x:v>
      </x:c>
      <x:c r="J154" s="146" t="e">
        <x:f>IF($A154="","",[1]!thsiFinD("ths_adjustment_nv_fund",J$3,$A154))</x:f>
        <x:v>#NAME?</x:v>
      </x:c>
      <x:c r="K154" s="146" t="e">
        <x:f>IF($A154="","",[1]!thsiFinD("ths_adjustment_nv_fund",K$3,$A154))</x:f>
        <x:v>#NAME?</x:v>
      </x:c>
      <x:c r="L154" s="146" t="e">
        <x:f>IF($A154="","",[1]!thsiFinD("ths_adjustment_nv_fund",L$3,$A154))</x:f>
        <x:v>#NAME?</x:v>
      </x:c>
      <x:c r="M154" s="146" t="e">
        <x:f>IF($A154="","",[1]!thsiFinD("ths_adjustment_nv_fund",M$3,$A154))</x:f>
        <x:v>#NAME?</x:v>
      </x:c>
      <x:c r="N154" s="146" t="e">
        <x:f>IF($A154="","",[1]!thsiFinD("ths_adjustment_nv_fund",N$3,$A154))</x:f>
        <x:v>#NAME?</x:v>
      </x:c>
      <x:c r="O154" s="146" t="e">
        <x:f>IF($A154="","",[1]!thsiFinD("ths_adjustment_nv_fund",O$3,$A154))</x:f>
        <x:v>#NAME?</x:v>
      </x:c>
      <x:c r="P154" s="146" t="e">
        <x:f>IF($A154="","",[1]!thsiFinD("ths_adjustment_nv_fund",P$3,$A154))</x:f>
        <x:v>#NAME?</x:v>
      </x:c>
      <x:c r="Q154" s="146" t="e">
        <x:f>IF($A154="","",[1]!thsiFinD("ths_adjustment_nv_fund",Q$3,$A154))</x:f>
        <x:v>#NAME?</x:v>
      </x:c>
      <x:c r="R154" s="146" t="e">
        <x:f>IF($A154="","",[1]!thsiFinD("ths_adjustment_nv_fund",R$3,$A154))</x:f>
        <x:v>#NAME?</x:v>
      </x:c>
      <x:c r="S154" s="146" t="e">
        <x:f>IF($A154="","",[1]!thsiFinD("ths_adjustment_nv_fund",S$3,$A154))</x:f>
        <x:v>#NAME?</x:v>
      </x:c>
      <x:c r="T154" s="146" t="e">
        <x:f>IF($A154="","",[1]!thsiFinD("ths_adjustment_nv_fund",T$3,$A154))</x:f>
        <x:v>#NAME?</x:v>
      </x:c>
      <x:c r="U154" s="146" t="e">
        <x:f>IF($A154="","",[1]!thsiFinD("ths_adjustment_nv_fund",U$3,$A154))</x:f>
        <x:v>#NAME?</x:v>
      </x:c>
      <x:c r="V154" s="146" t="e">
        <x:f>IF($A154="","",[1]!thsiFinD("ths_adjustment_nv_fund",V$3,$A154))</x:f>
        <x:v>#NAME?</x:v>
      </x:c>
      <x:c r="W154" s="146" t="e">
        <x:f>IF($A154="","",[1]!thsiFinD("ths_adjustment_nv_fund",W$3,$A154))</x:f>
        <x:v>#NAME?</x:v>
      </x:c>
      <x:c r="X154" s="146" t="e">
        <x:f>IF($A154="","",[1]!thsiFinD("ths_adjustment_nv_fund",X$3,$A154))</x:f>
        <x:v>#NAME?</x:v>
      </x:c>
      <x:c r="Y154" s="146" t="e">
        <x:f>IF($A154="","",[1]!thsiFinD("ths_adjustment_nv_fund",Y$3,$A154))</x:f>
        <x:v>#NAME?</x:v>
      </x:c>
      <x:c r="Z154" s="146" t="e">
        <x:f>IF($A154="","",[1]!thsiFinD("ths_adjustment_nv_fund",Z$3,$A154))</x:f>
        <x:v>#NAME?</x:v>
      </x:c>
      <x:c r="AA154" s="146" t="e">
        <x:f>IF($A154="","",[1]!thsiFinD("ths_adjustment_nv_fund",AA$3,$A154))</x:f>
        <x:v>#NAME?</x:v>
      </x:c>
    </x:row>
    <x:row r="155">
      <x:c r="B155" s="146" t="e">
        <x:f>IF($A155="","",[1]!thsiFinD("ths_adjustment_nv_fund",B$3,$A155))</x:f>
        <x:v>#NAME?</x:v>
      </x:c>
      <x:c r="C155" s="146" t="e">
        <x:f>IF($A155="","",[1]!thsiFinD("ths_adjustment_nv_fund",C$3,$A155))</x:f>
        <x:v>#NAME?</x:v>
      </x:c>
      <x:c r="D155" s="146" t="e">
        <x:f>IF($A155="","",[1]!thsiFinD("ths_adjustment_nv_fund",D$3,$A155))</x:f>
        <x:v>#NAME?</x:v>
      </x:c>
      <x:c r="E155" s="146" t="e">
        <x:f>IF($A155="","",[1]!thsiFinD("ths_adjustment_nv_fund",E$3,$A155))</x:f>
        <x:v>#NAME?</x:v>
      </x:c>
      <x:c r="F155" s="146" t="e">
        <x:f>IF($A155="","",[1]!thsiFinD("ths_adjustment_nv_fund",F$3,$A155))</x:f>
        <x:v>#NAME?</x:v>
      </x:c>
      <x:c r="G155" s="146" t="e">
        <x:f>IF($A155="","",[1]!thsiFinD("ths_adjustment_nv_fund",G$3,$A155))</x:f>
        <x:v>#NAME?</x:v>
      </x:c>
      <x:c r="H155" s="146" t="e">
        <x:f>IF($A155="","",[1]!thsiFinD("ths_adjustment_nv_fund",H$3,$A155))</x:f>
        <x:v>#NAME?</x:v>
      </x:c>
      <x:c r="I155" s="146" t="e">
        <x:f>IF($A155="","",[1]!thsiFinD("ths_adjustment_nv_fund",I$3,$A155))</x:f>
        <x:v>#NAME?</x:v>
      </x:c>
      <x:c r="J155" s="146" t="e">
        <x:f>IF($A155="","",[1]!thsiFinD("ths_adjustment_nv_fund",J$3,$A155))</x:f>
        <x:v>#NAME?</x:v>
      </x:c>
      <x:c r="K155" s="146" t="e">
        <x:f>IF($A155="","",[1]!thsiFinD("ths_adjustment_nv_fund",K$3,$A155))</x:f>
        <x:v>#NAME?</x:v>
      </x:c>
      <x:c r="L155" s="146" t="e">
        <x:f>IF($A155="","",[1]!thsiFinD("ths_adjustment_nv_fund",L$3,$A155))</x:f>
        <x:v>#NAME?</x:v>
      </x:c>
      <x:c r="M155" s="146" t="e">
        <x:f>IF($A155="","",[1]!thsiFinD("ths_adjustment_nv_fund",M$3,$A155))</x:f>
        <x:v>#NAME?</x:v>
      </x:c>
      <x:c r="N155" s="146" t="e">
        <x:f>IF($A155="","",[1]!thsiFinD("ths_adjustment_nv_fund",N$3,$A155))</x:f>
        <x:v>#NAME?</x:v>
      </x:c>
      <x:c r="O155" s="146" t="e">
        <x:f>IF($A155="","",[1]!thsiFinD("ths_adjustment_nv_fund",O$3,$A155))</x:f>
        <x:v>#NAME?</x:v>
      </x:c>
      <x:c r="P155" s="146" t="e">
        <x:f>IF($A155="","",[1]!thsiFinD("ths_adjustment_nv_fund",P$3,$A155))</x:f>
        <x:v>#NAME?</x:v>
      </x:c>
      <x:c r="Q155" s="146" t="e">
        <x:f>IF($A155="","",[1]!thsiFinD("ths_adjustment_nv_fund",Q$3,$A155))</x:f>
        <x:v>#NAME?</x:v>
      </x:c>
      <x:c r="R155" s="146" t="e">
        <x:f>IF($A155="","",[1]!thsiFinD("ths_adjustment_nv_fund",R$3,$A155))</x:f>
        <x:v>#NAME?</x:v>
      </x:c>
      <x:c r="S155" s="146" t="e">
        <x:f>IF($A155="","",[1]!thsiFinD("ths_adjustment_nv_fund",S$3,$A155))</x:f>
        <x:v>#NAME?</x:v>
      </x:c>
      <x:c r="T155" s="146" t="e">
        <x:f>IF($A155="","",[1]!thsiFinD("ths_adjustment_nv_fund",T$3,$A155))</x:f>
        <x:v>#NAME?</x:v>
      </x:c>
      <x:c r="U155" s="146" t="e">
        <x:f>IF($A155="","",[1]!thsiFinD("ths_adjustment_nv_fund",U$3,$A155))</x:f>
        <x:v>#NAME?</x:v>
      </x:c>
      <x:c r="V155" s="146" t="e">
        <x:f>IF($A155="","",[1]!thsiFinD("ths_adjustment_nv_fund",V$3,$A155))</x:f>
        <x:v>#NAME?</x:v>
      </x:c>
      <x:c r="W155" s="146" t="e">
        <x:f>IF($A155="","",[1]!thsiFinD("ths_adjustment_nv_fund",W$3,$A155))</x:f>
        <x:v>#NAME?</x:v>
      </x:c>
      <x:c r="X155" s="146" t="e">
        <x:f>IF($A155="","",[1]!thsiFinD("ths_adjustment_nv_fund",X$3,$A155))</x:f>
        <x:v>#NAME?</x:v>
      </x:c>
      <x:c r="Y155" s="146" t="e">
        <x:f>IF($A155="","",[1]!thsiFinD("ths_adjustment_nv_fund",Y$3,$A155))</x:f>
        <x:v>#NAME?</x:v>
      </x:c>
      <x:c r="Z155" s="146" t="e">
        <x:f>IF($A155="","",[1]!thsiFinD("ths_adjustment_nv_fund",Z$3,$A155))</x:f>
        <x:v>#NAME?</x:v>
      </x:c>
      <x:c r="AA155" s="146" t="e">
        <x:f>IF($A155="","",[1]!thsiFinD("ths_adjustment_nv_fund",AA$3,$A155))</x:f>
        <x:v>#NAME?</x:v>
      </x:c>
    </x:row>
    <x:row r="156">
      <x:c r="B156" s="146" t="e">
        <x:f>IF($A156="","",[1]!thsiFinD("ths_adjustment_nv_fund",B$3,$A156))</x:f>
        <x:v>#NAME?</x:v>
      </x:c>
      <x:c r="C156" s="146" t="e">
        <x:f>IF($A156="","",[1]!thsiFinD("ths_adjustment_nv_fund",C$3,$A156))</x:f>
        <x:v>#NAME?</x:v>
      </x:c>
      <x:c r="D156" s="146" t="e">
        <x:f>IF($A156="","",[1]!thsiFinD("ths_adjustment_nv_fund",D$3,$A156))</x:f>
        <x:v>#NAME?</x:v>
      </x:c>
      <x:c r="E156" s="146" t="e">
        <x:f>IF($A156="","",[1]!thsiFinD("ths_adjustment_nv_fund",E$3,$A156))</x:f>
        <x:v>#NAME?</x:v>
      </x:c>
      <x:c r="F156" s="146" t="e">
        <x:f>IF($A156="","",[1]!thsiFinD("ths_adjustment_nv_fund",F$3,$A156))</x:f>
        <x:v>#NAME?</x:v>
      </x:c>
      <x:c r="G156" s="146" t="e">
        <x:f>IF($A156="","",[1]!thsiFinD("ths_adjustment_nv_fund",G$3,$A156))</x:f>
        <x:v>#NAME?</x:v>
      </x:c>
      <x:c r="H156" s="146" t="e">
        <x:f>IF($A156="","",[1]!thsiFinD("ths_adjustment_nv_fund",H$3,$A156))</x:f>
        <x:v>#NAME?</x:v>
      </x:c>
      <x:c r="I156" s="146" t="e">
        <x:f>IF($A156="","",[1]!thsiFinD("ths_adjustment_nv_fund",I$3,$A156))</x:f>
        <x:v>#NAME?</x:v>
      </x:c>
      <x:c r="J156" s="146" t="e">
        <x:f>IF($A156="","",[1]!thsiFinD("ths_adjustment_nv_fund",J$3,$A156))</x:f>
        <x:v>#NAME?</x:v>
      </x:c>
      <x:c r="K156" s="146" t="e">
        <x:f>IF($A156="","",[1]!thsiFinD("ths_adjustment_nv_fund",K$3,$A156))</x:f>
        <x:v>#NAME?</x:v>
      </x:c>
      <x:c r="L156" s="146" t="e">
        <x:f>IF($A156="","",[1]!thsiFinD("ths_adjustment_nv_fund",L$3,$A156))</x:f>
        <x:v>#NAME?</x:v>
      </x:c>
      <x:c r="M156" s="146" t="e">
        <x:f>IF($A156="","",[1]!thsiFinD("ths_adjustment_nv_fund",M$3,$A156))</x:f>
        <x:v>#NAME?</x:v>
      </x:c>
      <x:c r="N156" s="146" t="e">
        <x:f>IF($A156="","",[1]!thsiFinD("ths_adjustment_nv_fund",N$3,$A156))</x:f>
        <x:v>#NAME?</x:v>
      </x:c>
      <x:c r="O156" s="146" t="e">
        <x:f>IF($A156="","",[1]!thsiFinD("ths_adjustment_nv_fund",O$3,$A156))</x:f>
        <x:v>#NAME?</x:v>
      </x:c>
      <x:c r="P156" s="146" t="e">
        <x:f>IF($A156="","",[1]!thsiFinD("ths_adjustment_nv_fund",P$3,$A156))</x:f>
        <x:v>#NAME?</x:v>
      </x:c>
      <x:c r="Q156" s="146" t="e">
        <x:f>IF($A156="","",[1]!thsiFinD("ths_adjustment_nv_fund",Q$3,$A156))</x:f>
        <x:v>#NAME?</x:v>
      </x:c>
      <x:c r="R156" s="146" t="e">
        <x:f>IF($A156="","",[1]!thsiFinD("ths_adjustment_nv_fund",R$3,$A156))</x:f>
        <x:v>#NAME?</x:v>
      </x:c>
      <x:c r="S156" s="146" t="e">
        <x:f>IF($A156="","",[1]!thsiFinD("ths_adjustment_nv_fund",S$3,$A156))</x:f>
        <x:v>#NAME?</x:v>
      </x:c>
      <x:c r="T156" s="146" t="e">
        <x:f>IF($A156="","",[1]!thsiFinD("ths_adjustment_nv_fund",T$3,$A156))</x:f>
        <x:v>#NAME?</x:v>
      </x:c>
      <x:c r="U156" s="146" t="e">
        <x:f>IF($A156="","",[1]!thsiFinD("ths_adjustment_nv_fund",U$3,$A156))</x:f>
        <x:v>#NAME?</x:v>
      </x:c>
      <x:c r="V156" s="146" t="e">
        <x:f>IF($A156="","",[1]!thsiFinD("ths_adjustment_nv_fund",V$3,$A156))</x:f>
        <x:v>#NAME?</x:v>
      </x:c>
      <x:c r="W156" s="146" t="e">
        <x:f>IF($A156="","",[1]!thsiFinD("ths_adjustment_nv_fund",W$3,$A156))</x:f>
        <x:v>#NAME?</x:v>
      </x:c>
      <x:c r="X156" s="146" t="e">
        <x:f>IF($A156="","",[1]!thsiFinD("ths_adjustment_nv_fund",X$3,$A156))</x:f>
        <x:v>#NAME?</x:v>
      </x:c>
      <x:c r="Y156" s="146" t="e">
        <x:f>IF($A156="","",[1]!thsiFinD("ths_adjustment_nv_fund",Y$3,$A156))</x:f>
        <x:v>#NAME?</x:v>
      </x:c>
      <x:c r="Z156" s="146" t="e">
        <x:f>IF($A156="","",[1]!thsiFinD("ths_adjustment_nv_fund",Z$3,$A156))</x:f>
        <x:v>#NAME?</x:v>
      </x:c>
      <x:c r="AA156" s="146" t="e">
        <x:f>IF($A156="","",[1]!thsiFinD("ths_adjustment_nv_fund",AA$3,$A156))</x:f>
        <x:v>#NAME?</x:v>
      </x:c>
    </x:row>
    <x:row r="157">
      <x:c r="B157" s="146" t="e">
        <x:f>IF($A157="","",[1]!thsiFinD("ths_adjustment_nv_fund",B$3,$A157))</x:f>
        <x:v>#NAME?</x:v>
      </x:c>
      <x:c r="C157" s="146" t="e">
        <x:f>IF($A157="","",[1]!thsiFinD("ths_adjustment_nv_fund",C$3,$A157))</x:f>
        <x:v>#NAME?</x:v>
      </x:c>
      <x:c r="D157" s="146" t="e">
        <x:f>IF($A157="","",[1]!thsiFinD("ths_adjustment_nv_fund",D$3,$A157))</x:f>
        <x:v>#NAME?</x:v>
      </x:c>
      <x:c r="E157" s="146" t="e">
        <x:f>IF($A157="","",[1]!thsiFinD("ths_adjustment_nv_fund",E$3,$A157))</x:f>
        <x:v>#NAME?</x:v>
      </x:c>
      <x:c r="F157" s="146" t="e">
        <x:f>IF($A157="","",[1]!thsiFinD("ths_adjustment_nv_fund",F$3,$A157))</x:f>
        <x:v>#NAME?</x:v>
      </x:c>
      <x:c r="G157" s="146" t="e">
        <x:f>IF($A157="","",[1]!thsiFinD("ths_adjustment_nv_fund",G$3,$A157))</x:f>
        <x:v>#NAME?</x:v>
      </x:c>
      <x:c r="H157" s="146" t="e">
        <x:f>IF($A157="","",[1]!thsiFinD("ths_adjustment_nv_fund",H$3,$A157))</x:f>
        <x:v>#NAME?</x:v>
      </x:c>
      <x:c r="I157" s="146" t="e">
        <x:f>IF($A157="","",[1]!thsiFinD("ths_adjustment_nv_fund",I$3,$A157))</x:f>
        <x:v>#NAME?</x:v>
      </x:c>
      <x:c r="J157" s="146" t="e">
        <x:f>IF($A157="","",[1]!thsiFinD("ths_adjustment_nv_fund",J$3,$A157))</x:f>
        <x:v>#NAME?</x:v>
      </x:c>
      <x:c r="K157" s="146" t="e">
        <x:f>IF($A157="","",[1]!thsiFinD("ths_adjustment_nv_fund",K$3,$A157))</x:f>
        <x:v>#NAME?</x:v>
      </x:c>
      <x:c r="L157" s="146" t="e">
        <x:f>IF($A157="","",[1]!thsiFinD("ths_adjustment_nv_fund",L$3,$A157))</x:f>
        <x:v>#NAME?</x:v>
      </x:c>
      <x:c r="M157" s="146" t="e">
        <x:f>IF($A157="","",[1]!thsiFinD("ths_adjustment_nv_fund",M$3,$A157))</x:f>
        <x:v>#NAME?</x:v>
      </x:c>
      <x:c r="N157" s="146" t="e">
        <x:f>IF($A157="","",[1]!thsiFinD("ths_adjustment_nv_fund",N$3,$A157))</x:f>
        <x:v>#NAME?</x:v>
      </x:c>
      <x:c r="O157" s="146" t="e">
        <x:f>IF($A157="","",[1]!thsiFinD("ths_adjustment_nv_fund",O$3,$A157))</x:f>
        <x:v>#NAME?</x:v>
      </x:c>
      <x:c r="P157" s="146" t="e">
        <x:f>IF($A157="","",[1]!thsiFinD("ths_adjustment_nv_fund",P$3,$A157))</x:f>
        <x:v>#NAME?</x:v>
      </x:c>
      <x:c r="Q157" s="146" t="e">
        <x:f>IF($A157="","",[1]!thsiFinD("ths_adjustment_nv_fund",Q$3,$A157))</x:f>
        <x:v>#NAME?</x:v>
      </x:c>
      <x:c r="R157" s="146" t="e">
        <x:f>IF($A157="","",[1]!thsiFinD("ths_adjustment_nv_fund",R$3,$A157))</x:f>
        <x:v>#NAME?</x:v>
      </x:c>
      <x:c r="S157" s="146" t="e">
        <x:f>IF($A157="","",[1]!thsiFinD("ths_adjustment_nv_fund",S$3,$A157))</x:f>
        <x:v>#NAME?</x:v>
      </x:c>
      <x:c r="T157" s="146" t="e">
        <x:f>IF($A157="","",[1]!thsiFinD("ths_adjustment_nv_fund",T$3,$A157))</x:f>
        <x:v>#NAME?</x:v>
      </x:c>
      <x:c r="U157" s="146" t="e">
        <x:f>IF($A157="","",[1]!thsiFinD("ths_adjustment_nv_fund",U$3,$A157))</x:f>
        <x:v>#NAME?</x:v>
      </x:c>
      <x:c r="V157" s="146" t="e">
        <x:f>IF($A157="","",[1]!thsiFinD("ths_adjustment_nv_fund",V$3,$A157))</x:f>
        <x:v>#NAME?</x:v>
      </x:c>
      <x:c r="W157" s="146" t="e">
        <x:f>IF($A157="","",[1]!thsiFinD("ths_adjustment_nv_fund",W$3,$A157))</x:f>
        <x:v>#NAME?</x:v>
      </x:c>
      <x:c r="X157" s="146" t="e">
        <x:f>IF($A157="","",[1]!thsiFinD("ths_adjustment_nv_fund",X$3,$A157))</x:f>
        <x:v>#NAME?</x:v>
      </x:c>
      <x:c r="Y157" s="146" t="e">
        <x:f>IF($A157="","",[1]!thsiFinD("ths_adjustment_nv_fund",Y$3,$A157))</x:f>
        <x:v>#NAME?</x:v>
      </x:c>
      <x:c r="Z157" s="146" t="e">
        <x:f>IF($A157="","",[1]!thsiFinD("ths_adjustment_nv_fund",Z$3,$A157))</x:f>
        <x:v>#NAME?</x:v>
      </x:c>
      <x:c r="AA157" s="146" t="e">
        <x:f>IF($A157="","",[1]!thsiFinD("ths_adjustment_nv_fund",AA$3,$A157))</x:f>
        <x:v>#NAME?</x:v>
      </x:c>
    </x:row>
    <x:row r="158">
      <x:c r="B158" s="146" t="e">
        <x:f>IF($A158="","",[1]!thsiFinD("ths_adjustment_nv_fund",B$3,$A158))</x:f>
        <x:v>#NAME?</x:v>
      </x:c>
      <x:c r="C158" s="146" t="e">
        <x:f>IF($A158="","",[1]!thsiFinD("ths_adjustment_nv_fund",C$3,$A158))</x:f>
        <x:v>#NAME?</x:v>
      </x:c>
      <x:c r="D158" s="146" t="e">
        <x:f>IF($A158="","",[1]!thsiFinD("ths_adjustment_nv_fund",D$3,$A158))</x:f>
        <x:v>#NAME?</x:v>
      </x:c>
      <x:c r="E158" s="146" t="e">
        <x:f>IF($A158="","",[1]!thsiFinD("ths_adjustment_nv_fund",E$3,$A158))</x:f>
        <x:v>#NAME?</x:v>
      </x:c>
      <x:c r="F158" s="146" t="e">
        <x:f>IF($A158="","",[1]!thsiFinD("ths_adjustment_nv_fund",F$3,$A158))</x:f>
        <x:v>#NAME?</x:v>
      </x:c>
      <x:c r="G158" s="146" t="e">
        <x:f>IF($A158="","",[1]!thsiFinD("ths_adjustment_nv_fund",G$3,$A158))</x:f>
        <x:v>#NAME?</x:v>
      </x:c>
      <x:c r="H158" s="146" t="e">
        <x:f>IF($A158="","",[1]!thsiFinD("ths_adjustment_nv_fund",H$3,$A158))</x:f>
        <x:v>#NAME?</x:v>
      </x:c>
      <x:c r="I158" s="146" t="e">
        <x:f>IF($A158="","",[1]!thsiFinD("ths_adjustment_nv_fund",I$3,$A158))</x:f>
        <x:v>#NAME?</x:v>
      </x:c>
      <x:c r="J158" s="146" t="e">
        <x:f>IF($A158="","",[1]!thsiFinD("ths_adjustment_nv_fund",J$3,$A158))</x:f>
        <x:v>#NAME?</x:v>
      </x:c>
      <x:c r="K158" s="146" t="e">
        <x:f>IF($A158="","",[1]!thsiFinD("ths_adjustment_nv_fund",K$3,$A158))</x:f>
        <x:v>#NAME?</x:v>
      </x:c>
      <x:c r="L158" s="146" t="e">
        <x:f>IF($A158="","",[1]!thsiFinD("ths_adjustment_nv_fund",L$3,$A158))</x:f>
        <x:v>#NAME?</x:v>
      </x:c>
      <x:c r="M158" s="146" t="e">
        <x:f>IF($A158="","",[1]!thsiFinD("ths_adjustment_nv_fund",M$3,$A158))</x:f>
        <x:v>#NAME?</x:v>
      </x:c>
      <x:c r="N158" s="146" t="e">
        <x:f>IF($A158="","",[1]!thsiFinD("ths_adjustment_nv_fund",N$3,$A158))</x:f>
        <x:v>#NAME?</x:v>
      </x:c>
      <x:c r="O158" s="146" t="e">
        <x:f>IF($A158="","",[1]!thsiFinD("ths_adjustment_nv_fund",O$3,$A158))</x:f>
        <x:v>#NAME?</x:v>
      </x:c>
      <x:c r="P158" s="146" t="e">
        <x:f>IF($A158="","",[1]!thsiFinD("ths_adjustment_nv_fund",P$3,$A158))</x:f>
        <x:v>#NAME?</x:v>
      </x:c>
      <x:c r="Q158" s="146" t="e">
        <x:f>IF($A158="","",[1]!thsiFinD("ths_adjustment_nv_fund",Q$3,$A158))</x:f>
        <x:v>#NAME?</x:v>
      </x:c>
      <x:c r="R158" s="146" t="e">
        <x:f>IF($A158="","",[1]!thsiFinD("ths_adjustment_nv_fund",R$3,$A158))</x:f>
        <x:v>#NAME?</x:v>
      </x:c>
      <x:c r="S158" s="146" t="e">
        <x:f>IF($A158="","",[1]!thsiFinD("ths_adjustment_nv_fund",S$3,$A158))</x:f>
        <x:v>#NAME?</x:v>
      </x:c>
      <x:c r="T158" s="146" t="e">
        <x:f>IF($A158="","",[1]!thsiFinD("ths_adjustment_nv_fund",T$3,$A158))</x:f>
        <x:v>#NAME?</x:v>
      </x:c>
      <x:c r="U158" s="146" t="e">
        <x:f>IF($A158="","",[1]!thsiFinD("ths_adjustment_nv_fund",U$3,$A158))</x:f>
        <x:v>#NAME?</x:v>
      </x:c>
      <x:c r="V158" s="146" t="e">
        <x:f>IF($A158="","",[1]!thsiFinD("ths_adjustment_nv_fund",V$3,$A158))</x:f>
        <x:v>#NAME?</x:v>
      </x:c>
      <x:c r="W158" s="146" t="e">
        <x:f>IF($A158="","",[1]!thsiFinD("ths_adjustment_nv_fund",W$3,$A158))</x:f>
        <x:v>#NAME?</x:v>
      </x:c>
      <x:c r="X158" s="146" t="e">
        <x:f>IF($A158="","",[1]!thsiFinD("ths_adjustment_nv_fund",X$3,$A158))</x:f>
        <x:v>#NAME?</x:v>
      </x:c>
      <x:c r="Y158" s="146" t="e">
        <x:f>IF($A158="","",[1]!thsiFinD("ths_adjustment_nv_fund",Y$3,$A158))</x:f>
        <x:v>#NAME?</x:v>
      </x:c>
      <x:c r="Z158" s="146" t="e">
        <x:f>IF($A158="","",[1]!thsiFinD("ths_adjustment_nv_fund",Z$3,$A158))</x:f>
        <x:v>#NAME?</x:v>
      </x:c>
      <x:c r="AA158" s="146" t="e">
        <x:f>IF($A158="","",[1]!thsiFinD("ths_adjustment_nv_fund",AA$3,$A158))</x:f>
        <x:v>#NAME?</x:v>
      </x:c>
    </x:row>
    <x:row r="159">
      <x:c r="B159" s="146" t="e">
        <x:f>IF($A159="","",[1]!thsiFinD("ths_adjustment_nv_fund",B$3,$A159))</x:f>
        <x:v>#NAME?</x:v>
      </x:c>
      <x:c r="C159" s="146" t="e">
        <x:f>IF($A159="","",[1]!thsiFinD("ths_adjustment_nv_fund",C$3,$A159))</x:f>
        <x:v>#NAME?</x:v>
      </x:c>
      <x:c r="D159" s="146" t="e">
        <x:f>IF($A159="","",[1]!thsiFinD("ths_adjustment_nv_fund",D$3,$A159))</x:f>
        <x:v>#NAME?</x:v>
      </x:c>
      <x:c r="E159" s="146" t="e">
        <x:f>IF($A159="","",[1]!thsiFinD("ths_adjustment_nv_fund",E$3,$A159))</x:f>
        <x:v>#NAME?</x:v>
      </x:c>
      <x:c r="F159" s="146" t="e">
        <x:f>IF($A159="","",[1]!thsiFinD("ths_adjustment_nv_fund",F$3,$A159))</x:f>
        <x:v>#NAME?</x:v>
      </x:c>
      <x:c r="G159" s="146" t="e">
        <x:f>IF($A159="","",[1]!thsiFinD("ths_adjustment_nv_fund",G$3,$A159))</x:f>
        <x:v>#NAME?</x:v>
      </x:c>
      <x:c r="H159" s="146" t="e">
        <x:f>IF($A159="","",[1]!thsiFinD("ths_adjustment_nv_fund",H$3,$A159))</x:f>
        <x:v>#NAME?</x:v>
      </x:c>
      <x:c r="I159" s="146" t="e">
        <x:f>IF($A159="","",[1]!thsiFinD("ths_adjustment_nv_fund",I$3,$A159))</x:f>
        <x:v>#NAME?</x:v>
      </x:c>
      <x:c r="J159" s="146" t="e">
        <x:f>IF($A159="","",[1]!thsiFinD("ths_adjustment_nv_fund",J$3,$A159))</x:f>
        <x:v>#NAME?</x:v>
      </x:c>
      <x:c r="K159" s="146" t="e">
        <x:f>IF($A159="","",[1]!thsiFinD("ths_adjustment_nv_fund",K$3,$A159))</x:f>
        <x:v>#NAME?</x:v>
      </x:c>
      <x:c r="L159" s="146" t="e">
        <x:f>IF($A159="","",[1]!thsiFinD("ths_adjustment_nv_fund",L$3,$A159))</x:f>
        <x:v>#NAME?</x:v>
      </x:c>
      <x:c r="M159" s="146" t="e">
        <x:f>IF($A159="","",[1]!thsiFinD("ths_adjustment_nv_fund",M$3,$A159))</x:f>
        <x:v>#NAME?</x:v>
      </x:c>
      <x:c r="N159" s="146" t="e">
        <x:f>IF($A159="","",[1]!thsiFinD("ths_adjustment_nv_fund",N$3,$A159))</x:f>
        <x:v>#NAME?</x:v>
      </x:c>
      <x:c r="O159" s="146" t="e">
        <x:f>IF($A159="","",[1]!thsiFinD("ths_adjustment_nv_fund",O$3,$A159))</x:f>
        <x:v>#NAME?</x:v>
      </x:c>
      <x:c r="P159" s="146" t="e">
        <x:f>IF($A159="","",[1]!thsiFinD("ths_adjustment_nv_fund",P$3,$A159))</x:f>
        <x:v>#NAME?</x:v>
      </x:c>
      <x:c r="Q159" s="146" t="e">
        <x:f>IF($A159="","",[1]!thsiFinD("ths_adjustment_nv_fund",Q$3,$A159))</x:f>
        <x:v>#NAME?</x:v>
      </x:c>
      <x:c r="R159" s="146" t="e">
        <x:f>IF($A159="","",[1]!thsiFinD("ths_adjustment_nv_fund",R$3,$A159))</x:f>
        <x:v>#NAME?</x:v>
      </x:c>
      <x:c r="S159" s="146" t="e">
        <x:f>IF($A159="","",[1]!thsiFinD("ths_adjustment_nv_fund",S$3,$A159))</x:f>
        <x:v>#NAME?</x:v>
      </x:c>
      <x:c r="T159" s="146" t="e">
        <x:f>IF($A159="","",[1]!thsiFinD("ths_adjustment_nv_fund",T$3,$A159))</x:f>
        <x:v>#NAME?</x:v>
      </x:c>
      <x:c r="U159" s="146" t="e">
        <x:f>IF($A159="","",[1]!thsiFinD("ths_adjustment_nv_fund",U$3,$A159))</x:f>
        <x:v>#NAME?</x:v>
      </x:c>
      <x:c r="V159" s="146" t="e">
        <x:f>IF($A159="","",[1]!thsiFinD("ths_adjustment_nv_fund",V$3,$A159))</x:f>
        <x:v>#NAME?</x:v>
      </x:c>
      <x:c r="W159" s="146" t="e">
        <x:f>IF($A159="","",[1]!thsiFinD("ths_adjustment_nv_fund",W$3,$A159))</x:f>
        <x:v>#NAME?</x:v>
      </x:c>
      <x:c r="X159" s="146" t="e">
        <x:f>IF($A159="","",[1]!thsiFinD("ths_adjustment_nv_fund",X$3,$A159))</x:f>
        <x:v>#NAME?</x:v>
      </x:c>
      <x:c r="Y159" s="146" t="e">
        <x:f>IF($A159="","",[1]!thsiFinD("ths_adjustment_nv_fund",Y$3,$A159))</x:f>
        <x:v>#NAME?</x:v>
      </x:c>
      <x:c r="Z159" s="146" t="e">
        <x:f>IF($A159="","",[1]!thsiFinD("ths_adjustment_nv_fund",Z$3,$A159))</x:f>
        <x:v>#NAME?</x:v>
      </x:c>
      <x:c r="AA159" s="146" t="e">
        <x:f>IF($A159="","",[1]!thsiFinD("ths_adjustment_nv_fund",AA$3,$A159))</x:f>
        <x:v>#NAME?</x:v>
      </x:c>
    </x:row>
    <x:row r="160">
      <x:c r="B160" s="146" t="e">
        <x:f>IF($A160="","",[1]!thsiFinD("ths_adjustment_nv_fund",B$3,$A160))</x:f>
        <x:v>#NAME?</x:v>
      </x:c>
      <x:c r="C160" s="146" t="e">
        <x:f>IF($A160="","",[1]!thsiFinD("ths_adjustment_nv_fund",C$3,$A160))</x:f>
        <x:v>#NAME?</x:v>
      </x:c>
      <x:c r="D160" s="146" t="e">
        <x:f>IF($A160="","",[1]!thsiFinD("ths_adjustment_nv_fund",D$3,$A160))</x:f>
        <x:v>#NAME?</x:v>
      </x:c>
      <x:c r="E160" s="146" t="e">
        <x:f>IF($A160="","",[1]!thsiFinD("ths_adjustment_nv_fund",E$3,$A160))</x:f>
        <x:v>#NAME?</x:v>
      </x:c>
      <x:c r="F160" s="146" t="e">
        <x:f>IF($A160="","",[1]!thsiFinD("ths_adjustment_nv_fund",F$3,$A160))</x:f>
        <x:v>#NAME?</x:v>
      </x:c>
      <x:c r="G160" s="146" t="e">
        <x:f>IF($A160="","",[1]!thsiFinD("ths_adjustment_nv_fund",G$3,$A160))</x:f>
        <x:v>#NAME?</x:v>
      </x:c>
      <x:c r="H160" s="146" t="e">
        <x:f>IF($A160="","",[1]!thsiFinD("ths_adjustment_nv_fund",H$3,$A160))</x:f>
        <x:v>#NAME?</x:v>
      </x:c>
      <x:c r="I160" s="146" t="e">
        <x:f>IF($A160="","",[1]!thsiFinD("ths_adjustment_nv_fund",I$3,$A160))</x:f>
        <x:v>#NAME?</x:v>
      </x:c>
      <x:c r="J160" s="146" t="e">
        <x:f>IF($A160="","",[1]!thsiFinD("ths_adjustment_nv_fund",J$3,$A160))</x:f>
        <x:v>#NAME?</x:v>
      </x:c>
      <x:c r="K160" s="146" t="e">
        <x:f>IF($A160="","",[1]!thsiFinD("ths_adjustment_nv_fund",K$3,$A160))</x:f>
        <x:v>#NAME?</x:v>
      </x:c>
      <x:c r="L160" s="146" t="e">
        <x:f>IF($A160="","",[1]!thsiFinD("ths_adjustment_nv_fund",L$3,$A160))</x:f>
        <x:v>#NAME?</x:v>
      </x:c>
      <x:c r="M160" s="146" t="e">
        <x:f>IF($A160="","",[1]!thsiFinD("ths_adjustment_nv_fund",M$3,$A160))</x:f>
        <x:v>#NAME?</x:v>
      </x:c>
      <x:c r="N160" s="146" t="e">
        <x:f>IF($A160="","",[1]!thsiFinD("ths_adjustment_nv_fund",N$3,$A160))</x:f>
        <x:v>#NAME?</x:v>
      </x:c>
      <x:c r="O160" s="146" t="e">
        <x:f>IF($A160="","",[1]!thsiFinD("ths_adjustment_nv_fund",O$3,$A160))</x:f>
        <x:v>#NAME?</x:v>
      </x:c>
      <x:c r="P160" s="146" t="e">
        <x:f>IF($A160="","",[1]!thsiFinD("ths_adjustment_nv_fund",P$3,$A160))</x:f>
        <x:v>#NAME?</x:v>
      </x:c>
      <x:c r="Q160" s="146" t="e">
        <x:f>IF($A160="","",[1]!thsiFinD("ths_adjustment_nv_fund",Q$3,$A160))</x:f>
        <x:v>#NAME?</x:v>
      </x:c>
      <x:c r="R160" s="146" t="e">
        <x:f>IF($A160="","",[1]!thsiFinD("ths_adjustment_nv_fund",R$3,$A160))</x:f>
        <x:v>#NAME?</x:v>
      </x:c>
      <x:c r="S160" s="146" t="e">
        <x:f>IF($A160="","",[1]!thsiFinD("ths_adjustment_nv_fund",S$3,$A160))</x:f>
        <x:v>#NAME?</x:v>
      </x:c>
      <x:c r="T160" s="146" t="e">
        <x:f>IF($A160="","",[1]!thsiFinD("ths_adjustment_nv_fund",T$3,$A160))</x:f>
        <x:v>#NAME?</x:v>
      </x:c>
      <x:c r="U160" s="146" t="e">
        <x:f>IF($A160="","",[1]!thsiFinD("ths_adjustment_nv_fund",U$3,$A160))</x:f>
        <x:v>#NAME?</x:v>
      </x:c>
      <x:c r="V160" s="146" t="e">
        <x:f>IF($A160="","",[1]!thsiFinD("ths_adjustment_nv_fund",V$3,$A160))</x:f>
        <x:v>#NAME?</x:v>
      </x:c>
      <x:c r="W160" s="146" t="e">
        <x:f>IF($A160="","",[1]!thsiFinD("ths_adjustment_nv_fund",W$3,$A160))</x:f>
        <x:v>#NAME?</x:v>
      </x:c>
      <x:c r="X160" s="146" t="e">
        <x:f>IF($A160="","",[1]!thsiFinD("ths_adjustment_nv_fund",X$3,$A160))</x:f>
        <x:v>#NAME?</x:v>
      </x:c>
      <x:c r="Y160" s="146" t="e">
        <x:f>IF($A160="","",[1]!thsiFinD("ths_adjustment_nv_fund",Y$3,$A160))</x:f>
        <x:v>#NAME?</x:v>
      </x:c>
      <x:c r="Z160" s="146" t="e">
        <x:f>IF($A160="","",[1]!thsiFinD("ths_adjustment_nv_fund",Z$3,$A160))</x:f>
        <x:v>#NAME?</x:v>
      </x:c>
      <x:c r="AA160" s="146" t="e">
        <x:f>IF($A160="","",[1]!thsiFinD("ths_adjustment_nv_fund",AA$3,$A160))</x:f>
        <x:v>#NAME?</x:v>
      </x:c>
    </x:row>
    <x:row r="161">
      <x:c r="B161" s="146" t="e">
        <x:f>IF($A161="","",[1]!thsiFinD("ths_adjustment_nv_fund",B$3,$A161))</x:f>
        <x:v>#NAME?</x:v>
      </x:c>
      <x:c r="C161" s="146" t="e">
        <x:f>IF($A161="","",[1]!thsiFinD("ths_adjustment_nv_fund",C$3,$A161))</x:f>
        <x:v>#NAME?</x:v>
      </x:c>
      <x:c r="D161" s="146" t="e">
        <x:f>IF($A161="","",[1]!thsiFinD("ths_adjustment_nv_fund",D$3,$A161))</x:f>
        <x:v>#NAME?</x:v>
      </x:c>
      <x:c r="E161" s="146" t="e">
        <x:f>IF($A161="","",[1]!thsiFinD("ths_adjustment_nv_fund",E$3,$A161))</x:f>
        <x:v>#NAME?</x:v>
      </x:c>
      <x:c r="F161" s="146" t="e">
        <x:f>IF($A161="","",[1]!thsiFinD("ths_adjustment_nv_fund",F$3,$A161))</x:f>
        <x:v>#NAME?</x:v>
      </x:c>
      <x:c r="G161" s="146" t="e">
        <x:f>IF($A161="","",[1]!thsiFinD("ths_adjustment_nv_fund",G$3,$A161))</x:f>
        <x:v>#NAME?</x:v>
      </x:c>
      <x:c r="H161" s="146" t="e">
        <x:f>IF($A161="","",[1]!thsiFinD("ths_adjustment_nv_fund",H$3,$A161))</x:f>
        <x:v>#NAME?</x:v>
      </x:c>
      <x:c r="I161" s="146" t="e">
        <x:f>IF($A161="","",[1]!thsiFinD("ths_adjustment_nv_fund",I$3,$A161))</x:f>
        <x:v>#NAME?</x:v>
      </x:c>
      <x:c r="J161" s="146" t="e">
        <x:f>IF($A161="","",[1]!thsiFinD("ths_adjustment_nv_fund",J$3,$A161))</x:f>
        <x:v>#NAME?</x:v>
      </x:c>
      <x:c r="K161" s="146" t="e">
        <x:f>IF($A161="","",[1]!thsiFinD("ths_adjustment_nv_fund",K$3,$A161))</x:f>
        <x:v>#NAME?</x:v>
      </x:c>
      <x:c r="L161" s="146" t="e">
        <x:f>IF($A161="","",[1]!thsiFinD("ths_adjustment_nv_fund",L$3,$A161))</x:f>
        <x:v>#NAME?</x:v>
      </x:c>
      <x:c r="M161" s="146" t="e">
        <x:f>IF($A161="","",[1]!thsiFinD("ths_adjustment_nv_fund",M$3,$A161))</x:f>
        <x:v>#NAME?</x:v>
      </x:c>
      <x:c r="N161" s="146" t="e">
        <x:f>IF($A161="","",[1]!thsiFinD("ths_adjustment_nv_fund",N$3,$A161))</x:f>
        <x:v>#NAME?</x:v>
      </x:c>
      <x:c r="O161" s="146" t="e">
        <x:f>IF($A161="","",[1]!thsiFinD("ths_adjustment_nv_fund",O$3,$A161))</x:f>
        <x:v>#NAME?</x:v>
      </x:c>
      <x:c r="P161" s="146" t="e">
        <x:f>IF($A161="","",[1]!thsiFinD("ths_adjustment_nv_fund",P$3,$A161))</x:f>
        <x:v>#NAME?</x:v>
      </x:c>
      <x:c r="Q161" s="146" t="e">
        <x:f>IF($A161="","",[1]!thsiFinD("ths_adjustment_nv_fund",Q$3,$A161))</x:f>
        <x:v>#NAME?</x:v>
      </x:c>
      <x:c r="R161" s="146" t="e">
        <x:f>IF($A161="","",[1]!thsiFinD("ths_adjustment_nv_fund",R$3,$A161))</x:f>
        <x:v>#NAME?</x:v>
      </x:c>
      <x:c r="S161" s="146" t="e">
        <x:f>IF($A161="","",[1]!thsiFinD("ths_adjustment_nv_fund",S$3,$A161))</x:f>
        <x:v>#NAME?</x:v>
      </x:c>
      <x:c r="T161" s="146" t="e">
        <x:f>IF($A161="","",[1]!thsiFinD("ths_adjustment_nv_fund",T$3,$A161))</x:f>
        <x:v>#NAME?</x:v>
      </x:c>
      <x:c r="U161" s="146" t="e">
        <x:f>IF($A161="","",[1]!thsiFinD("ths_adjustment_nv_fund",U$3,$A161))</x:f>
        <x:v>#NAME?</x:v>
      </x:c>
      <x:c r="V161" s="146" t="e">
        <x:f>IF($A161="","",[1]!thsiFinD("ths_adjustment_nv_fund",V$3,$A161))</x:f>
        <x:v>#NAME?</x:v>
      </x:c>
      <x:c r="W161" s="146" t="e">
        <x:f>IF($A161="","",[1]!thsiFinD("ths_adjustment_nv_fund",W$3,$A161))</x:f>
        <x:v>#NAME?</x:v>
      </x:c>
      <x:c r="X161" s="146" t="e">
        <x:f>IF($A161="","",[1]!thsiFinD("ths_adjustment_nv_fund",X$3,$A161))</x:f>
        <x:v>#NAME?</x:v>
      </x:c>
      <x:c r="Y161" s="146" t="e">
        <x:f>IF($A161="","",[1]!thsiFinD("ths_adjustment_nv_fund",Y$3,$A161))</x:f>
        <x:v>#NAME?</x:v>
      </x:c>
      <x:c r="Z161" s="146" t="e">
        <x:f>IF($A161="","",[1]!thsiFinD("ths_adjustment_nv_fund",Z$3,$A161))</x:f>
        <x:v>#NAME?</x:v>
      </x:c>
      <x:c r="AA161" s="146" t="e">
        <x:f>IF($A161="","",[1]!thsiFinD("ths_adjustment_nv_fund",AA$3,$A161))</x:f>
        <x:v>#NAME?</x:v>
      </x:c>
    </x:row>
    <x:row r="162">
      <x:c r="B162" s="146" t="e">
        <x:f>IF($A162="","",[1]!thsiFinD("ths_adjustment_nv_fund",B$3,$A162))</x:f>
        <x:v>#NAME?</x:v>
      </x:c>
      <x:c r="C162" s="146" t="e">
        <x:f>IF($A162="","",[1]!thsiFinD("ths_adjustment_nv_fund",C$3,$A162))</x:f>
        <x:v>#NAME?</x:v>
      </x:c>
      <x:c r="D162" s="146" t="e">
        <x:f>IF($A162="","",[1]!thsiFinD("ths_adjustment_nv_fund",D$3,$A162))</x:f>
        <x:v>#NAME?</x:v>
      </x:c>
      <x:c r="E162" s="146" t="e">
        <x:f>IF($A162="","",[1]!thsiFinD("ths_adjustment_nv_fund",E$3,$A162))</x:f>
        <x:v>#NAME?</x:v>
      </x:c>
      <x:c r="F162" s="146" t="e">
        <x:f>IF($A162="","",[1]!thsiFinD("ths_adjustment_nv_fund",F$3,$A162))</x:f>
        <x:v>#NAME?</x:v>
      </x:c>
      <x:c r="G162" s="146" t="e">
        <x:f>IF($A162="","",[1]!thsiFinD("ths_adjustment_nv_fund",G$3,$A162))</x:f>
        <x:v>#NAME?</x:v>
      </x:c>
      <x:c r="H162" s="146" t="e">
        <x:f>IF($A162="","",[1]!thsiFinD("ths_adjustment_nv_fund",H$3,$A162))</x:f>
        <x:v>#NAME?</x:v>
      </x:c>
      <x:c r="I162" s="146" t="e">
        <x:f>IF($A162="","",[1]!thsiFinD("ths_adjustment_nv_fund",I$3,$A162))</x:f>
        <x:v>#NAME?</x:v>
      </x:c>
      <x:c r="J162" s="146" t="e">
        <x:f>IF($A162="","",[1]!thsiFinD("ths_adjustment_nv_fund",J$3,$A162))</x:f>
        <x:v>#NAME?</x:v>
      </x:c>
      <x:c r="K162" s="146" t="e">
        <x:f>IF($A162="","",[1]!thsiFinD("ths_adjustment_nv_fund",K$3,$A162))</x:f>
        <x:v>#NAME?</x:v>
      </x:c>
      <x:c r="L162" s="146" t="e">
        <x:f>IF($A162="","",[1]!thsiFinD("ths_adjustment_nv_fund",L$3,$A162))</x:f>
        <x:v>#NAME?</x:v>
      </x:c>
      <x:c r="M162" s="146" t="e">
        <x:f>IF($A162="","",[1]!thsiFinD("ths_adjustment_nv_fund",M$3,$A162))</x:f>
        <x:v>#NAME?</x:v>
      </x:c>
      <x:c r="N162" s="146" t="e">
        <x:f>IF($A162="","",[1]!thsiFinD("ths_adjustment_nv_fund",N$3,$A162))</x:f>
        <x:v>#NAME?</x:v>
      </x:c>
      <x:c r="O162" s="146" t="e">
        <x:f>IF($A162="","",[1]!thsiFinD("ths_adjustment_nv_fund",O$3,$A162))</x:f>
        <x:v>#NAME?</x:v>
      </x:c>
      <x:c r="P162" s="146" t="e">
        <x:f>IF($A162="","",[1]!thsiFinD("ths_adjustment_nv_fund",P$3,$A162))</x:f>
        <x:v>#NAME?</x:v>
      </x:c>
      <x:c r="Q162" s="146" t="e">
        <x:f>IF($A162="","",[1]!thsiFinD("ths_adjustment_nv_fund",Q$3,$A162))</x:f>
        <x:v>#NAME?</x:v>
      </x:c>
      <x:c r="R162" s="146" t="e">
        <x:f>IF($A162="","",[1]!thsiFinD("ths_adjustment_nv_fund",R$3,$A162))</x:f>
        <x:v>#NAME?</x:v>
      </x:c>
      <x:c r="S162" s="146" t="e">
        <x:f>IF($A162="","",[1]!thsiFinD("ths_adjustment_nv_fund",S$3,$A162))</x:f>
        <x:v>#NAME?</x:v>
      </x:c>
      <x:c r="T162" s="146" t="e">
        <x:f>IF($A162="","",[1]!thsiFinD("ths_adjustment_nv_fund",T$3,$A162))</x:f>
        <x:v>#NAME?</x:v>
      </x:c>
      <x:c r="U162" s="146" t="e">
        <x:f>IF($A162="","",[1]!thsiFinD("ths_adjustment_nv_fund",U$3,$A162))</x:f>
        <x:v>#NAME?</x:v>
      </x:c>
      <x:c r="V162" s="146" t="e">
        <x:f>IF($A162="","",[1]!thsiFinD("ths_adjustment_nv_fund",V$3,$A162))</x:f>
        <x:v>#NAME?</x:v>
      </x:c>
      <x:c r="W162" s="146" t="e">
        <x:f>IF($A162="","",[1]!thsiFinD("ths_adjustment_nv_fund",W$3,$A162))</x:f>
        <x:v>#NAME?</x:v>
      </x:c>
      <x:c r="X162" s="146" t="e">
        <x:f>IF($A162="","",[1]!thsiFinD("ths_adjustment_nv_fund",X$3,$A162))</x:f>
        <x:v>#NAME?</x:v>
      </x:c>
      <x:c r="Y162" s="146" t="e">
        <x:f>IF($A162="","",[1]!thsiFinD("ths_adjustment_nv_fund",Y$3,$A162))</x:f>
        <x:v>#NAME?</x:v>
      </x:c>
      <x:c r="Z162" s="146" t="e">
        <x:f>IF($A162="","",[1]!thsiFinD("ths_adjustment_nv_fund",Z$3,$A162))</x:f>
        <x:v>#NAME?</x:v>
      </x:c>
      <x:c r="AA162" s="146" t="e">
        <x:f>IF($A162="","",[1]!thsiFinD("ths_adjustment_nv_fund",AA$3,$A162))</x:f>
        <x:v>#NAME?</x:v>
      </x:c>
    </x:row>
    <x:row r="163">
      <x:c r="B163" s="146" t="e">
        <x:f>IF($A163="","",[1]!thsiFinD("ths_adjustment_nv_fund",B$3,$A163))</x:f>
        <x:v>#NAME?</x:v>
      </x:c>
      <x:c r="C163" s="146" t="e">
        <x:f>IF($A163="","",[1]!thsiFinD("ths_adjustment_nv_fund",C$3,$A163))</x:f>
        <x:v>#NAME?</x:v>
      </x:c>
      <x:c r="D163" s="146" t="e">
        <x:f>IF($A163="","",[1]!thsiFinD("ths_adjustment_nv_fund",D$3,$A163))</x:f>
        <x:v>#NAME?</x:v>
      </x:c>
      <x:c r="E163" s="146" t="e">
        <x:f>IF($A163="","",[1]!thsiFinD("ths_adjustment_nv_fund",E$3,$A163))</x:f>
        <x:v>#NAME?</x:v>
      </x:c>
      <x:c r="F163" s="146" t="e">
        <x:f>IF($A163="","",[1]!thsiFinD("ths_adjustment_nv_fund",F$3,$A163))</x:f>
        <x:v>#NAME?</x:v>
      </x:c>
      <x:c r="G163" s="146" t="e">
        <x:f>IF($A163="","",[1]!thsiFinD("ths_adjustment_nv_fund",G$3,$A163))</x:f>
        <x:v>#NAME?</x:v>
      </x:c>
      <x:c r="H163" s="146" t="e">
        <x:f>IF($A163="","",[1]!thsiFinD("ths_adjustment_nv_fund",H$3,$A163))</x:f>
        <x:v>#NAME?</x:v>
      </x:c>
      <x:c r="I163" s="146" t="e">
        <x:f>IF($A163="","",[1]!thsiFinD("ths_adjustment_nv_fund",I$3,$A163))</x:f>
        <x:v>#NAME?</x:v>
      </x:c>
      <x:c r="J163" s="146" t="e">
        <x:f>IF($A163="","",[1]!thsiFinD("ths_adjustment_nv_fund",J$3,$A163))</x:f>
        <x:v>#NAME?</x:v>
      </x:c>
      <x:c r="K163" s="146" t="e">
        <x:f>IF($A163="","",[1]!thsiFinD("ths_adjustment_nv_fund",K$3,$A163))</x:f>
        <x:v>#NAME?</x:v>
      </x:c>
      <x:c r="L163" s="146" t="e">
        <x:f>IF($A163="","",[1]!thsiFinD("ths_adjustment_nv_fund",L$3,$A163))</x:f>
        <x:v>#NAME?</x:v>
      </x:c>
      <x:c r="M163" s="146" t="e">
        <x:f>IF($A163="","",[1]!thsiFinD("ths_adjustment_nv_fund",M$3,$A163))</x:f>
        <x:v>#NAME?</x:v>
      </x:c>
      <x:c r="N163" s="146" t="e">
        <x:f>IF($A163="","",[1]!thsiFinD("ths_adjustment_nv_fund",N$3,$A163))</x:f>
        <x:v>#NAME?</x:v>
      </x:c>
      <x:c r="O163" s="146" t="e">
        <x:f>IF($A163="","",[1]!thsiFinD("ths_adjustment_nv_fund",O$3,$A163))</x:f>
        <x:v>#NAME?</x:v>
      </x:c>
      <x:c r="P163" s="146" t="e">
        <x:f>IF($A163="","",[1]!thsiFinD("ths_adjustment_nv_fund",P$3,$A163))</x:f>
        <x:v>#NAME?</x:v>
      </x:c>
      <x:c r="Q163" s="146" t="e">
        <x:f>IF($A163="","",[1]!thsiFinD("ths_adjustment_nv_fund",Q$3,$A163))</x:f>
        <x:v>#NAME?</x:v>
      </x:c>
      <x:c r="R163" s="146" t="e">
        <x:f>IF($A163="","",[1]!thsiFinD("ths_adjustment_nv_fund",R$3,$A163))</x:f>
        <x:v>#NAME?</x:v>
      </x:c>
      <x:c r="S163" s="146" t="e">
        <x:f>IF($A163="","",[1]!thsiFinD("ths_adjustment_nv_fund",S$3,$A163))</x:f>
        <x:v>#NAME?</x:v>
      </x:c>
      <x:c r="T163" s="146" t="e">
        <x:f>IF($A163="","",[1]!thsiFinD("ths_adjustment_nv_fund",T$3,$A163))</x:f>
        <x:v>#NAME?</x:v>
      </x:c>
      <x:c r="U163" s="146" t="e">
        <x:f>IF($A163="","",[1]!thsiFinD("ths_adjustment_nv_fund",U$3,$A163))</x:f>
        <x:v>#NAME?</x:v>
      </x:c>
      <x:c r="V163" s="146" t="e">
        <x:f>IF($A163="","",[1]!thsiFinD("ths_adjustment_nv_fund",V$3,$A163))</x:f>
        <x:v>#NAME?</x:v>
      </x:c>
      <x:c r="W163" s="146" t="e">
        <x:f>IF($A163="","",[1]!thsiFinD("ths_adjustment_nv_fund",W$3,$A163))</x:f>
        <x:v>#NAME?</x:v>
      </x:c>
      <x:c r="X163" s="146" t="e">
        <x:f>IF($A163="","",[1]!thsiFinD("ths_adjustment_nv_fund",X$3,$A163))</x:f>
        <x:v>#NAME?</x:v>
      </x:c>
      <x:c r="Y163" s="146" t="e">
        <x:f>IF($A163="","",[1]!thsiFinD("ths_adjustment_nv_fund",Y$3,$A163))</x:f>
        <x:v>#NAME?</x:v>
      </x:c>
      <x:c r="Z163" s="146" t="e">
        <x:f>IF($A163="","",[1]!thsiFinD("ths_adjustment_nv_fund",Z$3,$A163))</x:f>
        <x:v>#NAME?</x:v>
      </x:c>
      <x:c r="AA163" s="146" t="e">
        <x:f>IF($A163="","",[1]!thsiFinD("ths_adjustment_nv_fund",AA$3,$A163))</x:f>
        <x:v>#NAME?</x:v>
      </x:c>
    </x:row>
    <x:row r="164">
      <x:c r="B164" s="146" t="e">
        <x:f>IF($A164="","",[1]!thsiFinD("ths_adjustment_nv_fund",B$3,$A164))</x:f>
        <x:v>#NAME?</x:v>
      </x:c>
      <x:c r="C164" s="146" t="e">
        <x:f>IF($A164="","",[1]!thsiFinD("ths_adjustment_nv_fund",C$3,$A164))</x:f>
        <x:v>#NAME?</x:v>
      </x:c>
      <x:c r="D164" s="146" t="e">
        <x:f>IF($A164="","",[1]!thsiFinD("ths_adjustment_nv_fund",D$3,$A164))</x:f>
        <x:v>#NAME?</x:v>
      </x:c>
      <x:c r="E164" s="146" t="e">
        <x:f>IF($A164="","",[1]!thsiFinD("ths_adjustment_nv_fund",E$3,$A164))</x:f>
        <x:v>#NAME?</x:v>
      </x:c>
      <x:c r="F164" s="146" t="e">
        <x:f>IF($A164="","",[1]!thsiFinD("ths_adjustment_nv_fund",F$3,$A164))</x:f>
        <x:v>#NAME?</x:v>
      </x:c>
      <x:c r="G164" s="146" t="e">
        <x:f>IF($A164="","",[1]!thsiFinD("ths_adjustment_nv_fund",G$3,$A164))</x:f>
        <x:v>#NAME?</x:v>
      </x:c>
      <x:c r="H164" s="146" t="e">
        <x:f>IF($A164="","",[1]!thsiFinD("ths_adjustment_nv_fund",H$3,$A164))</x:f>
        <x:v>#NAME?</x:v>
      </x:c>
      <x:c r="I164" s="146" t="e">
        <x:f>IF($A164="","",[1]!thsiFinD("ths_adjustment_nv_fund",I$3,$A164))</x:f>
        <x:v>#NAME?</x:v>
      </x:c>
      <x:c r="J164" s="146" t="e">
        <x:f>IF($A164="","",[1]!thsiFinD("ths_adjustment_nv_fund",J$3,$A164))</x:f>
        <x:v>#NAME?</x:v>
      </x:c>
      <x:c r="K164" s="146" t="e">
        <x:f>IF($A164="","",[1]!thsiFinD("ths_adjustment_nv_fund",K$3,$A164))</x:f>
        <x:v>#NAME?</x:v>
      </x:c>
      <x:c r="L164" s="146" t="e">
        <x:f>IF($A164="","",[1]!thsiFinD("ths_adjustment_nv_fund",L$3,$A164))</x:f>
        <x:v>#NAME?</x:v>
      </x:c>
      <x:c r="M164" s="146" t="e">
        <x:f>IF($A164="","",[1]!thsiFinD("ths_adjustment_nv_fund",M$3,$A164))</x:f>
        <x:v>#NAME?</x:v>
      </x:c>
      <x:c r="N164" s="146" t="e">
        <x:f>IF($A164="","",[1]!thsiFinD("ths_adjustment_nv_fund",N$3,$A164))</x:f>
        <x:v>#NAME?</x:v>
      </x:c>
      <x:c r="O164" s="146" t="e">
        <x:f>IF($A164="","",[1]!thsiFinD("ths_adjustment_nv_fund",O$3,$A164))</x:f>
        <x:v>#NAME?</x:v>
      </x:c>
      <x:c r="P164" s="146" t="e">
        <x:f>IF($A164="","",[1]!thsiFinD("ths_adjustment_nv_fund",P$3,$A164))</x:f>
        <x:v>#NAME?</x:v>
      </x:c>
      <x:c r="Q164" s="146" t="e">
        <x:f>IF($A164="","",[1]!thsiFinD("ths_adjustment_nv_fund",Q$3,$A164))</x:f>
        <x:v>#NAME?</x:v>
      </x:c>
      <x:c r="R164" s="146" t="e">
        <x:f>IF($A164="","",[1]!thsiFinD("ths_adjustment_nv_fund",R$3,$A164))</x:f>
        <x:v>#NAME?</x:v>
      </x:c>
      <x:c r="S164" s="146" t="e">
        <x:f>IF($A164="","",[1]!thsiFinD("ths_adjustment_nv_fund",S$3,$A164))</x:f>
        <x:v>#NAME?</x:v>
      </x:c>
      <x:c r="T164" s="146" t="e">
        <x:f>IF($A164="","",[1]!thsiFinD("ths_adjustment_nv_fund",T$3,$A164))</x:f>
        <x:v>#NAME?</x:v>
      </x:c>
      <x:c r="U164" s="146" t="e">
        <x:f>IF($A164="","",[1]!thsiFinD("ths_adjustment_nv_fund",U$3,$A164))</x:f>
        <x:v>#NAME?</x:v>
      </x:c>
      <x:c r="V164" s="146" t="e">
        <x:f>IF($A164="","",[1]!thsiFinD("ths_adjustment_nv_fund",V$3,$A164))</x:f>
        <x:v>#NAME?</x:v>
      </x:c>
      <x:c r="W164" s="146" t="e">
        <x:f>IF($A164="","",[1]!thsiFinD("ths_adjustment_nv_fund",W$3,$A164))</x:f>
        <x:v>#NAME?</x:v>
      </x:c>
      <x:c r="X164" s="146" t="e">
        <x:f>IF($A164="","",[1]!thsiFinD("ths_adjustment_nv_fund",X$3,$A164))</x:f>
        <x:v>#NAME?</x:v>
      </x:c>
      <x:c r="Y164" s="146" t="e">
        <x:f>IF($A164="","",[1]!thsiFinD("ths_adjustment_nv_fund",Y$3,$A164))</x:f>
        <x:v>#NAME?</x:v>
      </x:c>
      <x:c r="Z164" s="146" t="e">
        <x:f>IF($A164="","",[1]!thsiFinD("ths_adjustment_nv_fund",Z$3,$A164))</x:f>
        <x:v>#NAME?</x:v>
      </x:c>
      <x:c r="AA164" s="146" t="e">
        <x:f>IF($A164="","",[1]!thsiFinD("ths_adjustment_nv_fund",AA$3,$A164))</x:f>
        <x:v>#NAME?</x:v>
      </x:c>
    </x:row>
    <x:row r="165">
      <x:c r="B165" s="146" t="e">
        <x:f>IF($A165="","",[1]!thsiFinD("ths_adjustment_nv_fund",B$3,$A165))</x:f>
        <x:v>#NAME?</x:v>
      </x:c>
      <x:c r="C165" s="146" t="e">
        <x:f>IF($A165="","",[1]!thsiFinD("ths_adjustment_nv_fund",C$3,$A165))</x:f>
        <x:v>#NAME?</x:v>
      </x:c>
      <x:c r="D165" s="146" t="e">
        <x:f>IF($A165="","",[1]!thsiFinD("ths_adjustment_nv_fund",D$3,$A165))</x:f>
        <x:v>#NAME?</x:v>
      </x:c>
      <x:c r="E165" s="146" t="e">
        <x:f>IF($A165="","",[1]!thsiFinD("ths_adjustment_nv_fund",E$3,$A165))</x:f>
        <x:v>#NAME?</x:v>
      </x:c>
      <x:c r="F165" s="146" t="e">
        <x:f>IF($A165="","",[1]!thsiFinD("ths_adjustment_nv_fund",F$3,$A165))</x:f>
        <x:v>#NAME?</x:v>
      </x:c>
      <x:c r="G165" s="146" t="e">
        <x:f>IF($A165="","",[1]!thsiFinD("ths_adjustment_nv_fund",G$3,$A165))</x:f>
        <x:v>#NAME?</x:v>
      </x:c>
      <x:c r="H165" s="146" t="e">
        <x:f>IF($A165="","",[1]!thsiFinD("ths_adjustment_nv_fund",H$3,$A165))</x:f>
        <x:v>#NAME?</x:v>
      </x:c>
      <x:c r="I165" s="146" t="e">
        <x:f>IF($A165="","",[1]!thsiFinD("ths_adjustment_nv_fund",I$3,$A165))</x:f>
        <x:v>#NAME?</x:v>
      </x:c>
      <x:c r="J165" s="146" t="e">
        <x:f>IF($A165="","",[1]!thsiFinD("ths_adjustment_nv_fund",J$3,$A165))</x:f>
        <x:v>#NAME?</x:v>
      </x:c>
      <x:c r="K165" s="146" t="e">
        <x:f>IF($A165="","",[1]!thsiFinD("ths_adjustment_nv_fund",K$3,$A165))</x:f>
        <x:v>#NAME?</x:v>
      </x:c>
      <x:c r="L165" s="146" t="e">
        <x:f>IF($A165="","",[1]!thsiFinD("ths_adjustment_nv_fund",L$3,$A165))</x:f>
        <x:v>#NAME?</x:v>
      </x:c>
      <x:c r="M165" s="146" t="e">
        <x:f>IF($A165="","",[1]!thsiFinD("ths_adjustment_nv_fund",M$3,$A165))</x:f>
        <x:v>#NAME?</x:v>
      </x:c>
      <x:c r="N165" s="146" t="e">
        <x:f>IF($A165="","",[1]!thsiFinD("ths_adjustment_nv_fund",N$3,$A165))</x:f>
        <x:v>#NAME?</x:v>
      </x:c>
      <x:c r="O165" s="146" t="e">
        <x:f>IF($A165="","",[1]!thsiFinD("ths_adjustment_nv_fund",O$3,$A165))</x:f>
        <x:v>#NAME?</x:v>
      </x:c>
      <x:c r="P165" s="146" t="e">
        <x:f>IF($A165="","",[1]!thsiFinD("ths_adjustment_nv_fund",P$3,$A165))</x:f>
        <x:v>#NAME?</x:v>
      </x:c>
      <x:c r="Q165" s="146" t="e">
        <x:f>IF($A165="","",[1]!thsiFinD("ths_adjustment_nv_fund",Q$3,$A165))</x:f>
        <x:v>#NAME?</x:v>
      </x:c>
      <x:c r="R165" s="146" t="e">
        <x:f>IF($A165="","",[1]!thsiFinD("ths_adjustment_nv_fund",R$3,$A165))</x:f>
        <x:v>#NAME?</x:v>
      </x:c>
      <x:c r="S165" s="146" t="e">
        <x:f>IF($A165="","",[1]!thsiFinD("ths_adjustment_nv_fund",S$3,$A165))</x:f>
        <x:v>#NAME?</x:v>
      </x:c>
      <x:c r="T165" s="146" t="e">
        <x:f>IF($A165="","",[1]!thsiFinD("ths_adjustment_nv_fund",T$3,$A165))</x:f>
        <x:v>#NAME?</x:v>
      </x:c>
      <x:c r="U165" s="146" t="e">
        <x:f>IF($A165="","",[1]!thsiFinD("ths_adjustment_nv_fund",U$3,$A165))</x:f>
        <x:v>#NAME?</x:v>
      </x:c>
      <x:c r="V165" s="146" t="e">
        <x:f>IF($A165="","",[1]!thsiFinD("ths_adjustment_nv_fund",V$3,$A165))</x:f>
        <x:v>#NAME?</x:v>
      </x:c>
      <x:c r="W165" s="146" t="e">
        <x:f>IF($A165="","",[1]!thsiFinD("ths_adjustment_nv_fund",W$3,$A165))</x:f>
        <x:v>#NAME?</x:v>
      </x:c>
      <x:c r="X165" s="146" t="e">
        <x:f>IF($A165="","",[1]!thsiFinD("ths_adjustment_nv_fund",X$3,$A165))</x:f>
        <x:v>#NAME?</x:v>
      </x:c>
      <x:c r="Y165" s="146" t="e">
        <x:f>IF($A165="","",[1]!thsiFinD("ths_adjustment_nv_fund",Y$3,$A165))</x:f>
        <x:v>#NAME?</x:v>
      </x:c>
      <x:c r="Z165" s="146" t="e">
        <x:f>IF($A165="","",[1]!thsiFinD("ths_adjustment_nv_fund",Z$3,$A165))</x:f>
        <x:v>#NAME?</x:v>
      </x:c>
      <x:c r="AA165" s="146" t="e">
        <x:f>IF($A165="","",[1]!thsiFinD("ths_adjustment_nv_fund",AA$3,$A165))</x:f>
        <x:v>#NAME?</x:v>
      </x:c>
    </x:row>
    <x:row r="166">
      <x:c r="B166" s="146" t="e">
        <x:f>IF($A166="","",[1]!thsiFinD("ths_adjustment_nv_fund",B$3,$A166))</x:f>
        <x:v>#NAME?</x:v>
      </x:c>
      <x:c r="C166" s="146" t="e">
        <x:f>IF($A166="","",[1]!thsiFinD("ths_adjustment_nv_fund",C$3,$A166))</x:f>
        <x:v>#NAME?</x:v>
      </x:c>
      <x:c r="D166" s="146" t="e">
        <x:f>IF($A166="","",[1]!thsiFinD("ths_adjustment_nv_fund",D$3,$A166))</x:f>
        <x:v>#NAME?</x:v>
      </x:c>
      <x:c r="E166" s="146" t="e">
        <x:f>IF($A166="","",[1]!thsiFinD("ths_adjustment_nv_fund",E$3,$A166))</x:f>
        <x:v>#NAME?</x:v>
      </x:c>
      <x:c r="F166" s="146" t="e">
        <x:f>IF($A166="","",[1]!thsiFinD("ths_adjustment_nv_fund",F$3,$A166))</x:f>
        <x:v>#NAME?</x:v>
      </x:c>
      <x:c r="G166" s="146" t="e">
        <x:f>IF($A166="","",[1]!thsiFinD("ths_adjustment_nv_fund",G$3,$A166))</x:f>
        <x:v>#NAME?</x:v>
      </x:c>
      <x:c r="H166" s="146" t="e">
        <x:f>IF($A166="","",[1]!thsiFinD("ths_adjustment_nv_fund",H$3,$A166))</x:f>
        <x:v>#NAME?</x:v>
      </x:c>
      <x:c r="I166" s="146" t="e">
        <x:f>IF($A166="","",[1]!thsiFinD("ths_adjustment_nv_fund",I$3,$A166))</x:f>
        <x:v>#NAME?</x:v>
      </x:c>
      <x:c r="J166" s="146" t="e">
        <x:f>IF($A166="","",[1]!thsiFinD("ths_adjustment_nv_fund",J$3,$A166))</x:f>
        <x:v>#NAME?</x:v>
      </x:c>
      <x:c r="K166" s="146" t="e">
        <x:f>IF($A166="","",[1]!thsiFinD("ths_adjustment_nv_fund",K$3,$A166))</x:f>
        <x:v>#NAME?</x:v>
      </x:c>
      <x:c r="L166" s="146" t="e">
        <x:f>IF($A166="","",[1]!thsiFinD("ths_adjustment_nv_fund",L$3,$A166))</x:f>
        <x:v>#NAME?</x:v>
      </x:c>
      <x:c r="M166" s="146" t="e">
        <x:f>IF($A166="","",[1]!thsiFinD("ths_adjustment_nv_fund",M$3,$A166))</x:f>
        <x:v>#NAME?</x:v>
      </x:c>
      <x:c r="N166" s="146" t="e">
        <x:f>IF($A166="","",[1]!thsiFinD("ths_adjustment_nv_fund",N$3,$A166))</x:f>
        <x:v>#NAME?</x:v>
      </x:c>
      <x:c r="O166" s="146" t="e">
        <x:f>IF($A166="","",[1]!thsiFinD("ths_adjustment_nv_fund",O$3,$A166))</x:f>
        <x:v>#NAME?</x:v>
      </x:c>
      <x:c r="P166" s="146" t="e">
        <x:f>IF($A166="","",[1]!thsiFinD("ths_adjustment_nv_fund",P$3,$A166))</x:f>
        <x:v>#NAME?</x:v>
      </x:c>
      <x:c r="Q166" s="146" t="e">
        <x:f>IF($A166="","",[1]!thsiFinD("ths_adjustment_nv_fund",Q$3,$A166))</x:f>
        <x:v>#NAME?</x:v>
      </x:c>
      <x:c r="R166" s="146" t="e">
        <x:f>IF($A166="","",[1]!thsiFinD("ths_adjustment_nv_fund",R$3,$A166))</x:f>
        <x:v>#NAME?</x:v>
      </x:c>
      <x:c r="S166" s="146" t="e">
        <x:f>IF($A166="","",[1]!thsiFinD("ths_adjustment_nv_fund",S$3,$A166))</x:f>
        <x:v>#NAME?</x:v>
      </x:c>
      <x:c r="T166" s="146" t="e">
        <x:f>IF($A166="","",[1]!thsiFinD("ths_adjustment_nv_fund",T$3,$A166))</x:f>
        <x:v>#NAME?</x:v>
      </x:c>
      <x:c r="U166" s="146" t="e">
        <x:f>IF($A166="","",[1]!thsiFinD("ths_adjustment_nv_fund",U$3,$A166))</x:f>
        <x:v>#NAME?</x:v>
      </x:c>
      <x:c r="V166" s="146" t="e">
        <x:f>IF($A166="","",[1]!thsiFinD("ths_adjustment_nv_fund",V$3,$A166))</x:f>
        <x:v>#NAME?</x:v>
      </x:c>
      <x:c r="W166" s="146" t="e">
        <x:f>IF($A166="","",[1]!thsiFinD("ths_adjustment_nv_fund",W$3,$A166))</x:f>
        <x:v>#NAME?</x:v>
      </x:c>
      <x:c r="X166" s="146" t="e">
        <x:f>IF($A166="","",[1]!thsiFinD("ths_adjustment_nv_fund",X$3,$A166))</x:f>
        <x:v>#NAME?</x:v>
      </x:c>
      <x:c r="Y166" s="146" t="e">
        <x:f>IF($A166="","",[1]!thsiFinD("ths_adjustment_nv_fund",Y$3,$A166))</x:f>
        <x:v>#NAME?</x:v>
      </x:c>
      <x:c r="Z166" s="146" t="e">
        <x:f>IF($A166="","",[1]!thsiFinD("ths_adjustment_nv_fund",Z$3,$A166))</x:f>
        <x:v>#NAME?</x:v>
      </x:c>
      <x:c r="AA166" s="146" t="e">
        <x:f>IF($A166="","",[1]!thsiFinD("ths_adjustment_nv_fund",AA$3,$A166))</x:f>
        <x:v>#NAME?</x:v>
      </x:c>
    </x:row>
    <x:row r="167">
      <x:c r="B167" s="146" t="e">
        <x:f>IF($A167="","",[1]!thsiFinD("ths_adjustment_nv_fund",B$3,$A167))</x:f>
        <x:v>#NAME?</x:v>
      </x:c>
      <x:c r="C167" s="146" t="e">
        <x:f>IF($A167="","",[1]!thsiFinD("ths_adjustment_nv_fund",C$3,$A167))</x:f>
        <x:v>#NAME?</x:v>
      </x:c>
      <x:c r="D167" s="146" t="e">
        <x:f>IF($A167="","",[1]!thsiFinD("ths_adjustment_nv_fund",D$3,$A167))</x:f>
        <x:v>#NAME?</x:v>
      </x:c>
      <x:c r="E167" s="146" t="e">
        <x:f>IF($A167="","",[1]!thsiFinD("ths_adjustment_nv_fund",E$3,$A167))</x:f>
        <x:v>#NAME?</x:v>
      </x:c>
      <x:c r="F167" s="146" t="e">
        <x:f>IF($A167="","",[1]!thsiFinD("ths_adjustment_nv_fund",F$3,$A167))</x:f>
        <x:v>#NAME?</x:v>
      </x:c>
      <x:c r="G167" s="146" t="e">
        <x:f>IF($A167="","",[1]!thsiFinD("ths_adjustment_nv_fund",G$3,$A167))</x:f>
        <x:v>#NAME?</x:v>
      </x:c>
      <x:c r="H167" s="146" t="e">
        <x:f>IF($A167="","",[1]!thsiFinD("ths_adjustment_nv_fund",H$3,$A167))</x:f>
        <x:v>#NAME?</x:v>
      </x:c>
      <x:c r="I167" s="146" t="e">
        <x:f>IF($A167="","",[1]!thsiFinD("ths_adjustment_nv_fund",I$3,$A167))</x:f>
        <x:v>#NAME?</x:v>
      </x:c>
      <x:c r="J167" s="146" t="e">
        <x:f>IF($A167="","",[1]!thsiFinD("ths_adjustment_nv_fund",J$3,$A167))</x:f>
        <x:v>#NAME?</x:v>
      </x:c>
      <x:c r="K167" s="146" t="e">
        <x:f>IF($A167="","",[1]!thsiFinD("ths_adjustment_nv_fund",K$3,$A167))</x:f>
        <x:v>#NAME?</x:v>
      </x:c>
      <x:c r="L167" s="146" t="e">
        <x:f>IF($A167="","",[1]!thsiFinD("ths_adjustment_nv_fund",L$3,$A167))</x:f>
        <x:v>#NAME?</x:v>
      </x:c>
      <x:c r="M167" s="146" t="e">
        <x:f>IF($A167="","",[1]!thsiFinD("ths_adjustment_nv_fund",M$3,$A167))</x:f>
        <x:v>#NAME?</x:v>
      </x:c>
      <x:c r="N167" s="146" t="e">
        <x:f>IF($A167="","",[1]!thsiFinD("ths_adjustment_nv_fund",N$3,$A167))</x:f>
        <x:v>#NAME?</x:v>
      </x:c>
      <x:c r="O167" s="146" t="e">
        <x:f>IF($A167="","",[1]!thsiFinD("ths_adjustment_nv_fund",O$3,$A167))</x:f>
        <x:v>#NAME?</x:v>
      </x:c>
      <x:c r="P167" s="146" t="e">
        <x:f>IF($A167="","",[1]!thsiFinD("ths_adjustment_nv_fund",P$3,$A167))</x:f>
        <x:v>#NAME?</x:v>
      </x:c>
      <x:c r="Q167" s="146" t="e">
        <x:f>IF($A167="","",[1]!thsiFinD("ths_adjustment_nv_fund",Q$3,$A167))</x:f>
        <x:v>#NAME?</x:v>
      </x:c>
      <x:c r="R167" s="146" t="e">
        <x:f>IF($A167="","",[1]!thsiFinD("ths_adjustment_nv_fund",R$3,$A167))</x:f>
        <x:v>#NAME?</x:v>
      </x:c>
      <x:c r="S167" s="146" t="e">
        <x:f>IF($A167="","",[1]!thsiFinD("ths_adjustment_nv_fund",S$3,$A167))</x:f>
        <x:v>#NAME?</x:v>
      </x:c>
      <x:c r="T167" s="146" t="e">
        <x:f>IF($A167="","",[1]!thsiFinD("ths_adjustment_nv_fund",T$3,$A167))</x:f>
        <x:v>#NAME?</x:v>
      </x:c>
      <x:c r="U167" s="146" t="e">
        <x:f>IF($A167="","",[1]!thsiFinD("ths_adjustment_nv_fund",U$3,$A167))</x:f>
        <x:v>#NAME?</x:v>
      </x:c>
      <x:c r="V167" s="146" t="e">
        <x:f>IF($A167="","",[1]!thsiFinD("ths_adjustment_nv_fund",V$3,$A167))</x:f>
        <x:v>#NAME?</x:v>
      </x:c>
      <x:c r="W167" s="146" t="e">
        <x:f>IF($A167="","",[1]!thsiFinD("ths_adjustment_nv_fund",W$3,$A167))</x:f>
        <x:v>#NAME?</x:v>
      </x:c>
      <x:c r="X167" s="146" t="e">
        <x:f>IF($A167="","",[1]!thsiFinD("ths_adjustment_nv_fund",X$3,$A167))</x:f>
        <x:v>#NAME?</x:v>
      </x:c>
      <x:c r="Y167" s="146" t="e">
        <x:f>IF($A167="","",[1]!thsiFinD("ths_adjustment_nv_fund",Y$3,$A167))</x:f>
        <x:v>#NAME?</x:v>
      </x:c>
      <x:c r="Z167" s="146" t="e">
        <x:f>IF($A167="","",[1]!thsiFinD("ths_adjustment_nv_fund",Z$3,$A167))</x:f>
        <x:v>#NAME?</x:v>
      </x:c>
      <x:c r="AA167" s="146" t="e">
        <x:f>IF($A167="","",[1]!thsiFinD("ths_adjustment_nv_fund",AA$3,$A167))</x:f>
        <x:v>#NAME?</x:v>
      </x:c>
    </x:row>
    <x:row r="168">
      <x:c r="B168" s="146" t="e">
        <x:f>IF($A168="","",[1]!thsiFinD("ths_adjustment_nv_fund",B$3,$A168))</x:f>
        <x:v>#NAME?</x:v>
      </x:c>
      <x:c r="C168" s="146" t="e">
        <x:f>IF($A168="","",[1]!thsiFinD("ths_adjustment_nv_fund",C$3,$A168))</x:f>
        <x:v>#NAME?</x:v>
      </x:c>
      <x:c r="D168" s="146" t="e">
        <x:f>IF($A168="","",[1]!thsiFinD("ths_adjustment_nv_fund",D$3,$A168))</x:f>
        <x:v>#NAME?</x:v>
      </x:c>
      <x:c r="E168" s="146" t="e">
        <x:f>IF($A168="","",[1]!thsiFinD("ths_adjustment_nv_fund",E$3,$A168))</x:f>
        <x:v>#NAME?</x:v>
      </x:c>
      <x:c r="F168" s="146" t="e">
        <x:f>IF($A168="","",[1]!thsiFinD("ths_adjustment_nv_fund",F$3,$A168))</x:f>
        <x:v>#NAME?</x:v>
      </x:c>
      <x:c r="G168" s="146" t="e">
        <x:f>IF($A168="","",[1]!thsiFinD("ths_adjustment_nv_fund",G$3,$A168))</x:f>
        <x:v>#NAME?</x:v>
      </x:c>
      <x:c r="H168" s="146" t="e">
        <x:f>IF($A168="","",[1]!thsiFinD("ths_adjustment_nv_fund",H$3,$A168))</x:f>
        <x:v>#NAME?</x:v>
      </x:c>
      <x:c r="I168" s="146" t="e">
        <x:f>IF($A168="","",[1]!thsiFinD("ths_adjustment_nv_fund",I$3,$A168))</x:f>
        <x:v>#NAME?</x:v>
      </x:c>
      <x:c r="J168" s="146" t="e">
        <x:f>IF($A168="","",[1]!thsiFinD("ths_adjustment_nv_fund",J$3,$A168))</x:f>
        <x:v>#NAME?</x:v>
      </x:c>
      <x:c r="K168" s="146" t="e">
        <x:f>IF($A168="","",[1]!thsiFinD("ths_adjustment_nv_fund",K$3,$A168))</x:f>
        <x:v>#NAME?</x:v>
      </x:c>
      <x:c r="L168" s="146" t="e">
        <x:f>IF($A168="","",[1]!thsiFinD("ths_adjustment_nv_fund",L$3,$A168))</x:f>
        <x:v>#NAME?</x:v>
      </x:c>
      <x:c r="M168" s="146" t="e">
        <x:f>IF($A168="","",[1]!thsiFinD("ths_adjustment_nv_fund",M$3,$A168))</x:f>
        <x:v>#NAME?</x:v>
      </x:c>
      <x:c r="N168" s="146" t="e">
        <x:f>IF($A168="","",[1]!thsiFinD("ths_adjustment_nv_fund",N$3,$A168))</x:f>
        <x:v>#NAME?</x:v>
      </x:c>
      <x:c r="O168" s="146" t="e">
        <x:f>IF($A168="","",[1]!thsiFinD("ths_adjustment_nv_fund",O$3,$A168))</x:f>
        <x:v>#NAME?</x:v>
      </x:c>
      <x:c r="P168" s="146" t="e">
        <x:f>IF($A168="","",[1]!thsiFinD("ths_adjustment_nv_fund",P$3,$A168))</x:f>
        <x:v>#NAME?</x:v>
      </x:c>
      <x:c r="Q168" s="146" t="e">
        <x:f>IF($A168="","",[1]!thsiFinD("ths_adjustment_nv_fund",Q$3,$A168))</x:f>
        <x:v>#NAME?</x:v>
      </x:c>
      <x:c r="R168" s="146" t="e">
        <x:f>IF($A168="","",[1]!thsiFinD("ths_adjustment_nv_fund",R$3,$A168))</x:f>
        <x:v>#NAME?</x:v>
      </x:c>
      <x:c r="S168" s="146" t="e">
        <x:f>IF($A168="","",[1]!thsiFinD("ths_adjustment_nv_fund",S$3,$A168))</x:f>
        <x:v>#NAME?</x:v>
      </x:c>
      <x:c r="T168" s="146" t="e">
        <x:f>IF($A168="","",[1]!thsiFinD("ths_adjustment_nv_fund",T$3,$A168))</x:f>
        <x:v>#NAME?</x:v>
      </x:c>
      <x:c r="U168" s="146" t="e">
        <x:f>IF($A168="","",[1]!thsiFinD("ths_adjustment_nv_fund",U$3,$A168))</x:f>
        <x:v>#NAME?</x:v>
      </x:c>
      <x:c r="V168" s="146" t="e">
        <x:f>IF($A168="","",[1]!thsiFinD("ths_adjustment_nv_fund",V$3,$A168))</x:f>
        <x:v>#NAME?</x:v>
      </x:c>
      <x:c r="W168" s="146" t="e">
        <x:f>IF($A168="","",[1]!thsiFinD("ths_adjustment_nv_fund",W$3,$A168))</x:f>
        <x:v>#NAME?</x:v>
      </x:c>
      <x:c r="X168" s="146" t="e">
        <x:f>IF($A168="","",[1]!thsiFinD("ths_adjustment_nv_fund",X$3,$A168))</x:f>
        <x:v>#NAME?</x:v>
      </x:c>
      <x:c r="Y168" s="146" t="e">
        <x:f>IF($A168="","",[1]!thsiFinD("ths_adjustment_nv_fund",Y$3,$A168))</x:f>
        <x:v>#NAME?</x:v>
      </x:c>
      <x:c r="Z168" s="146" t="e">
        <x:f>IF($A168="","",[1]!thsiFinD("ths_adjustment_nv_fund",Z$3,$A168))</x:f>
        <x:v>#NAME?</x:v>
      </x:c>
      <x:c r="AA168" s="146" t="e">
        <x:f>IF($A168="","",[1]!thsiFinD("ths_adjustment_nv_fund",AA$3,$A168))</x:f>
        <x:v>#NAME?</x:v>
      </x:c>
    </x:row>
    <x:row r="169">
      <x:c r="B169" s="146" t="e">
        <x:f>IF($A169="","",[1]!thsiFinD("ths_adjustment_nv_fund",B$3,$A169))</x:f>
        <x:v>#NAME?</x:v>
      </x:c>
      <x:c r="C169" s="146" t="e">
        <x:f>IF($A169="","",[1]!thsiFinD("ths_adjustment_nv_fund",C$3,$A169))</x:f>
        <x:v>#NAME?</x:v>
      </x:c>
      <x:c r="D169" s="146" t="e">
        <x:f>IF($A169="","",[1]!thsiFinD("ths_adjustment_nv_fund",D$3,$A169))</x:f>
        <x:v>#NAME?</x:v>
      </x:c>
      <x:c r="E169" s="146" t="e">
        <x:f>IF($A169="","",[1]!thsiFinD("ths_adjustment_nv_fund",E$3,$A169))</x:f>
        <x:v>#NAME?</x:v>
      </x:c>
      <x:c r="F169" s="146" t="e">
        <x:f>IF($A169="","",[1]!thsiFinD("ths_adjustment_nv_fund",F$3,$A169))</x:f>
        <x:v>#NAME?</x:v>
      </x:c>
      <x:c r="G169" s="146" t="e">
        <x:f>IF($A169="","",[1]!thsiFinD("ths_adjustment_nv_fund",G$3,$A169))</x:f>
        <x:v>#NAME?</x:v>
      </x:c>
      <x:c r="H169" s="146" t="e">
        <x:f>IF($A169="","",[1]!thsiFinD("ths_adjustment_nv_fund",H$3,$A169))</x:f>
        <x:v>#NAME?</x:v>
      </x:c>
      <x:c r="I169" s="146" t="e">
        <x:f>IF($A169="","",[1]!thsiFinD("ths_adjustment_nv_fund",I$3,$A169))</x:f>
        <x:v>#NAME?</x:v>
      </x:c>
      <x:c r="J169" s="146" t="e">
        <x:f>IF($A169="","",[1]!thsiFinD("ths_adjustment_nv_fund",J$3,$A169))</x:f>
        <x:v>#NAME?</x:v>
      </x:c>
      <x:c r="K169" s="146" t="e">
        <x:f>IF($A169="","",[1]!thsiFinD("ths_adjustment_nv_fund",K$3,$A169))</x:f>
        <x:v>#NAME?</x:v>
      </x:c>
      <x:c r="L169" s="146" t="e">
        <x:f>IF($A169="","",[1]!thsiFinD("ths_adjustment_nv_fund",L$3,$A169))</x:f>
        <x:v>#NAME?</x:v>
      </x:c>
      <x:c r="M169" s="146" t="e">
        <x:f>IF($A169="","",[1]!thsiFinD("ths_adjustment_nv_fund",M$3,$A169))</x:f>
        <x:v>#NAME?</x:v>
      </x:c>
      <x:c r="N169" s="146" t="e">
        <x:f>IF($A169="","",[1]!thsiFinD("ths_adjustment_nv_fund",N$3,$A169))</x:f>
        <x:v>#NAME?</x:v>
      </x:c>
      <x:c r="O169" s="146" t="e">
        <x:f>IF($A169="","",[1]!thsiFinD("ths_adjustment_nv_fund",O$3,$A169))</x:f>
        <x:v>#NAME?</x:v>
      </x:c>
      <x:c r="P169" s="146" t="e">
        <x:f>IF($A169="","",[1]!thsiFinD("ths_adjustment_nv_fund",P$3,$A169))</x:f>
        <x:v>#NAME?</x:v>
      </x:c>
      <x:c r="Q169" s="146" t="e">
        <x:f>IF($A169="","",[1]!thsiFinD("ths_adjustment_nv_fund",Q$3,$A169))</x:f>
        <x:v>#NAME?</x:v>
      </x:c>
      <x:c r="R169" s="146" t="e">
        <x:f>IF($A169="","",[1]!thsiFinD("ths_adjustment_nv_fund",R$3,$A169))</x:f>
        <x:v>#NAME?</x:v>
      </x:c>
      <x:c r="S169" s="146" t="e">
        <x:f>IF($A169="","",[1]!thsiFinD("ths_adjustment_nv_fund",S$3,$A169))</x:f>
        <x:v>#NAME?</x:v>
      </x:c>
      <x:c r="T169" s="146" t="e">
        <x:f>IF($A169="","",[1]!thsiFinD("ths_adjustment_nv_fund",T$3,$A169))</x:f>
        <x:v>#NAME?</x:v>
      </x:c>
      <x:c r="U169" s="146" t="e">
        <x:f>IF($A169="","",[1]!thsiFinD("ths_adjustment_nv_fund",U$3,$A169))</x:f>
        <x:v>#NAME?</x:v>
      </x:c>
      <x:c r="V169" s="146" t="e">
        <x:f>IF($A169="","",[1]!thsiFinD("ths_adjustment_nv_fund",V$3,$A169))</x:f>
        <x:v>#NAME?</x:v>
      </x:c>
      <x:c r="W169" s="146" t="e">
        <x:f>IF($A169="","",[1]!thsiFinD("ths_adjustment_nv_fund",W$3,$A169))</x:f>
        <x:v>#NAME?</x:v>
      </x:c>
      <x:c r="X169" s="146" t="e">
        <x:f>IF($A169="","",[1]!thsiFinD("ths_adjustment_nv_fund",X$3,$A169))</x:f>
        <x:v>#NAME?</x:v>
      </x:c>
      <x:c r="Y169" s="146" t="e">
        <x:f>IF($A169="","",[1]!thsiFinD("ths_adjustment_nv_fund",Y$3,$A169))</x:f>
        <x:v>#NAME?</x:v>
      </x:c>
      <x:c r="Z169" s="146" t="e">
        <x:f>IF($A169="","",[1]!thsiFinD("ths_adjustment_nv_fund",Z$3,$A169))</x:f>
        <x:v>#NAME?</x:v>
      </x:c>
      <x:c r="AA169" s="146" t="e">
        <x:f>IF($A169="","",[1]!thsiFinD("ths_adjustment_nv_fund",AA$3,$A169))</x:f>
        <x:v>#NAME?</x:v>
      </x:c>
    </x:row>
    <x:row r="170">
      <x:c r="B170" s="146" t="e">
        <x:f>IF($A170="","",[1]!thsiFinD("ths_adjustment_nv_fund",B$3,$A170))</x:f>
        <x:v>#NAME?</x:v>
      </x:c>
      <x:c r="C170" s="146" t="e">
        <x:f>IF($A170="","",[1]!thsiFinD("ths_adjustment_nv_fund",C$3,$A170))</x:f>
        <x:v>#NAME?</x:v>
      </x:c>
      <x:c r="D170" s="146" t="e">
        <x:f>IF($A170="","",[1]!thsiFinD("ths_adjustment_nv_fund",D$3,$A170))</x:f>
        <x:v>#NAME?</x:v>
      </x:c>
      <x:c r="E170" s="146" t="e">
        <x:f>IF($A170="","",[1]!thsiFinD("ths_adjustment_nv_fund",E$3,$A170))</x:f>
        <x:v>#NAME?</x:v>
      </x:c>
      <x:c r="F170" s="146" t="e">
        <x:f>IF($A170="","",[1]!thsiFinD("ths_adjustment_nv_fund",F$3,$A170))</x:f>
        <x:v>#NAME?</x:v>
      </x:c>
      <x:c r="G170" s="146" t="e">
        <x:f>IF($A170="","",[1]!thsiFinD("ths_adjustment_nv_fund",G$3,$A170))</x:f>
        <x:v>#NAME?</x:v>
      </x:c>
      <x:c r="H170" s="146" t="e">
        <x:f>IF($A170="","",[1]!thsiFinD("ths_adjustment_nv_fund",H$3,$A170))</x:f>
        <x:v>#NAME?</x:v>
      </x:c>
      <x:c r="I170" s="146" t="e">
        <x:f>IF($A170="","",[1]!thsiFinD("ths_adjustment_nv_fund",I$3,$A170))</x:f>
        <x:v>#NAME?</x:v>
      </x:c>
      <x:c r="J170" s="146" t="e">
        <x:f>IF($A170="","",[1]!thsiFinD("ths_adjustment_nv_fund",J$3,$A170))</x:f>
        <x:v>#NAME?</x:v>
      </x:c>
      <x:c r="K170" s="146" t="e">
        <x:f>IF($A170="","",[1]!thsiFinD("ths_adjustment_nv_fund",K$3,$A170))</x:f>
        <x:v>#NAME?</x:v>
      </x:c>
      <x:c r="L170" s="146" t="e">
        <x:f>IF($A170="","",[1]!thsiFinD("ths_adjustment_nv_fund",L$3,$A170))</x:f>
        <x:v>#NAME?</x:v>
      </x:c>
      <x:c r="M170" s="146" t="e">
        <x:f>IF($A170="","",[1]!thsiFinD("ths_adjustment_nv_fund",M$3,$A170))</x:f>
        <x:v>#NAME?</x:v>
      </x:c>
      <x:c r="N170" s="146" t="e">
        <x:f>IF($A170="","",[1]!thsiFinD("ths_adjustment_nv_fund",N$3,$A170))</x:f>
        <x:v>#NAME?</x:v>
      </x:c>
      <x:c r="O170" s="146" t="e">
        <x:f>IF($A170="","",[1]!thsiFinD("ths_adjustment_nv_fund",O$3,$A170))</x:f>
        <x:v>#NAME?</x:v>
      </x:c>
      <x:c r="P170" s="146" t="e">
        <x:f>IF($A170="","",[1]!thsiFinD("ths_adjustment_nv_fund",P$3,$A170))</x:f>
        <x:v>#NAME?</x:v>
      </x:c>
      <x:c r="Q170" s="146" t="e">
        <x:f>IF($A170="","",[1]!thsiFinD("ths_adjustment_nv_fund",Q$3,$A170))</x:f>
        <x:v>#NAME?</x:v>
      </x:c>
      <x:c r="R170" s="146" t="e">
        <x:f>IF($A170="","",[1]!thsiFinD("ths_adjustment_nv_fund",R$3,$A170))</x:f>
        <x:v>#NAME?</x:v>
      </x:c>
      <x:c r="S170" s="146" t="e">
        <x:f>IF($A170="","",[1]!thsiFinD("ths_adjustment_nv_fund",S$3,$A170))</x:f>
        <x:v>#NAME?</x:v>
      </x:c>
      <x:c r="T170" s="146" t="e">
        <x:f>IF($A170="","",[1]!thsiFinD("ths_adjustment_nv_fund",T$3,$A170))</x:f>
        <x:v>#NAME?</x:v>
      </x:c>
      <x:c r="U170" s="146" t="e">
        <x:f>IF($A170="","",[1]!thsiFinD("ths_adjustment_nv_fund",U$3,$A170))</x:f>
        <x:v>#NAME?</x:v>
      </x:c>
      <x:c r="V170" s="146" t="e">
        <x:f>IF($A170="","",[1]!thsiFinD("ths_adjustment_nv_fund",V$3,$A170))</x:f>
        <x:v>#NAME?</x:v>
      </x:c>
      <x:c r="W170" s="146" t="e">
        <x:f>IF($A170="","",[1]!thsiFinD("ths_adjustment_nv_fund",W$3,$A170))</x:f>
        <x:v>#NAME?</x:v>
      </x:c>
      <x:c r="X170" s="146" t="e">
        <x:f>IF($A170="","",[1]!thsiFinD("ths_adjustment_nv_fund",X$3,$A170))</x:f>
        <x:v>#NAME?</x:v>
      </x:c>
      <x:c r="Y170" s="146" t="e">
        <x:f>IF($A170="","",[1]!thsiFinD("ths_adjustment_nv_fund",Y$3,$A170))</x:f>
        <x:v>#NAME?</x:v>
      </x:c>
      <x:c r="Z170" s="146" t="e">
        <x:f>IF($A170="","",[1]!thsiFinD("ths_adjustment_nv_fund",Z$3,$A170))</x:f>
        <x:v>#NAME?</x:v>
      </x:c>
      <x:c r="AA170" s="146" t="e">
        <x:f>IF($A170="","",[1]!thsiFinD("ths_adjustment_nv_fund",AA$3,$A170))</x:f>
        <x:v>#NAME?</x:v>
      </x:c>
    </x:row>
    <x:row r="171">
      <x:c r="B171" s="146" t="e">
        <x:f>IF($A171="","",[1]!thsiFinD("ths_adjustment_nv_fund",B$3,$A171))</x:f>
        <x:v>#NAME?</x:v>
      </x:c>
      <x:c r="C171" s="146" t="e">
        <x:f>IF($A171="","",[1]!thsiFinD("ths_adjustment_nv_fund",C$3,$A171))</x:f>
        <x:v>#NAME?</x:v>
      </x:c>
      <x:c r="D171" s="146" t="e">
        <x:f>IF($A171="","",[1]!thsiFinD("ths_adjustment_nv_fund",D$3,$A171))</x:f>
        <x:v>#NAME?</x:v>
      </x:c>
      <x:c r="E171" s="146" t="e">
        <x:f>IF($A171="","",[1]!thsiFinD("ths_adjustment_nv_fund",E$3,$A171))</x:f>
        <x:v>#NAME?</x:v>
      </x:c>
      <x:c r="F171" s="146" t="e">
        <x:f>IF($A171="","",[1]!thsiFinD("ths_adjustment_nv_fund",F$3,$A171))</x:f>
        <x:v>#NAME?</x:v>
      </x:c>
      <x:c r="G171" s="146" t="e">
        <x:f>IF($A171="","",[1]!thsiFinD("ths_adjustment_nv_fund",G$3,$A171))</x:f>
        <x:v>#NAME?</x:v>
      </x:c>
      <x:c r="H171" s="146" t="e">
        <x:f>IF($A171="","",[1]!thsiFinD("ths_adjustment_nv_fund",H$3,$A171))</x:f>
        <x:v>#NAME?</x:v>
      </x:c>
      <x:c r="I171" s="146" t="e">
        <x:f>IF($A171="","",[1]!thsiFinD("ths_adjustment_nv_fund",I$3,$A171))</x:f>
        <x:v>#NAME?</x:v>
      </x:c>
      <x:c r="J171" s="146" t="e">
        <x:f>IF($A171="","",[1]!thsiFinD("ths_adjustment_nv_fund",J$3,$A171))</x:f>
        <x:v>#NAME?</x:v>
      </x:c>
      <x:c r="K171" s="146" t="e">
        <x:f>IF($A171="","",[1]!thsiFinD("ths_adjustment_nv_fund",K$3,$A171))</x:f>
        <x:v>#NAME?</x:v>
      </x:c>
      <x:c r="L171" s="146" t="e">
        <x:f>IF($A171="","",[1]!thsiFinD("ths_adjustment_nv_fund",L$3,$A171))</x:f>
        <x:v>#NAME?</x:v>
      </x:c>
      <x:c r="M171" s="146" t="e">
        <x:f>IF($A171="","",[1]!thsiFinD("ths_adjustment_nv_fund",M$3,$A171))</x:f>
        <x:v>#NAME?</x:v>
      </x:c>
      <x:c r="N171" s="146" t="e">
        <x:f>IF($A171="","",[1]!thsiFinD("ths_adjustment_nv_fund",N$3,$A171))</x:f>
        <x:v>#NAME?</x:v>
      </x:c>
      <x:c r="O171" s="146" t="e">
        <x:f>IF($A171="","",[1]!thsiFinD("ths_adjustment_nv_fund",O$3,$A171))</x:f>
        <x:v>#NAME?</x:v>
      </x:c>
      <x:c r="P171" s="146" t="e">
        <x:f>IF($A171="","",[1]!thsiFinD("ths_adjustment_nv_fund",P$3,$A171))</x:f>
        <x:v>#NAME?</x:v>
      </x:c>
      <x:c r="Q171" s="146" t="e">
        <x:f>IF($A171="","",[1]!thsiFinD("ths_adjustment_nv_fund",Q$3,$A171))</x:f>
        <x:v>#NAME?</x:v>
      </x:c>
      <x:c r="R171" s="146" t="e">
        <x:f>IF($A171="","",[1]!thsiFinD("ths_adjustment_nv_fund",R$3,$A171))</x:f>
        <x:v>#NAME?</x:v>
      </x:c>
      <x:c r="S171" s="146" t="e">
        <x:f>IF($A171="","",[1]!thsiFinD("ths_adjustment_nv_fund",S$3,$A171))</x:f>
        <x:v>#NAME?</x:v>
      </x:c>
      <x:c r="T171" s="146" t="e">
        <x:f>IF($A171="","",[1]!thsiFinD("ths_adjustment_nv_fund",T$3,$A171))</x:f>
        <x:v>#NAME?</x:v>
      </x:c>
      <x:c r="U171" s="146" t="e">
        <x:f>IF($A171="","",[1]!thsiFinD("ths_adjustment_nv_fund",U$3,$A171))</x:f>
        <x:v>#NAME?</x:v>
      </x:c>
      <x:c r="V171" s="146" t="e">
        <x:f>IF($A171="","",[1]!thsiFinD("ths_adjustment_nv_fund",V$3,$A171))</x:f>
        <x:v>#NAME?</x:v>
      </x:c>
      <x:c r="W171" s="146" t="e">
        <x:f>IF($A171="","",[1]!thsiFinD("ths_adjustment_nv_fund",W$3,$A171))</x:f>
        <x:v>#NAME?</x:v>
      </x:c>
      <x:c r="X171" s="146" t="e">
        <x:f>IF($A171="","",[1]!thsiFinD("ths_adjustment_nv_fund",X$3,$A171))</x:f>
        <x:v>#NAME?</x:v>
      </x:c>
      <x:c r="Y171" s="146" t="e">
        <x:f>IF($A171="","",[1]!thsiFinD("ths_adjustment_nv_fund",Y$3,$A171))</x:f>
        <x:v>#NAME?</x:v>
      </x:c>
      <x:c r="Z171" s="146" t="e">
        <x:f>IF($A171="","",[1]!thsiFinD("ths_adjustment_nv_fund",Z$3,$A171))</x:f>
        <x:v>#NAME?</x:v>
      </x:c>
      <x:c r="AA171" s="146" t="e">
        <x:f>IF($A171="","",[1]!thsiFinD("ths_adjustment_nv_fund",AA$3,$A171))</x:f>
        <x:v>#NAME?</x:v>
      </x:c>
    </x:row>
    <x:row r="172">
      <x:c r="B172" s="146" t="e">
        <x:f>IF($A172="","",[1]!thsiFinD("ths_adjustment_nv_fund",B$3,$A172))</x:f>
        <x:v>#NAME?</x:v>
      </x:c>
      <x:c r="C172" s="146" t="e">
        <x:f>IF($A172="","",[1]!thsiFinD("ths_adjustment_nv_fund",C$3,$A172))</x:f>
        <x:v>#NAME?</x:v>
      </x:c>
      <x:c r="D172" s="146" t="e">
        <x:f>IF($A172="","",[1]!thsiFinD("ths_adjustment_nv_fund",D$3,$A172))</x:f>
        <x:v>#NAME?</x:v>
      </x:c>
      <x:c r="E172" s="146" t="e">
        <x:f>IF($A172="","",[1]!thsiFinD("ths_adjustment_nv_fund",E$3,$A172))</x:f>
        <x:v>#NAME?</x:v>
      </x:c>
      <x:c r="F172" s="146" t="e">
        <x:f>IF($A172="","",[1]!thsiFinD("ths_adjustment_nv_fund",F$3,$A172))</x:f>
        <x:v>#NAME?</x:v>
      </x:c>
      <x:c r="G172" s="146" t="e">
        <x:f>IF($A172="","",[1]!thsiFinD("ths_adjustment_nv_fund",G$3,$A172))</x:f>
        <x:v>#NAME?</x:v>
      </x:c>
      <x:c r="H172" s="146" t="e">
        <x:f>IF($A172="","",[1]!thsiFinD("ths_adjustment_nv_fund",H$3,$A172))</x:f>
        <x:v>#NAME?</x:v>
      </x:c>
      <x:c r="I172" s="146" t="e">
        <x:f>IF($A172="","",[1]!thsiFinD("ths_adjustment_nv_fund",I$3,$A172))</x:f>
        <x:v>#NAME?</x:v>
      </x:c>
      <x:c r="J172" s="146" t="e">
        <x:f>IF($A172="","",[1]!thsiFinD("ths_adjustment_nv_fund",J$3,$A172))</x:f>
        <x:v>#NAME?</x:v>
      </x:c>
      <x:c r="K172" s="146" t="e">
        <x:f>IF($A172="","",[1]!thsiFinD("ths_adjustment_nv_fund",K$3,$A172))</x:f>
        <x:v>#NAME?</x:v>
      </x:c>
      <x:c r="L172" s="146" t="e">
        <x:f>IF($A172="","",[1]!thsiFinD("ths_adjustment_nv_fund",L$3,$A172))</x:f>
        <x:v>#NAME?</x:v>
      </x:c>
      <x:c r="M172" s="146" t="e">
        <x:f>IF($A172="","",[1]!thsiFinD("ths_adjustment_nv_fund",M$3,$A172))</x:f>
        <x:v>#NAME?</x:v>
      </x:c>
      <x:c r="N172" s="146" t="e">
        <x:f>IF($A172="","",[1]!thsiFinD("ths_adjustment_nv_fund",N$3,$A172))</x:f>
        <x:v>#NAME?</x:v>
      </x:c>
      <x:c r="O172" s="146" t="e">
        <x:f>IF($A172="","",[1]!thsiFinD("ths_adjustment_nv_fund",O$3,$A172))</x:f>
        <x:v>#NAME?</x:v>
      </x:c>
      <x:c r="P172" s="146" t="e">
        <x:f>IF($A172="","",[1]!thsiFinD("ths_adjustment_nv_fund",P$3,$A172))</x:f>
        <x:v>#NAME?</x:v>
      </x:c>
      <x:c r="Q172" s="146" t="e">
        <x:f>IF($A172="","",[1]!thsiFinD("ths_adjustment_nv_fund",Q$3,$A172))</x:f>
        <x:v>#NAME?</x:v>
      </x:c>
      <x:c r="R172" s="146" t="e">
        <x:f>IF($A172="","",[1]!thsiFinD("ths_adjustment_nv_fund",R$3,$A172))</x:f>
        <x:v>#NAME?</x:v>
      </x:c>
      <x:c r="S172" s="146" t="e">
        <x:f>IF($A172="","",[1]!thsiFinD("ths_adjustment_nv_fund",S$3,$A172))</x:f>
        <x:v>#NAME?</x:v>
      </x:c>
      <x:c r="T172" s="146" t="e">
        <x:f>IF($A172="","",[1]!thsiFinD("ths_adjustment_nv_fund",T$3,$A172))</x:f>
        <x:v>#NAME?</x:v>
      </x:c>
      <x:c r="U172" s="146" t="e">
        <x:f>IF($A172="","",[1]!thsiFinD("ths_adjustment_nv_fund",U$3,$A172))</x:f>
        <x:v>#NAME?</x:v>
      </x:c>
      <x:c r="V172" s="146" t="e">
        <x:f>IF($A172="","",[1]!thsiFinD("ths_adjustment_nv_fund",V$3,$A172))</x:f>
        <x:v>#NAME?</x:v>
      </x:c>
      <x:c r="W172" s="146" t="e">
        <x:f>IF($A172="","",[1]!thsiFinD("ths_adjustment_nv_fund",W$3,$A172))</x:f>
        <x:v>#NAME?</x:v>
      </x:c>
      <x:c r="X172" s="146" t="e">
        <x:f>IF($A172="","",[1]!thsiFinD("ths_adjustment_nv_fund",X$3,$A172))</x:f>
        <x:v>#NAME?</x:v>
      </x:c>
      <x:c r="Y172" s="146" t="e">
        <x:f>IF($A172="","",[1]!thsiFinD("ths_adjustment_nv_fund",Y$3,$A172))</x:f>
        <x:v>#NAME?</x:v>
      </x:c>
      <x:c r="Z172" s="146" t="e">
        <x:f>IF($A172="","",[1]!thsiFinD("ths_adjustment_nv_fund",Z$3,$A172))</x:f>
        <x:v>#NAME?</x:v>
      </x:c>
      <x:c r="AA172" s="146" t="e">
        <x:f>IF($A172="","",[1]!thsiFinD("ths_adjustment_nv_fund",AA$3,$A172))</x:f>
        <x:v>#NAME?</x:v>
      </x:c>
    </x:row>
    <x:row r="173">
      <x:c r="B173" s="146" t="e">
        <x:f>IF($A173="","",[1]!thsiFinD("ths_adjustment_nv_fund",B$3,$A173))</x:f>
        <x:v>#NAME?</x:v>
      </x:c>
      <x:c r="C173" s="146" t="e">
        <x:f>IF($A173="","",[1]!thsiFinD("ths_adjustment_nv_fund",C$3,$A173))</x:f>
        <x:v>#NAME?</x:v>
      </x:c>
      <x:c r="D173" s="146" t="e">
        <x:f>IF($A173="","",[1]!thsiFinD("ths_adjustment_nv_fund",D$3,$A173))</x:f>
        <x:v>#NAME?</x:v>
      </x:c>
      <x:c r="E173" s="146" t="e">
        <x:f>IF($A173="","",[1]!thsiFinD("ths_adjustment_nv_fund",E$3,$A173))</x:f>
        <x:v>#NAME?</x:v>
      </x:c>
      <x:c r="F173" s="146" t="e">
        <x:f>IF($A173="","",[1]!thsiFinD("ths_adjustment_nv_fund",F$3,$A173))</x:f>
        <x:v>#NAME?</x:v>
      </x:c>
      <x:c r="G173" s="146" t="e">
        <x:f>IF($A173="","",[1]!thsiFinD("ths_adjustment_nv_fund",G$3,$A173))</x:f>
        <x:v>#NAME?</x:v>
      </x:c>
      <x:c r="H173" s="146" t="e">
        <x:f>IF($A173="","",[1]!thsiFinD("ths_adjustment_nv_fund",H$3,$A173))</x:f>
        <x:v>#NAME?</x:v>
      </x:c>
      <x:c r="I173" s="146" t="e">
        <x:f>IF($A173="","",[1]!thsiFinD("ths_adjustment_nv_fund",I$3,$A173))</x:f>
        <x:v>#NAME?</x:v>
      </x:c>
      <x:c r="J173" s="146" t="e">
        <x:f>IF($A173="","",[1]!thsiFinD("ths_adjustment_nv_fund",J$3,$A173))</x:f>
        <x:v>#NAME?</x:v>
      </x:c>
      <x:c r="K173" s="146" t="e">
        <x:f>IF($A173="","",[1]!thsiFinD("ths_adjustment_nv_fund",K$3,$A173))</x:f>
        <x:v>#NAME?</x:v>
      </x:c>
      <x:c r="L173" s="146" t="e">
        <x:f>IF($A173="","",[1]!thsiFinD("ths_adjustment_nv_fund",L$3,$A173))</x:f>
        <x:v>#NAME?</x:v>
      </x:c>
      <x:c r="M173" s="146" t="e">
        <x:f>IF($A173="","",[1]!thsiFinD("ths_adjustment_nv_fund",M$3,$A173))</x:f>
        <x:v>#NAME?</x:v>
      </x:c>
      <x:c r="N173" s="146" t="e">
        <x:f>IF($A173="","",[1]!thsiFinD("ths_adjustment_nv_fund",N$3,$A173))</x:f>
        <x:v>#NAME?</x:v>
      </x:c>
      <x:c r="O173" s="146" t="e">
        <x:f>IF($A173="","",[1]!thsiFinD("ths_adjustment_nv_fund",O$3,$A173))</x:f>
        <x:v>#NAME?</x:v>
      </x:c>
      <x:c r="P173" s="146" t="e">
        <x:f>IF($A173="","",[1]!thsiFinD("ths_adjustment_nv_fund",P$3,$A173))</x:f>
        <x:v>#NAME?</x:v>
      </x:c>
      <x:c r="Q173" s="146" t="e">
        <x:f>IF($A173="","",[1]!thsiFinD("ths_adjustment_nv_fund",Q$3,$A173))</x:f>
        <x:v>#NAME?</x:v>
      </x:c>
      <x:c r="R173" s="146" t="e">
        <x:f>IF($A173="","",[1]!thsiFinD("ths_adjustment_nv_fund",R$3,$A173))</x:f>
        <x:v>#NAME?</x:v>
      </x:c>
      <x:c r="S173" s="146" t="e">
        <x:f>IF($A173="","",[1]!thsiFinD("ths_adjustment_nv_fund",S$3,$A173))</x:f>
        <x:v>#NAME?</x:v>
      </x:c>
      <x:c r="T173" s="146" t="e">
        <x:f>IF($A173="","",[1]!thsiFinD("ths_adjustment_nv_fund",T$3,$A173))</x:f>
        <x:v>#NAME?</x:v>
      </x:c>
      <x:c r="U173" s="146" t="e">
        <x:f>IF($A173="","",[1]!thsiFinD("ths_adjustment_nv_fund",U$3,$A173))</x:f>
        <x:v>#NAME?</x:v>
      </x:c>
      <x:c r="V173" s="146" t="e">
        <x:f>IF($A173="","",[1]!thsiFinD("ths_adjustment_nv_fund",V$3,$A173))</x:f>
        <x:v>#NAME?</x:v>
      </x:c>
      <x:c r="W173" s="146" t="e">
        <x:f>IF($A173="","",[1]!thsiFinD("ths_adjustment_nv_fund",W$3,$A173))</x:f>
        <x:v>#NAME?</x:v>
      </x:c>
      <x:c r="X173" s="146" t="e">
        <x:f>IF($A173="","",[1]!thsiFinD("ths_adjustment_nv_fund",X$3,$A173))</x:f>
        <x:v>#NAME?</x:v>
      </x:c>
      <x:c r="Y173" s="146" t="e">
        <x:f>IF($A173="","",[1]!thsiFinD("ths_adjustment_nv_fund",Y$3,$A173))</x:f>
        <x:v>#NAME?</x:v>
      </x:c>
      <x:c r="Z173" s="146" t="e">
        <x:f>IF($A173="","",[1]!thsiFinD("ths_adjustment_nv_fund",Z$3,$A173))</x:f>
        <x:v>#NAME?</x:v>
      </x:c>
      <x:c r="AA173" s="146" t="e">
        <x:f>IF($A173="","",[1]!thsiFinD("ths_adjustment_nv_fund",AA$3,$A173))</x:f>
        <x:v>#NAME?</x:v>
      </x:c>
    </x:row>
    <x:row r="174">
      <x:c r="B174" s="146" t="e">
        <x:f>IF($A174="","",[1]!thsiFinD("ths_adjustment_nv_fund",B$3,$A174))</x:f>
        <x:v>#NAME?</x:v>
      </x:c>
      <x:c r="C174" s="146" t="e">
        <x:f>IF($A174="","",[1]!thsiFinD("ths_adjustment_nv_fund",C$3,$A174))</x:f>
        <x:v>#NAME?</x:v>
      </x:c>
      <x:c r="D174" s="146" t="e">
        <x:f>IF($A174="","",[1]!thsiFinD("ths_adjustment_nv_fund",D$3,$A174))</x:f>
        <x:v>#NAME?</x:v>
      </x:c>
      <x:c r="E174" s="146" t="e">
        <x:f>IF($A174="","",[1]!thsiFinD("ths_adjustment_nv_fund",E$3,$A174))</x:f>
        <x:v>#NAME?</x:v>
      </x:c>
      <x:c r="F174" s="146" t="e">
        <x:f>IF($A174="","",[1]!thsiFinD("ths_adjustment_nv_fund",F$3,$A174))</x:f>
        <x:v>#NAME?</x:v>
      </x:c>
      <x:c r="G174" s="146" t="e">
        <x:f>IF($A174="","",[1]!thsiFinD("ths_adjustment_nv_fund",G$3,$A174))</x:f>
        <x:v>#NAME?</x:v>
      </x:c>
      <x:c r="H174" s="146" t="e">
        <x:f>IF($A174="","",[1]!thsiFinD("ths_adjustment_nv_fund",H$3,$A174))</x:f>
        <x:v>#NAME?</x:v>
      </x:c>
      <x:c r="I174" s="146" t="e">
        <x:f>IF($A174="","",[1]!thsiFinD("ths_adjustment_nv_fund",I$3,$A174))</x:f>
        <x:v>#NAME?</x:v>
      </x:c>
      <x:c r="J174" s="146" t="e">
        <x:f>IF($A174="","",[1]!thsiFinD("ths_adjustment_nv_fund",J$3,$A174))</x:f>
        <x:v>#NAME?</x:v>
      </x:c>
      <x:c r="K174" s="146" t="e">
        <x:f>IF($A174="","",[1]!thsiFinD("ths_adjustment_nv_fund",K$3,$A174))</x:f>
        <x:v>#NAME?</x:v>
      </x:c>
      <x:c r="L174" s="146" t="e">
        <x:f>IF($A174="","",[1]!thsiFinD("ths_adjustment_nv_fund",L$3,$A174))</x:f>
        <x:v>#NAME?</x:v>
      </x:c>
      <x:c r="M174" s="146" t="e">
        <x:f>IF($A174="","",[1]!thsiFinD("ths_adjustment_nv_fund",M$3,$A174))</x:f>
        <x:v>#NAME?</x:v>
      </x:c>
      <x:c r="N174" s="146" t="e">
        <x:f>IF($A174="","",[1]!thsiFinD("ths_adjustment_nv_fund",N$3,$A174))</x:f>
        <x:v>#NAME?</x:v>
      </x:c>
      <x:c r="O174" s="146" t="e">
        <x:f>IF($A174="","",[1]!thsiFinD("ths_adjustment_nv_fund",O$3,$A174))</x:f>
        <x:v>#NAME?</x:v>
      </x:c>
      <x:c r="P174" s="146" t="e">
        <x:f>IF($A174="","",[1]!thsiFinD("ths_adjustment_nv_fund",P$3,$A174))</x:f>
        <x:v>#NAME?</x:v>
      </x:c>
      <x:c r="Q174" s="146" t="e">
        <x:f>IF($A174="","",[1]!thsiFinD("ths_adjustment_nv_fund",Q$3,$A174))</x:f>
        <x:v>#NAME?</x:v>
      </x:c>
      <x:c r="R174" s="146" t="e">
        <x:f>IF($A174="","",[1]!thsiFinD("ths_adjustment_nv_fund",R$3,$A174))</x:f>
        <x:v>#NAME?</x:v>
      </x:c>
      <x:c r="S174" s="146" t="e">
        <x:f>IF($A174="","",[1]!thsiFinD("ths_adjustment_nv_fund",S$3,$A174))</x:f>
        <x:v>#NAME?</x:v>
      </x:c>
      <x:c r="T174" s="146" t="e">
        <x:f>IF($A174="","",[1]!thsiFinD("ths_adjustment_nv_fund",T$3,$A174))</x:f>
        <x:v>#NAME?</x:v>
      </x:c>
      <x:c r="U174" s="146" t="e">
        <x:f>IF($A174="","",[1]!thsiFinD("ths_adjustment_nv_fund",U$3,$A174))</x:f>
        <x:v>#NAME?</x:v>
      </x:c>
      <x:c r="V174" s="146" t="e">
        <x:f>IF($A174="","",[1]!thsiFinD("ths_adjustment_nv_fund",V$3,$A174))</x:f>
        <x:v>#NAME?</x:v>
      </x:c>
      <x:c r="W174" s="146" t="e">
        <x:f>IF($A174="","",[1]!thsiFinD("ths_adjustment_nv_fund",W$3,$A174))</x:f>
        <x:v>#NAME?</x:v>
      </x:c>
      <x:c r="X174" s="146" t="e">
        <x:f>IF($A174="","",[1]!thsiFinD("ths_adjustment_nv_fund",X$3,$A174))</x:f>
        <x:v>#NAME?</x:v>
      </x:c>
      <x:c r="Y174" s="146" t="e">
        <x:f>IF($A174="","",[1]!thsiFinD("ths_adjustment_nv_fund",Y$3,$A174))</x:f>
        <x:v>#NAME?</x:v>
      </x:c>
      <x:c r="Z174" s="146" t="e">
        <x:f>IF($A174="","",[1]!thsiFinD("ths_adjustment_nv_fund",Z$3,$A174))</x:f>
        <x:v>#NAME?</x:v>
      </x:c>
      <x:c r="AA174" s="146" t="e">
        <x:f>IF($A174="","",[1]!thsiFinD("ths_adjustment_nv_fund",AA$3,$A174))</x:f>
        <x:v>#NAME?</x:v>
      </x:c>
    </x:row>
    <x:row r="175">
      <x:c r="B175" s="146" t="e">
        <x:f>IF($A175="","",[1]!thsiFinD("ths_adjustment_nv_fund",B$3,$A175))</x:f>
        <x:v>#NAME?</x:v>
      </x:c>
      <x:c r="C175" s="146" t="e">
        <x:f>IF($A175="","",[1]!thsiFinD("ths_adjustment_nv_fund",C$3,$A175))</x:f>
        <x:v>#NAME?</x:v>
      </x:c>
      <x:c r="D175" s="146" t="e">
        <x:f>IF($A175="","",[1]!thsiFinD("ths_adjustment_nv_fund",D$3,$A175))</x:f>
        <x:v>#NAME?</x:v>
      </x:c>
      <x:c r="E175" s="146" t="e">
        <x:f>IF($A175="","",[1]!thsiFinD("ths_adjustment_nv_fund",E$3,$A175))</x:f>
        <x:v>#NAME?</x:v>
      </x:c>
      <x:c r="F175" s="146" t="e">
        <x:f>IF($A175="","",[1]!thsiFinD("ths_adjustment_nv_fund",F$3,$A175))</x:f>
        <x:v>#NAME?</x:v>
      </x:c>
      <x:c r="G175" s="146" t="e">
        <x:f>IF($A175="","",[1]!thsiFinD("ths_adjustment_nv_fund",G$3,$A175))</x:f>
        <x:v>#NAME?</x:v>
      </x:c>
      <x:c r="H175" s="146" t="e">
        <x:f>IF($A175="","",[1]!thsiFinD("ths_adjustment_nv_fund",H$3,$A175))</x:f>
        <x:v>#NAME?</x:v>
      </x:c>
      <x:c r="I175" s="146" t="e">
        <x:f>IF($A175="","",[1]!thsiFinD("ths_adjustment_nv_fund",I$3,$A175))</x:f>
        <x:v>#NAME?</x:v>
      </x:c>
      <x:c r="J175" s="146" t="e">
        <x:f>IF($A175="","",[1]!thsiFinD("ths_adjustment_nv_fund",J$3,$A175))</x:f>
        <x:v>#NAME?</x:v>
      </x:c>
      <x:c r="K175" s="146" t="e">
        <x:f>IF($A175="","",[1]!thsiFinD("ths_adjustment_nv_fund",K$3,$A175))</x:f>
        <x:v>#NAME?</x:v>
      </x:c>
      <x:c r="L175" s="146" t="e">
        <x:f>IF($A175="","",[1]!thsiFinD("ths_adjustment_nv_fund",L$3,$A175))</x:f>
        <x:v>#NAME?</x:v>
      </x:c>
      <x:c r="M175" s="146" t="e">
        <x:f>IF($A175="","",[1]!thsiFinD("ths_adjustment_nv_fund",M$3,$A175))</x:f>
        <x:v>#NAME?</x:v>
      </x:c>
      <x:c r="N175" s="146" t="e">
        <x:f>IF($A175="","",[1]!thsiFinD("ths_adjustment_nv_fund",N$3,$A175))</x:f>
        <x:v>#NAME?</x:v>
      </x:c>
      <x:c r="O175" s="146" t="e">
        <x:f>IF($A175="","",[1]!thsiFinD("ths_adjustment_nv_fund",O$3,$A175))</x:f>
        <x:v>#NAME?</x:v>
      </x:c>
      <x:c r="P175" s="146" t="e">
        <x:f>IF($A175="","",[1]!thsiFinD("ths_adjustment_nv_fund",P$3,$A175))</x:f>
        <x:v>#NAME?</x:v>
      </x:c>
      <x:c r="Q175" s="146" t="e">
        <x:f>IF($A175="","",[1]!thsiFinD("ths_adjustment_nv_fund",Q$3,$A175))</x:f>
        <x:v>#NAME?</x:v>
      </x:c>
      <x:c r="R175" s="146" t="e">
        <x:f>IF($A175="","",[1]!thsiFinD("ths_adjustment_nv_fund",R$3,$A175))</x:f>
        <x:v>#NAME?</x:v>
      </x:c>
      <x:c r="S175" s="146" t="e">
        <x:f>IF($A175="","",[1]!thsiFinD("ths_adjustment_nv_fund",S$3,$A175))</x:f>
        <x:v>#NAME?</x:v>
      </x:c>
      <x:c r="T175" s="146" t="e">
        <x:f>IF($A175="","",[1]!thsiFinD("ths_adjustment_nv_fund",T$3,$A175))</x:f>
        <x:v>#NAME?</x:v>
      </x:c>
      <x:c r="U175" s="146" t="e">
        <x:f>IF($A175="","",[1]!thsiFinD("ths_adjustment_nv_fund",U$3,$A175))</x:f>
        <x:v>#NAME?</x:v>
      </x:c>
      <x:c r="V175" s="146" t="e">
        <x:f>IF($A175="","",[1]!thsiFinD("ths_adjustment_nv_fund",V$3,$A175))</x:f>
        <x:v>#NAME?</x:v>
      </x:c>
      <x:c r="W175" s="146" t="e">
        <x:f>IF($A175="","",[1]!thsiFinD("ths_adjustment_nv_fund",W$3,$A175))</x:f>
        <x:v>#NAME?</x:v>
      </x:c>
      <x:c r="X175" s="146" t="e">
        <x:f>IF($A175="","",[1]!thsiFinD("ths_adjustment_nv_fund",X$3,$A175))</x:f>
        <x:v>#NAME?</x:v>
      </x:c>
      <x:c r="Y175" s="146" t="e">
        <x:f>IF($A175="","",[1]!thsiFinD("ths_adjustment_nv_fund",Y$3,$A175))</x:f>
        <x:v>#NAME?</x:v>
      </x:c>
      <x:c r="Z175" s="146" t="e">
        <x:f>IF($A175="","",[1]!thsiFinD("ths_adjustment_nv_fund",Z$3,$A175))</x:f>
        <x:v>#NAME?</x:v>
      </x:c>
      <x:c r="AA175" s="146" t="e">
        <x:f>IF($A175="","",[1]!thsiFinD("ths_adjustment_nv_fund",AA$3,$A175))</x:f>
        <x:v>#NAME?</x:v>
      </x:c>
    </x:row>
    <x:row r="176">
      <x:c r="B176" s="146" t="e">
        <x:f>IF($A176="","",[1]!thsiFinD("ths_adjustment_nv_fund",B$3,$A176))</x:f>
        <x:v>#NAME?</x:v>
      </x:c>
      <x:c r="C176" s="146" t="e">
        <x:f>IF($A176="","",[1]!thsiFinD("ths_adjustment_nv_fund",C$3,$A176))</x:f>
        <x:v>#NAME?</x:v>
      </x:c>
      <x:c r="D176" s="146" t="e">
        <x:f>IF($A176="","",[1]!thsiFinD("ths_adjustment_nv_fund",D$3,$A176))</x:f>
        <x:v>#NAME?</x:v>
      </x:c>
      <x:c r="E176" s="146" t="e">
        <x:f>IF($A176="","",[1]!thsiFinD("ths_adjustment_nv_fund",E$3,$A176))</x:f>
        <x:v>#NAME?</x:v>
      </x:c>
      <x:c r="F176" s="146" t="e">
        <x:f>IF($A176="","",[1]!thsiFinD("ths_adjustment_nv_fund",F$3,$A176))</x:f>
        <x:v>#NAME?</x:v>
      </x:c>
      <x:c r="G176" s="146" t="e">
        <x:f>IF($A176="","",[1]!thsiFinD("ths_adjustment_nv_fund",G$3,$A176))</x:f>
        <x:v>#NAME?</x:v>
      </x:c>
      <x:c r="H176" s="146" t="e">
        <x:f>IF($A176="","",[1]!thsiFinD("ths_adjustment_nv_fund",H$3,$A176))</x:f>
        <x:v>#NAME?</x:v>
      </x:c>
      <x:c r="I176" s="146" t="e">
        <x:f>IF($A176="","",[1]!thsiFinD("ths_adjustment_nv_fund",I$3,$A176))</x:f>
        <x:v>#NAME?</x:v>
      </x:c>
      <x:c r="J176" s="146" t="e">
        <x:f>IF($A176="","",[1]!thsiFinD("ths_adjustment_nv_fund",J$3,$A176))</x:f>
        <x:v>#NAME?</x:v>
      </x:c>
      <x:c r="K176" s="146" t="e">
        <x:f>IF($A176="","",[1]!thsiFinD("ths_adjustment_nv_fund",K$3,$A176))</x:f>
        <x:v>#NAME?</x:v>
      </x:c>
      <x:c r="L176" s="146" t="e">
        <x:f>IF($A176="","",[1]!thsiFinD("ths_adjustment_nv_fund",L$3,$A176))</x:f>
        <x:v>#NAME?</x:v>
      </x:c>
      <x:c r="M176" s="146" t="e">
        <x:f>IF($A176="","",[1]!thsiFinD("ths_adjustment_nv_fund",M$3,$A176))</x:f>
        <x:v>#NAME?</x:v>
      </x:c>
      <x:c r="N176" s="146" t="e">
        <x:f>IF($A176="","",[1]!thsiFinD("ths_adjustment_nv_fund",N$3,$A176))</x:f>
        <x:v>#NAME?</x:v>
      </x:c>
      <x:c r="O176" s="146" t="e">
        <x:f>IF($A176="","",[1]!thsiFinD("ths_adjustment_nv_fund",O$3,$A176))</x:f>
        <x:v>#NAME?</x:v>
      </x:c>
      <x:c r="P176" s="146" t="e">
        <x:f>IF($A176="","",[1]!thsiFinD("ths_adjustment_nv_fund",P$3,$A176))</x:f>
        <x:v>#NAME?</x:v>
      </x:c>
      <x:c r="Q176" s="146" t="e">
        <x:f>IF($A176="","",[1]!thsiFinD("ths_adjustment_nv_fund",Q$3,$A176))</x:f>
        <x:v>#NAME?</x:v>
      </x:c>
      <x:c r="R176" s="146" t="e">
        <x:f>IF($A176="","",[1]!thsiFinD("ths_adjustment_nv_fund",R$3,$A176))</x:f>
        <x:v>#NAME?</x:v>
      </x:c>
      <x:c r="S176" s="146" t="e">
        <x:f>IF($A176="","",[1]!thsiFinD("ths_adjustment_nv_fund",S$3,$A176))</x:f>
        <x:v>#NAME?</x:v>
      </x:c>
      <x:c r="T176" s="146" t="e">
        <x:f>IF($A176="","",[1]!thsiFinD("ths_adjustment_nv_fund",T$3,$A176))</x:f>
        <x:v>#NAME?</x:v>
      </x:c>
      <x:c r="U176" s="146" t="e">
        <x:f>IF($A176="","",[1]!thsiFinD("ths_adjustment_nv_fund",U$3,$A176))</x:f>
        <x:v>#NAME?</x:v>
      </x:c>
      <x:c r="V176" s="146" t="e">
        <x:f>IF($A176="","",[1]!thsiFinD("ths_adjustment_nv_fund",V$3,$A176))</x:f>
        <x:v>#NAME?</x:v>
      </x:c>
      <x:c r="W176" s="146" t="e">
        <x:f>IF($A176="","",[1]!thsiFinD("ths_adjustment_nv_fund",W$3,$A176))</x:f>
        <x:v>#NAME?</x:v>
      </x:c>
      <x:c r="X176" s="146" t="e">
        <x:f>IF($A176="","",[1]!thsiFinD("ths_adjustment_nv_fund",X$3,$A176))</x:f>
        <x:v>#NAME?</x:v>
      </x:c>
      <x:c r="Y176" s="146" t="e">
        <x:f>IF($A176="","",[1]!thsiFinD("ths_adjustment_nv_fund",Y$3,$A176))</x:f>
        <x:v>#NAME?</x:v>
      </x:c>
      <x:c r="Z176" s="146" t="e">
        <x:f>IF($A176="","",[1]!thsiFinD("ths_adjustment_nv_fund",Z$3,$A176))</x:f>
        <x:v>#NAME?</x:v>
      </x:c>
      <x:c r="AA176" s="146" t="e">
        <x:f>IF($A176="","",[1]!thsiFinD("ths_adjustment_nv_fund",AA$3,$A176))</x:f>
        <x:v>#NAME?</x:v>
      </x:c>
    </x:row>
    <x:row r="177">
      <x:c r="B177" s="146" t="e">
        <x:f>IF($A177="","",[1]!thsiFinD("ths_adjustment_nv_fund",B$3,$A177))</x:f>
        <x:v>#NAME?</x:v>
      </x:c>
      <x:c r="C177" s="146" t="e">
        <x:f>IF($A177="","",[1]!thsiFinD("ths_adjustment_nv_fund",C$3,$A177))</x:f>
        <x:v>#NAME?</x:v>
      </x:c>
      <x:c r="D177" s="146" t="e">
        <x:f>IF($A177="","",[1]!thsiFinD("ths_adjustment_nv_fund",D$3,$A177))</x:f>
        <x:v>#NAME?</x:v>
      </x:c>
      <x:c r="E177" s="146" t="e">
        <x:f>IF($A177="","",[1]!thsiFinD("ths_adjustment_nv_fund",E$3,$A177))</x:f>
        <x:v>#NAME?</x:v>
      </x:c>
      <x:c r="F177" s="146" t="e">
        <x:f>IF($A177="","",[1]!thsiFinD("ths_adjustment_nv_fund",F$3,$A177))</x:f>
        <x:v>#NAME?</x:v>
      </x:c>
      <x:c r="G177" s="146" t="e">
        <x:f>IF($A177="","",[1]!thsiFinD("ths_adjustment_nv_fund",G$3,$A177))</x:f>
        <x:v>#NAME?</x:v>
      </x:c>
      <x:c r="H177" s="146" t="e">
        <x:f>IF($A177="","",[1]!thsiFinD("ths_adjustment_nv_fund",H$3,$A177))</x:f>
        <x:v>#NAME?</x:v>
      </x:c>
      <x:c r="I177" s="146" t="e">
        <x:f>IF($A177="","",[1]!thsiFinD("ths_adjustment_nv_fund",I$3,$A177))</x:f>
        <x:v>#NAME?</x:v>
      </x:c>
      <x:c r="J177" s="146" t="e">
        <x:f>IF($A177="","",[1]!thsiFinD("ths_adjustment_nv_fund",J$3,$A177))</x:f>
        <x:v>#NAME?</x:v>
      </x:c>
      <x:c r="K177" s="146" t="e">
        <x:f>IF($A177="","",[1]!thsiFinD("ths_adjustment_nv_fund",K$3,$A177))</x:f>
        <x:v>#NAME?</x:v>
      </x:c>
      <x:c r="L177" s="146" t="e">
        <x:f>IF($A177="","",[1]!thsiFinD("ths_adjustment_nv_fund",L$3,$A177))</x:f>
        <x:v>#NAME?</x:v>
      </x:c>
      <x:c r="M177" s="146" t="e">
        <x:f>IF($A177="","",[1]!thsiFinD("ths_adjustment_nv_fund",M$3,$A177))</x:f>
        <x:v>#NAME?</x:v>
      </x:c>
      <x:c r="N177" s="146" t="e">
        <x:f>IF($A177="","",[1]!thsiFinD("ths_adjustment_nv_fund",N$3,$A177))</x:f>
        <x:v>#NAME?</x:v>
      </x:c>
      <x:c r="O177" s="146" t="e">
        <x:f>IF($A177="","",[1]!thsiFinD("ths_adjustment_nv_fund",O$3,$A177))</x:f>
        <x:v>#NAME?</x:v>
      </x:c>
      <x:c r="P177" s="146" t="e">
        <x:f>IF($A177="","",[1]!thsiFinD("ths_adjustment_nv_fund",P$3,$A177))</x:f>
        <x:v>#NAME?</x:v>
      </x:c>
      <x:c r="Q177" s="146" t="e">
        <x:f>IF($A177="","",[1]!thsiFinD("ths_adjustment_nv_fund",Q$3,$A177))</x:f>
        <x:v>#NAME?</x:v>
      </x:c>
      <x:c r="R177" s="146" t="e">
        <x:f>IF($A177="","",[1]!thsiFinD("ths_adjustment_nv_fund",R$3,$A177))</x:f>
        <x:v>#NAME?</x:v>
      </x:c>
      <x:c r="S177" s="146" t="e">
        <x:f>IF($A177="","",[1]!thsiFinD("ths_adjustment_nv_fund",S$3,$A177))</x:f>
        <x:v>#NAME?</x:v>
      </x:c>
      <x:c r="T177" s="146" t="e">
        <x:f>IF($A177="","",[1]!thsiFinD("ths_adjustment_nv_fund",T$3,$A177))</x:f>
        <x:v>#NAME?</x:v>
      </x:c>
      <x:c r="U177" s="146" t="e">
        <x:f>IF($A177="","",[1]!thsiFinD("ths_adjustment_nv_fund",U$3,$A177))</x:f>
        <x:v>#NAME?</x:v>
      </x:c>
      <x:c r="V177" s="146" t="e">
        <x:f>IF($A177="","",[1]!thsiFinD("ths_adjustment_nv_fund",V$3,$A177))</x:f>
        <x:v>#NAME?</x:v>
      </x:c>
      <x:c r="W177" s="146" t="e">
        <x:f>IF($A177="","",[1]!thsiFinD("ths_adjustment_nv_fund",W$3,$A177))</x:f>
        <x:v>#NAME?</x:v>
      </x:c>
      <x:c r="X177" s="146" t="e">
        <x:f>IF($A177="","",[1]!thsiFinD("ths_adjustment_nv_fund",X$3,$A177))</x:f>
        <x:v>#NAME?</x:v>
      </x:c>
      <x:c r="Y177" s="146" t="e">
        <x:f>IF($A177="","",[1]!thsiFinD("ths_adjustment_nv_fund",Y$3,$A177))</x:f>
        <x:v>#NAME?</x:v>
      </x:c>
      <x:c r="Z177" s="146" t="e">
        <x:f>IF($A177="","",[1]!thsiFinD("ths_adjustment_nv_fund",Z$3,$A177))</x:f>
        <x:v>#NAME?</x:v>
      </x:c>
      <x:c r="AA177" s="146" t="e">
        <x:f>IF($A177="","",[1]!thsiFinD("ths_adjustment_nv_fund",AA$3,$A177))</x:f>
        <x:v>#NAME?</x:v>
      </x:c>
    </x:row>
    <x:row r="178">
      <x:c r="B178" s="146" t="e">
        <x:f>IF($A178="","",[1]!thsiFinD("ths_adjustment_nv_fund",B$3,$A178))</x:f>
        <x:v>#NAME?</x:v>
      </x:c>
      <x:c r="C178" s="146" t="e">
        <x:f>IF($A178="","",[1]!thsiFinD("ths_adjustment_nv_fund",C$3,$A178))</x:f>
        <x:v>#NAME?</x:v>
      </x:c>
      <x:c r="D178" s="146" t="e">
        <x:f>IF($A178="","",[1]!thsiFinD("ths_adjustment_nv_fund",D$3,$A178))</x:f>
        <x:v>#NAME?</x:v>
      </x:c>
      <x:c r="E178" s="146" t="e">
        <x:f>IF($A178="","",[1]!thsiFinD("ths_adjustment_nv_fund",E$3,$A178))</x:f>
        <x:v>#NAME?</x:v>
      </x:c>
      <x:c r="F178" s="146" t="e">
        <x:f>IF($A178="","",[1]!thsiFinD("ths_adjustment_nv_fund",F$3,$A178))</x:f>
        <x:v>#NAME?</x:v>
      </x:c>
      <x:c r="G178" s="146" t="e">
        <x:f>IF($A178="","",[1]!thsiFinD("ths_adjustment_nv_fund",G$3,$A178))</x:f>
        <x:v>#NAME?</x:v>
      </x:c>
      <x:c r="H178" s="146" t="e">
        <x:f>IF($A178="","",[1]!thsiFinD("ths_adjustment_nv_fund",H$3,$A178))</x:f>
        <x:v>#NAME?</x:v>
      </x:c>
      <x:c r="I178" s="146" t="e">
        <x:f>IF($A178="","",[1]!thsiFinD("ths_adjustment_nv_fund",I$3,$A178))</x:f>
        <x:v>#NAME?</x:v>
      </x:c>
      <x:c r="J178" s="146" t="e">
        <x:f>IF($A178="","",[1]!thsiFinD("ths_adjustment_nv_fund",J$3,$A178))</x:f>
        <x:v>#NAME?</x:v>
      </x:c>
      <x:c r="K178" s="146" t="e">
        <x:f>IF($A178="","",[1]!thsiFinD("ths_adjustment_nv_fund",K$3,$A178))</x:f>
        <x:v>#NAME?</x:v>
      </x:c>
      <x:c r="L178" s="146" t="e">
        <x:f>IF($A178="","",[1]!thsiFinD("ths_adjustment_nv_fund",L$3,$A178))</x:f>
        <x:v>#NAME?</x:v>
      </x:c>
      <x:c r="M178" s="146" t="e">
        <x:f>IF($A178="","",[1]!thsiFinD("ths_adjustment_nv_fund",M$3,$A178))</x:f>
        <x:v>#NAME?</x:v>
      </x:c>
      <x:c r="N178" s="146" t="e">
        <x:f>IF($A178="","",[1]!thsiFinD("ths_adjustment_nv_fund",N$3,$A178))</x:f>
        <x:v>#NAME?</x:v>
      </x:c>
      <x:c r="O178" s="146" t="e">
        <x:f>IF($A178="","",[1]!thsiFinD("ths_adjustment_nv_fund",O$3,$A178))</x:f>
        <x:v>#NAME?</x:v>
      </x:c>
      <x:c r="P178" s="146" t="e">
        <x:f>IF($A178="","",[1]!thsiFinD("ths_adjustment_nv_fund",P$3,$A178))</x:f>
        <x:v>#NAME?</x:v>
      </x:c>
      <x:c r="Q178" s="146" t="e">
        <x:f>IF($A178="","",[1]!thsiFinD("ths_adjustment_nv_fund",Q$3,$A178))</x:f>
        <x:v>#NAME?</x:v>
      </x:c>
      <x:c r="R178" s="146" t="e">
        <x:f>IF($A178="","",[1]!thsiFinD("ths_adjustment_nv_fund",R$3,$A178))</x:f>
        <x:v>#NAME?</x:v>
      </x:c>
      <x:c r="S178" s="146" t="e">
        <x:f>IF($A178="","",[1]!thsiFinD("ths_adjustment_nv_fund",S$3,$A178))</x:f>
        <x:v>#NAME?</x:v>
      </x:c>
      <x:c r="T178" s="146" t="e">
        <x:f>IF($A178="","",[1]!thsiFinD("ths_adjustment_nv_fund",T$3,$A178))</x:f>
        <x:v>#NAME?</x:v>
      </x:c>
      <x:c r="U178" s="146" t="e">
        <x:f>IF($A178="","",[1]!thsiFinD("ths_adjustment_nv_fund",U$3,$A178))</x:f>
        <x:v>#NAME?</x:v>
      </x:c>
      <x:c r="V178" s="146" t="e">
        <x:f>IF($A178="","",[1]!thsiFinD("ths_adjustment_nv_fund",V$3,$A178))</x:f>
        <x:v>#NAME?</x:v>
      </x:c>
      <x:c r="W178" s="146" t="e">
        <x:f>IF($A178="","",[1]!thsiFinD("ths_adjustment_nv_fund",W$3,$A178))</x:f>
        <x:v>#NAME?</x:v>
      </x:c>
      <x:c r="X178" s="146" t="e">
        <x:f>IF($A178="","",[1]!thsiFinD("ths_adjustment_nv_fund",X$3,$A178))</x:f>
        <x:v>#NAME?</x:v>
      </x:c>
      <x:c r="Y178" s="146" t="e">
        <x:f>IF($A178="","",[1]!thsiFinD("ths_adjustment_nv_fund",Y$3,$A178))</x:f>
        <x:v>#NAME?</x:v>
      </x:c>
      <x:c r="Z178" s="146" t="e">
        <x:f>IF($A178="","",[1]!thsiFinD("ths_adjustment_nv_fund",Z$3,$A178))</x:f>
        <x:v>#NAME?</x:v>
      </x:c>
      <x:c r="AA178" s="146" t="e">
        <x:f>IF($A178="","",[1]!thsiFinD("ths_adjustment_nv_fund",AA$3,$A178))</x:f>
        <x:v>#NAME?</x:v>
      </x:c>
    </x:row>
    <x:row r="179">
      <x:c r="B179" s="146" t="e">
        <x:f>IF($A179="","",[1]!thsiFinD("ths_adjustment_nv_fund",B$3,$A179))</x:f>
        <x:v>#NAME?</x:v>
      </x:c>
      <x:c r="C179" s="146" t="e">
        <x:f>IF($A179="","",[1]!thsiFinD("ths_adjustment_nv_fund",C$3,$A179))</x:f>
        <x:v>#NAME?</x:v>
      </x:c>
      <x:c r="D179" s="146" t="e">
        <x:f>IF($A179="","",[1]!thsiFinD("ths_adjustment_nv_fund",D$3,$A179))</x:f>
        <x:v>#NAME?</x:v>
      </x:c>
      <x:c r="E179" s="146" t="e">
        <x:f>IF($A179="","",[1]!thsiFinD("ths_adjustment_nv_fund",E$3,$A179))</x:f>
        <x:v>#NAME?</x:v>
      </x:c>
      <x:c r="F179" s="146" t="e">
        <x:f>IF($A179="","",[1]!thsiFinD("ths_adjustment_nv_fund",F$3,$A179))</x:f>
        <x:v>#NAME?</x:v>
      </x:c>
      <x:c r="G179" s="146" t="e">
        <x:f>IF($A179="","",[1]!thsiFinD("ths_adjustment_nv_fund",G$3,$A179))</x:f>
        <x:v>#NAME?</x:v>
      </x:c>
      <x:c r="H179" s="146" t="e">
        <x:f>IF($A179="","",[1]!thsiFinD("ths_adjustment_nv_fund",H$3,$A179))</x:f>
        <x:v>#NAME?</x:v>
      </x:c>
      <x:c r="I179" s="146" t="e">
        <x:f>IF($A179="","",[1]!thsiFinD("ths_adjustment_nv_fund",I$3,$A179))</x:f>
        <x:v>#NAME?</x:v>
      </x:c>
      <x:c r="J179" s="146" t="e">
        <x:f>IF($A179="","",[1]!thsiFinD("ths_adjustment_nv_fund",J$3,$A179))</x:f>
        <x:v>#NAME?</x:v>
      </x:c>
      <x:c r="K179" s="146" t="e">
        <x:f>IF($A179="","",[1]!thsiFinD("ths_adjustment_nv_fund",K$3,$A179))</x:f>
        <x:v>#NAME?</x:v>
      </x:c>
      <x:c r="L179" s="146" t="e">
        <x:f>IF($A179="","",[1]!thsiFinD("ths_adjustment_nv_fund",L$3,$A179))</x:f>
        <x:v>#NAME?</x:v>
      </x:c>
      <x:c r="M179" s="146" t="e">
        <x:f>IF($A179="","",[1]!thsiFinD("ths_adjustment_nv_fund",M$3,$A179))</x:f>
        <x:v>#NAME?</x:v>
      </x:c>
      <x:c r="N179" s="146" t="e">
        <x:f>IF($A179="","",[1]!thsiFinD("ths_adjustment_nv_fund",N$3,$A179))</x:f>
        <x:v>#NAME?</x:v>
      </x:c>
      <x:c r="O179" s="146" t="e">
        <x:f>IF($A179="","",[1]!thsiFinD("ths_adjustment_nv_fund",O$3,$A179))</x:f>
        <x:v>#NAME?</x:v>
      </x:c>
      <x:c r="P179" s="146" t="e">
        <x:f>IF($A179="","",[1]!thsiFinD("ths_adjustment_nv_fund",P$3,$A179))</x:f>
        <x:v>#NAME?</x:v>
      </x:c>
      <x:c r="Q179" s="146" t="e">
        <x:f>IF($A179="","",[1]!thsiFinD("ths_adjustment_nv_fund",Q$3,$A179))</x:f>
        <x:v>#NAME?</x:v>
      </x:c>
      <x:c r="R179" s="146" t="e">
        <x:f>IF($A179="","",[1]!thsiFinD("ths_adjustment_nv_fund",R$3,$A179))</x:f>
        <x:v>#NAME?</x:v>
      </x:c>
      <x:c r="S179" s="146" t="e">
        <x:f>IF($A179="","",[1]!thsiFinD("ths_adjustment_nv_fund",S$3,$A179))</x:f>
        <x:v>#NAME?</x:v>
      </x:c>
      <x:c r="T179" s="146" t="e">
        <x:f>IF($A179="","",[1]!thsiFinD("ths_adjustment_nv_fund",T$3,$A179))</x:f>
        <x:v>#NAME?</x:v>
      </x:c>
      <x:c r="U179" s="146" t="e">
        <x:f>IF($A179="","",[1]!thsiFinD("ths_adjustment_nv_fund",U$3,$A179))</x:f>
        <x:v>#NAME?</x:v>
      </x:c>
      <x:c r="V179" s="146" t="e">
        <x:f>IF($A179="","",[1]!thsiFinD("ths_adjustment_nv_fund",V$3,$A179))</x:f>
        <x:v>#NAME?</x:v>
      </x:c>
      <x:c r="W179" s="146" t="e">
        <x:f>IF($A179="","",[1]!thsiFinD("ths_adjustment_nv_fund",W$3,$A179))</x:f>
        <x:v>#NAME?</x:v>
      </x:c>
      <x:c r="X179" s="146" t="e">
        <x:f>IF($A179="","",[1]!thsiFinD("ths_adjustment_nv_fund",X$3,$A179))</x:f>
        <x:v>#NAME?</x:v>
      </x:c>
      <x:c r="Y179" s="146" t="e">
        <x:f>IF($A179="","",[1]!thsiFinD("ths_adjustment_nv_fund",Y$3,$A179))</x:f>
        <x:v>#NAME?</x:v>
      </x:c>
      <x:c r="Z179" s="146" t="e">
        <x:f>IF($A179="","",[1]!thsiFinD("ths_adjustment_nv_fund",Z$3,$A179))</x:f>
        <x:v>#NAME?</x:v>
      </x:c>
      <x:c r="AA179" s="146" t="e">
        <x:f>IF($A179="","",[1]!thsiFinD("ths_adjustment_nv_fund",AA$3,$A179))</x:f>
        <x:v>#NAME?</x:v>
      </x:c>
    </x:row>
    <x:row r="180">
      <x:c r="B180" s="146" t="e">
        <x:f>IF($A180="","",[1]!thsiFinD("ths_adjustment_nv_fund",B$3,$A180))</x:f>
        <x:v>#NAME?</x:v>
      </x:c>
      <x:c r="C180" s="146" t="e">
        <x:f>IF($A180="","",[1]!thsiFinD("ths_adjustment_nv_fund",C$3,$A180))</x:f>
        <x:v>#NAME?</x:v>
      </x:c>
      <x:c r="D180" s="146" t="e">
        <x:f>IF($A180="","",[1]!thsiFinD("ths_adjustment_nv_fund",D$3,$A180))</x:f>
        <x:v>#NAME?</x:v>
      </x:c>
      <x:c r="E180" s="146" t="e">
        <x:f>IF($A180="","",[1]!thsiFinD("ths_adjustment_nv_fund",E$3,$A180))</x:f>
        <x:v>#NAME?</x:v>
      </x:c>
      <x:c r="F180" s="146" t="e">
        <x:f>IF($A180="","",[1]!thsiFinD("ths_adjustment_nv_fund",F$3,$A180))</x:f>
        <x:v>#NAME?</x:v>
      </x:c>
      <x:c r="G180" s="146" t="e">
        <x:f>IF($A180="","",[1]!thsiFinD("ths_adjustment_nv_fund",G$3,$A180))</x:f>
        <x:v>#NAME?</x:v>
      </x:c>
      <x:c r="H180" s="146" t="e">
        <x:f>IF($A180="","",[1]!thsiFinD("ths_adjustment_nv_fund",H$3,$A180))</x:f>
        <x:v>#NAME?</x:v>
      </x:c>
      <x:c r="I180" s="146" t="e">
        <x:f>IF($A180="","",[1]!thsiFinD("ths_adjustment_nv_fund",I$3,$A180))</x:f>
        <x:v>#NAME?</x:v>
      </x:c>
      <x:c r="J180" s="146" t="e">
        <x:f>IF($A180="","",[1]!thsiFinD("ths_adjustment_nv_fund",J$3,$A180))</x:f>
        <x:v>#NAME?</x:v>
      </x:c>
      <x:c r="K180" s="146" t="e">
        <x:f>IF($A180="","",[1]!thsiFinD("ths_adjustment_nv_fund",K$3,$A180))</x:f>
        <x:v>#NAME?</x:v>
      </x:c>
      <x:c r="L180" s="146" t="e">
        <x:f>IF($A180="","",[1]!thsiFinD("ths_adjustment_nv_fund",L$3,$A180))</x:f>
        <x:v>#NAME?</x:v>
      </x:c>
      <x:c r="M180" s="146" t="e">
        <x:f>IF($A180="","",[1]!thsiFinD("ths_adjustment_nv_fund",M$3,$A180))</x:f>
        <x:v>#NAME?</x:v>
      </x:c>
      <x:c r="N180" s="146" t="e">
        <x:f>IF($A180="","",[1]!thsiFinD("ths_adjustment_nv_fund",N$3,$A180))</x:f>
        <x:v>#NAME?</x:v>
      </x:c>
      <x:c r="O180" s="146" t="e">
        <x:f>IF($A180="","",[1]!thsiFinD("ths_adjustment_nv_fund",O$3,$A180))</x:f>
        <x:v>#NAME?</x:v>
      </x:c>
      <x:c r="P180" s="146" t="e">
        <x:f>IF($A180="","",[1]!thsiFinD("ths_adjustment_nv_fund",P$3,$A180))</x:f>
        <x:v>#NAME?</x:v>
      </x:c>
      <x:c r="Q180" s="146" t="e">
        <x:f>IF($A180="","",[1]!thsiFinD("ths_adjustment_nv_fund",Q$3,$A180))</x:f>
        <x:v>#NAME?</x:v>
      </x:c>
      <x:c r="R180" s="146" t="e">
        <x:f>IF($A180="","",[1]!thsiFinD("ths_adjustment_nv_fund",R$3,$A180))</x:f>
        <x:v>#NAME?</x:v>
      </x:c>
      <x:c r="S180" s="146" t="e">
        <x:f>IF($A180="","",[1]!thsiFinD("ths_adjustment_nv_fund",S$3,$A180))</x:f>
        <x:v>#NAME?</x:v>
      </x:c>
      <x:c r="T180" s="146" t="e">
        <x:f>IF($A180="","",[1]!thsiFinD("ths_adjustment_nv_fund",T$3,$A180))</x:f>
        <x:v>#NAME?</x:v>
      </x:c>
      <x:c r="U180" s="146" t="e">
        <x:f>IF($A180="","",[1]!thsiFinD("ths_adjustment_nv_fund",U$3,$A180))</x:f>
        <x:v>#NAME?</x:v>
      </x:c>
      <x:c r="V180" s="146" t="e">
        <x:f>IF($A180="","",[1]!thsiFinD("ths_adjustment_nv_fund",V$3,$A180))</x:f>
        <x:v>#NAME?</x:v>
      </x:c>
      <x:c r="W180" s="146" t="e">
        <x:f>IF($A180="","",[1]!thsiFinD("ths_adjustment_nv_fund",W$3,$A180))</x:f>
        <x:v>#NAME?</x:v>
      </x:c>
      <x:c r="X180" s="146" t="e">
        <x:f>IF($A180="","",[1]!thsiFinD("ths_adjustment_nv_fund",X$3,$A180))</x:f>
        <x:v>#NAME?</x:v>
      </x:c>
      <x:c r="Y180" s="146" t="e">
        <x:f>IF($A180="","",[1]!thsiFinD("ths_adjustment_nv_fund",Y$3,$A180))</x:f>
        <x:v>#NAME?</x:v>
      </x:c>
      <x:c r="Z180" s="146" t="e">
        <x:f>IF($A180="","",[1]!thsiFinD("ths_adjustment_nv_fund",Z$3,$A180))</x:f>
        <x:v>#NAME?</x:v>
      </x:c>
      <x:c r="AA180" s="146" t="e">
        <x:f>IF($A180="","",[1]!thsiFinD("ths_adjustment_nv_fund",AA$3,$A180))</x:f>
        <x:v>#NAME?</x:v>
      </x:c>
    </x:row>
    <x:row r="181">
      <x:c r="B181" s="146" t="e">
        <x:f>IF($A181="","",[1]!thsiFinD("ths_adjustment_nv_fund",B$3,$A181))</x:f>
        <x:v>#NAME?</x:v>
      </x:c>
      <x:c r="C181" s="146" t="e">
        <x:f>IF($A181="","",[1]!thsiFinD("ths_adjustment_nv_fund",C$3,$A181))</x:f>
        <x:v>#NAME?</x:v>
      </x:c>
      <x:c r="D181" s="146" t="e">
        <x:f>IF($A181="","",[1]!thsiFinD("ths_adjustment_nv_fund",D$3,$A181))</x:f>
        <x:v>#NAME?</x:v>
      </x:c>
      <x:c r="E181" s="146" t="e">
        <x:f>IF($A181="","",[1]!thsiFinD("ths_adjustment_nv_fund",E$3,$A181))</x:f>
        <x:v>#NAME?</x:v>
      </x:c>
      <x:c r="F181" s="146" t="e">
        <x:f>IF($A181="","",[1]!thsiFinD("ths_adjustment_nv_fund",F$3,$A181))</x:f>
        <x:v>#NAME?</x:v>
      </x:c>
      <x:c r="G181" s="146" t="e">
        <x:f>IF($A181="","",[1]!thsiFinD("ths_adjustment_nv_fund",G$3,$A181))</x:f>
        <x:v>#NAME?</x:v>
      </x:c>
      <x:c r="H181" s="146" t="e">
        <x:f>IF($A181="","",[1]!thsiFinD("ths_adjustment_nv_fund",H$3,$A181))</x:f>
        <x:v>#NAME?</x:v>
      </x:c>
      <x:c r="I181" s="146" t="e">
        <x:f>IF($A181="","",[1]!thsiFinD("ths_adjustment_nv_fund",I$3,$A181))</x:f>
        <x:v>#NAME?</x:v>
      </x:c>
      <x:c r="J181" s="146" t="e">
        <x:f>IF($A181="","",[1]!thsiFinD("ths_adjustment_nv_fund",J$3,$A181))</x:f>
        <x:v>#NAME?</x:v>
      </x:c>
      <x:c r="K181" s="146" t="e">
        <x:f>IF($A181="","",[1]!thsiFinD("ths_adjustment_nv_fund",K$3,$A181))</x:f>
        <x:v>#NAME?</x:v>
      </x:c>
      <x:c r="L181" s="146" t="e">
        <x:f>IF($A181="","",[1]!thsiFinD("ths_adjustment_nv_fund",L$3,$A181))</x:f>
        <x:v>#NAME?</x:v>
      </x:c>
      <x:c r="M181" s="146" t="e">
        <x:f>IF($A181="","",[1]!thsiFinD("ths_adjustment_nv_fund",M$3,$A181))</x:f>
        <x:v>#NAME?</x:v>
      </x:c>
      <x:c r="N181" s="146" t="e">
        <x:f>IF($A181="","",[1]!thsiFinD("ths_adjustment_nv_fund",N$3,$A181))</x:f>
        <x:v>#NAME?</x:v>
      </x:c>
      <x:c r="O181" s="146" t="e">
        <x:f>IF($A181="","",[1]!thsiFinD("ths_adjustment_nv_fund",O$3,$A181))</x:f>
        <x:v>#NAME?</x:v>
      </x:c>
      <x:c r="P181" s="146" t="e">
        <x:f>IF($A181="","",[1]!thsiFinD("ths_adjustment_nv_fund",P$3,$A181))</x:f>
        <x:v>#NAME?</x:v>
      </x:c>
      <x:c r="Q181" s="146" t="e">
        <x:f>IF($A181="","",[1]!thsiFinD("ths_adjustment_nv_fund",Q$3,$A181))</x:f>
        <x:v>#NAME?</x:v>
      </x:c>
      <x:c r="R181" s="146" t="e">
        <x:f>IF($A181="","",[1]!thsiFinD("ths_adjustment_nv_fund",R$3,$A181))</x:f>
        <x:v>#NAME?</x:v>
      </x:c>
      <x:c r="S181" s="146" t="e">
        <x:f>IF($A181="","",[1]!thsiFinD("ths_adjustment_nv_fund",S$3,$A181))</x:f>
        <x:v>#NAME?</x:v>
      </x:c>
      <x:c r="T181" s="146" t="e">
        <x:f>IF($A181="","",[1]!thsiFinD("ths_adjustment_nv_fund",T$3,$A181))</x:f>
        <x:v>#NAME?</x:v>
      </x:c>
      <x:c r="U181" s="146" t="e">
        <x:f>IF($A181="","",[1]!thsiFinD("ths_adjustment_nv_fund",U$3,$A181))</x:f>
        <x:v>#NAME?</x:v>
      </x:c>
      <x:c r="V181" s="146" t="e">
        <x:f>IF($A181="","",[1]!thsiFinD("ths_adjustment_nv_fund",V$3,$A181))</x:f>
        <x:v>#NAME?</x:v>
      </x:c>
      <x:c r="W181" s="146" t="e">
        <x:f>IF($A181="","",[1]!thsiFinD("ths_adjustment_nv_fund",W$3,$A181))</x:f>
        <x:v>#NAME?</x:v>
      </x:c>
      <x:c r="X181" s="146" t="e">
        <x:f>IF($A181="","",[1]!thsiFinD("ths_adjustment_nv_fund",X$3,$A181))</x:f>
        <x:v>#NAME?</x:v>
      </x:c>
      <x:c r="Y181" s="146" t="e">
        <x:f>IF($A181="","",[1]!thsiFinD("ths_adjustment_nv_fund",Y$3,$A181))</x:f>
        <x:v>#NAME?</x:v>
      </x:c>
      <x:c r="Z181" s="146" t="e">
        <x:f>IF($A181="","",[1]!thsiFinD("ths_adjustment_nv_fund",Z$3,$A181))</x:f>
        <x:v>#NAME?</x:v>
      </x:c>
      <x:c r="AA181" s="146" t="e">
        <x:f>IF($A181="","",[1]!thsiFinD("ths_adjustment_nv_fund",AA$3,$A181))</x:f>
        <x:v>#NAME?</x:v>
      </x:c>
    </x:row>
    <x:row r="182">
      <x:c r="B182" s="146" t="e">
        <x:f>IF($A182="","",[1]!thsiFinD("ths_adjustment_nv_fund",B$3,$A182))</x:f>
        <x:v>#NAME?</x:v>
      </x:c>
      <x:c r="C182" s="146" t="e">
        <x:f>IF($A182="","",[1]!thsiFinD("ths_adjustment_nv_fund",C$3,$A182))</x:f>
        <x:v>#NAME?</x:v>
      </x:c>
      <x:c r="D182" s="146" t="e">
        <x:f>IF($A182="","",[1]!thsiFinD("ths_adjustment_nv_fund",D$3,$A182))</x:f>
        <x:v>#NAME?</x:v>
      </x:c>
      <x:c r="E182" s="146" t="e">
        <x:f>IF($A182="","",[1]!thsiFinD("ths_adjustment_nv_fund",E$3,$A182))</x:f>
        <x:v>#NAME?</x:v>
      </x:c>
      <x:c r="F182" s="146" t="e">
        <x:f>IF($A182="","",[1]!thsiFinD("ths_adjustment_nv_fund",F$3,$A182))</x:f>
        <x:v>#NAME?</x:v>
      </x:c>
      <x:c r="G182" s="146" t="e">
        <x:f>IF($A182="","",[1]!thsiFinD("ths_adjustment_nv_fund",G$3,$A182))</x:f>
        <x:v>#NAME?</x:v>
      </x:c>
      <x:c r="H182" s="146" t="e">
        <x:f>IF($A182="","",[1]!thsiFinD("ths_adjustment_nv_fund",H$3,$A182))</x:f>
        <x:v>#NAME?</x:v>
      </x:c>
      <x:c r="I182" s="146" t="e">
        <x:f>IF($A182="","",[1]!thsiFinD("ths_adjustment_nv_fund",I$3,$A182))</x:f>
        <x:v>#NAME?</x:v>
      </x:c>
      <x:c r="J182" s="146" t="e">
        <x:f>IF($A182="","",[1]!thsiFinD("ths_adjustment_nv_fund",J$3,$A182))</x:f>
        <x:v>#NAME?</x:v>
      </x:c>
      <x:c r="K182" s="146" t="e">
        <x:f>IF($A182="","",[1]!thsiFinD("ths_adjustment_nv_fund",K$3,$A182))</x:f>
        <x:v>#NAME?</x:v>
      </x:c>
      <x:c r="L182" s="146" t="e">
        <x:f>IF($A182="","",[1]!thsiFinD("ths_adjustment_nv_fund",L$3,$A182))</x:f>
        <x:v>#NAME?</x:v>
      </x:c>
      <x:c r="M182" s="146" t="e">
        <x:f>IF($A182="","",[1]!thsiFinD("ths_adjustment_nv_fund",M$3,$A182))</x:f>
        <x:v>#NAME?</x:v>
      </x:c>
      <x:c r="N182" s="146" t="e">
        <x:f>IF($A182="","",[1]!thsiFinD("ths_adjustment_nv_fund",N$3,$A182))</x:f>
        <x:v>#NAME?</x:v>
      </x:c>
      <x:c r="O182" s="146" t="e">
        <x:f>IF($A182="","",[1]!thsiFinD("ths_adjustment_nv_fund",O$3,$A182))</x:f>
        <x:v>#NAME?</x:v>
      </x:c>
      <x:c r="P182" s="146" t="e">
        <x:f>IF($A182="","",[1]!thsiFinD("ths_adjustment_nv_fund",P$3,$A182))</x:f>
        <x:v>#NAME?</x:v>
      </x:c>
      <x:c r="Q182" s="146" t="e">
        <x:f>IF($A182="","",[1]!thsiFinD("ths_adjustment_nv_fund",Q$3,$A182))</x:f>
        <x:v>#NAME?</x:v>
      </x:c>
      <x:c r="R182" s="146" t="e">
        <x:f>IF($A182="","",[1]!thsiFinD("ths_adjustment_nv_fund",R$3,$A182))</x:f>
        <x:v>#NAME?</x:v>
      </x:c>
      <x:c r="S182" s="146" t="e">
        <x:f>IF($A182="","",[1]!thsiFinD("ths_adjustment_nv_fund",S$3,$A182))</x:f>
        <x:v>#NAME?</x:v>
      </x:c>
      <x:c r="T182" s="146" t="e">
        <x:f>IF($A182="","",[1]!thsiFinD("ths_adjustment_nv_fund",T$3,$A182))</x:f>
        <x:v>#NAME?</x:v>
      </x:c>
      <x:c r="U182" s="146" t="e">
        <x:f>IF($A182="","",[1]!thsiFinD("ths_adjustment_nv_fund",U$3,$A182))</x:f>
        <x:v>#NAME?</x:v>
      </x:c>
      <x:c r="V182" s="146" t="e">
        <x:f>IF($A182="","",[1]!thsiFinD("ths_adjustment_nv_fund",V$3,$A182))</x:f>
        <x:v>#NAME?</x:v>
      </x:c>
      <x:c r="W182" s="146" t="e">
        <x:f>IF($A182="","",[1]!thsiFinD("ths_adjustment_nv_fund",W$3,$A182))</x:f>
        <x:v>#NAME?</x:v>
      </x:c>
      <x:c r="X182" s="146" t="e">
        <x:f>IF($A182="","",[1]!thsiFinD("ths_adjustment_nv_fund",X$3,$A182))</x:f>
        <x:v>#NAME?</x:v>
      </x:c>
      <x:c r="Y182" s="146" t="e">
        <x:f>IF($A182="","",[1]!thsiFinD("ths_adjustment_nv_fund",Y$3,$A182))</x:f>
        <x:v>#NAME?</x:v>
      </x:c>
      <x:c r="Z182" s="146" t="e">
        <x:f>IF($A182="","",[1]!thsiFinD("ths_adjustment_nv_fund",Z$3,$A182))</x:f>
        <x:v>#NAME?</x:v>
      </x:c>
      <x:c r="AA182" s="146" t="e">
        <x:f>IF($A182="","",[1]!thsiFinD("ths_adjustment_nv_fund",AA$3,$A182))</x:f>
        <x:v>#NAME?</x:v>
      </x:c>
    </x:row>
    <x:row r="183">
      <x:c r="B183" s="146" t="e">
        <x:f>IF($A183="","",[1]!thsiFinD("ths_adjustment_nv_fund",B$3,$A183))</x:f>
        <x:v>#NAME?</x:v>
      </x:c>
      <x:c r="C183" s="146" t="e">
        <x:f>IF($A183="","",[1]!thsiFinD("ths_adjustment_nv_fund",C$3,$A183))</x:f>
        <x:v>#NAME?</x:v>
      </x:c>
      <x:c r="D183" s="146" t="e">
        <x:f>IF($A183="","",[1]!thsiFinD("ths_adjustment_nv_fund",D$3,$A183))</x:f>
        <x:v>#NAME?</x:v>
      </x:c>
      <x:c r="E183" s="146" t="e">
        <x:f>IF($A183="","",[1]!thsiFinD("ths_adjustment_nv_fund",E$3,$A183))</x:f>
        <x:v>#NAME?</x:v>
      </x:c>
      <x:c r="F183" s="146" t="e">
        <x:f>IF($A183="","",[1]!thsiFinD("ths_adjustment_nv_fund",F$3,$A183))</x:f>
        <x:v>#NAME?</x:v>
      </x:c>
      <x:c r="G183" s="146" t="e">
        <x:f>IF($A183="","",[1]!thsiFinD("ths_adjustment_nv_fund",G$3,$A183))</x:f>
        <x:v>#NAME?</x:v>
      </x:c>
      <x:c r="H183" s="146" t="e">
        <x:f>IF($A183="","",[1]!thsiFinD("ths_adjustment_nv_fund",H$3,$A183))</x:f>
        <x:v>#NAME?</x:v>
      </x:c>
      <x:c r="I183" s="146" t="e">
        <x:f>IF($A183="","",[1]!thsiFinD("ths_adjustment_nv_fund",I$3,$A183))</x:f>
        <x:v>#NAME?</x:v>
      </x:c>
      <x:c r="J183" s="146" t="e">
        <x:f>IF($A183="","",[1]!thsiFinD("ths_adjustment_nv_fund",J$3,$A183))</x:f>
        <x:v>#NAME?</x:v>
      </x:c>
      <x:c r="K183" s="146" t="e">
        <x:f>IF($A183="","",[1]!thsiFinD("ths_adjustment_nv_fund",K$3,$A183))</x:f>
        <x:v>#NAME?</x:v>
      </x:c>
      <x:c r="L183" s="146" t="e">
        <x:f>IF($A183="","",[1]!thsiFinD("ths_adjustment_nv_fund",L$3,$A183))</x:f>
        <x:v>#NAME?</x:v>
      </x:c>
      <x:c r="M183" s="146" t="e">
        <x:f>IF($A183="","",[1]!thsiFinD("ths_adjustment_nv_fund",M$3,$A183))</x:f>
        <x:v>#NAME?</x:v>
      </x:c>
      <x:c r="N183" s="146" t="e">
        <x:f>IF($A183="","",[1]!thsiFinD("ths_adjustment_nv_fund",N$3,$A183))</x:f>
        <x:v>#NAME?</x:v>
      </x:c>
      <x:c r="O183" s="146" t="e">
        <x:f>IF($A183="","",[1]!thsiFinD("ths_adjustment_nv_fund",O$3,$A183))</x:f>
        <x:v>#NAME?</x:v>
      </x:c>
      <x:c r="P183" s="146" t="e">
        <x:f>IF($A183="","",[1]!thsiFinD("ths_adjustment_nv_fund",P$3,$A183))</x:f>
        <x:v>#NAME?</x:v>
      </x:c>
      <x:c r="Q183" s="146" t="e">
        <x:f>IF($A183="","",[1]!thsiFinD("ths_adjustment_nv_fund",Q$3,$A183))</x:f>
        <x:v>#NAME?</x:v>
      </x:c>
      <x:c r="R183" s="146" t="e">
        <x:f>IF($A183="","",[1]!thsiFinD("ths_adjustment_nv_fund",R$3,$A183))</x:f>
        <x:v>#NAME?</x:v>
      </x:c>
      <x:c r="S183" s="146" t="e">
        <x:f>IF($A183="","",[1]!thsiFinD("ths_adjustment_nv_fund",S$3,$A183))</x:f>
        <x:v>#NAME?</x:v>
      </x:c>
      <x:c r="T183" s="146" t="e">
        <x:f>IF($A183="","",[1]!thsiFinD("ths_adjustment_nv_fund",T$3,$A183))</x:f>
        <x:v>#NAME?</x:v>
      </x:c>
      <x:c r="U183" s="146" t="e">
        <x:f>IF($A183="","",[1]!thsiFinD("ths_adjustment_nv_fund",U$3,$A183))</x:f>
        <x:v>#NAME?</x:v>
      </x:c>
      <x:c r="V183" s="146" t="e">
        <x:f>IF($A183="","",[1]!thsiFinD("ths_adjustment_nv_fund",V$3,$A183))</x:f>
        <x:v>#NAME?</x:v>
      </x:c>
      <x:c r="W183" s="146" t="e">
        <x:f>IF($A183="","",[1]!thsiFinD("ths_adjustment_nv_fund",W$3,$A183))</x:f>
        <x:v>#NAME?</x:v>
      </x:c>
      <x:c r="X183" s="146" t="e">
        <x:f>IF($A183="","",[1]!thsiFinD("ths_adjustment_nv_fund",X$3,$A183))</x:f>
        <x:v>#NAME?</x:v>
      </x:c>
      <x:c r="Y183" s="146" t="e">
        <x:f>IF($A183="","",[1]!thsiFinD("ths_adjustment_nv_fund",Y$3,$A183))</x:f>
        <x:v>#NAME?</x:v>
      </x:c>
      <x:c r="Z183" s="146" t="e">
        <x:f>IF($A183="","",[1]!thsiFinD("ths_adjustment_nv_fund",Z$3,$A183))</x:f>
        <x:v>#NAME?</x:v>
      </x:c>
      <x:c r="AA183" s="146" t="e">
        <x:f>IF($A183="","",[1]!thsiFinD("ths_adjustment_nv_fund",AA$3,$A183))</x:f>
        <x:v>#NAME?</x:v>
      </x:c>
    </x:row>
    <x:row r="184">
      <x:c r="B184" s="146" t="e">
        <x:f>IF($A184="","",[1]!thsiFinD("ths_adjustment_nv_fund",B$3,$A184))</x:f>
        <x:v>#NAME?</x:v>
      </x:c>
      <x:c r="C184" s="146" t="e">
        <x:f>IF($A184="","",[1]!thsiFinD("ths_adjustment_nv_fund",C$3,$A184))</x:f>
        <x:v>#NAME?</x:v>
      </x:c>
      <x:c r="D184" s="146" t="e">
        <x:f>IF($A184="","",[1]!thsiFinD("ths_adjustment_nv_fund",D$3,$A184))</x:f>
        <x:v>#NAME?</x:v>
      </x:c>
      <x:c r="E184" s="146" t="e">
        <x:f>IF($A184="","",[1]!thsiFinD("ths_adjustment_nv_fund",E$3,$A184))</x:f>
        <x:v>#NAME?</x:v>
      </x:c>
      <x:c r="F184" s="146" t="e">
        <x:f>IF($A184="","",[1]!thsiFinD("ths_adjustment_nv_fund",F$3,$A184))</x:f>
        <x:v>#NAME?</x:v>
      </x:c>
      <x:c r="G184" s="146" t="e">
        <x:f>IF($A184="","",[1]!thsiFinD("ths_adjustment_nv_fund",G$3,$A184))</x:f>
        <x:v>#NAME?</x:v>
      </x:c>
      <x:c r="H184" s="146" t="e">
        <x:f>IF($A184="","",[1]!thsiFinD("ths_adjustment_nv_fund",H$3,$A184))</x:f>
        <x:v>#NAME?</x:v>
      </x:c>
      <x:c r="I184" s="146" t="e">
        <x:f>IF($A184="","",[1]!thsiFinD("ths_adjustment_nv_fund",I$3,$A184))</x:f>
        <x:v>#NAME?</x:v>
      </x:c>
      <x:c r="J184" s="146" t="e">
        <x:f>IF($A184="","",[1]!thsiFinD("ths_adjustment_nv_fund",J$3,$A184))</x:f>
        <x:v>#NAME?</x:v>
      </x:c>
      <x:c r="K184" s="146" t="e">
        <x:f>IF($A184="","",[1]!thsiFinD("ths_adjustment_nv_fund",K$3,$A184))</x:f>
        <x:v>#NAME?</x:v>
      </x:c>
      <x:c r="L184" s="146" t="e">
        <x:f>IF($A184="","",[1]!thsiFinD("ths_adjustment_nv_fund",L$3,$A184))</x:f>
        <x:v>#NAME?</x:v>
      </x:c>
      <x:c r="M184" s="146" t="e">
        <x:f>IF($A184="","",[1]!thsiFinD("ths_adjustment_nv_fund",M$3,$A184))</x:f>
        <x:v>#NAME?</x:v>
      </x:c>
      <x:c r="N184" s="146" t="e">
        <x:f>IF($A184="","",[1]!thsiFinD("ths_adjustment_nv_fund",N$3,$A184))</x:f>
        <x:v>#NAME?</x:v>
      </x:c>
      <x:c r="O184" s="146" t="e">
        <x:f>IF($A184="","",[1]!thsiFinD("ths_adjustment_nv_fund",O$3,$A184))</x:f>
        <x:v>#NAME?</x:v>
      </x:c>
      <x:c r="P184" s="146" t="e">
        <x:f>IF($A184="","",[1]!thsiFinD("ths_adjustment_nv_fund",P$3,$A184))</x:f>
        <x:v>#NAME?</x:v>
      </x:c>
      <x:c r="Q184" s="146" t="e">
        <x:f>IF($A184="","",[1]!thsiFinD("ths_adjustment_nv_fund",Q$3,$A184))</x:f>
        <x:v>#NAME?</x:v>
      </x:c>
      <x:c r="R184" s="146" t="e">
        <x:f>IF($A184="","",[1]!thsiFinD("ths_adjustment_nv_fund",R$3,$A184))</x:f>
        <x:v>#NAME?</x:v>
      </x:c>
      <x:c r="S184" s="146" t="e">
        <x:f>IF($A184="","",[1]!thsiFinD("ths_adjustment_nv_fund",S$3,$A184))</x:f>
        <x:v>#NAME?</x:v>
      </x:c>
      <x:c r="T184" s="146" t="e">
        <x:f>IF($A184="","",[1]!thsiFinD("ths_adjustment_nv_fund",T$3,$A184))</x:f>
        <x:v>#NAME?</x:v>
      </x:c>
      <x:c r="U184" s="146" t="e">
        <x:f>IF($A184="","",[1]!thsiFinD("ths_adjustment_nv_fund",U$3,$A184))</x:f>
        <x:v>#NAME?</x:v>
      </x:c>
      <x:c r="V184" s="146" t="e">
        <x:f>IF($A184="","",[1]!thsiFinD("ths_adjustment_nv_fund",V$3,$A184))</x:f>
        <x:v>#NAME?</x:v>
      </x:c>
      <x:c r="W184" s="146" t="e">
        <x:f>IF($A184="","",[1]!thsiFinD("ths_adjustment_nv_fund",W$3,$A184))</x:f>
        <x:v>#NAME?</x:v>
      </x:c>
      <x:c r="X184" s="146" t="e">
        <x:f>IF($A184="","",[1]!thsiFinD("ths_adjustment_nv_fund",X$3,$A184))</x:f>
        <x:v>#NAME?</x:v>
      </x:c>
      <x:c r="Y184" s="146" t="e">
        <x:f>IF($A184="","",[1]!thsiFinD("ths_adjustment_nv_fund",Y$3,$A184))</x:f>
        <x:v>#NAME?</x:v>
      </x:c>
      <x:c r="Z184" s="146" t="e">
        <x:f>IF($A184="","",[1]!thsiFinD("ths_adjustment_nv_fund",Z$3,$A184))</x:f>
        <x:v>#NAME?</x:v>
      </x:c>
      <x:c r="AA184" s="146" t="e">
        <x:f>IF($A184="","",[1]!thsiFinD("ths_adjustment_nv_fund",AA$3,$A184))</x:f>
        <x:v>#NAME?</x:v>
      </x:c>
    </x:row>
    <x:row r="185">
      <x:c r="B185" s="146" t="e">
        <x:f>IF($A185="","",[1]!thsiFinD("ths_adjustment_nv_fund",B$3,$A185))</x:f>
        <x:v>#NAME?</x:v>
      </x:c>
      <x:c r="C185" s="146" t="e">
        <x:f>IF($A185="","",[1]!thsiFinD("ths_adjustment_nv_fund",C$3,$A185))</x:f>
        <x:v>#NAME?</x:v>
      </x:c>
      <x:c r="D185" s="146" t="e">
        <x:f>IF($A185="","",[1]!thsiFinD("ths_adjustment_nv_fund",D$3,$A185))</x:f>
        <x:v>#NAME?</x:v>
      </x:c>
      <x:c r="E185" s="146" t="e">
        <x:f>IF($A185="","",[1]!thsiFinD("ths_adjustment_nv_fund",E$3,$A185))</x:f>
        <x:v>#NAME?</x:v>
      </x:c>
      <x:c r="F185" s="146" t="e">
        <x:f>IF($A185="","",[1]!thsiFinD("ths_adjustment_nv_fund",F$3,$A185))</x:f>
        <x:v>#NAME?</x:v>
      </x:c>
      <x:c r="G185" s="146" t="e">
        <x:f>IF($A185="","",[1]!thsiFinD("ths_adjustment_nv_fund",G$3,$A185))</x:f>
        <x:v>#NAME?</x:v>
      </x:c>
      <x:c r="H185" s="146" t="e">
        <x:f>IF($A185="","",[1]!thsiFinD("ths_adjustment_nv_fund",H$3,$A185))</x:f>
        <x:v>#NAME?</x:v>
      </x:c>
      <x:c r="I185" s="146" t="e">
        <x:f>IF($A185="","",[1]!thsiFinD("ths_adjustment_nv_fund",I$3,$A185))</x:f>
        <x:v>#NAME?</x:v>
      </x:c>
      <x:c r="J185" s="146" t="e">
        <x:f>IF($A185="","",[1]!thsiFinD("ths_adjustment_nv_fund",J$3,$A185))</x:f>
        <x:v>#NAME?</x:v>
      </x:c>
      <x:c r="K185" s="146" t="e">
        <x:f>IF($A185="","",[1]!thsiFinD("ths_adjustment_nv_fund",K$3,$A185))</x:f>
        <x:v>#NAME?</x:v>
      </x:c>
      <x:c r="L185" s="146" t="e">
        <x:f>IF($A185="","",[1]!thsiFinD("ths_adjustment_nv_fund",L$3,$A185))</x:f>
        <x:v>#NAME?</x:v>
      </x:c>
      <x:c r="M185" s="146" t="e">
        <x:f>IF($A185="","",[1]!thsiFinD("ths_adjustment_nv_fund",M$3,$A185))</x:f>
        <x:v>#NAME?</x:v>
      </x:c>
      <x:c r="N185" s="146" t="e">
        <x:f>IF($A185="","",[1]!thsiFinD("ths_adjustment_nv_fund",N$3,$A185))</x:f>
        <x:v>#NAME?</x:v>
      </x:c>
      <x:c r="O185" s="146" t="e">
        <x:f>IF($A185="","",[1]!thsiFinD("ths_adjustment_nv_fund",O$3,$A185))</x:f>
        <x:v>#NAME?</x:v>
      </x:c>
      <x:c r="P185" s="146" t="e">
        <x:f>IF($A185="","",[1]!thsiFinD("ths_adjustment_nv_fund",P$3,$A185))</x:f>
        <x:v>#NAME?</x:v>
      </x:c>
      <x:c r="Q185" s="146" t="e">
        <x:f>IF($A185="","",[1]!thsiFinD("ths_adjustment_nv_fund",Q$3,$A185))</x:f>
        <x:v>#NAME?</x:v>
      </x:c>
      <x:c r="R185" s="146" t="e">
        <x:f>IF($A185="","",[1]!thsiFinD("ths_adjustment_nv_fund",R$3,$A185))</x:f>
        <x:v>#NAME?</x:v>
      </x:c>
      <x:c r="S185" s="146" t="e">
        <x:f>IF($A185="","",[1]!thsiFinD("ths_adjustment_nv_fund",S$3,$A185))</x:f>
        <x:v>#NAME?</x:v>
      </x:c>
      <x:c r="T185" s="146" t="e">
        <x:f>IF($A185="","",[1]!thsiFinD("ths_adjustment_nv_fund",T$3,$A185))</x:f>
        <x:v>#NAME?</x:v>
      </x:c>
      <x:c r="U185" s="146" t="e">
        <x:f>IF($A185="","",[1]!thsiFinD("ths_adjustment_nv_fund",U$3,$A185))</x:f>
        <x:v>#NAME?</x:v>
      </x:c>
      <x:c r="V185" s="146" t="e">
        <x:f>IF($A185="","",[1]!thsiFinD("ths_adjustment_nv_fund",V$3,$A185))</x:f>
        <x:v>#NAME?</x:v>
      </x:c>
      <x:c r="W185" s="146" t="e">
        <x:f>IF($A185="","",[1]!thsiFinD("ths_adjustment_nv_fund",W$3,$A185))</x:f>
        <x:v>#NAME?</x:v>
      </x:c>
      <x:c r="X185" s="146" t="e">
        <x:f>IF($A185="","",[1]!thsiFinD("ths_adjustment_nv_fund",X$3,$A185))</x:f>
        <x:v>#NAME?</x:v>
      </x:c>
      <x:c r="Y185" s="146" t="e">
        <x:f>IF($A185="","",[1]!thsiFinD("ths_adjustment_nv_fund",Y$3,$A185))</x:f>
        <x:v>#NAME?</x:v>
      </x:c>
      <x:c r="Z185" s="146" t="e">
        <x:f>IF($A185="","",[1]!thsiFinD("ths_adjustment_nv_fund",Z$3,$A185))</x:f>
        <x:v>#NAME?</x:v>
      </x:c>
      <x:c r="AA185" s="146" t="e">
        <x:f>IF($A185="","",[1]!thsiFinD("ths_adjustment_nv_fund",AA$3,$A185))</x:f>
        <x:v>#NAME?</x:v>
      </x:c>
    </x:row>
    <x:row r="186">
      <x:c r="B186" s="146" t="e">
        <x:f>IF($A186="","",[1]!thsiFinD("ths_adjustment_nv_fund",B$3,$A186))</x:f>
        <x:v>#NAME?</x:v>
      </x:c>
      <x:c r="C186" s="146" t="e">
        <x:f>IF($A186="","",[1]!thsiFinD("ths_adjustment_nv_fund",C$3,$A186))</x:f>
        <x:v>#NAME?</x:v>
      </x:c>
      <x:c r="D186" s="146" t="e">
        <x:f>IF($A186="","",[1]!thsiFinD("ths_adjustment_nv_fund",D$3,$A186))</x:f>
        <x:v>#NAME?</x:v>
      </x:c>
      <x:c r="E186" s="146" t="e">
        <x:f>IF($A186="","",[1]!thsiFinD("ths_adjustment_nv_fund",E$3,$A186))</x:f>
        <x:v>#NAME?</x:v>
      </x:c>
      <x:c r="F186" s="146" t="e">
        <x:f>IF($A186="","",[1]!thsiFinD("ths_adjustment_nv_fund",F$3,$A186))</x:f>
        <x:v>#NAME?</x:v>
      </x:c>
      <x:c r="G186" s="146" t="e">
        <x:f>IF($A186="","",[1]!thsiFinD("ths_adjustment_nv_fund",G$3,$A186))</x:f>
        <x:v>#NAME?</x:v>
      </x:c>
      <x:c r="H186" s="146" t="e">
        <x:f>IF($A186="","",[1]!thsiFinD("ths_adjustment_nv_fund",H$3,$A186))</x:f>
        <x:v>#NAME?</x:v>
      </x:c>
      <x:c r="I186" s="146" t="e">
        <x:f>IF($A186="","",[1]!thsiFinD("ths_adjustment_nv_fund",I$3,$A186))</x:f>
        <x:v>#NAME?</x:v>
      </x:c>
      <x:c r="J186" s="146" t="e">
        <x:f>IF($A186="","",[1]!thsiFinD("ths_adjustment_nv_fund",J$3,$A186))</x:f>
        <x:v>#NAME?</x:v>
      </x:c>
      <x:c r="K186" s="146" t="e">
        <x:f>IF($A186="","",[1]!thsiFinD("ths_adjustment_nv_fund",K$3,$A186))</x:f>
        <x:v>#NAME?</x:v>
      </x:c>
      <x:c r="L186" s="146" t="e">
        <x:f>IF($A186="","",[1]!thsiFinD("ths_adjustment_nv_fund",L$3,$A186))</x:f>
        <x:v>#NAME?</x:v>
      </x:c>
      <x:c r="M186" s="146" t="e">
        <x:f>IF($A186="","",[1]!thsiFinD("ths_adjustment_nv_fund",M$3,$A186))</x:f>
        <x:v>#NAME?</x:v>
      </x:c>
      <x:c r="N186" s="146" t="e">
        <x:f>IF($A186="","",[1]!thsiFinD("ths_adjustment_nv_fund",N$3,$A186))</x:f>
        <x:v>#NAME?</x:v>
      </x:c>
      <x:c r="O186" s="146" t="e">
        <x:f>IF($A186="","",[1]!thsiFinD("ths_adjustment_nv_fund",O$3,$A186))</x:f>
        <x:v>#NAME?</x:v>
      </x:c>
      <x:c r="P186" s="146" t="e">
        <x:f>IF($A186="","",[1]!thsiFinD("ths_adjustment_nv_fund",P$3,$A186))</x:f>
        <x:v>#NAME?</x:v>
      </x:c>
      <x:c r="Q186" s="146" t="e">
        <x:f>IF($A186="","",[1]!thsiFinD("ths_adjustment_nv_fund",Q$3,$A186))</x:f>
        <x:v>#NAME?</x:v>
      </x:c>
      <x:c r="R186" s="146" t="e">
        <x:f>IF($A186="","",[1]!thsiFinD("ths_adjustment_nv_fund",R$3,$A186))</x:f>
        <x:v>#NAME?</x:v>
      </x:c>
      <x:c r="S186" s="146" t="e">
        <x:f>IF($A186="","",[1]!thsiFinD("ths_adjustment_nv_fund",S$3,$A186))</x:f>
        <x:v>#NAME?</x:v>
      </x:c>
      <x:c r="T186" s="146" t="e">
        <x:f>IF($A186="","",[1]!thsiFinD("ths_adjustment_nv_fund",T$3,$A186))</x:f>
        <x:v>#NAME?</x:v>
      </x:c>
      <x:c r="U186" s="146" t="e">
        <x:f>IF($A186="","",[1]!thsiFinD("ths_adjustment_nv_fund",U$3,$A186))</x:f>
        <x:v>#NAME?</x:v>
      </x:c>
      <x:c r="V186" s="146" t="e">
        <x:f>IF($A186="","",[1]!thsiFinD("ths_adjustment_nv_fund",V$3,$A186))</x:f>
        <x:v>#NAME?</x:v>
      </x:c>
      <x:c r="W186" s="146" t="e">
        <x:f>IF($A186="","",[1]!thsiFinD("ths_adjustment_nv_fund",W$3,$A186))</x:f>
        <x:v>#NAME?</x:v>
      </x:c>
      <x:c r="X186" s="146" t="e">
        <x:f>IF($A186="","",[1]!thsiFinD("ths_adjustment_nv_fund",X$3,$A186))</x:f>
        <x:v>#NAME?</x:v>
      </x:c>
      <x:c r="Y186" s="146" t="e">
        <x:f>IF($A186="","",[1]!thsiFinD("ths_adjustment_nv_fund",Y$3,$A186))</x:f>
        <x:v>#NAME?</x:v>
      </x:c>
      <x:c r="Z186" s="146" t="e">
        <x:f>IF($A186="","",[1]!thsiFinD("ths_adjustment_nv_fund",Z$3,$A186))</x:f>
        <x:v>#NAME?</x:v>
      </x:c>
      <x:c r="AA186" s="146" t="e">
        <x:f>IF($A186="","",[1]!thsiFinD("ths_adjustment_nv_fund",AA$3,$A186))</x:f>
        <x:v>#NAME?</x:v>
      </x:c>
    </x:row>
    <x:row r="187">
      <x:c r="B187" s="146" t="e">
        <x:f>IF($A187="","",[1]!thsiFinD("ths_adjustment_nv_fund",B$3,$A187))</x:f>
        <x:v>#NAME?</x:v>
      </x:c>
      <x:c r="C187" s="146" t="e">
        <x:f>IF($A187="","",[1]!thsiFinD("ths_adjustment_nv_fund",C$3,$A187))</x:f>
        <x:v>#NAME?</x:v>
      </x:c>
      <x:c r="D187" s="146" t="e">
        <x:f>IF($A187="","",[1]!thsiFinD("ths_adjustment_nv_fund",D$3,$A187))</x:f>
        <x:v>#NAME?</x:v>
      </x:c>
      <x:c r="E187" s="146" t="e">
        <x:f>IF($A187="","",[1]!thsiFinD("ths_adjustment_nv_fund",E$3,$A187))</x:f>
        <x:v>#NAME?</x:v>
      </x:c>
      <x:c r="F187" s="146" t="e">
        <x:f>IF($A187="","",[1]!thsiFinD("ths_adjustment_nv_fund",F$3,$A187))</x:f>
        <x:v>#NAME?</x:v>
      </x:c>
      <x:c r="G187" s="146" t="e">
        <x:f>IF($A187="","",[1]!thsiFinD("ths_adjustment_nv_fund",G$3,$A187))</x:f>
        <x:v>#NAME?</x:v>
      </x:c>
      <x:c r="H187" s="146" t="e">
        <x:f>IF($A187="","",[1]!thsiFinD("ths_adjustment_nv_fund",H$3,$A187))</x:f>
        <x:v>#NAME?</x:v>
      </x:c>
      <x:c r="I187" s="146" t="e">
        <x:f>IF($A187="","",[1]!thsiFinD("ths_adjustment_nv_fund",I$3,$A187))</x:f>
        <x:v>#NAME?</x:v>
      </x:c>
      <x:c r="J187" s="146" t="e">
        <x:f>IF($A187="","",[1]!thsiFinD("ths_adjustment_nv_fund",J$3,$A187))</x:f>
        <x:v>#NAME?</x:v>
      </x:c>
      <x:c r="K187" s="146" t="e">
        <x:f>IF($A187="","",[1]!thsiFinD("ths_adjustment_nv_fund",K$3,$A187))</x:f>
        <x:v>#NAME?</x:v>
      </x:c>
      <x:c r="L187" s="146" t="e">
        <x:f>IF($A187="","",[1]!thsiFinD("ths_adjustment_nv_fund",L$3,$A187))</x:f>
        <x:v>#NAME?</x:v>
      </x:c>
      <x:c r="M187" s="146" t="e">
        <x:f>IF($A187="","",[1]!thsiFinD("ths_adjustment_nv_fund",M$3,$A187))</x:f>
        <x:v>#NAME?</x:v>
      </x:c>
      <x:c r="N187" s="146" t="e">
        <x:f>IF($A187="","",[1]!thsiFinD("ths_adjustment_nv_fund",N$3,$A187))</x:f>
        <x:v>#NAME?</x:v>
      </x:c>
      <x:c r="O187" s="146" t="e">
        <x:f>IF($A187="","",[1]!thsiFinD("ths_adjustment_nv_fund",O$3,$A187))</x:f>
        <x:v>#NAME?</x:v>
      </x:c>
      <x:c r="P187" s="146" t="e">
        <x:f>IF($A187="","",[1]!thsiFinD("ths_adjustment_nv_fund",P$3,$A187))</x:f>
        <x:v>#NAME?</x:v>
      </x:c>
      <x:c r="Q187" s="146" t="e">
        <x:f>IF($A187="","",[1]!thsiFinD("ths_adjustment_nv_fund",Q$3,$A187))</x:f>
        <x:v>#NAME?</x:v>
      </x:c>
      <x:c r="R187" s="146" t="e">
        <x:f>IF($A187="","",[1]!thsiFinD("ths_adjustment_nv_fund",R$3,$A187))</x:f>
        <x:v>#NAME?</x:v>
      </x:c>
      <x:c r="S187" s="146" t="e">
        <x:f>IF($A187="","",[1]!thsiFinD("ths_adjustment_nv_fund",S$3,$A187))</x:f>
        <x:v>#NAME?</x:v>
      </x:c>
      <x:c r="T187" s="146" t="e">
        <x:f>IF($A187="","",[1]!thsiFinD("ths_adjustment_nv_fund",T$3,$A187))</x:f>
        <x:v>#NAME?</x:v>
      </x:c>
      <x:c r="U187" s="146" t="e">
        <x:f>IF($A187="","",[1]!thsiFinD("ths_adjustment_nv_fund",U$3,$A187))</x:f>
        <x:v>#NAME?</x:v>
      </x:c>
      <x:c r="V187" s="146" t="e">
        <x:f>IF($A187="","",[1]!thsiFinD("ths_adjustment_nv_fund",V$3,$A187))</x:f>
        <x:v>#NAME?</x:v>
      </x:c>
      <x:c r="W187" s="146" t="e">
        <x:f>IF($A187="","",[1]!thsiFinD("ths_adjustment_nv_fund",W$3,$A187))</x:f>
        <x:v>#NAME?</x:v>
      </x:c>
      <x:c r="X187" s="146" t="e">
        <x:f>IF($A187="","",[1]!thsiFinD("ths_adjustment_nv_fund",X$3,$A187))</x:f>
        <x:v>#NAME?</x:v>
      </x:c>
      <x:c r="Y187" s="146" t="e">
        <x:f>IF($A187="","",[1]!thsiFinD("ths_adjustment_nv_fund",Y$3,$A187))</x:f>
        <x:v>#NAME?</x:v>
      </x:c>
      <x:c r="Z187" s="146" t="e">
        <x:f>IF($A187="","",[1]!thsiFinD("ths_adjustment_nv_fund",Z$3,$A187))</x:f>
        <x:v>#NAME?</x:v>
      </x:c>
      <x:c r="AA187" s="146" t="e">
        <x:f>IF($A187="","",[1]!thsiFinD("ths_adjustment_nv_fund",AA$3,$A187))</x:f>
        <x:v>#NAME?</x:v>
      </x:c>
    </x:row>
    <x:row r="188">
      <x:c r="B188" s="146" t="e">
        <x:f>IF($A188="","",[1]!thsiFinD("ths_adjustment_nv_fund",B$3,$A188))</x:f>
        <x:v>#NAME?</x:v>
      </x:c>
      <x:c r="C188" s="146" t="e">
        <x:f>IF($A188="","",[1]!thsiFinD("ths_adjustment_nv_fund",C$3,$A188))</x:f>
        <x:v>#NAME?</x:v>
      </x:c>
      <x:c r="D188" s="146" t="e">
        <x:f>IF($A188="","",[1]!thsiFinD("ths_adjustment_nv_fund",D$3,$A188))</x:f>
        <x:v>#NAME?</x:v>
      </x:c>
      <x:c r="E188" s="146" t="e">
        <x:f>IF($A188="","",[1]!thsiFinD("ths_adjustment_nv_fund",E$3,$A188))</x:f>
        <x:v>#NAME?</x:v>
      </x:c>
      <x:c r="F188" s="146" t="e">
        <x:f>IF($A188="","",[1]!thsiFinD("ths_adjustment_nv_fund",F$3,$A188))</x:f>
        <x:v>#NAME?</x:v>
      </x:c>
      <x:c r="G188" s="146" t="e">
        <x:f>IF($A188="","",[1]!thsiFinD("ths_adjustment_nv_fund",G$3,$A188))</x:f>
        <x:v>#NAME?</x:v>
      </x:c>
      <x:c r="H188" s="146" t="e">
        <x:f>IF($A188="","",[1]!thsiFinD("ths_adjustment_nv_fund",H$3,$A188))</x:f>
        <x:v>#NAME?</x:v>
      </x:c>
      <x:c r="I188" s="146" t="e">
        <x:f>IF($A188="","",[1]!thsiFinD("ths_adjustment_nv_fund",I$3,$A188))</x:f>
        <x:v>#NAME?</x:v>
      </x:c>
      <x:c r="J188" s="146" t="e">
        <x:f>IF($A188="","",[1]!thsiFinD("ths_adjustment_nv_fund",J$3,$A188))</x:f>
        <x:v>#NAME?</x:v>
      </x:c>
      <x:c r="K188" s="146" t="e">
        <x:f>IF($A188="","",[1]!thsiFinD("ths_adjustment_nv_fund",K$3,$A188))</x:f>
        <x:v>#NAME?</x:v>
      </x:c>
      <x:c r="L188" s="146" t="e">
        <x:f>IF($A188="","",[1]!thsiFinD("ths_adjustment_nv_fund",L$3,$A188))</x:f>
        <x:v>#NAME?</x:v>
      </x:c>
      <x:c r="M188" s="146" t="e">
        <x:f>IF($A188="","",[1]!thsiFinD("ths_adjustment_nv_fund",M$3,$A188))</x:f>
        <x:v>#NAME?</x:v>
      </x:c>
      <x:c r="N188" s="146" t="e">
        <x:f>IF($A188="","",[1]!thsiFinD("ths_adjustment_nv_fund",N$3,$A188))</x:f>
        <x:v>#NAME?</x:v>
      </x:c>
      <x:c r="O188" s="146" t="e">
        <x:f>IF($A188="","",[1]!thsiFinD("ths_adjustment_nv_fund",O$3,$A188))</x:f>
        <x:v>#NAME?</x:v>
      </x:c>
      <x:c r="P188" s="146" t="e">
        <x:f>IF($A188="","",[1]!thsiFinD("ths_adjustment_nv_fund",P$3,$A188))</x:f>
        <x:v>#NAME?</x:v>
      </x:c>
      <x:c r="Q188" s="146" t="e">
        <x:f>IF($A188="","",[1]!thsiFinD("ths_adjustment_nv_fund",Q$3,$A188))</x:f>
        <x:v>#NAME?</x:v>
      </x:c>
      <x:c r="R188" s="146" t="e">
        <x:f>IF($A188="","",[1]!thsiFinD("ths_adjustment_nv_fund",R$3,$A188))</x:f>
        <x:v>#NAME?</x:v>
      </x:c>
      <x:c r="S188" s="146" t="e">
        <x:f>IF($A188="","",[1]!thsiFinD("ths_adjustment_nv_fund",S$3,$A188))</x:f>
        <x:v>#NAME?</x:v>
      </x:c>
      <x:c r="T188" s="146" t="e">
        <x:f>IF($A188="","",[1]!thsiFinD("ths_adjustment_nv_fund",T$3,$A188))</x:f>
        <x:v>#NAME?</x:v>
      </x:c>
      <x:c r="U188" s="146" t="e">
        <x:f>IF($A188="","",[1]!thsiFinD("ths_adjustment_nv_fund",U$3,$A188))</x:f>
        <x:v>#NAME?</x:v>
      </x:c>
      <x:c r="V188" s="146" t="e">
        <x:f>IF($A188="","",[1]!thsiFinD("ths_adjustment_nv_fund",V$3,$A188))</x:f>
        <x:v>#NAME?</x:v>
      </x:c>
      <x:c r="W188" s="146" t="e">
        <x:f>IF($A188="","",[1]!thsiFinD("ths_adjustment_nv_fund",W$3,$A188))</x:f>
        <x:v>#NAME?</x:v>
      </x:c>
      <x:c r="X188" s="146" t="e">
        <x:f>IF($A188="","",[1]!thsiFinD("ths_adjustment_nv_fund",X$3,$A188))</x:f>
        <x:v>#NAME?</x:v>
      </x:c>
      <x:c r="Y188" s="146" t="e">
        <x:f>IF($A188="","",[1]!thsiFinD("ths_adjustment_nv_fund",Y$3,$A188))</x:f>
        <x:v>#NAME?</x:v>
      </x:c>
      <x:c r="Z188" s="146" t="e">
        <x:f>IF($A188="","",[1]!thsiFinD("ths_adjustment_nv_fund",Z$3,$A188))</x:f>
        <x:v>#NAME?</x:v>
      </x:c>
      <x:c r="AA188" s="146" t="e">
        <x:f>IF($A188="","",[1]!thsiFinD("ths_adjustment_nv_fund",AA$3,$A188))</x:f>
        <x:v>#NAME?</x:v>
      </x:c>
    </x:row>
    <x:row r="189">
      <x:c r="B189" s="146" t="e">
        <x:f>IF($A189="","",[1]!thsiFinD("ths_adjustment_nv_fund",B$3,$A189))</x:f>
        <x:v>#NAME?</x:v>
      </x:c>
      <x:c r="C189" s="146" t="e">
        <x:f>IF($A189="","",[1]!thsiFinD("ths_adjustment_nv_fund",C$3,$A189))</x:f>
        <x:v>#NAME?</x:v>
      </x:c>
      <x:c r="D189" s="146" t="e">
        <x:f>IF($A189="","",[1]!thsiFinD("ths_adjustment_nv_fund",D$3,$A189))</x:f>
        <x:v>#NAME?</x:v>
      </x:c>
      <x:c r="E189" s="146" t="e">
        <x:f>IF($A189="","",[1]!thsiFinD("ths_adjustment_nv_fund",E$3,$A189))</x:f>
        <x:v>#NAME?</x:v>
      </x:c>
      <x:c r="F189" s="146" t="e">
        <x:f>IF($A189="","",[1]!thsiFinD("ths_adjustment_nv_fund",F$3,$A189))</x:f>
        <x:v>#NAME?</x:v>
      </x:c>
      <x:c r="G189" s="146" t="e">
        <x:f>IF($A189="","",[1]!thsiFinD("ths_adjustment_nv_fund",G$3,$A189))</x:f>
        <x:v>#NAME?</x:v>
      </x:c>
      <x:c r="H189" s="146" t="e">
        <x:f>IF($A189="","",[1]!thsiFinD("ths_adjustment_nv_fund",H$3,$A189))</x:f>
        <x:v>#NAME?</x:v>
      </x:c>
      <x:c r="I189" s="146" t="e">
        <x:f>IF($A189="","",[1]!thsiFinD("ths_adjustment_nv_fund",I$3,$A189))</x:f>
        <x:v>#NAME?</x:v>
      </x:c>
      <x:c r="J189" s="146" t="e">
        <x:f>IF($A189="","",[1]!thsiFinD("ths_adjustment_nv_fund",J$3,$A189))</x:f>
        <x:v>#NAME?</x:v>
      </x:c>
      <x:c r="K189" s="146" t="e">
        <x:f>IF($A189="","",[1]!thsiFinD("ths_adjustment_nv_fund",K$3,$A189))</x:f>
        <x:v>#NAME?</x:v>
      </x:c>
      <x:c r="L189" s="146" t="e">
        <x:f>IF($A189="","",[1]!thsiFinD("ths_adjustment_nv_fund",L$3,$A189))</x:f>
        <x:v>#NAME?</x:v>
      </x:c>
      <x:c r="M189" s="146" t="e">
        <x:f>IF($A189="","",[1]!thsiFinD("ths_adjustment_nv_fund",M$3,$A189))</x:f>
        <x:v>#NAME?</x:v>
      </x:c>
      <x:c r="N189" s="146" t="e">
        <x:f>IF($A189="","",[1]!thsiFinD("ths_adjustment_nv_fund",N$3,$A189))</x:f>
        <x:v>#NAME?</x:v>
      </x:c>
      <x:c r="O189" s="146" t="e">
        <x:f>IF($A189="","",[1]!thsiFinD("ths_adjustment_nv_fund",O$3,$A189))</x:f>
        <x:v>#NAME?</x:v>
      </x:c>
      <x:c r="P189" s="146" t="e">
        <x:f>IF($A189="","",[1]!thsiFinD("ths_adjustment_nv_fund",P$3,$A189))</x:f>
        <x:v>#NAME?</x:v>
      </x:c>
      <x:c r="Q189" s="146" t="e">
        <x:f>IF($A189="","",[1]!thsiFinD("ths_adjustment_nv_fund",Q$3,$A189))</x:f>
        <x:v>#NAME?</x:v>
      </x:c>
      <x:c r="R189" s="146" t="e">
        <x:f>IF($A189="","",[1]!thsiFinD("ths_adjustment_nv_fund",R$3,$A189))</x:f>
        <x:v>#NAME?</x:v>
      </x:c>
      <x:c r="S189" s="146" t="e">
        <x:f>IF($A189="","",[1]!thsiFinD("ths_adjustment_nv_fund",S$3,$A189))</x:f>
        <x:v>#NAME?</x:v>
      </x:c>
      <x:c r="T189" s="146" t="e">
        <x:f>IF($A189="","",[1]!thsiFinD("ths_adjustment_nv_fund",T$3,$A189))</x:f>
        <x:v>#NAME?</x:v>
      </x:c>
      <x:c r="U189" s="146" t="e">
        <x:f>IF($A189="","",[1]!thsiFinD("ths_adjustment_nv_fund",U$3,$A189))</x:f>
        <x:v>#NAME?</x:v>
      </x:c>
      <x:c r="V189" s="146" t="e">
        <x:f>IF($A189="","",[1]!thsiFinD("ths_adjustment_nv_fund",V$3,$A189))</x:f>
        <x:v>#NAME?</x:v>
      </x:c>
      <x:c r="W189" s="146" t="e">
        <x:f>IF($A189="","",[1]!thsiFinD("ths_adjustment_nv_fund",W$3,$A189))</x:f>
        <x:v>#NAME?</x:v>
      </x:c>
      <x:c r="X189" s="146" t="e">
        <x:f>IF($A189="","",[1]!thsiFinD("ths_adjustment_nv_fund",X$3,$A189))</x:f>
        <x:v>#NAME?</x:v>
      </x:c>
      <x:c r="Y189" s="146" t="e">
        <x:f>IF($A189="","",[1]!thsiFinD("ths_adjustment_nv_fund",Y$3,$A189))</x:f>
        <x:v>#NAME?</x:v>
      </x:c>
      <x:c r="Z189" s="146" t="e">
        <x:f>IF($A189="","",[1]!thsiFinD("ths_adjustment_nv_fund",Z$3,$A189))</x:f>
        <x:v>#NAME?</x:v>
      </x:c>
      <x:c r="AA189" s="146" t="e">
        <x:f>IF($A189="","",[1]!thsiFinD("ths_adjustment_nv_fund",AA$3,$A189))</x:f>
        <x:v>#NAME?</x:v>
      </x:c>
    </x:row>
    <x:row r="190">
      <x:c r="B190" s="146" t="e">
        <x:f>IF($A190="","",[1]!thsiFinD("ths_adjustment_nv_fund",B$3,$A190))</x:f>
        <x:v>#NAME?</x:v>
      </x:c>
      <x:c r="C190" s="146" t="e">
        <x:f>IF($A190="","",[1]!thsiFinD("ths_adjustment_nv_fund",C$3,$A190))</x:f>
        <x:v>#NAME?</x:v>
      </x:c>
      <x:c r="D190" s="146" t="e">
        <x:f>IF($A190="","",[1]!thsiFinD("ths_adjustment_nv_fund",D$3,$A190))</x:f>
        <x:v>#NAME?</x:v>
      </x:c>
      <x:c r="E190" s="146" t="e">
        <x:f>IF($A190="","",[1]!thsiFinD("ths_adjustment_nv_fund",E$3,$A190))</x:f>
        <x:v>#NAME?</x:v>
      </x:c>
      <x:c r="F190" s="146" t="e">
        <x:f>IF($A190="","",[1]!thsiFinD("ths_adjustment_nv_fund",F$3,$A190))</x:f>
        <x:v>#NAME?</x:v>
      </x:c>
      <x:c r="G190" s="146" t="e">
        <x:f>IF($A190="","",[1]!thsiFinD("ths_adjustment_nv_fund",G$3,$A190))</x:f>
        <x:v>#NAME?</x:v>
      </x:c>
      <x:c r="H190" s="146" t="e">
        <x:f>IF($A190="","",[1]!thsiFinD("ths_adjustment_nv_fund",H$3,$A190))</x:f>
        <x:v>#NAME?</x:v>
      </x:c>
      <x:c r="I190" s="146" t="e">
        <x:f>IF($A190="","",[1]!thsiFinD("ths_adjustment_nv_fund",I$3,$A190))</x:f>
        <x:v>#NAME?</x:v>
      </x:c>
      <x:c r="J190" s="146" t="e">
        <x:f>IF($A190="","",[1]!thsiFinD("ths_adjustment_nv_fund",J$3,$A190))</x:f>
        <x:v>#NAME?</x:v>
      </x:c>
      <x:c r="K190" s="146" t="e">
        <x:f>IF($A190="","",[1]!thsiFinD("ths_adjustment_nv_fund",K$3,$A190))</x:f>
        <x:v>#NAME?</x:v>
      </x:c>
      <x:c r="L190" s="146" t="e">
        <x:f>IF($A190="","",[1]!thsiFinD("ths_adjustment_nv_fund",L$3,$A190))</x:f>
        <x:v>#NAME?</x:v>
      </x:c>
      <x:c r="M190" s="146" t="e">
        <x:f>IF($A190="","",[1]!thsiFinD("ths_adjustment_nv_fund",M$3,$A190))</x:f>
        <x:v>#NAME?</x:v>
      </x:c>
      <x:c r="N190" s="146" t="e">
        <x:f>IF($A190="","",[1]!thsiFinD("ths_adjustment_nv_fund",N$3,$A190))</x:f>
        <x:v>#NAME?</x:v>
      </x:c>
      <x:c r="O190" s="146" t="e">
        <x:f>IF($A190="","",[1]!thsiFinD("ths_adjustment_nv_fund",O$3,$A190))</x:f>
        <x:v>#NAME?</x:v>
      </x:c>
      <x:c r="P190" s="146" t="e">
        <x:f>IF($A190="","",[1]!thsiFinD("ths_adjustment_nv_fund",P$3,$A190))</x:f>
        <x:v>#NAME?</x:v>
      </x:c>
      <x:c r="Q190" s="146" t="e">
        <x:f>IF($A190="","",[1]!thsiFinD("ths_adjustment_nv_fund",Q$3,$A190))</x:f>
        <x:v>#NAME?</x:v>
      </x:c>
      <x:c r="R190" s="146" t="e">
        <x:f>IF($A190="","",[1]!thsiFinD("ths_adjustment_nv_fund",R$3,$A190))</x:f>
        <x:v>#NAME?</x:v>
      </x:c>
      <x:c r="S190" s="146" t="e">
        <x:f>IF($A190="","",[1]!thsiFinD("ths_adjustment_nv_fund",S$3,$A190))</x:f>
        <x:v>#NAME?</x:v>
      </x:c>
      <x:c r="T190" s="146" t="e">
        <x:f>IF($A190="","",[1]!thsiFinD("ths_adjustment_nv_fund",T$3,$A190))</x:f>
        <x:v>#NAME?</x:v>
      </x:c>
      <x:c r="U190" s="146" t="e">
        <x:f>IF($A190="","",[1]!thsiFinD("ths_adjustment_nv_fund",U$3,$A190))</x:f>
        <x:v>#NAME?</x:v>
      </x:c>
      <x:c r="V190" s="146" t="e">
        <x:f>IF($A190="","",[1]!thsiFinD("ths_adjustment_nv_fund",V$3,$A190))</x:f>
        <x:v>#NAME?</x:v>
      </x:c>
      <x:c r="W190" s="146" t="e">
        <x:f>IF($A190="","",[1]!thsiFinD("ths_adjustment_nv_fund",W$3,$A190))</x:f>
        <x:v>#NAME?</x:v>
      </x:c>
      <x:c r="X190" s="146" t="e">
        <x:f>IF($A190="","",[1]!thsiFinD("ths_adjustment_nv_fund",X$3,$A190))</x:f>
        <x:v>#NAME?</x:v>
      </x:c>
      <x:c r="Y190" s="146" t="e">
        <x:f>IF($A190="","",[1]!thsiFinD("ths_adjustment_nv_fund",Y$3,$A190))</x:f>
        <x:v>#NAME?</x:v>
      </x:c>
      <x:c r="Z190" s="146" t="e">
        <x:f>IF($A190="","",[1]!thsiFinD("ths_adjustment_nv_fund",Z$3,$A190))</x:f>
        <x:v>#NAME?</x:v>
      </x:c>
      <x:c r="AA190" s="146" t="e">
        <x:f>IF($A190="","",[1]!thsiFinD("ths_adjustment_nv_fund",AA$3,$A190))</x:f>
        <x:v>#NAME?</x:v>
      </x:c>
    </x:row>
    <x:row r="191">
      <x:c r="B191" s="146" t="e">
        <x:f>IF($A191="","",[1]!thsiFinD("ths_adjustment_nv_fund",B$3,$A191))</x:f>
        <x:v>#NAME?</x:v>
      </x:c>
      <x:c r="C191" s="146" t="e">
        <x:f>IF($A191="","",[1]!thsiFinD("ths_adjustment_nv_fund",C$3,$A191))</x:f>
        <x:v>#NAME?</x:v>
      </x:c>
      <x:c r="D191" s="146" t="e">
        <x:f>IF($A191="","",[1]!thsiFinD("ths_adjustment_nv_fund",D$3,$A191))</x:f>
        <x:v>#NAME?</x:v>
      </x:c>
      <x:c r="E191" s="146" t="e">
        <x:f>IF($A191="","",[1]!thsiFinD("ths_adjustment_nv_fund",E$3,$A191))</x:f>
        <x:v>#NAME?</x:v>
      </x:c>
      <x:c r="F191" s="146" t="e">
        <x:f>IF($A191="","",[1]!thsiFinD("ths_adjustment_nv_fund",F$3,$A191))</x:f>
        <x:v>#NAME?</x:v>
      </x:c>
      <x:c r="G191" s="146" t="e">
        <x:f>IF($A191="","",[1]!thsiFinD("ths_adjustment_nv_fund",G$3,$A191))</x:f>
        <x:v>#NAME?</x:v>
      </x:c>
      <x:c r="H191" s="146" t="e">
        <x:f>IF($A191="","",[1]!thsiFinD("ths_adjustment_nv_fund",H$3,$A191))</x:f>
        <x:v>#NAME?</x:v>
      </x:c>
      <x:c r="I191" s="146" t="e">
        <x:f>IF($A191="","",[1]!thsiFinD("ths_adjustment_nv_fund",I$3,$A191))</x:f>
        <x:v>#NAME?</x:v>
      </x:c>
      <x:c r="J191" s="146" t="e">
        <x:f>IF($A191="","",[1]!thsiFinD("ths_adjustment_nv_fund",J$3,$A191))</x:f>
        <x:v>#NAME?</x:v>
      </x:c>
      <x:c r="K191" s="146" t="e">
        <x:f>IF($A191="","",[1]!thsiFinD("ths_adjustment_nv_fund",K$3,$A191))</x:f>
        <x:v>#NAME?</x:v>
      </x:c>
      <x:c r="L191" s="146" t="e">
        <x:f>IF($A191="","",[1]!thsiFinD("ths_adjustment_nv_fund",L$3,$A191))</x:f>
        <x:v>#NAME?</x:v>
      </x:c>
      <x:c r="M191" s="146" t="e">
        <x:f>IF($A191="","",[1]!thsiFinD("ths_adjustment_nv_fund",M$3,$A191))</x:f>
        <x:v>#NAME?</x:v>
      </x:c>
      <x:c r="N191" s="146" t="e">
        <x:f>IF($A191="","",[1]!thsiFinD("ths_adjustment_nv_fund",N$3,$A191))</x:f>
        <x:v>#NAME?</x:v>
      </x:c>
      <x:c r="O191" s="146" t="e">
        <x:f>IF($A191="","",[1]!thsiFinD("ths_adjustment_nv_fund",O$3,$A191))</x:f>
        <x:v>#NAME?</x:v>
      </x:c>
      <x:c r="P191" s="146" t="e">
        <x:f>IF($A191="","",[1]!thsiFinD("ths_adjustment_nv_fund",P$3,$A191))</x:f>
        <x:v>#NAME?</x:v>
      </x:c>
      <x:c r="Q191" s="146" t="e">
        <x:f>IF($A191="","",[1]!thsiFinD("ths_adjustment_nv_fund",Q$3,$A191))</x:f>
        <x:v>#NAME?</x:v>
      </x:c>
      <x:c r="R191" s="146" t="e">
        <x:f>IF($A191="","",[1]!thsiFinD("ths_adjustment_nv_fund",R$3,$A191))</x:f>
        <x:v>#NAME?</x:v>
      </x:c>
      <x:c r="S191" s="146" t="e">
        <x:f>IF($A191="","",[1]!thsiFinD("ths_adjustment_nv_fund",S$3,$A191))</x:f>
        <x:v>#NAME?</x:v>
      </x:c>
      <x:c r="T191" s="146" t="e">
        <x:f>IF($A191="","",[1]!thsiFinD("ths_adjustment_nv_fund",T$3,$A191))</x:f>
        <x:v>#NAME?</x:v>
      </x:c>
      <x:c r="U191" s="146" t="e">
        <x:f>IF($A191="","",[1]!thsiFinD("ths_adjustment_nv_fund",U$3,$A191))</x:f>
        <x:v>#NAME?</x:v>
      </x:c>
      <x:c r="V191" s="146" t="e">
        <x:f>IF($A191="","",[1]!thsiFinD("ths_adjustment_nv_fund",V$3,$A191))</x:f>
        <x:v>#NAME?</x:v>
      </x:c>
      <x:c r="W191" s="146" t="e">
        <x:f>IF($A191="","",[1]!thsiFinD("ths_adjustment_nv_fund",W$3,$A191))</x:f>
        <x:v>#NAME?</x:v>
      </x:c>
      <x:c r="X191" s="146" t="e">
        <x:f>IF($A191="","",[1]!thsiFinD("ths_adjustment_nv_fund",X$3,$A191))</x:f>
        <x:v>#NAME?</x:v>
      </x:c>
      <x:c r="Y191" s="146" t="e">
        <x:f>IF($A191="","",[1]!thsiFinD("ths_adjustment_nv_fund",Y$3,$A191))</x:f>
        <x:v>#NAME?</x:v>
      </x:c>
      <x:c r="Z191" s="146" t="e">
        <x:f>IF($A191="","",[1]!thsiFinD("ths_adjustment_nv_fund",Z$3,$A191))</x:f>
        <x:v>#NAME?</x:v>
      </x:c>
      <x:c r="AA191" s="146" t="e">
        <x:f>IF($A191="","",[1]!thsiFinD("ths_adjustment_nv_fund",AA$3,$A191))</x:f>
        <x:v>#NAME?</x:v>
      </x:c>
    </x:row>
    <x:row r="192">
      <x:c r="B192" s="146" t="e">
        <x:f>IF($A192="","",[1]!thsiFinD("ths_adjustment_nv_fund",B$3,$A192))</x:f>
        <x:v>#NAME?</x:v>
      </x:c>
      <x:c r="C192" s="146" t="e">
        <x:f>IF($A192="","",[1]!thsiFinD("ths_adjustment_nv_fund",C$3,$A192))</x:f>
        <x:v>#NAME?</x:v>
      </x:c>
      <x:c r="D192" s="146" t="e">
        <x:f>IF($A192="","",[1]!thsiFinD("ths_adjustment_nv_fund",D$3,$A192))</x:f>
        <x:v>#NAME?</x:v>
      </x:c>
      <x:c r="E192" s="146" t="e">
        <x:f>IF($A192="","",[1]!thsiFinD("ths_adjustment_nv_fund",E$3,$A192))</x:f>
        <x:v>#NAME?</x:v>
      </x:c>
      <x:c r="F192" s="146" t="e">
        <x:f>IF($A192="","",[1]!thsiFinD("ths_adjustment_nv_fund",F$3,$A192))</x:f>
        <x:v>#NAME?</x:v>
      </x:c>
      <x:c r="G192" s="146" t="e">
        <x:f>IF($A192="","",[1]!thsiFinD("ths_adjustment_nv_fund",G$3,$A192))</x:f>
        <x:v>#NAME?</x:v>
      </x:c>
      <x:c r="H192" s="146" t="e">
        <x:f>IF($A192="","",[1]!thsiFinD("ths_adjustment_nv_fund",H$3,$A192))</x:f>
        <x:v>#NAME?</x:v>
      </x:c>
      <x:c r="I192" s="146" t="e">
        <x:f>IF($A192="","",[1]!thsiFinD("ths_adjustment_nv_fund",I$3,$A192))</x:f>
        <x:v>#NAME?</x:v>
      </x:c>
      <x:c r="J192" s="146" t="e">
        <x:f>IF($A192="","",[1]!thsiFinD("ths_adjustment_nv_fund",J$3,$A192))</x:f>
        <x:v>#NAME?</x:v>
      </x:c>
      <x:c r="K192" s="146" t="e">
        <x:f>IF($A192="","",[1]!thsiFinD("ths_adjustment_nv_fund",K$3,$A192))</x:f>
        <x:v>#NAME?</x:v>
      </x:c>
      <x:c r="L192" s="146" t="e">
        <x:f>IF($A192="","",[1]!thsiFinD("ths_adjustment_nv_fund",L$3,$A192))</x:f>
        <x:v>#NAME?</x:v>
      </x:c>
      <x:c r="M192" s="146" t="e">
        <x:f>IF($A192="","",[1]!thsiFinD("ths_adjustment_nv_fund",M$3,$A192))</x:f>
        <x:v>#NAME?</x:v>
      </x:c>
      <x:c r="N192" s="146" t="e">
        <x:f>IF($A192="","",[1]!thsiFinD("ths_adjustment_nv_fund",N$3,$A192))</x:f>
        <x:v>#NAME?</x:v>
      </x:c>
      <x:c r="O192" s="146" t="e">
        <x:f>IF($A192="","",[1]!thsiFinD("ths_adjustment_nv_fund",O$3,$A192))</x:f>
        <x:v>#NAME?</x:v>
      </x:c>
      <x:c r="P192" s="146" t="e">
        <x:f>IF($A192="","",[1]!thsiFinD("ths_adjustment_nv_fund",P$3,$A192))</x:f>
        <x:v>#NAME?</x:v>
      </x:c>
      <x:c r="Q192" s="146" t="e">
        <x:f>IF($A192="","",[1]!thsiFinD("ths_adjustment_nv_fund",Q$3,$A192))</x:f>
        <x:v>#NAME?</x:v>
      </x:c>
      <x:c r="R192" s="146" t="e">
        <x:f>IF($A192="","",[1]!thsiFinD("ths_adjustment_nv_fund",R$3,$A192))</x:f>
        <x:v>#NAME?</x:v>
      </x:c>
      <x:c r="S192" s="146" t="e">
        <x:f>IF($A192="","",[1]!thsiFinD("ths_adjustment_nv_fund",S$3,$A192))</x:f>
        <x:v>#NAME?</x:v>
      </x:c>
      <x:c r="T192" s="146" t="e">
        <x:f>IF($A192="","",[1]!thsiFinD("ths_adjustment_nv_fund",T$3,$A192))</x:f>
        <x:v>#NAME?</x:v>
      </x:c>
      <x:c r="U192" s="146" t="e">
        <x:f>IF($A192="","",[1]!thsiFinD("ths_adjustment_nv_fund",U$3,$A192))</x:f>
        <x:v>#NAME?</x:v>
      </x:c>
      <x:c r="V192" s="146" t="e">
        <x:f>IF($A192="","",[1]!thsiFinD("ths_adjustment_nv_fund",V$3,$A192))</x:f>
        <x:v>#NAME?</x:v>
      </x:c>
      <x:c r="W192" s="146" t="e">
        <x:f>IF($A192="","",[1]!thsiFinD("ths_adjustment_nv_fund",W$3,$A192))</x:f>
        <x:v>#NAME?</x:v>
      </x:c>
      <x:c r="X192" s="146" t="e">
        <x:f>IF($A192="","",[1]!thsiFinD("ths_adjustment_nv_fund",X$3,$A192))</x:f>
        <x:v>#NAME?</x:v>
      </x:c>
      <x:c r="Y192" s="146" t="e">
        <x:f>IF($A192="","",[1]!thsiFinD("ths_adjustment_nv_fund",Y$3,$A192))</x:f>
        <x:v>#NAME?</x:v>
      </x:c>
      <x:c r="Z192" s="146" t="e">
        <x:f>IF($A192="","",[1]!thsiFinD("ths_adjustment_nv_fund",Z$3,$A192))</x:f>
        <x:v>#NAME?</x:v>
      </x:c>
      <x:c r="AA192" s="146" t="e">
        <x:f>IF($A192="","",[1]!thsiFinD("ths_adjustment_nv_fund",AA$3,$A192))</x:f>
        <x:v>#NAME?</x:v>
      </x:c>
    </x:row>
    <x:row r="193">
      <x:c r="B193" s="146" t="e">
        <x:f>IF($A193="","",[1]!thsiFinD("ths_adjustment_nv_fund",B$3,$A193))</x:f>
        <x:v>#NAME?</x:v>
      </x:c>
      <x:c r="C193" s="146" t="e">
        <x:f>IF($A193="","",[1]!thsiFinD("ths_adjustment_nv_fund",C$3,$A193))</x:f>
        <x:v>#NAME?</x:v>
      </x:c>
      <x:c r="D193" s="146" t="e">
        <x:f>IF($A193="","",[1]!thsiFinD("ths_adjustment_nv_fund",D$3,$A193))</x:f>
        <x:v>#NAME?</x:v>
      </x:c>
      <x:c r="E193" s="146" t="e">
        <x:f>IF($A193="","",[1]!thsiFinD("ths_adjustment_nv_fund",E$3,$A193))</x:f>
        <x:v>#NAME?</x:v>
      </x:c>
      <x:c r="F193" s="146" t="e">
        <x:f>IF($A193="","",[1]!thsiFinD("ths_adjustment_nv_fund",F$3,$A193))</x:f>
        <x:v>#NAME?</x:v>
      </x:c>
      <x:c r="G193" s="146" t="e">
        <x:f>IF($A193="","",[1]!thsiFinD("ths_adjustment_nv_fund",G$3,$A193))</x:f>
        <x:v>#NAME?</x:v>
      </x:c>
      <x:c r="H193" s="146" t="e">
        <x:f>IF($A193="","",[1]!thsiFinD("ths_adjustment_nv_fund",H$3,$A193))</x:f>
        <x:v>#NAME?</x:v>
      </x:c>
      <x:c r="I193" s="146" t="e">
        <x:f>IF($A193="","",[1]!thsiFinD("ths_adjustment_nv_fund",I$3,$A193))</x:f>
        <x:v>#NAME?</x:v>
      </x:c>
      <x:c r="J193" s="146" t="e">
        <x:f>IF($A193="","",[1]!thsiFinD("ths_adjustment_nv_fund",J$3,$A193))</x:f>
        <x:v>#NAME?</x:v>
      </x:c>
      <x:c r="K193" s="146" t="e">
        <x:f>IF($A193="","",[1]!thsiFinD("ths_adjustment_nv_fund",K$3,$A193))</x:f>
        <x:v>#NAME?</x:v>
      </x:c>
      <x:c r="L193" s="146" t="e">
        <x:f>IF($A193="","",[1]!thsiFinD("ths_adjustment_nv_fund",L$3,$A193))</x:f>
        <x:v>#NAME?</x:v>
      </x:c>
      <x:c r="M193" s="146" t="e">
        <x:f>IF($A193="","",[1]!thsiFinD("ths_adjustment_nv_fund",M$3,$A193))</x:f>
        <x:v>#NAME?</x:v>
      </x:c>
      <x:c r="N193" s="146" t="e">
        <x:f>IF($A193="","",[1]!thsiFinD("ths_adjustment_nv_fund",N$3,$A193))</x:f>
        <x:v>#NAME?</x:v>
      </x:c>
      <x:c r="O193" s="146" t="e">
        <x:f>IF($A193="","",[1]!thsiFinD("ths_adjustment_nv_fund",O$3,$A193))</x:f>
        <x:v>#NAME?</x:v>
      </x:c>
      <x:c r="P193" s="146" t="e">
        <x:f>IF($A193="","",[1]!thsiFinD("ths_adjustment_nv_fund",P$3,$A193))</x:f>
        <x:v>#NAME?</x:v>
      </x:c>
      <x:c r="Q193" s="146" t="e">
        <x:f>IF($A193="","",[1]!thsiFinD("ths_adjustment_nv_fund",Q$3,$A193))</x:f>
        <x:v>#NAME?</x:v>
      </x:c>
      <x:c r="R193" s="146" t="e">
        <x:f>IF($A193="","",[1]!thsiFinD("ths_adjustment_nv_fund",R$3,$A193))</x:f>
        <x:v>#NAME?</x:v>
      </x:c>
      <x:c r="S193" s="146" t="e">
        <x:f>IF($A193="","",[1]!thsiFinD("ths_adjustment_nv_fund",S$3,$A193))</x:f>
        <x:v>#NAME?</x:v>
      </x:c>
      <x:c r="T193" s="146" t="e">
        <x:f>IF($A193="","",[1]!thsiFinD("ths_adjustment_nv_fund",T$3,$A193))</x:f>
        <x:v>#NAME?</x:v>
      </x:c>
      <x:c r="U193" s="146" t="e">
        <x:f>IF($A193="","",[1]!thsiFinD("ths_adjustment_nv_fund",U$3,$A193))</x:f>
        <x:v>#NAME?</x:v>
      </x:c>
      <x:c r="V193" s="146" t="e">
        <x:f>IF($A193="","",[1]!thsiFinD("ths_adjustment_nv_fund",V$3,$A193))</x:f>
        <x:v>#NAME?</x:v>
      </x:c>
      <x:c r="W193" s="146" t="e">
        <x:f>IF($A193="","",[1]!thsiFinD("ths_adjustment_nv_fund",W$3,$A193))</x:f>
        <x:v>#NAME?</x:v>
      </x:c>
      <x:c r="X193" s="146" t="e">
        <x:f>IF($A193="","",[1]!thsiFinD("ths_adjustment_nv_fund",X$3,$A193))</x:f>
        <x:v>#NAME?</x:v>
      </x:c>
      <x:c r="Y193" s="146" t="e">
        <x:f>IF($A193="","",[1]!thsiFinD("ths_adjustment_nv_fund",Y$3,$A193))</x:f>
        <x:v>#NAME?</x:v>
      </x:c>
      <x:c r="Z193" s="146" t="e">
        <x:f>IF($A193="","",[1]!thsiFinD("ths_adjustment_nv_fund",Z$3,$A193))</x:f>
        <x:v>#NAME?</x:v>
      </x:c>
      <x:c r="AA193" s="146" t="e">
        <x:f>IF($A193="","",[1]!thsiFinD("ths_adjustment_nv_fund",AA$3,$A193))</x:f>
        <x:v>#NAME?</x:v>
      </x:c>
    </x:row>
    <x:row r="194">
      <x:c r="B194" s="146" t="e">
        <x:f>IF($A194="","",[1]!thsiFinD("ths_adjustment_nv_fund",B$3,$A194))</x:f>
        <x:v>#NAME?</x:v>
      </x:c>
      <x:c r="C194" s="146" t="e">
        <x:f>IF($A194="","",[1]!thsiFinD("ths_adjustment_nv_fund",C$3,$A194))</x:f>
        <x:v>#NAME?</x:v>
      </x:c>
      <x:c r="D194" s="146" t="e">
        <x:f>IF($A194="","",[1]!thsiFinD("ths_adjustment_nv_fund",D$3,$A194))</x:f>
        <x:v>#NAME?</x:v>
      </x:c>
      <x:c r="E194" s="146" t="e">
        <x:f>IF($A194="","",[1]!thsiFinD("ths_adjustment_nv_fund",E$3,$A194))</x:f>
        <x:v>#NAME?</x:v>
      </x:c>
      <x:c r="F194" s="146" t="e">
        <x:f>IF($A194="","",[1]!thsiFinD("ths_adjustment_nv_fund",F$3,$A194))</x:f>
        <x:v>#NAME?</x:v>
      </x:c>
      <x:c r="G194" s="146" t="e">
        <x:f>IF($A194="","",[1]!thsiFinD("ths_adjustment_nv_fund",G$3,$A194))</x:f>
        <x:v>#NAME?</x:v>
      </x:c>
      <x:c r="H194" s="146" t="e">
        <x:f>IF($A194="","",[1]!thsiFinD("ths_adjustment_nv_fund",H$3,$A194))</x:f>
        <x:v>#NAME?</x:v>
      </x:c>
      <x:c r="I194" s="146" t="e">
        <x:f>IF($A194="","",[1]!thsiFinD("ths_adjustment_nv_fund",I$3,$A194))</x:f>
        <x:v>#NAME?</x:v>
      </x:c>
      <x:c r="J194" s="146" t="e">
        <x:f>IF($A194="","",[1]!thsiFinD("ths_adjustment_nv_fund",J$3,$A194))</x:f>
        <x:v>#NAME?</x:v>
      </x:c>
      <x:c r="K194" s="146" t="e">
        <x:f>IF($A194="","",[1]!thsiFinD("ths_adjustment_nv_fund",K$3,$A194))</x:f>
        <x:v>#NAME?</x:v>
      </x:c>
      <x:c r="L194" s="146" t="e">
        <x:f>IF($A194="","",[1]!thsiFinD("ths_adjustment_nv_fund",L$3,$A194))</x:f>
        <x:v>#NAME?</x:v>
      </x:c>
      <x:c r="M194" s="146" t="e">
        <x:f>IF($A194="","",[1]!thsiFinD("ths_adjustment_nv_fund",M$3,$A194))</x:f>
        <x:v>#NAME?</x:v>
      </x:c>
      <x:c r="N194" s="146" t="e">
        <x:f>IF($A194="","",[1]!thsiFinD("ths_adjustment_nv_fund",N$3,$A194))</x:f>
        <x:v>#NAME?</x:v>
      </x:c>
      <x:c r="O194" s="146" t="e">
        <x:f>IF($A194="","",[1]!thsiFinD("ths_adjustment_nv_fund",O$3,$A194))</x:f>
        <x:v>#NAME?</x:v>
      </x:c>
      <x:c r="P194" s="146" t="e">
        <x:f>IF($A194="","",[1]!thsiFinD("ths_adjustment_nv_fund",P$3,$A194))</x:f>
        <x:v>#NAME?</x:v>
      </x:c>
      <x:c r="Q194" s="146" t="e">
        <x:f>IF($A194="","",[1]!thsiFinD("ths_adjustment_nv_fund",Q$3,$A194))</x:f>
        <x:v>#NAME?</x:v>
      </x:c>
      <x:c r="R194" s="146" t="e">
        <x:f>IF($A194="","",[1]!thsiFinD("ths_adjustment_nv_fund",R$3,$A194))</x:f>
        <x:v>#NAME?</x:v>
      </x:c>
      <x:c r="S194" s="146" t="e">
        <x:f>IF($A194="","",[1]!thsiFinD("ths_adjustment_nv_fund",S$3,$A194))</x:f>
        <x:v>#NAME?</x:v>
      </x:c>
      <x:c r="T194" s="146" t="e">
        <x:f>IF($A194="","",[1]!thsiFinD("ths_adjustment_nv_fund",T$3,$A194))</x:f>
        <x:v>#NAME?</x:v>
      </x:c>
      <x:c r="U194" s="146" t="e">
        <x:f>IF($A194="","",[1]!thsiFinD("ths_adjustment_nv_fund",U$3,$A194))</x:f>
        <x:v>#NAME?</x:v>
      </x:c>
      <x:c r="V194" s="146" t="e">
        <x:f>IF($A194="","",[1]!thsiFinD("ths_adjustment_nv_fund",V$3,$A194))</x:f>
        <x:v>#NAME?</x:v>
      </x:c>
      <x:c r="W194" s="146" t="e">
        <x:f>IF($A194="","",[1]!thsiFinD("ths_adjustment_nv_fund",W$3,$A194))</x:f>
        <x:v>#NAME?</x:v>
      </x:c>
      <x:c r="X194" s="146" t="e">
        <x:f>IF($A194="","",[1]!thsiFinD("ths_adjustment_nv_fund",X$3,$A194))</x:f>
        <x:v>#NAME?</x:v>
      </x:c>
      <x:c r="Y194" s="146" t="e">
        <x:f>IF($A194="","",[1]!thsiFinD("ths_adjustment_nv_fund",Y$3,$A194))</x:f>
        <x:v>#NAME?</x:v>
      </x:c>
      <x:c r="Z194" s="146" t="e">
        <x:f>IF($A194="","",[1]!thsiFinD("ths_adjustment_nv_fund",Z$3,$A194))</x:f>
        <x:v>#NAME?</x:v>
      </x:c>
      <x:c r="AA194" s="146" t="e">
        <x:f>IF($A194="","",[1]!thsiFinD("ths_adjustment_nv_fund",AA$3,$A194))</x:f>
        <x:v>#NAME?</x:v>
      </x:c>
    </x:row>
    <x:row r="195">
      <x:c r="B195" s="146" t="e">
        <x:f>IF($A195="","",[1]!thsiFinD("ths_adjustment_nv_fund",B$3,$A195))</x:f>
        <x:v>#NAME?</x:v>
      </x:c>
      <x:c r="C195" s="146" t="e">
        <x:f>IF($A195="","",[1]!thsiFinD("ths_adjustment_nv_fund",C$3,$A195))</x:f>
        <x:v>#NAME?</x:v>
      </x:c>
      <x:c r="D195" s="146" t="e">
        <x:f>IF($A195="","",[1]!thsiFinD("ths_adjustment_nv_fund",D$3,$A195))</x:f>
        <x:v>#NAME?</x:v>
      </x:c>
      <x:c r="E195" s="146" t="e">
        <x:f>IF($A195="","",[1]!thsiFinD("ths_adjustment_nv_fund",E$3,$A195))</x:f>
        <x:v>#NAME?</x:v>
      </x:c>
      <x:c r="F195" s="146" t="e">
        <x:f>IF($A195="","",[1]!thsiFinD("ths_adjustment_nv_fund",F$3,$A195))</x:f>
        <x:v>#NAME?</x:v>
      </x:c>
      <x:c r="G195" s="146" t="e">
        <x:f>IF($A195="","",[1]!thsiFinD("ths_adjustment_nv_fund",G$3,$A195))</x:f>
        <x:v>#NAME?</x:v>
      </x:c>
      <x:c r="H195" s="146" t="e">
        <x:f>IF($A195="","",[1]!thsiFinD("ths_adjustment_nv_fund",H$3,$A195))</x:f>
        <x:v>#NAME?</x:v>
      </x:c>
      <x:c r="I195" s="146" t="e">
        <x:f>IF($A195="","",[1]!thsiFinD("ths_adjustment_nv_fund",I$3,$A195))</x:f>
        <x:v>#NAME?</x:v>
      </x:c>
      <x:c r="J195" s="146" t="e">
        <x:f>IF($A195="","",[1]!thsiFinD("ths_adjustment_nv_fund",J$3,$A195))</x:f>
        <x:v>#NAME?</x:v>
      </x:c>
      <x:c r="K195" s="146" t="e">
        <x:f>IF($A195="","",[1]!thsiFinD("ths_adjustment_nv_fund",K$3,$A195))</x:f>
        <x:v>#NAME?</x:v>
      </x:c>
      <x:c r="L195" s="146" t="e">
        <x:f>IF($A195="","",[1]!thsiFinD("ths_adjustment_nv_fund",L$3,$A195))</x:f>
        <x:v>#NAME?</x:v>
      </x:c>
      <x:c r="M195" s="146" t="e">
        <x:f>IF($A195="","",[1]!thsiFinD("ths_adjustment_nv_fund",M$3,$A195))</x:f>
        <x:v>#NAME?</x:v>
      </x:c>
      <x:c r="N195" s="146" t="e">
        <x:f>IF($A195="","",[1]!thsiFinD("ths_adjustment_nv_fund",N$3,$A195))</x:f>
        <x:v>#NAME?</x:v>
      </x:c>
      <x:c r="O195" s="146" t="e">
        <x:f>IF($A195="","",[1]!thsiFinD("ths_adjustment_nv_fund",O$3,$A195))</x:f>
        <x:v>#NAME?</x:v>
      </x:c>
      <x:c r="P195" s="146" t="e">
        <x:f>IF($A195="","",[1]!thsiFinD("ths_adjustment_nv_fund",P$3,$A195))</x:f>
        <x:v>#NAME?</x:v>
      </x:c>
      <x:c r="Q195" s="146" t="e">
        <x:f>IF($A195="","",[1]!thsiFinD("ths_adjustment_nv_fund",Q$3,$A195))</x:f>
        <x:v>#NAME?</x:v>
      </x:c>
      <x:c r="R195" s="146" t="e">
        <x:f>IF($A195="","",[1]!thsiFinD("ths_adjustment_nv_fund",R$3,$A195))</x:f>
        <x:v>#NAME?</x:v>
      </x:c>
      <x:c r="S195" s="146" t="e">
        <x:f>IF($A195="","",[1]!thsiFinD("ths_adjustment_nv_fund",S$3,$A195))</x:f>
        <x:v>#NAME?</x:v>
      </x:c>
      <x:c r="T195" s="146" t="e">
        <x:f>IF($A195="","",[1]!thsiFinD("ths_adjustment_nv_fund",T$3,$A195))</x:f>
        <x:v>#NAME?</x:v>
      </x:c>
      <x:c r="U195" s="146" t="e">
        <x:f>IF($A195="","",[1]!thsiFinD("ths_adjustment_nv_fund",U$3,$A195))</x:f>
        <x:v>#NAME?</x:v>
      </x:c>
      <x:c r="V195" s="146" t="e">
        <x:f>IF($A195="","",[1]!thsiFinD("ths_adjustment_nv_fund",V$3,$A195))</x:f>
        <x:v>#NAME?</x:v>
      </x:c>
      <x:c r="W195" s="146" t="e">
        <x:f>IF($A195="","",[1]!thsiFinD("ths_adjustment_nv_fund",W$3,$A195))</x:f>
        <x:v>#NAME?</x:v>
      </x:c>
      <x:c r="X195" s="146" t="e">
        <x:f>IF($A195="","",[1]!thsiFinD("ths_adjustment_nv_fund",X$3,$A195))</x:f>
        <x:v>#NAME?</x:v>
      </x:c>
      <x:c r="Y195" s="146" t="e">
        <x:f>IF($A195="","",[1]!thsiFinD("ths_adjustment_nv_fund",Y$3,$A195))</x:f>
        <x:v>#NAME?</x:v>
      </x:c>
      <x:c r="Z195" s="146" t="e">
        <x:f>IF($A195="","",[1]!thsiFinD("ths_adjustment_nv_fund",Z$3,$A195))</x:f>
        <x:v>#NAME?</x:v>
      </x:c>
      <x:c r="AA195" s="146" t="e">
        <x:f>IF($A195="","",[1]!thsiFinD("ths_adjustment_nv_fund",AA$3,$A195))</x:f>
        <x:v>#NAME?</x:v>
      </x:c>
    </x:row>
    <x:row r="196">
      <x:c r="B196" s="146" t="e">
        <x:f>IF($A196="","",[1]!thsiFinD("ths_adjustment_nv_fund",B$3,$A196))</x:f>
        <x:v>#NAME?</x:v>
      </x:c>
      <x:c r="C196" s="146" t="e">
        <x:f>IF($A196="","",[1]!thsiFinD("ths_adjustment_nv_fund",C$3,$A196))</x:f>
        <x:v>#NAME?</x:v>
      </x:c>
      <x:c r="D196" s="146" t="e">
        <x:f>IF($A196="","",[1]!thsiFinD("ths_adjustment_nv_fund",D$3,$A196))</x:f>
        <x:v>#NAME?</x:v>
      </x:c>
      <x:c r="E196" s="146" t="e">
        <x:f>IF($A196="","",[1]!thsiFinD("ths_adjustment_nv_fund",E$3,$A196))</x:f>
        <x:v>#NAME?</x:v>
      </x:c>
      <x:c r="F196" s="146" t="e">
        <x:f>IF($A196="","",[1]!thsiFinD("ths_adjustment_nv_fund",F$3,$A196))</x:f>
        <x:v>#NAME?</x:v>
      </x:c>
      <x:c r="G196" s="146" t="e">
        <x:f>IF($A196="","",[1]!thsiFinD("ths_adjustment_nv_fund",G$3,$A196))</x:f>
        <x:v>#NAME?</x:v>
      </x:c>
      <x:c r="H196" s="146" t="e">
        <x:f>IF($A196="","",[1]!thsiFinD("ths_adjustment_nv_fund",H$3,$A196))</x:f>
        <x:v>#NAME?</x:v>
      </x:c>
      <x:c r="I196" s="146" t="e">
        <x:f>IF($A196="","",[1]!thsiFinD("ths_adjustment_nv_fund",I$3,$A196))</x:f>
        <x:v>#NAME?</x:v>
      </x:c>
      <x:c r="J196" s="146" t="e">
        <x:f>IF($A196="","",[1]!thsiFinD("ths_adjustment_nv_fund",J$3,$A196))</x:f>
        <x:v>#NAME?</x:v>
      </x:c>
      <x:c r="K196" s="146" t="e">
        <x:f>IF($A196="","",[1]!thsiFinD("ths_adjustment_nv_fund",K$3,$A196))</x:f>
        <x:v>#NAME?</x:v>
      </x:c>
      <x:c r="L196" s="146" t="e">
        <x:f>IF($A196="","",[1]!thsiFinD("ths_adjustment_nv_fund",L$3,$A196))</x:f>
        <x:v>#NAME?</x:v>
      </x:c>
      <x:c r="M196" s="146" t="e">
        <x:f>IF($A196="","",[1]!thsiFinD("ths_adjustment_nv_fund",M$3,$A196))</x:f>
        <x:v>#NAME?</x:v>
      </x:c>
      <x:c r="N196" s="146" t="e">
        <x:f>IF($A196="","",[1]!thsiFinD("ths_adjustment_nv_fund",N$3,$A196))</x:f>
        <x:v>#NAME?</x:v>
      </x:c>
      <x:c r="O196" s="146" t="e">
        <x:f>IF($A196="","",[1]!thsiFinD("ths_adjustment_nv_fund",O$3,$A196))</x:f>
        <x:v>#NAME?</x:v>
      </x:c>
      <x:c r="P196" s="146" t="e">
        <x:f>IF($A196="","",[1]!thsiFinD("ths_adjustment_nv_fund",P$3,$A196))</x:f>
        <x:v>#NAME?</x:v>
      </x:c>
      <x:c r="Q196" s="146" t="e">
        <x:f>IF($A196="","",[1]!thsiFinD("ths_adjustment_nv_fund",Q$3,$A196))</x:f>
        <x:v>#NAME?</x:v>
      </x:c>
      <x:c r="R196" s="146" t="e">
        <x:f>IF($A196="","",[1]!thsiFinD("ths_adjustment_nv_fund",R$3,$A196))</x:f>
        <x:v>#NAME?</x:v>
      </x:c>
      <x:c r="S196" s="146" t="e">
        <x:f>IF($A196="","",[1]!thsiFinD("ths_adjustment_nv_fund",S$3,$A196))</x:f>
        <x:v>#NAME?</x:v>
      </x:c>
      <x:c r="T196" s="146" t="e">
        <x:f>IF($A196="","",[1]!thsiFinD("ths_adjustment_nv_fund",T$3,$A196))</x:f>
        <x:v>#NAME?</x:v>
      </x:c>
      <x:c r="U196" s="146" t="e">
        <x:f>IF($A196="","",[1]!thsiFinD("ths_adjustment_nv_fund",U$3,$A196))</x:f>
        <x:v>#NAME?</x:v>
      </x:c>
      <x:c r="V196" s="146" t="e">
        <x:f>IF($A196="","",[1]!thsiFinD("ths_adjustment_nv_fund",V$3,$A196))</x:f>
        <x:v>#NAME?</x:v>
      </x:c>
      <x:c r="W196" s="146" t="e">
        <x:f>IF($A196="","",[1]!thsiFinD("ths_adjustment_nv_fund",W$3,$A196))</x:f>
        <x:v>#NAME?</x:v>
      </x:c>
      <x:c r="X196" s="146" t="e">
        <x:f>IF($A196="","",[1]!thsiFinD("ths_adjustment_nv_fund",X$3,$A196))</x:f>
        <x:v>#NAME?</x:v>
      </x:c>
      <x:c r="Y196" s="146" t="e">
        <x:f>IF($A196="","",[1]!thsiFinD("ths_adjustment_nv_fund",Y$3,$A196))</x:f>
        <x:v>#NAME?</x:v>
      </x:c>
      <x:c r="Z196" s="146" t="e">
        <x:f>IF($A196="","",[1]!thsiFinD("ths_adjustment_nv_fund",Z$3,$A196))</x:f>
        <x:v>#NAME?</x:v>
      </x:c>
      <x:c r="AA196" s="146" t="e">
        <x:f>IF($A196="","",[1]!thsiFinD("ths_adjustment_nv_fund",AA$3,$A196))</x:f>
        <x:v>#NAME?</x:v>
      </x:c>
    </x:row>
    <x:row r="197">
      <x:c r="B197" s="146" t="e">
        <x:f>IF($A197="","",[1]!thsiFinD("ths_adjustment_nv_fund",B$3,$A197))</x:f>
        <x:v>#NAME?</x:v>
      </x:c>
      <x:c r="C197" s="146" t="e">
        <x:f>IF($A197="","",[1]!thsiFinD("ths_adjustment_nv_fund",C$3,$A197))</x:f>
        <x:v>#NAME?</x:v>
      </x:c>
      <x:c r="D197" s="146" t="e">
        <x:f>IF($A197="","",[1]!thsiFinD("ths_adjustment_nv_fund",D$3,$A197))</x:f>
        <x:v>#NAME?</x:v>
      </x:c>
      <x:c r="E197" s="146" t="e">
        <x:f>IF($A197="","",[1]!thsiFinD("ths_adjustment_nv_fund",E$3,$A197))</x:f>
        <x:v>#NAME?</x:v>
      </x:c>
      <x:c r="F197" s="146" t="e">
        <x:f>IF($A197="","",[1]!thsiFinD("ths_adjustment_nv_fund",F$3,$A197))</x:f>
        <x:v>#NAME?</x:v>
      </x:c>
      <x:c r="G197" s="146" t="e">
        <x:f>IF($A197="","",[1]!thsiFinD("ths_adjustment_nv_fund",G$3,$A197))</x:f>
        <x:v>#NAME?</x:v>
      </x:c>
      <x:c r="H197" s="146" t="e">
        <x:f>IF($A197="","",[1]!thsiFinD("ths_adjustment_nv_fund",H$3,$A197))</x:f>
        <x:v>#NAME?</x:v>
      </x:c>
      <x:c r="I197" s="146" t="e">
        <x:f>IF($A197="","",[1]!thsiFinD("ths_adjustment_nv_fund",I$3,$A197))</x:f>
        <x:v>#NAME?</x:v>
      </x:c>
      <x:c r="J197" s="146" t="e">
        <x:f>IF($A197="","",[1]!thsiFinD("ths_adjustment_nv_fund",J$3,$A197))</x:f>
        <x:v>#NAME?</x:v>
      </x:c>
      <x:c r="K197" s="146" t="e">
        <x:f>IF($A197="","",[1]!thsiFinD("ths_adjustment_nv_fund",K$3,$A197))</x:f>
        <x:v>#NAME?</x:v>
      </x:c>
      <x:c r="L197" s="146" t="e">
        <x:f>IF($A197="","",[1]!thsiFinD("ths_adjustment_nv_fund",L$3,$A197))</x:f>
        <x:v>#NAME?</x:v>
      </x:c>
      <x:c r="M197" s="146" t="e">
        <x:f>IF($A197="","",[1]!thsiFinD("ths_adjustment_nv_fund",M$3,$A197))</x:f>
        <x:v>#NAME?</x:v>
      </x:c>
      <x:c r="N197" s="146" t="e">
        <x:f>IF($A197="","",[1]!thsiFinD("ths_adjustment_nv_fund",N$3,$A197))</x:f>
        <x:v>#NAME?</x:v>
      </x:c>
      <x:c r="O197" s="146" t="e">
        <x:f>IF($A197="","",[1]!thsiFinD("ths_adjustment_nv_fund",O$3,$A197))</x:f>
        <x:v>#NAME?</x:v>
      </x:c>
      <x:c r="P197" s="146" t="e">
        <x:f>IF($A197="","",[1]!thsiFinD("ths_adjustment_nv_fund",P$3,$A197))</x:f>
        <x:v>#NAME?</x:v>
      </x:c>
      <x:c r="Q197" s="146" t="e">
        <x:f>IF($A197="","",[1]!thsiFinD("ths_adjustment_nv_fund",Q$3,$A197))</x:f>
        <x:v>#NAME?</x:v>
      </x:c>
      <x:c r="R197" s="146" t="e">
        <x:f>IF($A197="","",[1]!thsiFinD("ths_adjustment_nv_fund",R$3,$A197))</x:f>
        <x:v>#NAME?</x:v>
      </x:c>
      <x:c r="S197" s="146" t="e">
        <x:f>IF($A197="","",[1]!thsiFinD("ths_adjustment_nv_fund",S$3,$A197))</x:f>
        <x:v>#NAME?</x:v>
      </x:c>
      <x:c r="T197" s="146" t="e">
        <x:f>IF($A197="","",[1]!thsiFinD("ths_adjustment_nv_fund",T$3,$A197))</x:f>
        <x:v>#NAME?</x:v>
      </x:c>
      <x:c r="U197" s="146" t="e">
        <x:f>IF($A197="","",[1]!thsiFinD("ths_adjustment_nv_fund",U$3,$A197))</x:f>
        <x:v>#NAME?</x:v>
      </x:c>
      <x:c r="V197" s="146" t="e">
        <x:f>IF($A197="","",[1]!thsiFinD("ths_adjustment_nv_fund",V$3,$A197))</x:f>
        <x:v>#NAME?</x:v>
      </x:c>
      <x:c r="W197" s="146" t="e">
        <x:f>IF($A197="","",[1]!thsiFinD("ths_adjustment_nv_fund",W$3,$A197))</x:f>
        <x:v>#NAME?</x:v>
      </x:c>
      <x:c r="X197" s="146" t="e">
        <x:f>IF($A197="","",[1]!thsiFinD("ths_adjustment_nv_fund",X$3,$A197))</x:f>
        <x:v>#NAME?</x:v>
      </x:c>
      <x:c r="Y197" s="146" t="e">
        <x:f>IF($A197="","",[1]!thsiFinD("ths_adjustment_nv_fund",Y$3,$A197))</x:f>
        <x:v>#NAME?</x:v>
      </x:c>
      <x:c r="Z197" s="146" t="e">
        <x:f>IF($A197="","",[1]!thsiFinD("ths_adjustment_nv_fund",Z$3,$A197))</x:f>
        <x:v>#NAME?</x:v>
      </x:c>
      <x:c r="AA197" s="146" t="e">
        <x:f>IF($A197="","",[1]!thsiFinD("ths_adjustment_nv_fund",AA$3,$A197))</x:f>
        <x:v>#NAME?</x:v>
      </x:c>
    </x:row>
    <x:row r="198">
      <x:c r="B198" s="146" t="e">
        <x:f>IF($A198="","",[1]!thsiFinD("ths_adjustment_nv_fund",B$3,$A198))</x:f>
        <x:v>#NAME?</x:v>
      </x:c>
      <x:c r="C198" s="146" t="e">
        <x:f>IF($A198="","",[1]!thsiFinD("ths_adjustment_nv_fund",C$3,$A198))</x:f>
        <x:v>#NAME?</x:v>
      </x:c>
      <x:c r="D198" s="146" t="e">
        <x:f>IF($A198="","",[1]!thsiFinD("ths_adjustment_nv_fund",D$3,$A198))</x:f>
        <x:v>#NAME?</x:v>
      </x:c>
      <x:c r="E198" s="146" t="e">
        <x:f>IF($A198="","",[1]!thsiFinD("ths_adjustment_nv_fund",E$3,$A198))</x:f>
        <x:v>#NAME?</x:v>
      </x:c>
      <x:c r="F198" s="146" t="e">
        <x:f>IF($A198="","",[1]!thsiFinD("ths_adjustment_nv_fund",F$3,$A198))</x:f>
        <x:v>#NAME?</x:v>
      </x:c>
      <x:c r="G198" s="146" t="e">
        <x:f>IF($A198="","",[1]!thsiFinD("ths_adjustment_nv_fund",G$3,$A198))</x:f>
        <x:v>#NAME?</x:v>
      </x:c>
      <x:c r="H198" s="146" t="e">
        <x:f>IF($A198="","",[1]!thsiFinD("ths_adjustment_nv_fund",H$3,$A198))</x:f>
        <x:v>#NAME?</x:v>
      </x:c>
      <x:c r="I198" s="146" t="e">
        <x:f>IF($A198="","",[1]!thsiFinD("ths_adjustment_nv_fund",I$3,$A198))</x:f>
        <x:v>#NAME?</x:v>
      </x:c>
      <x:c r="J198" s="146" t="e">
        <x:f>IF($A198="","",[1]!thsiFinD("ths_adjustment_nv_fund",J$3,$A198))</x:f>
        <x:v>#NAME?</x:v>
      </x:c>
      <x:c r="K198" s="146" t="e">
        <x:f>IF($A198="","",[1]!thsiFinD("ths_adjustment_nv_fund",K$3,$A198))</x:f>
        <x:v>#NAME?</x:v>
      </x:c>
      <x:c r="L198" s="146" t="e">
        <x:f>IF($A198="","",[1]!thsiFinD("ths_adjustment_nv_fund",L$3,$A198))</x:f>
        <x:v>#NAME?</x:v>
      </x:c>
      <x:c r="M198" s="146" t="e">
        <x:f>IF($A198="","",[1]!thsiFinD("ths_adjustment_nv_fund",M$3,$A198))</x:f>
        <x:v>#NAME?</x:v>
      </x:c>
      <x:c r="N198" s="146" t="e">
        <x:f>IF($A198="","",[1]!thsiFinD("ths_adjustment_nv_fund",N$3,$A198))</x:f>
        <x:v>#NAME?</x:v>
      </x:c>
      <x:c r="O198" s="146" t="e">
        <x:f>IF($A198="","",[1]!thsiFinD("ths_adjustment_nv_fund",O$3,$A198))</x:f>
        <x:v>#NAME?</x:v>
      </x:c>
      <x:c r="P198" s="146" t="e">
        <x:f>IF($A198="","",[1]!thsiFinD("ths_adjustment_nv_fund",P$3,$A198))</x:f>
        <x:v>#NAME?</x:v>
      </x:c>
      <x:c r="Q198" s="146" t="e">
        <x:f>IF($A198="","",[1]!thsiFinD("ths_adjustment_nv_fund",Q$3,$A198))</x:f>
        <x:v>#NAME?</x:v>
      </x:c>
      <x:c r="R198" s="146" t="e">
        <x:f>IF($A198="","",[1]!thsiFinD("ths_adjustment_nv_fund",R$3,$A198))</x:f>
        <x:v>#NAME?</x:v>
      </x:c>
      <x:c r="S198" s="146" t="e">
        <x:f>IF($A198="","",[1]!thsiFinD("ths_adjustment_nv_fund",S$3,$A198))</x:f>
        <x:v>#NAME?</x:v>
      </x:c>
      <x:c r="T198" s="146" t="e">
        <x:f>IF($A198="","",[1]!thsiFinD("ths_adjustment_nv_fund",T$3,$A198))</x:f>
        <x:v>#NAME?</x:v>
      </x:c>
      <x:c r="U198" s="146" t="e">
        <x:f>IF($A198="","",[1]!thsiFinD("ths_adjustment_nv_fund",U$3,$A198))</x:f>
        <x:v>#NAME?</x:v>
      </x:c>
      <x:c r="V198" s="146" t="e">
        <x:f>IF($A198="","",[1]!thsiFinD("ths_adjustment_nv_fund",V$3,$A198))</x:f>
        <x:v>#NAME?</x:v>
      </x:c>
      <x:c r="W198" s="146" t="e">
        <x:f>IF($A198="","",[1]!thsiFinD("ths_adjustment_nv_fund",W$3,$A198))</x:f>
        <x:v>#NAME?</x:v>
      </x:c>
      <x:c r="X198" s="146" t="e">
        <x:f>IF($A198="","",[1]!thsiFinD("ths_adjustment_nv_fund",X$3,$A198))</x:f>
        <x:v>#NAME?</x:v>
      </x:c>
      <x:c r="Y198" s="146" t="e">
        <x:f>IF($A198="","",[1]!thsiFinD("ths_adjustment_nv_fund",Y$3,$A198))</x:f>
        <x:v>#NAME?</x:v>
      </x:c>
      <x:c r="Z198" s="146" t="e">
        <x:f>IF($A198="","",[1]!thsiFinD("ths_adjustment_nv_fund",Z$3,$A198))</x:f>
        <x:v>#NAME?</x:v>
      </x:c>
      <x:c r="AA198" s="146" t="e">
        <x:f>IF($A198="","",[1]!thsiFinD("ths_adjustment_nv_fund",AA$3,$A198))</x:f>
        <x:v>#NAME?</x:v>
      </x:c>
    </x:row>
    <x:row r="199">
      <x:c r="B199" s="146" t="e">
        <x:f>IF($A199="","",[1]!thsiFinD("ths_adjustment_nv_fund",B$3,$A199))</x:f>
        <x:v>#NAME?</x:v>
      </x:c>
      <x:c r="C199" s="146" t="e">
        <x:f>IF($A199="","",[1]!thsiFinD("ths_adjustment_nv_fund",C$3,$A199))</x:f>
        <x:v>#NAME?</x:v>
      </x:c>
      <x:c r="D199" s="146" t="e">
        <x:f>IF($A199="","",[1]!thsiFinD("ths_adjustment_nv_fund",D$3,$A199))</x:f>
        <x:v>#NAME?</x:v>
      </x:c>
      <x:c r="E199" s="146" t="e">
        <x:f>IF($A199="","",[1]!thsiFinD("ths_adjustment_nv_fund",E$3,$A199))</x:f>
        <x:v>#NAME?</x:v>
      </x:c>
      <x:c r="F199" s="146" t="e">
        <x:f>IF($A199="","",[1]!thsiFinD("ths_adjustment_nv_fund",F$3,$A199))</x:f>
        <x:v>#NAME?</x:v>
      </x:c>
      <x:c r="G199" s="146" t="e">
        <x:f>IF($A199="","",[1]!thsiFinD("ths_adjustment_nv_fund",G$3,$A199))</x:f>
        <x:v>#NAME?</x:v>
      </x:c>
      <x:c r="H199" s="146" t="e">
        <x:f>IF($A199="","",[1]!thsiFinD("ths_adjustment_nv_fund",H$3,$A199))</x:f>
        <x:v>#NAME?</x:v>
      </x:c>
      <x:c r="I199" s="146" t="e">
        <x:f>IF($A199="","",[1]!thsiFinD("ths_adjustment_nv_fund",I$3,$A199))</x:f>
        <x:v>#NAME?</x:v>
      </x:c>
      <x:c r="J199" s="146" t="e">
        <x:f>IF($A199="","",[1]!thsiFinD("ths_adjustment_nv_fund",J$3,$A199))</x:f>
        <x:v>#NAME?</x:v>
      </x:c>
      <x:c r="K199" s="146" t="e">
        <x:f>IF($A199="","",[1]!thsiFinD("ths_adjustment_nv_fund",K$3,$A199))</x:f>
        <x:v>#NAME?</x:v>
      </x:c>
      <x:c r="L199" s="146" t="e">
        <x:f>IF($A199="","",[1]!thsiFinD("ths_adjustment_nv_fund",L$3,$A199))</x:f>
        <x:v>#NAME?</x:v>
      </x:c>
      <x:c r="M199" s="146" t="e">
        <x:f>IF($A199="","",[1]!thsiFinD("ths_adjustment_nv_fund",M$3,$A199))</x:f>
        <x:v>#NAME?</x:v>
      </x:c>
      <x:c r="N199" s="146" t="e">
        <x:f>IF($A199="","",[1]!thsiFinD("ths_adjustment_nv_fund",N$3,$A199))</x:f>
        <x:v>#NAME?</x:v>
      </x:c>
      <x:c r="O199" s="146" t="e">
        <x:f>IF($A199="","",[1]!thsiFinD("ths_adjustment_nv_fund",O$3,$A199))</x:f>
        <x:v>#NAME?</x:v>
      </x:c>
      <x:c r="P199" s="146" t="e">
        <x:f>IF($A199="","",[1]!thsiFinD("ths_adjustment_nv_fund",P$3,$A199))</x:f>
        <x:v>#NAME?</x:v>
      </x:c>
      <x:c r="Q199" s="146" t="e">
        <x:f>IF($A199="","",[1]!thsiFinD("ths_adjustment_nv_fund",Q$3,$A199))</x:f>
        <x:v>#NAME?</x:v>
      </x:c>
      <x:c r="R199" s="146" t="e">
        <x:f>IF($A199="","",[1]!thsiFinD("ths_adjustment_nv_fund",R$3,$A199))</x:f>
        <x:v>#NAME?</x:v>
      </x:c>
      <x:c r="S199" s="146" t="e">
        <x:f>IF($A199="","",[1]!thsiFinD("ths_adjustment_nv_fund",S$3,$A199))</x:f>
        <x:v>#NAME?</x:v>
      </x:c>
      <x:c r="T199" s="146" t="e">
        <x:f>IF($A199="","",[1]!thsiFinD("ths_adjustment_nv_fund",T$3,$A199))</x:f>
        <x:v>#NAME?</x:v>
      </x:c>
      <x:c r="U199" s="146" t="e">
        <x:f>IF($A199="","",[1]!thsiFinD("ths_adjustment_nv_fund",U$3,$A199))</x:f>
        <x:v>#NAME?</x:v>
      </x:c>
      <x:c r="V199" s="146" t="e">
        <x:f>IF($A199="","",[1]!thsiFinD("ths_adjustment_nv_fund",V$3,$A199))</x:f>
        <x:v>#NAME?</x:v>
      </x:c>
      <x:c r="W199" s="146" t="e">
        <x:f>IF($A199="","",[1]!thsiFinD("ths_adjustment_nv_fund",W$3,$A199))</x:f>
        <x:v>#NAME?</x:v>
      </x:c>
      <x:c r="X199" s="146" t="e">
        <x:f>IF($A199="","",[1]!thsiFinD("ths_adjustment_nv_fund",X$3,$A199))</x:f>
        <x:v>#NAME?</x:v>
      </x:c>
      <x:c r="Y199" s="146" t="e">
        <x:f>IF($A199="","",[1]!thsiFinD("ths_adjustment_nv_fund",Y$3,$A199))</x:f>
        <x:v>#NAME?</x:v>
      </x:c>
      <x:c r="Z199" s="146" t="e">
        <x:f>IF($A199="","",[1]!thsiFinD("ths_adjustment_nv_fund",Z$3,$A199))</x:f>
        <x:v>#NAME?</x:v>
      </x:c>
      <x:c r="AA199" s="146" t="e">
        <x:f>IF($A199="","",[1]!thsiFinD("ths_adjustment_nv_fund",AA$3,$A199))</x:f>
        <x:v>#NAME?</x:v>
      </x:c>
    </x:row>
    <x:row r="200">
      <x:c r="B200" s="146" t="e">
        <x:f>IF($A200="","",[1]!thsiFinD("ths_adjustment_nv_fund",B$3,$A200))</x:f>
        <x:v>#NAME?</x:v>
      </x:c>
      <x:c r="C200" s="146" t="e">
        <x:f>IF($A200="","",[1]!thsiFinD("ths_adjustment_nv_fund",C$3,$A200))</x:f>
        <x:v>#NAME?</x:v>
      </x:c>
      <x:c r="D200" s="146" t="e">
        <x:f>IF($A200="","",[1]!thsiFinD("ths_adjustment_nv_fund",D$3,$A200))</x:f>
        <x:v>#NAME?</x:v>
      </x:c>
      <x:c r="E200" s="146" t="e">
        <x:f>IF($A200="","",[1]!thsiFinD("ths_adjustment_nv_fund",E$3,$A200))</x:f>
        <x:v>#NAME?</x:v>
      </x:c>
      <x:c r="F200" s="146" t="e">
        <x:f>IF($A200="","",[1]!thsiFinD("ths_adjustment_nv_fund",F$3,$A200))</x:f>
        <x:v>#NAME?</x:v>
      </x:c>
      <x:c r="G200" s="146" t="e">
        <x:f>IF($A200="","",[1]!thsiFinD("ths_adjustment_nv_fund",G$3,$A200))</x:f>
        <x:v>#NAME?</x:v>
      </x:c>
      <x:c r="H200" s="146" t="e">
        <x:f>IF($A200="","",[1]!thsiFinD("ths_adjustment_nv_fund",H$3,$A200))</x:f>
        <x:v>#NAME?</x:v>
      </x:c>
      <x:c r="I200" s="146" t="e">
        <x:f>IF($A200="","",[1]!thsiFinD("ths_adjustment_nv_fund",I$3,$A200))</x:f>
        <x:v>#NAME?</x:v>
      </x:c>
      <x:c r="J200" s="146" t="e">
        <x:f>IF($A200="","",[1]!thsiFinD("ths_adjustment_nv_fund",J$3,$A200))</x:f>
        <x:v>#NAME?</x:v>
      </x:c>
      <x:c r="K200" s="146" t="e">
        <x:f>IF($A200="","",[1]!thsiFinD("ths_adjustment_nv_fund",K$3,$A200))</x:f>
        <x:v>#NAME?</x:v>
      </x:c>
      <x:c r="L200" s="146" t="e">
        <x:f>IF($A200="","",[1]!thsiFinD("ths_adjustment_nv_fund",L$3,$A200))</x:f>
        <x:v>#NAME?</x:v>
      </x:c>
      <x:c r="M200" s="146" t="e">
        <x:f>IF($A200="","",[1]!thsiFinD("ths_adjustment_nv_fund",M$3,$A200))</x:f>
        <x:v>#NAME?</x:v>
      </x:c>
      <x:c r="N200" s="146" t="e">
        <x:f>IF($A200="","",[1]!thsiFinD("ths_adjustment_nv_fund",N$3,$A200))</x:f>
        <x:v>#NAME?</x:v>
      </x:c>
      <x:c r="O200" s="146" t="e">
        <x:f>IF($A200="","",[1]!thsiFinD("ths_adjustment_nv_fund",O$3,$A200))</x:f>
        <x:v>#NAME?</x:v>
      </x:c>
      <x:c r="P200" s="146" t="e">
        <x:f>IF($A200="","",[1]!thsiFinD("ths_adjustment_nv_fund",P$3,$A200))</x:f>
        <x:v>#NAME?</x:v>
      </x:c>
      <x:c r="Q200" s="146" t="e">
        <x:f>IF($A200="","",[1]!thsiFinD("ths_adjustment_nv_fund",Q$3,$A200))</x:f>
        <x:v>#NAME?</x:v>
      </x:c>
      <x:c r="R200" s="146" t="e">
        <x:f>IF($A200="","",[1]!thsiFinD("ths_adjustment_nv_fund",R$3,$A200))</x:f>
        <x:v>#NAME?</x:v>
      </x:c>
      <x:c r="S200" s="146" t="e">
        <x:f>IF($A200="","",[1]!thsiFinD("ths_adjustment_nv_fund",S$3,$A200))</x:f>
        <x:v>#NAME?</x:v>
      </x:c>
      <x:c r="T200" s="146" t="e">
        <x:f>IF($A200="","",[1]!thsiFinD("ths_adjustment_nv_fund",T$3,$A200))</x:f>
        <x:v>#NAME?</x:v>
      </x:c>
      <x:c r="U200" s="146" t="e">
        <x:f>IF($A200="","",[1]!thsiFinD("ths_adjustment_nv_fund",U$3,$A200))</x:f>
        <x:v>#NAME?</x:v>
      </x:c>
      <x:c r="V200" s="146" t="e">
        <x:f>IF($A200="","",[1]!thsiFinD("ths_adjustment_nv_fund",V$3,$A200))</x:f>
        <x:v>#NAME?</x:v>
      </x:c>
      <x:c r="W200" s="146" t="e">
        <x:f>IF($A200="","",[1]!thsiFinD("ths_adjustment_nv_fund",W$3,$A200))</x:f>
        <x:v>#NAME?</x:v>
      </x:c>
      <x:c r="X200" s="146" t="e">
        <x:f>IF($A200="","",[1]!thsiFinD("ths_adjustment_nv_fund",X$3,$A200))</x:f>
        <x:v>#NAME?</x:v>
      </x:c>
      <x:c r="Y200" s="146" t="e">
        <x:f>IF($A200="","",[1]!thsiFinD("ths_adjustment_nv_fund",Y$3,$A200))</x:f>
        <x:v>#NAME?</x:v>
      </x:c>
      <x:c r="Z200" s="146" t="e">
        <x:f>IF($A200="","",[1]!thsiFinD("ths_adjustment_nv_fund",Z$3,$A200))</x:f>
        <x:v>#NAME?</x:v>
      </x:c>
      <x:c r="AA200" s="146" t="e">
        <x:f>IF($A200="","",[1]!thsiFinD("ths_adjustment_nv_fund",AA$3,$A200))</x:f>
        <x:v>#NAME?</x:v>
      </x:c>
    </x:row>
    <x:row r="201">
      <x:c r="B201" s="146" t="e">
        <x:f>IF($A201="","",[1]!thsiFinD("ths_adjustment_nv_fund",B$3,$A201))</x:f>
        <x:v>#NAME?</x:v>
      </x:c>
      <x:c r="C201" s="146" t="e">
        <x:f>IF($A201="","",[1]!thsiFinD("ths_adjustment_nv_fund",C$3,$A201))</x:f>
        <x:v>#NAME?</x:v>
      </x:c>
      <x:c r="D201" s="146" t="e">
        <x:f>IF($A201="","",[1]!thsiFinD("ths_adjustment_nv_fund",D$3,$A201))</x:f>
        <x:v>#NAME?</x:v>
      </x:c>
      <x:c r="E201" s="146" t="e">
        <x:f>IF($A201="","",[1]!thsiFinD("ths_adjustment_nv_fund",E$3,$A201))</x:f>
        <x:v>#NAME?</x:v>
      </x:c>
      <x:c r="F201" s="146" t="e">
        <x:f>IF($A201="","",[1]!thsiFinD("ths_adjustment_nv_fund",F$3,$A201))</x:f>
        <x:v>#NAME?</x:v>
      </x:c>
      <x:c r="G201" s="146" t="e">
        <x:f>IF($A201="","",[1]!thsiFinD("ths_adjustment_nv_fund",G$3,$A201))</x:f>
        <x:v>#NAME?</x:v>
      </x:c>
      <x:c r="H201" s="146" t="e">
        <x:f>IF($A201="","",[1]!thsiFinD("ths_adjustment_nv_fund",H$3,$A201))</x:f>
        <x:v>#NAME?</x:v>
      </x:c>
      <x:c r="I201" s="146" t="e">
        <x:f>IF($A201="","",[1]!thsiFinD("ths_adjustment_nv_fund",I$3,$A201))</x:f>
        <x:v>#NAME?</x:v>
      </x:c>
      <x:c r="J201" s="146" t="e">
        <x:f>IF($A201="","",[1]!thsiFinD("ths_adjustment_nv_fund",J$3,$A201))</x:f>
        <x:v>#NAME?</x:v>
      </x:c>
      <x:c r="K201" s="146" t="e">
        <x:f>IF($A201="","",[1]!thsiFinD("ths_adjustment_nv_fund",K$3,$A201))</x:f>
        <x:v>#NAME?</x:v>
      </x:c>
      <x:c r="L201" s="146" t="e">
        <x:f>IF($A201="","",[1]!thsiFinD("ths_adjustment_nv_fund",L$3,$A201))</x:f>
        <x:v>#NAME?</x:v>
      </x:c>
      <x:c r="M201" s="146" t="e">
        <x:f>IF($A201="","",[1]!thsiFinD("ths_adjustment_nv_fund",M$3,$A201))</x:f>
        <x:v>#NAME?</x:v>
      </x:c>
      <x:c r="N201" s="146" t="e">
        <x:f>IF($A201="","",[1]!thsiFinD("ths_adjustment_nv_fund",N$3,$A201))</x:f>
        <x:v>#NAME?</x:v>
      </x:c>
      <x:c r="O201" s="146" t="e">
        <x:f>IF($A201="","",[1]!thsiFinD("ths_adjustment_nv_fund",O$3,$A201))</x:f>
        <x:v>#NAME?</x:v>
      </x:c>
      <x:c r="P201" s="146" t="e">
        <x:f>IF($A201="","",[1]!thsiFinD("ths_adjustment_nv_fund",P$3,$A201))</x:f>
        <x:v>#NAME?</x:v>
      </x:c>
      <x:c r="Q201" s="146" t="e">
        <x:f>IF($A201="","",[1]!thsiFinD("ths_adjustment_nv_fund",Q$3,$A201))</x:f>
        <x:v>#NAME?</x:v>
      </x:c>
      <x:c r="R201" s="146" t="e">
        <x:f>IF($A201="","",[1]!thsiFinD("ths_adjustment_nv_fund",R$3,$A201))</x:f>
        <x:v>#NAME?</x:v>
      </x:c>
      <x:c r="S201" s="146" t="e">
        <x:f>IF($A201="","",[1]!thsiFinD("ths_adjustment_nv_fund",S$3,$A201))</x:f>
        <x:v>#NAME?</x:v>
      </x:c>
      <x:c r="T201" s="146" t="e">
        <x:f>IF($A201="","",[1]!thsiFinD("ths_adjustment_nv_fund",T$3,$A201))</x:f>
        <x:v>#NAME?</x:v>
      </x:c>
      <x:c r="U201" s="146" t="e">
        <x:f>IF($A201="","",[1]!thsiFinD("ths_adjustment_nv_fund",U$3,$A201))</x:f>
        <x:v>#NAME?</x:v>
      </x:c>
      <x:c r="V201" s="146" t="e">
        <x:f>IF($A201="","",[1]!thsiFinD("ths_adjustment_nv_fund",V$3,$A201))</x:f>
        <x:v>#NAME?</x:v>
      </x:c>
      <x:c r="W201" s="146" t="e">
        <x:f>IF($A201="","",[1]!thsiFinD("ths_adjustment_nv_fund",W$3,$A201))</x:f>
        <x:v>#NAME?</x:v>
      </x:c>
      <x:c r="X201" s="146" t="e">
        <x:f>IF($A201="","",[1]!thsiFinD("ths_adjustment_nv_fund",X$3,$A201))</x:f>
        <x:v>#NAME?</x:v>
      </x:c>
      <x:c r="Y201" s="146" t="e">
        <x:f>IF($A201="","",[1]!thsiFinD("ths_adjustment_nv_fund",Y$3,$A201))</x:f>
        <x:v>#NAME?</x:v>
      </x:c>
      <x:c r="Z201" s="146" t="e">
        <x:f>IF($A201="","",[1]!thsiFinD("ths_adjustment_nv_fund",Z$3,$A201))</x:f>
        <x:v>#NAME?</x:v>
      </x:c>
      <x:c r="AA201" s="146" t="e">
        <x:f>IF($A201="","",[1]!thsiFinD("ths_adjustment_nv_fund",AA$3,$A201))</x:f>
        <x:v>#NAME?</x:v>
      </x:c>
    </x:row>
    <x:row r="202">
      <x:c r="B202" s="146" t="e">
        <x:f>IF($A202="","",[1]!thsiFinD("ths_adjustment_nv_fund",B$3,$A202))</x:f>
        <x:v>#NAME?</x:v>
      </x:c>
      <x:c r="C202" s="146" t="e">
        <x:f>IF($A202="","",[1]!thsiFinD("ths_adjustment_nv_fund",C$3,$A202))</x:f>
        <x:v>#NAME?</x:v>
      </x:c>
      <x:c r="D202" s="146" t="e">
        <x:f>IF($A202="","",[1]!thsiFinD("ths_adjustment_nv_fund",D$3,$A202))</x:f>
        <x:v>#NAME?</x:v>
      </x:c>
      <x:c r="E202" s="146" t="e">
        <x:f>IF($A202="","",[1]!thsiFinD("ths_adjustment_nv_fund",E$3,$A202))</x:f>
        <x:v>#NAME?</x:v>
      </x:c>
      <x:c r="F202" s="146" t="e">
        <x:f>IF($A202="","",[1]!thsiFinD("ths_adjustment_nv_fund",F$3,$A202))</x:f>
        <x:v>#NAME?</x:v>
      </x:c>
      <x:c r="G202" s="146" t="e">
        <x:f>IF($A202="","",[1]!thsiFinD("ths_adjustment_nv_fund",G$3,$A202))</x:f>
        <x:v>#NAME?</x:v>
      </x:c>
      <x:c r="H202" s="146" t="e">
        <x:f>IF($A202="","",[1]!thsiFinD("ths_adjustment_nv_fund",H$3,$A202))</x:f>
        <x:v>#NAME?</x:v>
      </x:c>
      <x:c r="I202" s="146" t="e">
        <x:f>IF($A202="","",[1]!thsiFinD("ths_adjustment_nv_fund",I$3,$A202))</x:f>
        <x:v>#NAME?</x:v>
      </x:c>
      <x:c r="J202" s="146" t="e">
        <x:f>IF($A202="","",[1]!thsiFinD("ths_adjustment_nv_fund",J$3,$A202))</x:f>
        <x:v>#NAME?</x:v>
      </x:c>
      <x:c r="K202" s="146" t="e">
        <x:f>IF($A202="","",[1]!thsiFinD("ths_adjustment_nv_fund",K$3,$A202))</x:f>
        <x:v>#NAME?</x:v>
      </x:c>
      <x:c r="L202" s="146" t="e">
        <x:f>IF($A202="","",[1]!thsiFinD("ths_adjustment_nv_fund",L$3,$A202))</x:f>
        <x:v>#NAME?</x:v>
      </x:c>
      <x:c r="M202" s="146" t="e">
        <x:f>IF($A202="","",[1]!thsiFinD("ths_adjustment_nv_fund",M$3,$A202))</x:f>
        <x:v>#NAME?</x:v>
      </x:c>
      <x:c r="N202" s="146" t="e">
        <x:f>IF($A202="","",[1]!thsiFinD("ths_adjustment_nv_fund",N$3,$A202))</x:f>
        <x:v>#NAME?</x:v>
      </x:c>
      <x:c r="O202" s="146" t="e">
        <x:f>IF($A202="","",[1]!thsiFinD("ths_adjustment_nv_fund",O$3,$A202))</x:f>
        <x:v>#NAME?</x:v>
      </x:c>
      <x:c r="P202" s="146" t="e">
        <x:f>IF($A202="","",[1]!thsiFinD("ths_adjustment_nv_fund",P$3,$A202))</x:f>
        <x:v>#NAME?</x:v>
      </x:c>
      <x:c r="Q202" s="146" t="e">
        <x:f>IF($A202="","",[1]!thsiFinD("ths_adjustment_nv_fund",Q$3,$A202))</x:f>
        <x:v>#NAME?</x:v>
      </x:c>
      <x:c r="R202" s="146" t="e">
        <x:f>IF($A202="","",[1]!thsiFinD("ths_adjustment_nv_fund",R$3,$A202))</x:f>
        <x:v>#NAME?</x:v>
      </x:c>
      <x:c r="S202" s="146" t="e">
        <x:f>IF($A202="","",[1]!thsiFinD("ths_adjustment_nv_fund",S$3,$A202))</x:f>
        <x:v>#NAME?</x:v>
      </x:c>
      <x:c r="T202" s="146" t="e">
        <x:f>IF($A202="","",[1]!thsiFinD("ths_adjustment_nv_fund",T$3,$A202))</x:f>
        <x:v>#NAME?</x:v>
      </x:c>
      <x:c r="U202" s="146" t="e">
        <x:f>IF($A202="","",[1]!thsiFinD("ths_adjustment_nv_fund",U$3,$A202))</x:f>
        <x:v>#NAME?</x:v>
      </x:c>
      <x:c r="V202" s="146" t="e">
        <x:f>IF($A202="","",[1]!thsiFinD("ths_adjustment_nv_fund",V$3,$A202))</x:f>
        <x:v>#NAME?</x:v>
      </x:c>
      <x:c r="W202" s="146" t="e">
        <x:f>IF($A202="","",[1]!thsiFinD("ths_adjustment_nv_fund",W$3,$A202))</x:f>
        <x:v>#NAME?</x:v>
      </x:c>
      <x:c r="X202" s="146" t="e">
        <x:f>IF($A202="","",[1]!thsiFinD("ths_adjustment_nv_fund",X$3,$A202))</x:f>
        <x:v>#NAME?</x:v>
      </x:c>
      <x:c r="Y202" s="146" t="e">
        <x:f>IF($A202="","",[1]!thsiFinD("ths_adjustment_nv_fund",Y$3,$A202))</x:f>
        <x:v>#NAME?</x:v>
      </x:c>
      <x:c r="Z202" s="146" t="e">
        <x:f>IF($A202="","",[1]!thsiFinD("ths_adjustment_nv_fund",Z$3,$A202))</x:f>
        <x:v>#NAME?</x:v>
      </x:c>
      <x:c r="AA202" s="146" t="e">
        <x:f>IF($A202="","",[1]!thsiFinD("ths_adjustment_nv_fund",AA$3,$A202))</x:f>
        <x:v>#NAME?</x:v>
      </x:c>
    </x:row>
    <x:row r="203">
      <x:c r="B203" s="146" t="e">
        <x:f>IF($A203="","",[1]!thsiFinD("ths_adjustment_nv_fund",B$3,$A203))</x:f>
        <x:v>#NAME?</x:v>
      </x:c>
      <x:c r="C203" s="146" t="e">
        <x:f>IF($A203="","",[1]!thsiFinD("ths_adjustment_nv_fund",C$3,$A203))</x:f>
        <x:v>#NAME?</x:v>
      </x:c>
      <x:c r="D203" s="146" t="e">
        <x:f>IF($A203="","",[1]!thsiFinD("ths_adjustment_nv_fund",D$3,$A203))</x:f>
        <x:v>#NAME?</x:v>
      </x:c>
      <x:c r="E203" s="146" t="e">
        <x:f>IF($A203="","",[1]!thsiFinD("ths_adjustment_nv_fund",E$3,$A203))</x:f>
        <x:v>#NAME?</x:v>
      </x:c>
      <x:c r="F203" s="146" t="e">
        <x:f>IF($A203="","",[1]!thsiFinD("ths_adjustment_nv_fund",F$3,$A203))</x:f>
        <x:v>#NAME?</x:v>
      </x:c>
      <x:c r="G203" s="146" t="e">
        <x:f>IF($A203="","",[1]!thsiFinD("ths_adjustment_nv_fund",G$3,$A203))</x:f>
        <x:v>#NAME?</x:v>
      </x:c>
      <x:c r="H203" s="146" t="e">
        <x:f>IF($A203="","",[1]!thsiFinD("ths_adjustment_nv_fund",H$3,$A203))</x:f>
        <x:v>#NAME?</x:v>
      </x:c>
      <x:c r="I203" s="146" t="e">
        <x:f>IF($A203="","",[1]!thsiFinD("ths_adjustment_nv_fund",I$3,$A203))</x:f>
        <x:v>#NAME?</x:v>
      </x:c>
      <x:c r="J203" s="146" t="e">
        <x:f>IF($A203="","",[1]!thsiFinD("ths_adjustment_nv_fund",J$3,$A203))</x:f>
        <x:v>#NAME?</x:v>
      </x:c>
      <x:c r="K203" s="146" t="e">
        <x:f>IF($A203="","",[1]!thsiFinD("ths_adjustment_nv_fund",K$3,$A203))</x:f>
        <x:v>#NAME?</x:v>
      </x:c>
      <x:c r="L203" s="146" t="e">
        <x:f>IF($A203="","",[1]!thsiFinD("ths_adjustment_nv_fund",L$3,$A203))</x:f>
        <x:v>#NAME?</x:v>
      </x:c>
      <x:c r="M203" s="146" t="e">
        <x:f>IF($A203="","",[1]!thsiFinD("ths_adjustment_nv_fund",M$3,$A203))</x:f>
        <x:v>#NAME?</x:v>
      </x:c>
      <x:c r="N203" s="146" t="e">
        <x:f>IF($A203="","",[1]!thsiFinD("ths_adjustment_nv_fund",N$3,$A203))</x:f>
        <x:v>#NAME?</x:v>
      </x:c>
      <x:c r="O203" s="146" t="e">
        <x:f>IF($A203="","",[1]!thsiFinD("ths_adjustment_nv_fund",O$3,$A203))</x:f>
        <x:v>#NAME?</x:v>
      </x:c>
      <x:c r="P203" s="146" t="e">
        <x:f>IF($A203="","",[1]!thsiFinD("ths_adjustment_nv_fund",P$3,$A203))</x:f>
        <x:v>#NAME?</x:v>
      </x:c>
      <x:c r="Q203" s="146" t="e">
        <x:f>IF($A203="","",[1]!thsiFinD("ths_adjustment_nv_fund",Q$3,$A203))</x:f>
        <x:v>#NAME?</x:v>
      </x:c>
      <x:c r="R203" s="146" t="e">
        <x:f>IF($A203="","",[1]!thsiFinD("ths_adjustment_nv_fund",R$3,$A203))</x:f>
        <x:v>#NAME?</x:v>
      </x:c>
      <x:c r="S203" s="146" t="e">
        <x:f>IF($A203="","",[1]!thsiFinD("ths_adjustment_nv_fund",S$3,$A203))</x:f>
        <x:v>#NAME?</x:v>
      </x:c>
      <x:c r="T203" s="146" t="e">
        <x:f>IF($A203="","",[1]!thsiFinD("ths_adjustment_nv_fund",T$3,$A203))</x:f>
        <x:v>#NAME?</x:v>
      </x:c>
      <x:c r="U203" s="146" t="e">
        <x:f>IF($A203="","",[1]!thsiFinD("ths_adjustment_nv_fund",U$3,$A203))</x:f>
        <x:v>#NAME?</x:v>
      </x:c>
      <x:c r="V203" s="146" t="e">
        <x:f>IF($A203="","",[1]!thsiFinD("ths_adjustment_nv_fund",V$3,$A203))</x:f>
        <x:v>#NAME?</x:v>
      </x:c>
      <x:c r="W203" s="146" t="e">
        <x:f>IF($A203="","",[1]!thsiFinD("ths_adjustment_nv_fund",W$3,$A203))</x:f>
        <x:v>#NAME?</x:v>
      </x:c>
      <x:c r="X203" s="146" t="e">
        <x:f>IF($A203="","",[1]!thsiFinD("ths_adjustment_nv_fund",X$3,$A203))</x:f>
        <x:v>#NAME?</x:v>
      </x:c>
      <x:c r="Y203" s="146" t="e">
        <x:f>IF($A203="","",[1]!thsiFinD("ths_adjustment_nv_fund",Y$3,$A203))</x:f>
        <x:v>#NAME?</x:v>
      </x:c>
      <x:c r="Z203" s="146" t="e">
        <x:f>IF($A203="","",[1]!thsiFinD("ths_adjustment_nv_fund",Z$3,$A203))</x:f>
        <x:v>#NAME?</x:v>
      </x:c>
      <x:c r="AA203" s="146" t="e">
        <x:f>IF($A203="","",[1]!thsiFinD("ths_adjustment_nv_fund",AA$3,$A203))</x:f>
        <x:v>#NAME?</x:v>
      </x:c>
    </x:row>
    <x:row r="204">
      <x:c r="B204" s="146" t="e">
        <x:f>IF($A204="","",[1]!thsiFinD("ths_adjustment_nv_fund",B$3,$A204))</x:f>
        <x:v>#NAME?</x:v>
      </x:c>
      <x:c r="C204" s="146" t="e">
        <x:f>IF($A204="","",[1]!thsiFinD("ths_adjustment_nv_fund",C$3,$A204))</x:f>
        <x:v>#NAME?</x:v>
      </x:c>
      <x:c r="D204" s="146" t="e">
        <x:f>IF($A204="","",[1]!thsiFinD("ths_adjustment_nv_fund",D$3,$A204))</x:f>
        <x:v>#NAME?</x:v>
      </x:c>
      <x:c r="E204" s="146" t="e">
        <x:f>IF($A204="","",[1]!thsiFinD("ths_adjustment_nv_fund",E$3,$A204))</x:f>
        <x:v>#NAME?</x:v>
      </x:c>
      <x:c r="F204" s="146" t="e">
        <x:f>IF($A204="","",[1]!thsiFinD("ths_adjustment_nv_fund",F$3,$A204))</x:f>
        <x:v>#NAME?</x:v>
      </x:c>
      <x:c r="G204" s="146" t="e">
        <x:f>IF($A204="","",[1]!thsiFinD("ths_adjustment_nv_fund",G$3,$A204))</x:f>
        <x:v>#NAME?</x:v>
      </x:c>
      <x:c r="H204" s="146" t="e">
        <x:f>IF($A204="","",[1]!thsiFinD("ths_adjustment_nv_fund",H$3,$A204))</x:f>
        <x:v>#NAME?</x:v>
      </x:c>
      <x:c r="I204" s="146" t="e">
        <x:f>IF($A204="","",[1]!thsiFinD("ths_adjustment_nv_fund",I$3,$A204))</x:f>
        <x:v>#NAME?</x:v>
      </x:c>
      <x:c r="J204" s="146" t="e">
        <x:f>IF($A204="","",[1]!thsiFinD("ths_adjustment_nv_fund",J$3,$A204))</x:f>
        <x:v>#NAME?</x:v>
      </x:c>
      <x:c r="K204" s="146" t="e">
        <x:f>IF($A204="","",[1]!thsiFinD("ths_adjustment_nv_fund",K$3,$A204))</x:f>
        <x:v>#NAME?</x:v>
      </x:c>
      <x:c r="L204" s="146" t="e">
        <x:f>IF($A204="","",[1]!thsiFinD("ths_adjustment_nv_fund",L$3,$A204))</x:f>
        <x:v>#NAME?</x:v>
      </x:c>
      <x:c r="M204" s="146" t="e">
        <x:f>IF($A204="","",[1]!thsiFinD("ths_adjustment_nv_fund",M$3,$A204))</x:f>
        <x:v>#NAME?</x:v>
      </x:c>
      <x:c r="N204" s="146" t="e">
        <x:f>IF($A204="","",[1]!thsiFinD("ths_adjustment_nv_fund",N$3,$A204))</x:f>
        <x:v>#NAME?</x:v>
      </x:c>
      <x:c r="O204" s="146" t="e">
        <x:f>IF($A204="","",[1]!thsiFinD("ths_adjustment_nv_fund",O$3,$A204))</x:f>
        <x:v>#NAME?</x:v>
      </x:c>
      <x:c r="P204" s="146" t="e">
        <x:f>IF($A204="","",[1]!thsiFinD("ths_adjustment_nv_fund",P$3,$A204))</x:f>
        <x:v>#NAME?</x:v>
      </x:c>
      <x:c r="Q204" s="146" t="e">
        <x:f>IF($A204="","",[1]!thsiFinD("ths_adjustment_nv_fund",Q$3,$A204))</x:f>
        <x:v>#NAME?</x:v>
      </x:c>
      <x:c r="R204" s="146" t="e">
        <x:f>IF($A204="","",[1]!thsiFinD("ths_adjustment_nv_fund",R$3,$A204))</x:f>
        <x:v>#NAME?</x:v>
      </x:c>
      <x:c r="S204" s="146" t="e">
        <x:f>IF($A204="","",[1]!thsiFinD("ths_adjustment_nv_fund",S$3,$A204))</x:f>
        <x:v>#NAME?</x:v>
      </x:c>
      <x:c r="T204" s="146" t="e">
        <x:f>IF($A204="","",[1]!thsiFinD("ths_adjustment_nv_fund",T$3,$A204))</x:f>
        <x:v>#NAME?</x:v>
      </x:c>
      <x:c r="U204" s="146" t="e">
        <x:f>IF($A204="","",[1]!thsiFinD("ths_adjustment_nv_fund",U$3,$A204))</x:f>
        <x:v>#NAME?</x:v>
      </x:c>
      <x:c r="V204" s="146" t="e">
        <x:f>IF($A204="","",[1]!thsiFinD("ths_adjustment_nv_fund",V$3,$A204))</x:f>
        <x:v>#NAME?</x:v>
      </x:c>
      <x:c r="W204" s="146" t="e">
        <x:f>IF($A204="","",[1]!thsiFinD("ths_adjustment_nv_fund",W$3,$A204))</x:f>
        <x:v>#NAME?</x:v>
      </x:c>
      <x:c r="X204" s="146" t="e">
        <x:f>IF($A204="","",[1]!thsiFinD("ths_adjustment_nv_fund",X$3,$A204))</x:f>
        <x:v>#NAME?</x:v>
      </x:c>
      <x:c r="Y204" s="146" t="e">
        <x:f>IF($A204="","",[1]!thsiFinD("ths_adjustment_nv_fund",Y$3,$A204))</x:f>
        <x:v>#NAME?</x:v>
      </x:c>
      <x:c r="Z204" s="146" t="e">
        <x:f>IF($A204="","",[1]!thsiFinD("ths_adjustment_nv_fund",Z$3,$A204))</x:f>
        <x:v>#NAME?</x:v>
      </x:c>
      <x:c r="AA204" s="146" t="e">
        <x:f>IF($A204="","",[1]!thsiFinD("ths_adjustment_nv_fund",AA$3,$A204))</x:f>
        <x:v>#NAME?</x:v>
      </x:c>
    </x:row>
    <x:row r="205">
      <x:c r="B205" s="146" t="e">
        <x:f>IF($A205="","",[1]!thsiFinD("ths_adjustment_nv_fund",B$3,$A205))</x:f>
        <x:v>#NAME?</x:v>
      </x:c>
      <x:c r="C205" s="146" t="e">
        <x:f>IF($A205="","",[1]!thsiFinD("ths_adjustment_nv_fund",C$3,$A205))</x:f>
        <x:v>#NAME?</x:v>
      </x:c>
      <x:c r="D205" s="146" t="e">
        <x:f>IF($A205="","",[1]!thsiFinD("ths_adjustment_nv_fund",D$3,$A205))</x:f>
        <x:v>#NAME?</x:v>
      </x:c>
      <x:c r="E205" s="146" t="e">
        <x:f>IF($A205="","",[1]!thsiFinD("ths_adjustment_nv_fund",E$3,$A205))</x:f>
        <x:v>#NAME?</x:v>
      </x:c>
      <x:c r="F205" s="146" t="e">
        <x:f>IF($A205="","",[1]!thsiFinD("ths_adjustment_nv_fund",F$3,$A205))</x:f>
        <x:v>#NAME?</x:v>
      </x:c>
      <x:c r="G205" s="146" t="e">
        <x:f>IF($A205="","",[1]!thsiFinD("ths_adjustment_nv_fund",G$3,$A205))</x:f>
        <x:v>#NAME?</x:v>
      </x:c>
      <x:c r="H205" s="146" t="e">
        <x:f>IF($A205="","",[1]!thsiFinD("ths_adjustment_nv_fund",H$3,$A205))</x:f>
        <x:v>#NAME?</x:v>
      </x:c>
      <x:c r="I205" s="146" t="e">
        <x:f>IF($A205="","",[1]!thsiFinD("ths_adjustment_nv_fund",I$3,$A205))</x:f>
        <x:v>#NAME?</x:v>
      </x:c>
      <x:c r="J205" s="146" t="e">
        <x:f>IF($A205="","",[1]!thsiFinD("ths_adjustment_nv_fund",J$3,$A205))</x:f>
        <x:v>#NAME?</x:v>
      </x:c>
      <x:c r="K205" s="146" t="e">
        <x:f>IF($A205="","",[1]!thsiFinD("ths_adjustment_nv_fund",K$3,$A205))</x:f>
        <x:v>#NAME?</x:v>
      </x:c>
      <x:c r="L205" s="146" t="e">
        <x:f>IF($A205="","",[1]!thsiFinD("ths_adjustment_nv_fund",L$3,$A205))</x:f>
        <x:v>#NAME?</x:v>
      </x:c>
      <x:c r="M205" s="146" t="e">
        <x:f>IF($A205="","",[1]!thsiFinD("ths_adjustment_nv_fund",M$3,$A205))</x:f>
        <x:v>#NAME?</x:v>
      </x:c>
      <x:c r="N205" s="146" t="e">
        <x:f>IF($A205="","",[1]!thsiFinD("ths_adjustment_nv_fund",N$3,$A205))</x:f>
        <x:v>#NAME?</x:v>
      </x:c>
      <x:c r="O205" s="146" t="e">
        <x:f>IF($A205="","",[1]!thsiFinD("ths_adjustment_nv_fund",O$3,$A205))</x:f>
        <x:v>#NAME?</x:v>
      </x:c>
      <x:c r="P205" s="146" t="e">
        <x:f>IF($A205="","",[1]!thsiFinD("ths_adjustment_nv_fund",P$3,$A205))</x:f>
        <x:v>#NAME?</x:v>
      </x:c>
      <x:c r="Q205" s="146" t="e">
        <x:f>IF($A205="","",[1]!thsiFinD("ths_adjustment_nv_fund",Q$3,$A205))</x:f>
        <x:v>#NAME?</x:v>
      </x:c>
      <x:c r="R205" s="146" t="e">
        <x:f>IF($A205="","",[1]!thsiFinD("ths_adjustment_nv_fund",R$3,$A205))</x:f>
        <x:v>#NAME?</x:v>
      </x:c>
      <x:c r="S205" s="146" t="e">
        <x:f>IF($A205="","",[1]!thsiFinD("ths_adjustment_nv_fund",S$3,$A205))</x:f>
        <x:v>#NAME?</x:v>
      </x:c>
      <x:c r="T205" s="146" t="e">
        <x:f>IF($A205="","",[1]!thsiFinD("ths_adjustment_nv_fund",T$3,$A205))</x:f>
        <x:v>#NAME?</x:v>
      </x:c>
      <x:c r="U205" s="146" t="e">
        <x:f>IF($A205="","",[1]!thsiFinD("ths_adjustment_nv_fund",U$3,$A205))</x:f>
        <x:v>#NAME?</x:v>
      </x:c>
      <x:c r="V205" s="146" t="e">
        <x:f>IF($A205="","",[1]!thsiFinD("ths_adjustment_nv_fund",V$3,$A205))</x:f>
        <x:v>#NAME?</x:v>
      </x:c>
      <x:c r="W205" s="146" t="e">
        <x:f>IF($A205="","",[1]!thsiFinD("ths_adjustment_nv_fund",W$3,$A205))</x:f>
        <x:v>#NAME?</x:v>
      </x:c>
      <x:c r="X205" s="146" t="e">
        <x:f>IF($A205="","",[1]!thsiFinD("ths_adjustment_nv_fund",X$3,$A205))</x:f>
        <x:v>#NAME?</x:v>
      </x:c>
      <x:c r="Y205" s="146" t="e">
        <x:f>IF($A205="","",[1]!thsiFinD("ths_adjustment_nv_fund",Y$3,$A205))</x:f>
        <x:v>#NAME?</x:v>
      </x:c>
      <x:c r="Z205" s="146" t="e">
        <x:f>IF($A205="","",[1]!thsiFinD("ths_adjustment_nv_fund",Z$3,$A205))</x:f>
        <x:v>#NAME?</x:v>
      </x:c>
      <x:c r="AA205" s="146" t="e">
        <x:f>IF($A205="","",[1]!thsiFinD("ths_adjustment_nv_fund",AA$3,$A205))</x:f>
        <x:v>#NAME?</x:v>
      </x:c>
    </x:row>
    <x:row r="206">
      <x:c r="B206" s="146" t="e">
        <x:f>IF($A206="","",[1]!thsiFinD("ths_adjustment_nv_fund",B$3,$A206))</x:f>
        <x:v>#NAME?</x:v>
      </x:c>
      <x:c r="C206" s="146" t="e">
        <x:f>IF($A206="","",[1]!thsiFinD("ths_adjustment_nv_fund",C$3,$A206))</x:f>
        <x:v>#NAME?</x:v>
      </x:c>
      <x:c r="D206" s="146" t="e">
        <x:f>IF($A206="","",[1]!thsiFinD("ths_adjustment_nv_fund",D$3,$A206))</x:f>
        <x:v>#NAME?</x:v>
      </x:c>
      <x:c r="E206" s="146" t="e">
        <x:f>IF($A206="","",[1]!thsiFinD("ths_adjustment_nv_fund",E$3,$A206))</x:f>
        <x:v>#NAME?</x:v>
      </x:c>
      <x:c r="F206" s="146" t="e">
        <x:f>IF($A206="","",[1]!thsiFinD("ths_adjustment_nv_fund",F$3,$A206))</x:f>
        <x:v>#NAME?</x:v>
      </x:c>
      <x:c r="G206" s="146" t="e">
        <x:f>IF($A206="","",[1]!thsiFinD("ths_adjustment_nv_fund",G$3,$A206))</x:f>
        <x:v>#NAME?</x:v>
      </x:c>
      <x:c r="H206" s="146" t="e">
        <x:f>IF($A206="","",[1]!thsiFinD("ths_adjustment_nv_fund",H$3,$A206))</x:f>
        <x:v>#NAME?</x:v>
      </x:c>
      <x:c r="I206" s="146" t="e">
        <x:f>IF($A206="","",[1]!thsiFinD("ths_adjustment_nv_fund",I$3,$A206))</x:f>
        <x:v>#NAME?</x:v>
      </x:c>
      <x:c r="J206" s="146" t="e">
        <x:f>IF($A206="","",[1]!thsiFinD("ths_adjustment_nv_fund",J$3,$A206))</x:f>
        <x:v>#NAME?</x:v>
      </x:c>
      <x:c r="K206" s="146" t="e">
        <x:f>IF($A206="","",[1]!thsiFinD("ths_adjustment_nv_fund",K$3,$A206))</x:f>
        <x:v>#NAME?</x:v>
      </x:c>
      <x:c r="L206" s="146" t="e">
        <x:f>IF($A206="","",[1]!thsiFinD("ths_adjustment_nv_fund",L$3,$A206))</x:f>
        <x:v>#NAME?</x:v>
      </x:c>
      <x:c r="M206" s="146" t="e">
        <x:f>IF($A206="","",[1]!thsiFinD("ths_adjustment_nv_fund",M$3,$A206))</x:f>
        <x:v>#NAME?</x:v>
      </x:c>
      <x:c r="N206" s="146" t="e">
        <x:f>IF($A206="","",[1]!thsiFinD("ths_adjustment_nv_fund",N$3,$A206))</x:f>
        <x:v>#NAME?</x:v>
      </x:c>
      <x:c r="O206" s="146" t="e">
        <x:f>IF($A206="","",[1]!thsiFinD("ths_adjustment_nv_fund",O$3,$A206))</x:f>
        <x:v>#NAME?</x:v>
      </x:c>
      <x:c r="P206" s="146" t="e">
        <x:f>IF($A206="","",[1]!thsiFinD("ths_adjustment_nv_fund",P$3,$A206))</x:f>
        <x:v>#NAME?</x:v>
      </x:c>
      <x:c r="Q206" s="146" t="e">
        <x:f>IF($A206="","",[1]!thsiFinD("ths_adjustment_nv_fund",Q$3,$A206))</x:f>
        <x:v>#NAME?</x:v>
      </x:c>
      <x:c r="R206" s="146" t="e">
        <x:f>IF($A206="","",[1]!thsiFinD("ths_adjustment_nv_fund",R$3,$A206))</x:f>
        <x:v>#NAME?</x:v>
      </x:c>
      <x:c r="S206" s="146" t="e">
        <x:f>IF($A206="","",[1]!thsiFinD("ths_adjustment_nv_fund",S$3,$A206))</x:f>
        <x:v>#NAME?</x:v>
      </x:c>
      <x:c r="T206" s="146" t="e">
        <x:f>IF($A206="","",[1]!thsiFinD("ths_adjustment_nv_fund",T$3,$A206))</x:f>
        <x:v>#NAME?</x:v>
      </x:c>
      <x:c r="U206" s="146" t="e">
        <x:f>IF($A206="","",[1]!thsiFinD("ths_adjustment_nv_fund",U$3,$A206))</x:f>
        <x:v>#NAME?</x:v>
      </x:c>
      <x:c r="V206" s="146" t="e">
        <x:f>IF($A206="","",[1]!thsiFinD("ths_adjustment_nv_fund",V$3,$A206))</x:f>
        <x:v>#NAME?</x:v>
      </x:c>
      <x:c r="W206" s="146" t="e">
        <x:f>IF($A206="","",[1]!thsiFinD("ths_adjustment_nv_fund",W$3,$A206))</x:f>
        <x:v>#NAME?</x:v>
      </x:c>
      <x:c r="X206" s="146" t="e">
        <x:f>IF($A206="","",[1]!thsiFinD("ths_adjustment_nv_fund",X$3,$A206))</x:f>
        <x:v>#NAME?</x:v>
      </x:c>
      <x:c r="Y206" s="146" t="e">
        <x:f>IF($A206="","",[1]!thsiFinD("ths_adjustment_nv_fund",Y$3,$A206))</x:f>
        <x:v>#NAME?</x:v>
      </x:c>
      <x:c r="Z206" s="146" t="e">
        <x:f>IF($A206="","",[1]!thsiFinD("ths_adjustment_nv_fund",Z$3,$A206))</x:f>
        <x:v>#NAME?</x:v>
      </x:c>
      <x:c r="AA206" s="146" t="e">
        <x:f>IF($A206="","",[1]!thsiFinD("ths_adjustment_nv_fund",AA$3,$A206))</x:f>
        <x:v>#NAME?</x:v>
      </x:c>
    </x:row>
    <x:row r="207">
      <x:c r="B207" s="146" t="e">
        <x:f>IF($A207="","",[1]!thsiFinD("ths_adjustment_nv_fund",B$3,$A207))</x:f>
        <x:v>#NAME?</x:v>
      </x:c>
      <x:c r="C207" s="146" t="e">
        <x:f>IF($A207="","",[1]!thsiFinD("ths_adjustment_nv_fund",C$3,$A207))</x:f>
        <x:v>#NAME?</x:v>
      </x:c>
      <x:c r="D207" s="146" t="e">
        <x:f>IF($A207="","",[1]!thsiFinD("ths_adjustment_nv_fund",D$3,$A207))</x:f>
        <x:v>#NAME?</x:v>
      </x:c>
      <x:c r="E207" s="146" t="e">
        <x:f>IF($A207="","",[1]!thsiFinD("ths_adjustment_nv_fund",E$3,$A207))</x:f>
        <x:v>#NAME?</x:v>
      </x:c>
      <x:c r="F207" s="146" t="e">
        <x:f>IF($A207="","",[1]!thsiFinD("ths_adjustment_nv_fund",F$3,$A207))</x:f>
        <x:v>#NAME?</x:v>
      </x:c>
      <x:c r="G207" s="146" t="e">
        <x:f>IF($A207="","",[1]!thsiFinD("ths_adjustment_nv_fund",G$3,$A207))</x:f>
        <x:v>#NAME?</x:v>
      </x:c>
      <x:c r="H207" s="146" t="e">
        <x:f>IF($A207="","",[1]!thsiFinD("ths_adjustment_nv_fund",H$3,$A207))</x:f>
        <x:v>#NAME?</x:v>
      </x:c>
      <x:c r="I207" s="146" t="e">
        <x:f>IF($A207="","",[1]!thsiFinD("ths_adjustment_nv_fund",I$3,$A207))</x:f>
        <x:v>#NAME?</x:v>
      </x:c>
      <x:c r="J207" s="146" t="e">
        <x:f>IF($A207="","",[1]!thsiFinD("ths_adjustment_nv_fund",J$3,$A207))</x:f>
        <x:v>#NAME?</x:v>
      </x:c>
      <x:c r="K207" s="146" t="e">
        <x:f>IF($A207="","",[1]!thsiFinD("ths_adjustment_nv_fund",K$3,$A207))</x:f>
        <x:v>#NAME?</x:v>
      </x:c>
      <x:c r="L207" s="146" t="e">
        <x:f>IF($A207="","",[1]!thsiFinD("ths_adjustment_nv_fund",L$3,$A207))</x:f>
        <x:v>#NAME?</x:v>
      </x:c>
      <x:c r="M207" s="146" t="e">
        <x:f>IF($A207="","",[1]!thsiFinD("ths_adjustment_nv_fund",M$3,$A207))</x:f>
        <x:v>#NAME?</x:v>
      </x:c>
      <x:c r="N207" s="146" t="e">
        <x:f>IF($A207="","",[1]!thsiFinD("ths_adjustment_nv_fund",N$3,$A207))</x:f>
        <x:v>#NAME?</x:v>
      </x:c>
      <x:c r="O207" s="146" t="e">
        <x:f>IF($A207="","",[1]!thsiFinD("ths_adjustment_nv_fund",O$3,$A207))</x:f>
        <x:v>#NAME?</x:v>
      </x:c>
      <x:c r="P207" s="146" t="e">
        <x:f>IF($A207="","",[1]!thsiFinD("ths_adjustment_nv_fund",P$3,$A207))</x:f>
        <x:v>#NAME?</x:v>
      </x:c>
      <x:c r="Q207" s="146" t="e">
        <x:f>IF($A207="","",[1]!thsiFinD("ths_adjustment_nv_fund",Q$3,$A207))</x:f>
        <x:v>#NAME?</x:v>
      </x:c>
      <x:c r="R207" s="146" t="e">
        <x:f>IF($A207="","",[1]!thsiFinD("ths_adjustment_nv_fund",R$3,$A207))</x:f>
        <x:v>#NAME?</x:v>
      </x:c>
      <x:c r="S207" s="146" t="e">
        <x:f>IF($A207="","",[1]!thsiFinD("ths_adjustment_nv_fund",S$3,$A207))</x:f>
        <x:v>#NAME?</x:v>
      </x:c>
      <x:c r="T207" s="146" t="e">
        <x:f>IF($A207="","",[1]!thsiFinD("ths_adjustment_nv_fund",T$3,$A207))</x:f>
        <x:v>#NAME?</x:v>
      </x:c>
      <x:c r="U207" s="146" t="e">
        <x:f>IF($A207="","",[1]!thsiFinD("ths_adjustment_nv_fund",U$3,$A207))</x:f>
        <x:v>#NAME?</x:v>
      </x:c>
      <x:c r="V207" s="146" t="e">
        <x:f>IF($A207="","",[1]!thsiFinD("ths_adjustment_nv_fund",V$3,$A207))</x:f>
        <x:v>#NAME?</x:v>
      </x:c>
      <x:c r="W207" s="146" t="e">
        <x:f>IF($A207="","",[1]!thsiFinD("ths_adjustment_nv_fund",W$3,$A207))</x:f>
        <x:v>#NAME?</x:v>
      </x:c>
      <x:c r="X207" s="146" t="e">
        <x:f>IF($A207="","",[1]!thsiFinD("ths_adjustment_nv_fund",X$3,$A207))</x:f>
        <x:v>#NAME?</x:v>
      </x:c>
      <x:c r="Y207" s="146" t="e">
        <x:f>IF($A207="","",[1]!thsiFinD("ths_adjustment_nv_fund",Y$3,$A207))</x:f>
        <x:v>#NAME?</x:v>
      </x:c>
      <x:c r="Z207" s="146" t="e">
        <x:f>IF($A207="","",[1]!thsiFinD("ths_adjustment_nv_fund",Z$3,$A207))</x:f>
        <x:v>#NAME?</x:v>
      </x:c>
      <x:c r="AA207" s="146" t="e">
        <x:f>IF($A207="","",[1]!thsiFinD("ths_adjustment_nv_fund",AA$3,$A207))</x:f>
        <x:v>#NAME?</x:v>
      </x:c>
    </x:row>
    <x:row r="208">
      <x:c r="B208" s="146" t="e">
        <x:f>IF($A208="","",[1]!thsiFinD("ths_adjustment_nv_fund",B$3,$A208))</x:f>
        <x:v>#NAME?</x:v>
      </x:c>
      <x:c r="C208" s="146" t="e">
        <x:f>IF($A208="","",[1]!thsiFinD("ths_adjustment_nv_fund",C$3,$A208))</x:f>
        <x:v>#NAME?</x:v>
      </x:c>
      <x:c r="D208" s="146" t="e">
        <x:f>IF($A208="","",[1]!thsiFinD("ths_adjustment_nv_fund",D$3,$A208))</x:f>
        <x:v>#NAME?</x:v>
      </x:c>
      <x:c r="E208" s="146" t="e">
        <x:f>IF($A208="","",[1]!thsiFinD("ths_adjustment_nv_fund",E$3,$A208))</x:f>
        <x:v>#NAME?</x:v>
      </x:c>
      <x:c r="F208" s="146" t="e">
        <x:f>IF($A208="","",[1]!thsiFinD("ths_adjustment_nv_fund",F$3,$A208))</x:f>
        <x:v>#NAME?</x:v>
      </x:c>
      <x:c r="G208" s="146" t="e">
        <x:f>IF($A208="","",[1]!thsiFinD("ths_adjustment_nv_fund",G$3,$A208))</x:f>
        <x:v>#NAME?</x:v>
      </x:c>
      <x:c r="H208" s="146" t="e">
        <x:f>IF($A208="","",[1]!thsiFinD("ths_adjustment_nv_fund",H$3,$A208))</x:f>
        <x:v>#NAME?</x:v>
      </x:c>
      <x:c r="I208" s="146" t="e">
        <x:f>IF($A208="","",[1]!thsiFinD("ths_adjustment_nv_fund",I$3,$A208))</x:f>
        <x:v>#NAME?</x:v>
      </x:c>
      <x:c r="J208" s="146" t="e">
        <x:f>IF($A208="","",[1]!thsiFinD("ths_adjustment_nv_fund",J$3,$A208))</x:f>
        <x:v>#NAME?</x:v>
      </x:c>
      <x:c r="K208" s="146" t="e">
        <x:f>IF($A208="","",[1]!thsiFinD("ths_adjustment_nv_fund",K$3,$A208))</x:f>
        <x:v>#NAME?</x:v>
      </x:c>
      <x:c r="L208" s="146" t="e">
        <x:f>IF($A208="","",[1]!thsiFinD("ths_adjustment_nv_fund",L$3,$A208))</x:f>
        <x:v>#NAME?</x:v>
      </x:c>
      <x:c r="M208" s="146" t="e">
        <x:f>IF($A208="","",[1]!thsiFinD("ths_adjustment_nv_fund",M$3,$A208))</x:f>
        <x:v>#NAME?</x:v>
      </x:c>
      <x:c r="N208" s="146" t="e">
        <x:f>IF($A208="","",[1]!thsiFinD("ths_adjustment_nv_fund",N$3,$A208))</x:f>
        <x:v>#NAME?</x:v>
      </x:c>
      <x:c r="O208" s="146" t="e">
        <x:f>IF($A208="","",[1]!thsiFinD("ths_adjustment_nv_fund",O$3,$A208))</x:f>
        <x:v>#NAME?</x:v>
      </x:c>
      <x:c r="P208" s="146" t="e">
        <x:f>IF($A208="","",[1]!thsiFinD("ths_adjustment_nv_fund",P$3,$A208))</x:f>
        <x:v>#NAME?</x:v>
      </x:c>
      <x:c r="Q208" s="146" t="e">
        <x:f>IF($A208="","",[1]!thsiFinD("ths_adjustment_nv_fund",Q$3,$A208))</x:f>
        <x:v>#NAME?</x:v>
      </x:c>
      <x:c r="R208" s="146" t="e">
        <x:f>IF($A208="","",[1]!thsiFinD("ths_adjustment_nv_fund",R$3,$A208))</x:f>
        <x:v>#NAME?</x:v>
      </x:c>
      <x:c r="S208" s="146" t="e">
        <x:f>IF($A208="","",[1]!thsiFinD("ths_adjustment_nv_fund",S$3,$A208))</x:f>
        <x:v>#NAME?</x:v>
      </x:c>
      <x:c r="T208" s="146" t="e">
        <x:f>IF($A208="","",[1]!thsiFinD("ths_adjustment_nv_fund",T$3,$A208))</x:f>
        <x:v>#NAME?</x:v>
      </x:c>
      <x:c r="U208" s="146" t="e">
        <x:f>IF($A208="","",[1]!thsiFinD("ths_adjustment_nv_fund",U$3,$A208))</x:f>
        <x:v>#NAME?</x:v>
      </x:c>
      <x:c r="V208" s="146" t="e">
        <x:f>IF($A208="","",[1]!thsiFinD("ths_adjustment_nv_fund",V$3,$A208))</x:f>
        <x:v>#NAME?</x:v>
      </x:c>
      <x:c r="W208" s="146" t="e">
        <x:f>IF($A208="","",[1]!thsiFinD("ths_adjustment_nv_fund",W$3,$A208))</x:f>
        <x:v>#NAME?</x:v>
      </x:c>
      <x:c r="X208" s="146" t="e">
        <x:f>IF($A208="","",[1]!thsiFinD("ths_adjustment_nv_fund",X$3,$A208))</x:f>
        <x:v>#NAME?</x:v>
      </x:c>
      <x:c r="Y208" s="146" t="e">
        <x:f>IF($A208="","",[1]!thsiFinD("ths_adjustment_nv_fund",Y$3,$A208))</x:f>
        <x:v>#NAME?</x:v>
      </x:c>
      <x:c r="Z208" s="146" t="e">
        <x:f>IF($A208="","",[1]!thsiFinD("ths_adjustment_nv_fund",Z$3,$A208))</x:f>
        <x:v>#NAME?</x:v>
      </x:c>
      <x:c r="AA208" s="146" t="e">
        <x:f>IF($A208="","",[1]!thsiFinD("ths_adjustment_nv_fund",AA$3,$A208))</x:f>
        <x:v>#NAME?</x:v>
      </x:c>
    </x:row>
    <x:row r="209">
      <x:c r="B209" s="146" t="e">
        <x:f>IF($A209="","",[1]!thsiFinD("ths_adjustment_nv_fund",B$3,$A209))</x:f>
        <x:v>#NAME?</x:v>
      </x:c>
      <x:c r="C209" s="146" t="e">
        <x:f>IF($A209="","",[1]!thsiFinD("ths_adjustment_nv_fund",C$3,$A209))</x:f>
        <x:v>#NAME?</x:v>
      </x:c>
      <x:c r="D209" s="146" t="e">
        <x:f>IF($A209="","",[1]!thsiFinD("ths_adjustment_nv_fund",D$3,$A209))</x:f>
        <x:v>#NAME?</x:v>
      </x:c>
      <x:c r="E209" s="146" t="e">
        <x:f>IF($A209="","",[1]!thsiFinD("ths_adjustment_nv_fund",E$3,$A209))</x:f>
        <x:v>#NAME?</x:v>
      </x:c>
      <x:c r="F209" s="146" t="e">
        <x:f>IF($A209="","",[1]!thsiFinD("ths_adjustment_nv_fund",F$3,$A209))</x:f>
        <x:v>#NAME?</x:v>
      </x:c>
      <x:c r="G209" s="146" t="e">
        <x:f>IF($A209="","",[1]!thsiFinD("ths_adjustment_nv_fund",G$3,$A209))</x:f>
        <x:v>#NAME?</x:v>
      </x:c>
      <x:c r="H209" s="146" t="e">
        <x:f>IF($A209="","",[1]!thsiFinD("ths_adjustment_nv_fund",H$3,$A209))</x:f>
        <x:v>#NAME?</x:v>
      </x:c>
      <x:c r="I209" s="146" t="e">
        <x:f>IF($A209="","",[1]!thsiFinD("ths_adjustment_nv_fund",I$3,$A209))</x:f>
        <x:v>#NAME?</x:v>
      </x:c>
      <x:c r="J209" s="146" t="e">
        <x:f>IF($A209="","",[1]!thsiFinD("ths_adjustment_nv_fund",J$3,$A209))</x:f>
        <x:v>#NAME?</x:v>
      </x:c>
      <x:c r="K209" s="146" t="e">
        <x:f>IF($A209="","",[1]!thsiFinD("ths_adjustment_nv_fund",K$3,$A209))</x:f>
        <x:v>#NAME?</x:v>
      </x:c>
      <x:c r="L209" s="146" t="e">
        <x:f>IF($A209="","",[1]!thsiFinD("ths_adjustment_nv_fund",L$3,$A209))</x:f>
        <x:v>#NAME?</x:v>
      </x:c>
      <x:c r="M209" s="146" t="e">
        <x:f>IF($A209="","",[1]!thsiFinD("ths_adjustment_nv_fund",M$3,$A209))</x:f>
        <x:v>#NAME?</x:v>
      </x:c>
      <x:c r="N209" s="146" t="e">
        <x:f>IF($A209="","",[1]!thsiFinD("ths_adjustment_nv_fund",N$3,$A209))</x:f>
        <x:v>#NAME?</x:v>
      </x:c>
      <x:c r="O209" s="146" t="e">
        <x:f>IF($A209="","",[1]!thsiFinD("ths_adjustment_nv_fund",O$3,$A209))</x:f>
        <x:v>#NAME?</x:v>
      </x:c>
      <x:c r="P209" s="146" t="e">
        <x:f>IF($A209="","",[1]!thsiFinD("ths_adjustment_nv_fund",P$3,$A209))</x:f>
        <x:v>#NAME?</x:v>
      </x:c>
      <x:c r="Q209" s="146" t="e">
        <x:f>IF($A209="","",[1]!thsiFinD("ths_adjustment_nv_fund",Q$3,$A209))</x:f>
        <x:v>#NAME?</x:v>
      </x:c>
      <x:c r="R209" s="146" t="e">
        <x:f>IF($A209="","",[1]!thsiFinD("ths_adjustment_nv_fund",R$3,$A209))</x:f>
        <x:v>#NAME?</x:v>
      </x:c>
      <x:c r="S209" s="146" t="e">
        <x:f>IF($A209="","",[1]!thsiFinD("ths_adjustment_nv_fund",S$3,$A209))</x:f>
        <x:v>#NAME?</x:v>
      </x:c>
      <x:c r="T209" s="146" t="e">
        <x:f>IF($A209="","",[1]!thsiFinD("ths_adjustment_nv_fund",T$3,$A209))</x:f>
        <x:v>#NAME?</x:v>
      </x:c>
      <x:c r="U209" s="146" t="e">
        <x:f>IF($A209="","",[1]!thsiFinD("ths_adjustment_nv_fund",U$3,$A209))</x:f>
        <x:v>#NAME?</x:v>
      </x:c>
      <x:c r="V209" s="146" t="e">
        <x:f>IF($A209="","",[1]!thsiFinD("ths_adjustment_nv_fund",V$3,$A209))</x:f>
        <x:v>#NAME?</x:v>
      </x:c>
      <x:c r="W209" s="146" t="e">
        <x:f>IF($A209="","",[1]!thsiFinD("ths_adjustment_nv_fund",W$3,$A209))</x:f>
        <x:v>#NAME?</x:v>
      </x:c>
      <x:c r="X209" s="146" t="e">
        <x:f>IF($A209="","",[1]!thsiFinD("ths_adjustment_nv_fund",X$3,$A209))</x:f>
        <x:v>#NAME?</x:v>
      </x:c>
      <x:c r="Y209" s="146" t="e">
        <x:f>IF($A209="","",[1]!thsiFinD("ths_adjustment_nv_fund",Y$3,$A209))</x:f>
        <x:v>#NAME?</x:v>
      </x:c>
      <x:c r="Z209" s="146" t="e">
        <x:f>IF($A209="","",[1]!thsiFinD("ths_adjustment_nv_fund",Z$3,$A209))</x:f>
        <x:v>#NAME?</x:v>
      </x:c>
      <x:c r="AA209" s="146" t="e">
        <x:f>IF($A209="","",[1]!thsiFinD("ths_adjustment_nv_fund",AA$3,$A209))</x:f>
        <x:v>#NAME?</x:v>
      </x:c>
    </x:row>
    <x:row r="210">
      <x:c r="B210" s="146" t="e">
        <x:f>IF($A210="","",[1]!thsiFinD("ths_adjustment_nv_fund",B$3,$A210))</x:f>
        <x:v>#NAME?</x:v>
      </x:c>
      <x:c r="C210" s="146" t="e">
        <x:f>IF($A210="","",[1]!thsiFinD("ths_adjustment_nv_fund",C$3,$A210))</x:f>
        <x:v>#NAME?</x:v>
      </x:c>
      <x:c r="D210" s="146" t="e">
        <x:f>IF($A210="","",[1]!thsiFinD("ths_adjustment_nv_fund",D$3,$A210))</x:f>
        <x:v>#NAME?</x:v>
      </x:c>
      <x:c r="E210" s="146" t="e">
        <x:f>IF($A210="","",[1]!thsiFinD("ths_adjustment_nv_fund",E$3,$A210))</x:f>
        <x:v>#NAME?</x:v>
      </x:c>
      <x:c r="F210" s="146" t="e">
        <x:f>IF($A210="","",[1]!thsiFinD("ths_adjustment_nv_fund",F$3,$A210))</x:f>
        <x:v>#NAME?</x:v>
      </x:c>
      <x:c r="G210" s="146" t="e">
        <x:f>IF($A210="","",[1]!thsiFinD("ths_adjustment_nv_fund",G$3,$A210))</x:f>
        <x:v>#NAME?</x:v>
      </x:c>
      <x:c r="H210" s="146" t="e">
        <x:f>IF($A210="","",[1]!thsiFinD("ths_adjustment_nv_fund",H$3,$A210))</x:f>
        <x:v>#NAME?</x:v>
      </x:c>
      <x:c r="I210" s="146" t="e">
        <x:f>IF($A210="","",[1]!thsiFinD("ths_adjustment_nv_fund",I$3,$A210))</x:f>
        <x:v>#NAME?</x:v>
      </x:c>
      <x:c r="J210" s="146" t="e">
        <x:f>IF($A210="","",[1]!thsiFinD("ths_adjustment_nv_fund",J$3,$A210))</x:f>
        <x:v>#NAME?</x:v>
      </x:c>
      <x:c r="K210" s="146" t="e">
        <x:f>IF($A210="","",[1]!thsiFinD("ths_adjustment_nv_fund",K$3,$A210))</x:f>
        <x:v>#NAME?</x:v>
      </x:c>
      <x:c r="L210" s="146" t="e">
        <x:f>IF($A210="","",[1]!thsiFinD("ths_adjustment_nv_fund",L$3,$A210))</x:f>
        <x:v>#NAME?</x:v>
      </x:c>
      <x:c r="M210" s="146" t="e">
        <x:f>IF($A210="","",[1]!thsiFinD("ths_adjustment_nv_fund",M$3,$A210))</x:f>
        <x:v>#NAME?</x:v>
      </x:c>
      <x:c r="N210" s="146" t="e">
        <x:f>IF($A210="","",[1]!thsiFinD("ths_adjustment_nv_fund",N$3,$A210))</x:f>
        <x:v>#NAME?</x:v>
      </x:c>
      <x:c r="O210" s="146" t="e">
        <x:f>IF($A210="","",[1]!thsiFinD("ths_adjustment_nv_fund",O$3,$A210))</x:f>
        <x:v>#NAME?</x:v>
      </x:c>
      <x:c r="P210" s="146" t="e">
        <x:f>IF($A210="","",[1]!thsiFinD("ths_adjustment_nv_fund",P$3,$A210))</x:f>
        <x:v>#NAME?</x:v>
      </x:c>
      <x:c r="Q210" s="146" t="e">
        <x:f>IF($A210="","",[1]!thsiFinD("ths_adjustment_nv_fund",Q$3,$A210))</x:f>
        <x:v>#NAME?</x:v>
      </x:c>
      <x:c r="R210" s="146" t="e">
        <x:f>IF($A210="","",[1]!thsiFinD("ths_adjustment_nv_fund",R$3,$A210))</x:f>
        <x:v>#NAME?</x:v>
      </x:c>
      <x:c r="S210" s="146" t="e">
        <x:f>IF($A210="","",[1]!thsiFinD("ths_adjustment_nv_fund",S$3,$A210))</x:f>
        <x:v>#NAME?</x:v>
      </x:c>
      <x:c r="T210" s="146" t="e">
        <x:f>IF($A210="","",[1]!thsiFinD("ths_adjustment_nv_fund",T$3,$A210))</x:f>
        <x:v>#NAME?</x:v>
      </x:c>
      <x:c r="U210" s="146" t="e">
        <x:f>IF($A210="","",[1]!thsiFinD("ths_adjustment_nv_fund",U$3,$A210))</x:f>
        <x:v>#NAME?</x:v>
      </x:c>
      <x:c r="V210" s="146" t="e">
        <x:f>IF($A210="","",[1]!thsiFinD("ths_adjustment_nv_fund",V$3,$A210))</x:f>
        <x:v>#NAME?</x:v>
      </x:c>
      <x:c r="W210" s="146" t="e">
        <x:f>IF($A210="","",[1]!thsiFinD("ths_adjustment_nv_fund",W$3,$A210))</x:f>
        <x:v>#NAME?</x:v>
      </x:c>
      <x:c r="X210" s="146" t="e">
        <x:f>IF($A210="","",[1]!thsiFinD("ths_adjustment_nv_fund",X$3,$A210))</x:f>
        <x:v>#NAME?</x:v>
      </x:c>
      <x:c r="Y210" s="146" t="e">
        <x:f>IF($A210="","",[1]!thsiFinD("ths_adjustment_nv_fund",Y$3,$A210))</x:f>
        <x:v>#NAME?</x:v>
      </x:c>
      <x:c r="Z210" s="146" t="e">
        <x:f>IF($A210="","",[1]!thsiFinD("ths_adjustment_nv_fund",Z$3,$A210))</x:f>
        <x:v>#NAME?</x:v>
      </x:c>
      <x:c r="AA210" s="146" t="e">
        <x:f>IF($A210="","",[1]!thsiFinD("ths_adjustment_nv_fund",AA$3,$A210))</x:f>
        <x:v>#NAME?</x:v>
      </x:c>
    </x:row>
    <x:row r="211">
      <x:c r="B211" s="146" t="e">
        <x:f>IF($A211="","",[1]!thsiFinD("ths_adjustment_nv_fund",B$3,$A211))</x:f>
        <x:v>#NAME?</x:v>
      </x:c>
      <x:c r="C211" s="146" t="e">
        <x:f>IF($A211="","",[1]!thsiFinD("ths_adjustment_nv_fund",C$3,$A211))</x:f>
        <x:v>#NAME?</x:v>
      </x:c>
      <x:c r="D211" s="146" t="e">
        <x:f>IF($A211="","",[1]!thsiFinD("ths_adjustment_nv_fund",D$3,$A211))</x:f>
        <x:v>#NAME?</x:v>
      </x:c>
      <x:c r="E211" s="146" t="e">
        <x:f>IF($A211="","",[1]!thsiFinD("ths_adjustment_nv_fund",E$3,$A211))</x:f>
        <x:v>#NAME?</x:v>
      </x:c>
      <x:c r="F211" s="146" t="e">
        <x:f>IF($A211="","",[1]!thsiFinD("ths_adjustment_nv_fund",F$3,$A211))</x:f>
        <x:v>#NAME?</x:v>
      </x:c>
      <x:c r="G211" s="146" t="e">
        <x:f>IF($A211="","",[1]!thsiFinD("ths_adjustment_nv_fund",G$3,$A211))</x:f>
        <x:v>#NAME?</x:v>
      </x:c>
      <x:c r="H211" s="146" t="e">
        <x:f>IF($A211="","",[1]!thsiFinD("ths_adjustment_nv_fund",H$3,$A211))</x:f>
        <x:v>#NAME?</x:v>
      </x:c>
      <x:c r="I211" s="146" t="e">
        <x:f>IF($A211="","",[1]!thsiFinD("ths_adjustment_nv_fund",I$3,$A211))</x:f>
        <x:v>#NAME?</x:v>
      </x:c>
      <x:c r="J211" s="146" t="e">
        <x:f>IF($A211="","",[1]!thsiFinD("ths_adjustment_nv_fund",J$3,$A211))</x:f>
        <x:v>#NAME?</x:v>
      </x:c>
      <x:c r="K211" s="146" t="e">
        <x:f>IF($A211="","",[1]!thsiFinD("ths_adjustment_nv_fund",K$3,$A211))</x:f>
        <x:v>#NAME?</x:v>
      </x:c>
      <x:c r="L211" s="146" t="e">
        <x:f>IF($A211="","",[1]!thsiFinD("ths_adjustment_nv_fund",L$3,$A211))</x:f>
        <x:v>#NAME?</x:v>
      </x:c>
      <x:c r="M211" s="146" t="e">
        <x:f>IF($A211="","",[1]!thsiFinD("ths_adjustment_nv_fund",M$3,$A211))</x:f>
        <x:v>#NAME?</x:v>
      </x:c>
      <x:c r="N211" s="146" t="e">
        <x:f>IF($A211="","",[1]!thsiFinD("ths_adjustment_nv_fund",N$3,$A211))</x:f>
        <x:v>#NAME?</x:v>
      </x:c>
      <x:c r="O211" s="146" t="e">
        <x:f>IF($A211="","",[1]!thsiFinD("ths_adjustment_nv_fund",O$3,$A211))</x:f>
        <x:v>#NAME?</x:v>
      </x:c>
      <x:c r="P211" s="146" t="e">
        <x:f>IF($A211="","",[1]!thsiFinD("ths_adjustment_nv_fund",P$3,$A211))</x:f>
        <x:v>#NAME?</x:v>
      </x:c>
      <x:c r="Q211" s="146" t="e">
        <x:f>IF($A211="","",[1]!thsiFinD("ths_adjustment_nv_fund",Q$3,$A211))</x:f>
        <x:v>#NAME?</x:v>
      </x:c>
      <x:c r="R211" s="146" t="e">
        <x:f>IF($A211="","",[1]!thsiFinD("ths_adjustment_nv_fund",R$3,$A211))</x:f>
        <x:v>#NAME?</x:v>
      </x:c>
      <x:c r="S211" s="146" t="e">
        <x:f>IF($A211="","",[1]!thsiFinD("ths_adjustment_nv_fund",S$3,$A211))</x:f>
        <x:v>#NAME?</x:v>
      </x:c>
      <x:c r="T211" s="146" t="e">
        <x:f>IF($A211="","",[1]!thsiFinD("ths_adjustment_nv_fund",T$3,$A211))</x:f>
        <x:v>#NAME?</x:v>
      </x:c>
      <x:c r="U211" s="146" t="e">
        <x:f>IF($A211="","",[1]!thsiFinD("ths_adjustment_nv_fund",U$3,$A211))</x:f>
        <x:v>#NAME?</x:v>
      </x:c>
      <x:c r="V211" s="146" t="e">
        <x:f>IF($A211="","",[1]!thsiFinD("ths_adjustment_nv_fund",V$3,$A211))</x:f>
        <x:v>#NAME?</x:v>
      </x:c>
      <x:c r="W211" s="146" t="e">
        <x:f>IF($A211="","",[1]!thsiFinD("ths_adjustment_nv_fund",W$3,$A211))</x:f>
        <x:v>#NAME?</x:v>
      </x:c>
      <x:c r="X211" s="146" t="e">
        <x:f>IF($A211="","",[1]!thsiFinD("ths_adjustment_nv_fund",X$3,$A211))</x:f>
        <x:v>#NAME?</x:v>
      </x:c>
      <x:c r="Y211" s="146" t="e">
        <x:f>IF($A211="","",[1]!thsiFinD("ths_adjustment_nv_fund",Y$3,$A211))</x:f>
        <x:v>#NAME?</x:v>
      </x:c>
      <x:c r="Z211" s="146" t="e">
        <x:f>IF($A211="","",[1]!thsiFinD("ths_adjustment_nv_fund",Z$3,$A211))</x:f>
        <x:v>#NAME?</x:v>
      </x:c>
      <x:c r="AA211" s="146" t="e">
        <x:f>IF($A211="","",[1]!thsiFinD("ths_adjustment_nv_fund",AA$3,$A211))</x:f>
        <x:v>#NAME?</x:v>
      </x:c>
    </x:row>
    <x:row r="212">
      <x:c r="B212" s="146" t="e">
        <x:f>IF($A212="","",[1]!thsiFinD("ths_adjustment_nv_fund",B$3,$A212))</x:f>
        <x:v>#NAME?</x:v>
      </x:c>
      <x:c r="C212" s="146" t="e">
        <x:f>IF($A212="","",[1]!thsiFinD("ths_adjustment_nv_fund",C$3,$A212))</x:f>
        <x:v>#NAME?</x:v>
      </x:c>
      <x:c r="D212" s="146" t="e">
        <x:f>IF($A212="","",[1]!thsiFinD("ths_adjustment_nv_fund",D$3,$A212))</x:f>
        <x:v>#NAME?</x:v>
      </x:c>
      <x:c r="E212" s="146" t="e">
        <x:f>IF($A212="","",[1]!thsiFinD("ths_adjustment_nv_fund",E$3,$A212))</x:f>
        <x:v>#NAME?</x:v>
      </x:c>
      <x:c r="F212" s="146" t="e">
        <x:f>IF($A212="","",[1]!thsiFinD("ths_adjustment_nv_fund",F$3,$A212))</x:f>
        <x:v>#NAME?</x:v>
      </x:c>
      <x:c r="G212" s="146" t="e">
        <x:f>IF($A212="","",[1]!thsiFinD("ths_adjustment_nv_fund",G$3,$A212))</x:f>
        <x:v>#NAME?</x:v>
      </x:c>
      <x:c r="H212" s="146" t="e">
        <x:f>IF($A212="","",[1]!thsiFinD("ths_adjustment_nv_fund",H$3,$A212))</x:f>
        <x:v>#NAME?</x:v>
      </x:c>
      <x:c r="I212" s="146" t="e">
        <x:f>IF($A212="","",[1]!thsiFinD("ths_adjustment_nv_fund",I$3,$A212))</x:f>
        <x:v>#NAME?</x:v>
      </x:c>
      <x:c r="J212" s="146" t="e">
        <x:f>IF($A212="","",[1]!thsiFinD("ths_adjustment_nv_fund",J$3,$A212))</x:f>
        <x:v>#NAME?</x:v>
      </x:c>
      <x:c r="K212" s="146" t="e">
        <x:f>IF($A212="","",[1]!thsiFinD("ths_adjustment_nv_fund",K$3,$A212))</x:f>
        <x:v>#NAME?</x:v>
      </x:c>
      <x:c r="L212" s="146" t="e">
        <x:f>IF($A212="","",[1]!thsiFinD("ths_adjustment_nv_fund",L$3,$A212))</x:f>
        <x:v>#NAME?</x:v>
      </x:c>
      <x:c r="M212" s="146" t="e">
        <x:f>IF($A212="","",[1]!thsiFinD("ths_adjustment_nv_fund",M$3,$A212))</x:f>
        <x:v>#NAME?</x:v>
      </x:c>
      <x:c r="N212" s="146" t="e">
        <x:f>IF($A212="","",[1]!thsiFinD("ths_adjustment_nv_fund",N$3,$A212))</x:f>
        <x:v>#NAME?</x:v>
      </x:c>
      <x:c r="O212" s="146" t="e">
        <x:f>IF($A212="","",[1]!thsiFinD("ths_adjustment_nv_fund",O$3,$A212))</x:f>
        <x:v>#NAME?</x:v>
      </x:c>
      <x:c r="P212" s="146" t="e">
        <x:f>IF($A212="","",[1]!thsiFinD("ths_adjustment_nv_fund",P$3,$A212))</x:f>
        <x:v>#NAME?</x:v>
      </x:c>
      <x:c r="Q212" s="146" t="e">
        <x:f>IF($A212="","",[1]!thsiFinD("ths_adjustment_nv_fund",Q$3,$A212))</x:f>
        <x:v>#NAME?</x:v>
      </x:c>
      <x:c r="R212" s="146" t="e">
        <x:f>IF($A212="","",[1]!thsiFinD("ths_adjustment_nv_fund",R$3,$A212))</x:f>
        <x:v>#NAME?</x:v>
      </x:c>
      <x:c r="S212" s="146" t="e">
        <x:f>IF($A212="","",[1]!thsiFinD("ths_adjustment_nv_fund",S$3,$A212))</x:f>
        <x:v>#NAME?</x:v>
      </x:c>
      <x:c r="T212" s="146" t="e">
        <x:f>IF($A212="","",[1]!thsiFinD("ths_adjustment_nv_fund",T$3,$A212))</x:f>
        <x:v>#NAME?</x:v>
      </x:c>
      <x:c r="U212" s="146" t="e">
        <x:f>IF($A212="","",[1]!thsiFinD("ths_adjustment_nv_fund",U$3,$A212))</x:f>
        <x:v>#NAME?</x:v>
      </x:c>
      <x:c r="V212" s="146" t="e">
        <x:f>IF($A212="","",[1]!thsiFinD("ths_adjustment_nv_fund",V$3,$A212))</x:f>
        <x:v>#NAME?</x:v>
      </x:c>
      <x:c r="W212" s="146" t="e">
        <x:f>IF($A212="","",[1]!thsiFinD("ths_adjustment_nv_fund",W$3,$A212))</x:f>
        <x:v>#NAME?</x:v>
      </x:c>
      <x:c r="X212" s="146" t="e">
        <x:f>IF($A212="","",[1]!thsiFinD("ths_adjustment_nv_fund",X$3,$A212))</x:f>
        <x:v>#NAME?</x:v>
      </x:c>
      <x:c r="Y212" s="146" t="e">
        <x:f>IF($A212="","",[1]!thsiFinD("ths_adjustment_nv_fund",Y$3,$A212))</x:f>
        <x:v>#NAME?</x:v>
      </x:c>
      <x:c r="Z212" s="146" t="e">
        <x:f>IF($A212="","",[1]!thsiFinD("ths_adjustment_nv_fund",Z$3,$A212))</x:f>
        <x:v>#NAME?</x:v>
      </x:c>
      <x:c r="AA212" s="146" t="e">
        <x:f>IF($A212="","",[1]!thsiFinD("ths_adjustment_nv_fund",AA$3,$A212))</x:f>
        <x:v>#NAME?</x:v>
      </x:c>
    </x:row>
    <x:row r="213">
      <x:c r="B213" s="146" t="e">
        <x:f>IF($A213="","",[1]!thsiFinD("ths_adjustment_nv_fund",B$3,$A213))</x:f>
        <x:v>#NAME?</x:v>
      </x:c>
      <x:c r="C213" s="146" t="e">
        <x:f>IF($A213="","",[1]!thsiFinD("ths_adjustment_nv_fund",C$3,$A213))</x:f>
        <x:v>#NAME?</x:v>
      </x:c>
      <x:c r="D213" s="146" t="e">
        <x:f>IF($A213="","",[1]!thsiFinD("ths_adjustment_nv_fund",D$3,$A213))</x:f>
        <x:v>#NAME?</x:v>
      </x:c>
      <x:c r="E213" s="146" t="e">
        <x:f>IF($A213="","",[1]!thsiFinD("ths_adjustment_nv_fund",E$3,$A213))</x:f>
        <x:v>#NAME?</x:v>
      </x:c>
      <x:c r="F213" s="146" t="e">
        <x:f>IF($A213="","",[1]!thsiFinD("ths_adjustment_nv_fund",F$3,$A213))</x:f>
        <x:v>#NAME?</x:v>
      </x:c>
      <x:c r="G213" s="146" t="e">
        <x:f>IF($A213="","",[1]!thsiFinD("ths_adjustment_nv_fund",G$3,$A213))</x:f>
        <x:v>#NAME?</x:v>
      </x:c>
      <x:c r="H213" s="146" t="e">
        <x:f>IF($A213="","",[1]!thsiFinD("ths_adjustment_nv_fund",H$3,$A213))</x:f>
        <x:v>#NAME?</x:v>
      </x:c>
      <x:c r="I213" s="146" t="e">
        <x:f>IF($A213="","",[1]!thsiFinD("ths_adjustment_nv_fund",I$3,$A213))</x:f>
        <x:v>#NAME?</x:v>
      </x:c>
      <x:c r="J213" s="146" t="e">
        <x:f>IF($A213="","",[1]!thsiFinD("ths_adjustment_nv_fund",J$3,$A213))</x:f>
        <x:v>#NAME?</x:v>
      </x:c>
      <x:c r="K213" s="146" t="e">
        <x:f>IF($A213="","",[1]!thsiFinD("ths_adjustment_nv_fund",K$3,$A213))</x:f>
        <x:v>#NAME?</x:v>
      </x:c>
      <x:c r="L213" s="146" t="e">
        <x:f>IF($A213="","",[1]!thsiFinD("ths_adjustment_nv_fund",L$3,$A213))</x:f>
        <x:v>#NAME?</x:v>
      </x:c>
      <x:c r="M213" s="146" t="e">
        <x:f>IF($A213="","",[1]!thsiFinD("ths_adjustment_nv_fund",M$3,$A213))</x:f>
        <x:v>#NAME?</x:v>
      </x:c>
      <x:c r="N213" s="146" t="e">
        <x:f>IF($A213="","",[1]!thsiFinD("ths_adjustment_nv_fund",N$3,$A213))</x:f>
        <x:v>#NAME?</x:v>
      </x:c>
      <x:c r="O213" s="146" t="e">
        <x:f>IF($A213="","",[1]!thsiFinD("ths_adjustment_nv_fund",O$3,$A213))</x:f>
        <x:v>#NAME?</x:v>
      </x:c>
      <x:c r="P213" s="146" t="e">
        <x:f>IF($A213="","",[1]!thsiFinD("ths_adjustment_nv_fund",P$3,$A213))</x:f>
        <x:v>#NAME?</x:v>
      </x:c>
      <x:c r="Q213" s="146" t="e">
        <x:f>IF($A213="","",[1]!thsiFinD("ths_adjustment_nv_fund",Q$3,$A213))</x:f>
        <x:v>#NAME?</x:v>
      </x:c>
      <x:c r="R213" s="146" t="e">
        <x:f>IF($A213="","",[1]!thsiFinD("ths_adjustment_nv_fund",R$3,$A213))</x:f>
        <x:v>#NAME?</x:v>
      </x:c>
      <x:c r="S213" s="146" t="e">
        <x:f>IF($A213="","",[1]!thsiFinD("ths_adjustment_nv_fund",S$3,$A213))</x:f>
        <x:v>#NAME?</x:v>
      </x:c>
      <x:c r="T213" s="146" t="e">
        <x:f>IF($A213="","",[1]!thsiFinD("ths_adjustment_nv_fund",T$3,$A213))</x:f>
        <x:v>#NAME?</x:v>
      </x:c>
      <x:c r="U213" s="146" t="e">
        <x:f>IF($A213="","",[1]!thsiFinD("ths_adjustment_nv_fund",U$3,$A213))</x:f>
        <x:v>#NAME?</x:v>
      </x:c>
      <x:c r="V213" s="146" t="e">
        <x:f>IF($A213="","",[1]!thsiFinD("ths_adjustment_nv_fund",V$3,$A213))</x:f>
        <x:v>#NAME?</x:v>
      </x:c>
      <x:c r="W213" s="146" t="e">
        <x:f>IF($A213="","",[1]!thsiFinD("ths_adjustment_nv_fund",W$3,$A213))</x:f>
        <x:v>#NAME?</x:v>
      </x:c>
      <x:c r="X213" s="146" t="e">
        <x:f>IF($A213="","",[1]!thsiFinD("ths_adjustment_nv_fund",X$3,$A213))</x:f>
        <x:v>#NAME?</x:v>
      </x:c>
      <x:c r="Y213" s="146" t="e">
        <x:f>IF($A213="","",[1]!thsiFinD("ths_adjustment_nv_fund",Y$3,$A213))</x:f>
        <x:v>#NAME?</x:v>
      </x:c>
      <x:c r="Z213" s="146" t="e">
        <x:f>IF($A213="","",[1]!thsiFinD("ths_adjustment_nv_fund",Z$3,$A213))</x:f>
        <x:v>#NAME?</x:v>
      </x:c>
      <x:c r="AA213" s="146" t="e">
        <x:f>IF($A213="","",[1]!thsiFinD("ths_adjustment_nv_fund",AA$3,$A213))</x:f>
        <x:v>#NAME?</x:v>
      </x:c>
    </x:row>
    <x:row r="214">
      <x:c r="B214" s="146" t="e">
        <x:f>IF($A214="","",[1]!thsiFinD("ths_adjustment_nv_fund",B$3,$A214))</x:f>
        <x:v>#NAME?</x:v>
      </x:c>
      <x:c r="C214" s="146" t="e">
        <x:f>IF($A214="","",[1]!thsiFinD("ths_adjustment_nv_fund",C$3,$A214))</x:f>
        <x:v>#NAME?</x:v>
      </x:c>
      <x:c r="D214" s="146" t="e">
        <x:f>IF($A214="","",[1]!thsiFinD("ths_adjustment_nv_fund",D$3,$A214))</x:f>
        <x:v>#NAME?</x:v>
      </x:c>
      <x:c r="E214" s="146" t="e">
        <x:f>IF($A214="","",[1]!thsiFinD("ths_adjustment_nv_fund",E$3,$A214))</x:f>
        <x:v>#NAME?</x:v>
      </x:c>
      <x:c r="F214" s="146" t="e">
        <x:f>IF($A214="","",[1]!thsiFinD("ths_adjustment_nv_fund",F$3,$A214))</x:f>
        <x:v>#NAME?</x:v>
      </x:c>
      <x:c r="G214" s="146" t="e">
        <x:f>IF($A214="","",[1]!thsiFinD("ths_adjustment_nv_fund",G$3,$A214))</x:f>
        <x:v>#NAME?</x:v>
      </x:c>
      <x:c r="H214" s="146" t="e">
        <x:f>IF($A214="","",[1]!thsiFinD("ths_adjustment_nv_fund",H$3,$A214))</x:f>
        <x:v>#NAME?</x:v>
      </x:c>
      <x:c r="I214" s="146" t="e">
        <x:f>IF($A214="","",[1]!thsiFinD("ths_adjustment_nv_fund",I$3,$A214))</x:f>
        <x:v>#NAME?</x:v>
      </x:c>
      <x:c r="J214" s="146" t="e">
        <x:f>IF($A214="","",[1]!thsiFinD("ths_adjustment_nv_fund",J$3,$A214))</x:f>
        <x:v>#NAME?</x:v>
      </x:c>
      <x:c r="K214" s="146" t="e">
        <x:f>IF($A214="","",[1]!thsiFinD("ths_adjustment_nv_fund",K$3,$A214))</x:f>
        <x:v>#NAME?</x:v>
      </x:c>
      <x:c r="L214" s="146" t="e">
        <x:f>IF($A214="","",[1]!thsiFinD("ths_adjustment_nv_fund",L$3,$A214))</x:f>
        <x:v>#NAME?</x:v>
      </x:c>
      <x:c r="M214" s="146" t="e">
        <x:f>IF($A214="","",[1]!thsiFinD("ths_adjustment_nv_fund",M$3,$A214))</x:f>
        <x:v>#NAME?</x:v>
      </x:c>
      <x:c r="N214" s="146" t="e">
        <x:f>IF($A214="","",[1]!thsiFinD("ths_adjustment_nv_fund",N$3,$A214))</x:f>
        <x:v>#NAME?</x:v>
      </x:c>
      <x:c r="O214" s="146" t="e">
        <x:f>IF($A214="","",[1]!thsiFinD("ths_adjustment_nv_fund",O$3,$A214))</x:f>
        <x:v>#NAME?</x:v>
      </x:c>
      <x:c r="P214" s="146" t="e">
        <x:f>IF($A214="","",[1]!thsiFinD("ths_adjustment_nv_fund",P$3,$A214))</x:f>
        <x:v>#NAME?</x:v>
      </x:c>
      <x:c r="Q214" s="146" t="e">
        <x:f>IF($A214="","",[1]!thsiFinD("ths_adjustment_nv_fund",Q$3,$A214))</x:f>
        <x:v>#NAME?</x:v>
      </x:c>
      <x:c r="R214" s="146" t="e">
        <x:f>IF($A214="","",[1]!thsiFinD("ths_adjustment_nv_fund",R$3,$A214))</x:f>
        <x:v>#NAME?</x:v>
      </x:c>
      <x:c r="S214" s="146" t="e">
        <x:f>IF($A214="","",[1]!thsiFinD("ths_adjustment_nv_fund",S$3,$A214))</x:f>
        <x:v>#NAME?</x:v>
      </x:c>
      <x:c r="T214" s="146" t="e">
        <x:f>IF($A214="","",[1]!thsiFinD("ths_adjustment_nv_fund",T$3,$A214))</x:f>
        <x:v>#NAME?</x:v>
      </x:c>
      <x:c r="U214" s="146" t="e">
        <x:f>IF($A214="","",[1]!thsiFinD("ths_adjustment_nv_fund",U$3,$A214))</x:f>
        <x:v>#NAME?</x:v>
      </x:c>
      <x:c r="V214" s="146" t="e">
        <x:f>IF($A214="","",[1]!thsiFinD("ths_adjustment_nv_fund",V$3,$A214))</x:f>
        <x:v>#NAME?</x:v>
      </x:c>
      <x:c r="W214" s="146" t="e">
        <x:f>IF($A214="","",[1]!thsiFinD("ths_adjustment_nv_fund",W$3,$A214))</x:f>
        <x:v>#NAME?</x:v>
      </x:c>
      <x:c r="X214" s="146" t="e">
        <x:f>IF($A214="","",[1]!thsiFinD("ths_adjustment_nv_fund",X$3,$A214))</x:f>
        <x:v>#NAME?</x:v>
      </x:c>
      <x:c r="Y214" s="146" t="e">
        <x:f>IF($A214="","",[1]!thsiFinD("ths_adjustment_nv_fund",Y$3,$A214))</x:f>
        <x:v>#NAME?</x:v>
      </x:c>
      <x:c r="Z214" s="146" t="e">
        <x:f>IF($A214="","",[1]!thsiFinD("ths_adjustment_nv_fund",Z$3,$A214))</x:f>
        <x:v>#NAME?</x:v>
      </x:c>
      <x:c r="AA214" s="146" t="e">
        <x:f>IF($A214="","",[1]!thsiFinD("ths_adjustment_nv_fund",AA$3,$A214))</x:f>
        <x:v>#NAME?</x:v>
      </x:c>
    </x:row>
    <x:row r="215">
      <x:c r="B215" s="146" t="e">
        <x:f>IF($A215="","",[1]!thsiFinD("ths_adjustment_nv_fund",B$3,$A215))</x:f>
        <x:v>#NAME?</x:v>
      </x:c>
      <x:c r="C215" s="146" t="e">
        <x:f>IF($A215="","",[1]!thsiFinD("ths_adjustment_nv_fund",C$3,$A215))</x:f>
        <x:v>#NAME?</x:v>
      </x:c>
      <x:c r="D215" s="146" t="e">
        <x:f>IF($A215="","",[1]!thsiFinD("ths_adjustment_nv_fund",D$3,$A215))</x:f>
        <x:v>#NAME?</x:v>
      </x:c>
      <x:c r="E215" s="146" t="e">
        <x:f>IF($A215="","",[1]!thsiFinD("ths_adjustment_nv_fund",E$3,$A215))</x:f>
        <x:v>#NAME?</x:v>
      </x:c>
      <x:c r="F215" s="146" t="e">
        <x:f>IF($A215="","",[1]!thsiFinD("ths_adjustment_nv_fund",F$3,$A215))</x:f>
        <x:v>#NAME?</x:v>
      </x:c>
      <x:c r="G215" s="146" t="e">
        <x:f>IF($A215="","",[1]!thsiFinD("ths_adjustment_nv_fund",G$3,$A215))</x:f>
        <x:v>#NAME?</x:v>
      </x:c>
      <x:c r="H215" s="146" t="e">
        <x:f>IF($A215="","",[1]!thsiFinD("ths_adjustment_nv_fund",H$3,$A215))</x:f>
        <x:v>#NAME?</x:v>
      </x:c>
      <x:c r="I215" s="146" t="e">
        <x:f>IF($A215="","",[1]!thsiFinD("ths_adjustment_nv_fund",I$3,$A215))</x:f>
        <x:v>#NAME?</x:v>
      </x:c>
      <x:c r="J215" s="146" t="e">
        <x:f>IF($A215="","",[1]!thsiFinD("ths_adjustment_nv_fund",J$3,$A215))</x:f>
        <x:v>#NAME?</x:v>
      </x:c>
      <x:c r="K215" s="146" t="e">
        <x:f>IF($A215="","",[1]!thsiFinD("ths_adjustment_nv_fund",K$3,$A215))</x:f>
        <x:v>#NAME?</x:v>
      </x:c>
      <x:c r="L215" s="146" t="e">
        <x:f>IF($A215="","",[1]!thsiFinD("ths_adjustment_nv_fund",L$3,$A215))</x:f>
        <x:v>#NAME?</x:v>
      </x:c>
      <x:c r="M215" s="146" t="e">
        <x:f>IF($A215="","",[1]!thsiFinD("ths_adjustment_nv_fund",M$3,$A215))</x:f>
        <x:v>#NAME?</x:v>
      </x:c>
      <x:c r="N215" s="146" t="e">
        <x:f>IF($A215="","",[1]!thsiFinD("ths_adjustment_nv_fund",N$3,$A215))</x:f>
        <x:v>#NAME?</x:v>
      </x:c>
      <x:c r="O215" s="146" t="e">
        <x:f>IF($A215="","",[1]!thsiFinD("ths_adjustment_nv_fund",O$3,$A215))</x:f>
        <x:v>#NAME?</x:v>
      </x:c>
      <x:c r="P215" s="146" t="e">
        <x:f>IF($A215="","",[1]!thsiFinD("ths_adjustment_nv_fund",P$3,$A215))</x:f>
        <x:v>#NAME?</x:v>
      </x:c>
      <x:c r="Q215" s="146" t="e">
        <x:f>IF($A215="","",[1]!thsiFinD("ths_adjustment_nv_fund",Q$3,$A215))</x:f>
        <x:v>#NAME?</x:v>
      </x:c>
      <x:c r="R215" s="146" t="e">
        <x:f>IF($A215="","",[1]!thsiFinD("ths_adjustment_nv_fund",R$3,$A215))</x:f>
        <x:v>#NAME?</x:v>
      </x:c>
      <x:c r="S215" s="146" t="e">
        <x:f>IF($A215="","",[1]!thsiFinD("ths_adjustment_nv_fund",S$3,$A215))</x:f>
        <x:v>#NAME?</x:v>
      </x:c>
      <x:c r="T215" s="146" t="e">
        <x:f>IF($A215="","",[1]!thsiFinD("ths_adjustment_nv_fund",T$3,$A215))</x:f>
        <x:v>#NAME?</x:v>
      </x:c>
      <x:c r="U215" s="146" t="e">
        <x:f>IF($A215="","",[1]!thsiFinD("ths_adjustment_nv_fund",U$3,$A215))</x:f>
        <x:v>#NAME?</x:v>
      </x:c>
      <x:c r="V215" s="146" t="e">
        <x:f>IF($A215="","",[1]!thsiFinD("ths_adjustment_nv_fund",V$3,$A215))</x:f>
        <x:v>#NAME?</x:v>
      </x:c>
      <x:c r="W215" s="146" t="e">
        <x:f>IF($A215="","",[1]!thsiFinD("ths_adjustment_nv_fund",W$3,$A215))</x:f>
        <x:v>#NAME?</x:v>
      </x:c>
      <x:c r="X215" s="146" t="e">
        <x:f>IF($A215="","",[1]!thsiFinD("ths_adjustment_nv_fund",X$3,$A215))</x:f>
        <x:v>#NAME?</x:v>
      </x:c>
      <x:c r="Y215" s="146" t="e">
        <x:f>IF($A215="","",[1]!thsiFinD("ths_adjustment_nv_fund",Y$3,$A215))</x:f>
        <x:v>#NAME?</x:v>
      </x:c>
      <x:c r="Z215" s="146" t="e">
        <x:f>IF($A215="","",[1]!thsiFinD("ths_adjustment_nv_fund",Z$3,$A215))</x:f>
        <x:v>#NAME?</x:v>
      </x:c>
      <x:c r="AA215" s="146" t="e">
        <x:f>IF($A215="","",[1]!thsiFinD("ths_adjustment_nv_fund",AA$3,$A215))</x:f>
        <x:v>#NAME?</x:v>
      </x:c>
    </x:row>
    <x:row r="216">
      <x:c r="B216" s="146" t="e">
        <x:f>IF($A216="","",[1]!thsiFinD("ths_adjustment_nv_fund",B$3,$A216))</x:f>
        <x:v>#NAME?</x:v>
      </x:c>
      <x:c r="C216" s="146" t="e">
        <x:f>IF($A216="","",[1]!thsiFinD("ths_adjustment_nv_fund",C$3,$A216))</x:f>
        <x:v>#NAME?</x:v>
      </x:c>
      <x:c r="D216" s="146" t="e">
        <x:f>IF($A216="","",[1]!thsiFinD("ths_adjustment_nv_fund",D$3,$A216))</x:f>
        <x:v>#NAME?</x:v>
      </x:c>
      <x:c r="E216" s="146" t="e">
        <x:f>IF($A216="","",[1]!thsiFinD("ths_adjustment_nv_fund",E$3,$A216))</x:f>
        <x:v>#NAME?</x:v>
      </x:c>
      <x:c r="F216" s="146" t="e">
        <x:f>IF($A216="","",[1]!thsiFinD("ths_adjustment_nv_fund",F$3,$A216))</x:f>
        <x:v>#NAME?</x:v>
      </x:c>
      <x:c r="G216" s="146" t="e">
        <x:f>IF($A216="","",[1]!thsiFinD("ths_adjustment_nv_fund",G$3,$A216))</x:f>
        <x:v>#NAME?</x:v>
      </x:c>
      <x:c r="H216" s="146" t="e">
        <x:f>IF($A216="","",[1]!thsiFinD("ths_adjustment_nv_fund",H$3,$A216))</x:f>
        <x:v>#NAME?</x:v>
      </x:c>
      <x:c r="I216" s="146" t="e">
        <x:f>IF($A216="","",[1]!thsiFinD("ths_adjustment_nv_fund",I$3,$A216))</x:f>
        <x:v>#NAME?</x:v>
      </x:c>
      <x:c r="J216" s="146" t="e">
        <x:f>IF($A216="","",[1]!thsiFinD("ths_adjustment_nv_fund",J$3,$A216))</x:f>
        <x:v>#NAME?</x:v>
      </x:c>
      <x:c r="K216" s="146" t="e">
        <x:f>IF($A216="","",[1]!thsiFinD("ths_adjustment_nv_fund",K$3,$A216))</x:f>
        <x:v>#NAME?</x:v>
      </x:c>
      <x:c r="L216" s="146" t="e">
        <x:f>IF($A216="","",[1]!thsiFinD("ths_adjustment_nv_fund",L$3,$A216))</x:f>
        <x:v>#NAME?</x:v>
      </x:c>
      <x:c r="M216" s="146" t="e">
        <x:f>IF($A216="","",[1]!thsiFinD("ths_adjustment_nv_fund",M$3,$A216))</x:f>
        <x:v>#NAME?</x:v>
      </x:c>
      <x:c r="N216" s="146" t="e">
        <x:f>IF($A216="","",[1]!thsiFinD("ths_adjustment_nv_fund",N$3,$A216))</x:f>
        <x:v>#NAME?</x:v>
      </x:c>
      <x:c r="O216" s="146" t="e">
        <x:f>IF($A216="","",[1]!thsiFinD("ths_adjustment_nv_fund",O$3,$A216))</x:f>
        <x:v>#NAME?</x:v>
      </x:c>
      <x:c r="P216" s="146" t="e">
        <x:f>IF($A216="","",[1]!thsiFinD("ths_adjustment_nv_fund",P$3,$A216))</x:f>
        <x:v>#NAME?</x:v>
      </x:c>
      <x:c r="Q216" s="146" t="e">
        <x:f>IF($A216="","",[1]!thsiFinD("ths_adjustment_nv_fund",Q$3,$A216))</x:f>
        <x:v>#NAME?</x:v>
      </x:c>
      <x:c r="R216" s="146" t="e">
        <x:f>IF($A216="","",[1]!thsiFinD("ths_adjustment_nv_fund",R$3,$A216))</x:f>
        <x:v>#NAME?</x:v>
      </x:c>
      <x:c r="S216" s="146" t="e">
        <x:f>IF($A216="","",[1]!thsiFinD("ths_adjustment_nv_fund",S$3,$A216))</x:f>
        <x:v>#NAME?</x:v>
      </x:c>
      <x:c r="T216" s="146" t="e">
        <x:f>IF($A216="","",[1]!thsiFinD("ths_adjustment_nv_fund",T$3,$A216))</x:f>
        <x:v>#NAME?</x:v>
      </x:c>
      <x:c r="U216" s="146" t="e">
        <x:f>IF($A216="","",[1]!thsiFinD("ths_adjustment_nv_fund",U$3,$A216))</x:f>
        <x:v>#NAME?</x:v>
      </x:c>
      <x:c r="V216" s="146" t="e">
        <x:f>IF($A216="","",[1]!thsiFinD("ths_adjustment_nv_fund",V$3,$A216))</x:f>
        <x:v>#NAME?</x:v>
      </x:c>
      <x:c r="W216" s="146" t="e">
        <x:f>IF($A216="","",[1]!thsiFinD("ths_adjustment_nv_fund",W$3,$A216))</x:f>
        <x:v>#NAME?</x:v>
      </x:c>
      <x:c r="X216" s="146" t="e">
        <x:f>IF($A216="","",[1]!thsiFinD("ths_adjustment_nv_fund",X$3,$A216))</x:f>
        <x:v>#NAME?</x:v>
      </x:c>
      <x:c r="Y216" s="146" t="e">
        <x:f>IF($A216="","",[1]!thsiFinD("ths_adjustment_nv_fund",Y$3,$A216))</x:f>
        <x:v>#NAME?</x:v>
      </x:c>
      <x:c r="Z216" s="146" t="e">
        <x:f>IF($A216="","",[1]!thsiFinD("ths_adjustment_nv_fund",Z$3,$A216))</x:f>
        <x:v>#NAME?</x:v>
      </x:c>
      <x:c r="AA216" s="146" t="e">
        <x:f>IF($A216="","",[1]!thsiFinD("ths_adjustment_nv_fund",AA$3,$A216))</x:f>
        <x:v>#NAME?</x:v>
      </x:c>
    </x:row>
    <x:row r="217">
      <x:c r="B217" s="146" t="e">
        <x:f>IF($A217="","",[1]!thsiFinD("ths_adjustment_nv_fund",B$3,$A217))</x:f>
        <x:v>#NAME?</x:v>
      </x:c>
      <x:c r="C217" s="146" t="e">
        <x:f>IF($A217="","",[1]!thsiFinD("ths_adjustment_nv_fund",C$3,$A217))</x:f>
        <x:v>#NAME?</x:v>
      </x:c>
      <x:c r="D217" s="146" t="e">
        <x:f>IF($A217="","",[1]!thsiFinD("ths_adjustment_nv_fund",D$3,$A217))</x:f>
        <x:v>#NAME?</x:v>
      </x:c>
      <x:c r="E217" s="146" t="e">
        <x:f>IF($A217="","",[1]!thsiFinD("ths_adjustment_nv_fund",E$3,$A217))</x:f>
        <x:v>#NAME?</x:v>
      </x:c>
      <x:c r="F217" s="146" t="e">
        <x:f>IF($A217="","",[1]!thsiFinD("ths_adjustment_nv_fund",F$3,$A217))</x:f>
        <x:v>#NAME?</x:v>
      </x:c>
      <x:c r="G217" s="146" t="e">
        <x:f>IF($A217="","",[1]!thsiFinD("ths_adjustment_nv_fund",G$3,$A217))</x:f>
        <x:v>#NAME?</x:v>
      </x:c>
      <x:c r="H217" s="146" t="e">
        <x:f>IF($A217="","",[1]!thsiFinD("ths_adjustment_nv_fund",H$3,$A217))</x:f>
        <x:v>#NAME?</x:v>
      </x:c>
      <x:c r="I217" s="146" t="e">
        <x:f>IF($A217="","",[1]!thsiFinD("ths_adjustment_nv_fund",I$3,$A217))</x:f>
        <x:v>#NAME?</x:v>
      </x:c>
      <x:c r="J217" s="146" t="e">
        <x:f>IF($A217="","",[1]!thsiFinD("ths_adjustment_nv_fund",J$3,$A217))</x:f>
        <x:v>#NAME?</x:v>
      </x:c>
      <x:c r="K217" s="146" t="e">
        <x:f>IF($A217="","",[1]!thsiFinD("ths_adjustment_nv_fund",K$3,$A217))</x:f>
        <x:v>#NAME?</x:v>
      </x:c>
      <x:c r="L217" s="146" t="e">
        <x:f>IF($A217="","",[1]!thsiFinD("ths_adjustment_nv_fund",L$3,$A217))</x:f>
        <x:v>#NAME?</x:v>
      </x:c>
      <x:c r="M217" s="146" t="e">
        <x:f>IF($A217="","",[1]!thsiFinD("ths_adjustment_nv_fund",M$3,$A217))</x:f>
        <x:v>#NAME?</x:v>
      </x:c>
      <x:c r="N217" s="146" t="e">
        <x:f>IF($A217="","",[1]!thsiFinD("ths_adjustment_nv_fund",N$3,$A217))</x:f>
        <x:v>#NAME?</x:v>
      </x:c>
      <x:c r="O217" s="146" t="e">
        <x:f>IF($A217="","",[1]!thsiFinD("ths_adjustment_nv_fund",O$3,$A217))</x:f>
        <x:v>#NAME?</x:v>
      </x:c>
      <x:c r="P217" s="146" t="e">
        <x:f>IF($A217="","",[1]!thsiFinD("ths_adjustment_nv_fund",P$3,$A217))</x:f>
        <x:v>#NAME?</x:v>
      </x:c>
      <x:c r="Q217" s="146" t="e">
        <x:f>IF($A217="","",[1]!thsiFinD("ths_adjustment_nv_fund",Q$3,$A217))</x:f>
        <x:v>#NAME?</x:v>
      </x:c>
      <x:c r="R217" s="146" t="e">
        <x:f>IF($A217="","",[1]!thsiFinD("ths_adjustment_nv_fund",R$3,$A217))</x:f>
        <x:v>#NAME?</x:v>
      </x:c>
      <x:c r="S217" s="146" t="e">
        <x:f>IF($A217="","",[1]!thsiFinD("ths_adjustment_nv_fund",S$3,$A217))</x:f>
        <x:v>#NAME?</x:v>
      </x:c>
      <x:c r="T217" s="146" t="e">
        <x:f>IF($A217="","",[1]!thsiFinD("ths_adjustment_nv_fund",T$3,$A217))</x:f>
        <x:v>#NAME?</x:v>
      </x:c>
      <x:c r="U217" s="146" t="e">
        <x:f>IF($A217="","",[1]!thsiFinD("ths_adjustment_nv_fund",U$3,$A217))</x:f>
        <x:v>#NAME?</x:v>
      </x:c>
      <x:c r="V217" s="146" t="e">
        <x:f>IF($A217="","",[1]!thsiFinD("ths_adjustment_nv_fund",V$3,$A217))</x:f>
        <x:v>#NAME?</x:v>
      </x:c>
      <x:c r="W217" s="146" t="e">
        <x:f>IF($A217="","",[1]!thsiFinD("ths_adjustment_nv_fund",W$3,$A217))</x:f>
        <x:v>#NAME?</x:v>
      </x:c>
      <x:c r="X217" s="146" t="e">
        <x:f>IF($A217="","",[1]!thsiFinD("ths_adjustment_nv_fund",X$3,$A217))</x:f>
        <x:v>#NAME?</x:v>
      </x:c>
      <x:c r="Y217" s="146" t="e">
        <x:f>IF($A217="","",[1]!thsiFinD("ths_adjustment_nv_fund",Y$3,$A217))</x:f>
        <x:v>#NAME?</x:v>
      </x:c>
      <x:c r="Z217" s="146" t="e">
        <x:f>IF($A217="","",[1]!thsiFinD("ths_adjustment_nv_fund",Z$3,$A217))</x:f>
        <x:v>#NAME?</x:v>
      </x:c>
      <x:c r="AA217" s="146" t="e">
        <x:f>IF($A217="","",[1]!thsiFinD("ths_adjustment_nv_fund",AA$3,$A217))</x:f>
        <x:v>#NAME?</x:v>
      </x:c>
    </x:row>
    <x:row r="218">
      <x:c r="B218" s="146" t="e">
        <x:f>IF($A218="","",[1]!thsiFinD("ths_adjustment_nv_fund",B$3,$A218))</x:f>
        <x:v>#NAME?</x:v>
      </x:c>
      <x:c r="C218" s="146" t="e">
        <x:f>IF($A218="","",[1]!thsiFinD("ths_adjustment_nv_fund",C$3,$A218))</x:f>
        <x:v>#NAME?</x:v>
      </x:c>
      <x:c r="D218" s="146" t="e">
        <x:f>IF($A218="","",[1]!thsiFinD("ths_adjustment_nv_fund",D$3,$A218))</x:f>
        <x:v>#NAME?</x:v>
      </x:c>
      <x:c r="E218" s="146" t="e">
        <x:f>IF($A218="","",[1]!thsiFinD("ths_adjustment_nv_fund",E$3,$A218))</x:f>
        <x:v>#NAME?</x:v>
      </x:c>
      <x:c r="F218" s="146" t="e">
        <x:f>IF($A218="","",[1]!thsiFinD("ths_adjustment_nv_fund",F$3,$A218))</x:f>
        <x:v>#NAME?</x:v>
      </x:c>
      <x:c r="G218" s="146" t="e">
        <x:f>IF($A218="","",[1]!thsiFinD("ths_adjustment_nv_fund",G$3,$A218))</x:f>
        <x:v>#NAME?</x:v>
      </x:c>
      <x:c r="H218" s="146" t="e">
        <x:f>IF($A218="","",[1]!thsiFinD("ths_adjustment_nv_fund",H$3,$A218))</x:f>
        <x:v>#NAME?</x:v>
      </x:c>
      <x:c r="I218" s="146" t="e">
        <x:f>IF($A218="","",[1]!thsiFinD("ths_adjustment_nv_fund",I$3,$A218))</x:f>
        <x:v>#NAME?</x:v>
      </x:c>
      <x:c r="J218" s="146" t="e">
        <x:f>IF($A218="","",[1]!thsiFinD("ths_adjustment_nv_fund",J$3,$A218))</x:f>
        <x:v>#NAME?</x:v>
      </x:c>
      <x:c r="K218" s="146" t="e">
        <x:f>IF($A218="","",[1]!thsiFinD("ths_adjustment_nv_fund",K$3,$A218))</x:f>
        <x:v>#NAME?</x:v>
      </x:c>
      <x:c r="L218" s="146" t="e">
        <x:f>IF($A218="","",[1]!thsiFinD("ths_adjustment_nv_fund",L$3,$A218))</x:f>
        <x:v>#NAME?</x:v>
      </x:c>
      <x:c r="M218" s="146" t="e">
        <x:f>IF($A218="","",[1]!thsiFinD("ths_adjustment_nv_fund",M$3,$A218))</x:f>
        <x:v>#NAME?</x:v>
      </x:c>
      <x:c r="N218" s="146" t="e">
        <x:f>IF($A218="","",[1]!thsiFinD("ths_adjustment_nv_fund",N$3,$A218))</x:f>
        <x:v>#NAME?</x:v>
      </x:c>
      <x:c r="O218" s="146" t="e">
        <x:f>IF($A218="","",[1]!thsiFinD("ths_adjustment_nv_fund",O$3,$A218))</x:f>
        <x:v>#NAME?</x:v>
      </x:c>
      <x:c r="P218" s="146" t="e">
        <x:f>IF($A218="","",[1]!thsiFinD("ths_adjustment_nv_fund",P$3,$A218))</x:f>
        <x:v>#NAME?</x:v>
      </x:c>
      <x:c r="Q218" s="146" t="e">
        <x:f>IF($A218="","",[1]!thsiFinD("ths_adjustment_nv_fund",Q$3,$A218))</x:f>
        <x:v>#NAME?</x:v>
      </x:c>
      <x:c r="R218" s="146" t="e">
        <x:f>IF($A218="","",[1]!thsiFinD("ths_adjustment_nv_fund",R$3,$A218))</x:f>
        <x:v>#NAME?</x:v>
      </x:c>
      <x:c r="S218" s="146" t="e">
        <x:f>IF($A218="","",[1]!thsiFinD("ths_adjustment_nv_fund",S$3,$A218))</x:f>
        <x:v>#NAME?</x:v>
      </x:c>
      <x:c r="T218" s="146" t="e">
        <x:f>IF($A218="","",[1]!thsiFinD("ths_adjustment_nv_fund",T$3,$A218))</x:f>
        <x:v>#NAME?</x:v>
      </x:c>
      <x:c r="U218" s="146" t="e">
        <x:f>IF($A218="","",[1]!thsiFinD("ths_adjustment_nv_fund",U$3,$A218))</x:f>
        <x:v>#NAME?</x:v>
      </x:c>
      <x:c r="V218" s="146" t="e">
        <x:f>IF($A218="","",[1]!thsiFinD("ths_adjustment_nv_fund",V$3,$A218))</x:f>
        <x:v>#NAME?</x:v>
      </x:c>
      <x:c r="W218" s="146" t="e">
        <x:f>IF($A218="","",[1]!thsiFinD("ths_adjustment_nv_fund",W$3,$A218))</x:f>
        <x:v>#NAME?</x:v>
      </x:c>
      <x:c r="X218" s="146" t="e">
        <x:f>IF($A218="","",[1]!thsiFinD("ths_adjustment_nv_fund",X$3,$A218))</x:f>
        <x:v>#NAME?</x:v>
      </x:c>
      <x:c r="Y218" s="146" t="e">
        <x:f>IF($A218="","",[1]!thsiFinD("ths_adjustment_nv_fund",Y$3,$A218))</x:f>
        <x:v>#NAME?</x:v>
      </x:c>
      <x:c r="Z218" s="146" t="e">
        <x:f>IF($A218="","",[1]!thsiFinD("ths_adjustment_nv_fund",Z$3,$A218))</x:f>
        <x:v>#NAME?</x:v>
      </x:c>
      <x:c r="AA218" s="146" t="e">
        <x:f>IF($A218="","",[1]!thsiFinD("ths_adjustment_nv_fund",AA$3,$A218))</x:f>
        <x:v>#NAME?</x:v>
      </x:c>
    </x:row>
    <x:row r="219">
      <x:c r="B219" s="146" t="e">
        <x:f>IF($A219="","",[1]!thsiFinD("ths_adjustment_nv_fund",B$3,$A219))</x:f>
        <x:v>#NAME?</x:v>
      </x:c>
      <x:c r="C219" s="146" t="e">
        <x:f>IF($A219="","",[1]!thsiFinD("ths_adjustment_nv_fund",C$3,$A219))</x:f>
        <x:v>#NAME?</x:v>
      </x:c>
      <x:c r="D219" s="146" t="e">
        <x:f>IF($A219="","",[1]!thsiFinD("ths_adjustment_nv_fund",D$3,$A219))</x:f>
        <x:v>#NAME?</x:v>
      </x:c>
      <x:c r="E219" s="146" t="e">
        <x:f>IF($A219="","",[1]!thsiFinD("ths_adjustment_nv_fund",E$3,$A219))</x:f>
        <x:v>#NAME?</x:v>
      </x:c>
      <x:c r="F219" s="146" t="e">
        <x:f>IF($A219="","",[1]!thsiFinD("ths_adjustment_nv_fund",F$3,$A219))</x:f>
        <x:v>#NAME?</x:v>
      </x:c>
      <x:c r="G219" s="146" t="e">
        <x:f>IF($A219="","",[1]!thsiFinD("ths_adjustment_nv_fund",G$3,$A219))</x:f>
        <x:v>#NAME?</x:v>
      </x:c>
      <x:c r="H219" s="146" t="e">
        <x:f>IF($A219="","",[1]!thsiFinD("ths_adjustment_nv_fund",H$3,$A219))</x:f>
        <x:v>#NAME?</x:v>
      </x:c>
      <x:c r="I219" s="146" t="e">
        <x:f>IF($A219="","",[1]!thsiFinD("ths_adjustment_nv_fund",I$3,$A219))</x:f>
        <x:v>#NAME?</x:v>
      </x:c>
      <x:c r="J219" s="146" t="e">
        <x:f>IF($A219="","",[1]!thsiFinD("ths_adjustment_nv_fund",J$3,$A219))</x:f>
        <x:v>#NAME?</x:v>
      </x:c>
      <x:c r="K219" s="146" t="e">
        <x:f>IF($A219="","",[1]!thsiFinD("ths_adjustment_nv_fund",K$3,$A219))</x:f>
        <x:v>#NAME?</x:v>
      </x:c>
      <x:c r="L219" s="146" t="e">
        <x:f>IF($A219="","",[1]!thsiFinD("ths_adjustment_nv_fund",L$3,$A219))</x:f>
        <x:v>#NAME?</x:v>
      </x:c>
      <x:c r="M219" s="146" t="e">
        <x:f>IF($A219="","",[1]!thsiFinD("ths_adjustment_nv_fund",M$3,$A219))</x:f>
        <x:v>#NAME?</x:v>
      </x:c>
      <x:c r="N219" s="146" t="e">
        <x:f>IF($A219="","",[1]!thsiFinD("ths_adjustment_nv_fund",N$3,$A219))</x:f>
        <x:v>#NAME?</x:v>
      </x:c>
      <x:c r="O219" s="146" t="e">
        <x:f>IF($A219="","",[1]!thsiFinD("ths_adjustment_nv_fund",O$3,$A219))</x:f>
        <x:v>#NAME?</x:v>
      </x:c>
      <x:c r="P219" s="146" t="e">
        <x:f>IF($A219="","",[1]!thsiFinD("ths_adjustment_nv_fund",P$3,$A219))</x:f>
        <x:v>#NAME?</x:v>
      </x:c>
      <x:c r="Q219" s="146" t="e">
        <x:f>IF($A219="","",[1]!thsiFinD("ths_adjustment_nv_fund",Q$3,$A219))</x:f>
        <x:v>#NAME?</x:v>
      </x:c>
      <x:c r="R219" s="146" t="e">
        <x:f>IF($A219="","",[1]!thsiFinD("ths_adjustment_nv_fund",R$3,$A219))</x:f>
        <x:v>#NAME?</x:v>
      </x:c>
      <x:c r="S219" s="146" t="e">
        <x:f>IF($A219="","",[1]!thsiFinD("ths_adjustment_nv_fund",S$3,$A219))</x:f>
        <x:v>#NAME?</x:v>
      </x:c>
      <x:c r="T219" s="146" t="e">
        <x:f>IF($A219="","",[1]!thsiFinD("ths_adjustment_nv_fund",T$3,$A219))</x:f>
        <x:v>#NAME?</x:v>
      </x:c>
      <x:c r="U219" s="146" t="e">
        <x:f>IF($A219="","",[1]!thsiFinD("ths_adjustment_nv_fund",U$3,$A219))</x:f>
        <x:v>#NAME?</x:v>
      </x:c>
      <x:c r="V219" s="146" t="e">
        <x:f>IF($A219="","",[1]!thsiFinD("ths_adjustment_nv_fund",V$3,$A219))</x:f>
        <x:v>#NAME?</x:v>
      </x:c>
      <x:c r="W219" s="146" t="e">
        <x:f>IF($A219="","",[1]!thsiFinD("ths_adjustment_nv_fund",W$3,$A219))</x:f>
        <x:v>#NAME?</x:v>
      </x:c>
      <x:c r="X219" s="146" t="e">
        <x:f>IF($A219="","",[1]!thsiFinD("ths_adjustment_nv_fund",X$3,$A219))</x:f>
        <x:v>#NAME?</x:v>
      </x:c>
      <x:c r="Y219" s="146" t="e">
        <x:f>IF($A219="","",[1]!thsiFinD("ths_adjustment_nv_fund",Y$3,$A219))</x:f>
        <x:v>#NAME?</x:v>
      </x:c>
      <x:c r="Z219" s="146" t="e">
        <x:f>IF($A219="","",[1]!thsiFinD("ths_adjustment_nv_fund",Z$3,$A219))</x:f>
        <x:v>#NAME?</x:v>
      </x:c>
      <x:c r="AA219" s="146" t="e">
        <x:f>IF($A219="","",[1]!thsiFinD("ths_adjustment_nv_fund",AA$3,$A219))</x:f>
        <x:v>#NAME?</x:v>
      </x:c>
    </x:row>
    <x:row r="220">
      <x:c r="B220" s="146" t="e">
        <x:f>IF($A220="","",[1]!thsiFinD("ths_adjustment_nv_fund",B$3,$A220))</x:f>
        <x:v>#NAME?</x:v>
      </x:c>
      <x:c r="C220" s="146" t="e">
        <x:f>IF($A220="","",[1]!thsiFinD("ths_adjustment_nv_fund",C$3,$A220))</x:f>
        <x:v>#NAME?</x:v>
      </x:c>
      <x:c r="D220" s="146" t="e">
        <x:f>IF($A220="","",[1]!thsiFinD("ths_adjustment_nv_fund",D$3,$A220))</x:f>
        <x:v>#NAME?</x:v>
      </x:c>
      <x:c r="E220" s="146" t="e">
        <x:f>IF($A220="","",[1]!thsiFinD("ths_adjustment_nv_fund",E$3,$A220))</x:f>
        <x:v>#NAME?</x:v>
      </x:c>
      <x:c r="F220" s="146" t="e">
        <x:f>IF($A220="","",[1]!thsiFinD("ths_adjustment_nv_fund",F$3,$A220))</x:f>
        <x:v>#NAME?</x:v>
      </x:c>
      <x:c r="G220" s="146" t="e">
        <x:f>IF($A220="","",[1]!thsiFinD("ths_adjustment_nv_fund",G$3,$A220))</x:f>
        <x:v>#NAME?</x:v>
      </x:c>
      <x:c r="H220" s="146" t="e">
        <x:f>IF($A220="","",[1]!thsiFinD("ths_adjustment_nv_fund",H$3,$A220))</x:f>
        <x:v>#NAME?</x:v>
      </x:c>
      <x:c r="I220" s="146" t="e">
        <x:f>IF($A220="","",[1]!thsiFinD("ths_adjustment_nv_fund",I$3,$A220))</x:f>
        <x:v>#NAME?</x:v>
      </x:c>
      <x:c r="J220" s="146" t="e">
        <x:f>IF($A220="","",[1]!thsiFinD("ths_adjustment_nv_fund",J$3,$A220))</x:f>
        <x:v>#NAME?</x:v>
      </x:c>
      <x:c r="K220" s="146" t="e">
        <x:f>IF($A220="","",[1]!thsiFinD("ths_adjustment_nv_fund",K$3,$A220))</x:f>
        <x:v>#NAME?</x:v>
      </x:c>
      <x:c r="L220" s="146" t="e">
        <x:f>IF($A220="","",[1]!thsiFinD("ths_adjustment_nv_fund",L$3,$A220))</x:f>
        <x:v>#NAME?</x:v>
      </x:c>
      <x:c r="M220" s="146" t="e">
        <x:f>IF($A220="","",[1]!thsiFinD("ths_adjustment_nv_fund",M$3,$A220))</x:f>
        <x:v>#NAME?</x:v>
      </x:c>
      <x:c r="N220" s="146" t="e">
        <x:f>IF($A220="","",[1]!thsiFinD("ths_adjustment_nv_fund",N$3,$A220))</x:f>
        <x:v>#NAME?</x:v>
      </x:c>
      <x:c r="O220" s="146" t="e">
        <x:f>IF($A220="","",[1]!thsiFinD("ths_adjustment_nv_fund",O$3,$A220))</x:f>
        <x:v>#NAME?</x:v>
      </x:c>
      <x:c r="P220" s="146" t="e">
        <x:f>IF($A220="","",[1]!thsiFinD("ths_adjustment_nv_fund",P$3,$A220))</x:f>
        <x:v>#NAME?</x:v>
      </x:c>
      <x:c r="Q220" s="146" t="e">
        <x:f>IF($A220="","",[1]!thsiFinD("ths_adjustment_nv_fund",Q$3,$A220))</x:f>
        <x:v>#NAME?</x:v>
      </x:c>
      <x:c r="R220" s="146" t="e">
        <x:f>IF($A220="","",[1]!thsiFinD("ths_adjustment_nv_fund",R$3,$A220))</x:f>
        <x:v>#NAME?</x:v>
      </x:c>
      <x:c r="S220" s="146" t="e">
        <x:f>IF($A220="","",[1]!thsiFinD("ths_adjustment_nv_fund",S$3,$A220))</x:f>
        <x:v>#NAME?</x:v>
      </x:c>
      <x:c r="T220" s="146" t="e">
        <x:f>IF($A220="","",[1]!thsiFinD("ths_adjustment_nv_fund",T$3,$A220))</x:f>
        <x:v>#NAME?</x:v>
      </x:c>
      <x:c r="U220" s="146" t="e">
        <x:f>IF($A220="","",[1]!thsiFinD("ths_adjustment_nv_fund",U$3,$A220))</x:f>
        <x:v>#NAME?</x:v>
      </x:c>
      <x:c r="V220" s="146" t="e">
        <x:f>IF($A220="","",[1]!thsiFinD("ths_adjustment_nv_fund",V$3,$A220))</x:f>
        <x:v>#NAME?</x:v>
      </x:c>
      <x:c r="W220" s="146" t="e">
        <x:f>IF($A220="","",[1]!thsiFinD("ths_adjustment_nv_fund",W$3,$A220))</x:f>
        <x:v>#NAME?</x:v>
      </x:c>
      <x:c r="X220" s="146" t="e">
        <x:f>IF($A220="","",[1]!thsiFinD("ths_adjustment_nv_fund",X$3,$A220))</x:f>
        <x:v>#NAME?</x:v>
      </x:c>
      <x:c r="Y220" s="146" t="e">
        <x:f>IF($A220="","",[1]!thsiFinD("ths_adjustment_nv_fund",Y$3,$A220))</x:f>
        <x:v>#NAME?</x:v>
      </x:c>
      <x:c r="Z220" s="146" t="e">
        <x:f>IF($A220="","",[1]!thsiFinD("ths_adjustment_nv_fund",Z$3,$A220))</x:f>
        <x:v>#NAME?</x:v>
      </x:c>
      <x:c r="AA220" s="146" t="e">
        <x:f>IF($A220="","",[1]!thsiFinD("ths_adjustment_nv_fund",AA$3,$A220))</x:f>
        <x:v>#NAME?</x:v>
      </x:c>
    </x:row>
    <x:row r="221">
      <x:c r="B221" s="146" t="e">
        <x:f>IF($A221="","",[1]!thsiFinD("ths_adjustment_nv_fund",B$3,$A221))</x:f>
        <x:v>#NAME?</x:v>
      </x:c>
      <x:c r="C221" s="146" t="e">
        <x:f>IF($A221="","",[1]!thsiFinD("ths_adjustment_nv_fund",C$3,$A221))</x:f>
        <x:v>#NAME?</x:v>
      </x:c>
      <x:c r="D221" s="146" t="e">
        <x:f>IF($A221="","",[1]!thsiFinD("ths_adjustment_nv_fund",D$3,$A221))</x:f>
        <x:v>#NAME?</x:v>
      </x:c>
      <x:c r="E221" s="146" t="e">
        <x:f>IF($A221="","",[1]!thsiFinD("ths_adjustment_nv_fund",E$3,$A221))</x:f>
        <x:v>#NAME?</x:v>
      </x:c>
      <x:c r="F221" s="146" t="e">
        <x:f>IF($A221="","",[1]!thsiFinD("ths_adjustment_nv_fund",F$3,$A221))</x:f>
        <x:v>#NAME?</x:v>
      </x:c>
      <x:c r="G221" s="146" t="e">
        <x:f>IF($A221="","",[1]!thsiFinD("ths_adjustment_nv_fund",G$3,$A221))</x:f>
        <x:v>#NAME?</x:v>
      </x:c>
      <x:c r="H221" s="146" t="e">
        <x:f>IF($A221="","",[1]!thsiFinD("ths_adjustment_nv_fund",H$3,$A221))</x:f>
        <x:v>#NAME?</x:v>
      </x:c>
      <x:c r="I221" s="146" t="e">
        <x:f>IF($A221="","",[1]!thsiFinD("ths_adjustment_nv_fund",I$3,$A221))</x:f>
        <x:v>#NAME?</x:v>
      </x:c>
      <x:c r="J221" s="146" t="e">
        <x:f>IF($A221="","",[1]!thsiFinD("ths_adjustment_nv_fund",J$3,$A221))</x:f>
        <x:v>#NAME?</x:v>
      </x:c>
      <x:c r="K221" s="146" t="e">
        <x:f>IF($A221="","",[1]!thsiFinD("ths_adjustment_nv_fund",K$3,$A221))</x:f>
        <x:v>#NAME?</x:v>
      </x:c>
      <x:c r="L221" s="146" t="e">
        <x:f>IF($A221="","",[1]!thsiFinD("ths_adjustment_nv_fund",L$3,$A221))</x:f>
        <x:v>#NAME?</x:v>
      </x:c>
      <x:c r="M221" s="146" t="e">
        <x:f>IF($A221="","",[1]!thsiFinD("ths_adjustment_nv_fund",M$3,$A221))</x:f>
        <x:v>#NAME?</x:v>
      </x:c>
      <x:c r="N221" s="146" t="e">
        <x:f>IF($A221="","",[1]!thsiFinD("ths_adjustment_nv_fund",N$3,$A221))</x:f>
        <x:v>#NAME?</x:v>
      </x:c>
      <x:c r="O221" s="146" t="e">
        <x:f>IF($A221="","",[1]!thsiFinD("ths_adjustment_nv_fund",O$3,$A221))</x:f>
        <x:v>#NAME?</x:v>
      </x:c>
      <x:c r="P221" s="146" t="e">
        <x:f>IF($A221="","",[1]!thsiFinD("ths_adjustment_nv_fund",P$3,$A221))</x:f>
        <x:v>#NAME?</x:v>
      </x:c>
      <x:c r="Q221" s="146" t="e">
        <x:f>IF($A221="","",[1]!thsiFinD("ths_adjustment_nv_fund",Q$3,$A221))</x:f>
        <x:v>#NAME?</x:v>
      </x:c>
      <x:c r="R221" s="146" t="e">
        <x:f>IF($A221="","",[1]!thsiFinD("ths_adjustment_nv_fund",R$3,$A221))</x:f>
        <x:v>#NAME?</x:v>
      </x:c>
      <x:c r="S221" s="146" t="e">
        <x:f>IF($A221="","",[1]!thsiFinD("ths_adjustment_nv_fund",S$3,$A221))</x:f>
        <x:v>#NAME?</x:v>
      </x:c>
      <x:c r="T221" s="146" t="e">
        <x:f>IF($A221="","",[1]!thsiFinD("ths_adjustment_nv_fund",T$3,$A221))</x:f>
        <x:v>#NAME?</x:v>
      </x:c>
      <x:c r="U221" s="146" t="e">
        <x:f>IF($A221="","",[1]!thsiFinD("ths_adjustment_nv_fund",U$3,$A221))</x:f>
        <x:v>#NAME?</x:v>
      </x:c>
      <x:c r="V221" s="146" t="e">
        <x:f>IF($A221="","",[1]!thsiFinD("ths_adjustment_nv_fund",V$3,$A221))</x:f>
        <x:v>#NAME?</x:v>
      </x:c>
      <x:c r="W221" s="146" t="e">
        <x:f>IF($A221="","",[1]!thsiFinD("ths_adjustment_nv_fund",W$3,$A221))</x:f>
        <x:v>#NAME?</x:v>
      </x:c>
      <x:c r="X221" s="146" t="e">
        <x:f>IF($A221="","",[1]!thsiFinD("ths_adjustment_nv_fund",X$3,$A221))</x:f>
        <x:v>#NAME?</x:v>
      </x:c>
      <x:c r="Y221" s="146" t="e">
        <x:f>IF($A221="","",[1]!thsiFinD("ths_adjustment_nv_fund",Y$3,$A221))</x:f>
        <x:v>#NAME?</x:v>
      </x:c>
      <x:c r="Z221" s="146" t="e">
        <x:f>IF($A221="","",[1]!thsiFinD("ths_adjustment_nv_fund",Z$3,$A221))</x:f>
        <x:v>#NAME?</x:v>
      </x:c>
      <x:c r="AA221" s="146" t="e">
        <x:f>IF($A221="","",[1]!thsiFinD("ths_adjustment_nv_fund",AA$3,$A221))</x:f>
        <x:v>#NAME?</x:v>
      </x:c>
    </x:row>
    <x:row r="222">
      <x:c r="B222" s="146" t="e">
        <x:f>IF($A222="","",[1]!thsiFinD("ths_adjustment_nv_fund",B$3,$A222))</x:f>
        <x:v>#NAME?</x:v>
      </x:c>
      <x:c r="C222" s="146" t="e">
        <x:f>IF($A222="","",[1]!thsiFinD("ths_adjustment_nv_fund",C$3,$A222))</x:f>
        <x:v>#NAME?</x:v>
      </x:c>
      <x:c r="D222" s="146" t="e">
        <x:f>IF($A222="","",[1]!thsiFinD("ths_adjustment_nv_fund",D$3,$A222))</x:f>
        <x:v>#NAME?</x:v>
      </x:c>
      <x:c r="E222" s="146" t="e">
        <x:f>IF($A222="","",[1]!thsiFinD("ths_adjustment_nv_fund",E$3,$A222))</x:f>
        <x:v>#NAME?</x:v>
      </x:c>
      <x:c r="F222" s="146" t="e">
        <x:f>IF($A222="","",[1]!thsiFinD("ths_adjustment_nv_fund",F$3,$A222))</x:f>
        <x:v>#NAME?</x:v>
      </x:c>
      <x:c r="G222" s="146" t="e">
        <x:f>IF($A222="","",[1]!thsiFinD("ths_adjustment_nv_fund",G$3,$A222))</x:f>
        <x:v>#NAME?</x:v>
      </x:c>
      <x:c r="H222" s="146" t="e">
        <x:f>IF($A222="","",[1]!thsiFinD("ths_adjustment_nv_fund",H$3,$A222))</x:f>
        <x:v>#NAME?</x:v>
      </x:c>
      <x:c r="I222" s="146" t="e">
        <x:f>IF($A222="","",[1]!thsiFinD("ths_adjustment_nv_fund",I$3,$A222))</x:f>
        <x:v>#NAME?</x:v>
      </x:c>
      <x:c r="J222" s="146" t="e">
        <x:f>IF($A222="","",[1]!thsiFinD("ths_adjustment_nv_fund",J$3,$A222))</x:f>
        <x:v>#NAME?</x:v>
      </x:c>
      <x:c r="K222" s="146" t="e">
        <x:f>IF($A222="","",[1]!thsiFinD("ths_adjustment_nv_fund",K$3,$A222))</x:f>
        <x:v>#NAME?</x:v>
      </x:c>
      <x:c r="L222" s="146" t="e">
        <x:f>IF($A222="","",[1]!thsiFinD("ths_adjustment_nv_fund",L$3,$A222))</x:f>
        <x:v>#NAME?</x:v>
      </x:c>
      <x:c r="M222" s="146" t="e">
        <x:f>IF($A222="","",[1]!thsiFinD("ths_adjustment_nv_fund",M$3,$A222))</x:f>
        <x:v>#NAME?</x:v>
      </x:c>
      <x:c r="N222" s="146" t="e">
        <x:f>IF($A222="","",[1]!thsiFinD("ths_adjustment_nv_fund",N$3,$A222))</x:f>
        <x:v>#NAME?</x:v>
      </x:c>
      <x:c r="O222" s="146" t="e">
        <x:f>IF($A222="","",[1]!thsiFinD("ths_adjustment_nv_fund",O$3,$A222))</x:f>
        <x:v>#NAME?</x:v>
      </x:c>
      <x:c r="P222" s="146" t="e">
        <x:f>IF($A222="","",[1]!thsiFinD("ths_adjustment_nv_fund",P$3,$A222))</x:f>
        <x:v>#NAME?</x:v>
      </x:c>
      <x:c r="Q222" s="146" t="e">
        <x:f>IF($A222="","",[1]!thsiFinD("ths_adjustment_nv_fund",Q$3,$A222))</x:f>
        <x:v>#NAME?</x:v>
      </x:c>
      <x:c r="R222" s="146" t="e">
        <x:f>IF($A222="","",[1]!thsiFinD("ths_adjustment_nv_fund",R$3,$A222))</x:f>
        <x:v>#NAME?</x:v>
      </x:c>
      <x:c r="S222" s="146" t="e">
        <x:f>IF($A222="","",[1]!thsiFinD("ths_adjustment_nv_fund",S$3,$A222))</x:f>
        <x:v>#NAME?</x:v>
      </x:c>
      <x:c r="T222" s="146" t="e">
        <x:f>IF($A222="","",[1]!thsiFinD("ths_adjustment_nv_fund",T$3,$A222))</x:f>
        <x:v>#NAME?</x:v>
      </x:c>
      <x:c r="U222" s="146" t="e">
        <x:f>IF($A222="","",[1]!thsiFinD("ths_adjustment_nv_fund",U$3,$A222))</x:f>
        <x:v>#NAME?</x:v>
      </x:c>
      <x:c r="V222" s="146" t="e">
        <x:f>IF($A222="","",[1]!thsiFinD("ths_adjustment_nv_fund",V$3,$A222))</x:f>
        <x:v>#NAME?</x:v>
      </x:c>
      <x:c r="W222" s="146" t="e">
        <x:f>IF($A222="","",[1]!thsiFinD("ths_adjustment_nv_fund",W$3,$A222))</x:f>
        <x:v>#NAME?</x:v>
      </x:c>
      <x:c r="X222" s="146" t="e">
        <x:f>IF($A222="","",[1]!thsiFinD("ths_adjustment_nv_fund",X$3,$A222))</x:f>
        <x:v>#NAME?</x:v>
      </x:c>
      <x:c r="Y222" s="146" t="e">
        <x:f>IF($A222="","",[1]!thsiFinD("ths_adjustment_nv_fund",Y$3,$A222))</x:f>
        <x:v>#NAME?</x:v>
      </x:c>
      <x:c r="Z222" s="146" t="e">
        <x:f>IF($A222="","",[1]!thsiFinD("ths_adjustment_nv_fund",Z$3,$A222))</x:f>
        <x:v>#NAME?</x:v>
      </x:c>
      <x:c r="AA222" s="146" t="e">
        <x:f>IF($A222="","",[1]!thsiFinD("ths_adjustment_nv_fund",AA$3,$A222))</x:f>
        <x:v>#NAME?</x:v>
      </x:c>
    </x:row>
    <x:row r="223">
      <x:c r="B223" s="146" t="e">
        <x:f>IF($A223="","",[1]!thsiFinD("ths_adjustment_nv_fund",B$3,$A223))</x:f>
        <x:v>#NAME?</x:v>
      </x:c>
      <x:c r="C223" s="146" t="e">
        <x:f>IF($A223="","",[1]!thsiFinD("ths_adjustment_nv_fund",C$3,$A223))</x:f>
        <x:v>#NAME?</x:v>
      </x:c>
      <x:c r="D223" s="146" t="e">
        <x:f>IF($A223="","",[1]!thsiFinD("ths_adjustment_nv_fund",D$3,$A223))</x:f>
        <x:v>#NAME?</x:v>
      </x:c>
      <x:c r="E223" s="146" t="e">
        <x:f>IF($A223="","",[1]!thsiFinD("ths_adjustment_nv_fund",E$3,$A223))</x:f>
        <x:v>#NAME?</x:v>
      </x:c>
      <x:c r="F223" s="146" t="e">
        <x:f>IF($A223="","",[1]!thsiFinD("ths_adjustment_nv_fund",F$3,$A223))</x:f>
        <x:v>#NAME?</x:v>
      </x:c>
      <x:c r="G223" s="146" t="e">
        <x:f>IF($A223="","",[1]!thsiFinD("ths_adjustment_nv_fund",G$3,$A223))</x:f>
        <x:v>#NAME?</x:v>
      </x:c>
      <x:c r="H223" s="146" t="e">
        <x:f>IF($A223="","",[1]!thsiFinD("ths_adjustment_nv_fund",H$3,$A223))</x:f>
        <x:v>#NAME?</x:v>
      </x:c>
      <x:c r="I223" s="146" t="e">
        <x:f>IF($A223="","",[1]!thsiFinD("ths_adjustment_nv_fund",I$3,$A223))</x:f>
        <x:v>#NAME?</x:v>
      </x:c>
      <x:c r="J223" s="146" t="e">
        <x:f>IF($A223="","",[1]!thsiFinD("ths_adjustment_nv_fund",J$3,$A223))</x:f>
        <x:v>#NAME?</x:v>
      </x:c>
      <x:c r="K223" s="146" t="e">
        <x:f>IF($A223="","",[1]!thsiFinD("ths_adjustment_nv_fund",K$3,$A223))</x:f>
        <x:v>#NAME?</x:v>
      </x:c>
      <x:c r="L223" s="146" t="e">
        <x:f>IF($A223="","",[1]!thsiFinD("ths_adjustment_nv_fund",L$3,$A223))</x:f>
        <x:v>#NAME?</x:v>
      </x:c>
      <x:c r="M223" s="146" t="e">
        <x:f>IF($A223="","",[1]!thsiFinD("ths_adjustment_nv_fund",M$3,$A223))</x:f>
        <x:v>#NAME?</x:v>
      </x:c>
      <x:c r="N223" s="146" t="e">
        <x:f>IF($A223="","",[1]!thsiFinD("ths_adjustment_nv_fund",N$3,$A223))</x:f>
        <x:v>#NAME?</x:v>
      </x:c>
      <x:c r="O223" s="146" t="e">
        <x:f>IF($A223="","",[1]!thsiFinD("ths_adjustment_nv_fund",O$3,$A223))</x:f>
        <x:v>#NAME?</x:v>
      </x:c>
      <x:c r="P223" s="146" t="e">
        <x:f>IF($A223="","",[1]!thsiFinD("ths_adjustment_nv_fund",P$3,$A223))</x:f>
        <x:v>#NAME?</x:v>
      </x:c>
      <x:c r="Q223" s="146" t="e">
        <x:f>IF($A223="","",[1]!thsiFinD("ths_adjustment_nv_fund",Q$3,$A223))</x:f>
        <x:v>#NAME?</x:v>
      </x:c>
      <x:c r="R223" s="146" t="e">
        <x:f>IF($A223="","",[1]!thsiFinD("ths_adjustment_nv_fund",R$3,$A223))</x:f>
        <x:v>#NAME?</x:v>
      </x:c>
      <x:c r="S223" s="146" t="e">
        <x:f>IF($A223="","",[1]!thsiFinD("ths_adjustment_nv_fund",S$3,$A223))</x:f>
        <x:v>#NAME?</x:v>
      </x:c>
      <x:c r="T223" s="146" t="e">
        <x:f>IF($A223="","",[1]!thsiFinD("ths_adjustment_nv_fund",T$3,$A223))</x:f>
        <x:v>#NAME?</x:v>
      </x:c>
      <x:c r="U223" s="146" t="e">
        <x:f>IF($A223="","",[1]!thsiFinD("ths_adjustment_nv_fund",U$3,$A223))</x:f>
        <x:v>#NAME?</x:v>
      </x:c>
      <x:c r="V223" s="146" t="e">
        <x:f>IF($A223="","",[1]!thsiFinD("ths_adjustment_nv_fund",V$3,$A223))</x:f>
        <x:v>#NAME?</x:v>
      </x:c>
      <x:c r="W223" s="146" t="e">
        <x:f>IF($A223="","",[1]!thsiFinD("ths_adjustment_nv_fund",W$3,$A223))</x:f>
        <x:v>#NAME?</x:v>
      </x:c>
      <x:c r="X223" s="146" t="e">
        <x:f>IF($A223="","",[1]!thsiFinD("ths_adjustment_nv_fund",X$3,$A223))</x:f>
        <x:v>#NAME?</x:v>
      </x:c>
      <x:c r="Y223" s="146" t="e">
        <x:f>IF($A223="","",[1]!thsiFinD("ths_adjustment_nv_fund",Y$3,$A223))</x:f>
        <x:v>#NAME?</x:v>
      </x:c>
      <x:c r="Z223" s="146" t="e">
        <x:f>IF($A223="","",[1]!thsiFinD("ths_adjustment_nv_fund",Z$3,$A223))</x:f>
        <x:v>#NAME?</x:v>
      </x:c>
      <x:c r="AA223" s="146" t="e">
        <x:f>IF($A223="","",[1]!thsiFinD("ths_adjustment_nv_fund",AA$3,$A223))</x:f>
        <x:v>#NAME?</x:v>
      </x:c>
    </x:row>
    <x:row r="224">
      <x:c r="B224" s="146" t="e">
        <x:f>IF($A224="","",[1]!thsiFinD("ths_adjustment_nv_fund",B$3,$A224))</x:f>
        <x:v>#NAME?</x:v>
      </x:c>
      <x:c r="C224" s="146" t="e">
        <x:f>IF($A224="","",[1]!thsiFinD("ths_adjustment_nv_fund",C$3,$A224))</x:f>
        <x:v>#NAME?</x:v>
      </x:c>
      <x:c r="D224" s="146" t="e">
        <x:f>IF($A224="","",[1]!thsiFinD("ths_adjustment_nv_fund",D$3,$A224))</x:f>
        <x:v>#NAME?</x:v>
      </x:c>
      <x:c r="E224" s="146" t="e">
        <x:f>IF($A224="","",[1]!thsiFinD("ths_adjustment_nv_fund",E$3,$A224))</x:f>
        <x:v>#NAME?</x:v>
      </x:c>
      <x:c r="F224" s="146" t="e">
        <x:f>IF($A224="","",[1]!thsiFinD("ths_adjustment_nv_fund",F$3,$A224))</x:f>
        <x:v>#NAME?</x:v>
      </x:c>
      <x:c r="G224" s="146" t="e">
        <x:f>IF($A224="","",[1]!thsiFinD("ths_adjustment_nv_fund",G$3,$A224))</x:f>
        <x:v>#NAME?</x:v>
      </x:c>
      <x:c r="H224" s="146" t="e">
        <x:f>IF($A224="","",[1]!thsiFinD("ths_adjustment_nv_fund",H$3,$A224))</x:f>
        <x:v>#NAME?</x:v>
      </x:c>
      <x:c r="I224" s="146" t="e">
        <x:f>IF($A224="","",[1]!thsiFinD("ths_adjustment_nv_fund",I$3,$A224))</x:f>
        <x:v>#NAME?</x:v>
      </x:c>
      <x:c r="J224" s="146" t="e">
        <x:f>IF($A224="","",[1]!thsiFinD("ths_adjustment_nv_fund",J$3,$A224))</x:f>
        <x:v>#NAME?</x:v>
      </x:c>
      <x:c r="K224" s="146" t="e">
        <x:f>IF($A224="","",[1]!thsiFinD("ths_adjustment_nv_fund",K$3,$A224))</x:f>
        <x:v>#NAME?</x:v>
      </x:c>
      <x:c r="L224" s="146" t="e">
        <x:f>IF($A224="","",[1]!thsiFinD("ths_adjustment_nv_fund",L$3,$A224))</x:f>
        <x:v>#NAME?</x:v>
      </x:c>
      <x:c r="M224" s="146" t="e">
        <x:f>IF($A224="","",[1]!thsiFinD("ths_adjustment_nv_fund",M$3,$A224))</x:f>
        <x:v>#NAME?</x:v>
      </x:c>
      <x:c r="N224" s="146" t="e">
        <x:f>IF($A224="","",[1]!thsiFinD("ths_adjustment_nv_fund",N$3,$A224))</x:f>
        <x:v>#NAME?</x:v>
      </x:c>
      <x:c r="O224" s="146" t="e">
        <x:f>IF($A224="","",[1]!thsiFinD("ths_adjustment_nv_fund",O$3,$A224))</x:f>
        <x:v>#NAME?</x:v>
      </x:c>
      <x:c r="P224" s="146" t="e">
        <x:f>IF($A224="","",[1]!thsiFinD("ths_adjustment_nv_fund",P$3,$A224))</x:f>
        <x:v>#NAME?</x:v>
      </x:c>
      <x:c r="Q224" s="146" t="e">
        <x:f>IF($A224="","",[1]!thsiFinD("ths_adjustment_nv_fund",Q$3,$A224))</x:f>
        <x:v>#NAME?</x:v>
      </x:c>
      <x:c r="R224" s="146" t="e">
        <x:f>IF($A224="","",[1]!thsiFinD("ths_adjustment_nv_fund",R$3,$A224))</x:f>
        <x:v>#NAME?</x:v>
      </x:c>
      <x:c r="S224" s="146" t="e">
        <x:f>IF($A224="","",[1]!thsiFinD("ths_adjustment_nv_fund",S$3,$A224))</x:f>
        <x:v>#NAME?</x:v>
      </x:c>
      <x:c r="T224" s="146" t="e">
        <x:f>IF($A224="","",[1]!thsiFinD("ths_adjustment_nv_fund",T$3,$A224))</x:f>
        <x:v>#NAME?</x:v>
      </x:c>
      <x:c r="U224" s="146" t="e">
        <x:f>IF($A224="","",[1]!thsiFinD("ths_adjustment_nv_fund",U$3,$A224))</x:f>
        <x:v>#NAME?</x:v>
      </x:c>
      <x:c r="V224" s="146" t="e">
        <x:f>IF($A224="","",[1]!thsiFinD("ths_adjustment_nv_fund",V$3,$A224))</x:f>
        <x:v>#NAME?</x:v>
      </x:c>
      <x:c r="W224" s="146" t="e">
        <x:f>IF($A224="","",[1]!thsiFinD("ths_adjustment_nv_fund",W$3,$A224))</x:f>
        <x:v>#NAME?</x:v>
      </x:c>
      <x:c r="X224" s="146" t="e">
        <x:f>IF($A224="","",[1]!thsiFinD("ths_adjustment_nv_fund",X$3,$A224))</x:f>
        <x:v>#NAME?</x:v>
      </x:c>
      <x:c r="Y224" s="146" t="e">
        <x:f>IF($A224="","",[1]!thsiFinD("ths_adjustment_nv_fund",Y$3,$A224))</x:f>
        <x:v>#NAME?</x:v>
      </x:c>
      <x:c r="Z224" s="146" t="e">
        <x:f>IF($A224="","",[1]!thsiFinD("ths_adjustment_nv_fund",Z$3,$A224))</x:f>
        <x:v>#NAME?</x:v>
      </x:c>
      <x:c r="AA224" s="146" t="e">
        <x:f>IF($A224="","",[1]!thsiFinD("ths_adjustment_nv_fund",AA$3,$A224))</x:f>
        <x:v>#NAME?</x:v>
      </x:c>
    </x:row>
    <x:row r="225">
      <x:c r="B225" s="146" t="e">
        <x:f>IF($A225="","",[1]!thsiFinD("ths_adjustment_nv_fund",B$3,$A225))</x:f>
        <x:v>#NAME?</x:v>
      </x:c>
      <x:c r="C225" s="146" t="e">
        <x:f>IF($A225="","",[1]!thsiFinD("ths_adjustment_nv_fund",C$3,$A225))</x:f>
        <x:v>#NAME?</x:v>
      </x:c>
      <x:c r="D225" s="146" t="e">
        <x:f>IF($A225="","",[1]!thsiFinD("ths_adjustment_nv_fund",D$3,$A225))</x:f>
        <x:v>#NAME?</x:v>
      </x:c>
      <x:c r="E225" s="146" t="e">
        <x:f>IF($A225="","",[1]!thsiFinD("ths_adjustment_nv_fund",E$3,$A225))</x:f>
        <x:v>#NAME?</x:v>
      </x:c>
      <x:c r="F225" s="146" t="e">
        <x:f>IF($A225="","",[1]!thsiFinD("ths_adjustment_nv_fund",F$3,$A225))</x:f>
        <x:v>#NAME?</x:v>
      </x:c>
      <x:c r="G225" s="146" t="e">
        <x:f>IF($A225="","",[1]!thsiFinD("ths_adjustment_nv_fund",G$3,$A225))</x:f>
        <x:v>#NAME?</x:v>
      </x:c>
      <x:c r="H225" s="146" t="e">
        <x:f>IF($A225="","",[1]!thsiFinD("ths_adjustment_nv_fund",H$3,$A225))</x:f>
        <x:v>#NAME?</x:v>
      </x:c>
      <x:c r="I225" s="146" t="e">
        <x:f>IF($A225="","",[1]!thsiFinD("ths_adjustment_nv_fund",I$3,$A225))</x:f>
        <x:v>#NAME?</x:v>
      </x:c>
      <x:c r="J225" s="146" t="e">
        <x:f>IF($A225="","",[1]!thsiFinD("ths_adjustment_nv_fund",J$3,$A225))</x:f>
        <x:v>#NAME?</x:v>
      </x:c>
      <x:c r="K225" s="146" t="e">
        <x:f>IF($A225="","",[1]!thsiFinD("ths_adjustment_nv_fund",K$3,$A225))</x:f>
        <x:v>#NAME?</x:v>
      </x:c>
      <x:c r="L225" s="146" t="e">
        <x:f>IF($A225="","",[1]!thsiFinD("ths_adjustment_nv_fund",L$3,$A225))</x:f>
        <x:v>#NAME?</x:v>
      </x:c>
      <x:c r="M225" s="146" t="e">
        <x:f>IF($A225="","",[1]!thsiFinD("ths_adjustment_nv_fund",M$3,$A225))</x:f>
        <x:v>#NAME?</x:v>
      </x:c>
      <x:c r="N225" s="146" t="e">
        <x:f>IF($A225="","",[1]!thsiFinD("ths_adjustment_nv_fund",N$3,$A225))</x:f>
        <x:v>#NAME?</x:v>
      </x:c>
      <x:c r="O225" s="146" t="e">
        <x:f>IF($A225="","",[1]!thsiFinD("ths_adjustment_nv_fund",O$3,$A225))</x:f>
        <x:v>#NAME?</x:v>
      </x:c>
      <x:c r="P225" s="146" t="e">
        <x:f>IF($A225="","",[1]!thsiFinD("ths_adjustment_nv_fund",P$3,$A225))</x:f>
        <x:v>#NAME?</x:v>
      </x:c>
      <x:c r="Q225" s="146" t="e">
        <x:f>IF($A225="","",[1]!thsiFinD("ths_adjustment_nv_fund",Q$3,$A225))</x:f>
        <x:v>#NAME?</x:v>
      </x:c>
      <x:c r="R225" s="146" t="e">
        <x:f>IF($A225="","",[1]!thsiFinD("ths_adjustment_nv_fund",R$3,$A225))</x:f>
        <x:v>#NAME?</x:v>
      </x:c>
      <x:c r="S225" s="146" t="e">
        <x:f>IF($A225="","",[1]!thsiFinD("ths_adjustment_nv_fund",S$3,$A225))</x:f>
        <x:v>#NAME?</x:v>
      </x:c>
      <x:c r="T225" s="146" t="e">
        <x:f>IF($A225="","",[1]!thsiFinD("ths_adjustment_nv_fund",T$3,$A225))</x:f>
        <x:v>#NAME?</x:v>
      </x:c>
      <x:c r="U225" s="146" t="e">
        <x:f>IF($A225="","",[1]!thsiFinD("ths_adjustment_nv_fund",U$3,$A225))</x:f>
        <x:v>#NAME?</x:v>
      </x:c>
      <x:c r="V225" s="146" t="e">
        <x:f>IF($A225="","",[1]!thsiFinD("ths_adjustment_nv_fund",V$3,$A225))</x:f>
        <x:v>#NAME?</x:v>
      </x:c>
      <x:c r="W225" s="146" t="e">
        <x:f>IF($A225="","",[1]!thsiFinD("ths_adjustment_nv_fund",W$3,$A225))</x:f>
        <x:v>#NAME?</x:v>
      </x:c>
      <x:c r="X225" s="146" t="e">
        <x:f>IF($A225="","",[1]!thsiFinD("ths_adjustment_nv_fund",X$3,$A225))</x:f>
        <x:v>#NAME?</x:v>
      </x:c>
      <x:c r="Y225" s="146" t="e">
        <x:f>IF($A225="","",[1]!thsiFinD("ths_adjustment_nv_fund",Y$3,$A225))</x:f>
        <x:v>#NAME?</x:v>
      </x:c>
      <x:c r="Z225" s="146" t="e">
        <x:f>IF($A225="","",[1]!thsiFinD("ths_adjustment_nv_fund",Z$3,$A225))</x:f>
        <x:v>#NAME?</x:v>
      </x:c>
      <x:c r="AA225" s="146" t="e">
        <x:f>IF($A225="","",[1]!thsiFinD("ths_adjustment_nv_fund",AA$3,$A225))</x:f>
        <x:v>#NAME?</x:v>
      </x:c>
    </x:row>
    <x:row r="226">
      <x:c r="B226" s="146" t="e">
        <x:f>IF($A226="","",[1]!thsiFinD("ths_adjustment_nv_fund",B$3,$A226))</x:f>
        <x:v>#NAME?</x:v>
      </x:c>
      <x:c r="C226" s="146" t="e">
        <x:f>IF($A226="","",[1]!thsiFinD("ths_adjustment_nv_fund",C$3,$A226))</x:f>
        <x:v>#NAME?</x:v>
      </x:c>
      <x:c r="D226" s="146" t="e">
        <x:f>IF($A226="","",[1]!thsiFinD("ths_adjustment_nv_fund",D$3,$A226))</x:f>
        <x:v>#NAME?</x:v>
      </x:c>
      <x:c r="E226" s="146" t="e">
        <x:f>IF($A226="","",[1]!thsiFinD("ths_adjustment_nv_fund",E$3,$A226))</x:f>
        <x:v>#NAME?</x:v>
      </x:c>
      <x:c r="F226" s="146" t="e">
        <x:f>IF($A226="","",[1]!thsiFinD("ths_adjustment_nv_fund",F$3,$A226))</x:f>
        <x:v>#NAME?</x:v>
      </x:c>
      <x:c r="G226" s="146" t="e">
        <x:f>IF($A226="","",[1]!thsiFinD("ths_adjustment_nv_fund",G$3,$A226))</x:f>
        <x:v>#NAME?</x:v>
      </x:c>
      <x:c r="H226" s="146" t="e">
        <x:f>IF($A226="","",[1]!thsiFinD("ths_adjustment_nv_fund",H$3,$A226))</x:f>
        <x:v>#NAME?</x:v>
      </x:c>
      <x:c r="I226" s="146" t="e">
        <x:f>IF($A226="","",[1]!thsiFinD("ths_adjustment_nv_fund",I$3,$A226))</x:f>
        <x:v>#NAME?</x:v>
      </x:c>
      <x:c r="J226" s="146" t="e">
        <x:f>IF($A226="","",[1]!thsiFinD("ths_adjustment_nv_fund",J$3,$A226))</x:f>
        <x:v>#NAME?</x:v>
      </x:c>
      <x:c r="K226" s="146" t="e">
        <x:f>IF($A226="","",[1]!thsiFinD("ths_adjustment_nv_fund",K$3,$A226))</x:f>
        <x:v>#NAME?</x:v>
      </x:c>
      <x:c r="L226" s="146" t="e">
        <x:f>IF($A226="","",[1]!thsiFinD("ths_adjustment_nv_fund",L$3,$A226))</x:f>
        <x:v>#NAME?</x:v>
      </x:c>
      <x:c r="M226" s="146" t="e">
        <x:f>IF($A226="","",[1]!thsiFinD("ths_adjustment_nv_fund",M$3,$A226))</x:f>
        <x:v>#NAME?</x:v>
      </x:c>
      <x:c r="N226" s="146" t="e">
        <x:f>IF($A226="","",[1]!thsiFinD("ths_adjustment_nv_fund",N$3,$A226))</x:f>
        <x:v>#NAME?</x:v>
      </x:c>
      <x:c r="O226" s="146" t="e">
        <x:f>IF($A226="","",[1]!thsiFinD("ths_adjustment_nv_fund",O$3,$A226))</x:f>
        <x:v>#NAME?</x:v>
      </x:c>
      <x:c r="P226" s="146" t="e">
        <x:f>IF($A226="","",[1]!thsiFinD("ths_adjustment_nv_fund",P$3,$A226))</x:f>
        <x:v>#NAME?</x:v>
      </x:c>
      <x:c r="Q226" s="146" t="e">
        <x:f>IF($A226="","",[1]!thsiFinD("ths_adjustment_nv_fund",Q$3,$A226))</x:f>
        <x:v>#NAME?</x:v>
      </x:c>
      <x:c r="R226" s="146" t="e">
        <x:f>IF($A226="","",[1]!thsiFinD("ths_adjustment_nv_fund",R$3,$A226))</x:f>
        <x:v>#NAME?</x:v>
      </x:c>
      <x:c r="S226" s="146" t="e">
        <x:f>IF($A226="","",[1]!thsiFinD("ths_adjustment_nv_fund",S$3,$A226))</x:f>
        <x:v>#NAME?</x:v>
      </x:c>
      <x:c r="T226" s="146" t="e">
        <x:f>IF($A226="","",[1]!thsiFinD("ths_adjustment_nv_fund",T$3,$A226))</x:f>
        <x:v>#NAME?</x:v>
      </x:c>
      <x:c r="U226" s="146" t="e">
        <x:f>IF($A226="","",[1]!thsiFinD("ths_adjustment_nv_fund",U$3,$A226))</x:f>
        <x:v>#NAME?</x:v>
      </x:c>
      <x:c r="V226" s="146" t="e">
        <x:f>IF($A226="","",[1]!thsiFinD("ths_adjustment_nv_fund",V$3,$A226))</x:f>
        <x:v>#NAME?</x:v>
      </x:c>
      <x:c r="W226" s="146" t="e">
        <x:f>IF($A226="","",[1]!thsiFinD("ths_adjustment_nv_fund",W$3,$A226))</x:f>
        <x:v>#NAME?</x:v>
      </x:c>
      <x:c r="X226" s="146" t="e">
        <x:f>IF($A226="","",[1]!thsiFinD("ths_adjustment_nv_fund",X$3,$A226))</x:f>
        <x:v>#NAME?</x:v>
      </x:c>
      <x:c r="Y226" s="146" t="e">
        <x:f>IF($A226="","",[1]!thsiFinD("ths_adjustment_nv_fund",Y$3,$A226))</x:f>
        <x:v>#NAME?</x:v>
      </x:c>
      <x:c r="Z226" s="146" t="e">
        <x:f>IF($A226="","",[1]!thsiFinD("ths_adjustment_nv_fund",Z$3,$A226))</x:f>
        <x:v>#NAME?</x:v>
      </x:c>
      <x:c r="AA226" s="146" t="e">
        <x:f>IF($A226="","",[1]!thsiFinD("ths_adjustment_nv_fund",AA$3,$A226))</x:f>
        <x:v>#NAME?</x:v>
      </x:c>
    </x:row>
    <x:row r="227">
      <x:c r="B227" s="146" t="e">
        <x:f>IF($A227="","",[1]!thsiFinD("ths_adjustment_nv_fund",B$3,$A227))</x:f>
        <x:v>#NAME?</x:v>
      </x:c>
      <x:c r="C227" s="146" t="e">
        <x:f>IF($A227="","",[1]!thsiFinD("ths_adjustment_nv_fund",C$3,$A227))</x:f>
        <x:v>#NAME?</x:v>
      </x:c>
      <x:c r="D227" s="146" t="e">
        <x:f>IF($A227="","",[1]!thsiFinD("ths_adjustment_nv_fund",D$3,$A227))</x:f>
        <x:v>#NAME?</x:v>
      </x:c>
      <x:c r="E227" s="146" t="e">
        <x:f>IF($A227="","",[1]!thsiFinD("ths_adjustment_nv_fund",E$3,$A227))</x:f>
        <x:v>#NAME?</x:v>
      </x:c>
      <x:c r="F227" s="146" t="e">
        <x:f>IF($A227="","",[1]!thsiFinD("ths_adjustment_nv_fund",F$3,$A227))</x:f>
        <x:v>#NAME?</x:v>
      </x:c>
      <x:c r="G227" s="146" t="e">
        <x:f>IF($A227="","",[1]!thsiFinD("ths_adjustment_nv_fund",G$3,$A227))</x:f>
        <x:v>#NAME?</x:v>
      </x:c>
      <x:c r="H227" s="146" t="e">
        <x:f>IF($A227="","",[1]!thsiFinD("ths_adjustment_nv_fund",H$3,$A227))</x:f>
        <x:v>#NAME?</x:v>
      </x:c>
      <x:c r="I227" s="146" t="e">
        <x:f>IF($A227="","",[1]!thsiFinD("ths_adjustment_nv_fund",I$3,$A227))</x:f>
        <x:v>#NAME?</x:v>
      </x:c>
      <x:c r="J227" s="146" t="e">
        <x:f>IF($A227="","",[1]!thsiFinD("ths_adjustment_nv_fund",J$3,$A227))</x:f>
        <x:v>#NAME?</x:v>
      </x:c>
      <x:c r="K227" s="146" t="e">
        <x:f>IF($A227="","",[1]!thsiFinD("ths_adjustment_nv_fund",K$3,$A227))</x:f>
        <x:v>#NAME?</x:v>
      </x:c>
      <x:c r="L227" s="146" t="e">
        <x:f>IF($A227="","",[1]!thsiFinD("ths_adjustment_nv_fund",L$3,$A227))</x:f>
        <x:v>#NAME?</x:v>
      </x:c>
      <x:c r="M227" s="146" t="e">
        <x:f>IF($A227="","",[1]!thsiFinD("ths_adjustment_nv_fund",M$3,$A227))</x:f>
        <x:v>#NAME?</x:v>
      </x:c>
      <x:c r="N227" s="146" t="e">
        <x:f>IF($A227="","",[1]!thsiFinD("ths_adjustment_nv_fund",N$3,$A227))</x:f>
        <x:v>#NAME?</x:v>
      </x:c>
      <x:c r="O227" s="146" t="e">
        <x:f>IF($A227="","",[1]!thsiFinD("ths_adjustment_nv_fund",O$3,$A227))</x:f>
        <x:v>#NAME?</x:v>
      </x:c>
      <x:c r="P227" s="146" t="e">
        <x:f>IF($A227="","",[1]!thsiFinD("ths_adjustment_nv_fund",P$3,$A227))</x:f>
        <x:v>#NAME?</x:v>
      </x:c>
      <x:c r="Q227" s="146" t="e">
        <x:f>IF($A227="","",[1]!thsiFinD("ths_adjustment_nv_fund",Q$3,$A227))</x:f>
        <x:v>#NAME?</x:v>
      </x:c>
      <x:c r="R227" s="146" t="e">
        <x:f>IF($A227="","",[1]!thsiFinD("ths_adjustment_nv_fund",R$3,$A227))</x:f>
        <x:v>#NAME?</x:v>
      </x:c>
      <x:c r="S227" s="146" t="e">
        <x:f>IF($A227="","",[1]!thsiFinD("ths_adjustment_nv_fund",S$3,$A227))</x:f>
        <x:v>#NAME?</x:v>
      </x:c>
      <x:c r="T227" s="146" t="e">
        <x:f>IF($A227="","",[1]!thsiFinD("ths_adjustment_nv_fund",T$3,$A227))</x:f>
        <x:v>#NAME?</x:v>
      </x:c>
      <x:c r="U227" s="146" t="e">
        <x:f>IF($A227="","",[1]!thsiFinD("ths_adjustment_nv_fund",U$3,$A227))</x:f>
        <x:v>#NAME?</x:v>
      </x:c>
      <x:c r="V227" s="146" t="e">
        <x:f>IF($A227="","",[1]!thsiFinD("ths_adjustment_nv_fund",V$3,$A227))</x:f>
        <x:v>#NAME?</x:v>
      </x:c>
      <x:c r="W227" s="146" t="e">
        <x:f>IF($A227="","",[1]!thsiFinD("ths_adjustment_nv_fund",W$3,$A227))</x:f>
        <x:v>#NAME?</x:v>
      </x:c>
      <x:c r="X227" s="146" t="e">
        <x:f>IF($A227="","",[1]!thsiFinD("ths_adjustment_nv_fund",X$3,$A227))</x:f>
        <x:v>#NAME?</x:v>
      </x:c>
      <x:c r="Y227" s="146" t="e">
        <x:f>IF($A227="","",[1]!thsiFinD("ths_adjustment_nv_fund",Y$3,$A227))</x:f>
        <x:v>#NAME?</x:v>
      </x:c>
      <x:c r="Z227" s="146" t="e">
        <x:f>IF($A227="","",[1]!thsiFinD("ths_adjustment_nv_fund",Z$3,$A227))</x:f>
        <x:v>#NAME?</x:v>
      </x:c>
      <x:c r="AA227" s="146" t="e">
        <x:f>IF($A227="","",[1]!thsiFinD("ths_adjustment_nv_fund",AA$3,$A227))</x:f>
        <x:v>#NAME?</x:v>
      </x:c>
    </x:row>
    <x:row r="228">
      <x:c r="B228" s="146" t="e">
        <x:f>IF($A228="","",[1]!thsiFinD("ths_adjustment_nv_fund",B$3,$A228))</x:f>
        <x:v>#NAME?</x:v>
      </x:c>
      <x:c r="C228" s="146" t="e">
        <x:f>IF($A228="","",[1]!thsiFinD("ths_adjustment_nv_fund",C$3,$A228))</x:f>
        <x:v>#NAME?</x:v>
      </x:c>
      <x:c r="D228" s="146" t="e">
        <x:f>IF($A228="","",[1]!thsiFinD("ths_adjustment_nv_fund",D$3,$A228))</x:f>
        <x:v>#NAME?</x:v>
      </x:c>
      <x:c r="E228" s="146" t="e">
        <x:f>IF($A228="","",[1]!thsiFinD("ths_adjustment_nv_fund",E$3,$A228))</x:f>
        <x:v>#NAME?</x:v>
      </x:c>
      <x:c r="F228" s="146" t="e">
        <x:f>IF($A228="","",[1]!thsiFinD("ths_adjustment_nv_fund",F$3,$A228))</x:f>
        <x:v>#NAME?</x:v>
      </x:c>
      <x:c r="G228" s="146" t="e">
        <x:f>IF($A228="","",[1]!thsiFinD("ths_adjustment_nv_fund",G$3,$A228))</x:f>
        <x:v>#NAME?</x:v>
      </x:c>
      <x:c r="H228" s="146" t="e">
        <x:f>IF($A228="","",[1]!thsiFinD("ths_adjustment_nv_fund",H$3,$A228))</x:f>
        <x:v>#NAME?</x:v>
      </x:c>
      <x:c r="I228" s="146" t="e">
        <x:f>IF($A228="","",[1]!thsiFinD("ths_adjustment_nv_fund",I$3,$A228))</x:f>
        <x:v>#NAME?</x:v>
      </x:c>
      <x:c r="J228" s="146" t="e">
        <x:f>IF($A228="","",[1]!thsiFinD("ths_adjustment_nv_fund",J$3,$A228))</x:f>
        <x:v>#NAME?</x:v>
      </x:c>
      <x:c r="K228" s="146" t="e">
        <x:f>IF($A228="","",[1]!thsiFinD("ths_adjustment_nv_fund",K$3,$A228))</x:f>
        <x:v>#NAME?</x:v>
      </x:c>
      <x:c r="L228" s="146" t="e">
        <x:f>IF($A228="","",[1]!thsiFinD("ths_adjustment_nv_fund",L$3,$A228))</x:f>
        <x:v>#NAME?</x:v>
      </x:c>
      <x:c r="M228" s="146" t="e">
        <x:f>IF($A228="","",[1]!thsiFinD("ths_adjustment_nv_fund",M$3,$A228))</x:f>
        <x:v>#NAME?</x:v>
      </x:c>
      <x:c r="N228" s="146" t="e">
        <x:f>IF($A228="","",[1]!thsiFinD("ths_adjustment_nv_fund",N$3,$A228))</x:f>
        <x:v>#NAME?</x:v>
      </x:c>
      <x:c r="O228" s="146" t="e">
        <x:f>IF($A228="","",[1]!thsiFinD("ths_adjustment_nv_fund",O$3,$A228))</x:f>
        <x:v>#NAME?</x:v>
      </x:c>
      <x:c r="P228" s="146" t="e">
        <x:f>IF($A228="","",[1]!thsiFinD("ths_adjustment_nv_fund",P$3,$A228))</x:f>
        <x:v>#NAME?</x:v>
      </x:c>
      <x:c r="Q228" s="146" t="e">
        <x:f>IF($A228="","",[1]!thsiFinD("ths_adjustment_nv_fund",Q$3,$A228))</x:f>
        <x:v>#NAME?</x:v>
      </x:c>
      <x:c r="R228" s="146" t="e">
        <x:f>IF($A228="","",[1]!thsiFinD("ths_adjustment_nv_fund",R$3,$A228))</x:f>
        <x:v>#NAME?</x:v>
      </x:c>
      <x:c r="S228" s="146" t="e">
        <x:f>IF($A228="","",[1]!thsiFinD("ths_adjustment_nv_fund",S$3,$A228))</x:f>
        <x:v>#NAME?</x:v>
      </x:c>
      <x:c r="T228" s="146" t="e">
        <x:f>IF($A228="","",[1]!thsiFinD("ths_adjustment_nv_fund",T$3,$A228))</x:f>
        <x:v>#NAME?</x:v>
      </x:c>
      <x:c r="U228" s="146" t="e">
        <x:f>IF($A228="","",[1]!thsiFinD("ths_adjustment_nv_fund",U$3,$A228))</x:f>
        <x:v>#NAME?</x:v>
      </x:c>
      <x:c r="V228" s="146" t="e">
        <x:f>IF($A228="","",[1]!thsiFinD("ths_adjustment_nv_fund",V$3,$A228))</x:f>
        <x:v>#NAME?</x:v>
      </x:c>
      <x:c r="W228" s="146" t="e">
        <x:f>IF($A228="","",[1]!thsiFinD("ths_adjustment_nv_fund",W$3,$A228))</x:f>
        <x:v>#NAME?</x:v>
      </x:c>
      <x:c r="X228" s="146" t="e">
        <x:f>IF($A228="","",[1]!thsiFinD("ths_adjustment_nv_fund",X$3,$A228))</x:f>
        <x:v>#NAME?</x:v>
      </x:c>
      <x:c r="Y228" s="146" t="e">
        <x:f>IF($A228="","",[1]!thsiFinD("ths_adjustment_nv_fund",Y$3,$A228))</x:f>
        <x:v>#NAME?</x:v>
      </x:c>
      <x:c r="Z228" s="146" t="e">
        <x:f>IF($A228="","",[1]!thsiFinD("ths_adjustment_nv_fund",Z$3,$A228))</x:f>
        <x:v>#NAME?</x:v>
      </x:c>
      <x:c r="AA228" s="146" t="e">
        <x:f>IF($A228="","",[1]!thsiFinD("ths_adjustment_nv_fund",AA$3,$A228))</x:f>
        <x:v>#NAME?</x:v>
      </x:c>
    </x:row>
    <x:row r="229">
      <x:c r="B229" s="146" t="e">
        <x:f>IF($A229="","",[1]!thsiFinD("ths_adjustment_nv_fund",B$3,$A229))</x:f>
        <x:v>#NAME?</x:v>
      </x:c>
      <x:c r="C229" s="146" t="e">
        <x:f>IF($A229="","",[1]!thsiFinD("ths_adjustment_nv_fund",C$3,$A229))</x:f>
        <x:v>#NAME?</x:v>
      </x:c>
      <x:c r="D229" s="146" t="e">
        <x:f>IF($A229="","",[1]!thsiFinD("ths_adjustment_nv_fund",D$3,$A229))</x:f>
        <x:v>#NAME?</x:v>
      </x:c>
      <x:c r="E229" s="146" t="e">
        <x:f>IF($A229="","",[1]!thsiFinD("ths_adjustment_nv_fund",E$3,$A229))</x:f>
        <x:v>#NAME?</x:v>
      </x:c>
      <x:c r="F229" s="146" t="e">
        <x:f>IF($A229="","",[1]!thsiFinD("ths_adjustment_nv_fund",F$3,$A229))</x:f>
        <x:v>#NAME?</x:v>
      </x:c>
      <x:c r="G229" s="146" t="e">
        <x:f>IF($A229="","",[1]!thsiFinD("ths_adjustment_nv_fund",G$3,$A229))</x:f>
        <x:v>#NAME?</x:v>
      </x:c>
      <x:c r="H229" s="146" t="e">
        <x:f>IF($A229="","",[1]!thsiFinD("ths_adjustment_nv_fund",H$3,$A229))</x:f>
        <x:v>#NAME?</x:v>
      </x:c>
      <x:c r="I229" s="146" t="e">
        <x:f>IF($A229="","",[1]!thsiFinD("ths_adjustment_nv_fund",I$3,$A229))</x:f>
        <x:v>#NAME?</x:v>
      </x:c>
      <x:c r="J229" s="146" t="e">
        <x:f>IF($A229="","",[1]!thsiFinD("ths_adjustment_nv_fund",J$3,$A229))</x:f>
        <x:v>#NAME?</x:v>
      </x:c>
      <x:c r="K229" s="146" t="e">
        <x:f>IF($A229="","",[1]!thsiFinD("ths_adjustment_nv_fund",K$3,$A229))</x:f>
        <x:v>#NAME?</x:v>
      </x:c>
      <x:c r="L229" s="146" t="e">
        <x:f>IF($A229="","",[1]!thsiFinD("ths_adjustment_nv_fund",L$3,$A229))</x:f>
        <x:v>#NAME?</x:v>
      </x:c>
      <x:c r="M229" s="146" t="e">
        <x:f>IF($A229="","",[1]!thsiFinD("ths_adjustment_nv_fund",M$3,$A229))</x:f>
        <x:v>#NAME?</x:v>
      </x:c>
      <x:c r="N229" s="146" t="e">
        <x:f>IF($A229="","",[1]!thsiFinD("ths_adjustment_nv_fund",N$3,$A229))</x:f>
        <x:v>#NAME?</x:v>
      </x:c>
      <x:c r="O229" s="146" t="e">
        <x:f>IF($A229="","",[1]!thsiFinD("ths_adjustment_nv_fund",O$3,$A229))</x:f>
        <x:v>#NAME?</x:v>
      </x:c>
      <x:c r="P229" s="146" t="e">
        <x:f>IF($A229="","",[1]!thsiFinD("ths_adjustment_nv_fund",P$3,$A229))</x:f>
        <x:v>#NAME?</x:v>
      </x:c>
      <x:c r="Q229" s="146" t="e">
        <x:f>IF($A229="","",[1]!thsiFinD("ths_adjustment_nv_fund",Q$3,$A229))</x:f>
        <x:v>#NAME?</x:v>
      </x:c>
      <x:c r="R229" s="146" t="e">
        <x:f>IF($A229="","",[1]!thsiFinD("ths_adjustment_nv_fund",R$3,$A229))</x:f>
        <x:v>#NAME?</x:v>
      </x:c>
      <x:c r="S229" s="146" t="e">
        <x:f>IF($A229="","",[1]!thsiFinD("ths_adjustment_nv_fund",S$3,$A229))</x:f>
        <x:v>#NAME?</x:v>
      </x:c>
      <x:c r="T229" s="146" t="e">
        <x:f>IF($A229="","",[1]!thsiFinD("ths_adjustment_nv_fund",T$3,$A229))</x:f>
        <x:v>#NAME?</x:v>
      </x:c>
      <x:c r="U229" s="146" t="e">
        <x:f>IF($A229="","",[1]!thsiFinD("ths_adjustment_nv_fund",U$3,$A229))</x:f>
        <x:v>#NAME?</x:v>
      </x:c>
      <x:c r="V229" s="146" t="e">
        <x:f>IF($A229="","",[1]!thsiFinD("ths_adjustment_nv_fund",V$3,$A229))</x:f>
        <x:v>#NAME?</x:v>
      </x:c>
      <x:c r="W229" s="146" t="e">
        <x:f>IF($A229="","",[1]!thsiFinD("ths_adjustment_nv_fund",W$3,$A229))</x:f>
        <x:v>#NAME?</x:v>
      </x:c>
      <x:c r="X229" s="146" t="e">
        <x:f>IF($A229="","",[1]!thsiFinD("ths_adjustment_nv_fund",X$3,$A229))</x:f>
        <x:v>#NAME?</x:v>
      </x:c>
      <x:c r="Y229" s="146" t="e">
        <x:f>IF($A229="","",[1]!thsiFinD("ths_adjustment_nv_fund",Y$3,$A229))</x:f>
        <x:v>#NAME?</x:v>
      </x:c>
      <x:c r="Z229" s="146" t="e">
        <x:f>IF($A229="","",[1]!thsiFinD("ths_adjustment_nv_fund",Z$3,$A229))</x:f>
        <x:v>#NAME?</x:v>
      </x:c>
      <x:c r="AA229" s="146" t="e">
        <x:f>IF($A229="","",[1]!thsiFinD("ths_adjustment_nv_fund",AA$3,$A229))</x:f>
        <x:v>#NAME?</x:v>
      </x:c>
    </x:row>
    <x:row r="230">
      <x:c r="B230" s="146" t="e">
        <x:f>IF($A230="","",[1]!thsiFinD("ths_adjustment_nv_fund",B$3,$A230))</x:f>
        <x:v>#NAME?</x:v>
      </x:c>
      <x:c r="C230" s="146" t="e">
        <x:f>IF($A230="","",[1]!thsiFinD("ths_adjustment_nv_fund",C$3,$A230))</x:f>
        <x:v>#NAME?</x:v>
      </x:c>
      <x:c r="D230" s="146" t="e">
        <x:f>IF($A230="","",[1]!thsiFinD("ths_adjustment_nv_fund",D$3,$A230))</x:f>
        <x:v>#NAME?</x:v>
      </x:c>
      <x:c r="E230" s="146" t="e">
        <x:f>IF($A230="","",[1]!thsiFinD("ths_adjustment_nv_fund",E$3,$A230))</x:f>
        <x:v>#NAME?</x:v>
      </x:c>
      <x:c r="F230" s="146" t="e">
        <x:f>IF($A230="","",[1]!thsiFinD("ths_adjustment_nv_fund",F$3,$A230))</x:f>
        <x:v>#NAME?</x:v>
      </x:c>
      <x:c r="G230" s="146" t="e">
        <x:f>IF($A230="","",[1]!thsiFinD("ths_adjustment_nv_fund",G$3,$A230))</x:f>
        <x:v>#NAME?</x:v>
      </x:c>
      <x:c r="H230" s="146" t="e">
        <x:f>IF($A230="","",[1]!thsiFinD("ths_adjustment_nv_fund",H$3,$A230))</x:f>
        <x:v>#NAME?</x:v>
      </x:c>
      <x:c r="I230" s="146" t="e">
        <x:f>IF($A230="","",[1]!thsiFinD("ths_adjustment_nv_fund",I$3,$A230))</x:f>
        <x:v>#NAME?</x:v>
      </x:c>
      <x:c r="J230" s="146" t="e">
        <x:f>IF($A230="","",[1]!thsiFinD("ths_adjustment_nv_fund",J$3,$A230))</x:f>
        <x:v>#NAME?</x:v>
      </x:c>
      <x:c r="K230" s="146" t="e">
        <x:f>IF($A230="","",[1]!thsiFinD("ths_adjustment_nv_fund",K$3,$A230))</x:f>
        <x:v>#NAME?</x:v>
      </x:c>
      <x:c r="L230" s="146" t="e">
        <x:f>IF($A230="","",[1]!thsiFinD("ths_adjustment_nv_fund",L$3,$A230))</x:f>
        <x:v>#NAME?</x:v>
      </x:c>
      <x:c r="M230" s="146" t="e">
        <x:f>IF($A230="","",[1]!thsiFinD("ths_adjustment_nv_fund",M$3,$A230))</x:f>
        <x:v>#NAME?</x:v>
      </x:c>
      <x:c r="N230" s="146" t="e">
        <x:f>IF($A230="","",[1]!thsiFinD("ths_adjustment_nv_fund",N$3,$A230))</x:f>
        <x:v>#NAME?</x:v>
      </x:c>
      <x:c r="O230" s="146" t="e">
        <x:f>IF($A230="","",[1]!thsiFinD("ths_adjustment_nv_fund",O$3,$A230))</x:f>
        <x:v>#NAME?</x:v>
      </x:c>
      <x:c r="P230" s="146" t="e">
        <x:f>IF($A230="","",[1]!thsiFinD("ths_adjustment_nv_fund",P$3,$A230))</x:f>
        <x:v>#NAME?</x:v>
      </x:c>
      <x:c r="Q230" s="146" t="e">
        <x:f>IF($A230="","",[1]!thsiFinD("ths_adjustment_nv_fund",Q$3,$A230))</x:f>
        <x:v>#NAME?</x:v>
      </x:c>
      <x:c r="R230" s="146" t="e">
        <x:f>IF($A230="","",[1]!thsiFinD("ths_adjustment_nv_fund",R$3,$A230))</x:f>
        <x:v>#NAME?</x:v>
      </x:c>
      <x:c r="S230" s="146" t="e">
        <x:f>IF($A230="","",[1]!thsiFinD("ths_adjustment_nv_fund",S$3,$A230))</x:f>
        <x:v>#NAME?</x:v>
      </x:c>
      <x:c r="T230" s="146" t="e">
        <x:f>IF($A230="","",[1]!thsiFinD("ths_adjustment_nv_fund",T$3,$A230))</x:f>
        <x:v>#NAME?</x:v>
      </x:c>
      <x:c r="U230" s="146" t="e">
        <x:f>IF($A230="","",[1]!thsiFinD("ths_adjustment_nv_fund",U$3,$A230))</x:f>
        <x:v>#NAME?</x:v>
      </x:c>
      <x:c r="V230" s="146" t="e">
        <x:f>IF($A230="","",[1]!thsiFinD("ths_adjustment_nv_fund",V$3,$A230))</x:f>
        <x:v>#NAME?</x:v>
      </x:c>
      <x:c r="W230" s="146" t="e">
        <x:f>IF($A230="","",[1]!thsiFinD("ths_adjustment_nv_fund",W$3,$A230))</x:f>
        <x:v>#NAME?</x:v>
      </x:c>
      <x:c r="X230" s="146" t="e">
        <x:f>IF($A230="","",[1]!thsiFinD("ths_adjustment_nv_fund",X$3,$A230))</x:f>
        <x:v>#NAME?</x:v>
      </x:c>
      <x:c r="Y230" s="146" t="e">
        <x:f>IF($A230="","",[1]!thsiFinD("ths_adjustment_nv_fund",Y$3,$A230))</x:f>
        <x:v>#NAME?</x:v>
      </x:c>
      <x:c r="Z230" s="146" t="e">
        <x:f>IF($A230="","",[1]!thsiFinD("ths_adjustment_nv_fund",Z$3,$A230))</x:f>
        <x:v>#NAME?</x:v>
      </x:c>
      <x:c r="AA230" s="146" t="e">
        <x:f>IF($A230="","",[1]!thsiFinD("ths_adjustment_nv_fund",AA$3,$A230))</x:f>
        <x:v>#NAME?</x:v>
      </x:c>
    </x:row>
    <x:row r="231">
      <x:c r="B231" s="146" t="e">
        <x:f>IF($A231="","",[1]!thsiFinD("ths_adjustment_nv_fund",B$3,$A231))</x:f>
        <x:v>#NAME?</x:v>
      </x:c>
      <x:c r="C231" s="146" t="e">
        <x:f>IF($A231="","",[1]!thsiFinD("ths_adjustment_nv_fund",C$3,$A231))</x:f>
        <x:v>#NAME?</x:v>
      </x:c>
      <x:c r="D231" s="146" t="e">
        <x:f>IF($A231="","",[1]!thsiFinD("ths_adjustment_nv_fund",D$3,$A231))</x:f>
        <x:v>#NAME?</x:v>
      </x:c>
      <x:c r="E231" s="146" t="e">
        <x:f>IF($A231="","",[1]!thsiFinD("ths_adjustment_nv_fund",E$3,$A231))</x:f>
        <x:v>#NAME?</x:v>
      </x:c>
      <x:c r="F231" s="146" t="e">
        <x:f>IF($A231="","",[1]!thsiFinD("ths_adjustment_nv_fund",F$3,$A231))</x:f>
        <x:v>#NAME?</x:v>
      </x:c>
      <x:c r="G231" s="146" t="e">
        <x:f>IF($A231="","",[1]!thsiFinD("ths_adjustment_nv_fund",G$3,$A231))</x:f>
        <x:v>#NAME?</x:v>
      </x:c>
      <x:c r="H231" s="146" t="e">
        <x:f>IF($A231="","",[1]!thsiFinD("ths_adjustment_nv_fund",H$3,$A231))</x:f>
        <x:v>#NAME?</x:v>
      </x:c>
      <x:c r="I231" s="146" t="e">
        <x:f>IF($A231="","",[1]!thsiFinD("ths_adjustment_nv_fund",I$3,$A231))</x:f>
        <x:v>#NAME?</x:v>
      </x:c>
      <x:c r="J231" s="146" t="e">
        <x:f>IF($A231="","",[1]!thsiFinD("ths_adjustment_nv_fund",J$3,$A231))</x:f>
        <x:v>#NAME?</x:v>
      </x:c>
      <x:c r="K231" s="146" t="e">
        <x:f>IF($A231="","",[1]!thsiFinD("ths_adjustment_nv_fund",K$3,$A231))</x:f>
        <x:v>#NAME?</x:v>
      </x:c>
      <x:c r="L231" s="146" t="e">
        <x:f>IF($A231="","",[1]!thsiFinD("ths_adjustment_nv_fund",L$3,$A231))</x:f>
        <x:v>#NAME?</x:v>
      </x:c>
      <x:c r="M231" s="146" t="e">
        <x:f>IF($A231="","",[1]!thsiFinD("ths_adjustment_nv_fund",M$3,$A231))</x:f>
        <x:v>#NAME?</x:v>
      </x:c>
      <x:c r="N231" s="146" t="e">
        <x:f>IF($A231="","",[1]!thsiFinD("ths_adjustment_nv_fund",N$3,$A231))</x:f>
        <x:v>#NAME?</x:v>
      </x:c>
      <x:c r="O231" s="146" t="e">
        <x:f>IF($A231="","",[1]!thsiFinD("ths_adjustment_nv_fund",O$3,$A231))</x:f>
        <x:v>#NAME?</x:v>
      </x:c>
      <x:c r="P231" s="146" t="e">
        <x:f>IF($A231="","",[1]!thsiFinD("ths_adjustment_nv_fund",P$3,$A231))</x:f>
        <x:v>#NAME?</x:v>
      </x:c>
      <x:c r="Q231" s="146" t="e">
        <x:f>IF($A231="","",[1]!thsiFinD("ths_adjustment_nv_fund",Q$3,$A231))</x:f>
        <x:v>#NAME?</x:v>
      </x:c>
      <x:c r="R231" s="146" t="e">
        <x:f>IF($A231="","",[1]!thsiFinD("ths_adjustment_nv_fund",R$3,$A231))</x:f>
        <x:v>#NAME?</x:v>
      </x:c>
      <x:c r="S231" s="146" t="e">
        <x:f>IF($A231="","",[1]!thsiFinD("ths_adjustment_nv_fund",S$3,$A231))</x:f>
        <x:v>#NAME?</x:v>
      </x:c>
      <x:c r="T231" s="146" t="e">
        <x:f>IF($A231="","",[1]!thsiFinD("ths_adjustment_nv_fund",T$3,$A231))</x:f>
        <x:v>#NAME?</x:v>
      </x:c>
      <x:c r="U231" s="146" t="e">
        <x:f>IF($A231="","",[1]!thsiFinD("ths_adjustment_nv_fund",U$3,$A231))</x:f>
        <x:v>#NAME?</x:v>
      </x:c>
      <x:c r="V231" s="146" t="e">
        <x:f>IF($A231="","",[1]!thsiFinD("ths_adjustment_nv_fund",V$3,$A231))</x:f>
        <x:v>#NAME?</x:v>
      </x:c>
      <x:c r="W231" s="146" t="e">
        <x:f>IF($A231="","",[1]!thsiFinD("ths_adjustment_nv_fund",W$3,$A231))</x:f>
        <x:v>#NAME?</x:v>
      </x:c>
      <x:c r="X231" s="146" t="e">
        <x:f>IF($A231="","",[1]!thsiFinD("ths_adjustment_nv_fund",X$3,$A231))</x:f>
        <x:v>#NAME?</x:v>
      </x:c>
      <x:c r="Y231" s="146" t="e">
        <x:f>IF($A231="","",[1]!thsiFinD("ths_adjustment_nv_fund",Y$3,$A231))</x:f>
        <x:v>#NAME?</x:v>
      </x:c>
      <x:c r="Z231" s="146" t="e">
        <x:f>IF($A231="","",[1]!thsiFinD("ths_adjustment_nv_fund",Z$3,$A231))</x:f>
        <x:v>#NAME?</x:v>
      </x:c>
      <x:c r="AA231" s="146" t="e">
        <x:f>IF($A231="","",[1]!thsiFinD("ths_adjustment_nv_fund",AA$3,$A231))</x:f>
        <x:v>#NAME?</x:v>
      </x:c>
    </x:row>
    <x:row r="232">
      <x:c r="B232" s="146" t="e">
        <x:f>IF($A232="","",[1]!thsiFinD("ths_adjustment_nv_fund",B$3,$A232))</x:f>
        <x:v>#NAME?</x:v>
      </x:c>
      <x:c r="C232" s="146" t="e">
        <x:f>IF($A232="","",[1]!thsiFinD("ths_adjustment_nv_fund",C$3,$A232))</x:f>
        <x:v>#NAME?</x:v>
      </x:c>
      <x:c r="D232" s="146" t="e">
        <x:f>IF($A232="","",[1]!thsiFinD("ths_adjustment_nv_fund",D$3,$A232))</x:f>
        <x:v>#NAME?</x:v>
      </x:c>
      <x:c r="E232" s="146" t="e">
        <x:f>IF($A232="","",[1]!thsiFinD("ths_adjustment_nv_fund",E$3,$A232))</x:f>
        <x:v>#NAME?</x:v>
      </x:c>
      <x:c r="F232" s="146" t="e">
        <x:f>IF($A232="","",[1]!thsiFinD("ths_adjustment_nv_fund",F$3,$A232))</x:f>
        <x:v>#NAME?</x:v>
      </x:c>
      <x:c r="G232" s="146" t="e">
        <x:f>IF($A232="","",[1]!thsiFinD("ths_adjustment_nv_fund",G$3,$A232))</x:f>
        <x:v>#NAME?</x:v>
      </x:c>
      <x:c r="H232" s="146" t="e">
        <x:f>IF($A232="","",[1]!thsiFinD("ths_adjustment_nv_fund",H$3,$A232))</x:f>
        <x:v>#NAME?</x:v>
      </x:c>
      <x:c r="I232" s="146" t="e">
        <x:f>IF($A232="","",[1]!thsiFinD("ths_adjustment_nv_fund",I$3,$A232))</x:f>
        <x:v>#NAME?</x:v>
      </x:c>
      <x:c r="J232" s="146" t="e">
        <x:f>IF($A232="","",[1]!thsiFinD("ths_adjustment_nv_fund",J$3,$A232))</x:f>
        <x:v>#NAME?</x:v>
      </x:c>
      <x:c r="K232" s="146" t="e">
        <x:f>IF($A232="","",[1]!thsiFinD("ths_adjustment_nv_fund",K$3,$A232))</x:f>
        <x:v>#NAME?</x:v>
      </x:c>
      <x:c r="L232" s="146" t="e">
        <x:f>IF($A232="","",[1]!thsiFinD("ths_adjustment_nv_fund",L$3,$A232))</x:f>
        <x:v>#NAME?</x:v>
      </x:c>
      <x:c r="M232" s="146" t="e">
        <x:f>IF($A232="","",[1]!thsiFinD("ths_adjustment_nv_fund",M$3,$A232))</x:f>
        <x:v>#NAME?</x:v>
      </x:c>
      <x:c r="N232" s="146" t="e">
        <x:f>IF($A232="","",[1]!thsiFinD("ths_adjustment_nv_fund",N$3,$A232))</x:f>
        <x:v>#NAME?</x:v>
      </x:c>
      <x:c r="O232" s="146" t="e">
        <x:f>IF($A232="","",[1]!thsiFinD("ths_adjustment_nv_fund",O$3,$A232))</x:f>
        <x:v>#NAME?</x:v>
      </x:c>
      <x:c r="P232" s="146" t="e">
        <x:f>IF($A232="","",[1]!thsiFinD("ths_adjustment_nv_fund",P$3,$A232))</x:f>
        <x:v>#NAME?</x:v>
      </x:c>
      <x:c r="Q232" s="146" t="e">
        <x:f>IF($A232="","",[1]!thsiFinD("ths_adjustment_nv_fund",Q$3,$A232))</x:f>
        <x:v>#NAME?</x:v>
      </x:c>
      <x:c r="R232" s="146" t="e">
        <x:f>IF($A232="","",[1]!thsiFinD("ths_adjustment_nv_fund",R$3,$A232))</x:f>
        <x:v>#NAME?</x:v>
      </x:c>
      <x:c r="S232" s="146" t="e">
        <x:f>IF($A232="","",[1]!thsiFinD("ths_adjustment_nv_fund",S$3,$A232))</x:f>
        <x:v>#NAME?</x:v>
      </x:c>
      <x:c r="T232" s="146" t="e">
        <x:f>IF($A232="","",[1]!thsiFinD("ths_adjustment_nv_fund",T$3,$A232))</x:f>
        <x:v>#NAME?</x:v>
      </x:c>
      <x:c r="U232" s="146" t="e">
        <x:f>IF($A232="","",[1]!thsiFinD("ths_adjustment_nv_fund",U$3,$A232))</x:f>
        <x:v>#NAME?</x:v>
      </x:c>
      <x:c r="V232" s="146" t="e">
        <x:f>IF($A232="","",[1]!thsiFinD("ths_adjustment_nv_fund",V$3,$A232))</x:f>
        <x:v>#NAME?</x:v>
      </x:c>
      <x:c r="W232" s="146" t="e">
        <x:f>IF($A232="","",[1]!thsiFinD("ths_adjustment_nv_fund",W$3,$A232))</x:f>
        <x:v>#NAME?</x:v>
      </x:c>
      <x:c r="X232" s="146" t="e">
        <x:f>IF($A232="","",[1]!thsiFinD("ths_adjustment_nv_fund",X$3,$A232))</x:f>
        <x:v>#NAME?</x:v>
      </x:c>
      <x:c r="Y232" s="146" t="e">
        <x:f>IF($A232="","",[1]!thsiFinD("ths_adjustment_nv_fund",Y$3,$A232))</x:f>
        <x:v>#NAME?</x:v>
      </x:c>
      <x:c r="Z232" s="146" t="e">
        <x:f>IF($A232="","",[1]!thsiFinD("ths_adjustment_nv_fund",Z$3,$A232))</x:f>
        <x:v>#NAME?</x:v>
      </x:c>
      <x:c r="AA232" s="146" t="e">
        <x:f>IF($A232="","",[1]!thsiFinD("ths_adjustment_nv_fund",AA$3,$A232))</x:f>
        <x:v>#NAME?</x:v>
      </x:c>
    </x:row>
    <x:row r="233">
      <x:c r="B233" s="146" t="e">
        <x:f>IF($A233="","",[1]!thsiFinD("ths_adjustment_nv_fund",B$3,$A233))</x:f>
        <x:v>#NAME?</x:v>
      </x:c>
      <x:c r="C233" s="146" t="e">
        <x:f>IF($A233="","",[1]!thsiFinD("ths_adjustment_nv_fund",C$3,$A233))</x:f>
        <x:v>#NAME?</x:v>
      </x:c>
      <x:c r="D233" s="146" t="e">
        <x:f>IF($A233="","",[1]!thsiFinD("ths_adjustment_nv_fund",D$3,$A233))</x:f>
        <x:v>#NAME?</x:v>
      </x:c>
      <x:c r="E233" s="146" t="e">
        <x:f>IF($A233="","",[1]!thsiFinD("ths_adjustment_nv_fund",E$3,$A233))</x:f>
        <x:v>#NAME?</x:v>
      </x:c>
      <x:c r="F233" s="146" t="e">
        <x:f>IF($A233="","",[1]!thsiFinD("ths_adjustment_nv_fund",F$3,$A233))</x:f>
        <x:v>#NAME?</x:v>
      </x:c>
      <x:c r="G233" s="146" t="e">
        <x:f>IF($A233="","",[1]!thsiFinD("ths_adjustment_nv_fund",G$3,$A233))</x:f>
        <x:v>#NAME?</x:v>
      </x:c>
      <x:c r="H233" s="146" t="e">
        <x:f>IF($A233="","",[1]!thsiFinD("ths_adjustment_nv_fund",H$3,$A233))</x:f>
        <x:v>#NAME?</x:v>
      </x:c>
      <x:c r="I233" s="146" t="e">
        <x:f>IF($A233="","",[1]!thsiFinD("ths_adjustment_nv_fund",I$3,$A233))</x:f>
        <x:v>#NAME?</x:v>
      </x:c>
      <x:c r="J233" s="146" t="e">
        <x:f>IF($A233="","",[1]!thsiFinD("ths_adjustment_nv_fund",J$3,$A233))</x:f>
        <x:v>#NAME?</x:v>
      </x:c>
      <x:c r="K233" s="146" t="e">
        <x:f>IF($A233="","",[1]!thsiFinD("ths_adjustment_nv_fund",K$3,$A233))</x:f>
        <x:v>#NAME?</x:v>
      </x:c>
      <x:c r="L233" s="146" t="e">
        <x:f>IF($A233="","",[1]!thsiFinD("ths_adjustment_nv_fund",L$3,$A233))</x:f>
        <x:v>#NAME?</x:v>
      </x:c>
      <x:c r="M233" s="146" t="e">
        <x:f>IF($A233="","",[1]!thsiFinD("ths_adjustment_nv_fund",M$3,$A233))</x:f>
        <x:v>#NAME?</x:v>
      </x:c>
      <x:c r="N233" s="146" t="e">
        <x:f>IF($A233="","",[1]!thsiFinD("ths_adjustment_nv_fund",N$3,$A233))</x:f>
        <x:v>#NAME?</x:v>
      </x:c>
      <x:c r="O233" s="146" t="e">
        <x:f>IF($A233="","",[1]!thsiFinD("ths_adjustment_nv_fund",O$3,$A233))</x:f>
        <x:v>#NAME?</x:v>
      </x:c>
      <x:c r="P233" s="146" t="e">
        <x:f>IF($A233="","",[1]!thsiFinD("ths_adjustment_nv_fund",P$3,$A233))</x:f>
        <x:v>#NAME?</x:v>
      </x:c>
      <x:c r="Q233" s="146" t="e">
        <x:f>IF($A233="","",[1]!thsiFinD("ths_adjustment_nv_fund",Q$3,$A233))</x:f>
        <x:v>#NAME?</x:v>
      </x:c>
      <x:c r="R233" s="146" t="e">
        <x:f>IF($A233="","",[1]!thsiFinD("ths_adjustment_nv_fund",R$3,$A233))</x:f>
        <x:v>#NAME?</x:v>
      </x:c>
      <x:c r="S233" s="146" t="e">
        <x:f>IF($A233="","",[1]!thsiFinD("ths_adjustment_nv_fund",S$3,$A233))</x:f>
        <x:v>#NAME?</x:v>
      </x:c>
      <x:c r="T233" s="146" t="e">
        <x:f>IF($A233="","",[1]!thsiFinD("ths_adjustment_nv_fund",T$3,$A233))</x:f>
        <x:v>#NAME?</x:v>
      </x:c>
      <x:c r="U233" s="146" t="e">
        <x:f>IF($A233="","",[1]!thsiFinD("ths_adjustment_nv_fund",U$3,$A233))</x:f>
        <x:v>#NAME?</x:v>
      </x:c>
      <x:c r="V233" s="146" t="e">
        <x:f>IF($A233="","",[1]!thsiFinD("ths_adjustment_nv_fund",V$3,$A233))</x:f>
        <x:v>#NAME?</x:v>
      </x:c>
      <x:c r="W233" s="146" t="e">
        <x:f>IF($A233="","",[1]!thsiFinD("ths_adjustment_nv_fund",W$3,$A233))</x:f>
        <x:v>#NAME?</x:v>
      </x:c>
      <x:c r="X233" s="146" t="e">
        <x:f>IF($A233="","",[1]!thsiFinD("ths_adjustment_nv_fund",X$3,$A233))</x:f>
        <x:v>#NAME?</x:v>
      </x:c>
      <x:c r="Y233" s="146" t="e">
        <x:f>IF($A233="","",[1]!thsiFinD("ths_adjustment_nv_fund",Y$3,$A233))</x:f>
        <x:v>#NAME?</x:v>
      </x:c>
      <x:c r="Z233" s="146" t="e">
        <x:f>IF($A233="","",[1]!thsiFinD("ths_adjustment_nv_fund",Z$3,$A233))</x:f>
        <x:v>#NAME?</x:v>
      </x:c>
      <x:c r="AA233" s="146" t="e">
        <x:f>IF($A233="","",[1]!thsiFinD("ths_adjustment_nv_fund",AA$3,$A233))</x:f>
        <x:v>#NAME?</x:v>
      </x:c>
    </x:row>
    <x:row r="234">
      <x:c r="B234" s="146" t="e">
        <x:f>IF($A234="","",[1]!thsiFinD("ths_adjustment_nv_fund",B$3,$A234))</x:f>
        <x:v>#NAME?</x:v>
      </x:c>
      <x:c r="C234" s="146" t="e">
        <x:f>IF($A234="","",[1]!thsiFinD("ths_adjustment_nv_fund",C$3,$A234))</x:f>
        <x:v>#NAME?</x:v>
      </x:c>
      <x:c r="D234" s="146" t="e">
        <x:f>IF($A234="","",[1]!thsiFinD("ths_adjustment_nv_fund",D$3,$A234))</x:f>
        <x:v>#NAME?</x:v>
      </x:c>
      <x:c r="E234" s="146" t="e">
        <x:f>IF($A234="","",[1]!thsiFinD("ths_adjustment_nv_fund",E$3,$A234))</x:f>
        <x:v>#NAME?</x:v>
      </x:c>
      <x:c r="F234" s="146" t="e">
        <x:f>IF($A234="","",[1]!thsiFinD("ths_adjustment_nv_fund",F$3,$A234))</x:f>
        <x:v>#NAME?</x:v>
      </x:c>
      <x:c r="G234" s="146" t="e">
        <x:f>IF($A234="","",[1]!thsiFinD("ths_adjustment_nv_fund",G$3,$A234))</x:f>
        <x:v>#NAME?</x:v>
      </x:c>
      <x:c r="H234" s="146" t="e">
        <x:f>IF($A234="","",[1]!thsiFinD("ths_adjustment_nv_fund",H$3,$A234))</x:f>
        <x:v>#NAME?</x:v>
      </x:c>
      <x:c r="I234" s="146" t="e">
        <x:f>IF($A234="","",[1]!thsiFinD("ths_adjustment_nv_fund",I$3,$A234))</x:f>
        <x:v>#NAME?</x:v>
      </x:c>
      <x:c r="J234" s="146" t="e">
        <x:f>IF($A234="","",[1]!thsiFinD("ths_adjustment_nv_fund",J$3,$A234))</x:f>
        <x:v>#NAME?</x:v>
      </x:c>
      <x:c r="K234" s="146" t="e">
        <x:f>IF($A234="","",[1]!thsiFinD("ths_adjustment_nv_fund",K$3,$A234))</x:f>
        <x:v>#NAME?</x:v>
      </x:c>
      <x:c r="L234" s="146" t="e">
        <x:f>IF($A234="","",[1]!thsiFinD("ths_adjustment_nv_fund",L$3,$A234))</x:f>
        <x:v>#NAME?</x:v>
      </x:c>
      <x:c r="M234" s="146" t="e">
        <x:f>IF($A234="","",[1]!thsiFinD("ths_adjustment_nv_fund",M$3,$A234))</x:f>
        <x:v>#NAME?</x:v>
      </x:c>
      <x:c r="N234" s="146" t="e">
        <x:f>IF($A234="","",[1]!thsiFinD("ths_adjustment_nv_fund",N$3,$A234))</x:f>
        <x:v>#NAME?</x:v>
      </x:c>
      <x:c r="O234" s="146" t="e">
        <x:f>IF($A234="","",[1]!thsiFinD("ths_adjustment_nv_fund",O$3,$A234))</x:f>
        <x:v>#NAME?</x:v>
      </x:c>
      <x:c r="P234" s="146" t="e">
        <x:f>IF($A234="","",[1]!thsiFinD("ths_adjustment_nv_fund",P$3,$A234))</x:f>
        <x:v>#NAME?</x:v>
      </x:c>
      <x:c r="Q234" s="146" t="e">
        <x:f>IF($A234="","",[1]!thsiFinD("ths_adjustment_nv_fund",Q$3,$A234))</x:f>
        <x:v>#NAME?</x:v>
      </x:c>
      <x:c r="R234" s="146" t="e">
        <x:f>IF($A234="","",[1]!thsiFinD("ths_adjustment_nv_fund",R$3,$A234))</x:f>
        <x:v>#NAME?</x:v>
      </x:c>
      <x:c r="S234" s="146" t="e">
        <x:f>IF($A234="","",[1]!thsiFinD("ths_adjustment_nv_fund",S$3,$A234))</x:f>
        <x:v>#NAME?</x:v>
      </x:c>
      <x:c r="T234" s="146" t="e">
        <x:f>IF($A234="","",[1]!thsiFinD("ths_adjustment_nv_fund",T$3,$A234))</x:f>
        <x:v>#NAME?</x:v>
      </x:c>
      <x:c r="U234" s="146" t="e">
        <x:f>IF($A234="","",[1]!thsiFinD("ths_adjustment_nv_fund",U$3,$A234))</x:f>
        <x:v>#NAME?</x:v>
      </x:c>
      <x:c r="V234" s="146" t="e">
        <x:f>IF($A234="","",[1]!thsiFinD("ths_adjustment_nv_fund",V$3,$A234))</x:f>
        <x:v>#NAME?</x:v>
      </x:c>
      <x:c r="W234" s="146" t="e">
        <x:f>IF($A234="","",[1]!thsiFinD("ths_adjustment_nv_fund",W$3,$A234))</x:f>
        <x:v>#NAME?</x:v>
      </x:c>
      <x:c r="X234" s="146" t="e">
        <x:f>IF($A234="","",[1]!thsiFinD("ths_adjustment_nv_fund",X$3,$A234))</x:f>
        <x:v>#NAME?</x:v>
      </x:c>
      <x:c r="Y234" s="146" t="e">
        <x:f>IF($A234="","",[1]!thsiFinD("ths_adjustment_nv_fund",Y$3,$A234))</x:f>
        <x:v>#NAME?</x:v>
      </x:c>
      <x:c r="Z234" s="146" t="e">
        <x:f>IF($A234="","",[1]!thsiFinD("ths_adjustment_nv_fund",Z$3,$A234))</x:f>
        <x:v>#NAME?</x:v>
      </x:c>
      <x:c r="AA234" s="146" t="e">
        <x:f>IF($A234="","",[1]!thsiFinD("ths_adjustment_nv_fund",AA$3,$A234))</x:f>
        <x:v>#NAME?</x:v>
      </x:c>
    </x:row>
    <x:row r="235">
      <x:c r="B235" s="146" t="e">
        <x:f>IF($A235="","",[1]!thsiFinD("ths_adjustment_nv_fund",B$3,$A235))</x:f>
        <x:v>#NAME?</x:v>
      </x:c>
      <x:c r="C235" s="146" t="e">
        <x:f>IF($A235="","",[1]!thsiFinD("ths_adjustment_nv_fund",C$3,$A235))</x:f>
        <x:v>#NAME?</x:v>
      </x:c>
      <x:c r="D235" s="146" t="e">
        <x:f>IF($A235="","",[1]!thsiFinD("ths_adjustment_nv_fund",D$3,$A235))</x:f>
        <x:v>#NAME?</x:v>
      </x:c>
      <x:c r="E235" s="146" t="e">
        <x:f>IF($A235="","",[1]!thsiFinD("ths_adjustment_nv_fund",E$3,$A235))</x:f>
        <x:v>#NAME?</x:v>
      </x:c>
      <x:c r="F235" s="146" t="e">
        <x:f>IF($A235="","",[1]!thsiFinD("ths_adjustment_nv_fund",F$3,$A235))</x:f>
        <x:v>#NAME?</x:v>
      </x:c>
      <x:c r="G235" s="146" t="e">
        <x:f>IF($A235="","",[1]!thsiFinD("ths_adjustment_nv_fund",G$3,$A235))</x:f>
        <x:v>#NAME?</x:v>
      </x:c>
      <x:c r="H235" s="146" t="e">
        <x:f>IF($A235="","",[1]!thsiFinD("ths_adjustment_nv_fund",H$3,$A235))</x:f>
        <x:v>#NAME?</x:v>
      </x:c>
      <x:c r="I235" s="146" t="e">
        <x:f>IF($A235="","",[1]!thsiFinD("ths_adjustment_nv_fund",I$3,$A235))</x:f>
        <x:v>#NAME?</x:v>
      </x:c>
      <x:c r="J235" s="146" t="e">
        <x:f>IF($A235="","",[1]!thsiFinD("ths_adjustment_nv_fund",J$3,$A235))</x:f>
        <x:v>#NAME?</x:v>
      </x:c>
      <x:c r="K235" s="146" t="e">
        <x:f>IF($A235="","",[1]!thsiFinD("ths_adjustment_nv_fund",K$3,$A235))</x:f>
        <x:v>#NAME?</x:v>
      </x:c>
      <x:c r="L235" s="146" t="e">
        <x:f>IF($A235="","",[1]!thsiFinD("ths_adjustment_nv_fund",L$3,$A235))</x:f>
        <x:v>#NAME?</x:v>
      </x:c>
      <x:c r="M235" s="146" t="e">
        <x:f>IF($A235="","",[1]!thsiFinD("ths_adjustment_nv_fund",M$3,$A235))</x:f>
        <x:v>#NAME?</x:v>
      </x:c>
      <x:c r="N235" s="146" t="e">
        <x:f>IF($A235="","",[1]!thsiFinD("ths_adjustment_nv_fund",N$3,$A235))</x:f>
        <x:v>#NAME?</x:v>
      </x:c>
      <x:c r="O235" s="146" t="e">
        <x:f>IF($A235="","",[1]!thsiFinD("ths_adjustment_nv_fund",O$3,$A235))</x:f>
        <x:v>#NAME?</x:v>
      </x:c>
      <x:c r="P235" s="146" t="e">
        <x:f>IF($A235="","",[1]!thsiFinD("ths_adjustment_nv_fund",P$3,$A235))</x:f>
        <x:v>#NAME?</x:v>
      </x:c>
      <x:c r="Q235" s="146" t="e">
        <x:f>IF($A235="","",[1]!thsiFinD("ths_adjustment_nv_fund",Q$3,$A235))</x:f>
        <x:v>#NAME?</x:v>
      </x:c>
      <x:c r="R235" s="146" t="e">
        <x:f>IF($A235="","",[1]!thsiFinD("ths_adjustment_nv_fund",R$3,$A235))</x:f>
        <x:v>#NAME?</x:v>
      </x:c>
      <x:c r="S235" s="146" t="e">
        <x:f>IF($A235="","",[1]!thsiFinD("ths_adjustment_nv_fund",S$3,$A235))</x:f>
        <x:v>#NAME?</x:v>
      </x:c>
      <x:c r="T235" s="146" t="e">
        <x:f>IF($A235="","",[1]!thsiFinD("ths_adjustment_nv_fund",T$3,$A235))</x:f>
        <x:v>#NAME?</x:v>
      </x:c>
      <x:c r="U235" s="146" t="e">
        <x:f>IF($A235="","",[1]!thsiFinD("ths_adjustment_nv_fund",U$3,$A235))</x:f>
        <x:v>#NAME?</x:v>
      </x:c>
      <x:c r="V235" s="146" t="e">
        <x:f>IF($A235="","",[1]!thsiFinD("ths_adjustment_nv_fund",V$3,$A235))</x:f>
        <x:v>#NAME?</x:v>
      </x:c>
      <x:c r="W235" s="146" t="e">
        <x:f>IF($A235="","",[1]!thsiFinD("ths_adjustment_nv_fund",W$3,$A235))</x:f>
        <x:v>#NAME?</x:v>
      </x:c>
      <x:c r="X235" s="146" t="e">
        <x:f>IF($A235="","",[1]!thsiFinD("ths_adjustment_nv_fund",X$3,$A235))</x:f>
        <x:v>#NAME?</x:v>
      </x:c>
      <x:c r="Y235" s="146" t="e">
        <x:f>IF($A235="","",[1]!thsiFinD("ths_adjustment_nv_fund",Y$3,$A235))</x:f>
        <x:v>#NAME?</x:v>
      </x:c>
      <x:c r="Z235" s="146" t="e">
        <x:f>IF($A235="","",[1]!thsiFinD("ths_adjustment_nv_fund",Z$3,$A235))</x:f>
        <x:v>#NAME?</x:v>
      </x:c>
      <x:c r="AA235" s="146" t="e">
        <x:f>IF($A235="","",[1]!thsiFinD("ths_adjustment_nv_fund",AA$3,$A235))</x:f>
        <x:v>#NAME?</x:v>
      </x:c>
    </x:row>
    <x:row r="236">
      <x:c r="B236" s="146" t="e">
        <x:f>IF($A236="","",[1]!thsiFinD("ths_adjustment_nv_fund",B$3,$A236))</x:f>
        <x:v>#NAME?</x:v>
      </x:c>
      <x:c r="C236" s="146" t="e">
        <x:f>IF($A236="","",[1]!thsiFinD("ths_adjustment_nv_fund",C$3,$A236))</x:f>
        <x:v>#NAME?</x:v>
      </x:c>
      <x:c r="D236" s="146" t="e">
        <x:f>IF($A236="","",[1]!thsiFinD("ths_adjustment_nv_fund",D$3,$A236))</x:f>
        <x:v>#NAME?</x:v>
      </x:c>
      <x:c r="E236" s="146" t="e">
        <x:f>IF($A236="","",[1]!thsiFinD("ths_adjustment_nv_fund",E$3,$A236))</x:f>
        <x:v>#NAME?</x:v>
      </x:c>
      <x:c r="F236" s="146" t="e">
        <x:f>IF($A236="","",[1]!thsiFinD("ths_adjustment_nv_fund",F$3,$A236))</x:f>
        <x:v>#NAME?</x:v>
      </x:c>
      <x:c r="G236" s="146" t="e">
        <x:f>IF($A236="","",[1]!thsiFinD("ths_adjustment_nv_fund",G$3,$A236))</x:f>
        <x:v>#NAME?</x:v>
      </x:c>
      <x:c r="H236" s="146" t="e">
        <x:f>IF($A236="","",[1]!thsiFinD("ths_adjustment_nv_fund",H$3,$A236))</x:f>
        <x:v>#NAME?</x:v>
      </x:c>
      <x:c r="I236" s="146" t="e">
        <x:f>IF($A236="","",[1]!thsiFinD("ths_adjustment_nv_fund",I$3,$A236))</x:f>
        <x:v>#NAME?</x:v>
      </x:c>
      <x:c r="J236" s="146" t="e">
        <x:f>IF($A236="","",[1]!thsiFinD("ths_adjustment_nv_fund",J$3,$A236))</x:f>
        <x:v>#NAME?</x:v>
      </x:c>
      <x:c r="K236" s="146" t="e">
        <x:f>IF($A236="","",[1]!thsiFinD("ths_adjustment_nv_fund",K$3,$A236))</x:f>
        <x:v>#NAME?</x:v>
      </x:c>
      <x:c r="L236" s="146" t="e">
        <x:f>IF($A236="","",[1]!thsiFinD("ths_adjustment_nv_fund",L$3,$A236))</x:f>
        <x:v>#NAME?</x:v>
      </x:c>
      <x:c r="M236" s="146" t="e">
        <x:f>IF($A236="","",[1]!thsiFinD("ths_adjustment_nv_fund",M$3,$A236))</x:f>
        <x:v>#NAME?</x:v>
      </x:c>
      <x:c r="N236" s="146" t="e">
        <x:f>IF($A236="","",[1]!thsiFinD("ths_adjustment_nv_fund",N$3,$A236))</x:f>
        <x:v>#NAME?</x:v>
      </x:c>
      <x:c r="O236" s="146" t="e">
        <x:f>IF($A236="","",[1]!thsiFinD("ths_adjustment_nv_fund",O$3,$A236))</x:f>
        <x:v>#NAME?</x:v>
      </x:c>
      <x:c r="P236" s="146" t="e">
        <x:f>IF($A236="","",[1]!thsiFinD("ths_adjustment_nv_fund",P$3,$A236))</x:f>
        <x:v>#NAME?</x:v>
      </x:c>
      <x:c r="Q236" s="146" t="e">
        <x:f>IF($A236="","",[1]!thsiFinD("ths_adjustment_nv_fund",Q$3,$A236))</x:f>
        <x:v>#NAME?</x:v>
      </x:c>
      <x:c r="R236" s="146" t="e">
        <x:f>IF($A236="","",[1]!thsiFinD("ths_adjustment_nv_fund",R$3,$A236))</x:f>
        <x:v>#NAME?</x:v>
      </x:c>
      <x:c r="S236" s="146" t="e">
        <x:f>IF($A236="","",[1]!thsiFinD("ths_adjustment_nv_fund",S$3,$A236))</x:f>
        <x:v>#NAME?</x:v>
      </x:c>
      <x:c r="T236" s="146" t="e">
        <x:f>IF($A236="","",[1]!thsiFinD("ths_adjustment_nv_fund",T$3,$A236))</x:f>
        <x:v>#NAME?</x:v>
      </x:c>
      <x:c r="U236" s="146" t="e">
        <x:f>IF($A236="","",[1]!thsiFinD("ths_adjustment_nv_fund",U$3,$A236))</x:f>
        <x:v>#NAME?</x:v>
      </x:c>
      <x:c r="V236" s="146" t="e">
        <x:f>IF($A236="","",[1]!thsiFinD("ths_adjustment_nv_fund",V$3,$A236))</x:f>
        <x:v>#NAME?</x:v>
      </x:c>
      <x:c r="W236" s="146" t="e">
        <x:f>IF($A236="","",[1]!thsiFinD("ths_adjustment_nv_fund",W$3,$A236))</x:f>
        <x:v>#NAME?</x:v>
      </x:c>
      <x:c r="X236" s="146" t="e">
        <x:f>IF($A236="","",[1]!thsiFinD("ths_adjustment_nv_fund",X$3,$A236))</x:f>
        <x:v>#NAME?</x:v>
      </x:c>
      <x:c r="Y236" s="146" t="e">
        <x:f>IF($A236="","",[1]!thsiFinD("ths_adjustment_nv_fund",Y$3,$A236))</x:f>
        <x:v>#NAME?</x:v>
      </x:c>
      <x:c r="Z236" s="146" t="e">
        <x:f>IF($A236="","",[1]!thsiFinD("ths_adjustment_nv_fund",Z$3,$A236))</x:f>
        <x:v>#NAME?</x:v>
      </x:c>
      <x:c r="AA236" s="146" t="e">
        <x:f>IF($A236="","",[1]!thsiFinD("ths_adjustment_nv_fund",AA$3,$A236))</x:f>
        <x:v>#NAME?</x:v>
      </x:c>
    </x:row>
    <x:row r="237">
      <x:c r="B237" s="146" t="e">
        <x:f>IF($A237="","",[1]!thsiFinD("ths_adjustment_nv_fund",B$3,$A237))</x:f>
        <x:v>#NAME?</x:v>
      </x:c>
      <x:c r="C237" s="146" t="e">
        <x:f>IF($A237="","",[1]!thsiFinD("ths_adjustment_nv_fund",C$3,$A237))</x:f>
        <x:v>#NAME?</x:v>
      </x:c>
      <x:c r="D237" s="146" t="e">
        <x:f>IF($A237="","",[1]!thsiFinD("ths_adjustment_nv_fund",D$3,$A237))</x:f>
        <x:v>#NAME?</x:v>
      </x:c>
      <x:c r="E237" s="146" t="e">
        <x:f>IF($A237="","",[1]!thsiFinD("ths_adjustment_nv_fund",E$3,$A237))</x:f>
        <x:v>#NAME?</x:v>
      </x:c>
      <x:c r="F237" s="146" t="e">
        <x:f>IF($A237="","",[1]!thsiFinD("ths_adjustment_nv_fund",F$3,$A237))</x:f>
        <x:v>#NAME?</x:v>
      </x:c>
      <x:c r="G237" s="146" t="e">
        <x:f>IF($A237="","",[1]!thsiFinD("ths_adjustment_nv_fund",G$3,$A237))</x:f>
        <x:v>#NAME?</x:v>
      </x:c>
      <x:c r="H237" s="146" t="e">
        <x:f>IF($A237="","",[1]!thsiFinD("ths_adjustment_nv_fund",H$3,$A237))</x:f>
        <x:v>#NAME?</x:v>
      </x:c>
      <x:c r="I237" s="146" t="e">
        <x:f>IF($A237="","",[1]!thsiFinD("ths_adjustment_nv_fund",I$3,$A237))</x:f>
        <x:v>#NAME?</x:v>
      </x:c>
      <x:c r="J237" s="146" t="e">
        <x:f>IF($A237="","",[1]!thsiFinD("ths_adjustment_nv_fund",J$3,$A237))</x:f>
        <x:v>#NAME?</x:v>
      </x:c>
      <x:c r="K237" s="146" t="e">
        <x:f>IF($A237="","",[1]!thsiFinD("ths_adjustment_nv_fund",K$3,$A237))</x:f>
        <x:v>#NAME?</x:v>
      </x:c>
      <x:c r="L237" s="146" t="e">
        <x:f>IF($A237="","",[1]!thsiFinD("ths_adjustment_nv_fund",L$3,$A237))</x:f>
        <x:v>#NAME?</x:v>
      </x:c>
      <x:c r="M237" s="146" t="e">
        <x:f>IF($A237="","",[1]!thsiFinD("ths_adjustment_nv_fund",M$3,$A237))</x:f>
        <x:v>#NAME?</x:v>
      </x:c>
      <x:c r="N237" s="146" t="e">
        <x:f>IF($A237="","",[1]!thsiFinD("ths_adjustment_nv_fund",N$3,$A237))</x:f>
        <x:v>#NAME?</x:v>
      </x:c>
      <x:c r="O237" s="146" t="e">
        <x:f>IF($A237="","",[1]!thsiFinD("ths_adjustment_nv_fund",O$3,$A237))</x:f>
        <x:v>#NAME?</x:v>
      </x:c>
      <x:c r="P237" s="146" t="e">
        <x:f>IF($A237="","",[1]!thsiFinD("ths_adjustment_nv_fund",P$3,$A237))</x:f>
        <x:v>#NAME?</x:v>
      </x:c>
      <x:c r="Q237" s="146" t="e">
        <x:f>IF($A237="","",[1]!thsiFinD("ths_adjustment_nv_fund",Q$3,$A237))</x:f>
        <x:v>#NAME?</x:v>
      </x:c>
      <x:c r="R237" s="146" t="e">
        <x:f>IF($A237="","",[1]!thsiFinD("ths_adjustment_nv_fund",R$3,$A237))</x:f>
        <x:v>#NAME?</x:v>
      </x:c>
      <x:c r="S237" s="146" t="e">
        <x:f>IF($A237="","",[1]!thsiFinD("ths_adjustment_nv_fund",S$3,$A237))</x:f>
        <x:v>#NAME?</x:v>
      </x:c>
      <x:c r="T237" s="146" t="e">
        <x:f>IF($A237="","",[1]!thsiFinD("ths_adjustment_nv_fund",T$3,$A237))</x:f>
        <x:v>#NAME?</x:v>
      </x:c>
      <x:c r="U237" s="146" t="e">
        <x:f>IF($A237="","",[1]!thsiFinD("ths_adjustment_nv_fund",U$3,$A237))</x:f>
        <x:v>#NAME?</x:v>
      </x:c>
      <x:c r="V237" s="146" t="e">
        <x:f>IF($A237="","",[1]!thsiFinD("ths_adjustment_nv_fund",V$3,$A237))</x:f>
        <x:v>#NAME?</x:v>
      </x:c>
      <x:c r="W237" s="146" t="e">
        <x:f>IF($A237="","",[1]!thsiFinD("ths_adjustment_nv_fund",W$3,$A237))</x:f>
        <x:v>#NAME?</x:v>
      </x:c>
      <x:c r="X237" s="146" t="e">
        <x:f>IF($A237="","",[1]!thsiFinD("ths_adjustment_nv_fund",X$3,$A237))</x:f>
        <x:v>#NAME?</x:v>
      </x:c>
      <x:c r="Y237" s="146" t="e">
        <x:f>IF($A237="","",[1]!thsiFinD("ths_adjustment_nv_fund",Y$3,$A237))</x:f>
        <x:v>#NAME?</x:v>
      </x:c>
      <x:c r="Z237" s="146" t="e">
        <x:f>IF($A237="","",[1]!thsiFinD("ths_adjustment_nv_fund",Z$3,$A237))</x:f>
        <x:v>#NAME?</x:v>
      </x:c>
      <x:c r="AA237" s="146" t="e">
        <x:f>IF($A237="","",[1]!thsiFinD("ths_adjustment_nv_fund",AA$3,$A237))</x:f>
        <x:v>#NAME?</x:v>
      </x:c>
    </x:row>
    <x:row r="238">
      <x:c r="B238" s="146" t="e">
        <x:f>IF($A238="","",[1]!thsiFinD("ths_adjustment_nv_fund",B$3,$A238))</x:f>
        <x:v>#NAME?</x:v>
      </x:c>
      <x:c r="C238" s="146" t="e">
        <x:f>IF($A238="","",[1]!thsiFinD("ths_adjustment_nv_fund",C$3,$A238))</x:f>
        <x:v>#NAME?</x:v>
      </x:c>
      <x:c r="D238" s="146" t="e">
        <x:f>IF($A238="","",[1]!thsiFinD("ths_adjustment_nv_fund",D$3,$A238))</x:f>
        <x:v>#NAME?</x:v>
      </x:c>
      <x:c r="E238" s="146" t="e">
        <x:f>IF($A238="","",[1]!thsiFinD("ths_adjustment_nv_fund",E$3,$A238))</x:f>
        <x:v>#NAME?</x:v>
      </x:c>
      <x:c r="F238" s="146" t="e">
        <x:f>IF($A238="","",[1]!thsiFinD("ths_adjustment_nv_fund",F$3,$A238))</x:f>
        <x:v>#NAME?</x:v>
      </x:c>
      <x:c r="G238" s="146" t="e">
        <x:f>IF($A238="","",[1]!thsiFinD("ths_adjustment_nv_fund",G$3,$A238))</x:f>
        <x:v>#NAME?</x:v>
      </x:c>
      <x:c r="H238" s="146" t="e">
        <x:f>IF($A238="","",[1]!thsiFinD("ths_adjustment_nv_fund",H$3,$A238))</x:f>
        <x:v>#NAME?</x:v>
      </x:c>
      <x:c r="I238" s="146" t="e">
        <x:f>IF($A238="","",[1]!thsiFinD("ths_adjustment_nv_fund",I$3,$A238))</x:f>
        <x:v>#NAME?</x:v>
      </x:c>
      <x:c r="J238" s="146" t="e">
        <x:f>IF($A238="","",[1]!thsiFinD("ths_adjustment_nv_fund",J$3,$A238))</x:f>
        <x:v>#NAME?</x:v>
      </x:c>
      <x:c r="K238" s="146" t="e">
        <x:f>IF($A238="","",[1]!thsiFinD("ths_adjustment_nv_fund",K$3,$A238))</x:f>
        <x:v>#NAME?</x:v>
      </x:c>
      <x:c r="L238" s="146" t="e">
        <x:f>IF($A238="","",[1]!thsiFinD("ths_adjustment_nv_fund",L$3,$A238))</x:f>
        <x:v>#NAME?</x:v>
      </x:c>
      <x:c r="M238" s="146" t="e">
        <x:f>IF($A238="","",[1]!thsiFinD("ths_adjustment_nv_fund",M$3,$A238))</x:f>
        <x:v>#NAME?</x:v>
      </x:c>
      <x:c r="N238" s="146" t="e">
        <x:f>IF($A238="","",[1]!thsiFinD("ths_adjustment_nv_fund",N$3,$A238))</x:f>
        <x:v>#NAME?</x:v>
      </x:c>
      <x:c r="O238" s="146" t="e">
        <x:f>IF($A238="","",[1]!thsiFinD("ths_adjustment_nv_fund",O$3,$A238))</x:f>
        <x:v>#NAME?</x:v>
      </x:c>
      <x:c r="P238" s="146" t="e">
        <x:f>IF($A238="","",[1]!thsiFinD("ths_adjustment_nv_fund",P$3,$A238))</x:f>
        <x:v>#NAME?</x:v>
      </x:c>
      <x:c r="Q238" s="146" t="e">
        <x:f>IF($A238="","",[1]!thsiFinD("ths_adjustment_nv_fund",Q$3,$A238))</x:f>
        <x:v>#NAME?</x:v>
      </x:c>
      <x:c r="R238" s="146" t="e">
        <x:f>IF($A238="","",[1]!thsiFinD("ths_adjustment_nv_fund",R$3,$A238))</x:f>
        <x:v>#NAME?</x:v>
      </x:c>
      <x:c r="S238" s="146" t="e">
        <x:f>IF($A238="","",[1]!thsiFinD("ths_adjustment_nv_fund",S$3,$A238))</x:f>
        <x:v>#NAME?</x:v>
      </x:c>
      <x:c r="T238" s="146" t="e">
        <x:f>IF($A238="","",[1]!thsiFinD("ths_adjustment_nv_fund",T$3,$A238))</x:f>
        <x:v>#NAME?</x:v>
      </x:c>
      <x:c r="U238" s="146" t="e">
        <x:f>IF($A238="","",[1]!thsiFinD("ths_adjustment_nv_fund",U$3,$A238))</x:f>
        <x:v>#NAME?</x:v>
      </x:c>
      <x:c r="V238" s="146" t="e">
        <x:f>IF($A238="","",[1]!thsiFinD("ths_adjustment_nv_fund",V$3,$A238))</x:f>
        <x:v>#NAME?</x:v>
      </x:c>
      <x:c r="W238" s="146" t="e">
        <x:f>IF($A238="","",[1]!thsiFinD("ths_adjustment_nv_fund",W$3,$A238))</x:f>
        <x:v>#NAME?</x:v>
      </x:c>
      <x:c r="X238" s="146" t="e">
        <x:f>IF($A238="","",[1]!thsiFinD("ths_adjustment_nv_fund",X$3,$A238))</x:f>
        <x:v>#NAME?</x:v>
      </x:c>
      <x:c r="Y238" s="146" t="e">
        <x:f>IF($A238="","",[1]!thsiFinD("ths_adjustment_nv_fund",Y$3,$A238))</x:f>
        <x:v>#NAME?</x:v>
      </x:c>
      <x:c r="Z238" s="146" t="e">
        <x:f>IF($A238="","",[1]!thsiFinD("ths_adjustment_nv_fund",Z$3,$A238))</x:f>
        <x:v>#NAME?</x:v>
      </x:c>
      <x:c r="AA238" s="146" t="e">
        <x:f>IF($A238="","",[1]!thsiFinD("ths_adjustment_nv_fund",AA$3,$A238))</x:f>
        <x:v>#NAME?</x:v>
      </x:c>
    </x:row>
    <x:row r="239">
      <x:c r="B239" s="146" t="e">
        <x:f>IF($A239="","",[1]!thsiFinD("ths_adjustment_nv_fund",B$3,$A239))</x:f>
        <x:v>#NAME?</x:v>
      </x:c>
      <x:c r="C239" s="146" t="e">
        <x:f>IF($A239="","",[1]!thsiFinD("ths_adjustment_nv_fund",C$3,$A239))</x:f>
        <x:v>#NAME?</x:v>
      </x:c>
      <x:c r="D239" s="146" t="e">
        <x:f>IF($A239="","",[1]!thsiFinD("ths_adjustment_nv_fund",D$3,$A239))</x:f>
        <x:v>#NAME?</x:v>
      </x:c>
      <x:c r="E239" s="146" t="e">
        <x:f>IF($A239="","",[1]!thsiFinD("ths_adjustment_nv_fund",E$3,$A239))</x:f>
        <x:v>#NAME?</x:v>
      </x:c>
      <x:c r="F239" s="146" t="e">
        <x:f>IF($A239="","",[1]!thsiFinD("ths_adjustment_nv_fund",F$3,$A239))</x:f>
        <x:v>#NAME?</x:v>
      </x:c>
      <x:c r="G239" s="146" t="e">
        <x:f>IF($A239="","",[1]!thsiFinD("ths_adjustment_nv_fund",G$3,$A239))</x:f>
        <x:v>#NAME?</x:v>
      </x:c>
      <x:c r="H239" s="146" t="e">
        <x:f>IF($A239="","",[1]!thsiFinD("ths_adjustment_nv_fund",H$3,$A239))</x:f>
        <x:v>#NAME?</x:v>
      </x:c>
      <x:c r="I239" s="146" t="e">
        <x:f>IF($A239="","",[1]!thsiFinD("ths_adjustment_nv_fund",I$3,$A239))</x:f>
        <x:v>#NAME?</x:v>
      </x:c>
      <x:c r="J239" s="146" t="e">
        <x:f>IF($A239="","",[1]!thsiFinD("ths_adjustment_nv_fund",J$3,$A239))</x:f>
        <x:v>#NAME?</x:v>
      </x:c>
      <x:c r="K239" s="146" t="e">
        <x:f>IF($A239="","",[1]!thsiFinD("ths_adjustment_nv_fund",K$3,$A239))</x:f>
        <x:v>#NAME?</x:v>
      </x:c>
      <x:c r="L239" s="146" t="e">
        <x:f>IF($A239="","",[1]!thsiFinD("ths_adjustment_nv_fund",L$3,$A239))</x:f>
        <x:v>#NAME?</x:v>
      </x:c>
      <x:c r="M239" s="146" t="e">
        <x:f>IF($A239="","",[1]!thsiFinD("ths_adjustment_nv_fund",M$3,$A239))</x:f>
        <x:v>#NAME?</x:v>
      </x:c>
      <x:c r="N239" s="146" t="e">
        <x:f>IF($A239="","",[1]!thsiFinD("ths_adjustment_nv_fund",N$3,$A239))</x:f>
        <x:v>#NAME?</x:v>
      </x:c>
      <x:c r="O239" s="146" t="e">
        <x:f>IF($A239="","",[1]!thsiFinD("ths_adjustment_nv_fund",O$3,$A239))</x:f>
        <x:v>#NAME?</x:v>
      </x:c>
      <x:c r="P239" s="146" t="e">
        <x:f>IF($A239="","",[1]!thsiFinD("ths_adjustment_nv_fund",P$3,$A239))</x:f>
        <x:v>#NAME?</x:v>
      </x:c>
      <x:c r="Q239" s="146" t="e">
        <x:f>IF($A239="","",[1]!thsiFinD("ths_adjustment_nv_fund",Q$3,$A239))</x:f>
        <x:v>#NAME?</x:v>
      </x:c>
      <x:c r="R239" s="146" t="e">
        <x:f>IF($A239="","",[1]!thsiFinD("ths_adjustment_nv_fund",R$3,$A239))</x:f>
        <x:v>#NAME?</x:v>
      </x:c>
      <x:c r="S239" s="146" t="e">
        <x:f>IF($A239="","",[1]!thsiFinD("ths_adjustment_nv_fund",S$3,$A239))</x:f>
        <x:v>#NAME?</x:v>
      </x:c>
      <x:c r="T239" s="146" t="e">
        <x:f>IF($A239="","",[1]!thsiFinD("ths_adjustment_nv_fund",T$3,$A239))</x:f>
        <x:v>#NAME?</x:v>
      </x:c>
      <x:c r="U239" s="146" t="e">
        <x:f>IF($A239="","",[1]!thsiFinD("ths_adjustment_nv_fund",U$3,$A239))</x:f>
        <x:v>#NAME?</x:v>
      </x:c>
      <x:c r="V239" s="146" t="e">
        <x:f>IF($A239="","",[1]!thsiFinD("ths_adjustment_nv_fund",V$3,$A239))</x:f>
        <x:v>#NAME?</x:v>
      </x:c>
      <x:c r="W239" s="146" t="e">
        <x:f>IF($A239="","",[1]!thsiFinD("ths_adjustment_nv_fund",W$3,$A239))</x:f>
        <x:v>#NAME?</x:v>
      </x:c>
      <x:c r="X239" s="146" t="e">
        <x:f>IF($A239="","",[1]!thsiFinD("ths_adjustment_nv_fund",X$3,$A239))</x:f>
        <x:v>#NAME?</x:v>
      </x:c>
      <x:c r="Y239" s="146" t="e">
        <x:f>IF($A239="","",[1]!thsiFinD("ths_adjustment_nv_fund",Y$3,$A239))</x:f>
        <x:v>#NAME?</x:v>
      </x:c>
      <x:c r="Z239" s="146" t="e">
        <x:f>IF($A239="","",[1]!thsiFinD("ths_adjustment_nv_fund",Z$3,$A239))</x:f>
        <x:v>#NAME?</x:v>
      </x:c>
      <x:c r="AA239" s="146" t="e">
        <x:f>IF($A239="","",[1]!thsiFinD("ths_adjustment_nv_fund",AA$3,$A239))</x:f>
        <x:v>#NAME?</x:v>
      </x:c>
    </x:row>
    <x:row r="240">
      <x:c r="B240" s="146" t="e">
        <x:f>IF($A240="","",[1]!thsiFinD("ths_adjustment_nv_fund",B$3,$A240))</x:f>
        <x:v>#NAME?</x:v>
      </x:c>
      <x:c r="C240" s="146" t="e">
        <x:f>IF($A240="","",[1]!thsiFinD("ths_adjustment_nv_fund",C$3,$A240))</x:f>
        <x:v>#NAME?</x:v>
      </x:c>
      <x:c r="D240" s="146" t="e">
        <x:f>IF($A240="","",[1]!thsiFinD("ths_adjustment_nv_fund",D$3,$A240))</x:f>
        <x:v>#NAME?</x:v>
      </x:c>
      <x:c r="E240" s="146" t="e">
        <x:f>IF($A240="","",[1]!thsiFinD("ths_adjustment_nv_fund",E$3,$A240))</x:f>
        <x:v>#NAME?</x:v>
      </x:c>
      <x:c r="F240" s="146" t="e">
        <x:f>IF($A240="","",[1]!thsiFinD("ths_adjustment_nv_fund",F$3,$A240))</x:f>
        <x:v>#NAME?</x:v>
      </x:c>
      <x:c r="G240" s="146" t="e">
        <x:f>IF($A240="","",[1]!thsiFinD("ths_adjustment_nv_fund",G$3,$A240))</x:f>
        <x:v>#NAME?</x:v>
      </x:c>
      <x:c r="H240" s="146" t="e">
        <x:f>IF($A240="","",[1]!thsiFinD("ths_adjustment_nv_fund",H$3,$A240))</x:f>
        <x:v>#NAME?</x:v>
      </x:c>
      <x:c r="I240" s="146" t="e">
        <x:f>IF($A240="","",[1]!thsiFinD("ths_adjustment_nv_fund",I$3,$A240))</x:f>
        <x:v>#NAME?</x:v>
      </x:c>
      <x:c r="J240" s="146" t="e">
        <x:f>IF($A240="","",[1]!thsiFinD("ths_adjustment_nv_fund",J$3,$A240))</x:f>
        <x:v>#NAME?</x:v>
      </x:c>
      <x:c r="K240" s="146" t="e">
        <x:f>IF($A240="","",[1]!thsiFinD("ths_adjustment_nv_fund",K$3,$A240))</x:f>
        <x:v>#NAME?</x:v>
      </x:c>
      <x:c r="L240" s="146" t="e">
        <x:f>IF($A240="","",[1]!thsiFinD("ths_adjustment_nv_fund",L$3,$A240))</x:f>
        <x:v>#NAME?</x:v>
      </x:c>
      <x:c r="M240" s="146" t="e">
        <x:f>IF($A240="","",[1]!thsiFinD("ths_adjustment_nv_fund",M$3,$A240))</x:f>
        <x:v>#NAME?</x:v>
      </x:c>
      <x:c r="N240" s="146" t="e">
        <x:f>IF($A240="","",[1]!thsiFinD("ths_adjustment_nv_fund",N$3,$A240))</x:f>
        <x:v>#NAME?</x:v>
      </x:c>
      <x:c r="O240" s="146" t="e">
        <x:f>IF($A240="","",[1]!thsiFinD("ths_adjustment_nv_fund",O$3,$A240))</x:f>
        <x:v>#NAME?</x:v>
      </x:c>
      <x:c r="P240" s="146" t="e">
        <x:f>IF($A240="","",[1]!thsiFinD("ths_adjustment_nv_fund",P$3,$A240))</x:f>
        <x:v>#NAME?</x:v>
      </x:c>
      <x:c r="Q240" s="146" t="e">
        <x:f>IF($A240="","",[1]!thsiFinD("ths_adjustment_nv_fund",Q$3,$A240))</x:f>
        <x:v>#NAME?</x:v>
      </x:c>
      <x:c r="R240" s="146" t="e">
        <x:f>IF($A240="","",[1]!thsiFinD("ths_adjustment_nv_fund",R$3,$A240))</x:f>
        <x:v>#NAME?</x:v>
      </x:c>
      <x:c r="S240" s="146" t="e">
        <x:f>IF($A240="","",[1]!thsiFinD("ths_adjustment_nv_fund",S$3,$A240))</x:f>
        <x:v>#NAME?</x:v>
      </x:c>
      <x:c r="T240" s="146" t="e">
        <x:f>IF($A240="","",[1]!thsiFinD("ths_adjustment_nv_fund",T$3,$A240))</x:f>
        <x:v>#NAME?</x:v>
      </x:c>
      <x:c r="U240" s="146" t="e">
        <x:f>IF($A240="","",[1]!thsiFinD("ths_adjustment_nv_fund",U$3,$A240))</x:f>
        <x:v>#NAME?</x:v>
      </x:c>
      <x:c r="V240" s="146" t="e">
        <x:f>IF($A240="","",[1]!thsiFinD("ths_adjustment_nv_fund",V$3,$A240))</x:f>
        <x:v>#NAME?</x:v>
      </x:c>
      <x:c r="W240" s="146" t="e">
        <x:f>IF($A240="","",[1]!thsiFinD("ths_adjustment_nv_fund",W$3,$A240))</x:f>
        <x:v>#NAME?</x:v>
      </x:c>
      <x:c r="X240" s="146" t="e">
        <x:f>IF($A240="","",[1]!thsiFinD("ths_adjustment_nv_fund",X$3,$A240))</x:f>
        <x:v>#NAME?</x:v>
      </x:c>
      <x:c r="Y240" s="146" t="e">
        <x:f>IF($A240="","",[1]!thsiFinD("ths_adjustment_nv_fund",Y$3,$A240))</x:f>
        <x:v>#NAME?</x:v>
      </x:c>
      <x:c r="Z240" s="146" t="e">
        <x:f>IF($A240="","",[1]!thsiFinD("ths_adjustment_nv_fund",Z$3,$A240))</x:f>
        <x:v>#NAME?</x:v>
      </x:c>
      <x:c r="AA240" s="146" t="e">
        <x:f>IF($A240="","",[1]!thsiFinD("ths_adjustment_nv_fund",AA$3,$A240))</x:f>
        <x:v>#NAME?</x:v>
      </x:c>
    </x:row>
    <x:row r="241">
      <x:c r="B241" s="146" t="e">
        <x:f>IF($A241="","",[1]!thsiFinD("ths_adjustment_nv_fund",B$3,$A241))</x:f>
        <x:v>#NAME?</x:v>
      </x:c>
      <x:c r="C241" s="146" t="e">
        <x:f>IF($A241="","",[1]!thsiFinD("ths_adjustment_nv_fund",C$3,$A241))</x:f>
        <x:v>#NAME?</x:v>
      </x:c>
      <x:c r="D241" s="146" t="e">
        <x:f>IF($A241="","",[1]!thsiFinD("ths_adjustment_nv_fund",D$3,$A241))</x:f>
        <x:v>#NAME?</x:v>
      </x:c>
      <x:c r="E241" s="146" t="e">
        <x:f>IF($A241="","",[1]!thsiFinD("ths_adjustment_nv_fund",E$3,$A241))</x:f>
        <x:v>#NAME?</x:v>
      </x:c>
      <x:c r="F241" s="146" t="e">
        <x:f>IF($A241="","",[1]!thsiFinD("ths_adjustment_nv_fund",F$3,$A241))</x:f>
        <x:v>#NAME?</x:v>
      </x:c>
      <x:c r="G241" s="146" t="e">
        <x:f>IF($A241="","",[1]!thsiFinD("ths_adjustment_nv_fund",G$3,$A241))</x:f>
        <x:v>#NAME?</x:v>
      </x:c>
      <x:c r="H241" s="146" t="e">
        <x:f>IF($A241="","",[1]!thsiFinD("ths_adjustment_nv_fund",H$3,$A241))</x:f>
        <x:v>#NAME?</x:v>
      </x:c>
      <x:c r="I241" s="146" t="e">
        <x:f>IF($A241="","",[1]!thsiFinD("ths_adjustment_nv_fund",I$3,$A241))</x:f>
        <x:v>#NAME?</x:v>
      </x:c>
      <x:c r="J241" s="146" t="e">
        <x:f>IF($A241="","",[1]!thsiFinD("ths_adjustment_nv_fund",J$3,$A241))</x:f>
        <x:v>#NAME?</x:v>
      </x:c>
      <x:c r="K241" s="146" t="e">
        <x:f>IF($A241="","",[1]!thsiFinD("ths_adjustment_nv_fund",K$3,$A241))</x:f>
        <x:v>#NAME?</x:v>
      </x:c>
      <x:c r="L241" s="146" t="e">
        <x:f>IF($A241="","",[1]!thsiFinD("ths_adjustment_nv_fund",L$3,$A241))</x:f>
        <x:v>#NAME?</x:v>
      </x:c>
      <x:c r="M241" s="146" t="e">
        <x:f>IF($A241="","",[1]!thsiFinD("ths_adjustment_nv_fund",M$3,$A241))</x:f>
        <x:v>#NAME?</x:v>
      </x:c>
      <x:c r="N241" s="146" t="e">
        <x:f>IF($A241="","",[1]!thsiFinD("ths_adjustment_nv_fund",N$3,$A241))</x:f>
        <x:v>#NAME?</x:v>
      </x:c>
      <x:c r="O241" s="146" t="e">
        <x:f>IF($A241="","",[1]!thsiFinD("ths_adjustment_nv_fund",O$3,$A241))</x:f>
        <x:v>#NAME?</x:v>
      </x:c>
      <x:c r="P241" s="146" t="e">
        <x:f>IF($A241="","",[1]!thsiFinD("ths_adjustment_nv_fund",P$3,$A241))</x:f>
        <x:v>#NAME?</x:v>
      </x:c>
      <x:c r="Q241" s="146" t="e">
        <x:f>IF($A241="","",[1]!thsiFinD("ths_adjustment_nv_fund",Q$3,$A241))</x:f>
        <x:v>#NAME?</x:v>
      </x:c>
      <x:c r="R241" s="146" t="e">
        <x:f>IF($A241="","",[1]!thsiFinD("ths_adjustment_nv_fund",R$3,$A241))</x:f>
        <x:v>#NAME?</x:v>
      </x:c>
      <x:c r="S241" s="146" t="e">
        <x:f>IF($A241="","",[1]!thsiFinD("ths_adjustment_nv_fund",S$3,$A241))</x:f>
        <x:v>#NAME?</x:v>
      </x:c>
      <x:c r="T241" s="146" t="e">
        <x:f>IF($A241="","",[1]!thsiFinD("ths_adjustment_nv_fund",T$3,$A241))</x:f>
        <x:v>#NAME?</x:v>
      </x:c>
      <x:c r="U241" s="146" t="e">
        <x:f>IF($A241="","",[1]!thsiFinD("ths_adjustment_nv_fund",U$3,$A241))</x:f>
        <x:v>#NAME?</x:v>
      </x:c>
      <x:c r="V241" s="146" t="e">
        <x:f>IF($A241="","",[1]!thsiFinD("ths_adjustment_nv_fund",V$3,$A241))</x:f>
        <x:v>#NAME?</x:v>
      </x:c>
      <x:c r="W241" s="146" t="e">
        <x:f>IF($A241="","",[1]!thsiFinD("ths_adjustment_nv_fund",W$3,$A241))</x:f>
        <x:v>#NAME?</x:v>
      </x:c>
      <x:c r="X241" s="146" t="e">
        <x:f>IF($A241="","",[1]!thsiFinD("ths_adjustment_nv_fund",X$3,$A241))</x:f>
        <x:v>#NAME?</x:v>
      </x:c>
      <x:c r="Y241" s="146" t="e">
        <x:f>IF($A241="","",[1]!thsiFinD("ths_adjustment_nv_fund",Y$3,$A241))</x:f>
        <x:v>#NAME?</x:v>
      </x:c>
      <x:c r="Z241" s="146" t="e">
        <x:f>IF($A241="","",[1]!thsiFinD("ths_adjustment_nv_fund",Z$3,$A241))</x:f>
        <x:v>#NAME?</x:v>
      </x:c>
      <x:c r="AA241" s="146" t="e">
        <x:f>IF($A241="","",[1]!thsiFinD("ths_adjustment_nv_fund",AA$3,$A241))</x:f>
        <x:v>#NAME?</x:v>
      </x:c>
    </x:row>
    <x:row r="242">
      <x:c r="B242" s="146" t="e">
        <x:f>IF($A242="","",[1]!thsiFinD("ths_adjustment_nv_fund",B$3,$A242))</x:f>
        <x:v>#NAME?</x:v>
      </x:c>
      <x:c r="C242" s="146" t="e">
        <x:f>IF($A242="","",[1]!thsiFinD("ths_adjustment_nv_fund",C$3,$A242))</x:f>
        <x:v>#NAME?</x:v>
      </x:c>
      <x:c r="D242" s="146" t="e">
        <x:f>IF($A242="","",[1]!thsiFinD("ths_adjustment_nv_fund",D$3,$A242))</x:f>
        <x:v>#NAME?</x:v>
      </x:c>
      <x:c r="E242" s="146" t="e">
        <x:f>IF($A242="","",[1]!thsiFinD("ths_adjustment_nv_fund",E$3,$A242))</x:f>
        <x:v>#NAME?</x:v>
      </x:c>
      <x:c r="F242" s="146" t="e">
        <x:f>IF($A242="","",[1]!thsiFinD("ths_adjustment_nv_fund",F$3,$A242))</x:f>
        <x:v>#NAME?</x:v>
      </x:c>
      <x:c r="G242" s="146" t="e">
        <x:f>IF($A242="","",[1]!thsiFinD("ths_adjustment_nv_fund",G$3,$A242))</x:f>
        <x:v>#NAME?</x:v>
      </x:c>
      <x:c r="H242" s="146" t="e">
        <x:f>IF($A242="","",[1]!thsiFinD("ths_adjustment_nv_fund",H$3,$A242))</x:f>
        <x:v>#NAME?</x:v>
      </x:c>
      <x:c r="I242" s="146" t="e">
        <x:f>IF($A242="","",[1]!thsiFinD("ths_adjustment_nv_fund",I$3,$A242))</x:f>
        <x:v>#NAME?</x:v>
      </x:c>
      <x:c r="J242" s="146" t="e">
        <x:f>IF($A242="","",[1]!thsiFinD("ths_adjustment_nv_fund",J$3,$A242))</x:f>
        <x:v>#NAME?</x:v>
      </x:c>
      <x:c r="K242" s="146" t="e">
        <x:f>IF($A242="","",[1]!thsiFinD("ths_adjustment_nv_fund",K$3,$A242))</x:f>
        <x:v>#NAME?</x:v>
      </x:c>
      <x:c r="L242" s="146" t="e">
        <x:f>IF($A242="","",[1]!thsiFinD("ths_adjustment_nv_fund",L$3,$A242))</x:f>
        <x:v>#NAME?</x:v>
      </x:c>
      <x:c r="M242" s="146" t="e">
        <x:f>IF($A242="","",[1]!thsiFinD("ths_adjustment_nv_fund",M$3,$A242))</x:f>
        <x:v>#NAME?</x:v>
      </x:c>
      <x:c r="N242" s="146" t="e">
        <x:f>IF($A242="","",[1]!thsiFinD("ths_adjustment_nv_fund",N$3,$A242))</x:f>
        <x:v>#NAME?</x:v>
      </x:c>
      <x:c r="O242" s="146" t="e">
        <x:f>IF($A242="","",[1]!thsiFinD("ths_adjustment_nv_fund",O$3,$A242))</x:f>
        <x:v>#NAME?</x:v>
      </x:c>
      <x:c r="P242" s="146" t="e">
        <x:f>IF($A242="","",[1]!thsiFinD("ths_adjustment_nv_fund",P$3,$A242))</x:f>
        <x:v>#NAME?</x:v>
      </x:c>
      <x:c r="Q242" s="146" t="e">
        <x:f>IF($A242="","",[1]!thsiFinD("ths_adjustment_nv_fund",Q$3,$A242))</x:f>
        <x:v>#NAME?</x:v>
      </x:c>
      <x:c r="R242" s="146" t="e">
        <x:f>IF($A242="","",[1]!thsiFinD("ths_adjustment_nv_fund",R$3,$A242))</x:f>
        <x:v>#NAME?</x:v>
      </x:c>
      <x:c r="S242" s="146" t="e">
        <x:f>IF($A242="","",[1]!thsiFinD("ths_adjustment_nv_fund",S$3,$A242))</x:f>
        <x:v>#NAME?</x:v>
      </x:c>
      <x:c r="T242" s="146" t="e">
        <x:f>IF($A242="","",[1]!thsiFinD("ths_adjustment_nv_fund",T$3,$A242))</x:f>
        <x:v>#NAME?</x:v>
      </x:c>
      <x:c r="U242" s="146" t="e">
        <x:f>IF($A242="","",[1]!thsiFinD("ths_adjustment_nv_fund",U$3,$A242))</x:f>
        <x:v>#NAME?</x:v>
      </x:c>
      <x:c r="V242" s="146" t="e">
        <x:f>IF($A242="","",[1]!thsiFinD("ths_adjustment_nv_fund",V$3,$A242))</x:f>
        <x:v>#NAME?</x:v>
      </x:c>
      <x:c r="W242" s="146" t="e">
        <x:f>IF($A242="","",[1]!thsiFinD("ths_adjustment_nv_fund",W$3,$A242))</x:f>
        <x:v>#NAME?</x:v>
      </x:c>
      <x:c r="X242" s="146" t="e">
        <x:f>IF($A242="","",[1]!thsiFinD("ths_adjustment_nv_fund",X$3,$A242))</x:f>
        <x:v>#NAME?</x:v>
      </x:c>
      <x:c r="Y242" s="146" t="e">
        <x:f>IF($A242="","",[1]!thsiFinD("ths_adjustment_nv_fund",Y$3,$A242))</x:f>
        <x:v>#NAME?</x:v>
      </x:c>
      <x:c r="Z242" s="146" t="e">
        <x:f>IF($A242="","",[1]!thsiFinD("ths_adjustment_nv_fund",Z$3,$A242))</x:f>
        <x:v>#NAME?</x:v>
      </x:c>
      <x:c r="AA242" s="146" t="e">
        <x:f>IF($A242="","",[1]!thsiFinD("ths_adjustment_nv_fund",AA$3,$A242))</x:f>
        <x:v>#NAME?</x:v>
      </x:c>
    </x:row>
    <x:row r="243">
      <x:c r="B243" s="146" t="e">
        <x:f>IF($A243="","",[1]!thsiFinD("ths_adjustment_nv_fund",B$3,$A243))</x:f>
        <x:v>#NAME?</x:v>
      </x:c>
      <x:c r="C243" s="146" t="e">
        <x:f>IF($A243="","",[1]!thsiFinD("ths_adjustment_nv_fund",C$3,$A243))</x:f>
        <x:v>#NAME?</x:v>
      </x:c>
      <x:c r="D243" s="146" t="e">
        <x:f>IF($A243="","",[1]!thsiFinD("ths_adjustment_nv_fund",D$3,$A243))</x:f>
        <x:v>#NAME?</x:v>
      </x:c>
      <x:c r="E243" s="146" t="e">
        <x:f>IF($A243="","",[1]!thsiFinD("ths_adjustment_nv_fund",E$3,$A243))</x:f>
        <x:v>#NAME?</x:v>
      </x:c>
      <x:c r="F243" s="146" t="e">
        <x:f>IF($A243="","",[1]!thsiFinD("ths_adjustment_nv_fund",F$3,$A243))</x:f>
        <x:v>#NAME?</x:v>
      </x:c>
      <x:c r="G243" s="146" t="e">
        <x:f>IF($A243="","",[1]!thsiFinD("ths_adjustment_nv_fund",G$3,$A243))</x:f>
        <x:v>#NAME?</x:v>
      </x:c>
      <x:c r="H243" s="146" t="e">
        <x:f>IF($A243="","",[1]!thsiFinD("ths_adjustment_nv_fund",H$3,$A243))</x:f>
        <x:v>#NAME?</x:v>
      </x:c>
      <x:c r="I243" s="146" t="e">
        <x:f>IF($A243="","",[1]!thsiFinD("ths_adjustment_nv_fund",I$3,$A243))</x:f>
        <x:v>#NAME?</x:v>
      </x:c>
      <x:c r="J243" s="146" t="e">
        <x:f>IF($A243="","",[1]!thsiFinD("ths_adjustment_nv_fund",J$3,$A243))</x:f>
        <x:v>#NAME?</x:v>
      </x:c>
      <x:c r="K243" s="146" t="e">
        <x:f>IF($A243="","",[1]!thsiFinD("ths_adjustment_nv_fund",K$3,$A243))</x:f>
        <x:v>#NAME?</x:v>
      </x:c>
      <x:c r="L243" s="146" t="e">
        <x:f>IF($A243="","",[1]!thsiFinD("ths_adjustment_nv_fund",L$3,$A243))</x:f>
        <x:v>#NAME?</x:v>
      </x:c>
      <x:c r="M243" s="146" t="e">
        <x:f>IF($A243="","",[1]!thsiFinD("ths_adjustment_nv_fund",M$3,$A243))</x:f>
        <x:v>#NAME?</x:v>
      </x:c>
      <x:c r="N243" s="146" t="e">
        <x:f>IF($A243="","",[1]!thsiFinD("ths_adjustment_nv_fund",N$3,$A243))</x:f>
        <x:v>#NAME?</x:v>
      </x:c>
      <x:c r="O243" s="146" t="e">
        <x:f>IF($A243="","",[1]!thsiFinD("ths_adjustment_nv_fund",O$3,$A243))</x:f>
        <x:v>#NAME?</x:v>
      </x:c>
      <x:c r="P243" s="146" t="e">
        <x:f>IF($A243="","",[1]!thsiFinD("ths_adjustment_nv_fund",P$3,$A243))</x:f>
        <x:v>#NAME?</x:v>
      </x:c>
      <x:c r="Q243" s="146" t="e">
        <x:f>IF($A243="","",[1]!thsiFinD("ths_adjustment_nv_fund",Q$3,$A243))</x:f>
        <x:v>#NAME?</x:v>
      </x:c>
      <x:c r="R243" s="146" t="e">
        <x:f>IF($A243="","",[1]!thsiFinD("ths_adjustment_nv_fund",R$3,$A243))</x:f>
        <x:v>#NAME?</x:v>
      </x:c>
      <x:c r="S243" s="146" t="e">
        <x:f>IF($A243="","",[1]!thsiFinD("ths_adjustment_nv_fund",S$3,$A243))</x:f>
        <x:v>#NAME?</x:v>
      </x:c>
      <x:c r="T243" s="146" t="e">
        <x:f>IF($A243="","",[1]!thsiFinD("ths_adjustment_nv_fund",T$3,$A243))</x:f>
        <x:v>#NAME?</x:v>
      </x:c>
      <x:c r="U243" s="146" t="e">
        <x:f>IF($A243="","",[1]!thsiFinD("ths_adjustment_nv_fund",U$3,$A243))</x:f>
        <x:v>#NAME?</x:v>
      </x:c>
      <x:c r="V243" s="146" t="e">
        <x:f>IF($A243="","",[1]!thsiFinD("ths_adjustment_nv_fund",V$3,$A243))</x:f>
        <x:v>#NAME?</x:v>
      </x:c>
      <x:c r="W243" s="146" t="e">
        <x:f>IF($A243="","",[1]!thsiFinD("ths_adjustment_nv_fund",W$3,$A243))</x:f>
        <x:v>#NAME?</x:v>
      </x:c>
      <x:c r="X243" s="146" t="e">
        <x:f>IF($A243="","",[1]!thsiFinD("ths_adjustment_nv_fund",X$3,$A243))</x:f>
        <x:v>#NAME?</x:v>
      </x:c>
      <x:c r="Y243" s="146" t="e">
        <x:f>IF($A243="","",[1]!thsiFinD("ths_adjustment_nv_fund",Y$3,$A243))</x:f>
        <x:v>#NAME?</x:v>
      </x:c>
      <x:c r="Z243" s="146" t="e">
        <x:f>IF($A243="","",[1]!thsiFinD("ths_adjustment_nv_fund",Z$3,$A243))</x:f>
        <x:v>#NAME?</x:v>
      </x:c>
      <x:c r="AA243" s="146" t="e">
        <x:f>IF($A243="","",[1]!thsiFinD("ths_adjustment_nv_fund",AA$3,$A243))</x:f>
        <x:v>#NAME?</x:v>
      </x:c>
    </x:row>
    <x:row r="244">
      <x:c r="B244" s="146" t="e">
        <x:f>IF($A244="","",[1]!thsiFinD("ths_adjustment_nv_fund",B$3,$A244))</x:f>
        <x:v>#NAME?</x:v>
      </x:c>
      <x:c r="C244" s="146" t="e">
        <x:f>IF($A244="","",[1]!thsiFinD("ths_adjustment_nv_fund",C$3,$A244))</x:f>
        <x:v>#NAME?</x:v>
      </x:c>
      <x:c r="D244" s="146" t="e">
        <x:f>IF($A244="","",[1]!thsiFinD("ths_adjustment_nv_fund",D$3,$A244))</x:f>
        <x:v>#NAME?</x:v>
      </x:c>
      <x:c r="E244" s="146" t="e">
        <x:f>IF($A244="","",[1]!thsiFinD("ths_adjustment_nv_fund",E$3,$A244))</x:f>
        <x:v>#NAME?</x:v>
      </x:c>
      <x:c r="F244" s="146" t="e">
        <x:f>IF($A244="","",[1]!thsiFinD("ths_adjustment_nv_fund",F$3,$A244))</x:f>
        <x:v>#NAME?</x:v>
      </x:c>
      <x:c r="G244" s="146" t="e">
        <x:f>IF($A244="","",[1]!thsiFinD("ths_adjustment_nv_fund",G$3,$A244))</x:f>
        <x:v>#NAME?</x:v>
      </x:c>
      <x:c r="H244" s="146" t="e">
        <x:f>IF($A244="","",[1]!thsiFinD("ths_adjustment_nv_fund",H$3,$A244))</x:f>
        <x:v>#NAME?</x:v>
      </x:c>
      <x:c r="I244" s="146" t="e">
        <x:f>IF($A244="","",[1]!thsiFinD("ths_adjustment_nv_fund",I$3,$A244))</x:f>
        <x:v>#NAME?</x:v>
      </x:c>
      <x:c r="J244" s="146" t="e">
        <x:f>IF($A244="","",[1]!thsiFinD("ths_adjustment_nv_fund",J$3,$A244))</x:f>
        <x:v>#NAME?</x:v>
      </x:c>
      <x:c r="K244" s="146" t="e">
        <x:f>IF($A244="","",[1]!thsiFinD("ths_adjustment_nv_fund",K$3,$A244))</x:f>
        <x:v>#NAME?</x:v>
      </x:c>
      <x:c r="L244" s="146" t="e">
        <x:f>IF($A244="","",[1]!thsiFinD("ths_adjustment_nv_fund",L$3,$A244))</x:f>
        <x:v>#NAME?</x:v>
      </x:c>
      <x:c r="M244" s="146" t="e">
        <x:f>IF($A244="","",[1]!thsiFinD("ths_adjustment_nv_fund",M$3,$A244))</x:f>
        <x:v>#NAME?</x:v>
      </x:c>
      <x:c r="N244" s="146" t="e">
        <x:f>IF($A244="","",[1]!thsiFinD("ths_adjustment_nv_fund",N$3,$A244))</x:f>
        <x:v>#NAME?</x:v>
      </x:c>
      <x:c r="O244" s="146" t="e">
        <x:f>IF($A244="","",[1]!thsiFinD("ths_adjustment_nv_fund",O$3,$A244))</x:f>
        <x:v>#NAME?</x:v>
      </x:c>
      <x:c r="P244" s="146" t="e">
        <x:f>IF($A244="","",[1]!thsiFinD("ths_adjustment_nv_fund",P$3,$A244))</x:f>
        <x:v>#NAME?</x:v>
      </x:c>
      <x:c r="Q244" s="146" t="e">
        <x:f>IF($A244="","",[1]!thsiFinD("ths_adjustment_nv_fund",Q$3,$A244))</x:f>
        <x:v>#NAME?</x:v>
      </x:c>
      <x:c r="R244" s="146" t="e">
        <x:f>IF($A244="","",[1]!thsiFinD("ths_adjustment_nv_fund",R$3,$A244))</x:f>
        <x:v>#NAME?</x:v>
      </x:c>
      <x:c r="S244" s="146" t="e">
        <x:f>IF($A244="","",[1]!thsiFinD("ths_adjustment_nv_fund",S$3,$A244))</x:f>
        <x:v>#NAME?</x:v>
      </x:c>
      <x:c r="T244" s="146" t="e">
        <x:f>IF($A244="","",[1]!thsiFinD("ths_adjustment_nv_fund",T$3,$A244))</x:f>
        <x:v>#NAME?</x:v>
      </x:c>
      <x:c r="U244" s="146" t="e">
        <x:f>IF($A244="","",[1]!thsiFinD("ths_adjustment_nv_fund",U$3,$A244))</x:f>
        <x:v>#NAME?</x:v>
      </x:c>
      <x:c r="V244" s="146" t="e">
        <x:f>IF($A244="","",[1]!thsiFinD("ths_adjustment_nv_fund",V$3,$A244))</x:f>
        <x:v>#NAME?</x:v>
      </x:c>
      <x:c r="W244" s="146" t="e">
        <x:f>IF($A244="","",[1]!thsiFinD("ths_adjustment_nv_fund",W$3,$A244))</x:f>
        <x:v>#NAME?</x:v>
      </x:c>
      <x:c r="X244" s="146" t="e">
        <x:f>IF($A244="","",[1]!thsiFinD("ths_adjustment_nv_fund",X$3,$A244))</x:f>
        <x:v>#NAME?</x:v>
      </x:c>
      <x:c r="Y244" s="146" t="e">
        <x:f>IF($A244="","",[1]!thsiFinD("ths_adjustment_nv_fund",Y$3,$A244))</x:f>
        <x:v>#NAME?</x:v>
      </x:c>
      <x:c r="Z244" s="146" t="e">
        <x:f>IF($A244="","",[1]!thsiFinD("ths_adjustment_nv_fund",Z$3,$A244))</x:f>
        <x:v>#NAME?</x:v>
      </x:c>
      <x:c r="AA244" s="146" t="e">
        <x:f>IF($A244="","",[1]!thsiFinD("ths_adjustment_nv_fund",AA$3,$A244))</x:f>
        <x:v>#NAME?</x:v>
      </x:c>
    </x:row>
    <x:row r="245">
      <x:c r="B245" s="146" t="e">
        <x:f>IF($A245="","",[1]!thsiFinD("ths_adjustment_nv_fund",B$3,$A245))</x:f>
        <x:v>#NAME?</x:v>
      </x:c>
      <x:c r="C245" s="146" t="e">
        <x:f>IF($A245="","",[1]!thsiFinD("ths_adjustment_nv_fund",C$3,$A245))</x:f>
        <x:v>#NAME?</x:v>
      </x:c>
      <x:c r="D245" s="146" t="e">
        <x:f>IF($A245="","",[1]!thsiFinD("ths_adjustment_nv_fund",D$3,$A245))</x:f>
        <x:v>#NAME?</x:v>
      </x:c>
      <x:c r="E245" s="146" t="e">
        <x:f>IF($A245="","",[1]!thsiFinD("ths_adjustment_nv_fund",E$3,$A245))</x:f>
        <x:v>#NAME?</x:v>
      </x:c>
      <x:c r="F245" s="146" t="e">
        <x:f>IF($A245="","",[1]!thsiFinD("ths_adjustment_nv_fund",F$3,$A245))</x:f>
        <x:v>#NAME?</x:v>
      </x:c>
      <x:c r="G245" s="146" t="e">
        <x:f>IF($A245="","",[1]!thsiFinD("ths_adjustment_nv_fund",G$3,$A245))</x:f>
        <x:v>#NAME?</x:v>
      </x:c>
      <x:c r="H245" s="146" t="e">
        <x:f>IF($A245="","",[1]!thsiFinD("ths_adjustment_nv_fund",H$3,$A245))</x:f>
        <x:v>#NAME?</x:v>
      </x:c>
      <x:c r="I245" s="146" t="e">
        <x:f>IF($A245="","",[1]!thsiFinD("ths_adjustment_nv_fund",I$3,$A245))</x:f>
        <x:v>#NAME?</x:v>
      </x:c>
      <x:c r="J245" s="146" t="e">
        <x:f>IF($A245="","",[1]!thsiFinD("ths_adjustment_nv_fund",J$3,$A245))</x:f>
        <x:v>#NAME?</x:v>
      </x:c>
      <x:c r="K245" s="146" t="e">
        <x:f>IF($A245="","",[1]!thsiFinD("ths_adjustment_nv_fund",K$3,$A245))</x:f>
        <x:v>#NAME?</x:v>
      </x:c>
      <x:c r="L245" s="146" t="e">
        <x:f>IF($A245="","",[1]!thsiFinD("ths_adjustment_nv_fund",L$3,$A245))</x:f>
        <x:v>#NAME?</x:v>
      </x:c>
      <x:c r="M245" s="146" t="e">
        <x:f>IF($A245="","",[1]!thsiFinD("ths_adjustment_nv_fund",M$3,$A245))</x:f>
        <x:v>#NAME?</x:v>
      </x:c>
      <x:c r="N245" s="146" t="e">
        <x:f>IF($A245="","",[1]!thsiFinD("ths_adjustment_nv_fund",N$3,$A245))</x:f>
        <x:v>#NAME?</x:v>
      </x:c>
      <x:c r="O245" s="146" t="e">
        <x:f>IF($A245="","",[1]!thsiFinD("ths_adjustment_nv_fund",O$3,$A245))</x:f>
        <x:v>#NAME?</x:v>
      </x:c>
      <x:c r="P245" s="146" t="e">
        <x:f>IF($A245="","",[1]!thsiFinD("ths_adjustment_nv_fund",P$3,$A245))</x:f>
        <x:v>#NAME?</x:v>
      </x:c>
      <x:c r="Q245" s="146" t="e">
        <x:f>IF($A245="","",[1]!thsiFinD("ths_adjustment_nv_fund",Q$3,$A245))</x:f>
        <x:v>#NAME?</x:v>
      </x:c>
      <x:c r="R245" s="146" t="e">
        <x:f>IF($A245="","",[1]!thsiFinD("ths_adjustment_nv_fund",R$3,$A245))</x:f>
        <x:v>#NAME?</x:v>
      </x:c>
      <x:c r="S245" s="146" t="e">
        <x:f>IF($A245="","",[1]!thsiFinD("ths_adjustment_nv_fund",S$3,$A245))</x:f>
        <x:v>#NAME?</x:v>
      </x:c>
      <x:c r="T245" s="146" t="e">
        <x:f>IF($A245="","",[1]!thsiFinD("ths_adjustment_nv_fund",T$3,$A245))</x:f>
        <x:v>#NAME?</x:v>
      </x:c>
      <x:c r="U245" s="146" t="e">
        <x:f>IF($A245="","",[1]!thsiFinD("ths_adjustment_nv_fund",U$3,$A245))</x:f>
        <x:v>#NAME?</x:v>
      </x:c>
      <x:c r="V245" s="146" t="e">
        <x:f>IF($A245="","",[1]!thsiFinD("ths_adjustment_nv_fund",V$3,$A245))</x:f>
        <x:v>#NAME?</x:v>
      </x:c>
      <x:c r="W245" s="146" t="e">
        <x:f>IF($A245="","",[1]!thsiFinD("ths_adjustment_nv_fund",W$3,$A245))</x:f>
        <x:v>#NAME?</x:v>
      </x:c>
      <x:c r="X245" s="146" t="e">
        <x:f>IF($A245="","",[1]!thsiFinD("ths_adjustment_nv_fund",X$3,$A245))</x:f>
        <x:v>#NAME?</x:v>
      </x:c>
      <x:c r="Y245" s="146" t="e">
        <x:f>IF($A245="","",[1]!thsiFinD("ths_adjustment_nv_fund",Y$3,$A245))</x:f>
        <x:v>#NAME?</x:v>
      </x:c>
      <x:c r="Z245" s="146" t="e">
        <x:f>IF($A245="","",[1]!thsiFinD("ths_adjustment_nv_fund",Z$3,$A245))</x:f>
        <x:v>#NAME?</x:v>
      </x:c>
      <x:c r="AA245" s="146" t="e">
        <x:f>IF($A245="","",[1]!thsiFinD("ths_adjustment_nv_fund",AA$3,$A245))</x:f>
        <x:v>#NAME?</x:v>
      </x:c>
    </x:row>
    <x:row r="246">
      <x:c r="B246" s="146" t="e">
        <x:f>IF($A246="","",[1]!thsiFinD("ths_adjustment_nv_fund",B$3,$A246))</x:f>
        <x:v>#NAME?</x:v>
      </x:c>
      <x:c r="C246" s="146" t="e">
        <x:f>IF($A246="","",[1]!thsiFinD("ths_adjustment_nv_fund",C$3,$A246))</x:f>
        <x:v>#NAME?</x:v>
      </x:c>
      <x:c r="D246" s="146" t="e">
        <x:f>IF($A246="","",[1]!thsiFinD("ths_adjustment_nv_fund",D$3,$A246))</x:f>
        <x:v>#NAME?</x:v>
      </x:c>
      <x:c r="E246" s="146" t="e">
        <x:f>IF($A246="","",[1]!thsiFinD("ths_adjustment_nv_fund",E$3,$A246))</x:f>
        <x:v>#NAME?</x:v>
      </x:c>
      <x:c r="F246" s="146" t="e">
        <x:f>IF($A246="","",[1]!thsiFinD("ths_adjustment_nv_fund",F$3,$A246))</x:f>
        <x:v>#NAME?</x:v>
      </x:c>
      <x:c r="G246" s="146" t="e">
        <x:f>IF($A246="","",[1]!thsiFinD("ths_adjustment_nv_fund",G$3,$A246))</x:f>
        <x:v>#NAME?</x:v>
      </x:c>
      <x:c r="H246" s="146" t="e">
        <x:f>IF($A246="","",[1]!thsiFinD("ths_adjustment_nv_fund",H$3,$A246))</x:f>
        <x:v>#NAME?</x:v>
      </x:c>
      <x:c r="I246" s="146" t="e">
        <x:f>IF($A246="","",[1]!thsiFinD("ths_adjustment_nv_fund",I$3,$A246))</x:f>
        <x:v>#NAME?</x:v>
      </x:c>
      <x:c r="J246" s="146" t="e">
        <x:f>IF($A246="","",[1]!thsiFinD("ths_adjustment_nv_fund",J$3,$A246))</x:f>
        <x:v>#NAME?</x:v>
      </x:c>
      <x:c r="K246" s="146" t="e">
        <x:f>IF($A246="","",[1]!thsiFinD("ths_adjustment_nv_fund",K$3,$A246))</x:f>
        <x:v>#NAME?</x:v>
      </x:c>
      <x:c r="L246" s="146" t="e">
        <x:f>IF($A246="","",[1]!thsiFinD("ths_adjustment_nv_fund",L$3,$A246))</x:f>
        <x:v>#NAME?</x:v>
      </x:c>
      <x:c r="M246" s="146" t="e">
        <x:f>IF($A246="","",[1]!thsiFinD("ths_adjustment_nv_fund",M$3,$A246))</x:f>
        <x:v>#NAME?</x:v>
      </x:c>
      <x:c r="N246" s="146" t="e">
        <x:f>IF($A246="","",[1]!thsiFinD("ths_adjustment_nv_fund",N$3,$A246))</x:f>
        <x:v>#NAME?</x:v>
      </x:c>
      <x:c r="O246" s="146" t="e">
        <x:f>IF($A246="","",[1]!thsiFinD("ths_adjustment_nv_fund",O$3,$A246))</x:f>
        <x:v>#NAME?</x:v>
      </x:c>
      <x:c r="P246" s="146" t="e">
        <x:f>IF($A246="","",[1]!thsiFinD("ths_adjustment_nv_fund",P$3,$A246))</x:f>
        <x:v>#NAME?</x:v>
      </x:c>
      <x:c r="Q246" s="146" t="e">
        <x:f>IF($A246="","",[1]!thsiFinD("ths_adjustment_nv_fund",Q$3,$A246))</x:f>
        <x:v>#NAME?</x:v>
      </x:c>
      <x:c r="R246" s="146" t="e">
        <x:f>IF($A246="","",[1]!thsiFinD("ths_adjustment_nv_fund",R$3,$A246))</x:f>
        <x:v>#NAME?</x:v>
      </x:c>
      <x:c r="S246" s="146" t="e">
        <x:f>IF($A246="","",[1]!thsiFinD("ths_adjustment_nv_fund",S$3,$A246))</x:f>
        <x:v>#NAME?</x:v>
      </x:c>
      <x:c r="T246" s="146" t="e">
        <x:f>IF($A246="","",[1]!thsiFinD("ths_adjustment_nv_fund",T$3,$A246))</x:f>
        <x:v>#NAME?</x:v>
      </x:c>
      <x:c r="U246" s="146" t="e">
        <x:f>IF($A246="","",[1]!thsiFinD("ths_adjustment_nv_fund",U$3,$A246))</x:f>
        <x:v>#NAME?</x:v>
      </x:c>
      <x:c r="V246" s="146" t="e">
        <x:f>IF($A246="","",[1]!thsiFinD("ths_adjustment_nv_fund",V$3,$A246))</x:f>
        <x:v>#NAME?</x:v>
      </x:c>
      <x:c r="W246" s="146" t="e">
        <x:f>IF($A246="","",[1]!thsiFinD("ths_adjustment_nv_fund",W$3,$A246))</x:f>
        <x:v>#NAME?</x:v>
      </x:c>
      <x:c r="X246" s="146" t="e">
        <x:f>IF($A246="","",[1]!thsiFinD("ths_adjustment_nv_fund",X$3,$A246))</x:f>
        <x:v>#NAME?</x:v>
      </x:c>
      <x:c r="Y246" s="146" t="e">
        <x:f>IF($A246="","",[1]!thsiFinD("ths_adjustment_nv_fund",Y$3,$A246))</x:f>
        <x:v>#NAME?</x:v>
      </x:c>
      <x:c r="Z246" s="146" t="e">
        <x:f>IF($A246="","",[1]!thsiFinD("ths_adjustment_nv_fund",Z$3,$A246))</x:f>
        <x:v>#NAME?</x:v>
      </x:c>
      <x:c r="AA246" s="146" t="e">
        <x:f>IF($A246="","",[1]!thsiFinD("ths_adjustment_nv_fund",AA$3,$A246))</x:f>
        <x:v>#NAME?</x:v>
      </x:c>
    </x:row>
    <x:row r="247">
      <x:c r="B247" s="146" t="e">
        <x:f>IF($A247="","",[1]!thsiFinD("ths_adjustment_nv_fund",B$3,$A247))</x:f>
        <x:v>#NAME?</x:v>
      </x:c>
      <x:c r="C247" s="146" t="e">
        <x:f>IF($A247="","",[1]!thsiFinD("ths_adjustment_nv_fund",C$3,$A247))</x:f>
        <x:v>#NAME?</x:v>
      </x:c>
      <x:c r="D247" s="146" t="e">
        <x:f>IF($A247="","",[1]!thsiFinD("ths_adjustment_nv_fund",D$3,$A247))</x:f>
        <x:v>#NAME?</x:v>
      </x:c>
      <x:c r="E247" s="146" t="e">
        <x:f>IF($A247="","",[1]!thsiFinD("ths_adjustment_nv_fund",E$3,$A247))</x:f>
        <x:v>#NAME?</x:v>
      </x:c>
      <x:c r="F247" s="146" t="e">
        <x:f>IF($A247="","",[1]!thsiFinD("ths_adjustment_nv_fund",F$3,$A247))</x:f>
        <x:v>#NAME?</x:v>
      </x:c>
      <x:c r="G247" s="146" t="e">
        <x:f>IF($A247="","",[1]!thsiFinD("ths_adjustment_nv_fund",G$3,$A247))</x:f>
        <x:v>#NAME?</x:v>
      </x:c>
      <x:c r="H247" s="146" t="e">
        <x:f>IF($A247="","",[1]!thsiFinD("ths_adjustment_nv_fund",H$3,$A247))</x:f>
        <x:v>#NAME?</x:v>
      </x:c>
      <x:c r="I247" s="146" t="e">
        <x:f>IF($A247="","",[1]!thsiFinD("ths_adjustment_nv_fund",I$3,$A247))</x:f>
        <x:v>#NAME?</x:v>
      </x:c>
      <x:c r="J247" s="146" t="e">
        <x:f>IF($A247="","",[1]!thsiFinD("ths_adjustment_nv_fund",J$3,$A247))</x:f>
        <x:v>#NAME?</x:v>
      </x:c>
      <x:c r="K247" s="146" t="e">
        <x:f>IF($A247="","",[1]!thsiFinD("ths_adjustment_nv_fund",K$3,$A247))</x:f>
        <x:v>#NAME?</x:v>
      </x:c>
      <x:c r="L247" s="146" t="e">
        <x:f>IF($A247="","",[1]!thsiFinD("ths_adjustment_nv_fund",L$3,$A247))</x:f>
        <x:v>#NAME?</x:v>
      </x:c>
      <x:c r="M247" s="146" t="e">
        <x:f>IF($A247="","",[1]!thsiFinD("ths_adjustment_nv_fund",M$3,$A247))</x:f>
        <x:v>#NAME?</x:v>
      </x:c>
      <x:c r="N247" s="146" t="e">
        <x:f>IF($A247="","",[1]!thsiFinD("ths_adjustment_nv_fund",N$3,$A247))</x:f>
        <x:v>#NAME?</x:v>
      </x:c>
      <x:c r="O247" s="146" t="e">
        <x:f>IF($A247="","",[1]!thsiFinD("ths_adjustment_nv_fund",O$3,$A247))</x:f>
        <x:v>#NAME?</x:v>
      </x:c>
      <x:c r="P247" s="146" t="e">
        <x:f>IF($A247="","",[1]!thsiFinD("ths_adjustment_nv_fund",P$3,$A247))</x:f>
        <x:v>#NAME?</x:v>
      </x:c>
      <x:c r="Q247" s="146" t="e">
        <x:f>IF($A247="","",[1]!thsiFinD("ths_adjustment_nv_fund",Q$3,$A247))</x:f>
        <x:v>#NAME?</x:v>
      </x:c>
      <x:c r="R247" s="146" t="e">
        <x:f>IF($A247="","",[1]!thsiFinD("ths_adjustment_nv_fund",R$3,$A247))</x:f>
        <x:v>#NAME?</x:v>
      </x:c>
      <x:c r="S247" s="146" t="e">
        <x:f>IF($A247="","",[1]!thsiFinD("ths_adjustment_nv_fund",S$3,$A247))</x:f>
        <x:v>#NAME?</x:v>
      </x:c>
      <x:c r="T247" s="146" t="e">
        <x:f>IF($A247="","",[1]!thsiFinD("ths_adjustment_nv_fund",T$3,$A247))</x:f>
        <x:v>#NAME?</x:v>
      </x:c>
      <x:c r="U247" s="146" t="e">
        <x:f>IF($A247="","",[1]!thsiFinD("ths_adjustment_nv_fund",U$3,$A247))</x:f>
        <x:v>#NAME?</x:v>
      </x:c>
      <x:c r="V247" s="146" t="e">
        <x:f>IF($A247="","",[1]!thsiFinD("ths_adjustment_nv_fund",V$3,$A247))</x:f>
        <x:v>#NAME?</x:v>
      </x:c>
      <x:c r="W247" s="146" t="e">
        <x:f>IF($A247="","",[1]!thsiFinD("ths_adjustment_nv_fund",W$3,$A247))</x:f>
        <x:v>#NAME?</x:v>
      </x:c>
      <x:c r="X247" s="146" t="e">
        <x:f>IF($A247="","",[1]!thsiFinD("ths_adjustment_nv_fund",X$3,$A247))</x:f>
        <x:v>#NAME?</x:v>
      </x:c>
      <x:c r="Y247" s="146" t="e">
        <x:f>IF($A247="","",[1]!thsiFinD("ths_adjustment_nv_fund",Y$3,$A247))</x:f>
        <x:v>#NAME?</x:v>
      </x:c>
      <x:c r="Z247" s="146" t="e">
        <x:f>IF($A247="","",[1]!thsiFinD("ths_adjustment_nv_fund",Z$3,$A247))</x:f>
        <x:v>#NAME?</x:v>
      </x:c>
      <x:c r="AA247" s="146" t="e">
        <x:f>IF($A247="","",[1]!thsiFinD("ths_adjustment_nv_fund",AA$3,$A247))</x:f>
        <x:v>#NAME?</x:v>
      </x:c>
    </x:row>
    <x:row r="248">
      <x:c r="B248" s="146" t="e">
        <x:f>IF($A248="","",[1]!thsiFinD("ths_adjustment_nv_fund",B$3,$A248))</x:f>
        <x:v>#NAME?</x:v>
      </x:c>
      <x:c r="C248" s="146" t="e">
        <x:f>IF($A248="","",[1]!thsiFinD("ths_adjustment_nv_fund",C$3,$A248))</x:f>
        <x:v>#NAME?</x:v>
      </x:c>
      <x:c r="D248" s="146" t="e">
        <x:f>IF($A248="","",[1]!thsiFinD("ths_adjustment_nv_fund",D$3,$A248))</x:f>
        <x:v>#NAME?</x:v>
      </x:c>
      <x:c r="E248" s="146" t="e">
        <x:f>IF($A248="","",[1]!thsiFinD("ths_adjustment_nv_fund",E$3,$A248))</x:f>
        <x:v>#NAME?</x:v>
      </x:c>
      <x:c r="F248" s="146" t="e">
        <x:f>IF($A248="","",[1]!thsiFinD("ths_adjustment_nv_fund",F$3,$A248))</x:f>
        <x:v>#NAME?</x:v>
      </x:c>
      <x:c r="G248" s="146" t="e">
        <x:f>IF($A248="","",[1]!thsiFinD("ths_adjustment_nv_fund",G$3,$A248))</x:f>
        <x:v>#NAME?</x:v>
      </x:c>
      <x:c r="H248" s="146" t="e">
        <x:f>IF($A248="","",[1]!thsiFinD("ths_adjustment_nv_fund",H$3,$A248))</x:f>
        <x:v>#NAME?</x:v>
      </x:c>
      <x:c r="I248" s="146" t="e">
        <x:f>IF($A248="","",[1]!thsiFinD("ths_adjustment_nv_fund",I$3,$A248))</x:f>
        <x:v>#NAME?</x:v>
      </x:c>
      <x:c r="J248" s="146" t="e">
        <x:f>IF($A248="","",[1]!thsiFinD("ths_adjustment_nv_fund",J$3,$A248))</x:f>
        <x:v>#NAME?</x:v>
      </x:c>
      <x:c r="K248" s="146" t="e">
        <x:f>IF($A248="","",[1]!thsiFinD("ths_adjustment_nv_fund",K$3,$A248))</x:f>
        <x:v>#NAME?</x:v>
      </x:c>
      <x:c r="L248" s="146" t="e">
        <x:f>IF($A248="","",[1]!thsiFinD("ths_adjustment_nv_fund",L$3,$A248))</x:f>
        <x:v>#NAME?</x:v>
      </x:c>
      <x:c r="M248" s="146" t="e">
        <x:f>IF($A248="","",[1]!thsiFinD("ths_adjustment_nv_fund",M$3,$A248))</x:f>
        <x:v>#NAME?</x:v>
      </x:c>
      <x:c r="N248" s="146" t="e">
        <x:f>IF($A248="","",[1]!thsiFinD("ths_adjustment_nv_fund",N$3,$A248))</x:f>
        <x:v>#NAME?</x:v>
      </x:c>
      <x:c r="O248" s="146" t="e">
        <x:f>IF($A248="","",[1]!thsiFinD("ths_adjustment_nv_fund",O$3,$A248))</x:f>
        <x:v>#NAME?</x:v>
      </x:c>
      <x:c r="P248" s="146" t="e">
        <x:f>IF($A248="","",[1]!thsiFinD("ths_adjustment_nv_fund",P$3,$A248))</x:f>
        <x:v>#NAME?</x:v>
      </x:c>
      <x:c r="Q248" s="146" t="e">
        <x:f>IF($A248="","",[1]!thsiFinD("ths_adjustment_nv_fund",Q$3,$A248))</x:f>
        <x:v>#NAME?</x:v>
      </x:c>
      <x:c r="R248" s="146" t="e">
        <x:f>IF($A248="","",[1]!thsiFinD("ths_adjustment_nv_fund",R$3,$A248))</x:f>
        <x:v>#NAME?</x:v>
      </x:c>
      <x:c r="S248" s="146" t="e">
        <x:f>IF($A248="","",[1]!thsiFinD("ths_adjustment_nv_fund",S$3,$A248))</x:f>
        <x:v>#NAME?</x:v>
      </x:c>
      <x:c r="T248" s="146" t="e">
        <x:f>IF($A248="","",[1]!thsiFinD("ths_adjustment_nv_fund",T$3,$A248))</x:f>
        <x:v>#NAME?</x:v>
      </x:c>
      <x:c r="U248" s="146" t="e">
        <x:f>IF($A248="","",[1]!thsiFinD("ths_adjustment_nv_fund",U$3,$A248))</x:f>
        <x:v>#NAME?</x:v>
      </x:c>
      <x:c r="V248" s="146" t="e">
        <x:f>IF($A248="","",[1]!thsiFinD("ths_adjustment_nv_fund",V$3,$A248))</x:f>
        <x:v>#NAME?</x:v>
      </x:c>
      <x:c r="W248" s="146" t="e">
        <x:f>IF($A248="","",[1]!thsiFinD("ths_adjustment_nv_fund",W$3,$A248))</x:f>
        <x:v>#NAME?</x:v>
      </x:c>
      <x:c r="X248" s="146" t="e">
        <x:f>IF($A248="","",[1]!thsiFinD("ths_adjustment_nv_fund",X$3,$A248))</x:f>
        <x:v>#NAME?</x:v>
      </x:c>
      <x:c r="Y248" s="146" t="e">
        <x:f>IF($A248="","",[1]!thsiFinD("ths_adjustment_nv_fund",Y$3,$A248))</x:f>
        <x:v>#NAME?</x:v>
      </x:c>
      <x:c r="Z248" s="146" t="e">
        <x:f>IF($A248="","",[1]!thsiFinD("ths_adjustment_nv_fund",Z$3,$A248))</x:f>
        <x:v>#NAME?</x:v>
      </x:c>
      <x:c r="AA248" s="146" t="e">
        <x:f>IF($A248="","",[1]!thsiFinD("ths_adjustment_nv_fund",AA$3,$A248))</x:f>
        <x:v>#NAME?</x:v>
      </x:c>
    </x:row>
    <x:row r="249">
      <x:c r="B249" s="146" t="e">
        <x:f>IF($A249="","",[1]!thsiFinD("ths_adjustment_nv_fund",B$3,$A249))</x:f>
        <x:v>#NAME?</x:v>
      </x:c>
      <x:c r="C249" s="146" t="e">
        <x:f>IF($A249="","",[1]!thsiFinD("ths_adjustment_nv_fund",C$3,$A249))</x:f>
        <x:v>#NAME?</x:v>
      </x:c>
      <x:c r="D249" s="146" t="e">
        <x:f>IF($A249="","",[1]!thsiFinD("ths_adjustment_nv_fund",D$3,$A249))</x:f>
        <x:v>#NAME?</x:v>
      </x:c>
      <x:c r="E249" s="146" t="e">
        <x:f>IF($A249="","",[1]!thsiFinD("ths_adjustment_nv_fund",E$3,$A249))</x:f>
        <x:v>#NAME?</x:v>
      </x:c>
      <x:c r="F249" s="146" t="e">
        <x:f>IF($A249="","",[1]!thsiFinD("ths_adjustment_nv_fund",F$3,$A249))</x:f>
        <x:v>#NAME?</x:v>
      </x:c>
      <x:c r="G249" s="146" t="e">
        <x:f>IF($A249="","",[1]!thsiFinD("ths_adjustment_nv_fund",G$3,$A249))</x:f>
        <x:v>#NAME?</x:v>
      </x:c>
      <x:c r="H249" s="146" t="e">
        <x:f>IF($A249="","",[1]!thsiFinD("ths_adjustment_nv_fund",H$3,$A249))</x:f>
        <x:v>#NAME?</x:v>
      </x:c>
      <x:c r="I249" s="146" t="e">
        <x:f>IF($A249="","",[1]!thsiFinD("ths_adjustment_nv_fund",I$3,$A249))</x:f>
        <x:v>#NAME?</x:v>
      </x:c>
      <x:c r="J249" s="146" t="e">
        <x:f>IF($A249="","",[1]!thsiFinD("ths_adjustment_nv_fund",J$3,$A249))</x:f>
        <x:v>#NAME?</x:v>
      </x:c>
      <x:c r="K249" s="146" t="e">
        <x:f>IF($A249="","",[1]!thsiFinD("ths_adjustment_nv_fund",K$3,$A249))</x:f>
        <x:v>#NAME?</x:v>
      </x:c>
      <x:c r="L249" s="146" t="e">
        <x:f>IF($A249="","",[1]!thsiFinD("ths_adjustment_nv_fund",L$3,$A249))</x:f>
        <x:v>#NAME?</x:v>
      </x:c>
      <x:c r="M249" s="146" t="e">
        <x:f>IF($A249="","",[1]!thsiFinD("ths_adjustment_nv_fund",M$3,$A249))</x:f>
        <x:v>#NAME?</x:v>
      </x:c>
      <x:c r="N249" s="146" t="e">
        <x:f>IF($A249="","",[1]!thsiFinD("ths_adjustment_nv_fund",N$3,$A249))</x:f>
        <x:v>#NAME?</x:v>
      </x:c>
      <x:c r="O249" s="146" t="e">
        <x:f>IF($A249="","",[1]!thsiFinD("ths_adjustment_nv_fund",O$3,$A249))</x:f>
        <x:v>#NAME?</x:v>
      </x:c>
      <x:c r="P249" s="146" t="e">
        <x:f>IF($A249="","",[1]!thsiFinD("ths_adjustment_nv_fund",P$3,$A249))</x:f>
        <x:v>#NAME?</x:v>
      </x:c>
      <x:c r="Q249" s="146" t="e">
        <x:f>IF($A249="","",[1]!thsiFinD("ths_adjustment_nv_fund",Q$3,$A249))</x:f>
        <x:v>#NAME?</x:v>
      </x:c>
      <x:c r="R249" s="146" t="e">
        <x:f>IF($A249="","",[1]!thsiFinD("ths_adjustment_nv_fund",R$3,$A249))</x:f>
        <x:v>#NAME?</x:v>
      </x:c>
      <x:c r="S249" s="146" t="e">
        <x:f>IF($A249="","",[1]!thsiFinD("ths_adjustment_nv_fund",S$3,$A249))</x:f>
        <x:v>#NAME?</x:v>
      </x:c>
      <x:c r="T249" s="146" t="e">
        <x:f>IF($A249="","",[1]!thsiFinD("ths_adjustment_nv_fund",T$3,$A249))</x:f>
        <x:v>#NAME?</x:v>
      </x:c>
      <x:c r="U249" s="146" t="e">
        <x:f>IF($A249="","",[1]!thsiFinD("ths_adjustment_nv_fund",U$3,$A249))</x:f>
        <x:v>#NAME?</x:v>
      </x:c>
      <x:c r="V249" s="146" t="e">
        <x:f>IF($A249="","",[1]!thsiFinD("ths_adjustment_nv_fund",V$3,$A249))</x:f>
        <x:v>#NAME?</x:v>
      </x:c>
      <x:c r="W249" s="146" t="e">
        <x:f>IF($A249="","",[1]!thsiFinD("ths_adjustment_nv_fund",W$3,$A249))</x:f>
        <x:v>#NAME?</x:v>
      </x:c>
      <x:c r="X249" s="146" t="e">
        <x:f>IF($A249="","",[1]!thsiFinD("ths_adjustment_nv_fund",X$3,$A249))</x:f>
        <x:v>#NAME?</x:v>
      </x:c>
      <x:c r="Y249" s="146" t="e">
        <x:f>IF($A249="","",[1]!thsiFinD("ths_adjustment_nv_fund",Y$3,$A249))</x:f>
        <x:v>#NAME?</x:v>
      </x:c>
      <x:c r="Z249" s="146" t="e">
        <x:f>IF($A249="","",[1]!thsiFinD("ths_adjustment_nv_fund",Z$3,$A249))</x:f>
        <x:v>#NAME?</x:v>
      </x:c>
      <x:c r="AA249" s="146" t="e">
        <x:f>IF($A249="","",[1]!thsiFinD("ths_adjustment_nv_fund",AA$3,$A249))</x:f>
        <x:v>#NAME?</x:v>
      </x:c>
    </x:row>
    <x:row r="250">
      <x:c r="B250" s="146" t="e">
        <x:f>IF($A250="","",[1]!thsiFinD("ths_adjustment_nv_fund",B$3,$A250))</x:f>
        <x:v>#NAME?</x:v>
      </x:c>
      <x:c r="C250" s="146" t="e">
        <x:f>IF($A250="","",[1]!thsiFinD("ths_adjustment_nv_fund",C$3,$A250))</x:f>
        <x:v>#NAME?</x:v>
      </x:c>
      <x:c r="D250" s="146" t="e">
        <x:f>IF($A250="","",[1]!thsiFinD("ths_adjustment_nv_fund",D$3,$A250))</x:f>
        <x:v>#NAME?</x:v>
      </x:c>
      <x:c r="E250" s="146" t="e">
        <x:f>IF($A250="","",[1]!thsiFinD("ths_adjustment_nv_fund",E$3,$A250))</x:f>
        <x:v>#NAME?</x:v>
      </x:c>
      <x:c r="F250" s="146" t="e">
        <x:f>IF($A250="","",[1]!thsiFinD("ths_adjustment_nv_fund",F$3,$A250))</x:f>
        <x:v>#NAME?</x:v>
      </x:c>
      <x:c r="G250" s="146" t="e">
        <x:f>IF($A250="","",[1]!thsiFinD("ths_adjustment_nv_fund",G$3,$A250))</x:f>
        <x:v>#NAME?</x:v>
      </x:c>
      <x:c r="H250" s="146" t="e">
        <x:f>IF($A250="","",[1]!thsiFinD("ths_adjustment_nv_fund",H$3,$A250))</x:f>
        <x:v>#NAME?</x:v>
      </x:c>
      <x:c r="I250" s="146" t="e">
        <x:f>IF($A250="","",[1]!thsiFinD("ths_adjustment_nv_fund",I$3,$A250))</x:f>
        <x:v>#NAME?</x:v>
      </x:c>
      <x:c r="J250" s="146" t="e">
        <x:f>IF($A250="","",[1]!thsiFinD("ths_adjustment_nv_fund",J$3,$A250))</x:f>
        <x:v>#NAME?</x:v>
      </x:c>
      <x:c r="K250" s="146" t="e">
        <x:f>IF($A250="","",[1]!thsiFinD("ths_adjustment_nv_fund",K$3,$A250))</x:f>
        <x:v>#NAME?</x:v>
      </x:c>
      <x:c r="L250" s="146" t="e">
        <x:f>IF($A250="","",[1]!thsiFinD("ths_adjustment_nv_fund",L$3,$A250))</x:f>
        <x:v>#NAME?</x:v>
      </x:c>
      <x:c r="M250" s="146" t="e">
        <x:f>IF($A250="","",[1]!thsiFinD("ths_adjustment_nv_fund",M$3,$A250))</x:f>
        <x:v>#NAME?</x:v>
      </x:c>
      <x:c r="N250" s="146" t="e">
        <x:f>IF($A250="","",[1]!thsiFinD("ths_adjustment_nv_fund",N$3,$A250))</x:f>
        <x:v>#NAME?</x:v>
      </x:c>
      <x:c r="O250" s="146" t="e">
        <x:f>IF($A250="","",[1]!thsiFinD("ths_adjustment_nv_fund",O$3,$A250))</x:f>
        <x:v>#NAME?</x:v>
      </x:c>
      <x:c r="P250" s="146" t="e">
        <x:f>IF($A250="","",[1]!thsiFinD("ths_adjustment_nv_fund",P$3,$A250))</x:f>
        <x:v>#NAME?</x:v>
      </x:c>
      <x:c r="Q250" s="146" t="e">
        <x:f>IF($A250="","",[1]!thsiFinD("ths_adjustment_nv_fund",Q$3,$A250))</x:f>
        <x:v>#NAME?</x:v>
      </x:c>
      <x:c r="R250" s="146" t="e">
        <x:f>IF($A250="","",[1]!thsiFinD("ths_adjustment_nv_fund",R$3,$A250))</x:f>
        <x:v>#NAME?</x:v>
      </x:c>
      <x:c r="S250" s="146" t="e">
        <x:f>IF($A250="","",[1]!thsiFinD("ths_adjustment_nv_fund",S$3,$A250))</x:f>
        <x:v>#NAME?</x:v>
      </x:c>
      <x:c r="T250" s="146" t="e">
        <x:f>IF($A250="","",[1]!thsiFinD("ths_adjustment_nv_fund",T$3,$A250))</x:f>
        <x:v>#NAME?</x:v>
      </x:c>
      <x:c r="U250" s="146" t="e">
        <x:f>IF($A250="","",[1]!thsiFinD("ths_adjustment_nv_fund",U$3,$A250))</x:f>
        <x:v>#NAME?</x:v>
      </x:c>
      <x:c r="V250" s="146" t="e">
        <x:f>IF($A250="","",[1]!thsiFinD("ths_adjustment_nv_fund",V$3,$A250))</x:f>
        <x:v>#NAME?</x:v>
      </x:c>
      <x:c r="W250" s="146" t="e">
        <x:f>IF($A250="","",[1]!thsiFinD("ths_adjustment_nv_fund",W$3,$A250))</x:f>
        <x:v>#NAME?</x:v>
      </x:c>
      <x:c r="X250" s="146" t="e">
        <x:f>IF($A250="","",[1]!thsiFinD("ths_adjustment_nv_fund",X$3,$A250))</x:f>
        <x:v>#NAME?</x:v>
      </x:c>
      <x:c r="Y250" s="146" t="e">
        <x:f>IF($A250="","",[1]!thsiFinD("ths_adjustment_nv_fund",Y$3,$A250))</x:f>
        <x:v>#NAME?</x:v>
      </x:c>
      <x:c r="Z250" s="146" t="e">
        <x:f>IF($A250="","",[1]!thsiFinD("ths_adjustment_nv_fund",Z$3,$A250))</x:f>
        <x:v>#NAME?</x:v>
      </x:c>
      <x:c r="AA250" s="146" t="e">
        <x:f>IF($A250="","",[1]!thsiFinD("ths_adjustment_nv_fund",AA$3,$A250))</x:f>
        <x:v>#NAME?</x:v>
      </x:c>
    </x:row>
    <x:row r="251">
      <x:c r="B251" s="146" t="e">
        <x:f>IF($A251="","",[1]!thsiFinD("ths_adjustment_nv_fund",B$3,$A251))</x:f>
        <x:v>#NAME?</x:v>
      </x:c>
      <x:c r="C251" s="146" t="e">
        <x:f>IF($A251="","",[1]!thsiFinD("ths_adjustment_nv_fund",C$3,$A251))</x:f>
        <x:v>#NAME?</x:v>
      </x:c>
      <x:c r="D251" s="146" t="e">
        <x:f>IF($A251="","",[1]!thsiFinD("ths_adjustment_nv_fund",D$3,$A251))</x:f>
        <x:v>#NAME?</x:v>
      </x:c>
      <x:c r="E251" s="146" t="e">
        <x:f>IF($A251="","",[1]!thsiFinD("ths_adjustment_nv_fund",E$3,$A251))</x:f>
        <x:v>#NAME?</x:v>
      </x:c>
      <x:c r="F251" s="146" t="e">
        <x:f>IF($A251="","",[1]!thsiFinD("ths_adjustment_nv_fund",F$3,$A251))</x:f>
        <x:v>#NAME?</x:v>
      </x:c>
      <x:c r="G251" s="146" t="e">
        <x:f>IF($A251="","",[1]!thsiFinD("ths_adjustment_nv_fund",G$3,$A251))</x:f>
        <x:v>#NAME?</x:v>
      </x:c>
      <x:c r="H251" s="146" t="e">
        <x:f>IF($A251="","",[1]!thsiFinD("ths_adjustment_nv_fund",H$3,$A251))</x:f>
        <x:v>#NAME?</x:v>
      </x:c>
      <x:c r="I251" s="146" t="e">
        <x:f>IF($A251="","",[1]!thsiFinD("ths_adjustment_nv_fund",I$3,$A251))</x:f>
        <x:v>#NAME?</x:v>
      </x:c>
      <x:c r="J251" s="146" t="e">
        <x:f>IF($A251="","",[1]!thsiFinD("ths_adjustment_nv_fund",J$3,$A251))</x:f>
        <x:v>#NAME?</x:v>
      </x:c>
      <x:c r="K251" s="146" t="e">
        <x:f>IF($A251="","",[1]!thsiFinD("ths_adjustment_nv_fund",K$3,$A251))</x:f>
        <x:v>#NAME?</x:v>
      </x:c>
      <x:c r="L251" s="146" t="e">
        <x:f>IF($A251="","",[1]!thsiFinD("ths_adjustment_nv_fund",L$3,$A251))</x:f>
        <x:v>#NAME?</x:v>
      </x:c>
      <x:c r="M251" s="146" t="e">
        <x:f>IF($A251="","",[1]!thsiFinD("ths_adjustment_nv_fund",M$3,$A251))</x:f>
        <x:v>#NAME?</x:v>
      </x:c>
      <x:c r="N251" s="146" t="e">
        <x:f>IF($A251="","",[1]!thsiFinD("ths_adjustment_nv_fund",N$3,$A251))</x:f>
        <x:v>#NAME?</x:v>
      </x:c>
      <x:c r="O251" s="146" t="e">
        <x:f>IF($A251="","",[1]!thsiFinD("ths_adjustment_nv_fund",O$3,$A251))</x:f>
        <x:v>#NAME?</x:v>
      </x:c>
      <x:c r="P251" s="146" t="e">
        <x:f>IF($A251="","",[1]!thsiFinD("ths_adjustment_nv_fund",P$3,$A251))</x:f>
        <x:v>#NAME?</x:v>
      </x:c>
      <x:c r="Q251" s="146" t="e">
        <x:f>IF($A251="","",[1]!thsiFinD("ths_adjustment_nv_fund",Q$3,$A251))</x:f>
        <x:v>#NAME?</x:v>
      </x:c>
      <x:c r="R251" s="146" t="e">
        <x:f>IF($A251="","",[1]!thsiFinD("ths_adjustment_nv_fund",R$3,$A251))</x:f>
        <x:v>#NAME?</x:v>
      </x:c>
      <x:c r="S251" s="146" t="e">
        <x:f>IF($A251="","",[1]!thsiFinD("ths_adjustment_nv_fund",S$3,$A251))</x:f>
        <x:v>#NAME?</x:v>
      </x:c>
      <x:c r="T251" s="146" t="e">
        <x:f>IF($A251="","",[1]!thsiFinD("ths_adjustment_nv_fund",T$3,$A251))</x:f>
        <x:v>#NAME?</x:v>
      </x:c>
      <x:c r="U251" s="146" t="e">
        <x:f>IF($A251="","",[1]!thsiFinD("ths_adjustment_nv_fund",U$3,$A251))</x:f>
        <x:v>#NAME?</x:v>
      </x:c>
      <x:c r="V251" s="146" t="e">
        <x:f>IF($A251="","",[1]!thsiFinD("ths_adjustment_nv_fund",V$3,$A251))</x:f>
        <x:v>#NAME?</x:v>
      </x:c>
      <x:c r="W251" s="146" t="e">
        <x:f>IF($A251="","",[1]!thsiFinD("ths_adjustment_nv_fund",W$3,$A251))</x:f>
        <x:v>#NAME?</x:v>
      </x:c>
      <x:c r="X251" s="146" t="e">
        <x:f>IF($A251="","",[1]!thsiFinD("ths_adjustment_nv_fund",X$3,$A251))</x:f>
        <x:v>#NAME?</x:v>
      </x:c>
      <x:c r="Y251" s="146" t="e">
        <x:f>IF($A251="","",[1]!thsiFinD("ths_adjustment_nv_fund",Y$3,$A251))</x:f>
        <x:v>#NAME?</x:v>
      </x:c>
      <x:c r="Z251" s="146" t="e">
        <x:f>IF($A251="","",[1]!thsiFinD("ths_adjustment_nv_fund",Z$3,$A251))</x:f>
        <x:v>#NAME?</x:v>
      </x:c>
      <x:c r="AA251" s="146" t="e">
        <x:f>IF($A251="","",[1]!thsiFinD("ths_adjustment_nv_fund",AA$3,$A251))</x:f>
        <x:v>#NAME?</x:v>
      </x:c>
    </x:row>
    <x:row r="252">
      <x:c r="B252" s="146" t="e">
        <x:f>IF($A252="","",[1]!thsiFinD("ths_adjustment_nv_fund",B$3,$A252))</x:f>
        <x:v>#NAME?</x:v>
      </x:c>
      <x:c r="C252" s="146" t="e">
        <x:f>IF($A252="","",[1]!thsiFinD("ths_adjustment_nv_fund",C$3,$A252))</x:f>
        <x:v>#NAME?</x:v>
      </x:c>
      <x:c r="D252" s="146" t="e">
        <x:f>IF($A252="","",[1]!thsiFinD("ths_adjustment_nv_fund",D$3,$A252))</x:f>
        <x:v>#NAME?</x:v>
      </x:c>
      <x:c r="E252" s="146" t="e">
        <x:f>IF($A252="","",[1]!thsiFinD("ths_adjustment_nv_fund",E$3,$A252))</x:f>
        <x:v>#NAME?</x:v>
      </x:c>
      <x:c r="F252" s="146" t="e">
        <x:f>IF($A252="","",[1]!thsiFinD("ths_adjustment_nv_fund",F$3,$A252))</x:f>
        <x:v>#NAME?</x:v>
      </x:c>
      <x:c r="G252" s="146" t="e">
        <x:f>IF($A252="","",[1]!thsiFinD("ths_adjustment_nv_fund",G$3,$A252))</x:f>
        <x:v>#NAME?</x:v>
      </x:c>
      <x:c r="H252" s="146" t="e">
        <x:f>IF($A252="","",[1]!thsiFinD("ths_adjustment_nv_fund",H$3,$A252))</x:f>
        <x:v>#NAME?</x:v>
      </x:c>
      <x:c r="I252" s="146" t="e">
        <x:f>IF($A252="","",[1]!thsiFinD("ths_adjustment_nv_fund",I$3,$A252))</x:f>
        <x:v>#NAME?</x:v>
      </x:c>
      <x:c r="J252" s="146" t="e">
        <x:f>IF($A252="","",[1]!thsiFinD("ths_adjustment_nv_fund",J$3,$A252))</x:f>
        <x:v>#NAME?</x:v>
      </x:c>
      <x:c r="K252" s="146" t="e">
        <x:f>IF($A252="","",[1]!thsiFinD("ths_adjustment_nv_fund",K$3,$A252))</x:f>
        <x:v>#NAME?</x:v>
      </x:c>
      <x:c r="L252" s="146" t="e">
        <x:f>IF($A252="","",[1]!thsiFinD("ths_adjustment_nv_fund",L$3,$A252))</x:f>
        <x:v>#NAME?</x:v>
      </x:c>
      <x:c r="M252" s="146" t="e">
        <x:f>IF($A252="","",[1]!thsiFinD("ths_adjustment_nv_fund",M$3,$A252))</x:f>
        <x:v>#NAME?</x:v>
      </x:c>
      <x:c r="N252" s="146" t="e">
        <x:f>IF($A252="","",[1]!thsiFinD("ths_adjustment_nv_fund",N$3,$A252))</x:f>
        <x:v>#NAME?</x:v>
      </x:c>
      <x:c r="O252" s="146" t="e">
        <x:f>IF($A252="","",[1]!thsiFinD("ths_adjustment_nv_fund",O$3,$A252))</x:f>
        <x:v>#NAME?</x:v>
      </x:c>
      <x:c r="P252" s="146" t="e">
        <x:f>IF($A252="","",[1]!thsiFinD("ths_adjustment_nv_fund",P$3,$A252))</x:f>
        <x:v>#NAME?</x:v>
      </x:c>
      <x:c r="Q252" s="146" t="e">
        <x:f>IF($A252="","",[1]!thsiFinD("ths_adjustment_nv_fund",Q$3,$A252))</x:f>
        <x:v>#NAME?</x:v>
      </x:c>
      <x:c r="R252" s="146" t="e">
        <x:f>IF($A252="","",[1]!thsiFinD("ths_adjustment_nv_fund",R$3,$A252))</x:f>
        <x:v>#NAME?</x:v>
      </x:c>
      <x:c r="S252" s="146" t="e">
        <x:f>IF($A252="","",[1]!thsiFinD("ths_adjustment_nv_fund",S$3,$A252))</x:f>
        <x:v>#NAME?</x:v>
      </x:c>
      <x:c r="T252" s="146" t="e">
        <x:f>IF($A252="","",[1]!thsiFinD("ths_adjustment_nv_fund",T$3,$A252))</x:f>
        <x:v>#NAME?</x:v>
      </x:c>
      <x:c r="U252" s="146" t="e">
        <x:f>IF($A252="","",[1]!thsiFinD("ths_adjustment_nv_fund",U$3,$A252))</x:f>
        <x:v>#NAME?</x:v>
      </x:c>
      <x:c r="V252" s="146" t="e">
        <x:f>IF($A252="","",[1]!thsiFinD("ths_adjustment_nv_fund",V$3,$A252))</x:f>
        <x:v>#NAME?</x:v>
      </x:c>
      <x:c r="W252" s="146" t="e">
        <x:f>IF($A252="","",[1]!thsiFinD("ths_adjustment_nv_fund",W$3,$A252))</x:f>
        <x:v>#NAME?</x:v>
      </x:c>
      <x:c r="X252" s="146" t="e">
        <x:f>IF($A252="","",[1]!thsiFinD("ths_adjustment_nv_fund",X$3,$A252))</x:f>
        <x:v>#NAME?</x:v>
      </x:c>
      <x:c r="Y252" s="146" t="e">
        <x:f>IF($A252="","",[1]!thsiFinD("ths_adjustment_nv_fund",Y$3,$A252))</x:f>
        <x:v>#NAME?</x:v>
      </x:c>
      <x:c r="Z252" s="146" t="e">
        <x:f>IF($A252="","",[1]!thsiFinD("ths_adjustment_nv_fund",Z$3,$A252))</x:f>
        <x:v>#NAME?</x:v>
      </x:c>
      <x:c r="AA252" s="146" t="e">
        <x:f>IF($A252="","",[1]!thsiFinD("ths_adjustment_nv_fund",AA$3,$A252))</x:f>
        <x:v>#NAME?</x:v>
      </x:c>
    </x:row>
    <x:row r="253">
      <x:c r="B253" s="146" t="e">
        <x:f>IF($A253="","",[1]!thsiFinD("ths_adjustment_nv_fund",B$3,$A253))</x:f>
        <x:v>#NAME?</x:v>
      </x:c>
      <x:c r="C253" s="146" t="e">
        <x:f>IF($A253="","",[1]!thsiFinD("ths_adjustment_nv_fund",C$3,$A253))</x:f>
        <x:v>#NAME?</x:v>
      </x:c>
      <x:c r="D253" s="146" t="e">
        <x:f>IF($A253="","",[1]!thsiFinD("ths_adjustment_nv_fund",D$3,$A253))</x:f>
        <x:v>#NAME?</x:v>
      </x:c>
      <x:c r="E253" s="146" t="e">
        <x:f>IF($A253="","",[1]!thsiFinD("ths_adjustment_nv_fund",E$3,$A253))</x:f>
        <x:v>#NAME?</x:v>
      </x:c>
      <x:c r="F253" s="146" t="e">
        <x:f>IF($A253="","",[1]!thsiFinD("ths_adjustment_nv_fund",F$3,$A253))</x:f>
        <x:v>#NAME?</x:v>
      </x:c>
      <x:c r="G253" s="146" t="e">
        <x:f>IF($A253="","",[1]!thsiFinD("ths_adjustment_nv_fund",G$3,$A253))</x:f>
        <x:v>#NAME?</x:v>
      </x:c>
      <x:c r="H253" s="146" t="e">
        <x:f>IF($A253="","",[1]!thsiFinD("ths_adjustment_nv_fund",H$3,$A253))</x:f>
        <x:v>#NAME?</x:v>
      </x:c>
      <x:c r="I253" s="146" t="e">
        <x:f>IF($A253="","",[1]!thsiFinD("ths_adjustment_nv_fund",I$3,$A253))</x:f>
        <x:v>#NAME?</x:v>
      </x:c>
      <x:c r="J253" s="146" t="e">
        <x:f>IF($A253="","",[1]!thsiFinD("ths_adjustment_nv_fund",J$3,$A253))</x:f>
        <x:v>#NAME?</x:v>
      </x:c>
      <x:c r="K253" s="146" t="e">
        <x:f>IF($A253="","",[1]!thsiFinD("ths_adjustment_nv_fund",K$3,$A253))</x:f>
        <x:v>#NAME?</x:v>
      </x:c>
      <x:c r="L253" s="146" t="e">
        <x:f>IF($A253="","",[1]!thsiFinD("ths_adjustment_nv_fund",L$3,$A253))</x:f>
        <x:v>#NAME?</x:v>
      </x:c>
      <x:c r="M253" s="146" t="e">
        <x:f>IF($A253="","",[1]!thsiFinD("ths_adjustment_nv_fund",M$3,$A253))</x:f>
        <x:v>#NAME?</x:v>
      </x:c>
      <x:c r="N253" s="146" t="e">
        <x:f>IF($A253="","",[1]!thsiFinD("ths_adjustment_nv_fund",N$3,$A253))</x:f>
        <x:v>#NAME?</x:v>
      </x:c>
      <x:c r="O253" s="146" t="e">
        <x:f>IF($A253="","",[1]!thsiFinD("ths_adjustment_nv_fund",O$3,$A253))</x:f>
        <x:v>#NAME?</x:v>
      </x:c>
      <x:c r="P253" s="146" t="e">
        <x:f>IF($A253="","",[1]!thsiFinD("ths_adjustment_nv_fund",P$3,$A253))</x:f>
        <x:v>#NAME?</x:v>
      </x:c>
      <x:c r="Q253" s="146" t="e">
        <x:f>IF($A253="","",[1]!thsiFinD("ths_adjustment_nv_fund",Q$3,$A253))</x:f>
        <x:v>#NAME?</x:v>
      </x:c>
      <x:c r="R253" s="146" t="e">
        <x:f>IF($A253="","",[1]!thsiFinD("ths_adjustment_nv_fund",R$3,$A253))</x:f>
        <x:v>#NAME?</x:v>
      </x:c>
      <x:c r="S253" s="146" t="e">
        <x:f>IF($A253="","",[1]!thsiFinD("ths_adjustment_nv_fund",S$3,$A253))</x:f>
        <x:v>#NAME?</x:v>
      </x:c>
      <x:c r="T253" s="146" t="e">
        <x:f>IF($A253="","",[1]!thsiFinD("ths_adjustment_nv_fund",T$3,$A253))</x:f>
        <x:v>#NAME?</x:v>
      </x:c>
      <x:c r="U253" s="146" t="e">
        <x:f>IF($A253="","",[1]!thsiFinD("ths_adjustment_nv_fund",U$3,$A253))</x:f>
        <x:v>#NAME?</x:v>
      </x:c>
      <x:c r="V253" s="146" t="e">
        <x:f>IF($A253="","",[1]!thsiFinD("ths_adjustment_nv_fund",V$3,$A253))</x:f>
        <x:v>#NAME?</x:v>
      </x:c>
      <x:c r="W253" s="146" t="e">
        <x:f>IF($A253="","",[1]!thsiFinD("ths_adjustment_nv_fund",W$3,$A253))</x:f>
        <x:v>#NAME?</x:v>
      </x:c>
      <x:c r="X253" s="146" t="e">
        <x:f>IF($A253="","",[1]!thsiFinD("ths_adjustment_nv_fund",X$3,$A253))</x:f>
        <x:v>#NAME?</x:v>
      </x:c>
      <x:c r="Y253" s="146" t="e">
        <x:f>IF($A253="","",[1]!thsiFinD("ths_adjustment_nv_fund",Y$3,$A253))</x:f>
        <x:v>#NAME?</x:v>
      </x:c>
      <x:c r="Z253" s="146" t="e">
        <x:f>IF($A253="","",[1]!thsiFinD("ths_adjustment_nv_fund",Z$3,$A253))</x:f>
        <x:v>#NAME?</x:v>
      </x:c>
      <x:c r="AA253" s="146" t="e">
        <x:f>IF($A253="","",[1]!thsiFinD("ths_adjustment_nv_fund",AA$3,$A253))</x:f>
        <x:v>#NAME?</x:v>
      </x:c>
    </x:row>
    <x:row r="254">
      <x:c r="B254" s="146" t="e">
        <x:f>IF($A254="","",[1]!thsiFinD("ths_adjustment_nv_fund",B$3,$A254))</x:f>
        <x:v>#NAME?</x:v>
      </x:c>
      <x:c r="C254" s="146" t="e">
        <x:f>IF($A254="","",[1]!thsiFinD("ths_adjustment_nv_fund",C$3,$A254))</x:f>
        <x:v>#NAME?</x:v>
      </x:c>
      <x:c r="D254" s="146" t="e">
        <x:f>IF($A254="","",[1]!thsiFinD("ths_adjustment_nv_fund",D$3,$A254))</x:f>
        <x:v>#NAME?</x:v>
      </x:c>
      <x:c r="E254" s="146" t="e">
        <x:f>IF($A254="","",[1]!thsiFinD("ths_adjustment_nv_fund",E$3,$A254))</x:f>
        <x:v>#NAME?</x:v>
      </x:c>
      <x:c r="F254" s="146" t="e">
        <x:f>IF($A254="","",[1]!thsiFinD("ths_adjustment_nv_fund",F$3,$A254))</x:f>
        <x:v>#NAME?</x:v>
      </x:c>
      <x:c r="G254" s="146" t="e">
        <x:f>IF($A254="","",[1]!thsiFinD("ths_adjustment_nv_fund",G$3,$A254))</x:f>
        <x:v>#NAME?</x:v>
      </x:c>
      <x:c r="H254" s="146" t="e">
        <x:f>IF($A254="","",[1]!thsiFinD("ths_adjustment_nv_fund",H$3,$A254))</x:f>
        <x:v>#NAME?</x:v>
      </x:c>
      <x:c r="I254" s="146" t="e">
        <x:f>IF($A254="","",[1]!thsiFinD("ths_adjustment_nv_fund",I$3,$A254))</x:f>
        <x:v>#NAME?</x:v>
      </x:c>
      <x:c r="J254" s="146" t="e">
        <x:f>IF($A254="","",[1]!thsiFinD("ths_adjustment_nv_fund",J$3,$A254))</x:f>
        <x:v>#NAME?</x:v>
      </x:c>
      <x:c r="K254" s="146" t="e">
        <x:f>IF($A254="","",[1]!thsiFinD("ths_adjustment_nv_fund",K$3,$A254))</x:f>
        <x:v>#NAME?</x:v>
      </x:c>
      <x:c r="L254" s="146" t="e">
        <x:f>IF($A254="","",[1]!thsiFinD("ths_adjustment_nv_fund",L$3,$A254))</x:f>
        <x:v>#NAME?</x:v>
      </x:c>
      <x:c r="M254" s="146" t="e">
        <x:f>IF($A254="","",[1]!thsiFinD("ths_adjustment_nv_fund",M$3,$A254))</x:f>
        <x:v>#NAME?</x:v>
      </x:c>
      <x:c r="N254" s="146" t="e">
        <x:f>IF($A254="","",[1]!thsiFinD("ths_adjustment_nv_fund",N$3,$A254))</x:f>
        <x:v>#NAME?</x:v>
      </x:c>
      <x:c r="O254" s="146" t="e">
        <x:f>IF($A254="","",[1]!thsiFinD("ths_adjustment_nv_fund",O$3,$A254))</x:f>
        <x:v>#NAME?</x:v>
      </x:c>
      <x:c r="P254" s="146" t="e">
        <x:f>IF($A254="","",[1]!thsiFinD("ths_adjustment_nv_fund",P$3,$A254))</x:f>
        <x:v>#NAME?</x:v>
      </x:c>
      <x:c r="Q254" s="146" t="e">
        <x:f>IF($A254="","",[1]!thsiFinD("ths_adjustment_nv_fund",Q$3,$A254))</x:f>
        <x:v>#NAME?</x:v>
      </x:c>
      <x:c r="R254" s="146" t="e">
        <x:f>IF($A254="","",[1]!thsiFinD("ths_adjustment_nv_fund",R$3,$A254))</x:f>
        <x:v>#NAME?</x:v>
      </x:c>
      <x:c r="S254" s="146" t="e">
        <x:f>IF($A254="","",[1]!thsiFinD("ths_adjustment_nv_fund",S$3,$A254))</x:f>
        <x:v>#NAME?</x:v>
      </x:c>
      <x:c r="T254" s="146" t="e">
        <x:f>IF($A254="","",[1]!thsiFinD("ths_adjustment_nv_fund",T$3,$A254))</x:f>
        <x:v>#NAME?</x:v>
      </x:c>
      <x:c r="U254" s="146" t="e">
        <x:f>IF($A254="","",[1]!thsiFinD("ths_adjustment_nv_fund",U$3,$A254))</x:f>
        <x:v>#NAME?</x:v>
      </x:c>
      <x:c r="V254" s="146" t="e">
        <x:f>IF($A254="","",[1]!thsiFinD("ths_adjustment_nv_fund",V$3,$A254))</x:f>
        <x:v>#NAME?</x:v>
      </x:c>
      <x:c r="W254" s="146" t="e">
        <x:f>IF($A254="","",[1]!thsiFinD("ths_adjustment_nv_fund",W$3,$A254))</x:f>
        <x:v>#NAME?</x:v>
      </x:c>
      <x:c r="X254" s="146" t="e">
        <x:f>IF($A254="","",[1]!thsiFinD("ths_adjustment_nv_fund",X$3,$A254))</x:f>
        <x:v>#NAME?</x:v>
      </x:c>
      <x:c r="Y254" s="146" t="e">
        <x:f>IF($A254="","",[1]!thsiFinD("ths_adjustment_nv_fund",Y$3,$A254))</x:f>
        <x:v>#NAME?</x:v>
      </x:c>
      <x:c r="Z254" s="146" t="e">
        <x:f>IF($A254="","",[1]!thsiFinD("ths_adjustment_nv_fund",Z$3,$A254))</x:f>
        <x:v>#NAME?</x:v>
      </x:c>
      <x:c r="AA254" s="146" t="e">
        <x:f>IF($A254="","",[1]!thsiFinD("ths_adjustment_nv_fund",AA$3,$A254))</x:f>
        <x:v>#NAME?</x:v>
      </x:c>
    </x:row>
    <x:row r="255">
      <x:c r="B255" s="146" t="e">
        <x:f>IF($A255="","",[1]!thsiFinD("ths_adjustment_nv_fund",B$3,$A255))</x:f>
        <x:v>#NAME?</x:v>
      </x:c>
      <x:c r="C255" s="146" t="e">
        <x:f>IF($A255="","",[1]!thsiFinD("ths_adjustment_nv_fund",C$3,$A255))</x:f>
        <x:v>#NAME?</x:v>
      </x:c>
      <x:c r="D255" s="146" t="e">
        <x:f>IF($A255="","",[1]!thsiFinD("ths_adjustment_nv_fund",D$3,$A255))</x:f>
        <x:v>#NAME?</x:v>
      </x:c>
      <x:c r="E255" s="146" t="e">
        <x:f>IF($A255="","",[1]!thsiFinD("ths_adjustment_nv_fund",E$3,$A255))</x:f>
        <x:v>#NAME?</x:v>
      </x:c>
      <x:c r="F255" s="146" t="e">
        <x:f>IF($A255="","",[1]!thsiFinD("ths_adjustment_nv_fund",F$3,$A255))</x:f>
        <x:v>#NAME?</x:v>
      </x:c>
      <x:c r="G255" s="146" t="e">
        <x:f>IF($A255="","",[1]!thsiFinD("ths_adjustment_nv_fund",G$3,$A255))</x:f>
        <x:v>#NAME?</x:v>
      </x:c>
      <x:c r="H255" s="146" t="e">
        <x:f>IF($A255="","",[1]!thsiFinD("ths_adjustment_nv_fund",H$3,$A255))</x:f>
        <x:v>#NAME?</x:v>
      </x:c>
      <x:c r="I255" s="146" t="e">
        <x:f>IF($A255="","",[1]!thsiFinD("ths_adjustment_nv_fund",I$3,$A255))</x:f>
        <x:v>#NAME?</x:v>
      </x:c>
      <x:c r="J255" s="146" t="e">
        <x:f>IF($A255="","",[1]!thsiFinD("ths_adjustment_nv_fund",J$3,$A255))</x:f>
        <x:v>#NAME?</x:v>
      </x:c>
      <x:c r="K255" s="146" t="e">
        <x:f>IF($A255="","",[1]!thsiFinD("ths_adjustment_nv_fund",K$3,$A255))</x:f>
        <x:v>#NAME?</x:v>
      </x:c>
      <x:c r="L255" s="146" t="e">
        <x:f>IF($A255="","",[1]!thsiFinD("ths_adjustment_nv_fund",L$3,$A255))</x:f>
        <x:v>#NAME?</x:v>
      </x:c>
      <x:c r="M255" s="146" t="e">
        <x:f>IF($A255="","",[1]!thsiFinD("ths_adjustment_nv_fund",M$3,$A255))</x:f>
        <x:v>#NAME?</x:v>
      </x:c>
      <x:c r="N255" s="146" t="e">
        <x:f>IF($A255="","",[1]!thsiFinD("ths_adjustment_nv_fund",N$3,$A255))</x:f>
        <x:v>#NAME?</x:v>
      </x:c>
      <x:c r="O255" s="146" t="e">
        <x:f>IF($A255="","",[1]!thsiFinD("ths_adjustment_nv_fund",O$3,$A255))</x:f>
        <x:v>#NAME?</x:v>
      </x:c>
      <x:c r="P255" s="146" t="e">
        <x:f>IF($A255="","",[1]!thsiFinD("ths_adjustment_nv_fund",P$3,$A255))</x:f>
        <x:v>#NAME?</x:v>
      </x:c>
      <x:c r="Q255" s="146" t="e">
        <x:f>IF($A255="","",[1]!thsiFinD("ths_adjustment_nv_fund",Q$3,$A255))</x:f>
        <x:v>#NAME?</x:v>
      </x:c>
      <x:c r="R255" s="146" t="e">
        <x:f>IF($A255="","",[1]!thsiFinD("ths_adjustment_nv_fund",R$3,$A255))</x:f>
        <x:v>#NAME?</x:v>
      </x:c>
      <x:c r="S255" s="146" t="e">
        <x:f>IF($A255="","",[1]!thsiFinD("ths_adjustment_nv_fund",S$3,$A255))</x:f>
        <x:v>#NAME?</x:v>
      </x:c>
      <x:c r="T255" s="146" t="e">
        <x:f>IF($A255="","",[1]!thsiFinD("ths_adjustment_nv_fund",T$3,$A255))</x:f>
        <x:v>#NAME?</x:v>
      </x:c>
      <x:c r="U255" s="146" t="e">
        <x:f>IF($A255="","",[1]!thsiFinD("ths_adjustment_nv_fund",U$3,$A255))</x:f>
        <x:v>#NAME?</x:v>
      </x:c>
      <x:c r="V255" s="146" t="e">
        <x:f>IF($A255="","",[1]!thsiFinD("ths_adjustment_nv_fund",V$3,$A255))</x:f>
        <x:v>#NAME?</x:v>
      </x:c>
      <x:c r="W255" s="146" t="e">
        <x:f>IF($A255="","",[1]!thsiFinD("ths_adjustment_nv_fund",W$3,$A255))</x:f>
        <x:v>#NAME?</x:v>
      </x:c>
      <x:c r="X255" s="146" t="e">
        <x:f>IF($A255="","",[1]!thsiFinD("ths_adjustment_nv_fund",X$3,$A255))</x:f>
        <x:v>#NAME?</x:v>
      </x:c>
      <x:c r="Y255" s="146" t="e">
        <x:f>IF($A255="","",[1]!thsiFinD("ths_adjustment_nv_fund",Y$3,$A255))</x:f>
        <x:v>#NAME?</x:v>
      </x:c>
      <x:c r="Z255" s="146" t="e">
        <x:f>IF($A255="","",[1]!thsiFinD("ths_adjustment_nv_fund",Z$3,$A255))</x:f>
        <x:v>#NAME?</x:v>
      </x:c>
      <x:c r="AA255" s="146" t="e">
        <x:f>IF($A255="","",[1]!thsiFinD("ths_adjustment_nv_fund",AA$3,$A255))</x:f>
        <x:v>#NAME?</x:v>
      </x:c>
    </x:row>
    <x:row r="256">
      <x:c r="B256" s="146" t="e">
        <x:f>IF($A256="","",[1]!thsiFinD("ths_adjustment_nv_fund",B$3,$A256))</x:f>
        <x:v>#NAME?</x:v>
      </x:c>
      <x:c r="C256" s="146" t="e">
        <x:f>IF($A256="","",[1]!thsiFinD("ths_adjustment_nv_fund",C$3,$A256))</x:f>
        <x:v>#NAME?</x:v>
      </x:c>
      <x:c r="D256" s="146" t="e">
        <x:f>IF($A256="","",[1]!thsiFinD("ths_adjustment_nv_fund",D$3,$A256))</x:f>
        <x:v>#NAME?</x:v>
      </x:c>
      <x:c r="E256" s="146" t="e">
        <x:f>IF($A256="","",[1]!thsiFinD("ths_adjustment_nv_fund",E$3,$A256))</x:f>
        <x:v>#NAME?</x:v>
      </x:c>
      <x:c r="F256" s="146" t="e">
        <x:f>IF($A256="","",[1]!thsiFinD("ths_adjustment_nv_fund",F$3,$A256))</x:f>
        <x:v>#NAME?</x:v>
      </x:c>
      <x:c r="G256" s="146" t="e">
        <x:f>IF($A256="","",[1]!thsiFinD("ths_adjustment_nv_fund",G$3,$A256))</x:f>
        <x:v>#NAME?</x:v>
      </x:c>
      <x:c r="H256" s="146" t="e">
        <x:f>IF($A256="","",[1]!thsiFinD("ths_adjustment_nv_fund",H$3,$A256))</x:f>
        <x:v>#NAME?</x:v>
      </x:c>
      <x:c r="I256" s="146" t="e">
        <x:f>IF($A256="","",[1]!thsiFinD("ths_adjustment_nv_fund",I$3,$A256))</x:f>
        <x:v>#NAME?</x:v>
      </x:c>
      <x:c r="J256" s="146" t="e">
        <x:f>IF($A256="","",[1]!thsiFinD("ths_adjustment_nv_fund",J$3,$A256))</x:f>
        <x:v>#NAME?</x:v>
      </x:c>
      <x:c r="K256" s="146" t="e">
        <x:f>IF($A256="","",[1]!thsiFinD("ths_adjustment_nv_fund",K$3,$A256))</x:f>
        <x:v>#NAME?</x:v>
      </x:c>
      <x:c r="L256" s="146" t="e">
        <x:f>IF($A256="","",[1]!thsiFinD("ths_adjustment_nv_fund",L$3,$A256))</x:f>
        <x:v>#NAME?</x:v>
      </x:c>
      <x:c r="M256" s="146" t="e">
        <x:f>IF($A256="","",[1]!thsiFinD("ths_adjustment_nv_fund",M$3,$A256))</x:f>
        <x:v>#NAME?</x:v>
      </x:c>
      <x:c r="N256" s="146" t="e">
        <x:f>IF($A256="","",[1]!thsiFinD("ths_adjustment_nv_fund",N$3,$A256))</x:f>
        <x:v>#NAME?</x:v>
      </x:c>
      <x:c r="O256" s="146" t="e">
        <x:f>IF($A256="","",[1]!thsiFinD("ths_adjustment_nv_fund",O$3,$A256))</x:f>
        <x:v>#NAME?</x:v>
      </x:c>
      <x:c r="P256" s="146" t="e">
        <x:f>IF($A256="","",[1]!thsiFinD("ths_adjustment_nv_fund",P$3,$A256))</x:f>
        <x:v>#NAME?</x:v>
      </x:c>
      <x:c r="Q256" s="146" t="e">
        <x:f>IF($A256="","",[1]!thsiFinD("ths_adjustment_nv_fund",Q$3,$A256))</x:f>
        <x:v>#NAME?</x:v>
      </x:c>
      <x:c r="R256" s="146" t="e">
        <x:f>IF($A256="","",[1]!thsiFinD("ths_adjustment_nv_fund",R$3,$A256))</x:f>
        <x:v>#NAME?</x:v>
      </x:c>
      <x:c r="S256" s="146" t="e">
        <x:f>IF($A256="","",[1]!thsiFinD("ths_adjustment_nv_fund",S$3,$A256))</x:f>
        <x:v>#NAME?</x:v>
      </x:c>
      <x:c r="T256" s="146" t="e">
        <x:f>IF($A256="","",[1]!thsiFinD("ths_adjustment_nv_fund",T$3,$A256))</x:f>
        <x:v>#NAME?</x:v>
      </x:c>
      <x:c r="U256" s="146" t="e">
        <x:f>IF($A256="","",[1]!thsiFinD("ths_adjustment_nv_fund",U$3,$A256))</x:f>
        <x:v>#NAME?</x:v>
      </x:c>
      <x:c r="V256" s="146" t="e">
        <x:f>IF($A256="","",[1]!thsiFinD("ths_adjustment_nv_fund",V$3,$A256))</x:f>
        <x:v>#NAME?</x:v>
      </x:c>
      <x:c r="W256" s="146" t="e">
        <x:f>IF($A256="","",[1]!thsiFinD("ths_adjustment_nv_fund",W$3,$A256))</x:f>
        <x:v>#NAME?</x:v>
      </x:c>
      <x:c r="X256" s="146" t="e">
        <x:f>IF($A256="","",[1]!thsiFinD("ths_adjustment_nv_fund",X$3,$A256))</x:f>
        <x:v>#NAME?</x:v>
      </x:c>
      <x:c r="Y256" s="146" t="e">
        <x:f>IF($A256="","",[1]!thsiFinD("ths_adjustment_nv_fund",Y$3,$A256))</x:f>
        <x:v>#NAME?</x:v>
      </x:c>
      <x:c r="Z256" s="146" t="e">
        <x:f>IF($A256="","",[1]!thsiFinD("ths_adjustment_nv_fund",Z$3,$A256))</x:f>
        <x:v>#NAME?</x:v>
      </x:c>
      <x:c r="AA256" s="146" t="e">
        <x:f>IF($A256="","",[1]!thsiFinD("ths_adjustment_nv_fund",AA$3,$A256))</x:f>
        <x:v>#NAME?</x:v>
      </x:c>
    </x:row>
    <x:row r="257">
      <x:c r="B257" s="146" t="e">
        <x:f>IF($A257="","",[1]!thsiFinD("ths_adjustment_nv_fund",B$3,$A257))</x:f>
        <x:v>#NAME?</x:v>
      </x:c>
      <x:c r="C257" s="146" t="e">
        <x:f>IF($A257="","",[1]!thsiFinD("ths_adjustment_nv_fund",C$3,$A257))</x:f>
        <x:v>#NAME?</x:v>
      </x:c>
      <x:c r="D257" s="146" t="e">
        <x:f>IF($A257="","",[1]!thsiFinD("ths_adjustment_nv_fund",D$3,$A257))</x:f>
        <x:v>#NAME?</x:v>
      </x:c>
      <x:c r="E257" s="146" t="e">
        <x:f>IF($A257="","",[1]!thsiFinD("ths_adjustment_nv_fund",E$3,$A257))</x:f>
        <x:v>#NAME?</x:v>
      </x:c>
      <x:c r="F257" s="146" t="e">
        <x:f>IF($A257="","",[1]!thsiFinD("ths_adjustment_nv_fund",F$3,$A257))</x:f>
        <x:v>#NAME?</x:v>
      </x:c>
      <x:c r="G257" s="146" t="e">
        <x:f>IF($A257="","",[1]!thsiFinD("ths_adjustment_nv_fund",G$3,$A257))</x:f>
        <x:v>#NAME?</x:v>
      </x:c>
      <x:c r="H257" s="146" t="e">
        <x:f>IF($A257="","",[1]!thsiFinD("ths_adjustment_nv_fund",H$3,$A257))</x:f>
        <x:v>#NAME?</x:v>
      </x:c>
      <x:c r="I257" s="146" t="e">
        <x:f>IF($A257="","",[1]!thsiFinD("ths_adjustment_nv_fund",I$3,$A257))</x:f>
        <x:v>#NAME?</x:v>
      </x:c>
      <x:c r="J257" s="146" t="e">
        <x:f>IF($A257="","",[1]!thsiFinD("ths_adjustment_nv_fund",J$3,$A257))</x:f>
        <x:v>#NAME?</x:v>
      </x:c>
      <x:c r="K257" s="146" t="e">
        <x:f>IF($A257="","",[1]!thsiFinD("ths_adjustment_nv_fund",K$3,$A257))</x:f>
        <x:v>#NAME?</x:v>
      </x:c>
      <x:c r="L257" s="146" t="e">
        <x:f>IF($A257="","",[1]!thsiFinD("ths_adjustment_nv_fund",L$3,$A257))</x:f>
        <x:v>#NAME?</x:v>
      </x:c>
      <x:c r="M257" s="146" t="e">
        <x:f>IF($A257="","",[1]!thsiFinD("ths_adjustment_nv_fund",M$3,$A257))</x:f>
        <x:v>#NAME?</x:v>
      </x:c>
      <x:c r="N257" s="146" t="e">
        <x:f>IF($A257="","",[1]!thsiFinD("ths_adjustment_nv_fund",N$3,$A257))</x:f>
        <x:v>#NAME?</x:v>
      </x:c>
      <x:c r="O257" s="146" t="e">
        <x:f>IF($A257="","",[1]!thsiFinD("ths_adjustment_nv_fund",O$3,$A257))</x:f>
        <x:v>#NAME?</x:v>
      </x:c>
      <x:c r="P257" s="146" t="e">
        <x:f>IF($A257="","",[1]!thsiFinD("ths_adjustment_nv_fund",P$3,$A257))</x:f>
        <x:v>#NAME?</x:v>
      </x:c>
      <x:c r="Q257" s="146" t="e">
        <x:f>IF($A257="","",[1]!thsiFinD("ths_adjustment_nv_fund",Q$3,$A257))</x:f>
        <x:v>#NAME?</x:v>
      </x:c>
      <x:c r="R257" s="146" t="e">
        <x:f>IF($A257="","",[1]!thsiFinD("ths_adjustment_nv_fund",R$3,$A257))</x:f>
        <x:v>#NAME?</x:v>
      </x:c>
      <x:c r="S257" s="146" t="e">
        <x:f>IF($A257="","",[1]!thsiFinD("ths_adjustment_nv_fund",S$3,$A257))</x:f>
        <x:v>#NAME?</x:v>
      </x:c>
      <x:c r="T257" s="146" t="e">
        <x:f>IF($A257="","",[1]!thsiFinD("ths_adjustment_nv_fund",T$3,$A257))</x:f>
        <x:v>#NAME?</x:v>
      </x:c>
      <x:c r="U257" s="146" t="e">
        <x:f>IF($A257="","",[1]!thsiFinD("ths_adjustment_nv_fund",U$3,$A257))</x:f>
        <x:v>#NAME?</x:v>
      </x:c>
      <x:c r="V257" s="146" t="e">
        <x:f>IF($A257="","",[1]!thsiFinD("ths_adjustment_nv_fund",V$3,$A257))</x:f>
        <x:v>#NAME?</x:v>
      </x:c>
      <x:c r="W257" s="146" t="e">
        <x:f>IF($A257="","",[1]!thsiFinD("ths_adjustment_nv_fund",W$3,$A257))</x:f>
        <x:v>#NAME?</x:v>
      </x:c>
      <x:c r="X257" s="146" t="e">
        <x:f>IF($A257="","",[1]!thsiFinD("ths_adjustment_nv_fund",X$3,$A257))</x:f>
        <x:v>#NAME?</x:v>
      </x:c>
      <x:c r="Y257" s="146" t="e">
        <x:f>IF($A257="","",[1]!thsiFinD("ths_adjustment_nv_fund",Y$3,$A257))</x:f>
        <x:v>#NAME?</x:v>
      </x:c>
      <x:c r="Z257" s="146" t="e">
        <x:f>IF($A257="","",[1]!thsiFinD("ths_adjustment_nv_fund",Z$3,$A257))</x:f>
        <x:v>#NAME?</x:v>
      </x:c>
      <x:c r="AA257" s="146" t="e">
        <x:f>IF($A257="","",[1]!thsiFinD("ths_adjustment_nv_fund",AA$3,$A257))</x:f>
        <x:v>#NAME?</x:v>
      </x:c>
    </x:row>
    <x:row r="258">
      <x:c r="B258" s="146" t="e">
        <x:f>IF($A258="","",[1]!thsiFinD("ths_adjustment_nv_fund",B$3,$A258))</x:f>
        <x:v>#NAME?</x:v>
      </x:c>
      <x:c r="C258" s="146" t="e">
        <x:f>IF($A258="","",[1]!thsiFinD("ths_adjustment_nv_fund",C$3,$A258))</x:f>
        <x:v>#NAME?</x:v>
      </x:c>
      <x:c r="D258" s="146" t="e">
        <x:f>IF($A258="","",[1]!thsiFinD("ths_adjustment_nv_fund",D$3,$A258))</x:f>
        <x:v>#NAME?</x:v>
      </x:c>
      <x:c r="E258" s="146" t="e">
        <x:f>IF($A258="","",[1]!thsiFinD("ths_adjustment_nv_fund",E$3,$A258))</x:f>
        <x:v>#NAME?</x:v>
      </x:c>
      <x:c r="F258" s="146" t="e">
        <x:f>IF($A258="","",[1]!thsiFinD("ths_adjustment_nv_fund",F$3,$A258))</x:f>
        <x:v>#NAME?</x:v>
      </x:c>
      <x:c r="G258" s="146" t="e">
        <x:f>IF($A258="","",[1]!thsiFinD("ths_adjustment_nv_fund",G$3,$A258))</x:f>
        <x:v>#NAME?</x:v>
      </x:c>
      <x:c r="H258" s="146" t="e">
        <x:f>IF($A258="","",[1]!thsiFinD("ths_adjustment_nv_fund",H$3,$A258))</x:f>
        <x:v>#NAME?</x:v>
      </x:c>
      <x:c r="I258" s="146" t="e">
        <x:f>IF($A258="","",[1]!thsiFinD("ths_adjustment_nv_fund",I$3,$A258))</x:f>
        <x:v>#NAME?</x:v>
      </x:c>
      <x:c r="J258" s="146" t="e">
        <x:f>IF($A258="","",[1]!thsiFinD("ths_adjustment_nv_fund",J$3,$A258))</x:f>
        <x:v>#NAME?</x:v>
      </x:c>
      <x:c r="K258" s="146" t="e">
        <x:f>IF($A258="","",[1]!thsiFinD("ths_adjustment_nv_fund",K$3,$A258))</x:f>
        <x:v>#NAME?</x:v>
      </x:c>
      <x:c r="L258" s="146" t="e">
        <x:f>IF($A258="","",[1]!thsiFinD("ths_adjustment_nv_fund",L$3,$A258))</x:f>
        <x:v>#NAME?</x:v>
      </x:c>
      <x:c r="M258" s="146" t="e">
        <x:f>IF($A258="","",[1]!thsiFinD("ths_adjustment_nv_fund",M$3,$A258))</x:f>
        <x:v>#NAME?</x:v>
      </x:c>
      <x:c r="N258" s="146" t="e">
        <x:f>IF($A258="","",[1]!thsiFinD("ths_adjustment_nv_fund",N$3,$A258))</x:f>
        <x:v>#NAME?</x:v>
      </x:c>
      <x:c r="O258" s="146" t="e">
        <x:f>IF($A258="","",[1]!thsiFinD("ths_adjustment_nv_fund",O$3,$A258))</x:f>
        <x:v>#NAME?</x:v>
      </x:c>
      <x:c r="P258" s="146" t="e">
        <x:f>IF($A258="","",[1]!thsiFinD("ths_adjustment_nv_fund",P$3,$A258))</x:f>
        <x:v>#NAME?</x:v>
      </x:c>
      <x:c r="Q258" s="146" t="e">
        <x:f>IF($A258="","",[1]!thsiFinD("ths_adjustment_nv_fund",Q$3,$A258))</x:f>
        <x:v>#NAME?</x:v>
      </x:c>
      <x:c r="R258" s="146" t="e">
        <x:f>IF($A258="","",[1]!thsiFinD("ths_adjustment_nv_fund",R$3,$A258))</x:f>
        <x:v>#NAME?</x:v>
      </x:c>
      <x:c r="S258" s="146" t="e">
        <x:f>IF($A258="","",[1]!thsiFinD("ths_adjustment_nv_fund",S$3,$A258))</x:f>
        <x:v>#NAME?</x:v>
      </x:c>
      <x:c r="T258" s="146" t="e">
        <x:f>IF($A258="","",[1]!thsiFinD("ths_adjustment_nv_fund",T$3,$A258))</x:f>
        <x:v>#NAME?</x:v>
      </x:c>
      <x:c r="U258" s="146" t="e">
        <x:f>IF($A258="","",[1]!thsiFinD("ths_adjustment_nv_fund",U$3,$A258))</x:f>
        <x:v>#NAME?</x:v>
      </x:c>
      <x:c r="V258" s="146" t="e">
        <x:f>IF($A258="","",[1]!thsiFinD("ths_adjustment_nv_fund",V$3,$A258))</x:f>
        <x:v>#NAME?</x:v>
      </x:c>
      <x:c r="W258" s="146" t="e">
        <x:f>IF($A258="","",[1]!thsiFinD("ths_adjustment_nv_fund",W$3,$A258))</x:f>
        <x:v>#NAME?</x:v>
      </x:c>
      <x:c r="X258" s="146" t="e">
        <x:f>IF($A258="","",[1]!thsiFinD("ths_adjustment_nv_fund",X$3,$A258))</x:f>
        <x:v>#NAME?</x:v>
      </x:c>
      <x:c r="Y258" s="146" t="e">
        <x:f>IF($A258="","",[1]!thsiFinD("ths_adjustment_nv_fund",Y$3,$A258))</x:f>
        <x:v>#NAME?</x:v>
      </x:c>
      <x:c r="Z258" s="146" t="e">
        <x:f>IF($A258="","",[1]!thsiFinD("ths_adjustment_nv_fund",Z$3,$A258))</x:f>
        <x:v>#NAME?</x:v>
      </x:c>
      <x:c r="AA258" s="146" t="e">
        <x:f>IF($A258="","",[1]!thsiFinD("ths_adjustment_nv_fund",AA$3,$A258))</x:f>
        <x:v>#NAME?</x:v>
      </x:c>
    </x:row>
    <x:row r="259">
      <x:c r="B259" s="146" t="e">
        <x:f>IF($A259="","",[1]!thsiFinD("ths_adjustment_nv_fund",B$3,$A259))</x:f>
        <x:v>#NAME?</x:v>
      </x:c>
      <x:c r="C259" s="146" t="e">
        <x:f>IF($A259="","",[1]!thsiFinD("ths_adjustment_nv_fund",C$3,$A259))</x:f>
        <x:v>#NAME?</x:v>
      </x:c>
      <x:c r="D259" s="146" t="e">
        <x:f>IF($A259="","",[1]!thsiFinD("ths_adjustment_nv_fund",D$3,$A259))</x:f>
        <x:v>#NAME?</x:v>
      </x:c>
      <x:c r="E259" s="146" t="e">
        <x:f>IF($A259="","",[1]!thsiFinD("ths_adjustment_nv_fund",E$3,$A259))</x:f>
        <x:v>#NAME?</x:v>
      </x:c>
      <x:c r="F259" s="146" t="e">
        <x:f>IF($A259="","",[1]!thsiFinD("ths_adjustment_nv_fund",F$3,$A259))</x:f>
        <x:v>#NAME?</x:v>
      </x:c>
      <x:c r="G259" s="146" t="e">
        <x:f>IF($A259="","",[1]!thsiFinD("ths_adjustment_nv_fund",G$3,$A259))</x:f>
        <x:v>#NAME?</x:v>
      </x:c>
      <x:c r="H259" s="146" t="e">
        <x:f>IF($A259="","",[1]!thsiFinD("ths_adjustment_nv_fund",H$3,$A259))</x:f>
        <x:v>#NAME?</x:v>
      </x:c>
      <x:c r="I259" s="146" t="e">
        <x:f>IF($A259="","",[1]!thsiFinD("ths_adjustment_nv_fund",I$3,$A259))</x:f>
        <x:v>#NAME?</x:v>
      </x:c>
      <x:c r="J259" s="146" t="e">
        <x:f>IF($A259="","",[1]!thsiFinD("ths_adjustment_nv_fund",J$3,$A259))</x:f>
        <x:v>#NAME?</x:v>
      </x:c>
      <x:c r="K259" s="146" t="e">
        <x:f>IF($A259="","",[1]!thsiFinD("ths_adjustment_nv_fund",K$3,$A259))</x:f>
        <x:v>#NAME?</x:v>
      </x:c>
      <x:c r="L259" s="146" t="e">
        <x:f>IF($A259="","",[1]!thsiFinD("ths_adjustment_nv_fund",L$3,$A259))</x:f>
        <x:v>#NAME?</x:v>
      </x:c>
      <x:c r="M259" s="146" t="e">
        <x:f>IF($A259="","",[1]!thsiFinD("ths_adjustment_nv_fund",M$3,$A259))</x:f>
        <x:v>#NAME?</x:v>
      </x:c>
      <x:c r="N259" s="146" t="e">
        <x:f>IF($A259="","",[1]!thsiFinD("ths_adjustment_nv_fund",N$3,$A259))</x:f>
        <x:v>#NAME?</x:v>
      </x:c>
      <x:c r="O259" s="146" t="e">
        <x:f>IF($A259="","",[1]!thsiFinD("ths_adjustment_nv_fund",O$3,$A259))</x:f>
        <x:v>#NAME?</x:v>
      </x:c>
      <x:c r="P259" s="146" t="e">
        <x:f>IF($A259="","",[1]!thsiFinD("ths_adjustment_nv_fund",P$3,$A259))</x:f>
        <x:v>#NAME?</x:v>
      </x:c>
      <x:c r="Q259" s="146" t="e">
        <x:f>IF($A259="","",[1]!thsiFinD("ths_adjustment_nv_fund",Q$3,$A259))</x:f>
        <x:v>#NAME?</x:v>
      </x:c>
      <x:c r="R259" s="146" t="e">
        <x:f>IF($A259="","",[1]!thsiFinD("ths_adjustment_nv_fund",R$3,$A259))</x:f>
        <x:v>#NAME?</x:v>
      </x:c>
      <x:c r="S259" s="146" t="e">
        <x:f>IF($A259="","",[1]!thsiFinD("ths_adjustment_nv_fund",S$3,$A259))</x:f>
        <x:v>#NAME?</x:v>
      </x:c>
      <x:c r="T259" s="146" t="e">
        <x:f>IF($A259="","",[1]!thsiFinD("ths_adjustment_nv_fund",T$3,$A259))</x:f>
        <x:v>#NAME?</x:v>
      </x:c>
      <x:c r="U259" s="146" t="e">
        <x:f>IF($A259="","",[1]!thsiFinD("ths_adjustment_nv_fund",U$3,$A259))</x:f>
        <x:v>#NAME?</x:v>
      </x:c>
      <x:c r="V259" s="146" t="e">
        <x:f>IF($A259="","",[1]!thsiFinD("ths_adjustment_nv_fund",V$3,$A259))</x:f>
        <x:v>#NAME?</x:v>
      </x:c>
      <x:c r="W259" s="146" t="e">
        <x:f>IF($A259="","",[1]!thsiFinD("ths_adjustment_nv_fund",W$3,$A259))</x:f>
        <x:v>#NAME?</x:v>
      </x:c>
      <x:c r="X259" s="146" t="e">
        <x:f>IF($A259="","",[1]!thsiFinD("ths_adjustment_nv_fund",X$3,$A259))</x:f>
        <x:v>#NAME?</x:v>
      </x:c>
      <x:c r="Y259" s="146" t="e">
        <x:f>IF($A259="","",[1]!thsiFinD("ths_adjustment_nv_fund",Y$3,$A259))</x:f>
        <x:v>#NAME?</x:v>
      </x:c>
      <x:c r="Z259" s="146" t="e">
        <x:f>IF($A259="","",[1]!thsiFinD("ths_adjustment_nv_fund",Z$3,$A259))</x:f>
        <x:v>#NAME?</x:v>
      </x:c>
      <x:c r="AA259" s="146" t="e">
        <x:f>IF($A259="","",[1]!thsiFinD("ths_adjustment_nv_fund",AA$3,$A259))</x:f>
        <x:v>#NAME?</x:v>
      </x:c>
    </x:row>
    <x:row r="260">
      <x:c r="B260" s="146" t="e">
        <x:f>IF($A260="","",[1]!thsiFinD("ths_adjustment_nv_fund",B$3,$A260))</x:f>
        <x:v>#NAME?</x:v>
      </x:c>
      <x:c r="C260" s="146" t="e">
        <x:f>IF($A260="","",[1]!thsiFinD("ths_adjustment_nv_fund",C$3,$A260))</x:f>
        <x:v>#NAME?</x:v>
      </x:c>
      <x:c r="D260" s="146" t="e">
        <x:f>IF($A260="","",[1]!thsiFinD("ths_adjustment_nv_fund",D$3,$A260))</x:f>
        <x:v>#NAME?</x:v>
      </x:c>
      <x:c r="E260" s="146" t="e">
        <x:f>IF($A260="","",[1]!thsiFinD("ths_adjustment_nv_fund",E$3,$A260))</x:f>
        <x:v>#NAME?</x:v>
      </x:c>
      <x:c r="F260" s="146" t="e">
        <x:f>IF($A260="","",[1]!thsiFinD("ths_adjustment_nv_fund",F$3,$A260))</x:f>
        <x:v>#NAME?</x:v>
      </x:c>
      <x:c r="G260" s="146" t="e">
        <x:f>IF($A260="","",[1]!thsiFinD("ths_adjustment_nv_fund",G$3,$A260))</x:f>
        <x:v>#NAME?</x:v>
      </x:c>
      <x:c r="H260" s="146" t="e">
        <x:f>IF($A260="","",[1]!thsiFinD("ths_adjustment_nv_fund",H$3,$A260))</x:f>
        <x:v>#NAME?</x:v>
      </x:c>
      <x:c r="I260" s="146" t="e">
        <x:f>IF($A260="","",[1]!thsiFinD("ths_adjustment_nv_fund",I$3,$A260))</x:f>
        <x:v>#NAME?</x:v>
      </x:c>
      <x:c r="J260" s="146" t="e">
        <x:f>IF($A260="","",[1]!thsiFinD("ths_adjustment_nv_fund",J$3,$A260))</x:f>
        <x:v>#NAME?</x:v>
      </x:c>
      <x:c r="K260" s="146" t="e">
        <x:f>IF($A260="","",[1]!thsiFinD("ths_adjustment_nv_fund",K$3,$A260))</x:f>
        <x:v>#NAME?</x:v>
      </x:c>
      <x:c r="L260" s="146" t="e">
        <x:f>IF($A260="","",[1]!thsiFinD("ths_adjustment_nv_fund",L$3,$A260))</x:f>
        <x:v>#NAME?</x:v>
      </x:c>
      <x:c r="M260" s="146" t="e">
        <x:f>IF($A260="","",[1]!thsiFinD("ths_adjustment_nv_fund",M$3,$A260))</x:f>
        <x:v>#NAME?</x:v>
      </x:c>
      <x:c r="N260" s="146" t="e">
        <x:f>IF($A260="","",[1]!thsiFinD("ths_adjustment_nv_fund",N$3,$A260))</x:f>
        <x:v>#NAME?</x:v>
      </x:c>
      <x:c r="O260" s="146" t="e">
        <x:f>IF($A260="","",[1]!thsiFinD("ths_adjustment_nv_fund",O$3,$A260))</x:f>
        <x:v>#NAME?</x:v>
      </x:c>
      <x:c r="P260" s="146" t="e">
        <x:f>IF($A260="","",[1]!thsiFinD("ths_adjustment_nv_fund",P$3,$A260))</x:f>
        <x:v>#NAME?</x:v>
      </x:c>
      <x:c r="Q260" s="146" t="e">
        <x:f>IF($A260="","",[1]!thsiFinD("ths_adjustment_nv_fund",Q$3,$A260))</x:f>
        <x:v>#NAME?</x:v>
      </x:c>
      <x:c r="R260" s="146" t="e">
        <x:f>IF($A260="","",[1]!thsiFinD("ths_adjustment_nv_fund",R$3,$A260))</x:f>
        <x:v>#NAME?</x:v>
      </x:c>
      <x:c r="S260" s="146" t="e">
        <x:f>IF($A260="","",[1]!thsiFinD("ths_adjustment_nv_fund",S$3,$A260))</x:f>
        <x:v>#NAME?</x:v>
      </x:c>
      <x:c r="T260" s="146" t="e">
        <x:f>IF($A260="","",[1]!thsiFinD("ths_adjustment_nv_fund",T$3,$A260))</x:f>
        <x:v>#NAME?</x:v>
      </x:c>
      <x:c r="U260" s="146" t="e">
        <x:f>IF($A260="","",[1]!thsiFinD("ths_adjustment_nv_fund",U$3,$A260))</x:f>
        <x:v>#NAME?</x:v>
      </x:c>
      <x:c r="V260" s="146" t="e">
        <x:f>IF($A260="","",[1]!thsiFinD("ths_adjustment_nv_fund",V$3,$A260))</x:f>
        <x:v>#NAME?</x:v>
      </x:c>
      <x:c r="W260" s="146" t="e">
        <x:f>IF($A260="","",[1]!thsiFinD("ths_adjustment_nv_fund",W$3,$A260))</x:f>
        <x:v>#NAME?</x:v>
      </x:c>
      <x:c r="X260" s="146" t="e">
        <x:f>IF($A260="","",[1]!thsiFinD("ths_adjustment_nv_fund",X$3,$A260))</x:f>
        <x:v>#NAME?</x:v>
      </x:c>
      <x:c r="Y260" s="146" t="e">
        <x:f>IF($A260="","",[1]!thsiFinD("ths_adjustment_nv_fund",Y$3,$A260))</x:f>
        <x:v>#NAME?</x:v>
      </x:c>
      <x:c r="Z260" s="146" t="e">
        <x:f>IF($A260="","",[1]!thsiFinD("ths_adjustment_nv_fund",Z$3,$A260))</x:f>
        <x:v>#NAME?</x:v>
      </x:c>
      <x:c r="AA260" s="146" t="e">
        <x:f>IF($A260="","",[1]!thsiFinD("ths_adjustment_nv_fund",AA$3,$A260))</x:f>
        <x:v>#NAME?</x:v>
      </x:c>
    </x:row>
    <x:row r="261">
      <x:c r="B261" s="146" t="e">
        <x:f>IF($A261="","",[1]!thsiFinD("ths_adjustment_nv_fund",B$3,$A261))</x:f>
        <x:v>#NAME?</x:v>
      </x:c>
      <x:c r="C261" s="146" t="e">
        <x:f>IF($A261="","",[1]!thsiFinD("ths_adjustment_nv_fund",C$3,$A261))</x:f>
        <x:v>#NAME?</x:v>
      </x:c>
      <x:c r="D261" s="146" t="e">
        <x:f>IF($A261="","",[1]!thsiFinD("ths_adjustment_nv_fund",D$3,$A261))</x:f>
        <x:v>#NAME?</x:v>
      </x:c>
      <x:c r="E261" s="146" t="e">
        <x:f>IF($A261="","",[1]!thsiFinD("ths_adjustment_nv_fund",E$3,$A261))</x:f>
        <x:v>#NAME?</x:v>
      </x:c>
      <x:c r="F261" s="146" t="e">
        <x:f>IF($A261="","",[1]!thsiFinD("ths_adjustment_nv_fund",F$3,$A261))</x:f>
        <x:v>#NAME?</x:v>
      </x:c>
      <x:c r="G261" s="146" t="e">
        <x:f>IF($A261="","",[1]!thsiFinD("ths_adjustment_nv_fund",G$3,$A261))</x:f>
        <x:v>#NAME?</x:v>
      </x:c>
      <x:c r="H261" s="146" t="e">
        <x:f>IF($A261="","",[1]!thsiFinD("ths_adjustment_nv_fund",H$3,$A261))</x:f>
        <x:v>#NAME?</x:v>
      </x:c>
      <x:c r="I261" s="146" t="e">
        <x:f>IF($A261="","",[1]!thsiFinD("ths_adjustment_nv_fund",I$3,$A261))</x:f>
        <x:v>#NAME?</x:v>
      </x:c>
      <x:c r="J261" s="146" t="e">
        <x:f>IF($A261="","",[1]!thsiFinD("ths_adjustment_nv_fund",J$3,$A261))</x:f>
        <x:v>#NAME?</x:v>
      </x:c>
      <x:c r="K261" s="146" t="e">
        <x:f>IF($A261="","",[1]!thsiFinD("ths_adjustment_nv_fund",K$3,$A261))</x:f>
        <x:v>#NAME?</x:v>
      </x:c>
      <x:c r="L261" s="146" t="e">
        <x:f>IF($A261="","",[1]!thsiFinD("ths_adjustment_nv_fund",L$3,$A261))</x:f>
        <x:v>#NAME?</x:v>
      </x:c>
      <x:c r="M261" s="146" t="e">
        <x:f>IF($A261="","",[1]!thsiFinD("ths_adjustment_nv_fund",M$3,$A261))</x:f>
        <x:v>#NAME?</x:v>
      </x:c>
      <x:c r="N261" s="146" t="e">
        <x:f>IF($A261="","",[1]!thsiFinD("ths_adjustment_nv_fund",N$3,$A261))</x:f>
        <x:v>#NAME?</x:v>
      </x:c>
      <x:c r="O261" s="146" t="e">
        <x:f>IF($A261="","",[1]!thsiFinD("ths_adjustment_nv_fund",O$3,$A261))</x:f>
        <x:v>#NAME?</x:v>
      </x:c>
      <x:c r="P261" s="146" t="e">
        <x:f>IF($A261="","",[1]!thsiFinD("ths_adjustment_nv_fund",P$3,$A261))</x:f>
        <x:v>#NAME?</x:v>
      </x:c>
      <x:c r="Q261" s="146" t="e">
        <x:f>IF($A261="","",[1]!thsiFinD("ths_adjustment_nv_fund",Q$3,$A261))</x:f>
        <x:v>#NAME?</x:v>
      </x:c>
      <x:c r="R261" s="146" t="e">
        <x:f>IF($A261="","",[1]!thsiFinD("ths_adjustment_nv_fund",R$3,$A261))</x:f>
        <x:v>#NAME?</x:v>
      </x:c>
      <x:c r="S261" s="146" t="e">
        <x:f>IF($A261="","",[1]!thsiFinD("ths_adjustment_nv_fund",S$3,$A261))</x:f>
        <x:v>#NAME?</x:v>
      </x:c>
      <x:c r="T261" s="146" t="e">
        <x:f>IF($A261="","",[1]!thsiFinD("ths_adjustment_nv_fund",T$3,$A261))</x:f>
        <x:v>#NAME?</x:v>
      </x:c>
      <x:c r="U261" s="146" t="e">
        <x:f>IF($A261="","",[1]!thsiFinD("ths_adjustment_nv_fund",U$3,$A261))</x:f>
        <x:v>#NAME?</x:v>
      </x:c>
      <x:c r="V261" s="146" t="e">
        <x:f>IF($A261="","",[1]!thsiFinD("ths_adjustment_nv_fund",V$3,$A261))</x:f>
        <x:v>#NAME?</x:v>
      </x:c>
      <x:c r="W261" s="146" t="e">
        <x:f>IF($A261="","",[1]!thsiFinD("ths_adjustment_nv_fund",W$3,$A261))</x:f>
        <x:v>#NAME?</x:v>
      </x:c>
      <x:c r="X261" s="146" t="e">
        <x:f>IF($A261="","",[1]!thsiFinD("ths_adjustment_nv_fund",X$3,$A261))</x:f>
        <x:v>#NAME?</x:v>
      </x:c>
      <x:c r="Y261" s="146" t="e">
        <x:f>IF($A261="","",[1]!thsiFinD("ths_adjustment_nv_fund",Y$3,$A261))</x:f>
        <x:v>#NAME?</x:v>
      </x:c>
      <x:c r="Z261" s="146" t="e">
        <x:f>IF($A261="","",[1]!thsiFinD("ths_adjustment_nv_fund",Z$3,$A261))</x:f>
        <x:v>#NAME?</x:v>
      </x:c>
      <x:c r="AA261" s="146" t="e">
        <x:f>IF($A261="","",[1]!thsiFinD("ths_adjustment_nv_fund",AA$3,$A261))</x:f>
        <x:v>#NAME?</x:v>
      </x:c>
    </x:row>
    <x:row r="262">
      <x:c r="B262" s="146" t="e">
        <x:f>IF($A262="","",[1]!thsiFinD("ths_adjustment_nv_fund",B$3,$A262))</x:f>
        <x:v>#NAME?</x:v>
      </x:c>
      <x:c r="C262" s="146" t="e">
        <x:f>IF($A262="","",[1]!thsiFinD("ths_adjustment_nv_fund",C$3,$A262))</x:f>
        <x:v>#NAME?</x:v>
      </x:c>
      <x:c r="D262" s="146" t="e">
        <x:f>IF($A262="","",[1]!thsiFinD("ths_adjustment_nv_fund",D$3,$A262))</x:f>
        <x:v>#NAME?</x:v>
      </x:c>
      <x:c r="E262" s="146" t="e">
        <x:f>IF($A262="","",[1]!thsiFinD("ths_adjustment_nv_fund",E$3,$A262))</x:f>
        <x:v>#NAME?</x:v>
      </x:c>
      <x:c r="F262" s="146" t="e">
        <x:f>IF($A262="","",[1]!thsiFinD("ths_adjustment_nv_fund",F$3,$A262))</x:f>
        <x:v>#NAME?</x:v>
      </x:c>
      <x:c r="G262" s="146" t="e">
        <x:f>IF($A262="","",[1]!thsiFinD("ths_adjustment_nv_fund",G$3,$A262))</x:f>
        <x:v>#NAME?</x:v>
      </x:c>
      <x:c r="H262" s="146" t="e">
        <x:f>IF($A262="","",[1]!thsiFinD("ths_adjustment_nv_fund",H$3,$A262))</x:f>
        <x:v>#NAME?</x:v>
      </x:c>
      <x:c r="I262" s="146" t="e">
        <x:f>IF($A262="","",[1]!thsiFinD("ths_adjustment_nv_fund",I$3,$A262))</x:f>
        <x:v>#NAME?</x:v>
      </x:c>
      <x:c r="J262" s="146" t="e">
        <x:f>IF($A262="","",[1]!thsiFinD("ths_adjustment_nv_fund",J$3,$A262))</x:f>
        <x:v>#NAME?</x:v>
      </x:c>
      <x:c r="K262" s="146" t="e">
        <x:f>IF($A262="","",[1]!thsiFinD("ths_adjustment_nv_fund",K$3,$A262))</x:f>
        <x:v>#NAME?</x:v>
      </x:c>
      <x:c r="L262" s="146" t="e">
        <x:f>IF($A262="","",[1]!thsiFinD("ths_adjustment_nv_fund",L$3,$A262))</x:f>
        <x:v>#NAME?</x:v>
      </x:c>
      <x:c r="M262" s="146" t="e">
        <x:f>IF($A262="","",[1]!thsiFinD("ths_adjustment_nv_fund",M$3,$A262))</x:f>
        <x:v>#NAME?</x:v>
      </x:c>
      <x:c r="N262" s="146" t="e">
        <x:f>IF($A262="","",[1]!thsiFinD("ths_adjustment_nv_fund",N$3,$A262))</x:f>
        <x:v>#NAME?</x:v>
      </x:c>
      <x:c r="O262" s="146" t="e">
        <x:f>IF($A262="","",[1]!thsiFinD("ths_adjustment_nv_fund",O$3,$A262))</x:f>
        <x:v>#NAME?</x:v>
      </x:c>
      <x:c r="P262" s="146" t="e">
        <x:f>IF($A262="","",[1]!thsiFinD("ths_adjustment_nv_fund",P$3,$A262))</x:f>
        <x:v>#NAME?</x:v>
      </x:c>
      <x:c r="Q262" s="146" t="e">
        <x:f>IF($A262="","",[1]!thsiFinD("ths_adjustment_nv_fund",Q$3,$A262))</x:f>
        <x:v>#NAME?</x:v>
      </x:c>
      <x:c r="R262" s="146" t="e">
        <x:f>IF($A262="","",[1]!thsiFinD("ths_adjustment_nv_fund",R$3,$A262))</x:f>
        <x:v>#NAME?</x:v>
      </x:c>
      <x:c r="S262" s="146" t="e">
        <x:f>IF($A262="","",[1]!thsiFinD("ths_adjustment_nv_fund",S$3,$A262))</x:f>
        <x:v>#NAME?</x:v>
      </x:c>
      <x:c r="T262" s="146" t="e">
        <x:f>IF($A262="","",[1]!thsiFinD("ths_adjustment_nv_fund",T$3,$A262))</x:f>
        <x:v>#NAME?</x:v>
      </x:c>
      <x:c r="U262" s="146" t="e">
        <x:f>IF($A262="","",[1]!thsiFinD("ths_adjustment_nv_fund",U$3,$A262))</x:f>
        <x:v>#NAME?</x:v>
      </x:c>
      <x:c r="V262" s="146" t="e">
        <x:f>IF($A262="","",[1]!thsiFinD("ths_adjustment_nv_fund",V$3,$A262))</x:f>
        <x:v>#NAME?</x:v>
      </x:c>
      <x:c r="W262" s="146" t="e">
        <x:f>IF($A262="","",[1]!thsiFinD("ths_adjustment_nv_fund",W$3,$A262))</x:f>
        <x:v>#NAME?</x:v>
      </x:c>
      <x:c r="X262" s="146" t="e">
        <x:f>IF($A262="","",[1]!thsiFinD("ths_adjustment_nv_fund",X$3,$A262))</x:f>
        <x:v>#NAME?</x:v>
      </x:c>
      <x:c r="Y262" s="146" t="e">
        <x:f>IF($A262="","",[1]!thsiFinD("ths_adjustment_nv_fund",Y$3,$A262))</x:f>
        <x:v>#NAME?</x:v>
      </x:c>
      <x:c r="Z262" s="146" t="e">
        <x:f>IF($A262="","",[1]!thsiFinD("ths_adjustment_nv_fund",Z$3,$A262))</x:f>
        <x:v>#NAME?</x:v>
      </x:c>
      <x:c r="AA262" s="146" t="e">
        <x:f>IF($A262="","",[1]!thsiFinD("ths_adjustment_nv_fund",AA$3,$A262))</x:f>
        <x:v>#NAME?</x:v>
      </x:c>
    </x:row>
    <x:row r="263">
      <x:c r="B263" s="146" t="e">
        <x:f>IF($A263="","",[1]!thsiFinD("ths_adjustment_nv_fund",B$3,$A263))</x:f>
        <x:v>#NAME?</x:v>
      </x:c>
      <x:c r="C263" s="146" t="e">
        <x:f>IF($A263="","",[1]!thsiFinD("ths_adjustment_nv_fund",C$3,$A263))</x:f>
        <x:v>#NAME?</x:v>
      </x:c>
      <x:c r="D263" s="146" t="e">
        <x:f>IF($A263="","",[1]!thsiFinD("ths_adjustment_nv_fund",D$3,$A263))</x:f>
        <x:v>#NAME?</x:v>
      </x:c>
      <x:c r="E263" s="146" t="e">
        <x:f>IF($A263="","",[1]!thsiFinD("ths_adjustment_nv_fund",E$3,$A263))</x:f>
        <x:v>#NAME?</x:v>
      </x:c>
      <x:c r="F263" s="146" t="e">
        <x:f>IF($A263="","",[1]!thsiFinD("ths_adjustment_nv_fund",F$3,$A263))</x:f>
        <x:v>#NAME?</x:v>
      </x:c>
      <x:c r="G263" s="146" t="e">
        <x:f>IF($A263="","",[1]!thsiFinD("ths_adjustment_nv_fund",G$3,$A263))</x:f>
        <x:v>#NAME?</x:v>
      </x:c>
      <x:c r="H263" s="146" t="e">
        <x:f>IF($A263="","",[1]!thsiFinD("ths_adjustment_nv_fund",H$3,$A263))</x:f>
        <x:v>#NAME?</x:v>
      </x:c>
      <x:c r="I263" s="146" t="e">
        <x:f>IF($A263="","",[1]!thsiFinD("ths_adjustment_nv_fund",I$3,$A263))</x:f>
        <x:v>#NAME?</x:v>
      </x:c>
      <x:c r="J263" s="146" t="e">
        <x:f>IF($A263="","",[1]!thsiFinD("ths_adjustment_nv_fund",J$3,$A263))</x:f>
        <x:v>#NAME?</x:v>
      </x:c>
      <x:c r="K263" s="146" t="e">
        <x:f>IF($A263="","",[1]!thsiFinD("ths_adjustment_nv_fund",K$3,$A263))</x:f>
        <x:v>#NAME?</x:v>
      </x:c>
      <x:c r="L263" s="146" t="e">
        <x:f>IF($A263="","",[1]!thsiFinD("ths_adjustment_nv_fund",L$3,$A263))</x:f>
        <x:v>#NAME?</x:v>
      </x:c>
      <x:c r="M263" s="146" t="e">
        <x:f>IF($A263="","",[1]!thsiFinD("ths_adjustment_nv_fund",M$3,$A263))</x:f>
        <x:v>#NAME?</x:v>
      </x:c>
      <x:c r="N263" s="146" t="e">
        <x:f>IF($A263="","",[1]!thsiFinD("ths_adjustment_nv_fund",N$3,$A263))</x:f>
        <x:v>#NAME?</x:v>
      </x:c>
      <x:c r="O263" s="146" t="e">
        <x:f>IF($A263="","",[1]!thsiFinD("ths_adjustment_nv_fund",O$3,$A263))</x:f>
        <x:v>#NAME?</x:v>
      </x:c>
      <x:c r="P263" s="146" t="e">
        <x:f>IF($A263="","",[1]!thsiFinD("ths_adjustment_nv_fund",P$3,$A263))</x:f>
        <x:v>#NAME?</x:v>
      </x:c>
      <x:c r="Q263" s="146" t="e">
        <x:f>IF($A263="","",[1]!thsiFinD("ths_adjustment_nv_fund",Q$3,$A263))</x:f>
        <x:v>#NAME?</x:v>
      </x:c>
      <x:c r="R263" s="146" t="e">
        <x:f>IF($A263="","",[1]!thsiFinD("ths_adjustment_nv_fund",R$3,$A263))</x:f>
        <x:v>#NAME?</x:v>
      </x:c>
      <x:c r="S263" s="146" t="e">
        <x:f>IF($A263="","",[1]!thsiFinD("ths_adjustment_nv_fund",S$3,$A263))</x:f>
        <x:v>#NAME?</x:v>
      </x:c>
      <x:c r="T263" s="146" t="e">
        <x:f>IF($A263="","",[1]!thsiFinD("ths_adjustment_nv_fund",T$3,$A263))</x:f>
        <x:v>#NAME?</x:v>
      </x:c>
      <x:c r="U263" s="146" t="e">
        <x:f>IF($A263="","",[1]!thsiFinD("ths_adjustment_nv_fund",U$3,$A263))</x:f>
        <x:v>#NAME?</x:v>
      </x:c>
      <x:c r="V263" s="146" t="e">
        <x:f>IF($A263="","",[1]!thsiFinD("ths_adjustment_nv_fund",V$3,$A263))</x:f>
        <x:v>#NAME?</x:v>
      </x:c>
      <x:c r="W263" s="146" t="e">
        <x:f>IF($A263="","",[1]!thsiFinD("ths_adjustment_nv_fund",W$3,$A263))</x:f>
        <x:v>#NAME?</x:v>
      </x:c>
      <x:c r="X263" s="146" t="e">
        <x:f>IF($A263="","",[1]!thsiFinD("ths_adjustment_nv_fund",X$3,$A263))</x:f>
        <x:v>#NAME?</x:v>
      </x:c>
      <x:c r="Y263" s="146" t="e">
        <x:f>IF($A263="","",[1]!thsiFinD("ths_adjustment_nv_fund",Y$3,$A263))</x:f>
        <x:v>#NAME?</x:v>
      </x:c>
      <x:c r="Z263" s="146" t="e">
        <x:f>IF($A263="","",[1]!thsiFinD("ths_adjustment_nv_fund",Z$3,$A263))</x:f>
        <x:v>#NAME?</x:v>
      </x:c>
      <x:c r="AA263" s="146" t="e">
        <x:f>IF($A263="","",[1]!thsiFinD("ths_adjustment_nv_fund",AA$3,$A263))</x:f>
        <x:v>#NAME?</x:v>
      </x:c>
    </x:row>
    <x:row r="264">
      <x:c r="B264" s="146" t="e">
        <x:f>IF($A264="","",[1]!thsiFinD("ths_adjustment_nv_fund",B$3,$A264))</x:f>
        <x:v>#NAME?</x:v>
      </x:c>
      <x:c r="C264" s="146" t="e">
        <x:f>IF($A264="","",[1]!thsiFinD("ths_adjustment_nv_fund",C$3,$A264))</x:f>
        <x:v>#NAME?</x:v>
      </x:c>
      <x:c r="D264" s="146" t="e">
        <x:f>IF($A264="","",[1]!thsiFinD("ths_adjustment_nv_fund",D$3,$A264))</x:f>
        <x:v>#NAME?</x:v>
      </x:c>
      <x:c r="E264" s="146" t="e">
        <x:f>IF($A264="","",[1]!thsiFinD("ths_adjustment_nv_fund",E$3,$A264))</x:f>
        <x:v>#NAME?</x:v>
      </x:c>
      <x:c r="F264" s="146" t="e">
        <x:f>IF($A264="","",[1]!thsiFinD("ths_adjustment_nv_fund",F$3,$A264))</x:f>
        <x:v>#NAME?</x:v>
      </x:c>
      <x:c r="G264" s="146" t="e">
        <x:f>IF($A264="","",[1]!thsiFinD("ths_adjustment_nv_fund",G$3,$A264))</x:f>
        <x:v>#NAME?</x:v>
      </x:c>
      <x:c r="H264" s="146" t="e">
        <x:f>IF($A264="","",[1]!thsiFinD("ths_adjustment_nv_fund",H$3,$A264))</x:f>
        <x:v>#NAME?</x:v>
      </x:c>
      <x:c r="I264" s="146" t="e">
        <x:f>IF($A264="","",[1]!thsiFinD("ths_adjustment_nv_fund",I$3,$A264))</x:f>
        <x:v>#NAME?</x:v>
      </x:c>
      <x:c r="J264" s="146" t="e">
        <x:f>IF($A264="","",[1]!thsiFinD("ths_adjustment_nv_fund",J$3,$A264))</x:f>
        <x:v>#NAME?</x:v>
      </x:c>
      <x:c r="K264" s="146" t="e">
        <x:f>IF($A264="","",[1]!thsiFinD("ths_adjustment_nv_fund",K$3,$A264))</x:f>
        <x:v>#NAME?</x:v>
      </x:c>
      <x:c r="L264" s="146" t="e">
        <x:f>IF($A264="","",[1]!thsiFinD("ths_adjustment_nv_fund",L$3,$A264))</x:f>
        <x:v>#NAME?</x:v>
      </x:c>
      <x:c r="M264" s="146" t="e">
        <x:f>IF($A264="","",[1]!thsiFinD("ths_adjustment_nv_fund",M$3,$A264))</x:f>
        <x:v>#NAME?</x:v>
      </x:c>
      <x:c r="N264" s="146" t="e">
        <x:f>IF($A264="","",[1]!thsiFinD("ths_adjustment_nv_fund",N$3,$A264))</x:f>
        <x:v>#NAME?</x:v>
      </x:c>
      <x:c r="O264" s="146" t="e">
        <x:f>IF($A264="","",[1]!thsiFinD("ths_adjustment_nv_fund",O$3,$A264))</x:f>
        <x:v>#NAME?</x:v>
      </x:c>
      <x:c r="P264" s="146" t="e">
        <x:f>IF($A264="","",[1]!thsiFinD("ths_adjustment_nv_fund",P$3,$A264))</x:f>
        <x:v>#NAME?</x:v>
      </x:c>
      <x:c r="Q264" s="146" t="e">
        <x:f>IF($A264="","",[1]!thsiFinD("ths_adjustment_nv_fund",Q$3,$A264))</x:f>
        <x:v>#NAME?</x:v>
      </x:c>
      <x:c r="R264" s="146" t="e">
        <x:f>IF($A264="","",[1]!thsiFinD("ths_adjustment_nv_fund",R$3,$A264))</x:f>
        <x:v>#NAME?</x:v>
      </x:c>
      <x:c r="S264" s="146" t="e">
        <x:f>IF($A264="","",[1]!thsiFinD("ths_adjustment_nv_fund",S$3,$A264))</x:f>
        <x:v>#NAME?</x:v>
      </x:c>
      <x:c r="T264" s="146" t="e">
        <x:f>IF($A264="","",[1]!thsiFinD("ths_adjustment_nv_fund",T$3,$A264))</x:f>
        <x:v>#NAME?</x:v>
      </x:c>
      <x:c r="U264" s="146" t="e">
        <x:f>IF($A264="","",[1]!thsiFinD("ths_adjustment_nv_fund",U$3,$A264))</x:f>
        <x:v>#NAME?</x:v>
      </x:c>
      <x:c r="V264" s="146" t="e">
        <x:f>IF($A264="","",[1]!thsiFinD("ths_adjustment_nv_fund",V$3,$A264))</x:f>
        <x:v>#NAME?</x:v>
      </x:c>
      <x:c r="W264" s="146" t="e">
        <x:f>IF($A264="","",[1]!thsiFinD("ths_adjustment_nv_fund",W$3,$A264))</x:f>
        <x:v>#NAME?</x:v>
      </x:c>
      <x:c r="X264" s="146" t="e">
        <x:f>IF($A264="","",[1]!thsiFinD("ths_adjustment_nv_fund",X$3,$A264))</x:f>
        <x:v>#NAME?</x:v>
      </x:c>
      <x:c r="Y264" s="146" t="e">
        <x:f>IF($A264="","",[1]!thsiFinD("ths_adjustment_nv_fund",Y$3,$A264))</x:f>
        <x:v>#NAME?</x:v>
      </x:c>
      <x:c r="Z264" s="146" t="e">
        <x:f>IF($A264="","",[1]!thsiFinD("ths_adjustment_nv_fund",Z$3,$A264))</x:f>
        <x:v>#NAME?</x:v>
      </x:c>
      <x:c r="AA264" s="146" t="e">
        <x:f>IF($A264="","",[1]!thsiFinD("ths_adjustment_nv_fund",AA$3,$A264))</x:f>
        <x:v>#NAME?</x:v>
      </x:c>
    </x:row>
    <x:row r="265">
      <x:c r="B265" s="146" t="e">
        <x:f>IF($A265="","",[1]!thsiFinD("ths_adjustment_nv_fund",B$3,$A265))</x:f>
        <x:v>#NAME?</x:v>
      </x:c>
      <x:c r="C265" s="146" t="e">
        <x:f>IF($A265="","",[1]!thsiFinD("ths_adjustment_nv_fund",C$3,$A265))</x:f>
        <x:v>#NAME?</x:v>
      </x:c>
      <x:c r="D265" s="146" t="e">
        <x:f>IF($A265="","",[1]!thsiFinD("ths_adjustment_nv_fund",D$3,$A265))</x:f>
        <x:v>#NAME?</x:v>
      </x:c>
      <x:c r="E265" s="146" t="e">
        <x:f>IF($A265="","",[1]!thsiFinD("ths_adjustment_nv_fund",E$3,$A265))</x:f>
        <x:v>#NAME?</x:v>
      </x:c>
      <x:c r="F265" s="146" t="e">
        <x:f>IF($A265="","",[1]!thsiFinD("ths_adjustment_nv_fund",F$3,$A265))</x:f>
        <x:v>#NAME?</x:v>
      </x:c>
      <x:c r="G265" s="146" t="e">
        <x:f>IF($A265="","",[1]!thsiFinD("ths_adjustment_nv_fund",G$3,$A265))</x:f>
        <x:v>#NAME?</x:v>
      </x:c>
      <x:c r="H265" s="146" t="e">
        <x:f>IF($A265="","",[1]!thsiFinD("ths_adjustment_nv_fund",H$3,$A265))</x:f>
        <x:v>#NAME?</x:v>
      </x:c>
      <x:c r="I265" s="146" t="e">
        <x:f>IF($A265="","",[1]!thsiFinD("ths_adjustment_nv_fund",I$3,$A265))</x:f>
        <x:v>#NAME?</x:v>
      </x:c>
      <x:c r="J265" s="146" t="e">
        <x:f>IF($A265="","",[1]!thsiFinD("ths_adjustment_nv_fund",J$3,$A265))</x:f>
        <x:v>#NAME?</x:v>
      </x:c>
      <x:c r="K265" s="146" t="e">
        <x:f>IF($A265="","",[1]!thsiFinD("ths_adjustment_nv_fund",K$3,$A265))</x:f>
        <x:v>#NAME?</x:v>
      </x:c>
      <x:c r="L265" s="146" t="e">
        <x:f>IF($A265="","",[1]!thsiFinD("ths_adjustment_nv_fund",L$3,$A265))</x:f>
        <x:v>#NAME?</x:v>
      </x:c>
      <x:c r="M265" s="146" t="e">
        <x:f>IF($A265="","",[1]!thsiFinD("ths_adjustment_nv_fund",M$3,$A265))</x:f>
        <x:v>#NAME?</x:v>
      </x:c>
      <x:c r="N265" s="146" t="e">
        <x:f>IF($A265="","",[1]!thsiFinD("ths_adjustment_nv_fund",N$3,$A265))</x:f>
        <x:v>#NAME?</x:v>
      </x:c>
      <x:c r="O265" s="146" t="e">
        <x:f>IF($A265="","",[1]!thsiFinD("ths_adjustment_nv_fund",O$3,$A265))</x:f>
        <x:v>#NAME?</x:v>
      </x:c>
      <x:c r="P265" s="146" t="e">
        <x:f>IF($A265="","",[1]!thsiFinD("ths_adjustment_nv_fund",P$3,$A265))</x:f>
        <x:v>#NAME?</x:v>
      </x:c>
      <x:c r="Q265" s="146" t="e">
        <x:f>IF($A265="","",[1]!thsiFinD("ths_adjustment_nv_fund",Q$3,$A265))</x:f>
        <x:v>#NAME?</x:v>
      </x:c>
      <x:c r="R265" s="146" t="e">
        <x:f>IF($A265="","",[1]!thsiFinD("ths_adjustment_nv_fund",R$3,$A265))</x:f>
        <x:v>#NAME?</x:v>
      </x:c>
      <x:c r="S265" s="146" t="e">
        <x:f>IF($A265="","",[1]!thsiFinD("ths_adjustment_nv_fund",S$3,$A265))</x:f>
        <x:v>#NAME?</x:v>
      </x:c>
      <x:c r="T265" s="146" t="e">
        <x:f>IF($A265="","",[1]!thsiFinD("ths_adjustment_nv_fund",T$3,$A265))</x:f>
        <x:v>#NAME?</x:v>
      </x:c>
      <x:c r="U265" s="146" t="e">
        <x:f>IF($A265="","",[1]!thsiFinD("ths_adjustment_nv_fund",U$3,$A265))</x:f>
        <x:v>#NAME?</x:v>
      </x:c>
      <x:c r="V265" s="146" t="e">
        <x:f>IF($A265="","",[1]!thsiFinD("ths_adjustment_nv_fund",V$3,$A265))</x:f>
        <x:v>#NAME?</x:v>
      </x:c>
      <x:c r="W265" s="146" t="e">
        <x:f>IF($A265="","",[1]!thsiFinD("ths_adjustment_nv_fund",W$3,$A265))</x:f>
        <x:v>#NAME?</x:v>
      </x:c>
      <x:c r="X265" s="146" t="e">
        <x:f>IF($A265="","",[1]!thsiFinD("ths_adjustment_nv_fund",X$3,$A265))</x:f>
        <x:v>#NAME?</x:v>
      </x:c>
      <x:c r="Y265" s="146" t="e">
        <x:f>IF($A265="","",[1]!thsiFinD("ths_adjustment_nv_fund",Y$3,$A265))</x:f>
        <x:v>#NAME?</x:v>
      </x:c>
      <x:c r="Z265" s="146" t="e">
        <x:f>IF($A265="","",[1]!thsiFinD("ths_adjustment_nv_fund",Z$3,$A265))</x:f>
        <x:v>#NAME?</x:v>
      </x:c>
      <x:c r="AA265" s="146" t="e">
        <x:f>IF($A265="","",[1]!thsiFinD("ths_adjustment_nv_fund",AA$3,$A265))</x:f>
        <x:v>#NAME?</x:v>
      </x:c>
    </x:row>
    <x:row r="266">
      <x:c r="B266" s="146" t="e">
        <x:f>IF($A266="","",[1]!thsiFinD("ths_adjustment_nv_fund",B$3,$A266))</x:f>
        <x:v>#NAME?</x:v>
      </x:c>
      <x:c r="C266" s="146" t="e">
        <x:f>IF($A266="","",[1]!thsiFinD("ths_adjustment_nv_fund",C$3,$A266))</x:f>
        <x:v>#NAME?</x:v>
      </x:c>
      <x:c r="D266" s="146" t="e">
        <x:f>IF($A266="","",[1]!thsiFinD("ths_adjustment_nv_fund",D$3,$A266))</x:f>
        <x:v>#NAME?</x:v>
      </x:c>
      <x:c r="E266" s="146" t="e">
        <x:f>IF($A266="","",[1]!thsiFinD("ths_adjustment_nv_fund",E$3,$A266))</x:f>
        <x:v>#NAME?</x:v>
      </x:c>
      <x:c r="F266" s="146" t="e">
        <x:f>IF($A266="","",[1]!thsiFinD("ths_adjustment_nv_fund",F$3,$A266))</x:f>
        <x:v>#NAME?</x:v>
      </x:c>
      <x:c r="G266" s="146" t="e">
        <x:f>IF($A266="","",[1]!thsiFinD("ths_adjustment_nv_fund",G$3,$A266))</x:f>
        <x:v>#NAME?</x:v>
      </x:c>
      <x:c r="H266" s="146" t="e">
        <x:f>IF($A266="","",[1]!thsiFinD("ths_adjustment_nv_fund",H$3,$A266))</x:f>
        <x:v>#NAME?</x:v>
      </x:c>
      <x:c r="I266" s="146" t="e">
        <x:f>IF($A266="","",[1]!thsiFinD("ths_adjustment_nv_fund",I$3,$A266))</x:f>
        <x:v>#NAME?</x:v>
      </x:c>
      <x:c r="J266" s="146" t="e">
        <x:f>IF($A266="","",[1]!thsiFinD("ths_adjustment_nv_fund",J$3,$A266))</x:f>
        <x:v>#NAME?</x:v>
      </x:c>
      <x:c r="K266" s="146" t="e">
        <x:f>IF($A266="","",[1]!thsiFinD("ths_adjustment_nv_fund",K$3,$A266))</x:f>
        <x:v>#NAME?</x:v>
      </x:c>
      <x:c r="L266" s="146" t="e">
        <x:f>IF($A266="","",[1]!thsiFinD("ths_adjustment_nv_fund",L$3,$A266))</x:f>
        <x:v>#NAME?</x:v>
      </x:c>
      <x:c r="M266" s="146" t="e">
        <x:f>IF($A266="","",[1]!thsiFinD("ths_adjustment_nv_fund",M$3,$A266))</x:f>
        <x:v>#NAME?</x:v>
      </x:c>
      <x:c r="N266" s="146" t="e">
        <x:f>IF($A266="","",[1]!thsiFinD("ths_adjustment_nv_fund",N$3,$A266))</x:f>
        <x:v>#NAME?</x:v>
      </x:c>
      <x:c r="O266" s="146" t="e">
        <x:f>IF($A266="","",[1]!thsiFinD("ths_adjustment_nv_fund",O$3,$A266))</x:f>
        <x:v>#NAME?</x:v>
      </x:c>
      <x:c r="P266" s="146" t="e">
        <x:f>IF($A266="","",[1]!thsiFinD("ths_adjustment_nv_fund",P$3,$A266))</x:f>
        <x:v>#NAME?</x:v>
      </x:c>
      <x:c r="Q266" s="146" t="e">
        <x:f>IF($A266="","",[1]!thsiFinD("ths_adjustment_nv_fund",Q$3,$A266))</x:f>
        <x:v>#NAME?</x:v>
      </x:c>
      <x:c r="R266" s="146" t="e">
        <x:f>IF($A266="","",[1]!thsiFinD("ths_adjustment_nv_fund",R$3,$A266))</x:f>
        <x:v>#NAME?</x:v>
      </x:c>
      <x:c r="S266" s="146" t="e">
        <x:f>IF($A266="","",[1]!thsiFinD("ths_adjustment_nv_fund",S$3,$A266))</x:f>
        <x:v>#NAME?</x:v>
      </x:c>
      <x:c r="T266" s="146" t="e">
        <x:f>IF($A266="","",[1]!thsiFinD("ths_adjustment_nv_fund",T$3,$A266))</x:f>
        <x:v>#NAME?</x:v>
      </x:c>
      <x:c r="U266" s="146" t="e">
        <x:f>IF($A266="","",[1]!thsiFinD("ths_adjustment_nv_fund",U$3,$A266))</x:f>
        <x:v>#NAME?</x:v>
      </x:c>
      <x:c r="V266" s="146" t="e">
        <x:f>IF($A266="","",[1]!thsiFinD("ths_adjustment_nv_fund",V$3,$A266))</x:f>
        <x:v>#NAME?</x:v>
      </x:c>
      <x:c r="W266" s="146" t="e">
        <x:f>IF($A266="","",[1]!thsiFinD("ths_adjustment_nv_fund",W$3,$A266))</x:f>
        <x:v>#NAME?</x:v>
      </x:c>
      <x:c r="X266" s="146" t="e">
        <x:f>IF($A266="","",[1]!thsiFinD("ths_adjustment_nv_fund",X$3,$A266))</x:f>
        <x:v>#NAME?</x:v>
      </x:c>
      <x:c r="Y266" s="146" t="e">
        <x:f>IF($A266="","",[1]!thsiFinD("ths_adjustment_nv_fund",Y$3,$A266))</x:f>
        <x:v>#NAME?</x:v>
      </x:c>
      <x:c r="Z266" s="146" t="e">
        <x:f>IF($A266="","",[1]!thsiFinD("ths_adjustment_nv_fund",Z$3,$A266))</x:f>
        <x:v>#NAME?</x:v>
      </x:c>
      <x:c r="AA266" s="146" t="e">
        <x:f>IF($A266="","",[1]!thsiFinD("ths_adjustment_nv_fund",AA$3,$A266))</x:f>
        <x:v>#NAME?</x:v>
      </x:c>
    </x:row>
    <x:row r="267">
      <x:c r="B267" s="146" t="e">
        <x:f>IF($A267="","",[1]!thsiFinD("ths_adjustment_nv_fund",B$3,$A267))</x:f>
        <x:v>#NAME?</x:v>
      </x:c>
      <x:c r="C267" s="146" t="e">
        <x:f>IF($A267="","",[1]!thsiFinD("ths_adjustment_nv_fund",C$3,$A267))</x:f>
        <x:v>#NAME?</x:v>
      </x:c>
      <x:c r="D267" s="146" t="e">
        <x:f>IF($A267="","",[1]!thsiFinD("ths_adjustment_nv_fund",D$3,$A267))</x:f>
        <x:v>#NAME?</x:v>
      </x:c>
      <x:c r="E267" s="146" t="e">
        <x:f>IF($A267="","",[1]!thsiFinD("ths_adjustment_nv_fund",E$3,$A267))</x:f>
        <x:v>#NAME?</x:v>
      </x:c>
      <x:c r="F267" s="146" t="e">
        <x:f>IF($A267="","",[1]!thsiFinD("ths_adjustment_nv_fund",F$3,$A267))</x:f>
        <x:v>#NAME?</x:v>
      </x:c>
      <x:c r="G267" s="146" t="e">
        <x:f>IF($A267="","",[1]!thsiFinD("ths_adjustment_nv_fund",G$3,$A267))</x:f>
        <x:v>#NAME?</x:v>
      </x:c>
      <x:c r="H267" s="146" t="e">
        <x:f>IF($A267="","",[1]!thsiFinD("ths_adjustment_nv_fund",H$3,$A267))</x:f>
        <x:v>#NAME?</x:v>
      </x:c>
      <x:c r="I267" s="146" t="e">
        <x:f>IF($A267="","",[1]!thsiFinD("ths_adjustment_nv_fund",I$3,$A267))</x:f>
        <x:v>#NAME?</x:v>
      </x:c>
      <x:c r="J267" s="146" t="e">
        <x:f>IF($A267="","",[1]!thsiFinD("ths_adjustment_nv_fund",J$3,$A267))</x:f>
        <x:v>#NAME?</x:v>
      </x:c>
      <x:c r="K267" s="146" t="e">
        <x:f>IF($A267="","",[1]!thsiFinD("ths_adjustment_nv_fund",K$3,$A267))</x:f>
        <x:v>#NAME?</x:v>
      </x:c>
      <x:c r="L267" s="146" t="e">
        <x:f>IF($A267="","",[1]!thsiFinD("ths_adjustment_nv_fund",L$3,$A267))</x:f>
        <x:v>#NAME?</x:v>
      </x:c>
      <x:c r="M267" s="146" t="e">
        <x:f>IF($A267="","",[1]!thsiFinD("ths_adjustment_nv_fund",M$3,$A267))</x:f>
        <x:v>#NAME?</x:v>
      </x:c>
      <x:c r="N267" s="146" t="e">
        <x:f>IF($A267="","",[1]!thsiFinD("ths_adjustment_nv_fund",N$3,$A267))</x:f>
        <x:v>#NAME?</x:v>
      </x:c>
      <x:c r="O267" s="146" t="e">
        <x:f>IF($A267="","",[1]!thsiFinD("ths_adjustment_nv_fund",O$3,$A267))</x:f>
        <x:v>#NAME?</x:v>
      </x:c>
      <x:c r="P267" s="146" t="e">
        <x:f>IF($A267="","",[1]!thsiFinD("ths_adjustment_nv_fund",P$3,$A267))</x:f>
        <x:v>#NAME?</x:v>
      </x:c>
      <x:c r="Q267" s="146" t="e">
        <x:f>IF($A267="","",[1]!thsiFinD("ths_adjustment_nv_fund",Q$3,$A267))</x:f>
        <x:v>#NAME?</x:v>
      </x:c>
      <x:c r="R267" s="146" t="e">
        <x:f>IF($A267="","",[1]!thsiFinD("ths_adjustment_nv_fund",R$3,$A267))</x:f>
        <x:v>#NAME?</x:v>
      </x:c>
      <x:c r="S267" s="146" t="e">
        <x:f>IF($A267="","",[1]!thsiFinD("ths_adjustment_nv_fund",S$3,$A267))</x:f>
        <x:v>#NAME?</x:v>
      </x:c>
      <x:c r="T267" s="146" t="e">
        <x:f>IF($A267="","",[1]!thsiFinD("ths_adjustment_nv_fund",T$3,$A267))</x:f>
        <x:v>#NAME?</x:v>
      </x:c>
      <x:c r="U267" s="146" t="e">
        <x:f>IF($A267="","",[1]!thsiFinD("ths_adjustment_nv_fund",U$3,$A267))</x:f>
        <x:v>#NAME?</x:v>
      </x:c>
      <x:c r="V267" s="146" t="e">
        <x:f>IF($A267="","",[1]!thsiFinD("ths_adjustment_nv_fund",V$3,$A267))</x:f>
        <x:v>#NAME?</x:v>
      </x:c>
      <x:c r="W267" s="146" t="e">
        <x:f>IF($A267="","",[1]!thsiFinD("ths_adjustment_nv_fund",W$3,$A267))</x:f>
        <x:v>#NAME?</x:v>
      </x:c>
      <x:c r="X267" s="146" t="e">
        <x:f>IF($A267="","",[1]!thsiFinD("ths_adjustment_nv_fund",X$3,$A267))</x:f>
        <x:v>#NAME?</x:v>
      </x:c>
      <x:c r="Y267" s="146" t="e">
        <x:f>IF($A267="","",[1]!thsiFinD("ths_adjustment_nv_fund",Y$3,$A267))</x:f>
        <x:v>#NAME?</x:v>
      </x:c>
      <x:c r="Z267" s="146" t="e">
        <x:f>IF($A267="","",[1]!thsiFinD("ths_adjustment_nv_fund",Z$3,$A267))</x:f>
        <x:v>#NAME?</x:v>
      </x:c>
      <x:c r="AA267" s="146" t="e">
        <x:f>IF($A267="","",[1]!thsiFinD("ths_adjustment_nv_fund",AA$3,$A267))</x:f>
        <x:v>#NAME?</x:v>
      </x:c>
    </x:row>
    <x:row r="268">
      <x:c r="B268" s="146" t="e">
        <x:f>IF($A268="","",[1]!thsiFinD("ths_adjustment_nv_fund",B$3,$A268))</x:f>
        <x:v>#NAME?</x:v>
      </x:c>
      <x:c r="C268" s="146" t="e">
        <x:f>IF($A268="","",[1]!thsiFinD("ths_adjustment_nv_fund",C$3,$A268))</x:f>
        <x:v>#NAME?</x:v>
      </x:c>
      <x:c r="D268" s="146" t="e">
        <x:f>IF($A268="","",[1]!thsiFinD("ths_adjustment_nv_fund",D$3,$A268))</x:f>
        <x:v>#NAME?</x:v>
      </x:c>
      <x:c r="E268" s="146" t="e">
        <x:f>IF($A268="","",[1]!thsiFinD("ths_adjustment_nv_fund",E$3,$A268))</x:f>
        <x:v>#NAME?</x:v>
      </x:c>
      <x:c r="F268" s="146" t="e">
        <x:f>IF($A268="","",[1]!thsiFinD("ths_adjustment_nv_fund",F$3,$A268))</x:f>
        <x:v>#NAME?</x:v>
      </x:c>
      <x:c r="G268" s="146" t="e">
        <x:f>IF($A268="","",[1]!thsiFinD("ths_adjustment_nv_fund",G$3,$A268))</x:f>
        <x:v>#NAME?</x:v>
      </x:c>
      <x:c r="H268" s="146" t="e">
        <x:f>IF($A268="","",[1]!thsiFinD("ths_adjustment_nv_fund",H$3,$A268))</x:f>
        <x:v>#NAME?</x:v>
      </x:c>
      <x:c r="I268" s="146" t="e">
        <x:f>IF($A268="","",[1]!thsiFinD("ths_adjustment_nv_fund",I$3,$A268))</x:f>
        <x:v>#NAME?</x:v>
      </x:c>
      <x:c r="J268" s="146" t="e">
        <x:f>IF($A268="","",[1]!thsiFinD("ths_adjustment_nv_fund",J$3,$A268))</x:f>
        <x:v>#NAME?</x:v>
      </x:c>
      <x:c r="K268" s="146" t="e">
        <x:f>IF($A268="","",[1]!thsiFinD("ths_adjustment_nv_fund",K$3,$A268))</x:f>
        <x:v>#NAME?</x:v>
      </x:c>
      <x:c r="L268" s="146" t="e">
        <x:f>IF($A268="","",[1]!thsiFinD("ths_adjustment_nv_fund",L$3,$A268))</x:f>
        <x:v>#NAME?</x:v>
      </x:c>
      <x:c r="M268" s="146" t="e">
        <x:f>IF($A268="","",[1]!thsiFinD("ths_adjustment_nv_fund",M$3,$A268))</x:f>
        <x:v>#NAME?</x:v>
      </x:c>
      <x:c r="N268" s="146" t="e">
        <x:f>IF($A268="","",[1]!thsiFinD("ths_adjustment_nv_fund",N$3,$A268))</x:f>
        <x:v>#NAME?</x:v>
      </x:c>
      <x:c r="O268" s="146" t="e">
        <x:f>IF($A268="","",[1]!thsiFinD("ths_adjustment_nv_fund",O$3,$A268))</x:f>
        <x:v>#NAME?</x:v>
      </x:c>
      <x:c r="P268" s="146" t="e">
        <x:f>IF($A268="","",[1]!thsiFinD("ths_adjustment_nv_fund",P$3,$A268))</x:f>
        <x:v>#NAME?</x:v>
      </x:c>
      <x:c r="Q268" s="146" t="e">
        <x:f>IF($A268="","",[1]!thsiFinD("ths_adjustment_nv_fund",Q$3,$A268))</x:f>
        <x:v>#NAME?</x:v>
      </x:c>
      <x:c r="R268" s="146" t="e">
        <x:f>IF($A268="","",[1]!thsiFinD("ths_adjustment_nv_fund",R$3,$A268))</x:f>
        <x:v>#NAME?</x:v>
      </x:c>
      <x:c r="S268" s="146" t="e">
        <x:f>IF($A268="","",[1]!thsiFinD("ths_adjustment_nv_fund",S$3,$A268))</x:f>
        <x:v>#NAME?</x:v>
      </x:c>
      <x:c r="T268" s="146" t="e">
        <x:f>IF($A268="","",[1]!thsiFinD("ths_adjustment_nv_fund",T$3,$A268))</x:f>
        <x:v>#NAME?</x:v>
      </x:c>
      <x:c r="U268" s="146" t="e">
        <x:f>IF($A268="","",[1]!thsiFinD("ths_adjustment_nv_fund",U$3,$A268))</x:f>
        <x:v>#NAME?</x:v>
      </x:c>
      <x:c r="V268" s="146" t="e">
        <x:f>IF($A268="","",[1]!thsiFinD("ths_adjustment_nv_fund",V$3,$A268))</x:f>
        <x:v>#NAME?</x:v>
      </x:c>
      <x:c r="W268" s="146" t="e">
        <x:f>IF($A268="","",[1]!thsiFinD("ths_adjustment_nv_fund",W$3,$A268))</x:f>
        <x:v>#NAME?</x:v>
      </x:c>
      <x:c r="X268" s="146" t="e">
        <x:f>IF($A268="","",[1]!thsiFinD("ths_adjustment_nv_fund",X$3,$A268))</x:f>
        <x:v>#NAME?</x:v>
      </x:c>
      <x:c r="Y268" s="146" t="e">
        <x:f>IF($A268="","",[1]!thsiFinD("ths_adjustment_nv_fund",Y$3,$A268))</x:f>
        <x:v>#NAME?</x:v>
      </x:c>
      <x:c r="Z268" s="146" t="e">
        <x:f>IF($A268="","",[1]!thsiFinD("ths_adjustment_nv_fund",Z$3,$A268))</x:f>
        <x:v>#NAME?</x:v>
      </x:c>
      <x:c r="AA268" s="146" t="e">
        <x:f>IF($A268="","",[1]!thsiFinD("ths_adjustment_nv_fund",AA$3,$A268))</x:f>
        <x:v>#NAME?</x:v>
      </x:c>
    </x:row>
    <x:row r="269">
      <x:c r="B269" s="146" t="e">
        <x:f>IF($A269="","",[1]!thsiFinD("ths_adjustment_nv_fund",B$3,$A269))</x:f>
        <x:v>#NAME?</x:v>
      </x:c>
      <x:c r="C269" s="146" t="e">
        <x:f>IF($A269="","",[1]!thsiFinD("ths_adjustment_nv_fund",C$3,$A269))</x:f>
        <x:v>#NAME?</x:v>
      </x:c>
      <x:c r="D269" s="146" t="e">
        <x:f>IF($A269="","",[1]!thsiFinD("ths_adjustment_nv_fund",D$3,$A269))</x:f>
        <x:v>#NAME?</x:v>
      </x:c>
      <x:c r="E269" s="146" t="e">
        <x:f>IF($A269="","",[1]!thsiFinD("ths_adjustment_nv_fund",E$3,$A269))</x:f>
        <x:v>#NAME?</x:v>
      </x:c>
      <x:c r="F269" s="146" t="e">
        <x:f>IF($A269="","",[1]!thsiFinD("ths_adjustment_nv_fund",F$3,$A269))</x:f>
        <x:v>#NAME?</x:v>
      </x:c>
      <x:c r="G269" s="146" t="e">
        <x:f>IF($A269="","",[1]!thsiFinD("ths_adjustment_nv_fund",G$3,$A269))</x:f>
        <x:v>#NAME?</x:v>
      </x:c>
      <x:c r="H269" s="146" t="e">
        <x:f>IF($A269="","",[1]!thsiFinD("ths_adjustment_nv_fund",H$3,$A269))</x:f>
        <x:v>#NAME?</x:v>
      </x:c>
      <x:c r="I269" s="146" t="e">
        <x:f>IF($A269="","",[1]!thsiFinD("ths_adjustment_nv_fund",I$3,$A269))</x:f>
        <x:v>#NAME?</x:v>
      </x:c>
      <x:c r="J269" s="146" t="e">
        <x:f>IF($A269="","",[1]!thsiFinD("ths_adjustment_nv_fund",J$3,$A269))</x:f>
        <x:v>#NAME?</x:v>
      </x:c>
      <x:c r="K269" s="146" t="e">
        <x:f>IF($A269="","",[1]!thsiFinD("ths_adjustment_nv_fund",K$3,$A269))</x:f>
        <x:v>#NAME?</x:v>
      </x:c>
      <x:c r="L269" s="146" t="e">
        <x:f>IF($A269="","",[1]!thsiFinD("ths_adjustment_nv_fund",L$3,$A269))</x:f>
        <x:v>#NAME?</x:v>
      </x:c>
      <x:c r="M269" s="146" t="e">
        <x:f>IF($A269="","",[1]!thsiFinD("ths_adjustment_nv_fund",M$3,$A269))</x:f>
        <x:v>#NAME?</x:v>
      </x:c>
      <x:c r="N269" s="146" t="e">
        <x:f>IF($A269="","",[1]!thsiFinD("ths_adjustment_nv_fund",N$3,$A269))</x:f>
        <x:v>#NAME?</x:v>
      </x:c>
      <x:c r="O269" s="146" t="e">
        <x:f>IF($A269="","",[1]!thsiFinD("ths_adjustment_nv_fund",O$3,$A269))</x:f>
        <x:v>#NAME?</x:v>
      </x:c>
      <x:c r="P269" s="146" t="e">
        <x:f>IF($A269="","",[1]!thsiFinD("ths_adjustment_nv_fund",P$3,$A269))</x:f>
        <x:v>#NAME?</x:v>
      </x:c>
      <x:c r="Q269" s="146" t="e">
        <x:f>IF($A269="","",[1]!thsiFinD("ths_adjustment_nv_fund",Q$3,$A269))</x:f>
        <x:v>#NAME?</x:v>
      </x:c>
      <x:c r="R269" s="146" t="e">
        <x:f>IF($A269="","",[1]!thsiFinD("ths_adjustment_nv_fund",R$3,$A269))</x:f>
        <x:v>#NAME?</x:v>
      </x:c>
      <x:c r="S269" s="146" t="e">
        <x:f>IF($A269="","",[1]!thsiFinD("ths_adjustment_nv_fund",S$3,$A269))</x:f>
        <x:v>#NAME?</x:v>
      </x:c>
      <x:c r="T269" s="146" t="e">
        <x:f>IF($A269="","",[1]!thsiFinD("ths_adjustment_nv_fund",T$3,$A269))</x:f>
        <x:v>#NAME?</x:v>
      </x:c>
      <x:c r="U269" s="146" t="e">
        <x:f>IF($A269="","",[1]!thsiFinD("ths_adjustment_nv_fund",U$3,$A269))</x:f>
        <x:v>#NAME?</x:v>
      </x:c>
      <x:c r="V269" s="146" t="e">
        <x:f>IF($A269="","",[1]!thsiFinD("ths_adjustment_nv_fund",V$3,$A269))</x:f>
        <x:v>#NAME?</x:v>
      </x:c>
      <x:c r="W269" s="146" t="e">
        <x:f>IF($A269="","",[1]!thsiFinD("ths_adjustment_nv_fund",W$3,$A269))</x:f>
        <x:v>#NAME?</x:v>
      </x:c>
      <x:c r="X269" s="146" t="e">
        <x:f>IF($A269="","",[1]!thsiFinD("ths_adjustment_nv_fund",X$3,$A269))</x:f>
        <x:v>#NAME?</x:v>
      </x:c>
      <x:c r="Y269" s="146" t="e">
        <x:f>IF($A269="","",[1]!thsiFinD("ths_adjustment_nv_fund",Y$3,$A269))</x:f>
        <x:v>#NAME?</x:v>
      </x:c>
      <x:c r="Z269" s="146" t="e">
        <x:f>IF($A269="","",[1]!thsiFinD("ths_adjustment_nv_fund",Z$3,$A269))</x:f>
        <x:v>#NAME?</x:v>
      </x:c>
      <x:c r="AA269" s="146" t="e">
        <x:f>IF($A269="","",[1]!thsiFinD("ths_adjustment_nv_fund",AA$3,$A269))</x:f>
        <x:v>#NAME?</x:v>
      </x:c>
    </x:row>
    <x:row r="270">
      <x:c r="B270" s="146" t="e">
        <x:f>IF($A270="","",[1]!thsiFinD("ths_adjustment_nv_fund",B$3,$A270))</x:f>
        <x:v>#NAME?</x:v>
      </x:c>
      <x:c r="C270" s="146" t="e">
        <x:f>IF($A270="","",[1]!thsiFinD("ths_adjustment_nv_fund",C$3,$A270))</x:f>
        <x:v>#NAME?</x:v>
      </x:c>
      <x:c r="D270" s="146" t="e">
        <x:f>IF($A270="","",[1]!thsiFinD("ths_adjustment_nv_fund",D$3,$A270))</x:f>
        <x:v>#NAME?</x:v>
      </x:c>
      <x:c r="E270" s="146" t="e">
        <x:f>IF($A270="","",[1]!thsiFinD("ths_adjustment_nv_fund",E$3,$A270))</x:f>
        <x:v>#NAME?</x:v>
      </x:c>
      <x:c r="F270" s="146" t="e">
        <x:f>IF($A270="","",[1]!thsiFinD("ths_adjustment_nv_fund",F$3,$A270))</x:f>
        <x:v>#NAME?</x:v>
      </x:c>
      <x:c r="G270" s="146" t="e">
        <x:f>IF($A270="","",[1]!thsiFinD("ths_adjustment_nv_fund",G$3,$A270))</x:f>
        <x:v>#NAME?</x:v>
      </x:c>
      <x:c r="H270" s="146" t="e">
        <x:f>IF($A270="","",[1]!thsiFinD("ths_adjustment_nv_fund",H$3,$A270))</x:f>
        <x:v>#NAME?</x:v>
      </x:c>
      <x:c r="I270" s="146" t="e">
        <x:f>IF($A270="","",[1]!thsiFinD("ths_adjustment_nv_fund",I$3,$A270))</x:f>
        <x:v>#NAME?</x:v>
      </x:c>
      <x:c r="J270" s="146" t="e">
        <x:f>IF($A270="","",[1]!thsiFinD("ths_adjustment_nv_fund",J$3,$A270))</x:f>
        <x:v>#NAME?</x:v>
      </x:c>
      <x:c r="K270" s="146" t="e">
        <x:f>IF($A270="","",[1]!thsiFinD("ths_adjustment_nv_fund",K$3,$A270))</x:f>
        <x:v>#NAME?</x:v>
      </x:c>
      <x:c r="L270" s="146" t="e">
        <x:f>IF($A270="","",[1]!thsiFinD("ths_adjustment_nv_fund",L$3,$A270))</x:f>
        <x:v>#NAME?</x:v>
      </x:c>
      <x:c r="M270" s="146" t="e">
        <x:f>IF($A270="","",[1]!thsiFinD("ths_adjustment_nv_fund",M$3,$A270))</x:f>
        <x:v>#NAME?</x:v>
      </x:c>
      <x:c r="N270" s="146" t="e">
        <x:f>IF($A270="","",[1]!thsiFinD("ths_adjustment_nv_fund",N$3,$A270))</x:f>
        <x:v>#NAME?</x:v>
      </x:c>
      <x:c r="O270" s="146" t="e">
        <x:f>IF($A270="","",[1]!thsiFinD("ths_adjustment_nv_fund",O$3,$A270))</x:f>
        <x:v>#NAME?</x:v>
      </x:c>
      <x:c r="P270" s="146" t="e">
        <x:f>IF($A270="","",[1]!thsiFinD("ths_adjustment_nv_fund",P$3,$A270))</x:f>
        <x:v>#NAME?</x:v>
      </x:c>
      <x:c r="Q270" s="146" t="e">
        <x:f>IF($A270="","",[1]!thsiFinD("ths_adjustment_nv_fund",Q$3,$A270))</x:f>
        <x:v>#NAME?</x:v>
      </x:c>
      <x:c r="R270" s="146" t="e">
        <x:f>IF($A270="","",[1]!thsiFinD("ths_adjustment_nv_fund",R$3,$A270))</x:f>
        <x:v>#NAME?</x:v>
      </x:c>
      <x:c r="S270" s="146" t="e">
        <x:f>IF($A270="","",[1]!thsiFinD("ths_adjustment_nv_fund",S$3,$A270))</x:f>
        <x:v>#NAME?</x:v>
      </x:c>
      <x:c r="T270" s="146" t="e">
        <x:f>IF($A270="","",[1]!thsiFinD("ths_adjustment_nv_fund",T$3,$A270))</x:f>
        <x:v>#NAME?</x:v>
      </x:c>
      <x:c r="U270" s="146" t="e">
        <x:f>IF($A270="","",[1]!thsiFinD("ths_adjustment_nv_fund",U$3,$A270))</x:f>
        <x:v>#NAME?</x:v>
      </x:c>
      <x:c r="V270" s="146" t="e">
        <x:f>IF($A270="","",[1]!thsiFinD("ths_adjustment_nv_fund",V$3,$A270))</x:f>
        <x:v>#NAME?</x:v>
      </x:c>
      <x:c r="W270" s="146" t="e">
        <x:f>IF($A270="","",[1]!thsiFinD("ths_adjustment_nv_fund",W$3,$A270))</x:f>
        <x:v>#NAME?</x:v>
      </x:c>
      <x:c r="X270" s="146" t="e">
        <x:f>IF($A270="","",[1]!thsiFinD("ths_adjustment_nv_fund",X$3,$A270))</x:f>
        <x:v>#NAME?</x:v>
      </x:c>
      <x:c r="Y270" s="146" t="e">
        <x:f>IF($A270="","",[1]!thsiFinD("ths_adjustment_nv_fund",Y$3,$A270))</x:f>
        <x:v>#NAME?</x:v>
      </x:c>
      <x:c r="Z270" s="146" t="e">
        <x:f>IF($A270="","",[1]!thsiFinD("ths_adjustment_nv_fund",Z$3,$A270))</x:f>
        <x:v>#NAME?</x:v>
      </x:c>
      <x:c r="AA270" s="146" t="e">
        <x:f>IF($A270="","",[1]!thsiFinD("ths_adjustment_nv_fund",AA$3,$A270))</x:f>
        <x:v>#NAME?</x:v>
      </x:c>
    </x:row>
    <x:row r="271">
      <x:c r="B271" s="146" t="e">
        <x:f>IF($A271="","",[1]!thsiFinD("ths_adjustment_nv_fund",B$3,$A271))</x:f>
        <x:v>#NAME?</x:v>
      </x:c>
      <x:c r="C271" s="146" t="e">
        <x:f>IF($A271="","",[1]!thsiFinD("ths_adjustment_nv_fund",C$3,$A271))</x:f>
        <x:v>#NAME?</x:v>
      </x:c>
      <x:c r="D271" s="146" t="e">
        <x:f>IF($A271="","",[1]!thsiFinD("ths_adjustment_nv_fund",D$3,$A271))</x:f>
        <x:v>#NAME?</x:v>
      </x:c>
      <x:c r="E271" s="146" t="e">
        <x:f>IF($A271="","",[1]!thsiFinD("ths_adjustment_nv_fund",E$3,$A271))</x:f>
        <x:v>#NAME?</x:v>
      </x:c>
      <x:c r="F271" s="146" t="e">
        <x:f>IF($A271="","",[1]!thsiFinD("ths_adjustment_nv_fund",F$3,$A271))</x:f>
        <x:v>#NAME?</x:v>
      </x:c>
      <x:c r="G271" s="146" t="e">
        <x:f>IF($A271="","",[1]!thsiFinD("ths_adjustment_nv_fund",G$3,$A271))</x:f>
        <x:v>#NAME?</x:v>
      </x:c>
      <x:c r="H271" s="146" t="e">
        <x:f>IF($A271="","",[1]!thsiFinD("ths_adjustment_nv_fund",H$3,$A271))</x:f>
        <x:v>#NAME?</x:v>
      </x:c>
      <x:c r="I271" s="146" t="e">
        <x:f>IF($A271="","",[1]!thsiFinD("ths_adjustment_nv_fund",I$3,$A271))</x:f>
        <x:v>#NAME?</x:v>
      </x:c>
      <x:c r="J271" s="146" t="e">
        <x:f>IF($A271="","",[1]!thsiFinD("ths_adjustment_nv_fund",J$3,$A271))</x:f>
        <x:v>#NAME?</x:v>
      </x:c>
      <x:c r="K271" s="146" t="e">
        <x:f>IF($A271="","",[1]!thsiFinD("ths_adjustment_nv_fund",K$3,$A271))</x:f>
        <x:v>#NAME?</x:v>
      </x:c>
      <x:c r="L271" s="146" t="e">
        <x:f>IF($A271="","",[1]!thsiFinD("ths_adjustment_nv_fund",L$3,$A271))</x:f>
        <x:v>#NAME?</x:v>
      </x:c>
      <x:c r="M271" s="146" t="e">
        <x:f>IF($A271="","",[1]!thsiFinD("ths_adjustment_nv_fund",M$3,$A271))</x:f>
        <x:v>#NAME?</x:v>
      </x:c>
      <x:c r="N271" s="146" t="e">
        <x:f>IF($A271="","",[1]!thsiFinD("ths_adjustment_nv_fund",N$3,$A271))</x:f>
        <x:v>#NAME?</x:v>
      </x:c>
      <x:c r="O271" s="146" t="e">
        <x:f>IF($A271="","",[1]!thsiFinD("ths_adjustment_nv_fund",O$3,$A271))</x:f>
        <x:v>#NAME?</x:v>
      </x:c>
      <x:c r="P271" s="146" t="e">
        <x:f>IF($A271="","",[1]!thsiFinD("ths_adjustment_nv_fund",P$3,$A271))</x:f>
        <x:v>#NAME?</x:v>
      </x:c>
      <x:c r="Q271" s="146" t="e">
        <x:f>IF($A271="","",[1]!thsiFinD("ths_adjustment_nv_fund",Q$3,$A271))</x:f>
        <x:v>#NAME?</x:v>
      </x:c>
      <x:c r="R271" s="146" t="e">
        <x:f>IF($A271="","",[1]!thsiFinD("ths_adjustment_nv_fund",R$3,$A271))</x:f>
        <x:v>#NAME?</x:v>
      </x:c>
      <x:c r="S271" s="146" t="e">
        <x:f>IF($A271="","",[1]!thsiFinD("ths_adjustment_nv_fund",S$3,$A271))</x:f>
        <x:v>#NAME?</x:v>
      </x:c>
      <x:c r="T271" s="146" t="e">
        <x:f>IF($A271="","",[1]!thsiFinD("ths_adjustment_nv_fund",T$3,$A271))</x:f>
        <x:v>#NAME?</x:v>
      </x:c>
      <x:c r="U271" s="146" t="e">
        <x:f>IF($A271="","",[1]!thsiFinD("ths_adjustment_nv_fund",U$3,$A271))</x:f>
        <x:v>#NAME?</x:v>
      </x:c>
      <x:c r="V271" s="146" t="e">
        <x:f>IF($A271="","",[1]!thsiFinD("ths_adjustment_nv_fund",V$3,$A271))</x:f>
        <x:v>#NAME?</x:v>
      </x:c>
      <x:c r="W271" s="146" t="e">
        <x:f>IF($A271="","",[1]!thsiFinD("ths_adjustment_nv_fund",W$3,$A271))</x:f>
        <x:v>#NAME?</x:v>
      </x:c>
      <x:c r="X271" s="146" t="e">
        <x:f>IF($A271="","",[1]!thsiFinD("ths_adjustment_nv_fund",X$3,$A271))</x:f>
        <x:v>#NAME?</x:v>
      </x:c>
      <x:c r="Y271" s="146" t="e">
        <x:f>IF($A271="","",[1]!thsiFinD("ths_adjustment_nv_fund",Y$3,$A271))</x:f>
        <x:v>#NAME?</x:v>
      </x:c>
      <x:c r="Z271" s="146" t="e">
        <x:f>IF($A271="","",[1]!thsiFinD("ths_adjustment_nv_fund",Z$3,$A271))</x:f>
        <x:v>#NAME?</x:v>
      </x:c>
      <x:c r="AA271" s="146" t="e">
        <x:f>IF($A271="","",[1]!thsiFinD("ths_adjustment_nv_fund",AA$3,$A271))</x:f>
        <x:v>#NAME?</x:v>
      </x:c>
    </x:row>
    <x:row r="272">
      <x:c r="B272" s="146" t="e">
        <x:f>IF($A272="","",[1]!thsiFinD("ths_adjustment_nv_fund",B$3,$A272))</x:f>
        <x:v>#NAME?</x:v>
      </x:c>
      <x:c r="C272" s="146" t="e">
        <x:f>IF($A272="","",[1]!thsiFinD("ths_adjustment_nv_fund",C$3,$A272))</x:f>
        <x:v>#NAME?</x:v>
      </x:c>
      <x:c r="D272" s="146" t="e">
        <x:f>IF($A272="","",[1]!thsiFinD("ths_adjustment_nv_fund",D$3,$A272))</x:f>
        <x:v>#NAME?</x:v>
      </x:c>
      <x:c r="E272" s="146" t="e">
        <x:f>IF($A272="","",[1]!thsiFinD("ths_adjustment_nv_fund",E$3,$A272))</x:f>
        <x:v>#NAME?</x:v>
      </x:c>
      <x:c r="F272" s="146" t="e">
        <x:f>IF($A272="","",[1]!thsiFinD("ths_adjustment_nv_fund",F$3,$A272))</x:f>
        <x:v>#NAME?</x:v>
      </x:c>
      <x:c r="G272" s="146" t="e">
        <x:f>IF($A272="","",[1]!thsiFinD("ths_adjustment_nv_fund",G$3,$A272))</x:f>
        <x:v>#NAME?</x:v>
      </x:c>
      <x:c r="H272" s="146" t="e">
        <x:f>IF($A272="","",[1]!thsiFinD("ths_adjustment_nv_fund",H$3,$A272))</x:f>
        <x:v>#NAME?</x:v>
      </x:c>
      <x:c r="I272" s="146" t="e">
        <x:f>IF($A272="","",[1]!thsiFinD("ths_adjustment_nv_fund",I$3,$A272))</x:f>
        <x:v>#NAME?</x:v>
      </x:c>
      <x:c r="J272" s="146" t="e">
        <x:f>IF($A272="","",[1]!thsiFinD("ths_adjustment_nv_fund",J$3,$A272))</x:f>
        <x:v>#NAME?</x:v>
      </x:c>
      <x:c r="K272" s="146" t="e">
        <x:f>IF($A272="","",[1]!thsiFinD("ths_adjustment_nv_fund",K$3,$A272))</x:f>
        <x:v>#NAME?</x:v>
      </x:c>
      <x:c r="L272" s="146" t="e">
        <x:f>IF($A272="","",[1]!thsiFinD("ths_adjustment_nv_fund",L$3,$A272))</x:f>
        <x:v>#NAME?</x:v>
      </x:c>
      <x:c r="M272" s="146" t="e">
        <x:f>IF($A272="","",[1]!thsiFinD("ths_adjustment_nv_fund",M$3,$A272))</x:f>
        <x:v>#NAME?</x:v>
      </x:c>
      <x:c r="N272" s="146" t="e">
        <x:f>IF($A272="","",[1]!thsiFinD("ths_adjustment_nv_fund",N$3,$A272))</x:f>
        <x:v>#NAME?</x:v>
      </x:c>
      <x:c r="O272" s="146" t="e">
        <x:f>IF($A272="","",[1]!thsiFinD("ths_adjustment_nv_fund",O$3,$A272))</x:f>
        <x:v>#NAME?</x:v>
      </x:c>
      <x:c r="P272" s="146" t="e">
        <x:f>IF($A272="","",[1]!thsiFinD("ths_adjustment_nv_fund",P$3,$A272))</x:f>
        <x:v>#NAME?</x:v>
      </x:c>
      <x:c r="Q272" s="146" t="e">
        <x:f>IF($A272="","",[1]!thsiFinD("ths_adjustment_nv_fund",Q$3,$A272))</x:f>
        <x:v>#NAME?</x:v>
      </x:c>
      <x:c r="R272" s="146" t="e">
        <x:f>IF($A272="","",[1]!thsiFinD("ths_adjustment_nv_fund",R$3,$A272))</x:f>
        <x:v>#NAME?</x:v>
      </x:c>
      <x:c r="S272" s="146" t="e">
        <x:f>IF($A272="","",[1]!thsiFinD("ths_adjustment_nv_fund",S$3,$A272))</x:f>
        <x:v>#NAME?</x:v>
      </x:c>
      <x:c r="T272" s="146" t="e">
        <x:f>IF($A272="","",[1]!thsiFinD("ths_adjustment_nv_fund",T$3,$A272))</x:f>
        <x:v>#NAME?</x:v>
      </x:c>
      <x:c r="U272" s="146" t="e">
        <x:f>IF($A272="","",[1]!thsiFinD("ths_adjustment_nv_fund",U$3,$A272))</x:f>
        <x:v>#NAME?</x:v>
      </x:c>
      <x:c r="V272" s="146" t="e">
        <x:f>IF($A272="","",[1]!thsiFinD("ths_adjustment_nv_fund",V$3,$A272))</x:f>
        <x:v>#NAME?</x:v>
      </x:c>
      <x:c r="W272" s="146" t="e">
        <x:f>IF($A272="","",[1]!thsiFinD("ths_adjustment_nv_fund",W$3,$A272))</x:f>
        <x:v>#NAME?</x:v>
      </x:c>
      <x:c r="X272" s="146" t="e">
        <x:f>IF($A272="","",[1]!thsiFinD("ths_adjustment_nv_fund",X$3,$A272))</x:f>
        <x:v>#NAME?</x:v>
      </x:c>
      <x:c r="Y272" s="146" t="e">
        <x:f>IF($A272="","",[1]!thsiFinD("ths_adjustment_nv_fund",Y$3,$A272))</x:f>
        <x:v>#NAME?</x:v>
      </x:c>
      <x:c r="Z272" s="146" t="e">
        <x:f>IF($A272="","",[1]!thsiFinD("ths_adjustment_nv_fund",Z$3,$A272))</x:f>
        <x:v>#NAME?</x:v>
      </x:c>
      <x:c r="AA272" s="146" t="e">
        <x:f>IF($A272="","",[1]!thsiFinD("ths_adjustment_nv_fund",AA$3,$A272))</x:f>
        <x:v>#NAME?</x:v>
      </x:c>
    </x:row>
    <x:row r="273">
      <x:c r="B273" s="146" t="e">
        <x:f>IF($A273="","",[1]!thsiFinD("ths_adjustment_nv_fund",B$3,$A273))</x:f>
        <x:v>#NAME?</x:v>
      </x:c>
      <x:c r="C273" s="146" t="e">
        <x:f>IF($A273="","",[1]!thsiFinD("ths_adjustment_nv_fund",C$3,$A273))</x:f>
        <x:v>#NAME?</x:v>
      </x:c>
      <x:c r="D273" s="146" t="e">
        <x:f>IF($A273="","",[1]!thsiFinD("ths_adjustment_nv_fund",D$3,$A273))</x:f>
        <x:v>#NAME?</x:v>
      </x:c>
      <x:c r="E273" s="146" t="e">
        <x:f>IF($A273="","",[1]!thsiFinD("ths_adjustment_nv_fund",E$3,$A273))</x:f>
        <x:v>#NAME?</x:v>
      </x:c>
      <x:c r="F273" s="146" t="e">
        <x:f>IF($A273="","",[1]!thsiFinD("ths_adjustment_nv_fund",F$3,$A273))</x:f>
        <x:v>#NAME?</x:v>
      </x:c>
      <x:c r="G273" s="146" t="e">
        <x:f>IF($A273="","",[1]!thsiFinD("ths_adjustment_nv_fund",G$3,$A273))</x:f>
        <x:v>#NAME?</x:v>
      </x:c>
      <x:c r="H273" s="146" t="e">
        <x:f>IF($A273="","",[1]!thsiFinD("ths_adjustment_nv_fund",H$3,$A273))</x:f>
        <x:v>#NAME?</x:v>
      </x:c>
      <x:c r="I273" s="146" t="e">
        <x:f>IF($A273="","",[1]!thsiFinD("ths_adjustment_nv_fund",I$3,$A273))</x:f>
        <x:v>#NAME?</x:v>
      </x:c>
      <x:c r="J273" s="146" t="e">
        <x:f>IF($A273="","",[1]!thsiFinD("ths_adjustment_nv_fund",J$3,$A273))</x:f>
        <x:v>#NAME?</x:v>
      </x:c>
      <x:c r="K273" s="146" t="e">
        <x:f>IF($A273="","",[1]!thsiFinD("ths_adjustment_nv_fund",K$3,$A273))</x:f>
        <x:v>#NAME?</x:v>
      </x:c>
      <x:c r="L273" s="146" t="e">
        <x:f>IF($A273="","",[1]!thsiFinD("ths_adjustment_nv_fund",L$3,$A273))</x:f>
        <x:v>#NAME?</x:v>
      </x:c>
      <x:c r="M273" s="146" t="e">
        <x:f>IF($A273="","",[1]!thsiFinD("ths_adjustment_nv_fund",M$3,$A273))</x:f>
        <x:v>#NAME?</x:v>
      </x:c>
      <x:c r="N273" s="146" t="e">
        <x:f>IF($A273="","",[1]!thsiFinD("ths_adjustment_nv_fund",N$3,$A273))</x:f>
        <x:v>#NAME?</x:v>
      </x:c>
      <x:c r="O273" s="146" t="e">
        <x:f>IF($A273="","",[1]!thsiFinD("ths_adjustment_nv_fund",O$3,$A273))</x:f>
        <x:v>#NAME?</x:v>
      </x:c>
      <x:c r="P273" s="146" t="e">
        <x:f>IF($A273="","",[1]!thsiFinD("ths_adjustment_nv_fund",P$3,$A273))</x:f>
        <x:v>#NAME?</x:v>
      </x:c>
      <x:c r="Q273" s="146" t="e">
        <x:f>IF($A273="","",[1]!thsiFinD("ths_adjustment_nv_fund",Q$3,$A273))</x:f>
        <x:v>#NAME?</x:v>
      </x:c>
      <x:c r="R273" s="146" t="e">
        <x:f>IF($A273="","",[1]!thsiFinD("ths_adjustment_nv_fund",R$3,$A273))</x:f>
        <x:v>#NAME?</x:v>
      </x:c>
      <x:c r="S273" s="146" t="e">
        <x:f>IF($A273="","",[1]!thsiFinD("ths_adjustment_nv_fund",S$3,$A273))</x:f>
        <x:v>#NAME?</x:v>
      </x:c>
      <x:c r="T273" s="146" t="e">
        <x:f>IF($A273="","",[1]!thsiFinD("ths_adjustment_nv_fund",T$3,$A273))</x:f>
        <x:v>#NAME?</x:v>
      </x:c>
      <x:c r="U273" s="146" t="e">
        <x:f>IF($A273="","",[1]!thsiFinD("ths_adjustment_nv_fund",U$3,$A273))</x:f>
        <x:v>#NAME?</x:v>
      </x:c>
      <x:c r="V273" s="146" t="e">
        <x:f>IF($A273="","",[1]!thsiFinD("ths_adjustment_nv_fund",V$3,$A273))</x:f>
        <x:v>#NAME?</x:v>
      </x:c>
      <x:c r="W273" s="146" t="e">
        <x:f>IF($A273="","",[1]!thsiFinD("ths_adjustment_nv_fund",W$3,$A273))</x:f>
        <x:v>#NAME?</x:v>
      </x:c>
      <x:c r="X273" s="146" t="e">
        <x:f>IF($A273="","",[1]!thsiFinD("ths_adjustment_nv_fund",X$3,$A273))</x:f>
        <x:v>#NAME?</x:v>
      </x:c>
      <x:c r="Y273" s="146" t="e">
        <x:f>IF($A273="","",[1]!thsiFinD("ths_adjustment_nv_fund",Y$3,$A273))</x:f>
        <x:v>#NAME?</x:v>
      </x:c>
      <x:c r="Z273" s="146" t="e">
        <x:f>IF($A273="","",[1]!thsiFinD("ths_adjustment_nv_fund",Z$3,$A273))</x:f>
        <x:v>#NAME?</x:v>
      </x:c>
      <x:c r="AA273" s="146" t="e">
        <x:f>IF($A273="","",[1]!thsiFinD("ths_adjustment_nv_fund",AA$3,$A273))</x:f>
        <x:v>#NAME?</x:v>
      </x:c>
    </x:row>
    <x:row r="274">
      <x:c r="B274" s="146" t="e">
        <x:f>IF($A274="","",[1]!thsiFinD("ths_adjustment_nv_fund",B$3,$A274))</x:f>
        <x:v>#NAME?</x:v>
      </x:c>
      <x:c r="C274" s="146" t="e">
        <x:f>IF($A274="","",[1]!thsiFinD("ths_adjustment_nv_fund",C$3,$A274))</x:f>
        <x:v>#NAME?</x:v>
      </x:c>
      <x:c r="D274" s="146" t="e">
        <x:f>IF($A274="","",[1]!thsiFinD("ths_adjustment_nv_fund",D$3,$A274))</x:f>
        <x:v>#NAME?</x:v>
      </x:c>
      <x:c r="E274" s="146" t="e">
        <x:f>IF($A274="","",[1]!thsiFinD("ths_adjustment_nv_fund",E$3,$A274))</x:f>
        <x:v>#NAME?</x:v>
      </x:c>
      <x:c r="F274" s="146" t="e">
        <x:f>IF($A274="","",[1]!thsiFinD("ths_adjustment_nv_fund",F$3,$A274))</x:f>
        <x:v>#NAME?</x:v>
      </x:c>
      <x:c r="G274" s="146" t="e">
        <x:f>IF($A274="","",[1]!thsiFinD("ths_adjustment_nv_fund",G$3,$A274))</x:f>
        <x:v>#NAME?</x:v>
      </x:c>
      <x:c r="H274" s="146" t="e">
        <x:f>IF($A274="","",[1]!thsiFinD("ths_adjustment_nv_fund",H$3,$A274))</x:f>
        <x:v>#NAME?</x:v>
      </x:c>
      <x:c r="I274" s="146" t="e">
        <x:f>IF($A274="","",[1]!thsiFinD("ths_adjustment_nv_fund",I$3,$A274))</x:f>
        <x:v>#NAME?</x:v>
      </x:c>
      <x:c r="J274" s="146" t="e">
        <x:f>IF($A274="","",[1]!thsiFinD("ths_adjustment_nv_fund",J$3,$A274))</x:f>
        <x:v>#NAME?</x:v>
      </x:c>
      <x:c r="K274" s="146" t="e">
        <x:f>IF($A274="","",[1]!thsiFinD("ths_adjustment_nv_fund",K$3,$A274))</x:f>
        <x:v>#NAME?</x:v>
      </x:c>
      <x:c r="L274" s="146" t="e">
        <x:f>IF($A274="","",[1]!thsiFinD("ths_adjustment_nv_fund",L$3,$A274))</x:f>
        <x:v>#NAME?</x:v>
      </x:c>
      <x:c r="M274" s="146" t="e">
        <x:f>IF($A274="","",[1]!thsiFinD("ths_adjustment_nv_fund",M$3,$A274))</x:f>
        <x:v>#NAME?</x:v>
      </x:c>
      <x:c r="N274" s="146" t="e">
        <x:f>IF($A274="","",[1]!thsiFinD("ths_adjustment_nv_fund",N$3,$A274))</x:f>
        <x:v>#NAME?</x:v>
      </x:c>
      <x:c r="O274" s="146" t="e">
        <x:f>IF($A274="","",[1]!thsiFinD("ths_adjustment_nv_fund",O$3,$A274))</x:f>
        <x:v>#NAME?</x:v>
      </x:c>
      <x:c r="P274" s="146" t="e">
        <x:f>IF($A274="","",[1]!thsiFinD("ths_adjustment_nv_fund",P$3,$A274))</x:f>
        <x:v>#NAME?</x:v>
      </x:c>
      <x:c r="Q274" s="146" t="e">
        <x:f>IF($A274="","",[1]!thsiFinD("ths_adjustment_nv_fund",Q$3,$A274))</x:f>
        <x:v>#NAME?</x:v>
      </x:c>
      <x:c r="R274" s="146" t="e">
        <x:f>IF($A274="","",[1]!thsiFinD("ths_adjustment_nv_fund",R$3,$A274))</x:f>
        <x:v>#NAME?</x:v>
      </x:c>
      <x:c r="S274" s="146" t="e">
        <x:f>IF($A274="","",[1]!thsiFinD("ths_adjustment_nv_fund",S$3,$A274))</x:f>
        <x:v>#NAME?</x:v>
      </x:c>
      <x:c r="T274" s="146" t="e">
        <x:f>IF($A274="","",[1]!thsiFinD("ths_adjustment_nv_fund",T$3,$A274))</x:f>
        <x:v>#NAME?</x:v>
      </x:c>
      <x:c r="U274" s="146" t="e">
        <x:f>IF($A274="","",[1]!thsiFinD("ths_adjustment_nv_fund",U$3,$A274))</x:f>
        <x:v>#NAME?</x:v>
      </x:c>
      <x:c r="V274" s="146" t="e">
        <x:f>IF($A274="","",[1]!thsiFinD("ths_adjustment_nv_fund",V$3,$A274))</x:f>
        <x:v>#NAME?</x:v>
      </x:c>
      <x:c r="W274" s="146" t="e">
        <x:f>IF($A274="","",[1]!thsiFinD("ths_adjustment_nv_fund",W$3,$A274))</x:f>
        <x:v>#NAME?</x:v>
      </x:c>
      <x:c r="X274" s="146" t="e">
        <x:f>IF($A274="","",[1]!thsiFinD("ths_adjustment_nv_fund",X$3,$A274))</x:f>
        <x:v>#NAME?</x:v>
      </x:c>
      <x:c r="Y274" s="146" t="e">
        <x:f>IF($A274="","",[1]!thsiFinD("ths_adjustment_nv_fund",Y$3,$A274))</x:f>
        <x:v>#NAME?</x:v>
      </x:c>
      <x:c r="Z274" s="146" t="e">
        <x:f>IF($A274="","",[1]!thsiFinD("ths_adjustment_nv_fund",Z$3,$A274))</x:f>
        <x:v>#NAME?</x:v>
      </x:c>
      <x:c r="AA274" s="146" t="e">
        <x:f>IF($A274="","",[1]!thsiFinD("ths_adjustment_nv_fund",AA$3,$A274))</x:f>
        <x:v>#NAME?</x:v>
      </x:c>
    </x:row>
    <x:row r="275">
      <x:c r="B275" s="146" t="e">
        <x:f>IF($A275="","",[1]!thsiFinD("ths_adjustment_nv_fund",B$3,$A275))</x:f>
        <x:v>#NAME?</x:v>
      </x:c>
      <x:c r="C275" s="146" t="e">
        <x:f>IF($A275="","",[1]!thsiFinD("ths_adjustment_nv_fund",C$3,$A275))</x:f>
        <x:v>#NAME?</x:v>
      </x:c>
      <x:c r="D275" s="146" t="e">
        <x:f>IF($A275="","",[1]!thsiFinD("ths_adjustment_nv_fund",D$3,$A275))</x:f>
        <x:v>#NAME?</x:v>
      </x:c>
      <x:c r="E275" s="146" t="e">
        <x:f>IF($A275="","",[1]!thsiFinD("ths_adjustment_nv_fund",E$3,$A275))</x:f>
        <x:v>#NAME?</x:v>
      </x:c>
      <x:c r="F275" s="146" t="e">
        <x:f>IF($A275="","",[1]!thsiFinD("ths_adjustment_nv_fund",F$3,$A275))</x:f>
        <x:v>#NAME?</x:v>
      </x:c>
      <x:c r="G275" s="146" t="e">
        <x:f>IF($A275="","",[1]!thsiFinD("ths_adjustment_nv_fund",G$3,$A275))</x:f>
        <x:v>#NAME?</x:v>
      </x:c>
      <x:c r="H275" s="146" t="e">
        <x:f>IF($A275="","",[1]!thsiFinD("ths_adjustment_nv_fund",H$3,$A275))</x:f>
        <x:v>#NAME?</x:v>
      </x:c>
      <x:c r="I275" s="146" t="e">
        <x:f>IF($A275="","",[1]!thsiFinD("ths_adjustment_nv_fund",I$3,$A275))</x:f>
        <x:v>#NAME?</x:v>
      </x:c>
      <x:c r="J275" s="146" t="e">
        <x:f>IF($A275="","",[1]!thsiFinD("ths_adjustment_nv_fund",J$3,$A275))</x:f>
        <x:v>#NAME?</x:v>
      </x:c>
      <x:c r="K275" s="146" t="e">
        <x:f>IF($A275="","",[1]!thsiFinD("ths_adjustment_nv_fund",K$3,$A275))</x:f>
        <x:v>#NAME?</x:v>
      </x:c>
      <x:c r="L275" s="146" t="e">
        <x:f>IF($A275="","",[1]!thsiFinD("ths_adjustment_nv_fund",L$3,$A275))</x:f>
        <x:v>#NAME?</x:v>
      </x:c>
      <x:c r="M275" s="146" t="e">
        <x:f>IF($A275="","",[1]!thsiFinD("ths_adjustment_nv_fund",M$3,$A275))</x:f>
        <x:v>#NAME?</x:v>
      </x:c>
      <x:c r="N275" s="146" t="e">
        <x:f>IF($A275="","",[1]!thsiFinD("ths_adjustment_nv_fund",N$3,$A275))</x:f>
        <x:v>#NAME?</x:v>
      </x:c>
      <x:c r="O275" s="146" t="e">
        <x:f>IF($A275="","",[1]!thsiFinD("ths_adjustment_nv_fund",O$3,$A275))</x:f>
        <x:v>#NAME?</x:v>
      </x:c>
      <x:c r="P275" s="146" t="e">
        <x:f>IF($A275="","",[1]!thsiFinD("ths_adjustment_nv_fund",P$3,$A275))</x:f>
        <x:v>#NAME?</x:v>
      </x:c>
      <x:c r="Q275" s="146" t="e">
        <x:f>IF($A275="","",[1]!thsiFinD("ths_adjustment_nv_fund",Q$3,$A275))</x:f>
        <x:v>#NAME?</x:v>
      </x:c>
      <x:c r="R275" s="146" t="e">
        <x:f>IF($A275="","",[1]!thsiFinD("ths_adjustment_nv_fund",R$3,$A275))</x:f>
        <x:v>#NAME?</x:v>
      </x:c>
      <x:c r="S275" s="146" t="e">
        <x:f>IF($A275="","",[1]!thsiFinD("ths_adjustment_nv_fund",S$3,$A275))</x:f>
        <x:v>#NAME?</x:v>
      </x:c>
      <x:c r="T275" s="146" t="e">
        <x:f>IF($A275="","",[1]!thsiFinD("ths_adjustment_nv_fund",T$3,$A275))</x:f>
        <x:v>#NAME?</x:v>
      </x:c>
      <x:c r="U275" s="146" t="e">
        <x:f>IF($A275="","",[1]!thsiFinD("ths_adjustment_nv_fund",U$3,$A275))</x:f>
        <x:v>#NAME?</x:v>
      </x:c>
      <x:c r="V275" s="146" t="e">
        <x:f>IF($A275="","",[1]!thsiFinD("ths_adjustment_nv_fund",V$3,$A275))</x:f>
        <x:v>#NAME?</x:v>
      </x:c>
      <x:c r="W275" s="146" t="e">
        <x:f>IF($A275="","",[1]!thsiFinD("ths_adjustment_nv_fund",W$3,$A275))</x:f>
        <x:v>#NAME?</x:v>
      </x:c>
      <x:c r="X275" s="146" t="e">
        <x:f>IF($A275="","",[1]!thsiFinD("ths_adjustment_nv_fund",X$3,$A275))</x:f>
        <x:v>#NAME?</x:v>
      </x:c>
      <x:c r="Y275" s="146" t="e">
        <x:f>IF($A275="","",[1]!thsiFinD("ths_adjustment_nv_fund",Y$3,$A275))</x:f>
        <x:v>#NAME?</x:v>
      </x:c>
      <x:c r="Z275" s="146" t="e">
        <x:f>IF($A275="","",[1]!thsiFinD("ths_adjustment_nv_fund",Z$3,$A275))</x:f>
        <x:v>#NAME?</x:v>
      </x:c>
      <x:c r="AA275" s="146" t="e">
        <x:f>IF($A275="","",[1]!thsiFinD("ths_adjustment_nv_fund",AA$3,$A275))</x:f>
        <x:v>#NAME?</x:v>
      </x:c>
    </x:row>
    <x:row r="276">
      <x:c r="B276" s="146" t="e">
        <x:f>IF($A276="","",[1]!thsiFinD("ths_adjustment_nv_fund",B$3,$A276))</x:f>
        <x:v>#NAME?</x:v>
      </x:c>
      <x:c r="C276" s="146" t="e">
        <x:f>IF($A276="","",[1]!thsiFinD("ths_adjustment_nv_fund",C$3,$A276))</x:f>
        <x:v>#NAME?</x:v>
      </x:c>
      <x:c r="D276" s="146" t="e">
        <x:f>IF($A276="","",[1]!thsiFinD("ths_adjustment_nv_fund",D$3,$A276))</x:f>
        <x:v>#NAME?</x:v>
      </x:c>
      <x:c r="E276" s="146" t="e">
        <x:f>IF($A276="","",[1]!thsiFinD("ths_adjustment_nv_fund",E$3,$A276))</x:f>
        <x:v>#NAME?</x:v>
      </x:c>
      <x:c r="F276" s="146" t="e">
        <x:f>IF($A276="","",[1]!thsiFinD("ths_adjustment_nv_fund",F$3,$A276))</x:f>
        <x:v>#NAME?</x:v>
      </x:c>
      <x:c r="G276" s="146" t="e">
        <x:f>IF($A276="","",[1]!thsiFinD("ths_adjustment_nv_fund",G$3,$A276))</x:f>
        <x:v>#NAME?</x:v>
      </x:c>
      <x:c r="H276" s="146" t="e">
        <x:f>IF($A276="","",[1]!thsiFinD("ths_adjustment_nv_fund",H$3,$A276))</x:f>
        <x:v>#NAME?</x:v>
      </x:c>
      <x:c r="I276" s="146" t="e">
        <x:f>IF($A276="","",[1]!thsiFinD("ths_adjustment_nv_fund",I$3,$A276))</x:f>
        <x:v>#NAME?</x:v>
      </x:c>
      <x:c r="J276" s="146" t="e">
        <x:f>IF($A276="","",[1]!thsiFinD("ths_adjustment_nv_fund",J$3,$A276))</x:f>
        <x:v>#NAME?</x:v>
      </x:c>
      <x:c r="K276" s="146" t="e">
        <x:f>IF($A276="","",[1]!thsiFinD("ths_adjustment_nv_fund",K$3,$A276))</x:f>
        <x:v>#NAME?</x:v>
      </x:c>
      <x:c r="L276" s="146" t="e">
        <x:f>IF($A276="","",[1]!thsiFinD("ths_adjustment_nv_fund",L$3,$A276))</x:f>
        <x:v>#NAME?</x:v>
      </x:c>
      <x:c r="M276" s="146" t="e">
        <x:f>IF($A276="","",[1]!thsiFinD("ths_adjustment_nv_fund",M$3,$A276))</x:f>
        <x:v>#NAME?</x:v>
      </x:c>
      <x:c r="N276" s="146" t="e">
        <x:f>IF($A276="","",[1]!thsiFinD("ths_adjustment_nv_fund",N$3,$A276))</x:f>
        <x:v>#NAME?</x:v>
      </x:c>
      <x:c r="O276" s="146" t="e">
        <x:f>IF($A276="","",[1]!thsiFinD("ths_adjustment_nv_fund",O$3,$A276))</x:f>
        <x:v>#NAME?</x:v>
      </x:c>
      <x:c r="P276" s="146" t="e">
        <x:f>IF($A276="","",[1]!thsiFinD("ths_adjustment_nv_fund",P$3,$A276))</x:f>
        <x:v>#NAME?</x:v>
      </x:c>
      <x:c r="Q276" s="146" t="e">
        <x:f>IF($A276="","",[1]!thsiFinD("ths_adjustment_nv_fund",Q$3,$A276))</x:f>
        <x:v>#NAME?</x:v>
      </x:c>
      <x:c r="R276" s="146" t="e">
        <x:f>IF($A276="","",[1]!thsiFinD("ths_adjustment_nv_fund",R$3,$A276))</x:f>
        <x:v>#NAME?</x:v>
      </x:c>
      <x:c r="S276" s="146" t="e">
        <x:f>IF($A276="","",[1]!thsiFinD("ths_adjustment_nv_fund",S$3,$A276))</x:f>
        <x:v>#NAME?</x:v>
      </x:c>
      <x:c r="T276" s="146" t="e">
        <x:f>IF($A276="","",[1]!thsiFinD("ths_adjustment_nv_fund",T$3,$A276))</x:f>
        <x:v>#NAME?</x:v>
      </x:c>
      <x:c r="U276" s="146" t="e">
        <x:f>IF($A276="","",[1]!thsiFinD("ths_adjustment_nv_fund",U$3,$A276))</x:f>
        <x:v>#NAME?</x:v>
      </x:c>
      <x:c r="V276" s="146" t="e">
        <x:f>IF($A276="","",[1]!thsiFinD("ths_adjustment_nv_fund",V$3,$A276))</x:f>
        <x:v>#NAME?</x:v>
      </x:c>
      <x:c r="W276" s="146" t="e">
        <x:f>IF($A276="","",[1]!thsiFinD("ths_adjustment_nv_fund",W$3,$A276))</x:f>
        <x:v>#NAME?</x:v>
      </x:c>
      <x:c r="X276" s="146" t="e">
        <x:f>IF($A276="","",[1]!thsiFinD("ths_adjustment_nv_fund",X$3,$A276))</x:f>
        <x:v>#NAME?</x:v>
      </x:c>
      <x:c r="Y276" s="146" t="e">
        <x:f>IF($A276="","",[1]!thsiFinD("ths_adjustment_nv_fund",Y$3,$A276))</x:f>
        <x:v>#NAME?</x:v>
      </x:c>
      <x:c r="Z276" s="146" t="e">
        <x:f>IF($A276="","",[1]!thsiFinD("ths_adjustment_nv_fund",Z$3,$A276))</x:f>
        <x:v>#NAME?</x:v>
      </x:c>
      <x:c r="AA276" s="146" t="e">
        <x:f>IF($A276="","",[1]!thsiFinD("ths_adjustment_nv_fund",AA$3,$A276))</x:f>
        <x:v>#NAME?</x:v>
      </x:c>
    </x:row>
    <x:row r="277">
      <x:c r="B277" s="146" t="e">
        <x:f>IF($A277="","",[1]!thsiFinD("ths_adjustment_nv_fund",B$3,$A277))</x:f>
        <x:v>#NAME?</x:v>
      </x:c>
      <x:c r="C277" s="146" t="e">
        <x:f>IF($A277="","",[1]!thsiFinD("ths_adjustment_nv_fund",C$3,$A277))</x:f>
        <x:v>#NAME?</x:v>
      </x:c>
      <x:c r="D277" s="146" t="e">
        <x:f>IF($A277="","",[1]!thsiFinD("ths_adjustment_nv_fund",D$3,$A277))</x:f>
        <x:v>#NAME?</x:v>
      </x:c>
      <x:c r="E277" s="146" t="e">
        <x:f>IF($A277="","",[1]!thsiFinD("ths_adjustment_nv_fund",E$3,$A277))</x:f>
        <x:v>#NAME?</x:v>
      </x:c>
      <x:c r="F277" s="146" t="e">
        <x:f>IF($A277="","",[1]!thsiFinD("ths_adjustment_nv_fund",F$3,$A277))</x:f>
        <x:v>#NAME?</x:v>
      </x:c>
      <x:c r="G277" s="146" t="e">
        <x:f>IF($A277="","",[1]!thsiFinD("ths_adjustment_nv_fund",G$3,$A277))</x:f>
        <x:v>#NAME?</x:v>
      </x:c>
      <x:c r="H277" s="146" t="e">
        <x:f>IF($A277="","",[1]!thsiFinD("ths_adjustment_nv_fund",H$3,$A277))</x:f>
        <x:v>#NAME?</x:v>
      </x:c>
      <x:c r="I277" s="146" t="e">
        <x:f>IF($A277="","",[1]!thsiFinD("ths_adjustment_nv_fund",I$3,$A277))</x:f>
        <x:v>#NAME?</x:v>
      </x:c>
      <x:c r="J277" s="146" t="e">
        <x:f>IF($A277="","",[1]!thsiFinD("ths_adjustment_nv_fund",J$3,$A277))</x:f>
        <x:v>#NAME?</x:v>
      </x:c>
      <x:c r="K277" s="146" t="e">
        <x:f>IF($A277="","",[1]!thsiFinD("ths_adjustment_nv_fund",K$3,$A277))</x:f>
        <x:v>#NAME?</x:v>
      </x:c>
      <x:c r="L277" s="146" t="e">
        <x:f>IF($A277="","",[1]!thsiFinD("ths_adjustment_nv_fund",L$3,$A277))</x:f>
        <x:v>#NAME?</x:v>
      </x:c>
      <x:c r="M277" s="146" t="e">
        <x:f>IF($A277="","",[1]!thsiFinD("ths_adjustment_nv_fund",M$3,$A277))</x:f>
        <x:v>#NAME?</x:v>
      </x:c>
      <x:c r="N277" s="146" t="e">
        <x:f>IF($A277="","",[1]!thsiFinD("ths_adjustment_nv_fund",N$3,$A277))</x:f>
        <x:v>#NAME?</x:v>
      </x:c>
      <x:c r="O277" s="146" t="e">
        <x:f>IF($A277="","",[1]!thsiFinD("ths_adjustment_nv_fund",O$3,$A277))</x:f>
        <x:v>#NAME?</x:v>
      </x:c>
      <x:c r="P277" s="146" t="e">
        <x:f>IF($A277="","",[1]!thsiFinD("ths_adjustment_nv_fund",P$3,$A277))</x:f>
        <x:v>#NAME?</x:v>
      </x:c>
      <x:c r="Q277" s="146" t="e">
        <x:f>IF($A277="","",[1]!thsiFinD("ths_adjustment_nv_fund",Q$3,$A277))</x:f>
        <x:v>#NAME?</x:v>
      </x:c>
      <x:c r="R277" s="146" t="e">
        <x:f>IF($A277="","",[1]!thsiFinD("ths_adjustment_nv_fund",R$3,$A277))</x:f>
        <x:v>#NAME?</x:v>
      </x:c>
      <x:c r="S277" s="146" t="e">
        <x:f>IF($A277="","",[1]!thsiFinD("ths_adjustment_nv_fund",S$3,$A277))</x:f>
        <x:v>#NAME?</x:v>
      </x:c>
      <x:c r="T277" s="146" t="e">
        <x:f>IF($A277="","",[1]!thsiFinD("ths_adjustment_nv_fund",T$3,$A277))</x:f>
        <x:v>#NAME?</x:v>
      </x:c>
      <x:c r="U277" s="146" t="e">
        <x:f>IF($A277="","",[1]!thsiFinD("ths_adjustment_nv_fund",U$3,$A277))</x:f>
        <x:v>#NAME?</x:v>
      </x:c>
      <x:c r="V277" s="146" t="e">
        <x:f>IF($A277="","",[1]!thsiFinD("ths_adjustment_nv_fund",V$3,$A277))</x:f>
        <x:v>#NAME?</x:v>
      </x:c>
      <x:c r="W277" s="146" t="e">
        <x:f>IF($A277="","",[1]!thsiFinD("ths_adjustment_nv_fund",W$3,$A277))</x:f>
        <x:v>#NAME?</x:v>
      </x:c>
      <x:c r="X277" s="146" t="e">
        <x:f>IF($A277="","",[1]!thsiFinD("ths_adjustment_nv_fund",X$3,$A277))</x:f>
        <x:v>#NAME?</x:v>
      </x:c>
      <x:c r="Y277" s="146" t="e">
        <x:f>IF($A277="","",[1]!thsiFinD("ths_adjustment_nv_fund",Y$3,$A277))</x:f>
        <x:v>#NAME?</x:v>
      </x:c>
      <x:c r="Z277" s="146" t="e">
        <x:f>IF($A277="","",[1]!thsiFinD("ths_adjustment_nv_fund",Z$3,$A277))</x:f>
        <x:v>#NAME?</x:v>
      </x:c>
      <x:c r="AA277" s="146" t="e">
        <x:f>IF($A277="","",[1]!thsiFinD("ths_adjustment_nv_fund",AA$3,$A277))</x:f>
        <x:v>#NAME?</x:v>
      </x:c>
    </x:row>
    <x:row r="278">
      <x:c r="B278" s="146" t="e">
        <x:f>IF($A278="","",[1]!thsiFinD("ths_adjustment_nv_fund",B$3,$A278))</x:f>
        <x:v>#NAME?</x:v>
      </x:c>
      <x:c r="C278" s="146" t="e">
        <x:f>IF($A278="","",[1]!thsiFinD("ths_adjustment_nv_fund",C$3,$A278))</x:f>
        <x:v>#NAME?</x:v>
      </x:c>
      <x:c r="D278" s="146" t="e">
        <x:f>IF($A278="","",[1]!thsiFinD("ths_adjustment_nv_fund",D$3,$A278))</x:f>
        <x:v>#NAME?</x:v>
      </x:c>
      <x:c r="E278" s="146" t="e">
        <x:f>IF($A278="","",[1]!thsiFinD("ths_adjustment_nv_fund",E$3,$A278))</x:f>
        <x:v>#NAME?</x:v>
      </x:c>
      <x:c r="F278" s="146" t="e">
        <x:f>IF($A278="","",[1]!thsiFinD("ths_adjustment_nv_fund",F$3,$A278))</x:f>
        <x:v>#NAME?</x:v>
      </x:c>
      <x:c r="G278" s="146" t="e">
        <x:f>IF($A278="","",[1]!thsiFinD("ths_adjustment_nv_fund",G$3,$A278))</x:f>
        <x:v>#NAME?</x:v>
      </x:c>
      <x:c r="H278" s="146" t="e">
        <x:f>IF($A278="","",[1]!thsiFinD("ths_adjustment_nv_fund",H$3,$A278))</x:f>
        <x:v>#NAME?</x:v>
      </x:c>
      <x:c r="I278" s="146" t="e">
        <x:f>IF($A278="","",[1]!thsiFinD("ths_adjustment_nv_fund",I$3,$A278))</x:f>
        <x:v>#NAME?</x:v>
      </x:c>
      <x:c r="J278" s="146" t="e">
        <x:f>IF($A278="","",[1]!thsiFinD("ths_adjustment_nv_fund",J$3,$A278))</x:f>
        <x:v>#NAME?</x:v>
      </x:c>
      <x:c r="K278" s="146" t="e">
        <x:f>IF($A278="","",[1]!thsiFinD("ths_adjustment_nv_fund",K$3,$A278))</x:f>
        <x:v>#NAME?</x:v>
      </x:c>
      <x:c r="L278" s="146" t="e">
        <x:f>IF($A278="","",[1]!thsiFinD("ths_adjustment_nv_fund",L$3,$A278))</x:f>
        <x:v>#NAME?</x:v>
      </x:c>
      <x:c r="M278" s="146" t="e">
        <x:f>IF($A278="","",[1]!thsiFinD("ths_adjustment_nv_fund",M$3,$A278))</x:f>
        <x:v>#NAME?</x:v>
      </x:c>
      <x:c r="N278" s="146" t="e">
        <x:f>IF($A278="","",[1]!thsiFinD("ths_adjustment_nv_fund",N$3,$A278))</x:f>
        <x:v>#NAME?</x:v>
      </x:c>
      <x:c r="O278" s="146" t="e">
        <x:f>IF($A278="","",[1]!thsiFinD("ths_adjustment_nv_fund",O$3,$A278))</x:f>
        <x:v>#NAME?</x:v>
      </x:c>
      <x:c r="P278" s="146" t="e">
        <x:f>IF($A278="","",[1]!thsiFinD("ths_adjustment_nv_fund",P$3,$A278))</x:f>
        <x:v>#NAME?</x:v>
      </x:c>
      <x:c r="Q278" s="146" t="e">
        <x:f>IF($A278="","",[1]!thsiFinD("ths_adjustment_nv_fund",Q$3,$A278))</x:f>
        <x:v>#NAME?</x:v>
      </x:c>
      <x:c r="R278" s="146" t="e">
        <x:f>IF($A278="","",[1]!thsiFinD("ths_adjustment_nv_fund",R$3,$A278))</x:f>
        <x:v>#NAME?</x:v>
      </x:c>
      <x:c r="S278" s="146" t="e">
        <x:f>IF($A278="","",[1]!thsiFinD("ths_adjustment_nv_fund",S$3,$A278))</x:f>
        <x:v>#NAME?</x:v>
      </x:c>
      <x:c r="T278" s="146" t="e">
        <x:f>IF($A278="","",[1]!thsiFinD("ths_adjustment_nv_fund",T$3,$A278))</x:f>
        <x:v>#NAME?</x:v>
      </x:c>
      <x:c r="U278" s="146" t="e">
        <x:f>IF($A278="","",[1]!thsiFinD("ths_adjustment_nv_fund",U$3,$A278))</x:f>
        <x:v>#NAME?</x:v>
      </x:c>
      <x:c r="V278" s="146" t="e">
        <x:f>IF($A278="","",[1]!thsiFinD("ths_adjustment_nv_fund",V$3,$A278))</x:f>
        <x:v>#NAME?</x:v>
      </x:c>
      <x:c r="W278" s="146" t="e">
        <x:f>IF($A278="","",[1]!thsiFinD("ths_adjustment_nv_fund",W$3,$A278))</x:f>
        <x:v>#NAME?</x:v>
      </x:c>
      <x:c r="X278" s="146" t="e">
        <x:f>IF($A278="","",[1]!thsiFinD("ths_adjustment_nv_fund",X$3,$A278))</x:f>
        <x:v>#NAME?</x:v>
      </x:c>
      <x:c r="Y278" s="146" t="e">
        <x:f>IF($A278="","",[1]!thsiFinD("ths_adjustment_nv_fund",Y$3,$A278))</x:f>
        <x:v>#NAME?</x:v>
      </x:c>
      <x:c r="Z278" s="146" t="e">
        <x:f>IF($A278="","",[1]!thsiFinD("ths_adjustment_nv_fund",Z$3,$A278))</x:f>
        <x:v>#NAME?</x:v>
      </x:c>
      <x:c r="AA278" s="146" t="e">
        <x:f>IF($A278="","",[1]!thsiFinD("ths_adjustment_nv_fund",AA$3,$A278))</x:f>
        <x:v>#NAME?</x:v>
      </x:c>
    </x:row>
    <x:row r="279">
      <x:c r="B279" s="146" t="e">
        <x:f>IF($A279="","",[1]!thsiFinD("ths_adjustment_nv_fund",B$3,$A279))</x:f>
        <x:v>#NAME?</x:v>
      </x:c>
      <x:c r="C279" s="146" t="e">
        <x:f>IF($A279="","",[1]!thsiFinD("ths_adjustment_nv_fund",C$3,$A279))</x:f>
        <x:v>#NAME?</x:v>
      </x:c>
      <x:c r="D279" s="146" t="e">
        <x:f>IF($A279="","",[1]!thsiFinD("ths_adjustment_nv_fund",D$3,$A279))</x:f>
        <x:v>#NAME?</x:v>
      </x:c>
      <x:c r="E279" s="146" t="e">
        <x:f>IF($A279="","",[1]!thsiFinD("ths_adjustment_nv_fund",E$3,$A279))</x:f>
        <x:v>#NAME?</x:v>
      </x:c>
      <x:c r="F279" s="146" t="e">
        <x:f>IF($A279="","",[1]!thsiFinD("ths_adjustment_nv_fund",F$3,$A279))</x:f>
        <x:v>#NAME?</x:v>
      </x:c>
      <x:c r="G279" s="146" t="e">
        <x:f>IF($A279="","",[1]!thsiFinD("ths_adjustment_nv_fund",G$3,$A279))</x:f>
        <x:v>#NAME?</x:v>
      </x:c>
      <x:c r="H279" s="146" t="e">
        <x:f>IF($A279="","",[1]!thsiFinD("ths_adjustment_nv_fund",H$3,$A279))</x:f>
        <x:v>#NAME?</x:v>
      </x:c>
      <x:c r="I279" s="146" t="e">
        <x:f>IF($A279="","",[1]!thsiFinD("ths_adjustment_nv_fund",I$3,$A279))</x:f>
        <x:v>#NAME?</x:v>
      </x:c>
      <x:c r="J279" s="146" t="e">
        <x:f>IF($A279="","",[1]!thsiFinD("ths_adjustment_nv_fund",J$3,$A279))</x:f>
        <x:v>#NAME?</x:v>
      </x:c>
      <x:c r="K279" s="146" t="e">
        <x:f>IF($A279="","",[1]!thsiFinD("ths_adjustment_nv_fund",K$3,$A279))</x:f>
        <x:v>#NAME?</x:v>
      </x:c>
      <x:c r="L279" s="146" t="e">
        <x:f>IF($A279="","",[1]!thsiFinD("ths_adjustment_nv_fund",L$3,$A279))</x:f>
        <x:v>#NAME?</x:v>
      </x:c>
      <x:c r="M279" s="146" t="e">
        <x:f>IF($A279="","",[1]!thsiFinD("ths_adjustment_nv_fund",M$3,$A279))</x:f>
        <x:v>#NAME?</x:v>
      </x:c>
      <x:c r="N279" s="146" t="e">
        <x:f>IF($A279="","",[1]!thsiFinD("ths_adjustment_nv_fund",N$3,$A279))</x:f>
        <x:v>#NAME?</x:v>
      </x:c>
      <x:c r="O279" s="146" t="e">
        <x:f>IF($A279="","",[1]!thsiFinD("ths_adjustment_nv_fund",O$3,$A279))</x:f>
        <x:v>#NAME?</x:v>
      </x:c>
      <x:c r="P279" s="146" t="e">
        <x:f>IF($A279="","",[1]!thsiFinD("ths_adjustment_nv_fund",P$3,$A279))</x:f>
        <x:v>#NAME?</x:v>
      </x:c>
      <x:c r="Q279" s="146" t="e">
        <x:f>IF($A279="","",[1]!thsiFinD("ths_adjustment_nv_fund",Q$3,$A279))</x:f>
        <x:v>#NAME?</x:v>
      </x:c>
      <x:c r="R279" s="146" t="e">
        <x:f>IF($A279="","",[1]!thsiFinD("ths_adjustment_nv_fund",R$3,$A279))</x:f>
        <x:v>#NAME?</x:v>
      </x:c>
      <x:c r="S279" s="146" t="e">
        <x:f>IF($A279="","",[1]!thsiFinD("ths_adjustment_nv_fund",S$3,$A279))</x:f>
        <x:v>#NAME?</x:v>
      </x:c>
      <x:c r="T279" s="146" t="e">
        <x:f>IF($A279="","",[1]!thsiFinD("ths_adjustment_nv_fund",T$3,$A279))</x:f>
        <x:v>#NAME?</x:v>
      </x:c>
      <x:c r="U279" s="146" t="e">
        <x:f>IF($A279="","",[1]!thsiFinD("ths_adjustment_nv_fund",U$3,$A279))</x:f>
        <x:v>#NAME?</x:v>
      </x:c>
      <x:c r="V279" s="146" t="e">
        <x:f>IF($A279="","",[1]!thsiFinD("ths_adjustment_nv_fund",V$3,$A279))</x:f>
        <x:v>#NAME?</x:v>
      </x:c>
      <x:c r="W279" s="146" t="e">
        <x:f>IF($A279="","",[1]!thsiFinD("ths_adjustment_nv_fund",W$3,$A279))</x:f>
        <x:v>#NAME?</x:v>
      </x:c>
      <x:c r="X279" s="146" t="e">
        <x:f>IF($A279="","",[1]!thsiFinD("ths_adjustment_nv_fund",X$3,$A279))</x:f>
        <x:v>#NAME?</x:v>
      </x:c>
      <x:c r="Y279" s="146" t="e">
        <x:f>IF($A279="","",[1]!thsiFinD("ths_adjustment_nv_fund",Y$3,$A279))</x:f>
        <x:v>#NAME?</x:v>
      </x:c>
      <x:c r="Z279" s="146" t="e">
        <x:f>IF($A279="","",[1]!thsiFinD("ths_adjustment_nv_fund",Z$3,$A279))</x:f>
        <x:v>#NAME?</x:v>
      </x:c>
      <x:c r="AA279" s="146" t="e">
        <x:f>IF($A279="","",[1]!thsiFinD("ths_adjustment_nv_fund",AA$3,$A279))</x:f>
        <x:v>#NAME?</x:v>
      </x:c>
    </x:row>
    <x:row r="280">
      <x:c r="B280" s="146" t="e">
        <x:f>IF($A280="","",[1]!thsiFinD("ths_adjustment_nv_fund",B$3,$A280))</x:f>
        <x:v>#NAME?</x:v>
      </x:c>
      <x:c r="C280" s="146" t="e">
        <x:f>IF($A280="","",[1]!thsiFinD("ths_adjustment_nv_fund",C$3,$A280))</x:f>
        <x:v>#NAME?</x:v>
      </x:c>
      <x:c r="D280" s="146" t="e">
        <x:f>IF($A280="","",[1]!thsiFinD("ths_adjustment_nv_fund",D$3,$A280))</x:f>
        <x:v>#NAME?</x:v>
      </x:c>
      <x:c r="E280" s="146" t="e">
        <x:f>IF($A280="","",[1]!thsiFinD("ths_adjustment_nv_fund",E$3,$A280))</x:f>
        <x:v>#NAME?</x:v>
      </x:c>
      <x:c r="F280" s="146" t="e">
        <x:f>IF($A280="","",[1]!thsiFinD("ths_adjustment_nv_fund",F$3,$A280))</x:f>
        <x:v>#NAME?</x:v>
      </x:c>
      <x:c r="G280" s="146" t="e">
        <x:f>IF($A280="","",[1]!thsiFinD("ths_adjustment_nv_fund",G$3,$A280))</x:f>
        <x:v>#NAME?</x:v>
      </x:c>
      <x:c r="H280" s="146" t="e">
        <x:f>IF($A280="","",[1]!thsiFinD("ths_adjustment_nv_fund",H$3,$A280))</x:f>
        <x:v>#NAME?</x:v>
      </x:c>
      <x:c r="I280" s="146" t="e">
        <x:f>IF($A280="","",[1]!thsiFinD("ths_adjustment_nv_fund",I$3,$A280))</x:f>
        <x:v>#NAME?</x:v>
      </x:c>
      <x:c r="J280" s="146" t="e">
        <x:f>IF($A280="","",[1]!thsiFinD("ths_adjustment_nv_fund",J$3,$A280))</x:f>
        <x:v>#NAME?</x:v>
      </x:c>
      <x:c r="K280" s="146" t="e">
        <x:f>IF($A280="","",[1]!thsiFinD("ths_adjustment_nv_fund",K$3,$A280))</x:f>
        <x:v>#NAME?</x:v>
      </x:c>
      <x:c r="L280" s="146" t="e">
        <x:f>IF($A280="","",[1]!thsiFinD("ths_adjustment_nv_fund",L$3,$A280))</x:f>
        <x:v>#NAME?</x:v>
      </x:c>
      <x:c r="M280" s="146" t="e">
        <x:f>IF($A280="","",[1]!thsiFinD("ths_adjustment_nv_fund",M$3,$A280))</x:f>
        <x:v>#NAME?</x:v>
      </x:c>
      <x:c r="N280" s="146" t="e">
        <x:f>IF($A280="","",[1]!thsiFinD("ths_adjustment_nv_fund",N$3,$A280))</x:f>
        <x:v>#NAME?</x:v>
      </x:c>
      <x:c r="O280" s="146" t="e">
        <x:f>IF($A280="","",[1]!thsiFinD("ths_adjustment_nv_fund",O$3,$A280))</x:f>
        <x:v>#NAME?</x:v>
      </x:c>
      <x:c r="P280" s="146" t="e">
        <x:f>IF($A280="","",[1]!thsiFinD("ths_adjustment_nv_fund",P$3,$A280))</x:f>
        <x:v>#NAME?</x:v>
      </x:c>
      <x:c r="Q280" s="146" t="e">
        <x:f>IF($A280="","",[1]!thsiFinD("ths_adjustment_nv_fund",Q$3,$A280))</x:f>
        <x:v>#NAME?</x:v>
      </x:c>
      <x:c r="R280" s="146" t="e">
        <x:f>IF($A280="","",[1]!thsiFinD("ths_adjustment_nv_fund",R$3,$A280))</x:f>
        <x:v>#NAME?</x:v>
      </x:c>
      <x:c r="S280" s="146" t="e">
        <x:f>IF($A280="","",[1]!thsiFinD("ths_adjustment_nv_fund",S$3,$A280))</x:f>
        <x:v>#NAME?</x:v>
      </x:c>
      <x:c r="T280" s="146" t="e">
        <x:f>IF($A280="","",[1]!thsiFinD("ths_adjustment_nv_fund",T$3,$A280))</x:f>
        <x:v>#NAME?</x:v>
      </x:c>
      <x:c r="U280" s="146" t="e">
        <x:f>IF($A280="","",[1]!thsiFinD("ths_adjustment_nv_fund",U$3,$A280))</x:f>
        <x:v>#NAME?</x:v>
      </x:c>
      <x:c r="V280" s="146" t="e">
        <x:f>IF($A280="","",[1]!thsiFinD("ths_adjustment_nv_fund",V$3,$A280))</x:f>
        <x:v>#NAME?</x:v>
      </x:c>
      <x:c r="W280" s="146" t="e">
        <x:f>IF($A280="","",[1]!thsiFinD("ths_adjustment_nv_fund",W$3,$A280))</x:f>
        <x:v>#NAME?</x:v>
      </x:c>
      <x:c r="X280" s="146" t="e">
        <x:f>IF($A280="","",[1]!thsiFinD("ths_adjustment_nv_fund",X$3,$A280))</x:f>
        <x:v>#NAME?</x:v>
      </x:c>
      <x:c r="Y280" s="146" t="e">
        <x:f>IF($A280="","",[1]!thsiFinD("ths_adjustment_nv_fund",Y$3,$A280))</x:f>
        <x:v>#NAME?</x:v>
      </x:c>
      <x:c r="Z280" s="146" t="e">
        <x:f>IF($A280="","",[1]!thsiFinD("ths_adjustment_nv_fund",Z$3,$A280))</x:f>
        <x:v>#NAME?</x:v>
      </x:c>
      <x:c r="AA280" s="146" t="e">
        <x:f>IF($A280="","",[1]!thsiFinD("ths_adjustment_nv_fund",AA$3,$A280))</x:f>
        <x:v>#NAME?</x:v>
      </x:c>
    </x:row>
    <x:row r="281">
      <x:c r="B281" s="146" t="e">
        <x:f>IF($A281="","",[1]!thsiFinD("ths_adjustment_nv_fund",B$3,$A281))</x:f>
        <x:v>#NAME?</x:v>
      </x:c>
      <x:c r="C281" s="146" t="e">
        <x:f>IF($A281="","",[1]!thsiFinD("ths_adjustment_nv_fund",C$3,$A281))</x:f>
        <x:v>#NAME?</x:v>
      </x:c>
      <x:c r="D281" s="146" t="e">
        <x:f>IF($A281="","",[1]!thsiFinD("ths_adjustment_nv_fund",D$3,$A281))</x:f>
        <x:v>#NAME?</x:v>
      </x:c>
      <x:c r="E281" s="146" t="e">
        <x:f>IF($A281="","",[1]!thsiFinD("ths_adjustment_nv_fund",E$3,$A281))</x:f>
        <x:v>#NAME?</x:v>
      </x:c>
      <x:c r="F281" s="146" t="e">
        <x:f>IF($A281="","",[1]!thsiFinD("ths_adjustment_nv_fund",F$3,$A281))</x:f>
        <x:v>#NAME?</x:v>
      </x:c>
      <x:c r="G281" s="146" t="e">
        <x:f>IF($A281="","",[1]!thsiFinD("ths_adjustment_nv_fund",G$3,$A281))</x:f>
        <x:v>#NAME?</x:v>
      </x:c>
      <x:c r="H281" s="146" t="e">
        <x:f>IF($A281="","",[1]!thsiFinD("ths_adjustment_nv_fund",H$3,$A281))</x:f>
        <x:v>#NAME?</x:v>
      </x:c>
      <x:c r="I281" s="146" t="e">
        <x:f>IF($A281="","",[1]!thsiFinD("ths_adjustment_nv_fund",I$3,$A281))</x:f>
        <x:v>#NAME?</x:v>
      </x:c>
      <x:c r="J281" s="146" t="e">
        <x:f>IF($A281="","",[1]!thsiFinD("ths_adjustment_nv_fund",J$3,$A281))</x:f>
        <x:v>#NAME?</x:v>
      </x:c>
      <x:c r="K281" s="146" t="e">
        <x:f>IF($A281="","",[1]!thsiFinD("ths_adjustment_nv_fund",K$3,$A281))</x:f>
        <x:v>#NAME?</x:v>
      </x:c>
      <x:c r="L281" s="146" t="e">
        <x:f>IF($A281="","",[1]!thsiFinD("ths_adjustment_nv_fund",L$3,$A281))</x:f>
        <x:v>#NAME?</x:v>
      </x:c>
      <x:c r="M281" s="146" t="e">
        <x:f>IF($A281="","",[1]!thsiFinD("ths_adjustment_nv_fund",M$3,$A281))</x:f>
        <x:v>#NAME?</x:v>
      </x:c>
      <x:c r="N281" s="146" t="e">
        <x:f>IF($A281="","",[1]!thsiFinD("ths_adjustment_nv_fund",N$3,$A281))</x:f>
        <x:v>#NAME?</x:v>
      </x:c>
      <x:c r="O281" s="146" t="e">
        <x:f>IF($A281="","",[1]!thsiFinD("ths_adjustment_nv_fund",O$3,$A281))</x:f>
        <x:v>#NAME?</x:v>
      </x:c>
      <x:c r="P281" s="146" t="e">
        <x:f>IF($A281="","",[1]!thsiFinD("ths_adjustment_nv_fund",P$3,$A281))</x:f>
        <x:v>#NAME?</x:v>
      </x:c>
      <x:c r="Q281" s="146" t="e">
        <x:f>IF($A281="","",[1]!thsiFinD("ths_adjustment_nv_fund",Q$3,$A281))</x:f>
        <x:v>#NAME?</x:v>
      </x:c>
      <x:c r="R281" s="146" t="e">
        <x:f>IF($A281="","",[1]!thsiFinD("ths_adjustment_nv_fund",R$3,$A281))</x:f>
        <x:v>#NAME?</x:v>
      </x:c>
      <x:c r="S281" s="146" t="e">
        <x:f>IF($A281="","",[1]!thsiFinD("ths_adjustment_nv_fund",S$3,$A281))</x:f>
        <x:v>#NAME?</x:v>
      </x:c>
      <x:c r="T281" s="146" t="e">
        <x:f>IF($A281="","",[1]!thsiFinD("ths_adjustment_nv_fund",T$3,$A281))</x:f>
        <x:v>#NAME?</x:v>
      </x:c>
      <x:c r="U281" s="146" t="e">
        <x:f>IF($A281="","",[1]!thsiFinD("ths_adjustment_nv_fund",U$3,$A281))</x:f>
        <x:v>#NAME?</x:v>
      </x:c>
      <x:c r="V281" s="146" t="e">
        <x:f>IF($A281="","",[1]!thsiFinD("ths_adjustment_nv_fund",V$3,$A281))</x:f>
        <x:v>#NAME?</x:v>
      </x:c>
      <x:c r="W281" s="146" t="e">
        <x:f>IF($A281="","",[1]!thsiFinD("ths_adjustment_nv_fund",W$3,$A281))</x:f>
        <x:v>#NAME?</x:v>
      </x:c>
      <x:c r="X281" s="146" t="e">
        <x:f>IF($A281="","",[1]!thsiFinD("ths_adjustment_nv_fund",X$3,$A281))</x:f>
        <x:v>#NAME?</x:v>
      </x:c>
      <x:c r="Y281" s="146" t="e">
        <x:f>IF($A281="","",[1]!thsiFinD("ths_adjustment_nv_fund",Y$3,$A281))</x:f>
        <x:v>#NAME?</x:v>
      </x:c>
      <x:c r="Z281" s="146" t="e">
        <x:f>IF($A281="","",[1]!thsiFinD("ths_adjustment_nv_fund",Z$3,$A281))</x:f>
        <x:v>#NAME?</x:v>
      </x:c>
      <x:c r="AA281" s="146" t="e">
        <x:f>IF($A281="","",[1]!thsiFinD("ths_adjustment_nv_fund",AA$3,$A281))</x:f>
        <x:v>#NAME?</x:v>
      </x:c>
    </x:row>
    <x:row r="282">
      <x:c r="B282" s="146" t="e">
        <x:f>IF($A282="","",[1]!thsiFinD("ths_adjustment_nv_fund",B$3,$A282))</x:f>
        <x:v>#NAME?</x:v>
      </x:c>
      <x:c r="C282" s="146" t="e">
        <x:f>IF($A282="","",[1]!thsiFinD("ths_adjustment_nv_fund",C$3,$A282))</x:f>
        <x:v>#NAME?</x:v>
      </x:c>
      <x:c r="D282" s="146" t="e">
        <x:f>IF($A282="","",[1]!thsiFinD("ths_adjustment_nv_fund",D$3,$A282))</x:f>
        <x:v>#NAME?</x:v>
      </x:c>
      <x:c r="E282" s="146" t="e">
        <x:f>IF($A282="","",[1]!thsiFinD("ths_adjustment_nv_fund",E$3,$A282))</x:f>
        <x:v>#NAME?</x:v>
      </x:c>
      <x:c r="F282" s="146" t="e">
        <x:f>IF($A282="","",[1]!thsiFinD("ths_adjustment_nv_fund",F$3,$A282))</x:f>
        <x:v>#NAME?</x:v>
      </x:c>
      <x:c r="G282" s="146" t="e">
        <x:f>IF($A282="","",[1]!thsiFinD("ths_adjustment_nv_fund",G$3,$A282))</x:f>
        <x:v>#NAME?</x:v>
      </x:c>
      <x:c r="H282" s="146" t="e">
        <x:f>IF($A282="","",[1]!thsiFinD("ths_adjustment_nv_fund",H$3,$A282))</x:f>
        <x:v>#NAME?</x:v>
      </x:c>
      <x:c r="I282" s="146" t="e">
        <x:f>IF($A282="","",[1]!thsiFinD("ths_adjustment_nv_fund",I$3,$A282))</x:f>
        <x:v>#NAME?</x:v>
      </x:c>
      <x:c r="J282" s="146" t="e">
        <x:f>IF($A282="","",[1]!thsiFinD("ths_adjustment_nv_fund",J$3,$A282))</x:f>
        <x:v>#NAME?</x:v>
      </x:c>
      <x:c r="K282" s="146" t="e">
        <x:f>IF($A282="","",[1]!thsiFinD("ths_adjustment_nv_fund",K$3,$A282))</x:f>
        <x:v>#NAME?</x:v>
      </x:c>
      <x:c r="L282" s="146" t="e">
        <x:f>IF($A282="","",[1]!thsiFinD("ths_adjustment_nv_fund",L$3,$A282))</x:f>
        <x:v>#NAME?</x:v>
      </x:c>
      <x:c r="M282" s="146" t="e">
        <x:f>IF($A282="","",[1]!thsiFinD("ths_adjustment_nv_fund",M$3,$A282))</x:f>
        <x:v>#NAME?</x:v>
      </x:c>
      <x:c r="N282" s="146" t="e">
        <x:f>IF($A282="","",[1]!thsiFinD("ths_adjustment_nv_fund",N$3,$A282))</x:f>
        <x:v>#NAME?</x:v>
      </x:c>
      <x:c r="O282" s="146" t="e">
        <x:f>IF($A282="","",[1]!thsiFinD("ths_adjustment_nv_fund",O$3,$A282))</x:f>
        <x:v>#NAME?</x:v>
      </x:c>
      <x:c r="P282" s="146" t="e">
        <x:f>IF($A282="","",[1]!thsiFinD("ths_adjustment_nv_fund",P$3,$A282))</x:f>
        <x:v>#NAME?</x:v>
      </x:c>
      <x:c r="Q282" s="146" t="e">
        <x:f>IF($A282="","",[1]!thsiFinD("ths_adjustment_nv_fund",Q$3,$A282))</x:f>
        <x:v>#NAME?</x:v>
      </x:c>
      <x:c r="R282" s="146" t="e">
        <x:f>IF($A282="","",[1]!thsiFinD("ths_adjustment_nv_fund",R$3,$A282))</x:f>
        <x:v>#NAME?</x:v>
      </x:c>
      <x:c r="S282" s="146" t="e">
        <x:f>IF($A282="","",[1]!thsiFinD("ths_adjustment_nv_fund",S$3,$A282))</x:f>
        <x:v>#NAME?</x:v>
      </x:c>
      <x:c r="T282" s="146" t="e">
        <x:f>IF($A282="","",[1]!thsiFinD("ths_adjustment_nv_fund",T$3,$A282))</x:f>
        <x:v>#NAME?</x:v>
      </x:c>
      <x:c r="U282" s="146" t="e">
        <x:f>IF($A282="","",[1]!thsiFinD("ths_adjustment_nv_fund",U$3,$A282))</x:f>
        <x:v>#NAME?</x:v>
      </x:c>
      <x:c r="V282" s="146" t="e">
        <x:f>IF($A282="","",[1]!thsiFinD("ths_adjustment_nv_fund",V$3,$A282))</x:f>
        <x:v>#NAME?</x:v>
      </x:c>
      <x:c r="W282" s="146" t="e">
        <x:f>IF($A282="","",[1]!thsiFinD("ths_adjustment_nv_fund",W$3,$A282))</x:f>
        <x:v>#NAME?</x:v>
      </x:c>
      <x:c r="X282" s="146" t="e">
        <x:f>IF($A282="","",[1]!thsiFinD("ths_adjustment_nv_fund",X$3,$A282))</x:f>
        <x:v>#NAME?</x:v>
      </x:c>
      <x:c r="Y282" s="146" t="e">
        <x:f>IF($A282="","",[1]!thsiFinD("ths_adjustment_nv_fund",Y$3,$A282))</x:f>
        <x:v>#NAME?</x:v>
      </x:c>
      <x:c r="Z282" s="146" t="e">
        <x:f>IF($A282="","",[1]!thsiFinD("ths_adjustment_nv_fund",Z$3,$A282))</x:f>
        <x:v>#NAME?</x:v>
      </x:c>
      <x:c r="AA282" s="146" t="e">
        <x:f>IF($A282="","",[1]!thsiFinD("ths_adjustment_nv_fund",AA$3,$A282))</x:f>
        <x:v>#NAME?</x:v>
      </x:c>
    </x:row>
    <x:row r="283">
      <x:c r="B283" s="146" t="e">
        <x:f>IF($A283="","",[1]!thsiFinD("ths_adjustment_nv_fund",B$3,$A283))</x:f>
        <x:v>#NAME?</x:v>
      </x:c>
      <x:c r="C283" s="146" t="e">
        <x:f>IF($A283="","",[1]!thsiFinD("ths_adjustment_nv_fund",C$3,$A283))</x:f>
        <x:v>#NAME?</x:v>
      </x:c>
      <x:c r="D283" s="146" t="e">
        <x:f>IF($A283="","",[1]!thsiFinD("ths_adjustment_nv_fund",D$3,$A283))</x:f>
        <x:v>#NAME?</x:v>
      </x:c>
      <x:c r="E283" s="146" t="e">
        <x:f>IF($A283="","",[1]!thsiFinD("ths_adjustment_nv_fund",E$3,$A283))</x:f>
        <x:v>#NAME?</x:v>
      </x:c>
      <x:c r="F283" s="146" t="e">
        <x:f>IF($A283="","",[1]!thsiFinD("ths_adjustment_nv_fund",F$3,$A283))</x:f>
        <x:v>#NAME?</x:v>
      </x:c>
      <x:c r="G283" s="146" t="e">
        <x:f>IF($A283="","",[1]!thsiFinD("ths_adjustment_nv_fund",G$3,$A283))</x:f>
        <x:v>#NAME?</x:v>
      </x:c>
      <x:c r="H283" s="146" t="e">
        <x:f>IF($A283="","",[1]!thsiFinD("ths_adjustment_nv_fund",H$3,$A283))</x:f>
        <x:v>#NAME?</x:v>
      </x:c>
      <x:c r="I283" s="146" t="e">
        <x:f>IF($A283="","",[1]!thsiFinD("ths_adjustment_nv_fund",I$3,$A283))</x:f>
        <x:v>#NAME?</x:v>
      </x:c>
      <x:c r="J283" s="146" t="e">
        <x:f>IF($A283="","",[1]!thsiFinD("ths_adjustment_nv_fund",J$3,$A283))</x:f>
        <x:v>#NAME?</x:v>
      </x:c>
      <x:c r="K283" s="146" t="e">
        <x:f>IF($A283="","",[1]!thsiFinD("ths_adjustment_nv_fund",K$3,$A283))</x:f>
        <x:v>#NAME?</x:v>
      </x:c>
      <x:c r="L283" s="146" t="e">
        <x:f>IF($A283="","",[1]!thsiFinD("ths_adjustment_nv_fund",L$3,$A283))</x:f>
        <x:v>#NAME?</x:v>
      </x:c>
      <x:c r="M283" s="146" t="e">
        <x:f>IF($A283="","",[1]!thsiFinD("ths_adjustment_nv_fund",M$3,$A283))</x:f>
        <x:v>#NAME?</x:v>
      </x:c>
      <x:c r="N283" s="146" t="e">
        <x:f>IF($A283="","",[1]!thsiFinD("ths_adjustment_nv_fund",N$3,$A283))</x:f>
        <x:v>#NAME?</x:v>
      </x:c>
      <x:c r="O283" s="146" t="e">
        <x:f>IF($A283="","",[1]!thsiFinD("ths_adjustment_nv_fund",O$3,$A283))</x:f>
        <x:v>#NAME?</x:v>
      </x:c>
      <x:c r="P283" s="146" t="e">
        <x:f>IF($A283="","",[1]!thsiFinD("ths_adjustment_nv_fund",P$3,$A283))</x:f>
        <x:v>#NAME?</x:v>
      </x:c>
      <x:c r="Q283" s="146" t="e">
        <x:f>IF($A283="","",[1]!thsiFinD("ths_adjustment_nv_fund",Q$3,$A283))</x:f>
        <x:v>#NAME?</x:v>
      </x:c>
      <x:c r="R283" s="146" t="e">
        <x:f>IF($A283="","",[1]!thsiFinD("ths_adjustment_nv_fund",R$3,$A283))</x:f>
        <x:v>#NAME?</x:v>
      </x:c>
      <x:c r="S283" s="146" t="e">
        <x:f>IF($A283="","",[1]!thsiFinD("ths_adjustment_nv_fund",S$3,$A283))</x:f>
        <x:v>#NAME?</x:v>
      </x:c>
      <x:c r="T283" s="146" t="e">
        <x:f>IF($A283="","",[1]!thsiFinD("ths_adjustment_nv_fund",T$3,$A283))</x:f>
        <x:v>#NAME?</x:v>
      </x:c>
      <x:c r="U283" s="146" t="e">
        <x:f>IF($A283="","",[1]!thsiFinD("ths_adjustment_nv_fund",U$3,$A283))</x:f>
        <x:v>#NAME?</x:v>
      </x:c>
      <x:c r="V283" s="146" t="e">
        <x:f>IF($A283="","",[1]!thsiFinD("ths_adjustment_nv_fund",V$3,$A283))</x:f>
        <x:v>#NAME?</x:v>
      </x:c>
      <x:c r="W283" s="146" t="e">
        <x:f>IF($A283="","",[1]!thsiFinD("ths_adjustment_nv_fund",W$3,$A283))</x:f>
        <x:v>#NAME?</x:v>
      </x:c>
      <x:c r="X283" s="146" t="e">
        <x:f>IF($A283="","",[1]!thsiFinD("ths_adjustment_nv_fund",X$3,$A283))</x:f>
        <x:v>#NAME?</x:v>
      </x:c>
      <x:c r="Y283" s="146" t="e">
        <x:f>IF($A283="","",[1]!thsiFinD("ths_adjustment_nv_fund",Y$3,$A283))</x:f>
        <x:v>#NAME?</x:v>
      </x:c>
      <x:c r="Z283" s="146" t="e">
        <x:f>IF($A283="","",[1]!thsiFinD("ths_adjustment_nv_fund",Z$3,$A283))</x:f>
        <x:v>#NAME?</x:v>
      </x:c>
      <x:c r="AA283" s="146" t="e">
        <x:f>IF($A283="","",[1]!thsiFinD("ths_adjustment_nv_fund",AA$3,$A283))</x:f>
        <x:v>#NAME?</x:v>
      </x:c>
    </x:row>
    <x:row r="284">
      <x:c r="B284" s="146" t="e">
        <x:f>IF($A284="","",[1]!thsiFinD("ths_adjustment_nv_fund",B$3,$A284))</x:f>
        <x:v>#NAME?</x:v>
      </x:c>
      <x:c r="C284" s="146" t="e">
        <x:f>IF($A284="","",[1]!thsiFinD("ths_adjustment_nv_fund",C$3,$A284))</x:f>
        <x:v>#NAME?</x:v>
      </x:c>
      <x:c r="D284" s="146" t="e">
        <x:f>IF($A284="","",[1]!thsiFinD("ths_adjustment_nv_fund",D$3,$A284))</x:f>
        <x:v>#NAME?</x:v>
      </x:c>
      <x:c r="E284" s="146" t="e">
        <x:f>IF($A284="","",[1]!thsiFinD("ths_adjustment_nv_fund",E$3,$A284))</x:f>
        <x:v>#NAME?</x:v>
      </x:c>
      <x:c r="F284" s="146" t="e">
        <x:f>IF($A284="","",[1]!thsiFinD("ths_adjustment_nv_fund",F$3,$A284))</x:f>
        <x:v>#NAME?</x:v>
      </x:c>
      <x:c r="G284" s="146" t="e">
        <x:f>IF($A284="","",[1]!thsiFinD("ths_adjustment_nv_fund",G$3,$A284))</x:f>
        <x:v>#NAME?</x:v>
      </x:c>
      <x:c r="H284" s="146" t="e">
        <x:f>IF($A284="","",[1]!thsiFinD("ths_adjustment_nv_fund",H$3,$A284))</x:f>
        <x:v>#NAME?</x:v>
      </x:c>
      <x:c r="I284" s="146" t="e">
        <x:f>IF($A284="","",[1]!thsiFinD("ths_adjustment_nv_fund",I$3,$A284))</x:f>
        <x:v>#NAME?</x:v>
      </x:c>
      <x:c r="J284" s="146" t="e">
        <x:f>IF($A284="","",[1]!thsiFinD("ths_adjustment_nv_fund",J$3,$A284))</x:f>
        <x:v>#NAME?</x:v>
      </x:c>
      <x:c r="K284" s="146" t="e">
        <x:f>IF($A284="","",[1]!thsiFinD("ths_adjustment_nv_fund",K$3,$A284))</x:f>
        <x:v>#NAME?</x:v>
      </x:c>
      <x:c r="L284" s="146" t="e">
        <x:f>IF($A284="","",[1]!thsiFinD("ths_adjustment_nv_fund",L$3,$A284))</x:f>
        <x:v>#NAME?</x:v>
      </x:c>
      <x:c r="M284" s="146" t="e">
        <x:f>IF($A284="","",[1]!thsiFinD("ths_adjustment_nv_fund",M$3,$A284))</x:f>
        <x:v>#NAME?</x:v>
      </x:c>
      <x:c r="N284" s="146" t="e">
        <x:f>IF($A284="","",[1]!thsiFinD("ths_adjustment_nv_fund",N$3,$A284))</x:f>
        <x:v>#NAME?</x:v>
      </x:c>
      <x:c r="O284" s="146" t="e">
        <x:f>IF($A284="","",[1]!thsiFinD("ths_adjustment_nv_fund",O$3,$A284))</x:f>
        <x:v>#NAME?</x:v>
      </x:c>
      <x:c r="P284" s="146" t="e">
        <x:f>IF($A284="","",[1]!thsiFinD("ths_adjustment_nv_fund",P$3,$A284))</x:f>
        <x:v>#NAME?</x:v>
      </x:c>
      <x:c r="Q284" s="146" t="e">
        <x:f>IF($A284="","",[1]!thsiFinD("ths_adjustment_nv_fund",Q$3,$A284))</x:f>
        <x:v>#NAME?</x:v>
      </x:c>
      <x:c r="R284" s="146" t="e">
        <x:f>IF($A284="","",[1]!thsiFinD("ths_adjustment_nv_fund",R$3,$A284))</x:f>
        <x:v>#NAME?</x:v>
      </x:c>
      <x:c r="S284" s="146" t="e">
        <x:f>IF($A284="","",[1]!thsiFinD("ths_adjustment_nv_fund",S$3,$A284))</x:f>
        <x:v>#NAME?</x:v>
      </x:c>
      <x:c r="T284" s="146" t="e">
        <x:f>IF($A284="","",[1]!thsiFinD("ths_adjustment_nv_fund",T$3,$A284))</x:f>
        <x:v>#NAME?</x:v>
      </x:c>
      <x:c r="U284" s="146" t="e">
        <x:f>IF($A284="","",[1]!thsiFinD("ths_adjustment_nv_fund",U$3,$A284))</x:f>
        <x:v>#NAME?</x:v>
      </x:c>
      <x:c r="V284" s="146" t="e">
        <x:f>IF($A284="","",[1]!thsiFinD("ths_adjustment_nv_fund",V$3,$A284))</x:f>
        <x:v>#NAME?</x:v>
      </x:c>
      <x:c r="W284" s="146" t="e">
        <x:f>IF($A284="","",[1]!thsiFinD("ths_adjustment_nv_fund",W$3,$A284))</x:f>
        <x:v>#NAME?</x:v>
      </x:c>
      <x:c r="X284" s="146" t="e">
        <x:f>IF($A284="","",[1]!thsiFinD("ths_adjustment_nv_fund",X$3,$A284))</x:f>
        <x:v>#NAME?</x:v>
      </x:c>
      <x:c r="Y284" s="146" t="e">
        <x:f>IF($A284="","",[1]!thsiFinD("ths_adjustment_nv_fund",Y$3,$A284))</x:f>
        <x:v>#NAME?</x:v>
      </x:c>
      <x:c r="Z284" s="146" t="e">
        <x:f>IF($A284="","",[1]!thsiFinD("ths_adjustment_nv_fund",Z$3,$A284))</x:f>
        <x:v>#NAME?</x:v>
      </x:c>
      <x:c r="AA284" s="146" t="e">
        <x:f>IF($A284="","",[1]!thsiFinD("ths_adjustment_nv_fund",AA$3,$A284))</x:f>
        <x:v>#NAME?</x:v>
      </x:c>
    </x:row>
    <x:row r="285">
      <x:c r="B285" s="146" t="e">
        <x:f>IF($A285="","",[1]!thsiFinD("ths_adjustment_nv_fund",B$3,$A285))</x:f>
        <x:v>#NAME?</x:v>
      </x:c>
      <x:c r="C285" s="146" t="e">
        <x:f>IF($A285="","",[1]!thsiFinD("ths_adjustment_nv_fund",C$3,$A285))</x:f>
        <x:v>#NAME?</x:v>
      </x:c>
      <x:c r="D285" s="146" t="e">
        <x:f>IF($A285="","",[1]!thsiFinD("ths_adjustment_nv_fund",D$3,$A285))</x:f>
        <x:v>#NAME?</x:v>
      </x:c>
      <x:c r="E285" s="146" t="e">
        <x:f>IF($A285="","",[1]!thsiFinD("ths_adjustment_nv_fund",E$3,$A285))</x:f>
        <x:v>#NAME?</x:v>
      </x:c>
      <x:c r="F285" s="146" t="e">
        <x:f>IF($A285="","",[1]!thsiFinD("ths_adjustment_nv_fund",F$3,$A285))</x:f>
        <x:v>#NAME?</x:v>
      </x:c>
      <x:c r="G285" s="146" t="e">
        <x:f>IF($A285="","",[1]!thsiFinD("ths_adjustment_nv_fund",G$3,$A285))</x:f>
        <x:v>#NAME?</x:v>
      </x:c>
      <x:c r="H285" s="146" t="e">
        <x:f>IF($A285="","",[1]!thsiFinD("ths_adjustment_nv_fund",H$3,$A285))</x:f>
        <x:v>#NAME?</x:v>
      </x:c>
      <x:c r="I285" s="146" t="e">
        <x:f>IF($A285="","",[1]!thsiFinD("ths_adjustment_nv_fund",I$3,$A285))</x:f>
        <x:v>#NAME?</x:v>
      </x:c>
      <x:c r="J285" s="146" t="e">
        <x:f>IF($A285="","",[1]!thsiFinD("ths_adjustment_nv_fund",J$3,$A285))</x:f>
        <x:v>#NAME?</x:v>
      </x:c>
      <x:c r="K285" s="146" t="e">
        <x:f>IF($A285="","",[1]!thsiFinD("ths_adjustment_nv_fund",K$3,$A285))</x:f>
        <x:v>#NAME?</x:v>
      </x:c>
      <x:c r="L285" s="146" t="e">
        <x:f>IF($A285="","",[1]!thsiFinD("ths_adjustment_nv_fund",L$3,$A285))</x:f>
        <x:v>#NAME?</x:v>
      </x:c>
      <x:c r="M285" s="146" t="e">
        <x:f>IF($A285="","",[1]!thsiFinD("ths_adjustment_nv_fund",M$3,$A285))</x:f>
        <x:v>#NAME?</x:v>
      </x:c>
      <x:c r="N285" s="146" t="e">
        <x:f>IF($A285="","",[1]!thsiFinD("ths_adjustment_nv_fund",N$3,$A285))</x:f>
        <x:v>#NAME?</x:v>
      </x:c>
      <x:c r="O285" s="146" t="e">
        <x:f>IF($A285="","",[1]!thsiFinD("ths_adjustment_nv_fund",O$3,$A285))</x:f>
        <x:v>#NAME?</x:v>
      </x:c>
      <x:c r="P285" s="146" t="e">
        <x:f>IF($A285="","",[1]!thsiFinD("ths_adjustment_nv_fund",P$3,$A285))</x:f>
        <x:v>#NAME?</x:v>
      </x:c>
      <x:c r="Q285" s="146" t="e">
        <x:f>IF($A285="","",[1]!thsiFinD("ths_adjustment_nv_fund",Q$3,$A285))</x:f>
        <x:v>#NAME?</x:v>
      </x:c>
      <x:c r="R285" s="146" t="e">
        <x:f>IF($A285="","",[1]!thsiFinD("ths_adjustment_nv_fund",R$3,$A285))</x:f>
        <x:v>#NAME?</x:v>
      </x:c>
      <x:c r="S285" s="146" t="e">
        <x:f>IF($A285="","",[1]!thsiFinD("ths_adjustment_nv_fund",S$3,$A285))</x:f>
        <x:v>#NAME?</x:v>
      </x:c>
      <x:c r="T285" s="146" t="e">
        <x:f>IF($A285="","",[1]!thsiFinD("ths_adjustment_nv_fund",T$3,$A285))</x:f>
        <x:v>#NAME?</x:v>
      </x:c>
      <x:c r="U285" s="146" t="e">
        <x:f>IF($A285="","",[1]!thsiFinD("ths_adjustment_nv_fund",U$3,$A285))</x:f>
        <x:v>#NAME?</x:v>
      </x:c>
      <x:c r="V285" s="146" t="e">
        <x:f>IF($A285="","",[1]!thsiFinD("ths_adjustment_nv_fund",V$3,$A285))</x:f>
        <x:v>#NAME?</x:v>
      </x:c>
      <x:c r="W285" s="146" t="e">
        <x:f>IF($A285="","",[1]!thsiFinD("ths_adjustment_nv_fund",W$3,$A285))</x:f>
        <x:v>#NAME?</x:v>
      </x:c>
      <x:c r="X285" s="146" t="e">
        <x:f>IF($A285="","",[1]!thsiFinD("ths_adjustment_nv_fund",X$3,$A285))</x:f>
        <x:v>#NAME?</x:v>
      </x:c>
      <x:c r="Y285" s="146" t="e">
        <x:f>IF($A285="","",[1]!thsiFinD("ths_adjustment_nv_fund",Y$3,$A285))</x:f>
        <x:v>#NAME?</x:v>
      </x:c>
      <x:c r="Z285" s="146" t="e">
        <x:f>IF($A285="","",[1]!thsiFinD("ths_adjustment_nv_fund",Z$3,$A285))</x:f>
        <x:v>#NAME?</x:v>
      </x:c>
      <x:c r="AA285" s="146" t="e">
        <x:f>IF($A285="","",[1]!thsiFinD("ths_adjustment_nv_fund",AA$3,$A285))</x:f>
        <x:v>#NAME?</x:v>
      </x:c>
    </x:row>
    <x:row r="286">
      <x:c r="B286" s="146" t="e">
        <x:f>IF($A286="","",[1]!thsiFinD("ths_adjustment_nv_fund",B$3,$A286))</x:f>
        <x:v>#NAME?</x:v>
      </x:c>
      <x:c r="C286" s="146" t="e">
        <x:f>IF($A286="","",[1]!thsiFinD("ths_adjustment_nv_fund",C$3,$A286))</x:f>
        <x:v>#NAME?</x:v>
      </x:c>
      <x:c r="D286" s="146" t="e">
        <x:f>IF($A286="","",[1]!thsiFinD("ths_adjustment_nv_fund",D$3,$A286))</x:f>
        <x:v>#NAME?</x:v>
      </x:c>
      <x:c r="E286" s="146" t="e">
        <x:f>IF($A286="","",[1]!thsiFinD("ths_adjustment_nv_fund",E$3,$A286))</x:f>
        <x:v>#NAME?</x:v>
      </x:c>
      <x:c r="F286" s="146" t="e">
        <x:f>IF($A286="","",[1]!thsiFinD("ths_adjustment_nv_fund",F$3,$A286))</x:f>
        <x:v>#NAME?</x:v>
      </x:c>
      <x:c r="G286" s="146" t="e">
        <x:f>IF($A286="","",[1]!thsiFinD("ths_adjustment_nv_fund",G$3,$A286))</x:f>
        <x:v>#NAME?</x:v>
      </x:c>
      <x:c r="H286" s="146" t="e">
        <x:f>IF($A286="","",[1]!thsiFinD("ths_adjustment_nv_fund",H$3,$A286))</x:f>
        <x:v>#NAME?</x:v>
      </x:c>
      <x:c r="I286" s="146" t="e">
        <x:f>IF($A286="","",[1]!thsiFinD("ths_adjustment_nv_fund",I$3,$A286))</x:f>
        <x:v>#NAME?</x:v>
      </x:c>
      <x:c r="J286" s="146" t="e">
        <x:f>IF($A286="","",[1]!thsiFinD("ths_adjustment_nv_fund",J$3,$A286))</x:f>
        <x:v>#NAME?</x:v>
      </x:c>
      <x:c r="K286" s="146" t="e">
        <x:f>IF($A286="","",[1]!thsiFinD("ths_adjustment_nv_fund",K$3,$A286))</x:f>
        <x:v>#NAME?</x:v>
      </x:c>
      <x:c r="L286" s="146" t="e">
        <x:f>IF($A286="","",[1]!thsiFinD("ths_adjustment_nv_fund",L$3,$A286))</x:f>
        <x:v>#NAME?</x:v>
      </x:c>
      <x:c r="M286" s="146" t="e">
        <x:f>IF($A286="","",[1]!thsiFinD("ths_adjustment_nv_fund",M$3,$A286))</x:f>
        <x:v>#NAME?</x:v>
      </x:c>
      <x:c r="N286" s="146" t="e">
        <x:f>IF($A286="","",[1]!thsiFinD("ths_adjustment_nv_fund",N$3,$A286))</x:f>
        <x:v>#NAME?</x:v>
      </x:c>
      <x:c r="O286" s="146" t="e">
        <x:f>IF($A286="","",[1]!thsiFinD("ths_adjustment_nv_fund",O$3,$A286))</x:f>
        <x:v>#NAME?</x:v>
      </x:c>
      <x:c r="P286" s="146" t="e">
        <x:f>IF($A286="","",[1]!thsiFinD("ths_adjustment_nv_fund",P$3,$A286))</x:f>
        <x:v>#NAME?</x:v>
      </x:c>
      <x:c r="Q286" s="146" t="e">
        <x:f>IF($A286="","",[1]!thsiFinD("ths_adjustment_nv_fund",Q$3,$A286))</x:f>
        <x:v>#NAME?</x:v>
      </x:c>
      <x:c r="R286" s="146" t="e">
        <x:f>IF($A286="","",[1]!thsiFinD("ths_adjustment_nv_fund",R$3,$A286))</x:f>
        <x:v>#NAME?</x:v>
      </x:c>
      <x:c r="S286" s="146" t="e">
        <x:f>IF($A286="","",[1]!thsiFinD("ths_adjustment_nv_fund",S$3,$A286))</x:f>
        <x:v>#NAME?</x:v>
      </x:c>
      <x:c r="T286" s="146" t="e">
        <x:f>IF($A286="","",[1]!thsiFinD("ths_adjustment_nv_fund",T$3,$A286))</x:f>
        <x:v>#NAME?</x:v>
      </x:c>
      <x:c r="U286" s="146" t="e">
        <x:f>IF($A286="","",[1]!thsiFinD("ths_adjustment_nv_fund",U$3,$A286))</x:f>
        <x:v>#NAME?</x:v>
      </x:c>
      <x:c r="V286" s="146" t="e">
        <x:f>IF($A286="","",[1]!thsiFinD("ths_adjustment_nv_fund",V$3,$A286))</x:f>
        <x:v>#NAME?</x:v>
      </x:c>
      <x:c r="W286" s="146" t="e">
        <x:f>IF($A286="","",[1]!thsiFinD("ths_adjustment_nv_fund",W$3,$A286))</x:f>
        <x:v>#NAME?</x:v>
      </x:c>
      <x:c r="X286" s="146" t="e">
        <x:f>IF($A286="","",[1]!thsiFinD("ths_adjustment_nv_fund",X$3,$A286))</x:f>
        <x:v>#NAME?</x:v>
      </x:c>
      <x:c r="Y286" s="146" t="e">
        <x:f>IF($A286="","",[1]!thsiFinD("ths_adjustment_nv_fund",Y$3,$A286))</x:f>
        <x:v>#NAME?</x:v>
      </x:c>
      <x:c r="Z286" s="146" t="e">
        <x:f>IF($A286="","",[1]!thsiFinD("ths_adjustment_nv_fund",Z$3,$A286))</x:f>
        <x:v>#NAME?</x:v>
      </x:c>
      <x:c r="AA286" s="146" t="e">
        <x:f>IF($A286="","",[1]!thsiFinD("ths_adjustment_nv_fund",AA$3,$A286))</x:f>
        <x:v>#NAME?</x:v>
      </x:c>
    </x:row>
    <x:row r="287">
      <x:c r="B287" s="146" t="e">
        <x:f>IF($A287="","",[1]!thsiFinD("ths_adjustment_nv_fund",B$3,$A287))</x:f>
        <x:v>#NAME?</x:v>
      </x:c>
      <x:c r="C287" s="146" t="e">
        <x:f>IF($A287="","",[1]!thsiFinD("ths_adjustment_nv_fund",C$3,$A287))</x:f>
        <x:v>#NAME?</x:v>
      </x:c>
      <x:c r="D287" s="146" t="e">
        <x:f>IF($A287="","",[1]!thsiFinD("ths_adjustment_nv_fund",D$3,$A287))</x:f>
        <x:v>#NAME?</x:v>
      </x:c>
      <x:c r="E287" s="146" t="e">
        <x:f>IF($A287="","",[1]!thsiFinD("ths_adjustment_nv_fund",E$3,$A287))</x:f>
        <x:v>#NAME?</x:v>
      </x:c>
      <x:c r="F287" s="146" t="e">
        <x:f>IF($A287="","",[1]!thsiFinD("ths_adjustment_nv_fund",F$3,$A287))</x:f>
        <x:v>#NAME?</x:v>
      </x:c>
      <x:c r="G287" s="146" t="e">
        <x:f>IF($A287="","",[1]!thsiFinD("ths_adjustment_nv_fund",G$3,$A287))</x:f>
        <x:v>#NAME?</x:v>
      </x:c>
      <x:c r="H287" s="146" t="e">
        <x:f>IF($A287="","",[1]!thsiFinD("ths_adjustment_nv_fund",H$3,$A287))</x:f>
        <x:v>#NAME?</x:v>
      </x:c>
      <x:c r="I287" s="146" t="e">
        <x:f>IF($A287="","",[1]!thsiFinD("ths_adjustment_nv_fund",I$3,$A287))</x:f>
        <x:v>#NAME?</x:v>
      </x:c>
      <x:c r="J287" s="146" t="e">
        <x:f>IF($A287="","",[1]!thsiFinD("ths_adjustment_nv_fund",J$3,$A287))</x:f>
        <x:v>#NAME?</x:v>
      </x:c>
      <x:c r="K287" s="146" t="e">
        <x:f>IF($A287="","",[1]!thsiFinD("ths_adjustment_nv_fund",K$3,$A287))</x:f>
        <x:v>#NAME?</x:v>
      </x:c>
      <x:c r="L287" s="146" t="e">
        <x:f>IF($A287="","",[1]!thsiFinD("ths_adjustment_nv_fund",L$3,$A287))</x:f>
        <x:v>#NAME?</x:v>
      </x:c>
      <x:c r="M287" s="146" t="e">
        <x:f>IF($A287="","",[1]!thsiFinD("ths_adjustment_nv_fund",M$3,$A287))</x:f>
        <x:v>#NAME?</x:v>
      </x:c>
      <x:c r="N287" s="146" t="e">
        <x:f>IF($A287="","",[1]!thsiFinD("ths_adjustment_nv_fund",N$3,$A287))</x:f>
        <x:v>#NAME?</x:v>
      </x:c>
      <x:c r="O287" s="146" t="e">
        <x:f>IF($A287="","",[1]!thsiFinD("ths_adjustment_nv_fund",O$3,$A287))</x:f>
        <x:v>#NAME?</x:v>
      </x:c>
      <x:c r="P287" s="146" t="e">
        <x:f>IF($A287="","",[1]!thsiFinD("ths_adjustment_nv_fund",P$3,$A287))</x:f>
        <x:v>#NAME?</x:v>
      </x:c>
      <x:c r="Q287" s="146" t="e">
        <x:f>IF($A287="","",[1]!thsiFinD("ths_adjustment_nv_fund",Q$3,$A287))</x:f>
        <x:v>#NAME?</x:v>
      </x:c>
      <x:c r="R287" s="146" t="e">
        <x:f>IF($A287="","",[1]!thsiFinD("ths_adjustment_nv_fund",R$3,$A287))</x:f>
        <x:v>#NAME?</x:v>
      </x:c>
      <x:c r="S287" s="146" t="e">
        <x:f>IF($A287="","",[1]!thsiFinD("ths_adjustment_nv_fund",S$3,$A287))</x:f>
        <x:v>#NAME?</x:v>
      </x:c>
      <x:c r="T287" s="146" t="e">
        <x:f>IF($A287="","",[1]!thsiFinD("ths_adjustment_nv_fund",T$3,$A287))</x:f>
        <x:v>#NAME?</x:v>
      </x:c>
      <x:c r="U287" s="146" t="e">
        <x:f>IF($A287="","",[1]!thsiFinD("ths_adjustment_nv_fund",U$3,$A287))</x:f>
        <x:v>#NAME?</x:v>
      </x:c>
      <x:c r="V287" s="146" t="e">
        <x:f>IF($A287="","",[1]!thsiFinD("ths_adjustment_nv_fund",V$3,$A287))</x:f>
        <x:v>#NAME?</x:v>
      </x:c>
      <x:c r="W287" s="146" t="e">
        <x:f>IF($A287="","",[1]!thsiFinD("ths_adjustment_nv_fund",W$3,$A287))</x:f>
        <x:v>#NAME?</x:v>
      </x:c>
      <x:c r="X287" s="146" t="e">
        <x:f>IF($A287="","",[1]!thsiFinD("ths_adjustment_nv_fund",X$3,$A287))</x:f>
        <x:v>#NAME?</x:v>
      </x:c>
      <x:c r="Y287" s="146" t="e">
        <x:f>IF($A287="","",[1]!thsiFinD("ths_adjustment_nv_fund",Y$3,$A287))</x:f>
        <x:v>#NAME?</x:v>
      </x:c>
      <x:c r="Z287" s="146" t="e">
        <x:f>IF($A287="","",[1]!thsiFinD("ths_adjustment_nv_fund",Z$3,$A287))</x:f>
        <x:v>#NAME?</x:v>
      </x:c>
      <x:c r="AA287" s="146" t="e">
        <x:f>IF($A287="","",[1]!thsiFinD("ths_adjustment_nv_fund",AA$3,$A287))</x:f>
        <x:v>#NAME?</x:v>
      </x:c>
    </x:row>
    <x:row r="288">
      <x:c r="B288" s="146" t="e">
        <x:f>IF($A288="","",[1]!thsiFinD("ths_adjustment_nv_fund",B$3,$A288))</x:f>
        <x:v>#NAME?</x:v>
      </x:c>
      <x:c r="C288" s="146" t="e">
        <x:f>IF($A288="","",[1]!thsiFinD("ths_adjustment_nv_fund",C$3,$A288))</x:f>
        <x:v>#NAME?</x:v>
      </x:c>
      <x:c r="D288" s="146" t="e">
        <x:f>IF($A288="","",[1]!thsiFinD("ths_adjustment_nv_fund",D$3,$A288))</x:f>
        <x:v>#NAME?</x:v>
      </x:c>
      <x:c r="E288" s="146" t="e">
        <x:f>IF($A288="","",[1]!thsiFinD("ths_adjustment_nv_fund",E$3,$A288))</x:f>
        <x:v>#NAME?</x:v>
      </x:c>
      <x:c r="F288" s="146" t="e">
        <x:f>IF($A288="","",[1]!thsiFinD("ths_adjustment_nv_fund",F$3,$A288))</x:f>
        <x:v>#NAME?</x:v>
      </x:c>
      <x:c r="G288" s="146" t="e">
        <x:f>IF($A288="","",[1]!thsiFinD("ths_adjustment_nv_fund",G$3,$A288))</x:f>
        <x:v>#NAME?</x:v>
      </x:c>
      <x:c r="H288" s="146" t="e">
        <x:f>IF($A288="","",[1]!thsiFinD("ths_adjustment_nv_fund",H$3,$A288))</x:f>
        <x:v>#NAME?</x:v>
      </x:c>
      <x:c r="I288" s="146" t="e">
        <x:f>IF($A288="","",[1]!thsiFinD("ths_adjustment_nv_fund",I$3,$A288))</x:f>
        <x:v>#NAME?</x:v>
      </x:c>
      <x:c r="J288" s="146" t="e">
        <x:f>IF($A288="","",[1]!thsiFinD("ths_adjustment_nv_fund",J$3,$A288))</x:f>
        <x:v>#NAME?</x:v>
      </x:c>
      <x:c r="K288" s="146" t="e">
        <x:f>IF($A288="","",[1]!thsiFinD("ths_adjustment_nv_fund",K$3,$A288))</x:f>
        <x:v>#NAME?</x:v>
      </x:c>
      <x:c r="L288" s="146" t="e">
        <x:f>IF($A288="","",[1]!thsiFinD("ths_adjustment_nv_fund",L$3,$A288))</x:f>
        <x:v>#NAME?</x:v>
      </x:c>
      <x:c r="M288" s="146" t="e">
        <x:f>IF($A288="","",[1]!thsiFinD("ths_adjustment_nv_fund",M$3,$A288))</x:f>
        <x:v>#NAME?</x:v>
      </x:c>
      <x:c r="N288" s="146" t="e">
        <x:f>IF($A288="","",[1]!thsiFinD("ths_adjustment_nv_fund",N$3,$A288))</x:f>
        <x:v>#NAME?</x:v>
      </x:c>
      <x:c r="O288" s="146" t="e">
        <x:f>IF($A288="","",[1]!thsiFinD("ths_adjustment_nv_fund",O$3,$A288))</x:f>
        <x:v>#NAME?</x:v>
      </x:c>
      <x:c r="P288" s="146" t="e">
        <x:f>IF($A288="","",[1]!thsiFinD("ths_adjustment_nv_fund",P$3,$A288))</x:f>
        <x:v>#NAME?</x:v>
      </x:c>
      <x:c r="Q288" s="146" t="e">
        <x:f>IF($A288="","",[1]!thsiFinD("ths_adjustment_nv_fund",Q$3,$A288))</x:f>
        <x:v>#NAME?</x:v>
      </x:c>
      <x:c r="R288" s="146" t="e">
        <x:f>IF($A288="","",[1]!thsiFinD("ths_adjustment_nv_fund",R$3,$A288))</x:f>
        <x:v>#NAME?</x:v>
      </x:c>
      <x:c r="S288" s="146" t="e">
        <x:f>IF($A288="","",[1]!thsiFinD("ths_adjustment_nv_fund",S$3,$A288))</x:f>
        <x:v>#NAME?</x:v>
      </x:c>
      <x:c r="T288" s="146" t="e">
        <x:f>IF($A288="","",[1]!thsiFinD("ths_adjustment_nv_fund",T$3,$A288))</x:f>
        <x:v>#NAME?</x:v>
      </x:c>
      <x:c r="U288" s="146" t="e">
        <x:f>IF($A288="","",[1]!thsiFinD("ths_adjustment_nv_fund",U$3,$A288))</x:f>
        <x:v>#NAME?</x:v>
      </x:c>
      <x:c r="V288" s="146" t="e">
        <x:f>IF($A288="","",[1]!thsiFinD("ths_adjustment_nv_fund",V$3,$A288))</x:f>
        <x:v>#NAME?</x:v>
      </x:c>
      <x:c r="W288" s="146" t="e">
        <x:f>IF($A288="","",[1]!thsiFinD("ths_adjustment_nv_fund",W$3,$A288))</x:f>
        <x:v>#NAME?</x:v>
      </x:c>
      <x:c r="X288" s="146" t="e">
        <x:f>IF($A288="","",[1]!thsiFinD("ths_adjustment_nv_fund",X$3,$A288))</x:f>
        <x:v>#NAME?</x:v>
      </x:c>
      <x:c r="Y288" s="146" t="e">
        <x:f>IF($A288="","",[1]!thsiFinD("ths_adjustment_nv_fund",Y$3,$A288))</x:f>
        <x:v>#NAME?</x:v>
      </x:c>
      <x:c r="Z288" s="146" t="e">
        <x:f>IF($A288="","",[1]!thsiFinD("ths_adjustment_nv_fund",Z$3,$A288))</x:f>
        <x:v>#NAME?</x:v>
      </x:c>
      <x:c r="AA288" s="146" t="e">
        <x:f>IF($A288="","",[1]!thsiFinD("ths_adjustment_nv_fund",AA$3,$A288))</x:f>
        <x:v>#NAME?</x:v>
      </x:c>
    </x:row>
    <x:row r="289">
      <x:c r="B289" s="146" t="e">
        <x:f>IF($A289="","",[1]!thsiFinD("ths_adjustment_nv_fund",B$3,$A289))</x:f>
        <x:v>#NAME?</x:v>
      </x:c>
      <x:c r="C289" s="146" t="e">
        <x:f>IF($A289="","",[1]!thsiFinD("ths_adjustment_nv_fund",C$3,$A289))</x:f>
        <x:v>#NAME?</x:v>
      </x:c>
      <x:c r="D289" s="146" t="e">
        <x:f>IF($A289="","",[1]!thsiFinD("ths_adjustment_nv_fund",D$3,$A289))</x:f>
        <x:v>#NAME?</x:v>
      </x:c>
      <x:c r="E289" s="146" t="e">
        <x:f>IF($A289="","",[1]!thsiFinD("ths_adjustment_nv_fund",E$3,$A289))</x:f>
        <x:v>#NAME?</x:v>
      </x:c>
      <x:c r="F289" s="146" t="e">
        <x:f>IF($A289="","",[1]!thsiFinD("ths_adjustment_nv_fund",F$3,$A289))</x:f>
        <x:v>#NAME?</x:v>
      </x:c>
      <x:c r="G289" s="146" t="e">
        <x:f>IF($A289="","",[1]!thsiFinD("ths_adjustment_nv_fund",G$3,$A289))</x:f>
        <x:v>#NAME?</x:v>
      </x:c>
      <x:c r="H289" s="146" t="e">
        <x:f>IF($A289="","",[1]!thsiFinD("ths_adjustment_nv_fund",H$3,$A289))</x:f>
        <x:v>#NAME?</x:v>
      </x:c>
      <x:c r="I289" s="146" t="e">
        <x:f>IF($A289="","",[1]!thsiFinD("ths_adjustment_nv_fund",I$3,$A289))</x:f>
        <x:v>#NAME?</x:v>
      </x:c>
      <x:c r="J289" s="146" t="e">
        <x:f>IF($A289="","",[1]!thsiFinD("ths_adjustment_nv_fund",J$3,$A289))</x:f>
        <x:v>#NAME?</x:v>
      </x:c>
      <x:c r="K289" s="146" t="e">
        <x:f>IF($A289="","",[1]!thsiFinD("ths_adjustment_nv_fund",K$3,$A289))</x:f>
        <x:v>#NAME?</x:v>
      </x:c>
      <x:c r="L289" s="146" t="e">
        <x:f>IF($A289="","",[1]!thsiFinD("ths_adjustment_nv_fund",L$3,$A289))</x:f>
        <x:v>#NAME?</x:v>
      </x:c>
      <x:c r="M289" s="146" t="e">
        <x:f>IF($A289="","",[1]!thsiFinD("ths_adjustment_nv_fund",M$3,$A289))</x:f>
        <x:v>#NAME?</x:v>
      </x:c>
      <x:c r="N289" s="146" t="e">
        <x:f>IF($A289="","",[1]!thsiFinD("ths_adjustment_nv_fund",N$3,$A289))</x:f>
        <x:v>#NAME?</x:v>
      </x:c>
      <x:c r="O289" s="146" t="e">
        <x:f>IF($A289="","",[1]!thsiFinD("ths_adjustment_nv_fund",O$3,$A289))</x:f>
        <x:v>#NAME?</x:v>
      </x:c>
      <x:c r="P289" s="146" t="e">
        <x:f>IF($A289="","",[1]!thsiFinD("ths_adjustment_nv_fund",P$3,$A289))</x:f>
        <x:v>#NAME?</x:v>
      </x:c>
      <x:c r="Q289" s="146" t="e">
        <x:f>IF($A289="","",[1]!thsiFinD("ths_adjustment_nv_fund",Q$3,$A289))</x:f>
        <x:v>#NAME?</x:v>
      </x:c>
      <x:c r="R289" s="146" t="e">
        <x:f>IF($A289="","",[1]!thsiFinD("ths_adjustment_nv_fund",R$3,$A289))</x:f>
        <x:v>#NAME?</x:v>
      </x:c>
      <x:c r="S289" s="146" t="e">
        <x:f>IF($A289="","",[1]!thsiFinD("ths_adjustment_nv_fund",S$3,$A289))</x:f>
        <x:v>#NAME?</x:v>
      </x:c>
      <x:c r="T289" s="146" t="e">
        <x:f>IF($A289="","",[1]!thsiFinD("ths_adjustment_nv_fund",T$3,$A289))</x:f>
        <x:v>#NAME?</x:v>
      </x:c>
      <x:c r="U289" s="146" t="e">
        <x:f>IF($A289="","",[1]!thsiFinD("ths_adjustment_nv_fund",U$3,$A289))</x:f>
        <x:v>#NAME?</x:v>
      </x:c>
      <x:c r="V289" s="146" t="e">
        <x:f>IF($A289="","",[1]!thsiFinD("ths_adjustment_nv_fund",V$3,$A289))</x:f>
        <x:v>#NAME?</x:v>
      </x:c>
      <x:c r="W289" s="146" t="e">
        <x:f>IF($A289="","",[1]!thsiFinD("ths_adjustment_nv_fund",W$3,$A289))</x:f>
        <x:v>#NAME?</x:v>
      </x:c>
      <x:c r="X289" s="146" t="e">
        <x:f>IF($A289="","",[1]!thsiFinD("ths_adjustment_nv_fund",X$3,$A289))</x:f>
        <x:v>#NAME?</x:v>
      </x:c>
      <x:c r="Y289" s="146" t="e">
        <x:f>IF($A289="","",[1]!thsiFinD("ths_adjustment_nv_fund",Y$3,$A289))</x:f>
        <x:v>#NAME?</x:v>
      </x:c>
      <x:c r="Z289" s="146" t="e">
        <x:f>IF($A289="","",[1]!thsiFinD("ths_adjustment_nv_fund",Z$3,$A289))</x:f>
        <x:v>#NAME?</x:v>
      </x:c>
      <x:c r="AA289" s="146" t="e">
        <x:f>IF($A289="","",[1]!thsiFinD("ths_adjustment_nv_fund",AA$3,$A289))</x:f>
        <x:v>#NAME?</x:v>
      </x:c>
    </x:row>
    <x:row r="290">
      <x:c r="B290" s="146" t="e">
        <x:f>IF($A290="","",[1]!thsiFinD("ths_adjustment_nv_fund",B$3,$A290))</x:f>
        <x:v>#NAME?</x:v>
      </x:c>
      <x:c r="C290" s="146" t="e">
        <x:f>IF($A290="","",[1]!thsiFinD("ths_adjustment_nv_fund",C$3,$A290))</x:f>
        <x:v>#NAME?</x:v>
      </x:c>
      <x:c r="D290" s="146" t="e">
        <x:f>IF($A290="","",[1]!thsiFinD("ths_adjustment_nv_fund",D$3,$A290))</x:f>
        <x:v>#NAME?</x:v>
      </x:c>
      <x:c r="E290" s="146" t="e">
        <x:f>IF($A290="","",[1]!thsiFinD("ths_adjustment_nv_fund",E$3,$A290))</x:f>
        <x:v>#NAME?</x:v>
      </x:c>
      <x:c r="F290" s="146" t="e">
        <x:f>IF($A290="","",[1]!thsiFinD("ths_adjustment_nv_fund",F$3,$A290))</x:f>
        <x:v>#NAME?</x:v>
      </x:c>
      <x:c r="G290" s="146" t="e">
        <x:f>IF($A290="","",[1]!thsiFinD("ths_adjustment_nv_fund",G$3,$A290))</x:f>
        <x:v>#NAME?</x:v>
      </x:c>
      <x:c r="H290" s="146" t="e">
        <x:f>IF($A290="","",[1]!thsiFinD("ths_adjustment_nv_fund",H$3,$A290))</x:f>
        <x:v>#NAME?</x:v>
      </x:c>
      <x:c r="I290" s="146" t="e">
        <x:f>IF($A290="","",[1]!thsiFinD("ths_adjustment_nv_fund",I$3,$A290))</x:f>
        <x:v>#NAME?</x:v>
      </x:c>
      <x:c r="J290" s="146" t="e">
        <x:f>IF($A290="","",[1]!thsiFinD("ths_adjustment_nv_fund",J$3,$A290))</x:f>
        <x:v>#NAME?</x:v>
      </x:c>
      <x:c r="K290" s="146" t="e">
        <x:f>IF($A290="","",[1]!thsiFinD("ths_adjustment_nv_fund",K$3,$A290))</x:f>
        <x:v>#NAME?</x:v>
      </x:c>
      <x:c r="L290" s="146" t="e">
        <x:f>IF($A290="","",[1]!thsiFinD("ths_adjustment_nv_fund",L$3,$A290))</x:f>
        <x:v>#NAME?</x:v>
      </x:c>
      <x:c r="M290" s="146" t="e">
        <x:f>IF($A290="","",[1]!thsiFinD("ths_adjustment_nv_fund",M$3,$A290))</x:f>
        <x:v>#NAME?</x:v>
      </x:c>
      <x:c r="N290" s="146" t="e">
        <x:f>IF($A290="","",[1]!thsiFinD("ths_adjustment_nv_fund",N$3,$A290))</x:f>
        <x:v>#NAME?</x:v>
      </x:c>
      <x:c r="O290" s="146" t="e">
        <x:f>IF($A290="","",[1]!thsiFinD("ths_adjustment_nv_fund",O$3,$A290))</x:f>
        <x:v>#NAME?</x:v>
      </x:c>
      <x:c r="P290" s="146" t="e">
        <x:f>IF($A290="","",[1]!thsiFinD("ths_adjustment_nv_fund",P$3,$A290))</x:f>
        <x:v>#NAME?</x:v>
      </x:c>
      <x:c r="Q290" s="146" t="e">
        <x:f>IF($A290="","",[1]!thsiFinD("ths_adjustment_nv_fund",Q$3,$A290))</x:f>
        <x:v>#NAME?</x:v>
      </x:c>
      <x:c r="R290" s="146" t="e">
        <x:f>IF($A290="","",[1]!thsiFinD("ths_adjustment_nv_fund",R$3,$A290))</x:f>
        <x:v>#NAME?</x:v>
      </x:c>
      <x:c r="S290" s="146" t="e">
        <x:f>IF($A290="","",[1]!thsiFinD("ths_adjustment_nv_fund",S$3,$A290))</x:f>
        <x:v>#NAME?</x:v>
      </x:c>
      <x:c r="T290" s="146" t="e">
        <x:f>IF($A290="","",[1]!thsiFinD("ths_adjustment_nv_fund",T$3,$A290))</x:f>
        <x:v>#NAME?</x:v>
      </x:c>
      <x:c r="U290" s="146" t="e">
        <x:f>IF($A290="","",[1]!thsiFinD("ths_adjustment_nv_fund",U$3,$A290))</x:f>
        <x:v>#NAME?</x:v>
      </x:c>
      <x:c r="V290" s="146" t="e">
        <x:f>IF($A290="","",[1]!thsiFinD("ths_adjustment_nv_fund",V$3,$A290))</x:f>
        <x:v>#NAME?</x:v>
      </x:c>
      <x:c r="W290" s="146" t="e">
        <x:f>IF($A290="","",[1]!thsiFinD("ths_adjustment_nv_fund",W$3,$A290))</x:f>
        <x:v>#NAME?</x:v>
      </x:c>
      <x:c r="X290" s="146" t="e">
        <x:f>IF($A290="","",[1]!thsiFinD("ths_adjustment_nv_fund",X$3,$A290))</x:f>
        <x:v>#NAME?</x:v>
      </x:c>
      <x:c r="Y290" s="146" t="e">
        <x:f>IF($A290="","",[1]!thsiFinD("ths_adjustment_nv_fund",Y$3,$A290))</x:f>
        <x:v>#NAME?</x:v>
      </x:c>
      <x:c r="Z290" s="146" t="e">
        <x:f>IF($A290="","",[1]!thsiFinD("ths_adjustment_nv_fund",Z$3,$A290))</x:f>
        <x:v>#NAME?</x:v>
      </x:c>
      <x:c r="AA290" s="146" t="e">
        <x:f>IF($A290="","",[1]!thsiFinD("ths_adjustment_nv_fund",AA$3,$A290))</x:f>
        <x:v>#NAME?</x:v>
      </x:c>
    </x:row>
    <x:row r="291">
      <x:c r="B291" s="146" t="e">
        <x:f>IF($A291="","",[1]!thsiFinD("ths_adjustment_nv_fund",B$3,$A291))</x:f>
        <x:v>#NAME?</x:v>
      </x:c>
      <x:c r="C291" s="146" t="e">
        <x:f>IF($A291="","",[1]!thsiFinD("ths_adjustment_nv_fund",C$3,$A291))</x:f>
        <x:v>#NAME?</x:v>
      </x:c>
      <x:c r="D291" s="146" t="e">
        <x:f>IF($A291="","",[1]!thsiFinD("ths_adjustment_nv_fund",D$3,$A291))</x:f>
        <x:v>#NAME?</x:v>
      </x:c>
      <x:c r="E291" s="146" t="e">
        <x:f>IF($A291="","",[1]!thsiFinD("ths_adjustment_nv_fund",E$3,$A291))</x:f>
        <x:v>#NAME?</x:v>
      </x:c>
      <x:c r="F291" s="146" t="e">
        <x:f>IF($A291="","",[1]!thsiFinD("ths_adjustment_nv_fund",F$3,$A291))</x:f>
        <x:v>#NAME?</x:v>
      </x:c>
      <x:c r="G291" s="146" t="e">
        <x:f>IF($A291="","",[1]!thsiFinD("ths_adjustment_nv_fund",G$3,$A291))</x:f>
        <x:v>#NAME?</x:v>
      </x:c>
      <x:c r="H291" s="146" t="e">
        <x:f>IF($A291="","",[1]!thsiFinD("ths_adjustment_nv_fund",H$3,$A291))</x:f>
        <x:v>#NAME?</x:v>
      </x:c>
      <x:c r="I291" s="146" t="e">
        <x:f>IF($A291="","",[1]!thsiFinD("ths_adjustment_nv_fund",I$3,$A291))</x:f>
        <x:v>#NAME?</x:v>
      </x:c>
      <x:c r="J291" s="146" t="e">
        <x:f>IF($A291="","",[1]!thsiFinD("ths_adjustment_nv_fund",J$3,$A291))</x:f>
        <x:v>#NAME?</x:v>
      </x:c>
      <x:c r="K291" s="146" t="e">
        <x:f>IF($A291="","",[1]!thsiFinD("ths_adjustment_nv_fund",K$3,$A291))</x:f>
        <x:v>#NAME?</x:v>
      </x:c>
      <x:c r="L291" s="146" t="e">
        <x:f>IF($A291="","",[1]!thsiFinD("ths_adjustment_nv_fund",L$3,$A291))</x:f>
        <x:v>#NAME?</x:v>
      </x:c>
      <x:c r="M291" s="146" t="e">
        <x:f>IF($A291="","",[1]!thsiFinD("ths_adjustment_nv_fund",M$3,$A291))</x:f>
        <x:v>#NAME?</x:v>
      </x:c>
      <x:c r="N291" s="146" t="e">
        <x:f>IF($A291="","",[1]!thsiFinD("ths_adjustment_nv_fund",N$3,$A291))</x:f>
        <x:v>#NAME?</x:v>
      </x:c>
      <x:c r="O291" s="146" t="e">
        <x:f>IF($A291="","",[1]!thsiFinD("ths_adjustment_nv_fund",O$3,$A291))</x:f>
        <x:v>#NAME?</x:v>
      </x:c>
      <x:c r="P291" s="146" t="e">
        <x:f>IF($A291="","",[1]!thsiFinD("ths_adjustment_nv_fund",P$3,$A291))</x:f>
        <x:v>#NAME?</x:v>
      </x:c>
      <x:c r="Q291" s="146" t="e">
        <x:f>IF($A291="","",[1]!thsiFinD("ths_adjustment_nv_fund",Q$3,$A291))</x:f>
        <x:v>#NAME?</x:v>
      </x:c>
      <x:c r="R291" s="146" t="e">
        <x:f>IF($A291="","",[1]!thsiFinD("ths_adjustment_nv_fund",R$3,$A291))</x:f>
        <x:v>#NAME?</x:v>
      </x:c>
      <x:c r="S291" s="146" t="e">
        <x:f>IF($A291="","",[1]!thsiFinD("ths_adjustment_nv_fund",S$3,$A291))</x:f>
        <x:v>#NAME?</x:v>
      </x:c>
      <x:c r="T291" s="146" t="e">
        <x:f>IF($A291="","",[1]!thsiFinD("ths_adjustment_nv_fund",T$3,$A291))</x:f>
        <x:v>#NAME?</x:v>
      </x:c>
      <x:c r="U291" s="146" t="e">
        <x:f>IF($A291="","",[1]!thsiFinD("ths_adjustment_nv_fund",U$3,$A291))</x:f>
        <x:v>#NAME?</x:v>
      </x:c>
      <x:c r="V291" s="146" t="e">
        <x:f>IF($A291="","",[1]!thsiFinD("ths_adjustment_nv_fund",V$3,$A291))</x:f>
        <x:v>#NAME?</x:v>
      </x:c>
      <x:c r="W291" s="146" t="e">
        <x:f>IF($A291="","",[1]!thsiFinD("ths_adjustment_nv_fund",W$3,$A291))</x:f>
        <x:v>#NAME?</x:v>
      </x:c>
      <x:c r="X291" s="146" t="e">
        <x:f>IF($A291="","",[1]!thsiFinD("ths_adjustment_nv_fund",X$3,$A291))</x:f>
        <x:v>#NAME?</x:v>
      </x:c>
      <x:c r="Y291" s="146" t="e">
        <x:f>IF($A291="","",[1]!thsiFinD("ths_adjustment_nv_fund",Y$3,$A291))</x:f>
        <x:v>#NAME?</x:v>
      </x:c>
      <x:c r="Z291" s="146" t="e">
        <x:f>IF($A291="","",[1]!thsiFinD("ths_adjustment_nv_fund",Z$3,$A291))</x:f>
        <x:v>#NAME?</x:v>
      </x:c>
      <x:c r="AA291" s="146" t="e">
        <x:f>IF($A291="","",[1]!thsiFinD("ths_adjustment_nv_fund",AA$3,$A291))</x:f>
        <x:v>#NAME?</x:v>
      </x:c>
    </x:row>
    <x:row r="292">
      <x:c r="B292" s="146" t="e">
        <x:f>IF($A292="","",[1]!thsiFinD("ths_adjustment_nv_fund",B$3,$A292))</x:f>
        <x:v>#NAME?</x:v>
      </x:c>
      <x:c r="C292" s="146" t="e">
        <x:f>IF($A292="","",[1]!thsiFinD("ths_adjustment_nv_fund",C$3,$A292))</x:f>
        <x:v>#NAME?</x:v>
      </x:c>
      <x:c r="D292" s="146" t="e">
        <x:f>IF($A292="","",[1]!thsiFinD("ths_adjustment_nv_fund",D$3,$A292))</x:f>
        <x:v>#NAME?</x:v>
      </x:c>
      <x:c r="E292" s="146" t="e">
        <x:f>IF($A292="","",[1]!thsiFinD("ths_adjustment_nv_fund",E$3,$A292))</x:f>
        <x:v>#NAME?</x:v>
      </x:c>
      <x:c r="F292" s="146" t="e">
        <x:f>IF($A292="","",[1]!thsiFinD("ths_adjustment_nv_fund",F$3,$A292))</x:f>
        <x:v>#NAME?</x:v>
      </x:c>
      <x:c r="G292" s="146" t="e">
        <x:f>IF($A292="","",[1]!thsiFinD("ths_adjustment_nv_fund",G$3,$A292))</x:f>
        <x:v>#NAME?</x:v>
      </x:c>
      <x:c r="H292" s="146" t="e">
        <x:f>IF($A292="","",[1]!thsiFinD("ths_adjustment_nv_fund",H$3,$A292))</x:f>
        <x:v>#NAME?</x:v>
      </x:c>
      <x:c r="I292" s="146" t="e">
        <x:f>IF($A292="","",[1]!thsiFinD("ths_adjustment_nv_fund",I$3,$A292))</x:f>
        <x:v>#NAME?</x:v>
      </x:c>
      <x:c r="J292" s="146" t="e">
        <x:f>IF($A292="","",[1]!thsiFinD("ths_adjustment_nv_fund",J$3,$A292))</x:f>
        <x:v>#NAME?</x:v>
      </x:c>
      <x:c r="K292" s="146" t="e">
        <x:f>IF($A292="","",[1]!thsiFinD("ths_adjustment_nv_fund",K$3,$A292))</x:f>
        <x:v>#NAME?</x:v>
      </x:c>
      <x:c r="L292" s="146" t="e">
        <x:f>IF($A292="","",[1]!thsiFinD("ths_adjustment_nv_fund",L$3,$A292))</x:f>
        <x:v>#NAME?</x:v>
      </x:c>
      <x:c r="M292" s="146" t="e">
        <x:f>IF($A292="","",[1]!thsiFinD("ths_adjustment_nv_fund",M$3,$A292))</x:f>
        <x:v>#NAME?</x:v>
      </x:c>
      <x:c r="N292" s="146" t="e">
        <x:f>IF($A292="","",[1]!thsiFinD("ths_adjustment_nv_fund",N$3,$A292))</x:f>
        <x:v>#NAME?</x:v>
      </x:c>
      <x:c r="O292" s="146" t="e">
        <x:f>IF($A292="","",[1]!thsiFinD("ths_adjustment_nv_fund",O$3,$A292))</x:f>
        <x:v>#NAME?</x:v>
      </x:c>
      <x:c r="P292" s="146" t="e">
        <x:f>IF($A292="","",[1]!thsiFinD("ths_adjustment_nv_fund",P$3,$A292))</x:f>
        <x:v>#NAME?</x:v>
      </x:c>
      <x:c r="Q292" s="146" t="e">
        <x:f>IF($A292="","",[1]!thsiFinD("ths_adjustment_nv_fund",Q$3,$A292))</x:f>
        <x:v>#NAME?</x:v>
      </x:c>
      <x:c r="R292" s="146" t="e">
        <x:f>IF($A292="","",[1]!thsiFinD("ths_adjustment_nv_fund",R$3,$A292))</x:f>
        <x:v>#NAME?</x:v>
      </x:c>
      <x:c r="S292" s="146" t="e">
        <x:f>IF($A292="","",[1]!thsiFinD("ths_adjustment_nv_fund",S$3,$A292))</x:f>
        <x:v>#NAME?</x:v>
      </x:c>
      <x:c r="T292" s="146" t="e">
        <x:f>IF($A292="","",[1]!thsiFinD("ths_adjustment_nv_fund",T$3,$A292))</x:f>
        <x:v>#NAME?</x:v>
      </x:c>
      <x:c r="U292" s="146" t="e">
        <x:f>IF($A292="","",[1]!thsiFinD("ths_adjustment_nv_fund",U$3,$A292))</x:f>
        <x:v>#NAME?</x:v>
      </x:c>
      <x:c r="V292" s="146" t="e">
        <x:f>IF($A292="","",[1]!thsiFinD("ths_adjustment_nv_fund",V$3,$A292))</x:f>
        <x:v>#NAME?</x:v>
      </x:c>
      <x:c r="W292" s="146" t="e">
        <x:f>IF($A292="","",[1]!thsiFinD("ths_adjustment_nv_fund",W$3,$A292))</x:f>
        <x:v>#NAME?</x:v>
      </x:c>
      <x:c r="X292" s="146" t="e">
        <x:f>IF($A292="","",[1]!thsiFinD("ths_adjustment_nv_fund",X$3,$A292))</x:f>
        <x:v>#NAME?</x:v>
      </x:c>
      <x:c r="Y292" s="146" t="e">
        <x:f>IF($A292="","",[1]!thsiFinD("ths_adjustment_nv_fund",Y$3,$A292))</x:f>
        <x:v>#NAME?</x:v>
      </x:c>
      <x:c r="Z292" s="146" t="e">
        <x:f>IF($A292="","",[1]!thsiFinD("ths_adjustment_nv_fund",Z$3,$A292))</x:f>
        <x:v>#NAME?</x:v>
      </x:c>
      <x:c r="AA292" s="146" t="e">
        <x:f>IF($A292="","",[1]!thsiFinD("ths_adjustment_nv_fund",AA$3,$A292))</x:f>
        <x:v>#NAME?</x:v>
      </x:c>
    </x:row>
    <x:row r="293">
      <x:c r="B293" s="146" t="e">
        <x:f>IF($A293="","",[1]!thsiFinD("ths_adjustment_nv_fund",B$3,$A293))</x:f>
        <x:v>#NAME?</x:v>
      </x:c>
      <x:c r="C293" s="146" t="e">
        <x:f>IF($A293="","",[1]!thsiFinD("ths_adjustment_nv_fund",C$3,$A293))</x:f>
        <x:v>#NAME?</x:v>
      </x:c>
      <x:c r="D293" s="146" t="e">
        <x:f>IF($A293="","",[1]!thsiFinD("ths_adjustment_nv_fund",D$3,$A293))</x:f>
        <x:v>#NAME?</x:v>
      </x:c>
      <x:c r="E293" s="146" t="e">
        <x:f>IF($A293="","",[1]!thsiFinD("ths_adjustment_nv_fund",E$3,$A293))</x:f>
        <x:v>#NAME?</x:v>
      </x:c>
      <x:c r="F293" s="146" t="e">
        <x:f>IF($A293="","",[1]!thsiFinD("ths_adjustment_nv_fund",F$3,$A293))</x:f>
        <x:v>#NAME?</x:v>
      </x:c>
      <x:c r="G293" s="146" t="e">
        <x:f>IF($A293="","",[1]!thsiFinD("ths_adjustment_nv_fund",G$3,$A293))</x:f>
        <x:v>#NAME?</x:v>
      </x:c>
      <x:c r="H293" s="146" t="e">
        <x:f>IF($A293="","",[1]!thsiFinD("ths_adjustment_nv_fund",H$3,$A293))</x:f>
        <x:v>#NAME?</x:v>
      </x:c>
      <x:c r="I293" s="146" t="e">
        <x:f>IF($A293="","",[1]!thsiFinD("ths_adjustment_nv_fund",I$3,$A293))</x:f>
        <x:v>#NAME?</x:v>
      </x:c>
      <x:c r="J293" s="146" t="e">
        <x:f>IF($A293="","",[1]!thsiFinD("ths_adjustment_nv_fund",J$3,$A293))</x:f>
        <x:v>#NAME?</x:v>
      </x:c>
      <x:c r="K293" s="146" t="e">
        <x:f>IF($A293="","",[1]!thsiFinD("ths_adjustment_nv_fund",K$3,$A293))</x:f>
        <x:v>#NAME?</x:v>
      </x:c>
      <x:c r="L293" s="146" t="e">
        <x:f>IF($A293="","",[1]!thsiFinD("ths_adjustment_nv_fund",L$3,$A293))</x:f>
        <x:v>#NAME?</x:v>
      </x:c>
      <x:c r="M293" s="146" t="e">
        <x:f>IF($A293="","",[1]!thsiFinD("ths_adjustment_nv_fund",M$3,$A293))</x:f>
        <x:v>#NAME?</x:v>
      </x:c>
      <x:c r="N293" s="146" t="e">
        <x:f>IF($A293="","",[1]!thsiFinD("ths_adjustment_nv_fund",N$3,$A293))</x:f>
        <x:v>#NAME?</x:v>
      </x:c>
      <x:c r="O293" s="146" t="e">
        <x:f>IF($A293="","",[1]!thsiFinD("ths_adjustment_nv_fund",O$3,$A293))</x:f>
        <x:v>#NAME?</x:v>
      </x:c>
      <x:c r="P293" s="146" t="e">
        <x:f>IF($A293="","",[1]!thsiFinD("ths_adjustment_nv_fund",P$3,$A293))</x:f>
        <x:v>#NAME?</x:v>
      </x:c>
      <x:c r="Q293" s="146" t="e">
        <x:f>IF($A293="","",[1]!thsiFinD("ths_adjustment_nv_fund",Q$3,$A293))</x:f>
        <x:v>#NAME?</x:v>
      </x:c>
      <x:c r="R293" s="146" t="e">
        <x:f>IF($A293="","",[1]!thsiFinD("ths_adjustment_nv_fund",R$3,$A293))</x:f>
        <x:v>#NAME?</x:v>
      </x:c>
      <x:c r="S293" s="146" t="e">
        <x:f>IF($A293="","",[1]!thsiFinD("ths_adjustment_nv_fund",S$3,$A293))</x:f>
        <x:v>#NAME?</x:v>
      </x:c>
      <x:c r="T293" s="146" t="e">
        <x:f>IF($A293="","",[1]!thsiFinD("ths_adjustment_nv_fund",T$3,$A293))</x:f>
        <x:v>#NAME?</x:v>
      </x:c>
      <x:c r="U293" s="146" t="e">
        <x:f>IF($A293="","",[1]!thsiFinD("ths_adjustment_nv_fund",U$3,$A293))</x:f>
        <x:v>#NAME?</x:v>
      </x:c>
      <x:c r="V293" s="146" t="e">
        <x:f>IF($A293="","",[1]!thsiFinD("ths_adjustment_nv_fund",V$3,$A293))</x:f>
        <x:v>#NAME?</x:v>
      </x:c>
      <x:c r="W293" s="146" t="e">
        <x:f>IF($A293="","",[1]!thsiFinD("ths_adjustment_nv_fund",W$3,$A293))</x:f>
        <x:v>#NAME?</x:v>
      </x:c>
      <x:c r="X293" s="146" t="e">
        <x:f>IF($A293="","",[1]!thsiFinD("ths_adjustment_nv_fund",X$3,$A293))</x:f>
        <x:v>#NAME?</x:v>
      </x:c>
      <x:c r="Y293" s="146" t="e">
        <x:f>IF($A293="","",[1]!thsiFinD("ths_adjustment_nv_fund",Y$3,$A293))</x:f>
        <x:v>#NAME?</x:v>
      </x:c>
      <x:c r="Z293" s="146" t="e">
        <x:f>IF($A293="","",[1]!thsiFinD("ths_adjustment_nv_fund",Z$3,$A293))</x:f>
        <x:v>#NAME?</x:v>
      </x:c>
      <x:c r="AA293" s="146" t="e">
        <x:f>IF($A293="","",[1]!thsiFinD("ths_adjustment_nv_fund",AA$3,$A293))</x:f>
        <x:v>#NAME?</x:v>
      </x:c>
    </x:row>
    <x:row r="294">
      <x:c r="B294" s="146" t="e">
        <x:f>IF($A294="","",[1]!thsiFinD("ths_adjustment_nv_fund",B$3,$A294))</x:f>
        <x:v>#NAME?</x:v>
      </x:c>
      <x:c r="C294" s="146" t="e">
        <x:f>IF($A294="","",[1]!thsiFinD("ths_adjustment_nv_fund",C$3,$A294))</x:f>
        <x:v>#NAME?</x:v>
      </x:c>
      <x:c r="D294" s="146" t="e">
        <x:f>IF($A294="","",[1]!thsiFinD("ths_adjustment_nv_fund",D$3,$A294))</x:f>
        <x:v>#NAME?</x:v>
      </x:c>
      <x:c r="E294" s="146" t="e">
        <x:f>IF($A294="","",[1]!thsiFinD("ths_adjustment_nv_fund",E$3,$A294))</x:f>
        <x:v>#NAME?</x:v>
      </x:c>
      <x:c r="F294" s="146" t="e">
        <x:f>IF($A294="","",[1]!thsiFinD("ths_adjustment_nv_fund",F$3,$A294))</x:f>
        <x:v>#NAME?</x:v>
      </x:c>
      <x:c r="G294" s="146" t="e">
        <x:f>IF($A294="","",[1]!thsiFinD("ths_adjustment_nv_fund",G$3,$A294))</x:f>
        <x:v>#NAME?</x:v>
      </x:c>
      <x:c r="H294" s="146" t="e">
        <x:f>IF($A294="","",[1]!thsiFinD("ths_adjustment_nv_fund",H$3,$A294))</x:f>
        <x:v>#NAME?</x:v>
      </x:c>
      <x:c r="I294" s="146" t="e">
        <x:f>IF($A294="","",[1]!thsiFinD("ths_adjustment_nv_fund",I$3,$A294))</x:f>
        <x:v>#NAME?</x:v>
      </x:c>
      <x:c r="J294" s="146" t="e">
        <x:f>IF($A294="","",[1]!thsiFinD("ths_adjustment_nv_fund",J$3,$A294))</x:f>
        <x:v>#NAME?</x:v>
      </x:c>
      <x:c r="K294" s="146" t="e">
        <x:f>IF($A294="","",[1]!thsiFinD("ths_adjustment_nv_fund",K$3,$A294))</x:f>
        <x:v>#NAME?</x:v>
      </x:c>
      <x:c r="L294" s="146" t="e">
        <x:f>IF($A294="","",[1]!thsiFinD("ths_adjustment_nv_fund",L$3,$A294))</x:f>
        <x:v>#NAME?</x:v>
      </x:c>
      <x:c r="M294" s="146" t="e">
        <x:f>IF($A294="","",[1]!thsiFinD("ths_adjustment_nv_fund",M$3,$A294))</x:f>
        <x:v>#NAME?</x:v>
      </x:c>
      <x:c r="N294" s="146" t="e">
        <x:f>IF($A294="","",[1]!thsiFinD("ths_adjustment_nv_fund",N$3,$A294))</x:f>
        <x:v>#NAME?</x:v>
      </x:c>
      <x:c r="O294" s="146" t="e">
        <x:f>IF($A294="","",[1]!thsiFinD("ths_adjustment_nv_fund",O$3,$A294))</x:f>
        <x:v>#NAME?</x:v>
      </x:c>
      <x:c r="P294" s="146" t="e">
        <x:f>IF($A294="","",[1]!thsiFinD("ths_adjustment_nv_fund",P$3,$A294))</x:f>
        <x:v>#NAME?</x:v>
      </x:c>
      <x:c r="Q294" s="146" t="e">
        <x:f>IF($A294="","",[1]!thsiFinD("ths_adjustment_nv_fund",Q$3,$A294))</x:f>
        <x:v>#NAME?</x:v>
      </x:c>
      <x:c r="R294" s="146" t="e">
        <x:f>IF($A294="","",[1]!thsiFinD("ths_adjustment_nv_fund",R$3,$A294))</x:f>
        <x:v>#NAME?</x:v>
      </x:c>
      <x:c r="S294" s="146" t="e">
        <x:f>IF($A294="","",[1]!thsiFinD("ths_adjustment_nv_fund",S$3,$A294))</x:f>
        <x:v>#NAME?</x:v>
      </x:c>
      <x:c r="T294" s="146" t="e">
        <x:f>IF($A294="","",[1]!thsiFinD("ths_adjustment_nv_fund",T$3,$A294))</x:f>
        <x:v>#NAME?</x:v>
      </x:c>
      <x:c r="U294" s="146" t="e">
        <x:f>IF($A294="","",[1]!thsiFinD("ths_adjustment_nv_fund",U$3,$A294))</x:f>
        <x:v>#NAME?</x:v>
      </x:c>
      <x:c r="V294" s="146" t="e">
        <x:f>IF($A294="","",[1]!thsiFinD("ths_adjustment_nv_fund",V$3,$A294))</x:f>
        <x:v>#NAME?</x:v>
      </x:c>
      <x:c r="W294" s="146" t="e">
        <x:f>IF($A294="","",[1]!thsiFinD("ths_adjustment_nv_fund",W$3,$A294))</x:f>
        <x:v>#NAME?</x:v>
      </x:c>
      <x:c r="X294" s="146" t="e">
        <x:f>IF($A294="","",[1]!thsiFinD("ths_adjustment_nv_fund",X$3,$A294))</x:f>
        <x:v>#NAME?</x:v>
      </x:c>
      <x:c r="Y294" s="146" t="e">
        <x:f>IF($A294="","",[1]!thsiFinD("ths_adjustment_nv_fund",Y$3,$A294))</x:f>
        <x:v>#NAME?</x:v>
      </x:c>
      <x:c r="Z294" s="146" t="e">
        <x:f>IF($A294="","",[1]!thsiFinD("ths_adjustment_nv_fund",Z$3,$A294))</x:f>
        <x:v>#NAME?</x:v>
      </x:c>
      <x:c r="AA294" s="146" t="e">
        <x:f>IF($A294="","",[1]!thsiFinD("ths_adjustment_nv_fund",AA$3,$A294))</x:f>
        <x:v>#NAME?</x:v>
      </x:c>
    </x:row>
    <x:row r="295">
      <x:c r="B295" s="146" t="e">
        <x:f>IF($A295="","",[1]!thsiFinD("ths_adjustment_nv_fund",B$3,$A295))</x:f>
        <x:v>#NAME?</x:v>
      </x:c>
      <x:c r="C295" s="146" t="e">
        <x:f>IF($A295="","",[1]!thsiFinD("ths_adjustment_nv_fund",C$3,$A295))</x:f>
        <x:v>#NAME?</x:v>
      </x:c>
      <x:c r="D295" s="146" t="e">
        <x:f>IF($A295="","",[1]!thsiFinD("ths_adjustment_nv_fund",D$3,$A295))</x:f>
        <x:v>#NAME?</x:v>
      </x:c>
      <x:c r="E295" s="146" t="e">
        <x:f>IF($A295="","",[1]!thsiFinD("ths_adjustment_nv_fund",E$3,$A295))</x:f>
        <x:v>#NAME?</x:v>
      </x:c>
      <x:c r="F295" s="146" t="e">
        <x:f>IF($A295="","",[1]!thsiFinD("ths_adjustment_nv_fund",F$3,$A295))</x:f>
        <x:v>#NAME?</x:v>
      </x:c>
      <x:c r="G295" s="146" t="e">
        <x:f>IF($A295="","",[1]!thsiFinD("ths_adjustment_nv_fund",G$3,$A295))</x:f>
        <x:v>#NAME?</x:v>
      </x:c>
      <x:c r="H295" s="146" t="e">
        <x:f>IF($A295="","",[1]!thsiFinD("ths_adjustment_nv_fund",H$3,$A295))</x:f>
        <x:v>#NAME?</x:v>
      </x:c>
      <x:c r="I295" s="146" t="e">
        <x:f>IF($A295="","",[1]!thsiFinD("ths_adjustment_nv_fund",I$3,$A295))</x:f>
        <x:v>#NAME?</x:v>
      </x:c>
      <x:c r="J295" s="146" t="e">
        <x:f>IF($A295="","",[1]!thsiFinD("ths_adjustment_nv_fund",J$3,$A295))</x:f>
        <x:v>#NAME?</x:v>
      </x:c>
      <x:c r="K295" s="146" t="e">
        <x:f>IF($A295="","",[1]!thsiFinD("ths_adjustment_nv_fund",K$3,$A295))</x:f>
        <x:v>#NAME?</x:v>
      </x:c>
      <x:c r="L295" s="146" t="e">
        <x:f>IF($A295="","",[1]!thsiFinD("ths_adjustment_nv_fund",L$3,$A295))</x:f>
        <x:v>#NAME?</x:v>
      </x:c>
      <x:c r="M295" s="146" t="e">
        <x:f>IF($A295="","",[1]!thsiFinD("ths_adjustment_nv_fund",M$3,$A295))</x:f>
        <x:v>#NAME?</x:v>
      </x:c>
      <x:c r="N295" s="146" t="e">
        <x:f>IF($A295="","",[1]!thsiFinD("ths_adjustment_nv_fund",N$3,$A295))</x:f>
        <x:v>#NAME?</x:v>
      </x:c>
      <x:c r="O295" s="146" t="e">
        <x:f>IF($A295="","",[1]!thsiFinD("ths_adjustment_nv_fund",O$3,$A295))</x:f>
        <x:v>#NAME?</x:v>
      </x:c>
      <x:c r="P295" s="146" t="e">
        <x:f>IF($A295="","",[1]!thsiFinD("ths_adjustment_nv_fund",P$3,$A295))</x:f>
        <x:v>#NAME?</x:v>
      </x:c>
      <x:c r="Q295" s="146" t="e">
        <x:f>IF($A295="","",[1]!thsiFinD("ths_adjustment_nv_fund",Q$3,$A295))</x:f>
        <x:v>#NAME?</x:v>
      </x:c>
      <x:c r="R295" s="146" t="e">
        <x:f>IF($A295="","",[1]!thsiFinD("ths_adjustment_nv_fund",R$3,$A295))</x:f>
        <x:v>#NAME?</x:v>
      </x:c>
      <x:c r="S295" s="146" t="e">
        <x:f>IF($A295="","",[1]!thsiFinD("ths_adjustment_nv_fund",S$3,$A295))</x:f>
        <x:v>#NAME?</x:v>
      </x:c>
      <x:c r="T295" s="146" t="e">
        <x:f>IF($A295="","",[1]!thsiFinD("ths_adjustment_nv_fund",T$3,$A295))</x:f>
        <x:v>#NAME?</x:v>
      </x:c>
      <x:c r="U295" s="146" t="e">
        <x:f>IF($A295="","",[1]!thsiFinD("ths_adjustment_nv_fund",U$3,$A295))</x:f>
        <x:v>#NAME?</x:v>
      </x:c>
      <x:c r="V295" s="146" t="e">
        <x:f>IF($A295="","",[1]!thsiFinD("ths_adjustment_nv_fund",V$3,$A295))</x:f>
        <x:v>#NAME?</x:v>
      </x:c>
      <x:c r="W295" s="146" t="e">
        <x:f>IF($A295="","",[1]!thsiFinD("ths_adjustment_nv_fund",W$3,$A295))</x:f>
        <x:v>#NAME?</x:v>
      </x:c>
      <x:c r="X295" s="146" t="e">
        <x:f>IF($A295="","",[1]!thsiFinD("ths_adjustment_nv_fund",X$3,$A295))</x:f>
        <x:v>#NAME?</x:v>
      </x:c>
      <x:c r="Y295" s="146" t="e">
        <x:f>IF($A295="","",[1]!thsiFinD("ths_adjustment_nv_fund",Y$3,$A295))</x:f>
        <x:v>#NAME?</x:v>
      </x:c>
      <x:c r="Z295" s="146" t="e">
        <x:f>IF($A295="","",[1]!thsiFinD("ths_adjustment_nv_fund",Z$3,$A295))</x:f>
        <x:v>#NAME?</x:v>
      </x:c>
      <x:c r="AA295" s="146" t="e">
        <x:f>IF($A295="","",[1]!thsiFinD("ths_adjustment_nv_fund",AA$3,$A295))</x:f>
        <x:v>#NAME?</x:v>
      </x:c>
    </x:row>
    <x:row r="296">
      <x:c r="B296" s="146" t="e">
        <x:f>IF($A296="","",[1]!thsiFinD("ths_adjustment_nv_fund",B$3,$A296))</x:f>
        <x:v>#NAME?</x:v>
      </x:c>
      <x:c r="C296" s="146" t="e">
        <x:f>IF($A296="","",[1]!thsiFinD("ths_adjustment_nv_fund",C$3,$A296))</x:f>
        <x:v>#NAME?</x:v>
      </x:c>
      <x:c r="D296" s="146" t="e">
        <x:f>IF($A296="","",[1]!thsiFinD("ths_adjustment_nv_fund",D$3,$A296))</x:f>
        <x:v>#NAME?</x:v>
      </x:c>
      <x:c r="E296" s="146" t="e">
        <x:f>IF($A296="","",[1]!thsiFinD("ths_adjustment_nv_fund",E$3,$A296))</x:f>
        <x:v>#NAME?</x:v>
      </x:c>
      <x:c r="F296" s="146" t="e">
        <x:f>IF($A296="","",[1]!thsiFinD("ths_adjustment_nv_fund",F$3,$A296))</x:f>
        <x:v>#NAME?</x:v>
      </x:c>
      <x:c r="G296" s="146" t="e">
        <x:f>IF($A296="","",[1]!thsiFinD("ths_adjustment_nv_fund",G$3,$A296))</x:f>
        <x:v>#NAME?</x:v>
      </x:c>
      <x:c r="H296" s="146" t="e">
        <x:f>IF($A296="","",[1]!thsiFinD("ths_adjustment_nv_fund",H$3,$A296))</x:f>
        <x:v>#NAME?</x:v>
      </x:c>
      <x:c r="I296" s="146" t="e">
        <x:f>IF($A296="","",[1]!thsiFinD("ths_adjustment_nv_fund",I$3,$A296))</x:f>
        <x:v>#NAME?</x:v>
      </x:c>
      <x:c r="J296" s="146" t="e">
        <x:f>IF($A296="","",[1]!thsiFinD("ths_adjustment_nv_fund",J$3,$A296))</x:f>
        <x:v>#NAME?</x:v>
      </x:c>
      <x:c r="K296" s="146" t="e">
        <x:f>IF($A296="","",[1]!thsiFinD("ths_adjustment_nv_fund",K$3,$A296))</x:f>
        <x:v>#NAME?</x:v>
      </x:c>
      <x:c r="L296" s="146" t="e">
        <x:f>IF($A296="","",[1]!thsiFinD("ths_adjustment_nv_fund",L$3,$A296))</x:f>
        <x:v>#NAME?</x:v>
      </x:c>
      <x:c r="M296" s="146" t="e">
        <x:f>IF($A296="","",[1]!thsiFinD("ths_adjustment_nv_fund",M$3,$A296))</x:f>
        <x:v>#NAME?</x:v>
      </x:c>
      <x:c r="N296" s="146" t="e">
        <x:f>IF($A296="","",[1]!thsiFinD("ths_adjustment_nv_fund",N$3,$A296))</x:f>
        <x:v>#NAME?</x:v>
      </x:c>
      <x:c r="O296" s="146" t="e">
        <x:f>IF($A296="","",[1]!thsiFinD("ths_adjustment_nv_fund",O$3,$A296))</x:f>
        <x:v>#NAME?</x:v>
      </x:c>
      <x:c r="P296" s="146" t="e">
        <x:f>IF($A296="","",[1]!thsiFinD("ths_adjustment_nv_fund",P$3,$A296))</x:f>
        <x:v>#NAME?</x:v>
      </x:c>
      <x:c r="Q296" s="146" t="e">
        <x:f>IF($A296="","",[1]!thsiFinD("ths_adjustment_nv_fund",Q$3,$A296))</x:f>
        <x:v>#NAME?</x:v>
      </x:c>
      <x:c r="R296" s="146" t="e">
        <x:f>IF($A296="","",[1]!thsiFinD("ths_adjustment_nv_fund",R$3,$A296))</x:f>
        <x:v>#NAME?</x:v>
      </x:c>
      <x:c r="S296" s="146" t="e">
        <x:f>IF($A296="","",[1]!thsiFinD("ths_adjustment_nv_fund",S$3,$A296))</x:f>
        <x:v>#NAME?</x:v>
      </x:c>
      <x:c r="T296" s="146" t="e">
        <x:f>IF($A296="","",[1]!thsiFinD("ths_adjustment_nv_fund",T$3,$A296))</x:f>
        <x:v>#NAME?</x:v>
      </x:c>
      <x:c r="U296" s="146" t="e">
        <x:f>IF($A296="","",[1]!thsiFinD("ths_adjustment_nv_fund",U$3,$A296))</x:f>
        <x:v>#NAME?</x:v>
      </x:c>
      <x:c r="V296" s="146" t="e">
        <x:f>IF($A296="","",[1]!thsiFinD("ths_adjustment_nv_fund",V$3,$A296))</x:f>
        <x:v>#NAME?</x:v>
      </x:c>
      <x:c r="W296" s="146" t="e">
        <x:f>IF($A296="","",[1]!thsiFinD("ths_adjustment_nv_fund",W$3,$A296))</x:f>
        <x:v>#NAME?</x:v>
      </x:c>
      <x:c r="X296" s="146" t="e">
        <x:f>IF($A296="","",[1]!thsiFinD("ths_adjustment_nv_fund",X$3,$A296))</x:f>
        <x:v>#NAME?</x:v>
      </x:c>
      <x:c r="Y296" s="146" t="e">
        <x:f>IF($A296="","",[1]!thsiFinD("ths_adjustment_nv_fund",Y$3,$A296))</x:f>
        <x:v>#NAME?</x:v>
      </x:c>
      <x:c r="Z296" s="146" t="e">
        <x:f>IF($A296="","",[1]!thsiFinD("ths_adjustment_nv_fund",Z$3,$A296))</x:f>
        <x:v>#NAME?</x:v>
      </x:c>
      <x:c r="AA296" s="146" t="e">
        <x:f>IF($A296="","",[1]!thsiFinD("ths_adjustment_nv_fund",AA$3,$A296))</x:f>
        <x:v>#NAME?</x:v>
      </x:c>
    </x:row>
    <x:row r="297">
      <x:c r="B297" s="146" t="e">
        <x:f>IF($A297="","",[1]!thsiFinD("ths_adjustment_nv_fund",B$3,$A297))</x:f>
        <x:v>#NAME?</x:v>
      </x:c>
      <x:c r="C297" s="146" t="e">
        <x:f>IF($A297="","",[1]!thsiFinD("ths_adjustment_nv_fund",C$3,$A297))</x:f>
        <x:v>#NAME?</x:v>
      </x:c>
      <x:c r="D297" s="146" t="e">
        <x:f>IF($A297="","",[1]!thsiFinD("ths_adjustment_nv_fund",D$3,$A297))</x:f>
        <x:v>#NAME?</x:v>
      </x:c>
      <x:c r="E297" s="146" t="e">
        <x:f>IF($A297="","",[1]!thsiFinD("ths_adjustment_nv_fund",E$3,$A297))</x:f>
        <x:v>#NAME?</x:v>
      </x:c>
      <x:c r="F297" s="146" t="e">
        <x:f>IF($A297="","",[1]!thsiFinD("ths_adjustment_nv_fund",F$3,$A297))</x:f>
        <x:v>#NAME?</x:v>
      </x:c>
      <x:c r="G297" s="146" t="e">
        <x:f>IF($A297="","",[1]!thsiFinD("ths_adjustment_nv_fund",G$3,$A297))</x:f>
        <x:v>#NAME?</x:v>
      </x:c>
      <x:c r="H297" s="146" t="e">
        <x:f>IF($A297="","",[1]!thsiFinD("ths_adjustment_nv_fund",H$3,$A297))</x:f>
        <x:v>#NAME?</x:v>
      </x:c>
      <x:c r="I297" s="146" t="e">
        <x:f>IF($A297="","",[1]!thsiFinD("ths_adjustment_nv_fund",I$3,$A297))</x:f>
        <x:v>#NAME?</x:v>
      </x:c>
      <x:c r="J297" s="146" t="e">
        <x:f>IF($A297="","",[1]!thsiFinD("ths_adjustment_nv_fund",J$3,$A297))</x:f>
        <x:v>#NAME?</x:v>
      </x:c>
      <x:c r="K297" s="146" t="e">
        <x:f>IF($A297="","",[1]!thsiFinD("ths_adjustment_nv_fund",K$3,$A297))</x:f>
        <x:v>#NAME?</x:v>
      </x:c>
      <x:c r="L297" s="146" t="e">
        <x:f>IF($A297="","",[1]!thsiFinD("ths_adjustment_nv_fund",L$3,$A297))</x:f>
        <x:v>#NAME?</x:v>
      </x:c>
      <x:c r="M297" s="146" t="e">
        <x:f>IF($A297="","",[1]!thsiFinD("ths_adjustment_nv_fund",M$3,$A297))</x:f>
        <x:v>#NAME?</x:v>
      </x:c>
      <x:c r="N297" s="146" t="e">
        <x:f>IF($A297="","",[1]!thsiFinD("ths_adjustment_nv_fund",N$3,$A297))</x:f>
        <x:v>#NAME?</x:v>
      </x:c>
      <x:c r="O297" s="146" t="e">
        <x:f>IF($A297="","",[1]!thsiFinD("ths_adjustment_nv_fund",O$3,$A297))</x:f>
        <x:v>#NAME?</x:v>
      </x:c>
      <x:c r="P297" s="146" t="e">
        <x:f>IF($A297="","",[1]!thsiFinD("ths_adjustment_nv_fund",P$3,$A297))</x:f>
        <x:v>#NAME?</x:v>
      </x:c>
      <x:c r="Q297" s="146" t="e">
        <x:f>IF($A297="","",[1]!thsiFinD("ths_adjustment_nv_fund",Q$3,$A297))</x:f>
        <x:v>#NAME?</x:v>
      </x:c>
      <x:c r="R297" s="146" t="e">
        <x:f>IF($A297="","",[1]!thsiFinD("ths_adjustment_nv_fund",R$3,$A297))</x:f>
        <x:v>#NAME?</x:v>
      </x:c>
      <x:c r="S297" s="146" t="e">
        <x:f>IF($A297="","",[1]!thsiFinD("ths_adjustment_nv_fund",S$3,$A297))</x:f>
        <x:v>#NAME?</x:v>
      </x:c>
      <x:c r="T297" s="146" t="e">
        <x:f>IF($A297="","",[1]!thsiFinD("ths_adjustment_nv_fund",T$3,$A297))</x:f>
        <x:v>#NAME?</x:v>
      </x:c>
      <x:c r="U297" s="146" t="e">
        <x:f>IF($A297="","",[1]!thsiFinD("ths_adjustment_nv_fund",U$3,$A297))</x:f>
        <x:v>#NAME?</x:v>
      </x:c>
      <x:c r="V297" s="146" t="e">
        <x:f>IF($A297="","",[1]!thsiFinD("ths_adjustment_nv_fund",V$3,$A297))</x:f>
        <x:v>#NAME?</x:v>
      </x:c>
      <x:c r="W297" s="146" t="e">
        <x:f>IF($A297="","",[1]!thsiFinD("ths_adjustment_nv_fund",W$3,$A297))</x:f>
        <x:v>#NAME?</x:v>
      </x:c>
      <x:c r="X297" s="146" t="e">
        <x:f>IF($A297="","",[1]!thsiFinD("ths_adjustment_nv_fund",X$3,$A297))</x:f>
        <x:v>#NAME?</x:v>
      </x:c>
      <x:c r="Y297" s="146" t="e">
        <x:f>IF($A297="","",[1]!thsiFinD("ths_adjustment_nv_fund",Y$3,$A297))</x:f>
        <x:v>#NAME?</x:v>
      </x:c>
      <x:c r="Z297" s="146" t="e">
        <x:f>IF($A297="","",[1]!thsiFinD("ths_adjustment_nv_fund",Z$3,$A297))</x:f>
        <x:v>#NAME?</x:v>
      </x:c>
      <x:c r="AA297" s="146" t="e">
        <x:f>IF($A297="","",[1]!thsiFinD("ths_adjustment_nv_fund",AA$3,$A297))</x:f>
        <x:v>#NAME?</x:v>
      </x:c>
    </x:row>
    <x:row r="298">
      <x:c r="B298" s="146" t="e">
        <x:f>IF($A298="","",[1]!thsiFinD("ths_adjustment_nv_fund",B$3,$A298))</x:f>
        <x:v>#NAME?</x:v>
      </x:c>
      <x:c r="C298" s="146" t="e">
        <x:f>IF($A298="","",[1]!thsiFinD("ths_adjustment_nv_fund",C$3,$A298))</x:f>
        <x:v>#NAME?</x:v>
      </x:c>
      <x:c r="D298" s="146" t="e">
        <x:f>IF($A298="","",[1]!thsiFinD("ths_adjustment_nv_fund",D$3,$A298))</x:f>
        <x:v>#NAME?</x:v>
      </x:c>
      <x:c r="E298" s="146" t="e">
        <x:f>IF($A298="","",[1]!thsiFinD("ths_adjustment_nv_fund",E$3,$A298))</x:f>
        <x:v>#NAME?</x:v>
      </x:c>
      <x:c r="F298" s="146" t="e">
        <x:f>IF($A298="","",[1]!thsiFinD("ths_adjustment_nv_fund",F$3,$A298))</x:f>
        <x:v>#NAME?</x:v>
      </x:c>
      <x:c r="G298" s="146" t="e">
        <x:f>IF($A298="","",[1]!thsiFinD("ths_adjustment_nv_fund",G$3,$A298))</x:f>
        <x:v>#NAME?</x:v>
      </x:c>
      <x:c r="H298" s="146" t="e">
        <x:f>IF($A298="","",[1]!thsiFinD("ths_adjustment_nv_fund",H$3,$A298))</x:f>
        <x:v>#NAME?</x:v>
      </x:c>
      <x:c r="I298" s="146" t="e">
        <x:f>IF($A298="","",[1]!thsiFinD("ths_adjustment_nv_fund",I$3,$A298))</x:f>
        <x:v>#NAME?</x:v>
      </x:c>
      <x:c r="J298" s="146" t="e">
        <x:f>IF($A298="","",[1]!thsiFinD("ths_adjustment_nv_fund",J$3,$A298))</x:f>
        <x:v>#NAME?</x:v>
      </x:c>
      <x:c r="K298" s="146" t="e">
        <x:f>IF($A298="","",[1]!thsiFinD("ths_adjustment_nv_fund",K$3,$A298))</x:f>
        <x:v>#NAME?</x:v>
      </x:c>
      <x:c r="L298" s="146" t="e">
        <x:f>IF($A298="","",[1]!thsiFinD("ths_adjustment_nv_fund",L$3,$A298))</x:f>
        <x:v>#NAME?</x:v>
      </x:c>
      <x:c r="M298" s="146" t="e">
        <x:f>IF($A298="","",[1]!thsiFinD("ths_adjustment_nv_fund",M$3,$A298))</x:f>
        <x:v>#NAME?</x:v>
      </x:c>
      <x:c r="N298" s="146" t="e">
        <x:f>IF($A298="","",[1]!thsiFinD("ths_adjustment_nv_fund",N$3,$A298))</x:f>
        <x:v>#NAME?</x:v>
      </x:c>
      <x:c r="O298" s="146" t="e">
        <x:f>IF($A298="","",[1]!thsiFinD("ths_adjustment_nv_fund",O$3,$A298))</x:f>
        <x:v>#NAME?</x:v>
      </x:c>
      <x:c r="P298" s="146" t="e">
        <x:f>IF($A298="","",[1]!thsiFinD("ths_adjustment_nv_fund",P$3,$A298))</x:f>
        <x:v>#NAME?</x:v>
      </x:c>
      <x:c r="Q298" s="146" t="e">
        <x:f>IF($A298="","",[1]!thsiFinD("ths_adjustment_nv_fund",Q$3,$A298))</x:f>
        <x:v>#NAME?</x:v>
      </x:c>
      <x:c r="R298" s="146" t="e">
        <x:f>IF($A298="","",[1]!thsiFinD("ths_adjustment_nv_fund",R$3,$A298))</x:f>
        <x:v>#NAME?</x:v>
      </x:c>
      <x:c r="S298" s="146" t="e">
        <x:f>IF($A298="","",[1]!thsiFinD("ths_adjustment_nv_fund",S$3,$A298))</x:f>
        <x:v>#NAME?</x:v>
      </x:c>
      <x:c r="T298" s="146" t="e">
        <x:f>IF($A298="","",[1]!thsiFinD("ths_adjustment_nv_fund",T$3,$A298))</x:f>
        <x:v>#NAME?</x:v>
      </x:c>
      <x:c r="U298" s="146" t="e">
        <x:f>IF($A298="","",[1]!thsiFinD("ths_adjustment_nv_fund",U$3,$A298))</x:f>
        <x:v>#NAME?</x:v>
      </x:c>
      <x:c r="V298" s="146" t="e">
        <x:f>IF($A298="","",[1]!thsiFinD("ths_adjustment_nv_fund",V$3,$A298))</x:f>
        <x:v>#NAME?</x:v>
      </x:c>
      <x:c r="W298" s="146" t="e">
        <x:f>IF($A298="","",[1]!thsiFinD("ths_adjustment_nv_fund",W$3,$A298))</x:f>
        <x:v>#NAME?</x:v>
      </x:c>
      <x:c r="X298" s="146" t="e">
        <x:f>IF($A298="","",[1]!thsiFinD("ths_adjustment_nv_fund",X$3,$A298))</x:f>
        <x:v>#NAME?</x:v>
      </x:c>
      <x:c r="Y298" s="146" t="e">
        <x:f>IF($A298="","",[1]!thsiFinD("ths_adjustment_nv_fund",Y$3,$A298))</x:f>
        <x:v>#NAME?</x:v>
      </x:c>
      <x:c r="Z298" s="146" t="e">
        <x:f>IF($A298="","",[1]!thsiFinD("ths_adjustment_nv_fund",Z$3,$A298))</x:f>
        <x:v>#NAME?</x:v>
      </x:c>
      <x:c r="AA298" s="146" t="e">
        <x:f>IF($A298="","",[1]!thsiFinD("ths_adjustment_nv_fund",AA$3,$A298))</x:f>
        <x:v>#NAME?</x:v>
      </x:c>
    </x:row>
    <x:row r="299">
      <x:c r="B299" s="146" t="e">
        <x:f>IF($A299="","",[1]!thsiFinD("ths_adjustment_nv_fund",B$3,$A299))</x:f>
        <x:v>#NAME?</x:v>
      </x:c>
      <x:c r="C299" s="146" t="e">
        <x:f>IF($A299="","",[1]!thsiFinD("ths_adjustment_nv_fund",C$3,$A299))</x:f>
        <x:v>#NAME?</x:v>
      </x:c>
      <x:c r="D299" s="146" t="e">
        <x:f>IF($A299="","",[1]!thsiFinD("ths_adjustment_nv_fund",D$3,$A299))</x:f>
        <x:v>#NAME?</x:v>
      </x:c>
      <x:c r="E299" s="146" t="e">
        <x:f>IF($A299="","",[1]!thsiFinD("ths_adjustment_nv_fund",E$3,$A299))</x:f>
        <x:v>#NAME?</x:v>
      </x:c>
      <x:c r="F299" s="146" t="e">
        <x:f>IF($A299="","",[1]!thsiFinD("ths_adjustment_nv_fund",F$3,$A299))</x:f>
        <x:v>#NAME?</x:v>
      </x:c>
      <x:c r="G299" s="146" t="e">
        <x:f>IF($A299="","",[1]!thsiFinD("ths_adjustment_nv_fund",G$3,$A299))</x:f>
        <x:v>#NAME?</x:v>
      </x:c>
      <x:c r="H299" s="146" t="e">
        <x:f>IF($A299="","",[1]!thsiFinD("ths_adjustment_nv_fund",H$3,$A299))</x:f>
        <x:v>#NAME?</x:v>
      </x:c>
      <x:c r="I299" s="146" t="e">
        <x:f>IF($A299="","",[1]!thsiFinD("ths_adjustment_nv_fund",I$3,$A299))</x:f>
        <x:v>#NAME?</x:v>
      </x:c>
      <x:c r="J299" s="146" t="e">
        <x:f>IF($A299="","",[1]!thsiFinD("ths_adjustment_nv_fund",J$3,$A299))</x:f>
        <x:v>#NAME?</x:v>
      </x:c>
      <x:c r="K299" s="146" t="e">
        <x:f>IF($A299="","",[1]!thsiFinD("ths_adjustment_nv_fund",K$3,$A299))</x:f>
        <x:v>#NAME?</x:v>
      </x:c>
      <x:c r="L299" s="146" t="e">
        <x:f>IF($A299="","",[1]!thsiFinD("ths_adjustment_nv_fund",L$3,$A299))</x:f>
        <x:v>#NAME?</x:v>
      </x:c>
      <x:c r="M299" s="146" t="e">
        <x:f>IF($A299="","",[1]!thsiFinD("ths_adjustment_nv_fund",M$3,$A299))</x:f>
        <x:v>#NAME?</x:v>
      </x:c>
      <x:c r="N299" s="146" t="e">
        <x:f>IF($A299="","",[1]!thsiFinD("ths_adjustment_nv_fund",N$3,$A299))</x:f>
        <x:v>#NAME?</x:v>
      </x:c>
      <x:c r="O299" s="146" t="e">
        <x:f>IF($A299="","",[1]!thsiFinD("ths_adjustment_nv_fund",O$3,$A299))</x:f>
        <x:v>#NAME?</x:v>
      </x:c>
      <x:c r="P299" s="146" t="e">
        <x:f>IF($A299="","",[1]!thsiFinD("ths_adjustment_nv_fund",P$3,$A299))</x:f>
        <x:v>#NAME?</x:v>
      </x:c>
      <x:c r="Q299" s="146" t="e">
        <x:f>IF($A299="","",[1]!thsiFinD("ths_adjustment_nv_fund",Q$3,$A299))</x:f>
        <x:v>#NAME?</x:v>
      </x:c>
      <x:c r="R299" s="146" t="e">
        <x:f>IF($A299="","",[1]!thsiFinD("ths_adjustment_nv_fund",R$3,$A299))</x:f>
        <x:v>#NAME?</x:v>
      </x:c>
      <x:c r="S299" s="146" t="e">
        <x:f>IF($A299="","",[1]!thsiFinD("ths_adjustment_nv_fund",S$3,$A299))</x:f>
        <x:v>#NAME?</x:v>
      </x:c>
      <x:c r="T299" s="146" t="e">
        <x:f>IF($A299="","",[1]!thsiFinD("ths_adjustment_nv_fund",T$3,$A299))</x:f>
        <x:v>#NAME?</x:v>
      </x:c>
      <x:c r="U299" s="146" t="e">
        <x:f>IF($A299="","",[1]!thsiFinD("ths_adjustment_nv_fund",U$3,$A299))</x:f>
        <x:v>#NAME?</x:v>
      </x:c>
      <x:c r="V299" s="146" t="e">
        <x:f>IF($A299="","",[1]!thsiFinD("ths_adjustment_nv_fund",V$3,$A299))</x:f>
        <x:v>#NAME?</x:v>
      </x:c>
      <x:c r="W299" s="146" t="e">
        <x:f>IF($A299="","",[1]!thsiFinD("ths_adjustment_nv_fund",W$3,$A299))</x:f>
        <x:v>#NAME?</x:v>
      </x:c>
      <x:c r="X299" s="146" t="e">
        <x:f>IF($A299="","",[1]!thsiFinD("ths_adjustment_nv_fund",X$3,$A299))</x:f>
        <x:v>#NAME?</x:v>
      </x:c>
      <x:c r="Y299" s="146" t="e">
        <x:f>IF($A299="","",[1]!thsiFinD("ths_adjustment_nv_fund",Y$3,$A299))</x:f>
        <x:v>#NAME?</x:v>
      </x:c>
      <x:c r="Z299" s="146" t="e">
        <x:f>IF($A299="","",[1]!thsiFinD("ths_adjustment_nv_fund",Z$3,$A299))</x:f>
        <x:v>#NAME?</x:v>
      </x:c>
      <x:c r="AA299" s="146" t="e">
        <x:f>IF($A299="","",[1]!thsiFinD("ths_adjustment_nv_fund",AA$3,$A299))</x:f>
        <x:v>#NAME?</x:v>
      </x:c>
    </x:row>
    <x:row r="300">
      <x:c r="B300" s="146" t="e">
        <x:f>IF($A300="","",[1]!thsiFinD("ths_adjustment_nv_fund",B$3,$A300))</x:f>
        <x:v>#NAME?</x:v>
      </x:c>
      <x:c r="C300" s="146" t="e">
        <x:f>IF($A300="","",[1]!thsiFinD("ths_adjustment_nv_fund",C$3,$A300))</x:f>
        <x:v>#NAME?</x:v>
      </x:c>
      <x:c r="D300" s="146" t="e">
        <x:f>IF($A300="","",[1]!thsiFinD("ths_adjustment_nv_fund",D$3,$A300))</x:f>
        <x:v>#NAME?</x:v>
      </x:c>
      <x:c r="E300" s="146" t="e">
        <x:f>IF($A300="","",[1]!thsiFinD("ths_adjustment_nv_fund",E$3,$A300))</x:f>
        <x:v>#NAME?</x:v>
      </x:c>
      <x:c r="F300" s="146" t="e">
        <x:f>IF($A300="","",[1]!thsiFinD("ths_adjustment_nv_fund",F$3,$A300))</x:f>
        <x:v>#NAME?</x:v>
      </x:c>
      <x:c r="G300" s="146" t="e">
        <x:f>IF($A300="","",[1]!thsiFinD("ths_adjustment_nv_fund",G$3,$A300))</x:f>
        <x:v>#NAME?</x:v>
      </x:c>
      <x:c r="H300" s="146" t="e">
        <x:f>IF($A300="","",[1]!thsiFinD("ths_adjustment_nv_fund",H$3,$A300))</x:f>
        <x:v>#NAME?</x:v>
      </x:c>
      <x:c r="I300" s="146" t="e">
        <x:f>IF($A300="","",[1]!thsiFinD("ths_adjustment_nv_fund",I$3,$A300))</x:f>
        <x:v>#NAME?</x:v>
      </x:c>
      <x:c r="J300" s="146" t="e">
        <x:f>IF($A300="","",[1]!thsiFinD("ths_adjustment_nv_fund",J$3,$A300))</x:f>
        <x:v>#NAME?</x:v>
      </x:c>
      <x:c r="K300" s="146" t="e">
        <x:f>IF($A300="","",[1]!thsiFinD("ths_adjustment_nv_fund",K$3,$A300))</x:f>
        <x:v>#NAME?</x:v>
      </x:c>
      <x:c r="L300" s="146" t="e">
        <x:f>IF($A300="","",[1]!thsiFinD("ths_adjustment_nv_fund",L$3,$A300))</x:f>
        <x:v>#NAME?</x:v>
      </x:c>
      <x:c r="M300" s="146" t="e">
        <x:f>IF($A300="","",[1]!thsiFinD("ths_adjustment_nv_fund",M$3,$A300))</x:f>
        <x:v>#NAME?</x:v>
      </x:c>
      <x:c r="N300" s="146" t="e">
        <x:f>IF($A300="","",[1]!thsiFinD("ths_adjustment_nv_fund",N$3,$A300))</x:f>
        <x:v>#NAME?</x:v>
      </x:c>
      <x:c r="O300" s="146" t="e">
        <x:f>IF($A300="","",[1]!thsiFinD("ths_adjustment_nv_fund",O$3,$A300))</x:f>
        <x:v>#NAME?</x:v>
      </x:c>
      <x:c r="P300" s="146" t="e">
        <x:f>IF($A300="","",[1]!thsiFinD("ths_adjustment_nv_fund",P$3,$A300))</x:f>
        <x:v>#NAME?</x:v>
      </x:c>
      <x:c r="Q300" s="146" t="e">
        <x:f>IF($A300="","",[1]!thsiFinD("ths_adjustment_nv_fund",Q$3,$A300))</x:f>
        <x:v>#NAME?</x:v>
      </x:c>
      <x:c r="R300" s="146" t="e">
        <x:f>IF($A300="","",[1]!thsiFinD("ths_adjustment_nv_fund",R$3,$A300))</x:f>
        <x:v>#NAME?</x:v>
      </x:c>
      <x:c r="S300" s="146" t="e">
        <x:f>IF($A300="","",[1]!thsiFinD("ths_adjustment_nv_fund",S$3,$A300))</x:f>
        <x:v>#NAME?</x:v>
      </x:c>
      <x:c r="T300" s="146" t="e">
        <x:f>IF($A300="","",[1]!thsiFinD("ths_adjustment_nv_fund",T$3,$A300))</x:f>
        <x:v>#NAME?</x:v>
      </x:c>
      <x:c r="U300" s="146" t="e">
        <x:f>IF($A300="","",[1]!thsiFinD("ths_adjustment_nv_fund",U$3,$A300))</x:f>
        <x:v>#NAME?</x:v>
      </x:c>
      <x:c r="V300" s="146" t="e">
        <x:f>IF($A300="","",[1]!thsiFinD("ths_adjustment_nv_fund",V$3,$A300))</x:f>
        <x:v>#NAME?</x:v>
      </x:c>
      <x:c r="W300" s="146" t="e">
        <x:f>IF($A300="","",[1]!thsiFinD("ths_adjustment_nv_fund",W$3,$A300))</x:f>
        <x:v>#NAME?</x:v>
      </x:c>
      <x:c r="X300" s="146" t="e">
        <x:f>IF($A300="","",[1]!thsiFinD("ths_adjustment_nv_fund",X$3,$A300))</x:f>
        <x:v>#NAME?</x:v>
      </x:c>
      <x:c r="Y300" s="146" t="e">
        <x:f>IF($A300="","",[1]!thsiFinD("ths_adjustment_nv_fund",Y$3,$A300))</x:f>
        <x:v>#NAME?</x:v>
      </x:c>
      <x:c r="Z300" s="146" t="e">
        <x:f>IF($A300="","",[1]!thsiFinD("ths_adjustment_nv_fund",Z$3,$A300))</x:f>
        <x:v>#NAME?</x:v>
      </x:c>
      <x:c r="AA300" s="146" t="e">
        <x:f>IF($A300="","",[1]!thsiFinD("ths_adjustment_nv_fund",AA$3,$A300))</x:f>
        <x:v>#NAME?</x:v>
      </x:c>
    </x:row>
    <x:row r="301">
      <x:c r="B301" s="146" t="e">
        <x:f>IF($A301="","",[1]!thsiFinD("ths_adjustment_nv_fund",B$3,$A301))</x:f>
        <x:v>#NAME?</x:v>
      </x:c>
      <x:c r="C301" s="146" t="e">
        <x:f>IF($A301="","",[1]!thsiFinD("ths_adjustment_nv_fund",C$3,$A301))</x:f>
        <x:v>#NAME?</x:v>
      </x:c>
      <x:c r="D301" s="146" t="e">
        <x:f>IF($A301="","",[1]!thsiFinD("ths_adjustment_nv_fund",D$3,$A301))</x:f>
        <x:v>#NAME?</x:v>
      </x:c>
      <x:c r="E301" s="146" t="e">
        <x:f>IF($A301="","",[1]!thsiFinD("ths_adjustment_nv_fund",E$3,$A301))</x:f>
        <x:v>#NAME?</x:v>
      </x:c>
      <x:c r="F301" s="146" t="e">
        <x:f>IF($A301="","",[1]!thsiFinD("ths_adjustment_nv_fund",F$3,$A301))</x:f>
        <x:v>#NAME?</x:v>
      </x:c>
      <x:c r="G301" s="146" t="e">
        <x:f>IF($A301="","",[1]!thsiFinD("ths_adjustment_nv_fund",G$3,$A301))</x:f>
        <x:v>#NAME?</x:v>
      </x:c>
      <x:c r="H301" s="146" t="e">
        <x:f>IF($A301="","",[1]!thsiFinD("ths_adjustment_nv_fund",H$3,$A301))</x:f>
        <x:v>#NAME?</x:v>
      </x:c>
      <x:c r="I301" s="146" t="e">
        <x:f>IF($A301="","",[1]!thsiFinD("ths_adjustment_nv_fund",I$3,$A301))</x:f>
        <x:v>#NAME?</x:v>
      </x:c>
      <x:c r="J301" s="146" t="e">
        <x:f>IF($A301="","",[1]!thsiFinD("ths_adjustment_nv_fund",J$3,$A301))</x:f>
        <x:v>#NAME?</x:v>
      </x:c>
      <x:c r="K301" s="146" t="e">
        <x:f>IF($A301="","",[1]!thsiFinD("ths_adjustment_nv_fund",K$3,$A301))</x:f>
        <x:v>#NAME?</x:v>
      </x:c>
      <x:c r="L301" s="146" t="e">
        <x:f>IF($A301="","",[1]!thsiFinD("ths_adjustment_nv_fund",L$3,$A301))</x:f>
        <x:v>#NAME?</x:v>
      </x:c>
      <x:c r="M301" s="146" t="e">
        <x:f>IF($A301="","",[1]!thsiFinD("ths_adjustment_nv_fund",M$3,$A301))</x:f>
        <x:v>#NAME?</x:v>
      </x:c>
      <x:c r="N301" s="146" t="e">
        <x:f>IF($A301="","",[1]!thsiFinD("ths_adjustment_nv_fund",N$3,$A301))</x:f>
        <x:v>#NAME?</x:v>
      </x:c>
      <x:c r="O301" s="146" t="e">
        <x:f>IF($A301="","",[1]!thsiFinD("ths_adjustment_nv_fund",O$3,$A301))</x:f>
        <x:v>#NAME?</x:v>
      </x:c>
      <x:c r="P301" s="146" t="e">
        <x:f>IF($A301="","",[1]!thsiFinD("ths_adjustment_nv_fund",P$3,$A301))</x:f>
        <x:v>#NAME?</x:v>
      </x:c>
      <x:c r="Q301" s="146" t="e">
        <x:f>IF($A301="","",[1]!thsiFinD("ths_adjustment_nv_fund",Q$3,$A301))</x:f>
        <x:v>#NAME?</x:v>
      </x:c>
      <x:c r="R301" s="146" t="e">
        <x:f>IF($A301="","",[1]!thsiFinD("ths_adjustment_nv_fund",R$3,$A301))</x:f>
        <x:v>#NAME?</x:v>
      </x:c>
      <x:c r="S301" s="146" t="e">
        <x:f>IF($A301="","",[1]!thsiFinD("ths_adjustment_nv_fund",S$3,$A301))</x:f>
        <x:v>#NAME?</x:v>
      </x:c>
      <x:c r="T301" s="146" t="e">
        <x:f>IF($A301="","",[1]!thsiFinD("ths_adjustment_nv_fund",T$3,$A301))</x:f>
        <x:v>#NAME?</x:v>
      </x:c>
      <x:c r="U301" s="146" t="e">
        <x:f>IF($A301="","",[1]!thsiFinD("ths_adjustment_nv_fund",U$3,$A301))</x:f>
        <x:v>#NAME?</x:v>
      </x:c>
      <x:c r="V301" s="146" t="e">
        <x:f>IF($A301="","",[1]!thsiFinD("ths_adjustment_nv_fund",V$3,$A301))</x:f>
        <x:v>#NAME?</x:v>
      </x:c>
      <x:c r="W301" s="146" t="e">
        <x:f>IF($A301="","",[1]!thsiFinD("ths_adjustment_nv_fund",W$3,$A301))</x:f>
        <x:v>#NAME?</x:v>
      </x:c>
      <x:c r="X301" s="146" t="e">
        <x:f>IF($A301="","",[1]!thsiFinD("ths_adjustment_nv_fund",X$3,$A301))</x:f>
        <x:v>#NAME?</x:v>
      </x:c>
      <x:c r="Y301" s="146" t="e">
        <x:f>IF($A301="","",[1]!thsiFinD("ths_adjustment_nv_fund",Y$3,$A301))</x:f>
        <x:v>#NAME?</x:v>
      </x:c>
      <x:c r="Z301" s="146" t="e">
        <x:f>IF($A301="","",[1]!thsiFinD("ths_adjustment_nv_fund",Z$3,$A301))</x:f>
        <x:v>#NAME?</x:v>
      </x:c>
      <x:c r="AA301" s="146" t="e">
        <x:f>IF($A301="","",[1]!thsiFinD("ths_adjustment_nv_fund",AA$3,$A301))</x:f>
        <x:v>#NAME?</x:v>
      </x:c>
    </x:row>
    <x:row r="302">
      <x:c r="B302" s="146" t="e">
        <x:f>IF($A302="","",[1]!thsiFinD("ths_adjustment_nv_fund",B$3,$A302))</x:f>
        <x:v>#NAME?</x:v>
      </x:c>
      <x:c r="C302" s="146" t="e">
        <x:f>IF($A302="","",[1]!thsiFinD("ths_adjustment_nv_fund",C$3,$A302))</x:f>
        <x:v>#NAME?</x:v>
      </x:c>
      <x:c r="D302" s="146" t="e">
        <x:f>IF($A302="","",[1]!thsiFinD("ths_adjustment_nv_fund",D$3,$A302))</x:f>
        <x:v>#NAME?</x:v>
      </x:c>
      <x:c r="E302" s="146" t="e">
        <x:f>IF($A302="","",[1]!thsiFinD("ths_adjustment_nv_fund",E$3,$A302))</x:f>
        <x:v>#NAME?</x:v>
      </x:c>
      <x:c r="F302" s="146" t="e">
        <x:f>IF($A302="","",[1]!thsiFinD("ths_adjustment_nv_fund",F$3,$A302))</x:f>
        <x:v>#NAME?</x:v>
      </x:c>
      <x:c r="G302" s="146" t="e">
        <x:f>IF($A302="","",[1]!thsiFinD("ths_adjustment_nv_fund",G$3,$A302))</x:f>
        <x:v>#NAME?</x:v>
      </x:c>
      <x:c r="H302" s="146" t="e">
        <x:f>IF($A302="","",[1]!thsiFinD("ths_adjustment_nv_fund",H$3,$A302))</x:f>
        <x:v>#NAME?</x:v>
      </x:c>
      <x:c r="I302" s="146" t="e">
        <x:f>IF($A302="","",[1]!thsiFinD("ths_adjustment_nv_fund",I$3,$A302))</x:f>
        <x:v>#NAME?</x:v>
      </x:c>
      <x:c r="J302" s="146" t="e">
        <x:f>IF($A302="","",[1]!thsiFinD("ths_adjustment_nv_fund",J$3,$A302))</x:f>
        <x:v>#NAME?</x:v>
      </x:c>
      <x:c r="K302" s="146" t="e">
        <x:f>IF($A302="","",[1]!thsiFinD("ths_adjustment_nv_fund",K$3,$A302))</x:f>
        <x:v>#NAME?</x:v>
      </x:c>
      <x:c r="L302" s="146" t="e">
        <x:f>IF($A302="","",[1]!thsiFinD("ths_adjustment_nv_fund",L$3,$A302))</x:f>
        <x:v>#NAME?</x:v>
      </x:c>
      <x:c r="M302" s="146" t="e">
        <x:f>IF($A302="","",[1]!thsiFinD("ths_adjustment_nv_fund",M$3,$A302))</x:f>
        <x:v>#NAME?</x:v>
      </x:c>
      <x:c r="N302" s="146" t="e">
        <x:f>IF($A302="","",[1]!thsiFinD("ths_adjustment_nv_fund",N$3,$A302))</x:f>
        <x:v>#NAME?</x:v>
      </x:c>
      <x:c r="O302" s="146" t="e">
        <x:f>IF($A302="","",[1]!thsiFinD("ths_adjustment_nv_fund",O$3,$A302))</x:f>
        <x:v>#NAME?</x:v>
      </x:c>
      <x:c r="P302" s="146" t="e">
        <x:f>IF($A302="","",[1]!thsiFinD("ths_adjustment_nv_fund",P$3,$A302))</x:f>
        <x:v>#NAME?</x:v>
      </x:c>
      <x:c r="Q302" s="146" t="e">
        <x:f>IF($A302="","",[1]!thsiFinD("ths_adjustment_nv_fund",Q$3,$A302))</x:f>
        <x:v>#NAME?</x:v>
      </x:c>
      <x:c r="R302" s="146" t="e">
        <x:f>IF($A302="","",[1]!thsiFinD("ths_adjustment_nv_fund",R$3,$A302))</x:f>
        <x:v>#NAME?</x:v>
      </x:c>
      <x:c r="S302" s="146" t="e">
        <x:f>IF($A302="","",[1]!thsiFinD("ths_adjustment_nv_fund",S$3,$A302))</x:f>
        <x:v>#NAME?</x:v>
      </x:c>
      <x:c r="T302" s="146" t="e">
        <x:f>IF($A302="","",[1]!thsiFinD("ths_adjustment_nv_fund",T$3,$A302))</x:f>
        <x:v>#NAME?</x:v>
      </x:c>
      <x:c r="U302" s="146" t="e">
        <x:f>IF($A302="","",[1]!thsiFinD("ths_adjustment_nv_fund",U$3,$A302))</x:f>
        <x:v>#NAME?</x:v>
      </x:c>
      <x:c r="V302" s="146" t="e">
        <x:f>IF($A302="","",[1]!thsiFinD("ths_adjustment_nv_fund",V$3,$A302))</x:f>
        <x:v>#NAME?</x:v>
      </x:c>
      <x:c r="W302" s="146" t="e">
        <x:f>IF($A302="","",[1]!thsiFinD("ths_adjustment_nv_fund",W$3,$A302))</x:f>
        <x:v>#NAME?</x:v>
      </x:c>
      <x:c r="X302" s="146" t="e">
        <x:f>IF($A302="","",[1]!thsiFinD("ths_adjustment_nv_fund",X$3,$A302))</x:f>
        <x:v>#NAME?</x:v>
      </x:c>
      <x:c r="Y302" s="146" t="e">
        <x:f>IF($A302="","",[1]!thsiFinD("ths_adjustment_nv_fund",Y$3,$A302))</x:f>
        <x:v>#NAME?</x:v>
      </x:c>
      <x:c r="Z302" s="146" t="e">
        <x:f>IF($A302="","",[1]!thsiFinD("ths_adjustment_nv_fund",Z$3,$A302))</x:f>
        <x:v>#NAME?</x:v>
      </x:c>
      <x:c r="AA302" s="146" t="e">
        <x:f>IF($A302="","",[1]!thsiFinD("ths_adjustment_nv_fund",AA$3,$A302))</x:f>
        <x:v>#NAME?</x:v>
      </x:c>
    </x:row>
    <x:row r="303">
      <x:c r="B303" s="146" t="e">
        <x:f>IF($A303="","",[1]!thsiFinD("ths_adjustment_nv_fund",B$3,$A303))</x:f>
        <x:v>#NAME?</x:v>
      </x:c>
      <x:c r="C303" s="146" t="e">
        <x:f>IF($A303="","",[1]!thsiFinD("ths_adjustment_nv_fund",C$3,$A303))</x:f>
        <x:v>#NAME?</x:v>
      </x:c>
      <x:c r="D303" s="146" t="e">
        <x:f>IF($A303="","",[1]!thsiFinD("ths_adjustment_nv_fund",D$3,$A303))</x:f>
        <x:v>#NAME?</x:v>
      </x:c>
      <x:c r="E303" s="146" t="e">
        <x:f>IF($A303="","",[1]!thsiFinD("ths_adjustment_nv_fund",E$3,$A303))</x:f>
        <x:v>#NAME?</x:v>
      </x:c>
      <x:c r="F303" s="146" t="e">
        <x:f>IF($A303="","",[1]!thsiFinD("ths_adjustment_nv_fund",F$3,$A303))</x:f>
        <x:v>#NAME?</x:v>
      </x:c>
      <x:c r="G303" s="146" t="e">
        <x:f>IF($A303="","",[1]!thsiFinD("ths_adjustment_nv_fund",G$3,$A303))</x:f>
        <x:v>#NAME?</x:v>
      </x:c>
      <x:c r="H303" s="146" t="e">
        <x:f>IF($A303="","",[1]!thsiFinD("ths_adjustment_nv_fund",H$3,$A303))</x:f>
        <x:v>#NAME?</x:v>
      </x:c>
      <x:c r="I303" s="146" t="e">
        <x:f>IF($A303="","",[1]!thsiFinD("ths_adjustment_nv_fund",I$3,$A303))</x:f>
        <x:v>#NAME?</x:v>
      </x:c>
      <x:c r="J303" s="146" t="e">
        <x:f>IF($A303="","",[1]!thsiFinD("ths_adjustment_nv_fund",J$3,$A303))</x:f>
        <x:v>#NAME?</x:v>
      </x:c>
      <x:c r="K303" s="146" t="e">
        <x:f>IF($A303="","",[1]!thsiFinD("ths_adjustment_nv_fund",K$3,$A303))</x:f>
        <x:v>#NAME?</x:v>
      </x:c>
      <x:c r="L303" s="146" t="e">
        <x:f>IF($A303="","",[1]!thsiFinD("ths_adjustment_nv_fund",L$3,$A303))</x:f>
        <x:v>#NAME?</x:v>
      </x:c>
      <x:c r="M303" s="146" t="e">
        <x:f>IF($A303="","",[1]!thsiFinD("ths_adjustment_nv_fund",M$3,$A303))</x:f>
        <x:v>#NAME?</x:v>
      </x:c>
      <x:c r="N303" s="146" t="e">
        <x:f>IF($A303="","",[1]!thsiFinD("ths_adjustment_nv_fund",N$3,$A303))</x:f>
        <x:v>#NAME?</x:v>
      </x:c>
      <x:c r="O303" s="146" t="e">
        <x:f>IF($A303="","",[1]!thsiFinD("ths_adjustment_nv_fund",O$3,$A303))</x:f>
        <x:v>#NAME?</x:v>
      </x:c>
      <x:c r="P303" s="146" t="e">
        <x:f>IF($A303="","",[1]!thsiFinD("ths_adjustment_nv_fund",P$3,$A303))</x:f>
        <x:v>#NAME?</x:v>
      </x:c>
      <x:c r="Q303" s="146" t="e">
        <x:f>IF($A303="","",[1]!thsiFinD("ths_adjustment_nv_fund",Q$3,$A303))</x:f>
        <x:v>#NAME?</x:v>
      </x:c>
      <x:c r="R303" s="146" t="e">
        <x:f>IF($A303="","",[1]!thsiFinD("ths_adjustment_nv_fund",R$3,$A303))</x:f>
        <x:v>#NAME?</x:v>
      </x:c>
      <x:c r="S303" s="146" t="e">
        <x:f>IF($A303="","",[1]!thsiFinD("ths_adjustment_nv_fund",S$3,$A303))</x:f>
        <x:v>#NAME?</x:v>
      </x:c>
      <x:c r="T303" s="146" t="e">
        <x:f>IF($A303="","",[1]!thsiFinD("ths_adjustment_nv_fund",T$3,$A303))</x:f>
        <x:v>#NAME?</x:v>
      </x:c>
      <x:c r="U303" s="146" t="e">
        <x:f>IF($A303="","",[1]!thsiFinD("ths_adjustment_nv_fund",U$3,$A303))</x:f>
        <x:v>#NAME?</x:v>
      </x:c>
      <x:c r="V303" s="146" t="e">
        <x:f>IF($A303="","",[1]!thsiFinD("ths_adjustment_nv_fund",V$3,$A303))</x:f>
        <x:v>#NAME?</x:v>
      </x:c>
      <x:c r="W303" s="146" t="e">
        <x:f>IF($A303="","",[1]!thsiFinD("ths_adjustment_nv_fund",W$3,$A303))</x:f>
        <x:v>#NAME?</x:v>
      </x:c>
      <x:c r="X303" s="146" t="e">
        <x:f>IF($A303="","",[1]!thsiFinD("ths_adjustment_nv_fund",X$3,$A303))</x:f>
        <x:v>#NAME?</x:v>
      </x:c>
      <x:c r="Y303" s="146" t="e">
        <x:f>IF($A303="","",[1]!thsiFinD("ths_adjustment_nv_fund",Y$3,$A303))</x:f>
        <x:v>#NAME?</x:v>
      </x:c>
      <x:c r="Z303" s="146" t="e">
        <x:f>IF($A303="","",[1]!thsiFinD("ths_adjustment_nv_fund",Z$3,$A303))</x:f>
        <x:v>#NAME?</x:v>
      </x:c>
      <x:c r="AA303" s="146" t="e">
        <x:f>IF($A303="","",[1]!thsiFinD("ths_adjustment_nv_fund",AA$3,$A303))</x:f>
        <x:v>#NAME?</x:v>
      </x:c>
    </x:row>
    <x:row r="304">
      <x:c r="B304" s="146" t="e">
        <x:f>IF($A304="","",[1]!thsiFinD("ths_adjustment_nv_fund",B$3,$A304))</x:f>
        <x:v>#NAME?</x:v>
      </x:c>
      <x:c r="C304" s="146" t="e">
        <x:f>IF($A304="","",[1]!thsiFinD("ths_adjustment_nv_fund",C$3,$A304))</x:f>
        <x:v>#NAME?</x:v>
      </x:c>
      <x:c r="D304" s="146" t="e">
        <x:f>IF($A304="","",[1]!thsiFinD("ths_adjustment_nv_fund",D$3,$A304))</x:f>
        <x:v>#NAME?</x:v>
      </x:c>
      <x:c r="E304" s="146" t="e">
        <x:f>IF($A304="","",[1]!thsiFinD("ths_adjustment_nv_fund",E$3,$A304))</x:f>
        <x:v>#NAME?</x:v>
      </x:c>
      <x:c r="F304" s="146" t="e">
        <x:f>IF($A304="","",[1]!thsiFinD("ths_adjustment_nv_fund",F$3,$A304))</x:f>
        <x:v>#NAME?</x:v>
      </x:c>
      <x:c r="G304" s="146" t="e">
        <x:f>IF($A304="","",[1]!thsiFinD("ths_adjustment_nv_fund",G$3,$A304))</x:f>
        <x:v>#NAME?</x:v>
      </x:c>
      <x:c r="H304" s="146" t="e">
        <x:f>IF($A304="","",[1]!thsiFinD("ths_adjustment_nv_fund",H$3,$A304))</x:f>
        <x:v>#NAME?</x:v>
      </x:c>
      <x:c r="I304" s="146" t="e">
        <x:f>IF($A304="","",[1]!thsiFinD("ths_adjustment_nv_fund",I$3,$A304))</x:f>
        <x:v>#NAME?</x:v>
      </x:c>
      <x:c r="J304" s="146" t="e">
        <x:f>IF($A304="","",[1]!thsiFinD("ths_adjustment_nv_fund",J$3,$A304))</x:f>
        <x:v>#NAME?</x:v>
      </x:c>
      <x:c r="K304" s="146" t="e">
        <x:f>IF($A304="","",[1]!thsiFinD("ths_adjustment_nv_fund",K$3,$A304))</x:f>
        <x:v>#NAME?</x:v>
      </x:c>
      <x:c r="L304" s="146" t="e">
        <x:f>IF($A304="","",[1]!thsiFinD("ths_adjustment_nv_fund",L$3,$A304))</x:f>
        <x:v>#NAME?</x:v>
      </x:c>
      <x:c r="M304" s="146" t="e">
        <x:f>IF($A304="","",[1]!thsiFinD("ths_adjustment_nv_fund",M$3,$A304))</x:f>
        <x:v>#NAME?</x:v>
      </x:c>
      <x:c r="N304" s="146" t="e">
        <x:f>IF($A304="","",[1]!thsiFinD("ths_adjustment_nv_fund",N$3,$A304))</x:f>
        <x:v>#NAME?</x:v>
      </x:c>
      <x:c r="O304" s="146" t="e">
        <x:f>IF($A304="","",[1]!thsiFinD("ths_adjustment_nv_fund",O$3,$A304))</x:f>
        <x:v>#NAME?</x:v>
      </x:c>
      <x:c r="P304" s="146" t="e">
        <x:f>IF($A304="","",[1]!thsiFinD("ths_adjustment_nv_fund",P$3,$A304))</x:f>
        <x:v>#NAME?</x:v>
      </x:c>
      <x:c r="Q304" s="146" t="e">
        <x:f>IF($A304="","",[1]!thsiFinD("ths_adjustment_nv_fund",Q$3,$A304))</x:f>
        <x:v>#NAME?</x:v>
      </x:c>
      <x:c r="R304" s="146" t="e">
        <x:f>IF($A304="","",[1]!thsiFinD("ths_adjustment_nv_fund",R$3,$A304))</x:f>
        <x:v>#NAME?</x:v>
      </x:c>
      <x:c r="S304" s="146" t="e">
        <x:f>IF($A304="","",[1]!thsiFinD("ths_adjustment_nv_fund",S$3,$A304))</x:f>
        <x:v>#NAME?</x:v>
      </x:c>
      <x:c r="T304" s="146" t="e">
        <x:f>IF($A304="","",[1]!thsiFinD("ths_adjustment_nv_fund",T$3,$A304))</x:f>
        <x:v>#NAME?</x:v>
      </x:c>
      <x:c r="U304" s="146" t="e">
        <x:f>IF($A304="","",[1]!thsiFinD("ths_adjustment_nv_fund",U$3,$A304))</x:f>
        <x:v>#NAME?</x:v>
      </x:c>
      <x:c r="V304" s="146" t="e">
        <x:f>IF($A304="","",[1]!thsiFinD("ths_adjustment_nv_fund",V$3,$A304))</x:f>
        <x:v>#NAME?</x:v>
      </x:c>
      <x:c r="W304" s="146" t="e">
        <x:f>IF($A304="","",[1]!thsiFinD("ths_adjustment_nv_fund",W$3,$A304))</x:f>
        <x:v>#NAME?</x:v>
      </x:c>
      <x:c r="X304" s="146" t="e">
        <x:f>IF($A304="","",[1]!thsiFinD("ths_adjustment_nv_fund",X$3,$A304))</x:f>
        <x:v>#NAME?</x:v>
      </x:c>
      <x:c r="Y304" s="146" t="e">
        <x:f>IF($A304="","",[1]!thsiFinD("ths_adjustment_nv_fund",Y$3,$A304))</x:f>
        <x:v>#NAME?</x:v>
      </x:c>
      <x:c r="Z304" s="146" t="e">
        <x:f>IF($A304="","",[1]!thsiFinD("ths_adjustment_nv_fund",Z$3,$A304))</x:f>
        <x:v>#NAME?</x:v>
      </x:c>
      <x:c r="AA304" s="146" t="e">
        <x:f>IF($A304="","",[1]!thsiFinD("ths_adjustment_nv_fund",AA$3,$A304))</x:f>
        <x:v>#NAME?</x:v>
      </x:c>
    </x:row>
    <x:row r="305">
      <x:c r="B305" s="146" t="e">
        <x:f>IF($A305="","",[1]!thsiFinD("ths_adjustment_nv_fund",B$3,$A305))</x:f>
        <x:v>#NAME?</x:v>
      </x:c>
      <x:c r="C305" s="146" t="e">
        <x:f>IF($A305="","",[1]!thsiFinD("ths_adjustment_nv_fund",C$3,$A305))</x:f>
        <x:v>#NAME?</x:v>
      </x:c>
      <x:c r="D305" s="146" t="e">
        <x:f>IF($A305="","",[1]!thsiFinD("ths_adjustment_nv_fund",D$3,$A305))</x:f>
        <x:v>#NAME?</x:v>
      </x:c>
      <x:c r="E305" s="146" t="e">
        <x:f>IF($A305="","",[1]!thsiFinD("ths_adjustment_nv_fund",E$3,$A305))</x:f>
        <x:v>#NAME?</x:v>
      </x:c>
      <x:c r="F305" s="146" t="e">
        <x:f>IF($A305="","",[1]!thsiFinD("ths_adjustment_nv_fund",F$3,$A305))</x:f>
        <x:v>#NAME?</x:v>
      </x:c>
      <x:c r="G305" s="146" t="e">
        <x:f>IF($A305="","",[1]!thsiFinD("ths_adjustment_nv_fund",G$3,$A305))</x:f>
        <x:v>#NAME?</x:v>
      </x:c>
      <x:c r="H305" s="146" t="e">
        <x:f>IF($A305="","",[1]!thsiFinD("ths_adjustment_nv_fund",H$3,$A305))</x:f>
        <x:v>#NAME?</x:v>
      </x:c>
      <x:c r="I305" s="146" t="e">
        <x:f>IF($A305="","",[1]!thsiFinD("ths_adjustment_nv_fund",I$3,$A305))</x:f>
        <x:v>#NAME?</x:v>
      </x:c>
      <x:c r="J305" s="146" t="e">
        <x:f>IF($A305="","",[1]!thsiFinD("ths_adjustment_nv_fund",J$3,$A305))</x:f>
        <x:v>#NAME?</x:v>
      </x:c>
      <x:c r="K305" s="146" t="e">
        <x:f>IF($A305="","",[1]!thsiFinD("ths_adjustment_nv_fund",K$3,$A305))</x:f>
        <x:v>#NAME?</x:v>
      </x:c>
      <x:c r="L305" s="146" t="e">
        <x:f>IF($A305="","",[1]!thsiFinD("ths_adjustment_nv_fund",L$3,$A305))</x:f>
        <x:v>#NAME?</x:v>
      </x:c>
      <x:c r="M305" s="146" t="e">
        <x:f>IF($A305="","",[1]!thsiFinD("ths_adjustment_nv_fund",M$3,$A305))</x:f>
        <x:v>#NAME?</x:v>
      </x:c>
      <x:c r="N305" s="146" t="e">
        <x:f>IF($A305="","",[1]!thsiFinD("ths_adjustment_nv_fund",N$3,$A305))</x:f>
        <x:v>#NAME?</x:v>
      </x:c>
      <x:c r="O305" s="146" t="e">
        <x:f>IF($A305="","",[1]!thsiFinD("ths_adjustment_nv_fund",O$3,$A305))</x:f>
        <x:v>#NAME?</x:v>
      </x:c>
      <x:c r="P305" s="146" t="e">
        <x:f>IF($A305="","",[1]!thsiFinD("ths_adjustment_nv_fund",P$3,$A305))</x:f>
        <x:v>#NAME?</x:v>
      </x:c>
      <x:c r="Q305" s="146" t="e">
        <x:f>IF($A305="","",[1]!thsiFinD("ths_adjustment_nv_fund",Q$3,$A305))</x:f>
        <x:v>#NAME?</x:v>
      </x:c>
      <x:c r="R305" s="146" t="e">
        <x:f>IF($A305="","",[1]!thsiFinD("ths_adjustment_nv_fund",R$3,$A305))</x:f>
        <x:v>#NAME?</x:v>
      </x:c>
      <x:c r="S305" s="146" t="e">
        <x:f>IF($A305="","",[1]!thsiFinD("ths_adjustment_nv_fund",S$3,$A305))</x:f>
        <x:v>#NAME?</x:v>
      </x:c>
      <x:c r="T305" s="146" t="e">
        <x:f>IF($A305="","",[1]!thsiFinD("ths_adjustment_nv_fund",T$3,$A305))</x:f>
        <x:v>#NAME?</x:v>
      </x:c>
      <x:c r="U305" s="146" t="e">
        <x:f>IF($A305="","",[1]!thsiFinD("ths_adjustment_nv_fund",U$3,$A305))</x:f>
        <x:v>#NAME?</x:v>
      </x:c>
      <x:c r="V305" s="146" t="e">
        <x:f>IF($A305="","",[1]!thsiFinD("ths_adjustment_nv_fund",V$3,$A305))</x:f>
        <x:v>#NAME?</x:v>
      </x:c>
      <x:c r="W305" s="146" t="e">
        <x:f>IF($A305="","",[1]!thsiFinD("ths_adjustment_nv_fund",W$3,$A305))</x:f>
        <x:v>#NAME?</x:v>
      </x:c>
      <x:c r="X305" s="146" t="e">
        <x:f>IF($A305="","",[1]!thsiFinD("ths_adjustment_nv_fund",X$3,$A305))</x:f>
        <x:v>#NAME?</x:v>
      </x:c>
      <x:c r="Y305" s="146" t="e">
        <x:f>IF($A305="","",[1]!thsiFinD("ths_adjustment_nv_fund",Y$3,$A305))</x:f>
        <x:v>#NAME?</x:v>
      </x:c>
      <x:c r="Z305" s="146" t="e">
        <x:f>IF($A305="","",[1]!thsiFinD("ths_adjustment_nv_fund",Z$3,$A305))</x:f>
        <x:v>#NAME?</x:v>
      </x:c>
      <x:c r="AA305" s="146" t="e">
        <x:f>IF($A305="","",[1]!thsiFinD("ths_adjustment_nv_fund",AA$3,$A305))</x:f>
        <x:v>#NAME?</x:v>
      </x:c>
    </x:row>
    <x:row r="306">
      <x:c r="B306" s="146" t="e">
        <x:f>IF($A306="","",[1]!thsiFinD("ths_adjustment_nv_fund",B$3,$A306))</x:f>
        <x:v>#NAME?</x:v>
      </x:c>
      <x:c r="C306" s="146" t="e">
        <x:f>IF($A306="","",[1]!thsiFinD("ths_adjustment_nv_fund",C$3,$A306))</x:f>
        <x:v>#NAME?</x:v>
      </x:c>
      <x:c r="D306" s="146" t="e">
        <x:f>IF($A306="","",[1]!thsiFinD("ths_adjustment_nv_fund",D$3,$A306))</x:f>
        <x:v>#NAME?</x:v>
      </x:c>
      <x:c r="E306" s="146" t="e">
        <x:f>IF($A306="","",[1]!thsiFinD("ths_adjustment_nv_fund",E$3,$A306))</x:f>
        <x:v>#NAME?</x:v>
      </x:c>
      <x:c r="F306" s="146" t="e">
        <x:f>IF($A306="","",[1]!thsiFinD("ths_adjustment_nv_fund",F$3,$A306))</x:f>
        <x:v>#NAME?</x:v>
      </x:c>
      <x:c r="G306" s="146" t="e">
        <x:f>IF($A306="","",[1]!thsiFinD("ths_adjustment_nv_fund",G$3,$A306))</x:f>
        <x:v>#NAME?</x:v>
      </x:c>
      <x:c r="H306" s="146" t="e">
        <x:f>IF($A306="","",[1]!thsiFinD("ths_adjustment_nv_fund",H$3,$A306))</x:f>
        <x:v>#NAME?</x:v>
      </x:c>
      <x:c r="I306" s="146" t="e">
        <x:f>IF($A306="","",[1]!thsiFinD("ths_adjustment_nv_fund",I$3,$A306))</x:f>
        <x:v>#NAME?</x:v>
      </x:c>
      <x:c r="J306" s="146" t="e">
        <x:f>IF($A306="","",[1]!thsiFinD("ths_adjustment_nv_fund",J$3,$A306))</x:f>
        <x:v>#NAME?</x:v>
      </x:c>
      <x:c r="K306" s="146" t="e">
        <x:f>IF($A306="","",[1]!thsiFinD("ths_adjustment_nv_fund",K$3,$A306))</x:f>
        <x:v>#NAME?</x:v>
      </x:c>
      <x:c r="L306" s="146" t="e">
        <x:f>IF($A306="","",[1]!thsiFinD("ths_adjustment_nv_fund",L$3,$A306))</x:f>
        <x:v>#NAME?</x:v>
      </x:c>
      <x:c r="M306" s="146" t="e">
        <x:f>IF($A306="","",[1]!thsiFinD("ths_adjustment_nv_fund",M$3,$A306))</x:f>
        <x:v>#NAME?</x:v>
      </x:c>
      <x:c r="N306" s="146" t="e">
        <x:f>IF($A306="","",[1]!thsiFinD("ths_adjustment_nv_fund",N$3,$A306))</x:f>
        <x:v>#NAME?</x:v>
      </x:c>
      <x:c r="O306" s="146" t="e">
        <x:f>IF($A306="","",[1]!thsiFinD("ths_adjustment_nv_fund",O$3,$A306))</x:f>
        <x:v>#NAME?</x:v>
      </x:c>
      <x:c r="P306" s="146" t="e">
        <x:f>IF($A306="","",[1]!thsiFinD("ths_adjustment_nv_fund",P$3,$A306))</x:f>
        <x:v>#NAME?</x:v>
      </x:c>
      <x:c r="Q306" s="146" t="e">
        <x:f>IF($A306="","",[1]!thsiFinD("ths_adjustment_nv_fund",Q$3,$A306))</x:f>
        <x:v>#NAME?</x:v>
      </x:c>
      <x:c r="R306" s="146" t="e">
        <x:f>IF($A306="","",[1]!thsiFinD("ths_adjustment_nv_fund",R$3,$A306))</x:f>
        <x:v>#NAME?</x:v>
      </x:c>
      <x:c r="S306" s="146" t="e">
        <x:f>IF($A306="","",[1]!thsiFinD("ths_adjustment_nv_fund",S$3,$A306))</x:f>
        <x:v>#NAME?</x:v>
      </x:c>
      <x:c r="T306" s="146" t="e">
        <x:f>IF($A306="","",[1]!thsiFinD("ths_adjustment_nv_fund",T$3,$A306))</x:f>
        <x:v>#NAME?</x:v>
      </x:c>
      <x:c r="U306" s="146" t="e">
        <x:f>IF($A306="","",[1]!thsiFinD("ths_adjustment_nv_fund",U$3,$A306))</x:f>
        <x:v>#NAME?</x:v>
      </x:c>
      <x:c r="V306" s="146" t="e">
        <x:f>IF($A306="","",[1]!thsiFinD("ths_adjustment_nv_fund",V$3,$A306))</x:f>
        <x:v>#NAME?</x:v>
      </x:c>
      <x:c r="W306" s="146" t="e">
        <x:f>IF($A306="","",[1]!thsiFinD("ths_adjustment_nv_fund",W$3,$A306))</x:f>
        <x:v>#NAME?</x:v>
      </x:c>
      <x:c r="X306" s="146" t="e">
        <x:f>IF($A306="","",[1]!thsiFinD("ths_adjustment_nv_fund",X$3,$A306))</x:f>
        <x:v>#NAME?</x:v>
      </x:c>
      <x:c r="Y306" s="146" t="e">
        <x:f>IF($A306="","",[1]!thsiFinD("ths_adjustment_nv_fund",Y$3,$A306))</x:f>
        <x:v>#NAME?</x:v>
      </x:c>
      <x:c r="Z306" s="146" t="e">
        <x:f>IF($A306="","",[1]!thsiFinD("ths_adjustment_nv_fund",Z$3,$A306))</x:f>
        <x:v>#NAME?</x:v>
      </x:c>
      <x:c r="AA306" s="146" t="e">
        <x:f>IF($A306="","",[1]!thsiFinD("ths_adjustment_nv_fund",AA$3,$A306))</x:f>
        <x:v>#NAME?</x:v>
      </x:c>
    </x:row>
    <x:row r="307">
      <x:c r="B307" s="146" t="e">
        <x:f>IF($A307="","",[1]!thsiFinD("ths_adjustment_nv_fund",B$3,$A307))</x:f>
        <x:v>#NAME?</x:v>
      </x:c>
      <x:c r="C307" s="146" t="e">
        <x:f>IF($A307="","",[1]!thsiFinD("ths_adjustment_nv_fund",C$3,$A307))</x:f>
        <x:v>#NAME?</x:v>
      </x:c>
      <x:c r="D307" s="146" t="e">
        <x:f>IF($A307="","",[1]!thsiFinD("ths_adjustment_nv_fund",D$3,$A307))</x:f>
        <x:v>#NAME?</x:v>
      </x:c>
      <x:c r="E307" s="146" t="e">
        <x:f>IF($A307="","",[1]!thsiFinD("ths_adjustment_nv_fund",E$3,$A307))</x:f>
        <x:v>#NAME?</x:v>
      </x:c>
      <x:c r="F307" s="146" t="e">
        <x:f>IF($A307="","",[1]!thsiFinD("ths_adjustment_nv_fund",F$3,$A307))</x:f>
        <x:v>#NAME?</x:v>
      </x:c>
      <x:c r="G307" s="146" t="e">
        <x:f>IF($A307="","",[1]!thsiFinD("ths_adjustment_nv_fund",G$3,$A307))</x:f>
        <x:v>#NAME?</x:v>
      </x:c>
      <x:c r="H307" s="146" t="e">
        <x:f>IF($A307="","",[1]!thsiFinD("ths_adjustment_nv_fund",H$3,$A307))</x:f>
        <x:v>#NAME?</x:v>
      </x:c>
      <x:c r="I307" s="146" t="e">
        <x:f>IF($A307="","",[1]!thsiFinD("ths_adjustment_nv_fund",I$3,$A307))</x:f>
        <x:v>#NAME?</x:v>
      </x:c>
      <x:c r="J307" s="146" t="e">
        <x:f>IF($A307="","",[1]!thsiFinD("ths_adjustment_nv_fund",J$3,$A307))</x:f>
        <x:v>#NAME?</x:v>
      </x:c>
      <x:c r="K307" s="146" t="e">
        <x:f>IF($A307="","",[1]!thsiFinD("ths_adjustment_nv_fund",K$3,$A307))</x:f>
        <x:v>#NAME?</x:v>
      </x:c>
      <x:c r="L307" s="146" t="e">
        <x:f>IF($A307="","",[1]!thsiFinD("ths_adjustment_nv_fund",L$3,$A307))</x:f>
        <x:v>#NAME?</x:v>
      </x:c>
      <x:c r="M307" s="146" t="e">
        <x:f>IF($A307="","",[1]!thsiFinD("ths_adjustment_nv_fund",M$3,$A307))</x:f>
        <x:v>#NAME?</x:v>
      </x:c>
      <x:c r="N307" s="146" t="e">
        <x:f>IF($A307="","",[1]!thsiFinD("ths_adjustment_nv_fund",N$3,$A307))</x:f>
        <x:v>#NAME?</x:v>
      </x:c>
      <x:c r="O307" s="146" t="e">
        <x:f>IF($A307="","",[1]!thsiFinD("ths_adjustment_nv_fund",O$3,$A307))</x:f>
        <x:v>#NAME?</x:v>
      </x:c>
      <x:c r="P307" s="146" t="e">
        <x:f>IF($A307="","",[1]!thsiFinD("ths_adjustment_nv_fund",P$3,$A307))</x:f>
        <x:v>#NAME?</x:v>
      </x:c>
      <x:c r="Q307" s="146" t="e">
        <x:f>IF($A307="","",[1]!thsiFinD("ths_adjustment_nv_fund",Q$3,$A307))</x:f>
        <x:v>#NAME?</x:v>
      </x:c>
      <x:c r="R307" s="146" t="e">
        <x:f>IF($A307="","",[1]!thsiFinD("ths_adjustment_nv_fund",R$3,$A307))</x:f>
        <x:v>#NAME?</x:v>
      </x:c>
      <x:c r="S307" s="146" t="e">
        <x:f>IF($A307="","",[1]!thsiFinD("ths_adjustment_nv_fund",S$3,$A307))</x:f>
        <x:v>#NAME?</x:v>
      </x:c>
      <x:c r="T307" s="146" t="e">
        <x:f>IF($A307="","",[1]!thsiFinD("ths_adjustment_nv_fund",T$3,$A307))</x:f>
        <x:v>#NAME?</x:v>
      </x:c>
      <x:c r="U307" s="146" t="e">
        <x:f>IF($A307="","",[1]!thsiFinD("ths_adjustment_nv_fund",U$3,$A307))</x:f>
        <x:v>#NAME?</x:v>
      </x:c>
      <x:c r="V307" s="146" t="e">
        <x:f>IF($A307="","",[1]!thsiFinD("ths_adjustment_nv_fund",V$3,$A307))</x:f>
        <x:v>#NAME?</x:v>
      </x:c>
      <x:c r="W307" s="146" t="e">
        <x:f>IF($A307="","",[1]!thsiFinD("ths_adjustment_nv_fund",W$3,$A307))</x:f>
        <x:v>#NAME?</x:v>
      </x:c>
      <x:c r="X307" s="146" t="e">
        <x:f>IF($A307="","",[1]!thsiFinD("ths_adjustment_nv_fund",X$3,$A307))</x:f>
        <x:v>#NAME?</x:v>
      </x:c>
      <x:c r="Y307" s="146" t="e">
        <x:f>IF($A307="","",[1]!thsiFinD("ths_adjustment_nv_fund",Y$3,$A307))</x:f>
        <x:v>#NAME?</x:v>
      </x:c>
      <x:c r="Z307" s="146" t="e">
        <x:f>IF($A307="","",[1]!thsiFinD("ths_adjustment_nv_fund",Z$3,$A307))</x:f>
        <x:v>#NAME?</x:v>
      </x:c>
      <x:c r="AA307" s="146" t="e">
        <x:f>IF($A307="","",[1]!thsiFinD("ths_adjustment_nv_fund",AA$3,$A307))</x:f>
        <x:v>#NAME?</x:v>
      </x:c>
    </x:row>
    <x:row r="308">
      <x:c r="B308" s="146" t="e">
        <x:f>IF($A308="","",[1]!thsiFinD("ths_adjustment_nv_fund",B$3,$A308))</x:f>
        <x:v>#NAME?</x:v>
      </x:c>
      <x:c r="C308" s="146" t="e">
        <x:f>IF($A308="","",[1]!thsiFinD("ths_adjustment_nv_fund",C$3,$A308))</x:f>
        <x:v>#NAME?</x:v>
      </x:c>
      <x:c r="D308" s="146" t="e">
        <x:f>IF($A308="","",[1]!thsiFinD("ths_adjustment_nv_fund",D$3,$A308))</x:f>
        <x:v>#NAME?</x:v>
      </x:c>
      <x:c r="E308" s="146" t="e">
        <x:f>IF($A308="","",[1]!thsiFinD("ths_adjustment_nv_fund",E$3,$A308))</x:f>
        <x:v>#NAME?</x:v>
      </x:c>
      <x:c r="F308" s="146" t="e">
        <x:f>IF($A308="","",[1]!thsiFinD("ths_adjustment_nv_fund",F$3,$A308))</x:f>
        <x:v>#NAME?</x:v>
      </x:c>
      <x:c r="G308" s="146" t="e">
        <x:f>IF($A308="","",[1]!thsiFinD("ths_adjustment_nv_fund",G$3,$A308))</x:f>
        <x:v>#NAME?</x:v>
      </x:c>
      <x:c r="H308" s="146" t="e">
        <x:f>IF($A308="","",[1]!thsiFinD("ths_adjustment_nv_fund",H$3,$A308))</x:f>
        <x:v>#NAME?</x:v>
      </x:c>
      <x:c r="I308" s="146" t="e">
        <x:f>IF($A308="","",[1]!thsiFinD("ths_adjustment_nv_fund",I$3,$A308))</x:f>
        <x:v>#NAME?</x:v>
      </x:c>
      <x:c r="J308" s="146" t="e">
        <x:f>IF($A308="","",[1]!thsiFinD("ths_adjustment_nv_fund",J$3,$A308))</x:f>
        <x:v>#NAME?</x:v>
      </x:c>
      <x:c r="K308" s="146" t="e">
        <x:f>IF($A308="","",[1]!thsiFinD("ths_adjustment_nv_fund",K$3,$A308))</x:f>
        <x:v>#NAME?</x:v>
      </x:c>
      <x:c r="L308" s="146" t="e">
        <x:f>IF($A308="","",[1]!thsiFinD("ths_adjustment_nv_fund",L$3,$A308))</x:f>
        <x:v>#NAME?</x:v>
      </x:c>
      <x:c r="M308" s="146" t="e">
        <x:f>IF($A308="","",[1]!thsiFinD("ths_adjustment_nv_fund",M$3,$A308))</x:f>
        <x:v>#NAME?</x:v>
      </x:c>
      <x:c r="N308" s="146" t="e">
        <x:f>IF($A308="","",[1]!thsiFinD("ths_adjustment_nv_fund",N$3,$A308))</x:f>
        <x:v>#NAME?</x:v>
      </x:c>
      <x:c r="O308" s="146" t="e">
        <x:f>IF($A308="","",[1]!thsiFinD("ths_adjustment_nv_fund",O$3,$A308))</x:f>
        <x:v>#NAME?</x:v>
      </x:c>
      <x:c r="P308" s="146" t="e">
        <x:f>IF($A308="","",[1]!thsiFinD("ths_adjustment_nv_fund",P$3,$A308))</x:f>
        <x:v>#NAME?</x:v>
      </x:c>
      <x:c r="Q308" s="146" t="e">
        <x:f>IF($A308="","",[1]!thsiFinD("ths_adjustment_nv_fund",Q$3,$A308))</x:f>
        <x:v>#NAME?</x:v>
      </x:c>
      <x:c r="R308" s="146" t="e">
        <x:f>IF($A308="","",[1]!thsiFinD("ths_adjustment_nv_fund",R$3,$A308))</x:f>
        <x:v>#NAME?</x:v>
      </x:c>
      <x:c r="S308" s="146" t="e">
        <x:f>IF($A308="","",[1]!thsiFinD("ths_adjustment_nv_fund",S$3,$A308))</x:f>
        <x:v>#NAME?</x:v>
      </x:c>
      <x:c r="T308" s="146" t="e">
        <x:f>IF($A308="","",[1]!thsiFinD("ths_adjustment_nv_fund",T$3,$A308))</x:f>
        <x:v>#NAME?</x:v>
      </x:c>
      <x:c r="U308" s="146" t="e">
        <x:f>IF($A308="","",[1]!thsiFinD("ths_adjustment_nv_fund",U$3,$A308))</x:f>
        <x:v>#NAME?</x:v>
      </x:c>
      <x:c r="V308" s="146" t="e">
        <x:f>IF($A308="","",[1]!thsiFinD("ths_adjustment_nv_fund",V$3,$A308))</x:f>
        <x:v>#NAME?</x:v>
      </x:c>
      <x:c r="W308" s="146" t="e">
        <x:f>IF($A308="","",[1]!thsiFinD("ths_adjustment_nv_fund",W$3,$A308))</x:f>
        <x:v>#NAME?</x:v>
      </x:c>
      <x:c r="X308" s="146" t="e">
        <x:f>IF($A308="","",[1]!thsiFinD("ths_adjustment_nv_fund",X$3,$A308))</x:f>
        <x:v>#NAME?</x:v>
      </x:c>
      <x:c r="Y308" s="146" t="e">
        <x:f>IF($A308="","",[1]!thsiFinD("ths_adjustment_nv_fund",Y$3,$A308))</x:f>
        <x:v>#NAME?</x:v>
      </x:c>
      <x:c r="Z308" s="146" t="e">
        <x:f>IF($A308="","",[1]!thsiFinD("ths_adjustment_nv_fund",Z$3,$A308))</x:f>
        <x:v>#NAME?</x:v>
      </x:c>
      <x:c r="AA308" s="146" t="e">
        <x:f>IF($A308="","",[1]!thsiFinD("ths_adjustment_nv_fund",AA$3,$A308))</x:f>
        <x:v>#NAME?</x:v>
      </x:c>
    </x:row>
    <x:row r="309">
      <x:c r="B309" s="146" t="e">
        <x:f>IF($A309="","",[1]!thsiFinD("ths_adjustment_nv_fund",B$3,$A309))</x:f>
        <x:v>#NAME?</x:v>
      </x:c>
      <x:c r="C309" s="146" t="e">
        <x:f>IF($A309="","",[1]!thsiFinD("ths_adjustment_nv_fund",C$3,$A309))</x:f>
        <x:v>#NAME?</x:v>
      </x:c>
      <x:c r="D309" s="146" t="e">
        <x:f>IF($A309="","",[1]!thsiFinD("ths_adjustment_nv_fund",D$3,$A309))</x:f>
        <x:v>#NAME?</x:v>
      </x:c>
      <x:c r="E309" s="146" t="e">
        <x:f>IF($A309="","",[1]!thsiFinD("ths_adjustment_nv_fund",E$3,$A309))</x:f>
        <x:v>#NAME?</x:v>
      </x:c>
      <x:c r="F309" s="146" t="e">
        <x:f>IF($A309="","",[1]!thsiFinD("ths_adjustment_nv_fund",F$3,$A309))</x:f>
        <x:v>#NAME?</x:v>
      </x:c>
      <x:c r="G309" s="146" t="e">
        <x:f>IF($A309="","",[1]!thsiFinD("ths_adjustment_nv_fund",G$3,$A309))</x:f>
        <x:v>#NAME?</x:v>
      </x:c>
      <x:c r="H309" s="146" t="e">
        <x:f>IF($A309="","",[1]!thsiFinD("ths_adjustment_nv_fund",H$3,$A309))</x:f>
        <x:v>#NAME?</x:v>
      </x:c>
      <x:c r="I309" s="146" t="e">
        <x:f>IF($A309="","",[1]!thsiFinD("ths_adjustment_nv_fund",I$3,$A309))</x:f>
        <x:v>#NAME?</x:v>
      </x:c>
      <x:c r="J309" s="146" t="e">
        <x:f>IF($A309="","",[1]!thsiFinD("ths_adjustment_nv_fund",J$3,$A309))</x:f>
        <x:v>#NAME?</x:v>
      </x:c>
      <x:c r="K309" s="146" t="e">
        <x:f>IF($A309="","",[1]!thsiFinD("ths_adjustment_nv_fund",K$3,$A309))</x:f>
        <x:v>#NAME?</x:v>
      </x:c>
      <x:c r="L309" s="146" t="e">
        <x:f>IF($A309="","",[1]!thsiFinD("ths_adjustment_nv_fund",L$3,$A309))</x:f>
        <x:v>#NAME?</x:v>
      </x:c>
      <x:c r="M309" s="146" t="e">
        <x:f>IF($A309="","",[1]!thsiFinD("ths_adjustment_nv_fund",M$3,$A309))</x:f>
        <x:v>#NAME?</x:v>
      </x:c>
      <x:c r="N309" s="146" t="e">
        <x:f>IF($A309="","",[1]!thsiFinD("ths_adjustment_nv_fund",N$3,$A309))</x:f>
        <x:v>#NAME?</x:v>
      </x:c>
      <x:c r="O309" s="146" t="e">
        <x:f>IF($A309="","",[1]!thsiFinD("ths_adjustment_nv_fund",O$3,$A309))</x:f>
        <x:v>#NAME?</x:v>
      </x:c>
      <x:c r="P309" s="146" t="e">
        <x:f>IF($A309="","",[1]!thsiFinD("ths_adjustment_nv_fund",P$3,$A309))</x:f>
        <x:v>#NAME?</x:v>
      </x:c>
      <x:c r="Q309" s="146" t="e">
        <x:f>IF($A309="","",[1]!thsiFinD("ths_adjustment_nv_fund",Q$3,$A309))</x:f>
        <x:v>#NAME?</x:v>
      </x:c>
      <x:c r="R309" s="146" t="e">
        <x:f>IF($A309="","",[1]!thsiFinD("ths_adjustment_nv_fund",R$3,$A309))</x:f>
        <x:v>#NAME?</x:v>
      </x:c>
      <x:c r="S309" s="146" t="e">
        <x:f>IF($A309="","",[1]!thsiFinD("ths_adjustment_nv_fund",S$3,$A309))</x:f>
        <x:v>#NAME?</x:v>
      </x:c>
      <x:c r="T309" s="146" t="e">
        <x:f>IF($A309="","",[1]!thsiFinD("ths_adjustment_nv_fund",T$3,$A309))</x:f>
        <x:v>#NAME?</x:v>
      </x:c>
      <x:c r="U309" s="146" t="e">
        <x:f>IF($A309="","",[1]!thsiFinD("ths_adjustment_nv_fund",U$3,$A309))</x:f>
        <x:v>#NAME?</x:v>
      </x:c>
      <x:c r="V309" s="146" t="e">
        <x:f>IF($A309="","",[1]!thsiFinD("ths_adjustment_nv_fund",V$3,$A309))</x:f>
        <x:v>#NAME?</x:v>
      </x:c>
      <x:c r="W309" s="146" t="e">
        <x:f>IF($A309="","",[1]!thsiFinD("ths_adjustment_nv_fund",W$3,$A309))</x:f>
        <x:v>#NAME?</x:v>
      </x:c>
      <x:c r="X309" s="146" t="e">
        <x:f>IF($A309="","",[1]!thsiFinD("ths_adjustment_nv_fund",X$3,$A309))</x:f>
        <x:v>#NAME?</x:v>
      </x:c>
      <x:c r="Y309" s="146" t="e">
        <x:f>IF($A309="","",[1]!thsiFinD("ths_adjustment_nv_fund",Y$3,$A309))</x:f>
        <x:v>#NAME?</x:v>
      </x:c>
      <x:c r="Z309" s="146" t="e">
        <x:f>IF($A309="","",[1]!thsiFinD("ths_adjustment_nv_fund",Z$3,$A309))</x:f>
        <x:v>#NAME?</x:v>
      </x:c>
      <x:c r="AA309" s="146" t="e">
        <x:f>IF($A309="","",[1]!thsiFinD("ths_adjustment_nv_fund",AA$3,$A309))</x:f>
        <x:v>#NAME?</x:v>
      </x:c>
    </x:row>
    <x:row r="310">
      <x:c r="B310" s="146" t="e">
        <x:f>IF($A310="","",[1]!thsiFinD("ths_adjustment_nv_fund",B$3,$A310))</x:f>
        <x:v>#NAME?</x:v>
      </x:c>
      <x:c r="C310" s="146" t="e">
        <x:f>IF($A310="","",[1]!thsiFinD("ths_adjustment_nv_fund",C$3,$A310))</x:f>
        <x:v>#NAME?</x:v>
      </x:c>
      <x:c r="D310" s="146" t="e">
        <x:f>IF($A310="","",[1]!thsiFinD("ths_adjustment_nv_fund",D$3,$A310))</x:f>
        <x:v>#NAME?</x:v>
      </x:c>
      <x:c r="E310" s="146" t="e">
        <x:f>IF($A310="","",[1]!thsiFinD("ths_adjustment_nv_fund",E$3,$A310))</x:f>
        <x:v>#NAME?</x:v>
      </x:c>
      <x:c r="F310" s="146" t="e">
        <x:f>IF($A310="","",[1]!thsiFinD("ths_adjustment_nv_fund",F$3,$A310))</x:f>
        <x:v>#NAME?</x:v>
      </x:c>
      <x:c r="G310" s="146" t="e">
        <x:f>IF($A310="","",[1]!thsiFinD("ths_adjustment_nv_fund",G$3,$A310))</x:f>
        <x:v>#NAME?</x:v>
      </x:c>
      <x:c r="H310" s="146" t="e">
        <x:f>IF($A310="","",[1]!thsiFinD("ths_adjustment_nv_fund",H$3,$A310))</x:f>
        <x:v>#NAME?</x:v>
      </x:c>
      <x:c r="I310" s="146" t="e">
        <x:f>IF($A310="","",[1]!thsiFinD("ths_adjustment_nv_fund",I$3,$A310))</x:f>
        <x:v>#NAME?</x:v>
      </x:c>
      <x:c r="J310" s="146" t="e">
        <x:f>IF($A310="","",[1]!thsiFinD("ths_adjustment_nv_fund",J$3,$A310))</x:f>
        <x:v>#NAME?</x:v>
      </x:c>
      <x:c r="K310" s="146" t="e">
        <x:f>IF($A310="","",[1]!thsiFinD("ths_adjustment_nv_fund",K$3,$A310))</x:f>
        <x:v>#NAME?</x:v>
      </x:c>
      <x:c r="L310" s="146" t="e">
        <x:f>IF($A310="","",[1]!thsiFinD("ths_adjustment_nv_fund",L$3,$A310))</x:f>
        <x:v>#NAME?</x:v>
      </x:c>
      <x:c r="M310" s="146" t="e">
        <x:f>IF($A310="","",[1]!thsiFinD("ths_adjustment_nv_fund",M$3,$A310))</x:f>
        <x:v>#NAME?</x:v>
      </x:c>
      <x:c r="N310" s="146" t="e">
        <x:f>IF($A310="","",[1]!thsiFinD("ths_adjustment_nv_fund",N$3,$A310))</x:f>
        <x:v>#NAME?</x:v>
      </x:c>
      <x:c r="O310" s="146" t="e">
        <x:f>IF($A310="","",[1]!thsiFinD("ths_adjustment_nv_fund",O$3,$A310))</x:f>
        <x:v>#NAME?</x:v>
      </x:c>
      <x:c r="P310" s="146" t="e">
        <x:f>IF($A310="","",[1]!thsiFinD("ths_adjustment_nv_fund",P$3,$A310))</x:f>
        <x:v>#NAME?</x:v>
      </x:c>
      <x:c r="Q310" s="146" t="e">
        <x:f>IF($A310="","",[1]!thsiFinD("ths_adjustment_nv_fund",Q$3,$A310))</x:f>
        <x:v>#NAME?</x:v>
      </x:c>
      <x:c r="R310" s="146" t="e">
        <x:f>IF($A310="","",[1]!thsiFinD("ths_adjustment_nv_fund",R$3,$A310))</x:f>
        <x:v>#NAME?</x:v>
      </x:c>
      <x:c r="S310" s="146" t="e">
        <x:f>IF($A310="","",[1]!thsiFinD("ths_adjustment_nv_fund",S$3,$A310))</x:f>
        <x:v>#NAME?</x:v>
      </x:c>
      <x:c r="T310" s="146" t="e">
        <x:f>IF($A310="","",[1]!thsiFinD("ths_adjustment_nv_fund",T$3,$A310))</x:f>
        <x:v>#NAME?</x:v>
      </x:c>
      <x:c r="U310" s="146" t="e">
        <x:f>IF($A310="","",[1]!thsiFinD("ths_adjustment_nv_fund",U$3,$A310))</x:f>
        <x:v>#NAME?</x:v>
      </x:c>
      <x:c r="V310" s="146" t="e">
        <x:f>IF($A310="","",[1]!thsiFinD("ths_adjustment_nv_fund",V$3,$A310))</x:f>
        <x:v>#NAME?</x:v>
      </x:c>
      <x:c r="W310" s="146" t="e">
        <x:f>IF($A310="","",[1]!thsiFinD("ths_adjustment_nv_fund",W$3,$A310))</x:f>
        <x:v>#NAME?</x:v>
      </x:c>
      <x:c r="X310" s="146" t="e">
        <x:f>IF($A310="","",[1]!thsiFinD("ths_adjustment_nv_fund",X$3,$A310))</x:f>
        <x:v>#NAME?</x:v>
      </x:c>
      <x:c r="Y310" s="146" t="e">
        <x:f>IF($A310="","",[1]!thsiFinD("ths_adjustment_nv_fund",Y$3,$A310))</x:f>
        <x:v>#NAME?</x:v>
      </x:c>
      <x:c r="Z310" s="146" t="e">
        <x:f>IF($A310="","",[1]!thsiFinD("ths_adjustment_nv_fund",Z$3,$A310))</x:f>
        <x:v>#NAME?</x:v>
      </x:c>
      <x:c r="AA310" s="146" t="e">
        <x:f>IF($A310="","",[1]!thsiFinD("ths_adjustment_nv_fund",AA$3,$A310))</x:f>
        <x:v>#NAME?</x:v>
      </x:c>
    </x:row>
    <x:row r="311">
      <x:c r="B311" s="146" t="e">
        <x:f>IF($A311="","",[1]!thsiFinD("ths_adjustment_nv_fund",B$3,$A311))</x:f>
        <x:v>#NAME?</x:v>
      </x:c>
      <x:c r="C311" s="146" t="e">
        <x:f>IF($A311="","",[1]!thsiFinD("ths_adjustment_nv_fund",C$3,$A311))</x:f>
        <x:v>#NAME?</x:v>
      </x:c>
      <x:c r="D311" s="146" t="e">
        <x:f>IF($A311="","",[1]!thsiFinD("ths_adjustment_nv_fund",D$3,$A311))</x:f>
        <x:v>#NAME?</x:v>
      </x:c>
      <x:c r="E311" s="146" t="e">
        <x:f>IF($A311="","",[1]!thsiFinD("ths_adjustment_nv_fund",E$3,$A311))</x:f>
        <x:v>#NAME?</x:v>
      </x:c>
      <x:c r="F311" s="146" t="e">
        <x:f>IF($A311="","",[1]!thsiFinD("ths_adjustment_nv_fund",F$3,$A311))</x:f>
        <x:v>#NAME?</x:v>
      </x:c>
      <x:c r="G311" s="146" t="e">
        <x:f>IF($A311="","",[1]!thsiFinD("ths_adjustment_nv_fund",G$3,$A311))</x:f>
        <x:v>#NAME?</x:v>
      </x:c>
      <x:c r="H311" s="146" t="e">
        <x:f>IF($A311="","",[1]!thsiFinD("ths_adjustment_nv_fund",H$3,$A311))</x:f>
        <x:v>#NAME?</x:v>
      </x:c>
      <x:c r="I311" s="146" t="e">
        <x:f>IF($A311="","",[1]!thsiFinD("ths_adjustment_nv_fund",I$3,$A311))</x:f>
        <x:v>#NAME?</x:v>
      </x:c>
      <x:c r="J311" s="146" t="e">
        <x:f>IF($A311="","",[1]!thsiFinD("ths_adjustment_nv_fund",J$3,$A311))</x:f>
        <x:v>#NAME?</x:v>
      </x:c>
      <x:c r="K311" s="146" t="e">
        <x:f>IF($A311="","",[1]!thsiFinD("ths_adjustment_nv_fund",K$3,$A311))</x:f>
        <x:v>#NAME?</x:v>
      </x:c>
      <x:c r="L311" s="146" t="e">
        <x:f>IF($A311="","",[1]!thsiFinD("ths_adjustment_nv_fund",L$3,$A311))</x:f>
        <x:v>#NAME?</x:v>
      </x:c>
      <x:c r="M311" s="146" t="e">
        <x:f>IF($A311="","",[1]!thsiFinD("ths_adjustment_nv_fund",M$3,$A311))</x:f>
        <x:v>#NAME?</x:v>
      </x:c>
      <x:c r="N311" s="146" t="e">
        <x:f>IF($A311="","",[1]!thsiFinD("ths_adjustment_nv_fund",N$3,$A311))</x:f>
        <x:v>#NAME?</x:v>
      </x:c>
      <x:c r="O311" s="146" t="e">
        <x:f>IF($A311="","",[1]!thsiFinD("ths_adjustment_nv_fund",O$3,$A311))</x:f>
        <x:v>#NAME?</x:v>
      </x:c>
      <x:c r="P311" s="146" t="e">
        <x:f>IF($A311="","",[1]!thsiFinD("ths_adjustment_nv_fund",P$3,$A311))</x:f>
        <x:v>#NAME?</x:v>
      </x:c>
      <x:c r="Q311" s="146" t="e">
        <x:f>IF($A311="","",[1]!thsiFinD("ths_adjustment_nv_fund",Q$3,$A311))</x:f>
        <x:v>#NAME?</x:v>
      </x:c>
      <x:c r="R311" s="146" t="e">
        <x:f>IF($A311="","",[1]!thsiFinD("ths_adjustment_nv_fund",R$3,$A311))</x:f>
        <x:v>#NAME?</x:v>
      </x:c>
      <x:c r="S311" s="146" t="e">
        <x:f>IF($A311="","",[1]!thsiFinD("ths_adjustment_nv_fund",S$3,$A311))</x:f>
        <x:v>#NAME?</x:v>
      </x:c>
      <x:c r="T311" s="146" t="e">
        <x:f>IF($A311="","",[1]!thsiFinD("ths_adjustment_nv_fund",T$3,$A311))</x:f>
        <x:v>#NAME?</x:v>
      </x:c>
      <x:c r="U311" s="146" t="e">
        <x:f>IF($A311="","",[1]!thsiFinD("ths_adjustment_nv_fund",U$3,$A311))</x:f>
        <x:v>#NAME?</x:v>
      </x:c>
      <x:c r="V311" s="146" t="e">
        <x:f>IF($A311="","",[1]!thsiFinD("ths_adjustment_nv_fund",V$3,$A311))</x:f>
        <x:v>#NAME?</x:v>
      </x:c>
      <x:c r="W311" s="146" t="e">
        <x:f>IF($A311="","",[1]!thsiFinD("ths_adjustment_nv_fund",W$3,$A311))</x:f>
        <x:v>#NAME?</x:v>
      </x:c>
      <x:c r="X311" s="146" t="e">
        <x:f>IF($A311="","",[1]!thsiFinD("ths_adjustment_nv_fund",X$3,$A311))</x:f>
        <x:v>#NAME?</x:v>
      </x:c>
      <x:c r="Y311" s="146" t="e">
        <x:f>IF($A311="","",[1]!thsiFinD("ths_adjustment_nv_fund",Y$3,$A311))</x:f>
        <x:v>#NAME?</x:v>
      </x:c>
      <x:c r="Z311" s="146" t="e">
        <x:f>IF($A311="","",[1]!thsiFinD("ths_adjustment_nv_fund",Z$3,$A311))</x:f>
        <x:v>#NAME?</x:v>
      </x:c>
      <x:c r="AA311" s="146" t="e">
        <x:f>IF($A311="","",[1]!thsiFinD("ths_adjustment_nv_fund",AA$3,$A311))</x:f>
        <x:v>#NAME?</x:v>
      </x:c>
    </x:row>
    <x:row r="312">
      <x:c r="B312" s="146" t="e">
        <x:f>IF($A312="","",[1]!thsiFinD("ths_adjustment_nv_fund",B$3,$A312))</x:f>
        <x:v>#NAME?</x:v>
      </x:c>
      <x:c r="C312" s="146" t="e">
        <x:f>IF($A312="","",[1]!thsiFinD("ths_adjustment_nv_fund",C$3,$A312))</x:f>
        <x:v>#NAME?</x:v>
      </x:c>
      <x:c r="D312" s="146" t="e">
        <x:f>IF($A312="","",[1]!thsiFinD("ths_adjustment_nv_fund",D$3,$A312))</x:f>
        <x:v>#NAME?</x:v>
      </x:c>
      <x:c r="E312" s="146" t="e">
        <x:f>IF($A312="","",[1]!thsiFinD("ths_adjustment_nv_fund",E$3,$A312))</x:f>
        <x:v>#NAME?</x:v>
      </x:c>
      <x:c r="F312" s="146" t="e">
        <x:f>IF($A312="","",[1]!thsiFinD("ths_adjustment_nv_fund",F$3,$A312))</x:f>
        <x:v>#NAME?</x:v>
      </x:c>
      <x:c r="G312" s="146" t="e">
        <x:f>IF($A312="","",[1]!thsiFinD("ths_adjustment_nv_fund",G$3,$A312))</x:f>
        <x:v>#NAME?</x:v>
      </x:c>
      <x:c r="H312" s="146" t="e">
        <x:f>IF($A312="","",[1]!thsiFinD("ths_adjustment_nv_fund",H$3,$A312))</x:f>
        <x:v>#NAME?</x:v>
      </x:c>
      <x:c r="I312" s="146" t="e">
        <x:f>IF($A312="","",[1]!thsiFinD("ths_adjustment_nv_fund",I$3,$A312))</x:f>
        <x:v>#NAME?</x:v>
      </x:c>
      <x:c r="J312" s="146" t="e">
        <x:f>IF($A312="","",[1]!thsiFinD("ths_adjustment_nv_fund",J$3,$A312))</x:f>
        <x:v>#NAME?</x:v>
      </x:c>
      <x:c r="K312" s="146" t="e">
        <x:f>IF($A312="","",[1]!thsiFinD("ths_adjustment_nv_fund",K$3,$A312))</x:f>
        <x:v>#NAME?</x:v>
      </x:c>
      <x:c r="L312" s="146" t="e">
        <x:f>IF($A312="","",[1]!thsiFinD("ths_adjustment_nv_fund",L$3,$A312))</x:f>
        <x:v>#NAME?</x:v>
      </x:c>
      <x:c r="M312" s="146" t="e">
        <x:f>IF($A312="","",[1]!thsiFinD("ths_adjustment_nv_fund",M$3,$A312))</x:f>
        <x:v>#NAME?</x:v>
      </x:c>
      <x:c r="N312" s="146" t="e">
        <x:f>IF($A312="","",[1]!thsiFinD("ths_adjustment_nv_fund",N$3,$A312))</x:f>
        <x:v>#NAME?</x:v>
      </x:c>
      <x:c r="O312" s="146" t="e">
        <x:f>IF($A312="","",[1]!thsiFinD("ths_adjustment_nv_fund",O$3,$A312))</x:f>
        <x:v>#NAME?</x:v>
      </x:c>
      <x:c r="P312" s="146" t="e">
        <x:f>IF($A312="","",[1]!thsiFinD("ths_adjustment_nv_fund",P$3,$A312))</x:f>
        <x:v>#NAME?</x:v>
      </x:c>
      <x:c r="Q312" s="146" t="e">
        <x:f>IF($A312="","",[1]!thsiFinD("ths_adjustment_nv_fund",Q$3,$A312))</x:f>
        <x:v>#NAME?</x:v>
      </x:c>
      <x:c r="R312" s="146" t="e">
        <x:f>IF($A312="","",[1]!thsiFinD("ths_adjustment_nv_fund",R$3,$A312))</x:f>
        <x:v>#NAME?</x:v>
      </x:c>
      <x:c r="S312" s="146" t="e">
        <x:f>IF($A312="","",[1]!thsiFinD("ths_adjustment_nv_fund",S$3,$A312))</x:f>
        <x:v>#NAME?</x:v>
      </x:c>
      <x:c r="T312" s="146" t="e">
        <x:f>IF($A312="","",[1]!thsiFinD("ths_adjustment_nv_fund",T$3,$A312))</x:f>
        <x:v>#NAME?</x:v>
      </x:c>
      <x:c r="U312" s="146" t="e">
        <x:f>IF($A312="","",[1]!thsiFinD("ths_adjustment_nv_fund",U$3,$A312))</x:f>
        <x:v>#NAME?</x:v>
      </x:c>
      <x:c r="V312" s="146" t="e">
        <x:f>IF($A312="","",[1]!thsiFinD("ths_adjustment_nv_fund",V$3,$A312))</x:f>
        <x:v>#NAME?</x:v>
      </x:c>
      <x:c r="W312" s="146" t="e">
        <x:f>IF($A312="","",[1]!thsiFinD("ths_adjustment_nv_fund",W$3,$A312))</x:f>
        <x:v>#NAME?</x:v>
      </x:c>
      <x:c r="X312" s="146" t="e">
        <x:f>IF($A312="","",[1]!thsiFinD("ths_adjustment_nv_fund",X$3,$A312))</x:f>
        <x:v>#NAME?</x:v>
      </x:c>
      <x:c r="Y312" s="146" t="e">
        <x:f>IF($A312="","",[1]!thsiFinD("ths_adjustment_nv_fund",Y$3,$A312))</x:f>
        <x:v>#NAME?</x:v>
      </x:c>
      <x:c r="Z312" s="146" t="e">
        <x:f>IF($A312="","",[1]!thsiFinD("ths_adjustment_nv_fund",Z$3,$A312))</x:f>
        <x:v>#NAME?</x:v>
      </x:c>
      <x:c r="AA312" s="146" t="e">
        <x:f>IF($A312="","",[1]!thsiFinD("ths_adjustment_nv_fund",AA$3,$A312))</x:f>
        <x:v>#NAME?</x:v>
      </x:c>
    </x:row>
    <x:row r="313">
      <x:c r="B313" s="146" t="e">
        <x:f>IF($A313="","",[1]!thsiFinD("ths_adjustment_nv_fund",B$3,$A313))</x:f>
        <x:v>#NAME?</x:v>
      </x:c>
      <x:c r="C313" s="146" t="e">
        <x:f>IF($A313="","",[1]!thsiFinD("ths_adjustment_nv_fund",C$3,$A313))</x:f>
        <x:v>#NAME?</x:v>
      </x:c>
      <x:c r="D313" s="146" t="e">
        <x:f>IF($A313="","",[1]!thsiFinD("ths_adjustment_nv_fund",D$3,$A313))</x:f>
        <x:v>#NAME?</x:v>
      </x:c>
      <x:c r="E313" s="146" t="e">
        <x:f>IF($A313="","",[1]!thsiFinD("ths_adjustment_nv_fund",E$3,$A313))</x:f>
        <x:v>#NAME?</x:v>
      </x:c>
      <x:c r="F313" s="146" t="e">
        <x:f>IF($A313="","",[1]!thsiFinD("ths_adjustment_nv_fund",F$3,$A313))</x:f>
        <x:v>#NAME?</x:v>
      </x:c>
      <x:c r="G313" s="146" t="e">
        <x:f>IF($A313="","",[1]!thsiFinD("ths_adjustment_nv_fund",G$3,$A313))</x:f>
        <x:v>#NAME?</x:v>
      </x:c>
      <x:c r="H313" s="146" t="e">
        <x:f>IF($A313="","",[1]!thsiFinD("ths_adjustment_nv_fund",H$3,$A313))</x:f>
        <x:v>#NAME?</x:v>
      </x:c>
      <x:c r="I313" s="146" t="e">
        <x:f>IF($A313="","",[1]!thsiFinD("ths_adjustment_nv_fund",I$3,$A313))</x:f>
        <x:v>#NAME?</x:v>
      </x:c>
      <x:c r="J313" s="146" t="e">
        <x:f>IF($A313="","",[1]!thsiFinD("ths_adjustment_nv_fund",J$3,$A313))</x:f>
        <x:v>#NAME?</x:v>
      </x:c>
      <x:c r="K313" s="146" t="e">
        <x:f>IF($A313="","",[1]!thsiFinD("ths_adjustment_nv_fund",K$3,$A313))</x:f>
        <x:v>#NAME?</x:v>
      </x:c>
      <x:c r="L313" s="146" t="e">
        <x:f>IF($A313="","",[1]!thsiFinD("ths_adjustment_nv_fund",L$3,$A313))</x:f>
        <x:v>#NAME?</x:v>
      </x:c>
      <x:c r="M313" s="146" t="e">
        <x:f>IF($A313="","",[1]!thsiFinD("ths_adjustment_nv_fund",M$3,$A313))</x:f>
        <x:v>#NAME?</x:v>
      </x:c>
      <x:c r="N313" s="146" t="e">
        <x:f>IF($A313="","",[1]!thsiFinD("ths_adjustment_nv_fund",N$3,$A313))</x:f>
        <x:v>#NAME?</x:v>
      </x:c>
      <x:c r="O313" s="146" t="e">
        <x:f>IF($A313="","",[1]!thsiFinD("ths_adjustment_nv_fund",O$3,$A313))</x:f>
        <x:v>#NAME?</x:v>
      </x:c>
      <x:c r="P313" s="146" t="e">
        <x:f>IF($A313="","",[1]!thsiFinD("ths_adjustment_nv_fund",P$3,$A313))</x:f>
        <x:v>#NAME?</x:v>
      </x:c>
      <x:c r="Q313" s="146" t="e">
        <x:f>IF($A313="","",[1]!thsiFinD("ths_adjustment_nv_fund",Q$3,$A313))</x:f>
        <x:v>#NAME?</x:v>
      </x:c>
      <x:c r="R313" s="146" t="e">
        <x:f>IF($A313="","",[1]!thsiFinD("ths_adjustment_nv_fund",R$3,$A313))</x:f>
        <x:v>#NAME?</x:v>
      </x:c>
      <x:c r="S313" s="146" t="e">
        <x:f>IF($A313="","",[1]!thsiFinD("ths_adjustment_nv_fund",S$3,$A313))</x:f>
        <x:v>#NAME?</x:v>
      </x:c>
      <x:c r="T313" s="146" t="e">
        <x:f>IF($A313="","",[1]!thsiFinD("ths_adjustment_nv_fund",T$3,$A313))</x:f>
        <x:v>#NAME?</x:v>
      </x:c>
      <x:c r="U313" s="146" t="e">
        <x:f>IF($A313="","",[1]!thsiFinD("ths_adjustment_nv_fund",U$3,$A313))</x:f>
        <x:v>#NAME?</x:v>
      </x:c>
      <x:c r="V313" s="146" t="e">
        <x:f>IF($A313="","",[1]!thsiFinD("ths_adjustment_nv_fund",V$3,$A313))</x:f>
        <x:v>#NAME?</x:v>
      </x:c>
      <x:c r="W313" s="146" t="e">
        <x:f>IF($A313="","",[1]!thsiFinD("ths_adjustment_nv_fund",W$3,$A313))</x:f>
        <x:v>#NAME?</x:v>
      </x:c>
      <x:c r="X313" s="146" t="e">
        <x:f>IF($A313="","",[1]!thsiFinD("ths_adjustment_nv_fund",X$3,$A313))</x:f>
        <x:v>#NAME?</x:v>
      </x:c>
      <x:c r="Y313" s="146" t="e">
        <x:f>IF($A313="","",[1]!thsiFinD("ths_adjustment_nv_fund",Y$3,$A313))</x:f>
        <x:v>#NAME?</x:v>
      </x:c>
      <x:c r="Z313" s="146" t="e">
        <x:f>IF($A313="","",[1]!thsiFinD("ths_adjustment_nv_fund",Z$3,$A313))</x:f>
        <x:v>#NAME?</x:v>
      </x:c>
      <x:c r="AA313" s="146" t="e">
        <x:f>IF($A313="","",[1]!thsiFinD("ths_adjustment_nv_fund",AA$3,$A313))</x:f>
        <x:v>#NAME?</x:v>
      </x:c>
    </x:row>
    <x:row r="314">
      <x:c r="B314" s="146" t="e">
        <x:f>IF($A314="","",[1]!thsiFinD("ths_adjustment_nv_fund",B$3,$A314))</x:f>
        <x:v>#NAME?</x:v>
      </x:c>
      <x:c r="C314" s="146" t="e">
        <x:f>IF($A314="","",[1]!thsiFinD("ths_adjustment_nv_fund",C$3,$A314))</x:f>
        <x:v>#NAME?</x:v>
      </x:c>
      <x:c r="D314" s="146" t="e">
        <x:f>IF($A314="","",[1]!thsiFinD("ths_adjustment_nv_fund",D$3,$A314))</x:f>
        <x:v>#NAME?</x:v>
      </x:c>
      <x:c r="E314" s="146" t="e">
        <x:f>IF($A314="","",[1]!thsiFinD("ths_adjustment_nv_fund",E$3,$A314))</x:f>
        <x:v>#NAME?</x:v>
      </x:c>
      <x:c r="F314" s="146" t="e">
        <x:f>IF($A314="","",[1]!thsiFinD("ths_adjustment_nv_fund",F$3,$A314))</x:f>
        <x:v>#NAME?</x:v>
      </x:c>
      <x:c r="G314" s="146" t="e">
        <x:f>IF($A314="","",[1]!thsiFinD("ths_adjustment_nv_fund",G$3,$A314))</x:f>
        <x:v>#NAME?</x:v>
      </x:c>
      <x:c r="H314" s="146" t="e">
        <x:f>IF($A314="","",[1]!thsiFinD("ths_adjustment_nv_fund",H$3,$A314))</x:f>
        <x:v>#NAME?</x:v>
      </x:c>
      <x:c r="I314" s="146" t="e">
        <x:f>IF($A314="","",[1]!thsiFinD("ths_adjustment_nv_fund",I$3,$A314))</x:f>
        <x:v>#NAME?</x:v>
      </x:c>
      <x:c r="J314" s="146" t="e">
        <x:f>IF($A314="","",[1]!thsiFinD("ths_adjustment_nv_fund",J$3,$A314))</x:f>
        <x:v>#NAME?</x:v>
      </x:c>
      <x:c r="K314" s="146" t="e">
        <x:f>IF($A314="","",[1]!thsiFinD("ths_adjustment_nv_fund",K$3,$A314))</x:f>
        <x:v>#NAME?</x:v>
      </x:c>
      <x:c r="L314" s="146" t="e">
        <x:f>IF($A314="","",[1]!thsiFinD("ths_adjustment_nv_fund",L$3,$A314))</x:f>
        <x:v>#NAME?</x:v>
      </x:c>
      <x:c r="M314" s="146" t="e">
        <x:f>IF($A314="","",[1]!thsiFinD("ths_adjustment_nv_fund",M$3,$A314))</x:f>
        <x:v>#NAME?</x:v>
      </x:c>
      <x:c r="N314" s="146" t="e">
        <x:f>IF($A314="","",[1]!thsiFinD("ths_adjustment_nv_fund",N$3,$A314))</x:f>
        <x:v>#NAME?</x:v>
      </x:c>
      <x:c r="O314" s="146" t="e">
        <x:f>IF($A314="","",[1]!thsiFinD("ths_adjustment_nv_fund",O$3,$A314))</x:f>
        <x:v>#NAME?</x:v>
      </x:c>
      <x:c r="P314" s="146" t="e">
        <x:f>IF($A314="","",[1]!thsiFinD("ths_adjustment_nv_fund",P$3,$A314))</x:f>
        <x:v>#NAME?</x:v>
      </x:c>
      <x:c r="Q314" s="146" t="e">
        <x:f>IF($A314="","",[1]!thsiFinD("ths_adjustment_nv_fund",Q$3,$A314))</x:f>
        <x:v>#NAME?</x:v>
      </x:c>
      <x:c r="R314" s="146" t="e">
        <x:f>IF($A314="","",[1]!thsiFinD("ths_adjustment_nv_fund",R$3,$A314))</x:f>
        <x:v>#NAME?</x:v>
      </x:c>
      <x:c r="S314" s="146" t="e">
        <x:f>IF($A314="","",[1]!thsiFinD("ths_adjustment_nv_fund",S$3,$A314))</x:f>
        <x:v>#NAME?</x:v>
      </x:c>
      <x:c r="T314" s="146" t="e">
        <x:f>IF($A314="","",[1]!thsiFinD("ths_adjustment_nv_fund",T$3,$A314))</x:f>
        <x:v>#NAME?</x:v>
      </x:c>
      <x:c r="U314" s="146" t="e">
        <x:f>IF($A314="","",[1]!thsiFinD("ths_adjustment_nv_fund",U$3,$A314))</x:f>
        <x:v>#NAME?</x:v>
      </x:c>
      <x:c r="V314" s="146" t="e">
        <x:f>IF($A314="","",[1]!thsiFinD("ths_adjustment_nv_fund",V$3,$A314))</x:f>
        <x:v>#NAME?</x:v>
      </x:c>
      <x:c r="W314" s="146" t="e">
        <x:f>IF($A314="","",[1]!thsiFinD("ths_adjustment_nv_fund",W$3,$A314))</x:f>
        <x:v>#NAME?</x:v>
      </x:c>
      <x:c r="X314" s="146" t="e">
        <x:f>IF($A314="","",[1]!thsiFinD("ths_adjustment_nv_fund",X$3,$A314))</x:f>
        <x:v>#NAME?</x:v>
      </x:c>
      <x:c r="Y314" s="146" t="e">
        <x:f>IF($A314="","",[1]!thsiFinD("ths_adjustment_nv_fund",Y$3,$A314))</x:f>
        <x:v>#NAME?</x:v>
      </x:c>
      <x:c r="Z314" s="146" t="e">
        <x:f>IF($A314="","",[1]!thsiFinD("ths_adjustment_nv_fund",Z$3,$A314))</x:f>
        <x:v>#NAME?</x:v>
      </x:c>
      <x:c r="AA314" s="146" t="e">
        <x:f>IF($A314="","",[1]!thsiFinD("ths_adjustment_nv_fund",AA$3,$A314))</x:f>
        <x:v>#NAME?</x:v>
      </x:c>
    </x:row>
    <x:row r="315">
      <x:c r="B315" s="146" t="e">
        <x:f>IF($A315="","",[1]!thsiFinD("ths_adjustment_nv_fund",B$3,$A315))</x:f>
        <x:v>#NAME?</x:v>
      </x:c>
      <x:c r="C315" s="146" t="e">
        <x:f>IF($A315="","",[1]!thsiFinD("ths_adjustment_nv_fund",C$3,$A315))</x:f>
        <x:v>#NAME?</x:v>
      </x:c>
      <x:c r="D315" s="146" t="e">
        <x:f>IF($A315="","",[1]!thsiFinD("ths_adjustment_nv_fund",D$3,$A315))</x:f>
        <x:v>#NAME?</x:v>
      </x:c>
      <x:c r="E315" s="146" t="e">
        <x:f>IF($A315="","",[1]!thsiFinD("ths_adjustment_nv_fund",E$3,$A315))</x:f>
        <x:v>#NAME?</x:v>
      </x:c>
      <x:c r="F315" s="146" t="e">
        <x:f>IF($A315="","",[1]!thsiFinD("ths_adjustment_nv_fund",F$3,$A315))</x:f>
        <x:v>#NAME?</x:v>
      </x:c>
      <x:c r="G315" s="146" t="e">
        <x:f>IF($A315="","",[1]!thsiFinD("ths_adjustment_nv_fund",G$3,$A315))</x:f>
        <x:v>#NAME?</x:v>
      </x:c>
      <x:c r="H315" s="146" t="e">
        <x:f>IF($A315="","",[1]!thsiFinD("ths_adjustment_nv_fund",H$3,$A315))</x:f>
        <x:v>#NAME?</x:v>
      </x:c>
      <x:c r="I315" s="146" t="e">
        <x:f>IF($A315="","",[1]!thsiFinD("ths_adjustment_nv_fund",I$3,$A315))</x:f>
        <x:v>#NAME?</x:v>
      </x:c>
      <x:c r="J315" s="146" t="e">
        <x:f>IF($A315="","",[1]!thsiFinD("ths_adjustment_nv_fund",J$3,$A315))</x:f>
        <x:v>#NAME?</x:v>
      </x:c>
      <x:c r="K315" s="146" t="e">
        <x:f>IF($A315="","",[1]!thsiFinD("ths_adjustment_nv_fund",K$3,$A315))</x:f>
        <x:v>#NAME?</x:v>
      </x:c>
      <x:c r="L315" s="146" t="e">
        <x:f>IF($A315="","",[1]!thsiFinD("ths_adjustment_nv_fund",L$3,$A315))</x:f>
        <x:v>#NAME?</x:v>
      </x:c>
      <x:c r="M315" s="146" t="e">
        <x:f>IF($A315="","",[1]!thsiFinD("ths_adjustment_nv_fund",M$3,$A315))</x:f>
        <x:v>#NAME?</x:v>
      </x:c>
      <x:c r="N315" s="146" t="e">
        <x:f>IF($A315="","",[1]!thsiFinD("ths_adjustment_nv_fund",N$3,$A315))</x:f>
        <x:v>#NAME?</x:v>
      </x:c>
      <x:c r="O315" s="146" t="e">
        <x:f>IF($A315="","",[1]!thsiFinD("ths_adjustment_nv_fund",O$3,$A315))</x:f>
        <x:v>#NAME?</x:v>
      </x:c>
      <x:c r="P315" s="146" t="e">
        <x:f>IF($A315="","",[1]!thsiFinD("ths_adjustment_nv_fund",P$3,$A315))</x:f>
        <x:v>#NAME?</x:v>
      </x:c>
      <x:c r="Q315" s="146" t="e">
        <x:f>IF($A315="","",[1]!thsiFinD("ths_adjustment_nv_fund",Q$3,$A315))</x:f>
        <x:v>#NAME?</x:v>
      </x:c>
      <x:c r="R315" s="146" t="e">
        <x:f>IF($A315="","",[1]!thsiFinD("ths_adjustment_nv_fund",R$3,$A315))</x:f>
        <x:v>#NAME?</x:v>
      </x:c>
      <x:c r="S315" s="146" t="e">
        <x:f>IF($A315="","",[1]!thsiFinD("ths_adjustment_nv_fund",S$3,$A315))</x:f>
        <x:v>#NAME?</x:v>
      </x:c>
      <x:c r="T315" s="146" t="e">
        <x:f>IF($A315="","",[1]!thsiFinD("ths_adjustment_nv_fund",T$3,$A315))</x:f>
        <x:v>#NAME?</x:v>
      </x:c>
      <x:c r="U315" s="146" t="e">
        <x:f>IF($A315="","",[1]!thsiFinD("ths_adjustment_nv_fund",U$3,$A315))</x:f>
        <x:v>#NAME?</x:v>
      </x:c>
      <x:c r="V315" s="146" t="e">
        <x:f>IF($A315="","",[1]!thsiFinD("ths_adjustment_nv_fund",V$3,$A315))</x:f>
        <x:v>#NAME?</x:v>
      </x:c>
      <x:c r="W315" s="146" t="e">
        <x:f>IF($A315="","",[1]!thsiFinD("ths_adjustment_nv_fund",W$3,$A315))</x:f>
        <x:v>#NAME?</x:v>
      </x:c>
      <x:c r="X315" s="146" t="e">
        <x:f>IF($A315="","",[1]!thsiFinD("ths_adjustment_nv_fund",X$3,$A315))</x:f>
        <x:v>#NAME?</x:v>
      </x:c>
      <x:c r="Y315" s="146" t="e">
        <x:f>IF($A315="","",[1]!thsiFinD("ths_adjustment_nv_fund",Y$3,$A315))</x:f>
        <x:v>#NAME?</x:v>
      </x:c>
      <x:c r="Z315" s="146" t="e">
        <x:f>IF($A315="","",[1]!thsiFinD("ths_adjustment_nv_fund",Z$3,$A315))</x:f>
        <x:v>#NAME?</x:v>
      </x:c>
      <x:c r="AA315" s="146" t="e">
        <x:f>IF($A315="","",[1]!thsiFinD("ths_adjustment_nv_fund",AA$3,$A315))</x:f>
        <x:v>#NAME?</x:v>
      </x:c>
    </x:row>
    <x:row r="316">
      <x:c r="B316" s="146" t="e">
        <x:f>IF($A316="","",[1]!thsiFinD("ths_adjustment_nv_fund",B$3,$A316))</x:f>
        <x:v>#NAME?</x:v>
      </x:c>
      <x:c r="C316" s="146" t="e">
        <x:f>IF($A316="","",[1]!thsiFinD("ths_adjustment_nv_fund",C$3,$A316))</x:f>
        <x:v>#NAME?</x:v>
      </x:c>
      <x:c r="D316" s="146" t="e">
        <x:f>IF($A316="","",[1]!thsiFinD("ths_adjustment_nv_fund",D$3,$A316))</x:f>
        <x:v>#NAME?</x:v>
      </x:c>
      <x:c r="E316" s="146" t="e">
        <x:f>IF($A316="","",[1]!thsiFinD("ths_adjustment_nv_fund",E$3,$A316))</x:f>
        <x:v>#NAME?</x:v>
      </x:c>
      <x:c r="F316" s="146" t="e">
        <x:f>IF($A316="","",[1]!thsiFinD("ths_adjustment_nv_fund",F$3,$A316))</x:f>
        <x:v>#NAME?</x:v>
      </x:c>
      <x:c r="G316" s="146" t="e">
        <x:f>IF($A316="","",[1]!thsiFinD("ths_adjustment_nv_fund",G$3,$A316))</x:f>
        <x:v>#NAME?</x:v>
      </x:c>
      <x:c r="H316" s="146" t="e">
        <x:f>IF($A316="","",[1]!thsiFinD("ths_adjustment_nv_fund",H$3,$A316))</x:f>
        <x:v>#NAME?</x:v>
      </x:c>
      <x:c r="I316" s="146" t="e">
        <x:f>IF($A316="","",[1]!thsiFinD("ths_adjustment_nv_fund",I$3,$A316))</x:f>
        <x:v>#NAME?</x:v>
      </x:c>
      <x:c r="J316" s="146" t="e">
        <x:f>IF($A316="","",[1]!thsiFinD("ths_adjustment_nv_fund",J$3,$A316))</x:f>
        <x:v>#NAME?</x:v>
      </x:c>
      <x:c r="K316" s="146" t="e">
        <x:f>IF($A316="","",[1]!thsiFinD("ths_adjustment_nv_fund",K$3,$A316))</x:f>
        <x:v>#NAME?</x:v>
      </x:c>
      <x:c r="L316" s="146" t="e">
        <x:f>IF($A316="","",[1]!thsiFinD("ths_adjustment_nv_fund",L$3,$A316))</x:f>
        <x:v>#NAME?</x:v>
      </x:c>
      <x:c r="M316" s="146" t="e">
        <x:f>IF($A316="","",[1]!thsiFinD("ths_adjustment_nv_fund",M$3,$A316))</x:f>
        <x:v>#NAME?</x:v>
      </x:c>
      <x:c r="N316" s="146" t="e">
        <x:f>IF($A316="","",[1]!thsiFinD("ths_adjustment_nv_fund",N$3,$A316))</x:f>
        <x:v>#NAME?</x:v>
      </x:c>
      <x:c r="O316" s="146" t="e">
        <x:f>IF($A316="","",[1]!thsiFinD("ths_adjustment_nv_fund",O$3,$A316))</x:f>
        <x:v>#NAME?</x:v>
      </x:c>
      <x:c r="P316" s="146" t="e">
        <x:f>IF($A316="","",[1]!thsiFinD("ths_adjustment_nv_fund",P$3,$A316))</x:f>
        <x:v>#NAME?</x:v>
      </x:c>
      <x:c r="Q316" s="146" t="e">
        <x:f>IF($A316="","",[1]!thsiFinD("ths_adjustment_nv_fund",Q$3,$A316))</x:f>
        <x:v>#NAME?</x:v>
      </x:c>
      <x:c r="R316" s="146" t="e">
        <x:f>IF($A316="","",[1]!thsiFinD("ths_adjustment_nv_fund",R$3,$A316))</x:f>
        <x:v>#NAME?</x:v>
      </x:c>
      <x:c r="S316" s="146" t="e">
        <x:f>IF($A316="","",[1]!thsiFinD("ths_adjustment_nv_fund",S$3,$A316))</x:f>
        <x:v>#NAME?</x:v>
      </x:c>
      <x:c r="T316" s="146" t="e">
        <x:f>IF($A316="","",[1]!thsiFinD("ths_adjustment_nv_fund",T$3,$A316))</x:f>
        <x:v>#NAME?</x:v>
      </x:c>
      <x:c r="U316" s="146" t="e">
        <x:f>IF($A316="","",[1]!thsiFinD("ths_adjustment_nv_fund",U$3,$A316))</x:f>
        <x:v>#NAME?</x:v>
      </x:c>
      <x:c r="V316" s="146" t="e">
        <x:f>IF($A316="","",[1]!thsiFinD("ths_adjustment_nv_fund",V$3,$A316))</x:f>
        <x:v>#NAME?</x:v>
      </x:c>
      <x:c r="W316" s="146" t="e">
        <x:f>IF($A316="","",[1]!thsiFinD("ths_adjustment_nv_fund",W$3,$A316))</x:f>
        <x:v>#NAME?</x:v>
      </x:c>
      <x:c r="X316" s="146" t="e">
        <x:f>IF($A316="","",[1]!thsiFinD("ths_adjustment_nv_fund",X$3,$A316))</x:f>
        <x:v>#NAME?</x:v>
      </x:c>
      <x:c r="Y316" s="146" t="e">
        <x:f>IF($A316="","",[1]!thsiFinD("ths_adjustment_nv_fund",Y$3,$A316))</x:f>
        <x:v>#NAME?</x:v>
      </x:c>
      <x:c r="Z316" s="146" t="e">
        <x:f>IF($A316="","",[1]!thsiFinD("ths_adjustment_nv_fund",Z$3,$A316))</x:f>
        <x:v>#NAME?</x:v>
      </x:c>
      <x:c r="AA316" s="146" t="e">
        <x:f>IF($A316="","",[1]!thsiFinD("ths_adjustment_nv_fund",AA$3,$A316))</x:f>
        <x:v>#NAME?</x:v>
      </x:c>
    </x:row>
    <x:row r="317">
      <x:c r="B317" s="146" t="e">
        <x:f>IF($A317="","",[1]!thsiFinD("ths_adjustment_nv_fund",B$3,$A317))</x:f>
        <x:v>#NAME?</x:v>
      </x:c>
      <x:c r="C317" s="146" t="e">
        <x:f>IF($A317="","",[1]!thsiFinD("ths_adjustment_nv_fund",C$3,$A317))</x:f>
        <x:v>#NAME?</x:v>
      </x:c>
      <x:c r="D317" s="146" t="e">
        <x:f>IF($A317="","",[1]!thsiFinD("ths_adjustment_nv_fund",D$3,$A317))</x:f>
        <x:v>#NAME?</x:v>
      </x:c>
      <x:c r="E317" s="146" t="e">
        <x:f>IF($A317="","",[1]!thsiFinD("ths_adjustment_nv_fund",E$3,$A317))</x:f>
        <x:v>#NAME?</x:v>
      </x:c>
      <x:c r="F317" s="146" t="e">
        <x:f>IF($A317="","",[1]!thsiFinD("ths_adjustment_nv_fund",F$3,$A317))</x:f>
        <x:v>#NAME?</x:v>
      </x:c>
      <x:c r="G317" s="146" t="e">
        <x:f>IF($A317="","",[1]!thsiFinD("ths_adjustment_nv_fund",G$3,$A317))</x:f>
        <x:v>#NAME?</x:v>
      </x:c>
      <x:c r="H317" s="146" t="e">
        <x:f>IF($A317="","",[1]!thsiFinD("ths_adjustment_nv_fund",H$3,$A317))</x:f>
        <x:v>#NAME?</x:v>
      </x:c>
      <x:c r="I317" s="146" t="e">
        <x:f>IF($A317="","",[1]!thsiFinD("ths_adjustment_nv_fund",I$3,$A317))</x:f>
        <x:v>#NAME?</x:v>
      </x:c>
      <x:c r="J317" s="146" t="e">
        <x:f>IF($A317="","",[1]!thsiFinD("ths_adjustment_nv_fund",J$3,$A317))</x:f>
        <x:v>#NAME?</x:v>
      </x:c>
      <x:c r="K317" s="146" t="e">
        <x:f>IF($A317="","",[1]!thsiFinD("ths_adjustment_nv_fund",K$3,$A317))</x:f>
        <x:v>#NAME?</x:v>
      </x:c>
      <x:c r="L317" s="146" t="e">
        <x:f>IF($A317="","",[1]!thsiFinD("ths_adjustment_nv_fund",L$3,$A317))</x:f>
        <x:v>#NAME?</x:v>
      </x:c>
      <x:c r="M317" s="146" t="e">
        <x:f>IF($A317="","",[1]!thsiFinD("ths_adjustment_nv_fund",M$3,$A317))</x:f>
        <x:v>#NAME?</x:v>
      </x:c>
      <x:c r="N317" s="146" t="e">
        <x:f>IF($A317="","",[1]!thsiFinD("ths_adjustment_nv_fund",N$3,$A317))</x:f>
        <x:v>#NAME?</x:v>
      </x:c>
      <x:c r="O317" s="146" t="e">
        <x:f>IF($A317="","",[1]!thsiFinD("ths_adjustment_nv_fund",O$3,$A317))</x:f>
        <x:v>#NAME?</x:v>
      </x:c>
      <x:c r="P317" s="146" t="e">
        <x:f>IF($A317="","",[1]!thsiFinD("ths_adjustment_nv_fund",P$3,$A317))</x:f>
        <x:v>#NAME?</x:v>
      </x:c>
      <x:c r="Q317" s="146" t="e">
        <x:f>IF($A317="","",[1]!thsiFinD("ths_adjustment_nv_fund",Q$3,$A317))</x:f>
        <x:v>#NAME?</x:v>
      </x:c>
      <x:c r="R317" s="146" t="e">
        <x:f>IF($A317="","",[1]!thsiFinD("ths_adjustment_nv_fund",R$3,$A317))</x:f>
        <x:v>#NAME?</x:v>
      </x:c>
      <x:c r="S317" s="146" t="e">
        <x:f>IF($A317="","",[1]!thsiFinD("ths_adjustment_nv_fund",S$3,$A317))</x:f>
        <x:v>#NAME?</x:v>
      </x:c>
      <x:c r="T317" s="146" t="e">
        <x:f>IF($A317="","",[1]!thsiFinD("ths_adjustment_nv_fund",T$3,$A317))</x:f>
        <x:v>#NAME?</x:v>
      </x:c>
      <x:c r="U317" s="146" t="e">
        <x:f>IF($A317="","",[1]!thsiFinD("ths_adjustment_nv_fund",U$3,$A317))</x:f>
        <x:v>#NAME?</x:v>
      </x:c>
      <x:c r="V317" s="146" t="e">
        <x:f>IF($A317="","",[1]!thsiFinD("ths_adjustment_nv_fund",V$3,$A317))</x:f>
        <x:v>#NAME?</x:v>
      </x:c>
      <x:c r="W317" s="146" t="e">
        <x:f>IF($A317="","",[1]!thsiFinD("ths_adjustment_nv_fund",W$3,$A317))</x:f>
        <x:v>#NAME?</x:v>
      </x:c>
      <x:c r="X317" s="146" t="e">
        <x:f>IF($A317="","",[1]!thsiFinD("ths_adjustment_nv_fund",X$3,$A317))</x:f>
        <x:v>#NAME?</x:v>
      </x:c>
      <x:c r="Y317" s="146" t="e">
        <x:f>IF($A317="","",[1]!thsiFinD("ths_adjustment_nv_fund",Y$3,$A317))</x:f>
        <x:v>#NAME?</x:v>
      </x:c>
      <x:c r="Z317" s="146" t="e">
        <x:f>IF($A317="","",[1]!thsiFinD("ths_adjustment_nv_fund",Z$3,$A317))</x:f>
        <x:v>#NAME?</x:v>
      </x:c>
      <x:c r="AA317" s="146" t="e">
        <x:f>IF($A317="","",[1]!thsiFinD("ths_adjustment_nv_fund",AA$3,$A317))</x:f>
        <x:v>#NAME?</x:v>
      </x:c>
    </x:row>
    <x:row r="318">
      <x:c r="B318" s="146" t="e">
        <x:f>IF($A318="","",[1]!thsiFinD("ths_adjustment_nv_fund",B$3,$A318))</x:f>
        <x:v>#NAME?</x:v>
      </x:c>
      <x:c r="C318" s="146" t="e">
        <x:f>IF($A318="","",[1]!thsiFinD("ths_adjustment_nv_fund",C$3,$A318))</x:f>
        <x:v>#NAME?</x:v>
      </x:c>
      <x:c r="D318" s="146" t="e">
        <x:f>IF($A318="","",[1]!thsiFinD("ths_adjustment_nv_fund",D$3,$A318))</x:f>
        <x:v>#NAME?</x:v>
      </x:c>
      <x:c r="E318" s="146" t="e">
        <x:f>IF($A318="","",[1]!thsiFinD("ths_adjustment_nv_fund",E$3,$A318))</x:f>
        <x:v>#NAME?</x:v>
      </x:c>
      <x:c r="F318" s="146" t="e">
        <x:f>IF($A318="","",[1]!thsiFinD("ths_adjustment_nv_fund",F$3,$A318))</x:f>
        <x:v>#NAME?</x:v>
      </x:c>
      <x:c r="G318" s="146" t="e">
        <x:f>IF($A318="","",[1]!thsiFinD("ths_adjustment_nv_fund",G$3,$A318))</x:f>
        <x:v>#NAME?</x:v>
      </x:c>
      <x:c r="H318" s="146" t="e">
        <x:f>IF($A318="","",[1]!thsiFinD("ths_adjustment_nv_fund",H$3,$A318))</x:f>
        <x:v>#NAME?</x:v>
      </x:c>
      <x:c r="I318" s="146" t="e">
        <x:f>IF($A318="","",[1]!thsiFinD("ths_adjustment_nv_fund",I$3,$A318))</x:f>
        <x:v>#NAME?</x:v>
      </x:c>
      <x:c r="J318" s="146" t="e">
        <x:f>IF($A318="","",[1]!thsiFinD("ths_adjustment_nv_fund",J$3,$A318))</x:f>
        <x:v>#NAME?</x:v>
      </x:c>
      <x:c r="K318" s="146" t="e">
        <x:f>IF($A318="","",[1]!thsiFinD("ths_adjustment_nv_fund",K$3,$A318))</x:f>
        <x:v>#NAME?</x:v>
      </x:c>
      <x:c r="L318" s="146" t="e">
        <x:f>IF($A318="","",[1]!thsiFinD("ths_adjustment_nv_fund",L$3,$A318))</x:f>
        <x:v>#NAME?</x:v>
      </x:c>
      <x:c r="M318" s="146" t="e">
        <x:f>IF($A318="","",[1]!thsiFinD("ths_adjustment_nv_fund",M$3,$A318))</x:f>
        <x:v>#NAME?</x:v>
      </x:c>
      <x:c r="N318" s="146" t="e">
        <x:f>IF($A318="","",[1]!thsiFinD("ths_adjustment_nv_fund",N$3,$A318))</x:f>
        <x:v>#NAME?</x:v>
      </x:c>
      <x:c r="O318" s="146" t="e">
        <x:f>IF($A318="","",[1]!thsiFinD("ths_adjustment_nv_fund",O$3,$A318))</x:f>
        <x:v>#NAME?</x:v>
      </x:c>
      <x:c r="P318" s="146" t="e">
        <x:f>IF($A318="","",[1]!thsiFinD("ths_adjustment_nv_fund",P$3,$A318))</x:f>
        <x:v>#NAME?</x:v>
      </x:c>
      <x:c r="Q318" s="146" t="e">
        <x:f>IF($A318="","",[1]!thsiFinD("ths_adjustment_nv_fund",Q$3,$A318))</x:f>
        <x:v>#NAME?</x:v>
      </x:c>
      <x:c r="R318" s="146" t="e">
        <x:f>IF($A318="","",[1]!thsiFinD("ths_adjustment_nv_fund",R$3,$A318))</x:f>
        <x:v>#NAME?</x:v>
      </x:c>
      <x:c r="S318" s="146" t="e">
        <x:f>IF($A318="","",[1]!thsiFinD("ths_adjustment_nv_fund",S$3,$A318))</x:f>
        <x:v>#NAME?</x:v>
      </x:c>
      <x:c r="T318" s="146" t="e">
        <x:f>IF($A318="","",[1]!thsiFinD("ths_adjustment_nv_fund",T$3,$A318))</x:f>
        <x:v>#NAME?</x:v>
      </x:c>
      <x:c r="U318" s="146" t="e">
        <x:f>IF($A318="","",[1]!thsiFinD("ths_adjustment_nv_fund",U$3,$A318))</x:f>
        <x:v>#NAME?</x:v>
      </x:c>
      <x:c r="V318" s="146" t="e">
        <x:f>IF($A318="","",[1]!thsiFinD("ths_adjustment_nv_fund",V$3,$A318))</x:f>
        <x:v>#NAME?</x:v>
      </x:c>
      <x:c r="W318" s="146" t="e">
        <x:f>IF($A318="","",[1]!thsiFinD("ths_adjustment_nv_fund",W$3,$A318))</x:f>
        <x:v>#NAME?</x:v>
      </x:c>
      <x:c r="X318" s="146" t="e">
        <x:f>IF($A318="","",[1]!thsiFinD("ths_adjustment_nv_fund",X$3,$A318))</x:f>
        <x:v>#NAME?</x:v>
      </x:c>
      <x:c r="Y318" s="146" t="e">
        <x:f>IF($A318="","",[1]!thsiFinD("ths_adjustment_nv_fund",Y$3,$A318))</x:f>
        <x:v>#NAME?</x:v>
      </x:c>
      <x:c r="Z318" s="146" t="e">
        <x:f>IF($A318="","",[1]!thsiFinD("ths_adjustment_nv_fund",Z$3,$A318))</x:f>
        <x:v>#NAME?</x:v>
      </x:c>
      <x:c r="AA318" s="146" t="e">
        <x:f>IF($A318="","",[1]!thsiFinD("ths_adjustment_nv_fund",AA$3,$A318))</x:f>
        <x:v>#NAME?</x:v>
      </x:c>
    </x:row>
    <x:row r="319">
      <x:c r="B319" s="146" t="e">
        <x:f>IF($A319="","",[1]!thsiFinD("ths_adjustment_nv_fund",B$3,$A319))</x:f>
        <x:v>#NAME?</x:v>
      </x:c>
      <x:c r="C319" s="146" t="e">
        <x:f>IF($A319="","",[1]!thsiFinD("ths_adjustment_nv_fund",C$3,$A319))</x:f>
        <x:v>#NAME?</x:v>
      </x:c>
      <x:c r="D319" s="146" t="e">
        <x:f>IF($A319="","",[1]!thsiFinD("ths_adjustment_nv_fund",D$3,$A319))</x:f>
        <x:v>#NAME?</x:v>
      </x:c>
      <x:c r="E319" s="146" t="e">
        <x:f>IF($A319="","",[1]!thsiFinD("ths_adjustment_nv_fund",E$3,$A319))</x:f>
        <x:v>#NAME?</x:v>
      </x:c>
      <x:c r="F319" s="146" t="e">
        <x:f>IF($A319="","",[1]!thsiFinD("ths_adjustment_nv_fund",F$3,$A319))</x:f>
        <x:v>#NAME?</x:v>
      </x:c>
      <x:c r="G319" s="146" t="e">
        <x:f>IF($A319="","",[1]!thsiFinD("ths_adjustment_nv_fund",G$3,$A319))</x:f>
        <x:v>#NAME?</x:v>
      </x:c>
      <x:c r="H319" s="146" t="e">
        <x:f>IF($A319="","",[1]!thsiFinD("ths_adjustment_nv_fund",H$3,$A319))</x:f>
        <x:v>#NAME?</x:v>
      </x:c>
      <x:c r="I319" s="146" t="e">
        <x:f>IF($A319="","",[1]!thsiFinD("ths_adjustment_nv_fund",I$3,$A319))</x:f>
        <x:v>#NAME?</x:v>
      </x:c>
      <x:c r="J319" s="146" t="e">
        <x:f>IF($A319="","",[1]!thsiFinD("ths_adjustment_nv_fund",J$3,$A319))</x:f>
        <x:v>#NAME?</x:v>
      </x:c>
      <x:c r="K319" s="146" t="e">
        <x:f>IF($A319="","",[1]!thsiFinD("ths_adjustment_nv_fund",K$3,$A319))</x:f>
        <x:v>#NAME?</x:v>
      </x:c>
      <x:c r="L319" s="146" t="e">
        <x:f>IF($A319="","",[1]!thsiFinD("ths_adjustment_nv_fund",L$3,$A319))</x:f>
        <x:v>#NAME?</x:v>
      </x:c>
      <x:c r="M319" s="146" t="e">
        <x:f>IF($A319="","",[1]!thsiFinD("ths_adjustment_nv_fund",M$3,$A319))</x:f>
        <x:v>#NAME?</x:v>
      </x:c>
      <x:c r="N319" s="146" t="e">
        <x:f>IF($A319="","",[1]!thsiFinD("ths_adjustment_nv_fund",N$3,$A319))</x:f>
        <x:v>#NAME?</x:v>
      </x:c>
      <x:c r="O319" s="146" t="e">
        <x:f>IF($A319="","",[1]!thsiFinD("ths_adjustment_nv_fund",O$3,$A319))</x:f>
        <x:v>#NAME?</x:v>
      </x:c>
      <x:c r="P319" s="146" t="e">
        <x:f>IF($A319="","",[1]!thsiFinD("ths_adjustment_nv_fund",P$3,$A319))</x:f>
        <x:v>#NAME?</x:v>
      </x:c>
      <x:c r="Q319" s="146" t="e">
        <x:f>IF($A319="","",[1]!thsiFinD("ths_adjustment_nv_fund",Q$3,$A319))</x:f>
        <x:v>#NAME?</x:v>
      </x:c>
      <x:c r="R319" s="146" t="e">
        <x:f>IF($A319="","",[1]!thsiFinD("ths_adjustment_nv_fund",R$3,$A319))</x:f>
        <x:v>#NAME?</x:v>
      </x:c>
      <x:c r="S319" s="146" t="e">
        <x:f>IF($A319="","",[1]!thsiFinD("ths_adjustment_nv_fund",S$3,$A319))</x:f>
        <x:v>#NAME?</x:v>
      </x:c>
      <x:c r="T319" s="146" t="e">
        <x:f>IF($A319="","",[1]!thsiFinD("ths_adjustment_nv_fund",T$3,$A319))</x:f>
        <x:v>#NAME?</x:v>
      </x:c>
      <x:c r="U319" s="146" t="e">
        <x:f>IF($A319="","",[1]!thsiFinD("ths_adjustment_nv_fund",U$3,$A319))</x:f>
        <x:v>#NAME?</x:v>
      </x:c>
      <x:c r="V319" s="146" t="e">
        <x:f>IF($A319="","",[1]!thsiFinD("ths_adjustment_nv_fund",V$3,$A319))</x:f>
        <x:v>#NAME?</x:v>
      </x:c>
      <x:c r="W319" s="146" t="e">
        <x:f>IF($A319="","",[1]!thsiFinD("ths_adjustment_nv_fund",W$3,$A319))</x:f>
        <x:v>#NAME?</x:v>
      </x:c>
      <x:c r="X319" s="146" t="e">
        <x:f>IF($A319="","",[1]!thsiFinD("ths_adjustment_nv_fund",X$3,$A319))</x:f>
        <x:v>#NAME?</x:v>
      </x:c>
      <x:c r="Y319" s="146" t="e">
        <x:f>IF($A319="","",[1]!thsiFinD("ths_adjustment_nv_fund",Y$3,$A319))</x:f>
        <x:v>#NAME?</x:v>
      </x:c>
      <x:c r="Z319" s="146" t="e">
        <x:f>IF($A319="","",[1]!thsiFinD("ths_adjustment_nv_fund",Z$3,$A319))</x:f>
        <x:v>#NAME?</x:v>
      </x:c>
      <x:c r="AA319" s="146" t="e">
        <x:f>IF($A319="","",[1]!thsiFinD("ths_adjustment_nv_fund",AA$3,$A319))</x:f>
        <x:v>#NAME?</x:v>
      </x:c>
    </x:row>
    <x:row r="320">
      <x:c r="B320" s="146" t="e">
        <x:f>IF($A320="","",[1]!thsiFinD("ths_adjustment_nv_fund",B$3,$A320))</x:f>
        <x:v>#NAME?</x:v>
      </x:c>
      <x:c r="C320" s="146" t="e">
        <x:f>IF($A320="","",[1]!thsiFinD("ths_adjustment_nv_fund",C$3,$A320))</x:f>
        <x:v>#NAME?</x:v>
      </x:c>
      <x:c r="D320" s="146" t="e">
        <x:f>IF($A320="","",[1]!thsiFinD("ths_adjustment_nv_fund",D$3,$A320))</x:f>
        <x:v>#NAME?</x:v>
      </x:c>
      <x:c r="E320" s="146" t="e">
        <x:f>IF($A320="","",[1]!thsiFinD("ths_adjustment_nv_fund",E$3,$A320))</x:f>
        <x:v>#NAME?</x:v>
      </x:c>
      <x:c r="F320" s="146" t="e">
        <x:f>IF($A320="","",[1]!thsiFinD("ths_adjustment_nv_fund",F$3,$A320))</x:f>
        <x:v>#NAME?</x:v>
      </x:c>
      <x:c r="G320" s="146" t="e">
        <x:f>IF($A320="","",[1]!thsiFinD("ths_adjustment_nv_fund",G$3,$A320))</x:f>
        <x:v>#NAME?</x:v>
      </x:c>
      <x:c r="H320" s="146" t="e">
        <x:f>IF($A320="","",[1]!thsiFinD("ths_adjustment_nv_fund",H$3,$A320))</x:f>
        <x:v>#NAME?</x:v>
      </x:c>
      <x:c r="I320" s="146" t="e">
        <x:f>IF($A320="","",[1]!thsiFinD("ths_adjustment_nv_fund",I$3,$A320))</x:f>
        <x:v>#NAME?</x:v>
      </x:c>
      <x:c r="J320" s="146" t="e">
        <x:f>IF($A320="","",[1]!thsiFinD("ths_adjustment_nv_fund",J$3,$A320))</x:f>
        <x:v>#NAME?</x:v>
      </x:c>
      <x:c r="K320" s="146" t="e">
        <x:f>IF($A320="","",[1]!thsiFinD("ths_adjustment_nv_fund",K$3,$A320))</x:f>
        <x:v>#NAME?</x:v>
      </x:c>
      <x:c r="L320" s="146" t="e">
        <x:f>IF($A320="","",[1]!thsiFinD("ths_adjustment_nv_fund",L$3,$A320))</x:f>
        <x:v>#NAME?</x:v>
      </x:c>
      <x:c r="M320" s="146" t="e">
        <x:f>IF($A320="","",[1]!thsiFinD("ths_adjustment_nv_fund",M$3,$A320))</x:f>
        <x:v>#NAME?</x:v>
      </x:c>
      <x:c r="N320" s="146" t="e">
        <x:f>IF($A320="","",[1]!thsiFinD("ths_adjustment_nv_fund",N$3,$A320))</x:f>
        <x:v>#NAME?</x:v>
      </x:c>
      <x:c r="O320" s="146" t="e">
        <x:f>IF($A320="","",[1]!thsiFinD("ths_adjustment_nv_fund",O$3,$A320))</x:f>
        <x:v>#NAME?</x:v>
      </x:c>
      <x:c r="P320" s="146" t="e">
        <x:f>IF($A320="","",[1]!thsiFinD("ths_adjustment_nv_fund",P$3,$A320))</x:f>
        <x:v>#NAME?</x:v>
      </x:c>
      <x:c r="Q320" s="146" t="e">
        <x:f>IF($A320="","",[1]!thsiFinD("ths_adjustment_nv_fund",Q$3,$A320))</x:f>
        <x:v>#NAME?</x:v>
      </x:c>
      <x:c r="R320" s="146" t="e">
        <x:f>IF($A320="","",[1]!thsiFinD("ths_adjustment_nv_fund",R$3,$A320))</x:f>
        <x:v>#NAME?</x:v>
      </x:c>
      <x:c r="S320" s="146" t="e">
        <x:f>IF($A320="","",[1]!thsiFinD("ths_adjustment_nv_fund",S$3,$A320))</x:f>
        <x:v>#NAME?</x:v>
      </x:c>
      <x:c r="T320" s="146" t="e">
        <x:f>IF($A320="","",[1]!thsiFinD("ths_adjustment_nv_fund",T$3,$A320))</x:f>
        <x:v>#NAME?</x:v>
      </x:c>
      <x:c r="U320" s="146" t="e">
        <x:f>IF($A320="","",[1]!thsiFinD("ths_adjustment_nv_fund",U$3,$A320))</x:f>
        <x:v>#NAME?</x:v>
      </x:c>
      <x:c r="V320" s="146" t="e">
        <x:f>IF($A320="","",[1]!thsiFinD("ths_adjustment_nv_fund",V$3,$A320))</x:f>
        <x:v>#NAME?</x:v>
      </x:c>
      <x:c r="W320" s="146" t="e">
        <x:f>IF($A320="","",[1]!thsiFinD("ths_adjustment_nv_fund",W$3,$A320))</x:f>
        <x:v>#NAME?</x:v>
      </x:c>
      <x:c r="X320" s="146" t="e">
        <x:f>IF($A320="","",[1]!thsiFinD("ths_adjustment_nv_fund",X$3,$A320))</x:f>
        <x:v>#NAME?</x:v>
      </x:c>
      <x:c r="Y320" s="146" t="e">
        <x:f>IF($A320="","",[1]!thsiFinD("ths_adjustment_nv_fund",Y$3,$A320))</x:f>
        <x:v>#NAME?</x:v>
      </x:c>
      <x:c r="Z320" s="146" t="e">
        <x:f>IF($A320="","",[1]!thsiFinD("ths_adjustment_nv_fund",Z$3,$A320))</x:f>
        <x:v>#NAME?</x:v>
      </x:c>
      <x:c r="AA320" s="146" t="e">
        <x:f>IF($A320="","",[1]!thsiFinD("ths_adjustment_nv_fund",AA$3,$A320))</x:f>
        <x:v>#NAME?</x:v>
      </x:c>
    </x:row>
    <x:row r="321">
      <x:c r="B321" s="146" t="e">
        <x:f>IF($A321="","",[1]!thsiFinD("ths_adjustment_nv_fund",B$3,$A321))</x:f>
        <x:v>#NAME?</x:v>
      </x:c>
      <x:c r="C321" s="146" t="e">
        <x:f>IF($A321="","",[1]!thsiFinD("ths_adjustment_nv_fund",C$3,$A321))</x:f>
        <x:v>#NAME?</x:v>
      </x:c>
      <x:c r="D321" s="146" t="e">
        <x:f>IF($A321="","",[1]!thsiFinD("ths_adjustment_nv_fund",D$3,$A321))</x:f>
        <x:v>#NAME?</x:v>
      </x:c>
      <x:c r="E321" s="146" t="e">
        <x:f>IF($A321="","",[1]!thsiFinD("ths_adjustment_nv_fund",E$3,$A321))</x:f>
        <x:v>#NAME?</x:v>
      </x:c>
      <x:c r="F321" s="146" t="e">
        <x:f>IF($A321="","",[1]!thsiFinD("ths_adjustment_nv_fund",F$3,$A321))</x:f>
        <x:v>#NAME?</x:v>
      </x:c>
      <x:c r="G321" s="146" t="e">
        <x:f>IF($A321="","",[1]!thsiFinD("ths_adjustment_nv_fund",G$3,$A321))</x:f>
        <x:v>#NAME?</x:v>
      </x:c>
      <x:c r="H321" s="146" t="e">
        <x:f>IF($A321="","",[1]!thsiFinD("ths_adjustment_nv_fund",H$3,$A321))</x:f>
        <x:v>#NAME?</x:v>
      </x:c>
      <x:c r="I321" s="146" t="e">
        <x:f>IF($A321="","",[1]!thsiFinD("ths_adjustment_nv_fund",I$3,$A321))</x:f>
        <x:v>#NAME?</x:v>
      </x:c>
      <x:c r="J321" s="146" t="e">
        <x:f>IF($A321="","",[1]!thsiFinD("ths_adjustment_nv_fund",J$3,$A321))</x:f>
        <x:v>#NAME?</x:v>
      </x:c>
      <x:c r="K321" s="146" t="e">
        <x:f>IF($A321="","",[1]!thsiFinD("ths_adjustment_nv_fund",K$3,$A321))</x:f>
        <x:v>#NAME?</x:v>
      </x:c>
      <x:c r="L321" s="146" t="e">
        <x:f>IF($A321="","",[1]!thsiFinD("ths_adjustment_nv_fund",L$3,$A321))</x:f>
        <x:v>#NAME?</x:v>
      </x:c>
      <x:c r="M321" s="146" t="e">
        <x:f>IF($A321="","",[1]!thsiFinD("ths_adjustment_nv_fund",M$3,$A321))</x:f>
        <x:v>#NAME?</x:v>
      </x:c>
      <x:c r="N321" s="146" t="e">
        <x:f>IF($A321="","",[1]!thsiFinD("ths_adjustment_nv_fund",N$3,$A321))</x:f>
        <x:v>#NAME?</x:v>
      </x:c>
      <x:c r="O321" s="146" t="e">
        <x:f>IF($A321="","",[1]!thsiFinD("ths_adjustment_nv_fund",O$3,$A321))</x:f>
        <x:v>#NAME?</x:v>
      </x:c>
      <x:c r="P321" s="146" t="e">
        <x:f>IF($A321="","",[1]!thsiFinD("ths_adjustment_nv_fund",P$3,$A321))</x:f>
        <x:v>#NAME?</x:v>
      </x:c>
      <x:c r="Q321" s="146" t="e">
        <x:f>IF($A321="","",[1]!thsiFinD("ths_adjustment_nv_fund",Q$3,$A321))</x:f>
        <x:v>#NAME?</x:v>
      </x:c>
      <x:c r="R321" s="146" t="e">
        <x:f>IF($A321="","",[1]!thsiFinD("ths_adjustment_nv_fund",R$3,$A321))</x:f>
        <x:v>#NAME?</x:v>
      </x:c>
      <x:c r="S321" s="146" t="e">
        <x:f>IF($A321="","",[1]!thsiFinD("ths_adjustment_nv_fund",S$3,$A321))</x:f>
        <x:v>#NAME?</x:v>
      </x:c>
      <x:c r="T321" s="146" t="e">
        <x:f>IF($A321="","",[1]!thsiFinD("ths_adjustment_nv_fund",T$3,$A321))</x:f>
        <x:v>#NAME?</x:v>
      </x:c>
      <x:c r="U321" s="146" t="e">
        <x:f>IF($A321="","",[1]!thsiFinD("ths_adjustment_nv_fund",U$3,$A321))</x:f>
        <x:v>#NAME?</x:v>
      </x:c>
      <x:c r="V321" s="146" t="e">
        <x:f>IF($A321="","",[1]!thsiFinD("ths_adjustment_nv_fund",V$3,$A321))</x:f>
        <x:v>#NAME?</x:v>
      </x:c>
      <x:c r="W321" s="146" t="e">
        <x:f>IF($A321="","",[1]!thsiFinD("ths_adjustment_nv_fund",W$3,$A321))</x:f>
        <x:v>#NAME?</x:v>
      </x:c>
      <x:c r="X321" s="146" t="e">
        <x:f>IF($A321="","",[1]!thsiFinD("ths_adjustment_nv_fund",X$3,$A321))</x:f>
        <x:v>#NAME?</x:v>
      </x:c>
      <x:c r="Y321" s="146" t="e">
        <x:f>IF($A321="","",[1]!thsiFinD("ths_adjustment_nv_fund",Y$3,$A321))</x:f>
        <x:v>#NAME?</x:v>
      </x:c>
      <x:c r="Z321" s="146" t="e">
        <x:f>IF($A321="","",[1]!thsiFinD("ths_adjustment_nv_fund",Z$3,$A321))</x:f>
        <x:v>#NAME?</x:v>
      </x:c>
      <x:c r="AA321" s="146" t="e">
        <x:f>IF($A321="","",[1]!thsiFinD("ths_adjustment_nv_fund",AA$3,$A321))</x:f>
        <x:v>#NAME?</x:v>
      </x:c>
    </x:row>
    <x:row r="322">
      <x:c r="B322" s="146" t="e">
        <x:f>IF($A322="","",[1]!thsiFinD("ths_adjustment_nv_fund",B$3,$A322))</x:f>
        <x:v>#NAME?</x:v>
      </x:c>
      <x:c r="C322" s="146" t="e">
        <x:f>IF($A322="","",[1]!thsiFinD("ths_adjustment_nv_fund",C$3,$A322))</x:f>
        <x:v>#NAME?</x:v>
      </x:c>
      <x:c r="D322" s="146" t="e">
        <x:f>IF($A322="","",[1]!thsiFinD("ths_adjustment_nv_fund",D$3,$A322))</x:f>
        <x:v>#NAME?</x:v>
      </x:c>
      <x:c r="E322" s="146" t="e">
        <x:f>IF($A322="","",[1]!thsiFinD("ths_adjustment_nv_fund",E$3,$A322))</x:f>
        <x:v>#NAME?</x:v>
      </x:c>
      <x:c r="F322" s="146" t="e">
        <x:f>IF($A322="","",[1]!thsiFinD("ths_adjustment_nv_fund",F$3,$A322))</x:f>
        <x:v>#NAME?</x:v>
      </x:c>
      <x:c r="G322" s="146" t="e">
        <x:f>IF($A322="","",[1]!thsiFinD("ths_adjustment_nv_fund",G$3,$A322))</x:f>
        <x:v>#NAME?</x:v>
      </x:c>
      <x:c r="H322" s="146" t="e">
        <x:f>IF($A322="","",[1]!thsiFinD("ths_adjustment_nv_fund",H$3,$A322))</x:f>
        <x:v>#NAME?</x:v>
      </x:c>
      <x:c r="I322" s="146" t="e">
        <x:f>IF($A322="","",[1]!thsiFinD("ths_adjustment_nv_fund",I$3,$A322))</x:f>
        <x:v>#NAME?</x:v>
      </x:c>
      <x:c r="J322" s="146" t="e">
        <x:f>IF($A322="","",[1]!thsiFinD("ths_adjustment_nv_fund",J$3,$A322))</x:f>
        <x:v>#NAME?</x:v>
      </x:c>
      <x:c r="K322" s="146" t="e">
        <x:f>IF($A322="","",[1]!thsiFinD("ths_adjustment_nv_fund",K$3,$A322))</x:f>
        <x:v>#NAME?</x:v>
      </x:c>
      <x:c r="L322" s="146" t="e">
        <x:f>IF($A322="","",[1]!thsiFinD("ths_adjustment_nv_fund",L$3,$A322))</x:f>
        <x:v>#NAME?</x:v>
      </x:c>
      <x:c r="M322" s="146" t="e">
        <x:f>IF($A322="","",[1]!thsiFinD("ths_adjustment_nv_fund",M$3,$A322))</x:f>
        <x:v>#NAME?</x:v>
      </x:c>
      <x:c r="N322" s="146" t="e">
        <x:f>IF($A322="","",[1]!thsiFinD("ths_adjustment_nv_fund",N$3,$A322))</x:f>
        <x:v>#NAME?</x:v>
      </x:c>
      <x:c r="O322" s="146" t="e">
        <x:f>IF($A322="","",[1]!thsiFinD("ths_adjustment_nv_fund",O$3,$A322))</x:f>
        <x:v>#NAME?</x:v>
      </x:c>
      <x:c r="P322" s="146" t="e">
        <x:f>IF($A322="","",[1]!thsiFinD("ths_adjustment_nv_fund",P$3,$A322))</x:f>
        <x:v>#NAME?</x:v>
      </x:c>
      <x:c r="Q322" s="146" t="e">
        <x:f>IF($A322="","",[1]!thsiFinD("ths_adjustment_nv_fund",Q$3,$A322))</x:f>
        <x:v>#NAME?</x:v>
      </x:c>
      <x:c r="R322" s="146" t="e">
        <x:f>IF($A322="","",[1]!thsiFinD("ths_adjustment_nv_fund",R$3,$A322))</x:f>
        <x:v>#NAME?</x:v>
      </x:c>
      <x:c r="S322" s="146" t="e">
        <x:f>IF($A322="","",[1]!thsiFinD("ths_adjustment_nv_fund",S$3,$A322))</x:f>
        <x:v>#NAME?</x:v>
      </x:c>
      <x:c r="T322" s="146" t="e">
        <x:f>IF($A322="","",[1]!thsiFinD("ths_adjustment_nv_fund",T$3,$A322))</x:f>
        <x:v>#NAME?</x:v>
      </x:c>
      <x:c r="U322" s="146" t="e">
        <x:f>IF($A322="","",[1]!thsiFinD("ths_adjustment_nv_fund",U$3,$A322))</x:f>
        <x:v>#NAME?</x:v>
      </x:c>
      <x:c r="V322" s="146" t="e">
        <x:f>IF($A322="","",[1]!thsiFinD("ths_adjustment_nv_fund",V$3,$A322))</x:f>
        <x:v>#NAME?</x:v>
      </x:c>
      <x:c r="W322" s="146" t="e">
        <x:f>IF($A322="","",[1]!thsiFinD("ths_adjustment_nv_fund",W$3,$A322))</x:f>
        <x:v>#NAME?</x:v>
      </x:c>
      <x:c r="X322" s="146" t="e">
        <x:f>IF($A322="","",[1]!thsiFinD("ths_adjustment_nv_fund",X$3,$A322))</x:f>
        <x:v>#NAME?</x:v>
      </x:c>
      <x:c r="Y322" s="146" t="e">
        <x:f>IF($A322="","",[1]!thsiFinD("ths_adjustment_nv_fund",Y$3,$A322))</x:f>
        <x:v>#NAME?</x:v>
      </x:c>
      <x:c r="Z322" s="146" t="e">
        <x:f>IF($A322="","",[1]!thsiFinD("ths_adjustment_nv_fund",Z$3,$A322))</x:f>
        <x:v>#NAME?</x:v>
      </x:c>
      <x:c r="AA322" s="146" t="e">
        <x:f>IF($A322="","",[1]!thsiFinD("ths_adjustment_nv_fund",AA$3,$A322))</x:f>
        <x:v>#NAME?</x:v>
      </x:c>
    </x:row>
    <x:row r="323">
      <x:c r="B323" s="146" t="e">
        <x:f>IF($A323="","",[1]!thsiFinD("ths_adjustment_nv_fund",B$3,$A323))</x:f>
        <x:v>#NAME?</x:v>
      </x:c>
      <x:c r="C323" s="146" t="e">
        <x:f>IF($A323="","",[1]!thsiFinD("ths_adjustment_nv_fund",C$3,$A323))</x:f>
        <x:v>#NAME?</x:v>
      </x:c>
      <x:c r="D323" s="146" t="e">
        <x:f>IF($A323="","",[1]!thsiFinD("ths_adjustment_nv_fund",D$3,$A323))</x:f>
        <x:v>#NAME?</x:v>
      </x:c>
      <x:c r="E323" s="146" t="e">
        <x:f>IF($A323="","",[1]!thsiFinD("ths_adjustment_nv_fund",E$3,$A323))</x:f>
        <x:v>#NAME?</x:v>
      </x:c>
      <x:c r="F323" s="146" t="e">
        <x:f>IF($A323="","",[1]!thsiFinD("ths_adjustment_nv_fund",F$3,$A323))</x:f>
        <x:v>#NAME?</x:v>
      </x:c>
      <x:c r="G323" s="146" t="e">
        <x:f>IF($A323="","",[1]!thsiFinD("ths_adjustment_nv_fund",G$3,$A323))</x:f>
        <x:v>#NAME?</x:v>
      </x:c>
      <x:c r="H323" s="146" t="e">
        <x:f>IF($A323="","",[1]!thsiFinD("ths_adjustment_nv_fund",H$3,$A323))</x:f>
        <x:v>#NAME?</x:v>
      </x:c>
      <x:c r="I323" s="146" t="e">
        <x:f>IF($A323="","",[1]!thsiFinD("ths_adjustment_nv_fund",I$3,$A323))</x:f>
        <x:v>#NAME?</x:v>
      </x:c>
      <x:c r="J323" s="146" t="e">
        <x:f>IF($A323="","",[1]!thsiFinD("ths_adjustment_nv_fund",J$3,$A323))</x:f>
        <x:v>#NAME?</x:v>
      </x:c>
      <x:c r="K323" s="146" t="e">
        <x:f>IF($A323="","",[1]!thsiFinD("ths_adjustment_nv_fund",K$3,$A323))</x:f>
        <x:v>#NAME?</x:v>
      </x:c>
      <x:c r="L323" s="146" t="e">
        <x:f>IF($A323="","",[1]!thsiFinD("ths_adjustment_nv_fund",L$3,$A323))</x:f>
        <x:v>#NAME?</x:v>
      </x:c>
      <x:c r="M323" s="146" t="e">
        <x:f>IF($A323="","",[1]!thsiFinD("ths_adjustment_nv_fund",M$3,$A323))</x:f>
        <x:v>#NAME?</x:v>
      </x:c>
      <x:c r="N323" s="146" t="e">
        <x:f>IF($A323="","",[1]!thsiFinD("ths_adjustment_nv_fund",N$3,$A323))</x:f>
        <x:v>#NAME?</x:v>
      </x:c>
      <x:c r="O323" s="146" t="e">
        <x:f>IF($A323="","",[1]!thsiFinD("ths_adjustment_nv_fund",O$3,$A323))</x:f>
        <x:v>#NAME?</x:v>
      </x:c>
      <x:c r="P323" s="146" t="e">
        <x:f>IF($A323="","",[1]!thsiFinD("ths_adjustment_nv_fund",P$3,$A323))</x:f>
        <x:v>#NAME?</x:v>
      </x:c>
      <x:c r="Q323" s="146" t="e">
        <x:f>IF($A323="","",[1]!thsiFinD("ths_adjustment_nv_fund",Q$3,$A323))</x:f>
        <x:v>#NAME?</x:v>
      </x:c>
      <x:c r="R323" s="146" t="e">
        <x:f>IF($A323="","",[1]!thsiFinD("ths_adjustment_nv_fund",R$3,$A323))</x:f>
        <x:v>#NAME?</x:v>
      </x:c>
      <x:c r="S323" s="146" t="e">
        <x:f>IF($A323="","",[1]!thsiFinD("ths_adjustment_nv_fund",S$3,$A323))</x:f>
        <x:v>#NAME?</x:v>
      </x:c>
      <x:c r="T323" s="146" t="e">
        <x:f>IF($A323="","",[1]!thsiFinD("ths_adjustment_nv_fund",T$3,$A323))</x:f>
        <x:v>#NAME?</x:v>
      </x:c>
      <x:c r="U323" s="146" t="e">
        <x:f>IF($A323="","",[1]!thsiFinD("ths_adjustment_nv_fund",U$3,$A323))</x:f>
        <x:v>#NAME?</x:v>
      </x:c>
      <x:c r="V323" s="146" t="e">
        <x:f>IF($A323="","",[1]!thsiFinD("ths_adjustment_nv_fund",V$3,$A323))</x:f>
        <x:v>#NAME?</x:v>
      </x:c>
      <x:c r="W323" s="146" t="e">
        <x:f>IF($A323="","",[1]!thsiFinD("ths_adjustment_nv_fund",W$3,$A323))</x:f>
        <x:v>#NAME?</x:v>
      </x:c>
      <x:c r="X323" s="146" t="e">
        <x:f>IF($A323="","",[1]!thsiFinD("ths_adjustment_nv_fund",X$3,$A323))</x:f>
        <x:v>#NAME?</x:v>
      </x:c>
      <x:c r="Y323" s="146" t="e">
        <x:f>IF($A323="","",[1]!thsiFinD("ths_adjustment_nv_fund",Y$3,$A323))</x:f>
        <x:v>#NAME?</x:v>
      </x:c>
      <x:c r="Z323" s="146" t="e">
        <x:f>IF($A323="","",[1]!thsiFinD("ths_adjustment_nv_fund",Z$3,$A323))</x:f>
        <x:v>#NAME?</x:v>
      </x:c>
      <x:c r="AA323" s="146" t="e">
        <x:f>IF($A323="","",[1]!thsiFinD("ths_adjustment_nv_fund",AA$3,$A323))</x:f>
        <x:v>#NAME?</x:v>
      </x:c>
    </x:row>
    <x:row r="324">
      <x:c r="B324" s="146" t="e">
        <x:f>IF($A324="","",[1]!thsiFinD("ths_adjustment_nv_fund",B$3,$A324))</x:f>
        <x:v>#NAME?</x:v>
      </x:c>
      <x:c r="C324" s="146" t="e">
        <x:f>IF($A324="","",[1]!thsiFinD("ths_adjustment_nv_fund",C$3,$A324))</x:f>
        <x:v>#NAME?</x:v>
      </x:c>
      <x:c r="D324" s="146" t="e">
        <x:f>IF($A324="","",[1]!thsiFinD("ths_adjustment_nv_fund",D$3,$A324))</x:f>
        <x:v>#NAME?</x:v>
      </x:c>
      <x:c r="E324" s="146" t="e">
        <x:f>IF($A324="","",[1]!thsiFinD("ths_adjustment_nv_fund",E$3,$A324))</x:f>
        <x:v>#NAME?</x:v>
      </x:c>
      <x:c r="F324" s="146" t="e">
        <x:f>IF($A324="","",[1]!thsiFinD("ths_adjustment_nv_fund",F$3,$A324))</x:f>
        <x:v>#NAME?</x:v>
      </x:c>
      <x:c r="G324" s="146" t="e">
        <x:f>IF($A324="","",[1]!thsiFinD("ths_adjustment_nv_fund",G$3,$A324))</x:f>
        <x:v>#NAME?</x:v>
      </x:c>
      <x:c r="H324" s="146" t="e">
        <x:f>IF($A324="","",[1]!thsiFinD("ths_adjustment_nv_fund",H$3,$A324))</x:f>
        <x:v>#NAME?</x:v>
      </x:c>
      <x:c r="I324" s="146" t="e">
        <x:f>IF($A324="","",[1]!thsiFinD("ths_adjustment_nv_fund",I$3,$A324))</x:f>
        <x:v>#NAME?</x:v>
      </x:c>
      <x:c r="J324" s="146" t="e">
        <x:f>IF($A324="","",[1]!thsiFinD("ths_adjustment_nv_fund",J$3,$A324))</x:f>
        <x:v>#NAME?</x:v>
      </x:c>
      <x:c r="K324" s="146" t="e">
        <x:f>IF($A324="","",[1]!thsiFinD("ths_adjustment_nv_fund",K$3,$A324))</x:f>
        <x:v>#NAME?</x:v>
      </x:c>
      <x:c r="L324" s="146" t="e">
        <x:f>IF($A324="","",[1]!thsiFinD("ths_adjustment_nv_fund",L$3,$A324))</x:f>
        <x:v>#NAME?</x:v>
      </x:c>
      <x:c r="M324" s="146" t="e">
        <x:f>IF($A324="","",[1]!thsiFinD("ths_adjustment_nv_fund",M$3,$A324))</x:f>
        <x:v>#NAME?</x:v>
      </x:c>
      <x:c r="N324" s="146" t="e">
        <x:f>IF($A324="","",[1]!thsiFinD("ths_adjustment_nv_fund",N$3,$A324))</x:f>
        <x:v>#NAME?</x:v>
      </x:c>
      <x:c r="O324" s="146" t="e">
        <x:f>IF($A324="","",[1]!thsiFinD("ths_adjustment_nv_fund",O$3,$A324))</x:f>
        <x:v>#NAME?</x:v>
      </x:c>
      <x:c r="P324" s="146" t="e">
        <x:f>IF($A324="","",[1]!thsiFinD("ths_adjustment_nv_fund",P$3,$A324))</x:f>
        <x:v>#NAME?</x:v>
      </x:c>
      <x:c r="Q324" s="146" t="e">
        <x:f>IF($A324="","",[1]!thsiFinD("ths_adjustment_nv_fund",Q$3,$A324))</x:f>
        <x:v>#NAME?</x:v>
      </x:c>
      <x:c r="R324" s="146" t="e">
        <x:f>IF($A324="","",[1]!thsiFinD("ths_adjustment_nv_fund",R$3,$A324))</x:f>
        <x:v>#NAME?</x:v>
      </x:c>
      <x:c r="S324" s="146" t="e">
        <x:f>IF($A324="","",[1]!thsiFinD("ths_adjustment_nv_fund",S$3,$A324))</x:f>
        <x:v>#NAME?</x:v>
      </x:c>
      <x:c r="T324" s="146" t="e">
        <x:f>IF($A324="","",[1]!thsiFinD("ths_adjustment_nv_fund",T$3,$A324))</x:f>
        <x:v>#NAME?</x:v>
      </x:c>
      <x:c r="U324" s="146" t="e">
        <x:f>IF($A324="","",[1]!thsiFinD("ths_adjustment_nv_fund",U$3,$A324))</x:f>
        <x:v>#NAME?</x:v>
      </x:c>
      <x:c r="V324" s="146" t="e">
        <x:f>IF($A324="","",[1]!thsiFinD("ths_adjustment_nv_fund",V$3,$A324))</x:f>
        <x:v>#NAME?</x:v>
      </x:c>
      <x:c r="W324" s="146" t="e">
        <x:f>IF($A324="","",[1]!thsiFinD("ths_adjustment_nv_fund",W$3,$A324))</x:f>
        <x:v>#NAME?</x:v>
      </x:c>
      <x:c r="X324" s="146" t="e">
        <x:f>IF($A324="","",[1]!thsiFinD("ths_adjustment_nv_fund",X$3,$A324))</x:f>
        <x:v>#NAME?</x:v>
      </x:c>
      <x:c r="Y324" s="146" t="e">
        <x:f>IF($A324="","",[1]!thsiFinD("ths_adjustment_nv_fund",Y$3,$A324))</x:f>
        <x:v>#NAME?</x:v>
      </x:c>
      <x:c r="Z324" s="146" t="e">
        <x:f>IF($A324="","",[1]!thsiFinD("ths_adjustment_nv_fund",Z$3,$A324))</x:f>
        <x:v>#NAME?</x:v>
      </x:c>
      <x:c r="AA324" s="146" t="e">
        <x:f>IF($A324="","",[1]!thsiFinD("ths_adjustment_nv_fund",AA$3,$A324))</x:f>
        <x:v>#NAME?</x:v>
      </x:c>
    </x:row>
    <x:row r="325">
      <x:c r="B325" s="146" t="e">
        <x:f>IF($A325="","",[1]!thsiFinD("ths_adjustment_nv_fund",B$3,$A325))</x:f>
        <x:v>#NAME?</x:v>
      </x:c>
      <x:c r="C325" s="146" t="e">
        <x:f>IF($A325="","",[1]!thsiFinD("ths_adjustment_nv_fund",C$3,$A325))</x:f>
        <x:v>#NAME?</x:v>
      </x:c>
      <x:c r="D325" s="146" t="e">
        <x:f>IF($A325="","",[1]!thsiFinD("ths_adjustment_nv_fund",D$3,$A325))</x:f>
        <x:v>#NAME?</x:v>
      </x:c>
      <x:c r="E325" s="146" t="e">
        <x:f>IF($A325="","",[1]!thsiFinD("ths_adjustment_nv_fund",E$3,$A325))</x:f>
        <x:v>#NAME?</x:v>
      </x:c>
      <x:c r="F325" s="146" t="e">
        <x:f>IF($A325="","",[1]!thsiFinD("ths_adjustment_nv_fund",F$3,$A325))</x:f>
        <x:v>#NAME?</x:v>
      </x:c>
      <x:c r="G325" s="146" t="e">
        <x:f>IF($A325="","",[1]!thsiFinD("ths_adjustment_nv_fund",G$3,$A325))</x:f>
        <x:v>#NAME?</x:v>
      </x:c>
      <x:c r="H325" s="146" t="e">
        <x:f>IF($A325="","",[1]!thsiFinD("ths_adjustment_nv_fund",H$3,$A325))</x:f>
        <x:v>#NAME?</x:v>
      </x:c>
      <x:c r="I325" s="146" t="e">
        <x:f>IF($A325="","",[1]!thsiFinD("ths_adjustment_nv_fund",I$3,$A325))</x:f>
        <x:v>#NAME?</x:v>
      </x:c>
      <x:c r="J325" s="146" t="e">
        <x:f>IF($A325="","",[1]!thsiFinD("ths_adjustment_nv_fund",J$3,$A325))</x:f>
        <x:v>#NAME?</x:v>
      </x:c>
      <x:c r="K325" s="146" t="e">
        <x:f>IF($A325="","",[1]!thsiFinD("ths_adjustment_nv_fund",K$3,$A325))</x:f>
        <x:v>#NAME?</x:v>
      </x:c>
      <x:c r="L325" s="146" t="e">
        <x:f>IF($A325="","",[1]!thsiFinD("ths_adjustment_nv_fund",L$3,$A325))</x:f>
        <x:v>#NAME?</x:v>
      </x:c>
      <x:c r="M325" s="146" t="e">
        <x:f>IF($A325="","",[1]!thsiFinD("ths_adjustment_nv_fund",M$3,$A325))</x:f>
        <x:v>#NAME?</x:v>
      </x:c>
      <x:c r="N325" s="146" t="e">
        <x:f>IF($A325="","",[1]!thsiFinD("ths_adjustment_nv_fund",N$3,$A325))</x:f>
        <x:v>#NAME?</x:v>
      </x:c>
      <x:c r="O325" s="146" t="e">
        <x:f>IF($A325="","",[1]!thsiFinD("ths_adjustment_nv_fund",O$3,$A325))</x:f>
        <x:v>#NAME?</x:v>
      </x:c>
      <x:c r="P325" s="146" t="e">
        <x:f>IF($A325="","",[1]!thsiFinD("ths_adjustment_nv_fund",P$3,$A325))</x:f>
        <x:v>#NAME?</x:v>
      </x:c>
      <x:c r="Q325" s="146" t="e">
        <x:f>IF($A325="","",[1]!thsiFinD("ths_adjustment_nv_fund",Q$3,$A325))</x:f>
        <x:v>#NAME?</x:v>
      </x:c>
      <x:c r="R325" s="146" t="e">
        <x:f>IF($A325="","",[1]!thsiFinD("ths_adjustment_nv_fund",R$3,$A325))</x:f>
        <x:v>#NAME?</x:v>
      </x:c>
      <x:c r="S325" s="146" t="e">
        <x:f>IF($A325="","",[1]!thsiFinD("ths_adjustment_nv_fund",S$3,$A325))</x:f>
        <x:v>#NAME?</x:v>
      </x:c>
      <x:c r="T325" s="146" t="e">
        <x:f>IF($A325="","",[1]!thsiFinD("ths_adjustment_nv_fund",T$3,$A325))</x:f>
        <x:v>#NAME?</x:v>
      </x:c>
      <x:c r="U325" s="146" t="e">
        <x:f>IF($A325="","",[1]!thsiFinD("ths_adjustment_nv_fund",U$3,$A325))</x:f>
        <x:v>#NAME?</x:v>
      </x:c>
      <x:c r="V325" s="146" t="e">
        <x:f>IF($A325="","",[1]!thsiFinD("ths_adjustment_nv_fund",V$3,$A325))</x:f>
        <x:v>#NAME?</x:v>
      </x:c>
      <x:c r="W325" s="146" t="e">
        <x:f>IF($A325="","",[1]!thsiFinD("ths_adjustment_nv_fund",W$3,$A325))</x:f>
        <x:v>#NAME?</x:v>
      </x:c>
      <x:c r="X325" s="146" t="e">
        <x:f>IF($A325="","",[1]!thsiFinD("ths_adjustment_nv_fund",X$3,$A325))</x:f>
        <x:v>#NAME?</x:v>
      </x:c>
      <x:c r="Y325" s="146" t="e">
        <x:f>IF($A325="","",[1]!thsiFinD("ths_adjustment_nv_fund",Y$3,$A325))</x:f>
        <x:v>#NAME?</x:v>
      </x:c>
      <x:c r="Z325" s="146" t="e">
        <x:f>IF($A325="","",[1]!thsiFinD("ths_adjustment_nv_fund",Z$3,$A325))</x:f>
        <x:v>#NAME?</x:v>
      </x:c>
      <x:c r="AA325" s="146" t="e">
        <x:f>IF($A325="","",[1]!thsiFinD("ths_adjustment_nv_fund",AA$3,$A325))</x:f>
        <x:v>#NAME?</x:v>
      </x:c>
    </x:row>
    <x:row r="326">
      <x:c r="B326" s="146" t="e">
        <x:f>IF($A326="","",[1]!thsiFinD("ths_adjustment_nv_fund",B$3,$A326))</x:f>
        <x:v>#NAME?</x:v>
      </x:c>
      <x:c r="C326" s="146" t="e">
        <x:f>IF($A326="","",[1]!thsiFinD("ths_adjustment_nv_fund",C$3,$A326))</x:f>
        <x:v>#NAME?</x:v>
      </x:c>
      <x:c r="D326" s="146" t="e">
        <x:f>IF($A326="","",[1]!thsiFinD("ths_adjustment_nv_fund",D$3,$A326))</x:f>
        <x:v>#NAME?</x:v>
      </x:c>
      <x:c r="E326" s="146" t="e">
        <x:f>IF($A326="","",[1]!thsiFinD("ths_adjustment_nv_fund",E$3,$A326))</x:f>
        <x:v>#NAME?</x:v>
      </x:c>
      <x:c r="F326" s="146" t="e">
        <x:f>IF($A326="","",[1]!thsiFinD("ths_adjustment_nv_fund",F$3,$A326))</x:f>
        <x:v>#NAME?</x:v>
      </x:c>
      <x:c r="G326" s="146" t="e">
        <x:f>IF($A326="","",[1]!thsiFinD("ths_adjustment_nv_fund",G$3,$A326))</x:f>
        <x:v>#NAME?</x:v>
      </x:c>
      <x:c r="H326" s="146" t="e">
        <x:f>IF($A326="","",[1]!thsiFinD("ths_adjustment_nv_fund",H$3,$A326))</x:f>
        <x:v>#NAME?</x:v>
      </x:c>
      <x:c r="I326" s="146" t="e">
        <x:f>IF($A326="","",[1]!thsiFinD("ths_adjustment_nv_fund",I$3,$A326))</x:f>
        <x:v>#NAME?</x:v>
      </x:c>
      <x:c r="J326" s="146" t="e">
        <x:f>IF($A326="","",[1]!thsiFinD("ths_adjustment_nv_fund",J$3,$A326))</x:f>
        <x:v>#NAME?</x:v>
      </x:c>
      <x:c r="K326" s="146" t="e">
        <x:f>IF($A326="","",[1]!thsiFinD("ths_adjustment_nv_fund",K$3,$A326))</x:f>
        <x:v>#NAME?</x:v>
      </x:c>
      <x:c r="L326" s="146" t="e">
        <x:f>IF($A326="","",[1]!thsiFinD("ths_adjustment_nv_fund",L$3,$A326))</x:f>
        <x:v>#NAME?</x:v>
      </x:c>
      <x:c r="M326" s="146" t="e">
        <x:f>IF($A326="","",[1]!thsiFinD("ths_adjustment_nv_fund",M$3,$A326))</x:f>
        <x:v>#NAME?</x:v>
      </x:c>
      <x:c r="N326" s="146" t="e">
        <x:f>IF($A326="","",[1]!thsiFinD("ths_adjustment_nv_fund",N$3,$A326))</x:f>
        <x:v>#NAME?</x:v>
      </x:c>
      <x:c r="O326" s="146" t="e">
        <x:f>IF($A326="","",[1]!thsiFinD("ths_adjustment_nv_fund",O$3,$A326))</x:f>
        <x:v>#NAME?</x:v>
      </x:c>
      <x:c r="P326" s="146" t="e">
        <x:f>IF($A326="","",[1]!thsiFinD("ths_adjustment_nv_fund",P$3,$A326))</x:f>
        <x:v>#NAME?</x:v>
      </x:c>
      <x:c r="Q326" s="146" t="e">
        <x:f>IF($A326="","",[1]!thsiFinD("ths_adjustment_nv_fund",Q$3,$A326))</x:f>
        <x:v>#NAME?</x:v>
      </x:c>
      <x:c r="R326" s="146" t="e">
        <x:f>IF($A326="","",[1]!thsiFinD("ths_adjustment_nv_fund",R$3,$A326))</x:f>
        <x:v>#NAME?</x:v>
      </x:c>
      <x:c r="S326" s="146" t="e">
        <x:f>IF($A326="","",[1]!thsiFinD("ths_adjustment_nv_fund",S$3,$A326))</x:f>
        <x:v>#NAME?</x:v>
      </x:c>
      <x:c r="T326" s="146" t="e">
        <x:f>IF($A326="","",[1]!thsiFinD("ths_adjustment_nv_fund",T$3,$A326))</x:f>
        <x:v>#NAME?</x:v>
      </x:c>
      <x:c r="U326" s="146" t="e">
        <x:f>IF($A326="","",[1]!thsiFinD("ths_adjustment_nv_fund",U$3,$A326))</x:f>
        <x:v>#NAME?</x:v>
      </x:c>
      <x:c r="V326" s="146" t="e">
        <x:f>IF($A326="","",[1]!thsiFinD("ths_adjustment_nv_fund",V$3,$A326))</x:f>
        <x:v>#NAME?</x:v>
      </x:c>
      <x:c r="W326" s="146" t="e">
        <x:f>IF($A326="","",[1]!thsiFinD("ths_adjustment_nv_fund",W$3,$A326))</x:f>
        <x:v>#NAME?</x:v>
      </x:c>
      <x:c r="X326" s="146" t="e">
        <x:f>IF($A326="","",[1]!thsiFinD("ths_adjustment_nv_fund",X$3,$A326))</x:f>
        <x:v>#NAME?</x:v>
      </x:c>
      <x:c r="Y326" s="146" t="e">
        <x:f>IF($A326="","",[1]!thsiFinD("ths_adjustment_nv_fund",Y$3,$A326))</x:f>
        <x:v>#NAME?</x:v>
      </x:c>
      <x:c r="Z326" s="146" t="e">
        <x:f>IF($A326="","",[1]!thsiFinD("ths_adjustment_nv_fund",Z$3,$A326))</x:f>
        <x:v>#NAME?</x:v>
      </x:c>
      <x:c r="AA326" s="146" t="e">
        <x:f>IF($A326="","",[1]!thsiFinD("ths_adjustment_nv_fund",AA$3,$A326))</x:f>
        <x:v>#NAME?</x:v>
      </x:c>
    </x:row>
    <x:row r="327">
      <x:c r="B327" s="146" t="e">
        <x:f>IF($A327="","",[1]!thsiFinD("ths_adjustment_nv_fund",B$3,$A327))</x:f>
        <x:v>#NAME?</x:v>
      </x:c>
      <x:c r="C327" s="146" t="e">
        <x:f>IF($A327="","",[1]!thsiFinD("ths_adjustment_nv_fund",C$3,$A327))</x:f>
        <x:v>#NAME?</x:v>
      </x:c>
      <x:c r="D327" s="146" t="e">
        <x:f>IF($A327="","",[1]!thsiFinD("ths_adjustment_nv_fund",D$3,$A327))</x:f>
        <x:v>#NAME?</x:v>
      </x:c>
      <x:c r="E327" s="146" t="e">
        <x:f>IF($A327="","",[1]!thsiFinD("ths_adjustment_nv_fund",E$3,$A327))</x:f>
        <x:v>#NAME?</x:v>
      </x:c>
      <x:c r="F327" s="146" t="e">
        <x:f>IF($A327="","",[1]!thsiFinD("ths_adjustment_nv_fund",F$3,$A327))</x:f>
        <x:v>#NAME?</x:v>
      </x:c>
      <x:c r="G327" s="146" t="e">
        <x:f>IF($A327="","",[1]!thsiFinD("ths_adjustment_nv_fund",G$3,$A327))</x:f>
        <x:v>#NAME?</x:v>
      </x:c>
      <x:c r="H327" s="146" t="e">
        <x:f>IF($A327="","",[1]!thsiFinD("ths_adjustment_nv_fund",H$3,$A327))</x:f>
        <x:v>#NAME?</x:v>
      </x:c>
      <x:c r="I327" s="146" t="e">
        <x:f>IF($A327="","",[1]!thsiFinD("ths_adjustment_nv_fund",I$3,$A327))</x:f>
        <x:v>#NAME?</x:v>
      </x:c>
      <x:c r="J327" s="146" t="e">
        <x:f>IF($A327="","",[1]!thsiFinD("ths_adjustment_nv_fund",J$3,$A327))</x:f>
        <x:v>#NAME?</x:v>
      </x:c>
      <x:c r="K327" s="146" t="e">
        <x:f>IF($A327="","",[1]!thsiFinD("ths_adjustment_nv_fund",K$3,$A327))</x:f>
        <x:v>#NAME?</x:v>
      </x:c>
      <x:c r="L327" s="146" t="e">
        <x:f>IF($A327="","",[1]!thsiFinD("ths_adjustment_nv_fund",L$3,$A327))</x:f>
        <x:v>#NAME?</x:v>
      </x:c>
      <x:c r="M327" s="146" t="e">
        <x:f>IF($A327="","",[1]!thsiFinD("ths_adjustment_nv_fund",M$3,$A327))</x:f>
        <x:v>#NAME?</x:v>
      </x:c>
      <x:c r="N327" s="146" t="e">
        <x:f>IF($A327="","",[1]!thsiFinD("ths_adjustment_nv_fund",N$3,$A327))</x:f>
        <x:v>#NAME?</x:v>
      </x:c>
      <x:c r="O327" s="146" t="e">
        <x:f>IF($A327="","",[1]!thsiFinD("ths_adjustment_nv_fund",O$3,$A327))</x:f>
        <x:v>#NAME?</x:v>
      </x:c>
      <x:c r="P327" s="146" t="e">
        <x:f>IF($A327="","",[1]!thsiFinD("ths_adjustment_nv_fund",P$3,$A327))</x:f>
        <x:v>#NAME?</x:v>
      </x:c>
      <x:c r="Q327" s="146" t="e">
        <x:f>IF($A327="","",[1]!thsiFinD("ths_adjustment_nv_fund",Q$3,$A327))</x:f>
        <x:v>#NAME?</x:v>
      </x:c>
      <x:c r="R327" s="146" t="e">
        <x:f>IF($A327="","",[1]!thsiFinD("ths_adjustment_nv_fund",R$3,$A327))</x:f>
        <x:v>#NAME?</x:v>
      </x:c>
      <x:c r="S327" s="146" t="e">
        <x:f>IF($A327="","",[1]!thsiFinD("ths_adjustment_nv_fund",S$3,$A327))</x:f>
        <x:v>#NAME?</x:v>
      </x:c>
      <x:c r="T327" s="146" t="e">
        <x:f>IF($A327="","",[1]!thsiFinD("ths_adjustment_nv_fund",T$3,$A327))</x:f>
        <x:v>#NAME?</x:v>
      </x:c>
      <x:c r="U327" s="146" t="e">
        <x:f>IF($A327="","",[1]!thsiFinD("ths_adjustment_nv_fund",U$3,$A327))</x:f>
        <x:v>#NAME?</x:v>
      </x:c>
      <x:c r="V327" s="146" t="e">
        <x:f>IF($A327="","",[1]!thsiFinD("ths_adjustment_nv_fund",V$3,$A327))</x:f>
        <x:v>#NAME?</x:v>
      </x:c>
      <x:c r="W327" s="146" t="e">
        <x:f>IF($A327="","",[1]!thsiFinD("ths_adjustment_nv_fund",W$3,$A327))</x:f>
        <x:v>#NAME?</x:v>
      </x:c>
      <x:c r="X327" s="146" t="e">
        <x:f>IF($A327="","",[1]!thsiFinD("ths_adjustment_nv_fund",X$3,$A327))</x:f>
        <x:v>#NAME?</x:v>
      </x:c>
      <x:c r="Y327" s="146" t="e">
        <x:f>IF($A327="","",[1]!thsiFinD("ths_adjustment_nv_fund",Y$3,$A327))</x:f>
        <x:v>#NAME?</x:v>
      </x:c>
      <x:c r="Z327" s="146" t="e">
        <x:f>IF($A327="","",[1]!thsiFinD("ths_adjustment_nv_fund",Z$3,$A327))</x:f>
        <x:v>#NAME?</x:v>
      </x:c>
      <x:c r="AA327" s="146" t="e">
        <x:f>IF($A327="","",[1]!thsiFinD("ths_adjustment_nv_fund",AA$3,$A327))</x:f>
        <x:v>#NAME?</x:v>
      </x:c>
    </x:row>
    <x:row r="328">
      <x:c r="B328" s="146" t="e">
        <x:f>IF($A328="","",[1]!thsiFinD("ths_adjustment_nv_fund",B$3,$A328))</x:f>
        <x:v>#NAME?</x:v>
      </x:c>
      <x:c r="C328" s="146" t="e">
        <x:f>IF($A328="","",[1]!thsiFinD("ths_adjustment_nv_fund",C$3,$A328))</x:f>
        <x:v>#NAME?</x:v>
      </x:c>
      <x:c r="D328" s="146" t="e">
        <x:f>IF($A328="","",[1]!thsiFinD("ths_adjustment_nv_fund",D$3,$A328))</x:f>
        <x:v>#NAME?</x:v>
      </x:c>
      <x:c r="E328" s="146" t="e">
        <x:f>IF($A328="","",[1]!thsiFinD("ths_adjustment_nv_fund",E$3,$A328))</x:f>
        <x:v>#NAME?</x:v>
      </x:c>
      <x:c r="F328" s="146" t="e">
        <x:f>IF($A328="","",[1]!thsiFinD("ths_adjustment_nv_fund",F$3,$A328))</x:f>
        <x:v>#NAME?</x:v>
      </x:c>
      <x:c r="G328" s="146" t="e">
        <x:f>IF($A328="","",[1]!thsiFinD("ths_adjustment_nv_fund",G$3,$A328))</x:f>
        <x:v>#NAME?</x:v>
      </x:c>
      <x:c r="H328" s="146" t="e">
        <x:f>IF($A328="","",[1]!thsiFinD("ths_adjustment_nv_fund",H$3,$A328))</x:f>
        <x:v>#NAME?</x:v>
      </x:c>
      <x:c r="I328" s="146" t="e">
        <x:f>IF($A328="","",[1]!thsiFinD("ths_adjustment_nv_fund",I$3,$A328))</x:f>
        <x:v>#NAME?</x:v>
      </x:c>
      <x:c r="J328" s="146" t="e">
        <x:f>IF($A328="","",[1]!thsiFinD("ths_adjustment_nv_fund",J$3,$A328))</x:f>
        <x:v>#NAME?</x:v>
      </x:c>
      <x:c r="K328" s="146" t="e">
        <x:f>IF($A328="","",[1]!thsiFinD("ths_adjustment_nv_fund",K$3,$A328))</x:f>
        <x:v>#NAME?</x:v>
      </x:c>
      <x:c r="L328" s="146" t="e">
        <x:f>IF($A328="","",[1]!thsiFinD("ths_adjustment_nv_fund",L$3,$A328))</x:f>
        <x:v>#NAME?</x:v>
      </x:c>
      <x:c r="M328" s="146" t="e">
        <x:f>IF($A328="","",[1]!thsiFinD("ths_adjustment_nv_fund",M$3,$A328))</x:f>
        <x:v>#NAME?</x:v>
      </x:c>
      <x:c r="N328" s="146" t="e">
        <x:f>IF($A328="","",[1]!thsiFinD("ths_adjustment_nv_fund",N$3,$A328))</x:f>
        <x:v>#NAME?</x:v>
      </x:c>
      <x:c r="O328" s="146" t="e">
        <x:f>IF($A328="","",[1]!thsiFinD("ths_adjustment_nv_fund",O$3,$A328))</x:f>
        <x:v>#NAME?</x:v>
      </x:c>
      <x:c r="P328" s="146" t="e">
        <x:f>IF($A328="","",[1]!thsiFinD("ths_adjustment_nv_fund",P$3,$A328))</x:f>
        <x:v>#NAME?</x:v>
      </x:c>
      <x:c r="Q328" s="146" t="e">
        <x:f>IF($A328="","",[1]!thsiFinD("ths_adjustment_nv_fund",Q$3,$A328))</x:f>
        <x:v>#NAME?</x:v>
      </x:c>
      <x:c r="R328" s="146" t="e">
        <x:f>IF($A328="","",[1]!thsiFinD("ths_adjustment_nv_fund",R$3,$A328))</x:f>
        <x:v>#NAME?</x:v>
      </x:c>
      <x:c r="S328" s="146" t="e">
        <x:f>IF($A328="","",[1]!thsiFinD("ths_adjustment_nv_fund",S$3,$A328))</x:f>
        <x:v>#NAME?</x:v>
      </x:c>
      <x:c r="T328" s="146" t="e">
        <x:f>IF($A328="","",[1]!thsiFinD("ths_adjustment_nv_fund",T$3,$A328))</x:f>
        <x:v>#NAME?</x:v>
      </x:c>
      <x:c r="U328" s="146" t="e">
        <x:f>IF($A328="","",[1]!thsiFinD("ths_adjustment_nv_fund",U$3,$A328))</x:f>
        <x:v>#NAME?</x:v>
      </x:c>
      <x:c r="V328" s="146" t="e">
        <x:f>IF($A328="","",[1]!thsiFinD("ths_adjustment_nv_fund",V$3,$A328))</x:f>
        <x:v>#NAME?</x:v>
      </x:c>
      <x:c r="W328" s="146" t="e">
        <x:f>IF($A328="","",[1]!thsiFinD("ths_adjustment_nv_fund",W$3,$A328))</x:f>
        <x:v>#NAME?</x:v>
      </x:c>
      <x:c r="X328" s="146" t="e">
        <x:f>IF($A328="","",[1]!thsiFinD("ths_adjustment_nv_fund",X$3,$A328))</x:f>
        <x:v>#NAME?</x:v>
      </x:c>
      <x:c r="Y328" s="146" t="e">
        <x:f>IF($A328="","",[1]!thsiFinD("ths_adjustment_nv_fund",Y$3,$A328))</x:f>
        <x:v>#NAME?</x:v>
      </x:c>
      <x:c r="Z328" s="146" t="e">
        <x:f>IF($A328="","",[1]!thsiFinD("ths_adjustment_nv_fund",Z$3,$A328))</x:f>
        <x:v>#NAME?</x:v>
      </x:c>
      <x:c r="AA328" s="146" t="e">
        <x:f>IF($A328="","",[1]!thsiFinD("ths_adjustment_nv_fund",AA$3,$A328))</x:f>
        <x:v>#NAME?</x:v>
      </x:c>
    </x:row>
    <x:row r="329">
      <x:c r="B329" s="146" t="e">
        <x:f>IF($A329="","",[1]!thsiFinD("ths_adjustment_nv_fund",B$3,$A329))</x:f>
        <x:v>#NAME?</x:v>
      </x:c>
      <x:c r="C329" s="146" t="e">
        <x:f>IF($A329="","",[1]!thsiFinD("ths_adjustment_nv_fund",C$3,$A329))</x:f>
        <x:v>#NAME?</x:v>
      </x:c>
      <x:c r="D329" s="146" t="e">
        <x:f>IF($A329="","",[1]!thsiFinD("ths_adjustment_nv_fund",D$3,$A329))</x:f>
        <x:v>#NAME?</x:v>
      </x:c>
      <x:c r="E329" s="146" t="e">
        <x:f>IF($A329="","",[1]!thsiFinD("ths_adjustment_nv_fund",E$3,$A329))</x:f>
        <x:v>#NAME?</x:v>
      </x:c>
      <x:c r="F329" s="146" t="e">
        <x:f>IF($A329="","",[1]!thsiFinD("ths_adjustment_nv_fund",F$3,$A329))</x:f>
        <x:v>#NAME?</x:v>
      </x:c>
      <x:c r="G329" s="146" t="e">
        <x:f>IF($A329="","",[1]!thsiFinD("ths_adjustment_nv_fund",G$3,$A329))</x:f>
        <x:v>#NAME?</x:v>
      </x:c>
      <x:c r="H329" s="146" t="e">
        <x:f>IF($A329="","",[1]!thsiFinD("ths_adjustment_nv_fund",H$3,$A329))</x:f>
        <x:v>#NAME?</x:v>
      </x:c>
      <x:c r="I329" s="146" t="e">
        <x:f>IF($A329="","",[1]!thsiFinD("ths_adjustment_nv_fund",I$3,$A329))</x:f>
        <x:v>#NAME?</x:v>
      </x:c>
      <x:c r="J329" s="146" t="e">
        <x:f>IF($A329="","",[1]!thsiFinD("ths_adjustment_nv_fund",J$3,$A329))</x:f>
        <x:v>#NAME?</x:v>
      </x:c>
      <x:c r="K329" s="146" t="e">
        <x:f>IF($A329="","",[1]!thsiFinD("ths_adjustment_nv_fund",K$3,$A329))</x:f>
        <x:v>#NAME?</x:v>
      </x:c>
      <x:c r="L329" s="146" t="e">
        <x:f>IF($A329="","",[1]!thsiFinD("ths_adjustment_nv_fund",L$3,$A329))</x:f>
        <x:v>#NAME?</x:v>
      </x:c>
      <x:c r="M329" s="146" t="e">
        <x:f>IF($A329="","",[1]!thsiFinD("ths_adjustment_nv_fund",M$3,$A329))</x:f>
        <x:v>#NAME?</x:v>
      </x:c>
      <x:c r="N329" s="146" t="e">
        <x:f>IF($A329="","",[1]!thsiFinD("ths_adjustment_nv_fund",N$3,$A329))</x:f>
        <x:v>#NAME?</x:v>
      </x:c>
      <x:c r="O329" s="146" t="e">
        <x:f>IF($A329="","",[1]!thsiFinD("ths_adjustment_nv_fund",O$3,$A329))</x:f>
        <x:v>#NAME?</x:v>
      </x:c>
      <x:c r="P329" s="146" t="e">
        <x:f>IF($A329="","",[1]!thsiFinD("ths_adjustment_nv_fund",P$3,$A329))</x:f>
        <x:v>#NAME?</x:v>
      </x:c>
      <x:c r="Q329" s="146" t="e">
        <x:f>IF($A329="","",[1]!thsiFinD("ths_adjustment_nv_fund",Q$3,$A329))</x:f>
        <x:v>#NAME?</x:v>
      </x:c>
      <x:c r="R329" s="146" t="e">
        <x:f>IF($A329="","",[1]!thsiFinD("ths_adjustment_nv_fund",R$3,$A329))</x:f>
        <x:v>#NAME?</x:v>
      </x:c>
      <x:c r="S329" s="146" t="e">
        <x:f>IF($A329="","",[1]!thsiFinD("ths_adjustment_nv_fund",S$3,$A329))</x:f>
        <x:v>#NAME?</x:v>
      </x:c>
      <x:c r="T329" s="146" t="e">
        <x:f>IF($A329="","",[1]!thsiFinD("ths_adjustment_nv_fund",T$3,$A329))</x:f>
        <x:v>#NAME?</x:v>
      </x:c>
      <x:c r="U329" s="146" t="e">
        <x:f>IF($A329="","",[1]!thsiFinD("ths_adjustment_nv_fund",U$3,$A329))</x:f>
        <x:v>#NAME?</x:v>
      </x:c>
      <x:c r="V329" s="146" t="e">
        <x:f>IF($A329="","",[1]!thsiFinD("ths_adjustment_nv_fund",V$3,$A329))</x:f>
        <x:v>#NAME?</x:v>
      </x:c>
      <x:c r="W329" s="146" t="e">
        <x:f>IF($A329="","",[1]!thsiFinD("ths_adjustment_nv_fund",W$3,$A329))</x:f>
        <x:v>#NAME?</x:v>
      </x:c>
      <x:c r="X329" s="146" t="e">
        <x:f>IF($A329="","",[1]!thsiFinD("ths_adjustment_nv_fund",X$3,$A329))</x:f>
        <x:v>#NAME?</x:v>
      </x:c>
      <x:c r="Y329" s="146" t="e">
        <x:f>IF($A329="","",[1]!thsiFinD("ths_adjustment_nv_fund",Y$3,$A329))</x:f>
        <x:v>#NAME?</x:v>
      </x:c>
      <x:c r="Z329" s="146" t="e">
        <x:f>IF($A329="","",[1]!thsiFinD("ths_adjustment_nv_fund",Z$3,$A329))</x:f>
        <x:v>#NAME?</x:v>
      </x:c>
      <x:c r="AA329" s="146" t="e">
        <x:f>IF($A329="","",[1]!thsiFinD("ths_adjustment_nv_fund",AA$3,$A329))</x:f>
        <x:v>#NAME?</x:v>
      </x:c>
    </x:row>
    <x:row r="330">
      <x:c r="B330" s="146" t="e">
        <x:f>IF($A330="","",[1]!thsiFinD("ths_adjustment_nv_fund",B$3,$A330))</x:f>
        <x:v>#NAME?</x:v>
      </x:c>
      <x:c r="C330" s="146" t="e">
        <x:f>IF($A330="","",[1]!thsiFinD("ths_adjustment_nv_fund",C$3,$A330))</x:f>
        <x:v>#NAME?</x:v>
      </x:c>
      <x:c r="D330" s="146" t="e">
        <x:f>IF($A330="","",[1]!thsiFinD("ths_adjustment_nv_fund",D$3,$A330))</x:f>
        <x:v>#NAME?</x:v>
      </x:c>
      <x:c r="E330" s="146" t="e">
        <x:f>IF($A330="","",[1]!thsiFinD("ths_adjustment_nv_fund",E$3,$A330))</x:f>
        <x:v>#NAME?</x:v>
      </x:c>
      <x:c r="F330" s="146" t="e">
        <x:f>IF($A330="","",[1]!thsiFinD("ths_adjustment_nv_fund",F$3,$A330))</x:f>
        <x:v>#NAME?</x:v>
      </x:c>
      <x:c r="G330" s="146" t="e">
        <x:f>IF($A330="","",[1]!thsiFinD("ths_adjustment_nv_fund",G$3,$A330))</x:f>
        <x:v>#NAME?</x:v>
      </x:c>
      <x:c r="H330" s="146" t="e">
        <x:f>IF($A330="","",[1]!thsiFinD("ths_adjustment_nv_fund",H$3,$A330))</x:f>
        <x:v>#NAME?</x:v>
      </x:c>
      <x:c r="I330" s="146" t="e">
        <x:f>IF($A330="","",[1]!thsiFinD("ths_adjustment_nv_fund",I$3,$A330))</x:f>
        <x:v>#NAME?</x:v>
      </x:c>
      <x:c r="J330" s="146" t="e">
        <x:f>IF($A330="","",[1]!thsiFinD("ths_adjustment_nv_fund",J$3,$A330))</x:f>
        <x:v>#NAME?</x:v>
      </x:c>
      <x:c r="K330" s="146" t="e">
        <x:f>IF($A330="","",[1]!thsiFinD("ths_adjustment_nv_fund",K$3,$A330))</x:f>
        <x:v>#NAME?</x:v>
      </x:c>
      <x:c r="L330" s="146" t="e">
        <x:f>IF($A330="","",[1]!thsiFinD("ths_adjustment_nv_fund",L$3,$A330))</x:f>
        <x:v>#NAME?</x:v>
      </x:c>
      <x:c r="M330" s="146" t="e">
        <x:f>IF($A330="","",[1]!thsiFinD("ths_adjustment_nv_fund",M$3,$A330))</x:f>
        <x:v>#NAME?</x:v>
      </x:c>
      <x:c r="N330" s="146" t="e">
        <x:f>IF($A330="","",[1]!thsiFinD("ths_adjustment_nv_fund",N$3,$A330))</x:f>
        <x:v>#NAME?</x:v>
      </x:c>
      <x:c r="O330" s="146" t="e">
        <x:f>IF($A330="","",[1]!thsiFinD("ths_adjustment_nv_fund",O$3,$A330))</x:f>
        <x:v>#NAME?</x:v>
      </x:c>
      <x:c r="P330" s="146" t="e">
        <x:f>IF($A330="","",[1]!thsiFinD("ths_adjustment_nv_fund",P$3,$A330))</x:f>
        <x:v>#NAME?</x:v>
      </x:c>
      <x:c r="Q330" s="146" t="e">
        <x:f>IF($A330="","",[1]!thsiFinD("ths_adjustment_nv_fund",Q$3,$A330))</x:f>
        <x:v>#NAME?</x:v>
      </x:c>
      <x:c r="R330" s="146" t="e">
        <x:f>IF($A330="","",[1]!thsiFinD("ths_adjustment_nv_fund",R$3,$A330))</x:f>
        <x:v>#NAME?</x:v>
      </x:c>
      <x:c r="S330" s="146" t="e">
        <x:f>IF($A330="","",[1]!thsiFinD("ths_adjustment_nv_fund",S$3,$A330))</x:f>
        <x:v>#NAME?</x:v>
      </x:c>
      <x:c r="T330" s="146" t="e">
        <x:f>IF($A330="","",[1]!thsiFinD("ths_adjustment_nv_fund",T$3,$A330))</x:f>
        <x:v>#NAME?</x:v>
      </x:c>
      <x:c r="U330" s="146" t="e">
        <x:f>IF($A330="","",[1]!thsiFinD("ths_adjustment_nv_fund",U$3,$A330))</x:f>
        <x:v>#NAME?</x:v>
      </x:c>
      <x:c r="V330" s="146" t="e">
        <x:f>IF($A330="","",[1]!thsiFinD("ths_adjustment_nv_fund",V$3,$A330))</x:f>
        <x:v>#NAME?</x:v>
      </x:c>
      <x:c r="W330" s="146" t="e">
        <x:f>IF($A330="","",[1]!thsiFinD("ths_adjustment_nv_fund",W$3,$A330))</x:f>
        <x:v>#NAME?</x:v>
      </x:c>
      <x:c r="X330" s="146" t="e">
        <x:f>IF($A330="","",[1]!thsiFinD("ths_adjustment_nv_fund",X$3,$A330))</x:f>
        <x:v>#NAME?</x:v>
      </x:c>
      <x:c r="Y330" s="146" t="e">
        <x:f>IF($A330="","",[1]!thsiFinD("ths_adjustment_nv_fund",Y$3,$A330))</x:f>
        <x:v>#NAME?</x:v>
      </x:c>
      <x:c r="Z330" s="146" t="e">
        <x:f>IF($A330="","",[1]!thsiFinD("ths_adjustment_nv_fund",Z$3,$A330))</x:f>
        <x:v>#NAME?</x:v>
      </x:c>
      <x:c r="AA330" s="146" t="e">
        <x:f>IF($A330="","",[1]!thsiFinD("ths_adjustment_nv_fund",AA$3,$A330))</x:f>
        <x:v>#NAME?</x:v>
      </x:c>
    </x:row>
    <x:row r="331">
      <x:c r="B331" s="146" t="e">
        <x:f>IF($A331="","",[1]!thsiFinD("ths_adjustment_nv_fund",B$3,$A331))</x:f>
        <x:v>#NAME?</x:v>
      </x:c>
      <x:c r="C331" s="146" t="e">
        <x:f>IF($A331="","",[1]!thsiFinD("ths_adjustment_nv_fund",C$3,$A331))</x:f>
        <x:v>#NAME?</x:v>
      </x:c>
      <x:c r="D331" s="146" t="e">
        <x:f>IF($A331="","",[1]!thsiFinD("ths_adjustment_nv_fund",D$3,$A331))</x:f>
        <x:v>#NAME?</x:v>
      </x:c>
      <x:c r="E331" s="146" t="e">
        <x:f>IF($A331="","",[1]!thsiFinD("ths_adjustment_nv_fund",E$3,$A331))</x:f>
        <x:v>#NAME?</x:v>
      </x:c>
      <x:c r="F331" s="146" t="e">
        <x:f>IF($A331="","",[1]!thsiFinD("ths_adjustment_nv_fund",F$3,$A331))</x:f>
        <x:v>#NAME?</x:v>
      </x:c>
      <x:c r="G331" s="146" t="e">
        <x:f>IF($A331="","",[1]!thsiFinD("ths_adjustment_nv_fund",G$3,$A331))</x:f>
        <x:v>#NAME?</x:v>
      </x:c>
      <x:c r="H331" s="146" t="e">
        <x:f>IF($A331="","",[1]!thsiFinD("ths_adjustment_nv_fund",H$3,$A331))</x:f>
        <x:v>#NAME?</x:v>
      </x:c>
      <x:c r="I331" s="146" t="e">
        <x:f>IF($A331="","",[1]!thsiFinD("ths_adjustment_nv_fund",I$3,$A331))</x:f>
        <x:v>#NAME?</x:v>
      </x:c>
      <x:c r="J331" s="146" t="e">
        <x:f>IF($A331="","",[1]!thsiFinD("ths_adjustment_nv_fund",J$3,$A331))</x:f>
        <x:v>#NAME?</x:v>
      </x:c>
      <x:c r="K331" s="146" t="e">
        <x:f>IF($A331="","",[1]!thsiFinD("ths_adjustment_nv_fund",K$3,$A331))</x:f>
        <x:v>#NAME?</x:v>
      </x:c>
      <x:c r="L331" s="146" t="e">
        <x:f>IF($A331="","",[1]!thsiFinD("ths_adjustment_nv_fund",L$3,$A331))</x:f>
        <x:v>#NAME?</x:v>
      </x:c>
      <x:c r="M331" s="146" t="e">
        <x:f>IF($A331="","",[1]!thsiFinD("ths_adjustment_nv_fund",M$3,$A331))</x:f>
        <x:v>#NAME?</x:v>
      </x:c>
      <x:c r="N331" s="146" t="e">
        <x:f>IF($A331="","",[1]!thsiFinD("ths_adjustment_nv_fund",N$3,$A331))</x:f>
        <x:v>#NAME?</x:v>
      </x:c>
      <x:c r="O331" s="146" t="e">
        <x:f>IF($A331="","",[1]!thsiFinD("ths_adjustment_nv_fund",O$3,$A331))</x:f>
        <x:v>#NAME?</x:v>
      </x:c>
      <x:c r="P331" s="146" t="e">
        <x:f>IF($A331="","",[1]!thsiFinD("ths_adjustment_nv_fund",P$3,$A331))</x:f>
        <x:v>#NAME?</x:v>
      </x:c>
      <x:c r="Q331" s="146" t="e">
        <x:f>IF($A331="","",[1]!thsiFinD("ths_adjustment_nv_fund",Q$3,$A331))</x:f>
        <x:v>#NAME?</x:v>
      </x:c>
      <x:c r="R331" s="146" t="e">
        <x:f>IF($A331="","",[1]!thsiFinD("ths_adjustment_nv_fund",R$3,$A331))</x:f>
        <x:v>#NAME?</x:v>
      </x:c>
      <x:c r="S331" s="146" t="e">
        <x:f>IF($A331="","",[1]!thsiFinD("ths_adjustment_nv_fund",S$3,$A331))</x:f>
        <x:v>#NAME?</x:v>
      </x:c>
      <x:c r="T331" s="146" t="e">
        <x:f>IF($A331="","",[1]!thsiFinD("ths_adjustment_nv_fund",T$3,$A331))</x:f>
        <x:v>#NAME?</x:v>
      </x:c>
      <x:c r="U331" s="146" t="e">
        <x:f>IF($A331="","",[1]!thsiFinD("ths_adjustment_nv_fund",U$3,$A331))</x:f>
        <x:v>#NAME?</x:v>
      </x:c>
      <x:c r="V331" s="146" t="e">
        <x:f>IF($A331="","",[1]!thsiFinD("ths_adjustment_nv_fund",V$3,$A331))</x:f>
        <x:v>#NAME?</x:v>
      </x:c>
      <x:c r="W331" s="146" t="e">
        <x:f>IF($A331="","",[1]!thsiFinD("ths_adjustment_nv_fund",W$3,$A331))</x:f>
        <x:v>#NAME?</x:v>
      </x:c>
      <x:c r="X331" s="146" t="e">
        <x:f>IF($A331="","",[1]!thsiFinD("ths_adjustment_nv_fund",X$3,$A331))</x:f>
        <x:v>#NAME?</x:v>
      </x:c>
      <x:c r="Y331" s="146" t="e">
        <x:f>IF($A331="","",[1]!thsiFinD("ths_adjustment_nv_fund",Y$3,$A331))</x:f>
        <x:v>#NAME?</x:v>
      </x:c>
      <x:c r="Z331" s="146" t="e">
        <x:f>IF($A331="","",[1]!thsiFinD("ths_adjustment_nv_fund",Z$3,$A331))</x:f>
        <x:v>#NAME?</x:v>
      </x:c>
      <x:c r="AA331" s="146" t="e">
        <x:f>IF($A331="","",[1]!thsiFinD("ths_adjustment_nv_fund",AA$3,$A331))</x:f>
        <x:v>#NAME?</x:v>
      </x:c>
    </x:row>
    <x:row r="332">
      <x:c r="B332" s="146" t="e">
        <x:f>IF($A332="","",[1]!thsiFinD("ths_adjustment_nv_fund",B$3,$A332))</x:f>
        <x:v>#NAME?</x:v>
      </x:c>
      <x:c r="C332" s="146" t="e">
        <x:f>IF($A332="","",[1]!thsiFinD("ths_adjustment_nv_fund",C$3,$A332))</x:f>
        <x:v>#NAME?</x:v>
      </x:c>
      <x:c r="D332" s="146" t="e">
        <x:f>IF($A332="","",[1]!thsiFinD("ths_adjustment_nv_fund",D$3,$A332))</x:f>
        <x:v>#NAME?</x:v>
      </x:c>
      <x:c r="E332" s="146" t="e">
        <x:f>IF($A332="","",[1]!thsiFinD("ths_adjustment_nv_fund",E$3,$A332))</x:f>
        <x:v>#NAME?</x:v>
      </x:c>
      <x:c r="F332" s="146" t="e">
        <x:f>IF($A332="","",[1]!thsiFinD("ths_adjustment_nv_fund",F$3,$A332))</x:f>
        <x:v>#NAME?</x:v>
      </x:c>
      <x:c r="G332" s="146" t="e">
        <x:f>IF($A332="","",[1]!thsiFinD("ths_adjustment_nv_fund",G$3,$A332))</x:f>
        <x:v>#NAME?</x:v>
      </x:c>
      <x:c r="H332" s="146" t="e">
        <x:f>IF($A332="","",[1]!thsiFinD("ths_adjustment_nv_fund",H$3,$A332))</x:f>
        <x:v>#NAME?</x:v>
      </x:c>
      <x:c r="I332" s="146" t="e">
        <x:f>IF($A332="","",[1]!thsiFinD("ths_adjustment_nv_fund",I$3,$A332))</x:f>
        <x:v>#NAME?</x:v>
      </x:c>
      <x:c r="J332" s="146" t="e">
        <x:f>IF($A332="","",[1]!thsiFinD("ths_adjustment_nv_fund",J$3,$A332))</x:f>
        <x:v>#NAME?</x:v>
      </x:c>
      <x:c r="K332" s="146" t="e">
        <x:f>IF($A332="","",[1]!thsiFinD("ths_adjustment_nv_fund",K$3,$A332))</x:f>
        <x:v>#NAME?</x:v>
      </x:c>
      <x:c r="L332" s="146" t="e">
        <x:f>IF($A332="","",[1]!thsiFinD("ths_adjustment_nv_fund",L$3,$A332))</x:f>
        <x:v>#NAME?</x:v>
      </x:c>
      <x:c r="M332" s="146" t="e">
        <x:f>IF($A332="","",[1]!thsiFinD("ths_adjustment_nv_fund",M$3,$A332))</x:f>
        <x:v>#NAME?</x:v>
      </x:c>
      <x:c r="N332" s="146" t="e">
        <x:f>IF($A332="","",[1]!thsiFinD("ths_adjustment_nv_fund",N$3,$A332))</x:f>
        <x:v>#NAME?</x:v>
      </x:c>
      <x:c r="O332" s="146" t="e">
        <x:f>IF($A332="","",[1]!thsiFinD("ths_adjustment_nv_fund",O$3,$A332))</x:f>
        <x:v>#NAME?</x:v>
      </x:c>
      <x:c r="P332" s="146" t="e">
        <x:f>IF($A332="","",[1]!thsiFinD("ths_adjustment_nv_fund",P$3,$A332))</x:f>
        <x:v>#NAME?</x:v>
      </x:c>
      <x:c r="Q332" s="146" t="e">
        <x:f>IF($A332="","",[1]!thsiFinD("ths_adjustment_nv_fund",Q$3,$A332))</x:f>
        <x:v>#NAME?</x:v>
      </x:c>
      <x:c r="R332" s="146" t="e">
        <x:f>IF($A332="","",[1]!thsiFinD("ths_adjustment_nv_fund",R$3,$A332))</x:f>
        <x:v>#NAME?</x:v>
      </x:c>
      <x:c r="S332" s="146" t="e">
        <x:f>IF($A332="","",[1]!thsiFinD("ths_adjustment_nv_fund",S$3,$A332))</x:f>
        <x:v>#NAME?</x:v>
      </x:c>
      <x:c r="T332" s="146" t="e">
        <x:f>IF($A332="","",[1]!thsiFinD("ths_adjustment_nv_fund",T$3,$A332))</x:f>
        <x:v>#NAME?</x:v>
      </x:c>
      <x:c r="U332" s="146" t="e">
        <x:f>IF($A332="","",[1]!thsiFinD("ths_adjustment_nv_fund",U$3,$A332))</x:f>
        <x:v>#NAME?</x:v>
      </x:c>
      <x:c r="V332" s="146" t="e">
        <x:f>IF($A332="","",[1]!thsiFinD("ths_adjustment_nv_fund",V$3,$A332))</x:f>
        <x:v>#NAME?</x:v>
      </x:c>
      <x:c r="W332" s="146" t="e">
        <x:f>IF($A332="","",[1]!thsiFinD("ths_adjustment_nv_fund",W$3,$A332))</x:f>
        <x:v>#NAME?</x:v>
      </x:c>
      <x:c r="X332" s="146" t="e">
        <x:f>IF($A332="","",[1]!thsiFinD("ths_adjustment_nv_fund",X$3,$A332))</x:f>
        <x:v>#NAME?</x:v>
      </x:c>
      <x:c r="Y332" s="146" t="e">
        <x:f>IF($A332="","",[1]!thsiFinD("ths_adjustment_nv_fund",Y$3,$A332))</x:f>
        <x:v>#NAME?</x:v>
      </x:c>
      <x:c r="Z332" s="146" t="e">
        <x:f>IF($A332="","",[1]!thsiFinD("ths_adjustment_nv_fund",Z$3,$A332))</x:f>
        <x:v>#NAME?</x:v>
      </x:c>
      <x:c r="AA332" s="146" t="e">
        <x:f>IF($A332="","",[1]!thsiFinD("ths_adjustment_nv_fund",AA$3,$A332))</x:f>
        <x:v>#NAME?</x:v>
      </x:c>
    </x:row>
    <x:row r="333">
      <x:c r="B333" s="146" t="e">
        <x:f>IF($A333="","",[1]!thsiFinD("ths_adjustment_nv_fund",B$3,$A333))</x:f>
        <x:v>#NAME?</x:v>
      </x:c>
      <x:c r="C333" s="146" t="e">
        <x:f>IF($A333="","",[1]!thsiFinD("ths_adjustment_nv_fund",C$3,$A333))</x:f>
        <x:v>#NAME?</x:v>
      </x:c>
      <x:c r="D333" s="146" t="e">
        <x:f>IF($A333="","",[1]!thsiFinD("ths_adjustment_nv_fund",D$3,$A333))</x:f>
        <x:v>#NAME?</x:v>
      </x:c>
      <x:c r="E333" s="146" t="e">
        <x:f>IF($A333="","",[1]!thsiFinD("ths_adjustment_nv_fund",E$3,$A333))</x:f>
        <x:v>#NAME?</x:v>
      </x:c>
      <x:c r="F333" s="146" t="e">
        <x:f>IF($A333="","",[1]!thsiFinD("ths_adjustment_nv_fund",F$3,$A333))</x:f>
        <x:v>#NAME?</x:v>
      </x:c>
      <x:c r="G333" s="146" t="e">
        <x:f>IF($A333="","",[1]!thsiFinD("ths_adjustment_nv_fund",G$3,$A333))</x:f>
        <x:v>#NAME?</x:v>
      </x:c>
      <x:c r="H333" s="146" t="e">
        <x:f>IF($A333="","",[1]!thsiFinD("ths_adjustment_nv_fund",H$3,$A333))</x:f>
        <x:v>#NAME?</x:v>
      </x:c>
      <x:c r="I333" s="146" t="e">
        <x:f>IF($A333="","",[1]!thsiFinD("ths_adjustment_nv_fund",I$3,$A333))</x:f>
        <x:v>#NAME?</x:v>
      </x:c>
      <x:c r="J333" s="146" t="e">
        <x:f>IF($A333="","",[1]!thsiFinD("ths_adjustment_nv_fund",J$3,$A333))</x:f>
        <x:v>#NAME?</x:v>
      </x:c>
      <x:c r="K333" s="146" t="e">
        <x:f>IF($A333="","",[1]!thsiFinD("ths_adjustment_nv_fund",K$3,$A333))</x:f>
        <x:v>#NAME?</x:v>
      </x:c>
      <x:c r="L333" s="146" t="e">
        <x:f>IF($A333="","",[1]!thsiFinD("ths_adjustment_nv_fund",L$3,$A333))</x:f>
        <x:v>#NAME?</x:v>
      </x:c>
      <x:c r="M333" s="146" t="e">
        <x:f>IF($A333="","",[1]!thsiFinD("ths_adjustment_nv_fund",M$3,$A333))</x:f>
        <x:v>#NAME?</x:v>
      </x:c>
      <x:c r="N333" s="146" t="e">
        <x:f>IF($A333="","",[1]!thsiFinD("ths_adjustment_nv_fund",N$3,$A333))</x:f>
        <x:v>#NAME?</x:v>
      </x:c>
      <x:c r="O333" s="146" t="e">
        <x:f>IF($A333="","",[1]!thsiFinD("ths_adjustment_nv_fund",O$3,$A333))</x:f>
        <x:v>#NAME?</x:v>
      </x:c>
      <x:c r="P333" s="146" t="e">
        <x:f>IF($A333="","",[1]!thsiFinD("ths_adjustment_nv_fund",P$3,$A333))</x:f>
        <x:v>#NAME?</x:v>
      </x:c>
      <x:c r="Q333" s="146" t="e">
        <x:f>IF($A333="","",[1]!thsiFinD("ths_adjustment_nv_fund",Q$3,$A333))</x:f>
        <x:v>#NAME?</x:v>
      </x:c>
      <x:c r="R333" s="146" t="e">
        <x:f>IF($A333="","",[1]!thsiFinD("ths_adjustment_nv_fund",R$3,$A333))</x:f>
        <x:v>#NAME?</x:v>
      </x:c>
      <x:c r="S333" s="146" t="e">
        <x:f>IF($A333="","",[1]!thsiFinD("ths_adjustment_nv_fund",S$3,$A333))</x:f>
        <x:v>#NAME?</x:v>
      </x:c>
      <x:c r="T333" s="146" t="e">
        <x:f>IF($A333="","",[1]!thsiFinD("ths_adjustment_nv_fund",T$3,$A333))</x:f>
        <x:v>#NAME?</x:v>
      </x:c>
      <x:c r="U333" s="146" t="e">
        <x:f>IF($A333="","",[1]!thsiFinD("ths_adjustment_nv_fund",U$3,$A333))</x:f>
        <x:v>#NAME?</x:v>
      </x:c>
      <x:c r="V333" s="146" t="e">
        <x:f>IF($A333="","",[1]!thsiFinD("ths_adjustment_nv_fund",V$3,$A333))</x:f>
        <x:v>#NAME?</x:v>
      </x:c>
      <x:c r="W333" s="146" t="e">
        <x:f>IF($A333="","",[1]!thsiFinD("ths_adjustment_nv_fund",W$3,$A333))</x:f>
        <x:v>#NAME?</x:v>
      </x:c>
      <x:c r="X333" s="146" t="e">
        <x:f>IF($A333="","",[1]!thsiFinD("ths_adjustment_nv_fund",X$3,$A333))</x:f>
        <x:v>#NAME?</x:v>
      </x:c>
      <x:c r="Y333" s="146" t="e">
        <x:f>IF($A333="","",[1]!thsiFinD("ths_adjustment_nv_fund",Y$3,$A333))</x:f>
        <x:v>#NAME?</x:v>
      </x:c>
      <x:c r="Z333" s="146" t="e">
        <x:f>IF($A333="","",[1]!thsiFinD("ths_adjustment_nv_fund",Z$3,$A333))</x:f>
        <x:v>#NAME?</x:v>
      </x:c>
      <x:c r="AA333" s="146" t="e">
        <x:f>IF($A333="","",[1]!thsiFinD("ths_adjustment_nv_fund",AA$3,$A333))</x:f>
        <x:v>#NAME?</x:v>
      </x:c>
    </x:row>
    <x:row r="334">
      <x:c r="B334" s="146" t="e">
        <x:f>IF($A334="","",[1]!thsiFinD("ths_adjustment_nv_fund",B$3,$A334))</x:f>
        <x:v>#NAME?</x:v>
      </x:c>
      <x:c r="C334" s="146" t="e">
        <x:f>IF($A334="","",[1]!thsiFinD("ths_adjustment_nv_fund",C$3,$A334))</x:f>
        <x:v>#NAME?</x:v>
      </x:c>
      <x:c r="D334" s="146" t="e">
        <x:f>IF($A334="","",[1]!thsiFinD("ths_adjustment_nv_fund",D$3,$A334))</x:f>
        <x:v>#NAME?</x:v>
      </x:c>
      <x:c r="E334" s="146" t="e">
        <x:f>IF($A334="","",[1]!thsiFinD("ths_adjustment_nv_fund",E$3,$A334))</x:f>
        <x:v>#NAME?</x:v>
      </x:c>
      <x:c r="F334" s="146" t="e">
        <x:f>IF($A334="","",[1]!thsiFinD("ths_adjustment_nv_fund",F$3,$A334))</x:f>
        <x:v>#NAME?</x:v>
      </x:c>
      <x:c r="G334" s="146" t="e">
        <x:f>IF($A334="","",[1]!thsiFinD("ths_adjustment_nv_fund",G$3,$A334))</x:f>
        <x:v>#NAME?</x:v>
      </x:c>
      <x:c r="H334" s="146" t="e">
        <x:f>IF($A334="","",[1]!thsiFinD("ths_adjustment_nv_fund",H$3,$A334))</x:f>
        <x:v>#NAME?</x:v>
      </x:c>
      <x:c r="I334" s="146" t="e">
        <x:f>IF($A334="","",[1]!thsiFinD("ths_adjustment_nv_fund",I$3,$A334))</x:f>
        <x:v>#NAME?</x:v>
      </x:c>
      <x:c r="J334" s="146" t="e">
        <x:f>IF($A334="","",[1]!thsiFinD("ths_adjustment_nv_fund",J$3,$A334))</x:f>
        <x:v>#NAME?</x:v>
      </x:c>
      <x:c r="K334" s="146" t="e">
        <x:f>IF($A334="","",[1]!thsiFinD("ths_adjustment_nv_fund",K$3,$A334))</x:f>
        <x:v>#NAME?</x:v>
      </x:c>
      <x:c r="L334" s="146" t="e">
        <x:f>IF($A334="","",[1]!thsiFinD("ths_adjustment_nv_fund",L$3,$A334))</x:f>
        <x:v>#NAME?</x:v>
      </x:c>
      <x:c r="M334" s="146" t="e">
        <x:f>IF($A334="","",[1]!thsiFinD("ths_adjustment_nv_fund",M$3,$A334))</x:f>
        <x:v>#NAME?</x:v>
      </x:c>
      <x:c r="N334" s="146" t="e">
        <x:f>IF($A334="","",[1]!thsiFinD("ths_adjustment_nv_fund",N$3,$A334))</x:f>
        <x:v>#NAME?</x:v>
      </x:c>
      <x:c r="O334" s="146" t="e">
        <x:f>IF($A334="","",[1]!thsiFinD("ths_adjustment_nv_fund",O$3,$A334))</x:f>
        <x:v>#NAME?</x:v>
      </x:c>
      <x:c r="P334" s="146" t="e">
        <x:f>IF($A334="","",[1]!thsiFinD("ths_adjustment_nv_fund",P$3,$A334))</x:f>
        <x:v>#NAME?</x:v>
      </x:c>
      <x:c r="Q334" s="146" t="e">
        <x:f>IF($A334="","",[1]!thsiFinD("ths_adjustment_nv_fund",Q$3,$A334))</x:f>
        <x:v>#NAME?</x:v>
      </x:c>
      <x:c r="R334" s="146" t="e">
        <x:f>IF($A334="","",[1]!thsiFinD("ths_adjustment_nv_fund",R$3,$A334))</x:f>
        <x:v>#NAME?</x:v>
      </x:c>
      <x:c r="S334" s="146" t="e">
        <x:f>IF($A334="","",[1]!thsiFinD("ths_adjustment_nv_fund",S$3,$A334))</x:f>
        <x:v>#NAME?</x:v>
      </x:c>
      <x:c r="T334" s="146" t="e">
        <x:f>IF($A334="","",[1]!thsiFinD("ths_adjustment_nv_fund",T$3,$A334))</x:f>
        <x:v>#NAME?</x:v>
      </x:c>
      <x:c r="U334" s="146" t="e">
        <x:f>IF($A334="","",[1]!thsiFinD("ths_adjustment_nv_fund",U$3,$A334))</x:f>
        <x:v>#NAME?</x:v>
      </x:c>
      <x:c r="V334" s="146" t="e">
        <x:f>IF($A334="","",[1]!thsiFinD("ths_adjustment_nv_fund",V$3,$A334))</x:f>
        <x:v>#NAME?</x:v>
      </x:c>
      <x:c r="W334" s="146" t="e">
        <x:f>IF($A334="","",[1]!thsiFinD("ths_adjustment_nv_fund",W$3,$A334))</x:f>
        <x:v>#NAME?</x:v>
      </x:c>
      <x:c r="X334" s="146" t="e">
        <x:f>IF($A334="","",[1]!thsiFinD("ths_adjustment_nv_fund",X$3,$A334))</x:f>
        <x:v>#NAME?</x:v>
      </x:c>
      <x:c r="Y334" s="146" t="e">
        <x:f>IF($A334="","",[1]!thsiFinD("ths_adjustment_nv_fund",Y$3,$A334))</x:f>
        <x:v>#NAME?</x:v>
      </x:c>
      <x:c r="Z334" s="146" t="e">
        <x:f>IF($A334="","",[1]!thsiFinD("ths_adjustment_nv_fund",Z$3,$A334))</x:f>
        <x:v>#NAME?</x:v>
      </x:c>
      <x:c r="AA334" s="146" t="e">
        <x:f>IF($A334="","",[1]!thsiFinD("ths_adjustment_nv_fund",AA$3,$A334))</x:f>
        <x:v>#NAME?</x:v>
      </x:c>
    </x:row>
    <x:row r="335">
      <x:c r="B335" s="146" t="e">
        <x:f>IF($A335="","",[1]!thsiFinD("ths_adjustment_nv_fund",B$3,$A335))</x:f>
        <x:v>#NAME?</x:v>
      </x:c>
      <x:c r="C335" s="146" t="e">
        <x:f>IF($A335="","",[1]!thsiFinD("ths_adjustment_nv_fund",C$3,$A335))</x:f>
        <x:v>#NAME?</x:v>
      </x:c>
      <x:c r="D335" s="146" t="e">
        <x:f>IF($A335="","",[1]!thsiFinD("ths_adjustment_nv_fund",D$3,$A335))</x:f>
        <x:v>#NAME?</x:v>
      </x:c>
      <x:c r="E335" s="146" t="e">
        <x:f>IF($A335="","",[1]!thsiFinD("ths_adjustment_nv_fund",E$3,$A335))</x:f>
        <x:v>#NAME?</x:v>
      </x:c>
      <x:c r="F335" s="146" t="e">
        <x:f>IF($A335="","",[1]!thsiFinD("ths_adjustment_nv_fund",F$3,$A335))</x:f>
        <x:v>#NAME?</x:v>
      </x:c>
      <x:c r="G335" s="146" t="e">
        <x:f>IF($A335="","",[1]!thsiFinD("ths_adjustment_nv_fund",G$3,$A335))</x:f>
        <x:v>#NAME?</x:v>
      </x:c>
      <x:c r="H335" s="146" t="e">
        <x:f>IF($A335="","",[1]!thsiFinD("ths_adjustment_nv_fund",H$3,$A335))</x:f>
        <x:v>#NAME?</x:v>
      </x:c>
      <x:c r="I335" s="146" t="e">
        <x:f>IF($A335="","",[1]!thsiFinD("ths_adjustment_nv_fund",I$3,$A335))</x:f>
        <x:v>#NAME?</x:v>
      </x:c>
      <x:c r="J335" s="146" t="e">
        <x:f>IF($A335="","",[1]!thsiFinD("ths_adjustment_nv_fund",J$3,$A335))</x:f>
        <x:v>#NAME?</x:v>
      </x:c>
      <x:c r="K335" s="146" t="e">
        <x:f>IF($A335="","",[1]!thsiFinD("ths_adjustment_nv_fund",K$3,$A335))</x:f>
        <x:v>#NAME?</x:v>
      </x:c>
      <x:c r="L335" s="146" t="e">
        <x:f>IF($A335="","",[1]!thsiFinD("ths_adjustment_nv_fund",L$3,$A335))</x:f>
        <x:v>#NAME?</x:v>
      </x:c>
      <x:c r="M335" s="146" t="e">
        <x:f>IF($A335="","",[1]!thsiFinD("ths_adjustment_nv_fund",M$3,$A335))</x:f>
        <x:v>#NAME?</x:v>
      </x:c>
      <x:c r="N335" s="146" t="e">
        <x:f>IF($A335="","",[1]!thsiFinD("ths_adjustment_nv_fund",N$3,$A335))</x:f>
        <x:v>#NAME?</x:v>
      </x:c>
      <x:c r="O335" s="146" t="e">
        <x:f>IF($A335="","",[1]!thsiFinD("ths_adjustment_nv_fund",O$3,$A335))</x:f>
        <x:v>#NAME?</x:v>
      </x:c>
      <x:c r="P335" s="146" t="e">
        <x:f>IF($A335="","",[1]!thsiFinD("ths_adjustment_nv_fund",P$3,$A335))</x:f>
        <x:v>#NAME?</x:v>
      </x:c>
      <x:c r="Q335" s="146" t="e">
        <x:f>IF($A335="","",[1]!thsiFinD("ths_adjustment_nv_fund",Q$3,$A335))</x:f>
        <x:v>#NAME?</x:v>
      </x:c>
      <x:c r="R335" s="146" t="e">
        <x:f>IF($A335="","",[1]!thsiFinD("ths_adjustment_nv_fund",R$3,$A335))</x:f>
        <x:v>#NAME?</x:v>
      </x:c>
      <x:c r="S335" s="146" t="e">
        <x:f>IF($A335="","",[1]!thsiFinD("ths_adjustment_nv_fund",S$3,$A335))</x:f>
        <x:v>#NAME?</x:v>
      </x:c>
      <x:c r="T335" s="146" t="e">
        <x:f>IF($A335="","",[1]!thsiFinD("ths_adjustment_nv_fund",T$3,$A335))</x:f>
        <x:v>#NAME?</x:v>
      </x:c>
      <x:c r="U335" s="146" t="e">
        <x:f>IF($A335="","",[1]!thsiFinD("ths_adjustment_nv_fund",U$3,$A335))</x:f>
        <x:v>#NAME?</x:v>
      </x:c>
      <x:c r="V335" s="146" t="e">
        <x:f>IF($A335="","",[1]!thsiFinD("ths_adjustment_nv_fund",V$3,$A335))</x:f>
        <x:v>#NAME?</x:v>
      </x:c>
      <x:c r="W335" s="146" t="e">
        <x:f>IF($A335="","",[1]!thsiFinD("ths_adjustment_nv_fund",W$3,$A335))</x:f>
        <x:v>#NAME?</x:v>
      </x:c>
      <x:c r="X335" s="146" t="e">
        <x:f>IF($A335="","",[1]!thsiFinD("ths_adjustment_nv_fund",X$3,$A335))</x:f>
        <x:v>#NAME?</x:v>
      </x:c>
      <x:c r="Y335" s="146" t="e">
        <x:f>IF($A335="","",[1]!thsiFinD("ths_adjustment_nv_fund",Y$3,$A335))</x:f>
        <x:v>#NAME?</x:v>
      </x:c>
      <x:c r="Z335" s="146" t="e">
        <x:f>IF($A335="","",[1]!thsiFinD("ths_adjustment_nv_fund",Z$3,$A335))</x:f>
        <x:v>#NAME?</x:v>
      </x:c>
      <x:c r="AA335" s="146" t="e">
        <x:f>IF($A335="","",[1]!thsiFinD("ths_adjustment_nv_fund",AA$3,$A335))</x:f>
        <x:v>#NAME?</x:v>
      </x:c>
    </x:row>
    <x:row r="336">
      <x:c r="B336" s="146" t="e">
        <x:f>IF($A336="","",[1]!thsiFinD("ths_adjustment_nv_fund",B$3,$A336))</x:f>
        <x:v>#NAME?</x:v>
      </x:c>
      <x:c r="C336" s="146" t="e">
        <x:f>IF($A336="","",[1]!thsiFinD("ths_adjustment_nv_fund",C$3,$A336))</x:f>
        <x:v>#NAME?</x:v>
      </x:c>
      <x:c r="D336" s="146" t="e">
        <x:f>IF($A336="","",[1]!thsiFinD("ths_adjustment_nv_fund",D$3,$A336))</x:f>
        <x:v>#NAME?</x:v>
      </x:c>
      <x:c r="E336" s="146" t="e">
        <x:f>IF($A336="","",[1]!thsiFinD("ths_adjustment_nv_fund",E$3,$A336))</x:f>
        <x:v>#NAME?</x:v>
      </x:c>
      <x:c r="F336" s="146" t="e">
        <x:f>IF($A336="","",[1]!thsiFinD("ths_adjustment_nv_fund",F$3,$A336))</x:f>
        <x:v>#NAME?</x:v>
      </x:c>
      <x:c r="G336" s="146" t="e">
        <x:f>IF($A336="","",[1]!thsiFinD("ths_adjustment_nv_fund",G$3,$A336))</x:f>
        <x:v>#NAME?</x:v>
      </x:c>
      <x:c r="H336" s="146" t="e">
        <x:f>IF($A336="","",[1]!thsiFinD("ths_adjustment_nv_fund",H$3,$A336))</x:f>
        <x:v>#NAME?</x:v>
      </x:c>
      <x:c r="I336" s="146" t="e">
        <x:f>IF($A336="","",[1]!thsiFinD("ths_adjustment_nv_fund",I$3,$A336))</x:f>
        <x:v>#NAME?</x:v>
      </x:c>
      <x:c r="J336" s="146" t="e">
        <x:f>IF($A336="","",[1]!thsiFinD("ths_adjustment_nv_fund",J$3,$A336))</x:f>
        <x:v>#NAME?</x:v>
      </x:c>
      <x:c r="K336" s="146" t="e">
        <x:f>IF($A336="","",[1]!thsiFinD("ths_adjustment_nv_fund",K$3,$A336))</x:f>
        <x:v>#NAME?</x:v>
      </x:c>
      <x:c r="L336" s="146" t="e">
        <x:f>IF($A336="","",[1]!thsiFinD("ths_adjustment_nv_fund",L$3,$A336))</x:f>
        <x:v>#NAME?</x:v>
      </x:c>
      <x:c r="M336" s="146" t="e">
        <x:f>IF($A336="","",[1]!thsiFinD("ths_adjustment_nv_fund",M$3,$A336))</x:f>
        <x:v>#NAME?</x:v>
      </x:c>
      <x:c r="N336" s="146" t="e">
        <x:f>IF($A336="","",[1]!thsiFinD("ths_adjustment_nv_fund",N$3,$A336))</x:f>
        <x:v>#NAME?</x:v>
      </x:c>
      <x:c r="O336" s="146" t="e">
        <x:f>IF($A336="","",[1]!thsiFinD("ths_adjustment_nv_fund",O$3,$A336))</x:f>
        <x:v>#NAME?</x:v>
      </x:c>
      <x:c r="P336" s="146" t="e">
        <x:f>IF($A336="","",[1]!thsiFinD("ths_adjustment_nv_fund",P$3,$A336))</x:f>
        <x:v>#NAME?</x:v>
      </x:c>
      <x:c r="Q336" s="146" t="e">
        <x:f>IF($A336="","",[1]!thsiFinD("ths_adjustment_nv_fund",Q$3,$A336))</x:f>
        <x:v>#NAME?</x:v>
      </x:c>
      <x:c r="R336" s="146" t="e">
        <x:f>IF($A336="","",[1]!thsiFinD("ths_adjustment_nv_fund",R$3,$A336))</x:f>
        <x:v>#NAME?</x:v>
      </x:c>
      <x:c r="S336" s="146" t="e">
        <x:f>IF($A336="","",[1]!thsiFinD("ths_adjustment_nv_fund",S$3,$A336))</x:f>
        <x:v>#NAME?</x:v>
      </x:c>
      <x:c r="T336" s="146" t="e">
        <x:f>IF($A336="","",[1]!thsiFinD("ths_adjustment_nv_fund",T$3,$A336))</x:f>
        <x:v>#NAME?</x:v>
      </x:c>
      <x:c r="U336" s="146" t="e">
        <x:f>IF($A336="","",[1]!thsiFinD("ths_adjustment_nv_fund",U$3,$A336))</x:f>
        <x:v>#NAME?</x:v>
      </x:c>
      <x:c r="V336" s="146" t="e">
        <x:f>IF($A336="","",[1]!thsiFinD("ths_adjustment_nv_fund",V$3,$A336))</x:f>
        <x:v>#NAME?</x:v>
      </x:c>
      <x:c r="W336" s="146" t="e">
        <x:f>IF($A336="","",[1]!thsiFinD("ths_adjustment_nv_fund",W$3,$A336))</x:f>
        <x:v>#NAME?</x:v>
      </x:c>
      <x:c r="X336" s="146" t="e">
        <x:f>IF($A336="","",[1]!thsiFinD("ths_adjustment_nv_fund",X$3,$A336))</x:f>
        <x:v>#NAME?</x:v>
      </x:c>
      <x:c r="Y336" s="146" t="e">
        <x:f>IF($A336="","",[1]!thsiFinD("ths_adjustment_nv_fund",Y$3,$A336))</x:f>
        <x:v>#NAME?</x:v>
      </x:c>
      <x:c r="Z336" s="146" t="e">
        <x:f>IF($A336="","",[1]!thsiFinD("ths_adjustment_nv_fund",Z$3,$A336))</x:f>
        <x:v>#NAME?</x:v>
      </x:c>
      <x:c r="AA336" s="146" t="e">
        <x:f>IF($A336="","",[1]!thsiFinD("ths_adjustment_nv_fund",AA$3,$A336))</x:f>
        <x:v>#NAME?</x:v>
      </x:c>
    </x:row>
    <x:row r="337">
      <x:c r="B337" s="146" t="e">
        <x:f>IF($A337="","",[1]!thsiFinD("ths_adjustment_nv_fund",B$3,$A337))</x:f>
        <x:v>#NAME?</x:v>
      </x:c>
      <x:c r="C337" s="146" t="e">
        <x:f>IF($A337="","",[1]!thsiFinD("ths_adjustment_nv_fund",C$3,$A337))</x:f>
        <x:v>#NAME?</x:v>
      </x:c>
      <x:c r="D337" s="146" t="e">
        <x:f>IF($A337="","",[1]!thsiFinD("ths_adjustment_nv_fund",D$3,$A337))</x:f>
        <x:v>#NAME?</x:v>
      </x:c>
      <x:c r="E337" s="146" t="e">
        <x:f>IF($A337="","",[1]!thsiFinD("ths_adjustment_nv_fund",E$3,$A337))</x:f>
        <x:v>#NAME?</x:v>
      </x:c>
      <x:c r="F337" s="146" t="e">
        <x:f>IF($A337="","",[1]!thsiFinD("ths_adjustment_nv_fund",F$3,$A337))</x:f>
        <x:v>#NAME?</x:v>
      </x:c>
      <x:c r="G337" s="146" t="e">
        <x:f>IF($A337="","",[1]!thsiFinD("ths_adjustment_nv_fund",G$3,$A337))</x:f>
        <x:v>#NAME?</x:v>
      </x:c>
      <x:c r="H337" s="146" t="e">
        <x:f>IF($A337="","",[1]!thsiFinD("ths_adjustment_nv_fund",H$3,$A337))</x:f>
        <x:v>#NAME?</x:v>
      </x:c>
      <x:c r="I337" s="146" t="e">
        <x:f>IF($A337="","",[1]!thsiFinD("ths_adjustment_nv_fund",I$3,$A337))</x:f>
        <x:v>#NAME?</x:v>
      </x:c>
      <x:c r="J337" s="146" t="e">
        <x:f>IF($A337="","",[1]!thsiFinD("ths_adjustment_nv_fund",J$3,$A337))</x:f>
        <x:v>#NAME?</x:v>
      </x:c>
      <x:c r="K337" s="146" t="e">
        <x:f>IF($A337="","",[1]!thsiFinD("ths_adjustment_nv_fund",K$3,$A337))</x:f>
        <x:v>#NAME?</x:v>
      </x:c>
      <x:c r="L337" s="146" t="e">
        <x:f>IF($A337="","",[1]!thsiFinD("ths_adjustment_nv_fund",L$3,$A337))</x:f>
        <x:v>#NAME?</x:v>
      </x:c>
      <x:c r="M337" s="146" t="e">
        <x:f>IF($A337="","",[1]!thsiFinD("ths_adjustment_nv_fund",M$3,$A337))</x:f>
        <x:v>#NAME?</x:v>
      </x:c>
      <x:c r="N337" s="146" t="e">
        <x:f>IF($A337="","",[1]!thsiFinD("ths_adjustment_nv_fund",N$3,$A337))</x:f>
        <x:v>#NAME?</x:v>
      </x:c>
      <x:c r="O337" s="146" t="e">
        <x:f>IF($A337="","",[1]!thsiFinD("ths_adjustment_nv_fund",O$3,$A337))</x:f>
        <x:v>#NAME?</x:v>
      </x:c>
      <x:c r="P337" s="146" t="e">
        <x:f>IF($A337="","",[1]!thsiFinD("ths_adjustment_nv_fund",P$3,$A337))</x:f>
        <x:v>#NAME?</x:v>
      </x:c>
      <x:c r="Q337" s="146" t="e">
        <x:f>IF($A337="","",[1]!thsiFinD("ths_adjustment_nv_fund",Q$3,$A337))</x:f>
        <x:v>#NAME?</x:v>
      </x:c>
      <x:c r="R337" s="146" t="e">
        <x:f>IF($A337="","",[1]!thsiFinD("ths_adjustment_nv_fund",R$3,$A337))</x:f>
        <x:v>#NAME?</x:v>
      </x:c>
      <x:c r="S337" s="146" t="e">
        <x:f>IF($A337="","",[1]!thsiFinD("ths_adjustment_nv_fund",S$3,$A337))</x:f>
        <x:v>#NAME?</x:v>
      </x:c>
      <x:c r="T337" s="146" t="e">
        <x:f>IF($A337="","",[1]!thsiFinD("ths_adjustment_nv_fund",T$3,$A337))</x:f>
        <x:v>#NAME?</x:v>
      </x:c>
      <x:c r="U337" s="146" t="e">
        <x:f>IF($A337="","",[1]!thsiFinD("ths_adjustment_nv_fund",U$3,$A337))</x:f>
        <x:v>#NAME?</x:v>
      </x:c>
      <x:c r="V337" s="146" t="e">
        <x:f>IF($A337="","",[1]!thsiFinD("ths_adjustment_nv_fund",V$3,$A337))</x:f>
        <x:v>#NAME?</x:v>
      </x:c>
      <x:c r="W337" s="146" t="e">
        <x:f>IF($A337="","",[1]!thsiFinD("ths_adjustment_nv_fund",W$3,$A337))</x:f>
        <x:v>#NAME?</x:v>
      </x:c>
      <x:c r="X337" s="146" t="e">
        <x:f>IF($A337="","",[1]!thsiFinD("ths_adjustment_nv_fund",X$3,$A337))</x:f>
        <x:v>#NAME?</x:v>
      </x:c>
      <x:c r="Y337" s="146" t="e">
        <x:f>IF($A337="","",[1]!thsiFinD("ths_adjustment_nv_fund",Y$3,$A337))</x:f>
        <x:v>#NAME?</x:v>
      </x:c>
      <x:c r="Z337" s="146" t="e">
        <x:f>IF($A337="","",[1]!thsiFinD("ths_adjustment_nv_fund",Z$3,$A337))</x:f>
        <x:v>#NAME?</x:v>
      </x:c>
      <x:c r="AA337" s="146" t="e">
        <x:f>IF($A337="","",[1]!thsiFinD("ths_adjustment_nv_fund",AA$3,$A337))</x:f>
        <x:v>#NAME?</x:v>
      </x:c>
    </x:row>
    <x:row r="338">
      <x:c r="B338" s="146" t="e">
        <x:f>IF($A338="","",[1]!thsiFinD("ths_adjustment_nv_fund",B$3,$A338))</x:f>
        <x:v>#NAME?</x:v>
      </x:c>
      <x:c r="C338" s="146" t="e">
        <x:f>IF($A338="","",[1]!thsiFinD("ths_adjustment_nv_fund",C$3,$A338))</x:f>
        <x:v>#NAME?</x:v>
      </x:c>
      <x:c r="D338" s="146" t="e">
        <x:f>IF($A338="","",[1]!thsiFinD("ths_adjustment_nv_fund",D$3,$A338))</x:f>
        <x:v>#NAME?</x:v>
      </x:c>
      <x:c r="E338" s="146" t="e">
        <x:f>IF($A338="","",[1]!thsiFinD("ths_adjustment_nv_fund",E$3,$A338))</x:f>
        <x:v>#NAME?</x:v>
      </x:c>
      <x:c r="F338" s="146" t="e">
        <x:f>IF($A338="","",[1]!thsiFinD("ths_adjustment_nv_fund",F$3,$A338))</x:f>
        <x:v>#NAME?</x:v>
      </x:c>
      <x:c r="G338" s="146" t="e">
        <x:f>IF($A338="","",[1]!thsiFinD("ths_adjustment_nv_fund",G$3,$A338))</x:f>
        <x:v>#NAME?</x:v>
      </x:c>
      <x:c r="H338" s="146" t="e">
        <x:f>IF($A338="","",[1]!thsiFinD("ths_adjustment_nv_fund",H$3,$A338))</x:f>
        <x:v>#NAME?</x:v>
      </x:c>
      <x:c r="I338" s="146" t="e">
        <x:f>IF($A338="","",[1]!thsiFinD("ths_adjustment_nv_fund",I$3,$A338))</x:f>
        <x:v>#NAME?</x:v>
      </x:c>
      <x:c r="J338" s="146" t="e">
        <x:f>IF($A338="","",[1]!thsiFinD("ths_adjustment_nv_fund",J$3,$A338))</x:f>
        <x:v>#NAME?</x:v>
      </x:c>
      <x:c r="K338" s="146" t="e">
        <x:f>IF($A338="","",[1]!thsiFinD("ths_adjustment_nv_fund",K$3,$A338))</x:f>
        <x:v>#NAME?</x:v>
      </x:c>
      <x:c r="L338" s="146" t="e">
        <x:f>IF($A338="","",[1]!thsiFinD("ths_adjustment_nv_fund",L$3,$A338))</x:f>
        <x:v>#NAME?</x:v>
      </x:c>
      <x:c r="M338" s="146" t="e">
        <x:f>IF($A338="","",[1]!thsiFinD("ths_adjustment_nv_fund",M$3,$A338))</x:f>
        <x:v>#NAME?</x:v>
      </x:c>
      <x:c r="N338" s="146" t="e">
        <x:f>IF($A338="","",[1]!thsiFinD("ths_adjustment_nv_fund",N$3,$A338))</x:f>
        <x:v>#NAME?</x:v>
      </x:c>
      <x:c r="O338" s="146" t="e">
        <x:f>IF($A338="","",[1]!thsiFinD("ths_adjustment_nv_fund",O$3,$A338))</x:f>
        <x:v>#NAME?</x:v>
      </x:c>
      <x:c r="P338" s="146" t="e">
        <x:f>IF($A338="","",[1]!thsiFinD("ths_adjustment_nv_fund",P$3,$A338))</x:f>
        <x:v>#NAME?</x:v>
      </x:c>
      <x:c r="Q338" s="146" t="e">
        <x:f>IF($A338="","",[1]!thsiFinD("ths_adjustment_nv_fund",Q$3,$A338))</x:f>
        <x:v>#NAME?</x:v>
      </x:c>
      <x:c r="R338" s="146" t="e">
        <x:f>IF($A338="","",[1]!thsiFinD("ths_adjustment_nv_fund",R$3,$A338))</x:f>
        <x:v>#NAME?</x:v>
      </x:c>
      <x:c r="S338" s="146" t="e">
        <x:f>IF($A338="","",[1]!thsiFinD("ths_adjustment_nv_fund",S$3,$A338))</x:f>
        <x:v>#NAME?</x:v>
      </x:c>
      <x:c r="T338" s="146" t="e">
        <x:f>IF($A338="","",[1]!thsiFinD("ths_adjustment_nv_fund",T$3,$A338))</x:f>
        <x:v>#NAME?</x:v>
      </x:c>
      <x:c r="U338" s="146" t="e">
        <x:f>IF($A338="","",[1]!thsiFinD("ths_adjustment_nv_fund",U$3,$A338))</x:f>
        <x:v>#NAME?</x:v>
      </x:c>
      <x:c r="V338" s="146" t="e">
        <x:f>IF($A338="","",[1]!thsiFinD("ths_adjustment_nv_fund",V$3,$A338))</x:f>
        <x:v>#NAME?</x:v>
      </x:c>
      <x:c r="W338" s="146" t="e">
        <x:f>IF($A338="","",[1]!thsiFinD("ths_adjustment_nv_fund",W$3,$A338))</x:f>
        <x:v>#NAME?</x:v>
      </x:c>
      <x:c r="X338" s="146" t="e">
        <x:f>IF($A338="","",[1]!thsiFinD("ths_adjustment_nv_fund",X$3,$A338))</x:f>
        <x:v>#NAME?</x:v>
      </x:c>
      <x:c r="Y338" s="146" t="e">
        <x:f>IF($A338="","",[1]!thsiFinD("ths_adjustment_nv_fund",Y$3,$A338))</x:f>
        <x:v>#NAME?</x:v>
      </x:c>
      <x:c r="Z338" s="146" t="e">
        <x:f>IF($A338="","",[1]!thsiFinD("ths_adjustment_nv_fund",Z$3,$A338))</x:f>
        <x:v>#NAME?</x:v>
      </x:c>
      <x:c r="AA338" s="146" t="e">
        <x:f>IF($A338="","",[1]!thsiFinD("ths_adjustment_nv_fund",AA$3,$A338))</x:f>
        <x:v>#NAME?</x:v>
      </x:c>
    </x:row>
    <x:row r="339">
      <x:c r="B339" s="146" t="e">
        <x:f>IF($A339="","",[1]!thsiFinD("ths_adjustment_nv_fund",B$3,$A339))</x:f>
        <x:v>#NAME?</x:v>
      </x:c>
      <x:c r="C339" s="146" t="e">
        <x:f>IF($A339="","",[1]!thsiFinD("ths_adjustment_nv_fund",C$3,$A339))</x:f>
        <x:v>#NAME?</x:v>
      </x:c>
      <x:c r="D339" s="146" t="e">
        <x:f>IF($A339="","",[1]!thsiFinD("ths_adjustment_nv_fund",D$3,$A339))</x:f>
        <x:v>#NAME?</x:v>
      </x:c>
      <x:c r="E339" s="146" t="e">
        <x:f>IF($A339="","",[1]!thsiFinD("ths_adjustment_nv_fund",E$3,$A339))</x:f>
        <x:v>#NAME?</x:v>
      </x:c>
      <x:c r="F339" s="146" t="e">
        <x:f>IF($A339="","",[1]!thsiFinD("ths_adjustment_nv_fund",F$3,$A339))</x:f>
        <x:v>#NAME?</x:v>
      </x:c>
      <x:c r="G339" s="146" t="e">
        <x:f>IF($A339="","",[1]!thsiFinD("ths_adjustment_nv_fund",G$3,$A339))</x:f>
        <x:v>#NAME?</x:v>
      </x:c>
      <x:c r="H339" s="146" t="e">
        <x:f>IF($A339="","",[1]!thsiFinD("ths_adjustment_nv_fund",H$3,$A339))</x:f>
        <x:v>#NAME?</x:v>
      </x:c>
      <x:c r="I339" s="146" t="e">
        <x:f>IF($A339="","",[1]!thsiFinD("ths_adjustment_nv_fund",I$3,$A339))</x:f>
        <x:v>#NAME?</x:v>
      </x:c>
      <x:c r="J339" s="146" t="e">
        <x:f>IF($A339="","",[1]!thsiFinD("ths_adjustment_nv_fund",J$3,$A339))</x:f>
        <x:v>#NAME?</x:v>
      </x:c>
      <x:c r="K339" s="146" t="e">
        <x:f>IF($A339="","",[1]!thsiFinD("ths_adjustment_nv_fund",K$3,$A339))</x:f>
        <x:v>#NAME?</x:v>
      </x:c>
      <x:c r="L339" s="146" t="e">
        <x:f>IF($A339="","",[1]!thsiFinD("ths_adjustment_nv_fund",L$3,$A339))</x:f>
        <x:v>#NAME?</x:v>
      </x:c>
      <x:c r="M339" s="146" t="e">
        <x:f>IF($A339="","",[1]!thsiFinD("ths_adjustment_nv_fund",M$3,$A339))</x:f>
        <x:v>#NAME?</x:v>
      </x:c>
      <x:c r="N339" s="146" t="e">
        <x:f>IF($A339="","",[1]!thsiFinD("ths_adjustment_nv_fund",N$3,$A339))</x:f>
        <x:v>#NAME?</x:v>
      </x:c>
      <x:c r="O339" s="146" t="e">
        <x:f>IF($A339="","",[1]!thsiFinD("ths_adjustment_nv_fund",O$3,$A339))</x:f>
        <x:v>#NAME?</x:v>
      </x:c>
      <x:c r="P339" s="146" t="e">
        <x:f>IF($A339="","",[1]!thsiFinD("ths_adjustment_nv_fund",P$3,$A339))</x:f>
        <x:v>#NAME?</x:v>
      </x:c>
      <x:c r="Q339" s="146" t="e">
        <x:f>IF($A339="","",[1]!thsiFinD("ths_adjustment_nv_fund",Q$3,$A339))</x:f>
        <x:v>#NAME?</x:v>
      </x:c>
      <x:c r="R339" s="146" t="e">
        <x:f>IF($A339="","",[1]!thsiFinD("ths_adjustment_nv_fund",R$3,$A339))</x:f>
        <x:v>#NAME?</x:v>
      </x:c>
      <x:c r="S339" s="146" t="e">
        <x:f>IF($A339="","",[1]!thsiFinD("ths_adjustment_nv_fund",S$3,$A339))</x:f>
        <x:v>#NAME?</x:v>
      </x:c>
      <x:c r="T339" s="146" t="e">
        <x:f>IF($A339="","",[1]!thsiFinD("ths_adjustment_nv_fund",T$3,$A339))</x:f>
        <x:v>#NAME?</x:v>
      </x:c>
      <x:c r="U339" s="146" t="e">
        <x:f>IF($A339="","",[1]!thsiFinD("ths_adjustment_nv_fund",U$3,$A339))</x:f>
        <x:v>#NAME?</x:v>
      </x:c>
      <x:c r="V339" s="146" t="e">
        <x:f>IF($A339="","",[1]!thsiFinD("ths_adjustment_nv_fund",V$3,$A339))</x:f>
        <x:v>#NAME?</x:v>
      </x:c>
      <x:c r="W339" s="146" t="e">
        <x:f>IF($A339="","",[1]!thsiFinD("ths_adjustment_nv_fund",W$3,$A339))</x:f>
        <x:v>#NAME?</x:v>
      </x:c>
      <x:c r="X339" s="146" t="e">
        <x:f>IF($A339="","",[1]!thsiFinD("ths_adjustment_nv_fund",X$3,$A339))</x:f>
        <x:v>#NAME?</x:v>
      </x:c>
      <x:c r="Y339" s="146" t="e">
        <x:f>IF($A339="","",[1]!thsiFinD("ths_adjustment_nv_fund",Y$3,$A339))</x:f>
        <x:v>#NAME?</x:v>
      </x:c>
      <x:c r="Z339" s="146" t="e">
        <x:f>IF($A339="","",[1]!thsiFinD("ths_adjustment_nv_fund",Z$3,$A339))</x:f>
        <x:v>#NAME?</x:v>
      </x:c>
      <x:c r="AA339" s="146" t="e">
        <x:f>IF($A339="","",[1]!thsiFinD("ths_adjustment_nv_fund",AA$3,$A339))</x:f>
        <x:v>#NAME?</x:v>
      </x:c>
    </x:row>
    <x:row r="340">
      <x:c r="B340" s="146" t="e">
        <x:f>IF($A340="","",[1]!thsiFinD("ths_adjustment_nv_fund",B$3,$A340))</x:f>
        <x:v>#NAME?</x:v>
      </x:c>
      <x:c r="C340" s="146" t="e">
        <x:f>IF($A340="","",[1]!thsiFinD("ths_adjustment_nv_fund",C$3,$A340))</x:f>
        <x:v>#NAME?</x:v>
      </x:c>
      <x:c r="D340" s="146" t="e">
        <x:f>IF($A340="","",[1]!thsiFinD("ths_adjustment_nv_fund",D$3,$A340))</x:f>
        <x:v>#NAME?</x:v>
      </x:c>
      <x:c r="E340" s="146" t="e">
        <x:f>IF($A340="","",[1]!thsiFinD("ths_adjustment_nv_fund",E$3,$A340))</x:f>
        <x:v>#NAME?</x:v>
      </x:c>
      <x:c r="F340" s="146" t="e">
        <x:f>IF($A340="","",[1]!thsiFinD("ths_adjustment_nv_fund",F$3,$A340))</x:f>
        <x:v>#NAME?</x:v>
      </x:c>
      <x:c r="G340" s="146" t="e">
        <x:f>IF($A340="","",[1]!thsiFinD("ths_adjustment_nv_fund",G$3,$A340))</x:f>
        <x:v>#NAME?</x:v>
      </x:c>
      <x:c r="H340" s="146" t="e">
        <x:f>IF($A340="","",[1]!thsiFinD("ths_adjustment_nv_fund",H$3,$A340))</x:f>
        <x:v>#NAME?</x:v>
      </x:c>
      <x:c r="I340" s="146" t="e">
        <x:f>IF($A340="","",[1]!thsiFinD("ths_adjustment_nv_fund",I$3,$A340))</x:f>
        <x:v>#NAME?</x:v>
      </x:c>
      <x:c r="J340" s="146" t="e">
        <x:f>IF($A340="","",[1]!thsiFinD("ths_adjustment_nv_fund",J$3,$A340))</x:f>
        <x:v>#NAME?</x:v>
      </x:c>
      <x:c r="K340" s="146" t="e">
        <x:f>IF($A340="","",[1]!thsiFinD("ths_adjustment_nv_fund",K$3,$A340))</x:f>
        <x:v>#NAME?</x:v>
      </x:c>
      <x:c r="L340" s="146" t="e">
        <x:f>IF($A340="","",[1]!thsiFinD("ths_adjustment_nv_fund",L$3,$A340))</x:f>
        <x:v>#NAME?</x:v>
      </x:c>
      <x:c r="M340" s="146" t="e">
        <x:f>IF($A340="","",[1]!thsiFinD("ths_adjustment_nv_fund",M$3,$A340))</x:f>
        <x:v>#NAME?</x:v>
      </x:c>
      <x:c r="N340" s="146" t="e">
        <x:f>IF($A340="","",[1]!thsiFinD("ths_adjustment_nv_fund",N$3,$A340))</x:f>
        <x:v>#NAME?</x:v>
      </x:c>
      <x:c r="O340" s="146" t="e">
        <x:f>IF($A340="","",[1]!thsiFinD("ths_adjustment_nv_fund",O$3,$A340))</x:f>
        <x:v>#NAME?</x:v>
      </x:c>
      <x:c r="P340" s="146" t="e">
        <x:f>IF($A340="","",[1]!thsiFinD("ths_adjustment_nv_fund",P$3,$A340))</x:f>
        <x:v>#NAME?</x:v>
      </x:c>
      <x:c r="Q340" s="146" t="e">
        <x:f>IF($A340="","",[1]!thsiFinD("ths_adjustment_nv_fund",Q$3,$A340))</x:f>
        <x:v>#NAME?</x:v>
      </x:c>
      <x:c r="R340" s="146" t="e">
        <x:f>IF($A340="","",[1]!thsiFinD("ths_adjustment_nv_fund",R$3,$A340))</x:f>
        <x:v>#NAME?</x:v>
      </x:c>
      <x:c r="S340" s="146" t="e">
        <x:f>IF($A340="","",[1]!thsiFinD("ths_adjustment_nv_fund",S$3,$A340))</x:f>
        <x:v>#NAME?</x:v>
      </x:c>
      <x:c r="T340" s="146" t="e">
        <x:f>IF($A340="","",[1]!thsiFinD("ths_adjustment_nv_fund",T$3,$A340))</x:f>
        <x:v>#NAME?</x:v>
      </x:c>
      <x:c r="U340" s="146" t="e">
        <x:f>IF($A340="","",[1]!thsiFinD("ths_adjustment_nv_fund",U$3,$A340))</x:f>
        <x:v>#NAME?</x:v>
      </x:c>
      <x:c r="V340" s="146" t="e">
        <x:f>IF($A340="","",[1]!thsiFinD("ths_adjustment_nv_fund",V$3,$A340))</x:f>
        <x:v>#NAME?</x:v>
      </x:c>
      <x:c r="W340" s="146" t="e">
        <x:f>IF($A340="","",[1]!thsiFinD("ths_adjustment_nv_fund",W$3,$A340))</x:f>
        <x:v>#NAME?</x:v>
      </x:c>
      <x:c r="X340" s="146" t="e">
        <x:f>IF($A340="","",[1]!thsiFinD("ths_adjustment_nv_fund",X$3,$A340))</x:f>
        <x:v>#NAME?</x:v>
      </x:c>
      <x:c r="Y340" s="146" t="e">
        <x:f>IF($A340="","",[1]!thsiFinD("ths_adjustment_nv_fund",Y$3,$A340))</x:f>
        <x:v>#NAME?</x:v>
      </x:c>
      <x:c r="Z340" s="146" t="e">
        <x:f>IF($A340="","",[1]!thsiFinD("ths_adjustment_nv_fund",Z$3,$A340))</x:f>
        <x:v>#NAME?</x:v>
      </x:c>
      <x:c r="AA340" s="146" t="e">
        <x:f>IF($A340="","",[1]!thsiFinD("ths_adjustment_nv_fund",AA$3,$A340))</x:f>
        <x:v>#NAME?</x:v>
      </x:c>
    </x:row>
    <x:row r="341">
      <x:c r="B341" s="146" t="e">
        <x:f>IF($A341="","",[1]!thsiFinD("ths_adjustment_nv_fund",B$3,$A341))</x:f>
        <x:v>#NAME?</x:v>
      </x:c>
      <x:c r="C341" s="146" t="e">
        <x:f>IF($A341="","",[1]!thsiFinD("ths_adjustment_nv_fund",C$3,$A341))</x:f>
        <x:v>#NAME?</x:v>
      </x:c>
      <x:c r="D341" s="146" t="e">
        <x:f>IF($A341="","",[1]!thsiFinD("ths_adjustment_nv_fund",D$3,$A341))</x:f>
        <x:v>#NAME?</x:v>
      </x:c>
      <x:c r="E341" s="146" t="e">
        <x:f>IF($A341="","",[1]!thsiFinD("ths_adjustment_nv_fund",E$3,$A341))</x:f>
        <x:v>#NAME?</x:v>
      </x:c>
      <x:c r="F341" s="146" t="e">
        <x:f>IF($A341="","",[1]!thsiFinD("ths_adjustment_nv_fund",F$3,$A341))</x:f>
        <x:v>#NAME?</x:v>
      </x:c>
      <x:c r="G341" s="146" t="e">
        <x:f>IF($A341="","",[1]!thsiFinD("ths_adjustment_nv_fund",G$3,$A341))</x:f>
        <x:v>#NAME?</x:v>
      </x:c>
      <x:c r="H341" s="146" t="e">
        <x:f>IF($A341="","",[1]!thsiFinD("ths_adjustment_nv_fund",H$3,$A341))</x:f>
        <x:v>#NAME?</x:v>
      </x:c>
      <x:c r="I341" s="146" t="e">
        <x:f>IF($A341="","",[1]!thsiFinD("ths_adjustment_nv_fund",I$3,$A341))</x:f>
        <x:v>#NAME?</x:v>
      </x:c>
      <x:c r="J341" s="146" t="e">
        <x:f>IF($A341="","",[1]!thsiFinD("ths_adjustment_nv_fund",J$3,$A341))</x:f>
        <x:v>#NAME?</x:v>
      </x:c>
      <x:c r="K341" s="146" t="e">
        <x:f>IF($A341="","",[1]!thsiFinD("ths_adjustment_nv_fund",K$3,$A341))</x:f>
        <x:v>#NAME?</x:v>
      </x:c>
      <x:c r="L341" s="146" t="e">
        <x:f>IF($A341="","",[1]!thsiFinD("ths_adjustment_nv_fund",L$3,$A341))</x:f>
        <x:v>#NAME?</x:v>
      </x:c>
      <x:c r="M341" s="146" t="e">
        <x:f>IF($A341="","",[1]!thsiFinD("ths_adjustment_nv_fund",M$3,$A341))</x:f>
        <x:v>#NAME?</x:v>
      </x:c>
      <x:c r="N341" s="146" t="e">
        <x:f>IF($A341="","",[1]!thsiFinD("ths_adjustment_nv_fund",N$3,$A341))</x:f>
        <x:v>#NAME?</x:v>
      </x:c>
      <x:c r="O341" s="146" t="e">
        <x:f>IF($A341="","",[1]!thsiFinD("ths_adjustment_nv_fund",O$3,$A341))</x:f>
        <x:v>#NAME?</x:v>
      </x:c>
      <x:c r="P341" s="146" t="e">
        <x:f>IF($A341="","",[1]!thsiFinD("ths_adjustment_nv_fund",P$3,$A341))</x:f>
        <x:v>#NAME?</x:v>
      </x:c>
      <x:c r="Q341" s="146" t="e">
        <x:f>IF($A341="","",[1]!thsiFinD("ths_adjustment_nv_fund",Q$3,$A341))</x:f>
        <x:v>#NAME?</x:v>
      </x:c>
      <x:c r="R341" s="146" t="e">
        <x:f>IF($A341="","",[1]!thsiFinD("ths_adjustment_nv_fund",R$3,$A341))</x:f>
        <x:v>#NAME?</x:v>
      </x:c>
      <x:c r="S341" s="146" t="e">
        <x:f>IF($A341="","",[1]!thsiFinD("ths_adjustment_nv_fund",S$3,$A341))</x:f>
        <x:v>#NAME?</x:v>
      </x:c>
      <x:c r="T341" s="146" t="e">
        <x:f>IF($A341="","",[1]!thsiFinD("ths_adjustment_nv_fund",T$3,$A341))</x:f>
        <x:v>#NAME?</x:v>
      </x:c>
      <x:c r="U341" s="146" t="e">
        <x:f>IF($A341="","",[1]!thsiFinD("ths_adjustment_nv_fund",U$3,$A341))</x:f>
        <x:v>#NAME?</x:v>
      </x:c>
      <x:c r="V341" s="146" t="e">
        <x:f>IF($A341="","",[1]!thsiFinD("ths_adjustment_nv_fund",V$3,$A341))</x:f>
        <x:v>#NAME?</x:v>
      </x:c>
      <x:c r="W341" s="146" t="e">
        <x:f>IF($A341="","",[1]!thsiFinD("ths_adjustment_nv_fund",W$3,$A341))</x:f>
        <x:v>#NAME?</x:v>
      </x:c>
      <x:c r="X341" s="146" t="e">
        <x:f>IF($A341="","",[1]!thsiFinD("ths_adjustment_nv_fund",X$3,$A341))</x:f>
        <x:v>#NAME?</x:v>
      </x:c>
      <x:c r="Y341" s="146" t="e">
        <x:f>IF($A341="","",[1]!thsiFinD("ths_adjustment_nv_fund",Y$3,$A341))</x:f>
        <x:v>#NAME?</x:v>
      </x:c>
      <x:c r="Z341" s="146" t="e">
        <x:f>IF($A341="","",[1]!thsiFinD("ths_adjustment_nv_fund",Z$3,$A341))</x:f>
        <x:v>#NAME?</x:v>
      </x:c>
      <x:c r="AA341" s="146" t="e">
        <x:f>IF($A341="","",[1]!thsiFinD("ths_adjustment_nv_fund",AA$3,$A341))</x:f>
        <x:v>#NAME?</x:v>
      </x:c>
    </x:row>
    <x:row r="342">
      <x:c r="B342" s="146" t="e">
        <x:f>IF($A342="","",[1]!thsiFinD("ths_adjustment_nv_fund",B$3,$A342))</x:f>
        <x:v>#NAME?</x:v>
      </x:c>
      <x:c r="C342" s="146" t="e">
        <x:f>IF($A342="","",[1]!thsiFinD("ths_adjustment_nv_fund",C$3,$A342))</x:f>
        <x:v>#NAME?</x:v>
      </x:c>
      <x:c r="D342" s="146" t="e">
        <x:f>IF($A342="","",[1]!thsiFinD("ths_adjustment_nv_fund",D$3,$A342))</x:f>
        <x:v>#NAME?</x:v>
      </x:c>
      <x:c r="E342" s="146" t="e">
        <x:f>IF($A342="","",[1]!thsiFinD("ths_adjustment_nv_fund",E$3,$A342))</x:f>
        <x:v>#NAME?</x:v>
      </x:c>
      <x:c r="F342" s="146" t="e">
        <x:f>IF($A342="","",[1]!thsiFinD("ths_adjustment_nv_fund",F$3,$A342))</x:f>
        <x:v>#NAME?</x:v>
      </x:c>
      <x:c r="G342" s="146" t="e">
        <x:f>IF($A342="","",[1]!thsiFinD("ths_adjustment_nv_fund",G$3,$A342))</x:f>
        <x:v>#NAME?</x:v>
      </x:c>
      <x:c r="H342" s="146" t="e">
        <x:f>IF($A342="","",[1]!thsiFinD("ths_adjustment_nv_fund",H$3,$A342))</x:f>
        <x:v>#NAME?</x:v>
      </x:c>
      <x:c r="I342" s="146" t="e">
        <x:f>IF($A342="","",[1]!thsiFinD("ths_adjustment_nv_fund",I$3,$A342))</x:f>
        <x:v>#NAME?</x:v>
      </x:c>
      <x:c r="J342" s="146" t="e">
        <x:f>IF($A342="","",[1]!thsiFinD("ths_adjustment_nv_fund",J$3,$A342))</x:f>
        <x:v>#NAME?</x:v>
      </x:c>
      <x:c r="K342" s="146" t="e">
        <x:f>IF($A342="","",[1]!thsiFinD("ths_adjustment_nv_fund",K$3,$A342))</x:f>
        <x:v>#NAME?</x:v>
      </x:c>
      <x:c r="L342" s="146" t="e">
        <x:f>IF($A342="","",[1]!thsiFinD("ths_adjustment_nv_fund",L$3,$A342))</x:f>
        <x:v>#NAME?</x:v>
      </x:c>
      <x:c r="M342" s="146" t="e">
        <x:f>IF($A342="","",[1]!thsiFinD("ths_adjustment_nv_fund",M$3,$A342))</x:f>
        <x:v>#NAME?</x:v>
      </x:c>
      <x:c r="N342" s="146" t="e">
        <x:f>IF($A342="","",[1]!thsiFinD("ths_adjustment_nv_fund",N$3,$A342))</x:f>
        <x:v>#NAME?</x:v>
      </x:c>
      <x:c r="O342" s="146" t="e">
        <x:f>IF($A342="","",[1]!thsiFinD("ths_adjustment_nv_fund",O$3,$A342))</x:f>
        <x:v>#NAME?</x:v>
      </x:c>
      <x:c r="P342" s="146" t="e">
        <x:f>IF($A342="","",[1]!thsiFinD("ths_adjustment_nv_fund",P$3,$A342))</x:f>
        <x:v>#NAME?</x:v>
      </x:c>
      <x:c r="Q342" s="146" t="e">
        <x:f>IF($A342="","",[1]!thsiFinD("ths_adjustment_nv_fund",Q$3,$A342))</x:f>
        <x:v>#NAME?</x:v>
      </x:c>
      <x:c r="R342" s="146" t="e">
        <x:f>IF($A342="","",[1]!thsiFinD("ths_adjustment_nv_fund",R$3,$A342))</x:f>
        <x:v>#NAME?</x:v>
      </x:c>
      <x:c r="S342" s="146" t="e">
        <x:f>IF($A342="","",[1]!thsiFinD("ths_adjustment_nv_fund",S$3,$A342))</x:f>
        <x:v>#NAME?</x:v>
      </x:c>
      <x:c r="T342" s="146" t="e">
        <x:f>IF($A342="","",[1]!thsiFinD("ths_adjustment_nv_fund",T$3,$A342))</x:f>
        <x:v>#NAME?</x:v>
      </x:c>
      <x:c r="U342" s="146" t="e">
        <x:f>IF($A342="","",[1]!thsiFinD("ths_adjustment_nv_fund",U$3,$A342))</x:f>
        <x:v>#NAME?</x:v>
      </x:c>
      <x:c r="V342" s="146" t="e">
        <x:f>IF($A342="","",[1]!thsiFinD("ths_adjustment_nv_fund",V$3,$A342))</x:f>
        <x:v>#NAME?</x:v>
      </x:c>
      <x:c r="W342" s="146" t="e">
        <x:f>IF($A342="","",[1]!thsiFinD("ths_adjustment_nv_fund",W$3,$A342))</x:f>
        <x:v>#NAME?</x:v>
      </x:c>
      <x:c r="X342" s="146" t="e">
        <x:f>IF($A342="","",[1]!thsiFinD("ths_adjustment_nv_fund",X$3,$A342))</x:f>
        <x:v>#NAME?</x:v>
      </x:c>
      <x:c r="Y342" s="146" t="e">
        <x:f>IF($A342="","",[1]!thsiFinD("ths_adjustment_nv_fund",Y$3,$A342))</x:f>
        <x:v>#NAME?</x:v>
      </x:c>
      <x:c r="Z342" s="146" t="e">
        <x:f>IF($A342="","",[1]!thsiFinD("ths_adjustment_nv_fund",Z$3,$A342))</x:f>
        <x:v>#NAME?</x:v>
      </x:c>
      <x:c r="AA342" s="146" t="e">
        <x:f>IF($A342="","",[1]!thsiFinD("ths_adjustment_nv_fund",AA$3,$A342))</x:f>
        <x:v>#NAME?</x:v>
      </x:c>
    </x:row>
    <x:row r="343">
      <x:c r="B343" s="146" t="e">
        <x:f>IF($A343="","",[1]!thsiFinD("ths_adjustment_nv_fund",B$3,$A343))</x:f>
        <x:v>#NAME?</x:v>
      </x:c>
      <x:c r="C343" s="146" t="e">
        <x:f>IF($A343="","",[1]!thsiFinD("ths_adjustment_nv_fund",C$3,$A343))</x:f>
        <x:v>#NAME?</x:v>
      </x:c>
      <x:c r="D343" s="146" t="e">
        <x:f>IF($A343="","",[1]!thsiFinD("ths_adjustment_nv_fund",D$3,$A343))</x:f>
        <x:v>#NAME?</x:v>
      </x:c>
      <x:c r="E343" s="146" t="e">
        <x:f>IF($A343="","",[1]!thsiFinD("ths_adjustment_nv_fund",E$3,$A343))</x:f>
        <x:v>#NAME?</x:v>
      </x:c>
      <x:c r="F343" s="146" t="e">
        <x:f>IF($A343="","",[1]!thsiFinD("ths_adjustment_nv_fund",F$3,$A343))</x:f>
        <x:v>#NAME?</x:v>
      </x:c>
      <x:c r="G343" s="146" t="e">
        <x:f>IF($A343="","",[1]!thsiFinD("ths_adjustment_nv_fund",G$3,$A343))</x:f>
        <x:v>#NAME?</x:v>
      </x:c>
      <x:c r="H343" s="146" t="e">
        <x:f>IF($A343="","",[1]!thsiFinD("ths_adjustment_nv_fund",H$3,$A343))</x:f>
        <x:v>#NAME?</x:v>
      </x:c>
      <x:c r="I343" s="146" t="e">
        <x:f>IF($A343="","",[1]!thsiFinD("ths_adjustment_nv_fund",I$3,$A343))</x:f>
        <x:v>#NAME?</x:v>
      </x:c>
      <x:c r="J343" s="146" t="e">
        <x:f>IF($A343="","",[1]!thsiFinD("ths_adjustment_nv_fund",J$3,$A343))</x:f>
        <x:v>#NAME?</x:v>
      </x:c>
      <x:c r="K343" s="146" t="e">
        <x:f>IF($A343="","",[1]!thsiFinD("ths_adjustment_nv_fund",K$3,$A343))</x:f>
        <x:v>#NAME?</x:v>
      </x:c>
      <x:c r="L343" s="146" t="e">
        <x:f>IF($A343="","",[1]!thsiFinD("ths_adjustment_nv_fund",L$3,$A343))</x:f>
        <x:v>#NAME?</x:v>
      </x:c>
      <x:c r="M343" s="146" t="e">
        <x:f>IF($A343="","",[1]!thsiFinD("ths_adjustment_nv_fund",M$3,$A343))</x:f>
        <x:v>#NAME?</x:v>
      </x:c>
      <x:c r="N343" s="146" t="e">
        <x:f>IF($A343="","",[1]!thsiFinD("ths_adjustment_nv_fund",N$3,$A343))</x:f>
        <x:v>#NAME?</x:v>
      </x:c>
      <x:c r="O343" s="146" t="e">
        <x:f>IF($A343="","",[1]!thsiFinD("ths_adjustment_nv_fund",O$3,$A343))</x:f>
        <x:v>#NAME?</x:v>
      </x:c>
      <x:c r="P343" s="146" t="e">
        <x:f>IF($A343="","",[1]!thsiFinD("ths_adjustment_nv_fund",P$3,$A343))</x:f>
        <x:v>#NAME?</x:v>
      </x:c>
      <x:c r="Q343" s="146" t="e">
        <x:f>IF($A343="","",[1]!thsiFinD("ths_adjustment_nv_fund",Q$3,$A343))</x:f>
        <x:v>#NAME?</x:v>
      </x:c>
      <x:c r="R343" s="146" t="e">
        <x:f>IF($A343="","",[1]!thsiFinD("ths_adjustment_nv_fund",R$3,$A343))</x:f>
        <x:v>#NAME?</x:v>
      </x:c>
      <x:c r="S343" s="146" t="e">
        <x:f>IF($A343="","",[1]!thsiFinD("ths_adjustment_nv_fund",S$3,$A343))</x:f>
        <x:v>#NAME?</x:v>
      </x:c>
      <x:c r="T343" s="146" t="e">
        <x:f>IF($A343="","",[1]!thsiFinD("ths_adjustment_nv_fund",T$3,$A343))</x:f>
        <x:v>#NAME?</x:v>
      </x:c>
      <x:c r="U343" s="146" t="e">
        <x:f>IF($A343="","",[1]!thsiFinD("ths_adjustment_nv_fund",U$3,$A343))</x:f>
        <x:v>#NAME?</x:v>
      </x:c>
      <x:c r="V343" s="146" t="e">
        <x:f>IF($A343="","",[1]!thsiFinD("ths_adjustment_nv_fund",V$3,$A343))</x:f>
        <x:v>#NAME?</x:v>
      </x:c>
      <x:c r="W343" s="146" t="e">
        <x:f>IF($A343="","",[1]!thsiFinD("ths_adjustment_nv_fund",W$3,$A343))</x:f>
        <x:v>#NAME?</x:v>
      </x:c>
      <x:c r="X343" s="146" t="e">
        <x:f>IF($A343="","",[1]!thsiFinD("ths_adjustment_nv_fund",X$3,$A343))</x:f>
        <x:v>#NAME?</x:v>
      </x:c>
      <x:c r="Y343" s="146" t="e">
        <x:f>IF($A343="","",[1]!thsiFinD("ths_adjustment_nv_fund",Y$3,$A343))</x:f>
        <x:v>#NAME?</x:v>
      </x:c>
      <x:c r="Z343" s="146" t="e">
        <x:f>IF($A343="","",[1]!thsiFinD("ths_adjustment_nv_fund",Z$3,$A343))</x:f>
        <x:v>#NAME?</x:v>
      </x:c>
      <x:c r="AA343" s="146" t="e">
        <x:f>IF($A343="","",[1]!thsiFinD("ths_adjustment_nv_fund",AA$3,$A343))</x:f>
        <x:v>#NAME?</x:v>
      </x:c>
    </x:row>
    <x:row r="344">
      <x:c r="B344" s="146" t="e">
        <x:f>IF($A344="","",[1]!thsiFinD("ths_adjustment_nv_fund",B$3,$A344))</x:f>
        <x:v>#NAME?</x:v>
      </x:c>
      <x:c r="C344" s="146" t="e">
        <x:f>IF($A344="","",[1]!thsiFinD("ths_adjustment_nv_fund",C$3,$A344))</x:f>
        <x:v>#NAME?</x:v>
      </x:c>
      <x:c r="D344" s="146" t="e">
        <x:f>IF($A344="","",[1]!thsiFinD("ths_adjustment_nv_fund",D$3,$A344))</x:f>
        <x:v>#NAME?</x:v>
      </x:c>
      <x:c r="E344" s="146" t="e">
        <x:f>IF($A344="","",[1]!thsiFinD("ths_adjustment_nv_fund",E$3,$A344))</x:f>
        <x:v>#NAME?</x:v>
      </x:c>
      <x:c r="F344" s="146" t="e">
        <x:f>IF($A344="","",[1]!thsiFinD("ths_adjustment_nv_fund",F$3,$A344))</x:f>
        <x:v>#NAME?</x:v>
      </x:c>
      <x:c r="G344" s="146" t="e">
        <x:f>IF($A344="","",[1]!thsiFinD("ths_adjustment_nv_fund",G$3,$A344))</x:f>
        <x:v>#NAME?</x:v>
      </x:c>
      <x:c r="H344" s="146" t="e">
        <x:f>IF($A344="","",[1]!thsiFinD("ths_adjustment_nv_fund",H$3,$A344))</x:f>
        <x:v>#NAME?</x:v>
      </x:c>
      <x:c r="I344" s="146" t="e">
        <x:f>IF($A344="","",[1]!thsiFinD("ths_adjustment_nv_fund",I$3,$A344))</x:f>
        <x:v>#NAME?</x:v>
      </x:c>
      <x:c r="J344" s="146" t="e">
        <x:f>IF($A344="","",[1]!thsiFinD("ths_adjustment_nv_fund",J$3,$A344))</x:f>
        <x:v>#NAME?</x:v>
      </x:c>
      <x:c r="K344" s="146" t="e">
        <x:f>IF($A344="","",[1]!thsiFinD("ths_adjustment_nv_fund",K$3,$A344))</x:f>
        <x:v>#NAME?</x:v>
      </x:c>
      <x:c r="L344" s="146" t="e">
        <x:f>IF($A344="","",[1]!thsiFinD("ths_adjustment_nv_fund",L$3,$A344))</x:f>
        <x:v>#NAME?</x:v>
      </x:c>
      <x:c r="M344" s="146" t="e">
        <x:f>IF($A344="","",[1]!thsiFinD("ths_adjustment_nv_fund",M$3,$A344))</x:f>
        <x:v>#NAME?</x:v>
      </x:c>
      <x:c r="N344" s="146" t="e">
        <x:f>IF($A344="","",[1]!thsiFinD("ths_adjustment_nv_fund",N$3,$A344))</x:f>
        <x:v>#NAME?</x:v>
      </x:c>
      <x:c r="O344" s="146" t="e">
        <x:f>IF($A344="","",[1]!thsiFinD("ths_adjustment_nv_fund",O$3,$A344))</x:f>
        <x:v>#NAME?</x:v>
      </x:c>
      <x:c r="P344" s="146" t="e">
        <x:f>IF($A344="","",[1]!thsiFinD("ths_adjustment_nv_fund",P$3,$A344))</x:f>
        <x:v>#NAME?</x:v>
      </x:c>
      <x:c r="Q344" s="146" t="e">
        <x:f>IF($A344="","",[1]!thsiFinD("ths_adjustment_nv_fund",Q$3,$A344))</x:f>
        <x:v>#NAME?</x:v>
      </x:c>
      <x:c r="R344" s="146" t="e">
        <x:f>IF($A344="","",[1]!thsiFinD("ths_adjustment_nv_fund",R$3,$A344))</x:f>
        <x:v>#NAME?</x:v>
      </x:c>
      <x:c r="S344" s="146" t="e">
        <x:f>IF($A344="","",[1]!thsiFinD("ths_adjustment_nv_fund",S$3,$A344))</x:f>
        <x:v>#NAME?</x:v>
      </x:c>
      <x:c r="T344" s="146" t="e">
        <x:f>IF($A344="","",[1]!thsiFinD("ths_adjustment_nv_fund",T$3,$A344))</x:f>
        <x:v>#NAME?</x:v>
      </x:c>
      <x:c r="U344" s="146" t="e">
        <x:f>IF($A344="","",[1]!thsiFinD("ths_adjustment_nv_fund",U$3,$A344))</x:f>
        <x:v>#NAME?</x:v>
      </x:c>
      <x:c r="V344" s="146" t="e">
        <x:f>IF($A344="","",[1]!thsiFinD("ths_adjustment_nv_fund",V$3,$A344))</x:f>
        <x:v>#NAME?</x:v>
      </x:c>
      <x:c r="W344" s="146" t="e">
        <x:f>IF($A344="","",[1]!thsiFinD("ths_adjustment_nv_fund",W$3,$A344))</x:f>
        <x:v>#NAME?</x:v>
      </x:c>
      <x:c r="X344" s="146" t="e">
        <x:f>IF($A344="","",[1]!thsiFinD("ths_adjustment_nv_fund",X$3,$A344))</x:f>
        <x:v>#NAME?</x:v>
      </x:c>
      <x:c r="Y344" s="146" t="e">
        <x:f>IF($A344="","",[1]!thsiFinD("ths_adjustment_nv_fund",Y$3,$A344))</x:f>
        <x:v>#NAME?</x:v>
      </x:c>
      <x:c r="Z344" s="146" t="e">
        <x:f>IF($A344="","",[1]!thsiFinD("ths_adjustment_nv_fund",Z$3,$A344))</x:f>
        <x:v>#NAME?</x:v>
      </x:c>
      <x:c r="AA344" s="146" t="e">
        <x:f>IF($A344="","",[1]!thsiFinD("ths_adjustment_nv_fund",AA$3,$A344))</x:f>
        <x:v>#NAME?</x:v>
      </x:c>
    </x:row>
    <x:row r="345">
      <x:c r="B345" s="146" t="e">
        <x:f>IF($A345="","",[1]!thsiFinD("ths_adjustment_nv_fund",B$3,$A345))</x:f>
        <x:v>#NAME?</x:v>
      </x:c>
      <x:c r="C345" s="146" t="e">
        <x:f>IF($A345="","",[1]!thsiFinD("ths_adjustment_nv_fund",C$3,$A345))</x:f>
        <x:v>#NAME?</x:v>
      </x:c>
      <x:c r="D345" s="146" t="e">
        <x:f>IF($A345="","",[1]!thsiFinD("ths_adjustment_nv_fund",D$3,$A345))</x:f>
        <x:v>#NAME?</x:v>
      </x:c>
      <x:c r="E345" s="146" t="e">
        <x:f>IF($A345="","",[1]!thsiFinD("ths_adjustment_nv_fund",E$3,$A345))</x:f>
        <x:v>#NAME?</x:v>
      </x:c>
      <x:c r="F345" s="146" t="e">
        <x:f>IF($A345="","",[1]!thsiFinD("ths_adjustment_nv_fund",F$3,$A345))</x:f>
        <x:v>#NAME?</x:v>
      </x:c>
      <x:c r="G345" s="146" t="e">
        <x:f>IF($A345="","",[1]!thsiFinD("ths_adjustment_nv_fund",G$3,$A345))</x:f>
        <x:v>#NAME?</x:v>
      </x:c>
      <x:c r="H345" s="146" t="e">
        <x:f>IF($A345="","",[1]!thsiFinD("ths_adjustment_nv_fund",H$3,$A345))</x:f>
        <x:v>#NAME?</x:v>
      </x:c>
      <x:c r="I345" s="146" t="e">
        <x:f>IF($A345="","",[1]!thsiFinD("ths_adjustment_nv_fund",I$3,$A345))</x:f>
        <x:v>#NAME?</x:v>
      </x:c>
      <x:c r="J345" s="146" t="e">
        <x:f>IF($A345="","",[1]!thsiFinD("ths_adjustment_nv_fund",J$3,$A345))</x:f>
        <x:v>#NAME?</x:v>
      </x:c>
      <x:c r="K345" s="146" t="e">
        <x:f>IF($A345="","",[1]!thsiFinD("ths_adjustment_nv_fund",K$3,$A345))</x:f>
        <x:v>#NAME?</x:v>
      </x:c>
      <x:c r="L345" s="146" t="e">
        <x:f>IF($A345="","",[1]!thsiFinD("ths_adjustment_nv_fund",L$3,$A345))</x:f>
        <x:v>#NAME?</x:v>
      </x:c>
      <x:c r="M345" s="146" t="e">
        <x:f>IF($A345="","",[1]!thsiFinD("ths_adjustment_nv_fund",M$3,$A345))</x:f>
        <x:v>#NAME?</x:v>
      </x:c>
      <x:c r="N345" s="146" t="e">
        <x:f>IF($A345="","",[1]!thsiFinD("ths_adjustment_nv_fund",N$3,$A345))</x:f>
        <x:v>#NAME?</x:v>
      </x:c>
      <x:c r="O345" s="146" t="e">
        <x:f>IF($A345="","",[1]!thsiFinD("ths_adjustment_nv_fund",O$3,$A345))</x:f>
        <x:v>#NAME?</x:v>
      </x:c>
      <x:c r="P345" s="146" t="e">
        <x:f>IF($A345="","",[1]!thsiFinD("ths_adjustment_nv_fund",P$3,$A345))</x:f>
        <x:v>#NAME?</x:v>
      </x:c>
      <x:c r="Q345" s="146" t="e">
        <x:f>IF($A345="","",[1]!thsiFinD("ths_adjustment_nv_fund",Q$3,$A345))</x:f>
        <x:v>#NAME?</x:v>
      </x:c>
      <x:c r="R345" s="146" t="e">
        <x:f>IF($A345="","",[1]!thsiFinD("ths_adjustment_nv_fund",R$3,$A345))</x:f>
        <x:v>#NAME?</x:v>
      </x:c>
      <x:c r="S345" s="146" t="e">
        <x:f>IF($A345="","",[1]!thsiFinD("ths_adjustment_nv_fund",S$3,$A345))</x:f>
        <x:v>#NAME?</x:v>
      </x:c>
      <x:c r="T345" s="146" t="e">
        <x:f>IF($A345="","",[1]!thsiFinD("ths_adjustment_nv_fund",T$3,$A345))</x:f>
        <x:v>#NAME?</x:v>
      </x:c>
      <x:c r="U345" s="146" t="e">
        <x:f>IF($A345="","",[1]!thsiFinD("ths_adjustment_nv_fund",U$3,$A345))</x:f>
        <x:v>#NAME?</x:v>
      </x:c>
      <x:c r="V345" s="146" t="e">
        <x:f>IF($A345="","",[1]!thsiFinD("ths_adjustment_nv_fund",V$3,$A345))</x:f>
        <x:v>#NAME?</x:v>
      </x:c>
      <x:c r="W345" s="146" t="e">
        <x:f>IF($A345="","",[1]!thsiFinD("ths_adjustment_nv_fund",W$3,$A345))</x:f>
        <x:v>#NAME?</x:v>
      </x:c>
      <x:c r="X345" s="146" t="e">
        <x:f>IF($A345="","",[1]!thsiFinD("ths_adjustment_nv_fund",X$3,$A345))</x:f>
        <x:v>#NAME?</x:v>
      </x:c>
      <x:c r="Y345" s="146" t="e">
        <x:f>IF($A345="","",[1]!thsiFinD("ths_adjustment_nv_fund",Y$3,$A345))</x:f>
        <x:v>#NAME?</x:v>
      </x:c>
      <x:c r="Z345" s="146" t="e">
        <x:f>IF($A345="","",[1]!thsiFinD("ths_adjustment_nv_fund",Z$3,$A345))</x:f>
        <x:v>#NAME?</x:v>
      </x:c>
      <x:c r="AA345" s="146" t="e">
        <x:f>IF($A345="","",[1]!thsiFinD("ths_adjustment_nv_fund",AA$3,$A345))</x:f>
        <x:v>#NAME?</x:v>
      </x:c>
    </x:row>
    <x:row r="346">
      <x:c r="B346" s="146" t="e">
        <x:f>IF($A346="","",[1]!thsiFinD("ths_adjustment_nv_fund",B$3,$A346))</x:f>
        <x:v>#NAME?</x:v>
      </x:c>
      <x:c r="C346" s="146" t="e">
        <x:f>IF($A346="","",[1]!thsiFinD("ths_adjustment_nv_fund",C$3,$A346))</x:f>
        <x:v>#NAME?</x:v>
      </x:c>
      <x:c r="D346" s="146" t="e">
        <x:f>IF($A346="","",[1]!thsiFinD("ths_adjustment_nv_fund",D$3,$A346))</x:f>
        <x:v>#NAME?</x:v>
      </x:c>
      <x:c r="E346" s="146" t="e">
        <x:f>IF($A346="","",[1]!thsiFinD("ths_adjustment_nv_fund",E$3,$A346))</x:f>
        <x:v>#NAME?</x:v>
      </x:c>
      <x:c r="F346" s="146" t="e">
        <x:f>IF($A346="","",[1]!thsiFinD("ths_adjustment_nv_fund",F$3,$A346))</x:f>
        <x:v>#NAME?</x:v>
      </x:c>
      <x:c r="G346" s="146" t="e">
        <x:f>IF($A346="","",[1]!thsiFinD("ths_adjustment_nv_fund",G$3,$A346))</x:f>
        <x:v>#NAME?</x:v>
      </x:c>
      <x:c r="H346" s="146" t="e">
        <x:f>IF($A346="","",[1]!thsiFinD("ths_adjustment_nv_fund",H$3,$A346))</x:f>
        <x:v>#NAME?</x:v>
      </x:c>
      <x:c r="I346" s="146" t="e">
        <x:f>IF($A346="","",[1]!thsiFinD("ths_adjustment_nv_fund",I$3,$A346))</x:f>
        <x:v>#NAME?</x:v>
      </x:c>
      <x:c r="J346" s="146" t="e">
        <x:f>IF($A346="","",[1]!thsiFinD("ths_adjustment_nv_fund",J$3,$A346))</x:f>
        <x:v>#NAME?</x:v>
      </x:c>
      <x:c r="K346" s="146" t="e">
        <x:f>IF($A346="","",[1]!thsiFinD("ths_adjustment_nv_fund",K$3,$A346))</x:f>
        <x:v>#NAME?</x:v>
      </x:c>
      <x:c r="L346" s="146" t="e">
        <x:f>IF($A346="","",[1]!thsiFinD("ths_adjustment_nv_fund",L$3,$A346))</x:f>
        <x:v>#NAME?</x:v>
      </x:c>
      <x:c r="M346" s="146" t="e">
        <x:f>IF($A346="","",[1]!thsiFinD("ths_adjustment_nv_fund",M$3,$A346))</x:f>
        <x:v>#NAME?</x:v>
      </x:c>
      <x:c r="N346" s="146" t="e">
        <x:f>IF($A346="","",[1]!thsiFinD("ths_adjustment_nv_fund",N$3,$A346))</x:f>
        <x:v>#NAME?</x:v>
      </x:c>
      <x:c r="O346" s="146" t="e">
        <x:f>IF($A346="","",[1]!thsiFinD("ths_adjustment_nv_fund",O$3,$A346))</x:f>
        <x:v>#NAME?</x:v>
      </x:c>
      <x:c r="P346" s="146" t="e">
        <x:f>IF($A346="","",[1]!thsiFinD("ths_adjustment_nv_fund",P$3,$A346))</x:f>
        <x:v>#NAME?</x:v>
      </x:c>
      <x:c r="Q346" s="146" t="e">
        <x:f>IF($A346="","",[1]!thsiFinD("ths_adjustment_nv_fund",Q$3,$A346))</x:f>
        <x:v>#NAME?</x:v>
      </x:c>
      <x:c r="R346" s="146" t="e">
        <x:f>IF($A346="","",[1]!thsiFinD("ths_adjustment_nv_fund",R$3,$A346))</x:f>
        <x:v>#NAME?</x:v>
      </x:c>
      <x:c r="S346" s="146" t="e">
        <x:f>IF($A346="","",[1]!thsiFinD("ths_adjustment_nv_fund",S$3,$A346))</x:f>
        <x:v>#NAME?</x:v>
      </x:c>
      <x:c r="T346" s="146" t="e">
        <x:f>IF($A346="","",[1]!thsiFinD("ths_adjustment_nv_fund",T$3,$A346))</x:f>
        <x:v>#NAME?</x:v>
      </x:c>
      <x:c r="U346" s="146" t="e">
        <x:f>IF($A346="","",[1]!thsiFinD("ths_adjustment_nv_fund",U$3,$A346))</x:f>
        <x:v>#NAME?</x:v>
      </x:c>
      <x:c r="V346" s="146" t="e">
        <x:f>IF($A346="","",[1]!thsiFinD("ths_adjustment_nv_fund",V$3,$A346))</x:f>
        <x:v>#NAME?</x:v>
      </x:c>
      <x:c r="W346" s="146" t="e">
        <x:f>IF($A346="","",[1]!thsiFinD("ths_adjustment_nv_fund",W$3,$A346))</x:f>
        <x:v>#NAME?</x:v>
      </x:c>
      <x:c r="X346" s="146" t="e">
        <x:f>IF($A346="","",[1]!thsiFinD("ths_adjustment_nv_fund",X$3,$A346))</x:f>
        <x:v>#NAME?</x:v>
      </x:c>
      <x:c r="Y346" s="146" t="e">
        <x:f>IF($A346="","",[1]!thsiFinD("ths_adjustment_nv_fund",Y$3,$A346))</x:f>
        <x:v>#NAME?</x:v>
      </x:c>
      <x:c r="Z346" s="146" t="e">
        <x:f>IF($A346="","",[1]!thsiFinD("ths_adjustment_nv_fund",Z$3,$A346))</x:f>
        <x:v>#NAME?</x:v>
      </x:c>
      <x:c r="AA346" s="146" t="e">
        <x:f>IF($A346="","",[1]!thsiFinD("ths_adjustment_nv_fund",AA$3,$A346))</x:f>
        <x:v>#NAME?</x:v>
      </x:c>
    </x:row>
    <x:row r="347">
      <x:c r="B347" s="146" t="e">
        <x:f>IF($A347="","",[1]!thsiFinD("ths_adjustment_nv_fund",B$3,$A347))</x:f>
        <x:v>#NAME?</x:v>
      </x:c>
      <x:c r="C347" s="146" t="e">
        <x:f>IF($A347="","",[1]!thsiFinD("ths_adjustment_nv_fund",C$3,$A347))</x:f>
        <x:v>#NAME?</x:v>
      </x:c>
      <x:c r="D347" s="146" t="e">
        <x:f>IF($A347="","",[1]!thsiFinD("ths_adjustment_nv_fund",D$3,$A347))</x:f>
        <x:v>#NAME?</x:v>
      </x:c>
      <x:c r="E347" s="146" t="e">
        <x:f>IF($A347="","",[1]!thsiFinD("ths_adjustment_nv_fund",E$3,$A347))</x:f>
        <x:v>#NAME?</x:v>
      </x:c>
      <x:c r="F347" s="146" t="e">
        <x:f>IF($A347="","",[1]!thsiFinD("ths_adjustment_nv_fund",F$3,$A347))</x:f>
        <x:v>#NAME?</x:v>
      </x:c>
      <x:c r="G347" s="146" t="e">
        <x:f>IF($A347="","",[1]!thsiFinD("ths_adjustment_nv_fund",G$3,$A347))</x:f>
        <x:v>#NAME?</x:v>
      </x:c>
      <x:c r="H347" s="146" t="e">
        <x:f>IF($A347="","",[1]!thsiFinD("ths_adjustment_nv_fund",H$3,$A347))</x:f>
        <x:v>#NAME?</x:v>
      </x:c>
      <x:c r="I347" s="146" t="e">
        <x:f>IF($A347="","",[1]!thsiFinD("ths_adjustment_nv_fund",I$3,$A347))</x:f>
        <x:v>#NAME?</x:v>
      </x:c>
      <x:c r="J347" s="146" t="e">
        <x:f>IF($A347="","",[1]!thsiFinD("ths_adjustment_nv_fund",J$3,$A347))</x:f>
        <x:v>#NAME?</x:v>
      </x:c>
      <x:c r="K347" s="146" t="e">
        <x:f>IF($A347="","",[1]!thsiFinD("ths_adjustment_nv_fund",K$3,$A347))</x:f>
        <x:v>#NAME?</x:v>
      </x:c>
      <x:c r="L347" s="146" t="e">
        <x:f>IF($A347="","",[1]!thsiFinD("ths_adjustment_nv_fund",L$3,$A347))</x:f>
        <x:v>#NAME?</x:v>
      </x:c>
      <x:c r="M347" s="146" t="e">
        <x:f>IF($A347="","",[1]!thsiFinD("ths_adjustment_nv_fund",M$3,$A347))</x:f>
        <x:v>#NAME?</x:v>
      </x:c>
      <x:c r="N347" s="146" t="e">
        <x:f>IF($A347="","",[1]!thsiFinD("ths_adjustment_nv_fund",N$3,$A347))</x:f>
        <x:v>#NAME?</x:v>
      </x:c>
      <x:c r="O347" s="146" t="e">
        <x:f>IF($A347="","",[1]!thsiFinD("ths_adjustment_nv_fund",O$3,$A347))</x:f>
        <x:v>#NAME?</x:v>
      </x:c>
      <x:c r="P347" s="146" t="e">
        <x:f>IF($A347="","",[1]!thsiFinD("ths_adjustment_nv_fund",P$3,$A347))</x:f>
        <x:v>#NAME?</x:v>
      </x:c>
      <x:c r="Q347" s="146" t="e">
        <x:f>IF($A347="","",[1]!thsiFinD("ths_adjustment_nv_fund",Q$3,$A347))</x:f>
        <x:v>#NAME?</x:v>
      </x:c>
      <x:c r="R347" s="146" t="e">
        <x:f>IF($A347="","",[1]!thsiFinD("ths_adjustment_nv_fund",R$3,$A347))</x:f>
        <x:v>#NAME?</x:v>
      </x:c>
      <x:c r="S347" s="146" t="e">
        <x:f>IF($A347="","",[1]!thsiFinD("ths_adjustment_nv_fund",S$3,$A347))</x:f>
        <x:v>#NAME?</x:v>
      </x:c>
      <x:c r="T347" s="146" t="e">
        <x:f>IF($A347="","",[1]!thsiFinD("ths_adjustment_nv_fund",T$3,$A347))</x:f>
        <x:v>#NAME?</x:v>
      </x:c>
      <x:c r="U347" s="146" t="e">
        <x:f>IF($A347="","",[1]!thsiFinD("ths_adjustment_nv_fund",U$3,$A347))</x:f>
        <x:v>#NAME?</x:v>
      </x:c>
      <x:c r="V347" s="146" t="e">
        <x:f>IF($A347="","",[1]!thsiFinD("ths_adjustment_nv_fund",V$3,$A347))</x:f>
        <x:v>#NAME?</x:v>
      </x:c>
      <x:c r="W347" s="146" t="e">
        <x:f>IF($A347="","",[1]!thsiFinD("ths_adjustment_nv_fund",W$3,$A347))</x:f>
        <x:v>#NAME?</x:v>
      </x:c>
      <x:c r="X347" s="146" t="e">
        <x:f>IF($A347="","",[1]!thsiFinD("ths_adjustment_nv_fund",X$3,$A347))</x:f>
        <x:v>#NAME?</x:v>
      </x:c>
      <x:c r="Y347" s="146" t="e">
        <x:f>IF($A347="","",[1]!thsiFinD("ths_adjustment_nv_fund",Y$3,$A347))</x:f>
        <x:v>#NAME?</x:v>
      </x:c>
      <x:c r="Z347" s="146" t="e">
        <x:f>IF($A347="","",[1]!thsiFinD("ths_adjustment_nv_fund",Z$3,$A347))</x:f>
        <x:v>#NAME?</x:v>
      </x:c>
      <x:c r="AA347" s="146" t="e">
        <x:f>IF($A347="","",[1]!thsiFinD("ths_adjustment_nv_fund",AA$3,$A347))</x:f>
        <x:v>#NAME?</x:v>
      </x:c>
    </x:row>
    <x:row r="348">
      <x:c r="B348" s="146" t="e">
        <x:f>IF($A348="","",[1]!thsiFinD("ths_adjustment_nv_fund",B$3,$A348))</x:f>
        <x:v>#NAME?</x:v>
      </x:c>
      <x:c r="C348" s="146" t="e">
        <x:f>IF($A348="","",[1]!thsiFinD("ths_adjustment_nv_fund",C$3,$A348))</x:f>
        <x:v>#NAME?</x:v>
      </x:c>
      <x:c r="D348" s="146" t="e">
        <x:f>IF($A348="","",[1]!thsiFinD("ths_adjustment_nv_fund",D$3,$A348))</x:f>
        <x:v>#NAME?</x:v>
      </x:c>
      <x:c r="E348" s="146" t="e">
        <x:f>IF($A348="","",[1]!thsiFinD("ths_adjustment_nv_fund",E$3,$A348))</x:f>
        <x:v>#NAME?</x:v>
      </x:c>
      <x:c r="F348" s="146" t="e">
        <x:f>IF($A348="","",[1]!thsiFinD("ths_adjustment_nv_fund",F$3,$A348))</x:f>
        <x:v>#NAME?</x:v>
      </x:c>
      <x:c r="G348" s="146" t="e">
        <x:f>IF($A348="","",[1]!thsiFinD("ths_adjustment_nv_fund",G$3,$A348))</x:f>
        <x:v>#NAME?</x:v>
      </x:c>
      <x:c r="H348" s="146" t="e">
        <x:f>IF($A348="","",[1]!thsiFinD("ths_adjustment_nv_fund",H$3,$A348))</x:f>
        <x:v>#NAME?</x:v>
      </x:c>
      <x:c r="I348" s="146" t="e">
        <x:f>IF($A348="","",[1]!thsiFinD("ths_adjustment_nv_fund",I$3,$A348))</x:f>
        <x:v>#NAME?</x:v>
      </x:c>
      <x:c r="J348" s="146" t="e">
        <x:f>IF($A348="","",[1]!thsiFinD("ths_adjustment_nv_fund",J$3,$A348))</x:f>
        <x:v>#NAME?</x:v>
      </x:c>
      <x:c r="K348" s="146" t="e">
        <x:f>IF($A348="","",[1]!thsiFinD("ths_adjustment_nv_fund",K$3,$A348))</x:f>
        <x:v>#NAME?</x:v>
      </x:c>
      <x:c r="L348" s="146" t="e">
        <x:f>IF($A348="","",[1]!thsiFinD("ths_adjustment_nv_fund",L$3,$A348))</x:f>
        <x:v>#NAME?</x:v>
      </x:c>
      <x:c r="M348" s="146" t="e">
        <x:f>IF($A348="","",[1]!thsiFinD("ths_adjustment_nv_fund",M$3,$A348))</x:f>
        <x:v>#NAME?</x:v>
      </x:c>
      <x:c r="N348" s="146" t="e">
        <x:f>IF($A348="","",[1]!thsiFinD("ths_adjustment_nv_fund",N$3,$A348))</x:f>
        <x:v>#NAME?</x:v>
      </x:c>
      <x:c r="O348" s="146" t="e">
        <x:f>IF($A348="","",[1]!thsiFinD("ths_adjustment_nv_fund",O$3,$A348))</x:f>
        <x:v>#NAME?</x:v>
      </x:c>
      <x:c r="P348" s="146" t="e">
        <x:f>IF($A348="","",[1]!thsiFinD("ths_adjustment_nv_fund",P$3,$A348))</x:f>
        <x:v>#NAME?</x:v>
      </x:c>
      <x:c r="Q348" s="146" t="e">
        <x:f>IF($A348="","",[1]!thsiFinD("ths_adjustment_nv_fund",Q$3,$A348))</x:f>
        <x:v>#NAME?</x:v>
      </x:c>
      <x:c r="R348" s="146" t="e">
        <x:f>IF($A348="","",[1]!thsiFinD("ths_adjustment_nv_fund",R$3,$A348))</x:f>
        <x:v>#NAME?</x:v>
      </x:c>
      <x:c r="S348" s="146" t="e">
        <x:f>IF($A348="","",[1]!thsiFinD("ths_adjustment_nv_fund",S$3,$A348))</x:f>
        <x:v>#NAME?</x:v>
      </x:c>
      <x:c r="T348" s="146" t="e">
        <x:f>IF($A348="","",[1]!thsiFinD("ths_adjustment_nv_fund",T$3,$A348))</x:f>
        <x:v>#NAME?</x:v>
      </x:c>
      <x:c r="U348" s="146" t="e">
        <x:f>IF($A348="","",[1]!thsiFinD("ths_adjustment_nv_fund",U$3,$A348))</x:f>
        <x:v>#NAME?</x:v>
      </x:c>
      <x:c r="V348" s="146" t="e">
        <x:f>IF($A348="","",[1]!thsiFinD("ths_adjustment_nv_fund",V$3,$A348))</x:f>
        <x:v>#NAME?</x:v>
      </x:c>
      <x:c r="W348" s="146" t="e">
        <x:f>IF($A348="","",[1]!thsiFinD("ths_adjustment_nv_fund",W$3,$A348))</x:f>
        <x:v>#NAME?</x:v>
      </x:c>
      <x:c r="X348" s="146" t="e">
        <x:f>IF($A348="","",[1]!thsiFinD("ths_adjustment_nv_fund",X$3,$A348))</x:f>
        <x:v>#NAME?</x:v>
      </x:c>
      <x:c r="Y348" s="146" t="e">
        <x:f>IF($A348="","",[1]!thsiFinD("ths_adjustment_nv_fund",Y$3,$A348))</x:f>
        <x:v>#NAME?</x:v>
      </x:c>
      <x:c r="Z348" s="146" t="e">
        <x:f>IF($A348="","",[1]!thsiFinD("ths_adjustment_nv_fund",Z$3,$A348))</x:f>
        <x:v>#NAME?</x:v>
      </x:c>
      <x:c r="AA348" s="146" t="e">
        <x:f>IF($A348="","",[1]!thsiFinD("ths_adjustment_nv_fund",AA$3,$A348))</x:f>
        <x:v>#NAME?</x:v>
      </x:c>
    </x:row>
    <x:row r="349">
      <x:c r="B349" s="146" t="e">
        <x:f>IF($A349="","",[1]!thsiFinD("ths_adjustment_nv_fund",B$3,$A349))</x:f>
        <x:v>#NAME?</x:v>
      </x:c>
      <x:c r="C349" s="146" t="e">
        <x:f>IF($A349="","",[1]!thsiFinD("ths_adjustment_nv_fund",C$3,$A349))</x:f>
        <x:v>#NAME?</x:v>
      </x:c>
      <x:c r="D349" s="146" t="e">
        <x:f>IF($A349="","",[1]!thsiFinD("ths_adjustment_nv_fund",D$3,$A349))</x:f>
        <x:v>#NAME?</x:v>
      </x:c>
      <x:c r="E349" s="146" t="e">
        <x:f>IF($A349="","",[1]!thsiFinD("ths_adjustment_nv_fund",E$3,$A349))</x:f>
        <x:v>#NAME?</x:v>
      </x:c>
      <x:c r="F349" s="146" t="e">
        <x:f>IF($A349="","",[1]!thsiFinD("ths_adjustment_nv_fund",F$3,$A349))</x:f>
        <x:v>#NAME?</x:v>
      </x:c>
      <x:c r="G349" s="146" t="e">
        <x:f>IF($A349="","",[1]!thsiFinD("ths_adjustment_nv_fund",G$3,$A349))</x:f>
        <x:v>#NAME?</x:v>
      </x:c>
      <x:c r="H349" s="146" t="e">
        <x:f>IF($A349="","",[1]!thsiFinD("ths_adjustment_nv_fund",H$3,$A349))</x:f>
        <x:v>#NAME?</x:v>
      </x:c>
      <x:c r="I349" s="146" t="e">
        <x:f>IF($A349="","",[1]!thsiFinD("ths_adjustment_nv_fund",I$3,$A349))</x:f>
        <x:v>#NAME?</x:v>
      </x:c>
      <x:c r="J349" s="146" t="e">
        <x:f>IF($A349="","",[1]!thsiFinD("ths_adjustment_nv_fund",J$3,$A349))</x:f>
        <x:v>#NAME?</x:v>
      </x:c>
      <x:c r="K349" s="146" t="e">
        <x:f>IF($A349="","",[1]!thsiFinD("ths_adjustment_nv_fund",K$3,$A349))</x:f>
        <x:v>#NAME?</x:v>
      </x:c>
      <x:c r="L349" s="146" t="e">
        <x:f>IF($A349="","",[1]!thsiFinD("ths_adjustment_nv_fund",L$3,$A349))</x:f>
        <x:v>#NAME?</x:v>
      </x:c>
      <x:c r="M349" s="146" t="e">
        <x:f>IF($A349="","",[1]!thsiFinD("ths_adjustment_nv_fund",M$3,$A349))</x:f>
        <x:v>#NAME?</x:v>
      </x:c>
      <x:c r="N349" s="146" t="e">
        <x:f>IF($A349="","",[1]!thsiFinD("ths_adjustment_nv_fund",N$3,$A349))</x:f>
        <x:v>#NAME?</x:v>
      </x:c>
      <x:c r="O349" s="146" t="e">
        <x:f>IF($A349="","",[1]!thsiFinD("ths_adjustment_nv_fund",O$3,$A349))</x:f>
        <x:v>#NAME?</x:v>
      </x:c>
      <x:c r="P349" s="146" t="e">
        <x:f>IF($A349="","",[1]!thsiFinD("ths_adjustment_nv_fund",P$3,$A349))</x:f>
        <x:v>#NAME?</x:v>
      </x:c>
      <x:c r="Q349" s="146" t="e">
        <x:f>IF($A349="","",[1]!thsiFinD("ths_adjustment_nv_fund",Q$3,$A349))</x:f>
        <x:v>#NAME?</x:v>
      </x:c>
      <x:c r="R349" s="146" t="e">
        <x:f>IF($A349="","",[1]!thsiFinD("ths_adjustment_nv_fund",R$3,$A349))</x:f>
        <x:v>#NAME?</x:v>
      </x:c>
      <x:c r="S349" s="146" t="e">
        <x:f>IF($A349="","",[1]!thsiFinD("ths_adjustment_nv_fund",S$3,$A349))</x:f>
        <x:v>#NAME?</x:v>
      </x:c>
      <x:c r="T349" s="146" t="e">
        <x:f>IF($A349="","",[1]!thsiFinD("ths_adjustment_nv_fund",T$3,$A349))</x:f>
        <x:v>#NAME?</x:v>
      </x:c>
      <x:c r="U349" s="146" t="e">
        <x:f>IF($A349="","",[1]!thsiFinD("ths_adjustment_nv_fund",U$3,$A349))</x:f>
        <x:v>#NAME?</x:v>
      </x:c>
      <x:c r="V349" s="146" t="e">
        <x:f>IF($A349="","",[1]!thsiFinD("ths_adjustment_nv_fund",V$3,$A349))</x:f>
        <x:v>#NAME?</x:v>
      </x:c>
      <x:c r="W349" s="146" t="e">
        <x:f>IF($A349="","",[1]!thsiFinD("ths_adjustment_nv_fund",W$3,$A349))</x:f>
        <x:v>#NAME?</x:v>
      </x:c>
      <x:c r="X349" s="146" t="e">
        <x:f>IF($A349="","",[1]!thsiFinD("ths_adjustment_nv_fund",X$3,$A349))</x:f>
        <x:v>#NAME?</x:v>
      </x:c>
      <x:c r="Y349" s="146" t="e">
        <x:f>IF($A349="","",[1]!thsiFinD("ths_adjustment_nv_fund",Y$3,$A349))</x:f>
        <x:v>#NAME?</x:v>
      </x:c>
      <x:c r="Z349" s="146" t="e">
        <x:f>IF($A349="","",[1]!thsiFinD("ths_adjustment_nv_fund",Z$3,$A349))</x:f>
        <x:v>#NAME?</x:v>
      </x:c>
      <x:c r="AA349" s="146" t="e">
        <x:f>IF($A349="","",[1]!thsiFinD("ths_adjustment_nv_fund",AA$3,$A349))</x:f>
        <x:v>#NAME?</x:v>
      </x:c>
    </x:row>
    <x:row r="350">
      <x:c r="B350" s="146" t="e">
        <x:f>IF($A350="","",[1]!thsiFinD("ths_adjustment_nv_fund",B$3,$A350))</x:f>
        <x:v>#NAME?</x:v>
      </x:c>
      <x:c r="C350" s="146" t="e">
        <x:f>IF($A350="","",[1]!thsiFinD("ths_adjustment_nv_fund",C$3,$A350))</x:f>
        <x:v>#NAME?</x:v>
      </x:c>
      <x:c r="D350" s="146" t="e">
        <x:f>IF($A350="","",[1]!thsiFinD("ths_adjustment_nv_fund",D$3,$A350))</x:f>
        <x:v>#NAME?</x:v>
      </x:c>
      <x:c r="E350" s="146" t="e">
        <x:f>IF($A350="","",[1]!thsiFinD("ths_adjustment_nv_fund",E$3,$A350))</x:f>
        <x:v>#NAME?</x:v>
      </x:c>
      <x:c r="F350" s="146" t="e">
        <x:f>IF($A350="","",[1]!thsiFinD("ths_adjustment_nv_fund",F$3,$A350))</x:f>
        <x:v>#NAME?</x:v>
      </x:c>
      <x:c r="G350" s="146" t="e">
        <x:f>IF($A350="","",[1]!thsiFinD("ths_adjustment_nv_fund",G$3,$A350))</x:f>
        <x:v>#NAME?</x:v>
      </x:c>
      <x:c r="H350" s="146" t="e">
        <x:f>IF($A350="","",[1]!thsiFinD("ths_adjustment_nv_fund",H$3,$A350))</x:f>
        <x:v>#NAME?</x:v>
      </x:c>
      <x:c r="I350" s="146" t="e">
        <x:f>IF($A350="","",[1]!thsiFinD("ths_adjustment_nv_fund",I$3,$A350))</x:f>
        <x:v>#NAME?</x:v>
      </x:c>
      <x:c r="J350" s="146" t="e">
        <x:f>IF($A350="","",[1]!thsiFinD("ths_adjustment_nv_fund",J$3,$A350))</x:f>
        <x:v>#NAME?</x:v>
      </x:c>
      <x:c r="K350" s="146" t="e">
        <x:f>IF($A350="","",[1]!thsiFinD("ths_adjustment_nv_fund",K$3,$A350))</x:f>
        <x:v>#NAME?</x:v>
      </x:c>
      <x:c r="L350" s="146" t="e">
        <x:f>IF($A350="","",[1]!thsiFinD("ths_adjustment_nv_fund",L$3,$A350))</x:f>
        <x:v>#NAME?</x:v>
      </x:c>
      <x:c r="M350" s="146" t="e">
        <x:f>IF($A350="","",[1]!thsiFinD("ths_adjustment_nv_fund",M$3,$A350))</x:f>
        <x:v>#NAME?</x:v>
      </x:c>
      <x:c r="N350" s="146" t="e">
        <x:f>IF($A350="","",[1]!thsiFinD("ths_adjustment_nv_fund",N$3,$A350))</x:f>
        <x:v>#NAME?</x:v>
      </x:c>
      <x:c r="O350" s="146" t="e">
        <x:f>IF($A350="","",[1]!thsiFinD("ths_adjustment_nv_fund",O$3,$A350))</x:f>
        <x:v>#NAME?</x:v>
      </x:c>
      <x:c r="P350" s="146" t="e">
        <x:f>IF($A350="","",[1]!thsiFinD("ths_adjustment_nv_fund",P$3,$A350))</x:f>
        <x:v>#NAME?</x:v>
      </x:c>
      <x:c r="Q350" s="146" t="e">
        <x:f>IF($A350="","",[1]!thsiFinD("ths_adjustment_nv_fund",Q$3,$A350))</x:f>
        <x:v>#NAME?</x:v>
      </x:c>
      <x:c r="R350" s="146" t="e">
        <x:f>IF($A350="","",[1]!thsiFinD("ths_adjustment_nv_fund",R$3,$A350))</x:f>
        <x:v>#NAME?</x:v>
      </x:c>
      <x:c r="S350" s="146" t="e">
        <x:f>IF($A350="","",[1]!thsiFinD("ths_adjustment_nv_fund",S$3,$A350))</x:f>
        <x:v>#NAME?</x:v>
      </x:c>
      <x:c r="T350" s="146" t="e">
        <x:f>IF($A350="","",[1]!thsiFinD("ths_adjustment_nv_fund",T$3,$A350))</x:f>
        <x:v>#NAME?</x:v>
      </x:c>
      <x:c r="U350" s="146" t="e">
        <x:f>IF($A350="","",[1]!thsiFinD("ths_adjustment_nv_fund",U$3,$A350))</x:f>
        <x:v>#NAME?</x:v>
      </x:c>
      <x:c r="V350" s="146" t="e">
        <x:f>IF($A350="","",[1]!thsiFinD("ths_adjustment_nv_fund",V$3,$A350))</x:f>
        <x:v>#NAME?</x:v>
      </x:c>
      <x:c r="W350" s="146" t="e">
        <x:f>IF($A350="","",[1]!thsiFinD("ths_adjustment_nv_fund",W$3,$A350))</x:f>
        <x:v>#NAME?</x:v>
      </x:c>
      <x:c r="X350" s="146" t="e">
        <x:f>IF($A350="","",[1]!thsiFinD("ths_adjustment_nv_fund",X$3,$A350))</x:f>
        <x:v>#NAME?</x:v>
      </x:c>
      <x:c r="Y350" s="146" t="e">
        <x:f>IF($A350="","",[1]!thsiFinD("ths_adjustment_nv_fund",Y$3,$A350))</x:f>
        <x:v>#NAME?</x:v>
      </x:c>
      <x:c r="Z350" s="146" t="e">
        <x:f>IF($A350="","",[1]!thsiFinD("ths_adjustment_nv_fund",Z$3,$A350))</x:f>
        <x:v>#NAME?</x:v>
      </x:c>
      <x:c r="AA350" s="146" t="e">
        <x:f>IF($A350="","",[1]!thsiFinD("ths_adjustment_nv_fund",AA$3,$A350))</x:f>
        <x:v>#NAME?</x:v>
      </x:c>
    </x:row>
    <x:row r="351">
      <x:c r="B351" s="146" t="e">
        <x:f>IF($A351="","",[1]!thsiFinD("ths_adjustment_nv_fund",B$3,$A351))</x:f>
        <x:v>#NAME?</x:v>
      </x:c>
      <x:c r="C351" s="146" t="e">
        <x:f>IF($A351="","",[1]!thsiFinD("ths_adjustment_nv_fund",C$3,$A351))</x:f>
        <x:v>#NAME?</x:v>
      </x:c>
      <x:c r="D351" s="146" t="e">
        <x:f>IF($A351="","",[1]!thsiFinD("ths_adjustment_nv_fund",D$3,$A351))</x:f>
        <x:v>#NAME?</x:v>
      </x:c>
      <x:c r="E351" s="146" t="e">
        <x:f>IF($A351="","",[1]!thsiFinD("ths_adjustment_nv_fund",E$3,$A351))</x:f>
        <x:v>#NAME?</x:v>
      </x:c>
      <x:c r="F351" s="146" t="e">
        <x:f>IF($A351="","",[1]!thsiFinD("ths_adjustment_nv_fund",F$3,$A351))</x:f>
        <x:v>#NAME?</x:v>
      </x:c>
      <x:c r="G351" s="146" t="e">
        <x:f>IF($A351="","",[1]!thsiFinD("ths_adjustment_nv_fund",G$3,$A351))</x:f>
        <x:v>#NAME?</x:v>
      </x:c>
      <x:c r="H351" s="146" t="e">
        <x:f>IF($A351="","",[1]!thsiFinD("ths_adjustment_nv_fund",H$3,$A351))</x:f>
        <x:v>#NAME?</x:v>
      </x:c>
      <x:c r="I351" s="146" t="e">
        <x:f>IF($A351="","",[1]!thsiFinD("ths_adjustment_nv_fund",I$3,$A351))</x:f>
        <x:v>#NAME?</x:v>
      </x:c>
      <x:c r="J351" s="146" t="e">
        <x:f>IF($A351="","",[1]!thsiFinD("ths_adjustment_nv_fund",J$3,$A351))</x:f>
        <x:v>#NAME?</x:v>
      </x:c>
      <x:c r="K351" s="146" t="e">
        <x:f>IF($A351="","",[1]!thsiFinD("ths_adjustment_nv_fund",K$3,$A351))</x:f>
        <x:v>#NAME?</x:v>
      </x:c>
      <x:c r="L351" s="146" t="e">
        <x:f>IF($A351="","",[1]!thsiFinD("ths_adjustment_nv_fund",L$3,$A351))</x:f>
        <x:v>#NAME?</x:v>
      </x:c>
      <x:c r="M351" s="146" t="e">
        <x:f>IF($A351="","",[1]!thsiFinD("ths_adjustment_nv_fund",M$3,$A351))</x:f>
        <x:v>#NAME?</x:v>
      </x:c>
      <x:c r="N351" s="146" t="e">
        <x:f>IF($A351="","",[1]!thsiFinD("ths_adjustment_nv_fund",N$3,$A351))</x:f>
        <x:v>#NAME?</x:v>
      </x:c>
      <x:c r="O351" s="146" t="e">
        <x:f>IF($A351="","",[1]!thsiFinD("ths_adjustment_nv_fund",O$3,$A351))</x:f>
        <x:v>#NAME?</x:v>
      </x:c>
      <x:c r="P351" s="146" t="e">
        <x:f>IF($A351="","",[1]!thsiFinD("ths_adjustment_nv_fund",P$3,$A351))</x:f>
        <x:v>#NAME?</x:v>
      </x:c>
      <x:c r="Q351" s="146" t="e">
        <x:f>IF($A351="","",[1]!thsiFinD("ths_adjustment_nv_fund",Q$3,$A351))</x:f>
        <x:v>#NAME?</x:v>
      </x:c>
      <x:c r="R351" s="146" t="e">
        <x:f>IF($A351="","",[1]!thsiFinD("ths_adjustment_nv_fund",R$3,$A351))</x:f>
        <x:v>#NAME?</x:v>
      </x:c>
      <x:c r="S351" s="146" t="e">
        <x:f>IF($A351="","",[1]!thsiFinD("ths_adjustment_nv_fund",S$3,$A351))</x:f>
        <x:v>#NAME?</x:v>
      </x:c>
      <x:c r="T351" s="146" t="e">
        <x:f>IF($A351="","",[1]!thsiFinD("ths_adjustment_nv_fund",T$3,$A351))</x:f>
        <x:v>#NAME?</x:v>
      </x:c>
      <x:c r="U351" s="146" t="e">
        <x:f>IF($A351="","",[1]!thsiFinD("ths_adjustment_nv_fund",U$3,$A351))</x:f>
        <x:v>#NAME?</x:v>
      </x:c>
      <x:c r="V351" s="146" t="e">
        <x:f>IF($A351="","",[1]!thsiFinD("ths_adjustment_nv_fund",V$3,$A351))</x:f>
        <x:v>#NAME?</x:v>
      </x:c>
      <x:c r="W351" s="146" t="e">
        <x:f>IF($A351="","",[1]!thsiFinD("ths_adjustment_nv_fund",W$3,$A351))</x:f>
        <x:v>#NAME?</x:v>
      </x:c>
      <x:c r="X351" s="146" t="e">
        <x:f>IF($A351="","",[1]!thsiFinD("ths_adjustment_nv_fund",X$3,$A351))</x:f>
        <x:v>#NAME?</x:v>
      </x:c>
      <x:c r="Y351" s="146" t="e">
        <x:f>IF($A351="","",[1]!thsiFinD("ths_adjustment_nv_fund",Y$3,$A351))</x:f>
        <x:v>#NAME?</x:v>
      </x:c>
      <x:c r="Z351" s="146" t="e">
        <x:f>IF($A351="","",[1]!thsiFinD("ths_adjustment_nv_fund",Z$3,$A351))</x:f>
        <x:v>#NAME?</x:v>
      </x:c>
      <x:c r="AA351" s="146" t="e">
        <x:f>IF($A351="","",[1]!thsiFinD("ths_adjustment_nv_fund",AA$3,$A351))</x:f>
        <x:v>#NAME?</x:v>
      </x:c>
    </x:row>
    <x:row r="352">
      <x:c r="B352" s="146" t="e">
        <x:f>IF($A352="","",[1]!thsiFinD("ths_adjustment_nv_fund",B$3,$A352))</x:f>
        <x:v>#NAME?</x:v>
      </x:c>
      <x:c r="C352" s="146" t="e">
        <x:f>IF($A352="","",[1]!thsiFinD("ths_adjustment_nv_fund",C$3,$A352))</x:f>
        <x:v>#NAME?</x:v>
      </x:c>
      <x:c r="D352" s="146" t="e">
        <x:f>IF($A352="","",[1]!thsiFinD("ths_adjustment_nv_fund",D$3,$A352))</x:f>
        <x:v>#NAME?</x:v>
      </x:c>
      <x:c r="E352" s="146" t="e">
        <x:f>IF($A352="","",[1]!thsiFinD("ths_adjustment_nv_fund",E$3,$A352))</x:f>
        <x:v>#NAME?</x:v>
      </x:c>
      <x:c r="F352" s="146" t="e">
        <x:f>IF($A352="","",[1]!thsiFinD("ths_adjustment_nv_fund",F$3,$A352))</x:f>
        <x:v>#NAME?</x:v>
      </x:c>
      <x:c r="G352" s="146" t="e">
        <x:f>IF($A352="","",[1]!thsiFinD("ths_adjustment_nv_fund",G$3,$A352))</x:f>
        <x:v>#NAME?</x:v>
      </x:c>
      <x:c r="H352" s="146" t="e">
        <x:f>IF($A352="","",[1]!thsiFinD("ths_adjustment_nv_fund",H$3,$A352))</x:f>
        <x:v>#NAME?</x:v>
      </x:c>
      <x:c r="I352" s="146" t="e">
        <x:f>IF($A352="","",[1]!thsiFinD("ths_adjustment_nv_fund",I$3,$A352))</x:f>
        <x:v>#NAME?</x:v>
      </x:c>
      <x:c r="J352" s="146" t="e">
        <x:f>IF($A352="","",[1]!thsiFinD("ths_adjustment_nv_fund",J$3,$A352))</x:f>
        <x:v>#NAME?</x:v>
      </x:c>
      <x:c r="K352" s="146" t="e">
        <x:f>IF($A352="","",[1]!thsiFinD("ths_adjustment_nv_fund",K$3,$A352))</x:f>
        <x:v>#NAME?</x:v>
      </x:c>
      <x:c r="L352" s="146" t="e">
        <x:f>IF($A352="","",[1]!thsiFinD("ths_adjustment_nv_fund",L$3,$A352))</x:f>
        <x:v>#NAME?</x:v>
      </x:c>
      <x:c r="M352" s="146" t="e">
        <x:f>IF($A352="","",[1]!thsiFinD("ths_adjustment_nv_fund",M$3,$A352))</x:f>
        <x:v>#NAME?</x:v>
      </x:c>
      <x:c r="N352" s="146" t="e">
        <x:f>IF($A352="","",[1]!thsiFinD("ths_adjustment_nv_fund",N$3,$A352))</x:f>
        <x:v>#NAME?</x:v>
      </x:c>
      <x:c r="O352" s="146" t="e">
        <x:f>IF($A352="","",[1]!thsiFinD("ths_adjustment_nv_fund",O$3,$A352))</x:f>
        <x:v>#NAME?</x:v>
      </x:c>
      <x:c r="P352" s="146" t="e">
        <x:f>IF($A352="","",[1]!thsiFinD("ths_adjustment_nv_fund",P$3,$A352))</x:f>
        <x:v>#NAME?</x:v>
      </x:c>
      <x:c r="Q352" s="146" t="e">
        <x:f>IF($A352="","",[1]!thsiFinD("ths_adjustment_nv_fund",Q$3,$A352))</x:f>
        <x:v>#NAME?</x:v>
      </x:c>
      <x:c r="R352" s="146" t="e">
        <x:f>IF($A352="","",[1]!thsiFinD("ths_adjustment_nv_fund",R$3,$A352))</x:f>
        <x:v>#NAME?</x:v>
      </x:c>
      <x:c r="S352" s="146" t="e">
        <x:f>IF($A352="","",[1]!thsiFinD("ths_adjustment_nv_fund",S$3,$A352))</x:f>
        <x:v>#NAME?</x:v>
      </x:c>
      <x:c r="T352" s="146" t="e">
        <x:f>IF($A352="","",[1]!thsiFinD("ths_adjustment_nv_fund",T$3,$A352))</x:f>
        <x:v>#NAME?</x:v>
      </x:c>
      <x:c r="U352" s="146" t="e">
        <x:f>IF($A352="","",[1]!thsiFinD("ths_adjustment_nv_fund",U$3,$A352))</x:f>
        <x:v>#NAME?</x:v>
      </x:c>
      <x:c r="V352" s="146" t="e">
        <x:f>IF($A352="","",[1]!thsiFinD("ths_adjustment_nv_fund",V$3,$A352))</x:f>
        <x:v>#NAME?</x:v>
      </x:c>
      <x:c r="W352" s="146" t="e">
        <x:f>IF($A352="","",[1]!thsiFinD("ths_adjustment_nv_fund",W$3,$A352))</x:f>
        <x:v>#NAME?</x:v>
      </x:c>
      <x:c r="X352" s="146" t="e">
        <x:f>IF($A352="","",[1]!thsiFinD("ths_adjustment_nv_fund",X$3,$A352))</x:f>
        <x:v>#NAME?</x:v>
      </x:c>
      <x:c r="Y352" s="146" t="e">
        <x:f>IF($A352="","",[1]!thsiFinD("ths_adjustment_nv_fund",Y$3,$A352))</x:f>
        <x:v>#NAME?</x:v>
      </x:c>
      <x:c r="Z352" s="146" t="e">
        <x:f>IF($A352="","",[1]!thsiFinD("ths_adjustment_nv_fund",Z$3,$A352))</x:f>
        <x:v>#NAME?</x:v>
      </x:c>
      <x:c r="AA352" s="146" t="e">
        <x:f>IF($A352="","",[1]!thsiFinD("ths_adjustment_nv_fund",AA$3,$A352))</x:f>
        <x:v>#NAME?</x:v>
      </x:c>
    </x:row>
    <x:row r="353">
      <x:c r="B353" s="146" t="e">
        <x:f>IF($A353="","",[1]!thsiFinD("ths_adjustment_nv_fund",B$3,$A353))</x:f>
        <x:v>#NAME?</x:v>
      </x:c>
      <x:c r="C353" s="146" t="e">
        <x:f>IF($A353="","",[1]!thsiFinD("ths_adjustment_nv_fund",C$3,$A353))</x:f>
        <x:v>#NAME?</x:v>
      </x:c>
      <x:c r="D353" s="146" t="e">
        <x:f>IF($A353="","",[1]!thsiFinD("ths_adjustment_nv_fund",D$3,$A353))</x:f>
        <x:v>#NAME?</x:v>
      </x:c>
      <x:c r="E353" s="146" t="e">
        <x:f>IF($A353="","",[1]!thsiFinD("ths_adjustment_nv_fund",E$3,$A353))</x:f>
        <x:v>#NAME?</x:v>
      </x:c>
      <x:c r="F353" s="146" t="e">
        <x:f>IF($A353="","",[1]!thsiFinD("ths_adjustment_nv_fund",F$3,$A353))</x:f>
        <x:v>#NAME?</x:v>
      </x:c>
      <x:c r="G353" s="146" t="e">
        <x:f>IF($A353="","",[1]!thsiFinD("ths_adjustment_nv_fund",G$3,$A353))</x:f>
        <x:v>#NAME?</x:v>
      </x:c>
      <x:c r="H353" s="146" t="e">
        <x:f>IF($A353="","",[1]!thsiFinD("ths_adjustment_nv_fund",H$3,$A353))</x:f>
        <x:v>#NAME?</x:v>
      </x:c>
      <x:c r="I353" s="146" t="e">
        <x:f>IF($A353="","",[1]!thsiFinD("ths_adjustment_nv_fund",I$3,$A353))</x:f>
        <x:v>#NAME?</x:v>
      </x:c>
      <x:c r="J353" s="146" t="e">
        <x:f>IF($A353="","",[1]!thsiFinD("ths_adjustment_nv_fund",J$3,$A353))</x:f>
        <x:v>#NAME?</x:v>
      </x:c>
      <x:c r="K353" s="146" t="e">
        <x:f>IF($A353="","",[1]!thsiFinD("ths_adjustment_nv_fund",K$3,$A353))</x:f>
        <x:v>#NAME?</x:v>
      </x:c>
      <x:c r="L353" s="146" t="e">
        <x:f>IF($A353="","",[1]!thsiFinD("ths_adjustment_nv_fund",L$3,$A353))</x:f>
        <x:v>#NAME?</x:v>
      </x:c>
      <x:c r="M353" s="146" t="e">
        <x:f>IF($A353="","",[1]!thsiFinD("ths_adjustment_nv_fund",M$3,$A353))</x:f>
        <x:v>#NAME?</x:v>
      </x:c>
      <x:c r="N353" s="146" t="e">
        <x:f>IF($A353="","",[1]!thsiFinD("ths_adjustment_nv_fund",N$3,$A353))</x:f>
        <x:v>#NAME?</x:v>
      </x:c>
      <x:c r="O353" s="146" t="e">
        <x:f>IF($A353="","",[1]!thsiFinD("ths_adjustment_nv_fund",O$3,$A353))</x:f>
        <x:v>#NAME?</x:v>
      </x:c>
      <x:c r="P353" s="146" t="e">
        <x:f>IF($A353="","",[1]!thsiFinD("ths_adjustment_nv_fund",P$3,$A353))</x:f>
        <x:v>#NAME?</x:v>
      </x:c>
      <x:c r="Q353" s="146" t="e">
        <x:f>IF($A353="","",[1]!thsiFinD("ths_adjustment_nv_fund",Q$3,$A353))</x:f>
        <x:v>#NAME?</x:v>
      </x:c>
      <x:c r="R353" s="146" t="e">
        <x:f>IF($A353="","",[1]!thsiFinD("ths_adjustment_nv_fund",R$3,$A353))</x:f>
        <x:v>#NAME?</x:v>
      </x:c>
      <x:c r="S353" s="146" t="e">
        <x:f>IF($A353="","",[1]!thsiFinD("ths_adjustment_nv_fund",S$3,$A353))</x:f>
        <x:v>#NAME?</x:v>
      </x:c>
      <x:c r="T353" s="146" t="e">
        <x:f>IF($A353="","",[1]!thsiFinD("ths_adjustment_nv_fund",T$3,$A353))</x:f>
        <x:v>#NAME?</x:v>
      </x:c>
      <x:c r="U353" s="146" t="e">
        <x:f>IF($A353="","",[1]!thsiFinD("ths_adjustment_nv_fund",U$3,$A353))</x:f>
        <x:v>#NAME?</x:v>
      </x:c>
      <x:c r="V353" s="146" t="e">
        <x:f>IF($A353="","",[1]!thsiFinD("ths_adjustment_nv_fund",V$3,$A353))</x:f>
        <x:v>#NAME?</x:v>
      </x:c>
      <x:c r="W353" s="146" t="e">
        <x:f>IF($A353="","",[1]!thsiFinD("ths_adjustment_nv_fund",W$3,$A353))</x:f>
        <x:v>#NAME?</x:v>
      </x:c>
      <x:c r="X353" s="146" t="e">
        <x:f>IF($A353="","",[1]!thsiFinD("ths_adjustment_nv_fund",X$3,$A353))</x:f>
        <x:v>#NAME?</x:v>
      </x:c>
      <x:c r="Y353" s="146" t="e">
        <x:f>IF($A353="","",[1]!thsiFinD("ths_adjustment_nv_fund",Y$3,$A353))</x:f>
        <x:v>#NAME?</x:v>
      </x:c>
      <x:c r="Z353" s="146" t="e">
        <x:f>IF($A353="","",[1]!thsiFinD("ths_adjustment_nv_fund",Z$3,$A353))</x:f>
        <x:v>#NAME?</x:v>
      </x:c>
      <x:c r="AA353" s="146" t="e">
        <x:f>IF($A353="","",[1]!thsiFinD("ths_adjustment_nv_fund",AA$3,$A353))</x:f>
        <x:v>#NAME?</x:v>
      </x:c>
    </x:row>
    <x:row r="354">
      <x:c r="B354" s="146" t="e">
        <x:f>IF($A354="","",[1]!thsiFinD("ths_adjustment_nv_fund",B$3,$A354))</x:f>
        <x:v>#NAME?</x:v>
      </x:c>
      <x:c r="C354" s="146" t="e">
        <x:f>IF($A354="","",[1]!thsiFinD("ths_adjustment_nv_fund",C$3,$A354))</x:f>
        <x:v>#NAME?</x:v>
      </x:c>
      <x:c r="D354" s="146" t="e">
        <x:f>IF($A354="","",[1]!thsiFinD("ths_adjustment_nv_fund",D$3,$A354))</x:f>
        <x:v>#NAME?</x:v>
      </x:c>
      <x:c r="E354" s="146" t="e">
        <x:f>IF($A354="","",[1]!thsiFinD("ths_adjustment_nv_fund",E$3,$A354))</x:f>
        <x:v>#NAME?</x:v>
      </x:c>
      <x:c r="F354" s="146" t="e">
        <x:f>IF($A354="","",[1]!thsiFinD("ths_adjustment_nv_fund",F$3,$A354))</x:f>
        <x:v>#NAME?</x:v>
      </x:c>
      <x:c r="G354" s="146" t="e">
        <x:f>IF($A354="","",[1]!thsiFinD("ths_adjustment_nv_fund",G$3,$A354))</x:f>
        <x:v>#NAME?</x:v>
      </x:c>
      <x:c r="H354" s="146" t="e">
        <x:f>IF($A354="","",[1]!thsiFinD("ths_adjustment_nv_fund",H$3,$A354))</x:f>
        <x:v>#NAME?</x:v>
      </x:c>
      <x:c r="I354" s="146" t="e">
        <x:f>IF($A354="","",[1]!thsiFinD("ths_adjustment_nv_fund",I$3,$A354))</x:f>
        <x:v>#NAME?</x:v>
      </x:c>
      <x:c r="J354" s="146" t="e">
        <x:f>IF($A354="","",[1]!thsiFinD("ths_adjustment_nv_fund",J$3,$A354))</x:f>
        <x:v>#NAME?</x:v>
      </x:c>
      <x:c r="K354" s="146" t="e">
        <x:f>IF($A354="","",[1]!thsiFinD("ths_adjustment_nv_fund",K$3,$A354))</x:f>
        <x:v>#NAME?</x:v>
      </x:c>
      <x:c r="L354" s="146" t="e">
        <x:f>IF($A354="","",[1]!thsiFinD("ths_adjustment_nv_fund",L$3,$A354))</x:f>
        <x:v>#NAME?</x:v>
      </x:c>
      <x:c r="M354" s="146" t="e">
        <x:f>IF($A354="","",[1]!thsiFinD("ths_adjustment_nv_fund",M$3,$A354))</x:f>
        <x:v>#NAME?</x:v>
      </x:c>
      <x:c r="N354" s="146" t="e">
        <x:f>IF($A354="","",[1]!thsiFinD("ths_adjustment_nv_fund",N$3,$A354))</x:f>
        <x:v>#NAME?</x:v>
      </x:c>
      <x:c r="O354" s="146" t="e">
        <x:f>IF($A354="","",[1]!thsiFinD("ths_adjustment_nv_fund",O$3,$A354))</x:f>
        <x:v>#NAME?</x:v>
      </x:c>
      <x:c r="P354" s="146" t="e">
        <x:f>IF($A354="","",[1]!thsiFinD("ths_adjustment_nv_fund",P$3,$A354))</x:f>
        <x:v>#NAME?</x:v>
      </x:c>
      <x:c r="Q354" s="146" t="e">
        <x:f>IF($A354="","",[1]!thsiFinD("ths_adjustment_nv_fund",Q$3,$A354))</x:f>
        <x:v>#NAME?</x:v>
      </x:c>
      <x:c r="R354" s="146" t="e">
        <x:f>IF($A354="","",[1]!thsiFinD("ths_adjustment_nv_fund",R$3,$A354))</x:f>
        <x:v>#NAME?</x:v>
      </x:c>
      <x:c r="S354" s="146" t="e">
        <x:f>IF($A354="","",[1]!thsiFinD("ths_adjustment_nv_fund",S$3,$A354))</x:f>
        <x:v>#NAME?</x:v>
      </x:c>
      <x:c r="T354" s="146" t="e">
        <x:f>IF($A354="","",[1]!thsiFinD("ths_adjustment_nv_fund",T$3,$A354))</x:f>
        <x:v>#NAME?</x:v>
      </x:c>
      <x:c r="U354" s="146" t="e">
        <x:f>IF($A354="","",[1]!thsiFinD("ths_adjustment_nv_fund",U$3,$A354))</x:f>
        <x:v>#NAME?</x:v>
      </x:c>
      <x:c r="V354" s="146" t="e">
        <x:f>IF($A354="","",[1]!thsiFinD("ths_adjustment_nv_fund",V$3,$A354))</x:f>
        <x:v>#NAME?</x:v>
      </x:c>
      <x:c r="W354" s="146" t="e">
        <x:f>IF($A354="","",[1]!thsiFinD("ths_adjustment_nv_fund",W$3,$A354))</x:f>
        <x:v>#NAME?</x:v>
      </x:c>
      <x:c r="X354" s="146" t="e">
        <x:f>IF($A354="","",[1]!thsiFinD("ths_adjustment_nv_fund",X$3,$A354))</x:f>
        <x:v>#NAME?</x:v>
      </x:c>
      <x:c r="Y354" s="146" t="e">
        <x:f>IF($A354="","",[1]!thsiFinD("ths_adjustment_nv_fund",Y$3,$A354))</x:f>
        <x:v>#NAME?</x:v>
      </x:c>
      <x:c r="Z354" s="146" t="e">
        <x:f>IF($A354="","",[1]!thsiFinD("ths_adjustment_nv_fund",Z$3,$A354))</x:f>
        <x:v>#NAME?</x:v>
      </x:c>
      <x:c r="AA354" s="146" t="e">
        <x:f>IF($A354="","",[1]!thsiFinD("ths_adjustment_nv_fund",AA$3,$A354))</x:f>
        <x:v>#NAME?</x:v>
      </x:c>
    </x:row>
    <x:row r="355">
      <x:c r="B355" s="146" t="e">
        <x:f>IF($A355="","",[1]!thsiFinD("ths_adjustment_nv_fund",B$3,$A355))</x:f>
        <x:v>#NAME?</x:v>
      </x:c>
      <x:c r="C355" s="146" t="e">
        <x:f>IF($A355="","",[1]!thsiFinD("ths_adjustment_nv_fund",C$3,$A355))</x:f>
        <x:v>#NAME?</x:v>
      </x:c>
      <x:c r="D355" s="146" t="e">
        <x:f>IF($A355="","",[1]!thsiFinD("ths_adjustment_nv_fund",D$3,$A355))</x:f>
        <x:v>#NAME?</x:v>
      </x:c>
      <x:c r="E355" s="146" t="e">
        <x:f>IF($A355="","",[1]!thsiFinD("ths_adjustment_nv_fund",E$3,$A355))</x:f>
        <x:v>#NAME?</x:v>
      </x:c>
      <x:c r="F355" s="146" t="e">
        <x:f>IF($A355="","",[1]!thsiFinD("ths_adjustment_nv_fund",F$3,$A355))</x:f>
        <x:v>#NAME?</x:v>
      </x:c>
      <x:c r="G355" s="146" t="e">
        <x:f>IF($A355="","",[1]!thsiFinD("ths_adjustment_nv_fund",G$3,$A355))</x:f>
        <x:v>#NAME?</x:v>
      </x:c>
      <x:c r="H355" s="146" t="e">
        <x:f>IF($A355="","",[1]!thsiFinD("ths_adjustment_nv_fund",H$3,$A355))</x:f>
        <x:v>#NAME?</x:v>
      </x:c>
      <x:c r="I355" s="146" t="e">
        <x:f>IF($A355="","",[1]!thsiFinD("ths_adjustment_nv_fund",I$3,$A355))</x:f>
        <x:v>#NAME?</x:v>
      </x:c>
      <x:c r="J355" s="146" t="e">
        <x:f>IF($A355="","",[1]!thsiFinD("ths_adjustment_nv_fund",J$3,$A355))</x:f>
        <x:v>#NAME?</x:v>
      </x:c>
      <x:c r="K355" s="146" t="e">
        <x:f>IF($A355="","",[1]!thsiFinD("ths_adjustment_nv_fund",K$3,$A355))</x:f>
        <x:v>#NAME?</x:v>
      </x:c>
      <x:c r="L355" s="146" t="e">
        <x:f>IF($A355="","",[1]!thsiFinD("ths_adjustment_nv_fund",L$3,$A355))</x:f>
        <x:v>#NAME?</x:v>
      </x:c>
      <x:c r="M355" s="146" t="e">
        <x:f>IF($A355="","",[1]!thsiFinD("ths_adjustment_nv_fund",M$3,$A355))</x:f>
        <x:v>#NAME?</x:v>
      </x:c>
      <x:c r="N355" s="146" t="e">
        <x:f>IF($A355="","",[1]!thsiFinD("ths_adjustment_nv_fund",N$3,$A355))</x:f>
        <x:v>#NAME?</x:v>
      </x:c>
      <x:c r="O355" s="146" t="e">
        <x:f>IF($A355="","",[1]!thsiFinD("ths_adjustment_nv_fund",O$3,$A355))</x:f>
        <x:v>#NAME?</x:v>
      </x:c>
      <x:c r="P355" s="146" t="e">
        <x:f>IF($A355="","",[1]!thsiFinD("ths_adjustment_nv_fund",P$3,$A355))</x:f>
        <x:v>#NAME?</x:v>
      </x:c>
      <x:c r="Q355" s="146" t="e">
        <x:f>IF($A355="","",[1]!thsiFinD("ths_adjustment_nv_fund",Q$3,$A355))</x:f>
        <x:v>#NAME?</x:v>
      </x:c>
      <x:c r="R355" s="146" t="e">
        <x:f>IF($A355="","",[1]!thsiFinD("ths_adjustment_nv_fund",R$3,$A355))</x:f>
        <x:v>#NAME?</x:v>
      </x:c>
      <x:c r="S355" s="146" t="e">
        <x:f>IF($A355="","",[1]!thsiFinD("ths_adjustment_nv_fund",S$3,$A355))</x:f>
        <x:v>#NAME?</x:v>
      </x:c>
      <x:c r="T355" s="146" t="e">
        <x:f>IF($A355="","",[1]!thsiFinD("ths_adjustment_nv_fund",T$3,$A355))</x:f>
        <x:v>#NAME?</x:v>
      </x:c>
      <x:c r="U355" s="146" t="e">
        <x:f>IF($A355="","",[1]!thsiFinD("ths_adjustment_nv_fund",U$3,$A355))</x:f>
        <x:v>#NAME?</x:v>
      </x:c>
      <x:c r="V355" s="146" t="e">
        <x:f>IF($A355="","",[1]!thsiFinD("ths_adjustment_nv_fund",V$3,$A355))</x:f>
        <x:v>#NAME?</x:v>
      </x:c>
      <x:c r="W355" s="146" t="e">
        <x:f>IF($A355="","",[1]!thsiFinD("ths_adjustment_nv_fund",W$3,$A355))</x:f>
        <x:v>#NAME?</x:v>
      </x:c>
      <x:c r="X355" s="146" t="e">
        <x:f>IF($A355="","",[1]!thsiFinD("ths_adjustment_nv_fund",X$3,$A355))</x:f>
        <x:v>#NAME?</x:v>
      </x:c>
      <x:c r="Y355" s="146" t="e">
        <x:f>IF($A355="","",[1]!thsiFinD("ths_adjustment_nv_fund",Y$3,$A355))</x:f>
        <x:v>#NAME?</x:v>
      </x:c>
      <x:c r="Z355" s="146" t="e">
        <x:f>IF($A355="","",[1]!thsiFinD("ths_adjustment_nv_fund",Z$3,$A355))</x:f>
        <x:v>#NAME?</x:v>
      </x:c>
      <x:c r="AA355" s="146" t="e">
        <x:f>IF($A355="","",[1]!thsiFinD("ths_adjustment_nv_fund",AA$3,$A355))</x:f>
        <x:v>#NAME?</x:v>
      </x:c>
    </x:row>
    <x:row r="356">
      <x:c r="B356" s="146" t="e">
        <x:f>IF($A356="","",[1]!thsiFinD("ths_adjustment_nv_fund",B$3,$A356))</x:f>
        <x:v>#NAME?</x:v>
      </x:c>
      <x:c r="C356" s="146" t="e">
        <x:f>IF($A356="","",[1]!thsiFinD("ths_adjustment_nv_fund",C$3,$A356))</x:f>
        <x:v>#NAME?</x:v>
      </x:c>
      <x:c r="D356" s="146" t="e">
        <x:f>IF($A356="","",[1]!thsiFinD("ths_adjustment_nv_fund",D$3,$A356))</x:f>
        <x:v>#NAME?</x:v>
      </x:c>
      <x:c r="E356" s="146" t="e">
        <x:f>IF($A356="","",[1]!thsiFinD("ths_adjustment_nv_fund",E$3,$A356))</x:f>
        <x:v>#NAME?</x:v>
      </x:c>
      <x:c r="F356" s="146" t="e">
        <x:f>IF($A356="","",[1]!thsiFinD("ths_adjustment_nv_fund",F$3,$A356))</x:f>
        <x:v>#NAME?</x:v>
      </x:c>
      <x:c r="G356" s="146" t="e">
        <x:f>IF($A356="","",[1]!thsiFinD("ths_adjustment_nv_fund",G$3,$A356))</x:f>
        <x:v>#NAME?</x:v>
      </x:c>
      <x:c r="H356" s="146" t="e">
        <x:f>IF($A356="","",[1]!thsiFinD("ths_adjustment_nv_fund",H$3,$A356))</x:f>
        <x:v>#NAME?</x:v>
      </x:c>
      <x:c r="I356" s="146" t="e">
        <x:f>IF($A356="","",[1]!thsiFinD("ths_adjustment_nv_fund",I$3,$A356))</x:f>
        <x:v>#NAME?</x:v>
      </x:c>
      <x:c r="J356" s="146" t="e">
        <x:f>IF($A356="","",[1]!thsiFinD("ths_adjustment_nv_fund",J$3,$A356))</x:f>
        <x:v>#NAME?</x:v>
      </x:c>
      <x:c r="K356" s="146" t="e">
        <x:f>IF($A356="","",[1]!thsiFinD("ths_adjustment_nv_fund",K$3,$A356))</x:f>
        <x:v>#NAME?</x:v>
      </x:c>
      <x:c r="L356" s="146" t="e">
        <x:f>IF($A356="","",[1]!thsiFinD("ths_adjustment_nv_fund",L$3,$A356))</x:f>
        <x:v>#NAME?</x:v>
      </x:c>
      <x:c r="M356" s="146" t="e">
        <x:f>IF($A356="","",[1]!thsiFinD("ths_adjustment_nv_fund",M$3,$A356))</x:f>
        <x:v>#NAME?</x:v>
      </x:c>
      <x:c r="N356" s="146" t="e">
        <x:f>IF($A356="","",[1]!thsiFinD("ths_adjustment_nv_fund",N$3,$A356))</x:f>
        <x:v>#NAME?</x:v>
      </x:c>
      <x:c r="O356" s="146" t="e">
        <x:f>IF($A356="","",[1]!thsiFinD("ths_adjustment_nv_fund",O$3,$A356))</x:f>
        <x:v>#NAME?</x:v>
      </x:c>
      <x:c r="P356" s="146" t="e">
        <x:f>IF($A356="","",[1]!thsiFinD("ths_adjustment_nv_fund",P$3,$A356))</x:f>
        <x:v>#NAME?</x:v>
      </x:c>
      <x:c r="Q356" s="146" t="e">
        <x:f>IF($A356="","",[1]!thsiFinD("ths_adjustment_nv_fund",Q$3,$A356))</x:f>
        <x:v>#NAME?</x:v>
      </x:c>
      <x:c r="R356" s="146" t="e">
        <x:f>IF($A356="","",[1]!thsiFinD("ths_adjustment_nv_fund",R$3,$A356))</x:f>
        <x:v>#NAME?</x:v>
      </x:c>
      <x:c r="S356" s="146" t="e">
        <x:f>IF($A356="","",[1]!thsiFinD("ths_adjustment_nv_fund",S$3,$A356))</x:f>
        <x:v>#NAME?</x:v>
      </x:c>
      <x:c r="T356" s="146" t="e">
        <x:f>IF($A356="","",[1]!thsiFinD("ths_adjustment_nv_fund",T$3,$A356))</x:f>
        <x:v>#NAME?</x:v>
      </x:c>
      <x:c r="U356" s="146" t="e">
        <x:f>IF($A356="","",[1]!thsiFinD("ths_adjustment_nv_fund",U$3,$A356))</x:f>
        <x:v>#NAME?</x:v>
      </x:c>
      <x:c r="V356" s="146" t="e">
        <x:f>IF($A356="","",[1]!thsiFinD("ths_adjustment_nv_fund",V$3,$A356))</x:f>
        <x:v>#NAME?</x:v>
      </x:c>
      <x:c r="W356" s="146" t="e">
        <x:f>IF($A356="","",[1]!thsiFinD("ths_adjustment_nv_fund",W$3,$A356))</x:f>
        <x:v>#NAME?</x:v>
      </x:c>
      <x:c r="X356" s="146" t="e">
        <x:f>IF($A356="","",[1]!thsiFinD("ths_adjustment_nv_fund",X$3,$A356))</x:f>
        <x:v>#NAME?</x:v>
      </x:c>
      <x:c r="Y356" s="146" t="e">
        <x:f>IF($A356="","",[1]!thsiFinD("ths_adjustment_nv_fund",Y$3,$A356))</x:f>
        <x:v>#NAME?</x:v>
      </x:c>
      <x:c r="Z356" s="146" t="e">
        <x:f>IF($A356="","",[1]!thsiFinD("ths_adjustment_nv_fund",Z$3,$A356))</x:f>
        <x:v>#NAME?</x:v>
      </x:c>
      <x:c r="AA356" s="146" t="e">
        <x:f>IF($A356="","",[1]!thsiFinD("ths_adjustment_nv_fund",AA$3,$A356))</x:f>
        <x:v>#NAME?</x:v>
      </x:c>
    </x:row>
    <x:row r="357">
      <x:c r="B357" s="146" t="e">
        <x:f>IF($A357="","",[1]!thsiFinD("ths_adjustment_nv_fund",B$3,$A357))</x:f>
        <x:v>#NAME?</x:v>
      </x:c>
      <x:c r="C357" s="146" t="e">
        <x:f>IF($A357="","",[1]!thsiFinD("ths_adjustment_nv_fund",C$3,$A357))</x:f>
        <x:v>#NAME?</x:v>
      </x:c>
      <x:c r="D357" s="146" t="e">
        <x:f>IF($A357="","",[1]!thsiFinD("ths_adjustment_nv_fund",D$3,$A357))</x:f>
        <x:v>#NAME?</x:v>
      </x:c>
      <x:c r="E357" s="146" t="e">
        <x:f>IF($A357="","",[1]!thsiFinD("ths_adjustment_nv_fund",E$3,$A357))</x:f>
        <x:v>#NAME?</x:v>
      </x:c>
      <x:c r="F357" s="146" t="e">
        <x:f>IF($A357="","",[1]!thsiFinD("ths_adjustment_nv_fund",F$3,$A357))</x:f>
        <x:v>#NAME?</x:v>
      </x:c>
      <x:c r="G357" s="146" t="e">
        <x:f>IF($A357="","",[1]!thsiFinD("ths_adjustment_nv_fund",G$3,$A357))</x:f>
        <x:v>#NAME?</x:v>
      </x:c>
      <x:c r="H357" s="146" t="e">
        <x:f>IF($A357="","",[1]!thsiFinD("ths_adjustment_nv_fund",H$3,$A357))</x:f>
        <x:v>#NAME?</x:v>
      </x:c>
      <x:c r="I357" s="146" t="e">
        <x:f>IF($A357="","",[1]!thsiFinD("ths_adjustment_nv_fund",I$3,$A357))</x:f>
        <x:v>#NAME?</x:v>
      </x:c>
      <x:c r="J357" s="146" t="e">
        <x:f>IF($A357="","",[1]!thsiFinD("ths_adjustment_nv_fund",J$3,$A357))</x:f>
        <x:v>#NAME?</x:v>
      </x:c>
      <x:c r="K357" s="146" t="e">
        <x:f>IF($A357="","",[1]!thsiFinD("ths_adjustment_nv_fund",K$3,$A357))</x:f>
        <x:v>#NAME?</x:v>
      </x:c>
      <x:c r="L357" s="146" t="e">
        <x:f>IF($A357="","",[1]!thsiFinD("ths_adjustment_nv_fund",L$3,$A357))</x:f>
        <x:v>#NAME?</x:v>
      </x:c>
      <x:c r="M357" s="146" t="e">
        <x:f>IF($A357="","",[1]!thsiFinD("ths_adjustment_nv_fund",M$3,$A357))</x:f>
        <x:v>#NAME?</x:v>
      </x:c>
      <x:c r="N357" s="146" t="e">
        <x:f>IF($A357="","",[1]!thsiFinD("ths_adjustment_nv_fund",N$3,$A357))</x:f>
        <x:v>#NAME?</x:v>
      </x:c>
      <x:c r="O357" s="146" t="e">
        <x:f>IF($A357="","",[1]!thsiFinD("ths_adjustment_nv_fund",O$3,$A357))</x:f>
        <x:v>#NAME?</x:v>
      </x:c>
      <x:c r="P357" s="146" t="e">
        <x:f>IF($A357="","",[1]!thsiFinD("ths_adjustment_nv_fund",P$3,$A357))</x:f>
        <x:v>#NAME?</x:v>
      </x:c>
      <x:c r="Q357" s="146" t="e">
        <x:f>IF($A357="","",[1]!thsiFinD("ths_adjustment_nv_fund",Q$3,$A357))</x:f>
        <x:v>#NAME?</x:v>
      </x:c>
      <x:c r="R357" s="146" t="e">
        <x:f>IF($A357="","",[1]!thsiFinD("ths_adjustment_nv_fund",R$3,$A357))</x:f>
        <x:v>#NAME?</x:v>
      </x:c>
      <x:c r="S357" s="146" t="e">
        <x:f>IF($A357="","",[1]!thsiFinD("ths_adjustment_nv_fund",S$3,$A357))</x:f>
        <x:v>#NAME?</x:v>
      </x:c>
      <x:c r="T357" s="146" t="e">
        <x:f>IF($A357="","",[1]!thsiFinD("ths_adjustment_nv_fund",T$3,$A357))</x:f>
        <x:v>#NAME?</x:v>
      </x:c>
      <x:c r="U357" s="146" t="e">
        <x:f>IF($A357="","",[1]!thsiFinD("ths_adjustment_nv_fund",U$3,$A357))</x:f>
        <x:v>#NAME?</x:v>
      </x:c>
      <x:c r="V357" s="146" t="e">
        <x:f>IF($A357="","",[1]!thsiFinD("ths_adjustment_nv_fund",V$3,$A357))</x:f>
        <x:v>#NAME?</x:v>
      </x:c>
      <x:c r="W357" s="146" t="e">
        <x:f>IF($A357="","",[1]!thsiFinD("ths_adjustment_nv_fund",W$3,$A357))</x:f>
        <x:v>#NAME?</x:v>
      </x:c>
      <x:c r="X357" s="146" t="e">
        <x:f>IF($A357="","",[1]!thsiFinD("ths_adjustment_nv_fund",X$3,$A357))</x:f>
        <x:v>#NAME?</x:v>
      </x:c>
      <x:c r="Y357" s="146" t="e">
        <x:f>IF($A357="","",[1]!thsiFinD("ths_adjustment_nv_fund",Y$3,$A357))</x:f>
        <x:v>#NAME?</x:v>
      </x:c>
      <x:c r="Z357" s="146" t="e">
        <x:f>IF($A357="","",[1]!thsiFinD("ths_adjustment_nv_fund",Z$3,$A357))</x:f>
        <x:v>#NAME?</x:v>
      </x:c>
      <x:c r="AA357" s="146" t="e">
        <x:f>IF($A357="","",[1]!thsiFinD("ths_adjustment_nv_fund",AA$3,$A357))</x:f>
        <x:v>#NAME?</x:v>
      </x:c>
    </x:row>
    <x:row r="358">
      <x:c r="B358" s="146" t="e">
        <x:f>IF($A358="","",[1]!thsiFinD("ths_adjustment_nv_fund",B$3,$A358))</x:f>
        <x:v>#NAME?</x:v>
      </x:c>
      <x:c r="C358" s="146" t="e">
        <x:f>IF($A358="","",[1]!thsiFinD("ths_adjustment_nv_fund",C$3,$A358))</x:f>
        <x:v>#NAME?</x:v>
      </x:c>
      <x:c r="D358" s="146" t="e">
        <x:f>IF($A358="","",[1]!thsiFinD("ths_adjustment_nv_fund",D$3,$A358))</x:f>
        <x:v>#NAME?</x:v>
      </x:c>
      <x:c r="E358" s="146" t="e">
        <x:f>IF($A358="","",[1]!thsiFinD("ths_adjustment_nv_fund",E$3,$A358))</x:f>
        <x:v>#NAME?</x:v>
      </x:c>
      <x:c r="F358" s="146" t="e">
        <x:f>IF($A358="","",[1]!thsiFinD("ths_adjustment_nv_fund",F$3,$A358))</x:f>
        <x:v>#NAME?</x:v>
      </x:c>
      <x:c r="G358" s="146" t="e">
        <x:f>IF($A358="","",[1]!thsiFinD("ths_adjustment_nv_fund",G$3,$A358))</x:f>
        <x:v>#NAME?</x:v>
      </x:c>
      <x:c r="H358" s="146" t="e">
        <x:f>IF($A358="","",[1]!thsiFinD("ths_adjustment_nv_fund",H$3,$A358))</x:f>
        <x:v>#NAME?</x:v>
      </x:c>
      <x:c r="I358" s="146" t="e">
        <x:f>IF($A358="","",[1]!thsiFinD("ths_adjustment_nv_fund",I$3,$A358))</x:f>
        <x:v>#NAME?</x:v>
      </x:c>
      <x:c r="J358" s="146" t="e">
        <x:f>IF($A358="","",[1]!thsiFinD("ths_adjustment_nv_fund",J$3,$A358))</x:f>
        <x:v>#NAME?</x:v>
      </x:c>
      <x:c r="K358" s="146" t="e">
        <x:f>IF($A358="","",[1]!thsiFinD("ths_adjustment_nv_fund",K$3,$A358))</x:f>
        <x:v>#NAME?</x:v>
      </x:c>
      <x:c r="L358" s="146" t="e">
        <x:f>IF($A358="","",[1]!thsiFinD("ths_adjustment_nv_fund",L$3,$A358))</x:f>
        <x:v>#NAME?</x:v>
      </x:c>
      <x:c r="M358" s="146" t="e">
        <x:f>IF($A358="","",[1]!thsiFinD("ths_adjustment_nv_fund",M$3,$A358))</x:f>
        <x:v>#NAME?</x:v>
      </x:c>
      <x:c r="N358" s="146" t="e">
        <x:f>IF($A358="","",[1]!thsiFinD("ths_adjustment_nv_fund",N$3,$A358))</x:f>
        <x:v>#NAME?</x:v>
      </x:c>
      <x:c r="O358" s="146" t="e">
        <x:f>IF($A358="","",[1]!thsiFinD("ths_adjustment_nv_fund",O$3,$A358))</x:f>
        <x:v>#NAME?</x:v>
      </x:c>
      <x:c r="P358" s="146" t="e">
        <x:f>IF($A358="","",[1]!thsiFinD("ths_adjustment_nv_fund",P$3,$A358))</x:f>
        <x:v>#NAME?</x:v>
      </x:c>
      <x:c r="Q358" s="146" t="e">
        <x:f>IF($A358="","",[1]!thsiFinD("ths_adjustment_nv_fund",Q$3,$A358))</x:f>
        <x:v>#NAME?</x:v>
      </x:c>
      <x:c r="R358" s="146" t="e">
        <x:f>IF($A358="","",[1]!thsiFinD("ths_adjustment_nv_fund",R$3,$A358))</x:f>
        <x:v>#NAME?</x:v>
      </x:c>
      <x:c r="S358" s="146" t="e">
        <x:f>IF($A358="","",[1]!thsiFinD("ths_adjustment_nv_fund",S$3,$A358))</x:f>
        <x:v>#NAME?</x:v>
      </x:c>
      <x:c r="T358" s="146" t="e">
        <x:f>IF($A358="","",[1]!thsiFinD("ths_adjustment_nv_fund",T$3,$A358))</x:f>
        <x:v>#NAME?</x:v>
      </x:c>
      <x:c r="U358" s="146" t="e">
        <x:f>IF($A358="","",[1]!thsiFinD("ths_adjustment_nv_fund",U$3,$A358))</x:f>
        <x:v>#NAME?</x:v>
      </x:c>
      <x:c r="V358" s="146" t="e">
        <x:f>IF($A358="","",[1]!thsiFinD("ths_adjustment_nv_fund",V$3,$A358))</x:f>
        <x:v>#NAME?</x:v>
      </x:c>
      <x:c r="W358" s="146" t="e">
        <x:f>IF($A358="","",[1]!thsiFinD("ths_adjustment_nv_fund",W$3,$A358))</x:f>
        <x:v>#NAME?</x:v>
      </x:c>
      <x:c r="X358" s="146" t="e">
        <x:f>IF($A358="","",[1]!thsiFinD("ths_adjustment_nv_fund",X$3,$A358))</x:f>
        <x:v>#NAME?</x:v>
      </x:c>
      <x:c r="Y358" s="146" t="e">
        <x:f>IF($A358="","",[1]!thsiFinD("ths_adjustment_nv_fund",Y$3,$A358))</x:f>
        <x:v>#NAME?</x:v>
      </x:c>
      <x:c r="Z358" s="146" t="e">
        <x:f>IF($A358="","",[1]!thsiFinD("ths_adjustment_nv_fund",Z$3,$A358))</x:f>
        <x:v>#NAME?</x:v>
      </x:c>
      <x:c r="AA358" s="146" t="e">
        <x:f>IF($A358="","",[1]!thsiFinD("ths_adjustment_nv_fund",AA$3,$A358))</x:f>
        <x:v>#NAME?</x:v>
      </x:c>
    </x:row>
    <x:row r="359">
      <x:c r="B359" s="146" t="e">
        <x:f>IF($A359="","",[1]!thsiFinD("ths_adjustment_nv_fund",B$3,$A359))</x:f>
        <x:v>#NAME?</x:v>
      </x:c>
      <x:c r="C359" s="146" t="e">
        <x:f>IF($A359="","",[1]!thsiFinD("ths_adjustment_nv_fund",C$3,$A359))</x:f>
        <x:v>#NAME?</x:v>
      </x:c>
      <x:c r="D359" s="146" t="e">
        <x:f>IF($A359="","",[1]!thsiFinD("ths_adjustment_nv_fund",D$3,$A359))</x:f>
        <x:v>#NAME?</x:v>
      </x:c>
      <x:c r="E359" s="146" t="e">
        <x:f>IF($A359="","",[1]!thsiFinD("ths_adjustment_nv_fund",E$3,$A359))</x:f>
        <x:v>#NAME?</x:v>
      </x:c>
      <x:c r="F359" s="146" t="e">
        <x:f>IF($A359="","",[1]!thsiFinD("ths_adjustment_nv_fund",F$3,$A359))</x:f>
        <x:v>#NAME?</x:v>
      </x:c>
      <x:c r="G359" s="146" t="e">
        <x:f>IF($A359="","",[1]!thsiFinD("ths_adjustment_nv_fund",G$3,$A359))</x:f>
        <x:v>#NAME?</x:v>
      </x:c>
      <x:c r="H359" s="146" t="e">
        <x:f>IF($A359="","",[1]!thsiFinD("ths_adjustment_nv_fund",H$3,$A359))</x:f>
        <x:v>#NAME?</x:v>
      </x:c>
      <x:c r="I359" s="146" t="e">
        <x:f>IF($A359="","",[1]!thsiFinD("ths_adjustment_nv_fund",I$3,$A359))</x:f>
        <x:v>#NAME?</x:v>
      </x:c>
      <x:c r="J359" s="146" t="e">
        <x:f>IF($A359="","",[1]!thsiFinD("ths_adjustment_nv_fund",J$3,$A359))</x:f>
        <x:v>#NAME?</x:v>
      </x:c>
      <x:c r="K359" s="146" t="e">
        <x:f>IF($A359="","",[1]!thsiFinD("ths_adjustment_nv_fund",K$3,$A359))</x:f>
        <x:v>#NAME?</x:v>
      </x:c>
      <x:c r="L359" s="146" t="e">
        <x:f>IF($A359="","",[1]!thsiFinD("ths_adjustment_nv_fund",L$3,$A359))</x:f>
        <x:v>#NAME?</x:v>
      </x:c>
      <x:c r="M359" s="146" t="e">
        <x:f>IF($A359="","",[1]!thsiFinD("ths_adjustment_nv_fund",M$3,$A359))</x:f>
        <x:v>#NAME?</x:v>
      </x:c>
      <x:c r="N359" s="146" t="e">
        <x:f>IF($A359="","",[1]!thsiFinD("ths_adjustment_nv_fund",N$3,$A359))</x:f>
        <x:v>#NAME?</x:v>
      </x:c>
      <x:c r="O359" s="146" t="e">
        <x:f>IF($A359="","",[1]!thsiFinD("ths_adjustment_nv_fund",O$3,$A359))</x:f>
        <x:v>#NAME?</x:v>
      </x:c>
      <x:c r="P359" s="146" t="e">
        <x:f>IF($A359="","",[1]!thsiFinD("ths_adjustment_nv_fund",P$3,$A359))</x:f>
        <x:v>#NAME?</x:v>
      </x:c>
      <x:c r="Q359" s="146" t="e">
        <x:f>IF($A359="","",[1]!thsiFinD("ths_adjustment_nv_fund",Q$3,$A359))</x:f>
        <x:v>#NAME?</x:v>
      </x:c>
      <x:c r="R359" s="146" t="e">
        <x:f>IF($A359="","",[1]!thsiFinD("ths_adjustment_nv_fund",R$3,$A359))</x:f>
        <x:v>#NAME?</x:v>
      </x:c>
      <x:c r="S359" s="146" t="e">
        <x:f>IF($A359="","",[1]!thsiFinD("ths_adjustment_nv_fund",S$3,$A359))</x:f>
        <x:v>#NAME?</x:v>
      </x:c>
      <x:c r="T359" s="146" t="e">
        <x:f>IF($A359="","",[1]!thsiFinD("ths_adjustment_nv_fund",T$3,$A359))</x:f>
        <x:v>#NAME?</x:v>
      </x:c>
      <x:c r="U359" s="146" t="e">
        <x:f>IF($A359="","",[1]!thsiFinD("ths_adjustment_nv_fund",U$3,$A359))</x:f>
        <x:v>#NAME?</x:v>
      </x:c>
      <x:c r="V359" s="146" t="e">
        <x:f>IF($A359="","",[1]!thsiFinD("ths_adjustment_nv_fund",V$3,$A359))</x:f>
        <x:v>#NAME?</x:v>
      </x:c>
      <x:c r="W359" s="146" t="e">
        <x:f>IF($A359="","",[1]!thsiFinD("ths_adjustment_nv_fund",W$3,$A359))</x:f>
        <x:v>#NAME?</x:v>
      </x:c>
      <x:c r="X359" s="146" t="e">
        <x:f>IF($A359="","",[1]!thsiFinD("ths_adjustment_nv_fund",X$3,$A359))</x:f>
        <x:v>#NAME?</x:v>
      </x:c>
      <x:c r="Y359" s="146" t="e">
        <x:f>IF($A359="","",[1]!thsiFinD("ths_adjustment_nv_fund",Y$3,$A359))</x:f>
        <x:v>#NAME?</x:v>
      </x:c>
      <x:c r="Z359" s="146" t="e">
        <x:f>IF($A359="","",[1]!thsiFinD("ths_adjustment_nv_fund",Z$3,$A359))</x:f>
        <x:v>#NAME?</x:v>
      </x:c>
      <x:c r="AA359" s="146" t="e">
        <x:f>IF($A359="","",[1]!thsiFinD("ths_adjustment_nv_fund",AA$3,$A359))</x:f>
        <x:v>#NAME?</x:v>
      </x:c>
    </x:row>
    <x:row r="360">
      <x:c r="B360" s="146" t="e">
        <x:f>IF($A360="","",[1]!thsiFinD("ths_adjustment_nv_fund",B$3,$A360))</x:f>
        <x:v>#NAME?</x:v>
      </x:c>
      <x:c r="C360" s="146" t="e">
        <x:f>IF($A360="","",[1]!thsiFinD("ths_adjustment_nv_fund",C$3,$A360))</x:f>
        <x:v>#NAME?</x:v>
      </x:c>
      <x:c r="D360" s="146" t="e">
        <x:f>IF($A360="","",[1]!thsiFinD("ths_adjustment_nv_fund",D$3,$A360))</x:f>
        <x:v>#NAME?</x:v>
      </x:c>
      <x:c r="E360" s="146" t="e">
        <x:f>IF($A360="","",[1]!thsiFinD("ths_adjustment_nv_fund",E$3,$A360))</x:f>
        <x:v>#NAME?</x:v>
      </x:c>
      <x:c r="F360" s="146" t="e">
        <x:f>IF($A360="","",[1]!thsiFinD("ths_adjustment_nv_fund",F$3,$A360))</x:f>
        <x:v>#NAME?</x:v>
      </x:c>
      <x:c r="G360" s="146" t="e">
        <x:f>IF($A360="","",[1]!thsiFinD("ths_adjustment_nv_fund",G$3,$A360))</x:f>
        <x:v>#NAME?</x:v>
      </x:c>
      <x:c r="H360" s="146" t="e">
        <x:f>IF($A360="","",[1]!thsiFinD("ths_adjustment_nv_fund",H$3,$A360))</x:f>
        <x:v>#NAME?</x:v>
      </x:c>
      <x:c r="I360" s="146" t="e">
        <x:f>IF($A360="","",[1]!thsiFinD("ths_adjustment_nv_fund",I$3,$A360))</x:f>
        <x:v>#NAME?</x:v>
      </x:c>
      <x:c r="J360" s="146" t="e">
        <x:f>IF($A360="","",[1]!thsiFinD("ths_adjustment_nv_fund",J$3,$A360))</x:f>
        <x:v>#NAME?</x:v>
      </x:c>
      <x:c r="K360" s="146" t="e">
        <x:f>IF($A360="","",[1]!thsiFinD("ths_adjustment_nv_fund",K$3,$A360))</x:f>
        <x:v>#NAME?</x:v>
      </x:c>
      <x:c r="L360" s="146" t="e">
        <x:f>IF($A360="","",[1]!thsiFinD("ths_adjustment_nv_fund",L$3,$A360))</x:f>
        <x:v>#NAME?</x:v>
      </x:c>
      <x:c r="M360" s="146" t="e">
        <x:f>IF($A360="","",[1]!thsiFinD("ths_adjustment_nv_fund",M$3,$A360))</x:f>
        <x:v>#NAME?</x:v>
      </x:c>
      <x:c r="N360" s="146" t="e">
        <x:f>IF($A360="","",[1]!thsiFinD("ths_adjustment_nv_fund",N$3,$A360))</x:f>
        <x:v>#NAME?</x:v>
      </x:c>
      <x:c r="O360" s="146" t="e">
        <x:f>IF($A360="","",[1]!thsiFinD("ths_adjustment_nv_fund",O$3,$A360))</x:f>
        <x:v>#NAME?</x:v>
      </x:c>
      <x:c r="P360" s="146" t="e">
        <x:f>IF($A360="","",[1]!thsiFinD("ths_adjustment_nv_fund",P$3,$A360))</x:f>
        <x:v>#NAME?</x:v>
      </x:c>
      <x:c r="Q360" s="146" t="e">
        <x:f>IF($A360="","",[1]!thsiFinD("ths_adjustment_nv_fund",Q$3,$A360))</x:f>
        <x:v>#NAME?</x:v>
      </x:c>
      <x:c r="R360" s="146" t="e">
        <x:f>IF($A360="","",[1]!thsiFinD("ths_adjustment_nv_fund",R$3,$A360))</x:f>
        <x:v>#NAME?</x:v>
      </x:c>
      <x:c r="S360" s="146" t="e">
        <x:f>IF($A360="","",[1]!thsiFinD("ths_adjustment_nv_fund",S$3,$A360))</x:f>
        <x:v>#NAME?</x:v>
      </x:c>
      <x:c r="T360" s="146" t="e">
        <x:f>IF($A360="","",[1]!thsiFinD("ths_adjustment_nv_fund",T$3,$A360))</x:f>
        <x:v>#NAME?</x:v>
      </x:c>
      <x:c r="U360" s="146" t="e">
        <x:f>IF($A360="","",[1]!thsiFinD("ths_adjustment_nv_fund",U$3,$A360))</x:f>
        <x:v>#NAME?</x:v>
      </x:c>
      <x:c r="V360" s="146" t="e">
        <x:f>IF($A360="","",[1]!thsiFinD("ths_adjustment_nv_fund",V$3,$A360))</x:f>
        <x:v>#NAME?</x:v>
      </x:c>
      <x:c r="W360" s="146" t="e">
        <x:f>IF($A360="","",[1]!thsiFinD("ths_adjustment_nv_fund",W$3,$A360))</x:f>
        <x:v>#NAME?</x:v>
      </x:c>
      <x:c r="X360" s="146" t="e">
        <x:f>IF($A360="","",[1]!thsiFinD("ths_adjustment_nv_fund",X$3,$A360))</x:f>
        <x:v>#NAME?</x:v>
      </x:c>
      <x:c r="Y360" s="146" t="e">
        <x:f>IF($A360="","",[1]!thsiFinD("ths_adjustment_nv_fund",Y$3,$A360))</x:f>
        <x:v>#NAME?</x:v>
      </x:c>
      <x:c r="Z360" s="146" t="e">
        <x:f>IF($A360="","",[1]!thsiFinD("ths_adjustment_nv_fund",Z$3,$A360))</x:f>
        <x:v>#NAME?</x:v>
      </x:c>
      <x:c r="AA360" s="146" t="e">
        <x:f>IF($A360="","",[1]!thsiFinD("ths_adjustment_nv_fund",AA$3,$A360))</x:f>
        <x:v>#NAME?</x:v>
      </x:c>
    </x:row>
    <x:row r="361">
      <x:c r="B361" s="146" t="e">
        <x:f>IF($A361="","",[1]!thsiFinD("ths_adjustment_nv_fund",B$3,$A361))</x:f>
        <x:v>#NAME?</x:v>
      </x:c>
      <x:c r="C361" s="146" t="e">
        <x:f>IF($A361="","",[1]!thsiFinD("ths_adjustment_nv_fund",C$3,$A361))</x:f>
        <x:v>#NAME?</x:v>
      </x:c>
      <x:c r="D361" s="146" t="e">
        <x:f>IF($A361="","",[1]!thsiFinD("ths_adjustment_nv_fund",D$3,$A361))</x:f>
        <x:v>#NAME?</x:v>
      </x:c>
      <x:c r="E361" s="146" t="e">
        <x:f>IF($A361="","",[1]!thsiFinD("ths_adjustment_nv_fund",E$3,$A361))</x:f>
        <x:v>#NAME?</x:v>
      </x:c>
      <x:c r="F361" s="146" t="e">
        <x:f>IF($A361="","",[1]!thsiFinD("ths_adjustment_nv_fund",F$3,$A361))</x:f>
        <x:v>#NAME?</x:v>
      </x:c>
      <x:c r="G361" s="146" t="e">
        <x:f>IF($A361="","",[1]!thsiFinD("ths_adjustment_nv_fund",G$3,$A361))</x:f>
        <x:v>#NAME?</x:v>
      </x:c>
      <x:c r="H361" s="146" t="e">
        <x:f>IF($A361="","",[1]!thsiFinD("ths_adjustment_nv_fund",H$3,$A361))</x:f>
        <x:v>#NAME?</x:v>
      </x:c>
      <x:c r="I361" s="146" t="e">
        <x:f>IF($A361="","",[1]!thsiFinD("ths_adjustment_nv_fund",I$3,$A361))</x:f>
        <x:v>#NAME?</x:v>
      </x:c>
      <x:c r="J361" s="146" t="e">
        <x:f>IF($A361="","",[1]!thsiFinD("ths_adjustment_nv_fund",J$3,$A361))</x:f>
        <x:v>#NAME?</x:v>
      </x:c>
      <x:c r="K361" s="146" t="e">
        <x:f>IF($A361="","",[1]!thsiFinD("ths_adjustment_nv_fund",K$3,$A361))</x:f>
        <x:v>#NAME?</x:v>
      </x:c>
      <x:c r="L361" s="146" t="e">
        <x:f>IF($A361="","",[1]!thsiFinD("ths_adjustment_nv_fund",L$3,$A361))</x:f>
        <x:v>#NAME?</x:v>
      </x:c>
      <x:c r="M361" s="146" t="e">
        <x:f>IF($A361="","",[1]!thsiFinD("ths_adjustment_nv_fund",M$3,$A361))</x:f>
        <x:v>#NAME?</x:v>
      </x:c>
      <x:c r="N361" s="146" t="e">
        <x:f>IF($A361="","",[1]!thsiFinD("ths_adjustment_nv_fund",N$3,$A361))</x:f>
        <x:v>#NAME?</x:v>
      </x:c>
      <x:c r="O361" s="146" t="e">
        <x:f>IF($A361="","",[1]!thsiFinD("ths_adjustment_nv_fund",O$3,$A361))</x:f>
        <x:v>#NAME?</x:v>
      </x:c>
      <x:c r="P361" s="146" t="e">
        <x:f>IF($A361="","",[1]!thsiFinD("ths_adjustment_nv_fund",P$3,$A361))</x:f>
        <x:v>#NAME?</x:v>
      </x:c>
      <x:c r="Q361" s="146" t="e">
        <x:f>IF($A361="","",[1]!thsiFinD("ths_adjustment_nv_fund",Q$3,$A361))</x:f>
        <x:v>#NAME?</x:v>
      </x:c>
      <x:c r="R361" s="146" t="e">
        <x:f>IF($A361="","",[1]!thsiFinD("ths_adjustment_nv_fund",R$3,$A361))</x:f>
        <x:v>#NAME?</x:v>
      </x:c>
      <x:c r="S361" s="146" t="e">
        <x:f>IF($A361="","",[1]!thsiFinD("ths_adjustment_nv_fund",S$3,$A361))</x:f>
        <x:v>#NAME?</x:v>
      </x:c>
      <x:c r="T361" s="146" t="e">
        <x:f>IF($A361="","",[1]!thsiFinD("ths_adjustment_nv_fund",T$3,$A361))</x:f>
        <x:v>#NAME?</x:v>
      </x:c>
      <x:c r="U361" s="146" t="e">
        <x:f>IF($A361="","",[1]!thsiFinD("ths_adjustment_nv_fund",U$3,$A361))</x:f>
        <x:v>#NAME?</x:v>
      </x:c>
      <x:c r="V361" s="146" t="e">
        <x:f>IF($A361="","",[1]!thsiFinD("ths_adjustment_nv_fund",V$3,$A361))</x:f>
        <x:v>#NAME?</x:v>
      </x:c>
      <x:c r="W361" s="146" t="e">
        <x:f>IF($A361="","",[1]!thsiFinD("ths_adjustment_nv_fund",W$3,$A361))</x:f>
        <x:v>#NAME?</x:v>
      </x:c>
      <x:c r="X361" s="146" t="e">
        <x:f>IF($A361="","",[1]!thsiFinD("ths_adjustment_nv_fund",X$3,$A361))</x:f>
        <x:v>#NAME?</x:v>
      </x:c>
      <x:c r="Y361" s="146" t="e">
        <x:f>IF($A361="","",[1]!thsiFinD("ths_adjustment_nv_fund",Y$3,$A361))</x:f>
        <x:v>#NAME?</x:v>
      </x:c>
      <x:c r="Z361" s="146" t="e">
        <x:f>IF($A361="","",[1]!thsiFinD("ths_adjustment_nv_fund",Z$3,$A361))</x:f>
        <x:v>#NAME?</x:v>
      </x:c>
      <x:c r="AA361" s="146" t="e">
        <x:f>IF($A361="","",[1]!thsiFinD("ths_adjustment_nv_fund",AA$3,$A361))</x:f>
        <x:v>#NAME?</x:v>
      </x:c>
    </x:row>
    <x:row r="362">
      <x:c r="B362" s="146" t="e">
        <x:f>IF($A362="","",[1]!thsiFinD("ths_adjustment_nv_fund",B$3,$A362))</x:f>
        <x:v>#NAME?</x:v>
      </x:c>
      <x:c r="C362" s="146" t="e">
        <x:f>IF($A362="","",[1]!thsiFinD("ths_adjustment_nv_fund",C$3,$A362))</x:f>
        <x:v>#NAME?</x:v>
      </x:c>
      <x:c r="D362" s="146" t="e">
        <x:f>IF($A362="","",[1]!thsiFinD("ths_adjustment_nv_fund",D$3,$A362))</x:f>
        <x:v>#NAME?</x:v>
      </x:c>
      <x:c r="E362" s="146" t="e">
        <x:f>IF($A362="","",[1]!thsiFinD("ths_adjustment_nv_fund",E$3,$A362))</x:f>
        <x:v>#NAME?</x:v>
      </x:c>
      <x:c r="F362" s="146" t="e">
        <x:f>IF($A362="","",[1]!thsiFinD("ths_adjustment_nv_fund",F$3,$A362))</x:f>
        <x:v>#NAME?</x:v>
      </x:c>
      <x:c r="G362" s="146" t="e">
        <x:f>IF($A362="","",[1]!thsiFinD("ths_adjustment_nv_fund",G$3,$A362))</x:f>
        <x:v>#NAME?</x:v>
      </x:c>
      <x:c r="H362" s="146" t="e">
        <x:f>IF($A362="","",[1]!thsiFinD("ths_adjustment_nv_fund",H$3,$A362))</x:f>
        <x:v>#NAME?</x:v>
      </x:c>
      <x:c r="I362" s="146" t="e">
        <x:f>IF($A362="","",[1]!thsiFinD("ths_adjustment_nv_fund",I$3,$A362))</x:f>
        <x:v>#NAME?</x:v>
      </x:c>
      <x:c r="J362" s="146" t="e">
        <x:f>IF($A362="","",[1]!thsiFinD("ths_adjustment_nv_fund",J$3,$A362))</x:f>
        <x:v>#NAME?</x:v>
      </x:c>
      <x:c r="K362" s="146" t="e">
        <x:f>IF($A362="","",[1]!thsiFinD("ths_adjustment_nv_fund",K$3,$A362))</x:f>
        <x:v>#NAME?</x:v>
      </x:c>
      <x:c r="L362" s="146" t="e">
        <x:f>IF($A362="","",[1]!thsiFinD("ths_adjustment_nv_fund",L$3,$A362))</x:f>
        <x:v>#NAME?</x:v>
      </x:c>
      <x:c r="M362" s="146" t="e">
        <x:f>IF($A362="","",[1]!thsiFinD("ths_adjustment_nv_fund",M$3,$A362))</x:f>
        <x:v>#NAME?</x:v>
      </x:c>
      <x:c r="N362" s="146" t="e">
        <x:f>IF($A362="","",[1]!thsiFinD("ths_adjustment_nv_fund",N$3,$A362))</x:f>
        <x:v>#NAME?</x:v>
      </x:c>
      <x:c r="O362" s="146" t="e">
        <x:f>IF($A362="","",[1]!thsiFinD("ths_adjustment_nv_fund",O$3,$A362))</x:f>
        <x:v>#NAME?</x:v>
      </x:c>
      <x:c r="P362" s="146" t="e">
        <x:f>IF($A362="","",[1]!thsiFinD("ths_adjustment_nv_fund",P$3,$A362))</x:f>
        <x:v>#NAME?</x:v>
      </x:c>
      <x:c r="Q362" s="146" t="e">
        <x:f>IF($A362="","",[1]!thsiFinD("ths_adjustment_nv_fund",Q$3,$A362))</x:f>
        <x:v>#NAME?</x:v>
      </x:c>
      <x:c r="R362" s="146" t="e">
        <x:f>IF($A362="","",[1]!thsiFinD("ths_adjustment_nv_fund",R$3,$A362))</x:f>
        <x:v>#NAME?</x:v>
      </x:c>
      <x:c r="S362" s="146" t="e">
        <x:f>IF($A362="","",[1]!thsiFinD("ths_adjustment_nv_fund",S$3,$A362))</x:f>
        <x:v>#NAME?</x:v>
      </x:c>
      <x:c r="T362" s="146" t="e">
        <x:f>IF($A362="","",[1]!thsiFinD("ths_adjustment_nv_fund",T$3,$A362))</x:f>
        <x:v>#NAME?</x:v>
      </x:c>
      <x:c r="U362" s="146" t="e">
        <x:f>IF($A362="","",[1]!thsiFinD("ths_adjustment_nv_fund",U$3,$A362))</x:f>
        <x:v>#NAME?</x:v>
      </x:c>
      <x:c r="V362" s="146" t="e">
        <x:f>IF($A362="","",[1]!thsiFinD("ths_adjustment_nv_fund",V$3,$A362))</x:f>
        <x:v>#NAME?</x:v>
      </x:c>
      <x:c r="W362" s="146" t="e">
        <x:f>IF($A362="","",[1]!thsiFinD("ths_adjustment_nv_fund",W$3,$A362))</x:f>
        <x:v>#NAME?</x:v>
      </x:c>
      <x:c r="X362" s="146" t="e">
        <x:f>IF($A362="","",[1]!thsiFinD("ths_adjustment_nv_fund",X$3,$A362))</x:f>
        <x:v>#NAME?</x:v>
      </x:c>
      <x:c r="Y362" s="146" t="e">
        <x:f>IF($A362="","",[1]!thsiFinD("ths_adjustment_nv_fund",Y$3,$A362))</x:f>
        <x:v>#NAME?</x:v>
      </x:c>
      <x:c r="Z362" s="146" t="e">
        <x:f>IF($A362="","",[1]!thsiFinD("ths_adjustment_nv_fund",Z$3,$A362))</x:f>
        <x:v>#NAME?</x:v>
      </x:c>
      <x:c r="AA362" s="146" t="e">
        <x:f>IF($A362="","",[1]!thsiFinD("ths_adjustment_nv_fund",AA$3,$A362))</x:f>
        <x:v>#NAME?</x:v>
      </x:c>
    </x:row>
    <x:row r="363">
      <x:c r="B363" s="146" t="e">
        <x:f>IF($A363="","",[1]!thsiFinD("ths_adjustment_nv_fund",B$3,$A363))</x:f>
        <x:v>#NAME?</x:v>
      </x:c>
      <x:c r="C363" s="146" t="e">
        <x:f>IF($A363="","",[1]!thsiFinD("ths_adjustment_nv_fund",C$3,$A363))</x:f>
        <x:v>#NAME?</x:v>
      </x:c>
      <x:c r="D363" s="146" t="e">
        <x:f>IF($A363="","",[1]!thsiFinD("ths_adjustment_nv_fund",D$3,$A363))</x:f>
        <x:v>#NAME?</x:v>
      </x:c>
      <x:c r="E363" s="146" t="e">
        <x:f>IF($A363="","",[1]!thsiFinD("ths_adjustment_nv_fund",E$3,$A363))</x:f>
        <x:v>#NAME?</x:v>
      </x:c>
      <x:c r="F363" s="146" t="e">
        <x:f>IF($A363="","",[1]!thsiFinD("ths_adjustment_nv_fund",F$3,$A363))</x:f>
        <x:v>#NAME?</x:v>
      </x:c>
      <x:c r="G363" s="146" t="e">
        <x:f>IF($A363="","",[1]!thsiFinD("ths_adjustment_nv_fund",G$3,$A363))</x:f>
        <x:v>#NAME?</x:v>
      </x:c>
      <x:c r="H363" s="146" t="e">
        <x:f>IF($A363="","",[1]!thsiFinD("ths_adjustment_nv_fund",H$3,$A363))</x:f>
        <x:v>#NAME?</x:v>
      </x:c>
      <x:c r="I363" s="146" t="e">
        <x:f>IF($A363="","",[1]!thsiFinD("ths_adjustment_nv_fund",I$3,$A363))</x:f>
        <x:v>#NAME?</x:v>
      </x:c>
      <x:c r="J363" s="146" t="e">
        <x:f>IF($A363="","",[1]!thsiFinD("ths_adjustment_nv_fund",J$3,$A363))</x:f>
        <x:v>#NAME?</x:v>
      </x:c>
      <x:c r="K363" s="146" t="e">
        <x:f>IF($A363="","",[1]!thsiFinD("ths_adjustment_nv_fund",K$3,$A363))</x:f>
        <x:v>#NAME?</x:v>
      </x:c>
      <x:c r="L363" s="146" t="e">
        <x:f>IF($A363="","",[1]!thsiFinD("ths_adjustment_nv_fund",L$3,$A363))</x:f>
        <x:v>#NAME?</x:v>
      </x:c>
      <x:c r="M363" s="146" t="e">
        <x:f>IF($A363="","",[1]!thsiFinD("ths_adjustment_nv_fund",M$3,$A363))</x:f>
        <x:v>#NAME?</x:v>
      </x:c>
      <x:c r="N363" s="146" t="e">
        <x:f>IF($A363="","",[1]!thsiFinD("ths_adjustment_nv_fund",N$3,$A363))</x:f>
        <x:v>#NAME?</x:v>
      </x:c>
      <x:c r="O363" s="146" t="e">
        <x:f>IF($A363="","",[1]!thsiFinD("ths_adjustment_nv_fund",O$3,$A363))</x:f>
        <x:v>#NAME?</x:v>
      </x:c>
      <x:c r="P363" s="146" t="e">
        <x:f>IF($A363="","",[1]!thsiFinD("ths_adjustment_nv_fund",P$3,$A363))</x:f>
        <x:v>#NAME?</x:v>
      </x:c>
      <x:c r="Q363" s="146" t="e">
        <x:f>IF($A363="","",[1]!thsiFinD("ths_adjustment_nv_fund",Q$3,$A363))</x:f>
        <x:v>#NAME?</x:v>
      </x:c>
      <x:c r="R363" s="146" t="e">
        <x:f>IF($A363="","",[1]!thsiFinD("ths_adjustment_nv_fund",R$3,$A363))</x:f>
        <x:v>#NAME?</x:v>
      </x:c>
      <x:c r="S363" s="146" t="e">
        <x:f>IF($A363="","",[1]!thsiFinD("ths_adjustment_nv_fund",S$3,$A363))</x:f>
        <x:v>#NAME?</x:v>
      </x:c>
      <x:c r="T363" s="146" t="e">
        <x:f>IF($A363="","",[1]!thsiFinD("ths_adjustment_nv_fund",T$3,$A363))</x:f>
        <x:v>#NAME?</x:v>
      </x:c>
      <x:c r="U363" s="146" t="e">
        <x:f>IF($A363="","",[1]!thsiFinD("ths_adjustment_nv_fund",U$3,$A363))</x:f>
        <x:v>#NAME?</x:v>
      </x:c>
      <x:c r="V363" s="146" t="e">
        <x:f>IF($A363="","",[1]!thsiFinD("ths_adjustment_nv_fund",V$3,$A363))</x:f>
        <x:v>#NAME?</x:v>
      </x:c>
      <x:c r="W363" s="146" t="e">
        <x:f>IF($A363="","",[1]!thsiFinD("ths_adjustment_nv_fund",W$3,$A363))</x:f>
        <x:v>#NAME?</x:v>
      </x:c>
      <x:c r="X363" s="146" t="e">
        <x:f>IF($A363="","",[1]!thsiFinD("ths_adjustment_nv_fund",X$3,$A363))</x:f>
        <x:v>#NAME?</x:v>
      </x:c>
      <x:c r="Y363" s="146" t="e">
        <x:f>IF($A363="","",[1]!thsiFinD("ths_adjustment_nv_fund",Y$3,$A363))</x:f>
        <x:v>#NAME?</x:v>
      </x:c>
      <x:c r="Z363" s="146" t="e">
        <x:f>IF($A363="","",[1]!thsiFinD("ths_adjustment_nv_fund",Z$3,$A363))</x:f>
        <x:v>#NAME?</x:v>
      </x:c>
      <x:c r="AA363" s="146" t="e">
        <x:f>IF($A363="","",[1]!thsiFinD("ths_adjustment_nv_fund",AA$3,$A363))</x:f>
        <x:v>#NAME?</x:v>
      </x:c>
    </x:row>
    <x:row r="364">
      <x:c r="B364" s="146" t="e">
        <x:f>IF($A364="","",[1]!thsiFinD("ths_adjustment_nv_fund",B$3,$A364))</x:f>
        <x:v>#NAME?</x:v>
      </x:c>
      <x:c r="C364" s="146" t="e">
        <x:f>IF($A364="","",[1]!thsiFinD("ths_adjustment_nv_fund",C$3,$A364))</x:f>
        <x:v>#NAME?</x:v>
      </x:c>
      <x:c r="D364" s="146" t="e">
        <x:f>IF($A364="","",[1]!thsiFinD("ths_adjustment_nv_fund",D$3,$A364))</x:f>
        <x:v>#NAME?</x:v>
      </x:c>
      <x:c r="E364" s="146" t="e">
        <x:f>IF($A364="","",[1]!thsiFinD("ths_adjustment_nv_fund",E$3,$A364))</x:f>
        <x:v>#NAME?</x:v>
      </x:c>
      <x:c r="F364" s="146" t="e">
        <x:f>IF($A364="","",[1]!thsiFinD("ths_adjustment_nv_fund",F$3,$A364))</x:f>
        <x:v>#NAME?</x:v>
      </x:c>
      <x:c r="G364" s="146" t="e">
        <x:f>IF($A364="","",[1]!thsiFinD("ths_adjustment_nv_fund",G$3,$A364))</x:f>
        <x:v>#NAME?</x:v>
      </x:c>
      <x:c r="H364" s="146" t="e">
        <x:f>IF($A364="","",[1]!thsiFinD("ths_adjustment_nv_fund",H$3,$A364))</x:f>
        <x:v>#NAME?</x:v>
      </x:c>
      <x:c r="I364" s="146" t="e">
        <x:f>IF($A364="","",[1]!thsiFinD("ths_adjustment_nv_fund",I$3,$A364))</x:f>
        <x:v>#NAME?</x:v>
      </x:c>
      <x:c r="J364" s="146" t="e">
        <x:f>IF($A364="","",[1]!thsiFinD("ths_adjustment_nv_fund",J$3,$A364))</x:f>
        <x:v>#NAME?</x:v>
      </x:c>
      <x:c r="K364" s="146" t="e">
        <x:f>IF($A364="","",[1]!thsiFinD("ths_adjustment_nv_fund",K$3,$A364))</x:f>
        <x:v>#NAME?</x:v>
      </x:c>
      <x:c r="L364" s="146" t="e">
        <x:f>IF($A364="","",[1]!thsiFinD("ths_adjustment_nv_fund",L$3,$A364))</x:f>
        <x:v>#NAME?</x:v>
      </x:c>
      <x:c r="M364" s="146" t="e">
        <x:f>IF($A364="","",[1]!thsiFinD("ths_adjustment_nv_fund",M$3,$A364))</x:f>
        <x:v>#NAME?</x:v>
      </x:c>
      <x:c r="N364" s="146" t="e">
        <x:f>IF($A364="","",[1]!thsiFinD("ths_adjustment_nv_fund",N$3,$A364))</x:f>
        <x:v>#NAME?</x:v>
      </x:c>
      <x:c r="O364" s="146" t="e">
        <x:f>IF($A364="","",[1]!thsiFinD("ths_adjustment_nv_fund",O$3,$A364))</x:f>
        <x:v>#NAME?</x:v>
      </x:c>
      <x:c r="P364" s="146" t="e">
        <x:f>IF($A364="","",[1]!thsiFinD("ths_adjustment_nv_fund",P$3,$A364))</x:f>
        <x:v>#NAME?</x:v>
      </x:c>
      <x:c r="Q364" s="146" t="e">
        <x:f>IF($A364="","",[1]!thsiFinD("ths_adjustment_nv_fund",Q$3,$A364))</x:f>
        <x:v>#NAME?</x:v>
      </x:c>
      <x:c r="R364" s="146" t="e">
        <x:f>IF($A364="","",[1]!thsiFinD("ths_adjustment_nv_fund",R$3,$A364))</x:f>
        <x:v>#NAME?</x:v>
      </x:c>
      <x:c r="S364" s="146" t="e">
        <x:f>IF($A364="","",[1]!thsiFinD("ths_adjustment_nv_fund",S$3,$A364))</x:f>
        <x:v>#NAME?</x:v>
      </x:c>
      <x:c r="T364" s="146" t="e">
        <x:f>IF($A364="","",[1]!thsiFinD("ths_adjustment_nv_fund",T$3,$A364))</x:f>
        <x:v>#NAME?</x:v>
      </x:c>
      <x:c r="U364" s="146" t="e">
        <x:f>IF($A364="","",[1]!thsiFinD("ths_adjustment_nv_fund",U$3,$A364))</x:f>
        <x:v>#NAME?</x:v>
      </x:c>
      <x:c r="V364" s="146" t="e">
        <x:f>IF($A364="","",[1]!thsiFinD("ths_adjustment_nv_fund",V$3,$A364))</x:f>
        <x:v>#NAME?</x:v>
      </x:c>
      <x:c r="W364" s="146" t="e">
        <x:f>IF($A364="","",[1]!thsiFinD("ths_adjustment_nv_fund",W$3,$A364))</x:f>
        <x:v>#NAME?</x:v>
      </x:c>
      <x:c r="X364" s="146" t="e">
        <x:f>IF($A364="","",[1]!thsiFinD("ths_adjustment_nv_fund",X$3,$A364))</x:f>
        <x:v>#NAME?</x:v>
      </x:c>
      <x:c r="Y364" s="146" t="e">
        <x:f>IF($A364="","",[1]!thsiFinD("ths_adjustment_nv_fund",Y$3,$A364))</x:f>
        <x:v>#NAME?</x:v>
      </x:c>
      <x:c r="Z364" s="146" t="e">
        <x:f>IF($A364="","",[1]!thsiFinD("ths_adjustment_nv_fund",Z$3,$A364))</x:f>
        <x:v>#NAME?</x:v>
      </x:c>
      <x:c r="AA364" s="146" t="e">
        <x:f>IF($A364="","",[1]!thsiFinD("ths_adjustment_nv_fund",AA$3,$A364))</x:f>
        <x:v>#NAME?</x:v>
      </x:c>
    </x:row>
    <x:row r="365">
      <x:c r="B365" s="146" t="e">
        <x:f>IF($A365="","",[1]!thsiFinD("ths_adjustment_nv_fund",B$3,$A365))</x:f>
        <x:v>#NAME?</x:v>
      </x:c>
      <x:c r="C365" s="146" t="e">
        <x:f>IF($A365="","",[1]!thsiFinD("ths_adjustment_nv_fund",C$3,$A365))</x:f>
        <x:v>#NAME?</x:v>
      </x:c>
      <x:c r="D365" s="146" t="e">
        <x:f>IF($A365="","",[1]!thsiFinD("ths_adjustment_nv_fund",D$3,$A365))</x:f>
        <x:v>#NAME?</x:v>
      </x:c>
      <x:c r="E365" s="146" t="e">
        <x:f>IF($A365="","",[1]!thsiFinD("ths_adjustment_nv_fund",E$3,$A365))</x:f>
        <x:v>#NAME?</x:v>
      </x:c>
      <x:c r="F365" s="146" t="e">
        <x:f>IF($A365="","",[1]!thsiFinD("ths_adjustment_nv_fund",F$3,$A365))</x:f>
        <x:v>#NAME?</x:v>
      </x:c>
      <x:c r="G365" s="146" t="e">
        <x:f>IF($A365="","",[1]!thsiFinD("ths_adjustment_nv_fund",G$3,$A365))</x:f>
        <x:v>#NAME?</x:v>
      </x:c>
      <x:c r="H365" s="146" t="e">
        <x:f>IF($A365="","",[1]!thsiFinD("ths_adjustment_nv_fund",H$3,$A365))</x:f>
        <x:v>#NAME?</x:v>
      </x:c>
      <x:c r="I365" s="146" t="e">
        <x:f>IF($A365="","",[1]!thsiFinD("ths_adjustment_nv_fund",I$3,$A365))</x:f>
        <x:v>#NAME?</x:v>
      </x:c>
      <x:c r="J365" s="146" t="e">
        <x:f>IF($A365="","",[1]!thsiFinD("ths_adjustment_nv_fund",J$3,$A365))</x:f>
        <x:v>#NAME?</x:v>
      </x:c>
      <x:c r="K365" s="146" t="e">
        <x:f>IF($A365="","",[1]!thsiFinD("ths_adjustment_nv_fund",K$3,$A365))</x:f>
        <x:v>#NAME?</x:v>
      </x:c>
      <x:c r="L365" s="146" t="e">
        <x:f>IF($A365="","",[1]!thsiFinD("ths_adjustment_nv_fund",L$3,$A365))</x:f>
        <x:v>#NAME?</x:v>
      </x:c>
      <x:c r="M365" s="146" t="e">
        <x:f>IF($A365="","",[1]!thsiFinD("ths_adjustment_nv_fund",M$3,$A365))</x:f>
        <x:v>#NAME?</x:v>
      </x:c>
      <x:c r="N365" s="146" t="e">
        <x:f>IF($A365="","",[1]!thsiFinD("ths_adjustment_nv_fund",N$3,$A365))</x:f>
        <x:v>#NAME?</x:v>
      </x:c>
      <x:c r="O365" s="146" t="e">
        <x:f>IF($A365="","",[1]!thsiFinD("ths_adjustment_nv_fund",O$3,$A365))</x:f>
        <x:v>#NAME?</x:v>
      </x:c>
      <x:c r="P365" s="146" t="e">
        <x:f>IF($A365="","",[1]!thsiFinD("ths_adjustment_nv_fund",P$3,$A365))</x:f>
        <x:v>#NAME?</x:v>
      </x:c>
      <x:c r="Q365" s="146" t="e">
        <x:f>IF($A365="","",[1]!thsiFinD("ths_adjustment_nv_fund",Q$3,$A365))</x:f>
        <x:v>#NAME?</x:v>
      </x:c>
      <x:c r="R365" s="146" t="e">
        <x:f>IF($A365="","",[1]!thsiFinD("ths_adjustment_nv_fund",R$3,$A365))</x:f>
        <x:v>#NAME?</x:v>
      </x:c>
      <x:c r="S365" s="146" t="e">
        <x:f>IF($A365="","",[1]!thsiFinD("ths_adjustment_nv_fund",S$3,$A365))</x:f>
        <x:v>#NAME?</x:v>
      </x:c>
      <x:c r="T365" s="146" t="e">
        <x:f>IF($A365="","",[1]!thsiFinD("ths_adjustment_nv_fund",T$3,$A365))</x:f>
        <x:v>#NAME?</x:v>
      </x:c>
      <x:c r="U365" s="146" t="e">
        <x:f>IF($A365="","",[1]!thsiFinD("ths_adjustment_nv_fund",U$3,$A365))</x:f>
        <x:v>#NAME?</x:v>
      </x:c>
      <x:c r="V365" s="146" t="e">
        <x:f>IF($A365="","",[1]!thsiFinD("ths_adjustment_nv_fund",V$3,$A365))</x:f>
        <x:v>#NAME?</x:v>
      </x:c>
      <x:c r="W365" s="146" t="e">
        <x:f>IF($A365="","",[1]!thsiFinD("ths_adjustment_nv_fund",W$3,$A365))</x:f>
        <x:v>#NAME?</x:v>
      </x:c>
      <x:c r="X365" s="146" t="e">
        <x:f>IF($A365="","",[1]!thsiFinD("ths_adjustment_nv_fund",X$3,$A365))</x:f>
        <x:v>#NAME?</x:v>
      </x:c>
      <x:c r="Y365" s="146" t="e">
        <x:f>IF($A365="","",[1]!thsiFinD("ths_adjustment_nv_fund",Y$3,$A365))</x:f>
        <x:v>#NAME?</x:v>
      </x:c>
      <x:c r="Z365" s="146" t="e">
        <x:f>IF($A365="","",[1]!thsiFinD("ths_adjustment_nv_fund",Z$3,$A365))</x:f>
        <x:v>#NAME?</x:v>
      </x:c>
      <x:c r="AA365" s="146" t="e">
        <x:f>IF($A365="","",[1]!thsiFinD("ths_adjustment_nv_fund",AA$3,$A365))</x:f>
        <x:v>#NAME?</x:v>
      </x:c>
    </x:row>
    <x:row r="366">
      <x:c r="B366" s="146" t="e">
        <x:f>IF($A366="","",[1]!thsiFinD("ths_adjustment_nv_fund",B$3,$A366))</x:f>
        <x:v>#NAME?</x:v>
      </x:c>
      <x:c r="C366" s="146" t="e">
        <x:f>IF($A366="","",[1]!thsiFinD("ths_adjustment_nv_fund",C$3,$A366))</x:f>
        <x:v>#NAME?</x:v>
      </x:c>
      <x:c r="D366" s="146" t="e">
        <x:f>IF($A366="","",[1]!thsiFinD("ths_adjustment_nv_fund",D$3,$A366))</x:f>
        <x:v>#NAME?</x:v>
      </x:c>
      <x:c r="E366" s="146" t="e">
        <x:f>IF($A366="","",[1]!thsiFinD("ths_adjustment_nv_fund",E$3,$A366))</x:f>
        <x:v>#NAME?</x:v>
      </x:c>
      <x:c r="F366" s="146" t="e">
        <x:f>IF($A366="","",[1]!thsiFinD("ths_adjustment_nv_fund",F$3,$A366))</x:f>
        <x:v>#NAME?</x:v>
      </x:c>
      <x:c r="G366" s="146" t="e">
        <x:f>IF($A366="","",[1]!thsiFinD("ths_adjustment_nv_fund",G$3,$A366))</x:f>
        <x:v>#NAME?</x:v>
      </x:c>
      <x:c r="H366" s="146" t="e">
        <x:f>IF($A366="","",[1]!thsiFinD("ths_adjustment_nv_fund",H$3,$A366))</x:f>
        <x:v>#NAME?</x:v>
      </x:c>
      <x:c r="I366" s="146" t="e">
        <x:f>IF($A366="","",[1]!thsiFinD("ths_adjustment_nv_fund",I$3,$A366))</x:f>
        <x:v>#NAME?</x:v>
      </x:c>
      <x:c r="J366" s="146" t="e">
        <x:f>IF($A366="","",[1]!thsiFinD("ths_adjustment_nv_fund",J$3,$A366))</x:f>
        <x:v>#NAME?</x:v>
      </x:c>
      <x:c r="K366" s="146" t="e">
        <x:f>IF($A366="","",[1]!thsiFinD("ths_adjustment_nv_fund",K$3,$A366))</x:f>
        <x:v>#NAME?</x:v>
      </x:c>
      <x:c r="L366" s="146" t="e">
        <x:f>IF($A366="","",[1]!thsiFinD("ths_adjustment_nv_fund",L$3,$A366))</x:f>
        <x:v>#NAME?</x:v>
      </x:c>
      <x:c r="M366" s="146" t="e">
        <x:f>IF($A366="","",[1]!thsiFinD("ths_adjustment_nv_fund",M$3,$A366))</x:f>
        <x:v>#NAME?</x:v>
      </x:c>
      <x:c r="N366" s="146" t="e">
        <x:f>IF($A366="","",[1]!thsiFinD("ths_adjustment_nv_fund",N$3,$A366))</x:f>
        <x:v>#NAME?</x:v>
      </x:c>
      <x:c r="O366" s="146" t="e">
        <x:f>IF($A366="","",[1]!thsiFinD("ths_adjustment_nv_fund",O$3,$A366))</x:f>
        <x:v>#NAME?</x:v>
      </x:c>
      <x:c r="P366" s="146" t="e">
        <x:f>IF($A366="","",[1]!thsiFinD("ths_adjustment_nv_fund",P$3,$A366))</x:f>
        <x:v>#NAME?</x:v>
      </x:c>
      <x:c r="Q366" s="146" t="e">
        <x:f>IF($A366="","",[1]!thsiFinD("ths_adjustment_nv_fund",Q$3,$A366))</x:f>
        <x:v>#NAME?</x:v>
      </x:c>
      <x:c r="R366" s="146" t="e">
        <x:f>IF($A366="","",[1]!thsiFinD("ths_adjustment_nv_fund",R$3,$A366))</x:f>
        <x:v>#NAME?</x:v>
      </x:c>
      <x:c r="S366" s="146" t="e">
        <x:f>IF($A366="","",[1]!thsiFinD("ths_adjustment_nv_fund",S$3,$A366))</x:f>
        <x:v>#NAME?</x:v>
      </x:c>
      <x:c r="T366" s="146" t="e">
        <x:f>IF($A366="","",[1]!thsiFinD("ths_adjustment_nv_fund",T$3,$A366))</x:f>
        <x:v>#NAME?</x:v>
      </x:c>
      <x:c r="U366" s="146" t="e">
        <x:f>IF($A366="","",[1]!thsiFinD("ths_adjustment_nv_fund",U$3,$A366))</x:f>
        <x:v>#NAME?</x:v>
      </x:c>
      <x:c r="V366" s="146" t="e">
        <x:f>IF($A366="","",[1]!thsiFinD("ths_adjustment_nv_fund",V$3,$A366))</x:f>
        <x:v>#NAME?</x:v>
      </x:c>
      <x:c r="W366" s="146" t="e">
        <x:f>IF($A366="","",[1]!thsiFinD("ths_adjustment_nv_fund",W$3,$A366))</x:f>
        <x:v>#NAME?</x:v>
      </x:c>
      <x:c r="X366" s="146" t="e">
        <x:f>IF($A366="","",[1]!thsiFinD("ths_adjustment_nv_fund",X$3,$A366))</x:f>
        <x:v>#NAME?</x:v>
      </x:c>
      <x:c r="Y366" s="146" t="e">
        <x:f>IF($A366="","",[1]!thsiFinD("ths_adjustment_nv_fund",Y$3,$A366))</x:f>
        <x:v>#NAME?</x:v>
      </x:c>
      <x:c r="Z366" s="146" t="e">
        <x:f>IF($A366="","",[1]!thsiFinD("ths_adjustment_nv_fund",Z$3,$A366))</x:f>
        <x:v>#NAME?</x:v>
      </x:c>
      <x:c r="AA366" s="146" t="e">
        <x:f>IF($A366="","",[1]!thsiFinD("ths_adjustment_nv_fund",AA$3,$A366))</x:f>
        <x:v>#NAME?</x:v>
      </x:c>
    </x:row>
    <x:row r="367">
      <x:c r="B367" s="146" t="e">
        <x:f>IF($A367="","",[1]!thsiFinD("ths_adjustment_nv_fund",B$3,$A367))</x:f>
        <x:v>#NAME?</x:v>
      </x:c>
      <x:c r="C367" s="146" t="e">
        <x:f>IF($A367="","",[1]!thsiFinD("ths_adjustment_nv_fund",C$3,$A367))</x:f>
        <x:v>#NAME?</x:v>
      </x:c>
      <x:c r="D367" s="146" t="e">
        <x:f>IF($A367="","",[1]!thsiFinD("ths_adjustment_nv_fund",D$3,$A367))</x:f>
        <x:v>#NAME?</x:v>
      </x:c>
      <x:c r="E367" s="146" t="e">
        <x:f>IF($A367="","",[1]!thsiFinD("ths_adjustment_nv_fund",E$3,$A367))</x:f>
        <x:v>#NAME?</x:v>
      </x:c>
      <x:c r="F367" s="146" t="e">
        <x:f>IF($A367="","",[1]!thsiFinD("ths_adjustment_nv_fund",F$3,$A367))</x:f>
        <x:v>#NAME?</x:v>
      </x:c>
      <x:c r="G367" s="146" t="e">
        <x:f>IF($A367="","",[1]!thsiFinD("ths_adjustment_nv_fund",G$3,$A367))</x:f>
        <x:v>#NAME?</x:v>
      </x:c>
      <x:c r="H367" s="146" t="e">
        <x:f>IF($A367="","",[1]!thsiFinD("ths_adjustment_nv_fund",H$3,$A367))</x:f>
        <x:v>#NAME?</x:v>
      </x:c>
      <x:c r="I367" s="146" t="e">
        <x:f>IF($A367="","",[1]!thsiFinD("ths_adjustment_nv_fund",I$3,$A367))</x:f>
        <x:v>#NAME?</x:v>
      </x:c>
      <x:c r="J367" s="146" t="e">
        <x:f>IF($A367="","",[1]!thsiFinD("ths_adjustment_nv_fund",J$3,$A367))</x:f>
        <x:v>#NAME?</x:v>
      </x:c>
      <x:c r="K367" s="146" t="e">
        <x:f>IF($A367="","",[1]!thsiFinD("ths_adjustment_nv_fund",K$3,$A367))</x:f>
        <x:v>#NAME?</x:v>
      </x:c>
      <x:c r="L367" s="146" t="e">
        <x:f>IF($A367="","",[1]!thsiFinD("ths_adjustment_nv_fund",L$3,$A367))</x:f>
        <x:v>#NAME?</x:v>
      </x:c>
      <x:c r="M367" s="146" t="e">
        <x:f>IF($A367="","",[1]!thsiFinD("ths_adjustment_nv_fund",M$3,$A367))</x:f>
        <x:v>#NAME?</x:v>
      </x:c>
      <x:c r="N367" s="146" t="e">
        <x:f>IF($A367="","",[1]!thsiFinD("ths_adjustment_nv_fund",N$3,$A367))</x:f>
        <x:v>#NAME?</x:v>
      </x:c>
      <x:c r="O367" s="146" t="e">
        <x:f>IF($A367="","",[1]!thsiFinD("ths_adjustment_nv_fund",O$3,$A367))</x:f>
        <x:v>#NAME?</x:v>
      </x:c>
      <x:c r="P367" s="146" t="e">
        <x:f>IF($A367="","",[1]!thsiFinD("ths_adjustment_nv_fund",P$3,$A367))</x:f>
        <x:v>#NAME?</x:v>
      </x:c>
      <x:c r="Q367" s="146" t="e">
        <x:f>IF($A367="","",[1]!thsiFinD("ths_adjustment_nv_fund",Q$3,$A367))</x:f>
        <x:v>#NAME?</x:v>
      </x:c>
      <x:c r="R367" s="146" t="e">
        <x:f>IF($A367="","",[1]!thsiFinD("ths_adjustment_nv_fund",R$3,$A367))</x:f>
        <x:v>#NAME?</x:v>
      </x:c>
      <x:c r="S367" s="146" t="e">
        <x:f>IF($A367="","",[1]!thsiFinD("ths_adjustment_nv_fund",S$3,$A367))</x:f>
        <x:v>#NAME?</x:v>
      </x:c>
      <x:c r="T367" s="146" t="e">
        <x:f>IF($A367="","",[1]!thsiFinD("ths_adjustment_nv_fund",T$3,$A367))</x:f>
        <x:v>#NAME?</x:v>
      </x:c>
      <x:c r="U367" s="146" t="e">
        <x:f>IF($A367="","",[1]!thsiFinD("ths_adjustment_nv_fund",U$3,$A367))</x:f>
        <x:v>#NAME?</x:v>
      </x:c>
      <x:c r="V367" s="146" t="e">
        <x:f>IF($A367="","",[1]!thsiFinD("ths_adjustment_nv_fund",V$3,$A367))</x:f>
        <x:v>#NAME?</x:v>
      </x:c>
      <x:c r="W367" s="146" t="e">
        <x:f>IF($A367="","",[1]!thsiFinD("ths_adjustment_nv_fund",W$3,$A367))</x:f>
        <x:v>#NAME?</x:v>
      </x:c>
      <x:c r="X367" s="146" t="e">
        <x:f>IF($A367="","",[1]!thsiFinD("ths_adjustment_nv_fund",X$3,$A367))</x:f>
        <x:v>#NAME?</x:v>
      </x:c>
      <x:c r="Y367" s="146" t="e">
        <x:f>IF($A367="","",[1]!thsiFinD("ths_adjustment_nv_fund",Y$3,$A367))</x:f>
        <x:v>#NAME?</x:v>
      </x:c>
      <x:c r="Z367" s="146" t="e">
        <x:f>IF($A367="","",[1]!thsiFinD("ths_adjustment_nv_fund",Z$3,$A367))</x:f>
        <x:v>#NAME?</x:v>
      </x:c>
      <x:c r="AA367" s="146" t="e">
        <x:f>IF($A367="","",[1]!thsiFinD("ths_adjustment_nv_fund",AA$3,$A367))</x:f>
        <x:v>#NAME?</x:v>
      </x:c>
    </x:row>
    <x:row r="368">
      <x:c r="B368" s="146" t="e">
        <x:f>IF($A368="","",[1]!thsiFinD("ths_adjustment_nv_fund",B$3,$A368))</x:f>
        <x:v>#NAME?</x:v>
      </x:c>
      <x:c r="C368" s="146" t="e">
        <x:f>IF($A368="","",[1]!thsiFinD("ths_adjustment_nv_fund",C$3,$A368))</x:f>
        <x:v>#NAME?</x:v>
      </x:c>
      <x:c r="D368" s="146" t="e">
        <x:f>IF($A368="","",[1]!thsiFinD("ths_adjustment_nv_fund",D$3,$A368))</x:f>
        <x:v>#NAME?</x:v>
      </x:c>
      <x:c r="E368" s="146" t="e">
        <x:f>IF($A368="","",[1]!thsiFinD("ths_adjustment_nv_fund",E$3,$A368))</x:f>
        <x:v>#NAME?</x:v>
      </x:c>
      <x:c r="F368" s="146" t="e">
        <x:f>IF($A368="","",[1]!thsiFinD("ths_adjustment_nv_fund",F$3,$A368))</x:f>
        <x:v>#NAME?</x:v>
      </x:c>
      <x:c r="G368" s="146" t="e">
        <x:f>IF($A368="","",[1]!thsiFinD("ths_adjustment_nv_fund",G$3,$A368))</x:f>
        <x:v>#NAME?</x:v>
      </x:c>
      <x:c r="H368" s="146" t="e">
        <x:f>IF($A368="","",[1]!thsiFinD("ths_adjustment_nv_fund",H$3,$A368))</x:f>
        <x:v>#NAME?</x:v>
      </x:c>
      <x:c r="I368" s="146" t="e">
        <x:f>IF($A368="","",[1]!thsiFinD("ths_adjustment_nv_fund",I$3,$A368))</x:f>
        <x:v>#NAME?</x:v>
      </x:c>
      <x:c r="J368" s="146" t="e">
        <x:f>IF($A368="","",[1]!thsiFinD("ths_adjustment_nv_fund",J$3,$A368))</x:f>
        <x:v>#NAME?</x:v>
      </x:c>
      <x:c r="K368" s="146" t="e">
        <x:f>IF($A368="","",[1]!thsiFinD("ths_adjustment_nv_fund",K$3,$A368))</x:f>
        <x:v>#NAME?</x:v>
      </x:c>
      <x:c r="L368" s="146" t="e">
        <x:f>IF($A368="","",[1]!thsiFinD("ths_adjustment_nv_fund",L$3,$A368))</x:f>
        <x:v>#NAME?</x:v>
      </x:c>
      <x:c r="M368" s="146" t="e">
        <x:f>IF($A368="","",[1]!thsiFinD("ths_adjustment_nv_fund",M$3,$A368))</x:f>
        <x:v>#NAME?</x:v>
      </x:c>
      <x:c r="N368" s="146" t="e">
        <x:f>IF($A368="","",[1]!thsiFinD("ths_adjustment_nv_fund",N$3,$A368))</x:f>
        <x:v>#NAME?</x:v>
      </x:c>
      <x:c r="O368" s="146" t="e">
        <x:f>IF($A368="","",[1]!thsiFinD("ths_adjustment_nv_fund",O$3,$A368))</x:f>
        <x:v>#NAME?</x:v>
      </x:c>
      <x:c r="P368" s="146" t="e">
        <x:f>IF($A368="","",[1]!thsiFinD("ths_adjustment_nv_fund",P$3,$A368))</x:f>
        <x:v>#NAME?</x:v>
      </x:c>
      <x:c r="Q368" s="146" t="e">
        <x:f>IF($A368="","",[1]!thsiFinD("ths_adjustment_nv_fund",Q$3,$A368))</x:f>
        <x:v>#NAME?</x:v>
      </x:c>
      <x:c r="R368" s="146" t="e">
        <x:f>IF($A368="","",[1]!thsiFinD("ths_adjustment_nv_fund",R$3,$A368))</x:f>
        <x:v>#NAME?</x:v>
      </x:c>
      <x:c r="S368" s="146" t="e">
        <x:f>IF($A368="","",[1]!thsiFinD("ths_adjustment_nv_fund",S$3,$A368))</x:f>
        <x:v>#NAME?</x:v>
      </x:c>
      <x:c r="T368" s="146" t="e">
        <x:f>IF($A368="","",[1]!thsiFinD("ths_adjustment_nv_fund",T$3,$A368))</x:f>
        <x:v>#NAME?</x:v>
      </x:c>
      <x:c r="U368" s="146" t="e">
        <x:f>IF($A368="","",[1]!thsiFinD("ths_adjustment_nv_fund",U$3,$A368))</x:f>
        <x:v>#NAME?</x:v>
      </x:c>
      <x:c r="V368" s="146" t="e">
        <x:f>IF($A368="","",[1]!thsiFinD("ths_adjustment_nv_fund",V$3,$A368))</x:f>
        <x:v>#NAME?</x:v>
      </x:c>
      <x:c r="W368" s="146" t="e">
        <x:f>IF($A368="","",[1]!thsiFinD("ths_adjustment_nv_fund",W$3,$A368))</x:f>
        <x:v>#NAME?</x:v>
      </x:c>
      <x:c r="X368" s="146" t="e">
        <x:f>IF($A368="","",[1]!thsiFinD("ths_adjustment_nv_fund",X$3,$A368))</x:f>
        <x:v>#NAME?</x:v>
      </x:c>
      <x:c r="Y368" s="146" t="e">
        <x:f>IF($A368="","",[1]!thsiFinD("ths_adjustment_nv_fund",Y$3,$A368))</x:f>
        <x:v>#NAME?</x:v>
      </x:c>
      <x:c r="Z368" s="146" t="e">
        <x:f>IF($A368="","",[1]!thsiFinD("ths_adjustment_nv_fund",Z$3,$A368))</x:f>
        <x:v>#NAME?</x:v>
      </x:c>
      <x:c r="AA368" s="146" t="e">
        <x:f>IF($A368="","",[1]!thsiFinD("ths_adjustment_nv_fund",AA$3,$A368))</x:f>
        <x:v>#NAME?</x:v>
      </x:c>
    </x:row>
    <x:row r="369">
      <x:c r="B369" s="146" t="e">
        <x:f>IF($A369="","",[1]!thsiFinD("ths_adjustment_nv_fund",B$3,$A369))</x:f>
        <x:v>#NAME?</x:v>
      </x:c>
      <x:c r="C369" s="146" t="e">
        <x:f>IF($A369="","",[1]!thsiFinD("ths_adjustment_nv_fund",C$3,$A369))</x:f>
        <x:v>#NAME?</x:v>
      </x:c>
      <x:c r="D369" s="146" t="e">
        <x:f>IF($A369="","",[1]!thsiFinD("ths_adjustment_nv_fund",D$3,$A369))</x:f>
        <x:v>#NAME?</x:v>
      </x:c>
      <x:c r="E369" s="146" t="e">
        <x:f>IF($A369="","",[1]!thsiFinD("ths_adjustment_nv_fund",E$3,$A369))</x:f>
        <x:v>#NAME?</x:v>
      </x:c>
      <x:c r="F369" s="146" t="e">
        <x:f>IF($A369="","",[1]!thsiFinD("ths_adjustment_nv_fund",F$3,$A369))</x:f>
        <x:v>#NAME?</x:v>
      </x:c>
      <x:c r="G369" s="146" t="e">
        <x:f>IF($A369="","",[1]!thsiFinD("ths_adjustment_nv_fund",G$3,$A369))</x:f>
        <x:v>#NAME?</x:v>
      </x:c>
      <x:c r="H369" s="146" t="e">
        <x:f>IF($A369="","",[1]!thsiFinD("ths_adjustment_nv_fund",H$3,$A369))</x:f>
        <x:v>#NAME?</x:v>
      </x:c>
      <x:c r="I369" s="146" t="e">
        <x:f>IF($A369="","",[1]!thsiFinD("ths_adjustment_nv_fund",I$3,$A369))</x:f>
        <x:v>#NAME?</x:v>
      </x:c>
      <x:c r="J369" s="146" t="e">
        <x:f>IF($A369="","",[1]!thsiFinD("ths_adjustment_nv_fund",J$3,$A369))</x:f>
        <x:v>#NAME?</x:v>
      </x:c>
      <x:c r="K369" s="146" t="e">
        <x:f>IF($A369="","",[1]!thsiFinD("ths_adjustment_nv_fund",K$3,$A369))</x:f>
        <x:v>#NAME?</x:v>
      </x:c>
      <x:c r="L369" s="146" t="e">
        <x:f>IF($A369="","",[1]!thsiFinD("ths_adjustment_nv_fund",L$3,$A369))</x:f>
        <x:v>#NAME?</x:v>
      </x:c>
      <x:c r="M369" s="146" t="e">
        <x:f>IF($A369="","",[1]!thsiFinD("ths_adjustment_nv_fund",M$3,$A369))</x:f>
        <x:v>#NAME?</x:v>
      </x:c>
      <x:c r="N369" s="146" t="e">
        <x:f>IF($A369="","",[1]!thsiFinD("ths_adjustment_nv_fund",N$3,$A369))</x:f>
        <x:v>#NAME?</x:v>
      </x:c>
      <x:c r="O369" s="146" t="e">
        <x:f>IF($A369="","",[1]!thsiFinD("ths_adjustment_nv_fund",O$3,$A369))</x:f>
        <x:v>#NAME?</x:v>
      </x:c>
      <x:c r="P369" s="146" t="e">
        <x:f>IF($A369="","",[1]!thsiFinD("ths_adjustment_nv_fund",P$3,$A369))</x:f>
        <x:v>#NAME?</x:v>
      </x:c>
      <x:c r="Q369" s="146" t="e">
        <x:f>IF($A369="","",[1]!thsiFinD("ths_adjustment_nv_fund",Q$3,$A369))</x:f>
        <x:v>#NAME?</x:v>
      </x:c>
      <x:c r="R369" s="146" t="e">
        <x:f>IF($A369="","",[1]!thsiFinD("ths_adjustment_nv_fund",R$3,$A369))</x:f>
        <x:v>#NAME?</x:v>
      </x:c>
      <x:c r="S369" s="146" t="e">
        <x:f>IF($A369="","",[1]!thsiFinD("ths_adjustment_nv_fund",S$3,$A369))</x:f>
        <x:v>#NAME?</x:v>
      </x:c>
      <x:c r="T369" s="146" t="e">
        <x:f>IF($A369="","",[1]!thsiFinD("ths_adjustment_nv_fund",T$3,$A369))</x:f>
        <x:v>#NAME?</x:v>
      </x:c>
      <x:c r="U369" s="146" t="e">
        <x:f>IF($A369="","",[1]!thsiFinD("ths_adjustment_nv_fund",U$3,$A369))</x:f>
        <x:v>#NAME?</x:v>
      </x:c>
      <x:c r="V369" s="146" t="e">
        <x:f>IF($A369="","",[1]!thsiFinD("ths_adjustment_nv_fund",V$3,$A369))</x:f>
        <x:v>#NAME?</x:v>
      </x:c>
      <x:c r="W369" s="146" t="e">
        <x:f>IF($A369="","",[1]!thsiFinD("ths_adjustment_nv_fund",W$3,$A369))</x:f>
        <x:v>#NAME?</x:v>
      </x:c>
      <x:c r="X369" s="146" t="e">
        <x:f>IF($A369="","",[1]!thsiFinD("ths_adjustment_nv_fund",X$3,$A369))</x:f>
        <x:v>#NAME?</x:v>
      </x:c>
      <x:c r="Y369" s="146" t="e">
        <x:f>IF($A369="","",[1]!thsiFinD("ths_adjustment_nv_fund",Y$3,$A369))</x:f>
        <x:v>#NAME?</x:v>
      </x:c>
      <x:c r="Z369" s="146" t="e">
        <x:f>IF($A369="","",[1]!thsiFinD("ths_adjustment_nv_fund",Z$3,$A369))</x:f>
        <x:v>#NAME?</x:v>
      </x:c>
      <x:c r="AA369" s="146" t="e">
        <x:f>IF($A369="","",[1]!thsiFinD("ths_adjustment_nv_fund",AA$3,$A369))</x:f>
        <x:v>#NAME?</x:v>
      </x:c>
    </x:row>
    <x:row r="370">
      <x:c r="B370" s="146" t="e">
        <x:f>IF($A370="","",[1]!thsiFinD("ths_adjustment_nv_fund",B$3,$A370))</x:f>
        <x:v>#NAME?</x:v>
      </x:c>
      <x:c r="C370" s="146" t="e">
        <x:f>IF($A370="","",[1]!thsiFinD("ths_adjustment_nv_fund",C$3,$A370))</x:f>
        <x:v>#NAME?</x:v>
      </x:c>
      <x:c r="D370" s="146" t="e">
        <x:f>IF($A370="","",[1]!thsiFinD("ths_adjustment_nv_fund",D$3,$A370))</x:f>
        <x:v>#NAME?</x:v>
      </x:c>
      <x:c r="E370" s="146" t="e">
        <x:f>IF($A370="","",[1]!thsiFinD("ths_adjustment_nv_fund",E$3,$A370))</x:f>
        <x:v>#NAME?</x:v>
      </x:c>
      <x:c r="F370" s="146" t="e">
        <x:f>IF($A370="","",[1]!thsiFinD("ths_adjustment_nv_fund",F$3,$A370))</x:f>
        <x:v>#NAME?</x:v>
      </x:c>
      <x:c r="G370" s="146" t="e">
        <x:f>IF($A370="","",[1]!thsiFinD("ths_adjustment_nv_fund",G$3,$A370))</x:f>
        <x:v>#NAME?</x:v>
      </x:c>
      <x:c r="H370" s="146" t="e">
        <x:f>IF($A370="","",[1]!thsiFinD("ths_adjustment_nv_fund",H$3,$A370))</x:f>
        <x:v>#NAME?</x:v>
      </x:c>
      <x:c r="I370" s="146" t="e">
        <x:f>IF($A370="","",[1]!thsiFinD("ths_adjustment_nv_fund",I$3,$A370))</x:f>
        <x:v>#NAME?</x:v>
      </x:c>
      <x:c r="J370" s="146" t="e">
        <x:f>IF($A370="","",[1]!thsiFinD("ths_adjustment_nv_fund",J$3,$A370))</x:f>
        <x:v>#NAME?</x:v>
      </x:c>
      <x:c r="K370" s="146" t="e">
        <x:f>IF($A370="","",[1]!thsiFinD("ths_adjustment_nv_fund",K$3,$A370))</x:f>
        <x:v>#NAME?</x:v>
      </x:c>
      <x:c r="L370" s="146" t="e">
        <x:f>IF($A370="","",[1]!thsiFinD("ths_adjustment_nv_fund",L$3,$A370))</x:f>
        <x:v>#NAME?</x:v>
      </x:c>
      <x:c r="M370" s="146" t="e">
        <x:f>IF($A370="","",[1]!thsiFinD("ths_adjustment_nv_fund",M$3,$A370))</x:f>
        <x:v>#NAME?</x:v>
      </x:c>
      <x:c r="N370" s="146" t="e">
        <x:f>IF($A370="","",[1]!thsiFinD("ths_adjustment_nv_fund",N$3,$A370))</x:f>
        <x:v>#NAME?</x:v>
      </x:c>
      <x:c r="O370" s="146" t="e">
        <x:f>IF($A370="","",[1]!thsiFinD("ths_adjustment_nv_fund",O$3,$A370))</x:f>
        <x:v>#NAME?</x:v>
      </x:c>
      <x:c r="P370" s="146" t="e">
        <x:f>IF($A370="","",[1]!thsiFinD("ths_adjustment_nv_fund",P$3,$A370))</x:f>
        <x:v>#NAME?</x:v>
      </x:c>
      <x:c r="Q370" s="146" t="e">
        <x:f>IF($A370="","",[1]!thsiFinD("ths_adjustment_nv_fund",Q$3,$A370))</x:f>
        <x:v>#NAME?</x:v>
      </x:c>
      <x:c r="R370" s="146" t="e">
        <x:f>IF($A370="","",[1]!thsiFinD("ths_adjustment_nv_fund",R$3,$A370))</x:f>
        <x:v>#NAME?</x:v>
      </x:c>
      <x:c r="S370" s="146" t="e">
        <x:f>IF($A370="","",[1]!thsiFinD("ths_adjustment_nv_fund",S$3,$A370))</x:f>
        <x:v>#NAME?</x:v>
      </x:c>
      <x:c r="T370" s="146" t="e">
        <x:f>IF($A370="","",[1]!thsiFinD("ths_adjustment_nv_fund",T$3,$A370))</x:f>
        <x:v>#NAME?</x:v>
      </x:c>
      <x:c r="U370" s="146" t="e">
        <x:f>IF($A370="","",[1]!thsiFinD("ths_adjustment_nv_fund",U$3,$A370))</x:f>
        <x:v>#NAME?</x:v>
      </x:c>
      <x:c r="V370" s="146" t="e">
        <x:f>IF($A370="","",[1]!thsiFinD("ths_adjustment_nv_fund",V$3,$A370))</x:f>
        <x:v>#NAME?</x:v>
      </x:c>
      <x:c r="W370" s="146" t="e">
        <x:f>IF($A370="","",[1]!thsiFinD("ths_adjustment_nv_fund",W$3,$A370))</x:f>
        <x:v>#NAME?</x:v>
      </x:c>
      <x:c r="X370" s="146" t="e">
        <x:f>IF($A370="","",[1]!thsiFinD("ths_adjustment_nv_fund",X$3,$A370))</x:f>
        <x:v>#NAME?</x:v>
      </x:c>
      <x:c r="Y370" s="146" t="e">
        <x:f>IF($A370="","",[1]!thsiFinD("ths_adjustment_nv_fund",Y$3,$A370))</x:f>
        <x:v>#NAME?</x:v>
      </x:c>
      <x:c r="Z370" s="146" t="e">
        <x:f>IF($A370="","",[1]!thsiFinD("ths_adjustment_nv_fund",Z$3,$A370))</x:f>
        <x:v>#NAME?</x:v>
      </x:c>
      <x:c r="AA370" s="146" t="e">
        <x:f>IF($A370="","",[1]!thsiFinD("ths_adjustment_nv_fund",AA$3,$A370))</x:f>
        <x:v>#NAME?</x:v>
      </x:c>
    </x:row>
    <x:row r="371">
      <x:c r="B371" s="146" t="e">
        <x:f>IF($A371="","",[1]!thsiFinD("ths_adjustment_nv_fund",B$3,$A371))</x:f>
        <x:v>#NAME?</x:v>
      </x:c>
      <x:c r="C371" s="146" t="e">
        <x:f>IF($A371="","",[1]!thsiFinD("ths_adjustment_nv_fund",C$3,$A371))</x:f>
        <x:v>#NAME?</x:v>
      </x:c>
      <x:c r="D371" s="146" t="e">
        <x:f>IF($A371="","",[1]!thsiFinD("ths_adjustment_nv_fund",D$3,$A371))</x:f>
        <x:v>#NAME?</x:v>
      </x:c>
      <x:c r="E371" s="146" t="e">
        <x:f>IF($A371="","",[1]!thsiFinD("ths_adjustment_nv_fund",E$3,$A371))</x:f>
        <x:v>#NAME?</x:v>
      </x:c>
      <x:c r="F371" s="146" t="e">
        <x:f>IF($A371="","",[1]!thsiFinD("ths_adjustment_nv_fund",F$3,$A371))</x:f>
        <x:v>#NAME?</x:v>
      </x:c>
      <x:c r="G371" s="146" t="e">
        <x:f>IF($A371="","",[1]!thsiFinD("ths_adjustment_nv_fund",G$3,$A371))</x:f>
        <x:v>#NAME?</x:v>
      </x:c>
      <x:c r="H371" s="146" t="e">
        <x:f>IF($A371="","",[1]!thsiFinD("ths_adjustment_nv_fund",H$3,$A371))</x:f>
        <x:v>#NAME?</x:v>
      </x:c>
      <x:c r="I371" s="146" t="e">
        <x:f>IF($A371="","",[1]!thsiFinD("ths_adjustment_nv_fund",I$3,$A371))</x:f>
        <x:v>#NAME?</x:v>
      </x:c>
      <x:c r="J371" s="146" t="e">
        <x:f>IF($A371="","",[1]!thsiFinD("ths_adjustment_nv_fund",J$3,$A371))</x:f>
        <x:v>#NAME?</x:v>
      </x:c>
      <x:c r="K371" s="146" t="e">
        <x:f>IF($A371="","",[1]!thsiFinD("ths_adjustment_nv_fund",K$3,$A371))</x:f>
        <x:v>#NAME?</x:v>
      </x:c>
      <x:c r="L371" s="146" t="e">
        <x:f>IF($A371="","",[1]!thsiFinD("ths_adjustment_nv_fund",L$3,$A371))</x:f>
        <x:v>#NAME?</x:v>
      </x:c>
      <x:c r="M371" s="146" t="e">
        <x:f>IF($A371="","",[1]!thsiFinD("ths_adjustment_nv_fund",M$3,$A371))</x:f>
        <x:v>#NAME?</x:v>
      </x:c>
      <x:c r="N371" s="146" t="e">
        <x:f>IF($A371="","",[1]!thsiFinD("ths_adjustment_nv_fund",N$3,$A371))</x:f>
        <x:v>#NAME?</x:v>
      </x:c>
      <x:c r="O371" s="146" t="e">
        <x:f>IF($A371="","",[1]!thsiFinD("ths_adjustment_nv_fund",O$3,$A371))</x:f>
        <x:v>#NAME?</x:v>
      </x:c>
      <x:c r="P371" s="146" t="e">
        <x:f>IF($A371="","",[1]!thsiFinD("ths_adjustment_nv_fund",P$3,$A371))</x:f>
        <x:v>#NAME?</x:v>
      </x:c>
      <x:c r="Q371" s="146" t="e">
        <x:f>IF($A371="","",[1]!thsiFinD("ths_adjustment_nv_fund",Q$3,$A371))</x:f>
        <x:v>#NAME?</x:v>
      </x:c>
      <x:c r="R371" s="146" t="e">
        <x:f>IF($A371="","",[1]!thsiFinD("ths_adjustment_nv_fund",R$3,$A371))</x:f>
        <x:v>#NAME?</x:v>
      </x:c>
      <x:c r="S371" s="146" t="e">
        <x:f>IF($A371="","",[1]!thsiFinD("ths_adjustment_nv_fund",S$3,$A371))</x:f>
        <x:v>#NAME?</x:v>
      </x:c>
      <x:c r="T371" s="146" t="e">
        <x:f>IF($A371="","",[1]!thsiFinD("ths_adjustment_nv_fund",T$3,$A371))</x:f>
        <x:v>#NAME?</x:v>
      </x:c>
      <x:c r="U371" s="146" t="e">
        <x:f>IF($A371="","",[1]!thsiFinD("ths_adjustment_nv_fund",U$3,$A371))</x:f>
        <x:v>#NAME?</x:v>
      </x:c>
      <x:c r="V371" s="146" t="e">
        <x:f>IF($A371="","",[1]!thsiFinD("ths_adjustment_nv_fund",V$3,$A371))</x:f>
        <x:v>#NAME?</x:v>
      </x:c>
      <x:c r="W371" s="146" t="e">
        <x:f>IF($A371="","",[1]!thsiFinD("ths_adjustment_nv_fund",W$3,$A371))</x:f>
        <x:v>#NAME?</x:v>
      </x:c>
      <x:c r="X371" s="146" t="e">
        <x:f>IF($A371="","",[1]!thsiFinD("ths_adjustment_nv_fund",X$3,$A371))</x:f>
        <x:v>#NAME?</x:v>
      </x:c>
      <x:c r="Y371" s="146" t="e">
        <x:f>IF($A371="","",[1]!thsiFinD("ths_adjustment_nv_fund",Y$3,$A371))</x:f>
        <x:v>#NAME?</x:v>
      </x:c>
      <x:c r="Z371" s="146" t="e">
        <x:f>IF($A371="","",[1]!thsiFinD("ths_adjustment_nv_fund",Z$3,$A371))</x:f>
        <x:v>#NAME?</x:v>
      </x:c>
      <x:c r="AA371" s="146" t="e">
        <x:f>IF($A371="","",[1]!thsiFinD("ths_adjustment_nv_fund",AA$3,$A371))</x:f>
        <x:v>#NAME?</x:v>
      </x:c>
    </x:row>
    <x:row r="372">
      <x:c r="B372" s="146" t="e">
        <x:f>IF($A372="","",[1]!thsiFinD("ths_adjustment_nv_fund",B$3,$A372))</x:f>
        <x:v>#NAME?</x:v>
      </x:c>
      <x:c r="C372" s="146" t="e">
        <x:f>IF($A372="","",[1]!thsiFinD("ths_adjustment_nv_fund",C$3,$A372))</x:f>
        <x:v>#NAME?</x:v>
      </x:c>
      <x:c r="D372" s="146" t="e">
        <x:f>IF($A372="","",[1]!thsiFinD("ths_adjustment_nv_fund",D$3,$A372))</x:f>
        <x:v>#NAME?</x:v>
      </x:c>
      <x:c r="E372" s="146" t="e">
        <x:f>IF($A372="","",[1]!thsiFinD("ths_adjustment_nv_fund",E$3,$A372))</x:f>
        <x:v>#NAME?</x:v>
      </x:c>
      <x:c r="F372" s="146" t="e">
        <x:f>IF($A372="","",[1]!thsiFinD("ths_adjustment_nv_fund",F$3,$A372))</x:f>
        <x:v>#NAME?</x:v>
      </x:c>
      <x:c r="G372" s="146" t="e">
        <x:f>IF($A372="","",[1]!thsiFinD("ths_adjustment_nv_fund",G$3,$A372))</x:f>
        <x:v>#NAME?</x:v>
      </x:c>
      <x:c r="H372" s="146" t="e">
        <x:f>IF($A372="","",[1]!thsiFinD("ths_adjustment_nv_fund",H$3,$A372))</x:f>
        <x:v>#NAME?</x:v>
      </x:c>
      <x:c r="I372" s="146" t="e">
        <x:f>IF($A372="","",[1]!thsiFinD("ths_adjustment_nv_fund",I$3,$A372))</x:f>
        <x:v>#NAME?</x:v>
      </x:c>
      <x:c r="J372" s="146" t="e">
        <x:f>IF($A372="","",[1]!thsiFinD("ths_adjustment_nv_fund",J$3,$A372))</x:f>
        <x:v>#NAME?</x:v>
      </x:c>
      <x:c r="K372" s="146" t="e">
        <x:f>IF($A372="","",[1]!thsiFinD("ths_adjustment_nv_fund",K$3,$A372))</x:f>
        <x:v>#NAME?</x:v>
      </x:c>
      <x:c r="L372" s="146" t="e">
        <x:f>IF($A372="","",[1]!thsiFinD("ths_adjustment_nv_fund",L$3,$A372))</x:f>
        <x:v>#NAME?</x:v>
      </x:c>
      <x:c r="M372" s="146" t="e">
        <x:f>IF($A372="","",[1]!thsiFinD("ths_adjustment_nv_fund",M$3,$A372))</x:f>
        <x:v>#NAME?</x:v>
      </x:c>
      <x:c r="N372" s="146" t="e">
        <x:f>IF($A372="","",[1]!thsiFinD("ths_adjustment_nv_fund",N$3,$A372))</x:f>
        <x:v>#NAME?</x:v>
      </x:c>
      <x:c r="O372" s="146" t="e">
        <x:f>IF($A372="","",[1]!thsiFinD("ths_adjustment_nv_fund",O$3,$A372))</x:f>
        <x:v>#NAME?</x:v>
      </x:c>
      <x:c r="P372" s="146" t="e">
        <x:f>IF($A372="","",[1]!thsiFinD("ths_adjustment_nv_fund",P$3,$A372))</x:f>
        <x:v>#NAME?</x:v>
      </x:c>
      <x:c r="Q372" s="146" t="e">
        <x:f>IF($A372="","",[1]!thsiFinD("ths_adjustment_nv_fund",Q$3,$A372))</x:f>
        <x:v>#NAME?</x:v>
      </x:c>
      <x:c r="R372" s="146" t="e">
        <x:f>IF($A372="","",[1]!thsiFinD("ths_adjustment_nv_fund",R$3,$A372))</x:f>
        <x:v>#NAME?</x:v>
      </x:c>
      <x:c r="S372" s="146" t="e">
        <x:f>IF($A372="","",[1]!thsiFinD("ths_adjustment_nv_fund",S$3,$A372))</x:f>
        <x:v>#NAME?</x:v>
      </x:c>
      <x:c r="T372" s="146" t="e">
        <x:f>IF($A372="","",[1]!thsiFinD("ths_adjustment_nv_fund",T$3,$A372))</x:f>
        <x:v>#NAME?</x:v>
      </x:c>
      <x:c r="U372" s="146" t="e">
        <x:f>IF($A372="","",[1]!thsiFinD("ths_adjustment_nv_fund",U$3,$A372))</x:f>
        <x:v>#NAME?</x:v>
      </x:c>
      <x:c r="V372" s="146" t="e">
        <x:f>IF($A372="","",[1]!thsiFinD("ths_adjustment_nv_fund",V$3,$A372))</x:f>
        <x:v>#NAME?</x:v>
      </x:c>
      <x:c r="W372" s="146" t="e">
        <x:f>IF($A372="","",[1]!thsiFinD("ths_adjustment_nv_fund",W$3,$A372))</x:f>
        <x:v>#NAME?</x:v>
      </x:c>
      <x:c r="X372" s="146" t="e">
        <x:f>IF($A372="","",[1]!thsiFinD("ths_adjustment_nv_fund",X$3,$A372))</x:f>
        <x:v>#NAME?</x:v>
      </x:c>
      <x:c r="Y372" s="146" t="e">
        <x:f>IF($A372="","",[1]!thsiFinD("ths_adjustment_nv_fund",Y$3,$A372))</x:f>
        <x:v>#NAME?</x:v>
      </x:c>
      <x:c r="Z372" s="146" t="e">
        <x:f>IF($A372="","",[1]!thsiFinD("ths_adjustment_nv_fund",Z$3,$A372))</x:f>
        <x:v>#NAME?</x:v>
      </x:c>
      <x:c r="AA372" s="146" t="e">
        <x:f>IF($A372="","",[1]!thsiFinD("ths_adjustment_nv_fund",AA$3,$A372))</x:f>
        <x:v>#NAME?</x:v>
      </x:c>
    </x:row>
    <x:row r="373">
      <x:c r="B373" s="146" t="e">
        <x:f>IF($A373="","",[1]!thsiFinD("ths_adjustment_nv_fund",B$3,$A373))</x:f>
        <x:v>#NAME?</x:v>
      </x:c>
      <x:c r="C373" s="146" t="e">
        <x:f>IF($A373="","",[1]!thsiFinD("ths_adjustment_nv_fund",C$3,$A373))</x:f>
        <x:v>#NAME?</x:v>
      </x:c>
      <x:c r="D373" s="146" t="e">
        <x:f>IF($A373="","",[1]!thsiFinD("ths_adjustment_nv_fund",D$3,$A373))</x:f>
        <x:v>#NAME?</x:v>
      </x:c>
      <x:c r="E373" s="146" t="e">
        <x:f>IF($A373="","",[1]!thsiFinD("ths_adjustment_nv_fund",E$3,$A373))</x:f>
        <x:v>#NAME?</x:v>
      </x:c>
      <x:c r="F373" s="146" t="e">
        <x:f>IF($A373="","",[1]!thsiFinD("ths_adjustment_nv_fund",F$3,$A373))</x:f>
        <x:v>#NAME?</x:v>
      </x:c>
      <x:c r="G373" s="146" t="e">
        <x:f>IF($A373="","",[1]!thsiFinD("ths_adjustment_nv_fund",G$3,$A373))</x:f>
        <x:v>#NAME?</x:v>
      </x:c>
      <x:c r="H373" s="146" t="e">
        <x:f>IF($A373="","",[1]!thsiFinD("ths_adjustment_nv_fund",H$3,$A373))</x:f>
        <x:v>#NAME?</x:v>
      </x:c>
      <x:c r="I373" s="146" t="e">
        <x:f>IF($A373="","",[1]!thsiFinD("ths_adjustment_nv_fund",I$3,$A373))</x:f>
        <x:v>#NAME?</x:v>
      </x:c>
      <x:c r="J373" s="146" t="e">
        <x:f>IF($A373="","",[1]!thsiFinD("ths_adjustment_nv_fund",J$3,$A373))</x:f>
        <x:v>#NAME?</x:v>
      </x:c>
      <x:c r="K373" s="146" t="e">
        <x:f>IF($A373="","",[1]!thsiFinD("ths_adjustment_nv_fund",K$3,$A373))</x:f>
        <x:v>#NAME?</x:v>
      </x:c>
      <x:c r="L373" s="146" t="e">
        <x:f>IF($A373="","",[1]!thsiFinD("ths_adjustment_nv_fund",L$3,$A373))</x:f>
        <x:v>#NAME?</x:v>
      </x:c>
      <x:c r="M373" s="146" t="e">
        <x:f>IF($A373="","",[1]!thsiFinD("ths_adjustment_nv_fund",M$3,$A373))</x:f>
        <x:v>#NAME?</x:v>
      </x:c>
      <x:c r="N373" s="146" t="e">
        <x:f>IF($A373="","",[1]!thsiFinD("ths_adjustment_nv_fund",N$3,$A373))</x:f>
        <x:v>#NAME?</x:v>
      </x:c>
      <x:c r="O373" s="146" t="e">
        <x:f>IF($A373="","",[1]!thsiFinD("ths_adjustment_nv_fund",O$3,$A373))</x:f>
        <x:v>#NAME?</x:v>
      </x:c>
      <x:c r="P373" s="146" t="e">
        <x:f>IF($A373="","",[1]!thsiFinD("ths_adjustment_nv_fund",P$3,$A373))</x:f>
        <x:v>#NAME?</x:v>
      </x:c>
      <x:c r="Q373" s="146" t="e">
        <x:f>IF($A373="","",[1]!thsiFinD("ths_adjustment_nv_fund",Q$3,$A373))</x:f>
        <x:v>#NAME?</x:v>
      </x:c>
      <x:c r="R373" s="146" t="e">
        <x:f>IF($A373="","",[1]!thsiFinD("ths_adjustment_nv_fund",R$3,$A373))</x:f>
        <x:v>#NAME?</x:v>
      </x:c>
      <x:c r="S373" s="146" t="e">
        <x:f>IF($A373="","",[1]!thsiFinD("ths_adjustment_nv_fund",S$3,$A373))</x:f>
        <x:v>#NAME?</x:v>
      </x:c>
      <x:c r="T373" s="146" t="e">
        <x:f>IF($A373="","",[1]!thsiFinD("ths_adjustment_nv_fund",T$3,$A373))</x:f>
        <x:v>#NAME?</x:v>
      </x:c>
      <x:c r="U373" s="146" t="e">
        <x:f>IF($A373="","",[1]!thsiFinD("ths_adjustment_nv_fund",U$3,$A373))</x:f>
        <x:v>#NAME?</x:v>
      </x:c>
      <x:c r="V373" s="146" t="e">
        <x:f>IF($A373="","",[1]!thsiFinD("ths_adjustment_nv_fund",V$3,$A373))</x:f>
        <x:v>#NAME?</x:v>
      </x:c>
      <x:c r="W373" s="146" t="e">
        <x:f>IF($A373="","",[1]!thsiFinD("ths_adjustment_nv_fund",W$3,$A373))</x:f>
        <x:v>#NAME?</x:v>
      </x:c>
      <x:c r="X373" s="146" t="e">
        <x:f>IF($A373="","",[1]!thsiFinD("ths_adjustment_nv_fund",X$3,$A373))</x:f>
        <x:v>#NAME?</x:v>
      </x:c>
      <x:c r="Y373" s="146" t="e">
        <x:f>IF($A373="","",[1]!thsiFinD("ths_adjustment_nv_fund",Y$3,$A373))</x:f>
        <x:v>#NAME?</x:v>
      </x:c>
      <x:c r="Z373" s="146" t="e">
        <x:f>IF($A373="","",[1]!thsiFinD("ths_adjustment_nv_fund",Z$3,$A373))</x:f>
        <x:v>#NAME?</x:v>
      </x:c>
      <x:c r="AA373" s="146" t="e">
        <x:f>IF($A373="","",[1]!thsiFinD("ths_adjustment_nv_fund",AA$3,$A373))</x:f>
        <x:v>#NAME?</x:v>
      </x:c>
    </x:row>
    <x:row r="374">
      <x:c r="B374" s="146" t="e">
        <x:f>IF($A374="","",[1]!thsiFinD("ths_adjustment_nv_fund",B$3,$A374))</x:f>
        <x:v>#NAME?</x:v>
      </x:c>
      <x:c r="C374" s="146" t="e">
        <x:f>IF($A374="","",[1]!thsiFinD("ths_adjustment_nv_fund",C$3,$A374))</x:f>
        <x:v>#NAME?</x:v>
      </x:c>
      <x:c r="D374" s="146" t="e">
        <x:f>IF($A374="","",[1]!thsiFinD("ths_adjustment_nv_fund",D$3,$A374))</x:f>
        <x:v>#NAME?</x:v>
      </x:c>
      <x:c r="E374" s="146" t="e">
        <x:f>IF($A374="","",[1]!thsiFinD("ths_adjustment_nv_fund",E$3,$A374))</x:f>
        <x:v>#NAME?</x:v>
      </x:c>
      <x:c r="F374" s="146" t="e">
        <x:f>IF($A374="","",[1]!thsiFinD("ths_adjustment_nv_fund",F$3,$A374))</x:f>
        <x:v>#NAME?</x:v>
      </x:c>
      <x:c r="G374" s="146" t="e">
        <x:f>IF($A374="","",[1]!thsiFinD("ths_adjustment_nv_fund",G$3,$A374))</x:f>
        <x:v>#NAME?</x:v>
      </x:c>
      <x:c r="H374" s="146" t="e">
        <x:f>IF($A374="","",[1]!thsiFinD("ths_adjustment_nv_fund",H$3,$A374))</x:f>
        <x:v>#NAME?</x:v>
      </x:c>
      <x:c r="I374" s="146" t="e">
        <x:f>IF($A374="","",[1]!thsiFinD("ths_adjustment_nv_fund",I$3,$A374))</x:f>
        <x:v>#NAME?</x:v>
      </x:c>
      <x:c r="J374" s="146" t="e">
        <x:f>IF($A374="","",[1]!thsiFinD("ths_adjustment_nv_fund",J$3,$A374))</x:f>
        <x:v>#NAME?</x:v>
      </x:c>
      <x:c r="K374" s="146" t="e">
        <x:f>IF($A374="","",[1]!thsiFinD("ths_adjustment_nv_fund",K$3,$A374))</x:f>
        <x:v>#NAME?</x:v>
      </x:c>
      <x:c r="L374" s="146" t="e">
        <x:f>IF($A374="","",[1]!thsiFinD("ths_adjustment_nv_fund",L$3,$A374))</x:f>
        <x:v>#NAME?</x:v>
      </x:c>
      <x:c r="M374" s="146" t="e">
        <x:f>IF($A374="","",[1]!thsiFinD("ths_adjustment_nv_fund",M$3,$A374))</x:f>
        <x:v>#NAME?</x:v>
      </x:c>
      <x:c r="N374" s="146" t="e">
        <x:f>IF($A374="","",[1]!thsiFinD("ths_adjustment_nv_fund",N$3,$A374))</x:f>
        <x:v>#NAME?</x:v>
      </x:c>
      <x:c r="O374" s="146" t="e">
        <x:f>IF($A374="","",[1]!thsiFinD("ths_adjustment_nv_fund",O$3,$A374))</x:f>
        <x:v>#NAME?</x:v>
      </x:c>
      <x:c r="P374" s="146" t="e">
        <x:f>IF($A374="","",[1]!thsiFinD("ths_adjustment_nv_fund",P$3,$A374))</x:f>
        <x:v>#NAME?</x:v>
      </x:c>
      <x:c r="Q374" s="146" t="e">
        <x:f>IF($A374="","",[1]!thsiFinD("ths_adjustment_nv_fund",Q$3,$A374))</x:f>
        <x:v>#NAME?</x:v>
      </x:c>
      <x:c r="R374" s="146" t="e">
        <x:f>IF($A374="","",[1]!thsiFinD("ths_adjustment_nv_fund",R$3,$A374))</x:f>
        <x:v>#NAME?</x:v>
      </x:c>
      <x:c r="S374" s="146" t="e">
        <x:f>IF($A374="","",[1]!thsiFinD("ths_adjustment_nv_fund",S$3,$A374))</x:f>
        <x:v>#NAME?</x:v>
      </x:c>
      <x:c r="T374" s="146" t="e">
        <x:f>IF($A374="","",[1]!thsiFinD("ths_adjustment_nv_fund",T$3,$A374))</x:f>
        <x:v>#NAME?</x:v>
      </x:c>
      <x:c r="U374" s="146" t="e">
        <x:f>IF($A374="","",[1]!thsiFinD("ths_adjustment_nv_fund",U$3,$A374))</x:f>
        <x:v>#NAME?</x:v>
      </x:c>
      <x:c r="V374" s="146" t="e">
        <x:f>IF($A374="","",[1]!thsiFinD("ths_adjustment_nv_fund",V$3,$A374))</x:f>
        <x:v>#NAME?</x:v>
      </x:c>
      <x:c r="W374" s="146" t="e">
        <x:f>IF($A374="","",[1]!thsiFinD("ths_adjustment_nv_fund",W$3,$A374))</x:f>
        <x:v>#NAME?</x:v>
      </x:c>
      <x:c r="X374" s="146" t="e">
        <x:f>IF($A374="","",[1]!thsiFinD("ths_adjustment_nv_fund",X$3,$A374))</x:f>
        <x:v>#NAME?</x:v>
      </x:c>
      <x:c r="Y374" s="146" t="e">
        <x:f>IF($A374="","",[1]!thsiFinD("ths_adjustment_nv_fund",Y$3,$A374))</x:f>
        <x:v>#NAME?</x:v>
      </x:c>
      <x:c r="Z374" s="146" t="e">
        <x:f>IF($A374="","",[1]!thsiFinD("ths_adjustment_nv_fund",Z$3,$A374))</x:f>
        <x:v>#NAME?</x:v>
      </x:c>
      <x:c r="AA374" s="146" t="e">
        <x:f>IF($A374="","",[1]!thsiFinD("ths_adjustment_nv_fund",AA$3,$A374))</x:f>
        <x:v>#NAME?</x:v>
      </x:c>
    </x:row>
    <x:row r="375">
      <x:c r="B375" s="146" t="e">
        <x:f>IF($A375="","",[1]!thsiFinD("ths_adjustment_nv_fund",B$3,$A375))</x:f>
        <x:v>#NAME?</x:v>
      </x:c>
      <x:c r="C375" s="146" t="e">
        <x:f>IF($A375="","",[1]!thsiFinD("ths_adjustment_nv_fund",C$3,$A375))</x:f>
        <x:v>#NAME?</x:v>
      </x:c>
      <x:c r="D375" s="146" t="e">
        <x:f>IF($A375="","",[1]!thsiFinD("ths_adjustment_nv_fund",D$3,$A375))</x:f>
        <x:v>#NAME?</x:v>
      </x:c>
      <x:c r="E375" s="146" t="e">
        <x:f>IF($A375="","",[1]!thsiFinD("ths_adjustment_nv_fund",E$3,$A375))</x:f>
        <x:v>#NAME?</x:v>
      </x:c>
      <x:c r="F375" s="146" t="e">
        <x:f>IF($A375="","",[1]!thsiFinD("ths_adjustment_nv_fund",F$3,$A375))</x:f>
        <x:v>#NAME?</x:v>
      </x:c>
      <x:c r="G375" s="146" t="e">
        <x:f>IF($A375="","",[1]!thsiFinD("ths_adjustment_nv_fund",G$3,$A375))</x:f>
        <x:v>#NAME?</x:v>
      </x:c>
      <x:c r="H375" s="146" t="e">
        <x:f>IF($A375="","",[1]!thsiFinD("ths_adjustment_nv_fund",H$3,$A375))</x:f>
        <x:v>#NAME?</x:v>
      </x:c>
      <x:c r="I375" s="146" t="e">
        <x:f>IF($A375="","",[1]!thsiFinD("ths_adjustment_nv_fund",I$3,$A375))</x:f>
        <x:v>#NAME?</x:v>
      </x:c>
      <x:c r="J375" s="146" t="e">
        <x:f>IF($A375="","",[1]!thsiFinD("ths_adjustment_nv_fund",J$3,$A375))</x:f>
        <x:v>#NAME?</x:v>
      </x:c>
      <x:c r="K375" s="146" t="e">
        <x:f>IF($A375="","",[1]!thsiFinD("ths_adjustment_nv_fund",K$3,$A375))</x:f>
        <x:v>#NAME?</x:v>
      </x:c>
      <x:c r="L375" s="146" t="e">
        <x:f>IF($A375="","",[1]!thsiFinD("ths_adjustment_nv_fund",L$3,$A375))</x:f>
        <x:v>#NAME?</x:v>
      </x:c>
      <x:c r="M375" s="146" t="e">
        <x:f>IF($A375="","",[1]!thsiFinD("ths_adjustment_nv_fund",M$3,$A375))</x:f>
        <x:v>#NAME?</x:v>
      </x:c>
      <x:c r="N375" s="146" t="e">
        <x:f>IF($A375="","",[1]!thsiFinD("ths_adjustment_nv_fund",N$3,$A375))</x:f>
        <x:v>#NAME?</x:v>
      </x:c>
      <x:c r="O375" s="146" t="e">
        <x:f>IF($A375="","",[1]!thsiFinD("ths_adjustment_nv_fund",O$3,$A375))</x:f>
        <x:v>#NAME?</x:v>
      </x:c>
      <x:c r="P375" s="146" t="e">
        <x:f>IF($A375="","",[1]!thsiFinD("ths_adjustment_nv_fund",P$3,$A375))</x:f>
        <x:v>#NAME?</x:v>
      </x:c>
      <x:c r="Q375" s="146" t="e">
        <x:f>IF($A375="","",[1]!thsiFinD("ths_adjustment_nv_fund",Q$3,$A375))</x:f>
        <x:v>#NAME?</x:v>
      </x:c>
      <x:c r="R375" s="146" t="e">
        <x:f>IF($A375="","",[1]!thsiFinD("ths_adjustment_nv_fund",R$3,$A375))</x:f>
        <x:v>#NAME?</x:v>
      </x:c>
      <x:c r="S375" s="146" t="e">
        <x:f>IF($A375="","",[1]!thsiFinD("ths_adjustment_nv_fund",S$3,$A375))</x:f>
        <x:v>#NAME?</x:v>
      </x:c>
      <x:c r="T375" s="146" t="e">
        <x:f>IF($A375="","",[1]!thsiFinD("ths_adjustment_nv_fund",T$3,$A375))</x:f>
        <x:v>#NAME?</x:v>
      </x:c>
      <x:c r="U375" s="146" t="e">
        <x:f>IF($A375="","",[1]!thsiFinD("ths_adjustment_nv_fund",U$3,$A375))</x:f>
        <x:v>#NAME?</x:v>
      </x:c>
      <x:c r="V375" s="146" t="e">
        <x:f>IF($A375="","",[1]!thsiFinD("ths_adjustment_nv_fund",V$3,$A375))</x:f>
        <x:v>#NAME?</x:v>
      </x:c>
      <x:c r="W375" s="146" t="e">
        <x:f>IF($A375="","",[1]!thsiFinD("ths_adjustment_nv_fund",W$3,$A375))</x:f>
        <x:v>#NAME?</x:v>
      </x:c>
      <x:c r="X375" s="146" t="e">
        <x:f>IF($A375="","",[1]!thsiFinD("ths_adjustment_nv_fund",X$3,$A375))</x:f>
        <x:v>#NAME?</x:v>
      </x:c>
      <x:c r="Y375" s="146" t="e">
        <x:f>IF($A375="","",[1]!thsiFinD("ths_adjustment_nv_fund",Y$3,$A375))</x:f>
        <x:v>#NAME?</x:v>
      </x:c>
      <x:c r="Z375" s="146" t="e">
        <x:f>IF($A375="","",[1]!thsiFinD("ths_adjustment_nv_fund",Z$3,$A375))</x:f>
        <x:v>#NAME?</x:v>
      </x:c>
      <x:c r="AA375" s="146" t="e">
        <x:f>IF($A375="","",[1]!thsiFinD("ths_adjustment_nv_fund",AA$3,$A375))</x:f>
        <x:v>#NAME?</x:v>
      </x:c>
    </x:row>
    <x:row r="376">
      <x:c r="B376" s="146" t="e">
        <x:f>IF($A376="","",[1]!thsiFinD("ths_adjustment_nv_fund",B$3,$A376))</x:f>
        <x:v>#NAME?</x:v>
      </x:c>
      <x:c r="C376" s="146" t="e">
        <x:f>IF($A376="","",[1]!thsiFinD("ths_adjustment_nv_fund",C$3,$A376))</x:f>
        <x:v>#NAME?</x:v>
      </x:c>
      <x:c r="D376" s="146" t="e">
        <x:f>IF($A376="","",[1]!thsiFinD("ths_adjustment_nv_fund",D$3,$A376))</x:f>
        <x:v>#NAME?</x:v>
      </x:c>
      <x:c r="E376" s="146" t="e">
        <x:f>IF($A376="","",[1]!thsiFinD("ths_adjustment_nv_fund",E$3,$A376))</x:f>
        <x:v>#NAME?</x:v>
      </x:c>
      <x:c r="F376" s="146" t="e">
        <x:f>IF($A376="","",[1]!thsiFinD("ths_adjustment_nv_fund",F$3,$A376))</x:f>
        <x:v>#NAME?</x:v>
      </x:c>
      <x:c r="G376" s="146" t="e">
        <x:f>IF($A376="","",[1]!thsiFinD("ths_adjustment_nv_fund",G$3,$A376))</x:f>
        <x:v>#NAME?</x:v>
      </x:c>
      <x:c r="H376" s="146" t="e">
        <x:f>IF($A376="","",[1]!thsiFinD("ths_adjustment_nv_fund",H$3,$A376))</x:f>
        <x:v>#NAME?</x:v>
      </x:c>
      <x:c r="I376" s="146" t="e">
        <x:f>IF($A376="","",[1]!thsiFinD("ths_adjustment_nv_fund",I$3,$A376))</x:f>
        <x:v>#NAME?</x:v>
      </x:c>
      <x:c r="J376" s="146" t="e">
        <x:f>IF($A376="","",[1]!thsiFinD("ths_adjustment_nv_fund",J$3,$A376))</x:f>
        <x:v>#NAME?</x:v>
      </x:c>
      <x:c r="K376" s="146" t="e">
        <x:f>IF($A376="","",[1]!thsiFinD("ths_adjustment_nv_fund",K$3,$A376))</x:f>
        <x:v>#NAME?</x:v>
      </x:c>
      <x:c r="L376" s="146" t="e">
        <x:f>IF($A376="","",[1]!thsiFinD("ths_adjustment_nv_fund",L$3,$A376))</x:f>
        <x:v>#NAME?</x:v>
      </x:c>
      <x:c r="M376" s="146" t="e">
        <x:f>IF($A376="","",[1]!thsiFinD("ths_adjustment_nv_fund",M$3,$A376))</x:f>
        <x:v>#NAME?</x:v>
      </x:c>
      <x:c r="N376" s="146" t="e">
        <x:f>IF($A376="","",[1]!thsiFinD("ths_adjustment_nv_fund",N$3,$A376))</x:f>
        <x:v>#NAME?</x:v>
      </x:c>
      <x:c r="O376" s="146" t="e">
        <x:f>IF($A376="","",[1]!thsiFinD("ths_adjustment_nv_fund",O$3,$A376))</x:f>
        <x:v>#NAME?</x:v>
      </x:c>
      <x:c r="P376" s="146" t="e">
        <x:f>IF($A376="","",[1]!thsiFinD("ths_adjustment_nv_fund",P$3,$A376))</x:f>
        <x:v>#NAME?</x:v>
      </x:c>
      <x:c r="Q376" s="146" t="e">
        <x:f>IF($A376="","",[1]!thsiFinD("ths_adjustment_nv_fund",Q$3,$A376))</x:f>
        <x:v>#NAME?</x:v>
      </x:c>
      <x:c r="R376" s="146" t="e">
        <x:f>IF($A376="","",[1]!thsiFinD("ths_adjustment_nv_fund",R$3,$A376))</x:f>
        <x:v>#NAME?</x:v>
      </x:c>
      <x:c r="S376" s="146" t="e">
        <x:f>IF($A376="","",[1]!thsiFinD("ths_adjustment_nv_fund",S$3,$A376))</x:f>
        <x:v>#NAME?</x:v>
      </x:c>
      <x:c r="T376" s="146" t="e">
        <x:f>IF($A376="","",[1]!thsiFinD("ths_adjustment_nv_fund",T$3,$A376))</x:f>
        <x:v>#NAME?</x:v>
      </x:c>
      <x:c r="U376" s="146" t="e">
        <x:f>IF($A376="","",[1]!thsiFinD("ths_adjustment_nv_fund",U$3,$A376))</x:f>
        <x:v>#NAME?</x:v>
      </x:c>
      <x:c r="V376" s="146" t="e">
        <x:f>IF($A376="","",[1]!thsiFinD("ths_adjustment_nv_fund",V$3,$A376))</x:f>
        <x:v>#NAME?</x:v>
      </x:c>
      <x:c r="W376" s="146" t="e">
        <x:f>IF($A376="","",[1]!thsiFinD("ths_adjustment_nv_fund",W$3,$A376))</x:f>
        <x:v>#NAME?</x:v>
      </x:c>
      <x:c r="X376" s="146" t="e">
        <x:f>IF($A376="","",[1]!thsiFinD("ths_adjustment_nv_fund",X$3,$A376))</x:f>
        <x:v>#NAME?</x:v>
      </x:c>
      <x:c r="Y376" s="146" t="e">
        <x:f>IF($A376="","",[1]!thsiFinD("ths_adjustment_nv_fund",Y$3,$A376))</x:f>
        <x:v>#NAME?</x:v>
      </x:c>
      <x:c r="Z376" s="146" t="e">
        <x:f>IF($A376="","",[1]!thsiFinD("ths_adjustment_nv_fund",Z$3,$A376))</x:f>
        <x:v>#NAME?</x:v>
      </x:c>
      <x:c r="AA376" s="146" t="e">
        <x:f>IF($A376="","",[1]!thsiFinD("ths_adjustment_nv_fund",AA$3,$A376))</x:f>
        <x:v>#NAME?</x:v>
      </x:c>
    </x:row>
    <x:row r="377">
      <x:c r="B377" s="146" t="e">
        <x:f>IF($A377="","",[1]!thsiFinD("ths_adjustment_nv_fund",B$3,$A377))</x:f>
        <x:v>#NAME?</x:v>
      </x:c>
      <x:c r="C377" s="146" t="e">
        <x:f>IF($A377="","",[1]!thsiFinD("ths_adjustment_nv_fund",C$3,$A377))</x:f>
        <x:v>#NAME?</x:v>
      </x:c>
      <x:c r="D377" s="146" t="e">
        <x:f>IF($A377="","",[1]!thsiFinD("ths_adjustment_nv_fund",D$3,$A377))</x:f>
        <x:v>#NAME?</x:v>
      </x:c>
      <x:c r="E377" s="146" t="e">
        <x:f>IF($A377="","",[1]!thsiFinD("ths_adjustment_nv_fund",E$3,$A377))</x:f>
        <x:v>#NAME?</x:v>
      </x:c>
      <x:c r="F377" s="146" t="e">
        <x:f>IF($A377="","",[1]!thsiFinD("ths_adjustment_nv_fund",F$3,$A377))</x:f>
        <x:v>#NAME?</x:v>
      </x:c>
      <x:c r="G377" s="146" t="e">
        <x:f>IF($A377="","",[1]!thsiFinD("ths_adjustment_nv_fund",G$3,$A377))</x:f>
        <x:v>#NAME?</x:v>
      </x:c>
      <x:c r="H377" s="146" t="e">
        <x:f>IF($A377="","",[1]!thsiFinD("ths_adjustment_nv_fund",H$3,$A377))</x:f>
        <x:v>#NAME?</x:v>
      </x:c>
      <x:c r="I377" s="146" t="e">
        <x:f>IF($A377="","",[1]!thsiFinD("ths_adjustment_nv_fund",I$3,$A377))</x:f>
        <x:v>#NAME?</x:v>
      </x:c>
      <x:c r="J377" s="146" t="e">
        <x:f>IF($A377="","",[1]!thsiFinD("ths_adjustment_nv_fund",J$3,$A377))</x:f>
        <x:v>#NAME?</x:v>
      </x:c>
      <x:c r="K377" s="146" t="e">
        <x:f>IF($A377="","",[1]!thsiFinD("ths_adjustment_nv_fund",K$3,$A377))</x:f>
        <x:v>#NAME?</x:v>
      </x:c>
      <x:c r="L377" s="146" t="e">
        <x:f>IF($A377="","",[1]!thsiFinD("ths_adjustment_nv_fund",L$3,$A377))</x:f>
        <x:v>#NAME?</x:v>
      </x:c>
      <x:c r="M377" s="146" t="e">
        <x:f>IF($A377="","",[1]!thsiFinD("ths_adjustment_nv_fund",M$3,$A377))</x:f>
        <x:v>#NAME?</x:v>
      </x:c>
      <x:c r="N377" s="146" t="e">
        <x:f>IF($A377="","",[1]!thsiFinD("ths_adjustment_nv_fund",N$3,$A377))</x:f>
        <x:v>#NAME?</x:v>
      </x:c>
      <x:c r="O377" s="146" t="e">
        <x:f>IF($A377="","",[1]!thsiFinD("ths_adjustment_nv_fund",O$3,$A377))</x:f>
        <x:v>#NAME?</x:v>
      </x:c>
      <x:c r="P377" s="146" t="e">
        <x:f>IF($A377="","",[1]!thsiFinD("ths_adjustment_nv_fund",P$3,$A377))</x:f>
        <x:v>#NAME?</x:v>
      </x:c>
      <x:c r="Q377" s="146" t="e">
        <x:f>IF($A377="","",[1]!thsiFinD("ths_adjustment_nv_fund",Q$3,$A377))</x:f>
        <x:v>#NAME?</x:v>
      </x:c>
      <x:c r="R377" s="146" t="e">
        <x:f>IF($A377="","",[1]!thsiFinD("ths_adjustment_nv_fund",R$3,$A377))</x:f>
        <x:v>#NAME?</x:v>
      </x:c>
      <x:c r="S377" s="146" t="e">
        <x:f>IF($A377="","",[1]!thsiFinD("ths_adjustment_nv_fund",S$3,$A377))</x:f>
        <x:v>#NAME?</x:v>
      </x:c>
      <x:c r="T377" s="146" t="e">
        <x:f>IF($A377="","",[1]!thsiFinD("ths_adjustment_nv_fund",T$3,$A377))</x:f>
        <x:v>#NAME?</x:v>
      </x:c>
      <x:c r="U377" s="146" t="e">
        <x:f>IF($A377="","",[1]!thsiFinD("ths_adjustment_nv_fund",U$3,$A377))</x:f>
        <x:v>#NAME?</x:v>
      </x:c>
      <x:c r="V377" s="146" t="e">
        <x:f>IF($A377="","",[1]!thsiFinD("ths_adjustment_nv_fund",V$3,$A377))</x:f>
        <x:v>#NAME?</x:v>
      </x:c>
      <x:c r="W377" s="146" t="e">
        <x:f>IF($A377="","",[1]!thsiFinD("ths_adjustment_nv_fund",W$3,$A377))</x:f>
        <x:v>#NAME?</x:v>
      </x:c>
      <x:c r="X377" s="146" t="e">
        <x:f>IF($A377="","",[1]!thsiFinD("ths_adjustment_nv_fund",X$3,$A377))</x:f>
        <x:v>#NAME?</x:v>
      </x:c>
      <x:c r="Y377" s="146" t="e">
        <x:f>IF($A377="","",[1]!thsiFinD("ths_adjustment_nv_fund",Y$3,$A377))</x:f>
        <x:v>#NAME?</x:v>
      </x:c>
      <x:c r="Z377" s="146" t="e">
        <x:f>IF($A377="","",[1]!thsiFinD("ths_adjustment_nv_fund",Z$3,$A377))</x:f>
        <x:v>#NAME?</x:v>
      </x:c>
      <x:c r="AA377" s="146" t="e">
        <x:f>IF($A377="","",[1]!thsiFinD("ths_adjustment_nv_fund",AA$3,$A377))</x:f>
        <x:v>#NAME?</x:v>
      </x:c>
    </x:row>
    <x:row r="378">
      <x:c r="B378" s="146" t="e">
        <x:f>IF($A378="","",[1]!thsiFinD("ths_adjustment_nv_fund",B$3,$A378))</x:f>
        <x:v>#NAME?</x:v>
      </x:c>
      <x:c r="C378" s="146" t="e">
        <x:f>IF($A378="","",[1]!thsiFinD("ths_adjustment_nv_fund",C$3,$A378))</x:f>
        <x:v>#NAME?</x:v>
      </x:c>
      <x:c r="D378" s="146" t="e">
        <x:f>IF($A378="","",[1]!thsiFinD("ths_adjustment_nv_fund",D$3,$A378))</x:f>
        <x:v>#NAME?</x:v>
      </x:c>
      <x:c r="E378" s="146" t="e">
        <x:f>IF($A378="","",[1]!thsiFinD("ths_adjustment_nv_fund",E$3,$A378))</x:f>
        <x:v>#NAME?</x:v>
      </x:c>
      <x:c r="F378" s="146" t="e">
        <x:f>IF($A378="","",[1]!thsiFinD("ths_adjustment_nv_fund",F$3,$A378))</x:f>
        <x:v>#NAME?</x:v>
      </x:c>
      <x:c r="G378" s="146" t="e">
        <x:f>IF($A378="","",[1]!thsiFinD("ths_adjustment_nv_fund",G$3,$A378))</x:f>
        <x:v>#NAME?</x:v>
      </x:c>
      <x:c r="H378" s="146" t="e">
        <x:f>IF($A378="","",[1]!thsiFinD("ths_adjustment_nv_fund",H$3,$A378))</x:f>
        <x:v>#NAME?</x:v>
      </x:c>
      <x:c r="I378" s="146" t="e">
        <x:f>IF($A378="","",[1]!thsiFinD("ths_adjustment_nv_fund",I$3,$A378))</x:f>
        <x:v>#NAME?</x:v>
      </x:c>
      <x:c r="J378" s="146" t="e">
        <x:f>IF($A378="","",[1]!thsiFinD("ths_adjustment_nv_fund",J$3,$A378))</x:f>
        <x:v>#NAME?</x:v>
      </x:c>
      <x:c r="K378" s="146" t="e">
        <x:f>IF($A378="","",[1]!thsiFinD("ths_adjustment_nv_fund",K$3,$A378))</x:f>
        <x:v>#NAME?</x:v>
      </x:c>
      <x:c r="L378" s="146" t="e">
        <x:f>IF($A378="","",[1]!thsiFinD("ths_adjustment_nv_fund",L$3,$A378))</x:f>
        <x:v>#NAME?</x:v>
      </x:c>
      <x:c r="M378" s="146" t="e">
        <x:f>IF($A378="","",[1]!thsiFinD("ths_adjustment_nv_fund",M$3,$A378))</x:f>
        <x:v>#NAME?</x:v>
      </x:c>
      <x:c r="N378" s="146" t="e">
        <x:f>IF($A378="","",[1]!thsiFinD("ths_adjustment_nv_fund",N$3,$A378))</x:f>
        <x:v>#NAME?</x:v>
      </x:c>
      <x:c r="O378" s="146" t="e">
        <x:f>IF($A378="","",[1]!thsiFinD("ths_adjustment_nv_fund",O$3,$A378))</x:f>
        <x:v>#NAME?</x:v>
      </x:c>
      <x:c r="P378" s="146" t="e">
        <x:f>IF($A378="","",[1]!thsiFinD("ths_adjustment_nv_fund",P$3,$A378))</x:f>
        <x:v>#NAME?</x:v>
      </x:c>
      <x:c r="Q378" s="146" t="e">
        <x:f>IF($A378="","",[1]!thsiFinD("ths_adjustment_nv_fund",Q$3,$A378))</x:f>
        <x:v>#NAME?</x:v>
      </x:c>
      <x:c r="R378" s="146" t="e">
        <x:f>IF($A378="","",[1]!thsiFinD("ths_adjustment_nv_fund",R$3,$A378))</x:f>
        <x:v>#NAME?</x:v>
      </x:c>
      <x:c r="S378" s="146" t="e">
        <x:f>IF($A378="","",[1]!thsiFinD("ths_adjustment_nv_fund",S$3,$A378))</x:f>
        <x:v>#NAME?</x:v>
      </x:c>
      <x:c r="T378" s="146" t="e">
        <x:f>IF($A378="","",[1]!thsiFinD("ths_adjustment_nv_fund",T$3,$A378))</x:f>
        <x:v>#NAME?</x:v>
      </x:c>
      <x:c r="U378" s="146" t="e">
        <x:f>IF($A378="","",[1]!thsiFinD("ths_adjustment_nv_fund",U$3,$A378))</x:f>
        <x:v>#NAME?</x:v>
      </x:c>
      <x:c r="V378" s="146" t="e">
        <x:f>IF($A378="","",[1]!thsiFinD("ths_adjustment_nv_fund",V$3,$A378))</x:f>
        <x:v>#NAME?</x:v>
      </x:c>
      <x:c r="W378" s="146" t="e">
        <x:f>IF($A378="","",[1]!thsiFinD("ths_adjustment_nv_fund",W$3,$A378))</x:f>
        <x:v>#NAME?</x:v>
      </x:c>
      <x:c r="X378" s="146" t="e">
        <x:f>IF($A378="","",[1]!thsiFinD("ths_adjustment_nv_fund",X$3,$A378))</x:f>
        <x:v>#NAME?</x:v>
      </x:c>
      <x:c r="Y378" s="146" t="e">
        <x:f>IF($A378="","",[1]!thsiFinD("ths_adjustment_nv_fund",Y$3,$A378))</x:f>
        <x:v>#NAME?</x:v>
      </x:c>
      <x:c r="Z378" s="146" t="e">
        <x:f>IF($A378="","",[1]!thsiFinD("ths_adjustment_nv_fund",Z$3,$A378))</x:f>
        <x:v>#NAME?</x:v>
      </x:c>
      <x:c r="AA378" s="146" t="e">
        <x:f>IF($A378="","",[1]!thsiFinD("ths_adjustment_nv_fund",AA$3,$A378))</x:f>
        <x:v>#NAME?</x:v>
      </x:c>
    </x:row>
    <x:row r="379">
      <x:c r="B379" s="146" t="e">
        <x:f>IF($A379="","",[1]!thsiFinD("ths_adjustment_nv_fund",B$3,$A379))</x:f>
        <x:v>#NAME?</x:v>
      </x:c>
      <x:c r="C379" s="146" t="e">
        <x:f>IF($A379="","",[1]!thsiFinD("ths_adjustment_nv_fund",C$3,$A379))</x:f>
        <x:v>#NAME?</x:v>
      </x:c>
      <x:c r="D379" s="146" t="e">
        <x:f>IF($A379="","",[1]!thsiFinD("ths_adjustment_nv_fund",D$3,$A379))</x:f>
        <x:v>#NAME?</x:v>
      </x:c>
      <x:c r="E379" s="146" t="e">
        <x:f>IF($A379="","",[1]!thsiFinD("ths_adjustment_nv_fund",E$3,$A379))</x:f>
        <x:v>#NAME?</x:v>
      </x:c>
      <x:c r="F379" s="146" t="e">
        <x:f>IF($A379="","",[1]!thsiFinD("ths_adjustment_nv_fund",F$3,$A379))</x:f>
        <x:v>#NAME?</x:v>
      </x:c>
      <x:c r="G379" s="146" t="e">
        <x:f>IF($A379="","",[1]!thsiFinD("ths_adjustment_nv_fund",G$3,$A379))</x:f>
        <x:v>#NAME?</x:v>
      </x:c>
      <x:c r="H379" s="146" t="e">
        <x:f>IF($A379="","",[1]!thsiFinD("ths_adjustment_nv_fund",H$3,$A379))</x:f>
        <x:v>#NAME?</x:v>
      </x:c>
      <x:c r="I379" s="146" t="e">
        <x:f>IF($A379="","",[1]!thsiFinD("ths_adjustment_nv_fund",I$3,$A379))</x:f>
        <x:v>#NAME?</x:v>
      </x:c>
      <x:c r="J379" s="146" t="e">
        <x:f>IF($A379="","",[1]!thsiFinD("ths_adjustment_nv_fund",J$3,$A379))</x:f>
        <x:v>#NAME?</x:v>
      </x:c>
      <x:c r="K379" s="146" t="e">
        <x:f>IF($A379="","",[1]!thsiFinD("ths_adjustment_nv_fund",K$3,$A379))</x:f>
        <x:v>#NAME?</x:v>
      </x:c>
      <x:c r="L379" s="146" t="e">
        <x:f>IF($A379="","",[1]!thsiFinD("ths_adjustment_nv_fund",L$3,$A379))</x:f>
        <x:v>#NAME?</x:v>
      </x:c>
      <x:c r="M379" s="146" t="e">
        <x:f>IF($A379="","",[1]!thsiFinD("ths_adjustment_nv_fund",M$3,$A379))</x:f>
        <x:v>#NAME?</x:v>
      </x:c>
      <x:c r="N379" s="146" t="e">
        <x:f>IF($A379="","",[1]!thsiFinD("ths_adjustment_nv_fund",N$3,$A379))</x:f>
        <x:v>#NAME?</x:v>
      </x:c>
      <x:c r="O379" s="146" t="e">
        <x:f>IF($A379="","",[1]!thsiFinD("ths_adjustment_nv_fund",O$3,$A379))</x:f>
        <x:v>#NAME?</x:v>
      </x:c>
      <x:c r="P379" s="146" t="e">
        <x:f>IF($A379="","",[1]!thsiFinD("ths_adjustment_nv_fund",P$3,$A379))</x:f>
        <x:v>#NAME?</x:v>
      </x:c>
      <x:c r="Q379" s="146" t="e">
        <x:f>IF($A379="","",[1]!thsiFinD("ths_adjustment_nv_fund",Q$3,$A379))</x:f>
        <x:v>#NAME?</x:v>
      </x:c>
      <x:c r="R379" s="146" t="e">
        <x:f>IF($A379="","",[1]!thsiFinD("ths_adjustment_nv_fund",R$3,$A379))</x:f>
        <x:v>#NAME?</x:v>
      </x:c>
      <x:c r="S379" s="146" t="e">
        <x:f>IF($A379="","",[1]!thsiFinD("ths_adjustment_nv_fund",S$3,$A379))</x:f>
        <x:v>#NAME?</x:v>
      </x:c>
      <x:c r="T379" s="146" t="e">
        <x:f>IF($A379="","",[1]!thsiFinD("ths_adjustment_nv_fund",T$3,$A379))</x:f>
        <x:v>#NAME?</x:v>
      </x:c>
      <x:c r="U379" s="146" t="e">
        <x:f>IF($A379="","",[1]!thsiFinD("ths_adjustment_nv_fund",U$3,$A379))</x:f>
        <x:v>#NAME?</x:v>
      </x:c>
      <x:c r="V379" s="146" t="e">
        <x:f>IF($A379="","",[1]!thsiFinD("ths_adjustment_nv_fund",V$3,$A379))</x:f>
        <x:v>#NAME?</x:v>
      </x:c>
      <x:c r="W379" s="146" t="e">
        <x:f>IF($A379="","",[1]!thsiFinD("ths_adjustment_nv_fund",W$3,$A379))</x:f>
        <x:v>#NAME?</x:v>
      </x:c>
      <x:c r="X379" s="146" t="e">
        <x:f>IF($A379="","",[1]!thsiFinD("ths_adjustment_nv_fund",X$3,$A379))</x:f>
        <x:v>#NAME?</x:v>
      </x:c>
      <x:c r="Y379" s="146" t="e">
        <x:f>IF($A379="","",[1]!thsiFinD("ths_adjustment_nv_fund",Y$3,$A379))</x:f>
        <x:v>#NAME?</x:v>
      </x:c>
      <x:c r="Z379" s="146" t="e">
        <x:f>IF($A379="","",[1]!thsiFinD("ths_adjustment_nv_fund",Z$3,$A379))</x:f>
        <x:v>#NAME?</x:v>
      </x:c>
      <x:c r="AA379" s="146" t="e">
        <x:f>IF($A379="","",[1]!thsiFinD("ths_adjustment_nv_fund",AA$3,$A379))</x:f>
        <x:v>#NAME?</x:v>
      </x:c>
    </x:row>
    <x:row r="380">
      <x:c r="B380" s="146" t="e">
        <x:f>IF($A380="","",[1]!thsiFinD("ths_adjustment_nv_fund",B$3,$A380))</x:f>
        <x:v>#NAME?</x:v>
      </x:c>
      <x:c r="C380" s="146" t="e">
        <x:f>IF($A380="","",[1]!thsiFinD("ths_adjustment_nv_fund",C$3,$A380))</x:f>
        <x:v>#NAME?</x:v>
      </x:c>
      <x:c r="D380" s="146" t="e">
        <x:f>IF($A380="","",[1]!thsiFinD("ths_adjustment_nv_fund",D$3,$A380))</x:f>
        <x:v>#NAME?</x:v>
      </x:c>
      <x:c r="E380" s="146" t="e">
        <x:f>IF($A380="","",[1]!thsiFinD("ths_adjustment_nv_fund",E$3,$A380))</x:f>
        <x:v>#NAME?</x:v>
      </x:c>
      <x:c r="F380" s="146" t="e">
        <x:f>IF($A380="","",[1]!thsiFinD("ths_adjustment_nv_fund",F$3,$A380))</x:f>
        <x:v>#NAME?</x:v>
      </x:c>
      <x:c r="G380" s="146" t="e">
        <x:f>IF($A380="","",[1]!thsiFinD("ths_adjustment_nv_fund",G$3,$A380))</x:f>
        <x:v>#NAME?</x:v>
      </x:c>
      <x:c r="H380" s="146" t="e">
        <x:f>IF($A380="","",[1]!thsiFinD("ths_adjustment_nv_fund",H$3,$A380))</x:f>
        <x:v>#NAME?</x:v>
      </x:c>
      <x:c r="I380" s="146" t="e">
        <x:f>IF($A380="","",[1]!thsiFinD("ths_adjustment_nv_fund",I$3,$A380))</x:f>
        <x:v>#NAME?</x:v>
      </x:c>
      <x:c r="J380" s="146" t="e">
        <x:f>IF($A380="","",[1]!thsiFinD("ths_adjustment_nv_fund",J$3,$A380))</x:f>
        <x:v>#NAME?</x:v>
      </x:c>
      <x:c r="K380" s="146" t="e">
        <x:f>IF($A380="","",[1]!thsiFinD("ths_adjustment_nv_fund",K$3,$A380))</x:f>
        <x:v>#NAME?</x:v>
      </x:c>
      <x:c r="L380" s="146" t="e">
        <x:f>IF($A380="","",[1]!thsiFinD("ths_adjustment_nv_fund",L$3,$A380))</x:f>
        <x:v>#NAME?</x:v>
      </x:c>
      <x:c r="M380" s="146" t="e">
        <x:f>IF($A380="","",[1]!thsiFinD("ths_adjustment_nv_fund",M$3,$A380))</x:f>
        <x:v>#NAME?</x:v>
      </x:c>
      <x:c r="N380" s="146" t="e">
        <x:f>IF($A380="","",[1]!thsiFinD("ths_adjustment_nv_fund",N$3,$A380))</x:f>
        <x:v>#NAME?</x:v>
      </x:c>
      <x:c r="O380" s="146" t="e">
        <x:f>IF($A380="","",[1]!thsiFinD("ths_adjustment_nv_fund",O$3,$A380))</x:f>
        <x:v>#NAME?</x:v>
      </x:c>
      <x:c r="P380" s="146" t="e">
        <x:f>IF($A380="","",[1]!thsiFinD("ths_adjustment_nv_fund",P$3,$A380))</x:f>
        <x:v>#NAME?</x:v>
      </x:c>
      <x:c r="Q380" s="146" t="e">
        <x:f>IF($A380="","",[1]!thsiFinD("ths_adjustment_nv_fund",Q$3,$A380))</x:f>
        <x:v>#NAME?</x:v>
      </x:c>
      <x:c r="R380" s="146" t="e">
        <x:f>IF($A380="","",[1]!thsiFinD("ths_adjustment_nv_fund",R$3,$A380))</x:f>
        <x:v>#NAME?</x:v>
      </x:c>
      <x:c r="S380" s="146" t="e">
        <x:f>IF($A380="","",[1]!thsiFinD("ths_adjustment_nv_fund",S$3,$A380))</x:f>
        <x:v>#NAME?</x:v>
      </x:c>
      <x:c r="T380" s="146" t="e">
        <x:f>IF($A380="","",[1]!thsiFinD("ths_adjustment_nv_fund",T$3,$A380))</x:f>
        <x:v>#NAME?</x:v>
      </x:c>
      <x:c r="U380" s="146" t="e">
        <x:f>IF($A380="","",[1]!thsiFinD("ths_adjustment_nv_fund",U$3,$A380))</x:f>
        <x:v>#NAME?</x:v>
      </x:c>
      <x:c r="V380" s="146" t="e">
        <x:f>IF($A380="","",[1]!thsiFinD("ths_adjustment_nv_fund",V$3,$A380))</x:f>
        <x:v>#NAME?</x:v>
      </x:c>
      <x:c r="W380" s="146" t="e">
        <x:f>IF($A380="","",[1]!thsiFinD("ths_adjustment_nv_fund",W$3,$A380))</x:f>
        <x:v>#NAME?</x:v>
      </x:c>
      <x:c r="X380" s="146" t="e">
        <x:f>IF($A380="","",[1]!thsiFinD("ths_adjustment_nv_fund",X$3,$A380))</x:f>
        <x:v>#NAME?</x:v>
      </x:c>
      <x:c r="Y380" s="146" t="e">
        <x:f>IF($A380="","",[1]!thsiFinD("ths_adjustment_nv_fund",Y$3,$A380))</x:f>
        <x:v>#NAME?</x:v>
      </x:c>
      <x:c r="Z380" s="146" t="e">
        <x:f>IF($A380="","",[1]!thsiFinD("ths_adjustment_nv_fund",Z$3,$A380))</x:f>
        <x:v>#NAME?</x:v>
      </x:c>
      <x:c r="AA380" s="146" t="e">
        <x:f>IF($A380="","",[1]!thsiFinD("ths_adjustment_nv_fund",AA$3,$A380))</x:f>
        <x:v>#NAME?</x:v>
      </x:c>
    </x:row>
    <x:row r="381">
      <x:c r="B381" s="146" t="e">
        <x:f>IF($A381="","",[1]!thsiFinD("ths_adjustment_nv_fund",B$3,$A381))</x:f>
        <x:v>#NAME?</x:v>
      </x:c>
      <x:c r="C381" s="146" t="e">
        <x:f>IF($A381="","",[1]!thsiFinD("ths_adjustment_nv_fund",C$3,$A381))</x:f>
        <x:v>#NAME?</x:v>
      </x:c>
      <x:c r="D381" s="146" t="e">
        <x:f>IF($A381="","",[1]!thsiFinD("ths_adjustment_nv_fund",D$3,$A381))</x:f>
        <x:v>#NAME?</x:v>
      </x:c>
      <x:c r="E381" s="146" t="e">
        <x:f>IF($A381="","",[1]!thsiFinD("ths_adjustment_nv_fund",E$3,$A381))</x:f>
        <x:v>#NAME?</x:v>
      </x:c>
      <x:c r="F381" s="146" t="e">
        <x:f>IF($A381="","",[1]!thsiFinD("ths_adjustment_nv_fund",F$3,$A381))</x:f>
        <x:v>#NAME?</x:v>
      </x:c>
      <x:c r="G381" s="146" t="e">
        <x:f>IF($A381="","",[1]!thsiFinD("ths_adjustment_nv_fund",G$3,$A381))</x:f>
        <x:v>#NAME?</x:v>
      </x:c>
      <x:c r="H381" s="146" t="e">
        <x:f>IF($A381="","",[1]!thsiFinD("ths_adjustment_nv_fund",H$3,$A381))</x:f>
        <x:v>#NAME?</x:v>
      </x:c>
      <x:c r="I381" s="146" t="e">
        <x:f>IF($A381="","",[1]!thsiFinD("ths_adjustment_nv_fund",I$3,$A381))</x:f>
        <x:v>#NAME?</x:v>
      </x:c>
      <x:c r="J381" s="146" t="e">
        <x:f>IF($A381="","",[1]!thsiFinD("ths_adjustment_nv_fund",J$3,$A381))</x:f>
        <x:v>#NAME?</x:v>
      </x:c>
      <x:c r="K381" s="146" t="e">
        <x:f>IF($A381="","",[1]!thsiFinD("ths_adjustment_nv_fund",K$3,$A381))</x:f>
        <x:v>#NAME?</x:v>
      </x:c>
      <x:c r="L381" s="146" t="e">
        <x:f>IF($A381="","",[1]!thsiFinD("ths_adjustment_nv_fund",L$3,$A381))</x:f>
        <x:v>#NAME?</x:v>
      </x:c>
      <x:c r="M381" s="146" t="e">
        <x:f>IF($A381="","",[1]!thsiFinD("ths_adjustment_nv_fund",M$3,$A381))</x:f>
        <x:v>#NAME?</x:v>
      </x:c>
      <x:c r="N381" s="146" t="e">
        <x:f>IF($A381="","",[1]!thsiFinD("ths_adjustment_nv_fund",N$3,$A381))</x:f>
        <x:v>#NAME?</x:v>
      </x:c>
      <x:c r="O381" s="146" t="e">
        <x:f>IF($A381="","",[1]!thsiFinD("ths_adjustment_nv_fund",O$3,$A381))</x:f>
        <x:v>#NAME?</x:v>
      </x:c>
      <x:c r="P381" s="146" t="e">
        <x:f>IF($A381="","",[1]!thsiFinD("ths_adjustment_nv_fund",P$3,$A381))</x:f>
        <x:v>#NAME?</x:v>
      </x:c>
      <x:c r="Q381" s="146" t="e">
        <x:f>IF($A381="","",[1]!thsiFinD("ths_adjustment_nv_fund",Q$3,$A381))</x:f>
        <x:v>#NAME?</x:v>
      </x:c>
      <x:c r="R381" s="146" t="e">
        <x:f>IF($A381="","",[1]!thsiFinD("ths_adjustment_nv_fund",R$3,$A381))</x:f>
        <x:v>#NAME?</x:v>
      </x:c>
      <x:c r="S381" s="146" t="e">
        <x:f>IF($A381="","",[1]!thsiFinD("ths_adjustment_nv_fund",S$3,$A381))</x:f>
        <x:v>#NAME?</x:v>
      </x:c>
      <x:c r="T381" s="146" t="e">
        <x:f>IF($A381="","",[1]!thsiFinD("ths_adjustment_nv_fund",T$3,$A381))</x:f>
        <x:v>#NAME?</x:v>
      </x:c>
      <x:c r="U381" s="146" t="e">
        <x:f>IF($A381="","",[1]!thsiFinD("ths_adjustment_nv_fund",U$3,$A381))</x:f>
        <x:v>#NAME?</x:v>
      </x:c>
      <x:c r="V381" s="146" t="e">
        <x:f>IF($A381="","",[1]!thsiFinD("ths_adjustment_nv_fund",V$3,$A381))</x:f>
        <x:v>#NAME?</x:v>
      </x:c>
      <x:c r="W381" s="146" t="e">
        <x:f>IF($A381="","",[1]!thsiFinD("ths_adjustment_nv_fund",W$3,$A381))</x:f>
        <x:v>#NAME?</x:v>
      </x:c>
      <x:c r="X381" s="146" t="e">
        <x:f>IF($A381="","",[1]!thsiFinD("ths_adjustment_nv_fund",X$3,$A381))</x:f>
        <x:v>#NAME?</x:v>
      </x:c>
      <x:c r="Y381" s="146" t="e">
        <x:f>IF($A381="","",[1]!thsiFinD("ths_adjustment_nv_fund",Y$3,$A381))</x:f>
        <x:v>#NAME?</x:v>
      </x:c>
      <x:c r="Z381" s="146" t="e">
        <x:f>IF($A381="","",[1]!thsiFinD("ths_adjustment_nv_fund",Z$3,$A381))</x:f>
        <x:v>#NAME?</x:v>
      </x:c>
      <x:c r="AA381" s="146" t="e">
        <x:f>IF($A381="","",[1]!thsiFinD("ths_adjustment_nv_fund",AA$3,$A381))</x:f>
        <x:v>#NAME?</x:v>
      </x:c>
    </x:row>
    <x:row r="382">
      <x:c r="B382" s="146" t="e">
        <x:f>IF($A382="","",[1]!thsiFinD("ths_adjustment_nv_fund",B$3,$A382))</x:f>
        <x:v>#NAME?</x:v>
      </x:c>
      <x:c r="C382" s="146" t="e">
        <x:f>IF($A382="","",[1]!thsiFinD("ths_adjustment_nv_fund",C$3,$A382))</x:f>
        <x:v>#NAME?</x:v>
      </x:c>
      <x:c r="D382" s="146" t="e">
        <x:f>IF($A382="","",[1]!thsiFinD("ths_adjustment_nv_fund",D$3,$A382))</x:f>
        <x:v>#NAME?</x:v>
      </x:c>
      <x:c r="E382" s="146" t="e">
        <x:f>IF($A382="","",[1]!thsiFinD("ths_adjustment_nv_fund",E$3,$A382))</x:f>
        <x:v>#NAME?</x:v>
      </x:c>
      <x:c r="F382" s="146" t="e">
        <x:f>IF($A382="","",[1]!thsiFinD("ths_adjustment_nv_fund",F$3,$A382))</x:f>
        <x:v>#NAME?</x:v>
      </x:c>
      <x:c r="G382" s="146" t="e">
        <x:f>IF($A382="","",[1]!thsiFinD("ths_adjustment_nv_fund",G$3,$A382))</x:f>
        <x:v>#NAME?</x:v>
      </x:c>
      <x:c r="H382" s="146" t="e">
        <x:f>IF($A382="","",[1]!thsiFinD("ths_adjustment_nv_fund",H$3,$A382))</x:f>
        <x:v>#NAME?</x:v>
      </x:c>
      <x:c r="I382" s="146" t="e">
        <x:f>IF($A382="","",[1]!thsiFinD("ths_adjustment_nv_fund",I$3,$A382))</x:f>
        <x:v>#NAME?</x:v>
      </x:c>
      <x:c r="J382" s="146" t="e">
        <x:f>IF($A382="","",[1]!thsiFinD("ths_adjustment_nv_fund",J$3,$A382))</x:f>
        <x:v>#NAME?</x:v>
      </x:c>
      <x:c r="K382" s="146" t="e">
        <x:f>IF($A382="","",[1]!thsiFinD("ths_adjustment_nv_fund",K$3,$A382))</x:f>
        <x:v>#NAME?</x:v>
      </x:c>
      <x:c r="L382" s="146" t="e">
        <x:f>IF($A382="","",[1]!thsiFinD("ths_adjustment_nv_fund",L$3,$A382))</x:f>
        <x:v>#NAME?</x:v>
      </x:c>
      <x:c r="M382" s="146" t="e">
        <x:f>IF($A382="","",[1]!thsiFinD("ths_adjustment_nv_fund",M$3,$A382))</x:f>
        <x:v>#NAME?</x:v>
      </x:c>
      <x:c r="N382" s="146" t="e">
        <x:f>IF($A382="","",[1]!thsiFinD("ths_adjustment_nv_fund",N$3,$A382))</x:f>
        <x:v>#NAME?</x:v>
      </x:c>
      <x:c r="O382" s="146" t="e">
        <x:f>IF($A382="","",[1]!thsiFinD("ths_adjustment_nv_fund",O$3,$A382))</x:f>
        <x:v>#NAME?</x:v>
      </x:c>
      <x:c r="P382" s="146" t="e">
        <x:f>IF($A382="","",[1]!thsiFinD("ths_adjustment_nv_fund",P$3,$A382))</x:f>
        <x:v>#NAME?</x:v>
      </x:c>
      <x:c r="Q382" s="146" t="e">
        <x:f>IF($A382="","",[1]!thsiFinD("ths_adjustment_nv_fund",Q$3,$A382))</x:f>
        <x:v>#NAME?</x:v>
      </x:c>
      <x:c r="R382" s="146" t="e">
        <x:f>IF($A382="","",[1]!thsiFinD("ths_adjustment_nv_fund",R$3,$A382))</x:f>
        <x:v>#NAME?</x:v>
      </x:c>
      <x:c r="S382" s="146" t="e">
        <x:f>IF($A382="","",[1]!thsiFinD("ths_adjustment_nv_fund",S$3,$A382))</x:f>
        <x:v>#NAME?</x:v>
      </x:c>
      <x:c r="T382" s="146" t="e">
        <x:f>IF($A382="","",[1]!thsiFinD("ths_adjustment_nv_fund",T$3,$A382))</x:f>
        <x:v>#NAME?</x:v>
      </x:c>
      <x:c r="U382" s="146" t="e">
        <x:f>IF($A382="","",[1]!thsiFinD("ths_adjustment_nv_fund",U$3,$A382))</x:f>
        <x:v>#NAME?</x:v>
      </x:c>
      <x:c r="V382" s="146" t="e">
        <x:f>IF($A382="","",[1]!thsiFinD("ths_adjustment_nv_fund",V$3,$A382))</x:f>
        <x:v>#NAME?</x:v>
      </x:c>
      <x:c r="W382" s="146" t="e">
        <x:f>IF($A382="","",[1]!thsiFinD("ths_adjustment_nv_fund",W$3,$A382))</x:f>
        <x:v>#NAME?</x:v>
      </x:c>
      <x:c r="X382" s="146" t="e">
        <x:f>IF($A382="","",[1]!thsiFinD("ths_adjustment_nv_fund",X$3,$A382))</x:f>
        <x:v>#NAME?</x:v>
      </x:c>
      <x:c r="Y382" s="146" t="e">
        <x:f>IF($A382="","",[1]!thsiFinD("ths_adjustment_nv_fund",Y$3,$A382))</x:f>
        <x:v>#NAME?</x:v>
      </x:c>
      <x:c r="Z382" s="146" t="e">
        <x:f>IF($A382="","",[1]!thsiFinD("ths_adjustment_nv_fund",Z$3,$A382))</x:f>
        <x:v>#NAME?</x:v>
      </x:c>
      <x:c r="AA382" s="146" t="e">
        <x:f>IF($A382="","",[1]!thsiFinD("ths_adjustment_nv_fund",AA$3,$A382))</x:f>
        <x:v>#NAME?</x:v>
      </x:c>
    </x:row>
    <x:row r="383">
      <x:c r="B383" s="146" t="e">
        <x:f>IF($A383="","",[1]!thsiFinD("ths_adjustment_nv_fund",B$3,$A383))</x:f>
        <x:v>#NAME?</x:v>
      </x:c>
      <x:c r="C383" s="146" t="e">
        <x:f>IF($A383="","",[1]!thsiFinD("ths_adjustment_nv_fund",C$3,$A383))</x:f>
        <x:v>#NAME?</x:v>
      </x:c>
      <x:c r="D383" s="146" t="e">
        <x:f>IF($A383="","",[1]!thsiFinD("ths_adjustment_nv_fund",D$3,$A383))</x:f>
        <x:v>#NAME?</x:v>
      </x:c>
      <x:c r="E383" s="146" t="e">
        <x:f>IF($A383="","",[1]!thsiFinD("ths_adjustment_nv_fund",E$3,$A383))</x:f>
        <x:v>#NAME?</x:v>
      </x:c>
      <x:c r="F383" s="146" t="e">
        <x:f>IF($A383="","",[1]!thsiFinD("ths_adjustment_nv_fund",F$3,$A383))</x:f>
        <x:v>#NAME?</x:v>
      </x:c>
      <x:c r="G383" s="146" t="e">
        <x:f>IF($A383="","",[1]!thsiFinD("ths_adjustment_nv_fund",G$3,$A383))</x:f>
        <x:v>#NAME?</x:v>
      </x:c>
      <x:c r="H383" s="146" t="e">
        <x:f>IF($A383="","",[1]!thsiFinD("ths_adjustment_nv_fund",H$3,$A383))</x:f>
        <x:v>#NAME?</x:v>
      </x:c>
      <x:c r="I383" s="146" t="e">
        <x:f>IF($A383="","",[1]!thsiFinD("ths_adjustment_nv_fund",I$3,$A383))</x:f>
        <x:v>#NAME?</x:v>
      </x:c>
      <x:c r="J383" s="146" t="e">
        <x:f>IF($A383="","",[1]!thsiFinD("ths_adjustment_nv_fund",J$3,$A383))</x:f>
        <x:v>#NAME?</x:v>
      </x:c>
      <x:c r="K383" s="146" t="e">
        <x:f>IF($A383="","",[1]!thsiFinD("ths_adjustment_nv_fund",K$3,$A383))</x:f>
        <x:v>#NAME?</x:v>
      </x:c>
      <x:c r="L383" s="146" t="e">
        <x:f>IF($A383="","",[1]!thsiFinD("ths_adjustment_nv_fund",L$3,$A383))</x:f>
        <x:v>#NAME?</x:v>
      </x:c>
      <x:c r="M383" s="146" t="e">
        <x:f>IF($A383="","",[1]!thsiFinD("ths_adjustment_nv_fund",M$3,$A383))</x:f>
        <x:v>#NAME?</x:v>
      </x:c>
      <x:c r="N383" s="146" t="e">
        <x:f>IF($A383="","",[1]!thsiFinD("ths_adjustment_nv_fund",N$3,$A383))</x:f>
        <x:v>#NAME?</x:v>
      </x:c>
      <x:c r="O383" s="146" t="e">
        <x:f>IF($A383="","",[1]!thsiFinD("ths_adjustment_nv_fund",O$3,$A383))</x:f>
        <x:v>#NAME?</x:v>
      </x:c>
      <x:c r="P383" s="146" t="e">
        <x:f>IF($A383="","",[1]!thsiFinD("ths_adjustment_nv_fund",P$3,$A383))</x:f>
        <x:v>#NAME?</x:v>
      </x:c>
      <x:c r="Q383" s="146" t="e">
        <x:f>IF($A383="","",[1]!thsiFinD("ths_adjustment_nv_fund",Q$3,$A383))</x:f>
        <x:v>#NAME?</x:v>
      </x:c>
      <x:c r="R383" s="146" t="e">
        <x:f>IF($A383="","",[1]!thsiFinD("ths_adjustment_nv_fund",R$3,$A383))</x:f>
        <x:v>#NAME?</x:v>
      </x:c>
      <x:c r="S383" s="146" t="e">
        <x:f>IF($A383="","",[1]!thsiFinD("ths_adjustment_nv_fund",S$3,$A383))</x:f>
        <x:v>#NAME?</x:v>
      </x:c>
      <x:c r="T383" s="146" t="e">
        <x:f>IF($A383="","",[1]!thsiFinD("ths_adjustment_nv_fund",T$3,$A383))</x:f>
        <x:v>#NAME?</x:v>
      </x:c>
      <x:c r="U383" s="146" t="e">
        <x:f>IF($A383="","",[1]!thsiFinD("ths_adjustment_nv_fund",U$3,$A383))</x:f>
        <x:v>#NAME?</x:v>
      </x:c>
      <x:c r="V383" s="146" t="e">
        <x:f>IF($A383="","",[1]!thsiFinD("ths_adjustment_nv_fund",V$3,$A383))</x:f>
        <x:v>#NAME?</x:v>
      </x:c>
      <x:c r="W383" s="146" t="e">
        <x:f>IF($A383="","",[1]!thsiFinD("ths_adjustment_nv_fund",W$3,$A383))</x:f>
        <x:v>#NAME?</x:v>
      </x:c>
      <x:c r="X383" s="146" t="e">
        <x:f>IF($A383="","",[1]!thsiFinD("ths_adjustment_nv_fund",X$3,$A383))</x:f>
        <x:v>#NAME?</x:v>
      </x:c>
      <x:c r="Y383" s="146" t="e">
        <x:f>IF($A383="","",[1]!thsiFinD("ths_adjustment_nv_fund",Y$3,$A383))</x:f>
        <x:v>#NAME?</x:v>
      </x:c>
      <x:c r="Z383" s="146" t="e">
        <x:f>IF($A383="","",[1]!thsiFinD("ths_adjustment_nv_fund",Z$3,$A383))</x:f>
        <x:v>#NAME?</x:v>
      </x:c>
      <x:c r="AA383" s="146" t="e">
        <x:f>IF($A383="","",[1]!thsiFinD("ths_adjustment_nv_fund",AA$3,$A383))</x:f>
        <x:v>#NAME?</x:v>
      </x:c>
    </x:row>
    <x:row r="384">
      <x:c r="B384" s="146" t="e">
        <x:f>IF($A384="","",[1]!thsiFinD("ths_adjustment_nv_fund",B$3,$A384))</x:f>
        <x:v>#NAME?</x:v>
      </x:c>
      <x:c r="C384" s="146" t="e">
        <x:f>IF($A384="","",[1]!thsiFinD("ths_adjustment_nv_fund",C$3,$A384))</x:f>
        <x:v>#NAME?</x:v>
      </x:c>
      <x:c r="D384" s="146" t="e">
        <x:f>IF($A384="","",[1]!thsiFinD("ths_adjustment_nv_fund",D$3,$A384))</x:f>
        <x:v>#NAME?</x:v>
      </x:c>
      <x:c r="E384" s="146" t="e">
        <x:f>IF($A384="","",[1]!thsiFinD("ths_adjustment_nv_fund",E$3,$A384))</x:f>
        <x:v>#NAME?</x:v>
      </x:c>
      <x:c r="F384" s="146" t="e">
        <x:f>IF($A384="","",[1]!thsiFinD("ths_adjustment_nv_fund",F$3,$A384))</x:f>
        <x:v>#NAME?</x:v>
      </x:c>
      <x:c r="G384" s="146" t="e">
        <x:f>IF($A384="","",[1]!thsiFinD("ths_adjustment_nv_fund",G$3,$A384))</x:f>
        <x:v>#NAME?</x:v>
      </x:c>
      <x:c r="H384" s="146" t="e">
        <x:f>IF($A384="","",[1]!thsiFinD("ths_adjustment_nv_fund",H$3,$A384))</x:f>
        <x:v>#NAME?</x:v>
      </x:c>
      <x:c r="I384" s="146" t="e">
        <x:f>IF($A384="","",[1]!thsiFinD("ths_adjustment_nv_fund",I$3,$A384))</x:f>
        <x:v>#NAME?</x:v>
      </x:c>
      <x:c r="J384" s="146" t="e">
        <x:f>IF($A384="","",[1]!thsiFinD("ths_adjustment_nv_fund",J$3,$A384))</x:f>
        <x:v>#NAME?</x:v>
      </x:c>
      <x:c r="K384" s="146" t="e">
        <x:f>IF($A384="","",[1]!thsiFinD("ths_adjustment_nv_fund",K$3,$A384))</x:f>
        <x:v>#NAME?</x:v>
      </x:c>
      <x:c r="L384" s="146" t="e">
        <x:f>IF($A384="","",[1]!thsiFinD("ths_adjustment_nv_fund",L$3,$A384))</x:f>
        <x:v>#NAME?</x:v>
      </x:c>
      <x:c r="M384" s="146" t="e">
        <x:f>IF($A384="","",[1]!thsiFinD("ths_adjustment_nv_fund",M$3,$A384))</x:f>
        <x:v>#NAME?</x:v>
      </x:c>
      <x:c r="N384" s="146" t="e">
        <x:f>IF($A384="","",[1]!thsiFinD("ths_adjustment_nv_fund",N$3,$A384))</x:f>
        <x:v>#NAME?</x:v>
      </x:c>
      <x:c r="O384" s="146" t="e">
        <x:f>IF($A384="","",[1]!thsiFinD("ths_adjustment_nv_fund",O$3,$A384))</x:f>
        <x:v>#NAME?</x:v>
      </x:c>
      <x:c r="P384" s="146" t="e">
        <x:f>IF($A384="","",[1]!thsiFinD("ths_adjustment_nv_fund",P$3,$A384))</x:f>
        <x:v>#NAME?</x:v>
      </x:c>
      <x:c r="Q384" s="146" t="e">
        <x:f>IF($A384="","",[1]!thsiFinD("ths_adjustment_nv_fund",Q$3,$A384))</x:f>
        <x:v>#NAME?</x:v>
      </x:c>
      <x:c r="R384" s="146" t="e">
        <x:f>IF($A384="","",[1]!thsiFinD("ths_adjustment_nv_fund",R$3,$A384))</x:f>
        <x:v>#NAME?</x:v>
      </x:c>
      <x:c r="S384" s="146" t="e">
        <x:f>IF($A384="","",[1]!thsiFinD("ths_adjustment_nv_fund",S$3,$A384))</x:f>
        <x:v>#NAME?</x:v>
      </x:c>
      <x:c r="T384" s="146" t="e">
        <x:f>IF($A384="","",[1]!thsiFinD("ths_adjustment_nv_fund",T$3,$A384))</x:f>
        <x:v>#NAME?</x:v>
      </x:c>
      <x:c r="U384" s="146" t="e">
        <x:f>IF($A384="","",[1]!thsiFinD("ths_adjustment_nv_fund",U$3,$A384))</x:f>
        <x:v>#NAME?</x:v>
      </x:c>
      <x:c r="V384" s="146" t="e">
        <x:f>IF($A384="","",[1]!thsiFinD("ths_adjustment_nv_fund",V$3,$A384))</x:f>
        <x:v>#NAME?</x:v>
      </x:c>
      <x:c r="W384" s="146" t="e">
        <x:f>IF($A384="","",[1]!thsiFinD("ths_adjustment_nv_fund",W$3,$A384))</x:f>
        <x:v>#NAME?</x:v>
      </x:c>
      <x:c r="X384" s="146" t="e">
        <x:f>IF($A384="","",[1]!thsiFinD("ths_adjustment_nv_fund",X$3,$A384))</x:f>
        <x:v>#NAME?</x:v>
      </x:c>
      <x:c r="Y384" s="146" t="e">
        <x:f>IF($A384="","",[1]!thsiFinD("ths_adjustment_nv_fund",Y$3,$A384))</x:f>
        <x:v>#NAME?</x:v>
      </x:c>
      <x:c r="Z384" s="146" t="e">
        <x:f>IF($A384="","",[1]!thsiFinD("ths_adjustment_nv_fund",Z$3,$A384))</x:f>
        <x:v>#NAME?</x:v>
      </x:c>
      <x:c r="AA384" s="146" t="e">
        <x:f>IF($A384="","",[1]!thsiFinD("ths_adjustment_nv_fund",AA$3,$A384))</x:f>
        <x:v>#NAME?</x:v>
      </x:c>
    </x:row>
    <x:row r="385">
      <x:c r="B385" s="146" t="e">
        <x:f>IF($A385="","",[1]!thsiFinD("ths_adjustment_nv_fund",B$3,$A385))</x:f>
        <x:v>#NAME?</x:v>
      </x:c>
      <x:c r="C385" s="146" t="e">
        <x:f>IF($A385="","",[1]!thsiFinD("ths_adjustment_nv_fund",C$3,$A385))</x:f>
        <x:v>#NAME?</x:v>
      </x:c>
      <x:c r="D385" s="146" t="e">
        <x:f>IF($A385="","",[1]!thsiFinD("ths_adjustment_nv_fund",D$3,$A385))</x:f>
        <x:v>#NAME?</x:v>
      </x:c>
      <x:c r="E385" s="146" t="e">
        <x:f>IF($A385="","",[1]!thsiFinD("ths_adjustment_nv_fund",E$3,$A385))</x:f>
        <x:v>#NAME?</x:v>
      </x:c>
      <x:c r="F385" s="146" t="e">
        <x:f>IF($A385="","",[1]!thsiFinD("ths_adjustment_nv_fund",F$3,$A385))</x:f>
        <x:v>#NAME?</x:v>
      </x:c>
      <x:c r="G385" s="146" t="e">
        <x:f>IF($A385="","",[1]!thsiFinD("ths_adjustment_nv_fund",G$3,$A385))</x:f>
        <x:v>#NAME?</x:v>
      </x:c>
      <x:c r="H385" s="146" t="e">
        <x:f>IF($A385="","",[1]!thsiFinD("ths_adjustment_nv_fund",H$3,$A385))</x:f>
        <x:v>#NAME?</x:v>
      </x:c>
      <x:c r="I385" s="146" t="e">
        <x:f>IF($A385="","",[1]!thsiFinD("ths_adjustment_nv_fund",I$3,$A385))</x:f>
        <x:v>#NAME?</x:v>
      </x:c>
      <x:c r="J385" s="146" t="e">
        <x:f>IF($A385="","",[1]!thsiFinD("ths_adjustment_nv_fund",J$3,$A385))</x:f>
        <x:v>#NAME?</x:v>
      </x:c>
      <x:c r="K385" s="146" t="e">
        <x:f>IF($A385="","",[1]!thsiFinD("ths_adjustment_nv_fund",K$3,$A385))</x:f>
        <x:v>#NAME?</x:v>
      </x:c>
      <x:c r="L385" s="146" t="e">
        <x:f>IF($A385="","",[1]!thsiFinD("ths_adjustment_nv_fund",L$3,$A385))</x:f>
        <x:v>#NAME?</x:v>
      </x:c>
      <x:c r="M385" s="146" t="e">
        <x:f>IF($A385="","",[1]!thsiFinD("ths_adjustment_nv_fund",M$3,$A385))</x:f>
        <x:v>#NAME?</x:v>
      </x:c>
      <x:c r="N385" s="146" t="e">
        <x:f>IF($A385="","",[1]!thsiFinD("ths_adjustment_nv_fund",N$3,$A385))</x:f>
        <x:v>#NAME?</x:v>
      </x:c>
      <x:c r="O385" s="146" t="e">
        <x:f>IF($A385="","",[1]!thsiFinD("ths_adjustment_nv_fund",O$3,$A385))</x:f>
        <x:v>#NAME?</x:v>
      </x:c>
      <x:c r="P385" s="146" t="e">
        <x:f>IF($A385="","",[1]!thsiFinD("ths_adjustment_nv_fund",P$3,$A385))</x:f>
        <x:v>#NAME?</x:v>
      </x:c>
      <x:c r="Q385" s="146" t="e">
        <x:f>IF($A385="","",[1]!thsiFinD("ths_adjustment_nv_fund",Q$3,$A385))</x:f>
        <x:v>#NAME?</x:v>
      </x:c>
      <x:c r="R385" s="146" t="e">
        <x:f>IF($A385="","",[1]!thsiFinD("ths_adjustment_nv_fund",R$3,$A385))</x:f>
        <x:v>#NAME?</x:v>
      </x:c>
      <x:c r="S385" s="146" t="e">
        <x:f>IF($A385="","",[1]!thsiFinD("ths_adjustment_nv_fund",S$3,$A385))</x:f>
        <x:v>#NAME?</x:v>
      </x:c>
      <x:c r="T385" s="146" t="e">
        <x:f>IF($A385="","",[1]!thsiFinD("ths_adjustment_nv_fund",T$3,$A385))</x:f>
        <x:v>#NAME?</x:v>
      </x:c>
      <x:c r="U385" s="146" t="e">
        <x:f>IF($A385="","",[1]!thsiFinD("ths_adjustment_nv_fund",U$3,$A385))</x:f>
        <x:v>#NAME?</x:v>
      </x:c>
      <x:c r="V385" s="146" t="e">
        <x:f>IF($A385="","",[1]!thsiFinD("ths_adjustment_nv_fund",V$3,$A385))</x:f>
        <x:v>#NAME?</x:v>
      </x:c>
      <x:c r="W385" s="146" t="e">
        <x:f>IF($A385="","",[1]!thsiFinD("ths_adjustment_nv_fund",W$3,$A385))</x:f>
        <x:v>#NAME?</x:v>
      </x:c>
      <x:c r="X385" s="146" t="e">
        <x:f>IF($A385="","",[1]!thsiFinD("ths_adjustment_nv_fund",X$3,$A385))</x:f>
        <x:v>#NAME?</x:v>
      </x:c>
      <x:c r="Y385" s="146" t="e">
        <x:f>IF($A385="","",[1]!thsiFinD("ths_adjustment_nv_fund",Y$3,$A385))</x:f>
        <x:v>#NAME?</x:v>
      </x:c>
      <x:c r="Z385" s="146" t="e">
        <x:f>IF($A385="","",[1]!thsiFinD("ths_adjustment_nv_fund",Z$3,$A385))</x:f>
        <x:v>#NAME?</x:v>
      </x:c>
      <x:c r="AA385" s="146" t="e">
        <x:f>IF($A385="","",[1]!thsiFinD("ths_adjustment_nv_fund",AA$3,$A385))</x:f>
        <x:v>#NAME?</x:v>
      </x:c>
    </x:row>
    <x:row r="386">
      <x:c r="B386" s="146" t="e">
        <x:f>IF($A386="","",[1]!thsiFinD("ths_adjustment_nv_fund",B$3,$A386))</x:f>
        <x:v>#NAME?</x:v>
      </x:c>
      <x:c r="C386" s="146" t="e">
        <x:f>IF($A386="","",[1]!thsiFinD("ths_adjustment_nv_fund",C$3,$A386))</x:f>
        <x:v>#NAME?</x:v>
      </x:c>
      <x:c r="D386" s="146" t="e">
        <x:f>IF($A386="","",[1]!thsiFinD("ths_adjustment_nv_fund",D$3,$A386))</x:f>
        <x:v>#NAME?</x:v>
      </x:c>
      <x:c r="E386" s="146" t="e">
        <x:f>IF($A386="","",[1]!thsiFinD("ths_adjustment_nv_fund",E$3,$A386))</x:f>
        <x:v>#NAME?</x:v>
      </x:c>
      <x:c r="F386" s="146" t="e">
        <x:f>IF($A386="","",[1]!thsiFinD("ths_adjustment_nv_fund",F$3,$A386))</x:f>
        <x:v>#NAME?</x:v>
      </x:c>
      <x:c r="G386" s="146" t="e">
        <x:f>IF($A386="","",[1]!thsiFinD("ths_adjustment_nv_fund",G$3,$A386))</x:f>
        <x:v>#NAME?</x:v>
      </x:c>
      <x:c r="H386" s="146" t="e">
        <x:f>IF($A386="","",[1]!thsiFinD("ths_adjustment_nv_fund",H$3,$A386))</x:f>
        <x:v>#NAME?</x:v>
      </x:c>
      <x:c r="I386" s="146" t="e">
        <x:f>IF($A386="","",[1]!thsiFinD("ths_adjustment_nv_fund",I$3,$A386))</x:f>
        <x:v>#NAME?</x:v>
      </x:c>
      <x:c r="J386" s="146" t="e">
        <x:f>IF($A386="","",[1]!thsiFinD("ths_adjustment_nv_fund",J$3,$A386))</x:f>
        <x:v>#NAME?</x:v>
      </x:c>
      <x:c r="K386" s="146" t="e">
        <x:f>IF($A386="","",[1]!thsiFinD("ths_adjustment_nv_fund",K$3,$A386))</x:f>
        <x:v>#NAME?</x:v>
      </x:c>
      <x:c r="L386" s="146" t="e">
        <x:f>IF($A386="","",[1]!thsiFinD("ths_adjustment_nv_fund",L$3,$A386))</x:f>
        <x:v>#NAME?</x:v>
      </x:c>
      <x:c r="M386" s="146" t="e">
        <x:f>IF($A386="","",[1]!thsiFinD("ths_adjustment_nv_fund",M$3,$A386))</x:f>
        <x:v>#NAME?</x:v>
      </x:c>
      <x:c r="N386" s="146" t="e">
        <x:f>IF($A386="","",[1]!thsiFinD("ths_adjustment_nv_fund",N$3,$A386))</x:f>
        <x:v>#NAME?</x:v>
      </x:c>
      <x:c r="O386" s="146" t="e">
        <x:f>IF($A386="","",[1]!thsiFinD("ths_adjustment_nv_fund",O$3,$A386))</x:f>
        <x:v>#NAME?</x:v>
      </x:c>
      <x:c r="P386" s="146" t="e">
        <x:f>IF($A386="","",[1]!thsiFinD("ths_adjustment_nv_fund",P$3,$A386))</x:f>
        <x:v>#NAME?</x:v>
      </x:c>
      <x:c r="Q386" s="146" t="e">
        <x:f>IF($A386="","",[1]!thsiFinD("ths_adjustment_nv_fund",Q$3,$A386))</x:f>
        <x:v>#NAME?</x:v>
      </x:c>
      <x:c r="R386" s="146" t="e">
        <x:f>IF($A386="","",[1]!thsiFinD("ths_adjustment_nv_fund",R$3,$A386))</x:f>
        <x:v>#NAME?</x:v>
      </x:c>
      <x:c r="S386" s="146" t="e">
        <x:f>IF($A386="","",[1]!thsiFinD("ths_adjustment_nv_fund",S$3,$A386))</x:f>
        <x:v>#NAME?</x:v>
      </x:c>
      <x:c r="T386" s="146" t="e">
        <x:f>IF($A386="","",[1]!thsiFinD("ths_adjustment_nv_fund",T$3,$A386))</x:f>
        <x:v>#NAME?</x:v>
      </x:c>
      <x:c r="U386" s="146" t="e">
        <x:f>IF($A386="","",[1]!thsiFinD("ths_adjustment_nv_fund",U$3,$A386))</x:f>
        <x:v>#NAME?</x:v>
      </x:c>
      <x:c r="V386" s="146" t="e">
        <x:f>IF($A386="","",[1]!thsiFinD("ths_adjustment_nv_fund",V$3,$A386))</x:f>
        <x:v>#NAME?</x:v>
      </x:c>
      <x:c r="W386" s="146" t="e">
        <x:f>IF($A386="","",[1]!thsiFinD("ths_adjustment_nv_fund",W$3,$A386))</x:f>
        <x:v>#NAME?</x:v>
      </x:c>
      <x:c r="X386" s="146" t="e">
        <x:f>IF($A386="","",[1]!thsiFinD("ths_adjustment_nv_fund",X$3,$A386))</x:f>
        <x:v>#NAME?</x:v>
      </x:c>
      <x:c r="Y386" s="146" t="e">
        <x:f>IF($A386="","",[1]!thsiFinD("ths_adjustment_nv_fund",Y$3,$A386))</x:f>
        <x:v>#NAME?</x:v>
      </x:c>
      <x:c r="Z386" s="146" t="e">
        <x:f>IF($A386="","",[1]!thsiFinD("ths_adjustment_nv_fund",Z$3,$A386))</x:f>
        <x:v>#NAME?</x:v>
      </x:c>
      <x:c r="AA386" s="146" t="e">
        <x:f>IF($A386="","",[1]!thsiFinD("ths_adjustment_nv_fund",AA$3,$A386))</x:f>
        <x:v>#NAME?</x:v>
      </x:c>
    </x:row>
    <x:row r="387">
      <x:c r="B387" s="146" t="e">
        <x:f>IF($A387="","",[1]!thsiFinD("ths_adjustment_nv_fund",B$3,$A387))</x:f>
        <x:v>#NAME?</x:v>
      </x:c>
      <x:c r="C387" s="146" t="e">
        <x:f>IF($A387="","",[1]!thsiFinD("ths_adjustment_nv_fund",C$3,$A387))</x:f>
        <x:v>#NAME?</x:v>
      </x:c>
      <x:c r="D387" s="146" t="e">
        <x:f>IF($A387="","",[1]!thsiFinD("ths_adjustment_nv_fund",D$3,$A387))</x:f>
        <x:v>#NAME?</x:v>
      </x:c>
      <x:c r="E387" s="146" t="e">
        <x:f>IF($A387="","",[1]!thsiFinD("ths_adjustment_nv_fund",E$3,$A387))</x:f>
        <x:v>#NAME?</x:v>
      </x:c>
      <x:c r="F387" s="146" t="e">
        <x:f>IF($A387="","",[1]!thsiFinD("ths_adjustment_nv_fund",F$3,$A387))</x:f>
        <x:v>#NAME?</x:v>
      </x:c>
      <x:c r="G387" s="146" t="e">
        <x:f>IF($A387="","",[1]!thsiFinD("ths_adjustment_nv_fund",G$3,$A387))</x:f>
        <x:v>#NAME?</x:v>
      </x:c>
      <x:c r="H387" s="146" t="e">
        <x:f>IF($A387="","",[1]!thsiFinD("ths_adjustment_nv_fund",H$3,$A387))</x:f>
        <x:v>#NAME?</x:v>
      </x:c>
      <x:c r="I387" s="146" t="e">
        <x:f>IF($A387="","",[1]!thsiFinD("ths_adjustment_nv_fund",I$3,$A387))</x:f>
        <x:v>#NAME?</x:v>
      </x:c>
      <x:c r="J387" s="146" t="e">
        <x:f>IF($A387="","",[1]!thsiFinD("ths_adjustment_nv_fund",J$3,$A387))</x:f>
        <x:v>#NAME?</x:v>
      </x:c>
      <x:c r="K387" s="146" t="e">
        <x:f>IF($A387="","",[1]!thsiFinD("ths_adjustment_nv_fund",K$3,$A387))</x:f>
        <x:v>#NAME?</x:v>
      </x:c>
      <x:c r="L387" s="146" t="e">
        <x:f>IF($A387="","",[1]!thsiFinD("ths_adjustment_nv_fund",L$3,$A387))</x:f>
        <x:v>#NAME?</x:v>
      </x:c>
      <x:c r="M387" s="146" t="e">
        <x:f>IF($A387="","",[1]!thsiFinD("ths_adjustment_nv_fund",M$3,$A387))</x:f>
        <x:v>#NAME?</x:v>
      </x:c>
      <x:c r="N387" s="146" t="e">
        <x:f>IF($A387="","",[1]!thsiFinD("ths_adjustment_nv_fund",N$3,$A387))</x:f>
        <x:v>#NAME?</x:v>
      </x:c>
      <x:c r="O387" s="146" t="e">
        <x:f>IF($A387="","",[1]!thsiFinD("ths_adjustment_nv_fund",O$3,$A387))</x:f>
        <x:v>#NAME?</x:v>
      </x:c>
      <x:c r="P387" s="146" t="e">
        <x:f>IF($A387="","",[1]!thsiFinD("ths_adjustment_nv_fund",P$3,$A387))</x:f>
        <x:v>#NAME?</x:v>
      </x:c>
      <x:c r="Q387" s="146" t="e">
        <x:f>IF($A387="","",[1]!thsiFinD("ths_adjustment_nv_fund",Q$3,$A387))</x:f>
        <x:v>#NAME?</x:v>
      </x:c>
      <x:c r="R387" s="146" t="e">
        <x:f>IF($A387="","",[1]!thsiFinD("ths_adjustment_nv_fund",R$3,$A387))</x:f>
        <x:v>#NAME?</x:v>
      </x:c>
      <x:c r="S387" s="146" t="e">
        <x:f>IF($A387="","",[1]!thsiFinD("ths_adjustment_nv_fund",S$3,$A387))</x:f>
        <x:v>#NAME?</x:v>
      </x:c>
      <x:c r="T387" s="146" t="e">
        <x:f>IF($A387="","",[1]!thsiFinD("ths_adjustment_nv_fund",T$3,$A387))</x:f>
        <x:v>#NAME?</x:v>
      </x:c>
      <x:c r="U387" s="146" t="e">
        <x:f>IF($A387="","",[1]!thsiFinD("ths_adjustment_nv_fund",U$3,$A387))</x:f>
        <x:v>#NAME?</x:v>
      </x:c>
      <x:c r="V387" s="146" t="e">
        <x:f>IF($A387="","",[1]!thsiFinD("ths_adjustment_nv_fund",V$3,$A387))</x:f>
        <x:v>#NAME?</x:v>
      </x:c>
      <x:c r="W387" s="146" t="e">
        <x:f>IF($A387="","",[1]!thsiFinD("ths_adjustment_nv_fund",W$3,$A387))</x:f>
        <x:v>#NAME?</x:v>
      </x:c>
      <x:c r="X387" s="146" t="e">
        <x:f>IF($A387="","",[1]!thsiFinD("ths_adjustment_nv_fund",X$3,$A387))</x:f>
        <x:v>#NAME?</x:v>
      </x:c>
      <x:c r="Y387" s="146" t="e">
        <x:f>IF($A387="","",[1]!thsiFinD("ths_adjustment_nv_fund",Y$3,$A387))</x:f>
        <x:v>#NAME?</x:v>
      </x:c>
      <x:c r="Z387" s="146" t="e">
        <x:f>IF($A387="","",[1]!thsiFinD("ths_adjustment_nv_fund",Z$3,$A387))</x:f>
        <x:v>#NAME?</x:v>
      </x:c>
      <x:c r="AA387" s="146" t="e">
        <x:f>IF($A387="","",[1]!thsiFinD("ths_adjustment_nv_fund",AA$3,$A387))</x:f>
        <x:v>#NAME?</x:v>
      </x:c>
    </x:row>
    <x:row r="388">
      <x:c r="B388" s="146" t="e">
        <x:f>IF($A388="","",[1]!thsiFinD("ths_adjustment_nv_fund",B$3,$A388))</x:f>
        <x:v>#NAME?</x:v>
      </x:c>
      <x:c r="C388" s="146" t="e">
        <x:f>IF($A388="","",[1]!thsiFinD("ths_adjustment_nv_fund",C$3,$A388))</x:f>
        <x:v>#NAME?</x:v>
      </x:c>
      <x:c r="D388" s="146" t="e">
        <x:f>IF($A388="","",[1]!thsiFinD("ths_adjustment_nv_fund",D$3,$A388))</x:f>
        <x:v>#NAME?</x:v>
      </x:c>
      <x:c r="E388" s="146" t="e">
        <x:f>IF($A388="","",[1]!thsiFinD("ths_adjustment_nv_fund",E$3,$A388))</x:f>
        <x:v>#NAME?</x:v>
      </x:c>
      <x:c r="F388" s="146" t="e">
        <x:f>IF($A388="","",[1]!thsiFinD("ths_adjustment_nv_fund",F$3,$A388))</x:f>
        <x:v>#NAME?</x:v>
      </x:c>
      <x:c r="G388" s="146" t="e">
        <x:f>IF($A388="","",[1]!thsiFinD("ths_adjustment_nv_fund",G$3,$A388))</x:f>
        <x:v>#NAME?</x:v>
      </x:c>
      <x:c r="H388" s="146" t="e">
        <x:f>IF($A388="","",[1]!thsiFinD("ths_adjustment_nv_fund",H$3,$A388))</x:f>
        <x:v>#NAME?</x:v>
      </x:c>
      <x:c r="I388" s="146" t="e">
        <x:f>IF($A388="","",[1]!thsiFinD("ths_adjustment_nv_fund",I$3,$A388))</x:f>
        <x:v>#NAME?</x:v>
      </x:c>
      <x:c r="J388" s="146" t="e">
        <x:f>IF($A388="","",[1]!thsiFinD("ths_adjustment_nv_fund",J$3,$A388))</x:f>
        <x:v>#NAME?</x:v>
      </x:c>
      <x:c r="K388" s="146" t="e">
        <x:f>IF($A388="","",[1]!thsiFinD("ths_adjustment_nv_fund",K$3,$A388))</x:f>
        <x:v>#NAME?</x:v>
      </x:c>
      <x:c r="L388" s="146" t="e">
        <x:f>IF($A388="","",[1]!thsiFinD("ths_adjustment_nv_fund",L$3,$A388))</x:f>
        <x:v>#NAME?</x:v>
      </x:c>
      <x:c r="M388" s="146" t="e">
        <x:f>IF($A388="","",[1]!thsiFinD("ths_adjustment_nv_fund",M$3,$A388))</x:f>
        <x:v>#NAME?</x:v>
      </x:c>
      <x:c r="N388" s="146" t="e">
        <x:f>IF($A388="","",[1]!thsiFinD("ths_adjustment_nv_fund",N$3,$A388))</x:f>
        <x:v>#NAME?</x:v>
      </x:c>
      <x:c r="O388" s="146" t="e">
        <x:f>IF($A388="","",[1]!thsiFinD("ths_adjustment_nv_fund",O$3,$A388))</x:f>
        <x:v>#NAME?</x:v>
      </x:c>
      <x:c r="P388" s="146" t="e">
        <x:f>IF($A388="","",[1]!thsiFinD("ths_adjustment_nv_fund",P$3,$A388))</x:f>
        <x:v>#NAME?</x:v>
      </x:c>
      <x:c r="Q388" s="146" t="e">
        <x:f>IF($A388="","",[1]!thsiFinD("ths_adjustment_nv_fund",Q$3,$A388))</x:f>
        <x:v>#NAME?</x:v>
      </x:c>
      <x:c r="R388" s="146" t="e">
        <x:f>IF($A388="","",[1]!thsiFinD("ths_adjustment_nv_fund",R$3,$A388))</x:f>
        <x:v>#NAME?</x:v>
      </x:c>
      <x:c r="S388" s="146" t="e">
        <x:f>IF($A388="","",[1]!thsiFinD("ths_adjustment_nv_fund",S$3,$A388))</x:f>
        <x:v>#NAME?</x:v>
      </x:c>
      <x:c r="T388" s="146" t="e">
        <x:f>IF($A388="","",[1]!thsiFinD("ths_adjustment_nv_fund",T$3,$A388))</x:f>
        <x:v>#NAME?</x:v>
      </x:c>
      <x:c r="U388" s="146" t="e">
        <x:f>IF($A388="","",[1]!thsiFinD("ths_adjustment_nv_fund",U$3,$A388))</x:f>
        <x:v>#NAME?</x:v>
      </x:c>
      <x:c r="V388" s="146" t="e">
        <x:f>IF($A388="","",[1]!thsiFinD("ths_adjustment_nv_fund",V$3,$A388))</x:f>
        <x:v>#NAME?</x:v>
      </x:c>
      <x:c r="W388" s="146" t="e">
        <x:f>IF($A388="","",[1]!thsiFinD("ths_adjustment_nv_fund",W$3,$A388))</x:f>
        <x:v>#NAME?</x:v>
      </x:c>
      <x:c r="X388" s="146" t="e">
        <x:f>IF($A388="","",[1]!thsiFinD("ths_adjustment_nv_fund",X$3,$A388))</x:f>
        <x:v>#NAME?</x:v>
      </x:c>
      <x:c r="Y388" s="146" t="e">
        <x:f>IF($A388="","",[1]!thsiFinD("ths_adjustment_nv_fund",Y$3,$A388))</x:f>
        <x:v>#NAME?</x:v>
      </x:c>
      <x:c r="Z388" s="146" t="e">
        <x:f>IF($A388="","",[1]!thsiFinD("ths_adjustment_nv_fund",Z$3,$A388))</x:f>
        <x:v>#NAME?</x:v>
      </x:c>
      <x:c r="AA388" s="146" t="e">
        <x:f>IF($A388="","",[1]!thsiFinD("ths_adjustment_nv_fund",AA$3,$A388))</x:f>
        <x:v>#NAME?</x:v>
      </x:c>
    </x:row>
    <x:row r="389">
      <x:c r="B389" s="146" t="e">
        <x:f>IF($A389="","",[1]!thsiFinD("ths_adjustment_nv_fund",B$3,$A389))</x:f>
        <x:v>#NAME?</x:v>
      </x:c>
      <x:c r="C389" s="146" t="e">
        <x:f>IF($A389="","",[1]!thsiFinD("ths_adjustment_nv_fund",C$3,$A389))</x:f>
        <x:v>#NAME?</x:v>
      </x:c>
      <x:c r="D389" s="146" t="e">
        <x:f>IF($A389="","",[1]!thsiFinD("ths_adjustment_nv_fund",D$3,$A389))</x:f>
        <x:v>#NAME?</x:v>
      </x:c>
      <x:c r="E389" s="146" t="e">
        <x:f>IF($A389="","",[1]!thsiFinD("ths_adjustment_nv_fund",E$3,$A389))</x:f>
        <x:v>#NAME?</x:v>
      </x:c>
      <x:c r="F389" s="146" t="e">
        <x:f>IF($A389="","",[1]!thsiFinD("ths_adjustment_nv_fund",F$3,$A389))</x:f>
        <x:v>#NAME?</x:v>
      </x:c>
      <x:c r="G389" s="146" t="e">
        <x:f>IF($A389="","",[1]!thsiFinD("ths_adjustment_nv_fund",G$3,$A389))</x:f>
        <x:v>#NAME?</x:v>
      </x:c>
      <x:c r="H389" s="146" t="e">
        <x:f>IF($A389="","",[1]!thsiFinD("ths_adjustment_nv_fund",H$3,$A389))</x:f>
        <x:v>#NAME?</x:v>
      </x:c>
      <x:c r="I389" s="146" t="e">
        <x:f>IF($A389="","",[1]!thsiFinD("ths_adjustment_nv_fund",I$3,$A389))</x:f>
        <x:v>#NAME?</x:v>
      </x:c>
      <x:c r="J389" s="146" t="e">
        <x:f>IF($A389="","",[1]!thsiFinD("ths_adjustment_nv_fund",J$3,$A389))</x:f>
        <x:v>#NAME?</x:v>
      </x:c>
      <x:c r="K389" s="146" t="e">
        <x:f>IF($A389="","",[1]!thsiFinD("ths_adjustment_nv_fund",K$3,$A389))</x:f>
        <x:v>#NAME?</x:v>
      </x:c>
      <x:c r="L389" s="146" t="e">
        <x:f>IF($A389="","",[1]!thsiFinD("ths_adjustment_nv_fund",L$3,$A389))</x:f>
        <x:v>#NAME?</x:v>
      </x:c>
      <x:c r="M389" s="146" t="e">
        <x:f>IF($A389="","",[1]!thsiFinD("ths_adjustment_nv_fund",M$3,$A389))</x:f>
        <x:v>#NAME?</x:v>
      </x:c>
      <x:c r="N389" s="146" t="e">
        <x:f>IF($A389="","",[1]!thsiFinD("ths_adjustment_nv_fund",N$3,$A389))</x:f>
        <x:v>#NAME?</x:v>
      </x:c>
      <x:c r="O389" s="146" t="e">
        <x:f>IF($A389="","",[1]!thsiFinD("ths_adjustment_nv_fund",O$3,$A389))</x:f>
        <x:v>#NAME?</x:v>
      </x:c>
      <x:c r="P389" s="146" t="e">
        <x:f>IF($A389="","",[1]!thsiFinD("ths_adjustment_nv_fund",P$3,$A389))</x:f>
        <x:v>#NAME?</x:v>
      </x:c>
      <x:c r="Q389" s="146" t="e">
        <x:f>IF($A389="","",[1]!thsiFinD("ths_adjustment_nv_fund",Q$3,$A389))</x:f>
        <x:v>#NAME?</x:v>
      </x:c>
      <x:c r="R389" s="146" t="e">
        <x:f>IF($A389="","",[1]!thsiFinD("ths_adjustment_nv_fund",R$3,$A389))</x:f>
        <x:v>#NAME?</x:v>
      </x:c>
      <x:c r="S389" s="146" t="e">
        <x:f>IF($A389="","",[1]!thsiFinD("ths_adjustment_nv_fund",S$3,$A389))</x:f>
        <x:v>#NAME?</x:v>
      </x:c>
      <x:c r="T389" s="146" t="e">
        <x:f>IF($A389="","",[1]!thsiFinD("ths_adjustment_nv_fund",T$3,$A389))</x:f>
        <x:v>#NAME?</x:v>
      </x:c>
      <x:c r="U389" s="146" t="e">
        <x:f>IF($A389="","",[1]!thsiFinD("ths_adjustment_nv_fund",U$3,$A389))</x:f>
        <x:v>#NAME?</x:v>
      </x:c>
      <x:c r="V389" s="146" t="e">
        <x:f>IF($A389="","",[1]!thsiFinD("ths_adjustment_nv_fund",V$3,$A389))</x:f>
        <x:v>#NAME?</x:v>
      </x:c>
      <x:c r="W389" s="146" t="e">
        <x:f>IF($A389="","",[1]!thsiFinD("ths_adjustment_nv_fund",W$3,$A389))</x:f>
        <x:v>#NAME?</x:v>
      </x:c>
      <x:c r="X389" s="146" t="e">
        <x:f>IF($A389="","",[1]!thsiFinD("ths_adjustment_nv_fund",X$3,$A389))</x:f>
        <x:v>#NAME?</x:v>
      </x:c>
      <x:c r="Y389" s="146" t="e">
        <x:f>IF($A389="","",[1]!thsiFinD("ths_adjustment_nv_fund",Y$3,$A389))</x:f>
        <x:v>#NAME?</x:v>
      </x:c>
      <x:c r="Z389" s="146" t="e">
        <x:f>IF($A389="","",[1]!thsiFinD("ths_adjustment_nv_fund",Z$3,$A389))</x:f>
        <x:v>#NAME?</x:v>
      </x:c>
      <x:c r="AA389" s="146" t="e">
        <x:f>IF($A389="","",[1]!thsiFinD("ths_adjustment_nv_fund",AA$3,$A389))</x:f>
        <x:v>#NAME?</x:v>
      </x:c>
    </x:row>
    <x:row r="390">
      <x:c r="B390" s="146" t="e">
        <x:f>IF($A390="","",[1]!thsiFinD("ths_adjustment_nv_fund",B$3,$A390))</x:f>
        <x:v>#NAME?</x:v>
      </x:c>
      <x:c r="C390" s="146" t="e">
        <x:f>IF($A390="","",[1]!thsiFinD("ths_adjustment_nv_fund",C$3,$A390))</x:f>
        <x:v>#NAME?</x:v>
      </x:c>
      <x:c r="D390" s="146" t="e">
        <x:f>IF($A390="","",[1]!thsiFinD("ths_adjustment_nv_fund",D$3,$A390))</x:f>
        <x:v>#NAME?</x:v>
      </x:c>
      <x:c r="E390" s="146" t="e">
        <x:f>IF($A390="","",[1]!thsiFinD("ths_adjustment_nv_fund",E$3,$A390))</x:f>
        <x:v>#NAME?</x:v>
      </x:c>
      <x:c r="F390" s="146" t="e">
        <x:f>IF($A390="","",[1]!thsiFinD("ths_adjustment_nv_fund",F$3,$A390))</x:f>
        <x:v>#NAME?</x:v>
      </x:c>
      <x:c r="G390" s="146" t="e">
        <x:f>IF($A390="","",[1]!thsiFinD("ths_adjustment_nv_fund",G$3,$A390))</x:f>
        <x:v>#NAME?</x:v>
      </x:c>
      <x:c r="H390" s="146" t="e">
        <x:f>IF($A390="","",[1]!thsiFinD("ths_adjustment_nv_fund",H$3,$A390))</x:f>
        <x:v>#NAME?</x:v>
      </x:c>
      <x:c r="I390" s="146" t="e">
        <x:f>IF($A390="","",[1]!thsiFinD("ths_adjustment_nv_fund",I$3,$A390))</x:f>
        <x:v>#NAME?</x:v>
      </x:c>
      <x:c r="J390" s="146" t="e">
        <x:f>IF($A390="","",[1]!thsiFinD("ths_adjustment_nv_fund",J$3,$A390))</x:f>
        <x:v>#NAME?</x:v>
      </x:c>
      <x:c r="K390" s="146" t="e">
        <x:f>IF($A390="","",[1]!thsiFinD("ths_adjustment_nv_fund",K$3,$A390))</x:f>
        <x:v>#NAME?</x:v>
      </x:c>
      <x:c r="L390" s="146" t="e">
        <x:f>IF($A390="","",[1]!thsiFinD("ths_adjustment_nv_fund",L$3,$A390))</x:f>
        <x:v>#NAME?</x:v>
      </x:c>
      <x:c r="M390" s="146" t="e">
        <x:f>IF($A390="","",[1]!thsiFinD("ths_adjustment_nv_fund",M$3,$A390))</x:f>
        <x:v>#NAME?</x:v>
      </x:c>
      <x:c r="N390" s="146" t="e">
        <x:f>IF($A390="","",[1]!thsiFinD("ths_adjustment_nv_fund",N$3,$A390))</x:f>
        <x:v>#NAME?</x:v>
      </x:c>
      <x:c r="O390" s="146" t="e">
        <x:f>IF($A390="","",[1]!thsiFinD("ths_adjustment_nv_fund",O$3,$A390))</x:f>
        <x:v>#NAME?</x:v>
      </x:c>
      <x:c r="P390" s="146" t="e">
        <x:f>IF($A390="","",[1]!thsiFinD("ths_adjustment_nv_fund",P$3,$A390))</x:f>
        <x:v>#NAME?</x:v>
      </x:c>
      <x:c r="Q390" s="146" t="e">
        <x:f>IF($A390="","",[1]!thsiFinD("ths_adjustment_nv_fund",Q$3,$A390))</x:f>
        <x:v>#NAME?</x:v>
      </x:c>
      <x:c r="R390" s="146" t="e">
        <x:f>IF($A390="","",[1]!thsiFinD("ths_adjustment_nv_fund",R$3,$A390))</x:f>
        <x:v>#NAME?</x:v>
      </x:c>
      <x:c r="S390" s="146" t="e">
        <x:f>IF($A390="","",[1]!thsiFinD("ths_adjustment_nv_fund",S$3,$A390))</x:f>
        <x:v>#NAME?</x:v>
      </x:c>
      <x:c r="T390" s="146" t="e">
        <x:f>IF($A390="","",[1]!thsiFinD("ths_adjustment_nv_fund",T$3,$A390))</x:f>
        <x:v>#NAME?</x:v>
      </x:c>
      <x:c r="U390" s="146" t="e">
        <x:f>IF($A390="","",[1]!thsiFinD("ths_adjustment_nv_fund",U$3,$A390))</x:f>
        <x:v>#NAME?</x:v>
      </x:c>
      <x:c r="V390" s="146" t="e">
        <x:f>IF($A390="","",[1]!thsiFinD("ths_adjustment_nv_fund",V$3,$A390))</x:f>
        <x:v>#NAME?</x:v>
      </x:c>
      <x:c r="W390" s="146" t="e">
        <x:f>IF($A390="","",[1]!thsiFinD("ths_adjustment_nv_fund",W$3,$A390))</x:f>
        <x:v>#NAME?</x:v>
      </x:c>
      <x:c r="X390" s="146" t="e">
        <x:f>IF($A390="","",[1]!thsiFinD("ths_adjustment_nv_fund",X$3,$A390))</x:f>
        <x:v>#NAME?</x:v>
      </x:c>
      <x:c r="Y390" s="146" t="e">
        <x:f>IF($A390="","",[1]!thsiFinD("ths_adjustment_nv_fund",Y$3,$A390))</x:f>
        <x:v>#NAME?</x:v>
      </x:c>
      <x:c r="Z390" s="146" t="e">
        <x:f>IF($A390="","",[1]!thsiFinD("ths_adjustment_nv_fund",Z$3,$A390))</x:f>
        <x:v>#NAME?</x:v>
      </x:c>
      <x:c r="AA390" s="146" t="e">
        <x:f>IF($A390="","",[1]!thsiFinD("ths_adjustment_nv_fund",AA$3,$A390))</x:f>
        <x:v>#NAME?</x:v>
      </x:c>
    </x:row>
    <x:row r="391">
      <x:c r="B391" s="146" t="e">
        <x:f>IF($A391="","",[1]!thsiFinD("ths_adjustment_nv_fund",B$3,$A391))</x:f>
        <x:v>#NAME?</x:v>
      </x:c>
      <x:c r="C391" s="146" t="e">
        <x:f>IF($A391="","",[1]!thsiFinD("ths_adjustment_nv_fund",C$3,$A391))</x:f>
        <x:v>#NAME?</x:v>
      </x:c>
      <x:c r="D391" s="146" t="e">
        <x:f>IF($A391="","",[1]!thsiFinD("ths_adjustment_nv_fund",D$3,$A391))</x:f>
        <x:v>#NAME?</x:v>
      </x:c>
      <x:c r="E391" s="146" t="e">
        <x:f>IF($A391="","",[1]!thsiFinD("ths_adjustment_nv_fund",E$3,$A391))</x:f>
        <x:v>#NAME?</x:v>
      </x:c>
      <x:c r="F391" s="146" t="e">
        <x:f>IF($A391="","",[1]!thsiFinD("ths_adjustment_nv_fund",F$3,$A391))</x:f>
        <x:v>#NAME?</x:v>
      </x:c>
      <x:c r="G391" s="146" t="e">
        <x:f>IF($A391="","",[1]!thsiFinD("ths_adjustment_nv_fund",G$3,$A391))</x:f>
        <x:v>#NAME?</x:v>
      </x:c>
      <x:c r="H391" s="146" t="e">
        <x:f>IF($A391="","",[1]!thsiFinD("ths_adjustment_nv_fund",H$3,$A391))</x:f>
        <x:v>#NAME?</x:v>
      </x:c>
      <x:c r="I391" s="146" t="e">
        <x:f>IF($A391="","",[1]!thsiFinD("ths_adjustment_nv_fund",I$3,$A391))</x:f>
        <x:v>#NAME?</x:v>
      </x:c>
      <x:c r="J391" s="146" t="e">
        <x:f>IF($A391="","",[1]!thsiFinD("ths_adjustment_nv_fund",J$3,$A391))</x:f>
        <x:v>#NAME?</x:v>
      </x:c>
      <x:c r="K391" s="146" t="e">
        <x:f>IF($A391="","",[1]!thsiFinD("ths_adjustment_nv_fund",K$3,$A391))</x:f>
        <x:v>#NAME?</x:v>
      </x:c>
      <x:c r="L391" s="146" t="e">
        <x:f>IF($A391="","",[1]!thsiFinD("ths_adjustment_nv_fund",L$3,$A391))</x:f>
        <x:v>#NAME?</x:v>
      </x:c>
      <x:c r="M391" s="146" t="e">
        <x:f>IF($A391="","",[1]!thsiFinD("ths_adjustment_nv_fund",M$3,$A391))</x:f>
        <x:v>#NAME?</x:v>
      </x:c>
      <x:c r="N391" s="146" t="e">
        <x:f>IF($A391="","",[1]!thsiFinD("ths_adjustment_nv_fund",N$3,$A391))</x:f>
        <x:v>#NAME?</x:v>
      </x:c>
      <x:c r="O391" s="146" t="e">
        <x:f>IF($A391="","",[1]!thsiFinD("ths_adjustment_nv_fund",O$3,$A391))</x:f>
        <x:v>#NAME?</x:v>
      </x:c>
      <x:c r="P391" s="146" t="e">
        <x:f>IF($A391="","",[1]!thsiFinD("ths_adjustment_nv_fund",P$3,$A391))</x:f>
        <x:v>#NAME?</x:v>
      </x:c>
      <x:c r="Q391" s="146" t="e">
        <x:f>IF($A391="","",[1]!thsiFinD("ths_adjustment_nv_fund",Q$3,$A391))</x:f>
        <x:v>#NAME?</x:v>
      </x:c>
      <x:c r="R391" s="146" t="e">
        <x:f>IF($A391="","",[1]!thsiFinD("ths_adjustment_nv_fund",R$3,$A391))</x:f>
        <x:v>#NAME?</x:v>
      </x:c>
      <x:c r="S391" s="146" t="e">
        <x:f>IF($A391="","",[1]!thsiFinD("ths_adjustment_nv_fund",S$3,$A391))</x:f>
        <x:v>#NAME?</x:v>
      </x:c>
      <x:c r="T391" s="146" t="e">
        <x:f>IF($A391="","",[1]!thsiFinD("ths_adjustment_nv_fund",T$3,$A391))</x:f>
        <x:v>#NAME?</x:v>
      </x:c>
      <x:c r="U391" s="146" t="e">
        <x:f>IF($A391="","",[1]!thsiFinD("ths_adjustment_nv_fund",U$3,$A391))</x:f>
        <x:v>#NAME?</x:v>
      </x:c>
      <x:c r="V391" s="146" t="e">
        <x:f>IF($A391="","",[1]!thsiFinD("ths_adjustment_nv_fund",V$3,$A391))</x:f>
        <x:v>#NAME?</x:v>
      </x:c>
      <x:c r="W391" s="146" t="e">
        <x:f>IF($A391="","",[1]!thsiFinD("ths_adjustment_nv_fund",W$3,$A391))</x:f>
        <x:v>#NAME?</x:v>
      </x:c>
      <x:c r="X391" s="146" t="e">
        <x:f>IF($A391="","",[1]!thsiFinD("ths_adjustment_nv_fund",X$3,$A391))</x:f>
        <x:v>#NAME?</x:v>
      </x:c>
      <x:c r="Y391" s="146" t="e">
        <x:f>IF($A391="","",[1]!thsiFinD("ths_adjustment_nv_fund",Y$3,$A391))</x:f>
        <x:v>#NAME?</x:v>
      </x:c>
      <x:c r="Z391" s="146" t="e">
        <x:f>IF($A391="","",[1]!thsiFinD("ths_adjustment_nv_fund",Z$3,$A391))</x:f>
        <x:v>#NAME?</x:v>
      </x:c>
      <x:c r="AA391" s="146" t="e">
        <x:f>IF($A391="","",[1]!thsiFinD("ths_adjustment_nv_fund",AA$3,$A391))</x:f>
        <x:v>#NAME?</x:v>
      </x:c>
    </x:row>
    <x:row r="392">
      <x:c r="B392" s="146" t="e">
        <x:f>IF($A392="","",[1]!thsiFinD("ths_adjustment_nv_fund",B$3,$A392))</x:f>
        <x:v>#NAME?</x:v>
      </x:c>
      <x:c r="C392" s="146" t="e">
        <x:f>IF($A392="","",[1]!thsiFinD("ths_adjustment_nv_fund",C$3,$A392))</x:f>
        <x:v>#NAME?</x:v>
      </x:c>
      <x:c r="D392" s="146" t="e">
        <x:f>IF($A392="","",[1]!thsiFinD("ths_adjustment_nv_fund",D$3,$A392))</x:f>
        <x:v>#NAME?</x:v>
      </x:c>
      <x:c r="E392" s="146" t="e">
        <x:f>IF($A392="","",[1]!thsiFinD("ths_adjustment_nv_fund",E$3,$A392))</x:f>
        <x:v>#NAME?</x:v>
      </x:c>
      <x:c r="F392" s="146" t="e">
        <x:f>IF($A392="","",[1]!thsiFinD("ths_adjustment_nv_fund",F$3,$A392))</x:f>
        <x:v>#NAME?</x:v>
      </x:c>
      <x:c r="G392" s="146" t="e">
        <x:f>IF($A392="","",[1]!thsiFinD("ths_adjustment_nv_fund",G$3,$A392))</x:f>
        <x:v>#NAME?</x:v>
      </x:c>
      <x:c r="H392" s="146" t="e">
        <x:f>IF($A392="","",[1]!thsiFinD("ths_adjustment_nv_fund",H$3,$A392))</x:f>
        <x:v>#NAME?</x:v>
      </x:c>
      <x:c r="I392" s="146" t="e">
        <x:f>IF($A392="","",[1]!thsiFinD("ths_adjustment_nv_fund",I$3,$A392))</x:f>
        <x:v>#NAME?</x:v>
      </x:c>
      <x:c r="J392" s="146" t="e">
        <x:f>IF($A392="","",[1]!thsiFinD("ths_adjustment_nv_fund",J$3,$A392))</x:f>
        <x:v>#NAME?</x:v>
      </x:c>
      <x:c r="K392" s="146" t="e">
        <x:f>IF($A392="","",[1]!thsiFinD("ths_adjustment_nv_fund",K$3,$A392))</x:f>
        <x:v>#NAME?</x:v>
      </x:c>
      <x:c r="L392" s="146" t="e">
        <x:f>IF($A392="","",[1]!thsiFinD("ths_adjustment_nv_fund",L$3,$A392))</x:f>
        <x:v>#NAME?</x:v>
      </x:c>
      <x:c r="M392" s="146" t="e">
        <x:f>IF($A392="","",[1]!thsiFinD("ths_adjustment_nv_fund",M$3,$A392))</x:f>
        <x:v>#NAME?</x:v>
      </x:c>
      <x:c r="N392" s="146" t="e">
        <x:f>IF($A392="","",[1]!thsiFinD("ths_adjustment_nv_fund",N$3,$A392))</x:f>
        <x:v>#NAME?</x:v>
      </x:c>
      <x:c r="O392" s="146" t="e">
        <x:f>IF($A392="","",[1]!thsiFinD("ths_adjustment_nv_fund",O$3,$A392))</x:f>
        <x:v>#NAME?</x:v>
      </x:c>
      <x:c r="P392" s="146" t="e">
        <x:f>IF($A392="","",[1]!thsiFinD("ths_adjustment_nv_fund",P$3,$A392))</x:f>
        <x:v>#NAME?</x:v>
      </x:c>
      <x:c r="Q392" s="146" t="e">
        <x:f>IF($A392="","",[1]!thsiFinD("ths_adjustment_nv_fund",Q$3,$A392))</x:f>
        <x:v>#NAME?</x:v>
      </x:c>
      <x:c r="R392" s="146" t="e">
        <x:f>IF($A392="","",[1]!thsiFinD("ths_adjustment_nv_fund",R$3,$A392))</x:f>
        <x:v>#NAME?</x:v>
      </x:c>
      <x:c r="S392" s="146" t="e">
        <x:f>IF($A392="","",[1]!thsiFinD("ths_adjustment_nv_fund",S$3,$A392))</x:f>
        <x:v>#NAME?</x:v>
      </x:c>
      <x:c r="T392" s="146" t="e">
        <x:f>IF($A392="","",[1]!thsiFinD("ths_adjustment_nv_fund",T$3,$A392))</x:f>
        <x:v>#NAME?</x:v>
      </x:c>
      <x:c r="U392" s="146" t="e">
        <x:f>IF($A392="","",[1]!thsiFinD("ths_adjustment_nv_fund",U$3,$A392))</x:f>
        <x:v>#NAME?</x:v>
      </x:c>
      <x:c r="V392" s="146" t="e">
        <x:f>IF($A392="","",[1]!thsiFinD("ths_adjustment_nv_fund",V$3,$A392))</x:f>
        <x:v>#NAME?</x:v>
      </x:c>
      <x:c r="W392" s="146" t="e">
        <x:f>IF($A392="","",[1]!thsiFinD("ths_adjustment_nv_fund",W$3,$A392))</x:f>
        <x:v>#NAME?</x:v>
      </x:c>
      <x:c r="X392" s="146" t="e">
        <x:f>IF($A392="","",[1]!thsiFinD("ths_adjustment_nv_fund",X$3,$A392))</x:f>
        <x:v>#NAME?</x:v>
      </x:c>
      <x:c r="Y392" s="146" t="e">
        <x:f>IF($A392="","",[1]!thsiFinD("ths_adjustment_nv_fund",Y$3,$A392))</x:f>
        <x:v>#NAME?</x:v>
      </x:c>
      <x:c r="Z392" s="146" t="e">
        <x:f>IF($A392="","",[1]!thsiFinD("ths_adjustment_nv_fund",Z$3,$A392))</x:f>
        <x:v>#NAME?</x:v>
      </x:c>
      <x:c r="AA392" s="146" t="e">
        <x:f>IF($A392="","",[1]!thsiFinD("ths_adjustment_nv_fund",AA$3,$A392))</x:f>
        <x:v>#NAME?</x:v>
      </x:c>
    </x:row>
    <x:row r="393">
      <x:c r="B393" s="146" t="e">
        <x:f>IF($A393="","",[1]!thsiFinD("ths_adjustment_nv_fund",B$3,$A393))</x:f>
        <x:v>#NAME?</x:v>
      </x:c>
      <x:c r="C393" s="146" t="e">
        <x:f>IF($A393="","",[1]!thsiFinD("ths_adjustment_nv_fund",C$3,$A393))</x:f>
        <x:v>#NAME?</x:v>
      </x:c>
      <x:c r="D393" s="146" t="e">
        <x:f>IF($A393="","",[1]!thsiFinD("ths_adjustment_nv_fund",D$3,$A393))</x:f>
        <x:v>#NAME?</x:v>
      </x:c>
      <x:c r="E393" s="146" t="e">
        <x:f>IF($A393="","",[1]!thsiFinD("ths_adjustment_nv_fund",E$3,$A393))</x:f>
        <x:v>#NAME?</x:v>
      </x:c>
      <x:c r="F393" s="146" t="e">
        <x:f>IF($A393="","",[1]!thsiFinD("ths_adjustment_nv_fund",F$3,$A393))</x:f>
        <x:v>#NAME?</x:v>
      </x:c>
      <x:c r="G393" s="146" t="e">
        <x:f>IF($A393="","",[1]!thsiFinD("ths_adjustment_nv_fund",G$3,$A393))</x:f>
        <x:v>#NAME?</x:v>
      </x:c>
      <x:c r="H393" s="146" t="e">
        <x:f>IF($A393="","",[1]!thsiFinD("ths_adjustment_nv_fund",H$3,$A393))</x:f>
        <x:v>#NAME?</x:v>
      </x:c>
      <x:c r="I393" s="146" t="e">
        <x:f>IF($A393="","",[1]!thsiFinD("ths_adjustment_nv_fund",I$3,$A393))</x:f>
        <x:v>#NAME?</x:v>
      </x:c>
      <x:c r="J393" s="146" t="e">
        <x:f>IF($A393="","",[1]!thsiFinD("ths_adjustment_nv_fund",J$3,$A393))</x:f>
        <x:v>#NAME?</x:v>
      </x:c>
      <x:c r="K393" s="146" t="e">
        <x:f>IF($A393="","",[1]!thsiFinD("ths_adjustment_nv_fund",K$3,$A393))</x:f>
        <x:v>#NAME?</x:v>
      </x:c>
      <x:c r="L393" s="146" t="e">
        <x:f>IF($A393="","",[1]!thsiFinD("ths_adjustment_nv_fund",L$3,$A393))</x:f>
        <x:v>#NAME?</x:v>
      </x:c>
      <x:c r="M393" s="146" t="e">
        <x:f>IF($A393="","",[1]!thsiFinD("ths_adjustment_nv_fund",M$3,$A393))</x:f>
        <x:v>#NAME?</x:v>
      </x:c>
      <x:c r="N393" s="146" t="e">
        <x:f>IF($A393="","",[1]!thsiFinD("ths_adjustment_nv_fund",N$3,$A393))</x:f>
        <x:v>#NAME?</x:v>
      </x:c>
      <x:c r="O393" s="146" t="e">
        <x:f>IF($A393="","",[1]!thsiFinD("ths_adjustment_nv_fund",O$3,$A393))</x:f>
        <x:v>#NAME?</x:v>
      </x:c>
      <x:c r="P393" s="146" t="e">
        <x:f>IF($A393="","",[1]!thsiFinD("ths_adjustment_nv_fund",P$3,$A393))</x:f>
        <x:v>#NAME?</x:v>
      </x:c>
      <x:c r="Q393" s="146" t="e">
        <x:f>IF($A393="","",[1]!thsiFinD("ths_adjustment_nv_fund",Q$3,$A393))</x:f>
        <x:v>#NAME?</x:v>
      </x:c>
      <x:c r="R393" s="146" t="e">
        <x:f>IF($A393="","",[1]!thsiFinD("ths_adjustment_nv_fund",R$3,$A393))</x:f>
        <x:v>#NAME?</x:v>
      </x:c>
      <x:c r="S393" s="146" t="e">
        <x:f>IF($A393="","",[1]!thsiFinD("ths_adjustment_nv_fund",S$3,$A393))</x:f>
        <x:v>#NAME?</x:v>
      </x:c>
      <x:c r="T393" s="146" t="e">
        <x:f>IF($A393="","",[1]!thsiFinD("ths_adjustment_nv_fund",T$3,$A393))</x:f>
        <x:v>#NAME?</x:v>
      </x:c>
      <x:c r="U393" s="146" t="e">
        <x:f>IF($A393="","",[1]!thsiFinD("ths_adjustment_nv_fund",U$3,$A393))</x:f>
        <x:v>#NAME?</x:v>
      </x:c>
      <x:c r="V393" s="146" t="e">
        <x:f>IF($A393="","",[1]!thsiFinD("ths_adjustment_nv_fund",V$3,$A393))</x:f>
        <x:v>#NAME?</x:v>
      </x:c>
      <x:c r="W393" s="146" t="e">
        <x:f>IF($A393="","",[1]!thsiFinD("ths_adjustment_nv_fund",W$3,$A393))</x:f>
        <x:v>#NAME?</x:v>
      </x:c>
      <x:c r="X393" s="146" t="e">
        <x:f>IF($A393="","",[1]!thsiFinD("ths_adjustment_nv_fund",X$3,$A393))</x:f>
        <x:v>#NAME?</x:v>
      </x:c>
      <x:c r="Y393" s="146" t="e">
        <x:f>IF($A393="","",[1]!thsiFinD("ths_adjustment_nv_fund",Y$3,$A393))</x:f>
        <x:v>#NAME?</x:v>
      </x:c>
      <x:c r="Z393" s="146" t="e">
        <x:f>IF($A393="","",[1]!thsiFinD("ths_adjustment_nv_fund",Z$3,$A393))</x:f>
        <x:v>#NAME?</x:v>
      </x:c>
      <x:c r="AA393" s="146" t="e">
        <x:f>IF($A393="","",[1]!thsiFinD("ths_adjustment_nv_fund",AA$3,$A393))</x:f>
        <x:v>#NAME?</x:v>
      </x:c>
    </x:row>
    <x:row r="394">
      <x:c r="B394" s="146" t="e">
        <x:f>IF($A394="","",[1]!thsiFinD("ths_adjustment_nv_fund",B$3,$A394))</x:f>
        <x:v>#NAME?</x:v>
      </x:c>
      <x:c r="C394" s="146" t="e">
        <x:f>IF($A394="","",[1]!thsiFinD("ths_adjustment_nv_fund",C$3,$A394))</x:f>
        <x:v>#NAME?</x:v>
      </x:c>
      <x:c r="D394" s="146" t="e">
        <x:f>IF($A394="","",[1]!thsiFinD("ths_adjustment_nv_fund",D$3,$A394))</x:f>
        <x:v>#NAME?</x:v>
      </x:c>
      <x:c r="E394" s="146" t="e">
        <x:f>IF($A394="","",[1]!thsiFinD("ths_adjustment_nv_fund",E$3,$A394))</x:f>
        <x:v>#NAME?</x:v>
      </x:c>
      <x:c r="F394" s="146" t="e">
        <x:f>IF($A394="","",[1]!thsiFinD("ths_adjustment_nv_fund",F$3,$A394))</x:f>
        <x:v>#NAME?</x:v>
      </x:c>
      <x:c r="G394" s="146" t="e">
        <x:f>IF($A394="","",[1]!thsiFinD("ths_adjustment_nv_fund",G$3,$A394))</x:f>
        <x:v>#NAME?</x:v>
      </x:c>
      <x:c r="H394" s="146" t="e">
        <x:f>IF($A394="","",[1]!thsiFinD("ths_adjustment_nv_fund",H$3,$A394))</x:f>
        <x:v>#NAME?</x:v>
      </x:c>
      <x:c r="I394" s="146" t="e">
        <x:f>IF($A394="","",[1]!thsiFinD("ths_adjustment_nv_fund",I$3,$A394))</x:f>
        <x:v>#NAME?</x:v>
      </x:c>
      <x:c r="J394" s="146" t="e">
        <x:f>IF($A394="","",[1]!thsiFinD("ths_adjustment_nv_fund",J$3,$A394))</x:f>
        <x:v>#NAME?</x:v>
      </x:c>
      <x:c r="K394" s="146" t="e">
        <x:f>IF($A394="","",[1]!thsiFinD("ths_adjustment_nv_fund",K$3,$A394))</x:f>
        <x:v>#NAME?</x:v>
      </x:c>
      <x:c r="L394" s="146" t="e">
        <x:f>IF($A394="","",[1]!thsiFinD("ths_adjustment_nv_fund",L$3,$A394))</x:f>
        <x:v>#NAME?</x:v>
      </x:c>
      <x:c r="M394" s="146" t="e">
        <x:f>IF($A394="","",[1]!thsiFinD("ths_adjustment_nv_fund",M$3,$A394))</x:f>
        <x:v>#NAME?</x:v>
      </x:c>
      <x:c r="N394" s="146" t="e">
        <x:f>IF($A394="","",[1]!thsiFinD("ths_adjustment_nv_fund",N$3,$A394))</x:f>
        <x:v>#NAME?</x:v>
      </x:c>
      <x:c r="O394" s="146" t="e">
        <x:f>IF($A394="","",[1]!thsiFinD("ths_adjustment_nv_fund",O$3,$A394))</x:f>
        <x:v>#NAME?</x:v>
      </x:c>
      <x:c r="P394" s="146" t="e">
        <x:f>IF($A394="","",[1]!thsiFinD("ths_adjustment_nv_fund",P$3,$A394))</x:f>
        <x:v>#NAME?</x:v>
      </x:c>
      <x:c r="Q394" s="146" t="e">
        <x:f>IF($A394="","",[1]!thsiFinD("ths_adjustment_nv_fund",Q$3,$A394))</x:f>
        <x:v>#NAME?</x:v>
      </x:c>
      <x:c r="R394" s="146" t="e">
        <x:f>IF($A394="","",[1]!thsiFinD("ths_adjustment_nv_fund",R$3,$A394))</x:f>
        <x:v>#NAME?</x:v>
      </x:c>
      <x:c r="S394" s="146" t="e">
        <x:f>IF($A394="","",[1]!thsiFinD("ths_adjustment_nv_fund",S$3,$A394))</x:f>
        <x:v>#NAME?</x:v>
      </x:c>
      <x:c r="T394" s="146" t="e">
        <x:f>IF($A394="","",[1]!thsiFinD("ths_adjustment_nv_fund",T$3,$A394))</x:f>
        <x:v>#NAME?</x:v>
      </x:c>
      <x:c r="U394" s="146" t="e">
        <x:f>IF($A394="","",[1]!thsiFinD("ths_adjustment_nv_fund",U$3,$A394))</x:f>
        <x:v>#NAME?</x:v>
      </x:c>
      <x:c r="V394" s="146" t="e">
        <x:f>IF($A394="","",[1]!thsiFinD("ths_adjustment_nv_fund",V$3,$A394))</x:f>
        <x:v>#NAME?</x:v>
      </x:c>
      <x:c r="W394" s="146" t="e">
        <x:f>IF($A394="","",[1]!thsiFinD("ths_adjustment_nv_fund",W$3,$A394))</x:f>
        <x:v>#NAME?</x:v>
      </x:c>
      <x:c r="X394" s="146" t="e">
        <x:f>IF($A394="","",[1]!thsiFinD("ths_adjustment_nv_fund",X$3,$A394))</x:f>
        <x:v>#NAME?</x:v>
      </x:c>
      <x:c r="Y394" s="146" t="e">
        <x:f>IF($A394="","",[1]!thsiFinD("ths_adjustment_nv_fund",Y$3,$A394))</x:f>
        <x:v>#NAME?</x:v>
      </x:c>
      <x:c r="Z394" s="146" t="e">
        <x:f>IF($A394="","",[1]!thsiFinD("ths_adjustment_nv_fund",Z$3,$A394))</x:f>
        <x:v>#NAME?</x:v>
      </x:c>
      <x:c r="AA394" s="146" t="e">
        <x:f>IF($A394="","",[1]!thsiFinD("ths_adjustment_nv_fund",AA$3,$A394))</x:f>
        <x:v>#NAME?</x:v>
      </x:c>
    </x:row>
    <x:row r="395">
      <x:c r="B395" s="146" t="e">
        <x:f>IF($A395="","",[1]!thsiFinD("ths_adjustment_nv_fund",B$3,$A395))</x:f>
        <x:v>#NAME?</x:v>
      </x:c>
      <x:c r="C395" s="146" t="e">
        <x:f>IF($A395="","",[1]!thsiFinD("ths_adjustment_nv_fund",C$3,$A395))</x:f>
        <x:v>#NAME?</x:v>
      </x:c>
      <x:c r="D395" s="146" t="e">
        <x:f>IF($A395="","",[1]!thsiFinD("ths_adjustment_nv_fund",D$3,$A395))</x:f>
        <x:v>#NAME?</x:v>
      </x:c>
      <x:c r="E395" s="146" t="e">
        <x:f>IF($A395="","",[1]!thsiFinD("ths_adjustment_nv_fund",E$3,$A395))</x:f>
        <x:v>#NAME?</x:v>
      </x:c>
      <x:c r="F395" s="146" t="e">
        <x:f>IF($A395="","",[1]!thsiFinD("ths_adjustment_nv_fund",F$3,$A395))</x:f>
        <x:v>#NAME?</x:v>
      </x:c>
      <x:c r="G395" s="146" t="e">
        <x:f>IF($A395="","",[1]!thsiFinD("ths_adjustment_nv_fund",G$3,$A395))</x:f>
        <x:v>#NAME?</x:v>
      </x:c>
      <x:c r="H395" s="146" t="e">
        <x:f>IF($A395="","",[1]!thsiFinD("ths_adjustment_nv_fund",H$3,$A395))</x:f>
        <x:v>#NAME?</x:v>
      </x:c>
      <x:c r="I395" s="146" t="e">
        <x:f>IF($A395="","",[1]!thsiFinD("ths_adjustment_nv_fund",I$3,$A395))</x:f>
        <x:v>#NAME?</x:v>
      </x:c>
      <x:c r="J395" s="146" t="e">
        <x:f>IF($A395="","",[1]!thsiFinD("ths_adjustment_nv_fund",J$3,$A395))</x:f>
        <x:v>#NAME?</x:v>
      </x:c>
      <x:c r="K395" s="146" t="e">
        <x:f>IF($A395="","",[1]!thsiFinD("ths_adjustment_nv_fund",K$3,$A395))</x:f>
        <x:v>#NAME?</x:v>
      </x:c>
      <x:c r="L395" s="146" t="e">
        <x:f>IF($A395="","",[1]!thsiFinD("ths_adjustment_nv_fund",L$3,$A395))</x:f>
        <x:v>#NAME?</x:v>
      </x:c>
      <x:c r="M395" s="146" t="e">
        <x:f>IF($A395="","",[1]!thsiFinD("ths_adjustment_nv_fund",M$3,$A395))</x:f>
        <x:v>#NAME?</x:v>
      </x:c>
      <x:c r="N395" s="146" t="e">
        <x:f>IF($A395="","",[1]!thsiFinD("ths_adjustment_nv_fund",N$3,$A395))</x:f>
        <x:v>#NAME?</x:v>
      </x:c>
      <x:c r="O395" s="146" t="e">
        <x:f>IF($A395="","",[1]!thsiFinD("ths_adjustment_nv_fund",O$3,$A395))</x:f>
        <x:v>#NAME?</x:v>
      </x:c>
      <x:c r="P395" s="146" t="e">
        <x:f>IF($A395="","",[1]!thsiFinD("ths_adjustment_nv_fund",P$3,$A395))</x:f>
        <x:v>#NAME?</x:v>
      </x:c>
      <x:c r="Q395" s="146" t="e">
        <x:f>IF($A395="","",[1]!thsiFinD("ths_adjustment_nv_fund",Q$3,$A395))</x:f>
        <x:v>#NAME?</x:v>
      </x:c>
      <x:c r="R395" s="146" t="e">
        <x:f>IF($A395="","",[1]!thsiFinD("ths_adjustment_nv_fund",R$3,$A395))</x:f>
        <x:v>#NAME?</x:v>
      </x:c>
      <x:c r="S395" s="146" t="e">
        <x:f>IF($A395="","",[1]!thsiFinD("ths_adjustment_nv_fund",S$3,$A395))</x:f>
        <x:v>#NAME?</x:v>
      </x:c>
      <x:c r="T395" s="146" t="e">
        <x:f>IF($A395="","",[1]!thsiFinD("ths_adjustment_nv_fund",T$3,$A395))</x:f>
        <x:v>#NAME?</x:v>
      </x:c>
      <x:c r="U395" s="146" t="e">
        <x:f>IF($A395="","",[1]!thsiFinD("ths_adjustment_nv_fund",U$3,$A395))</x:f>
        <x:v>#NAME?</x:v>
      </x:c>
      <x:c r="V395" s="146" t="e">
        <x:f>IF($A395="","",[1]!thsiFinD("ths_adjustment_nv_fund",V$3,$A395))</x:f>
        <x:v>#NAME?</x:v>
      </x:c>
      <x:c r="W395" s="146" t="e">
        <x:f>IF($A395="","",[1]!thsiFinD("ths_adjustment_nv_fund",W$3,$A395))</x:f>
        <x:v>#NAME?</x:v>
      </x:c>
      <x:c r="X395" s="146" t="e">
        <x:f>IF($A395="","",[1]!thsiFinD("ths_adjustment_nv_fund",X$3,$A395))</x:f>
        <x:v>#NAME?</x:v>
      </x:c>
      <x:c r="Y395" s="146" t="e">
        <x:f>IF($A395="","",[1]!thsiFinD("ths_adjustment_nv_fund",Y$3,$A395))</x:f>
        <x:v>#NAME?</x:v>
      </x:c>
      <x:c r="Z395" s="146" t="e">
        <x:f>IF($A395="","",[1]!thsiFinD("ths_adjustment_nv_fund",Z$3,$A395))</x:f>
        <x:v>#NAME?</x:v>
      </x:c>
      <x:c r="AA395" s="146" t="e">
        <x:f>IF($A395="","",[1]!thsiFinD("ths_adjustment_nv_fund",AA$3,$A395))</x:f>
        <x:v>#NAME?</x:v>
      </x:c>
    </x:row>
    <x:row r="396">
      <x:c r="B396" s="146" t="e">
        <x:f>IF($A396="","",[1]!thsiFinD("ths_adjustment_nv_fund",B$3,$A396))</x:f>
        <x:v>#NAME?</x:v>
      </x:c>
      <x:c r="C396" s="146" t="e">
        <x:f>IF($A396="","",[1]!thsiFinD("ths_adjustment_nv_fund",C$3,$A396))</x:f>
        <x:v>#NAME?</x:v>
      </x:c>
      <x:c r="D396" s="146" t="e">
        <x:f>IF($A396="","",[1]!thsiFinD("ths_adjustment_nv_fund",D$3,$A396))</x:f>
        <x:v>#NAME?</x:v>
      </x:c>
      <x:c r="E396" s="146" t="e">
        <x:f>IF($A396="","",[1]!thsiFinD("ths_adjustment_nv_fund",E$3,$A396))</x:f>
        <x:v>#NAME?</x:v>
      </x:c>
      <x:c r="F396" s="146" t="e">
        <x:f>IF($A396="","",[1]!thsiFinD("ths_adjustment_nv_fund",F$3,$A396))</x:f>
        <x:v>#NAME?</x:v>
      </x:c>
      <x:c r="G396" s="146" t="e">
        <x:f>IF($A396="","",[1]!thsiFinD("ths_adjustment_nv_fund",G$3,$A396))</x:f>
        <x:v>#NAME?</x:v>
      </x:c>
      <x:c r="H396" s="146" t="e">
        <x:f>IF($A396="","",[1]!thsiFinD("ths_adjustment_nv_fund",H$3,$A396))</x:f>
        <x:v>#NAME?</x:v>
      </x:c>
      <x:c r="I396" s="146" t="e">
        <x:f>IF($A396="","",[1]!thsiFinD("ths_adjustment_nv_fund",I$3,$A396))</x:f>
        <x:v>#NAME?</x:v>
      </x:c>
      <x:c r="J396" s="146" t="e">
        <x:f>IF($A396="","",[1]!thsiFinD("ths_adjustment_nv_fund",J$3,$A396))</x:f>
        <x:v>#NAME?</x:v>
      </x:c>
      <x:c r="K396" s="146" t="e">
        <x:f>IF($A396="","",[1]!thsiFinD("ths_adjustment_nv_fund",K$3,$A396))</x:f>
        <x:v>#NAME?</x:v>
      </x:c>
      <x:c r="L396" s="146" t="e">
        <x:f>IF($A396="","",[1]!thsiFinD("ths_adjustment_nv_fund",L$3,$A396))</x:f>
        <x:v>#NAME?</x:v>
      </x:c>
      <x:c r="M396" s="146" t="e">
        <x:f>IF($A396="","",[1]!thsiFinD("ths_adjustment_nv_fund",M$3,$A396))</x:f>
        <x:v>#NAME?</x:v>
      </x:c>
      <x:c r="N396" s="146" t="e">
        <x:f>IF($A396="","",[1]!thsiFinD("ths_adjustment_nv_fund",N$3,$A396))</x:f>
        <x:v>#NAME?</x:v>
      </x:c>
      <x:c r="O396" s="146" t="e">
        <x:f>IF($A396="","",[1]!thsiFinD("ths_adjustment_nv_fund",O$3,$A396))</x:f>
        <x:v>#NAME?</x:v>
      </x:c>
      <x:c r="P396" s="146" t="e">
        <x:f>IF($A396="","",[1]!thsiFinD("ths_adjustment_nv_fund",P$3,$A396))</x:f>
        <x:v>#NAME?</x:v>
      </x:c>
      <x:c r="Q396" s="146" t="e">
        <x:f>IF($A396="","",[1]!thsiFinD("ths_adjustment_nv_fund",Q$3,$A396))</x:f>
        <x:v>#NAME?</x:v>
      </x:c>
      <x:c r="R396" s="146" t="e">
        <x:f>IF($A396="","",[1]!thsiFinD("ths_adjustment_nv_fund",R$3,$A396))</x:f>
        <x:v>#NAME?</x:v>
      </x:c>
      <x:c r="S396" s="146" t="e">
        <x:f>IF($A396="","",[1]!thsiFinD("ths_adjustment_nv_fund",S$3,$A396))</x:f>
        <x:v>#NAME?</x:v>
      </x:c>
      <x:c r="T396" s="146" t="e">
        <x:f>IF($A396="","",[1]!thsiFinD("ths_adjustment_nv_fund",T$3,$A396))</x:f>
        <x:v>#NAME?</x:v>
      </x:c>
      <x:c r="U396" s="146" t="e">
        <x:f>IF($A396="","",[1]!thsiFinD("ths_adjustment_nv_fund",U$3,$A396))</x:f>
        <x:v>#NAME?</x:v>
      </x:c>
      <x:c r="V396" s="146" t="e">
        <x:f>IF($A396="","",[1]!thsiFinD("ths_adjustment_nv_fund",V$3,$A396))</x:f>
        <x:v>#NAME?</x:v>
      </x:c>
      <x:c r="W396" s="146" t="e">
        <x:f>IF($A396="","",[1]!thsiFinD("ths_adjustment_nv_fund",W$3,$A396))</x:f>
        <x:v>#NAME?</x:v>
      </x:c>
      <x:c r="X396" s="146" t="e">
        <x:f>IF($A396="","",[1]!thsiFinD("ths_adjustment_nv_fund",X$3,$A396))</x:f>
        <x:v>#NAME?</x:v>
      </x:c>
      <x:c r="Y396" s="146" t="e">
        <x:f>IF($A396="","",[1]!thsiFinD("ths_adjustment_nv_fund",Y$3,$A396))</x:f>
        <x:v>#NAME?</x:v>
      </x:c>
      <x:c r="Z396" s="146" t="e">
        <x:f>IF($A396="","",[1]!thsiFinD("ths_adjustment_nv_fund",Z$3,$A396))</x:f>
        <x:v>#NAME?</x:v>
      </x:c>
      <x:c r="AA396" s="146" t="e">
        <x:f>IF($A396="","",[1]!thsiFinD("ths_adjustment_nv_fund",AA$3,$A396))</x:f>
        <x:v>#NAME?</x:v>
      </x:c>
    </x:row>
    <x:row r="397">
      <x:c r="B397" s="146" t="e">
        <x:f>IF($A397="","",[1]!thsiFinD("ths_adjustment_nv_fund",B$3,$A397))</x:f>
        <x:v>#NAME?</x:v>
      </x:c>
      <x:c r="C397" s="146" t="e">
        <x:f>IF($A397="","",[1]!thsiFinD("ths_adjustment_nv_fund",C$3,$A397))</x:f>
        <x:v>#NAME?</x:v>
      </x:c>
      <x:c r="D397" s="146" t="e">
        <x:f>IF($A397="","",[1]!thsiFinD("ths_adjustment_nv_fund",D$3,$A397))</x:f>
        <x:v>#NAME?</x:v>
      </x:c>
      <x:c r="E397" s="146" t="e">
        <x:f>IF($A397="","",[1]!thsiFinD("ths_adjustment_nv_fund",E$3,$A397))</x:f>
        <x:v>#NAME?</x:v>
      </x:c>
      <x:c r="F397" s="146" t="e">
        <x:f>IF($A397="","",[1]!thsiFinD("ths_adjustment_nv_fund",F$3,$A397))</x:f>
        <x:v>#NAME?</x:v>
      </x:c>
      <x:c r="G397" s="146" t="e">
        <x:f>IF($A397="","",[1]!thsiFinD("ths_adjustment_nv_fund",G$3,$A397))</x:f>
        <x:v>#NAME?</x:v>
      </x:c>
      <x:c r="H397" s="146" t="e">
        <x:f>IF($A397="","",[1]!thsiFinD("ths_adjustment_nv_fund",H$3,$A397))</x:f>
        <x:v>#NAME?</x:v>
      </x:c>
      <x:c r="I397" s="146" t="e">
        <x:f>IF($A397="","",[1]!thsiFinD("ths_adjustment_nv_fund",I$3,$A397))</x:f>
        <x:v>#NAME?</x:v>
      </x:c>
      <x:c r="J397" s="146" t="e">
        <x:f>IF($A397="","",[1]!thsiFinD("ths_adjustment_nv_fund",J$3,$A397))</x:f>
        <x:v>#NAME?</x:v>
      </x:c>
      <x:c r="K397" s="146" t="e">
        <x:f>IF($A397="","",[1]!thsiFinD("ths_adjustment_nv_fund",K$3,$A397))</x:f>
        <x:v>#NAME?</x:v>
      </x:c>
      <x:c r="L397" s="146" t="e">
        <x:f>IF($A397="","",[1]!thsiFinD("ths_adjustment_nv_fund",L$3,$A397))</x:f>
        <x:v>#NAME?</x:v>
      </x:c>
      <x:c r="M397" s="146" t="e">
        <x:f>IF($A397="","",[1]!thsiFinD("ths_adjustment_nv_fund",M$3,$A397))</x:f>
        <x:v>#NAME?</x:v>
      </x:c>
      <x:c r="N397" s="146" t="e">
        <x:f>IF($A397="","",[1]!thsiFinD("ths_adjustment_nv_fund",N$3,$A397))</x:f>
        <x:v>#NAME?</x:v>
      </x:c>
      <x:c r="O397" s="146" t="e">
        <x:f>IF($A397="","",[1]!thsiFinD("ths_adjustment_nv_fund",O$3,$A397))</x:f>
        <x:v>#NAME?</x:v>
      </x:c>
      <x:c r="P397" s="146" t="e">
        <x:f>IF($A397="","",[1]!thsiFinD("ths_adjustment_nv_fund",P$3,$A397))</x:f>
        <x:v>#NAME?</x:v>
      </x:c>
      <x:c r="Q397" s="146" t="e">
        <x:f>IF($A397="","",[1]!thsiFinD("ths_adjustment_nv_fund",Q$3,$A397))</x:f>
        <x:v>#NAME?</x:v>
      </x:c>
      <x:c r="R397" s="146" t="e">
        <x:f>IF($A397="","",[1]!thsiFinD("ths_adjustment_nv_fund",R$3,$A397))</x:f>
        <x:v>#NAME?</x:v>
      </x:c>
      <x:c r="S397" s="146" t="e">
        <x:f>IF($A397="","",[1]!thsiFinD("ths_adjustment_nv_fund",S$3,$A397))</x:f>
        <x:v>#NAME?</x:v>
      </x:c>
      <x:c r="T397" s="146" t="e">
        <x:f>IF($A397="","",[1]!thsiFinD("ths_adjustment_nv_fund",T$3,$A397))</x:f>
        <x:v>#NAME?</x:v>
      </x:c>
      <x:c r="U397" s="146" t="e">
        <x:f>IF($A397="","",[1]!thsiFinD("ths_adjustment_nv_fund",U$3,$A397))</x:f>
        <x:v>#NAME?</x:v>
      </x:c>
      <x:c r="V397" s="146" t="e">
        <x:f>IF($A397="","",[1]!thsiFinD("ths_adjustment_nv_fund",V$3,$A397))</x:f>
        <x:v>#NAME?</x:v>
      </x:c>
      <x:c r="W397" s="146" t="e">
        <x:f>IF($A397="","",[1]!thsiFinD("ths_adjustment_nv_fund",W$3,$A397))</x:f>
        <x:v>#NAME?</x:v>
      </x:c>
      <x:c r="X397" s="146" t="e">
        <x:f>IF($A397="","",[1]!thsiFinD("ths_adjustment_nv_fund",X$3,$A397))</x:f>
        <x:v>#NAME?</x:v>
      </x:c>
      <x:c r="Y397" s="146" t="e">
        <x:f>IF($A397="","",[1]!thsiFinD("ths_adjustment_nv_fund",Y$3,$A397))</x:f>
        <x:v>#NAME?</x:v>
      </x:c>
      <x:c r="Z397" s="146" t="e">
        <x:f>IF($A397="","",[1]!thsiFinD("ths_adjustment_nv_fund",Z$3,$A397))</x:f>
        <x:v>#NAME?</x:v>
      </x:c>
      <x:c r="AA397" s="146" t="e">
        <x:f>IF($A397="","",[1]!thsiFinD("ths_adjustment_nv_fund",AA$3,$A397))</x:f>
        <x:v>#NAME?</x:v>
      </x:c>
    </x:row>
    <x:row r="398">
      <x:c r="B398" s="146" t="e">
        <x:f>IF($A398="","",[1]!thsiFinD("ths_adjustment_nv_fund",B$3,$A398))</x:f>
        <x:v>#NAME?</x:v>
      </x:c>
      <x:c r="C398" s="146" t="e">
        <x:f>IF($A398="","",[1]!thsiFinD("ths_adjustment_nv_fund",C$3,$A398))</x:f>
        <x:v>#NAME?</x:v>
      </x:c>
      <x:c r="D398" s="146" t="e">
        <x:f>IF($A398="","",[1]!thsiFinD("ths_adjustment_nv_fund",D$3,$A398))</x:f>
        <x:v>#NAME?</x:v>
      </x:c>
      <x:c r="E398" s="146" t="e">
        <x:f>IF($A398="","",[1]!thsiFinD("ths_adjustment_nv_fund",E$3,$A398))</x:f>
        <x:v>#NAME?</x:v>
      </x:c>
      <x:c r="F398" s="146" t="e">
        <x:f>IF($A398="","",[1]!thsiFinD("ths_adjustment_nv_fund",F$3,$A398))</x:f>
        <x:v>#NAME?</x:v>
      </x:c>
      <x:c r="G398" s="146" t="e">
        <x:f>IF($A398="","",[1]!thsiFinD("ths_adjustment_nv_fund",G$3,$A398))</x:f>
        <x:v>#NAME?</x:v>
      </x:c>
      <x:c r="H398" s="146" t="e">
        <x:f>IF($A398="","",[1]!thsiFinD("ths_adjustment_nv_fund",H$3,$A398))</x:f>
        <x:v>#NAME?</x:v>
      </x:c>
      <x:c r="I398" s="146" t="e">
        <x:f>IF($A398="","",[1]!thsiFinD("ths_adjustment_nv_fund",I$3,$A398))</x:f>
        <x:v>#NAME?</x:v>
      </x:c>
      <x:c r="J398" s="146" t="e">
        <x:f>IF($A398="","",[1]!thsiFinD("ths_adjustment_nv_fund",J$3,$A398))</x:f>
        <x:v>#NAME?</x:v>
      </x:c>
      <x:c r="K398" s="146" t="e">
        <x:f>IF($A398="","",[1]!thsiFinD("ths_adjustment_nv_fund",K$3,$A398))</x:f>
        <x:v>#NAME?</x:v>
      </x:c>
      <x:c r="L398" s="146" t="e">
        <x:f>IF($A398="","",[1]!thsiFinD("ths_adjustment_nv_fund",L$3,$A398))</x:f>
        <x:v>#NAME?</x:v>
      </x:c>
      <x:c r="M398" s="146" t="e">
        <x:f>IF($A398="","",[1]!thsiFinD("ths_adjustment_nv_fund",M$3,$A398))</x:f>
        <x:v>#NAME?</x:v>
      </x:c>
      <x:c r="N398" s="146" t="e">
        <x:f>IF($A398="","",[1]!thsiFinD("ths_adjustment_nv_fund",N$3,$A398))</x:f>
        <x:v>#NAME?</x:v>
      </x:c>
      <x:c r="O398" s="146" t="e">
        <x:f>IF($A398="","",[1]!thsiFinD("ths_adjustment_nv_fund",O$3,$A398))</x:f>
        <x:v>#NAME?</x:v>
      </x:c>
      <x:c r="P398" s="146" t="e">
        <x:f>IF($A398="","",[1]!thsiFinD("ths_adjustment_nv_fund",P$3,$A398))</x:f>
        <x:v>#NAME?</x:v>
      </x:c>
      <x:c r="Q398" s="146" t="e">
        <x:f>IF($A398="","",[1]!thsiFinD("ths_adjustment_nv_fund",Q$3,$A398))</x:f>
        <x:v>#NAME?</x:v>
      </x:c>
      <x:c r="R398" s="146" t="e">
        <x:f>IF($A398="","",[1]!thsiFinD("ths_adjustment_nv_fund",R$3,$A398))</x:f>
        <x:v>#NAME?</x:v>
      </x:c>
      <x:c r="S398" s="146" t="e">
        <x:f>IF($A398="","",[1]!thsiFinD("ths_adjustment_nv_fund",S$3,$A398))</x:f>
        <x:v>#NAME?</x:v>
      </x:c>
      <x:c r="T398" s="146" t="e">
        <x:f>IF($A398="","",[1]!thsiFinD("ths_adjustment_nv_fund",T$3,$A398))</x:f>
        <x:v>#NAME?</x:v>
      </x:c>
      <x:c r="U398" s="146" t="e">
        <x:f>IF($A398="","",[1]!thsiFinD("ths_adjustment_nv_fund",U$3,$A398))</x:f>
        <x:v>#NAME?</x:v>
      </x:c>
      <x:c r="V398" s="146" t="e">
        <x:f>IF($A398="","",[1]!thsiFinD("ths_adjustment_nv_fund",V$3,$A398))</x:f>
        <x:v>#NAME?</x:v>
      </x:c>
      <x:c r="W398" s="146" t="e">
        <x:f>IF($A398="","",[1]!thsiFinD("ths_adjustment_nv_fund",W$3,$A398))</x:f>
        <x:v>#NAME?</x:v>
      </x:c>
      <x:c r="X398" s="146" t="e">
        <x:f>IF($A398="","",[1]!thsiFinD("ths_adjustment_nv_fund",X$3,$A398))</x:f>
        <x:v>#NAME?</x:v>
      </x:c>
      <x:c r="Y398" s="146" t="e">
        <x:f>IF($A398="","",[1]!thsiFinD("ths_adjustment_nv_fund",Y$3,$A398))</x:f>
        <x:v>#NAME?</x:v>
      </x:c>
      <x:c r="Z398" s="146" t="e">
        <x:f>IF($A398="","",[1]!thsiFinD("ths_adjustment_nv_fund",Z$3,$A398))</x:f>
        <x:v>#NAME?</x:v>
      </x:c>
      <x:c r="AA398" s="146" t="e">
        <x:f>IF($A398="","",[1]!thsiFinD("ths_adjustment_nv_fund",AA$3,$A398))</x:f>
        <x:v>#NAME?</x:v>
      </x:c>
    </x:row>
    <x:row r="399">
      <x:c r="B399" s="146" t="e">
        <x:f>IF($A399="","",[1]!thsiFinD("ths_adjustment_nv_fund",B$3,$A399))</x:f>
        <x:v>#NAME?</x:v>
      </x:c>
      <x:c r="C399" s="146" t="e">
        <x:f>IF($A399="","",[1]!thsiFinD("ths_adjustment_nv_fund",C$3,$A399))</x:f>
        <x:v>#NAME?</x:v>
      </x:c>
      <x:c r="D399" s="146" t="e">
        <x:f>IF($A399="","",[1]!thsiFinD("ths_adjustment_nv_fund",D$3,$A399))</x:f>
        <x:v>#NAME?</x:v>
      </x:c>
      <x:c r="E399" s="146" t="e">
        <x:f>IF($A399="","",[1]!thsiFinD("ths_adjustment_nv_fund",E$3,$A399))</x:f>
        <x:v>#NAME?</x:v>
      </x:c>
      <x:c r="F399" s="146" t="e">
        <x:f>IF($A399="","",[1]!thsiFinD("ths_adjustment_nv_fund",F$3,$A399))</x:f>
        <x:v>#NAME?</x:v>
      </x:c>
      <x:c r="G399" s="146" t="e">
        <x:f>IF($A399="","",[1]!thsiFinD("ths_adjustment_nv_fund",G$3,$A399))</x:f>
        <x:v>#NAME?</x:v>
      </x:c>
      <x:c r="H399" s="146" t="e">
        <x:f>IF($A399="","",[1]!thsiFinD("ths_adjustment_nv_fund",H$3,$A399))</x:f>
        <x:v>#NAME?</x:v>
      </x:c>
      <x:c r="I399" s="146" t="e">
        <x:f>IF($A399="","",[1]!thsiFinD("ths_adjustment_nv_fund",I$3,$A399))</x:f>
        <x:v>#NAME?</x:v>
      </x:c>
      <x:c r="J399" s="146" t="e">
        <x:f>IF($A399="","",[1]!thsiFinD("ths_adjustment_nv_fund",J$3,$A399))</x:f>
        <x:v>#NAME?</x:v>
      </x:c>
      <x:c r="K399" s="146" t="e">
        <x:f>IF($A399="","",[1]!thsiFinD("ths_adjustment_nv_fund",K$3,$A399))</x:f>
        <x:v>#NAME?</x:v>
      </x:c>
      <x:c r="L399" s="146" t="e">
        <x:f>IF($A399="","",[1]!thsiFinD("ths_adjustment_nv_fund",L$3,$A399))</x:f>
        <x:v>#NAME?</x:v>
      </x:c>
      <x:c r="M399" s="146" t="e">
        <x:f>IF($A399="","",[1]!thsiFinD("ths_adjustment_nv_fund",M$3,$A399))</x:f>
        <x:v>#NAME?</x:v>
      </x:c>
      <x:c r="N399" s="146" t="e">
        <x:f>IF($A399="","",[1]!thsiFinD("ths_adjustment_nv_fund",N$3,$A399))</x:f>
        <x:v>#NAME?</x:v>
      </x:c>
      <x:c r="O399" s="146" t="e">
        <x:f>IF($A399="","",[1]!thsiFinD("ths_adjustment_nv_fund",O$3,$A399))</x:f>
        <x:v>#NAME?</x:v>
      </x:c>
      <x:c r="P399" s="146" t="e">
        <x:f>IF($A399="","",[1]!thsiFinD("ths_adjustment_nv_fund",P$3,$A399))</x:f>
        <x:v>#NAME?</x:v>
      </x:c>
      <x:c r="Q399" s="146" t="e">
        <x:f>IF($A399="","",[1]!thsiFinD("ths_adjustment_nv_fund",Q$3,$A399))</x:f>
        <x:v>#NAME?</x:v>
      </x:c>
      <x:c r="R399" s="146" t="e">
        <x:f>IF($A399="","",[1]!thsiFinD("ths_adjustment_nv_fund",R$3,$A399))</x:f>
        <x:v>#NAME?</x:v>
      </x:c>
      <x:c r="S399" s="146" t="e">
        <x:f>IF($A399="","",[1]!thsiFinD("ths_adjustment_nv_fund",S$3,$A399))</x:f>
        <x:v>#NAME?</x:v>
      </x:c>
      <x:c r="T399" s="146" t="e">
        <x:f>IF($A399="","",[1]!thsiFinD("ths_adjustment_nv_fund",T$3,$A399))</x:f>
        <x:v>#NAME?</x:v>
      </x:c>
      <x:c r="U399" s="146" t="e">
        <x:f>IF($A399="","",[1]!thsiFinD("ths_adjustment_nv_fund",U$3,$A399))</x:f>
        <x:v>#NAME?</x:v>
      </x:c>
      <x:c r="V399" s="146" t="e">
        <x:f>IF($A399="","",[1]!thsiFinD("ths_adjustment_nv_fund",V$3,$A399))</x:f>
        <x:v>#NAME?</x:v>
      </x:c>
      <x:c r="W399" s="146" t="e">
        <x:f>IF($A399="","",[1]!thsiFinD("ths_adjustment_nv_fund",W$3,$A399))</x:f>
        <x:v>#NAME?</x:v>
      </x:c>
      <x:c r="X399" s="146" t="e">
        <x:f>IF($A399="","",[1]!thsiFinD("ths_adjustment_nv_fund",X$3,$A399))</x:f>
        <x:v>#NAME?</x:v>
      </x:c>
      <x:c r="Y399" s="146" t="e">
        <x:f>IF($A399="","",[1]!thsiFinD("ths_adjustment_nv_fund",Y$3,$A399))</x:f>
        <x:v>#NAME?</x:v>
      </x:c>
      <x:c r="Z399" s="146" t="e">
        <x:f>IF($A399="","",[1]!thsiFinD("ths_adjustment_nv_fund",Z$3,$A399))</x:f>
        <x:v>#NAME?</x:v>
      </x:c>
      <x:c r="AA399" s="146" t="e">
        <x:f>IF($A399="","",[1]!thsiFinD("ths_adjustment_nv_fund",AA$3,$A399))</x:f>
        <x:v>#NAME?</x:v>
      </x:c>
    </x:row>
    <x:row r="400">
      <x:c r="B400" s="146" t="e">
        <x:f>IF($A400="","",[1]!thsiFinD("ths_adjustment_nv_fund",B$3,$A400))</x:f>
        <x:v>#NAME?</x:v>
      </x:c>
      <x:c r="C400" s="146" t="e">
        <x:f>IF($A400="","",[1]!thsiFinD("ths_adjustment_nv_fund",C$3,$A400))</x:f>
        <x:v>#NAME?</x:v>
      </x:c>
      <x:c r="D400" s="146" t="e">
        <x:f>IF($A400="","",[1]!thsiFinD("ths_adjustment_nv_fund",D$3,$A400))</x:f>
        <x:v>#NAME?</x:v>
      </x:c>
      <x:c r="E400" s="146" t="e">
        <x:f>IF($A400="","",[1]!thsiFinD("ths_adjustment_nv_fund",E$3,$A400))</x:f>
        <x:v>#NAME?</x:v>
      </x:c>
      <x:c r="F400" s="146" t="e">
        <x:f>IF($A400="","",[1]!thsiFinD("ths_adjustment_nv_fund",F$3,$A400))</x:f>
        <x:v>#NAME?</x:v>
      </x:c>
      <x:c r="G400" s="146" t="e">
        <x:f>IF($A400="","",[1]!thsiFinD("ths_adjustment_nv_fund",G$3,$A400))</x:f>
        <x:v>#NAME?</x:v>
      </x:c>
      <x:c r="H400" s="146" t="e">
        <x:f>IF($A400="","",[1]!thsiFinD("ths_adjustment_nv_fund",H$3,$A400))</x:f>
        <x:v>#NAME?</x:v>
      </x:c>
      <x:c r="I400" s="146" t="e">
        <x:f>IF($A400="","",[1]!thsiFinD("ths_adjustment_nv_fund",I$3,$A400))</x:f>
        <x:v>#NAME?</x:v>
      </x:c>
      <x:c r="J400" s="146" t="e">
        <x:f>IF($A400="","",[1]!thsiFinD("ths_adjustment_nv_fund",J$3,$A400))</x:f>
        <x:v>#NAME?</x:v>
      </x:c>
      <x:c r="K400" s="146" t="e">
        <x:f>IF($A400="","",[1]!thsiFinD("ths_adjustment_nv_fund",K$3,$A400))</x:f>
        <x:v>#NAME?</x:v>
      </x:c>
      <x:c r="L400" s="146" t="e">
        <x:f>IF($A400="","",[1]!thsiFinD("ths_adjustment_nv_fund",L$3,$A400))</x:f>
        <x:v>#NAME?</x:v>
      </x:c>
      <x:c r="M400" s="146" t="e">
        <x:f>IF($A400="","",[1]!thsiFinD("ths_adjustment_nv_fund",M$3,$A400))</x:f>
        <x:v>#NAME?</x:v>
      </x:c>
      <x:c r="N400" s="146" t="e">
        <x:f>IF($A400="","",[1]!thsiFinD("ths_adjustment_nv_fund",N$3,$A400))</x:f>
        <x:v>#NAME?</x:v>
      </x:c>
      <x:c r="O400" s="146" t="e">
        <x:f>IF($A400="","",[1]!thsiFinD("ths_adjustment_nv_fund",O$3,$A400))</x:f>
        <x:v>#NAME?</x:v>
      </x:c>
      <x:c r="P400" s="146" t="e">
        <x:f>IF($A400="","",[1]!thsiFinD("ths_adjustment_nv_fund",P$3,$A400))</x:f>
        <x:v>#NAME?</x:v>
      </x:c>
      <x:c r="Q400" s="146" t="e">
        <x:f>IF($A400="","",[1]!thsiFinD("ths_adjustment_nv_fund",Q$3,$A400))</x:f>
        <x:v>#NAME?</x:v>
      </x:c>
      <x:c r="R400" s="146" t="e">
        <x:f>IF($A400="","",[1]!thsiFinD("ths_adjustment_nv_fund",R$3,$A400))</x:f>
        <x:v>#NAME?</x:v>
      </x:c>
      <x:c r="S400" s="146" t="e">
        <x:f>IF($A400="","",[1]!thsiFinD("ths_adjustment_nv_fund",S$3,$A400))</x:f>
        <x:v>#NAME?</x:v>
      </x:c>
      <x:c r="T400" s="146" t="e">
        <x:f>IF($A400="","",[1]!thsiFinD("ths_adjustment_nv_fund",T$3,$A400))</x:f>
        <x:v>#NAME?</x:v>
      </x:c>
      <x:c r="U400" s="146" t="e">
        <x:f>IF($A400="","",[1]!thsiFinD("ths_adjustment_nv_fund",U$3,$A400))</x:f>
        <x:v>#NAME?</x:v>
      </x:c>
      <x:c r="V400" s="146" t="e">
        <x:f>IF($A400="","",[1]!thsiFinD("ths_adjustment_nv_fund",V$3,$A400))</x:f>
        <x:v>#NAME?</x:v>
      </x:c>
      <x:c r="W400" s="146" t="e">
        <x:f>IF($A400="","",[1]!thsiFinD("ths_adjustment_nv_fund",W$3,$A400))</x:f>
        <x:v>#NAME?</x:v>
      </x:c>
      <x:c r="X400" s="146" t="e">
        <x:f>IF($A400="","",[1]!thsiFinD("ths_adjustment_nv_fund",X$3,$A400))</x:f>
        <x:v>#NAME?</x:v>
      </x:c>
      <x:c r="Y400" s="146" t="e">
        <x:f>IF($A400="","",[1]!thsiFinD("ths_adjustment_nv_fund",Y$3,$A400))</x:f>
        <x:v>#NAME?</x:v>
      </x:c>
      <x:c r="Z400" s="146" t="e">
        <x:f>IF($A400="","",[1]!thsiFinD("ths_adjustment_nv_fund",Z$3,$A400))</x:f>
        <x:v>#NAME?</x:v>
      </x:c>
      <x:c r="AA400" s="146" t="e">
        <x:f>IF($A400="","",[1]!thsiFinD("ths_adjustment_nv_fund",AA$3,$A400))</x:f>
        <x:v>#NAME?</x:v>
      </x:c>
    </x:row>
    <x:row r="401">
      <x:c r="B401" s="146" t="e">
        <x:f>IF($A401="","",[1]!thsiFinD("ths_adjustment_nv_fund",B$3,$A401))</x:f>
        <x:v>#NAME?</x:v>
      </x:c>
      <x:c r="C401" s="146" t="e">
        <x:f>IF($A401="","",[1]!thsiFinD("ths_adjustment_nv_fund",C$3,$A401))</x:f>
        <x:v>#NAME?</x:v>
      </x:c>
      <x:c r="D401" s="146" t="e">
        <x:f>IF($A401="","",[1]!thsiFinD("ths_adjustment_nv_fund",D$3,$A401))</x:f>
        <x:v>#NAME?</x:v>
      </x:c>
      <x:c r="E401" s="146" t="e">
        <x:f>IF($A401="","",[1]!thsiFinD("ths_adjustment_nv_fund",E$3,$A401))</x:f>
        <x:v>#NAME?</x:v>
      </x:c>
      <x:c r="F401" s="146" t="e">
        <x:f>IF($A401="","",[1]!thsiFinD("ths_adjustment_nv_fund",F$3,$A401))</x:f>
        <x:v>#NAME?</x:v>
      </x:c>
      <x:c r="G401" s="146" t="e">
        <x:f>IF($A401="","",[1]!thsiFinD("ths_adjustment_nv_fund",G$3,$A401))</x:f>
        <x:v>#NAME?</x:v>
      </x:c>
      <x:c r="H401" s="146" t="e">
        <x:f>IF($A401="","",[1]!thsiFinD("ths_adjustment_nv_fund",H$3,$A401))</x:f>
        <x:v>#NAME?</x:v>
      </x:c>
      <x:c r="I401" s="146" t="e">
        <x:f>IF($A401="","",[1]!thsiFinD("ths_adjustment_nv_fund",I$3,$A401))</x:f>
        <x:v>#NAME?</x:v>
      </x:c>
      <x:c r="J401" s="146" t="e">
        <x:f>IF($A401="","",[1]!thsiFinD("ths_adjustment_nv_fund",J$3,$A401))</x:f>
        <x:v>#NAME?</x:v>
      </x:c>
      <x:c r="K401" s="146" t="e">
        <x:f>IF($A401="","",[1]!thsiFinD("ths_adjustment_nv_fund",K$3,$A401))</x:f>
        <x:v>#NAME?</x:v>
      </x:c>
      <x:c r="L401" s="146" t="e">
        <x:f>IF($A401="","",[1]!thsiFinD("ths_adjustment_nv_fund",L$3,$A401))</x:f>
        <x:v>#NAME?</x:v>
      </x:c>
      <x:c r="M401" s="146" t="e">
        <x:f>IF($A401="","",[1]!thsiFinD("ths_adjustment_nv_fund",M$3,$A401))</x:f>
        <x:v>#NAME?</x:v>
      </x:c>
      <x:c r="N401" s="146" t="e">
        <x:f>IF($A401="","",[1]!thsiFinD("ths_adjustment_nv_fund",N$3,$A401))</x:f>
        <x:v>#NAME?</x:v>
      </x:c>
      <x:c r="O401" s="146" t="e">
        <x:f>IF($A401="","",[1]!thsiFinD("ths_adjustment_nv_fund",O$3,$A401))</x:f>
        <x:v>#NAME?</x:v>
      </x:c>
      <x:c r="P401" s="146" t="e">
        <x:f>IF($A401="","",[1]!thsiFinD("ths_adjustment_nv_fund",P$3,$A401))</x:f>
        <x:v>#NAME?</x:v>
      </x:c>
      <x:c r="Q401" s="146" t="e">
        <x:f>IF($A401="","",[1]!thsiFinD("ths_adjustment_nv_fund",Q$3,$A401))</x:f>
        <x:v>#NAME?</x:v>
      </x:c>
      <x:c r="R401" s="146" t="e">
        <x:f>IF($A401="","",[1]!thsiFinD("ths_adjustment_nv_fund",R$3,$A401))</x:f>
        <x:v>#NAME?</x:v>
      </x:c>
      <x:c r="S401" s="146" t="e">
        <x:f>IF($A401="","",[1]!thsiFinD("ths_adjustment_nv_fund",S$3,$A401))</x:f>
        <x:v>#NAME?</x:v>
      </x:c>
      <x:c r="T401" s="146" t="e">
        <x:f>IF($A401="","",[1]!thsiFinD("ths_adjustment_nv_fund",T$3,$A401))</x:f>
        <x:v>#NAME?</x:v>
      </x:c>
      <x:c r="U401" s="146" t="e">
        <x:f>IF($A401="","",[1]!thsiFinD("ths_adjustment_nv_fund",U$3,$A401))</x:f>
        <x:v>#NAME?</x:v>
      </x:c>
      <x:c r="V401" s="146" t="e">
        <x:f>IF($A401="","",[1]!thsiFinD("ths_adjustment_nv_fund",V$3,$A401))</x:f>
        <x:v>#NAME?</x:v>
      </x:c>
      <x:c r="W401" s="146" t="e">
        <x:f>IF($A401="","",[1]!thsiFinD("ths_adjustment_nv_fund",W$3,$A401))</x:f>
        <x:v>#NAME?</x:v>
      </x:c>
      <x:c r="X401" s="146" t="e">
        <x:f>IF($A401="","",[1]!thsiFinD("ths_adjustment_nv_fund",X$3,$A401))</x:f>
        <x:v>#NAME?</x:v>
      </x:c>
      <x:c r="Y401" s="146" t="e">
        <x:f>IF($A401="","",[1]!thsiFinD("ths_adjustment_nv_fund",Y$3,$A401))</x:f>
        <x:v>#NAME?</x:v>
      </x:c>
      <x:c r="Z401" s="146" t="e">
        <x:f>IF($A401="","",[1]!thsiFinD("ths_adjustment_nv_fund",Z$3,$A401))</x:f>
        <x:v>#NAME?</x:v>
      </x:c>
      <x:c r="AA401" s="146" t="e">
        <x:f>IF($A401="","",[1]!thsiFinD("ths_adjustment_nv_fund",AA$3,$A401))</x:f>
        <x:v>#NAME?</x:v>
      </x:c>
    </x:row>
    <x:row r="402">
      <x:c r="B402" s="146" t="e">
        <x:f>IF($A402="","",[1]!thsiFinD("ths_adjustment_nv_fund",B$3,$A402))</x:f>
        <x:v>#NAME?</x:v>
      </x:c>
      <x:c r="C402" s="146" t="e">
        <x:f>IF($A402="","",[1]!thsiFinD("ths_adjustment_nv_fund",C$3,$A402))</x:f>
        <x:v>#NAME?</x:v>
      </x:c>
      <x:c r="D402" s="146" t="e">
        <x:f>IF($A402="","",[1]!thsiFinD("ths_adjustment_nv_fund",D$3,$A402))</x:f>
        <x:v>#NAME?</x:v>
      </x:c>
      <x:c r="E402" s="146" t="e">
        <x:f>IF($A402="","",[1]!thsiFinD("ths_adjustment_nv_fund",E$3,$A402))</x:f>
        <x:v>#NAME?</x:v>
      </x:c>
      <x:c r="F402" s="146" t="e">
        <x:f>IF($A402="","",[1]!thsiFinD("ths_adjustment_nv_fund",F$3,$A402))</x:f>
        <x:v>#NAME?</x:v>
      </x:c>
      <x:c r="G402" s="146" t="e">
        <x:f>IF($A402="","",[1]!thsiFinD("ths_adjustment_nv_fund",G$3,$A402))</x:f>
        <x:v>#NAME?</x:v>
      </x:c>
      <x:c r="H402" s="146" t="e">
        <x:f>IF($A402="","",[1]!thsiFinD("ths_adjustment_nv_fund",H$3,$A402))</x:f>
        <x:v>#NAME?</x:v>
      </x:c>
      <x:c r="I402" s="146" t="e">
        <x:f>IF($A402="","",[1]!thsiFinD("ths_adjustment_nv_fund",I$3,$A402))</x:f>
        <x:v>#NAME?</x:v>
      </x:c>
      <x:c r="J402" s="146" t="e">
        <x:f>IF($A402="","",[1]!thsiFinD("ths_adjustment_nv_fund",J$3,$A402))</x:f>
        <x:v>#NAME?</x:v>
      </x:c>
      <x:c r="K402" s="146" t="e">
        <x:f>IF($A402="","",[1]!thsiFinD("ths_adjustment_nv_fund",K$3,$A402))</x:f>
        <x:v>#NAME?</x:v>
      </x:c>
      <x:c r="L402" s="146" t="e">
        <x:f>IF($A402="","",[1]!thsiFinD("ths_adjustment_nv_fund",L$3,$A402))</x:f>
        <x:v>#NAME?</x:v>
      </x:c>
      <x:c r="M402" s="146" t="e">
        <x:f>IF($A402="","",[1]!thsiFinD("ths_adjustment_nv_fund",M$3,$A402))</x:f>
        <x:v>#NAME?</x:v>
      </x:c>
      <x:c r="N402" s="146" t="e">
        <x:f>IF($A402="","",[1]!thsiFinD("ths_adjustment_nv_fund",N$3,$A402))</x:f>
        <x:v>#NAME?</x:v>
      </x:c>
      <x:c r="O402" s="146" t="e">
        <x:f>IF($A402="","",[1]!thsiFinD("ths_adjustment_nv_fund",O$3,$A402))</x:f>
        <x:v>#NAME?</x:v>
      </x:c>
      <x:c r="P402" s="146" t="e">
        <x:f>IF($A402="","",[1]!thsiFinD("ths_adjustment_nv_fund",P$3,$A402))</x:f>
        <x:v>#NAME?</x:v>
      </x:c>
      <x:c r="Q402" s="146" t="e">
        <x:f>IF($A402="","",[1]!thsiFinD("ths_adjustment_nv_fund",Q$3,$A402))</x:f>
        <x:v>#NAME?</x:v>
      </x:c>
      <x:c r="R402" s="146" t="e">
        <x:f>IF($A402="","",[1]!thsiFinD("ths_adjustment_nv_fund",R$3,$A402))</x:f>
        <x:v>#NAME?</x:v>
      </x:c>
      <x:c r="S402" s="146" t="e">
        <x:f>IF($A402="","",[1]!thsiFinD("ths_adjustment_nv_fund",S$3,$A402))</x:f>
        <x:v>#NAME?</x:v>
      </x:c>
      <x:c r="T402" s="146" t="e">
        <x:f>IF($A402="","",[1]!thsiFinD("ths_adjustment_nv_fund",T$3,$A402))</x:f>
        <x:v>#NAME?</x:v>
      </x:c>
      <x:c r="U402" s="146" t="e">
        <x:f>IF($A402="","",[1]!thsiFinD("ths_adjustment_nv_fund",U$3,$A402))</x:f>
        <x:v>#NAME?</x:v>
      </x:c>
      <x:c r="V402" s="146" t="e">
        <x:f>IF($A402="","",[1]!thsiFinD("ths_adjustment_nv_fund",V$3,$A402))</x:f>
        <x:v>#NAME?</x:v>
      </x:c>
      <x:c r="W402" s="146" t="e">
        <x:f>IF($A402="","",[1]!thsiFinD("ths_adjustment_nv_fund",W$3,$A402))</x:f>
        <x:v>#NAME?</x:v>
      </x:c>
      <x:c r="X402" s="146" t="e">
        <x:f>IF($A402="","",[1]!thsiFinD("ths_adjustment_nv_fund",X$3,$A402))</x:f>
        <x:v>#NAME?</x:v>
      </x:c>
      <x:c r="Y402" s="146" t="e">
        <x:f>IF($A402="","",[1]!thsiFinD("ths_adjustment_nv_fund",Y$3,$A402))</x:f>
        <x:v>#NAME?</x:v>
      </x:c>
      <x:c r="Z402" s="146" t="e">
        <x:f>IF($A402="","",[1]!thsiFinD("ths_adjustment_nv_fund",Z$3,$A402))</x:f>
        <x:v>#NAME?</x:v>
      </x:c>
      <x:c r="AA402" s="146" t="e">
        <x:f>IF($A402="","",[1]!thsiFinD("ths_adjustment_nv_fund",AA$3,$A402))</x:f>
        <x:v>#NAME?</x:v>
      </x:c>
    </x:row>
    <x:row r="403">
      <x:c r="B403" s="146" t="e">
        <x:f>IF($A403="","",[1]!thsiFinD("ths_adjustment_nv_fund",B$3,$A403))</x:f>
        <x:v>#NAME?</x:v>
      </x:c>
      <x:c r="C403" s="146" t="e">
        <x:f>IF($A403="","",[1]!thsiFinD("ths_adjustment_nv_fund",C$3,$A403))</x:f>
        <x:v>#NAME?</x:v>
      </x:c>
      <x:c r="D403" s="146" t="e">
        <x:f>IF($A403="","",[1]!thsiFinD("ths_adjustment_nv_fund",D$3,$A403))</x:f>
        <x:v>#NAME?</x:v>
      </x:c>
      <x:c r="E403" s="146" t="e">
        <x:f>IF($A403="","",[1]!thsiFinD("ths_adjustment_nv_fund",E$3,$A403))</x:f>
        <x:v>#NAME?</x:v>
      </x:c>
      <x:c r="F403" s="146" t="e">
        <x:f>IF($A403="","",[1]!thsiFinD("ths_adjustment_nv_fund",F$3,$A403))</x:f>
        <x:v>#NAME?</x:v>
      </x:c>
      <x:c r="G403" s="146" t="e">
        <x:f>IF($A403="","",[1]!thsiFinD("ths_adjustment_nv_fund",G$3,$A403))</x:f>
        <x:v>#NAME?</x:v>
      </x:c>
      <x:c r="H403" s="146" t="e">
        <x:f>IF($A403="","",[1]!thsiFinD("ths_adjustment_nv_fund",H$3,$A403))</x:f>
        <x:v>#NAME?</x:v>
      </x:c>
      <x:c r="I403" s="146" t="e">
        <x:f>IF($A403="","",[1]!thsiFinD("ths_adjustment_nv_fund",I$3,$A403))</x:f>
        <x:v>#NAME?</x:v>
      </x:c>
      <x:c r="J403" s="146" t="e">
        <x:f>IF($A403="","",[1]!thsiFinD("ths_adjustment_nv_fund",J$3,$A403))</x:f>
        <x:v>#NAME?</x:v>
      </x:c>
      <x:c r="K403" s="146" t="e">
        <x:f>IF($A403="","",[1]!thsiFinD("ths_adjustment_nv_fund",K$3,$A403))</x:f>
        <x:v>#NAME?</x:v>
      </x:c>
      <x:c r="L403" s="146" t="e">
        <x:f>IF($A403="","",[1]!thsiFinD("ths_adjustment_nv_fund",L$3,$A403))</x:f>
        <x:v>#NAME?</x:v>
      </x:c>
      <x:c r="M403" s="146" t="e">
        <x:f>IF($A403="","",[1]!thsiFinD("ths_adjustment_nv_fund",M$3,$A403))</x:f>
        <x:v>#NAME?</x:v>
      </x:c>
      <x:c r="N403" s="146" t="e">
        <x:f>IF($A403="","",[1]!thsiFinD("ths_adjustment_nv_fund",N$3,$A403))</x:f>
        <x:v>#NAME?</x:v>
      </x:c>
      <x:c r="O403" s="146" t="e">
        <x:f>IF($A403="","",[1]!thsiFinD("ths_adjustment_nv_fund",O$3,$A403))</x:f>
        <x:v>#NAME?</x:v>
      </x:c>
      <x:c r="P403" s="146" t="e">
        <x:f>IF($A403="","",[1]!thsiFinD("ths_adjustment_nv_fund",P$3,$A403))</x:f>
        <x:v>#NAME?</x:v>
      </x:c>
      <x:c r="Q403" s="146" t="e">
        <x:f>IF($A403="","",[1]!thsiFinD("ths_adjustment_nv_fund",Q$3,$A403))</x:f>
        <x:v>#NAME?</x:v>
      </x:c>
      <x:c r="R403" s="146" t="e">
        <x:f>IF($A403="","",[1]!thsiFinD("ths_adjustment_nv_fund",R$3,$A403))</x:f>
        <x:v>#NAME?</x:v>
      </x:c>
      <x:c r="S403" s="146" t="e">
        <x:f>IF($A403="","",[1]!thsiFinD("ths_adjustment_nv_fund",S$3,$A403))</x:f>
        <x:v>#NAME?</x:v>
      </x:c>
      <x:c r="T403" s="146" t="e">
        <x:f>IF($A403="","",[1]!thsiFinD("ths_adjustment_nv_fund",T$3,$A403))</x:f>
        <x:v>#NAME?</x:v>
      </x:c>
      <x:c r="U403" s="146" t="e">
        <x:f>IF($A403="","",[1]!thsiFinD("ths_adjustment_nv_fund",U$3,$A403))</x:f>
        <x:v>#NAME?</x:v>
      </x:c>
      <x:c r="V403" s="146" t="e">
        <x:f>IF($A403="","",[1]!thsiFinD("ths_adjustment_nv_fund",V$3,$A403))</x:f>
        <x:v>#NAME?</x:v>
      </x:c>
      <x:c r="W403" s="146" t="e">
        <x:f>IF($A403="","",[1]!thsiFinD("ths_adjustment_nv_fund",W$3,$A403))</x:f>
        <x:v>#NAME?</x:v>
      </x:c>
      <x:c r="X403" s="146" t="e">
        <x:f>IF($A403="","",[1]!thsiFinD("ths_adjustment_nv_fund",X$3,$A403))</x:f>
        <x:v>#NAME?</x:v>
      </x:c>
      <x:c r="Y403" s="146" t="e">
        <x:f>IF($A403="","",[1]!thsiFinD("ths_adjustment_nv_fund",Y$3,$A403))</x:f>
        <x:v>#NAME?</x:v>
      </x:c>
      <x:c r="Z403" s="146" t="e">
        <x:f>IF($A403="","",[1]!thsiFinD("ths_adjustment_nv_fund",Z$3,$A403))</x:f>
        <x:v>#NAME?</x:v>
      </x:c>
      <x:c r="AA403" s="146" t="e">
        <x:f>IF($A403="","",[1]!thsiFinD("ths_adjustment_nv_fund",AA$3,$A403))</x:f>
        <x:v>#NAME?</x:v>
      </x:c>
    </x:row>
    <x:row r="404">
      <x:c r="B404" s="146" t="e">
        <x:f>IF($A404="","",[1]!thsiFinD("ths_adjustment_nv_fund",B$3,$A404))</x:f>
        <x:v>#NAME?</x:v>
      </x:c>
      <x:c r="C404" s="146" t="e">
        <x:f>IF($A404="","",[1]!thsiFinD("ths_adjustment_nv_fund",C$3,$A404))</x:f>
        <x:v>#NAME?</x:v>
      </x:c>
      <x:c r="D404" s="146" t="e">
        <x:f>IF($A404="","",[1]!thsiFinD("ths_adjustment_nv_fund",D$3,$A404))</x:f>
        <x:v>#NAME?</x:v>
      </x:c>
      <x:c r="E404" s="146" t="e">
        <x:f>IF($A404="","",[1]!thsiFinD("ths_adjustment_nv_fund",E$3,$A404))</x:f>
        <x:v>#NAME?</x:v>
      </x:c>
      <x:c r="F404" s="146" t="e">
        <x:f>IF($A404="","",[1]!thsiFinD("ths_adjustment_nv_fund",F$3,$A404))</x:f>
        <x:v>#NAME?</x:v>
      </x:c>
      <x:c r="G404" s="146" t="e">
        <x:f>IF($A404="","",[1]!thsiFinD("ths_adjustment_nv_fund",G$3,$A404))</x:f>
        <x:v>#NAME?</x:v>
      </x:c>
      <x:c r="H404" s="146" t="e">
        <x:f>IF($A404="","",[1]!thsiFinD("ths_adjustment_nv_fund",H$3,$A404))</x:f>
        <x:v>#NAME?</x:v>
      </x:c>
      <x:c r="I404" s="146" t="e">
        <x:f>IF($A404="","",[1]!thsiFinD("ths_adjustment_nv_fund",I$3,$A404))</x:f>
        <x:v>#NAME?</x:v>
      </x:c>
      <x:c r="J404" s="146" t="e">
        <x:f>IF($A404="","",[1]!thsiFinD("ths_adjustment_nv_fund",J$3,$A404))</x:f>
        <x:v>#NAME?</x:v>
      </x:c>
      <x:c r="K404" s="146" t="e">
        <x:f>IF($A404="","",[1]!thsiFinD("ths_adjustment_nv_fund",K$3,$A404))</x:f>
        <x:v>#NAME?</x:v>
      </x:c>
      <x:c r="L404" s="146" t="e">
        <x:f>IF($A404="","",[1]!thsiFinD("ths_adjustment_nv_fund",L$3,$A404))</x:f>
        <x:v>#NAME?</x:v>
      </x:c>
      <x:c r="M404" s="146" t="e">
        <x:f>IF($A404="","",[1]!thsiFinD("ths_adjustment_nv_fund",M$3,$A404))</x:f>
        <x:v>#NAME?</x:v>
      </x:c>
      <x:c r="N404" s="146" t="e">
        <x:f>IF($A404="","",[1]!thsiFinD("ths_adjustment_nv_fund",N$3,$A404))</x:f>
        <x:v>#NAME?</x:v>
      </x:c>
      <x:c r="O404" s="146" t="e">
        <x:f>IF($A404="","",[1]!thsiFinD("ths_adjustment_nv_fund",O$3,$A404))</x:f>
        <x:v>#NAME?</x:v>
      </x:c>
      <x:c r="P404" s="146" t="e">
        <x:f>IF($A404="","",[1]!thsiFinD("ths_adjustment_nv_fund",P$3,$A404))</x:f>
        <x:v>#NAME?</x:v>
      </x:c>
      <x:c r="Q404" s="146" t="e">
        <x:f>IF($A404="","",[1]!thsiFinD("ths_adjustment_nv_fund",Q$3,$A404))</x:f>
        <x:v>#NAME?</x:v>
      </x:c>
      <x:c r="R404" s="146" t="e">
        <x:f>IF($A404="","",[1]!thsiFinD("ths_adjustment_nv_fund",R$3,$A404))</x:f>
        <x:v>#NAME?</x:v>
      </x:c>
      <x:c r="S404" s="146" t="e">
        <x:f>IF($A404="","",[1]!thsiFinD("ths_adjustment_nv_fund",S$3,$A404))</x:f>
        <x:v>#NAME?</x:v>
      </x:c>
      <x:c r="T404" s="146" t="e">
        <x:f>IF($A404="","",[1]!thsiFinD("ths_adjustment_nv_fund",T$3,$A404))</x:f>
        <x:v>#NAME?</x:v>
      </x:c>
      <x:c r="U404" s="146" t="e">
        <x:f>IF($A404="","",[1]!thsiFinD("ths_adjustment_nv_fund",U$3,$A404))</x:f>
        <x:v>#NAME?</x:v>
      </x:c>
      <x:c r="V404" s="146" t="e">
        <x:f>IF($A404="","",[1]!thsiFinD("ths_adjustment_nv_fund",V$3,$A404))</x:f>
        <x:v>#NAME?</x:v>
      </x:c>
      <x:c r="W404" s="146" t="e">
        <x:f>IF($A404="","",[1]!thsiFinD("ths_adjustment_nv_fund",W$3,$A404))</x:f>
        <x:v>#NAME?</x:v>
      </x:c>
      <x:c r="X404" s="146" t="e">
        <x:f>IF($A404="","",[1]!thsiFinD("ths_adjustment_nv_fund",X$3,$A404))</x:f>
        <x:v>#NAME?</x:v>
      </x:c>
      <x:c r="Y404" s="146" t="e">
        <x:f>IF($A404="","",[1]!thsiFinD("ths_adjustment_nv_fund",Y$3,$A404))</x:f>
        <x:v>#NAME?</x:v>
      </x:c>
      <x:c r="Z404" s="146" t="e">
        <x:f>IF($A404="","",[1]!thsiFinD("ths_adjustment_nv_fund",Z$3,$A404))</x:f>
        <x:v>#NAME?</x:v>
      </x:c>
      <x:c r="AA404" s="146" t="e">
        <x:f>IF($A404="","",[1]!thsiFinD("ths_adjustment_nv_fund",AA$3,$A404))</x:f>
        <x:v>#NAME?</x:v>
      </x:c>
    </x:row>
    <x:row r="405">
      <x:c r="B405" s="146" t="e">
        <x:f>IF($A405="","",[1]!thsiFinD("ths_adjustment_nv_fund",B$3,$A405))</x:f>
        <x:v>#NAME?</x:v>
      </x:c>
      <x:c r="C405" s="146" t="e">
        <x:f>IF($A405="","",[1]!thsiFinD("ths_adjustment_nv_fund",C$3,$A405))</x:f>
        <x:v>#NAME?</x:v>
      </x:c>
      <x:c r="D405" s="146" t="e">
        <x:f>IF($A405="","",[1]!thsiFinD("ths_adjustment_nv_fund",D$3,$A405))</x:f>
        <x:v>#NAME?</x:v>
      </x:c>
      <x:c r="E405" s="146" t="e">
        <x:f>IF($A405="","",[1]!thsiFinD("ths_adjustment_nv_fund",E$3,$A405))</x:f>
        <x:v>#NAME?</x:v>
      </x:c>
      <x:c r="F405" s="146" t="e">
        <x:f>IF($A405="","",[1]!thsiFinD("ths_adjustment_nv_fund",F$3,$A405))</x:f>
        <x:v>#NAME?</x:v>
      </x:c>
      <x:c r="G405" s="146" t="e">
        <x:f>IF($A405="","",[1]!thsiFinD("ths_adjustment_nv_fund",G$3,$A405))</x:f>
        <x:v>#NAME?</x:v>
      </x:c>
      <x:c r="H405" s="146" t="e">
        <x:f>IF($A405="","",[1]!thsiFinD("ths_adjustment_nv_fund",H$3,$A405))</x:f>
        <x:v>#NAME?</x:v>
      </x:c>
      <x:c r="I405" s="146" t="e">
        <x:f>IF($A405="","",[1]!thsiFinD("ths_adjustment_nv_fund",I$3,$A405))</x:f>
        <x:v>#NAME?</x:v>
      </x:c>
      <x:c r="J405" s="146" t="e">
        <x:f>IF($A405="","",[1]!thsiFinD("ths_adjustment_nv_fund",J$3,$A405))</x:f>
        <x:v>#NAME?</x:v>
      </x:c>
      <x:c r="K405" s="146" t="e">
        <x:f>IF($A405="","",[1]!thsiFinD("ths_adjustment_nv_fund",K$3,$A405))</x:f>
        <x:v>#NAME?</x:v>
      </x:c>
      <x:c r="L405" s="146" t="e">
        <x:f>IF($A405="","",[1]!thsiFinD("ths_adjustment_nv_fund",L$3,$A405))</x:f>
        <x:v>#NAME?</x:v>
      </x:c>
      <x:c r="M405" s="146" t="e">
        <x:f>IF($A405="","",[1]!thsiFinD("ths_adjustment_nv_fund",M$3,$A405))</x:f>
        <x:v>#NAME?</x:v>
      </x:c>
      <x:c r="N405" s="146" t="e">
        <x:f>IF($A405="","",[1]!thsiFinD("ths_adjustment_nv_fund",N$3,$A405))</x:f>
        <x:v>#NAME?</x:v>
      </x:c>
      <x:c r="O405" s="146" t="e">
        <x:f>IF($A405="","",[1]!thsiFinD("ths_adjustment_nv_fund",O$3,$A405))</x:f>
        <x:v>#NAME?</x:v>
      </x:c>
      <x:c r="P405" s="146" t="e">
        <x:f>IF($A405="","",[1]!thsiFinD("ths_adjustment_nv_fund",P$3,$A405))</x:f>
        <x:v>#NAME?</x:v>
      </x:c>
      <x:c r="Q405" s="146" t="e">
        <x:f>IF($A405="","",[1]!thsiFinD("ths_adjustment_nv_fund",Q$3,$A405))</x:f>
        <x:v>#NAME?</x:v>
      </x:c>
      <x:c r="R405" s="146" t="e">
        <x:f>IF($A405="","",[1]!thsiFinD("ths_adjustment_nv_fund",R$3,$A405))</x:f>
        <x:v>#NAME?</x:v>
      </x:c>
      <x:c r="S405" s="146" t="e">
        <x:f>IF($A405="","",[1]!thsiFinD("ths_adjustment_nv_fund",S$3,$A405))</x:f>
        <x:v>#NAME?</x:v>
      </x:c>
      <x:c r="T405" s="146" t="e">
        <x:f>IF($A405="","",[1]!thsiFinD("ths_adjustment_nv_fund",T$3,$A405))</x:f>
        <x:v>#NAME?</x:v>
      </x:c>
      <x:c r="U405" s="146" t="e">
        <x:f>IF($A405="","",[1]!thsiFinD("ths_adjustment_nv_fund",U$3,$A405))</x:f>
        <x:v>#NAME?</x:v>
      </x:c>
      <x:c r="V405" s="146" t="e">
        <x:f>IF($A405="","",[1]!thsiFinD("ths_adjustment_nv_fund",V$3,$A405))</x:f>
        <x:v>#NAME?</x:v>
      </x:c>
      <x:c r="W405" s="146" t="e">
        <x:f>IF($A405="","",[1]!thsiFinD("ths_adjustment_nv_fund",W$3,$A405))</x:f>
        <x:v>#NAME?</x:v>
      </x:c>
      <x:c r="X405" s="146" t="e">
        <x:f>IF($A405="","",[1]!thsiFinD("ths_adjustment_nv_fund",X$3,$A405))</x:f>
        <x:v>#NAME?</x:v>
      </x:c>
      <x:c r="Y405" s="146" t="e">
        <x:f>IF($A405="","",[1]!thsiFinD("ths_adjustment_nv_fund",Y$3,$A405))</x:f>
        <x:v>#NAME?</x:v>
      </x:c>
      <x:c r="Z405" s="146" t="e">
        <x:f>IF($A405="","",[1]!thsiFinD("ths_adjustment_nv_fund",Z$3,$A405))</x:f>
        <x:v>#NAME?</x:v>
      </x:c>
      <x:c r="AA405" s="146" t="e">
        <x:f>IF($A405="","",[1]!thsiFinD("ths_adjustment_nv_fund",AA$3,$A405))</x:f>
        <x:v>#NAME?</x:v>
      </x:c>
    </x:row>
    <x:row r="406">
      <x:c r="B406" s="146" t="e">
        <x:f>IF($A406="","",[1]!thsiFinD("ths_adjustment_nv_fund",B$3,$A406))</x:f>
        <x:v>#NAME?</x:v>
      </x:c>
      <x:c r="C406" s="146" t="e">
        <x:f>IF($A406="","",[1]!thsiFinD("ths_adjustment_nv_fund",C$3,$A406))</x:f>
        <x:v>#NAME?</x:v>
      </x:c>
      <x:c r="D406" s="146" t="e">
        <x:f>IF($A406="","",[1]!thsiFinD("ths_adjustment_nv_fund",D$3,$A406))</x:f>
        <x:v>#NAME?</x:v>
      </x:c>
      <x:c r="E406" s="146" t="e">
        <x:f>IF($A406="","",[1]!thsiFinD("ths_adjustment_nv_fund",E$3,$A406))</x:f>
        <x:v>#NAME?</x:v>
      </x:c>
      <x:c r="F406" s="146" t="e">
        <x:f>IF($A406="","",[1]!thsiFinD("ths_adjustment_nv_fund",F$3,$A406))</x:f>
        <x:v>#NAME?</x:v>
      </x:c>
      <x:c r="G406" s="146" t="e">
        <x:f>IF($A406="","",[1]!thsiFinD("ths_adjustment_nv_fund",G$3,$A406))</x:f>
        <x:v>#NAME?</x:v>
      </x:c>
      <x:c r="H406" s="146" t="e">
        <x:f>IF($A406="","",[1]!thsiFinD("ths_adjustment_nv_fund",H$3,$A406))</x:f>
        <x:v>#NAME?</x:v>
      </x:c>
      <x:c r="I406" s="146" t="e">
        <x:f>IF($A406="","",[1]!thsiFinD("ths_adjustment_nv_fund",I$3,$A406))</x:f>
        <x:v>#NAME?</x:v>
      </x:c>
      <x:c r="J406" s="146" t="e">
        <x:f>IF($A406="","",[1]!thsiFinD("ths_adjustment_nv_fund",J$3,$A406))</x:f>
        <x:v>#NAME?</x:v>
      </x:c>
      <x:c r="K406" s="146" t="e">
        <x:f>IF($A406="","",[1]!thsiFinD("ths_adjustment_nv_fund",K$3,$A406))</x:f>
        <x:v>#NAME?</x:v>
      </x:c>
      <x:c r="L406" s="146" t="e">
        <x:f>IF($A406="","",[1]!thsiFinD("ths_adjustment_nv_fund",L$3,$A406))</x:f>
        <x:v>#NAME?</x:v>
      </x:c>
      <x:c r="M406" s="146" t="e">
        <x:f>IF($A406="","",[1]!thsiFinD("ths_adjustment_nv_fund",M$3,$A406))</x:f>
        <x:v>#NAME?</x:v>
      </x:c>
      <x:c r="N406" s="146" t="e">
        <x:f>IF($A406="","",[1]!thsiFinD("ths_adjustment_nv_fund",N$3,$A406))</x:f>
        <x:v>#NAME?</x:v>
      </x:c>
      <x:c r="O406" s="146" t="e">
        <x:f>IF($A406="","",[1]!thsiFinD("ths_adjustment_nv_fund",O$3,$A406))</x:f>
        <x:v>#NAME?</x:v>
      </x:c>
      <x:c r="P406" s="146" t="e">
        <x:f>IF($A406="","",[1]!thsiFinD("ths_adjustment_nv_fund",P$3,$A406))</x:f>
        <x:v>#NAME?</x:v>
      </x:c>
      <x:c r="Q406" s="146" t="e">
        <x:f>IF($A406="","",[1]!thsiFinD("ths_adjustment_nv_fund",Q$3,$A406))</x:f>
        <x:v>#NAME?</x:v>
      </x:c>
      <x:c r="R406" s="146" t="e">
        <x:f>IF($A406="","",[1]!thsiFinD("ths_adjustment_nv_fund",R$3,$A406))</x:f>
        <x:v>#NAME?</x:v>
      </x:c>
      <x:c r="S406" s="146" t="e">
        <x:f>IF($A406="","",[1]!thsiFinD("ths_adjustment_nv_fund",S$3,$A406))</x:f>
        <x:v>#NAME?</x:v>
      </x:c>
      <x:c r="T406" s="146" t="e">
        <x:f>IF($A406="","",[1]!thsiFinD("ths_adjustment_nv_fund",T$3,$A406))</x:f>
        <x:v>#NAME?</x:v>
      </x:c>
      <x:c r="U406" s="146" t="e">
        <x:f>IF($A406="","",[1]!thsiFinD("ths_adjustment_nv_fund",U$3,$A406))</x:f>
        <x:v>#NAME?</x:v>
      </x:c>
      <x:c r="V406" s="146" t="e">
        <x:f>IF($A406="","",[1]!thsiFinD("ths_adjustment_nv_fund",V$3,$A406))</x:f>
        <x:v>#NAME?</x:v>
      </x:c>
      <x:c r="W406" s="146" t="e">
        <x:f>IF($A406="","",[1]!thsiFinD("ths_adjustment_nv_fund",W$3,$A406))</x:f>
        <x:v>#NAME?</x:v>
      </x:c>
      <x:c r="X406" s="146" t="e">
        <x:f>IF($A406="","",[1]!thsiFinD("ths_adjustment_nv_fund",X$3,$A406))</x:f>
        <x:v>#NAME?</x:v>
      </x:c>
      <x:c r="Y406" s="146" t="e">
        <x:f>IF($A406="","",[1]!thsiFinD("ths_adjustment_nv_fund",Y$3,$A406))</x:f>
        <x:v>#NAME?</x:v>
      </x:c>
      <x:c r="Z406" s="146" t="e">
        <x:f>IF($A406="","",[1]!thsiFinD("ths_adjustment_nv_fund",Z$3,$A406))</x:f>
        <x:v>#NAME?</x:v>
      </x:c>
      <x:c r="AA406" s="146" t="e">
        <x:f>IF($A406="","",[1]!thsiFinD("ths_adjustment_nv_fund",AA$3,$A406))</x:f>
        <x:v>#NAME?</x:v>
      </x:c>
    </x:row>
    <x:row r="407">
      <x:c r="B407" s="146" t="e">
        <x:f>IF($A407="","",[1]!thsiFinD("ths_adjustment_nv_fund",B$3,$A407))</x:f>
        <x:v>#NAME?</x:v>
      </x:c>
      <x:c r="C407" s="146" t="e">
        <x:f>IF($A407="","",[1]!thsiFinD("ths_adjustment_nv_fund",C$3,$A407))</x:f>
        <x:v>#NAME?</x:v>
      </x:c>
      <x:c r="D407" s="146" t="e">
        <x:f>IF($A407="","",[1]!thsiFinD("ths_adjustment_nv_fund",D$3,$A407))</x:f>
        <x:v>#NAME?</x:v>
      </x:c>
      <x:c r="E407" s="146" t="e">
        <x:f>IF($A407="","",[1]!thsiFinD("ths_adjustment_nv_fund",E$3,$A407))</x:f>
        <x:v>#NAME?</x:v>
      </x:c>
      <x:c r="F407" s="146" t="e">
        <x:f>IF($A407="","",[1]!thsiFinD("ths_adjustment_nv_fund",F$3,$A407))</x:f>
        <x:v>#NAME?</x:v>
      </x:c>
      <x:c r="G407" s="146" t="e">
        <x:f>IF($A407="","",[1]!thsiFinD("ths_adjustment_nv_fund",G$3,$A407))</x:f>
        <x:v>#NAME?</x:v>
      </x:c>
      <x:c r="H407" s="146" t="e">
        <x:f>IF($A407="","",[1]!thsiFinD("ths_adjustment_nv_fund",H$3,$A407))</x:f>
        <x:v>#NAME?</x:v>
      </x:c>
      <x:c r="I407" s="146" t="e">
        <x:f>IF($A407="","",[1]!thsiFinD("ths_adjustment_nv_fund",I$3,$A407))</x:f>
        <x:v>#NAME?</x:v>
      </x:c>
      <x:c r="J407" s="146" t="e">
        <x:f>IF($A407="","",[1]!thsiFinD("ths_adjustment_nv_fund",J$3,$A407))</x:f>
        <x:v>#NAME?</x:v>
      </x:c>
      <x:c r="K407" s="146" t="e">
        <x:f>IF($A407="","",[1]!thsiFinD("ths_adjustment_nv_fund",K$3,$A407))</x:f>
        <x:v>#NAME?</x:v>
      </x:c>
      <x:c r="L407" s="146" t="e">
        <x:f>IF($A407="","",[1]!thsiFinD("ths_adjustment_nv_fund",L$3,$A407))</x:f>
        <x:v>#NAME?</x:v>
      </x:c>
      <x:c r="M407" s="146" t="e">
        <x:f>IF($A407="","",[1]!thsiFinD("ths_adjustment_nv_fund",M$3,$A407))</x:f>
        <x:v>#NAME?</x:v>
      </x:c>
      <x:c r="N407" s="146" t="e">
        <x:f>IF($A407="","",[1]!thsiFinD("ths_adjustment_nv_fund",N$3,$A407))</x:f>
        <x:v>#NAME?</x:v>
      </x:c>
      <x:c r="O407" s="146" t="e">
        <x:f>IF($A407="","",[1]!thsiFinD("ths_adjustment_nv_fund",O$3,$A407))</x:f>
        <x:v>#NAME?</x:v>
      </x:c>
      <x:c r="P407" s="146" t="e">
        <x:f>IF($A407="","",[1]!thsiFinD("ths_adjustment_nv_fund",P$3,$A407))</x:f>
        <x:v>#NAME?</x:v>
      </x:c>
      <x:c r="Q407" s="146" t="e">
        <x:f>IF($A407="","",[1]!thsiFinD("ths_adjustment_nv_fund",Q$3,$A407))</x:f>
        <x:v>#NAME?</x:v>
      </x:c>
      <x:c r="R407" s="146" t="e">
        <x:f>IF($A407="","",[1]!thsiFinD("ths_adjustment_nv_fund",R$3,$A407))</x:f>
        <x:v>#NAME?</x:v>
      </x:c>
      <x:c r="S407" s="146" t="e">
        <x:f>IF($A407="","",[1]!thsiFinD("ths_adjustment_nv_fund",S$3,$A407))</x:f>
        <x:v>#NAME?</x:v>
      </x:c>
      <x:c r="T407" s="146" t="e">
        <x:f>IF($A407="","",[1]!thsiFinD("ths_adjustment_nv_fund",T$3,$A407))</x:f>
        <x:v>#NAME?</x:v>
      </x:c>
      <x:c r="U407" s="146" t="e">
        <x:f>IF($A407="","",[1]!thsiFinD("ths_adjustment_nv_fund",U$3,$A407))</x:f>
        <x:v>#NAME?</x:v>
      </x:c>
      <x:c r="V407" s="146" t="e">
        <x:f>IF($A407="","",[1]!thsiFinD("ths_adjustment_nv_fund",V$3,$A407))</x:f>
        <x:v>#NAME?</x:v>
      </x:c>
      <x:c r="W407" s="146" t="e">
        <x:f>IF($A407="","",[1]!thsiFinD("ths_adjustment_nv_fund",W$3,$A407))</x:f>
        <x:v>#NAME?</x:v>
      </x:c>
      <x:c r="X407" s="146" t="e">
        <x:f>IF($A407="","",[1]!thsiFinD("ths_adjustment_nv_fund",X$3,$A407))</x:f>
        <x:v>#NAME?</x:v>
      </x:c>
      <x:c r="Y407" s="146" t="e">
        <x:f>IF($A407="","",[1]!thsiFinD("ths_adjustment_nv_fund",Y$3,$A407))</x:f>
        <x:v>#NAME?</x:v>
      </x:c>
      <x:c r="Z407" s="146" t="e">
        <x:f>IF($A407="","",[1]!thsiFinD("ths_adjustment_nv_fund",Z$3,$A407))</x:f>
        <x:v>#NAME?</x:v>
      </x:c>
      <x:c r="AA407" s="146" t="e">
        <x:f>IF($A407="","",[1]!thsiFinD("ths_adjustment_nv_fund",AA$3,$A407))</x:f>
        <x:v>#NAME?</x:v>
      </x:c>
    </x:row>
    <x:row r="408">
      <x:c r="B408" s="146" t="e">
        <x:f>IF($A408="","",[1]!thsiFinD("ths_adjustment_nv_fund",B$3,$A408))</x:f>
        <x:v>#NAME?</x:v>
      </x:c>
      <x:c r="C408" s="146" t="e">
        <x:f>IF($A408="","",[1]!thsiFinD("ths_adjustment_nv_fund",C$3,$A408))</x:f>
        <x:v>#NAME?</x:v>
      </x:c>
      <x:c r="D408" s="146" t="e">
        <x:f>IF($A408="","",[1]!thsiFinD("ths_adjustment_nv_fund",D$3,$A408))</x:f>
        <x:v>#NAME?</x:v>
      </x:c>
      <x:c r="E408" s="146" t="e">
        <x:f>IF($A408="","",[1]!thsiFinD("ths_adjustment_nv_fund",E$3,$A408))</x:f>
        <x:v>#NAME?</x:v>
      </x:c>
      <x:c r="F408" s="146" t="e">
        <x:f>IF($A408="","",[1]!thsiFinD("ths_adjustment_nv_fund",F$3,$A408))</x:f>
        <x:v>#NAME?</x:v>
      </x:c>
      <x:c r="G408" s="146" t="e">
        <x:f>IF($A408="","",[1]!thsiFinD("ths_adjustment_nv_fund",G$3,$A408))</x:f>
        <x:v>#NAME?</x:v>
      </x:c>
      <x:c r="H408" s="146" t="e">
        <x:f>IF($A408="","",[1]!thsiFinD("ths_adjustment_nv_fund",H$3,$A408))</x:f>
        <x:v>#NAME?</x:v>
      </x:c>
      <x:c r="I408" s="146" t="e">
        <x:f>IF($A408="","",[1]!thsiFinD("ths_adjustment_nv_fund",I$3,$A408))</x:f>
        <x:v>#NAME?</x:v>
      </x:c>
      <x:c r="J408" s="146" t="e">
        <x:f>IF($A408="","",[1]!thsiFinD("ths_adjustment_nv_fund",J$3,$A408))</x:f>
        <x:v>#NAME?</x:v>
      </x:c>
      <x:c r="K408" s="146" t="e">
        <x:f>IF($A408="","",[1]!thsiFinD("ths_adjustment_nv_fund",K$3,$A408))</x:f>
        <x:v>#NAME?</x:v>
      </x:c>
      <x:c r="L408" s="146" t="e">
        <x:f>IF($A408="","",[1]!thsiFinD("ths_adjustment_nv_fund",L$3,$A408))</x:f>
        <x:v>#NAME?</x:v>
      </x:c>
      <x:c r="M408" s="146" t="e">
        <x:f>IF($A408="","",[1]!thsiFinD("ths_adjustment_nv_fund",M$3,$A408))</x:f>
        <x:v>#NAME?</x:v>
      </x:c>
      <x:c r="N408" s="146" t="e">
        <x:f>IF($A408="","",[1]!thsiFinD("ths_adjustment_nv_fund",N$3,$A408))</x:f>
        <x:v>#NAME?</x:v>
      </x:c>
      <x:c r="O408" s="146" t="e">
        <x:f>IF($A408="","",[1]!thsiFinD("ths_adjustment_nv_fund",O$3,$A408))</x:f>
        <x:v>#NAME?</x:v>
      </x:c>
      <x:c r="P408" s="146" t="e">
        <x:f>IF($A408="","",[1]!thsiFinD("ths_adjustment_nv_fund",P$3,$A408))</x:f>
        <x:v>#NAME?</x:v>
      </x:c>
      <x:c r="Q408" s="146" t="e">
        <x:f>IF($A408="","",[1]!thsiFinD("ths_adjustment_nv_fund",Q$3,$A408))</x:f>
        <x:v>#NAME?</x:v>
      </x:c>
      <x:c r="R408" s="146" t="e">
        <x:f>IF($A408="","",[1]!thsiFinD("ths_adjustment_nv_fund",R$3,$A408))</x:f>
        <x:v>#NAME?</x:v>
      </x:c>
      <x:c r="S408" s="146" t="e">
        <x:f>IF($A408="","",[1]!thsiFinD("ths_adjustment_nv_fund",S$3,$A408))</x:f>
        <x:v>#NAME?</x:v>
      </x:c>
      <x:c r="T408" s="146" t="e">
        <x:f>IF($A408="","",[1]!thsiFinD("ths_adjustment_nv_fund",T$3,$A408))</x:f>
        <x:v>#NAME?</x:v>
      </x:c>
      <x:c r="U408" s="146" t="e">
        <x:f>IF($A408="","",[1]!thsiFinD("ths_adjustment_nv_fund",U$3,$A408))</x:f>
        <x:v>#NAME?</x:v>
      </x:c>
      <x:c r="V408" s="146" t="e">
        <x:f>IF($A408="","",[1]!thsiFinD("ths_adjustment_nv_fund",V$3,$A408))</x:f>
        <x:v>#NAME?</x:v>
      </x:c>
      <x:c r="W408" s="146" t="e">
        <x:f>IF($A408="","",[1]!thsiFinD("ths_adjustment_nv_fund",W$3,$A408))</x:f>
        <x:v>#NAME?</x:v>
      </x:c>
      <x:c r="X408" s="146" t="e">
        <x:f>IF($A408="","",[1]!thsiFinD("ths_adjustment_nv_fund",X$3,$A408))</x:f>
        <x:v>#NAME?</x:v>
      </x:c>
      <x:c r="Y408" s="146" t="e">
        <x:f>IF($A408="","",[1]!thsiFinD("ths_adjustment_nv_fund",Y$3,$A408))</x:f>
        <x:v>#NAME?</x:v>
      </x:c>
      <x:c r="Z408" s="146" t="e">
        <x:f>IF($A408="","",[1]!thsiFinD("ths_adjustment_nv_fund",Z$3,$A408))</x:f>
        <x:v>#NAME?</x:v>
      </x:c>
      <x:c r="AA408" s="146" t="e">
        <x:f>IF($A408="","",[1]!thsiFinD("ths_adjustment_nv_fund",AA$3,$A408))</x:f>
        <x:v>#NAME?</x:v>
      </x:c>
    </x:row>
    <x:row r="409">
      <x:c r="B409" s="146" t="e">
        <x:f>IF($A409="","",[1]!thsiFinD("ths_adjustment_nv_fund",B$3,$A409))</x:f>
        <x:v>#NAME?</x:v>
      </x:c>
      <x:c r="C409" s="146" t="e">
        <x:f>IF($A409="","",[1]!thsiFinD("ths_adjustment_nv_fund",C$3,$A409))</x:f>
        <x:v>#NAME?</x:v>
      </x:c>
      <x:c r="D409" s="146" t="e">
        <x:f>IF($A409="","",[1]!thsiFinD("ths_adjustment_nv_fund",D$3,$A409))</x:f>
        <x:v>#NAME?</x:v>
      </x:c>
      <x:c r="E409" s="146" t="e">
        <x:f>IF($A409="","",[1]!thsiFinD("ths_adjustment_nv_fund",E$3,$A409))</x:f>
        <x:v>#NAME?</x:v>
      </x:c>
      <x:c r="F409" s="146" t="e">
        <x:f>IF($A409="","",[1]!thsiFinD("ths_adjustment_nv_fund",F$3,$A409))</x:f>
        <x:v>#NAME?</x:v>
      </x:c>
      <x:c r="G409" s="146" t="e">
        <x:f>IF($A409="","",[1]!thsiFinD("ths_adjustment_nv_fund",G$3,$A409))</x:f>
        <x:v>#NAME?</x:v>
      </x:c>
      <x:c r="H409" s="146" t="e">
        <x:f>IF($A409="","",[1]!thsiFinD("ths_adjustment_nv_fund",H$3,$A409))</x:f>
        <x:v>#NAME?</x:v>
      </x:c>
      <x:c r="I409" s="146" t="e">
        <x:f>IF($A409="","",[1]!thsiFinD("ths_adjustment_nv_fund",I$3,$A409))</x:f>
        <x:v>#NAME?</x:v>
      </x:c>
      <x:c r="J409" s="146" t="e">
        <x:f>IF($A409="","",[1]!thsiFinD("ths_adjustment_nv_fund",J$3,$A409))</x:f>
        <x:v>#NAME?</x:v>
      </x:c>
      <x:c r="K409" s="146" t="e">
        <x:f>IF($A409="","",[1]!thsiFinD("ths_adjustment_nv_fund",K$3,$A409))</x:f>
        <x:v>#NAME?</x:v>
      </x:c>
      <x:c r="L409" s="146" t="e">
        <x:f>IF($A409="","",[1]!thsiFinD("ths_adjustment_nv_fund",L$3,$A409))</x:f>
        <x:v>#NAME?</x:v>
      </x:c>
      <x:c r="M409" s="146" t="e">
        <x:f>IF($A409="","",[1]!thsiFinD("ths_adjustment_nv_fund",M$3,$A409))</x:f>
        <x:v>#NAME?</x:v>
      </x:c>
      <x:c r="N409" s="146" t="e">
        <x:f>IF($A409="","",[1]!thsiFinD("ths_adjustment_nv_fund",N$3,$A409))</x:f>
        <x:v>#NAME?</x:v>
      </x:c>
      <x:c r="O409" s="146" t="e">
        <x:f>IF($A409="","",[1]!thsiFinD("ths_adjustment_nv_fund",O$3,$A409))</x:f>
        <x:v>#NAME?</x:v>
      </x:c>
      <x:c r="P409" s="146" t="e">
        <x:f>IF($A409="","",[1]!thsiFinD("ths_adjustment_nv_fund",P$3,$A409))</x:f>
        <x:v>#NAME?</x:v>
      </x:c>
      <x:c r="Q409" s="146" t="e">
        <x:f>IF($A409="","",[1]!thsiFinD("ths_adjustment_nv_fund",Q$3,$A409))</x:f>
        <x:v>#NAME?</x:v>
      </x:c>
      <x:c r="R409" s="146" t="e">
        <x:f>IF($A409="","",[1]!thsiFinD("ths_adjustment_nv_fund",R$3,$A409))</x:f>
        <x:v>#NAME?</x:v>
      </x:c>
      <x:c r="S409" s="146" t="e">
        <x:f>IF($A409="","",[1]!thsiFinD("ths_adjustment_nv_fund",S$3,$A409))</x:f>
        <x:v>#NAME?</x:v>
      </x:c>
      <x:c r="T409" s="146" t="e">
        <x:f>IF($A409="","",[1]!thsiFinD("ths_adjustment_nv_fund",T$3,$A409))</x:f>
        <x:v>#NAME?</x:v>
      </x:c>
      <x:c r="U409" s="146" t="e">
        <x:f>IF($A409="","",[1]!thsiFinD("ths_adjustment_nv_fund",U$3,$A409))</x:f>
        <x:v>#NAME?</x:v>
      </x:c>
      <x:c r="V409" s="146" t="e">
        <x:f>IF($A409="","",[1]!thsiFinD("ths_adjustment_nv_fund",V$3,$A409))</x:f>
        <x:v>#NAME?</x:v>
      </x:c>
      <x:c r="W409" s="146" t="e">
        <x:f>IF($A409="","",[1]!thsiFinD("ths_adjustment_nv_fund",W$3,$A409))</x:f>
        <x:v>#NAME?</x:v>
      </x:c>
      <x:c r="X409" s="146" t="e">
        <x:f>IF($A409="","",[1]!thsiFinD("ths_adjustment_nv_fund",X$3,$A409))</x:f>
        <x:v>#NAME?</x:v>
      </x:c>
      <x:c r="Y409" s="146" t="e">
        <x:f>IF($A409="","",[1]!thsiFinD("ths_adjustment_nv_fund",Y$3,$A409))</x:f>
        <x:v>#NAME?</x:v>
      </x:c>
      <x:c r="Z409" s="146" t="e">
        <x:f>IF($A409="","",[1]!thsiFinD("ths_adjustment_nv_fund",Z$3,$A409))</x:f>
        <x:v>#NAME?</x:v>
      </x:c>
      <x:c r="AA409" s="146" t="e">
        <x:f>IF($A409="","",[1]!thsiFinD("ths_adjustment_nv_fund",AA$3,$A409))</x:f>
        <x:v>#NAME?</x:v>
      </x:c>
    </x:row>
    <x:row r="410">
      <x:c r="B410" s="146" t="e">
        <x:f>IF($A410="","",[1]!thsiFinD("ths_adjustment_nv_fund",B$3,$A410))</x:f>
        <x:v>#NAME?</x:v>
      </x:c>
      <x:c r="C410" s="146" t="e">
        <x:f>IF($A410="","",[1]!thsiFinD("ths_adjustment_nv_fund",C$3,$A410))</x:f>
        <x:v>#NAME?</x:v>
      </x:c>
      <x:c r="D410" s="146" t="e">
        <x:f>IF($A410="","",[1]!thsiFinD("ths_adjustment_nv_fund",D$3,$A410))</x:f>
        <x:v>#NAME?</x:v>
      </x:c>
      <x:c r="E410" s="146" t="e">
        <x:f>IF($A410="","",[1]!thsiFinD("ths_adjustment_nv_fund",E$3,$A410))</x:f>
        <x:v>#NAME?</x:v>
      </x:c>
      <x:c r="F410" s="146" t="e">
        <x:f>IF($A410="","",[1]!thsiFinD("ths_adjustment_nv_fund",F$3,$A410))</x:f>
        <x:v>#NAME?</x:v>
      </x:c>
      <x:c r="G410" s="146" t="e">
        <x:f>IF($A410="","",[1]!thsiFinD("ths_adjustment_nv_fund",G$3,$A410))</x:f>
        <x:v>#NAME?</x:v>
      </x:c>
      <x:c r="H410" s="146" t="e">
        <x:f>IF($A410="","",[1]!thsiFinD("ths_adjustment_nv_fund",H$3,$A410))</x:f>
        <x:v>#NAME?</x:v>
      </x:c>
      <x:c r="I410" s="146" t="e">
        <x:f>IF($A410="","",[1]!thsiFinD("ths_adjustment_nv_fund",I$3,$A410))</x:f>
        <x:v>#NAME?</x:v>
      </x:c>
      <x:c r="J410" s="146" t="e">
        <x:f>IF($A410="","",[1]!thsiFinD("ths_adjustment_nv_fund",J$3,$A410))</x:f>
        <x:v>#NAME?</x:v>
      </x:c>
      <x:c r="K410" s="146" t="e">
        <x:f>IF($A410="","",[1]!thsiFinD("ths_adjustment_nv_fund",K$3,$A410))</x:f>
        <x:v>#NAME?</x:v>
      </x:c>
      <x:c r="L410" s="146" t="e">
        <x:f>IF($A410="","",[1]!thsiFinD("ths_adjustment_nv_fund",L$3,$A410))</x:f>
        <x:v>#NAME?</x:v>
      </x:c>
      <x:c r="M410" s="146" t="e">
        <x:f>IF($A410="","",[1]!thsiFinD("ths_adjustment_nv_fund",M$3,$A410))</x:f>
        <x:v>#NAME?</x:v>
      </x:c>
      <x:c r="N410" s="146" t="e">
        <x:f>IF($A410="","",[1]!thsiFinD("ths_adjustment_nv_fund",N$3,$A410))</x:f>
        <x:v>#NAME?</x:v>
      </x:c>
      <x:c r="O410" s="146" t="e">
        <x:f>IF($A410="","",[1]!thsiFinD("ths_adjustment_nv_fund",O$3,$A410))</x:f>
        <x:v>#NAME?</x:v>
      </x:c>
      <x:c r="P410" s="146" t="e">
        <x:f>IF($A410="","",[1]!thsiFinD("ths_adjustment_nv_fund",P$3,$A410))</x:f>
        <x:v>#NAME?</x:v>
      </x:c>
      <x:c r="Q410" s="146" t="e">
        <x:f>IF($A410="","",[1]!thsiFinD("ths_adjustment_nv_fund",Q$3,$A410))</x:f>
        <x:v>#NAME?</x:v>
      </x:c>
      <x:c r="R410" s="146" t="e">
        <x:f>IF($A410="","",[1]!thsiFinD("ths_adjustment_nv_fund",R$3,$A410))</x:f>
        <x:v>#NAME?</x:v>
      </x:c>
      <x:c r="S410" s="146" t="e">
        <x:f>IF($A410="","",[1]!thsiFinD("ths_adjustment_nv_fund",S$3,$A410))</x:f>
        <x:v>#NAME?</x:v>
      </x:c>
      <x:c r="T410" s="146" t="e">
        <x:f>IF($A410="","",[1]!thsiFinD("ths_adjustment_nv_fund",T$3,$A410))</x:f>
        <x:v>#NAME?</x:v>
      </x:c>
      <x:c r="U410" s="146" t="e">
        <x:f>IF($A410="","",[1]!thsiFinD("ths_adjustment_nv_fund",U$3,$A410))</x:f>
        <x:v>#NAME?</x:v>
      </x:c>
      <x:c r="V410" s="146" t="e">
        <x:f>IF($A410="","",[1]!thsiFinD("ths_adjustment_nv_fund",V$3,$A410))</x:f>
        <x:v>#NAME?</x:v>
      </x:c>
      <x:c r="W410" s="146" t="e">
        <x:f>IF($A410="","",[1]!thsiFinD("ths_adjustment_nv_fund",W$3,$A410))</x:f>
        <x:v>#NAME?</x:v>
      </x:c>
      <x:c r="X410" s="146" t="e">
        <x:f>IF($A410="","",[1]!thsiFinD("ths_adjustment_nv_fund",X$3,$A410))</x:f>
        <x:v>#NAME?</x:v>
      </x:c>
      <x:c r="Y410" s="146" t="e">
        <x:f>IF($A410="","",[1]!thsiFinD("ths_adjustment_nv_fund",Y$3,$A410))</x:f>
        <x:v>#NAME?</x:v>
      </x:c>
      <x:c r="Z410" s="146" t="e">
        <x:f>IF($A410="","",[1]!thsiFinD("ths_adjustment_nv_fund",Z$3,$A410))</x:f>
        <x:v>#NAME?</x:v>
      </x:c>
      <x:c r="AA410" s="146" t="e">
        <x:f>IF($A410="","",[1]!thsiFinD("ths_adjustment_nv_fund",AA$3,$A410))</x:f>
        <x:v>#NAME?</x:v>
      </x:c>
    </x:row>
    <x:row r="411">
      <x:c r="B411" s="146" t="e">
        <x:f>IF($A411="","",[1]!thsiFinD("ths_adjustment_nv_fund",B$3,$A411))</x:f>
        <x:v>#NAME?</x:v>
      </x:c>
      <x:c r="C411" s="146" t="e">
        <x:f>IF($A411="","",[1]!thsiFinD("ths_adjustment_nv_fund",C$3,$A411))</x:f>
        <x:v>#NAME?</x:v>
      </x:c>
      <x:c r="D411" s="146" t="e">
        <x:f>IF($A411="","",[1]!thsiFinD("ths_adjustment_nv_fund",D$3,$A411))</x:f>
        <x:v>#NAME?</x:v>
      </x:c>
      <x:c r="E411" s="146" t="e">
        <x:f>IF($A411="","",[1]!thsiFinD("ths_adjustment_nv_fund",E$3,$A411))</x:f>
        <x:v>#NAME?</x:v>
      </x:c>
      <x:c r="F411" s="146" t="e">
        <x:f>IF($A411="","",[1]!thsiFinD("ths_adjustment_nv_fund",F$3,$A411))</x:f>
        <x:v>#NAME?</x:v>
      </x:c>
      <x:c r="G411" s="146" t="e">
        <x:f>IF($A411="","",[1]!thsiFinD("ths_adjustment_nv_fund",G$3,$A411))</x:f>
        <x:v>#NAME?</x:v>
      </x:c>
      <x:c r="H411" s="146" t="e">
        <x:f>IF($A411="","",[1]!thsiFinD("ths_adjustment_nv_fund",H$3,$A411))</x:f>
        <x:v>#NAME?</x:v>
      </x:c>
      <x:c r="I411" s="146" t="e">
        <x:f>IF($A411="","",[1]!thsiFinD("ths_adjustment_nv_fund",I$3,$A411))</x:f>
        <x:v>#NAME?</x:v>
      </x:c>
      <x:c r="J411" s="146" t="e">
        <x:f>IF($A411="","",[1]!thsiFinD("ths_adjustment_nv_fund",J$3,$A411))</x:f>
        <x:v>#NAME?</x:v>
      </x:c>
      <x:c r="K411" s="146" t="e">
        <x:f>IF($A411="","",[1]!thsiFinD("ths_adjustment_nv_fund",K$3,$A411))</x:f>
        <x:v>#NAME?</x:v>
      </x:c>
      <x:c r="L411" s="146" t="e">
        <x:f>IF($A411="","",[1]!thsiFinD("ths_adjustment_nv_fund",L$3,$A411))</x:f>
        <x:v>#NAME?</x:v>
      </x:c>
      <x:c r="M411" s="146" t="e">
        <x:f>IF($A411="","",[1]!thsiFinD("ths_adjustment_nv_fund",M$3,$A411))</x:f>
        <x:v>#NAME?</x:v>
      </x:c>
      <x:c r="N411" s="146" t="e">
        <x:f>IF($A411="","",[1]!thsiFinD("ths_adjustment_nv_fund",N$3,$A411))</x:f>
        <x:v>#NAME?</x:v>
      </x:c>
      <x:c r="O411" s="146" t="e">
        <x:f>IF($A411="","",[1]!thsiFinD("ths_adjustment_nv_fund",O$3,$A411))</x:f>
        <x:v>#NAME?</x:v>
      </x:c>
      <x:c r="P411" s="146" t="e">
        <x:f>IF($A411="","",[1]!thsiFinD("ths_adjustment_nv_fund",P$3,$A411))</x:f>
        <x:v>#NAME?</x:v>
      </x:c>
      <x:c r="Q411" s="146" t="e">
        <x:f>IF($A411="","",[1]!thsiFinD("ths_adjustment_nv_fund",Q$3,$A411))</x:f>
        <x:v>#NAME?</x:v>
      </x:c>
      <x:c r="R411" s="146" t="e">
        <x:f>IF($A411="","",[1]!thsiFinD("ths_adjustment_nv_fund",R$3,$A411))</x:f>
        <x:v>#NAME?</x:v>
      </x:c>
      <x:c r="S411" s="146" t="e">
        <x:f>IF($A411="","",[1]!thsiFinD("ths_adjustment_nv_fund",S$3,$A411))</x:f>
        <x:v>#NAME?</x:v>
      </x:c>
      <x:c r="T411" s="146" t="e">
        <x:f>IF($A411="","",[1]!thsiFinD("ths_adjustment_nv_fund",T$3,$A411))</x:f>
        <x:v>#NAME?</x:v>
      </x:c>
      <x:c r="U411" s="146" t="e">
        <x:f>IF($A411="","",[1]!thsiFinD("ths_adjustment_nv_fund",U$3,$A411))</x:f>
        <x:v>#NAME?</x:v>
      </x:c>
      <x:c r="V411" s="146" t="e">
        <x:f>IF($A411="","",[1]!thsiFinD("ths_adjustment_nv_fund",V$3,$A411))</x:f>
        <x:v>#NAME?</x:v>
      </x:c>
      <x:c r="W411" s="146" t="e">
        <x:f>IF($A411="","",[1]!thsiFinD("ths_adjustment_nv_fund",W$3,$A411))</x:f>
        <x:v>#NAME?</x:v>
      </x:c>
      <x:c r="X411" s="146" t="e">
        <x:f>IF($A411="","",[1]!thsiFinD("ths_adjustment_nv_fund",X$3,$A411))</x:f>
        <x:v>#NAME?</x:v>
      </x:c>
      <x:c r="Y411" s="146" t="e">
        <x:f>IF($A411="","",[1]!thsiFinD("ths_adjustment_nv_fund",Y$3,$A411))</x:f>
        <x:v>#NAME?</x:v>
      </x:c>
      <x:c r="Z411" s="146" t="e">
        <x:f>IF($A411="","",[1]!thsiFinD("ths_adjustment_nv_fund",Z$3,$A411))</x:f>
        <x:v>#NAME?</x:v>
      </x:c>
      <x:c r="AA411" s="146" t="e">
        <x:f>IF($A411="","",[1]!thsiFinD("ths_adjustment_nv_fund",AA$3,$A411))</x:f>
        <x:v>#NAME?</x:v>
      </x:c>
    </x:row>
    <x:row r="412">
      <x:c r="B412" s="146" t="e">
        <x:f>IF($A412="","",[1]!thsiFinD("ths_adjustment_nv_fund",B$3,$A412))</x:f>
        <x:v>#NAME?</x:v>
      </x:c>
      <x:c r="C412" s="146" t="e">
        <x:f>IF($A412="","",[1]!thsiFinD("ths_adjustment_nv_fund",C$3,$A412))</x:f>
        <x:v>#NAME?</x:v>
      </x:c>
      <x:c r="D412" s="146" t="e">
        <x:f>IF($A412="","",[1]!thsiFinD("ths_adjustment_nv_fund",D$3,$A412))</x:f>
        <x:v>#NAME?</x:v>
      </x:c>
      <x:c r="E412" s="146" t="e">
        <x:f>IF($A412="","",[1]!thsiFinD("ths_adjustment_nv_fund",E$3,$A412))</x:f>
        <x:v>#NAME?</x:v>
      </x:c>
      <x:c r="F412" s="146" t="e">
        <x:f>IF($A412="","",[1]!thsiFinD("ths_adjustment_nv_fund",F$3,$A412))</x:f>
        <x:v>#NAME?</x:v>
      </x:c>
      <x:c r="G412" s="146" t="e">
        <x:f>IF($A412="","",[1]!thsiFinD("ths_adjustment_nv_fund",G$3,$A412))</x:f>
        <x:v>#NAME?</x:v>
      </x:c>
      <x:c r="H412" s="146" t="e">
        <x:f>IF($A412="","",[1]!thsiFinD("ths_adjustment_nv_fund",H$3,$A412))</x:f>
        <x:v>#NAME?</x:v>
      </x:c>
      <x:c r="I412" s="146" t="e">
        <x:f>IF($A412="","",[1]!thsiFinD("ths_adjustment_nv_fund",I$3,$A412))</x:f>
        <x:v>#NAME?</x:v>
      </x:c>
      <x:c r="J412" s="146" t="e">
        <x:f>IF($A412="","",[1]!thsiFinD("ths_adjustment_nv_fund",J$3,$A412))</x:f>
        <x:v>#NAME?</x:v>
      </x:c>
      <x:c r="K412" s="146" t="e">
        <x:f>IF($A412="","",[1]!thsiFinD("ths_adjustment_nv_fund",K$3,$A412))</x:f>
        <x:v>#NAME?</x:v>
      </x:c>
      <x:c r="L412" s="146" t="e">
        <x:f>IF($A412="","",[1]!thsiFinD("ths_adjustment_nv_fund",L$3,$A412))</x:f>
        <x:v>#NAME?</x:v>
      </x:c>
      <x:c r="M412" s="146" t="e">
        <x:f>IF($A412="","",[1]!thsiFinD("ths_adjustment_nv_fund",M$3,$A412))</x:f>
        <x:v>#NAME?</x:v>
      </x:c>
      <x:c r="N412" s="146" t="e">
        <x:f>IF($A412="","",[1]!thsiFinD("ths_adjustment_nv_fund",N$3,$A412))</x:f>
        <x:v>#NAME?</x:v>
      </x:c>
      <x:c r="O412" s="146" t="e">
        <x:f>IF($A412="","",[1]!thsiFinD("ths_adjustment_nv_fund",O$3,$A412))</x:f>
        <x:v>#NAME?</x:v>
      </x:c>
      <x:c r="P412" s="146" t="e">
        <x:f>IF($A412="","",[1]!thsiFinD("ths_adjustment_nv_fund",P$3,$A412))</x:f>
        <x:v>#NAME?</x:v>
      </x:c>
      <x:c r="Q412" s="146" t="e">
        <x:f>IF($A412="","",[1]!thsiFinD("ths_adjustment_nv_fund",Q$3,$A412))</x:f>
        <x:v>#NAME?</x:v>
      </x:c>
      <x:c r="R412" s="146" t="e">
        <x:f>IF($A412="","",[1]!thsiFinD("ths_adjustment_nv_fund",R$3,$A412))</x:f>
        <x:v>#NAME?</x:v>
      </x:c>
      <x:c r="S412" s="146" t="e">
        <x:f>IF($A412="","",[1]!thsiFinD("ths_adjustment_nv_fund",S$3,$A412))</x:f>
        <x:v>#NAME?</x:v>
      </x:c>
      <x:c r="T412" s="146" t="e">
        <x:f>IF($A412="","",[1]!thsiFinD("ths_adjustment_nv_fund",T$3,$A412))</x:f>
        <x:v>#NAME?</x:v>
      </x:c>
      <x:c r="U412" s="146" t="e">
        <x:f>IF($A412="","",[1]!thsiFinD("ths_adjustment_nv_fund",U$3,$A412))</x:f>
        <x:v>#NAME?</x:v>
      </x:c>
      <x:c r="V412" s="146" t="e">
        <x:f>IF($A412="","",[1]!thsiFinD("ths_adjustment_nv_fund",V$3,$A412))</x:f>
        <x:v>#NAME?</x:v>
      </x:c>
      <x:c r="W412" s="146" t="e">
        <x:f>IF($A412="","",[1]!thsiFinD("ths_adjustment_nv_fund",W$3,$A412))</x:f>
        <x:v>#NAME?</x:v>
      </x:c>
      <x:c r="X412" s="146" t="e">
        <x:f>IF($A412="","",[1]!thsiFinD("ths_adjustment_nv_fund",X$3,$A412))</x:f>
        <x:v>#NAME?</x:v>
      </x:c>
      <x:c r="Y412" s="146" t="e">
        <x:f>IF($A412="","",[1]!thsiFinD("ths_adjustment_nv_fund",Y$3,$A412))</x:f>
        <x:v>#NAME?</x:v>
      </x:c>
      <x:c r="Z412" s="146" t="e">
        <x:f>IF($A412="","",[1]!thsiFinD("ths_adjustment_nv_fund",Z$3,$A412))</x:f>
        <x:v>#NAME?</x:v>
      </x:c>
      <x:c r="AA412" s="146" t="e">
        <x:f>IF($A412="","",[1]!thsiFinD("ths_adjustment_nv_fund",AA$3,$A412))</x:f>
        <x:v>#NAME?</x:v>
      </x:c>
    </x:row>
    <x:row r="413">
      <x:c r="B413" s="146" t="e">
        <x:f>IF($A413="","",[1]!thsiFinD("ths_adjustment_nv_fund",B$3,$A413))</x:f>
        <x:v>#NAME?</x:v>
      </x:c>
      <x:c r="C413" s="146" t="e">
        <x:f>IF($A413="","",[1]!thsiFinD("ths_adjustment_nv_fund",C$3,$A413))</x:f>
        <x:v>#NAME?</x:v>
      </x:c>
      <x:c r="D413" s="146" t="e">
        <x:f>IF($A413="","",[1]!thsiFinD("ths_adjustment_nv_fund",D$3,$A413))</x:f>
        <x:v>#NAME?</x:v>
      </x:c>
      <x:c r="E413" s="146" t="e">
        <x:f>IF($A413="","",[1]!thsiFinD("ths_adjustment_nv_fund",E$3,$A413))</x:f>
        <x:v>#NAME?</x:v>
      </x:c>
      <x:c r="F413" s="146" t="e">
        <x:f>IF($A413="","",[1]!thsiFinD("ths_adjustment_nv_fund",F$3,$A413))</x:f>
        <x:v>#NAME?</x:v>
      </x:c>
      <x:c r="G413" s="146" t="e">
        <x:f>IF($A413="","",[1]!thsiFinD("ths_adjustment_nv_fund",G$3,$A413))</x:f>
        <x:v>#NAME?</x:v>
      </x:c>
      <x:c r="H413" s="146" t="e">
        <x:f>IF($A413="","",[1]!thsiFinD("ths_adjustment_nv_fund",H$3,$A413))</x:f>
        <x:v>#NAME?</x:v>
      </x:c>
      <x:c r="I413" s="146" t="e">
        <x:f>IF($A413="","",[1]!thsiFinD("ths_adjustment_nv_fund",I$3,$A413))</x:f>
        <x:v>#NAME?</x:v>
      </x:c>
      <x:c r="J413" s="146" t="e">
        <x:f>IF($A413="","",[1]!thsiFinD("ths_adjustment_nv_fund",J$3,$A413))</x:f>
        <x:v>#NAME?</x:v>
      </x:c>
      <x:c r="K413" s="146" t="e">
        <x:f>IF($A413="","",[1]!thsiFinD("ths_adjustment_nv_fund",K$3,$A413))</x:f>
        <x:v>#NAME?</x:v>
      </x:c>
      <x:c r="L413" s="146" t="e">
        <x:f>IF($A413="","",[1]!thsiFinD("ths_adjustment_nv_fund",L$3,$A413))</x:f>
        <x:v>#NAME?</x:v>
      </x:c>
      <x:c r="M413" s="146" t="e">
        <x:f>IF($A413="","",[1]!thsiFinD("ths_adjustment_nv_fund",M$3,$A413))</x:f>
        <x:v>#NAME?</x:v>
      </x:c>
      <x:c r="N413" s="146" t="e">
        <x:f>IF($A413="","",[1]!thsiFinD("ths_adjustment_nv_fund",N$3,$A413))</x:f>
        <x:v>#NAME?</x:v>
      </x:c>
      <x:c r="O413" s="146" t="e">
        <x:f>IF($A413="","",[1]!thsiFinD("ths_adjustment_nv_fund",O$3,$A413))</x:f>
        <x:v>#NAME?</x:v>
      </x:c>
      <x:c r="P413" s="146" t="e">
        <x:f>IF($A413="","",[1]!thsiFinD("ths_adjustment_nv_fund",P$3,$A413))</x:f>
        <x:v>#NAME?</x:v>
      </x:c>
      <x:c r="Q413" s="146" t="e">
        <x:f>IF($A413="","",[1]!thsiFinD("ths_adjustment_nv_fund",Q$3,$A413))</x:f>
        <x:v>#NAME?</x:v>
      </x:c>
      <x:c r="R413" s="146" t="e">
        <x:f>IF($A413="","",[1]!thsiFinD("ths_adjustment_nv_fund",R$3,$A413))</x:f>
        <x:v>#NAME?</x:v>
      </x:c>
      <x:c r="S413" s="146" t="e">
        <x:f>IF($A413="","",[1]!thsiFinD("ths_adjustment_nv_fund",S$3,$A413))</x:f>
        <x:v>#NAME?</x:v>
      </x:c>
      <x:c r="T413" s="146" t="e">
        <x:f>IF($A413="","",[1]!thsiFinD("ths_adjustment_nv_fund",T$3,$A413))</x:f>
        <x:v>#NAME?</x:v>
      </x:c>
      <x:c r="U413" s="146" t="e">
        <x:f>IF($A413="","",[1]!thsiFinD("ths_adjustment_nv_fund",U$3,$A413))</x:f>
        <x:v>#NAME?</x:v>
      </x:c>
      <x:c r="V413" s="146" t="e">
        <x:f>IF($A413="","",[1]!thsiFinD("ths_adjustment_nv_fund",V$3,$A413))</x:f>
        <x:v>#NAME?</x:v>
      </x:c>
      <x:c r="W413" s="146" t="e">
        <x:f>IF($A413="","",[1]!thsiFinD("ths_adjustment_nv_fund",W$3,$A413))</x:f>
        <x:v>#NAME?</x:v>
      </x:c>
      <x:c r="X413" s="146" t="e">
        <x:f>IF($A413="","",[1]!thsiFinD("ths_adjustment_nv_fund",X$3,$A413))</x:f>
        <x:v>#NAME?</x:v>
      </x:c>
      <x:c r="Y413" s="146" t="e">
        <x:f>IF($A413="","",[1]!thsiFinD("ths_adjustment_nv_fund",Y$3,$A413))</x:f>
        <x:v>#NAME?</x:v>
      </x:c>
      <x:c r="Z413" s="146" t="e">
        <x:f>IF($A413="","",[1]!thsiFinD("ths_adjustment_nv_fund",Z$3,$A413))</x:f>
        <x:v>#NAME?</x:v>
      </x:c>
      <x:c r="AA413" s="146" t="e">
        <x:f>IF($A413="","",[1]!thsiFinD("ths_adjustment_nv_fund",AA$3,$A413))</x:f>
        <x:v>#NAME?</x:v>
      </x:c>
    </x:row>
    <x:row r="414">
      <x:c r="B414" s="146" t="e">
        <x:f>IF($A414="","",[1]!thsiFinD("ths_adjustment_nv_fund",B$3,$A414))</x:f>
        <x:v>#NAME?</x:v>
      </x:c>
      <x:c r="C414" s="146" t="e">
        <x:f>IF($A414="","",[1]!thsiFinD("ths_adjustment_nv_fund",C$3,$A414))</x:f>
        <x:v>#NAME?</x:v>
      </x:c>
      <x:c r="D414" s="146" t="e">
        <x:f>IF($A414="","",[1]!thsiFinD("ths_adjustment_nv_fund",D$3,$A414))</x:f>
        <x:v>#NAME?</x:v>
      </x:c>
      <x:c r="E414" s="146" t="e">
        <x:f>IF($A414="","",[1]!thsiFinD("ths_adjustment_nv_fund",E$3,$A414))</x:f>
        <x:v>#NAME?</x:v>
      </x:c>
      <x:c r="F414" s="146" t="e">
        <x:f>IF($A414="","",[1]!thsiFinD("ths_adjustment_nv_fund",F$3,$A414))</x:f>
        <x:v>#NAME?</x:v>
      </x:c>
      <x:c r="G414" s="146" t="e">
        <x:f>IF($A414="","",[1]!thsiFinD("ths_adjustment_nv_fund",G$3,$A414))</x:f>
        <x:v>#NAME?</x:v>
      </x:c>
      <x:c r="H414" s="146" t="e">
        <x:f>IF($A414="","",[1]!thsiFinD("ths_adjustment_nv_fund",H$3,$A414))</x:f>
        <x:v>#NAME?</x:v>
      </x:c>
      <x:c r="I414" s="146" t="e">
        <x:f>IF($A414="","",[1]!thsiFinD("ths_adjustment_nv_fund",I$3,$A414))</x:f>
        <x:v>#NAME?</x:v>
      </x:c>
      <x:c r="J414" s="146" t="e">
        <x:f>IF($A414="","",[1]!thsiFinD("ths_adjustment_nv_fund",J$3,$A414))</x:f>
        <x:v>#NAME?</x:v>
      </x:c>
      <x:c r="K414" s="146" t="e">
        <x:f>IF($A414="","",[1]!thsiFinD("ths_adjustment_nv_fund",K$3,$A414))</x:f>
        <x:v>#NAME?</x:v>
      </x:c>
      <x:c r="L414" s="146" t="e">
        <x:f>IF($A414="","",[1]!thsiFinD("ths_adjustment_nv_fund",L$3,$A414))</x:f>
        <x:v>#NAME?</x:v>
      </x:c>
      <x:c r="M414" s="146" t="e">
        <x:f>IF($A414="","",[1]!thsiFinD("ths_adjustment_nv_fund",M$3,$A414))</x:f>
        <x:v>#NAME?</x:v>
      </x:c>
      <x:c r="N414" s="146" t="e">
        <x:f>IF($A414="","",[1]!thsiFinD("ths_adjustment_nv_fund",N$3,$A414))</x:f>
        <x:v>#NAME?</x:v>
      </x:c>
      <x:c r="O414" s="146" t="e">
        <x:f>IF($A414="","",[1]!thsiFinD("ths_adjustment_nv_fund",O$3,$A414))</x:f>
        <x:v>#NAME?</x:v>
      </x:c>
      <x:c r="P414" s="146" t="e">
        <x:f>IF($A414="","",[1]!thsiFinD("ths_adjustment_nv_fund",P$3,$A414))</x:f>
        <x:v>#NAME?</x:v>
      </x:c>
      <x:c r="Q414" s="146" t="e">
        <x:f>IF($A414="","",[1]!thsiFinD("ths_adjustment_nv_fund",Q$3,$A414))</x:f>
        <x:v>#NAME?</x:v>
      </x:c>
      <x:c r="R414" s="146" t="e">
        <x:f>IF($A414="","",[1]!thsiFinD("ths_adjustment_nv_fund",R$3,$A414))</x:f>
        <x:v>#NAME?</x:v>
      </x:c>
      <x:c r="S414" s="146" t="e">
        <x:f>IF($A414="","",[1]!thsiFinD("ths_adjustment_nv_fund",S$3,$A414))</x:f>
        <x:v>#NAME?</x:v>
      </x:c>
      <x:c r="T414" s="146" t="e">
        <x:f>IF($A414="","",[1]!thsiFinD("ths_adjustment_nv_fund",T$3,$A414))</x:f>
        <x:v>#NAME?</x:v>
      </x:c>
      <x:c r="U414" s="146" t="e">
        <x:f>IF($A414="","",[1]!thsiFinD("ths_adjustment_nv_fund",U$3,$A414))</x:f>
        <x:v>#NAME?</x:v>
      </x:c>
      <x:c r="V414" s="146" t="e">
        <x:f>IF($A414="","",[1]!thsiFinD("ths_adjustment_nv_fund",V$3,$A414))</x:f>
        <x:v>#NAME?</x:v>
      </x:c>
      <x:c r="W414" s="146" t="e">
        <x:f>IF($A414="","",[1]!thsiFinD("ths_adjustment_nv_fund",W$3,$A414))</x:f>
        <x:v>#NAME?</x:v>
      </x:c>
      <x:c r="X414" s="146" t="e">
        <x:f>IF($A414="","",[1]!thsiFinD("ths_adjustment_nv_fund",X$3,$A414))</x:f>
        <x:v>#NAME?</x:v>
      </x:c>
      <x:c r="Y414" s="146" t="e">
        <x:f>IF($A414="","",[1]!thsiFinD("ths_adjustment_nv_fund",Y$3,$A414))</x:f>
        <x:v>#NAME?</x:v>
      </x:c>
      <x:c r="Z414" s="146" t="e">
        <x:f>IF($A414="","",[1]!thsiFinD("ths_adjustment_nv_fund",Z$3,$A414))</x:f>
        <x:v>#NAME?</x:v>
      </x:c>
      <x:c r="AA414" s="146" t="e">
        <x:f>IF($A414="","",[1]!thsiFinD("ths_adjustment_nv_fund",AA$3,$A414))</x:f>
        <x:v>#NAME?</x:v>
      </x:c>
    </x:row>
    <x:row r="415">
      <x:c r="B415" s="146" t="e">
        <x:f>IF($A415="","",[1]!thsiFinD("ths_adjustment_nv_fund",B$3,$A415))</x:f>
        <x:v>#NAME?</x:v>
      </x:c>
      <x:c r="C415" s="146" t="e">
        <x:f>IF($A415="","",[1]!thsiFinD("ths_adjustment_nv_fund",C$3,$A415))</x:f>
        <x:v>#NAME?</x:v>
      </x:c>
      <x:c r="D415" s="146" t="e">
        <x:f>IF($A415="","",[1]!thsiFinD("ths_adjustment_nv_fund",D$3,$A415))</x:f>
        <x:v>#NAME?</x:v>
      </x:c>
      <x:c r="E415" s="146" t="e">
        <x:f>IF($A415="","",[1]!thsiFinD("ths_adjustment_nv_fund",E$3,$A415))</x:f>
        <x:v>#NAME?</x:v>
      </x:c>
      <x:c r="F415" s="146" t="e">
        <x:f>IF($A415="","",[1]!thsiFinD("ths_adjustment_nv_fund",F$3,$A415))</x:f>
        <x:v>#NAME?</x:v>
      </x:c>
      <x:c r="G415" s="146" t="e">
        <x:f>IF($A415="","",[1]!thsiFinD("ths_adjustment_nv_fund",G$3,$A415))</x:f>
        <x:v>#NAME?</x:v>
      </x:c>
      <x:c r="H415" s="146" t="e">
        <x:f>IF($A415="","",[1]!thsiFinD("ths_adjustment_nv_fund",H$3,$A415))</x:f>
        <x:v>#NAME?</x:v>
      </x:c>
      <x:c r="I415" s="146" t="e">
        <x:f>IF($A415="","",[1]!thsiFinD("ths_adjustment_nv_fund",I$3,$A415))</x:f>
        <x:v>#NAME?</x:v>
      </x:c>
      <x:c r="J415" s="146" t="e">
        <x:f>IF($A415="","",[1]!thsiFinD("ths_adjustment_nv_fund",J$3,$A415))</x:f>
        <x:v>#NAME?</x:v>
      </x:c>
      <x:c r="K415" s="146" t="e">
        <x:f>IF($A415="","",[1]!thsiFinD("ths_adjustment_nv_fund",K$3,$A415))</x:f>
        <x:v>#NAME?</x:v>
      </x:c>
      <x:c r="L415" s="146" t="e">
        <x:f>IF($A415="","",[1]!thsiFinD("ths_adjustment_nv_fund",L$3,$A415))</x:f>
        <x:v>#NAME?</x:v>
      </x:c>
      <x:c r="M415" s="146" t="e">
        <x:f>IF($A415="","",[1]!thsiFinD("ths_adjustment_nv_fund",M$3,$A415))</x:f>
        <x:v>#NAME?</x:v>
      </x:c>
      <x:c r="N415" s="146" t="e">
        <x:f>IF($A415="","",[1]!thsiFinD("ths_adjustment_nv_fund",N$3,$A415))</x:f>
        <x:v>#NAME?</x:v>
      </x:c>
      <x:c r="O415" s="146" t="e">
        <x:f>IF($A415="","",[1]!thsiFinD("ths_adjustment_nv_fund",O$3,$A415))</x:f>
        <x:v>#NAME?</x:v>
      </x:c>
      <x:c r="P415" s="146" t="e">
        <x:f>IF($A415="","",[1]!thsiFinD("ths_adjustment_nv_fund",P$3,$A415))</x:f>
        <x:v>#NAME?</x:v>
      </x:c>
      <x:c r="Q415" s="146" t="e">
        <x:f>IF($A415="","",[1]!thsiFinD("ths_adjustment_nv_fund",Q$3,$A415))</x:f>
        <x:v>#NAME?</x:v>
      </x:c>
      <x:c r="R415" s="146" t="e">
        <x:f>IF($A415="","",[1]!thsiFinD("ths_adjustment_nv_fund",R$3,$A415))</x:f>
        <x:v>#NAME?</x:v>
      </x:c>
      <x:c r="S415" s="146" t="e">
        <x:f>IF($A415="","",[1]!thsiFinD("ths_adjustment_nv_fund",S$3,$A415))</x:f>
        <x:v>#NAME?</x:v>
      </x:c>
      <x:c r="T415" s="146" t="e">
        <x:f>IF($A415="","",[1]!thsiFinD("ths_adjustment_nv_fund",T$3,$A415))</x:f>
        <x:v>#NAME?</x:v>
      </x:c>
      <x:c r="U415" s="146" t="e">
        <x:f>IF($A415="","",[1]!thsiFinD("ths_adjustment_nv_fund",U$3,$A415))</x:f>
        <x:v>#NAME?</x:v>
      </x:c>
      <x:c r="V415" s="146" t="e">
        <x:f>IF($A415="","",[1]!thsiFinD("ths_adjustment_nv_fund",V$3,$A415))</x:f>
        <x:v>#NAME?</x:v>
      </x:c>
      <x:c r="W415" s="146" t="e">
        <x:f>IF($A415="","",[1]!thsiFinD("ths_adjustment_nv_fund",W$3,$A415))</x:f>
        <x:v>#NAME?</x:v>
      </x:c>
      <x:c r="X415" s="146" t="e">
        <x:f>IF($A415="","",[1]!thsiFinD("ths_adjustment_nv_fund",X$3,$A415))</x:f>
        <x:v>#NAME?</x:v>
      </x:c>
      <x:c r="Y415" s="146" t="e">
        <x:f>IF($A415="","",[1]!thsiFinD("ths_adjustment_nv_fund",Y$3,$A415))</x:f>
        <x:v>#NAME?</x:v>
      </x:c>
      <x:c r="Z415" s="146" t="e">
        <x:f>IF($A415="","",[1]!thsiFinD("ths_adjustment_nv_fund",Z$3,$A415))</x:f>
        <x:v>#NAME?</x:v>
      </x:c>
      <x:c r="AA415" s="146" t="e">
        <x:f>IF($A415="","",[1]!thsiFinD("ths_adjustment_nv_fund",AA$3,$A415))</x:f>
        <x:v>#NAME?</x:v>
      </x:c>
    </x:row>
    <x:row r="416">
      <x:c r="B416" s="146" t="e">
        <x:f>IF($A416="","",[1]!thsiFinD("ths_adjustment_nv_fund",B$3,$A416))</x:f>
        <x:v>#NAME?</x:v>
      </x:c>
      <x:c r="C416" s="146" t="e">
        <x:f>IF($A416="","",[1]!thsiFinD("ths_adjustment_nv_fund",C$3,$A416))</x:f>
        <x:v>#NAME?</x:v>
      </x:c>
      <x:c r="D416" s="146" t="e">
        <x:f>IF($A416="","",[1]!thsiFinD("ths_adjustment_nv_fund",D$3,$A416))</x:f>
        <x:v>#NAME?</x:v>
      </x:c>
      <x:c r="E416" s="146" t="e">
        <x:f>IF($A416="","",[1]!thsiFinD("ths_adjustment_nv_fund",E$3,$A416))</x:f>
        <x:v>#NAME?</x:v>
      </x:c>
      <x:c r="F416" s="146" t="e">
        <x:f>IF($A416="","",[1]!thsiFinD("ths_adjustment_nv_fund",F$3,$A416))</x:f>
        <x:v>#NAME?</x:v>
      </x:c>
      <x:c r="G416" s="146" t="e">
        <x:f>IF($A416="","",[1]!thsiFinD("ths_adjustment_nv_fund",G$3,$A416))</x:f>
        <x:v>#NAME?</x:v>
      </x:c>
      <x:c r="H416" s="146" t="e">
        <x:f>IF($A416="","",[1]!thsiFinD("ths_adjustment_nv_fund",H$3,$A416))</x:f>
        <x:v>#NAME?</x:v>
      </x:c>
      <x:c r="I416" s="146" t="e">
        <x:f>IF($A416="","",[1]!thsiFinD("ths_adjustment_nv_fund",I$3,$A416))</x:f>
        <x:v>#NAME?</x:v>
      </x:c>
      <x:c r="J416" s="146" t="e">
        <x:f>IF($A416="","",[1]!thsiFinD("ths_adjustment_nv_fund",J$3,$A416))</x:f>
        <x:v>#NAME?</x:v>
      </x:c>
      <x:c r="K416" s="146" t="e">
        <x:f>IF($A416="","",[1]!thsiFinD("ths_adjustment_nv_fund",K$3,$A416))</x:f>
        <x:v>#NAME?</x:v>
      </x:c>
      <x:c r="L416" s="146" t="e">
        <x:f>IF($A416="","",[1]!thsiFinD("ths_adjustment_nv_fund",L$3,$A416))</x:f>
        <x:v>#NAME?</x:v>
      </x:c>
      <x:c r="M416" s="146" t="e">
        <x:f>IF($A416="","",[1]!thsiFinD("ths_adjustment_nv_fund",M$3,$A416))</x:f>
        <x:v>#NAME?</x:v>
      </x:c>
      <x:c r="N416" s="146" t="e">
        <x:f>IF($A416="","",[1]!thsiFinD("ths_adjustment_nv_fund",N$3,$A416))</x:f>
        <x:v>#NAME?</x:v>
      </x:c>
      <x:c r="O416" s="146" t="e">
        <x:f>IF($A416="","",[1]!thsiFinD("ths_adjustment_nv_fund",O$3,$A416))</x:f>
        <x:v>#NAME?</x:v>
      </x:c>
      <x:c r="P416" s="146" t="e">
        <x:f>IF($A416="","",[1]!thsiFinD("ths_adjustment_nv_fund",P$3,$A416))</x:f>
        <x:v>#NAME?</x:v>
      </x:c>
      <x:c r="Q416" s="146" t="e">
        <x:f>IF($A416="","",[1]!thsiFinD("ths_adjustment_nv_fund",Q$3,$A416))</x:f>
        <x:v>#NAME?</x:v>
      </x:c>
      <x:c r="R416" s="146" t="e">
        <x:f>IF($A416="","",[1]!thsiFinD("ths_adjustment_nv_fund",R$3,$A416))</x:f>
        <x:v>#NAME?</x:v>
      </x:c>
      <x:c r="S416" s="146" t="e">
        <x:f>IF($A416="","",[1]!thsiFinD("ths_adjustment_nv_fund",S$3,$A416))</x:f>
        <x:v>#NAME?</x:v>
      </x:c>
      <x:c r="T416" s="146" t="e">
        <x:f>IF($A416="","",[1]!thsiFinD("ths_adjustment_nv_fund",T$3,$A416))</x:f>
        <x:v>#NAME?</x:v>
      </x:c>
      <x:c r="U416" s="146" t="e">
        <x:f>IF($A416="","",[1]!thsiFinD("ths_adjustment_nv_fund",U$3,$A416))</x:f>
        <x:v>#NAME?</x:v>
      </x:c>
      <x:c r="V416" s="146" t="e">
        <x:f>IF($A416="","",[1]!thsiFinD("ths_adjustment_nv_fund",V$3,$A416))</x:f>
        <x:v>#NAME?</x:v>
      </x:c>
      <x:c r="W416" s="146" t="e">
        <x:f>IF($A416="","",[1]!thsiFinD("ths_adjustment_nv_fund",W$3,$A416))</x:f>
        <x:v>#NAME?</x:v>
      </x:c>
      <x:c r="X416" s="146" t="e">
        <x:f>IF($A416="","",[1]!thsiFinD("ths_adjustment_nv_fund",X$3,$A416))</x:f>
        <x:v>#NAME?</x:v>
      </x:c>
      <x:c r="Y416" s="146" t="e">
        <x:f>IF($A416="","",[1]!thsiFinD("ths_adjustment_nv_fund",Y$3,$A416))</x:f>
        <x:v>#NAME?</x:v>
      </x:c>
      <x:c r="Z416" s="146" t="e">
        <x:f>IF($A416="","",[1]!thsiFinD("ths_adjustment_nv_fund",Z$3,$A416))</x:f>
        <x:v>#NAME?</x:v>
      </x:c>
      <x:c r="AA416" s="146" t="e">
        <x:f>IF($A416="","",[1]!thsiFinD("ths_adjustment_nv_fund",AA$3,$A416))</x:f>
        <x:v>#NAME?</x:v>
      </x:c>
    </x:row>
    <x:row r="417">
      <x:c r="B417" s="146" t="e">
        <x:f>IF($A417="","",[1]!thsiFinD("ths_adjustment_nv_fund",B$3,$A417))</x:f>
        <x:v>#NAME?</x:v>
      </x:c>
      <x:c r="C417" s="146" t="e">
        <x:f>IF($A417="","",[1]!thsiFinD("ths_adjustment_nv_fund",C$3,$A417))</x:f>
        <x:v>#NAME?</x:v>
      </x:c>
      <x:c r="D417" s="146" t="e">
        <x:f>IF($A417="","",[1]!thsiFinD("ths_adjustment_nv_fund",D$3,$A417))</x:f>
        <x:v>#NAME?</x:v>
      </x:c>
      <x:c r="E417" s="146" t="e">
        <x:f>IF($A417="","",[1]!thsiFinD("ths_adjustment_nv_fund",E$3,$A417))</x:f>
        <x:v>#NAME?</x:v>
      </x:c>
      <x:c r="F417" s="146" t="e">
        <x:f>IF($A417="","",[1]!thsiFinD("ths_adjustment_nv_fund",F$3,$A417))</x:f>
        <x:v>#NAME?</x:v>
      </x:c>
      <x:c r="G417" s="146" t="e">
        <x:f>IF($A417="","",[1]!thsiFinD("ths_adjustment_nv_fund",G$3,$A417))</x:f>
        <x:v>#NAME?</x:v>
      </x:c>
      <x:c r="H417" s="146" t="e">
        <x:f>IF($A417="","",[1]!thsiFinD("ths_adjustment_nv_fund",H$3,$A417))</x:f>
        <x:v>#NAME?</x:v>
      </x:c>
      <x:c r="I417" s="146" t="e">
        <x:f>IF($A417="","",[1]!thsiFinD("ths_adjustment_nv_fund",I$3,$A417))</x:f>
        <x:v>#NAME?</x:v>
      </x:c>
      <x:c r="J417" s="146" t="e">
        <x:f>IF($A417="","",[1]!thsiFinD("ths_adjustment_nv_fund",J$3,$A417))</x:f>
        <x:v>#NAME?</x:v>
      </x:c>
      <x:c r="K417" s="146" t="e">
        <x:f>IF($A417="","",[1]!thsiFinD("ths_adjustment_nv_fund",K$3,$A417))</x:f>
        <x:v>#NAME?</x:v>
      </x:c>
      <x:c r="L417" s="146" t="e">
        <x:f>IF($A417="","",[1]!thsiFinD("ths_adjustment_nv_fund",L$3,$A417))</x:f>
        <x:v>#NAME?</x:v>
      </x:c>
      <x:c r="M417" s="146" t="e">
        <x:f>IF($A417="","",[1]!thsiFinD("ths_adjustment_nv_fund",M$3,$A417))</x:f>
        <x:v>#NAME?</x:v>
      </x:c>
      <x:c r="N417" s="146" t="e">
        <x:f>IF($A417="","",[1]!thsiFinD("ths_adjustment_nv_fund",N$3,$A417))</x:f>
        <x:v>#NAME?</x:v>
      </x:c>
      <x:c r="O417" s="146" t="e">
        <x:f>IF($A417="","",[1]!thsiFinD("ths_adjustment_nv_fund",O$3,$A417))</x:f>
        <x:v>#NAME?</x:v>
      </x:c>
      <x:c r="P417" s="146" t="e">
        <x:f>IF($A417="","",[1]!thsiFinD("ths_adjustment_nv_fund",P$3,$A417))</x:f>
        <x:v>#NAME?</x:v>
      </x:c>
      <x:c r="Q417" s="146" t="e">
        <x:f>IF($A417="","",[1]!thsiFinD("ths_adjustment_nv_fund",Q$3,$A417))</x:f>
        <x:v>#NAME?</x:v>
      </x:c>
      <x:c r="R417" s="146" t="e">
        <x:f>IF($A417="","",[1]!thsiFinD("ths_adjustment_nv_fund",R$3,$A417))</x:f>
        <x:v>#NAME?</x:v>
      </x:c>
      <x:c r="S417" s="146" t="e">
        <x:f>IF($A417="","",[1]!thsiFinD("ths_adjustment_nv_fund",S$3,$A417))</x:f>
        <x:v>#NAME?</x:v>
      </x:c>
      <x:c r="T417" s="146" t="e">
        <x:f>IF($A417="","",[1]!thsiFinD("ths_adjustment_nv_fund",T$3,$A417))</x:f>
        <x:v>#NAME?</x:v>
      </x:c>
      <x:c r="U417" s="146" t="e">
        <x:f>IF($A417="","",[1]!thsiFinD("ths_adjustment_nv_fund",U$3,$A417))</x:f>
        <x:v>#NAME?</x:v>
      </x:c>
      <x:c r="V417" s="146" t="e">
        <x:f>IF($A417="","",[1]!thsiFinD("ths_adjustment_nv_fund",V$3,$A417))</x:f>
        <x:v>#NAME?</x:v>
      </x:c>
      <x:c r="W417" s="146" t="e">
        <x:f>IF($A417="","",[1]!thsiFinD("ths_adjustment_nv_fund",W$3,$A417))</x:f>
        <x:v>#NAME?</x:v>
      </x:c>
      <x:c r="X417" s="146" t="e">
        <x:f>IF($A417="","",[1]!thsiFinD("ths_adjustment_nv_fund",X$3,$A417))</x:f>
        <x:v>#NAME?</x:v>
      </x:c>
      <x:c r="Y417" s="146" t="e">
        <x:f>IF($A417="","",[1]!thsiFinD("ths_adjustment_nv_fund",Y$3,$A417))</x:f>
        <x:v>#NAME?</x:v>
      </x:c>
      <x:c r="Z417" s="146" t="e">
        <x:f>IF($A417="","",[1]!thsiFinD("ths_adjustment_nv_fund",Z$3,$A417))</x:f>
        <x:v>#NAME?</x:v>
      </x:c>
      <x:c r="AA417" s="146" t="e">
        <x:f>IF($A417="","",[1]!thsiFinD("ths_adjustment_nv_fund",AA$3,$A417))</x:f>
        <x:v>#NAME?</x:v>
      </x:c>
    </x:row>
    <x:row r="418">
      <x:c r="B418" s="146" t="e">
        <x:f>IF($A418="","",[1]!thsiFinD("ths_adjustment_nv_fund",B$3,$A418))</x:f>
        <x:v>#NAME?</x:v>
      </x:c>
      <x:c r="C418" s="146" t="e">
        <x:f>IF($A418="","",[1]!thsiFinD("ths_adjustment_nv_fund",C$3,$A418))</x:f>
        <x:v>#NAME?</x:v>
      </x:c>
      <x:c r="D418" s="146" t="e">
        <x:f>IF($A418="","",[1]!thsiFinD("ths_adjustment_nv_fund",D$3,$A418))</x:f>
        <x:v>#NAME?</x:v>
      </x:c>
      <x:c r="E418" s="146" t="e">
        <x:f>IF($A418="","",[1]!thsiFinD("ths_adjustment_nv_fund",E$3,$A418))</x:f>
        <x:v>#NAME?</x:v>
      </x:c>
      <x:c r="F418" s="146" t="e">
        <x:f>IF($A418="","",[1]!thsiFinD("ths_adjustment_nv_fund",F$3,$A418))</x:f>
        <x:v>#NAME?</x:v>
      </x:c>
      <x:c r="G418" s="146" t="e">
        <x:f>IF($A418="","",[1]!thsiFinD("ths_adjustment_nv_fund",G$3,$A418))</x:f>
        <x:v>#NAME?</x:v>
      </x:c>
      <x:c r="H418" s="146" t="e">
        <x:f>IF($A418="","",[1]!thsiFinD("ths_adjustment_nv_fund",H$3,$A418))</x:f>
        <x:v>#NAME?</x:v>
      </x:c>
      <x:c r="I418" s="146" t="e">
        <x:f>IF($A418="","",[1]!thsiFinD("ths_adjustment_nv_fund",I$3,$A418))</x:f>
        <x:v>#NAME?</x:v>
      </x:c>
      <x:c r="J418" s="146" t="e">
        <x:f>IF($A418="","",[1]!thsiFinD("ths_adjustment_nv_fund",J$3,$A418))</x:f>
        <x:v>#NAME?</x:v>
      </x:c>
      <x:c r="K418" s="146" t="e">
        <x:f>IF($A418="","",[1]!thsiFinD("ths_adjustment_nv_fund",K$3,$A418))</x:f>
        <x:v>#NAME?</x:v>
      </x:c>
      <x:c r="L418" s="146" t="e">
        <x:f>IF($A418="","",[1]!thsiFinD("ths_adjustment_nv_fund",L$3,$A418))</x:f>
        <x:v>#NAME?</x:v>
      </x:c>
      <x:c r="M418" s="146" t="e">
        <x:f>IF($A418="","",[1]!thsiFinD("ths_adjustment_nv_fund",M$3,$A418))</x:f>
        <x:v>#NAME?</x:v>
      </x:c>
      <x:c r="N418" s="146" t="e">
        <x:f>IF($A418="","",[1]!thsiFinD("ths_adjustment_nv_fund",N$3,$A418))</x:f>
        <x:v>#NAME?</x:v>
      </x:c>
      <x:c r="O418" s="146" t="e">
        <x:f>IF($A418="","",[1]!thsiFinD("ths_adjustment_nv_fund",O$3,$A418))</x:f>
        <x:v>#NAME?</x:v>
      </x:c>
      <x:c r="P418" s="146" t="e">
        <x:f>IF($A418="","",[1]!thsiFinD("ths_adjustment_nv_fund",P$3,$A418))</x:f>
        <x:v>#NAME?</x:v>
      </x:c>
      <x:c r="Q418" s="146" t="e">
        <x:f>IF($A418="","",[1]!thsiFinD("ths_adjustment_nv_fund",Q$3,$A418))</x:f>
        <x:v>#NAME?</x:v>
      </x:c>
      <x:c r="R418" s="146" t="e">
        <x:f>IF($A418="","",[1]!thsiFinD("ths_adjustment_nv_fund",R$3,$A418))</x:f>
        <x:v>#NAME?</x:v>
      </x:c>
      <x:c r="S418" s="146" t="e">
        <x:f>IF($A418="","",[1]!thsiFinD("ths_adjustment_nv_fund",S$3,$A418))</x:f>
        <x:v>#NAME?</x:v>
      </x:c>
      <x:c r="T418" s="146" t="e">
        <x:f>IF($A418="","",[1]!thsiFinD("ths_adjustment_nv_fund",T$3,$A418))</x:f>
        <x:v>#NAME?</x:v>
      </x:c>
      <x:c r="U418" s="146" t="e">
        <x:f>IF($A418="","",[1]!thsiFinD("ths_adjustment_nv_fund",U$3,$A418))</x:f>
        <x:v>#NAME?</x:v>
      </x:c>
      <x:c r="V418" s="146" t="e">
        <x:f>IF($A418="","",[1]!thsiFinD("ths_adjustment_nv_fund",V$3,$A418))</x:f>
        <x:v>#NAME?</x:v>
      </x:c>
      <x:c r="W418" s="146" t="e">
        <x:f>IF($A418="","",[1]!thsiFinD("ths_adjustment_nv_fund",W$3,$A418))</x:f>
        <x:v>#NAME?</x:v>
      </x:c>
      <x:c r="X418" s="146" t="e">
        <x:f>IF($A418="","",[1]!thsiFinD("ths_adjustment_nv_fund",X$3,$A418))</x:f>
        <x:v>#NAME?</x:v>
      </x:c>
      <x:c r="Y418" s="146" t="e">
        <x:f>IF($A418="","",[1]!thsiFinD("ths_adjustment_nv_fund",Y$3,$A418))</x:f>
        <x:v>#NAME?</x:v>
      </x:c>
      <x:c r="Z418" s="146" t="e">
        <x:f>IF($A418="","",[1]!thsiFinD("ths_adjustment_nv_fund",Z$3,$A418))</x:f>
        <x:v>#NAME?</x:v>
      </x:c>
      <x:c r="AA418" s="146" t="e">
        <x:f>IF($A418="","",[1]!thsiFinD("ths_adjustment_nv_fund",AA$3,$A418))</x:f>
        <x:v>#NAME?</x:v>
      </x:c>
    </x:row>
    <x:row r="419">
      <x:c r="B419" s="146" t="e">
        <x:f>IF($A419="","",[1]!thsiFinD("ths_adjustment_nv_fund",B$3,$A419))</x:f>
        <x:v>#NAME?</x:v>
      </x:c>
      <x:c r="C419" s="146" t="e">
        <x:f>IF($A419="","",[1]!thsiFinD("ths_adjustment_nv_fund",C$3,$A419))</x:f>
        <x:v>#NAME?</x:v>
      </x:c>
      <x:c r="D419" s="146" t="e">
        <x:f>IF($A419="","",[1]!thsiFinD("ths_adjustment_nv_fund",D$3,$A419))</x:f>
        <x:v>#NAME?</x:v>
      </x:c>
      <x:c r="E419" s="146" t="e">
        <x:f>IF($A419="","",[1]!thsiFinD("ths_adjustment_nv_fund",E$3,$A419))</x:f>
        <x:v>#NAME?</x:v>
      </x:c>
      <x:c r="F419" s="146" t="e">
        <x:f>IF($A419="","",[1]!thsiFinD("ths_adjustment_nv_fund",F$3,$A419))</x:f>
        <x:v>#NAME?</x:v>
      </x:c>
      <x:c r="G419" s="146" t="e">
        <x:f>IF($A419="","",[1]!thsiFinD("ths_adjustment_nv_fund",G$3,$A419))</x:f>
        <x:v>#NAME?</x:v>
      </x:c>
      <x:c r="H419" s="146" t="e">
        <x:f>IF($A419="","",[1]!thsiFinD("ths_adjustment_nv_fund",H$3,$A419))</x:f>
        <x:v>#NAME?</x:v>
      </x:c>
      <x:c r="I419" s="146" t="e">
        <x:f>IF($A419="","",[1]!thsiFinD("ths_adjustment_nv_fund",I$3,$A419))</x:f>
        <x:v>#NAME?</x:v>
      </x:c>
      <x:c r="J419" s="146" t="e">
        <x:f>IF($A419="","",[1]!thsiFinD("ths_adjustment_nv_fund",J$3,$A419))</x:f>
        <x:v>#NAME?</x:v>
      </x:c>
      <x:c r="K419" s="146" t="e">
        <x:f>IF($A419="","",[1]!thsiFinD("ths_adjustment_nv_fund",K$3,$A419))</x:f>
        <x:v>#NAME?</x:v>
      </x:c>
      <x:c r="L419" s="146" t="e">
        <x:f>IF($A419="","",[1]!thsiFinD("ths_adjustment_nv_fund",L$3,$A419))</x:f>
        <x:v>#NAME?</x:v>
      </x:c>
      <x:c r="M419" s="146" t="e">
        <x:f>IF($A419="","",[1]!thsiFinD("ths_adjustment_nv_fund",M$3,$A419))</x:f>
        <x:v>#NAME?</x:v>
      </x:c>
      <x:c r="N419" s="146" t="e">
        <x:f>IF($A419="","",[1]!thsiFinD("ths_adjustment_nv_fund",N$3,$A419))</x:f>
        <x:v>#NAME?</x:v>
      </x:c>
      <x:c r="O419" s="146" t="e">
        <x:f>IF($A419="","",[1]!thsiFinD("ths_adjustment_nv_fund",O$3,$A419))</x:f>
        <x:v>#NAME?</x:v>
      </x:c>
      <x:c r="P419" s="146" t="e">
        <x:f>IF($A419="","",[1]!thsiFinD("ths_adjustment_nv_fund",P$3,$A419))</x:f>
        <x:v>#NAME?</x:v>
      </x:c>
      <x:c r="Q419" s="146" t="e">
        <x:f>IF($A419="","",[1]!thsiFinD("ths_adjustment_nv_fund",Q$3,$A419))</x:f>
        <x:v>#NAME?</x:v>
      </x:c>
      <x:c r="R419" s="146" t="e">
        <x:f>IF($A419="","",[1]!thsiFinD("ths_adjustment_nv_fund",R$3,$A419))</x:f>
        <x:v>#NAME?</x:v>
      </x:c>
      <x:c r="S419" s="146" t="e">
        <x:f>IF($A419="","",[1]!thsiFinD("ths_adjustment_nv_fund",S$3,$A419))</x:f>
        <x:v>#NAME?</x:v>
      </x:c>
      <x:c r="T419" s="146" t="e">
        <x:f>IF($A419="","",[1]!thsiFinD("ths_adjustment_nv_fund",T$3,$A419))</x:f>
        <x:v>#NAME?</x:v>
      </x:c>
      <x:c r="U419" s="146" t="e">
        <x:f>IF($A419="","",[1]!thsiFinD("ths_adjustment_nv_fund",U$3,$A419))</x:f>
        <x:v>#NAME?</x:v>
      </x:c>
      <x:c r="V419" s="146" t="e">
        <x:f>IF($A419="","",[1]!thsiFinD("ths_adjustment_nv_fund",V$3,$A419))</x:f>
        <x:v>#NAME?</x:v>
      </x:c>
      <x:c r="W419" s="146" t="e">
        <x:f>IF($A419="","",[1]!thsiFinD("ths_adjustment_nv_fund",W$3,$A419))</x:f>
        <x:v>#NAME?</x:v>
      </x:c>
      <x:c r="X419" s="146" t="e">
        <x:f>IF($A419="","",[1]!thsiFinD("ths_adjustment_nv_fund",X$3,$A419))</x:f>
        <x:v>#NAME?</x:v>
      </x:c>
      <x:c r="Y419" s="146" t="e">
        <x:f>IF($A419="","",[1]!thsiFinD("ths_adjustment_nv_fund",Y$3,$A419))</x:f>
        <x:v>#NAME?</x:v>
      </x:c>
      <x:c r="Z419" s="146" t="e">
        <x:f>IF($A419="","",[1]!thsiFinD("ths_adjustment_nv_fund",Z$3,$A419))</x:f>
        <x:v>#NAME?</x:v>
      </x:c>
      <x:c r="AA419" s="146" t="e">
        <x:f>IF($A419="","",[1]!thsiFinD("ths_adjustment_nv_fund",AA$3,$A419))</x:f>
        <x:v>#NAME?</x:v>
      </x:c>
    </x:row>
    <x:row r="420">
      <x:c r="B420" s="146" t="e">
        <x:f>IF($A420="","",[1]!thsiFinD("ths_adjustment_nv_fund",B$3,$A420))</x:f>
        <x:v>#NAME?</x:v>
      </x:c>
      <x:c r="C420" s="146" t="e">
        <x:f>IF($A420="","",[1]!thsiFinD("ths_adjustment_nv_fund",C$3,$A420))</x:f>
        <x:v>#NAME?</x:v>
      </x:c>
      <x:c r="D420" s="146" t="e">
        <x:f>IF($A420="","",[1]!thsiFinD("ths_adjustment_nv_fund",D$3,$A420))</x:f>
        <x:v>#NAME?</x:v>
      </x:c>
      <x:c r="E420" s="146" t="e">
        <x:f>IF($A420="","",[1]!thsiFinD("ths_adjustment_nv_fund",E$3,$A420))</x:f>
        <x:v>#NAME?</x:v>
      </x:c>
      <x:c r="F420" s="146" t="e">
        <x:f>IF($A420="","",[1]!thsiFinD("ths_adjustment_nv_fund",F$3,$A420))</x:f>
        <x:v>#NAME?</x:v>
      </x:c>
      <x:c r="G420" s="146" t="e">
        <x:f>IF($A420="","",[1]!thsiFinD("ths_adjustment_nv_fund",G$3,$A420))</x:f>
        <x:v>#NAME?</x:v>
      </x:c>
      <x:c r="H420" s="146" t="e">
        <x:f>IF($A420="","",[1]!thsiFinD("ths_adjustment_nv_fund",H$3,$A420))</x:f>
        <x:v>#NAME?</x:v>
      </x:c>
      <x:c r="I420" s="146" t="e">
        <x:f>IF($A420="","",[1]!thsiFinD("ths_adjustment_nv_fund",I$3,$A420))</x:f>
        <x:v>#NAME?</x:v>
      </x:c>
      <x:c r="J420" s="146" t="e">
        <x:f>IF($A420="","",[1]!thsiFinD("ths_adjustment_nv_fund",J$3,$A420))</x:f>
        <x:v>#NAME?</x:v>
      </x:c>
      <x:c r="K420" s="146" t="e">
        <x:f>IF($A420="","",[1]!thsiFinD("ths_adjustment_nv_fund",K$3,$A420))</x:f>
        <x:v>#NAME?</x:v>
      </x:c>
      <x:c r="L420" s="146" t="e">
        <x:f>IF($A420="","",[1]!thsiFinD("ths_adjustment_nv_fund",L$3,$A420))</x:f>
        <x:v>#NAME?</x:v>
      </x:c>
      <x:c r="M420" s="146" t="e">
        <x:f>IF($A420="","",[1]!thsiFinD("ths_adjustment_nv_fund",M$3,$A420))</x:f>
        <x:v>#NAME?</x:v>
      </x:c>
      <x:c r="N420" s="146" t="e">
        <x:f>IF($A420="","",[1]!thsiFinD("ths_adjustment_nv_fund",N$3,$A420))</x:f>
        <x:v>#NAME?</x:v>
      </x:c>
      <x:c r="O420" s="146" t="e">
        <x:f>IF($A420="","",[1]!thsiFinD("ths_adjustment_nv_fund",O$3,$A420))</x:f>
        <x:v>#NAME?</x:v>
      </x:c>
      <x:c r="P420" s="146" t="e">
        <x:f>IF($A420="","",[1]!thsiFinD("ths_adjustment_nv_fund",P$3,$A420))</x:f>
        <x:v>#NAME?</x:v>
      </x:c>
      <x:c r="Q420" s="146" t="e">
        <x:f>IF($A420="","",[1]!thsiFinD("ths_adjustment_nv_fund",Q$3,$A420))</x:f>
        <x:v>#NAME?</x:v>
      </x:c>
      <x:c r="R420" s="146" t="e">
        <x:f>IF($A420="","",[1]!thsiFinD("ths_adjustment_nv_fund",R$3,$A420))</x:f>
        <x:v>#NAME?</x:v>
      </x:c>
      <x:c r="S420" s="146" t="e">
        <x:f>IF($A420="","",[1]!thsiFinD("ths_adjustment_nv_fund",S$3,$A420))</x:f>
        <x:v>#NAME?</x:v>
      </x:c>
      <x:c r="T420" s="146" t="e">
        <x:f>IF($A420="","",[1]!thsiFinD("ths_adjustment_nv_fund",T$3,$A420))</x:f>
        <x:v>#NAME?</x:v>
      </x:c>
      <x:c r="U420" s="146" t="e">
        <x:f>IF($A420="","",[1]!thsiFinD("ths_adjustment_nv_fund",U$3,$A420))</x:f>
        <x:v>#NAME?</x:v>
      </x:c>
      <x:c r="V420" s="146" t="e">
        <x:f>IF($A420="","",[1]!thsiFinD("ths_adjustment_nv_fund",V$3,$A420))</x:f>
        <x:v>#NAME?</x:v>
      </x:c>
      <x:c r="W420" s="146" t="e">
        <x:f>IF($A420="","",[1]!thsiFinD("ths_adjustment_nv_fund",W$3,$A420))</x:f>
        <x:v>#NAME?</x:v>
      </x:c>
      <x:c r="X420" s="146" t="e">
        <x:f>IF($A420="","",[1]!thsiFinD("ths_adjustment_nv_fund",X$3,$A420))</x:f>
        <x:v>#NAME?</x:v>
      </x:c>
      <x:c r="Y420" s="146" t="e">
        <x:f>IF($A420="","",[1]!thsiFinD("ths_adjustment_nv_fund",Y$3,$A420))</x:f>
        <x:v>#NAME?</x:v>
      </x:c>
      <x:c r="Z420" s="146" t="e">
        <x:f>IF($A420="","",[1]!thsiFinD("ths_adjustment_nv_fund",Z$3,$A420))</x:f>
        <x:v>#NAME?</x:v>
      </x:c>
      <x:c r="AA420" s="146" t="e">
        <x:f>IF($A420="","",[1]!thsiFinD("ths_adjustment_nv_fund",AA$3,$A420))</x:f>
        <x:v>#NAME?</x:v>
      </x:c>
    </x:row>
    <x:row r="421">
      <x:c r="B421" s="146" t="e">
        <x:f>IF($A421="","",[1]!thsiFinD("ths_adjustment_nv_fund",B$3,$A421))</x:f>
        <x:v>#NAME?</x:v>
      </x:c>
      <x:c r="C421" s="146" t="e">
        <x:f>IF($A421="","",[1]!thsiFinD("ths_adjustment_nv_fund",C$3,$A421))</x:f>
        <x:v>#NAME?</x:v>
      </x:c>
      <x:c r="D421" s="146" t="e">
        <x:f>IF($A421="","",[1]!thsiFinD("ths_adjustment_nv_fund",D$3,$A421))</x:f>
        <x:v>#NAME?</x:v>
      </x:c>
      <x:c r="E421" s="146" t="e">
        <x:f>IF($A421="","",[1]!thsiFinD("ths_adjustment_nv_fund",E$3,$A421))</x:f>
        <x:v>#NAME?</x:v>
      </x:c>
      <x:c r="F421" s="146" t="e">
        <x:f>IF($A421="","",[1]!thsiFinD("ths_adjustment_nv_fund",F$3,$A421))</x:f>
        <x:v>#NAME?</x:v>
      </x:c>
      <x:c r="G421" s="146" t="e">
        <x:f>IF($A421="","",[1]!thsiFinD("ths_adjustment_nv_fund",G$3,$A421))</x:f>
        <x:v>#NAME?</x:v>
      </x:c>
      <x:c r="H421" s="146" t="e">
        <x:f>IF($A421="","",[1]!thsiFinD("ths_adjustment_nv_fund",H$3,$A421))</x:f>
        <x:v>#NAME?</x:v>
      </x:c>
      <x:c r="I421" s="146" t="e">
        <x:f>IF($A421="","",[1]!thsiFinD("ths_adjustment_nv_fund",I$3,$A421))</x:f>
        <x:v>#NAME?</x:v>
      </x:c>
      <x:c r="J421" s="146" t="e">
        <x:f>IF($A421="","",[1]!thsiFinD("ths_adjustment_nv_fund",J$3,$A421))</x:f>
        <x:v>#NAME?</x:v>
      </x:c>
      <x:c r="K421" s="146" t="e">
        <x:f>IF($A421="","",[1]!thsiFinD("ths_adjustment_nv_fund",K$3,$A421))</x:f>
        <x:v>#NAME?</x:v>
      </x:c>
      <x:c r="L421" s="146" t="e">
        <x:f>IF($A421="","",[1]!thsiFinD("ths_adjustment_nv_fund",L$3,$A421))</x:f>
        <x:v>#NAME?</x:v>
      </x:c>
      <x:c r="M421" s="146" t="e">
        <x:f>IF($A421="","",[1]!thsiFinD("ths_adjustment_nv_fund",M$3,$A421))</x:f>
        <x:v>#NAME?</x:v>
      </x:c>
      <x:c r="N421" s="146" t="e">
        <x:f>IF($A421="","",[1]!thsiFinD("ths_adjustment_nv_fund",N$3,$A421))</x:f>
        <x:v>#NAME?</x:v>
      </x:c>
      <x:c r="O421" s="146" t="e">
        <x:f>IF($A421="","",[1]!thsiFinD("ths_adjustment_nv_fund",O$3,$A421))</x:f>
        <x:v>#NAME?</x:v>
      </x:c>
      <x:c r="P421" s="146" t="e">
        <x:f>IF($A421="","",[1]!thsiFinD("ths_adjustment_nv_fund",P$3,$A421))</x:f>
        <x:v>#NAME?</x:v>
      </x:c>
      <x:c r="Q421" s="146" t="e">
        <x:f>IF($A421="","",[1]!thsiFinD("ths_adjustment_nv_fund",Q$3,$A421))</x:f>
        <x:v>#NAME?</x:v>
      </x:c>
      <x:c r="R421" s="146" t="e">
        <x:f>IF($A421="","",[1]!thsiFinD("ths_adjustment_nv_fund",R$3,$A421))</x:f>
        <x:v>#NAME?</x:v>
      </x:c>
      <x:c r="S421" s="146" t="e">
        <x:f>IF($A421="","",[1]!thsiFinD("ths_adjustment_nv_fund",S$3,$A421))</x:f>
        <x:v>#NAME?</x:v>
      </x:c>
      <x:c r="T421" s="146" t="e">
        <x:f>IF($A421="","",[1]!thsiFinD("ths_adjustment_nv_fund",T$3,$A421))</x:f>
        <x:v>#NAME?</x:v>
      </x:c>
      <x:c r="U421" s="146" t="e">
        <x:f>IF($A421="","",[1]!thsiFinD("ths_adjustment_nv_fund",U$3,$A421))</x:f>
        <x:v>#NAME?</x:v>
      </x:c>
      <x:c r="V421" s="146" t="e">
        <x:f>IF($A421="","",[1]!thsiFinD("ths_adjustment_nv_fund",V$3,$A421))</x:f>
        <x:v>#NAME?</x:v>
      </x:c>
      <x:c r="W421" s="146" t="e">
        <x:f>IF($A421="","",[1]!thsiFinD("ths_adjustment_nv_fund",W$3,$A421))</x:f>
        <x:v>#NAME?</x:v>
      </x:c>
      <x:c r="X421" s="146" t="e">
        <x:f>IF($A421="","",[1]!thsiFinD("ths_adjustment_nv_fund",X$3,$A421))</x:f>
        <x:v>#NAME?</x:v>
      </x:c>
      <x:c r="Y421" s="146" t="e">
        <x:f>IF($A421="","",[1]!thsiFinD("ths_adjustment_nv_fund",Y$3,$A421))</x:f>
        <x:v>#NAME?</x:v>
      </x:c>
      <x:c r="Z421" s="146" t="e">
        <x:f>IF($A421="","",[1]!thsiFinD("ths_adjustment_nv_fund",Z$3,$A421))</x:f>
        <x:v>#NAME?</x:v>
      </x:c>
      <x:c r="AA421" s="146" t="e">
        <x:f>IF($A421="","",[1]!thsiFinD("ths_adjustment_nv_fund",AA$3,$A421))</x:f>
        <x:v>#NAME?</x:v>
      </x:c>
    </x:row>
    <x:row r="422">
      <x:c r="B422" s="146" t="e">
        <x:f>IF($A422="","",[1]!thsiFinD("ths_adjustment_nv_fund",B$3,$A422))</x:f>
        <x:v>#NAME?</x:v>
      </x:c>
      <x:c r="C422" s="146" t="e">
        <x:f>IF($A422="","",[1]!thsiFinD("ths_adjustment_nv_fund",C$3,$A422))</x:f>
        <x:v>#NAME?</x:v>
      </x:c>
      <x:c r="D422" s="146" t="e">
        <x:f>IF($A422="","",[1]!thsiFinD("ths_adjustment_nv_fund",D$3,$A422))</x:f>
        <x:v>#NAME?</x:v>
      </x:c>
      <x:c r="E422" s="146" t="e">
        <x:f>IF($A422="","",[1]!thsiFinD("ths_adjustment_nv_fund",E$3,$A422))</x:f>
        <x:v>#NAME?</x:v>
      </x:c>
      <x:c r="F422" s="146" t="e">
        <x:f>IF($A422="","",[1]!thsiFinD("ths_adjustment_nv_fund",F$3,$A422))</x:f>
        <x:v>#NAME?</x:v>
      </x:c>
      <x:c r="G422" s="146" t="e">
        <x:f>IF($A422="","",[1]!thsiFinD("ths_adjustment_nv_fund",G$3,$A422))</x:f>
        <x:v>#NAME?</x:v>
      </x:c>
      <x:c r="H422" s="146" t="e">
        <x:f>IF($A422="","",[1]!thsiFinD("ths_adjustment_nv_fund",H$3,$A422))</x:f>
        <x:v>#NAME?</x:v>
      </x:c>
      <x:c r="I422" s="146" t="e">
        <x:f>IF($A422="","",[1]!thsiFinD("ths_adjustment_nv_fund",I$3,$A422))</x:f>
        <x:v>#NAME?</x:v>
      </x:c>
      <x:c r="J422" s="146" t="e">
        <x:f>IF($A422="","",[1]!thsiFinD("ths_adjustment_nv_fund",J$3,$A422))</x:f>
        <x:v>#NAME?</x:v>
      </x:c>
      <x:c r="K422" s="146" t="e">
        <x:f>IF($A422="","",[1]!thsiFinD("ths_adjustment_nv_fund",K$3,$A422))</x:f>
        <x:v>#NAME?</x:v>
      </x:c>
      <x:c r="L422" s="146" t="e">
        <x:f>IF($A422="","",[1]!thsiFinD("ths_adjustment_nv_fund",L$3,$A422))</x:f>
        <x:v>#NAME?</x:v>
      </x:c>
      <x:c r="M422" s="146" t="e">
        <x:f>IF($A422="","",[1]!thsiFinD("ths_adjustment_nv_fund",M$3,$A422))</x:f>
        <x:v>#NAME?</x:v>
      </x:c>
      <x:c r="N422" s="146" t="e">
        <x:f>IF($A422="","",[1]!thsiFinD("ths_adjustment_nv_fund",N$3,$A422))</x:f>
        <x:v>#NAME?</x:v>
      </x:c>
      <x:c r="O422" s="146" t="e">
        <x:f>IF($A422="","",[1]!thsiFinD("ths_adjustment_nv_fund",O$3,$A422))</x:f>
        <x:v>#NAME?</x:v>
      </x:c>
      <x:c r="P422" s="146" t="e">
        <x:f>IF($A422="","",[1]!thsiFinD("ths_adjustment_nv_fund",P$3,$A422))</x:f>
        <x:v>#NAME?</x:v>
      </x:c>
      <x:c r="Q422" s="146" t="e">
        <x:f>IF($A422="","",[1]!thsiFinD("ths_adjustment_nv_fund",Q$3,$A422))</x:f>
        <x:v>#NAME?</x:v>
      </x:c>
      <x:c r="R422" s="146" t="e">
        <x:f>IF($A422="","",[1]!thsiFinD("ths_adjustment_nv_fund",R$3,$A422))</x:f>
        <x:v>#NAME?</x:v>
      </x:c>
      <x:c r="S422" s="146" t="e">
        <x:f>IF($A422="","",[1]!thsiFinD("ths_adjustment_nv_fund",S$3,$A422))</x:f>
        <x:v>#NAME?</x:v>
      </x:c>
      <x:c r="T422" s="146" t="e">
        <x:f>IF($A422="","",[1]!thsiFinD("ths_adjustment_nv_fund",T$3,$A422))</x:f>
        <x:v>#NAME?</x:v>
      </x:c>
      <x:c r="U422" s="146" t="e">
        <x:f>IF($A422="","",[1]!thsiFinD("ths_adjustment_nv_fund",U$3,$A422))</x:f>
        <x:v>#NAME?</x:v>
      </x:c>
      <x:c r="V422" s="146" t="e">
        <x:f>IF($A422="","",[1]!thsiFinD("ths_adjustment_nv_fund",V$3,$A422))</x:f>
        <x:v>#NAME?</x:v>
      </x:c>
      <x:c r="W422" s="146" t="e">
        <x:f>IF($A422="","",[1]!thsiFinD("ths_adjustment_nv_fund",W$3,$A422))</x:f>
        <x:v>#NAME?</x:v>
      </x:c>
      <x:c r="X422" s="146" t="e">
        <x:f>IF($A422="","",[1]!thsiFinD("ths_adjustment_nv_fund",X$3,$A422))</x:f>
        <x:v>#NAME?</x:v>
      </x:c>
      <x:c r="Y422" s="146" t="e">
        <x:f>IF($A422="","",[1]!thsiFinD("ths_adjustment_nv_fund",Y$3,$A422))</x:f>
        <x:v>#NAME?</x:v>
      </x:c>
      <x:c r="Z422" s="146" t="e">
        <x:f>IF($A422="","",[1]!thsiFinD("ths_adjustment_nv_fund",Z$3,$A422))</x:f>
        <x:v>#NAME?</x:v>
      </x:c>
      <x:c r="AA422" s="146" t="e">
        <x:f>IF($A422="","",[1]!thsiFinD("ths_adjustment_nv_fund",AA$3,$A422))</x:f>
        <x:v>#NAME?</x:v>
      </x:c>
    </x:row>
    <x:row r="423">
      <x:c r="B423" s="146" t="e">
        <x:f>IF($A423="","",[1]!thsiFinD("ths_adjustment_nv_fund",B$3,$A423))</x:f>
        <x:v>#NAME?</x:v>
      </x:c>
      <x:c r="C423" s="146" t="e">
        <x:f>IF($A423="","",[1]!thsiFinD("ths_adjustment_nv_fund",C$3,$A423))</x:f>
        <x:v>#NAME?</x:v>
      </x:c>
      <x:c r="D423" s="146" t="e">
        <x:f>IF($A423="","",[1]!thsiFinD("ths_adjustment_nv_fund",D$3,$A423))</x:f>
        <x:v>#NAME?</x:v>
      </x:c>
      <x:c r="E423" s="146" t="e">
        <x:f>IF($A423="","",[1]!thsiFinD("ths_adjustment_nv_fund",E$3,$A423))</x:f>
        <x:v>#NAME?</x:v>
      </x:c>
      <x:c r="F423" s="146" t="e">
        <x:f>IF($A423="","",[1]!thsiFinD("ths_adjustment_nv_fund",F$3,$A423))</x:f>
        <x:v>#NAME?</x:v>
      </x:c>
      <x:c r="G423" s="146" t="e">
        <x:f>IF($A423="","",[1]!thsiFinD("ths_adjustment_nv_fund",G$3,$A423))</x:f>
        <x:v>#NAME?</x:v>
      </x:c>
      <x:c r="H423" s="146" t="e">
        <x:f>IF($A423="","",[1]!thsiFinD("ths_adjustment_nv_fund",H$3,$A423))</x:f>
        <x:v>#NAME?</x:v>
      </x:c>
      <x:c r="I423" s="146" t="e">
        <x:f>IF($A423="","",[1]!thsiFinD("ths_adjustment_nv_fund",I$3,$A423))</x:f>
        <x:v>#NAME?</x:v>
      </x:c>
      <x:c r="J423" s="146" t="e">
        <x:f>IF($A423="","",[1]!thsiFinD("ths_adjustment_nv_fund",J$3,$A423))</x:f>
        <x:v>#NAME?</x:v>
      </x:c>
      <x:c r="K423" s="146" t="e">
        <x:f>IF($A423="","",[1]!thsiFinD("ths_adjustment_nv_fund",K$3,$A423))</x:f>
        <x:v>#NAME?</x:v>
      </x:c>
      <x:c r="L423" s="146" t="e">
        <x:f>IF($A423="","",[1]!thsiFinD("ths_adjustment_nv_fund",L$3,$A423))</x:f>
        <x:v>#NAME?</x:v>
      </x:c>
      <x:c r="M423" s="146" t="e">
        <x:f>IF($A423="","",[1]!thsiFinD("ths_adjustment_nv_fund",M$3,$A423))</x:f>
        <x:v>#NAME?</x:v>
      </x:c>
      <x:c r="N423" s="146" t="e">
        <x:f>IF($A423="","",[1]!thsiFinD("ths_adjustment_nv_fund",N$3,$A423))</x:f>
        <x:v>#NAME?</x:v>
      </x:c>
      <x:c r="O423" s="146" t="e">
        <x:f>IF($A423="","",[1]!thsiFinD("ths_adjustment_nv_fund",O$3,$A423))</x:f>
        <x:v>#NAME?</x:v>
      </x:c>
      <x:c r="P423" s="146" t="e">
        <x:f>IF($A423="","",[1]!thsiFinD("ths_adjustment_nv_fund",P$3,$A423))</x:f>
        <x:v>#NAME?</x:v>
      </x:c>
      <x:c r="Q423" s="146" t="e">
        <x:f>IF($A423="","",[1]!thsiFinD("ths_adjustment_nv_fund",Q$3,$A423))</x:f>
        <x:v>#NAME?</x:v>
      </x:c>
      <x:c r="R423" s="146" t="e">
        <x:f>IF($A423="","",[1]!thsiFinD("ths_adjustment_nv_fund",R$3,$A423))</x:f>
        <x:v>#NAME?</x:v>
      </x:c>
      <x:c r="S423" s="146" t="e">
        <x:f>IF($A423="","",[1]!thsiFinD("ths_adjustment_nv_fund",S$3,$A423))</x:f>
        <x:v>#NAME?</x:v>
      </x:c>
      <x:c r="T423" s="146" t="e">
        <x:f>IF($A423="","",[1]!thsiFinD("ths_adjustment_nv_fund",T$3,$A423))</x:f>
        <x:v>#NAME?</x:v>
      </x:c>
      <x:c r="U423" s="146" t="e">
        <x:f>IF($A423="","",[1]!thsiFinD("ths_adjustment_nv_fund",U$3,$A423))</x:f>
        <x:v>#NAME?</x:v>
      </x:c>
      <x:c r="V423" s="146" t="e">
        <x:f>IF($A423="","",[1]!thsiFinD("ths_adjustment_nv_fund",V$3,$A423))</x:f>
        <x:v>#NAME?</x:v>
      </x:c>
      <x:c r="W423" s="146" t="e">
        <x:f>IF($A423="","",[1]!thsiFinD("ths_adjustment_nv_fund",W$3,$A423))</x:f>
        <x:v>#NAME?</x:v>
      </x:c>
      <x:c r="X423" s="146" t="e">
        <x:f>IF($A423="","",[1]!thsiFinD("ths_adjustment_nv_fund",X$3,$A423))</x:f>
        <x:v>#NAME?</x:v>
      </x:c>
      <x:c r="Y423" s="146" t="e">
        <x:f>IF($A423="","",[1]!thsiFinD("ths_adjustment_nv_fund",Y$3,$A423))</x:f>
        <x:v>#NAME?</x:v>
      </x:c>
      <x:c r="Z423" s="146" t="e">
        <x:f>IF($A423="","",[1]!thsiFinD("ths_adjustment_nv_fund",Z$3,$A423))</x:f>
        <x:v>#NAME?</x:v>
      </x:c>
      <x:c r="AA423" s="146" t="e">
        <x:f>IF($A423="","",[1]!thsiFinD("ths_adjustment_nv_fund",AA$3,$A423))</x:f>
        <x:v>#NAME?</x:v>
      </x:c>
    </x:row>
    <x:row r="424">
      <x:c r="B424" s="146" t="e">
        <x:f>IF($A424="","",[1]!thsiFinD("ths_adjustment_nv_fund",B$3,$A424))</x:f>
        <x:v>#NAME?</x:v>
      </x:c>
      <x:c r="C424" s="146" t="e">
        <x:f>IF($A424="","",[1]!thsiFinD("ths_adjustment_nv_fund",C$3,$A424))</x:f>
        <x:v>#NAME?</x:v>
      </x:c>
      <x:c r="D424" s="146" t="e">
        <x:f>IF($A424="","",[1]!thsiFinD("ths_adjustment_nv_fund",D$3,$A424))</x:f>
        <x:v>#NAME?</x:v>
      </x:c>
      <x:c r="E424" s="146" t="e">
        <x:f>IF($A424="","",[1]!thsiFinD("ths_adjustment_nv_fund",E$3,$A424))</x:f>
        <x:v>#NAME?</x:v>
      </x:c>
      <x:c r="F424" s="146" t="e">
        <x:f>IF($A424="","",[1]!thsiFinD("ths_adjustment_nv_fund",F$3,$A424))</x:f>
        <x:v>#NAME?</x:v>
      </x:c>
      <x:c r="G424" s="146" t="e">
        <x:f>IF($A424="","",[1]!thsiFinD("ths_adjustment_nv_fund",G$3,$A424))</x:f>
        <x:v>#NAME?</x:v>
      </x:c>
      <x:c r="H424" s="146" t="e">
        <x:f>IF($A424="","",[1]!thsiFinD("ths_adjustment_nv_fund",H$3,$A424))</x:f>
        <x:v>#NAME?</x:v>
      </x:c>
      <x:c r="I424" s="146" t="e">
        <x:f>IF($A424="","",[1]!thsiFinD("ths_adjustment_nv_fund",I$3,$A424))</x:f>
        <x:v>#NAME?</x:v>
      </x:c>
      <x:c r="J424" s="146" t="e">
        <x:f>IF($A424="","",[1]!thsiFinD("ths_adjustment_nv_fund",J$3,$A424))</x:f>
        <x:v>#NAME?</x:v>
      </x:c>
      <x:c r="K424" s="146" t="e">
        <x:f>IF($A424="","",[1]!thsiFinD("ths_adjustment_nv_fund",K$3,$A424))</x:f>
        <x:v>#NAME?</x:v>
      </x:c>
      <x:c r="L424" s="146" t="e">
        <x:f>IF($A424="","",[1]!thsiFinD("ths_adjustment_nv_fund",L$3,$A424))</x:f>
        <x:v>#NAME?</x:v>
      </x:c>
      <x:c r="M424" s="146" t="e">
        <x:f>IF($A424="","",[1]!thsiFinD("ths_adjustment_nv_fund",M$3,$A424))</x:f>
        <x:v>#NAME?</x:v>
      </x:c>
      <x:c r="N424" s="146" t="e">
        <x:f>IF($A424="","",[1]!thsiFinD("ths_adjustment_nv_fund",N$3,$A424))</x:f>
        <x:v>#NAME?</x:v>
      </x:c>
      <x:c r="O424" s="146" t="e">
        <x:f>IF($A424="","",[1]!thsiFinD("ths_adjustment_nv_fund",O$3,$A424))</x:f>
        <x:v>#NAME?</x:v>
      </x:c>
      <x:c r="P424" s="146" t="e">
        <x:f>IF($A424="","",[1]!thsiFinD("ths_adjustment_nv_fund",P$3,$A424))</x:f>
        <x:v>#NAME?</x:v>
      </x:c>
      <x:c r="Q424" s="146" t="e">
        <x:f>IF($A424="","",[1]!thsiFinD("ths_adjustment_nv_fund",Q$3,$A424))</x:f>
        <x:v>#NAME?</x:v>
      </x:c>
      <x:c r="R424" s="146" t="e">
        <x:f>IF($A424="","",[1]!thsiFinD("ths_adjustment_nv_fund",R$3,$A424))</x:f>
        <x:v>#NAME?</x:v>
      </x:c>
      <x:c r="S424" s="146" t="e">
        <x:f>IF($A424="","",[1]!thsiFinD("ths_adjustment_nv_fund",S$3,$A424))</x:f>
        <x:v>#NAME?</x:v>
      </x:c>
      <x:c r="T424" s="146" t="e">
        <x:f>IF($A424="","",[1]!thsiFinD("ths_adjustment_nv_fund",T$3,$A424))</x:f>
        <x:v>#NAME?</x:v>
      </x:c>
      <x:c r="U424" s="146" t="e">
        <x:f>IF($A424="","",[1]!thsiFinD("ths_adjustment_nv_fund",U$3,$A424))</x:f>
        <x:v>#NAME?</x:v>
      </x:c>
      <x:c r="V424" s="146" t="e">
        <x:f>IF($A424="","",[1]!thsiFinD("ths_adjustment_nv_fund",V$3,$A424))</x:f>
        <x:v>#NAME?</x:v>
      </x:c>
      <x:c r="W424" s="146" t="e">
        <x:f>IF($A424="","",[1]!thsiFinD("ths_adjustment_nv_fund",W$3,$A424))</x:f>
        <x:v>#NAME?</x:v>
      </x:c>
      <x:c r="X424" s="146" t="e">
        <x:f>IF($A424="","",[1]!thsiFinD("ths_adjustment_nv_fund",X$3,$A424))</x:f>
        <x:v>#NAME?</x:v>
      </x:c>
      <x:c r="Y424" s="146" t="e">
        <x:f>IF($A424="","",[1]!thsiFinD("ths_adjustment_nv_fund",Y$3,$A424))</x:f>
        <x:v>#NAME?</x:v>
      </x:c>
      <x:c r="Z424" s="146" t="e">
        <x:f>IF($A424="","",[1]!thsiFinD("ths_adjustment_nv_fund",Z$3,$A424))</x:f>
        <x:v>#NAME?</x:v>
      </x:c>
      <x:c r="AA424" s="146" t="e">
        <x:f>IF($A424="","",[1]!thsiFinD("ths_adjustment_nv_fund",AA$3,$A424))</x:f>
        <x:v>#NAME?</x:v>
      </x:c>
    </x:row>
    <x:row r="425">
      <x:c r="B425" s="146" t="e">
        <x:f>IF($A425="","",[1]!thsiFinD("ths_adjustment_nv_fund",B$3,$A425))</x:f>
        <x:v>#NAME?</x:v>
      </x:c>
      <x:c r="C425" s="146" t="e">
        <x:f>IF($A425="","",[1]!thsiFinD("ths_adjustment_nv_fund",C$3,$A425))</x:f>
        <x:v>#NAME?</x:v>
      </x:c>
      <x:c r="D425" s="146" t="e">
        <x:f>IF($A425="","",[1]!thsiFinD("ths_adjustment_nv_fund",D$3,$A425))</x:f>
        <x:v>#NAME?</x:v>
      </x:c>
      <x:c r="E425" s="146" t="e">
        <x:f>IF($A425="","",[1]!thsiFinD("ths_adjustment_nv_fund",E$3,$A425))</x:f>
        <x:v>#NAME?</x:v>
      </x:c>
      <x:c r="F425" s="146" t="e">
        <x:f>IF($A425="","",[1]!thsiFinD("ths_adjustment_nv_fund",F$3,$A425))</x:f>
        <x:v>#NAME?</x:v>
      </x:c>
      <x:c r="G425" s="146" t="e">
        <x:f>IF($A425="","",[1]!thsiFinD("ths_adjustment_nv_fund",G$3,$A425))</x:f>
        <x:v>#NAME?</x:v>
      </x:c>
      <x:c r="H425" s="146" t="e">
        <x:f>IF($A425="","",[1]!thsiFinD("ths_adjustment_nv_fund",H$3,$A425))</x:f>
        <x:v>#NAME?</x:v>
      </x:c>
      <x:c r="I425" s="146" t="e">
        <x:f>IF($A425="","",[1]!thsiFinD("ths_adjustment_nv_fund",I$3,$A425))</x:f>
        <x:v>#NAME?</x:v>
      </x:c>
      <x:c r="J425" s="146" t="e">
        <x:f>IF($A425="","",[1]!thsiFinD("ths_adjustment_nv_fund",J$3,$A425))</x:f>
        <x:v>#NAME?</x:v>
      </x:c>
      <x:c r="K425" s="146" t="e">
        <x:f>IF($A425="","",[1]!thsiFinD("ths_adjustment_nv_fund",K$3,$A425))</x:f>
        <x:v>#NAME?</x:v>
      </x:c>
      <x:c r="L425" s="146" t="e">
        <x:f>IF($A425="","",[1]!thsiFinD("ths_adjustment_nv_fund",L$3,$A425))</x:f>
        <x:v>#NAME?</x:v>
      </x:c>
      <x:c r="M425" s="146" t="e">
        <x:f>IF($A425="","",[1]!thsiFinD("ths_adjustment_nv_fund",M$3,$A425))</x:f>
        <x:v>#NAME?</x:v>
      </x:c>
      <x:c r="N425" s="146" t="e">
        <x:f>IF($A425="","",[1]!thsiFinD("ths_adjustment_nv_fund",N$3,$A425))</x:f>
        <x:v>#NAME?</x:v>
      </x:c>
      <x:c r="O425" s="146" t="e">
        <x:f>IF($A425="","",[1]!thsiFinD("ths_adjustment_nv_fund",O$3,$A425))</x:f>
        <x:v>#NAME?</x:v>
      </x:c>
      <x:c r="P425" s="146" t="e">
        <x:f>IF($A425="","",[1]!thsiFinD("ths_adjustment_nv_fund",P$3,$A425))</x:f>
        <x:v>#NAME?</x:v>
      </x:c>
      <x:c r="Q425" s="146" t="e">
        <x:f>IF($A425="","",[1]!thsiFinD("ths_adjustment_nv_fund",Q$3,$A425))</x:f>
        <x:v>#NAME?</x:v>
      </x:c>
      <x:c r="R425" s="146" t="e">
        <x:f>IF($A425="","",[1]!thsiFinD("ths_adjustment_nv_fund",R$3,$A425))</x:f>
        <x:v>#NAME?</x:v>
      </x:c>
      <x:c r="S425" s="146" t="e">
        <x:f>IF($A425="","",[1]!thsiFinD("ths_adjustment_nv_fund",S$3,$A425))</x:f>
        <x:v>#NAME?</x:v>
      </x:c>
      <x:c r="T425" s="146" t="e">
        <x:f>IF($A425="","",[1]!thsiFinD("ths_adjustment_nv_fund",T$3,$A425))</x:f>
        <x:v>#NAME?</x:v>
      </x:c>
      <x:c r="U425" s="146" t="e">
        <x:f>IF($A425="","",[1]!thsiFinD("ths_adjustment_nv_fund",U$3,$A425))</x:f>
        <x:v>#NAME?</x:v>
      </x:c>
      <x:c r="V425" s="146" t="e">
        <x:f>IF($A425="","",[1]!thsiFinD("ths_adjustment_nv_fund",V$3,$A425))</x:f>
        <x:v>#NAME?</x:v>
      </x:c>
      <x:c r="W425" s="146" t="e">
        <x:f>IF($A425="","",[1]!thsiFinD("ths_adjustment_nv_fund",W$3,$A425))</x:f>
        <x:v>#NAME?</x:v>
      </x:c>
      <x:c r="X425" s="146" t="e">
        <x:f>IF($A425="","",[1]!thsiFinD("ths_adjustment_nv_fund",X$3,$A425))</x:f>
        <x:v>#NAME?</x:v>
      </x:c>
      <x:c r="Y425" s="146" t="e">
        <x:f>IF($A425="","",[1]!thsiFinD("ths_adjustment_nv_fund",Y$3,$A425))</x:f>
        <x:v>#NAME?</x:v>
      </x:c>
      <x:c r="Z425" s="146" t="e">
        <x:f>IF($A425="","",[1]!thsiFinD("ths_adjustment_nv_fund",Z$3,$A425))</x:f>
        <x:v>#NAME?</x:v>
      </x:c>
      <x:c r="AA425" s="146" t="e">
        <x:f>IF($A425="","",[1]!thsiFinD("ths_adjustment_nv_fund",AA$3,$A425))</x:f>
        <x:v>#NAME?</x:v>
      </x:c>
    </x:row>
    <x:row r="426">
      <x:c r="B426" s="146" t="e">
        <x:f>IF($A426="","",[1]!thsiFinD("ths_adjustment_nv_fund",B$3,$A426))</x:f>
        <x:v>#NAME?</x:v>
      </x:c>
      <x:c r="C426" s="146" t="e">
        <x:f>IF($A426="","",[1]!thsiFinD("ths_adjustment_nv_fund",C$3,$A426))</x:f>
        <x:v>#NAME?</x:v>
      </x:c>
      <x:c r="D426" s="146" t="e">
        <x:f>IF($A426="","",[1]!thsiFinD("ths_adjustment_nv_fund",D$3,$A426))</x:f>
        <x:v>#NAME?</x:v>
      </x:c>
      <x:c r="E426" s="146" t="e">
        <x:f>IF($A426="","",[1]!thsiFinD("ths_adjustment_nv_fund",E$3,$A426))</x:f>
        <x:v>#NAME?</x:v>
      </x:c>
      <x:c r="F426" s="146" t="e">
        <x:f>IF($A426="","",[1]!thsiFinD("ths_adjustment_nv_fund",F$3,$A426))</x:f>
        <x:v>#NAME?</x:v>
      </x:c>
      <x:c r="G426" s="146" t="e">
        <x:f>IF($A426="","",[1]!thsiFinD("ths_adjustment_nv_fund",G$3,$A426))</x:f>
        <x:v>#NAME?</x:v>
      </x:c>
      <x:c r="H426" s="146" t="e">
        <x:f>IF($A426="","",[1]!thsiFinD("ths_adjustment_nv_fund",H$3,$A426))</x:f>
        <x:v>#NAME?</x:v>
      </x:c>
      <x:c r="I426" s="146" t="e">
        <x:f>IF($A426="","",[1]!thsiFinD("ths_adjustment_nv_fund",I$3,$A426))</x:f>
        <x:v>#NAME?</x:v>
      </x:c>
      <x:c r="J426" s="146" t="e">
        <x:f>IF($A426="","",[1]!thsiFinD("ths_adjustment_nv_fund",J$3,$A426))</x:f>
        <x:v>#NAME?</x:v>
      </x:c>
      <x:c r="K426" s="146" t="e">
        <x:f>IF($A426="","",[1]!thsiFinD("ths_adjustment_nv_fund",K$3,$A426))</x:f>
        <x:v>#NAME?</x:v>
      </x:c>
      <x:c r="L426" s="146" t="e">
        <x:f>IF($A426="","",[1]!thsiFinD("ths_adjustment_nv_fund",L$3,$A426))</x:f>
        <x:v>#NAME?</x:v>
      </x:c>
      <x:c r="M426" s="146" t="e">
        <x:f>IF($A426="","",[1]!thsiFinD("ths_adjustment_nv_fund",M$3,$A426))</x:f>
        <x:v>#NAME?</x:v>
      </x:c>
      <x:c r="N426" s="146" t="e">
        <x:f>IF($A426="","",[1]!thsiFinD("ths_adjustment_nv_fund",N$3,$A426))</x:f>
        <x:v>#NAME?</x:v>
      </x:c>
      <x:c r="O426" s="146" t="e">
        <x:f>IF($A426="","",[1]!thsiFinD("ths_adjustment_nv_fund",O$3,$A426))</x:f>
        <x:v>#NAME?</x:v>
      </x:c>
      <x:c r="P426" s="146" t="e">
        <x:f>IF($A426="","",[1]!thsiFinD("ths_adjustment_nv_fund",P$3,$A426))</x:f>
        <x:v>#NAME?</x:v>
      </x:c>
      <x:c r="Q426" s="146" t="e">
        <x:f>IF($A426="","",[1]!thsiFinD("ths_adjustment_nv_fund",Q$3,$A426))</x:f>
        <x:v>#NAME?</x:v>
      </x:c>
      <x:c r="R426" s="146" t="e">
        <x:f>IF($A426="","",[1]!thsiFinD("ths_adjustment_nv_fund",R$3,$A426))</x:f>
        <x:v>#NAME?</x:v>
      </x:c>
      <x:c r="S426" s="146" t="e">
        <x:f>IF($A426="","",[1]!thsiFinD("ths_adjustment_nv_fund",S$3,$A426))</x:f>
        <x:v>#NAME?</x:v>
      </x:c>
      <x:c r="T426" s="146" t="e">
        <x:f>IF($A426="","",[1]!thsiFinD("ths_adjustment_nv_fund",T$3,$A426))</x:f>
        <x:v>#NAME?</x:v>
      </x:c>
      <x:c r="U426" s="146" t="e">
        <x:f>IF($A426="","",[1]!thsiFinD("ths_adjustment_nv_fund",U$3,$A426))</x:f>
        <x:v>#NAME?</x:v>
      </x:c>
      <x:c r="V426" s="146" t="e">
        <x:f>IF($A426="","",[1]!thsiFinD("ths_adjustment_nv_fund",V$3,$A426))</x:f>
        <x:v>#NAME?</x:v>
      </x:c>
      <x:c r="W426" s="146" t="e">
        <x:f>IF($A426="","",[1]!thsiFinD("ths_adjustment_nv_fund",W$3,$A426))</x:f>
        <x:v>#NAME?</x:v>
      </x:c>
      <x:c r="X426" s="146" t="e">
        <x:f>IF($A426="","",[1]!thsiFinD("ths_adjustment_nv_fund",X$3,$A426))</x:f>
        <x:v>#NAME?</x:v>
      </x:c>
      <x:c r="Y426" s="146" t="e">
        <x:f>IF($A426="","",[1]!thsiFinD("ths_adjustment_nv_fund",Y$3,$A426))</x:f>
        <x:v>#NAME?</x:v>
      </x:c>
      <x:c r="Z426" s="146" t="e">
        <x:f>IF($A426="","",[1]!thsiFinD("ths_adjustment_nv_fund",Z$3,$A426))</x:f>
        <x:v>#NAME?</x:v>
      </x:c>
      <x:c r="AA426" s="146" t="e">
        <x:f>IF($A426="","",[1]!thsiFinD("ths_adjustment_nv_fund",AA$3,$A426))</x:f>
        <x:v>#NAME?</x:v>
      </x:c>
    </x:row>
    <x:row r="427">
      <x:c r="B427" s="146" t="e">
        <x:f>IF($A427="","",[1]!thsiFinD("ths_adjustment_nv_fund",B$3,$A427))</x:f>
        <x:v>#NAME?</x:v>
      </x:c>
      <x:c r="C427" s="146" t="e">
        <x:f>IF($A427="","",[1]!thsiFinD("ths_adjustment_nv_fund",C$3,$A427))</x:f>
        <x:v>#NAME?</x:v>
      </x:c>
      <x:c r="D427" s="146" t="e">
        <x:f>IF($A427="","",[1]!thsiFinD("ths_adjustment_nv_fund",D$3,$A427))</x:f>
        <x:v>#NAME?</x:v>
      </x:c>
      <x:c r="E427" s="146" t="e">
        <x:f>IF($A427="","",[1]!thsiFinD("ths_adjustment_nv_fund",E$3,$A427))</x:f>
        <x:v>#NAME?</x:v>
      </x:c>
      <x:c r="F427" s="146" t="e">
        <x:f>IF($A427="","",[1]!thsiFinD("ths_adjustment_nv_fund",F$3,$A427))</x:f>
        <x:v>#NAME?</x:v>
      </x:c>
      <x:c r="G427" s="146" t="e">
        <x:f>IF($A427="","",[1]!thsiFinD("ths_adjustment_nv_fund",G$3,$A427))</x:f>
        <x:v>#NAME?</x:v>
      </x:c>
      <x:c r="H427" s="146" t="e">
        <x:f>IF($A427="","",[1]!thsiFinD("ths_adjustment_nv_fund",H$3,$A427))</x:f>
        <x:v>#NAME?</x:v>
      </x:c>
      <x:c r="I427" s="146" t="e">
        <x:f>IF($A427="","",[1]!thsiFinD("ths_adjustment_nv_fund",I$3,$A427))</x:f>
        <x:v>#NAME?</x:v>
      </x:c>
      <x:c r="J427" s="146" t="e">
        <x:f>IF($A427="","",[1]!thsiFinD("ths_adjustment_nv_fund",J$3,$A427))</x:f>
        <x:v>#NAME?</x:v>
      </x:c>
      <x:c r="K427" s="146" t="e">
        <x:f>IF($A427="","",[1]!thsiFinD("ths_adjustment_nv_fund",K$3,$A427))</x:f>
        <x:v>#NAME?</x:v>
      </x:c>
      <x:c r="L427" s="146" t="e">
        <x:f>IF($A427="","",[1]!thsiFinD("ths_adjustment_nv_fund",L$3,$A427))</x:f>
        <x:v>#NAME?</x:v>
      </x:c>
      <x:c r="M427" s="146" t="e">
        <x:f>IF($A427="","",[1]!thsiFinD("ths_adjustment_nv_fund",M$3,$A427))</x:f>
        <x:v>#NAME?</x:v>
      </x:c>
      <x:c r="N427" s="146" t="e">
        <x:f>IF($A427="","",[1]!thsiFinD("ths_adjustment_nv_fund",N$3,$A427))</x:f>
        <x:v>#NAME?</x:v>
      </x:c>
      <x:c r="O427" s="146" t="e">
        <x:f>IF($A427="","",[1]!thsiFinD("ths_adjustment_nv_fund",O$3,$A427))</x:f>
        <x:v>#NAME?</x:v>
      </x:c>
      <x:c r="P427" s="146" t="e">
        <x:f>IF($A427="","",[1]!thsiFinD("ths_adjustment_nv_fund",P$3,$A427))</x:f>
        <x:v>#NAME?</x:v>
      </x:c>
      <x:c r="Q427" s="146" t="e">
        <x:f>IF($A427="","",[1]!thsiFinD("ths_adjustment_nv_fund",Q$3,$A427))</x:f>
        <x:v>#NAME?</x:v>
      </x:c>
      <x:c r="R427" s="146" t="e">
        <x:f>IF($A427="","",[1]!thsiFinD("ths_adjustment_nv_fund",R$3,$A427))</x:f>
        <x:v>#NAME?</x:v>
      </x:c>
      <x:c r="S427" s="146" t="e">
        <x:f>IF($A427="","",[1]!thsiFinD("ths_adjustment_nv_fund",S$3,$A427))</x:f>
        <x:v>#NAME?</x:v>
      </x:c>
      <x:c r="T427" s="146" t="e">
        <x:f>IF($A427="","",[1]!thsiFinD("ths_adjustment_nv_fund",T$3,$A427))</x:f>
        <x:v>#NAME?</x:v>
      </x:c>
      <x:c r="U427" s="146" t="e">
        <x:f>IF($A427="","",[1]!thsiFinD("ths_adjustment_nv_fund",U$3,$A427))</x:f>
        <x:v>#NAME?</x:v>
      </x:c>
      <x:c r="V427" s="146" t="e">
        <x:f>IF($A427="","",[1]!thsiFinD("ths_adjustment_nv_fund",V$3,$A427))</x:f>
        <x:v>#NAME?</x:v>
      </x:c>
      <x:c r="W427" s="146" t="e">
        <x:f>IF($A427="","",[1]!thsiFinD("ths_adjustment_nv_fund",W$3,$A427))</x:f>
        <x:v>#NAME?</x:v>
      </x:c>
      <x:c r="X427" s="146" t="e">
        <x:f>IF($A427="","",[1]!thsiFinD("ths_adjustment_nv_fund",X$3,$A427))</x:f>
        <x:v>#NAME?</x:v>
      </x:c>
      <x:c r="Y427" s="146" t="e">
        <x:f>IF($A427="","",[1]!thsiFinD("ths_adjustment_nv_fund",Y$3,$A427))</x:f>
        <x:v>#NAME?</x:v>
      </x:c>
      <x:c r="Z427" s="146" t="e">
        <x:f>IF($A427="","",[1]!thsiFinD("ths_adjustment_nv_fund",Z$3,$A427))</x:f>
        <x:v>#NAME?</x:v>
      </x:c>
      <x:c r="AA427" s="146" t="e">
        <x:f>IF($A427="","",[1]!thsiFinD("ths_adjustment_nv_fund",AA$3,$A427))</x:f>
        <x:v>#NAME?</x:v>
      </x:c>
    </x:row>
    <x:row r="428">
      <x:c r="B428" s="146" t="e">
        <x:f>IF($A428="","",[1]!thsiFinD("ths_adjustment_nv_fund",B$3,$A428))</x:f>
        <x:v>#NAME?</x:v>
      </x:c>
      <x:c r="C428" s="146" t="e">
        <x:f>IF($A428="","",[1]!thsiFinD("ths_adjustment_nv_fund",C$3,$A428))</x:f>
        <x:v>#NAME?</x:v>
      </x:c>
      <x:c r="D428" s="146" t="e">
        <x:f>IF($A428="","",[1]!thsiFinD("ths_adjustment_nv_fund",D$3,$A428))</x:f>
        <x:v>#NAME?</x:v>
      </x:c>
      <x:c r="E428" s="146" t="e">
        <x:f>IF($A428="","",[1]!thsiFinD("ths_adjustment_nv_fund",E$3,$A428))</x:f>
        <x:v>#NAME?</x:v>
      </x:c>
      <x:c r="F428" s="146" t="e">
        <x:f>IF($A428="","",[1]!thsiFinD("ths_adjustment_nv_fund",F$3,$A428))</x:f>
        <x:v>#NAME?</x:v>
      </x:c>
      <x:c r="G428" s="146" t="e">
        <x:f>IF($A428="","",[1]!thsiFinD("ths_adjustment_nv_fund",G$3,$A428))</x:f>
        <x:v>#NAME?</x:v>
      </x:c>
      <x:c r="H428" s="146" t="e">
        <x:f>IF($A428="","",[1]!thsiFinD("ths_adjustment_nv_fund",H$3,$A428))</x:f>
        <x:v>#NAME?</x:v>
      </x:c>
      <x:c r="I428" s="146" t="e">
        <x:f>IF($A428="","",[1]!thsiFinD("ths_adjustment_nv_fund",I$3,$A428))</x:f>
        <x:v>#NAME?</x:v>
      </x:c>
      <x:c r="J428" s="146" t="e">
        <x:f>IF($A428="","",[1]!thsiFinD("ths_adjustment_nv_fund",J$3,$A428))</x:f>
        <x:v>#NAME?</x:v>
      </x:c>
      <x:c r="K428" s="146" t="e">
        <x:f>IF($A428="","",[1]!thsiFinD("ths_adjustment_nv_fund",K$3,$A428))</x:f>
        <x:v>#NAME?</x:v>
      </x:c>
      <x:c r="L428" s="146" t="e">
        <x:f>IF($A428="","",[1]!thsiFinD("ths_adjustment_nv_fund",L$3,$A428))</x:f>
        <x:v>#NAME?</x:v>
      </x:c>
      <x:c r="M428" s="146" t="e">
        <x:f>IF($A428="","",[1]!thsiFinD("ths_adjustment_nv_fund",M$3,$A428))</x:f>
        <x:v>#NAME?</x:v>
      </x:c>
      <x:c r="N428" s="146" t="e">
        <x:f>IF($A428="","",[1]!thsiFinD("ths_adjustment_nv_fund",N$3,$A428))</x:f>
        <x:v>#NAME?</x:v>
      </x:c>
      <x:c r="O428" s="146" t="e">
        <x:f>IF($A428="","",[1]!thsiFinD("ths_adjustment_nv_fund",O$3,$A428))</x:f>
        <x:v>#NAME?</x:v>
      </x:c>
      <x:c r="P428" s="146" t="e">
        <x:f>IF($A428="","",[1]!thsiFinD("ths_adjustment_nv_fund",P$3,$A428))</x:f>
        <x:v>#NAME?</x:v>
      </x:c>
      <x:c r="Q428" s="146" t="e">
        <x:f>IF($A428="","",[1]!thsiFinD("ths_adjustment_nv_fund",Q$3,$A428))</x:f>
        <x:v>#NAME?</x:v>
      </x:c>
      <x:c r="R428" s="146" t="e">
        <x:f>IF($A428="","",[1]!thsiFinD("ths_adjustment_nv_fund",R$3,$A428))</x:f>
        <x:v>#NAME?</x:v>
      </x:c>
      <x:c r="S428" s="146" t="e">
        <x:f>IF($A428="","",[1]!thsiFinD("ths_adjustment_nv_fund",S$3,$A428))</x:f>
        <x:v>#NAME?</x:v>
      </x:c>
      <x:c r="T428" s="146" t="e">
        <x:f>IF($A428="","",[1]!thsiFinD("ths_adjustment_nv_fund",T$3,$A428))</x:f>
        <x:v>#NAME?</x:v>
      </x:c>
      <x:c r="U428" s="146" t="e">
        <x:f>IF($A428="","",[1]!thsiFinD("ths_adjustment_nv_fund",U$3,$A428))</x:f>
        <x:v>#NAME?</x:v>
      </x:c>
      <x:c r="V428" s="146" t="e">
        <x:f>IF($A428="","",[1]!thsiFinD("ths_adjustment_nv_fund",V$3,$A428))</x:f>
        <x:v>#NAME?</x:v>
      </x:c>
      <x:c r="W428" s="146" t="e">
        <x:f>IF($A428="","",[1]!thsiFinD("ths_adjustment_nv_fund",W$3,$A428))</x:f>
        <x:v>#NAME?</x:v>
      </x:c>
      <x:c r="X428" s="146" t="e">
        <x:f>IF($A428="","",[1]!thsiFinD("ths_adjustment_nv_fund",X$3,$A428))</x:f>
        <x:v>#NAME?</x:v>
      </x:c>
      <x:c r="Y428" s="146" t="e">
        <x:f>IF($A428="","",[1]!thsiFinD("ths_adjustment_nv_fund",Y$3,$A428))</x:f>
        <x:v>#NAME?</x:v>
      </x:c>
      <x:c r="Z428" s="146" t="e">
        <x:f>IF($A428="","",[1]!thsiFinD("ths_adjustment_nv_fund",Z$3,$A428))</x:f>
        <x:v>#NAME?</x:v>
      </x:c>
      <x:c r="AA428" s="146" t="e">
        <x:f>IF($A428="","",[1]!thsiFinD("ths_adjustment_nv_fund",AA$3,$A428))</x:f>
        <x:v>#NAME?</x:v>
      </x:c>
    </x:row>
    <x:row r="429">
      <x:c r="B429" s="146" t="e">
        <x:f>IF($A429="","",[1]!thsiFinD("ths_adjustment_nv_fund",B$3,$A429))</x:f>
        <x:v>#NAME?</x:v>
      </x:c>
      <x:c r="C429" s="146" t="e">
        <x:f>IF($A429="","",[1]!thsiFinD("ths_adjustment_nv_fund",C$3,$A429))</x:f>
        <x:v>#NAME?</x:v>
      </x:c>
      <x:c r="D429" s="146" t="e">
        <x:f>IF($A429="","",[1]!thsiFinD("ths_adjustment_nv_fund",D$3,$A429))</x:f>
        <x:v>#NAME?</x:v>
      </x:c>
      <x:c r="E429" s="146" t="e">
        <x:f>IF($A429="","",[1]!thsiFinD("ths_adjustment_nv_fund",E$3,$A429))</x:f>
        <x:v>#NAME?</x:v>
      </x:c>
      <x:c r="F429" s="146" t="e">
        <x:f>IF($A429="","",[1]!thsiFinD("ths_adjustment_nv_fund",F$3,$A429))</x:f>
        <x:v>#NAME?</x:v>
      </x:c>
      <x:c r="G429" s="146" t="e">
        <x:f>IF($A429="","",[1]!thsiFinD("ths_adjustment_nv_fund",G$3,$A429))</x:f>
        <x:v>#NAME?</x:v>
      </x:c>
      <x:c r="H429" s="146" t="e">
        <x:f>IF($A429="","",[1]!thsiFinD("ths_adjustment_nv_fund",H$3,$A429))</x:f>
        <x:v>#NAME?</x:v>
      </x:c>
      <x:c r="I429" s="146" t="e">
        <x:f>IF($A429="","",[1]!thsiFinD("ths_adjustment_nv_fund",I$3,$A429))</x:f>
        <x:v>#NAME?</x:v>
      </x:c>
      <x:c r="J429" s="146" t="e">
        <x:f>IF($A429="","",[1]!thsiFinD("ths_adjustment_nv_fund",J$3,$A429))</x:f>
        <x:v>#NAME?</x:v>
      </x:c>
      <x:c r="K429" s="146" t="e">
        <x:f>IF($A429="","",[1]!thsiFinD("ths_adjustment_nv_fund",K$3,$A429))</x:f>
        <x:v>#NAME?</x:v>
      </x:c>
      <x:c r="L429" s="146" t="e">
        <x:f>IF($A429="","",[1]!thsiFinD("ths_adjustment_nv_fund",L$3,$A429))</x:f>
        <x:v>#NAME?</x:v>
      </x:c>
      <x:c r="M429" s="146" t="e">
        <x:f>IF($A429="","",[1]!thsiFinD("ths_adjustment_nv_fund",M$3,$A429))</x:f>
        <x:v>#NAME?</x:v>
      </x:c>
      <x:c r="N429" s="146" t="e">
        <x:f>IF($A429="","",[1]!thsiFinD("ths_adjustment_nv_fund",N$3,$A429))</x:f>
        <x:v>#NAME?</x:v>
      </x:c>
      <x:c r="O429" s="146" t="e">
        <x:f>IF($A429="","",[1]!thsiFinD("ths_adjustment_nv_fund",O$3,$A429))</x:f>
        <x:v>#NAME?</x:v>
      </x:c>
      <x:c r="P429" s="146" t="e">
        <x:f>IF($A429="","",[1]!thsiFinD("ths_adjustment_nv_fund",P$3,$A429))</x:f>
        <x:v>#NAME?</x:v>
      </x:c>
      <x:c r="Q429" s="146" t="e">
        <x:f>IF($A429="","",[1]!thsiFinD("ths_adjustment_nv_fund",Q$3,$A429))</x:f>
        <x:v>#NAME?</x:v>
      </x:c>
      <x:c r="R429" s="146" t="e">
        <x:f>IF($A429="","",[1]!thsiFinD("ths_adjustment_nv_fund",R$3,$A429))</x:f>
        <x:v>#NAME?</x:v>
      </x:c>
      <x:c r="S429" s="146" t="e">
        <x:f>IF($A429="","",[1]!thsiFinD("ths_adjustment_nv_fund",S$3,$A429))</x:f>
        <x:v>#NAME?</x:v>
      </x:c>
      <x:c r="T429" s="146" t="e">
        <x:f>IF($A429="","",[1]!thsiFinD("ths_adjustment_nv_fund",T$3,$A429))</x:f>
        <x:v>#NAME?</x:v>
      </x:c>
      <x:c r="U429" s="146" t="e">
        <x:f>IF($A429="","",[1]!thsiFinD("ths_adjustment_nv_fund",U$3,$A429))</x:f>
        <x:v>#NAME?</x:v>
      </x:c>
      <x:c r="V429" s="146" t="e">
        <x:f>IF($A429="","",[1]!thsiFinD("ths_adjustment_nv_fund",V$3,$A429))</x:f>
        <x:v>#NAME?</x:v>
      </x:c>
      <x:c r="W429" s="146" t="e">
        <x:f>IF($A429="","",[1]!thsiFinD("ths_adjustment_nv_fund",W$3,$A429))</x:f>
        <x:v>#NAME?</x:v>
      </x:c>
      <x:c r="X429" s="146" t="e">
        <x:f>IF($A429="","",[1]!thsiFinD("ths_adjustment_nv_fund",X$3,$A429))</x:f>
        <x:v>#NAME?</x:v>
      </x:c>
      <x:c r="Y429" s="146" t="e">
        <x:f>IF($A429="","",[1]!thsiFinD("ths_adjustment_nv_fund",Y$3,$A429))</x:f>
        <x:v>#NAME?</x:v>
      </x:c>
      <x:c r="Z429" s="146" t="e">
        <x:f>IF($A429="","",[1]!thsiFinD("ths_adjustment_nv_fund",Z$3,$A429))</x:f>
        <x:v>#NAME?</x:v>
      </x:c>
      <x:c r="AA429" s="146" t="e">
        <x:f>IF($A429="","",[1]!thsiFinD("ths_adjustment_nv_fund",AA$3,$A429))</x:f>
        <x:v>#NAME?</x:v>
      </x:c>
    </x:row>
    <x:row r="430">
      <x:c r="B430" s="146" t="e">
        <x:f>IF($A430="","",[1]!thsiFinD("ths_adjustment_nv_fund",B$3,$A430))</x:f>
        <x:v>#NAME?</x:v>
      </x:c>
      <x:c r="C430" s="146" t="e">
        <x:f>IF($A430="","",[1]!thsiFinD("ths_adjustment_nv_fund",C$3,$A430))</x:f>
        <x:v>#NAME?</x:v>
      </x:c>
      <x:c r="D430" s="146" t="e">
        <x:f>IF($A430="","",[1]!thsiFinD("ths_adjustment_nv_fund",D$3,$A430))</x:f>
        <x:v>#NAME?</x:v>
      </x:c>
      <x:c r="E430" s="146" t="e">
        <x:f>IF($A430="","",[1]!thsiFinD("ths_adjustment_nv_fund",E$3,$A430))</x:f>
        <x:v>#NAME?</x:v>
      </x:c>
      <x:c r="F430" s="146" t="e">
        <x:f>IF($A430="","",[1]!thsiFinD("ths_adjustment_nv_fund",F$3,$A430))</x:f>
        <x:v>#NAME?</x:v>
      </x:c>
      <x:c r="G430" s="146" t="e">
        <x:f>IF($A430="","",[1]!thsiFinD("ths_adjustment_nv_fund",G$3,$A430))</x:f>
        <x:v>#NAME?</x:v>
      </x:c>
      <x:c r="H430" s="146" t="e">
        <x:f>IF($A430="","",[1]!thsiFinD("ths_adjustment_nv_fund",H$3,$A430))</x:f>
        <x:v>#NAME?</x:v>
      </x:c>
      <x:c r="I430" s="146" t="e">
        <x:f>IF($A430="","",[1]!thsiFinD("ths_adjustment_nv_fund",I$3,$A430))</x:f>
        <x:v>#NAME?</x:v>
      </x:c>
      <x:c r="J430" s="146" t="e">
        <x:f>IF($A430="","",[1]!thsiFinD("ths_adjustment_nv_fund",J$3,$A430))</x:f>
        <x:v>#NAME?</x:v>
      </x:c>
      <x:c r="K430" s="146" t="e">
        <x:f>IF($A430="","",[1]!thsiFinD("ths_adjustment_nv_fund",K$3,$A430))</x:f>
        <x:v>#NAME?</x:v>
      </x:c>
      <x:c r="L430" s="146" t="e">
        <x:f>IF($A430="","",[1]!thsiFinD("ths_adjustment_nv_fund",L$3,$A430))</x:f>
        <x:v>#NAME?</x:v>
      </x:c>
      <x:c r="M430" s="146" t="e">
        <x:f>IF($A430="","",[1]!thsiFinD("ths_adjustment_nv_fund",M$3,$A430))</x:f>
        <x:v>#NAME?</x:v>
      </x:c>
      <x:c r="N430" s="146" t="e">
        <x:f>IF($A430="","",[1]!thsiFinD("ths_adjustment_nv_fund",N$3,$A430))</x:f>
        <x:v>#NAME?</x:v>
      </x:c>
      <x:c r="O430" s="146" t="e">
        <x:f>IF($A430="","",[1]!thsiFinD("ths_adjustment_nv_fund",O$3,$A430))</x:f>
        <x:v>#NAME?</x:v>
      </x:c>
      <x:c r="P430" s="146" t="e">
        <x:f>IF($A430="","",[1]!thsiFinD("ths_adjustment_nv_fund",P$3,$A430))</x:f>
        <x:v>#NAME?</x:v>
      </x:c>
      <x:c r="Q430" s="146" t="e">
        <x:f>IF($A430="","",[1]!thsiFinD("ths_adjustment_nv_fund",Q$3,$A430))</x:f>
        <x:v>#NAME?</x:v>
      </x:c>
      <x:c r="R430" s="146" t="e">
        <x:f>IF($A430="","",[1]!thsiFinD("ths_adjustment_nv_fund",R$3,$A430))</x:f>
        <x:v>#NAME?</x:v>
      </x:c>
      <x:c r="S430" s="146" t="e">
        <x:f>IF($A430="","",[1]!thsiFinD("ths_adjustment_nv_fund",S$3,$A430))</x:f>
        <x:v>#NAME?</x:v>
      </x:c>
      <x:c r="T430" s="146" t="e">
        <x:f>IF($A430="","",[1]!thsiFinD("ths_adjustment_nv_fund",T$3,$A430))</x:f>
        <x:v>#NAME?</x:v>
      </x:c>
      <x:c r="U430" s="146" t="e">
        <x:f>IF($A430="","",[1]!thsiFinD("ths_adjustment_nv_fund",U$3,$A430))</x:f>
        <x:v>#NAME?</x:v>
      </x:c>
      <x:c r="V430" s="146" t="e">
        <x:f>IF($A430="","",[1]!thsiFinD("ths_adjustment_nv_fund",V$3,$A430))</x:f>
        <x:v>#NAME?</x:v>
      </x:c>
      <x:c r="W430" s="146" t="e">
        <x:f>IF($A430="","",[1]!thsiFinD("ths_adjustment_nv_fund",W$3,$A430))</x:f>
        <x:v>#NAME?</x:v>
      </x:c>
      <x:c r="X430" s="146" t="e">
        <x:f>IF($A430="","",[1]!thsiFinD("ths_adjustment_nv_fund",X$3,$A430))</x:f>
        <x:v>#NAME?</x:v>
      </x:c>
      <x:c r="Y430" s="146" t="e">
        <x:f>IF($A430="","",[1]!thsiFinD("ths_adjustment_nv_fund",Y$3,$A430))</x:f>
        <x:v>#NAME?</x:v>
      </x:c>
      <x:c r="Z430" s="146" t="e">
        <x:f>IF($A430="","",[1]!thsiFinD("ths_adjustment_nv_fund",Z$3,$A430))</x:f>
        <x:v>#NAME?</x:v>
      </x:c>
      <x:c r="AA430" s="146" t="e">
        <x:f>IF($A430="","",[1]!thsiFinD("ths_adjustment_nv_fund",AA$3,$A430))</x:f>
        <x:v>#NAME?</x:v>
      </x:c>
    </x:row>
    <x:row r="431">
      <x:c r="B431" s="146" t="e">
        <x:f>IF($A431="","",[1]!thsiFinD("ths_adjustment_nv_fund",B$3,$A431))</x:f>
        <x:v>#NAME?</x:v>
      </x:c>
      <x:c r="C431" s="146" t="e">
        <x:f>IF($A431="","",[1]!thsiFinD("ths_adjustment_nv_fund",C$3,$A431))</x:f>
        <x:v>#NAME?</x:v>
      </x:c>
      <x:c r="D431" s="146" t="e">
        <x:f>IF($A431="","",[1]!thsiFinD("ths_adjustment_nv_fund",D$3,$A431))</x:f>
        <x:v>#NAME?</x:v>
      </x:c>
      <x:c r="E431" s="146" t="e">
        <x:f>IF($A431="","",[1]!thsiFinD("ths_adjustment_nv_fund",E$3,$A431))</x:f>
        <x:v>#NAME?</x:v>
      </x:c>
      <x:c r="F431" s="146" t="e">
        <x:f>IF($A431="","",[1]!thsiFinD("ths_adjustment_nv_fund",F$3,$A431))</x:f>
        <x:v>#NAME?</x:v>
      </x:c>
      <x:c r="G431" s="146" t="e">
        <x:f>IF($A431="","",[1]!thsiFinD("ths_adjustment_nv_fund",G$3,$A431))</x:f>
        <x:v>#NAME?</x:v>
      </x:c>
      <x:c r="H431" s="146" t="e">
        <x:f>IF($A431="","",[1]!thsiFinD("ths_adjustment_nv_fund",H$3,$A431))</x:f>
        <x:v>#NAME?</x:v>
      </x:c>
      <x:c r="I431" s="146" t="e">
        <x:f>IF($A431="","",[1]!thsiFinD("ths_adjustment_nv_fund",I$3,$A431))</x:f>
        <x:v>#NAME?</x:v>
      </x:c>
      <x:c r="J431" s="146" t="e">
        <x:f>IF($A431="","",[1]!thsiFinD("ths_adjustment_nv_fund",J$3,$A431))</x:f>
        <x:v>#NAME?</x:v>
      </x:c>
      <x:c r="K431" s="146" t="e">
        <x:f>IF($A431="","",[1]!thsiFinD("ths_adjustment_nv_fund",K$3,$A431))</x:f>
        <x:v>#NAME?</x:v>
      </x:c>
      <x:c r="L431" s="146" t="e">
        <x:f>IF($A431="","",[1]!thsiFinD("ths_adjustment_nv_fund",L$3,$A431))</x:f>
        <x:v>#NAME?</x:v>
      </x:c>
      <x:c r="M431" s="146" t="e">
        <x:f>IF($A431="","",[1]!thsiFinD("ths_adjustment_nv_fund",M$3,$A431))</x:f>
        <x:v>#NAME?</x:v>
      </x:c>
      <x:c r="N431" s="146" t="e">
        <x:f>IF($A431="","",[1]!thsiFinD("ths_adjustment_nv_fund",N$3,$A431))</x:f>
        <x:v>#NAME?</x:v>
      </x:c>
      <x:c r="O431" s="146" t="e">
        <x:f>IF($A431="","",[1]!thsiFinD("ths_adjustment_nv_fund",O$3,$A431))</x:f>
        <x:v>#NAME?</x:v>
      </x:c>
      <x:c r="P431" s="146" t="e">
        <x:f>IF($A431="","",[1]!thsiFinD("ths_adjustment_nv_fund",P$3,$A431))</x:f>
        <x:v>#NAME?</x:v>
      </x:c>
      <x:c r="Q431" s="146" t="e">
        <x:f>IF($A431="","",[1]!thsiFinD("ths_adjustment_nv_fund",Q$3,$A431))</x:f>
        <x:v>#NAME?</x:v>
      </x:c>
      <x:c r="R431" s="146" t="e">
        <x:f>IF($A431="","",[1]!thsiFinD("ths_adjustment_nv_fund",R$3,$A431))</x:f>
        <x:v>#NAME?</x:v>
      </x:c>
      <x:c r="S431" s="146" t="e">
        <x:f>IF($A431="","",[1]!thsiFinD("ths_adjustment_nv_fund",S$3,$A431))</x:f>
        <x:v>#NAME?</x:v>
      </x:c>
      <x:c r="T431" s="146" t="e">
        <x:f>IF($A431="","",[1]!thsiFinD("ths_adjustment_nv_fund",T$3,$A431))</x:f>
        <x:v>#NAME?</x:v>
      </x:c>
      <x:c r="U431" s="146" t="e">
        <x:f>IF($A431="","",[1]!thsiFinD("ths_adjustment_nv_fund",U$3,$A431))</x:f>
        <x:v>#NAME?</x:v>
      </x:c>
      <x:c r="V431" s="146" t="e">
        <x:f>IF($A431="","",[1]!thsiFinD("ths_adjustment_nv_fund",V$3,$A431))</x:f>
        <x:v>#NAME?</x:v>
      </x:c>
      <x:c r="W431" s="146" t="e">
        <x:f>IF($A431="","",[1]!thsiFinD("ths_adjustment_nv_fund",W$3,$A431))</x:f>
        <x:v>#NAME?</x:v>
      </x:c>
      <x:c r="X431" s="146" t="e">
        <x:f>IF($A431="","",[1]!thsiFinD("ths_adjustment_nv_fund",X$3,$A431))</x:f>
        <x:v>#NAME?</x:v>
      </x:c>
      <x:c r="Y431" s="146" t="e">
        <x:f>IF($A431="","",[1]!thsiFinD("ths_adjustment_nv_fund",Y$3,$A431))</x:f>
        <x:v>#NAME?</x:v>
      </x:c>
      <x:c r="Z431" s="146" t="e">
        <x:f>IF($A431="","",[1]!thsiFinD("ths_adjustment_nv_fund",Z$3,$A431))</x:f>
        <x:v>#NAME?</x:v>
      </x:c>
      <x:c r="AA431" s="146" t="e">
        <x:f>IF($A431="","",[1]!thsiFinD("ths_adjustment_nv_fund",AA$3,$A431))</x:f>
        <x:v>#NAME?</x:v>
      </x:c>
    </x:row>
    <x:row r="432">
      <x:c r="B432" s="146" t="e">
        <x:f>IF($A432="","",[1]!thsiFinD("ths_adjustment_nv_fund",B$3,$A432))</x:f>
        <x:v>#NAME?</x:v>
      </x:c>
      <x:c r="C432" s="146" t="e">
        <x:f>IF($A432="","",[1]!thsiFinD("ths_adjustment_nv_fund",C$3,$A432))</x:f>
        <x:v>#NAME?</x:v>
      </x:c>
      <x:c r="D432" s="146" t="e">
        <x:f>IF($A432="","",[1]!thsiFinD("ths_adjustment_nv_fund",D$3,$A432))</x:f>
        <x:v>#NAME?</x:v>
      </x:c>
      <x:c r="E432" s="146" t="e">
        <x:f>IF($A432="","",[1]!thsiFinD("ths_adjustment_nv_fund",E$3,$A432))</x:f>
        <x:v>#NAME?</x:v>
      </x:c>
      <x:c r="F432" s="146" t="e">
        <x:f>IF($A432="","",[1]!thsiFinD("ths_adjustment_nv_fund",F$3,$A432))</x:f>
        <x:v>#NAME?</x:v>
      </x:c>
      <x:c r="G432" s="146" t="e">
        <x:f>IF($A432="","",[1]!thsiFinD("ths_adjustment_nv_fund",G$3,$A432))</x:f>
        <x:v>#NAME?</x:v>
      </x:c>
      <x:c r="H432" s="146" t="e">
        <x:f>IF($A432="","",[1]!thsiFinD("ths_adjustment_nv_fund",H$3,$A432))</x:f>
        <x:v>#NAME?</x:v>
      </x:c>
      <x:c r="I432" s="146" t="e">
        <x:f>IF($A432="","",[1]!thsiFinD("ths_adjustment_nv_fund",I$3,$A432))</x:f>
        <x:v>#NAME?</x:v>
      </x:c>
      <x:c r="J432" s="146" t="e">
        <x:f>IF($A432="","",[1]!thsiFinD("ths_adjustment_nv_fund",J$3,$A432))</x:f>
        <x:v>#NAME?</x:v>
      </x:c>
      <x:c r="K432" s="146" t="e">
        <x:f>IF($A432="","",[1]!thsiFinD("ths_adjustment_nv_fund",K$3,$A432))</x:f>
        <x:v>#NAME?</x:v>
      </x:c>
      <x:c r="L432" s="146" t="e">
        <x:f>IF($A432="","",[1]!thsiFinD("ths_adjustment_nv_fund",L$3,$A432))</x:f>
        <x:v>#NAME?</x:v>
      </x:c>
      <x:c r="M432" s="146" t="e">
        <x:f>IF($A432="","",[1]!thsiFinD("ths_adjustment_nv_fund",M$3,$A432))</x:f>
        <x:v>#NAME?</x:v>
      </x:c>
      <x:c r="N432" s="146" t="e">
        <x:f>IF($A432="","",[1]!thsiFinD("ths_adjustment_nv_fund",N$3,$A432))</x:f>
        <x:v>#NAME?</x:v>
      </x:c>
      <x:c r="O432" s="146" t="e">
        <x:f>IF($A432="","",[1]!thsiFinD("ths_adjustment_nv_fund",O$3,$A432))</x:f>
        <x:v>#NAME?</x:v>
      </x:c>
      <x:c r="P432" s="146" t="e">
        <x:f>IF($A432="","",[1]!thsiFinD("ths_adjustment_nv_fund",P$3,$A432))</x:f>
        <x:v>#NAME?</x:v>
      </x:c>
      <x:c r="Q432" s="146" t="e">
        <x:f>IF($A432="","",[1]!thsiFinD("ths_adjustment_nv_fund",Q$3,$A432))</x:f>
        <x:v>#NAME?</x:v>
      </x:c>
      <x:c r="R432" s="146" t="e">
        <x:f>IF($A432="","",[1]!thsiFinD("ths_adjustment_nv_fund",R$3,$A432))</x:f>
        <x:v>#NAME?</x:v>
      </x:c>
      <x:c r="S432" s="146" t="e">
        <x:f>IF($A432="","",[1]!thsiFinD("ths_adjustment_nv_fund",S$3,$A432))</x:f>
        <x:v>#NAME?</x:v>
      </x:c>
      <x:c r="T432" s="146" t="e">
        <x:f>IF($A432="","",[1]!thsiFinD("ths_adjustment_nv_fund",T$3,$A432))</x:f>
        <x:v>#NAME?</x:v>
      </x:c>
      <x:c r="U432" s="146" t="e">
        <x:f>IF($A432="","",[1]!thsiFinD("ths_adjustment_nv_fund",U$3,$A432))</x:f>
        <x:v>#NAME?</x:v>
      </x:c>
      <x:c r="V432" s="146" t="e">
        <x:f>IF($A432="","",[1]!thsiFinD("ths_adjustment_nv_fund",V$3,$A432))</x:f>
        <x:v>#NAME?</x:v>
      </x:c>
      <x:c r="W432" s="146" t="e">
        <x:f>IF($A432="","",[1]!thsiFinD("ths_adjustment_nv_fund",W$3,$A432))</x:f>
        <x:v>#NAME?</x:v>
      </x:c>
      <x:c r="X432" s="146" t="e">
        <x:f>IF($A432="","",[1]!thsiFinD("ths_adjustment_nv_fund",X$3,$A432))</x:f>
        <x:v>#NAME?</x:v>
      </x:c>
      <x:c r="Y432" s="146" t="e">
        <x:f>IF($A432="","",[1]!thsiFinD("ths_adjustment_nv_fund",Y$3,$A432))</x:f>
        <x:v>#NAME?</x:v>
      </x:c>
      <x:c r="Z432" s="146" t="e">
        <x:f>IF($A432="","",[1]!thsiFinD("ths_adjustment_nv_fund",Z$3,$A432))</x:f>
        <x:v>#NAME?</x:v>
      </x:c>
      <x:c r="AA432" s="146" t="e">
        <x:f>IF($A432="","",[1]!thsiFinD("ths_adjustment_nv_fund",AA$3,$A432))</x:f>
        <x:v>#NAME?</x:v>
      </x:c>
    </x:row>
    <x:row r="433">
      <x:c r="B433" s="146" t="e">
        <x:f>IF($A433="","",[1]!thsiFinD("ths_adjustment_nv_fund",B$3,$A433))</x:f>
        <x:v>#NAME?</x:v>
      </x:c>
      <x:c r="C433" s="146" t="e">
        <x:f>IF($A433="","",[1]!thsiFinD("ths_adjustment_nv_fund",C$3,$A433))</x:f>
        <x:v>#NAME?</x:v>
      </x:c>
      <x:c r="D433" s="146" t="e">
        <x:f>IF($A433="","",[1]!thsiFinD("ths_adjustment_nv_fund",D$3,$A433))</x:f>
        <x:v>#NAME?</x:v>
      </x:c>
      <x:c r="E433" s="146" t="e">
        <x:f>IF($A433="","",[1]!thsiFinD("ths_adjustment_nv_fund",E$3,$A433))</x:f>
        <x:v>#NAME?</x:v>
      </x:c>
      <x:c r="F433" s="146" t="e">
        <x:f>IF($A433="","",[1]!thsiFinD("ths_adjustment_nv_fund",F$3,$A433))</x:f>
        <x:v>#NAME?</x:v>
      </x:c>
      <x:c r="G433" s="146" t="e">
        <x:f>IF($A433="","",[1]!thsiFinD("ths_adjustment_nv_fund",G$3,$A433))</x:f>
        <x:v>#NAME?</x:v>
      </x:c>
      <x:c r="H433" s="146" t="e">
        <x:f>IF($A433="","",[1]!thsiFinD("ths_adjustment_nv_fund",H$3,$A433))</x:f>
        <x:v>#NAME?</x:v>
      </x:c>
      <x:c r="I433" s="146" t="e">
        <x:f>IF($A433="","",[1]!thsiFinD("ths_adjustment_nv_fund",I$3,$A433))</x:f>
        <x:v>#NAME?</x:v>
      </x:c>
      <x:c r="J433" s="146" t="e">
        <x:f>IF($A433="","",[1]!thsiFinD("ths_adjustment_nv_fund",J$3,$A433))</x:f>
        <x:v>#NAME?</x:v>
      </x:c>
      <x:c r="K433" s="146" t="e">
        <x:f>IF($A433="","",[1]!thsiFinD("ths_adjustment_nv_fund",K$3,$A433))</x:f>
        <x:v>#NAME?</x:v>
      </x:c>
      <x:c r="L433" s="146" t="e">
        <x:f>IF($A433="","",[1]!thsiFinD("ths_adjustment_nv_fund",L$3,$A433))</x:f>
        <x:v>#NAME?</x:v>
      </x:c>
      <x:c r="M433" s="146" t="e">
        <x:f>IF($A433="","",[1]!thsiFinD("ths_adjustment_nv_fund",M$3,$A433))</x:f>
        <x:v>#NAME?</x:v>
      </x:c>
      <x:c r="N433" s="146" t="e">
        <x:f>IF($A433="","",[1]!thsiFinD("ths_adjustment_nv_fund",N$3,$A433))</x:f>
        <x:v>#NAME?</x:v>
      </x:c>
      <x:c r="O433" s="146" t="e">
        <x:f>IF($A433="","",[1]!thsiFinD("ths_adjustment_nv_fund",O$3,$A433))</x:f>
        <x:v>#NAME?</x:v>
      </x:c>
      <x:c r="P433" s="146" t="e">
        <x:f>IF($A433="","",[1]!thsiFinD("ths_adjustment_nv_fund",P$3,$A433))</x:f>
        <x:v>#NAME?</x:v>
      </x:c>
      <x:c r="Q433" s="146" t="e">
        <x:f>IF($A433="","",[1]!thsiFinD("ths_adjustment_nv_fund",Q$3,$A433))</x:f>
        <x:v>#NAME?</x:v>
      </x:c>
      <x:c r="R433" s="146" t="e">
        <x:f>IF($A433="","",[1]!thsiFinD("ths_adjustment_nv_fund",R$3,$A433))</x:f>
        <x:v>#NAME?</x:v>
      </x:c>
      <x:c r="S433" s="146" t="e">
        <x:f>IF($A433="","",[1]!thsiFinD("ths_adjustment_nv_fund",S$3,$A433))</x:f>
        <x:v>#NAME?</x:v>
      </x:c>
      <x:c r="T433" s="146" t="e">
        <x:f>IF($A433="","",[1]!thsiFinD("ths_adjustment_nv_fund",T$3,$A433))</x:f>
        <x:v>#NAME?</x:v>
      </x:c>
      <x:c r="U433" s="146" t="e">
        <x:f>IF($A433="","",[1]!thsiFinD("ths_adjustment_nv_fund",U$3,$A433))</x:f>
        <x:v>#NAME?</x:v>
      </x:c>
      <x:c r="V433" s="146" t="e">
        <x:f>IF($A433="","",[1]!thsiFinD("ths_adjustment_nv_fund",V$3,$A433))</x:f>
        <x:v>#NAME?</x:v>
      </x:c>
      <x:c r="W433" s="146" t="e">
        <x:f>IF($A433="","",[1]!thsiFinD("ths_adjustment_nv_fund",W$3,$A433))</x:f>
        <x:v>#NAME?</x:v>
      </x:c>
      <x:c r="X433" s="146" t="e">
        <x:f>IF($A433="","",[1]!thsiFinD("ths_adjustment_nv_fund",X$3,$A433))</x:f>
        <x:v>#NAME?</x:v>
      </x:c>
      <x:c r="Y433" s="146" t="e">
        <x:f>IF($A433="","",[1]!thsiFinD("ths_adjustment_nv_fund",Y$3,$A433))</x:f>
        <x:v>#NAME?</x:v>
      </x:c>
      <x:c r="Z433" s="146" t="e">
        <x:f>IF($A433="","",[1]!thsiFinD("ths_adjustment_nv_fund",Z$3,$A433))</x:f>
        <x:v>#NAME?</x:v>
      </x:c>
      <x:c r="AA433" s="146" t="e">
        <x:f>IF($A433="","",[1]!thsiFinD("ths_adjustment_nv_fund",AA$3,$A433))</x:f>
        <x:v>#NAME?</x:v>
      </x:c>
    </x:row>
    <x:row r="434">
      <x:c r="B434" s="146" t="e">
        <x:f>IF($A434="","",[1]!thsiFinD("ths_adjustment_nv_fund",B$3,$A434))</x:f>
        <x:v>#NAME?</x:v>
      </x:c>
      <x:c r="C434" s="146" t="e">
        <x:f>IF($A434="","",[1]!thsiFinD("ths_adjustment_nv_fund",C$3,$A434))</x:f>
        <x:v>#NAME?</x:v>
      </x:c>
      <x:c r="D434" s="146" t="e">
        <x:f>IF($A434="","",[1]!thsiFinD("ths_adjustment_nv_fund",D$3,$A434))</x:f>
        <x:v>#NAME?</x:v>
      </x:c>
      <x:c r="E434" s="146" t="e">
        <x:f>IF($A434="","",[1]!thsiFinD("ths_adjustment_nv_fund",E$3,$A434))</x:f>
        <x:v>#NAME?</x:v>
      </x:c>
      <x:c r="F434" s="146" t="e">
        <x:f>IF($A434="","",[1]!thsiFinD("ths_adjustment_nv_fund",F$3,$A434))</x:f>
        <x:v>#NAME?</x:v>
      </x:c>
      <x:c r="G434" s="146" t="e">
        <x:f>IF($A434="","",[1]!thsiFinD("ths_adjustment_nv_fund",G$3,$A434))</x:f>
        <x:v>#NAME?</x:v>
      </x:c>
      <x:c r="H434" s="146" t="e">
        <x:f>IF($A434="","",[1]!thsiFinD("ths_adjustment_nv_fund",H$3,$A434))</x:f>
        <x:v>#NAME?</x:v>
      </x:c>
      <x:c r="I434" s="146" t="e">
        <x:f>IF($A434="","",[1]!thsiFinD("ths_adjustment_nv_fund",I$3,$A434))</x:f>
        <x:v>#NAME?</x:v>
      </x:c>
      <x:c r="J434" s="146" t="e">
        <x:f>IF($A434="","",[1]!thsiFinD("ths_adjustment_nv_fund",J$3,$A434))</x:f>
        <x:v>#NAME?</x:v>
      </x:c>
      <x:c r="K434" s="146" t="e">
        <x:f>IF($A434="","",[1]!thsiFinD("ths_adjustment_nv_fund",K$3,$A434))</x:f>
        <x:v>#NAME?</x:v>
      </x:c>
      <x:c r="L434" s="146" t="e">
        <x:f>IF($A434="","",[1]!thsiFinD("ths_adjustment_nv_fund",L$3,$A434))</x:f>
        <x:v>#NAME?</x:v>
      </x:c>
      <x:c r="M434" s="146" t="e">
        <x:f>IF($A434="","",[1]!thsiFinD("ths_adjustment_nv_fund",M$3,$A434))</x:f>
        <x:v>#NAME?</x:v>
      </x:c>
      <x:c r="N434" s="146" t="e">
        <x:f>IF($A434="","",[1]!thsiFinD("ths_adjustment_nv_fund",N$3,$A434))</x:f>
        <x:v>#NAME?</x:v>
      </x:c>
      <x:c r="O434" s="146" t="e">
        <x:f>IF($A434="","",[1]!thsiFinD("ths_adjustment_nv_fund",O$3,$A434))</x:f>
        <x:v>#NAME?</x:v>
      </x:c>
      <x:c r="P434" s="146" t="e">
        <x:f>IF($A434="","",[1]!thsiFinD("ths_adjustment_nv_fund",P$3,$A434))</x:f>
        <x:v>#NAME?</x:v>
      </x:c>
      <x:c r="Q434" s="146" t="e">
        <x:f>IF($A434="","",[1]!thsiFinD("ths_adjustment_nv_fund",Q$3,$A434))</x:f>
        <x:v>#NAME?</x:v>
      </x:c>
      <x:c r="R434" s="146" t="e">
        <x:f>IF($A434="","",[1]!thsiFinD("ths_adjustment_nv_fund",R$3,$A434))</x:f>
        <x:v>#NAME?</x:v>
      </x:c>
      <x:c r="S434" s="146" t="e">
        <x:f>IF($A434="","",[1]!thsiFinD("ths_adjustment_nv_fund",S$3,$A434))</x:f>
        <x:v>#NAME?</x:v>
      </x:c>
      <x:c r="T434" s="146" t="e">
        <x:f>IF($A434="","",[1]!thsiFinD("ths_adjustment_nv_fund",T$3,$A434))</x:f>
        <x:v>#NAME?</x:v>
      </x:c>
      <x:c r="U434" s="146" t="e">
        <x:f>IF($A434="","",[1]!thsiFinD("ths_adjustment_nv_fund",U$3,$A434))</x:f>
        <x:v>#NAME?</x:v>
      </x:c>
      <x:c r="V434" s="146" t="e">
        <x:f>IF($A434="","",[1]!thsiFinD("ths_adjustment_nv_fund",V$3,$A434))</x:f>
        <x:v>#NAME?</x:v>
      </x:c>
      <x:c r="W434" s="146" t="e">
        <x:f>IF($A434="","",[1]!thsiFinD("ths_adjustment_nv_fund",W$3,$A434))</x:f>
        <x:v>#NAME?</x:v>
      </x:c>
      <x:c r="X434" s="146" t="e">
        <x:f>IF($A434="","",[1]!thsiFinD("ths_adjustment_nv_fund",X$3,$A434))</x:f>
        <x:v>#NAME?</x:v>
      </x:c>
      <x:c r="Y434" s="146" t="e">
        <x:f>IF($A434="","",[1]!thsiFinD("ths_adjustment_nv_fund",Y$3,$A434))</x:f>
        <x:v>#NAME?</x:v>
      </x:c>
      <x:c r="Z434" s="146" t="e">
        <x:f>IF($A434="","",[1]!thsiFinD("ths_adjustment_nv_fund",Z$3,$A434))</x:f>
        <x:v>#NAME?</x:v>
      </x:c>
      <x:c r="AA434" s="146" t="e">
        <x:f>IF($A434="","",[1]!thsiFinD("ths_adjustment_nv_fund",AA$3,$A434))</x:f>
        <x:v>#NAME?</x:v>
      </x:c>
    </x:row>
    <x:row r="435">
      <x:c r="B435" s="146" t="e">
        <x:f>IF($A435="","",[1]!thsiFinD("ths_adjustment_nv_fund",B$3,$A435))</x:f>
        <x:v>#NAME?</x:v>
      </x:c>
      <x:c r="C435" s="146" t="e">
        <x:f>IF($A435="","",[1]!thsiFinD("ths_adjustment_nv_fund",C$3,$A435))</x:f>
        <x:v>#NAME?</x:v>
      </x:c>
      <x:c r="D435" s="146" t="e">
        <x:f>IF($A435="","",[1]!thsiFinD("ths_adjustment_nv_fund",D$3,$A435))</x:f>
        <x:v>#NAME?</x:v>
      </x:c>
      <x:c r="E435" s="146" t="e">
        <x:f>IF($A435="","",[1]!thsiFinD("ths_adjustment_nv_fund",E$3,$A435))</x:f>
        <x:v>#NAME?</x:v>
      </x:c>
      <x:c r="F435" s="146" t="e">
        <x:f>IF($A435="","",[1]!thsiFinD("ths_adjustment_nv_fund",F$3,$A435))</x:f>
        <x:v>#NAME?</x:v>
      </x:c>
      <x:c r="G435" s="146" t="e">
        <x:f>IF($A435="","",[1]!thsiFinD("ths_adjustment_nv_fund",G$3,$A435))</x:f>
        <x:v>#NAME?</x:v>
      </x:c>
      <x:c r="H435" s="146" t="e">
        <x:f>IF($A435="","",[1]!thsiFinD("ths_adjustment_nv_fund",H$3,$A435))</x:f>
        <x:v>#NAME?</x:v>
      </x:c>
      <x:c r="I435" s="146" t="e">
        <x:f>IF($A435="","",[1]!thsiFinD("ths_adjustment_nv_fund",I$3,$A435))</x:f>
        <x:v>#NAME?</x:v>
      </x:c>
      <x:c r="J435" s="146" t="e">
        <x:f>IF($A435="","",[1]!thsiFinD("ths_adjustment_nv_fund",J$3,$A435))</x:f>
        <x:v>#NAME?</x:v>
      </x:c>
      <x:c r="K435" s="146" t="e">
        <x:f>IF($A435="","",[1]!thsiFinD("ths_adjustment_nv_fund",K$3,$A435))</x:f>
        <x:v>#NAME?</x:v>
      </x:c>
      <x:c r="L435" s="146" t="e">
        <x:f>IF($A435="","",[1]!thsiFinD("ths_adjustment_nv_fund",L$3,$A435))</x:f>
        <x:v>#NAME?</x:v>
      </x:c>
      <x:c r="M435" s="146" t="e">
        <x:f>IF($A435="","",[1]!thsiFinD("ths_adjustment_nv_fund",M$3,$A435))</x:f>
        <x:v>#NAME?</x:v>
      </x:c>
      <x:c r="N435" s="146" t="e">
        <x:f>IF($A435="","",[1]!thsiFinD("ths_adjustment_nv_fund",N$3,$A435))</x:f>
        <x:v>#NAME?</x:v>
      </x:c>
      <x:c r="O435" s="146" t="e">
        <x:f>IF($A435="","",[1]!thsiFinD("ths_adjustment_nv_fund",O$3,$A435))</x:f>
        <x:v>#NAME?</x:v>
      </x:c>
      <x:c r="P435" s="146" t="e">
        <x:f>IF($A435="","",[1]!thsiFinD("ths_adjustment_nv_fund",P$3,$A435))</x:f>
        <x:v>#NAME?</x:v>
      </x:c>
      <x:c r="Q435" s="146" t="e">
        <x:f>IF($A435="","",[1]!thsiFinD("ths_adjustment_nv_fund",Q$3,$A435))</x:f>
        <x:v>#NAME?</x:v>
      </x:c>
      <x:c r="R435" s="146" t="e">
        <x:f>IF($A435="","",[1]!thsiFinD("ths_adjustment_nv_fund",R$3,$A435))</x:f>
        <x:v>#NAME?</x:v>
      </x:c>
      <x:c r="S435" s="146" t="e">
        <x:f>IF($A435="","",[1]!thsiFinD("ths_adjustment_nv_fund",S$3,$A435))</x:f>
        <x:v>#NAME?</x:v>
      </x:c>
      <x:c r="T435" s="146" t="e">
        <x:f>IF($A435="","",[1]!thsiFinD("ths_adjustment_nv_fund",T$3,$A435))</x:f>
        <x:v>#NAME?</x:v>
      </x:c>
      <x:c r="U435" s="146" t="e">
        <x:f>IF($A435="","",[1]!thsiFinD("ths_adjustment_nv_fund",U$3,$A435))</x:f>
        <x:v>#NAME?</x:v>
      </x:c>
      <x:c r="V435" s="146" t="e">
        <x:f>IF($A435="","",[1]!thsiFinD("ths_adjustment_nv_fund",V$3,$A435))</x:f>
        <x:v>#NAME?</x:v>
      </x:c>
      <x:c r="W435" s="146" t="e">
        <x:f>IF($A435="","",[1]!thsiFinD("ths_adjustment_nv_fund",W$3,$A435))</x:f>
        <x:v>#NAME?</x:v>
      </x:c>
      <x:c r="X435" s="146" t="e">
        <x:f>IF($A435="","",[1]!thsiFinD("ths_adjustment_nv_fund",X$3,$A435))</x:f>
        <x:v>#NAME?</x:v>
      </x:c>
      <x:c r="Y435" s="146" t="e">
        <x:f>IF($A435="","",[1]!thsiFinD("ths_adjustment_nv_fund",Y$3,$A435))</x:f>
        <x:v>#NAME?</x:v>
      </x:c>
      <x:c r="Z435" s="146" t="e">
        <x:f>IF($A435="","",[1]!thsiFinD("ths_adjustment_nv_fund",Z$3,$A435))</x:f>
        <x:v>#NAME?</x:v>
      </x:c>
      <x:c r="AA435" s="146" t="e">
        <x:f>IF($A435="","",[1]!thsiFinD("ths_adjustment_nv_fund",AA$3,$A435))</x:f>
        <x:v>#NAME?</x:v>
      </x:c>
    </x:row>
    <x:row r="436">
      <x:c r="B436" s="146" t="e">
        <x:f>IF($A436="","",[1]!thsiFinD("ths_adjustment_nv_fund",B$3,$A436))</x:f>
        <x:v>#NAME?</x:v>
      </x:c>
      <x:c r="C436" s="146" t="e">
        <x:f>IF($A436="","",[1]!thsiFinD("ths_adjustment_nv_fund",C$3,$A436))</x:f>
        <x:v>#NAME?</x:v>
      </x:c>
      <x:c r="D436" s="146" t="e">
        <x:f>IF($A436="","",[1]!thsiFinD("ths_adjustment_nv_fund",D$3,$A436))</x:f>
        <x:v>#NAME?</x:v>
      </x:c>
      <x:c r="E436" s="146" t="e">
        <x:f>IF($A436="","",[1]!thsiFinD("ths_adjustment_nv_fund",E$3,$A436))</x:f>
        <x:v>#NAME?</x:v>
      </x:c>
      <x:c r="F436" s="146" t="e">
        <x:f>IF($A436="","",[1]!thsiFinD("ths_adjustment_nv_fund",F$3,$A436))</x:f>
        <x:v>#NAME?</x:v>
      </x:c>
      <x:c r="G436" s="146" t="e">
        <x:f>IF($A436="","",[1]!thsiFinD("ths_adjustment_nv_fund",G$3,$A436))</x:f>
        <x:v>#NAME?</x:v>
      </x:c>
      <x:c r="H436" s="146" t="e">
        <x:f>IF($A436="","",[1]!thsiFinD("ths_adjustment_nv_fund",H$3,$A436))</x:f>
        <x:v>#NAME?</x:v>
      </x:c>
      <x:c r="I436" s="146" t="e">
        <x:f>IF($A436="","",[1]!thsiFinD("ths_adjustment_nv_fund",I$3,$A436))</x:f>
        <x:v>#NAME?</x:v>
      </x:c>
      <x:c r="J436" s="146" t="e">
        <x:f>IF($A436="","",[1]!thsiFinD("ths_adjustment_nv_fund",J$3,$A436))</x:f>
        <x:v>#NAME?</x:v>
      </x:c>
      <x:c r="K436" s="146" t="e">
        <x:f>IF($A436="","",[1]!thsiFinD("ths_adjustment_nv_fund",K$3,$A436))</x:f>
        <x:v>#NAME?</x:v>
      </x:c>
      <x:c r="L436" s="146" t="e">
        <x:f>IF($A436="","",[1]!thsiFinD("ths_adjustment_nv_fund",L$3,$A436))</x:f>
        <x:v>#NAME?</x:v>
      </x:c>
      <x:c r="M436" s="146" t="e">
        <x:f>IF($A436="","",[1]!thsiFinD("ths_adjustment_nv_fund",M$3,$A436))</x:f>
        <x:v>#NAME?</x:v>
      </x:c>
      <x:c r="N436" s="146" t="e">
        <x:f>IF($A436="","",[1]!thsiFinD("ths_adjustment_nv_fund",N$3,$A436))</x:f>
        <x:v>#NAME?</x:v>
      </x:c>
      <x:c r="O436" s="146" t="e">
        <x:f>IF($A436="","",[1]!thsiFinD("ths_adjustment_nv_fund",O$3,$A436))</x:f>
        <x:v>#NAME?</x:v>
      </x:c>
      <x:c r="P436" s="146" t="e">
        <x:f>IF($A436="","",[1]!thsiFinD("ths_adjustment_nv_fund",P$3,$A436))</x:f>
        <x:v>#NAME?</x:v>
      </x:c>
      <x:c r="Q436" s="146" t="e">
        <x:f>IF($A436="","",[1]!thsiFinD("ths_adjustment_nv_fund",Q$3,$A436))</x:f>
        <x:v>#NAME?</x:v>
      </x:c>
      <x:c r="R436" s="146" t="e">
        <x:f>IF($A436="","",[1]!thsiFinD("ths_adjustment_nv_fund",R$3,$A436))</x:f>
        <x:v>#NAME?</x:v>
      </x:c>
      <x:c r="S436" s="146" t="e">
        <x:f>IF($A436="","",[1]!thsiFinD("ths_adjustment_nv_fund",S$3,$A436))</x:f>
        <x:v>#NAME?</x:v>
      </x:c>
      <x:c r="T436" s="146" t="e">
        <x:f>IF($A436="","",[1]!thsiFinD("ths_adjustment_nv_fund",T$3,$A436))</x:f>
        <x:v>#NAME?</x:v>
      </x:c>
      <x:c r="U436" s="146" t="e">
        <x:f>IF($A436="","",[1]!thsiFinD("ths_adjustment_nv_fund",U$3,$A436))</x:f>
        <x:v>#NAME?</x:v>
      </x:c>
      <x:c r="V436" s="146" t="e">
        <x:f>IF($A436="","",[1]!thsiFinD("ths_adjustment_nv_fund",V$3,$A436))</x:f>
        <x:v>#NAME?</x:v>
      </x:c>
      <x:c r="W436" s="146" t="e">
        <x:f>IF($A436="","",[1]!thsiFinD("ths_adjustment_nv_fund",W$3,$A436))</x:f>
        <x:v>#NAME?</x:v>
      </x:c>
      <x:c r="X436" s="146" t="e">
        <x:f>IF($A436="","",[1]!thsiFinD("ths_adjustment_nv_fund",X$3,$A436))</x:f>
        <x:v>#NAME?</x:v>
      </x:c>
      <x:c r="Y436" s="146" t="e">
        <x:f>IF($A436="","",[1]!thsiFinD("ths_adjustment_nv_fund",Y$3,$A436))</x:f>
        <x:v>#NAME?</x:v>
      </x:c>
      <x:c r="Z436" s="146" t="e">
        <x:f>IF($A436="","",[1]!thsiFinD("ths_adjustment_nv_fund",Z$3,$A436))</x:f>
        <x:v>#NAME?</x:v>
      </x:c>
      <x:c r="AA436" s="146" t="e">
        <x:f>IF($A436="","",[1]!thsiFinD("ths_adjustment_nv_fund",AA$3,$A436))</x:f>
        <x:v>#NAME?</x:v>
      </x:c>
    </x:row>
    <x:row r="437">
      <x:c r="B437" s="146" t="e">
        <x:f>IF($A437="","",[1]!thsiFinD("ths_adjustment_nv_fund",B$3,$A437))</x:f>
        <x:v>#NAME?</x:v>
      </x:c>
      <x:c r="C437" s="146" t="e">
        <x:f>IF($A437="","",[1]!thsiFinD("ths_adjustment_nv_fund",C$3,$A437))</x:f>
        <x:v>#NAME?</x:v>
      </x:c>
      <x:c r="D437" s="146" t="e">
        <x:f>IF($A437="","",[1]!thsiFinD("ths_adjustment_nv_fund",D$3,$A437))</x:f>
        <x:v>#NAME?</x:v>
      </x:c>
      <x:c r="E437" s="146" t="e">
        <x:f>IF($A437="","",[1]!thsiFinD("ths_adjustment_nv_fund",E$3,$A437))</x:f>
        <x:v>#NAME?</x:v>
      </x:c>
      <x:c r="F437" s="146" t="e">
        <x:f>IF($A437="","",[1]!thsiFinD("ths_adjustment_nv_fund",F$3,$A437))</x:f>
        <x:v>#NAME?</x:v>
      </x:c>
      <x:c r="G437" s="146" t="e">
        <x:f>IF($A437="","",[1]!thsiFinD("ths_adjustment_nv_fund",G$3,$A437))</x:f>
        <x:v>#NAME?</x:v>
      </x:c>
      <x:c r="H437" s="146" t="e">
        <x:f>IF($A437="","",[1]!thsiFinD("ths_adjustment_nv_fund",H$3,$A437))</x:f>
        <x:v>#NAME?</x:v>
      </x:c>
      <x:c r="I437" s="146" t="e">
        <x:f>IF($A437="","",[1]!thsiFinD("ths_adjustment_nv_fund",I$3,$A437))</x:f>
        <x:v>#NAME?</x:v>
      </x:c>
      <x:c r="J437" s="146" t="e">
        <x:f>IF($A437="","",[1]!thsiFinD("ths_adjustment_nv_fund",J$3,$A437))</x:f>
        <x:v>#NAME?</x:v>
      </x:c>
      <x:c r="K437" s="146" t="e">
        <x:f>IF($A437="","",[1]!thsiFinD("ths_adjustment_nv_fund",K$3,$A437))</x:f>
        <x:v>#NAME?</x:v>
      </x:c>
      <x:c r="L437" s="146" t="e">
        <x:f>IF($A437="","",[1]!thsiFinD("ths_adjustment_nv_fund",L$3,$A437))</x:f>
        <x:v>#NAME?</x:v>
      </x:c>
      <x:c r="M437" s="146" t="e">
        <x:f>IF($A437="","",[1]!thsiFinD("ths_adjustment_nv_fund",M$3,$A437))</x:f>
        <x:v>#NAME?</x:v>
      </x:c>
      <x:c r="N437" s="146" t="e">
        <x:f>IF($A437="","",[1]!thsiFinD("ths_adjustment_nv_fund",N$3,$A437))</x:f>
        <x:v>#NAME?</x:v>
      </x:c>
      <x:c r="O437" s="146" t="e">
        <x:f>IF($A437="","",[1]!thsiFinD("ths_adjustment_nv_fund",O$3,$A437))</x:f>
        <x:v>#NAME?</x:v>
      </x:c>
      <x:c r="P437" s="146" t="e">
        <x:f>IF($A437="","",[1]!thsiFinD("ths_adjustment_nv_fund",P$3,$A437))</x:f>
        <x:v>#NAME?</x:v>
      </x:c>
      <x:c r="Q437" s="146" t="e">
        <x:f>IF($A437="","",[1]!thsiFinD("ths_adjustment_nv_fund",Q$3,$A437))</x:f>
        <x:v>#NAME?</x:v>
      </x:c>
      <x:c r="R437" s="146" t="e">
        <x:f>IF($A437="","",[1]!thsiFinD("ths_adjustment_nv_fund",R$3,$A437))</x:f>
        <x:v>#NAME?</x:v>
      </x:c>
      <x:c r="S437" s="146" t="e">
        <x:f>IF($A437="","",[1]!thsiFinD("ths_adjustment_nv_fund",S$3,$A437))</x:f>
        <x:v>#NAME?</x:v>
      </x:c>
      <x:c r="T437" s="146" t="e">
        <x:f>IF($A437="","",[1]!thsiFinD("ths_adjustment_nv_fund",T$3,$A437))</x:f>
        <x:v>#NAME?</x:v>
      </x:c>
      <x:c r="U437" s="146" t="e">
        <x:f>IF($A437="","",[1]!thsiFinD("ths_adjustment_nv_fund",U$3,$A437))</x:f>
        <x:v>#NAME?</x:v>
      </x:c>
      <x:c r="V437" s="146" t="e">
        <x:f>IF($A437="","",[1]!thsiFinD("ths_adjustment_nv_fund",V$3,$A437))</x:f>
        <x:v>#NAME?</x:v>
      </x:c>
      <x:c r="W437" s="146" t="e">
        <x:f>IF($A437="","",[1]!thsiFinD("ths_adjustment_nv_fund",W$3,$A437))</x:f>
        <x:v>#NAME?</x:v>
      </x:c>
      <x:c r="X437" s="146" t="e">
        <x:f>IF($A437="","",[1]!thsiFinD("ths_adjustment_nv_fund",X$3,$A437))</x:f>
        <x:v>#NAME?</x:v>
      </x:c>
      <x:c r="Y437" s="146" t="e">
        <x:f>IF($A437="","",[1]!thsiFinD("ths_adjustment_nv_fund",Y$3,$A437))</x:f>
        <x:v>#NAME?</x:v>
      </x:c>
      <x:c r="Z437" s="146" t="e">
        <x:f>IF($A437="","",[1]!thsiFinD("ths_adjustment_nv_fund",Z$3,$A437))</x:f>
        <x:v>#NAME?</x:v>
      </x:c>
      <x:c r="AA437" s="146" t="e">
        <x:f>IF($A437="","",[1]!thsiFinD("ths_adjustment_nv_fund",AA$3,$A437))</x:f>
        <x:v>#NAME?</x:v>
      </x:c>
    </x:row>
    <x:row r="438">
      <x:c r="B438" s="146" t="e">
        <x:f>IF($A438="","",[1]!thsiFinD("ths_adjustment_nv_fund",B$3,$A438))</x:f>
        <x:v>#NAME?</x:v>
      </x:c>
      <x:c r="C438" s="146" t="e">
        <x:f>IF($A438="","",[1]!thsiFinD("ths_adjustment_nv_fund",C$3,$A438))</x:f>
        <x:v>#NAME?</x:v>
      </x:c>
      <x:c r="D438" s="146" t="e">
        <x:f>IF($A438="","",[1]!thsiFinD("ths_adjustment_nv_fund",D$3,$A438))</x:f>
        <x:v>#NAME?</x:v>
      </x:c>
      <x:c r="E438" s="146" t="e">
        <x:f>IF($A438="","",[1]!thsiFinD("ths_adjustment_nv_fund",E$3,$A438))</x:f>
        <x:v>#NAME?</x:v>
      </x:c>
      <x:c r="F438" s="146" t="e">
        <x:f>IF($A438="","",[1]!thsiFinD("ths_adjustment_nv_fund",F$3,$A438))</x:f>
        <x:v>#NAME?</x:v>
      </x:c>
      <x:c r="G438" s="146" t="e">
        <x:f>IF($A438="","",[1]!thsiFinD("ths_adjustment_nv_fund",G$3,$A438))</x:f>
        <x:v>#NAME?</x:v>
      </x:c>
      <x:c r="H438" s="146" t="e">
        <x:f>IF($A438="","",[1]!thsiFinD("ths_adjustment_nv_fund",H$3,$A438))</x:f>
        <x:v>#NAME?</x:v>
      </x:c>
      <x:c r="I438" s="146" t="e">
        <x:f>IF($A438="","",[1]!thsiFinD("ths_adjustment_nv_fund",I$3,$A438))</x:f>
        <x:v>#NAME?</x:v>
      </x:c>
      <x:c r="J438" s="146" t="e">
        <x:f>IF($A438="","",[1]!thsiFinD("ths_adjustment_nv_fund",J$3,$A438))</x:f>
        <x:v>#NAME?</x:v>
      </x:c>
      <x:c r="K438" s="146" t="e">
        <x:f>IF($A438="","",[1]!thsiFinD("ths_adjustment_nv_fund",K$3,$A438))</x:f>
        <x:v>#NAME?</x:v>
      </x:c>
      <x:c r="L438" s="146" t="e">
        <x:f>IF($A438="","",[1]!thsiFinD("ths_adjustment_nv_fund",L$3,$A438))</x:f>
        <x:v>#NAME?</x:v>
      </x:c>
      <x:c r="M438" s="146" t="e">
        <x:f>IF($A438="","",[1]!thsiFinD("ths_adjustment_nv_fund",M$3,$A438))</x:f>
        <x:v>#NAME?</x:v>
      </x:c>
      <x:c r="N438" s="146" t="e">
        <x:f>IF($A438="","",[1]!thsiFinD("ths_adjustment_nv_fund",N$3,$A438))</x:f>
        <x:v>#NAME?</x:v>
      </x:c>
      <x:c r="O438" s="146" t="e">
        <x:f>IF($A438="","",[1]!thsiFinD("ths_adjustment_nv_fund",O$3,$A438))</x:f>
        <x:v>#NAME?</x:v>
      </x:c>
      <x:c r="P438" s="146" t="e">
        <x:f>IF($A438="","",[1]!thsiFinD("ths_adjustment_nv_fund",P$3,$A438))</x:f>
        <x:v>#NAME?</x:v>
      </x:c>
      <x:c r="Q438" s="146" t="e">
        <x:f>IF($A438="","",[1]!thsiFinD("ths_adjustment_nv_fund",Q$3,$A438))</x:f>
        <x:v>#NAME?</x:v>
      </x:c>
      <x:c r="R438" s="146" t="e">
        <x:f>IF($A438="","",[1]!thsiFinD("ths_adjustment_nv_fund",R$3,$A438))</x:f>
        <x:v>#NAME?</x:v>
      </x:c>
      <x:c r="S438" s="146" t="e">
        <x:f>IF($A438="","",[1]!thsiFinD("ths_adjustment_nv_fund",S$3,$A438))</x:f>
        <x:v>#NAME?</x:v>
      </x:c>
      <x:c r="T438" s="146" t="e">
        <x:f>IF($A438="","",[1]!thsiFinD("ths_adjustment_nv_fund",T$3,$A438))</x:f>
        <x:v>#NAME?</x:v>
      </x:c>
      <x:c r="U438" s="146" t="e">
        <x:f>IF($A438="","",[1]!thsiFinD("ths_adjustment_nv_fund",U$3,$A438))</x:f>
        <x:v>#NAME?</x:v>
      </x:c>
      <x:c r="V438" s="146" t="e">
        <x:f>IF($A438="","",[1]!thsiFinD("ths_adjustment_nv_fund",V$3,$A438))</x:f>
        <x:v>#NAME?</x:v>
      </x:c>
      <x:c r="W438" s="146" t="e">
        <x:f>IF($A438="","",[1]!thsiFinD("ths_adjustment_nv_fund",W$3,$A438))</x:f>
        <x:v>#NAME?</x:v>
      </x:c>
      <x:c r="X438" s="146" t="e">
        <x:f>IF($A438="","",[1]!thsiFinD("ths_adjustment_nv_fund",X$3,$A438))</x:f>
        <x:v>#NAME?</x:v>
      </x:c>
      <x:c r="Y438" s="146" t="e">
        <x:f>IF($A438="","",[1]!thsiFinD("ths_adjustment_nv_fund",Y$3,$A438))</x:f>
        <x:v>#NAME?</x:v>
      </x:c>
      <x:c r="Z438" s="146" t="e">
        <x:f>IF($A438="","",[1]!thsiFinD("ths_adjustment_nv_fund",Z$3,$A438))</x:f>
        <x:v>#NAME?</x:v>
      </x:c>
      <x:c r="AA438" s="146" t="e">
        <x:f>IF($A438="","",[1]!thsiFinD("ths_adjustment_nv_fund",AA$3,$A438))</x:f>
        <x:v>#NAME?</x:v>
      </x:c>
    </x:row>
    <x:row r="439">
      <x:c r="B439" s="146" t="e">
        <x:f>IF($A439="","",[1]!thsiFinD("ths_adjustment_nv_fund",B$3,$A439))</x:f>
        <x:v>#NAME?</x:v>
      </x:c>
      <x:c r="C439" s="146" t="e">
        <x:f>IF($A439="","",[1]!thsiFinD("ths_adjustment_nv_fund",C$3,$A439))</x:f>
        <x:v>#NAME?</x:v>
      </x:c>
      <x:c r="D439" s="146" t="e">
        <x:f>IF($A439="","",[1]!thsiFinD("ths_adjustment_nv_fund",D$3,$A439))</x:f>
        <x:v>#NAME?</x:v>
      </x:c>
      <x:c r="E439" s="146" t="e">
        <x:f>IF($A439="","",[1]!thsiFinD("ths_adjustment_nv_fund",E$3,$A439))</x:f>
        <x:v>#NAME?</x:v>
      </x:c>
      <x:c r="F439" s="146" t="e">
        <x:f>IF($A439="","",[1]!thsiFinD("ths_adjustment_nv_fund",F$3,$A439))</x:f>
        <x:v>#NAME?</x:v>
      </x:c>
      <x:c r="G439" s="146" t="e">
        <x:f>IF($A439="","",[1]!thsiFinD("ths_adjustment_nv_fund",G$3,$A439))</x:f>
        <x:v>#NAME?</x:v>
      </x:c>
      <x:c r="H439" s="146" t="e">
        <x:f>IF($A439="","",[1]!thsiFinD("ths_adjustment_nv_fund",H$3,$A439))</x:f>
        <x:v>#NAME?</x:v>
      </x:c>
      <x:c r="I439" s="146" t="e">
        <x:f>IF($A439="","",[1]!thsiFinD("ths_adjustment_nv_fund",I$3,$A439))</x:f>
        <x:v>#NAME?</x:v>
      </x:c>
      <x:c r="J439" s="146" t="e">
        <x:f>IF($A439="","",[1]!thsiFinD("ths_adjustment_nv_fund",J$3,$A439))</x:f>
        <x:v>#NAME?</x:v>
      </x:c>
      <x:c r="K439" s="146" t="e">
        <x:f>IF($A439="","",[1]!thsiFinD("ths_adjustment_nv_fund",K$3,$A439))</x:f>
        <x:v>#NAME?</x:v>
      </x:c>
      <x:c r="L439" s="146" t="e">
        <x:f>IF($A439="","",[1]!thsiFinD("ths_adjustment_nv_fund",L$3,$A439))</x:f>
        <x:v>#NAME?</x:v>
      </x:c>
      <x:c r="M439" s="146" t="e">
        <x:f>IF($A439="","",[1]!thsiFinD("ths_adjustment_nv_fund",M$3,$A439))</x:f>
        <x:v>#NAME?</x:v>
      </x:c>
      <x:c r="N439" s="146" t="e">
        <x:f>IF($A439="","",[1]!thsiFinD("ths_adjustment_nv_fund",N$3,$A439))</x:f>
        <x:v>#NAME?</x:v>
      </x:c>
      <x:c r="O439" s="146" t="e">
        <x:f>IF($A439="","",[1]!thsiFinD("ths_adjustment_nv_fund",O$3,$A439))</x:f>
        <x:v>#NAME?</x:v>
      </x:c>
      <x:c r="P439" s="146" t="e">
        <x:f>IF($A439="","",[1]!thsiFinD("ths_adjustment_nv_fund",P$3,$A439))</x:f>
        <x:v>#NAME?</x:v>
      </x:c>
      <x:c r="Q439" s="146" t="e">
        <x:f>IF($A439="","",[1]!thsiFinD("ths_adjustment_nv_fund",Q$3,$A439))</x:f>
        <x:v>#NAME?</x:v>
      </x:c>
      <x:c r="R439" s="146" t="e">
        <x:f>IF($A439="","",[1]!thsiFinD("ths_adjustment_nv_fund",R$3,$A439))</x:f>
        <x:v>#NAME?</x:v>
      </x:c>
      <x:c r="S439" s="146" t="e">
        <x:f>IF($A439="","",[1]!thsiFinD("ths_adjustment_nv_fund",S$3,$A439))</x:f>
        <x:v>#NAME?</x:v>
      </x:c>
      <x:c r="T439" s="146" t="e">
        <x:f>IF($A439="","",[1]!thsiFinD("ths_adjustment_nv_fund",T$3,$A439))</x:f>
        <x:v>#NAME?</x:v>
      </x:c>
      <x:c r="U439" s="146" t="e">
        <x:f>IF($A439="","",[1]!thsiFinD("ths_adjustment_nv_fund",U$3,$A439))</x:f>
        <x:v>#NAME?</x:v>
      </x:c>
      <x:c r="V439" s="146" t="e">
        <x:f>IF($A439="","",[1]!thsiFinD("ths_adjustment_nv_fund",V$3,$A439))</x:f>
        <x:v>#NAME?</x:v>
      </x:c>
      <x:c r="W439" s="146" t="e">
        <x:f>IF($A439="","",[1]!thsiFinD("ths_adjustment_nv_fund",W$3,$A439))</x:f>
        <x:v>#NAME?</x:v>
      </x:c>
      <x:c r="X439" s="146" t="e">
        <x:f>IF($A439="","",[1]!thsiFinD("ths_adjustment_nv_fund",X$3,$A439))</x:f>
        <x:v>#NAME?</x:v>
      </x:c>
      <x:c r="Y439" s="146" t="e">
        <x:f>IF($A439="","",[1]!thsiFinD("ths_adjustment_nv_fund",Y$3,$A439))</x:f>
        <x:v>#NAME?</x:v>
      </x:c>
      <x:c r="Z439" s="146" t="e">
        <x:f>IF($A439="","",[1]!thsiFinD("ths_adjustment_nv_fund",Z$3,$A439))</x:f>
        <x:v>#NAME?</x:v>
      </x:c>
      <x:c r="AA439" s="146" t="e">
        <x:f>IF($A439="","",[1]!thsiFinD("ths_adjustment_nv_fund",AA$3,$A439))</x:f>
        <x:v>#NAME?</x:v>
      </x:c>
    </x:row>
    <x:row r="440">
      <x:c r="B440" s="146" t="e">
        <x:f>IF($A440="","",[1]!thsiFinD("ths_adjustment_nv_fund",B$3,$A440))</x:f>
        <x:v>#NAME?</x:v>
      </x:c>
      <x:c r="C440" s="146" t="e">
        <x:f>IF($A440="","",[1]!thsiFinD("ths_adjustment_nv_fund",C$3,$A440))</x:f>
        <x:v>#NAME?</x:v>
      </x:c>
      <x:c r="D440" s="146" t="e">
        <x:f>IF($A440="","",[1]!thsiFinD("ths_adjustment_nv_fund",D$3,$A440))</x:f>
        <x:v>#NAME?</x:v>
      </x:c>
      <x:c r="E440" s="146" t="e">
        <x:f>IF($A440="","",[1]!thsiFinD("ths_adjustment_nv_fund",E$3,$A440))</x:f>
        <x:v>#NAME?</x:v>
      </x:c>
      <x:c r="F440" s="146" t="e">
        <x:f>IF($A440="","",[1]!thsiFinD("ths_adjustment_nv_fund",F$3,$A440))</x:f>
        <x:v>#NAME?</x:v>
      </x:c>
      <x:c r="G440" s="146" t="e">
        <x:f>IF($A440="","",[1]!thsiFinD("ths_adjustment_nv_fund",G$3,$A440))</x:f>
        <x:v>#NAME?</x:v>
      </x:c>
      <x:c r="H440" s="146" t="e">
        <x:f>IF($A440="","",[1]!thsiFinD("ths_adjustment_nv_fund",H$3,$A440))</x:f>
        <x:v>#NAME?</x:v>
      </x:c>
      <x:c r="I440" s="146" t="e">
        <x:f>IF($A440="","",[1]!thsiFinD("ths_adjustment_nv_fund",I$3,$A440))</x:f>
        <x:v>#NAME?</x:v>
      </x:c>
      <x:c r="J440" s="146" t="e">
        <x:f>IF($A440="","",[1]!thsiFinD("ths_adjustment_nv_fund",J$3,$A440))</x:f>
        <x:v>#NAME?</x:v>
      </x:c>
      <x:c r="K440" s="146" t="e">
        <x:f>IF($A440="","",[1]!thsiFinD("ths_adjustment_nv_fund",K$3,$A440))</x:f>
        <x:v>#NAME?</x:v>
      </x:c>
      <x:c r="L440" s="146" t="e">
        <x:f>IF($A440="","",[1]!thsiFinD("ths_adjustment_nv_fund",L$3,$A440))</x:f>
        <x:v>#NAME?</x:v>
      </x:c>
      <x:c r="M440" s="146" t="e">
        <x:f>IF($A440="","",[1]!thsiFinD("ths_adjustment_nv_fund",M$3,$A440))</x:f>
        <x:v>#NAME?</x:v>
      </x:c>
      <x:c r="N440" s="146" t="e">
        <x:f>IF($A440="","",[1]!thsiFinD("ths_adjustment_nv_fund",N$3,$A440))</x:f>
        <x:v>#NAME?</x:v>
      </x:c>
      <x:c r="O440" s="146" t="e">
        <x:f>IF($A440="","",[1]!thsiFinD("ths_adjustment_nv_fund",O$3,$A440))</x:f>
        <x:v>#NAME?</x:v>
      </x:c>
      <x:c r="P440" s="146" t="e">
        <x:f>IF($A440="","",[1]!thsiFinD("ths_adjustment_nv_fund",P$3,$A440))</x:f>
        <x:v>#NAME?</x:v>
      </x:c>
      <x:c r="Q440" s="146" t="e">
        <x:f>IF($A440="","",[1]!thsiFinD("ths_adjustment_nv_fund",Q$3,$A440))</x:f>
        <x:v>#NAME?</x:v>
      </x:c>
      <x:c r="R440" s="146" t="e">
        <x:f>IF($A440="","",[1]!thsiFinD("ths_adjustment_nv_fund",R$3,$A440))</x:f>
        <x:v>#NAME?</x:v>
      </x:c>
      <x:c r="S440" s="146" t="e">
        <x:f>IF($A440="","",[1]!thsiFinD("ths_adjustment_nv_fund",S$3,$A440))</x:f>
        <x:v>#NAME?</x:v>
      </x:c>
      <x:c r="T440" s="146" t="e">
        <x:f>IF($A440="","",[1]!thsiFinD("ths_adjustment_nv_fund",T$3,$A440))</x:f>
        <x:v>#NAME?</x:v>
      </x:c>
      <x:c r="U440" s="146" t="e">
        <x:f>IF($A440="","",[1]!thsiFinD("ths_adjustment_nv_fund",U$3,$A440))</x:f>
        <x:v>#NAME?</x:v>
      </x:c>
      <x:c r="V440" s="146" t="e">
        <x:f>IF($A440="","",[1]!thsiFinD("ths_adjustment_nv_fund",V$3,$A440))</x:f>
        <x:v>#NAME?</x:v>
      </x:c>
      <x:c r="W440" s="146" t="e">
        <x:f>IF($A440="","",[1]!thsiFinD("ths_adjustment_nv_fund",W$3,$A440))</x:f>
        <x:v>#NAME?</x:v>
      </x:c>
      <x:c r="X440" s="146" t="e">
        <x:f>IF($A440="","",[1]!thsiFinD("ths_adjustment_nv_fund",X$3,$A440))</x:f>
        <x:v>#NAME?</x:v>
      </x:c>
      <x:c r="Y440" s="146" t="e">
        <x:f>IF($A440="","",[1]!thsiFinD("ths_adjustment_nv_fund",Y$3,$A440))</x:f>
        <x:v>#NAME?</x:v>
      </x:c>
      <x:c r="Z440" s="146" t="e">
        <x:f>IF($A440="","",[1]!thsiFinD("ths_adjustment_nv_fund",Z$3,$A440))</x:f>
        <x:v>#NAME?</x:v>
      </x:c>
      <x:c r="AA440" s="146" t="e">
        <x:f>IF($A440="","",[1]!thsiFinD("ths_adjustment_nv_fund",AA$3,$A440))</x:f>
        <x:v>#NAME?</x:v>
      </x:c>
    </x:row>
    <x:row r="441">
      <x:c r="B441" s="146" t="e">
        <x:f>IF($A441="","",[1]!thsiFinD("ths_adjustment_nv_fund",B$3,$A441))</x:f>
        <x:v>#NAME?</x:v>
      </x:c>
      <x:c r="C441" s="146" t="e">
        <x:f>IF($A441="","",[1]!thsiFinD("ths_adjustment_nv_fund",C$3,$A441))</x:f>
        <x:v>#NAME?</x:v>
      </x:c>
      <x:c r="D441" s="146" t="e">
        <x:f>IF($A441="","",[1]!thsiFinD("ths_adjustment_nv_fund",D$3,$A441))</x:f>
        <x:v>#NAME?</x:v>
      </x:c>
      <x:c r="E441" s="146" t="e">
        <x:f>IF($A441="","",[1]!thsiFinD("ths_adjustment_nv_fund",E$3,$A441))</x:f>
        <x:v>#NAME?</x:v>
      </x:c>
      <x:c r="F441" s="146" t="e">
        <x:f>IF($A441="","",[1]!thsiFinD("ths_adjustment_nv_fund",F$3,$A441))</x:f>
        <x:v>#NAME?</x:v>
      </x:c>
      <x:c r="G441" s="146" t="e">
        <x:f>IF($A441="","",[1]!thsiFinD("ths_adjustment_nv_fund",G$3,$A441))</x:f>
        <x:v>#NAME?</x:v>
      </x:c>
      <x:c r="H441" s="146" t="e">
        <x:f>IF($A441="","",[1]!thsiFinD("ths_adjustment_nv_fund",H$3,$A441))</x:f>
        <x:v>#NAME?</x:v>
      </x:c>
      <x:c r="I441" s="146" t="e">
        <x:f>IF($A441="","",[1]!thsiFinD("ths_adjustment_nv_fund",I$3,$A441))</x:f>
        <x:v>#NAME?</x:v>
      </x:c>
      <x:c r="J441" s="146" t="e">
        <x:f>IF($A441="","",[1]!thsiFinD("ths_adjustment_nv_fund",J$3,$A441))</x:f>
        <x:v>#NAME?</x:v>
      </x:c>
      <x:c r="K441" s="146" t="e">
        <x:f>IF($A441="","",[1]!thsiFinD("ths_adjustment_nv_fund",K$3,$A441))</x:f>
        <x:v>#NAME?</x:v>
      </x:c>
      <x:c r="L441" s="146" t="e">
        <x:f>IF($A441="","",[1]!thsiFinD("ths_adjustment_nv_fund",L$3,$A441))</x:f>
        <x:v>#NAME?</x:v>
      </x:c>
      <x:c r="M441" s="146" t="e">
        <x:f>IF($A441="","",[1]!thsiFinD("ths_adjustment_nv_fund",M$3,$A441))</x:f>
        <x:v>#NAME?</x:v>
      </x:c>
      <x:c r="N441" s="146" t="e">
        <x:f>IF($A441="","",[1]!thsiFinD("ths_adjustment_nv_fund",N$3,$A441))</x:f>
        <x:v>#NAME?</x:v>
      </x:c>
      <x:c r="O441" s="146" t="e">
        <x:f>IF($A441="","",[1]!thsiFinD("ths_adjustment_nv_fund",O$3,$A441))</x:f>
        <x:v>#NAME?</x:v>
      </x:c>
      <x:c r="P441" s="146" t="e">
        <x:f>IF($A441="","",[1]!thsiFinD("ths_adjustment_nv_fund",P$3,$A441))</x:f>
        <x:v>#NAME?</x:v>
      </x:c>
      <x:c r="Q441" s="146" t="e">
        <x:f>IF($A441="","",[1]!thsiFinD("ths_adjustment_nv_fund",Q$3,$A441))</x:f>
        <x:v>#NAME?</x:v>
      </x:c>
      <x:c r="R441" s="146" t="e">
        <x:f>IF($A441="","",[1]!thsiFinD("ths_adjustment_nv_fund",R$3,$A441))</x:f>
        <x:v>#NAME?</x:v>
      </x:c>
      <x:c r="S441" s="146" t="e">
        <x:f>IF($A441="","",[1]!thsiFinD("ths_adjustment_nv_fund",S$3,$A441))</x:f>
        <x:v>#NAME?</x:v>
      </x:c>
      <x:c r="T441" s="146" t="e">
        <x:f>IF($A441="","",[1]!thsiFinD("ths_adjustment_nv_fund",T$3,$A441))</x:f>
        <x:v>#NAME?</x:v>
      </x:c>
      <x:c r="U441" s="146" t="e">
        <x:f>IF($A441="","",[1]!thsiFinD("ths_adjustment_nv_fund",U$3,$A441))</x:f>
        <x:v>#NAME?</x:v>
      </x:c>
      <x:c r="V441" s="146" t="e">
        <x:f>IF($A441="","",[1]!thsiFinD("ths_adjustment_nv_fund",V$3,$A441))</x:f>
        <x:v>#NAME?</x:v>
      </x:c>
      <x:c r="W441" s="146" t="e">
        <x:f>IF($A441="","",[1]!thsiFinD("ths_adjustment_nv_fund",W$3,$A441))</x:f>
        <x:v>#NAME?</x:v>
      </x:c>
      <x:c r="X441" s="146" t="e">
        <x:f>IF($A441="","",[1]!thsiFinD("ths_adjustment_nv_fund",X$3,$A441))</x:f>
        <x:v>#NAME?</x:v>
      </x:c>
      <x:c r="Y441" s="146" t="e">
        <x:f>IF($A441="","",[1]!thsiFinD("ths_adjustment_nv_fund",Y$3,$A441))</x:f>
        <x:v>#NAME?</x:v>
      </x:c>
      <x:c r="Z441" s="146" t="e">
        <x:f>IF($A441="","",[1]!thsiFinD("ths_adjustment_nv_fund",Z$3,$A441))</x:f>
        <x:v>#NAME?</x:v>
      </x:c>
      <x:c r="AA441" s="146" t="e">
        <x:f>IF($A441="","",[1]!thsiFinD("ths_adjustment_nv_fund",AA$3,$A441))</x:f>
        <x:v>#NAME?</x:v>
      </x:c>
    </x:row>
    <x:row r="442">
      <x:c r="B442" s="146" t="e">
        <x:f>IF($A442="","",[1]!thsiFinD("ths_adjustment_nv_fund",B$3,$A442))</x:f>
        <x:v>#NAME?</x:v>
      </x:c>
      <x:c r="C442" s="146" t="e">
        <x:f>IF($A442="","",[1]!thsiFinD("ths_adjustment_nv_fund",C$3,$A442))</x:f>
        <x:v>#NAME?</x:v>
      </x:c>
      <x:c r="D442" s="146" t="e">
        <x:f>IF($A442="","",[1]!thsiFinD("ths_adjustment_nv_fund",D$3,$A442))</x:f>
        <x:v>#NAME?</x:v>
      </x:c>
      <x:c r="E442" s="146" t="e">
        <x:f>IF($A442="","",[1]!thsiFinD("ths_adjustment_nv_fund",E$3,$A442))</x:f>
        <x:v>#NAME?</x:v>
      </x:c>
      <x:c r="F442" s="146" t="e">
        <x:f>IF($A442="","",[1]!thsiFinD("ths_adjustment_nv_fund",F$3,$A442))</x:f>
        <x:v>#NAME?</x:v>
      </x:c>
      <x:c r="G442" s="146" t="e">
        <x:f>IF($A442="","",[1]!thsiFinD("ths_adjustment_nv_fund",G$3,$A442))</x:f>
        <x:v>#NAME?</x:v>
      </x:c>
      <x:c r="H442" s="146" t="e">
        <x:f>IF($A442="","",[1]!thsiFinD("ths_adjustment_nv_fund",H$3,$A442))</x:f>
        <x:v>#NAME?</x:v>
      </x:c>
      <x:c r="I442" s="146" t="e">
        <x:f>IF($A442="","",[1]!thsiFinD("ths_adjustment_nv_fund",I$3,$A442))</x:f>
        <x:v>#NAME?</x:v>
      </x:c>
      <x:c r="J442" s="146" t="e">
        <x:f>IF($A442="","",[1]!thsiFinD("ths_adjustment_nv_fund",J$3,$A442))</x:f>
        <x:v>#NAME?</x:v>
      </x:c>
      <x:c r="K442" s="146" t="e">
        <x:f>IF($A442="","",[1]!thsiFinD("ths_adjustment_nv_fund",K$3,$A442))</x:f>
        <x:v>#NAME?</x:v>
      </x:c>
      <x:c r="L442" s="146" t="e">
        <x:f>IF($A442="","",[1]!thsiFinD("ths_adjustment_nv_fund",L$3,$A442))</x:f>
        <x:v>#NAME?</x:v>
      </x:c>
      <x:c r="M442" s="146" t="e">
        <x:f>IF($A442="","",[1]!thsiFinD("ths_adjustment_nv_fund",M$3,$A442))</x:f>
        <x:v>#NAME?</x:v>
      </x:c>
      <x:c r="N442" s="146" t="e">
        <x:f>IF($A442="","",[1]!thsiFinD("ths_adjustment_nv_fund",N$3,$A442))</x:f>
        <x:v>#NAME?</x:v>
      </x:c>
      <x:c r="O442" s="146" t="e">
        <x:f>IF($A442="","",[1]!thsiFinD("ths_adjustment_nv_fund",O$3,$A442))</x:f>
        <x:v>#NAME?</x:v>
      </x:c>
      <x:c r="P442" s="146" t="e">
        <x:f>IF($A442="","",[1]!thsiFinD("ths_adjustment_nv_fund",P$3,$A442))</x:f>
        <x:v>#NAME?</x:v>
      </x:c>
      <x:c r="Q442" s="146" t="e">
        <x:f>IF($A442="","",[1]!thsiFinD("ths_adjustment_nv_fund",Q$3,$A442))</x:f>
        <x:v>#NAME?</x:v>
      </x:c>
      <x:c r="R442" s="146" t="e">
        <x:f>IF($A442="","",[1]!thsiFinD("ths_adjustment_nv_fund",R$3,$A442))</x:f>
        <x:v>#NAME?</x:v>
      </x:c>
      <x:c r="S442" s="146" t="e">
        <x:f>IF($A442="","",[1]!thsiFinD("ths_adjustment_nv_fund",S$3,$A442))</x:f>
        <x:v>#NAME?</x:v>
      </x:c>
      <x:c r="T442" s="146" t="e">
        <x:f>IF($A442="","",[1]!thsiFinD("ths_adjustment_nv_fund",T$3,$A442))</x:f>
        <x:v>#NAME?</x:v>
      </x:c>
      <x:c r="U442" s="146" t="e">
        <x:f>IF($A442="","",[1]!thsiFinD("ths_adjustment_nv_fund",U$3,$A442))</x:f>
        <x:v>#NAME?</x:v>
      </x:c>
      <x:c r="V442" s="146" t="e">
        <x:f>IF($A442="","",[1]!thsiFinD("ths_adjustment_nv_fund",V$3,$A442))</x:f>
        <x:v>#NAME?</x:v>
      </x:c>
      <x:c r="W442" s="146" t="e">
        <x:f>IF($A442="","",[1]!thsiFinD("ths_adjustment_nv_fund",W$3,$A442))</x:f>
        <x:v>#NAME?</x:v>
      </x:c>
      <x:c r="X442" s="146" t="e">
        <x:f>IF($A442="","",[1]!thsiFinD("ths_adjustment_nv_fund",X$3,$A442))</x:f>
        <x:v>#NAME?</x:v>
      </x:c>
      <x:c r="Y442" s="146" t="e">
        <x:f>IF($A442="","",[1]!thsiFinD("ths_adjustment_nv_fund",Y$3,$A442))</x:f>
        <x:v>#NAME?</x:v>
      </x:c>
      <x:c r="Z442" s="146" t="e">
        <x:f>IF($A442="","",[1]!thsiFinD("ths_adjustment_nv_fund",Z$3,$A442))</x:f>
        <x:v>#NAME?</x:v>
      </x:c>
      <x:c r="AA442" s="146" t="e">
        <x:f>IF($A442="","",[1]!thsiFinD("ths_adjustment_nv_fund",AA$3,$A442))</x:f>
        <x:v>#NAME?</x:v>
      </x:c>
    </x:row>
    <x:row r="443">
      <x:c r="B443" s="146" t="e">
        <x:f>IF($A443="","",[1]!thsiFinD("ths_adjustment_nv_fund",B$3,$A443))</x:f>
        <x:v>#NAME?</x:v>
      </x:c>
      <x:c r="C443" s="146" t="e">
        <x:f>IF($A443="","",[1]!thsiFinD("ths_adjustment_nv_fund",C$3,$A443))</x:f>
        <x:v>#NAME?</x:v>
      </x:c>
      <x:c r="D443" s="146" t="e">
        <x:f>IF($A443="","",[1]!thsiFinD("ths_adjustment_nv_fund",D$3,$A443))</x:f>
        <x:v>#NAME?</x:v>
      </x:c>
      <x:c r="E443" s="146" t="e">
        <x:f>IF($A443="","",[1]!thsiFinD("ths_adjustment_nv_fund",E$3,$A443))</x:f>
        <x:v>#NAME?</x:v>
      </x:c>
      <x:c r="F443" s="146" t="e">
        <x:f>IF($A443="","",[1]!thsiFinD("ths_adjustment_nv_fund",F$3,$A443))</x:f>
        <x:v>#NAME?</x:v>
      </x:c>
      <x:c r="G443" s="146" t="e">
        <x:f>IF($A443="","",[1]!thsiFinD("ths_adjustment_nv_fund",G$3,$A443))</x:f>
        <x:v>#NAME?</x:v>
      </x:c>
      <x:c r="H443" s="146" t="e">
        <x:f>IF($A443="","",[1]!thsiFinD("ths_adjustment_nv_fund",H$3,$A443))</x:f>
        <x:v>#NAME?</x:v>
      </x:c>
      <x:c r="I443" s="146" t="e">
        <x:f>IF($A443="","",[1]!thsiFinD("ths_adjustment_nv_fund",I$3,$A443))</x:f>
        <x:v>#NAME?</x:v>
      </x:c>
      <x:c r="J443" s="146" t="e">
        <x:f>IF($A443="","",[1]!thsiFinD("ths_adjustment_nv_fund",J$3,$A443))</x:f>
        <x:v>#NAME?</x:v>
      </x:c>
      <x:c r="K443" s="146" t="e">
        <x:f>IF($A443="","",[1]!thsiFinD("ths_adjustment_nv_fund",K$3,$A443))</x:f>
        <x:v>#NAME?</x:v>
      </x:c>
      <x:c r="L443" s="146" t="e">
        <x:f>IF($A443="","",[1]!thsiFinD("ths_adjustment_nv_fund",L$3,$A443))</x:f>
        <x:v>#NAME?</x:v>
      </x:c>
      <x:c r="M443" s="146" t="e">
        <x:f>IF($A443="","",[1]!thsiFinD("ths_adjustment_nv_fund",M$3,$A443))</x:f>
        <x:v>#NAME?</x:v>
      </x:c>
      <x:c r="N443" s="146" t="e">
        <x:f>IF($A443="","",[1]!thsiFinD("ths_adjustment_nv_fund",N$3,$A443))</x:f>
        <x:v>#NAME?</x:v>
      </x:c>
      <x:c r="O443" s="146" t="e">
        <x:f>IF($A443="","",[1]!thsiFinD("ths_adjustment_nv_fund",O$3,$A443))</x:f>
        <x:v>#NAME?</x:v>
      </x:c>
      <x:c r="P443" s="146" t="e">
        <x:f>IF($A443="","",[1]!thsiFinD("ths_adjustment_nv_fund",P$3,$A443))</x:f>
        <x:v>#NAME?</x:v>
      </x:c>
      <x:c r="Q443" s="146" t="e">
        <x:f>IF($A443="","",[1]!thsiFinD("ths_adjustment_nv_fund",Q$3,$A443))</x:f>
        <x:v>#NAME?</x:v>
      </x:c>
      <x:c r="R443" s="146" t="e">
        <x:f>IF($A443="","",[1]!thsiFinD("ths_adjustment_nv_fund",R$3,$A443))</x:f>
        <x:v>#NAME?</x:v>
      </x:c>
      <x:c r="S443" s="146" t="e">
        <x:f>IF($A443="","",[1]!thsiFinD("ths_adjustment_nv_fund",S$3,$A443))</x:f>
        <x:v>#NAME?</x:v>
      </x:c>
      <x:c r="T443" s="146" t="e">
        <x:f>IF($A443="","",[1]!thsiFinD("ths_adjustment_nv_fund",T$3,$A443))</x:f>
        <x:v>#NAME?</x:v>
      </x:c>
      <x:c r="U443" s="146" t="e">
        <x:f>IF($A443="","",[1]!thsiFinD("ths_adjustment_nv_fund",U$3,$A443))</x:f>
        <x:v>#NAME?</x:v>
      </x:c>
      <x:c r="V443" s="146" t="e">
        <x:f>IF($A443="","",[1]!thsiFinD("ths_adjustment_nv_fund",V$3,$A443))</x:f>
        <x:v>#NAME?</x:v>
      </x:c>
      <x:c r="W443" s="146" t="e">
        <x:f>IF($A443="","",[1]!thsiFinD("ths_adjustment_nv_fund",W$3,$A443))</x:f>
        <x:v>#NAME?</x:v>
      </x:c>
      <x:c r="X443" s="146" t="e">
        <x:f>IF($A443="","",[1]!thsiFinD("ths_adjustment_nv_fund",X$3,$A443))</x:f>
        <x:v>#NAME?</x:v>
      </x:c>
      <x:c r="Y443" s="146" t="e">
        <x:f>IF($A443="","",[1]!thsiFinD("ths_adjustment_nv_fund",Y$3,$A443))</x:f>
        <x:v>#NAME?</x:v>
      </x:c>
      <x:c r="Z443" s="146" t="e">
        <x:f>IF($A443="","",[1]!thsiFinD("ths_adjustment_nv_fund",Z$3,$A443))</x:f>
        <x:v>#NAME?</x:v>
      </x:c>
      <x:c r="AA443" s="146" t="e">
        <x:f>IF($A443="","",[1]!thsiFinD("ths_adjustment_nv_fund",AA$3,$A443))</x:f>
        <x:v>#NAME?</x:v>
      </x:c>
    </x:row>
    <x:row r="444">
      <x:c r="B444" s="146" t="e">
        <x:f>IF($A444="","",[1]!thsiFinD("ths_adjustment_nv_fund",B$3,$A444))</x:f>
        <x:v>#NAME?</x:v>
      </x:c>
      <x:c r="C444" s="146" t="e">
        <x:f>IF($A444="","",[1]!thsiFinD("ths_adjustment_nv_fund",C$3,$A444))</x:f>
        <x:v>#NAME?</x:v>
      </x:c>
      <x:c r="D444" s="146" t="e">
        <x:f>IF($A444="","",[1]!thsiFinD("ths_adjustment_nv_fund",D$3,$A444))</x:f>
        <x:v>#NAME?</x:v>
      </x:c>
      <x:c r="E444" s="146" t="e">
        <x:f>IF($A444="","",[1]!thsiFinD("ths_adjustment_nv_fund",E$3,$A444))</x:f>
        <x:v>#NAME?</x:v>
      </x:c>
      <x:c r="F444" s="146" t="e">
        <x:f>IF($A444="","",[1]!thsiFinD("ths_adjustment_nv_fund",F$3,$A444))</x:f>
        <x:v>#NAME?</x:v>
      </x:c>
      <x:c r="G444" s="146" t="e">
        <x:f>IF($A444="","",[1]!thsiFinD("ths_adjustment_nv_fund",G$3,$A444))</x:f>
        <x:v>#NAME?</x:v>
      </x:c>
      <x:c r="H444" s="146" t="e">
        <x:f>IF($A444="","",[1]!thsiFinD("ths_adjustment_nv_fund",H$3,$A444))</x:f>
        <x:v>#NAME?</x:v>
      </x:c>
      <x:c r="I444" s="146" t="e">
        <x:f>IF($A444="","",[1]!thsiFinD("ths_adjustment_nv_fund",I$3,$A444))</x:f>
        <x:v>#NAME?</x:v>
      </x:c>
      <x:c r="J444" s="146" t="e">
        <x:f>IF($A444="","",[1]!thsiFinD("ths_adjustment_nv_fund",J$3,$A444))</x:f>
        <x:v>#NAME?</x:v>
      </x:c>
      <x:c r="K444" s="146" t="e">
        <x:f>IF($A444="","",[1]!thsiFinD("ths_adjustment_nv_fund",K$3,$A444))</x:f>
        <x:v>#NAME?</x:v>
      </x:c>
      <x:c r="L444" s="146" t="e">
        <x:f>IF($A444="","",[1]!thsiFinD("ths_adjustment_nv_fund",L$3,$A444))</x:f>
        <x:v>#NAME?</x:v>
      </x:c>
      <x:c r="M444" s="146" t="e">
        <x:f>IF($A444="","",[1]!thsiFinD("ths_adjustment_nv_fund",M$3,$A444))</x:f>
        <x:v>#NAME?</x:v>
      </x:c>
      <x:c r="N444" s="146" t="e">
        <x:f>IF($A444="","",[1]!thsiFinD("ths_adjustment_nv_fund",N$3,$A444))</x:f>
        <x:v>#NAME?</x:v>
      </x:c>
      <x:c r="O444" s="146" t="e">
        <x:f>IF($A444="","",[1]!thsiFinD("ths_adjustment_nv_fund",O$3,$A444))</x:f>
        <x:v>#NAME?</x:v>
      </x:c>
      <x:c r="P444" s="146" t="e">
        <x:f>IF($A444="","",[1]!thsiFinD("ths_adjustment_nv_fund",P$3,$A444))</x:f>
        <x:v>#NAME?</x:v>
      </x:c>
      <x:c r="Q444" s="146" t="e">
        <x:f>IF($A444="","",[1]!thsiFinD("ths_adjustment_nv_fund",Q$3,$A444))</x:f>
        <x:v>#NAME?</x:v>
      </x:c>
      <x:c r="R444" s="146" t="e">
        <x:f>IF($A444="","",[1]!thsiFinD("ths_adjustment_nv_fund",R$3,$A444))</x:f>
        <x:v>#NAME?</x:v>
      </x:c>
      <x:c r="S444" s="146" t="e">
        <x:f>IF($A444="","",[1]!thsiFinD("ths_adjustment_nv_fund",S$3,$A444))</x:f>
        <x:v>#NAME?</x:v>
      </x:c>
      <x:c r="T444" s="146" t="e">
        <x:f>IF($A444="","",[1]!thsiFinD("ths_adjustment_nv_fund",T$3,$A444))</x:f>
        <x:v>#NAME?</x:v>
      </x:c>
      <x:c r="U444" s="146" t="e">
        <x:f>IF($A444="","",[1]!thsiFinD("ths_adjustment_nv_fund",U$3,$A444))</x:f>
        <x:v>#NAME?</x:v>
      </x:c>
      <x:c r="V444" s="146" t="e">
        <x:f>IF($A444="","",[1]!thsiFinD("ths_adjustment_nv_fund",V$3,$A444))</x:f>
        <x:v>#NAME?</x:v>
      </x:c>
      <x:c r="W444" s="146" t="e">
        <x:f>IF($A444="","",[1]!thsiFinD("ths_adjustment_nv_fund",W$3,$A444))</x:f>
        <x:v>#NAME?</x:v>
      </x:c>
      <x:c r="X444" s="146" t="e">
        <x:f>IF($A444="","",[1]!thsiFinD("ths_adjustment_nv_fund",X$3,$A444))</x:f>
        <x:v>#NAME?</x:v>
      </x:c>
      <x:c r="Y444" s="146" t="e">
        <x:f>IF($A444="","",[1]!thsiFinD("ths_adjustment_nv_fund",Y$3,$A444))</x:f>
        <x:v>#NAME?</x:v>
      </x:c>
      <x:c r="Z444" s="146" t="e">
        <x:f>IF($A444="","",[1]!thsiFinD("ths_adjustment_nv_fund",Z$3,$A444))</x:f>
        <x:v>#NAME?</x:v>
      </x:c>
      <x:c r="AA444" s="146" t="e">
        <x:f>IF($A444="","",[1]!thsiFinD("ths_adjustment_nv_fund",AA$3,$A444))</x:f>
        <x:v>#NAME?</x:v>
      </x:c>
    </x:row>
    <x:row r="445">
      <x:c r="B445" s="146" t="e">
        <x:f>IF($A445="","",[1]!thsiFinD("ths_adjustment_nv_fund",B$3,$A445))</x:f>
        <x:v>#NAME?</x:v>
      </x:c>
      <x:c r="C445" s="146" t="e">
        <x:f>IF($A445="","",[1]!thsiFinD("ths_adjustment_nv_fund",C$3,$A445))</x:f>
        <x:v>#NAME?</x:v>
      </x:c>
      <x:c r="D445" s="146" t="e">
        <x:f>IF($A445="","",[1]!thsiFinD("ths_adjustment_nv_fund",D$3,$A445))</x:f>
        <x:v>#NAME?</x:v>
      </x:c>
      <x:c r="E445" s="146" t="e">
        <x:f>IF($A445="","",[1]!thsiFinD("ths_adjustment_nv_fund",E$3,$A445))</x:f>
        <x:v>#NAME?</x:v>
      </x:c>
      <x:c r="F445" s="146" t="e">
        <x:f>IF($A445="","",[1]!thsiFinD("ths_adjustment_nv_fund",F$3,$A445))</x:f>
        <x:v>#NAME?</x:v>
      </x:c>
      <x:c r="G445" s="146" t="e">
        <x:f>IF($A445="","",[1]!thsiFinD("ths_adjustment_nv_fund",G$3,$A445))</x:f>
        <x:v>#NAME?</x:v>
      </x:c>
      <x:c r="H445" s="146" t="e">
        <x:f>IF($A445="","",[1]!thsiFinD("ths_adjustment_nv_fund",H$3,$A445))</x:f>
        <x:v>#NAME?</x:v>
      </x:c>
      <x:c r="I445" s="146" t="e">
        <x:f>IF($A445="","",[1]!thsiFinD("ths_adjustment_nv_fund",I$3,$A445))</x:f>
        <x:v>#NAME?</x:v>
      </x:c>
      <x:c r="J445" s="146" t="e">
        <x:f>IF($A445="","",[1]!thsiFinD("ths_adjustment_nv_fund",J$3,$A445))</x:f>
        <x:v>#NAME?</x:v>
      </x:c>
      <x:c r="K445" s="146" t="e">
        <x:f>IF($A445="","",[1]!thsiFinD("ths_adjustment_nv_fund",K$3,$A445))</x:f>
        <x:v>#NAME?</x:v>
      </x:c>
      <x:c r="L445" s="146" t="e">
        <x:f>IF($A445="","",[1]!thsiFinD("ths_adjustment_nv_fund",L$3,$A445))</x:f>
        <x:v>#NAME?</x:v>
      </x:c>
      <x:c r="M445" s="146" t="e">
        <x:f>IF($A445="","",[1]!thsiFinD("ths_adjustment_nv_fund",M$3,$A445))</x:f>
        <x:v>#NAME?</x:v>
      </x:c>
      <x:c r="N445" s="146" t="e">
        <x:f>IF($A445="","",[1]!thsiFinD("ths_adjustment_nv_fund",N$3,$A445))</x:f>
        <x:v>#NAME?</x:v>
      </x:c>
      <x:c r="O445" s="146" t="e">
        <x:f>IF($A445="","",[1]!thsiFinD("ths_adjustment_nv_fund",O$3,$A445))</x:f>
        <x:v>#NAME?</x:v>
      </x:c>
      <x:c r="P445" s="146" t="e">
        <x:f>IF($A445="","",[1]!thsiFinD("ths_adjustment_nv_fund",P$3,$A445))</x:f>
        <x:v>#NAME?</x:v>
      </x:c>
      <x:c r="Q445" s="146" t="e">
        <x:f>IF($A445="","",[1]!thsiFinD("ths_adjustment_nv_fund",Q$3,$A445))</x:f>
        <x:v>#NAME?</x:v>
      </x:c>
      <x:c r="R445" s="146" t="e">
        <x:f>IF($A445="","",[1]!thsiFinD("ths_adjustment_nv_fund",R$3,$A445))</x:f>
        <x:v>#NAME?</x:v>
      </x:c>
      <x:c r="S445" s="146" t="e">
        <x:f>IF($A445="","",[1]!thsiFinD("ths_adjustment_nv_fund",S$3,$A445))</x:f>
        <x:v>#NAME?</x:v>
      </x:c>
      <x:c r="T445" s="146" t="e">
        <x:f>IF($A445="","",[1]!thsiFinD("ths_adjustment_nv_fund",T$3,$A445))</x:f>
        <x:v>#NAME?</x:v>
      </x:c>
      <x:c r="U445" s="146" t="e">
        <x:f>IF($A445="","",[1]!thsiFinD("ths_adjustment_nv_fund",U$3,$A445))</x:f>
        <x:v>#NAME?</x:v>
      </x:c>
      <x:c r="V445" s="146" t="e">
        <x:f>IF($A445="","",[1]!thsiFinD("ths_adjustment_nv_fund",V$3,$A445))</x:f>
        <x:v>#NAME?</x:v>
      </x:c>
      <x:c r="W445" s="146" t="e">
        <x:f>IF($A445="","",[1]!thsiFinD("ths_adjustment_nv_fund",W$3,$A445))</x:f>
        <x:v>#NAME?</x:v>
      </x:c>
      <x:c r="X445" s="146" t="e">
        <x:f>IF($A445="","",[1]!thsiFinD("ths_adjustment_nv_fund",X$3,$A445))</x:f>
        <x:v>#NAME?</x:v>
      </x:c>
      <x:c r="Y445" s="146" t="e">
        <x:f>IF($A445="","",[1]!thsiFinD("ths_adjustment_nv_fund",Y$3,$A445))</x:f>
        <x:v>#NAME?</x:v>
      </x:c>
      <x:c r="Z445" s="146" t="e">
        <x:f>IF($A445="","",[1]!thsiFinD("ths_adjustment_nv_fund",Z$3,$A445))</x:f>
        <x:v>#NAME?</x:v>
      </x:c>
      <x:c r="AA445" s="146" t="e">
        <x:f>IF($A445="","",[1]!thsiFinD("ths_adjustment_nv_fund",AA$3,$A445))</x:f>
        <x:v>#NAME?</x:v>
      </x:c>
    </x:row>
    <x:row r="446">
      <x:c r="B446" s="146" t="e">
        <x:f>IF($A446="","",[1]!thsiFinD("ths_adjustment_nv_fund",B$3,$A446))</x:f>
        <x:v>#NAME?</x:v>
      </x:c>
      <x:c r="C446" s="146" t="e">
        <x:f>IF($A446="","",[1]!thsiFinD("ths_adjustment_nv_fund",C$3,$A446))</x:f>
        <x:v>#NAME?</x:v>
      </x:c>
      <x:c r="D446" s="146" t="e">
        <x:f>IF($A446="","",[1]!thsiFinD("ths_adjustment_nv_fund",D$3,$A446))</x:f>
        <x:v>#NAME?</x:v>
      </x:c>
      <x:c r="E446" s="146" t="e">
        <x:f>IF($A446="","",[1]!thsiFinD("ths_adjustment_nv_fund",E$3,$A446))</x:f>
        <x:v>#NAME?</x:v>
      </x:c>
      <x:c r="F446" s="146" t="e">
        <x:f>IF($A446="","",[1]!thsiFinD("ths_adjustment_nv_fund",F$3,$A446))</x:f>
        <x:v>#NAME?</x:v>
      </x:c>
      <x:c r="G446" s="146" t="e">
        <x:f>IF($A446="","",[1]!thsiFinD("ths_adjustment_nv_fund",G$3,$A446))</x:f>
        <x:v>#NAME?</x:v>
      </x:c>
      <x:c r="H446" s="146" t="e">
        <x:f>IF($A446="","",[1]!thsiFinD("ths_adjustment_nv_fund",H$3,$A446))</x:f>
        <x:v>#NAME?</x:v>
      </x:c>
      <x:c r="I446" s="146" t="e">
        <x:f>IF($A446="","",[1]!thsiFinD("ths_adjustment_nv_fund",I$3,$A446))</x:f>
        <x:v>#NAME?</x:v>
      </x:c>
      <x:c r="J446" s="146" t="e">
        <x:f>IF($A446="","",[1]!thsiFinD("ths_adjustment_nv_fund",J$3,$A446))</x:f>
        <x:v>#NAME?</x:v>
      </x:c>
      <x:c r="K446" s="146" t="e">
        <x:f>IF($A446="","",[1]!thsiFinD("ths_adjustment_nv_fund",K$3,$A446))</x:f>
        <x:v>#NAME?</x:v>
      </x:c>
      <x:c r="L446" s="146" t="e">
        <x:f>IF($A446="","",[1]!thsiFinD("ths_adjustment_nv_fund",L$3,$A446))</x:f>
        <x:v>#NAME?</x:v>
      </x:c>
      <x:c r="M446" s="146" t="e">
        <x:f>IF($A446="","",[1]!thsiFinD("ths_adjustment_nv_fund",M$3,$A446))</x:f>
        <x:v>#NAME?</x:v>
      </x:c>
      <x:c r="N446" s="146" t="e">
        <x:f>IF($A446="","",[1]!thsiFinD("ths_adjustment_nv_fund",N$3,$A446))</x:f>
        <x:v>#NAME?</x:v>
      </x:c>
      <x:c r="O446" s="146" t="e">
        <x:f>IF($A446="","",[1]!thsiFinD("ths_adjustment_nv_fund",O$3,$A446))</x:f>
        <x:v>#NAME?</x:v>
      </x:c>
      <x:c r="P446" s="146" t="e">
        <x:f>IF($A446="","",[1]!thsiFinD("ths_adjustment_nv_fund",P$3,$A446))</x:f>
        <x:v>#NAME?</x:v>
      </x:c>
      <x:c r="Q446" s="146" t="e">
        <x:f>IF($A446="","",[1]!thsiFinD("ths_adjustment_nv_fund",Q$3,$A446))</x:f>
        <x:v>#NAME?</x:v>
      </x:c>
      <x:c r="R446" s="146" t="e">
        <x:f>IF($A446="","",[1]!thsiFinD("ths_adjustment_nv_fund",R$3,$A446))</x:f>
        <x:v>#NAME?</x:v>
      </x:c>
      <x:c r="S446" s="146" t="e">
        <x:f>IF($A446="","",[1]!thsiFinD("ths_adjustment_nv_fund",S$3,$A446))</x:f>
        <x:v>#NAME?</x:v>
      </x:c>
      <x:c r="T446" s="146" t="e">
        <x:f>IF($A446="","",[1]!thsiFinD("ths_adjustment_nv_fund",T$3,$A446))</x:f>
        <x:v>#NAME?</x:v>
      </x:c>
      <x:c r="U446" s="146" t="e">
        <x:f>IF($A446="","",[1]!thsiFinD("ths_adjustment_nv_fund",U$3,$A446))</x:f>
        <x:v>#NAME?</x:v>
      </x:c>
      <x:c r="V446" s="146" t="e">
        <x:f>IF($A446="","",[1]!thsiFinD("ths_adjustment_nv_fund",V$3,$A446))</x:f>
        <x:v>#NAME?</x:v>
      </x:c>
      <x:c r="W446" s="146" t="e">
        <x:f>IF($A446="","",[1]!thsiFinD("ths_adjustment_nv_fund",W$3,$A446))</x:f>
        <x:v>#NAME?</x:v>
      </x:c>
      <x:c r="X446" s="146" t="e">
        <x:f>IF($A446="","",[1]!thsiFinD("ths_adjustment_nv_fund",X$3,$A446))</x:f>
        <x:v>#NAME?</x:v>
      </x:c>
      <x:c r="Y446" s="146" t="e">
        <x:f>IF($A446="","",[1]!thsiFinD("ths_adjustment_nv_fund",Y$3,$A446))</x:f>
        <x:v>#NAME?</x:v>
      </x:c>
      <x:c r="Z446" s="146" t="e">
        <x:f>IF($A446="","",[1]!thsiFinD("ths_adjustment_nv_fund",Z$3,$A446))</x:f>
        <x:v>#NAME?</x:v>
      </x:c>
      <x:c r="AA446" s="146" t="e">
        <x:f>IF($A446="","",[1]!thsiFinD("ths_adjustment_nv_fund",AA$3,$A446))</x:f>
        <x:v>#NAME?</x:v>
      </x:c>
    </x:row>
    <x:row r="447">
      <x:c r="B447" s="146" t="e">
        <x:f>IF($A447="","",[1]!thsiFinD("ths_adjustment_nv_fund",B$3,$A447))</x:f>
        <x:v>#NAME?</x:v>
      </x:c>
      <x:c r="C447" s="146" t="e">
        <x:f>IF($A447="","",[1]!thsiFinD("ths_adjustment_nv_fund",C$3,$A447))</x:f>
        <x:v>#NAME?</x:v>
      </x:c>
      <x:c r="D447" s="146" t="e">
        <x:f>IF($A447="","",[1]!thsiFinD("ths_adjustment_nv_fund",D$3,$A447))</x:f>
        <x:v>#NAME?</x:v>
      </x:c>
      <x:c r="E447" s="146" t="e">
        <x:f>IF($A447="","",[1]!thsiFinD("ths_adjustment_nv_fund",E$3,$A447))</x:f>
        <x:v>#NAME?</x:v>
      </x:c>
      <x:c r="F447" s="146" t="e">
        <x:f>IF($A447="","",[1]!thsiFinD("ths_adjustment_nv_fund",F$3,$A447))</x:f>
        <x:v>#NAME?</x:v>
      </x:c>
      <x:c r="G447" s="146" t="e">
        <x:f>IF($A447="","",[1]!thsiFinD("ths_adjustment_nv_fund",G$3,$A447))</x:f>
        <x:v>#NAME?</x:v>
      </x:c>
      <x:c r="H447" s="146" t="e">
        <x:f>IF($A447="","",[1]!thsiFinD("ths_adjustment_nv_fund",H$3,$A447))</x:f>
        <x:v>#NAME?</x:v>
      </x:c>
      <x:c r="I447" s="146" t="e">
        <x:f>IF($A447="","",[1]!thsiFinD("ths_adjustment_nv_fund",I$3,$A447))</x:f>
        <x:v>#NAME?</x:v>
      </x:c>
      <x:c r="J447" s="146" t="e">
        <x:f>IF($A447="","",[1]!thsiFinD("ths_adjustment_nv_fund",J$3,$A447))</x:f>
        <x:v>#NAME?</x:v>
      </x:c>
      <x:c r="K447" s="146" t="e">
        <x:f>IF($A447="","",[1]!thsiFinD("ths_adjustment_nv_fund",K$3,$A447))</x:f>
        <x:v>#NAME?</x:v>
      </x:c>
      <x:c r="L447" s="146" t="e">
        <x:f>IF($A447="","",[1]!thsiFinD("ths_adjustment_nv_fund",L$3,$A447))</x:f>
        <x:v>#NAME?</x:v>
      </x:c>
      <x:c r="M447" s="146" t="e">
        <x:f>IF($A447="","",[1]!thsiFinD("ths_adjustment_nv_fund",M$3,$A447))</x:f>
        <x:v>#NAME?</x:v>
      </x:c>
      <x:c r="N447" s="146" t="e">
        <x:f>IF($A447="","",[1]!thsiFinD("ths_adjustment_nv_fund",N$3,$A447))</x:f>
        <x:v>#NAME?</x:v>
      </x:c>
      <x:c r="O447" s="146" t="e">
        <x:f>IF($A447="","",[1]!thsiFinD("ths_adjustment_nv_fund",O$3,$A447))</x:f>
        <x:v>#NAME?</x:v>
      </x:c>
      <x:c r="P447" s="146" t="e">
        <x:f>IF($A447="","",[1]!thsiFinD("ths_adjustment_nv_fund",P$3,$A447))</x:f>
        <x:v>#NAME?</x:v>
      </x:c>
      <x:c r="Q447" s="146" t="e">
        <x:f>IF($A447="","",[1]!thsiFinD("ths_adjustment_nv_fund",Q$3,$A447))</x:f>
        <x:v>#NAME?</x:v>
      </x:c>
      <x:c r="R447" s="146" t="e">
        <x:f>IF($A447="","",[1]!thsiFinD("ths_adjustment_nv_fund",R$3,$A447))</x:f>
        <x:v>#NAME?</x:v>
      </x:c>
      <x:c r="S447" s="146" t="e">
        <x:f>IF($A447="","",[1]!thsiFinD("ths_adjustment_nv_fund",S$3,$A447))</x:f>
        <x:v>#NAME?</x:v>
      </x:c>
      <x:c r="T447" s="146" t="e">
        <x:f>IF($A447="","",[1]!thsiFinD("ths_adjustment_nv_fund",T$3,$A447))</x:f>
        <x:v>#NAME?</x:v>
      </x:c>
      <x:c r="U447" s="146" t="e">
        <x:f>IF($A447="","",[1]!thsiFinD("ths_adjustment_nv_fund",U$3,$A447))</x:f>
        <x:v>#NAME?</x:v>
      </x:c>
      <x:c r="V447" s="146" t="e">
        <x:f>IF($A447="","",[1]!thsiFinD("ths_adjustment_nv_fund",V$3,$A447))</x:f>
        <x:v>#NAME?</x:v>
      </x:c>
      <x:c r="W447" s="146" t="e">
        <x:f>IF($A447="","",[1]!thsiFinD("ths_adjustment_nv_fund",W$3,$A447))</x:f>
        <x:v>#NAME?</x:v>
      </x:c>
      <x:c r="X447" s="146" t="e">
        <x:f>IF($A447="","",[1]!thsiFinD("ths_adjustment_nv_fund",X$3,$A447))</x:f>
        <x:v>#NAME?</x:v>
      </x:c>
      <x:c r="Y447" s="146" t="e">
        <x:f>IF($A447="","",[1]!thsiFinD("ths_adjustment_nv_fund",Y$3,$A447))</x:f>
        <x:v>#NAME?</x:v>
      </x:c>
      <x:c r="Z447" s="146" t="e">
        <x:f>IF($A447="","",[1]!thsiFinD("ths_adjustment_nv_fund",Z$3,$A447))</x:f>
        <x:v>#NAME?</x:v>
      </x:c>
      <x:c r="AA447" s="146" t="e">
        <x:f>IF($A447="","",[1]!thsiFinD("ths_adjustment_nv_fund",AA$3,$A447))</x:f>
        <x:v>#NAME?</x:v>
      </x:c>
    </x:row>
    <x:row r="448">
      <x:c r="B448" s="146" t="e">
        <x:f>IF($A448="","",[1]!thsiFinD("ths_adjustment_nv_fund",B$3,$A448))</x:f>
        <x:v>#NAME?</x:v>
      </x:c>
      <x:c r="C448" s="146" t="e">
        <x:f>IF($A448="","",[1]!thsiFinD("ths_adjustment_nv_fund",C$3,$A448))</x:f>
        <x:v>#NAME?</x:v>
      </x:c>
      <x:c r="D448" s="146" t="e">
        <x:f>IF($A448="","",[1]!thsiFinD("ths_adjustment_nv_fund",D$3,$A448))</x:f>
        <x:v>#NAME?</x:v>
      </x:c>
      <x:c r="E448" s="146" t="e">
        <x:f>IF($A448="","",[1]!thsiFinD("ths_adjustment_nv_fund",E$3,$A448))</x:f>
        <x:v>#NAME?</x:v>
      </x:c>
      <x:c r="F448" s="146" t="e">
        <x:f>IF($A448="","",[1]!thsiFinD("ths_adjustment_nv_fund",F$3,$A448))</x:f>
        <x:v>#NAME?</x:v>
      </x:c>
      <x:c r="G448" s="146" t="e">
        <x:f>IF($A448="","",[1]!thsiFinD("ths_adjustment_nv_fund",G$3,$A448))</x:f>
        <x:v>#NAME?</x:v>
      </x:c>
      <x:c r="H448" s="146" t="e">
        <x:f>IF($A448="","",[1]!thsiFinD("ths_adjustment_nv_fund",H$3,$A448))</x:f>
        <x:v>#NAME?</x:v>
      </x:c>
      <x:c r="I448" s="146" t="e">
        <x:f>IF($A448="","",[1]!thsiFinD("ths_adjustment_nv_fund",I$3,$A448))</x:f>
        <x:v>#NAME?</x:v>
      </x:c>
      <x:c r="J448" s="146" t="e">
        <x:f>IF($A448="","",[1]!thsiFinD("ths_adjustment_nv_fund",J$3,$A448))</x:f>
        <x:v>#NAME?</x:v>
      </x:c>
      <x:c r="K448" s="146" t="e">
        <x:f>IF($A448="","",[1]!thsiFinD("ths_adjustment_nv_fund",K$3,$A448))</x:f>
        <x:v>#NAME?</x:v>
      </x:c>
      <x:c r="L448" s="146" t="e">
        <x:f>IF($A448="","",[1]!thsiFinD("ths_adjustment_nv_fund",L$3,$A448))</x:f>
        <x:v>#NAME?</x:v>
      </x:c>
      <x:c r="M448" s="146" t="e">
        <x:f>IF($A448="","",[1]!thsiFinD("ths_adjustment_nv_fund",M$3,$A448))</x:f>
        <x:v>#NAME?</x:v>
      </x:c>
      <x:c r="N448" s="146" t="e">
        <x:f>IF($A448="","",[1]!thsiFinD("ths_adjustment_nv_fund",N$3,$A448))</x:f>
        <x:v>#NAME?</x:v>
      </x:c>
      <x:c r="O448" s="146" t="e">
        <x:f>IF($A448="","",[1]!thsiFinD("ths_adjustment_nv_fund",O$3,$A448))</x:f>
        <x:v>#NAME?</x:v>
      </x:c>
      <x:c r="P448" s="146" t="e">
        <x:f>IF($A448="","",[1]!thsiFinD("ths_adjustment_nv_fund",P$3,$A448))</x:f>
        <x:v>#NAME?</x:v>
      </x:c>
      <x:c r="Q448" s="146" t="e">
        <x:f>IF($A448="","",[1]!thsiFinD("ths_adjustment_nv_fund",Q$3,$A448))</x:f>
        <x:v>#NAME?</x:v>
      </x:c>
      <x:c r="R448" s="146" t="e">
        <x:f>IF($A448="","",[1]!thsiFinD("ths_adjustment_nv_fund",R$3,$A448))</x:f>
        <x:v>#NAME?</x:v>
      </x:c>
      <x:c r="S448" s="146" t="e">
        <x:f>IF($A448="","",[1]!thsiFinD("ths_adjustment_nv_fund",S$3,$A448))</x:f>
        <x:v>#NAME?</x:v>
      </x:c>
      <x:c r="T448" s="146" t="e">
        <x:f>IF($A448="","",[1]!thsiFinD("ths_adjustment_nv_fund",T$3,$A448))</x:f>
        <x:v>#NAME?</x:v>
      </x:c>
      <x:c r="U448" s="146" t="e">
        <x:f>IF($A448="","",[1]!thsiFinD("ths_adjustment_nv_fund",U$3,$A448))</x:f>
        <x:v>#NAME?</x:v>
      </x:c>
      <x:c r="V448" s="146" t="e">
        <x:f>IF($A448="","",[1]!thsiFinD("ths_adjustment_nv_fund",V$3,$A448))</x:f>
        <x:v>#NAME?</x:v>
      </x:c>
      <x:c r="W448" s="146" t="e">
        <x:f>IF($A448="","",[1]!thsiFinD("ths_adjustment_nv_fund",W$3,$A448))</x:f>
        <x:v>#NAME?</x:v>
      </x:c>
      <x:c r="X448" s="146" t="e">
        <x:f>IF($A448="","",[1]!thsiFinD("ths_adjustment_nv_fund",X$3,$A448))</x:f>
        <x:v>#NAME?</x:v>
      </x:c>
      <x:c r="Y448" s="146" t="e">
        <x:f>IF($A448="","",[1]!thsiFinD("ths_adjustment_nv_fund",Y$3,$A448))</x:f>
        <x:v>#NAME?</x:v>
      </x:c>
      <x:c r="Z448" s="146" t="e">
        <x:f>IF($A448="","",[1]!thsiFinD("ths_adjustment_nv_fund",Z$3,$A448))</x:f>
        <x:v>#NAME?</x:v>
      </x:c>
      <x:c r="AA448" s="146" t="e">
        <x:f>IF($A448="","",[1]!thsiFinD("ths_adjustment_nv_fund",AA$3,$A448))</x:f>
        <x:v>#NAME?</x:v>
      </x:c>
    </x:row>
    <x:row r="449">
      <x:c r="B449" s="146" t="e">
        <x:f>IF($A449="","",[1]!thsiFinD("ths_adjustment_nv_fund",B$3,$A449))</x:f>
        <x:v>#NAME?</x:v>
      </x:c>
      <x:c r="C449" s="146" t="e">
        <x:f>IF($A449="","",[1]!thsiFinD("ths_adjustment_nv_fund",C$3,$A449))</x:f>
        <x:v>#NAME?</x:v>
      </x:c>
      <x:c r="D449" s="146" t="e">
        <x:f>IF($A449="","",[1]!thsiFinD("ths_adjustment_nv_fund",D$3,$A449))</x:f>
        <x:v>#NAME?</x:v>
      </x:c>
      <x:c r="E449" s="146" t="e">
        <x:f>IF($A449="","",[1]!thsiFinD("ths_adjustment_nv_fund",E$3,$A449))</x:f>
        <x:v>#NAME?</x:v>
      </x:c>
      <x:c r="F449" s="146" t="e">
        <x:f>IF($A449="","",[1]!thsiFinD("ths_adjustment_nv_fund",F$3,$A449))</x:f>
        <x:v>#NAME?</x:v>
      </x:c>
      <x:c r="G449" s="146" t="e">
        <x:f>IF($A449="","",[1]!thsiFinD("ths_adjustment_nv_fund",G$3,$A449))</x:f>
        <x:v>#NAME?</x:v>
      </x:c>
      <x:c r="H449" s="146" t="e">
        <x:f>IF($A449="","",[1]!thsiFinD("ths_adjustment_nv_fund",H$3,$A449))</x:f>
        <x:v>#NAME?</x:v>
      </x:c>
      <x:c r="I449" s="146" t="e">
        <x:f>IF($A449="","",[1]!thsiFinD("ths_adjustment_nv_fund",I$3,$A449))</x:f>
        <x:v>#NAME?</x:v>
      </x:c>
      <x:c r="J449" s="146" t="e">
        <x:f>IF($A449="","",[1]!thsiFinD("ths_adjustment_nv_fund",J$3,$A449))</x:f>
        <x:v>#NAME?</x:v>
      </x:c>
      <x:c r="K449" s="146" t="e">
        <x:f>IF($A449="","",[1]!thsiFinD("ths_adjustment_nv_fund",K$3,$A449))</x:f>
        <x:v>#NAME?</x:v>
      </x:c>
      <x:c r="L449" s="146" t="e">
        <x:f>IF($A449="","",[1]!thsiFinD("ths_adjustment_nv_fund",L$3,$A449))</x:f>
        <x:v>#NAME?</x:v>
      </x:c>
      <x:c r="M449" s="146" t="e">
        <x:f>IF($A449="","",[1]!thsiFinD("ths_adjustment_nv_fund",M$3,$A449))</x:f>
        <x:v>#NAME?</x:v>
      </x:c>
      <x:c r="N449" s="146" t="e">
        <x:f>IF($A449="","",[1]!thsiFinD("ths_adjustment_nv_fund",N$3,$A449))</x:f>
        <x:v>#NAME?</x:v>
      </x:c>
      <x:c r="O449" s="146" t="e">
        <x:f>IF($A449="","",[1]!thsiFinD("ths_adjustment_nv_fund",O$3,$A449))</x:f>
        <x:v>#NAME?</x:v>
      </x:c>
      <x:c r="P449" s="146" t="e">
        <x:f>IF($A449="","",[1]!thsiFinD("ths_adjustment_nv_fund",P$3,$A449))</x:f>
        <x:v>#NAME?</x:v>
      </x:c>
      <x:c r="Q449" s="146" t="e">
        <x:f>IF($A449="","",[1]!thsiFinD("ths_adjustment_nv_fund",Q$3,$A449))</x:f>
        <x:v>#NAME?</x:v>
      </x:c>
      <x:c r="R449" s="146" t="e">
        <x:f>IF($A449="","",[1]!thsiFinD("ths_adjustment_nv_fund",R$3,$A449))</x:f>
        <x:v>#NAME?</x:v>
      </x:c>
      <x:c r="S449" s="146" t="e">
        <x:f>IF($A449="","",[1]!thsiFinD("ths_adjustment_nv_fund",S$3,$A449))</x:f>
        <x:v>#NAME?</x:v>
      </x:c>
      <x:c r="T449" s="146" t="e">
        <x:f>IF($A449="","",[1]!thsiFinD("ths_adjustment_nv_fund",T$3,$A449))</x:f>
        <x:v>#NAME?</x:v>
      </x:c>
      <x:c r="U449" s="146" t="e">
        <x:f>IF($A449="","",[1]!thsiFinD("ths_adjustment_nv_fund",U$3,$A449))</x:f>
        <x:v>#NAME?</x:v>
      </x:c>
      <x:c r="V449" s="146" t="e">
        <x:f>IF($A449="","",[1]!thsiFinD("ths_adjustment_nv_fund",V$3,$A449))</x:f>
        <x:v>#NAME?</x:v>
      </x:c>
      <x:c r="W449" s="146" t="e">
        <x:f>IF($A449="","",[1]!thsiFinD("ths_adjustment_nv_fund",W$3,$A449))</x:f>
        <x:v>#NAME?</x:v>
      </x:c>
      <x:c r="X449" s="146" t="e">
        <x:f>IF($A449="","",[1]!thsiFinD("ths_adjustment_nv_fund",X$3,$A449))</x:f>
        <x:v>#NAME?</x:v>
      </x:c>
      <x:c r="Y449" s="146" t="e">
        <x:f>IF($A449="","",[1]!thsiFinD("ths_adjustment_nv_fund",Y$3,$A449))</x:f>
        <x:v>#NAME?</x:v>
      </x:c>
      <x:c r="Z449" s="146" t="e">
        <x:f>IF($A449="","",[1]!thsiFinD("ths_adjustment_nv_fund",Z$3,$A449))</x:f>
        <x:v>#NAME?</x:v>
      </x:c>
      <x:c r="AA449" s="146" t="e">
        <x:f>IF($A449="","",[1]!thsiFinD("ths_adjustment_nv_fund",AA$3,$A449))</x:f>
        <x:v>#NAME?</x:v>
      </x:c>
    </x:row>
    <x:row r="450">
      <x:c r="B450" s="146" t="e">
        <x:f>IF($A450="","",[1]!thsiFinD("ths_adjustment_nv_fund",B$3,$A450))</x:f>
        <x:v>#NAME?</x:v>
      </x:c>
      <x:c r="C450" s="146" t="e">
        <x:f>IF($A450="","",[1]!thsiFinD("ths_adjustment_nv_fund",C$3,$A450))</x:f>
        <x:v>#NAME?</x:v>
      </x:c>
      <x:c r="D450" s="146" t="e">
        <x:f>IF($A450="","",[1]!thsiFinD("ths_adjustment_nv_fund",D$3,$A450))</x:f>
        <x:v>#NAME?</x:v>
      </x:c>
      <x:c r="E450" s="146" t="e">
        <x:f>IF($A450="","",[1]!thsiFinD("ths_adjustment_nv_fund",E$3,$A450))</x:f>
        <x:v>#NAME?</x:v>
      </x:c>
      <x:c r="F450" s="146" t="e">
        <x:f>IF($A450="","",[1]!thsiFinD("ths_adjustment_nv_fund",F$3,$A450))</x:f>
        <x:v>#NAME?</x:v>
      </x:c>
      <x:c r="G450" s="146" t="e">
        <x:f>IF($A450="","",[1]!thsiFinD("ths_adjustment_nv_fund",G$3,$A450))</x:f>
        <x:v>#NAME?</x:v>
      </x:c>
      <x:c r="H450" s="146" t="e">
        <x:f>IF($A450="","",[1]!thsiFinD("ths_adjustment_nv_fund",H$3,$A450))</x:f>
        <x:v>#NAME?</x:v>
      </x:c>
      <x:c r="I450" s="146" t="e">
        <x:f>IF($A450="","",[1]!thsiFinD("ths_adjustment_nv_fund",I$3,$A450))</x:f>
        <x:v>#NAME?</x:v>
      </x:c>
      <x:c r="J450" s="146" t="e">
        <x:f>IF($A450="","",[1]!thsiFinD("ths_adjustment_nv_fund",J$3,$A450))</x:f>
        <x:v>#NAME?</x:v>
      </x:c>
      <x:c r="K450" s="146" t="e">
        <x:f>IF($A450="","",[1]!thsiFinD("ths_adjustment_nv_fund",K$3,$A450))</x:f>
        <x:v>#NAME?</x:v>
      </x:c>
      <x:c r="L450" s="146" t="e">
        <x:f>IF($A450="","",[1]!thsiFinD("ths_adjustment_nv_fund",L$3,$A450))</x:f>
        <x:v>#NAME?</x:v>
      </x:c>
      <x:c r="M450" s="146" t="e">
        <x:f>IF($A450="","",[1]!thsiFinD("ths_adjustment_nv_fund",M$3,$A450))</x:f>
        <x:v>#NAME?</x:v>
      </x:c>
      <x:c r="N450" s="146" t="e">
        <x:f>IF($A450="","",[1]!thsiFinD("ths_adjustment_nv_fund",N$3,$A450))</x:f>
        <x:v>#NAME?</x:v>
      </x:c>
      <x:c r="O450" s="146" t="e">
        <x:f>IF($A450="","",[1]!thsiFinD("ths_adjustment_nv_fund",O$3,$A450))</x:f>
        <x:v>#NAME?</x:v>
      </x:c>
      <x:c r="P450" s="146" t="e">
        <x:f>IF($A450="","",[1]!thsiFinD("ths_adjustment_nv_fund",P$3,$A450))</x:f>
        <x:v>#NAME?</x:v>
      </x:c>
      <x:c r="Q450" s="146" t="e">
        <x:f>IF($A450="","",[1]!thsiFinD("ths_adjustment_nv_fund",Q$3,$A450))</x:f>
        <x:v>#NAME?</x:v>
      </x:c>
      <x:c r="R450" s="146" t="e">
        <x:f>IF($A450="","",[1]!thsiFinD("ths_adjustment_nv_fund",R$3,$A450))</x:f>
        <x:v>#NAME?</x:v>
      </x:c>
      <x:c r="S450" s="146" t="e">
        <x:f>IF($A450="","",[1]!thsiFinD("ths_adjustment_nv_fund",S$3,$A450))</x:f>
        <x:v>#NAME?</x:v>
      </x:c>
      <x:c r="T450" s="146" t="e">
        <x:f>IF($A450="","",[1]!thsiFinD("ths_adjustment_nv_fund",T$3,$A450))</x:f>
        <x:v>#NAME?</x:v>
      </x:c>
      <x:c r="U450" s="146" t="e">
        <x:f>IF($A450="","",[1]!thsiFinD("ths_adjustment_nv_fund",U$3,$A450))</x:f>
        <x:v>#NAME?</x:v>
      </x:c>
      <x:c r="V450" s="146" t="e">
        <x:f>IF($A450="","",[1]!thsiFinD("ths_adjustment_nv_fund",V$3,$A450))</x:f>
        <x:v>#NAME?</x:v>
      </x:c>
      <x:c r="W450" s="146" t="e">
        <x:f>IF($A450="","",[1]!thsiFinD("ths_adjustment_nv_fund",W$3,$A450))</x:f>
        <x:v>#NAME?</x:v>
      </x:c>
      <x:c r="X450" s="146" t="e">
        <x:f>IF($A450="","",[1]!thsiFinD("ths_adjustment_nv_fund",X$3,$A450))</x:f>
        <x:v>#NAME?</x:v>
      </x:c>
      <x:c r="Y450" s="146" t="e">
        <x:f>IF($A450="","",[1]!thsiFinD("ths_adjustment_nv_fund",Y$3,$A450))</x:f>
        <x:v>#NAME?</x:v>
      </x:c>
      <x:c r="Z450" s="146" t="e">
        <x:f>IF($A450="","",[1]!thsiFinD("ths_adjustment_nv_fund",Z$3,$A450))</x:f>
        <x:v>#NAME?</x:v>
      </x:c>
      <x:c r="AA450" s="146" t="e">
        <x:f>IF($A450="","",[1]!thsiFinD("ths_adjustment_nv_fund",AA$3,$A450))</x:f>
        <x:v>#NAME?</x:v>
      </x:c>
    </x:row>
    <x:row r="451">
      <x:c r="B451" s="146" t="e">
        <x:f>IF($A451="","",[1]!thsiFinD("ths_adjustment_nv_fund",B$3,$A451))</x:f>
        <x:v>#NAME?</x:v>
      </x:c>
      <x:c r="C451" s="146" t="e">
        <x:f>IF($A451="","",[1]!thsiFinD("ths_adjustment_nv_fund",C$3,$A451))</x:f>
        <x:v>#NAME?</x:v>
      </x:c>
      <x:c r="D451" s="146" t="e">
        <x:f>IF($A451="","",[1]!thsiFinD("ths_adjustment_nv_fund",D$3,$A451))</x:f>
        <x:v>#NAME?</x:v>
      </x:c>
      <x:c r="E451" s="146" t="e">
        <x:f>IF($A451="","",[1]!thsiFinD("ths_adjustment_nv_fund",E$3,$A451))</x:f>
        <x:v>#NAME?</x:v>
      </x:c>
      <x:c r="F451" s="146" t="e">
        <x:f>IF($A451="","",[1]!thsiFinD("ths_adjustment_nv_fund",F$3,$A451))</x:f>
        <x:v>#NAME?</x:v>
      </x:c>
      <x:c r="G451" s="146" t="e">
        <x:f>IF($A451="","",[1]!thsiFinD("ths_adjustment_nv_fund",G$3,$A451))</x:f>
        <x:v>#NAME?</x:v>
      </x:c>
      <x:c r="H451" s="146" t="e">
        <x:f>IF($A451="","",[1]!thsiFinD("ths_adjustment_nv_fund",H$3,$A451))</x:f>
        <x:v>#NAME?</x:v>
      </x:c>
      <x:c r="I451" s="146" t="e">
        <x:f>IF($A451="","",[1]!thsiFinD("ths_adjustment_nv_fund",I$3,$A451))</x:f>
        <x:v>#NAME?</x:v>
      </x:c>
      <x:c r="J451" s="146" t="e">
        <x:f>IF($A451="","",[1]!thsiFinD("ths_adjustment_nv_fund",J$3,$A451))</x:f>
        <x:v>#NAME?</x:v>
      </x:c>
      <x:c r="K451" s="146" t="e">
        <x:f>IF($A451="","",[1]!thsiFinD("ths_adjustment_nv_fund",K$3,$A451))</x:f>
        <x:v>#NAME?</x:v>
      </x:c>
      <x:c r="L451" s="146" t="e">
        <x:f>IF($A451="","",[1]!thsiFinD("ths_adjustment_nv_fund",L$3,$A451))</x:f>
        <x:v>#NAME?</x:v>
      </x:c>
      <x:c r="M451" s="146" t="e">
        <x:f>IF($A451="","",[1]!thsiFinD("ths_adjustment_nv_fund",M$3,$A451))</x:f>
        <x:v>#NAME?</x:v>
      </x:c>
      <x:c r="N451" s="146" t="e">
        <x:f>IF($A451="","",[1]!thsiFinD("ths_adjustment_nv_fund",N$3,$A451))</x:f>
        <x:v>#NAME?</x:v>
      </x:c>
      <x:c r="O451" s="146" t="e">
        <x:f>IF($A451="","",[1]!thsiFinD("ths_adjustment_nv_fund",O$3,$A451))</x:f>
        <x:v>#NAME?</x:v>
      </x:c>
      <x:c r="P451" s="146" t="e">
        <x:f>IF($A451="","",[1]!thsiFinD("ths_adjustment_nv_fund",P$3,$A451))</x:f>
        <x:v>#NAME?</x:v>
      </x:c>
      <x:c r="Q451" s="146" t="e">
        <x:f>IF($A451="","",[1]!thsiFinD("ths_adjustment_nv_fund",Q$3,$A451))</x:f>
        <x:v>#NAME?</x:v>
      </x:c>
      <x:c r="R451" s="146" t="e">
        <x:f>IF($A451="","",[1]!thsiFinD("ths_adjustment_nv_fund",R$3,$A451))</x:f>
        <x:v>#NAME?</x:v>
      </x:c>
      <x:c r="S451" s="146" t="e">
        <x:f>IF($A451="","",[1]!thsiFinD("ths_adjustment_nv_fund",S$3,$A451))</x:f>
        <x:v>#NAME?</x:v>
      </x:c>
      <x:c r="T451" s="146" t="e">
        <x:f>IF($A451="","",[1]!thsiFinD("ths_adjustment_nv_fund",T$3,$A451))</x:f>
        <x:v>#NAME?</x:v>
      </x:c>
      <x:c r="U451" s="146" t="e">
        <x:f>IF($A451="","",[1]!thsiFinD("ths_adjustment_nv_fund",U$3,$A451))</x:f>
        <x:v>#NAME?</x:v>
      </x:c>
      <x:c r="V451" s="146" t="e">
        <x:f>IF($A451="","",[1]!thsiFinD("ths_adjustment_nv_fund",V$3,$A451))</x:f>
        <x:v>#NAME?</x:v>
      </x:c>
      <x:c r="W451" s="146" t="e">
        <x:f>IF($A451="","",[1]!thsiFinD("ths_adjustment_nv_fund",W$3,$A451))</x:f>
        <x:v>#NAME?</x:v>
      </x:c>
      <x:c r="X451" s="146" t="e">
        <x:f>IF($A451="","",[1]!thsiFinD("ths_adjustment_nv_fund",X$3,$A451))</x:f>
        <x:v>#NAME?</x:v>
      </x:c>
      <x:c r="Y451" s="146" t="e">
        <x:f>IF($A451="","",[1]!thsiFinD("ths_adjustment_nv_fund",Y$3,$A451))</x:f>
        <x:v>#NAME?</x:v>
      </x:c>
      <x:c r="Z451" s="146" t="e">
        <x:f>IF($A451="","",[1]!thsiFinD("ths_adjustment_nv_fund",Z$3,$A451))</x:f>
        <x:v>#NAME?</x:v>
      </x:c>
      <x:c r="AA451" s="146" t="e">
        <x:f>IF($A451="","",[1]!thsiFinD("ths_adjustment_nv_fund",AA$3,$A451))</x:f>
        <x:v>#NAME?</x:v>
      </x:c>
    </x:row>
    <x:row r="452">
      <x:c r="B452" s="146" t="e">
        <x:f>IF($A452="","",[1]!thsiFinD("ths_adjustment_nv_fund",B$3,$A452))</x:f>
        <x:v>#NAME?</x:v>
      </x:c>
      <x:c r="C452" s="146" t="e">
        <x:f>IF($A452="","",[1]!thsiFinD("ths_adjustment_nv_fund",C$3,$A452))</x:f>
        <x:v>#NAME?</x:v>
      </x:c>
      <x:c r="D452" s="146" t="e">
        <x:f>IF($A452="","",[1]!thsiFinD("ths_adjustment_nv_fund",D$3,$A452))</x:f>
        <x:v>#NAME?</x:v>
      </x:c>
      <x:c r="E452" s="146" t="e">
        <x:f>IF($A452="","",[1]!thsiFinD("ths_adjustment_nv_fund",E$3,$A452))</x:f>
        <x:v>#NAME?</x:v>
      </x:c>
      <x:c r="F452" s="146" t="e">
        <x:f>IF($A452="","",[1]!thsiFinD("ths_adjustment_nv_fund",F$3,$A452))</x:f>
        <x:v>#NAME?</x:v>
      </x:c>
      <x:c r="G452" s="146" t="e">
        <x:f>IF($A452="","",[1]!thsiFinD("ths_adjustment_nv_fund",G$3,$A452))</x:f>
        <x:v>#NAME?</x:v>
      </x:c>
      <x:c r="H452" s="146" t="e">
        <x:f>IF($A452="","",[1]!thsiFinD("ths_adjustment_nv_fund",H$3,$A452))</x:f>
        <x:v>#NAME?</x:v>
      </x:c>
      <x:c r="I452" s="146" t="e">
        <x:f>IF($A452="","",[1]!thsiFinD("ths_adjustment_nv_fund",I$3,$A452))</x:f>
        <x:v>#NAME?</x:v>
      </x:c>
      <x:c r="J452" s="146" t="e">
        <x:f>IF($A452="","",[1]!thsiFinD("ths_adjustment_nv_fund",J$3,$A452))</x:f>
        <x:v>#NAME?</x:v>
      </x:c>
      <x:c r="K452" s="146" t="e">
        <x:f>IF($A452="","",[1]!thsiFinD("ths_adjustment_nv_fund",K$3,$A452))</x:f>
        <x:v>#NAME?</x:v>
      </x:c>
      <x:c r="L452" s="146" t="e">
        <x:f>IF($A452="","",[1]!thsiFinD("ths_adjustment_nv_fund",L$3,$A452))</x:f>
        <x:v>#NAME?</x:v>
      </x:c>
      <x:c r="M452" s="146" t="e">
        <x:f>IF($A452="","",[1]!thsiFinD("ths_adjustment_nv_fund",M$3,$A452))</x:f>
        <x:v>#NAME?</x:v>
      </x:c>
      <x:c r="N452" s="146" t="e">
        <x:f>IF($A452="","",[1]!thsiFinD("ths_adjustment_nv_fund",N$3,$A452))</x:f>
        <x:v>#NAME?</x:v>
      </x:c>
      <x:c r="O452" s="146" t="e">
        <x:f>IF($A452="","",[1]!thsiFinD("ths_adjustment_nv_fund",O$3,$A452))</x:f>
        <x:v>#NAME?</x:v>
      </x:c>
      <x:c r="P452" s="146" t="e">
        <x:f>IF($A452="","",[1]!thsiFinD("ths_adjustment_nv_fund",P$3,$A452))</x:f>
        <x:v>#NAME?</x:v>
      </x:c>
      <x:c r="Q452" s="146" t="e">
        <x:f>IF($A452="","",[1]!thsiFinD("ths_adjustment_nv_fund",Q$3,$A452))</x:f>
        <x:v>#NAME?</x:v>
      </x:c>
      <x:c r="R452" s="146" t="e">
        <x:f>IF($A452="","",[1]!thsiFinD("ths_adjustment_nv_fund",R$3,$A452))</x:f>
        <x:v>#NAME?</x:v>
      </x:c>
      <x:c r="S452" s="146" t="e">
        <x:f>IF($A452="","",[1]!thsiFinD("ths_adjustment_nv_fund",S$3,$A452))</x:f>
        <x:v>#NAME?</x:v>
      </x:c>
      <x:c r="T452" s="146" t="e">
        <x:f>IF($A452="","",[1]!thsiFinD("ths_adjustment_nv_fund",T$3,$A452))</x:f>
        <x:v>#NAME?</x:v>
      </x:c>
      <x:c r="U452" s="146" t="e">
        <x:f>IF($A452="","",[1]!thsiFinD("ths_adjustment_nv_fund",U$3,$A452))</x:f>
        <x:v>#NAME?</x:v>
      </x:c>
      <x:c r="V452" s="146" t="e">
        <x:f>IF($A452="","",[1]!thsiFinD("ths_adjustment_nv_fund",V$3,$A452))</x:f>
        <x:v>#NAME?</x:v>
      </x:c>
      <x:c r="W452" s="146" t="e">
        <x:f>IF($A452="","",[1]!thsiFinD("ths_adjustment_nv_fund",W$3,$A452))</x:f>
        <x:v>#NAME?</x:v>
      </x:c>
      <x:c r="X452" s="146" t="e">
        <x:f>IF($A452="","",[1]!thsiFinD("ths_adjustment_nv_fund",X$3,$A452))</x:f>
        <x:v>#NAME?</x:v>
      </x:c>
      <x:c r="Y452" s="146" t="e">
        <x:f>IF($A452="","",[1]!thsiFinD("ths_adjustment_nv_fund",Y$3,$A452))</x:f>
        <x:v>#NAME?</x:v>
      </x:c>
      <x:c r="Z452" s="146" t="e">
        <x:f>IF($A452="","",[1]!thsiFinD("ths_adjustment_nv_fund",Z$3,$A452))</x:f>
        <x:v>#NAME?</x:v>
      </x:c>
      <x:c r="AA452" s="146" t="e">
        <x:f>IF($A452="","",[1]!thsiFinD("ths_adjustment_nv_fund",AA$3,$A452))</x:f>
        <x:v>#NAME?</x:v>
      </x:c>
    </x:row>
    <x:row r="453">
      <x:c r="B453" s="146" t="e">
        <x:f>IF($A453="","",[1]!thsiFinD("ths_adjustment_nv_fund",B$3,$A453))</x:f>
        <x:v>#NAME?</x:v>
      </x:c>
      <x:c r="C453" s="146" t="e">
        <x:f>IF($A453="","",[1]!thsiFinD("ths_adjustment_nv_fund",C$3,$A453))</x:f>
        <x:v>#NAME?</x:v>
      </x:c>
      <x:c r="D453" s="146" t="e">
        <x:f>IF($A453="","",[1]!thsiFinD("ths_adjustment_nv_fund",D$3,$A453))</x:f>
        <x:v>#NAME?</x:v>
      </x:c>
      <x:c r="E453" s="146" t="e">
        <x:f>IF($A453="","",[1]!thsiFinD("ths_adjustment_nv_fund",E$3,$A453))</x:f>
        <x:v>#NAME?</x:v>
      </x:c>
      <x:c r="F453" s="146" t="e">
        <x:f>IF($A453="","",[1]!thsiFinD("ths_adjustment_nv_fund",F$3,$A453))</x:f>
        <x:v>#NAME?</x:v>
      </x:c>
      <x:c r="G453" s="146" t="e">
        <x:f>IF($A453="","",[1]!thsiFinD("ths_adjustment_nv_fund",G$3,$A453))</x:f>
        <x:v>#NAME?</x:v>
      </x:c>
      <x:c r="H453" s="146" t="e">
        <x:f>IF($A453="","",[1]!thsiFinD("ths_adjustment_nv_fund",H$3,$A453))</x:f>
        <x:v>#NAME?</x:v>
      </x:c>
      <x:c r="I453" s="146" t="e">
        <x:f>IF($A453="","",[1]!thsiFinD("ths_adjustment_nv_fund",I$3,$A453))</x:f>
        <x:v>#NAME?</x:v>
      </x:c>
      <x:c r="J453" s="146" t="e">
        <x:f>IF($A453="","",[1]!thsiFinD("ths_adjustment_nv_fund",J$3,$A453))</x:f>
        <x:v>#NAME?</x:v>
      </x:c>
      <x:c r="K453" s="146" t="e">
        <x:f>IF($A453="","",[1]!thsiFinD("ths_adjustment_nv_fund",K$3,$A453))</x:f>
        <x:v>#NAME?</x:v>
      </x:c>
      <x:c r="L453" s="146" t="e">
        <x:f>IF($A453="","",[1]!thsiFinD("ths_adjustment_nv_fund",L$3,$A453))</x:f>
        <x:v>#NAME?</x:v>
      </x:c>
      <x:c r="M453" s="146" t="e">
        <x:f>IF($A453="","",[1]!thsiFinD("ths_adjustment_nv_fund",M$3,$A453))</x:f>
        <x:v>#NAME?</x:v>
      </x:c>
      <x:c r="N453" s="146" t="e">
        <x:f>IF($A453="","",[1]!thsiFinD("ths_adjustment_nv_fund",N$3,$A453))</x:f>
        <x:v>#NAME?</x:v>
      </x:c>
      <x:c r="O453" s="146" t="e">
        <x:f>IF($A453="","",[1]!thsiFinD("ths_adjustment_nv_fund",O$3,$A453))</x:f>
        <x:v>#NAME?</x:v>
      </x:c>
      <x:c r="P453" s="146" t="e">
        <x:f>IF($A453="","",[1]!thsiFinD("ths_adjustment_nv_fund",P$3,$A453))</x:f>
        <x:v>#NAME?</x:v>
      </x:c>
      <x:c r="Q453" s="146" t="e">
        <x:f>IF($A453="","",[1]!thsiFinD("ths_adjustment_nv_fund",Q$3,$A453))</x:f>
        <x:v>#NAME?</x:v>
      </x:c>
      <x:c r="R453" s="146" t="e">
        <x:f>IF($A453="","",[1]!thsiFinD("ths_adjustment_nv_fund",R$3,$A453))</x:f>
        <x:v>#NAME?</x:v>
      </x:c>
      <x:c r="S453" s="146" t="e">
        <x:f>IF($A453="","",[1]!thsiFinD("ths_adjustment_nv_fund",S$3,$A453))</x:f>
        <x:v>#NAME?</x:v>
      </x:c>
      <x:c r="T453" s="146" t="e">
        <x:f>IF($A453="","",[1]!thsiFinD("ths_adjustment_nv_fund",T$3,$A453))</x:f>
        <x:v>#NAME?</x:v>
      </x:c>
      <x:c r="U453" s="146" t="e">
        <x:f>IF($A453="","",[1]!thsiFinD("ths_adjustment_nv_fund",U$3,$A453))</x:f>
        <x:v>#NAME?</x:v>
      </x:c>
      <x:c r="V453" s="146" t="e">
        <x:f>IF($A453="","",[1]!thsiFinD("ths_adjustment_nv_fund",V$3,$A453))</x:f>
        <x:v>#NAME?</x:v>
      </x:c>
      <x:c r="W453" s="146" t="e">
        <x:f>IF($A453="","",[1]!thsiFinD("ths_adjustment_nv_fund",W$3,$A453))</x:f>
        <x:v>#NAME?</x:v>
      </x:c>
      <x:c r="X453" s="146" t="e">
        <x:f>IF($A453="","",[1]!thsiFinD("ths_adjustment_nv_fund",X$3,$A453))</x:f>
        <x:v>#NAME?</x:v>
      </x:c>
      <x:c r="Y453" s="146" t="e">
        <x:f>IF($A453="","",[1]!thsiFinD("ths_adjustment_nv_fund",Y$3,$A453))</x:f>
        <x:v>#NAME?</x:v>
      </x:c>
      <x:c r="Z453" s="146" t="e">
        <x:f>IF($A453="","",[1]!thsiFinD("ths_adjustment_nv_fund",Z$3,$A453))</x:f>
        <x:v>#NAME?</x:v>
      </x:c>
      <x:c r="AA453" s="146" t="e">
        <x:f>IF($A453="","",[1]!thsiFinD("ths_adjustment_nv_fund",AA$3,$A453))</x:f>
        <x:v>#NAME?</x:v>
      </x:c>
    </x:row>
    <x:row r="454">
      <x:c r="B454" s="146" t="e">
        <x:f>IF($A454="","",[1]!thsiFinD("ths_adjustment_nv_fund",B$3,$A454))</x:f>
        <x:v>#NAME?</x:v>
      </x:c>
      <x:c r="C454" s="146" t="e">
        <x:f>IF($A454="","",[1]!thsiFinD("ths_adjustment_nv_fund",C$3,$A454))</x:f>
        <x:v>#NAME?</x:v>
      </x:c>
      <x:c r="D454" s="146" t="e">
        <x:f>IF($A454="","",[1]!thsiFinD("ths_adjustment_nv_fund",D$3,$A454))</x:f>
        <x:v>#NAME?</x:v>
      </x:c>
      <x:c r="E454" s="146" t="e">
        <x:f>IF($A454="","",[1]!thsiFinD("ths_adjustment_nv_fund",E$3,$A454))</x:f>
        <x:v>#NAME?</x:v>
      </x:c>
      <x:c r="F454" s="146" t="e">
        <x:f>IF($A454="","",[1]!thsiFinD("ths_adjustment_nv_fund",F$3,$A454))</x:f>
        <x:v>#NAME?</x:v>
      </x:c>
      <x:c r="G454" s="146" t="e">
        <x:f>IF($A454="","",[1]!thsiFinD("ths_adjustment_nv_fund",G$3,$A454))</x:f>
        <x:v>#NAME?</x:v>
      </x:c>
      <x:c r="H454" s="146" t="e">
        <x:f>IF($A454="","",[1]!thsiFinD("ths_adjustment_nv_fund",H$3,$A454))</x:f>
        <x:v>#NAME?</x:v>
      </x:c>
      <x:c r="I454" s="146" t="e">
        <x:f>IF($A454="","",[1]!thsiFinD("ths_adjustment_nv_fund",I$3,$A454))</x:f>
        <x:v>#NAME?</x:v>
      </x:c>
      <x:c r="J454" s="146" t="e">
        <x:f>IF($A454="","",[1]!thsiFinD("ths_adjustment_nv_fund",J$3,$A454))</x:f>
        <x:v>#NAME?</x:v>
      </x:c>
      <x:c r="K454" s="146" t="e">
        <x:f>IF($A454="","",[1]!thsiFinD("ths_adjustment_nv_fund",K$3,$A454))</x:f>
        <x:v>#NAME?</x:v>
      </x:c>
      <x:c r="L454" s="146" t="e">
        <x:f>IF($A454="","",[1]!thsiFinD("ths_adjustment_nv_fund",L$3,$A454))</x:f>
        <x:v>#NAME?</x:v>
      </x:c>
      <x:c r="M454" s="146" t="e">
        <x:f>IF($A454="","",[1]!thsiFinD("ths_adjustment_nv_fund",M$3,$A454))</x:f>
        <x:v>#NAME?</x:v>
      </x:c>
      <x:c r="N454" s="146" t="e">
        <x:f>IF($A454="","",[1]!thsiFinD("ths_adjustment_nv_fund",N$3,$A454))</x:f>
        <x:v>#NAME?</x:v>
      </x:c>
      <x:c r="O454" s="146" t="e">
        <x:f>IF($A454="","",[1]!thsiFinD("ths_adjustment_nv_fund",O$3,$A454))</x:f>
        <x:v>#NAME?</x:v>
      </x:c>
      <x:c r="P454" s="146" t="e">
        <x:f>IF($A454="","",[1]!thsiFinD("ths_adjustment_nv_fund",P$3,$A454))</x:f>
        <x:v>#NAME?</x:v>
      </x:c>
      <x:c r="Q454" s="146" t="e">
        <x:f>IF($A454="","",[1]!thsiFinD("ths_adjustment_nv_fund",Q$3,$A454))</x:f>
        <x:v>#NAME?</x:v>
      </x:c>
      <x:c r="R454" s="146" t="e">
        <x:f>IF($A454="","",[1]!thsiFinD("ths_adjustment_nv_fund",R$3,$A454))</x:f>
        <x:v>#NAME?</x:v>
      </x:c>
      <x:c r="S454" s="146" t="e">
        <x:f>IF($A454="","",[1]!thsiFinD("ths_adjustment_nv_fund",S$3,$A454))</x:f>
        <x:v>#NAME?</x:v>
      </x:c>
      <x:c r="T454" s="146" t="e">
        <x:f>IF($A454="","",[1]!thsiFinD("ths_adjustment_nv_fund",T$3,$A454))</x:f>
        <x:v>#NAME?</x:v>
      </x:c>
      <x:c r="U454" s="146" t="e">
        <x:f>IF($A454="","",[1]!thsiFinD("ths_adjustment_nv_fund",U$3,$A454))</x:f>
        <x:v>#NAME?</x:v>
      </x:c>
      <x:c r="V454" s="146" t="e">
        <x:f>IF($A454="","",[1]!thsiFinD("ths_adjustment_nv_fund",V$3,$A454))</x:f>
        <x:v>#NAME?</x:v>
      </x:c>
      <x:c r="W454" s="146" t="e">
        <x:f>IF($A454="","",[1]!thsiFinD("ths_adjustment_nv_fund",W$3,$A454))</x:f>
        <x:v>#NAME?</x:v>
      </x:c>
      <x:c r="X454" s="146" t="e">
        <x:f>IF($A454="","",[1]!thsiFinD("ths_adjustment_nv_fund",X$3,$A454))</x:f>
        <x:v>#NAME?</x:v>
      </x:c>
      <x:c r="Y454" s="146" t="e">
        <x:f>IF($A454="","",[1]!thsiFinD("ths_adjustment_nv_fund",Y$3,$A454))</x:f>
        <x:v>#NAME?</x:v>
      </x:c>
      <x:c r="Z454" s="146" t="e">
        <x:f>IF($A454="","",[1]!thsiFinD("ths_adjustment_nv_fund",Z$3,$A454))</x:f>
        <x:v>#NAME?</x:v>
      </x:c>
      <x:c r="AA454" s="146" t="e">
        <x:f>IF($A454="","",[1]!thsiFinD("ths_adjustment_nv_fund",AA$3,$A454))</x:f>
        <x:v>#NAME?</x:v>
      </x:c>
    </x:row>
    <x:row r="455">
      <x:c r="B455" s="146" t="e">
        <x:f>IF($A455="","",[1]!thsiFinD("ths_adjustment_nv_fund",B$3,$A455))</x:f>
        <x:v>#NAME?</x:v>
      </x:c>
      <x:c r="C455" s="146" t="e">
        <x:f>IF($A455="","",[1]!thsiFinD("ths_adjustment_nv_fund",C$3,$A455))</x:f>
        <x:v>#NAME?</x:v>
      </x:c>
      <x:c r="D455" s="146" t="e">
        <x:f>IF($A455="","",[1]!thsiFinD("ths_adjustment_nv_fund",D$3,$A455))</x:f>
        <x:v>#NAME?</x:v>
      </x:c>
      <x:c r="E455" s="146" t="e">
        <x:f>IF($A455="","",[1]!thsiFinD("ths_adjustment_nv_fund",E$3,$A455))</x:f>
        <x:v>#NAME?</x:v>
      </x:c>
      <x:c r="F455" s="146" t="e">
        <x:f>IF($A455="","",[1]!thsiFinD("ths_adjustment_nv_fund",F$3,$A455))</x:f>
        <x:v>#NAME?</x:v>
      </x:c>
      <x:c r="G455" s="146" t="e">
        <x:f>IF($A455="","",[1]!thsiFinD("ths_adjustment_nv_fund",G$3,$A455))</x:f>
        <x:v>#NAME?</x:v>
      </x:c>
      <x:c r="H455" s="146" t="e">
        <x:f>IF($A455="","",[1]!thsiFinD("ths_adjustment_nv_fund",H$3,$A455))</x:f>
        <x:v>#NAME?</x:v>
      </x:c>
      <x:c r="I455" s="146" t="e">
        <x:f>IF($A455="","",[1]!thsiFinD("ths_adjustment_nv_fund",I$3,$A455))</x:f>
        <x:v>#NAME?</x:v>
      </x:c>
      <x:c r="J455" s="146" t="e">
        <x:f>IF($A455="","",[1]!thsiFinD("ths_adjustment_nv_fund",J$3,$A455))</x:f>
        <x:v>#NAME?</x:v>
      </x:c>
      <x:c r="K455" s="146" t="e">
        <x:f>IF($A455="","",[1]!thsiFinD("ths_adjustment_nv_fund",K$3,$A455))</x:f>
        <x:v>#NAME?</x:v>
      </x:c>
      <x:c r="L455" s="146" t="e">
        <x:f>IF($A455="","",[1]!thsiFinD("ths_adjustment_nv_fund",L$3,$A455))</x:f>
        <x:v>#NAME?</x:v>
      </x:c>
      <x:c r="M455" s="146" t="e">
        <x:f>IF($A455="","",[1]!thsiFinD("ths_adjustment_nv_fund",M$3,$A455))</x:f>
        <x:v>#NAME?</x:v>
      </x:c>
      <x:c r="N455" s="146" t="e">
        <x:f>IF($A455="","",[1]!thsiFinD("ths_adjustment_nv_fund",N$3,$A455))</x:f>
        <x:v>#NAME?</x:v>
      </x:c>
      <x:c r="O455" s="146" t="e">
        <x:f>IF($A455="","",[1]!thsiFinD("ths_adjustment_nv_fund",O$3,$A455))</x:f>
        <x:v>#NAME?</x:v>
      </x:c>
      <x:c r="P455" s="146" t="e">
        <x:f>IF($A455="","",[1]!thsiFinD("ths_adjustment_nv_fund",P$3,$A455))</x:f>
        <x:v>#NAME?</x:v>
      </x:c>
      <x:c r="Q455" s="146" t="e">
        <x:f>IF($A455="","",[1]!thsiFinD("ths_adjustment_nv_fund",Q$3,$A455))</x:f>
        <x:v>#NAME?</x:v>
      </x:c>
      <x:c r="R455" s="146" t="e">
        <x:f>IF($A455="","",[1]!thsiFinD("ths_adjustment_nv_fund",R$3,$A455))</x:f>
        <x:v>#NAME?</x:v>
      </x:c>
      <x:c r="S455" s="146" t="e">
        <x:f>IF($A455="","",[1]!thsiFinD("ths_adjustment_nv_fund",S$3,$A455))</x:f>
        <x:v>#NAME?</x:v>
      </x:c>
      <x:c r="T455" s="146" t="e">
        <x:f>IF($A455="","",[1]!thsiFinD("ths_adjustment_nv_fund",T$3,$A455))</x:f>
        <x:v>#NAME?</x:v>
      </x:c>
      <x:c r="U455" s="146" t="e">
        <x:f>IF($A455="","",[1]!thsiFinD("ths_adjustment_nv_fund",U$3,$A455))</x:f>
        <x:v>#NAME?</x:v>
      </x:c>
      <x:c r="V455" s="146" t="e">
        <x:f>IF($A455="","",[1]!thsiFinD("ths_adjustment_nv_fund",V$3,$A455))</x:f>
        <x:v>#NAME?</x:v>
      </x:c>
      <x:c r="W455" s="146" t="e">
        <x:f>IF($A455="","",[1]!thsiFinD("ths_adjustment_nv_fund",W$3,$A455))</x:f>
        <x:v>#NAME?</x:v>
      </x:c>
      <x:c r="X455" s="146" t="e">
        <x:f>IF($A455="","",[1]!thsiFinD("ths_adjustment_nv_fund",X$3,$A455))</x:f>
        <x:v>#NAME?</x:v>
      </x:c>
      <x:c r="Y455" s="146" t="e">
        <x:f>IF($A455="","",[1]!thsiFinD("ths_adjustment_nv_fund",Y$3,$A455))</x:f>
        <x:v>#NAME?</x:v>
      </x:c>
      <x:c r="Z455" s="146" t="e">
        <x:f>IF($A455="","",[1]!thsiFinD("ths_adjustment_nv_fund",Z$3,$A455))</x:f>
        <x:v>#NAME?</x:v>
      </x:c>
      <x:c r="AA455" s="146" t="e">
        <x:f>IF($A455="","",[1]!thsiFinD("ths_adjustment_nv_fund",AA$3,$A455))</x:f>
        <x:v>#NAME?</x:v>
      </x:c>
    </x:row>
    <x:row r="456">
      <x:c r="B456" s="146" t="e">
        <x:f>IF($A456="","",[1]!thsiFinD("ths_adjustment_nv_fund",B$3,$A456))</x:f>
        <x:v>#NAME?</x:v>
      </x:c>
      <x:c r="C456" s="146" t="e">
        <x:f>IF($A456="","",[1]!thsiFinD("ths_adjustment_nv_fund",C$3,$A456))</x:f>
        <x:v>#NAME?</x:v>
      </x:c>
      <x:c r="D456" s="146" t="e">
        <x:f>IF($A456="","",[1]!thsiFinD("ths_adjustment_nv_fund",D$3,$A456))</x:f>
        <x:v>#NAME?</x:v>
      </x:c>
      <x:c r="E456" s="146" t="e">
        <x:f>IF($A456="","",[1]!thsiFinD("ths_adjustment_nv_fund",E$3,$A456))</x:f>
        <x:v>#NAME?</x:v>
      </x:c>
      <x:c r="F456" s="146" t="e">
        <x:f>IF($A456="","",[1]!thsiFinD("ths_adjustment_nv_fund",F$3,$A456))</x:f>
        <x:v>#NAME?</x:v>
      </x:c>
      <x:c r="G456" s="146" t="e">
        <x:f>IF($A456="","",[1]!thsiFinD("ths_adjustment_nv_fund",G$3,$A456))</x:f>
        <x:v>#NAME?</x:v>
      </x:c>
      <x:c r="H456" s="146" t="e">
        <x:f>IF($A456="","",[1]!thsiFinD("ths_adjustment_nv_fund",H$3,$A456))</x:f>
        <x:v>#NAME?</x:v>
      </x:c>
      <x:c r="I456" s="146" t="e">
        <x:f>IF($A456="","",[1]!thsiFinD("ths_adjustment_nv_fund",I$3,$A456))</x:f>
        <x:v>#NAME?</x:v>
      </x:c>
      <x:c r="J456" s="146" t="e">
        <x:f>IF($A456="","",[1]!thsiFinD("ths_adjustment_nv_fund",J$3,$A456))</x:f>
        <x:v>#NAME?</x:v>
      </x:c>
      <x:c r="K456" s="146" t="e">
        <x:f>IF($A456="","",[1]!thsiFinD("ths_adjustment_nv_fund",K$3,$A456))</x:f>
        <x:v>#NAME?</x:v>
      </x:c>
      <x:c r="L456" s="146" t="e">
        <x:f>IF($A456="","",[1]!thsiFinD("ths_adjustment_nv_fund",L$3,$A456))</x:f>
        <x:v>#NAME?</x:v>
      </x:c>
      <x:c r="M456" s="146" t="e">
        <x:f>IF($A456="","",[1]!thsiFinD("ths_adjustment_nv_fund",M$3,$A456))</x:f>
        <x:v>#NAME?</x:v>
      </x:c>
      <x:c r="N456" s="146" t="e">
        <x:f>IF($A456="","",[1]!thsiFinD("ths_adjustment_nv_fund",N$3,$A456))</x:f>
        <x:v>#NAME?</x:v>
      </x:c>
      <x:c r="O456" s="146" t="e">
        <x:f>IF($A456="","",[1]!thsiFinD("ths_adjustment_nv_fund",O$3,$A456))</x:f>
        <x:v>#NAME?</x:v>
      </x:c>
      <x:c r="P456" s="146" t="e">
        <x:f>IF($A456="","",[1]!thsiFinD("ths_adjustment_nv_fund",P$3,$A456))</x:f>
        <x:v>#NAME?</x:v>
      </x:c>
      <x:c r="Q456" s="146" t="e">
        <x:f>IF($A456="","",[1]!thsiFinD("ths_adjustment_nv_fund",Q$3,$A456))</x:f>
        <x:v>#NAME?</x:v>
      </x:c>
      <x:c r="R456" s="146" t="e">
        <x:f>IF($A456="","",[1]!thsiFinD("ths_adjustment_nv_fund",R$3,$A456))</x:f>
        <x:v>#NAME?</x:v>
      </x:c>
      <x:c r="S456" s="146" t="e">
        <x:f>IF($A456="","",[1]!thsiFinD("ths_adjustment_nv_fund",S$3,$A456))</x:f>
        <x:v>#NAME?</x:v>
      </x:c>
      <x:c r="T456" s="146" t="e">
        <x:f>IF($A456="","",[1]!thsiFinD("ths_adjustment_nv_fund",T$3,$A456))</x:f>
        <x:v>#NAME?</x:v>
      </x:c>
      <x:c r="U456" s="146" t="e">
        <x:f>IF($A456="","",[1]!thsiFinD("ths_adjustment_nv_fund",U$3,$A456))</x:f>
        <x:v>#NAME?</x:v>
      </x:c>
      <x:c r="V456" s="146" t="e">
        <x:f>IF($A456="","",[1]!thsiFinD("ths_adjustment_nv_fund",V$3,$A456))</x:f>
        <x:v>#NAME?</x:v>
      </x:c>
      <x:c r="W456" s="146" t="e">
        <x:f>IF($A456="","",[1]!thsiFinD("ths_adjustment_nv_fund",W$3,$A456))</x:f>
        <x:v>#NAME?</x:v>
      </x:c>
      <x:c r="X456" s="146" t="e">
        <x:f>IF($A456="","",[1]!thsiFinD("ths_adjustment_nv_fund",X$3,$A456))</x:f>
        <x:v>#NAME?</x:v>
      </x:c>
      <x:c r="Y456" s="146" t="e">
        <x:f>IF($A456="","",[1]!thsiFinD("ths_adjustment_nv_fund",Y$3,$A456))</x:f>
        <x:v>#NAME?</x:v>
      </x:c>
      <x:c r="Z456" s="146" t="e">
        <x:f>IF($A456="","",[1]!thsiFinD("ths_adjustment_nv_fund",Z$3,$A456))</x:f>
        <x:v>#NAME?</x:v>
      </x:c>
      <x:c r="AA456" s="146" t="e">
        <x:f>IF($A456="","",[1]!thsiFinD("ths_adjustment_nv_fund",AA$3,$A456))</x:f>
        <x:v>#NAME?</x:v>
      </x:c>
    </x:row>
    <x:row r="457">
      <x:c r="B457" s="146" t="e">
        <x:f>IF($A457="","",[1]!thsiFinD("ths_adjustment_nv_fund",B$3,$A457))</x:f>
        <x:v>#NAME?</x:v>
      </x:c>
      <x:c r="C457" s="146" t="e">
        <x:f>IF($A457="","",[1]!thsiFinD("ths_adjustment_nv_fund",C$3,$A457))</x:f>
        <x:v>#NAME?</x:v>
      </x:c>
      <x:c r="D457" s="146" t="e">
        <x:f>IF($A457="","",[1]!thsiFinD("ths_adjustment_nv_fund",D$3,$A457))</x:f>
        <x:v>#NAME?</x:v>
      </x:c>
      <x:c r="E457" s="146" t="e">
        <x:f>IF($A457="","",[1]!thsiFinD("ths_adjustment_nv_fund",E$3,$A457))</x:f>
        <x:v>#NAME?</x:v>
      </x:c>
      <x:c r="F457" s="146" t="e">
        <x:f>IF($A457="","",[1]!thsiFinD("ths_adjustment_nv_fund",F$3,$A457))</x:f>
        <x:v>#NAME?</x:v>
      </x:c>
      <x:c r="G457" s="146" t="e">
        <x:f>IF($A457="","",[1]!thsiFinD("ths_adjustment_nv_fund",G$3,$A457))</x:f>
        <x:v>#NAME?</x:v>
      </x:c>
      <x:c r="H457" s="146" t="e">
        <x:f>IF($A457="","",[1]!thsiFinD("ths_adjustment_nv_fund",H$3,$A457))</x:f>
        <x:v>#NAME?</x:v>
      </x:c>
      <x:c r="I457" s="146" t="e">
        <x:f>IF($A457="","",[1]!thsiFinD("ths_adjustment_nv_fund",I$3,$A457))</x:f>
        <x:v>#NAME?</x:v>
      </x:c>
      <x:c r="J457" s="146" t="e">
        <x:f>IF($A457="","",[1]!thsiFinD("ths_adjustment_nv_fund",J$3,$A457))</x:f>
        <x:v>#NAME?</x:v>
      </x:c>
      <x:c r="K457" s="146" t="e">
        <x:f>IF($A457="","",[1]!thsiFinD("ths_adjustment_nv_fund",K$3,$A457))</x:f>
        <x:v>#NAME?</x:v>
      </x:c>
      <x:c r="L457" s="146" t="e">
        <x:f>IF($A457="","",[1]!thsiFinD("ths_adjustment_nv_fund",L$3,$A457))</x:f>
        <x:v>#NAME?</x:v>
      </x:c>
      <x:c r="M457" s="146" t="e">
        <x:f>IF($A457="","",[1]!thsiFinD("ths_adjustment_nv_fund",M$3,$A457))</x:f>
        <x:v>#NAME?</x:v>
      </x:c>
      <x:c r="N457" s="146" t="e">
        <x:f>IF($A457="","",[1]!thsiFinD("ths_adjustment_nv_fund",N$3,$A457))</x:f>
        <x:v>#NAME?</x:v>
      </x:c>
      <x:c r="O457" s="146" t="e">
        <x:f>IF($A457="","",[1]!thsiFinD("ths_adjustment_nv_fund",O$3,$A457))</x:f>
        <x:v>#NAME?</x:v>
      </x:c>
      <x:c r="P457" s="146" t="e">
        <x:f>IF($A457="","",[1]!thsiFinD("ths_adjustment_nv_fund",P$3,$A457))</x:f>
        <x:v>#NAME?</x:v>
      </x:c>
      <x:c r="Q457" s="146" t="e">
        <x:f>IF($A457="","",[1]!thsiFinD("ths_adjustment_nv_fund",Q$3,$A457))</x:f>
        <x:v>#NAME?</x:v>
      </x:c>
      <x:c r="R457" s="146" t="e">
        <x:f>IF($A457="","",[1]!thsiFinD("ths_adjustment_nv_fund",R$3,$A457))</x:f>
        <x:v>#NAME?</x:v>
      </x:c>
      <x:c r="S457" s="146" t="e">
        <x:f>IF($A457="","",[1]!thsiFinD("ths_adjustment_nv_fund",S$3,$A457))</x:f>
        <x:v>#NAME?</x:v>
      </x:c>
      <x:c r="T457" s="146" t="e">
        <x:f>IF($A457="","",[1]!thsiFinD("ths_adjustment_nv_fund",T$3,$A457))</x:f>
        <x:v>#NAME?</x:v>
      </x:c>
      <x:c r="U457" s="146" t="e">
        <x:f>IF($A457="","",[1]!thsiFinD("ths_adjustment_nv_fund",U$3,$A457))</x:f>
        <x:v>#NAME?</x:v>
      </x:c>
      <x:c r="V457" s="146" t="e">
        <x:f>IF($A457="","",[1]!thsiFinD("ths_adjustment_nv_fund",V$3,$A457))</x:f>
        <x:v>#NAME?</x:v>
      </x:c>
      <x:c r="W457" s="146" t="e">
        <x:f>IF($A457="","",[1]!thsiFinD("ths_adjustment_nv_fund",W$3,$A457))</x:f>
        <x:v>#NAME?</x:v>
      </x:c>
      <x:c r="X457" s="146" t="e">
        <x:f>IF($A457="","",[1]!thsiFinD("ths_adjustment_nv_fund",X$3,$A457))</x:f>
        <x:v>#NAME?</x:v>
      </x:c>
      <x:c r="Y457" s="146" t="e">
        <x:f>IF($A457="","",[1]!thsiFinD("ths_adjustment_nv_fund",Y$3,$A457))</x:f>
        <x:v>#NAME?</x:v>
      </x:c>
      <x:c r="Z457" s="146" t="e">
        <x:f>IF($A457="","",[1]!thsiFinD("ths_adjustment_nv_fund",Z$3,$A457))</x:f>
        <x:v>#NAME?</x:v>
      </x:c>
      <x:c r="AA457" s="146" t="e">
        <x:f>IF($A457="","",[1]!thsiFinD("ths_adjustment_nv_fund",AA$3,$A457))</x:f>
        <x:v>#NAME?</x:v>
      </x:c>
    </x:row>
    <x:row r="458">
      <x:c r="B458" s="146" t="e">
        <x:f>IF($A458="","",[1]!thsiFinD("ths_adjustment_nv_fund",B$3,$A458))</x:f>
        <x:v>#NAME?</x:v>
      </x:c>
      <x:c r="C458" s="146" t="e">
        <x:f>IF($A458="","",[1]!thsiFinD("ths_adjustment_nv_fund",C$3,$A458))</x:f>
        <x:v>#NAME?</x:v>
      </x:c>
      <x:c r="D458" s="146" t="e">
        <x:f>IF($A458="","",[1]!thsiFinD("ths_adjustment_nv_fund",D$3,$A458))</x:f>
        <x:v>#NAME?</x:v>
      </x:c>
      <x:c r="E458" s="146" t="e">
        <x:f>IF($A458="","",[1]!thsiFinD("ths_adjustment_nv_fund",E$3,$A458))</x:f>
        <x:v>#NAME?</x:v>
      </x:c>
      <x:c r="F458" s="146" t="e">
        <x:f>IF($A458="","",[1]!thsiFinD("ths_adjustment_nv_fund",F$3,$A458))</x:f>
        <x:v>#NAME?</x:v>
      </x:c>
      <x:c r="G458" s="146" t="e">
        <x:f>IF($A458="","",[1]!thsiFinD("ths_adjustment_nv_fund",G$3,$A458))</x:f>
        <x:v>#NAME?</x:v>
      </x:c>
      <x:c r="H458" s="146" t="e">
        <x:f>IF($A458="","",[1]!thsiFinD("ths_adjustment_nv_fund",H$3,$A458))</x:f>
        <x:v>#NAME?</x:v>
      </x:c>
      <x:c r="I458" s="146" t="e">
        <x:f>IF($A458="","",[1]!thsiFinD("ths_adjustment_nv_fund",I$3,$A458))</x:f>
        <x:v>#NAME?</x:v>
      </x:c>
      <x:c r="J458" s="146" t="e">
        <x:f>IF($A458="","",[1]!thsiFinD("ths_adjustment_nv_fund",J$3,$A458))</x:f>
        <x:v>#NAME?</x:v>
      </x:c>
      <x:c r="K458" s="146" t="e">
        <x:f>IF($A458="","",[1]!thsiFinD("ths_adjustment_nv_fund",K$3,$A458))</x:f>
        <x:v>#NAME?</x:v>
      </x:c>
      <x:c r="L458" s="146" t="e">
        <x:f>IF($A458="","",[1]!thsiFinD("ths_adjustment_nv_fund",L$3,$A458))</x:f>
        <x:v>#NAME?</x:v>
      </x:c>
      <x:c r="M458" s="146" t="e">
        <x:f>IF($A458="","",[1]!thsiFinD("ths_adjustment_nv_fund",M$3,$A458))</x:f>
        <x:v>#NAME?</x:v>
      </x:c>
      <x:c r="N458" s="146" t="e">
        <x:f>IF($A458="","",[1]!thsiFinD("ths_adjustment_nv_fund",N$3,$A458))</x:f>
        <x:v>#NAME?</x:v>
      </x:c>
      <x:c r="O458" s="146" t="e">
        <x:f>IF($A458="","",[1]!thsiFinD("ths_adjustment_nv_fund",O$3,$A458))</x:f>
        <x:v>#NAME?</x:v>
      </x:c>
      <x:c r="P458" s="146" t="e">
        <x:f>IF($A458="","",[1]!thsiFinD("ths_adjustment_nv_fund",P$3,$A458))</x:f>
        <x:v>#NAME?</x:v>
      </x:c>
      <x:c r="Q458" s="146" t="e">
        <x:f>IF($A458="","",[1]!thsiFinD("ths_adjustment_nv_fund",Q$3,$A458))</x:f>
        <x:v>#NAME?</x:v>
      </x:c>
      <x:c r="R458" s="146" t="e">
        <x:f>IF($A458="","",[1]!thsiFinD("ths_adjustment_nv_fund",R$3,$A458))</x:f>
        <x:v>#NAME?</x:v>
      </x:c>
      <x:c r="S458" s="146" t="e">
        <x:f>IF($A458="","",[1]!thsiFinD("ths_adjustment_nv_fund",S$3,$A458))</x:f>
        <x:v>#NAME?</x:v>
      </x:c>
      <x:c r="T458" s="146" t="e">
        <x:f>IF($A458="","",[1]!thsiFinD("ths_adjustment_nv_fund",T$3,$A458))</x:f>
        <x:v>#NAME?</x:v>
      </x:c>
      <x:c r="U458" s="146" t="e">
        <x:f>IF($A458="","",[1]!thsiFinD("ths_adjustment_nv_fund",U$3,$A458))</x:f>
        <x:v>#NAME?</x:v>
      </x:c>
      <x:c r="V458" s="146" t="e">
        <x:f>IF($A458="","",[1]!thsiFinD("ths_adjustment_nv_fund",V$3,$A458))</x:f>
        <x:v>#NAME?</x:v>
      </x:c>
      <x:c r="W458" s="146" t="e">
        <x:f>IF($A458="","",[1]!thsiFinD("ths_adjustment_nv_fund",W$3,$A458))</x:f>
        <x:v>#NAME?</x:v>
      </x:c>
      <x:c r="X458" s="146" t="e">
        <x:f>IF($A458="","",[1]!thsiFinD("ths_adjustment_nv_fund",X$3,$A458))</x:f>
        <x:v>#NAME?</x:v>
      </x:c>
      <x:c r="Y458" s="146" t="e">
        <x:f>IF($A458="","",[1]!thsiFinD("ths_adjustment_nv_fund",Y$3,$A458))</x:f>
        <x:v>#NAME?</x:v>
      </x:c>
      <x:c r="Z458" s="146" t="e">
        <x:f>IF($A458="","",[1]!thsiFinD("ths_adjustment_nv_fund",Z$3,$A458))</x:f>
        <x:v>#NAME?</x:v>
      </x:c>
      <x:c r="AA458" s="146" t="e">
        <x:f>IF($A458="","",[1]!thsiFinD("ths_adjustment_nv_fund",AA$3,$A458))</x:f>
        <x:v>#NAME?</x:v>
      </x:c>
    </x:row>
    <x:row r="459">
      <x:c r="B459" s="146" t="e">
        <x:f>IF($A459="","",[1]!thsiFinD("ths_adjustment_nv_fund",B$3,$A459))</x:f>
        <x:v>#NAME?</x:v>
      </x:c>
      <x:c r="C459" s="146" t="e">
        <x:f>IF($A459="","",[1]!thsiFinD("ths_adjustment_nv_fund",C$3,$A459))</x:f>
        <x:v>#NAME?</x:v>
      </x:c>
      <x:c r="D459" s="146" t="e">
        <x:f>IF($A459="","",[1]!thsiFinD("ths_adjustment_nv_fund",D$3,$A459))</x:f>
        <x:v>#NAME?</x:v>
      </x:c>
      <x:c r="E459" s="146" t="e">
        <x:f>IF($A459="","",[1]!thsiFinD("ths_adjustment_nv_fund",E$3,$A459))</x:f>
        <x:v>#NAME?</x:v>
      </x:c>
      <x:c r="F459" s="146" t="e">
        <x:f>IF($A459="","",[1]!thsiFinD("ths_adjustment_nv_fund",F$3,$A459))</x:f>
        <x:v>#NAME?</x:v>
      </x:c>
      <x:c r="G459" s="146" t="e">
        <x:f>IF($A459="","",[1]!thsiFinD("ths_adjustment_nv_fund",G$3,$A459))</x:f>
        <x:v>#NAME?</x:v>
      </x:c>
      <x:c r="H459" s="146" t="e">
        <x:f>IF($A459="","",[1]!thsiFinD("ths_adjustment_nv_fund",H$3,$A459))</x:f>
        <x:v>#NAME?</x:v>
      </x:c>
      <x:c r="I459" s="146" t="e">
        <x:f>IF($A459="","",[1]!thsiFinD("ths_adjustment_nv_fund",I$3,$A459))</x:f>
        <x:v>#NAME?</x:v>
      </x:c>
      <x:c r="J459" s="146" t="e">
        <x:f>IF($A459="","",[1]!thsiFinD("ths_adjustment_nv_fund",J$3,$A459))</x:f>
        <x:v>#NAME?</x:v>
      </x:c>
      <x:c r="K459" s="146" t="e">
        <x:f>IF($A459="","",[1]!thsiFinD("ths_adjustment_nv_fund",K$3,$A459))</x:f>
        <x:v>#NAME?</x:v>
      </x:c>
      <x:c r="L459" s="146" t="e">
        <x:f>IF($A459="","",[1]!thsiFinD("ths_adjustment_nv_fund",L$3,$A459))</x:f>
        <x:v>#NAME?</x:v>
      </x:c>
      <x:c r="M459" s="146" t="e">
        <x:f>IF($A459="","",[1]!thsiFinD("ths_adjustment_nv_fund",M$3,$A459))</x:f>
        <x:v>#NAME?</x:v>
      </x:c>
      <x:c r="N459" s="146" t="e">
        <x:f>IF($A459="","",[1]!thsiFinD("ths_adjustment_nv_fund",N$3,$A459))</x:f>
        <x:v>#NAME?</x:v>
      </x:c>
      <x:c r="O459" s="146" t="e">
        <x:f>IF($A459="","",[1]!thsiFinD("ths_adjustment_nv_fund",O$3,$A459))</x:f>
        <x:v>#NAME?</x:v>
      </x:c>
      <x:c r="P459" s="146" t="e">
        <x:f>IF($A459="","",[1]!thsiFinD("ths_adjustment_nv_fund",P$3,$A459))</x:f>
        <x:v>#NAME?</x:v>
      </x:c>
      <x:c r="Q459" s="146" t="e">
        <x:f>IF($A459="","",[1]!thsiFinD("ths_adjustment_nv_fund",Q$3,$A459))</x:f>
        <x:v>#NAME?</x:v>
      </x:c>
      <x:c r="R459" s="146" t="e">
        <x:f>IF($A459="","",[1]!thsiFinD("ths_adjustment_nv_fund",R$3,$A459))</x:f>
        <x:v>#NAME?</x:v>
      </x:c>
      <x:c r="S459" s="146" t="e">
        <x:f>IF($A459="","",[1]!thsiFinD("ths_adjustment_nv_fund",S$3,$A459))</x:f>
        <x:v>#NAME?</x:v>
      </x:c>
      <x:c r="T459" s="146" t="e">
        <x:f>IF($A459="","",[1]!thsiFinD("ths_adjustment_nv_fund",T$3,$A459))</x:f>
        <x:v>#NAME?</x:v>
      </x:c>
      <x:c r="U459" s="146" t="e">
        <x:f>IF($A459="","",[1]!thsiFinD("ths_adjustment_nv_fund",U$3,$A459))</x:f>
        <x:v>#NAME?</x:v>
      </x:c>
      <x:c r="V459" s="146" t="e">
        <x:f>IF($A459="","",[1]!thsiFinD("ths_adjustment_nv_fund",V$3,$A459))</x:f>
        <x:v>#NAME?</x:v>
      </x:c>
      <x:c r="W459" s="146" t="e">
        <x:f>IF($A459="","",[1]!thsiFinD("ths_adjustment_nv_fund",W$3,$A459))</x:f>
        <x:v>#NAME?</x:v>
      </x:c>
      <x:c r="X459" s="146" t="e">
        <x:f>IF($A459="","",[1]!thsiFinD("ths_adjustment_nv_fund",X$3,$A459))</x:f>
        <x:v>#NAME?</x:v>
      </x:c>
      <x:c r="Y459" s="146" t="e">
        <x:f>IF($A459="","",[1]!thsiFinD("ths_adjustment_nv_fund",Y$3,$A459))</x:f>
        <x:v>#NAME?</x:v>
      </x:c>
      <x:c r="Z459" s="146" t="e">
        <x:f>IF($A459="","",[1]!thsiFinD("ths_adjustment_nv_fund",Z$3,$A459))</x:f>
        <x:v>#NAME?</x:v>
      </x:c>
      <x:c r="AA459" s="146" t="e">
        <x:f>IF($A459="","",[1]!thsiFinD("ths_adjustment_nv_fund",AA$3,$A459))</x:f>
        <x:v>#NAME?</x:v>
      </x:c>
    </x:row>
    <x:row r="460">
      <x:c r="B460" s="146" t="e">
        <x:f>IF($A460="","",[1]!thsiFinD("ths_adjustment_nv_fund",B$3,$A460))</x:f>
        <x:v>#NAME?</x:v>
      </x:c>
      <x:c r="C460" s="146" t="e">
        <x:f>IF($A460="","",[1]!thsiFinD("ths_adjustment_nv_fund",C$3,$A460))</x:f>
        <x:v>#NAME?</x:v>
      </x:c>
      <x:c r="D460" s="146" t="e">
        <x:f>IF($A460="","",[1]!thsiFinD("ths_adjustment_nv_fund",D$3,$A460))</x:f>
        <x:v>#NAME?</x:v>
      </x:c>
      <x:c r="E460" s="146" t="e">
        <x:f>IF($A460="","",[1]!thsiFinD("ths_adjustment_nv_fund",E$3,$A460))</x:f>
        <x:v>#NAME?</x:v>
      </x:c>
      <x:c r="F460" s="146" t="e">
        <x:f>IF($A460="","",[1]!thsiFinD("ths_adjustment_nv_fund",F$3,$A460))</x:f>
        <x:v>#NAME?</x:v>
      </x:c>
      <x:c r="G460" s="146" t="e">
        <x:f>IF($A460="","",[1]!thsiFinD("ths_adjustment_nv_fund",G$3,$A460))</x:f>
        <x:v>#NAME?</x:v>
      </x:c>
      <x:c r="H460" s="146" t="e">
        <x:f>IF($A460="","",[1]!thsiFinD("ths_adjustment_nv_fund",H$3,$A460))</x:f>
        <x:v>#NAME?</x:v>
      </x:c>
      <x:c r="I460" s="146" t="e">
        <x:f>IF($A460="","",[1]!thsiFinD("ths_adjustment_nv_fund",I$3,$A460))</x:f>
        <x:v>#NAME?</x:v>
      </x:c>
      <x:c r="J460" s="146" t="e">
        <x:f>IF($A460="","",[1]!thsiFinD("ths_adjustment_nv_fund",J$3,$A460))</x:f>
        <x:v>#NAME?</x:v>
      </x:c>
      <x:c r="K460" s="146" t="e">
        <x:f>IF($A460="","",[1]!thsiFinD("ths_adjustment_nv_fund",K$3,$A460))</x:f>
        <x:v>#NAME?</x:v>
      </x:c>
      <x:c r="L460" s="146" t="e">
        <x:f>IF($A460="","",[1]!thsiFinD("ths_adjustment_nv_fund",L$3,$A460))</x:f>
        <x:v>#NAME?</x:v>
      </x:c>
      <x:c r="M460" s="146" t="e">
        <x:f>IF($A460="","",[1]!thsiFinD("ths_adjustment_nv_fund",M$3,$A460))</x:f>
        <x:v>#NAME?</x:v>
      </x:c>
      <x:c r="N460" s="146" t="e">
        <x:f>IF($A460="","",[1]!thsiFinD("ths_adjustment_nv_fund",N$3,$A460))</x:f>
        <x:v>#NAME?</x:v>
      </x:c>
      <x:c r="O460" s="146" t="e">
        <x:f>IF($A460="","",[1]!thsiFinD("ths_adjustment_nv_fund",O$3,$A460))</x:f>
        <x:v>#NAME?</x:v>
      </x:c>
      <x:c r="P460" s="146" t="e">
        <x:f>IF($A460="","",[1]!thsiFinD("ths_adjustment_nv_fund",P$3,$A460))</x:f>
        <x:v>#NAME?</x:v>
      </x:c>
      <x:c r="Q460" s="146" t="e">
        <x:f>IF($A460="","",[1]!thsiFinD("ths_adjustment_nv_fund",Q$3,$A460))</x:f>
        <x:v>#NAME?</x:v>
      </x:c>
      <x:c r="R460" s="146" t="e">
        <x:f>IF($A460="","",[1]!thsiFinD("ths_adjustment_nv_fund",R$3,$A460))</x:f>
        <x:v>#NAME?</x:v>
      </x:c>
      <x:c r="S460" s="146" t="e">
        <x:f>IF($A460="","",[1]!thsiFinD("ths_adjustment_nv_fund",S$3,$A460))</x:f>
        <x:v>#NAME?</x:v>
      </x:c>
      <x:c r="T460" s="146" t="e">
        <x:f>IF($A460="","",[1]!thsiFinD("ths_adjustment_nv_fund",T$3,$A460))</x:f>
        <x:v>#NAME?</x:v>
      </x:c>
      <x:c r="U460" s="146" t="e">
        <x:f>IF($A460="","",[1]!thsiFinD("ths_adjustment_nv_fund",U$3,$A460))</x:f>
        <x:v>#NAME?</x:v>
      </x:c>
      <x:c r="V460" s="146" t="e">
        <x:f>IF($A460="","",[1]!thsiFinD("ths_adjustment_nv_fund",V$3,$A460))</x:f>
        <x:v>#NAME?</x:v>
      </x:c>
      <x:c r="W460" s="146" t="e">
        <x:f>IF($A460="","",[1]!thsiFinD("ths_adjustment_nv_fund",W$3,$A460))</x:f>
        <x:v>#NAME?</x:v>
      </x:c>
      <x:c r="X460" s="146" t="e">
        <x:f>IF($A460="","",[1]!thsiFinD("ths_adjustment_nv_fund",X$3,$A460))</x:f>
        <x:v>#NAME?</x:v>
      </x:c>
      <x:c r="Y460" s="146" t="e">
        <x:f>IF($A460="","",[1]!thsiFinD("ths_adjustment_nv_fund",Y$3,$A460))</x:f>
        <x:v>#NAME?</x:v>
      </x:c>
      <x:c r="Z460" s="146" t="e">
        <x:f>IF($A460="","",[1]!thsiFinD("ths_adjustment_nv_fund",Z$3,$A460))</x:f>
        <x:v>#NAME?</x:v>
      </x:c>
      <x:c r="AA460" s="146" t="e">
        <x:f>IF($A460="","",[1]!thsiFinD("ths_adjustment_nv_fund",AA$3,$A460))</x:f>
        <x:v>#NAME?</x:v>
      </x:c>
    </x:row>
    <x:row r="461">
      <x:c r="B461" s="146" t="e">
        <x:f>IF($A461="","",[1]!thsiFinD("ths_adjustment_nv_fund",B$3,$A461))</x:f>
        <x:v>#NAME?</x:v>
      </x:c>
      <x:c r="C461" s="146" t="e">
        <x:f>IF($A461="","",[1]!thsiFinD("ths_adjustment_nv_fund",C$3,$A461))</x:f>
        <x:v>#NAME?</x:v>
      </x:c>
      <x:c r="D461" s="146" t="e">
        <x:f>IF($A461="","",[1]!thsiFinD("ths_adjustment_nv_fund",D$3,$A461))</x:f>
        <x:v>#NAME?</x:v>
      </x:c>
      <x:c r="E461" s="146" t="e">
        <x:f>IF($A461="","",[1]!thsiFinD("ths_adjustment_nv_fund",E$3,$A461))</x:f>
        <x:v>#NAME?</x:v>
      </x:c>
      <x:c r="F461" s="146" t="e">
        <x:f>IF($A461="","",[1]!thsiFinD("ths_adjustment_nv_fund",F$3,$A461))</x:f>
        <x:v>#NAME?</x:v>
      </x:c>
      <x:c r="G461" s="146" t="e">
        <x:f>IF($A461="","",[1]!thsiFinD("ths_adjustment_nv_fund",G$3,$A461))</x:f>
        <x:v>#NAME?</x:v>
      </x:c>
      <x:c r="H461" s="146" t="e">
        <x:f>IF($A461="","",[1]!thsiFinD("ths_adjustment_nv_fund",H$3,$A461))</x:f>
        <x:v>#NAME?</x:v>
      </x:c>
      <x:c r="I461" s="146" t="e">
        <x:f>IF($A461="","",[1]!thsiFinD("ths_adjustment_nv_fund",I$3,$A461))</x:f>
        <x:v>#NAME?</x:v>
      </x:c>
      <x:c r="J461" s="146" t="e">
        <x:f>IF($A461="","",[1]!thsiFinD("ths_adjustment_nv_fund",J$3,$A461))</x:f>
        <x:v>#NAME?</x:v>
      </x:c>
      <x:c r="K461" s="146" t="e">
        <x:f>IF($A461="","",[1]!thsiFinD("ths_adjustment_nv_fund",K$3,$A461))</x:f>
        <x:v>#NAME?</x:v>
      </x:c>
      <x:c r="L461" s="146" t="e">
        <x:f>IF($A461="","",[1]!thsiFinD("ths_adjustment_nv_fund",L$3,$A461))</x:f>
        <x:v>#NAME?</x:v>
      </x:c>
      <x:c r="M461" s="146" t="e">
        <x:f>IF($A461="","",[1]!thsiFinD("ths_adjustment_nv_fund",M$3,$A461))</x:f>
        <x:v>#NAME?</x:v>
      </x:c>
      <x:c r="N461" s="146" t="e">
        <x:f>IF($A461="","",[1]!thsiFinD("ths_adjustment_nv_fund",N$3,$A461))</x:f>
        <x:v>#NAME?</x:v>
      </x:c>
      <x:c r="O461" s="146" t="e">
        <x:f>IF($A461="","",[1]!thsiFinD("ths_adjustment_nv_fund",O$3,$A461))</x:f>
        <x:v>#NAME?</x:v>
      </x:c>
      <x:c r="P461" s="146" t="e">
        <x:f>IF($A461="","",[1]!thsiFinD("ths_adjustment_nv_fund",P$3,$A461))</x:f>
        <x:v>#NAME?</x:v>
      </x:c>
      <x:c r="Q461" s="146" t="e">
        <x:f>IF($A461="","",[1]!thsiFinD("ths_adjustment_nv_fund",Q$3,$A461))</x:f>
        <x:v>#NAME?</x:v>
      </x:c>
      <x:c r="R461" s="146" t="e">
        <x:f>IF($A461="","",[1]!thsiFinD("ths_adjustment_nv_fund",R$3,$A461))</x:f>
        <x:v>#NAME?</x:v>
      </x:c>
      <x:c r="S461" s="146" t="e">
        <x:f>IF($A461="","",[1]!thsiFinD("ths_adjustment_nv_fund",S$3,$A461))</x:f>
        <x:v>#NAME?</x:v>
      </x:c>
      <x:c r="T461" s="146" t="e">
        <x:f>IF($A461="","",[1]!thsiFinD("ths_adjustment_nv_fund",T$3,$A461))</x:f>
        <x:v>#NAME?</x:v>
      </x:c>
      <x:c r="U461" s="146" t="e">
        <x:f>IF($A461="","",[1]!thsiFinD("ths_adjustment_nv_fund",U$3,$A461))</x:f>
        <x:v>#NAME?</x:v>
      </x:c>
      <x:c r="V461" s="146" t="e">
        <x:f>IF($A461="","",[1]!thsiFinD("ths_adjustment_nv_fund",V$3,$A461))</x:f>
        <x:v>#NAME?</x:v>
      </x:c>
      <x:c r="W461" s="146" t="e">
        <x:f>IF($A461="","",[1]!thsiFinD("ths_adjustment_nv_fund",W$3,$A461))</x:f>
        <x:v>#NAME?</x:v>
      </x:c>
      <x:c r="X461" s="146" t="e">
        <x:f>IF($A461="","",[1]!thsiFinD("ths_adjustment_nv_fund",X$3,$A461))</x:f>
        <x:v>#NAME?</x:v>
      </x:c>
      <x:c r="Y461" s="146" t="e">
        <x:f>IF($A461="","",[1]!thsiFinD("ths_adjustment_nv_fund",Y$3,$A461))</x:f>
        <x:v>#NAME?</x:v>
      </x:c>
      <x:c r="Z461" s="146" t="e">
        <x:f>IF($A461="","",[1]!thsiFinD("ths_adjustment_nv_fund",Z$3,$A461))</x:f>
        <x:v>#NAME?</x:v>
      </x:c>
      <x:c r="AA461" s="146" t="e">
        <x:f>IF($A461="","",[1]!thsiFinD("ths_adjustment_nv_fund",AA$3,$A461))</x:f>
        <x:v>#NAME?</x:v>
      </x:c>
    </x:row>
    <x:row r="462">
      <x:c r="B462" s="146" t="e">
        <x:f>IF($A462="","",[1]!thsiFinD("ths_adjustment_nv_fund",B$3,$A462))</x:f>
        <x:v>#NAME?</x:v>
      </x:c>
      <x:c r="C462" s="146" t="e">
        <x:f>IF($A462="","",[1]!thsiFinD("ths_adjustment_nv_fund",C$3,$A462))</x:f>
        <x:v>#NAME?</x:v>
      </x:c>
      <x:c r="D462" s="146" t="e">
        <x:f>IF($A462="","",[1]!thsiFinD("ths_adjustment_nv_fund",D$3,$A462))</x:f>
        <x:v>#NAME?</x:v>
      </x:c>
      <x:c r="E462" s="146" t="e">
        <x:f>IF($A462="","",[1]!thsiFinD("ths_adjustment_nv_fund",E$3,$A462))</x:f>
        <x:v>#NAME?</x:v>
      </x:c>
      <x:c r="F462" s="146" t="e">
        <x:f>IF($A462="","",[1]!thsiFinD("ths_adjustment_nv_fund",F$3,$A462))</x:f>
        <x:v>#NAME?</x:v>
      </x:c>
      <x:c r="G462" s="146" t="e">
        <x:f>IF($A462="","",[1]!thsiFinD("ths_adjustment_nv_fund",G$3,$A462))</x:f>
        <x:v>#NAME?</x:v>
      </x:c>
      <x:c r="H462" s="146" t="e">
        <x:f>IF($A462="","",[1]!thsiFinD("ths_adjustment_nv_fund",H$3,$A462))</x:f>
        <x:v>#NAME?</x:v>
      </x:c>
      <x:c r="I462" s="146" t="e">
        <x:f>IF($A462="","",[1]!thsiFinD("ths_adjustment_nv_fund",I$3,$A462))</x:f>
        <x:v>#NAME?</x:v>
      </x:c>
      <x:c r="J462" s="146" t="e">
        <x:f>IF($A462="","",[1]!thsiFinD("ths_adjustment_nv_fund",J$3,$A462))</x:f>
        <x:v>#NAME?</x:v>
      </x:c>
      <x:c r="K462" s="146" t="e">
        <x:f>IF($A462="","",[1]!thsiFinD("ths_adjustment_nv_fund",K$3,$A462))</x:f>
        <x:v>#NAME?</x:v>
      </x:c>
      <x:c r="L462" s="146" t="e">
        <x:f>IF($A462="","",[1]!thsiFinD("ths_adjustment_nv_fund",L$3,$A462))</x:f>
        <x:v>#NAME?</x:v>
      </x:c>
      <x:c r="M462" s="146" t="e">
        <x:f>IF($A462="","",[1]!thsiFinD("ths_adjustment_nv_fund",M$3,$A462))</x:f>
        <x:v>#NAME?</x:v>
      </x:c>
      <x:c r="N462" s="146" t="e">
        <x:f>IF($A462="","",[1]!thsiFinD("ths_adjustment_nv_fund",N$3,$A462))</x:f>
        <x:v>#NAME?</x:v>
      </x:c>
      <x:c r="O462" s="146" t="e">
        <x:f>IF($A462="","",[1]!thsiFinD("ths_adjustment_nv_fund",O$3,$A462))</x:f>
        <x:v>#NAME?</x:v>
      </x:c>
      <x:c r="P462" s="146" t="e">
        <x:f>IF($A462="","",[1]!thsiFinD("ths_adjustment_nv_fund",P$3,$A462))</x:f>
        <x:v>#NAME?</x:v>
      </x:c>
      <x:c r="Q462" s="146" t="e">
        <x:f>IF($A462="","",[1]!thsiFinD("ths_adjustment_nv_fund",Q$3,$A462))</x:f>
        <x:v>#NAME?</x:v>
      </x:c>
      <x:c r="R462" s="146" t="e">
        <x:f>IF($A462="","",[1]!thsiFinD("ths_adjustment_nv_fund",R$3,$A462))</x:f>
        <x:v>#NAME?</x:v>
      </x:c>
      <x:c r="S462" s="146" t="e">
        <x:f>IF($A462="","",[1]!thsiFinD("ths_adjustment_nv_fund",S$3,$A462))</x:f>
        <x:v>#NAME?</x:v>
      </x:c>
      <x:c r="T462" s="146" t="e">
        <x:f>IF($A462="","",[1]!thsiFinD("ths_adjustment_nv_fund",T$3,$A462))</x:f>
        <x:v>#NAME?</x:v>
      </x:c>
      <x:c r="U462" s="146" t="e">
        <x:f>IF($A462="","",[1]!thsiFinD("ths_adjustment_nv_fund",U$3,$A462))</x:f>
        <x:v>#NAME?</x:v>
      </x:c>
      <x:c r="V462" s="146" t="e">
        <x:f>IF($A462="","",[1]!thsiFinD("ths_adjustment_nv_fund",V$3,$A462))</x:f>
        <x:v>#NAME?</x:v>
      </x:c>
      <x:c r="W462" s="146" t="e">
        <x:f>IF($A462="","",[1]!thsiFinD("ths_adjustment_nv_fund",W$3,$A462))</x:f>
        <x:v>#NAME?</x:v>
      </x:c>
      <x:c r="X462" s="146" t="e">
        <x:f>IF($A462="","",[1]!thsiFinD("ths_adjustment_nv_fund",X$3,$A462))</x:f>
        <x:v>#NAME?</x:v>
      </x:c>
      <x:c r="Y462" s="146" t="e">
        <x:f>IF($A462="","",[1]!thsiFinD("ths_adjustment_nv_fund",Y$3,$A462))</x:f>
        <x:v>#NAME?</x:v>
      </x:c>
      <x:c r="Z462" s="146" t="e">
        <x:f>IF($A462="","",[1]!thsiFinD("ths_adjustment_nv_fund",Z$3,$A462))</x:f>
        <x:v>#NAME?</x:v>
      </x:c>
      <x:c r="AA462" s="146" t="e">
        <x:f>IF($A462="","",[1]!thsiFinD("ths_adjustment_nv_fund",AA$3,$A462))</x:f>
        <x:v>#NAME?</x:v>
      </x:c>
    </x:row>
    <x:row r="463">
      <x:c r="B463" s="146" t="e">
        <x:f>IF($A463="","",[1]!thsiFinD("ths_adjustment_nv_fund",B$3,$A463))</x:f>
        <x:v>#NAME?</x:v>
      </x:c>
      <x:c r="C463" s="146" t="e">
        <x:f>IF($A463="","",[1]!thsiFinD("ths_adjustment_nv_fund",C$3,$A463))</x:f>
        <x:v>#NAME?</x:v>
      </x:c>
      <x:c r="D463" s="146" t="e">
        <x:f>IF($A463="","",[1]!thsiFinD("ths_adjustment_nv_fund",D$3,$A463))</x:f>
        <x:v>#NAME?</x:v>
      </x:c>
      <x:c r="E463" s="146" t="e">
        <x:f>IF($A463="","",[1]!thsiFinD("ths_adjustment_nv_fund",E$3,$A463))</x:f>
        <x:v>#NAME?</x:v>
      </x:c>
      <x:c r="F463" s="146" t="e">
        <x:f>IF($A463="","",[1]!thsiFinD("ths_adjustment_nv_fund",F$3,$A463))</x:f>
        <x:v>#NAME?</x:v>
      </x:c>
      <x:c r="G463" s="146" t="e">
        <x:f>IF($A463="","",[1]!thsiFinD("ths_adjustment_nv_fund",G$3,$A463))</x:f>
        <x:v>#NAME?</x:v>
      </x:c>
      <x:c r="H463" s="146" t="e">
        <x:f>IF($A463="","",[1]!thsiFinD("ths_adjustment_nv_fund",H$3,$A463))</x:f>
        <x:v>#NAME?</x:v>
      </x:c>
      <x:c r="I463" s="146" t="e">
        <x:f>IF($A463="","",[1]!thsiFinD("ths_adjustment_nv_fund",I$3,$A463))</x:f>
        <x:v>#NAME?</x:v>
      </x:c>
      <x:c r="J463" s="146" t="e">
        <x:f>IF($A463="","",[1]!thsiFinD("ths_adjustment_nv_fund",J$3,$A463))</x:f>
        <x:v>#NAME?</x:v>
      </x:c>
      <x:c r="K463" s="146" t="e">
        <x:f>IF($A463="","",[1]!thsiFinD("ths_adjustment_nv_fund",K$3,$A463))</x:f>
        <x:v>#NAME?</x:v>
      </x:c>
      <x:c r="L463" s="146" t="e">
        <x:f>IF($A463="","",[1]!thsiFinD("ths_adjustment_nv_fund",L$3,$A463))</x:f>
        <x:v>#NAME?</x:v>
      </x:c>
      <x:c r="M463" s="146" t="e">
        <x:f>IF($A463="","",[1]!thsiFinD("ths_adjustment_nv_fund",M$3,$A463))</x:f>
        <x:v>#NAME?</x:v>
      </x:c>
      <x:c r="N463" s="146" t="e">
        <x:f>IF($A463="","",[1]!thsiFinD("ths_adjustment_nv_fund",N$3,$A463))</x:f>
        <x:v>#NAME?</x:v>
      </x:c>
      <x:c r="O463" s="146" t="e">
        <x:f>IF($A463="","",[1]!thsiFinD("ths_adjustment_nv_fund",O$3,$A463))</x:f>
        <x:v>#NAME?</x:v>
      </x:c>
      <x:c r="P463" s="146" t="e">
        <x:f>IF($A463="","",[1]!thsiFinD("ths_adjustment_nv_fund",P$3,$A463))</x:f>
        <x:v>#NAME?</x:v>
      </x:c>
      <x:c r="Q463" s="146" t="e">
        <x:f>IF($A463="","",[1]!thsiFinD("ths_adjustment_nv_fund",Q$3,$A463))</x:f>
        <x:v>#NAME?</x:v>
      </x:c>
      <x:c r="R463" s="146" t="e">
        <x:f>IF($A463="","",[1]!thsiFinD("ths_adjustment_nv_fund",R$3,$A463))</x:f>
        <x:v>#NAME?</x:v>
      </x:c>
      <x:c r="S463" s="146" t="e">
        <x:f>IF($A463="","",[1]!thsiFinD("ths_adjustment_nv_fund",S$3,$A463))</x:f>
        <x:v>#NAME?</x:v>
      </x:c>
      <x:c r="T463" s="146" t="e">
        <x:f>IF($A463="","",[1]!thsiFinD("ths_adjustment_nv_fund",T$3,$A463))</x:f>
        <x:v>#NAME?</x:v>
      </x:c>
      <x:c r="U463" s="146" t="e">
        <x:f>IF($A463="","",[1]!thsiFinD("ths_adjustment_nv_fund",U$3,$A463))</x:f>
        <x:v>#NAME?</x:v>
      </x:c>
      <x:c r="V463" s="146" t="e">
        <x:f>IF($A463="","",[1]!thsiFinD("ths_adjustment_nv_fund",V$3,$A463))</x:f>
        <x:v>#NAME?</x:v>
      </x:c>
      <x:c r="W463" s="146" t="e">
        <x:f>IF($A463="","",[1]!thsiFinD("ths_adjustment_nv_fund",W$3,$A463))</x:f>
        <x:v>#NAME?</x:v>
      </x:c>
      <x:c r="X463" s="146" t="e">
        <x:f>IF($A463="","",[1]!thsiFinD("ths_adjustment_nv_fund",X$3,$A463))</x:f>
        <x:v>#NAME?</x:v>
      </x:c>
      <x:c r="Y463" s="146" t="e">
        <x:f>IF($A463="","",[1]!thsiFinD("ths_adjustment_nv_fund",Y$3,$A463))</x:f>
        <x:v>#NAME?</x:v>
      </x:c>
      <x:c r="Z463" s="146" t="e">
        <x:f>IF($A463="","",[1]!thsiFinD("ths_adjustment_nv_fund",Z$3,$A463))</x:f>
        <x:v>#NAME?</x:v>
      </x:c>
      <x:c r="AA463" s="146" t="e">
        <x:f>IF($A463="","",[1]!thsiFinD("ths_adjustment_nv_fund",AA$3,$A463))</x:f>
        <x:v>#NAME?</x:v>
      </x:c>
    </x:row>
    <x:row r="464">
      <x:c r="B464" s="146" t="e">
        <x:f>IF($A464="","",[1]!thsiFinD("ths_adjustment_nv_fund",B$3,$A464))</x:f>
        <x:v>#NAME?</x:v>
      </x:c>
      <x:c r="C464" s="146" t="e">
        <x:f>IF($A464="","",[1]!thsiFinD("ths_adjustment_nv_fund",C$3,$A464))</x:f>
        <x:v>#NAME?</x:v>
      </x:c>
      <x:c r="D464" s="146" t="e">
        <x:f>IF($A464="","",[1]!thsiFinD("ths_adjustment_nv_fund",D$3,$A464))</x:f>
        <x:v>#NAME?</x:v>
      </x:c>
      <x:c r="E464" s="146" t="e">
        <x:f>IF($A464="","",[1]!thsiFinD("ths_adjustment_nv_fund",E$3,$A464))</x:f>
        <x:v>#NAME?</x:v>
      </x:c>
      <x:c r="F464" s="146" t="e">
        <x:f>IF($A464="","",[1]!thsiFinD("ths_adjustment_nv_fund",F$3,$A464))</x:f>
        <x:v>#NAME?</x:v>
      </x:c>
      <x:c r="G464" s="146" t="e">
        <x:f>IF($A464="","",[1]!thsiFinD("ths_adjustment_nv_fund",G$3,$A464))</x:f>
        <x:v>#NAME?</x:v>
      </x:c>
      <x:c r="H464" s="146" t="e">
        <x:f>IF($A464="","",[1]!thsiFinD("ths_adjustment_nv_fund",H$3,$A464))</x:f>
        <x:v>#NAME?</x:v>
      </x:c>
      <x:c r="I464" s="146" t="e">
        <x:f>IF($A464="","",[1]!thsiFinD("ths_adjustment_nv_fund",I$3,$A464))</x:f>
        <x:v>#NAME?</x:v>
      </x:c>
      <x:c r="J464" s="146" t="e">
        <x:f>IF($A464="","",[1]!thsiFinD("ths_adjustment_nv_fund",J$3,$A464))</x:f>
        <x:v>#NAME?</x:v>
      </x:c>
      <x:c r="K464" s="146" t="e">
        <x:f>IF($A464="","",[1]!thsiFinD("ths_adjustment_nv_fund",K$3,$A464))</x:f>
        <x:v>#NAME?</x:v>
      </x:c>
      <x:c r="L464" s="146" t="e">
        <x:f>IF($A464="","",[1]!thsiFinD("ths_adjustment_nv_fund",L$3,$A464))</x:f>
        <x:v>#NAME?</x:v>
      </x:c>
      <x:c r="M464" s="146" t="e">
        <x:f>IF($A464="","",[1]!thsiFinD("ths_adjustment_nv_fund",M$3,$A464))</x:f>
        <x:v>#NAME?</x:v>
      </x:c>
      <x:c r="N464" s="146" t="e">
        <x:f>IF($A464="","",[1]!thsiFinD("ths_adjustment_nv_fund",N$3,$A464))</x:f>
        <x:v>#NAME?</x:v>
      </x:c>
      <x:c r="O464" s="146" t="e">
        <x:f>IF($A464="","",[1]!thsiFinD("ths_adjustment_nv_fund",O$3,$A464))</x:f>
        <x:v>#NAME?</x:v>
      </x:c>
      <x:c r="P464" s="146" t="e">
        <x:f>IF($A464="","",[1]!thsiFinD("ths_adjustment_nv_fund",P$3,$A464))</x:f>
        <x:v>#NAME?</x:v>
      </x:c>
      <x:c r="Q464" s="146" t="e">
        <x:f>IF($A464="","",[1]!thsiFinD("ths_adjustment_nv_fund",Q$3,$A464))</x:f>
        <x:v>#NAME?</x:v>
      </x:c>
      <x:c r="R464" s="146" t="e">
        <x:f>IF($A464="","",[1]!thsiFinD("ths_adjustment_nv_fund",R$3,$A464))</x:f>
        <x:v>#NAME?</x:v>
      </x:c>
      <x:c r="S464" s="146" t="e">
        <x:f>IF($A464="","",[1]!thsiFinD("ths_adjustment_nv_fund",S$3,$A464))</x:f>
        <x:v>#NAME?</x:v>
      </x:c>
      <x:c r="T464" s="146" t="e">
        <x:f>IF($A464="","",[1]!thsiFinD("ths_adjustment_nv_fund",T$3,$A464))</x:f>
        <x:v>#NAME?</x:v>
      </x:c>
      <x:c r="U464" s="146" t="e">
        <x:f>IF($A464="","",[1]!thsiFinD("ths_adjustment_nv_fund",U$3,$A464))</x:f>
        <x:v>#NAME?</x:v>
      </x:c>
      <x:c r="V464" s="146" t="e">
        <x:f>IF($A464="","",[1]!thsiFinD("ths_adjustment_nv_fund",V$3,$A464))</x:f>
        <x:v>#NAME?</x:v>
      </x:c>
      <x:c r="W464" s="146" t="e">
        <x:f>IF($A464="","",[1]!thsiFinD("ths_adjustment_nv_fund",W$3,$A464))</x:f>
        <x:v>#NAME?</x:v>
      </x:c>
      <x:c r="X464" s="146" t="e">
        <x:f>IF($A464="","",[1]!thsiFinD("ths_adjustment_nv_fund",X$3,$A464))</x:f>
        <x:v>#NAME?</x:v>
      </x:c>
      <x:c r="Y464" s="146" t="e">
        <x:f>IF($A464="","",[1]!thsiFinD("ths_adjustment_nv_fund",Y$3,$A464))</x:f>
        <x:v>#NAME?</x:v>
      </x:c>
      <x:c r="Z464" s="146" t="e">
        <x:f>IF($A464="","",[1]!thsiFinD("ths_adjustment_nv_fund",Z$3,$A464))</x:f>
        <x:v>#NAME?</x:v>
      </x:c>
      <x:c r="AA464" s="146" t="e">
        <x:f>IF($A464="","",[1]!thsiFinD("ths_adjustment_nv_fund",AA$3,$A464))</x:f>
        <x:v>#NAME?</x:v>
      </x:c>
    </x:row>
    <x:row r="465">
      <x:c r="B465" s="146" t="e">
        <x:f>IF($A465="","",[1]!thsiFinD("ths_adjustment_nv_fund",B$3,$A465))</x:f>
        <x:v>#NAME?</x:v>
      </x:c>
      <x:c r="C465" s="146" t="e">
        <x:f>IF($A465="","",[1]!thsiFinD("ths_adjustment_nv_fund",C$3,$A465))</x:f>
        <x:v>#NAME?</x:v>
      </x:c>
      <x:c r="D465" s="146" t="e">
        <x:f>IF($A465="","",[1]!thsiFinD("ths_adjustment_nv_fund",D$3,$A465))</x:f>
        <x:v>#NAME?</x:v>
      </x:c>
      <x:c r="E465" s="146" t="e">
        <x:f>IF($A465="","",[1]!thsiFinD("ths_adjustment_nv_fund",E$3,$A465))</x:f>
        <x:v>#NAME?</x:v>
      </x:c>
      <x:c r="F465" s="146" t="e">
        <x:f>IF($A465="","",[1]!thsiFinD("ths_adjustment_nv_fund",F$3,$A465))</x:f>
        <x:v>#NAME?</x:v>
      </x:c>
      <x:c r="G465" s="146" t="e">
        <x:f>IF($A465="","",[1]!thsiFinD("ths_adjustment_nv_fund",G$3,$A465))</x:f>
        <x:v>#NAME?</x:v>
      </x:c>
      <x:c r="H465" s="146" t="e">
        <x:f>IF($A465="","",[1]!thsiFinD("ths_adjustment_nv_fund",H$3,$A465))</x:f>
        <x:v>#NAME?</x:v>
      </x:c>
      <x:c r="I465" s="146" t="e">
        <x:f>IF($A465="","",[1]!thsiFinD("ths_adjustment_nv_fund",I$3,$A465))</x:f>
        <x:v>#NAME?</x:v>
      </x:c>
      <x:c r="J465" s="146" t="e">
        <x:f>IF($A465="","",[1]!thsiFinD("ths_adjustment_nv_fund",J$3,$A465))</x:f>
        <x:v>#NAME?</x:v>
      </x:c>
      <x:c r="K465" s="146" t="e">
        <x:f>IF($A465="","",[1]!thsiFinD("ths_adjustment_nv_fund",K$3,$A465))</x:f>
        <x:v>#NAME?</x:v>
      </x:c>
      <x:c r="L465" s="146" t="e">
        <x:f>IF($A465="","",[1]!thsiFinD("ths_adjustment_nv_fund",L$3,$A465))</x:f>
        <x:v>#NAME?</x:v>
      </x:c>
      <x:c r="M465" s="146" t="e">
        <x:f>IF($A465="","",[1]!thsiFinD("ths_adjustment_nv_fund",M$3,$A465))</x:f>
        <x:v>#NAME?</x:v>
      </x:c>
      <x:c r="N465" s="146" t="e">
        <x:f>IF($A465="","",[1]!thsiFinD("ths_adjustment_nv_fund",N$3,$A465))</x:f>
        <x:v>#NAME?</x:v>
      </x:c>
      <x:c r="O465" s="146" t="e">
        <x:f>IF($A465="","",[1]!thsiFinD("ths_adjustment_nv_fund",O$3,$A465))</x:f>
        <x:v>#NAME?</x:v>
      </x:c>
      <x:c r="P465" s="146" t="e">
        <x:f>IF($A465="","",[1]!thsiFinD("ths_adjustment_nv_fund",P$3,$A465))</x:f>
        <x:v>#NAME?</x:v>
      </x:c>
      <x:c r="Q465" s="146" t="e">
        <x:f>IF($A465="","",[1]!thsiFinD("ths_adjustment_nv_fund",Q$3,$A465))</x:f>
        <x:v>#NAME?</x:v>
      </x:c>
      <x:c r="R465" s="146" t="e">
        <x:f>IF($A465="","",[1]!thsiFinD("ths_adjustment_nv_fund",R$3,$A465))</x:f>
        <x:v>#NAME?</x:v>
      </x:c>
      <x:c r="S465" s="146" t="e">
        <x:f>IF($A465="","",[1]!thsiFinD("ths_adjustment_nv_fund",S$3,$A465))</x:f>
        <x:v>#NAME?</x:v>
      </x:c>
      <x:c r="T465" s="146" t="e">
        <x:f>IF($A465="","",[1]!thsiFinD("ths_adjustment_nv_fund",T$3,$A465))</x:f>
        <x:v>#NAME?</x:v>
      </x:c>
      <x:c r="U465" s="146" t="e">
        <x:f>IF($A465="","",[1]!thsiFinD("ths_adjustment_nv_fund",U$3,$A465))</x:f>
        <x:v>#NAME?</x:v>
      </x:c>
      <x:c r="V465" s="146" t="e">
        <x:f>IF($A465="","",[1]!thsiFinD("ths_adjustment_nv_fund",V$3,$A465))</x:f>
        <x:v>#NAME?</x:v>
      </x:c>
      <x:c r="W465" s="146" t="e">
        <x:f>IF($A465="","",[1]!thsiFinD("ths_adjustment_nv_fund",W$3,$A465))</x:f>
        <x:v>#NAME?</x:v>
      </x:c>
      <x:c r="X465" s="146" t="e">
        <x:f>IF($A465="","",[1]!thsiFinD("ths_adjustment_nv_fund",X$3,$A465))</x:f>
        <x:v>#NAME?</x:v>
      </x:c>
      <x:c r="Y465" s="146" t="e">
        <x:f>IF($A465="","",[1]!thsiFinD("ths_adjustment_nv_fund",Y$3,$A465))</x:f>
        <x:v>#NAME?</x:v>
      </x:c>
      <x:c r="Z465" s="146" t="e">
        <x:f>IF($A465="","",[1]!thsiFinD("ths_adjustment_nv_fund",Z$3,$A465))</x:f>
        <x:v>#NAME?</x:v>
      </x:c>
      <x:c r="AA465" s="146" t="e">
        <x:f>IF($A465="","",[1]!thsiFinD("ths_adjustment_nv_fund",AA$3,$A465))</x:f>
        <x:v>#NAME?</x:v>
      </x:c>
    </x:row>
    <x:row r="466">
      <x:c r="B466" s="146" t="e">
        <x:f>IF($A466="","",[1]!thsiFinD("ths_adjustment_nv_fund",B$3,$A466))</x:f>
        <x:v>#NAME?</x:v>
      </x:c>
      <x:c r="C466" s="146" t="e">
        <x:f>IF($A466="","",[1]!thsiFinD("ths_adjustment_nv_fund",C$3,$A466))</x:f>
        <x:v>#NAME?</x:v>
      </x:c>
      <x:c r="D466" s="146" t="e">
        <x:f>IF($A466="","",[1]!thsiFinD("ths_adjustment_nv_fund",D$3,$A466))</x:f>
        <x:v>#NAME?</x:v>
      </x:c>
      <x:c r="E466" s="146" t="e">
        <x:f>IF($A466="","",[1]!thsiFinD("ths_adjustment_nv_fund",E$3,$A466))</x:f>
        <x:v>#NAME?</x:v>
      </x:c>
      <x:c r="F466" s="146" t="e">
        <x:f>IF($A466="","",[1]!thsiFinD("ths_adjustment_nv_fund",F$3,$A466))</x:f>
        <x:v>#NAME?</x:v>
      </x:c>
      <x:c r="G466" s="146" t="e">
        <x:f>IF($A466="","",[1]!thsiFinD("ths_adjustment_nv_fund",G$3,$A466))</x:f>
        <x:v>#NAME?</x:v>
      </x:c>
      <x:c r="H466" s="146" t="e">
        <x:f>IF($A466="","",[1]!thsiFinD("ths_adjustment_nv_fund",H$3,$A466))</x:f>
        <x:v>#NAME?</x:v>
      </x:c>
      <x:c r="I466" s="146" t="e">
        <x:f>IF($A466="","",[1]!thsiFinD("ths_adjustment_nv_fund",I$3,$A466))</x:f>
        <x:v>#NAME?</x:v>
      </x:c>
      <x:c r="J466" s="146" t="e">
        <x:f>IF($A466="","",[1]!thsiFinD("ths_adjustment_nv_fund",J$3,$A466))</x:f>
        <x:v>#NAME?</x:v>
      </x:c>
      <x:c r="K466" s="146" t="e">
        <x:f>IF($A466="","",[1]!thsiFinD("ths_adjustment_nv_fund",K$3,$A466))</x:f>
        <x:v>#NAME?</x:v>
      </x:c>
      <x:c r="L466" s="146" t="e">
        <x:f>IF($A466="","",[1]!thsiFinD("ths_adjustment_nv_fund",L$3,$A466))</x:f>
        <x:v>#NAME?</x:v>
      </x:c>
      <x:c r="M466" s="146" t="e">
        <x:f>IF($A466="","",[1]!thsiFinD("ths_adjustment_nv_fund",M$3,$A466))</x:f>
        <x:v>#NAME?</x:v>
      </x:c>
      <x:c r="N466" s="146" t="e">
        <x:f>IF($A466="","",[1]!thsiFinD("ths_adjustment_nv_fund",N$3,$A466))</x:f>
        <x:v>#NAME?</x:v>
      </x:c>
      <x:c r="O466" s="146" t="e">
        <x:f>IF($A466="","",[1]!thsiFinD("ths_adjustment_nv_fund",O$3,$A466))</x:f>
        <x:v>#NAME?</x:v>
      </x:c>
      <x:c r="P466" s="146" t="e">
        <x:f>IF($A466="","",[1]!thsiFinD("ths_adjustment_nv_fund",P$3,$A466))</x:f>
        <x:v>#NAME?</x:v>
      </x:c>
      <x:c r="Q466" s="146" t="e">
        <x:f>IF($A466="","",[1]!thsiFinD("ths_adjustment_nv_fund",Q$3,$A466))</x:f>
        <x:v>#NAME?</x:v>
      </x:c>
      <x:c r="R466" s="146" t="e">
        <x:f>IF($A466="","",[1]!thsiFinD("ths_adjustment_nv_fund",R$3,$A466))</x:f>
        <x:v>#NAME?</x:v>
      </x:c>
      <x:c r="S466" s="146" t="e">
        <x:f>IF($A466="","",[1]!thsiFinD("ths_adjustment_nv_fund",S$3,$A466))</x:f>
        <x:v>#NAME?</x:v>
      </x:c>
      <x:c r="T466" s="146" t="e">
        <x:f>IF($A466="","",[1]!thsiFinD("ths_adjustment_nv_fund",T$3,$A466))</x:f>
        <x:v>#NAME?</x:v>
      </x:c>
      <x:c r="U466" s="146" t="e">
        <x:f>IF($A466="","",[1]!thsiFinD("ths_adjustment_nv_fund",U$3,$A466))</x:f>
        <x:v>#NAME?</x:v>
      </x:c>
      <x:c r="V466" s="146" t="e">
        <x:f>IF($A466="","",[1]!thsiFinD("ths_adjustment_nv_fund",V$3,$A466))</x:f>
        <x:v>#NAME?</x:v>
      </x:c>
      <x:c r="W466" s="146" t="e">
        <x:f>IF($A466="","",[1]!thsiFinD("ths_adjustment_nv_fund",W$3,$A466))</x:f>
        <x:v>#NAME?</x:v>
      </x:c>
      <x:c r="X466" s="146" t="e">
        <x:f>IF($A466="","",[1]!thsiFinD("ths_adjustment_nv_fund",X$3,$A466))</x:f>
        <x:v>#NAME?</x:v>
      </x:c>
      <x:c r="Y466" s="146" t="e">
        <x:f>IF($A466="","",[1]!thsiFinD("ths_adjustment_nv_fund",Y$3,$A466))</x:f>
        <x:v>#NAME?</x:v>
      </x:c>
      <x:c r="Z466" s="146" t="e">
        <x:f>IF($A466="","",[1]!thsiFinD("ths_adjustment_nv_fund",Z$3,$A466))</x:f>
        <x:v>#NAME?</x:v>
      </x:c>
      <x:c r="AA466" s="146" t="e">
        <x:f>IF($A466="","",[1]!thsiFinD("ths_adjustment_nv_fund",AA$3,$A466))</x:f>
        <x:v>#NAME?</x:v>
      </x:c>
    </x:row>
    <x:row r="467">
      <x:c r="B467" s="146" t="e">
        <x:f>IF($A467="","",[1]!thsiFinD("ths_adjustment_nv_fund",B$3,$A467))</x:f>
        <x:v>#NAME?</x:v>
      </x:c>
      <x:c r="C467" s="146" t="e">
        <x:f>IF($A467="","",[1]!thsiFinD("ths_adjustment_nv_fund",C$3,$A467))</x:f>
        <x:v>#NAME?</x:v>
      </x:c>
      <x:c r="D467" s="146" t="e">
        <x:f>IF($A467="","",[1]!thsiFinD("ths_adjustment_nv_fund",D$3,$A467))</x:f>
        <x:v>#NAME?</x:v>
      </x:c>
      <x:c r="E467" s="146" t="e">
        <x:f>IF($A467="","",[1]!thsiFinD("ths_adjustment_nv_fund",E$3,$A467))</x:f>
        <x:v>#NAME?</x:v>
      </x:c>
      <x:c r="F467" s="146" t="e">
        <x:f>IF($A467="","",[1]!thsiFinD("ths_adjustment_nv_fund",F$3,$A467))</x:f>
        <x:v>#NAME?</x:v>
      </x:c>
      <x:c r="G467" s="146" t="e">
        <x:f>IF($A467="","",[1]!thsiFinD("ths_adjustment_nv_fund",G$3,$A467))</x:f>
        <x:v>#NAME?</x:v>
      </x:c>
      <x:c r="H467" s="146" t="e">
        <x:f>IF($A467="","",[1]!thsiFinD("ths_adjustment_nv_fund",H$3,$A467))</x:f>
        <x:v>#NAME?</x:v>
      </x:c>
      <x:c r="I467" s="146" t="e">
        <x:f>IF($A467="","",[1]!thsiFinD("ths_adjustment_nv_fund",I$3,$A467))</x:f>
        <x:v>#NAME?</x:v>
      </x:c>
      <x:c r="J467" s="146" t="e">
        <x:f>IF($A467="","",[1]!thsiFinD("ths_adjustment_nv_fund",J$3,$A467))</x:f>
        <x:v>#NAME?</x:v>
      </x:c>
      <x:c r="K467" s="146" t="e">
        <x:f>IF($A467="","",[1]!thsiFinD("ths_adjustment_nv_fund",K$3,$A467))</x:f>
        <x:v>#NAME?</x:v>
      </x:c>
      <x:c r="L467" s="146" t="e">
        <x:f>IF($A467="","",[1]!thsiFinD("ths_adjustment_nv_fund",L$3,$A467))</x:f>
        <x:v>#NAME?</x:v>
      </x:c>
      <x:c r="M467" s="146" t="e">
        <x:f>IF($A467="","",[1]!thsiFinD("ths_adjustment_nv_fund",M$3,$A467))</x:f>
        <x:v>#NAME?</x:v>
      </x:c>
      <x:c r="N467" s="146" t="e">
        <x:f>IF($A467="","",[1]!thsiFinD("ths_adjustment_nv_fund",N$3,$A467))</x:f>
        <x:v>#NAME?</x:v>
      </x:c>
      <x:c r="O467" s="146" t="e">
        <x:f>IF($A467="","",[1]!thsiFinD("ths_adjustment_nv_fund",O$3,$A467))</x:f>
        <x:v>#NAME?</x:v>
      </x:c>
      <x:c r="P467" s="146" t="e">
        <x:f>IF($A467="","",[1]!thsiFinD("ths_adjustment_nv_fund",P$3,$A467))</x:f>
        <x:v>#NAME?</x:v>
      </x:c>
      <x:c r="Q467" s="146" t="e">
        <x:f>IF($A467="","",[1]!thsiFinD("ths_adjustment_nv_fund",Q$3,$A467))</x:f>
        <x:v>#NAME?</x:v>
      </x:c>
      <x:c r="R467" s="146" t="e">
        <x:f>IF($A467="","",[1]!thsiFinD("ths_adjustment_nv_fund",R$3,$A467))</x:f>
        <x:v>#NAME?</x:v>
      </x:c>
      <x:c r="S467" s="146" t="e">
        <x:f>IF($A467="","",[1]!thsiFinD("ths_adjustment_nv_fund",S$3,$A467))</x:f>
        <x:v>#NAME?</x:v>
      </x:c>
      <x:c r="T467" s="146" t="e">
        <x:f>IF($A467="","",[1]!thsiFinD("ths_adjustment_nv_fund",T$3,$A467))</x:f>
        <x:v>#NAME?</x:v>
      </x:c>
      <x:c r="U467" s="146" t="e">
        <x:f>IF($A467="","",[1]!thsiFinD("ths_adjustment_nv_fund",U$3,$A467))</x:f>
        <x:v>#NAME?</x:v>
      </x:c>
      <x:c r="V467" s="146" t="e">
        <x:f>IF($A467="","",[1]!thsiFinD("ths_adjustment_nv_fund",V$3,$A467))</x:f>
        <x:v>#NAME?</x:v>
      </x:c>
      <x:c r="W467" s="146" t="e">
        <x:f>IF($A467="","",[1]!thsiFinD("ths_adjustment_nv_fund",W$3,$A467))</x:f>
        <x:v>#NAME?</x:v>
      </x:c>
      <x:c r="X467" s="146" t="e">
        <x:f>IF($A467="","",[1]!thsiFinD("ths_adjustment_nv_fund",X$3,$A467))</x:f>
        <x:v>#NAME?</x:v>
      </x:c>
      <x:c r="Y467" s="146" t="e">
        <x:f>IF($A467="","",[1]!thsiFinD("ths_adjustment_nv_fund",Y$3,$A467))</x:f>
        <x:v>#NAME?</x:v>
      </x:c>
      <x:c r="Z467" s="146" t="e">
        <x:f>IF($A467="","",[1]!thsiFinD("ths_adjustment_nv_fund",Z$3,$A467))</x:f>
        <x:v>#NAME?</x:v>
      </x:c>
      <x:c r="AA467" s="146" t="e">
        <x:f>IF($A467="","",[1]!thsiFinD("ths_adjustment_nv_fund",AA$3,$A467))</x:f>
        <x:v>#NAME?</x:v>
      </x:c>
    </x:row>
    <x:row r="468">
      <x:c r="B468" s="146" t="e">
        <x:f>IF($A468="","",[1]!thsiFinD("ths_adjustment_nv_fund",B$3,$A468))</x:f>
        <x:v>#NAME?</x:v>
      </x:c>
      <x:c r="C468" s="146" t="e">
        <x:f>IF($A468="","",[1]!thsiFinD("ths_adjustment_nv_fund",C$3,$A468))</x:f>
        <x:v>#NAME?</x:v>
      </x:c>
      <x:c r="D468" s="146" t="e">
        <x:f>IF($A468="","",[1]!thsiFinD("ths_adjustment_nv_fund",D$3,$A468))</x:f>
        <x:v>#NAME?</x:v>
      </x:c>
      <x:c r="E468" s="146" t="e">
        <x:f>IF($A468="","",[1]!thsiFinD("ths_adjustment_nv_fund",E$3,$A468))</x:f>
        <x:v>#NAME?</x:v>
      </x:c>
      <x:c r="F468" s="146" t="e">
        <x:f>IF($A468="","",[1]!thsiFinD("ths_adjustment_nv_fund",F$3,$A468))</x:f>
        <x:v>#NAME?</x:v>
      </x:c>
      <x:c r="G468" s="146" t="e">
        <x:f>IF($A468="","",[1]!thsiFinD("ths_adjustment_nv_fund",G$3,$A468))</x:f>
        <x:v>#NAME?</x:v>
      </x:c>
      <x:c r="H468" s="146" t="e">
        <x:f>IF($A468="","",[1]!thsiFinD("ths_adjustment_nv_fund",H$3,$A468))</x:f>
        <x:v>#NAME?</x:v>
      </x:c>
      <x:c r="I468" s="146" t="e">
        <x:f>IF($A468="","",[1]!thsiFinD("ths_adjustment_nv_fund",I$3,$A468))</x:f>
        <x:v>#NAME?</x:v>
      </x:c>
      <x:c r="J468" s="146" t="e">
        <x:f>IF($A468="","",[1]!thsiFinD("ths_adjustment_nv_fund",J$3,$A468))</x:f>
        <x:v>#NAME?</x:v>
      </x:c>
      <x:c r="K468" s="146" t="e">
        <x:f>IF($A468="","",[1]!thsiFinD("ths_adjustment_nv_fund",K$3,$A468))</x:f>
        <x:v>#NAME?</x:v>
      </x:c>
      <x:c r="L468" s="146" t="e">
        <x:f>IF($A468="","",[1]!thsiFinD("ths_adjustment_nv_fund",L$3,$A468))</x:f>
        <x:v>#NAME?</x:v>
      </x:c>
      <x:c r="M468" s="146" t="e">
        <x:f>IF($A468="","",[1]!thsiFinD("ths_adjustment_nv_fund",M$3,$A468))</x:f>
        <x:v>#NAME?</x:v>
      </x:c>
      <x:c r="N468" s="146" t="e">
        <x:f>IF($A468="","",[1]!thsiFinD("ths_adjustment_nv_fund",N$3,$A468))</x:f>
        <x:v>#NAME?</x:v>
      </x:c>
      <x:c r="O468" s="146" t="e">
        <x:f>IF($A468="","",[1]!thsiFinD("ths_adjustment_nv_fund",O$3,$A468))</x:f>
        <x:v>#NAME?</x:v>
      </x:c>
      <x:c r="P468" s="146" t="e">
        <x:f>IF($A468="","",[1]!thsiFinD("ths_adjustment_nv_fund",P$3,$A468))</x:f>
        <x:v>#NAME?</x:v>
      </x:c>
      <x:c r="Q468" s="146" t="e">
        <x:f>IF($A468="","",[1]!thsiFinD("ths_adjustment_nv_fund",Q$3,$A468))</x:f>
        <x:v>#NAME?</x:v>
      </x:c>
      <x:c r="R468" s="146" t="e">
        <x:f>IF($A468="","",[1]!thsiFinD("ths_adjustment_nv_fund",R$3,$A468))</x:f>
        <x:v>#NAME?</x:v>
      </x:c>
      <x:c r="S468" s="146" t="e">
        <x:f>IF($A468="","",[1]!thsiFinD("ths_adjustment_nv_fund",S$3,$A468))</x:f>
        <x:v>#NAME?</x:v>
      </x:c>
      <x:c r="T468" s="146" t="e">
        <x:f>IF($A468="","",[1]!thsiFinD("ths_adjustment_nv_fund",T$3,$A468))</x:f>
        <x:v>#NAME?</x:v>
      </x:c>
      <x:c r="U468" s="146" t="e">
        <x:f>IF($A468="","",[1]!thsiFinD("ths_adjustment_nv_fund",U$3,$A468))</x:f>
        <x:v>#NAME?</x:v>
      </x:c>
      <x:c r="V468" s="146" t="e">
        <x:f>IF($A468="","",[1]!thsiFinD("ths_adjustment_nv_fund",V$3,$A468))</x:f>
        <x:v>#NAME?</x:v>
      </x:c>
      <x:c r="W468" s="146" t="e">
        <x:f>IF($A468="","",[1]!thsiFinD("ths_adjustment_nv_fund",W$3,$A468))</x:f>
        <x:v>#NAME?</x:v>
      </x:c>
      <x:c r="X468" s="146" t="e">
        <x:f>IF($A468="","",[1]!thsiFinD("ths_adjustment_nv_fund",X$3,$A468))</x:f>
        <x:v>#NAME?</x:v>
      </x:c>
      <x:c r="Y468" s="146" t="e">
        <x:f>IF($A468="","",[1]!thsiFinD("ths_adjustment_nv_fund",Y$3,$A468))</x:f>
        <x:v>#NAME?</x:v>
      </x:c>
      <x:c r="Z468" s="146" t="e">
        <x:f>IF($A468="","",[1]!thsiFinD("ths_adjustment_nv_fund",Z$3,$A468))</x:f>
        <x:v>#NAME?</x:v>
      </x:c>
      <x:c r="AA468" s="146" t="e">
        <x:f>IF($A468="","",[1]!thsiFinD("ths_adjustment_nv_fund",AA$3,$A468))</x:f>
        <x:v>#NAME?</x:v>
      </x:c>
    </x:row>
    <x:row r="469">
      <x:c r="B469" s="146" t="e">
        <x:f>IF($A469="","",[1]!thsiFinD("ths_adjustment_nv_fund",B$3,$A469))</x:f>
        <x:v>#NAME?</x:v>
      </x:c>
      <x:c r="C469" s="146" t="e">
        <x:f>IF($A469="","",[1]!thsiFinD("ths_adjustment_nv_fund",C$3,$A469))</x:f>
        <x:v>#NAME?</x:v>
      </x:c>
      <x:c r="D469" s="146" t="e">
        <x:f>IF($A469="","",[1]!thsiFinD("ths_adjustment_nv_fund",D$3,$A469))</x:f>
        <x:v>#NAME?</x:v>
      </x:c>
      <x:c r="E469" s="146" t="e">
        <x:f>IF($A469="","",[1]!thsiFinD("ths_adjustment_nv_fund",E$3,$A469))</x:f>
        <x:v>#NAME?</x:v>
      </x:c>
      <x:c r="F469" s="146" t="e">
        <x:f>IF($A469="","",[1]!thsiFinD("ths_adjustment_nv_fund",F$3,$A469))</x:f>
        <x:v>#NAME?</x:v>
      </x:c>
      <x:c r="G469" s="146" t="e">
        <x:f>IF($A469="","",[1]!thsiFinD("ths_adjustment_nv_fund",G$3,$A469))</x:f>
        <x:v>#NAME?</x:v>
      </x:c>
      <x:c r="H469" s="146" t="e">
        <x:f>IF($A469="","",[1]!thsiFinD("ths_adjustment_nv_fund",H$3,$A469))</x:f>
        <x:v>#NAME?</x:v>
      </x:c>
      <x:c r="I469" s="146" t="e">
        <x:f>IF($A469="","",[1]!thsiFinD("ths_adjustment_nv_fund",I$3,$A469))</x:f>
        <x:v>#NAME?</x:v>
      </x:c>
      <x:c r="J469" s="146" t="e">
        <x:f>IF($A469="","",[1]!thsiFinD("ths_adjustment_nv_fund",J$3,$A469))</x:f>
        <x:v>#NAME?</x:v>
      </x:c>
      <x:c r="K469" s="146" t="e">
        <x:f>IF($A469="","",[1]!thsiFinD("ths_adjustment_nv_fund",K$3,$A469))</x:f>
        <x:v>#NAME?</x:v>
      </x:c>
      <x:c r="L469" s="146" t="e">
        <x:f>IF($A469="","",[1]!thsiFinD("ths_adjustment_nv_fund",L$3,$A469))</x:f>
        <x:v>#NAME?</x:v>
      </x:c>
      <x:c r="M469" s="146" t="e">
        <x:f>IF($A469="","",[1]!thsiFinD("ths_adjustment_nv_fund",M$3,$A469))</x:f>
        <x:v>#NAME?</x:v>
      </x:c>
      <x:c r="N469" s="146" t="e">
        <x:f>IF($A469="","",[1]!thsiFinD("ths_adjustment_nv_fund",N$3,$A469))</x:f>
        <x:v>#NAME?</x:v>
      </x:c>
      <x:c r="O469" s="146" t="e">
        <x:f>IF($A469="","",[1]!thsiFinD("ths_adjustment_nv_fund",O$3,$A469))</x:f>
        <x:v>#NAME?</x:v>
      </x:c>
      <x:c r="P469" s="146" t="e">
        <x:f>IF($A469="","",[1]!thsiFinD("ths_adjustment_nv_fund",P$3,$A469))</x:f>
        <x:v>#NAME?</x:v>
      </x:c>
      <x:c r="Q469" s="146" t="e">
        <x:f>IF($A469="","",[1]!thsiFinD("ths_adjustment_nv_fund",Q$3,$A469))</x:f>
        <x:v>#NAME?</x:v>
      </x:c>
      <x:c r="R469" s="146" t="e">
        <x:f>IF($A469="","",[1]!thsiFinD("ths_adjustment_nv_fund",R$3,$A469))</x:f>
        <x:v>#NAME?</x:v>
      </x:c>
      <x:c r="S469" s="146" t="e">
        <x:f>IF($A469="","",[1]!thsiFinD("ths_adjustment_nv_fund",S$3,$A469))</x:f>
        <x:v>#NAME?</x:v>
      </x:c>
      <x:c r="T469" s="146" t="e">
        <x:f>IF($A469="","",[1]!thsiFinD("ths_adjustment_nv_fund",T$3,$A469))</x:f>
        <x:v>#NAME?</x:v>
      </x:c>
      <x:c r="U469" s="146" t="e">
        <x:f>IF($A469="","",[1]!thsiFinD("ths_adjustment_nv_fund",U$3,$A469))</x:f>
        <x:v>#NAME?</x:v>
      </x:c>
      <x:c r="V469" s="146" t="e">
        <x:f>IF($A469="","",[1]!thsiFinD("ths_adjustment_nv_fund",V$3,$A469))</x:f>
        <x:v>#NAME?</x:v>
      </x:c>
      <x:c r="W469" s="146" t="e">
        <x:f>IF($A469="","",[1]!thsiFinD("ths_adjustment_nv_fund",W$3,$A469))</x:f>
        <x:v>#NAME?</x:v>
      </x:c>
      <x:c r="X469" s="146" t="e">
        <x:f>IF($A469="","",[1]!thsiFinD("ths_adjustment_nv_fund",X$3,$A469))</x:f>
        <x:v>#NAME?</x:v>
      </x:c>
      <x:c r="Y469" s="146" t="e">
        <x:f>IF($A469="","",[1]!thsiFinD("ths_adjustment_nv_fund",Y$3,$A469))</x:f>
        <x:v>#NAME?</x:v>
      </x:c>
      <x:c r="Z469" s="146" t="e">
        <x:f>IF($A469="","",[1]!thsiFinD("ths_adjustment_nv_fund",Z$3,$A469))</x:f>
        <x:v>#NAME?</x:v>
      </x:c>
      <x:c r="AA469" s="146" t="e">
        <x:f>IF($A469="","",[1]!thsiFinD("ths_adjustment_nv_fund",AA$3,$A469))</x:f>
        <x:v>#NAME?</x:v>
      </x:c>
    </x:row>
    <x:row r="470">
      <x:c r="B470" s="146" t="e">
        <x:f>IF($A470="","",[1]!thsiFinD("ths_adjustment_nv_fund",B$3,$A470))</x:f>
        <x:v>#NAME?</x:v>
      </x:c>
      <x:c r="C470" s="146" t="e">
        <x:f>IF($A470="","",[1]!thsiFinD("ths_adjustment_nv_fund",C$3,$A470))</x:f>
        <x:v>#NAME?</x:v>
      </x:c>
      <x:c r="D470" s="146" t="e">
        <x:f>IF($A470="","",[1]!thsiFinD("ths_adjustment_nv_fund",D$3,$A470))</x:f>
        <x:v>#NAME?</x:v>
      </x:c>
      <x:c r="E470" s="146" t="e">
        <x:f>IF($A470="","",[1]!thsiFinD("ths_adjustment_nv_fund",E$3,$A470))</x:f>
        <x:v>#NAME?</x:v>
      </x:c>
      <x:c r="F470" s="146" t="e">
        <x:f>IF($A470="","",[1]!thsiFinD("ths_adjustment_nv_fund",F$3,$A470))</x:f>
        <x:v>#NAME?</x:v>
      </x:c>
      <x:c r="G470" s="146" t="e">
        <x:f>IF($A470="","",[1]!thsiFinD("ths_adjustment_nv_fund",G$3,$A470))</x:f>
        <x:v>#NAME?</x:v>
      </x:c>
      <x:c r="H470" s="146" t="e">
        <x:f>IF($A470="","",[1]!thsiFinD("ths_adjustment_nv_fund",H$3,$A470))</x:f>
        <x:v>#NAME?</x:v>
      </x:c>
      <x:c r="I470" s="146" t="e">
        <x:f>IF($A470="","",[1]!thsiFinD("ths_adjustment_nv_fund",I$3,$A470))</x:f>
        <x:v>#NAME?</x:v>
      </x:c>
      <x:c r="J470" s="146" t="e">
        <x:f>IF($A470="","",[1]!thsiFinD("ths_adjustment_nv_fund",J$3,$A470))</x:f>
        <x:v>#NAME?</x:v>
      </x:c>
      <x:c r="K470" s="146" t="e">
        <x:f>IF($A470="","",[1]!thsiFinD("ths_adjustment_nv_fund",K$3,$A470))</x:f>
        <x:v>#NAME?</x:v>
      </x:c>
      <x:c r="L470" s="146" t="e">
        <x:f>IF($A470="","",[1]!thsiFinD("ths_adjustment_nv_fund",L$3,$A470))</x:f>
        <x:v>#NAME?</x:v>
      </x:c>
      <x:c r="M470" s="146" t="e">
        <x:f>IF($A470="","",[1]!thsiFinD("ths_adjustment_nv_fund",M$3,$A470))</x:f>
        <x:v>#NAME?</x:v>
      </x:c>
      <x:c r="N470" s="146" t="e">
        <x:f>IF($A470="","",[1]!thsiFinD("ths_adjustment_nv_fund",N$3,$A470))</x:f>
        <x:v>#NAME?</x:v>
      </x:c>
      <x:c r="O470" s="146" t="e">
        <x:f>IF($A470="","",[1]!thsiFinD("ths_adjustment_nv_fund",O$3,$A470))</x:f>
        <x:v>#NAME?</x:v>
      </x:c>
      <x:c r="P470" s="146" t="e">
        <x:f>IF($A470="","",[1]!thsiFinD("ths_adjustment_nv_fund",P$3,$A470))</x:f>
        <x:v>#NAME?</x:v>
      </x:c>
      <x:c r="Q470" s="146" t="e">
        <x:f>IF($A470="","",[1]!thsiFinD("ths_adjustment_nv_fund",Q$3,$A470))</x:f>
        <x:v>#NAME?</x:v>
      </x:c>
      <x:c r="R470" s="146" t="e">
        <x:f>IF($A470="","",[1]!thsiFinD("ths_adjustment_nv_fund",R$3,$A470))</x:f>
        <x:v>#NAME?</x:v>
      </x:c>
      <x:c r="S470" s="146" t="e">
        <x:f>IF($A470="","",[1]!thsiFinD("ths_adjustment_nv_fund",S$3,$A470))</x:f>
        <x:v>#NAME?</x:v>
      </x:c>
      <x:c r="T470" s="146" t="e">
        <x:f>IF($A470="","",[1]!thsiFinD("ths_adjustment_nv_fund",T$3,$A470))</x:f>
        <x:v>#NAME?</x:v>
      </x:c>
      <x:c r="U470" s="146" t="e">
        <x:f>IF($A470="","",[1]!thsiFinD("ths_adjustment_nv_fund",U$3,$A470))</x:f>
        <x:v>#NAME?</x:v>
      </x:c>
      <x:c r="V470" s="146" t="e">
        <x:f>IF($A470="","",[1]!thsiFinD("ths_adjustment_nv_fund",V$3,$A470))</x:f>
        <x:v>#NAME?</x:v>
      </x:c>
      <x:c r="W470" s="146" t="e">
        <x:f>IF($A470="","",[1]!thsiFinD("ths_adjustment_nv_fund",W$3,$A470))</x:f>
        <x:v>#NAME?</x:v>
      </x:c>
      <x:c r="X470" s="146" t="e">
        <x:f>IF($A470="","",[1]!thsiFinD("ths_adjustment_nv_fund",X$3,$A470))</x:f>
        <x:v>#NAME?</x:v>
      </x:c>
      <x:c r="Y470" s="146" t="e">
        <x:f>IF($A470="","",[1]!thsiFinD("ths_adjustment_nv_fund",Y$3,$A470))</x:f>
        <x:v>#NAME?</x:v>
      </x:c>
      <x:c r="Z470" s="146" t="e">
        <x:f>IF($A470="","",[1]!thsiFinD("ths_adjustment_nv_fund",Z$3,$A470))</x:f>
        <x:v>#NAME?</x:v>
      </x:c>
      <x:c r="AA470" s="146" t="e">
        <x:f>IF($A470="","",[1]!thsiFinD("ths_adjustment_nv_fund",AA$3,$A470))</x:f>
        <x:v>#NAME?</x:v>
      </x:c>
    </x:row>
    <x:row r="471">
      <x:c r="B471" s="146" t="e">
        <x:f>IF($A471="","",[1]!thsiFinD("ths_adjustment_nv_fund",B$3,$A471))</x:f>
        <x:v>#NAME?</x:v>
      </x:c>
      <x:c r="C471" s="146" t="e">
        <x:f>IF($A471="","",[1]!thsiFinD("ths_adjustment_nv_fund",C$3,$A471))</x:f>
        <x:v>#NAME?</x:v>
      </x:c>
      <x:c r="D471" s="146" t="e">
        <x:f>IF($A471="","",[1]!thsiFinD("ths_adjustment_nv_fund",D$3,$A471))</x:f>
        <x:v>#NAME?</x:v>
      </x:c>
      <x:c r="E471" s="146" t="e">
        <x:f>IF($A471="","",[1]!thsiFinD("ths_adjustment_nv_fund",E$3,$A471))</x:f>
        <x:v>#NAME?</x:v>
      </x:c>
      <x:c r="F471" s="146" t="e">
        <x:f>IF($A471="","",[1]!thsiFinD("ths_adjustment_nv_fund",F$3,$A471))</x:f>
        <x:v>#NAME?</x:v>
      </x:c>
      <x:c r="G471" s="146" t="e">
        <x:f>IF($A471="","",[1]!thsiFinD("ths_adjustment_nv_fund",G$3,$A471))</x:f>
        <x:v>#NAME?</x:v>
      </x:c>
      <x:c r="H471" s="146" t="e">
        <x:f>IF($A471="","",[1]!thsiFinD("ths_adjustment_nv_fund",H$3,$A471))</x:f>
        <x:v>#NAME?</x:v>
      </x:c>
      <x:c r="I471" s="146" t="e">
        <x:f>IF($A471="","",[1]!thsiFinD("ths_adjustment_nv_fund",I$3,$A471))</x:f>
        <x:v>#NAME?</x:v>
      </x:c>
      <x:c r="J471" s="146" t="e">
        <x:f>IF($A471="","",[1]!thsiFinD("ths_adjustment_nv_fund",J$3,$A471))</x:f>
        <x:v>#NAME?</x:v>
      </x:c>
      <x:c r="K471" s="146" t="e">
        <x:f>IF($A471="","",[1]!thsiFinD("ths_adjustment_nv_fund",K$3,$A471))</x:f>
        <x:v>#NAME?</x:v>
      </x:c>
      <x:c r="L471" s="146" t="e">
        <x:f>IF($A471="","",[1]!thsiFinD("ths_adjustment_nv_fund",L$3,$A471))</x:f>
        <x:v>#NAME?</x:v>
      </x:c>
      <x:c r="M471" s="146" t="e">
        <x:f>IF($A471="","",[1]!thsiFinD("ths_adjustment_nv_fund",M$3,$A471))</x:f>
        <x:v>#NAME?</x:v>
      </x:c>
      <x:c r="N471" s="146" t="e">
        <x:f>IF($A471="","",[1]!thsiFinD("ths_adjustment_nv_fund",N$3,$A471))</x:f>
        <x:v>#NAME?</x:v>
      </x:c>
      <x:c r="O471" s="146" t="e">
        <x:f>IF($A471="","",[1]!thsiFinD("ths_adjustment_nv_fund",O$3,$A471))</x:f>
        <x:v>#NAME?</x:v>
      </x:c>
      <x:c r="P471" s="146" t="e">
        <x:f>IF($A471="","",[1]!thsiFinD("ths_adjustment_nv_fund",P$3,$A471))</x:f>
        <x:v>#NAME?</x:v>
      </x:c>
      <x:c r="Q471" s="146" t="e">
        <x:f>IF($A471="","",[1]!thsiFinD("ths_adjustment_nv_fund",Q$3,$A471))</x:f>
        <x:v>#NAME?</x:v>
      </x:c>
      <x:c r="R471" s="146" t="e">
        <x:f>IF($A471="","",[1]!thsiFinD("ths_adjustment_nv_fund",R$3,$A471))</x:f>
        <x:v>#NAME?</x:v>
      </x:c>
      <x:c r="S471" s="146" t="e">
        <x:f>IF($A471="","",[1]!thsiFinD("ths_adjustment_nv_fund",S$3,$A471))</x:f>
        <x:v>#NAME?</x:v>
      </x:c>
      <x:c r="T471" s="146" t="e">
        <x:f>IF($A471="","",[1]!thsiFinD("ths_adjustment_nv_fund",T$3,$A471))</x:f>
        <x:v>#NAME?</x:v>
      </x:c>
      <x:c r="U471" s="146" t="e">
        <x:f>IF($A471="","",[1]!thsiFinD("ths_adjustment_nv_fund",U$3,$A471))</x:f>
        <x:v>#NAME?</x:v>
      </x:c>
      <x:c r="V471" s="146" t="e">
        <x:f>IF($A471="","",[1]!thsiFinD("ths_adjustment_nv_fund",V$3,$A471))</x:f>
        <x:v>#NAME?</x:v>
      </x:c>
      <x:c r="W471" s="146" t="e">
        <x:f>IF($A471="","",[1]!thsiFinD("ths_adjustment_nv_fund",W$3,$A471))</x:f>
        <x:v>#NAME?</x:v>
      </x:c>
      <x:c r="X471" s="146" t="e">
        <x:f>IF($A471="","",[1]!thsiFinD("ths_adjustment_nv_fund",X$3,$A471))</x:f>
        <x:v>#NAME?</x:v>
      </x:c>
      <x:c r="Y471" s="146" t="e">
        <x:f>IF($A471="","",[1]!thsiFinD("ths_adjustment_nv_fund",Y$3,$A471))</x:f>
        <x:v>#NAME?</x:v>
      </x:c>
      <x:c r="Z471" s="146" t="e">
        <x:f>IF($A471="","",[1]!thsiFinD("ths_adjustment_nv_fund",Z$3,$A471))</x:f>
        <x:v>#NAME?</x:v>
      </x:c>
      <x:c r="AA471" s="146" t="e">
        <x:f>IF($A471="","",[1]!thsiFinD("ths_adjustment_nv_fund",AA$3,$A471))</x:f>
        <x:v>#NAME?</x:v>
      </x:c>
    </x:row>
    <x:row r="472">
      <x:c r="B472" s="146" t="e">
        <x:f>IF($A472="","",[1]!thsiFinD("ths_adjustment_nv_fund",B$3,$A472))</x:f>
        <x:v>#NAME?</x:v>
      </x:c>
      <x:c r="C472" s="146" t="e">
        <x:f>IF($A472="","",[1]!thsiFinD("ths_adjustment_nv_fund",C$3,$A472))</x:f>
        <x:v>#NAME?</x:v>
      </x:c>
      <x:c r="D472" s="146" t="e">
        <x:f>IF($A472="","",[1]!thsiFinD("ths_adjustment_nv_fund",D$3,$A472))</x:f>
        <x:v>#NAME?</x:v>
      </x:c>
      <x:c r="E472" s="146" t="e">
        <x:f>IF($A472="","",[1]!thsiFinD("ths_adjustment_nv_fund",E$3,$A472))</x:f>
        <x:v>#NAME?</x:v>
      </x:c>
      <x:c r="F472" s="146" t="e">
        <x:f>IF($A472="","",[1]!thsiFinD("ths_adjustment_nv_fund",F$3,$A472))</x:f>
        <x:v>#NAME?</x:v>
      </x:c>
      <x:c r="G472" s="146" t="e">
        <x:f>IF($A472="","",[1]!thsiFinD("ths_adjustment_nv_fund",G$3,$A472))</x:f>
        <x:v>#NAME?</x:v>
      </x:c>
      <x:c r="H472" s="146" t="e">
        <x:f>IF($A472="","",[1]!thsiFinD("ths_adjustment_nv_fund",H$3,$A472))</x:f>
        <x:v>#NAME?</x:v>
      </x:c>
      <x:c r="I472" s="146" t="e">
        <x:f>IF($A472="","",[1]!thsiFinD("ths_adjustment_nv_fund",I$3,$A472))</x:f>
        <x:v>#NAME?</x:v>
      </x:c>
      <x:c r="J472" s="146" t="e">
        <x:f>IF($A472="","",[1]!thsiFinD("ths_adjustment_nv_fund",J$3,$A472))</x:f>
        <x:v>#NAME?</x:v>
      </x:c>
      <x:c r="K472" s="146" t="e">
        <x:f>IF($A472="","",[1]!thsiFinD("ths_adjustment_nv_fund",K$3,$A472))</x:f>
        <x:v>#NAME?</x:v>
      </x:c>
      <x:c r="L472" s="146" t="e">
        <x:f>IF($A472="","",[1]!thsiFinD("ths_adjustment_nv_fund",L$3,$A472))</x:f>
        <x:v>#NAME?</x:v>
      </x:c>
      <x:c r="M472" s="146" t="e">
        <x:f>IF($A472="","",[1]!thsiFinD("ths_adjustment_nv_fund",M$3,$A472))</x:f>
        <x:v>#NAME?</x:v>
      </x:c>
      <x:c r="N472" s="146" t="e">
        <x:f>IF($A472="","",[1]!thsiFinD("ths_adjustment_nv_fund",N$3,$A472))</x:f>
        <x:v>#NAME?</x:v>
      </x:c>
      <x:c r="O472" s="146" t="e">
        <x:f>IF($A472="","",[1]!thsiFinD("ths_adjustment_nv_fund",O$3,$A472))</x:f>
        <x:v>#NAME?</x:v>
      </x:c>
      <x:c r="P472" s="146" t="e">
        <x:f>IF($A472="","",[1]!thsiFinD("ths_adjustment_nv_fund",P$3,$A472))</x:f>
        <x:v>#NAME?</x:v>
      </x:c>
      <x:c r="Q472" s="146" t="e">
        <x:f>IF($A472="","",[1]!thsiFinD("ths_adjustment_nv_fund",Q$3,$A472))</x:f>
        <x:v>#NAME?</x:v>
      </x:c>
      <x:c r="R472" s="146" t="e">
        <x:f>IF($A472="","",[1]!thsiFinD("ths_adjustment_nv_fund",R$3,$A472))</x:f>
        <x:v>#NAME?</x:v>
      </x:c>
      <x:c r="S472" s="146" t="e">
        <x:f>IF($A472="","",[1]!thsiFinD("ths_adjustment_nv_fund",S$3,$A472))</x:f>
        <x:v>#NAME?</x:v>
      </x:c>
      <x:c r="T472" s="146" t="e">
        <x:f>IF($A472="","",[1]!thsiFinD("ths_adjustment_nv_fund",T$3,$A472))</x:f>
        <x:v>#NAME?</x:v>
      </x:c>
      <x:c r="U472" s="146" t="e">
        <x:f>IF($A472="","",[1]!thsiFinD("ths_adjustment_nv_fund",U$3,$A472))</x:f>
        <x:v>#NAME?</x:v>
      </x:c>
      <x:c r="V472" s="146" t="e">
        <x:f>IF($A472="","",[1]!thsiFinD("ths_adjustment_nv_fund",V$3,$A472))</x:f>
        <x:v>#NAME?</x:v>
      </x:c>
      <x:c r="W472" s="146" t="e">
        <x:f>IF($A472="","",[1]!thsiFinD("ths_adjustment_nv_fund",W$3,$A472))</x:f>
        <x:v>#NAME?</x:v>
      </x:c>
      <x:c r="X472" s="146" t="e">
        <x:f>IF($A472="","",[1]!thsiFinD("ths_adjustment_nv_fund",X$3,$A472))</x:f>
        <x:v>#NAME?</x:v>
      </x:c>
      <x:c r="Y472" s="146" t="e">
        <x:f>IF($A472="","",[1]!thsiFinD("ths_adjustment_nv_fund",Y$3,$A472))</x:f>
        <x:v>#NAME?</x:v>
      </x:c>
      <x:c r="Z472" s="146" t="e">
        <x:f>IF($A472="","",[1]!thsiFinD("ths_adjustment_nv_fund",Z$3,$A472))</x:f>
        <x:v>#NAME?</x:v>
      </x:c>
      <x:c r="AA472" s="146" t="e">
        <x:f>IF($A472="","",[1]!thsiFinD("ths_adjustment_nv_fund",AA$3,$A472))</x:f>
        <x:v>#NAME?</x:v>
      </x:c>
    </x:row>
    <x:row r="473">
      <x:c r="B473" s="146" t="e">
        <x:f>IF($A473="","",[1]!thsiFinD("ths_adjustment_nv_fund",B$3,$A473))</x:f>
        <x:v>#NAME?</x:v>
      </x:c>
      <x:c r="C473" s="146" t="e">
        <x:f>IF($A473="","",[1]!thsiFinD("ths_adjustment_nv_fund",C$3,$A473))</x:f>
        <x:v>#NAME?</x:v>
      </x:c>
      <x:c r="D473" s="146" t="e">
        <x:f>IF($A473="","",[1]!thsiFinD("ths_adjustment_nv_fund",D$3,$A473))</x:f>
        <x:v>#NAME?</x:v>
      </x:c>
      <x:c r="E473" s="146" t="e">
        <x:f>IF($A473="","",[1]!thsiFinD("ths_adjustment_nv_fund",E$3,$A473))</x:f>
        <x:v>#NAME?</x:v>
      </x:c>
      <x:c r="F473" s="146" t="e">
        <x:f>IF($A473="","",[1]!thsiFinD("ths_adjustment_nv_fund",F$3,$A473))</x:f>
        <x:v>#NAME?</x:v>
      </x:c>
      <x:c r="G473" s="146" t="e">
        <x:f>IF($A473="","",[1]!thsiFinD("ths_adjustment_nv_fund",G$3,$A473))</x:f>
        <x:v>#NAME?</x:v>
      </x:c>
      <x:c r="H473" s="146" t="e">
        <x:f>IF($A473="","",[1]!thsiFinD("ths_adjustment_nv_fund",H$3,$A473))</x:f>
        <x:v>#NAME?</x:v>
      </x:c>
      <x:c r="I473" s="146" t="e">
        <x:f>IF($A473="","",[1]!thsiFinD("ths_adjustment_nv_fund",I$3,$A473))</x:f>
        <x:v>#NAME?</x:v>
      </x:c>
      <x:c r="J473" s="146" t="e">
        <x:f>IF($A473="","",[1]!thsiFinD("ths_adjustment_nv_fund",J$3,$A473))</x:f>
        <x:v>#NAME?</x:v>
      </x:c>
      <x:c r="K473" s="146" t="e">
        <x:f>IF($A473="","",[1]!thsiFinD("ths_adjustment_nv_fund",K$3,$A473))</x:f>
        <x:v>#NAME?</x:v>
      </x:c>
      <x:c r="L473" s="146" t="e">
        <x:f>IF($A473="","",[1]!thsiFinD("ths_adjustment_nv_fund",L$3,$A473))</x:f>
        <x:v>#NAME?</x:v>
      </x:c>
      <x:c r="M473" s="146" t="e">
        <x:f>IF($A473="","",[1]!thsiFinD("ths_adjustment_nv_fund",M$3,$A473))</x:f>
        <x:v>#NAME?</x:v>
      </x:c>
      <x:c r="N473" s="146" t="e">
        <x:f>IF($A473="","",[1]!thsiFinD("ths_adjustment_nv_fund",N$3,$A473))</x:f>
        <x:v>#NAME?</x:v>
      </x:c>
      <x:c r="O473" s="146" t="e">
        <x:f>IF($A473="","",[1]!thsiFinD("ths_adjustment_nv_fund",O$3,$A473))</x:f>
        <x:v>#NAME?</x:v>
      </x:c>
      <x:c r="P473" s="146" t="e">
        <x:f>IF($A473="","",[1]!thsiFinD("ths_adjustment_nv_fund",P$3,$A473))</x:f>
        <x:v>#NAME?</x:v>
      </x:c>
      <x:c r="Q473" s="146" t="e">
        <x:f>IF($A473="","",[1]!thsiFinD("ths_adjustment_nv_fund",Q$3,$A473))</x:f>
        <x:v>#NAME?</x:v>
      </x:c>
      <x:c r="R473" s="146" t="e">
        <x:f>IF($A473="","",[1]!thsiFinD("ths_adjustment_nv_fund",R$3,$A473))</x:f>
        <x:v>#NAME?</x:v>
      </x:c>
      <x:c r="S473" s="146" t="e">
        <x:f>IF($A473="","",[1]!thsiFinD("ths_adjustment_nv_fund",S$3,$A473))</x:f>
        <x:v>#NAME?</x:v>
      </x:c>
      <x:c r="T473" s="146" t="e">
        <x:f>IF($A473="","",[1]!thsiFinD("ths_adjustment_nv_fund",T$3,$A473))</x:f>
        <x:v>#NAME?</x:v>
      </x:c>
      <x:c r="U473" s="146" t="e">
        <x:f>IF($A473="","",[1]!thsiFinD("ths_adjustment_nv_fund",U$3,$A473))</x:f>
        <x:v>#NAME?</x:v>
      </x:c>
      <x:c r="V473" s="146" t="e">
        <x:f>IF($A473="","",[1]!thsiFinD("ths_adjustment_nv_fund",V$3,$A473))</x:f>
        <x:v>#NAME?</x:v>
      </x:c>
      <x:c r="W473" s="146" t="e">
        <x:f>IF($A473="","",[1]!thsiFinD("ths_adjustment_nv_fund",W$3,$A473))</x:f>
        <x:v>#NAME?</x:v>
      </x:c>
      <x:c r="X473" s="146" t="e">
        <x:f>IF($A473="","",[1]!thsiFinD("ths_adjustment_nv_fund",X$3,$A473))</x:f>
        <x:v>#NAME?</x:v>
      </x:c>
      <x:c r="Y473" s="146" t="e">
        <x:f>IF($A473="","",[1]!thsiFinD("ths_adjustment_nv_fund",Y$3,$A473))</x:f>
        <x:v>#NAME?</x:v>
      </x:c>
      <x:c r="Z473" s="146" t="e">
        <x:f>IF($A473="","",[1]!thsiFinD("ths_adjustment_nv_fund",Z$3,$A473))</x:f>
        <x:v>#NAME?</x:v>
      </x:c>
      <x:c r="AA473" s="146" t="e">
        <x:f>IF($A473="","",[1]!thsiFinD("ths_adjustment_nv_fund",AA$3,$A473))</x:f>
        <x:v>#NAME?</x:v>
      </x:c>
    </x:row>
    <x:row r="474">
      <x:c r="B474" s="146" t="e">
        <x:f>IF($A474="","",[1]!thsiFinD("ths_adjustment_nv_fund",B$3,$A474))</x:f>
        <x:v>#NAME?</x:v>
      </x:c>
      <x:c r="C474" s="146" t="e">
        <x:f>IF($A474="","",[1]!thsiFinD("ths_adjustment_nv_fund",C$3,$A474))</x:f>
        <x:v>#NAME?</x:v>
      </x:c>
      <x:c r="D474" s="146" t="e">
        <x:f>IF($A474="","",[1]!thsiFinD("ths_adjustment_nv_fund",D$3,$A474))</x:f>
        <x:v>#NAME?</x:v>
      </x:c>
      <x:c r="E474" s="146" t="e">
        <x:f>IF($A474="","",[1]!thsiFinD("ths_adjustment_nv_fund",E$3,$A474))</x:f>
        <x:v>#NAME?</x:v>
      </x:c>
      <x:c r="F474" s="146" t="e">
        <x:f>IF($A474="","",[1]!thsiFinD("ths_adjustment_nv_fund",F$3,$A474))</x:f>
        <x:v>#NAME?</x:v>
      </x:c>
      <x:c r="G474" s="146" t="e">
        <x:f>IF($A474="","",[1]!thsiFinD("ths_adjustment_nv_fund",G$3,$A474))</x:f>
        <x:v>#NAME?</x:v>
      </x:c>
      <x:c r="H474" s="146" t="e">
        <x:f>IF($A474="","",[1]!thsiFinD("ths_adjustment_nv_fund",H$3,$A474))</x:f>
        <x:v>#NAME?</x:v>
      </x:c>
      <x:c r="I474" s="146" t="e">
        <x:f>IF($A474="","",[1]!thsiFinD("ths_adjustment_nv_fund",I$3,$A474))</x:f>
        <x:v>#NAME?</x:v>
      </x:c>
      <x:c r="J474" s="146" t="e">
        <x:f>IF($A474="","",[1]!thsiFinD("ths_adjustment_nv_fund",J$3,$A474))</x:f>
        <x:v>#NAME?</x:v>
      </x:c>
      <x:c r="K474" s="146" t="e">
        <x:f>IF($A474="","",[1]!thsiFinD("ths_adjustment_nv_fund",K$3,$A474))</x:f>
        <x:v>#NAME?</x:v>
      </x:c>
      <x:c r="L474" s="146" t="e">
        <x:f>IF($A474="","",[1]!thsiFinD("ths_adjustment_nv_fund",L$3,$A474))</x:f>
        <x:v>#NAME?</x:v>
      </x:c>
      <x:c r="M474" s="146" t="e">
        <x:f>IF($A474="","",[1]!thsiFinD("ths_adjustment_nv_fund",M$3,$A474))</x:f>
        <x:v>#NAME?</x:v>
      </x:c>
      <x:c r="N474" s="146" t="e">
        <x:f>IF($A474="","",[1]!thsiFinD("ths_adjustment_nv_fund",N$3,$A474))</x:f>
        <x:v>#NAME?</x:v>
      </x:c>
      <x:c r="O474" s="146" t="e">
        <x:f>IF($A474="","",[1]!thsiFinD("ths_adjustment_nv_fund",O$3,$A474))</x:f>
        <x:v>#NAME?</x:v>
      </x:c>
      <x:c r="P474" s="146" t="e">
        <x:f>IF($A474="","",[1]!thsiFinD("ths_adjustment_nv_fund",P$3,$A474))</x:f>
        <x:v>#NAME?</x:v>
      </x:c>
      <x:c r="Q474" s="146" t="e">
        <x:f>IF($A474="","",[1]!thsiFinD("ths_adjustment_nv_fund",Q$3,$A474))</x:f>
        <x:v>#NAME?</x:v>
      </x:c>
      <x:c r="R474" s="146" t="e">
        <x:f>IF($A474="","",[1]!thsiFinD("ths_adjustment_nv_fund",R$3,$A474))</x:f>
        <x:v>#NAME?</x:v>
      </x:c>
      <x:c r="S474" s="146" t="e">
        <x:f>IF($A474="","",[1]!thsiFinD("ths_adjustment_nv_fund",S$3,$A474))</x:f>
        <x:v>#NAME?</x:v>
      </x:c>
      <x:c r="T474" s="146" t="e">
        <x:f>IF($A474="","",[1]!thsiFinD("ths_adjustment_nv_fund",T$3,$A474))</x:f>
        <x:v>#NAME?</x:v>
      </x:c>
      <x:c r="U474" s="146" t="e">
        <x:f>IF($A474="","",[1]!thsiFinD("ths_adjustment_nv_fund",U$3,$A474))</x:f>
        <x:v>#NAME?</x:v>
      </x:c>
      <x:c r="V474" s="146" t="e">
        <x:f>IF($A474="","",[1]!thsiFinD("ths_adjustment_nv_fund",V$3,$A474))</x:f>
        <x:v>#NAME?</x:v>
      </x:c>
      <x:c r="W474" s="146" t="e">
        <x:f>IF($A474="","",[1]!thsiFinD("ths_adjustment_nv_fund",W$3,$A474))</x:f>
        <x:v>#NAME?</x:v>
      </x:c>
      <x:c r="X474" s="146" t="e">
        <x:f>IF($A474="","",[1]!thsiFinD("ths_adjustment_nv_fund",X$3,$A474))</x:f>
        <x:v>#NAME?</x:v>
      </x:c>
      <x:c r="Y474" s="146" t="e">
        <x:f>IF($A474="","",[1]!thsiFinD("ths_adjustment_nv_fund",Y$3,$A474))</x:f>
        <x:v>#NAME?</x:v>
      </x:c>
      <x:c r="Z474" s="146" t="e">
        <x:f>IF($A474="","",[1]!thsiFinD("ths_adjustment_nv_fund",Z$3,$A474))</x:f>
        <x:v>#NAME?</x:v>
      </x:c>
      <x:c r="AA474" s="146" t="e">
        <x:f>IF($A474="","",[1]!thsiFinD("ths_adjustment_nv_fund",AA$3,$A474))</x:f>
        <x:v>#NAME?</x:v>
      </x:c>
    </x:row>
    <x:row r="475">
      <x:c r="B475" s="146" t="e">
        <x:f>IF($A475="","",[1]!thsiFinD("ths_adjustment_nv_fund",B$3,$A475))</x:f>
        <x:v>#NAME?</x:v>
      </x:c>
      <x:c r="C475" s="146" t="e">
        <x:f>IF($A475="","",[1]!thsiFinD("ths_adjustment_nv_fund",C$3,$A475))</x:f>
        <x:v>#NAME?</x:v>
      </x:c>
      <x:c r="D475" s="146" t="e">
        <x:f>IF($A475="","",[1]!thsiFinD("ths_adjustment_nv_fund",D$3,$A475))</x:f>
        <x:v>#NAME?</x:v>
      </x:c>
      <x:c r="E475" s="146" t="e">
        <x:f>IF($A475="","",[1]!thsiFinD("ths_adjustment_nv_fund",E$3,$A475))</x:f>
        <x:v>#NAME?</x:v>
      </x:c>
      <x:c r="F475" s="146" t="e">
        <x:f>IF($A475="","",[1]!thsiFinD("ths_adjustment_nv_fund",F$3,$A475))</x:f>
        <x:v>#NAME?</x:v>
      </x:c>
      <x:c r="G475" s="146" t="e">
        <x:f>IF($A475="","",[1]!thsiFinD("ths_adjustment_nv_fund",G$3,$A475))</x:f>
        <x:v>#NAME?</x:v>
      </x:c>
      <x:c r="H475" s="146" t="e">
        <x:f>IF($A475="","",[1]!thsiFinD("ths_adjustment_nv_fund",H$3,$A475))</x:f>
        <x:v>#NAME?</x:v>
      </x:c>
      <x:c r="I475" s="146" t="e">
        <x:f>IF($A475="","",[1]!thsiFinD("ths_adjustment_nv_fund",I$3,$A475))</x:f>
        <x:v>#NAME?</x:v>
      </x:c>
      <x:c r="J475" s="146" t="e">
        <x:f>IF($A475="","",[1]!thsiFinD("ths_adjustment_nv_fund",J$3,$A475))</x:f>
        <x:v>#NAME?</x:v>
      </x:c>
      <x:c r="K475" s="146" t="e">
        <x:f>IF($A475="","",[1]!thsiFinD("ths_adjustment_nv_fund",K$3,$A475))</x:f>
        <x:v>#NAME?</x:v>
      </x:c>
      <x:c r="L475" s="146" t="e">
        <x:f>IF($A475="","",[1]!thsiFinD("ths_adjustment_nv_fund",L$3,$A475))</x:f>
        <x:v>#NAME?</x:v>
      </x:c>
      <x:c r="M475" s="146" t="e">
        <x:f>IF($A475="","",[1]!thsiFinD("ths_adjustment_nv_fund",M$3,$A475))</x:f>
        <x:v>#NAME?</x:v>
      </x:c>
      <x:c r="N475" s="146" t="e">
        <x:f>IF($A475="","",[1]!thsiFinD("ths_adjustment_nv_fund",N$3,$A475))</x:f>
        <x:v>#NAME?</x:v>
      </x:c>
      <x:c r="O475" s="146" t="e">
        <x:f>IF($A475="","",[1]!thsiFinD("ths_adjustment_nv_fund",O$3,$A475))</x:f>
        <x:v>#NAME?</x:v>
      </x:c>
      <x:c r="P475" s="146" t="e">
        <x:f>IF($A475="","",[1]!thsiFinD("ths_adjustment_nv_fund",P$3,$A475))</x:f>
        <x:v>#NAME?</x:v>
      </x:c>
      <x:c r="Q475" s="146" t="e">
        <x:f>IF($A475="","",[1]!thsiFinD("ths_adjustment_nv_fund",Q$3,$A475))</x:f>
        <x:v>#NAME?</x:v>
      </x:c>
      <x:c r="R475" s="146" t="e">
        <x:f>IF($A475="","",[1]!thsiFinD("ths_adjustment_nv_fund",R$3,$A475))</x:f>
        <x:v>#NAME?</x:v>
      </x:c>
      <x:c r="S475" s="146" t="e">
        <x:f>IF($A475="","",[1]!thsiFinD("ths_adjustment_nv_fund",S$3,$A475))</x:f>
        <x:v>#NAME?</x:v>
      </x:c>
      <x:c r="T475" s="146" t="e">
        <x:f>IF($A475="","",[1]!thsiFinD("ths_adjustment_nv_fund",T$3,$A475))</x:f>
        <x:v>#NAME?</x:v>
      </x:c>
      <x:c r="U475" s="146" t="e">
        <x:f>IF($A475="","",[1]!thsiFinD("ths_adjustment_nv_fund",U$3,$A475))</x:f>
        <x:v>#NAME?</x:v>
      </x:c>
      <x:c r="V475" s="146" t="e">
        <x:f>IF($A475="","",[1]!thsiFinD("ths_adjustment_nv_fund",V$3,$A475))</x:f>
        <x:v>#NAME?</x:v>
      </x:c>
      <x:c r="W475" s="146" t="e">
        <x:f>IF($A475="","",[1]!thsiFinD("ths_adjustment_nv_fund",W$3,$A475))</x:f>
        <x:v>#NAME?</x:v>
      </x:c>
      <x:c r="X475" s="146" t="e">
        <x:f>IF($A475="","",[1]!thsiFinD("ths_adjustment_nv_fund",X$3,$A475))</x:f>
        <x:v>#NAME?</x:v>
      </x:c>
      <x:c r="Y475" s="146" t="e">
        <x:f>IF($A475="","",[1]!thsiFinD("ths_adjustment_nv_fund",Y$3,$A475))</x:f>
        <x:v>#NAME?</x:v>
      </x:c>
      <x:c r="Z475" s="146" t="e">
        <x:f>IF($A475="","",[1]!thsiFinD("ths_adjustment_nv_fund",Z$3,$A475))</x:f>
        <x:v>#NAME?</x:v>
      </x:c>
      <x:c r="AA475" s="146" t="e">
        <x:f>IF($A475="","",[1]!thsiFinD("ths_adjustment_nv_fund",AA$3,$A475))</x:f>
        <x:v>#NAME?</x:v>
      </x:c>
    </x:row>
    <x:row r="476">
      <x:c r="B476" s="146" t="e">
        <x:f>IF($A476="","",[1]!thsiFinD("ths_adjustment_nv_fund",B$3,$A476))</x:f>
        <x:v>#NAME?</x:v>
      </x:c>
      <x:c r="C476" s="146" t="e">
        <x:f>IF($A476="","",[1]!thsiFinD("ths_adjustment_nv_fund",C$3,$A476))</x:f>
        <x:v>#NAME?</x:v>
      </x:c>
      <x:c r="D476" s="146" t="e">
        <x:f>IF($A476="","",[1]!thsiFinD("ths_adjustment_nv_fund",D$3,$A476))</x:f>
        <x:v>#NAME?</x:v>
      </x:c>
      <x:c r="E476" s="146" t="e">
        <x:f>IF($A476="","",[1]!thsiFinD("ths_adjustment_nv_fund",E$3,$A476))</x:f>
        <x:v>#NAME?</x:v>
      </x:c>
      <x:c r="F476" s="146" t="e">
        <x:f>IF($A476="","",[1]!thsiFinD("ths_adjustment_nv_fund",F$3,$A476))</x:f>
        <x:v>#NAME?</x:v>
      </x:c>
      <x:c r="G476" s="146" t="e">
        <x:f>IF($A476="","",[1]!thsiFinD("ths_adjustment_nv_fund",G$3,$A476))</x:f>
        <x:v>#NAME?</x:v>
      </x:c>
      <x:c r="H476" s="146" t="e">
        <x:f>IF($A476="","",[1]!thsiFinD("ths_adjustment_nv_fund",H$3,$A476))</x:f>
        <x:v>#NAME?</x:v>
      </x:c>
      <x:c r="I476" s="146" t="e">
        <x:f>IF($A476="","",[1]!thsiFinD("ths_adjustment_nv_fund",I$3,$A476))</x:f>
        <x:v>#NAME?</x:v>
      </x:c>
      <x:c r="J476" s="146" t="e">
        <x:f>IF($A476="","",[1]!thsiFinD("ths_adjustment_nv_fund",J$3,$A476))</x:f>
        <x:v>#NAME?</x:v>
      </x:c>
      <x:c r="K476" s="146" t="e">
        <x:f>IF($A476="","",[1]!thsiFinD("ths_adjustment_nv_fund",K$3,$A476))</x:f>
        <x:v>#NAME?</x:v>
      </x:c>
      <x:c r="L476" s="146" t="e">
        <x:f>IF($A476="","",[1]!thsiFinD("ths_adjustment_nv_fund",L$3,$A476))</x:f>
        <x:v>#NAME?</x:v>
      </x:c>
      <x:c r="M476" s="146" t="e">
        <x:f>IF($A476="","",[1]!thsiFinD("ths_adjustment_nv_fund",M$3,$A476))</x:f>
        <x:v>#NAME?</x:v>
      </x:c>
      <x:c r="N476" s="146" t="e">
        <x:f>IF($A476="","",[1]!thsiFinD("ths_adjustment_nv_fund",N$3,$A476))</x:f>
        <x:v>#NAME?</x:v>
      </x:c>
      <x:c r="O476" s="146" t="e">
        <x:f>IF($A476="","",[1]!thsiFinD("ths_adjustment_nv_fund",O$3,$A476))</x:f>
        <x:v>#NAME?</x:v>
      </x:c>
      <x:c r="P476" s="146" t="e">
        <x:f>IF($A476="","",[1]!thsiFinD("ths_adjustment_nv_fund",P$3,$A476))</x:f>
        <x:v>#NAME?</x:v>
      </x:c>
      <x:c r="Q476" s="146" t="e">
        <x:f>IF($A476="","",[1]!thsiFinD("ths_adjustment_nv_fund",Q$3,$A476))</x:f>
        <x:v>#NAME?</x:v>
      </x:c>
      <x:c r="R476" s="146" t="e">
        <x:f>IF($A476="","",[1]!thsiFinD("ths_adjustment_nv_fund",R$3,$A476))</x:f>
        <x:v>#NAME?</x:v>
      </x:c>
      <x:c r="S476" s="146" t="e">
        <x:f>IF($A476="","",[1]!thsiFinD("ths_adjustment_nv_fund",S$3,$A476))</x:f>
        <x:v>#NAME?</x:v>
      </x:c>
      <x:c r="T476" s="146" t="e">
        <x:f>IF($A476="","",[1]!thsiFinD("ths_adjustment_nv_fund",T$3,$A476))</x:f>
        <x:v>#NAME?</x:v>
      </x:c>
      <x:c r="U476" s="146" t="e">
        <x:f>IF($A476="","",[1]!thsiFinD("ths_adjustment_nv_fund",U$3,$A476))</x:f>
        <x:v>#NAME?</x:v>
      </x:c>
      <x:c r="V476" s="146" t="e">
        <x:f>IF($A476="","",[1]!thsiFinD("ths_adjustment_nv_fund",V$3,$A476))</x:f>
        <x:v>#NAME?</x:v>
      </x:c>
      <x:c r="W476" s="146" t="e">
        <x:f>IF($A476="","",[1]!thsiFinD("ths_adjustment_nv_fund",W$3,$A476))</x:f>
        <x:v>#NAME?</x:v>
      </x:c>
      <x:c r="X476" s="146" t="e">
        <x:f>IF($A476="","",[1]!thsiFinD("ths_adjustment_nv_fund",X$3,$A476))</x:f>
        <x:v>#NAME?</x:v>
      </x:c>
      <x:c r="Y476" s="146" t="e">
        <x:f>IF($A476="","",[1]!thsiFinD("ths_adjustment_nv_fund",Y$3,$A476))</x:f>
        <x:v>#NAME?</x:v>
      </x:c>
      <x:c r="Z476" s="146" t="e">
        <x:f>IF($A476="","",[1]!thsiFinD("ths_adjustment_nv_fund",Z$3,$A476))</x:f>
        <x:v>#NAME?</x:v>
      </x:c>
      <x:c r="AA476" s="146" t="e">
        <x:f>IF($A476="","",[1]!thsiFinD("ths_adjustment_nv_fund",AA$3,$A476))</x:f>
        <x:v>#NAME?</x:v>
      </x:c>
    </x:row>
    <x:row r="477">
      <x:c r="B477" s="146" t="e">
        <x:f>IF($A477="","",[1]!thsiFinD("ths_adjustment_nv_fund",B$3,$A477))</x:f>
        <x:v>#NAME?</x:v>
      </x:c>
      <x:c r="C477" s="146" t="e">
        <x:f>IF($A477="","",[1]!thsiFinD("ths_adjustment_nv_fund",C$3,$A477))</x:f>
        <x:v>#NAME?</x:v>
      </x:c>
      <x:c r="D477" s="146" t="e">
        <x:f>IF($A477="","",[1]!thsiFinD("ths_adjustment_nv_fund",D$3,$A477))</x:f>
        <x:v>#NAME?</x:v>
      </x:c>
      <x:c r="E477" s="146" t="e">
        <x:f>IF($A477="","",[1]!thsiFinD("ths_adjustment_nv_fund",E$3,$A477))</x:f>
        <x:v>#NAME?</x:v>
      </x:c>
      <x:c r="F477" s="146" t="e">
        <x:f>IF($A477="","",[1]!thsiFinD("ths_adjustment_nv_fund",F$3,$A477))</x:f>
        <x:v>#NAME?</x:v>
      </x:c>
      <x:c r="G477" s="146" t="e">
        <x:f>IF($A477="","",[1]!thsiFinD("ths_adjustment_nv_fund",G$3,$A477))</x:f>
        <x:v>#NAME?</x:v>
      </x:c>
      <x:c r="H477" s="146" t="e">
        <x:f>IF($A477="","",[1]!thsiFinD("ths_adjustment_nv_fund",H$3,$A477))</x:f>
        <x:v>#NAME?</x:v>
      </x:c>
      <x:c r="I477" s="146" t="e">
        <x:f>IF($A477="","",[1]!thsiFinD("ths_adjustment_nv_fund",I$3,$A477))</x:f>
        <x:v>#NAME?</x:v>
      </x:c>
      <x:c r="J477" s="146" t="e">
        <x:f>IF($A477="","",[1]!thsiFinD("ths_adjustment_nv_fund",J$3,$A477))</x:f>
        <x:v>#NAME?</x:v>
      </x:c>
      <x:c r="K477" s="146" t="e">
        <x:f>IF($A477="","",[1]!thsiFinD("ths_adjustment_nv_fund",K$3,$A477))</x:f>
        <x:v>#NAME?</x:v>
      </x:c>
      <x:c r="L477" s="146" t="e">
        <x:f>IF($A477="","",[1]!thsiFinD("ths_adjustment_nv_fund",L$3,$A477))</x:f>
        <x:v>#NAME?</x:v>
      </x:c>
      <x:c r="M477" s="146" t="e">
        <x:f>IF($A477="","",[1]!thsiFinD("ths_adjustment_nv_fund",M$3,$A477))</x:f>
        <x:v>#NAME?</x:v>
      </x:c>
      <x:c r="N477" s="146" t="e">
        <x:f>IF($A477="","",[1]!thsiFinD("ths_adjustment_nv_fund",N$3,$A477))</x:f>
        <x:v>#NAME?</x:v>
      </x:c>
      <x:c r="O477" s="146" t="e">
        <x:f>IF($A477="","",[1]!thsiFinD("ths_adjustment_nv_fund",O$3,$A477))</x:f>
        <x:v>#NAME?</x:v>
      </x:c>
      <x:c r="P477" s="146" t="e">
        <x:f>IF($A477="","",[1]!thsiFinD("ths_adjustment_nv_fund",P$3,$A477))</x:f>
        <x:v>#NAME?</x:v>
      </x:c>
      <x:c r="Q477" s="146" t="e">
        <x:f>IF($A477="","",[1]!thsiFinD("ths_adjustment_nv_fund",Q$3,$A477))</x:f>
        <x:v>#NAME?</x:v>
      </x:c>
      <x:c r="R477" s="146" t="e">
        <x:f>IF($A477="","",[1]!thsiFinD("ths_adjustment_nv_fund",R$3,$A477))</x:f>
        <x:v>#NAME?</x:v>
      </x:c>
      <x:c r="S477" s="146" t="e">
        <x:f>IF($A477="","",[1]!thsiFinD("ths_adjustment_nv_fund",S$3,$A477))</x:f>
        <x:v>#NAME?</x:v>
      </x:c>
      <x:c r="T477" s="146" t="e">
        <x:f>IF($A477="","",[1]!thsiFinD("ths_adjustment_nv_fund",T$3,$A477))</x:f>
        <x:v>#NAME?</x:v>
      </x:c>
      <x:c r="U477" s="146" t="e">
        <x:f>IF($A477="","",[1]!thsiFinD("ths_adjustment_nv_fund",U$3,$A477))</x:f>
        <x:v>#NAME?</x:v>
      </x:c>
      <x:c r="V477" s="146" t="e">
        <x:f>IF($A477="","",[1]!thsiFinD("ths_adjustment_nv_fund",V$3,$A477))</x:f>
        <x:v>#NAME?</x:v>
      </x:c>
      <x:c r="W477" s="146" t="e">
        <x:f>IF($A477="","",[1]!thsiFinD("ths_adjustment_nv_fund",W$3,$A477))</x:f>
        <x:v>#NAME?</x:v>
      </x:c>
      <x:c r="X477" s="146" t="e">
        <x:f>IF($A477="","",[1]!thsiFinD("ths_adjustment_nv_fund",X$3,$A477))</x:f>
        <x:v>#NAME?</x:v>
      </x:c>
      <x:c r="Y477" s="146" t="e">
        <x:f>IF($A477="","",[1]!thsiFinD("ths_adjustment_nv_fund",Y$3,$A477))</x:f>
        <x:v>#NAME?</x:v>
      </x:c>
      <x:c r="Z477" s="146" t="e">
        <x:f>IF($A477="","",[1]!thsiFinD("ths_adjustment_nv_fund",Z$3,$A477))</x:f>
        <x:v>#NAME?</x:v>
      </x:c>
      <x:c r="AA477" s="146" t="e">
        <x:f>IF($A477="","",[1]!thsiFinD("ths_adjustment_nv_fund",AA$3,$A477))</x:f>
        <x:v>#NAME?</x:v>
      </x:c>
    </x:row>
    <x:row r="478">
      <x:c r="B478" s="146" t="e">
        <x:f>IF($A478="","",[1]!thsiFinD("ths_adjustment_nv_fund",B$3,$A478))</x:f>
        <x:v>#NAME?</x:v>
      </x:c>
      <x:c r="C478" s="146" t="e">
        <x:f>IF($A478="","",[1]!thsiFinD("ths_adjustment_nv_fund",C$3,$A478))</x:f>
        <x:v>#NAME?</x:v>
      </x:c>
      <x:c r="D478" s="146" t="e">
        <x:f>IF($A478="","",[1]!thsiFinD("ths_adjustment_nv_fund",D$3,$A478))</x:f>
        <x:v>#NAME?</x:v>
      </x:c>
      <x:c r="E478" s="146" t="e">
        <x:f>IF($A478="","",[1]!thsiFinD("ths_adjustment_nv_fund",E$3,$A478))</x:f>
        <x:v>#NAME?</x:v>
      </x:c>
      <x:c r="F478" s="146" t="e">
        <x:f>IF($A478="","",[1]!thsiFinD("ths_adjustment_nv_fund",F$3,$A478))</x:f>
        <x:v>#NAME?</x:v>
      </x:c>
      <x:c r="G478" s="146" t="e">
        <x:f>IF($A478="","",[1]!thsiFinD("ths_adjustment_nv_fund",G$3,$A478))</x:f>
        <x:v>#NAME?</x:v>
      </x:c>
      <x:c r="H478" s="146" t="e">
        <x:f>IF($A478="","",[1]!thsiFinD("ths_adjustment_nv_fund",H$3,$A478))</x:f>
        <x:v>#NAME?</x:v>
      </x:c>
      <x:c r="I478" s="146" t="e">
        <x:f>IF($A478="","",[1]!thsiFinD("ths_adjustment_nv_fund",I$3,$A478))</x:f>
        <x:v>#NAME?</x:v>
      </x:c>
      <x:c r="J478" s="146" t="e">
        <x:f>IF($A478="","",[1]!thsiFinD("ths_adjustment_nv_fund",J$3,$A478))</x:f>
        <x:v>#NAME?</x:v>
      </x:c>
      <x:c r="K478" s="146" t="e">
        <x:f>IF($A478="","",[1]!thsiFinD("ths_adjustment_nv_fund",K$3,$A478))</x:f>
        <x:v>#NAME?</x:v>
      </x:c>
      <x:c r="L478" s="146" t="e">
        <x:f>IF($A478="","",[1]!thsiFinD("ths_adjustment_nv_fund",L$3,$A478))</x:f>
        <x:v>#NAME?</x:v>
      </x:c>
      <x:c r="M478" s="146" t="e">
        <x:f>IF($A478="","",[1]!thsiFinD("ths_adjustment_nv_fund",M$3,$A478))</x:f>
        <x:v>#NAME?</x:v>
      </x:c>
      <x:c r="N478" s="146" t="e">
        <x:f>IF($A478="","",[1]!thsiFinD("ths_adjustment_nv_fund",N$3,$A478))</x:f>
        <x:v>#NAME?</x:v>
      </x:c>
      <x:c r="O478" s="146" t="e">
        <x:f>IF($A478="","",[1]!thsiFinD("ths_adjustment_nv_fund",O$3,$A478))</x:f>
        <x:v>#NAME?</x:v>
      </x:c>
      <x:c r="P478" s="146" t="e">
        <x:f>IF($A478="","",[1]!thsiFinD("ths_adjustment_nv_fund",P$3,$A478))</x:f>
        <x:v>#NAME?</x:v>
      </x:c>
      <x:c r="Q478" s="146" t="e">
        <x:f>IF($A478="","",[1]!thsiFinD("ths_adjustment_nv_fund",Q$3,$A478))</x:f>
        <x:v>#NAME?</x:v>
      </x:c>
      <x:c r="R478" s="146" t="e">
        <x:f>IF($A478="","",[1]!thsiFinD("ths_adjustment_nv_fund",R$3,$A478))</x:f>
        <x:v>#NAME?</x:v>
      </x:c>
      <x:c r="S478" s="146" t="e">
        <x:f>IF($A478="","",[1]!thsiFinD("ths_adjustment_nv_fund",S$3,$A478))</x:f>
        <x:v>#NAME?</x:v>
      </x:c>
      <x:c r="T478" s="146" t="e">
        <x:f>IF($A478="","",[1]!thsiFinD("ths_adjustment_nv_fund",T$3,$A478))</x:f>
        <x:v>#NAME?</x:v>
      </x:c>
      <x:c r="U478" s="146" t="e">
        <x:f>IF($A478="","",[1]!thsiFinD("ths_adjustment_nv_fund",U$3,$A478))</x:f>
        <x:v>#NAME?</x:v>
      </x:c>
      <x:c r="V478" s="146" t="e">
        <x:f>IF($A478="","",[1]!thsiFinD("ths_adjustment_nv_fund",V$3,$A478))</x:f>
        <x:v>#NAME?</x:v>
      </x:c>
      <x:c r="W478" s="146" t="e">
        <x:f>IF($A478="","",[1]!thsiFinD("ths_adjustment_nv_fund",W$3,$A478))</x:f>
        <x:v>#NAME?</x:v>
      </x:c>
      <x:c r="X478" s="146" t="e">
        <x:f>IF($A478="","",[1]!thsiFinD("ths_adjustment_nv_fund",X$3,$A478))</x:f>
        <x:v>#NAME?</x:v>
      </x:c>
      <x:c r="Y478" s="146" t="e">
        <x:f>IF($A478="","",[1]!thsiFinD("ths_adjustment_nv_fund",Y$3,$A478))</x:f>
        <x:v>#NAME?</x:v>
      </x:c>
      <x:c r="Z478" s="146" t="e">
        <x:f>IF($A478="","",[1]!thsiFinD("ths_adjustment_nv_fund",Z$3,$A478))</x:f>
        <x:v>#NAME?</x:v>
      </x:c>
      <x:c r="AA478" s="146" t="e">
        <x:f>IF($A478="","",[1]!thsiFinD("ths_adjustment_nv_fund",AA$3,$A478))</x:f>
        <x:v>#NAME?</x:v>
      </x:c>
    </x:row>
    <x:row r="479">
      <x:c r="B479" s="146" t="e">
        <x:f>IF($A479="","",[1]!thsiFinD("ths_adjustment_nv_fund",B$3,$A479))</x:f>
        <x:v>#NAME?</x:v>
      </x:c>
      <x:c r="C479" s="146" t="e">
        <x:f>IF($A479="","",[1]!thsiFinD("ths_adjustment_nv_fund",C$3,$A479))</x:f>
        <x:v>#NAME?</x:v>
      </x:c>
      <x:c r="D479" s="146" t="e">
        <x:f>IF($A479="","",[1]!thsiFinD("ths_adjustment_nv_fund",D$3,$A479))</x:f>
        <x:v>#NAME?</x:v>
      </x:c>
      <x:c r="E479" s="146" t="e">
        <x:f>IF($A479="","",[1]!thsiFinD("ths_adjustment_nv_fund",E$3,$A479))</x:f>
        <x:v>#NAME?</x:v>
      </x:c>
      <x:c r="F479" s="146" t="e">
        <x:f>IF($A479="","",[1]!thsiFinD("ths_adjustment_nv_fund",F$3,$A479))</x:f>
        <x:v>#NAME?</x:v>
      </x:c>
      <x:c r="G479" s="146" t="e">
        <x:f>IF($A479="","",[1]!thsiFinD("ths_adjustment_nv_fund",G$3,$A479))</x:f>
        <x:v>#NAME?</x:v>
      </x:c>
      <x:c r="H479" s="146" t="e">
        <x:f>IF($A479="","",[1]!thsiFinD("ths_adjustment_nv_fund",H$3,$A479))</x:f>
        <x:v>#NAME?</x:v>
      </x:c>
      <x:c r="I479" s="146" t="e">
        <x:f>IF($A479="","",[1]!thsiFinD("ths_adjustment_nv_fund",I$3,$A479))</x:f>
        <x:v>#NAME?</x:v>
      </x:c>
      <x:c r="J479" s="146" t="e">
        <x:f>IF($A479="","",[1]!thsiFinD("ths_adjustment_nv_fund",J$3,$A479))</x:f>
        <x:v>#NAME?</x:v>
      </x:c>
      <x:c r="K479" s="146" t="e">
        <x:f>IF($A479="","",[1]!thsiFinD("ths_adjustment_nv_fund",K$3,$A479))</x:f>
        <x:v>#NAME?</x:v>
      </x:c>
      <x:c r="L479" s="146" t="e">
        <x:f>IF($A479="","",[1]!thsiFinD("ths_adjustment_nv_fund",L$3,$A479))</x:f>
        <x:v>#NAME?</x:v>
      </x:c>
      <x:c r="M479" s="146" t="e">
        <x:f>IF($A479="","",[1]!thsiFinD("ths_adjustment_nv_fund",M$3,$A479))</x:f>
        <x:v>#NAME?</x:v>
      </x:c>
      <x:c r="N479" s="146" t="e">
        <x:f>IF($A479="","",[1]!thsiFinD("ths_adjustment_nv_fund",N$3,$A479))</x:f>
        <x:v>#NAME?</x:v>
      </x:c>
      <x:c r="O479" s="146" t="e">
        <x:f>IF($A479="","",[1]!thsiFinD("ths_adjustment_nv_fund",O$3,$A479))</x:f>
        <x:v>#NAME?</x:v>
      </x:c>
      <x:c r="P479" s="146" t="e">
        <x:f>IF($A479="","",[1]!thsiFinD("ths_adjustment_nv_fund",P$3,$A479))</x:f>
        <x:v>#NAME?</x:v>
      </x:c>
      <x:c r="Q479" s="146" t="e">
        <x:f>IF($A479="","",[1]!thsiFinD("ths_adjustment_nv_fund",Q$3,$A479))</x:f>
        <x:v>#NAME?</x:v>
      </x:c>
      <x:c r="R479" s="146" t="e">
        <x:f>IF($A479="","",[1]!thsiFinD("ths_adjustment_nv_fund",R$3,$A479))</x:f>
        <x:v>#NAME?</x:v>
      </x:c>
      <x:c r="S479" s="146" t="e">
        <x:f>IF($A479="","",[1]!thsiFinD("ths_adjustment_nv_fund",S$3,$A479))</x:f>
        <x:v>#NAME?</x:v>
      </x:c>
      <x:c r="T479" s="146" t="e">
        <x:f>IF($A479="","",[1]!thsiFinD("ths_adjustment_nv_fund",T$3,$A479))</x:f>
        <x:v>#NAME?</x:v>
      </x:c>
      <x:c r="U479" s="146" t="e">
        <x:f>IF($A479="","",[1]!thsiFinD("ths_adjustment_nv_fund",U$3,$A479))</x:f>
        <x:v>#NAME?</x:v>
      </x:c>
      <x:c r="V479" s="146" t="e">
        <x:f>IF($A479="","",[1]!thsiFinD("ths_adjustment_nv_fund",V$3,$A479))</x:f>
        <x:v>#NAME?</x:v>
      </x:c>
      <x:c r="W479" s="146" t="e">
        <x:f>IF($A479="","",[1]!thsiFinD("ths_adjustment_nv_fund",W$3,$A479))</x:f>
        <x:v>#NAME?</x:v>
      </x:c>
      <x:c r="X479" s="146" t="e">
        <x:f>IF($A479="","",[1]!thsiFinD("ths_adjustment_nv_fund",X$3,$A479))</x:f>
        <x:v>#NAME?</x:v>
      </x:c>
      <x:c r="Y479" s="146" t="e">
        <x:f>IF($A479="","",[1]!thsiFinD("ths_adjustment_nv_fund",Y$3,$A479))</x:f>
        <x:v>#NAME?</x:v>
      </x:c>
      <x:c r="Z479" s="146" t="e">
        <x:f>IF($A479="","",[1]!thsiFinD("ths_adjustment_nv_fund",Z$3,$A479))</x:f>
        <x:v>#NAME?</x:v>
      </x:c>
      <x:c r="AA479" s="146" t="e">
        <x:f>IF($A479="","",[1]!thsiFinD("ths_adjustment_nv_fund",AA$3,$A479))</x:f>
        <x:v>#NAME?</x:v>
      </x:c>
    </x:row>
    <x:row r="480">
      <x:c r="B480" s="146" t="e">
        <x:f>IF($A480="","",[1]!thsiFinD("ths_adjustment_nv_fund",B$3,$A480))</x:f>
        <x:v>#NAME?</x:v>
      </x:c>
      <x:c r="C480" s="146" t="e">
        <x:f>IF($A480="","",[1]!thsiFinD("ths_adjustment_nv_fund",C$3,$A480))</x:f>
        <x:v>#NAME?</x:v>
      </x:c>
      <x:c r="D480" s="146" t="e">
        <x:f>IF($A480="","",[1]!thsiFinD("ths_adjustment_nv_fund",D$3,$A480))</x:f>
        <x:v>#NAME?</x:v>
      </x:c>
      <x:c r="E480" s="146" t="e">
        <x:f>IF($A480="","",[1]!thsiFinD("ths_adjustment_nv_fund",E$3,$A480))</x:f>
        <x:v>#NAME?</x:v>
      </x:c>
      <x:c r="F480" s="146" t="e">
        <x:f>IF($A480="","",[1]!thsiFinD("ths_adjustment_nv_fund",F$3,$A480))</x:f>
        <x:v>#NAME?</x:v>
      </x:c>
      <x:c r="G480" s="146" t="e">
        <x:f>IF($A480="","",[1]!thsiFinD("ths_adjustment_nv_fund",G$3,$A480))</x:f>
        <x:v>#NAME?</x:v>
      </x:c>
      <x:c r="H480" s="146" t="e">
        <x:f>IF($A480="","",[1]!thsiFinD("ths_adjustment_nv_fund",H$3,$A480))</x:f>
        <x:v>#NAME?</x:v>
      </x:c>
      <x:c r="I480" s="146" t="e">
        <x:f>IF($A480="","",[1]!thsiFinD("ths_adjustment_nv_fund",I$3,$A480))</x:f>
        <x:v>#NAME?</x:v>
      </x:c>
      <x:c r="J480" s="146" t="e">
        <x:f>IF($A480="","",[1]!thsiFinD("ths_adjustment_nv_fund",J$3,$A480))</x:f>
        <x:v>#NAME?</x:v>
      </x:c>
      <x:c r="K480" s="146" t="e">
        <x:f>IF($A480="","",[1]!thsiFinD("ths_adjustment_nv_fund",K$3,$A480))</x:f>
        <x:v>#NAME?</x:v>
      </x:c>
      <x:c r="L480" s="146" t="e">
        <x:f>IF($A480="","",[1]!thsiFinD("ths_adjustment_nv_fund",L$3,$A480))</x:f>
        <x:v>#NAME?</x:v>
      </x:c>
      <x:c r="M480" s="146" t="e">
        <x:f>IF($A480="","",[1]!thsiFinD("ths_adjustment_nv_fund",M$3,$A480))</x:f>
        <x:v>#NAME?</x:v>
      </x:c>
      <x:c r="N480" s="146" t="e">
        <x:f>IF($A480="","",[1]!thsiFinD("ths_adjustment_nv_fund",N$3,$A480))</x:f>
        <x:v>#NAME?</x:v>
      </x:c>
      <x:c r="O480" s="146" t="e">
        <x:f>IF($A480="","",[1]!thsiFinD("ths_adjustment_nv_fund",O$3,$A480))</x:f>
        <x:v>#NAME?</x:v>
      </x:c>
      <x:c r="P480" s="146" t="e">
        <x:f>IF($A480="","",[1]!thsiFinD("ths_adjustment_nv_fund",P$3,$A480))</x:f>
        <x:v>#NAME?</x:v>
      </x:c>
      <x:c r="Q480" s="146" t="e">
        <x:f>IF($A480="","",[1]!thsiFinD("ths_adjustment_nv_fund",Q$3,$A480))</x:f>
        <x:v>#NAME?</x:v>
      </x:c>
      <x:c r="R480" s="146" t="e">
        <x:f>IF($A480="","",[1]!thsiFinD("ths_adjustment_nv_fund",R$3,$A480))</x:f>
        <x:v>#NAME?</x:v>
      </x:c>
      <x:c r="S480" s="146" t="e">
        <x:f>IF($A480="","",[1]!thsiFinD("ths_adjustment_nv_fund",S$3,$A480))</x:f>
        <x:v>#NAME?</x:v>
      </x:c>
      <x:c r="T480" s="146" t="e">
        <x:f>IF($A480="","",[1]!thsiFinD("ths_adjustment_nv_fund",T$3,$A480))</x:f>
        <x:v>#NAME?</x:v>
      </x:c>
      <x:c r="U480" s="146" t="e">
        <x:f>IF($A480="","",[1]!thsiFinD("ths_adjustment_nv_fund",U$3,$A480))</x:f>
        <x:v>#NAME?</x:v>
      </x:c>
      <x:c r="V480" s="146" t="e">
        <x:f>IF($A480="","",[1]!thsiFinD("ths_adjustment_nv_fund",V$3,$A480))</x:f>
        <x:v>#NAME?</x:v>
      </x:c>
      <x:c r="W480" s="146" t="e">
        <x:f>IF($A480="","",[1]!thsiFinD("ths_adjustment_nv_fund",W$3,$A480))</x:f>
        <x:v>#NAME?</x:v>
      </x:c>
      <x:c r="X480" s="146" t="e">
        <x:f>IF($A480="","",[1]!thsiFinD("ths_adjustment_nv_fund",X$3,$A480))</x:f>
        <x:v>#NAME?</x:v>
      </x:c>
      <x:c r="Y480" s="146" t="e">
        <x:f>IF($A480="","",[1]!thsiFinD("ths_adjustment_nv_fund",Y$3,$A480))</x:f>
        <x:v>#NAME?</x:v>
      </x:c>
      <x:c r="Z480" s="146" t="e">
        <x:f>IF($A480="","",[1]!thsiFinD("ths_adjustment_nv_fund",Z$3,$A480))</x:f>
        <x:v>#NAME?</x:v>
      </x:c>
      <x:c r="AA480" s="146" t="e">
        <x:f>IF($A480="","",[1]!thsiFinD("ths_adjustment_nv_fund",AA$3,$A480))</x:f>
        <x:v>#NAME?</x:v>
      </x:c>
    </x:row>
    <x:row r="481">
      <x:c r="B481" s="146" t="e">
        <x:f>IF($A481="","",[1]!thsiFinD("ths_adjustment_nv_fund",B$3,$A481))</x:f>
        <x:v>#NAME?</x:v>
      </x:c>
      <x:c r="C481" s="146" t="e">
        <x:f>IF($A481="","",[1]!thsiFinD("ths_adjustment_nv_fund",C$3,$A481))</x:f>
        <x:v>#NAME?</x:v>
      </x:c>
      <x:c r="D481" s="146" t="e">
        <x:f>IF($A481="","",[1]!thsiFinD("ths_adjustment_nv_fund",D$3,$A481))</x:f>
        <x:v>#NAME?</x:v>
      </x:c>
      <x:c r="E481" s="146" t="e">
        <x:f>IF($A481="","",[1]!thsiFinD("ths_adjustment_nv_fund",E$3,$A481))</x:f>
        <x:v>#NAME?</x:v>
      </x:c>
      <x:c r="F481" s="146" t="e">
        <x:f>IF($A481="","",[1]!thsiFinD("ths_adjustment_nv_fund",F$3,$A481))</x:f>
        <x:v>#NAME?</x:v>
      </x:c>
      <x:c r="G481" s="146" t="e">
        <x:f>IF($A481="","",[1]!thsiFinD("ths_adjustment_nv_fund",G$3,$A481))</x:f>
        <x:v>#NAME?</x:v>
      </x:c>
      <x:c r="H481" s="146" t="e">
        <x:f>IF($A481="","",[1]!thsiFinD("ths_adjustment_nv_fund",H$3,$A481))</x:f>
        <x:v>#NAME?</x:v>
      </x:c>
      <x:c r="I481" s="146" t="e">
        <x:f>IF($A481="","",[1]!thsiFinD("ths_adjustment_nv_fund",I$3,$A481))</x:f>
        <x:v>#NAME?</x:v>
      </x:c>
      <x:c r="J481" s="146" t="e">
        <x:f>IF($A481="","",[1]!thsiFinD("ths_adjustment_nv_fund",J$3,$A481))</x:f>
        <x:v>#NAME?</x:v>
      </x:c>
      <x:c r="K481" s="146" t="e">
        <x:f>IF($A481="","",[1]!thsiFinD("ths_adjustment_nv_fund",K$3,$A481))</x:f>
        <x:v>#NAME?</x:v>
      </x:c>
      <x:c r="L481" s="146" t="e">
        <x:f>IF($A481="","",[1]!thsiFinD("ths_adjustment_nv_fund",L$3,$A481))</x:f>
        <x:v>#NAME?</x:v>
      </x:c>
      <x:c r="M481" s="146" t="e">
        <x:f>IF($A481="","",[1]!thsiFinD("ths_adjustment_nv_fund",M$3,$A481))</x:f>
        <x:v>#NAME?</x:v>
      </x:c>
      <x:c r="N481" s="146" t="e">
        <x:f>IF($A481="","",[1]!thsiFinD("ths_adjustment_nv_fund",N$3,$A481))</x:f>
        <x:v>#NAME?</x:v>
      </x:c>
      <x:c r="O481" s="146" t="e">
        <x:f>IF($A481="","",[1]!thsiFinD("ths_adjustment_nv_fund",O$3,$A481))</x:f>
        <x:v>#NAME?</x:v>
      </x:c>
      <x:c r="P481" s="146" t="e">
        <x:f>IF($A481="","",[1]!thsiFinD("ths_adjustment_nv_fund",P$3,$A481))</x:f>
        <x:v>#NAME?</x:v>
      </x:c>
      <x:c r="Q481" s="146" t="e">
        <x:f>IF($A481="","",[1]!thsiFinD("ths_adjustment_nv_fund",Q$3,$A481))</x:f>
        <x:v>#NAME?</x:v>
      </x:c>
      <x:c r="R481" s="146" t="e">
        <x:f>IF($A481="","",[1]!thsiFinD("ths_adjustment_nv_fund",R$3,$A481))</x:f>
        <x:v>#NAME?</x:v>
      </x:c>
      <x:c r="S481" s="146" t="e">
        <x:f>IF($A481="","",[1]!thsiFinD("ths_adjustment_nv_fund",S$3,$A481))</x:f>
        <x:v>#NAME?</x:v>
      </x:c>
      <x:c r="T481" s="146" t="e">
        <x:f>IF($A481="","",[1]!thsiFinD("ths_adjustment_nv_fund",T$3,$A481))</x:f>
        <x:v>#NAME?</x:v>
      </x:c>
      <x:c r="U481" s="146" t="e">
        <x:f>IF($A481="","",[1]!thsiFinD("ths_adjustment_nv_fund",U$3,$A481))</x:f>
        <x:v>#NAME?</x:v>
      </x:c>
      <x:c r="V481" s="146" t="e">
        <x:f>IF($A481="","",[1]!thsiFinD("ths_adjustment_nv_fund",V$3,$A481))</x:f>
        <x:v>#NAME?</x:v>
      </x:c>
      <x:c r="W481" s="146" t="e">
        <x:f>IF($A481="","",[1]!thsiFinD("ths_adjustment_nv_fund",W$3,$A481))</x:f>
        <x:v>#NAME?</x:v>
      </x:c>
      <x:c r="X481" s="146" t="e">
        <x:f>IF($A481="","",[1]!thsiFinD("ths_adjustment_nv_fund",X$3,$A481))</x:f>
        <x:v>#NAME?</x:v>
      </x:c>
      <x:c r="Y481" s="146" t="e">
        <x:f>IF($A481="","",[1]!thsiFinD("ths_adjustment_nv_fund",Y$3,$A481))</x:f>
        <x:v>#NAME?</x:v>
      </x:c>
      <x:c r="Z481" s="146" t="e">
        <x:f>IF($A481="","",[1]!thsiFinD("ths_adjustment_nv_fund",Z$3,$A481))</x:f>
        <x:v>#NAME?</x:v>
      </x:c>
      <x:c r="AA481" s="146" t="e">
        <x:f>IF($A481="","",[1]!thsiFinD("ths_adjustment_nv_fund",AA$3,$A481))</x:f>
        <x:v>#NAME?</x:v>
      </x:c>
    </x:row>
    <x:row r="482">
      <x:c r="B482" s="146" t="e">
        <x:f>IF($A482="","",[1]!thsiFinD("ths_adjustment_nv_fund",B$3,$A482))</x:f>
        <x:v>#NAME?</x:v>
      </x:c>
      <x:c r="C482" s="146" t="e">
        <x:f>IF($A482="","",[1]!thsiFinD("ths_adjustment_nv_fund",C$3,$A482))</x:f>
        <x:v>#NAME?</x:v>
      </x:c>
      <x:c r="D482" s="146" t="e">
        <x:f>IF($A482="","",[1]!thsiFinD("ths_adjustment_nv_fund",D$3,$A482))</x:f>
        <x:v>#NAME?</x:v>
      </x:c>
      <x:c r="E482" s="146" t="e">
        <x:f>IF($A482="","",[1]!thsiFinD("ths_adjustment_nv_fund",E$3,$A482))</x:f>
        <x:v>#NAME?</x:v>
      </x:c>
      <x:c r="F482" s="146" t="e">
        <x:f>IF($A482="","",[1]!thsiFinD("ths_adjustment_nv_fund",F$3,$A482))</x:f>
        <x:v>#NAME?</x:v>
      </x:c>
      <x:c r="G482" s="146" t="e">
        <x:f>IF($A482="","",[1]!thsiFinD("ths_adjustment_nv_fund",G$3,$A482))</x:f>
        <x:v>#NAME?</x:v>
      </x:c>
      <x:c r="H482" s="146" t="e">
        <x:f>IF($A482="","",[1]!thsiFinD("ths_adjustment_nv_fund",H$3,$A482))</x:f>
        <x:v>#NAME?</x:v>
      </x:c>
      <x:c r="I482" s="146" t="e">
        <x:f>IF($A482="","",[1]!thsiFinD("ths_adjustment_nv_fund",I$3,$A482))</x:f>
        <x:v>#NAME?</x:v>
      </x:c>
      <x:c r="J482" s="146" t="e">
        <x:f>IF($A482="","",[1]!thsiFinD("ths_adjustment_nv_fund",J$3,$A482))</x:f>
        <x:v>#NAME?</x:v>
      </x:c>
      <x:c r="K482" s="146" t="e">
        <x:f>IF($A482="","",[1]!thsiFinD("ths_adjustment_nv_fund",K$3,$A482))</x:f>
        <x:v>#NAME?</x:v>
      </x:c>
      <x:c r="L482" s="146" t="e">
        <x:f>IF($A482="","",[1]!thsiFinD("ths_adjustment_nv_fund",L$3,$A482))</x:f>
        <x:v>#NAME?</x:v>
      </x:c>
      <x:c r="M482" s="146" t="e">
        <x:f>IF($A482="","",[1]!thsiFinD("ths_adjustment_nv_fund",M$3,$A482))</x:f>
        <x:v>#NAME?</x:v>
      </x:c>
      <x:c r="N482" s="146" t="e">
        <x:f>IF($A482="","",[1]!thsiFinD("ths_adjustment_nv_fund",N$3,$A482))</x:f>
        <x:v>#NAME?</x:v>
      </x:c>
      <x:c r="O482" s="146" t="e">
        <x:f>IF($A482="","",[1]!thsiFinD("ths_adjustment_nv_fund",O$3,$A482))</x:f>
        <x:v>#NAME?</x:v>
      </x:c>
      <x:c r="P482" s="146" t="e">
        <x:f>IF($A482="","",[1]!thsiFinD("ths_adjustment_nv_fund",P$3,$A482))</x:f>
        <x:v>#NAME?</x:v>
      </x:c>
      <x:c r="Q482" s="146" t="e">
        <x:f>IF($A482="","",[1]!thsiFinD("ths_adjustment_nv_fund",Q$3,$A482))</x:f>
        <x:v>#NAME?</x:v>
      </x:c>
      <x:c r="R482" s="146" t="e">
        <x:f>IF($A482="","",[1]!thsiFinD("ths_adjustment_nv_fund",R$3,$A482))</x:f>
        <x:v>#NAME?</x:v>
      </x:c>
      <x:c r="S482" s="146" t="e">
        <x:f>IF($A482="","",[1]!thsiFinD("ths_adjustment_nv_fund",S$3,$A482))</x:f>
        <x:v>#NAME?</x:v>
      </x:c>
      <x:c r="T482" s="146" t="e">
        <x:f>IF($A482="","",[1]!thsiFinD("ths_adjustment_nv_fund",T$3,$A482))</x:f>
        <x:v>#NAME?</x:v>
      </x:c>
      <x:c r="U482" s="146" t="e">
        <x:f>IF($A482="","",[1]!thsiFinD("ths_adjustment_nv_fund",U$3,$A482))</x:f>
        <x:v>#NAME?</x:v>
      </x:c>
      <x:c r="V482" s="146" t="e">
        <x:f>IF($A482="","",[1]!thsiFinD("ths_adjustment_nv_fund",V$3,$A482))</x:f>
        <x:v>#NAME?</x:v>
      </x:c>
      <x:c r="W482" s="146" t="e">
        <x:f>IF($A482="","",[1]!thsiFinD("ths_adjustment_nv_fund",W$3,$A482))</x:f>
        <x:v>#NAME?</x:v>
      </x:c>
      <x:c r="X482" s="146" t="e">
        <x:f>IF($A482="","",[1]!thsiFinD("ths_adjustment_nv_fund",X$3,$A482))</x:f>
        <x:v>#NAME?</x:v>
      </x:c>
      <x:c r="Y482" s="146" t="e">
        <x:f>IF($A482="","",[1]!thsiFinD("ths_adjustment_nv_fund",Y$3,$A482))</x:f>
        <x:v>#NAME?</x:v>
      </x:c>
      <x:c r="Z482" s="146" t="e">
        <x:f>IF($A482="","",[1]!thsiFinD("ths_adjustment_nv_fund",Z$3,$A482))</x:f>
        <x:v>#NAME?</x:v>
      </x:c>
      <x:c r="AA482" s="146" t="e">
        <x:f>IF($A482="","",[1]!thsiFinD("ths_adjustment_nv_fund",AA$3,$A482))</x:f>
        <x:v>#NAME?</x:v>
      </x:c>
    </x:row>
    <x:row r="483">
      <x:c r="B483" s="146" t="e">
        <x:f>IF($A483="","",[1]!thsiFinD("ths_adjustment_nv_fund",B$3,$A483))</x:f>
        <x:v>#NAME?</x:v>
      </x:c>
      <x:c r="C483" s="146" t="e">
        <x:f>IF($A483="","",[1]!thsiFinD("ths_adjustment_nv_fund",C$3,$A483))</x:f>
        <x:v>#NAME?</x:v>
      </x:c>
      <x:c r="D483" s="146" t="e">
        <x:f>IF($A483="","",[1]!thsiFinD("ths_adjustment_nv_fund",D$3,$A483))</x:f>
        <x:v>#NAME?</x:v>
      </x:c>
      <x:c r="E483" s="146" t="e">
        <x:f>IF($A483="","",[1]!thsiFinD("ths_adjustment_nv_fund",E$3,$A483))</x:f>
        <x:v>#NAME?</x:v>
      </x:c>
      <x:c r="F483" s="146" t="e">
        <x:f>IF($A483="","",[1]!thsiFinD("ths_adjustment_nv_fund",F$3,$A483))</x:f>
        <x:v>#NAME?</x:v>
      </x:c>
      <x:c r="G483" s="146" t="e">
        <x:f>IF($A483="","",[1]!thsiFinD("ths_adjustment_nv_fund",G$3,$A483))</x:f>
        <x:v>#NAME?</x:v>
      </x:c>
      <x:c r="H483" s="146" t="e">
        <x:f>IF($A483="","",[1]!thsiFinD("ths_adjustment_nv_fund",H$3,$A483))</x:f>
        <x:v>#NAME?</x:v>
      </x:c>
      <x:c r="I483" s="146" t="e">
        <x:f>IF($A483="","",[1]!thsiFinD("ths_adjustment_nv_fund",I$3,$A483))</x:f>
        <x:v>#NAME?</x:v>
      </x:c>
      <x:c r="J483" s="146" t="e">
        <x:f>IF($A483="","",[1]!thsiFinD("ths_adjustment_nv_fund",J$3,$A483))</x:f>
        <x:v>#NAME?</x:v>
      </x:c>
      <x:c r="K483" s="146" t="e">
        <x:f>IF($A483="","",[1]!thsiFinD("ths_adjustment_nv_fund",K$3,$A483))</x:f>
        <x:v>#NAME?</x:v>
      </x:c>
      <x:c r="L483" s="146" t="e">
        <x:f>IF($A483="","",[1]!thsiFinD("ths_adjustment_nv_fund",L$3,$A483))</x:f>
        <x:v>#NAME?</x:v>
      </x:c>
      <x:c r="M483" s="146" t="e">
        <x:f>IF($A483="","",[1]!thsiFinD("ths_adjustment_nv_fund",M$3,$A483))</x:f>
        <x:v>#NAME?</x:v>
      </x:c>
      <x:c r="N483" s="146" t="e">
        <x:f>IF($A483="","",[1]!thsiFinD("ths_adjustment_nv_fund",N$3,$A483))</x:f>
        <x:v>#NAME?</x:v>
      </x:c>
      <x:c r="O483" s="146" t="e">
        <x:f>IF($A483="","",[1]!thsiFinD("ths_adjustment_nv_fund",O$3,$A483))</x:f>
        <x:v>#NAME?</x:v>
      </x:c>
      <x:c r="P483" s="146" t="e">
        <x:f>IF($A483="","",[1]!thsiFinD("ths_adjustment_nv_fund",P$3,$A483))</x:f>
        <x:v>#NAME?</x:v>
      </x:c>
      <x:c r="Q483" s="146" t="e">
        <x:f>IF($A483="","",[1]!thsiFinD("ths_adjustment_nv_fund",Q$3,$A483))</x:f>
        <x:v>#NAME?</x:v>
      </x:c>
      <x:c r="R483" s="146" t="e">
        <x:f>IF($A483="","",[1]!thsiFinD("ths_adjustment_nv_fund",R$3,$A483))</x:f>
        <x:v>#NAME?</x:v>
      </x:c>
      <x:c r="S483" s="146" t="e">
        <x:f>IF($A483="","",[1]!thsiFinD("ths_adjustment_nv_fund",S$3,$A483))</x:f>
        <x:v>#NAME?</x:v>
      </x:c>
      <x:c r="T483" s="146" t="e">
        <x:f>IF($A483="","",[1]!thsiFinD("ths_adjustment_nv_fund",T$3,$A483))</x:f>
        <x:v>#NAME?</x:v>
      </x:c>
      <x:c r="U483" s="146" t="e">
        <x:f>IF($A483="","",[1]!thsiFinD("ths_adjustment_nv_fund",U$3,$A483))</x:f>
        <x:v>#NAME?</x:v>
      </x:c>
      <x:c r="V483" s="146" t="e">
        <x:f>IF($A483="","",[1]!thsiFinD("ths_adjustment_nv_fund",V$3,$A483))</x:f>
        <x:v>#NAME?</x:v>
      </x:c>
      <x:c r="W483" s="146" t="e">
        <x:f>IF($A483="","",[1]!thsiFinD("ths_adjustment_nv_fund",W$3,$A483))</x:f>
        <x:v>#NAME?</x:v>
      </x:c>
      <x:c r="X483" s="146" t="e">
        <x:f>IF($A483="","",[1]!thsiFinD("ths_adjustment_nv_fund",X$3,$A483))</x:f>
        <x:v>#NAME?</x:v>
      </x:c>
      <x:c r="Y483" s="146" t="e">
        <x:f>IF($A483="","",[1]!thsiFinD("ths_adjustment_nv_fund",Y$3,$A483))</x:f>
        <x:v>#NAME?</x:v>
      </x:c>
      <x:c r="Z483" s="146" t="e">
        <x:f>IF($A483="","",[1]!thsiFinD("ths_adjustment_nv_fund",Z$3,$A483))</x:f>
        <x:v>#NAME?</x:v>
      </x:c>
      <x:c r="AA483" s="146" t="e">
        <x:f>IF($A483="","",[1]!thsiFinD("ths_adjustment_nv_fund",AA$3,$A483))</x:f>
        <x:v>#NAME?</x:v>
      </x:c>
    </x:row>
    <x:row r="484">
      <x:c r="B484" s="146" t="e">
        <x:f>IF($A484="","",[1]!thsiFinD("ths_adjustment_nv_fund",B$3,$A484))</x:f>
        <x:v>#NAME?</x:v>
      </x:c>
      <x:c r="C484" s="146" t="e">
        <x:f>IF($A484="","",[1]!thsiFinD("ths_adjustment_nv_fund",C$3,$A484))</x:f>
        <x:v>#NAME?</x:v>
      </x:c>
      <x:c r="D484" s="146" t="e">
        <x:f>IF($A484="","",[1]!thsiFinD("ths_adjustment_nv_fund",D$3,$A484))</x:f>
        <x:v>#NAME?</x:v>
      </x:c>
      <x:c r="E484" s="146" t="e">
        <x:f>IF($A484="","",[1]!thsiFinD("ths_adjustment_nv_fund",E$3,$A484))</x:f>
        <x:v>#NAME?</x:v>
      </x:c>
      <x:c r="F484" s="146" t="e">
        <x:f>IF($A484="","",[1]!thsiFinD("ths_adjustment_nv_fund",F$3,$A484))</x:f>
        <x:v>#NAME?</x:v>
      </x:c>
      <x:c r="G484" s="146" t="e">
        <x:f>IF($A484="","",[1]!thsiFinD("ths_adjustment_nv_fund",G$3,$A484))</x:f>
        <x:v>#NAME?</x:v>
      </x:c>
      <x:c r="H484" s="146" t="e">
        <x:f>IF($A484="","",[1]!thsiFinD("ths_adjustment_nv_fund",H$3,$A484))</x:f>
        <x:v>#NAME?</x:v>
      </x:c>
      <x:c r="I484" s="146" t="e">
        <x:f>IF($A484="","",[1]!thsiFinD("ths_adjustment_nv_fund",I$3,$A484))</x:f>
        <x:v>#NAME?</x:v>
      </x:c>
      <x:c r="J484" s="146" t="e">
        <x:f>IF($A484="","",[1]!thsiFinD("ths_adjustment_nv_fund",J$3,$A484))</x:f>
        <x:v>#NAME?</x:v>
      </x:c>
      <x:c r="K484" s="146" t="e">
        <x:f>IF($A484="","",[1]!thsiFinD("ths_adjustment_nv_fund",K$3,$A484))</x:f>
        <x:v>#NAME?</x:v>
      </x:c>
      <x:c r="L484" s="146" t="e">
        <x:f>IF($A484="","",[1]!thsiFinD("ths_adjustment_nv_fund",L$3,$A484))</x:f>
        <x:v>#NAME?</x:v>
      </x:c>
      <x:c r="M484" s="146" t="e">
        <x:f>IF($A484="","",[1]!thsiFinD("ths_adjustment_nv_fund",M$3,$A484))</x:f>
        <x:v>#NAME?</x:v>
      </x:c>
      <x:c r="N484" s="146" t="e">
        <x:f>IF($A484="","",[1]!thsiFinD("ths_adjustment_nv_fund",N$3,$A484))</x:f>
        <x:v>#NAME?</x:v>
      </x:c>
      <x:c r="O484" s="146" t="e">
        <x:f>IF($A484="","",[1]!thsiFinD("ths_adjustment_nv_fund",O$3,$A484))</x:f>
        <x:v>#NAME?</x:v>
      </x:c>
      <x:c r="P484" s="146" t="e">
        <x:f>IF($A484="","",[1]!thsiFinD("ths_adjustment_nv_fund",P$3,$A484))</x:f>
        <x:v>#NAME?</x:v>
      </x:c>
      <x:c r="Q484" s="146" t="e">
        <x:f>IF($A484="","",[1]!thsiFinD("ths_adjustment_nv_fund",Q$3,$A484))</x:f>
        <x:v>#NAME?</x:v>
      </x:c>
      <x:c r="R484" s="146" t="e">
        <x:f>IF($A484="","",[1]!thsiFinD("ths_adjustment_nv_fund",R$3,$A484))</x:f>
        <x:v>#NAME?</x:v>
      </x:c>
      <x:c r="S484" s="146" t="e">
        <x:f>IF($A484="","",[1]!thsiFinD("ths_adjustment_nv_fund",S$3,$A484))</x:f>
        <x:v>#NAME?</x:v>
      </x:c>
      <x:c r="T484" s="146" t="e">
        <x:f>IF($A484="","",[1]!thsiFinD("ths_adjustment_nv_fund",T$3,$A484))</x:f>
        <x:v>#NAME?</x:v>
      </x:c>
      <x:c r="U484" s="146" t="e">
        <x:f>IF($A484="","",[1]!thsiFinD("ths_adjustment_nv_fund",U$3,$A484))</x:f>
        <x:v>#NAME?</x:v>
      </x:c>
      <x:c r="V484" s="146" t="e">
        <x:f>IF($A484="","",[1]!thsiFinD("ths_adjustment_nv_fund",V$3,$A484))</x:f>
        <x:v>#NAME?</x:v>
      </x:c>
      <x:c r="W484" s="146" t="e">
        <x:f>IF($A484="","",[1]!thsiFinD("ths_adjustment_nv_fund",W$3,$A484))</x:f>
        <x:v>#NAME?</x:v>
      </x:c>
      <x:c r="X484" s="146" t="e">
        <x:f>IF($A484="","",[1]!thsiFinD("ths_adjustment_nv_fund",X$3,$A484))</x:f>
        <x:v>#NAME?</x:v>
      </x:c>
      <x:c r="Y484" s="146" t="e">
        <x:f>IF($A484="","",[1]!thsiFinD("ths_adjustment_nv_fund",Y$3,$A484))</x:f>
        <x:v>#NAME?</x:v>
      </x:c>
      <x:c r="Z484" s="146" t="e">
        <x:f>IF($A484="","",[1]!thsiFinD("ths_adjustment_nv_fund",Z$3,$A484))</x:f>
        <x:v>#NAME?</x:v>
      </x:c>
      <x:c r="AA484" s="146" t="e">
        <x:f>IF($A484="","",[1]!thsiFinD("ths_adjustment_nv_fund",AA$3,$A484))</x:f>
        <x:v>#NAME?</x:v>
      </x:c>
    </x:row>
    <x:row r="485">
      <x:c r="B485" s="146" t="e">
        <x:f>IF($A485="","",[1]!thsiFinD("ths_adjustment_nv_fund",B$3,$A485))</x:f>
        <x:v>#NAME?</x:v>
      </x:c>
      <x:c r="C485" s="146" t="e">
        <x:f>IF($A485="","",[1]!thsiFinD("ths_adjustment_nv_fund",C$3,$A485))</x:f>
        <x:v>#NAME?</x:v>
      </x:c>
      <x:c r="D485" s="146" t="e">
        <x:f>IF($A485="","",[1]!thsiFinD("ths_adjustment_nv_fund",D$3,$A485))</x:f>
        <x:v>#NAME?</x:v>
      </x:c>
      <x:c r="E485" s="146" t="e">
        <x:f>IF($A485="","",[1]!thsiFinD("ths_adjustment_nv_fund",E$3,$A485))</x:f>
        <x:v>#NAME?</x:v>
      </x:c>
      <x:c r="F485" s="146" t="e">
        <x:f>IF($A485="","",[1]!thsiFinD("ths_adjustment_nv_fund",F$3,$A485))</x:f>
        <x:v>#NAME?</x:v>
      </x:c>
      <x:c r="G485" s="146" t="e">
        <x:f>IF($A485="","",[1]!thsiFinD("ths_adjustment_nv_fund",G$3,$A485))</x:f>
        <x:v>#NAME?</x:v>
      </x:c>
      <x:c r="H485" s="146" t="e">
        <x:f>IF($A485="","",[1]!thsiFinD("ths_adjustment_nv_fund",H$3,$A485))</x:f>
        <x:v>#NAME?</x:v>
      </x:c>
      <x:c r="I485" s="146" t="e">
        <x:f>IF($A485="","",[1]!thsiFinD("ths_adjustment_nv_fund",I$3,$A485))</x:f>
        <x:v>#NAME?</x:v>
      </x:c>
      <x:c r="J485" s="146" t="e">
        <x:f>IF($A485="","",[1]!thsiFinD("ths_adjustment_nv_fund",J$3,$A485))</x:f>
        <x:v>#NAME?</x:v>
      </x:c>
      <x:c r="K485" s="146" t="e">
        <x:f>IF($A485="","",[1]!thsiFinD("ths_adjustment_nv_fund",K$3,$A485))</x:f>
        <x:v>#NAME?</x:v>
      </x:c>
      <x:c r="L485" s="146" t="e">
        <x:f>IF($A485="","",[1]!thsiFinD("ths_adjustment_nv_fund",L$3,$A485))</x:f>
        <x:v>#NAME?</x:v>
      </x:c>
      <x:c r="M485" s="146" t="e">
        <x:f>IF($A485="","",[1]!thsiFinD("ths_adjustment_nv_fund",M$3,$A485))</x:f>
        <x:v>#NAME?</x:v>
      </x:c>
      <x:c r="N485" s="146" t="e">
        <x:f>IF($A485="","",[1]!thsiFinD("ths_adjustment_nv_fund",N$3,$A485))</x:f>
        <x:v>#NAME?</x:v>
      </x:c>
      <x:c r="O485" s="146" t="e">
        <x:f>IF($A485="","",[1]!thsiFinD("ths_adjustment_nv_fund",O$3,$A485))</x:f>
        <x:v>#NAME?</x:v>
      </x:c>
      <x:c r="P485" s="146" t="e">
        <x:f>IF($A485="","",[1]!thsiFinD("ths_adjustment_nv_fund",P$3,$A485))</x:f>
        <x:v>#NAME?</x:v>
      </x:c>
      <x:c r="Q485" s="146" t="e">
        <x:f>IF($A485="","",[1]!thsiFinD("ths_adjustment_nv_fund",Q$3,$A485))</x:f>
        <x:v>#NAME?</x:v>
      </x:c>
      <x:c r="R485" s="146" t="e">
        <x:f>IF($A485="","",[1]!thsiFinD("ths_adjustment_nv_fund",R$3,$A485))</x:f>
        <x:v>#NAME?</x:v>
      </x:c>
      <x:c r="S485" s="146" t="e">
        <x:f>IF($A485="","",[1]!thsiFinD("ths_adjustment_nv_fund",S$3,$A485))</x:f>
        <x:v>#NAME?</x:v>
      </x:c>
      <x:c r="T485" s="146" t="e">
        <x:f>IF($A485="","",[1]!thsiFinD("ths_adjustment_nv_fund",T$3,$A485))</x:f>
        <x:v>#NAME?</x:v>
      </x:c>
      <x:c r="U485" s="146" t="e">
        <x:f>IF($A485="","",[1]!thsiFinD("ths_adjustment_nv_fund",U$3,$A485))</x:f>
        <x:v>#NAME?</x:v>
      </x:c>
      <x:c r="V485" s="146" t="e">
        <x:f>IF($A485="","",[1]!thsiFinD("ths_adjustment_nv_fund",V$3,$A485))</x:f>
        <x:v>#NAME?</x:v>
      </x:c>
      <x:c r="W485" s="146" t="e">
        <x:f>IF($A485="","",[1]!thsiFinD("ths_adjustment_nv_fund",W$3,$A485))</x:f>
        <x:v>#NAME?</x:v>
      </x:c>
      <x:c r="X485" s="146" t="e">
        <x:f>IF($A485="","",[1]!thsiFinD("ths_adjustment_nv_fund",X$3,$A485))</x:f>
        <x:v>#NAME?</x:v>
      </x:c>
      <x:c r="Y485" s="146" t="e">
        <x:f>IF($A485="","",[1]!thsiFinD("ths_adjustment_nv_fund",Y$3,$A485))</x:f>
        <x:v>#NAME?</x:v>
      </x:c>
      <x:c r="Z485" s="146" t="e">
        <x:f>IF($A485="","",[1]!thsiFinD("ths_adjustment_nv_fund",Z$3,$A485))</x:f>
        <x:v>#NAME?</x:v>
      </x:c>
      <x:c r="AA485" s="146" t="e">
        <x:f>IF($A485="","",[1]!thsiFinD("ths_adjustment_nv_fund",AA$3,$A485))</x:f>
        <x:v>#NAME?</x:v>
      </x:c>
    </x:row>
    <x:row r="486">
      <x:c r="B486" s="146" t="e">
        <x:f>IF($A486="","",[1]!thsiFinD("ths_adjustment_nv_fund",B$3,$A486))</x:f>
        <x:v>#NAME?</x:v>
      </x:c>
      <x:c r="C486" s="146" t="e">
        <x:f>IF($A486="","",[1]!thsiFinD("ths_adjustment_nv_fund",C$3,$A486))</x:f>
        <x:v>#NAME?</x:v>
      </x:c>
      <x:c r="D486" s="146" t="e">
        <x:f>IF($A486="","",[1]!thsiFinD("ths_adjustment_nv_fund",D$3,$A486))</x:f>
        <x:v>#NAME?</x:v>
      </x:c>
      <x:c r="E486" s="146" t="e">
        <x:f>IF($A486="","",[1]!thsiFinD("ths_adjustment_nv_fund",E$3,$A486))</x:f>
        <x:v>#NAME?</x:v>
      </x:c>
      <x:c r="F486" s="146" t="e">
        <x:f>IF($A486="","",[1]!thsiFinD("ths_adjustment_nv_fund",F$3,$A486))</x:f>
        <x:v>#NAME?</x:v>
      </x:c>
      <x:c r="G486" s="146" t="e">
        <x:f>IF($A486="","",[1]!thsiFinD("ths_adjustment_nv_fund",G$3,$A486))</x:f>
        <x:v>#NAME?</x:v>
      </x:c>
      <x:c r="H486" s="146" t="e">
        <x:f>IF($A486="","",[1]!thsiFinD("ths_adjustment_nv_fund",H$3,$A486))</x:f>
        <x:v>#NAME?</x:v>
      </x:c>
      <x:c r="I486" s="146" t="e">
        <x:f>IF($A486="","",[1]!thsiFinD("ths_adjustment_nv_fund",I$3,$A486))</x:f>
        <x:v>#NAME?</x:v>
      </x:c>
      <x:c r="J486" s="146" t="e">
        <x:f>IF($A486="","",[1]!thsiFinD("ths_adjustment_nv_fund",J$3,$A486))</x:f>
        <x:v>#NAME?</x:v>
      </x:c>
      <x:c r="K486" s="146" t="e">
        <x:f>IF($A486="","",[1]!thsiFinD("ths_adjustment_nv_fund",K$3,$A486))</x:f>
        <x:v>#NAME?</x:v>
      </x:c>
      <x:c r="L486" s="146" t="e">
        <x:f>IF($A486="","",[1]!thsiFinD("ths_adjustment_nv_fund",L$3,$A486))</x:f>
        <x:v>#NAME?</x:v>
      </x:c>
      <x:c r="M486" s="146" t="e">
        <x:f>IF($A486="","",[1]!thsiFinD("ths_adjustment_nv_fund",M$3,$A486))</x:f>
        <x:v>#NAME?</x:v>
      </x:c>
      <x:c r="N486" s="146" t="e">
        <x:f>IF($A486="","",[1]!thsiFinD("ths_adjustment_nv_fund",N$3,$A486))</x:f>
        <x:v>#NAME?</x:v>
      </x:c>
      <x:c r="O486" s="146" t="e">
        <x:f>IF($A486="","",[1]!thsiFinD("ths_adjustment_nv_fund",O$3,$A486))</x:f>
        <x:v>#NAME?</x:v>
      </x:c>
      <x:c r="P486" s="146" t="e">
        <x:f>IF($A486="","",[1]!thsiFinD("ths_adjustment_nv_fund",P$3,$A486))</x:f>
        <x:v>#NAME?</x:v>
      </x:c>
      <x:c r="Q486" s="146" t="e">
        <x:f>IF($A486="","",[1]!thsiFinD("ths_adjustment_nv_fund",Q$3,$A486))</x:f>
        <x:v>#NAME?</x:v>
      </x:c>
      <x:c r="R486" s="146" t="e">
        <x:f>IF($A486="","",[1]!thsiFinD("ths_adjustment_nv_fund",R$3,$A486))</x:f>
        <x:v>#NAME?</x:v>
      </x:c>
      <x:c r="S486" s="146" t="e">
        <x:f>IF($A486="","",[1]!thsiFinD("ths_adjustment_nv_fund",S$3,$A486))</x:f>
        <x:v>#NAME?</x:v>
      </x:c>
      <x:c r="T486" s="146" t="e">
        <x:f>IF($A486="","",[1]!thsiFinD("ths_adjustment_nv_fund",T$3,$A486))</x:f>
        <x:v>#NAME?</x:v>
      </x:c>
      <x:c r="U486" s="146" t="e">
        <x:f>IF($A486="","",[1]!thsiFinD("ths_adjustment_nv_fund",U$3,$A486))</x:f>
        <x:v>#NAME?</x:v>
      </x:c>
      <x:c r="V486" s="146" t="e">
        <x:f>IF($A486="","",[1]!thsiFinD("ths_adjustment_nv_fund",V$3,$A486))</x:f>
        <x:v>#NAME?</x:v>
      </x:c>
      <x:c r="W486" s="146" t="e">
        <x:f>IF($A486="","",[1]!thsiFinD("ths_adjustment_nv_fund",W$3,$A486))</x:f>
        <x:v>#NAME?</x:v>
      </x:c>
      <x:c r="X486" s="146" t="e">
        <x:f>IF($A486="","",[1]!thsiFinD("ths_adjustment_nv_fund",X$3,$A486))</x:f>
        <x:v>#NAME?</x:v>
      </x:c>
      <x:c r="Y486" s="146" t="e">
        <x:f>IF($A486="","",[1]!thsiFinD("ths_adjustment_nv_fund",Y$3,$A486))</x:f>
        <x:v>#NAME?</x:v>
      </x:c>
      <x:c r="Z486" s="146" t="e">
        <x:f>IF($A486="","",[1]!thsiFinD("ths_adjustment_nv_fund",Z$3,$A486))</x:f>
        <x:v>#NAME?</x:v>
      </x:c>
      <x:c r="AA486" s="146" t="e">
        <x:f>IF($A486="","",[1]!thsiFinD("ths_adjustment_nv_fund",AA$3,$A486))</x:f>
        <x:v>#NAME?</x:v>
      </x:c>
    </x:row>
    <x:row r="487">
      <x:c r="B487" s="146" t="e">
        <x:f>IF($A487="","",[1]!thsiFinD("ths_adjustment_nv_fund",B$3,$A487))</x:f>
        <x:v>#NAME?</x:v>
      </x:c>
      <x:c r="C487" s="146" t="e">
        <x:f>IF($A487="","",[1]!thsiFinD("ths_adjustment_nv_fund",C$3,$A487))</x:f>
        <x:v>#NAME?</x:v>
      </x:c>
      <x:c r="D487" s="146" t="e">
        <x:f>IF($A487="","",[1]!thsiFinD("ths_adjustment_nv_fund",D$3,$A487))</x:f>
        <x:v>#NAME?</x:v>
      </x:c>
      <x:c r="E487" s="146" t="e">
        <x:f>IF($A487="","",[1]!thsiFinD("ths_adjustment_nv_fund",E$3,$A487))</x:f>
        <x:v>#NAME?</x:v>
      </x:c>
      <x:c r="F487" s="146" t="e">
        <x:f>IF($A487="","",[1]!thsiFinD("ths_adjustment_nv_fund",F$3,$A487))</x:f>
        <x:v>#NAME?</x:v>
      </x:c>
      <x:c r="G487" s="146" t="e">
        <x:f>IF($A487="","",[1]!thsiFinD("ths_adjustment_nv_fund",G$3,$A487))</x:f>
        <x:v>#NAME?</x:v>
      </x:c>
      <x:c r="H487" s="146" t="e">
        <x:f>IF($A487="","",[1]!thsiFinD("ths_adjustment_nv_fund",H$3,$A487))</x:f>
        <x:v>#NAME?</x:v>
      </x:c>
      <x:c r="I487" s="146" t="e">
        <x:f>IF($A487="","",[1]!thsiFinD("ths_adjustment_nv_fund",I$3,$A487))</x:f>
        <x:v>#NAME?</x:v>
      </x:c>
      <x:c r="J487" s="146" t="e">
        <x:f>IF($A487="","",[1]!thsiFinD("ths_adjustment_nv_fund",J$3,$A487))</x:f>
        <x:v>#NAME?</x:v>
      </x:c>
      <x:c r="K487" s="146" t="e">
        <x:f>IF($A487="","",[1]!thsiFinD("ths_adjustment_nv_fund",K$3,$A487))</x:f>
        <x:v>#NAME?</x:v>
      </x:c>
      <x:c r="L487" s="146" t="e">
        <x:f>IF($A487="","",[1]!thsiFinD("ths_adjustment_nv_fund",L$3,$A487))</x:f>
        <x:v>#NAME?</x:v>
      </x:c>
      <x:c r="M487" s="146" t="e">
        <x:f>IF($A487="","",[1]!thsiFinD("ths_adjustment_nv_fund",M$3,$A487))</x:f>
        <x:v>#NAME?</x:v>
      </x:c>
      <x:c r="N487" s="146" t="e">
        <x:f>IF($A487="","",[1]!thsiFinD("ths_adjustment_nv_fund",N$3,$A487))</x:f>
        <x:v>#NAME?</x:v>
      </x:c>
      <x:c r="O487" s="146" t="e">
        <x:f>IF($A487="","",[1]!thsiFinD("ths_adjustment_nv_fund",O$3,$A487))</x:f>
        <x:v>#NAME?</x:v>
      </x:c>
      <x:c r="P487" s="146" t="e">
        <x:f>IF($A487="","",[1]!thsiFinD("ths_adjustment_nv_fund",P$3,$A487))</x:f>
        <x:v>#NAME?</x:v>
      </x:c>
      <x:c r="Q487" s="146" t="e">
        <x:f>IF($A487="","",[1]!thsiFinD("ths_adjustment_nv_fund",Q$3,$A487))</x:f>
        <x:v>#NAME?</x:v>
      </x:c>
      <x:c r="R487" s="146" t="e">
        <x:f>IF($A487="","",[1]!thsiFinD("ths_adjustment_nv_fund",R$3,$A487))</x:f>
        <x:v>#NAME?</x:v>
      </x:c>
      <x:c r="S487" s="146" t="e">
        <x:f>IF($A487="","",[1]!thsiFinD("ths_adjustment_nv_fund",S$3,$A487))</x:f>
        <x:v>#NAME?</x:v>
      </x:c>
      <x:c r="T487" s="146" t="e">
        <x:f>IF($A487="","",[1]!thsiFinD("ths_adjustment_nv_fund",T$3,$A487))</x:f>
        <x:v>#NAME?</x:v>
      </x:c>
      <x:c r="U487" s="146" t="e">
        <x:f>IF($A487="","",[1]!thsiFinD("ths_adjustment_nv_fund",U$3,$A487))</x:f>
        <x:v>#NAME?</x:v>
      </x:c>
      <x:c r="V487" s="146" t="e">
        <x:f>IF($A487="","",[1]!thsiFinD("ths_adjustment_nv_fund",V$3,$A487))</x:f>
        <x:v>#NAME?</x:v>
      </x:c>
      <x:c r="W487" s="146" t="e">
        <x:f>IF($A487="","",[1]!thsiFinD("ths_adjustment_nv_fund",W$3,$A487))</x:f>
        <x:v>#NAME?</x:v>
      </x:c>
      <x:c r="X487" s="146" t="e">
        <x:f>IF($A487="","",[1]!thsiFinD("ths_adjustment_nv_fund",X$3,$A487))</x:f>
        <x:v>#NAME?</x:v>
      </x:c>
      <x:c r="Y487" s="146" t="e">
        <x:f>IF($A487="","",[1]!thsiFinD("ths_adjustment_nv_fund",Y$3,$A487))</x:f>
        <x:v>#NAME?</x:v>
      </x:c>
      <x:c r="Z487" s="146" t="e">
        <x:f>IF($A487="","",[1]!thsiFinD("ths_adjustment_nv_fund",Z$3,$A487))</x:f>
        <x:v>#NAME?</x:v>
      </x:c>
      <x:c r="AA487" s="146" t="e">
        <x:f>IF($A487="","",[1]!thsiFinD("ths_adjustment_nv_fund",AA$3,$A487))</x:f>
        <x:v>#NAME?</x:v>
      </x:c>
    </x:row>
    <x:row r="488">
      <x:c r="B488" s="146" t="e">
        <x:f>IF($A488="","",[1]!thsiFinD("ths_adjustment_nv_fund",B$3,$A488))</x:f>
        <x:v>#NAME?</x:v>
      </x:c>
      <x:c r="C488" s="146" t="e">
        <x:f>IF($A488="","",[1]!thsiFinD("ths_adjustment_nv_fund",C$3,$A488))</x:f>
        <x:v>#NAME?</x:v>
      </x:c>
      <x:c r="D488" s="146" t="e">
        <x:f>IF($A488="","",[1]!thsiFinD("ths_adjustment_nv_fund",D$3,$A488))</x:f>
        <x:v>#NAME?</x:v>
      </x:c>
      <x:c r="E488" s="146" t="e">
        <x:f>IF($A488="","",[1]!thsiFinD("ths_adjustment_nv_fund",E$3,$A488))</x:f>
        <x:v>#NAME?</x:v>
      </x:c>
      <x:c r="F488" s="146" t="e">
        <x:f>IF($A488="","",[1]!thsiFinD("ths_adjustment_nv_fund",F$3,$A488))</x:f>
        <x:v>#NAME?</x:v>
      </x:c>
      <x:c r="G488" s="146" t="e">
        <x:f>IF($A488="","",[1]!thsiFinD("ths_adjustment_nv_fund",G$3,$A488))</x:f>
        <x:v>#NAME?</x:v>
      </x:c>
      <x:c r="H488" s="146" t="e">
        <x:f>IF($A488="","",[1]!thsiFinD("ths_adjustment_nv_fund",H$3,$A488))</x:f>
        <x:v>#NAME?</x:v>
      </x:c>
      <x:c r="I488" s="146" t="e">
        <x:f>IF($A488="","",[1]!thsiFinD("ths_adjustment_nv_fund",I$3,$A488))</x:f>
        <x:v>#NAME?</x:v>
      </x:c>
      <x:c r="J488" s="146" t="e">
        <x:f>IF($A488="","",[1]!thsiFinD("ths_adjustment_nv_fund",J$3,$A488))</x:f>
        <x:v>#NAME?</x:v>
      </x:c>
      <x:c r="K488" s="146" t="e">
        <x:f>IF($A488="","",[1]!thsiFinD("ths_adjustment_nv_fund",K$3,$A488))</x:f>
        <x:v>#NAME?</x:v>
      </x:c>
      <x:c r="L488" s="146" t="e">
        <x:f>IF($A488="","",[1]!thsiFinD("ths_adjustment_nv_fund",L$3,$A488))</x:f>
        <x:v>#NAME?</x:v>
      </x:c>
      <x:c r="M488" s="146" t="e">
        <x:f>IF($A488="","",[1]!thsiFinD("ths_adjustment_nv_fund",M$3,$A488))</x:f>
        <x:v>#NAME?</x:v>
      </x:c>
      <x:c r="N488" s="146" t="e">
        <x:f>IF($A488="","",[1]!thsiFinD("ths_adjustment_nv_fund",N$3,$A488))</x:f>
        <x:v>#NAME?</x:v>
      </x:c>
      <x:c r="O488" s="146" t="e">
        <x:f>IF($A488="","",[1]!thsiFinD("ths_adjustment_nv_fund",O$3,$A488))</x:f>
        <x:v>#NAME?</x:v>
      </x:c>
      <x:c r="P488" s="146" t="e">
        <x:f>IF($A488="","",[1]!thsiFinD("ths_adjustment_nv_fund",P$3,$A488))</x:f>
        <x:v>#NAME?</x:v>
      </x:c>
      <x:c r="Q488" s="146" t="e">
        <x:f>IF($A488="","",[1]!thsiFinD("ths_adjustment_nv_fund",Q$3,$A488))</x:f>
        <x:v>#NAME?</x:v>
      </x:c>
      <x:c r="R488" s="146" t="e">
        <x:f>IF($A488="","",[1]!thsiFinD("ths_adjustment_nv_fund",R$3,$A488))</x:f>
        <x:v>#NAME?</x:v>
      </x:c>
      <x:c r="S488" s="146" t="e">
        <x:f>IF($A488="","",[1]!thsiFinD("ths_adjustment_nv_fund",S$3,$A488))</x:f>
        <x:v>#NAME?</x:v>
      </x:c>
      <x:c r="T488" s="146" t="e">
        <x:f>IF($A488="","",[1]!thsiFinD("ths_adjustment_nv_fund",T$3,$A488))</x:f>
        <x:v>#NAME?</x:v>
      </x:c>
      <x:c r="U488" s="146" t="e">
        <x:f>IF($A488="","",[1]!thsiFinD("ths_adjustment_nv_fund",U$3,$A488))</x:f>
        <x:v>#NAME?</x:v>
      </x:c>
      <x:c r="V488" s="146" t="e">
        <x:f>IF($A488="","",[1]!thsiFinD("ths_adjustment_nv_fund",V$3,$A488))</x:f>
        <x:v>#NAME?</x:v>
      </x:c>
      <x:c r="W488" s="146" t="e">
        <x:f>IF($A488="","",[1]!thsiFinD("ths_adjustment_nv_fund",W$3,$A488))</x:f>
        <x:v>#NAME?</x:v>
      </x:c>
      <x:c r="X488" s="146" t="e">
        <x:f>IF($A488="","",[1]!thsiFinD("ths_adjustment_nv_fund",X$3,$A488))</x:f>
        <x:v>#NAME?</x:v>
      </x:c>
      <x:c r="Y488" s="146" t="e">
        <x:f>IF($A488="","",[1]!thsiFinD("ths_adjustment_nv_fund",Y$3,$A488))</x:f>
        <x:v>#NAME?</x:v>
      </x:c>
      <x:c r="Z488" s="146" t="e">
        <x:f>IF($A488="","",[1]!thsiFinD("ths_adjustment_nv_fund",Z$3,$A488))</x:f>
        <x:v>#NAME?</x:v>
      </x:c>
      <x:c r="AA488" s="146" t="e">
        <x:f>IF($A488="","",[1]!thsiFinD("ths_adjustment_nv_fund",AA$3,$A488))</x:f>
        <x:v>#NAME?</x:v>
      </x:c>
    </x:row>
    <x:row r="489">
      <x:c r="B489" s="146" t="e">
        <x:f>IF($A489="","",[1]!thsiFinD("ths_adjustment_nv_fund",B$3,$A489))</x:f>
        <x:v>#NAME?</x:v>
      </x:c>
      <x:c r="C489" s="146" t="e">
        <x:f>IF($A489="","",[1]!thsiFinD("ths_adjustment_nv_fund",C$3,$A489))</x:f>
        <x:v>#NAME?</x:v>
      </x:c>
      <x:c r="D489" s="146" t="e">
        <x:f>IF($A489="","",[1]!thsiFinD("ths_adjustment_nv_fund",D$3,$A489))</x:f>
        <x:v>#NAME?</x:v>
      </x:c>
      <x:c r="E489" s="146" t="e">
        <x:f>IF($A489="","",[1]!thsiFinD("ths_adjustment_nv_fund",E$3,$A489))</x:f>
        <x:v>#NAME?</x:v>
      </x:c>
      <x:c r="F489" s="146" t="e">
        <x:f>IF($A489="","",[1]!thsiFinD("ths_adjustment_nv_fund",F$3,$A489))</x:f>
        <x:v>#NAME?</x:v>
      </x:c>
      <x:c r="G489" s="146" t="e">
        <x:f>IF($A489="","",[1]!thsiFinD("ths_adjustment_nv_fund",G$3,$A489))</x:f>
        <x:v>#NAME?</x:v>
      </x:c>
      <x:c r="H489" s="146" t="e">
        <x:f>IF($A489="","",[1]!thsiFinD("ths_adjustment_nv_fund",H$3,$A489))</x:f>
        <x:v>#NAME?</x:v>
      </x:c>
      <x:c r="I489" s="146" t="e">
        <x:f>IF($A489="","",[1]!thsiFinD("ths_adjustment_nv_fund",I$3,$A489))</x:f>
        <x:v>#NAME?</x:v>
      </x:c>
      <x:c r="J489" s="146" t="e">
        <x:f>IF($A489="","",[1]!thsiFinD("ths_adjustment_nv_fund",J$3,$A489))</x:f>
        <x:v>#NAME?</x:v>
      </x:c>
      <x:c r="K489" s="146" t="e">
        <x:f>IF($A489="","",[1]!thsiFinD("ths_adjustment_nv_fund",K$3,$A489))</x:f>
        <x:v>#NAME?</x:v>
      </x:c>
      <x:c r="L489" s="146" t="e">
        <x:f>IF($A489="","",[1]!thsiFinD("ths_adjustment_nv_fund",L$3,$A489))</x:f>
        <x:v>#NAME?</x:v>
      </x:c>
      <x:c r="M489" s="146" t="e">
        <x:f>IF($A489="","",[1]!thsiFinD("ths_adjustment_nv_fund",M$3,$A489))</x:f>
        <x:v>#NAME?</x:v>
      </x:c>
      <x:c r="N489" s="146" t="e">
        <x:f>IF($A489="","",[1]!thsiFinD("ths_adjustment_nv_fund",N$3,$A489))</x:f>
        <x:v>#NAME?</x:v>
      </x:c>
      <x:c r="O489" s="146" t="e">
        <x:f>IF($A489="","",[1]!thsiFinD("ths_adjustment_nv_fund",O$3,$A489))</x:f>
        <x:v>#NAME?</x:v>
      </x:c>
      <x:c r="P489" s="146" t="e">
        <x:f>IF($A489="","",[1]!thsiFinD("ths_adjustment_nv_fund",P$3,$A489))</x:f>
        <x:v>#NAME?</x:v>
      </x:c>
      <x:c r="Q489" s="146" t="e">
        <x:f>IF($A489="","",[1]!thsiFinD("ths_adjustment_nv_fund",Q$3,$A489))</x:f>
        <x:v>#NAME?</x:v>
      </x:c>
      <x:c r="R489" s="146" t="e">
        <x:f>IF($A489="","",[1]!thsiFinD("ths_adjustment_nv_fund",R$3,$A489))</x:f>
        <x:v>#NAME?</x:v>
      </x:c>
      <x:c r="S489" s="146" t="e">
        <x:f>IF($A489="","",[1]!thsiFinD("ths_adjustment_nv_fund",S$3,$A489))</x:f>
        <x:v>#NAME?</x:v>
      </x:c>
      <x:c r="T489" s="146" t="e">
        <x:f>IF($A489="","",[1]!thsiFinD("ths_adjustment_nv_fund",T$3,$A489))</x:f>
        <x:v>#NAME?</x:v>
      </x:c>
      <x:c r="U489" s="146" t="e">
        <x:f>IF($A489="","",[1]!thsiFinD("ths_adjustment_nv_fund",U$3,$A489))</x:f>
        <x:v>#NAME?</x:v>
      </x:c>
      <x:c r="V489" s="146" t="e">
        <x:f>IF($A489="","",[1]!thsiFinD("ths_adjustment_nv_fund",V$3,$A489))</x:f>
        <x:v>#NAME?</x:v>
      </x:c>
      <x:c r="W489" s="146" t="e">
        <x:f>IF($A489="","",[1]!thsiFinD("ths_adjustment_nv_fund",W$3,$A489))</x:f>
        <x:v>#NAME?</x:v>
      </x:c>
      <x:c r="X489" s="146" t="e">
        <x:f>IF($A489="","",[1]!thsiFinD("ths_adjustment_nv_fund",X$3,$A489))</x:f>
        <x:v>#NAME?</x:v>
      </x:c>
      <x:c r="Y489" s="146" t="e">
        <x:f>IF($A489="","",[1]!thsiFinD("ths_adjustment_nv_fund",Y$3,$A489))</x:f>
        <x:v>#NAME?</x:v>
      </x:c>
      <x:c r="Z489" s="146" t="e">
        <x:f>IF($A489="","",[1]!thsiFinD("ths_adjustment_nv_fund",Z$3,$A489))</x:f>
        <x:v>#NAME?</x:v>
      </x:c>
      <x:c r="AA489" s="146" t="e">
        <x:f>IF($A489="","",[1]!thsiFinD("ths_adjustment_nv_fund",AA$3,$A489))</x:f>
        <x:v>#NAME?</x:v>
      </x:c>
    </x:row>
    <x:row r="490">
      <x:c r="B490" s="146" t="e">
        <x:f>IF($A490="","",[1]!thsiFinD("ths_adjustment_nv_fund",B$3,$A490))</x:f>
        <x:v>#NAME?</x:v>
      </x:c>
      <x:c r="C490" s="146" t="e">
        <x:f>IF($A490="","",[1]!thsiFinD("ths_adjustment_nv_fund",C$3,$A490))</x:f>
        <x:v>#NAME?</x:v>
      </x:c>
      <x:c r="D490" s="146" t="e">
        <x:f>IF($A490="","",[1]!thsiFinD("ths_adjustment_nv_fund",D$3,$A490))</x:f>
        <x:v>#NAME?</x:v>
      </x:c>
      <x:c r="E490" s="146" t="e">
        <x:f>IF($A490="","",[1]!thsiFinD("ths_adjustment_nv_fund",E$3,$A490))</x:f>
        <x:v>#NAME?</x:v>
      </x:c>
      <x:c r="F490" s="146" t="e">
        <x:f>IF($A490="","",[1]!thsiFinD("ths_adjustment_nv_fund",F$3,$A490))</x:f>
        <x:v>#NAME?</x:v>
      </x:c>
      <x:c r="G490" s="146" t="e">
        <x:f>IF($A490="","",[1]!thsiFinD("ths_adjustment_nv_fund",G$3,$A490))</x:f>
        <x:v>#NAME?</x:v>
      </x:c>
      <x:c r="H490" s="146" t="e">
        <x:f>IF($A490="","",[1]!thsiFinD("ths_adjustment_nv_fund",H$3,$A490))</x:f>
        <x:v>#NAME?</x:v>
      </x:c>
      <x:c r="I490" s="146" t="e">
        <x:f>IF($A490="","",[1]!thsiFinD("ths_adjustment_nv_fund",I$3,$A490))</x:f>
        <x:v>#NAME?</x:v>
      </x:c>
      <x:c r="J490" s="146" t="e">
        <x:f>IF($A490="","",[1]!thsiFinD("ths_adjustment_nv_fund",J$3,$A490))</x:f>
        <x:v>#NAME?</x:v>
      </x:c>
      <x:c r="K490" s="146" t="e">
        <x:f>IF($A490="","",[1]!thsiFinD("ths_adjustment_nv_fund",K$3,$A490))</x:f>
        <x:v>#NAME?</x:v>
      </x:c>
      <x:c r="L490" s="146" t="e">
        <x:f>IF($A490="","",[1]!thsiFinD("ths_adjustment_nv_fund",L$3,$A490))</x:f>
        <x:v>#NAME?</x:v>
      </x:c>
      <x:c r="M490" s="146" t="e">
        <x:f>IF($A490="","",[1]!thsiFinD("ths_adjustment_nv_fund",M$3,$A490))</x:f>
        <x:v>#NAME?</x:v>
      </x:c>
      <x:c r="N490" s="146" t="e">
        <x:f>IF($A490="","",[1]!thsiFinD("ths_adjustment_nv_fund",N$3,$A490))</x:f>
        <x:v>#NAME?</x:v>
      </x:c>
      <x:c r="O490" s="146" t="e">
        <x:f>IF($A490="","",[1]!thsiFinD("ths_adjustment_nv_fund",O$3,$A490))</x:f>
        <x:v>#NAME?</x:v>
      </x:c>
      <x:c r="P490" s="146" t="e">
        <x:f>IF($A490="","",[1]!thsiFinD("ths_adjustment_nv_fund",P$3,$A490))</x:f>
        <x:v>#NAME?</x:v>
      </x:c>
      <x:c r="Q490" s="146" t="e">
        <x:f>IF($A490="","",[1]!thsiFinD("ths_adjustment_nv_fund",Q$3,$A490))</x:f>
        <x:v>#NAME?</x:v>
      </x:c>
      <x:c r="R490" s="146" t="e">
        <x:f>IF($A490="","",[1]!thsiFinD("ths_adjustment_nv_fund",R$3,$A490))</x:f>
        <x:v>#NAME?</x:v>
      </x:c>
      <x:c r="S490" s="146" t="e">
        <x:f>IF($A490="","",[1]!thsiFinD("ths_adjustment_nv_fund",S$3,$A490))</x:f>
        <x:v>#NAME?</x:v>
      </x:c>
      <x:c r="T490" s="146" t="e">
        <x:f>IF($A490="","",[1]!thsiFinD("ths_adjustment_nv_fund",T$3,$A490))</x:f>
        <x:v>#NAME?</x:v>
      </x:c>
      <x:c r="U490" s="146" t="e">
        <x:f>IF($A490="","",[1]!thsiFinD("ths_adjustment_nv_fund",U$3,$A490))</x:f>
        <x:v>#NAME?</x:v>
      </x:c>
      <x:c r="V490" s="146" t="e">
        <x:f>IF($A490="","",[1]!thsiFinD("ths_adjustment_nv_fund",V$3,$A490))</x:f>
        <x:v>#NAME?</x:v>
      </x:c>
      <x:c r="W490" s="146" t="e">
        <x:f>IF($A490="","",[1]!thsiFinD("ths_adjustment_nv_fund",W$3,$A490))</x:f>
        <x:v>#NAME?</x:v>
      </x:c>
      <x:c r="X490" s="146" t="e">
        <x:f>IF($A490="","",[1]!thsiFinD("ths_adjustment_nv_fund",X$3,$A490))</x:f>
        <x:v>#NAME?</x:v>
      </x:c>
      <x:c r="Y490" s="146" t="e">
        <x:f>IF($A490="","",[1]!thsiFinD("ths_adjustment_nv_fund",Y$3,$A490))</x:f>
        <x:v>#NAME?</x:v>
      </x:c>
      <x:c r="Z490" s="146" t="e">
        <x:f>IF($A490="","",[1]!thsiFinD("ths_adjustment_nv_fund",Z$3,$A490))</x:f>
        <x:v>#NAME?</x:v>
      </x:c>
      <x:c r="AA490" s="146" t="e">
        <x:f>IF($A490="","",[1]!thsiFinD("ths_adjustment_nv_fund",AA$3,$A490))</x:f>
        <x:v>#NAME?</x:v>
      </x:c>
    </x:row>
    <x:row r="491">
      <x:c r="B491" s="146" t="e">
        <x:f>IF($A491="","",[1]!thsiFinD("ths_adjustment_nv_fund",B$3,$A491))</x:f>
        <x:v>#NAME?</x:v>
      </x:c>
      <x:c r="C491" s="146" t="e">
        <x:f>IF($A491="","",[1]!thsiFinD("ths_adjustment_nv_fund",C$3,$A491))</x:f>
        <x:v>#NAME?</x:v>
      </x:c>
      <x:c r="D491" s="146" t="e">
        <x:f>IF($A491="","",[1]!thsiFinD("ths_adjustment_nv_fund",D$3,$A491))</x:f>
        <x:v>#NAME?</x:v>
      </x:c>
      <x:c r="E491" s="146" t="e">
        <x:f>IF($A491="","",[1]!thsiFinD("ths_adjustment_nv_fund",E$3,$A491))</x:f>
        <x:v>#NAME?</x:v>
      </x:c>
      <x:c r="F491" s="146" t="e">
        <x:f>IF($A491="","",[1]!thsiFinD("ths_adjustment_nv_fund",F$3,$A491))</x:f>
        <x:v>#NAME?</x:v>
      </x:c>
      <x:c r="G491" s="146" t="e">
        <x:f>IF($A491="","",[1]!thsiFinD("ths_adjustment_nv_fund",G$3,$A491))</x:f>
        <x:v>#NAME?</x:v>
      </x:c>
      <x:c r="H491" s="146" t="e">
        <x:f>IF($A491="","",[1]!thsiFinD("ths_adjustment_nv_fund",H$3,$A491))</x:f>
        <x:v>#NAME?</x:v>
      </x:c>
      <x:c r="I491" s="146" t="e">
        <x:f>IF($A491="","",[1]!thsiFinD("ths_adjustment_nv_fund",I$3,$A491))</x:f>
        <x:v>#NAME?</x:v>
      </x:c>
      <x:c r="J491" s="146" t="e">
        <x:f>IF($A491="","",[1]!thsiFinD("ths_adjustment_nv_fund",J$3,$A491))</x:f>
        <x:v>#NAME?</x:v>
      </x:c>
      <x:c r="K491" s="146" t="e">
        <x:f>IF($A491="","",[1]!thsiFinD("ths_adjustment_nv_fund",K$3,$A491))</x:f>
        <x:v>#NAME?</x:v>
      </x:c>
      <x:c r="L491" s="146" t="e">
        <x:f>IF($A491="","",[1]!thsiFinD("ths_adjustment_nv_fund",L$3,$A491))</x:f>
        <x:v>#NAME?</x:v>
      </x:c>
      <x:c r="M491" s="146" t="e">
        <x:f>IF($A491="","",[1]!thsiFinD("ths_adjustment_nv_fund",M$3,$A491))</x:f>
        <x:v>#NAME?</x:v>
      </x:c>
      <x:c r="N491" s="146" t="e">
        <x:f>IF($A491="","",[1]!thsiFinD("ths_adjustment_nv_fund",N$3,$A491))</x:f>
        <x:v>#NAME?</x:v>
      </x:c>
      <x:c r="O491" s="146" t="e">
        <x:f>IF($A491="","",[1]!thsiFinD("ths_adjustment_nv_fund",O$3,$A491))</x:f>
        <x:v>#NAME?</x:v>
      </x:c>
      <x:c r="P491" s="146" t="e">
        <x:f>IF($A491="","",[1]!thsiFinD("ths_adjustment_nv_fund",P$3,$A491))</x:f>
        <x:v>#NAME?</x:v>
      </x:c>
      <x:c r="Q491" s="146" t="e">
        <x:f>IF($A491="","",[1]!thsiFinD("ths_adjustment_nv_fund",Q$3,$A491))</x:f>
        <x:v>#NAME?</x:v>
      </x:c>
      <x:c r="R491" s="146" t="e">
        <x:f>IF($A491="","",[1]!thsiFinD("ths_adjustment_nv_fund",R$3,$A491))</x:f>
        <x:v>#NAME?</x:v>
      </x:c>
      <x:c r="S491" s="146" t="e">
        <x:f>IF($A491="","",[1]!thsiFinD("ths_adjustment_nv_fund",S$3,$A491))</x:f>
        <x:v>#NAME?</x:v>
      </x:c>
      <x:c r="T491" s="146" t="e">
        <x:f>IF($A491="","",[1]!thsiFinD("ths_adjustment_nv_fund",T$3,$A491))</x:f>
        <x:v>#NAME?</x:v>
      </x:c>
      <x:c r="U491" s="146" t="e">
        <x:f>IF($A491="","",[1]!thsiFinD("ths_adjustment_nv_fund",U$3,$A491))</x:f>
        <x:v>#NAME?</x:v>
      </x:c>
      <x:c r="V491" s="146" t="e">
        <x:f>IF($A491="","",[1]!thsiFinD("ths_adjustment_nv_fund",V$3,$A491))</x:f>
        <x:v>#NAME?</x:v>
      </x:c>
      <x:c r="W491" s="146" t="e">
        <x:f>IF($A491="","",[1]!thsiFinD("ths_adjustment_nv_fund",W$3,$A491))</x:f>
        <x:v>#NAME?</x:v>
      </x:c>
      <x:c r="X491" s="146" t="e">
        <x:f>IF($A491="","",[1]!thsiFinD("ths_adjustment_nv_fund",X$3,$A491))</x:f>
        <x:v>#NAME?</x:v>
      </x:c>
      <x:c r="Y491" s="146" t="e">
        <x:f>IF($A491="","",[1]!thsiFinD("ths_adjustment_nv_fund",Y$3,$A491))</x:f>
        <x:v>#NAME?</x:v>
      </x:c>
      <x:c r="Z491" s="146" t="e">
        <x:f>IF($A491="","",[1]!thsiFinD("ths_adjustment_nv_fund",Z$3,$A491))</x:f>
        <x:v>#NAME?</x:v>
      </x:c>
      <x:c r="AA491" s="146" t="e">
        <x:f>IF($A491="","",[1]!thsiFinD("ths_adjustment_nv_fund",AA$3,$A491))</x:f>
        <x:v>#NAME?</x:v>
      </x:c>
    </x:row>
    <x:row r="492">
      <x:c r="B492" s="146" t="e">
        <x:f>IF($A492="","",[1]!thsiFinD("ths_adjustment_nv_fund",B$3,$A492))</x:f>
        <x:v>#NAME?</x:v>
      </x:c>
      <x:c r="C492" s="146" t="e">
        <x:f>IF($A492="","",[1]!thsiFinD("ths_adjustment_nv_fund",C$3,$A492))</x:f>
        <x:v>#NAME?</x:v>
      </x:c>
      <x:c r="D492" s="146" t="e">
        <x:f>IF($A492="","",[1]!thsiFinD("ths_adjustment_nv_fund",D$3,$A492))</x:f>
        <x:v>#NAME?</x:v>
      </x:c>
      <x:c r="E492" s="146" t="e">
        <x:f>IF($A492="","",[1]!thsiFinD("ths_adjustment_nv_fund",E$3,$A492))</x:f>
        <x:v>#NAME?</x:v>
      </x:c>
      <x:c r="F492" s="146" t="e">
        <x:f>IF($A492="","",[1]!thsiFinD("ths_adjustment_nv_fund",F$3,$A492))</x:f>
        <x:v>#NAME?</x:v>
      </x:c>
      <x:c r="G492" s="146" t="e">
        <x:f>IF($A492="","",[1]!thsiFinD("ths_adjustment_nv_fund",G$3,$A492))</x:f>
        <x:v>#NAME?</x:v>
      </x:c>
      <x:c r="H492" s="146" t="e">
        <x:f>IF($A492="","",[1]!thsiFinD("ths_adjustment_nv_fund",H$3,$A492))</x:f>
        <x:v>#NAME?</x:v>
      </x:c>
      <x:c r="I492" s="146" t="e">
        <x:f>IF($A492="","",[1]!thsiFinD("ths_adjustment_nv_fund",I$3,$A492))</x:f>
        <x:v>#NAME?</x:v>
      </x:c>
      <x:c r="J492" s="146" t="e">
        <x:f>IF($A492="","",[1]!thsiFinD("ths_adjustment_nv_fund",J$3,$A492))</x:f>
        <x:v>#NAME?</x:v>
      </x:c>
      <x:c r="K492" s="146" t="e">
        <x:f>IF($A492="","",[1]!thsiFinD("ths_adjustment_nv_fund",K$3,$A492))</x:f>
        <x:v>#NAME?</x:v>
      </x:c>
      <x:c r="L492" s="146" t="e">
        <x:f>IF($A492="","",[1]!thsiFinD("ths_adjustment_nv_fund",L$3,$A492))</x:f>
        <x:v>#NAME?</x:v>
      </x:c>
      <x:c r="M492" s="146" t="e">
        <x:f>IF($A492="","",[1]!thsiFinD("ths_adjustment_nv_fund",M$3,$A492))</x:f>
        <x:v>#NAME?</x:v>
      </x:c>
      <x:c r="N492" s="146" t="e">
        <x:f>IF($A492="","",[1]!thsiFinD("ths_adjustment_nv_fund",N$3,$A492))</x:f>
        <x:v>#NAME?</x:v>
      </x:c>
      <x:c r="O492" s="146" t="e">
        <x:f>IF($A492="","",[1]!thsiFinD("ths_adjustment_nv_fund",O$3,$A492))</x:f>
        <x:v>#NAME?</x:v>
      </x:c>
      <x:c r="P492" s="146" t="e">
        <x:f>IF($A492="","",[1]!thsiFinD("ths_adjustment_nv_fund",P$3,$A492))</x:f>
        <x:v>#NAME?</x:v>
      </x:c>
      <x:c r="Q492" s="146" t="e">
        <x:f>IF($A492="","",[1]!thsiFinD("ths_adjustment_nv_fund",Q$3,$A492))</x:f>
        <x:v>#NAME?</x:v>
      </x:c>
      <x:c r="R492" s="146" t="e">
        <x:f>IF($A492="","",[1]!thsiFinD("ths_adjustment_nv_fund",R$3,$A492))</x:f>
        <x:v>#NAME?</x:v>
      </x:c>
      <x:c r="S492" s="146" t="e">
        <x:f>IF($A492="","",[1]!thsiFinD("ths_adjustment_nv_fund",S$3,$A492))</x:f>
        <x:v>#NAME?</x:v>
      </x:c>
      <x:c r="T492" s="146" t="e">
        <x:f>IF($A492="","",[1]!thsiFinD("ths_adjustment_nv_fund",T$3,$A492))</x:f>
        <x:v>#NAME?</x:v>
      </x:c>
      <x:c r="U492" s="146" t="e">
        <x:f>IF($A492="","",[1]!thsiFinD("ths_adjustment_nv_fund",U$3,$A492))</x:f>
        <x:v>#NAME?</x:v>
      </x:c>
      <x:c r="V492" s="146" t="e">
        <x:f>IF($A492="","",[1]!thsiFinD("ths_adjustment_nv_fund",V$3,$A492))</x:f>
        <x:v>#NAME?</x:v>
      </x:c>
      <x:c r="W492" s="146" t="e">
        <x:f>IF($A492="","",[1]!thsiFinD("ths_adjustment_nv_fund",W$3,$A492))</x:f>
        <x:v>#NAME?</x:v>
      </x:c>
      <x:c r="X492" s="146" t="e">
        <x:f>IF($A492="","",[1]!thsiFinD("ths_adjustment_nv_fund",X$3,$A492))</x:f>
        <x:v>#NAME?</x:v>
      </x:c>
      <x:c r="Y492" s="146" t="e">
        <x:f>IF($A492="","",[1]!thsiFinD("ths_adjustment_nv_fund",Y$3,$A492))</x:f>
        <x:v>#NAME?</x:v>
      </x:c>
      <x:c r="Z492" s="146" t="e">
        <x:f>IF($A492="","",[1]!thsiFinD("ths_adjustment_nv_fund",Z$3,$A492))</x:f>
        <x:v>#NAME?</x:v>
      </x:c>
      <x:c r="AA492" s="146" t="e">
        <x:f>IF($A492="","",[1]!thsiFinD("ths_adjustment_nv_fund",AA$3,$A492))</x:f>
        <x:v>#NAME?</x:v>
      </x:c>
    </x:row>
    <x:row r="493">
      <x:c r="B493" s="146" t="e">
        <x:f>IF($A493="","",[1]!thsiFinD("ths_adjustment_nv_fund",B$3,$A493))</x:f>
        <x:v>#NAME?</x:v>
      </x:c>
      <x:c r="C493" s="146" t="e">
        <x:f>IF($A493="","",[1]!thsiFinD("ths_adjustment_nv_fund",C$3,$A493))</x:f>
        <x:v>#NAME?</x:v>
      </x:c>
      <x:c r="D493" s="146" t="e">
        <x:f>IF($A493="","",[1]!thsiFinD("ths_adjustment_nv_fund",D$3,$A493))</x:f>
        <x:v>#NAME?</x:v>
      </x:c>
      <x:c r="E493" s="146" t="e">
        <x:f>IF($A493="","",[1]!thsiFinD("ths_adjustment_nv_fund",E$3,$A493))</x:f>
        <x:v>#NAME?</x:v>
      </x:c>
      <x:c r="F493" s="146" t="e">
        <x:f>IF($A493="","",[1]!thsiFinD("ths_adjustment_nv_fund",F$3,$A493))</x:f>
        <x:v>#NAME?</x:v>
      </x:c>
      <x:c r="G493" s="146" t="e">
        <x:f>IF($A493="","",[1]!thsiFinD("ths_adjustment_nv_fund",G$3,$A493))</x:f>
        <x:v>#NAME?</x:v>
      </x:c>
      <x:c r="H493" s="146" t="e">
        <x:f>IF($A493="","",[1]!thsiFinD("ths_adjustment_nv_fund",H$3,$A493))</x:f>
        <x:v>#NAME?</x:v>
      </x:c>
      <x:c r="I493" s="146" t="e">
        <x:f>IF($A493="","",[1]!thsiFinD("ths_adjustment_nv_fund",I$3,$A493))</x:f>
        <x:v>#NAME?</x:v>
      </x:c>
      <x:c r="J493" s="146" t="e">
        <x:f>IF($A493="","",[1]!thsiFinD("ths_adjustment_nv_fund",J$3,$A493))</x:f>
        <x:v>#NAME?</x:v>
      </x:c>
      <x:c r="K493" s="146" t="e">
        <x:f>IF($A493="","",[1]!thsiFinD("ths_adjustment_nv_fund",K$3,$A493))</x:f>
        <x:v>#NAME?</x:v>
      </x:c>
      <x:c r="L493" s="146" t="e">
        <x:f>IF($A493="","",[1]!thsiFinD("ths_adjustment_nv_fund",L$3,$A493))</x:f>
        <x:v>#NAME?</x:v>
      </x:c>
      <x:c r="M493" s="146" t="e">
        <x:f>IF($A493="","",[1]!thsiFinD("ths_adjustment_nv_fund",M$3,$A493))</x:f>
        <x:v>#NAME?</x:v>
      </x:c>
      <x:c r="N493" s="146" t="e">
        <x:f>IF($A493="","",[1]!thsiFinD("ths_adjustment_nv_fund",N$3,$A493))</x:f>
        <x:v>#NAME?</x:v>
      </x:c>
      <x:c r="O493" s="146" t="e">
        <x:f>IF($A493="","",[1]!thsiFinD("ths_adjustment_nv_fund",O$3,$A493))</x:f>
        <x:v>#NAME?</x:v>
      </x:c>
      <x:c r="P493" s="146" t="e">
        <x:f>IF($A493="","",[1]!thsiFinD("ths_adjustment_nv_fund",P$3,$A493))</x:f>
        <x:v>#NAME?</x:v>
      </x:c>
      <x:c r="Q493" s="146" t="e">
        <x:f>IF($A493="","",[1]!thsiFinD("ths_adjustment_nv_fund",Q$3,$A493))</x:f>
        <x:v>#NAME?</x:v>
      </x:c>
      <x:c r="R493" s="146" t="e">
        <x:f>IF($A493="","",[1]!thsiFinD("ths_adjustment_nv_fund",R$3,$A493))</x:f>
        <x:v>#NAME?</x:v>
      </x:c>
      <x:c r="S493" s="146" t="e">
        <x:f>IF($A493="","",[1]!thsiFinD("ths_adjustment_nv_fund",S$3,$A493))</x:f>
        <x:v>#NAME?</x:v>
      </x:c>
      <x:c r="T493" s="146" t="e">
        <x:f>IF($A493="","",[1]!thsiFinD("ths_adjustment_nv_fund",T$3,$A493))</x:f>
        <x:v>#NAME?</x:v>
      </x:c>
      <x:c r="U493" s="146" t="e">
        <x:f>IF($A493="","",[1]!thsiFinD("ths_adjustment_nv_fund",U$3,$A493))</x:f>
        <x:v>#NAME?</x:v>
      </x:c>
      <x:c r="V493" s="146" t="e">
        <x:f>IF($A493="","",[1]!thsiFinD("ths_adjustment_nv_fund",V$3,$A493))</x:f>
        <x:v>#NAME?</x:v>
      </x:c>
      <x:c r="W493" s="146" t="e">
        <x:f>IF($A493="","",[1]!thsiFinD("ths_adjustment_nv_fund",W$3,$A493))</x:f>
        <x:v>#NAME?</x:v>
      </x:c>
      <x:c r="X493" s="146" t="e">
        <x:f>IF($A493="","",[1]!thsiFinD("ths_adjustment_nv_fund",X$3,$A493))</x:f>
        <x:v>#NAME?</x:v>
      </x:c>
      <x:c r="Y493" s="146" t="e">
        <x:f>IF($A493="","",[1]!thsiFinD("ths_adjustment_nv_fund",Y$3,$A493))</x:f>
        <x:v>#NAME?</x:v>
      </x:c>
      <x:c r="Z493" s="146" t="e">
        <x:f>IF($A493="","",[1]!thsiFinD("ths_adjustment_nv_fund",Z$3,$A493))</x:f>
        <x:v>#NAME?</x:v>
      </x:c>
      <x:c r="AA493" s="146" t="e">
        <x:f>IF($A493="","",[1]!thsiFinD("ths_adjustment_nv_fund",AA$3,$A493))</x:f>
        <x:v>#NAME?</x:v>
      </x:c>
    </x:row>
    <x:row r="494">
      <x:c r="B494" s="146" t="e">
        <x:f>IF($A494="","",[1]!thsiFinD("ths_adjustment_nv_fund",B$3,$A494))</x:f>
        <x:v>#NAME?</x:v>
      </x:c>
      <x:c r="C494" s="146" t="e">
        <x:f>IF($A494="","",[1]!thsiFinD("ths_adjustment_nv_fund",C$3,$A494))</x:f>
        <x:v>#NAME?</x:v>
      </x:c>
      <x:c r="D494" s="146" t="e">
        <x:f>IF($A494="","",[1]!thsiFinD("ths_adjustment_nv_fund",D$3,$A494))</x:f>
        <x:v>#NAME?</x:v>
      </x:c>
      <x:c r="E494" s="146" t="e">
        <x:f>IF($A494="","",[1]!thsiFinD("ths_adjustment_nv_fund",E$3,$A494))</x:f>
        <x:v>#NAME?</x:v>
      </x:c>
      <x:c r="F494" s="146" t="e">
        <x:f>IF($A494="","",[1]!thsiFinD("ths_adjustment_nv_fund",F$3,$A494))</x:f>
        <x:v>#NAME?</x:v>
      </x:c>
      <x:c r="G494" s="146" t="e">
        <x:f>IF($A494="","",[1]!thsiFinD("ths_adjustment_nv_fund",G$3,$A494))</x:f>
        <x:v>#NAME?</x:v>
      </x:c>
      <x:c r="H494" s="146" t="e">
        <x:f>IF($A494="","",[1]!thsiFinD("ths_adjustment_nv_fund",H$3,$A494))</x:f>
        <x:v>#NAME?</x:v>
      </x:c>
      <x:c r="I494" s="146" t="e">
        <x:f>IF($A494="","",[1]!thsiFinD("ths_adjustment_nv_fund",I$3,$A494))</x:f>
        <x:v>#NAME?</x:v>
      </x:c>
      <x:c r="J494" s="146" t="e">
        <x:f>IF($A494="","",[1]!thsiFinD("ths_adjustment_nv_fund",J$3,$A494))</x:f>
        <x:v>#NAME?</x:v>
      </x:c>
      <x:c r="K494" s="146" t="e">
        <x:f>IF($A494="","",[1]!thsiFinD("ths_adjustment_nv_fund",K$3,$A494))</x:f>
        <x:v>#NAME?</x:v>
      </x:c>
      <x:c r="L494" s="146" t="e">
        <x:f>IF($A494="","",[1]!thsiFinD("ths_adjustment_nv_fund",L$3,$A494))</x:f>
        <x:v>#NAME?</x:v>
      </x:c>
      <x:c r="M494" s="146" t="e">
        <x:f>IF($A494="","",[1]!thsiFinD("ths_adjustment_nv_fund",M$3,$A494))</x:f>
        <x:v>#NAME?</x:v>
      </x:c>
      <x:c r="N494" s="146" t="e">
        <x:f>IF($A494="","",[1]!thsiFinD("ths_adjustment_nv_fund",N$3,$A494))</x:f>
        <x:v>#NAME?</x:v>
      </x:c>
      <x:c r="O494" s="146" t="e">
        <x:f>IF($A494="","",[1]!thsiFinD("ths_adjustment_nv_fund",O$3,$A494))</x:f>
        <x:v>#NAME?</x:v>
      </x:c>
      <x:c r="P494" s="146" t="e">
        <x:f>IF($A494="","",[1]!thsiFinD("ths_adjustment_nv_fund",P$3,$A494))</x:f>
        <x:v>#NAME?</x:v>
      </x:c>
      <x:c r="Q494" s="146" t="e">
        <x:f>IF($A494="","",[1]!thsiFinD("ths_adjustment_nv_fund",Q$3,$A494))</x:f>
        <x:v>#NAME?</x:v>
      </x:c>
      <x:c r="R494" s="146" t="e">
        <x:f>IF($A494="","",[1]!thsiFinD("ths_adjustment_nv_fund",R$3,$A494))</x:f>
        <x:v>#NAME?</x:v>
      </x:c>
      <x:c r="S494" s="146" t="e">
        <x:f>IF($A494="","",[1]!thsiFinD("ths_adjustment_nv_fund",S$3,$A494))</x:f>
        <x:v>#NAME?</x:v>
      </x:c>
      <x:c r="T494" s="146" t="e">
        <x:f>IF($A494="","",[1]!thsiFinD("ths_adjustment_nv_fund",T$3,$A494))</x:f>
        <x:v>#NAME?</x:v>
      </x:c>
      <x:c r="U494" s="146" t="e">
        <x:f>IF($A494="","",[1]!thsiFinD("ths_adjustment_nv_fund",U$3,$A494))</x:f>
        <x:v>#NAME?</x:v>
      </x:c>
      <x:c r="V494" s="146" t="e">
        <x:f>IF($A494="","",[1]!thsiFinD("ths_adjustment_nv_fund",V$3,$A494))</x:f>
        <x:v>#NAME?</x:v>
      </x:c>
      <x:c r="W494" s="146" t="e">
        <x:f>IF($A494="","",[1]!thsiFinD("ths_adjustment_nv_fund",W$3,$A494))</x:f>
        <x:v>#NAME?</x:v>
      </x:c>
      <x:c r="X494" s="146" t="e">
        <x:f>IF($A494="","",[1]!thsiFinD("ths_adjustment_nv_fund",X$3,$A494))</x:f>
        <x:v>#NAME?</x:v>
      </x:c>
      <x:c r="Y494" s="146" t="e">
        <x:f>IF($A494="","",[1]!thsiFinD("ths_adjustment_nv_fund",Y$3,$A494))</x:f>
        <x:v>#NAME?</x:v>
      </x:c>
      <x:c r="Z494" s="146" t="e">
        <x:f>IF($A494="","",[1]!thsiFinD("ths_adjustment_nv_fund",Z$3,$A494))</x:f>
        <x:v>#NAME?</x:v>
      </x:c>
      <x:c r="AA494" s="146" t="e">
        <x:f>IF($A494="","",[1]!thsiFinD("ths_adjustment_nv_fund",AA$3,$A494))</x:f>
        <x:v>#NAME?</x:v>
      </x:c>
    </x:row>
    <x:row r="495">
      <x:c r="B495" s="146" t="e">
        <x:f>IF($A495="","",[1]!thsiFinD("ths_adjustment_nv_fund",B$3,$A495))</x:f>
        <x:v>#NAME?</x:v>
      </x:c>
      <x:c r="C495" s="146" t="e">
        <x:f>IF($A495="","",[1]!thsiFinD("ths_adjustment_nv_fund",C$3,$A495))</x:f>
        <x:v>#NAME?</x:v>
      </x:c>
      <x:c r="D495" s="146" t="e">
        <x:f>IF($A495="","",[1]!thsiFinD("ths_adjustment_nv_fund",D$3,$A495))</x:f>
        <x:v>#NAME?</x:v>
      </x:c>
      <x:c r="E495" s="146" t="e">
        <x:f>IF($A495="","",[1]!thsiFinD("ths_adjustment_nv_fund",E$3,$A495))</x:f>
        <x:v>#NAME?</x:v>
      </x:c>
      <x:c r="F495" s="146" t="e">
        <x:f>IF($A495="","",[1]!thsiFinD("ths_adjustment_nv_fund",F$3,$A495))</x:f>
        <x:v>#NAME?</x:v>
      </x:c>
      <x:c r="G495" s="146" t="e">
        <x:f>IF($A495="","",[1]!thsiFinD("ths_adjustment_nv_fund",G$3,$A495))</x:f>
        <x:v>#NAME?</x:v>
      </x:c>
      <x:c r="H495" s="146" t="e">
        <x:f>IF($A495="","",[1]!thsiFinD("ths_adjustment_nv_fund",H$3,$A495))</x:f>
        <x:v>#NAME?</x:v>
      </x:c>
      <x:c r="I495" s="146" t="e">
        <x:f>IF($A495="","",[1]!thsiFinD("ths_adjustment_nv_fund",I$3,$A495))</x:f>
        <x:v>#NAME?</x:v>
      </x:c>
      <x:c r="J495" s="146" t="e">
        <x:f>IF($A495="","",[1]!thsiFinD("ths_adjustment_nv_fund",J$3,$A495))</x:f>
        <x:v>#NAME?</x:v>
      </x:c>
      <x:c r="K495" s="146" t="e">
        <x:f>IF($A495="","",[1]!thsiFinD("ths_adjustment_nv_fund",K$3,$A495))</x:f>
        <x:v>#NAME?</x:v>
      </x:c>
      <x:c r="L495" s="146" t="e">
        <x:f>IF($A495="","",[1]!thsiFinD("ths_adjustment_nv_fund",L$3,$A495))</x:f>
        <x:v>#NAME?</x:v>
      </x:c>
      <x:c r="M495" s="146" t="e">
        <x:f>IF($A495="","",[1]!thsiFinD("ths_adjustment_nv_fund",M$3,$A495))</x:f>
        <x:v>#NAME?</x:v>
      </x:c>
      <x:c r="N495" s="146" t="e">
        <x:f>IF($A495="","",[1]!thsiFinD("ths_adjustment_nv_fund",N$3,$A495))</x:f>
        <x:v>#NAME?</x:v>
      </x:c>
      <x:c r="O495" s="146" t="e">
        <x:f>IF($A495="","",[1]!thsiFinD("ths_adjustment_nv_fund",O$3,$A495))</x:f>
        <x:v>#NAME?</x:v>
      </x:c>
      <x:c r="P495" s="146" t="e">
        <x:f>IF($A495="","",[1]!thsiFinD("ths_adjustment_nv_fund",P$3,$A495))</x:f>
        <x:v>#NAME?</x:v>
      </x:c>
      <x:c r="Q495" s="146" t="e">
        <x:f>IF($A495="","",[1]!thsiFinD("ths_adjustment_nv_fund",Q$3,$A495))</x:f>
        <x:v>#NAME?</x:v>
      </x:c>
      <x:c r="R495" s="146" t="e">
        <x:f>IF($A495="","",[1]!thsiFinD("ths_adjustment_nv_fund",R$3,$A495))</x:f>
        <x:v>#NAME?</x:v>
      </x:c>
      <x:c r="S495" s="146" t="e">
        <x:f>IF($A495="","",[1]!thsiFinD("ths_adjustment_nv_fund",S$3,$A495))</x:f>
        <x:v>#NAME?</x:v>
      </x:c>
      <x:c r="T495" s="146" t="e">
        <x:f>IF($A495="","",[1]!thsiFinD("ths_adjustment_nv_fund",T$3,$A495))</x:f>
        <x:v>#NAME?</x:v>
      </x:c>
      <x:c r="U495" s="146" t="e">
        <x:f>IF($A495="","",[1]!thsiFinD("ths_adjustment_nv_fund",U$3,$A495))</x:f>
        <x:v>#NAME?</x:v>
      </x:c>
      <x:c r="V495" s="146" t="e">
        <x:f>IF($A495="","",[1]!thsiFinD("ths_adjustment_nv_fund",V$3,$A495))</x:f>
        <x:v>#NAME?</x:v>
      </x:c>
      <x:c r="W495" s="146" t="e">
        <x:f>IF($A495="","",[1]!thsiFinD("ths_adjustment_nv_fund",W$3,$A495))</x:f>
        <x:v>#NAME?</x:v>
      </x:c>
      <x:c r="X495" s="146" t="e">
        <x:f>IF($A495="","",[1]!thsiFinD("ths_adjustment_nv_fund",X$3,$A495))</x:f>
        <x:v>#NAME?</x:v>
      </x:c>
      <x:c r="Y495" s="146" t="e">
        <x:f>IF($A495="","",[1]!thsiFinD("ths_adjustment_nv_fund",Y$3,$A495))</x:f>
        <x:v>#NAME?</x:v>
      </x:c>
      <x:c r="Z495" s="146" t="e">
        <x:f>IF($A495="","",[1]!thsiFinD("ths_adjustment_nv_fund",Z$3,$A495))</x:f>
        <x:v>#NAME?</x:v>
      </x:c>
      <x:c r="AA495" s="146" t="e">
        <x:f>IF($A495="","",[1]!thsiFinD("ths_adjustment_nv_fund",AA$3,$A495))</x:f>
        <x:v>#NAME?</x:v>
      </x:c>
    </x:row>
    <x:row r="496">
      <x:c r="B496" s="146" t="e">
        <x:f>IF($A496="","",[1]!thsiFinD("ths_adjustment_nv_fund",B$3,$A496))</x:f>
        <x:v>#NAME?</x:v>
      </x:c>
      <x:c r="C496" s="146" t="e">
        <x:f>IF($A496="","",[1]!thsiFinD("ths_adjustment_nv_fund",C$3,$A496))</x:f>
        <x:v>#NAME?</x:v>
      </x:c>
      <x:c r="D496" s="146" t="e">
        <x:f>IF($A496="","",[1]!thsiFinD("ths_adjustment_nv_fund",D$3,$A496))</x:f>
        <x:v>#NAME?</x:v>
      </x:c>
      <x:c r="E496" s="146" t="e">
        <x:f>IF($A496="","",[1]!thsiFinD("ths_adjustment_nv_fund",E$3,$A496))</x:f>
        <x:v>#NAME?</x:v>
      </x:c>
      <x:c r="F496" s="146" t="e">
        <x:f>IF($A496="","",[1]!thsiFinD("ths_adjustment_nv_fund",F$3,$A496))</x:f>
        <x:v>#NAME?</x:v>
      </x:c>
      <x:c r="G496" s="146" t="e">
        <x:f>IF($A496="","",[1]!thsiFinD("ths_adjustment_nv_fund",G$3,$A496))</x:f>
        <x:v>#NAME?</x:v>
      </x:c>
      <x:c r="H496" s="146" t="e">
        <x:f>IF($A496="","",[1]!thsiFinD("ths_adjustment_nv_fund",H$3,$A496))</x:f>
        <x:v>#NAME?</x:v>
      </x:c>
      <x:c r="I496" s="146" t="e">
        <x:f>IF($A496="","",[1]!thsiFinD("ths_adjustment_nv_fund",I$3,$A496))</x:f>
        <x:v>#NAME?</x:v>
      </x:c>
      <x:c r="J496" s="146" t="e">
        <x:f>IF($A496="","",[1]!thsiFinD("ths_adjustment_nv_fund",J$3,$A496))</x:f>
        <x:v>#NAME?</x:v>
      </x:c>
      <x:c r="K496" s="146" t="e">
        <x:f>IF($A496="","",[1]!thsiFinD("ths_adjustment_nv_fund",K$3,$A496))</x:f>
        <x:v>#NAME?</x:v>
      </x:c>
      <x:c r="L496" s="146" t="e">
        <x:f>IF($A496="","",[1]!thsiFinD("ths_adjustment_nv_fund",L$3,$A496))</x:f>
        <x:v>#NAME?</x:v>
      </x:c>
      <x:c r="M496" s="146" t="e">
        <x:f>IF($A496="","",[1]!thsiFinD("ths_adjustment_nv_fund",M$3,$A496))</x:f>
        <x:v>#NAME?</x:v>
      </x:c>
      <x:c r="N496" s="146" t="e">
        <x:f>IF($A496="","",[1]!thsiFinD("ths_adjustment_nv_fund",N$3,$A496))</x:f>
        <x:v>#NAME?</x:v>
      </x:c>
      <x:c r="O496" s="146" t="e">
        <x:f>IF($A496="","",[1]!thsiFinD("ths_adjustment_nv_fund",O$3,$A496))</x:f>
        <x:v>#NAME?</x:v>
      </x:c>
      <x:c r="P496" s="146" t="e">
        <x:f>IF($A496="","",[1]!thsiFinD("ths_adjustment_nv_fund",P$3,$A496))</x:f>
        <x:v>#NAME?</x:v>
      </x:c>
      <x:c r="Q496" s="146" t="e">
        <x:f>IF($A496="","",[1]!thsiFinD("ths_adjustment_nv_fund",Q$3,$A496))</x:f>
        <x:v>#NAME?</x:v>
      </x:c>
      <x:c r="R496" s="146" t="e">
        <x:f>IF($A496="","",[1]!thsiFinD("ths_adjustment_nv_fund",R$3,$A496))</x:f>
        <x:v>#NAME?</x:v>
      </x:c>
      <x:c r="S496" s="146" t="e">
        <x:f>IF($A496="","",[1]!thsiFinD("ths_adjustment_nv_fund",S$3,$A496))</x:f>
        <x:v>#NAME?</x:v>
      </x:c>
      <x:c r="T496" s="146" t="e">
        <x:f>IF($A496="","",[1]!thsiFinD("ths_adjustment_nv_fund",T$3,$A496))</x:f>
        <x:v>#NAME?</x:v>
      </x:c>
      <x:c r="U496" s="146" t="e">
        <x:f>IF($A496="","",[1]!thsiFinD("ths_adjustment_nv_fund",U$3,$A496))</x:f>
        <x:v>#NAME?</x:v>
      </x:c>
      <x:c r="V496" s="146" t="e">
        <x:f>IF($A496="","",[1]!thsiFinD("ths_adjustment_nv_fund",V$3,$A496))</x:f>
        <x:v>#NAME?</x:v>
      </x:c>
      <x:c r="W496" s="146" t="e">
        <x:f>IF($A496="","",[1]!thsiFinD("ths_adjustment_nv_fund",W$3,$A496))</x:f>
        <x:v>#NAME?</x:v>
      </x:c>
      <x:c r="X496" s="146" t="e">
        <x:f>IF($A496="","",[1]!thsiFinD("ths_adjustment_nv_fund",X$3,$A496))</x:f>
        <x:v>#NAME?</x:v>
      </x:c>
      <x:c r="Y496" s="146" t="e">
        <x:f>IF($A496="","",[1]!thsiFinD("ths_adjustment_nv_fund",Y$3,$A496))</x:f>
        <x:v>#NAME?</x:v>
      </x:c>
      <x:c r="Z496" s="146" t="e">
        <x:f>IF($A496="","",[1]!thsiFinD("ths_adjustment_nv_fund",Z$3,$A496))</x:f>
        <x:v>#NAME?</x:v>
      </x:c>
      <x:c r="AA496" s="146" t="e">
        <x:f>IF($A496="","",[1]!thsiFinD("ths_adjustment_nv_fund",AA$3,$A496))</x:f>
        <x:v>#NAME?</x:v>
      </x:c>
    </x:row>
    <x:row r="497">
      <x:c r="B497" s="146" t="e">
        <x:f>IF($A497="","",[1]!thsiFinD("ths_adjustment_nv_fund",B$3,$A497))</x:f>
        <x:v>#NAME?</x:v>
      </x:c>
      <x:c r="C497" s="146" t="e">
        <x:f>IF($A497="","",[1]!thsiFinD("ths_adjustment_nv_fund",C$3,$A497))</x:f>
        <x:v>#NAME?</x:v>
      </x:c>
      <x:c r="D497" s="146" t="e">
        <x:f>IF($A497="","",[1]!thsiFinD("ths_adjustment_nv_fund",D$3,$A497))</x:f>
        <x:v>#NAME?</x:v>
      </x:c>
      <x:c r="E497" s="146" t="e">
        <x:f>IF($A497="","",[1]!thsiFinD("ths_adjustment_nv_fund",E$3,$A497))</x:f>
        <x:v>#NAME?</x:v>
      </x:c>
      <x:c r="F497" s="146" t="e">
        <x:f>IF($A497="","",[1]!thsiFinD("ths_adjustment_nv_fund",F$3,$A497))</x:f>
        <x:v>#NAME?</x:v>
      </x:c>
      <x:c r="G497" s="146" t="e">
        <x:f>IF($A497="","",[1]!thsiFinD("ths_adjustment_nv_fund",G$3,$A497))</x:f>
        <x:v>#NAME?</x:v>
      </x:c>
      <x:c r="H497" s="146" t="e">
        <x:f>IF($A497="","",[1]!thsiFinD("ths_adjustment_nv_fund",H$3,$A497))</x:f>
        <x:v>#NAME?</x:v>
      </x:c>
      <x:c r="I497" s="146" t="e">
        <x:f>IF($A497="","",[1]!thsiFinD("ths_adjustment_nv_fund",I$3,$A497))</x:f>
        <x:v>#NAME?</x:v>
      </x:c>
      <x:c r="J497" s="146" t="e">
        <x:f>IF($A497="","",[1]!thsiFinD("ths_adjustment_nv_fund",J$3,$A497))</x:f>
        <x:v>#NAME?</x:v>
      </x:c>
      <x:c r="K497" s="146" t="e">
        <x:f>IF($A497="","",[1]!thsiFinD("ths_adjustment_nv_fund",K$3,$A497))</x:f>
        <x:v>#NAME?</x:v>
      </x:c>
      <x:c r="L497" s="146" t="e">
        <x:f>IF($A497="","",[1]!thsiFinD("ths_adjustment_nv_fund",L$3,$A497))</x:f>
        <x:v>#NAME?</x:v>
      </x:c>
      <x:c r="M497" s="146" t="e">
        <x:f>IF($A497="","",[1]!thsiFinD("ths_adjustment_nv_fund",M$3,$A497))</x:f>
        <x:v>#NAME?</x:v>
      </x:c>
      <x:c r="N497" s="146" t="e">
        <x:f>IF($A497="","",[1]!thsiFinD("ths_adjustment_nv_fund",N$3,$A497))</x:f>
        <x:v>#NAME?</x:v>
      </x:c>
      <x:c r="O497" s="146" t="e">
        <x:f>IF($A497="","",[1]!thsiFinD("ths_adjustment_nv_fund",O$3,$A497))</x:f>
        <x:v>#NAME?</x:v>
      </x:c>
      <x:c r="P497" s="146" t="e">
        <x:f>IF($A497="","",[1]!thsiFinD("ths_adjustment_nv_fund",P$3,$A497))</x:f>
        <x:v>#NAME?</x:v>
      </x:c>
      <x:c r="Q497" s="146" t="e">
        <x:f>IF($A497="","",[1]!thsiFinD("ths_adjustment_nv_fund",Q$3,$A497))</x:f>
        <x:v>#NAME?</x:v>
      </x:c>
      <x:c r="R497" s="146" t="e">
        <x:f>IF($A497="","",[1]!thsiFinD("ths_adjustment_nv_fund",R$3,$A497))</x:f>
        <x:v>#NAME?</x:v>
      </x:c>
      <x:c r="S497" s="146" t="e">
        <x:f>IF($A497="","",[1]!thsiFinD("ths_adjustment_nv_fund",S$3,$A497))</x:f>
        <x:v>#NAME?</x:v>
      </x:c>
      <x:c r="T497" s="146" t="e">
        <x:f>IF($A497="","",[1]!thsiFinD("ths_adjustment_nv_fund",T$3,$A497))</x:f>
        <x:v>#NAME?</x:v>
      </x:c>
      <x:c r="U497" s="146" t="e">
        <x:f>IF($A497="","",[1]!thsiFinD("ths_adjustment_nv_fund",U$3,$A497))</x:f>
        <x:v>#NAME?</x:v>
      </x:c>
      <x:c r="V497" s="146" t="e">
        <x:f>IF($A497="","",[1]!thsiFinD("ths_adjustment_nv_fund",V$3,$A497))</x:f>
        <x:v>#NAME?</x:v>
      </x:c>
      <x:c r="W497" s="146" t="e">
        <x:f>IF($A497="","",[1]!thsiFinD("ths_adjustment_nv_fund",W$3,$A497))</x:f>
        <x:v>#NAME?</x:v>
      </x:c>
      <x:c r="X497" s="146" t="e">
        <x:f>IF($A497="","",[1]!thsiFinD("ths_adjustment_nv_fund",X$3,$A497))</x:f>
        <x:v>#NAME?</x:v>
      </x:c>
      <x:c r="Y497" s="146" t="e">
        <x:f>IF($A497="","",[1]!thsiFinD("ths_adjustment_nv_fund",Y$3,$A497))</x:f>
        <x:v>#NAME?</x:v>
      </x:c>
      <x:c r="Z497" s="146" t="e">
        <x:f>IF($A497="","",[1]!thsiFinD("ths_adjustment_nv_fund",Z$3,$A497))</x:f>
        <x:v>#NAME?</x:v>
      </x:c>
      <x:c r="AA497" s="146" t="e">
        <x:f>IF($A497="","",[1]!thsiFinD("ths_adjustment_nv_fund",AA$3,$A497))</x:f>
        <x:v>#NAME?</x:v>
      </x:c>
    </x:row>
    <x:row r="498">
      <x:c r="B498" s="146" t="e">
        <x:f>IF($A498="","",[1]!thsiFinD("ths_adjustment_nv_fund",B$3,$A498))</x:f>
        <x:v>#NAME?</x:v>
      </x:c>
      <x:c r="C498" s="146" t="e">
        <x:f>IF($A498="","",[1]!thsiFinD("ths_adjustment_nv_fund",C$3,$A498))</x:f>
        <x:v>#NAME?</x:v>
      </x:c>
      <x:c r="D498" s="146" t="e">
        <x:f>IF($A498="","",[1]!thsiFinD("ths_adjustment_nv_fund",D$3,$A498))</x:f>
        <x:v>#NAME?</x:v>
      </x:c>
      <x:c r="E498" s="146" t="e">
        <x:f>IF($A498="","",[1]!thsiFinD("ths_adjustment_nv_fund",E$3,$A498))</x:f>
        <x:v>#NAME?</x:v>
      </x:c>
      <x:c r="F498" s="146" t="e">
        <x:f>IF($A498="","",[1]!thsiFinD("ths_adjustment_nv_fund",F$3,$A498))</x:f>
        <x:v>#NAME?</x:v>
      </x:c>
      <x:c r="G498" s="146" t="e">
        <x:f>IF($A498="","",[1]!thsiFinD("ths_adjustment_nv_fund",G$3,$A498))</x:f>
        <x:v>#NAME?</x:v>
      </x:c>
      <x:c r="H498" s="146" t="e">
        <x:f>IF($A498="","",[1]!thsiFinD("ths_adjustment_nv_fund",H$3,$A498))</x:f>
        <x:v>#NAME?</x:v>
      </x:c>
      <x:c r="I498" s="146" t="e">
        <x:f>IF($A498="","",[1]!thsiFinD("ths_adjustment_nv_fund",I$3,$A498))</x:f>
        <x:v>#NAME?</x:v>
      </x:c>
      <x:c r="J498" s="146" t="e">
        <x:f>IF($A498="","",[1]!thsiFinD("ths_adjustment_nv_fund",J$3,$A498))</x:f>
        <x:v>#NAME?</x:v>
      </x:c>
      <x:c r="K498" s="146" t="e">
        <x:f>IF($A498="","",[1]!thsiFinD("ths_adjustment_nv_fund",K$3,$A498))</x:f>
        <x:v>#NAME?</x:v>
      </x:c>
      <x:c r="L498" s="146" t="e">
        <x:f>IF($A498="","",[1]!thsiFinD("ths_adjustment_nv_fund",L$3,$A498))</x:f>
        <x:v>#NAME?</x:v>
      </x:c>
      <x:c r="M498" s="146" t="e">
        <x:f>IF($A498="","",[1]!thsiFinD("ths_adjustment_nv_fund",M$3,$A498))</x:f>
        <x:v>#NAME?</x:v>
      </x:c>
      <x:c r="N498" s="146" t="e">
        <x:f>IF($A498="","",[1]!thsiFinD("ths_adjustment_nv_fund",N$3,$A498))</x:f>
        <x:v>#NAME?</x:v>
      </x:c>
      <x:c r="O498" s="146" t="e">
        <x:f>IF($A498="","",[1]!thsiFinD("ths_adjustment_nv_fund",O$3,$A498))</x:f>
        <x:v>#NAME?</x:v>
      </x:c>
      <x:c r="P498" s="146" t="e">
        <x:f>IF($A498="","",[1]!thsiFinD("ths_adjustment_nv_fund",P$3,$A498))</x:f>
        <x:v>#NAME?</x:v>
      </x:c>
      <x:c r="Q498" s="146" t="e">
        <x:f>IF($A498="","",[1]!thsiFinD("ths_adjustment_nv_fund",Q$3,$A498))</x:f>
        <x:v>#NAME?</x:v>
      </x:c>
      <x:c r="R498" s="146" t="e">
        <x:f>IF($A498="","",[1]!thsiFinD("ths_adjustment_nv_fund",R$3,$A498))</x:f>
        <x:v>#NAME?</x:v>
      </x:c>
      <x:c r="S498" s="146" t="e">
        <x:f>IF($A498="","",[1]!thsiFinD("ths_adjustment_nv_fund",S$3,$A498))</x:f>
        <x:v>#NAME?</x:v>
      </x:c>
      <x:c r="T498" s="146" t="e">
        <x:f>IF($A498="","",[1]!thsiFinD("ths_adjustment_nv_fund",T$3,$A498))</x:f>
        <x:v>#NAME?</x:v>
      </x:c>
      <x:c r="U498" s="146" t="e">
        <x:f>IF($A498="","",[1]!thsiFinD("ths_adjustment_nv_fund",U$3,$A498))</x:f>
        <x:v>#NAME?</x:v>
      </x:c>
      <x:c r="V498" s="146" t="e">
        <x:f>IF($A498="","",[1]!thsiFinD("ths_adjustment_nv_fund",V$3,$A498))</x:f>
        <x:v>#NAME?</x:v>
      </x:c>
      <x:c r="W498" s="146" t="e">
        <x:f>IF($A498="","",[1]!thsiFinD("ths_adjustment_nv_fund",W$3,$A498))</x:f>
        <x:v>#NAME?</x:v>
      </x:c>
      <x:c r="X498" s="146" t="e">
        <x:f>IF($A498="","",[1]!thsiFinD("ths_adjustment_nv_fund",X$3,$A498))</x:f>
        <x:v>#NAME?</x:v>
      </x:c>
      <x:c r="Y498" s="146" t="e">
        <x:f>IF($A498="","",[1]!thsiFinD("ths_adjustment_nv_fund",Y$3,$A498))</x:f>
        <x:v>#NAME?</x:v>
      </x:c>
      <x:c r="Z498" s="146" t="e">
        <x:f>IF($A498="","",[1]!thsiFinD("ths_adjustment_nv_fund",Z$3,$A498))</x:f>
        <x:v>#NAME?</x:v>
      </x:c>
      <x:c r="AA498" s="146" t="e">
        <x:f>IF($A498="","",[1]!thsiFinD("ths_adjustment_nv_fund",AA$3,$A498))</x:f>
        <x:v>#NAME?</x:v>
      </x:c>
    </x:row>
    <x:row r="499">
      <x:c r="B499" s="146" t="e">
        <x:f>IF($A499="","",[1]!thsiFinD("ths_adjustment_nv_fund",B$3,$A499))</x:f>
        <x:v>#NAME?</x:v>
      </x:c>
      <x:c r="C499" s="146" t="e">
        <x:f>IF($A499="","",[1]!thsiFinD("ths_adjustment_nv_fund",C$3,$A499))</x:f>
        <x:v>#NAME?</x:v>
      </x:c>
      <x:c r="D499" s="146" t="e">
        <x:f>IF($A499="","",[1]!thsiFinD("ths_adjustment_nv_fund",D$3,$A499))</x:f>
        <x:v>#NAME?</x:v>
      </x:c>
      <x:c r="E499" s="146" t="e">
        <x:f>IF($A499="","",[1]!thsiFinD("ths_adjustment_nv_fund",E$3,$A499))</x:f>
        <x:v>#NAME?</x:v>
      </x:c>
      <x:c r="F499" s="146" t="e">
        <x:f>IF($A499="","",[1]!thsiFinD("ths_adjustment_nv_fund",F$3,$A499))</x:f>
        <x:v>#NAME?</x:v>
      </x:c>
      <x:c r="G499" s="146" t="e">
        <x:f>IF($A499="","",[1]!thsiFinD("ths_adjustment_nv_fund",G$3,$A499))</x:f>
        <x:v>#NAME?</x:v>
      </x:c>
      <x:c r="H499" s="146" t="e">
        <x:f>IF($A499="","",[1]!thsiFinD("ths_adjustment_nv_fund",H$3,$A499))</x:f>
        <x:v>#NAME?</x:v>
      </x:c>
      <x:c r="I499" s="146" t="e">
        <x:f>IF($A499="","",[1]!thsiFinD("ths_adjustment_nv_fund",I$3,$A499))</x:f>
        <x:v>#NAME?</x:v>
      </x:c>
      <x:c r="J499" s="146" t="e">
        <x:f>IF($A499="","",[1]!thsiFinD("ths_adjustment_nv_fund",J$3,$A499))</x:f>
        <x:v>#NAME?</x:v>
      </x:c>
      <x:c r="K499" s="146" t="e">
        <x:f>IF($A499="","",[1]!thsiFinD("ths_adjustment_nv_fund",K$3,$A499))</x:f>
        <x:v>#NAME?</x:v>
      </x:c>
      <x:c r="L499" s="146" t="e">
        <x:f>IF($A499="","",[1]!thsiFinD("ths_adjustment_nv_fund",L$3,$A499))</x:f>
        <x:v>#NAME?</x:v>
      </x:c>
      <x:c r="M499" s="146" t="e">
        <x:f>IF($A499="","",[1]!thsiFinD("ths_adjustment_nv_fund",M$3,$A499))</x:f>
        <x:v>#NAME?</x:v>
      </x:c>
      <x:c r="N499" s="146" t="e">
        <x:f>IF($A499="","",[1]!thsiFinD("ths_adjustment_nv_fund",N$3,$A499))</x:f>
        <x:v>#NAME?</x:v>
      </x:c>
      <x:c r="O499" s="146" t="e">
        <x:f>IF($A499="","",[1]!thsiFinD("ths_adjustment_nv_fund",O$3,$A499))</x:f>
        <x:v>#NAME?</x:v>
      </x:c>
      <x:c r="P499" s="146" t="e">
        <x:f>IF($A499="","",[1]!thsiFinD("ths_adjustment_nv_fund",P$3,$A499))</x:f>
        <x:v>#NAME?</x:v>
      </x:c>
      <x:c r="Q499" s="146" t="e">
        <x:f>IF($A499="","",[1]!thsiFinD("ths_adjustment_nv_fund",Q$3,$A499))</x:f>
        <x:v>#NAME?</x:v>
      </x:c>
      <x:c r="R499" s="146" t="e">
        <x:f>IF($A499="","",[1]!thsiFinD("ths_adjustment_nv_fund",R$3,$A499))</x:f>
        <x:v>#NAME?</x:v>
      </x:c>
      <x:c r="S499" s="146" t="e">
        <x:f>IF($A499="","",[1]!thsiFinD("ths_adjustment_nv_fund",S$3,$A499))</x:f>
        <x:v>#NAME?</x:v>
      </x:c>
      <x:c r="T499" s="146" t="e">
        <x:f>IF($A499="","",[1]!thsiFinD("ths_adjustment_nv_fund",T$3,$A499))</x:f>
        <x:v>#NAME?</x:v>
      </x:c>
      <x:c r="U499" s="146" t="e">
        <x:f>IF($A499="","",[1]!thsiFinD("ths_adjustment_nv_fund",U$3,$A499))</x:f>
        <x:v>#NAME?</x:v>
      </x:c>
      <x:c r="V499" s="146" t="e">
        <x:f>IF($A499="","",[1]!thsiFinD("ths_adjustment_nv_fund",V$3,$A499))</x:f>
        <x:v>#NAME?</x:v>
      </x:c>
      <x:c r="W499" s="146" t="e">
        <x:f>IF($A499="","",[1]!thsiFinD("ths_adjustment_nv_fund",W$3,$A499))</x:f>
        <x:v>#NAME?</x:v>
      </x:c>
      <x:c r="X499" s="146" t="e">
        <x:f>IF($A499="","",[1]!thsiFinD("ths_adjustment_nv_fund",X$3,$A499))</x:f>
        <x:v>#NAME?</x:v>
      </x:c>
      <x:c r="Y499" s="146" t="e">
        <x:f>IF($A499="","",[1]!thsiFinD("ths_adjustment_nv_fund",Y$3,$A499))</x:f>
        <x:v>#NAME?</x:v>
      </x:c>
      <x:c r="Z499" s="146" t="e">
        <x:f>IF($A499="","",[1]!thsiFinD("ths_adjustment_nv_fund",Z$3,$A499))</x:f>
        <x:v>#NAME?</x:v>
      </x:c>
      <x:c r="AA499" s="146" t="e">
        <x:f>IF($A499="","",[1]!thsiFinD("ths_adjustment_nv_fund",AA$3,$A499))</x:f>
        <x:v>#NAME?</x:v>
      </x:c>
    </x:row>
    <x:row r="500">
      <x:c r="B500" s="146" t="e">
        <x:f>IF($A500="","",[1]!thsiFinD("ths_adjustment_nv_fund",B$3,$A500))</x:f>
        <x:v>#NAME?</x:v>
      </x:c>
      <x:c r="C500" s="146" t="e">
        <x:f>IF($A500="","",[1]!thsiFinD("ths_adjustment_nv_fund",C$3,$A500))</x:f>
        <x:v>#NAME?</x:v>
      </x:c>
      <x:c r="D500" s="146" t="e">
        <x:f>IF($A500="","",[1]!thsiFinD("ths_adjustment_nv_fund",D$3,$A500))</x:f>
        <x:v>#NAME?</x:v>
      </x:c>
      <x:c r="E500" s="146" t="e">
        <x:f>IF($A500="","",[1]!thsiFinD("ths_adjustment_nv_fund",E$3,$A500))</x:f>
        <x:v>#NAME?</x:v>
      </x:c>
      <x:c r="F500" s="146" t="e">
        <x:f>IF($A500="","",[1]!thsiFinD("ths_adjustment_nv_fund",F$3,$A500))</x:f>
        <x:v>#NAME?</x:v>
      </x:c>
      <x:c r="G500" s="146" t="e">
        <x:f>IF($A500="","",[1]!thsiFinD("ths_adjustment_nv_fund",G$3,$A500))</x:f>
        <x:v>#NAME?</x:v>
      </x:c>
      <x:c r="H500" s="146" t="e">
        <x:f>IF($A500="","",[1]!thsiFinD("ths_adjustment_nv_fund",H$3,$A500))</x:f>
        <x:v>#NAME?</x:v>
      </x:c>
      <x:c r="I500" s="146" t="e">
        <x:f>IF($A500="","",[1]!thsiFinD("ths_adjustment_nv_fund",I$3,$A500))</x:f>
        <x:v>#NAME?</x:v>
      </x:c>
      <x:c r="J500" s="146" t="e">
        <x:f>IF($A500="","",[1]!thsiFinD("ths_adjustment_nv_fund",J$3,$A500))</x:f>
        <x:v>#NAME?</x:v>
      </x:c>
      <x:c r="K500" s="146" t="e">
        <x:f>IF($A500="","",[1]!thsiFinD("ths_adjustment_nv_fund",K$3,$A500))</x:f>
        <x:v>#NAME?</x:v>
      </x:c>
      <x:c r="L500" s="146" t="e">
        <x:f>IF($A500="","",[1]!thsiFinD("ths_adjustment_nv_fund",L$3,$A500))</x:f>
        <x:v>#NAME?</x:v>
      </x:c>
      <x:c r="M500" s="146" t="e">
        <x:f>IF($A500="","",[1]!thsiFinD("ths_adjustment_nv_fund",M$3,$A500))</x:f>
        <x:v>#NAME?</x:v>
      </x:c>
      <x:c r="N500" s="146" t="e">
        <x:f>IF($A500="","",[1]!thsiFinD("ths_adjustment_nv_fund",N$3,$A500))</x:f>
        <x:v>#NAME?</x:v>
      </x:c>
      <x:c r="O500" s="146" t="e">
        <x:f>IF($A500="","",[1]!thsiFinD("ths_adjustment_nv_fund",O$3,$A500))</x:f>
        <x:v>#NAME?</x:v>
      </x:c>
      <x:c r="P500" s="146" t="e">
        <x:f>IF($A500="","",[1]!thsiFinD("ths_adjustment_nv_fund",P$3,$A500))</x:f>
        <x:v>#NAME?</x:v>
      </x:c>
      <x:c r="Q500" s="146" t="e">
        <x:f>IF($A500="","",[1]!thsiFinD("ths_adjustment_nv_fund",Q$3,$A500))</x:f>
        <x:v>#NAME?</x:v>
      </x:c>
      <x:c r="R500" s="146" t="e">
        <x:f>IF($A500="","",[1]!thsiFinD("ths_adjustment_nv_fund",R$3,$A500))</x:f>
        <x:v>#NAME?</x:v>
      </x:c>
      <x:c r="S500" s="146" t="e">
        <x:f>IF($A500="","",[1]!thsiFinD("ths_adjustment_nv_fund",S$3,$A500))</x:f>
        <x:v>#NAME?</x:v>
      </x:c>
      <x:c r="T500" s="146" t="e">
        <x:f>IF($A500="","",[1]!thsiFinD("ths_adjustment_nv_fund",T$3,$A500))</x:f>
        <x:v>#NAME?</x:v>
      </x:c>
      <x:c r="U500" s="146" t="e">
        <x:f>IF($A500="","",[1]!thsiFinD("ths_adjustment_nv_fund",U$3,$A500))</x:f>
        <x:v>#NAME?</x:v>
      </x:c>
      <x:c r="V500" s="146" t="e">
        <x:f>IF($A500="","",[1]!thsiFinD("ths_adjustment_nv_fund",V$3,$A500))</x:f>
        <x:v>#NAME?</x:v>
      </x:c>
      <x:c r="W500" s="146" t="e">
        <x:f>IF($A500="","",[1]!thsiFinD("ths_adjustment_nv_fund",W$3,$A500))</x:f>
        <x:v>#NAME?</x:v>
      </x:c>
      <x:c r="X500" s="146" t="e">
        <x:f>IF($A500="","",[1]!thsiFinD("ths_adjustment_nv_fund",X$3,$A500))</x:f>
        <x:v>#NAME?</x:v>
      </x:c>
      <x:c r="Y500" s="146" t="e">
        <x:f>IF($A500="","",[1]!thsiFinD("ths_adjustment_nv_fund",Y$3,$A500))</x:f>
        <x:v>#NAME?</x:v>
      </x:c>
      <x:c r="Z500" s="146" t="e">
        <x:f>IF($A500="","",[1]!thsiFinD("ths_adjustment_nv_fund",Z$3,$A500))</x:f>
        <x:v>#NAME?</x:v>
      </x:c>
      <x:c r="AA500" s="146" t="e">
        <x:f>IF($A500="","",[1]!thsiFinD("ths_adjustment_nv_fund",AA$3,$A500))</x:f>
        <x:v>#NAME?</x:v>
      </x:c>
    </x:row>
    <x:row r="501">
      <x:c r="B501" s="146" t="e">
        <x:f>IF($A501="","",[1]!thsiFinD("ths_adjustment_nv_fund",B$3,$A501))</x:f>
        <x:v>#NAME?</x:v>
      </x:c>
      <x:c r="C501" s="146" t="e">
        <x:f>IF($A501="","",[1]!thsiFinD("ths_adjustment_nv_fund",C$3,$A501))</x:f>
        <x:v>#NAME?</x:v>
      </x:c>
      <x:c r="D501" s="146" t="e">
        <x:f>IF($A501="","",[1]!thsiFinD("ths_adjustment_nv_fund",D$3,$A501))</x:f>
        <x:v>#NAME?</x:v>
      </x:c>
      <x:c r="E501" s="146" t="e">
        <x:f>IF($A501="","",[1]!thsiFinD("ths_adjustment_nv_fund",E$3,$A501))</x:f>
        <x:v>#NAME?</x:v>
      </x:c>
      <x:c r="F501" s="146" t="e">
        <x:f>IF($A501="","",[1]!thsiFinD("ths_adjustment_nv_fund",F$3,$A501))</x:f>
        <x:v>#NAME?</x:v>
      </x:c>
      <x:c r="G501" s="146" t="e">
        <x:f>IF($A501="","",[1]!thsiFinD("ths_adjustment_nv_fund",G$3,$A501))</x:f>
        <x:v>#NAME?</x:v>
      </x:c>
      <x:c r="H501" s="146" t="e">
        <x:f>IF($A501="","",[1]!thsiFinD("ths_adjustment_nv_fund",H$3,$A501))</x:f>
        <x:v>#NAME?</x:v>
      </x:c>
      <x:c r="I501" s="146" t="e">
        <x:f>IF($A501="","",[1]!thsiFinD("ths_adjustment_nv_fund",I$3,$A501))</x:f>
        <x:v>#NAME?</x:v>
      </x:c>
      <x:c r="J501" s="146" t="e">
        <x:f>IF($A501="","",[1]!thsiFinD("ths_adjustment_nv_fund",J$3,$A501))</x:f>
        <x:v>#NAME?</x:v>
      </x:c>
      <x:c r="K501" s="146" t="e">
        <x:f>IF($A501="","",[1]!thsiFinD("ths_adjustment_nv_fund",K$3,$A501))</x:f>
        <x:v>#NAME?</x:v>
      </x:c>
      <x:c r="L501" s="146" t="e">
        <x:f>IF($A501="","",[1]!thsiFinD("ths_adjustment_nv_fund",L$3,$A501))</x:f>
        <x:v>#NAME?</x:v>
      </x:c>
      <x:c r="M501" s="146" t="e">
        <x:f>IF($A501="","",[1]!thsiFinD("ths_adjustment_nv_fund",M$3,$A501))</x:f>
        <x:v>#NAME?</x:v>
      </x:c>
      <x:c r="N501" s="146" t="e">
        <x:f>IF($A501="","",[1]!thsiFinD("ths_adjustment_nv_fund",N$3,$A501))</x:f>
        <x:v>#NAME?</x:v>
      </x:c>
      <x:c r="O501" s="146" t="e">
        <x:f>IF($A501="","",[1]!thsiFinD("ths_adjustment_nv_fund",O$3,$A501))</x:f>
        <x:v>#NAME?</x:v>
      </x:c>
      <x:c r="P501" s="146" t="e">
        <x:f>IF($A501="","",[1]!thsiFinD("ths_adjustment_nv_fund",P$3,$A501))</x:f>
        <x:v>#NAME?</x:v>
      </x:c>
      <x:c r="Q501" s="146" t="e">
        <x:f>IF($A501="","",[1]!thsiFinD("ths_adjustment_nv_fund",Q$3,$A501))</x:f>
        <x:v>#NAME?</x:v>
      </x:c>
      <x:c r="R501" s="146" t="e">
        <x:f>IF($A501="","",[1]!thsiFinD("ths_adjustment_nv_fund",R$3,$A501))</x:f>
        <x:v>#NAME?</x:v>
      </x:c>
      <x:c r="S501" s="146" t="e">
        <x:f>IF($A501="","",[1]!thsiFinD("ths_adjustment_nv_fund",S$3,$A501))</x:f>
        <x:v>#NAME?</x:v>
      </x:c>
      <x:c r="T501" s="146" t="e">
        <x:f>IF($A501="","",[1]!thsiFinD("ths_adjustment_nv_fund",T$3,$A501))</x:f>
        <x:v>#NAME?</x:v>
      </x:c>
      <x:c r="U501" s="146" t="e">
        <x:f>IF($A501="","",[1]!thsiFinD("ths_adjustment_nv_fund",U$3,$A501))</x:f>
        <x:v>#NAME?</x:v>
      </x:c>
      <x:c r="V501" s="146" t="e">
        <x:f>IF($A501="","",[1]!thsiFinD("ths_adjustment_nv_fund",V$3,$A501))</x:f>
        <x:v>#NAME?</x:v>
      </x:c>
      <x:c r="W501" s="146" t="e">
        <x:f>IF($A501="","",[1]!thsiFinD("ths_adjustment_nv_fund",W$3,$A501))</x:f>
        <x:v>#NAME?</x:v>
      </x:c>
      <x:c r="X501" s="146" t="e">
        <x:f>IF($A501="","",[1]!thsiFinD("ths_adjustment_nv_fund",X$3,$A501))</x:f>
        <x:v>#NAME?</x:v>
      </x:c>
      <x:c r="Y501" s="146" t="e">
        <x:f>IF($A501="","",[1]!thsiFinD("ths_adjustment_nv_fund",Y$3,$A501))</x:f>
        <x:v>#NAME?</x:v>
      </x:c>
      <x:c r="Z501" s="146" t="e">
        <x:f>IF($A501="","",[1]!thsiFinD("ths_adjustment_nv_fund",Z$3,$A501))</x:f>
        <x:v>#NAME?</x:v>
      </x:c>
      <x:c r="AA501" s="146" t="e">
        <x:f>IF($A501="","",[1]!thsiFinD("ths_adjustment_nv_fund",AA$3,$A501))</x:f>
        <x:v>#NAME?</x:v>
      </x:c>
    </x:row>
    <x:row r="502">
      <x:c r="B502" s="146" t="e">
        <x:f>IF($A502="","",[1]!thsiFinD("ths_adjustment_nv_fund",B$3,$A502))</x:f>
        <x:v>#NAME?</x:v>
      </x:c>
      <x:c r="C502" s="146" t="e">
        <x:f>IF($A502="","",[1]!thsiFinD("ths_adjustment_nv_fund",C$3,$A502))</x:f>
        <x:v>#NAME?</x:v>
      </x:c>
      <x:c r="D502" s="146" t="e">
        <x:f>IF($A502="","",[1]!thsiFinD("ths_adjustment_nv_fund",D$3,$A502))</x:f>
        <x:v>#NAME?</x:v>
      </x:c>
      <x:c r="E502" s="146" t="e">
        <x:f>IF($A502="","",[1]!thsiFinD("ths_adjustment_nv_fund",E$3,$A502))</x:f>
        <x:v>#NAME?</x:v>
      </x:c>
      <x:c r="F502" s="146" t="e">
        <x:f>IF($A502="","",[1]!thsiFinD("ths_adjustment_nv_fund",F$3,$A502))</x:f>
        <x:v>#NAME?</x:v>
      </x:c>
      <x:c r="G502" s="146" t="e">
        <x:f>IF($A502="","",[1]!thsiFinD("ths_adjustment_nv_fund",G$3,$A502))</x:f>
        <x:v>#NAME?</x:v>
      </x:c>
      <x:c r="H502" s="146" t="e">
        <x:f>IF($A502="","",[1]!thsiFinD("ths_adjustment_nv_fund",H$3,$A502))</x:f>
        <x:v>#NAME?</x:v>
      </x:c>
      <x:c r="I502" s="146" t="e">
        <x:f>IF($A502="","",[1]!thsiFinD("ths_adjustment_nv_fund",I$3,$A502))</x:f>
        <x:v>#NAME?</x:v>
      </x:c>
      <x:c r="J502" s="146" t="e">
        <x:f>IF($A502="","",[1]!thsiFinD("ths_adjustment_nv_fund",J$3,$A502))</x:f>
        <x:v>#NAME?</x:v>
      </x:c>
      <x:c r="K502" s="146" t="e">
        <x:f>IF($A502="","",[1]!thsiFinD("ths_adjustment_nv_fund",K$3,$A502))</x:f>
        <x:v>#NAME?</x:v>
      </x:c>
      <x:c r="L502" s="146" t="e">
        <x:f>IF($A502="","",[1]!thsiFinD("ths_adjustment_nv_fund",L$3,$A502))</x:f>
        <x:v>#NAME?</x:v>
      </x:c>
      <x:c r="M502" s="146" t="e">
        <x:f>IF($A502="","",[1]!thsiFinD("ths_adjustment_nv_fund",M$3,$A502))</x:f>
        <x:v>#NAME?</x:v>
      </x:c>
      <x:c r="N502" s="146" t="e">
        <x:f>IF($A502="","",[1]!thsiFinD("ths_adjustment_nv_fund",N$3,$A502))</x:f>
        <x:v>#NAME?</x:v>
      </x:c>
      <x:c r="O502" s="146" t="e">
        <x:f>IF($A502="","",[1]!thsiFinD("ths_adjustment_nv_fund",O$3,$A502))</x:f>
        <x:v>#NAME?</x:v>
      </x:c>
      <x:c r="P502" s="146" t="e">
        <x:f>IF($A502="","",[1]!thsiFinD("ths_adjustment_nv_fund",P$3,$A502))</x:f>
        <x:v>#NAME?</x:v>
      </x:c>
      <x:c r="Q502" s="146" t="e">
        <x:f>IF($A502="","",[1]!thsiFinD("ths_adjustment_nv_fund",Q$3,$A502))</x:f>
        <x:v>#NAME?</x:v>
      </x:c>
      <x:c r="R502" s="146" t="e">
        <x:f>IF($A502="","",[1]!thsiFinD("ths_adjustment_nv_fund",R$3,$A502))</x:f>
        <x:v>#NAME?</x:v>
      </x:c>
      <x:c r="S502" s="146" t="e">
        <x:f>IF($A502="","",[1]!thsiFinD("ths_adjustment_nv_fund",S$3,$A502))</x:f>
        <x:v>#NAME?</x:v>
      </x:c>
      <x:c r="T502" s="146" t="e">
        <x:f>IF($A502="","",[1]!thsiFinD("ths_adjustment_nv_fund",T$3,$A502))</x:f>
        <x:v>#NAME?</x:v>
      </x:c>
      <x:c r="U502" s="146" t="e">
        <x:f>IF($A502="","",[1]!thsiFinD("ths_adjustment_nv_fund",U$3,$A502))</x:f>
        <x:v>#NAME?</x:v>
      </x:c>
      <x:c r="V502" s="146" t="e">
        <x:f>IF($A502="","",[1]!thsiFinD("ths_adjustment_nv_fund",V$3,$A502))</x:f>
        <x:v>#NAME?</x:v>
      </x:c>
      <x:c r="W502" s="146" t="e">
        <x:f>IF($A502="","",[1]!thsiFinD("ths_adjustment_nv_fund",W$3,$A502))</x:f>
        <x:v>#NAME?</x:v>
      </x:c>
      <x:c r="X502" s="146" t="e">
        <x:f>IF($A502="","",[1]!thsiFinD("ths_adjustment_nv_fund",X$3,$A502))</x:f>
        <x:v>#NAME?</x:v>
      </x:c>
      <x:c r="Y502" s="146" t="e">
        <x:f>IF($A502="","",[1]!thsiFinD("ths_adjustment_nv_fund",Y$3,$A502))</x:f>
        <x:v>#NAME?</x:v>
      </x:c>
      <x:c r="Z502" s="146" t="e">
        <x:f>IF($A502="","",[1]!thsiFinD("ths_adjustment_nv_fund",Z$3,$A502))</x:f>
        <x:v>#NAME?</x:v>
      </x:c>
      <x:c r="AA502" s="146" t="e">
        <x:f>IF($A502="","",[1]!thsiFinD("ths_adjustment_nv_fund",AA$3,$A502))</x:f>
        <x:v>#NAME?</x:v>
      </x:c>
    </x:row>
    <x:row r="503">
      <x:c r="B503" s="146" t="e">
        <x:f>IF($A503="","",[1]!thsiFinD("ths_adjustment_nv_fund",B$3,$A503))</x:f>
        <x:v>#NAME?</x:v>
      </x:c>
      <x:c r="C503" s="146" t="e">
        <x:f>IF($A503="","",[1]!thsiFinD("ths_adjustment_nv_fund",C$3,$A503))</x:f>
        <x:v>#NAME?</x:v>
      </x:c>
      <x:c r="D503" s="146" t="e">
        <x:f>IF($A503="","",[1]!thsiFinD("ths_adjustment_nv_fund",D$3,$A503))</x:f>
        <x:v>#NAME?</x:v>
      </x:c>
      <x:c r="E503" s="146" t="e">
        <x:f>IF($A503="","",[1]!thsiFinD("ths_adjustment_nv_fund",E$3,$A503))</x:f>
        <x:v>#NAME?</x:v>
      </x:c>
      <x:c r="F503" s="146" t="e">
        <x:f>IF($A503="","",[1]!thsiFinD("ths_adjustment_nv_fund",F$3,$A503))</x:f>
        <x:v>#NAME?</x:v>
      </x:c>
      <x:c r="G503" s="146" t="e">
        <x:f>IF($A503="","",[1]!thsiFinD("ths_adjustment_nv_fund",G$3,$A503))</x:f>
        <x:v>#NAME?</x:v>
      </x:c>
      <x:c r="H503" s="146" t="e">
        <x:f>IF($A503="","",[1]!thsiFinD("ths_adjustment_nv_fund",H$3,$A503))</x:f>
        <x:v>#NAME?</x:v>
      </x:c>
      <x:c r="I503" s="146" t="e">
        <x:f>IF($A503="","",[1]!thsiFinD("ths_adjustment_nv_fund",I$3,$A503))</x:f>
        <x:v>#NAME?</x:v>
      </x:c>
      <x:c r="J503" s="146" t="e">
        <x:f>IF($A503="","",[1]!thsiFinD("ths_adjustment_nv_fund",J$3,$A503))</x:f>
        <x:v>#NAME?</x:v>
      </x:c>
      <x:c r="K503" s="146" t="e">
        <x:f>IF($A503="","",[1]!thsiFinD("ths_adjustment_nv_fund",K$3,$A503))</x:f>
        <x:v>#NAME?</x:v>
      </x:c>
      <x:c r="L503" s="146" t="e">
        <x:f>IF($A503="","",[1]!thsiFinD("ths_adjustment_nv_fund",L$3,$A503))</x:f>
        <x:v>#NAME?</x:v>
      </x:c>
      <x:c r="M503" s="146" t="e">
        <x:f>IF($A503="","",[1]!thsiFinD("ths_adjustment_nv_fund",M$3,$A503))</x:f>
        <x:v>#NAME?</x:v>
      </x:c>
      <x:c r="N503" s="146" t="e">
        <x:f>IF($A503="","",[1]!thsiFinD("ths_adjustment_nv_fund",N$3,$A503))</x:f>
        <x:v>#NAME?</x:v>
      </x:c>
      <x:c r="O503" s="146" t="e">
        <x:f>IF($A503="","",[1]!thsiFinD("ths_adjustment_nv_fund",O$3,$A503))</x:f>
        <x:v>#NAME?</x:v>
      </x:c>
      <x:c r="P503" s="146" t="e">
        <x:f>IF($A503="","",[1]!thsiFinD("ths_adjustment_nv_fund",P$3,$A503))</x:f>
        <x:v>#NAME?</x:v>
      </x:c>
      <x:c r="Q503" s="146" t="e">
        <x:f>IF($A503="","",[1]!thsiFinD("ths_adjustment_nv_fund",Q$3,$A503))</x:f>
        <x:v>#NAME?</x:v>
      </x:c>
      <x:c r="R503" s="146" t="e">
        <x:f>IF($A503="","",[1]!thsiFinD("ths_adjustment_nv_fund",R$3,$A503))</x:f>
        <x:v>#NAME?</x:v>
      </x:c>
      <x:c r="S503" s="146" t="e">
        <x:f>IF($A503="","",[1]!thsiFinD("ths_adjustment_nv_fund",S$3,$A503))</x:f>
        <x:v>#NAME?</x:v>
      </x:c>
      <x:c r="T503" s="146" t="e">
        <x:f>IF($A503="","",[1]!thsiFinD("ths_adjustment_nv_fund",T$3,$A503))</x:f>
        <x:v>#NAME?</x:v>
      </x:c>
      <x:c r="U503" s="146" t="e">
        <x:f>IF($A503="","",[1]!thsiFinD("ths_adjustment_nv_fund",U$3,$A503))</x:f>
        <x:v>#NAME?</x:v>
      </x:c>
      <x:c r="V503" s="146" t="e">
        <x:f>IF($A503="","",[1]!thsiFinD("ths_adjustment_nv_fund",V$3,$A503))</x:f>
        <x:v>#NAME?</x:v>
      </x:c>
      <x:c r="W503" s="146" t="e">
        <x:f>IF($A503="","",[1]!thsiFinD("ths_adjustment_nv_fund",W$3,$A503))</x:f>
        <x:v>#NAME?</x:v>
      </x:c>
      <x:c r="X503" s="146" t="e">
        <x:f>IF($A503="","",[1]!thsiFinD("ths_adjustment_nv_fund",X$3,$A503))</x:f>
        <x:v>#NAME?</x:v>
      </x:c>
      <x:c r="Y503" s="146" t="e">
        <x:f>IF($A503="","",[1]!thsiFinD("ths_adjustment_nv_fund",Y$3,$A503))</x:f>
        <x:v>#NAME?</x:v>
      </x:c>
      <x:c r="Z503" s="146" t="e">
        <x:f>IF($A503="","",[1]!thsiFinD("ths_adjustment_nv_fund",Z$3,$A503))</x:f>
        <x:v>#NAME?</x:v>
      </x:c>
      <x:c r="AA503" s="146" t="e">
        <x:f>IF($A503="","",[1]!thsiFinD("ths_adjustment_nv_fund",AA$3,$A503))</x:f>
        <x:v>#NAME?</x:v>
      </x:c>
    </x:row>
    <x:row r="504">
      <x:c r="B504" s="146" t="e">
        <x:f>IF($A504="","",[1]!thsiFinD("ths_adjustment_nv_fund",B$3,$A504))</x:f>
        <x:v>#NAME?</x:v>
      </x:c>
      <x:c r="C504" s="146" t="e">
        <x:f>IF($A504="","",[1]!thsiFinD("ths_adjustment_nv_fund",C$3,$A504))</x:f>
        <x:v>#NAME?</x:v>
      </x:c>
      <x:c r="D504" s="146" t="e">
        <x:f>IF($A504="","",[1]!thsiFinD("ths_adjustment_nv_fund",D$3,$A504))</x:f>
        <x:v>#NAME?</x:v>
      </x:c>
      <x:c r="E504" s="146" t="e">
        <x:f>IF($A504="","",[1]!thsiFinD("ths_adjustment_nv_fund",E$3,$A504))</x:f>
        <x:v>#NAME?</x:v>
      </x:c>
      <x:c r="F504" s="146" t="e">
        <x:f>IF($A504="","",[1]!thsiFinD("ths_adjustment_nv_fund",F$3,$A504))</x:f>
        <x:v>#NAME?</x:v>
      </x:c>
      <x:c r="G504" s="146" t="e">
        <x:f>IF($A504="","",[1]!thsiFinD("ths_adjustment_nv_fund",G$3,$A504))</x:f>
        <x:v>#NAME?</x:v>
      </x:c>
      <x:c r="H504" s="146" t="e">
        <x:f>IF($A504="","",[1]!thsiFinD("ths_adjustment_nv_fund",H$3,$A504))</x:f>
        <x:v>#NAME?</x:v>
      </x:c>
      <x:c r="I504" s="146" t="e">
        <x:f>IF($A504="","",[1]!thsiFinD("ths_adjustment_nv_fund",I$3,$A504))</x:f>
        <x:v>#NAME?</x:v>
      </x:c>
      <x:c r="J504" s="146" t="e">
        <x:f>IF($A504="","",[1]!thsiFinD("ths_adjustment_nv_fund",J$3,$A504))</x:f>
        <x:v>#NAME?</x:v>
      </x:c>
      <x:c r="K504" s="146" t="e">
        <x:f>IF($A504="","",[1]!thsiFinD("ths_adjustment_nv_fund",K$3,$A504))</x:f>
        <x:v>#NAME?</x:v>
      </x:c>
      <x:c r="L504" s="146" t="e">
        <x:f>IF($A504="","",[1]!thsiFinD("ths_adjustment_nv_fund",L$3,$A504))</x:f>
        <x:v>#NAME?</x:v>
      </x:c>
      <x:c r="M504" s="146" t="e">
        <x:f>IF($A504="","",[1]!thsiFinD("ths_adjustment_nv_fund",M$3,$A504))</x:f>
        <x:v>#NAME?</x:v>
      </x:c>
      <x:c r="N504" s="146" t="e">
        <x:f>IF($A504="","",[1]!thsiFinD("ths_adjustment_nv_fund",N$3,$A504))</x:f>
        <x:v>#NAME?</x:v>
      </x:c>
      <x:c r="O504" s="146" t="e">
        <x:f>IF($A504="","",[1]!thsiFinD("ths_adjustment_nv_fund",O$3,$A504))</x:f>
        <x:v>#NAME?</x:v>
      </x:c>
      <x:c r="P504" s="146" t="e">
        <x:f>IF($A504="","",[1]!thsiFinD("ths_adjustment_nv_fund",P$3,$A504))</x:f>
        <x:v>#NAME?</x:v>
      </x:c>
      <x:c r="Q504" s="146" t="e">
        <x:f>IF($A504="","",[1]!thsiFinD("ths_adjustment_nv_fund",Q$3,$A504))</x:f>
        <x:v>#NAME?</x:v>
      </x:c>
      <x:c r="R504" s="146" t="e">
        <x:f>IF($A504="","",[1]!thsiFinD("ths_adjustment_nv_fund",R$3,$A504))</x:f>
        <x:v>#NAME?</x:v>
      </x:c>
      <x:c r="S504" s="146" t="e">
        <x:f>IF($A504="","",[1]!thsiFinD("ths_adjustment_nv_fund",S$3,$A504))</x:f>
        <x:v>#NAME?</x:v>
      </x:c>
      <x:c r="T504" s="146" t="e">
        <x:f>IF($A504="","",[1]!thsiFinD("ths_adjustment_nv_fund",T$3,$A504))</x:f>
        <x:v>#NAME?</x:v>
      </x:c>
      <x:c r="U504" s="146" t="e">
        <x:f>IF($A504="","",[1]!thsiFinD("ths_adjustment_nv_fund",U$3,$A504))</x:f>
        <x:v>#NAME?</x:v>
      </x:c>
      <x:c r="V504" s="146" t="e">
        <x:f>IF($A504="","",[1]!thsiFinD("ths_adjustment_nv_fund",V$3,$A504))</x:f>
        <x:v>#NAME?</x:v>
      </x:c>
      <x:c r="W504" s="146" t="e">
        <x:f>IF($A504="","",[1]!thsiFinD("ths_adjustment_nv_fund",W$3,$A504))</x:f>
        <x:v>#NAME?</x:v>
      </x:c>
      <x:c r="X504" s="146" t="e">
        <x:f>IF($A504="","",[1]!thsiFinD("ths_adjustment_nv_fund",X$3,$A504))</x:f>
        <x:v>#NAME?</x:v>
      </x:c>
      <x:c r="Y504" s="146" t="e">
        <x:f>IF($A504="","",[1]!thsiFinD("ths_adjustment_nv_fund",Y$3,$A504))</x:f>
        <x:v>#NAME?</x:v>
      </x:c>
      <x:c r="Z504" s="146" t="e">
        <x:f>IF($A504="","",[1]!thsiFinD("ths_adjustment_nv_fund",Z$3,$A504))</x:f>
        <x:v>#NAME?</x:v>
      </x:c>
      <x:c r="AA504" s="146" t="e">
        <x:f>IF($A504="","",[1]!thsiFinD("ths_adjustment_nv_fund",AA$3,$A504))</x:f>
        <x:v>#NAME?</x:v>
      </x:c>
    </x:row>
    <x:row r="505">
      <x:c r="B505" s="146" t="e">
        <x:f>IF($A505="","",[1]!thsiFinD("ths_adjustment_nv_fund",B$3,$A505))</x:f>
        <x:v>#NAME?</x:v>
      </x:c>
      <x:c r="C505" s="146" t="e">
        <x:f>IF($A505="","",[1]!thsiFinD("ths_adjustment_nv_fund",C$3,$A505))</x:f>
        <x:v>#NAME?</x:v>
      </x:c>
      <x:c r="D505" s="146" t="e">
        <x:f>IF($A505="","",[1]!thsiFinD("ths_adjustment_nv_fund",D$3,$A505))</x:f>
        <x:v>#NAME?</x:v>
      </x:c>
      <x:c r="E505" s="146" t="e">
        <x:f>IF($A505="","",[1]!thsiFinD("ths_adjustment_nv_fund",E$3,$A505))</x:f>
        <x:v>#NAME?</x:v>
      </x:c>
      <x:c r="F505" s="146" t="e">
        <x:f>IF($A505="","",[1]!thsiFinD("ths_adjustment_nv_fund",F$3,$A505))</x:f>
        <x:v>#NAME?</x:v>
      </x:c>
      <x:c r="G505" s="146" t="e">
        <x:f>IF($A505="","",[1]!thsiFinD("ths_adjustment_nv_fund",G$3,$A505))</x:f>
        <x:v>#NAME?</x:v>
      </x:c>
      <x:c r="H505" s="146" t="e">
        <x:f>IF($A505="","",[1]!thsiFinD("ths_adjustment_nv_fund",H$3,$A505))</x:f>
        <x:v>#NAME?</x:v>
      </x:c>
      <x:c r="I505" s="146" t="e">
        <x:f>IF($A505="","",[1]!thsiFinD("ths_adjustment_nv_fund",I$3,$A505))</x:f>
        <x:v>#NAME?</x:v>
      </x:c>
      <x:c r="J505" s="146" t="e">
        <x:f>IF($A505="","",[1]!thsiFinD("ths_adjustment_nv_fund",J$3,$A505))</x:f>
        <x:v>#NAME?</x:v>
      </x:c>
      <x:c r="K505" s="146" t="e">
        <x:f>IF($A505="","",[1]!thsiFinD("ths_adjustment_nv_fund",K$3,$A505))</x:f>
        <x:v>#NAME?</x:v>
      </x:c>
      <x:c r="L505" s="146" t="e">
        <x:f>IF($A505="","",[1]!thsiFinD("ths_adjustment_nv_fund",L$3,$A505))</x:f>
        <x:v>#NAME?</x:v>
      </x:c>
      <x:c r="M505" s="146" t="e">
        <x:f>IF($A505="","",[1]!thsiFinD("ths_adjustment_nv_fund",M$3,$A505))</x:f>
        <x:v>#NAME?</x:v>
      </x:c>
      <x:c r="N505" s="146" t="e">
        <x:f>IF($A505="","",[1]!thsiFinD("ths_adjustment_nv_fund",N$3,$A505))</x:f>
        <x:v>#NAME?</x:v>
      </x:c>
      <x:c r="O505" s="146" t="e">
        <x:f>IF($A505="","",[1]!thsiFinD("ths_adjustment_nv_fund",O$3,$A505))</x:f>
        <x:v>#NAME?</x:v>
      </x:c>
      <x:c r="P505" s="146" t="e">
        <x:f>IF($A505="","",[1]!thsiFinD("ths_adjustment_nv_fund",P$3,$A505))</x:f>
        <x:v>#NAME?</x:v>
      </x:c>
      <x:c r="Q505" s="146" t="e">
        <x:f>IF($A505="","",[1]!thsiFinD("ths_adjustment_nv_fund",Q$3,$A505))</x:f>
        <x:v>#NAME?</x:v>
      </x:c>
      <x:c r="R505" s="146" t="e">
        <x:f>IF($A505="","",[1]!thsiFinD("ths_adjustment_nv_fund",R$3,$A505))</x:f>
        <x:v>#NAME?</x:v>
      </x:c>
      <x:c r="S505" s="146" t="e">
        <x:f>IF($A505="","",[1]!thsiFinD("ths_adjustment_nv_fund",S$3,$A505))</x:f>
        <x:v>#NAME?</x:v>
      </x:c>
      <x:c r="T505" s="146" t="e">
        <x:f>IF($A505="","",[1]!thsiFinD("ths_adjustment_nv_fund",T$3,$A505))</x:f>
        <x:v>#NAME?</x:v>
      </x:c>
      <x:c r="U505" s="146" t="e">
        <x:f>IF($A505="","",[1]!thsiFinD("ths_adjustment_nv_fund",U$3,$A505))</x:f>
        <x:v>#NAME?</x:v>
      </x:c>
      <x:c r="V505" s="146" t="e">
        <x:f>IF($A505="","",[1]!thsiFinD("ths_adjustment_nv_fund",V$3,$A505))</x:f>
        <x:v>#NAME?</x:v>
      </x:c>
      <x:c r="W505" s="146" t="e">
        <x:f>IF($A505="","",[1]!thsiFinD("ths_adjustment_nv_fund",W$3,$A505))</x:f>
        <x:v>#NAME?</x:v>
      </x:c>
      <x:c r="X505" s="146" t="e">
        <x:f>IF($A505="","",[1]!thsiFinD("ths_adjustment_nv_fund",X$3,$A505))</x:f>
        <x:v>#NAME?</x:v>
      </x:c>
      <x:c r="Y505" s="146" t="e">
        <x:f>IF($A505="","",[1]!thsiFinD("ths_adjustment_nv_fund",Y$3,$A505))</x:f>
        <x:v>#NAME?</x:v>
      </x:c>
      <x:c r="Z505" s="146" t="e">
        <x:f>IF($A505="","",[1]!thsiFinD("ths_adjustment_nv_fund",Z$3,$A505))</x:f>
        <x:v>#NAME?</x:v>
      </x:c>
      <x:c r="AA505" s="146" t="e">
        <x:f>IF($A505="","",[1]!thsiFinD("ths_adjustment_nv_fund",AA$3,$A505))</x:f>
        <x:v>#NAME?</x:v>
      </x:c>
    </x:row>
    <x:row r="506">
      <x:c r="B506" s="146" t="e">
        <x:f>IF($A506="","",[1]!thsiFinD("ths_adjustment_nv_fund",B$3,$A506))</x:f>
        <x:v>#NAME?</x:v>
      </x:c>
      <x:c r="C506" s="146" t="e">
        <x:f>IF($A506="","",[1]!thsiFinD("ths_adjustment_nv_fund",C$3,$A506))</x:f>
        <x:v>#NAME?</x:v>
      </x:c>
      <x:c r="D506" s="146" t="e">
        <x:f>IF($A506="","",[1]!thsiFinD("ths_adjustment_nv_fund",D$3,$A506))</x:f>
        <x:v>#NAME?</x:v>
      </x:c>
      <x:c r="E506" s="146" t="e">
        <x:f>IF($A506="","",[1]!thsiFinD("ths_adjustment_nv_fund",E$3,$A506))</x:f>
        <x:v>#NAME?</x:v>
      </x:c>
      <x:c r="F506" s="146" t="e">
        <x:f>IF($A506="","",[1]!thsiFinD("ths_adjustment_nv_fund",F$3,$A506))</x:f>
        <x:v>#NAME?</x:v>
      </x:c>
      <x:c r="G506" s="146" t="e">
        <x:f>IF($A506="","",[1]!thsiFinD("ths_adjustment_nv_fund",G$3,$A506))</x:f>
        <x:v>#NAME?</x:v>
      </x:c>
      <x:c r="H506" s="146" t="e">
        <x:f>IF($A506="","",[1]!thsiFinD("ths_adjustment_nv_fund",H$3,$A506))</x:f>
        <x:v>#NAME?</x:v>
      </x:c>
      <x:c r="I506" s="146" t="e">
        <x:f>IF($A506="","",[1]!thsiFinD("ths_adjustment_nv_fund",I$3,$A506))</x:f>
        <x:v>#NAME?</x:v>
      </x:c>
      <x:c r="J506" s="146" t="e">
        <x:f>IF($A506="","",[1]!thsiFinD("ths_adjustment_nv_fund",J$3,$A506))</x:f>
        <x:v>#NAME?</x:v>
      </x:c>
      <x:c r="K506" s="146" t="e">
        <x:f>IF($A506="","",[1]!thsiFinD("ths_adjustment_nv_fund",K$3,$A506))</x:f>
        <x:v>#NAME?</x:v>
      </x:c>
      <x:c r="L506" s="146" t="e">
        <x:f>IF($A506="","",[1]!thsiFinD("ths_adjustment_nv_fund",L$3,$A506))</x:f>
        <x:v>#NAME?</x:v>
      </x:c>
      <x:c r="M506" s="146" t="e">
        <x:f>IF($A506="","",[1]!thsiFinD("ths_adjustment_nv_fund",M$3,$A506))</x:f>
        <x:v>#NAME?</x:v>
      </x:c>
      <x:c r="N506" s="146" t="e">
        <x:f>IF($A506="","",[1]!thsiFinD("ths_adjustment_nv_fund",N$3,$A506))</x:f>
        <x:v>#NAME?</x:v>
      </x:c>
      <x:c r="O506" s="146" t="e">
        <x:f>IF($A506="","",[1]!thsiFinD("ths_adjustment_nv_fund",O$3,$A506))</x:f>
        <x:v>#NAME?</x:v>
      </x:c>
      <x:c r="P506" s="146" t="e">
        <x:f>IF($A506="","",[1]!thsiFinD("ths_adjustment_nv_fund",P$3,$A506))</x:f>
        <x:v>#NAME?</x:v>
      </x:c>
      <x:c r="Q506" s="146" t="e">
        <x:f>IF($A506="","",[1]!thsiFinD("ths_adjustment_nv_fund",Q$3,$A506))</x:f>
        <x:v>#NAME?</x:v>
      </x:c>
      <x:c r="R506" s="146" t="e">
        <x:f>IF($A506="","",[1]!thsiFinD("ths_adjustment_nv_fund",R$3,$A506))</x:f>
        <x:v>#NAME?</x:v>
      </x:c>
      <x:c r="S506" s="146" t="e">
        <x:f>IF($A506="","",[1]!thsiFinD("ths_adjustment_nv_fund",S$3,$A506))</x:f>
        <x:v>#NAME?</x:v>
      </x:c>
      <x:c r="T506" s="146" t="e">
        <x:f>IF($A506="","",[1]!thsiFinD("ths_adjustment_nv_fund",T$3,$A506))</x:f>
        <x:v>#NAME?</x:v>
      </x:c>
      <x:c r="U506" s="146" t="e">
        <x:f>IF($A506="","",[1]!thsiFinD("ths_adjustment_nv_fund",U$3,$A506))</x:f>
        <x:v>#NAME?</x:v>
      </x:c>
      <x:c r="V506" s="146" t="e">
        <x:f>IF($A506="","",[1]!thsiFinD("ths_adjustment_nv_fund",V$3,$A506))</x:f>
        <x:v>#NAME?</x:v>
      </x:c>
      <x:c r="W506" s="146" t="e">
        <x:f>IF($A506="","",[1]!thsiFinD("ths_adjustment_nv_fund",W$3,$A506))</x:f>
        <x:v>#NAME?</x:v>
      </x:c>
      <x:c r="X506" s="146" t="e">
        <x:f>IF($A506="","",[1]!thsiFinD("ths_adjustment_nv_fund",X$3,$A506))</x:f>
        <x:v>#NAME?</x:v>
      </x:c>
      <x:c r="Y506" s="146" t="e">
        <x:f>IF($A506="","",[1]!thsiFinD("ths_adjustment_nv_fund",Y$3,$A506))</x:f>
        <x:v>#NAME?</x:v>
      </x:c>
      <x:c r="Z506" s="146" t="e">
        <x:f>IF($A506="","",[1]!thsiFinD("ths_adjustment_nv_fund",Z$3,$A506))</x:f>
        <x:v>#NAME?</x:v>
      </x:c>
      <x:c r="AA506" s="146" t="e">
        <x:f>IF($A506="","",[1]!thsiFinD("ths_adjustment_nv_fund",AA$3,$A506))</x:f>
        <x:v>#NAME?</x:v>
      </x:c>
    </x:row>
    <x:row r="507">
      <x:c r="B507" s="146" t="e">
        <x:f>IF($A507="","",[1]!thsiFinD("ths_adjustment_nv_fund",B$3,$A507))</x:f>
        <x:v>#NAME?</x:v>
      </x:c>
      <x:c r="C507" s="146" t="e">
        <x:f>IF($A507="","",[1]!thsiFinD("ths_adjustment_nv_fund",C$3,$A507))</x:f>
        <x:v>#NAME?</x:v>
      </x:c>
      <x:c r="D507" s="146" t="e">
        <x:f>IF($A507="","",[1]!thsiFinD("ths_adjustment_nv_fund",D$3,$A507))</x:f>
        <x:v>#NAME?</x:v>
      </x:c>
      <x:c r="E507" s="146" t="e">
        <x:f>IF($A507="","",[1]!thsiFinD("ths_adjustment_nv_fund",E$3,$A507))</x:f>
        <x:v>#NAME?</x:v>
      </x:c>
      <x:c r="F507" s="146" t="e">
        <x:f>IF($A507="","",[1]!thsiFinD("ths_adjustment_nv_fund",F$3,$A507))</x:f>
        <x:v>#NAME?</x:v>
      </x:c>
      <x:c r="G507" s="146" t="e">
        <x:f>IF($A507="","",[1]!thsiFinD("ths_adjustment_nv_fund",G$3,$A507))</x:f>
        <x:v>#NAME?</x:v>
      </x:c>
      <x:c r="H507" s="146" t="e">
        <x:f>IF($A507="","",[1]!thsiFinD("ths_adjustment_nv_fund",H$3,$A507))</x:f>
        <x:v>#NAME?</x:v>
      </x:c>
      <x:c r="I507" s="146" t="e">
        <x:f>IF($A507="","",[1]!thsiFinD("ths_adjustment_nv_fund",I$3,$A507))</x:f>
        <x:v>#NAME?</x:v>
      </x:c>
      <x:c r="J507" s="146" t="e">
        <x:f>IF($A507="","",[1]!thsiFinD("ths_adjustment_nv_fund",J$3,$A507))</x:f>
        <x:v>#NAME?</x:v>
      </x:c>
      <x:c r="K507" s="146" t="e">
        <x:f>IF($A507="","",[1]!thsiFinD("ths_adjustment_nv_fund",K$3,$A507))</x:f>
        <x:v>#NAME?</x:v>
      </x:c>
      <x:c r="L507" s="146" t="e">
        <x:f>IF($A507="","",[1]!thsiFinD("ths_adjustment_nv_fund",L$3,$A507))</x:f>
        <x:v>#NAME?</x:v>
      </x:c>
      <x:c r="M507" s="146" t="e">
        <x:f>IF($A507="","",[1]!thsiFinD("ths_adjustment_nv_fund",M$3,$A507))</x:f>
        <x:v>#NAME?</x:v>
      </x:c>
      <x:c r="N507" s="146" t="e">
        <x:f>IF($A507="","",[1]!thsiFinD("ths_adjustment_nv_fund",N$3,$A507))</x:f>
        <x:v>#NAME?</x:v>
      </x:c>
      <x:c r="O507" s="146" t="e">
        <x:f>IF($A507="","",[1]!thsiFinD("ths_adjustment_nv_fund",O$3,$A507))</x:f>
        <x:v>#NAME?</x:v>
      </x:c>
      <x:c r="P507" s="146" t="e">
        <x:f>IF($A507="","",[1]!thsiFinD("ths_adjustment_nv_fund",P$3,$A507))</x:f>
        <x:v>#NAME?</x:v>
      </x:c>
      <x:c r="Q507" s="146" t="e">
        <x:f>IF($A507="","",[1]!thsiFinD("ths_adjustment_nv_fund",Q$3,$A507))</x:f>
        <x:v>#NAME?</x:v>
      </x:c>
      <x:c r="R507" s="146" t="e">
        <x:f>IF($A507="","",[1]!thsiFinD("ths_adjustment_nv_fund",R$3,$A507))</x:f>
        <x:v>#NAME?</x:v>
      </x:c>
      <x:c r="S507" s="146" t="e">
        <x:f>IF($A507="","",[1]!thsiFinD("ths_adjustment_nv_fund",S$3,$A507))</x:f>
        <x:v>#NAME?</x:v>
      </x:c>
      <x:c r="T507" s="146" t="e">
        <x:f>IF($A507="","",[1]!thsiFinD("ths_adjustment_nv_fund",T$3,$A507))</x:f>
        <x:v>#NAME?</x:v>
      </x:c>
      <x:c r="U507" s="146" t="e">
        <x:f>IF($A507="","",[1]!thsiFinD("ths_adjustment_nv_fund",U$3,$A507))</x:f>
        <x:v>#NAME?</x:v>
      </x:c>
      <x:c r="V507" s="146" t="e">
        <x:f>IF($A507="","",[1]!thsiFinD("ths_adjustment_nv_fund",V$3,$A507))</x:f>
        <x:v>#NAME?</x:v>
      </x:c>
      <x:c r="W507" s="146" t="e">
        <x:f>IF($A507="","",[1]!thsiFinD("ths_adjustment_nv_fund",W$3,$A507))</x:f>
        <x:v>#NAME?</x:v>
      </x:c>
      <x:c r="X507" s="146" t="e">
        <x:f>IF($A507="","",[1]!thsiFinD("ths_adjustment_nv_fund",X$3,$A507))</x:f>
        <x:v>#NAME?</x:v>
      </x:c>
      <x:c r="Y507" s="146" t="e">
        <x:f>IF($A507="","",[1]!thsiFinD("ths_adjustment_nv_fund",Y$3,$A507))</x:f>
        <x:v>#NAME?</x:v>
      </x:c>
      <x:c r="Z507" s="146" t="e">
        <x:f>IF($A507="","",[1]!thsiFinD("ths_adjustment_nv_fund",Z$3,$A507))</x:f>
        <x:v>#NAME?</x:v>
      </x:c>
      <x:c r="AA507" s="146" t="e">
        <x:f>IF($A507="","",[1]!thsiFinD("ths_adjustment_nv_fund",AA$3,$A507))</x:f>
        <x:v>#NAME?</x:v>
      </x:c>
    </x:row>
    <x:row r="508">
      <x:c r="B508" s="146" t="e">
        <x:f>IF($A508="","",[1]!thsiFinD("ths_adjustment_nv_fund",B$3,$A508))</x:f>
        <x:v>#NAME?</x:v>
      </x:c>
      <x:c r="C508" s="146" t="e">
        <x:f>IF($A508="","",[1]!thsiFinD("ths_adjustment_nv_fund",C$3,$A508))</x:f>
        <x:v>#NAME?</x:v>
      </x:c>
      <x:c r="D508" s="146" t="e">
        <x:f>IF($A508="","",[1]!thsiFinD("ths_adjustment_nv_fund",D$3,$A508))</x:f>
        <x:v>#NAME?</x:v>
      </x:c>
      <x:c r="E508" s="146" t="e">
        <x:f>IF($A508="","",[1]!thsiFinD("ths_adjustment_nv_fund",E$3,$A508))</x:f>
        <x:v>#NAME?</x:v>
      </x:c>
      <x:c r="F508" s="146" t="e">
        <x:f>IF($A508="","",[1]!thsiFinD("ths_adjustment_nv_fund",F$3,$A508))</x:f>
        <x:v>#NAME?</x:v>
      </x:c>
      <x:c r="G508" s="146" t="e">
        <x:f>IF($A508="","",[1]!thsiFinD("ths_adjustment_nv_fund",G$3,$A508))</x:f>
        <x:v>#NAME?</x:v>
      </x:c>
      <x:c r="H508" s="146" t="e">
        <x:f>IF($A508="","",[1]!thsiFinD("ths_adjustment_nv_fund",H$3,$A508))</x:f>
        <x:v>#NAME?</x:v>
      </x:c>
      <x:c r="I508" s="146" t="e">
        <x:f>IF($A508="","",[1]!thsiFinD("ths_adjustment_nv_fund",I$3,$A508))</x:f>
        <x:v>#NAME?</x:v>
      </x:c>
      <x:c r="J508" s="146" t="e">
        <x:f>IF($A508="","",[1]!thsiFinD("ths_adjustment_nv_fund",J$3,$A508))</x:f>
        <x:v>#NAME?</x:v>
      </x:c>
      <x:c r="K508" s="146" t="e">
        <x:f>IF($A508="","",[1]!thsiFinD("ths_adjustment_nv_fund",K$3,$A508))</x:f>
        <x:v>#NAME?</x:v>
      </x:c>
      <x:c r="L508" s="146" t="e">
        <x:f>IF($A508="","",[1]!thsiFinD("ths_adjustment_nv_fund",L$3,$A508))</x:f>
        <x:v>#NAME?</x:v>
      </x:c>
      <x:c r="M508" s="146" t="e">
        <x:f>IF($A508="","",[1]!thsiFinD("ths_adjustment_nv_fund",M$3,$A508))</x:f>
        <x:v>#NAME?</x:v>
      </x:c>
      <x:c r="N508" s="146" t="e">
        <x:f>IF($A508="","",[1]!thsiFinD("ths_adjustment_nv_fund",N$3,$A508))</x:f>
        <x:v>#NAME?</x:v>
      </x:c>
      <x:c r="O508" s="146" t="e">
        <x:f>IF($A508="","",[1]!thsiFinD("ths_adjustment_nv_fund",O$3,$A508))</x:f>
        <x:v>#NAME?</x:v>
      </x:c>
      <x:c r="P508" s="146" t="e">
        <x:f>IF($A508="","",[1]!thsiFinD("ths_adjustment_nv_fund",P$3,$A508))</x:f>
        <x:v>#NAME?</x:v>
      </x:c>
      <x:c r="Q508" s="146" t="e">
        <x:f>IF($A508="","",[1]!thsiFinD("ths_adjustment_nv_fund",Q$3,$A508))</x:f>
        <x:v>#NAME?</x:v>
      </x:c>
      <x:c r="R508" s="146" t="e">
        <x:f>IF($A508="","",[1]!thsiFinD("ths_adjustment_nv_fund",R$3,$A508))</x:f>
        <x:v>#NAME?</x:v>
      </x:c>
      <x:c r="S508" s="146" t="e">
        <x:f>IF($A508="","",[1]!thsiFinD("ths_adjustment_nv_fund",S$3,$A508))</x:f>
        <x:v>#NAME?</x:v>
      </x:c>
      <x:c r="T508" s="146" t="e">
        <x:f>IF($A508="","",[1]!thsiFinD("ths_adjustment_nv_fund",T$3,$A508))</x:f>
        <x:v>#NAME?</x:v>
      </x:c>
      <x:c r="U508" s="146" t="e">
        <x:f>IF($A508="","",[1]!thsiFinD("ths_adjustment_nv_fund",U$3,$A508))</x:f>
        <x:v>#NAME?</x:v>
      </x:c>
      <x:c r="V508" s="146" t="e">
        <x:f>IF($A508="","",[1]!thsiFinD("ths_adjustment_nv_fund",V$3,$A508))</x:f>
        <x:v>#NAME?</x:v>
      </x:c>
      <x:c r="W508" s="146" t="e">
        <x:f>IF($A508="","",[1]!thsiFinD("ths_adjustment_nv_fund",W$3,$A508))</x:f>
        <x:v>#NAME?</x:v>
      </x:c>
      <x:c r="X508" s="146" t="e">
        <x:f>IF($A508="","",[1]!thsiFinD("ths_adjustment_nv_fund",X$3,$A508))</x:f>
        <x:v>#NAME?</x:v>
      </x:c>
      <x:c r="Y508" s="146" t="e">
        <x:f>IF($A508="","",[1]!thsiFinD("ths_adjustment_nv_fund",Y$3,$A508))</x:f>
        <x:v>#NAME?</x:v>
      </x:c>
      <x:c r="Z508" s="146" t="e">
        <x:f>IF($A508="","",[1]!thsiFinD("ths_adjustment_nv_fund",Z$3,$A508))</x:f>
        <x:v>#NAME?</x:v>
      </x:c>
      <x:c r="AA508" s="146" t="e">
        <x:f>IF($A508="","",[1]!thsiFinD("ths_adjustment_nv_fund",AA$3,$A508))</x:f>
        <x:v>#NAME?</x:v>
      </x:c>
    </x:row>
    <x:row r="509">
      <x:c r="B509" s="146" t="e">
        <x:f>IF($A509="","",[1]!thsiFinD("ths_adjustment_nv_fund",B$3,$A509))</x:f>
        <x:v>#NAME?</x:v>
      </x:c>
      <x:c r="C509" s="146" t="e">
        <x:f>IF($A509="","",[1]!thsiFinD("ths_adjustment_nv_fund",C$3,$A509))</x:f>
        <x:v>#NAME?</x:v>
      </x:c>
      <x:c r="D509" s="146" t="e">
        <x:f>IF($A509="","",[1]!thsiFinD("ths_adjustment_nv_fund",D$3,$A509))</x:f>
        <x:v>#NAME?</x:v>
      </x:c>
      <x:c r="E509" s="146" t="e">
        <x:f>IF($A509="","",[1]!thsiFinD("ths_adjustment_nv_fund",E$3,$A509))</x:f>
        <x:v>#NAME?</x:v>
      </x:c>
      <x:c r="F509" s="146" t="e">
        <x:f>IF($A509="","",[1]!thsiFinD("ths_adjustment_nv_fund",F$3,$A509))</x:f>
        <x:v>#NAME?</x:v>
      </x:c>
      <x:c r="G509" s="146" t="e">
        <x:f>IF($A509="","",[1]!thsiFinD("ths_adjustment_nv_fund",G$3,$A509))</x:f>
        <x:v>#NAME?</x:v>
      </x:c>
      <x:c r="H509" s="146" t="e">
        <x:f>IF($A509="","",[1]!thsiFinD("ths_adjustment_nv_fund",H$3,$A509))</x:f>
        <x:v>#NAME?</x:v>
      </x:c>
      <x:c r="I509" s="146" t="e">
        <x:f>IF($A509="","",[1]!thsiFinD("ths_adjustment_nv_fund",I$3,$A509))</x:f>
        <x:v>#NAME?</x:v>
      </x:c>
      <x:c r="J509" s="146" t="e">
        <x:f>IF($A509="","",[1]!thsiFinD("ths_adjustment_nv_fund",J$3,$A509))</x:f>
        <x:v>#NAME?</x:v>
      </x:c>
      <x:c r="K509" s="146" t="e">
        <x:f>IF($A509="","",[1]!thsiFinD("ths_adjustment_nv_fund",K$3,$A509))</x:f>
        <x:v>#NAME?</x:v>
      </x:c>
      <x:c r="L509" s="146" t="e">
        <x:f>IF($A509="","",[1]!thsiFinD("ths_adjustment_nv_fund",L$3,$A509))</x:f>
        <x:v>#NAME?</x:v>
      </x:c>
      <x:c r="M509" s="146" t="e">
        <x:f>IF($A509="","",[1]!thsiFinD("ths_adjustment_nv_fund",M$3,$A509))</x:f>
        <x:v>#NAME?</x:v>
      </x:c>
      <x:c r="N509" s="146" t="e">
        <x:f>IF($A509="","",[1]!thsiFinD("ths_adjustment_nv_fund",N$3,$A509))</x:f>
        <x:v>#NAME?</x:v>
      </x:c>
      <x:c r="O509" s="146" t="e">
        <x:f>IF($A509="","",[1]!thsiFinD("ths_adjustment_nv_fund",O$3,$A509))</x:f>
        <x:v>#NAME?</x:v>
      </x:c>
      <x:c r="P509" s="146" t="e">
        <x:f>IF($A509="","",[1]!thsiFinD("ths_adjustment_nv_fund",P$3,$A509))</x:f>
        <x:v>#NAME?</x:v>
      </x:c>
      <x:c r="Q509" s="146" t="e">
        <x:f>IF($A509="","",[1]!thsiFinD("ths_adjustment_nv_fund",Q$3,$A509))</x:f>
        <x:v>#NAME?</x:v>
      </x:c>
      <x:c r="R509" s="146" t="e">
        <x:f>IF($A509="","",[1]!thsiFinD("ths_adjustment_nv_fund",R$3,$A509))</x:f>
        <x:v>#NAME?</x:v>
      </x:c>
      <x:c r="S509" s="146" t="e">
        <x:f>IF($A509="","",[1]!thsiFinD("ths_adjustment_nv_fund",S$3,$A509))</x:f>
        <x:v>#NAME?</x:v>
      </x:c>
      <x:c r="T509" s="146" t="e">
        <x:f>IF($A509="","",[1]!thsiFinD("ths_adjustment_nv_fund",T$3,$A509))</x:f>
        <x:v>#NAME?</x:v>
      </x:c>
      <x:c r="U509" s="146" t="e">
        <x:f>IF($A509="","",[1]!thsiFinD("ths_adjustment_nv_fund",U$3,$A509))</x:f>
        <x:v>#NAME?</x:v>
      </x:c>
      <x:c r="V509" s="146" t="e">
        <x:f>IF($A509="","",[1]!thsiFinD("ths_adjustment_nv_fund",V$3,$A509))</x:f>
        <x:v>#NAME?</x:v>
      </x:c>
      <x:c r="W509" s="146" t="e">
        <x:f>IF($A509="","",[1]!thsiFinD("ths_adjustment_nv_fund",W$3,$A509))</x:f>
        <x:v>#NAME?</x:v>
      </x:c>
      <x:c r="X509" s="146" t="e">
        <x:f>IF($A509="","",[1]!thsiFinD("ths_adjustment_nv_fund",X$3,$A509))</x:f>
        <x:v>#NAME?</x:v>
      </x:c>
      <x:c r="Y509" s="146" t="e">
        <x:f>IF($A509="","",[1]!thsiFinD("ths_adjustment_nv_fund",Y$3,$A509))</x:f>
        <x:v>#NAME?</x:v>
      </x:c>
      <x:c r="Z509" s="146" t="e">
        <x:f>IF($A509="","",[1]!thsiFinD("ths_adjustment_nv_fund",Z$3,$A509))</x:f>
        <x:v>#NAME?</x:v>
      </x:c>
      <x:c r="AA509" s="146" t="e">
        <x:f>IF($A509="","",[1]!thsiFinD("ths_adjustment_nv_fund",AA$3,$A509))</x:f>
        <x:v>#NAME?</x:v>
      </x:c>
    </x:row>
    <x:row r="510">
      <x:c r="B510" s="146" t="e">
        <x:f>IF($A510="","",[1]!thsiFinD("ths_adjustment_nv_fund",B$3,$A510))</x:f>
        <x:v>#NAME?</x:v>
      </x:c>
      <x:c r="C510" s="146" t="e">
        <x:f>IF($A510="","",[1]!thsiFinD("ths_adjustment_nv_fund",C$3,$A510))</x:f>
        <x:v>#NAME?</x:v>
      </x:c>
      <x:c r="D510" s="146" t="e">
        <x:f>IF($A510="","",[1]!thsiFinD("ths_adjustment_nv_fund",D$3,$A510))</x:f>
        <x:v>#NAME?</x:v>
      </x:c>
      <x:c r="E510" s="146" t="e">
        <x:f>IF($A510="","",[1]!thsiFinD("ths_adjustment_nv_fund",E$3,$A510))</x:f>
        <x:v>#NAME?</x:v>
      </x:c>
      <x:c r="F510" s="146" t="e">
        <x:f>IF($A510="","",[1]!thsiFinD("ths_adjustment_nv_fund",F$3,$A510))</x:f>
        <x:v>#NAME?</x:v>
      </x:c>
      <x:c r="G510" s="146" t="e">
        <x:f>IF($A510="","",[1]!thsiFinD("ths_adjustment_nv_fund",G$3,$A510))</x:f>
        <x:v>#NAME?</x:v>
      </x:c>
      <x:c r="H510" s="146" t="e">
        <x:f>IF($A510="","",[1]!thsiFinD("ths_adjustment_nv_fund",H$3,$A510))</x:f>
        <x:v>#NAME?</x:v>
      </x:c>
      <x:c r="I510" s="146" t="e">
        <x:f>IF($A510="","",[1]!thsiFinD("ths_adjustment_nv_fund",I$3,$A510))</x:f>
        <x:v>#NAME?</x:v>
      </x:c>
      <x:c r="J510" s="146" t="e">
        <x:f>IF($A510="","",[1]!thsiFinD("ths_adjustment_nv_fund",J$3,$A510))</x:f>
        <x:v>#NAME?</x:v>
      </x:c>
      <x:c r="K510" s="146" t="e">
        <x:f>IF($A510="","",[1]!thsiFinD("ths_adjustment_nv_fund",K$3,$A510))</x:f>
        <x:v>#NAME?</x:v>
      </x:c>
      <x:c r="L510" s="146" t="e">
        <x:f>IF($A510="","",[1]!thsiFinD("ths_adjustment_nv_fund",L$3,$A510))</x:f>
        <x:v>#NAME?</x:v>
      </x:c>
      <x:c r="M510" s="146" t="e">
        <x:f>IF($A510="","",[1]!thsiFinD("ths_adjustment_nv_fund",M$3,$A510))</x:f>
        <x:v>#NAME?</x:v>
      </x:c>
      <x:c r="N510" s="146" t="e">
        <x:f>IF($A510="","",[1]!thsiFinD("ths_adjustment_nv_fund",N$3,$A510))</x:f>
        <x:v>#NAME?</x:v>
      </x:c>
      <x:c r="O510" s="146" t="e">
        <x:f>IF($A510="","",[1]!thsiFinD("ths_adjustment_nv_fund",O$3,$A510))</x:f>
        <x:v>#NAME?</x:v>
      </x:c>
      <x:c r="P510" s="146" t="e">
        <x:f>IF($A510="","",[1]!thsiFinD("ths_adjustment_nv_fund",P$3,$A510))</x:f>
        <x:v>#NAME?</x:v>
      </x:c>
      <x:c r="Q510" s="146" t="e">
        <x:f>IF($A510="","",[1]!thsiFinD("ths_adjustment_nv_fund",Q$3,$A510))</x:f>
        <x:v>#NAME?</x:v>
      </x:c>
      <x:c r="R510" s="146" t="e">
        <x:f>IF($A510="","",[1]!thsiFinD("ths_adjustment_nv_fund",R$3,$A510))</x:f>
        <x:v>#NAME?</x:v>
      </x:c>
      <x:c r="S510" s="146" t="e">
        <x:f>IF($A510="","",[1]!thsiFinD("ths_adjustment_nv_fund",S$3,$A510))</x:f>
        <x:v>#NAME?</x:v>
      </x:c>
      <x:c r="T510" s="146" t="e">
        <x:f>IF($A510="","",[1]!thsiFinD("ths_adjustment_nv_fund",T$3,$A510))</x:f>
        <x:v>#NAME?</x:v>
      </x:c>
      <x:c r="U510" s="146" t="e">
        <x:f>IF($A510="","",[1]!thsiFinD("ths_adjustment_nv_fund",U$3,$A510))</x:f>
        <x:v>#NAME?</x:v>
      </x:c>
      <x:c r="V510" s="146" t="e">
        <x:f>IF($A510="","",[1]!thsiFinD("ths_adjustment_nv_fund",V$3,$A510))</x:f>
        <x:v>#NAME?</x:v>
      </x:c>
      <x:c r="W510" s="146" t="e">
        <x:f>IF($A510="","",[1]!thsiFinD("ths_adjustment_nv_fund",W$3,$A510))</x:f>
        <x:v>#NAME?</x:v>
      </x:c>
      <x:c r="X510" s="146" t="e">
        <x:f>IF($A510="","",[1]!thsiFinD("ths_adjustment_nv_fund",X$3,$A510))</x:f>
        <x:v>#NAME?</x:v>
      </x:c>
      <x:c r="Y510" s="146" t="e">
        <x:f>IF($A510="","",[1]!thsiFinD("ths_adjustment_nv_fund",Y$3,$A510))</x:f>
        <x:v>#NAME?</x:v>
      </x:c>
      <x:c r="Z510" s="146" t="e">
        <x:f>IF($A510="","",[1]!thsiFinD("ths_adjustment_nv_fund",Z$3,$A510))</x:f>
        <x:v>#NAME?</x:v>
      </x:c>
      <x:c r="AA510" s="146" t="e">
        <x:f>IF($A510="","",[1]!thsiFinD("ths_adjustment_nv_fund",AA$3,$A510))</x:f>
        <x:v>#NAME?</x:v>
      </x:c>
    </x:row>
    <x:row r="511">
      <x:c r="B511" s="146" t="e">
        <x:f>IF($A511="","",[1]!thsiFinD("ths_adjustment_nv_fund",B$3,$A511))</x:f>
        <x:v>#NAME?</x:v>
      </x:c>
      <x:c r="C511" s="146" t="e">
        <x:f>IF($A511="","",[1]!thsiFinD("ths_adjustment_nv_fund",C$3,$A511))</x:f>
        <x:v>#NAME?</x:v>
      </x:c>
      <x:c r="D511" s="146" t="e">
        <x:f>IF($A511="","",[1]!thsiFinD("ths_adjustment_nv_fund",D$3,$A511))</x:f>
        <x:v>#NAME?</x:v>
      </x:c>
      <x:c r="E511" s="146" t="e">
        <x:f>IF($A511="","",[1]!thsiFinD("ths_adjustment_nv_fund",E$3,$A511))</x:f>
        <x:v>#NAME?</x:v>
      </x:c>
      <x:c r="F511" s="146" t="e">
        <x:f>IF($A511="","",[1]!thsiFinD("ths_adjustment_nv_fund",F$3,$A511))</x:f>
        <x:v>#NAME?</x:v>
      </x:c>
      <x:c r="G511" s="146" t="e">
        <x:f>IF($A511="","",[1]!thsiFinD("ths_adjustment_nv_fund",G$3,$A511))</x:f>
        <x:v>#NAME?</x:v>
      </x:c>
      <x:c r="H511" s="146" t="e">
        <x:f>IF($A511="","",[1]!thsiFinD("ths_adjustment_nv_fund",H$3,$A511))</x:f>
        <x:v>#NAME?</x:v>
      </x:c>
      <x:c r="I511" s="146" t="e">
        <x:f>IF($A511="","",[1]!thsiFinD("ths_adjustment_nv_fund",I$3,$A511))</x:f>
        <x:v>#NAME?</x:v>
      </x:c>
      <x:c r="J511" s="146" t="e">
        <x:f>IF($A511="","",[1]!thsiFinD("ths_adjustment_nv_fund",J$3,$A511))</x:f>
        <x:v>#NAME?</x:v>
      </x:c>
      <x:c r="K511" s="146" t="e">
        <x:f>IF($A511="","",[1]!thsiFinD("ths_adjustment_nv_fund",K$3,$A511))</x:f>
        <x:v>#NAME?</x:v>
      </x:c>
      <x:c r="L511" s="146" t="e">
        <x:f>IF($A511="","",[1]!thsiFinD("ths_adjustment_nv_fund",L$3,$A511))</x:f>
        <x:v>#NAME?</x:v>
      </x:c>
      <x:c r="M511" s="146" t="e">
        <x:f>IF($A511="","",[1]!thsiFinD("ths_adjustment_nv_fund",M$3,$A511))</x:f>
        <x:v>#NAME?</x:v>
      </x:c>
      <x:c r="N511" s="146" t="e">
        <x:f>IF($A511="","",[1]!thsiFinD("ths_adjustment_nv_fund",N$3,$A511))</x:f>
        <x:v>#NAME?</x:v>
      </x:c>
      <x:c r="O511" s="146" t="e">
        <x:f>IF($A511="","",[1]!thsiFinD("ths_adjustment_nv_fund",O$3,$A511))</x:f>
        <x:v>#NAME?</x:v>
      </x:c>
      <x:c r="P511" s="146" t="e">
        <x:f>IF($A511="","",[1]!thsiFinD("ths_adjustment_nv_fund",P$3,$A511))</x:f>
        <x:v>#NAME?</x:v>
      </x:c>
      <x:c r="Q511" s="146" t="e">
        <x:f>IF($A511="","",[1]!thsiFinD("ths_adjustment_nv_fund",Q$3,$A511))</x:f>
        <x:v>#NAME?</x:v>
      </x:c>
      <x:c r="R511" s="146" t="e">
        <x:f>IF($A511="","",[1]!thsiFinD("ths_adjustment_nv_fund",R$3,$A511))</x:f>
        <x:v>#NAME?</x:v>
      </x:c>
      <x:c r="S511" s="146" t="e">
        <x:f>IF($A511="","",[1]!thsiFinD("ths_adjustment_nv_fund",S$3,$A511))</x:f>
        <x:v>#NAME?</x:v>
      </x:c>
      <x:c r="T511" s="146" t="e">
        <x:f>IF($A511="","",[1]!thsiFinD("ths_adjustment_nv_fund",T$3,$A511))</x:f>
        <x:v>#NAME?</x:v>
      </x:c>
      <x:c r="U511" s="146" t="e">
        <x:f>IF($A511="","",[1]!thsiFinD("ths_adjustment_nv_fund",U$3,$A511))</x:f>
        <x:v>#NAME?</x:v>
      </x:c>
      <x:c r="V511" s="146" t="e">
        <x:f>IF($A511="","",[1]!thsiFinD("ths_adjustment_nv_fund",V$3,$A511))</x:f>
        <x:v>#NAME?</x:v>
      </x:c>
      <x:c r="W511" s="146" t="e">
        <x:f>IF($A511="","",[1]!thsiFinD("ths_adjustment_nv_fund",W$3,$A511))</x:f>
        <x:v>#NAME?</x:v>
      </x:c>
      <x:c r="X511" s="146" t="e">
        <x:f>IF($A511="","",[1]!thsiFinD("ths_adjustment_nv_fund",X$3,$A511))</x:f>
        <x:v>#NAME?</x:v>
      </x:c>
      <x:c r="Y511" s="146" t="e">
        <x:f>IF($A511="","",[1]!thsiFinD("ths_adjustment_nv_fund",Y$3,$A511))</x:f>
        <x:v>#NAME?</x:v>
      </x:c>
      <x:c r="Z511" s="146" t="e">
        <x:f>IF($A511="","",[1]!thsiFinD("ths_adjustment_nv_fund",Z$3,$A511))</x:f>
        <x:v>#NAME?</x:v>
      </x:c>
      <x:c r="AA511" s="146" t="e">
        <x:f>IF($A511="","",[1]!thsiFinD("ths_adjustment_nv_fund",AA$3,$A511))</x:f>
        <x:v>#NAME?</x:v>
      </x:c>
    </x:row>
    <x:row r="512">
      <x:c r="B512" s="146" t="e">
        <x:f>IF($A512="","",[1]!thsiFinD("ths_adjustment_nv_fund",B$3,$A512))</x:f>
        <x:v>#NAME?</x:v>
      </x:c>
      <x:c r="C512" s="146" t="e">
        <x:f>IF($A512="","",[1]!thsiFinD("ths_adjustment_nv_fund",C$3,$A512))</x:f>
        <x:v>#NAME?</x:v>
      </x:c>
      <x:c r="D512" s="146" t="e">
        <x:f>IF($A512="","",[1]!thsiFinD("ths_adjustment_nv_fund",D$3,$A512))</x:f>
        <x:v>#NAME?</x:v>
      </x:c>
      <x:c r="E512" s="146" t="e">
        <x:f>IF($A512="","",[1]!thsiFinD("ths_adjustment_nv_fund",E$3,$A512))</x:f>
        <x:v>#NAME?</x:v>
      </x:c>
      <x:c r="F512" s="146" t="e">
        <x:f>IF($A512="","",[1]!thsiFinD("ths_adjustment_nv_fund",F$3,$A512))</x:f>
        <x:v>#NAME?</x:v>
      </x:c>
      <x:c r="G512" s="146" t="e">
        <x:f>IF($A512="","",[1]!thsiFinD("ths_adjustment_nv_fund",G$3,$A512))</x:f>
        <x:v>#NAME?</x:v>
      </x:c>
      <x:c r="H512" s="146" t="e">
        <x:f>IF($A512="","",[1]!thsiFinD("ths_adjustment_nv_fund",H$3,$A512))</x:f>
        <x:v>#NAME?</x:v>
      </x:c>
      <x:c r="I512" s="146" t="e">
        <x:f>IF($A512="","",[1]!thsiFinD("ths_adjustment_nv_fund",I$3,$A512))</x:f>
        <x:v>#NAME?</x:v>
      </x:c>
      <x:c r="J512" s="146" t="e">
        <x:f>IF($A512="","",[1]!thsiFinD("ths_adjustment_nv_fund",J$3,$A512))</x:f>
        <x:v>#NAME?</x:v>
      </x:c>
      <x:c r="K512" s="146" t="e">
        <x:f>IF($A512="","",[1]!thsiFinD("ths_adjustment_nv_fund",K$3,$A512))</x:f>
        <x:v>#NAME?</x:v>
      </x:c>
      <x:c r="L512" s="146" t="e">
        <x:f>IF($A512="","",[1]!thsiFinD("ths_adjustment_nv_fund",L$3,$A512))</x:f>
        <x:v>#NAME?</x:v>
      </x:c>
      <x:c r="M512" s="146" t="e">
        <x:f>IF($A512="","",[1]!thsiFinD("ths_adjustment_nv_fund",M$3,$A512))</x:f>
        <x:v>#NAME?</x:v>
      </x:c>
      <x:c r="N512" s="146" t="e">
        <x:f>IF($A512="","",[1]!thsiFinD("ths_adjustment_nv_fund",N$3,$A512))</x:f>
        <x:v>#NAME?</x:v>
      </x:c>
      <x:c r="O512" s="146" t="e">
        <x:f>IF($A512="","",[1]!thsiFinD("ths_adjustment_nv_fund",O$3,$A512))</x:f>
        <x:v>#NAME?</x:v>
      </x:c>
      <x:c r="P512" s="146" t="e">
        <x:f>IF($A512="","",[1]!thsiFinD("ths_adjustment_nv_fund",P$3,$A512))</x:f>
        <x:v>#NAME?</x:v>
      </x:c>
      <x:c r="Q512" s="146" t="e">
        <x:f>IF($A512="","",[1]!thsiFinD("ths_adjustment_nv_fund",Q$3,$A512))</x:f>
        <x:v>#NAME?</x:v>
      </x:c>
      <x:c r="R512" s="146" t="e">
        <x:f>IF($A512="","",[1]!thsiFinD("ths_adjustment_nv_fund",R$3,$A512))</x:f>
        <x:v>#NAME?</x:v>
      </x:c>
      <x:c r="S512" s="146" t="e">
        <x:f>IF($A512="","",[1]!thsiFinD("ths_adjustment_nv_fund",S$3,$A512))</x:f>
        <x:v>#NAME?</x:v>
      </x:c>
      <x:c r="T512" s="146" t="e">
        <x:f>IF($A512="","",[1]!thsiFinD("ths_adjustment_nv_fund",T$3,$A512))</x:f>
        <x:v>#NAME?</x:v>
      </x:c>
      <x:c r="U512" s="146" t="e">
        <x:f>IF($A512="","",[1]!thsiFinD("ths_adjustment_nv_fund",U$3,$A512))</x:f>
        <x:v>#NAME?</x:v>
      </x:c>
      <x:c r="V512" s="146" t="e">
        <x:f>IF($A512="","",[1]!thsiFinD("ths_adjustment_nv_fund",V$3,$A512))</x:f>
        <x:v>#NAME?</x:v>
      </x:c>
      <x:c r="W512" s="146" t="e">
        <x:f>IF($A512="","",[1]!thsiFinD("ths_adjustment_nv_fund",W$3,$A512))</x:f>
        <x:v>#NAME?</x:v>
      </x:c>
      <x:c r="X512" s="146" t="e">
        <x:f>IF($A512="","",[1]!thsiFinD("ths_adjustment_nv_fund",X$3,$A512))</x:f>
        <x:v>#NAME?</x:v>
      </x:c>
      <x:c r="Y512" s="146" t="e">
        <x:f>IF($A512="","",[1]!thsiFinD("ths_adjustment_nv_fund",Y$3,$A512))</x:f>
        <x:v>#NAME?</x:v>
      </x:c>
      <x:c r="Z512" s="146" t="e">
        <x:f>IF($A512="","",[1]!thsiFinD("ths_adjustment_nv_fund",Z$3,$A512))</x:f>
        <x:v>#NAME?</x:v>
      </x:c>
      <x:c r="AA512" s="146" t="e">
        <x:f>IF($A512="","",[1]!thsiFinD("ths_adjustment_nv_fund",AA$3,$A512))</x:f>
        <x:v>#NAME?</x:v>
      </x:c>
    </x:row>
    <x:row r="513">
      <x:c r="B513" s="146" t="e">
        <x:f>IF($A513="","",[1]!thsiFinD("ths_adjustment_nv_fund",B$3,$A513))</x:f>
        <x:v>#NAME?</x:v>
      </x:c>
      <x:c r="C513" s="146" t="e">
        <x:f>IF($A513="","",[1]!thsiFinD("ths_adjustment_nv_fund",C$3,$A513))</x:f>
        <x:v>#NAME?</x:v>
      </x:c>
      <x:c r="D513" s="146" t="e">
        <x:f>IF($A513="","",[1]!thsiFinD("ths_adjustment_nv_fund",D$3,$A513))</x:f>
        <x:v>#NAME?</x:v>
      </x:c>
      <x:c r="E513" s="146" t="e">
        <x:f>IF($A513="","",[1]!thsiFinD("ths_adjustment_nv_fund",E$3,$A513))</x:f>
        <x:v>#NAME?</x:v>
      </x:c>
      <x:c r="F513" s="146" t="e">
        <x:f>IF($A513="","",[1]!thsiFinD("ths_adjustment_nv_fund",F$3,$A513))</x:f>
        <x:v>#NAME?</x:v>
      </x:c>
      <x:c r="G513" s="146" t="e">
        <x:f>IF($A513="","",[1]!thsiFinD("ths_adjustment_nv_fund",G$3,$A513))</x:f>
        <x:v>#NAME?</x:v>
      </x:c>
      <x:c r="H513" s="146" t="e">
        <x:f>IF($A513="","",[1]!thsiFinD("ths_adjustment_nv_fund",H$3,$A513))</x:f>
        <x:v>#NAME?</x:v>
      </x:c>
      <x:c r="I513" s="146" t="e">
        <x:f>IF($A513="","",[1]!thsiFinD("ths_adjustment_nv_fund",I$3,$A513))</x:f>
        <x:v>#NAME?</x:v>
      </x:c>
      <x:c r="J513" s="146" t="e">
        <x:f>IF($A513="","",[1]!thsiFinD("ths_adjustment_nv_fund",J$3,$A513))</x:f>
        <x:v>#NAME?</x:v>
      </x:c>
      <x:c r="K513" s="146" t="e">
        <x:f>IF($A513="","",[1]!thsiFinD("ths_adjustment_nv_fund",K$3,$A513))</x:f>
        <x:v>#NAME?</x:v>
      </x:c>
      <x:c r="L513" s="146" t="e">
        <x:f>IF($A513="","",[1]!thsiFinD("ths_adjustment_nv_fund",L$3,$A513))</x:f>
        <x:v>#NAME?</x:v>
      </x:c>
      <x:c r="M513" s="146" t="e">
        <x:f>IF($A513="","",[1]!thsiFinD("ths_adjustment_nv_fund",M$3,$A513))</x:f>
        <x:v>#NAME?</x:v>
      </x:c>
      <x:c r="N513" s="146" t="e">
        <x:f>IF($A513="","",[1]!thsiFinD("ths_adjustment_nv_fund",N$3,$A513))</x:f>
        <x:v>#NAME?</x:v>
      </x:c>
      <x:c r="O513" s="146" t="e">
        <x:f>IF($A513="","",[1]!thsiFinD("ths_adjustment_nv_fund",O$3,$A513))</x:f>
        <x:v>#NAME?</x:v>
      </x:c>
      <x:c r="P513" s="146" t="e">
        <x:f>IF($A513="","",[1]!thsiFinD("ths_adjustment_nv_fund",P$3,$A513))</x:f>
        <x:v>#NAME?</x:v>
      </x:c>
      <x:c r="Q513" s="146" t="e">
        <x:f>IF($A513="","",[1]!thsiFinD("ths_adjustment_nv_fund",Q$3,$A513))</x:f>
        <x:v>#NAME?</x:v>
      </x:c>
      <x:c r="R513" s="146" t="e">
        <x:f>IF($A513="","",[1]!thsiFinD("ths_adjustment_nv_fund",R$3,$A513))</x:f>
        <x:v>#NAME?</x:v>
      </x:c>
      <x:c r="S513" s="146" t="e">
        <x:f>IF($A513="","",[1]!thsiFinD("ths_adjustment_nv_fund",S$3,$A513))</x:f>
        <x:v>#NAME?</x:v>
      </x:c>
      <x:c r="T513" s="146" t="e">
        <x:f>IF($A513="","",[1]!thsiFinD("ths_adjustment_nv_fund",T$3,$A513))</x:f>
        <x:v>#NAME?</x:v>
      </x:c>
      <x:c r="U513" s="146" t="e">
        <x:f>IF($A513="","",[1]!thsiFinD("ths_adjustment_nv_fund",U$3,$A513))</x:f>
        <x:v>#NAME?</x:v>
      </x:c>
      <x:c r="V513" s="146" t="e">
        <x:f>IF($A513="","",[1]!thsiFinD("ths_adjustment_nv_fund",V$3,$A513))</x:f>
        <x:v>#NAME?</x:v>
      </x:c>
      <x:c r="W513" s="146" t="e">
        <x:f>IF($A513="","",[1]!thsiFinD("ths_adjustment_nv_fund",W$3,$A513))</x:f>
        <x:v>#NAME?</x:v>
      </x:c>
      <x:c r="X513" s="146" t="e">
        <x:f>IF($A513="","",[1]!thsiFinD("ths_adjustment_nv_fund",X$3,$A513))</x:f>
        <x:v>#NAME?</x:v>
      </x:c>
      <x:c r="Y513" s="146" t="e">
        <x:f>IF($A513="","",[1]!thsiFinD("ths_adjustment_nv_fund",Y$3,$A513))</x:f>
        <x:v>#NAME?</x:v>
      </x:c>
      <x:c r="Z513" s="146" t="e">
        <x:f>IF($A513="","",[1]!thsiFinD("ths_adjustment_nv_fund",Z$3,$A513))</x:f>
        <x:v>#NAME?</x:v>
      </x:c>
      <x:c r="AA513" s="146" t="e">
        <x:f>IF($A513="","",[1]!thsiFinD("ths_adjustment_nv_fund",AA$3,$A513))</x:f>
        <x:v>#NAME?</x:v>
      </x:c>
    </x:row>
    <x:row r="514">
      <x:c r="B514" s="146" t="e">
        <x:f>IF($A514="","",[1]!thsiFinD("ths_adjustment_nv_fund",B$3,$A514))</x:f>
        <x:v>#NAME?</x:v>
      </x:c>
      <x:c r="C514" s="146" t="e">
        <x:f>IF($A514="","",[1]!thsiFinD("ths_adjustment_nv_fund",C$3,$A514))</x:f>
        <x:v>#NAME?</x:v>
      </x:c>
      <x:c r="D514" s="146" t="e">
        <x:f>IF($A514="","",[1]!thsiFinD("ths_adjustment_nv_fund",D$3,$A514))</x:f>
        <x:v>#NAME?</x:v>
      </x:c>
      <x:c r="E514" s="146" t="e">
        <x:f>IF($A514="","",[1]!thsiFinD("ths_adjustment_nv_fund",E$3,$A514))</x:f>
        <x:v>#NAME?</x:v>
      </x:c>
      <x:c r="F514" s="146" t="e">
        <x:f>IF($A514="","",[1]!thsiFinD("ths_adjustment_nv_fund",F$3,$A514))</x:f>
        <x:v>#NAME?</x:v>
      </x:c>
      <x:c r="G514" s="146" t="e">
        <x:f>IF($A514="","",[1]!thsiFinD("ths_adjustment_nv_fund",G$3,$A514))</x:f>
        <x:v>#NAME?</x:v>
      </x:c>
      <x:c r="H514" s="146" t="e">
        <x:f>IF($A514="","",[1]!thsiFinD("ths_adjustment_nv_fund",H$3,$A514))</x:f>
        <x:v>#NAME?</x:v>
      </x:c>
      <x:c r="I514" s="146" t="e">
        <x:f>IF($A514="","",[1]!thsiFinD("ths_adjustment_nv_fund",I$3,$A514))</x:f>
        <x:v>#NAME?</x:v>
      </x:c>
      <x:c r="J514" s="146" t="e">
        <x:f>IF($A514="","",[1]!thsiFinD("ths_adjustment_nv_fund",J$3,$A514))</x:f>
        <x:v>#NAME?</x:v>
      </x:c>
      <x:c r="K514" s="146" t="e">
        <x:f>IF($A514="","",[1]!thsiFinD("ths_adjustment_nv_fund",K$3,$A514))</x:f>
        <x:v>#NAME?</x:v>
      </x:c>
      <x:c r="L514" s="146" t="e">
        <x:f>IF($A514="","",[1]!thsiFinD("ths_adjustment_nv_fund",L$3,$A514))</x:f>
        <x:v>#NAME?</x:v>
      </x:c>
      <x:c r="M514" s="146" t="e">
        <x:f>IF($A514="","",[1]!thsiFinD("ths_adjustment_nv_fund",M$3,$A514))</x:f>
        <x:v>#NAME?</x:v>
      </x:c>
      <x:c r="N514" s="146" t="e">
        <x:f>IF($A514="","",[1]!thsiFinD("ths_adjustment_nv_fund",N$3,$A514))</x:f>
        <x:v>#NAME?</x:v>
      </x:c>
      <x:c r="O514" s="146" t="e">
        <x:f>IF($A514="","",[1]!thsiFinD("ths_adjustment_nv_fund",O$3,$A514))</x:f>
        <x:v>#NAME?</x:v>
      </x:c>
      <x:c r="P514" s="146" t="e">
        <x:f>IF($A514="","",[1]!thsiFinD("ths_adjustment_nv_fund",P$3,$A514))</x:f>
        <x:v>#NAME?</x:v>
      </x:c>
      <x:c r="Q514" s="146" t="e">
        <x:f>IF($A514="","",[1]!thsiFinD("ths_adjustment_nv_fund",Q$3,$A514))</x:f>
        <x:v>#NAME?</x:v>
      </x:c>
      <x:c r="R514" s="146" t="e">
        <x:f>IF($A514="","",[1]!thsiFinD("ths_adjustment_nv_fund",R$3,$A514))</x:f>
        <x:v>#NAME?</x:v>
      </x:c>
      <x:c r="S514" s="146" t="e">
        <x:f>IF($A514="","",[1]!thsiFinD("ths_adjustment_nv_fund",S$3,$A514))</x:f>
        <x:v>#NAME?</x:v>
      </x:c>
      <x:c r="T514" s="146" t="e">
        <x:f>IF($A514="","",[1]!thsiFinD("ths_adjustment_nv_fund",T$3,$A514))</x:f>
        <x:v>#NAME?</x:v>
      </x:c>
      <x:c r="U514" s="146" t="e">
        <x:f>IF($A514="","",[1]!thsiFinD("ths_adjustment_nv_fund",U$3,$A514))</x:f>
        <x:v>#NAME?</x:v>
      </x:c>
      <x:c r="V514" s="146" t="e">
        <x:f>IF($A514="","",[1]!thsiFinD("ths_adjustment_nv_fund",V$3,$A514))</x:f>
        <x:v>#NAME?</x:v>
      </x:c>
      <x:c r="W514" s="146" t="e">
        <x:f>IF($A514="","",[1]!thsiFinD("ths_adjustment_nv_fund",W$3,$A514))</x:f>
        <x:v>#NAME?</x:v>
      </x:c>
      <x:c r="X514" s="146" t="e">
        <x:f>IF($A514="","",[1]!thsiFinD("ths_adjustment_nv_fund",X$3,$A514))</x:f>
        <x:v>#NAME?</x:v>
      </x:c>
      <x:c r="Y514" s="146" t="e">
        <x:f>IF($A514="","",[1]!thsiFinD("ths_adjustment_nv_fund",Y$3,$A514))</x:f>
        <x:v>#NAME?</x:v>
      </x:c>
      <x:c r="Z514" s="146" t="e">
        <x:f>IF($A514="","",[1]!thsiFinD("ths_adjustment_nv_fund",Z$3,$A514))</x:f>
        <x:v>#NAME?</x:v>
      </x:c>
      <x:c r="AA514" s="146" t="e">
        <x:f>IF($A514="","",[1]!thsiFinD("ths_adjustment_nv_fund",AA$3,$A514))</x:f>
        <x:v>#NAME?</x:v>
      </x:c>
    </x:row>
    <x:row r="515">
      <x:c r="B515" s="146" t="e">
        <x:f>IF($A515="","",[1]!thsiFinD("ths_adjustment_nv_fund",B$3,$A515))</x:f>
        <x:v>#NAME?</x:v>
      </x:c>
      <x:c r="C515" s="146" t="e">
        <x:f>IF($A515="","",[1]!thsiFinD("ths_adjustment_nv_fund",C$3,$A515))</x:f>
        <x:v>#NAME?</x:v>
      </x:c>
      <x:c r="D515" s="146" t="e">
        <x:f>IF($A515="","",[1]!thsiFinD("ths_adjustment_nv_fund",D$3,$A515))</x:f>
        <x:v>#NAME?</x:v>
      </x:c>
      <x:c r="E515" s="146" t="e">
        <x:f>IF($A515="","",[1]!thsiFinD("ths_adjustment_nv_fund",E$3,$A515))</x:f>
        <x:v>#NAME?</x:v>
      </x:c>
      <x:c r="F515" s="146" t="e">
        <x:f>IF($A515="","",[1]!thsiFinD("ths_adjustment_nv_fund",F$3,$A515))</x:f>
        <x:v>#NAME?</x:v>
      </x:c>
      <x:c r="G515" s="146" t="e">
        <x:f>IF($A515="","",[1]!thsiFinD("ths_adjustment_nv_fund",G$3,$A515))</x:f>
        <x:v>#NAME?</x:v>
      </x:c>
      <x:c r="H515" s="146" t="e">
        <x:f>IF($A515="","",[1]!thsiFinD("ths_adjustment_nv_fund",H$3,$A515))</x:f>
        <x:v>#NAME?</x:v>
      </x:c>
      <x:c r="I515" s="146" t="e">
        <x:f>IF($A515="","",[1]!thsiFinD("ths_adjustment_nv_fund",I$3,$A515))</x:f>
        <x:v>#NAME?</x:v>
      </x:c>
      <x:c r="J515" s="146" t="e">
        <x:f>IF($A515="","",[1]!thsiFinD("ths_adjustment_nv_fund",J$3,$A515))</x:f>
        <x:v>#NAME?</x:v>
      </x:c>
      <x:c r="K515" s="146" t="e">
        <x:f>IF($A515="","",[1]!thsiFinD("ths_adjustment_nv_fund",K$3,$A515))</x:f>
        <x:v>#NAME?</x:v>
      </x:c>
      <x:c r="L515" s="146" t="e">
        <x:f>IF($A515="","",[1]!thsiFinD("ths_adjustment_nv_fund",L$3,$A515))</x:f>
        <x:v>#NAME?</x:v>
      </x:c>
      <x:c r="M515" s="146" t="e">
        <x:f>IF($A515="","",[1]!thsiFinD("ths_adjustment_nv_fund",M$3,$A515))</x:f>
        <x:v>#NAME?</x:v>
      </x:c>
      <x:c r="N515" s="146" t="e">
        <x:f>IF($A515="","",[1]!thsiFinD("ths_adjustment_nv_fund",N$3,$A515))</x:f>
        <x:v>#NAME?</x:v>
      </x:c>
      <x:c r="O515" s="146" t="e">
        <x:f>IF($A515="","",[1]!thsiFinD("ths_adjustment_nv_fund",O$3,$A515))</x:f>
        <x:v>#NAME?</x:v>
      </x:c>
      <x:c r="P515" s="146" t="e">
        <x:f>IF($A515="","",[1]!thsiFinD("ths_adjustment_nv_fund",P$3,$A515))</x:f>
        <x:v>#NAME?</x:v>
      </x:c>
      <x:c r="Q515" s="146" t="e">
        <x:f>IF($A515="","",[1]!thsiFinD("ths_adjustment_nv_fund",Q$3,$A515))</x:f>
        <x:v>#NAME?</x:v>
      </x:c>
      <x:c r="R515" s="146" t="e">
        <x:f>IF($A515="","",[1]!thsiFinD("ths_adjustment_nv_fund",R$3,$A515))</x:f>
        <x:v>#NAME?</x:v>
      </x:c>
      <x:c r="S515" s="146" t="e">
        <x:f>IF($A515="","",[1]!thsiFinD("ths_adjustment_nv_fund",S$3,$A515))</x:f>
        <x:v>#NAME?</x:v>
      </x:c>
      <x:c r="T515" s="146" t="e">
        <x:f>IF($A515="","",[1]!thsiFinD("ths_adjustment_nv_fund",T$3,$A515))</x:f>
        <x:v>#NAME?</x:v>
      </x:c>
      <x:c r="U515" s="146" t="e">
        <x:f>IF($A515="","",[1]!thsiFinD("ths_adjustment_nv_fund",U$3,$A515))</x:f>
        <x:v>#NAME?</x:v>
      </x:c>
      <x:c r="V515" s="146" t="e">
        <x:f>IF($A515="","",[1]!thsiFinD("ths_adjustment_nv_fund",V$3,$A515))</x:f>
        <x:v>#NAME?</x:v>
      </x:c>
      <x:c r="W515" s="146" t="e">
        <x:f>IF($A515="","",[1]!thsiFinD("ths_adjustment_nv_fund",W$3,$A515))</x:f>
        <x:v>#NAME?</x:v>
      </x:c>
      <x:c r="X515" s="146" t="e">
        <x:f>IF($A515="","",[1]!thsiFinD("ths_adjustment_nv_fund",X$3,$A515))</x:f>
        <x:v>#NAME?</x:v>
      </x:c>
      <x:c r="Y515" s="146" t="e">
        <x:f>IF($A515="","",[1]!thsiFinD("ths_adjustment_nv_fund",Y$3,$A515))</x:f>
        <x:v>#NAME?</x:v>
      </x:c>
      <x:c r="Z515" s="146" t="e">
        <x:f>IF($A515="","",[1]!thsiFinD("ths_adjustment_nv_fund",Z$3,$A515))</x:f>
        <x:v>#NAME?</x:v>
      </x:c>
      <x:c r="AA515" s="146" t="e">
        <x:f>IF($A515="","",[1]!thsiFinD("ths_adjustment_nv_fund",AA$3,$A515))</x:f>
        <x:v>#NAME?</x:v>
      </x:c>
    </x:row>
    <x:row r="516">
      <x:c r="B516" s="146" t="e">
        <x:f>IF($A516="","",[1]!thsiFinD("ths_adjustment_nv_fund",B$3,$A516))</x:f>
        <x:v>#NAME?</x:v>
      </x:c>
      <x:c r="C516" s="146" t="e">
        <x:f>IF($A516="","",[1]!thsiFinD("ths_adjustment_nv_fund",C$3,$A516))</x:f>
        <x:v>#NAME?</x:v>
      </x:c>
      <x:c r="D516" s="146" t="e">
        <x:f>IF($A516="","",[1]!thsiFinD("ths_adjustment_nv_fund",D$3,$A516))</x:f>
        <x:v>#NAME?</x:v>
      </x:c>
      <x:c r="E516" s="146" t="e">
        <x:f>IF($A516="","",[1]!thsiFinD("ths_adjustment_nv_fund",E$3,$A516))</x:f>
        <x:v>#NAME?</x:v>
      </x:c>
      <x:c r="F516" s="146" t="e">
        <x:f>IF($A516="","",[1]!thsiFinD("ths_adjustment_nv_fund",F$3,$A516))</x:f>
        <x:v>#NAME?</x:v>
      </x:c>
      <x:c r="G516" s="146" t="e">
        <x:f>IF($A516="","",[1]!thsiFinD("ths_adjustment_nv_fund",G$3,$A516))</x:f>
        <x:v>#NAME?</x:v>
      </x:c>
      <x:c r="H516" s="146" t="e">
        <x:f>IF($A516="","",[1]!thsiFinD("ths_adjustment_nv_fund",H$3,$A516))</x:f>
        <x:v>#NAME?</x:v>
      </x:c>
      <x:c r="I516" s="146" t="e">
        <x:f>IF($A516="","",[1]!thsiFinD("ths_adjustment_nv_fund",I$3,$A516))</x:f>
        <x:v>#NAME?</x:v>
      </x:c>
      <x:c r="J516" s="146" t="e">
        <x:f>IF($A516="","",[1]!thsiFinD("ths_adjustment_nv_fund",J$3,$A516))</x:f>
        <x:v>#NAME?</x:v>
      </x:c>
      <x:c r="K516" s="146" t="e">
        <x:f>IF($A516="","",[1]!thsiFinD("ths_adjustment_nv_fund",K$3,$A516))</x:f>
        <x:v>#NAME?</x:v>
      </x:c>
      <x:c r="L516" s="146" t="e">
        <x:f>IF($A516="","",[1]!thsiFinD("ths_adjustment_nv_fund",L$3,$A516))</x:f>
        <x:v>#NAME?</x:v>
      </x:c>
      <x:c r="M516" s="146" t="e">
        <x:f>IF($A516="","",[1]!thsiFinD("ths_adjustment_nv_fund",M$3,$A516))</x:f>
        <x:v>#NAME?</x:v>
      </x:c>
      <x:c r="N516" s="146" t="e">
        <x:f>IF($A516="","",[1]!thsiFinD("ths_adjustment_nv_fund",N$3,$A516))</x:f>
        <x:v>#NAME?</x:v>
      </x:c>
      <x:c r="O516" s="146" t="e">
        <x:f>IF($A516="","",[1]!thsiFinD("ths_adjustment_nv_fund",O$3,$A516))</x:f>
        <x:v>#NAME?</x:v>
      </x:c>
      <x:c r="P516" s="146" t="e">
        <x:f>IF($A516="","",[1]!thsiFinD("ths_adjustment_nv_fund",P$3,$A516))</x:f>
        <x:v>#NAME?</x:v>
      </x:c>
      <x:c r="Q516" s="146" t="e">
        <x:f>IF($A516="","",[1]!thsiFinD("ths_adjustment_nv_fund",Q$3,$A516))</x:f>
        <x:v>#NAME?</x:v>
      </x:c>
      <x:c r="R516" s="146" t="e">
        <x:f>IF($A516="","",[1]!thsiFinD("ths_adjustment_nv_fund",R$3,$A516))</x:f>
        <x:v>#NAME?</x:v>
      </x:c>
      <x:c r="S516" s="146" t="e">
        <x:f>IF($A516="","",[1]!thsiFinD("ths_adjustment_nv_fund",S$3,$A516))</x:f>
        <x:v>#NAME?</x:v>
      </x:c>
      <x:c r="T516" s="146" t="e">
        <x:f>IF($A516="","",[1]!thsiFinD("ths_adjustment_nv_fund",T$3,$A516))</x:f>
        <x:v>#NAME?</x:v>
      </x:c>
      <x:c r="U516" s="146" t="e">
        <x:f>IF($A516="","",[1]!thsiFinD("ths_adjustment_nv_fund",U$3,$A516))</x:f>
        <x:v>#NAME?</x:v>
      </x:c>
      <x:c r="V516" s="146" t="e">
        <x:f>IF($A516="","",[1]!thsiFinD("ths_adjustment_nv_fund",V$3,$A516))</x:f>
        <x:v>#NAME?</x:v>
      </x:c>
      <x:c r="W516" s="146" t="e">
        <x:f>IF($A516="","",[1]!thsiFinD("ths_adjustment_nv_fund",W$3,$A516))</x:f>
        <x:v>#NAME?</x:v>
      </x:c>
      <x:c r="X516" s="146" t="e">
        <x:f>IF($A516="","",[1]!thsiFinD("ths_adjustment_nv_fund",X$3,$A516))</x:f>
        <x:v>#NAME?</x:v>
      </x:c>
      <x:c r="Y516" s="146" t="e">
        <x:f>IF($A516="","",[1]!thsiFinD("ths_adjustment_nv_fund",Y$3,$A516))</x:f>
        <x:v>#NAME?</x:v>
      </x:c>
      <x:c r="Z516" s="146" t="e">
        <x:f>IF($A516="","",[1]!thsiFinD("ths_adjustment_nv_fund",Z$3,$A516))</x:f>
        <x:v>#NAME?</x:v>
      </x:c>
      <x:c r="AA516" s="146" t="e">
        <x:f>IF($A516="","",[1]!thsiFinD("ths_adjustment_nv_fund",AA$3,$A516))</x:f>
        <x:v>#NAME?</x:v>
      </x:c>
    </x:row>
    <x:row r="517">
      <x:c r="B517" s="146" t="e">
        <x:f>IF($A517="","",[1]!thsiFinD("ths_adjustment_nv_fund",B$3,$A517))</x:f>
        <x:v>#NAME?</x:v>
      </x:c>
      <x:c r="C517" s="146" t="e">
        <x:f>IF($A517="","",[1]!thsiFinD("ths_adjustment_nv_fund",C$3,$A517))</x:f>
        <x:v>#NAME?</x:v>
      </x:c>
      <x:c r="D517" s="146" t="e">
        <x:f>IF($A517="","",[1]!thsiFinD("ths_adjustment_nv_fund",D$3,$A517))</x:f>
        <x:v>#NAME?</x:v>
      </x:c>
      <x:c r="E517" s="146" t="e">
        <x:f>IF($A517="","",[1]!thsiFinD("ths_adjustment_nv_fund",E$3,$A517))</x:f>
        <x:v>#NAME?</x:v>
      </x:c>
      <x:c r="F517" s="146" t="e">
        <x:f>IF($A517="","",[1]!thsiFinD("ths_adjustment_nv_fund",F$3,$A517))</x:f>
        <x:v>#NAME?</x:v>
      </x:c>
      <x:c r="G517" s="146" t="e">
        <x:f>IF($A517="","",[1]!thsiFinD("ths_adjustment_nv_fund",G$3,$A517))</x:f>
        <x:v>#NAME?</x:v>
      </x:c>
      <x:c r="H517" s="146" t="e">
        <x:f>IF($A517="","",[1]!thsiFinD("ths_adjustment_nv_fund",H$3,$A517))</x:f>
        <x:v>#NAME?</x:v>
      </x:c>
      <x:c r="I517" s="146" t="e">
        <x:f>IF($A517="","",[1]!thsiFinD("ths_adjustment_nv_fund",I$3,$A517))</x:f>
        <x:v>#NAME?</x:v>
      </x:c>
      <x:c r="J517" s="146" t="e">
        <x:f>IF($A517="","",[1]!thsiFinD("ths_adjustment_nv_fund",J$3,$A517))</x:f>
        <x:v>#NAME?</x:v>
      </x:c>
      <x:c r="K517" s="146" t="e">
        <x:f>IF($A517="","",[1]!thsiFinD("ths_adjustment_nv_fund",K$3,$A517))</x:f>
        <x:v>#NAME?</x:v>
      </x:c>
      <x:c r="L517" s="146" t="e">
        <x:f>IF($A517="","",[1]!thsiFinD("ths_adjustment_nv_fund",L$3,$A517))</x:f>
        <x:v>#NAME?</x:v>
      </x:c>
      <x:c r="M517" s="146" t="e">
        <x:f>IF($A517="","",[1]!thsiFinD("ths_adjustment_nv_fund",M$3,$A517))</x:f>
        <x:v>#NAME?</x:v>
      </x:c>
      <x:c r="N517" s="146" t="e">
        <x:f>IF($A517="","",[1]!thsiFinD("ths_adjustment_nv_fund",N$3,$A517))</x:f>
        <x:v>#NAME?</x:v>
      </x:c>
      <x:c r="O517" s="146" t="e">
        <x:f>IF($A517="","",[1]!thsiFinD("ths_adjustment_nv_fund",O$3,$A517))</x:f>
        <x:v>#NAME?</x:v>
      </x:c>
      <x:c r="P517" s="146" t="e">
        <x:f>IF($A517="","",[1]!thsiFinD("ths_adjustment_nv_fund",P$3,$A517))</x:f>
        <x:v>#NAME?</x:v>
      </x:c>
      <x:c r="Q517" s="146" t="e">
        <x:f>IF($A517="","",[1]!thsiFinD("ths_adjustment_nv_fund",Q$3,$A517))</x:f>
        <x:v>#NAME?</x:v>
      </x:c>
      <x:c r="R517" s="146" t="e">
        <x:f>IF($A517="","",[1]!thsiFinD("ths_adjustment_nv_fund",R$3,$A517))</x:f>
        <x:v>#NAME?</x:v>
      </x:c>
      <x:c r="S517" s="146" t="e">
        <x:f>IF($A517="","",[1]!thsiFinD("ths_adjustment_nv_fund",S$3,$A517))</x:f>
        <x:v>#NAME?</x:v>
      </x:c>
      <x:c r="T517" s="146" t="e">
        <x:f>IF($A517="","",[1]!thsiFinD("ths_adjustment_nv_fund",T$3,$A517))</x:f>
        <x:v>#NAME?</x:v>
      </x:c>
      <x:c r="U517" s="146" t="e">
        <x:f>IF($A517="","",[1]!thsiFinD("ths_adjustment_nv_fund",U$3,$A517))</x:f>
        <x:v>#NAME?</x:v>
      </x:c>
      <x:c r="V517" s="146" t="e">
        <x:f>IF($A517="","",[1]!thsiFinD("ths_adjustment_nv_fund",V$3,$A517))</x:f>
        <x:v>#NAME?</x:v>
      </x:c>
      <x:c r="W517" s="146" t="e">
        <x:f>IF($A517="","",[1]!thsiFinD("ths_adjustment_nv_fund",W$3,$A517))</x:f>
        <x:v>#NAME?</x:v>
      </x:c>
      <x:c r="X517" s="146" t="e">
        <x:f>IF($A517="","",[1]!thsiFinD("ths_adjustment_nv_fund",X$3,$A517))</x:f>
        <x:v>#NAME?</x:v>
      </x:c>
      <x:c r="Y517" s="146" t="e">
        <x:f>IF($A517="","",[1]!thsiFinD("ths_adjustment_nv_fund",Y$3,$A517))</x:f>
        <x:v>#NAME?</x:v>
      </x:c>
      <x:c r="Z517" s="146" t="e">
        <x:f>IF($A517="","",[1]!thsiFinD("ths_adjustment_nv_fund",Z$3,$A517))</x:f>
        <x:v>#NAME?</x:v>
      </x:c>
      <x:c r="AA517" s="146" t="e">
        <x:f>IF($A517="","",[1]!thsiFinD("ths_adjustment_nv_fund",AA$3,$A517))</x:f>
        <x:v>#NAME?</x:v>
      </x:c>
    </x:row>
    <x:row r="518">
      <x:c r="B518" s="146" t="e">
        <x:f>IF($A518="","",[1]!thsiFinD("ths_adjustment_nv_fund",B$3,$A518))</x:f>
        <x:v>#NAME?</x:v>
      </x:c>
      <x:c r="C518" s="146" t="e">
        <x:f>IF($A518="","",[1]!thsiFinD("ths_adjustment_nv_fund",C$3,$A518))</x:f>
        <x:v>#NAME?</x:v>
      </x:c>
      <x:c r="D518" s="146" t="e">
        <x:f>IF($A518="","",[1]!thsiFinD("ths_adjustment_nv_fund",D$3,$A518))</x:f>
        <x:v>#NAME?</x:v>
      </x:c>
      <x:c r="E518" s="146" t="e">
        <x:f>IF($A518="","",[1]!thsiFinD("ths_adjustment_nv_fund",E$3,$A518))</x:f>
        <x:v>#NAME?</x:v>
      </x:c>
      <x:c r="F518" s="146" t="e">
        <x:f>IF($A518="","",[1]!thsiFinD("ths_adjustment_nv_fund",F$3,$A518))</x:f>
        <x:v>#NAME?</x:v>
      </x:c>
      <x:c r="G518" s="146" t="e">
        <x:f>IF($A518="","",[1]!thsiFinD("ths_adjustment_nv_fund",G$3,$A518))</x:f>
        <x:v>#NAME?</x:v>
      </x:c>
      <x:c r="H518" s="146" t="e">
        <x:f>IF($A518="","",[1]!thsiFinD("ths_adjustment_nv_fund",H$3,$A518))</x:f>
        <x:v>#NAME?</x:v>
      </x:c>
      <x:c r="I518" s="146" t="e">
        <x:f>IF($A518="","",[1]!thsiFinD("ths_adjustment_nv_fund",I$3,$A518))</x:f>
        <x:v>#NAME?</x:v>
      </x:c>
      <x:c r="J518" s="146" t="e">
        <x:f>IF($A518="","",[1]!thsiFinD("ths_adjustment_nv_fund",J$3,$A518))</x:f>
        <x:v>#NAME?</x:v>
      </x:c>
      <x:c r="K518" s="146" t="e">
        <x:f>IF($A518="","",[1]!thsiFinD("ths_adjustment_nv_fund",K$3,$A518))</x:f>
        <x:v>#NAME?</x:v>
      </x:c>
      <x:c r="L518" s="146" t="e">
        <x:f>IF($A518="","",[1]!thsiFinD("ths_adjustment_nv_fund",L$3,$A518))</x:f>
        <x:v>#NAME?</x:v>
      </x:c>
      <x:c r="M518" s="146" t="e">
        <x:f>IF($A518="","",[1]!thsiFinD("ths_adjustment_nv_fund",M$3,$A518))</x:f>
        <x:v>#NAME?</x:v>
      </x:c>
      <x:c r="N518" s="146" t="e">
        <x:f>IF($A518="","",[1]!thsiFinD("ths_adjustment_nv_fund",N$3,$A518))</x:f>
        <x:v>#NAME?</x:v>
      </x:c>
      <x:c r="O518" s="146" t="e">
        <x:f>IF($A518="","",[1]!thsiFinD("ths_adjustment_nv_fund",O$3,$A518))</x:f>
        <x:v>#NAME?</x:v>
      </x:c>
      <x:c r="P518" s="146" t="e">
        <x:f>IF($A518="","",[1]!thsiFinD("ths_adjustment_nv_fund",P$3,$A518))</x:f>
        <x:v>#NAME?</x:v>
      </x:c>
      <x:c r="Q518" s="146" t="e">
        <x:f>IF($A518="","",[1]!thsiFinD("ths_adjustment_nv_fund",Q$3,$A518))</x:f>
        <x:v>#NAME?</x:v>
      </x:c>
      <x:c r="R518" s="146" t="e">
        <x:f>IF($A518="","",[1]!thsiFinD("ths_adjustment_nv_fund",R$3,$A518))</x:f>
        <x:v>#NAME?</x:v>
      </x:c>
      <x:c r="S518" s="146" t="e">
        <x:f>IF($A518="","",[1]!thsiFinD("ths_adjustment_nv_fund",S$3,$A518))</x:f>
        <x:v>#NAME?</x:v>
      </x:c>
      <x:c r="T518" s="146" t="e">
        <x:f>IF($A518="","",[1]!thsiFinD("ths_adjustment_nv_fund",T$3,$A518))</x:f>
        <x:v>#NAME?</x:v>
      </x:c>
      <x:c r="U518" s="146" t="e">
        <x:f>IF($A518="","",[1]!thsiFinD("ths_adjustment_nv_fund",U$3,$A518))</x:f>
        <x:v>#NAME?</x:v>
      </x:c>
      <x:c r="V518" s="146" t="e">
        <x:f>IF($A518="","",[1]!thsiFinD("ths_adjustment_nv_fund",V$3,$A518))</x:f>
        <x:v>#NAME?</x:v>
      </x:c>
      <x:c r="W518" s="146" t="e">
        <x:f>IF($A518="","",[1]!thsiFinD("ths_adjustment_nv_fund",W$3,$A518))</x:f>
        <x:v>#NAME?</x:v>
      </x:c>
      <x:c r="X518" s="146" t="e">
        <x:f>IF($A518="","",[1]!thsiFinD("ths_adjustment_nv_fund",X$3,$A518))</x:f>
        <x:v>#NAME?</x:v>
      </x:c>
      <x:c r="Y518" s="146" t="e">
        <x:f>IF($A518="","",[1]!thsiFinD("ths_adjustment_nv_fund",Y$3,$A518))</x:f>
        <x:v>#NAME?</x:v>
      </x:c>
      <x:c r="Z518" s="146" t="e">
        <x:f>IF($A518="","",[1]!thsiFinD("ths_adjustment_nv_fund",Z$3,$A518))</x:f>
        <x:v>#NAME?</x:v>
      </x:c>
      <x:c r="AA518" s="146" t="e">
        <x:f>IF($A518="","",[1]!thsiFinD("ths_adjustment_nv_fund",AA$3,$A518))</x:f>
        <x:v>#NAME?</x:v>
      </x:c>
    </x:row>
    <x:row r="519">
      <x:c r="B519" s="146" t="e">
        <x:f>IF($A519="","",[1]!thsiFinD("ths_adjustment_nv_fund",B$3,$A519))</x:f>
        <x:v>#NAME?</x:v>
      </x:c>
      <x:c r="C519" s="146" t="e">
        <x:f>IF($A519="","",[1]!thsiFinD("ths_adjustment_nv_fund",C$3,$A519))</x:f>
        <x:v>#NAME?</x:v>
      </x:c>
      <x:c r="D519" s="146" t="e">
        <x:f>IF($A519="","",[1]!thsiFinD("ths_adjustment_nv_fund",D$3,$A519))</x:f>
        <x:v>#NAME?</x:v>
      </x:c>
      <x:c r="E519" s="146" t="e">
        <x:f>IF($A519="","",[1]!thsiFinD("ths_adjustment_nv_fund",E$3,$A519))</x:f>
        <x:v>#NAME?</x:v>
      </x:c>
      <x:c r="F519" s="146" t="e">
        <x:f>IF($A519="","",[1]!thsiFinD("ths_adjustment_nv_fund",F$3,$A519))</x:f>
        <x:v>#NAME?</x:v>
      </x:c>
      <x:c r="G519" s="146" t="e">
        <x:f>IF($A519="","",[1]!thsiFinD("ths_adjustment_nv_fund",G$3,$A519))</x:f>
        <x:v>#NAME?</x:v>
      </x:c>
      <x:c r="H519" s="146" t="e">
        <x:f>IF($A519="","",[1]!thsiFinD("ths_adjustment_nv_fund",H$3,$A519))</x:f>
        <x:v>#NAME?</x:v>
      </x:c>
      <x:c r="I519" s="146" t="e">
        <x:f>IF($A519="","",[1]!thsiFinD("ths_adjustment_nv_fund",I$3,$A519))</x:f>
        <x:v>#NAME?</x:v>
      </x:c>
      <x:c r="J519" s="146" t="e">
        <x:f>IF($A519="","",[1]!thsiFinD("ths_adjustment_nv_fund",J$3,$A519))</x:f>
        <x:v>#NAME?</x:v>
      </x:c>
      <x:c r="K519" s="146" t="e">
        <x:f>IF($A519="","",[1]!thsiFinD("ths_adjustment_nv_fund",K$3,$A519))</x:f>
        <x:v>#NAME?</x:v>
      </x:c>
      <x:c r="L519" s="146" t="e">
        <x:f>IF($A519="","",[1]!thsiFinD("ths_adjustment_nv_fund",L$3,$A519))</x:f>
        <x:v>#NAME?</x:v>
      </x:c>
      <x:c r="M519" s="146" t="e">
        <x:f>IF($A519="","",[1]!thsiFinD("ths_adjustment_nv_fund",M$3,$A519))</x:f>
        <x:v>#NAME?</x:v>
      </x:c>
      <x:c r="N519" s="146" t="e">
        <x:f>IF($A519="","",[1]!thsiFinD("ths_adjustment_nv_fund",N$3,$A519))</x:f>
        <x:v>#NAME?</x:v>
      </x:c>
      <x:c r="O519" s="146" t="e">
        <x:f>IF($A519="","",[1]!thsiFinD("ths_adjustment_nv_fund",O$3,$A519))</x:f>
        <x:v>#NAME?</x:v>
      </x:c>
      <x:c r="P519" s="146" t="e">
        <x:f>IF($A519="","",[1]!thsiFinD("ths_adjustment_nv_fund",P$3,$A519))</x:f>
        <x:v>#NAME?</x:v>
      </x:c>
      <x:c r="Q519" s="146" t="e">
        <x:f>IF($A519="","",[1]!thsiFinD("ths_adjustment_nv_fund",Q$3,$A519))</x:f>
        <x:v>#NAME?</x:v>
      </x:c>
      <x:c r="R519" s="146" t="e">
        <x:f>IF($A519="","",[1]!thsiFinD("ths_adjustment_nv_fund",R$3,$A519))</x:f>
        <x:v>#NAME?</x:v>
      </x:c>
      <x:c r="S519" s="146" t="e">
        <x:f>IF($A519="","",[1]!thsiFinD("ths_adjustment_nv_fund",S$3,$A519))</x:f>
        <x:v>#NAME?</x:v>
      </x:c>
      <x:c r="T519" s="146" t="e">
        <x:f>IF($A519="","",[1]!thsiFinD("ths_adjustment_nv_fund",T$3,$A519))</x:f>
        <x:v>#NAME?</x:v>
      </x:c>
      <x:c r="U519" s="146" t="e">
        <x:f>IF($A519="","",[1]!thsiFinD("ths_adjustment_nv_fund",U$3,$A519))</x:f>
        <x:v>#NAME?</x:v>
      </x:c>
      <x:c r="V519" s="146" t="e">
        <x:f>IF($A519="","",[1]!thsiFinD("ths_adjustment_nv_fund",V$3,$A519))</x:f>
        <x:v>#NAME?</x:v>
      </x:c>
      <x:c r="W519" s="146" t="e">
        <x:f>IF($A519="","",[1]!thsiFinD("ths_adjustment_nv_fund",W$3,$A519))</x:f>
        <x:v>#NAME?</x:v>
      </x:c>
      <x:c r="X519" s="146" t="e">
        <x:f>IF($A519="","",[1]!thsiFinD("ths_adjustment_nv_fund",X$3,$A519))</x:f>
        <x:v>#NAME?</x:v>
      </x:c>
      <x:c r="Y519" s="146" t="e">
        <x:f>IF($A519="","",[1]!thsiFinD("ths_adjustment_nv_fund",Y$3,$A519))</x:f>
        <x:v>#NAME?</x:v>
      </x:c>
      <x:c r="Z519" s="146" t="e">
        <x:f>IF($A519="","",[1]!thsiFinD("ths_adjustment_nv_fund",Z$3,$A519))</x:f>
        <x:v>#NAME?</x:v>
      </x:c>
      <x:c r="AA519" s="146" t="e">
        <x:f>IF($A519="","",[1]!thsiFinD("ths_adjustment_nv_fund",AA$3,$A519))</x:f>
        <x:v>#NAME?</x:v>
      </x:c>
    </x:row>
    <x:row r="520">
      <x:c r="B520" s="146" t="e">
        <x:f>IF($A520="","",[1]!thsiFinD("ths_adjustment_nv_fund",B$3,$A520))</x:f>
        <x:v>#NAME?</x:v>
      </x:c>
      <x:c r="C520" s="146" t="e">
        <x:f>IF($A520="","",[1]!thsiFinD("ths_adjustment_nv_fund",C$3,$A520))</x:f>
        <x:v>#NAME?</x:v>
      </x:c>
      <x:c r="D520" s="146" t="e">
        <x:f>IF($A520="","",[1]!thsiFinD("ths_adjustment_nv_fund",D$3,$A520))</x:f>
        <x:v>#NAME?</x:v>
      </x:c>
      <x:c r="E520" s="146" t="e">
        <x:f>IF($A520="","",[1]!thsiFinD("ths_adjustment_nv_fund",E$3,$A520))</x:f>
        <x:v>#NAME?</x:v>
      </x:c>
      <x:c r="F520" s="146" t="e">
        <x:f>IF($A520="","",[1]!thsiFinD("ths_adjustment_nv_fund",F$3,$A520))</x:f>
        <x:v>#NAME?</x:v>
      </x:c>
      <x:c r="G520" s="146" t="e">
        <x:f>IF($A520="","",[1]!thsiFinD("ths_adjustment_nv_fund",G$3,$A520))</x:f>
        <x:v>#NAME?</x:v>
      </x:c>
      <x:c r="H520" s="146" t="e">
        <x:f>IF($A520="","",[1]!thsiFinD("ths_adjustment_nv_fund",H$3,$A520))</x:f>
        <x:v>#NAME?</x:v>
      </x:c>
      <x:c r="I520" s="146" t="e">
        <x:f>IF($A520="","",[1]!thsiFinD("ths_adjustment_nv_fund",I$3,$A520))</x:f>
        <x:v>#NAME?</x:v>
      </x:c>
      <x:c r="J520" s="146" t="e">
        <x:f>IF($A520="","",[1]!thsiFinD("ths_adjustment_nv_fund",J$3,$A520))</x:f>
        <x:v>#NAME?</x:v>
      </x:c>
      <x:c r="K520" s="146" t="e">
        <x:f>IF($A520="","",[1]!thsiFinD("ths_adjustment_nv_fund",K$3,$A520))</x:f>
        <x:v>#NAME?</x:v>
      </x:c>
      <x:c r="L520" s="146" t="e">
        <x:f>IF($A520="","",[1]!thsiFinD("ths_adjustment_nv_fund",L$3,$A520))</x:f>
        <x:v>#NAME?</x:v>
      </x:c>
      <x:c r="M520" s="146" t="e">
        <x:f>IF($A520="","",[1]!thsiFinD("ths_adjustment_nv_fund",M$3,$A520))</x:f>
        <x:v>#NAME?</x:v>
      </x:c>
      <x:c r="N520" s="146" t="e">
        <x:f>IF($A520="","",[1]!thsiFinD("ths_adjustment_nv_fund",N$3,$A520))</x:f>
        <x:v>#NAME?</x:v>
      </x:c>
      <x:c r="O520" s="146" t="e">
        <x:f>IF($A520="","",[1]!thsiFinD("ths_adjustment_nv_fund",O$3,$A520))</x:f>
        <x:v>#NAME?</x:v>
      </x:c>
      <x:c r="P520" s="146" t="e">
        <x:f>IF($A520="","",[1]!thsiFinD("ths_adjustment_nv_fund",P$3,$A520))</x:f>
        <x:v>#NAME?</x:v>
      </x:c>
      <x:c r="Q520" s="146" t="e">
        <x:f>IF($A520="","",[1]!thsiFinD("ths_adjustment_nv_fund",Q$3,$A520))</x:f>
        <x:v>#NAME?</x:v>
      </x:c>
      <x:c r="R520" s="146" t="e">
        <x:f>IF($A520="","",[1]!thsiFinD("ths_adjustment_nv_fund",R$3,$A520))</x:f>
        <x:v>#NAME?</x:v>
      </x:c>
      <x:c r="S520" s="146" t="e">
        <x:f>IF($A520="","",[1]!thsiFinD("ths_adjustment_nv_fund",S$3,$A520))</x:f>
        <x:v>#NAME?</x:v>
      </x:c>
      <x:c r="T520" s="146" t="e">
        <x:f>IF($A520="","",[1]!thsiFinD("ths_adjustment_nv_fund",T$3,$A520))</x:f>
        <x:v>#NAME?</x:v>
      </x:c>
      <x:c r="U520" s="146" t="e">
        <x:f>IF($A520="","",[1]!thsiFinD("ths_adjustment_nv_fund",U$3,$A520))</x:f>
        <x:v>#NAME?</x:v>
      </x:c>
      <x:c r="V520" s="146" t="e">
        <x:f>IF($A520="","",[1]!thsiFinD("ths_adjustment_nv_fund",V$3,$A520))</x:f>
        <x:v>#NAME?</x:v>
      </x:c>
      <x:c r="W520" s="146" t="e">
        <x:f>IF($A520="","",[1]!thsiFinD("ths_adjustment_nv_fund",W$3,$A520))</x:f>
        <x:v>#NAME?</x:v>
      </x:c>
      <x:c r="X520" s="146" t="e">
        <x:f>IF($A520="","",[1]!thsiFinD("ths_adjustment_nv_fund",X$3,$A520))</x:f>
        <x:v>#NAME?</x:v>
      </x:c>
      <x:c r="Y520" s="146" t="e">
        <x:f>IF($A520="","",[1]!thsiFinD("ths_adjustment_nv_fund",Y$3,$A520))</x:f>
        <x:v>#NAME?</x:v>
      </x:c>
      <x:c r="Z520" s="146" t="e">
        <x:f>IF($A520="","",[1]!thsiFinD("ths_adjustment_nv_fund",Z$3,$A520))</x:f>
        <x:v>#NAME?</x:v>
      </x:c>
      <x:c r="AA520" s="146" t="e">
        <x:f>IF($A520="","",[1]!thsiFinD("ths_adjustment_nv_fund",AA$3,$A520))</x:f>
        <x:v>#NAME?</x:v>
      </x:c>
    </x:row>
    <x:row r="521">
      <x:c r="B521" s="146" t="e">
        <x:f>IF($A521="","",[1]!thsiFinD("ths_adjustment_nv_fund",B$3,$A521))</x:f>
        <x:v>#NAME?</x:v>
      </x:c>
      <x:c r="C521" s="146" t="e">
        <x:f>IF($A521="","",[1]!thsiFinD("ths_adjustment_nv_fund",C$3,$A521))</x:f>
        <x:v>#NAME?</x:v>
      </x:c>
      <x:c r="D521" s="146" t="e">
        <x:f>IF($A521="","",[1]!thsiFinD("ths_adjustment_nv_fund",D$3,$A521))</x:f>
        <x:v>#NAME?</x:v>
      </x:c>
      <x:c r="E521" s="146" t="e">
        <x:f>IF($A521="","",[1]!thsiFinD("ths_adjustment_nv_fund",E$3,$A521))</x:f>
        <x:v>#NAME?</x:v>
      </x:c>
      <x:c r="F521" s="146" t="e">
        <x:f>IF($A521="","",[1]!thsiFinD("ths_adjustment_nv_fund",F$3,$A521))</x:f>
        <x:v>#NAME?</x:v>
      </x:c>
      <x:c r="G521" s="146" t="e">
        <x:f>IF($A521="","",[1]!thsiFinD("ths_adjustment_nv_fund",G$3,$A521))</x:f>
        <x:v>#NAME?</x:v>
      </x:c>
      <x:c r="H521" s="146" t="e">
        <x:f>IF($A521="","",[1]!thsiFinD("ths_adjustment_nv_fund",H$3,$A521))</x:f>
        <x:v>#NAME?</x:v>
      </x:c>
      <x:c r="I521" s="146" t="e">
        <x:f>IF($A521="","",[1]!thsiFinD("ths_adjustment_nv_fund",I$3,$A521))</x:f>
        <x:v>#NAME?</x:v>
      </x:c>
      <x:c r="J521" s="146" t="e">
        <x:f>IF($A521="","",[1]!thsiFinD("ths_adjustment_nv_fund",J$3,$A521))</x:f>
        <x:v>#NAME?</x:v>
      </x:c>
      <x:c r="K521" s="146" t="e">
        <x:f>IF($A521="","",[1]!thsiFinD("ths_adjustment_nv_fund",K$3,$A521))</x:f>
        <x:v>#NAME?</x:v>
      </x:c>
      <x:c r="L521" s="146" t="e">
        <x:f>IF($A521="","",[1]!thsiFinD("ths_adjustment_nv_fund",L$3,$A521))</x:f>
        <x:v>#NAME?</x:v>
      </x:c>
      <x:c r="M521" s="146" t="e">
        <x:f>IF($A521="","",[1]!thsiFinD("ths_adjustment_nv_fund",M$3,$A521))</x:f>
        <x:v>#NAME?</x:v>
      </x:c>
      <x:c r="N521" s="146" t="e">
        <x:f>IF($A521="","",[1]!thsiFinD("ths_adjustment_nv_fund",N$3,$A521))</x:f>
        <x:v>#NAME?</x:v>
      </x:c>
      <x:c r="O521" s="146" t="e">
        <x:f>IF($A521="","",[1]!thsiFinD("ths_adjustment_nv_fund",O$3,$A521))</x:f>
        <x:v>#NAME?</x:v>
      </x:c>
      <x:c r="P521" s="146" t="e">
        <x:f>IF($A521="","",[1]!thsiFinD("ths_adjustment_nv_fund",P$3,$A521))</x:f>
        <x:v>#NAME?</x:v>
      </x:c>
      <x:c r="Q521" s="146" t="e">
        <x:f>IF($A521="","",[1]!thsiFinD("ths_adjustment_nv_fund",Q$3,$A521))</x:f>
        <x:v>#NAME?</x:v>
      </x:c>
      <x:c r="R521" s="146" t="e">
        <x:f>IF($A521="","",[1]!thsiFinD("ths_adjustment_nv_fund",R$3,$A521))</x:f>
        <x:v>#NAME?</x:v>
      </x:c>
      <x:c r="S521" s="146" t="e">
        <x:f>IF($A521="","",[1]!thsiFinD("ths_adjustment_nv_fund",S$3,$A521))</x:f>
        <x:v>#NAME?</x:v>
      </x:c>
      <x:c r="T521" s="146" t="e">
        <x:f>IF($A521="","",[1]!thsiFinD("ths_adjustment_nv_fund",T$3,$A521))</x:f>
        <x:v>#NAME?</x:v>
      </x:c>
      <x:c r="U521" s="146" t="e">
        <x:f>IF($A521="","",[1]!thsiFinD("ths_adjustment_nv_fund",U$3,$A521))</x:f>
        <x:v>#NAME?</x:v>
      </x:c>
      <x:c r="V521" s="146" t="e">
        <x:f>IF($A521="","",[1]!thsiFinD("ths_adjustment_nv_fund",V$3,$A521))</x:f>
        <x:v>#NAME?</x:v>
      </x:c>
      <x:c r="W521" s="146" t="e">
        <x:f>IF($A521="","",[1]!thsiFinD("ths_adjustment_nv_fund",W$3,$A521))</x:f>
        <x:v>#NAME?</x:v>
      </x:c>
      <x:c r="X521" s="146" t="e">
        <x:f>IF($A521="","",[1]!thsiFinD("ths_adjustment_nv_fund",X$3,$A521))</x:f>
        <x:v>#NAME?</x:v>
      </x:c>
      <x:c r="Y521" s="146" t="e">
        <x:f>IF($A521="","",[1]!thsiFinD("ths_adjustment_nv_fund",Y$3,$A521))</x:f>
        <x:v>#NAME?</x:v>
      </x:c>
      <x:c r="Z521" s="146" t="e">
        <x:f>IF($A521="","",[1]!thsiFinD("ths_adjustment_nv_fund",Z$3,$A521))</x:f>
        <x:v>#NAME?</x:v>
      </x:c>
      <x:c r="AA521" s="146" t="e">
        <x:f>IF($A521="","",[1]!thsiFinD("ths_adjustment_nv_fund",AA$3,$A521))</x:f>
        <x:v>#NAME?</x:v>
      </x:c>
    </x:row>
    <x:row r="522">
      <x:c r="B522" s="146" t="e">
        <x:f>IF($A522="","",[1]!thsiFinD("ths_adjustment_nv_fund",B$3,$A522))</x:f>
        <x:v>#NAME?</x:v>
      </x:c>
      <x:c r="C522" s="146" t="e">
        <x:f>IF($A522="","",[1]!thsiFinD("ths_adjustment_nv_fund",C$3,$A522))</x:f>
        <x:v>#NAME?</x:v>
      </x:c>
      <x:c r="D522" s="146" t="e">
        <x:f>IF($A522="","",[1]!thsiFinD("ths_adjustment_nv_fund",D$3,$A522))</x:f>
        <x:v>#NAME?</x:v>
      </x:c>
      <x:c r="E522" s="146" t="e">
        <x:f>IF($A522="","",[1]!thsiFinD("ths_adjustment_nv_fund",E$3,$A522))</x:f>
        <x:v>#NAME?</x:v>
      </x:c>
      <x:c r="F522" s="146" t="e">
        <x:f>IF($A522="","",[1]!thsiFinD("ths_adjustment_nv_fund",F$3,$A522))</x:f>
        <x:v>#NAME?</x:v>
      </x:c>
      <x:c r="G522" s="146" t="e">
        <x:f>IF($A522="","",[1]!thsiFinD("ths_adjustment_nv_fund",G$3,$A522))</x:f>
        <x:v>#NAME?</x:v>
      </x:c>
      <x:c r="H522" s="146" t="e">
        <x:f>IF($A522="","",[1]!thsiFinD("ths_adjustment_nv_fund",H$3,$A522))</x:f>
        <x:v>#NAME?</x:v>
      </x:c>
      <x:c r="I522" s="146" t="e">
        <x:f>IF($A522="","",[1]!thsiFinD("ths_adjustment_nv_fund",I$3,$A522))</x:f>
        <x:v>#NAME?</x:v>
      </x:c>
      <x:c r="J522" s="146" t="e">
        <x:f>IF($A522="","",[1]!thsiFinD("ths_adjustment_nv_fund",J$3,$A522))</x:f>
        <x:v>#NAME?</x:v>
      </x:c>
      <x:c r="K522" s="146" t="e">
        <x:f>IF($A522="","",[1]!thsiFinD("ths_adjustment_nv_fund",K$3,$A522))</x:f>
        <x:v>#NAME?</x:v>
      </x:c>
      <x:c r="L522" s="146" t="e">
        <x:f>IF($A522="","",[1]!thsiFinD("ths_adjustment_nv_fund",L$3,$A522))</x:f>
        <x:v>#NAME?</x:v>
      </x:c>
      <x:c r="M522" s="146" t="e">
        <x:f>IF($A522="","",[1]!thsiFinD("ths_adjustment_nv_fund",M$3,$A522))</x:f>
        <x:v>#NAME?</x:v>
      </x:c>
      <x:c r="N522" s="146" t="e">
        <x:f>IF($A522="","",[1]!thsiFinD("ths_adjustment_nv_fund",N$3,$A522))</x:f>
        <x:v>#NAME?</x:v>
      </x:c>
      <x:c r="O522" s="146" t="e">
        <x:f>IF($A522="","",[1]!thsiFinD("ths_adjustment_nv_fund",O$3,$A522))</x:f>
        <x:v>#NAME?</x:v>
      </x:c>
      <x:c r="P522" s="146" t="e">
        <x:f>IF($A522="","",[1]!thsiFinD("ths_adjustment_nv_fund",P$3,$A522))</x:f>
        <x:v>#NAME?</x:v>
      </x:c>
      <x:c r="Q522" s="146" t="e">
        <x:f>IF($A522="","",[1]!thsiFinD("ths_adjustment_nv_fund",Q$3,$A522))</x:f>
        <x:v>#NAME?</x:v>
      </x:c>
      <x:c r="R522" s="146" t="e">
        <x:f>IF($A522="","",[1]!thsiFinD("ths_adjustment_nv_fund",R$3,$A522))</x:f>
        <x:v>#NAME?</x:v>
      </x:c>
      <x:c r="S522" s="146" t="e">
        <x:f>IF($A522="","",[1]!thsiFinD("ths_adjustment_nv_fund",S$3,$A522))</x:f>
        <x:v>#NAME?</x:v>
      </x:c>
      <x:c r="T522" s="146" t="e">
        <x:f>IF($A522="","",[1]!thsiFinD("ths_adjustment_nv_fund",T$3,$A522))</x:f>
        <x:v>#NAME?</x:v>
      </x:c>
      <x:c r="U522" s="146" t="e">
        <x:f>IF($A522="","",[1]!thsiFinD("ths_adjustment_nv_fund",U$3,$A522))</x:f>
        <x:v>#NAME?</x:v>
      </x:c>
      <x:c r="V522" s="146" t="e">
        <x:f>IF($A522="","",[1]!thsiFinD("ths_adjustment_nv_fund",V$3,$A522))</x:f>
        <x:v>#NAME?</x:v>
      </x:c>
      <x:c r="W522" s="146" t="e">
        <x:f>IF($A522="","",[1]!thsiFinD("ths_adjustment_nv_fund",W$3,$A522))</x:f>
        <x:v>#NAME?</x:v>
      </x:c>
      <x:c r="X522" s="146" t="e">
        <x:f>IF($A522="","",[1]!thsiFinD("ths_adjustment_nv_fund",X$3,$A522))</x:f>
        <x:v>#NAME?</x:v>
      </x:c>
      <x:c r="Y522" s="146" t="e">
        <x:f>IF($A522="","",[1]!thsiFinD("ths_adjustment_nv_fund",Y$3,$A522))</x:f>
        <x:v>#NAME?</x:v>
      </x:c>
      <x:c r="Z522" s="146" t="e">
        <x:f>IF($A522="","",[1]!thsiFinD("ths_adjustment_nv_fund",Z$3,$A522))</x:f>
        <x:v>#NAME?</x:v>
      </x:c>
      <x:c r="AA522" s="146" t="e">
        <x:f>IF($A522="","",[1]!thsiFinD("ths_adjustment_nv_fund",AA$3,$A522))</x:f>
        <x:v>#NAME?</x:v>
      </x:c>
    </x:row>
    <x:row r="523">
      <x:c r="B523" s="146" t="e">
        <x:f>IF($A523="","",[1]!thsiFinD("ths_adjustment_nv_fund",B$3,$A523))</x:f>
        <x:v>#NAME?</x:v>
      </x:c>
      <x:c r="C523" s="146" t="e">
        <x:f>IF($A523="","",[1]!thsiFinD("ths_adjustment_nv_fund",C$3,$A523))</x:f>
        <x:v>#NAME?</x:v>
      </x:c>
      <x:c r="D523" s="146" t="e">
        <x:f>IF($A523="","",[1]!thsiFinD("ths_adjustment_nv_fund",D$3,$A523))</x:f>
        <x:v>#NAME?</x:v>
      </x:c>
      <x:c r="E523" s="146" t="e">
        <x:f>IF($A523="","",[1]!thsiFinD("ths_adjustment_nv_fund",E$3,$A523))</x:f>
        <x:v>#NAME?</x:v>
      </x:c>
      <x:c r="F523" s="146" t="e">
        <x:f>IF($A523="","",[1]!thsiFinD("ths_adjustment_nv_fund",F$3,$A523))</x:f>
        <x:v>#NAME?</x:v>
      </x:c>
      <x:c r="G523" s="146" t="e">
        <x:f>IF($A523="","",[1]!thsiFinD("ths_adjustment_nv_fund",G$3,$A523))</x:f>
        <x:v>#NAME?</x:v>
      </x:c>
      <x:c r="H523" s="146" t="e">
        <x:f>IF($A523="","",[1]!thsiFinD("ths_adjustment_nv_fund",H$3,$A523))</x:f>
        <x:v>#NAME?</x:v>
      </x:c>
      <x:c r="I523" s="146" t="e">
        <x:f>IF($A523="","",[1]!thsiFinD("ths_adjustment_nv_fund",I$3,$A523))</x:f>
        <x:v>#NAME?</x:v>
      </x:c>
      <x:c r="J523" s="146" t="e">
        <x:f>IF($A523="","",[1]!thsiFinD("ths_adjustment_nv_fund",J$3,$A523))</x:f>
        <x:v>#NAME?</x:v>
      </x:c>
      <x:c r="K523" s="146" t="e">
        <x:f>IF($A523="","",[1]!thsiFinD("ths_adjustment_nv_fund",K$3,$A523))</x:f>
        <x:v>#NAME?</x:v>
      </x:c>
      <x:c r="L523" s="146" t="e">
        <x:f>IF($A523="","",[1]!thsiFinD("ths_adjustment_nv_fund",L$3,$A523))</x:f>
        <x:v>#NAME?</x:v>
      </x:c>
      <x:c r="M523" s="146" t="e">
        <x:f>IF($A523="","",[1]!thsiFinD("ths_adjustment_nv_fund",M$3,$A523))</x:f>
        <x:v>#NAME?</x:v>
      </x:c>
      <x:c r="N523" s="146" t="e">
        <x:f>IF($A523="","",[1]!thsiFinD("ths_adjustment_nv_fund",N$3,$A523))</x:f>
        <x:v>#NAME?</x:v>
      </x:c>
      <x:c r="O523" s="146" t="e">
        <x:f>IF($A523="","",[1]!thsiFinD("ths_adjustment_nv_fund",O$3,$A523))</x:f>
        <x:v>#NAME?</x:v>
      </x:c>
      <x:c r="P523" s="146" t="e">
        <x:f>IF($A523="","",[1]!thsiFinD("ths_adjustment_nv_fund",P$3,$A523))</x:f>
        <x:v>#NAME?</x:v>
      </x:c>
      <x:c r="Q523" s="146" t="e">
        <x:f>IF($A523="","",[1]!thsiFinD("ths_adjustment_nv_fund",Q$3,$A523))</x:f>
        <x:v>#NAME?</x:v>
      </x:c>
      <x:c r="R523" s="146" t="e">
        <x:f>IF($A523="","",[1]!thsiFinD("ths_adjustment_nv_fund",R$3,$A523))</x:f>
        <x:v>#NAME?</x:v>
      </x:c>
      <x:c r="S523" s="146" t="e">
        <x:f>IF($A523="","",[1]!thsiFinD("ths_adjustment_nv_fund",S$3,$A523))</x:f>
        <x:v>#NAME?</x:v>
      </x:c>
      <x:c r="T523" s="146" t="e">
        <x:f>IF($A523="","",[1]!thsiFinD("ths_adjustment_nv_fund",T$3,$A523))</x:f>
        <x:v>#NAME?</x:v>
      </x:c>
      <x:c r="U523" s="146" t="e">
        <x:f>IF($A523="","",[1]!thsiFinD("ths_adjustment_nv_fund",U$3,$A523))</x:f>
        <x:v>#NAME?</x:v>
      </x:c>
      <x:c r="V523" s="146" t="e">
        <x:f>IF($A523="","",[1]!thsiFinD("ths_adjustment_nv_fund",V$3,$A523))</x:f>
        <x:v>#NAME?</x:v>
      </x:c>
      <x:c r="W523" s="146" t="e">
        <x:f>IF($A523="","",[1]!thsiFinD("ths_adjustment_nv_fund",W$3,$A523))</x:f>
        <x:v>#NAME?</x:v>
      </x:c>
      <x:c r="X523" s="146" t="e">
        <x:f>IF($A523="","",[1]!thsiFinD("ths_adjustment_nv_fund",X$3,$A523))</x:f>
        <x:v>#NAME?</x:v>
      </x:c>
      <x:c r="Y523" s="146" t="e">
        <x:f>IF($A523="","",[1]!thsiFinD("ths_adjustment_nv_fund",Y$3,$A523))</x:f>
        <x:v>#NAME?</x:v>
      </x:c>
      <x:c r="Z523" s="146" t="e">
        <x:f>IF($A523="","",[1]!thsiFinD("ths_adjustment_nv_fund",Z$3,$A523))</x:f>
        <x:v>#NAME?</x:v>
      </x:c>
      <x:c r="AA523" s="146" t="e">
        <x:f>IF($A523="","",[1]!thsiFinD("ths_adjustment_nv_fund",AA$3,$A523))</x:f>
        <x:v>#NAME?</x:v>
      </x:c>
    </x:row>
    <x:row r="524">
      <x:c r="B524" s="146" t="e">
        <x:f>IF($A524="","",[1]!thsiFinD("ths_adjustment_nv_fund",B$3,$A524))</x:f>
        <x:v>#NAME?</x:v>
      </x:c>
      <x:c r="C524" s="146" t="e">
        <x:f>IF($A524="","",[1]!thsiFinD("ths_adjustment_nv_fund",C$3,$A524))</x:f>
        <x:v>#NAME?</x:v>
      </x:c>
      <x:c r="D524" s="146" t="e">
        <x:f>IF($A524="","",[1]!thsiFinD("ths_adjustment_nv_fund",D$3,$A524))</x:f>
        <x:v>#NAME?</x:v>
      </x:c>
      <x:c r="E524" s="146" t="e">
        <x:f>IF($A524="","",[1]!thsiFinD("ths_adjustment_nv_fund",E$3,$A524))</x:f>
        <x:v>#NAME?</x:v>
      </x:c>
      <x:c r="F524" s="146" t="e">
        <x:f>IF($A524="","",[1]!thsiFinD("ths_adjustment_nv_fund",F$3,$A524))</x:f>
        <x:v>#NAME?</x:v>
      </x:c>
      <x:c r="G524" s="146" t="e">
        <x:f>IF($A524="","",[1]!thsiFinD("ths_adjustment_nv_fund",G$3,$A524))</x:f>
        <x:v>#NAME?</x:v>
      </x:c>
      <x:c r="H524" s="146" t="e">
        <x:f>IF($A524="","",[1]!thsiFinD("ths_adjustment_nv_fund",H$3,$A524))</x:f>
        <x:v>#NAME?</x:v>
      </x:c>
      <x:c r="I524" s="146" t="e">
        <x:f>IF($A524="","",[1]!thsiFinD("ths_adjustment_nv_fund",I$3,$A524))</x:f>
        <x:v>#NAME?</x:v>
      </x:c>
      <x:c r="J524" s="146" t="e">
        <x:f>IF($A524="","",[1]!thsiFinD("ths_adjustment_nv_fund",J$3,$A524))</x:f>
        <x:v>#NAME?</x:v>
      </x:c>
      <x:c r="K524" s="146" t="e">
        <x:f>IF($A524="","",[1]!thsiFinD("ths_adjustment_nv_fund",K$3,$A524))</x:f>
        <x:v>#NAME?</x:v>
      </x:c>
      <x:c r="L524" s="146" t="e">
        <x:f>IF($A524="","",[1]!thsiFinD("ths_adjustment_nv_fund",L$3,$A524))</x:f>
        <x:v>#NAME?</x:v>
      </x:c>
      <x:c r="M524" s="146" t="e">
        <x:f>IF($A524="","",[1]!thsiFinD("ths_adjustment_nv_fund",M$3,$A524))</x:f>
        <x:v>#NAME?</x:v>
      </x:c>
      <x:c r="N524" s="146" t="e">
        <x:f>IF($A524="","",[1]!thsiFinD("ths_adjustment_nv_fund",N$3,$A524))</x:f>
        <x:v>#NAME?</x:v>
      </x:c>
      <x:c r="O524" s="146" t="e">
        <x:f>IF($A524="","",[1]!thsiFinD("ths_adjustment_nv_fund",O$3,$A524))</x:f>
        <x:v>#NAME?</x:v>
      </x:c>
      <x:c r="P524" s="146" t="e">
        <x:f>IF($A524="","",[1]!thsiFinD("ths_adjustment_nv_fund",P$3,$A524))</x:f>
        <x:v>#NAME?</x:v>
      </x:c>
      <x:c r="Q524" s="146" t="e">
        <x:f>IF($A524="","",[1]!thsiFinD("ths_adjustment_nv_fund",Q$3,$A524))</x:f>
        <x:v>#NAME?</x:v>
      </x:c>
      <x:c r="R524" s="146" t="e">
        <x:f>IF($A524="","",[1]!thsiFinD("ths_adjustment_nv_fund",R$3,$A524))</x:f>
        <x:v>#NAME?</x:v>
      </x:c>
      <x:c r="S524" s="146" t="e">
        <x:f>IF($A524="","",[1]!thsiFinD("ths_adjustment_nv_fund",S$3,$A524))</x:f>
        <x:v>#NAME?</x:v>
      </x:c>
      <x:c r="T524" s="146" t="e">
        <x:f>IF($A524="","",[1]!thsiFinD("ths_adjustment_nv_fund",T$3,$A524))</x:f>
        <x:v>#NAME?</x:v>
      </x:c>
      <x:c r="U524" s="146" t="e">
        <x:f>IF($A524="","",[1]!thsiFinD("ths_adjustment_nv_fund",U$3,$A524))</x:f>
        <x:v>#NAME?</x:v>
      </x:c>
      <x:c r="V524" s="146" t="e">
        <x:f>IF($A524="","",[1]!thsiFinD("ths_adjustment_nv_fund",V$3,$A524))</x:f>
        <x:v>#NAME?</x:v>
      </x:c>
      <x:c r="W524" s="146" t="e">
        <x:f>IF($A524="","",[1]!thsiFinD("ths_adjustment_nv_fund",W$3,$A524))</x:f>
        <x:v>#NAME?</x:v>
      </x:c>
      <x:c r="X524" s="146" t="e">
        <x:f>IF($A524="","",[1]!thsiFinD("ths_adjustment_nv_fund",X$3,$A524))</x:f>
        <x:v>#NAME?</x:v>
      </x:c>
      <x:c r="Y524" s="146" t="e">
        <x:f>IF($A524="","",[1]!thsiFinD("ths_adjustment_nv_fund",Y$3,$A524))</x:f>
        <x:v>#NAME?</x:v>
      </x:c>
      <x:c r="Z524" s="146" t="e">
        <x:f>IF($A524="","",[1]!thsiFinD("ths_adjustment_nv_fund",Z$3,$A524))</x:f>
        <x:v>#NAME?</x:v>
      </x:c>
      <x:c r="AA524" s="146" t="e">
        <x:f>IF($A524="","",[1]!thsiFinD("ths_adjustment_nv_fund",AA$3,$A524))</x:f>
        <x:v>#NAME?</x:v>
      </x:c>
    </x:row>
    <x:row r="525">
      <x:c r="B525" s="146" t="e">
        <x:f>IF($A525="","",[1]!thsiFinD("ths_adjustment_nv_fund",B$3,$A525))</x:f>
        <x:v>#NAME?</x:v>
      </x:c>
      <x:c r="C525" s="146" t="e">
        <x:f>IF($A525="","",[1]!thsiFinD("ths_adjustment_nv_fund",C$3,$A525))</x:f>
        <x:v>#NAME?</x:v>
      </x:c>
      <x:c r="D525" s="146" t="e">
        <x:f>IF($A525="","",[1]!thsiFinD("ths_adjustment_nv_fund",D$3,$A525))</x:f>
        <x:v>#NAME?</x:v>
      </x:c>
      <x:c r="E525" s="146" t="e">
        <x:f>IF($A525="","",[1]!thsiFinD("ths_adjustment_nv_fund",E$3,$A525))</x:f>
        <x:v>#NAME?</x:v>
      </x:c>
      <x:c r="F525" s="146" t="e">
        <x:f>IF($A525="","",[1]!thsiFinD("ths_adjustment_nv_fund",F$3,$A525))</x:f>
        <x:v>#NAME?</x:v>
      </x:c>
      <x:c r="G525" s="146" t="e">
        <x:f>IF($A525="","",[1]!thsiFinD("ths_adjustment_nv_fund",G$3,$A525))</x:f>
        <x:v>#NAME?</x:v>
      </x:c>
      <x:c r="H525" s="146" t="e">
        <x:f>IF($A525="","",[1]!thsiFinD("ths_adjustment_nv_fund",H$3,$A525))</x:f>
        <x:v>#NAME?</x:v>
      </x:c>
      <x:c r="I525" s="146" t="e">
        <x:f>IF($A525="","",[1]!thsiFinD("ths_adjustment_nv_fund",I$3,$A525))</x:f>
        <x:v>#NAME?</x:v>
      </x:c>
      <x:c r="J525" s="146" t="e">
        <x:f>IF($A525="","",[1]!thsiFinD("ths_adjustment_nv_fund",J$3,$A525))</x:f>
        <x:v>#NAME?</x:v>
      </x:c>
      <x:c r="K525" s="146" t="e">
        <x:f>IF($A525="","",[1]!thsiFinD("ths_adjustment_nv_fund",K$3,$A525))</x:f>
        <x:v>#NAME?</x:v>
      </x:c>
      <x:c r="L525" s="146" t="e">
        <x:f>IF($A525="","",[1]!thsiFinD("ths_adjustment_nv_fund",L$3,$A525))</x:f>
        <x:v>#NAME?</x:v>
      </x:c>
      <x:c r="M525" s="146" t="e">
        <x:f>IF($A525="","",[1]!thsiFinD("ths_adjustment_nv_fund",M$3,$A525))</x:f>
        <x:v>#NAME?</x:v>
      </x:c>
      <x:c r="N525" s="146" t="e">
        <x:f>IF($A525="","",[1]!thsiFinD("ths_adjustment_nv_fund",N$3,$A525))</x:f>
        <x:v>#NAME?</x:v>
      </x:c>
      <x:c r="O525" s="146" t="e">
        <x:f>IF($A525="","",[1]!thsiFinD("ths_adjustment_nv_fund",O$3,$A525))</x:f>
        <x:v>#NAME?</x:v>
      </x:c>
      <x:c r="P525" s="146" t="e">
        <x:f>IF($A525="","",[1]!thsiFinD("ths_adjustment_nv_fund",P$3,$A525))</x:f>
        <x:v>#NAME?</x:v>
      </x:c>
      <x:c r="Q525" s="146" t="e">
        <x:f>IF($A525="","",[1]!thsiFinD("ths_adjustment_nv_fund",Q$3,$A525))</x:f>
        <x:v>#NAME?</x:v>
      </x:c>
      <x:c r="R525" s="146" t="e">
        <x:f>IF($A525="","",[1]!thsiFinD("ths_adjustment_nv_fund",R$3,$A525))</x:f>
        <x:v>#NAME?</x:v>
      </x:c>
      <x:c r="S525" s="146" t="e">
        <x:f>IF($A525="","",[1]!thsiFinD("ths_adjustment_nv_fund",S$3,$A525))</x:f>
        <x:v>#NAME?</x:v>
      </x:c>
      <x:c r="T525" s="146" t="e">
        <x:f>IF($A525="","",[1]!thsiFinD("ths_adjustment_nv_fund",T$3,$A525))</x:f>
        <x:v>#NAME?</x:v>
      </x:c>
      <x:c r="U525" s="146" t="e">
        <x:f>IF($A525="","",[1]!thsiFinD("ths_adjustment_nv_fund",U$3,$A525))</x:f>
        <x:v>#NAME?</x:v>
      </x:c>
      <x:c r="V525" s="146" t="e">
        <x:f>IF($A525="","",[1]!thsiFinD("ths_adjustment_nv_fund",V$3,$A525))</x:f>
        <x:v>#NAME?</x:v>
      </x:c>
      <x:c r="W525" s="146" t="e">
        <x:f>IF($A525="","",[1]!thsiFinD("ths_adjustment_nv_fund",W$3,$A525))</x:f>
        <x:v>#NAME?</x:v>
      </x:c>
      <x:c r="X525" s="146" t="e">
        <x:f>IF($A525="","",[1]!thsiFinD("ths_adjustment_nv_fund",X$3,$A525))</x:f>
        <x:v>#NAME?</x:v>
      </x:c>
      <x:c r="Y525" s="146" t="e">
        <x:f>IF($A525="","",[1]!thsiFinD("ths_adjustment_nv_fund",Y$3,$A525))</x:f>
        <x:v>#NAME?</x:v>
      </x:c>
      <x:c r="Z525" s="146" t="e">
        <x:f>IF($A525="","",[1]!thsiFinD("ths_adjustment_nv_fund",Z$3,$A525))</x:f>
        <x:v>#NAME?</x:v>
      </x:c>
      <x:c r="AA525" s="146" t="e">
        <x:f>IF($A525="","",[1]!thsiFinD("ths_adjustment_nv_fund",AA$3,$A525))</x:f>
        <x:v>#NAME?</x:v>
      </x:c>
    </x:row>
    <x:row r="526">
      <x:c r="B526" s="146" t="e">
        <x:f>IF($A526="","",[1]!thsiFinD("ths_adjustment_nv_fund",B$3,$A526))</x:f>
        <x:v>#NAME?</x:v>
      </x:c>
      <x:c r="C526" s="146" t="e">
        <x:f>IF($A526="","",[1]!thsiFinD("ths_adjustment_nv_fund",C$3,$A526))</x:f>
        <x:v>#NAME?</x:v>
      </x:c>
      <x:c r="D526" s="146" t="e">
        <x:f>IF($A526="","",[1]!thsiFinD("ths_adjustment_nv_fund",D$3,$A526))</x:f>
        <x:v>#NAME?</x:v>
      </x:c>
      <x:c r="E526" s="146" t="e">
        <x:f>IF($A526="","",[1]!thsiFinD("ths_adjustment_nv_fund",E$3,$A526))</x:f>
        <x:v>#NAME?</x:v>
      </x:c>
      <x:c r="F526" s="146" t="e">
        <x:f>IF($A526="","",[1]!thsiFinD("ths_adjustment_nv_fund",F$3,$A526))</x:f>
        <x:v>#NAME?</x:v>
      </x:c>
      <x:c r="G526" s="146" t="e">
        <x:f>IF($A526="","",[1]!thsiFinD("ths_adjustment_nv_fund",G$3,$A526))</x:f>
        <x:v>#NAME?</x:v>
      </x:c>
      <x:c r="H526" s="146" t="e">
        <x:f>IF($A526="","",[1]!thsiFinD("ths_adjustment_nv_fund",H$3,$A526))</x:f>
        <x:v>#NAME?</x:v>
      </x:c>
      <x:c r="I526" s="146" t="e">
        <x:f>IF($A526="","",[1]!thsiFinD("ths_adjustment_nv_fund",I$3,$A526))</x:f>
        <x:v>#NAME?</x:v>
      </x:c>
      <x:c r="J526" s="146" t="e">
        <x:f>IF($A526="","",[1]!thsiFinD("ths_adjustment_nv_fund",J$3,$A526))</x:f>
        <x:v>#NAME?</x:v>
      </x:c>
      <x:c r="K526" s="146" t="e">
        <x:f>IF($A526="","",[1]!thsiFinD("ths_adjustment_nv_fund",K$3,$A526))</x:f>
        <x:v>#NAME?</x:v>
      </x:c>
      <x:c r="L526" s="146" t="e">
        <x:f>IF($A526="","",[1]!thsiFinD("ths_adjustment_nv_fund",L$3,$A526))</x:f>
        <x:v>#NAME?</x:v>
      </x:c>
      <x:c r="M526" s="146" t="e">
        <x:f>IF($A526="","",[1]!thsiFinD("ths_adjustment_nv_fund",M$3,$A526))</x:f>
        <x:v>#NAME?</x:v>
      </x:c>
      <x:c r="N526" s="146" t="e">
        <x:f>IF($A526="","",[1]!thsiFinD("ths_adjustment_nv_fund",N$3,$A526))</x:f>
        <x:v>#NAME?</x:v>
      </x:c>
      <x:c r="O526" s="146" t="e">
        <x:f>IF($A526="","",[1]!thsiFinD("ths_adjustment_nv_fund",O$3,$A526))</x:f>
        <x:v>#NAME?</x:v>
      </x:c>
      <x:c r="P526" s="146" t="e">
        <x:f>IF($A526="","",[1]!thsiFinD("ths_adjustment_nv_fund",P$3,$A526))</x:f>
        <x:v>#NAME?</x:v>
      </x:c>
      <x:c r="Q526" s="146" t="e">
        <x:f>IF($A526="","",[1]!thsiFinD("ths_adjustment_nv_fund",Q$3,$A526))</x:f>
        <x:v>#NAME?</x:v>
      </x:c>
      <x:c r="R526" s="146" t="e">
        <x:f>IF($A526="","",[1]!thsiFinD("ths_adjustment_nv_fund",R$3,$A526))</x:f>
        <x:v>#NAME?</x:v>
      </x:c>
      <x:c r="S526" s="146" t="e">
        <x:f>IF($A526="","",[1]!thsiFinD("ths_adjustment_nv_fund",S$3,$A526))</x:f>
        <x:v>#NAME?</x:v>
      </x:c>
      <x:c r="T526" s="146" t="e">
        <x:f>IF($A526="","",[1]!thsiFinD("ths_adjustment_nv_fund",T$3,$A526))</x:f>
        <x:v>#NAME?</x:v>
      </x:c>
      <x:c r="U526" s="146" t="e">
        <x:f>IF($A526="","",[1]!thsiFinD("ths_adjustment_nv_fund",U$3,$A526))</x:f>
        <x:v>#NAME?</x:v>
      </x:c>
      <x:c r="V526" s="146" t="e">
        <x:f>IF($A526="","",[1]!thsiFinD("ths_adjustment_nv_fund",V$3,$A526))</x:f>
        <x:v>#NAME?</x:v>
      </x:c>
      <x:c r="W526" s="146" t="e">
        <x:f>IF($A526="","",[1]!thsiFinD("ths_adjustment_nv_fund",W$3,$A526))</x:f>
        <x:v>#NAME?</x:v>
      </x:c>
      <x:c r="X526" s="146" t="e">
        <x:f>IF($A526="","",[1]!thsiFinD("ths_adjustment_nv_fund",X$3,$A526))</x:f>
        <x:v>#NAME?</x:v>
      </x:c>
      <x:c r="Y526" s="146" t="e">
        <x:f>IF($A526="","",[1]!thsiFinD("ths_adjustment_nv_fund",Y$3,$A526))</x:f>
        <x:v>#NAME?</x:v>
      </x:c>
      <x:c r="Z526" s="146" t="e">
        <x:f>IF($A526="","",[1]!thsiFinD("ths_adjustment_nv_fund",Z$3,$A526))</x:f>
        <x:v>#NAME?</x:v>
      </x:c>
      <x:c r="AA526" s="146" t="e">
        <x:f>IF($A526="","",[1]!thsiFinD("ths_adjustment_nv_fund",AA$3,$A526))</x:f>
        <x:v>#NAME?</x:v>
      </x:c>
    </x:row>
    <x:row r="527">
      <x:c r="B527" s="146" t="e">
        <x:f>IF($A527="","",[1]!thsiFinD("ths_adjustment_nv_fund",B$3,$A527))</x:f>
        <x:v>#NAME?</x:v>
      </x:c>
      <x:c r="C527" s="146" t="e">
        <x:f>IF($A527="","",[1]!thsiFinD("ths_adjustment_nv_fund",C$3,$A527))</x:f>
        <x:v>#NAME?</x:v>
      </x:c>
      <x:c r="D527" s="146" t="e">
        <x:f>IF($A527="","",[1]!thsiFinD("ths_adjustment_nv_fund",D$3,$A527))</x:f>
        <x:v>#NAME?</x:v>
      </x:c>
      <x:c r="E527" s="146" t="e">
        <x:f>IF($A527="","",[1]!thsiFinD("ths_adjustment_nv_fund",E$3,$A527))</x:f>
        <x:v>#NAME?</x:v>
      </x:c>
      <x:c r="F527" s="146" t="e">
        <x:f>IF($A527="","",[1]!thsiFinD("ths_adjustment_nv_fund",F$3,$A527))</x:f>
        <x:v>#NAME?</x:v>
      </x:c>
      <x:c r="G527" s="146" t="e">
        <x:f>IF($A527="","",[1]!thsiFinD("ths_adjustment_nv_fund",G$3,$A527))</x:f>
        <x:v>#NAME?</x:v>
      </x:c>
      <x:c r="H527" s="146" t="e">
        <x:f>IF($A527="","",[1]!thsiFinD("ths_adjustment_nv_fund",H$3,$A527))</x:f>
        <x:v>#NAME?</x:v>
      </x:c>
      <x:c r="I527" s="146" t="e">
        <x:f>IF($A527="","",[1]!thsiFinD("ths_adjustment_nv_fund",I$3,$A527))</x:f>
        <x:v>#NAME?</x:v>
      </x:c>
      <x:c r="J527" s="146" t="e">
        <x:f>IF($A527="","",[1]!thsiFinD("ths_adjustment_nv_fund",J$3,$A527))</x:f>
        <x:v>#NAME?</x:v>
      </x:c>
      <x:c r="K527" s="146" t="e">
        <x:f>IF($A527="","",[1]!thsiFinD("ths_adjustment_nv_fund",K$3,$A527))</x:f>
        <x:v>#NAME?</x:v>
      </x:c>
      <x:c r="L527" s="146" t="e">
        <x:f>IF($A527="","",[1]!thsiFinD("ths_adjustment_nv_fund",L$3,$A527))</x:f>
        <x:v>#NAME?</x:v>
      </x:c>
      <x:c r="M527" s="146" t="e">
        <x:f>IF($A527="","",[1]!thsiFinD("ths_adjustment_nv_fund",M$3,$A527))</x:f>
        <x:v>#NAME?</x:v>
      </x:c>
      <x:c r="N527" s="146" t="e">
        <x:f>IF($A527="","",[1]!thsiFinD("ths_adjustment_nv_fund",N$3,$A527))</x:f>
        <x:v>#NAME?</x:v>
      </x:c>
      <x:c r="O527" s="146" t="e">
        <x:f>IF($A527="","",[1]!thsiFinD("ths_adjustment_nv_fund",O$3,$A527))</x:f>
        <x:v>#NAME?</x:v>
      </x:c>
      <x:c r="P527" s="146" t="e">
        <x:f>IF($A527="","",[1]!thsiFinD("ths_adjustment_nv_fund",P$3,$A527))</x:f>
        <x:v>#NAME?</x:v>
      </x:c>
      <x:c r="Q527" s="146" t="e">
        <x:f>IF($A527="","",[1]!thsiFinD("ths_adjustment_nv_fund",Q$3,$A527))</x:f>
        <x:v>#NAME?</x:v>
      </x:c>
      <x:c r="R527" s="146" t="e">
        <x:f>IF($A527="","",[1]!thsiFinD("ths_adjustment_nv_fund",R$3,$A527))</x:f>
        <x:v>#NAME?</x:v>
      </x:c>
      <x:c r="S527" s="146" t="e">
        <x:f>IF($A527="","",[1]!thsiFinD("ths_adjustment_nv_fund",S$3,$A527))</x:f>
        <x:v>#NAME?</x:v>
      </x:c>
      <x:c r="T527" s="146" t="e">
        <x:f>IF($A527="","",[1]!thsiFinD("ths_adjustment_nv_fund",T$3,$A527))</x:f>
        <x:v>#NAME?</x:v>
      </x:c>
      <x:c r="U527" s="146" t="e">
        <x:f>IF($A527="","",[1]!thsiFinD("ths_adjustment_nv_fund",U$3,$A527))</x:f>
        <x:v>#NAME?</x:v>
      </x:c>
      <x:c r="V527" s="146" t="e">
        <x:f>IF($A527="","",[1]!thsiFinD("ths_adjustment_nv_fund",V$3,$A527))</x:f>
        <x:v>#NAME?</x:v>
      </x:c>
      <x:c r="W527" s="146" t="e">
        <x:f>IF($A527="","",[1]!thsiFinD("ths_adjustment_nv_fund",W$3,$A527))</x:f>
        <x:v>#NAME?</x:v>
      </x:c>
      <x:c r="X527" s="146" t="e">
        <x:f>IF($A527="","",[1]!thsiFinD("ths_adjustment_nv_fund",X$3,$A527))</x:f>
        <x:v>#NAME?</x:v>
      </x:c>
      <x:c r="Y527" s="146" t="e">
        <x:f>IF($A527="","",[1]!thsiFinD("ths_adjustment_nv_fund",Y$3,$A527))</x:f>
        <x:v>#NAME?</x:v>
      </x:c>
      <x:c r="Z527" s="146" t="e">
        <x:f>IF($A527="","",[1]!thsiFinD("ths_adjustment_nv_fund",Z$3,$A527))</x:f>
        <x:v>#NAME?</x:v>
      </x:c>
      <x:c r="AA527" s="146" t="e">
        <x:f>IF($A527="","",[1]!thsiFinD("ths_adjustment_nv_fund",AA$3,$A527))</x:f>
        <x:v>#NAME?</x:v>
      </x:c>
    </x:row>
    <x:row r="528">
      <x:c r="B528" s="146" t="e">
        <x:f>IF($A528="","",[1]!thsiFinD("ths_adjustment_nv_fund",B$3,$A528))</x:f>
        <x:v>#NAME?</x:v>
      </x:c>
      <x:c r="C528" s="146" t="e">
        <x:f>IF($A528="","",[1]!thsiFinD("ths_adjustment_nv_fund",C$3,$A528))</x:f>
        <x:v>#NAME?</x:v>
      </x:c>
      <x:c r="D528" s="146" t="e">
        <x:f>IF($A528="","",[1]!thsiFinD("ths_adjustment_nv_fund",D$3,$A528))</x:f>
        <x:v>#NAME?</x:v>
      </x:c>
      <x:c r="E528" s="146" t="e">
        <x:f>IF($A528="","",[1]!thsiFinD("ths_adjustment_nv_fund",E$3,$A528))</x:f>
        <x:v>#NAME?</x:v>
      </x:c>
      <x:c r="F528" s="146" t="e">
        <x:f>IF($A528="","",[1]!thsiFinD("ths_adjustment_nv_fund",F$3,$A528))</x:f>
        <x:v>#NAME?</x:v>
      </x:c>
      <x:c r="G528" s="146" t="e">
        <x:f>IF($A528="","",[1]!thsiFinD("ths_adjustment_nv_fund",G$3,$A528))</x:f>
        <x:v>#NAME?</x:v>
      </x:c>
      <x:c r="H528" s="146" t="e">
        <x:f>IF($A528="","",[1]!thsiFinD("ths_adjustment_nv_fund",H$3,$A528))</x:f>
        <x:v>#NAME?</x:v>
      </x:c>
      <x:c r="I528" s="146" t="e">
        <x:f>IF($A528="","",[1]!thsiFinD("ths_adjustment_nv_fund",I$3,$A528))</x:f>
        <x:v>#NAME?</x:v>
      </x:c>
      <x:c r="J528" s="146" t="e">
        <x:f>IF($A528="","",[1]!thsiFinD("ths_adjustment_nv_fund",J$3,$A528))</x:f>
        <x:v>#NAME?</x:v>
      </x:c>
      <x:c r="K528" s="146" t="e">
        <x:f>IF($A528="","",[1]!thsiFinD("ths_adjustment_nv_fund",K$3,$A528))</x:f>
        <x:v>#NAME?</x:v>
      </x:c>
      <x:c r="L528" s="146" t="e">
        <x:f>IF($A528="","",[1]!thsiFinD("ths_adjustment_nv_fund",L$3,$A528))</x:f>
        <x:v>#NAME?</x:v>
      </x:c>
      <x:c r="M528" s="146" t="e">
        <x:f>IF($A528="","",[1]!thsiFinD("ths_adjustment_nv_fund",M$3,$A528))</x:f>
        <x:v>#NAME?</x:v>
      </x:c>
      <x:c r="N528" s="146" t="e">
        <x:f>IF($A528="","",[1]!thsiFinD("ths_adjustment_nv_fund",N$3,$A528))</x:f>
        <x:v>#NAME?</x:v>
      </x:c>
      <x:c r="O528" s="146" t="e">
        <x:f>IF($A528="","",[1]!thsiFinD("ths_adjustment_nv_fund",O$3,$A528))</x:f>
        <x:v>#NAME?</x:v>
      </x:c>
      <x:c r="P528" s="146" t="e">
        <x:f>IF($A528="","",[1]!thsiFinD("ths_adjustment_nv_fund",P$3,$A528))</x:f>
        <x:v>#NAME?</x:v>
      </x:c>
      <x:c r="Q528" s="146" t="e">
        <x:f>IF($A528="","",[1]!thsiFinD("ths_adjustment_nv_fund",Q$3,$A528))</x:f>
        <x:v>#NAME?</x:v>
      </x:c>
      <x:c r="R528" s="146" t="e">
        <x:f>IF($A528="","",[1]!thsiFinD("ths_adjustment_nv_fund",R$3,$A528))</x:f>
        <x:v>#NAME?</x:v>
      </x:c>
      <x:c r="S528" s="146" t="e">
        <x:f>IF($A528="","",[1]!thsiFinD("ths_adjustment_nv_fund",S$3,$A528))</x:f>
        <x:v>#NAME?</x:v>
      </x:c>
      <x:c r="T528" s="146" t="e">
        <x:f>IF($A528="","",[1]!thsiFinD("ths_adjustment_nv_fund",T$3,$A528))</x:f>
        <x:v>#NAME?</x:v>
      </x:c>
      <x:c r="U528" s="146" t="e">
        <x:f>IF($A528="","",[1]!thsiFinD("ths_adjustment_nv_fund",U$3,$A528))</x:f>
        <x:v>#NAME?</x:v>
      </x:c>
      <x:c r="V528" s="146" t="e">
        <x:f>IF($A528="","",[1]!thsiFinD("ths_adjustment_nv_fund",V$3,$A528))</x:f>
        <x:v>#NAME?</x:v>
      </x:c>
      <x:c r="W528" s="146" t="e">
        <x:f>IF($A528="","",[1]!thsiFinD("ths_adjustment_nv_fund",W$3,$A528))</x:f>
        <x:v>#NAME?</x:v>
      </x:c>
      <x:c r="X528" s="146" t="e">
        <x:f>IF($A528="","",[1]!thsiFinD("ths_adjustment_nv_fund",X$3,$A528))</x:f>
        <x:v>#NAME?</x:v>
      </x:c>
      <x:c r="Y528" s="146" t="e">
        <x:f>IF($A528="","",[1]!thsiFinD("ths_adjustment_nv_fund",Y$3,$A528))</x:f>
        <x:v>#NAME?</x:v>
      </x:c>
      <x:c r="Z528" s="146" t="e">
        <x:f>IF($A528="","",[1]!thsiFinD("ths_adjustment_nv_fund",Z$3,$A528))</x:f>
        <x:v>#NAME?</x:v>
      </x:c>
      <x:c r="AA528" s="146" t="e">
        <x:f>IF($A528="","",[1]!thsiFinD("ths_adjustment_nv_fund",AA$3,$A528))</x:f>
        <x:v>#NAME?</x:v>
      </x:c>
    </x:row>
    <x:row r="529">
      <x:c r="B529" s="146" t="e">
        <x:f>IF($A529="","",[1]!thsiFinD("ths_adjustment_nv_fund",B$3,$A529))</x:f>
        <x:v>#NAME?</x:v>
      </x:c>
      <x:c r="C529" s="146" t="e">
        <x:f>IF($A529="","",[1]!thsiFinD("ths_adjustment_nv_fund",C$3,$A529))</x:f>
        <x:v>#NAME?</x:v>
      </x:c>
      <x:c r="D529" s="146" t="e">
        <x:f>IF($A529="","",[1]!thsiFinD("ths_adjustment_nv_fund",D$3,$A529))</x:f>
        <x:v>#NAME?</x:v>
      </x:c>
      <x:c r="E529" s="146" t="e">
        <x:f>IF($A529="","",[1]!thsiFinD("ths_adjustment_nv_fund",E$3,$A529))</x:f>
        <x:v>#NAME?</x:v>
      </x:c>
      <x:c r="F529" s="146" t="e">
        <x:f>IF($A529="","",[1]!thsiFinD("ths_adjustment_nv_fund",F$3,$A529))</x:f>
        <x:v>#NAME?</x:v>
      </x:c>
      <x:c r="G529" s="146" t="e">
        <x:f>IF($A529="","",[1]!thsiFinD("ths_adjustment_nv_fund",G$3,$A529))</x:f>
        <x:v>#NAME?</x:v>
      </x:c>
      <x:c r="H529" s="146" t="e">
        <x:f>IF($A529="","",[1]!thsiFinD("ths_adjustment_nv_fund",H$3,$A529))</x:f>
        <x:v>#NAME?</x:v>
      </x:c>
      <x:c r="I529" s="146" t="e">
        <x:f>IF($A529="","",[1]!thsiFinD("ths_adjustment_nv_fund",I$3,$A529))</x:f>
        <x:v>#NAME?</x:v>
      </x:c>
      <x:c r="J529" s="146" t="e">
        <x:f>IF($A529="","",[1]!thsiFinD("ths_adjustment_nv_fund",J$3,$A529))</x:f>
        <x:v>#NAME?</x:v>
      </x:c>
      <x:c r="K529" s="146" t="e">
        <x:f>IF($A529="","",[1]!thsiFinD("ths_adjustment_nv_fund",K$3,$A529))</x:f>
        <x:v>#NAME?</x:v>
      </x:c>
      <x:c r="L529" s="146" t="e">
        <x:f>IF($A529="","",[1]!thsiFinD("ths_adjustment_nv_fund",L$3,$A529))</x:f>
        <x:v>#NAME?</x:v>
      </x:c>
      <x:c r="M529" s="146" t="e">
        <x:f>IF($A529="","",[1]!thsiFinD("ths_adjustment_nv_fund",M$3,$A529))</x:f>
        <x:v>#NAME?</x:v>
      </x:c>
      <x:c r="N529" s="146" t="e">
        <x:f>IF($A529="","",[1]!thsiFinD("ths_adjustment_nv_fund",N$3,$A529))</x:f>
        <x:v>#NAME?</x:v>
      </x:c>
      <x:c r="O529" s="146" t="e">
        <x:f>IF($A529="","",[1]!thsiFinD("ths_adjustment_nv_fund",O$3,$A529))</x:f>
        <x:v>#NAME?</x:v>
      </x:c>
      <x:c r="P529" s="146" t="e">
        <x:f>IF($A529="","",[1]!thsiFinD("ths_adjustment_nv_fund",P$3,$A529))</x:f>
        <x:v>#NAME?</x:v>
      </x:c>
      <x:c r="Q529" s="146" t="e">
        <x:f>IF($A529="","",[1]!thsiFinD("ths_adjustment_nv_fund",Q$3,$A529))</x:f>
        <x:v>#NAME?</x:v>
      </x:c>
      <x:c r="R529" s="146" t="e">
        <x:f>IF($A529="","",[1]!thsiFinD("ths_adjustment_nv_fund",R$3,$A529))</x:f>
        <x:v>#NAME?</x:v>
      </x:c>
      <x:c r="S529" s="146" t="e">
        <x:f>IF($A529="","",[1]!thsiFinD("ths_adjustment_nv_fund",S$3,$A529))</x:f>
        <x:v>#NAME?</x:v>
      </x:c>
      <x:c r="T529" s="146" t="e">
        <x:f>IF($A529="","",[1]!thsiFinD("ths_adjustment_nv_fund",T$3,$A529))</x:f>
        <x:v>#NAME?</x:v>
      </x:c>
      <x:c r="U529" s="146" t="e">
        <x:f>IF($A529="","",[1]!thsiFinD("ths_adjustment_nv_fund",U$3,$A529))</x:f>
        <x:v>#NAME?</x:v>
      </x:c>
      <x:c r="V529" s="146" t="e">
        <x:f>IF($A529="","",[1]!thsiFinD("ths_adjustment_nv_fund",V$3,$A529))</x:f>
        <x:v>#NAME?</x:v>
      </x:c>
      <x:c r="W529" s="146" t="e">
        <x:f>IF($A529="","",[1]!thsiFinD("ths_adjustment_nv_fund",W$3,$A529))</x:f>
        <x:v>#NAME?</x:v>
      </x:c>
      <x:c r="X529" s="146" t="e">
        <x:f>IF($A529="","",[1]!thsiFinD("ths_adjustment_nv_fund",X$3,$A529))</x:f>
        <x:v>#NAME?</x:v>
      </x:c>
      <x:c r="Y529" s="146" t="e">
        <x:f>IF($A529="","",[1]!thsiFinD("ths_adjustment_nv_fund",Y$3,$A529))</x:f>
        <x:v>#NAME?</x:v>
      </x:c>
      <x:c r="Z529" s="146" t="e">
        <x:f>IF($A529="","",[1]!thsiFinD("ths_adjustment_nv_fund",Z$3,$A529))</x:f>
        <x:v>#NAME?</x:v>
      </x:c>
      <x:c r="AA529" s="146" t="e">
        <x:f>IF($A529="","",[1]!thsiFinD("ths_adjustment_nv_fund",AA$3,$A529))</x:f>
        <x:v>#NAME?</x:v>
      </x:c>
    </x:row>
    <x:row r="530">
      <x:c r="B530" s="146" t="e">
        <x:f>IF($A530="","",[1]!thsiFinD("ths_adjustment_nv_fund",B$3,$A530))</x:f>
        <x:v>#NAME?</x:v>
      </x:c>
      <x:c r="C530" s="146" t="e">
        <x:f>IF($A530="","",[1]!thsiFinD("ths_adjustment_nv_fund",C$3,$A530))</x:f>
        <x:v>#NAME?</x:v>
      </x:c>
      <x:c r="D530" s="146" t="e">
        <x:f>IF($A530="","",[1]!thsiFinD("ths_adjustment_nv_fund",D$3,$A530))</x:f>
        <x:v>#NAME?</x:v>
      </x:c>
      <x:c r="E530" s="146" t="e">
        <x:f>IF($A530="","",[1]!thsiFinD("ths_adjustment_nv_fund",E$3,$A530))</x:f>
        <x:v>#NAME?</x:v>
      </x:c>
      <x:c r="F530" s="146" t="e">
        <x:f>IF($A530="","",[1]!thsiFinD("ths_adjustment_nv_fund",F$3,$A530))</x:f>
        <x:v>#NAME?</x:v>
      </x:c>
      <x:c r="G530" s="146" t="e">
        <x:f>IF($A530="","",[1]!thsiFinD("ths_adjustment_nv_fund",G$3,$A530))</x:f>
        <x:v>#NAME?</x:v>
      </x:c>
      <x:c r="H530" s="146" t="e">
        <x:f>IF($A530="","",[1]!thsiFinD("ths_adjustment_nv_fund",H$3,$A530))</x:f>
        <x:v>#NAME?</x:v>
      </x:c>
      <x:c r="I530" s="146" t="e">
        <x:f>IF($A530="","",[1]!thsiFinD("ths_adjustment_nv_fund",I$3,$A530))</x:f>
        <x:v>#NAME?</x:v>
      </x:c>
      <x:c r="J530" s="146" t="e">
        <x:f>IF($A530="","",[1]!thsiFinD("ths_adjustment_nv_fund",J$3,$A530))</x:f>
        <x:v>#NAME?</x:v>
      </x:c>
      <x:c r="K530" s="146" t="e">
        <x:f>IF($A530="","",[1]!thsiFinD("ths_adjustment_nv_fund",K$3,$A530))</x:f>
        <x:v>#NAME?</x:v>
      </x:c>
      <x:c r="L530" s="146" t="e">
        <x:f>IF($A530="","",[1]!thsiFinD("ths_adjustment_nv_fund",L$3,$A530))</x:f>
        <x:v>#NAME?</x:v>
      </x:c>
      <x:c r="M530" s="146" t="e">
        <x:f>IF($A530="","",[1]!thsiFinD("ths_adjustment_nv_fund",M$3,$A530))</x:f>
        <x:v>#NAME?</x:v>
      </x:c>
      <x:c r="N530" s="146" t="e">
        <x:f>IF($A530="","",[1]!thsiFinD("ths_adjustment_nv_fund",N$3,$A530))</x:f>
        <x:v>#NAME?</x:v>
      </x:c>
      <x:c r="O530" s="146" t="e">
        <x:f>IF($A530="","",[1]!thsiFinD("ths_adjustment_nv_fund",O$3,$A530))</x:f>
        <x:v>#NAME?</x:v>
      </x:c>
      <x:c r="P530" s="146" t="e">
        <x:f>IF($A530="","",[1]!thsiFinD("ths_adjustment_nv_fund",P$3,$A530))</x:f>
        <x:v>#NAME?</x:v>
      </x:c>
      <x:c r="Q530" s="146" t="e">
        <x:f>IF($A530="","",[1]!thsiFinD("ths_adjustment_nv_fund",Q$3,$A530))</x:f>
        <x:v>#NAME?</x:v>
      </x:c>
      <x:c r="R530" s="146" t="e">
        <x:f>IF($A530="","",[1]!thsiFinD("ths_adjustment_nv_fund",R$3,$A530))</x:f>
        <x:v>#NAME?</x:v>
      </x:c>
      <x:c r="S530" s="146" t="e">
        <x:f>IF($A530="","",[1]!thsiFinD("ths_adjustment_nv_fund",S$3,$A530))</x:f>
        <x:v>#NAME?</x:v>
      </x:c>
      <x:c r="T530" s="146" t="e">
        <x:f>IF($A530="","",[1]!thsiFinD("ths_adjustment_nv_fund",T$3,$A530))</x:f>
        <x:v>#NAME?</x:v>
      </x:c>
      <x:c r="U530" s="146" t="e">
        <x:f>IF($A530="","",[1]!thsiFinD("ths_adjustment_nv_fund",U$3,$A530))</x:f>
        <x:v>#NAME?</x:v>
      </x:c>
      <x:c r="V530" s="146" t="e">
        <x:f>IF($A530="","",[1]!thsiFinD("ths_adjustment_nv_fund",V$3,$A530))</x:f>
        <x:v>#NAME?</x:v>
      </x:c>
      <x:c r="W530" s="146" t="e">
        <x:f>IF($A530="","",[1]!thsiFinD("ths_adjustment_nv_fund",W$3,$A530))</x:f>
        <x:v>#NAME?</x:v>
      </x:c>
      <x:c r="X530" s="146" t="e">
        <x:f>IF($A530="","",[1]!thsiFinD("ths_adjustment_nv_fund",X$3,$A530))</x:f>
        <x:v>#NAME?</x:v>
      </x:c>
      <x:c r="Y530" s="146" t="e">
        <x:f>IF($A530="","",[1]!thsiFinD("ths_adjustment_nv_fund",Y$3,$A530))</x:f>
        <x:v>#NAME?</x:v>
      </x:c>
      <x:c r="Z530" s="146" t="e">
        <x:f>IF($A530="","",[1]!thsiFinD("ths_adjustment_nv_fund",Z$3,$A530))</x:f>
        <x:v>#NAME?</x:v>
      </x:c>
      <x:c r="AA530" s="146" t="e">
        <x:f>IF($A530="","",[1]!thsiFinD("ths_adjustment_nv_fund",AA$3,$A530))</x:f>
        <x:v>#NAME?</x:v>
      </x:c>
    </x:row>
    <x:row r="531">
      <x:c r="B531" s="146" t="e">
        <x:f>IF($A531="","",[1]!thsiFinD("ths_adjustment_nv_fund",B$3,$A531))</x:f>
        <x:v>#NAME?</x:v>
      </x:c>
      <x:c r="C531" s="146" t="e">
        <x:f>IF($A531="","",[1]!thsiFinD("ths_adjustment_nv_fund",C$3,$A531))</x:f>
        <x:v>#NAME?</x:v>
      </x:c>
      <x:c r="D531" s="146" t="e">
        <x:f>IF($A531="","",[1]!thsiFinD("ths_adjustment_nv_fund",D$3,$A531))</x:f>
        <x:v>#NAME?</x:v>
      </x:c>
      <x:c r="E531" s="146" t="e">
        <x:f>IF($A531="","",[1]!thsiFinD("ths_adjustment_nv_fund",E$3,$A531))</x:f>
        <x:v>#NAME?</x:v>
      </x:c>
      <x:c r="F531" s="146" t="e">
        <x:f>IF($A531="","",[1]!thsiFinD("ths_adjustment_nv_fund",F$3,$A531))</x:f>
        <x:v>#NAME?</x:v>
      </x:c>
      <x:c r="G531" s="146" t="e">
        <x:f>IF($A531="","",[1]!thsiFinD("ths_adjustment_nv_fund",G$3,$A531))</x:f>
        <x:v>#NAME?</x:v>
      </x:c>
      <x:c r="H531" s="146" t="e">
        <x:f>IF($A531="","",[1]!thsiFinD("ths_adjustment_nv_fund",H$3,$A531))</x:f>
        <x:v>#NAME?</x:v>
      </x:c>
      <x:c r="I531" s="146" t="e">
        <x:f>IF($A531="","",[1]!thsiFinD("ths_adjustment_nv_fund",I$3,$A531))</x:f>
        <x:v>#NAME?</x:v>
      </x:c>
      <x:c r="J531" s="146" t="e">
        <x:f>IF($A531="","",[1]!thsiFinD("ths_adjustment_nv_fund",J$3,$A531))</x:f>
        <x:v>#NAME?</x:v>
      </x:c>
      <x:c r="K531" s="146" t="e">
        <x:f>IF($A531="","",[1]!thsiFinD("ths_adjustment_nv_fund",K$3,$A531))</x:f>
        <x:v>#NAME?</x:v>
      </x:c>
      <x:c r="L531" s="146" t="e">
        <x:f>IF($A531="","",[1]!thsiFinD("ths_adjustment_nv_fund",L$3,$A531))</x:f>
        <x:v>#NAME?</x:v>
      </x:c>
      <x:c r="M531" s="146" t="e">
        <x:f>IF($A531="","",[1]!thsiFinD("ths_adjustment_nv_fund",M$3,$A531))</x:f>
        <x:v>#NAME?</x:v>
      </x:c>
      <x:c r="N531" s="146" t="e">
        <x:f>IF($A531="","",[1]!thsiFinD("ths_adjustment_nv_fund",N$3,$A531))</x:f>
        <x:v>#NAME?</x:v>
      </x:c>
      <x:c r="O531" s="146" t="e">
        <x:f>IF($A531="","",[1]!thsiFinD("ths_adjustment_nv_fund",O$3,$A531))</x:f>
        <x:v>#NAME?</x:v>
      </x:c>
      <x:c r="P531" s="146" t="e">
        <x:f>IF($A531="","",[1]!thsiFinD("ths_adjustment_nv_fund",P$3,$A531))</x:f>
        <x:v>#NAME?</x:v>
      </x:c>
      <x:c r="Q531" s="146" t="e">
        <x:f>IF($A531="","",[1]!thsiFinD("ths_adjustment_nv_fund",Q$3,$A531))</x:f>
        <x:v>#NAME?</x:v>
      </x:c>
      <x:c r="R531" s="146" t="e">
        <x:f>IF($A531="","",[1]!thsiFinD("ths_adjustment_nv_fund",R$3,$A531))</x:f>
        <x:v>#NAME?</x:v>
      </x:c>
      <x:c r="S531" s="146" t="e">
        <x:f>IF($A531="","",[1]!thsiFinD("ths_adjustment_nv_fund",S$3,$A531))</x:f>
        <x:v>#NAME?</x:v>
      </x:c>
      <x:c r="T531" s="146" t="e">
        <x:f>IF($A531="","",[1]!thsiFinD("ths_adjustment_nv_fund",T$3,$A531))</x:f>
        <x:v>#NAME?</x:v>
      </x:c>
      <x:c r="U531" s="146" t="e">
        <x:f>IF($A531="","",[1]!thsiFinD("ths_adjustment_nv_fund",U$3,$A531))</x:f>
        <x:v>#NAME?</x:v>
      </x:c>
      <x:c r="V531" s="146" t="e">
        <x:f>IF($A531="","",[1]!thsiFinD("ths_adjustment_nv_fund",V$3,$A531))</x:f>
        <x:v>#NAME?</x:v>
      </x:c>
      <x:c r="W531" s="146" t="e">
        <x:f>IF($A531="","",[1]!thsiFinD("ths_adjustment_nv_fund",W$3,$A531))</x:f>
        <x:v>#NAME?</x:v>
      </x:c>
      <x:c r="X531" s="146" t="e">
        <x:f>IF($A531="","",[1]!thsiFinD("ths_adjustment_nv_fund",X$3,$A531))</x:f>
        <x:v>#NAME?</x:v>
      </x:c>
      <x:c r="Y531" s="146" t="e">
        <x:f>IF($A531="","",[1]!thsiFinD("ths_adjustment_nv_fund",Y$3,$A531))</x:f>
        <x:v>#NAME?</x:v>
      </x:c>
      <x:c r="Z531" s="146" t="e">
        <x:f>IF($A531="","",[1]!thsiFinD("ths_adjustment_nv_fund",Z$3,$A531))</x:f>
        <x:v>#NAME?</x:v>
      </x:c>
      <x:c r="AA531" s="146" t="e">
        <x:f>IF($A531="","",[1]!thsiFinD("ths_adjustment_nv_fund",AA$3,$A531))</x:f>
        <x:v>#NAME?</x:v>
      </x:c>
    </x:row>
    <x:row r="532">
      <x:c r="B532" s="146" t="e">
        <x:f>IF($A532="","",[1]!thsiFinD("ths_adjustment_nv_fund",B$3,$A532))</x:f>
        <x:v>#NAME?</x:v>
      </x:c>
      <x:c r="C532" s="146" t="e">
        <x:f>IF($A532="","",[1]!thsiFinD("ths_adjustment_nv_fund",C$3,$A532))</x:f>
        <x:v>#NAME?</x:v>
      </x:c>
      <x:c r="D532" s="146" t="e">
        <x:f>IF($A532="","",[1]!thsiFinD("ths_adjustment_nv_fund",D$3,$A532))</x:f>
        <x:v>#NAME?</x:v>
      </x:c>
      <x:c r="E532" s="146" t="e">
        <x:f>IF($A532="","",[1]!thsiFinD("ths_adjustment_nv_fund",E$3,$A532))</x:f>
        <x:v>#NAME?</x:v>
      </x:c>
      <x:c r="F532" s="146" t="e">
        <x:f>IF($A532="","",[1]!thsiFinD("ths_adjustment_nv_fund",F$3,$A532))</x:f>
        <x:v>#NAME?</x:v>
      </x:c>
      <x:c r="G532" s="146" t="e">
        <x:f>IF($A532="","",[1]!thsiFinD("ths_adjustment_nv_fund",G$3,$A532))</x:f>
        <x:v>#NAME?</x:v>
      </x:c>
      <x:c r="H532" s="146" t="e">
        <x:f>IF($A532="","",[1]!thsiFinD("ths_adjustment_nv_fund",H$3,$A532))</x:f>
        <x:v>#NAME?</x:v>
      </x:c>
      <x:c r="I532" s="146" t="e">
        <x:f>IF($A532="","",[1]!thsiFinD("ths_adjustment_nv_fund",I$3,$A532))</x:f>
        <x:v>#NAME?</x:v>
      </x:c>
      <x:c r="J532" s="146" t="e">
        <x:f>IF($A532="","",[1]!thsiFinD("ths_adjustment_nv_fund",J$3,$A532))</x:f>
        <x:v>#NAME?</x:v>
      </x:c>
      <x:c r="K532" s="146" t="e">
        <x:f>IF($A532="","",[1]!thsiFinD("ths_adjustment_nv_fund",K$3,$A532))</x:f>
        <x:v>#NAME?</x:v>
      </x:c>
      <x:c r="L532" s="146" t="e">
        <x:f>IF($A532="","",[1]!thsiFinD("ths_adjustment_nv_fund",L$3,$A532))</x:f>
        <x:v>#NAME?</x:v>
      </x:c>
      <x:c r="M532" s="146" t="e">
        <x:f>IF($A532="","",[1]!thsiFinD("ths_adjustment_nv_fund",M$3,$A532))</x:f>
        <x:v>#NAME?</x:v>
      </x:c>
      <x:c r="N532" s="146" t="e">
        <x:f>IF($A532="","",[1]!thsiFinD("ths_adjustment_nv_fund",N$3,$A532))</x:f>
        <x:v>#NAME?</x:v>
      </x:c>
      <x:c r="O532" s="146" t="e">
        <x:f>IF($A532="","",[1]!thsiFinD("ths_adjustment_nv_fund",O$3,$A532))</x:f>
        <x:v>#NAME?</x:v>
      </x:c>
      <x:c r="P532" s="146" t="e">
        <x:f>IF($A532="","",[1]!thsiFinD("ths_adjustment_nv_fund",P$3,$A532))</x:f>
        <x:v>#NAME?</x:v>
      </x:c>
      <x:c r="Q532" s="146" t="e">
        <x:f>IF($A532="","",[1]!thsiFinD("ths_adjustment_nv_fund",Q$3,$A532))</x:f>
        <x:v>#NAME?</x:v>
      </x:c>
      <x:c r="R532" s="146" t="e">
        <x:f>IF($A532="","",[1]!thsiFinD("ths_adjustment_nv_fund",R$3,$A532))</x:f>
        <x:v>#NAME?</x:v>
      </x:c>
      <x:c r="S532" s="146" t="e">
        <x:f>IF($A532="","",[1]!thsiFinD("ths_adjustment_nv_fund",S$3,$A532))</x:f>
        <x:v>#NAME?</x:v>
      </x:c>
      <x:c r="T532" s="146" t="e">
        <x:f>IF($A532="","",[1]!thsiFinD("ths_adjustment_nv_fund",T$3,$A532))</x:f>
        <x:v>#NAME?</x:v>
      </x:c>
      <x:c r="U532" s="146" t="e">
        <x:f>IF($A532="","",[1]!thsiFinD("ths_adjustment_nv_fund",U$3,$A532))</x:f>
        <x:v>#NAME?</x:v>
      </x:c>
      <x:c r="V532" s="146" t="e">
        <x:f>IF($A532="","",[1]!thsiFinD("ths_adjustment_nv_fund",V$3,$A532))</x:f>
        <x:v>#NAME?</x:v>
      </x:c>
      <x:c r="W532" s="146" t="e">
        <x:f>IF($A532="","",[1]!thsiFinD("ths_adjustment_nv_fund",W$3,$A532))</x:f>
        <x:v>#NAME?</x:v>
      </x:c>
      <x:c r="X532" s="146" t="e">
        <x:f>IF($A532="","",[1]!thsiFinD("ths_adjustment_nv_fund",X$3,$A532))</x:f>
        <x:v>#NAME?</x:v>
      </x:c>
      <x:c r="Y532" s="146" t="e">
        <x:f>IF($A532="","",[1]!thsiFinD("ths_adjustment_nv_fund",Y$3,$A532))</x:f>
        <x:v>#NAME?</x:v>
      </x:c>
      <x:c r="Z532" s="146" t="e">
        <x:f>IF($A532="","",[1]!thsiFinD("ths_adjustment_nv_fund",Z$3,$A532))</x:f>
        <x:v>#NAME?</x:v>
      </x:c>
      <x:c r="AA532" s="146" t="e">
        <x:f>IF($A532="","",[1]!thsiFinD("ths_adjustment_nv_fund",AA$3,$A532))</x:f>
        <x:v>#NAME?</x:v>
      </x:c>
    </x:row>
    <x:row r="533">
      <x:c r="B533" s="146" t="e">
        <x:f>IF($A533="","",[1]!thsiFinD("ths_adjustment_nv_fund",B$3,$A533))</x:f>
        <x:v>#NAME?</x:v>
      </x:c>
      <x:c r="C533" s="146" t="e">
        <x:f>IF($A533="","",[1]!thsiFinD("ths_adjustment_nv_fund",C$3,$A533))</x:f>
        <x:v>#NAME?</x:v>
      </x:c>
      <x:c r="D533" s="146" t="e">
        <x:f>IF($A533="","",[1]!thsiFinD("ths_adjustment_nv_fund",D$3,$A533))</x:f>
        <x:v>#NAME?</x:v>
      </x:c>
      <x:c r="E533" s="146" t="e">
        <x:f>IF($A533="","",[1]!thsiFinD("ths_adjustment_nv_fund",E$3,$A533))</x:f>
        <x:v>#NAME?</x:v>
      </x:c>
      <x:c r="F533" s="146" t="e">
        <x:f>IF($A533="","",[1]!thsiFinD("ths_adjustment_nv_fund",F$3,$A533))</x:f>
        <x:v>#NAME?</x:v>
      </x:c>
      <x:c r="G533" s="146" t="e">
        <x:f>IF($A533="","",[1]!thsiFinD("ths_adjustment_nv_fund",G$3,$A533))</x:f>
        <x:v>#NAME?</x:v>
      </x:c>
      <x:c r="H533" s="146" t="e">
        <x:f>IF($A533="","",[1]!thsiFinD("ths_adjustment_nv_fund",H$3,$A533))</x:f>
        <x:v>#NAME?</x:v>
      </x:c>
      <x:c r="I533" s="146" t="e">
        <x:f>IF($A533="","",[1]!thsiFinD("ths_adjustment_nv_fund",I$3,$A533))</x:f>
        <x:v>#NAME?</x:v>
      </x:c>
      <x:c r="J533" s="146" t="e">
        <x:f>IF($A533="","",[1]!thsiFinD("ths_adjustment_nv_fund",J$3,$A533))</x:f>
        <x:v>#NAME?</x:v>
      </x:c>
      <x:c r="K533" s="146" t="e">
        <x:f>IF($A533="","",[1]!thsiFinD("ths_adjustment_nv_fund",K$3,$A533))</x:f>
        <x:v>#NAME?</x:v>
      </x:c>
      <x:c r="L533" s="146" t="e">
        <x:f>IF($A533="","",[1]!thsiFinD("ths_adjustment_nv_fund",L$3,$A533))</x:f>
        <x:v>#NAME?</x:v>
      </x:c>
      <x:c r="M533" s="146" t="e">
        <x:f>IF($A533="","",[1]!thsiFinD("ths_adjustment_nv_fund",M$3,$A533))</x:f>
        <x:v>#NAME?</x:v>
      </x:c>
      <x:c r="N533" s="146" t="e">
        <x:f>IF($A533="","",[1]!thsiFinD("ths_adjustment_nv_fund",N$3,$A533))</x:f>
        <x:v>#NAME?</x:v>
      </x:c>
      <x:c r="O533" s="146" t="e">
        <x:f>IF($A533="","",[1]!thsiFinD("ths_adjustment_nv_fund",O$3,$A533))</x:f>
        <x:v>#NAME?</x:v>
      </x:c>
      <x:c r="P533" s="146" t="e">
        <x:f>IF($A533="","",[1]!thsiFinD("ths_adjustment_nv_fund",P$3,$A533))</x:f>
        <x:v>#NAME?</x:v>
      </x:c>
      <x:c r="Q533" s="146" t="e">
        <x:f>IF($A533="","",[1]!thsiFinD("ths_adjustment_nv_fund",Q$3,$A533))</x:f>
        <x:v>#NAME?</x:v>
      </x:c>
      <x:c r="R533" s="146" t="e">
        <x:f>IF($A533="","",[1]!thsiFinD("ths_adjustment_nv_fund",R$3,$A533))</x:f>
        <x:v>#NAME?</x:v>
      </x:c>
      <x:c r="S533" s="146" t="e">
        <x:f>IF($A533="","",[1]!thsiFinD("ths_adjustment_nv_fund",S$3,$A533))</x:f>
        <x:v>#NAME?</x:v>
      </x:c>
      <x:c r="T533" s="146" t="e">
        <x:f>IF($A533="","",[1]!thsiFinD("ths_adjustment_nv_fund",T$3,$A533))</x:f>
        <x:v>#NAME?</x:v>
      </x:c>
      <x:c r="U533" s="146" t="e">
        <x:f>IF($A533="","",[1]!thsiFinD("ths_adjustment_nv_fund",U$3,$A533))</x:f>
        <x:v>#NAME?</x:v>
      </x:c>
      <x:c r="V533" s="146" t="e">
        <x:f>IF($A533="","",[1]!thsiFinD("ths_adjustment_nv_fund",V$3,$A533))</x:f>
        <x:v>#NAME?</x:v>
      </x:c>
      <x:c r="W533" s="146" t="e">
        <x:f>IF($A533="","",[1]!thsiFinD("ths_adjustment_nv_fund",W$3,$A533))</x:f>
        <x:v>#NAME?</x:v>
      </x:c>
      <x:c r="X533" s="146" t="e">
        <x:f>IF($A533="","",[1]!thsiFinD("ths_adjustment_nv_fund",X$3,$A533))</x:f>
        <x:v>#NAME?</x:v>
      </x:c>
      <x:c r="Y533" s="146" t="e">
        <x:f>IF($A533="","",[1]!thsiFinD("ths_adjustment_nv_fund",Y$3,$A533))</x:f>
        <x:v>#NAME?</x:v>
      </x:c>
      <x:c r="Z533" s="146" t="e">
        <x:f>IF($A533="","",[1]!thsiFinD("ths_adjustment_nv_fund",Z$3,$A533))</x:f>
        <x:v>#NAME?</x:v>
      </x:c>
      <x:c r="AA533" s="146" t="e">
        <x:f>IF($A533="","",[1]!thsiFinD("ths_adjustment_nv_fund",AA$3,$A533))</x:f>
        <x:v>#NAME?</x:v>
      </x:c>
    </x:row>
    <x:row r="534">
      <x:c r="B534" s="146" t="e">
        <x:f>IF($A534="","",[1]!thsiFinD("ths_adjustment_nv_fund",B$3,$A534))</x:f>
        <x:v>#NAME?</x:v>
      </x:c>
      <x:c r="C534" s="146" t="e">
        <x:f>IF($A534="","",[1]!thsiFinD("ths_adjustment_nv_fund",C$3,$A534))</x:f>
        <x:v>#NAME?</x:v>
      </x:c>
      <x:c r="D534" s="146" t="e">
        <x:f>IF($A534="","",[1]!thsiFinD("ths_adjustment_nv_fund",D$3,$A534))</x:f>
        <x:v>#NAME?</x:v>
      </x:c>
      <x:c r="E534" s="146" t="e">
        <x:f>IF($A534="","",[1]!thsiFinD("ths_adjustment_nv_fund",E$3,$A534))</x:f>
        <x:v>#NAME?</x:v>
      </x:c>
      <x:c r="F534" s="146" t="e">
        <x:f>IF($A534="","",[1]!thsiFinD("ths_adjustment_nv_fund",F$3,$A534))</x:f>
        <x:v>#NAME?</x:v>
      </x:c>
      <x:c r="G534" s="146" t="e">
        <x:f>IF($A534="","",[1]!thsiFinD("ths_adjustment_nv_fund",G$3,$A534))</x:f>
        <x:v>#NAME?</x:v>
      </x:c>
      <x:c r="H534" s="146" t="e">
        <x:f>IF($A534="","",[1]!thsiFinD("ths_adjustment_nv_fund",H$3,$A534))</x:f>
        <x:v>#NAME?</x:v>
      </x:c>
      <x:c r="I534" s="146" t="e">
        <x:f>IF($A534="","",[1]!thsiFinD("ths_adjustment_nv_fund",I$3,$A534))</x:f>
        <x:v>#NAME?</x:v>
      </x:c>
      <x:c r="J534" s="146" t="e">
        <x:f>IF($A534="","",[1]!thsiFinD("ths_adjustment_nv_fund",J$3,$A534))</x:f>
        <x:v>#NAME?</x:v>
      </x:c>
      <x:c r="K534" s="146" t="e">
        <x:f>IF($A534="","",[1]!thsiFinD("ths_adjustment_nv_fund",K$3,$A534))</x:f>
        <x:v>#NAME?</x:v>
      </x:c>
      <x:c r="L534" s="146" t="e">
        <x:f>IF($A534="","",[1]!thsiFinD("ths_adjustment_nv_fund",L$3,$A534))</x:f>
        <x:v>#NAME?</x:v>
      </x:c>
      <x:c r="M534" s="146" t="e">
        <x:f>IF($A534="","",[1]!thsiFinD("ths_adjustment_nv_fund",M$3,$A534))</x:f>
        <x:v>#NAME?</x:v>
      </x:c>
      <x:c r="N534" s="146" t="e">
        <x:f>IF($A534="","",[1]!thsiFinD("ths_adjustment_nv_fund",N$3,$A534))</x:f>
        <x:v>#NAME?</x:v>
      </x:c>
      <x:c r="O534" s="146" t="e">
        <x:f>IF($A534="","",[1]!thsiFinD("ths_adjustment_nv_fund",O$3,$A534))</x:f>
        <x:v>#NAME?</x:v>
      </x:c>
      <x:c r="P534" s="146" t="e">
        <x:f>IF($A534="","",[1]!thsiFinD("ths_adjustment_nv_fund",P$3,$A534))</x:f>
        <x:v>#NAME?</x:v>
      </x:c>
      <x:c r="Q534" s="146" t="e">
        <x:f>IF($A534="","",[1]!thsiFinD("ths_adjustment_nv_fund",Q$3,$A534))</x:f>
        <x:v>#NAME?</x:v>
      </x:c>
      <x:c r="R534" s="146" t="e">
        <x:f>IF($A534="","",[1]!thsiFinD("ths_adjustment_nv_fund",R$3,$A534))</x:f>
        <x:v>#NAME?</x:v>
      </x:c>
      <x:c r="S534" s="146" t="e">
        <x:f>IF($A534="","",[1]!thsiFinD("ths_adjustment_nv_fund",S$3,$A534))</x:f>
        <x:v>#NAME?</x:v>
      </x:c>
      <x:c r="T534" s="146" t="e">
        <x:f>IF($A534="","",[1]!thsiFinD("ths_adjustment_nv_fund",T$3,$A534))</x:f>
        <x:v>#NAME?</x:v>
      </x:c>
      <x:c r="U534" s="146" t="e">
        <x:f>IF($A534="","",[1]!thsiFinD("ths_adjustment_nv_fund",U$3,$A534))</x:f>
        <x:v>#NAME?</x:v>
      </x:c>
      <x:c r="V534" s="146" t="e">
        <x:f>IF($A534="","",[1]!thsiFinD("ths_adjustment_nv_fund",V$3,$A534))</x:f>
        <x:v>#NAME?</x:v>
      </x:c>
      <x:c r="W534" s="146" t="e">
        <x:f>IF($A534="","",[1]!thsiFinD("ths_adjustment_nv_fund",W$3,$A534))</x:f>
        <x:v>#NAME?</x:v>
      </x:c>
      <x:c r="X534" s="146" t="e">
        <x:f>IF($A534="","",[1]!thsiFinD("ths_adjustment_nv_fund",X$3,$A534))</x:f>
        <x:v>#NAME?</x:v>
      </x:c>
      <x:c r="Y534" s="146" t="e">
        <x:f>IF($A534="","",[1]!thsiFinD("ths_adjustment_nv_fund",Y$3,$A534))</x:f>
        <x:v>#NAME?</x:v>
      </x:c>
      <x:c r="Z534" s="146" t="e">
        <x:f>IF($A534="","",[1]!thsiFinD("ths_adjustment_nv_fund",Z$3,$A534))</x:f>
        <x:v>#NAME?</x:v>
      </x:c>
      <x:c r="AA534" s="146" t="e">
        <x:f>IF($A534="","",[1]!thsiFinD("ths_adjustment_nv_fund",AA$3,$A534))</x:f>
        <x:v>#NAME?</x:v>
      </x:c>
    </x:row>
    <x:row r="535">
      <x:c r="B535" s="146" t="e">
        <x:f>IF($A535="","",[1]!thsiFinD("ths_adjustment_nv_fund",B$3,$A535))</x:f>
        <x:v>#NAME?</x:v>
      </x:c>
      <x:c r="C535" s="146" t="e">
        <x:f>IF($A535="","",[1]!thsiFinD("ths_adjustment_nv_fund",C$3,$A535))</x:f>
        <x:v>#NAME?</x:v>
      </x:c>
      <x:c r="D535" s="146" t="e">
        <x:f>IF($A535="","",[1]!thsiFinD("ths_adjustment_nv_fund",D$3,$A535))</x:f>
        <x:v>#NAME?</x:v>
      </x:c>
      <x:c r="E535" s="146" t="e">
        <x:f>IF($A535="","",[1]!thsiFinD("ths_adjustment_nv_fund",E$3,$A535))</x:f>
        <x:v>#NAME?</x:v>
      </x:c>
      <x:c r="F535" s="146" t="e">
        <x:f>IF($A535="","",[1]!thsiFinD("ths_adjustment_nv_fund",F$3,$A535))</x:f>
        <x:v>#NAME?</x:v>
      </x:c>
      <x:c r="G535" s="146" t="e">
        <x:f>IF($A535="","",[1]!thsiFinD("ths_adjustment_nv_fund",G$3,$A535))</x:f>
        <x:v>#NAME?</x:v>
      </x:c>
      <x:c r="H535" s="146" t="e">
        <x:f>IF($A535="","",[1]!thsiFinD("ths_adjustment_nv_fund",H$3,$A535))</x:f>
        <x:v>#NAME?</x:v>
      </x:c>
      <x:c r="I535" s="146" t="e">
        <x:f>IF($A535="","",[1]!thsiFinD("ths_adjustment_nv_fund",I$3,$A535))</x:f>
        <x:v>#NAME?</x:v>
      </x:c>
      <x:c r="J535" s="146" t="e">
        <x:f>IF($A535="","",[1]!thsiFinD("ths_adjustment_nv_fund",J$3,$A535))</x:f>
        <x:v>#NAME?</x:v>
      </x:c>
      <x:c r="K535" s="146" t="e">
        <x:f>IF($A535="","",[1]!thsiFinD("ths_adjustment_nv_fund",K$3,$A535))</x:f>
        <x:v>#NAME?</x:v>
      </x:c>
      <x:c r="L535" s="146" t="e">
        <x:f>IF($A535="","",[1]!thsiFinD("ths_adjustment_nv_fund",L$3,$A535))</x:f>
        <x:v>#NAME?</x:v>
      </x:c>
      <x:c r="M535" s="146" t="e">
        <x:f>IF($A535="","",[1]!thsiFinD("ths_adjustment_nv_fund",M$3,$A535))</x:f>
        <x:v>#NAME?</x:v>
      </x:c>
      <x:c r="N535" s="146" t="e">
        <x:f>IF($A535="","",[1]!thsiFinD("ths_adjustment_nv_fund",N$3,$A535))</x:f>
        <x:v>#NAME?</x:v>
      </x:c>
      <x:c r="O535" s="146" t="e">
        <x:f>IF($A535="","",[1]!thsiFinD("ths_adjustment_nv_fund",O$3,$A535))</x:f>
        <x:v>#NAME?</x:v>
      </x:c>
      <x:c r="P535" s="146" t="e">
        <x:f>IF($A535="","",[1]!thsiFinD("ths_adjustment_nv_fund",P$3,$A535))</x:f>
        <x:v>#NAME?</x:v>
      </x:c>
      <x:c r="Q535" s="146" t="e">
        <x:f>IF($A535="","",[1]!thsiFinD("ths_adjustment_nv_fund",Q$3,$A535))</x:f>
        <x:v>#NAME?</x:v>
      </x:c>
      <x:c r="R535" s="146" t="e">
        <x:f>IF($A535="","",[1]!thsiFinD("ths_adjustment_nv_fund",R$3,$A535))</x:f>
        <x:v>#NAME?</x:v>
      </x:c>
      <x:c r="S535" s="146" t="e">
        <x:f>IF($A535="","",[1]!thsiFinD("ths_adjustment_nv_fund",S$3,$A535))</x:f>
        <x:v>#NAME?</x:v>
      </x:c>
      <x:c r="T535" s="146" t="e">
        <x:f>IF($A535="","",[1]!thsiFinD("ths_adjustment_nv_fund",T$3,$A535))</x:f>
        <x:v>#NAME?</x:v>
      </x:c>
      <x:c r="U535" s="146" t="e">
        <x:f>IF($A535="","",[1]!thsiFinD("ths_adjustment_nv_fund",U$3,$A535))</x:f>
        <x:v>#NAME?</x:v>
      </x:c>
      <x:c r="V535" s="146" t="e">
        <x:f>IF($A535="","",[1]!thsiFinD("ths_adjustment_nv_fund",V$3,$A535))</x:f>
        <x:v>#NAME?</x:v>
      </x:c>
      <x:c r="W535" s="146" t="e">
        <x:f>IF($A535="","",[1]!thsiFinD("ths_adjustment_nv_fund",W$3,$A535))</x:f>
        <x:v>#NAME?</x:v>
      </x:c>
      <x:c r="X535" s="146" t="e">
        <x:f>IF($A535="","",[1]!thsiFinD("ths_adjustment_nv_fund",X$3,$A535))</x:f>
        <x:v>#NAME?</x:v>
      </x:c>
      <x:c r="Y535" s="146" t="e">
        <x:f>IF($A535="","",[1]!thsiFinD("ths_adjustment_nv_fund",Y$3,$A535))</x:f>
        <x:v>#NAME?</x:v>
      </x:c>
      <x:c r="Z535" s="146" t="e">
        <x:f>IF($A535="","",[1]!thsiFinD("ths_adjustment_nv_fund",Z$3,$A535))</x:f>
        <x:v>#NAME?</x:v>
      </x:c>
      <x:c r="AA535" s="146" t="e">
        <x:f>IF($A535="","",[1]!thsiFinD("ths_adjustment_nv_fund",AA$3,$A535))</x:f>
        <x:v>#NAME?</x:v>
      </x:c>
    </x:row>
    <x:row r="536">
      <x:c r="B536" s="146" t="e">
        <x:f>IF($A536="","",[1]!thsiFinD("ths_adjustment_nv_fund",B$3,$A536))</x:f>
        <x:v>#NAME?</x:v>
      </x:c>
      <x:c r="C536" s="146" t="e">
        <x:f>IF($A536="","",[1]!thsiFinD("ths_adjustment_nv_fund",C$3,$A536))</x:f>
        <x:v>#NAME?</x:v>
      </x:c>
      <x:c r="D536" s="146" t="e">
        <x:f>IF($A536="","",[1]!thsiFinD("ths_adjustment_nv_fund",D$3,$A536))</x:f>
        <x:v>#NAME?</x:v>
      </x:c>
      <x:c r="E536" s="146" t="e">
        <x:f>IF($A536="","",[1]!thsiFinD("ths_adjustment_nv_fund",E$3,$A536))</x:f>
        <x:v>#NAME?</x:v>
      </x:c>
      <x:c r="F536" s="146" t="e">
        <x:f>IF($A536="","",[1]!thsiFinD("ths_adjustment_nv_fund",F$3,$A536))</x:f>
        <x:v>#NAME?</x:v>
      </x:c>
      <x:c r="G536" s="146" t="e">
        <x:f>IF($A536="","",[1]!thsiFinD("ths_adjustment_nv_fund",G$3,$A536))</x:f>
        <x:v>#NAME?</x:v>
      </x:c>
      <x:c r="H536" s="146" t="e">
        <x:f>IF($A536="","",[1]!thsiFinD("ths_adjustment_nv_fund",H$3,$A536))</x:f>
        <x:v>#NAME?</x:v>
      </x:c>
      <x:c r="I536" s="146" t="e">
        <x:f>IF($A536="","",[1]!thsiFinD("ths_adjustment_nv_fund",I$3,$A536))</x:f>
        <x:v>#NAME?</x:v>
      </x:c>
      <x:c r="J536" s="146" t="e">
        <x:f>IF($A536="","",[1]!thsiFinD("ths_adjustment_nv_fund",J$3,$A536))</x:f>
        <x:v>#NAME?</x:v>
      </x:c>
      <x:c r="K536" s="146" t="e">
        <x:f>IF($A536="","",[1]!thsiFinD("ths_adjustment_nv_fund",K$3,$A536))</x:f>
        <x:v>#NAME?</x:v>
      </x:c>
      <x:c r="L536" s="146" t="e">
        <x:f>IF($A536="","",[1]!thsiFinD("ths_adjustment_nv_fund",L$3,$A536))</x:f>
        <x:v>#NAME?</x:v>
      </x:c>
      <x:c r="M536" s="146" t="e">
        <x:f>IF($A536="","",[1]!thsiFinD("ths_adjustment_nv_fund",M$3,$A536))</x:f>
        <x:v>#NAME?</x:v>
      </x:c>
      <x:c r="N536" s="146" t="e">
        <x:f>IF($A536="","",[1]!thsiFinD("ths_adjustment_nv_fund",N$3,$A536))</x:f>
        <x:v>#NAME?</x:v>
      </x:c>
      <x:c r="O536" s="146" t="e">
        <x:f>IF($A536="","",[1]!thsiFinD("ths_adjustment_nv_fund",O$3,$A536))</x:f>
        <x:v>#NAME?</x:v>
      </x:c>
      <x:c r="P536" s="146" t="e">
        <x:f>IF($A536="","",[1]!thsiFinD("ths_adjustment_nv_fund",P$3,$A536))</x:f>
        <x:v>#NAME?</x:v>
      </x:c>
      <x:c r="Q536" s="146" t="e">
        <x:f>IF($A536="","",[1]!thsiFinD("ths_adjustment_nv_fund",Q$3,$A536))</x:f>
        <x:v>#NAME?</x:v>
      </x:c>
      <x:c r="R536" s="146" t="e">
        <x:f>IF($A536="","",[1]!thsiFinD("ths_adjustment_nv_fund",R$3,$A536))</x:f>
        <x:v>#NAME?</x:v>
      </x:c>
      <x:c r="S536" s="146" t="e">
        <x:f>IF($A536="","",[1]!thsiFinD("ths_adjustment_nv_fund",S$3,$A536))</x:f>
        <x:v>#NAME?</x:v>
      </x:c>
      <x:c r="T536" s="146" t="e">
        <x:f>IF($A536="","",[1]!thsiFinD("ths_adjustment_nv_fund",T$3,$A536))</x:f>
        <x:v>#NAME?</x:v>
      </x:c>
      <x:c r="U536" s="146" t="e">
        <x:f>IF($A536="","",[1]!thsiFinD("ths_adjustment_nv_fund",U$3,$A536))</x:f>
        <x:v>#NAME?</x:v>
      </x:c>
      <x:c r="V536" s="146" t="e">
        <x:f>IF($A536="","",[1]!thsiFinD("ths_adjustment_nv_fund",V$3,$A536))</x:f>
        <x:v>#NAME?</x:v>
      </x:c>
      <x:c r="W536" s="146" t="e">
        <x:f>IF($A536="","",[1]!thsiFinD("ths_adjustment_nv_fund",W$3,$A536))</x:f>
        <x:v>#NAME?</x:v>
      </x:c>
      <x:c r="X536" s="146" t="e">
        <x:f>IF($A536="","",[1]!thsiFinD("ths_adjustment_nv_fund",X$3,$A536))</x:f>
        <x:v>#NAME?</x:v>
      </x:c>
      <x:c r="Y536" s="146" t="e">
        <x:f>IF($A536="","",[1]!thsiFinD("ths_adjustment_nv_fund",Y$3,$A536))</x:f>
        <x:v>#NAME?</x:v>
      </x:c>
      <x:c r="Z536" s="146" t="e">
        <x:f>IF($A536="","",[1]!thsiFinD("ths_adjustment_nv_fund",Z$3,$A536))</x:f>
        <x:v>#NAME?</x:v>
      </x:c>
      <x:c r="AA536" s="146" t="e">
        <x:f>IF($A536="","",[1]!thsiFinD("ths_adjustment_nv_fund",AA$3,$A536))</x:f>
        <x:v>#NAME?</x:v>
      </x:c>
    </x:row>
    <x:row r="537">
      <x:c r="B537" s="146" t="e">
        <x:f>IF($A537="","",[1]!thsiFinD("ths_adjustment_nv_fund",B$3,$A537))</x:f>
        <x:v>#NAME?</x:v>
      </x:c>
      <x:c r="C537" s="146" t="e">
        <x:f>IF($A537="","",[1]!thsiFinD("ths_adjustment_nv_fund",C$3,$A537))</x:f>
        <x:v>#NAME?</x:v>
      </x:c>
      <x:c r="D537" s="146" t="e">
        <x:f>IF($A537="","",[1]!thsiFinD("ths_adjustment_nv_fund",D$3,$A537))</x:f>
        <x:v>#NAME?</x:v>
      </x:c>
      <x:c r="E537" s="146" t="e">
        <x:f>IF($A537="","",[1]!thsiFinD("ths_adjustment_nv_fund",E$3,$A537))</x:f>
        <x:v>#NAME?</x:v>
      </x:c>
      <x:c r="F537" s="146" t="e">
        <x:f>IF($A537="","",[1]!thsiFinD("ths_adjustment_nv_fund",F$3,$A537))</x:f>
        <x:v>#NAME?</x:v>
      </x:c>
      <x:c r="G537" s="146" t="e">
        <x:f>IF($A537="","",[1]!thsiFinD("ths_adjustment_nv_fund",G$3,$A537))</x:f>
        <x:v>#NAME?</x:v>
      </x:c>
      <x:c r="H537" s="146" t="e">
        <x:f>IF($A537="","",[1]!thsiFinD("ths_adjustment_nv_fund",H$3,$A537))</x:f>
        <x:v>#NAME?</x:v>
      </x:c>
      <x:c r="I537" s="146" t="e">
        <x:f>IF($A537="","",[1]!thsiFinD("ths_adjustment_nv_fund",I$3,$A537))</x:f>
        <x:v>#NAME?</x:v>
      </x:c>
      <x:c r="J537" s="146" t="e">
        <x:f>IF($A537="","",[1]!thsiFinD("ths_adjustment_nv_fund",J$3,$A537))</x:f>
        <x:v>#NAME?</x:v>
      </x:c>
      <x:c r="K537" s="146" t="e">
        <x:f>IF($A537="","",[1]!thsiFinD("ths_adjustment_nv_fund",K$3,$A537))</x:f>
        <x:v>#NAME?</x:v>
      </x:c>
      <x:c r="L537" s="146" t="e">
        <x:f>IF($A537="","",[1]!thsiFinD("ths_adjustment_nv_fund",L$3,$A537))</x:f>
        <x:v>#NAME?</x:v>
      </x:c>
      <x:c r="M537" s="146" t="e">
        <x:f>IF($A537="","",[1]!thsiFinD("ths_adjustment_nv_fund",M$3,$A537))</x:f>
        <x:v>#NAME?</x:v>
      </x:c>
      <x:c r="N537" s="146" t="e">
        <x:f>IF($A537="","",[1]!thsiFinD("ths_adjustment_nv_fund",N$3,$A537))</x:f>
        <x:v>#NAME?</x:v>
      </x:c>
      <x:c r="O537" s="146" t="e">
        <x:f>IF($A537="","",[1]!thsiFinD("ths_adjustment_nv_fund",O$3,$A537))</x:f>
        <x:v>#NAME?</x:v>
      </x:c>
      <x:c r="P537" s="146" t="e">
        <x:f>IF($A537="","",[1]!thsiFinD("ths_adjustment_nv_fund",P$3,$A537))</x:f>
        <x:v>#NAME?</x:v>
      </x:c>
      <x:c r="Q537" s="146" t="e">
        <x:f>IF($A537="","",[1]!thsiFinD("ths_adjustment_nv_fund",Q$3,$A537))</x:f>
        <x:v>#NAME?</x:v>
      </x:c>
      <x:c r="R537" s="146" t="e">
        <x:f>IF($A537="","",[1]!thsiFinD("ths_adjustment_nv_fund",R$3,$A537))</x:f>
        <x:v>#NAME?</x:v>
      </x:c>
      <x:c r="S537" s="146" t="e">
        <x:f>IF($A537="","",[1]!thsiFinD("ths_adjustment_nv_fund",S$3,$A537))</x:f>
        <x:v>#NAME?</x:v>
      </x:c>
      <x:c r="T537" s="146" t="e">
        <x:f>IF($A537="","",[1]!thsiFinD("ths_adjustment_nv_fund",T$3,$A537))</x:f>
        <x:v>#NAME?</x:v>
      </x:c>
      <x:c r="U537" s="146" t="e">
        <x:f>IF($A537="","",[1]!thsiFinD("ths_adjustment_nv_fund",U$3,$A537))</x:f>
        <x:v>#NAME?</x:v>
      </x:c>
      <x:c r="V537" s="146" t="e">
        <x:f>IF($A537="","",[1]!thsiFinD("ths_adjustment_nv_fund",V$3,$A537))</x:f>
        <x:v>#NAME?</x:v>
      </x:c>
      <x:c r="W537" s="146" t="e">
        <x:f>IF($A537="","",[1]!thsiFinD("ths_adjustment_nv_fund",W$3,$A537))</x:f>
        <x:v>#NAME?</x:v>
      </x:c>
      <x:c r="X537" s="146" t="e">
        <x:f>IF($A537="","",[1]!thsiFinD("ths_adjustment_nv_fund",X$3,$A537))</x:f>
        <x:v>#NAME?</x:v>
      </x:c>
      <x:c r="Y537" s="146" t="e">
        <x:f>IF($A537="","",[1]!thsiFinD("ths_adjustment_nv_fund",Y$3,$A537))</x:f>
        <x:v>#NAME?</x:v>
      </x:c>
      <x:c r="Z537" s="146" t="e">
        <x:f>IF($A537="","",[1]!thsiFinD("ths_adjustment_nv_fund",Z$3,$A537))</x:f>
        <x:v>#NAME?</x:v>
      </x:c>
      <x:c r="AA537" s="146" t="e">
        <x:f>IF($A537="","",[1]!thsiFinD("ths_adjustment_nv_fund",AA$3,$A537))</x:f>
        <x:v>#NAME?</x:v>
      </x:c>
    </x:row>
    <x:row r="538">
      <x:c r="B538" s="146" t="e">
        <x:f>IF($A538="","",[1]!thsiFinD("ths_adjustment_nv_fund",B$3,$A538))</x:f>
        <x:v>#NAME?</x:v>
      </x:c>
      <x:c r="C538" s="146" t="e">
        <x:f>IF($A538="","",[1]!thsiFinD("ths_adjustment_nv_fund",C$3,$A538))</x:f>
        <x:v>#NAME?</x:v>
      </x:c>
      <x:c r="D538" s="146" t="e">
        <x:f>IF($A538="","",[1]!thsiFinD("ths_adjustment_nv_fund",D$3,$A538))</x:f>
        <x:v>#NAME?</x:v>
      </x:c>
      <x:c r="E538" s="146" t="e">
        <x:f>IF($A538="","",[1]!thsiFinD("ths_adjustment_nv_fund",E$3,$A538))</x:f>
        <x:v>#NAME?</x:v>
      </x:c>
      <x:c r="F538" s="146" t="e">
        <x:f>IF($A538="","",[1]!thsiFinD("ths_adjustment_nv_fund",F$3,$A538))</x:f>
        <x:v>#NAME?</x:v>
      </x:c>
      <x:c r="G538" s="146" t="e">
        <x:f>IF($A538="","",[1]!thsiFinD("ths_adjustment_nv_fund",G$3,$A538))</x:f>
        <x:v>#NAME?</x:v>
      </x:c>
      <x:c r="H538" s="146" t="e">
        <x:f>IF($A538="","",[1]!thsiFinD("ths_adjustment_nv_fund",H$3,$A538))</x:f>
        <x:v>#NAME?</x:v>
      </x:c>
      <x:c r="I538" s="146" t="e">
        <x:f>IF($A538="","",[1]!thsiFinD("ths_adjustment_nv_fund",I$3,$A538))</x:f>
        <x:v>#NAME?</x:v>
      </x:c>
      <x:c r="J538" s="146" t="e">
        <x:f>IF($A538="","",[1]!thsiFinD("ths_adjustment_nv_fund",J$3,$A538))</x:f>
        <x:v>#NAME?</x:v>
      </x:c>
      <x:c r="K538" s="146" t="e">
        <x:f>IF($A538="","",[1]!thsiFinD("ths_adjustment_nv_fund",K$3,$A538))</x:f>
        <x:v>#NAME?</x:v>
      </x:c>
      <x:c r="L538" s="146" t="e">
        <x:f>IF($A538="","",[1]!thsiFinD("ths_adjustment_nv_fund",L$3,$A538))</x:f>
        <x:v>#NAME?</x:v>
      </x:c>
      <x:c r="M538" s="146" t="e">
        <x:f>IF($A538="","",[1]!thsiFinD("ths_adjustment_nv_fund",M$3,$A538))</x:f>
        <x:v>#NAME?</x:v>
      </x:c>
      <x:c r="N538" s="146" t="e">
        <x:f>IF($A538="","",[1]!thsiFinD("ths_adjustment_nv_fund",N$3,$A538))</x:f>
        <x:v>#NAME?</x:v>
      </x:c>
      <x:c r="O538" s="146" t="e">
        <x:f>IF($A538="","",[1]!thsiFinD("ths_adjustment_nv_fund",O$3,$A538))</x:f>
        <x:v>#NAME?</x:v>
      </x:c>
      <x:c r="P538" s="146" t="e">
        <x:f>IF($A538="","",[1]!thsiFinD("ths_adjustment_nv_fund",P$3,$A538))</x:f>
        <x:v>#NAME?</x:v>
      </x:c>
      <x:c r="Q538" s="146" t="e">
        <x:f>IF($A538="","",[1]!thsiFinD("ths_adjustment_nv_fund",Q$3,$A538))</x:f>
        <x:v>#NAME?</x:v>
      </x:c>
      <x:c r="R538" s="146" t="e">
        <x:f>IF($A538="","",[1]!thsiFinD("ths_adjustment_nv_fund",R$3,$A538))</x:f>
        <x:v>#NAME?</x:v>
      </x:c>
      <x:c r="S538" s="146" t="e">
        <x:f>IF($A538="","",[1]!thsiFinD("ths_adjustment_nv_fund",S$3,$A538))</x:f>
        <x:v>#NAME?</x:v>
      </x:c>
      <x:c r="T538" s="146" t="e">
        <x:f>IF($A538="","",[1]!thsiFinD("ths_adjustment_nv_fund",T$3,$A538))</x:f>
        <x:v>#NAME?</x:v>
      </x:c>
      <x:c r="U538" s="146" t="e">
        <x:f>IF($A538="","",[1]!thsiFinD("ths_adjustment_nv_fund",U$3,$A538))</x:f>
        <x:v>#NAME?</x:v>
      </x:c>
      <x:c r="V538" s="146" t="e">
        <x:f>IF($A538="","",[1]!thsiFinD("ths_adjustment_nv_fund",V$3,$A538))</x:f>
        <x:v>#NAME?</x:v>
      </x:c>
      <x:c r="W538" s="146" t="e">
        <x:f>IF($A538="","",[1]!thsiFinD("ths_adjustment_nv_fund",W$3,$A538))</x:f>
        <x:v>#NAME?</x:v>
      </x:c>
      <x:c r="X538" s="146" t="e">
        <x:f>IF($A538="","",[1]!thsiFinD("ths_adjustment_nv_fund",X$3,$A538))</x:f>
        <x:v>#NAME?</x:v>
      </x:c>
      <x:c r="Y538" s="146" t="e">
        <x:f>IF($A538="","",[1]!thsiFinD("ths_adjustment_nv_fund",Y$3,$A538))</x:f>
        <x:v>#NAME?</x:v>
      </x:c>
      <x:c r="Z538" s="146" t="e">
        <x:f>IF($A538="","",[1]!thsiFinD("ths_adjustment_nv_fund",Z$3,$A538))</x:f>
        <x:v>#NAME?</x:v>
      </x:c>
      <x:c r="AA538" s="146" t="e">
        <x:f>IF($A538="","",[1]!thsiFinD("ths_adjustment_nv_fund",AA$3,$A538))</x:f>
        <x:v>#NAME?</x:v>
      </x:c>
    </x:row>
    <x:row r="539">
      <x:c r="B539" s="146" t="e">
        <x:f>IF($A539="","",[1]!thsiFinD("ths_adjustment_nv_fund",B$3,$A539))</x:f>
        <x:v>#NAME?</x:v>
      </x:c>
      <x:c r="C539" s="146" t="e">
        <x:f>IF($A539="","",[1]!thsiFinD("ths_adjustment_nv_fund",C$3,$A539))</x:f>
        <x:v>#NAME?</x:v>
      </x:c>
      <x:c r="D539" s="146" t="e">
        <x:f>IF($A539="","",[1]!thsiFinD("ths_adjustment_nv_fund",D$3,$A539))</x:f>
        <x:v>#NAME?</x:v>
      </x:c>
      <x:c r="E539" s="146" t="e">
        <x:f>IF($A539="","",[1]!thsiFinD("ths_adjustment_nv_fund",E$3,$A539))</x:f>
        <x:v>#NAME?</x:v>
      </x:c>
      <x:c r="F539" s="146" t="e">
        <x:f>IF($A539="","",[1]!thsiFinD("ths_adjustment_nv_fund",F$3,$A539))</x:f>
        <x:v>#NAME?</x:v>
      </x:c>
      <x:c r="G539" s="146" t="e">
        <x:f>IF($A539="","",[1]!thsiFinD("ths_adjustment_nv_fund",G$3,$A539))</x:f>
        <x:v>#NAME?</x:v>
      </x:c>
      <x:c r="H539" s="146" t="e">
        <x:f>IF($A539="","",[1]!thsiFinD("ths_adjustment_nv_fund",H$3,$A539))</x:f>
        <x:v>#NAME?</x:v>
      </x:c>
      <x:c r="I539" s="146" t="e">
        <x:f>IF($A539="","",[1]!thsiFinD("ths_adjustment_nv_fund",I$3,$A539))</x:f>
        <x:v>#NAME?</x:v>
      </x:c>
      <x:c r="J539" s="146" t="e">
        <x:f>IF($A539="","",[1]!thsiFinD("ths_adjustment_nv_fund",J$3,$A539))</x:f>
        <x:v>#NAME?</x:v>
      </x:c>
      <x:c r="K539" s="146" t="e">
        <x:f>IF($A539="","",[1]!thsiFinD("ths_adjustment_nv_fund",K$3,$A539))</x:f>
        <x:v>#NAME?</x:v>
      </x:c>
      <x:c r="L539" s="146" t="e">
        <x:f>IF($A539="","",[1]!thsiFinD("ths_adjustment_nv_fund",L$3,$A539))</x:f>
        <x:v>#NAME?</x:v>
      </x:c>
      <x:c r="M539" s="146" t="e">
        <x:f>IF($A539="","",[1]!thsiFinD("ths_adjustment_nv_fund",M$3,$A539))</x:f>
        <x:v>#NAME?</x:v>
      </x:c>
      <x:c r="N539" s="146" t="e">
        <x:f>IF($A539="","",[1]!thsiFinD("ths_adjustment_nv_fund",N$3,$A539))</x:f>
        <x:v>#NAME?</x:v>
      </x:c>
      <x:c r="O539" s="146" t="e">
        <x:f>IF($A539="","",[1]!thsiFinD("ths_adjustment_nv_fund",O$3,$A539))</x:f>
        <x:v>#NAME?</x:v>
      </x:c>
      <x:c r="P539" s="146" t="e">
        <x:f>IF($A539="","",[1]!thsiFinD("ths_adjustment_nv_fund",P$3,$A539))</x:f>
        <x:v>#NAME?</x:v>
      </x:c>
      <x:c r="Q539" s="146" t="e">
        <x:f>IF($A539="","",[1]!thsiFinD("ths_adjustment_nv_fund",Q$3,$A539))</x:f>
        <x:v>#NAME?</x:v>
      </x:c>
      <x:c r="R539" s="146" t="e">
        <x:f>IF($A539="","",[1]!thsiFinD("ths_adjustment_nv_fund",R$3,$A539))</x:f>
        <x:v>#NAME?</x:v>
      </x:c>
      <x:c r="S539" s="146" t="e">
        <x:f>IF($A539="","",[1]!thsiFinD("ths_adjustment_nv_fund",S$3,$A539))</x:f>
        <x:v>#NAME?</x:v>
      </x:c>
      <x:c r="T539" s="146" t="e">
        <x:f>IF($A539="","",[1]!thsiFinD("ths_adjustment_nv_fund",T$3,$A539))</x:f>
        <x:v>#NAME?</x:v>
      </x:c>
      <x:c r="U539" s="146" t="e">
        <x:f>IF($A539="","",[1]!thsiFinD("ths_adjustment_nv_fund",U$3,$A539))</x:f>
        <x:v>#NAME?</x:v>
      </x:c>
      <x:c r="V539" s="146" t="e">
        <x:f>IF($A539="","",[1]!thsiFinD("ths_adjustment_nv_fund",V$3,$A539))</x:f>
        <x:v>#NAME?</x:v>
      </x:c>
      <x:c r="W539" s="146" t="e">
        <x:f>IF($A539="","",[1]!thsiFinD("ths_adjustment_nv_fund",W$3,$A539))</x:f>
        <x:v>#NAME?</x:v>
      </x:c>
      <x:c r="X539" s="146" t="e">
        <x:f>IF($A539="","",[1]!thsiFinD("ths_adjustment_nv_fund",X$3,$A539))</x:f>
        <x:v>#NAME?</x:v>
      </x:c>
      <x:c r="Y539" s="146" t="e">
        <x:f>IF($A539="","",[1]!thsiFinD("ths_adjustment_nv_fund",Y$3,$A539))</x:f>
        <x:v>#NAME?</x:v>
      </x:c>
      <x:c r="Z539" s="146" t="e">
        <x:f>IF($A539="","",[1]!thsiFinD("ths_adjustment_nv_fund",Z$3,$A539))</x:f>
        <x:v>#NAME?</x:v>
      </x:c>
      <x:c r="AA539" s="146" t="e">
        <x:f>IF($A539="","",[1]!thsiFinD("ths_adjustment_nv_fund",AA$3,$A539))</x:f>
        <x:v>#NAME?</x:v>
      </x:c>
    </x:row>
    <x:row r="540">
      <x:c r="B540" s="146" t="e">
        <x:f>IF($A540="","",[1]!thsiFinD("ths_adjustment_nv_fund",B$3,$A540))</x:f>
        <x:v>#NAME?</x:v>
      </x:c>
      <x:c r="C540" s="146" t="e">
        <x:f>IF($A540="","",[1]!thsiFinD("ths_adjustment_nv_fund",C$3,$A540))</x:f>
        <x:v>#NAME?</x:v>
      </x:c>
      <x:c r="D540" s="146" t="e">
        <x:f>IF($A540="","",[1]!thsiFinD("ths_adjustment_nv_fund",D$3,$A540))</x:f>
        <x:v>#NAME?</x:v>
      </x:c>
      <x:c r="E540" s="146" t="e">
        <x:f>IF($A540="","",[1]!thsiFinD("ths_adjustment_nv_fund",E$3,$A540))</x:f>
        <x:v>#NAME?</x:v>
      </x:c>
      <x:c r="F540" s="146" t="e">
        <x:f>IF($A540="","",[1]!thsiFinD("ths_adjustment_nv_fund",F$3,$A540))</x:f>
        <x:v>#NAME?</x:v>
      </x:c>
      <x:c r="G540" s="146" t="e">
        <x:f>IF($A540="","",[1]!thsiFinD("ths_adjustment_nv_fund",G$3,$A540))</x:f>
        <x:v>#NAME?</x:v>
      </x:c>
      <x:c r="H540" s="146" t="e">
        <x:f>IF($A540="","",[1]!thsiFinD("ths_adjustment_nv_fund",H$3,$A540))</x:f>
        <x:v>#NAME?</x:v>
      </x:c>
      <x:c r="I540" s="146" t="e">
        <x:f>IF($A540="","",[1]!thsiFinD("ths_adjustment_nv_fund",I$3,$A540))</x:f>
        <x:v>#NAME?</x:v>
      </x:c>
      <x:c r="J540" s="146" t="e">
        <x:f>IF($A540="","",[1]!thsiFinD("ths_adjustment_nv_fund",J$3,$A540))</x:f>
        <x:v>#NAME?</x:v>
      </x:c>
      <x:c r="K540" s="146" t="e">
        <x:f>IF($A540="","",[1]!thsiFinD("ths_adjustment_nv_fund",K$3,$A540))</x:f>
        <x:v>#NAME?</x:v>
      </x:c>
      <x:c r="L540" s="146" t="e">
        <x:f>IF($A540="","",[1]!thsiFinD("ths_adjustment_nv_fund",L$3,$A540))</x:f>
        <x:v>#NAME?</x:v>
      </x:c>
      <x:c r="M540" s="146" t="e">
        <x:f>IF($A540="","",[1]!thsiFinD("ths_adjustment_nv_fund",M$3,$A540))</x:f>
        <x:v>#NAME?</x:v>
      </x:c>
      <x:c r="N540" s="146" t="e">
        <x:f>IF($A540="","",[1]!thsiFinD("ths_adjustment_nv_fund",N$3,$A540))</x:f>
        <x:v>#NAME?</x:v>
      </x:c>
      <x:c r="O540" s="146" t="e">
        <x:f>IF($A540="","",[1]!thsiFinD("ths_adjustment_nv_fund",O$3,$A540))</x:f>
        <x:v>#NAME?</x:v>
      </x:c>
      <x:c r="P540" s="146" t="e">
        <x:f>IF($A540="","",[1]!thsiFinD("ths_adjustment_nv_fund",P$3,$A540))</x:f>
        <x:v>#NAME?</x:v>
      </x:c>
      <x:c r="Q540" s="146" t="e">
        <x:f>IF($A540="","",[1]!thsiFinD("ths_adjustment_nv_fund",Q$3,$A540))</x:f>
        <x:v>#NAME?</x:v>
      </x:c>
      <x:c r="R540" s="146" t="e">
        <x:f>IF($A540="","",[1]!thsiFinD("ths_adjustment_nv_fund",R$3,$A540))</x:f>
        <x:v>#NAME?</x:v>
      </x:c>
      <x:c r="S540" s="146" t="e">
        <x:f>IF($A540="","",[1]!thsiFinD("ths_adjustment_nv_fund",S$3,$A540))</x:f>
        <x:v>#NAME?</x:v>
      </x:c>
      <x:c r="T540" s="146" t="e">
        <x:f>IF($A540="","",[1]!thsiFinD("ths_adjustment_nv_fund",T$3,$A540))</x:f>
        <x:v>#NAME?</x:v>
      </x:c>
      <x:c r="U540" s="146" t="e">
        <x:f>IF($A540="","",[1]!thsiFinD("ths_adjustment_nv_fund",U$3,$A540))</x:f>
        <x:v>#NAME?</x:v>
      </x:c>
      <x:c r="V540" s="146" t="e">
        <x:f>IF($A540="","",[1]!thsiFinD("ths_adjustment_nv_fund",V$3,$A540))</x:f>
        <x:v>#NAME?</x:v>
      </x:c>
      <x:c r="W540" s="146" t="e">
        <x:f>IF($A540="","",[1]!thsiFinD("ths_adjustment_nv_fund",W$3,$A540))</x:f>
        <x:v>#NAME?</x:v>
      </x:c>
      <x:c r="X540" s="146" t="e">
        <x:f>IF($A540="","",[1]!thsiFinD("ths_adjustment_nv_fund",X$3,$A540))</x:f>
        <x:v>#NAME?</x:v>
      </x:c>
      <x:c r="Y540" s="146" t="e">
        <x:f>IF($A540="","",[1]!thsiFinD("ths_adjustment_nv_fund",Y$3,$A540))</x:f>
        <x:v>#NAME?</x:v>
      </x:c>
      <x:c r="Z540" s="146" t="e">
        <x:f>IF($A540="","",[1]!thsiFinD("ths_adjustment_nv_fund",Z$3,$A540))</x:f>
        <x:v>#NAME?</x:v>
      </x:c>
      <x:c r="AA540" s="146" t="e">
        <x:f>IF($A540="","",[1]!thsiFinD("ths_adjustment_nv_fund",AA$3,$A540))</x:f>
        <x:v>#NAME?</x:v>
      </x:c>
    </x:row>
    <x:row r="541">
      <x:c r="B541" s="146" t="e">
        <x:f>IF($A541="","",[1]!thsiFinD("ths_adjustment_nv_fund",B$3,$A541))</x:f>
        <x:v>#NAME?</x:v>
      </x:c>
      <x:c r="C541" s="146" t="e">
        <x:f>IF($A541="","",[1]!thsiFinD("ths_adjustment_nv_fund",C$3,$A541))</x:f>
        <x:v>#NAME?</x:v>
      </x:c>
      <x:c r="D541" s="146" t="e">
        <x:f>IF($A541="","",[1]!thsiFinD("ths_adjustment_nv_fund",D$3,$A541))</x:f>
        <x:v>#NAME?</x:v>
      </x:c>
      <x:c r="E541" s="146" t="e">
        <x:f>IF($A541="","",[1]!thsiFinD("ths_adjustment_nv_fund",E$3,$A541))</x:f>
        <x:v>#NAME?</x:v>
      </x:c>
      <x:c r="F541" s="146" t="e">
        <x:f>IF($A541="","",[1]!thsiFinD("ths_adjustment_nv_fund",F$3,$A541))</x:f>
        <x:v>#NAME?</x:v>
      </x:c>
      <x:c r="G541" s="146" t="e">
        <x:f>IF($A541="","",[1]!thsiFinD("ths_adjustment_nv_fund",G$3,$A541))</x:f>
        <x:v>#NAME?</x:v>
      </x:c>
      <x:c r="H541" s="146" t="e">
        <x:f>IF($A541="","",[1]!thsiFinD("ths_adjustment_nv_fund",H$3,$A541))</x:f>
        <x:v>#NAME?</x:v>
      </x:c>
      <x:c r="I541" s="146" t="e">
        <x:f>IF($A541="","",[1]!thsiFinD("ths_adjustment_nv_fund",I$3,$A541))</x:f>
        <x:v>#NAME?</x:v>
      </x:c>
      <x:c r="J541" s="146" t="e">
        <x:f>IF($A541="","",[1]!thsiFinD("ths_adjustment_nv_fund",J$3,$A541))</x:f>
        <x:v>#NAME?</x:v>
      </x:c>
      <x:c r="K541" s="146" t="e">
        <x:f>IF($A541="","",[1]!thsiFinD("ths_adjustment_nv_fund",K$3,$A541))</x:f>
        <x:v>#NAME?</x:v>
      </x:c>
      <x:c r="L541" s="146" t="e">
        <x:f>IF($A541="","",[1]!thsiFinD("ths_adjustment_nv_fund",L$3,$A541))</x:f>
        <x:v>#NAME?</x:v>
      </x:c>
      <x:c r="M541" s="146" t="e">
        <x:f>IF($A541="","",[1]!thsiFinD("ths_adjustment_nv_fund",M$3,$A541))</x:f>
        <x:v>#NAME?</x:v>
      </x:c>
      <x:c r="N541" s="146" t="e">
        <x:f>IF($A541="","",[1]!thsiFinD("ths_adjustment_nv_fund",N$3,$A541))</x:f>
        <x:v>#NAME?</x:v>
      </x:c>
      <x:c r="O541" s="146" t="e">
        <x:f>IF($A541="","",[1]!thsiFinD("ths_adjustment_nv_fund",O$3,$A541))</x:f>
        <x:v>#NAME?</x:v>
      </x:c>
      <x:c r="P541" s="146" t="e">
        <x:f>IF($A541="","",[1]!thsiFinD("ths_adjustment_nv_fund",P$3,$A541))</x:f>
        <x:v>#NAME?</x:v>
      </x:c>
      <x:c r="Q541" s="146" t="e">
        <x:f>IF($A541="","",[1]!thsiFinD("ths_adjustment_nv_fund",Q$3,$A541))</x:f>
        <x:v>#NAME?</x:v>
      </x:c>
      <x:c r="R541" s="146" t="e">
        <x:f>IF($A541="","",[1]!thsiFinD("ths_adjustment_nv_fund",R$3,$A541))</x:f>
        <x:v>#NAME?</x:v>
      </x:c>
      <x:c r="S541" s="146" t="e">
        <x:f>IF($A541="","",[1]!thsiFinD("ths_adjustment_nv_fund",S$3,$A541))</x:f>
        <x:v>#NAME?</x:v>
      </x:c>
      <x:c r="T541" s="146" t="e">
        <x:f>IF($A541="","",[1]!thsiFinD("ths_adjustment_nv_fund",T$3,$A541))</x:f>
        <x:v>#NAME?</x:v>
      </x:c>
      <x:c r="U541" s="146" t="e">
        <x:f>IF($A541="","",[1]!thsiFinD("ths_adjustment_nv_fund",U$3,$A541))</x:f>
        <x:v>#NAME?</x:v>
      </x:c>
      <x:c r="V541" s="146" t="e">
        <x:f>IF($A541="","",[1]!thsiFinD("ths_adjustment_nv_fund",V$3,$A541))</x:f>
        <x:v>#NAME?</x:v>
      </x:c>
      <x:c r="W541" s="146" t="e">
        <x:f>IF($A541="","",[1]!thsiFinD("ths_adjustment_nv_fund",W$3,$A541))</x:f>
        <x:v>#NAME?</x:v>
      </x:c>
      <x:c r="X541" s="146" t="e">
        <x:f>IF($A541="","",[1]!thsiFinD("ths_adjustment_nv_fund",X$3,$A541))</x:f>
        <x:v>#NAME?</x:v>
      </x:c>
      <x:c r="Y541" s="146" t="e">
        <x:f>IF($A541="","",[1]!thsiFinD("ths_adjustment_nv_fund",Y$3,$A541))</x:f>
        <x:v>#NAME?</x:v>
      </x:c>
      <x:c r="Z541" s="146" t="e">
        <x:f>IF($A541="","",[1]!thsiFinD("ths_adjustment_nv_fund",Z$3,$A541))</x:f>
        <x:v>#NAME?</x:v>
      </x:c>
      <x:c r="AA541" s="146" t="e">
        <x:f>IF($A541="","",[1]!thsiFinD("ths_adjustment_nv_fund",AA$3,$A541))</x:f>
        <x:v>#NAME?</x:v>
      </x:c>
    </x:row>
    <x:row r="542">
      <x:c r="B542" s="146" t="e">
        <x:f>IF($A542="","",[1]!thsiFinD("ths_adjustment_nv_fund",B$3,$A542))</x:f>
        <x:v>#NAME?</x:v>
      </x:c>
      <x:c r="C542" s="146" t="e">
        <x:f>IF($A542="","",[1]!thsiFinD("ths_adjustment_nv_fund",C$3,$A542))</x:f>
        <x:v>#NAME?</x:v>
      </x:c>
      <x:c r="D542" s="146" t="e">
        <x:f>IF($A542="","",[1]!thsiFinD("ths_adjustment_nv_fund",D$3,$A542))</x:f>
        <x:v>#NAME?</x:v>
      </x:c>
      <x:c r="E542" s="146" t="e">
        <x:f>IF($A542="","",[1]!thsiFinD("ths_adjustment_nv_fund",E$3,$A542))</x:f>
        <x:v>#NAME?</x:v>
      </x:c>
      <x:c r="F542" s="146" t="e">
        <x:f>IF($A542="","",[1]!thsiFinD("ths_adjustment_nv_fund",F$3,$A542))</x:f>
        <x:v>#NAME?</x:v>
      </x:c>
      <x:c r="G542" s="146" t="e">
        <x:f>IF($A542="","",[1]!thsiFinD("ths_adjustment_nv_fund",G$3,$A542))</x:f>
        <x:v>#NAME?</x:v>
      </x:c>
      <x:c r="H542" s="146" t="e">
        <x:f>IF($A542="","",[1]!thsiFinD("ths_adjustment_nv_fund",H$3,$A542))</x:f>
        <x:v>#NAME?</x:v>
      </x:c>
      <x:c r="I542" s="146" t="e">
        <x:f>IF($A542="","",[1]!thsiFinD("ths_adjustment_nv_fund",I$3,$A542))</x:f>
        <x:v>#NAME?</x:v>
      </x:c>
      <x:c r="J542" s="146" t="e">
        <x:f>IF($A542="","",[1]!thsiFinD("ths_adjustment_nv_fund",J$3,$A542))</x:f>
        <x:v>#NAME?</x:v>
      </x:c>
      <x:c r="K542" s="146" t="e">
        <x:f>IF($A542="","",[1]!thsiFinD("ths_adjustment_nv_fund",K$3,$A542))</x:f>
        <x:v>#NAME?</x:v>
      </x:c>
      <x:c r="L542" s="146" t="e">
        <x:f>IF($A542="","",[1]!thsiFinD("ths_adjustment_nv_fund",L$3,$A542))</x:f>
        <x:v>#NAME?</x:v>
      </x:c>
      <x:c r="M542" s="146" t="e">
        <x:f>IF($A542="","",[1]!thsiFinD("ths_adjustment_nv_fund",M$3,$A542))</x:f>
        <x:v>#NAME?</x:v>
      </x:c>
      <x:c r="N542" s="146" t="e">
        <x:f>IF($A542="","",[1]!thsiFinD("ths_adjustment_nv_fund",N$3,$A542))</x:f>
        <x:v>#NAME?</x:v>
      </x:c>
      <x:c r="O542" s="146" t="e">
        <x:f>IF($A542="","",[1]!thsiFinD("ths_adjustment_nv_fund",O$3,$A542))</x:f>
        <x:v>#NAME?</x:v>
      </x:c>
      <x:c r="P542" s="146" t="e">
        <x:f>IF($A542="","",[1]!thsiFinD("ths_adjustment_nv_fund",P$3,$A542))</x:f>
        <x:v>#NAME?</x:v>
      </x:c>
      <x:c r="Q542" s="146" t="e">
        <x:f>IF($A542="","",[1]!thsiFinD("ths_adjustment_nv_fund",Q$3,$A542))</x:f>
        <x:v>#NAME?</x:v>
      </x:c>
      <x:c r="R542" s="146" t="e">
        <x:f>IF($A542="","",[1]!thsiFinD("ths_adjustment_nv_fund",R$3,$A542))</x:f>
        <x:v>#NAME?</x:v>
      </x:c>
      <x:c r="S542" s="146" t="e">
        <x:f>IF($A542="","",[1]!thsiFinD("ths_adjustment_nv_fund",S$3,$A542))</x:f>
        <x:v>#NAME?</x:v>
      </x:c>
      <x:c r="T542" s="146" t="e">
        <x:f>IF($A542="","",[1]!thsiFinD("ths_adjustment_nv_fund",T$3,$A542))</x:f>
        <x:v>#NAME?</x:v>
      </x:c>
      <x:c r="U542" s="146" t="e">
        <x:f>IF($A542="","",[1]!thsiFinD("ths_adjustment_nv_fund",U$3,$A542))</x:f>
        <x:v>#NAME?</x:v>
      </x:c>
      <x:c r="V542" s="146" t="e">
        <x:f>IF($A542="","",[1]!thsiFinD("ths_adjustment_nv_fund",V$3,$A542))</x:f>
        <x:v>#NAME?</x:v>
      </x:c>
      <x:c r="W542" s="146" t="e">
        <x:f>IF($A542="","",[1]!thsiFinD("ths_adjustment_nv_fund",W$3,$A542))</x:f>
        <x:v>#NAME?</x:v>
      </x:c>
      <x:c r="X542" s="146" t="e">
        <x:f>IF($A542="","",[1]!thsiFinD("ths_adjustment_nv_fund",X$3,$A542))</x:f>
        <x:v>#NAME?</x:v>
      </x:c>
      <x:c r="Y542" s="146" t="e">
        <x:f>IF($A542="","",[1]!thsiFinD("ths_adjustment_nv_fund",Y$3,$A542))</x:f>
        <x:v>#NAME?</x:v>
      </x:c>
      <x:c r="Z542" s="146" t="e">
        <x:f>IF($A542="","",[1]!thsiFinD("ths_adjustment_nv_fund",Z$3,$A542))</x:f>
        <x:v>#NAME?</x:v>
      </x:c>
      <x:c r="AA542" s="146" t="e">
        <x:f>IF($A542="","",[1]!thsiFinD("ths_adjustment_nv_fund",AA$3,$A542))</x:f>
        <x:v>#NAME?</x:v>
      </x:c>
    </x:row>
    <x:row r="543">
      <x:c r="B543" s="146" t="e">
        <x:f>IF($A543="","",[1]!thsiFinD("ths_adjustment_nv_fund",B$3,$A543))</x:f>
        <x:v>#NAME?</x:v>
      </x:c>
      <x:c r="C543" s="146" t="e">
        <x:f>IF($A543="","",[1]!thsiFinD("ths_adjustment_nv_fund",C$3,$A543))</x:f>
        <x:v>#NAME?</x:v>
      </x:c>
      <x:c r="D543" s="146" t="e">
        <x:f>IF($A543="","",[1]!thsiFinD("ths_adjustment_nv_fund",D$3,$A543))</x:f>
        <x:v>#NAME?</x:v>
      </x:c>
      <x:c r="E543" s="146" t="e">
        <x:f>IF($A543="","",[1]!thsiFinD("ths_adjustment_nv_fund",E$3,$A543))</x:f>
        <x:v>#NAME?</x:v>
      </x:c>
      <x:c r="F543" s="146" t="e">
        <x:f>IF($A543="","",[1]!thsiFinD("ths_adjustment_nv_fund",F$3,$A543))</x:f>
        <x:v>#NAME?</x:v>
      </x:c>
      <x:c r="G543" s="146" t="e">
        <x:f>IF($A543="","",[1]!thsiFinD("ths_adjustment_nv_fund",G$3,$A543))</x:f>
        <x:v>#NAME?</x:v>
      </x:c>
      <x:c r="H543" s="146" t="e">
        <x:f>IF($A543="","",[1]!thsiFinD("ths_adjustment_nv_fund",H$3,$A543))</x:f>
        <x:v>#NAME?</x:v>
      </x:c>
      <x:c r="I543" s="146" t="e">
        <x:f>IF($A543="","",[1]!thsiFinD("ths_adjustment_nv_fund",I$3,$A543))</x:f>
        <x:v>#NAME?</x:v>
      </x:c>
      <x:c r="J543" s="146" t="e">
        <x:f>IF($A543="","",[1]!thsiFinD("ths_adjustment_nv_fund",J$3,$A543))</x:f>
        <x:v>#NAME?</x:v>
      </x:c>
      <x:c r="K543" s="146" t="e">
        <x:f>IF($A543="","",[1]!thsiFinD("ths_adjustment_nv_fund",K$3,$A543))</x:f>
        <x:v>#NAME?</x:v>
      </x:c>
      <x:c r="L543" s="146" t="e">
        <x:f>IF($A543="","",[1]!thsiFinD("ths_adjustment_nv_fund",L$3,$A543))</x:f>
        <x:v>#NAME?</x:v>
      </x:c>
      <x:c r="M543" s="146" t="e">
        <x:f>IF($A543="","",[1]!thsiFinD("ths_adjustment_nv_fund",M$3,$A543))</x:f>
        <x:v>#NAME?</x:v>
      </x:c>
      <x:c r="N543" s="146" t="e">
        <x:f>IF($A543="","",[1]!thsiFinD("ths_adjustment_nv_fund",N$3,$A543))</x:f>
        <x:v>#NAME?</x:v>
      </x:c>
      <x:c r="O543" s="146" t="e">
        <x:f>IF($A543="","",[1]!thsiFinD("ths_adjustment_nv_fund",O$3,$A543))</x:f>
        <x:v>#NAME?</x:v>
      </x:c>
      <x:c r="P543" s="146" t="e">
        <x:f>IF($A543="","",[1]!thsiFinD("ths_adjustment_nv_fund",P$3,$A543))</x:f>
        <x:v>#NAME?</x:v>
      </x:c>
      <x:c r="Q543" s="146" t="e">
        <x:f>IF($A543="","",[1]!thsiFinD("ths_adjustment_nv_fund",Q$3,$A543))</x:f>
        <x:v>#NAME?</x:v>
      </x:c>
      <x:c r="R543" s="146" t="e">
        <x:f>IF($A543="","",[1]!thsiFinD("ths_adjustment_nv_fund",R$3,$A543))</x:f>
        <x:v>#NAME?</x:v>
      </x:c>
      <x:c r="S543" s="146" t="e">
        <x:f>IF($A543="","",[1]!thsiFinD("ths_adjustment_nv_fund",S$3,$A543))</x:f>
        <x:v>#NAME?</x:v>
      </x:c>
      <x:c r="T543" s="146" t="e">
        <x:f>IF($A543="","",[1]!thsiFinD("ths_adjustment_nv_fund",T$3,$A543))</x:f>
        <x:v>#NAME?</x:v>
      </x:c>
      <x:c r="U543" s="146" t="e">
        <x:f>IF($A543="","",[1]!thsiFinD("ths_adjustment_nv_fund",U$3,$A543))</x:f>
        <x:v>#NAME?</x:v>
      </x:c>
      <x:c r="V543" s="146" t="e">
        <x:f>IF($A543="","",[1]!thsiFinD("ths_adjustment_nv_fund",V$3,$A543))</x:f>
        <x:v>#NAME?</x:v>
      </x:c>
      <x:c r="W543" s="146" t="e">
        <x:f>IF($A543="","",[1]!thsiFinD("ths_adjustment_nv_fund",W$3,$A543))</x:f>
        <x:v>#NAME?</x:v>
      </x:c>
      <x:c r="X543" s="146" t="e">
        <x:f>IF($A543="","",[1]!thsiFinD("ths_adjustment_nv_fund",X$3,$A543))</x:f>
        <x:v>#NAME?</x:v>
      </x:c>
      <x:c r="Y543" s="146" t="e">
        <x:f>IF($A543="","",[1]!thsiFinD("ths_adjustment_nv_fund",Y$3,$A543))</x:f>
        <x:v>#NAME?</x:v>
      </x:c>
      <x:c r="Z543" s="146" t="e">
        <x:f>IF($A543="","",[1]!thsiFinD("ths_adjustment_nv_fund",Z$3,$A543))</x:f>
        <x:v>#NAME?</x:v>
      </x:c>
      <x:c r="AA543" s="146" t="e">
        <x:f>IF($A543="","",[1]!thsiFinD("ths_adjustment_nv_fund",AA$3,$A543))</x:f>
        <x:v>#NAME?</x:v>
      </x:c>
    </x:row>
    <x:row r="544">
      <x:c r="B544" s="146" t="e">
        <x:f>IF($A544="","",[1]!thsiFinD("ths_adjustment_nv_fund",B$3,$A544))</x:f>
        <x:v>#NAME?</x:v>
      </x:c>
      <x:c r="C544" s="146" t="e">
        <x:f>IF($A544="","",[1]!thsiFinD("ths_adjustment_nv_fund",C$3,$A544))</x:f>
        <x:v>#NAME?</x:v>
      </x:c>
      <x:c r="D544" s="146" t="e">
        <x:f>IF($A544="","",[1]!thsiFinD("ths_adjustment_nv_fund",D$3,$A544))</x:f>
        <x:v>#NAME?</x:v>
      </x:c>
      <x:c r="E544" s="146" t="e">
        <x:f>IF($A544="","",[1]!thsiFinD("ths_adjustment_nv_fund",E$3,$A544))</x:f>
        <x:v>#NAME?</x:v>
      </x:c>
      <x:c r="F544" s="146" t="e">
        <x:f>IF($A544="","",[1]!thsiFinD("ths_adjustment_nv_fund",F$3,$A544))</x:f>
        <x:v>#NAME?</x:v>
      </x:c>
      <x:c r="G544" s="146" t="e">
        <x:f>IF($A544="","",[1]!thsiFinD("ths_adjustment_nv_fund",G$3,$A544))</x:f>
        <x:v>#NAME?</x:v>
      </x:c>
      <x:c r="H544" s="146" t="e">
        <x:f>IF($A544="","",[1]!thsiFinD("ths_adjustment_nv_fund",H$3,$A544))</x:f>
        <x:v>#NAME?</x:v>
      </x:c>
      <x:c r="I544" s="146" t="e">
        <x:f>IF($A544="","",[1]!thsiFinD("ths_adjustment_nv_fund",I$3,$A544))</x:f>
        <x:v>#NAME?</x:v>
      </x:c>
      <x:c r="J544" s="146" t="e">
        <x:f>IF($A544="","",[1]!thsiFinD("ths_adjustment_nv_fund",J$3,$A544))</x:f>
        <x:v>#NAME?</x:v>
      </x:c>
      <x:c r="K544" s="146" t="e">
        <x:f>IF($A544="","",[1]!thsiFinD("ths_adjustment_nv_fund",K$3,$A544))</x:f>
        <x:v>#NAME?</x:v>
      </x:c>
      <x:c r="L544" s="146" t="e">
        <x:f>IF($A544="","",[1]!thsiFinD("ths_adjustment_nv_fund",L$3,$A544))</x:f>
        <x:v>#NAME?</x:v>
      </x:c>
      <x:c r="M544" s="146" t="e">
        <x:f>IF($A544="","",[1]!thsiFinD("ths_adjustment_nv_fund",M$3,$A544))</x:f>
        <x:v>#NAME?</x:v>
      </x:c>
      <x:c r="N544" s="146" t="e">
        <x:f>IF($A544="","",[1]!thsiFinD("ths_adjustment_nv_fund",N$3,$A544))</x:f>
        <x:v>#NAME?</x:v>
      </x:c>
      <x:c r="O544" s="146" t="e">
        <x:f>IF($A544="","",[1]!thsiFinD("ths_adjustment_nv_fund",O$3,$A544))</x:f>
        <x:v>#NAME?</x:v>
      </x:c>
      <x:c r="P544" s="146" t="e">
        <x:f>IF($A544="","",[1]!thsiFinD("ths_adjustment_nv_fund",P$3,$A544))</x:f>
        <x:v>#NAME?</x:v>
      </x:c>
      <x:c r="Q544" s="146" t="e">
        <x:f>IF($A544="","",[1]!thsiFinD("ths_adjustment_nv_fund",Q$3,$A544))</x:f>
        <x:v>#NAME?</x:v>
      </x:c>
      <x:c r="R544" s="146" t="e">
        <x:f>IF($A544="","",[1]!thsiFinD("ths_adjustment_nv_fund",R$3,$A544))</x:f>
        <x:v>#NAME?</x:v>
      </x:c>
      <x:c r="S544" s="146" t="e">
        <x:f>IF($A544="","",[1]!thsiFinD("ths_adjustment_nv_fund",S$3,$A544))</x:f>
        <x:v>#NAME?</x:v>
      </x:c>
      <x:c r="T544" s="146" t="e">
        <x:f>IF($A544="","",[1]!thsiFinD("ths_adjustment_nv_fund",T$3,$A544))</x:f>
        <x:v>#NAME?</x:v>
      </x:c>
      <x:c r="U544" s="146" t="e">
        <x:f>IF($A544="","",[1]!thsiFinD("ths_adjustment_nv_fund",U$3,$A544))</x:f>
        <x:v>#NAME?</x:v>
      </x:c>
      <x:c r="V544" s="146" t="e">
        <x:f>IF($A544="","",[1]!thsiFinD("ths_adjustment_nv_fund",V$3,$A544))</x:f>
        <x:v>#NAME?</x:v>
      </x:c>
      <x:c r="W544" s="146" t="e">
        <x:f>IF($A544="","",[1]!thsiFinD("ths_adjustment_nv_fund",W$3,$A544))</x:f>
        <x:v>#NAME?</x:v>
      </x:c>
      <x:c r="X544" s="146" t="e">
        <x:f>IF($A544="","",[1]!thsiFinD("ths_adjustment_nv_fund",X$3,$A544))</x:f>
        <x:v>#NAME?</x:v>
      </x:c>
      <x:c r="Y544" s="146" t="e">
        <x:f>IF($A544="","",[1]!thsiFinD("ths_adjustment_nv_fund",Y$3,$A544))</x:f>
        <x:v>#NAME?</x:v>
      </x:c>
      <x:c r="Z544" s="146" t="e">
        <x:f>IF($A544="","",[1]!thsiFinD("ths_adjustment_nv_fund",Z$3,$A544))</x:f>
        <x:v>#NAME?</x:v>
      </x:c>
      <x:c r="AA544" s="146" t="e">
        <x:f>IF($A544="","",[1]!thsiFinD("ths_adjustment_nv_fund",AA$3,$A544))</x:f>
        <x:v>#NAME?</x:v>
      </x:c>
    </x:row>
    <x:row r="545">
      <x:c r="B545" s="146" t="e">
        <x:f>IF($A545="","",[1]!thsiFinD("ths_adjustment_nv_fund",B$3,$A545))</x:f>
        <x:v>#NAME?</x:v>
      </x:c>
      <x:c r="C545" s="146" t="e">
        <x:f>IF($A545="","",[1]!thsiFinD("ths_adjustment_nv_fund",C$3,$A545))</x:f>
        <x:v>#NAME?</x:v>
      </x:c>
      <x:c r="D545" s="146" t="e">
        <x:f>IF($A545="","",[1]!thsiFinD("ths_adjustment_nv_fund",D$3,$A545))</x:f>
        <x:v>#NAME?</x:v>
      </x:c>
      <x:c r="E545" s="146" t="e">
        <x:f>IF($A545="","",[1]!thsiFinD("ths_adjustment_nv_fund",E$3,$A545))</x:f>
        <x:v>#NAME?</x:v>
      </x:c>
      <x:c r="F545" s="146" t="e">
        <x:f>IF($A545="","",[1]!thsiFinD("ths_adjustment_nv_fund",F$3,$A545))</x:f>
        <x:v>#NAME?</x:v>
      </x:c>
      <x:c r="G545" s="146" t="e">
        <x:f>IF($A545="","",[1]!thsiFinD("ths_adjustment_nv_fund",G$3,$A545))</x:f>
        <x:v>#NAME?</x:v>
      </x:c>
      <x:c r="H545" s="146" t="e">
        <x:f>IF($A545="","",[1]!thsiFinD("ths_adjustment_nv_fund",H$3,$A545))</x:f>
        <x:v>#NAME?</x:v>
      </x:c>
      <x:c r="I545" s="146" t="e">
        <x:f>IF($A545="","",[1]!thsiFinD("ths_adjustment_nv_fund",I$3,$A545))</x:f>
        <x:v>#NAME?</x:v>
      </x:c>
      <x:c r="J545" s="146" t="e">
        <x:f>IF($A545="","",[1]!thsiFinD("ths_adjustment_nv_fund",J$3,$A545))</x:f>
        <x:v>#NAME?</x:v>
      </x:c>
      <x:c r="K545" s="146" t="e">
        <x:f>IF($A545="","",[1]!thsiFinD("ths_adjustment_nv_fund",K$3,$A545))</x:f>
        <x:v>#NAME?</x:v>
      </x:c>
      <x:c r="L545" s="146" t="e">
        <x:f>IF($A545="","",[1]!thsiFinD("ths_adjustment_nv_fund",L$3,$A545))</x:f>
        <x:v>#NAME?</x:v>
      </x:c>
      <x:c r="M545" s="146" t="e">
        <x:f>IF($A545="","",[1]!thsiFinD("ths_adjustment_nv_fund",M$3,$A545))</x:f>
        <x:v>#NAME?</x:v>
      </x:c>
      <x:c r="N545" s="146" t="e">
        <x:f>IF($A545="","",[1]!thsiFinD("ths_adjustment_nv_fund",N$3,$A545))</x:f>
        <x:v>#NAME?</x:v>
      </x:c>
      <x:c r="O545" s="146" t="e">
        <x:f>IF($A545="","",[1]!thsiFinD("ths_adjustment_nv_fund",O$3,$A545))</x:f>
        <x:v>#NAME?</x:v>
      </x:c>
      <x:c r="P545" s="146" t="e">
        <x:f>IF($A545="","",[1]!thsiFinD("ths_adjustment_nv_fund",P$3,$A545))</x:f>
        <x:v>#NAME?</x:v>
      </x:c>
      <x:c r="Q545" s="146" t="e">
        <x:f>IF($A545="","",[1]!thsiFinD("ths_adjustment_nv_fund",Q$3,$A545))</x:f>
        <x:v>#NAME?</x:v>
      </x:c>
      <x:c r="R545" s="146" t="e">
        <x:f>IF($A545="","",[1]!thsiFinD("ths_adjustment_nv_fund",R$3,$A545))</x:f>
        <x:v>#NAME?</x:v>
      </x:c>
      <x:c r="S545" s="146" t="e">
        <x:f>IF($A545="","",[1]!thsiFinD("ths_adjustment_nv_fund",S$3,$A545))</x:f>
        <x:v>#NAME?</x:v>
      </x:c>
      <x:c r="T545" s="146" t="e">
        <x:f>IF($A545="","",[1]!thsiFinD("ths_adjustment_nv_fund",T$3,$A545))</x:f>
        <x:v>#NAME?</x:v>
      </x:c>
      <x:c r="U545" s="146" t="e">
        <x:f>IF($A545="","",[1]!thsiFinD("ths_adjustment_nv_fund",U$3,$A545))</x:f>
        <x:v>#NAME?</x:v>
      </x:c>
      <x:c r="V545" s="146" t="e">
        <x:f>IF($A545="","",[1]!thsiFinD("ths_adjustment_nv_fund",V$3,$A545))</x:f>
        <x:v>#NAME?</x:v>
      </x:c>
      <x:c r="W545" s="146" t="e">
        <x:f>IF($A545="","",[1]!thsiFinD("ths_adjustment_nv_fund",W$3,$A545))</x:f>
        <x:v>#NAME?</x:v>
      </x:c>
      <x:c r="X545" s="146" t="e">
        <x:f>IF($A545="","",[1]!thsiFinD("ths_adjustment_nv_fund",X$3,$A545))</x:f>
        <x:v>#NAME?</x:v>
      </x:c>
      <x:c r="Y545" s="146" t="e">
        <x:f>IF($A545="","",[1]!thsiFinD("ths_adjustment_nv_fund",Y$3,$A545))</x:f>
        <x:v>#NAME?</x:v>
      </x:c>
      <x:c r="Z545" s="146" t="e">
        <x:f>IF($A545="","",[1]!thsiFinD("ths_adjustment_nv_fund",Z$3,$A545))</x:f>
        <x:v>#NAME?</x:v>
      </x:c>
      <x:c r="AA545" s="146" t="e">
        <x:f>IF($A545="","",[1]!thsiFinD("ths_adjustment_nv_fund",AA$3,$A545))</x:f>
        <x:v>#NAME?</x:v>
      </x:c>
    </x:row>
    <x:row r="546">
      <x:c r="B546" s="146" t="e">
        <x:f>IF($A546="","",[1]!thsiFinD("ths_adjustment_nv_fund",B$3,$A546))</x:f>
        <x:v>#NAME?</x:v>
      </x:c>
      <x:c r="C546" s="146" t="e">
        <x:f>IF($A546="","",[1]!thsiFinD("ths_adjustment_nv_fund",C$3,$A546))</x:f>
        <x:v>#NAME?</x:v>
      </x:c>
      <x:c r="D546" s="146" t="e">
        <x:f>IF($A546="","",[1]!thsiFinD("ths_adjustment_nv_fund",D$3,$A546))</x:f>
        <x:v>#NAME?</x:v>
      </x:c>
      <x:c r="E546" s="146" t="e">
        <x:f>IF($A546="","",[1]!thsiFinD("ths_adjustment_nv_fund",E$3,$A546))</x:f>
        <x:v>#NAME?</x:v>
      </x:c>
      <x:c r="F546" s="146" t="e">
        <x:f>IF($A546="","",[1]!thsiFinD("ths_adjustment_nv_fund",F$3,$A546))</x:f>
        <x:v>#NAME?</x:v>
      </x:c>
      <x:c r="G546" s="146" t="e">
        <x:f>IF($A546="","",[1]!thsiFinD("ths_adjustment_nv_fund",G$3,$A546))</x:f>
        <x:v>#NAME?</x:v>
      </x:c>
      <x:c r="H546" s="146" t="e">
        <x:f>IF($A546="","",[1]!thsiFinD("ths_adjustment_nv_fund",H$3,$A546))</x:f>
        <x:v>#NAME?</x:v>
      </x:c>
      <x:c r="I546" s="146" t="e">
        <x:f>IF($A546="","",[1]!thsiFinD("ths_adjustment_nv_fund",I$3,$A546))</x:f>
        <x:v>#NAME?</x:v>
      </x:c>
      <x:c r="J546" s="146" t="e">
        <x:f>IF($A546="","",[1]!thsiFinD("ths_adjustment_nv_fund",J$3,$A546))</x:f>
        <x:v>#NAME?</x:v>
      </x:c>
      <x:c r="K546" s="146" t="e">
        <x:f>IF($A546="","",[1]!thsiFinD("ths_adjustment_nv_fund",K$3,$A546))</x:f>
        <x:v>#NAME?</x:v>
      </x:c>
      <x:c r="L546" s="146" t="e">
        <x:f>IF($A546="","",[1]!thsiFinD("ths_adjustment_nv_fund",L$3,$A546))</x:f>
        <x:v>#NAME?</x:v>
      </x:c>
      <x:c r="M546" s="146" t="e">
        <x:f>IF($A546="","",[1]!thsiFinD("ths_adjustment_nv_fund",M$3,$A546))</x:f>
        <x:v>#NAME?</x:v>
      </x:c>
      <x:c r="N546" s="146" t="e">
        <x:f>IF($A546="","",[1]!thsiFinD("ths_adjustment_nv_fund",N$3,$A546))</x:f>
        <x:v>#NAME?</x:v>
      </x:c>
      <x:c r="O546" s="146" t="e">
        <x:f>IF($A546="","",[1]!thsiFinD("ths_adjustment_nv_fund",O$3,$A546))</x:f>
        <x:v>#NAME?</x:v>
      </x:c>
      <x:c r="P546" s="146" t="e">
        <x:f>IF($A546="","",[1]!thsiFinD("ths_adjustment_nv_fund",P$3,$A546))</x:f>
        <x:v>#NAME?</x:v>
      </x:c>
      <x:c r="Q546" s="146" t="e">
        <x:f>IF($A546="","",[1]!thsiFinD("ths_adjustment_nv_fund",Q$3,$A546))</x:f>
        <x:v>#NAME?</x:v>
      </x:c>
      <x:c r="R546" s="146" t="e">
        <x:f>IF($A546="","",[1]!thsiFinD("ths_adjustment_nv_fund",R$3,$A546))</x:f>
        <x:v>#NAME?</x:v>
      </x:c>
      <x:c r="S546" s="146" t="e">
        <x:f>IF($A546="","",[1]!thsiFinD("ths_adjustment_nv_fund",S$3,$A546))</x:f>
        <x:v>#NAME?</x:v>
      </x:c>
      <x:c r="T546" s="146" t="e">
        <x:f>IF($A546="","",[1]!thsiFinD("ths_adjustment_nv_fund",T$3,$A546))</x:f>
        <x:v>#NAME?</x:v>
      </x:c>
      <x:c r="U546" s="146" t="e">
        <x:f>IF($A546="","",[1]!thsiFinD("ths_adjustment_nv_fund",U$3,$A546))</x:f>
        <x:v>#NAME?</x:v>
      </x:c>
      <x:c r="V546" s="146" t="e">
        <x:f>IF($A546="","",[1]!thsiFinD("ths_adjustment_nv_fund",V$3,$A546))</x:f>
        <x:v>#NAME?</x:v>
      </x:c>
      <x:c r="W546" s="146" t="e">
        <x:f>IF($A546="","",[1]!thsiFinD("ths_adjustment_nv_fund",W$3,$A546))</x:f>
        <x:v>#NAME?</x:v>
      </x:c>
      <x:c r="X546" s="146" t="e">
        <x:f>IF($A546="","",[1]!thsiFinD("ths_adjustment_nv_fund",X$3,$A546))</x:f>
        <x:v>#NAME?</x:v>
      </x:c>
      <x:c r="Y546" s="146" t="e">
        <x:f>IF($A546="","",[1]!thsiFinD("ths_adjustment_nv_fund",Y$3,$A546))</x:f>
        <x:v>#NAME?</x:v>
      </x:c>
      <x:c r="Z546" s="146" t="e">
        <x:f>IF($A546="","",[1]!thsiFinD("ths_adjustment_nv_fund",Z$3,$A546))</x:f>
        <x:v>#NAME?</x:v>
      </x:c>
      <x:c r="AA546" s="146" t="e">
        <x:f>IF($A546="","",[1]!thsiFinD("ths_adjustment_nv_fund",AA$3,$A546))</x:f>
        <x:v>#NAME?</x:v>
      </x:c>
    </x:row>
    <x:row r="547">
      <x:c r="B547" s="146" t="e">
        <x:f>IF($A547="","",[1]!thsiFinD("ths_adjustment_nv_fund",B$3,$A547))</x:f>
        <x:v>#NAME?</x:v>
      </x:c>
      <x:c r="C547" s="146" t="e">
        <x:f>IF($A547="","",[1]!thsiFinD("ths_adjustment_nv_fund",C$3,$A547))</x:f>
        <x:v>#NAME?</x:v>
      </x:c>
      <x:c r="D547" s="146" t="e">
        <x:f>IF($A547="","",[1]!thsiFinD("ths_adjustment_nv_fund",D$3,$A547))</x:f>
        <x:v>#NAME?</x:v>
      </x:c>
      <x:c r="E547" s="146" t="e">
        <x:f>IF($A547="","",[1]!thsiFinD("ths_adjustment_nv_fund",E$3,$A547))</x:f>
        <x:v>#NAME?</x:v>
      </x:c>
      <x:c r="F547" s="146" t="e">
        <x:f>IF($A547="","",[1]!thsiFinD("ths_adjustment_nv_fund",F$3,$A547))</x:f>
        <x:v>#NAME?</x:v>
      </x:c>
      <x:c r="G547" s="146" t="e">
        <x:f>IF($A547="","",[1]!thsiFinD("ths_adjustment_nv_fund",G$3,$A547))</x:f>
        <x:v>#NAME?</x:v>
      </x:c>
      <x:c r="H547" s="146" t="e">
        <x:f>IF($A547="","",[1]!thsiFinD("ths_adjustment_nv_fund",H$3,$A547))</x:f>
        <x:v>#NAME?</x:v>
      </x:c>
      <x:c r="I547" s="146" t="e">
        <x:f>IF($A547="","",[1]!thsiFinD("ths_adjustment_nv_fund",I$3,$A547))</x:f>
        <x:v>#NAME?</x:v>
      </x:c>
      <x:c r="J547" s="146" t="e">
        <x:f>IF($A547="","",[1]!thsiFinD("ths_adjustment_nv_fund",J$3,$A547))</x:f>
        <x:v>#NAME?</x:v>
      </x:c>
      <x:c r="K547" s="146" t="e">
        <x:f>IF($A547="","",[1]!thsiFinD("ths_adjustment_nv_fund",K$3,$A547))</x:f>
        <x:v>#NAME?</x:v>
      </x:c>
      <x:c r="L547" s="146" t="e">
        <x:f>IF($A547="","",[1]!thsiFinD("ths_adjustment_nv_fund",L$3,$A547))</x:f>
        <x:v>#NAME?</x:v>
      </x:c>
      <x:c r="M547" s="146" t="e">
        <x:f>IF($A547="","",[1]!thsiFinD("ths_adjustment_nv_fund",M$3,$A547))</x:f>
        <x:v>#NAME?</x:v>
      </x:c>
      <x:c r="N547" s="146" t="e">
        <x:f>IF($A547="","",[1]!thsiFinD("ths_adjustment_nv_fund",N$3,$A547))</x:f>
        <x:v>#NAME?</x:v>
      </x:c>
      <x:c r="O547" s="146" t="e">
        <x:f>IF($A547="","",[1]!thsiFinD("ths_adjustment_nv_fund",O$3,$A547))</x:f>
        <x:v>#NAME?</x:v>
      </x:c>
      <x:c r="P547" s="146" t="e">
        <x:f>IF($A547="","",[1]!thsiFinD("ths_adjustment_nv_fund",P$3,$A547))</x:f>
        <x:v>#NAME?</x:v>
      </x:c>
      <x:c r="Q547" s="146" t="e">
        <x:f>IF($A547="","",[1]!thsiFinD("ths_adjustment_nv_fund",Q$3,$A547))</x:f>
        <x:v>#NAME?</x:v>
      </x:c>
      <x:c r="R547" s="146" t="e">
        <x:f>IF($A547="","",[1]!thsiFinD("ths_adjustment_nv_fund",R$3,$A547))</x:f>
        <x:v>#NAME?</x:v>
      </x:c>
      <x:c r="S547" s="146" t="e">
        <x:f>IF($A547="","",[1]!thsiFinD("ths_adjustment_nv_fund",S$3,$A547))</x:f>
        <x:v>#NAME?</x:v>
      </x:c>
      <x:c r="T547" s="146" t="e">
        <x:f>IF($A547="","",[1]!thsiFinD("ths_adjustment_nv_fund",T$3,$A547))</x:f>
        <x:v>#NAME?</x:v>
      </x:c>
      <x:c r="U547" s="146" t="e">
        <x:f>IF($A547="","",[1]!thsiFinD("ths_adjustment_nv_fund",U$3,$A547))</x:f>
        <x:v>#NAME?</x:v>
      </x:c>
      <x:c r="V547" s="146" t="e">
        <x:f>IF($A547="","",[1]!thsiFinD("ths_adjustment_nv_fund",V$3,$A547))</x:f>
        <x:v>#NAME?</x:v>
      </x:c>
      <x:c r="W547" s="146" t="e">
        <x:f>IF($A547="","",[1]!thsiFinD("ths_adjustment_nv_fund",W$3,$A547))</x:f>
        <x:v>#NAME?</x:v>
      </x:c>
      <x:c r="X547" s="146" t="e">
        <x:f>IF($A547="","",[1]!thsiFinD("ths_adjustment_nv_fund",X$3,$A547))</x:f>
        <x:v>#NAME?</x:v>
      </x:c>
      <x:c r="Y547" s="146" t="e">
        <x:f>IF($A547="","",[1]!thsiFinD("ths_adjustment_nv_fund",Y$3,$A547))</x:f>
        <x:v>#NAME?</x:v>
      </x:c>
      <x:c r="Z547" s="146" t="e">
        <x:f>IF($A547="","",[1]!thsiFinD("ths_adjustment_nv_fund",Z$3,$A547))</x:f>
        <x:v>#NAME?</x:v>
      </x:c>
      <x:c r="AA547" s="146" t="e">
        <x:f>IF($A547="","",[1]!thsiFinD("ths_adjustment_nv_fund",AA$3,$A547))</x:f>
        <x:v>#NAME?</x:v>
      </x:c>
    </x:row>
    <x:row r="548">
      <x:c r="B548" s="146" t="e">
        <x:f>IF($A548="","",[1]!thsiFinD("ths_adjustment_nv_fund",B$3,$A548))</x:f>
        <x:v>#NAME?</x:v>
      </x:c>
      <x:c r="C548" s="146" t="e">
        <x:f>IF($A548="","",[1]!thsiFinD("ths_adjustment_nv_fund",C$3,$A548))</x:f>
        <x:v>#NAME?</x:v>
      </x:c>
      <x:c r="D548" s="146" t="e">
        <x:f>IF($A548="","",[1]!thsiFinD("ths_adjustment_nv_fund",D$3,$A548))</x:f>
        <x:v>#NAME?</x:v>
      </x:c>
      <x:c r="E548" s="146" t="e">
        <x:f>IF($A548="","",[1]!thsiFinD("ths_adjustment_nv_fund",E$3,$A548))</x:f>
        <x:v>#NAME?</x:v>
      </x:c>
      <x:c r="F548" s="146" t="e">
        <x:f>IF($A548="","",[1]!thsiFinD("ths_adjustment_nv_fund",F$3,$A548))</x:f>
        <x:v>#NAME?</x:v>
      </x:c>
      <x:c r="G548" s="146" t="e">
        <x:f>IF($A548="","",[1]!thsiFinD("ths_adjustment_nv_fund",G$3,$A548))</x:f>
        <x:v>#NAME?</x:v>
      </x:c>
      <x:c r="H548" s="146" t="e">
        <x:f>IF($A548="","",[1]!thsiFinD("ths_adjustment_nv_fund",H$3,$A548))</x:f>
        <x:v>#NAME?</x:v>
      </x:c>
      <x:c r="I548" s="146" t="e">
        <x:f>IF($A548="","",[1]!thsiFinD("ths_adjustment_nv_fund",I$3,$A548))</x:f>
        <x:v>#NAME?</x:v>
      </x:c>
      <x:c r="J548" s="146" t="e">
        <x:f>IF($A548="","",[1]!thsiFinD("ths_adjustment_nv_fund",J$3,$A548))</x:f>
        <x:v>#NAME?</x:v>
      </x:c>
      <x:c r="K548" s="146" t="e">
        <x:f>IF($A548="","",[1]!thsiFinD("ths_adjustment_nv_fund",K$3,$A548))</x:f>
        <x:v>#NAME?</x:v>
      </x:c>
      <x:c r="L548" s="146" t="e">
        <x:f>IF($A548="","",[1]!thsiFinD("ths_adjustment_nv_fund",L$3,$A548))</x:f>
        <x:v>#NAME?</x:v>
      </x:c>
      <x:c r="M548" s="146" t="e">
        <x:f>IF($A548="","",[1]!thsiFinD("ths_adjustment_nv_fund",M$3,$A548))</x:f>
        <x:v>#NAME?</x:v>
      </x:c>
      <x:c r="N548" s="146" t="e">
        <x:f>IF($A548="","",[1]!thsiFinD("ths_adjustment_nv_fund",N$3,$A548))</x:f>
        <x:v>#NAME?</x:v>
      </x:c>
      <x:c r="O548" s="146" t="e">
        <x:f>IF($A548="","",[1]!thsiFinD("ths_adjustment_nv_fund",O$3,$A548))</x:f>
        <x:v>#NAME?</x:v>
      </x:c>
      <x:c r="P548" s="146" t="e">
        <x:f>IF($A548="","",[1]!thsiFinD("ths_adjustment_nv_fund",P$3,$A548))</x:f>
        <x:v>#NAME?</x:v>
      </x:c>
      <x:c r="Q548" s="146" t="e">
        <x:f>IF($A548="","",[1]!thsiFinD("ths_adjustment_nv_fund",Q$3,$A548))</x:f>
        <x:v>#NAME?</x:v>
      </x:c>
      <x:c r="R548" s="146" t="e">
        <x:f>IF($A548="","",[1]!thsiFinD("ths_adjustment_nv_fund",R$3,$A548))</x:f>
        <x:v>#NAME?</x:v>
      </x:c>
      <x:c r="S548" s="146" t="e">
        <x:f>IF($A548="","",[1]!thsiFinD("ths_adjustment_nv_fund",S$3,$A548))</x:f>
        <x:v>#NAME?</x:v>
      </x:c>
      <x:c r="T548" s="146" t="e">
        <x:f>IF($A548="","",[1]!thsiFinD("ths_adjustment_nv_fund",T$3,$A548))</x:f>
        <x:v>#NAME?</x:v>
      </x:c>
      <x:c r="U548" s="146" t="e">
        <x:f>IF($A548="","",[1]!thsiFinD("ths_adjustment_nv_fund",U$3,$A548))</x:f>
        <x:v>#NAME?</x:v>
      </x:c>
      <x:c r="V548" s="146" t="e">
        <x:f>IF($A548="","",[1]!thsiFinD("ths_adjustment_nv_fund",V$3,$A548))</x:f>
        <x:v>#NAME?</x:v>
      </x:c>
      <x:c r="W548" s="146" t="e">
        <x:f>IF($A548="","",[1]!thsiFinD("ths_adjustment_nv_fund",W$3,$A548))</x:f>
        <x:v>#NAME?</x:v>
      </x:c>
      <x:c r="X548" s="146" t="e">
        <x:f>IF($A548="","",[1]!thsiFinD("ths_adjustment_nv_fund",X$3,$A548))</x:f>
        <x:v>#NAME?</x:v>
      </x:c>
      <x:c r="Y548" s="146" t="e">
        <x:f>IF($A548="","",[1]!thsiFinD("ths_adjustment_nv_fund",Y$3,$A548))</x:f>
        <x:v>#NAME?</x:v>
      </x:c>
      <x:c r="Z548" s="146" t="e">
        <x:f>IF($A548="","",[1]!thsiFinD("ths_adjustment_nv_fund",Z$3,$A548))</x:f>
        <x:v>#NAME?</x:v>
      </x:c>
      <x:c r="AA548" s="146" t="e">
        <x:f>IF($A548="","",[1]!thsiFinD("ths_adjustment_nv_fund",AA$3,$A548))</x:f>
        <x:v>#NAME?</x:v>
      </x:c>
    </x:row>
    <x:row r="549">
      <x:c r="B549" s="146" t="e">
        <x:f>IF($A549="","",[1]!thsiFinD("ths_adjustment_nv_fund",B$3,$A549))</x:f>
        <x:v>#NAME?</x:v>
      </x:c>
      <x:c r="C549" s="146" t="e">
        <x:f>IF($A549="","",[1]!thsiFinD("ths_adjustment_nv_fund",C$3,$A549))</x:f>
        <x:v>#NAME?</x:v>
      </x:c>
      <x:c r="D549" s="146" t="e">
        <x:f>IF($A549="","",[1]!thsiFinD("ths_adjustment_nv_fund",D$3,$A549))</x:f>
        <x:v>#NAME?</x:v>
      </x:c>
      <x:c r="E549" s="146" t="e">
        <x:f>IF($A549="","",[1]!thsiFinD("ths_adjustment_nv_fund",E$3,$A549))</x:f>
        <x:v>#NAME?</x:v>
      </x:c>
      <x:c r="F549" s="146" t="e">
        <x:f>IF($A549="","",[1]!thsiFinD("ths_adjustment_nv_fund",F$3,$A549))</x:f>
        <x:v>#NAME?</x:v>
      </x:c>
      <x:c r="G549" s="146" t="e">
        <x:f>IF($A549="","",[1]!thsiFinD("ths_adjustment_nv_fund",G$3,$A549))</x:f>
        <x:v>#NAME?</x:v>
      </x:c>
      <x:c r="H549" s="146" t="e">
        <x:f>IF($A549="","",[1]!thsiFinD("ths_adjustment_nv_fund",H$3,$A549))</x:f>
        <x:v>#NAME?</x:v>
      </x:c>
      <x:c r="I549" s="146" t="e">
        <x:f>IF($A549="","",[1]!thsiFinD("ths_adjustment_nv_fund",I$3,$A549))</x:f>
        <x:v>#NAME?</x:v>
      </x:c>
      <x:c r="J549" s="146" t="e">
        <x:f>IF($A549="","",[1]!thsiFinD("ths_adjustment_nv_fund",J$3,$A549))</x:f>
        <x:v>#NAME?</x:v>
      </x:c>
      <x:c r="K549" s="146" t="e">
        <x:f>IF($A549="","",[1]!thsiFinD("ths_adjustment_nv_fund",K$3,$A549))</x:f>
        <x:v>#NAME?</x:v>
      </x:c>
      <x:c r="L549" s="146" t="e">
        <x:f>IF($A549="","",[1]!thsiFinD("ths_adjustment_nv_fund",L$3,$A549))</x:f>
        <x:v>#NAME?</x:v>
      </x:c>
      <x:c r="M549" s="146" t="e">
        <x:f>IF($A549="","",[1]!thsiFinD("ths_adjustment_nv_fund",M$3,$A549))</x:f>
        <x:v>#NAME?</x:v>
      </x:c>
      <x:c r="N549" s="146" t="e">
        <x:f>IF($A549="","",[1]!thsiFinD("ths_adjustment_nv_fund",N$3,$A549))</x:f>
        <x:v>#NAME?</x:v>
      </x:c>
      <x:c r="O549" s="146" t="e">
        <x:f>IF($A549="","",[1]!thsiFinD("ths_adjustment_nv_fund",O$3,$A549))</x:f>
        <x:v>#NAME?</x:v>
      </x:c>
      <x:c r="P549" s="146" t="e">
        <x:f>IF($A549="","",[1]!thsiFinD("ths_adjustment_nv_fund",P$3,$A549))</x:f>
        <x:v>#NAME?</x:v>
      </x:c>
      <x:c r="Q549" s="146" t="e">
        <x:f>IF($A549="","",[1]!thsiFinD("ths_adjustment_nv_fund",Q$3,$A549))</x:f>
        <x:v>#NAME?</x:v>
      </x:c>
      <x:c r="R549" s="146" t="e">
        <x:f>IF($A549="","",[1]!thsiFinD("ths_adjustment_nv_fund",R$3,$A549))</x:f>
        <x:v>#NAME?</x:v>
      </x:c>
      <x:c r="S549" s="146" t="e">
        <x:f>IF($A549="","",[1]!thsiFinD("ths_adjustment_nv_fund",S$3,$A549))</x:f>
        <x:v>#NAME?</x:v>
      </x:c>
      <x:c r="T549" s="146" t="e">
        <x:f>IF($A549="","",[1]!thsiFinD("ths_adjustment_nv_fund",T$3,$A549))</x:f>
        <x:v>#NAME?</x:v>
      </x:c>
      <x:c r="U549" s="146" t="e">
        <x:f>IF($A549="","",[1]!thsiFinD("ths_adjustment_nv_fund",U$3,$A549))</x:f>
        <x:v>#NAME?</x:v>
      </x:c>
      <x:c r="V549" s="146" t="e">
        <x:f>IF($A549="","",[1]!thsiFinD("ths_adjustment_nv_fund",V$3,$A549))</x:f>
        <x:v>#NAME?</x:v>
      </x:c>
      <x:c r="W549" s="146" t="e">
        <x:f>IF($A549="","",[1]!thsiFinD("ths_adjustment_nv_fund",W$3,$A549))</x:f>
        <x:v>#NAME?</x:v>
      </x:c>
      <x:c r="X549" s="146" t="e">
        <x:f>IF($A549="","",[1]!thsiFinD("ths_adjustment_nv_fund",X$3,$A549))</x:f>
        <x:v>#NAME?</x:v>
      </x:c>
      <x:c r="Y549" s="146" t="e">
        <x:f>IF($A549="","",[1]!thsiFinD("ths_adjustment_nv_fund",Y$3,$A549))</x:f>
        <x:v>#NAME?</x:v>
      </x:c>
      <x:c r="Z549" s="146" t="e">
        <x:f>IF($A549="","",[1]!thsiFinD("ths_adjustment_nv_fund",Z$3,$A549))</x:f>
        <x:v>#NAME?</x:v>
      </x:c>
      <x:c r="AA549" s="146" t="e">
        <x:f>IF($A549="","",[1]!thsiFinD("ths_adjustment_nv_fund",AA$3,$A549))</x:f>
        <x:v>#NAME?</x:v>
      </x:c>
    </x:row>
    <x:row r="550">
      <x:c r="B550" s="146" t="e">
        <x:f>IF($A550="","",[1]!thsiFinD("ths_adjustment_nv_fund",B$3,$A550))</x:f>
        <x:v>#NAME?</x:v>
      </x:c>
      <x:c r="C550" s="146" t="e">
        <x:f>IF($A550="","",[1]!thsiFinD("ths_adjustment_nv_fund",C$3,$A550))</x:f>
        <x:v>#NAME?</x:v>
      </x:c>
      <x:c r="D550" s="146" t="e">
        <x:f>IF($A550="","",[1]!thsiFinD("ths_adjustment_nv_fund",D$3,$A550))</x:f>
        <x:v>#NAME?</x:v>
      </x:c>
      <x:c r="E550" s="146" t="e">
        <x:f>IF($A550="","",[1]!thsiFinD("ths_adjustment_nv_fund",E$3,$A550))</x:f>
        <x:v>#NAME?</x:v>
      </x:c>
      <x:c r="F550" s="146" t="e">
        <x:f>IF($A550="","",[1]!thsiFinD("ths_adjustment_nv_fund",F$3,$A550))</x:f>
        <x:v>#NAME?</x:v>
      </x:c>
      <x:c r="G550" s="146" t="e">
        <x:f>IF($A550="","",[1]!thsiFinD("ths_adjustment_nv_fund",G$3,$A550))</x:f>
        <x:v>#NAME?</x:v>
      </x:c>
      <x:c r="H550" s="146" t="e">
        <x:f>IF($A550="","",[1]!thsiFinD("ths_adjustment_nv_fund",H$3,$A550))</x:f>
        <x:v>#NAME?</x:v>
      </x:c>
      <x:c r="I550" s="146" t="e">
        <x:f>IF($A550="","",[1]!thsiFinD("ths_adjustment_nv_fund",I$3,$A550))</x:f>
        <x:v>#NAME?</x:v>
      </x:c>
      <x:c r="J550" s="146" t="e">
        <x:f>IF($A550="","",[1]!thsiFinD("ths_adjustment_nv_fund",J$3,$A550))</x:f>
        <x:v>#NAME?</x:v>
      </x:c>
      <x:c r="K550" s="146" t="e">
        <x:f>IF($A550="","",[1]!thsiFinD("ths_adjustment_nv_fund",K$3,$A550))</x:f>
        <x:v>#NAME?</x:v>
      </x:c>
      <x:c r="L550" s="146" t="e">
        <x:f>IF($A550="","",[1]!thsiFinD("ths_adjustment_nv_fund",L$3,$A550))</x:f>
        <x:v>#NAME?</x:v>
      </x:c>
      <x:c r="M550" s="146" t="e">
        <x:f>IF($A550="","",[1]!thsiFinD("ths_adjustment_nv_fund",M$3,$A550))</x:f>
        <x:v>#NAME?</x:v>
      </x:c>
      <x:c r="N550" s="146" t="e">
        <x:f>IF($A550="","",[1]!thsiFinD("ths_adjustment_nv_fund",N$3,$A550))</x:f>
        <x:v>#NAME?</x:v>
      </x:c>
      <x:c r="O550" s="146" t="e">
        <x:f>IF($A550="","",[1]!thsiFinD("ths_adjustment_nv_fund",O$3,$A550))</x:f>
        <x:v>#NAME?</x:v>
      </x:c>
      <x:c r="P550" s="146" t="e">
        <x:f>IF($A550="","",[1]!thsiFinD("ths_adjustment_nv_fund",P$3,$A550))</x:f>
        <x:v>#NAME?</x:v>
      </x:c>
      <x:c r="Q550" s="146" t="e">
        <x:f>IF($A550="","",[1]!thsiFinD("ths_adjustment_nv_fund",Q$3,$A550))</x:f>
        <x:v>#NAME?</x:v>
      </x:c>
      <x:c r="R550" s="146" t="e">
        <x:f>IF($A550="","",[1]!thsiFinD("ths_adjustment_nv_fund",R$3,$A550))</x:f>
        <x:v>#NAME?</x:v>
      </x:c>
      <x:c r="S550" s="146" t="e">
        <x:f>IF($A550="","",[1]!thsiFinD("ths_adjustment_nv_fund",S$3,$A550))</x:f>
        <x:v>#NAME?</x:v>
      </x:c>
      <x:c r="T550" s="146" t="e">
        <x:f>IF($A550="","",[1]!thsiFinD("ths_adjustment_nv_fund",T$3,$A550))</x:f>
        <x:v>#NAME?</x:v>
      </x:c>
      <x:c r="U550" s="146" t="e">
        <x:f>IF($A550="","",[1]!thsiFinD("ths_adjustment_nv_fund",U$3,$A550))</x:f>
        <x:v>#NAME?</x:v>
      </x:c>
      <x:c r="V550" s="146" t="e">
        <x:f>IF($A550="","",[1]!thsiFinD("ths_adjustment_nv_fund",V$3,$A550))</x:f>
        <x:v>#NAME?</x:v>
      </x:c>
      <x:c r="W550" s="146" t="e">
        <x:f>IF($A550="","",[1]!thsiFinD("ths_adjustment_nv_fund",W$3,$A550))</x:f>
        <x:v>#NAME?</x:v>
      </x:c>
      <x:c r="X550" s="146" t="e">
        <x:f>IF($A550="","",[1]!thsiFinD("ths_adjustment_nv_fund",X$3,$A550))</x:f>
        <x:v>#NAME?</x:v>
      </x:c>
      <x:c r="Y550" s="146" t="e">
        <x:f>IF($A550="","",[1]!thsiFinD("ths_adjustment_nv_fund",Y$3,$A550))</x:f>
        <x:v>#NAME?</x:v>
      </x:c>
      <x:c r="Z550" s="146" t="e">
        <x:f>IF($A550="","",[1]!thsiFinD("ths_adjustment_nv_fund",Z$3,$A550))</x:f>
        <x:v>#NAME?</x:v>
      </x:c>
      <x:c r="AA550" s="146" t="e">
        <x:f>IF($A550="","",[1]!thsiFinD("ths_adjustment_nv_fund",AA$3,$A550))</x:f>
        <x:v>#NAME?</x:v>
      </x:c>
    </x:row>
    <x:row r="551">
      <x:c r="B551" s="146" t="e">
        <x:f>IF($A551="","",[1]!thsiFinD("ths_adjustment_nv_fund",B$3,$A551))</x:f>
        <x:v>#NAME?</x:v>
      </x:c>
      <x:c r="C551" s="146" t="e">
        <x:f>IF($A551="","",[1]!thsiFinD("ths_adjustment_nv_fund",C$3,$A551))</x:f>
        <x:v>#NAME?</x:v>
      </x:c>
      <x:c r="D551" s="146" t="e">
        <x:f>IF($A551="","",[1]!thsiFinD("ths_adjustment_nv_fund",D$3,$A551))</x:f>
        <x:v>#NAME?</x:v>
      </x:c>
      <x:c r="E551" s="146" t="e">
        <x:f>IF($A551="","",[1]!thsiFinD("ths_adjustment_nv_fund",E$3,$A551))</x:f>
        <x:v>#NAME?</x:v>
      </x:c>
      <x:c r="F551" s="146" t="e">
        <x:f>IF($A551="","",[1]!thsiFinD("ths_adjustment_nv_fund",F$3,$A551))</x:f>
        <x:v>#NAME?</x:v>
      </x:c>
      <x:c r="G551" s="146" t="e">
        <x:f>IF($A551="","",[1]!thsiFinD("ths_adjustment_nv_fund",G$3,$A551))</x:f>
        <x:v>#NAME?</x:v>
      </x:c>
      <x:c r="H551" s="146" t="e">
        <x:f>IF($A551="","",[1]!thsiFinD("ths_adjustment_nv_fund",H$3,$A551))</x:f>
        <x:v>#NAME?</x:v>
      </x:c>
      <x:c r="I551" s="146" t="e">
        <x:f>IF($A551="","",[1]!thsiFinD("ths_adjustment_nv_fund",I$3,$A551))</x:f>
        <x:v>#NAME?</x:v>
      </x:c>
      <x:c r="J551" s="146" t="e">
        <x:f>IF($A551="","",[1]!thsiFinD("ths_adjustment_nv_fund",J$3,$A551))</x:f>
        <x:v>#NAME?</x:v>
      </x:c>
      <x:c r="K551" s="146" t="e">
        <x:f>IF($A551="","",[1]!thsiFinD("ths_adjustment_nv_fund",K$3,$A551))</x:f>
        <x:v>#NAME?</x:v>
      </x:c>
      <x:c r="L551" s="146" t="e">
        <x:f>IF($A551="","",[1]!thsiFinD("ths_adjustment_nv_fund",L$3,$A551))</x:f>
        <x:v>#NAME?</x:v>
      </x:c>
      <x:c r="M551" s="146" t="e">
        <x:f>IF($A551="","",[1]!thsiFinD("ths_adjustment_nv_fund",M$3,$A551))</x:f>
        <x:v>#NAME?</x:v>
      </x:c>
      <x:c r="N551" s="146" t="e">
        <x:f>IF($A551="","",[1]!thsiFinD("ths_adjustment_nv_fund",N$3,$A551))</x:f>
        <x:v>#NAME?</x:v>
      </x:c>
      <x:c r="O551" s="146" t="e">
        <x:f>IF($A551="","",[1]!thsiFinD("ths_adjustment_nv_fund",O$3,$A551))</x:f>
        <x:v>#NAME?</x:v>
      </x:c>
      <x:c r="P551" s="146" t="e">
        <x:f>IF($A551="","",[1]!thsiFinD("ths_adjustment_nv_fund",P$3,$A551))</x:f>
        <x:v>#NAME?</x:v>
      </x:c>
      <x:c r="Q551" s="146" t="e">
        <x:f>IF($A551="","",[1]!thsiFinD("ths_adjustment_nv_fund",Q$3,$A551))</x:f>
        <x:v>#NAME?</x:v>
      </x:c>
      <x:c r="R551" s="146" t="e">
        <x:f>IF($A551="","",[1]!thsiFinD("ths_adjustment_nv_fund",R$3,$A551))</x:f>
        <x:v>#NAME?</x:v>
      </x:c>
      <x:c r="S551" s="146" t="e">
        <x:f>IF($A551="","",[1]!thsiFinD("ths_adjustment_nv_fund",S$3,$A551))</x:f>
        <x:v>#NAME?</x:v>
      </x:c>
      <x:c r="T551" s="146" t="e">
        <x:f>IF($A551="","",[1]!thsiFinD("ths_adjustment_nv_fund",T$3,$A551))</x:f>
        <x:v>#NAME?</x:v>
      </x:c>
      <x:c r="U551" s="146" t="e">
        <x:f>IF($A551="","",[1]!thsiFinD("ths_adjustment_nv_fund",U$3,$A551))</x:f>
        <x:v>#NAME?</x:v>
      </x:c>
      <x:c r="V551" s="146" t="e">
        <x:f>IF($A551="","",[1]!thsiFinD("ths_adjustment_nv_fund",V$3,$A551))</x:f>
        <x:v>#NAME?</x:v>
      </x:c>
      <x:c r="W551" s="146" t="e">
        <x:f>IF($A551="","",[1]!thsiFinD("ths_adjustment_nv_fund",W$3,$A551))</x:f>
        <x:v>#NAME?</x:v>
      </x:c>
      <x:c r="X551" s="146" t="e">
        <x:f>IF($A551="","",[1]!thsiFinD("ths_adjustment_nv_fund",X$3,$A551))</x:f>
        <x:v>#NAME?</x:v>
      </x:c>
      <x:c r="Y551" s="146" t="e">
        <x:f>IF($A551="","",[1]!thsiFinD("ths_adjustment_nv_fund",Y$3,$A551))</x:f>
        <x:v>#NAME?</x:v>
      </x:c>
      <x:c r="Z551" s="146" t="e">
        <x:f>IF($A551="","",[1]!thsiFinD("ths_adjustment_nv_fund",Z$3,$A551))</x:f>
        <x:v>#NAME?</x:v>
      </x:c>
      <x:c r="AA551" s="146" t="e">
        <x:f>IF($A551="","",[1]!thsiFinD("ths_adjustment_nv_fund",AA$3,$A551))</x:f>
        <x:v>#NAME?</x:v>
      </x:c>
    </x:row>
    <x:row r="552">
      <x:c r="B552" s="146" t="e">
        <x:f>IF($A552="","",[1]!thsiFinD("ths_adjustment_nv_fund",B$3,$A552))</x:f>
        <x:v>#NAME?</x:v>
      </x:c>
      <x:c r="C552" s="146" t="e">
        <x:f>IF($A552="","",[1]!thsiFinD("ths_adjustment_nv_fund",C$3,$A552))</x:f>
        <x:v>#NAME?</x:v>
      </x:c>
      <x:c r="D552" s="146" t="e">
        <x:f>IF($A552="","",[1]!thsiFinD("ths_adjustment_nv_fund",D$3,$A552))</x:f>
        <x:v>#NAME?</x:v>
      </x:c>
      <x:c r="E552" s="146" t="e">
        <x:f>IF($A552="","",[1]!thsiFinD("ths_adjustment_nv_fund",E$3,$A552))</x:f>
        <x:v>#NAME?</x:v>
      </x:c>
      <x:c r="F552" s="146" t="e">
        <x:f>IF($A552="","",[1]!thsiFinD("ths_adjustment_nv_fund",F$3,$A552))</x:f>
        <x:v>#NAME?</x:v>
      </x:c>
      <x:c r="G552" s="146" t="e">
        <x:f>IF($A552="","",[1]!thsiFinD("ths_adjustment_nv_fund",G$3,$A552))</x:f>
        <x:v>#NAME?</x:v>
      </x:c>
      <x:c r="H552" s="146" t="e">
        <x:f>IF($A552="","",[1]!thsiFinD("ths_adjustment_nv_fund",H$3,$A552))</x:f>
        <x:v>#NAME?</x:v>
      </x:c>
      <x:c r="I552" s="146" t="e">
        <x:f>IF($A552="","",[1]!thsiFinD("ths_adjustment_nv_fund",I$3,$A552))</x:f>
        <x:v>#NAME?</x:v>
      </x:c>
      <x:c r="J552" s="146" t="e">
        <x:f>IF($A552="","",[1]!thsiFinD("ths_adjustment_nv_fund",J$3,$A552))</x:f>
        <x:v>#NAME?</x:v>
      </x:c>
      <x:c r="K552" s="146" t="e">
        <x:f>IF($A552="","",[1]!thsiFinD("ths_adjustment_nv_fund",K$3,$A552))</x:f>
        <x:v>#NAME?</x:v>
      </x:c>
      <x:c r="L552" s="146" t="e">
        <x:f>IF($A552="","",[1]!thsiFinD("ths_adjustment_nv_fund",L$3,$A552))</x:f>
        <x:v>#NAME?</x:v>
      </x:c>
      <x:c r="M552" s="146" t="e">
        <x:f>IF($A552="","",[1]!thsiFinD("ths_adjustment_nv_fund",M$3,$A552))</x:f>
        <x:v>#NAME?</x:v>
      </x:c>
      <x:c r="N552" s="146" t="e">
        <x:f>IF($A552="","",[1]!thsiFinD("ths_adjustment_nv_fund",N$3,$A552))</x:f>
        <x:v>#NAME?</x:v>
      </x:c>
      <x:c r="O552" s="146" t="e">
        <x:f>IF($A552="","",[1]!thsiFinD("ths_adjustment_nv_fund",O$3,$A552))</x:f>
        <x:v>#NAME?</x:v>
      </x:c>
      <x:c r="P552" s="146" t="e">
        <x:f>IF($A552="","",[1]!thsiFinD("ths_adjustment_nv_fund",P$3,$A552))</x:f>
        <x:v>#NAME?</x:v>
      </x:c>
      <x:c r="Q552" s="146" t="e">
        <x:f>IF($A552="","",[1]!thsiFinD("ths_adjustment_nv_fund",Q$3,$A552))</x:f>
        <x:v>#NAME?</x:v>
      </x:c>
      <x:c r="R552" s="146" t="e">
        <x:f>IF($A552="","",[1]!thsiFinD("ths_adjustment_nv_fund",R$3,$A552))</x:f>
        <x:v>#NAME?</x:v>
      </x:c>
      <x:c r="S552" s="146" t="e">
        <x:f>IF($A552="","",[1]!thsiFinD("ths_adjustment_nv_fund",S$3,$A552))</x:f>
        <x:v>#NAME?</x:v>
      </x:c>
      <x:c r="T552" s="146" t="e">
        <x:f>IF($A552="","",[1]!thsiFinD("ths_adjustment_nv_fund",T$3,$A552))</x:f>
        <x:v>#NAME?</x:v>
      </x:c>
      <x:c r="U552" s="146" t="e">
        <x:f>IF($A552="","",[1]!thsiFinD("ths_adjustment_nv_fund",U$3,$A552))</x:f>
        <x:v>#NAME?</x:v>
      </x:c>
      <x:c r="V552" s="146" t="e">
        <x:f>IF($A552="","",[1]!thsiFinD("ths_adjustment_nv_fund",V$3,$A552))</x:f>
        <x:v>#NAME?</x:v>
      </x:c>
      <x:c r="W552" s="146" t="e">
        <x:f>IF($A552="","",[1]!thsiFinD("ths_adjustment_nv_fund",W$3,$A552))</x:f>
        <x:v>#NAME?</x:v>
      </x:c>
      <x:c r="X552" s="146" t="e">
        <x:f>IF($A552="","",[1]!thsiFinD("ths_adjustment_nv_fund",X$3,$A552))</x:f>
        <x:v>#NAME?</x:v>
      </x:c>
      <x:c r="Y552" s="146" t="e">
        <x:f>IF($A552="","",[1]!thsiFinD("ths_adjustment_nv_fund",Y$3,$A552))</x:f>
        <x:v>#NAME?</x:v>
      </x:c>
      <x:c r="Z552" s="146" t="e">
        <x:f>IF($A552="","",[1]!thsiFinD("ths_adjustment_nv_fund",Z$3,$A552))</x:f>
        <x:v>#NAME?</x:v>
      </x:c>
      <x:c r="AA552" s="146" t="e">
        <x:f>IF($A552="","",[1]!thsiFinD("ths_adjustment_nv_fund",AA$3,$A552))</x:f>
        <x:v>#NAME?</x:v>
      </x:c>
    </x:row>
    <x:row r="553">
      <x:c r="B553" s="146" t="e">
        <x:f>IF($A553="","",[1]!thsiFinD("ths_adjustment_nv_fund",B$3,$A553))</x:f>
        <x:v>#NAME?</x:v>
      </x:c>
      <x:c r="C553" s="146" t="e">
        <x:f>IF($A553="","",[1]!thsiFinD("ths_adjustment_nv_fund",C$3,$A553))</x:f>
        <x:v>#NAME?</x:v>
      </x:c>
      <x:c r="D553" s="146" t="e">
        <x:f>IF($A553="","",[1]!thsiFinD("ths_adjustment_nv_fund",D$3,$A553))</x:f>
        <x:v>#NAME?</x:v>
      </x:c>
      <x:c r="E553" s="146" t="e">
        <x:f>IF($A553="","",[1]!thsiFinD("ths_adjustment_nv_fund",E$3,$A553))</x:f>
        <x:v>#NAME?</x:v>
      </x:c>
      <x:c r="F553" s="146" t="e">
        <x:f>IF($A553="","",[1]!thsiFinD("ths_adjustment_nv_fund",F$3,$A553))</x:f>
        <x:v>#NAME?</x:v>
      </x:c>
      <x:c r="G553" s="146" t="e">
        <x:f>IF($A553="","",[1]!thsiFinD("ths_adjustment_nv_fund",G$3,$A553))</x:f>
        <x:v>#NAME?</x:v>
      </x:c>
      <x:c r="H553" s="146" t="e">
        <x:f>IF($A553="","",[1]!thsiFinD("ths_adjustment_nv_fund",H$3,$A553))</x:f>
        <x:v>#NAME?</x:v>
      </x:c>
      <x:c r="I553" s="146" t="e">
        <x:f>IF($A553="","",[1]!thsiFinD("ths_adjustment_nv_fund",I$3,$A553))</x:f>
        <x:v>#NAME?</x:v>
      </x:c>
      <x:c r="J553" s="146" t="e">
        <x:f>IF($A553="","",[1]!thsiFinD("ths_adjustment_nv_fund",J$3,$A553))</x:f>
        <x:v>#NAME?</x:v>
      </x:c>
      <x:c r="K553" s="146" t="e">
        <x:f>IF($A553="","",[1]!thsiFinD("ths_adjustment_nv_fund",K$3,$A553))</x:f>
        <x:v>#NAME?</x:v>
      </x:c>
      <x:c r="L553" s="146" t="e">
        <x:f>IF($A553="","",[1]!thsiFinD("ths_adjustment_nv_fund",L$3,$A553))</x:f>
        <x:v>#NAME?</x:v>
      </x:c>
      <x:c r="M553" s="146" t="e">
        <x:f>IF($A553="","",[1]!thsiFinD("ths_adjustment_nv_fund",M$3,$A553))</x:f>
        <x:v>#NAME?</x:v>
      </x:c>
      <x:c r="N553" s="146" t="e">
        <x:f>IF($A553="","",[1]!thsiFinD("ths_adjustment_nv_fund",N$3,$A553))</x:f>
        <x:v>#NAME?</x:v>
      </x:c>
      <x:c r="O553" s="146" t="e">
        <x:f>IF($A553="","",[1]!thsiFinD("ths_adjustment_nv_fund",O$3,$A553))</x:f>
        <x:v>#NAME?</x:v>
      </x:c>
      <x:c r="P553" s="146" t="e">
        <x:f>IF($A553="","",[1]!thsiFinD("ths_adjustment_nv_fund",P$3,$A553))</x:f>
        <x:v>#NAME?</x:v>
      </x:c>
      <x:c r="Q553" s="146" t="e">
        <x:f>IF($A553="","",[1]!thsiFinD("ths_adjustment_nv_fund",Q$3,$A553))</x:f>
        <x:v>#NAME?</x:v>
      </x:c>
      <x:c r="R553" s="146" t="e">
        <x:f>IF($A553="","",[1]!thsiFinD("ths_adjustment_nv_fund",R$3,$A553))</x:f>
        <x:v>#NAME?</x:v>
      </x:c>
      <x:c r="S553" s="146" t="e">
        <x:f>IF($A553="","",[1]!thsiFinD("ths_adjustment_nv_fund",S$3,$A553))</x:f>
        <x:v>#NAME?</x:v>
      </x:c>
      <x:c r="T553" s="146" t="e">
        <x:f>IF($A553="","",[1]!thsiFinD("ths_adjustment_nv_fund",T$3,$A553))</x:f>
        <x:v>#NAME?</x:v>
      </x:c>
      <x:c r="U553" s="146" t="e">
        <x:f>IF($A553="","",[1]!thsiFinD("ths_adjustment_nv_fund",U$3,$A553))</x:f>
        <x:v>#NAME?</x:v>
      </x:c>
      <x:c r="V553" s="146" t="e">
        <x:f>IF($A553="","",[1]!thsiFinD("ths_adjustment_nv_fund",V$3,$A553))</x:f>
        <x:v>#NAME?</x:v>
      </x:c>
      <x:c r="W553" s="146" t="e">
        <x:f>IF($A553="","",[1]!thsiFinD("ths_adjustment_nv_fund",W$3,$A553))</x:f>
        <x:v>#NAME?</x:v>
      </x:c>
      <x:c r="X553" s="146" t="e">
        <x:f>IF($A553="","",[1]!thsiFinD("ths_adjustment_nv_fund",X$3,$A553))</x:f>
        <x:v>#NAME?</x:v>
      </x:c>
      <x:c r="Y553" s="146" t="e">
        <x:f>IF($A553="","",[1]!thsiFinD("ths_adjustment_nv_fund",Y$3,$A553))</x:f>
        <x:v>#NAME?</x:v>
      </x:c>
      <x:c r="Z553" s="146" t="e">
        <x:f>IF($A553="","",[1]!thsiFinD("ths_adjustment_nv_fund",Z$3,$A553))</x:f>
        <x:v>#NAME?</x:v>
      </x:c>
      <x:c r="AA553" s="146" t="e">
        <x:f>IF($A553="","",[1]!thsiFinD("ths_adjustment_nv_fund",AA$3,$A553))</x:f>
        <x:v>#NAME?</x:v>
      </x:c>
    </x:row>
    <x:row r="554">
      <x:c r="B554" s="146" t="e">
        <x:f>IF($A554="","",[1]!thsiFinD("ths_adjustment_nv_fund",B$3,$A554))</x:f>
        <x:v>#NAME?</x:v>
      </x:c>
      <x:c r="C554" s="146" t="e">
        <x:f>IF($A554="","",[1]!thsiFinD("ths_adjustment_nv_fund",C$3,$A554))</x:f>
        <x:v>#NAME?</x:v>
      </x:c>
      <x:c r="D554" s="146" t="e">
        <x:f>IF($A554="","",[1]!thsiFinD("ths_adjustment_nv_fund",D$3,$A554))</x:f>
        <x:v>#NAME?</x:v>
      </x:c>
      <x:c r="E554" s="146" t="e">
        <x:f>IF($A554="","",[1]!thsiFinD("ths_adjustment_nv_fund",E$3,$A554))</x:f>
        <x:v>#NAME?</x:v>
      </x:c>
      <x:c r="F554" s="146" t="e">
        <x:f>IF($A554="","",[1]!thsiFinD("ths_adjustment_nv_fund",F$3,$A554))</x:f>
        <x:v>#NAME?</x:v>
      </x:c>
      <x:c r="G554" s="146" t="e">
        <x:f>IF($A554="","",[1]!thsiFinD("ths_adjustment_nv_fund",G$3,$A554))</x:f>
        <x:v>#NAME?</x:v>
      </x:c>
      <x:c r="H554" s="146" t="e">
        <x:f>IF($A554="","",[1]!thsiFinD("ths_adjustment_nv_fund",H$3,$A554))</x:f>
        <x:v>#NAME?</x:v>
      </x:c>
      <x:c r="I554" s="146" t="e">
        <x:f>IF($A554="","",[1]!thsiFinD("ths_adjustment_nv_fund",I$3,$A554))</x:f>
        <x:v>#NAME?</x:v>
      </x:c>
      <x:c r="J554" s="146" t="e">
        <x:f>IF($A554="","",[1]!thsiFinD("ths_adjustment_nv_fund",J$3,$A554))</x:f>
        <x:v>#NAME?</x:v>
      </x:c>
      <x:c r="K554" s="146" t="e">
        <x:f>IF($A554="","",[1]!thsiFinD("ths_adjustment_nv_fund",K$3,$A554))</x:f>
        <x:v>#NAME?</x:v>
      </x:c>
      <x:c r="L554" s="146" t="e">
        <x:f>IF($A554="","",[1]!thsiFinD("ths_adjustment_nv_fund",L$3,$A554))</x:f>
        <x:v>#NAME?</x:v>
      </x:c>
      <x:c r="M554" s="146" t="e">
        <x:f>IF($A554="","",[1]!thsiFinD("ths_adjustment_nv_fund",M$3,$A554))</x:f>
        <x:v>#NAME?</x:v>
      </x:c>
      <x:c r="N554" s="146" t="e">
        <x:f>IF($A554="","",[1]!thsiFinD("ths_adjustment_nv_fund",N$3,$A554))</x:f>
        <x:v>#NAME?</x:v>
      </x:c>
      <x:c r="O554" s="146" t="e">
        <x:f>IF($A554="","",[1]!thsiFinD("ths_adjustment_nv_fund",O$3,$A554))</x:f>
        <x:v>#NAME?</x:v>
      </x:c>
      <x:c r="P554" s="146" t="e">
        <x:f>IF($A554="","",[1]!thsiFinD("ths_adjustment_nv_fund",P$3,$A554))</x:f>
        <x:v>#NAME?</x:v>
      </x:c>
      <x:c r="Q554" s="146" t="e">
        <x:f>IF($A554="","",[1]!thsiFinD("ths_adjustment_nv_fund",Q$3,$A554))</x:f>
        <x:v>#NAME?</x:v>
      </x:c>
      <x:c r="R554" s="146" t="e">
        <x:f>IF($A554="","",[1]!thsiFinD("ths_adjustment_nv_fund",R$3,$A554))</x:f>
        <x:v>#NAME?</x:v>
      </x:c>
      <x:c r="S554" s="146" t="e">
        <x:f>IF($A554="","",[1]!thsiFinD("ths_adjustment_nv_fund",S$3,$A554))</x:f>
        <x:v>#NAME?</x:v>
      </x:c>
      <x:c r="T554" s="146" t="e">
        <x:f>IF($A554="","",[1]!thsiFinD("ths_adjustment_nv_fund",T$3,$A554))</x:f>
        <x:v>#NAME?</x:v>
      </x:c>
      <x:c r="U554" s="146" t="e">
        <x:f>IF($A554="","",[1]!thsiFinD("ths_adjustment_nv_fund",U$3,$A554))</x:f>
        <x:v>#NAME?</x:v>
      </x:c>
      <x:c r="V554" s="146" t="e">
        <x:f>IF($A554="","",[1]!thsiFinD("ths_adjustment_nv_fund",V$3,$A554))</x:f>
        <x:v>#NAME?</x:v>
      </x:c>
      <x:c r="W554" s="146" t="e">
        <x:f>IF($A554="","",[1]!thsiFinD("ths_adjustment_nv_fund",W$3,$A554))</x:f>
        <x:v>#NAME?</x:v>
      </x:c>
      <x:c r="X554" s="146" t="e">
        <x:f>IF($A554="","",[1]!thsiFinD("ths_adjustment_nv_fund",X$3,$A554))</x:f>
        <x:v>#NAME?</x:v>
      </x:c>
      <x:c r="Y554" s="146" t="e">
        <x:f>IF($A554="","",[1]!thsiFinD("ths_adjustment_nv_fund",Y$3,$A554))</x:f>
        <x:v>#NAME?</x:v>
      </x:c>
      <x:c r="Z554" s="146" t="e">
        <x:f>IF($A554="","",[1]!thsiFinD("ths_adjustment_nv_fund",Z$3,$A554))</x:f>
        <x:v>#NAME?</x:v>
      </x:c>
      <x:c r="AA554" s="146" t="e">
        <x:f>IF($A554="","",[1]!thsiFinD("ths_adjustment_nv_fund",AA$3,$A554))</x:f>
        <x:v>#NAME?</x:v>
      </x:c>
    </x:row>
    <x:row r="555">
      <x:c r="B555" s="146" t="e">
        <x:f>IF($A555="","",[1]!thsiFinD("ths_adjustment_nv_fund",B$3,$A555))</x:f>
        <x:v>#NAME?</x:v>
      </x:c>
      <x:c r="C555" s="146" t="e">
        <x:f>IF($A555="","",[1]!thsiFinD("ths_adjustment_nv_fund",C$3,$A555))</x:f>
        <x:v>#NAME?</x:v>
      </x:c>
      <x:c r="D555" s="146" t="e">
        <x:f>IF($A555="","",[1]!thsiFinD("ths_adjustment_nv_fund",D$3,$A555))</x:f>
        <x:v>#NAME?</x:v>
      </x:c>
      <x:c r="E555" s="146" t="e">
        <x:f>IF($A555="","",[1]!thsiFinD("ths_adjustment_nv_fund",E$3,$A555))</x:f>
        <x:v>#NAME?</x:v>
      </x:c>
      <x:c r="F555" s="146" t="e">
        <x:f>IF($A555="","",[1]!thsiFinD("ths_adjustment_nv_fund",F$3,$A555))</x:f>
        <x:v>#NAME?</x:v>
      </x:c>
      <x:c r="G555" s="146" t="e">
        <x:f>IF($A555="","",[1]!thsiFinD("ths_adjustment_nv_fund",G$3,$A555))</x:f>
        <x:v>#NAME?</x:v>
      </x:c>
      <x:c r="H555" s="146" t="e">
        <x:f>IF($A555="","",[1]!thsiFinD("ths_adjustment_nv_fund",H$3,$A555))</x:f>
        <x:v>#NAME?</x:v>
      </x:c>
      <x:c r="I555" s="146" t="e">
        <x:f>IF($A555="","",[1]!thsiFinD("ths_adjustment_nv_fund",I$3,$A555))</x:f>
        <x:v>#NAME?</x:v>
      </x:c>
      <x:c r="J555" s="146" t="e">
        <x:f>IF($A555="","",[1]!thsiFinD("ths_adjustment_nv_fund",J$3,$A555))</x:f>
        <x:v>#NAME?</x:v>
      </x:c>
      <x:c r="K555" s="146" t="e">
        <x:f>IF($A555="","",[1]!thsiFinD("ths_adjustment_nv_fund",K$3,$A555))</x:f>
        <x:v>#NAME?</x:v>
      </x:c>
      <x:c r="L555" s="146" t="e">
        <x:f>IF($A555="","",[1]!thsiFinD("ths_adjustment_nv_fund",L$3,$A555))</x:f>
        <x:v>#NAME?</x:v>
      </x:c>
      <x:c r="M555" s="146" t="e">
        <x:f>IF($A555="","",[1]!thsiFinD("ths_adjustment_nv_fund",M$3,$A555))</x:f>
        <x:v>#NAME?</x:v>
      </x:c>
      <x:c r="N555" s="146" t="e">
        <x:f>IF($A555="","",[1]!thsiFinD("ths_adjustment_nv_fund",N$3,$A555))</x:f>
        <x:v>#NAME?</x:v>
      </x:c>
      <x:c r="O555" s="146" t="e">
        <x:f>IF($A555="","",[1]!thsiFinD("ths_adjustment_nv_fund",O$3,$A555))</x:f>
        <x:v>#NAME?</x:v>
      </x:c>
      <x:c r="P555" s="146" t="e">
        <x:f>IF($A555="","",[1]!thsiFinD("ths_adjustment_nv_fund",P$3,$A555))</x:f>
        <x:v>#NAME?</x:v>
      </x:c>
      <x:c r="Q555" s="146" t="e">
        <x:f>IF($A555="","",[1]!thsiFinD("ths_adjustment_nv_fund",Q$3,$A555))</x:f>
        <x:v>#NAME?</x:v>
      </x:c>
      <x:c r="R555" s="146" t="e">
        <x:f>IF($A555="","",[1]!thsiFinD("ths_adjustment_nv_fund",R$3,$A555))</x:f>
        <x:v>#NAME?</x:v>
      </x:c>
      <x:c r="S555" s="146" t="e">
        <x:f>IF($A555="","",[1]!thsiFinD("ths_adjustment_nv_fund",S$3,$A555))</x:f>
        <x:v>#NAME?</x:v>
      </x:c>
      <x:c r="T555" s="146" t="e">
        <x:f>IF($A555="","",[1]!thsiFinD("ths_adjustment_nv_fund",T$3,$A555))</x:f>
        <x:v>#NAME?</x:v>
      </x:c>
      <x:c r="U555" s="146" t="e">
        <x:f>IF($A555="","",[1]!thsiFinD("ths_adjustment_nv_fund",U$3,$A555))</x:f>
        <x:v>#NAME?</x:v>
      </x:c>
      <x:c r="V555" s="146" t="e">
        <x:f>IF($A555="","",[1]!thsiFinD("ths_adjustment_nv_fund",V$3,$A555))</x:f>
        <x:v>#NAME?</x:v>
      </x:c>
      <x:c r="W555" s="146" t="e">
        <x:f>IF($A555="","",[1]!thsiFinD("ths_adjustment_nv_fund",W$3,$A555))</x:f>
        <x:v>#NAME?</x:v>
      </x:c>
      <x:c r="X555" s="146" t="e">
        <x:f>IF($A555="","",[1]!thsiFinD("ths_adjustment_nv_fund",X$3,$A555))</x:f>
        <x:v>#NAME?</x:v>
      </x:c>
      <x:c r="Y555" s="146" t="e">
        <x:f>IF($A555="","",[1]!thsiFinD("ths_adjustment_nv_fund",Y$3,$A555))</x:f>
        <x:v>#NAME?</x:v>
      </x:c>
      <x:c r="Z555" s="146" t="e">
        <x:f>IF($A555="","",[1]!thsiFinD("ths_adjustment_nv_fund",Z$3,$A555))</x:f>
        <x:v>#NAME?</x:v>
      </x:c>
      <x:c r="AA555" s="146" t="e">
        <x:f>IF($A555="","",[1]!thsiFinD("ths_adjustment_nv_fund",AA$3,$A555))</x:f>
        <x:v>#NAME?</x:v>
      </x:c>
    </x:row>
    <x:row r="556">
      <x:c r="B556" s="146" t="e">
        <x:f>IF($A556="","",[1]!thsiFinD("ths_adjustment_nv_fund",B$3,$A556))</x:f>
        <x:v>#NAME?</x:v>
      </x:c>
      <x:c r="C556" s="146" t="e">
        <x:f>IF($A556="","",[1]!thsiFinD("ths_adjustment_nv_fund",C$3,$A556))</x:f>
        <x:v>#NAME?</x:v>
      </x:c>
      <x:c r="D556" s="146" t="e">
        <x:f>IF($A556="","",[1]!thsiFinD("ths_adjustment_nv_fund",D$3,$A556))</x:f>
        <x:v>#NAME?</x:v>
      </x:c>
      <x:c r="E556" s="146" t="e">
        <x:f>IF($A556="","",[1]!thsiFinD("ths_adjustment_nv_fund",E$3,$A556))</x:f>
        <x:v>#NAME?</x:v>
      </x:c>
      <x:c r="F556" s="146" t="e">
        <x:f>IF($A556="","",[1]!thsiFinD("ths_adjustment_nv_fund",F$3,$A556))</x:f>
        <x:v>#NAME?</x:v>
      </x:c>
      <x:c r="G556" s="146" t="e">
        <x:f>IF($A556="","",[1]!thsiFinD("ths_adjustment_nv_fund",G$3,$A556))</x:f>
        <x:v>#NAME?</x:v>
      </x:c>
      <x:c r="H556" s="146" t="e">
        <x:f>IF($A556="","",[1]!thsiFinD("ths_adjustment_nv_fund",H$3,$A556))</x:f>
        <x:v>#NAME?</x:v>
      </x:c>
      <x:c r="I556" s="146" t="e">
        <x:f>IF($A556="","",[1]!thsiFinD("ths_adjustment_nv_fund",I$3,$A556))</x:f>
        <x:v>#NAME?</x:v>
      </x:c>
      <x:c r="J556" s="146" t="e">
        <x:f>IF($A556="","",[1]!thsiFinD("ths_adjustment_nv_fund",J$3,$A556))</x:f>
        <x:v>#NAME?</x:v>
      </x:c>
      <x:c r="K556" s="146" t="e">
        <x:f>IF($A556="","",[1]!thsiFinD("ths_adjustment_nv_fund",K$3,$A556))</x:f>
        <x:v>#NAME?</x:v>
      </x:c>
      <x:c r="L556" s="146" t="e">
        <x:f>IF($A556="","",[1]!thsiFinD("ths_adjustment_nv_fund",L$3,$A556))</x:f>
        <x:v>#NAME?</x:v>
      </x:c>
      <x:c r="M556" s="146" t="e">
        <x:f>IF($A556="","",[1]!thsiFinD("ths_adjustment_nv_fund",M$3,$A556))</x:f>
        <x:v>#NAME?</x:v>
      </x:c>
      <x:c r="N556" s="146" t="e">
        <x:f>IF($A556="","",[1]!thsiFinD("ths_adjustment_nv_fund",N$3,$A556))</x:f>
        <x:v>#NAME?</x:v>
      </x:c>
      <x:c r="O556" s="146" t="e">
        <x:f>IF($A556="","",[1]!thsiFinD("ths_adjustment_nv_fund",O$3,$A556))</x:f>
        <x:v>#NAME?</x:v>
      </x:c>
      <x:c r="P556" s="146" t="e">
        <x:f>IF($A556="","",[1]!thsiFinD("ths_adjustment_nv_fund",P$3,$A556))</x:f>
        <x:v>#NAME?</x:v>
      </x:c>
      <x:c r="Q556" s="146" t="e">
        <x:f>IF($A556="","",[1]!thsiFinD("ths_adjustment_nv_fund",Q$3,$A556))</x:f>
        <x:v>#NAME?</x:v>
      </x:c>
      <x:c r="R556" s="146" t="e">
        <x:f>IF($A556="","",[1]!thsiFinD("ths_adjustment_nv_fund",R$3,$A556))</x:f>
        <x:v>#NAME?</x:v>
      </x:c>
      <x:c r="S556" s="146" t="e">
        <x:f>IF($A556="","",[1]!thsiFinD("ths_adjustment_nv_fund",S$3,$A556))</x:f>
        <x:v>#NAME?</x:v>
      </x:c>
      <x:c r="T556" s="146" t="e">
        <x:f>IF($A556="","",[1]!thsiFinD("ths_adjustment_nv_fund",T$3,$A556))</x:f>
        <x:v>#NAME?</x:v>
      </x:c>
      <x:c r="U556" s="146" t="e">
        <x:f>IF($A556="","",[1]!thsiFinD("ths_adjustment_nv_fund",U$3,$A556))</x:f>
        <x:v>#NAME?</x:v>
      </x:c>
      <x:c r="V556" s="146" t="e">
        <x:f>IF($A556="","",[1]!thsiFinD("ths_adjustment_nv_fund",V$3,$A556))</x:f>
        <x:v>#NAME?</x:v>
      </x:c>
      <x:c r="W556" s="146" t="e">
        <x:f>IF($A556="","",[1]!thsiFinD("ths_adjustment_nv_fund",W$3,$A556))</x:f>
        <x:v>#NAME?</x:v>
      </x:c>
      <x:c r="X556" s="146" t="e">
        <x:f>IF($A556="","",[1]!thsiFinD("ths_adjustment_nv_fund",X$3,$A556))</x:f>
        <x:v>#NAME?</x:v>
      </x:c>
      <x:c r="Y556" s="146" t="e">
        <x:f>IF($A556="","",[1]!thsiFinD("ths_adjustment_nv_fund",Y$3,$A556))</x:f>
        <x:v>#NAME?</x:v>
      </x:c>
      <x:c r="Z556" s="146" t="e">
        <x:f>IF($A556="","",[1]!thsiFinD("ths_adjustment_nv_fund",Z$3,$A556))</x:f>
        <x:v>#NAME?</x:v>
      </x:c>
      <x:c r="AA556" s="146" t="e">
        <x:f>IF($A556="","",[1]!thsiFinD("ths_adjustment_nv_fund",AA$3,$A556))</x:f>
        <x:v>#NAME?</x:v>
      </x:c>
    </x:row>
    <x:row r="557">
      <x:c r="B557" s="146" t="e">
        <x:f>IF($A557="","",[1]!thsiFinD("ths_adjustment_nv_fund",B$3,$A557))</x:f>
        <x:v>#NAME?</x:v>
      </x:c>
      <x:c r="C557" s="146" t="e">
        <x:f>IF($A557="","",[1]!thsiFinD("ths_adjustment_nv_fund",C$3,$A557))</x:f>
        <x:v>#NAME?</x:v>
      </x:c>
      <x:c r="D557" s="146" t="e">
        <x:f>IF($A557="","",[1]!thsiFinD("ths_adjustment_nv_fund",D$3,$A557))</x:f>
        <x:v>#NAME?</x:v>
      </x:c>
      <x:c r="E557" s="146" t="e">
        <x:f>IF($A557="","",[1]!thsiFinD("ths_adjustment_nv_fund",E$3,$A557))</x:f>
        <x:v>#NAME?</x:v>
      </x:c>
      <x:c r="F557" s="146" t="e">
        <x:f>IF($A557="","",[1]!thsiFinD("ths_adjustment_nv_fund",F$3,$A557))</x:f>
        <x:v>#NAME?</x:v>
      </x:c>
      <x:c r="G557" s="146" t="e">
        <x:f>IF($A557="","",[1]!thsiFinD("ths_adjustment_nv_fund",G$3,$A557))</x:f>
        <x:v>#NAME?</x:v>
      </x:c>
      <x:c r="H557" s="146" t="e">
        <x:f>IF($A557="","",[1]!thsiFinD("ths_adjustment_nv_fund",H$3,$A557))</x:f>
        <x:v>#NAME?</x:v>
      </x:c>
      <x:c r="I557" s="146" t="e">
        <x:f>IF($A557="","",[1]!thsiFinD("ths_adjustment_nv_fund",I$3,$A557))</x:f>
        <x:v>#NAME?</x:v>
      </x:c>
      <x:c r="J557" s="146" t="e">
        <x:f>IF($A557="","",[1]!thsiFinD("ths_adjustment_nv_fund",J$3,$A557))</x:f>
        <x:v>#NAME?</x:v>
      </x:c>
      <x:c r="K557" s="146" t="e">
        <x:f>IF($A557="","",[1]!thsiFinD("ths_adjustment_nv_fund",K$3,$A557))</x:f>
        <x:v>#NAME?</x:v>
      </x:c>
      <x:c r="L557" s="146" t="e">
        <x:f>IF($A557="","",[1]!thsiFinD("ths_adjustment_nv_fund",L$3,$A557))</x:f>
        <x:v>#NAME?</x:v>
      </x:c>
      <x:c r="M557" s="146" t="e">
        <x:f>IF($A557="","",[1]!thsiFinD("ths_adjustment_nv_fund",M$3,$A557))</x:f>
        <x:v>#NAME?</x:v>
      </x:c>
      <x:c r="N557" s="146" t="e">
        <x:f>IF($A557="","",[1]!thsiFinD("ths_adjustment_nv_fund",N$3,$A557))</x:f>
        <x:v>#NAME?</x:v>
      </x:c>
      <x:c r="O557" s="146" t="e">
        <x:f>IF($A557="","",[1]!thsiFinD("ths_adjustment_nv_fund",O$3,$A557))</x:f>
        <x:v>#NAME?</x:v>
      </x:c>
      <x:c r="P557" s="146" t="e">
        <x:f>IF($A557="","",[1]!thsiFinD("ths_adjustment_nv_fund",P$3,$A557))</x:f>
        <x:v>#NAME?</x:v>
      </x:c>
      <x:c r="Q557" s="146" t="e">
        <x:f>IF($A557="","",[1]!thsiFinD("ths_adjustment_nv_fund",Q$3,$A557))</x:f>
        <x:v>#NAME?</x:v>
      </x:c>
      <x:c r="R557" s="146" t="e">
        <x:f>IF($A557="","",[1]!thsiFinD("ths_adjustment_nv_fund",R$3,$A557))</x:f>
        <x:v>#NAME?</x:v>
      </x:c>
      <x:c r="S557" s="146" t="e">
        <x:f>IF($A557="","",[1]!thsiFinD("ths_adjustment_nv_fund",S$3,$A557))</x:f>
        <x:v>#NAME?</x:v>
      </x:c>
      <x:c r="T557" s="146" t="e">
        <x:f>IF($A557="","",[1]!thsiFinD("ths_adjustment_nv_fund",T$3,$A557))</x:f>
        <x:v>#NAME?</x:v>
      </x:c>
      <x:c r="U557" s="146" t="e">
        <x:f>IF($A557="","",[1]!thsiFinD("ths_adjustment_nv_fund",U$3,$A557))</x:f>
        <x:v>#NAME?</x:v>
      </x:c>
      <x:c r="V557" s="146" t="e">
        <x:f>IF($A557="","",[1]!thsiFinD("ths_adjustment_nv_fund",V$3,$A557))</x:f>
        <x:v>#NAME?</x:v>
      </x:c>
      <x:c r="W557" s="146" t="e">
        <x:f>IF($A557="","",[1]!thsiFinD("ths_adjustment_nv_fund",W$3,$A557))</x:f>
        <x:v>#NAME?</x:v>
      </x:c>
      <x:c r="X557" s="146" t="e">
        <x:f>IF($A557="","",[1]!thsiFinD("ths_adjustment_nv_fund",X$3,$A557))</x:f>
        <x:v>#NAME?</x:v>
      </x:c>
      <x:c r="Y557" s="146" t="e">
        <x:f>IF($A557="","",[1]!thsiFinD("ths_adjustment_nv_fund",Y$3,$A557))</x:f>
        <x:v>#NAME?</x:v>
      </x:c>
      <x:c r="Z557" s="146" t="e">
        <x:f>IF($A557="","",[1]!thsiFinD("ths_adjustment_nv_fund",Z$3,$A557))</x:f>
        <x:v>#NAME?</x:v>
      </x:c>
      <x:c r="AA557" s="146" t="e">
        <x:f>IF($A557="","",[1]!thsiFinD("ths_adjustment_nv_fund",AA$3,$A557))</x:f>
        <x:v>#NAME?</x:v>
      </x:c>
    </x:row>
    <x:row r="558">
      <x:c r="B558" s="146" t="e">
        <x:f>IF($A558="","",[1]!thsiFinD("ths_adjustment_nv_fund",B$3,$A558))</x:f>
        <x:v>#NAME?</x:v>
      </x:c>
      <x:c r="C558" s="146" t="e">
        <x:f>IF($A558="","",[1]!thsiFinD("ths_adjustment_nv_fund",C$3,$A558))</x:f>
        <x:v>#NAME?</x:v>
      </x:c>
      <x:c r="D558" s="146" t="e">
        <x:f>IF($A558="","",[1]!thsiFinD("ths_adjustment_nv_fund",D$3,$A558))</x:f>
        <x:v>#NAME?</x:v>
      </x:c>
      <x:c r="E558" s="146" t="e">
        <x:f>IF($A558="","",[1]!thsiFinD("ths_adjustment_nv_fund",E$3,$A558))</x:f>
        <x:v>#NAME?</x:v>
      </x:c>
      <x:c r="F558" s="146" t="e">
        <x:f>IF($A558="","",[1]!thsiFinD("ths_adjustment_nv_fund",F$3,$A558))</x:f>
        <x:v>#NAME?</x:v>
      </x:c>
      <x:c r="G558" s="146" t="e">
        <x:f>IF($A558="","",[1]!thsiFinD("ths_adjustment_nv_fund",G$3,$A558))</x:f>
        <x:v>#NAME?</x:v>
      </x:c>
      <x:c r="H558" s="146" t="e">
        <x:f>IF($A558="","",[1]!thsiFinD("ths_adjustment_nv_fund",H$3,$A558))</x:f>
        <x:v>#NAME?</x:v>
      </x:c>
      <x:c r="I558" s="146" t="e">
        <x:f>IF($A558="","",[1]!thsiFinD("ths_adjustment_nv_fund",I$3,$A558))</x:f>
        <x:v>#NAME?</x:v>
      </x:c>
      <x:c r="J558" s="146" t="e">
        <x:f>IF($A558="","",[1]!thsiFinD("ths_adjustment_nv_fund",J$3,$A558))</x:f>
        <x:v>#NAME?</x:v>
      </x:c>
      <x:c r="K558" s="146" t="e">
        <x:f>IF($A558="","",[1]!thsiFinD("ths_adjustment_nv_fund",K$3,$A558))</x:f>
        <x:v>#NAME?</x:v>
      </x:c>
      <x:c r="L558" s="146" t="e">
        <x:f>IF($A558="","",[1]!thsiFinD("ths_adjustment_nv_fund",L$3,$A558))</x:f>
        <x:v>#NAME?</x:v>
      </x:c>
      <x:c r="M558" s="146" t="e">
        <x:f>IF($A558="","",[1]!thsiFinD("ths_adjustment_nv_fund",M$3,$A558))</x:f>
        <x:v>#NAME?</x:v>
      </x:c>
      <x:c r="N558" s="146" t="e">
        <x:f>IF($A558="","",[1]!thsiFinD("ths_adjustment_nv_fund",N$3,$A558))</x:f>
        <x:v>#NAME?</x:v>
      </x:c>
      <x:c r="O558" s="146" t="e">
        <x:f>IF($A558="","",[1]!thsiFinD("ths_adjustment_nv_fund",O$3,$A558))</x:f>
        <x:v>#NAME?</x:v>
      </x:c>
      <x:c r="P558" s="146" t="e">
        <x:f>IF($A558="","",[1]!thsiFinD("ths_adjustment_nv_fund",P$3,$A558))</x:f>
        <x:v>#NAME?</x:v>
      </x:c>
      <x:c r="Q558" s="146" t="e">
        <x:f>IF($A558="","",[1]!thsiFinD("ths_adjustment_nv_fund",Q$3,$A558))</x:f>
        <x:v>#NAME?</x:v>
      </x:c>
      <x:c r="R558" s="146" t="e">
        <x:f>IF($A558="","",[1]!thsiFinD("ths_adjustment_nv_fund",R$3,$A558))</x:f>
        <x:v>#NAME?</x:v>
      </x:c>
      <x:c r="S558" s="146" t="e">
        <x:f>IF($A558="","",[1]!thsiFinD("ths_adjustment_nv_fund",S$3,$A558))</x:f>
        <x:v>#NAME?</x:v>
      </x:c>
      <x:c r="T558" s="146" t="e">
        <x:f>IF($A558="","",[1]!thsiFinD("ths_adjustment_nv_fund",T$3,$A558))</x:f>
        <x:v>#NAME?</x:v>
      </x:c>
      <x:c r="U558" s="146" t="e">
        <x:f>IF($A558="","",[1]!thsiFinD("ths_adjustment_nv_fund",U$3,$A558))</x:f>
        <x:v>#NAME?</x:v>
      </x:c>
      <x:c r="V558" s="146" t="e">
        <x:f>IF($A558="","",[1]!thsiFinD("ths_adjustment_nv_fund",V$3,$A558))</x:f>
        <x:v>#NAME?</x:v>
      </x:c>
      <x:c r="W558" s="146" t="e">
        <x:f>IF($A558="","",[1]!thsiFinD("ths_adjustment_nv_fund",W$3,$A558))</x:f>
        <x:v>#NAME?</x:v>
      </x:c>
      <x:c r="X558" s="146" t="e">
        <x:f>IF($A558="","",[1]!thsiFinD("ths_adjustment_nv_fund",X$3,$A558))</x:f>
        <x:v>#NAME?</x:v>
      </x:c>
      <x:c r="Y558" s="146" t="e">
        <x:f>IF($A558="","",[1]!thsiFinD("ths_adjustment_nv_fund",Y$3,$A558))</x:f>
        <x:v>#NAME?</x:v>
      </x:c>
      <x:c r="Z558" s="146" t="e">
        <x:f>IF($A558="","",[1]!thsiFinD("ths_adjustment_nv_fund",Z$3,$A558))</x:f>
        <x:v>#NAME?</x:v>
      </x:c>
      <x:c r="AA558" s="146" t="e">
        <x:f>IF($A558="","",[1]!thsiFinD("ths_adjustment_nv_fund",AA$3,$A558))</x:f>
        <x:v>#NAME?</x:v>
      </x:c>
    </x:row>
    <x:row r="559">
      <x:c r="B559" s="146" t="e">
        <x:f>IF($A559="","",[1]!thsiFinD("ths_adjustment_nv_fund",B$3,$A559))</x:f>
        <x:v>#NAME?</x:v>
      </x:c>
      <x:c r="C559" s="146" t="e">
        <x:f>IF($A559="","",[1]!thsiFinD("ths_adjustment_nv_fund",C$3,$A559))</x:f>
        <x:v>#NAME?</x:v>
      </x:c>
      <x:c r="D559" s="146" t="e">
        <x:f>IF($A559="","",[1]!thsiFinD("ths_adjustment_nv_fund",D$3,$A559))</x:f>
        <x:v>#NAME?</x:v>
      </x:c>
      <x:c r="E559" s="146" t="e">
        <x:f>IF($A559="","",[1]!thsiFinD("ths_adjustment_nv_fund",E$3,$A559))</x:f>
        <x:v>#NAME?</x:v>
      </x:c>
      <x:c r="F559" s="146" t="e">
        <x:f>IF($A559="","",[1]!thsiFinD("ths_adjustment_nv_fund",F$3,$A559))</x:f>
        <x:v>#NAME?</x:v>
      </x:c>
      <x:c r="G559" s="146" t="e">
        <x:f>IF($A559="","",[1]!thsiFinD("ths_adjustment_nv_fund",G$3,$A559))</x:f>
        <x:v>#NAME?</x:v>
      </x:c>
      <x:c r="H559" s="146" t="e">
        <x:f>IF($A559="","",[1]!thsiFinD("ths_adjustment_nv_fund",H$3,$A559))</x:f>
        <x:v>#NAME?</x:v>
      </x:c>
      <x:c r="I559" s="146" t="e">
        <x:f>IF($A559="","",[1]!thsiFinD("ths_adjustment_nv_fund",I$3,$A559))</x:f>
        <x:v>#NAME?</x:v>
      </x:c>
      <x:c r="J559" s="146" t="e">
        <x:f>IF($A559="","",[1]!thsiFinD("ths_adjustment_nv_fund",J$3,$A559))</x:f>
        <x:v>#NAME?</x:v>
      </x:c>
      <x:c r="K559" s="146" t="e">
        <x:f>IF($A559="","",[1]!thsiFinD("ths_adjustment_nv_fund",K$3,$A559))</x:f>
        <x:v>#NAME?</x:v>
      </x:c>
      <x:c r="L559" s="146" t="e">
        <x:f>IF($A559="","",[1]!thsiFinD("ths_adjustment_nv_fund",L$3,$A559))</x:f>
        <x:v>#NAME?</x:v>
      </x:c>
      <x:c r="M559" s="146" t="e">
        <x:f>IF($A559="","",[1]!thsiFinD("ths_adjustment_nv_fund",M$3,$A559))</x:f>
        <x:v>#NAME?</x:v>
      </x:c>
      <x:c r="N559" s="146" t="e">
        <x:f>IF($A559="","",[1]!thsiFinD("ths_adjustment_nv_fund",N$3,$A559))</x:f>
        <x:v>#NAME?</x:v>
      </x:c>
      <x:c r="O559" s="146" t="e">
        <x:f>IF($A559="","",[1]!thsiFinD("ths_adjustment_nv_fund",O$3,$A559))</x:f>
        <x:v>#NAME?</x:v>
      </x:c>
      <x:c r="P559" s="146" t="e">
        <x:f>IF($A559="","",[1]!thsiFinD("ths_adjustment_nv_fund",P$3,$A559))</x:f>
        <x:v>#NAME?</x:v>
      </x:c>
      <x:c r="Q559" s="146" t="e">
        <x:f>IF($A559="","",[1]!thsiFinD("ths_adjustment_nv_fund",Q$3,$A559))</x:f>
        <x:v>#NAME?</x:v>
      </x:c>
      <x:c r="R559" s="146" t="e">
        <x:f>IF($A559="","",[1]!thsiFinD("ths_adjustment_nv_fund",R$3,$A559))</x:f>
        <x:v>#NAME?</x:v>
      </x:c>
      <x:c r="S559" s="146" t="e">
        <x:f>IF($A559="","",[1]!thsiFinD("ths_adjustment_nv_fund",S$3,$A559))</x:f>
        <x:v>#NAME?</x:v>
      </x:c>
      <x:c r="T559" s="146" t="e">
        <x:f>IF($A559="","",[1]!thsiFinD("ths_adjustment_nv_fund",T$3,$A559))</x:f>
        <x:v>#NAME?</x:v>
      </x:c>
      <x:c r="U559" s="146" t="e">
        <x:f>IF($A559="","",[1]!thsiFinD("ths_adjustment_nv_fund",U$3,$A559))</x:f>
        <x:v>#NAME?</x:v>
      </x:c>
      <x:c r="V559" s="146" t="e">
        <x:f>IF($A559="","",[1]!thsiFinD("ths_adjustment_nv_fund",V$3,$A559))</x:f>
        <x:v>#NAME?</x:v>
      </x:c>
      <x:c r="W559" s="146" t="e">
        <x:f>IF($A559="","",[1]!thsiFinD("ths_adjustment_nv_fund",W$3,$A559))</x:f>
        <x:v>#NAME?</x:v>
      </x:c>
      <x:c r="X559" s="146" t="e">
        <x:f>IF($A559="","",[1]!thsiFinD("ths_adjustment_nv_fund",X$3,$A559))</x:f>
        <x:v>#NAME?</x:v>
      </x:c>
      <x:c r="Y559" s="146" t="e">
        <x:f>IF($A559="","",[1]!thsiFinD("ths_adjustment_nv_fund",Y$3,$A559))</x:f>
        <x:v>#NAME?</x:v>
      </x:c>
      <x:c r="Z559" s="146" t="e">
        <x:f>IF($A559="","",[1]!thsiFinD("ths_adjustment_nv_fund",Z$3,$A559))</x:f>
        <x:v>#NAME?</x:v>
      </x:c>
      <x:c r="AA559" s="146" t="e">
        <x:f>IF($A559="","",[1]!thsiFinD("ths_adjustment_nv_fund",AA$3,$A559))</x:f>
        <x:v>#NAME?</x:v>
      </x:c>
    </x:row>
    <x:row r="560">
      <x:c r="B560" s="146" t="e">
        <x:f>IF($A560="","",[1]!thsiFinD("ths_adjustment_nv_fund",B$3,$A560))</x:f>
        <x:v>#NAME?</x:v>
      </x:c>
      <x:c r="C560" s="146" t="e">
        <x:f>IF($A560="","",[1]!thsiFinD("ths_adjustment_nv_fund",C$3,$A560))</x:f>
        <x:v>#NAME?</x:v>
      </x:c>
      <x:c r="D560" s="146" t="e">
        <x:f>IF($A560="","",[1]!thsiFinD("ths_adjustment_nv_fund",D$3,$A560))</x:f>
        <x:v>#NAME?</x:v>
      </x:c>
      <x:c r="E560" s="146" t="e">
        <x:f>IF($A560="","",[1]!thsiFinD("ths_adjustment_nv_fund",E$3,$A560))</x:f>
        <x:v>#NAME?</x:v>
      </x:c>
      <x:c r="F560" s="146" t="e">
        <x:f>IF($A560="","",[1]!thsiFinD("ths_adjustment_nv_fund",F$3,$A560))</x:f>
        <x:v>#NAME?</x:v>
      </x:c>
      <x:c r="G560" s="146" t="e">
        <x:f>IF($A560="","",[1]!thsiFinD("ths_adjustment_nv_fund",G$3,$A560))</x:f>
        <x:v>#NAME?</x:v>
      </x:c>
      <x:c r="H560" s="146" t="e">
        <x:f>IF($A560="","",[1]!thsiFinD("ths_adjustment_nv_fund",H$3,$A560))</x:f>
        <x:v>#NAME?</x:v>
      </x:c>
      <x:c r="I560" s="146" t="e">
        <x:f>IF($A560="","",[1]!thsiFinD("ths_adjustment_nv_fund",I$3,$A560))</x:f>
        <x:v>#NAME?</x:v>
      </x:c>
      <x:c r="J560" s="146" t="e">
        <x:f>IF($A560="","",[1]!thsiFinD("ths_adjustment_nv_fund",J$3,$A560))</x:f>
        <x:v>#NAME?</x:v>
      </x:c>
      <x:c r="K560" s="146" t="e">
        <x:f>IF($A560="","",[1]!thsiFinD("ths_adjustment_nv_fund",K$3,$A560))</x:f>
        <x:v>#NAME?</x:v>
      </x:c>
      <x:c r="L560" s="146" t="e">
        <x:f>IF($A560="","",[1]!thsiFinD("ths_adjustment_nv_fund",L$3,$A560))</x:f>
        <x:v>#NAME?</x:v>
      </x:c>
      <x:c r="M560" s="146" t="e">
        <x:f>IF($A560="","",[1]!thsiFinD("ths_adjustment_nv_fund",M$3,$A560))</x:f>
        <x:v>#NAME?</x:v>
      </x:c>
      <x:c r="N560" s="146" t="e">
        <x:f>IF($A560="","",[1]!thsiFinD("ths_adjustment_nv_fund",N$3,$A560))</x:f>
        <x:v>#NAME?</x:v>
      </x:c>
      <x:c r="O560" s="146" t="e">
        <x:f>IF($A560="","",[1]!thsiFinD("ths_adjustment_nv_fund",O$3,$A560))</x:f>
        <x:v>#NAME?</x:v>
      </x:c>
      <x:c r="P560" s="146" t="e">
        <x:f>IF($A560="","",[1]!thsiFinD("ths_adjustment_nv_fund",P$3,$A560))</x:f>
        <x:v>#NAME?</x:v>
      </x:c>
      <x:c r="Q560" s="146" t="e">
        <x:f>IF($A560="","",[1]!thsiFinD("ths_adjustment_nv_fund",Q$3,$A560))</x:f>
        <x:v>#NAME?</x:v>
      </x:c>
      <x:c r="R560" s="146" t="e">
        <x:f>IF($A560="","",[1]!thsiFinD("ths_adjustment_nv_fund",R$3,$A560))</x:f>
        <x:v>#NAME?</x:v>
      </x:c>
      <x:c r="S560" s="146" t="e">
        <x:f>IF($A560="","",[1]!thsiFinD("ths_adjustment_nv_fund",S$3,$A560))</x:f>
        <x:v>#NAME?</x:v>
      </x:c>
      <x:c r="T560" s="146" t="e">
        <x:f>IF($A560="","",[1]!thsiFinD("ths_adjustment_nv_fund",T$3,$A560))</x:f>
        <x:v>#NAME?</x:v>
      </x:c>
      <x:c r="U560" s="146" t="e">
        <x:f>IF($A560="","",[1]!thsiFinD("ths_adjustment_nv_fund",U$3,$A560))</x:f>
        <x:v>#NAME?</x:v>
      </x:c>
      <x:c r="V560" s="146" t="e">
        <x:f>IF($A560="","",[1]!thsiFinD("ths_adjustment_nv_fund",V$3,$A560))</x:f>
        <x:v>#NAME?</x:v>
      </x:c>
      <x:c r="W560" s="146" t="e">
        <x:f>IF($A560="","",[1]!thsiFinD("ths_adjustment_nv_fund",W$3,$A560))</x:f>
        <x:v>#NAME?</x:v>
      </x:c>
      <x:c r="X560" s="146" t="e">
        <x:f>IF($A560="","",[1]!thsiFinD("ths_adjustment_nv_fund",X$3,$A560))</x:f>
        <x:v>#NAME?</x:v>
      </x:c>
      <x:c r="Y560" s="146" t="e">
        <x:f>IF($A560="","",[1]!thsiFinD("ths_adjustment_nv_fund",Y$3,$A560))</x:f>
        <x:v>#NAME?</x:v>
      </x:c>
      <x:c r="Z560" s="146" t="e">
        <x:f>IF($A560="","",[1]!thsiFinD("ths_adjustment_nv_fund",Z$3,$A560))</x:f>
        <x:v>#NAME?</x:v>
      </x:c>
      <x:c r="AA560" s="146" t="e">
        <x:f>IF($A560="","",[1]!thsiFinD("ths_adjustment_nv_fund",AA$3,$A560))</x:f>
        <x:v>#NAME?</x:v>
      </x:c>
    </x:row>
    <x:row r="561">
      <x:c r="B561" s="146" t="e">
        <x:f>IF($A561="","",[1]!thsiFinD("ths_adjustment_nv_fund",B$3,$A561))</x:f>
        <x:v>#NAME?</x:v>
      </x:c>
      <x:c r="C561" s="146" t="e">
        <x:f>IF($A561="","",[1]!thsiFinD("ths_adjustment_nv_fund",C$3,$A561))</x:f>
        <x:v>#NAME?</x:v>
      </x:c>
      <x:c r="D561" s="146" t="e">
        <x:f>IF($A561="","",[1]!thsiFinD("ths_adjustment_nv_fund",D$3,$A561))</x:f>
        <x:v>#NAME?</x:v>
      </x:c>
      <x:c r="E561" s="146" t="e">
        <x:f>IF($A561="","",[1]!thsiFinD("ths_adjustment_nv_fund",E$3,$A561))</x:f>
        <x:v>#NAME?</x:v>
      </x:c>
      <x:c r="F561" s="146" t="e">
        <x:f>IF($A561="","",[1]!thsiFinD("ths_adjustment_nv_fund",F$3,$A561))</x:f>
        <x:v>#NAME?</x:v>
      </x:c>
      <x:c r="G561" s="146" t="e">
        <x:f>IF($A561="","",[1]!thsiFinD("ths_adjustment_nv_fund",G$3,$A561))</x:f>
        <x:v>#NAME?</x:v>
      </x:c>
      <x:c r="H561" s="146" t="e">
        <x:f>IF($A561="","",[1]!thsiFinD("ths_adjustment_nv_fund",H$3,$A561))</x:f>
        <x:v>#NAME?</x:v>
      </x:c>
      <x:c r="I561" s="146" t="e">
        <x:f>IF($A561="","",[1]!thsiFinD("ths_adjustment_nv_fund",I$3,$A561))</x:f>
        <x:v>#NAME?</x:v>
      </x:c>
      <x:c r="J561" s="146" t="e">
        <x:f>IF($A561="","",[1]!thsiFinD("ths_adjustment_nv_fund",J$3,$A561))</x:f>
        <x:v>#NAME?</x:v>
      </x:c>
      <x:c r="K561" s="146" t="e">
        <x:f>IF($A561="","",[1]!thsiFinD("ths_adjustment_nv_fund",K$3,$A561))</x:f>
        <x:v>#NAME?</x:v>
      </x:c>
      <x:c r="L561" s="146" t="e">
        <x:f>IF($A561="","",[1]!thsiFinD("ths_adjustment_nv_fund",L$3,$A561))</x:f>
        <x:v>#NAME?</x:v>
      </x:c>
      <x:c r="M561" s="146" t="e">
        <x:f>IF($A561="","",[1]!thsiFinD("ths_adjustment_nv_fund",M$3,$A561))</x:f>
        <x:v>#NAME?</x:v>
      </x:c>
      <x:c r="N561" s="146" t="e">
        <x:f>IF($A561="","",[1]!thsiFinD("ths_adjustment_nv_fund",N$3,$A561))</x:f>
        <x:v>#NAME?</x:v>
      </x:c>
      <x:c r="O561" s="146" t="e">
        <x:f>IF($A561="","",[1]!thsiFinD("ths_adjustment_nv_fund",O$3,$A561))</x:f>
        <x:v>#NAME?</x:v>
      </x:c>
      <x:c r="P561" s="146" t="e">
        <x:f>IF($A561="","",[1]!thsiFinD("ths_adjustment_nv_fund",P$3,$A561))</x:f>
        <x:v>#NAME?</x:v>
      </x:c>
      <x:c r="Q561" s="146" t="e">
        <x:f>IF($A561="","",[1]!thsiFinD("ths_adjustment_nv_fund",Q$3,$A561))</x:f>
        <x:v>#NAME?</x:v>
      </x:c>
      <x:c r="R561" s="146" t="e">
        <x:f>IF($A561="","",[1]!thsiFinD("ths_adjustment_nv_fund",R$3,$A561))</x:f>
        <x:v>#NAME?</x:v>
      </x:c>
      <x:c r="S561" s="146" t="e">
        <x:f>IF($A561="","",[1]!thsiFinD("ths_adjustment_nv_fund",S$3,$A561))</x:f>
        <x:v>#NAME?</x:v>
      </x:c>
      <x:c r="T561" s="146" t="e">
        <x:f>IF($A561="","",[1]!thsiFinD("ths_adjustment_nv_fund",T$3,$A561))</x:f>
        <x:v>#NAME?</x:v>
      </x:c>
      <x:c r="U561" s="146" t="e">
        <x:f>IF($A561="","",[1]!thsiFinD("ths_adjustment_nv_fund",U$3,$A561))</x:f>
        <x:v>#NAME?</x:v>
      </x:c>
      <x:c r="V561" s="146" t="e">
        <x:f>IF($A561="","",[1]!thsiFinD("ths_adjustment_nv_fund",V$3,$A561))</x:f>
        <x:v>#NAME?</x:v>
      </x:c>
      <x:c r="W561" s="146" t="e">
        <x:f>IF($A561="","",[1]!thsiFinD("ths_adjustment_nv_fund",W$3,$A561))</x:f>
        <x:v>#NAME?</x:v>
      </x:c>
      <x:c r="X561" s="146" t="e">
        <x:f>IF($A561="","",[1]!thsiFinD("ths_adjustment_nv_fund",X$3,$A561))</x:f>
        <x:v>#NAME?</x:v>
      </x:c>
      <x:c r="Y561" s="146" t="e">
        <x:f>IF($A561="","",[1]!thsiFinD("ths_adjustment_nv_fund",Y$3,$A561))</x:f>
        <x:v>#NAME?</x:v>
      </x:c>
      <x:c r="Z561" s="146" t="e">
        <x:f>IF($A561="","",[1]!thsiFinD("ths_adjustment_nv_fund",Z$3,$A561))</x:f>
        <x:v>#NAME?</x:v>
      </x:c>
      <x:c r="AA561" s="146" t="e">
        <x:f>IF($A561="","",[1]!thsiFinD("ths_adjustment_nv_fund",AA$3,$A561))</x:f>
        <x:v>#NAME?</x:v>
      </x:c>
    </x:row>
    <x:row r="562">
      <x:c r="B562" s="146" t="e">
        <x:f>IF($A562="","",[1]!thsiFinD("ths_adjustment_nv_fund",B$3,$A562))</x:f>
        <x:v>#NAME?</x:v>
      </x:c>
      <x:c r="C562" s="146" t="e">
        <x:f>IF($A562="","",[1]!thsiFinD("ths_adjustment_nv_fund",C$3,$A562))</x:f>
        <x:v>#NAME?</x:v>
      </x:c>
      <x:c r="D562" s="146" t="e">
        <x:f>IF($A562="","",[1]!thsiFinD("ths_adjustment_nv_fund",D$3,$A562))</x:f>
        <x:v>#NAME?</x:v>
      </x:c>
      <x:c r="E562" s="146" t="e">
        <x:f>IF($A562="","",[1]!thsiFinD("ths_adjustment_nv_fund",E$3,$A562))</x:f>
        <x:v>#NAME?</x:v>
      </x:c>
      <x:c r="F562" s="146" t="e">
        <x:f>IF($A562="","",[1]!thsiFinD("ths_adjustment_nv_fund",F$3,$A562))</x:f>
        <x:v>#NAME?</x:v>
      </x:c>
      <x:c r="G562" s="146" t="e">
        <x:f>IF($A562="","",[1]!thsiFinD("ths_adjustment_nv_fund",G$3,$A562))</x:f>
        <x:v>#NAME?</x:v>
      </x:c>
      <x:c r="H562" s="146" t="e">
        <x:f>IF($A562="","",[1]!thsiFinD("ths_adjustment_nv_fund",H$3,$A562))</x:f>
        <x:v>#NAME?</x:v>
      </x:c>
      <x:c r="I562" s="146" t="e">
        <x:f>IF($A562="","",[1]!thsiFinD("ths_adjustment_nv_fund",I$3,$A562))</x:f>
        <x:v>#NAME?</x:v>
      </x:c>
      <x:c r="J562" s="146" t="e">
        <x:f>IF($A562="","",[1]!thsiFinD("ths_adjustment_nv_fund",J$3,$A562))</x:f>
        <x:v>#NAME?</x:v>
      </x:c>
      <x:c r="K562" s="146" t="e">
        <x:f>IF($A562="","",[1]!thsiFinD("ths_adjustment_nv_fund",K$3,$A562))</x:f>
        <x:v>#NAME?</x:v>
      </x:c>
      <x:c r="L562" s="146" t="e">
        <x:f>IF($A562="","",[1]!thsiFinD("ths_adjustment_nv_fund",L$3,$A562))</x:f>
        <x:v>#NAME?</x:v>
      </x:c>
      <x:c r="M562" s="146" t="e">
        <x:f>IF($A562="","",[1]!thsiFinD("ths_adjustment_nv_fund",M$3,$A562))</x:f>
        <x:v>#NAME?</x:v>
      </x:c>
      <x:c r="N562" s="146" t="e">
        <x:f>IF($A562="","",[1]!thsiFinD("ths_adjustment_nv_fund",N$3,$A562))</x:f>
        <x:v>#NAME?</x:v>
      </x:c>
      <x:c r="O562" s="146" t="e">
        <x:f>IF($A562="","",[1]!thsiFinD("ths_adjustment_nv_fund",O$3,$A562))</x:f>
        <x:v>#NAME?</x:v>
      </x:c>
      <x:c r="P562" s="146" t="e">
        <x:f>IF($A562="","",[1]!thsiFinD("ths_adjustment_nv_fund",P$3,$A562))</x:f>
        <x:v>#NAME?</x:v>
      </x:c>
      <x:c r="Q562" s="146" t="e">
        <x:f>IF($A562="","",[1]!thsiFinD("ths_adjustment_nv_fund",Q$3,$A562))</x:f>
        <x:v>#NAME?</x:v>
      </x:c>
      <x:c r="R562" s="146" t="e">
        <x:f>IF($A562="","",[1]!thsiFinD("ths_adjustment_nv_fund",R$3,$A562))</x:f>
        <x:v>#NAME?</x:v>
      </x:c>
      <x:c r="S562" s="146" t="e">
        <x:f>IF($A562="","",[1]!thsiFinD("ths_adjustment_nv_fund",S$3,$A562))</x:f>
        <x:v>#NAME?</x:v>
      </x:c>
      <x:c r="T562" s="146" t="e">
        <x:f>IF($A562="","",[1]!thsiFinD("ths_adjustment_nv_fund",T$3,$A562))</x:f>
        <x:v>#NAME?</x:v>
      </x:c>
      <x:c r="U562" s="146" t="e">
        <x:f>IF($A562="","",[1]!thsiFinD("ths_adjustment_nv_fund",U$3,$A562))</x:f>
        <x:v>#NAME?</x:v>
      </x:c>
      <x:c r="V562" s="146" t="e">
        <x:f>IF($A562="","",[1]!thsiFinD("ths_adjustment_nv_fund",V$3,$A562))</x:f>
        <x:v>#NAME?</x:v>
      </x:c>
      <x:c r="W562" s="146" t="e">
        <x:f>IF($A562="","",[1]!thsiFinD("ths_adjustment_nv_fund",W$3,$A562))</x:f>
        <x:v>#NAME?</x:v>
      </x:c>
      <x:c r="X562" s="146" t="e">
        <x:f>IF($A562="","",[1]!thsiFinD("ths_adjustment_nv_fund",X$3,$A562))</x:f>
        <x:v>#NAME?</x:v>
      </x:c>
      <x:c r="Y562" s="146" t="e">
        <x:f>IF($A562="","",[1]!thsiFinD("ths_adjustment_nv_fund",Y$3,$A562))</x:f>
        <x:v>#NAME?</x:v>
      </x:c>
      <x:c r="Z562" s="146" t="e">
        <x:f>IF($A562="","",[1]!thsiFinD("ths_adjustment_nv_fund",Z$3,$A562))</x:f>
        <x:v>#NAME?</x:v>
      </x:c>
      <x:c r="AA562" s="146" t="e">
        <x:f>IF($A562="","",[1]!thsiFinD("ths_adjustment_nv_fund",AA$3,$A562))</x:f>
        <x:v>#NAME?</x:v>
      </x:c>
    </x:row>
    <x:row r="563">
      <x:c r="B563" s="146" t="e">
        <x:f>IF($A563="","",[1]!thsiFinD("ths_adjustment_nv_fund",B$3,$A563))</x:f>
        <x:v>#NAME?</x:v>
      </x:c>
      <x:c r="C563" s="146" t="e">
        <x:f>IF($A563="","",[1]!thsiFinD("ths_adjustment_nv_fund",C$3,$A563))</x:f>
        <x:v>#NAME?</x:v>
      </x:c>
      <x:c r="D563" s="146" t="e">
        <x:f>IF($A563="","",[1]!thsiFinD("ths_adjustment_nv_fund",D$3,$A563))</x:f>
        <x:v>#NAME?</x:v>
      </x:c>
      <x:c r="E563" s="146" t="e">
        <x:f>IF($A563="","",[1]!thsiFinD("ths_adjustment_nv_fund",E$3,$A563))</x:f>
        <x:v>#NAME?</x:v>
      </x:c>
      <x:c r="F563" s="146" t="e">
        <x:f>IF($A563="","",[1]!thsiFinD("ths_adjustment_nv_fund",F$3,$A563))</x:f>
        <x:v>#NAME?</x:v>
      </x:c>
      <x:c r="G563" s="146" t="e">
        <x:f>IF($A563="","",[1]!thsiFinD("ths_adjustment_nv_fund",G$3,$A563))</x:f>
        <x:v>#NAME?</x:v>
      </x:c>
      <x:c r="H563" s="146" t="e">
        <x:f>IF($A563="","",[1]!thsiFinD("ths_adjustment_nv_fund",H$3,$A563))</x:f>
        <x:v>#NAME?</x:v>
      </x:c>
      <x:c r="I563" s="146" t="e">
        <x:f>IF($A563="","",[1]!thsiFinD("ths_adjustment_nv_fund",I$3,$A563))</x:f>
        <x:v>#NAME?</x:v>
      </x:c>
      <x:c r="J563" s="146" t="e">
        <x:f>IF($A563="","",[1]!thsiFinD("ths_adjustment_nv_fund",J$3,$A563))</x:f>
        <x:v>#NAME?</x:v>
      </x:c>
      <x:c r="K563" s="146" t="e">
        <x:f>IF($A563="","",[1]!thsiFinD("ths_adjustment_nv_fund",K$3,$A563))</x:f>
        <x:v>#NAME?</x:v>
      </x:c>
      <x:c r="L563" s="146" t="e">
        <x:f>IF($A563="","",[1]!thsiFinD("ths_adjustment_nv_fund",L$3,$A563))</x:f>
        <x:v>#NAME?</x:v>
      </x:c>
      <x:c r="M563" s="146" t="e">
        <x:f>IF($A563="","",[1]!thsiFinD("ths_adjustment_nv_fund",M$3,$A563))</x:f>
        <x:v>#NAME?</x:v>
      </x:c>
      <x:c r="N563" s="146" t="e">
        <x:f>IF($A563="","",[1]!thsiFinD("ths_adjustment_nv_fund",N$3,$A563))</x:f>
        <x:v>#NAME?</x:v>
      </x:c>
      <x:c r="O563" s="146" t="e">
        <x:f>IF($A563="","",[1]!thsiFinD("ths_adjustment_nv_fund",O$3,$A563))</x:f>
        <x:v>#NAME?</x:v>
      </x:c>
      <x:c r="P563" s="146" t="e">
        <x:f>IF($A563="","",[1]!thsiFinD("ths_adjustment_nv_fund",P$3,$A563))</x:f>
        <x:v>#NAME?</x:v>
      </x:c>
      <x:c r="Q563" s="146" t="e">
        <x:f>IF($A563="","",[1]!thsiFinD("ths_adjustment_nv_fund",Q$3,$A563))</x:f>
        <x:v>#NAME?</x:v>
      </x:c>
      <x:c r="R563" s="146" t="e">
        <x:f>IF($A563="","",[1]!thsiFinD("ths_adjustment_nv_fund",R$3,$A563))</x:f>
        <x:v>#NAME?</x:v>
      </x:c>
      <x:c r="S563" s="146" t="e">
        <x:f>IF($A563="","",[1]!thsiFinD("ths_adjustment_nv_fund",S$3,$A563))</x:f>
        <x:v>#NAME?</x:v>
      </x:c>
      <x:c r="T563" s="146" t="e">
        <x:f>IF($A563="","",[1]!thsiFinD("ths_adjustment_nv_fund",T$3,$A563))</x:f>
        <x:v>#NAME?</x:v>
      </x:c>
      <x:c r="U563" s="146" t="e">
        <x:f>IF($A563="","",[1]!thsiFinD("ths_adjustment_nv_fund",U$3,$A563))</x:f>
        <x:v>#NAME?</x:v>
      </x:c>
      <x:c r="V563" s="146" t="e">
        <x:f>IF($A563="","",[1]!thsiFinD("ths_adjustment_nv_fund",V$3,$A563))</x:f>
        <x:v>#NAME?</x:v>
      </x:c>
      <x:c r="W563" s="146" t="e">
        <x:f>IF($A563="","",[1]!thsiFinD("ths_adjustment_nv_fund",W$3,$A563))</x:f>
        <x:v>#NAME?</x:v>
      </x:c>
      <x:c r="X563" s="146" t="e">
        <x:f>IF($A563="","",[1]!thsiFinD("ths_adjustment_nv_fund",X$3,$A563))</x:f>
        <x:v>#NAME?</x:v>
      </x:c>
      <x:c r="Y563" s="146" t="e">
        <x:f>IF($A563="","",[1]!thsiFinD("ths_adjustment_nv_fund",Y$3,$A563))</x:f>
        <x:v>#NAME?</x:v>
      </x:c>
      <x:c r="Z563" s="146" t="e">
        <x:f>IF($A563="","",[1]!thsiFinD("ths_adjustment_nv_fund",Z$3,$A563))</x:f>
        <x:v>#NAME?</x:v>
      </x:c>
      <x:c r="AA563" s="146" t="e">
        <x:f>IF($A563="","",[1]!thsiFinD("ths_adjustment_nv_fund",AA$3,$A563))</x:f>
        <x:v>#NAME?</x:v>
      </x:c>
    </x:row>
    <x:row r="564">
      <x:c r="B564" s="146" t="e">
        <x:f>IF($A564="","",[1]!thsiFinD("ths_adjustment_nv_fund",B$3,$A564))</x:f>
        <x:v>#NAME?</x:v>
      </x:c>
      <x:c r="C564" s="146" t="e">
        <x:f>IF($A564="","",[1]!thsiFinD("ths_adjustment_nv_fund",C$3,$A564))</x:f>
        <x:v>#NAME?</x:v>
      </x:c>
      <x:c r="D564" s="146" t="e">
        <x:f>IF($A564="","",[1]!thsiFinD("ths_adjustment_nv_fund",D$3,$A564))</x:f>
        <x:v>#NAME?</x:v>
      </x:c>
      <x:c r="E564" s="146" t="e">
        <x:f>IF($A564="","",[1]!thsiFinD("ths_adjustment_nv_fund",E$3,$A564))</x:f>
        <x:v>#NAME?</x:v>
      </x:c>
      <x:c r="F564" s="146" t="e">
        <x:f>IF($A564="","",[1]!thsiFinD("ths_adjustment_nv_fund",F$3,$A564))</x:f>
        <x:v>#NAME?</x:v>
      </x:c>
      <x:c r="G564" s="146" t="e">
        <x:f>IF($A564="","",[1]!thsiFinD("ths_adjustment_nv_fund",G$3,$A564))</x:f>
        <x:v>#NAME?</x:v>
      </x:c>
      <x:c r="H564" s="146" t="e">
        <x:f>IF($A564="","",[1]!thsiFinD("ths_adjustment_nv_fund",H$3,$A564))</x:f>
        <x:v>#NAME?</x:v>
      </x:c>
      <x:c r="I564" s="146" t="e">
        <x:f>IF($A564="","",[1]!thsiFinD("ths_adjustment_nv_fund",I$3,$A564))</x:f>
        <x:v>#NAME?</x:v>
      </x:c>
      <x:c r="J564" s="146" t="e">
        <x:f>IF($A564="","",[1]!thsiFinD("ths_adjustment_nv_fund",J$3,$A564))</x:f>
        <x:v>#NAME?</x:v>
      </x:c>
      <x:c r="K564" s="146" t="e">
        <x:f>IF($A564="","",[1]!thsiFinD("ths_adjustment_nv_fund",K$3,$A564))</x:f>
        <x:v>#NAME?</x:v>
      </x:c>
      <x:c r="L564" s="146" t="e">
        <x:f>IF($A564="","",[1]!thsiFinD("ths_adjustment_nv_fund",L$3,$A564))</x:f>
        <x:v>#NAME?</x:v>
      </x:c>
      <x:c r="M564" s="146" t="e">
        <x:f>IF($A564="","",[1]!thsiFinD("ths_adjustment_nv_fund",M$3,$A564))</x:f>
        <x:v>#NAME?</x:v>
      </x:c>
      <x:c r="N564" s="146" t="e">
        <x:f>IF($A564="","",[1]!thsiFinD("ths_adjustment_nv_fund",N$3,$A564))</x:f>
        <x:v>#NAME?</x:v>
      </x:c>
      <x:c r="O564" s="146" t="e">
        <x:f>IF($A564="","",[1]!thsiFinD("ths_adjustment_nv_fund",O$3,$A564))</x:f>
        <x:v>#NAME?</x:v>
      </x:c>
      <x:c r="P564" s="146" t="e">
        <x:f>IF($A564="","",[1]!thsiFinD("ths_adjustment_nv_fund",P$3,$A564))</x:f>
        <x:v>#NAME?</x:v>
      </x:c>
      <x:c r="Q564" s="146" t="e">
        <x:f>IF($A564="","",[1]!thsiFinD("ths_adjustment_nv_fund",Q$3,$A564))</x:f>
        <x:v>#NAME?</x:v>
      </x:c>
      <x:c r="R564" s="146" t="e">
        <x:f>IF($A564="","",[1]!thsiFinD("ths_adjustment_nv_fund",R$3,$A564))</x:f>
        <x:v>#NAME?</x:v>
      </x:c>
      <x:c r="S564" s="146" t="e">
        <x:f>IF($A564="","",[1]!thsiFinD("ths_adjustment_nv_fund",S$3,$A564))</x:f>
        <x:v>#NAME?</x:v>
      </x:c>
      <x:c r="T564" s="146" t="e">
        <x:f>IF($A564="","",[1]!thsiFinD("ths_adjustment_nv_fund",T$3,$A564))</x:f>
        <x:v>#NAME?</x:v>
      </x:c>
      <x:c r="U564" s="146" t="e">
        <x:f>IF($A564="","",[1]!thsiFinD("ths_adjustment_nv_fund",U$3,$A564))</x:f>
        <x:v>#NAME?</x:v>
      </x:c>
      <x:c r="V564" s="146" t="e">
        <x:f>IF($A564="","",[1]!thsiFinD("ths_adjustment_nv_fund",V$3,$A564))</x:f>
        <x:v>#NAME?</x:v>
      </x:c>
      <x:c r="W564" s="146" t="e">
        <x:f>IF($A564="","",[1]!thsiFinD("ths_adjustment_nv_fund",W$3,$A564))</x:f>
        <x:v>#NAME?</x:v>
      </x:c>
      <x:c r="X564" s="146" t="e">
        <x:f>IF($A564="","",[1]!thsiFinD("ths_adjustment_nv_fund",X$3,$A564))</x:f>
        <x:v>#NAME?</x:v>
      </x:c>
      <x:c r="Y564" s="146" t="e">
        <x:f>IF($A564="","",[1]!thsiFinD("ths_adjustment_nv_fund",Y$3,$A564))</x:f>
        <x:v>#NAME?</x:v>
      </x:c>
      <x:c r="Z564" s="146" t="e">
        <x:f>IF($A564="","",[1]!thsiFinD("ths_adjustment_nv_fund",Z$3,$A564))</x:f>
        <x:v>#NAME?</x:v>
      </x:c>
      <x:c r="AA564" s="146" t="e">
        <x:f>IF($A564="","",[1]!thsiFinD("ths_adjustment_nv_fund",AA$3,$A564))</x:f>
        <x:v>#NAME?</x:v>
      </x:c>
    </x:row>
    <x:row r="565">
      <x:c r="B565" s="146" t="e">
        <x:f>IF($A565="","",[1]!thsiFinD("ths_adjustment_nv_fund",B$3,$A565))</x:f>
        <x:v>#NAME?</x:v>
      </x:c>
      <x:c r="C565" s="146" t="e">
        <x:f>IF($A565="","",[1]!thsiFinD("ths_adjustment_nv_fund",C$3,$A565))</x:f>
        <x:v>#NAME?</x:v>
      </x:c>
      <x:c r="D565" s="146" t="e">
        <x:f>IF($A565="","",[1]!thsiFinD("ths_adjustment_nv_fund",D$3,$A565))</x:f>
        <x:v>#NAME?</x:v>
      </x:c>
      <x:c r="E565" s="146" t="e">
        <x:f>IF($A565="","",[1]!thsiFinD("ths_adjustment_nv_fund",E$3,$A565))</x:f>
        <x:v>#NAME?</x:v>
      </x:c>
      <x:c r="F565" s="146" t="e">
        <x:f>IF($A565="","",[1]!thsiFinD("ths_adjustment_nv_fund",F$3,$A565))</x:f>
        <x:v>#NAME?</x:v>
      </x:c>
      <x:c r="G565" s="146" t="e">
        <x:f>IF($A565="","",[1]!thsiFinD("ths_adjustment_nv_fund",G$3,$A565))</x:f>
        <x:v>#NAME?</x:v>
      </x:c>
      <x:c r="H565" s="146" t="e">
        <x:f>IF($A565="","",[1]!thsiFinD("ths_adjustment_nv_fund",H$3,$A565))</x:f>
        <x:v>#NAME?</x:v>
      </x:c>
      <x:c r="I565" s="146" t="e">
        <x:f>IF($A565="","",[1]!thsiFinD("ths_adjustment_nv_fund",I$3,$A565))</x:f>
        <x:v>#NAME?</x:v>
      </x:c>
      <x:c r="J565" s="146" t="e">
        <x:f>IF($A565="","",[1]!thsiFinD("ths_adjustment_nv_fund",J$3,$A565))</x:f>
        <x:v>#NAME?</x:v>
      </x:c>
      <x:c r="K565" s="146" t="e">
        <x:f>IF($A565="","",[1]!thsiFinD("ths_adjustment_nv_fund",K$3,$A565))</x:f>
        <x:v>#NAME?</x:v>
      </x:c>
      <x:c r="L565" s="146" t="e">
        <x:f>IF($A565="","",[1]!thsiFinD("ths_adjustment_nv_fund",L$3,$A565))</x:f>
        <x:v>#NAME?</x:v>
      </x:c>
      <x:c r="M565" s="146" t="e">
        <x:f>IF($A565="","",[1]!thsiFinD("ths_adjustment_nv_fund",M$3,$A565))</x:f>
        <x:v>#NAME?</x:v>
      </x:c>
      <x:c r="N565" s="146" t="e">
        <x:f>IF($A565="","",[1]!thsiFinD("ths_adjustment_nv_fund",N$3,$A565))</x:f>
        <x:v>#NAME?</x:v>
      </x:c>
      <x:c r="O565" s="146" t="e">
        <x:f>IF($A565="","",[1]!thsiFinD("ths_adjustment_nv_fund",O$3,$A565))</x:f>
        <x:v>#NAME?</x:v>
      </x:c>
      <x:c r="P565" s="146" t="e">
        <x:f>IF($A565="","",[1]!thsiFinD("ths_adjustment_nv_fund",P$3,$A565))</x:f>
        <x:v>#NAME?</x:v>
      </x:c>
      <x:c r="Q565" s="146" t="e">
        <x:f>IF($A565="","",[1]!thsiFinD("ths_adjustment_nv_fund",Q$3,$A565))</x:f>
        <x:v>#NAME?</x:v>
      </x:c>
      <x:c r="R565" s="146" t="e">
        <x:f>IF($A565="","",[1]!thsiFinD("ths_adjustment_nv_fund",R$3,$A565))</x:f>
        <x:v>#NAME?</x:v>
      </x:c>
      <x:c r="S565" s="146" t="e">
        <x:f>IF($A565="","",[1]!thsiFinD("ths_adjustment_nv_fund",S$3,$A565))</x:f>
        <x:v>#NAME?</x:v>
      </x:c>
      <x:c r="T565" s="146" t="e">
        <x:f>IF($A565="","",[1]!thsiFinD("ths_adjustment_nv_fund",T$3,$A565))</x:f>
        <x:v>#NAME?</x:v>
      </x:c>
      <x:c r="U565" s="146" t="e">
        <x:f>IF($A565="","",[1]!thsiFinD("ths_adjustment_nv_fund",U$3,$A565))</x:f>
        <x:v>#NAME?</x:v>
      </x:c>
      <x:c r="V565" s="146" t="e">
        <x:f>IF($A565="","",[1]!thsiFinD("ths_adjustment_nv_fund",V$3,$A565))</x:f>
        <x:v>#NAME?</x:v>
      </x:c>
      <x:c r="W565" s="146" t="e">
        <x:f>IF($A565="","",[1]!thsiFinD("ths_adjustment_nv_fund",W$3,$A565))</x:f>
        <x:v>#NAME?</x:v>
      </x:c>
      <x:c r="X565" s="146" t="e">
        <x:f>IF($A565="","",[1]!thsiFinD("ths_adjustment_nv_fund",X$3,$A565))</x:f>
        <x:v>#NAME?</x:v>
      </x:c>
      <x:c r="Y565" s="146" t="e">
        <x:f>IF($A565="","",[1]!thsiFinD("ths_adjustment_nv_fund",Y$3,$A565))</x:f>
        <x:v>#NAME?</x:v>
      </x:c>
      <x:c r="Z565" s="146" t="e">
        <x:f>IF($A565="","",[1]!thsiFinD("ths_adjustment_nv_fund",Z$3,$A565))</x:f>
        <x:v>#NAME?</x:v>
      </x:c>
      <x:c r="AA565" s="146" t="e">
        <x:f>IF($A565="","",[1]!thsiFinD("ths_adjustment_nv_fund",AA$3,$A565))</x:f>
        <x:v>#NAME?</x:v>
      </x:c>
    </x:row>
    <x:row r="566">
      <x:c r="B566" s="146" t="e">
        <x:f>IF($A566="","",[1]!thsiFinD("ths_adjustment_nv_fund",B$3,$A566))</x:f>
        <x:v>#NAME?</x:v>
      </x:c>
      <x:c r="C566" s="146" t="e">
        <x:f>IF($A566="","",[1]!thsiFinD("ths_adjustment_nv_fund",C$3,$A566))</x:f>
        <x:v>#NAME?</x:v>
      </x:c>
      <x:c r="D566" s="146" t="e">
        <x:f>IF($A566="","",[1]!thsiFinD("ths_adjustment_nv_fund",D$3,$A566))</x:f>
        <x:v>#NAME?</x:v>
      </x:c>
      <x:c r="E566" s="146" t="e">
        <x:f>IF($A566="","",[1]!thsiFinD("ths_adjustment_nv_fund",E$3,$A566))</x:f>
        <x:v>#NAME?</x:v>
      </x:c>
      <x:c r="F566" s="146" t="e">
        <x:f>IF($A566="","",[1]!thsiFinD("ths_adjustment_nv_fund",F$3,$A566))</x:f>
        <x:v>#NAME?</x:v>
      </x:c>
      <x:c r="G566" s="146" t="e">
        <x:f>IF($A566="","",[1]!thsiFinD("ths_adjustment_nv_fund",G$3,$A566))</x:f>
        <x:v>#NAME?</x:v>
      </x:c>
      <x:c r="H566" s="146" t="e">
        <x:f>IF($A566="","",[1]!thsiFinD("ths_adjustment_nv_fund",H$3,$A566))</x:f>
        <x:v>#NAME?</x:v>
      </x:c>
      <x:c r="I566" s="146" t="e">
        <x:f>IF($A566="","",[1]!thsiFinD("ths_adjustment_nv_fund",I$3,$A566))</x:f>
        <x:v>#NAME?</x:v>
      </x:c>
      <x:c r="J566" s="146" t="e">
        <x:f>IF($A566="","",[1]!thsiFinD("ths_adjustment_nv_fund",J$3,$A566))</x:f>
        <x:v>#NAME?</x:v>
      </x:c>
      <x:c r="K566" s="146" t="e">
        <x:f>IF($A566="","",[1]!thsiFinD("ths_adjustment_nv_fund",K$3,$A566))</x:f>
        <x:v>#NAME?</x:v>
      </x:c>
      <x:c r="L566" s="146" t="e">
        <x:f>IF($A566="","",[1]!thsiFinD("ths_adjustment_nv_fund",L$3,$A566))</x:f>
        <x:v>#NAME?</x:v>
      </x:c>
      <x:c r="M566" s="146" t="e">
        <x:f>IF($A566="","",[1]!thsiFinD("ths_adjustment_nv_fund",M$3,$A566))</x:f>
        <x:v>#NAME?</x:v>
      </x:c>
      <x:c r="N566" s="146" t="e">
        <x:f>IF($A566="","",[1]!thsiFinD("ths_adjustment_nv_fund",N$3,$A566))</x:f>
        <x:v>#NAME?</x:v>
      </x:c>
      <x:c r="O566" s="146" t="e">
        <x:f>IF($A566="","",[1]!thsiFinD("ths_adjustment_nv_fund",O$3,$A566))</x:f>
        <x:v>#NAME?</x:v>
      </x:c>
      <x:c r="P566" s="146" t="e">
        <x:f>IF($A566="","",[1]!thsiFinD("ths_adjustment_nv_fund",P$3,$A566))</x:f>
        <x:v>#NAME?</x:v>
      </x:c>
      <x:c r="Q566" s="146" t="e">
        <x:f>IF($A566="","",[1]!thsiFinD("ths_adjustment_nv_fund",Q$3,$A566))</x:f>
        <x:v>#NAME?</x:v>
      </x:c>
      <x:c r="R566" s="146" t="e">
        <x:f>IF($A566="","",[1]!thsiFinD("ths_adjustment_nv_fund",R$3,$A566))</x:f>
        <x:v>#NAME?</x:v>
      </x:c>
      <x:c r="S566" s="146" t="e">
        <x:f>IF($A566="","",[1]!thsiFinD("ths_adjustment_nv_fund",S$3,$A566))</x:f>
        <x:v>#NAME?</x:v>
      </x:c>
      <x:c r="T566" s="146" t="e">
        <x:f>IF($A566="","",[1]!thsiFinD("ths_adjustment_nv_fund",T$3,$A566))</x:f>
        <x:v>#NAME?</x:v>
      </x:c>
      <x:c r="U566" s="146" t="e">
        <x:f>IF($A566="","",[1]!thsiFinD("ths_adjustment_nv_fund",U$3,$A566))</x:f>
        <x:v>#NAME?</x:v>
      </x:c>
      <x:c r="V566" s="146" t="e">
        <x:f>IF($A566="","",[1]!thsiFinD("ths_adjustment_nv_fund",V$3,$A566))</x:f>
        <x:v>#NAME?</x:v>
      </x:c>
      <x:c r="W566" s="146" t="e">
        <x:f>IF($A566="","",[1]!thsiFinD("ths_adjustment_nv_fund",W$3,$A566))</x:f>
        <x:v>#NAME?</x:v>
      </x:c>
      <x:c r="X566" s="146" t="e">
        <x:f>IF($A566="","",[1]!thsiFinD("ths_adjustment_nv_fund",X$3,$A566))</x:f>
        <x:v>#NAME?</x:v>
      </x:c>
      <x:c r="Y566" s="146" t="e">
        <x:f>IF($A566="","",[1]!thsiFinD("ths_adjustment_nv_fund",Y$3,$A566))</x:f>
        <x:v>#NAME?</x:v>
      </x:c>
      <x:c r="Z566" s="146" t="e">
        <x:f>IF($A566="","",[1]!thsiFinD("ths_adjustment_nv_fund",Z$3,$A566))</x:f>
        <x:v>#NAME?</x:v>
      </x:c>
      <x:c r="AA566" s="146" t="e">
        <x:f>IF($A566="","",[1]!thsiFinD("ths_adjustment_nv_fund",AA$3,$A566))</x:f>
        <x:v>#NAME?</x:v>
      </x:c>
    </x:row>
    <x:row r="567">
      <x:c r="B567" s="146" t="e">
        <x:f>IF($A567="","",[1]!thsiFinD("ths_adjustment_nv_fund",B$3,$A567))</x:f>
        <x:v>#NAME?</x:v>
      </x:c>
      <x:c r="C567" s="146" t="e">
        <x:f>IF($A567="","",[1]!thsiFinD("ths_adjustment_nv_fund",C$3,$A567))</x:f>
        <x:v>#NAME?</x:v>
      </x:c>
      <x:c r="D567" s="146" t="e">
        <x:f>IF($A567="","",[1]!thsiFinD("ths_adjustment_nv_fund",D$3,$A567))</x:f>
        <x:v>#NAME?</x:v>
      </x:c>
      <x:c r="E567" s="146" t="e">
        <x:f>IF($A567="","",[1]!thsiFinD("ths_adjustment_nv_fund",E$3,$A567))</x:f>
        <x:v>#NAME?</x:v>
      </x:c>
      <x:c r="F567" s="146" t="e">
        <x:f>IF($A567="","",[1]!thsiFinD("ths_adjustment_nv_fund",F$3,$A567))</x:f>
        <x:v>#NAME?</x:v>
      </x:c>
      <x:c r="G567" s="146" t="e">
        <x:f>IF($A567="","",[1]!thsiFinD("ths_adjustment_nv_fund",G$3,$A567))</x:f>
        <x:v>#NAME?</x:v>
      </x:c>
      <x:c r="H567" s="146" t="e">
        <x:f>IF($A567="","",[1]!thsiFinD("ths_adjustment_nv_fund",H$3,$A567))</x:f>
        <x:v>#NAME?</x:v>
      </x:c>
      <x:c r="I567" s="146" t="e">
        <x:f>IF($A567="","",[1]!thsiFinD("ths_adjustment_nv_fund",I$3,$A567))</x:f>
        <x:v>#NAME?</x:v>
      </x:c>
      <x:c r="J567" s="146" t="e">
        <x:f>IF($A567="","",[1]!thsiFinD("ths_adjustment_nv_fund",J$3,$A567))</x:f>
        <x:v>#NAME?</x:v>
      </x:c>
      <x:c r="K567" s="146" t="e">
        <x:f>IF($A567="","",[1]!thsiFinD("ths_adjustment_nv_fund",K$3,$A567))</x:f>
        <x:v>#NAME?</x:v>
      </x:c>
      <x:c r="L567" s="146" t="e">
        <x:f>IF($A567="","",[1]!thsiFinD("ths_adjustment_nv_fund",L$3,$A567))</x:f>
        <x:v>#NAME?</x:v>
      </x:c>
      <x:c r="M567" s="146" t="e">
        <x:f>IF($A567="","",[1]!thsiFinD("ths_adjustment_nv_fund",M$3,$A567))</x:f>
        <x:v>#NAME?</x:v>
      </x:c>
      <x:c r="N567" s="146" t="e">
        <x:f>IF($A567="","",[1]!thsiFinD("ths_adjustment_nv_fund",N$3,$A567))</x:f>
        <x:v>#NAME?</x:v>
      </x:c>
      <x:c r="O567" s="146" t="e">
        <x:f>IF($A567="","",[1]!thsiFinD("ths_adjustment_nv_fund",O$3,$A567))</x:f>
        <x:v>#NAME?</x:v>
      </x:c>
      <x:c r="P567" s="146" t="e">
        <x:f>IF($A567="","",[1]!thsiFinD("ths_adjustment_nv_fund",P$3,$A567))</x:f>
        <x:v>#NAME?</x:v>
      </x:c>
      <x:c r="Q567" s="146" t="e">
        <x:f>IF($A567="","",[1]!thsiFinD("ths_adjustment_nv_fund",Q$3,$A567))</x:f>
        <x:v>#NAME?</x:v>
      </x:c>
      <x:c r="R567" s="146" t="e">
        <x:f>IF($A567="","",[1]!thsiFinD("ths_adjustment_nv_fund",R$3,$A567))</x:f>
        <x:v>#NAME?</x:v>
      </x:c>
      <x:c r="S567" s="146" t="e">
        <x:f>IF($A567="","",[1]!thsiFinD("ths_adjustment_nv_fund",S$3,$A567))</x:f>
        <x:v>#NAME?</x:v>
      </x:c>
      <x:c r="T567" s="146" t="e">
        <x:f>IF($A567="","",[1]!thsiFinD("ths_adjustment_nv_fund",T$3,$A567))</x:f>
        <x:v>#NAME?</x:v>
      </x:c>
      <x:c r="U567" s="146" t="e">
        <x:f>IF($A567="","",[1]!thsiFinD("ths_adjustment_nv_fund",U$3,$A567))</x:f>
        <x:v>#NAME?</x:v>
      </x:c>
      <x:c r="V567" s="146" t="e">
        <x:f>IF($A567="","",[1]!thsiFinD("ths_adjustment_nv_fund",V$3,$A567))</x:f>
        <x:v>#NAME?</x:v>
      </x:c>
      <x:c r="W567" s="146" t="e">
        <x:f>IF($A567="","",[1]!thsiFinD("ths_adjustment_nv_fund",W$3,$A567))</x:f>
        <x:v>#NAME?</x:v>
      </x:c>
      <x:c r="X567" s="146" t="e">
        <x:f>IF($A567="","",[1]!thsiFinD("ths_adjustment_nv_fund",X$3,$A567))</x:f>
        <x:v>#NAME?</x:v>
      </x:c>
      <x:c r="Y567" s="146" t="e">
        <x:f>IF($A567="","",[1]!thsiFinD("ths_adjustment_nv_fund",Y$3,$A567))</x:f>
        <x:v>#NAME?</x:v>
      </x:c>
      <x:c r="Z567" s="146" t="e">
        <x:f>IF($A567="","",[1]!thsiFinD("ths_adjustment_nv_fund",Z$3,$A567))</x:f>
        <x:v>#NAME?</x:v>
      </x:c>
      <x:c r="AA567" s="146" t="e">
        <x:f>IF($A567="","",[1]!thsiFinD("ths_adjustment_nv_fund",AA$3,$A567))</x:f>
        <x:v>#NAME?</x:v>
      </x:c>
    </x:row>
    <x:row r="568">
      <x:c r="B568" s="146" t="e">
        <x:f>IF($A568="","",[1]!thsiFinD("ths_adjustment_nv_fund",B$3,$A568))</x:f>
        <x:v>#NAME?</x:v>
      </x:c>
      <x:c r="C568" s="146" t="e">
        <x:f>IF($A568="","",[1]!thsiFinD("ths_adjustment_nv_fund",C$3,$A568))</x:f>
        <x:v>#NAME?</x:v>
      </x:c>
      <x:c r="D568" s="146" t="e">
        <x:f>IF($A568="","",[1]!thsiFinD("ths_adjustment_nv_fund",D$3,$A568))</x:f>
        <x:v>#NAME?</x:v>
      </x:c>
      <x:c r="E568" s="146" t="e">
        <x:f>IF($A568="","",[1]!thsiFinD("ths_adjustment_nv_fund",E$3,$A568))</x:f>
        <x:v>#NAME?</x:v>
      </x:c>
      <x:c r="F568" s="146" t="e">
        <x:f>IF($A568="","",[1]!thsiFinD("ths_adjustment_nv_fund",F$3,$A568))</x:f>
        <x:v>#NAME?</x:v>
      </x:c>
      <x:c r="G568" s="146" t="e">
        <x:f>IF($A568="","",[1]!thsiFinD("ths_adjustment_nv_fund",G$3,$A568))</x:f>
        <x:v>#NAME?</x:v>
      </x:c>
      <x:c r="H568" s="146" t="e">
        <x:f>IF($A568="","",[1]!thsiFinD("ths_adjustment_nv_fund",H$3,$A568))</x:f>
        <x:v>#NAME?</x:v>
      </x:c>
      <x:c r="I568" s="146" t="e">
        <x:f>IF($A568="","",[1]!thsiFinD("ths_adjustment_nv_fund",I$3,$A568))</x:f>
        <x:v>#NAME?</x:v>
      </x:c>
      <x:c r="J568" s="146" t="e">
        <x:f>IF($A568="","",[1]!thsiFinD("ths_adjustment_nv_fund",J$3,$A568))</x:f>
        <x:v>#NAME?</x:v>
      </x:c>
      <x:c r="K568" s="146" t="e">
        <x:f>IF($A568="","",[1]!thsiFinD("ths_adjustment_nv_fund",K$3,$A568))</x:f>
        <x:v>#NAME?</x:v>
      </x:c>
      <x:c r="L568" s="146" t="e">
        <x:f>IF($A568="","",[1]!thsiFinD("ths_adjustment_nv_fund",L$3,$A568))</x:f>
        <x:v>#NAME?</x:v>
      </x:c>
      <x:c r="M568" s="146" t="e">
        <x:f>IF($A568="","",[1]!thsiFinD("ths_adjustment_nv_fund",M$3,$A568))</x:f>
        <x:v>#NAME?</x:v>
      </x:c>
      <x:c r="N568" s="146" t="e">
        <x:f>IF($A568="","",[1]!thsiFinD("ths_adjustment_nv_fund",N$3,$A568))</x:f>
        <x:v>#NAME?</x:v>
      </x:c>
      <x:c r="O568" s="146" t="e">
        <x:f>IF($A568="","",[1]!thsiFinD("ths_adjustment_nv_fund",O$3,$A568))</x:f>
        <x:v>#NAME?</x:v>
      </x:c>
      <x:c r="P568" s="146" t="e">
        <x:f>IF($A568="","",[1]!thsiFinD("ths_adjustment_nv_fund",P$3,$A568))</x:f>
        <x:v>#NAME?</x:v>
      </x:c>
      <x:c r="Q568" s="146" t="e">
        <x:f>IF($A568="","",[1]!thsiFinD("ths_adjustment_nv_fund",Q$3,$A568))</x:f>
        <x:v>#NAME?</x:v>
      </x:c>
      <x:c r="R568" s="146" t="e">
        <x:f>IF($A568="","",[1]!thsiFinD("ths_adjustment_nv_fund",R$3,$A568))</x:f>
        <x:v>#NAME?</x:v>
      </x:c>
      <x:c r="S568" s="146" t="e">
        <x:f>IF($A568="","",[1]!thsiFinD("ths_adjustment_nv_fund",S$3,$A568))</x:f>
        <x:v>#NAME?</x:v>
      </x:c>
      <x:c r="T568" s="146" t="e">
        <x:f>IF($A568="","",[1]!thsiFinD("ths_adjustment_nv_fund",T$3,$A568))</x:f>
        <x:v>#NAME?</x:v>
      </x:c>
      <x:c r="U568" s="146" t="e">
        <x:f>IF($A568="","",[1]!thsiFinD("ths_adjustment_nv_fund",U$3,$A568))</x:f>
        <x:v>#NAME?</x:v>
      </x:c>
      <x:c r="V568" s="146" t="e">
        <x:f>IF($A568="","",[1]!thsiFinD("ths_adjustment_nv_fund",V$3,$A568))</x:f>
        <x:v>#NAME?</x:v>
      </x:c>
      <x:c r="W568" s="146" t="e">
        <x:f>IF($A568="","",[1]!thsiFinD("ths_adjustment_nv_fund",W$3,$A568))</x:f>
        <x:v>#NAME?</x:v>
      </x:c>
      <x:c r="X568" s="146" t="e">
        <x:f>IF($A568="","",[1]!thsiFinD("ths_adjustment_nv_fund",X$3,$A568))</x:f>
        <x:v>#NAME?</x:v>
      </x:c>
      <x:c r="Y568" s="146" t="e">
        <x:f>IF($A568="","",[1]!thsiFinD("ths_adjustment_nv_fund",Y$3,$A568))</x:f>
        <x:v>#NAME?</x:v>
      </x:c>
      <x:c r="Z568" s="146" t="e">
        <x:f>IF($A568="","",[1]!thsiFinD("ths_adjustment_nv_fund",Z$3,$A568))</x:f>
        <x:v>#NAME?</x:v>
      </x:c>
      <x:c r="AA568" s="146" t="e">
        <x:f>IF($A568="","",[1]!thsiFinD("ths_adjustment_nv_fund",AA$3,$A568))</x:f>
        <x:v>#NAME?</x:v>
      </x:c>
    </x:row>
    <x:row r="569">
      <x:c r="B569" s="146" t="e">
        <x:f>IF($A569="","",[1]!thsiFinD("ths_adjustment_nv_fund",B$3,$A569))</x:f>
        <x:v>#NAME?</x:v>
      </x:c>
      <x:c r="C569" s="146" t="e">
        <x:f>IF($A569="","",[1]!thsiFinD("ths_adjustment_nv_fund",C$3,$A569))</x:f>
        <x:v>#NAME?</x:v>
      </x:c>
      <x:c r="D569" s="146" t="e">
        <x:f>IF($A569="","",[1]!thsiFinD("ths_adjustment_nv_fund",D$3,$A569))</x:f>
        <x:v>#NAME?</x:v>
      </x:c>
      <x:c r="E569" s="146" t="e">
        <x:f>IF($A569="","",[1]!thsiFinD("ths_adjustment_nv_fund",E$3,$A569))</x:f>
        <x:v>#NAME?</x:v>
      </x:c>
      <x:c r="F569" s="146" t="e">
        <x:f>IF($A569="","",[1]!thsiFinD("ths_adjustment_nv_fund",F$3,$A569))</x:f>
        <x:v>#NAME?</x:v>
      </x:c>
      <x:c r="G569" s="146" t="e">
        <x:f>IF($A569="","",[1]!thsiFinD("ths_adjustment_nv_fund",G$3,$A569))</x:f>
        <x:v>#NAME?</x:v>
      </x:c>
      <x:c r="H569" s="146" t="e">
        <x:f>IF($A569="","",[1]!thsiFinD("ths_adjustment_nv_fund",H$3,$A569))</x:f>
        <x:v>#NAME?</x:v>
      </x:c>
      <x:c r="I569" s="146" t="e">
        <x:f>IF($A569="","",[1]!thsiFinD("ths_adjustment_nv_fund",I$3,$A569))</x:f>
        <x:v>#NAME?</x:v>
      </x:c>
      <x:c r="J569" s="146" t="e">
        <x:f>IF($A569="","",[1]!thsiFinD("ths_adjustment_nv_fund",J$3,$A569))</x:f>
        <x:v>#NAME?</x:v>
      </x:c>
      <x:c r="K569" s="146" t="e">
        <x:f>IF($A569="","",[1]!thsiFinD("ths_adjustment_nv_fund",K$3,$A569))</x:f>
        <x:v>#NAME?</x:v>
      </x:c>
      <x:c r="L569" s="146" t="e">
        <x:f>IF($A569="","",[1]!thsiFinD("ths_adjustment_nv_fund",L$3,$A569))</x:f>
        <x:v>#NAME?</x:v>
      </x:c>
      <x:c r="M569" s="146" t="e">
        <x:f>IF($A569="","",[1]!thsiFinD("ths_adjustment_nv_fund",M$3,$A569))</x:f>
        <x:v>#NAME?</x:v>
      </x:c>
      <x:c r="N569" s="146" t="e">
        <x:f>IF($A569="","",[1]!thsiFinD("ths_adjustment_nv_fund",N$3,$A569))</x:f>
        <x:v>#NAME?</x:v>
      </x:c>
      <x:c r="O569" s="146" t="e">
        <x:f>IF($A569="","",[1]!thsiFinD("ths_adjustment_nv_fund",O$3,$A569))</x:f>
        <x:v>#NAME?</x:v>
      </x:c>
      <x:c r="P569" s="146" t="e">
        <x:f>IF($A569="","",[1]!thsiFinD("ths_adjustment_nv_fund",P$3,$A569))</x:f>
        <x:v>#NAME?</x:v>
      </x:c>
      <x:c r="Q569" s="146" t="e">
        <x:f>IF($A569="","",[1]!thsiFinD("ths_adjustment_nv_fund",Q$3,$A569))</x:f>
        <x:v>#NAME?</x:v>
      </x:c>
      <x:c r="R569" s="146" t="e">
        <x:f>IF($A569="","",[1]!thsiFinD("ths_adjustment_nv_fund",R$3,$A569))</x:f>
        <x:v>#NAME?</x:v>
      </x:c>
      <x:c r="S569" s="146" t="e">
        <x:f>IF($A569="","",[1]!thsiFinD("ths_adjustment_nv_fund",S$3,$A569))</x:f>
        <x:v>#NAME?</x:v>
      </x:c>
      <x:c r="T569" s="146" t="e">
        <x:f>IF($A569="","",[1]!thsiFinD("ths_adjustment_nv_fund",T$3,$A569))</x:f>
        <x:v>#NAME?</x:v>
      </x:c>
      <x:c r="U569" s="146" t="e">
        <x:f>IF($A569="","",[1]!thsiFinD("ths_adjustment_nv_fund",U$3,$A569))</x:f>
        <x:v>#NAME?</x:v>
      </x:c>
      <x:c r="V569" s="146" t="e">
        <x:f>IF($A569="","",[1]!thsiFinD("ths_adjustment_nv_fund",V$3,$A569))</x:f>
        <x:v>#NAME?</x:v>
      </x:c>
      <x:c r="W569" s="146" t="e">
        <x:f>IF($A569="","",[1]!thsiFinD("ths_adjustment_nv_fund",W$3,$A569))</x:f>
        <x:v>#NAME?</x:v>
      </x:c>
      <x:c r="X569" s="146" t="e">
        <x:f>IF($A569="","",[1]!thsiFinD("ths_adjustment_nv_fund",X$3,$A569))</x:f>
        <x:v>#NAME?</x:v>
      </x:c>
      <x:c r="Y569" s="146" t="e">
        <x:f>IF($A569="","",[1]!thsiFinD("ths_adjustment_nv_fund",Y$3,$A569))</x:f>
        <x:v>#NAME?</x:v>
      </x:c>
      <x:c r="Z569" s="146" t="e">
        <x:f>IF($A569="","",[1]!thsiFinD("ths_adjustment_nv_fund",Z$3,$A569))</x:f>
        <x:v>#NAME?</x:v>
      </x:c>
      <x:c r="AA569" s="146" t="e">
        <x:f>IF($A569="","",[1]!thsiFinD("ths_adjustment_nv_fund",AA$3,$A569))</x:f>
        <x:v>#NAME?</x:v>
      </x:c>
    </x:row>
    <x:row r="570">
      <x:c r="B570" s="146" t="e">
        <x:f>IF($A570="","",[1]!thsiFinD("ths_adjustment_nv_fund",B$3,$A570))</x:f>
        <x:v>#NAME?</x:v>
      </x:c>
      <x:c r="C570" s="146" t="e">
        <x:f>IF($A570="","",[1]!thsiFinD("ths_adjustment_nv_fund",C$3,$A570))</x:f>
        <x:v>#NAME?</x:v>
      </x:c>
      <x:c r="D570" s="146" t="e">
        <x:f>IF($A570="","",[1]!thsiFinD("ths_adjustment_nv_fund",D$3,$A570))</x:f>
        <x:v>#NAME?</x:v>
      </x:c>
      <x:c r="E570" s="146" t="e">
        <x:f>IF($A570="","",[1]!thsiFinD("ths_adjustment_nv_fund",E$3,$A570))</x:f>
        <x:v>#NAME?</x:v>
      </x:c>
      <x:c r="F570" s="146" t="e">
        <x:f>IF($A570="","",[1]!thsiFinD("ths_adjustment_nv_fund",F$3,$A570))</x:f>
        <x:v>#NAME?</x:v>
      </x:c>
      <x:c r="G570" s="146" t="e">
        <x:f>IF($A570="","",[1]!thsiFinD("ths_adjustment_nv_fund",G$3,$A570))</x:f>
        <x:v>#NAME?</x:v>
      </x:c>
      <x:c r="H570" s="146" t="e">
        <x:f>IF($A570="","",[1]!thsiFinD("ths_adjustment_nv_fund",H$3,$A570))</x:f>
        <x:v>#NAME?</x:v>
      </x:c>
      <x:c r="I570" s="146" t="e">
        <x:f>IF($A570="","",[1]!thsiFinD("ths_adjustment_nv_fund",I$3,$A570))</x:f>
        <x:v>#NAME?</x:v>
      </x:c>
      <x:c r="J570" s="146" t="e">
        <x:f>IF($A570="","",[1]!thsiFinD("ths_adjustment_nv_fund",J$3,$A570))</x:f>
        <x:v>#NAME?</x:v>
      </x:c>
      <x:c r="K570" s="146" t="e">
        <x:f>IF($A570="","",[1]!thsiFinD("ths_adjustment_nv_fund",K$3,$A570))</x:f>
        <x:v>#NAME?</x:v>
      </x:c>
      <x:c r="L570" s="146" t="e">
        <x:f>IF($A570="","",[1]!thsiFinD("ths_adjustment_nv_fund",L$3,$A570))</x:f>
        <x:v>#NAME?</x:v>
      </x:c>
      <x:c r="M570" s="146" t="e">
        <x:f>IF($A570="","",[1]!thsiFinD("ths_adjustment_nv_fund",M$3,$A570))</x:f>
        <x:v>#NAME?</x:v>
      </x:c>
      <x:c r="N570" s="146" t="e">
        <x:f>IF($A570="","",[1]!thsiFinD("ths_adjustment_nv_fund",N$3,$A570))</x:f>
        <x:v>#NAME?</x:v>
      </x:c>
      <x:c r="O570" s="146" t="e">
        <x:f>IF($A570="","",[1]!thsiFinD("ths_adjustment_nv_fund",O$3,$A570))</x:f>
        <x:v>#NAME?</x:v>
      </x:c>
      <x:c r="P570" s="146" t="e">
        <x:f>IF($A570="","",[1]!thsiFinD("ths_adjustment_nv_fund",P$3,$A570))</x:f>
        <x:v>#NAME?</x:v>
      </x:c>
      <x:c r="Q570" s="146" t="e">
        <x:f>IF($A570="","",[1]!thsiFinD("ths_adjustment_nv_fund",Q$3,$A570))</x:f>
        <x:v>#NAME?</x:v>
      </x:c>
      <x:c r="R570" s="146" t="e">
        <x:f>IF($A570="","",[1]!thsiFinD("ths_adjustment_nv_fund",R$3,$A570))</x:f>
        <x:v>#NAME?</x:v>
      </x:c>
      <x:c r="S570" s="146" t="e">
        <x:f>IF($A570="","",[1]!thsiFinD("ths_adjustment_nv_fund",S$3,$A570))</x:f>
        <x:v>#NAME?</x:v>
      </x:c>
      <x:c r="T570" s="146" t="e">
        <x:f>IF($A570="","",[1]!thsiFinD("ths_adjustment_nv_fund",T$3,$A570))</x:f>
        <x:v>#NAME?</x:v>
      </x:c>
      <x:c r="U570" s="146" t="e">
        <x:f>IF($A570="","",[1]!thsiFinD("ths_adjustment_nv_fund",U$3,$A570))</x:f>
        <x:v>#NAME?</x:v>
      </x:c>
      <x:c r="V570" s="146" t="e">
        <x:f>IF($A570="","",[1]!thsiFinD("ths_adjustment_nv_fund",V$3,$A570))</x:f>
        <x:v>#NAME?</x:v>
      </x:c>
      <x:c r="W570" s="146" t="e">
        <x:f>IF($A570="","",[1]!thsiFinD("ths_adjustment_nv_fund",W$3,$A570))</x:f>
        <x:v>#NAME?</x:v>
      </x:c>
      <x:c r="X570" s="146" t="e">
        <x:f>IF($A570="","",[1]!thsiFinD("ths_adjustment_nv_fund",X$3,$A570))</x:f>
        <x:v>#NAME?</x:v>
      </x:c>
      <x:c r="Y570" s="146" t="e">
        <x:f>IF($A570="","",[1]!thsiFinD("ths_adjustment_nv_fund",Y$3,$A570))</x:f>
        <x:v>#NAME?</x:v>
      </x:c>
      <x:c r="Z570" s="146" t="e">
        <x:f>IF($A570="","",[1]!thsiFinD("ths_adjustment_nv_fund",Z$3,$A570))</x:f>
        <x:v>#NAME?</x:v>
      </x:c>
      <x:c r="AA570" s="146" t="e">
        <x:f>IF($A570="","",[1]!thsiFinD("ths_adjustment_nv_fund",AA$3,$A570))</x:f>
        <x:v>#NAME?</x:v>
      </x:c>
    </x:row>
    <x:row r="571">
      <x:c r="B571" s="146" t="e">
        <x:f>IF($A571="","",[1]!thsiFinD("ths_adjustment_nv_fund",B$3,$A571))</x:f>
        <x:v>#NAME?</x:v>
      </x:c>
      <x:c r="C571" s="146" t="e">
        <x:f>IF($A571="","",[1]!thsiFinD("ths_adjustment_nv_fund",C$3,$A571))</x:f>
        <x:v>#NAME?</x:v>
      </x:c>
      <x:c r="D571" s="146" t="e">
        <x:f>IF($A571="","",[1]!thsiFinD("ths_adjustment_nv_fund",D$3,$A571))</x:f>
        <x:v>#NAME?</x:v>
      </x:c>
      <x:c r="E571" s="146" t="e">
        <x:f>IF($A571="","",[1]!thsiFinD("ths_adjustment_nv_fund",E$3,$A571))</x:f>
        <x:v>#NAME?</x:v>
      </x:c>
      <x:c r="F571" s="146" t="e">
        <x:f>IF($A571="","",[1]!thsiFinD("ths_adjustment_nv_fund",F$3,$A571))</x:f>
        <x:v>#NAME?</x:v>
      </x:c>
      <x:c r="G571" s="146" t="e">
        <x:f>IF($A571="","",[1]!thsiFinD("ths_adjustment_nv_fund",G$3,$A571))</x:f>
        <x:v>#NAME?</x:v>
      </x:c>
      <x:c r="H571" s="146" t="e">
        <x:f>IF($A571="","",[1]!thsiFinD("ths_adjustment_nv_fund",H$3,$A571))</x:f>
        <x:v>#NAME?</x:v>
      </x:c>
      <x:c r="I571" s="146" t="e">
        <x:f>IF($A571="","",[1]!thsiFinD("ths_adjustment_nv_fund",I$3,$A571))</x:f>
        <x:v>#NAME?</x:v>
      </x:c>
      <x:c r="J571" s="146" t="e">
        <x:f>IF($A571="","",[1]!thsiFinD("ths_adjustment_nv_fund",J$3,$A571))</x:f>
        <x:v>#NAME?</x:v>
      </x:c>
      <x:c r="K571" s="146" t="e">
        <x:f>IF($A571="","",[1]!thsiFinD("ths_adjustment_nv_fund",K$3,$A571))</x:f>
        <x:v>#NAME?</x:v>
      </x:c>
      <x:c r="L571" s="146" t="e">
        <x:f>IF($A571="","",[1]!thsiFinD("ths_adjustment_nv_fund",L$3,$A571))</x:f>
        <x:v>#NAME?</x:v>
      </x:c>
      <x:c r="M571" s="146" t="e">
        <x:f>IF($A571="","",[1]!thsiFinD("ths_adjustment_nv_fund",M$3,$A571))</x:f>
        <x:v>#NAME?</x:v>
      </x:c>
      <x:c r="N571" s="146" t="e">
        <x:f>IF($A571="","",[1]!thsiFinD("ths_adjustment_nv_fund",N$3,$A571))</x:f>
        <x:v>#NAME?</x:v>
      </x:c>
      <x:c r="O571" s="146" t="e">
        <x:f>IF($A571="","",[1]!thsiFinD("ths_adjustment_nv_fund",O$3,$A571))</x:f>
        <x:v>#NAME?</x:v>
      </x:c>
      <x:c r="P571" s="146" t="e">
        <x:f>IF($A571="","",[1]!thsiFinD("ths_adjustment_nv_fund",P$3,$A571))</x:f>
        <x:v>#NAME?</x:v>
      </x:c>
      <x:c r="Q571" s="146" t="e">
        <x:f>IF($A571="","",[1]!thsiFinD("ths_adjustment_nv_fund",Q$3,$A571))</x:f>
        <x:v>#NAME?</x:v>
      </x:c>
      <x:c r="R571" s="146" t="e">
        <x:f>IF($A571="","",[1]!thsiFinD("ths_adjustment_nv_fund",R$3,$A571))</x:f>
        <x:v>#NAME?</x:v>
      </x:c>
      <x:c r="S571" s="146" t="e">
        <x:f>IF($A571="","",[1]!thsiFinD("ths_adjustment_nv_fund",S$3,$A571))</x:f>
        <x:v>#NAME?</x:v>
      </x:c>
      <x:c r="T571" s="146" t="e">
        <x:f>IF($A571="","",[1]!thsiFinD("ths_adjustment_nv_fund",T$3,$A571))</x:f>
        <x:v>#NAME?</x:v>
      </x:c>
      <x:c r="U571" s="146" t="e">
        <x:f>IF($A571="","",[1]!thsiFinD("ths_adjustment_nv_fund",U$3,$A571))</x:f>
        <x:v>#NAME?</x:v>
      </x:c>
      <x:c r="V571" s="146" t="e">
        <x:f>IF($A571="","",[1]!thsiFinD("ths_adjustment_nv_fund",V$3,$A571))</x:f>
        <x:v>#NAME?</x:v>
      </x:c>
      <x:c r="W571" s="146" t="e">
        <x:f>IF($A571="","",[1]!thsiFinD("ths_adjustment_nv_fund",W$3,$A571))</x:f>
        <x:v>#NAME?</x:v>
      </x:c>
      <x:c r="X571" s="146" t="e">
        <x:f>IF($A571="","",[1]!thsiFinD("ths_adjustment_nv_fund",X$3,$A571))</x:f>
        <x:v>#NAME?</x:v>
      </x:c>
      <x:c r="Y571" s="146" t="e">
        <x:f>IF($A571="","",[1]!thsiFinD("ths_adjustment_nv_fund",Y$3,$A571))</x:f>
        <x:v>#NAME?</x:v>
      </x:c>
      <x:c r="Z571" s="146" t="e">
        <x:f>IF($A571="","",[1]!thsiFinD("ths_adjustment_nv_fund",Z$3,$A571))</x:f>
        <x:v>#NAME?</x:v>
      </x:c>
      <x:c r="AA571" s="146" t="e">
        <x:f>IF($A571="","",[1]!thsiFinD("ths_adjustment_nv_fund",AA$3,$A571))</x:f>
        <x:v>#NAME?</x:v>
      </x:c>
    </x:row>
    <x:row r="572">
      <x:c r="B572" s="146" t="e">
        <x:f>IF($A572="","",[1]!thsiFinD("ths_adjustment_nv_fund",B$3,$A572))</x:f>
        <x:v>#NAME?</x:v>
      </x:c>
      <x:c r="C572" s="146" t="e">
        <x:f>IF($A572="","",[1]!thsiFinD("ths_adjustment_nv_fund",C$3,$A572))</x:f>
        <x:v>#NAME?</x:v>
      </x:c>
      <x:c r="D572" s="146" t="e">
        <x:f>IF($A572="","",[1]!thsiFinD("ths_adjustment_nv_fund",D$3,$A572))</x:f>
        <x:v>#NAME?</x:v>
      </x:c>
      <x:c r="E572" s="146" t="e">
        <x:f>IF($A572="","",[1]!thsiFinD("ths_adjustment_nv_fund",E$3,$A572))</x:f>
        <x:v>#NAME?</x:v>
      </x:c>
      <x:c r="F572" s="146" t="e">
        <x:f>IF($A572="","",[1]!thsiFinD("ths_adjustment_nv_fund",F$3,$A572))</x:f>
        <x:v>#NAME?</x:v>
      </x:c>
      <x:c r="G572" s="146" t="e">
        <x:f>IF($A572="","",[1]!thsiFinD("ths_adjustment_nv_fund",G$3,$A572))</x:f>
        <x:v>#NAME?</x:v>
      </x:c>
      <x:c r="H572" s="146" t="e">
        <x:f>IF($A572="","",[1]!thsiFinD("ths_adjustment_nv_fund",H$3,$A572))</x:f>
        <x:v>#NAME?</x:v>
      </x:c>
      <x:c r="I572" s="146" t="e">
        <x:f>IF($A572="","",[1]!thsiFinD("ths_adjustment_nv_fund",I$3,$A572))</x:f>
        <x:v>#NAME?</x:v>
      </x:c>
      <x:c r="J572" s="146" t="e">
        <x:f>IF($A572="","",[1]!thsiFinD("ths_adjustment_nv_fund",J$3,$A572))</x:f>
        <x:v>#NAME?</x:v>
      </x:c>
      <x:c r="K572" s="146" t="e">
        <x:f>IF($A572="","",[1]!thsiFinD("ths_adjustment_nv_fund",K$3,$A572))</x:f>
        <x:v>#NAME?</x:v>
      </x:c>
      <x:c r="L572" s="146" t="e">
        <x:f>IF($A572="","",[1]!thsiFinD("ths_adjustment_nv_fund",L$3,$A572))</x:f>
        <x:v>#NAME?</x:v>
      </x:c>
      <x:c r="M572" s="146" t="e">
        <x:f>IF($A572="","",[1]!thsiFinD("ths_adjustment_nv_fund",M$3,$A572))</x:f>
        <x:v>#NAME?</x:v>
      </x:c>
      <x:c r="N572" s="146" t="e">
        <x:f>IF($A572="","",[1]!thsiFinD("ths_adjustment_nv_fund",N$3,$A572))</x:f>
        <x:v>#NAME?</x:v>
      </x:c>
      <x:c r="O572" s="146" t="e">
        <x:f>IF($A572="","",[1]!thsiFinD("ths_adjustment_nv_fund",O$3,$A572))</x:f>
        <x:v>#NAME?</x:v>
      </x:c>
      <x:c r="P572" s="146" t="e">
        <x:f>IF($A572="","",[1]!thsiFinD("ths_adjustment_nv_fund",P$3,$A572))</x:f>
        <x:v>#NAME?</x:v>
      </x:c>
      <x:c r="Q572" s="146" t="e">
        <x:f>IF($A572="","",[1]!thsiFinD("ths_adjustment_nv_fund",Q$3,$A572))</x:f>
        <x:v>#NAME?</x:v>
      </x:c>
      <x:c r="R572" s="146" t="e">
        <x:f>IF($A572="","",[1]!thsiFinD("ths_adjustment_nv_fund",R$3,$A572))</x:f>
        <x:v>#NAME?</x:v>
      </x:c>
      <x:c r="S572" s="146" t="e">
        <x:f>IF($A572="","",[1]!thsiFinD("ths_adjustment_nv_fund",S$3,$A572))</x:f>
        <x:v>#NAME?</x:v>
      </x:c>
      <x:c r="T572" s="146" t="e">
        <x:f>IF($A572="","",[1]!thsiFinD("ths_adjustment_nv_fund",T$3,$A572))</x:f>
        <x:v>#NAME?</x:v>
      </x:c>
      <x:c r="U572" s="146" t="e">
        <x:f>IF($A572="","",[1]!thsiFinD("ths_adjustment_nv_fund",U$3,$A572))</x:f>
        <x:v>#NAME?</x:v>
      </x:c>
      <x:c r="V572" s="146" t="e">
        <x:f>IF($A572="","",[1]!thsiFinD("ths_adjustment_nv_fund",V$3,$A572))</x:f>
        <x:v>#NAME?</x:v>
      </x:c>
      <x:c r="W572" s="146" t="e">
        <x:f>IF($A572="","",[1]!thsiFinD("ths_adjustment_nv_fund",W$3,$A572))</x:f>
        <x:v>#NAME?</x:v>
      </x:c>
      <x:c r="X572" s="146" t="e">
        <x:f>IF($A572="","",[1]!thsiFinD("ths_adjustment_nv_fund",X$3,$A572))</x:f>
        <x:v>#NAME?</x:v>
      </x:c>
      <x:c r="Y572" s="146" t="e">
        <x:f>IF($A572="","",[1]!thsiFinD("ths_adjustment_nv_fund",Y$3,$A572))</x:f>
        <x:v>#NAME?</x:v>
      </x:c>
      <x:c r="Z572" s="146" t="e">
        <x:f>IF($A572="","",[1]!thsiFinD("ths_adjustment_nv_fund",Z$3,$A572))</x:f>
        <x:v>#NAME?</x:v>
      </x:c>
      <x:c r="AA572" s="146" t="e">
        <x:f>IF($A572="","",[1]!thsiFinD("ths_adjustment_nv_fund",AA$3,$A572))</x:f>
        <x:v>#NAME?</x:v>
      </x:c>
    </x:row>
    <x:row r="573">
      <x:c r="B573" s="146" t="e">
        <x:f>IF($A573="","",[1]!thsiFinD("ths_adjustment_nv_fund",B$3,$A573))</x:f>
        <x:v>#NAME?</x:v>
      </x:c>
      <x:c r="C573" s="146" t="e">
        <x:f>IF($A573="","",[1]!thsiFinD("ths_adjustment_nv_fund",C$3,$A573))</x:f>
        <x:v>#NAME?</x:v>
      </x:c>
      <x:c r="D573" s="146" t="e">
        <x:f>IF($A573="","",[1]!thsiFinD("ths_adjustment_nv_fund",D$3,$A573))</x:f>
        <x:v>#NAME?</x:v>
      </x:c>
      <x:c r="E573" s="146" t="e">
        <x:f>IF($A573="","",[1]!thsiFinD("ths_adjustment_nv_fund",E$3,$A573))</x:f>
        <x:v>#NAME?</x:v>
      </x:c>
      <x:c r="F573" s="146" t="e">
        <x:f>IF($A573="","",[1]!thsiFinD("ths_adjustment_nv_fund",F$3,$A573))</x:f>
        <x:v>#NAME?</x:v>
      </x:c>
      <x:c r="G573" s="146" t="e">
        <x:f>IF($A573="","",[1]!thsiFinD("ths_adjustment_nv_fund",G$3,$A573))</x:f>
        <x:v>#NAME?</x:v>
      </x:c>
      <x:c r="H573" s="146" t="e">
        <x:f>IF($A573="","",[1]!thsiFinD("ths_adjustment_nv_fund",H$3,$A573))</x:f>
        <x:v>#NAME?</x:v>
      </x:c>
      <x:c r="I573" s="146" t="e">
        <x:f>IF($A573="","",[1]!thsiFinD("ths_adjustment_nv_fund",I$3,$A573))</x:f>
        <x:v>#NAME?</x:v>
      </x:c>
      <x:c r="J573" s="146" t="e">
        <x:f>IF($A573="","",[1]!thsiFinD("ths_adjustment_nv_fund",J$3,$A573))</x:f>
        <x:v>#NAME?</x:v>
      </x:c>
      <x:c r="K573" s="146" t="e">
        <x:f>IF($A573="","",[1]!thsiFinD("ths_adjustment_nv_fund",K$3,$A573))</x:f>
        <x:v>#NAME?</x:v>
      </x:c>
      <x:c r="L573" s="146" t="e">
        <x:f>IF($A573="","",[1]!thsiFinD("ths_adjustment_nv_fund",L$3,$A573))</x:f>
        <x:v>#NAME?</x:v>
      </x:c>
      <x:c r="M573" s="146" t="e">
        <x:f>IF($A573="","",[1]!thsiFinD("ths_adjustment_nv_fund",M$3,$A573))</x:f>
        <x:v>#NAME?</x:v>
      </x:c>
      <x:c r="N573" s="146" t="e">
        <x:f>IF($A573="","",[1]!thsiFinD("ths_adjustment_nv_fund",N$3,$A573))</x:f>
        <x:v>#NAME?</x:v>
      </x:c>
      <x:c r="O573" s="146" t="e">
        <x:f>IF($A573="","",[1]!thsiFinD("ths_adjustment_nv_fund",O$3,$A573))</x:f>
        <x:v>#NAME?</x:v>
      </x:c>
      <x:c r="P573" s="146" t="e">
        <x:f>IF($A573="","",[1]!thsiFinD("ths_adjustment_nv_fund",P$3,$A573))</x:f>
        <x:v>#NAME?</x:v>
      </x:c>
      <x:c r="Q573" s="146" t="e">
        <x:f>IF($A573="","",[1]!thsiFinD("ths_adjustment_nv_fund",Q$3,$A573))</x:f>
        <x:v>#NAME?</x:v>
      </x:c>
      <x:c r="R573" s="146" t="e">
        <x:f>IF($A573="","",[1]!thsiFinD("ths_adjustment_nv_fund",R$3,$A573))</x:f>
        <x:v>#NAME?</x:v>
      </x:c>
      <x:c r="S573" s="146" t="e">
        <x:f>IF($A573="","",[1]!thsiFinD("ths_adjustment_nv_fund",S$3,$A573))</x:f>
        <x:v>#NAME?</x:v>
      </x:c>
      <x:c r="T573" s="146" t="e">
        <x:f>IF($A573="","",[1]!thsiFinD("ths_adjustment_nv_fund",T$3,$A573))</x:f>
        <x:v>#NAME?</x:v>
      </x:c>
      <x:c r="U573" s="146" t="e">
        <x:f>IF($A573="","",[1]!thsiFinD("ths_adjustment_nv_fund",U$3,$A573))</x:f>
        <x:v>#NAME?</x:v>
      </x:c>
      <x:c r="V573" s="146" t="e">
        <x:f>IF($A573="","",[1]!thsiFinD("ths_adjustment_nv_fund",V$3,$A573))</x:f>
        <x:v>#NAME?</x:v>
      </x:c>
      <x:c r="W573" s="146" t="e">
        <x:f>IF($A573="","",[1]!thsiFinD("ths_adjustment_nv_fund",W$3,$A573))</x:f>
        <x:v>#NAME?</x:v>
      </x:c>
      <x:c r="X573" s="146" t="e">
        <x:f>IF($A573="","",[1]!thsiFinD("ths_adjustment_nv_fund",X$3,$A573))</x:f>
        <x:v>#NAME?</x:v>
      </x:c>
      <x:c r="Y573" s="146" t="e">
        <x:f>IF($A573="","",[1]!thsiFinD("ths_adjustment_nv_fund",Y$3,$A573))</x:f>
        <x:v>#NAME?</x:v>
      </x:c>
      <x:c r="Z573" s="146" t="e">
        <x:f>IF($A573="","",[1]!thsiFinD("ths_adjustment_nv_fund",Z$3,$A573))</x:f>
        <x:v>#NAME?</x:v>
      </x:c>
      <x:c r="AA573" s="146" t="e">
        <x:f>IF($A573="","",[1]!thsiFinD("ths_adjustment_nv_fund",AA$3,$A573))</x:f>
        <x:v>#NAME?</x:v>
      </x:c>
    </x:row>
    <x:row r="574">
      <x:c r="B574" s="146" t="e">
        <x:f>IF($A574="","",[1]!thsiFinD("ths_adjustment_nv_fund",B$3,$A574))</x:f>
        <x:v>#NAME?</x:v>
      </x:c>
      <x:c r="C574" s="146" t="e">
        <x:f>IF($A574="","",[1]!thsiFinD("ths_adjustment_nv_fund",C$3,$A574))</x:f>
        <x:v>#NAME?</x:v>
      </x:c>
      <x:c r="D574" s="146" t="e">
        <x:f>IF($A574="","",[1]!thsiFinD("ths_adjustment_nv_fund",D$3,$A574))</x:f>
        <x:v>#NAME?</x:v>
      </x:c>
      <x:c r="E574" s="146" t="e">
        <x:f>IF($A574="","",[1]!thsiFinD("ths_adjustment_nv_fund",E$3,$A574))</x:f>
        <x:v>#NAME?</x:v>
      </x:c>
      <x:c r="F574" s="146" t="e">
        <x:f>IF($A574="","",[1]!thsiFinD("ths_adjustment_nv_fund",F$3,$A574))</x:f>
        <x:v>#NAME?</x:v>
      </x:c>
      <x:c r="G574" s="146" t="e">
        <x:f>IF($A574="","",[1]!thsiFinD("ths_adjustment_nv_fund",G$3,$A574))</x:f>
        <x:v>#NAME?</x:v>
      </x:c>
      <x:c r="H574" s="146" t="e">
        <x:f>IF($A574="","",[1]!thsiFinD("ths_adjustment_nv_fund",H$3,$A574))</x:f>
        <x:v>#NAME?</x:v>
      </x:c>
      <x:c r="I574" s="146" t="e">
        <x:f>IF($A574="","",[1]!thsiFinD("ths_adjustment_nv_fund",I$3,$A574))</x:f>
        <x:v>#NAME?</x:v>
      </x:c>
      <x:c r="J574" s="146" t="e">
        <x:f>IF($A574="","",[1]!thsiFinD("ths_adjustment_nv_fund",J$3,$A574))</x:f>
        <x:v>#NAME?</x:v>
      </x:c>
      <x:c r="K574" s="146" t="e">
        <x:f>IF($A574="","",[1]!thsiFinD("ths_adjustment_nv_fund",K$3,$A574))</x:f>
        <x:v>#NAME?</x:v>
      </x:c>
      <x:c r="L574" s="146" t="e">
        <x:f>IF($A574="","",[1]!thsiFinD("ths_adjustment_nv_fund",L$3,$A574))</x:f>
        <x:v>#NAME?</x:v>
      </x:c>
      <x:c r="M574" s="146" t="e">
        <x:f>IF($A574="","",[1]!thsiFinD("ths_adjustment_nv_fund",M$3,$A574))</x:f>
        <x:v>#NAME?</x:v>
      </x:c>
      <x:c r="N574" s="146" t="e">
        <x:f>IF($A574="","",[1]!thsiFinD("ths_adjustment_nv_fund",N$3,$A574))</x:f>
        <x:v>#NAME?</x:v>
      </x:c>
      <x:c r="O574" s="146" t="e">
        <x:f>IF($A574="","",[1]!thsiFinD("ths_adjustment_nv_fund",O$3,$A574))</x:f>
        <x:v>#NAME?</x:v>
      </x:c>
      <x:c r="P574" s="146" t="e">
        <x:f>IF($A574="","",[1]!thsiFinD("ths_adjustment_nv_fund",P$3,$A574))</x:f>
        <x:v>#NAME?</x:v>
      </x:c>
      <x:c r="Q574" s="146" t="e">
        <x:f>IF($A574="","",[1]!thsiFinD("ths_adjustment_nv_fund",Q$3,$A574))</x:f>
        <x:v>#NAME?</x:v>
      </x:c>
      <x:c r="R574" s="146" t="e">
        <x:f>IF($A574="","",[1]!thsiFinD("ths_adjustment_nv_fund",R$3,$A574))</x:f>
        <x:v>#NAME?</x:v>
      </x:c>
      <x:c r="S574" s="146" t="e">
        <x:f>IF($A574="","",[1]!thsiFinD("ths_adjustment_nv_fund",S$3,$A574))</x:f>
        <x:v>#NAME?</x:v>
      </x:c>
      <x:c r="T574" s="146" t="e">
        <x:f>IF($A574="","",[1]!thsiFinD("ths_adjustment_nv_fund",T$3,$A574))</x:f>
        <x:v>#NAME?</x:v>
      </x:c>
      <x:c r="U574" s="146" t="e">
        <x:f>IF($A574="","",[1]!thsiFinD("ths_adjustment_nv_fund",U$3,$A574))</x:f>
        <x:v>#NAME?</x:v>
      </x:c>
      <x:c r="V574" s="146" t="e">
        <x:f>IF($A574="","",[1]!thsiFinD("ths_adjustment_nv_fund",V$3,$A574))</x:f>
        <x:v>#NAME?</x:v>
      </x:c>
      <x:c r="W574" s="146" t="e">
        <x:f>IF($A574="","",[1]!thsiFinD("ths_adjustment_nv_fund",W$3,$A574))</x:f>
        <x:v>#NAME?</x:v>
      </x:c>
      <x:c r="X574" s="146" t="e">
        <x:f>IF($A574="","",[1]!thsiFinD("ths_adjustment_nv_fund",X$3,$A574))</x:f>
        <x:v>#NAME?</x:v>
      </x:c>
      <x:c r="Y574" s="146" t="e">
        <x:f>IF($A574="","",[1]!thsiFinD("ths_adjustment_nv_fund",Y$3,$A574))</x:f>
        <x:v>#NAME?</x:v>
      </x:c>
      <x:c r="Z574" s="146" t="e">
        <x:f>IF($A574="","",[1]!thsiFinD("ths_adjustment_nv_fund",Z$3,$A574))</x:f>
        <x:v>#NAME?</x:v>
      </x:c>
      <x:c r="AA574" s="146" t="e">
        <x:f>IF($A574="","",[1]!thsiFinD("ths_adjustment_nv_fund",AA$3,$A574))</x:f>
        <x:v>#NAME?</x:v>
      </x:c>
    </x:row>
    <x:row r="575">
      <x:c r="B575" s="146" t="e">
        <x:f>IF($A575="","",[1]!thsiFinD("ths_adjustment_nv_fund",B$3,$A575))</x:f>
        <x:v>#NAME?</x:v>
      </x:c>
      <x:c r="C575" s="146" t="e">
        <x:f>IF($A575="","",[1]!thsiFinD("ths_adjustment_nv_fund",C$3,$A575))</x:f>
        <x:v>#NAME?</x:v>
      </x:c>
      <x:c r="D575" s="146" t="e">
        <x:f>IF($A575="","",[1]!thsiFinD("ths_adjustment_nv_fund",D$3,$A575))</x:f>
        <x:v>#NAME?</x:v>
      </x:c>
      <x:c r="E575" s="146" t="e">
        <x:f>IF($A575="","",[1]!thsiFinD("ths_adjustment_nv_fund",E$3,$A575))</x:f>
        <x:v>#NAME?</x:v>
      </x:c>
      <x:c r="F575" s="146" t="e">
        <x:f>IF($A575="","",[1]!thsiFinD("ths_adjustment_nv_fund",F$3,$A575))</x:f>
        <x:v>#NAME?</x:v>
      </x:c>
      <x:c r="G575" s="146" t="e">
        <x:f>IF($A575="","",[1]!thsiFinD("ths_adjustment_nv_fund",G$3,$A575))</x:f>
        <x:v>#NAME?</x:v>
      </x:c>
      <x:c r="H575" s="146" t="e">
        <x:f>IF($A575="","",[1]!thsiFinD("ths_adjustment_nv_fund",H$3,$A575))</x:f>
        <x:v>#NAME?</x:v>
      </x:c>
      <x:c r="I575" s="146" t="e">
        <x:f>IF($A575="","",[1]!thsiFinD("ths_adjustment_nv_fund",I$3,$A575))</x:f>
        <x:v>#NAME?</x:v>
      </x:c>
      <x:c r="J575" s="146" t="e">
        <x:f>IF($A575="","",[1]!thsiFinD("ths_adjustment_nv_fund",J$3,$A575))</x:f>
        <x:v>#NAME?</x:v>
      </x:c>
      <x:c r="K575" s="146" t="e">
        <x:f>IF($A575="","",[1]!thsiFinD("ths_adjustment_nv_fund",K$3,$A575))</x:f>
        <x:v>#NAME?</x:v>
      </x:c>
      <x:c r="L575" s="146" t="e">
        <x:f>IF($A575="","",[1]!thsiFinD("ths_adjustment_nv_fund",L$3,$A575))</x:f>
        <x:v>#NAME?</x:v>
      </x:c>
      <x:c r="M575" s="146" t="e">
        <x:f>IF($A575="","",[1]!thsiFinD("ths_adjustment_nv_fund",M$3,$A575))</x:f>
        <x:v>#NAME?</x:v>
      </x:c>
      <x:c r="N575" s="146" t="e">
        <x:f>IF($A575="","",[1]!thsiFinD("ths_adjustment_nv_fund",N$3,$A575))</x:f>
        <x:v>#NAME?</x:v>
      </x:c>
      <x:c r="O575" s="146" t="e">
        <x:f>IF($A575="","",[1]!thsiFinD("ths_adjustment_nv_fund",O$3,$A575))</x:f>
        <x:v>#NAME?</x:v>
      </x:c>
      <x:c r="P575" s="146" t="e">
        <x:f>IF($A575="","",[1]!thsiFinD("ths_adjustment_nv_fund",P$3,$A575))</x:f>
        <x:v>#NAME?</x:v>
      </x:c>
      <x:c r="Q575" s="146" t="e">
        <x:f>IF($A575="","",[1]!thsiFinD("ths_adjustment_nv_fund",Q$3,$A575))</x:f>
        <x:v>#NAME?</x:v>
      </x:c>
      <x:c r="R575" s="146" t="e">
        <x:f>IF($A575="","",[1]!thsiFinD("ths_adjustment_nv_fund",R$3,$A575))</x:f>
        <x:v>#NAME?</x:v>
      </x:c>
      <x:c r="S575" s="146" t="e">
        <x:f>IF($A575="","",[1]!thsiFinD("ths_adjustment_nv_fund",S$3,$A575))</x:f>
        <x:v>#NAME?</x:v>
      </x:c>
      <x:c r="T575" s="146" t="e">
        <x:f>IF($A575="","",[1]!thsiFinD("ths_adjustment_nv_fund",T$3,$A575))</x:f>
        <x:v>#NAME?</x:v>
      </x:c>
      <x:c r="U575" s="146" t="e">
        <x:f>IF($A575="","",[1]!thsiFinD("ths_adjustment_nv_fund",U$3,$A575))</x:f>
        <x:v>#NAME?</x:v>
      </x:c>
      <x:c r="V575" s="146" t="e">
        <x:f>IF($A575="","",[1]!thsiFinD("ths_adjustment_nv_fund",V$3,$A575))</x:f>
        <x:v>#NAME?</x:v>
      </x:c>
      <x:c r="W575" s="146" t="e">
        <x:f>IF($A575="","",[1]!thsiFinD("ths_adjustment_nv_fund",W$3,$A575))</x:f>
        <x:v>#NAME?</x:v>
      </x:c>
      <x:c r="X575" s="146" t="e">
        <x:f>IF($A575="","",[1]!thsiFinD("ths_adjustment_nv_fund",X$3,$A575))</x:f>
        <x:v>#NAME?</x:v>
      </x:c>
      <x:c r="Y575" s="146" t="e">
        <x:f>IF($A575="","",[1]!thsiFinD("ths_adjustment_nv_fund",Y$3,$A575))</x:f>
        <x:v>#NAME?</x:v>
      </x:c>
      <x:c r="Z575" s="146" t="e">
        <x:f>IF($A575="","",[1]!thsiFinD("ths_adjustment_nv_fund",Z$3,$A575))</x:f>
        <x:v>#NAME?</x:v>
      </x:c>
      <x:c r="AA575" s="146" t="e">
        <x:f>IF($A575="","",[1]!thsiFinD("ths_adjustment_nv_fund",AA$3,$A575))</x:f>
        <x:v>#NAME?</x:v>
      </x:c>
    </x:row>
    <x:row r="576">
      <x:c r="B576" s="146" t="e">
        <x:f>IF($A576="","",[1]!thsiFinD("ths_adjustment_nv_fund",B$3,$A576))</x:f>
        <x:v>#NAME?</x:v>
      </x:c>
      <x:c r="C576" s="146" t="e">
        <x:f>IF($A576="","",[1]!thsiFinD("ths_adjustment_nv_fund",C$3,$A576))</x:f>
        <x:v>#NAME?</x:v>
      </x:c>
      <x:c r="D576" s="146" t="e">
        <x:f>IF($A576="","",[1]!thsiFinD("ths_adjustment_nv_fund",D$3,$A576))</x:f>
        <x:v>#NAME?</x:v>
      </x:c>
      <x:c r="E576" s="146" t="e">
        <x:f>IF($A576="","",[1]!thsiFinD("ths_adjustment_nv_fund",E$3,$A576))</x:f>
        <x:v>#NAME?</x:v>
      </x:c>
      <x:c r="F576" s="146" t="e">
        <x:f>IF($A576="","",[1]!thsiFinD("ths_adjustment_nv_fund",F$3,$A576))</x:f>
        <x:v>#NAME?</x:v>
      </x:c>
      <x:c r="G576" s="146" t="e">
        <x:f>IF($A576="","",[1]!thsiFinD("ths_adjustment_nv_fund",G$3,$A576))</x:f>
        <x:v>#NAME?</x:v>
      </x:c>
      <x:c r="H576" s="146" t="e">
        <x:f>IF($A576="","",[1]!thsiFinD("ths_adjustment_nv_fund",H$3,$A576))</x:f>
        <x:v>#NAME?</x:v>
      </x:c>
      <x:c r="I576" s="146" t="e">
        <x:f>IF($A576="","",[1]!thsiFinD("ths_adjustment_nv_fund",I$3,$A576))</x:f>
        <x:v>#NAME?</x:v>
      </x:c>
      <x:c r="J576" s="146" t="e">
        <x:f>IF($A576="","",[1]!thsiFinD("ths_adjustment_nv_fund",J$3,$A576))</x:f>
        <x:v>#NAME?</x:v>
      </x:c>
      <x:c r="K576" s="146" t="e">
        <x:f>IF($A576="","",[1]!thsiFinD("ths_adjustment_nv_fund",K$3,$A576))</x:f>
        <x:v>#NAME?</x:v>
      </x:c>
      <x:c r="L576" s="146" t="e">
        <x:f>IF($A576="","",[1]!thsiFinD("ths_adjustment_nv_fund",L$3,$A576))</x:f>
        <x:v>#NAME?</x:v>
      </x:c>
      <x:c r="M576" s="146" t="e">
        <x:f>IF($A576="","",[1]!thsiFinD("ths_adjustment_nv_fund",M$3,$A576))</x:f>
        <x:v>#NAME?</x:v>
      </x:c>
      <x:c r="N576" s="146" t="e">
        <x:f>IF($A576="","",[1]!thsiFinD("ths_adjustment_nv_fund",N$3,$A576))</x:f>
        <x:v>#NAME?</x:v>
      </x:c>
      <x:c r="O576" s="146" t="e">
        <x:f>IF($A576="","",[1]!thsiFinD("ths_adjustment_nv_fund",O$3,$A576))</x:f>
        <x:v>#NAME?</x:v>
      </x:c>
      <x:c r="P576" s="146" t="e">
        <x:f>IF($A576="","",[1]!thsiFinD("ths_adjustment_nv_fund",P$3,$A576))</x:f>
        <x:v>#NAME?</x:v>
      </x:c>
      <x:c r="Q576" s="146" t="e">
        <x:f>IF($A576="","",[1]!thsiFinD("ths_adjustment_nv_fund",Q$3,$A576))</x:f>
        <x:v>#NAME?</x:v>
      </x:c>
      <x:c r="R576" s="146" t="e">
        <x:f>IF($A576="","",[1]!thsiFinD("ths_adjustment_nv_fund",R$3,$A576))</x:f>
        <x:v>#NAME?</x:v>
      </x:c>
      <x:c r="S576" s="146" t="e">
        <x:f>IF($A576="","",[1]!thsiFinD("ths_adjustment_nv_fund",S$3,$A576))</x:f>
        <x:v>#NAME?</x:v>
      </x:c>
      <x:c r="T576" s="146" t="e">
        <x:f>IF($A576="","",[1]!thsiFinD("ths_adjustment_nv_fund",T$3,$A576))</x:f>
        <x:v>#NAME?</x:v>
      </x:c>
      <x:c r="U576" s="146" t="e">
        <x:f>IF($A576="","",[1]!thsiFinD("ths_adjustment_nv_fund",U$3,$A576))</x:f>
        <x:v>#NAME?</x:v>
      </x:c>
      <x:c r="V576" s="146" t="e">
        <x:f>IF($A576="","",[1]!thsiFinD("ths_adjustment_nv_fund",V$3,$A576))</x:f>
        <x:v>#NAME?</x:v>
      </x:c>
      <x:c r="W576" s="146" t="e">
        <x:f>IF($A576="","",[1]!thsiFinD("ths_adjustment_nv_fund",W$3,$A576))</x:f>
        <x:v>#NAME?</x:v>
      </x:c>
      <x:c r="X576" s="146" t="e">
        <x:f>IF($A576="","",[1]!thsiFinD("ths_adjustment_nv_fund",X$3,$A576))</x:f>
        <x:v>#NAME?</x:v>
      </x:c>
      <x:c r="Y576" s="146" t="e">
        <x:f>IF($A576="","",[1]!thsiFinD("ths_adjustment_nv_fund",Y$3,$A576))</x:f>
        <x:v>#NAME?</x:v>
      </x:c>
      <x:c r="Z576" s="146" t="e">
        <x:f>IF($A576="","",[1]!thsiFinD("ths_adjustment_nv_fund",Z$3,$A576))</x:f>
        <x:v>#NAME?</x:v>
      </x:c>
      <x:c r="AA576" s="146" t="e">
        <x:f>IF($A576="","",[1]!thsiFinD("ths_adjustment_nv_fund",AA$3,$A576))</x:f>
        <x:v>#NAME?</x:v>
      </x:c>
    </x:row>
    <x:row r="577">
      <x:c r="B577" s="146" t="e">
        <x:f>IF($A577="","",[1]!thsiFinD("ths_adjustment_nv_fund",B$3,$A577))</x:f>
        <x:v>#NAME?</x:v>
      </x:c>
      <x:c r="C577" s="146" t="e">
        <x:f>IF($A577="","",[1]!thsiFinD("ths_adjustment_nv_fund",C$3,$A577))</x:f>
        <x:v>#NAME?</x:v>
      </x:c>
      <x:c r="D577" s="146" t="e">
        <x:f>IF($A577="","",[1]!thsiFinD("ths_adjustment_nv_fund",D$3,$A577))</x:f>
        <x:v>#NAME?</x:v>
      </x:c>
      <x:c r="E577" s="146" t="e">
        <x:f>IF($A577="","",[1]!thsiFinD("ths_adjustment_nv_fund",E$3,$A577))</x:f>
        <x:v>#NAME?</x:v>
      </x:c>
      <x:c r="F577" s="146" t="e">
        <x:f>IF($A577="","",[1]!thsiFinD("ths_adjustment_nv_fund",F$3,$A577))</x:f>
        <x:v>#NAME?</x:v>
      </x:c>
      <x:c r="G577" s="146" t="e">
        <x:f>IF($A577="","",[1]!thsiFinD("ths_adjustment_nv_fund",G$3,$A577))</x:f>
        <x:v>#NAME?</x:v>
      </x:c>
      <x:c r="H577" s="146" t="e">
        <x:f>IF($A577="","",[1]!thsiFinD("ths_adjustment_nv_fund",H$3,$A577))</x:f>
        <x:v>#NAME?</x:v>
      </x:c>
      <x:c r="I577" s="146" t="e">
        <x:f>IF($A577="","",[1]!thsiFinD("ths_adjustment_nv_fund",I$3,$A577))</x:f>
        <x:v>#NAME?</x:v>
      </x:c>
      <x:c r="J577" s="146" t="e">
        <x:f>IF($A577="","",[1]!thsiFinD("ths_adjustment_nv_fund",J$3,$A577))</x:f>
        <x:v>#NAME?</x:v>
      </x:c>
      <x:c r="K577" s="146" t="e">
        <x:f>IF($A577="","",[1]!thsiFinD("ths_adjustment_nv_fund",K$3,$A577))</x:f>
        <x:v>#NAME?</x:v>
      </x:c>
      <x:c r="L577" s="146" t="e">
        <x:f>IF($A577="","",[1]!thsiFinD("ths_adjustment_nv_fund",L$3,$A577))</x:f>
        <x:v>#NAME?</x:v>
      </x:c>
      <x:c r="M577" s="146" t="e">
        <x:f>IF($A577="","",[1]!thsiFinD("ths_adjustment_nv_fund",M$3,$A577))</x:f>
        <x:v>#NAME?</x:v>
      </x:c>
      <x:c r="N577" s="146" t="e">
        <x:f>IF($A577="","",[1]!thsiFinD("ths_adjustment_nv_fund",N$3,$A577))</x:f>
        <x:v>#NAME?</x:v>
      </x:c>
      <x:c r="O577" s="146" t="e">
        <x:f>IF($A577="","",[1]!thsiFinD("ths_adjustment_nv_fund",O$3,$A577))</x:f>
        <x:v>#NAME?</x:v>
      </x:c>
      <x:c r="P577" s="146" t="e">
        <x:f>IF($A577="","",[1]!thsiFinD("ths_adjustment_nv_fund",P$3,$A577))</x:f>
        <x:v>#NAME?</x:v>
      </x:c>
      <x:c r="Q577" s="146" t="e">
        <x:f>IF($A577="","",[1]!thsiFinD("ths_adjustment_nv_fund",Q$3,$A577))</x:f>
        <x:v>#NAME?</x:v>
      </x:c>
      <x:c r="R577" s="146" t="e">
        <x:f>IF($A577="","",[1]!thsiFinD("ths_adjustment_nv_fund",R$3,$A577))</x:f>
        <x:v>#NAME?</x:v>
      </x:c>
      <x:c r="S577" s="146" t="e">
        <x:f>IF($A577="","",[1]!thsiFinD("ths_adjustment_nv_fund",S$3,$A577))</x:f>
        <x:v>#NAME?</x:v>
      </x:c>
      <x:c r="T577" s="146" t="e">
        <x:f>IF($A577="","",[1]!thsiFinD("ths_adjustment_nv_fund",T$3,$A577))</x:f>
        <x:v>#NAME?</x:v>
      </x:c>
      <x:c r="U577" s="146" t="e">
        <x:f>IF($A577="","",[1]!thsiFinD("ths_adjustment_nv_fund",U$3,$A577))</x:f>
        <x:v>#NAME?</x:v>
      </x:c>
      <x:c r="V577" s="146" t="e">
        <x:f>IF($A577="","",[1]!thsiFinD("ths_adjustment_nv_fund",V$3,$A577))</x:f>
        <x:v>#NAME?</x:v>
      </x:c>
      <x:c r="W577" s="146" t="e">
        <x:f>IF($A577="","",[1]!thsiFinD("ths_adjustment_nv_fund",W$3,$A577))</x:f>
        <x:v>#NAME?</x:v>
      </x:c>
      <x:c r="X577" s="146" t="e">
        <x:f>IF($A577="","",[1]!thsiFinD("ths_adjustment_nv_fund",X$3,$A577))</x:f>
        <x:v>#NAME?</x:v>
      </x:c>
      <x:c r="Y577" s="146" t="e">
        <x:f>IF($A577="","",[1]!thsiFinD("ths_adjustment_nv_fund",Y$3,$A577))</x:f>
        <x:v>#NAME?</x:v>
      </x:c>
      <x:c r="Z577" s="146" t="e">
        <x:f>IF($A577="","",[1]!thsiFinD("ths_adjustment_nv_fund",Z$3,$A577))</x:f>
        <x:v>#NAME?</x:v>
      </x:c>
      <x:c r="AA577" s="146" t="e">
        <x:f>IF($A577="","",[1]!thsiFinD("ths_adjustment_nv_fund",AA$3,$A577))</x:f>
        <x:v>#NAME?</x:v>
      </x:c>
    </x:row>
    <x:row r="578">
      <x:c r="B578" s="146" t="e">
        <x:f>IF($A578="","",[1]!thsiFinD("ths_adjustment_nv_fund",B$3,$A578))</x:f>
        <x:v>#NAME?</x:v>
      </x:c>
      <x:c r="C578" s="146" t="e">
        <x:f>IF($A578="","",[1]!thsiFinD("ths_adjustment_nv_fund",C$3,$A578))</x:f>
        <x:v>#NAME?</x:v>
      </x:c>
      <x:c r="D578" s="146" t="e">
        <x:f>IF($A578="","",[1]!thsiFinD("ths_adjustment_nv_fund",D$3,$A578))</x:f>
        <x:v>#NAME?</x:v>
      </x:c>
      <x:c r="E578" s="146" t="e">
        <x:f>IF($A578="","",[1]!thsiFinD("ths_adjustment_nv_fund",E$3,$A578))</x:f>
        <x:v>#NAME?</x:v>
      </x:c>
      <x:c r="F578" s="146" t="e">
        <x:f>IF($A578="","",[1]!thsiFinD("ths_adjustment_nv_fund",F$3,$A578))</x:f>
        <x:v>#NAME?</x:v>
      </x:c>
      <x:c r="G578" s="146" t="e">
        <x:f>IF($A578="","",[1]!thsiFinD("ths_adjustment_nv_fund",G$3,$A578))</x:f>
        <x:v>#NAME?</x:v>
      </x:c>
      <x:c r="H578" s="146" t="e">
        <x:f>IF($A578="","",[1]!thsiFinD("ths_adjustment_nv_fund",H$3,$A578))</x:f>
        <x:v>#NAME?</x:v>
      </x:c>
      <x:c r="I578" s="146" t="e">
        <x:f>IF($A578="","",[1]!thsiFinD("ths_adjustment_nv_fund",I$3,$A578))</x:f>
        <x:v>#NAME?</x:v>
      </x:c>
      <x:c r="J578" s="146" t="e">
        <x:f>IF($A578="","",[1]!thsiFinD("ths_adjustment_nv_fund",J$3,$A578))</x:f>
        <x:v>#NAME?</x:v>
      </x:c>
      <x:c r="K578" s="146" t="e">
        <x:f>IF($A578="","",[1]!thsiFinD("ths_adjustment_nv_fund",K$3,$A578))</x:f>
        <x:v>#NAME?</x:v>
      </x:c>
      <x:c r="L578" s="146" t="e">
        <x:f>IF($A578="","",[1]!thsiFinD("ths_adjustment_nv_fund",L$3,$A578))</x:f>
        <x:v>#NAME?</x:v>
      </x:c>
      <x:c r="M578" s="146" t="e">
        <x:f>IF($A578="","",[1]!thsiFinD("ths_adjustment_nv_fund",M$3,$A578))</x:f>
        <x:v>#NAME?</x:v>
      </x:c>
      <x:c r="N578" s="146" t="e">
        <x:f>IF($A578="","",[1]!thsiFinD("ths_adjustment_nv_fund",N$3,$A578))</x:f>
        <x:v>#NAME?</x:v>
      </x:c>
      <x:c r="O578" s="146" t="e">
        <x:f>IF($A578="","",[1]!thsiFinD("ths_adjustment_nv_fund",O$3,$A578))</x:f>
        <x:v>#NAME?</x:v>
      </x:c>
      <x:c r="P578" s="146" t="e">
        <x:f>IF($A578="","",[1]!thsiFinD("ths_adjustment_nv_fund",P$3,$A578))</x:f>
        <x:v>#NAME?</x:v>
      </x:c>
      <x:c r="Q578" s="146" t="e">
        <x:f>IF($A578="","",[1]!thsiFinD("ths_adjustment_nv_fund",Q$3,$A578))</x:f>
        <x:v>#NAME?</x:v>
      </x:c>
      <x:c r="R578" s="146" t="e">
        <x:f>IF($A578="","",[1]!thsiFinD("ths_adjustment_nv_fund",R$3,$A578))</x:f>
        <x:v>#NAME?</x:v>
      </x:c>
      <x:c r="S578" s="146" t="e">
        <x:f>IF($A578="","",[1]!thsiFinD("ths_adjustment_nv_fund",S$3,$A578))</x:f>
        <x:v>#NAME?</x:v>
      </x:c>
      <x:c r="T578" s="146" t="e">
        <x:f>IF($A578="","",[1]!thsiFinD("ths_adjustment_nv_fund",T$3,$A578))</x:f>
        <x:v>#NAME?</x:v>
      </x:c>
      <x:c r="U578" s="146" t="e">
        <x:f>IF($A578="","",[1]!thsiFinD("ths_adjustment_nv_fund",U$3,$A578))</x:f>
        <x:v>#NAME?</x:v>
      </x:c>
      <x:c r="V578" s="146" t="e">
        <x:f>IF($A578="","",[1]!thsiFinD("ths_adjustment_nv_fund",V$3,$A578))</x:f>
        <x:v>#NAME?</x:v>
      </x:c>
      <x:c r="W578" s="146" t="e">
        <x:f>IF($A578="","",[1]!thsiFinD("ths_adjustment_nv_fund",W$3,$A578))</x:f>
        <x:v>#NAME?</x:v>
      </x:c>
      <x:c r="X578" s="146" t="e">
        <x:f>IF($A578="","",[1]!thsiFinD("ths_adjustment_nv_fund",X$3,$A578))</x:f>
        <x:v>#NAME?</x:v>
      </x:c>
      <x:c r="Y578" s="146" t="e">
        <x:f>IF($A578="","",[1]!thsiFinD("ths_adjustment_nv_fund",Y$3,$A578))</x:f>
        <x:v>#NAME?</x:v>
      </x:c>
      <x:c r="Z578" s="146" t="e">
        <x:f>IF($A578="","",[1]!thsiFinD("ths_adjustment_nv_fund",Z$3,$A578))</x:f>
        <x:v>#NAME?</x:v>
      </x:c>
      <x:c r="AA578" s="146" t="e">
        <x:f>IF($A578="","",[1]!thsiFinD("ths_adjustment_nv_fund",AA$3,$A578))</x:f>
        <x:v>#NAME?</x:v>
      </x:c>
    </x:row>
    <x:row r="579">
      <x:c r="B579" s="146" t="e">
        <x:f>IF($A579="","",[1]!thsiFinD("ths_adjustment_nv_fund",B$3,$A579))</x:f>
        <x:v>#NAME?</x:v>
      </x:c>
      <x:c r="C579" s="146" t="e">
        <x:f>IF($A579="","",[1]!thsiFinD("ths_adjustment_nv_fund",C$3,$A579))</x:f>
        <x:v>#NAME?</x:v>
      </x:c>
      <x:c r="D579" s="146" t="e">
        <x:f>IF($A579="","",[1]!thsiFinD("ths_adjustment_nv_fund",D$3,$A579))</x:f>
        <x:v>#NAME?</x:v>
      </x:c>
      <x:c r="E579" s="146" t="e">
        <x:f>IF($A579="","",[1]!thsiFinD("ths_adjustment_nv_fund",E$3,$A579))</x:f>
        <x:v>#NAME?</x:v>
      </x:c>
      <x:c r="F579" s="146" t="e">
        <x:f>IF($A579="","",[1]!thsiFinD("ths_adjustment_nv_fund",F$3,$A579))</x:f>
        <x:v>#NAME?</x:v>
      </x:c>
      <x:c r="G579" s="146" t="e">
        <x:f>IF($A579="","",[1]!thsiFinD("ths_adjustment_nv_fund",G$3,$A579))</x:f>
        <x:v>#NAME?</x:v>
      </x:c>
      <x:c r="H579" s="146" t="e">
        <x:f>IF($A579="","",[1]!thsiFinD("ths_adjustment_nv_fund",H$3,$A579))</x:f>
        <x:v>#NAME?</x:v>
      </x:c>
      <x:c r="I579" s="146" t="e">
        <x:f>IF($A579="","",[1]!thsiFinD("ths_adjustment_nv_fund",I$3,$A579))</x:f>
        <x:v>#NAME?</x:v>
      </x:c>
      <x:c r="J579" s="146" t="e">
        <x:f>IF($A579="","",[1]!thsiFinD("ths_adjustment_nv_fund",J$3,$A579))</x:f>
        <x:v>#NAME?</x:v>
      </x:c>
      <x:c r="K579" s="146" t="e">
        <x:f>IF($A579="","",[1]!thsiFinD("ths_adjustment_nv_fund",K$3,$A579))</x:f>
        <x:v>#NAME?</x:v>
      </x:c>
      <x:c r="L579" s="146" t="e">
        <x:f>IF($A579="","",[1]!thsiFinD("ths_adjustment_nv_fund",L$3,$A579))</x:f>
        <x:v>#NAME?</x:v>
      </x:c>
      <x:c r="M579" s="146" t="e">
        <x:f>IF($A579="","",[1]!thsiFinD("ths_adjustment_nv_fund",M$3,$A579))</x:f>
        <x:v>#NAME?</x:v>
      </x:c>
      <x:c r="N579" s="146" t="e">
        <x:f>IF($A579="","",[1]!thsiFinD("ths_adjustment_nv_fund",N$3,$A579))</x:f>
        <x:v>#NAME?</x:v>
      </x:c>
      <x:c r="O579" s="146" t="e">
        <x:f>IF($A579="","",[1]!thsiFinD("ths_adjustment_nv_fund",O$3,$A579))</x:f>
        <x:v>#NAME?</x:v>
      </x:c>
      <x:c r="P579" s="146" t="e">
        <x:f>IF($A579="","",[1]!thsiFinD("ths_adjustment_nv_fund",P$3,$A579))</x:f>
        <x:v>#NAME?</x:v>
      </x:c>
      <x:c r="Q579" s="146" t="e">
        <x:f>IF($A579="","",[1]!thsiFinD("ths_adjustment_nv_fund",Q$3,$A579))</x:f>
        <x:v>#NAME?</x:v>
      </x:c>
      <x:c r="R579" s="146" t="e">
        <x:f>IF($A579="","",[1]!thsiFinD("ths_adjustment_nv_fund",R$3,$A579))</x:f>
        <x:v>#NAME?</x:v>
      </x:c>
      <x:c r="S579" s="146" t="e">
        <x:f>IF($A579="","",[1]!thsiFinD("ths_adjustment_nv_fund",S$3,$A579))</x:f>
        <x:v>#NAME?</x:v>
      </x:c>
      <x:c r="T579" s="146" t="e">
        <x:f>IF($A579="","",[1]!thsiFinD("ths_adjustment_nv_fund",T$3,$A579))</x:f>
        <x:v>#NAME?</x:v>
      </x:c>
      <x:c r="U579" s="146" t="e">
        <x:f>IF($A579="","",[1]!thsiFinD("ths_adjustment_nv_fund",U$3,$A579))</x:f>
        <x:v>#NAME?</x:v>
      </x:c>
      <x:c r="V579" s="146" t="e">
        <x:f>IF($A579="","",[1]!thsiFinD("ths_adjustment_nv_fund",V$3,$A579))</x:f>
        <x:v>#NAME?</x:v>
      </x:c>
      <x:c r="W579" s="146" t="e">
        <x:f>IF($A579="","",[1]!thsiFinD("ths_adjustment_nv_fund",W$3,$A579))</x:f>
        <x:v>#NAME?</x:v>
      </x:c>
      <x:c r="X579" s="146" t="e">
        <x:f>IF($A579="","",[1]!thsiFinD("ths_adjustment_nv_fund",X$3,$A579))</x:f>
        <x:v>#NAME?</x:v>
      </x:c>
      <x:c r="Y579" s="146" t="e">
        <x:f>IF($A579="","",[1]!thsiFinD("ths_adjustment_nv_fund",Y$3,$A579))</x:f>
        <x:v>#NAME?</x:v>
      </x:c>
      <x:c r="Z579" s="146" t="e">
        <x:f>IF($A579="","",[1]!thsiFinD("ths_adjustment_nv_fund",Z$3,$A579))</x:f>
        <x:v>#NAME?</x:v>
      </x:c>
      <x:c r="AA579" s="146" t="e">
        <x:f>IF($A579="","",[1]!thsiFinD("ths_adjustment_nv_fund",AA$3,$A579))</x:f>
        <x:v>#NAME?</x:v>
      </x:c>
    </x:row>
    <x:row r="580">
      <x:c r="B580" s="146" t="e">
        <x:f>IF($A580="","",[1]!thsiFinD("ths_adjustment_nv_fund",B$3,$A580))</x:f>
        <x:v>#NAME?</x:v>
      </x:c>
      <x:c r="C580" s="146" t="e">
        <x:f>IF($A580="","",[1]!thsiFinD("ths_adjustment_nv_fund",C$3,$A580))</x:f>
        <x:v>#NAME?</x:v>
      </x:c>
      <x:c r="D580" s="146" t="e">
        <x:f>IF($A580="","",[1]!thsiFinD("ths_adjustment_nv_fund",D$3,$A580))</x:f>
        <x:v>#NAME?</x:v>
      </x:c>
      <x:c r="E580" s="146" t="e">
        <x:f>IF($A580="","",[1]!thsiFinD("ths_adjustment_nv_fund",E$3,$A580))</x:f>
        <x:v>#NAME?</x:v>
      </x:c>
      <x:c r="F580" s="146" t="e">
        <x:f>IF($A580="","",[1]!thsiFinD("ths_adjustment_nv_fund",F$3,$A580))</x:f>
        <x:v>#NAME?</x:v>
      </x:c>
      <x:c r="G580" s="146" t="e">
        <x:f>IF($A580="","",[1]!thsiFinD("ths_adjustment_nv_fund",G$3,$A580))</x:f>
        <x:v>#NAME?</x:v>
      </x:c>
      <x:c r="H580" s="146" t="e">
        <x:f>IF($A580="","",[1]!thsiFinD("ths_adjustment_nv_fund",H$3,$A580))</x:f>
        <x:v>#NAME?</x:v>
      </x:c>
      <x:c r="I580" s="146" t="e">
        <x:f>IF($A580="","",[1]!thsiFinD("ths_adjustment_nv_fund",I$3,$A580))</x:f>
        <x:v>#NAME?</x:v>
      </x:c>
      <x:c r="J580" s="146" t="e">
        <x:f>IF($A580="","",[1]!thsiFinD("ths_adjustment_nv_fund",J$3,$A580))</x:f>
        <x:v>#NAME?</x:v>
      </x:c>
      <x:c r="K580" s="146" t="e">
        <x:f>IF($A580="","",[1]!thsiFinD("ths_adjustment_nv_fund",K$3,$A580))</x:f>
        <x:v>#NAME?</x:v>
      </x:c>
      <x:c r="L580" s="146" t="e">
        <x:f>IF($A580="","",[1]!thsiFinD("ths_adjustment_nv_fund",L$3,$A580))</x:f>
        <x:v>#NAME?</x:v>
      </x:c>
      <x:c r="M580" s="146" t="e">
        <x:f>IF($A580="","",[1]!thsiFinD("ths_adjustment_nv_fund",M$3,$A580))</x:f>
        <x:v>#NAME?</x:v>
      </x:c>
      <x:c r="N580" s="146" t="e">
        <x:f>IF($A580="","",[1]!thsiFinD("ths_adjustment_nv_fund",N$3,$A580))</x:f>
        <x:v>#NAME?</x:v>
      </x:c>
      <x:c r="O580" s="146" t="e">
        <x:f>IF($A580="","",[1]!thsiFinD("ths_adjustment_nv_fund",O$3,$A580))</x:f>
        <x:v>#NAME?</x:v>
      </x:c>
      <x:c r="P580" s="146" t="e">
        <x:f>IF($A580="","",[1]!thsiFinD("ths_adjustment_nv_fund",P$3,$A580))</x:f>
        <x:v>#NAME?</x:v>
      </x:c>
      <x:c r="Q580" s="146" t="e">
        <x:f>IF($A580="","",[1]!thsiFinD("ths_adjustment_nv_fund",Q$3,$A580))</x:f>
        <x:v>#NAME?</x:v>
      </x:c>
      <x:c r="R580" s="146" t="e">
        <x:f>IF($A580="","",[1]!thsiFinD("ths_adjustment_nv_fund",R$3,$A580))</x:f>
        <x:v>#NAME?</x:v>
      </x:c>
      <x:c r="S580" s="146" t="e">
        <x:f>IF($A580="","",[1]!thsiFinD("ths_adjustment_nv_fund",S$3,$A580))</x:f>
        <x:v>#NAME?</x:v>
      </x:c>
      <x:c r="T580" s="146" t="e">
        <x:f>IF($A580="","",[1]!thsiFinD("ths_adjustment_nv_fund",T$3,$A580))</x:f>
        <x:v>#NAME?</x:v>
      </x:c>
      <x:c r="U580" s="146" t="e">
        <x:f>IF($A580="","",[1]!thsiFinD("ths_adjustment_nv_fund",U$3,$A580))</x:f>
        <x:v>#NAME?</x:v>
      </x:c>
      <x:c r="V580" s="146" t="e">
        <x:f>IF($A580="","",[1]!thsiFinD("ths_adjustment_nv_fund",V$3,$A580))</x:f>
        <x:v>#NAME?</x:v>
      </x:c>
      <x:c r="W580" s="146" t="e">
        <x:f>IF($A580="","",[1]!thsiFinD("ths_adjustment_nv_fund",W$3,$A580))</x:f>
        <x:v>#NAME?</x:v>
      </x:c>
      <x:c r="X580" s="146" t="e">
        <x:f>IF($A580="","",[1]!thsiFinD("ths_adjustment_nv_fund",X$3,$A580))</x:f>
        <x:v>#NAME?</x:v>
      </x:c>
      <x:c r="Y580" s="146" t="e">
        <x:f>IF($A580="","",[1]!thsiFinD("ths_adjustment_nv_fund",Y$3,$A580))</x:f>
        <x:v>#NAME?</x:v>
      </x:c>
      <x:c r="Z580" s="146" t="e">
        <x:f>IF($A580="","",[1]!thsiFinD("ths_adjustment_nv_fund",Z$3,$A580))</x:f>
        <x:v>#NAME?</x:v>
      </x:c>
      <x:c r="AA580" s="146" t="e">
        <x:f>IF($A580="","",[1]!thsiFinD("ths_adjustment_nv_fund",AA$3,$A580))</x:f>
        <x:v>#NAME?</x:v>
      </x:c>
    </x:row>
    <x:row r="581">
      <x:c r="B581" s="146" t="e">
        <x:f>IF($A581="","",[1]!thsiFinD("ths_adjustment_nv_fund",B$3,$A581))</x:f>
        <x:v>#NAME?</x:v>
      </x:c>
      <x:c r="C581" s="146" t="e">
        <x:f>IF($A581="","",[1]!thsiFinD("ths_adjustment_nv_fund",C$3,$A581))</x:f>
        <x:v>#NAME?</x:v>
      </x:c>
      <x:c r="D581" s="146" t="e">
        <x:f>IF($A581="","",[1]!thsiFinD("ths_adjustment_nv_fund",D$3,$A581))</x:f>
        <x:v>#NAME?</x:v>
      </x:c>
      <x:c r="E581" s="146" t="e">
        <x:f>IF($A581="","",[1]!thsiFinD("ths_adjustment_nv_fund",E$3,$A581))</x:f>
        <x:v>#NAME?</x:v>
      </x:c>
      <x:c r="F581" s="146" t="e">
        <x:f>IF($A581="","",[1]!thsiFinD("ths_adjustment_nv_fund",F$3,$A581))</x:f>
        <x:v>#NAME?</x:v>
      </x:c>
      <x:c r="G581" s="146" t="e">
        <x:f>IF($A581="","",[1]!thsiFinD("ths_adjustment_nv_fund",G$3,$A581))</x:f>
        <x:v>#NAME?</x:v>
      </x:c>
      <x:c r="H581" s="146" t="e">
        <x:f>IF($A581="","",[1]!thsiFinD("ths_adjustment_nv_fund",H$3,$A581))</x:f>
        <x:v>#NAME?</x:v>
      </x:c>
      <x:c r="I581" s="146" t="e">
        <x:f>IF($A581="","",[1]!thsiFinD("ths_adjustment_nv_fund",I$3,$A581))</x:f>
        <x:v>#NAME?</x:v>
      </x:c>
      <x:c r="J581" s="146" t="e">
        <x:f>IF($A581="","",[1]!thsiFinD("ths_adjustment_nv_fund",J$3,$A581))</x:f>
        <x:v>#NAME?</x:v>
      </x:c>
      <x:c r="K581" s="146" t="e">
        <x:f>IF($A581="","",[1]!thsiFinD("ths_adjustment_nv_fund",K$3,$A581))</x:f>
        <x:v>#NAME?</x:v>
      </x:c>
      <x:c r="L581" s="146" t="e">
        <x:f>IF($A581="","",[1]!thsiFinD("ths_adjustment_nv_fund",L$3,$A581))</x:f>
        <x:v>#NAME?</x:v>
      </x:c>
      <x:c r="M581" s="146" t="e">
        <x:f>IF($A581="","",[1]!thsiFinD("ths_adjustment_nv_fund",M$3,$A581))</x:f>
        <x:v>#NAME?</x:v>
      </x:c>
      <x:c r="N581" s="146" t="e">
        <x:f>IF($A581="","",[1]!thsiFinD("ths_adjustment_nv_fund",N$3,$A581))</x:f>
        <x:v>#NAME?</x:v>
      </x:c>
      <x:c r="O581" s="146" t="e">
        <x:f>IF($A581="","",[1]!thsiFinD("ths_adjustment_nv_fund",O$3,$A581))</x:f>
        <x:v>#NAME?</x:v>
      </x:c>
      <x:c r="P581" s="146" t="e">
        <x:f>IF($A581="","",[1]!thsiFinD("ths_adjustment_nv_fund",P$3,$A581))</x:f>
        <x:v>#NAME?</x:v>
      </x:c>
      <x:c r="Q581" s="146" t="e">
        <x:f>IF($A581="","",[1]!thsiFinD("ths_adjustment_nv_fund",Q$3,$A581))</x:f>
        <x:v>#NAME?</x:v>
      </x:c>
      <x:c r="R581" s="146" t="e">
        <x:f>IF($A581="","",[1]!thsiFinD("ths_adjustment_nv_fund",R$3,$A581))</x:f>
        <x:v>#NAME?</x:v>
      </x:c>
      <x:c r="S581" s="146" t="e">
        <x:f>IF($A581="","",[1]!thsiFinD("ths_adjustment_nv_fund",S$3,$A581))</x:f>
        <x:v>#NAME?</x:v>
      </x:c>
      <x:c r="T581" s="146" t="e">
        <x:f>IF($A581="","",[1]!thsiFinD("ths_adjustment_nv_fund",T$3,$A581))</x:f>
        <x:v>#NAME?</x:v>
      </x:c>
      <x:c r="U581" s="146" t="e">
        <x:f>IF($A581="","",[1]!thsiFinD("ths_adjustment_nv_fund",U$3,$A581))</x:f>
        <x:v>#NAME?</x:v>
      </x:c>
      <x:c r="V581" s="146" t="e">
        <x:f>IF($A581="","",[1]!thsiFinD("ths_adjustment_nv_fund",V$3,$A581))</x:f>
        <x:v>#NAME?</x:v>
      </x:c>
      <x:c r="W581" s="146" t="e">
        <x:f>IF($A581="","",[1]!thsiFinD("ths_adjustment_nv_fund",W$3,$A581))</x:f>
        <x:v>#NAME?</x:v>
      </x:c>
      <x:c r="X581" s="146" t="e">
        <x:f>IF($A581="","",[1]!thsiFinD("ths_adjustment_nv_fund",X$3,$A581))</x:f>
        <x:v>#NAME?</x:v>
      </x:c>
      <x:c r="Y581" s="146" t="e">
        <x:f>IF($A581="","",[1]!thsiFinD("ths_adjustment_nv_fund",Y$3,$A581))</x:f>
        <x:v>#NAME?</x:v>
      </x:c>
      <x:c r="Z581" s="146" t="e">
        <x:f>IF($A581="","",[1]!thsiFinD("ths_adjustment_nv_fund",Z$3,$A581))</x:f>
        <x:v>#NAME?</x:v>
      </x:c>
      <x:c r="AA581" s="146" t="e">
        <x:f>IF($A581="","",[1]!thsiFinD("ths_adjustment_nv_fund",AA$3,$A581))</x:f>
        <x:v>#NAME?</x:v>
      </x:c>
    </x:row>
    <x:row r="582">
      <x:c r="B582" s="146" t="e">
        <x:f>IF($A582="","",[1]!thsiFinD("ths_adjustment_nv_fund",B$3,$A582))</x:f>
        <x:v>#NAME?</x:v>
      </x:c>
      <x:c r="C582" s="146" t="e">
        <x:f>IF($A582="","",[1]!thsiFinD("ths_adjustment_nv_fund",C$3,$A582))</x:f>
        <x:v>#NAME?</x:v>
      </x:c>
      <x:c r="D582" s="146" t="e">
        <x:f>IF($A582="","",[1]!thsiFinD("ths_adjustment_nv_fund",D$3,$A582))</x:f>
        <x:v>#NAME?</x:v>
      </x:c>
      <x:c r="E582" s="146" t="e">
        <x:f>IF($A582="","",[1]!thsiFinD("ths_adjustment_nv_fund",E$3,$A582))</x:f>
        <x:v>#NAME?</x:v>
      </x:c>
      <x:c r="F582" s="146" t="e">
        <x:f>IF($A582="","",[1]!thsiFinD("ths_adjustment_nv_fund",F$3,$A582))</x:f>
        <x:v>#NAME?</x:v>
      </x:c>
      <x:c r="G582" s="146" t="e">
        <x:f>IF($A582="","",[1]!thsiFinD("ths_adjustment_nv_fund",G$3,$A582))</x:f>
        <x:v>#NAME?</x:v>
      </x:c>
      <x:c r="H582" s="146" t="e">
        <x:f>IF($A582="","",[1]!thsiFinD("ths_adjustment_nv_fund",H$3,$A582))</x:f>
        <x:v>#NAME?</x:v>
      </x:c>
      <x:c r="I582" s="146" t="e">
        <x:f>IF($A582="","",[1]!thsiFinD("ths_adjustment_nv_fund",I$3,$A582))</x:f>
        <x:v>#NAME?</x:v>
      </x:c>
      <x:c r="J582" s="146" t="e">
        <x:f>IF($A582="","",[1]!thsiFinD("ths_adjustment_nv_fund",J$3,$A582))</x:f>
        <x:v>#NAME?</x:v>
      </x:c>
      <x:c r="K582" s="146" t="e">
        <x:f>IF($A582="","",[1]!thsiFinD("ths_adjustment_nv_fund",K$3,$A582))</x:f>
        <x:v>#NAME?</x:v>
      </x:c>
      <x:c r="L582" s="146" t="e">
        <x:f>IF($A582="","",[1]!thsiFinD("ths_adjustment_nv_fund",L$3,$A582))</x:f>
        <x:v>#NAME?</x:v>
      </x:c>
      <x:c r="M582" s="146" t="e">
        <x:f>IF($A582="","",[1]!thsiFinD("ths_adjustment_nv_fund",M$3,$A582))</x:f>
        <x:v>#NAME?</x:v>
      </x:c>
      <x:c r="N582" s="146" t="e">
        <x:f>IF($A582="","",[1]!thsiFinD("ths_adjustment_nv_fund",N$3,$A582))</x:f>
        <x:v>#NAME?</x:v>
      </x:c>
      <x:c r="O582" s="146" t="e">
        <x:f>IF($A582="","",[1]!thsiFinD("ths_adjustment_nv_fund",O$3,$A582))</x:f>
        <x:v>#NAME?</x:v>
      </x:c>
      <x:c r="P582" s="146" t="e">
        <x:f>IF($A582="","",[1]!thsiFinD("ths_adjustment_nv_fund",P$3,$A582))</x:f>
        <x:v>#NAME?</x:v>
      </x:c>
      <x:c r="Q582" s="146" t="e">
        <x:f>IF($A582="","",[1]!thsiFinD("ths_adjustment_nv_fund",Q$3,$A582))</x:f>
        <x:v>#NAME?</x:v>
      </x:c>
      <x:c r="R582" s="146" t="e">
        <x:f>IF($A582="","",[1]!thsiFinD("ths_adjustment_nv_fund",R$3,$A582))</x:f>
        <x:v>#NAME?</x:v>
      </x:c>
      <x:c r="S582" s="146" t="e">
        <x:f>IF($A582="","",[1]!thsiFinD("ths_adjustment_nv_fund",S$3,$A582))</x:f>
        <x:v>#NAME?</x:v>
      </x:c>
      <x:c r="T582" s="146" t="e">
        <x:f>IF($A582="","",[1]!thsiFinD("ths_adjustment_nv_fund",T$3,$A582))</x:f>
        <x:v>#NAME?</x:v>
      </x:c>
      <x:c r="U582" s="146" t="e">
        <x:f>IF($A582="","",[1]!thsiFinD("ths_adjustment_nv_fund",U$3,$A582))</x:f>
        <x:v>#NAME?</x:v>
      </x:c>
      <x:c r="V582" s="146" t="e">
        <x:f>IF($A582="","",[1]!thsiFinD("ths_adjustment_nv_fund",V$3,$A582))</x:f>
        <x:v>#NAME?</x:v>
      </x:c>
      <x:c r="W582" s="146" t="e">
        <x:f>IF($A582="","",[1]!thsiFinD("ths_adjustment_nv_fund",W$3,$A582))</x:f>
        <x:v>#NAME?</x:v>
      </x:c>
      <x:c r="X582" s="146" t="e">
        <x:f>IF($A582="","",[1]!thsiFinD("ths_adjustment_nv_fund",X$3,$A582))</x:f>
        <x:v>#NAME?</x:v>
      </x:c>
      <x:c r="Y582" s="146" t="e">
        <x:f>IF($A582="","",[1]!thsiFinD("ths_adjustment_nv_fund",Y$3,$A582))</x:f>
        <x:v>#NAME?</x:v>
      </x:c>
      <x:c r="Z582" s="146" t="e">
        <x:f>IF($A582="","",[1]!thsiFinD("ths_adjustment_nv_fund",Z$3,$A582))</x:f>
        <x:v>#NAME?</x:v>
      </x:c>
      <x:c r="AA582" s="146" t="e">
        <x:f>IF($A582="","",[1]!thsiFinD("ths_adjustment_nv_fund",AA$3,$A582))</x:f>
        <x:v>#NAME?</x:v>
      </x:c>
    </x:row>
    <x:row r="583">
      <x:c r="B583" s="146" t="e">
        <x:f>IF($A583="","",[1]!thsiFinD("ths_adjustment_nv_fund",B$3,$A583))</x:f>
        <x:v>#NAME?</x:v>
      </x:c>
      <x:c r="C583" s="146" t="e">
        <x:f>IF($A583="","",[1]!thsiFinD("ths_adjustment_nv_fund",C$3,$A583))</x:f>
        <x:v>#NAME?</x:v>
      </x:c>
      <x:c r="D583" s="146" t="e">
        <x:f>IF($A583="","",[1]!thsiFinD("ths_adjustment_nv_fund",D$3,$A583))</x:f>
        <x:v>#NAME?</x:v>
      </x:c>
      <x:c r="E583" s="146" t="e">
        <x:f>IF($A583="","",[1]!thsiFinD("ths_adjustment_nv_fund",E$3,$A583))</x:f>
        <x:v>#NAME?</x:v>
      </x:c>
      <x:c r="F583" s="146" t="e">
        <x:f>IF($A583="","",[1]!thsiFinD("ths_adjustment_nv_fund",F$3,$A583))</x:f>
        <x:v>#NAME?</x:v>
      </x:c>
      <x:c r="G583" s="146" t="e">
        <x:f>IF($A583="","",[1]!thsiFinD("ths_adjustment_nv_fund",G$3,$A583))</x:f>
        <x:v>#NAME?</x:v>
      </x:c>
      <x:c r="H583" s="146" t="e">
        <x:f>IF($A583="","",[1]!thsiFinD("ths_adjustment_nv_fund",H$3,$A583))</x:f>
        <x:v>#NAME?</x:v>
      </x:c>
      <x:c r="I583" s="146" t="e">
        <x:f>IF($A583="","",[1]!thsiFinD("ths_adjustment_nv_fund",I$3,$A583))</x:f>
        <x:v>#NAME?</x:v>
      </x:c>
      <x:c r="J583" s="146" t="e">
        <x:f>IF($A583="","",[1]!thsiFinD("ths_adjustment_nv_fund",J$3,$A583))</x:f>
        <x:v>#NAME?</x:v>
      </x:c>
      <x:c r="K583" s="146" t="e">
        <x:f>IF($A583="","",[1]!thsiFinD("ths_adjustment_nv_fund",K$3,$A583))</x:f>
        <x:v>#NAME?</x:v>
      </x:c>
      <x:c r="L583" s="146" t="e">
        <x:f>IF($A583="","",[1]!thsiFinD("ths_adjustment_nv_fund",L$3,$A583))</x:f>
        <x:v>#NAME?</x:v>
      </x:c>
      <x:c r="M583" s="146" t="e">
        <x:f>IF($A583="","",[1]!thsiFinD("ths_adjustment_nv_fund",M$3,$A583))</x:f>
        <x:v>#NAME?</x:v>
      </x:c>
      <x:c r="N583" s="146" t="e">
        <x:f>IF($A583="","",[1]!thsiFinD("ths_adjustment_nv_fund",N$3,$A583))</x:f>
        <x:v>#NAME?</x:v>
      </x:c>
      <x:c r="O583" s="146" t="e">
        <x:f>IF($A583="","",[1]!thsiFinD("ths_adjustment_nv_fund",O$3,$A583))</x:f>
        <x:v>#NAME?</x:v>
      </x:c>
      <x:c r="P583" s="146" t="e">
        <x:f>IF($A583="","",[1]!thsiFinD("ths_adjustment_nv_fund",P$3,$A583))</x:f>
        <x:v>#NAME?</x:v>
      </x:c>
      <x:c r="Q583" s="146" t="e">
        <x:f>IF($A583="","",[1]!thsiFinD("ths_adjustment_nv_fund",Q$3,$A583))</x:f>
        <x:v>#NAME?</x:v>
      </x:c>
      <x:c r="R583" s="146" t="e">
        <x:f>IF($A583="","",[1]!thsiFinD("ths_adjustment_nv_fund",R$3,$A583))</x:f>
        <x:v>#NAME?</x:v>
      </x:c>
      <x:c r="S583" s="146" t="e">
        <x:f>IF($A583="","",[1]!thsiFinD("ths_adjustment_nv_fund",S$3,$A583))</x:f>
        <x:v>#NAME?</x:v>
      </x:c>
      <x:c r="T583" s="146" t="e">
        <x:f>IF($A583="","",[1]!thsiFinD("ths_adjustment_nv_fund",T$3,$A583))</x:f>
        <x:v>#NAME?</x:v>
      </x:c>
      <x:c r="U583" s="146" t="e">
        <x:f>IF($A583="","",[1]!thsiFinD("ths_adjustment_nv_fund",U$3,$A583))</x:f>
        <x:v>#NAME?</x:v>
      </x:c>
      <x:c r="V583" s="146" t="e">
        <x:f>IF($A583="","",[1]!thsiFinD("ths_adjustment_nv_fund",V$3,$A583))</x:f>
        <x:v>#NAME?</x:v>
      </x:c>
      <x:c r="W583" s="146" t="e">
        <x:f>IF($A583="","",[1]!thsiFinD("ths_adjustment_nv_fund",W$3,$A583))</x:f>
        <x:v>#NAME?</x:v>
      </x:c>
      <x:c r="X583" s="146" t="e">
        <x:f>IF($A583="","",[1]!thsiFinD("ths_adjustment_nv_fund",X$3,$A583))</x:f>
        <x:v>#NAME?</x:v>
      </x:c>
      <x:c r="Y583" s="146" t="e">
        <x:f>IF($A583="","",[1]!thsiFinD("ths_adjustment_nv_fund",Y$3,$A583))</x:f>
        <x:v>#NAME?</x:v>
      </x:c>
      <x:c r="Z583" s="146" t="e">
        <x:f>IF($A583="","",[1]!thsiFinD("ths_adjustment_nv_fund",Z$3,$A583))</x:f>
        <x:v>#NAME?</x:v>
      </x:c>
      <x:c r="AA583" s="146" t="e">
        <x:f>IF($A583="","",[1]!thsiFinD("ths_adjustment_nv_fund",AA$3,$A583))</x:f>
        <x:v>#NAME?</x:v>
      </x:c>
    </x:row>
    <x:row r="584">
      <x:c r="B584" s="146" t="e">
        <x:f>IF($A584="","",[1]!thsiFinD("ths_adjustment_nv_fund",B$3,$A584))</x:f>
        <x:v>#NAME?</x:v>
      </x:c>
      <x:c r="C584" s="146" t="e">
        <x:f>IF($A584="","",[1]!thsiFinD("ths_adjustment_nv_fund",C$3,$A584))</x:f>
        <x:v>#NAME?</x:v>
      </x:c>
      <x:c r="D584" s="146" t="e">
        <x:f>IF($A584="","",[1]!thsiFinD("ths_adjustment_nv_fund",D$3,$A584))</x:f>
        <x:v>#NAME?</x:v>
      </x:c>
      <x:c r="E584" s="146" t="e">
        <x:f>IF($A584="","",[1]!thsiFinD("ths_adjustment_nv_fund",E$3,$A584))</x:f>
        <x:v>#NAME?</x:v>
      </x:c>
      <x:c r="F584" s="146" t="e">
        <x:f>IF($A584="","",[1]!thsiFinD("ths_adjustment_nv_fund",F$3,$A584))</x:f>
        <x:v>#NAME?</x:v>
      </x:c>
      <x:c r="G584" s="146" t="e">
        <x:f>IF($A584="","",[1]!thsiFinD("ths_adjustment_nv_fund",G$3,$A584))</x:f>
        <x:v>#NAME?</x:v>
      </x:c>
      <x:c r="H584" s="146" t="e">
        <x:f>IF($A584="","",[1]!thsiFinD("ths_adjustment_nv_fund",H$3,$A584))</x:f>
        <x:v>#NAME?</x:v>
      </x:c>
      <x:c r="I584" s="146" t="e">
        <x:f>IF($A584="","",[1]!thsiFinD("ths_adjustment_nv_fund",I$3,$A584))</x:f>
        <x:v>#NAME?</x:v>
      </x:c>
      <x:c r="J584" s="146" t="e">
        <x:f>IF($A584="","",[1]!thsiFinD("ths_adjustment_nv_fund",J$3,$A584))</x:f>
        <x:v>#NAME?</x:v>
      </x:c>
      <x:c r="K584" s="146" t="e">
        <x:f>IF($A584="","",[1]!thsiFinD("ths_adjustment_nv_fund",K$3,$A584))</x:f>
        <x:v>#NAME?</x:v>
      </x:c>
      <x:c r="L584" s="146" t="e">
        <x:f>IF($A584="","",[1]!thsiFinD("ths_adjustment_nv_fund",L$3,$A584))</x:f>
        <x:v>#NAME?</x:v>
      </x:c>
      <x:c r="M584" s="146" t="e">
        <x:f>IF($A584="","",[1]!thsiFinD("ths_adjustment_nv_fund",M$3,$A584))</x:f>
        <x:v>#NAME?</x:v>
      </x:c>
      <x:c r="N584" s="146" t="e">
        <x:f>IF($A584="","",[1]!thsiFinD("ths_adjustment_nv_fund",N$3,$A584))</x:f>
        <x:v>#NAME?</x:v>
      </x:c>
      <x:c r="O584" s="146" t="e">
        <x:f>IF($A584="","",[1]!thsiFinD("ths_adjustment_nv_fund",O$3,$A584))</x:f>
        <x:v>#NAME?</x:v>
      </x:c>
      <x:c r="P584" s="146" t="e">
        <x:f>IF($A584="","",[1]!thsiFinD("ths_adjustment_nv_fund",P$3,$A584))</x:f>
        <x:v>#NAME?</x:v>
      </x:c>
      <x:c r="Q584" s="146" t="e">
        <x:f>IF($A584="","",[1]!thsiFinD("ths_adjustment_nv_fund",Q$3,$A584))</x:f>
        <x:v>#NAME?</x:v>
      </x:c>
      <x:c r="R584" s="146" t="e">
        <x:f>IF($A584="","",[1]!thsiFinD("ths_adjustment_nv_fund",R$3,$A584))</x:f>
        <x:v>#NAME?</x:v>
      </x:c>
      <x:c r="S584" s="146" t="e">
        <x:f>IF($A584="","",[1]!thsiFinD("ths_adjustment_nv_fund",S$3,$A584))</x:f>
        <x:v>#NAME?</x:v>
      </x:c>
      <x:c r="T584" s="146" t="e">
        <x:f>IF($A584="","",[1]!thsiFinD("ths_adjustment_nv_fund",T$3,$A584))</x:f>
        <x:v>#NAME?</x:v>
      </x:c>
      <x:c r="U584" s="146" t="e">
        <x:f>IF($A584="","",[1]!thsiFinD("ths_adjustment_nv_fund",U$3,$A584))</x:f>
        <x:v>#NAME?</x:v>
      </x:c>
      <x:c r="V584" s="146" t="e">
        <x:f>IF($A584="","",[1]!thsiFinD("ths_adjustment_nv_fund",V$3,$A584))</x:f>
        <x:v>#NAME?</x:v>
      </x:c>
      <x:c r="W584" s="146" t="e">
        <x:f>IF($A584="","",[1]!thsiFinD("ths_adjustment_nv_fund",W$3,$A584))</x:f>
        <x:v>#NAME?</x:v>
      </x:c>
      <x:c r="X584" s="146" t="e">
        <x:f>IF($A584="","",[1]!thsiFinD("ths_adjustment_nv_fund",X$3,$A584))</x:f>
        <x:v>#NAME?</x:v>
      </x:c>
      <x:c r="Y584" s="146" t="e">
        <x:f>IF($A584="","",[1]!thsiFinD("ths_adjustment_nv_fund",Y$3,$A584))</x:f>
        <x:v>#NAME?</x:v>
      </x:c>
      <x:c r="Z584" s="146" t="e">
        <x:f>IF($A584="","",[1]!thsiFinD("ths_adjustment_nv_fund",Z$3,$A584))</x:f>
        <x:v>#NAME?</x:v>
      </x:c>
      <x:c r="AA584" s="146" t="e">
        <x:f>IF($A584="","",[1]!thsiFinD("ths_adjustment_nv_fund",AA$3,$A584))</x:f>
        <x:v>#NAME?</x:v>
      </x:c>
    </x:row>
    <x:row r="585">
      <x:c r="B585" s="146" t="e">
        <x:f>IF($A585="","",[1]!thsiFinD("ths_adjustment_nv_fund",B$3,$A585))</x:f>
        <x:v>#NAME?</x:v>
      </x:c>
      <x:c r="C585" s="146" t="e">
        <x:f>IF($A585="","",[1]!thsiFinD("ths_adjustment_nv_fund",C$3,$A585))</x:f>
        <x:v>#NAME?</x:v>
      </x:c>
      <x:c r="D585" s="146" t="e">
        <x:f>IF($A585="","",[1]!thsiFinD("ths_adjustment_nv_fund",D$3,$A585))</x:f>
        <x:v>#NAME?</x:v>
      </x:c>
      <x:c r="E585" s="146" t="e">
        <x:f>IF($A585="","",[1]!thsiFinD("ths_adjustment_nv_fund",E$3,$A585))</x:f>
        <x:v>#NAME?</x:v>
      </x:c>
      <x:c r="F585" s="146" t="e">
        <x:f>IF($A585="","",[1]!thsiFinD("ths_adjustment_nv_fund",F$3,$A585))</x:f>
        <x:v>#NAME?</x:v>
      </x:c>
      <x:c r="G585" s="146" t="e">
        <x:f>IF($A585="","",[1]!thsiFinD("ths_adjustment_nv_fund",G$3,$A585))</x:f>
        <x:v>#NAME?</x:v>
      </x:c>
      <x:c r="H585" s="146" t="e">
        <x:f>IF($A585="","",[1]!thsiFinD("ths_adjustment_nv_fund",H$3,$A585))</x:f>
        <x:v>#NAME?</x:v>
      </x:c>
      <x:c r="I585" s="146" t="e">
        <x:f>IF($A585="","",[1]!thsiFinD("ths_adjustment_nv_fund",I$3,$A585))</x:f>
        <x:v>#NAME?</x:v>
      </x:c>
      <x:c r="J585" s="146" t="e">
        <x:f>IF($A585="","",[1]!thsiFinD("ths_adjustment_nv_fund",J$3,$A585))</x:f>
        <x:v>#NAME?</x:v>
      </x:c>
      <x:c r="K585" s="146" t="e">
        <x:f>IF($A585="","",[1]!thsiFinD("ths_adjustment_nv_fund",K$3,$A585))</x:f>
        <x:v>#NAME?</x:v>
      </x:c>
      <x:c r="L585" s="146" t="e">
        <x:f>IF($A585="","",[1]!thsiFinD("ths_adjustment_nv_fund",L$3,$A585))</x:f>
        <x:v>#NAME?</x:v>
      </x:c>
      <x:c r="M585" s="146" t="e">
        <x:f>IF($A585="","",[1]!thsiFinD("ths_adjustment_nv_fund",M$3,$A585))</x:f>
        <x:v>#NAME?</x:v>
      </x:c>
      <x:c r="N585" s="146" t="e">
        <x:f>IF($A585="","",[1]!thsiFinD("ths_adjustment_nv_fund",N$3,$A585))</x:f>
        <x:v>#NAME?</x:v>
      </x:c>
      <x:c r="O585" s="146" t="e">
        <x:f>IF($A585="","",[1]!thsiFinD("ths_adjustment_nv_fund",O$3,$A585))</x:f>
        <x:v>#NAME?</x:v>
      </x:c>
      <x:c r="P585" s="146" t="e">
        <x:f>IF($A585="","",[1]!thsiFinD("ths_adjustment_nv_fund",P$3,$A585))</x:f>
        <x:v>#NAME?</x:v>
      </x:c>
      <x:c r="Q585" s="146" t="e">
        <x:f>IF($A585="","",[1]!thsiFinD("ths_adjustment_nv_fund",Q$3,$A585))</x:f>
        <x:v>#NAME?</x:v>
      </x:c>
      <x:c r="R585" s="146" t="e">
        <x:f>IF($A585="","",[1]!thsiFinD("ths_adjustment_nv_fund",R$3,$A585))</x:f>
        <x:v>#NAME?</x:v>
      </x:c>
      <x:c r="S585" s="146" t="e">
        <x:f>IF($A585="","",[1]!thsiFinD("ths_adjustment_nv_fund",S$3,$A585))</x:f>
        <x:v>#NAME?</x:v>
      </x:c>
      <x:c r="T585" s="146" t="e">
        <x:f>IF($A585="","",[1]!thsiFinD("ths_adjustment_nv_fund",T$3,$A585))</x:f>
        <x:v>#NAME?</x:v>
      </x:c>
      <x:c r="U585" s="146" t="e">
        <x:f>IF($A585="","",[1]!thsiFinD("ths_adjustment_nv_fund",U$3,$A585))</x:f>
        <x:v>#NAME?</x:v>
      </x:c>
      <x:c r="V585" s="146" t="e">
        <x:f>IF($A585="","",[1]!thsiFinD("ths_adjustment_nv_fund",V$3,$A585))</x:f>
        <x:v>#NAME?</x:v>
      </x:c>
      <x:c r="W585" s="146" t="e">
        <x:f>IF($A585="","",[1]!thsiFinD("ths_adjustment_nv_fund",W$3,$A585))</x:f>
        <x:v>#NAME?</x:v>
      </x:c>
      <x:c r="X585" s="146" t="e">
        <x:f>IF($A585="","",[1]!thsiFinD("ths_adjustment_nv_fund",X$3,$A585))</x:f>
        <x:v>#NAME?</x:v>
      </x:c>
      <x:c r="Y585" s="146" t="e">
        <x:f>IF($A585="","",[1]!thsiFinD("ths_adjustment_nv_fund",Y$3,$A585))</x:f>
        <x:v>#NAME?</x:v>
      </x:c>
      <x:c r="Z585" s="146" t="e">
        <x:f>IF($A585="","",[1]!thsiFinD("ths_adjustment_nv_fund",Z$3,$A585))</x:f>
        <x:v>#NAME?</x:v>
      </x:c>
      <x:c r="AA585" s="146" t="e">
        <x:f>IF($A585="","",[1]!thsiFinD("ths_adjustment_nv_fund",AA$3,$A585))</x:f>
        <x:v>#NAME?</x:v>
      </x:c>
    </x:row>
    <x:row r="586">
      <x:c r="B586" s="146" t="e">
        <x:f>IF($A586="","",[1]!thsiFinD("ths_adjustment_nv_fund",B$3,$A586))</x:f>
        <x:v>#NAME?</x:v>
      </x:c>
      <x:c r="C586" s="146" t="e">
        <x:f>IF($A586="","",[1]!thsiFinD("ths_adjustment_nv_fund",C$3,$A586))</x:f>
        <x:v>#NAME?</x:v>
      </x:c>
      <x:c r="D586" s="146" t="e">
        <x:f>IF($A586="","",[1]!thsiFinD("ths_adjustment_nv_fund",D$3,$A586))</x:f>
        <x:v>#NAME?</x:v>
      </x:c>
      <x:c r="E586" s="146" t="e">
        <x:f>IF($A586="","",[1]!thsiFinD("ths_adjustment_nv_fund",E$3,$A586))</x:f>
        <x:v>#NAME?</x:v>
      </x:c>
      <x:c r="F586" s="146" t="e">
        <x:f>IF($A586="","",[1]!thsiFinD("ths_adjustment_nv_fund",F$3,$A586))</x:f>
        <x:v>#NAME?</x:v>
      </x:c>
      <x:c r="G586" s="146" t="e">
        <x:f>IF($A586="","",[1]!thsiFinD("ths_adjustment_nv_fund",G$3,$A586))</x:f>
        <x:v>#NAME?</x:v>
      </x:c>
      <x:c r="H586" s="146" t="e">
        <x:f>IF($A586="","",[1]!thsiFinD("ths_adjustment_nv_fund",H$3,$A586))</x:f>
        <x:v>#NAME?</x:v>
      </x:c>
      <x:c r="I586" s="146" t="e">
        <x:f>IF($A586="","",[1]!thsiFinD("ths_adjustment_nv_fund",I$3,$A586))</x:f>
        <x:v>#NAME?</x:v>
      </x:c>
      <x:c r="J586" s="146" t="e">
        <x:f>IF($A586="","",[1]!thsiFinD("ths_adjustment_nv_fund",J$3,$A586))</x:f>
        <x:v>#NAME?</x:v>
      </x:c>
      <x:c r="K586" s="146" t="e">
        <x:f>IF($A586="","",[1]!thsiFinD("ths_adjustment_nv_fund",K$3,$A586))</x:f>
        <x:v>#NAME?</x:v>
      </x:c>
      <x:c r="L586" s="146" t="e">
        <x:f>IF($A586="","",[1]!thsiFinD("ths_adjustment_nv_fund",L$3,$A586))</x:f>
        <x:v>#NAME?</x:v>
      </x:c>
      <x:c r="M586" s="146" t="e">
        <x:f>IF($A586="","",[1]!thsiFinD("ths_adjustment_nv_fund",M$3,$A586))</x:f>
        <x:v>#NAME?</x:v>
      </x:c>
      <x:c r="N586" s="146" t="e">
        <x:f>IF($A586="","",[1]!thsiFinD("ths_adjustment_nv_fund",N$3,$A586))</x:f>
        <x:v>#NAME?</x:v>
      </x:c>
      <x:c r="O586" s="146" t="e">
        <x:f>IF($A586="","",[1]!thsiFinD("ths_adjustment_nv_fund",O$3,$A586))</x:f>
        <x:v>#NAME?</x:v>
      </x:c>
      <x:c r="P586" s="146" t="e">
        <x:f>IF($A586="","",[1]!thsiFinD("ths_adjustment_nv_fund",P$3,$A586))</x:f>
        <x:v>#NAME?</x:v>
      </x:c>
      <x:c r="Q586" s="146" t="e">
        <x:f>IF($A586="","",[1]!thsiFinD("ths_adjustment_nv_fund",Q$3,$A586))</x:f>
        <x:v>#NAME?</x:v>
      </x:c>
      <x:c r="R586" s="146" t="e">
        <x:f>IF($A586="","",[1]!thsiFinD("ths_adjustment_nv_fund",R$3,$A586))</x:f>
        <x:v>#NAME?</x:v>
      </x:c>
      <x:c r="S586" s="146" t="e">
        <x:f>IF($A586="","",[1]!thsiFinD("ths_adjustment_nv_fund",S$3,$A586))</x:f>
        <x:v>#NAME?</x:v>
      </x:c>
      <x:c r="T586" s="146" t="e">
        <x:f>IF($A586="","",[1]!thsiFinD("ths_adjustment_nv_fund",T$3,$A586))</x:f>
        <x:v>#NAME?</x:v>
      </x:c>
      <x:c r="U586" s="146" t="e">
        <x:f>IF($A586="","",[1]!thsiFinD("ths_adjustment_nv_fund",U$3,$A586))</x:f>
        <x:v>#NAME?</x:v>
      </x:c>
      <x:c r="V586" s="146" t="e">
        <x:f>IF($A586="","",[1]!thsiFinD("ths_adjustment_nv_fund",V$3,$A586))</x:f>
        <x:v>#NAME?</x:v>
      </x:c>
      <x:c r="W586" s="146" t="e">
        <x:f>IF($A586="","",[1]!thsiFinD("ths_adjustment_nv_fund",W$3,$A586))</x:f>
        <x:v>#NAME?</x:v>
      </x:c>
      <x:c r="X586" s="146" t="e">
        <x:f>IF($A586="","",[1]!thsiFinD("ths_adjustment_nv_fund",X$3,$A586))</x:f>
        <x:v>#NAME?</x:v>
      </x:c>
      <x:c r="Y586" s="146" t="e">
        <x:f>IF($A586="","",[1]!thsiFinD("ths_adjustment_nv_fund",Y$3,$A586))</x:f>
        <x:v>#NAME?</x:v>
      </x:c>
      <x:c r="Z586" s="146" t="e">
        <x:f>IF($A586="","",[1]!thsiFinD("ths_adjustment_nv_fund",Z$3,$A586))</x:f>
        <x:v>#NAME?</x:v>
      </x:c>
      <x:c r="AA586" s="146" t="e">
        <x:f>IF($A586="","",[1]!thsiFinD("ths_adjustment_nv_fund",AA$3,$A586))</x:f>
        <x:v>#NAME?</x:v>
      </x:c>
    </x:row>
    <x:row r="587">
      <x:c r="B587" s="146" t="e">
        <x:f>IF($A587="","",[1]!thsiFinD("ths_adjustment_nv_fund",B$3,$A587))</x:f>
        <x:v>#NAME?</x:v>
      </x:c>
      <x:c r="C587" s="146" t="e">
        <x:f>IF($A587="","",[1]!thsiFinD("ths_adjustment_nv_fund",C$3,$A587))</x:f>
        <x:v>#NAME?</x:v>
      </x:c>
      <x:c r="D587" s="146" t="e">
        <x:f>IF($A587="","",[1]!thsiFinD("ths_adjustment_nv_fund",D$3,$A587))</x:f>
        <x:v>#NAME?</x:v>
      </x:c>
      <x:c r="E587" s="146" t="e">
        <x:f>IF($A587="","",[1]!thsiFinD("ths_adjustment_nv_fund",E$3,$A587))</x:f>
        <x:v>#NAME?</x:v>
      </x:c>
      <x:c r="F587" s="146" t="e">
        <x:f>IF($A587="","",[1]!thsiFinD("ths_adjustment_nv_fund",F$3,$A587))</x:f>
        <x:v>#NAME?</x:v>
      </x:c>
      <x:c r="G587" s="146" t="e">
        <x:f>IF($A587="","",[1]!thsiFinD("ths_adjustment_nv_fund",G$3,$A587))</x:f>
        <x:v>#NAME?</x:v>
      </x:c>
      <x:c r="H587" s="146" t="e">
        <x:f>IF($A587="","",[1]!thsiFinD("ths_adjustment_nv_fund",H$3,$A587))</x:f>
        <x:v>#NAME?</x:v>
      </x:c>
      <x:c r="I587" s="146" t="e">
        <x:f>IF($A587="","",[1]!thsiFinD("ths_adjustment_nv_fund",I$3,$A587))</x:f>
        <x:v>#NAME?</x:v>
      </x:c>
      <x:c r="J587" s="146" t="e">
        <x:f>IF($A587="","",[1]!thsiFinD("ths_adjustment_nv_fund",J$3,$A587))</x:f>
        <x:v>#NAME?</x:v>
      </x:c>
      <x:c r="K587" s="146" t="e">
        <x:f>IF($A587="","",[1]!thsiFinD("ths_adjustment_nv_fund",K$3,$A587))</x:f>
        <x:v>#NAME?</x:v>
      </x:c>
      <x:c r="L587" s="146" t="e">
        <x:f>IF($A587="","",[1]!thsiFinD("ths_adjustment_nv_fund",L$3,$A587))</x:f>
        <x:v>#NAME?</x:v>
      </x:c>
      <x:c r="M587" s="146" t="e">
        <x:f>IF($A587="","",[1]!thsiFinD("ths_adjustment_nv_fund",M$3,$A587))</x:f>
        <x:v>#NAME?</x:v>
      </x:c>
      <x:c r="N587" s="146" t="e">
        <x:f>IF($A587="","",[1]!thsiFinD("ths_adjustment_nv_fund",N$3,$A587))</x:f>
        <x:v>#NAME?</x:v>
      </x:c>
      <x:c r="O587" s="146" t="e">
        <x:f>IF($A587="","",[1]!thsiFinD("ths_adjustment_nv_fund",O$3,$A587))</x:f>
        <x:v>#NAME?</x:v>
      </x:c>
      <x:c r="P587" s="146" t="e">
        <x:f>IF($A587="","",[1]!thsiFinD("ths_adjustment_nv_fund",P$3,$A587))</x:f>
        <x:v>#NAME?</x:v>
      </x:c>
      <x:c r="Q587" s="146" t="e">
        <x:f>IF($A587="","",[1]!thsiFinD("ths_adjustment_nv_fund",Q$3,$A587))</x:f>
        <x:v>#NAME?</x:v>
      </x:c>
      <x:c r="R587" s="146" t="e">
        <x:f>IF($A587="","",[1]!thsiFinD("ths_adjustment_nv_fund",R$3,$A587))</x:f>
        <x:v>#NAME?</x:v>
      </x:c>
      <x:c r="S587" s="146" t="e">
        <x:f>IF($A587="","",[1]!thsiFinD("ths_adjustment_nv_fund",S$3,$A587))</x:f>
        <x:v>#NAME?</x:v>
      </x:c>
      <x:c r="T587" s="146" t="e">
        <x:f>IF($A587="","",[1]!thsiFinD("ths_adjustment_nv_fund",T$3,$A587))</x:f>
        <x:v>#NAME?</x:v>
      </x:c>
      <x:c r="U587" s="146" t="e">
        <x:f>IF($A587="","",[1]!thsiFinD("ths_adjustment_nv_fund",U$3,$A587))</x:f>
        <x:v>#NAME?</x:v>
      </x:c>
      <x:c r="V587" s="146" t="e">
        <x:f>IF($A587="","",[1]!thsiFinD("ths_adjustment_nv_fund",V$3,$A587))</x:f>
        <x:v>#NAME?</x:v>
      </x:c>
      <x:c r="W587" s="146" t="e">
        <x:f>IF($A587="","",[1]!thsiFinD("ths_adjustment_nv_fund",W$3,$A587))</x:f>
        <x:v>#NAME?</x:v>
      </x:c>
      <x:c r="X587" s="146" t="e">
        <x:f>IF($A587="","",[1]!thsiFinD("ths_adjustment_nv_fund",X$3,$A587))</x:f>
        <x:v>#NAME?</x:v>
      </x:c>
      <x:c r="Y587" s="146" t="e">
        <x:f>IF($A587="","",[1]!thsiFinD("ths_adjustment_nv_fund",Y$3,$A587))</x:f>
        <x:v>#NAME?</x:v>
      </x:c>
      <x:c r="Z587" s="146" t="e">
        <x:f>IF($A587="","",[1]!thsiFinD("ths_adjustment_nv_fund",Z$3,$A587))</x:f>
        <x:v>#NAME?</x:v>
      </x:c>
      <x:c r="AA587" s="146" t="e">
        <x:f>IF($A587="","",[1]!thsiFinD("ths_adjustment_nv_fund",AA$3,$A587))</x:f>
        <x:v>#NAME?</x:v>
      </x:c>
    </x:row>
    <x:row r="588">
      <x:c r="B588" s="146" t="e">
        <x:f>IF($A588="","",[1]!thsiFinD("ths_adjustment_nv_fund",B$3,$A588))</x:f>
        <x:v>#NAME?</x:v>
      </x:c>
      <x:c r="C588" s="146" t="e">
        <x:f>IF($A588="","",[1]!thsiFinD("ths_adjustment_nv_fund",C$3,$A588))</x:f>
        <x:v>#NAME?</x:v>
      </x:c>
      <x:c r="D588" s="146" t="e">
        <x:f>IF($A588="","",[1]!thsiFinD("ths_adjustment_nv_fund",D$3,$A588))</x:f>
        <x:v>#NAME?</x:v>
      </x:c>
      <x:c r="E588" s="146" t="e">
        <x:f>IF($A588="","",[1]!thsiFinD("ths_adjustment_nv_fund",E$3,$A588))</x:f>
        <x:v>#NAME?</x:v>
      </x:c>
      <x:c r="F588" s="146" t="e">
        <x:f>IF($A588="","",[1]!thsiFinD("ths_adjustment_nv_fund",F$3,$A588))</x:f>
        <x:v>#NAME?</x:v>
      </x:c>
      <x:c r="G588" s="146" t="e">
        <x:f>IF($A588="","",[1]!thsiFinD("ths_adjustment_nv_fund",G$3,$A588))</x:f>
        <x:v>#NAME?</x:v>
      </x:c>
      <x:c r="H588" s="146" t="e">
        <x:f>IF($A588="","",[1]!thsiFinD("ths_adjustment_nv_fund",H$3,$A588))</x:f>
        <x:v>#NAME?</x:v>
      </x:c>
      <x:c r="I588" s="146" t="e">
        <x:f>IF($A588="","",[1]!thsiFinD("ths_adjustment_nv_fund",I$3,$A588))</x:f>
        <x:v>#NAME?</x:v>
      </x:c>
      <x:c r="J588" s="146" t="e">
        <x:f>IF($A588="","",[1]!thsiFinD("ths_adjustment_nv_fund",J$3,$A588))</x:f>
        <x:v>#NAME?</x:v>
      </x:c>
      <x:c r="K588" s="146" t="e">
        <x:f>IF($A588="","",[1]!thsiFinD("ths_adjustment_nv_fund",K$3,$A588))</x:f>
        <x:v>#NAME?</x:v>
      </x:c>
      <x:c r="L588" s="146" t="e">
        <x:f>IF($A588="","",[1]!thsiFinD("ths_adjustment_nv_fund",L$3,$A588))</x:f>
        <x:v>#NAME?</x:v>
      </x:c>
      <x:c r="M588" s="146" t="e">
        <x:f>IF($A588="","",[1]!thsiFinD("ths_adjustment_nv_fund",M$3,$A588))</x:f>
        <x:v>#NAME?</x:v>
      </x:c>
      <x:c r="N588" s="146" t="e">
        <x:f>IF($A588="","",[1]!thsiFinD("ths_adjustment_nv_fund",N$3,$A588))</x:f>
        <x:v>#NAME?</x:v>
      </x:c>
      <x:c r="O588" s="146" t="e">
        <x:f>IF($A588="","",[1]!thsiFinD("ths_adjustment_nv_fund",O$3,$A588))</x:f>
        <x:v>#NAME?</x:v>
      </x:c>
      <x:c r="P588" s="146" t="e">
        <x:f>IF($A588="","",[1]!thsiFinD("ths_adjustment_nv_fund",P$3,$A588))</x:f>
        <x:v>#NAME?</x:v>
      </x:c>
      <x:c r="Q588" s="146" t="e">
        <x:f>IF($A588="","",[1]!thsiFinD("ths_adjustment_nv_fund",Q$3,$A588))</x:f>
        <x:v>#NAME?</x:v>
      </x:c>
      <x:c r="R588" s="146" t="e">
        <x:f>IF($A588="","",[1]!thsiFinD("ths_adjustment_nv_fund",R$3,$A588))</x:f>
        <x:v>#NAME?</x:v>
      </x:c>
      <x:c r="S588" s="146" t="e">
        <x:f>IF($A588="","",[1]!thsiFinD("ths_adjustment_nv_fund",S$3,$A588))</x:f>
        <x:v>#NAME?</x:v>
      </x:c>
      <x:c r="T588" s="146" t="e">
        <x:f>IF($A588="","",[1]!thsiFinD("ths_adjustment_nv_fund",T$3,$A588))</x:f>
        <x:v>#NAME?</x:v>
      </x:c>
      <x:c r="U588" s="146" t="e">
        <x:f>IF($A588="","",[1]!thsiFinD("ths_adjustment_nv_fund",U$3,$A588))</x:f>
        <x:v>#NAME?</x:v>
      </x:c>
      <x:c r="V588" s="146" t="e">
        <x:f>IF($A588="","",[1]!thsiFinD("ths_adjustment_nv_fund",V$3,$A588))</x:f>
        <x:v>#NAME?</x:v>
      </x:c>
      <x:c r="W588" s="146" t="e">
        <x:f>IF($A588="","",[1]!thsiFinD("ths_adjustment_nv_fund",W$3,$A588))</x:f>
        <x:v>#NAME?</x:v>
      </x:c>
      <x:c r="X588" s="146" t="e">
        <x:f>IF($A588="","",[1]!thsiFinD("ths_adjustment_nv_fund",X$3,$A588))</x:f>
        <x:v>#NAME?</x:v>
      </x:c>
      <x:c r="Y588" s="146" t="e">
        <x:f>IF($A588="","",[1]!thsiFinD("ths_adjustment_nv_fund",Y$3,$A588))</x:f>
        <x:v>#NAME?</x:v>
      </x:c>
      <x:c r="Z588" s="146" t="e">
        <x:f>IF($A588="","",[1]!thsiFinD("ths_adjustment_nv_fund",Z$3,$A588))</x:f>
        <x:v>#NAME?</x:v>
      </x:c>
      <x:c r="AA588" s="146" t="e">
        <x:f>IF($A588="","",[1]!thsiFinD("ths_adjustment_nv_fund",AA$3,$A588))</x:f>
        <x:v>#NAME?</x:v>
      </x:c>
    </x:row>
    <x:row r="589">
      <x:c r="B589" s="146" t="e">
        <x:f>IF($A589="","",[1]!thsiFinD("ths_adjustment_nv_fund",B$3,$A589))</x:f>
        <x:v>#NAME?</x:v>
      </x:c>
      <x:c r="C589" s="146" t="e">
        <x:f>IF($A589="","",[1]!thsiFinD("ths_adjustment_nv_fund",C$3,$A589))</x:f>
        <x:v>#NAME?</x:v>
      </x:c>
      <x:c r="D589" s="146" t="e">
        <x:f>IF($A589="","",[1]!thsiFinD("ths_adjustment_nv_fund",D$3,$A589))</x:f>
        <x:v>#NAME?</x:v>
      </x:c>
      <x:c r="E589" s="146" t="e">
        <x:f>IF($A589="","",[1]!thsiFinD("ths_adjustment_nv_fund",E$3,$A589))</x:f>
        <x:v>#NAME?</x:v>
      </x:c>
      <x:c r="F589" s="146" t="e">
        <x:f>IF($A589="","",[1]!thsiFinD("ths_adjustment_nv_fund",F$3,$A589))</x:f>
        <x:v>#NAME?</x:v>
      </x:c>
      <x:c r="G589" s="146" t="e">
        <x:f>IF($A589="","",[1]!thsiFinD("ths_adjustment_nv_fund",G$3,$A589))</x:f>
        <x:v>#NAME?</x:v>
      </x:c>
      <x:c r="H589" s="146" t="e">
        <x:f>IF($A589="","",[1]!thsiFinD("ths_adjustment_nv_fund",H$3,$A589))</x:f>
        <x:v>#NAME?</x:v>
      </x:c>
      <x:c r="I589" s="146" t="e">
        <x:f>IF($A589="","",[1]!thsiFinD("ths_adjustment_nv_fund",I$3,$A589))</x:f>
        <x:v>#NAME?</x:v>
      </x:c>
      <x:c r="J589" s="146" t="e">
        <x:f>IF($A589="","",[1]!thsiFinD("ths_adjustment_nv_fund",J$3,$A589))</x:f>
        <x:v>#NAME?</x:v>
      </x:c>
      <x:c r="K589" s="146" t="e">
        <x:f>IF($A589="","",[1]!thsiFinD("ths_adjustment_nv_fund",K$3,$A589))</x:f>
        <x:v>#NAME?</x:v>
      </x:c>
      <x:c r="L589" s="146" t="e">
        <x:f>IF($A589="","",[1]!thsiFinD("ths_adjustment_nv_fund",L$3,$A589))</x:f>
        <x:v>#NAME?</x:v>
      </x:c>
      <x:c r="M589" s="146" t="e">
        <x:f>IF($A589="","",[1]!thsiFinD("ths_adjustment_nv_fund",M$3,$A589))</x:f>
        <x:v>#NAME?</x:v>
      </x:c>
      <x:c r="N589" s="146" t="e">
        <x:f>IF($A589="","",[1]!thsiFinD("ths_adjustment_nv_fund",N$3,$A589))</x:f>
        <x:v>#NAME?</x:v>
      </x:c>
      <x:c r="O589" s="146" t="e">
        <x:f>IF($A589="","",[1]!thsiFinD("ths_adjustment_nv_fund",O$3,$A589))</x:f>
        <x:v>#NAME?</x:v>
      </x:c>
      <x:c r="P589" s="146" t="e">
        <x:f>IF($A589="","",[1]!thsiFinD("ths_adjustment_nv_fund",P$3,$A589))</x:f>
        <x:v>#NAME?</x:v>
      </x:c>
      <x:c r="Q589" s="146" t="e">
        <x:f>IF($A589="","",[1]!thsiFinD("ths_adjustment_nv_fund",Q$3,$A589))</x:f>
        <x:v>#NAME?</x:v>
      </x:c>
      <x:c r="R589" s="146" t="e">
        <x:f>IF($A589="","",[1]!thsiFinD("ths_adjustment_nv_fund",R$3,$A589))</x:f>
        <x:v>#NAME?</x:v>
      </x:c>
      <x:c r="S589" s="146" t="e">
        <x:f>IF($A589="","",[1]!thsiFinD("ths_adjustment_nv_fund",S$3,$A589))</x:f>
        <x:v>#NAME?</x:v>
      </x:c>
      <x:c r="T589" s="146" t="e">
        <x:f>IF($A589="","",[1]!thsiFinD("ths_adjustment_nv_fund",T$3,$A589))</x:f>
        <x:v>#NAME?</x:v>
      </x:c>
      <x:c r="U589" s="146" t="e">
        <x:f>IF($A589="","",[1]!thsiFinD("ths_adjustment_nv_fund",U$3,$A589))</x:f>
        <x:v>#NAME?</x:v>
      </x:c>
      <x:c r="V589" s="146" t="e">
        <x:f>IF($A589="","",[1]!thsiFinD("ths_adjustment_nv_fund",V$3,$A589))</x:f>
        <x:v>#NAME?</x:v>
      </x:c>
      <x:c r="W589" s="146" t="e">
        <x:f>IF($A589="","",[1]!thsiFinD("ths_adjustment_nv_fund",W$3,$A589))</x:f>
        <x:v>#NAME?</x:v>
      </x:c>
      <x:c r="X589" s="146" t="e">
        <x:f>IF($A589="","",[1]!thsiFinD("ths_adjustment_nv_fund",X$3,$A589))</x:f>
        <x:v>#NAME?</x:v>
      </x:c>
      <x:c r="Y589" s="146" t="e">
        <x:f>IF($A589="","",[1]!thsiFinD("ths_adjustment_nv_fund",Y$3,$A589))</x:f>
        <x:v>#NAME?</x:v>
      </x:c>
      <x:c r="Z589" s="146" t="e">
        <x:f>IF($A589="","",[1]!thsiFinD("ths_adjustment_nv_fund",Z$3,$A589))</x:f>
        <x:v>#NAME?</x:v>
      </x:c>
      <x:c r="AA589" s="146" t="e">
        <x:f>IF($A589="","",[1]!thsiFinD("ths_adjustment_nv_fund",AA$3,$A589))</x:f>
        <x:v>#NAME?</x:v>
      </x:c>
    </x:row>
    <x:row r="590">
      <x:c r="B590" s="146" t="e">
        <x:f>IF($A590="","",[1]!thsiFinD("ths_adjustment_nv_fund",B$3,$A590))</x:f>
        <x:v>#NAME?</x:v>
      </x:c>
      <x:c r="C590" s="146" t="e">
        <x:f>IF($A590="","",[1]!thsiFinD("ths_adjustment_nv_fund",C$3,$A590))</x:f>
        <x:v>#NAME?</x:v>
      </x:c>
      <x:c r="D590" s="146" t="e">
        <x:f>IF($A590="","",[1]!thsiFinD("ths_adjustment_nv_fund",D$3,$A590))</x:f>
        <x:v>#NAME?</x:v>
      </x:c>
      <x:c r="E590" s="146" t="e">
        <x:f>IF($A590="","",[1]!thsiFinD("ths_adjustment_nv_fund",E$3,$A590))</x:f>
        <x:v>#NAME?</x:v>
      </x:c>
      <x:c r="F590" s="146" t="e">
        <x:f>IF($A590="","",[1]!thsiFinD("ths_adjustment_nv_fund",F$3,$A590))</x:f>
        <x:v>#NAME?</x:v>
      </x:c>
      <x:c r="G590" s="146" t="e">
        <x:f>IF($A590="","",[1]!thsiFinD("ths_adjustment_nv_fund",G$3,$A590))</x:f>
        <x:v>#NAME?</x:v>
      </x:c>
      <x:c r="H590" s="146" t="e">
        <x:f>IF($A590="","",[1]!thsiFinD("ths_adjustment_nv_fund",H$3,$A590))</x:f>
        <x:v>#NAME?</x:v>
      </x:c>
      <x:c r="I590" s="146" t="e">
        <x:f>IF($A590="","",[1]!thsiFinD("ths_adjustment_nv_fund",I$3,$A590))</x:f>
        <x:v>#NAME?</x:v>
      </x:c>
      <x:c r="J590" s="146" t="e">
        <x:f>IF($A590="","",[1]!thsiFinD("ths_adjustment_nv_fund",J$3,$A590))</x:f>
        <x:v>#NAME?</x:v>
      </x:c>
      <x:c r="K590" s="146" t="e">
        <x:f>IF($A590="","",[1]!thsiFinD("ths_adjustment_nv_fund",K$3,$A590))</x:f>
        <x:v>#NAME?</x:v>
      </x:c>
      <x:c r="L590" s="146" t="e">
        <x:f>IF($A590="","",[1]!thsiFinD("ths_adjustment_nv_fund",L$3,$A590))</x:f>
        <x:v>#NAME?</x:v>
      </x:c>
      <x:c r="M590" s="146" t="e">
        <x:f>IF($A590="","",[1]!thsiFinD("ths_adjustment_nv_fund",M$3,$A590))</x:f>
        <x:v>#NAME?</x:v>
      </x:c>
      <x:c r="N590" s="146" t="e">
        <x:f>IF($A590="","",[1]!thsiFinD("ths_adjustment_nv_fund",N$3,$A590))</x:f>
        <x:v>#NAME?</x:v>
      </x:c>
      <x:c r="O590" s="146" t="e">
        <x:f>IF($A590="","",[1]!thsiFinD("ths_adjustment_nv_fund",O$3,$A590))</x:f>
        <x:v>#NAME?</x:v>
      </x:c>
      <x:c r="P590" s="146" t="e">
        <x:f>IF($A590="","",[1]!thsiFinD("ths_adjustment_nv_fund",P$3,$A590))</x:f>
        <x:v>#NAME?</x:v>
      </x:c>
      <x:c r="Q590" s="146" t="e">
        <x:f>IF($A590="","",[1]!thsiFinD("ths_adjustment_nv_fund",Q$3,$A590))</x:f>
        <x:v>#NAME?</x:v>
      </x:c>
      <x:c r="R590" s="146" t="e">
        <x:f>IF($A590="","",[1]!thsiFinD("ths_adjustment_nv_fund",R$3,$A590))</x:f>
        <x:v>#NAME?</x:v>
      </x:c>
      <x:c r="S590" s="146" t="e">
        <x:f>IF($A590="","",[1]!thsiFinD("ths_adjustment_nv_fund",S$3,$A590))</x:f>
        <x:v>#NAME?</x:v>
      </x:c>
      <x:c r="T590" s="146" t="e">
        <x:f>IF($A590="","",[1]!thsiFinD("ths_adjustment_nv_fund",T$3,$A590))</x:f>
        <x:v>#NAME?</x:v>
      </x:c>
      <x:c r="U590" s="146" t="e">
        <x:f>IF($A590="","",[1]!thsiFinD("ths_adjustment_nv_fund",U$3,$A590))</x:f>
        <x:v>#NAME?</x:v>
      </x:c>
      <x:c r="V590" s="146" t="e">
        <x:f>IF($A590="","",[1]!thsiFinD("ths_adjustment_nv_fund",V$3,$A590))</x:f>
        <x:v>#NAME?</x:v>
      </x:c>
      <x:c r="W590" s="146" t="e">
        <x:f>IF($A590="","",[1]!thsiFinD("ths_adjustment_nv_fund",W$3,$A590))</x:f>
        <x:v>#NAME?</x:v>
      </x:c>
      <x:c r="X590" s="146" t="e">
        <x:f>IF($A590="","",[1]!thsiFinD("ths_adjustment_nv_fund",X$3,$A590))</x:f>
        <x:v>#NAME?</x:v>
      </x:c>
      <x:c r="Y590" s="146" t="e">
        <x:f>IF($A590="","",[1]!thsiFinD("ths_adjustment_nv_fund",Y$3,$A590))</x:f>
        <x:v>#NAME?</x:v>
      </x:c>
      <x:c r="Z590" s="146" t="e">
        <x:f>IF($A590="","",[1]!thsiFinD("ths_adjustment_nv_fund",Z$3,$A590))</x:f>
        <x:v>#NAME?</x:v>
      </x:c>
      <x:c r="AA590" s="146" t="e">
        <x:f>IF($A590="","",[1]!thsiFinD("ths_adjustment_nv_fund",AA$3,$A590))</x:f>
        <x:v>#NAME?</x:v>
      </x:c>
    </x:row>
    <x:row r="591">
      <x:c r="B591" s="146" t="e">
        <x:f>IF($A591="","",[1]!thsiFinD("ths_adjustment_nv_fund",B$3,$A591))</x:f>
        <x:v>#NAME?</x:v>
      </x:c>
      <x:c r="C591" s="146" t="e">
        <x:f>IF($A591="","",[1]!thsiFinD("ths_adjustment_nv_fund",C$3,$A591))</x:f>
        <x:v>#NAME?</x:v>
      </x:c>
      <x:c r="D591" s="146" t="e">
        <x:f>IF($A591="","",[1]!thsiFinD("ths_adjustment_nv_fund",D$3,$A591))</x:f>
        <x:v>#NAME?</x:v>
      </x:c>
      <x:c r="E591" s="146" t="e">
        <x:f>IF($A591="","",[1]!thsiFinD("ths_adjustment_nv_fund",E$3,$A591))</x:f>
        <x:v>#NAME?</x:v>
      </x:c>
      <x:c r="F591" s="146" t="e">
        <x:f>IF($A591="","",[1]!thsiFinD("ths_adjustment_nv_fund",F$3,$A591))</x:f>
        <x:v>#NAME?</x:v>
      </x:c>
      <x:c r="G591" s="146" t="e">
        <x:f>IF($A591="","",[1]!thsiFinD("ths_adjustment_nv_fund",G$3,$A591))</x:f>
        <x:v>#NAME?</x:v>
      </x:c>
      <x:c r="H591" s="146" t="e">
        <x:f>IF($A591="","",[1]!thsiFinD("ths_adjustment_nv_fund",H$3,$A591))</x:f>
        <x:v>#NAME?</x:v>
      </x:c>
      <x:c r="I591" s="146" t="e">
        <x:f>IF($A591="","",[1]!thsiFinD("ths_adjustment_nv_fund",I$3,$A591))</x:f>
        <x:v>#NAME?</x:v>
      </x:c>
      <x:c r="J591" s="146" t="e">
        <x:f>IF($A591="","",[1]!thsiFinD("ths_adjustment_nv_fund",J$3,$A591))</x:f>
        <x:v>#NAME?</x:v>
      </x:c>
      <x:c r="K591" s="146" t="e">
        <x:f>IF($A591="","",[1]!thsiFinD("ths_adjustment_nv_fund",K$3,$A591))</x:f>
        <x:v>#NAME?</x:v>
      </x:c>
      <x:c r="L591" s="146" t="e">
        <x:f>IF($A591="","",[1]!thsiFinD("ths_adjustment_nv_fund",L$3,$A591))</x:f>
        <x:v>#NAME?</x:v>
      </x:c>
      <x:c r="M591" s="146" t="e">
        <x:f>IF($A591="","",[1]!thsiFinD("ths_adjustment_nv_fund",M$3,$A591))</x:f>
        <x:v>#NAME?</x:v>
      </x:c>
      <x:c r="N591" s="146" t="e">
        <x:f>IF($A591="","",[1]!thsiFinD("ths_adjustment_nv_fund",N$3,$A591))</x:f>
        <x:v>#NAME?</x:v>
      </x:c>
      <x:c r="O591" s="146" t="e">
        <x:f>IF($A591="","",[1]!thsiFinD("ths_adjustment_nv_fund",O$3,$A591))</x:f>
        <x:v>#NAME?</x:v>
      </x:c>
      <x:c r="P591" s="146" t="e">
        <x:f>IF($A591="","",[1]!thsiFinD("ths_adjustment_nv_fund",P$3,$A591))</x:f>
        <x:v>#NAME?</x:v>
      </x:c>
      <x:c r="Q591" s="146" t="e">
        <x:f>IF($A591="","",[1]!thsiFinD("ths_adjustment_nv_fund",Q$3,$A591))</x:f>
        <x:v>#NAME?</x:v>
      </x:c>
      <x:c r="R591" s="146" t="e">
        <x:f>IF($A591="","",[1]!thsiFinD("ths_adjustment_nv_fund",R$3,$A591))</x:f>
        <x:v>#NAME?</x:v>
      </x:c>
      <x:c r="S591" s="146" t="e">
        <x:f>IF($A591="","",[1]!thsiFinD("ths_adjustment_nv_fund",S$3,$A591))</x:f>
        <x:v>#NAME?</x:v>
      </x:c>
      <x:c r="T591" s="146" t="e">
        <x:f>IF($A591="","",[1]!thsiFinD("ths_adjustment_nv_fund",T$3,$A591))</x:f>
        <x:v>#NAME?</x:v>
      </x:c>
      <x:c r="U591" s="146" t="e">
        <x:f>IF($A591="","",[1]!thsiFinD("ths_adjustment_nv_fund",U$3,$A591))</x:f>
        <x:v>#NAME?</x:v>
      </x:c>
      <x:c r="V591" s="146" t="e">
        <x:f>IF($A591="","",[1]!thsiFinD("ths_adjustment_nv_fund",V$3,$A591))</x:f>
        <x:v>#NAME?</x:v>
      </x:c>
      <x:c r="W591" s="146" t="e">
        <x:f>IF($A591="","",[1]!thsiFinD("ths_adjustment_nv_fund",W$3,$A591))</x:f>
        <x:v>#NAME?</x:v>
      </x:c>
      <x:c r="X591" s="146" t="e">
        <x:f>IF($A591="","",[1]!thsiFinD("ths_adjustment_nv_fund",X$3,$A591))</x:f>
        <x:v>#NAME?</x:v>
      </x:c>
      <x:c r="Y591" s="146" t="e">
        <x:f>IF($A591="","",[1]!thsiFinD("ths_adjustment_nv_fund",Y$3,$A591))</x:f>
        <x:v>#NAME?</x:v>
      </x:c>
      <x:c r="Z591" s="146" t="e">
        <x:f>IF($A591="","",[1]!thsiFinD("ths_adjustment_nv_fund",Z$3,$A591))</x:f>
        <x:v>#NAME?</x:v>
      </x:c>
      <x:c r="AA591" s="146" t="e">
        <x:f>IF($A591="","",[1]!thsiFinD("ths_adjustment_nv_fund",AA$3,$A591))</x:f>
        <x:v>#NAME?</x:v>
      </x:c>
    </x:row>
    <x:row r="592">
      <x:c r="B592" s="146" t="e">
        <x:f>IF($A592="","",[1]!thsiFinD("ths_adjustment_nv_fund",B$3,$A592))</x:f>
        <x:v>#NAME?</x:v>
      </x:c>
      <x:c r="C592" s="146" t="e">
        <x:f>IF($A592="","",[1]!thsiFinD("ths_adjustment_nv_fund",C$3,$A592))</x:f>
        <x:v>#NAME?</x:v>
      </x:c>
      <x:c r="D592" s="146" t="e">
        <x:f>IF($A592="","",[1]!thsiFinD("ths_adjustment_nv_fund",D$3,$A592))</x:f>
        <x:v>#NAME?</x:v>
      </x:c>
      <x:c r="E592" s="146" t="e">
        <x:f>IF($A592="","",[1]!thsiFinD("ths_adjustment_nv_fund",E$3,$A592))</x:f>
        <x:v>#NAME?</x:v>
      </x:c>
      <x:c r="F592" s="146" t="e">
        <x:f>IF($A592="","",[1]!thsiFinD("ths_adjustment_nv_fund",F$3,$A592))</x:f>
        <x:v>#NAME?</x:v>
      </x:c>
      <x:c r="G592" s="146" t="e">
        <x:f>IF($A592="","",[1]!thsiFinD("ths_adjustment_nv_fund",G$3,$A592))</x:f>
        <x:v>#NAME?</x:v>
      </x:c>
      <x:c r="H592" s="146" t="e">
        <x:f>IF($A592="","",[1]!thsiFinD("ths_adjustment_nv_fund",H$3,$A592))</x:f>
        <x:v>#NAME?</x:v>
      </x:c>
      <x:c r="I592" s="146" t="e">
        <x:f>IF($A592="","",[1]!thsiFinD("ths_adjustment_nv_fund",I$3,$A592))</x:f>
        <x:v>#NAME?</x:v>
      </x:c>
      <x:c r="J592" s="146" t="e">
        <x:f>IF($A592="","",[1]!thsiFinD("ths_adjustment_nv_fund",J$3,$A592))</x:f>
        <x:v>#NAME?</x:v>
      </x:c>
      <x:c r="K592" s="146" t="e">
        <x:f>IF($A592="","",[1]!thsiFinD("ths_adjustment_nv_fund",K$3,$A592))</x:f>
        <x:v>#NAME?</x:v>
      </x:c>
      <x:c r="L592" s="146" t="e">
        <x:f>IF($A592="","",[1]!thsiFinD("ths_adjustment_nv_fund",L$3,$A592))</x:f>
        <x:v>#NAME?</x:v>
      </x:c>
      <x:c r="M592" s="146" t="e">
        <x:f>IF($A592="","",[1]!thsiFinD("ths_adjustment_nv_fund",M$3,$A592))</x:f>
        <x:v>#NAME?</x:v>
      </x:c>
      <x:c r="N592" s="146" t="e">
        <x:f>IF($A592="","",[1]!thsiFinD("ths_adjustment_nv_fund",N$3,$A592))</x:f>
        <x:v>#NAME?</x:v>
      </x:c>
      <x:c r="O592" s="146" t="e">
        <x:f>IF($A592="","",[1]!thsiFinD("ths_adjustment_nv_fund",O$3,$A592))</x:f>
        <x:v>#NAME?</x:v>
      </x:c>
      <x:c r="P592" s="146" t="e">
        <x:f>IF($A592="","",[1]!thsiFinD("ths_adjustment_nv_fund",P$3,$A592))</x:f>
        <x:v>#NAME?</x:v>
      </x:c>
      <x:c r="Q592" s="146" t="e">
        <x:f>IF($A592="","",[1]!thsiFinD("ths_adjustment_nv_fund",Q$3,$A592))</x:f>
        <x:v>#NAME?</x:v>
      </x:c>
      <x:c r="R592" s="146" t="e">
        <x:f>IF($A592="","",[1]!thsiFinD("ths_adjustment_nv_fund",R$3,$A592))</x:f>
        <x:v>#NAME?</x:v>
      </x:c>
      <x:c r="S592" s="146" t="e">
        <x:f>IF($A592="","",[1]!thsiFinD("ths_adjustment_nv_fund",S$3,$A592))</x:f>
        <x:v>#NAME?</x:v>
      </x:c>
      <x:c r="T592" s="146" t="e">
        <x:f>IF($A592="","",[1]!thsiFinD("ths_adjustment_nv_fund",T$3,$A592))</x:f>
        <x:v>#NAME?</x:v>
      </x:c>
      <x:c r="U592" s="146" t="e">
        <x:f>IF($A592="","",[1]!thsiFinD("ths_adjustment_nv_fund",U$3,$A592))</x:f>
        <x:v>#NAME?</x:v>
      </x:c>
      <x:c r="V592" s="146" t="e">
        <x:f>IF($A592="","",[1]!thsiFinD("ths_adjustment_nv_fund",V$3,$A592))</x:f>
        <x:v>#NAME?</x:v>
      </x:c>
      <x:c r="W592" s="146" t="e">
        <x:f>IF($A592="","",[1]!thsiFinD("ths_adjustment_nv_fund",W$3,$A592))</x:f>
        <x:v>#NAME?</x:v>
      </x:c>
      <x:c r="X592" s="146" t="e">
        <x:f>IF($A592="","",[1]!thsiFinD("ths_adjustment_nv_fund",X$3,$A592))</x:f>
        <x:v>#NAME?</x:v>
      </x:c>
      <x:c r="Y592" s="146" t="e">
        <x:f>IF($A592="","",[1]!thsiFinD("ths_adjustment_nv_fund",Y$3,$A592))</x:f>
        <x:v>#NAME?</x:v>
      </x:c>
      <x:c r="Z592" s="146" t="e">
        <x:f>IF($A592="","",[1]!thsiFinD("ths_adjustment_nv_fund",Z$3,$A592))</x:f>
        <x:v>#NAME?</x:v>
      </x:c>
      <x:c r="AA592" s="146" t="e">
        <x:f>IF($A592="","",[1]!thsiFinD("ths_adjustment_nv_fund",AA$3,$A592))</x:f>
        <x:v>#NAME?</x:v>
      </x:c>
    </x:row>
    <x:row r="593">
      <x:c r="B593" s="146" t="e">
        <x:f>IF($A593="","",[1]!thsiFinD("ths_adjustment_nv_fund",B$3,$A593))</x:f>
        <x:v>#NAME?</x:v>
      </x:c>
      <x:c r="C593" s="146" t="e">
        <x:f>IF($A593="","",[1]!thsiFinD("ths_adjustment_nv_fund",C$3,$A593))</x:f>
        <x:v>#NAME?</x:v>
      </x:c>
      <x:c r="D593" s="146" t="e">
        <x:f>IF($A593="","",[1]!thsiFinD("ths_adjustment_nv_fund",D$3,$A593))</x:f>
        <x:v>#NAME?</x:v>
      </x:c>
      <x:c r="E593" s="146" t="e">
        <x:f>IF($A593="","",[1]!thsiFinD("ths_adjustment_nv_fund",E$3,$A593))</x:f>
        <x:v>#NAME?</x:v>
      </x:c>
      <x:c r="F593" s="146" t="e">
        <x:f>IF($A593="","",[1]!thsiFinD("ths_adjustment_nv_fund",F$3,$A593))</x:f>
        <x:v>#NAME?</x:v>
      </x:c>
      <x:c r="G593" s="146" t="e">
        <x:f>IF($A593="","",[1]!thsiFinD("ths_adjustment_nv_fund",G$3,$A593))</x:f>
        <x:v>#NAME?</x:v>
      </x:c>
      <x:c r="H593" s="146" t="e">
        <x:f>IF($A593="","",[1]!thsiFinD("ths_adjustment_nv_fund",H$3,$A593))</x:f>
        <x:v>#NAME?</x:v>
      </x:c>
      <x:c r="I593" s="146" t="e">
        <x:f>IF($A593="","",[1]!thsiFinD("ths_adjustment_nv_fund",I$3,$A593))</x:f>
        <x:v>#NAME?</x:v>
      </x:c>
      <x:c r="J593" s="146" t="e">
        <x:f>IF($A593="","",[1]!thsiFinD("ths_adjustment_nv_fund",J$3,$A593))</x:f>
        <x:v>#NAME?</x:v>
      </x:c>
      <x:c r="K593" s="146" t="e">
        <x:f>IF($A593="","",[1]!thsiFinD("ths_adjustment_nv_fund",K$3,$A593))</x:f>
        <x:v>#NAME?</x:v>
      </x:c>
      <x:c r="L593" s="146" t="e">
        <x:f>IF($A593="","",[1]!thsiFinD("ths_adjustment_nv_fund",L$3,$A593))</x:f>
        <x:v>#NAME?</x:v>
      </x:c>
      <x:c r="M593" s="146" t="e">
        <x:f>IF($A593="","",[1]!thsiFinD("ths_adjustment_nv_fund",M$3,$A593))</x:f>
        <x:v>#NAME?</x:v>
      </x:c>
      <x:c r="N593" s="146" t="e">
        <x:f>IF($A593="","",[1]!thsiFinD("ths_adjustment_nv_fund",N$3,$A593))</x:f>
        <x:v>#NAME?</x:v>
      </x:c>
      <x:c r="O593" s="146" t="e">
        <x:f>IF($A593="","",[1]!thsiFinD("ths_adjustment_nv_fund",O$3,$A593))</x:f>
        <x:v>#NAME?</x:v>
      </x:c>
      <x:c r="P593" s="146" t="e">
        <x:f>IF($A593="","",[1]!thsiFinD("ths_adjustment_nv_fund",P$3,$A593))</x:f>
        <x:v>#NAME?</x:v>
      </x:c>
      <x:c r="Q593" s="146" t="e">
        <x:f>IF($A593="","",[1]!thsiFinD("ths_adjustment_nv_fund",Q$3,$A593))</x:f>
        <x:v>#NAME?</x:v>
      </x:c>
      <x:c r="R593" s="146" t="e">
        <x:f>IF($A593="","",[1]!thsiFinD("ths_adjustment_nv_fund",R$3,$A593))</x:f>
        <x:v>#NAME?</x:v>
      </x:c>
      <x:c r="S593" s="146" t="e">
        <x:f>IF($A593="","",[1]!thsiFinD("ths_adjustment_nv_fund",S$3,$A593))</x:f>
        <x:v>#NAME?</x:v>
      </x:c>
      <x:c r="T593" s="146" t="e">
        <x:f>IF($A593="","",[1]!thsiFinD("ths_adjustment_nv_fund",T$3,$A593))</x:f>
        <x:v>#NAME?</x:v>
      </x:c>
      <x:c r="U593" s="146" t="e">
        <x:f>IF($A593="","",[1]!thsiFinD("ths_adjustment_nv_fund",U$3,$A593))</x:f>
        <x:v>#NAME?</x:v>
      </x:c>
      <x:c r="V593" s="146" t="e">
        <x:f>IF($A593="","",[1]!thsiFinD("ths_adjustment_nv_fund",V$3,$A593))</x:f>
        <x:v>#NAME?</x:v>
      </x:c>
      <x:c r="W593" s="146" t="e">
        <x:f>IF($A593="","",[1]!thsiFinD("ths_adjustment_nv_fund",W$3,$A593))</x:f>
        <x:v>#NAME?</x:v>
      </x:c>
      <x:c r="X593" s="146" t="e">
        <x:f>IF($A593="","",[1]!thsiFinD("ths_adjustment_nv_fund",X$3,$A593))</x:f>
        <x:v>#NAME?</x:v>
      </x:c>
      <x:c r="Y593" s="146" t="e">
        <x:f>IF($A593="","",[1]!thsiFinD("ths_adjustment_nv_fund",Y$3,$A593))</x:f>
        <x:v>#NAME?</x:v>
      </x:c>
      <x:c r="Z593" s="146" t="e">
        <x:f>IF($A593="","",[1]!thsiFinD("ths_adjustment_nv_fund",Z$3,$A593))</x:f>
        <x:v>#NAME?</x:v>
      </x:c>
      <x:c r="AA593" s="146" t="e">
        <x:f>IF($A593="","",[1]!thsiFinD("ths_adjustment_nv_fund",AA$3,$A593))</x:f>
        <x:v>#NAME?</x:v>
      </x:c>
    </x:row>
    <x:row r="594">
      <x:c r="B594" s="146" t="e">
        <x:f>IF($A594="","",[1]!thsiFinD("ths_adjustment_nv_fund",B$3,$A594))</x:f>
        <x:v>#NAME?</x:v>
      </x:c>
      <x:c r="C594" s="146" t="e">
        <x:f>IF($A594="","",[1]!thsiFinD("ths_adjustment_nv_fund",C$3,$A594))</x:f>
        <x:v>#NAME?</x:v>
      </x:c>
      <x:c r="D594" s="146" t="e">
        <x:f>IF($A594="","",[1]!thsiFinD("ths_adjustment_nv_fund",D$3,$A594))</x:f>
        <x:v>#NAME?</x:v>
      </x:c>
      <x:c r="E594" s="146" t="e">
        <x:f>IF($A594="","",[1]!thsiFinD("ths_adjustment_nv_fund",E$3,$A594))</x:f>
        <x:v>#NAME?</x:v>
      </x:c>
      <x:c r="F594" s="146" t="e">
        <x:f>IF($A594="","",[1]!thsiFinD("ths_adjustment_nv_fund",F$3,$A594))</x:f>
        <x:v>#NAME?</x:v>
      </x:c>
      <x:c r="G594" s="146" t="e">
        <x:f>IF($A594="","",[1]!thsiFinD("ths_adjustment_nv_fund",G$3,$A594))</x:f>
        <x:v>#NAME?</x:v>
      </x:c>
      <x:c r="H594" s="146" t="e">
        <x:f>IF($A594="","",[1]!thsiFinD("ths_adjustment_nv_fund",H$3,$A594))</x:f>
        <x:v>#NAME?</x:v>
      </x:c>
      <x:c r="I594" s="146" t="e">
        <x:f>IF($A594="","",[1]!thsiFinD("ths_adjustment_nv_fund",I$3,$A594))</x:f>
        <x:v>#NAME?</x:v>
      </x:c>
      <x:c r="J594" s="146" t="e">
        <x:f>IF($A594="","",[1]!thsiFinD("ths_adjustment_nv_fund",J$3,$A594))</x:f>
        <x:v>#NAME?</x:v>
      </x:c>
      <x:c r="K594" s="146" t="e">
        <x:f>IF($A594="","",[1]!thsiFinD("ths_adjustment_nv_fund",K$3,$A594))</x:f>
        <x:v>#NAME?</x:v>
      </x:c>
      <x:c r="L594" s="146" t="e">
        <x:f>IF($A594="","",[1]!thsiFinD("ths_adjustment_nv_fund",L$3,$A594))</x:f>
        <x:v>#NAME?</x:v>
      </x:c>
      <x:c r="M594" s="146" t="e">
        <x:f>IF($A594="","",[1]!thsiFinD("ths_adjustment_nv_fund",M$3,$A594))</x:f>
        <x:v>#NAME?</x:v>
      </x:c>
      <x:c r="N594" s="146" t="e">
        <x:f>IF($A594="","",[1]!thsiFinD("ths_adjustment_nv_fund",N$3,$A594))</x:f>
        <x:v>#NAME?</x:v>
      </x:c>
      <x:c r="O594" s="146" t="e">
        <x:f>IF($A594="","",[1]!thsiFinD("ths_adjustment_nv_fund",O$3,$A594))</x:f>
        <x:v>#NAME?</x:v>
      </x:c>
      <x:c r="P594" s="146" t="e">
        <x:f>IF($A594="","",[1]!thsiFinD("ths_adjustment_nv_fund",P$3,$A594))</x:f>
        <x:v>#NAME?</x:v>
      </x:c>
      <x:c r="Q594" s="146" t="e">
        <x:f>IF($A594="","",[1]!thsiFinD("ths_adjustment_nv_fund",Q$3,$A594))</x:f>
        <x:v>#NAME?</x:v>
      </x:c>
      <x:c r="R594" s="146" t="e">
        <x:f>IF($A594="","",[1]!thsiFinD("ths_adjustment_nv_fund",R$3,$A594))</x:f>
        <x:v>#NAME?</x:v>
      </x:c>
      <x:c r="S594" s="146" t="e">
        <x:f>IF($A594="","",[1]!thsiFinD("ths_adjustment_nv_fund",S$3,$A594))</x:f>
        <x:v>#NAME?</x:v>
      </x:c>
      <x:c r="T594" s="146" t="e">
        <x:f>IF($A594="","",[1]!thsiFinD("ths_adjustment_nv_fund",T$3,$A594))</x:f>
        <x:v>#NAME?</x:v>
      </x:c>
      <x:c r="U594" s="146" t="e">
        <x:f>IF($A594="","",[1]!thsiFinD("ths_adjustment_nv_fund",U$3,$A594))</x:f>
        <x:v>#NAME?</x:v>
      </x:c>
      <x:c r="V594" s="146" t="e">
        <x:f>IF($A594="","",[1]!thsiFinD("ths_adjustment_nv_fund",V$3,$A594))</x:f>
        <x:v>#NAME?</x:v>
      </x:c>
      <x:c r="W594" s="146" t="e">
        <x:f>IF($A594="","",[1]!thsiFinD("ths_adjustment_nv_fund",W$3,$A594))</x:f>
        <x:v>#NAME?</x:v>
      </x:c>
      <x:c r="X594" s="146" t="e">
        <x:f>IF($A594="","",[1]!thsiFinD("ths_adjustment_nv_fund",X$3,$A594))</x:f>
        <x:v>#NAME?</x:v>
      </x:c>
      <x:c r="Y594" s="146" t="e">
        <x:f>IF($A594="","",[1]!thsiFinD("ths_adjustment_nv_fund",Y$3,$A594))</x:f>
        <x:v>#NAME?</x:v>
      </x:c>
      <x:c r="Z594" s="146" t="e">
        <x:f>IF($A594="","",[1]!thsiFinD("ths_adjustment_nv_fund",Z$3,$A594))</x:f>
        <x:v>#NAME?</x:v>
      </x:c>
      <x:c r="AA594" s="146" t="e">
        <x:f>IF($A594="","",[1]!thsiFinD("ths_adjustment_nv_fund",AA$3,$A594))</x:f>
        <x:v>#NAME?</x:v>
      </x:c>
    </x:row>
    <x:row r="595">
      <x:c r="B595" s="146" t="e">
        <x:f>IF($A595="","",[1]!thsiFinD("ths_adjustment_nv_fund",B$3,$A595))</x:f>
        <x:v>#NAME?</x:v>
      </x:c>
      <x:c r="C595" s="146" t="e">
        <x:f>IF($A595="","",[1]!thsiFinD("ths_adjustment_nv_fund",C$3,$A595))</x:f>
        <x:v>#NAME?</x:v>
      </x:c>
      <x:c r="D595" s="146" t="e">
        <x:f>IF($A595="","",[1]!thsiFinD("ths_adjustment_nv_fund",D$3,$A595))</x:f>
        <x:v>#NAME?</x:v>
      </x:c>
      <x:c r="E595" s="146" t="e">
        <x:f>IF($A595="","",[1]!thsiFinD("ths_adjustment_nv_fund",E$3,$A595))</x:f>
        <x:v>#NAME?</x:v>
      </x:c>
      <x:c r="F595" s="146" t="e">
        <x:f>IF($A595="","",[1]!thsiFinD("ths_adjustment_nv_fund",F$3,$A595))</x:f>
        <x:v>#NAME?</x:v>
      </x:c>
      <x:c r="G595" s="146" t="e">
        <x:f>IF($A595="","",[1]!thsiFinD("ths_adjustment_nv_fund",G$3,$A595))</x:f>
        <x:v>#NAME?</x:v>
      </x:c>
      <x:c r="H595" s="146" t="e">
        <x:f>IF($A595="","",[1]!thsiFinD("ths_adjustment_nv_fund",H$3,$A595))</x:f>
        <x:v>#NAME?</x:v>
      </x:c>
      <x:c r="I595" s="146" t="e">
        <x:f>IF($A595="","",[1]!thsiFinD("ths_adjustment_nv_fund",I$3,$A595))</x:f>
        <x:v>#NAME?</x:v>
      </x:c>
      <x:c r="J595" s="146" t="e">
        <x:f>IF($A595="","",[1]!thsiFinD("ths_adjustment_nv_fund",J$3,$A595))</x:f>
        <x:v>#NAME?</x:v>
      </x:c>
      <x:c r="K595" s="146" t="e">
        <x:f>IF($A595="","",[1]!thsiFinD("ths_adjustment_nv_fund",K$3,$A595))</x:f>
        <x:v>#NAME?</x:v>
      </x:c>
      <x:c r="L595" s="146" t="e">
        <x:f>IF($A595="","",[1]!thsiFinD("ths_adjustment_nv_fund",L$3,$A595))</x:f>
        <x:v>#NAME?</x:v>
      </x:c>
      <x:c r="M595" s="146" t="e">
        <x:f>IF($A595="","",[1]!thsiFinD("ths_adjustment_nv_fund",M$3,$A595))</x:f>
        <x:v>#NAME?</x:v>
      </x:c>
      <x:c r="N595" s="146" t="e">
        <x:f>IF($A595="","",[1]!thsiFinD("ths_adjustment_nv_fund",N$3,$A595))</x:f>
        <x:v>#NAME?</x:v>
      </x:c>
      <x:c r="O595" s="146" t="e">
        <x:f>IF($A595="","",[1]!thsiFinD("ths_adjustment_nv_fund",O$3,$A595))</x:f>
        <x:v>#NAME?</x:v>
      </x:c>
      <x:c r="P595" s="146" t="e">
        <x:f>IF($A595="","",[1]!thsiFinD("ths_adjustment_nv_fund",P$3,$A595))</x:f>
        <x:v>#NAME?</x:v>
      </x:c>
      <x:c r="Q595" s="146" t="e">
        <x:f>IF($A595="","",[1]!thsiFinD("ths_adjustment_nv_fund",Q$3,$A595))</x:f>
        <x:v>#NAME?</x:v>
      </x:c>
      <x:c r="R595" s="146" t="e">
        <x:f>IF($A595="","",[1]!thsiFinD("ths_adjustment_nv_fund",R$3,$A595))</x:f>
        <x:v>#NAME?</x:v>
      </x:c>
      <x:c r="S595" s="146" t="e">
        <x:f>IF($A595="","",[1]!thsiFinD("ths_adjustment_nv_fund",S$3,$A595))</x:f>
        <x:v>#NAME?</x:v>
      </x:c>
      <x:c r="T595" s="146" t="e">
        <x:f>IF($A595="","",[1]!thsiFinD("ths_adjustment_nv_fund",T$3,$A595))</x:f>
        <x:v>#NAME?</x:v>
      </x:c>
      <x:c r="U595" s="146" t="e">
        <x:f>IF($A595="","",[1]!thsiFinD("ths_adjustment_nv_fund",U$3,$A595))</x:f>
        <x:v>#NAME?</x:v>
      </x:c>
      <x:c r="V595" s="146" t="e">
        <x:f>IF($A595="","",[1]!thsiFinD("ths_adjustment_nv_fund",V$3,$A595))</x:f>
        <x:v>#NAME?</x:v>
      </x:c>
      <x:c r="W595" s="146" t="e">
        <x:f>IF($A595="","",[1]!thsiFinD("ths_adjustment_nv_fund",W$3,$A595))</x:f>
        <x:v>#NAME?</x:v>
      </x:c>
      <x:c r="X595" s="146" t="e">
        <x:f>IF($A595="","",[1]!thsiFinD("ths_adjustment_nv_fund",X$3,$A595))</x:f>
        <x:v>#NAME?</x:v>
      </x:c>
      <x:c r="Y595" s="146" t="e">
        <x:f>IF($A595="","",[1]!thsiFinD("ths_adjustment_nv_fund",Y$3,$A595))</x:f>
        <x:v>#NAME?</x:v>
      </x:c>
      <x:c r="Z595" s="146" t="e">
        <x:f>IF($A595="","",[1]!thsiFinD("ths_adjustment_nv_fund",Z$3,$A595))</x:f>
        <x:v>#NAME?</x:v>
      </x:c>
      <x:c r="AA595" s="146" t="e">
        <x:f>IF($A595="","",[1]!thsiFinD("ths_adjustment_nv_fund",AA$3,$A595))</x:f>
        <x:v>#NAME?</x:v>
      </x:c>
    </x:row>
    <x:row r="596">
      <x:c r="B596" s="146" t="e">
        <x:f>IF($A596="","",[1]!thsiFinD("ths_adjustment_nv_fund",B$3,$A596))</x:f>
        <x:v>#NAME?</x:v>
      </x:c>
      <x:c r="C596" s="146" t="e">
        <x:f>IF($A596="","",[1]!thsiFinD("ths_adjustment_nv_fund",C$3,$A596))</x:f>
        <x:v>#NAME?</x:v>
      </x:c>
      <x:c r="D596" s="146" t="e">
        <x:f>IF($A596="","",[1]!thsiFinD("ths_adjustment_nv_fund",D$3,$A596))</x:f>
        <x:v>#NAME?</x:v>
      </x:c>
      <x:c r="E596" s="146" t="e">
        <x:f>IF($A596="","",[1]!thsiFinD("ths_adjustment_nv_fund",E$3,$A596))</x:f>
        <x:v>#NAME?</x:v>
      </x:c>
      <x:c r="F596" s="146" t="e">
        <x:f>IF($A596="","",[1]!thsiFinD("ths_adjustment_nv_fund",F$3,$A596))</x:f>
        <x:v>#NAME?</x:v>
      </x:c>
      <x:c r="G596" s="146" t="e">
        <x:f>IF($A596="","",[1]!thsiFinD("ths_adjustment_nv_fund",G$3,$A596))</x:f>
        <x:v>#NAME?</x:v>
      </x:c>
      <x:c r="H596" s="146" t="e">
        <x:f>IF($A596="","",[1]!thsiFinD("ths_adjustment_nv_fund",H$3,$A596))</x:f>
        <x:v>#NAME?</x:v>
      </x:c>
      <x:c r="I596" s="146" t="e">
        <x:f>IF($A596="","",[1]!thsiFinD("ths_adjustment_nv_fund",I$3,$A596))</x:f>
        <x:v>#NAME?</x:v>
      </x:c>
      <x:c r="J596" s="146" t="e">
        <x:f>IF($A596="","",[1]!thsiFinD("ths_adjustment_nv_fund",J$3,$A596))</x:f>
        <x:v>#NAME?</x:v>
      </x:c>
      <x:c r="K596" s="146" t="e">
        <x:f>IF($A596="","",[1]!thsiFinD("ths_adjustment_nv_fund",K$3,$A596))</x:f>
        <x:v>#NAME?</x:v>
      </x:c>
      <x:c r="L596" s="146" t="e">
        <x:f>IF($A596="","",[1]!thsiFinD("ths_adjustment_nv_fund",L$3,$A596))</x:f>
        <x:v>#NAME?</x:v>
      </x:c>
      <x:c r="M596" s="146" t="e">
        <x:f>IF($A596="","",[1]!thsiFinD("ths_adjustment_nv_fund",M$3,$A596))</x:f>
        <x:v>#NAME?</x:v>
      </x:c>
      <x:c r="N596" s="146" t="e">
        <x:f>IF($A596="","",[1]!thsiFinD("ths_adjustment_nv_fund",N$3,$A596))</x:f>
        <x:v>#NAME?</x:v>
      </x:c>
      <x:c r="O596" s="146" t="e">
        <x:f>IF($A596="","",[1]!thsiFinD("ths_adjustment_nv_fund",O$3,$A596))</x:f>
        <x:v>#NAME?</x:v>
      </x:c>
      <x:c r="P596" s="146" t="e">
        <x:f>IF($A596="","",[1]!thsiFinD("ths_adjustment_nv_fund",P$3,$A596))</x:f>
        <x:v>#NAME?</x:v>
      </x:c>
      <x:c r="Q596" s="146" t="e">
        <x:f>IF($A596="","",[1]!thsiFinD("ths_adjustment_nv_fund",Q$3,$A596))</x:f>
        <x:v>#NAME?</x:v>
      </x:c>
      <x:c r="R596" s="146" t="e">
        <x:f>IF($A596="","",[1]!thsiFinD("ths_adjustment_nv_fund",R$3,$A596))</x:f>
        <x:v>#NAME?</x:v>
      </x:c>
      <x:c r="S596" s="146" t="e">
        <x:f>IF($A596="","",[1]!thsiFinD("ths_adjustment_nv_fund",S$3,$A596))</x:f>
        <x:v>#NAME?</x:v>
      </x:c>
      <x:c r="T596" s="146" t="e">
        <x:f>IF($A596="","",[1]!thsiFinD("ths_adjustment_nv_fund",T$3,$A596))</x:f>
        <x:v>#NAME?</x:v>
      </x:c>
      <x:c r="U596" s="146" t="e">
        <x:f>IF($A596="","",[1]!thsiFinD("ths_adjustment_nv_fund",U$3,$A596))</x:f>
        <x:v>#NAME?</x:v>
      </x:c>
      <x:c r="V596" s="146" t="e">
        <x:f>IF($A596="","",[1]!thsiFinD("ths_adjustment_nv_fund",V$3,$A596))</x:f>
        <x:v>#NAME?</x:v>
      </x:c>
      <x:c r="W596" s="146" t="e">
        <x:f>IF($A596="","",[1]!thsiFinD("ths_adjustment_nv_fund",W$3,$A596))</x:f>
        <x:v>#NAME?</x:v>
      </x:c>
      <x:c r="X596" s="146" t="e">
        <x:f>IF($A596="","",[1]!thsiFinD("ths_adjustment_nv_fund",X$3,$A596))</x:f>
        <x:v>#NAME?</x:v>
      </x:c>
      <x:c r="Y596" s="146" t="e">
        <x:f>IF($A596="","",[1]!thsiFinD("ths_adjustment_nv_fund",Y$3,$A596))</x:f>
        <x:v>#NAME?</x:v>
      </x:c>
      <x:c r="Z596" s="146" t="e">
        <x:f>IF($A596="","",[1]!thsiFinD("ths_adjustment_nv_fund",Z$3,$A596))</x:f>
        <x:v>#NAME?</x:v>
      </x:c>
      <x:c r="AA596" s="146" t="e">
        <x:f>IF($A596="","",[1]!thsiFinD("ths_adjustment_nv_fund",AA$3,$A596))</x:f>
        <x:v>#NAME?</x:v>
      </x:c>
    </x:row>
    <x:row r="597">
      <x:c r="B597" s="146" t="e">
        <x:f>IF($A597="","",[1]!thsiFinD("ths_adjustment_nv_fund",B$3,$A597))</x:f>
        <x:v>#NAME?</x:v>
      </x:c>
      <x:c r="C597" s="146" t="e">
        <x:f>IF($A597="","",[1]!thsiFinD("ths_adjustment_nv_fund",C$3,$A597))</x:f>
        <x:v>#NAME?</x:v>
      </x:c>
      <x:c r="D597" s="146" t="e">
        <x:f>IF($A597="","",[1]!thsiFinD("ths_adjustment_nv_fund",D$3,$A597))</x:f>
        <x:v>#NAME?</x:v>
      </x:c>
      <x:c r="E597" s="146" t="e">
        <x:f>IF($A597="","",[1]!thsiFinD("ths_adjustment_nv_fund",E$3,$A597))</x:f>
        <x:v>#NAME?</x:v>
      </x:c>
      <x:c r="F597" s="146" t="e">
        <x:f>IF($A597="","",[1]!thsiFinD("ths_adjustment_nv_fund",F$3,$A597))</x:f>
        <x:v>#NAME?</x:v>
      </x:c>
      <x:c r="G597" s="146" t="e">
        <x:f>IF($A597="","",[1]!thsiFinD("ths_adjustment_nv_fund",G$3,$A597))</x:f>
        <x:v>#NAME?</x:v>
      </x:c>
      <x:c r="H597" s="146" t="e">
        <x:f>IF($A597="","",[1]!thsiFinD("ths_adjustment_nv_fund",H$3,$A597))</x:f>
        <x:v>#NAME?</x:v>
      </x:c>
      <x:c r="I597" s="146" t="e">
        <x:f>IF($A597="","",[1]!thsiFinD("ths_adjustment_nv_fund",I$3,$A597))</x:f>
        <x:v>#NAME?</x:v>
      </x:c>
      <x:c r="J597" s="146" t="e">
        <x:f>IF($A597="","",[1]!thsiFinD("ths_adjustment_nv_fund",J$3,$A597))</x:f>
        <x:v>#NAME?</x:v>
      </x:c>
      <x:c r="K597" s="146" t="e">
        <x:f>IF($A597="","",[1]!thsiFinD("ths_adjustment_nv_fund",K$3,$A597))</x:f>
        <x:v>#NAME?</x:v>
      </x:c>
      <x:c r="L597" s="146" t="e">
        <x:f>IF($A597="","",[1]!thsiFinD("ths_adjustment_nv_fund",L$3,$A597))</x:f>
        <x:v>#NAME?</x:v>
      </x:c>
      <x:c r="M597" s="146" t="e">
        <x:f>IF($A597="","",[1]!thsiFinD("ths_adjustment_nv_fund",M$3,$A597))</x:f>
        <x:v>#NAME?</x:v>
      </x:c>
      <x:c r="N597" s="146" t="e">
        <x:f>IF($A597="","",[1]!thsiFinD("ths_adjustment_nv_fund",N$3,$A597))</x:f>
        <x:v>#NAME?</x:v>
      </x:c>
      <x:c r="O597" s="146" t="e">
        <x:f>IF($A597="","",[1]!thsiFinD("ths_adjustment_nv_fund",O$3,$A597))</x:f>
        <x:v>#NAME?</x:v>
      </x:c>
      <x:c r="P597" s="146" t="e">
        <x:f>IF($A597="","",[1]!thsiFinD("ths_adjustment_nv_fund",P$3,$A597))</x:f>
        <x:v>#NAME?</x:v>
      </x:c>
      <x:c r="Q597" s="146" t="e">
        <x:f>IF($A597="","",[1]!thsiFinD("ths_adjustment_nv_fund",Q$3,$A597))</x:f>
        <x:v>#NAME?</x:v>
      </x:c>
      <x:c r="R597" s="146" t="e">
        <x:f>IF($A597="","",[1]!thsiFinD("ths_adjustment_nv_fund",R$3,$A597))</x:f>
        <x:v>#NAME?</x:v>
      </x:c>
      <x:c r="S597" s="146" t="e">
        <x:f>IF($A597="","",[1]!thsiFinD("ths_adjustment_nv_fund",S$3,$A597))</x:f>
        <x:v>#NAME?</x:v>
      </x:c>
      <x:c r="T597" s="146" t="e">
        <x:f>IF($A597="","",[1]!thsiFinD("ths_adjustment_nv_fund",T$3,$A597))</x:f>
        <x:v>#NAME?</x:v>
      </x:c>
      <x:c r="U597" s="146" t="e">
        <x:f>IF($A597="","",[1]!thsiFinD("ths_adjustment_nv_fund",U$3,$A597))</x:f>
        <x:v>#NAME?</x:v>
      </x:c>
      <x:c r="V597" s="146" t="e">
        <x:f>IF($A597="","",[1]!thsiFinD("ths_adjustment_nv_fund",V$3,$A597))</x:f>
        <x:v>#NAME?</x:v>
      </x:c>
      <x:c r="W597" s="146" t="e">
        <x:f>IF($A597="","",[1]!thsiFinD("ths_adjustment_nv_fund",W$3,$A597))</x:f>
        <x:v>#NAME?</x:v>
      </x:c>
      <x:c r="X597" s="146" t="e">
        <x:f>IF($A597="","",[1]!thsiFinD("ths_adjustment_nv_fund",X$3,$A597))</x:f>
        <x:v>#NAME?</x:v>
      </x:c>
      <x:c r="Y597" s="146" t="e">
        <x:f>IF($A597="","",[1]!thsiFinD("ths_adjustment_nv_fund",Y$3,$A597))</x:f>
        <x:v>#NAME?</x:v>
      </x:c>
      <x:c r="Z597" s="146" t="e">
        <x:f>IF($A597="","",[1]!thsiFinD("ths_adjustment_nv_fund",Z$3,$A597))</x:f>
        <x:v>#NAME?</x:v>
      </x:c>
      <x:c r="AA597" s="146" t="e">
        <x:f>IF($A597="","",[1]!thsiFinD("ths_adjustment_nv_fund",AA$3,$A597))</x:f>
        <x:v>#NAME?</x:v>
      </x:c>
    </x:row>
    <x:row r="598">
      <x:c r="B598" s="146" t="e">
        <x:f>IF($A598="","",[1]!thsiFinD("ths_adjustment_nv_fund",B$3,$A598))</x:f>
        <x:v>#NAME?</x:v>
      </x:c>
      <x:c r="C598" s="146" t="e">
        <x:f>IF($A598="","",[1]!thsiFinD("ths_adjustment_nv_fund",C$3,$A598))</x:f>
        <x:v>#NAME?</x:v>
      </x:c>
      <x:c r="D598" s="146" t="e">
        <x:f>IF($A598="","",[1]!thsiFinD("ths_adjustment_nv_fund",D$3,$A598))</x:f>
        <x:v>#NAME?</x:v>
      </x:c>
      <x:c r="E598" s="146" t="e">
        <x:f>IF($A598="","",[1]!thsiFinD("ths_adjustment_nv_fund",E$3,$A598))</x:f>
        <x:v>#NAME?</x:v>
      </x:c>
      <x:c r="F598" s="146" t="e">
        <x:f>IF($A598="","",[1]!thsiFinD("ths_adjustment_nv_fund",F$3,$A598))</x:f>
        <x:v>#NAME?</x:v>
      </x:c>
      <x:c r="G598" s="146" t="e">
        <x:f>IF($A598="","",[1]!thsiFinD("ths_adjustment_nv_fund",G$3,$A598))</x:f>
        <x:v>#NAME?</x:v>
      </x:c>
      <x:c r="H598" s="146" t="e">
        <x:f>IF($A598="","",[1]!thsiFinD("ths_adjustment_nv_fund",H$3,$A598))</x:f>
        <x:v>#NAME?</x:v>
      </x:c>
      <x:c r="I598" s="146" t="e">
        <x:f>IF($A598="","",[1]!thsiFinD("ths_adjustment_nv_fund",I$3,$A598))</x:f>
        <x:v>#NAME?</x:v>
      </x:c>
      <x:c r="J598" s="146" t="e">
        <x:f>IF($A598="","",[1]!thsiFinD("ths_adjustment_nv_fund",J$3,$A598))</x:f>
        <x:v>#NAME?</x:v>
      </x:c>
      <x:c r="K598" s="146" t="e">
        <x:f>IF($A598="","",[1]!thsiFinD("ths_adjustment_nv_fund",K$3,$A598))</x:f>
        <x:v>#NAME?</x:v>
      </x:c>
      <x:c r="L598" s="146" t="e">
        <x:f>IF($A598="","",[1]!thsiFinD("ths_adjustment_nv_fund",L$3,$A598))</x:f>
        <x:v>#NAME?</x:v>
      </x:c>
      <x:c r="M598" s="146" t="e">
        <x:f>IF($A598="","",[1]!thsiFinD("ths_adjustment_nv_fund",M$3,$A598))</x:f>
        <x:v>#NAME?</x:v>
      </x:c>
      <x:c r="N598" s="146" t="e">
        <x:f>IF($A598="","",[1]!thsiFinD("ths_adjustment_nv_fund",N$3,$A598))</x:f>
        <x:v>#NAME?</x:v>
      </x:c>
      <x:c r="O598" s="146" t="e">
        <x:f>IF($A598="","",[1]!thsiFinD("ths_adjustment_nv_fund",O$3,$A598))</x:f>
        <x:v>#NAME?</x:v>
      </x:c>
      <x:c r="P598" s="146" t="e">
        <x:f>IF($A598="","",[1]!thsiFinD("ths_adjustment_nv_fund",P$3,$A598))</x:f>
        <x:v>#NAME?</x:v>
      </x:c>
      <x:c r="Q598" s="146" t="e">
        <x:f>IF($A598="","",[1]!thsiFinD("ths_adjustment_nv_fund",Q$3,$A598))</x:f>
        <x:v>#NAME?</x:v>
      </x:c>
      <x:c r="R598" s="146" t="e">
        <x:f>IF($A598="","",[1]!thsiFinD("ths_adjustment_nv_fund",R$3,$A598))</x:f>
        <x:v>#NAME?</x:v>
      </x:c>
      <x:c r="S598" s="146" t="e">
        <x:f>IF($A598="","",[1]!thsiFinD("ths_adjustment_nv_fund",S$3,$A598))</x:f>
        <x:v>#NAME?</x:v>
      </x:c>
      <x:c r="T598" s="146" t="e">
        <x:f>IF($A598="","",[1]!thsiFinD("ths_adjustment_nv_fund",T$3,$A598))</x:f>
        <x:v>#NAME?</x:v>
      </x:c>
      <x:c r="U598" s="146" t="e">
        <x:f>IF($A598="","",[1]!thsiFinD("ths_adjustment_nv_fund",U$3,$A598))</x:f>
        <x:v>#NAME?</x:v>
      </x:c>
      <x:c r="V598" s="146" t="e">
        <x:f>IF($A598="","",[1]!thsiFinD("ths_adjustment_nv_fund",V$3,$A598))</x:f>
        <x:v>#NAME?</x:v>
      </x:c>
      <x:c r="W598" s="146" t="e">
        <x:f>IF($A598="","",[1]!thsiFinD("ths_adjustment_nv_fund",W$3,$A598))</x:f>
        <x:v>#NAME?</x:v>
      </x:c>
      <x:c r="X598" s="146" t="e">
        <x:f>IF($A598="","",[1]!thsiFinD("ths_adjustment_nv_fund",X$3,$A598))</x:f>
        <x:v>#NAME?</x:v>
      </x:c>
      <x:c r="Y598" s="146" t="e">
        <x:f>IF($A598="","",[1]!thsiFinD("ths_adjustment_nv_fund",Y$3,$A598))</x:f>
        <x:v>#NAME?</x:v>
      </x:c>
      <x:c r="Z598" s="146" t="e">
        <x:f>IF($A598="","",[1]!thsiFinD("ths_adjustment_nv_fund",Z$3,$A598))</x:f>
        <x:v>#NAME?</x:v>
      </x:c>
      <x:c r="AA598" s="146" t="e">
        <x:f>IF($A598="","",[1]!thsiFinD("ths_adjustment_nv_fund",AA$3,$A598))</x:f>
        <x:v>#NAME?</x:v>
      </x:c>
    </x:row>
    <x:row r="599">
      <x:c r="B599" s="146" t="e">
        <x:f>IF($A599="","",[1]!thsiFinD("ths_adjustment_nv_fund",B$3,$A599))</x:f>
        <x:v>#NAME?</x:v>
      </x:c>
      <x:c r="C599" s="146" t="e">
        <x:f>IF($A599="","",[1]!thsiFinD("ths_adjustment_nv_fund",C$3,$A599))</x:f>
        <x:v>#NAME?</x:v>
      </x:c>
      <x:c r="D599" s="146" t="e">
        <x:f>IF($A599="","",[1]!thsiFinD("ths_adjustment_nv_fund",D$3,$A599))</x:f>
        <x:v>#NAME?</x:v>
      </x:c>
      <x:c r="E599" s="146" t="e">
        <x:f>IF($A599="","",[1]!thsiFinD("ths_adjustment_nv_fund",E$3,$A599))</x:f>
        <x:v>#NAME?</x:v>
      </x:c>
      <x:c r="F599" s="146" t="e">
        <x:f>IF($A599="","",[1]!thsiFinD("ths_adjustment_nv_fund",F$3,$A599))</x:f>
        <x:v>#NAME?</x:v>
      </x:c>
      <x:c r="G599" s="146" t="e">
        <x:f>IF($A599="","",[1]!thsiFinD("ths_adjustment_nv_fund",G$3,$A599))</x:f>
        <x:v>#NAME?</x:v>
      </x:c>
      <x:c r="H599" s="146" t="e">
        <x:f>IF($A599="","",[1]!thsiFinD("ths_adjustment_nv_fund",H$3,$A599))</x:f>
        <x:v>#NAME?</x:v>
      </x:c>
      <x:c r="I599" s="146" t="e">
        <x:f>IF($A599="","",[1]!thsiFinD("ths_adjustment_nv_fund",I$3,$A599))</x:f>
        <x:v>#NAME?</x:v>
      </x:c>
      <x:c r="J599" s="146" t="e">
        <x:f>IF($A599="","",[1]!thsiFinD("ths_adjustment_nv_fund",J$3,$A599))</x:f>
        <x:v>#NAME?</x:v>
      </x:c>
      <x:c r="K599" s="146" t="e">
        <x:f>IF($A599="","",[1]!thsiFinD("ths_adjustment_nv_fund",K$3,$A599))</x:f>
        <x:v>#NAME?</x:v>
      </x:c>
      <x:c r="L599" s="146" t="e">
        <x:f>IF($A599="","",[1]!thsiFinD("ths_adjustment_nv_fund",L$3,$A599))</x:f>
        <x:v>#NAME?</x:v>
      </x:c>
      <x:c r="M599" s="146" t="e">
        <x:f>IF($A599="","",[1]!thsiFinD("ths_adjustment_nv_fund",M$3,$A599))</x:f>
        <x:v>#NAME?</x:v>
      </x:c>
      <x:c r="N599" s="146" t="e">
        <x:f>IF($A599="","",[1]!thsiFinD("ths_adjustment_nv_fund",N$3,$A599))</x:f>
        <x:v>#NAME?</x:v>
      </x:c>
      <x:c r="O599" s="146" t="e">
        <x:f>IF($A599="","",[1]!thsiFinD("ths_adjustment_nv_fund",O$3,$A599))</x:f>
        <x:v>#NAME?</x:v>
      </x:c>
      <x:c r="P599" s="146" t="e">
        <x:f>IF($A599="","",[1]!thsiFinD("ths_adjustment_nv_fund",P$3,$A599))</x:f>
        <x:v>#NAME?</x:v>
      </x:c>
      <x:c r="Q599" s="146" t="e">
        <x:f>IF($A599="","",[1]!thsiFinD("ths_adjustment_nv_fund",Q$3,$A599))</x:f>
        <x:v>#NAME?</x:v>
      </x:c>
      <x:c r="R599" s="146" t="e">
        <x:f>IF($A599="","",[1]!thsiFinD("ths_adjustment_nv_fund",R$3,$A599))</x:f>
        <x:v>#NAME?</x:v>
      </x:c>
      <x:c r="S599" s="146" t="e">
        <x:f>IF($A599="","",[1]!thsiFinD("ths_adjustment_nv_fund",S$3,$A599))</x:f>
        <x:v>#NAME?</x:v>
      </x:c>
      <x:c r="T599" s="146" t="e">
        <x:f>IF($A599="","",[1]!thsiFinD("ths_adjustment_nv_fund",T$3,$A599))</x:f>
        <x:v>#NAME?</x:v>
      </x:c>
      <x:c r="U599" s="146" t="e">
        <x:f>IF($A599="","",[1]!thsiFinD("ths_adjustment_nv_fund",U$3,$A599))</x:f>
        <x:v>#NAME?</x:v>
      </x:c>
      <x:c r="V599" s="146" t="e">
        <x:f>IF($A599="","",[1]!thsiFinD("ths_adjustment_nv_fund",V$3,$A599))</x:f>
        <x:v>#NAME?</x:v>
      </x:c>
      <x:c r="W599" s="146" t="e">
        <x:f>IF($A599="","",[1]!thsiFinD("ths_adjustment_nv_fund",W$3,$A599))</x:f>
        <x:v>#NAME?</x:v>
      </x:c>
      <x:c r="X599" s="146" t="e">
        <x:f>IF($A599="","",[1]!thsiFinD("ths_adjustment_nv_fund",X$3,$A599))</x:f>
        <x:v>#NAME?</x:v>
      </x:c>
      <x:c r="Y599" s="146" t="e">
        <x:f>IF($A599="","",[1]!thsiFinD("ths_adjustment_nv_fund",Y$3,$A599))</x:f>
        <x:v>#NAME?</x:v>
      </x:c>
      <x:c r="Z599" s="146" t="e">
        <x:f>IF($A599="","",[1]!thsiFinD("ths_adjustment_nv_fund",Z$3,$A599))</x:f>
        <x:v>#NAME?</x:v>
      </x:c>
      <x:c r="AA599" s="146" t="e">
        <x:f>IF($A599="","",[1]!thsiFinD("ths_adjustment_nv_fund",AA$3,$A599))</x:f>
        <x:v>#NAME?</x:v>
      </x:c>
    </x:row>
    <x:row r="600">
      <x:c r="B600" s="146" t="e">
        <x:f>IF($A600="","",[1]!thsiFinD("ths_adjustment_nv_fund",B$3,$A600))</x:f>
        <x:v>#NAME?</x:v>
      </x:c>
      <x:c r="C600" s="146" t="e">
        <x:f>IF($A600="","",[1]!thsiFinD("ths_adjustment_nv_fund",C$3,$A600))</x:f>
        <x:v>#NAME?</x:v>
      </x:c>
      <x:c r="D600" s="146" t="e">
        <x:f>IF($A600="","",[1]!thsiFinD("ths_adjustment_nv_fund",D$3,$A600))</x:f>
        <x:v>#NAME?</x:v>
      </x:c>
      <x:c r="E600" s="146" t="e">
        <x:f>IF($A600="","",[1]!thsiFinD("ths_adjustment_nv_fund",E$3,$A600))</x:f>
        <x:v>#NAME?</x:v>
      </x:c>
      <x:c r="F600" s="146" t="e">
        <x:f>IF($A600="","",[1]!thsiFinD("ths_adjustment_nv_fund",F$3,$A600))</x:f>
        <x:v>#NAME?</x:v>
      </x:c>
      <x:c r="G600" s="146" t="e">
        <x:f>IF($A600="","",[1]!thsiFinD("ths_adjustment_nv_fund",G$3,$A600))</x:f>
        <x:v>#NAME?</x:v>
      </x:c>
      <x:c r="H600" s="146" t="e">
        <x:f>IF($A600="","",[1]!thsiFinD("ths_adjustment_nv_fund",H$3,$A600))</x:f>
        <x:v>#NAME?</x:v>
      </x:c>
      <x:c r="I600" s="146" t="e">
        <x:f>IF($A600="","",[1]!thsiFinD("ths_adjustment_nv_fund",I$3,$A600))</x:f>
        <x:v>#NAME?</x:v>
      </x:c>
      <x:c r="J600" s="146" t="e">
        <x:f>IF($A600="","",[1]!thsiFinD("ths_adjustment_nv_fund",J$3,$A600))</x:f>
        <x:v>#NAME?</x:v>
      </x:c>
      <x:c r="K600" s="146" t="e">
        <x:f>IF($A600="","",[1]!thsiFinD("ths_adjustment_nv_fund",K$3,$A600))</x:f>
        <x:v>#NAME?</x:v>
      </x:c>
      <x:c r="L600" s="146" t="e">
        <x:f>IF($A600="","",[1]!thsiFinD("ths_adjustment_nv_fund",L$3,$A600))</x:f>
        <x:v>#NAME?</x:v>
      </x:c>
      <x:c r="M600" s="146" t="e">
        <x:f>IF($A600="","",[1]!thsiFinD("ths_adjustment_nv_fund",M$3,$A600))</x:f>
        <x:v>#NAME?</x:v>
      </x:c>
      <x:c r="N600" s="146" t="e">
        <x:f>IF($A600="","",[1]!thsiFinD("ths_adjustment_nv_fund",N$3,$A600))</x:f>
        <x:v>#NAME?</x:v>
      </x:c>
      <x:c r="O600" s="146" t="e">
        <x:f>IF($A600="","",[1]!thsiFinD("ths_adjustment_nv_fund",O$3,$A600))</x:f>
        <x:v>#NAME?</x:v>
      </x:c>
      <x:c r="P600" s="146" t="e">
        <x:f>IF($A600="","",[1]!thsiFinD("ths_adjustment_nv_fund",P$3,$A600))</x:f>
        <x:v>#NAME?</x:v>
      </x:c>
      <x:c r="Q600" s="146" t="e">
        <x:f>IF($A600="","",[1]!thsiFinD("ths_adjustment_nv_fund",Q$3,$A600))</x:f>
        <x:v>#NAME?</x:v>
      </x:c>
      <x:c r="R600" s="146" t="e">
        <x:f>IF($A600="","",[1]!thsiFinD("ths_adjustment_nv_fund",R$3,$A600))</x:f>
        <x:v>#NAME?</x:v>
      </x:c>
      <x:c r="S600" s="146" t="e">
        <x:f>IF($A600="","",[1]!thsiFinD("ths_adjustment_nv_fund",S$3,$A600))</x:f>
        <x:v>#NAME?</x:v>
      </x:c>
      <x:c r="T600" s="146" t="e">
        <x:f>IF($A600="","",[1]!thsiFinD("ths_adjustment_nv_fund",T$3,$A600))</x:f>
        <x:v>#NAME?</x:v>
      </x:c>
      <x:c r="U600" s="146" t="e">
        <x:f>IF($A600="","",[1]!thsiFinD("ths_adjustment_nv_fund",U$3,$A600))</x:f>
        <x:v>#NAME?</x:v>
      </x:c>
      <x:c r="V600" s="146" t="e">
        <x:f>IF($A600="","",[1]!thsiFinD("ths_adjustment_nv_fund",V$3,$A600))</x:f>
        <x:v>#NAME?</x:v>
      </x:c>
      <x:c r="W600" s="146" t="e">
        <x:f>IF($A600="","",[1]!thsiFinD("ths_adjustment_nv_fund",W$3,$A600))</x:f>
        <x:v>#NAME?</x:v>
      </x:c>
      <x:c r="X600" s="146" t="e">
        <x:f>IF($A600="","",[1]!thsiFinD("ths_adjustment_nv_fund",X$3,$A600))</x:f>
        <x:v>#NAME?</x:v>
      </x:c>
      <x:c r="Y600" s="146" t="e">
        <x:f>IF($A600="","",[1]!thsiFinD("ths_adjustment_nv_fund",Y$3,$A600))</x:f>
        <x:v>#NAME?</x:v>
      </x:c>
      <x:c r="Z600" s="146" t="e">
        <x:f>IF($A600="","",[1]!thsiFinD("ths_adjustment_nv_fund",Z$3,$A600))</x:f>
        <x:v>#NAME?</x:v>
      </x:c>
      <x:c r="AA600" s="146" t="e">
        <x:f>IF($A600="","",[1]!thsiFinD("ths_adjustment_nv_fund",AA$3,$A600))</x:f>
        <x:v>#NAME?</x:v>
      </x:c>
    </x:row>
    <x:row r="601">
      <x:c r="B601" s="146" t="e">
        <x:f>IF($A601="","",[1]!thsiFinD("ths_adjustment_nv_fund",B$3,$A601))</x:f>
        <x:v>#NAME?</x:v>
      </x:c>
      <x:c r="C601" s="146" t="e">
        <x:f>IF($A601="","",[1]!thsiFinD("ths_adjustment_nv_fund",C$3,$A601))</x:f>
        <x:v>#NAME?</x:v>
      </x:c>
      <x:c r="D601" s="146" t="e">
        <x:f>IF($A601="","",[1]!thsiFinD("ths_adjustment_nv_fund",D$3,$A601))</x:f>
        <x:v>#NAME?</x:v>
      </x:c>
      <x:c r="E601" s="146" t="e">
        <x:f>IF($A601="","",[1]!thsiFinD("ths_adjustment_nv_fund",E$3,$A601))</x:f>
        <x:v>#NAME?</x:v>
      </x:c>
      <x:c r="F601" s="146" t="e">
        <x:f>IF($A601="","",[1]!thsiFinD("ths_adjustment_nv_fund",F$3,$A601))</x:f>
        <x:v>#NAME?</x:v>
      </x:c>
      <x:c r="G601" s="146" t="e">
        <x:f>IF($A601="","",[1]!thsiFinD("ths_adjustment_nv_fund",G$3,$A601))</x:f>
        <x:v>#NAME?</x:v>
      </x:c>
      <x:c r="H601" s="146" t="e">
        <x:f>IF($A601="","",[1]!thsiFinD("ths_adjustment_nv_fund",H$3,$A601))</x:f>
        <x:v>#NAME?</x:v>
      </x:c>
      <x:c r="I601" s="146" t="e">
        <x:f>IF($A601="","",[1]!thsiFinD("ths_adjustment_nv_fund",I$3,$A601))</x:f>
        <x:v>#NAME?</x:v>
      </x:c>
      <x:c r="J601" s="146" t="e">
        <x:f>IF($A601="","",[1]!thsiFinD("ths_adjustment_nv_fund",J$3,$A601))</x:f>
        <x:v>#NAME?</x:v>
      </x:c>
      <x:c r="K601" s="146" t="e">
        <x:f>IF($A601="","",[1]!thsiFinD("ths_adjustment_nv_fund",K$3,$A601))</x:f>
        <x:v>#NAME?</x:v>
      </x:c>
      <x:c r="L601" s="146" t="e">
        <x:f>IF($A601="","",[1]!thsiFinD("ths_adjustment_nv_fund",L$3,$A601))</x:f>
        <x:v>#NAME?</x:v>
      </x:c>
      <x:c r="M601" s="146" t="e">
        <x:f>IF($A601="","",[1]!thsiFinD("ths_adjustment_nv_fund",M$3,$A601))</x:f>
        <x:v>#NAME?</x:v>
      </x:c>
      <x:c r="N601" s="146" t="e">
        <x:f>IF($A601="","",[1]!thsiFinD("ths_adjustment_nv_fund",N$3,$A601))</x:f>
        <x:v>#NAME?</x:v>
      </x:c>
      <x:c r="O601" s="146" t="e">
        <x:f>IF($A601="","",[1]!thsiFinD("ths_adjustment_nv_fund",O$3,$A601))</x:f>
        <x:v>#NAME?</x:v>
      </x:c>
      <x:c r="P601" s="146" t="e">
        <x:f>IF($A601="","",[1]!thsiFinD("ths_adjustment_nv_fund",P$3,$A601))</x:f>
        <x:v>#NAME?</x:v>
      </x:c>
      <x:c r="Q601" s="146" t="e">
        <x:f>IF($A601="","",[1]!thsiFinD("ths_adjustment_nv_fund",Q$3,$A601))</x:f>
        <x:v>#NAME?</x:v>
      </x:c>
      <x:c r="R601" s="146" t="e">
        <x:f>IF($A601="","",[1]!thsiFinD("ths_adjustment_nv_fund",R$3,$A601))</x:f>
        <x:v>#NAME?</x:v>
      </x:c>
      <x:c r="S601" s="146" t="e">
        <x:f>IF($A601="","",[1]!thsiFinD("ths_adjustment_nv_fund",S$3,$A601))</x:f>
        <x:v>#NAME?</x:v>
      </x:c>
      <x:c r="T601" s="146" t="e">
        <x:f>IF($A601="","",[1]!thsiFinD("ths_adjustment_nv_fund",T$3,$A601))</x:f>
        <x:v>#NAME?</x:v>
      </x:c>
      <x:c r="U601" s="146" t="e">
        <x:f>IF($A601="","",[1]!thsiFinD("ths_adjustment_nv_fund",U$3,$A601))</x:f>
        <x:v>#NAME?</x:v>
      </x:c>
      <x:c r="V601" s="146" t="e">
        <x:f>IF($A601="","",[1]!thsiFinD("ths_adjustment_nv_fund",V$3,$A601))</x:f>
        <x:v>#NAME?</x:v>
      </x:c>
      <x:c r="W601" s="146" t="e">
        <x:f>IF($A601="","",[1]!thsiFinD("ths_adjustment_nv_fund",W$3,$A601))</x:f>
        <x:v>#NAME?</x:v>
      </x:c>
      <x:c r="X601" s="146" t="e">
        <x:f>IF($A601="","",[1]!thsiFinD("ths_adjustment_nv_fund",X$3,$A601))</x:f>
        <x:v>#NAME?</x:v>
      </x:c>
      <x:c r="Y601" s="146" t="e">
        <x:f>IF($A601="","",[1]!thsiFinD("ths_adjustment_nv_fund",Y$3,$A601))</x:f>
        <x:v>#NAME?</x:v>
      </x:c>
      <x:c r="Z601" s="146" t="e">
        <x:f>IF($A601="","",[1]!thsiFinD("ths_adjustment_nv_fund",Z$3,$A601))</x:f>
        <x:v>#NAME?</x:v>
      </x:c>
      <x:c r="AA601" s="146" t="e">
        <x:f>IF($A601="","",[1]!thsiFinD("ths_adjustment_nv_fund",AA$3,$A601))</x:f>
        <x:v>#NAME?</x:v>
      </x:c>
    </x:row>
    <x:row r="602">
      <x:c r="B602" s="146" t="e">
        <x:f>IF($A602="","",[1]!thsiFinD("ths_adjustment_nv_fund",B$3,$A602))</x:f>
        <x:v>#NAME?</x:v>
      </x:c>
      <x:c r="C602" s="146" t="e">
        <x:f>IF($A602="","",[1]!thsiFinD("ths_adjustment_nv_fund",C$3,$A602))</x:f>
        <x:v>#NAME?</x:v>
      </x:c>
      <x:c r="D602" s="146" t="e">
        <x:f>IF($A602="","",[1]!thsiFinD("ths_adjustment_nv_fund",D$3,$A602))</x:f>
        <x:v>#NAME?</x:v>
      </x:c>
      <x:c r="E602" s="146" t="e">
        <x:f>IF($A602="","",[1]!thsiFinD("ths_adjustment_nv_fund",E$3,$A602))</x:f>
        <x:v>#NAME?</x:v>
      </x:c>
      <x:c r="F602" s="146" t="e">
        <x:f>IF($A602="","",[1]!thsiFinD("ths_adjustment_nv_fund",F$3,$A602))</x:f>
        <x:v>#NAME?</x:v>
      </x:c>
      <x:c r="G602" s="146" t="e">
        <x:f>IF($A602="","",[1]!thsiFinD("ths_adjustment_nv_fund",G$3,$A602))</x:f>
        <x:v>#NAME?</x:v>
      </x:c>
      <x:c r="H602" s="146" t="e">
        <x:f>IF($A602="","",[1]!thsiFinD("ths_adjustment_nv_fund",H$3,$A602))</x:f>
        <x:v>#NAME?</x:v>
      </x:c>
      <x:c r="I602" s="146" t="e">
        <x:f>IF($A602="","",[1]!thsiFinD("ths_adjustment_nv_fund",I$3,$A602))</x:f>
        <x:v>#NAME?</x:v>
      </x:c>
      <x:c r="J602" s="146" t="e">
        <x:f>IF($A602="","",[1]!thsiFinD("ths_adjustment_nv_fund",J$3,$A602))</x:f>
        <x:v>#NAME?</x:v>
      </x:c>
      <x:c r="K602" s="146" t="e">
        <x:f>IF($A602="","",[1]!thsiFinD("ths_adjustment_nv_fund",K$3,$A602))</x:f>
        <x:v>#NAME?</x:v>
      </x:c>
      <x:c r="L602" s="146" t="e">
        <x:f>IF($A602="","",[1]!thsiFinD("ths_adjustment_nv_fund",L$3,$A602))</x:f>
        <x:v>#NAME?</x:v>
      </x:c>
      <x:c r="M602" s="146" t="e">
        <x:f>IF($A602="","",[1]!thsiFinD("ths_adjustment_nv_fund",M$3,$A602))</x:f>
        <x:v>#NAME?</x:v>
      </x:c>
      <x:c r="N602" s="146" t="e">
        <x:f>IF($A602="","",[1]!thsiFinD("ths_adjustment_nv_fund",N$3,$A602))</x:f>
        <x:v>#NAME?</x:v>
      </x:c>
      <x:c r="O602" s="146" t="e">
        <x:f>IF($A602="","",[1]!thsiFinD("ths_adjustment_nv_fund",O$3,$A602))</x:f>
        <x:v>#NAME?</x:v>
      </x:c>
      <x:c r="P602" s="146" t="e">
        <x:f>IF($A602="","",[1]!thsiFinD("ths_adjustment_nv_fund",P$3,$A602))</x:f>
        <x:v>#NAME?</x:v>
      </x:c>
      <x:c r="Q602" s="146" t="e">
        <x:f>IF($A602="","",[1]!thsiFinD("ths_adjustment_nv_fund",Q$3,$A602))</x:f>
        <x:v>#NAME?</x:v>
      </x:c>
      <x:c r="R602" s="146" t="e">
        <x:f>IF($A602="","",[1]!thsiFinD("ths_adjustment_nv_fund",R$3,$A602))</x:f>
        <x:v>#NAME?</x:v>
      </x:c>
      <x:c r="S602" s="146" t="e">
        <x:f>IF($A602="","",[1]!thsiFinD("ths_adjustment_nv_fund",S$3,$A602))</x:f>
        <x:v>#NAME?</x:v>
      </x:c>
      <x:c r="T602" s="146" t="e">
        <x:f>IF($A602="","",[1]!thsiFinD("ths_adjustment_nv_fund",T$3,$A602))</x:f>
        <x:v>#NAME?</x:v>
      </x:c>
      <x:c r="U602" s="146" t="e">
        <x:f>IF($A602="","",[1]!thsiFinD("ths_adjustment_nv_fund",U$3,$A602))</x:f>
        <x:v>#NAME?</x:v>
      </x:c>
      <x:c r="V602" s="146" t="e">
        <x:f>IF($A602="","",[1]!thsiFinD("ths_adjustment_nv_fund",V$3,$A602))</x:f>
        <x:v>#NAME?</x:v>
      </x:c>
      <x:c r="W602" s="146" t="e">
        <x:f>IF($A602="","",[1]!thsiFinD("ths_adjustment_nv_fund",W$3,$A602))</x:f>
        <x:v>#NAME?</x:v>
      </x:c>
      <x:c r="X602" s="146" t="e">
        <x:f>IF($A602="","",[1]!thsiFinD("ths_adjustment_nv_fund",X$3,$A602))</x:f>
        <x:v>#NAME?</x:v>
      </x:c>
      <x:c r="Y602" s="146" t="e">
        <x:f>IF($A602="","",[1]!thsiFinD("ths_adjustment_nv_fund",Y$3,$A602))</x:f>
        <x:v>#NAME?</x:v>
      </x:c>
      <x:c r="Z602" s="146" t="e">
        <x:f>IF($A602="","",[1]!thsiFinD("ths_adjustment_nv_fund",Z$3,$A602))</x:f>
        <x:v>#NAME?</x:v>
      </x:c>
      <x:c r="AA602" s="146" t="e">
        <x:f>IF($A602="","",[1]!thsiFinD("ths_adjustment_nv_fund",AA$3,$A602))</x:f>
        <x:v>#NAME?</x:v>
      </x:c>
    </x:row>
    <x:row r="603">
      <x:c r="B603" s="146" t="e">
        <x:f>IF($A603="","",[1]!thsiFinD("ths_adjustment_nv_fund",B$3,$A603))</x:f>
        <x:v>#NAME?</x:v>
      </x:c>
      <x:c r="C603" s="146" t="e">
        <x:f>IF($A603="","",[1]!thsiFinD("ths_adjustment_nv_fund",C$3,$A603))</x:f>
        <x:v>#NAME?</x:v>
      </x:c>
      <x:c r="D603" s="146" t="e">
        <x:f>IF($A603="","",[1]!thsiFinD("ths_adjustment_nv_fund",D$3,$A603))</x:f>
        <x:v>#NAME?</x:v>
      </x:c>
      <x:c r="E603" s="146" t="e">
        <x:f>IF($A603="","",[1]!thsiFinD("ths_adjustment_nv_fund",E$3,$A603))</x:f>
        <x:v>#NAME?</x:v>
      </x:c>
      <x:c r="F603" s="146" t="e">
        <x:f>IF($A603="","",[1]!thsiFinD("ths_adjustment_nv_fund",F$3,$A603))</x:f>
        <x:v>#NAME?</x:v>
      </x:c>
      <x:c r="G603" s="146" t="e">
        <x:f>IF($A603="","",[1]!thsiFinD("ths_adjustment_nv_fund",G$3,$A603))</x:f>
        <x:v>#NAME?</x:v>
      </x:c>
      <x:c r="H603" s="146" t="e">
        <x:f>IF($A603="","",[1]!thsiFinD("ths_adjustment_nv_fund",H$3,$A603))</x:f>
        <x:v>#NAME?</x:v>
      </x:c>
      <x:c r="I603" s="146" t="e">
        <x:f>IF($A603="","",[1]!thsiFinD("ths_adjustment_nv_fund",I$3,$A603))</x:f>
        <x:v>#NAME?</x:v>
      </x:c>
      <x:c r="J603" s="146" t="e">
        <x:f>IF($A603="","",[1]!thsiFinD("ths_adjustment_nv_fund",J$3,$A603))</x:f>
        <x:v>#NAME?</x:v>
      </x:c>
      <x:c r="K603" s="146" t="e">
        <x:f>IF($A603="","",[1]!thsiFinD("ths_adjustment_nv_fund",K$3,$A603))</x:f>
        <x:v>#NAME?</x:v>
      </x:c>
      <x:c r="L603" s="146" t="e">
        <x:f>IF($A603="","",[1]!thsiFinD("ths_adjustment_nv_fund",L$3,$A603))</x:f>
        <x:v>#NAME?</x:v>
      </x:c>
      <x:c r="M603" s="146" t="e">
        <x:f>IF($A603="","",[1]!thsiFinD("ths_adjustment_nv_fund",M$3,$A603))</x:f>
        <x:v>#NAME?</x:v>
      </x:c>
      <x:c r="N603" s="146" t="e">
        <x:f>IF($A603="","",[1]!thsiFinD("ths_adjustment_nv_fund",N$3,$A603))</x:f>
        <x:v>#NAME?</x:v>
      </x:c>
      <x:c r="O603" s="146" t="e">
        <x:f>IF($A603="","",[1]!thsiFinD("ths_adjustment_nv_fund",O$3,$A603))</x:f>
        <x:v>#NAME?</x:v>
      </x:c>
      <x:c r="P603" s="146" t="e">
        <x:f>IF($A603="","",[1]!thsiFinD("ths_adjustment_nv_fund",P$3,$A603))</x:f>
        <x:v>#NAME?</x:v>
      </x:c>
      <x:c r="Q603" s="146" t="e">
        <x:f>IF($A603="","",[1]!thsiFinD("ths_adjustment_nv_fund",Q$3,$A603))</x:f>
        <x:v>#NAME?</x:v>
      </x:c>
      <x:c r="R603" s="146" t="e">
        <x:f>IF($A603="","",[1]!thsiFinD("ths_adjustment_nv_fund",R$3,$A603))</x:f>
        <x:v>#NAME?</x:v>
      </x:c>
      <x:c r="S603" s="146" t="e">
        <x:f>IF($A603="","",[1]!thsiFinD("ths_adjustment_nv_fund",S$3,$A603))</x:f>
        <x:v>#NAME?</x:v>
      </x:c>
      <x:c r="T603" s="146" t="e">
        <x:f>IF($A603="","",[1]!thsiFinD("ths_adjustment_nv_fund",T$3,$A603))</x:f>
        <x:v>#NAME?</x:v>
      </x:c>
      <x:c r="U603" s="146" t="e">
        <x:f>IF($A603="","",[1]!thsiFinD("ths_adjustment_nv_fund",U$3,$A603))</x:f>
        <x:v>#NAME?</x:v>
      </x:c>
      <x:c r="V603" s="146" t="e">
        <x:f>IF($A603="","",[1]!thsiFinD("ths_adjustment_nv_fund",V$3,$A603))</x:f>
        <x:v>#NAME?</x:v>
      </x:c>
      <x:c r="W603" s="146" t="e">
        <x:f>IF($A603="","",[1]!thsiFinD("ths_adjustment_nv_fund",W$3,$A603))</x:f>
        <x:v>#NAME?</x:v>
      </x:c>
      <x:c r="X603" s="146" t="e">
        <x:f>IF($A603="","",[1]!thsiFinD("ths_adjustment_nv_fund",X$3,$A603))</x:f>
        <x:v>#NAME?</x:v>
      </x:c>
      <x:c r="Y603" s="146" t="e">
        <x:f>IF($A603="","",[1]!thsiFinD("ths_adjustment_nv_fund",Y$3,$A603))</x:f>
        <x:v>#NAME?</x:v>
      </x:c>
      <x:c r="Z603" s="146" t="e">
        <x:f>IF($A603="","",[1]!thsiFinD("ths_adjustment_nv_fund",Z$3,$A603))</x:f>
        <x:v>#NAME?</x:v>
      </x:c>
      <x:c r="AA603" s="146" t="e">
        <x:f>IF($A603="","",[1]!thsiFinD("ths_adjustment_nv_fund",AA$3,$A603))</x:f>
        <x:v>#NAME?</x:v>
      </x:c>
    </x:row>
    <x:row r="604">
      <x:c r="B604" s="146" t="e">
        <x:f>IF($A604="","",[1]!thsiFinD("ths_adjustment_nv_fund",B$3,$A604))</x:f>
        <x:v>#NAME?</x:v>
      </x:c>
      <x:c r="C604" s="146" t="e">
        <x:f>IF($A604="","",[1]!thsiFinD("ths_adjustment_nv_fund",C$3,$A604))</x:f>
        <x:v>#NAME?</x:v>
      </x:c>
      <x:c r="D604" s="146" t="e">
        <x:f>IF($A604="","",[1]!thsiFinD("ths_adjustment_nv_fund",D$3,$A604))</x:f>
        <x:v>#NAME?</x:v>
      </x:c>
      <x:c r="E604" s="146" t="e">
        <x:f>IF($A604="","",[1]!thsiFinD("ths_adjustment_nv_fund",E$3,$A604))</x:f>
        <x:v>#NAME?</x:v>
      </x:c>
      <x:c r="F604" s="146" t="e">
        <x:f>IF($A604="","",[1]!thsiFinD("ths_adjustment_nv_fund",F$3,$A604))</x:f>
        <x:v>#NAME?</x:v>
      </x:c>
      <x:c r="G604" s="146" t="e">
        <x:f>IF($A604="","",[1]!thsiFinD("ths_adjustment_nv_fund",G$3,$A604))</x:f>
        <x:v>#NAME?</x:v>
      </x:c>
      <x:c r="H604" s="146" t="e">
        <x:f>IF($A604="","",[1]!thsiFinD("ths_adjustment_nv_fund",H$3,$A604))</x:f>
        <x:v>#NAME?</x:v>
      </x:c>
      <x:c r="I604" s="146" t="e">
        <x:f>IF($A604="","",[1]!thsiFinD("ths_adjustment_nv_fund",I$3,$A604))</x:f>
        <x:v>#NAME?</x:v>
      </x:c>
      <x:c r="J604" s="146" t="e">
        <x:f>IF($A604="","",[1]!thsiFinD("ths_adjustment_nv_fund",J$3,$A604))</x:f>
        <x:v>#NAME?</x:v>
      </x:c>
      <x:c r="K604" s="146" t="e">
        <x:f>IF($A604="","",[1]!thsiFinD("ths_adjustment_nv_fund",K$3,$A604))</x:f>
        <x:v>#NAME?</x:v>
      </x:c>
      <x:c r="L604" s="146" t="e">
        <x:f>IF($A604="","",[1]!thsiFinD("ths_adjustment_nv_fund",L$3,$A604))</x:f>
        <x:v>#NAME?</x:v>
      </x:c>
      <x:c r="M604" s="146" t="e">
        <x:f>IF($A604="","",[1]!thsiFinD("ths_adjustment_nv_fund",M$3,$A604))</x:f>
        <x:v>#NAME?</x:v>
      </x:c>
      <x:c r="N604" s="146" t="e">
        <x:f>IF($A604="","",[1]!thsiFinD("ths_adjustment_nv_fund",N$3,$A604))</x:f>
        <x:v>#NAME?</x:v>
      </x:c>
      <x:c r="O604" s="146" t="e">
        <x:f>IF($A604="","",[1]!thsiFinD("ths_adjustment_nv_fund",O$3,$A604))</x:f>
        <x:v>#NAME?</x:v>
      </x:c>
      <x:c r="P604" s="146" t="e">
        <x:f>IF($A604="","",[1]!thsiFinD("ths_adjustment_nv_fund",P$3,$A604))</x:f>
        <x:v>#NAME?</x:v>
      </x:c>
      <x:c r="Q604" s="146" t="e">
        <x:f>IF($A604="","",[1]!thsiFinD("ths_adjustment_nv_fund",Q$3,$A604))</x:f>
        <x:v>#NAME?</x:v>
      </x:c>
      <x:c r="R604" s="146" t="e">
        <x:f>IF($A604="","",[1]!thsiFinD("ths_adjustment_nv_fund",R$3,$A604))</x:f>
        <x:v>#NAME?</x:v>
      </x:c>
      <x:c r="S604" s="146" t="e">
        <x:f>IF($A604="","",[1]!thsiFinD("ths_adjustment_nv_fund",S$3,$A604))</x:f>
        <x:v>#NAME?</x:v>
      </x:c>
      <x:c r="T604" s="146" t="e">
        <x:f>IF($A604="","",[1]!thsiFinD("ths_adjustment_nv_fund",T$3,$A604))</x:f>
        <x:v>#NAME?</x:v>
      </x:c>
      <x:c r="U604" s="146" t="e">
        <x:f>IF($A604="","",[1]!thsiFinD("ths_adjustment_nv_fund",U$3,$A604))</x:f>
        <x:v>#NAME?</x:v>
      </x:c>
      <x:c r="V604" s="146" t="e">
        <x:f>IF($A604="","",[1]!thsiFinD("ths_adjustment_nv_fund",V$3,$A604))</x:f>
        <x:v>#NAME?</x:v>
      </x:c>
      <x:c r="W604" s="146" t="e">
        <x:f>IF($A604="","",[1]!thsiFinD("ths_adjustment_nv_fund",W$3,$A604))</x:f>
        <x:v>#NAME?</x:v>
      </x:c>
      <x:c r="X604" s="146" t="e">
        <x:f>IF($A604="","",[1]!thsiFinD("ths_adjustment_nv_fund",X$3,$A604))</x:f>
        <x:v>#NAME?</x:v>
      </x:c>
      <x:c r="Y604" s="146" t="e">
        <x:f>IF($A604="","",[1]!thsiFinD("ths_adjustment_nv_fund",Y$3,$A604))</x:f>
        <x:v>#NAME?</x:v>
      </x:c>
      <x:c r="Z604" s="146" t="e">
        <x:f>IF($A604="","",[1]!thsiFinD("ths_adjustment_nv_fund",Z$3,$A604))</x:f>
        <x:v>#NAME?</x:v>
      </x:c>
      <x:c r="AA604" s="146" t="e">
        <x:f>IF($A604="","",[1]!thsiFinD("ths_adjustment_nv_fund",AA$3,$A604))</x:f>
        <x:v>#NAME?</x:v>
      </x:c>
    </x:row>
    <x:row r="605">
      <x:c r="B605" s="146" t="e">
        <x:f>IF($A605="","",[1]!thsiFinD("ths_adjustment_nv_fund",B$3,$A605))</x:f>
        <x:v>#NAME?</x:v>
      </x:c>
      <x:c r="C605" s="146" t="e">
        <x:f>IF($A605="","",[1]!thsiFinD("ths_adjustment_nv_fund",C$3,$A605))</x:f>
        <x:v>#NAME?</x:v>
      </x:c>
      <x:c r="D605" s="146" t="e">
        <x:f>IF($A605="","",[1]!thsiFinD("ths_adjustment_nv_fund",D$3,$A605))</x:f>
        <x:v>#NAME?</x:v>
      </x:c>
      <x:c r="E605" s="146" t="e">
        <x:f>IF($A605="","",[1]!thsiFinD("ths_adjustment_nv_fund",E$3,$A605))</x:f>
        <x:v>#NAME?</x:v>
      </x:c>
      <x:c r="F605" s="146" t="e">
        <x:f>IF($A605="","",[1]!thsiFinD("ths_adjustment_nv_fund",F$3,$A605))</x:f>
        <x:v>#NAME?</x:v>
      </x:c>
      <x:c r="G605" s="146" t="e">
        <x:f>IF($A605="","",[1]!thsiFinD("ths_adjustment_nv_fund",G$3,$A605))</x:f>
        <x:v>#NAME?</x:v>
      </x:c>
      <x:c r="H605" s="146" t="e">
        <x:f>IF($A605="","",[1]!thsiFinD("ths_adjustment_nv_fund",H$3,$A605))</x:f>
        <x:v>#NAME?</x:v>
      </x:c>
      <x:c r="I605" s="146" t="e">
        <x:f>IF($A605="","",[1]!thsiFinD("ths_adjustment_nv_fund",I$3,$A605))</x:f>
        <x:v>#NAME?</x:v>
      </x:c>
      <x:c r="J605" s="146" t="e">
        <x:f>IF($A605="","",[1]!thsiFinD("ths_adjustment_nv_fund",J$3,$A605))</x:f>
        <x:v>#NAME?</x:v>
      </x:c>
      <x:c r="K605" s="146" t="e">
        <x:f>IF($A605="","",[1]!thsiFinD("ths_adjustment_nv_fund",K$3,$A605))</x:f>
        <x:v>#NAME?</x:v>
      </x:c>
      <x:c r="L605" s="146" t="e">
        <x:f>IF($A605="","",[1]!thsiFinD("ths_adjustment_nv_fund",L$3,$A605))</x:f>
        <x:v>#NAME?</x:v>
      </x:c>
      <x:c r="M605" s="146" t="e">
        <x:f>IF($A605="","",[1]!thsiFinD("ths_adjustment_nv_fund",M$3,$A605))</x:f>
        <x:v>#NAME?</x:v>
      </x:c>
      <x:c r="N605" s="146" t="e">
        <x:f>IF($A605="","",[1]!thsiFinD("ths_adjustment_nv_fund",N$3,$A605))</x:f>
        <x:v>#NAME?</x:v>
      </x:c>
      <x:c r="O605" s="146" t="e">
        <x:f>IF($A605="","",[1]!thsiFinD("ths_adjustment_nv_fund",O$3,$A605))</x:f>
        <x:v>#NAME?</x:v>
      </x:c>
      <x:c r="P605" s="146" t="e">
        <x:f>IF($A605="","",[1]!thsiFinD("ths_adjustment_nv_fund",P$3,$A605))</x:f>
        <x:v>#NAME?</x:v>
      </x:c>
      <x:c r="Q605" s="146" t="e">
        <x:f>IF($A605="","",[1]!thsiFinD("ths_adjustment_nv_fund",Q$3,$A605))</x:f>
        <x:v>#NAME?</x:v>
      </x:c>
      <x:c r="R605" s="146" t="e">
        <x:f>IF($A605="","",[1]!thsiFinD("ths_adjustment_nv_fund",R$3,$A605))</x:f>
        <x:v>#NAME?</x:v>
      </x:c>
      <x:c r="S605" s="146" t="e">
        <x:f>IF($A605="","",[1]!thsiFinD("ths_adjustment_nv_fund",S$3,$A605))</x:f>
        <x:v>#NAME?</x:v>
      </x:c>
      <x:c r="T605" s="146" t="e">
        <x:f>IF($A605="","",[1]!thsiFinD("ths_adjustment_nv_fund",T$3,$A605))</x:f>
        <x:v>#NAME?</x:v>
      </x:c>
      <x:c r="U605" s="146" t="e">
        <x:f>IF($A605="","",[1]!thsiFinD("ths_adjustment_nv_fund",U$3,$A605))</x:f>
        <x:v>#NAME?</x:v>
      </x:c>
      <x:c r="V605" s="146" t="e">
        <x:f>IF($A605="","",[1]!thsiFinD("ths_adjustment_nv_fund",V$3,$A605))</x:f>
        <x:v>#NAME?</x:v>
      </x:c>
      <x:c r="W605" s="146" t="e">
        <x:f>IF($A605="","",[1]!thsiFinD("ths_adjustment_nv_fund",W$3,$A605))</x:f>
        <x:v>#NAME?</x:v>
      </x:c>
      <x:c r="X605" s="146" t="e">
        <x:f>IF($A605="","",[1]!thsiFinD("ths_adjustment_nv_fund",X$3,$A605))</x:f>
        <x:v>#NAME?</x:v>
      </x:c>
      <x:c r="Y605" s="146" t="e">
        <x:f>IF($A605="","",[1]!thsiFinD("ths_adjustment_nv_fund",Y$3,$A605))</x:f>
        <x:v>#NAME?</x:v>
      </x:c>
      <x:c r="Z605" s="146" t="e">
        <x:f>IF($A605="","",[1]!thsiFinD("ths_adjustment_nv_fund",Z$3,$A605))</x:f>
        <x:v>#NAME?</x:v>
      </x:c>
      <x:c r="AA605" s="146" t="e">
        <x:f>IF($A605="","",[1]!thsiFinD("ths_adjustment_nv_fund",AA$3,$A605))</x:f>
        <x:v>#NAME?</x:v>
      </x:c>
    </x:row>
    <x:row r="606">
      <x:c r="B606" s="146" t="e">
        <x:f>IF($A606="","",[1]!thsiFinD("ths_adjustment_nv_fund",B$3,$A606))</x:f>
        <x:v>#NAME?</x:v>
      </x:c>
      <x:c r="C606" s="146" t="e">
        <x:f>IF($A606="","",[1]!thsiFinD("ths_adjustment_nv_fund",C$3,$A606))</x:f>
        <x:v>#NAME?</x:v>
      </x:c>
      <x:c r="D606" s="146" t="e">
        <x:f>IF($A606="","",[1]!thsiFinD("ths_adjustment_nv_fund",D$3,$A606))</x:f>
        <x:v>#NAME?</x:v>
      </x:c>
      <x:c r="E606" s="146" t="e">
        <x:f>IF($A606="","",[1]!thsiFinD("ths_adjustment_nv_fund",E$3,$A606))</x:f>
        <x:v>#NAME?</x:v>
      </x:c>
      <x:c r="F606" s="146" t="e">
        <x:f>IF($A606="","",[1]!thsiFinD("ths_adjustment_nv_fund",F$3,$A606))</x:f>
        <x:v>#NAME?</x:v>
      </x:c>
      <x:c r="G606" s="146" t="e">
        <x:f>IF($A606="","",[1]!thsiFinD("ths_adjustment_nv_fund",G$3,$A606))</x:f>
        <x:v>#NAME?</x:v>
      </x:c>
      <x:c r="H606" s="146" t="e">
        <x:f>IF($A606="","",[1]!thsiFinD("ths_adjustment_nv_fund",H$3,$A606))</x:f>
        <x:v>#NAME?</x:v>
      </x:c>
      <x:c r="I606" s="146" t="e">
        <x:f>IF($A606="","",[1]!thsiFinD("ths_adjustment_nv_fund",I$3,$A606))</x:f>
        <x:v>#NAME?</x:v>
      </x:c>
      <x:c r="J606" s="146" t="e">
        <x:f>IF($A606="","",[1]!thsiFinD("ths_adjustment_nv_fund",J$3,$A606))</x:f>
        <x:v>#NAME?</x:v>
      </x:c>
      <x:c r="K606" s="146" t="e">
        <x:f>IF($A606="","",[1]!thsiFinD("ths_adjustment_nv_fund",K$3,$A606))</x:f>
        <x:v>#NAME?</x:v>
      </x:c>
      <x:c r="L606" s="146" t="e">
        <x:f>IF($A606="","",[1]!thsiFinD("ths_adjustment_nv_fund",L$3,$A606))</x:f>
        <x:v>#NAME?</x:v>
      </x:c>
      <x:c r="M606" s="146" t="e">
        <x:f>IF($A606="","",[1]!thsiFinD("ths_adjustment_nv_fund",M$3,$A606))</x:f>
        <x:v>#NAME?</x:v>
      </x:c>
      <x:c r="N606" s="146" t="e">
        <x:f>IF($A606="","",[1]!thsiFinD("ths_adjustment_nv_fund",N$3,$A606))</x:f>
        <x:v>#NAME?</x:v>
      </x:c>
      <x:c r="O606" s="146" t="e">
        <x:f>IF($A606="","",[1]!thsiFinD("ths_adjustment_nv_fund",O$3,$A606))</x:f>
        <x:v>#NAME?</x:v>
      </x:c>
      <x:c r="P606" s="146" t="e">
        <x:f>IF($A606="","",[1]!thsiFinD("ths_adjustment_nv_fund",P$3,$A606))</x:f>
        <x:v>#NAME?</x:v>
      </x:c>
      <x:c r="Q606" s="146" t="e">
        <x:f>IF($A606="","",[1]!thsiFinD("ths_adjustment_nv_fund",Q$3,$A606))</x:f>
        <x:v>#NAME?</x:v>
      </x:c>
      <x:c r="R606" s="146" t="e">
        <x:f>IF($A606="","",[1]!thsiFinD("ths_adjustment_nv_fund",R$3,$A606))</x:f>
        <x:v>#NAME?</x:v>
      </x:c>
      <x:c r="S606" s="146" t="e">
        <x:f>IF($A606="","",[1]!thsiFinD("ths_adjustment_nv_fund",S$3,$A606))</x:f>
        <x:v>#NAME?</x:v>
      </x:c>
      <x:c r="T606" s="146" t="e">
        <x:f>IF($A606="","",[1]!thsiFinD("ths_adjustment_nv_fund",T$3,$A606))</x:f>
        <x:v>#NAME?</x:v>
      </x:c>
      <x:c r="U606" s="146" t="e">
        <x:f>IF($A606="","",[1]!thsiFinD("ths_adjustment_nv_fund",U$3,$A606))</x:f>
        <x:v>#NAME?</x:v>
      </x:c>
      <x:c r="V606" s="146" t="e">
        <x:f>IF($A606="","",[1]!thsiFinD("ths_adjustment_nv_fund",V$3,$A606))</x:f>
        <x:v>#NAME?</x:v>
      </x:c>
      <x:c r="W606" s="146" t="e">
        <x:f>IF($A606="","",[1]!thsiFinD("ths_adjustment_nv_fund",W$3,$A606))</x:f>
        <x:v>#NAME?</x:v>
      </x:c>
      <x:c r="X606" s="146" t="e">
        <x:f>IF($A606="","",[1]!thsiFinD("ths_adjustment_nv_fund",X$3,$A606))</x:f>
        <x:v>#NAME?</x:v>
      </x:c>
      <x:c r="Y606" s="146" t="e">
        <x:f>IF($A606="","",[1]!thsiFinD("ths_adjustment_nv_fund",Y$3,$A606))</x:f>
        <x:v>#NAME?</x:v>
      </x:c>
      <x:c r="Z606" s="146" t="e">
        <x:f>IF($A606="","",[1]!thsiFinD("ths_adjustment_nv_fund",Z$3,$A606))</x:f>
        <x:v>#NAME?</x:v>
      </x:c>
      <x:c r="AA606" s="146" t="e">
        <x:f>IF($A606="","",[1]!thsiFinD("ths_adjustment_nv_fund",AA$3,$A606))</x:f>
        <x:v>#NAME?</x:v>
      </x:c>
    </x:row>
    <x:row r="607">
      <x:c r="B607" s="146" t="e">
        <x:f>IF($A607="","",[1]!thsiFinD("ths_adjustment_nv_fund",B$3,$A607))</x:f>
        <x:v>#NAME?</x:v>
      </x:c>
      <x:c r="C607" s="146" t="e">
        <x:f>IF($A607="","",[1]!thsiFinD("ths_adjustment_nv_fund",C$3,$A607))</x:f>
        <x:v>#NAME?</x:v>
      </x:c>
      <x:c r="D607" s="146" t="e">
        <x:f>IF($A607="","",[1]!thsiFinD("ths_adjustment_nv_fund",D$3,$A607))</x:f>
        <x:v>#NAME?</x:v>
      </x:c>
      <x:c r="E607" s="146" t="e">
        <x:f>IF($A607="","",[1]!thsiFinD("ths_adjustment_nv_fund",E$3,$A607))</x:f>
        <x:v>#NAME?</x:v>
      </x:c>
      <x:c r="F607" s="146" t="e">
        <x:f>IF($A607="","",[1]!thsiFinD("ths_adjustment_nv_fund",F$3,$A607))</x:f>
        <x:v>#NAME?</x:v>
      </x:c>
      <x:c r="G607" s="146" t="e">
        <x:f>IF($A607="","",[1]!thsiFinD("ths_adjustment_nv_fund",G$3,$A607))</x:f>
        <x:v>#NAME?</x:v>
      </x:c>
      <x:c r="H607" s="146" t="e">
        <x:f>IF($A607="","",[1]!thsiFinD("ths_adjustment_nv_fund",H$3,$A607))</x:f>
        <x:v>#NAME?</x:v>
      </x:c>
      <x:c r="I607" s="146" t="e">
        <x:f>IF($A607="","",[1]!thsiFinD("ths_adjustment_nv_fund",I$3,$A607))</x:f>
        <x:v>#NAME?</x:v>
      </x:c>
      <x:c r="J607" s="146" t="e">
        <x:f>IF($A607="","",[1]!thsiFinD("ths_adjustment_nv_fund",J$3,$A607))</x:f>
        <x:v>#NAME?</x:v>
      </x:c>
      <x:c r="K607" s="146" t="e">
        <x:f>IF($A607="","",[1]!thsiFinD("ths_adjustment_nv_fund",K$3,$A607))</x:f>
        <x:v>#NAME?</x:v>
      </x:c>
      <x:c r="L607" s="146" t="e">
        <x:f>IF($A607="","",[1]!thsiFinD("ths_adjustment_nv_fund",L$3,$A607))</x:f>
        <x:v>#NAME?</x:v>
      </x:c>
      <x:c r="M607" s="146" t="e">
        <x:f>IF($A607="","",[1]!thsiFinD("ths_adjustment_nv_fund",M$3,$A607))</x:f>
        <x:v>#NAME?</x:v>
      </x:c>
      <x:c r="N607" s="146" t="e">
        <x:f>IF($A607="","",[1]!thsiFinD("ths_adjustment_nv_fund",N$3,$A607))</x:f>
        <x:v>#NAME?</x:v>
      </x:c>
      <x:c r="O607" s="146" t="e">
        <x:f>IF($A607="","",[1]!thsiFinD("ths_adjustment_nv_fund",O$3,$A607))</x:f>
        <x:v>#NAME?</x:v>
      </x:c>
      <x:c r="P607" s="146" t="e">
        <x:f>IF($A607="","",[1]!thsiFinD("ths_adjustment_nv_fund",P$3,$A607))</x:f>
        <x:v>#NAME?</x:v>
      </x:c>
      <x:c r="Q607" s="146" t="e">
        <x:f>IF($A607="","",[1]!thsiFinD("ths_adjustment_nv_fund",Q$3,$A607))</x:f>
        <x:v>#NAME?</x:v>
      </x:c>
      <x:c r="R607" s="146" t="e">
        <x:f>IF($A607="","",[1]!thsiFinD("ths_adjustment_nv_fund",R$3,$A607))</x:f>
        <x:v>#NAME?</x:v>
      </x:c>
      <x:c r="S607" s="146" t="e">
        <x:f>IF($A607="","",[1]!thsiFinD("ths_adjustment_nv_fund",S$3,$A607))</x:f>
        <x:v>#NAME?</x:v>
      </x:c>
      <x:c r="T607" s="146" t="e">
        <x:f>IF($A607="","",[1]!thsiFinD("ths_adjustment_nv_fund",T$3,$A607))</x:f>
        <x:v>#NAME?</x:v>
      </x:c>
      <x:c r="U607" s="146" t="e">
        <x:f>IF($A607="","",[1]!thsiFinD("ths_adjustment_nv_fund",U$3,$A607))</x:f>
        <x:v>#NAME?</x:v>
      </x:c>
      <x:c r="V607" s="146" t="e">
        <x:f>IF($A607="","",[1]!thsiFinD("ths_adjustment_nv_fund",V$3,$A607))</x:f>
        <x:v>#NAME?</x:v>
      </x:c>
      <x:c r="W607" s="146" t="e">
        <x:f>IF($A607="","",[1]!thsiFinD("ths_adjustment_nv_fund",W$3,$A607))</x:f>
        <x:v>#NAME?</x:v>
      </x:c>
      <x:c r="X607" s="146" t="e">
        <x:f>IF($A607="","",[1]!thsiFinD("ths_adjustment_nv_fund",X$3,$A607))</x:f>
        <x:v>#NAME?</x:v>
      </x:c>
      <x:c r="Y607" s="146" t="e">
        <x:f>IF($A607="","",[1]!thsiFinD("ths_adjustment_nv_fund",Y$3,$A607))</x:f>
        <x:v>#NAME?</x:v>
      </x:c>
      <x:c r="Z607" s="146" t="e">
        <x:f>IF($A607="","",[1]!thsiFinD("ths_adjustment_nv_fund",Z$3,$A607))</x:f>
        <x:v>#NAME?</x:v>
      </x:c>
      <x:c r="AA607" s="146" t="e">
        <x:f>IF($A607="","",[1]!thsiFinD("ths_adjustment_nv_fund",AA$3,$A607))</x:f>
        <x:v>#NAME?</x:v>
      </x:c>
    </x:row>
    <x:row r="608">
      <x:c r="B608" s="146" t="e">
        <x:f>IF($A608="","",[1]!thsiFinD("ths_adjustment_nv_fund",B$3,$A608))</x:f>
        <x:v>#NAME?</x:v>
      </x:c>
      <x:c r="C608" s="146" t="e">
        <x:f>IF($A608="","",[1]!thsiFinD("ths_adjustment_nv_fund",C$3,$A608))</x:f>
        <x:v>#NAME?</x:v>
      </x:c>
      <x:c r="D608" s="146" t="e">
        <x:f>IF($A608="","",[1]!thsiFinD("ths_adjustment_nv_fund",D$3,$A608))</x:f>
        <x:v>#NAME?</x:v>
      </x:c>
      <x:c r="E608" s="146" t="e">
        <x:f>IF($A608="","",[1]!thsiFinD("ths_adjustment_nv_fund",E$3,$A608))</x:f>
        <x:v>#NAME?</x:v>
      </x:c>
      <x:c r="F608" s="146" t="e">
        <x:f>IF($A608="","",[1]!thsiFinD("ths_adjustment_nv_fund",F$3,$A608))</x:f>
        <x:v>#NAME?</x:v>
      </x:c>
      <x:c r="G608" s="146" t="e">
        <x:f>IF($A608="","",[1]!thsiFinD("ths_adjustment_nv_fund",G$3,$A608))</x:f>
        <x:v>#NAME?</x:v>
      </x:c>
      <x:c r="H608" s="146" t="e">
        <x:f>IF($A608="","",[1]!thsiFinD("ths_adjustment_nv_fund",H$3,$A608))</x:f>
        <x:v>#NAME?</x:v>
      </x:c>
      <x:c r="I608" s="146" t="e">
        <x:f>IF($A608="","",[1]!thsiFinD("ths_adjustment_nv_fund",I$3,$A608))</x:f>
        <x:v>#NAME?</x:v>
      </x:c>
      <x:c r="J608" s="146" t="e">
        <x:f>IF($A608="","",[1]!thsiFinD("ths_adjustment_nv_fund",J$3,$A608))</x:f>
        <x:v>#NAME?</x:v>
      </x:c>
      <x:c r="K608" s="146" t="e">
        <x:f>IF($A608="","",[1]!thsiFinD("ths_adjustment_nv_fund",K$3,$A608))</x:f>
        <x:v>#NAME?</x:v>
      </x:c>
      <x:c r="L608" s="146" t="e">
        <x:f>IF($A608="","",[1]!thsiFinD("ths_adjustment_nv_fund",L$3,$A608))</x:f>
        <x:v>#NAME?</x:v>
      </x:c>
      <x:c r="M608" s="146" t="e">
        <x:f>IF($A608="","",[1]!thsiFinD("ths_adjustment_nv_fund",M$3,$A608))</x:f>
        <x:v>#NAME?</x:v>
      </x:c>
      <x:c r="N608" s="146" t="e">
        <x:f>IF($A608="","",[1]!thsiFinD("ths_adjustment_nv_fund",N$3,$A608))</x:f>
        <x:v>#NAME?</x:v>
      </x:c>
      <x:c r="O608" s="146" t="e">
        <x:f>IF($A608="","",[1]!thsiFinD("ths_adjustment_nv_fund",O$3,$A608))</x:f>
        <x:v>#NAME?</x:v>
      </x:c>
      <x:c r="P608" s="146" t="e">
        <x:f>IF($A608="","",[1]!thsiFinD("ths_adjustment_nv_fund",P$3,$A608))</x:f>
        <x:v>#NAME?</x:v>
      </x:c>
      <x:c r="Q608" s="146" t="e">
        <x:f>IF($A608="","",[1]!thsiFinD("ths_adjustment_nv_fund",Q$3,$A608))</x:f>
        <x:v>#NAME?</x:v>
      </x:c>
      <x:c r="R608" s="146" t="e">
        <x:f>IF($A608="","",[1]!thsiFinD("ths_adjustment_nv_fund",R$3,$A608))</x:f>
        <x:v>#NAME?</x:v>
      </x:c>
      <x:c r="S608" s="146" t="e">
        <x:f>IF($A608="","",[1]!thsiFinD("ths_adjustment_nv_fund",S$3,$A608))</x:f>
        <x:v>#NAME?</x:v>
      </x:c>
      <x:c r="T608" s="146" t="e">
        <x:f>IF($A608="","",[1]!thsiFinD("ths_adjustment_nv_fund",T$3,$A608))</x:f>
        <x:v>#NAME?</x:v>
      </x:c>
      <x:c r="U608" s="146" t="e">
        <x:f>IF($A608="","",[1]!thsiFinD("ths_adjustment_nv_fund",U$3,$A608))</x:f>
        <x:v>#NAME?</x:v>
      </x:c>
      <x:c r="V608" s="146" t="e">
        <x:f>IF($A608="","",[1]!thsiFinD("ths_adjustment_nv_fund",V$3,$A608))</x:f>
        <x:v>#NAME?</x:v>
      </x:c>
      <x:c r="W608" s="146" t="e">
        <x:f>IF($A608="","",[1]!thsiFinD("ths_adjustment_nv_fund",W$3,$A608))</x:f>
        <x:v>#NAME?</x:v>
      </x:c>
      <x:c r="X608" s="146" t="e">
        <x:f>IF($A608="","",[1]!thsiFinD("ths_adjustment_nv_fund",X$3,$A608))</x:f>
        <x:v>#NAME?</x:v>
      </x:c>
      <x:c r="Y608" s="146" t="e">
        <x:f>IF($A608="","",[1]!thsiFinD("ths_adjustment_nv_fund",Y$3,$A608))</x:f>
        <x:v>#NAME?</x:v>
      </x:c>
      <x:c r="Z608" s="146" t="e">
        <x:f>IF($A608="","",[1]!thsiFinD("ths_adjustment_nv_fund",Z$3,$A608))</x:f>
        <x:v>#NAME?</x:v>
      </x:c>
      <x:c r="AA608" s="146" t="e">
        <x:f>IF($A608="","",[1]!thsiFinD("ths_adjustment_nv_fund",AA$3,$A608))</x:f>
        <x:v>#NAME?</x:v>
      </x:c>
    </x:row>
    <x:row r="609">
      <x:c r="B609" s="146" t="e">
        <x:f>IF($A609="","",[1]!thsiFinD("ths_adjustment_nv_fund",B$3,$A609))</x:f>
        <x:v>#NAME?</x:v>
      </x:c>
      <x:c r="C609" s="146" t="e">
        <x:f>IF($A609="","",[1]!thsiFinD("ths_adjustment_nv_fund",C$3,$A609))</x:f>
        <x:v>#NAME?</x:v>
      </x:c>
      <x:c r="D609" s="146" t="e">
        <x:f>IF($A609="","",[1]!thsiFinD("ths_adjustment_nv_fund",D$3,$A609))</x:f>
        <x:v>#NAME?</x:v>
      </x:c>
      <x:c r="E609" s="146" t="e">
        <x:f>IF($A609="","",[1]!thsiFinD("ths_adjustment_nv_fund",E$3,$A609))</x:f>
        <x:v>#NAME?</x:v>
      </x:c>
      <x:c r="F609" s="146" t="e">
        <x:f>IF($A609="","",[1]!thsiFinD("ths_adjustment_nv_fund",F$3,$A609))</x:f>
        <x:v>#NAME?</x:v>
      </x:c>
      <x:c r="G609" s="146" t="e">
        <x:f>IF($A609="","",[1]!thsiFinD("ths_adjustment_nv_fund",G$3,$A609))</x:f>
        <x:v>#NAME?</x:v>
      </x:c>
      <x:c r="H609" s="146" t="e">
        <x:f>IF($A609="","",[1]!thsiFinD("ths_adjustment_nv_fund",H$3,$A609))</x:f>
        <x:v>#NAME?</x:v>
      </x:c>
      <x:c r="I609" s="146" t="e">
        <x:f>IF($A609="","",[1]!thsiFinD("ths_adjustment_nv_fund",I$3,$A609))</x:f>
        <x:v>#NAME?</x:v>
      </x:c>
      <x:c r="J609" s="146" t="e">
        <x:f>IF($A609="","",[1]!thsiFinD("ths_adjustment_nv_fund",J$3,$A609))</x:f>
        <x:v>#NAME?</x:v>
      </x:c>
      <x:c r="K609" s="146" t="e">
        <x:f>IF($A609="","",[1]!thsiFinD("ths_adjustment_nv_fund",K$3,$A609))</x:f>
        <x:v>#NAME?</x:v>
      </x:c>
      <x:c r="L609" s="146" t="e">
        <x:f>IF($A609="","",[1]!thsiFinD("ths_adjustment_nv_fund",L$3,$A609))</x:f>
        <x:v>#NAME?</x:v>
      </x:c>
      <x:c r="M609" s="146" t="e">
        <x:f>IF($A609="","",[1]!thsiFinD("ths_adjustment_nv_fund",M$3,$A609))</x:f>
        <x:v>#NAME?</x:v>
      </x:c>
      <x:c r="N609" s="146" t="e">
        <x:f>IF($A609="","",[1]!thsiFinD("ths_adjustment_nv_fund",N$3,$A609))</x:f>
        <x:v>#NAME?</x:v>
      </x:c>
      <x:c r="O609" s="146" t="e">
        <x:f>IF($A609="","",[1]!thsiFinD("ths_adjustment_nv_fund",O$3,$A609))</x:f>
        <x:v>#NAME?</x:v>
      </x:c>
      <x:c r="P609" s="146" t="e">
        <x:f>IF($A609="","",[1]!thsiFinD("ths_adjustment_nv_fund",P$3,$A609))</x:f>
        <x:v>#NAME?</x:v>
      </x:c>
      <x:c r="Q609" s="146" t="e">
        <x:f>IF($A609="","",[1]!thsiFinD("ths_adjustment_nv_fund",Q$3,$A609))</x:f>
        <x:v>#NAME?</x:v>
      </x:c>
      <x:c r="R609" s="146" t="e">
        <x:f>IF($A609="","",[1]!thsiFinD("ths_adjustment_nv_fund",R$3,$A609))</x:f>
        <x:v>#NAME?</x:v>
      </x:c>
      <x:c r="S609" s="146" t="e">
        <x:f>IF($A609="","",[1]!thsiFinD("ths_adjustment_nv_fund",S$3,$A609))</x:f>
        <x:v>#NAME?</x:v>
      </x:c>
      <x:c r="T609" s="146" t="e">
        <x:f>IF($A609="","",[1]!thsiFinD("ths_adjustment_nv_fund",T$3,$A609))</x:f>
        <x:v>#NAME?</x:v>
      </x:c>
      <x:c r="U609" s="146" t="e">
        <x:f>IF($A609="","",[1]!thsiFinD("ths_adjustment_nv_fund",U$3,$A609))</x:f>
        <x:v>#NAME?</x:v>
      </x:c>
      <x:c r="V609" s="146" t="e">
        <x:f>IF($A609="","",[1]!thsiFinD("ths_adjustment_nv_fund",V$3,$A609))</x:f>
        <x:v>#NAME?</x:v>
      </x:c>
      <x:c r="W609" s="146" t="e">
        <x:f>IF($A609="","",[1]!thsiFinD("ths_adjustment_nv_fund",W$3,$A609))</x:f>
        <x:v>#NAME?</x:v>
      </x:c>
      <x:c r="X609" s="146" t="e">
        <x:f>IF($A609="","",[1]!thsiFinD("ths_adjustment_nv_fund",X$3,$A609))</x:f>
        <x:v>#NAME?</x:v>
      </x:c>
      <x:c r="Y609" s="146" t="e">
        <x:f>IF($A609="","",[1]!thsiFinD("ths_adjustment_nv_fund",Y$3,$A609))</x:f>
        <x:v>#NAME?</x:v>
      </x:c>
      <x:c r="Z609" s="146" t="e">
        <x:f>IF($A609="","",[1]!thsiFinD("ths_adjustment_nv_fund",Z$3,$A609))</x:f>
        <x:v>#NAME?</x:v>
      </x:c>
      <x:c r="AA609" s="146" t="e">
        <x:f>IF($A609="","",[1]!thsiFinD("ths_adjustment_nv_fund",AA$3,$A609))</x:f>
        <x:v>#NAME?</x:v>
      </x:c>
    </x:row>
    <x:row r="610">
      <x:c r="B610" s="146" t="e">
        <x:f>IF($A610="","",[1]!thsiFinD("ths_adjustment_nv_fund",B$3,$A610))</x:f>
        <x:v>#NAME?</x:v>
      </x:c>
      <x:c r="C610" s="146" t="e">
        <x:f>IF($A610="","",[1]!thsiFinD("ths_adjustment_nv_fund",C$3,$A610))</x:f>
        <x:v>#NAME?</x:v>
      </x:c>
      <x:c r="D610" s="146" t="e">
        <x:f>IF($A610="","",[1]!thsiFinD("ths_adjustment_nv_fund",D$3,$A610))</x:f>
        <x:v>#NAME?</x:v>
      </x:c>
      <x:c r="E610" s="146" t="e">
        <x:f>IF($A610="","",[1]!thsiFinD("ths_adjustment_nv_fund",E$3,$A610))</x:f>
        <x:v>#NAME?</x:v>
      </x:c>
      <x:c r="F610" s="146" t="e">
        <x:f>IF($A610="","",[1]!thsiFinD("ths_adjustment_nv_fund",F$3,$A610))</x:f>
        <x:v>#NAME?</x:v>
      </x:c>
      <x:c r="G610" s="146" t="e">
        <x:f>IF($A610="","",[1]!thsiFinD("ths_adjustment_nv_fund",G$3,$A610))</x:f>
        <x:v>#NAME?</x:v>
      </x:c>
      <x:c r="H610" s="146" t="e">
        <x:f>IF($A610="","",[1]!thsiFinD("ths_adjustment_nv_fund",H$3,$A610))</x:f>
        <x:v>#NAME?</x:v>
      </x:c>
      <x:c r="I610" s="146" t="e">
        <x:f>IF($A610="","",[1]!thsiFinD("ths_adjustment_nv_fund",I$3,$A610))</x:f>
        <x:v>#NAME?</x:v>
      </x:c>
      <x:c r="J610" s="146" t="e">
        <x:f>IF($A610="","",[1]!thsiFinD("ths_adjustment_nv_fund",J$3,$A610))</x:f>
        <x:v>#NAME?</x:v>
      </x:c>
      <x:c r="K610" s="146" t="e">
        <x:f>IF($A610="","",[1]!thsiFinD("ths_adjustment_nv_fund",K$3,$A610))</x:f>
        <x:v>#NAME?</x:v>
      </x:c>
      <x:c r="L610" s="146" t="e">
        <x:f>IF($A610="","",[1]!thsiFinD("ths_adjustment_nv_fund",L$3,$A610))</x:f>
        <x:v>#NAME?</x:v>
      </x:c>
      <x:c r="M610" s="146" t="e">
        <x:f>IF($A610="","",[1]!thsiFinD("ths_adjustment_nv_fund",M$3,$A610))</x:f>
        <x:v>#NAME?</x:v>
      </x:c>
      <x:c r="N610" s="146" t="e">
        <x:f>IF($A610="","",[1]!thsiFinD("ths_adjustment_nv_fund",N$3,$A610))</x:f>
        <x:v>#NAME?</x:v>
      </x:c>
      <x:c r="O610" s="146" t="e">
        <x:f>IF($A610="","",[1]!thsiFinD("ths_adjustment_nv_fund",O$3,$A610))</x:f>
        <x:v>#NAME?</x:v>
      </x:c>
      <x:c r="P610" s="146" t="e">
        <x:f>IF($A610="","",[1]!thsiFinD("ths_adjustment_nv_fund",P$3,$A610))</x:f>
        <x:v>#NAME?</x:v>
      </x:c>
      <x:c r="Q610" s="146" t="e">
        <x:f>IF($A610="","",[1]!thsiFinD("ths_adjustment_nv_fund",Q$3,$A610))</x:f>
        <x:v>#NAME?</x:v>
      </x:c>
      <x:c r="R610" s="146" t="e">
        <x:f>IF($A610="","",[1]!thsiFinD("ths_adjustment_nv_fund",R$3,$A610))</x:f>
        <x:v>#NAME?</x:v>
      </x:c>
      <x:c r="S610" s="146" t="e">
        <x:f>IF($A610="","",[1]!thsiFinD("ths_adjustment_nv_fund",S$3,$A610))</x:f>
        <x:v>#NAME?</x:v>
      </x:c>
      <x:c r="T610" s="146" t="e">
        <x:f>IF($A610="","",[1]!thsiFinD("ths_adjustment_nv_fund",T$3,$A610))</x:f>
        <x:v>#NAME?</x:v>
      </x:c>
      <x:c r="U610" s="146" t="e">
        <x:f>IF($A610="","",[1]!thsiFinD("ths_adjustment_nv_fund",U$3,$A610))</x:f>
        <x:v>#NAME?</x:v>
      </x:c>
      <x:c r="V610" s="146" t="e">
        <x:f>IF($A610="","",[1]!thsiFinD("ths_adjustment_nv_fund",V$3,$A610))</x:f>
        <x:v>#NAME?</x:v>
      </x:c>
      <x:c r="W610" s="146" t="e">
        <x:f>IF($A610="","",[1]!thsiFinD("ths_adjustment_nv_fund",W$3,$A610))</x:f>
        <x:v>#NAME?</x:v>
      </x:c>
      <x:c r="X610" s="146" t="e">
        <x:f>IF($A610="","",[1]!thsiFinD("ths_adjustment_nv_fund",X$3,$A610))</x:f>
        <x:v>#NAME?</x:v>
      </x:c>
      <x:c r="Y610" s="146" t="e">
        <x:f>IF($A610="","",[1]!thsiFinD("ths_adjustment_nv_fund",Y$3,$A610))</x:f>
        <x:v>#NAME?</x:v>
      </x:c>
      <x:c r="Z610" s="146" t="e">
        <x:f>IF($A610="","",[1]!thsiFinD("ths_adjustment_nv_fund",Z$3,$A610))</x:f>
        <x:v>#NAME?</x:v>
      </x:c>
      <x:c r="AA610" s="146" t="e">
        <x:f>IF($A610="","",[1]!thsiFinD("ths_adjustment_nv_fund",AA$3,$A610))</x:f>
        <x:v>#NAME?</x:v>
      </x:c>
    </x:row>
    <x:row r="611">
      <x:c r="B611" s="146" t="e">
        <x:f>IF($A611="","",[1]!thsiFinD("ths_adjustment_nv_fund",B$3,$A611))</x:f>
        <x:v>#NAME?</x:v>
      </x:c>
      <x:c r="C611" s="146" t="e">
        <x:f>IF($A611="","",[1]!thsiFinD("ths_adjustment_nv_fund",C$3,$A611))</x:f>
        <x:v>#NAME?</x:v>
      </x:c>
      <x:c r="D611" s="146" t="e">
        <x:f>IF($A611="","",[1]!thsiFinD("ths_adjustment_nv_fund",D$3,$A611))</x:f>
        <x:v>#NAME?</x:v>
      </x:c>
      <x:c r="E611" s="146" t="e">
        <x:f>IF($A611="","",[1]!thsiFinD("ths_adjustment_nv_fund",E$3,$A611))</x:f>
        <x:v>#NAME?</x:v>
      </x:c>
      <x:c r="F611" s="146" t="e">
        <x:f>IF($A611="","",[1]!thsiFinD("ths_adjustment_nv_fund",F$3,$A611))</x:f>
        <x:v>#NAME?</x:v>
      </x:c>
      <x:c r="G611" s="146" t="e">
        <x:f>IF($A611="","",[1]!thsiFinD("ths_adjustment_nv_fund",G$3,$A611))</x:f>
        <x:v>#NAME?</x:v>
      </x:c>
      <x:c r="H611" s="146" t="e">
        <x:f>IF($A611="","",[1]!thsiFinD("ths_adjustment_nv_fund",H$3,$A611))</x:f>
        <x:v>#NAME?</x:v>
      </x:c>
      <x:c r="I611" s="146" t="e">
        <x:f>IF($A611="","",[1]!thsiFinD("ths_adjustment_nv_fund",I$3,$A611))</x:f>
        <x:v>#NAME?</x:v>
      </x:c>
      <x:c r="J611" s="146" t="e">
        <x:f>IF($A611="","",[1]!thsiFinD("ths_adjustment_nv_fund",J$3,$A611))</x:f>
        <x:v>#NAME?</x:v>
      </x:c>
      <x:c r="K611" s="146" t="e">
        <x:f>IF($A611="","",[1]!thsiFinD("ths_adjustment_nv_fund",K$3,$A611))</x:f>
        <x:v>#NAME?</x:v>
      </x:c>
      <x:c r="L611" s="146" t="e">
        <x:f>IF($A611="","",[1]!thsiFinD("ths_adjustment_nv_fund",L$3,$A611))</x:f>
        <x:v>#NAME?</x:v>
      </x:c>
      <x:c r="M611" s="146" t="e">
        <x:f>IF($A611="","",[1]!thsiFinD("ths_adjustment_nv_fund",M$3,$A611))</x:f>
        <x:v>#NAME?</x:v>
      </x:c>
      <x:c r="N611" s="146" t="e">
        <x:f>IF($A611="","",[1]!thsiFinD("ths_adjustment_nv_fund",N$3,$A611))</x:f>
        <x:v>#NAME?</x:v>
      </x:c>
      <x:c r="O611" s="146" t="e">
        <x:f>IF($A611="","",[1]!thsiFinD("ths_adjustment_nv_fund",O$3,$A611))</x:f>
        <x:v>#NAME?</x:v>
      </x:c>
      <x:c r="P611" s="146" t="e">
        <x:f>IF($A611="","",[1]!thsiFinD("ths_adjustment_nv_fund",P$3,$A611))</x:f>
        <x:v>#NAME?</x:v>
      </x:c>
      <x:c r="Q611" s="146" t="e">
        <x:f>IF($A611="","",[1]!thsiFinD("ths_adjustment_nv_fund",Q$3,$A611))</x:f>
        <x:v>#NAME?</x:v>
      </x:c>
      <x:c r="R611" s="146" t="e">
        <x:f>IF($A611="","",[1]!thsiFinD("ths_adjustment_nv_fund",R$3,$A611))</x:f>
        <x:v>#NAME?</x:v>
      </x:c>
      <x:c r="S611" s="146" t="e">
        <x:f>IF($A611="","",[1]!thsiFinD("ths_adjustment_nv_fund",S$3,$A611))</x:f>
        <x:v>#NAME?</x:v>
      </x:c>
      <x:c r="T611" s="146" t="e">
        <x:f>IF($A611="","",[1]!thsiFinD("ths_adjustment_nv_fund",T$3,$A611))</x:f>
        <x:v>#NAME?</x:v>
      </x:c>
      <x:c r="U611" s="146" t="e">
        <x:f>IF($A611="","",[1]!thsiFinD("ths_adjustment_nv_fund",U$3,$A611))</x:f>
        <x:v>#NAME?</x:v>
      </x:c>
      <x:c r="V611" s="146" t="e">
        <x:f>IF($A611="","",[1]!thsiFinD("ths_adjustment_nv_fund",V$3,$A611))</x:f>
        <x:v>#NAME?</x:v>
      </x:c>
      <x:c r="W611" s="146" t="e">
        <x:f>IF($A611="","",[1]!thsiFinD("ths_adjustment_nv_fund",W$3,$A611))</x:f>
        <x:v>#NAME?</x:v>
      </x:c>
      <x:c r="X611" s="146" t="e">
        <x:f>IF($A611="","",[1]!thsiFinD("ths_adjustment_nv_fund",X$3,$A611))</x:f>
        <x:v>#NAME?</x:v>
      </x:c>
      <x:c r="Y611" s="146" t="e">
        <x:f>IF($A611="","",[1]!thsiFinD("ths_adjustment_nv_fund",Y$3,$A611))</x:f>
        <x:v>#NAME?</x:v>
      </x:c>
      <x:c r="Z611" s="146" t="e">
        <x:f>IF($A611="","",[1]!thsiFinD("ths_adjustment_nv_fund",Z$3,$A611))</x:f>
        <x:v>#NAME?</x:v>
      </x:c>
      <x:c r="AA611" s="146" t="e">
        <x:f>IF($A611="","",[1]!thsiFinD("ths_adjustment_nv_fund",AA$3,$A611))</x:f>
        <x:v>#NAME?</x:v>
      </x:c>
    </x:row>
    <x:row r="612">
      <x:c r="B612" s="146" t="e">
        <x:f>IF($A612="","",[1]!thsiFinD("ths_adjustment_nv_fund",B$3,$A612))</x:f>
        <x:v>#NAME?</x:v>
      </x:c>
      <x:c r="C612" s="146" t="e">
        <x:f>IF($A612="","",[1]!thsiFinD("ths_adjustment_nv_fund",C$3,$A612))</x:f>
        <x:v>#NAME?</x:v>
      </x:c>
      <x:c r="D612" s="146" t="e">
        <x:f>IF($A612="","",[1]!thsiFinD("ths_adjustment_nv_fund",D$3,$A612))</x:f>
        <x:v>#NAME?</x:v>
      </x:c>
      <x:c r="E612" s="146" t="e">
        <x:f>IF($A612="","",[1]!thsiFinD("ths_adjustment_nv_fund",E$3,$A612))</x:f>
        <x:v>#NAME?</x:v>
      </x:c>
      <x:c r="F612" s="146" t="e">
        <x:f>IF($A612="","",[1]!thsiFinD("ths_adjustment_nv_fund",F$3,$A612))</x:f>
        <x:v>#NAME?</x:v>
      </x:c>
      <x:c r="G612" s="146" t="e">
        <x:f>IF($A612="","",[1]!thsiFinD("ths_adjustment_nv_fund",G$3,$A612))</x:f>
        <x:v>#NAME?</x:v>
      </x:c>
      <x:c r="H612" s="146" t="e">
        <x:f>IF($A612="","",[1]!thsiFinD("ths_adjustment_nv_fund",H$3,$A612))</x:f>
        <x:v>#NAME?</x:v>
      </x:c>
      <x:c r="I612" s="146" t="e">
        <x:f>IF($A612="","",[1]!thsiFinD("ths_adjustment_nv_fund",I$3,$A612))</x:f>
        <x:v>#NAME?</x:v>
      </x:c>
      <x:c r="J612" s="146" t="e">
        <x:f>IF($A612="","",[1]!thsiFinD("ths_adjustment_nv_fund",J$3,$A612))</x:f>
        <x:v>#NAME?</x:v>
      </x:c>
      <x:c r="K612" s="146" t="e">
        <x:f>IF($A612="","",[1]!thsiFinD("ths_adjustment_nv_fund",K$3,$A612))</x:f>
        <x:v>#NAME?</x:v>
      </x:c>
      <x:c r="L612" s="146" t="e">
        <x:f>IF($A612="","",[1]!thsiFinD("ths_adjustment_nv_fund",L$3,$A612))</x:f>
        <x:v>#NAME?</x:v>
      </x:c>
      <x:c r="M612" s="146" t="e">
        <x:f>IF($A612="","",[1]!thsiFinD("ths_adjustment_nv_fund",M$3,$A612))</x:f>
        <x:v>#NAME?</x:v>
      </x:c>
      <x:c r="N612" s="146" t="e">
        <x:f>IF($A612="","",[1]!thsiFinD("ths_adjustment_nv_fund",N$3,$A612))</x:f>
        <x:v>#NAME?</x:v>
      </x:c>
      <x:c r="O612" s="146" t="e">
        <x:f>IF($A612="","",[1]!thsiFinD("ths_adjustment_nv_fund",O$3,$A612))</x:f>
        <x:v>#NAME?</x:v>
      </x:c>
      <x:c r="P612" s="146" t="e">
        <x:f>IF($A612="","",[1]!thsiFinD("ths_adjustment_nv_fund",P$3,$A612))</x:f>
        <x:v>#NAME?</x:v>
      </x:c>
      <x:c r="Q612" s="146" t="e">
        <x:f>IF($A612="","",[1]!thsiFinD("ths_adjustment_nv_fund",Q$3,$A612))</x:f>
        <x:v>#NAME?</x:v>
      </x:c>
      <x:c r="R612" s="146" t="e">
        <x:f>IF($A612="","",[1]!thsiFinD("ths_adjustment_nv_fund",R$3,$A612))</x:f>
        <x:v>#NAME?</x:v>
      </x:c>
      <x:c r="S612" s="146" t="e">
        <x:f>IF($A612="","",[1]!thsiFinD("ths_adjustment_nv_fund",S$3,$A612))</x:f>
        <x:v>#NAME?</x:v>
      </x:c>
      <x:c r="T612" s="146" t="e">
        <x:f>IF($A612="","",[1]!thsiFinD("ths_adjustment_nv_fund",T$3,$A612))</x:f>
        <x:v>#NAME?</x:v>
      </x:c>
      <x:c r="U612" s="146" t="e">
        <x:f>IF($A612="","",[1]!thsiFinD("ths_adjustment_nv_fund",U$3,$A612))</x:f>
        <x:v>#NAME?</x:v>
      </x:c>
      <x:c r="V612" s="146" t="e">
        <x:f>IF($A612="","",[1]!thsiFinD("ths_adjustment_nv_fund",V$3,$A612))</x:f>
        <x:v>#NAME?</x:v>
      </x:c>
      <x:c r="W612" s="146" t="e">
        <x:f>IF($A612="","",[1]!thsiFinD("ths_adjustment_nv_fund",W$3,$A612))</x:f>
        <x:v>#NAME?</x:v>
      </x:c>
      <x:c r="X612" s="146" t="e">
        <x:f>IF($A612="","",[1]!thsiFinD("ths_adjustment_nv_fund",X$3,$A612))</x:f>
        <x:v>#NAME?</x:v>
      </x:c>
      <x:c r="Y612" s="146" t="e">
        <x:f>IF($A612="","",[1]!thsiFinD("ths_adjustment_nv_fund",Y$3,$A612))</x:f>
        <x:v>#NAME?</x:v>
      </x:c>
      <x:c r="Z612" s="146" t="e">
        <x:f>IF($A612="","",[1]!thsiFinD("ths_adjustment_nv_fund",Z$3,$A612))</x:f>
        <x:v>#NAME?</x:v>
      </x:c>
      <x:c r="AA612" s="146" t="e">
        <x:f>IF($A612="","",[1]!thsiFinD("ths_adjustment_nv_fund",AA$3,$A612))</x:f>
        <x:v>#NAME?</x:v>
      </x:c>
    </x:row>
    <x:row r="613">
      <x:c r="B613" s="146" t="e">
        <x:f>IF($A613="","",[1]!thsiFinD("ths_adjustment_nv_fund",B$3,$A613))</x:f>
        <x:v>#NAME?</x:v>
      </x:c>
      <x:c r="C613" s="146" t="e">
        <x:f>IF($A613="","",[1]!thsiFinD("ths_adjustment_nv_fund",C$3,$A613))</x:f>
        <x:v>#NAME?</x:v>
      </x:c>
      <x:c r="D613" s="146" t="e">
        <x:f>IF($A613="","",[1]!thsiFinD("ths_adjustment_nv_fund",D$3,$A613))</x:f>
        <x:v>#NAME?</x:v>
      </x:c>
      <x:c r="E613" s="146" t="e">
        <x:f>IF($A613="","",[1]!thsiFinD("ths_adjustment_nv_fund",E$3,$A613))</x:f>
        <x:v>#NAME?</x:v>
      </x:c>
      <x:c r="F613" s="146" t="e">
        <x:f>IF($A613="","",[1]!thsiFinD("ths_adjustment_nv_fund",F$3,$A613))</x:f>
        <x:v>#NAME?</x:v>
      </x:c>
      <x:c r="G613" s="146" t="e">
        <x:f>IF($A613="","",[1]!thsiFinD("ths_adjustment_nv_fund",G$3,$A613))</x:f>
        <x:v>#NAME?</x:v>
      </x:c>
      <x:c r="H613" s="146" t="e">
        <x:f>IF($A613="","",[1]!thsiFinD("ths_adjustment_nv_fund",H$3,$A613))</x:f>
        <x:v>#NAME?</x:v>
      </x:c>
      <x:c r="I613" s="146" t="e">
        <x:f>IF($A613="","",[1]!thsiFinD("ths_adjustment_nv_fund",I$3,$A613))</x:f>
        <x:v>#NAME?</x:v>
      </x:c>
      <x:c r="J613" s="146" t="e">
        <x:f>IF($A613="","",[1]!thsiFinD("ths_adjustment_nv_fund",J$3,$A613))</x:f>
        <x:v>#NAME?</x:v>
      </x:c>
      <x:c r="K613" s="146" t="e">
        <x:f>IF($A613="","",[1]!thsiFinD("ths_adjustment_nv_fund",K$3,$A613))</x:f>
        <x:v>#NAME?</x:v>
      </x:c>
      <x:c r="L613" s="146" t="e">
        <x:f>IF($A613="","",[1]!thsiFinD("ths_adjustment_nv_fund",L$3,$A613))</x:f>
        <x:v>#NAME?</x:v>
      </x:c>
      <x:c r="M613" s="146" t="e">
        <x:f>IF($A613="","",[1]!thsiFinD("ths_adjustment_nv_fund",M$3,$A613))</x:f>
        <x:v>#NAME?</x:v>
      </x:c>
      <x:c r="N613" s="146" t="e">
        <x:f>IF($A613="","",[1]!thsiFinD("ths_adjustment_nv_fund",N$3,$A613))</x:f>
        <x:v>#NAME?</x:v>
      </x:c>
      <x:c r="O613" s="146" t="e">
        <x:f>IF($A613="","",[1]!thsiFinD("ths_adjustment_nv_fund",O$3,$A613))</x:f>
        <x:v>#NAME?</x:v>
      </x:c>
      <x:c r="P613" s="146" t="e">
        <x:f>IF($A613="","",[1]!thsiFinD("ths_adjustment_nv_fund",P$3,$A613))</x:f>
        <x:v>#NAME?</x:v>
      </x:c>
      <x:c r="Q613" s="146" t="e">
        <x:f>IF($A613="","",[1]!thsiFinD("ths_adjustment_nv_fund",Q$3,$A613))</x:f>
        <x:v>#NAME?</x:v>
      </x:c>
      <x:c r="R613" s="146" t="e">
        <x:f>IF($A613="","",[1]!thsiFinD("ths_adjustment_nv_fund",R$3,$A613))</x:f>
        <x:v>#NAME?</x:v>
      </x:c>
      <x:c r="S613" s="146" t="e">
        <x:f>IF($A613="","",[1]!thsiFinD("ths_adjustment_nv_fund",S$3,$A613))</x:f>
        <x:v>#NAME?</x:v>
      </x:c>
      <x:c r="T613" s="146" t="e">
        <x:f>IF($A613="","",[1]!thsiFinD("ths_adjustment_nv_fund",T$3,$A613))</x:f>
        <x:v>#NAME?</x:v>
      </x:c>
      <x:c r="U613" s="146" t="e">
        <x:f>IF($A613="","",[1]!thsiFinD("ths_adjustment_nv_fund",U$3,$A613))</x:f>
        <x:v>#NAME?</x:v>
      </x:c>
      <x:c r="V613" s="146" t="e">
        <x:f>IF($A613="","",[1]!thsiFinD("ths_adjustment_nv_fund",V$3,$A613))</x:f>
        <x:v>#NAME?</x:v>
      </x:c>
      <x:c r="W613" s="146" t="e">
        <x:f>IF($A613="","",[1]!thsiFinD("ths_adjustment_nv_fund",W$3,$A613))</x:f>
        <x:v>#NAME?</x:v>
      </x:c>
      <x:c r="X613" s="146" t="e">
        <x:f>IF($A613="","",[1]!thsiFinD("ths_adjustment_nv_fund",X$3,$A613))</x:f>
        <x:v>#NAME?</x:v>
      </x:c>
      <x:c r="Y613" s="146" t="e">
        <x:f>IF($A613="","",[1]!thsiFinD("ths_adjustment_nv_fund",Y$3,$A613))</x:f>
        <x:v>#NAME?</x:v>
      </x:c>
      <x:c r="Z613" s="146" t="e">
        <x:f>IF($A613="","",[1]!thsiFinD("ths_adjustment_nv_fund",Z$3,$A613))</x:f>
        <x:v>#NAME?</x:v>
      </x:c>
      <x:c r="AA613" s="146" t="e">
        <x:f>IF($A613="","",[1]!thsiFinD("ths_adjustment_nv_fund",AA$3,$A613))</x:f>
        <x:v>#NAME?</x:v>
      </x:c>
    </x:row>
    <x:row r="614">
      <x:c r="B614" s="146" t="e">
        <x:f>IF($A614="","",[1]!thsiFinD("ths_adjustment_nv_fund",B$3,$A614))</x:f>
        <x:v>#NAME?</x:v>
      </x:c>
      <x:c r="C614" s="146" t="e">
        <x:f>IF($A614="","",[1]!thsiFinD("ths_adjustment_nv_fund",C$3,$A614))</x:f>
        <x:v>#NAME?</x:v>
      </x:c>
      <x:c r="D614" s="146" t="e">
        <x:f>IF($A614="","",[1]!thsiFinD("ths_adjustment_nv_fund",D$3,$A614))</x:f>
        <x:v>#NAME?</x:v>
      </x:c>
      <x:c r="E614" s="146" t="e">
        <x:f>IF($A614="","",[1]!thsiFinD("ths_adjustment_nv_fund",E$3,$A614))</x:f>
        <x:v>#NAME?</x:v>
      </x:c>
      <x:c r="F614" s="146" t="e">
        <x:f>IF($A614="","",[1]!thsiFinD("ths_adjustment_nv_fund",F$3,$A614))</x:f>
        <x:v>#NAME?</x:v>
      </x:c>
      <x:c r="G614" s="146" t="e">
        <x:f>IF($A614="","",[1]!thsiFinD("ths_adjustment_nv_fund",G$3,$A614))</x:f>
        <x:v>#NAME?</x:v>
      </x:c>
      <x:c r="H614" s="146" t="e">
        <x:f>IF($A614="","",[1]!thsiFinD("ths_adjustment_nv_fund",H$3,$A614))</x:f>
        <x:v>#NAME?</x:v>
      </x:c>
      <x:c r="I614" s="146" t="e">
        <x:f>IF($A614="","",[1]!thsiFinD("ths_adjustment_nv_fund",I$3,$A614))</x:f>
        <x:v>#NAME?</x:v>
      </x:c>
      <x:c r="J614" s="146" t="e">
        <x:f>IF($A614="","",[1]!thsiFinD("ths_adjustment_nv_fund",J$3,$A614))</x:f>
        <x:v>#NAME?</x:v>
      </x:c>
      <x:c r="K614" s="146" t="e">
        <x:f>IF($A614="","",[1]!thsiFinD("ths_adjustment_nv_fund",K$3,$A614))</x:f>
        <x:v>#NAME?</x:v>
      </x:c>
      <x:c r="L614" s="146" t="e">
        <x:f>IF($A614="","",[1]!thsiFinD("ths_adjustment_nv_fund",L$3,$A614))</x:f>
        <x:v>#NAME?</x:v>
      </x:c>
      <x:c r="M614" s="146" t="e">
        <x:f>IF($A614="","",[1]!thsiFinD("ths_adjustment_nv_fund",M$3,$A614))</x:f>
        <x:v>#NAME?</x:v>
      </x:c>
      <x:c r="N614" s="146" t="e">
        <x:f>IF($A614="","",[1]!thsiFinD("ths_adjustment_nv_fund",N$3,$A614))</x:f>
        <x:v>#NAME?</x:v>
      </x:c>
      <x:c r="O614" s="146" t="e">
        <x:f>IF($A614="","",[1]!thsiFinD("ths_adjustment_nv_fund",O$3,$A614))</x:f>
        <x:v>#NAME?</x:v>
      </x:c>
      <x:c r="P614" s="146" t="e">
        <x:f>IF($A614="","",[1]!thsiFinD("ths_adjustment_nv_fund",P$3,$A614))</x:f>
        <x:v>#NAME?</x:v>
      </x:c>
      <x:c r="Q614" s="146" t="e">
        <x:f>IF($A614="","",[1]!thsiFinD("ths_adjustment_nv_fund",Q$3,$A614))</x:f>
        <x:v>#NAME?</x:v>
      </x:c>
      <x:c r="R614" s="146" t="e">
        <x:f>IF($A614="","",[1]!thsiFinD("ths_adjustment_nv_fund",R$3,$A614))</x:f>
        <x:v>#NAME?</x:v>
      </x:c>
      <x:c r="S614" s="146" t="e">
        <x:f>IF($A614="","",[1]!thsiFinD("ths_adjustment_nv_fund",S$3,$A614))</x:f>
        <x:v>#NAME?</x:v>
      </x:c>
      <x:c r="T614" s="146" t="e">
        <x:f>IF($A614="","",[1]!thsiFinD("ths_adjustment_nv_fund",T$3,$A614))</x:f>
        <x:v>#NAME?</x:v>
      </x:c>
      <x:c r="U614" s="146" t="e">
        <x:f>IF($A614="","",[1]!thsiFinD("ths_adjustment_nv_fund",U$3,$A614))</x:f>
        <x:v>#NAME?</x:v>
      </x:c>
      <x:c r="V614" s="146" t="e">
        <x:f>IF($A614="","",[1]!thsiFinD("ths_adjustment_nv_fund",V$3,$A614))</x:f>
        <x:v>#NAME?</x:v>
      </x:c>
      <x:c r="W614" s="146" t="e">
        <x:f>IF($A614="","",[1]!thsiFinD("ths_adjustment_nv_fund",W$3,$A614))</x:f>
        <x:v>#NAME?</x:v>
      </x:c>
      <x:c r="X614" s="146" t="e">
        <x:f>IF($A614="","",[1]!thsiFinD("ths_adjustment_nv_fund",X$3,$A614))</x:f>
        <x:v>#NAME?</x:v>
      </x:c>
      <x:c r="Y614" s="146" t="e">
        <x:f>IF($A614="","",[1]!thsiFinD("ths_adjustment_nv_fund",Y$3,$A614))</x:f>
        <x:v>#NAME?</x:v>
      </x:c>
      <x:c r="Z614" s="146" t="e">
        <x:f>IF($A614="","",[1]!thsiFinD("ths_adjustment_nv_fund",Z$3,$A614))</x:f>
        <x:v>#NAME?</x:v>
      </x:c>
      <x:c r="AA614" s="146" t="e">
        <x:f>IF($A614="","",[1]!thsiFinD("ths_adjustment_nv_fund",AA$3,$A614))</x:f>
        <x:v>#NAME?</x:v>
      </x:c>
    </x:row>
    <x:row r="615">
      <x:c r="B615" s="146" t="e">
        <x:f>IF($A615="","",[1]!thsiFinD("ths_adjustment_nv_fund",B$3,$A615))</x:f>
        <x:v>#NAME?</x:v>
      </x:c>
      <x:c r="C615" s="146" t="e">
        <x:f>IF($A615="","",[1]!thsiFinD("ths_adjustment_nv_fund",C$3,$A615))</x:f>
        <x:v>#NAME?</x:v>
      </x:c>
      <x:c r="D615" s="146" t="e">
        <x:f>IF($A615="","",[1]!thsiFinD("ths_adjustment_nv_fund",D$3,$A615))</x:f>
        <x:v>#NAME?</x:v>
      </x:c>
      <x:c r="E615" s="146" t="e">
        <x:f>IF($A615="","",[1]!thsiFinD("ths_adjustment_nv_fund",E$3,$A615))</x:f>
        <x:v>#NAME?</x:v>
      </x:c>
      <x:c r="F615" s="146" t="e">
        <x:f>IF($A615="","",[1]!thsiFinD("ths_adjustment_nv_fund",F$3,$A615))</x:f>
        <x:v>#NAME?</x:v>
      </x:c>
      <x:c r="G615" s="146" t="e">
        <x:f>IF($A615="","",[1]!thsiFinD("ths_adjustment_nv_fund",G$3,$A615))</x:f>
        <x:v>#NAME?</x:v>
      </x:c>
      <x:c r="H615" s="146" t="e">
        <x:f>IF($A615="","",[1]!thsiFinD("ths_adjustment_nv_fund",H$3,$A615))</x:f>
        <x:v>#NAME?</x:v>
      </x:c>
      <x:c r="I615" s="146" t="e">
        <x:f>IF($A615="","",[1]!thsiFinD("ths_adjustment_nv_fund",I$3,$A615))</x:f>
        <x:v>#NAME?</x:v>
      </x:c>
      <x:c r="J615" s="146" t="e">
        <x:f>IF($A615="","",[1]!thsiFinD("ths_adjustment_nv_fund",J$3,$A615))</x:f>
        <x:v>#NAME?</x:v>
      </x:c>
      <x:c r="K615" s="146" t="e">
        <x:f>IF($A615="","",[1]!thsiFinD("ths_adjustment_nv_fund",K$3,$A615))</x:f>
        <x:v>#NAME?</x:v>
      </x:c>
      <x:c r="L615" s="146" t="e">
        <x:f>IF($A615="","",[1]!thsiFinD("ths_adjustment_nv_fund",L$3,$A615))</x:f>
        <x:v>#NAME?</x:v>
      </x:c>
      <x:c r="M615" s="146" t="e">
        <x:f>IF($A615="","",[1]!thsiFinD("ths_adjustment_nv_fund",M$3,$A615))</x:f>
        <x:v>#NAME?</x:v>
      </x:c>
      <x:c r="N615" s="146" t="e">
        <x:f>IF($A615="","",[1]!thsiFinD("ths_adjustment_nv_fund",N$3,$A615))</x:f>
        <x:v>#NAME?</x:v>
      </x:c>
      <x:c r="O615" s="146" t="e">
        <x:f>IF($A615="","",[1]!thsiFinD("ths_adjustment_nv_fund",O$3,$A615))</x:f>
        <x:v>#NAME?</x:v>
      </x:c>
      <x:c r="P615" s="146" t="e">
        <x:f>IF($A615="","",[1]!thsiFinD("ths_adjustment_nv_fund",P$3,$A615))</x:f>
        <x:v>#NAME?</x:v>
      </x:c>
      <x:c r="Q615" s="146" t="e">
        <x:f>IF($A615="","",[1]!thsiFinD("ths_adjustment_nv_fund",Q$3,$A615))</x:f>
        <x:v>#NAME?</x:v>
      </x:c>
      <x:c r="R615" s="146" t="e">
        <x:f>IF($A615="","",[1]!thsiFinD("ths_adjustment_nv_fund",R$3,$A615))</x:f>
        <x:v>#NAME?</x:v>
      </x:c>
      <x:c r="S615" s="146" t="e">
        <x:f>IF($A615="","",[1]!thsiFinD("ths_adjustment_nv_fund",S$3,$A615))</x:f>
        <x:v>#NAME?</x:v>
      </x:c>
      <x:c r="T615" s="146" t="e">
        <x:f>IF($A615="","",[1]!thsiFinD("ths_adjustment_nv_fund",T$3,$A615))</x:f>
        <x:v>#NAME?</x:v>
      </x:c>
      <x:c r="U615" s="146" t="e">
        <x:f>IF($A615="","",[1]!thsiFinD("ths_adjustment_nv_fund",U$3,$A615))</x:f>
        <x:v>#NAME?</x:v>
      </x:c>
      <x:c r="V615" s="146" t="e">
        <x:f>IF($A615="","",[1]!thsiFinD("ths_adjustment_nv_fund",V$3,$A615))</x:f>
        <x:v>#NAME?</x:v>
      </x:c>
      <x:c r="W615" s="146" t="e">
        <x:f>IF($A615="","",[1]!thsiFinD("ths_adjustment_nv_fund",W$3,$A615))</x:f>
        <x:v>#NAME?</x:v>
      </x:c>
      <x:c r="X615" s="146" t="e">
        <x:f>IF($A615="","",[1]!thsiFinD("ths_adjustment_nv_fund",X$3,$A615))</x:f>
        <x:v>#NAME?</x:v>
      </x:c>
      <x:c r="Y615" s="146" t="e">
        <x:f>IF($A615="","",[1]!thsiFinD("ths_adjustment_nv_fund",Y$3,$A615))</x:f>
        <x:v>#NAME?</x:v>
      </x:c>
      <x:c r="Z615" s="146" t="e">
        <x:f>IF($A615="","",[1]!thsiFinD("ths_adjustment_nv_fund",Z$3,$A615))</x:f>
        <x:v>#NAME?</x:v>
      </x:c>
      <x:c r="AA615" s="146" t="e">
        <x:f>IF($A615="","",[1]!thsiFinD("ths_adjustment_nv_fund",AA$3,$A615))</x:f>
        <x:v>#NAME?</x:v>
      </x:c>
    </x:row>
    <x:row r="616">
      <x:c r="B616" s="146" t="e">
        <x:f>IF($A616="","",[1]!thsiFinD("ths_adjustment_nv_fund",B$3,$A616))</x:f>
        <x:v>#NAME?</x:v>
      </x:c>
      <x:c r="C616" s="146" t="e">
        <x:f>IF($A616="","",[1]!thsiFinD("ths_adjustment_nv_fund",C$3,$A616))</x:f>
        <x:v>#NAME?</x:v>
      </x:c>
      <x:c r="D616" s="146" t="e">
        <x:f>IF($A616="","",[1]!thsiFinD("ths_adjustment_nv_fund",D$3,$A616))</x:f>
        <x:v>#NAME?</x:v>
      </x:c>
      <x:c r="E616" s="146" t="e">
        <x:f>IF($A616="","",[1]!thsiFinD("ths_adjustment_nv_fund",E$3,$A616))</x:f>
        <x:v>#NAME?</x:v>
      </x:c>
      <x:c r="F616" s="146" t="e">
        <x:f>IF($A616="","",[1]!thsiFinD("ths_adjustment_nv_fund",F$3,$A616))</x:f>
        <x:v>#NAME?</x:v>
      </x:c>
      <x:c r="G616" s="146" t="e">
        <x:f>IF($A616="","",[1]!thsiFinD("ths_adjustment_nv_fund",G$3,$A616))</x:f>
        <x:v>#NAME?</x:v>
      </x:c>
      <x:c r="H616" s="146" t="e">
        <x:f>IF($A616="","",[1]!thsiFinD("ths_adjustment_nv_fund",H$3,$A616))</x:f>
        <x:v>#NAME?</x:v>
      </x:c>
      <x:c r="I616" s="146" t="e">
        <x:f>IF($A616="","",[1]!thsiFinD("ths_adjustment_nv_fund",I$3,$A616))</x:f>
        <x:v>#NAME?</x:v>
      </x:c>
      <x:c r="J616" s="146" t="e">
        <x:f>IF($A616="","",[1]!thsiFinD("ths_adjustment_nv_fund",J$3,$A616))</x:f>
        <x:v>#NAME?</x:v>
      </x:c>
      <x:c r="K616" s="146" t="e">
        <x:f>IF($A616="","",[1]!thsiFinD("ths_adjustment_nv_fund",K$3,$A616))</x:f>
        <x:v>#NAME?</x:v>
      </x:c>
      <x:c r="L616" s="146" t="e">
        <x:f>IF($A616="","",[1]!thsiFinD("ths_adjustment_nv_fund",L$3,$A616))</x:f>
        <x:v>#NAME?</x:v>
      </x:c>
      <x:c r="M616" s="146" t="e">
        <x:f>IF($A616="","",[1]!thsiFinD("ths_adjustment_nv_fund",M$3,$A616))</x:f>
        <x:v>#NAME?</x:v>
      </x:c>
      <x:c r="N616" s="146" t="e">
        <x:f>IF($A616="","",[1]!thsiFinD("ths_adjustment_nv_fund",N$3,$A616))</x:f>
        <x:v>#NAME?</x:v>
      </x:c>
      <x:c r="O616" s="146" t="e">
        <x:f>IF($A616="","",[1]!thsiFinD("ths_adjustment_nv_fund",O$3,$A616))</x:f>
        <x:v>#NAME?</x:v>
      </x:c>
      <x:c r="P616" s="146" t="e">
        <x:f>IF($A616="","",[1]!thsiFinD("ths_adjustment_nv_fund",P$3,$A616))</x:f>
        <x:v>#NAME?</x:v>
      </x:c>
      <x:c r="Q616" s="146" t="e">
        <x:f>IF($A616="","",[1]!thsiFinD("ths_adjustment_nv_fund",Q$3,$A616))</x:f>
        <x:v>#NAME?</x:v>
      </x:c>
      <x:c r="R616" s="146" t="e">
        <x:f>IF($A616="","",[1]!thsiFinD("ths_adjustment_nv_fund",R$3,$A616))</x:f>
        <x:v>#NAME?</x:v>
      </x:c>
      <x:c r="S616" s="146" t="e">
        <x:f>IF($A616="","",[1]!thsiFinD("ths_adjustment_nv_fund",S$3,$A616))</x:f>
        <x:v>#NAME?</x:v>
      </x:c>
      <x:c r="T616" s="146" t="e">
        <x:f>IF($A616="","",[1]!thsiFinD("ths_adjustment_nv_fund",T$3,$A616))</x:f>
        <x:v>#NAME?</x:v>
      </x:c>
      <x:c r="U616" s="146" t="e">
        <x:f>IF($A616="","",[1]!thsiFinD("ths_adjustment_nv_fund",U$3,$A616))</x:f>
        <x:v>#NAME?</x:v>
      </x:c>
      <x:c r="V616" s="146" t="e">
        <x:f>IF($A616="","",[1]!thsiFinD("ths_adjustment_nv_fund",V$3,$A616))</x:f>
        <x:v>#NAME?</x:v>
      </x:c>
      <x:c r="W616" s="146" t="e">
        <x:f>IF($A616="","",[1]!thsiFinD("ths_adjustment_nv_fund",W$3,$A616))</x:f>
        <x:v>#NAME?</x:v>
      </x:c>
      <x:c r="X616" s="146" t="e">
        <x:f>IF($A616="","",[1]!thsiFinD("ths_adjustment_nv_fund",X$3,$A616))</x:f>
        <x:v>#NAME?</x:v>
      </x:c>
      <x:c r="Y616" s="146" t="e">
        <x:f>IF($A616="","",[1]!thsiFinD("ths_adjustment_nv_fund",Y$3,$A616))</x:f>
        <x:v>#NAME?</x:v>
      </x:c>
      <x:c r="Z616" s="146" t="e">
        <x:f>IF($A616="","",[1]!thsiFinD("ths_adjustment_nv_fund",Z$3,$A616))</x:f>
        <x:v>#NAME?</x:v>
      </x:c>
      <x:c r="AA616" s="146" t="e">
        <x:f>IF($A616="","",[1]!thsiFinD("ths_adjustment_nv_fund",AA$3,$A616))</x:f>
        <x:v>#NAME?</x:v>
      </x:c>
    </x:row>
    <x:row r="617">
      <x:c r="B617" s="146" t="e">
        <x:f>IF($A617="","",[1]!thsiFinD("ths_adjustment_nv_fund",B$3,$A617))</x:f>
        <x:v>#NAME?</x:v>
      </x:c>
      <x:c r="C617" s="146" t="e">
        <x:f>IF($A617="","",[1]!thsiFinD("ths_adjustment_nv_fund",C$3,$A617))</x:f>
        <x:v>#NAME?</x:v>
      </x:c>
      <x:c r="D617" s="146" t="e">
        <x:f>IF($A617="","",[1]!thsiFinD("ths_adjustment_nv_fund",D$3,$A617))</x:f>
        <x:v>#NAME?</x:v>
      </x:c>
      <x:c r="E617" s="146" t="e">
        <x:f>IF($A617="","",[1]!thsiFinD("ths_adjustment_nv_fund",E$3,$A617))</x:f>
        <x:v>#NAME?</x:v>
      </x:c>
      <x:c r="F617" s="146" t="e">
        <x:f>IF($A617="","",[1]!thsiFinD("ths_adjustment_nv_fund",F$3,$A617))</x:f>
        <x:v>#NAME?</x:v>
      </x:c>
      <x:c r="G617" s="146" t="e">
        <x:f>IF($A617="","",[1]!thsiFinD("ths_adjustment_nv_fund",G$3,$A617))</x:f>
        <x:v>#NAME?</x:v>
      </x:c>
      <x:c r="H617" s="146" t="e">
        <x:f>IF($A617="","",[1]!thsiFinD("ths_adjustment_nv_fund",H$3,$A617))</x:f>
        <x:v>#NAME?</x:v>
      </x:c>
      <x:c r="I617" s="146" t="e">
        <x:f>IF($A617="","",[1]!thsiFinD("ths_adjustment_nv_fund",I$3,$A617))</x:f>
        <x:v>#NAME?</x:v>
      </x:c>
      <x:c r="J617" s="146" t="e">
        <x:f>IF($A617="","",[1]!thsiFinD("ths_adjustment_nv_fund",J$3,$A617))</x:f>
        <x:v>#NAME?</x:v>
      </x:c>
      <x:c r="K617" s="146" t="e">
        <x:f>IF($A617="","",[1]!thsiFinD("ths_adjustment_nv_fund",K$3,$A617))</x:f>
        <x:v>#NAME?</x:v>
      </x:c>
      <x:c r="L617" s="146" t="e">
        <x:f>IF($A617="","",[1]!thsiFinD("ths_adjustment_nv_fund",L$3,$A617))</x:f>
        <x:v>#NAME?</x:v>
      </x:c>
      <x:c r="M617" s="146" t="e">
        <x:f>IF($A617="","",[1]!thsiFinD("ths_adjustment_nv_fund",M$3,$A617))</x:f>
        <x:v>#NAME?</x:v>
      </x:c>
      <x:c r="N617" s="146" t="e">
        <x:f>IF($A617="","",[1]!thsiFinD("ths_adjustment_nv_fund",N$3,$A617))</x:f>
        <x:v>#NAME?</x:v>
      </x:c>
      <x:c r="O617" s="146" t="e">
        <x:f>IF($A617="","",[1]!thsiFinD("ths_adjustment_nv_fund",O$3,$A617))</x:f>
        <x:v>#NAME?</x:v>
      </x:c>
      <x:c r="P617" s="146" t="e">
        <x:f>IF($A617="","",[1]!thsiFinD("ths_adjustment_nv_fund",P$3,$A617))</x:f>
        <x:v>#NAME?</x:v>
      </x:c>
      <x:c r="Q617" s="146" t="e">
        <x:f>IF($A617="","",[1]!thsiFinD("ths_adjustment_nv_fund",Q$3,$A617))</x:f>
        <x:v>#NAME?</x:v>
      </x:c>
      <x:c r="R617" s="146" t="e">
        <x:f>IF($A617="","",[1]!thsiFinD("ths_adjustment_nv_fund",R$3,$A617))</x:f>
        <x:v>#NAME?</x:v>
      </x:c>
      <x:c r="S617" s="146" t="e">
        <x:f>IF($A617="","",[1]!thsiFinD("ths_adjustment_nv_fund",S$3,$A617))</x:f>
        <x:v>#NAME?</x:v>
      </x:c>
      <x:c r="T617" s="146" t="e">
        <x:f>IF($A617="","",[1]!thsiFinD("ths_adjustment_nv_fund",T$3,$A617))</x:f>
        <x:v>#NAME?</x:v>
      </x:c>
      <x:c r="U617" s="146" t="e">
        <x:f>IF($A617="","",[1]!thsiFinD("ths_adjustment_nv_fund",U$3,$A617))</x:f>
        <x:v>#NAME?</x:v>
      </x:c>
      <x:c r="V617" s="146" t="e">
        <x:f>IF($A617="","",[1]!thsiFinD("ths_adjustment_nv_fund",V$3,$A617))</x:f>
        <x:v>#NAME?</x:v>
      </x:c>
      <x:c r="W617" s="146" t="e">
        <x:f>IF($A617="","",[1]!thsiFinD("ths_adjustment_nv_fund",W$3,$A617))</x:f>
        <x:v>#NAME?</x:v>
      </x:c>
      <x:c r="X617" s="146" t="e">
        <x:f>IF($A617="","",[1]!thsiFinD("ths_adjustment_nv_fund",X$3,$A617))</x:f>
        <x:v>#NAME?</x:v>
      </x:c>
      <x:c r="Y617" s="146" t="e">
        <x:f>IF($A617="","",[1]!thsiFinD("ths_adjustment_nv_fund",Y$3,$A617))</x:f>
        <x:v>#NAME?</x:v>
      </x:c>
      <x:c r="Z617" s="146" t="e">
        <x:f>IF($A617="","",[1]!thsiFinD("ths_adjustment_nv_fund",Z$3,$A617))</x:f>
        <x:v>#NAME?</x:v>
      </x:c>
      <x:c r="AA617" s="146" t="e">
        <x:f>IF($A617="","",[1]!thsiFinD("ths_adjustment_nv_fund",AA$3,$A617))</x:f>
        <x:v>#NAME?</x:v>
      </x:c>
    </x:row>
    <x:row r="618">
      <x:c r="B618" s="146" t="e">
        <x:f>IF($A618="","",[1]!thsiFinD("ths_adjustment_nv_fund",B$3,$A618))</x:f>
        <x:v>#NAME?</x:v>
      </x:c>
      <x:c r="C618" s="146" t="e">
        <x:f>IF($A618="","",[1]!thsiFinD("ths_adjustment_nv_fund",C$3,$A618))</x:f>
        <x:v>#NAME?</x:v>
      </x:c>
      <x:c r="D618" s="146" t="e">
        <x:f>IF($A618="","",[1]!thsiFinD("ths_adjustment_nv_fund",D$3,$A618))</x:f>
        <x:v>#NAME?</x:v>
      </x:c>
      <x:c r="E618" s="146" t="e">
        <x:f>IF($A618="","",[1]!thsiFinD("ths_adjustment_nv_fund",E$3,$A618))</x:f>
        <x:v>#NAME?</x:v>
      </x:c>
      <x:c r="F618" s="146" t="e">
        <x:f>IF($A618="","",[1]!thsiFinD("ths_adjustment_nv_fund",F$3,$A618))</x:f>
        <x:v>#NAME?</x:v>
      </x:c>
      <x:c r="G618" s="146" t="e">
        <x:f>IF($A618="","",[1]!thsiFinD("ths_adjustment_nv_fund",G$3,$A618))</x:f>
        <x:v>#NAME?</x:v>
      </x:c>
      <x:c r="H618" s="146" t="e">
        <x:f>IF($A618="","",[1]!thsiFinD("ths_adjustment_nv_fund",H$3,$A618))</x:f>
        <x:v>#NAME?</x:v>
      </x:c>
      <x:c r="I618" s="146" t="e">
        <x:f>IF($A618="","",[1]!thsiFinD("ths_adjustment_nv_fund",I$3,$A618))</x:f>
        <x:v>#NAME?</x:v>
      </x:c>
      <x:c r="J618" s="146" t="e">
        <x:f>IF($A618="","",[1]!thsiFinD("ths_adjustment_nv_fund",J$3,$A618))</x:f>
        <x:v>#NAME?</x:v>
      </x:c>
      <x:c r="K618" s="146" t="e">
        <x:f>IF($A618="","",[1]!thsiFinD("ths_adjustment_nv_fund",K$3,$A618))</x:f>
        <x:v>#NAME?</x:v>
      </x:c>
      <x:c r="L618" s="146" t="e">
        <x:f>IF($A618="","",[1]!thsiFinD("ths_adjustment_nv_fund",L$3,$A618))</x:f>
        <x:v>#NAME?</x:v>
      </x:c>
      <x:c r="M618" s="146" t="e">
        <x:f>IF($A618="","",[1]!thsiFinD("ths_adjustment_nv_fund",M$3,$A618))</x:f>
        <x:v>#NAME?</x:v>
      </x:c>
      <x:c r="N618" s="146" t="e">
        <x:f>IF($A618="","",[1]!thsiFinD("ths_adjustment_nv_fund",N$3,$A618))</x:f>
        <x:v>#NAME?</x:v>
      </x:c>
      <x:c r="O618" s="146" t="e">
        <x:f>IF($A618="","",[1]!thsiFinD("ths_adjustment_nv_fund",O$3,$A618))</x:f>
        <x:v>#NAME?</x:v>
      </x:c>
      <x:c r="P618" s="146" t="e">
        <x:f>IF($A618="","",[1]!thsiFinD("ths_adjustment_nv_fund",P$3,$A618))</x:f>
        <x:v>#NAME?</x:v>
      </x:c>
      <x:c r="Q618" s="146" t="e">
        <x:f>IF($A618="","",[1]!thsiFinD("ths_adjustment_nv_fund",Q$3,$A618))</x:f>
        <x:v>#NAME?</x:v>
      </x:c>
      <x:c r="R618" s="146" t="e">
        <x:f>IF($A618="","",[1]!thsiFinD("ths_adjustment_nv_fund",R$3,$A618))</x:f>
        <x:v>#NAME?</x:v>
      </x:c>
      <x:c r="S618" s="146" t="e">
        <x:f>IF($A618="","",[1]!thsiFinD("ths_adjustment_nv_fund",S$3,$A618))</x:f>
        <x:v>#NAME?</x:v>
      </x:c>
      <x:c r="T618" s="146" t="e">
        <x:f>IF($A618="","",[1]!thsiFinD("ths_adjustment_nv_fund",T$3,$A618))</x:f>
        <x:v>#NAME?</x:v>
      </x:c>
      <x:c r="U618" s="146" t="e">
        <x:f>IF($A618="","",[1]!thsiFinD("ths_adjustment_nv_fund",U$3,$A618))</x:f>
        <x:v>#NAME?</x:v>
      </x:c>
      <x:c r="V618" s="146" t="e">
        <x:f>IF($A618="","",[1]!thsiFinD("ths_adjustment_nv_fund",V$3,$A618))</x:f>
        <x:v>#NAME?</x:v>
      </x:c>
      <x:c r="W618" s="146" t="e">
        <x:f>IF($A618="","",[1]!thsiFinD("ths_adjustment_nv_fund",W$3,$A618))</x:f>
        <x:v>#NAME?</x:v>
      </x:c>
      <x:c r="X618" s="146" t="e">
        <x:f>IF($A618="","",[1]!thsiFinD("ths_adjustment_nv_fund",X$3,$A618))</x:f>
        <x:v>#NAME?</x:v>
      </x:c>
      <x:c r="Y618" s="146" t="e">
        <x:f>IF($A618="","",[1]!thsiFinD("ths_adjustment_nv_fund",Y$3,$A618))</x:f>
        <x:v>#NAME?</x:v>
      </x:c>
      <x:c r="Z618" s="146" t="e">
        <x:f>IF($A618="","",[1]!thsiFinD("ths_adjustment_nv_fund",Z$3,$A618))</x:f>
        <x:v>#NAME?</x:v>
      </x:c>
      <x:c r="AA618" s="146" t="e">
        <x:f>IF($A618="","",[1]!thsiFinD("ths_adjustment_nv_fund",AA$3,$A618))</x:f>
        <x:v>#NAME?</x:v>
      </x:c>
    </x:row>
    <x:row r="619">
      <x:c r="B619" s="146" t="e">
        <x:f>IF($A619="","",[1]!thsiFinD("ths_adjustment_nv_fund",B$3,$A619))</x:f>
        <x:v>#NAME?</x:v>
      </x:c>
      <x:c r="C619" s="146" t="e">
        <x:f>IF($A619="","",[1]!thsiFinD("ths_adjustment_nv_fund",C$3,$A619))</x:f>
        <x:v>#NAME?</x:v>
      </x:c>
      <x:c r="D619" s="146" t="e">
        <x:f>IF($A619="","",[1]!thsiFinD("ths_adjustment_nv_fund",D$3,$A619))</x:f>
        <x:v>#NAME?</x:v>
      </x:c>
      <x:c r="E619" s="146" t="e">
        <x:f>IF($A619="","",[1]!thsiFinD("ths_adjustment_nv_fund",E$3,$A619))</x:f>
        <x:v>#NAME?</x:v>
      </x:c>
      <x:c r="F619" s="146" t="e">
        <x:f>IF($A619="","",[1]!thsiFinD("ths_adjustment_nv_fund",F$3,$A619))</x:f>
        <x:v>#NAME?</x:v>
      </x:c>
      <x:c r="G619" s="146" t="e">
        <x:f>IF($A619="","",[1]!thsiFinD("ths_adjustment_nv_fund",G$3,$A619))</x:f>
        <x:v>#NAME?</x:v>
      </x:c>
      <x:c r="H619" s="146" t="e">
        <x:f>IF($A619="","",[1]!thsiFinD("ths_adjustment_nv_fund",H$3,$A619))</x:f>
        <x:v>#NAME?</x:v>
      </x:c>
      <x:c r="I619" s="146" t="e">
        <x:f>IF($A619="","",[1]!thsiFinD("ths_adjustment_nv_fund",I$3,$A619))</x:f>
        <x:v>#NAME?</x:v>
      </x:c>
      <x:c r="J619" s="146" t="e">
        <x:f>IF($A619="","",[1]!thsiFinD("ths_adjustment_nv_fund",J$3,$A619))</x:f>
        <x:v>#NAME?</x:v>
      </x:c>
      <x:c r="K619" s="146" t="e">
        <x:f>IF($A619="","",[1]!thsiFinD("ths_adjustment_nv_fund",K$3,$A619))</x:f>
        <x:v>#NAME?</x:v>
      </x:c>
      <x:c r="L619" s="146" t="e">
        <x:f>IF($A619="","",[1]!thsiFinD("ths_adjustment_nv_fund",L$3,$A619))</x:f>
        <x:v>#NAME?</x:v>
      </x:c>
      <x:c r="M619" s="146" t="e">
        <x:f>IF($A619="","",[1]!thsiFinD("ths_adjustment_nv_fund",M$3,$A619))</x:f>
        <x:v>#NAME?</x:v>
      </x:c>
      <x:c r="N619" s="146" t="e">
        <x:f>IF($A619="","",[1]!thsiFinD("ths_adjustment_nv_fund",N$3,$A619))</x:f>
        <x:v>#NAME?</x:v>
      </x:c>
      <x:c r="O619" s="146" t="e">
        <x:f>IF($A619="","",[1]!thsiFinD("ths_adjustment_nv_fund",O$3,$A619))</x:f>
        <x:v>#NAME?</x:v>
      </x:c>
      <x:c r="P619" s="146" t="e">
        <x:f>IF($A619="","",[1]!thsiFinD("ths_adjustment_nv_fund",P$3,$A619))</x:f>
        <x:v>#NAME?</x:v>
      </x:c>
      <x:c r="Q619" s="146" t="e">
        <x:f>IF($A619="","",[1]!thsiFinD("ths_adjustment_nv_fund",Q$3,$A619))</x:f>
        <x:v>#NAME?</x:v>
      </x:c>
      <x:c r="R619" s="146" t="e">
        <x:f>IF($A619="","",[1]!thsiFinD("ths_adjustment_nv_fund",R$3,$A619))</x:f>
        <x:v>#NAME?</x:v>
      </x:c>
      <x:c r="S619" s="146" t="e">
        <x:f>IF($A619="","",[1]!thsiFinD("ths_adjustment_nv_fund",S$3,$A619))</x:f>
        <x:v>#NAME?</x:v>
      </x:c>
      <x:c r="T619" s="146" t="e">
        <x:f>IF($A619="","",[1]!thsiFinD("ths_adjustment_nv_fund",T$3,$A619))</x:f>
        <x:v>#NAME?</x:v>
      </x:c>
      <x:c r="U619" s="146" t="e">
        <x:f>IF($A619="","",[1]!thsiFinD("ths_adjustment_nv_fund",U$3,$A619))</x:f>
        <x:v>#NAME?</x:v>
      </x:c>
      <x:c r="V619" s="146" t="e">
        <x:f>IF($A619="","",[1]!thsiFinD("ths_adjustment_nv_fund",V$3,$A619))</x:f>
        <x:v>#NAME?</x:v>
      </x:c>
      <x:c r="W619" s="146" t="e">
        <x:f>IF($A619="","",[1]!thsiFinD("ths_adjustment_nv_fund",W$3,$A619))</x:f>
        <x:v>#NAME?</x:v>
      </x:c>
      <x:c r="X619" s="146" t="e">
        <x:f>IF($A619="","",[1]!thsiFinD("ths_adjustment_nv_fund",X$3,$A619))</x:f>
        <x:v>#NAME?</x:v>
      </x:c>
      <x:c r="Y619" s="146" t="e">
        <x:f>IF($A619="","",[1]!thsiFinD("ths_adjustment_nv_fund",Y$3,$A619))</x:f>
        <x:v>#NAME?</x:v>
      </x:c>
      <x:c r="Z619" s="146" t="e">
        <x:f>IF($A619="","",[1]!thsiFinD("ths_adjustment_nv_fund",Z$3,$A619))</x:f>
        <x:v>#NAME?</x:v>
      </x:c>
      <x:c r="AA619" s="146" t="e">
        <x:f>IF($A619="","",[1]!thsiFinD("ths_adjustment_nv_fund",AA$3,$A619))</x:f>
        <x:v>#NAME?</x:v>
      </x:c>
    </x:row>
    <x:row r="620">
      <x:c r="B620" s="146" t="e">
        <x:f>IF($A620="","",[1]!thsiFinD("ths_adjustment_nv_fund",B$3,$A620))</x:f>
        <x:v>#NAME?</x:v>
      </x:c>
      <x:c r="C620" s="146" t="e">
        <x:f>IF($A620="","",[1]!thsiFinD("ths_adjustment_nv_fund",C$3,$A620))</x:f>
        <x:v>#NAME?</x:v>
      </x:c>
      <x:c r="D620" s="146" t="e">
        <x:f>IF($A620="","",[1]!thsiFinD("ths_adjustment_nv_fund",D$3,$A620))</x:f>
        <x:v>#NAME?</x:v>
      </x:c>
      <x:c r="E620" s="146" t="e">
        <x:f>IF($A620="","",[1]!thsiFinD("ths_adjustment_nv_fund",E$3,$A620))</x:f>
        <x:v>#NAME?</x:v>
      </x:c>
      <x:c r="F620" s="146" t="e">
        <x:f>IF($A620="","",[1]!thsiFinD("ths_adjustment_nv_fund",F$3,$A620))</x:f>
        <x:v>#NAME?</x:v>
      </x:c>
      <x:c r="G620" s="146" t="e">
        <x:f>IF($A620="","",[1]!thsiFinD("ths_adjustment_nv_fund",G$3,$A620))</x:f>
        <x:v>#NAME?</x:v>
      </x:c>
      <x:c r="H620" s="146" t="e">
        <x:f>IF($A620="","",[1]!thsiFinD("ths_adjustment_nv_fund",H$3,$A620))</x:f>
        <x:v>#NAME?</x:v>
      </x:c>
      <x:c r="I620" s="146" t="e">
        <x:f>IF($A620="","",[1]!thsiFinD("ths_adjustment_nv_fund",I$3,$A620))</x:f>
        <x:v>#NAME?</x:v>
      </x:c>
      <x:c r="J620" s="146" t="e">
        <x:f>IF($A620="","",[1]!thsiFinD("ths_adjustment_nv_fund",J$3,$A620))</x:f>
        <x:v>#NAME?</x:v>
      </x:c>
      <x:c r="K620" s="146" t="e">
        <x:f>IF($A620="","",[1]!thsiFinD("ths_adjustment_nv_fund",K$3,$A620))</x:f>
        <x:v>#NAME?</x:v>
      </x:c>
      <x:c r="L620" s="146" t="e">
        <x:f>IF($A620="","",[1]!thsiFinD("ths_adjustment_nv_fund",L$3,$A620))</x:f>
        <x:v>#NAME?</x:v>
      </x:c>
      <x:c r="M620" s="146" t="e">
        <x:f>IF($A620="","",[1]!thsiFinD("ths_adjustment_nv_fund",M$3,$A620))</x:f>
        <x:v>#NAME?</x:v>
      </x:c>
      <x:c r="N620" s="146" t="e">
        <x:f>IF($A620="","",[1]!thsiFinD("ths_adjustment_nv_fund",N$3,$A620))</x:f>
        <x:v>#NAME?</x:v>
      </x:c>
      <x:c r="O620" s="146" t="e">
        <x:f>IF($A620="","",[1]!thsiFinD("ths_adjustment_nv_fund",O$3,$A620))</x:f>
        <x:v>#NAME?</x:v>
      </x:c>
      <x:c r="P620" s="146" t="e">
        <x:f>IF($A620="","",[1]!thsiFinD("ths_adjustment_nv_fund",P$3,$A620))</x:f>
        <x:v>#NAME?</x:v>
      </x:c>
      <x:c r="Q620" s="146" t="e">
        <x:f>IF($A620="","",[1]!thsiFinD("ths_adjustment_nv_fund",Q$3,$A620))</x:f>
        <x:v>#NAME?</x:v>
      </x:c>
      <x:c r="R620" s="146" t="e">
        <x:f>IF($A620="","",[1]!thsiFinD("ths_adjustment_nv_fund",R$3,$A620))</x:f>
        <x:v>#NAME?</x:v>
      </x:c>
      <x:c r="S620" s="146" t="e">
        <x:f>IF($A620="","",[1]!thsiFinD("ths_adjustment_nv_fund",S$3,$A620))</x:f>
        <x:v>#NAME?</x:v>
      </x:c>
      <x:c r="T620" s="146" t="e">
        <x:f>IF($A620="","",[1]!thsiFinD("ths_adjustment_nv_fund",T$3,$A620))</x:f>
        <x:v>#NAME?</x:v>
      </x:c>
      <x:c r="U620" s="146" t="e">
        <x:f>IF($A620="","",[1]!thsiFinD("ths_adjustment_nv_fund",U$3,$A620))</x:f>
        <x:v>#NAME?</x:v>
      </x:c>
      <x:c r="V620" s="146" t="e">
        <x:f>IF($A620="","",[1]!thsiFinD("ths_adjustment_nv_fund",V$3,$A620))</x:f>
        <x:v>#NAME?</x:v>
      </x:c>
      <x:c r="W620" s="146" t="e">
        <x:f>IF($A620="","",[1]!thsiFinD("ths_adjustment_nv_fund",W$3,$A620))</x:f>
        <x:v>#NAME?</x:v>
      </x:c>
      <x:c r="X620" s="146" t="e">
        <x:f>IF($A620="","",[1]!thsiFinD("ths_adjustment_nv_fund",X$3,$A620))</x:f>
        <x:v>#NAME?</x:v>
      </x:c>
      <x:c r="Y620" s="146" t="e">
        <x:f>IF($A620="","",[1]!thsiFinD("ths_adjustment_nv_fund",Y$3,$A620))</x:f>
        <x:v>#NAME?</x:v>
      </x:c>
      <x:c r="Z620" s="146" t="e">
        <x:f>IF($A620="","",[1]!thsiFinD("ths_adjustment_nv_fund",Z$3,$A620))</x:f>
        <x:v>#NAME?</x:v>
      </x:c>
      <x:c r="AA620" s="146" t="e">
        <x:f>IF($A620="","",[1]!thsiFinD("ths_adjustment_nv_fund",AA$3,$A620))</x:f>
        <x:v>#NAME?</x:v>
      </x:c>
    </x:row>
    <x:row r="621">
      <x:c r="B621" s="146" t="e">
        <x:f>IF($A621="","",[1]!thsiFinD("ths_adjustment_nv_fund",B$3,$A621))</x:f>
        <x:v>#NAME?</x:v>
      </x:c>
      <x:c r="C621" s="146" t="e">
        <x:f>IF($A621="","",[1]!thsiFinD("ths_adjustment_nv_fund",C$3,$A621))</x:f>
        <x:v>#NAME?</x:v>
      </x:c>
      <x:c r="D621" s="146" t="e">
        <x:f>IF($A621="","",[1]!thsiFinD("ths_adjustment_nv_fund",D$3,$A621))</x:f>
        <x:v>#NAME?</x:v>
      </x:c>
      <x:c r="E621" s="146" t="e">
        <x:f>IF($A621="","",[1]!thsiFinD("ths_adjustment_nv_fund",E$3,$A621))</x:f>
        <x:v>#NAME?</x:v>
      </x:c>
      <x:c r="F621" s="146" t="e">
        <x:f>IF($A621="","",[1]!thsiFinD("ths_adjustment_nv_fund",F$3,$A621))</x:f>
        <x:v>#NAME?</x:v>
      </x:c>
      <x:c r="G621" s="146" t="e">
        <x:f>IF($A621="","",[1]!thsiFinD("ths_adjustment_nv_fund",G$3,$A621))</x:f>
        <x:v>#NAME?</x:v>
      </x:c>
      <x:c r="H621" s="146" t="e">
        <x:f>IF($A621="","",[1]!thsiFinD("ths_adjustment_nv_fund",H$3,$A621))</x:f>
        <x:v>#NAME?</x:v>
      </x:c>
      <x:c r="I621" s="146" t="e">
        <x:f>IF($A621="","",[1]!thsiFinD("ths_adjustment_nv_fund",I$3,$A621))</x:f>
        <x:v>#NAME?</x:v>
      </x:c>
      <x:c r="J621" s="146" t="e">
        <x:f>IF($A621="","",[1]!thsiFinD("ths_adjustment_nv_fund",J$3,$A621))</x:f>
        <x:v>#NAME?</x:v>
      </x:c>
      <x:c r="K621" s="146" t="e">
        <x:f>IF($A621="","",[1]!thsiFinD("ths_adjustment_nv_fund",K$3,$A621))</x:f>
        <x:v>#NAME?</x:v>
      </x:c>
      <x:c r="L621" s="146" t="e">
        <x:f>IF($A621="","",[1]!thsiFinD("ths_adjustment_nv_fund",L$3,$A621))</x:f>
        <x:v>#NAME?</x:v>
      </x:c>
      <x:c r="M621" s="146" t="e">
        <x:f>IF($A621="","",[1]!thsiFinD("ths_adjustment_nv_fund",M$3,$A621))</x:f>
        <x:v>#NAME?</x:v>
      </x:c>
      <x:c r="N621" s="146" t="e">
        <x:f>IF($A621="","",[1]!thsiFinD("ths_adjustment_nv_fund",N$3,$A621))</x:f>
        <x:v>#NAME?</x:v>
      </x:c>
      <x:c r="O621" s="146" t="e">
        <x:f>IF($A621="","",[1]!thsiFinD("ths_adjustment_nv_fund",O$3,$A621))</x:f>
        <x:v>#NAME?</x:v>
      </x:c>
      <x:c r="P621" s="146" t="e">
        <x:f>IF($A621="","",[1]!thsiFinD("ths_adjustment_nv_fund",P$3,$A621))</x:f>
        <x:v>#NAME?</x:v>
      </x:c>
      <x:c r="Q621" s="146" t="e">
        <x:f>IF($A621="","",[1]!thsiFinD("ths_adjustment_nv_fund",Q$3,$A621))</x:f>
        <x:v>#NAME?</x:v>
      </x:c>
      <x:c r="R621" s="146" t="e">
        <x:f>IF($A621="","",[1]!thsiFinD("ths_adjustment_nv_fund",R$3,$A621))</x:f>
        <x:v>#NAME?</x:v>
      </x:c>
      <x:c r="S621" s="146" t="e">
        <x:f>IF($A621="","",[1]!thsiFinD("ths_adjustment_nv_fund",S$3,$A621))</x:f>
        <x:v>#NAME?</x:v>
      </x:c>
      <x:c r="T621" s="146" t="e">
        <x:f>IF($A621="","",[1]!thsiFinD("ths_adjustment_nv_fund",T$3,$A621))</x:f>
        <x:v>#NAME?</x:v>
      </x:c>
      <x:c r="U621" s="146" t="e">
        <x:f>IF($A621="","",[1]!thsiFinD("ths_adjustment_nv_fund",U$3,$A621))</x:f>
        <x:v>#NAME?</x:v>
      </x:c>
      <x:c r="V621" s="146" t="e">
        <x:f>IF($A621="","",[1]!thsiFinD("ths_adjustment_nv_fund",V$3,$A621))</x:f>
        <x:v>#NAME?</x:v>
      </x:c>
      <x:c r="W621" s="146" t="e">
        <x:f>IF($A621="","",[1]!thsiFinD("ths_adjustment_nv_fund",W$3,$A621))</x:f>
        <x:v>#NAME?</x:v>
      </x:c>
      <x:c r="X621" s="146" t="e">
        <x:f>IF($A621="","",[1]!thsiFinD("ths_adjustment_nv_fund",X$3,$A621))</x:f>
        <x:v>#NAME?</x:v>
      </x:c>
      <x:c r="Y621" s="146" t="e">
        <x:f>IF($A621="","",[1]!thsiFinD("ths_adjustment_nv_fund",Y$3,$A621))</x:f>
        <x:v>#NAME?</x:v>
      </x:c>
      <x:c r="Z621" s="146" t="e">
        <x:f>IF($A621="","",[1]!thsiFinD("ths_adjustment_nv_fund",Z$3,$A621))</x:f>
        <x:v>#NAME?</x:v>
      </x:c>
      <x:c r="AA621" s="146" t="e">
        <x:f>IF($A621="","",[1]!thsiFinD("ths_adjustment_nv_fund",AA$3,$A621))</x:f>
        <x:v>#NAME?</x:v>
      </x:c>
    </x:row>
    <x:row r="622">
      <x:c r="B622" s="146" t="e">
        <x:f>IF($A622="","",[1]!thsiFinD("ths_adjustment_nv_fund",B$3,$A622))</x:f>
        <x:v>#NAME?</x:v>
      </x:c>
      <x:c r="C622" s="146" t="e">
        <x:f>IF($A622="","",[1]!thsiFinD("ths_adjustment_nv_fund",C$3,$A622))</x:f>
        <x:v>#NAME?</x:v>
      </x:c>
      <x:c r="D622" s="146" t="e">
        <x:f>IF($A622="","",[1]!thsiFinD("ths_adjustment_nv_fund",D$3,$A622))</x:f>
        <x:v>#NAME?</x:v>
      </x:c>
      <x:c r="E622" s="146" t="e">
        <x:f>IF($A622="","",[1]!thsiFinD("ths_adjustment_nv_fund",E$3,$A622))</x:f>
        <x:v>#NAME?</x:v>
      </x:c>
      <x:c r="F622" s="146" t="e">
        <x:f>IF($A622="","",[1]!thsiFinD("ths_adjustment_nv_fund",F$3,$A622))</x:f>
        <x:v>#NAME?</x:v>
      </x:c>
      <x:c r="G622" s="146" t="e">
        <x:f>IF($A622="","",[1]!thsiFinD("ths_adjustment_nv_fund",G$3,$A622))</x:f>
        <x:v>#NAME?</x:v>
      </x:c>
      <x:c r="H622" s="146" t="e">
        <x:f>IF($A622="","",[1]!thsiFinD("ths_adjustment_nv_fund",H$3,$A622))</x:f>
        <x:v>#NAME?</x:v>
      </x:c>
      <x:c r="I622" s="146" t="e">
        <x:f>IF($A622="","",[1]!thsiFinD("ths_adjustment_nv_fund",I$3,$A622))</x:f>
        <x:v>#NAME?</x:v>
      </x:c>
      <x:c r="J622" s="146" t="e">
        <x:f>IF($A622="","",[1]!thsiFinD("ths_adjustment_nv_fund",J$3,$A622))</x:f>
        <x:v>#NAME?</x:v>
      </x:c>
      <x:c r="K622" s="146" t="e">
        <x:f>IF($A622="","",[1]!thsiFinD("ths_adjustment_nv_fund",K$3,$A622))</x:f>
        <x:v>#NAME?</x:v>
      </x:c>
      <x:c r="L622" s="146" t="e">
        <x:f>IF($A622="","",[1]!thsiFinD("ths_adjustment_nv_fund",L$3,$A622))</x:f>
        <x:v>#NAME?</x:v>
      </x:c>
      <x:c r="M622" s="146" t="e">
        <x:f>IF($A622="","",[1]!thsiFinD("ths_adjustment_nv_fund",M$3,$A622))</x:f>
        <x:v>#NAME?</x:v>
      </x:c>
      <x:c r="N622" s="146" t="e">
        <x:f>IF($A622="","",[1]!thsiFinD("ths_adjustment_nv_fund",N$3,$A622))</x:f>
        <x:v>#NAME?</x:v>
      </x:c>
      <x:c r="O622" s="146" t="e">
        <x:f>IF($A622="","",[1]!thsiFinD("ths_adjustment_nv_fund",O$3,$A622))</x:f>
        <x:v>#NAME?</x:v>
      </x:c>
      <x:c r="P622" s="146" t="e">
        <x:f>IF($A622="","",[1]!thsiFinD("ths_adjustment_nv_fund",P$3,$A622))</x:f>
        <x:v>#NAME?</x:v>
      </x:c>
      <x:c r="Q622" s="146" t="e">
        <x:f>IF($A622="","",[1]!thsiFinD("ths_adjustment_nv_fund",Q$3,$A622))</x:f>
        <x:v>#NAME?</x:v>
      </x:c>
      <x:c r="R622" s="146" t="e">
        <x:f>IF($A622="","",[1]!thsiFinD("ths_adjustment_nv_fund",R$3,$A622))</x:f>
        <x:v>#NAME?</x:v>
      </x:c>
      <x:c r="S622" s="146" t="e">
        <x:f>IF($A622="","",[1]!thsiFinD("ths_adjustment_nv_fund",S$3,$A622))</x:f>
        <x:v>#NAME?</x:v>
      </x:c>
      <x:c r="T622" s="146" t="e">
        <x:f>IF($A622="","",[1]!thsiFinD("ths_adjustment_nv_fund",T$3,$A622))</x:f>
        <x:v>#NAME?</x:v>
      </x:c>
      <x:c r="U622" s="146" t="e">
        <x:f>IF($A622="","",[1]!thsiFinD("ths_adjustment_nv_fund",U$3,$A622))</x:f>
        <x:v>#NAME?</x:v>
      </x:c>
      <x:c r="V622" s="146" t="e">
        <x:f>IF($A622="","",[1]!thsiFinD("ths_adjustment_nv_fund",V$3,$A622))</x:f>
        <x:v>#NAME?</x:v>
      </x:c>
      <x:c r="W622" s="146" t="e">
        <x:f>IF($A622="","",[1]!thsiFinD("ths_adjustment_nv_fund",W$3,$A622))</x:f>
        <x:v>#NAME?</x:v>
      </x:c>
      <x:c r="X622" s="146" t="e">
        <x:f>IF($A622="","",[1]!thsiFinD("ths_adjustment_nv_fund",X$3,$A622))</x:f>
        <x:v>#NAME?</x:v>
      </x:c>
      <x:c r="Y622" s="146" t="e">
        <x:f>IF($A622="","",[1]!thsiFinD("ths_adjustment_nv_fund",Y$3,$A622))</x:f>
        <x:v>#NAME?</x:v>
      </x:c>
      <x:c r="Z622" s="146" t="e">
        <x:f>IF($A622="","",[1]!thsiFinD("ths_adjustment_nv_fund",Z$3,$A622))</x:f>
        <x:v>#NAME?</x:v>
      </x:c>
      <x:c r="AA622" s="146" t="e">
        <x:f>IF($A622="","",[1]!thsiFinD("ths_adjustment_nv_fund",AA$3,$A622))</x:f>
        <x:v>#NAME?</x:v>
      </x:c>
    </x:row>
    <x:row r="623">
      <x:c r="B623" s="146" t="e">
        <x:f>IF($A623="","",[1]!thsiFinD("ths_adjustment_nv_fund",B$3,$A623))</x:f>
        <x:v>#NAME?</x:v>
      </x:c>
      <x:c r="C623" s="146" t="e">
        <x:f>IF($A623="","",[1]!thsiFinD("ths_adjustment_nv_fund",C$3,$A623))</x:f>
        <x:v>#NAME?</x:v>
      </x:c>
      <x:c r="D623" s="146" t="e">
        <x:f>IF($A623="","",[1]!thsiFinD("ths_adjustment_nv_fund",D$3,$A623))</x:f>
        <x:v>#NAME?</x:v>
      </x:c>
      <x:c r="E623" s="146" t="e">
        <x:f>IF($A623="","",[1]!thsiFinD("ths_adjustment_nv_fund",E$3,$A623))</x:f>
        <x:v>#NAME?</x:v>
      </x:c>
      <x:c r="F623" s="146" t="e">
        <x:f>IF($A623="","",[1]!thsiFinD("ths_adjustment_nv_fund",F$3,$A623))</x:f>
        <x:v>#NAME?</x:v>
      </x:c>
      <x:c r="G623" s="146" t="e">
        <x:f>IF($A623="","",[1]!thsiFinD("ths_adjustment_nv_fund",G$3,$A623))</x:f>
        <x:v>#NAME?</x:v>
      </x:c>
      <x:c r="H623" s="146" t="e">
        <x:f>IF($A623="","",[1]!thsiFinD("ths_adjustment_nv_fund",H$3,$A623))</x:f>
        <x:v>#NAME?</x:v>
      </x:c>
      <x:c r="I623" s="146" t="e">
        <x:f>IF($A623="","",[1]!thsiFinD("ths_adjustment_nv_fund",I$3,$A623))</x:f>
        <x:v>#NAME?</x:v>
      </x:c>
      <x:c r="J623" s="146" t="e">
        <x:f>IF($A623="","",[1]!thsiFinD("ths_adjustment_nv_fund",J$3,$A623))</x:f>
        <x:v>#NAME?</x:v>
      </x:c>
      <x:c r="K623" s="146" t="e">
        <x:f>IF($A623="","",[1]!thsiFinD("ths_adjustment_nv_fund",K$3,$A623))</x:f>
        <x:v>#NAME?</x:v>
      </x:c>
      <x:c r="L623" s="146" t="e">
        <x:f>IF($A623="","",[1]!thsiFinD("ths_adjustment_nv_fund",L$3,$A623))</x:f>
        <x:v>#NAME?</x:v>
      </x:c>
      <x:c r="M623" s="146" t="e">
        <x:f>IF($A623="","",[1]!thsiFinD("ths_adjustment_nv_fund",M$3,$A623))</x:f>
        <x:v>#NAME?</x:v>
      </x:c>
      <x:c r="N623" s="146" t="e">
        <x:f>IF($A623="","",[1]!thsiFinD("ths_adjustment_nv_fund",N$3,$A623))</x:f>
        <x:v>#NAME?</x:v>
      </x:c>
      <x:c r="O623" s="146" t="e">
        <x:f>IF($A623="","",[1]!thsiFinD("ths_adjustment_nv_fund",O$3,$A623))</x:f>
        <x:v>#NAME?</x:v>
      </x:c>
      <x:c r="P623" s="146" t="e">
        <x:f>IF($A623="","",[1]!thsiFinD("ths_adjustment_nv_fund",P$3,$A623))</x:f>
        <x:v>#NAME?</x:v>
      </x:c>
      <x:c r="Q623" s="146" t="e">
        <x:f>IF($A623="","",[1]!thsiFinD("ths_adjustment_nv_fund",Q$3,$A623))</x:f>
        <x:v>#NAME?</x:v>
      </x:c>
      <x:c r="R623" s="146" t="e">
        <x:f>IF($A623="","",[1]!thsiFinD("ths_adjustment_nv_fund",R$3,$A623))</x:f>
        <x:v>#NAME?</x:v>
      </x:c>
      <x:c r="S623" s="146" t="e">
        <x:f>IF($A623="","",[1]!thsiFinD("ths_adjustment_nv_fund",S$3,$A623))</x:f>
        <x:v>#NAME?</x:v>
      </x:c>
      <x:c r="T623" s="146" t="e">
        <x:f>IF($A623="","",[1]!thsiFinD("ths_adjustment_nv_fund",T$3,$A623))</x:f>
        <x:v>#NAME?</x:v>
      </x:c>
      <x:c r="U623" s="146" t="e">
        <x:f>IF($A623="","",[1]!thsiFinD("ths_adjustment_nv_fund",U$3,$A623))</x:f>
        <x:v>#NAME?</x:v>
      </x:c>
      <x:c r="V623" s="146" t="e">
        <x:f>IF($A623="","",[1]!thsiFinD("ths_adjustment_nv_fund",V$3,$A623))</x:f>
        <x:v>#NAME?</x:v>
      </x:c>
      <x:c r="W623" s="146" t="e">
        <x:f>IF($A623="","",[1]!thsiFinD("ths_adjustment_nv_fund",W$3,$A623))</x:f>
        <x:v>#NAME?</x:v>
      </x:c>
      <x:c r="X623" s="146" t="e">
        <x:f>IF($A623="","",[1]!thsiFinD("ths_adjustment_nv_fund",X$3,$A623))</x:f>
        <x:v>#NAME?</x:v>
      </x:c>
      <x:c r="Y623" s="146" t="e">
        <x:f>IF($A623="","",[1]!thsiFinD("ths_adjustment_nv_fund",Y$3,$A623))</x:f>
        <x:v>#NAME?</x:v>
      </x:c>
      <x:c r="Z623" s="146" t="e">
        <x:f>IF($A623="","",[1]!thsiFinD("ths_adjustment_nv_fund",Z$3,$A623))</x:f>
        <x:v>#NAME?</x:v>
      </x:c>
      <x:c r="AA623" s="146" t="e">
        <x:f>IF($A623="","",[1]!thsiFinD("ths_adjustment_nv_fund",AA$3,$A623))</x:f>
        <x:v>#NAME?</x:v>
      </x:c>
    </x:row>
    <x:row r="624">
      <x:c r="B624" s="146" t="e">
        <x:f>IF($A624="","",[1]!thsiFinD("ths_adjustment_nv_fund",B$3,$A624))</x:f>
        <x:v>#NAME?</x:v>
      </x:c>
      <x:c r="C624" s="146" t="e">
        <x:f>IF($A624="","",[1]!thsiFinD("ths_adjustment_nv_fund",C$3,$A624))</x:f>
        <x:v>#NAME?</x:v>
      </x:c>
      <x:c r="D624" s="146" t="e">
        <x:f>IF($A624="","",[1]!thsiFinD("ths_adjustment_nv_fund",D$3,$A624))</x:f>
        <x:v>#NAME?</x:v>
      </x:c>
      <x:c r="E624" s="146" t="e">
        <x:f>IF($A624="","",[1]!thsiFinD("ths_adjustment_nv_fund",E$3,$A624))</x:f>
        <x:v>#NAME?</x:v>
      </x:c>
      <x:c r="F624" s="146" t="e">
        <x:f>IF($A624="","",[1]!thsiFinD("ths_adjustment_nv_fund",F$3,$A624))</x:f>
        <x:v>#NAME?</x:v>
      </x:c>
      <x:c r="G624" s="146" t="e">
        <x:f>IF($A624="","",[1]!thsiFinD("ths_adjustment_nv_fund",G$3,$A624))</x:f>
        <x:v>#NAME?</x:v>
      </x:c>
      <x:c r="H624" s="146" t="e">
        <x:f>IF($A624="","",[1]!thsiFinD("ths_adjustment_nv_fund",H$3,$A624))</x:f>
        <x:v>#NAME?</x:v>
      </x:c>
      <x:c r="I624" s="146" t="e">
        <x:f>IF($A624="","",[1]!thsiFinD("ths_adjustment_nv_fund",I$3,$A624))</x:f>
        <x:v>#NAME?</x:v>
      </x:c>
      <x:c r="J624" s="146" t="e">
        <x:f>IF($A624="","",[1]!thsiFinD("ths_adjustment_nv_fund",J$3,$A624))</x:f>
        <x:v>#NAME?</x:v>
      </x:c>
      <x:c r="K624" s="146" t="e">
        <x:f>IF($A624="","",[1]!thsiFinD("ths_adjustment_nv_fund",K$3,$A624))</x:f>
        <x:v>#NAME?</x:v>
      </x:c>
      <x:c r="L624" s="146" t="e">
        <x:f>IF($A624="","",[1]!thsiFinD("ths_adjustment_nv_fund",L$3,$A624))</x:f>
        <x:v>#NAME?</x:v>
      </x:c>
      <x:c r="M624" s="146" t="e">
        <x:f>IF($A624="","",[1]!thsiFinD("ths_adjustment_nv_fund",M$3,$A624))</x:f>
        <x:v>#NAME?</x:v>
      </x:c>
      <x:c r="N624" s="146" t="e">
        <x:f>IF($A624="","",[1]!thsiFinD("ths_adjustment_nv_fund",N$3,$A624))</x:f>
        <x:v>#NAME?</x:v>
      </x:c>
      <x:c r="O624" s="146" t="e">
        <x:f>IF($A624="","",[1]!thsiFinD("ths_adjustment_nv_fund",O$3,$A624))</x:f>
        <x:v>#NAME?</x:v>
      </x:c>
      <x:c r="P624" s="146" t="e">
        <x:f>IF($A624="","",[1]!thsiFinD("ths_adjustment_nv_fund",P$3,$A624))</x:f>
        <x:v>#NAME?</x:v>
      </x:c>
      <x:c r="Q624" s="146" t="e">
        <x:f>IF($A624="","",[1]!thsiFinD("ths_adjustment_nv_fund",Q$3,$A624))</x:f>
        <x:v>#NAME?</x:v>
      </x:c>
      <x:c r="R624" s="146" t="e">
        <x:f>IF($A624="","",[1]!thsiFinD("ths_adjustment_nv_fund",R$3,$A624))</x:f>
        <x:v>#NAME?</x:v>
      </x:c>
      <x:c r="S624" s="146" t="e">
        <x:f>IF($A624="","",[1]!thsiFinD("ths_adjustment_nv_fund",S$3,$A624))</x:f>
        <x:v>#NAME?</x:v>
      </x:c>
      <x:c r="T624" s="146" t="e">
        <x:f>IF($A624="","",[1]!thsiFinD("ths_adjustment_nv_fund",T$3,$A624))</x:f>
        <x:v>#NAME?</x:v>
      </x:c>
      <x:c r="U624" s="146" t="e">
        <x:f>IF($A624="","",[1]!thsiFinD("ths_adjustment_nv_fund",U$3,$A624))</x:f>
        <x:v>#NAME?</x:v>
      </x:c>
      <x:c r="V624" s="146" t="e">
        <x:f>IF($A624="","",[1]!thsiFinD("ths_adjustment_nv_fund",V$3,$A624))</x:f>
        <x:v>#NAME?</x:v>
      </x:c>
      <x:c r="W624" s="146" t="e">
        <x:f>IF($A624="","",[1]!thsiFinD("ths_adjustment_nv_fund",W$3,$A624))</x:f>
        <x:v>#NAME?</x:v>
      </x:c>
      <x:c r="X624" s="146" t="e">
        <x:f>IF($A624="","",[1]!thsiFinD("ths_adjustment_nv_fund",X$3,$A624))</x:f>
        <x:v>#NAME?</x:v>
      </x:c>
      <x:c r="Y624" s="146" t="e">
        <x:f>IF($A624="","",[1]!thsiFinD("ths_adjustment_nv_fund",Y$3,$A624))</x:f>
        <x:v>#NAME?</x:v>
      </x:c>
      <x:c r="Z624" s="146" t="e">
        <x:f>IF($A624="","",[1]!thsiFinD("ths_adjustment_nv_fund",Z$3,$A624))</x:f>
        <x:v>#NAME?</x:v>
      </x:c>
      <x:c r="AA624" s="146" t="e">
        <x:f>IF($A624="","",[1]!thsiFinD("ths_adjustment_nv_fund",AA$3,$A624))</x:f>
        <x:v>#NAME?</x:v>
      </x:c>
    </x:row>
    <x:row r="625">
      <x:c r="B625" s="146" t="e">
        <x:f>IF($A625="","",[1]!thsiFinD("ths_adjustment_nv_fund",B$3,$A625))</x:f>
        <x:v>#NAME?</x:v>
      </x:c>
      <x:c r="C625" s="146" t="e">
        <x:f>IF($A625="","",[1]!thsiFinD("ths_adjustment_nv_fund",C$3,$A625))</x:f>
        <x:v>#NAME?</x:v>
      </x:c>
      <x:c r="D625" s="146" t="e">
        <x:f>IF($A625="","",[1]!thsiFinD("ths_adjustment_nv_fund",D$3,$A625))</x:f>
        <x:v>#NAME?</x:v>
      </x:c>
      <x:c r="E625" s="146" t="e">
        <x:f>IF($A625="","",[1]!thsiFinD("ths_adjustment_nv_fund",E$3,$A625))</x:f>
        <x:v>#NAME?</x:v>
      </x:c>
      <x:c r="F625" s="146" t="e">
        <x:f>IF($A625="","",[1]!thsiFinD("ths_adjustment_nv_fund",F$3,$A625))</x:f>
        <x:v>#NAME?</x:v>
      </x:c>
      <x:c r="G625" s="146" t="e">
        <x:f>IF($A625="","",[1]!thsiFinD("ths_adjustment_nv_fund",G$3,$A625))</x:f>
        <x:v>#NAME?</x:v>
      </x:c>
      <x:c r="H625" s="146" t="e">
        <x:f>IF($A625="","",[1]!thsiFinD("ths_adjustment_nv_fund",H$3,$A625))</x:f>
        <x:v>#NAME?</x:v>
      </x:c>
      <x:c r="I625" s="146" t="e">
        <x:f>IF($A625="","",[1]!thsiFinD("ths_adjustment_nv_fund",I$3,$A625))</x:f>
        <x:v>#NAME?</x:v>
      </x:c>
      <x:c r="J625" s="146" t="e">
        <x:f>IF($A625="","",[1]!thsiFinD("ths_adjustment_nv_fund",J$3,$A625))</x:f>
        <x:v>#NAME?</x:v>
      </x:c>
      <x:c r="K625" s="146" t="e">
        <x:f>IF($A625="","",[1]!thsiFinD("ths_adjustment_nv_fund",K$3,$A625))</x:f>
        <x:v>#NAME?</x:v>
      </x:c>
      <x:c r="L625" s="146" t="e">
        <x:f>IF($A625="","",[1]!thsiFinD("ths_adjustment_nv_fund",L$3,$A625))</x:f>
        <x:v>#NAME?</x:v>
      </x:c>
      <x:c r="M625" s="146" t="e">
        <x:f>IF($A625="","",[1]!thsiFinD("ths_adjustment_nv_fund",M$3,$A625))</x:f>
        <x:v>#NAME?</x:v>
      </x:c>
      <x:c r="N625" s="146" t="e">
        <x:f>IF($A625="","",[1]!thsiFinD("ths_adjustment_nv_fund",N$3,$A625))</x:f>
        <x:v>#NAME?</x:v>
      </x:c>
      <x:c r="O625" s="146" t="e">
        <x:f>IF($A625="","",[1]!thsiFinD("ths_adjustment_nv_fund",O$3,$A625))</x:f>
        <x:v>#NAME?</x:v>
      </x:c>
      <x:c r="P625" s="146" t="e">
        <x:f>IF($A625="","",[1]!thsiFinD("ths_adjustment_nv_fund",P$3,$A625))</x:f>
        <x:v>#NAME?</x:v>
      </x:c>
      <x:c r="Q625" s="146" t="e">
        <x:f>IF($A625="","",[1]!thsiFinD("ths_adjustment_nv_fund",Q$3,$A625))</x:f>
        <x:v>#NAME?</x:v>
      </x:c>
      <x:c r="R625" s="146" t="e">
        <x:f>IF($A625="","",[1]!thsiFinD("ths_adjustment_nv_fund",R$3,$A625))</x:f>
        <x:v>#NAME?</x:v>
      </x:c>
      <x:c r="S625" s="146" t="e">
        <x:f>IF($A625="","",[1]!thsiFinD("ths_adjustment_nv_fund",S$3,$A625))</x:f>
        <x:v>#NAME?</x:v>
      </x:c>
      <x:c r="T625" s="146" t="e">
        <x:f>IF($A625="","",[1]!thsiFinD("ths_adjustment_nv_fund",T$3,$A625))</x:f>
        <x:v>#NAME?</x:v>
      </x:c>
      <x:c r="U625" s="146" t="e">
        <x:f>IF($A625="","",[1]!thsiFinD("ths_adjustment_nv_fund",U$3,$A625))</x:f>
        <x:v>#NAME?</x:v>
      </x:c>
      <x:c r="V625" s="146" t="e">
        <x:f>IF($A625="","",[1]!thsiFinD("ths_adjustment_nv_fund",V$3,$A625))</x:f>
        <x:v>#NAME?</x:v>
      </x:c>
      <x:c r="W625" s="146" t="e">
        <x:f>IF($A625="","",[1]!thsiFinD("ths_adjustment_nv_fund",W$3,$A625))</x:f>
        <x:v>#NAME?</x:v>
      </x:c>
      <x:c r="X625" s="146" t="e">
        <x:f>IF($A625="","",[1]!thsiFinD("ths_adjustment_nv_fund",X$3,$A625))</x:f>
        <x:v>#NAME?</x:v>
      </x:c>
      <x:c r="Y625" s="146" t="e">
        <x:f>IF($A625="","",[1]!thsiFinD("ths_adjustment_nv_fund",Y$3,$A625))</x:f>
        <x:v>#NAME?</x:v>
      </x:c>
      <x:c r="Z625" s="146" t="e">
        <x:f>IF($A625="","",[1]!thsiFinD("ths_adjustment_nv_fund",Z$3,$A625))</x:f>
        <x:v>#NAME?</x:v>
      </x:c>
      <x:c r="AA625" s="146" t="e">
        <x:f>IF($A625="","",[1]!thsiFinD("ths_adjustment_nv_fund",AA$3,$A625))</x:f>
        <x:v>#NAME?</x:v>
      </x:c>
    </x:row>
    <x:row r="626">
      <x:c r="B626" s="146" t="e">
        <x:f>IF($A626="","",[1]!thsiFinD("ths_adjustment_nv_fund",B$3,$A626))</x:f>
        <x:v>#NAME?</x:v>
      </x:c>
      <x:c r="C626" s="146" t="e">
        <x:f>IF($A626="","",[1]!thsiFinD("ths_adjustment_nv_fund",C$3,$A626))</x:f>
        <x:v>#NAME?</x:v>
      </x:c>
      <x:c r="D626" s="146" t="e">
        <x:f>IF($A626="","",[1]!thsiFinD("ths_adjustment_nv_fund",D$3,$A626))</x:f>
        <x:v>#NAME?</x:v>
      </x:c>
      <x:c r="E626" s="146" t="e">
        <x:f>IF($A626="","",[1]!thsiFinD("ths_adjustment_nv_fund",E$3,$A626))</x:f>
        <x:v>#NAME?</x:v>
      </x:c>
      <x:c r="F626" s="146" t="e">
        <x:f>IF($A626="","",[1]!thsiFinD("ths_adjustment_nv_fund",F$3,$A626))</x:f>
        <x:v>#NAME?</x:v>
      </x:c>
      <x:c r="G626" s="146" t="e">
        <x:f>IF($A626="","",[1]!thsiFinD("ths_adjustment_nv_fund",G$3,$A626))</x:f>
        <x:v>#NAME?</x:v>
      </x:c>
      <x:c r="H626" s="146" t="e">
        <x:f>IF($A626="","",[1]!thsiFinD("ths_adjustment_nv_fund",H$3,$A626))</x:f>
        <x:v>#NAME?</x:v>
      </x:c>
      <x:c r="I626" s="146" t="e">
        <x:f>IF($A626="","",[1]!thsiFinD("ths_adjustment_nv_fund",I$3,$A626))</x:f>
        <x:v>#NAME?</x:v>
      </x:c>
      <x:c r="J626" s="146" t="e">
        <x:f>IF($A626="","",[1]!thsiFinD("ths_adjustment_nv_fund",J$3,$A626))</x:f>
        <x:v>#NAME?</x:v>
      </x:c>
      <x:c r="K626" s="146" t="e">
        <x:f>IF($A626="","",[1]!thsiFinD("ths_adjustment_nv_fund",K$3,$A626))</x:f>
        <x:v>#NAME?</x:v>
      </x:c>
      <x:c r="L626" s="146" t="e">
        <x:f>IF($A626="","",[1]!thsiFinD("ths_adjustment_nv_fund",L$3,$A626))</x:f>
        <x:v>#NAME?</x:v>
      </x:c>
      <x:c r="M626" s="146" t="e">
        <x:f>IF($A626="","",[1]!thsiFinD("ths_adjustment_nv_fund",M$3,$A626))</x:f>
        <x:v>#NAME?</x:v>
      </x:c>
      <x:c r="N626" s="146" t="e">
        <x:f>IF($A626="","",[1]!thsiFinD("ths_adjustment_nv_fund",N$3,$A626))</x:f>
        <x:v>#NAME?</x:v>
      </x:c>
      <x:c r="O626" s="146" t="e">
        <x:f>IF($A626="","",[1]!thsiFinD("ths_adjustment_nv_fund",O$3,$A626))</x:f>
        <x:v>#NAME?</x:v>
      </x:c>
      <x:c r="P626" s="146" t="e">
        <x:f>IF($A626="","",[1]!thsiFinD("ths_adjustment_nv_fund",P$3,$A626))</x:f>
        <x:v>#NAME?</x:v>
      </x:c>
      <x:c r="Q626" s="146" t="e">
        <x:f>IF($A626="","",[1]!thsiFinD("ths_adjustment_nv_fund",Q$3,$A626))</x:f>
        <x:v>#NAME?</x:v>
      </x:c>
      <x:c r="R626" s="146" t="e">
        <x:f>IF($A626="","",[1]!thsiFinD("ths_adjustment_nv_fund",R$3,$A626))</x:f>
        <x:v>#NAME?</x:v>
      </x:c>
      <x:c r="S626" s="146" t="e">
        <x:f>IF($A626="","",[1]!thsiFinD("ths_adjustment_nv_fund",S$3,$A626))</x:f>
        <x:v>#NAME?</x:v>
      </x:c>
      <x:c r="T626" s="146" t="e">
        <x:f>IF($A626="","",[1]!thsiFinD("ths_adjustment_nv_fund",T$3,$A626))</x:f>
        <x:v>#NAME?</x:v>
      </x:c>
      <x:c r="U626" s="146" t="e">
        <x:f>IF($A626="","",[1]!thsiFinD("ths_adjustment_nv_fund",U$3,$A626))</x:f>
        <x:v>#NAME?</x:v>
      </x:c>
      <x:c r="V626" s="146" t="e">
        <x:f>IF($A626="","",[1]!thsiFinD("ths_adjustment_nv_fund",V$3,$A626))</x:f>
        <x:v>#NAME?</x:v>
      </x:c>
      <x:c r="W626" s="146" t="e">
        <x:f>IF($A626="","",[1]!thsiFinD("ths_adjustment_nv_fund",W$3,$A626))</x:f>
        <x:v>#NAME?</x:v>
      </x:c>
      <x:c r="X626" s="146" t="e">
        <x:f>IF($A626="","",[1]!thsiFinD("ths_adjustment_nv_fund",X$3,$A626))</x:f>
        <x:v>#NAME?</x:v>
      </x:c>
      <x:c r="Y626" s="146" t="e">
        <x:f>IF($A626="","",[1]!thsiFinD("ths_adjustment_nv_fund",Y$3,$A626))</x:f>
        <x:v>#NAME?</x:v>
      </x:c>
      <x:c r="Z626" s="146" t="e">
        <x:f>IF($A626="","",[1]!thsiFinD("ths_adjustment_nv_fund",Z$3,$A626))</x:f>
        <x:v>#NAME?</x:v>
      </x:c>
      <x:c r="AA626" s="146" t="e">
        <x:f>IF($A626="","",[1]!thsiFinD("ths_adjustment_nv_fund",AA$3,$A626))</x:f>
        <x:v>#NAME?</x:v>
      </x:c>
    </x:row>
    <x:row r="627">
      <x:c r="B627" s="146" t="e">
        <x:f>IF($A627="","",[1]!thsiFinD("ths_adjustment_nv_fund",B$3,$A627))</x:f>
        <x:v>#NAME?</x:v>
      </x:c>
      <x:c r="C627" s="146" t="e">
        <x:f>IF($A627="","",[1]!thsiFinD("ths_adjustment_nv_fund",C$3,$A627))</x:f>
        <x:v>#NAME?</x:v>
      </x:c>
      <x:c r="D627" s="146" t="e">
        <x:f>IF($A627="","",[1]!thsiFinD("ths_adjustment_nv_fund",D$3,$A627))</x:f>
        <x:v>#NAME?</x:v>
      </x:c>
      <x:c r="E627" s="146" t="e">
        <x:f>IF($A627="","",[1]!thsiFinD("ths_adjustment_nv_fund",E$3,$A627))</x:f>
        <x:v>#NAME?</x:v>
      </x:c>
      <x:c r="F627" s="146" t="e">
        <x:f>IF($A627="","",[1]!thsiFinD("ths_adjustment_nv_fund",F$3,$A627))</x:f>
        <x:v>#NAME?</x:v>
      </x:c>
      <x:c r="G627" s="146" t="e">
        <x:f>IF($A627="","",[1]!thsiFinD("ths_adjustment_nv_fund",G$3,$A627))</x:f>
        <x:v>#NAME?</x:v>
      </x:c>
      <x:c r="H627" s="146" t="e">
        <x:f>IF($A627="","",[1]!thsiFinD("ths_adjustment_nv_fund",H$3,$A627))</x:f>
        <x:v>#NAME?</x:v>
      </x:c>
      <x:c r="I627" s="146" t="e">
        <x:f>IF($A627="","",[1]!thsiFinD("ths_adjustment_nv_fund",I$3,$A627))</x:f>
        <x:v>#NAME?</x:v>
      </x:c>
      <x:c r="J627" s="146" t="e">
        <x:f>IF($A627="","",[1]!thsiFinD("ths_adjustment_nv_fund",J$3,$A627))</x:f>
        <x:v>#NAME?</x:v>
      </x:c>
      <x:c r="K627" s="146" t="e">
        <x:f>IF($A627="","",[1]!thsiFinD("ths_adjustment_nv_fund",K$3,$A627))</x:f>
        <x:v>#NAME?</x:v>
      </x:c>
      <x:c r="L627" s="146" t="e">
        <x:f>IF($A627="","",[1]!thsiFinD("ths_adjustment_nv_fund",L$3,$A627))</x:f>
        <x:v>#NAME?</x:v>
      </x:c>
      <x:c r="M627" s="146" t="e">
        <x:f>IF($A627="","",[1]!thsiFinD("ths_adjustment_nv_fund",M$3,$A627))</x:f>
        <x:v>#NAME?</x:v>
      </x:c>
      <x:c r="N627" s="146" t="e">
        <x:f>IF($A627="","",[1]!thsiFinD("ths_adjustment_nv_fund",N$3,$A627))</x:f>
        <x:v>#NAME?</x:v>
      </x:c>
      <x:c r="O627" s="146" t="e">
        <x:f>IF($A627="","",[1]!thsiFinD("ths_adjustment_nv_fund",O$3,$A627))</x:f>
        <x:v>#NAME?</x:v>
      </x:c>
      <x:c r="P627" s="146" t="e">
        <x:f>IF($A627="","",[1]!thsiFinD("ths_adjustment_nv_fund",P$3,$A627))</x:f>
        <x:v>#NAME?</x:v>
      </x:c>
      <x:c r="Q627" s="146" t="e">
        <x:f>IF($A627="","",[1]!thsiFinD("ths_adjustment_nv_fund",Q$3,$A627))</x:f>
        <x:v>#NAME?</x:v>
      </x:c>
      <x:c r="R627" s="146" t="e">
        <x:f>IF($A627="","",[1]!thsiFinD("ths_adjustment_nv_fund",R$3,$A627))</x:f>
        <x:v>#NAME?</x:v>
      </x:c>
      <x:c r="S627" s="146" t="e">
        <x:f>IF($A627="","",[1]!thsiFinD("ths_adjustment_nv_fund",S$3,$A627))</x:f>
        <x:v>#NAME?</x:v>
      </x:c>
      <x:c r="T627" s="146" t="e">
        <x:f>IF($A627="","",[1]!thsiFinD("ths_adjustment_nv_fund",T$3,$A627))</x:f>
        <x:v>#NAME?</x:v>
      </x:c>
      <x:c r="U627" s="146" t="e">
        <x:f>IF($A627="","",[1]!thsiFinD("ths_adjustment_nv_fund",U$3,$A627))</x:f>
        <x:v>#NAME?</x:v>
      </x:c>
      <x:c r="V627" s="146" t="e">
        <x:f>IF($A627="","",[1]!thsiFinD("ths_adjustment_nv_fund",V$3,$A627))</x:f>
        <x:v>#NAME?</x:v>
      </x:c>
      <x:c r="W627" s="146" t="e">
        <x:f>IF($A627="","",[1]!thsiFinD("ths_adjustment_nv_fund",W$3,$A627))</x:f>
        <x:v>#NAME?</x:v>
      </x:c>
      <x:c r="X627" s="146" t="e">
        <x:f>IF($A627="","",[1]!thsiFinD("ths_adjustment_nv_fund",X$3,$A627))</x:f>
        <x:v>#NAME?</x:v>
      </x:c>
      <x:c r="Y627" s="146" t="e">
        <x:f>IF($A627="","",[1]!thsiFinD("ths_adjustment_nv_fund",Y$3,$A627))</x:f>
        <x:v>#NAME?</x:v>
      </x:c>
      <x:c r="Z627" s="146" t="e">
        <x:f>IF($A627="","",[1]!thsiFinD("ths_adjustment_nv_fund",Z$3,$A627))</x:f>
        <x:v>#NAME?</x:v>
      </x:c>
      <x:c r="AA627" s="146" t="e">
        <x:f>IF($A627="","",[1]!thsiFinD("ths_adjustment_nv_fund",AA$3,$A627))</x:f>
        <x:v>#NAME?</x:v>
      </x:c>
    </x:row>
    <x:row r="628">
      <x:c r="B628" s="146" t="e">
        <x:f>IF($A628="","",[1]!thsiFinD("ths_adjustment_nv_fund",B$3,$A628))</x:f>
        <x:v>#NAME?</x:v>
      </x:c>
      <x:c r="C628" s="146" t="e">
        <x:f>IF($A628="","",[1]!thsiFinD("ths_adjustment_nv_fund",C$3,$A628))</x:f>
        <x:v>#NAME?</x:v>
      </x:c>
      <x:c r="D628" s="146" t="e">
        <x:f>IF($A628="","",[1]!thsiFinD("ths_adjustment_nv_fund",D$3,$A628))</x:f>
        <x:v>#NAME?</x:v>
      </x:c>
      <x:c r="E628" s="146" t="e">
        <x:f>IF($A628="","",[1]!thsiFinD("ths_adjustment_nv_fund",E$3,$A628))</x:f>
        <x:v>#NAME?</x:v>
      </x:c>
      <x:c r="F628" s="146" t="e">
        <x:f>IF($A628="","",[1]!thsiFinD("ths_adjustment_nv_fund",F$3,$A628))</x:f>
        <x:v>#NAME?</x:v>
      </x:c>
      <x:c r="G628" s="146" t="e">
        <x:f>IF($A628="","",[1]!thsiFinD("ths_adjustment_nv_fund",G$3,$A628))</x:f>
        <x:v>#NAME?</x:v>
      </x:c>
      <x:c r="H628" s="146" t="e">
        <x:f>IF($A628="","",[1]!thsiFinD("ths_adjustment_nv_fund",H$3,$A628))</x:f>
        <x:v>#NAME?</x:v>
      </x:c>
      <x:c r="I628" s="146" t="e">
        <x:f>IF($A628="","",[1]!thsiFinD("ths_adjustment_nv_fund",I$3,$A628))</x:f>
        <x:v>#NAME?</x:v>
      </x:c>
      <x:c r="J628" s="146" t="e">
        <x:f>IF($A628="","",[1]!thsiFinD("ths_adjustment_nv_fund",J$3,$A628))</x:f>
        <x:v>#NAME?</x:v>
      </x:c>
      <x:c r="K628" s="146" t="e">
        <x:f>IF($A628="","",[1]!thsiFinD("ths_adjustment_nv_fund",K$3,$A628))</x:f>
        <x:v>#NAME?</x:v>
      </x:c>
      <x:c r="L628" s="146" t="e">
        <x:f>IF($A628="","",[1]!thsiFinD("ths_adjustment_nv_fund",L$3,$A628))</x:f>
        <x:v>#NAME?</x:v>
      </x:c>
      <x:c r="M628" s="146" t="e">
        <x:f>IF($A628="","",[1]!thsiFinD("ths_adjustment_nv_fund",M$3,$A628))</x:f>
        <x:v>#NAME?</x:v>
      </x:c>
      <x:c r="N628" s="146" t="e">
        <x:f>IF($A628="","",[1]!thsiFinD("ths_adjustment_nv_fund",N$3,$A628))</x:f>
        <x:v>#NAME?</x:v>
      </x:c>
      <x:c r="O628" s="146" t="e">
        <x:f>IF($A628="","",[1]!thsiFinD("ths_adjustment_nv_fund",O$3,$A628))</x:f>
        <x:v>#NAME?</x:v>
      </x:c>
      <x:c r="P628" s="146" t="e">
        <x:f>IF($A628="","",[1]!thsiFinD("ths_adjustment_nv_fund",P$3,$A628))</x:f>
        <x:v>#NAME?</x:v>
      </x:c>
      <x:c r="Q628" s="146" t="e">
        <x:f>IF($A628="","",[1]!thsiFinD("ths_adjustment_nv_fund",Q$3,$A628))</x:f>
        <x:v>#NAME?</x:v>
      </x:c>
      <x:c r="R628" s="146" t="e">
        <x:f>IF($A628="","",[1]!thsiFinD("ths_adjustment_nv_fund",R$3,$A628))</x:f>
        <x:v>#NAME?</x:v>
      </x:c>
      <x:c r="S628" s="146" t="e">
        <x:f>IF($A628="","",[1]!thsiFinD("ths_adjustment_nv_fund",S$3,$A628))</x:f>
        <x:v>#NAME?</x:v>
      </x:c>
      <x:c r="T628" s="146" t="e">
        <x:f>IF($A628="","",[1]!thsiFinD("ths_adjustment_nv_fund",T$3,$A628))</x:f>
        <x:v>#NAME?</x:v>
      </x:c>
      <x:c r="U628" s="146" t="e">
        <x:f>IF($A628="","",[1]!thsiFinD("ths_adjustment_nv_fund",U$3,$A628))</x:f>
        <x:v>#NAME?</x:v>
      </x:c>
      <x:c r="V628" s="146" t="e">
        <x:f>IF($A628="","",[1]!thsiFinD("ths_adjustment_nv_fund",V$3,$A628))</x:f>
        <x:v>#NAME?</x:v>
      </x:c>
      <x:c r="W628" s="146" t="e">
        <x:f>IF($A628="","",[1]!thsiFinD("ths_adjustment_nv_fund",W$3,$A628))</x:f>
        <x:v>#NAME?</x:v>
      </x:c>
      <x:c r="X628" s="146" t="e">
        <x:f>IF($A628="","",[1]!thsiFinD("ths_adjustment_nv_fund",X$3,$A628))</x:f>
        <x:v>#NAME?</x:v>
      </x:c>
      <x:c r="Y628" s="146" t="e">
        <x:f>IF($A628="","",[1]!thsiFinD("ths_adjustment_nv_fund",Y$3,$A628))</x:f>
        <x:v>#NAME?</x:v>
      </x:c>
      <x:c r="Z628" s="146" t="e">
        <x:f>IF($A628="","",[1]!thsiFinD("ths_adjustment_nv_fund",Z$3,$A628))</x:f>
        <x:v>#NAME?</x:v>
      </x:c>
      <x:c r="AA628" s="146" t="e">
        <x:f>IF($A628="","",[1]!thsiFinD("ths_adjustment_nv_fund",AA$3,$A628))</x:f>
        <x:v>#NAME?</x:v>
      </x:c>
    </x:row>
    <x:row r="629">
      <x:c r="B629" s="146" t="e">
        <x:f>IF($A629="","",[1]!thsiFinD("ths_adjustment_nv_fund",B$3,$A629))</x:f>
        <x:v>#NAME?</x:v>
      </x:c>
      <x:c r="C629" s="146" t="e">
        <x:f>IF($A629="","",[1]!thsiFinD("ths_adjustment_nv_fund",C$3,$A629))</x:f>
        <x:v>#NAME?</x:v>
      </x:c>
      <x:c r="D629" s="146" t="e">
        <x:f>IF($A629="","",[1]!thsiFinD("ths_adjustment_nv_fund",D$3,$A629))</x:f>
        <x:v>#NAME?</x:v>
      </x:c>
      <x:c r="E629" s="146" t="e">
        <x:f>IF($A629="","",[1]!thsiFinD("ths_adjustment_nv_fund",E$3,$A629))</x:f>
        <x:v>#NAME?</x:v>
      </x:c>
      <x:c r="F629" s="146" t="e">
        <x:f>IF($A629="","",[1]!thsiFinD("ths_adjustment_nv_fund",F$3,$A629))</x:f>
        <x:v>#NAME?</x:v>
      </x:c>
      <x:c r="G629" s="146" t="e">
        <x:f>IF($A629="","",[1]!thsiFinD("ths_adjustment_nv_fund",G$3,$A629))</x:f>
        <x:v>#NAME?</x:v>
      </x:c>
      <x:c r="H629" s="146" t="e">
        <x:f>IF($A629="","",[1]!thsiFinD("ths_adjustment_nv_fund",H$3,$A629))</x:f>
        <x:v>#NAME?</x:v>
      </x:c>
      <x:c r="I629" s="146" t="e">
        <x:f>IF($A629="","",[1]!thsiFinD("ths_adjustment_nv_fund",I$3,$A629))</x:f>
        <x:v>#NAME?</x:v>
      </x:c>
      <x:c r="J629" s="146" t="e">
        <x:f>IF($A629="","",[1]!thsiFinD("ths_adjustment_nv_fund",J$3,$A629))</x:f>
        <x:v>#NAME?</x:v>
      </x:c>
      <x:c r="K629" s="146" t="e">
        <x:f>IF($A629="","",[1]!thsiFinD("ths_adjustment_nv_fund",K$3,$A629))</x:f>
        <x:v>#NAME?</x:v>
      </x:c>
      <x:c r="L629" s="146" t="e">
        <x:f>IF($A629="","",[1]!thsiFinD("ths_adjustment_nv_fund",L$3,$A629))</x:f>
        <x:v>#NAME?</x:v>
      </x:c>
      <x:c r="M629" s="146" t="e">
        <x:f>IF($A629="","",[1]!thsiFinD("ths_adjustment_nv_fund",M$3,$A629))</x:f>
        <x:v>#NAME?</x:v>
      </x:c>
      <x:c r="N629" s="146" t="e">
        <x:f>IF($A629="","",[1]!thsiFinD("ths_adjustment_nv_fund",N$3,$A629))</x:f>
        <x:v>#NAME?</x:v>
      </x:c>
      <x:c r="O629" s="146" t="e">
        <x:f>IF($A629="","",[1]!thsiFinD("ths_adjustment_nv_fund",O$3,$A629))</x:f>
        <x:v>#NAME?</x:v>
      </x:c>
      <x:c r="P629" s="146" t="e">
        <x:f>IF($A629="","",[1]!thsiFinD("ths_adjustment_nv_fund",P$3,$A629))</x:f>
        <x:v>#NAME?</x:v>
      </x:c>
      <x:c r="Q629" s="146" t="e">
        <x:f>IF($A629="","",[1]!thsiFinD("ths_adjustment_nv_fund",Q$3,$A629))</x:f>
        <x:v>#NAME?</x:v>
      </x:c>
      <x:c r="R629" s="146" t="e">
        <x:f>IF($A629="","",[1]!thsiFinD("ths_adjustment_nv_fund",R$3,$A629))</x:f>
        <x:v>#NAME?</x:v>
      </x:c>
      <x:c r="S629" s="146" t="e">
        <x:f>IF($A629="","",[1]!thsiFinD("ths_adjustment_nv_fund",S$3,$A629))</x:f>
        <x:v>#NAME?</x:v>
      </x:c>
      <x:c r="T629" s="146" t="e">
        <x:f>IF($A629="","",[1]!thsiFinD("ths_adjustment_nv_fund",T$3,$A629))</x:f>
        <x:v>#NAME?</x:v>
      </x:c>
      <x:c r="U629" s="146" t="e">
        <x:f>IF($A629="","",[1]!thsiFinD("ths_adjustment_nv_fund",U$3,$A629))</x:f>
        <x:v>#NAME?</x:v>
      </x:c>
      <x:c r="V629" s="146" t="e">
        <x:f>IF($A629="","",[1]!thsiFinD("ths_adjustment_nv_fund",V$3,$A629))</x:f>
        <x:v>#NAME?</x:v>
      </x:c>
      <x:c r="W629" s="146" t="e">
        <x:f>IF($A629="","",[1]!thsiFinD("ths_adjustment_nv_fund",W$3,$A629))</x:f>
        <x:v>#NAME?</x:v>
      </x:c>
      <x:c r="X629" s="146" t="e">
        <x:f>IF($A629="","",[1]!thsiFinD("ths_adjustment_nv_fund",X$3,$A629))</x:f>
        <x:v>#NAME?</x:v>
      </x:c>
      <x:c r="Y629" s="146" t="e">
        <x:f>IF($A629="","",[1]!thsiFinD("ths_adjustment_nv_fund",Y$3,$A629))</x:f>
        <x:v>#NAME?</x:v>
      </x:c>
      <x:c r="Z629" s="146" t="e">
        <x:f>IF($A629="","",[1]!thsiFinD("ths_adjustment_nv_fund",Z$3,$A629))</x:f>
        <x:v>#NAME?</x:v>
      </x:c>
      <x:c r="AA629" s="146" t="e">
        <x:f>IF($A629="","",[1]!thsiFinD("ths_adjustment_nv_fund",AA$3,$A629))</x:f>
        <x:v>#NAME?</x:v>
      </x:c>
    </x:row>
    <x:row r="630">
      <x:c r="B630" s="146" t="e">
        <x:f>IF($A630="","",[1]!thsiFinD("ths_adjustment_nv_fund",B$3,$A630))</x:f>
        <x:v>#NAME?</x:v>
      </x:c>
      <x:c r="C630" s="146" t="e">
        <x:f>IF($A630="","",[1]!thsiFinD("ths_adjustment_nv_fund",C$3,$A630))</x:f>
        <x:v>#NAME?</x:v>
      </x:c>
      <x:c r="D630" s="146" t="e">
        <x:f>IF($A630="","",[1]!thsiFinD("ths_adjustment_nv_fund",D$3,$A630))</x:f>
        <x:v>#NAME?</x:v>
      </x:c>
      <x:c r="E630" s="146" t="e">
        <x:f>IF($A630="","",[1]!thsiFinD("ths_adjustment_nv_fund",E$3,$A630))</x:f>
        <x:v>#NAME?</x:v>
      </x:c>
      <x:c r="F630" s="146" t="e">
        <x:f>IF($A630="","",[1]!thsiFinD("ths_adjustment_nv_fund",F$3,$A630))</x:f>
        <x:v>#NAME?</x:v>
      </x:c>
      <x:c r="G630" s="146" t="e">
        <x:f>IF($A630="","",[1]!thsiFinD("ths_adjustment_nv_fund",G$3,$A630))</x:f>
        <x:v>#NAME?</x:v>
      </x:c>
      <x:c r="H630" s="146" t="e">
        <x:f>IF($A630="","",[1]!thsiFinD("ths_adjustment_nv_fund",H$3,$A630))</x:f>
        <x:v>#NAME?</x:v>
      </x:c>
      <x:c r="I630" s="146" t="e">
        <x:f>IF($A630="","",[1]!thsiFinD("ths_adjustment_nv_fund",I$3,$A630))</x:f>
        <x:v>#NAME?</x:v>
      </x:c>
      <x:c r="J630" s="146" t="e">
        <x:f>IF($A630="","",[1]!thsiFinD("ths_adjustment_nv_fund",J$3,$A630))</x:f>
        <x:v>#NAME?</x:v>
      </x:c>
      <x:c r="K630" s="146" t="e">
        <x:f>IF($A630="","",[1]!thsiFinD("ths_adjustment_nv_fund",K$3,$A630))</x:f>
        <x:v>#NAME?</x:v>
      </x:c>
      <x:c r="L630" s="146" t="e">
        <x:f>IF($A630="","",[1]!thsiFinD("ths_adjustment_nv_fund",L$3,$A630))</x:f>
        <x:v>#NAME?</x:v>
      </x:c>
      <x:c r="M630" s="146" t="e">
        <x:f>IF($A630="","",[1]!thsiFinD("ths_adjustment_nv_fund",M$3,$A630))</x:f>
        <x:v>#NAME?</x:v>
      </x:c>
      <x:c r="N630" s="146" t="e">
        <x:f>IF($A630="","",[1]!thsiFinD("ths_adjustment_nv_fund",N$3,$A630))</x:f>
        <x:v>#NAME?</x:v>
      </x:c>
      <x:c r="O630" s="146" t="e">
        <x:f>IF($A630="","",[1]!thsiFinD("ths_adjustment_nv_fund",O$3,$A630))</x:f>
        <x:v>#NAME?</x:v>
      </x:c>
      <x:c r="P630" s="146" t="e">
        <x:f>IF($A630="","",[1]!thsiFinD("ths_adjustment_nv_fund",P$3,$A630))</x:f>
        <x:v>#NAME?</x:v>
      </x:c>
      <x:c r="Q630" s="146" t="e">
        <x:f>IF($A630="","",[1]!thsiFinD("ths_adjustment_nv_fund",Q$3,$A630))</x:f>
        <x:v>#NAME?</x:v>
      </x:c>
      <x:c r="R630" s="146" t="e">
        <x:f>IF($A630="","",[1]!thsiFinD("ths_adjustment_nv_fund",R$3,$A630))</x:f>
        <x:v>#NAME?</x:v>
      </x:c>
      <x:c r="S630" s="146" t="e">
        <x:f>IF($A630="","",[1]!thsiFinD("ths_adjustment_nv_fund",S$3,$A630))</x:f>
        <x:v>#NAME?</x:v>
      </x:c>
      <x:c r="T630" s="146" t="e">
        <x:f>IF($A630="","",[1]!thsiFinD("ths_adjustment_nv_fund",T$3,$A630))</x:f>
        <x:v>#NAME?</x:v>
      </x:c>
      <x:c r="U630" s="146" t="e">
        <x:f>IF($A630="","",[1]!thsiFinD("ths_adjustment_nv_fund",U$3,$A630))</x:f>
        <x:v>#NAME?</x:v>
      </x:c>
      <x:c r="V630" s="146" t="e">
        <x:f>IF($A630="","",[1]!thsiFinD("ths_adjustment_nv_fund",V$3,$A630))</x:f>
        <x:v>#NAME?</x:v>
      </x:c>
      <x:c r="W630" s="146" t="e">
        <x:f>IF($A630="","",[1]!thsiFinD("ths_adjustment_nv_fund",W$3,$A630))</x:f>
        <x:v>#NAME?</x:v>
      </x:c>
      <x:c r="X630" s="146" t="e">
        <x:f>IF($A630="","",[1]!thsiFinD("ths_adjustment_nv_fund",X$3,$A630))</x:f>
        <x:v>#NAME?</x:v>
      </x:c>
      <x:c r="Y630" s="146" t="e">
        <x:f>IF($A630="","",[1]!thsiFinD("ths_adjustment_nv_fund",Y$3,$A630))</x:f>
        <x:v>#NAME?</x:v>
      </x:c>
      <x:c r="Z630" s="146" t="e">
        <x:f>IF($A630="","",[1]!thsiFinD("ths_adjustment_nv_fund",Z$3,$A630))</x:f>
        <x:v>#NAME?</x:v>
      </x:c>
      <x:c r="AA630" s="146" t="e">
        <x:f>IF($A630="","",[1]!thsiFinD("ths_adjustment_nv_fund",AA$3,$A630))</x:f>
        <x:v>#NAME?</x:v>
      </x:c>
    </x:row>
    <x:row r="631">
      <x:c r="B631" s="146" t="e">
        <x:f>IF($A631="","",[1]!thsiFinD("ths_adjustment_nv_fund",B$3,$A631))</x:f>
        <x:v>#NAME?</x:v>
      </x:c>
      <x:c r="C631" s="146" t="e">
        <x:f>IF($A631="","",[1]!thsiFinD("ths_adjustment_nv_fund",C$3,$A631))</x:f>
        <x:v>#NAME?</x:v>
      </x:c>
      <x:c r="D631" s="146" t="e">
        <x:f>IF($A631="","",[1]!thsiFinD("ths_adjustment_nv_fund",D$3,$A631))</x:f>
        <x:v>#NAME?</x:v>
      </x:c>
      <x:c r="E631" s="146" t="e">
        <x:f>IF($A631="","",[1]!thsiFinD("ths_adjustment_nv_fund",E$3,$A631))</x:f>
        <x:v>#NAME?</x:v>
      </x:c>
      <x:c r="F631" s="146" t="e">
        <x:f>IF($A631="","",[1]!thsiFinD("ths_adjustment_nv_fund",F$3,$A631))</x:f>
        <x:v>#NAME?</x:v>
      </x:c>
      <x:c r="G631" s="146" t="e">
        <x:f>IF($A631="","",[1]!thsiFinD("ths_adjustment_nv_fund",G$3,$A631))</x:f>
        <x:v>#NAME?</x:v>
      </x:c>
      <x:c r="H631" s="146" t="e">
        <x:f>IF($A631="","",[1]!thsiFinD("ths_adjustment_nv_fund",H$3,$A631))</x:f>
        <x:v>#NAME?</x:v>
      </x:c>
      <x:c r="I631" s="146" t="e">
        <x:f>IF($A631="","",[1]!thsiFinD("ths_adjustment_nv_fund",I$3,$A631))</x:f>
        <x:v>#NAME?</x:v>
      </x:c>
      <x:c r="J631" s="146" t="e">
        <x:f>IF($A631="","",[1]!thsiFinD("ths_adjustment_nv_fund",J$3,$A631))</x:f>
        <x:v>#NAME?</x:v>
      </x:c>
      <x:c r="K631" s="146" t="e">
        <x:f>IF($A631="","",[1]!thsiFinD("ths_adjustment_nv_fund",K$3,$A631))</x:f>
        <x:v>#NAME?</x:v>
      </x:c>
      <x:c r="L631" s="146" t="e">
        <x:f>IF($A631="","",[1]!thsiFinD("ths_adjustment_nv_fund",L$3,$A631))</x:f>
        <x:v>#NAME?</x:v>
      </x:c>
      <x:c r="M631" s="146" t="e">
        <x:f>IF($A631="","",[1]!thsiFinD("ths_adjustment_nv_fund",M$3,$A631))</x:f>
        <x:v>#NAME?</x:v>
      </x:c>
      <x:c r="N631" s="146" t="e">
        <x:f>IF($A631="","",[1]!thsiFinD("ths_adjustment_nv_fund",N$3,$A631))</x:f>
        <x:v>#NAME?</x:v>
      </x:c>
      <x:c r="O631" s="146" t="e">
        <x:f>IF($A631="","",[1]!thsiFinD("ths_adjustment_nv_fund",O$3,$A631))</x:f>
        <x:v>#NAME?</x:v>
      </x:c>
      <x:c r="P631" s="146" t="e">
        <x:f>IF($A631="","",[1]!thsiFinD("ths_adjustment_nv_fund",P$3,$A631))</x:f>
        <x:v>#NAME?</x:v>
      </x:c>
      <x:c r="Q631" s="146" t="e">
        <x:f>IF($A631="","",[1]!thsiFinD("ths_adjustment_nv_fund",Q$3,$A631))</x:f>
        <x:v>#NAME?</x:v>
      </x:c>
      <x:c r="R631" s="146" t="e">
        <x:f>IF($A631="","",[1]!thsiFinD("ths_adjustment_nv_fund",R$3,$A631))</x:f>
        <x:v>#NAME?</x:v>
      </x:c>
      <x:c r="S631" s="146" t="e">
        <x:f>IF($A631="","",[1]!thsiFinD("ths_adjustment_nv_fund",S$3,$A631))</x:f>
        <x:v>#NAME?</x:v>
      </x:c>
      <x:c r="T631" s="146" t="e">
        <x:f>IF($A631="","",[1]!thsiFinD("ths_adjustment_nv_fund",T$3,$A631))</x:f>
        <x:v>#NAME?</x:v>
      </x:c>
      <x:c r="U631" s="146" t="e">
        <x:f>IF($A631="","",[1]!thsiFinD("ths_adjustment_nv_fund",U$3,$A631))</x:f>
        <x:v>#NAME?</x:v>
      </x:c>
      <x:c r="V631" s="146" t="e">
        <x:f>IF($A631="","",[1]!thsiFinD("ths_adjustment_nv_fund",V$3,$A631))</x:f>
        <x:v>#NAME?</x:v>
      </x:c>
      <x:c r="W631" s="146" t="e">
        <x:f>IF($A631="","",[1]!thsiFinD("ths_adjustment_nv_fund",W$3,$A631))</x:f>
        <x:v>#NAME?</x:v>
      </x:c>
      <x:c r="X631" s="146" t="e">
        <x:f>IF($A631="","",[1]!thsiFinD("ths_adjustment_nv_fund",X$3,$A631))</x:f>
        <x:v>#NAME?</x:v>
      </x:c>
      <x:c r="Y631" s="146" t="e">
        <x:f>IF($A631="","",[1]!thsiFinD("ths_adjustment_nv_fund",Y$3,$A631))</x:f>
        <x:v>#NAME?</x:v>
      </x:c>
      <x:c r="Z631" s="146" t="e">
        <x:f>IF($A631="","",[1]!thsiFinD("ths_adjustment_nv_fund",Z$3,$A631))</x:f>
        <x:v>#NAME?</x:v>
      </x:c>
      <x:c r="AA631" s="146" t="e">
        <x:f>IF($A631="","",[1]!thsiFinD("ths_adjustment_nv_fund",AA$3,$A631))</x:f>
        <x:v>#NAME?</x:v>
      </x:c>
    </x:row>
    <x:row r="632">
      <x:c r="B632" s="146" t="e">
        <x:f>IF($A632="","",[1]!thsiFinD("ths_adjustment_nv_fund",B$3,$A632))</x:f>
        <x:v>#NAME?</x:v>
      </x:c>
      <x:c r="C632" s="146" t="e">
        <x:f>IF($A632="","",[1]!thsiFinD("ths_adjustment_nv_fund",C$3,$A632))</x:f>
        <x:v>#NAME?</x:v>
      </x:c>
      <x:c r="D632" s="146" t="e">
        <x:f>IF($A632="","",[1]!thsiFinD("ths_adjustment_nv_fund",D$3,$A632))</x:f>
        <x:v>#NAME?</x:v>
      </x:c>
      <x:c r="E632" s="146" t="e">
        <x:f>IF($A632="","",[1]!thsiFinD("ths_adjustment_nv_fund",E$3,$A632))</x:f>
        <x:v>#NAME?</x:v>
      </x:c>
      <x:c r="F632" s="146" t="e">
        <x:f>IF($A632="","",[1]!thsiFinD("ths_adjustment_nv_fund",F$3,$A632))</x:f>
        <x:v>#NAME?</x:v>
      </x:c>
      <x:c r="G632" s="146" t="e">
        <x:f>IF($A632="","",[1]!thsiFinD("ths_adjustment_nv_fund",G$3,$A632))</x:f>
        <x:v>#NAME?</x:v>
      </x:c>
      <x:c r="H632" s="146" t="e">
        <x:f>IF($A632="","",[1]!thsiFinD("ths_adjustment_nv_fund",H$3,$A632))</x:f>
        <x:v>#NAME?</x:v>
      </x:c>
      <x:c r="I632" s="146" t="e">
        <x:f>IF($A632="","",[1]!thsiFinD("ths_adjustment_nv_fund",I$3,$A632))</x:f>
        <x:v>#NAME?</x:v>
      </x:c>
      <x:c r="J632" s="146" t="e">
        <x:f>IF($A632="","",[1]!thsiFinD("ths_adjustment_nv_fund",J$3,$A632))</x:f>
        <x:v>#NAME?</x:v>
      </x:c>
      <x:c r="K632" s="146" t="e">
        <x:f>IF($A632="","",[1]!thsiFinD("ths_adjustment_nv_fund",K$3,$A632))</x:f>
        <x:v>#NAME?</x:v>
      </x:c>
      <x:c r="L632" s="146" t="e">
        <x:f>IF($A632="","",[1]!thsiFinD("ths_adjustment_nv_fund",L$3,$A632))</x:f>
        <x:v>#NAME?</x:v>
      </x:c>
      <x:c r="M632" s="146" t="e">
        <x:f>IF($A632="","",[1]!thsiFinD("ths_adjustment_nv_fund",M$3,$A632))</x:f>
        <x:v>#NAME?</x:v>
      </x:c>
      <x:c r="N632" s="146" t="e">
        <x:f>IF($A632="","",[1]!thsiFinD("ths_adjustment_nv_fund",N$3,$A632))</x:f>
        <x:v>#NAME?</x:v>
      </x:c>
      <x:c r="O632" s="146" t="e">
        <x:f>IF($A632="","",[1]!thsiFinD("ths_adjustment_nv_fund",O$3,$A632))</x:f>
        <x:v>#NAME?</x:v>
      </x:c>
      <x:c r="P632" s="146" t="e">
        <x:f>IF($A632="","",[1]!thsiFinD("ths_adjustment_nv_fund",P$3,$A632))</x:f>
        <x:v>#NAME?</x:v>
      </x:c>
      <x:c r="Q632" s="146" t="e">
        <x:f>IF($A632="","",[1]!thsiFinD("ths_adjustment_nv_fund",Q$3,$A632))</x:f>
        <x:v>#NAME?</x:v>
      </x:c>
      <x:c r="R632" s="146" t="e">
        <x:f>IF($A632="","",[1]!thsiFinD("ths_adjustment_nv_fund",R$3,$A632))</x:f>
        <x:v>#NAME?</x:v>
      </x:c>
      <x:c r="S632" s="146" t="e">
        <x:f>IF($A632="","",[1]!thsiFinD("ths_adjustment_nv_fund",S$3,$A632))</x:f>
        <x:v>#NAME?</x:v>
      </x:c>
      <x:c r="T632" s="146" t="e">
        <x:f>IF($A632="","",[1]!thsiFinD("ths_adjustment_nv_fund",T$3,$A632))</x:f>
        <x:v>#NAME?</x:v>
      </x:c>
      <x:c r="U632" s="146" t="e">
        <x:f>IF($A632="","",[1]!thsiFinD("ths_adjustment_nv_fund",U$3,$A632))</x:f>
        <x:v>#NAME?</x:v>
      </x:c>
      <x:c r="V632" s="146" t="e">
        <x:f>IF($A632="","",[1]!thsiFinD("ths_adjustment_nv_fund",V$3,$A632))</x:f>
        <x:v>#NAME?</x:v>
      </x:c>
      <x:c r="W632" s="146" t="e">
        <x:f>IF($A632="","",[1]!thsiFinD("ths_adjustment_nv_fund",W$3,$A632))</x:f>
        <x:v>#NAME?</x:v>
      </x:c>
      <x:c r="X632" s="146" t="e">
        <x:f>IF($A632="","",[1]!thsiFinD("ths_adjustment_nv_fund",X$3,$A632))</x:f>
        <x:v>#NAME?</x:v>
      </x:c>
      <x:c r="Y632" s="146" t="e">
        <x:f>IF($A632="","",[1]!thsiFinD("ths_adjustment_nv_fund",Y$3,$A632))</x:f>
        <x:v>#NAME?</x:v>
      </x:c>
      <x:c r="Z632" s="146" t="e">
        <x:f>IF($A632="","",[1]!thsiFinD("ths_adjustment_nv_fund",Z$3,$A632))</x:f>
        <x:v>#NAME?</x:v>
      </x:c>
      <x:c r="AA632" s="146" t="e">
        <x:f>IF($A632="","",[1]!thsiFinD("ths_adjustment_nv_fund",AA$3,$A632))</x:f>
        <x:v>#NAME?</x:v>
      </x:c>
    </x:row>
    <x:row r="633">
      <x:c r="B633" s="146" t="e">
        <x:f>IF($A633="","",[1]!thsiFinD("ths_adjustment_nv_fund",B$3,$A633))</x:f>
        <x:v>#NAME?</x:v>
      </x:c>
      <x:c r="C633" s="146" t="e">
        <x:f>IF($A633="","",[1]!thsiFinD("ths_adjustment_nv_fund",C$3,$A633))</x:f>
        <x:v>#NAME?</x:v>
      </x:c>
      <x:c r="D633" s="146" t="e">
        <x:f>IF($A633="","",[1]!thsiFinD("ths_adjustment_nv_fund",D$3,$A633))</x:f>
        <x:v>#NAME?</x:v>
      </x:c>
      <x:c r="E633" s="146" t="e">
        <x:f>IF($A633="","",[1]!thsiFinD("ths_adjustment_nv_fund",E$3,$A633))</x:f>
        <x:v>#NAME?</x:v>
      </x:c>
      <x:c r="F633" s="146" t="e">
        <x:f>IF($A633="","",[1]!thsiFinD("ths_adjustment_nv_fund",F$3,$A633))</x:f>
        <x:v>#NAME?</x:v>
      </x:c>
      <x:c r="G633" s="146" t="e">
        <x:f>IF($A633="","",[1]!thsiFinD("ths_adjustment_nv_fund",G$3,$A633))</x:f>
        <x:v>#NAME?</x:v>
      </x:c>
      <x:c r="H633" s="146" t="e">
        <x:f>IF($A633="","",[1]!thsiFinD("ths_adjustment_nv_fund",H$3,$A633))</x:f>
        <x:v>#NAME?</x:v>
      </x:c>
      <x:c r="I633" s="146" t="e">
        <x:f>IF($A633="","",[1]!thsiFinD("ths_adjustment_nv_fund",I$3,$A633))</x:f>
        <x:v>#NAME?</x:v>
      </x:c>
      <x:c r="J633" s="146" t="e">
        <x:f>IF($A633="","",[1]!thsiFinD("ths_adjustment_nv_fund",J$3,$A633))</x:f>
        <x:v>#NAME?</x:v>
      </x:c>
      <x:c r="K633" s="146" t="e">
        <x:f>IF($A633="","",[1]!thsiFinD("ths_adjustment_nv_fund",K$3,$A633))</x:f>
        <x:v>#NAME?</x:v>
      </x:c>
      <x:c r="L633" s="146" t="e">
        <x:f>IF($A633="","",[1]!thsiFinD("ths_adjustment_nv_fund",L$3,$A633))</x:f>
        <x:v>#NAME?</x:v>
      </x:c>
      <x:c r="M633" s="146" t="e">
        <x:f>IF($A633="","",[1]!thsiFinD("ths_adjustment_nv_fund",M$3,$A633))</x:f>
        <x:v>#NAME?</x:v>
      </x:c>
      <x:c r="N633" s="146" t="e">
        <x:f>IF($A633="","",[1]!thsiFinD("ths_adjustment_nv_fund",N$3,$A633))</x:f>
        <x:v>#NAME?</x:v>
      </x:c>
      <x:c r="O633" s="146" t="e">
        <x:f>IF($A633="","",[1]!thsiFinD("ths_adjustment_nv_fund",O$3,$A633))</x:f>
        <x:v>#NAME?</x:v>
      </x:c>
      <x:c r="P633" s="146" t="e">
        <x:f>IF($A633="","",[1]!thsiFinD("ths_adjustment_nv_fund",P$3,$A633))</x:f>
        <x:v>#NAME?</x:v>
      </x:c>
      <x:c r="Q633" s="146" t="e">
        <x:f>IF($A633="","",[1]!thsiFinD("ths_adjustment_nv_fund",Q$3,$A633))</x:f>
        <x:v>#NAME?</x:v>
      </x:c>
      <x:c r="R633" s="146" t="e">
        <x:f>IF($A633="","",[1]!thsiFinD("ths_adjustment_nv_fund",R$3,$A633))</x:f>
        <x:v>#NAME?</x:v>
      </x:c>
      <x:c r="S633" s="146" t="e">
        <x:f>IF($A633="","",[1]!thsiFinD("ths_adjustment_nv_fund",S$3,$A633))</x:f>
        <x:v>#NAME?</x:v>
      </x:c>
      <x:c r="T633" s="146" t="e">
        <x:f>IF($A633="","",[1]!thsiFinD("ths_adjustment_nv_fund",T$3,$A633))</x:f>
        <x:v>#NAME?</x:v>
      </x:c>
      <x:c r="U633" s="146" t="e">
        <x:f>IF($A633="","",[1]!thsiFinD("ths_adjustment_nv_fund",U$3,$A633))</x:f>
        <x:v>#NAME?</x:v>
      </x:c>
      <x:c r="V633" s="146" t="e">
        <x:f>IF($A633="","",[1]!thsiFinD("ths_adjustment_nv_fund",V$3,$A633))</x:f>
        <x:v>#NAME?</x:v>
      </x:c>
      <x:c r="W633" s="146" t="e">
        <x:f>IF($A633="","",[1]!thsiFinD("ths_adjustment_nv_fund",W$3,$A633))</x:f>
        <x:v>#NAME?</x:v>
      </x:c>
      <x:c r="X633" s="146" t="e">
        <x:f>IF($A633="","",[1]!thsiFinD("ths_adjustment_nv_fund",X$3,$A633))</x:f>
        <x:v>#NAME?</x:v>
      </x:c>
      <x:c r="Y633" s="146" t="e">
        <x:f>IF($A633="","",[1]!thsiFinD("ths_adjustment_nv_fund",Y$3,$A633))</x:f>
        <x:v>#NAME?</x:v>
      </x:c>
      <x:c r="Z633" s="146" t="e">
        <x:f>IF($A633="","",[1]!thsiFinD("ths_adjustment_nv_fund",Z$3,$A633))</x:f>
        <x:v>#NAME?</x:v>
      </x:c>
      <x:c r="AA633" s="146" t="e">
        <x:f>IF($A633="","",[1]!thsiFinD("ths_adjustment_nv_fund",AA$3,$A633))</x:f>
        <x:v>#NAME?</x:v>
      </x:c>
    </x:row>
    <x:row r="634">
      <x:c r="B634" s="146" t="e">
        <x:f>IF($A634="","",[1]!thsiFinD("ths_adjustment_nv_fund",B$3,$A634))</x:f>
        <x:v>#NAME?</x:v>
      </x:c>
      <x:c r="C634" s="146" t="e">
        <x:f>IF($A634="","",[1]!thsiFinD("ths_adjustment_nv_fund",C$3,$A634))</x:f>
        <x:v>#NAME?</x:v>
      </x:c>
      <x:c r="D634" s="146" t="e">
        <x:f>IF($A634="","",[1]!thsiFinD("ths_adjustment_nv_fund",D$3,$A634))</x:f>
        <x:v>#NAME?</x:v>
      </x:c>
      <x:c r="E634" s="146" t="e">
        <x:f>IF($A634="","",[1]!thsiFinD("ths_adjustment_nv_fund",E$3,$A634))</x:f>
        <x:v>#NAME?</x:v>
      </x:c>
      <x:c r="F634" s="146" t="e">
        <x:f>IF($A634="","",[1]!thsiFinD("ths_adjustment_nv_fund",F$3,$A634))</x:f>
        <x:v>#NAME?</x:v>
      </x:c>
      <x:c r="G634" s="146" t="e">
        <x:f>IF($A634="","",[1]!thsiFinD("ths_adjustment_nv_fund",G$3,$A634))</x:f>
        <x:v>#NAME?</x:v>
      </x:c>
      <x:c r="H634" s="146" t="e">
        <x:f>IF($A634="","",[1]!thsiFinD("ths_adjustment_nv_fund",H$3,$A634))</x:f>
        <x:v>#NAME?</x:v>
      </x:c>
      <x:c r="I634" s="146" t="e">
        <x:f>IF($A634="","",[1]!thsiFinD("ths_adjustment_nv_fund",I$3,$A634))</x:f>
        <x:v>#NAME?</x:v>
      </x:c>
      <x:c r="J634" s="146" t="e">
        <x:f>IF($A634="","",[1]!thsiFinD("ths_adjustment_nv_fund",J$3,$A634))</x:f>
        <x:v>#NAME?</x:v>
      </x:c>
      <x:c r="K634" s="146" t="e">
        <x:f>IF($A634="","",[1]!thsiFinD("ths_adjustment_nv_fund",K$3,$A634))</x:f>
        <x:v>#NAME?</x:v>
      </x:c>
      <x:c r="L634" s="146" t="e">
        <x:f>IF($A634="","",[1]!thsiFinD("ths_adjustment_nv_fund",L$3,$A634))</x:f>
        <x:v>#NAME?</x:v>
      </x:c>
      <x:c r="M634" s="146" t="e">
        <x:f>IF($A634="","",[1]!thsiFinD("ths_adjustment_nv_fund",M$3,$A634))</x:f>
        <x:v>#NAME?</x:v>
      </x:c>
      <x:c r="N634" s="146" t="e">
        <x:f>IF($A634="","",[1]!thsiFinD("ths_adjustment_nv_fund",N$3,$A634))</x:f>
        <x:v>#NAME?</x:v>
      </x:c>
      <x:c r="O634" s="146" t="e">
        <x:f>IF($A634="","",[1]!thsiFinD("ths_adjustment_nv_fund",O$3,$A634))</x:f>
        <x:v>#NAME?</x:v>
      </x:c>
      <x:c r="P634" s="146" t="e">
        <x:f>IF($A634="","",[1]!thsiFinD("ths_adjustment_nv_fund",P$3,$A634))</x:f>
        <x:v>#NAME?</x:v>
      </x:c>
      <x:c r="Q634" s="146" t="e">
        <x:f>IF($A634="","",[1]!thsiFinD("ths_adjustment_nv_fund",Q$3,$A634))</x:f>
        <x:v>#NAME?</x:v>
      </x:c>
      <x:c r="R634" s="146" t="e">
        <x:f>IF($A634="","",[1]!thsiFinD("ths_adjustment_nv_fund",R$3,$A634))</x:f>
        <x:v>#NAME?</x:v>
      </x:c>
      <x:c r="S634" s="146" t="e">
        <x:f>IF($A634="","",[1]!thsiFinD("ths_adjustment_nv_fund",S$3,$A634))</x:f>
        <x:v>#NAME?</x:v>
      </x:c>
      <x:c r="T634" s="146" t="e">
        <x:f>IF($A634="","",[1]!thsiFinD("ths_adjustment_nv_fund",T$3,$A634))</x:f>
        <x:v>#NAME?</x:v>
      </x:c>
      <x:c r="U634" s="146" t="e">
        <x:f>IF($A634="","",[1]!thsiFinD("ths_adjustment_nv_fund",U$3,$A634))</x:f>
        <x:v>#NAME?</x:v>
      </x:c>
      <x:c r="V634" s="146" t="e">
        <x:f>IF($A634="","",[1]!thsiFinD("ths_adjustment_nv_fund",V$3,$A634))</x:f>
        <x:v>#NAME?</x:v>
      </x:c>
      <x:c r="W634" s="146" t="e">
        <x:f>IF($A634="","",[1]!thsiFinD("ths_adjustment_nv_fund",W$3,$A634))</x:f>
        <x:v>#NAME?</x:v>
      </x:c>
      <x:c r="X634" s="146" t="e">
        <x:f>IF($A634="","",[1]!thsiFinD("ths_adjustment_nv_fund",X$3,$A634))</x:f>
        <x:v>#NAME?</x:v>
      </x:c>
      <x:c r="Y634" s="146" t="e">
        <x:f>IF($A634="","",[1]!thsiFinD("ths_adjustment_nv_fund",Y$3,$A634))</x:f>
        <x:v>#NAME?</x:v>
      </x:c>
      <x:c r="Z634" s="146" t="e">
        <x:f>IF($A634="","",[1]!thsiFinD("ths_adjustment_nv_fund",Z$3,$A634))</x:f>
        <x:v>#NAME?</x:v>
      </x:c>
      <x:c r="AA634" s="146" t="e">
        <x:f>IF($A634="","",[1]!thsiFinD("ths_adjustment_nv_fund",AA$3,$A634))</x:f>
        <x:v>#NAME?</x:v>
      </x:c>
    </x:row>
    <x:row r="635">
      <x:c r="B635" s="146" t="e">
        <x:f>IF($A635="","",[1]!thsiFinD("ths_adjustment_nv_fund",B$3,$A635))</x:f>
        <x:v>#NAME?</x:v>
      </x:c>
      <x:c r="C635" s="146" t="e">
        <x:f>IF($A635="","",[1]!thsiFinD("ths_adjustment_nv_fund",C$3,$A635))</x:f>
        <x:v>#NAME?</x:v>
      </x:c>
      <x:c r="D635" s="146" t="e">
        <x:f>IF($A635="","",[1]!thsiFinD("ths_adjustment_nv_fund",D$3,$A635))</x:f>
        <x:v>#NAME?</x:v>
      </x:c>
      <x:c r="E635" s="146" t="e">
        <x:f>IF($A635="","",[1]!thsiFinD("ths_adjustment_nv_fund",E$3,$A635))</x:f>
        <x:v>#NAME?</x:v>
      </x:c>
      <x:c r="F635" s="146" t="e">
        <x:f>IF($A635="","",[1]!thsiFinD("ths_adjustment_nv_fund",F$3,$A635))</x:f>
        <x:v>#NAME?</x:v>
      </x:c>
      <x:c r="G635" s="146" t="e">
        <x:f>IF($A635="","",[1]!thsiFinD("ths_adjustment_nv_fund",G$3,$A635))</x:f>
        <x:v>#NAME?</x:v>
      </x:c>
      <x:c r="H635" s="146" t="e">
        <x:f>IF($A635="","",[1]!thsiFinD("ths_adjustment_nv_fund",H$3,$A635))</x:f>
        <x:v>#NAME?</x:v>
      </x:c>
      <x:c r="I635" s="146" t="e">
        <x:f>IF($A635="","",[1]!thsiFinD("ths_adjustment_nv_fund",I$3,$A635))</x:f>
        <x:v>#NAME?</x:v>
      </x:c>
      <x:c r="J635" s="146" t="e">
        <x:f>IF($A635="","",[1]!thsiFinD("ths_adjustment_nv_fund",J$3,$A635))</x:f>
        <x:v>#NAME?</x:v>
      </x:c>
      <x:c r="K635" s="146" t="e">
        <x:f>IF($A635="","",[1]!thsiFinD("ths_adjustment_nv_fund",K$3,$A635))</x:f>
        <x:v>#NAME?</x:v>
      </x:c>
      <x:c r="L635" s="146" t="e">
        <x:f>IF($A635="","",[1]!thsiFinD("ths_adjustment_nv_fund",L$3,$A635))</x:f>
        <x:v>#NAME?</x:v>
      </x:c>
      <x:c r="M635" s="146" t="e">
        <x:f>IF($A635="","",[1]!thsiFinD("ths_adjustment_nv_fund",M$3,$A635))</x:f>
        <x:v>#NAME?</x:v>
      </x:c>
      <x:c r="N635" s="146" t="e">
        <x:f>IF($A635="","",[1]!thsiFinD("ths_adjustment_nv_fund",N$3,$A635))</x:f>
        <x:v>#NAME?</x:v>
      </x:c>
      <x:c r="O635" s="146" t="e">
        <x:f>IF($A635="","",[1]!thsiFinD("ths_adjustment_nv_fund",O$3,$A635))</x:f>
        <x:v>#NAME?</x:v>
      </x:c>
      <x:c r="P635" s="146" t="e">
        <x:f>IF($A635="","",[1]!thsiFinD("ths_adjustment_nv_fund",P$3,$A635))</x:f>
        <x:v>#NAME?</x:v>
      </x:c>
      <x:c r="Q635" s="146" t="e">
        <x:f>IF($A635="","",[1]!thsiFinD("ths_adjustment_nv_fund",Q$3,$A635))</x:f>
        <x:v>#NAME?</x:v>
      </x:c>
      <x:c r="R635" s="146" t="e">
        <x:f>IF($A635="","",[1]!thsiFinD("ths_adjustment_nv_fund",R$3,$A635))</x:f>
        <x:v>#NAME?</x:v>
      </x:c>
      <x:c r="S635" s="146" t="e">
        <x:f>IF($A635="","",[1]!thsiFinD("ths_adjustment_nv_fund",S$3,$A635))</x:f>
        <x:v>#NAME?</x:v>
      </x:c>
      <x:c r="T635" s="146" t="e">
        <x:f>IF($A635="","",[1]!thsiFinD("ths_adjustment_nv_fund",T$3,$A635))</x:f>
        <x:v>#NAME?</x:v>
      </x:c>
      <x:c r="U635" s="146" t="e">
        <x:f>IF($A635="","",[1]!thsiFinD("ths_adjustment_nv_fund",U$3,$A635))</x:f>
        <x:v>#NAME?</x:v>
      </x:c>
      <x:c r="V635" s="146" t="e">
        <x:f>IF($A635="","",[1]!thsiFinD("ths_adjustment_nv_fund",V$3,$A635))</x:f>
        <x:v>#NAME?</x:v>
      </x:c>
      <x:c r="W635" s="146" t="e">
        <x:f>IF($A635="","",[1]!thsiFinD("ths_adjustment_nv_fund",W$3,$A635))</x:f>
        <x:v>#NAME?</x:v>
      </x:c>
      <x:c r="X635" s="146" t="e">
        <x:f>IF($A635="","",[1]!thsiFinD("ths_adjustment_nv_fund",X$3,$A635))</x:f>
        <x:v>#NAME?</x:v>
      </x:c>
      <x:c r="Y635" s="146" t="e">
        <x:f>IF($A635="","",[1]!thsiFinD("ths_adjustment_nv_fund",Y$3,$A635))</x:f>
        <x:v>#NAME?</x:v>
      </x:c>
      <x:c r="Z635" s="146" t="e">
        <x:f>IF($A635="","",[1]!thsiFinD("ths_adjustment_nv_fund",Z$3,$A635))</x:f>
        <x:v>#NAME?</x:v>
      </x:c>
      <x:c r="AA635" s="146" t="e">
        <x:f>IF($A635="","",[1]!thsiFinD("ths_adjustment_nv_fund",AA$3,$A635))</x:f>
        <x:v>#NAME?</x:v>
      </x:c>
    </x:row>
    <x:row r="636">
      <x:c r="B636" s="146" t="e">
        <x:f>IF($A636="","",[1]!thsiFinD("ths_adjustment_nv_fund",B$3,$A636))</x:f>
        <x:v>#NAME?</x:v>
      </x:c>
      <x:c r="C636" s="146" t="e">
        <x:f>IF($A636="","",[1]!thsiFinD("ths_adjustment_nv_fund",C$3,$A636))</x:f>
        <x:v>#NAME?</x:v>
      </x:c>
      <x:c r="D636" s="146" t="e">
        <x:f>IF($A636="","",[1]!thsiFinD("ths_adjustment_nv_fund",D$3,$A636))</x:f>
        <x:v>#NAME?</x:v>
      </x:c>
      <x:c r="E636" s="146" t="e">
        <x:f>IF($A636="","",[1]!thsiFinD("ths_adjustment_nv_fund",E$3,$A636))</x:f>
        <x:v>#NAME?</x:v>
      </x:c>
      <x:c r="F636" s="146" t="e">
        <x:f>IF($A636="","",[1]!thsiFinD("ths_adjustment_nv_fund",F$3,$A636))</x:f>
        <x:v>#NAME?</x:v>
      </x:c>
      <x:c r="G636" s="146" t="e">
        <x:f>IF($A636="","",[1]!thsiFinD("ths_adjustment_nv_fund",G$3,$A636))</x:f>
        <x:v>#NAME?</x:v>
      </x:c>
      <x:c r="H636" s="146" t="e">
        <x:f>IF($A636="","",[1]!thsiFinD("ths_adjustment_nv_fund",H$3,$A636))</x:f>
        <x:v>#NAME?</x:v>
      </x:c>
      <x:c r="I636" s="146" t="e">
        <x:f>IF($A636="","",[1]!thsiFinD("ths_adjustment_nv_fund",I$3,$A636))</x:f>
        <x:v>#NAME?</x:v>
      </x:c>
      <x:c r="J636" s="146" t="e">
        <x:f>IF($A636="","",[1]!thsiFinD("ths_adjustment_nv_fund",J$3,$A636))</x:f>
        <x:v>#NAME?</x:v>
      </x:c>
      <x:c r="K636" s="146" t="e">
        <x:f>IF($A636="","",[1]!thsiFinD("ths_adjustment_nv_fund",K$3,$A636))</x:f>
        <x:v>#NAME?</x:v>
      </x:c>
      <x:c r="L636" s="146" t="e">
        <x:f>IF($A636="","",[1]!thsiFinD("ths_adjustment_nv_fund",L$3,$A636))</x:f>
        <x:v>#NAME?</x:v>
      </x:c>
      <x:c r="M636" s="146" t="e">
        <x:f>IF($A636="","",[1]!thsiFinD("ths_adjustment_nv_fund",M$3,$A636))</x:f>
        <x:v>#NAME?</x:v>
      </x:c>
      <x:c r="N636" s="146" t="e">
        <x:f>IF($A636="","",[1]!thsiFinD("ths_adjustment_nv_fund",N$3,$A636))</x:f>
        <x:v>#NAME?</x:v>
      </x:c>
      <x:c r="O636" s="146" t="e">
        <x:f>IF($A636="","",[1]!thsiFinD("ths_adjustment_nv_fund",O$3,$A636))</x:f>
        <x:v>#NAME?</x:v>
      </x:c>
      <x:c r="P636" s="146" t="e">
        <x:f>IF($A636="","",[1]!thsiFinD("ths_adjustment_nv_fund",P$3,$A636))</x:f>
        <x:v>#NAME?</x:v>
      </x:c>
      <x:c r="Q636" s="146" t="e">
        <x:f>IF($A636="","",[1]!thsiFinD("ths_adjustment_nv_fund",Q$3,$A636))</x:f>
        <x:v>#NAME?</x:v>
      </x:c>
      <x:c r="R636" s="146" t="e">
        <x:f>IF($A636="","",[1]!thsiFinD("ths_adjustment_nv_fund",R$3,$A636))</x:f>
        <x:v>#NAME?</x:v>
      </x:c>
      <x:c r="S636" s="146" t="e">
        <x:f>IF($A636="","",[1]!thsiFinD("ths_adjustment_nv_fund",S$3,$A636))</x:f>
        <x:v>#NAME?</x:v>
      </x:c>
      <x:c r="T636" s="146" t="e">
        <x:f>IF($A636="","",[1]!thsiFinD("ths_adjustment_nv_fund",T$3,$A636))</x:f>
        <x:v>#NAME?</x:v>
      </x:c>
      <x:c r="U636" s="146" t="e">
        <x:f>IF($A636="","",[1]!thsiFinD("ths_adjustment_nv_fund",U$3,$A636))</x:f>
        <x:v>#NAME?</x:v>
      </x:c>
      <x:c r="V636" s="146" t="e">
        <x:f>IF($A636="","",[1]!thsiFinD("ths_adjustment_nv_fund",V$3,$A636))</x:f>
        <x:v>#NAME?</x:v>
      </x:c>
      <x:c r="W636" s="146" t="e">
        <x:f>IF($A636="","",[1]!thsiFinD("ths_adjustment_nv_fund",W$3,$A636))</x:f>
        <x:v>#NAME?</x:v>
      </x:c>
      <x:c r="X636" s="146" t="e">
        <x:f>IF($A636="","",[1]!thsiFinD("ths_adjustment_nv_fund",X$3,$A636))</x:f>
        <x:v>#NAME?</x:v>
      </x:c>
      <x:c r="Y636" s="146" t="e">
        <x:f>IF($A636="","",[1]!thsiFinD("ths_adjustment_nv_fund",Y$3,$A636))</x:f>
        <x:v>#NAME?</x:v>
      </x:c>
      <x:c r="Z636" s="146" t="e">
        <x:f>IF($A636="","",[1]!thsiFinD("ths_adjustment_nv_fund",Z$3,$A636))</x:f>
        <x:v>#NAME?</x:v>
      </x:c>
      <x:c r="AA636" s="146" t="e">
        <x:f>IF($A636="","",[1]!thsiFinD("ths_adjustment_nv_fund",AA$3,$A636))</x:f>
        <x:v>#NAME?</x:v>
      </x:c>
    </x:row>
    <x:row r="637">
      <x:c r="B637" s="146" t="e">
        <x:f>IF($A637="","",[1]!thsiFinD("ths_adjustment_nv_fund",B$3,$A637))</x:f>
        <x:v>#NAME?</x:v>
      </x:c>
      <x:c r="C637" s="146" t="e">
        <x:f>IF($A637="","",[1]!thsiFinD("ths_adjustment_nv_fund",C$3,$A637))</x:f>
        <x:v>#NAME?</x:v>
      </x:c>
      <x:c r="D637" s="146" t="e">
        <x:f>IF($A637="","",[1]!thsiFinD("ths_adjustment_nv_fund",D$3,$A637))</x:f>
        <x:v>#NAME?</x:v>
      </x:c>
      <x:c r="E637" s="146" t="e">
        <x:f>IF($A637="","",[1]!thsiFinD("ths_adjustment_nv_fund",E$3,$A637))</x:f>
        <x:v>#NAME?</x:v>
      </x:c>
      <x:c r="F637" s="146" t="e">
        <x:f>IF($A637="","",[1]!thsiFinD("ths_adjustment_nv_fund",F$3,$A637))</x:f>
        <x:v>#NAME?</x:v>
      </x:c>
      <x:c r="G637" s="146" t="e">
        <x:f>IF($A637="","",[1]!thsiFinD("ths_adjustment_nv_fund",G$3,$A637))</x:f>
        <x:v>#NAME?</x:v>
      </x:c>
      <x:c r="H637" s="146" t="e">
        <x:f>IF($A637="","",[1]!thsiFinD("ths_adjustment_nv_fund",H$3,$A637))</x:f>
        <x:v>#NAME?</x:v>
      </x:c>
      <x:c r="I637" s="146" t="e">
        <x:f>IF($A637="","",[1]!thsiFinD("ths_adjustment_nv_fund",I$3,$A637))</x:f>
        <x:v>#NAME?</x:v>
      </x:c>
      <x:c r="J637" s="146" t="e">
        <x:f>IF($A637="","",[1]!thsiFinD("ths_adjustment_nv_fund",J$3,$A637))</x:f>
        <x:v>#NAME?</x:v>
      </x:c>
      <x:c r="K637" s="146" t="e">
        <x:f>IF($A637="","",[1]!thsiFinD("ths_adjustment_nv_fund",K$3,$A637))</x:f>
        <x:v>#NAME?</x:v>
      </x:c>
      <x:c r="L637" s="146" t="e">
        <x:f>IF($A637="","",[1]!thsiFinD("ths_adjustment_nv_fund",L$3,$A637))</x:f>
        <x:v>#NAME?</x:v>
      </x:c>
      <x:c r="M637" s="146" t="e">
        <x:f>IF($A637="","",[1]!thsiFinD("ths_adjustment_nv_fund",M$3,$A637))</x:f>
        <x:v>#NAME?</x:v>
      </x:c>
      <x:c r="N637" s="146" t="e">
        <x:f>IF($A637="","",[1]!thsiFinD("ths_adjustment_nv_fund",N$3,$A637))</x:f>
        <x:v>#NAME?</x:v>
      </x:c>
      <x:c r="O637" s="146" t="e">
        <x:f>IF($A637="","",[1]!thsiFinD("ths_adjustment_nv_fund",O$3,$A637))</x:f>
        <x:v>#NAME?</x:v>
      </x:c>
      <x:c r="P637" s="146" t="e">
        <x:f>IF($A637="","",[1]!thsiFinD("ths_adjustment_nv_fund",P$3,$A637))</x:f>
        <x:v>#NAME?</x:v>
      </x:c>
      <x:c r="Q637" s="146" t="e">
        <x:f>IF($A637="","",[1]!thsiFinD("ths_adjustment_nv_fund",Q$3,$A637))</x:f>
        <x:v>#NAME?</x:v>
      </x:c>
      <x:c r="R637" s="146" t="e">
        <x:f>IF($A637="","",[1]!thsiFinD("ths_adjustment_nv_fund",R$3,$A637))</x:f>
        <x:v>#NAME?</x:v>
      </x:c>
      <x:c r="S637" s="146" t="e">
        <x:f>IF($A637="","",[1]!thsiFinD("ths_adjustment_nv_fund",S$3,$A637))</x:f>
        <x:v>#NAME?</x:v>
      </x:c>
      <x:c r="T637" s="146" t="e">
        <x:f>IF($A637="","",[1]!thsiFinD("ths_adjustment_nv_fund",T$3,$A637))</x:f>
        <x:v>#NAME?</x:v>
      </x:c>
      <x:c r="U637" s="146" t="e">
        <x:f>IF($A637="","",[1]!thsiFinD("ths_adjustment_nv_fund",U$3,$A637))</x:f>
        <x:v>#NAME?</x:v>
      </x:c>
      <x:c r="V637" s="146" t="e">
        <x:f>IF($A637="","",[1]!thsiFinD("ths_adjustment_nv_fund",V$3,$A637))</x:f>
        <x:v>#NAME?</x:v>
      </x:c>
      <x:c r="W637" s="146" t="e">
        <x:f>IF($A637="","",[1]!thsiFinD("ths_adjustment_nv_fund",W$3,$A637))</x:f>
        <x:v>#NAME?</x:v>
      </x:c>
      <x:c r="X637" s="146" t="e">
        <x:f>IF($A637="","",[1]!thsiFinD("ths_adjustment_nv_fund",X$3,$A637))</x:f>
        <x:v>#NAME?</x:v>
      </x:c>
      <x:c r="Y637" s="146" t="e">
        <x:f>IF($A637="","",[1]!thsiFinD("ths_adjustment_nv_fund",Y$3,$A637))</x:f>
        <x:v>#NAME?</x:v>
      </x:c>
      <x:c r="Z637" s="146" t="e">
        <x:f>IF($A637="","",[1]!thsiFinD("ths_adjustment_nv_fund",Z$3,$A637))</x:f>
        <x:v>#NAME?</x:v>
      </x:c>
      <x:c r="AA637" s="146" t="e">
        <x:f>IF($A637="","",[1]!thsiFinD("ths_adjustment_nv_fund",AA$3,$A637))</x:f>
        <x:v>#NAME?</x:v>
      </x:c>
    </x:row>
    <x:row r="638">
      <x:c r="B638" s="146" t="e">
        <x:f>IF($A638="","",[1]!thsiFinD("ths_adjustment_nv_fund",B$3,$A638))</x:f>
        <x:v>#NAME?</x:v>
      </x:c>
      <x:c r="C638" s="146" t="e">
        <x:f>IF($A638="","",[1]!thsiFinD("ths_adjustment_nv_fund",C$3,$A638))</x:f>
        <x:v>#NAME?</x:v>
      </x:c>
      <x:c r="D638" s="146" t="e">
        <x:f>IF($A638="","",[1]!thsiFinD("ths_adjustment_nv_fund",D$3,$A638))</x:f>
        <x:v>#NAME?</x:v>
      </x:c>
      <x:c r="E638" s="146" t="e">
        <x:f>IF($A638="","",[1]!thsiFinD("ths_adjustment_nv_fund",E$3,$A638))</x:f>
        <x:v>#NAME?</x:v>
      </x:c>
      <x:c r="F638" s="146" t="e">
        <x:f>IF($A638="","",[1]!thsiFinD("ths_adjustment_nv_fund",F$3,$A638))</x:f>
        <x:v>#NAME?</x:v>
      </x:c>
      <x:c r="G638" s="146" t="e">
        <x:f>IF($A638="","",[1]!thsiFinD("ths_adjustment_nv_fund",G$3,$A638))</x:f>
        <x:v>#NAME?</x:v>
      </x:c>
      <x:c r="H638" s="146" t="e">
        <x:f>IF($A638="","",[1]!thsiFinD("ths_adjustment_nv_fund",H$3,$A638))</x:f>
        <x:v>#NAME?</x:v>
      </x:c>
      <x:c r="I638" s="146" t="e">
        <x:f>IF($A638="","",[1]!thsiFinD("ths_adjustment_nv_fund",I$3,$A638))</x:f>
        <x:v>#NAME?</x:v>
      </x:c>
      <x:c r="J638" s="146" t="e">
        <x:f>IF($A638="","",[1]!thsiFinD("ths_adjustment_nv_fund",J$3,$A638))</x:f>
        <x:v>#NAME?</x:v>
      </x:c>
      <x:c r="K638" s="146" t="e">
        <x:f>IF($A638="","",[1]!thsiFinD("ths_adjustment_nv_fund",K$3,$A638))</x:f>
        <x:v>#NAME?</x:v>
      </x:c>
      <x:c r="L638" s="146" t="e">
        <x:f>IF($A638="","",[1]!thsiFinD("ths_adjustment_nv_fund",L$3,$A638))</x:f>
        <x:v>#NAME?</x:v>
      </x:c>
      <x:c r="M638" s="146" t="e">
        <x:f>IF($A638="","",[1]!thsiFinD("ths_adjustment_nv_fund",M$3,$A638))</x:f>
        <x:v>#NAME?</x:v>
      </x:c>
      <x:c r="N638" s="146" t="e">
        <x:f>IF($A638="","",[1]!thsiFinD("ths_adjustment_nv_fund",N$3,$A638))</x:f>
        <x:v>#NAME?</x:v>
      </x:c>
      <x:c r="O638" s="146" t="e">
        <x:f>IF($A638="","",[1]!thsiFinD("ths_adjustment_nv_fund",O$3,$A638))</x:f>
        <x:v>#NAME?</x:v>
      </x:c>
      <x:c r="P638" s="146" t="e">
        <x:f>IF($A638="","",[1]!thsiFinD("ths_adjustment_nv_fund",P$3,$A638))</x:f>
        <x:v>#NAME?</x:v>
      </x:c>
      <x:c r="Q638" s="146" t="e">
        <x:f>IF($A638="","",[1]!thsiFinD("ths_adjustment_nv_fund",Q$3,$A638))</x:f>
        <x:v>#NAME?</x:v>
      </x:c>
      <x:c r="R638" s="146" t="e">
        <x:f>IF($A638="","",[1]!thsiFinD("ths_adjustment_nv_fund",R$3,$A638))</x:f>
        <x:v>#NAME?</x:v>
      </x:c>
      <x:c r="S638" s="146" t="e">
        <x:f>IF($A638="","",[1]!thsiFinD("ths_adjustment_nv_fund",S$3,$A638))</x:f>
        <x:v>#NAME?</x:v>
      </x:c>
      <x:c r="T638" s="146" t="e">
        <x:f>IF($A638="","",[1]!thsiFinD("ths_adjustment_nv_fund",T$3,$A638))</x:f>
        <x:v>#NAME?</x:v>
      </x:c>
      <x:c r="U638" s="146" t="e">
        <x:f>IF($A638="","",[1]!thsiFinD("ths_adjustment_nv_fund",U$3,$A638))</x:f>
        <x:v>#NAME?</x:v>
      </x:c>
      <x:c r="V638" s="146" t="e">
        <x:f>IF($A638="","",[1]!thsiFinD("ths_adjustment_nv_fund",V$3,$A638))</x:f>
        <x:v>#NAME?</x:v>
      </x:c>
      <x:c r="W638" s="146" t="e">
        <x:f>IF($A638="","",[1]!thsiFinD("ths_adjustment_nv_fund",W$3,$A638))</x:f>
        <x:v>#NAME?</x:v>
      </x:c>
      <x:c r="X638" s="146" t="e">
        <x:f>IF($A638="","",[1]!thsiFinD("ths_adjustment_nv_fund",X$3,$A638))</x:f>
        <x:v>#NAME?</x:v>
      </x:c>
      <x:c r="Y638" s="146" t="e">
        <x:f>IF($A638="","",[1]!thsiFinD("ths_adjustment_nv_fund",Y$3,$A638))</x:f>
        <x:v>#NAME?</x:v>
      </x:c>
      <x:c r="Z638" s="146" t="e">
        <x:f>IF($A638="","",[1]!thsiFinD("ths_adjustment_nv_fund",Z$3,$A638))</x:f>
        <x:v>#NAME?</x:v>
      </x:c>
      <x:c r="AA638" s="146" t="e">
        <x:f>IF($A638="","",[1]!thsiFinD("ths_adjustment_nv_fund",AA$3,$A638))</x:f>
        <x:v>#NAME?</x:v>
      </x:c>
    </x:row>
    <x:row r="639">
      <x:c r="B639" s="146" t="e">
        <x:f>IF($A639="","",[1]!thsiFinD("ths_adjustment_nv_fund",B$3,$A639))</x:f>
        <x:v>#NAME?</x:v>
      </x:c>
      <x:c r="C639" s="146" t="e">
        <x:f>IF($A639="","",[1]!thsiFinD("ths_adjustment_nv_fund",C$3,$A639))</x:f>
        <x:v>#NAME?</x:v>
      </x:c>
      <x:c r="D639" s="146" t="e">
        <x:f>IF($A639="","",[1]!thsiFinD("ths_adjustment_nv_fund",D$3,$A639))</x:f>
        <x:v>#NAME?</x:v>
      </x:c>
      <x:c r="E639" s="146" t="e">
        <x:f>IF($A639="","",[1]!thsiFinD("ths_adjustment_nv_fund",E$3,$A639))</x:f>
        <x:v>#NAME?</x:v>
      </x:c>
      <x:c r="F639" s="146" t="e">
        <x:f>IF($A639="","",[1]!thsiFinD("ths_adjustment_nv_fund",F$3,$A639))</x:f>
        <x:v>#NAME?</x:v>
      </x:c>
      <x:c r="G639" s="146" t="e">
        <x:f>IF($A639="","",[1]!thsiFinD("ths_adjustment_nv_fund",G$3,$A639))</x:f>
        <x:v>#NAME?</x:v>
      </x:c>
      <x:c r="H639" s="146" t="e">
        <x:f>IF($A639="","",[1]!thsiFinD("ths_adjustment_nv_fund",H$3,$A639))</x:f>
        <x:v>#NAME?</x:v>
      </x:c>
      <x:c r="I639" s="146" t="e">
        <x:f>IF($A639="","",[1]!thsiFinD("ths_adjustment_nv_fund",I$3,$A639))</x:f>
        <x:v>#NAME?</x:v>
      </x:c>
      <x:c r="J639" s="146" t="e">
        <x:f>IF($A639="","",[1]!thsiFinD("ths_adjustment_nv_fund",J$3,$A639))</x:f>
        <x:v>#NAME?</x:v>
      </x:c>
      <x:c r="K639" s="146" t="e">
        <x:f>IF($A639="","",[1]!thsiFinD("ths_adjustment_nv_fund",K$3,$A639))</x:f>
        <x:v>#NAME?</x:v>
      </x:c>
      <x:c r="L639" s="146" t="e">
        <x:f>IF($A639="","",[1]!thsiFinD("ths_adjustment_nv_fund",L$3,$A639))</x:f>
        <x:v>#NAME?</x:v>
      </x:c>
      <x:c r="M639" s="146" t="e">
        <x:f>IF($A639="","",[1]!thsiFinD("ths_adjustment_nv_fund",M$3,$A639))</x:f>
        <x:v>#NAME?</x:v>
      </x:c>
      <x:c r="N639" s="146" t="e">
        <x:f>IF($A639="","",[1]!thsiFinD("ths_adjustment_nv_fund",N$3,$A639))</x:f>
        <x:v>#NAME?</x:v>
      </x:c>
      <x:c r="O639" s="146" t="e">
        <x:f>IF($A639="","",[1]!thsiFinD("ths_adjustment_nv_fund",O$3,$A639))</x:f>
        <x:v>#NAME?</x:v>
      </x:c>
      <x:c r="P639" s="146" t="e">
        <x:f>IF($A639="","",[1]!thsiFinD("ths_adjustment_nv_fund",P$3,$A639))</x:f>
        <x:v>#NAME?</x:v>
      </x:c>
      <x:c r="Q639" s="146" t="e">
        <x:f>IF($A639="","",[1]!thsiFinD("ths_adjustment_nv_fund",Q$3,$A639))</x:f>
        <x:v>#NAME?</x:v>
      </x:c>
      <x:c r="R639" s="146" t="e">
        <x:f>IF($A639="","",[1]!thsiFinD("ths_adjustment_nv_fund",R$3,$A639))</x:f>
        <x:v>#NAME?</x:v>
      </x:c>
      <x:c r="S639" s="146" t="e">
        <x:f>IF($A639="","",[1]!thsiFinD("ths_adjustment_nv_fund",S$3,$A639))</x:f>
        <x:v>#NAME?</x:v>
      </x:c>
      <x:c r="T639" s="146" t="e">
        <x:f>IF($A639="","",[1]!thsiFinD("ths_adjustment_nv_fund",T$3,$A639))</x:f>
        <x:v>#NAME?</x:v>
      </x:c>
      <x:c r="U639" s="146" t="e">
        <x:f>IF($A639="","",[1]!thsiFinD("ths_adjustment_nv_fund",U$3,$A639))</x:f>
        <x:v>#NAME?</x:v>
      </x:c>
      <x:c r="V639" s="146" t="e">
        <x:f>IF($A639="","",[1]!thsiFinD("ths_adjustment_nv_fund",V$3,$A639))</x:f>
        <x:v>#NAME?</x:v>
      </x:c>
      <x:c r="W639" s="146" t="e">
        <x:f>IF($A639="","",[1]!thsiFinD("ths_adjustment_nv_fund",W$3,$A639))</x:f>
        <x:v>#NAME?</x:v>
      </x:c>
      <x:c r="X639" s="146" t="e">
        <x:f>IF($A639="","",[1]!thsiFinD("ths_adjustment_nv_fund",X$3,$A639))</x:f>
        <x:v>#NAME?</x:v>
      </x:c>
      <x:c r="Y639" s="146" t="e">
        <x:f>IF($A639="","",[1]!thsiFinD("ths_adjustment_nv_fund",Y$3,$A639))</x:f>
        <x:v>#NAME?</x:v>
      </x:c>
      <x:c r="Z639" s="146" t="e">
        <x:f>IF($A639="","",[1]!thsiFinD("ths_adjustment_nv_fund",Z$3,$A639))</x:f>
        <x:v>#NAME?</x:v>
      </x:c>
      <x:c r="AA639" s="146" t="e">
        <x:f>IF($A639="","",[1]!thsiFinD("ths_adjustment_nv_fund",AA$3,$A639))</x:f>
        <x:v>#NAME?</x:v>
      </x:c>
    </x:row>
    <x:row r="640">
      <x:c r="B640" s="146" t="e">
        <x:f>IF($A640="","",[1]!thsiFinD("ths_adjustment_nv_fund",B$3,$A640))</x:f>
        <x:v>#NAME?</x:v>
      </x:c>
      <x:c r="C640" s="146" t="e">
        <x:f>IF($A640="","",[1]!thsiFinD("ths_adjustment_nv_fund",C$3,$A640))</x:f>
        <x:v>#NAME?</x:v>
      </x:c>
      <x:c r="D640" s="146" t="e">
        <x:f>IF($A640="","",[1]!thsiFinD("ths_adjustment_nv_fund",D$3,$A640))</x:f>
        <x:v>#NAME?</x:v>
      </x:c>
      <x:c r="E640" s="146" t="e">
        <x:f>IF($A640="","",[1]!thsiFinD("ths_adjustment_nv_fund",E$3,$A640))</x:f>
        <x:v>#NAME?</x:v>
      </x:c>
      <x:c r="F640" s="146" t="e">
        <x:f>IF($A640="","",[1]!thsiFinD("ths_adjustment_nv_fund",F$3,$A640))</x:f>
        <x:v>#NAME?</x:v>
      </x:c>
      <x:c r="G640" s="146" t="e">
        <x:f>IF($A640="","",[1]!thsiFinD("ths_adjustment_nv_fund",G$3,$A640))</x:f>
        <x:v>#NAME?</x:v>
      </x:c>
      <x:c r="H640" s="146" t="e">
        <x:f>IF($A640="","",[1]!thsiFinD("ths_adjustment_nv_fund",H$3,$A640))</x:f>
        <x:v>#NAME?</x:v>
      </x:c>
      <x:c r="I640" s="146" t="e">
        <x:f>IF($A640="","",[1]!thsiFinD("ths_adjustment_nv_fund",I$3,$A640))</x:f>
        <x:v>#NAME?</x:v>
      </x:c>
      <x:c r="J640" s="146" t="e">
        <x:f>IF($A640="","",[1]!thsiFinD("ths_adjustment_nv_fund",J$3,$A640))</x:f>
        <x:v>#NAME?</x:v>
      </x:c>
      <x:c r="K640" s="146" t="e">
        <x:f>IF($A640="","",[1]!thsiFinD("ths_adjustment_nv_fund",K$3,$A640))</x:f>
        <x:v>#NAME?</x:v>
      </x:c>
      <x:c r="L640" s="146" t="e">
        <x:f>IF($A640="","",[1]!thsiFinD("ths_adjustment_nv_fund",L$3,$A640))</x:f>
        <x:v>#NAME?</x:v>
      </x:c>
      <x:c r="M640" s="146" t="e">
        <x:f>IF($A640="","",[1]!thsiFinD("ths_adjustment_nv_fund",M$3,$A640))</x:f>
        <x:v>#NAME?</x:v>
      </x:c>
      <x:c r="N640" s="146" t="e">
        <x:f>IF($A640="","",[1]!thsiFinD("ths_adjustment_nv_fund",N$3,$A640))</x:f>
        <x:v>#NAME?</x:v>
      </x:c>
      <x:c r="O640" s="146" t="e">
        <x:f>IF($A640="","",[1]!thsiFinD("ths_adjustment_nv_fund",O$3,$A640))</x:f>
        <x:v>#NAME?</x:v>
      </x:c>
      <x:c r="P640" s="146" t="e">
        <x:f>IF($A640="","",[1]!thsiFinD("ths_adjustment_nv_fund",P$3,$A640))</x:f>
        <x:v>#NAME?</x:v>
      </x:c>
      <x:c r="Q640" s="146" t="e">
        <x:f>IF($A640="","",[1]!thsiFinD("ths_adjustment_nv_fund",Q$3,$A640))</x:f>
        <x:v>#NAME?</x:v>
      </x:c>
      <x:c r="R640" s="146" t="e">
        <x:f>IF($A640="","",[1]!thsiFinD("ths_adjustment_nv_fund",R$3,$A640))</x:f>
        <x:v>#NAME?</x:v>
      </x:c>
      <x:c r="S640" s="146" t="e">
        <x:f>IF($A640="","",[1]!thsiFinD("ths_adjustment_nv_fund",S$3,$A640))</x:f>
        <x:v>#NAME?</x:v>
      </x:c>
      <x:c r="T640" s="146" t="e">
        <x:f>IF($A640="","",[1]!thsiFinD("ths_adjustment_nv_fund",T$3,$A640))</x:f>
        <x:v>#NAME?</x:v>
      </x:c>
      <x:c r="U640" s="146" t="e">
        <x:f>IF($A640="","",[1]!thsiFinD("ths_adjustment_nv_fund",U$3,$A640))</x:f>
        <x:v>#NAME?</x:v>
      </x:c>
      <x:c r="V640" s="146" t="e">
        <x:f>IF($A640="","",[1]!thsiFinD("ths_adjustment_nv_fund",V$3,$A640))</x:f>
        <x:v>#NAME?</x:v>
      </x:c>
      <x:c r="W640" s="146" t="e">
        <x:f>IF($A640="","",[1]!thsiFinD("ths_adjustment_nv_fund",W$3,$A640))</x:f>
        <x:v>#NAME?</x:v>
      </x:c>
      <x:c r="X640" s="146" t="e">
        <x:f>IF($A640="","",[1]!thsiFinD("ths_adjustment_nv_fund",X$3,$A640))</x:f>
        <x:v>#NAME?</x:v>
      </x:c>
      <x:c r="Y640" s="146" t="e">
        <x:f>IF($A640="","",[1]!thsiFinD("ths_adjustment_nv_fund",Y$3,$A640))</x:f>
        <x:v>#NAME?</x:v>
      </x:c>
      <x:c r="Z640" s="146" t="e">
        <x:f>IF($A640="","",[1]!thsiFinD("ths_adjustment_nv_fund",Z$3,$A640))</x:f>
        <x:v>#NAME?</x:v>
      </x:c>
      <x:c r="AA640" s="146" t="e">
        <x:f>IF($A640="","",[1]!thsiFinD("ths_adjustment_nv_fund",AA$3,$A640))</x:f>
        <x:v>#NAME?</x:v>
      </x:c>
    </x:row>
    <x:row r="641">
      <x:c r="B641" s="146" t="e">
        <x:f>IF($A641="","",[1]!thsiFinD("ths_adjustment_nv_fund",B$3,$A641))</x:f>
        <x:v>#NAME?</x:v>
      </x:c>
      <x:c r="C641" s="146" t="e">
        <x:f>IF($A641="","",[1]!thsiFinD("ths_adjustment_nv_fund",C$3,$A641))</x:f>
        <x:v>#NAME?</x:v>
      </x:c>
      <x:c r="D641" s="146" t="e">
        <x:f>IF($A641="","",[1]!thsiFinD("ths_adjustment_nv_fund",D$3,$A641))</x:f>
        <x:v>#NAME?</x:v>
      </x:c>
      <x:c r="E641" s="146" t="e">
        <x:f>IF($A641="","",[1]!thsiFinD("ths_adjustment_nv_fund",E$3,$A641))</x:f>
        <x:v>#NAME?</x:v>
      </x:c>
      <x:c r="F641" s="146" t="e">
        <x:f>IF($A641="","",[1]!thsiFinD("ths_adjustment_nv_fund",F$3,$A641))</x:f>
        <x:v>#NAME?</x:v>
      </x:c>
      <x:c r="G641" s="146" t="e">
        <x:f>IF($A641="","",[1]!thsiFinD("ths_adjustment_nv_fund",G$3,$A641))</x:f>
        <x:v>#NAME?</x:v>
      </x:c>
      <x:c r="H641" s="146" t="e">
        <x:f>IF($A641="","",[1]!thsiFinD("ths_adjustment_nv_fund",H$3,$A641))</x:f>
        <x:v>#NAME?</x:v>
      </x:c>
      <x:c r="I641" s="146" t="e">
        <x:f>IF($A641="","",[1]!thsiFinD("ths_adjustment_nv_fund",I$3,$A641))</x:f>
        <x:v>#NAME?</x:v>
      </x:c>
      <x:c r="J641" s="146" t="e">
        <x:f>IF($A641="","",[1]!thsiFinD("ths_adjustment_nv_fund",J$3,$A641))</x:f>
        <x:v>#NAME?</x:v>
      </x:c>
      <x:c r="K641" s="146" t="e">
        <x:f>IF($A641="","",[1]!thsiFinD("ths_adjustment_nv_fund",K$3,$A641))</x:f>
        <x:v>#NAME?</x:v>
      </x:c>
      <x:c r="L641" s="146" t="e">
        <x:f>IF($A641="","",[1]!thsiFinD("ths_adjustment_nv_fund",L$3,$A641))</x:f>
        <x:v>#NAME?</x:v>
      </x:c>
      <x:c r="M641" s="146" t="e">
        <x:f>IF($A641="","",[1]!thsiFinD("ths_adjustment_nv_fund",M$3,$A641))</x:f>
        <x:v>#NAME?</x:v>
      </x:c>
      <x:c r="N641" s="146" t="e">
        <x:f>IF($A641="","",[1]!thsiFinD("ths_adjustment_nv_fund",N$3,$A641))</x:f>
        <x:v>#NAME?</x:v>
      </x:c>
      <x:c r="O641" s="146" t="e">
        <x:f>IF($A641="","",[1]!thsiFinD("ths_adjustment_nv_fund",O$3,$A641))</x:f>
        <x:v>#NAME?</x:v>
      </x:c>
      <x:c r="P641" s="146" t="e">
        <x:f>IF($A641="","",[1]!thsiFinD("ths_adjustment_nv_fund",P$3,$A641))</x:f>
        <x:v>#NAME?</x:v>
      </x:c>
      <x:c r="Q641" s="146" t="e">
        <x:f>IF($A641="","",[1]!thsiFinD("ths_adjustment_nv_fund",Q$3,$A641))</x:f>
        <x:v>#NAME?</x:v>
      </x:c>
      <x:c r="R641" s="146" t="e">
        <x:f>IF($A641="","",[1]!thsiFinD("ths_adjustment_nv_fund",R$3,$A641))</x:f>
        <x:v>#NAME?</x:v>
      </x:c>
      <x:c r="S641" s="146" t="e">
        <x:f>IF($A641="","",[1]!thsiFinD("ths_adjustment_nv_fund",S$3,$A641))</x:f>
        <x:v>#NAME?</x:v>
      </x:c>
      <x:c r="T641" s="146" t="e">
        <x:f>IF($A641="","",[1]!thsiFinD("ths_adjustment_nv_fund",T$3,$A641))</x:f>
        <x:v>#NAME?</x:v>
      </x:c>
      <x:c r="U641" s="146" t="e">
        <x:f>IF($A641="","",[1]!thsiFinD("ths_adjustment_nv_fund",U$3,$A641))</x:f>
        <x:v>#NAME?</x:v>
      </x:c>
      <x:c r="V641" s="146" t="e">
        <x:f>IF($A641="","",[1]!thsiFinD("ths_adjustment_nv_fund",V$3,$A641))</x:f>
        <x:v>#NAME?</x:v>
      </x:c>
      <x:c r="W641" s="146" t="e">
        <x:f>IF($A641="","",[1]!thsiFinD("ths_adjustment_nv_fund",W$3,$A641))</x:f>
        <x:v>#NAME?</x:v>
      </x:c>
      <x:c r="X641" s="146" t="e">
        <x:f>IF($A641="","",[1]!thsiFinD("ths_adjustment_nv_fund",X$3,$A641))</x:f>
        <x:v>#NAME?</x:v>
      </x:c>
      <x:c r="Y641" s="146" t="e">
        <x:f>IF($A641="","",[1]!thsiFinD("ths_adjustment_nv_fund",Y$3,$A641))</x:f>
        <x:v>#NAME?</x:v>
      </x:c>
      <x:c r="Z641" s="146" t="e">
        <x:f>IF($A641="","",[1]!thsiFinD("ths_adjustment_nv_fund",Z$3,$A641))</x:f>
        <x:v>#NAME?</x:v>
      </x:c>
      <x:c r="AA641" s="146" t="e">
        <x:f>IF($A641="","",[1]!thsiFinD("ths_adjustment_nv_fund",AA$3,$A641))</x:f>
        <x:v>#NAME?</x:v>
      </x:c>
    </x:row>
    <x:row r="642">
      <x:c r="B642" s="146" t="e">
        <x:f>IF($A642="","",[1]!thsiFinD("ths_adjustment_nv_fund",B$3,$A642))</x:f>
        <x:v>#NAME?</x:v>
      </x:c>
      <x:c r="C642" s="146" t="e">
        <x:f>IF($A642="","",[1]!thsiFinD("ths_adjustment_nv_fund",C$3,$A642))</x:f>
        <x:v>#NAME?</x:v>
      </x:c>
      <x:c r="D642" s="146" t="e">
        <x:f>IF($A642="","",[1]!thsiFinD("ths_adjustment_nv_fund",D$3,$A642))</x:f>
        <x:v>#NAME?</x:v>
      </x:c>
      <x:c r="E642" s="146" t="e">
        <x:f>IF($A642="","",[1]!thsiFinD("ths_adjustment_nv_fund",E$3,$A642))</x:f>
        <x:v>#NAME?</x:v>
      </x:c>
      <x:c r="F642" s="146" t="e">
        <x:f>IF($A642="","",[1]!thsiFinD("ths_adjustment_nv_fund",F$3,$A642))</x:f>
        <x:v>#NAME?</x:v>
      </x:c>
      <x:c r="G642" s="146" t="e">
        <x:f>IF($A642="","",[1]!thsiFinD("ths_adjustment_nv_fund",G$3,$A642))</x:f>
        <x:v>#NAME?</x:v>
      </x:c>
      <x:c r="H642" s="146" t="e">
        <x:f>IF($A642="","",[1]!thsiFinD("ths_adjustment_nv_fund",H$3,$A642))</x:f>
        <x:v>#NAME?</x:v>
      </x:c>
      <x:c r="I642" s="146" t="e">
        <x:f>IF($A642="","",[1]!thsiFinD("ths_adjustment_nv_fund",I$3,$A642))</x:f>
        <x:v>#NAME?</x:v>
      </x:c>
      <x:c r="J642" s="146" t="e">
        <x:f>IF($A642="","",[1]!thsiFinD("ths_adjustment_nv_fund",J$3,$A642))</x:f>
        <x:v>#NAME?</x:v>
      </x:c>
      <x:c r="K642" s="146" t="e">
        <x:f>IF($A642="","",[1]!thsiFinD("ths_adjustment_nv_fund",K$3,$A642))</x:f>
        <x:v>#NAME?</x:v>
      </x:c>
      <x:c r="L642" s="146" t="e">
        <x:f>IF($A642="","",[1]!thsiFinD("ths_adjustment_nv_fund",L$3,$A642))</x:f>
        <x:v>#NAME?</x:v>
      </x:c>
      <x:c r="M642" s="146" t="e">
        <x:f>IF($A642="","",[1]!thsiFinD("ths_adjustment_nv_fund",M$3,$A642))</x:f>
        <x:v>#NAME?</x:v>
      </x:c>
      <x:c r="N642" s="146" t="e">
        <x:f>IF($A642="","",[1]!thsiFinD("ths_adjustment_nv_fund",N$3,$A642))</x:f>
        <x:v>#NAME?</x:v>
      </x:c>
      <x:c r="O642" s="146" t="e">
        <x:f>IF($A642="","",[1]!thsiFinD("ths_adjustment_nv_fund",O$3,$A642))</x:f>
        <x:v>#NAME?</x:v>
      </x:c>
      <x:c r="P642" s="146" t="e">
        <x:f>IF($A642="","",[1]!thsiFinD("ths_adjustment_nv_fund",P$3,$A642))</x:f>
        <x:v>#NAME?</x:v>
      </x:c>
      <x:c r="Q642" s="146" t="e">
        <x:f>IF($A642="","",[1]!thsiFinD("ths_adjustment_nv_fund",Q$3,$A642))</x:f>
        <x:v>#NAME?</x:v>
      </x:c>
      <x:c r="R642" s="146" t="e">
        <x:f>IF($A642="","",[1]!thsiFinD("ths_adjustment_nv_fund",R$3,$A642))</x:f>
        <x:v>#NAME?</x:v>
      </x:c>
      <x:c r="S642" s="146" t="e">
        <x:f>IF($A642="","",[1]!thsiFinD("ths_adjustment_nv_fund",S$3,$A642))</x:f>
        <x:v>#NAME?</x:v>
      </x:c>
      <x:c r="T642" s="146" t="e">
        <x:f>IF($A642="","",[1]!thsiFinD("ths_adjustment_nv_fund",T$3,$A642))</x:f>
        <x:v>#NAME?</x:v>
      </x:c>
      <x:c r="U642" s="146" t="e">
        <x:f>IF($A642="","",[1]!thsiFinD("ths_adjustment_nv_fund",U$3,$A642))</x:f>
        <x:v>#NAME?</x:v>
      </x:c>
      <x:c r="V642" s="146" t="e">
        <x:f>IF($A642="","",[1]!thsiFinD("ths_adjustment_nv_fund",V$3,$A642))</x:f>
        <x:v>#NAME?</x:v>
      </x:c>
      <x:c r="W642" s="146" t="e">
        <x:f>IF($A642="","",[1]!thsiFinD("ths_adjustment_nv_fund",W$3,$A642))</x:f>
        <x:v>#NAME?</x:v>
      </x:c>
      <x:c r="X642" s="146" t="e">
        <x:f>IF($A642="","",[1]!thsiFinD("ths_adjustment_nv_fund",X$3,$A642))</x:f>
        <x:v>#NAME?</x:v>
      </x:c>
      <x:c r="Y642" s="146" t="e">
        <x:f>IF($A642="","",[1]!thsiFinD("ths_adjustment_nv_fund",Y$3,$A642))</x:f>
        <x:v>#NAME?</x:v>
      </x:c>
      <x:c r="Z642" s="146" t="e">
        <x:f>IF($A642="","",[1]!thsiFinD("ths_adjustment_nv_fund",Z$3,$A642))</x:f>
        <x:v>#NAME?</x:v>
      </x:c>
      <x:c r="AA642" s="146" t="e">
        <x:f>IF($A642="","",[1]!thsiFinD("ths_adjustment_nv_fund",AA$3,$A642))</x:f>
        <x:v>#NAME?</x:v>
      </x:c>
    </x:row>
    <x:row r="643">
      <x:c r="B643" s="146" t="e">
        <x:f>IF($A643="","",[1]!thsiFinD("ths_adjustment_nv_fund",B$3,$A643))</x:f>
        <x:v>#NAME?</x:v>
      </x:c>
      <x:c r="C643" s="146" t="e">
        <x:f>IF($A643="","",[1]!thsiFinD("ths_adjustment_nv_fund",C$3,$A643))</x:f>
        <x:v>#NAME?</x:v>
      </x:c>
      <x:c r="D643" s="146" t="e">
        <x:f>IF($A643="","",[1]!thsiFinD("ths_adjustment_nv_fund",D$3,$A643))</x:f>
        <x:v>#NAME?</x:v>
      </x:c>
      <x:c r="E643" s="146" t="e">
        <x:f>IF($A643="","",[1]!thsiFinD("ths_adjustment_nv_fund",E$3,$A643))</x:f>
        <x:v>#NAME?</x:v>
      </x:c>
      <x:c r="F643" s="146" t="e">
        <x:f>IF($A643="","",[1]!thsiFinD("ths_adjustment_nv_fund",F$3,$A643))</x:f>
        <x:v>#NAME?</x:v>
      </x:c>
      <x:c r="G643" s="146" t="e">
        <x:f>IF($A643="","",[1]!thsiFinD("ths_adjustment_nv_fund",G$3,$A643))</x:f>
        <x:v>#NAME?</x:v>
      </x:c>
      <x:c r="H643" s="146" t="e">
        <x:f>IF($A643="","",[1]!thsiFinD("ths_adjustment_nv_fund",H$3,$A643))</x:f>
        <x:v>#NAME?</x:v>
      </x:c>
      <x:c r="I643" s="146" t="e">
        <x:f>IF($A643="","",[1]!thsiFinD("ths_adjustment_nv_fund",I$3,$A643))</x:f>
        <x:v>#NAME?</x:v>
      </x:c>
      <x:c r="J643" s="146" t="e">
        <x:f>IF($A643="","",[1]!thsiFinD("ths_adjustment_nv_fund",J$3,$A643))</x:f>
        <x:v>#NAME?</x:v>
      </x:c>
      <x:c r="K643" s="146" t="e">
        <x:f>IF($A643="","",[1]!thsiFinD("ths_adjustment_nv_fund",K$3,$A643))</x:f>
        <x:v>#NAME?</x:v>
      </x:c>
      <x:c r="L643" s="146" t="e">
        <x:f>IF($A643="","",[1]!thsiFinD("ths_adjustment_nv_fund",L$3,$A643))</x:f>
        <x:v>#NAME?</x:v>
      </x:c>
      <x:c r="M643" s="146" t="e">
        <x:f>IF($A643="","",[1]!thsiFinD("ths_adjustment_nv_fund",M$3,$A643))</x:f>
        <x:v>#NAME?</x:v>
      </x:c>
      <x:c r="N643" s="146" t="e">
        <x:f>IF($A643="","",[1]!thsiFinD("ths_adjustment_nv_fund",N$3,$A643))</x:f>
        <x:v>#NAME?</x:v>
      </x:c>
      <x:c r="O643" s="146" t="e">
        <x:f>IF($A643="","",[1]!thsiFinD("ths_adjustment_nv_fund",O$3,$A643))</x:f>
        <x:v>#NAME?</x:v>
      </x:c>
      <x:c r="P643" s="146" t="e">
        <x:f>IF($A643="","",[1]!thsiFinD("ths_adjustment_nv_fund",P$3,$A643))</x:f>
        <x:v>#NAME?</x:v>
      </x:c>
      <x:c r="Q643" s="146" t="e">
        <x:f>IF($A643="","",[1]!thsiFinD("ths_adjustment_nv_fund",Q$3,$A643))</x:f>
        <x:v>#NAME?</x:v>
      </x:c>
      <x:c r="R643" s="146" t="e">
        <x:f>IF($A643="","",[1]!thsiFinD("ths_adjustment_nv_fund",R$3,$A643))</x:f>
        <x:v>#NAME?</x:v>
      </x:c>
      <x:c r="S643" s="146" t="e">
        <x:f>IF($A643="","",[1]!thsiFinD("ths_adjustment_nv_fund",S$3,$A643))</x:f>
        <x:v>#NAME?</x:v>
      </x:c>
      <x:c r="T643" s="146" t="e">
        <x:f>IF($A643="","",[1]!thsiFinD("ths_adjustment_nv_fund",T$3,$A643))</x:f>
        <x:v>#NAME?</x:v>
      </x:c>
      <x:c r="U643" s="146" t="e">
        <x:f>IF($A643="","",[1]!thsiFinD("ths_adjustment_nv_fund",U$3,$A643))</x:f>
        <x:v>#NAME?</x:v>
      </x:c>
      <x:c r="V643" s="146" t="e">
        <x:f>IF($A643="","",[1]!thsiFinD("ths_adjustment_nv_fund",V$3,$A643))</x:f>
        <x:v>#NAME?</x:v>
      </x:c>
      <x:c r="W643" s="146" t="e">
        <x:f>IF($A643="","",[1]!thsiFinD("ths_adjustment_nv_fund",W$3,$A643))</x:f>
        <x:v>#NAME?</x:v>
      </x:c>
      <x:c r="X643" s="146" t="e">
        <x:f>IF($A643="","",[1]!thsiFinD("ths_adjustment_nv_fund",X$3,$A643))</x:f>
        <x:v>#NAME?</x:v>
      </x:c>
      <x:c r="Y643" s="146" t="e">
        <x:f>IF($A643="","",[1]!thsiFinD("ths_adjustment_nv_fund",Y$3,$A643))</x:f>
        <x:v>#NAME?</x:v>
      </x:c>
      <x:c r="Z643" s="146" t="e">
        <x:f>IF($A643="","",[1]!thsiFinD("ths_adjustment_nv_fund",Z$3,$A643))</x:f>
        <x:v>#NAME?</x:v>
      </x:c>
      <x:c r="AA643" s="146" t="e">
        <x:f>IF($A643="","",[1]!thsiFinD("ths_adjustment_nv_fund",AA$3,$A643))</x:f>
        <x:v>#NAME?</x:v>
      </x:c>
    </x:row>
    <x:row r="644">
      <x:c r="B644" s="146" t="e">
        <x:f>IF($A644="","",[1]!thsiFinD("ths_adjustment_nv_fund",B$3,$A644))</x:f>
        <x:v>#NAME?</x:v>
      </x:c>
      <x:c r="C644" s="146" t="e">
        <x:f>IF($A644="","",[1]!thsiFinD("ths_adjustment_nv_fund",C$3,$A644))</x:f>
        <x:v>#NAME?</x:v>
      </x:c>
      <x:c r="D644" s="146" t="e">
        <x:f>IF($A644="","",[1]!thsiFinD("ths_adjustment_nv_fund",D$3,$A644))</x:f>
        <x:v>#NAME?</x:v>
      </x:c>
      <x:c r="E644" s="146" t="e">
        <x:f>IF($A644="","",[1]!thsiFinD("ths_adjustment_nv_fund",E$3,$A644))</x:f>
        <x:v>#NAME?</x:v>
      </x:c>
      <x:c r="F644" s="146" t="e">
        <x:f>IF($A644="","",[1]!thsiFinD("ths_adjustment_nv_fund",F$3,$A644))</x:f>
        <x:v>#NAME?</x:v>
      </x:c>
      <x:c r="G644" s="146" t="e">
        <x:f>IF($A644="","",[1]!thsiFinD("ths_adjustment_nv_fund",G$3,$A644))</x:f>
        <x:v>#NAME?</x:v>
      </x:c>
      <x:c r="H644" s="146" t="e">
        <x:f>IF($A644="","",[1]!thsiFinD("ths_adjustment_nv_fund",H$3,$A644))</x:f>
        <x:v>#NAME?</x:v>
      </x:c>
      <x:c r="I644" s="146" t="e">
        <x:f>IF($A644="","",[1]!thsiFinD("ths_adjustment_nv_fund",I$3,$A644))</x:f>
        <x:v>#NAME?</x:v>
      </x:c>
      <x:c r="J644" s="146" t="e">
        <x:f>IF($A644="","",[1]!thsiFinD("ths_adjustment_nv_fund",J$3,$A644))</x:f>
        <x:v>#NAME?</x:v>
      </x:c>
      <x:c r="K644" s="146" t="e">
        <x:f>IF($A644="","",[1]!thsiFinD("ths_adjustment_nv_fund",K$3,$A644))</x:f>
        <x:v>#NAME?</x:v>
      </x:c>
      <x:c r="L644" s="146" t="e">
        <x:f>IF($A644="","",[1]!thsiFinD("ths_adjustment_nv_fund",L$3,$A644))</x:f>
        <x:v>#NAME?</x:v>
      </x:c>
      <x:c r="M644" s="146" t="e">
        <x:f>IF($A644="","",[1]!thsiFinD("ths_adjustment_nv_fund",M$3,$A644))</x:f>
        <x:v>#NAME?</x:v>
      </x:c>
      <x:c r="N644" s="146" t="e">
        <x:f>IF($A644="","",[1]!thsiFinD("ths_adjustment_nv_fund",N$3,$A644))</x:f>
        <x:v>#NAME?</x:v>
      </x:c>
      <x:c r="O644" s="146" t="e">
        <x:f>IF($A644="","",[1]!thsiFinD("ths_adjustment_nv_fund",O$3,$A644))</x:f>
        <x:v>#NAME?</x:v>
      </x:c>
      <x:c r="P644" s="146" t="e">
        <x:f>IF($A644="","",[1]!thsiFinD("ths_adjustment_nv_fund",P$3,$A644))</x:f>
        <x:v>#NAME?</x:v>
      </x:c>
      <x:c r="Q644" s="146" t="e">
        <x:f>IF($A644="","",[1]!thsiFinD("ths_adjustment_nv_fund",Q$3,$A644))</x:f>
        <x:v>#NAME?</x:v>
      </x:c>
      <x:c r="R644" s="146" t="e">
        <x:f>IF($A644="","",[1]!thsiFinD("ths_adjustment_nv_fund",R$3,$A644))</x:f>
        <x:v>#NAME?</x:v>
      </x:c>
      <x:c r="S644" s="146" t="e">
        <x:f>IF($A644="","",[1]!thsiFinD("ths_adjustment_nv_fund",S$3,$A644))</x:f>
        <x:v>#NAME?</x:v>
      </x:c>
      <x:c r="T644" s="146" t="e">
        <x:f>IF($A644="","",[1]!thsiFinD("ths_adjustment_nv_fund",T$3,$A644))</x:f>
        <x:v>#NAME?</x:v>
      </x:c>
      <x:c r="U644" s="146" t="e">
        <x:f>IF($A644="","",[1]!thsiFinD("ths_adjustment_nv_fund",U$3,$A644))</x:f>
        <x:v>#NAME?</x:v>
      </x:c>
      <x:c r="V644" s="146" t="e">
        <x:f>IF($A644="","",[1]!thsiFinD("ths_adjustment_nv_fund",V$3,$A644))</x:f>
        <x:v>#NAME?</x:v>
      </x:c>
      <x:c r="W644" s="146" t="e">
        <x:f>IF($A644="","",[1]!thsiFinD("ths_adjustment_nv_fund",W$3,$A644))</x:f>
        <x:v>#NAME?</x:v>
      </x:c>
      <x:c r="X644" s="146" t="e">
        <x:f>IF($A644="","",[1]!thsiFinD("ths_adjustment_nv_fund",X$3,$A644))</x:f>
        <x:v>#NAME?</x:v>
      </x:c>
      <x:c r="Y644" s="146" t="e">
        <x:f>IF($A644="","",[1]!thsiFinD("ths_adjustment_nv_fund",Y$3,$A644))</x:f>
        <x:v>#NAME?</x:v>
      </x:c>
      <x:c r="Z644" s="146" t="e">
        <x:f>IF($A644="","",[1]!thsiFinD("ths_adjustment_nv_fund",Z$3,$A644))</x:f>
        <x:v>#NAME?</x:v>
      </x:c>
      <x:c r="AA644" s="146" t="e">
        <x:f>IF($A644="","",[1]!thsiFinD("ths_adjustment_nv_fund",AA$3,$A644))</x:f>
        <x:v>#NAME?</x:v>
      </x:c>
    </x:row>
    <x:row r="645">
      <x:c r="B645" s="146" t="e">
        <x:f>IF($A645="","",[1]!thsiFinD("ths_adjustment_nv_fund",B$3,$A645))</x:f>
        <x:v>#NAME?</x:v>
      </x:c>
      <x:c r="C645" s="146" t="e">
        <x:f>IF($A645="","",[1]!thsiFinD("ths_adjustment_nv_fund",C$3,$A645))</x:f>
        <x:v>#NAME?</x:v>
      </x:c>
      <x:c r="D645" s="146" t="e">
        <x:f>IF($A645="","",[1]!thsiFinD("ths_adjustment_nv_fund",D$3,$A645))</x:f>
        <x:v>#NAME?</x:v>
      </x:c>
      <x:c r="E645" s="146" t="e">
        <x:f>IF($A645="","",[1]!thsiFinD("ths_adjustment_nv_fund",E$3,$A645))</x:f>
        <x:v>#NAME?</x:v>
      </x:c>
      <x:c r="F645" s="146" t="e">
        <x:f>IF($A645="","",[1]!thsiFinD("ths_adjustment_nv_fund",F$3,$A645))</x:f>
        <x:v>#NAME?</x:v>
      </x:c>
      <x:c r="G645" s="146" t="e">
        <x:f>IF($A645="","",[1]!thsiFinD("ths_adjustment_nv_fund",G$3,$A645))</x:f>
        <x:v>#NAME?</x:v>
      </x:c>
      <x:c r="H645" s="146" t="e">
        <x:f>IF($A645="","",[1]!thsiFinD("ths_adjustment_nv_fund",H$3,$A645))</x:f>
        <x:v>#NAME?</x:v>
      </x:c>
      <x:c r="I645" s="146" t="e">
        <x:f>IF($A645="","",[1]!thsiFinD("ths_adjustment_nv_fund",I$3,$A645))</x:f>
        <x:v>#NAME?</x:v>
      </x:c>
      <x:c r="J645" s="146" t="e">
        <x:f>IF($A645="","",[1]!thsiFinD("ths_adjustment_nv_fund",J$3,$A645))</x:f>
        <x:v>#NAME?</x:v>
      </x:c>
      <x:c r="K645" s="146" t="e">
        <x:f>IF($A645="","",[1]!thsiFinD("ths_adjustment_nv_fund",K$3,$A645))</x:f>
        <x:v>#NAME?</x:v>
      </x:c>
      <x:c r="L645" s="146" t="e">
        <x:f>IF($A645="","",[1]!thsiFinD("ths_adjustment_nv_fund",L$3,$A645))</x:f>
        <x:v>#NAME?</x:v>
      </x:c>
      <x:c r="M645" s="146" t="e">
        <x:f>IF($A645="","",[1]!thsiFinD("ths_adjustment_nv_fund",M$3,$A645))</x:f>
        <x:v>#NAME?</x:v>
      </x:c>
      <x:c r="N645" s="146" t="e">
        <x:f>IF($A645="","",[1]!thsiFinD("ths_adjustment_nv_fund",N$3,$A645))</x:f>
        <x:v>#NAME?</x:v>
      </x:c>
      <x:c r="O645" s="146" t="e">
        <x:f>IF($A645="","",[1]!thsiFinD("ths_adjustment_nv_fund",O$3,$A645))</x:f>
        <x:v>#NAME?</x:v>
      </x:c>
      <x:c r="P645" s="146" t="e">
        <x:f>IF($A645="","",[1]!thsiFinD("ths_adjustment_nv_fund",P$3,$A645))</x:f>
        <x:v>#NAME?</x:v>
      </x:c>
      <x:c r="Q645" s="146" t="e">
        <x:f>IF($A645="","",[1]!thsiFinD("ths_adjustment_nv_fund",Q$3,$A645))</x:f>
        <x:v>#NAME?</x:v>
      </x:c>
      <x:c r="R645" s="146" t="e">
        <x:f>IF($A645="","",[1]!thsiFinD("ths_adjustment_nv_fund",R$3,$A645))</x:f>
        <x:v>#NAME?</x:v>
      </x:c>
      <x:c r="S645" s="146" t="e">
        <x:f>IF($A645="","",[1]!thsiFinD("ths_adjustment_nv_fund",S$3,$A645))</x:f>
        <x:v>#NAME?</x:v>
      </x:c>
      <x:c r="T645" s="146" t="e">
        <x:f>IF($A645="","",[1]!thsiFinD("ths_adjustment_nv_fund",T$3,$A645))</x:f>
        <x:v>#NAME?</x:v>
      </x:c>
      <x:c r="U645" s="146" t="e">
        <x:f>IF($A645="","",[1]!thsiFinD("ths_adjustment_nv_fund",U$3,$A645))</x:f>
        <x:v>#NAME?</x:v>
      </x:c>
      <x:c r="V645" s="146" t="e">
        <x:f>IF($A645="","",[1]!thsiFinD("ths_adjustment_nv_fund",V$3,$A645))</x:f>
        <x:v>#NAME?</x:v>
      </x:c>
      <x:c r="W645" s="146" t="e">
        <x:f>IF($A645="","",[1]!thsiFinD("ths_adjustment_nv_fund",W$3,$A645))</x:f>
        <x:v>#NAME?</x:v>
      </x:c>
      <x:c r="X645" s="146" t="e">
        <x:f>IF($A645="","",[1]!thsiFinD("ths_adjustment_nv_fund",X$3,$A645))</x:f>
        <x:v>#NAME?</x:v>
      </x:c>
      <x:c r="Y645" s="146" t="e">
        <x:f>IF($A645="","",[1]!thsiFinD("ths_adjustment_nv_fund",Y$3,$A645))</x:f>
        <x:v>#NAME?</x:v>
      </x:c>
      <x:c r="Z645" s="146" t="e">
        <x:f>IF($A645="","",[1]!thsiFinD("ths_adjustment_nv_fund",Z$3,$A645))</x:f>
        <x:v>#NAME?</x:v>
      </x:c>
      <x:c r="AA645" s="146" t="e">
        <x:f>IF($A645="","",[1]!thsiFinD("ths_adjustment_nv_fund",AA$3,$A645))</x:f>
        <x:v>#NAME?</x:v>
      </x:c>
    </x:row>
    <x:row r="646">
      <x:c r="B646" s="146" t="e">
        <x:f>IF($A646="","",[1]!thsiFinD("ths_adjustment_nv_fund",B$3,$A646))</x:f>
        <x:v>#NAME?</x:v>
      </x:c>
      <x:c r="C646" s="146" t="e">
        <x:f>IF($A646="","",[1]!thsiFinD("ths_adjustment_nv_fund",C$3,$A646))</x:f>
        <x:v>#NAME?</x:v>
      </x:c>
      <x:c r="D646" s="146" t="e">
        <x:f>IF($A646="","",[1]!thsiFinD("ths_adjustment_nv_fund",D$3,$A646))</x:f>
        <x:v>#NAME?</x:v>
      </x:c>
      <x:c r="E646" s="146" t="e">
        <x:f>IF($A646="","",[1]!thsiFinD("ths_adjustment_nv_fund",E$3,$A646))</x:f>
        <x:v>#NAME?</x:v>
      </x:c>
      <x:c r="F646" s="146" t="e">
        <x:f>IF($A646="","",[1]!thsiFinD("ths_adjustment_nv_fund",F$3,$A646))</x:f>
        <x:v>#NAME?</x:v>
      </x:c>
      <x:c r="G646" s="146" t="e">
        <x:f>IF($A646="","",[1]!thsiFinD("ths_adjustment_nv_fund",G$3,$A646))</x:f>
        <x:v>#NAME?</x:v>
      </x:c>
      <x:c r="H646" s="146" t="e">
        <x:f>IF($A646="","",[1]!thsiFinD("ths_adjustment_nv_fund",H$3,$A646))</x:f>
        <x:v>#NAME?</x:v>
      </x:c>
      <x:c r="I646" s="146" t="e">
        <x:f>IF($A646="","",[1]!thsiFinD("ths_adjustment_nv_fund",I$3,$A646))</x:f>
        <x:v>#NAME?</x:v>
      </x:c>
      <x:c r="J646" s="146" t="e">
        <x:f>IF($A646="","",[1]!thsiFinD("ths_adjustment_nv_fund",J$3,$A646))</x:f>
        <x:v>#NAME?</x:v>
      </x:c>
      <x:c r="K646" s="146" t="e">
        <x:f>IF($A646="","",[1]!thsiFinD("ths_adjustment_nv_fund",K$3,$A646))</x:f>
        <x:v>#NAME?</x:v>
      </x:c>
      <x:c r="L646" s="146" t="e">
        <x:f>IF($A646="","",[1]!thsiFinD("ths_adjustment_nv_fund",L$3,$A646))</x:f>
        <x:v>#NAME?</x:v>
      </x:c>
      <x:c r="M646" s="146" t="e">
        <x:f>IF($A646="","",[1]!thsiFinD("ths_adjustment_nv_fund",M$3,$A646))</x:f>
        <x:v>#NAME?</x:v>
      </x:c>
      <x:c r="N646" s="146" t="e">
        <x:f>IF($A646="","",[1]!thsiFinD("ths_adjustment_nv_fund",N$3,$A646))</x:f>
        <x:v>#NAME?</x:v>
      </x:c>
      <x:c r="O646" s="146" t="e">
        <x:f>IF($A646="","",[1]!thsiFinD("ths_adjustment_nv_fund",O$3,$A646))</x:f>
        <x:v>#NAME?</x:v>
      </x:c>
      <x:c r="P646" s="146" t="e">
        <x:f>IF($A646="","",[1]!thsiFinD("ths_adjustment_nv_fund",P$3,$A646))</x:f>
        <x:v>#NAME?</x:v>
      </x:c>
      <x:c r="Q646" s="146" t="e">
        <x:f>IF($A646="","",[1]!thsiFinD("ths_adjustment_nv_fund",Q$3,$A646))</x:f>
        <x:v>#NAME?</x:v>
      </x:c>
      <x:c r="R646" s="146" t="e">
        <x:f>IF($A646="","",[1]!thsiFinD("ths_adjustment_nv_fund",R$3,$A646))</x:f>
        <x:v>#NAME?</x:v>
      </x:c>
      <x:c r="S646" s="146" t="e">
        <x:f>IF($A646="","",[1]!thsiFinD("ths_adjustment_nv_fund",S$3,$A646))</x:f>
        <x:v>#NAME?</x:v>
      </x:c>
      <x:c r="T646" s="146" t="e">
        <x:f>IF($A646="","",[1]!thsiFinD("ths_adjustment_nv_fund",T$3,$A646))</x:f>
        <x:v>#NAME?</x:v>
      </x:c>
      <x:c r="U646" s="146" t="e">
        <x:f>IF($A646="","",[1]!thsiFinD("ths_adjustment_nv_fund",U$3,$A646))</x:f>
        <x:v>#NAME?</x:v>
      </x:c>
      <x:c r="V646" s="146" t="e">
        <x:f>IF($A646="","",[1]!thsiFinD("ths_adjustment_nv_fund",V$3,$A646))</x:f>
        <x:v>#NAME?</x:v>
      </x:c>
      <x:c r="W646" s="146" t="e">
        <x:f>IF($A646="","",[1]!thsiFinD("ths_adjustment_nv_fund",W$3,$A646))</x:f>
        <x:v>#NAME?</x:v>
      </x:c>
      <x:c r="X646" s="146" t="e">
        <x:f>IF($A646="","",[1]!thsiFinD("ths_adjustment_nv_fund",X$3,$A646))</x:f>
        <x:v>#NAME?</x:v>
      </x:c>
      <x:c r="Y646" s="146" t="e">
        <x:f>IF($A646="","",[1]!thsiFinD("ths_adjustment_nv_fund",Y$3,$A646))</x:f>
        <x:v>#NAME?</x:v>
      </x:c>
      <x:c r="Z646" s="146" t="e">
        <x:f>IF($A646="","",[1]!thsiFinD("ths_adjustment_nv_fund",Z$3,$A646))</x:f>
        <x:v>#NAME?</x:v>
      </x:c>
      <x:c r="AA646" s="146" t="e">
        <x:f>IF($A646="","",[1]!thsiFinD("ths_adjustment_nv_fund",AA$3,$A646))</x:f>
        <x:v>#NAME?</x:v>
      </x:c>
    </x:row>
    <x:row r="647">
      <x:c r="B647" s="146" t="e">
        <x:f>IF($A647="","",[1]!thsiFinD("ths_adjustment_nv_fund",B$3,$A647))</x:f>
        <x:v>#NAME?</x:v>
      </x:c>
      <x:c r="C647" s="146" t="e">
        <x:f>IF($A647="","",[1]!thsiFinD("ths_adjustment_nv_fund",C$3,$A647))</x:f>
        <x:v>#NAME?</x:v>
      </x:c>
      <x:c r="D647" s="146" t="e">
        <x:f>IF($A647="","",[1]!thsiFinD("ths_adjustment_nv_fund",D$3,$A647))</x:f>
        <x:v>#NAME?</x:v>
      </x:c>
      <x:c r="E647" s="146" t="e">
        <x:f>IF($A647="","",[1]!thsiFinD("ths_adjustment_nv_fund",E$3,$A647))</x:f>
        <x:v>#NAME?</x:v>
      </x:c>
      <x:c r="F647" s="146" t="e">
        <x:f>IF($A647="","",[1]!thsiFinD("ths_adjustment_nv_fund",F$3,$A647))</x:f>
        <x:v>#NAME?</x:v>
      </x:c>
      <x:c r="G647" s="146" t="e">
        <x:f>IF($A647="","",[1]!thsiFinD("ths_adjustment_nv_fund",G$3,$A647))</x:f>
        <x:v>#NAME?</x:v>
      </x:c>
      <x:c r="H647" s="146" t="e">
        <x:f>IF($A647="","",[1]!thsiFinD("ths_adjustment_nv_fund",H$3,$A647))</x:f>
        <x:v>#NAME?</x:v>
      </x:c>
      <x:c r="I647" s="146" t="e">
        <x:f>IF($A647="","",[1]!thsiFinD("ths_adjustment_nv_fund",I$3,$A647))</x:f>
        <x:v>#NAME?</x:v>
      </x:c>
      <x:c r="J647" s="146" t="e">
        <x:f>IF($A647="","",[1]!thsiFinD("ths_adjustment_nv_fund",J$3,$A647))</x:f>
        <x:v>#NAME?</x:v>
      </x:c>
      <x:c r="K647" s="146" t="e">
        <x:f>IF($A647="","",[1]!thsiFinD("ths_adjustment_nv_fund",K$3,$A647))</x:f>
        <x:v>#NAME?</x:v>
      </x:c>
      <x:c r="L647" s="146" t="e">
        <x:f>IF($A647="","",[1]!thsiFinD("ths_adjustment_nv_fund",L$3,$A647))</x:f>
        <x:v>#NAME?</x:v>
      </x:c>
      <x:c r="M647" s="146" t="e">
        <x:f>IF($A647="","",[1]!thsiFinD("ths_adjustment_nv_fund",M$3,$A647))</x:f>
        <x:v>#NAME?</x:v>
      </x:c>
      <x:c r="N647" s="146" t="e">
        <x:f>IF($A647="","",[1]!thsiFinD("ths_adjustment_nv_fund",N$3,$A647))</x:f>
        <x:v>#NAME?</x:v>
      </x:c>
      <x:c r="O647" s="146" t="e">
        <x:f>IF($A647="","",[1]!thsiFinD("ths_adjustment_nv_fund",O$3,$A647))</x:f>
        <x:v>#NAME?</x:v>
      </x:c>
      <x:c r="P647" s="146" t="e">
        <x:f>IF($A647="","",[1]!thsiFinD("ths_adjustment_nv_fund",P$3,$A647))</x:f>
        <x:v>#NAME?</x:v>
      </x:c>
      <x:c r="Q647" s="146" t="e">
        <x:f>IF($A647="","",[1]!thsiFinD("ths_adjustment_nv_fund",Q$3,$A647))</x:f>
        <x:v>#NAME?</x:v>
      </x:c>
      <x:c r="R647" s="146" t="e">
        <x:f>IF($A647="","",[1]!thsiFinD("ths_adjustment_nv_fund",R$3,$A647))</x:f>
        <x:v>#NAME?</x:v>
      </x:c>
      <x:c r="S647" s="146" t="e">
        <x:f>IF($A647="","",[1]!thsiFinD("ths_adjustment_nv_fund",S$3,$A647))</x:f>
        <x:v>#NAME?</x:v>
      </x:c>
      <x:c r="T647" s="146" t="e">
        <x:f>IF($A647="","",[1]!thsiFinD("ths_adjustment_nv_fund",T$3,$A647))</x:f>
        <x:v>#NAME?</x:v>
      </x:c>
      <x:c r="U647" s="146" t="e">
        <x:f>IF($A647="","",[1]!thsiFinD("ths_adjustment_nv_fund",U$3,$A647))</x:f>
        <x:v>#NAME?</x:v>
      </x:c>
      <x:c r="V647" s="146" t="e">
        <x:f>IF($A647="","",[1]!thsiFinD("ths_adjustment_nv_fund",V$3,$A647))</x:f>
        <x:v>#NAME?</x:v>
      </x:c>
      <x:c r="W647" s="146" t="e">
        <x:f>IF($A647="","",[1]!thsiFinD("ths_adjustment_nv_fund",W$3,$A647))</x:f>
        <x:v>#NAME?</x:v>
      </x:c>
      <x:c r="X647" s="146" t="e">
        <x:f>IF($A647="","",[1]!thsiFinD("ths_adjustment_nv_fund",X$3,$A647))</x:f>
        <x:v>#NAME?</x:v>
      </x:c>
      <x:c r="Y647" s="146" t="e">
        <x:f>IF($A647="","",[1]!thsiFinD("ths_adjustment_nv_fund",Y$3,$A647))</x:f>
        <x:v>#NAME?</x:v>
      </x:c>
      <x:c r="Z647" s="146" t="e">
        <x:f>IF($A647="","",[1]!thsiFinD("ths_adjustment_nv_fund",Z$3,$A647))</x:f>
        <x:v>#NAME?</x:v>
      </x:c>
      <x:c r="AA647" s="146" t="e">
        <x:f>IF($A647="","",[1]!thsiFinD("ths_adjustment_nv_fund",AA$3,$A647))</x:f>
        <x:v>#NAME?</x:v>
      </x:c>
    </x:row>
    <x:row r="648">
      <x:c r="B648" s="146" t="e">
        <x:f>IF($A648="","",[1]!thsiFinD("ths_adjustment_nv_fund",B$3,$A648))</x:f>
        <x:v>#NAME?</x:v>
      </x:c>
      <x:c r="C648" s="146" t="e">
        <x:f>IF($A648="","",[1]!thsiFinD("ths_adjustment_nv_fund",C$3,$A648))</x:f>
        <x:v>#NAME?</x:v>
      </x:c>
      <x:c r="D648" s="146" t="e">
        <x:f>IF($A648="","",[1]!thsiFinD("ths_adjustment_nv_fund",D$3,$A648))</x:f>
        <x:v>#NAME?</x:v>
      </x:c>
      <x:c r="E648" s="146" t="e">
        <x:f>IF($A648="","",[1]!thsiFinD("ths_adjustment_nv_fund",E$3,$A648))</x:f>
        <x:v>#NAME?</x:v>
      </x:c>
      <x:c r="F648" s="146" t="e">
        <x:f>IF($A648="","",[1]!thsiFinD("ths_adjustment_nv_fund",F$3,$A648))</x:f>
        <x:v>#NAME?</x:v>
      </x:c>
      <x:c r="G648" s="146" t="e">
        <x:f>IF($A648="","",[1]!thsiFinD("ths_adjustment_nv_fund",G$3,$A648))</x:f>
        <x:v>#NAME?</x:v>
      </x:c>
      <x:c r="H648" s="146" t="e">
        <x:f>IF($A648="","",[1]!thsiFinD("ths_adjustment_nv_fund",H$3,$A648))</x:f>
        <x:v>#NAME?</x:v>
      </x:c>
      <x:c r="I648" s="146" t="e">
        <x:f>IF($A648="","",[1]!thsiFinD("ths_adjustment_nv_fund",I$3,$A648))</x:f>
        <x:v>#NAME?</x:v>
      </x:c>
      <x:c r="J648" s="146" t="e">
        <x:f>IF($A648="","",[1]!thsiFinD("ths_adjustment_nv_fund",J$3,$A648))</x:f>
        <x:v>#NAME?</x:v>
      </x:c>
      <x:c r="K648" s="146" t="e">
        <x:f>IF($A648="","",[1]!thsiFinD("ths_adjustment_nv_fund",K$3,$A648))</x:f>
        <x:v>#NAME?</x:v>
      </x:c>
      <x:c r="L648" s="146" t="e">
        <x:f>IF($A648="","",[1]!thsiFinD("ths_adjustment_nv_fund",L$3,$A648))</x:f>
        <x:v>#NAME?</x:v>
      </x:c>
      <x:c r="M648" s="146" t="e">
        <x:f>IF($A648="","",[1]!thsiFinD("ths_adjustment_nv_fund",M$3,$A648))</x:f>
        <x:v>#NAME?</x:v>
      </x:c>
      <x:c r="N648" s="146" t="e">
        <x:f>IF($A648="","",[1]!thsiFinD("ths_adjustment_nv_fund",N$3,$A648))</x:f>
        <x:v>#NAME?</x:v>
      </x:c>
      <x:c r="O648" s="146" t="e">
        <x:f>IF($A648="","",[1]!thsiFinD("ths_adjustment_nv_fund",O$3,$A648))</x:f>
        <x:v>#NAME?</x:v>
      </x:c>
      <x:c r="P648" s="146" t="e">
        <x:f>IF($A648="","",[1]!thsiFinD("ths_adjustment_nv_fund",P$3,$A648))</x:f>
        <x:v>#NAME?</x:v>
      </x:c>
      <x:c r="Q648" s="146" t="e">
        <x:f>IF($A648="","",[1]!thsiFinD("ths_adjustment_nv_fund",Q$3,$A648))</x:f>
        <x:v>#NAME?</x:v>
      </x:c>
      <x:c r="R648" s="146" t="e">
        <x:f>IF($A648="","",[1]!thsiFinD("ths_adjustment_nv_fund",R$3,$A648))</x:f>
        <x:v>#NAME?</x:v>
      </x:c>
      <x:c r="S648" s="146" t="e">
        <x:f>IF($A648="","",[1]!thsiFinD("ths_adjustment_nv_fund",S$3,$A648))</x:f>
        <x:v>#NAME?</x:v>
      </x:c>
      <x:c r="T648" s="146" t="e">
        <x:f>IF($A648="","",[1]!thsiFinD("ths_adjustment_nv_fund",T$3,$A648))</x:f>
        <x:v>#NAME?</x:v>
      </x:c>
      <x:c r="U648" s="146" t="e">
        <x:f>IF($A648="","",[1]!thsiFinD("ths_adjustment_nv_fund",U$3,$A648))</x:f>
        <x:v>#NAME?</x:v>
      </x:c>
      <x:c r="V648" s="146" t="e">
        <x:f>IF($A648="","",[1]!thsiFinD("ths_adjustment_nv_fund",V$3,$A648))</x:f>
        <x:v>#NAME?</x:v>
      </x:c>
      <x:c r="W648" s="146" t="e">
        <x:f>IF($A648="","",[1]!thsiFinD("ths_adjustment_nv_fund",W$3,$A648))</x:f>
        <x:v>#NAME?</x:v>
      </x:c>
      <x:c r="X648" s="146" t="e">
        <x:f>IF($A648="","",[1]!thsiFinD("ths_adjustment_nv_fund",X$3,$A648))</x:f>
        <x:v>#NAME?</x:v>
      </x:c>
      <x:c r="Y648" s="146" t="e">
        <x:f>IF($A648="","",[1]!thsiFinD("ths_adjustment_nv_fund",Y$3,$A648))</x:f>
        <x:v>#NAME?</x:v>
      </x:c>
      <x:c r="Z648" s="146" t="e">
        <x:f>IF($A648="","",[1]!thsiFinD("ths_adjustment_nv_fund",Z$3,$A648))</x:f>
        <x:v>#NAME?</x:v>
      </x:c>
      <x:c r="AA648" s="146" t="e">
        <x:f>IF($A648="","",[1]!thsiFinD("ths_adjustment_nv_fund",AA$3,$A648))</x:f>
        <x:v>#NAME?</x:v>
      </x:c>
    </x:row>
    <x:row r="649">
      <x:c r="B649" s="146" t="e">
        <x:f>IF($A649="","",[1]!thsiFinD("ths_adjustment_nv_fund",B$3,$A649))</x:f>
        <x:v>#NAME?</x:v>
      </x:c>
      <x:c r="C649" s="146" t="e">
        <x:f>IF($A649="","",[1]!thsiFinD("ths_adjustment_nv_fund",C$3,$A649))</x:f>
        <x:v>#NAME?</x:v>
      </x:c>
      <x:c r="D649" s="146" t="e">
        <x:f>IF($A649="","",[1]!thsiFinD("ths_adjustment_nv_fund",D$3,$A649))</x:f>
        <x:v>#NAME?</x:v>
      </x:c>
      <x:c r="E649" s="146" t="e">
        <x:f>IF($A649="","",[1]!thsiFinD("ths_adjustment_nv_fund",E$3,$A649))</x:f>
        <x:v>#NAME?</x:v>
      </x:c>
      <x:c r="F649" s="146" t="e">
        <x:f>IF($A649="","",[1]!thsiFinD("ths_adjustment_nv_fund",F$3,$A649))</x:f>
        <x:v>#NAME?</x:v>
      </x:c>
      <x:c r="G649" s="146" t="e">
        <x:f>IF($A649="","",[1]!thsiFinD("ths_adjustment_nv_fund",G$3,$A649))</x:f>
        <x:v>#NAME?</x:v>
      </x:c>
      <x:c r="H649" s="146" t="e">
        <x:f>IF($A649="","",[1]!thsiFinD("ths_adjustment_nv_fund",H$3,$A649))</x:f>
        <x:v>#NAME?</x:v>
      </x:c>
      <x:c r="I649" s="146" t="e">
        <x:f>IF($A649="","",[1]!thsiFinD("ths_adjustment_nv_fund",I$3,$A649))</x:f>
        <x:v>#NAME?</x:v>
      </x:c>
      <x:c r="J649" s="146" t="e">
        <x:f>IF($A649="","",[1]!thsiFinD("ths_adjustment_nv_fund",J$3,$A649))</x:f>
        <x:v>#NAME?</x:v>
      </x:c>
      <x:c r="K649" s="146" t="e">
        <x:f>IF($A649="","",[1]!thsiFinD("ths_adjustment_nv_fund",K$3,$A649))</x:f>
        <x:v>#NAME?</x:v>
      </x:c>
      <x:c r="L649" s="146" t="e">
        <x:f>IF($A649="","",[1]!thsiFinD("ths_adjustment_nv_fund",L$3,$A649))</x:f>
        <x:v>#NAME?</x:v>
      </x:c>
      <x:c r="M649" s="146" t="e">
        <x:f>IF($A649="","",[1]!thsiFinD("ths_adjustment_nv_fund",M$3,$A649))</x:f>
        <x:v>#NAME?</x:v>
      </x:c>
      <x:c r="N649" s="146" t="e">
        <x:f>IF($A649="","",[1]!thsiFinD("ths_adjustment_nv_fund",N$3,$A649))</x:f>
        <x:v>#NAME?</x:v>
      </x:c>
      <x:c r="O649" s="146" t="e">
        <x:f>IF($A649="","",[1]!thsiFinD("ths_adjustment_nv_fund",O$3,$A649))</x:f>
        <x:v>#NAME?</x:v>
      </x:c>
      <x:c r="P649" s="146" t="e">
        <x:f>IF($A649="","",[1]!thsiFinD("ths_adjustment_nv_fund",P$3,$A649))</x:f>
        <x:v>#NAME?</x:v>
      </x:c>
      <x:c r="Q649" s="146" t="e">
        <x:f>IF($A649="","",[1]!thsiFinD("ths_adjustment_nv_fund",Q$3,$A649))</x:f>
        <x:v>#NAME?</x:v>
      </x:c>
      <x:c r="R649" s="146" t="e">
        <x:f>IF($A649="","",[1]!thsiFinD("ths_adjustment_nv_fund",R$3,$A649))</x:f>
        <x:v>#NAME?</x:v>
      </x:c>
      <x:c r="S649" s="146" t="e">
        <x:f>IF($A649="","",[1]!thsiFinD("ths_adjustment_nv_fund",S$3,$A649))</x:f>
        <x:v>#NAME?</x:v>
      </x:c>
      <x:c r="T649" s="146" t="e">
        <x:f>IF($A649="","",[1]!thsiFinD("ths_adjustment_nv_fund",T$3,$A649))</x:f>
        <x:v>#NAME?</x:v>
      </x:c>
      <x:c r="U649" s="146" t="e">
        <x:f>IF($A649="","",[1]!thsiFinD("ths_adjustment_nv_fund",U$3,$A649))</x:f>
        <x:v>#NAME?</x:v>
      </x:c>
      <x:c r="V649" s="146" t="e">
        <x:f>IF($A649="","",[1]!thsiFinD("ths_adjustment_nv_fund",V$3,$A649))</x:f>
        <x:v>#NAME?</x:v>
      </x:c>
      <x:c r="W649" s="146" t="e">
        <x:f>IF($A649="","",[1]!thsiFinD("ths_adjustment_nv_fund",W$3,$A649))</x:f>
        <x:v>#NAME?</x:v>
      </x:c>
      <x:c r="X649" s="146" t="e">
        <x:f>IF($A649="","",[1]!thsiFinD("ths_adjustment_nv_fund",X$3,$A649))</x:f>
        <x:v>#NAME?</x:v>
      </x:c>
      <x:c r="Y649" s="146" t="e">
        <x:f>IF($A649="","",[1]!thsiFinD("ths_adjustment_nv_fund",Y$3,$A649))</x:f>
        <x:v>#NAME?</x:v>
      </x:c>
      <x:c r="Z649" s="146" t="e">
        <x:f>IF($A649="","",[1]!thsiFinD("ths_adjustment_nv_fund",Z$3,$A649))</x:f>
        <x:v>#NAME?</x:v>
      </x:c>
      <x:c r="AA649" s="146" t="e">
        <x:f>IF($A649="","",[1]!thsiFinD("ths_adjustment_nv_fund",AA$3,$A649))</x:f>
        <x:v>#NAME?</x:v>
      </x:c>
    </x:row>
    <x:row r="650">
      <x:c r="B650" s="146" t="e">
        <x:f>IF($A650="","",[1]!thsiFinD("ths_adjustment_nv_fund",B$3,$A650))</x:f>
        <x:v>#NAME?</x:v>
      </x:c>
      <x:c r="C650" s="146" t="e">
        <x:f>IF($A650="","",[1]!thsiFinD("ths_adjustment_nv_fund",C$3,$A650))</x:f>
        <x:v>#NAME?</x:v>
      </x:c>
      <x:c r="D650" s="146" t="e">
        <x:f>IF($A650="","",[1]!thsiFinD("ths_adjustment_nv_fund",D$3,$A650))</x:f>
        <x:v>#NAME?</x:v>
      </x:c>
      <x:c r="E650" s="146" t="e">
        <x:f>IF($A650="","",[1]!thsiFinD("ths_adjustment_nv_fund",E$3,$A650))</x:f>
        <x:v>#NAME?</x:v>
      </x:c>
      <x:c r="F650" s="146" t="e">
        <x:f>IF($A650="","",[1]!thsiFinD("ths_adjustment_nv_fund",F$3,$A650))</x:f>
        <x:v>#NAME?</x:v>
      </x:c>
      <x:c r="G650" s="146" t="e">
        <x:f>IF($A650="","",[1]!thsiFinD("ths_adjustment_nv_fund",G$3,$A650))</x:f>
        <x:v>#NAME?</x:v>
      </x:c>
      <x:c r="H650" s="146" t="e">
        <x:f>IF($A650="","",[1]!thsiFinD("ths_adjustment_nv_fund",H$3,$A650))</x:f>
        <x:v>#NAME?</x:v>
      </x:c>
      <x:c r="I650" s="146" t="e">
        <x:f>IF($A650="","",[1]!thsiFinD("ths_adjustment_nv_fund",I$3,$A650))</x:f>
        <x:v>#NAME?</x:v>
      </x:c>
      <x:c r="J650" s="146" t="e">
        <x:f>IF($A650="","",[1]!thsiFinD("ths_adjustment_nv_fund",J$3,$A650))</x:f>
        <x:v>#NAME?</x:v>
      </x:c>
      <x:c r="K650" s="146" t="e">
        <x:f>IF($A650="","",[1]!thsiFinD("ths_adjustment_nv_fund",K$3,$A650))</x:f>
        <x:v>#NAME?</x:v>
      </x:c>
      <x:c r="L650" s="146" t="e">
        <x:f>IF($A650="","",[1]!thsiFinD("ths_adjustment_nv_fund",L$3,$A650))</x:f>
        <x:v>#NAME?</x:v>
      </x:c>
      <x:c r="M650" s="146" t="e">
        <x:f>IF($A650="","",[1]!thsiFinD("ths_adjustment_nv_fund",M$3,$A650))</x:f>
        <x:v>#NAME?</x:v>
      </x:c>
      <x:c r="N650" s="146" t="e">
        <x:f>IF($A650="","",[1]!thsiFinD("ths_adjustment_nv_fund",N$3,$A650))</x:f>
        <x:v>#NAME?</x:v>
      </x:c>
      <x:c r="O650" s="146" t="e">
        <x:f>IF($A650="","",[1]!thsiFinD("ths_adjustment_nv_fund",O$3,$A650))</x:f>
        <x:v>#NAME?</x:v>
      </x:c>
      <x:c r="P650" s="146" t="e">
        <x:f>IF($A650="","",[1]!thsiFinD("ths_adjustment_nv_fund",P$3,$A650))</x:f>
        <x:v>#NAME?</x:v>
      </x:c>
      <x:c r="Q650" s="146" t="e">
        <x:f>IF($A650="","",[1]!thsiFinD("ths_adjustment_nv_fund",Q$3,$A650))</x:f>
        <x:v>#NAME?</x:v>
      </x:c>
      <x:c r="R650" s="146" t="e">
        <x:f>IF($A650="","",[1]!thsiFinD("ths_adjustment_nv_fund",R$3,$A650))</x:f>
        <x:v>#NAME?</x:v>
      </x:c>
      <x:c r="S650" s="146" t="e">
        <x:f>IF($A650="","",[1]!thsiFinD("ths_adjustment_nv_fund",S$3,$A650))</x:f>
        <x:v>#NAME?</x:v>
      </x:c>
      <x:c r="T650" s="146" t="e">
        <x:f>IF($A650="","",[1]!thsiFinD("ths_adjustment_nv_fund",T$3,$A650))</x:f>
        <x:v>#NAME?</x:v>
      </x:c>
      <x:c r="U650" s="146" t="e">
        <x:f>IF($A650="","",[1]!thsiFinD("ths_adjustment_nv_fund",U$3,$A650))</x:f>
        <x:v>#NAME?</x:v>
      </x:c>
      <x:c r="V650" s="146" t="e">
        <x:f>IF($A650="","",[1]!thsiFinD("ths_adjustment_nv_fund",V$3,$A650))</x:f>
        <x:v>#NAME?</x:v>
      </x:c>
      <x:c r="W650" s="146" t="e">
        <x:f>IF($A650="","",[1]!thsiFinD("ths_adjustment_nv_fund",W$3,$A650))</x:f>
        <x:v>#NAME?</x:v>
      </x:c>
      <x:c r="X650" s="146" t="e">
        <x:f>IF($A650="","",[1]!thsiFinD("ths_adjustment_nv_fund",X$3,$A650))</x:f>
        <x:v>#NAME?</x:v>
      </x:c>
      <x:c r="Y650" s="146" t="e">
        <x:f>IF($A650="","",[1]!thsiFinD("ths_adjustment_nv_fund",Y$3,$A650))</x:f>
        <x:v>#NAME?</x:v>
      </x:c>
      <x:c r="Z650" s="146" t="e">
        <x:f>IF($A650="","",[1]!thsiFinD("ths_adjustment_nv_fund",Z$3,$A650))</x:f>
        <x:v>#NAME?</x:v>
      </x:c>
      <x:c r="AA650" s="146" t="e">
        <x:f>IF($A650="","",[1]!thsiFinD("ths_adjustment_nv_fund",AA$3,$A650))</x:f>
        <x:v>#NAME?</x:v>
      </x:c>
    </x:row>
    <x:row r="651">
      <x:c r="B651" s="146" t="e">
        <x:f>IF($A651="","",[1]!thsiFinD("ths_adjustment_nv_fund",B$3,$A651))</x:f>
        <x:v>#NAME?</x:v>
      </x:c>
      <x:c r="C651" s="146" t="e">
        <x:f>IF($A651="","",[1]!thsiFinD("ths_adjustment_nv_fund",C$3,$A651))</x:f>
        <x:v>#NAME?</x:v>
      </x:c>
      <x:c r="D651" s="146" t="e">
        <x:f>IF($A651="","",[1]!thsiFinD("ths_adjustment_nv_fund",D$3,$A651))</x:f>
        <x:v>#NAME?</x:v>
      </x:c>
      <x:c r="E651" s="146" t="e">
        <x:f>IF($A651="","",[1]!thsiFinD("ths_adjustment_nv_fund",E$3,$A651))</x:f>
        <x:v>#NAME?</x:v>
      </x:c>
      <x:c r="F651" s="146" t="e">
        <x:f>IF($A651="","",[1]!thsiFinD("ths_adjustment_nv_fund",F$3,$A651))</x:f>
        <x:v>#NAME?</x:v>
      </x:c>
      <x:c r="G651" s="146" t="e">
        <x:f>IF($A651="","",[1]!thsiFinD("ths_adjustment_nv_fund",G$3,$A651))</x:f>
        <x:v>#NAME?</x:v>
      </x:c>
      <x:c r="H651" s="146" t="e">
        <x:f>IF($A651="","",[1]!thsiFinD("ths_adjustment_nv_fund",H$3,$A651))</x:f>
        <x:v>#NAME?</x:v>
      </x:c>
      <x:c r="I651" s="146" t="e">
        <x:f>IF($A651="","",[1]!thsiFinD("ths_adjustment_nv_fund",I$3,$A651))</x:f>
        <x:v>#NAME?</x:v>
      </x:c>
      <x:c r="J651" s="146" t="e">
        <x:f>IF($A651="","",[1]!thsiFinD("ths_adjustment_nv_fund",J$3,$A651))</x:f>
        <x:v>#NAME?</x:v>
      </x:c>
      <x:c r="K651" s="146" t="e">
        <x:f>IF($A651="","",[1]!thsiFinD("ths_adjustment_nv_fund",K$3,$A651))</x:f>
        <x:v>#NAME?</x:v>
      </x:c>
      <x:c r="L651" s="146" t="e">
        <x:f>IF($A651="","",[1]!thsiFinD("ths_adjustment_nv_fund",L$3,$A651))</x:f>
        <x:v>#NAME?</x:v>
      </x:c>
      <x:c r="M651" s="146" t="e">
        <x:f>IF($A651="","",[1]!thsiFinD("ths_adjustment_nv_fund",M$3,$A651))</x:f>
        <x:v>#NAME?</x:v>
      </x:c>
      <x:c r="N651" s="146" t="e">
        <x:f>IF($A651="","",[1]!thsiFinD("ths_adjustment_nv_fund",N$3,$A651))</x:f>
        <x:v>#NAME?</x:v>
      </x:c>
      <x:c r="O651" s="146" t="e">
        <x:f>IF($A651="","",[1]!thsiFinD("ths_adjustment_nv_fund",O$3,$A651))</x:f>
        <x:v>#NAME?</x:v>
      </x:c>
      <x:c r="P651" s="146" t="e">
        <x:f>IF($A651="","",[1]!thsiFinD("ths_adjustment_nv_fund",P$3,$A651))</x:f>
        <x:v>#NAME?</x:v>
      </x:c>
      <x:c r="Q651" s="146" t="e">
        <x:f>IF($A651="","",[1]!thsiFinD("ths_adjustment_nv_fund",Q$3,$A651))</x:f>
        <x:v>#NAME?</x:v>
      </x:c>
      <x:c r="R651" s="146" t="e">
        <x:f>IF($A651="","",[1]!thsiFinD("ths_adjustment_nv_fund",R$3,$A651))</x:f>
        <x:v>#NAME?</x:v>
      </x:c>
      <x:c r="S651" s="146" t="e">
        <x:f>IF($A651="","",[1]!thsiFinD("ths_adjustment_nv_fund",S$3,$A651))</x:f>
        <x:v>#NAME?</x:v>
      </x:c>
      <x:c r="T651" s="146" t="e">
        <x:f>IF($A651="","",[1]!thsiFinD("ths_adjustment_nv_fund",T$3,$A651))</x:f>
        <x:v>#NAME?</x:v>
      </x:c>
      <x:c r="U651" s="146" t="e">
        <x:f>IF($A651="","",[1]!thsiFinD("ths_adjustment_nv_fund",U$3,$A651))</x:f>
        <x:v>#NAME?</x:v>
      </x:c>
      <x:c r="V651" s="146" t="e">
        <x:f>IF($A651="","",[1]!thsiFinD("ths_adjustment_nv_fund",V$3,$A651))</x:f>
        <x:v>#NAME?</x:v>
      </x:c>
      <x:c r="W651" s="146" t="e">
        <x:f>IF($A651="","",[1]!thsiFinD("ths_adjustment_nv_fund",W$3,$A651))</x:f>
        <x:v>#NAME?</x:v>
      </x:c>
      <x:c r="X651" s="146" t="e">
        <x:f>IF($A651="","",[1]!thsiFinD("ths_adjustment_nv_fund",X$3,$A651))</x:f>
        <x:v>#NAME?</x:v>
      </x:c>
      <x:c r="Y651" s="146" t="e">
        <x:f>IF($A651="","",[1]!thsiFinD("ths_adjustment_nv_fund",Y$3,$A651))</x:f>
        <x:v>#NAME?</x:v>
      </x:c>
      <x:c r="Z651" s="146" t="e">
        <x:f>IF($A651="","",[1]!thsiFinD("ths_adjustment_nv_fund",Z$3,$A651))</x:f>
        <x:v>#NAME?</x:v>
      </x:c>
      <x:c r="AA651" s="146" t="e">
        <x:f>IF($A651="","",[1]!thsiFinD("ths_adjustment_nv_fund",AA$3,$A651))</x:f>
        <x:v>#NAME?</x:v>
      </x:c>
    </x:row>
    <x:row r="652">
      <x:c r="B652" s="146" t="e">
        <x:f>IF($A652="","",[1]!thsiFinD("ths_adjustment_nv_fund",B$3,$A652))</x:f>
        <x:v>#NAME?</x:v>
      </x:c>
      <x:c r="C652" s="146" t="e">
        <x:f>IF($A652="","",[1]!thsiFinD("ths_adjustment_nv_fund",C$3,$A652))</x:f>
        <x:v>#NAME?</x:v>
      </x:c>
      <x:c r="D652" s="146" t="e">
        <x:f>IF($A652="","",[1]!thsiFinD("ths_adjustment_nv_fund",D$3,$A652))</x:f>
        <x:v>#NAME?</x:v>
      </x:c>
      <x:c r="E652" s="146" t="e">
        <x:f>IF($A652="","",[1]!thsiFinD("ths_adjustment_nv_fund",E$3,$A652))</x:f>
        <x:v>#NAME?</x:v>
      </x:c>
      <x:c r="F652" s="146" t="e">
        <x:f>IF($A652="","",[1]!thsiFinD("ths_adjustment_nv_fund",F$3,$A652))</x:f>
        <x:v>#NAME?</x:v>
      </x:c>
      <x:c r="G652" s="146" t="e">
        <x:f>IF($A652="","",[1]!thsiFinD("ths_adjustment_nv_fund",G$3,$A652))</x:f>
        <x:v>#NAME?</x:v>
      </x:c>
      <x:c r="H652" s="146" t="e">
        <x:f>IF($A652="","",[1]!thsiFinD("ths_adjustment_nv_fund",H$3,$A652))</x:f>
        <x:v>#NAME?</x:v>
      </x:c>
      <x:c r="I652" s="146" t="e">
        <x:f>IF($A652="","",[1]!thsiFinD("ths_adjustment_nv_fund",I$3,$A652))</x:f>
        <x:v>#NAME?</x:v>
      </x:c>
      <x:c r="J652" s="146" t="e">
        <x:f>IF($A652="","",[1]!thsiFinD("ths_adjustment_nv_fund",J$3,$A652))</x:f>
        <x:v>#NAME?</x:v>
      </x:c>
      <x:c r="K652" s="146" t="e">
        <x:f>IF($A652="","",[1]!thsiFinD("ths_adjustment_nv_fund",K$3,$A652))</x:f>
        <x:v>#NAME?</x:v>
      </x:c>
      <x:c r="L652" s="146" t="e">
        <x:f>IF($A652="","",[1]!thsiFinD("ths_adjustment_nv_fund",L$3,$A652))</x:f>
        <x:v>#NAME?</x:v>
      </x:c>
      <x:c r="M652" s="146" t="e">
        <x:f>IF($A652="","",[1]!thsiFinD("ths_adjustment_nv_fund",M$3,$A652))</x:f>
        <x:v>#NAME?</x:v>
      </x:c>
      <x:c r="N652" s="146" t="e">
        <x:f>IF($A652="","",[1]!thsiFinD("ths_adjustment_nv_fund",N$3,$A652))</x:f>
        <x:v>#NAME?</x:v>
      </x:c>
      <x:c r="O652" s="146" t="e">
        <x:f>IF($A652="","",[1]!thsiFinD("ths_adjustment_nv_fund",O$3,$A652))</x:f>
        <x:v>#NAME?</x:v>
      </x:c>
      <x:c r="P652" s="146" t="e">
        <x:f>IF($A652="","",[1]!thsiFinD("ths_adjustment_nv_fund",P$3,$A652))</x:f>
        <x:v>#NAME?</x:v>
      </x:c>
      <x:c r="Q652" s="146" t="e">
        <x:f>IF($A652="","",[1]!thsiFinD("ths_adjustment_nv_fund",Q$3,$A652))</x:f>
        <x:v>#NAME?</x:v>
      </x:c>
      <x:c r="R652" s="146" t="e">
        <x:f>IF($A652="","",[1]!thsiFinD("ths_adjustment_nv_fund",R$3,$A652))</x:f>
        <x:v>#NAME?</x:v>
      </x:c>
      <x:c r="S652" s="146" t="e">
        <x:f>IF($A652="","",[1]!thsiFinD("ths_adjustment_nv_fund",S$3,$A652))</x:f>
        <x:v>#NAME?</x:v>
      </x:c>
      <x:c r="T652" s="146" t="e">
        <x:f>IF($A652="","",[1]!thsiFinD("ths_adjustment_nv_fund",T$3,$A652))</x:f>
        <x:v>#NAME?</x:v>
      </x:c>
      <x:c r="U652" s="146" t="e">
        <x:f>IF($A652="","",[1]!thsiFinD("ths_adjustment_nv_fund",U$3,$A652))</x:f>
        <x:v>#NAME?</x:v>
      </x:c>
      <x:c r="V652" s="146" t="e">
        <x:f>IF($A652="","",[1]!thsiFinD("ths_adjustment_nv_fund",V$3,$A652))</x:f>
        <x:v>#NAME?</x:v>
      </x:c>
      <x:c r="W652" s="146" t="e">
        <x:f>IF($A652="","",[1]!thsiFinD("ths_adjustment_nv_fund",W$3,$A652))</x:f>
        <x:v>#NAME?</x:v>
      </x:c>
      <x:c r="X652" s="146" t="e">
        <x:f>IF($A652="","",[1]!thsiFinD("ths_adjustment_nv_fund",X$3,$A652))</x:f>
        <x:v>#NAME?</x:v>
      </x:c>
      <x:c r="Y652" s="146" t="e">
        <x:f>IF($A652="","",[1]!thsiFinD("ths_adjustment_nv_fund",Y$3,$A652))</x:f>
        <x:v>#NAME?</x:v>
      </x:c>
      <x:c r="Z652" s="146" t="e">
        <x:f>IF($A652="","",[1]!thsiFinD("ths_adjustment_nv_fund",Z$3,$A652))</x:f>
        <x:v>#NAME?</x:v>
      </x:c>
      <x:c r="AA652" s="146" t="e">
        <x:f>IF($A652="","",[1]!thsiFinD("ths_adjustment_nv_fund",AA$3,$A652))</x:f>
        <x:v>#NAME?</x:v>
      </x:c>
    </x:row>
    <x:row r="653">
      <x:c r="B653" s="146" t="e">
        <x:f>IF($A653="","",[1]!thsiFinD("ths_adjustment_nv_fund",B$3,$A653))</x:f>
        <x:v>#NAME?</x:v>
      </x:c>
      <x:c r="C653" s="146" t="e">
        <x:f>IF($A653="","",[1]!thsiFinD("ths_adjustment_nv_fund",C$3,$A653))</x:f>
        <x:v>#NAME?</x:v>
      </x:c>
      <x:c r="D653" s="146" t="e">
        <x:f>IF($A653="","",[1]!thsiFinD("ths_adjustment_nv_fund",D$3,$A653))</x:f>
        <x:v>#NAME?</x:v>
      </x:c>
      <x:c r="E653" s="146" t="e">
        <x:f>IF($A653="","",[1]!thsiFinD("ths_adjustment_nv_fund",E$3,$A653))</x:f>
        <x:v>#NAME?</x:v>
      </x:c>
      <x:c r="F653" s="146" t="e">
        <x:f>IF($A653="","",[1]!thsiFinD("ths_adjustment_nv_fund",F$3,$A653))</x:f>
        <x:v>#NAME?</x:v>
      </x:c>
      <x:c r="G653" s="146" t="e">
        <x:f>IF($A653="","",[1]!thsiFinD("ths_adjustment_nv_fund",G$3,$A653))</x:f>
        <x:v>#NAME?</x:v>
      </x:c>
      <x:c r="H653" s="146" t="e">
        <x:f>IF($A653="","",[1]!thsiFinD("ths_adjustment_nv_fund",H$3,$A653))</x:f>
        <x:v>#NAME?</x:v>
      </x:c>
      <x:c r="I653" s="146" t="e">
        <x:f>IF($A653="","",[1]!thsiFinD("ths_adjustment_nv_fund",I$3,$A653))</x:f>
        <x:v>#NAME?</x:v>
      </x:c>
      <x:c r="J653" s="146" t="e">
        <x:f>IF($A653="","",[1]!thsiFinD("ths_adjustment_nv_fund",J$3,$A653))</x:f>
        <x:v>#NAME?</x:v>
      </x:c>
      <x:c r="K653" s="146" t="e">
        <x:f>IF($A653="","",[1]!thsiFinD("ths_adjustment_nv_fund",K$3,$A653))</x:f>
        <x:v>#NAME?</x:v>
      </x:c>
      <x:c r="L653" s="146" t="e">
        <x:f>IF($A653="","",[1]!thsiFinD("ths_adjustment_nv_fund",L$3,$A653))</x:f>
        <x:v>#NAME?</x:v>
      </x:c>
      <x:c r="M653" s="146" t="e">
        <x:f>IF($A653="","",[1]!thsiFinD("ths_adjustment_nv_fund",M$3,$A653))</x:f>
        <x:v>#NAME?</x:v>
      </x:c>
      <x:c r="N653" s="146" t="e">
        <x:f>IF($A653="","",[1]!thsiFinD("ths_adjustment_nv_fund",N$3,$A653))</x:f>
        <x:v>#NAME?</x:v>
      </x:c>
      <x:c r="O653" s="146" t="e">
        <x:f>IF($A653="","",[1]!thsiFinD("ths_adjustment_nv_fund",O$3,$A653))</x:f>
        <x:v>#NAME?</x:v>
      </x:c>
      <x:c r="P653" s="146" t="e">
        <x:f>IF($A653="","",[1]!thsiFinD("ths_adjustment_nv_fund",P$3,$A653))</x:f>
        <x:v>#NAME?</x:v>
      </x:c>
      <x:c r="Q653" s="146" t="e">
        <x:f>IF($A653="","",[1]!thsiFinD("ths_adjustment_nv_fund",Q$3,$A653))</x:f>
        <x:v>#NAME?</x:v>
      </x:c>
      <x:c r="R653" s="146" t="e">
        <x:f>IF($A653="","",[1]!thsiFinD("ths_adjustment_nv_fund",R$3,$A653))</x:f>
        <x:v>#NAME?</x:v>
      </x:c>
      <x:c r="S653" s="146" t="e">
        <x:f>IF($A653="","",[1]!thsiFinD("ths_adjustment_nv_fund",S$3,$A653))</x:f>
        <x:v>#NAME?</x:v>
      </x:c>
      <x:c r="T653" s="146" t="e">
        <x:f>IF($A653="","",[1]!thsiFinD("ths_adjustment_nv_fund",T$3,$A653))</x:f>
        <x:v>#NAME?</x:v>
      </x:c>
      <x:c r="U653" s="146" t="e">
        <x:f>IF($A653="","",[1]!thsiFinD("ths_adjustment_nv_fund",U$3,$A653))</x:f>
        <x:v>#NAME?</x:v>
      </x:c>
      <x:c r="V653" s="146" t="e">
        <x:f>IF($A653="","",[1]!thsiFinD("ths_adjustment_nv_fund",V$3,$A653))</x:f>
        <x:v>#NAME?</x:v>
      </x:c>
      <x:c r="W653" s="146" t="e">
        <x:f>IF($A653="","",[1]!thsiFinD("ths_adjustment_nv_fund",W$3,$A653))</x:f>
        <x:v>#NAME?</x:v>
      </x:c>
      <x:c r="X653" s="146" t="e">
        <x:f>IF($A653="","",[1]!thsiFinD("ths_adjustment_nv_fund",X$3,$A653))</x:f>
        <x:v>#NAME?</x:v>
      </x:c>
      <x:c r="Y653" s="146" t="e">
        <x:f>IF($A653="","",[1]!thsiFinD("ths_adjustment_nv_fund",Y$3,$A653))</x:f>
        <x:v>#NAME?</x:v>
      </x:c>
      <x:c r="Z653" s="146" t="e">
        <x:f>IF($A653="","",[1]!thsiFinD("ths_adjustment_nv_fund",Z$3,$A653))</x:f>
        <x:v>#NAME?</x:v>
      </x:c>
      <x:c r="AA653" s="146" t="e">
        <x:f>IF($A653="","",[1]!thsiFinD("ths_adjustment_nv_fund",AA$3,$A653))</x:f>
        <x:v>#NAME?</x:v>
      </x:c>
    </x:row>
    <x:row r="654">
      <x:c r="B654" s="146" t="e">
        <x:f>IF($A654="","",[1]!thsiFinD("ths_adjustment_nv_fund",B$3,$A654))</x:f>
        <x:v>#NAME?</x:v>
      </x:c>
      <x:c r="C654" s="146" t="e">
        <x:f>IF($A654="","",[1]!thsiFinD("ths_adjustment_nv_fund",C$3,$A654))</x:f>
        <x:v>#NAME?</x:v>
      </x:c>
      <x:c r="D654" s="146" t="e">
        <x:f>IF($A654="","",[1]!thsiFinD("ths_adjustment_nv_fund",D$3,$A654))</x:f>
        <x:v>#NAME?</x:v>
      </x:c>
      <x:c r="E654" s="146" t="e">
        <x:f>IF($A654="","",[1]!thsiFinD("ths_adjustment_nv_fund",E$3,$A654))</x:f>
        <x:v>#NAME?</x:v>
      </x:c>
      <x:c r="F654" s="146" t="e">
        <x:f>IF($A654="","",[1]!thsiFinD("ths_adjustment_nv_fund",F$3,$A654))</x:f>
        <x:v>#NAME?</x:v>
      </x:c>
      <x:c r="G654" s="146" t="e">
        <x:f>IF($A654="","",[1]!thsiFinD("ths_adjustment_nv_fund",G$3,$A654))</x:f>
        <x:v>#NAME?</x:v>
      </x:c>
      <x:c r="H654" s="146" t="e">
        <x:f>IF($A654="","",[1]!thsiFinD("ths_adjustment_nv_fund",H$3,$A654))</x:f>
        <x:v>#NAME?</x:v>
      </x:c>
      <x:c r="I654" s="146" t="e">
        <x:f>IF($A654="","",[1]!thsiFinD("ths_adjustment_nv_fund",I$3,$A654))</x:f>
        <x:v>#NAME?</x:v>
      </x:c>
      <x:c r="J654" s="146" t="e">
        <x:f>IF($A654="","",[1]!thsiFinD("ths_adjustment_nv_fund",J$3,$A654))</x:f>
        <x:v>#NAME?</x:v>
      </x:c>
      <x:c r="K654" s="146" t="e">
        <x:f>IF($A654="","",[1]!thsiFinD("ths_adjustment_nv_fund",K$3,$A654))</x:f>
        <x:v>#NAME?</x:v>
      </x:c>
      <x:c r="L654" s="146" t="e">
        <x:f>IF($A654="","",[1]!thsiFinD("ths_adjustment_nv_fund",L$3,$A654))</x:f>
        <x:v>#NAME?</x:v>
      </x:c>
      <x:c r="M654" s="146" t="e">
        <x:f>IF($A654="","",[1]!thsiFinD("ths_adjustment_nv_fund",M$3,$A654))</x:f>
        <x:v>#NAME?</x:v>
      </x:c>
      <x:c r="N654" s="146" t="e">
        <x:f>IF($A654="","",[1]!thsiFinD("ths_adjustment_nv_fund",N$3,$A654))</x:f>
        <x:v>#NAME?</x:v>
      </x:c>
      <x:c r="O654" s="146" t="e">
        <x:f>IF($A654="","",[1]!thsiFinD("ths_adjustment_nv_fund",O$3,$A654))</x:f>
        <x:v>#NAME?</x:v>
      </x:c>
      <x:c r="P654" s="146" t="e">
        <x:f>IF($A654="","",[1]!thsiFinD("ths_adjustment_nv_fund",P$3,$A654))</x:f>
        <x:v>#NAME?</x:v>
      </x:c>
      <x:c r="Q654" s="146" t="e">
        <x:f>IF($A654="","",[1]!thsiFinD("ths_adjustment_nv_fund",Q$3,$A654))</x:f>
        <x:v>#NAME?</x:v>
      </x:c>
      <x:c r="R654" s="146" t="e">
        <x:f>IF($A654="","",[1]!thsiFinD("ths_adjustment_nv_fund",R$3,$A654))</x:f>
        <x:v>#NAME?</x:v>
      </x:c>
      <x:c r="S654" s="146" t="e">
        <x:f>IF($A654="","",[1]!thsiFinD("ths_adjustment_nv_fund",S$3,$A654))</x:f>
        <x:v>#NAME?</x:v>
      </x:c>
      <x:c r="T654" s="146" t="e">
        <x:f>IF($A654="","",[1]!thsiFinD("ths_adjustment_nv_fund",T$3,$A654))</x:f>
        <x:v>#NAME?</x:v>
      </x:c>
      <x:c r="U654" s="146" t="e">
        <x:f>IF($A654="","",[1]!thsiFinD("ths_adjustment_nv_fund",U$3,$A654))</x:f>
        <x:v>#NAME?</x:v>
      </x:c>
      <x:c r="V654" s="146" t="e">
        <x:f>IF($A654="","",[1]!thsiFinD("ths_adjustment_nv_fund",V$3,$A654))</x:f>
        <x:v>#NAME?</x:v>
      </x:c>
      <x:c r="W654" s="146" t="e">
        <x:f>IF($A654="","",[1]!thsiFinD("ths_adjustment_nv_fund",W$3,$A654))</x:f>
        <x:v>#NAME?</x:v>
      </x:c>
      <x:c r="X654" s="146" t="e">
        <x:f>IF($A654="","",[1]!thsiFinD("ths_adjustment_nv_fund",X$3,$A654))</x:f>
        <x:v>#NAME?</x:v>
      </x:c>
      <x:c r="Y654" s="146" t="e">
        <x:f>IF($A654="","",[1]!thsiFinD("ths_adjustment_nv_fund",Y$3,$A654))</x:f>
        <x:v>#NAME?</x:v>
      </x:c>
      <x:c r="Z654" s="146" t="e">
        <x:f>IF($A654="","",[1]!thsiFinD("ths_adjustment_nv_fund",Z$3,$A654))</x:f>
        <x:v>#NAME?</x:v>
      </x:c>
      <x:c r="AA654" s="146" t="e">
        <x:f>IF($A654="","",[1]!thsiFinD("ths_adjustment_nv_fund",AA$3,$A654))</x:f>
        <x:v>#NAME?</x:v>
      </x:c>
    </x:row>
    <x:row r="655">
      <x:c r="B655" s="146" t="e">
        <x:f>IF($A655="","",[1]!thsiFinD("ths_adjustment_nv_fund",B$3,$A655))</x:f>
        <x:v>#NAME?</x:v>
      </x:c>
      <x:c r="C655" s="146" t="e">
        <x:f>IF($A655="","",[1]!thsiFinD("ths_adjustment_nv_fund",C$3,$A655))</x:f>
        <x:v>#NAME?</x:v>
      </x:c>
      <x:c r="D655" s="146" t="e">
        <x:f>IF($A655="","",[1]!thsiFinD("ths_adjustment_nv_fund",D$3,$A655))</x:f>
        <x:v>#NAME?</x:v>
      </x:c>
      <x:c r="E655" s="146" t="e">
        <x:f>IF($A655="","",[1]!thsiFinD("ths_adjustment_nv_fund",E$3,$A655))</x:f>
        <x:v>#NAME?</x:v>
      </x:c>
      <x:c r="F655" s="146" t="e">
        <x:f>IF($A655="","",[1]!thsiFinD("ths_adjustment_nv_fund",F$3,$A655))</x:f>
        <x:v>#NAME?</x:v>
      </x:c>
      <x:c r="G655" s="146" t="e">
        <x:f>IF($A655="","",[1]!thsiFinD("ths_adjustment_nv_fund",G$3,$A655))</x:f>
        <x:v>#NAME?</x:v>
      </x:c>
      <x:c r="H655" s="146" t="e">
        <x:f>IF($A655="","",[1]!thsiFinD("ths_adjustment_nv_fund",H$3,$A655))</x:f>
        <x:v>#NAME?</x:v>
      </x:c>
      <x:c r="I655" s="146" t="e">
        <x:f>IF($A655="","",[1]!thsiFinD("ths_adjustment_nv_fund",I$3,$A655))</x:f>
        <x:v>#NAME?</x:v>
      </x:c>
      <x:c r="J655" s="146" t="e">
        <x:f>IF($A655="","",[1]!thsiFinD("ths_adjustment_nv_fund",J$3,$A655))</x:f>
        <x:v>#NAME?</x:v>
      </x:c>
      <x:c r="K655" s="146" t="e">
        <x:f>IF($A655="","",[1]!thsiFinD("ths_adjustment_nv_fund",K$3,$A655))</x:f>
        <x:v>#NAME?</x:v>
      </x:c>
      <x:c r="L655" s="146" t="e">
        <x:f>IF($A655="","",[1]!thsiFinD("ths_adjustment_nv_fund",L$3,$A655))</x:f>
        <x:v>#NAME?</x:v>
      </x:c>
      <x:c r="M655" s="146" t="e">
        <x:f>IF($A655="","",[1]!thsiFinD("ths_adjustment_nv_fund",M$3,$A655))</x:f>
        <x:v>#NAME?</x:v>
      </x:c>
      <x:c r="N655" s="146" t="e">
        <x:f>IF($A655="","",[1]!thsiFinD("ths_adjustment_nv_fund",N$3,$A655))</x:f>
        <x:v>#NAME?</x:v>
      </x:c>
      <x:c r="O655" s="146" t="e">
        <x:f>IF($A655="","",[1]!thsiFinD("ths_adjustment_nv_fund",O$3,$A655))</x:f>
        <x:v>#NAME?</x:v>
      </x:c>
      <x:c r="P655" s="146" t="e">
        <x:f>IF($A655="","",[1]!thsiFinD("ths_adjustment_nv_fund",P$3,$A655))</x:f>
        <x:v>#NAME?</x:v>
      </x:c>
      <x:c r="Q655" s="146" t="e">
        <x:f>IF($A655="","",[1]!thsiFinD("ths_adjustment_nv_fund",Q$3,$A655))</x:f>
        <x:v>#NAME?</x:v>
      </x:c>
      <x:c r="R655" s="146" t="e">
        <x:f>IF($A655="","",[1]!thsiFinD("ths_adjustment_nv_fund",R$3,$A655))</x:f>
        <x:v>#NAME?</x:v>
      </x:c>
      <x:c r="S655" s="146" t="e">
        <x:f>IF($A655="","",[1]!thsiFinD("ths_adjustment_nv_fund",S$3,$A655))</x:f>
        <x:v>#NAME?</x:v>
      </x:c>
      <x:c r="T655" s="146" t="e">
        <x:f>IF($A655="","",[1]!thsiFinD("ths_adjustment_nv_fund",T$3,$A655))</x:f>
        <x:v>#NAME?</x:v>
      </x:c>
      <x:c r="U655" s="146" t="e">
        <x:f>IF($A655="","",[1]!thsiFinD("ths_adjustment_nv_fund",U$3,$A655))</x:f>
        <x:v>#NAME?</x:v>
      </x:c>
      <x:c r="V655" s="146" t="e">
        <x:f>IF($A655="","",[1]!thsiFinD("ths_adjustment_nv_fund",V$3,$A655))</x:f>
        <x:v>#NAME?</x:v>
      </x:c>
      <x:c r="W655" s="146" t="e">
        <x:f>IF($A655="","",[1]!thsiFinD("ths_adjustment_nv_fund",W$3,$A655))</x:f>
        <x:v>#NAME?</x:v>
      </x:c>
      <x:c r="X655" s="146" t="e">
        <x:f>IF($A655="","",[1]!thsiFinD("ths_adjustment_nv_fund",X$3,$A655))</x:f>
        <x:v>#NAME?</x:v>
      </x:c>
      <x:c r="Y655" s="146" t="e">
        <x:f>IF($A655="","",[1]!thsiFinD("ths_adjustment_nv_fund",Y$3,$A655))</x:f>
        <x:v>#NAME?</x:v>
      </x:c>
      <x:c r="Z655" s="146" t="e">
        <x:f>IF($A655="","",[1]!thsiFinD("ths_adjustment_nv_fund",Z$3,$A655))</x:f>
        <x:v>#NAME?</x:v>
      </x:c>
      <x:c r="AA655" s="146" t="e">
        <x:f>IF($A655="","",[1]!thsiFinD("ths_adjustment_nv_fund",AA$3,$A655))</x:f>
        <x:v>#NAME?</x:v>
      </x:c>
    </x:row>
    <x:row r="656">
      <x:c r="B656" s="146" t="e">
        <x:f>IF($A656="","",[1]!thsiFinD("ths_adjustment_nv_fund",B$3,$A656))</x:f>
        <x:v>#NAME?</x:v>
      </x:c>
      <x:c r="C656" s="146" t="e">
        <x:f>IF($A656="","",[1]!thsiFinD("ths_adjustment_nv_fund",C$3,$A656))</x:f>
        <x:v>#NAME?</x:v>
      </x:c>
      <x:c r="D656" s="146" t="e">
        <x:f>IF($A656="","",[1]!thsiFinD("ths_adjustment_nv_fund",D$3,$A656))</x:f>
        <x:v>#NAME?</x:v>
      </x:c>
      <x:c r="E656" s="146" t="e">
        <x:f>IF($A656="","",[1]!thsiFinD("ths_adjustment_nv_fund",E$3,$A656))</x:f>
        <x:v>#NAME?</x:v>
      </x:c>
      <x:c r="F656" s="146" t="e">
        <x:f>IF($A656="","",[1]!thsiFinD("ths_adjustment_nv_fund",F$3,$A656))</x:f>
        <x:v>#NAME?</x:v>
      </x:c>
      <x:c r="G656" s="146" t="e">
        <x:f>IF($A656="","",[1]!thsiFinD("ths_adjustment_nv_fund",G$3,$A656))</x:f>
        <x:v>#NAME?</x:v>
      </x:c>
      <x:c r="H656" s="146" t="e">
        <x:f>IF($A656="","",[1]!thsiFinD("ths_adjustment_nv_fund",H$3,$A656))</x:f>
        <x:v>#NAME?</x:v>
      </x:c>
      <x:c r="I656" s="146" t="e">
        <x:f>IF($A656="","",[1]!thsiFinD("ths_adjustment_nv_fund",I$3,$A656))</x:f>
        <x:v>#NAME?</x:v>
      </x:c>
      <x:c r="J656" s="146" t="e">
        <x:f>IF($A656="","",[1]!thsiFinD("ths_adjustment_nv_fund",J$3,$A656))</x:f>
        <x:v>#NAME?</x:v>
      </x:c>
      <x:c r="K656" s="146" t="e">
        <x:f>IF($A656="","",[1]!thsiFinD("ths_adjustment_nv_fund",K$3,$A656))</x:f>
        <x:v>#NAME?</x:v>
      </x:c>
      <x:c r="L656" s="146" t="e">
        <x:f>IF($A656="","",[1]!thsiFinD("ths_adjustment_nv_fund",L$3,$A656))</x:f>
        <x:v>#NAME?</x:v>
      </x:c>
      <x:c r="M656" s="146" t="e">
        <x:f>IF($A656="","",[1]!thsiFinD("ths_adjustment_nv_fund",M$3,$A656))</x:f>
        <x:v>#NAME?</x:v>
      </x:c>
      <x:c r="N656" s="146" t="e">
        <x:f>IF($A656="","",[1]!thsiFinD("ths_adjustment_nv_fund",N$3,$A656))</x:f>
        <x:v>#NAME?</x:v>
      </x:c>
      <x:c r="O656" s="146" t="e">
        <x:f>IF($A656="","",[1]!thsiFinD("ths_adjustment_nv_fund",O$3,$A656))</x:f>
        <x:v>#NAME?</x:v>
      </x:c>
      <x:c r="P656" s="146" t="e">
        <x:f>IF($A656="","",[1]!thsiFinD("ths_adjustment_nv_fund",P$3,$A656))</x:f>
        <x:v>#NAME?</x:v>
      </x:c>
      <x:c r="Q656" s="146" t="e">
        <x:f>IF($A656="","",[1]!thsiFinD("ths_adjustment_nv_fund",Q$3,$A656))</x:f>
        <x:v>#NAME?</x:v>
      </x:c>
      <x:c r="R656" s="146" t="e">
        <x:f>IF($A656="","",[1]!thsiFinD("ths_adjustment_nv_fund",R$3,$A656))</x:f>
        <x:v>#NAME?</x:v>
      </x:c>
      <x:c r="S656" s="146" t="e">
        <x:f>IF($A656="","",[1]!thsiFinD("ths_adjustment_nv_fund",S$3,$A656))</x:f>
        <x:v>#NAME?</x:v>
      </x:c>
      <x:c r="T656" s="146" t="e">
        <x:f>IF($A656="","",[1]!thsiFinD("ths_adjustment_nv_fund",T$3,$A656))</x:f>
        <x:v>#NAME?</x:v>
      </x:c>
      <x:c r="U656" s="146" t="e">
        <x:f>IF($A656="","",[1]!thsiFinD("ths_adjustment_nv_fund",U$3,$A656))</x:f>
        <x:v>#NAME?</x:v>
      </x:c>
      <x:c r="V656" s="146" t="e">
        <x:f>IF($A656="","",[1]!thsiFinD("ths_adjustment_nv_fund",V$3,$A656))</x:f>
        <x:v>#NAME?</x:v>
      </x:c>
      <x:c r="W656" s="146" t="e">
        <x:f>IF($A656="","",[1]!thsiFinD("ths_adjustment_nv_fund",W$3,$A656))</x:f>
        <x:v>#NAME?</x:v>
      </x:c>
      <x:c r="X656" s="146" t="e">
        <x:f>IF($A656="","",[1]!thsiFinD("ths_adjustment_nv_fund",X$3,$A656))</x:f>
        <x:v>#NAME?</x:v>
      </x:c>
      <x:c r="Y656" s="146" t="e">
        <x:f>IF($A656="","",[1]!thsiFinD("ths_adjustment_nv_fund",Y$3,$A656))</x:f>
        <x:v>#NAME?</x:v>
      </x:c>
      <x:c r="Z656" s="146" t="e">
        <x:f>IF($A656="","",[1]!thsiFinD("ths_adjustment_nv_fund",Z$3,$A656))</x:f>
        <x:v>#NAME?</x:v>
      </x:c>
      <x:c r="AA656" s="146" t="e">
        <x:f>IF($A656="","",[1]!thsiFinD("ths_adjustment_nv_fund",AA$3,$A656))</x:f>
        <x:v>#NAME?</x:v>
      </x:c>
    </x:row>
    <x:row r="657">
      <x:c r="B657" s="146" t="e">
        <x:f>IF($A657="","",[1]!thsiFinD("ths_adjustment_nv_fund",B$3,$A657))</x:f>
        <x:v>#NAME?</x:v>
      </x:c>
      <x:c r="C657" s="146" t="e">
        <x:f>IF($A657="","",[1]!thsiFinD("ths_adjustment_nv_fund",C$3,$A657))</x:f>
        <x:v>#NAME?</x:v>
      </x:c>
      <x:c r="D657" s="146" t="e">
        <x:f>IF($A657="","",[1]!thsiFinD("ths_adjustment_nv_fund",D$3,$A657))</x:f>
        <x:v>#NAME?</x:v>
      </x:c>
      <x:c r="E657" s="146" t="e">
        <x:f>IF($A657="","",[1]!thsiFinD("ths_adjustment_nv_fund",E$3,$A657))</x:f>
        <x:v>#NAME?</x:v>
      </x:c>
      <x:c r="F657" s="146" t="e">
        <x:f>IF($A657="","",[1]!thsiFinD("ths_adjustment_nv_fund",F$3,$A657))</x:f>
        <x:v>#NAME?</x:v>
      </x:c>
      <x:c r="G657" s="146" t="e">
        <x:f>IF($A657="","",[1]!thsiFinD("ths_adjustment_nv_fund",G$3,$A657))</x:f>
        <x:v>#NAME?</x:v>
      </x:c>
      <x:c r="H657" s="146" t="e">
        <x:f>IF($A657="","",[1]!thsiFinD("ths_adjustment_nv_fund",H$3,$A657))</x:f>
        <x:v>#NAME?</x:v>
      </x:c>
      <x:c r="I657" s="146" t="e">
        <x:f>IF($A657="","",[1]!thsiFinD("ths_adjustment_nv_fund",I$3,$A657))</x:f>
        <x:v>#NAME?</x:v>
      </x:c>
      <x:c r="J657" s="146" t="e">
        <x:f>IF($A657="","",[1]!thsiFinD("ths_adjustment_nv_fund",J$3,$A657))</x:f>
        <x:v>#NAME?</x:v>
      </x:c>
      <x:c r="K657" s="146" t="e">
        <x:f>IF($A657="","",[1]!thsiFinD("ths_adjustment_nv_fund",K$3,$A657))</x:f>
        <x:v>#NAME?</x:v>
      </x:c>
      <x:c r="L657" s="146" t="e">
        <x:f>IF($A657="","",[1]!thsiFinD("ths_adjustment_nv_fund",L$3,$A657))</x:f>
        <x:v>#NAME?</x:v>
      </x:c>
      <x:c r="M657" s="146" t="e">
        <x:f>IF($A657="","",[1]!thsiFinD("ths_adjustment_nv_fund",M$3,$A657))</x:f>
        <x:v>#NAME?</x:v>
      </x:c>
      <x:c r="N657" s="146" t="e">
        <x:f>IF($A657="","",[1]!thsiFinD("ths_adjustment_nv_fund",N$3,$A657))</x:f>
        <x:v>#NAME?</x:v>
      </x:c>
      <x:c r="O657" s="146" t="e">
        <x:f>IF($A657="","",[1]!thsiFinD("ths_adjustment_nv_fund",O$3,$A657))</x:f>
        <x:v>#NAME?</x:v>
      </x:c>
      <x:c r="P657" s="146" t="e">
        <x:f>IF($A657="","",[1]!thsiFinD("ths_adjustment_nv_fund",P$3,$A657))</x:f>
        <x:v>#NAME?</x:v>
      </x:c>
      <x:c r="Q657" s="146" t="e">
        <x:f>IF($A657="","",[1]!thsiFinD("ths_adjustment_nv_fund",Q$3,$A657))</x:f>
        <x:v>#NAME?</x:v>
      </x:c>
      <x:c r="R657" s="146" t="e">
        <x:f>IF($A657="","",[1]!thsiFinD("ths_adjustment_nv_fund",R$3,$A657))</x:f>
        <x:v>#NAME?</x:v>
      </x:c>
      <x:c r="S657" s="146" t="e">
        <x:f>IF($A657="","",[1]!thsiFinD("ths_adjustment_nv_fund",S$3,$A657))</x:f>
        <x:v>#NAME?</x:v>
      </x:c>
      <x:c r="T657" s="146" t="e">
        <x:f>IF($A657="","",[1]!thsiFinD("ths_adjustment_nv_fund",T$3,$A657))</x:f>
        <x:v>#NAME?</x:v>
      </x:c>
      <x:c r="U657" s="146" t="e">
        <x:f>IF($A657="","",[1]!thsiFinD("ths_adjustment_nv_fund",U$3,$A657))</x:f>
        <x:v>#NAME?</x:v>
      </x:c>
      <x:c r="V657" s="146" t="e">
        <x:f>IF($A657="","",[1]!thsiFinD("ths_adjustment_nv_fund",V$3,$A657))</x:f>
        <x:v>#NAME?</x:v>
      </x:c>
      <x:c r="W657" s="146" t="e">
        <x:f>IF($A657="","",[1]!thsiFinD("ths_adjustment_nv_fund",W$3,$A657))</x:f>
        <x:v>#NAME?</x:v>
      </x:c>
      <x:c r="X657" s="146" t="e">
        <x:f>IF($A657="","",[1]!thsiFinD("ths_adjustment_nv_fund",X$3,$A657))</x:f>
        <x:v>#NAME?</x:v>
      </x:c>
      <x:c r="Y657" s="146" t="e">
        <x:f>IF($A657="","",[1]!thsiFinD("ths_adjustment_nv_fund",Y$3,$A657))</x:f>
        <x:v>#NAME?</x:v>
      </x:c>
      <x:c r="Z657" s="146" t="e">
        <x:f>IF($A657="","",[1]!thsiFinD("ths_adjustment_nv_fund",Z$3,$A657))</x:f>
        <x:v>#NAME?</x:v>
      </x:c>
      <x:c r="AA657" s="146" t="e">
        <x:f>IF($A657="","",[1]!thsiFinD("ths_adjustment_nv_fund",AA$3,$A657))</x:f>
        <x:v>#NAME?</x:v>
      </x:c>
    </x:row>
    <x:row r="658">
      <x:c r="B658" s="146" t="e">
        <x:f>IF($A658="","",[1]!thsiFinD("ths_adjustment_nv_fund",B$3,$A658))</x:f>
        <x:v>#NAME?</x:v>
      </x:c>
      <x:c r="C658" s="146" t="e">
        <x:f>IF($A658="","",[1]!thsiFinD("ths_adjustment_nv_fund",C$3,$A658))</x:f>
        <x:v>#NAME?</x:v>
      </x:c>
      <x:c r="D658" s="146" t="e">
        <x:f>IF($A658="","",[1]!thsiFinD("ths_adjustment_nv_fund",D$3,$A658))</x:f>
        <x:v>#NAME?</x:v>
      </x:c>
      <x:c r="E658" s="146" t="e">
        <x:f>IF($A658="","",[1]!thsiFinD("ths_adjustment_nv_fund",E$3,$A658))</x:f>
        <x:v>#NAME?</x:v>
      </x:c>
      <x:c r="F658" s="146" t="e">
        <x:f>IF($A658="","",[1]!thsiFinD("ths_adjustment_nv_fund",F$3,$A658))</x:f>
        <x:v>#NAME?</x:v>
      </x:c>
      <x:c r="G658" s="146" t="e">
        <x:f>IF($A658="","",[1]!thsiFinD("ths_adjustment_nv_fund",G$3,$A658))</x:f>
        <x:v>#NAME?</x:v>
      </x:c>
      <x:c r="H658" s="146" t="e">
        <x:f>IF($A658="","",[1]!thsiFinD("ths_adjustment_nv_fund",H$3,$A658))</x:f>
        <x:v>#NAME?</x:v>
      </x:c>
      <x:c r="I658" s="146" t="e">
        <x:f>IF($A658="","",[1]!thsiFinD("ths_adjustment_nv_fund",I$3,$A658))</x:f>
        <x:v>#NAME?</x:v>
      </x:c>
      <x:c r="J658" s="146" t="e">
        <x:f>IF($A658="","",[1]!thsiFinD("ths_adjustment_nv_fund",J$3,$A658))</x:f>
        <x:v>#NAME?</x:v>
      </x:c>
      <x:c r="K658" s="146" t="e">
        <x:f>IF($A658="","",[1]!thsiFinD("ths_adjustment_nv_fund",K$3,$A658))</x:f>
        <x:v>#NAME?</x:v>
      </x:c>
      <x:c r="L658" s="146" t="e">
        <x:f>IF($A658="","",[1]!thsiFinD("ths_adjustment_nv_fund",L$3,$A658))</x:f>
        <x:v>#NAME?</x:v>
      </x:c>
      <x:c r="M658" s="146" t="e">
        <x:f>IF($A658="","",[1]!thsiFinD("ths_adjustment_nv_fund",M$3,$A658))</x:f>
        <x:v>#NAME?</x:v>
      </x:c>
      <x:c r="N658" s="146" t="e">
        <x:f>IF($A658="","",[1]!thsiFinD("ths_adjustment_nv_fund",N$3,$A658))</x:f>
        <x:v>#NAME?</x:v>
      </x:c>
      <x:c r="O658" s="146" t="e">
        <x:f>IF($A658="","",[1]!thsiFinD("ths_adjustment_nv_fund",O$3,$A658))</x:f>
        <x:v>#NAME?</x:v>
      </x:c>
      <x:c r="P658" s="146" t="e">
        <x:f>IF($A658="","",[1]!thsiFinD("ths_adjustment_nv_fund",P$3,$A658))</x:f>
        <x:v>#NAME?</x:v>
      </x:c>
      <x:c r="Q658" s="146" t="e">
        <x:f>IF($A658="","",[1]!thsiFinD("ths_adjustment_nv_fund",Q$3,$A658))</x:f>
        <x:v>#NAME?</x:v>
      </x:c>
      <x:c r="R658" s="146" t="e">
        <x:f>IF($A658="","",[1]!thsiFinD("ths_adjustment_nv_fund",R$3,$A658))</x:f>
        <x:v>#NAME?</x:v>
      </x:c>
      <x:c r="S658" s="146" t="e">
        <x:f>IF($A658="","",[1]!thsiFinD("ths_adjustment_nv_fund",S$3,$A658))</x:f>
        <x:v>#NAME?</x:v>
      </x:c>
      <x:c r="T658" s="146" t="e">
        <x:f>IF($A658="","",[1]!thsiFinD("ths_adjustment_nv_fund",T$3,$A658))</x:f>
        <x:v>#NAME?</x:v>
      </x:c>
      <x:c r="U658" s="146" t="e">
        <x:f>IF($A658="","",[1]!thsiFinD("ths_adjustment_nv_fund",U$3,$A658))</x:f>
        <x:v>#NAME?</x:v>
      </x:c>
      <x:c r="V658" s="146" t="e">
        <x:f>IF($A658="","",[1]!thsiFinD("ths_adjustment_nv_fund",V$3,$A658))</x:f>
        <x:v>#NAME?</x:v>
      </x:c>
      <x:c r="W658" s="146" t="e">
        <x:f>IF($A658="","",[1]!thsiFinD("ths_adjustment_nv_fund",W$3,$A658))</x:f>
        <x:v>#NAME?</x:v>
      </x:c>
      <x:c r="X658" s="146" t="e">
        <x:f>IF($A658="","",[1]!thsiFinD("ths_adjustment_nv_fund",X$3,$A658))</x:f>
        <x:v>#NAME?</x:v>
      </x:c>
      <x:c r="Y658" s="146" t="e">
        <x:f>IF($A658="","",[1]!thsiFinD("ths_adjustment_nv_fund",Y$3,$A658))</x:f>
        <x:v>#NAME?</x:v>
      </x:c>
      <x:c r="Z658" s="146" t="e">
        <x:f>IF($A658="","",[1]!thsiFinD("ths_adjustment_nv_fund",Z$3,$A658))</x:f>
        <x:v>#NAME?</x:v>
      </x:c>
      <x:c r="AA658" s="146" t="e">
        <x:f>IF($A658="","",[1]!thsiFinD("ths_adjustment_nv_fund",AA$3,$A658))</x:f>
        <x:v>#NAME?</x:v>
      </x:c>
    </x:row>
    <x:row r="659">
      <x:c r="B659" s="146" t="e">
        <x:f>IF($A659="","",[1]!thsiFinD("ths_adjustment_nv_fund",B$3,$A659))</x:f>
        <x:v>#NAME?</x:v>
      </x:c>
      <x:c r="C659" s="146" t="e">
        <x:f>IF($A659="","",[1]!thsiFinD("ths_adjustment_nv_fund",C$3,$A659))</x:f>
        <x:v>#NAME?</x:v>
      </x:c>
      <x:c r="D659" s="146" t="e">
        <x:f>IF($A659="","",[1]!thsiFinD("ths_adjustment_nv_fund",D$3,$A659))</x:f>
        <x:v>#NAME?</x:v>
      </x:c>
      <x:c r="E659" s="146" t="e">
        <x:f>IF($A659="","",[1]!thsiFinD("ths_adjustment_nv_fund",E$3,$A659))</x:f>
        <x:v>#NAME?</x:v>
      </x:c>
      <x:c r="F659" s="146" t="e">
        <x:f>IF($A659="","",[1]!thsiFinD("ths_adjustment_nv_fund",F$3,$A659))</x:f>
        <x:v>#NAME?</x:v>
      </x:c>
      <x:c r="G659" s="146" t="e">
        <x:f>IF($A659="","",[1]!thsiFinD("ths_adjustment_nv_fund",G$3,$A659))</x:f>
        <x:v>#NAME?</x:v>
      </x:c>
      <x:c r="H659" s="146" t="e">
        <x:f>IF($A659="","",[1]!thsiFinD("ths_adjustment_nv_fund",H$3,$A659))</x:f>
        <x:v>#NAME?</x:v>
      </x:c>
      <x:c r="I659" s="146" t="e">
        <x:f>IF($A659="","",[1]!thsiFinD("ths_adjustment_nv_fund",I$3,$A659))</x:f>
        <x:v>#NAME?</x:v>
      </x:c>
      <x:c r="J659" s="146" t="e">
        <x:f>IF($A659="","",[1]!thsiFinD("ths_adjustment_nv_fund",J$3,$A659))</x:f>
        <x:v>#NAME?</x:v>
      </x:c>
      <x:c r="K659" s="146" t="e">
        <x:f>IF($A659="","",[1]!thsiFinD("ths_adjustment_nv_fund",K$3,$A659))</x:f>
        <x:v>#NAME?</x:v>
      </x:c>
      <x:c r="L659" s="146" t="e">
        <x:f>IF($A659="","",[1]!thsiFinD("ths_adjustment_nv_fund",L$3,$A659))</x:f>
        <x:v>#NAME?</x:v>
      </x:c>
      <x:c r="M659" s="146" t="e">
        <x:f>IF($A659="","",[1]!thsiFinD("ths_adjustment_nv_fund",M$3,$A659))</x:f>
        <x:v>#NAME?</x:v>
      </x:c>
      <x:c r="N659" s="146" t="e">
        <x:f>IF($A659="","",[1]!thsiFinD("ths_adjustment_nv_fund",N$3,$A659))</x:f>
        <x:v>#NAME?</x:v>
      </x:c>
      <x:c r="O659" s="146" t="e">
        <x:f>IF($A659="","",[1]!thsiFinD("ths_adjustment_nv_fund",O$3,$A659))</x:f>
        <x:v>#NAME?</x:v>
      </x:c>
      <x:c r="P659" s="146" t="e">
        <x:f>IF($A659="","",[1]!thsiFinD("ths_adjustment_nv_fund",P$3,$A659))</x:f>
        <x:v>#NAME?</x:v>
      </x:c>
      <x:c r="Q659" s="146" t="e">
        <x:f>IF($A659="","",[1]!thsiFinD("ths_adjustment_nv_fund",Q$3,$A659))</x:f>
        <x:v>#NAME?</x:v>
      </x:c>
      <x:c r="R659" s="146" t="e">
        <x:f>IF($A659="","",[1]!thsiFinD("ths_adjustment_nv_fund",R$3,$A659))</x:f>
        <x:v>#NAME?</x:v>
      </x:c>
      <x:c r="S659" s="146" t="e">
        <x:f>IF($A659="","",[1]!thsiFinD("ths_adjustment_nv_fund",S$3,$A659))</x:f>
        <x:v>#NAME?</x:v>
      </x:c>
      <x:c r="T659" s="146" t="e">
        <x:f>IF($A659="","",[1]!thsiFinD("ths_adjustment_nv_fund",T$3,$A659))</x:f>
        <x:v>#NAME?</x:v>
      </x:c>
      <x:c r="U659" s="146" t="e">
        <x:f>IF($A659="","",[1]!thsiFinD("ths_adjustment_nv_fund",U$3,$A659))</x:f>
        <x:v>#NAME?</x:v>
      </x:c>
      <x:c r="V659" s="146" t="e">
        <x:f>IF($A659="","",[1]!thsiFinD("ths_adjustment_nv_fund",V$3,$A659))</x:f>
        <x:v>#NAME?</x:v>
      </x:c>
      <x:c r="W659" s="146" t="e">
        <x:f>IF($A659="","",[1]!thsiFinD("ths_adjustment_nv_fund",W$3,$A659))</x:f>
        <x:v>#NAME?</x:v>
      </x:c>
      <x:c r="X659" s="146" t="e">
        <x:f>IF($A659="","",[1]!thsiFinD("ths_adjustment_nv_fund",X$3,$A659))</x:f>
        <x:v>#NAME?</x:v>
      </x:c>
      <x:c r="Y659" s="146" t="e">
        <x:f>IF($A659="","",[1]!thsiFinD("ths_adjustment_nv_fund",Y$3,$A659))</x:f>
        <x:v>#NAME?</x:v>
      </x:c>
      <x:c r="Z659" s="146" t="e">
        <x:f>IF($A659="","",[1]!thsiFinD("ths_adjustment_nv_fund",Z$3,$A659))</x:f>
        <x:v>#NAME?</x:v>
      </x:c>
      <x:c r="AA659" s="146" t="e">
        <x:f>IF($A659="","",[1]!thsiFinD("ths_adjustment_nv_fund",AA$3,$A659))</x:f>
        <x:v>#NAME?</x:v>
      </x:c>
    </x:row>
    <x:row r="660">
      <x:c r="B660" s="146" t="e">
        <x:f>IF($A660="","",[1]!thsiFinD("ths_adjustment_nv_fund",B$3,$A660))</x:f>
        <x:v>#NAME?</x:v>
      </x:c>
      <x:c r="C660" s="146" t="e">
        <x:f>IF($A660="","",[1]!thsiFinD("ths_adjustment_nv_fund",C$3,$A660))</x:f>
        <x:v>#NAME?</x:v>
      </x:c>
      <x:c r="D660" s="146" t="e">
        <x:f>IF($A660="","",[1]!thsiFinD("ths_adjustment_nv_fund",D$3,$A660))</x:f>
        <x:v>#NAME?</x:v>
      </x:c>
      <x:c r="E660" s="146" t="e">
        <x:f>IF($A660="","",[1]!thsiFinD("ths_adjustment_nv_fund",E$3,$A660))</x:f>
        <x:v>#NAME?</x:v>
      </x:c>
      <x:c r="F660" s="146" t="e">
        <x:f>IF($A660="","",[1]!thsiFinD("ths_adjustment_nv_fund",F$3,$A660))</x:f>
        <x:v>#NAME?</x:v>
      </x:c>
      <x:c r="G660" s="146" t="e">
        <x:f>IF($A660="","",[1]!thsiFinD("ths_adjustment_nv_fund",G$3,$A660))</x:f>
        <x:v>#NAME?</x:v>
      </x:c>
      <x:c r="H660" s="146" t="e">
        <x:f>IF($A660="","",[1]!thsiFinD("ths_adjustment_nv_fund",H$3,$A660))</x:f>
        <x:v>#NAME?</x:v>
      </x:c>
      <x:c r="I660" s="146" t="e">
        <x:f>IF($A660="","",[1]!thsiFinD("ths_adjustment_nv_fund",I$3,$A660))</x:f>
        <x:v>#NAME?</x:v>
      </x:c>
      <x:c r="J660" s="146" t="e">
        <x:f>IF($A660="","",[1]!thsiFinD("ths_adjustment_nv_fund",J$3,$A660))</x:f>
        <x:v>#NAME?</x:v>
      </x:c>
      <x:c r="K660" s="146" t="e">
        <x:f>IF($A660="","",[1]!thsiFinD("ths_adjustment_nv_fund",K$3,$A660))</x:f>
        <x:v>#NAME?</x:v>
      </x:c>
      <x:c r="L660" s="146" t="e">
        <x:f>IF($A660="","",[1]!thsiFinD("ths_adjustment_nv_fund",L$3,$A660))</x:f>
        <x:v>#NAME?</x:v>
      </x:c>
      <x:c r="M660" s="146" t="e">
        <x:f>IF($A660="","",[1]!thsiFinD("ths_adjustment_nv_fund",M$3,$A660))</x:f>
        <x:v>#NAME?</x:v>
      </x:c>
      <x:c r="N660" s="146" t="e">
        <x:f>IF($A660="","",[1]!thsiFinD("ths_adjustment_nv_fund",N$3,$A660))</x:f>
        <x:v>#NAME?</x:v>
      </x:c>
      <x:c r="O660" s="146" t="e">
        <x:f>IF($A660="","",[1]!thsiFinD("ths_adjustment_nv_fund",O$3,$A660))</x:f>
        <x:v>#NAME?</x:v>
      </x:c>
      <x:c r="P660" s="146" t="e">
        <x:f>IF($A660="","",[1]!thsiFinD("ths_adjustment_nv_fund",P$3,$A660))</x:f>
        <x:v>#NAME?</x:v>
      </x:c>
      <x:c r="Q660" s="146" t="e">
        <x:f>IF($A660="","",[1]!thsiFinD("ths_adjustment_nv_fund",Q$3,$A660))</x:f>
        <x:v>#NAME?</x:v>
      </x:c>
      <x:c r="R660" s="146" t="e">
        <x:f>IF($A660="","",[1]!thsiFinD("ths_adjustment_nv_fund",R$3,$A660))</x:f>
        <x:v>#NAME?</x:v>
      </x:c>
      <x:c r="S660" s="146" t="e">
        <x:f>IF($A660="","",[1]!thsiFinD("ths_adjustment_nv_fund",S$3,$A660))</x:f>
        <x:v>#NAME?</x:v>
      </x:c>
      <x:c r="T660" s="146" t="e">
        <x:f>IF($A660="","",[1]!thsiFinD("ths_adjustment_nv_fund",T$3,$A660))</x:f>
        <x:v>#NAME?</x:v>
      </x:c>
      <x:c r="U660" s="146" t="e">
        <x:f>IF($A660="","",[1]!thsiFinD("ths_adjustment_nv_fund",U$3,$A660))</x:f>
        <x:v>#NAME?</x:v>
      </x:c>
      <x:c r="V660" s="146" t="e">
        <x:f>IF($A660="","",[1]!thsiFinD("ths_adjustment_nv_fund",V$3,$A660))</x:f>
        <x:v>#NAME?</x:v>
      </x:c>
      <x:c r="W660" s="146" t="e">
        <x:f>IF($A660="","",[1]!thsiFinD("ths_adjustment_nv_fund",W$3,$A660))</x:f>
        <x:v>#NAME?</x:v>
      </x:c>
      <x:c r="X660" s="146" t="e">
        <x:f>IF($A660="","",[1]!thsiFinD("ths_adjustment_nv_fund",X$3,$A660))</x:f>
        <x:v>#NAME?</x:v>
      </x:c>
      <x:c r="Y660" s="146" t="e">
        <x:f>IF($A660="","",[1]!thsiFinD("ths_adjustment_nv_fund",Y$3,$A660))</x:f>
        <x:v>#NAME?</x:v>
      </x:c>
      <x:c r="Z660" s="146" t="e">
        <x:f>IF($A660="","",[1]!thsiFinD("ths_adjustment_nv_fund",Z$3,$A660))</x:f>
        <x:v>#NAME?</x:v>
      </x:c>
      <x:c r="AA660" s="146" t="e">
        <x:f>IF($A660="","",[1]!thsiFinD("ths_adjustment_nv_fund",AA$3,$A660))</x:f>
        <x:v>#NAME?</x:v>
      </x:c>
    </x:row>
    <x:row r="661">
      <x:c r="B661" s="146" t="e">
        <x:f>IF($A661="","",[1]!thsiFinD("ths_adjustment_nv_fund",B$3,$A661))</x:f>
        <x:v>#NAME?</x:v>
      </x:c>
      <x:c r="C661" s="146" t="e">
        <x:f>IF($A661="","",[1]!thsiFinD("ths_adjustment_nv_fund",C$3,$A661))</x:f>
        <x:v>#NAME?</x:v>
      </x:c>
      <x:c r="D661" s="146" t="e">
        <x:f>IF($A661="","",[1]!thsiFinD("ths_adjustment_nv_fund",D$3,$A661))</x:f>
        <x:v>#NAME?</x:v>
      </x:c>
      <x:c r="E661" s="146" t="e">
        <x:f>IF($A661="","",[1]!thsiFinD("ths_adjustment_nv_fund",E$3,$A661))</x:f>
        <x:v>#NAME?</x:v>
      </x:c>
      <x:c r="F661" s="146" t="e">
        <x:f>IF($A661="","",[1]!thsiFinD("ths_adjustment_nv_fund",F$3,$A661))</x:f>
        <x:v>#NAME?</x:v>
      </x:c>
      <x:c r="G661" s="146" t="e">
        <x:f>IF($A661="","",[1]!thsiFinD("ths_adjustment_nv_fund",G$3,$A661))</x:f>
        <x:v>#NAME?</x:v>
      </x:c>
      <x:c r="H661" s="146" t="e">
        <x:f>IF($A661="","",[1]!thsiFinD("ths_adjustment_nv_fund",H$3,$A661))</x:f>
        <x:v>#NAME?</x:v>
      </x:c>
      <x:c r="I661" s="146" t="e">
        <x:f>IF($A661="","",[1]!thsiFinD("ths_adjustment_nv_fund",I$3,$A661))</x:f>
        <x:v>#NAME?</x:v>
      </x:c>
      <x:c r="J661" s="146" t="e">
        <x:f>IF($A661="","",[1]!thsiFinD("ths_adjustment_nv_fund",J$3,$A661))</x:f>
        <x:v>#NAME?</x:v>
      </x:c>
      <x:c r="K661" s="146" t="e">
        <x:f>IF($A661="","",[1]!thsiFinD("ths_adjustment_nv_fund",K$3,$A661))</x:f>
        <x:v>#NAME?</x:v>
      </x:c>
      <x:c r="L661" s="146" t="e">
        <x:f>IF($A661="","",[1]!thsiFinD("ths_adjustment_nv_fund",L$3,$A661))</x:f>
        <x:v>#NAME?</x:v>
      </x:c>
      <x:c r="M661" s="146" t="e">
        <x:f>IF($A661="","",[1]!thsiFinD("ths_adjustment_nv_fund",M$3,$A661))</x:f>
        <x:v>#NAME?</x:v>
      </x:c>
      <x:c r="N661" s="146" t="e">
        <x:f>IF($A661="","",[1]!thsiFinD("ths_adjustment_nv_fund",N$3,$A661))</x:f>
        <x:v>#NAME?</x:v>
      </x:c>
      <x:c r="O661" s="146" t="e">
        <x:f>IF($A661="","",[1]!thsiFinD("ths_adjustment_nv_fund",O$3,$A661))</x:f>
        <x:v>#NAME?</x:v>
      </x:c>
      <x:c r="P661" s="146" t="e">
        <x:f>IF($A661="","",[1]!thsiFinD("ths_adjustment_nv_fund",P$3,$A661))</x:f>
        <x:v>#NAME?</x:v>
      </x:c>
      <x:c r="Q661" s="146" t="e">
        <x:f>IF($A661="","",[1]!thsiFinD("ths_adjustment_nv_fund",Q$3,$A661))</x:f>
        <x:v>#NAME?</x:v>
      </x:c>
      <x:c r="R661" s="146" t="e">
        <x:f>IF($A661="","",[1]!thsiFinD("ths_adjustment_nv_fund",R$3,$A661))</x:f>
        <x:v>#NAME?</x:v>
      </x:c>
      <x:c r="S661" s="146" t="e">
        <x:f>IF($A661="","",[1]!thsiFinD("ths_adjustment_nv_fund",S$3,$A661))</x:f>
        <x:v>#NAME?</x:v>
      </x:c>
      <x:c r="T661" s="146" t="e">
        <x:f>IF($A661="","",[1]!thsiFinD("ths_adjustment_nv_fund",T$3,$A661))</x:f>
        <x:v>#NAME?</x:v>
      </x:c>
      <x:c r="U661" s="146" t="e">
        <x:f>IF($A661="","",[1]!thsiFinD("ths_adjustment_nv_fund",U$3,$A661))</x:f>
        <x:v>#NAME?</x:v>
      </x:c>
      <x:c r="V661" s="146" t="e">
        <x:f>IF($A661="","",[1]!thsiFinD("ths_adjustment_nv_fund",V$3,$A661))</x:f>
        <x:v>#NAME?</x:v>
      </x:c>
      <x:c r="W661" s="146" t="e">
        <x:f>IF($A661="","",[1]!thsiFinD("ths_adjustment_nv_fund",W$3,$A661))</x:f>
        <x:v>#NAME?</x:v>
      </x:c>
      <x:c r="X661" s="146" t="e">
        <x:f>IF($A661="","",[1]!thsiFinD("ths_adjustment_nv_fund",X$3,$A661))</x:f>
        <x:v>#NAME?</x:v>
      </x:c>
      <x:c r="Y661" s="146" t="e">
        <x:f>IF($A661="","",[1]!thsiFinD("ths_adjustment_nv_fund",Y$3,$A661))</x:f>
        <x:v>#NAME?</x:v>
      </x:c>
      <x:c r="Z661" s="146" t="e">
        <x:f>IF($A661="","",[1]!thsiFinD("ths_adjustment_nv_fund",Z$3,$A661))</x:f>
        <x:v>#NAME?</x:v>
      </x:c>
      <x:c r="AA661" s="146" t="e">
        <x:f>IF($A661="","",[1]!thsiFinD("ths_adjustment_nv_fund",AA$3,$A661))</x:f>
        <x:v>#NAME?</x:v>
      </x:c>
    </x:row>
    <x:row r="662">
      <x:c r="B662" s="146" t="e">
        <x:f>IF($A662="","",[1]!thsiFinD("ths_adjustment_nv_fund",B$3,$A662))</x:f>
        <x:v>#NAME?</x:v>
      </x:c>
      <x:c r="C662" s="146" t="e">
        <x:f>IF($A662="","",[1]!thsiFinD("ths_adjustment_nv_fund",C$3,$A662))</x:f>
        <x:v>#NAME?</x:v>
      </x:c>
      <x:c r="D662" s="146" t="e">
        <x:f>IF($A662="","",[1]!thsiFinD("ths_adjustment_nv_fund",D$3,$A662))</x:f>
        <x:v>#NAME?</x:v>
      </x:c>
      <x:c r="E662" s="146" t="e">
        <x:f>IF($A662="","",[1]!thsiFinD("ths_adjustment_nv_fund",E$3,$A662))</x:f>
        <x:v>#NAME?</x:v>
      </x:c>
      <x:c r="F662" s="146" t="e">
        <x:f>IF($A662="","",[1]!thsiFinD("ths_adjustment_nv_fund",F$3,$A662))</x:f>
        <x:v>#NAME?</x:v>
      </x:c>
      <x:c r="G662" s="146" t="e">
        <x:f>IF($A662="","",[1]!thsiFinD("ths_adjustment_nv_fund",G$3,$A662))</x:f>
        <x:v>#NAME?</x:v>
      </x:c>
      <x:c r="H662" s="146" t="e">
        <x:f>IF($A662="","",[1]!thsiFinD("ths_adjustment_nv_fund",H$3,$A662))</x:f>
        <x:v>#NAME?</x:v>
      </x:c>
      <x:c r="I662" s="146" t="e">
        <x:f>IF($A662="","",[1]!thsiFinD("ths_adjustment_nv_fund",I$3,$A662))</x:f>
        <x:v>#NAME?</x:v>
      </x:c>
      <x:c r="J662" s="146" t="e">
        <x:f>IF($A662="","",[1]!thsiFinD("ths_adjustment_nv_fund",J$3,$A662))</x:f>
        <x:v>#NAME?</x:v>
      </x:c>
      <x:c r="K662" s="146" t="e">
        <x:f>IF($A662="","",[1]!thsiFinD("ths_adjustment_nv_fund",K$3,$A662))</x:f>
        <x:v>#NAME?</x:v>
      </x:c>
      <x:c r="L662" s="146" t="e">
        <x:f>IF($A662="","",[1]!thsiFinD("ths_adjustment_nv_fund",L$3,$A662))</x:f>
        <x:v>#NAME?</x:v>
      </x:c>
      <x:c r="M662" s="146" t="e">
        <x:f>IF($A662="","",[1]!thsiFinD("ths_adjustment_nv_fund",M$3,$A662))</x:f>
        <x:v>#NAME?</x:v>
      </x:c>
      <x:c r="N662" s="146" t="e">
        <x:f>IF($A662="","",[1]!thsiFinD("ths_adjustment_nv_fund",N$3,$A662))</x:f>
        <x:v>#NAME?</x:v>
      </x:c>
      <x:c r="O662" s="146" t="e">
        <x:f>IF($A662="","",[1]!thsiFinD("ths_adjustment_nv_fund",O$3,$A662))</x:f>
        <x:v>#NAME?</x:v>
      </x:c>
      <x:c r="P662" s="146" t="e">
        <x:f>IF($A662="","",[1]!thsiFinD("ths_adjustment_nv_fund",P$3,$A662))</x:f>
        <x:v>#NAME?</x:v>
      </x:c>
      <x:c r="Q662" s="146" t="e">
        <x:f>IF($A662="","",[1]!thsiFinD("ths_adjustment_nv_fund",Q$3,$A662))</x:f>
        <x:v>#NAME?</x:v>
      </x:c>
      <x:c r="R662" s="146" t="e">
        <x:f>IF($A662="","",[1]!thsiFinD("ths_adjustment_nv_fund",R$3,$A662))</x:f>
        <x:v>#NAME?</x:v>
      </x:c>
      <x:c r="S662" s="146" t="e">
        <x:f>IF($A662="","",[1]!thsiFinD("ths_adjustment_nv_fund",S$3,$A662))</x:f>
        <x:v>#NAME?</x:v>
      </x:c>
      <x:c r="T662" s="146" t="e">
        <x:f>IF($A662="","",[1]!thsiFinD("ths_adjustment_nv_fund",T$3,$A662))</x:f>
        <x:v>#NAME?</x:v>
      </x:c>
      <x:c r="U662" s="146" t="e">
        <x:f>IF($A662="","",[1]!thsiFinD("ths_adjustment_nv_fund",U$3,$A662))</x:f>
        <x:v>#NAME?</x:v>
      </x:c>
      <x:c r="V662" s="146" t="e">
        <x:f>IF($A662="","",[1]!thsiFinD("ths_adjustment_nv_fund",V$3,$A662))</x:f>
        <x:v>#NAME?</x:v>
      </x:c>
      <x:c r="W662" s="146" t="e">
        <x:f>IF($A662="","",[1]!thsiFinD("ths_adjustment_nv_fund",W$3,$A662))</x:f>
        <x:v>#NAME?</x:v>
      </x:c>
      <x:c r="X662" s="146" t="e">
        <x:f>IF($A662="","",[1]!thsiFinD("ths_adjustment_nv_fund",X$3,$A662))</x:f>
        <x:v>#NAME?</x:v>
      </x:c>
      <x:c r="Y662" s="146" t="e">
        <x:f>IF($A662="","",[1]!thsiFinD("ths_adjustment_nv_fund",Y$3,$A662))</x:f>
        <x:v>#NAME?</x:v>
      </x:c>
      <x:c r="Z662" s="146" t="e">
        <x:f>IF($A662="","",[1]!thsiFinD("ths_adjustment_nv_fund",Z$3,$A662))</x:f>
        <x:v>#NAME?</x:v>
      </x:c>
      <x:c r="AA662" s="146" t="e">
        <x:f>IF($A662="","",[1]!thsiFinD("ths_adjustment_nv_fund",AA$3,$A662))</x:f>
        <x:v>#NAME?</x:v>
      </x:c>
    </x:row>
    <x:row r="663">
      <x:c r="B663" s="146" t="e">
        <x:f>IF($A663="","",[1]!thsiFinD("ths_adjustment_nv_fund",B$3,$A663))</x:f>
        <x:v>#NAME?</x:v>
      </x:c>
      <x:c r="C663" s="146" t="e">
        <x:f>IF($A663="","",[1]!thsiFinD("ths_adjustment_nv_fund",C$3,$A663))</x:f>
        <x:v>#NAME?</x:v>
      </x:c>
      <x:c r="D663" s="146" t="e">
        <x:f>IF($A663="","",[1]!thsiFinD("ths_adjustment_nv_fund",D$3,$A663))</x:f>
        <x:v>#NAME?</x:v>
      </x:c>
      <x:c r="E663" s="146" t="e">
        <x:f>IF($A663="","",[1]!thsiFinD("ths_adjustment_nv_fund",E$3,$A663))</x:f>
        <x:v>#NAME?</x:v>
      </x:c>
      <x:c r="F663" s="146" t="e">
        <x:f>IF($A663="","",[1]!thsiFinD("ths_adjustment_nv_fund",F$3,$A663))</x:f>
        <x:v>#NAME?</x:v>
      </x:c>
      <x:c r="G663" s="146" t="e">
        <x:f>IF($A663="","",[1]!thsiFinD("ths_adjustment_nv_fund",G$3,$A663))</x:f>
        <x:v>#NAME?</x:v>
      </x:c>
      <x:c r="H663" s="146" t="e">
        <x:f>IF($A663="","",[1]!thsiFinD("ths_adjustment_nv_fund",H$3,$A663))</x:f>
        <x:v>#NAME?</x:v>
      </x:c>
      <x:c r="I663" s="146" t="e">
        <x:f>IF($A663="","",[1]!thsiFinD("ths_adjustment_nv_fund",I$3,$A663))</x:f>
        <x:v>#NAME?</x:v>
      </x:c>
      <x:c r="J663" s="146" t="e">
        <x:f>IF($A663="","",[1]!thsiFinD("ths_adjustment_nv_fund",J$3,$A663))</x:f>
        <x:v>#NAME?</x:v>
      </x:c>
      <x:c r="K663" s="146" t="e">
        <x:f>IF($A663="","",[1]!thsiFinD("ths_adjustment_nv_fund",K$3,$A663))</x:f>
        <x:v>#NAME?</x:v>
      </x:c>
      <x:c r="L663" s="146" t="e">
        <x:f>IF($A663="","",[1]!thsiFinD("ths_adjustment_nv_fund",L$3,$A663))</x:f>
        <x:v>#NAME?</x:v>
      </x:c>
      <x:c r="M663" s="146" t="e">
        <x:f>IF($A663="","",[1]!thsiFinD("ths_adjustment_nv_fund",M$3,$A663))</x:f>
        <x:v>#NAME?</x:v>
      </x:c>
      <x:c r="N663" s="146" t="e">
        <x:f>IF($A663="","",[1]!thsiFinD("ths_adjustment_nv_fund",N$3,$A663))</x:f>
        <x:v>#NAME?</x:v>
      </x:c>
      <x:c r="O663" s="146" t="e">
        <x:f>IF($A663="","",[1]!thsiFinD("ths_adjustment_nv_fund",O$3,$A663))</x:f>
        <x:v>#NAME?</x:v>
      </x:c>
      <x:c r="P663" s="146" t="e">
        <x:f>IF($A663="","",[1]!thsiFinD("ths_adjustment_nv_fund",P$3,$A663))</x:f>
        <x:v>#NAME?</x:v>
      </x:c>
      <x:c r="Q663" s="146" t="e">
        <x:f>IF($A663="","",[1]!thsiFinD("ths_adjustment_nv_fund",Q$3,$A663))</x:f>
        <x:v>#NAME?</x:v>
      </x:c>
      <x:c r="R663" s="146" t="e">
        <x:f>IF($A663="","",[1]!thsiFinD("ths_adjustment_nv_fund",R$3,$A663))</x:f>
        <x:v>#NAME?</x:v>
      </x:c>
      <x:c r="S663" s="146" t="e">
        <x:f>IF($A663="","",[1]!thsiFinD("ths_adjustment_nv_fund",S$3,$A663))</x:f>
        <x:v>#NAME?</x:v>
      </x:c>
      <x:c r="T663" s="146" t="e">
        <x:f>IF($A663="","",[1]!thsiFinD("ths_adjustment_nv_fund",T$3,$A663))</x:f>
        <x:v>#NAME?</x:v>
      </x:c>
      <x:c r="U663" s="146" t="e">
        <x:f>IF($A663="","",[1]!thsiFinD("ths_adjustment_nv_fund",U$3,$A663))</x:f>
        <x:v>#NAME?</x:v>
      </x:c>
      <x:c r="V663" s="146" t="e">
        <x:f>IF($A663="","",[1]!thsiFinD("ths_adjustment_nv_fund",V$3,$A663))</x:f>
        <x:v>#NAME?</x:v>
      </x:c>
      <x:c r="W663" s="146" t="e">
        <x:f>IF($A663="","",[1]!thsiFinD("ths_adjustment_nv_fund",W$3,$A663))</x:f>
        <x:v>#NAME?</x:v>
      </x:c>
      <x:c r="X663" s="146" t="e">
        <x:f>IF($A663="","",[1]!thsiFinD("ths_adjustment_nv_fund",X$3,$A663))</x:f>
        <x:v>#NAME?</x:v>
      </x:c>
      <x:c r="Y663" s="146" t="e">
        <x:f>IF($A663="","",[1]!thsiFinD("ths_adjustment_nv_fund",Y$3,$A663))</x:f>
        <x:v>#NAME?</x:v>
      </x:c>
      <x:c r="Z663" s="146" t="e">
        <x:f>IF($A663="","",[1]!thsiFinD("ths_adjustment_nv_fund",Z$3,$A663))</x:f>
        <x:v>#NAME?</x:v>
      </x:c>
      <x:c r="AA663" s="146" t="e">
        <x:f>IF($A663="","",[1]!thsiFinD("ths_adjustment_nv_fund",AA$3,$A663))</x:f>
        <x:v>#NAME?</x:v>
      </x:c>
    </x:row>
    <x:row r="664">
      <x:c r="B664" s="146" t="e">
        <x:f>IF($A664="","",[1]!thsiFinD("ths_adjustment_nv_fund",B$3,$A664))</x:f>
        <x:v>#NAME?</x:v>
      </x:c>
      <x:c r="C664" s="146" t="e">
        <x:f>IF($A664="","",[1]!thsiFinD("ths_adjustment_nv_fund",C$3,$A664))</x:f>
        <x:v>#NAME?</x:v>
      </x:c>
      <x:c r="D664" s="146" t="e">
        <x:f>IF($A664="","",[1]!thsiFinD("ths_adjustment_nv_fund",D$3,$A664))</x:f>
        <x:v>#NAME?</x:v>
      </x:c>
      <x:c r="E664" s="146" t="e">
        <x:f>IF($A664="","",[1]!thsiFinD("ths_adjustment_nv_fund",E$3,$A664))</x:f>
        <x:v>#NAME?</x:v>
      </x:c>
      <x:c r="F664" s="146" t="e">
        <x:f>IF($A664="","",[1]!thsiFinD("ths_adjustment_nv_fund",F$3,$A664))</x:f>
        <x:v>#NAME?</x:v>
      </x:c>
      <x:c r="G664" s="146" t="e">
        <x:f>IF($A664="","",[1]!thsiFinD("ths_adjustment_nv_fund",G$3,$A664))</x:f>
        <x:v>#NAME?</x:v>
      </x:c>
      <x:c r="H664" s="146" t="e">
        <x:f>IF($A664="","",[1]!thsiFinD("ths_adjustment_nv_fund",H$3,$A664))</x:f>
        <x:v>#NAME?</x:v>
      </x:c>
      <x:c r="I664" s="146" t="e">
        <x:f>IF($A664="","",[1]!thsiFinD("ths_adjustment_nv_fund",I$3,$A664))</x:f>
        <x:v>#NAME?</x:v>
      </x:c>
      <x:c r="J664" s="146" t="e">
        <x:f>IF($A664="","",[1]!thsiFinD("ths_adjustment_nv_fund",J$3,$A664))</x:f>
        <x:v>#NAME?</x:v>
      </x:c>
      <x:c r="K664" s="146" t="e">
        <x:f>IF($A664="","",[1]!thsiFinD("ths_adjustment_nv_fund",K$3,$A664))</x:f>
        <x:v>#NAME?</x:v>
      </x:c>
      <x:c r="L664" s="146" t="e">
        <x:f>IF($A664="","",[1]!thsiFinD("ths_adjustment_nv_fund",L$3,$A664))</x:f>
        <x:v>#NAME?</x:v>
      </x:c>
      <x:c r="M664" s="146" t="e">
        <x:f>IF($A664="","",[1]!thsiFinD("ths_adjustment_nv_fund",M$3,$A664))</x:f>
        <x:v>#NAME?</x:v>
      </x:c>
      <x:c r="N664" s="146" t="e">
        <x:f>IF($A664="","",[1]!thsiFinD("ths_adjustment_nv_fund",N$3,$A664))</x:f>
        <x:v>#NAME?</x:v>
      </x:c>
      <x:c r="O664" s="146" t="e">
        <x:f>IF($A664="","",[1]!thsiFinD("ths_adjustment_nv_fund",O$3,$A664))</x:f>
        <x:v>#NAME?</x:v>
      </x:c>
      <x:c r="P664" s="146" t="e">
        <x:f>IF($A664="","",[1]!thsiFinD("ths_adjustment_nv_fund",P$3,$A664))</x:f>
        <x:v>#NAME?</x:v>
      </x:c>
      <x:c r="Q664" s="146" t="e">
        <x:f>IF($A664="","",[1]!thsiFinD("ths_adjustment_nv_fund",Q$3,$A664))</x:f>
        <x:v>#NAME?</x:v>
      </x:c>
      <x:c r="R664" s="146" t="e">
        <x:f>IF($A664="","",[1]!thsiFinD("ths_adjustment_nv_fund",R$3,$A664))</x:f>
        <x:v>#NAME?</x:v>
      </x:c>
      <x:c r="S664" s="146" t="e">
        <x:f>IF($A664="","",[1]!thsiFinD("ths_adjustment_nv_fund",S$3,$A664))</x:f>
        <x:v>#NAME?</x:v>
      </x:c>
      <x:c r="T664" s="146" t="e">
        <x:f>IF($A664="","",[1]!thsiFinD("ths_adjustment_nv_fund",T$3,$A664))</x:f>
        <x:v>#NAME?</x:v>
      </x:c>
      <x:c r="U664" s="146" t="e">
        <x:f>IF($A664="","",[1]!thsiFinD("ths_adjustment_nv_fund",U$3,$A664))</x:f>
        <x:v>#NAME?</x:v>
      </x:c>
      <x:c r="V664" s="146" t="e">
        <x:f>IF($A664="","",[1]!thsiFinD("ths_adjustment_nv_fund",V$3,$A664))</x:f>
        <x:v>#NAME?</x:v>
      </x:c>
      <x:c r="W664" s="146" t="e">
        <x:f>IF($A664="","",[1]!thsiFinD("ths_adjustment_nv_fund",W$3,$A664))</x:f>
        <x:v>#NAME?</x:v>
      </x:c>
      <x:c r="X664" s="146" t="e">
        <x:f>IF($A664="","",[1]!thsiFinD("ths_adjustment_nv_fund",X$3,$A664))</x:f>
        <x:v>#NAME?</x:v>
      </x:c>
      <x:c r="Y664" s="146" t="e">
        <x:f>IF($A664="","",[1]!thsiFinD("ths_adjustment_nv_fund",Y$3,$A664))</x:f>
        <x:v>#NAME?</x:v>
      </x:c>
      <x:c r="Z664" s="146" t="e">
        <x:f>IF($A664="","",[1]!thsiFinD("ths_adjustment_nv_fund",Z$3,$A664))</x:f>
        <x:v>#NAME?</x:v>
      </x:c>
      <x:c r="AA664" s="146" t="e">
        <x:f>IF($A664="","",[1]!thsiFinD("ths_adjustment_nv_fund",AA$3,$A664))</x:f>
        <x:v>#NAME?</x:v>
      </x:c>
    </x:row>
    <x:row r="665">
      <x:c r="B665" s="146" t="e">
        <x:f>IF($A665="","",[1]!thsiFinD("ths_adjustment_nv_fund",B$3,$A665))</x:f>
        <x:v>#NAME?</x:v>
      </x:c>
      <x:c r="C665" s="146" t="e">
        <x:f>IF($A665="","",[1]!thsiFinD("ths_adjustment_nv_fund",C$3,$A665))</x:f>
        <x:v>#NAME?</x:v>
      </x:c>
      <x:c r="D665" s="146" t="e">
        <x:f>IF($A665="","",[1]!thsiFinD("ths_adjustment_nv_fund",D$3,$A665))</x:f>
        <x:v>#NAME?</x:v>
      </x:c>
      <x:c r="E665" s="146" t="e">
        <x:f>IF($A665="","",[1]!thsiFinD("ths_adjustment_nv_fund",E$3,$A665))</x:f>
        <x:v>#NAME?</x:v>
      </x:c>
      <x:c r="F665" s="146" t="e">
        <x:f>IF($A665="","",[1]!thsiFinD("ths_adjustment_nv_fund",F$3,$A665))</x:f>
        <x:v>#NAME?</x:v>
      </x:c>
      <x:c r="G665" s="146" t="e">
        <x:f>IF($A665="","",[1]!thsiFinD("ths_adjustment_nv_fund",G$3,$A665))</x:f>
        <x:v>#NAME?</x:v>
      </x:c>
      <x:c r="H665" s="146" t="e">
        <x:f>IF($A665="","",[1]!thsiFinD("ths_adjustment_nv_fund",H$3,$A665))</x:f>
        <x:v>#NAME?</x:v>
      </x:c>
      <x:c r="I665" s="146" t="e">
        <x:f>IF($A665="","",[1]!thsiFinD("ths_adjustment_nv_fund",I$3,$A665))</x:f>
        <x:v>#NAME?</x:v>
      </x:c>
      <x:c r="J665" s="146" t="e">
        <x:f>IF($A665="","",[1]!thsiFinD("ths_adjustment_nv_fund",J$3,$A665))</x:f>
        <x:v>#NAME?</x:v>
      </x:c>
      <x:c r="K665" s="146" t="e">
        <x:f>IF($A665="","",[1]!thsiFinD("ths_adjustment_nv_fund",K$3,$A665))</x:f>
        <x:v>#NAME?</x:v>
      </x:c>
      <x:c r="L665" s="146" t="e">
        <x:f>IF($A665="","",[1]!thsiFinD("ths_adjustment_nv_fund",L$3,$A665))</x:f>
        <x:v>#NAME?</x:v>
      </x:c>
      <x:c r="M665" s="146" t="e">
        <x:f>IF($A665="","",[1]!thsiFinD("ths_adjustment_nv_fund",M$3,$A665))</x:f>
        <x:v>#NAME?</x:v>
      </x:c>
      <x:c r="N665" s="146" t="e">
        <x:f>IF($A665="","",[1]!thsiFinD("ths_adjustment_nv_fund",N$3,$A665))</x:f>
        <x:v>#NAME?</x:v>
      </x:c>
      <x:c r="O665" s="146" t="e">
        <x:f>IF($A665="","",[1]!thsiFinD("ths_adjustment_nv_fund",O$3,$A665))</x:f>
        <x:v>#NAME?</x:v>
      </x:c>
      <x:c r="P665" s="146" t="e">
        <x:f>IF($A665="","",[1]!thsiFinD("ths_adjustment_nv_fund",P$3,$A665))</x:f>
        <x:v>#NAME?</x:v>
      </x:c>
      <x:c r="Q665" s="146" t="e">
        <x:f>IF($A665="","",[1]!thsiFinD("ths_adjustment_nv_fund",Q$3,$A665))</x:f>
        <x:v>#NAME?</x:v>
      </x:c>
      <x:c r="R665" s="146" t="e">
        <x:f>IF($A665="","",[1]!thsiFinD("ths_adjustment_nv_fund",R$3,$A665))</x:f>
        <x:v>#NAME?</x:v>
      </x:c>
      <x:c r="S665" s="146" t="e">
        <x:f>IF($A665="","",[1]!thsiFinD("ths_adjustment_nv_fund",S$3,$A665))</x:f>
        <x:v>#NAME?</x:v>
      </x:c>
      <x:c r="T665" s="146" t="e">
        <x:f>IF($A665="","",[1]!thsiFinD("ths_adjustment_nv_fund",T$3,$A665))</x:f>
        <x:v>#NAME?</x:v>
      </x:c>
      <x:c r="U665" s="146" t="e">
        <x:f>IF($A665="","",[1]!thsiFinD("ths_adjustment_nv_fund",U$3,$A665))</x:f>
        <x:v>#NAME?</x:v>
      </x:c>
      <x:c r="V665" s="146" t="e">
        <x:f>IF($A665="","",[1]!thsiFinD("ths_adjustment_nv_fund",V$3,$A665))</x:f>
        <x:v>#NAME?</x:v>
      </x:c>
      <x:c r="W665" s="146" t="e">
        <x:f>IF($A665="","",[1]!thsiFinD("ths_adjustment_nv_fund",W$3,$A665))</x:f>
        <x:v>#NAME?</x:v>
      </x:c>
      <x:c r="X665" s="146" t="e">
        <x:f>IF($A665="","",[1]!thsiFinD("ths_adjustment_nv_fund",X$3,$A665))</x:f>
        <x:v>#NAME?</x:v>
      </x:c>
      <x:c r="Y665" s="146" t="e">
        <x:f>IF($A665="","",[1]!thsiFinD("ths_adjustment_nv_fund",Y$3,$A665))</x:f>
        <x:v>#NAME?</x:v>
      </x:c>
      <x:c r="Z665" s="146" t="e">
        <x:f>IF($A665="","",[1]!thsiFinD("ths_adjustment_nv_fund",Z$3,$A665))</x:f>
        <x:v>#NAME?</x:v>
      </x:c>
      <x:c r="AA665" s="146" t="e">
        <x:f>IF($A665="","",[1]!thsiFinD("ths_adjustment_nv_fund",AA$3,$A665))</x:f>
        <x:v>#NAME?</x:v>
      </x:c>
    </x:row>
    <x:row r="666">
      <x:c r="B666" s="146" t="e">
        <x:f>IF($A666="","",[1]!thsiFinD("ths_adjustment_nv_fund",B$3,$A666))</x:f>
        <x:v>#NAME?</x:v>
      </x:c>
      <x:c r="C666" s="146" t="e">
        <x:f>IF($A666="","",[1]!thsiFinD("ths_adjustment_nv_fund",C$3,$A666))</x:f>
        <x:v>#NAME?</x:v>
      </x:c>
      <x:c r="D666" s="146" t="e">
        <x:f>IF($A666="","",[1]!thsiFinD("ths_adjustment_nv_fund",D$3,$A666))</x:f>
        <x:v>#NAME?</x:v>
      </x:c>
      <x:c r="E666" s="146" t="e">
        <x:f>IF($A666="","",[1]!thsiFinD("ths_adjustment_nv_fund",E$3,$A666))</x:f>
        <x:v>#NAME?</x:v>
      </x:c>
      <x:c r="F666" s="146" t="e">
        <x:f>IF($A666="","",[1]!thsiFinD("ths_adjustment_nv_fund",F$3,$A666))</x:f>
        <x:v>#NAME?</x:v>
      </x:c>
      <x:c r="G666" s="146" t="e">
        <x:f>IF($A666="","",[1]!thsiFinD("ths_adjustment_nv_fund",G$3,$A666))</x:f>
        <x:v>#NAME?</x:v>
      </x:c>
      <x:c r="H666" s="146" t="e">
        <x:f>IF($A666="","",[1]!thsiFinD("ths_adjustment_nv_fund",H$3,$A666))</x:f>
        <x:v>#NAME?</x:v>
      </x:c>
      <x:c r="I666" s="146" t="e">
        <x:f>IF($A666="","",[1]!thsiFinD("ths_adjustment_nv_fund",I$3,$A666))</x:f>
        <x:v>#NAME?</x:v>
      </x:c>
      <x:c r="J666" s="146" t="e">
        <x:f>IF($A666="","",[1]!thsiFinD("ths_adjustment_nv_fund",J$3,$A666))</x:f>
        <x:v>#NAME?</x:v>
      </x:c>
      <x:c r="K666" s="146" t="e">
        <x:f>IF($A666="","",[1]!thsiFinD("ths_adjustment_nv_fund",K$3,$A666))</x:f>
        <x:v>#NAME?</x:v>
      </x:c>
      <x:c r="L666" s="146" t="e">
        <x:f>IF($A666="","",[1]!thsiFinD("ths_adjustment_nv_fund",L$3,$A666))</x:f>
        <x:v>#NAME?</x:v>
      </x:c>
      <x:c r="M666" s="146" t="e">
        <x:f>IF($A666="","",[1]!thsiFinD("ths_adjustment_nv_fund",M$3,$A666))</x:f>
        <x:v>#NAME?</x:v>
      </x:c>
      <x:c r="N666" s="146" t="e">
        <x:f>IF($A666="","",[1]!thsiFinD("ths_adjustment_nv_fund",N$3,$A666))</x:f>
        <x:v>#NAME?</x:v>
      </x:c>
      <x:c r="O666" s="146" t="e">
        <x:f>IF($A666="","",[1]!thsiFinD("ths_adjustment_nv_fund",O$3,$A666))</x:f>
        <x:v>#NAME?</x:v>
      </x:c>
      <x:c r="P666" s="146" t="e">
        <x:f>IF($A666="","",[1]!thsiFinD("ths_adjustment_nv_fund",P$3,$A666))</x:f>
        <x:v>#NAME?</x:v>
      </x:c>
      <x:c r="Q666" s="146" t="e">
        <x:f>IF($A666="","",[1]!thsiFinD("ths_adjustment_nv_fund",Q$3,$A666))</x:f>
        <x:v>#NAME?</x:v>
      </x:c>
      <x:c r="R666" s="146" t="e">
        <x:f>IF($A666="","",[1]!thsiFinD("ths_adjustment_nv_fund",R$3,$A666))</x:f>
        <x:v>#NAME?</x:v>
      </x:c>
      <x:c r="S666" s="146" t="e">
        <x:f>IF($A666="","",[1]!thsiFinD("ths_adjustment_nv_fund",S$3,$A666))</x:f>
        <x:v>#NAME?</x:v>
      </x:c>
      <x:c r="T666" s="146" t="e">
        <x:f>IF($A666="","",[1]!thsiFinD("ths_adjustment_nv_fund",T$3,$A666))</x:f>
        <x:v>#NAME?</x:v>
      </x:c>
      <x:c r="U666" s="146" t="e">
        <x:f>IF($A666="","",[1]!thsiFinD("ths_adjustment_nv_fund",U$3,$A666))</x:f>
        <x:v>#NAME?</x:v>
      </x:c>
      <x:c r="V666" s="146" t="e">
        <x:f>IF($A666="","",[1]!thsiFinD("ths_adjustment_nv_fund",V$3,$A666))</x:f>
        <x:v>#NAME?</x:v>
      </x:c>
      <x:c r="W666" s="146" t="e">
        <x:f>IF($A666="","",[1]!thsiFinD("ths_adjustment_nv_fund",W$3,$A666))</x:f>
        <x:v>#NAME?</x:v>
      </x:c>
      <x:c r="X666" s="146" t="e">
        <x:f>IF($A666="","",[1]!thsiFinD("ths_adjustment_nv_fund",X$3,$A666))</x:f>
        <x:v>#NAME?</x:v>
      </x:c>
      <x:c r="Y666" s="146" t="e">
        <x:f>IF($A666="","",[1]!thsiFinD("ths_adjustment_nv_fund",Y$3,$A666))</x:f>
        <x:v>#NAME?</x:v>
      </x:c>
      <x:c r="Z666" s="146" t="e">
        <x:f>IF($A666="","",[1]!thsiFinD("ths_adjustment_nv_fund",Z$3,$A666))</x:f>
        <x:v>#NAME?</x:v>
      </x:c>
      <x:c r="AA666" s="146" t="e">
        <x:f>IF($A666="","",[1]!thsiFinD("ths_adjustment_nv_fund",AA$3,$A666))</x:f>
        <x:v>#NAME?</x:v>
      </x:c>
    </x:row>
    <x:row r="667">
      <x:c r="B667" s="146" t="e">
        <x:f>IF($A667="","",[1]!thsiFinD("ths_adjustment_nv_fund",B$3,$A667))</x:f>
        <x:v>#NAME?</x:v>
      </x:c>
      <x:c r="C667" s="146" t="e">
        <x:f>IF($A667="","",[1]!thsiFinD("ths_adjustment_nv_fund",C$3,$A667))</x:f>
        <x:v>#NAME?</x:v>
      </x:c>
      <x:c r="D667" s="146" t="e">
        <x:f>IF($A667="","",[1]!thsiFinD("ths_adjustment_nv_fund",D$3,$A667))</x:f>
        <x:v>#NAME?</x:v>
      </x:c>
      <x:c r="E667" s="146" t="e">
        <x:f>IF($A667="","",[1]!thsiFinD("ths_adjustment_nv_fund",E$3,$A667))</x:f>
        <x:v>#NAME?</x:v>
      </x:c>
      <x:c r="F667" s="146" t="e">
        <x:f>IF($A667="","",[1]!thsiFinD("ths_adjustment_nv_fund",F$3,$A667))</x:f>
        <x:v>#NAME?</x:v>
      </x:c>
      <x:c r="G667" s="146" t="e">
        <x:f>IF($A667="","",[1]!thsiFinD("ths_adjustment_nv_fund",G$3,$A667))</x:f>
        <x:v>#NAME?</x:v>
      </x:c>
      <x:c r="H667" s="146" t="e">
        <x:f>IF($A667="","",[1]!thsiFinD("ths_adjustment_nv_fund",H$3,$A667))</x:f>
        <x:v>#NAME?</x:v>
      </x:c>
      <x:c r="I667" s="146" t="e">
        <x:f>IF($A667="","",[1]!thsiFinD("ths_adjustment_nv_fund",I$3,$A667))</x:f>
        <x:v>#NAME?</x:v>
      </x:c>
      <x:c r="J667" s="146" t="e">
        <x:f>IF($A667="","",[1]!thsiFinD("ths_adjustment_nv_fund",J$3,$A667))</x:f>
        <x:v>#NAME?</x:v>
      </x:c>
      <x:c r="K667" s="146" t="e">
        <x:f>IF($A667="","",[1]!thsiFinD("ths_adjustment_nv_fund",K$3,$A667))</x:f>
        <x:v>#NAME?</x:v>
      </x:c>
      <x:c r="L667" s="146" t="e">
        <x:f>IF($A667="","",[1]!thsiFinD("ths_adjustment_nv_fund",L$3,$A667))</x:f>
        <x:v>#NAME?</x:v>
      </x:c>
      <x:c r="M667" s="146" t="e">
        <x:f>IF($A667="","",[1]!thsiFinD("ths_adjustment_nv_fund",M$3,$A667))</x:f>
        <x:v>#NAME?</x:v>
      </x:c>
      <x:c r="N667" s="146" t="e">
        <x:f>IF($A667="","",[1]!thsiFinD("ths_adjustment_nv_fund",N$3,$A667))</x:f>
        <x:v>#NAME?</x:v>
      </x:c>
      <x:c r="O667" s="146" t="e">
        <x:f>IF($A667="","",[1]!thsiFinD("ths_adjustment_nv_fund",O$3,$A667))</x:f>
        <x:v>#NAME?</x:v>
      </x:c>
      <x:c r="P667" s="146" t="e">
        <x:f>IF($A667="","",[1]!thsiFinD("ths_adjustment_nv_fund",P$3,$A667))</x:f>
        <x:v>#NAME?</x:v>
      </x:c>
      <x:c r="Q667" s="146" t="e">
        <x:f>IF($A667="","",[1]!thsiFinD("ths_adjustment_nv_fund",Q$3,$A667))</x:f>
        <x:v>#NAME?</x:v>
      </x:c>
      <x:c r="R667" s="146" t="e">
        <x:f>IF($A667="","",[1]!thsiFinD("ths_adjustment_nv_fund",R$3,$A667))</x:f>
        <x:v>#NAME?</x:v>
      </x:c>
      <x:c r="S667" s="146" t="e">
        <x:f>IF($A667="","",[1]!thsiFinD("ths_adjustment_nv_fund",S$3,$A667))</x:f>
        <x:v>#NAME?</x:v>
      </x:c>
      <x:c r="T667" s="146" t="e">
        <x:f>IF($A667="","",[1]!thsiFinD("ths_adjustment_nv_fund",T$3,$A667))</x:f>
        <x:v>#NAME?</x:v>
      </x:c>
      <x:c r="U667" s="146" t="e">
        <x:f>IF($A667="","",[1]!thsiFinD("ths_adjustment_nv_fund",U$3,$A667))</x:f>
        <x:v>#NAME?</x:v>
      </x:c>
      <x:c r="V667" s="146" t="e">
        <x:f>IF($A667="","",[1]!thsiFinD("ths_adjustment_nv_fund",V$3,$A667))</x:f>
        <x:v>#NAME?</x:v>
      </x:c>
      <x:c r="W667" s="146" t="e">
        <x:f>IF($A667="","",[1]!thsiFinD("ths_adjustment_nv_fund",W$3,$A667))</x:f>
        <x:v>#NAME?</x:v>
      </x:c>
      <x:c r="X667" s="146" t="e">
        <x:f>IF($A667="","",[1]!thsiFinD("ths_adjustment_nv_fund",X$3,$A667))</x:f>
        <x:v>#NAME?</x:v>
      </x:c>
      <x:c r="Y667" s="146" t="e">
        <x:f>IF($A667="","",[1]!thsiFinD("ths_adjustment_nv_fund",Y$3,$A667))</x:f>
        <x:v>#NAME?</x:v>
      </x:c>
      <x:c r="Z667" s="146" t="e">
        <x:f>IF($A667="","",[1]!thsiFinD("ths_adjustment_nv_fund",Z$3,$A667))</x:f>
        <x:v>#NAME?</x:v>
      </x:c>
      <x:c r="AA667" s="146" t="e">
        <x:f>IF($A667="","",[1]!thsiFinD("ths_adjustment_nv_fund",AA$3,$A667))</x:f>
        <x:v>#NAME?</x:v>
      </x:c>
    </x:row>
    <x:row r="668">
      <x:c r="B668" s="146" t="e">
        <x:f>IF($A668="","",[1]!thsiFinD("ths_adjustment_nv_fund",B$3,$A668))</x:f>
        <x:v>#NAME?</x:v>
      </x:c>
      <x:c r="C668" s="146" t="e">
        <x:f>IF($A668="","",[1]!thsiFinD("ths_adjustment_nv_fund",C$3,$A668))</x:f>
        <x:v>#NAME?</x:v>
      </x:c>
      <x:c r="D668" s="146" t="e">
        <x:f>IF($A668="","",[1]!thsiFinD("ths_adjustment_nv_fund",D$3,$A668))</x:f>
        <x:v>#NAME?</x:v>
      </x:c>
      <x:c r="E668" s="146" t="e">
        <x:f>IF($A668="","",[1]!thsiFinD("ths_adjustment_nv_fund",E$3,$A668))</x:f>
        <x:v>#NAME?</x:v>
      </x:c>
      <x:c r="F668" s="146" t="e">
        <x:f>IF($A668="","",[1]!thsiFinD("ths_adjustment_nv_fund",F$3,$A668))</x:f>
        <x:v>#NAME?</x:v>
      </x:c>
      <x:c r="G668" s="146" t="e">
        <x:f>IF($A668="","",[1]!thsiFinD("ths_adjustment_nv_fund",G$3,$A668))</x:f>
        <x:v>#NAME?</x:v>
      </x:c>
      <x:c r="H668" s="146" t="e">
        <x:f>IF($A668="","",[1]!thsiFinD("ths_adjustment_nv_fund",H$3,$A668))</x:f>
        <x:v>#NAME?</x:v>
      </x:c>
      <x:c r="I668" s="146" t="e">
        <x:f>IF($A668="","",[1]!thsiFinD("ths_adjustment_nv_fund",I$3,$A668))</x:f>
        <x:v>#NAME?</x:v>
      </x:c>
      <x:c r="J668" s="146" t="e">
        <x:f>IF($A668="","",[1]!thsiFinD("ths_adjustment_nv_fund",J$3,$A668))</x:f>
        <x:v>#NAME?</x:v>
      </x:c>
      <x:c r="K668" s="146" t="e">
        <x:f>IF($A668="","",[1]!thsiFinD("ths_adjustment_nv_fund",K$3,$A668))</x:f>
        <x:v>#NAME?</x:v>
      </x:c>
      <x:c r="L668" s="146" t="e">
        <x:f>IF($A668="","",[1]!thsiFinD("ths_adjustment_nv_fund",L$3,$A668))</x:f>
        <x:v>#NAME?</x:v>
      </x:c>
      <x:c r="M668" s="146" t="e">
        <x:f>IF($A668="","",[1]!thsiFinD("ths_adjustment_nv_fund",M$3,$A668))</x:f>
        <x:v>#NAME?</x:v>
      </x:c>
      <x:c r="N668" s="146" t="e">
        <x:f>IF($A668="","",[1]!thsiFinD("ths_adjustment_nv_fund",N$3,$A668))</x:f>
        <x:v>#NAME?</x:v>
      </x:c>
      <x:c r="O668" s="146" t="e">
        <x:f>IF($A668="","",[1]!thsiFinD("ths_adjustment_nv_fund",O$3,$A668))</x:f>
        <x:v>#NAME?</x:v>
      </x:c>
      <x:c r="P668" s="146" t="e">
        <x:f>IF($A668="","",[1]!thsiFinD("ths_adjustment_nv_fund",P$3,$A668))</x:f>
        <x:v>#NAME?</x:v>
      </x:c>
      <x:c r="Q668" s="146" t="e">
        <x:f>IF($A668="","",[1]!thsiFinD("ths_adjustment_nv_fund",Q$3,$A668))</x:f>
        <x:v>#NAME?</x:v>
      </x:c>
      <x:c r="R668" s="146" t="e">
        <x:f>IF($A668="","",[1]!thsiFinD("ths_adjustment_nv_fund",R$3,$A668))</x:f>
        <x:v>#NAME?</x:v>
      </x:c>
      <x:c r="S668" s="146" t="e">
        <x:f>IF($A668="","",[1]!thsiFinD("ths_adjustment_nv_fund",S$3,$A668))</x:f>
        <x:v>#NAME?</x:v>
      </x:c>
      <x:c r="T668" s="146" t="e">
        <x:f>IF($A668="","",[1]!thsiFinD("ths_adjustment_nv_fund",T$3,$A668))</x:f>
        <x:v>#NAME?</x:v>
      </x:c>
      <x:c r="U668" s="146" t="e">
        <x:f>IF($A668="","",[1]!thsiFinD("ths_adjustment_nv_fund",U$3,$A668))</x:f>
        <x:v>#NAME?</x:v>
      </x:c>
      <x:c r="V668" s="146" t="e">
        <x:f>IF($A668="","",[1]!thsiFinD("ths_adjustment_nv_fund",V$3,$A668))</x:f>
        <x:v>#NAME?</x:v>
      </x:c>
      <x:c r="W668" s="146" t="e">
        <x:f>IF($A668="","",[1]!thsiFinD("ths_adjustment_nv_fund",W$3,$A668))</x:f>
        <x:v>#NAME?</x:v>
      </x:c>
      <x:c r="X668" s="146" t="e">
        <x:f>IF($A668="","",[1]!thsiFinD("ths_adjustment_nv_fund",X$3,$A668))</x:f>
        <x:v>#NAME?</x:v>
      </x:c>
      <x:c r="Y668" s="146" t="e">
        <x:f>IF($A668="","",[1]!thsiFinD("ths_adjustment_nv_fund",Y$3,$A668))</x:f>
        <x:v>#NAME?</x:v>
      </x:c>
      <x:c r="Z668" s="146" t="e">
        <x:f>IF($A668="","",[1]!thsiFinD("ths_adjustment_nv_fund",Z$3,$A668))</x:f>
        <x:v>#NAME?</x:v>
      </x:c>
      <x:c r="AA668" s="146" t="e">
        <x:f>IF($A668="","",[1]!thsiFinD("ths_adjustment_nv_fund",AA$3,$A668))</x:f>
        <x:v>#NAME?</x:v>
      </x:c>
    </x:row>
    <x:row r="669">
      <x:c r="B669" s="146" t="e">
        <x:f>IF($A669="","",[1]!thsiFinD("ths_adjustment_nv_fund",B$3,$A669))</x:f>
        <x:v>#NAME?</x:v>
      </x:c>
      <x:c r="C669" s="146" t="e">
        <x:f>IF($A669="","",[1]!thsiFinD("ths_adjustment_nv_fund",C$3,$A669))</x:f>
        <x:v>#NAME?</x:v>
      </x:c>
      <x:c r="D669" s="146" t="e">
        <x:f>IF($A669="","",[1]!thsiFinD("ths_adjustment_nv_fund",D$3,$A669))</x:f>
        <x:v>#NAME?</x:v>
      </x:c>
      <x:c r="E669" s="146" t="e">
        <x:f>IF($A669="","",[1]!thsiFinD("ths_adjustment_nv_fund",E$3,$A669))</x:f>
        <x:v>#NAME?</x:v>
      </x:c>
      <x:c r="F669" s="146" t="e">
        <x:f>IF($A669="","",[1]!thsiFinD("ths_adjustment_nv_fund",F$3,$A669))</x:f>
        <x:v>#NAME?</x:v>
      </x:c>
      <x:c r="G669" s="146" t="e">
        <x:f>IF($A669="","",[1]!thsiFinD("ths_adjustment_nv_fund",G$3,$A669))</x:f>
        <x:v>#NAME?</x:v>
      </x:c>
      <x:c r="H669" s="146" t="e">
        <x:f>IF($A669="","",[1]!thsiFinD("ths_adjustment_nv_fund",H$3,$A669))</x:f>
        <x:v>#NAME?</x:v>
      </x:c>
      <x:c r="I669" s="146" t="e">
        <x:f>IF($A669="","",[1]!thsiFinD("ths_adjustment_nv_fund",I$3,$A669))</x:f>
        <x:v>#NAME?</x:v>
      </x:c>
      <x:c r="J669" s="146" t="e">
        <x:f>IF($A669="","",[1]!thsiFinD("ths_adjustment_nv_fund",J$3,$A669))</x:f>
        <x:v>#NAME?</x:v>
      </x:c>
      <x:c r="K669" s="146" t="e">
        <x:f>IF($A669="","",[1]!thsiFinD("ths_adjustment_nv_fund",K$3,$A669))</x:f>
        <x:v>#NAME?</x:v>
      </x:c>
      <x:c r="L669" s="146" t="e">
        <x:f>IF($A669="","",[1]!thsiFinD("ths_adjustment_nv_fund",L$3,$A669))</x:f>
        <x:v>#NAME?</x:v>
      </x:c>
      <x:c r="M669" s="146" t="e">
        <x:f>IF($A669="","",[1]!thsiFinD("ths_adjustment_nv_fund",M$3,$A669))</x:f>
        <x:v>#NAME?</x:v>
      </x:c>
      <x:c r="N669" s="146" t="e">
        <x:f>IF($A669="","",[1]!thsiFinD("ths_adjustment_nv_fund",N$3,$A669))</x:f>
        <x:v>#NAME?</x:v>
      </x:c>
      <x:c r="O669" s="146" t="e">
        <x:f>IF($A669="","",[1]!thsiFinD("ths_adjustment_nv_fund",O$3,$A669))</x:f>
        <x:v>#NAME?</x:v>
      </x:c>
      <x:c r="P669" s="146" t="e">
        <x:f>IF($A669="","",[1]!thsiFinD("ths_adjustment_nv_fund",P$3,$A669))</x:f>
        <x:v>#NAME?</x:v>
      </x:c>
      <x:c r="Q669" s="146" t="e">
        <x:f>IF($A669="","",[1]!thsiFinD("ths_adjustment_nv_fund",Q$3,$A669))</x:f>
        <x:v>#NAME?</x:v>
      </x:c>
      <x:c r="R669" s="146" t="e">
        <x:f>IF($A669="","",[1]!thsiFinD("ths_adjustment_nv_fund",R$3,$A669))</x:f>
        <x:v>#NAME?</x:v>
      </x:c>
      <x:c r="S669" s="146" t="e">
        <x:f>IF($A669="","",[1]!thsiFinD("ths_adjustment_nv_fund",S$3,$A669))</x:f>
        <x:v>#NAME?</x:v>
      </x:c>
      <x:c r="T669" s="146" t="e">
        <x:f>IF($A669="","",[1]!thsiFinD("ths_adjustment_nv_fund",T$3,$A669))</x:f>
        <x:v>#NAME?</x:v>
      </x:c>
      <x:c r="U669" s="146" t="e">
        <x:f>IF($A669="","",[1]!thsiFinD("ths_adjustment_nv_fund",U$3,$A669))</x:f>
        <x:v>#NAME?</x:v>
      </x:c>
      <x:c r="V669" s="146" t="e">
        <x:f>IF($A669="","",[1]!thsiFinD("ths_adjustment_nv_fund",V$3,$A669))</x:f>
        <x:v>#NAME?</x:v>
      </x:c>
      <x:c r="W669" s="146" t="e">
        <x:f>IF($A669="","",[1]!thsiFinD("ths_adjustment_nv_fund",W$3,$A669))</x:f>
        <x:v>#NAME?</x:v>
      </x:c>
      <x:c r="X669" s="146" t="e">
        <x:f>IF($A669="","",[1]!thsiFinD("ths_adjustment_nv_fund",X$3,$A669))</x:f>
        <x:v>#NAME?</x:v>
      </x:c>
      <x:c r="Y669" s="146" t="e">
        <x:f>IF($A669="","",[1]!thsiFinD("ths_adjustment_nv_fund",Y$3,$A669))</x:f>
        <x:v>#NAME?</x:v>
      </x:c>
      <x:c r="Z669" s="146" t="e">
        <x:f>IF($A669="","",[1]!thsiFinD("ths_adjustment_nv_fund",Z$3,$A669))</x:f>
        <x:v>#NAME?</x:v>
      </x:c>
      <x:c r="AA669" s="146" t="e">
        <x:f>IF($A669="","",[1]!thsiFinD("ths_adjustment_nv_fund",AA$3,$A669))</x:f>
        <x:v>#NAME?</x:v>
      </x:c>
    </x:row>
    <x:row r="670">
      <x:c r="B670" s="146" t="e">
        <x:f>IF($A670="","",[1]!thsiFinD("ths_adjustment_nv_fund",B$3,$A670))</x:f>
        <x:v>#NAME?</x:v>
      </x:c>
      <x:c r="C670" s="146" t="e">
        <x:f>IF($A670="","",[1]!thsiFinD("ths_adjustment_nv_fund",C$3,$A670))</x:f>
        <x:v>#NAME?</x:v>
      </x:c>
      <x:c r="D670" s="146" t="e">
        <x:f>IF($A670="","",[1]!thsiFinD("ths_adjustment_nv_fund",D$3,$A670))</x:f>
        <x:v>#NAME?</x:v>
      </x:c>
      <x:c r="E670" s="146" t="e">
        <x:f>IF($A670="","",[1]!thsiFinD("ths_adjustment_nv_fund",E$3,$A670))</x:f>
        <x:v>#NAME?</x:v>
      </x:c>
      <x:c r="F670" s="146" t="e">
        <x:f>IF($A670="","",[1]!thsiFinD("ths_adjustment_nv_fund",F$3,$A670))</x:f>
        <x:v>#NAME?</x:v>
      </x:c>
      <x:c r="G670" s="146" t="e">
        <x:f>IF($A670="","",[1]!thsiFinD("ths_adjustment_nv_fund",G$3,$A670))</x:f>
        <x:v>#NAME?</x:v>
      </x:c>
      <x:c r="H670" s="146" t="e">
        <x:f>IF($A670="","",[1]!thsiFinD("ths_adjustment_nv_fund",H$3,$A670))</x:f>
        <x:v>#NAME?</x:v>
      </x:c>
      <x:c r="I670" s="146" t="e">
        <x:f>IF($A670="","",[1]!thsiFinD("ths_adjustment_nv_fund",I$3,$A670))</x:f>
        <x:v>#NAME?</x:v>
      </x:c>
      <x:c r="J670" s="146" t="e">
        <x:f>IF($A670="","",[1]!thsiFinD("ths_adjustment_nv_fund",J$3,$A670))</x:f>
        <x:v>#NAME?</x:v>
      </x:c>
      <x:c r="K670" s="146" t="e">
        <x:f>IF($A670="","",[1]!thsiFinD("ths_adjustment_nv_fund",K$3,$A670))</x:f>
        <x:v>#NAME?</x:v>
      </x:c>
      <x:c r="L670" s="146" t="e">
        <x:f>IF($A670="","",[1]!thsiFinD("ths_adjustment_nv_fund",L$3,$A670))</x:f>
        <x:v>#NAME?</x:v>
      </x:c>
      <x:c r="M670" s="146" t="e">
        <x:f>IF($A670="","",[1]!thsiFinD("ths_adjustment_nv_fund",M$3,$A670))</x:f>
        <x:v>#NAME?</x:v>
      </x:c>
      <x:c r="N670" s="146" t="e">
        <x:f>IF($A670="","",[1]!thsiFinD("ths_adjustment_nv_fund",N$3,$A670))</x:f>
        <x:v>#NAME?</x:v>
      </x:c>
      <x:c r="O670" s="146" t="e">
        <x:f>IF($A670="","",[1]!thsiFinD("ths_adjustment_nv_fund",O$3,$A670))</x:f>
        <x:v>#NAME?</x:v>
      </x:c>
      <x:c r="P670" s="146" t="e">
        <x:f>IF($A670="","",[1]!thsiFinD("ths_adjustment_nv_fund",P$3,$A670))</x:f>
        <x:v>#NAME?</x:v>
      </x:c>
      <x:c r="Q670" s="146" t="e">
        <x:f>IF($A670="","",[1]!thsiFinD("ths_adjustment_nv_fund",Q$3,$A670))</x:f>
        <x:v>#NAME?</x:v>
      </x:c>
      <x:c r="R670" s="146" t="e">
        <x:f>IF($A670="","",[1]!thsiFinD("ths_adjustment_nv_fund",R$3,$A670))</x:f>
        <x:v>#NAME?</x:v>
      </x:c>
      <x:c r="S670" s="146" t="e">
        <x:f>IF($A670="","",[1]!thsiFinD("ths_adjustment_nv_fund",S$3,$A670))</x:f>
        <x:v>#NAME?</x:v>
      </x:c>
      <x:c r="T670" s="146" t="e">
        <x:f>IF($A670="","",[1]!thsiFinD("ths_adjustment_nv_fund",T$3,$A670))</x:f>
        <x:v>#NAME?</x:v>
      </x:c>
      <x:c r="U670" s="146" t="e">
        <x:f>IF($A670="","",[1]!thsiFinD("ths_adjustment_nv_fund",U$3,$A670))</x:f>
        <x:v>#NAME?</x:v>
      </x:c>
      <x:c r="V670" s="146" t="e">
        <x:f>IF($A670="","",[1]!thsiFinD("ths_adjustment_nv_fund",V$3,$A670))</x:f>
        <x:v>#NAME?</x:v>
      </x:c>
      <x:c r="W670" s="146" t="e">
        <x:f>IF($A670="","",[1]!thsiFinD("ths_adjustment_nv_fund",W$3,$A670))</x:f>
        <x:v>#NAME?</x:v>
      </x:c>
      <x:c r="X670" s="146" t="e">
        <x:f>IF($A670="","",[1]!thsiFinD("ths_adjustment_nv_fund",X$3,$A670))</x:f>
        <x:v>#NAME?</x:v>
      </x:c>
      <x:c r="Y670" s="146" t="e">
        <x:f>IF($A670="","",[1]!thsiFinD("ths_adjustment_nv_fund",Y$3,$A670))</x:f>
        <x:v>#NAME?</x:v>
      </x:c>
      <x:c r="Z670" s="146" t="e">
        <x:f>IF($A670="","",[1]!thsiFinD("ths_adjustment_nv_fund",Z$3,$A670))</x:f>
        <x:v>#NAME?</x:v>
      </x:c>
      <x:c r="AA670" s="146" t="e">
        <x:f>IF($A670="","",[1]!thsiFinD("ths_adjustment_nv_fund",AA$3,$A670))</x:f>
        <x:v>#NAME?</x:v>
      </x:c>
    </x:row>
    <x:row r="671">
      <x:c r="B671" s="146" t="e">
        <x:f>IF($A671="","",[1]!thsiFinD("ths_adjustment_nv_fund",B$3,$A671))</x:f>
        <x:v>#NAME?</x:v>
      </x:c>
      <x:c r="C671" s="146" t="e">
        <x:f>IF($A671="","",[1]!thsiFinD("ths_adjustment_nv_fund",C$3,$A671))</x:f>
        <x:v>#NAME?</x:v>
      </x:c>
      <x:c r="D671" s="146" t="e">
        <x:f>IF($A671="","",[1]!thsiFinD("ths_adjustment_nv_fund",D$3,$A671))</x:f>
        <x:v>#NAME?</x:v>
      </x:c>
      <x:c r="E671" s="146" t="e">
        <x:f>IF($A671="","",[1]!thsiFinD("ths_adjustment_nv_fund",E$3,$A671))</x:f>
        <x:v>#NAME?</x:v>
      </x:c>
      <x:c r="F671" s="146" t="e">
        <x:f>IF($A671="","",[1]!thsiFinD("ths_adjustment_nv_fund",F$3,$A671))</x:f>
        <x:v>#NAME?</x:v>
      </x:c>
      <x:c r="G671" s="146" t="e">
        <x:f>IF($A671="","",[1]!thsiFinD("ths_adjustment_nv_fund",G$3,$A671))</x:f>
        <x:v>#NAME?</x:v>
      </x:c>
      <x:c r="H671" s="146" t="e">
        <x:f>IF($A671="","",[1]!thsiFinD("ths_adjustment_nv_fund",H$3,$A671))</x:f>
        <x:v>#NAME?</x:v>
      </x:c>
      <x:c r="I671" s="146" t="e">
        <x:f>IF($A671="","",[1]!thsiFinD("ths_adjustment_nv_fund",I$3,$A671))</x:f>
        <x:v>#NAME?</x:v>
      </x:c>
      <x:c r="J671" s="146" t="e">
        <x:f>IF($A671="","",[1]!thsiFinD("ths_adjustment_nv_fund",J$3,$A671))</x:f>
        <x:v>#NAME?</x:v>
      </x:c>
      <x:c r="K671" s="146" t="e">
        <x:f>IF($A671="","",[1]!thsiFinD("ths_adjustment_nv_fund",K$3,$A671))</x:f>
        <x:v>#NAME?</x:v>
      </x:c>
      <x:c r="L671" s="146" t="e">
        <x:f>IF($A671="","",[1]!thsiFinD("ths_adjustment_nv_fund",L$3,$A671))</x:f>
        <x:v>#NAME?</x:v>
      </x:c>
      <x:c r="M671" s="146" t="e">
        <x:f>IF($A671="","",[1]!thsiFinD("ths_adjustment_nv_fund",M$3,$A671))</x:f>
        <x:v>#NAME?</x:v>
      </x:c>
      <x:c r="N671" s="146" t="e">
        <x:f>IF($A671="","",[1]!thsiFinD("ths_adjustment_nv_fund",N$3,$A671))</x:f>
        <x:v>#NAME?</x:v>
      </x:c>
      <x:c r="O671" s="146" t="e">
        <x:f>IF($A671="","",[1]!thsiFinD("ths_adjustment_nv_fund",O$3,$A671))</x:f>
        <x:v>#NAME?</x:v>
      </x:c>
      <x:c r="P671" s="146" t="e">
        <x:f>IF($A671="","",[1]!thsiFinD("ths_adjustment_nv_fund",P$3,$A671))</x:f>
        <x:v>#NAME?</x:v>
      </x:c>
      <x:c r="Q671" s="146" t="e">
        <x:f>IF($A671="","",[1]!thsiFinD("ths_adjustment_nv_fund",Q$3,$A671))</x:f>
        <x:v>#NAME?</x:v>
      </x:c>
      <x:c r="R671" s="146" t="e">
        <x:f>IF($A671="","",[1]!thsiFinD("ths_adjustment_nv_fund",R$3,$A671))</x:f>
        <x:v>#NAME?</x:v>
      </x:c>
      <x:c r="S671" s="146" t="e">
        <x:f>IF($A671="","",[1]!thsiFinD("ths_adjustment_nv_fund",S$3,$A671))</x:f>
        <x:v>#NAME?</x:v>
      </x:c>
      <x:c r="T671" s="146" t="e">
        <x:f>IF($A671="","",[1]!thsiFinD("ths_adjustment_nv_fund",T$3,$A671))</x:f>
        <x:v>#NAME?</x:v>
      </x:c>
      <x:c r="U671" s="146" t="e">
        <x:f>IF($A671="","",[1]!thsiFinD("ths_adjustment_nv_fund",U$3,$A671))</x:f>
        <x:v>#NAME?</x:v>
      </x:c>
      <x:c r="V671" s="146" t="e">
        <x:f>IF($A671="","",[1]!thsiFinD("ths_adjustment_nv_fund",V$3,$A671))</x:f>
        <x:v>#NAME?</x:v>
      </x:c>
      <x:c r="W671" s="146" t="e">
        <x:f>IF($A671="","",[1]!thsiFinD("ths_adjustment_nv_fund",W$3,$A671))</x:f>
        <x:v>#NAME?</x:v>
      </x:c>
      <x:c r="X671" s="146" t="e">
        <x:f>IF($A671="","",[1]!thsiFinD("ths_adjustment_nv_fund",X$3,$A671))</x:f>
        <x:v>#NAME?</x:v>
      </x:c>
      <x:c r="Y671" s="146" t="e">
        <x:f>IF($A671="","",[1]!thsiFinD("ths_adjustment_nv_fund",Y$3,$A671))</x:f>
        <x:v>#NAME?</x:v>
      </x:c>
      <x:c r="Z671" s="146" t="e">
        <x:f>IF($A671="","",[1]!thsiFinD("ths_adjustment_nv_fund",Z$3,$A671))</x:f>
        <x:v>#NAME?</x:v>
      </x:c>
      <x:c r="AA671" s="146" t="e">
        <x:f>IF($A671="","",[1]!thsiFinD("ths_adjustment_nv_fund",AA$3,$A671))</x:f>
        <x:v>#NAME?</x:v>
      </x:c>
    </x:row>
    <x:row r="672">
      <x:c r="B672" s="146" t="e">
        <x:f>IF($A672="","",[1]!thsiFinD("ths_adjustment_nv_fund",B$3,$A672))</x:f>
        <x:v>#NAME?</x:v>
      </x:c>
      <x:c r="C672" s="146" t="e">
        <x:f>IF($A672="","",[1]!thsiFinD("ths_adjustment_nv_fund",C$3,$A672))</x:f>
        <x:v>#NAME?</x:v>
      </x:c>
      <x:c r="D672" s="146" t="e">
        <x:f>IF($A672="","",[1]!thsiFinD("ths_adjustment_nv_fund",D$3,$A672))</x:f>
        <x:v>#NAME?</x:v>
      </x:c>
      <x:c r="E672" s="146" t="e">
        <x:f>IF($A672="","",[1]!thsiFinD("ths_adjustment_nv_fund",E$3,$A672))</x:f>
        <x:v>#NAME?</x:v>
      </x:c>
      <x:c r="F672" s="146" t="e">
        <x:f>IF($A672="","",[1]!thsiFinD("ths_adjustment_nv_fund",F$3,$A672))</x:f>
        <x:v>#NAME?</x:v>
      </x:c>
      <x:c r="G672" s="146" t="e">
        <x:f>IF($A672="","",[1]!thsiFinD("ths_adjustment_nv_fund",G$3,$A672))</x:f>
        <x:v>#NAME?</x:v>
      </x:c>
      <x:c r="H672" s="146" t="e">
        <x:f>IF($A672="","",[1]!thsiFinD("ths_adjustment_nv_fund",H$3,$A672))</x:f>
        <x:v>#NAME?</x:v>
      </x:c>
      <x:c r="I672" s="146" t="e">
        <x:f>IF($A672="","",[1]!thsiFinD("ths_adjustment_nv_fund",I$3,$A672))</x:f>
        <x:v>#NAME?</x:v>
      </x:c>
      <x:c r="J672" s="146" t="e">
        <x:f>IF($A672="","",[1]!thsiFinD("ths_adjustment_nv_fund",J$3,$A672))</x:f>
        <x:v>#NAME?</x:v>
      </x:c>
      <x:c r="K672" s="146" t="e">
        <x:f>IF($A672="","",[1]!thsiFinD("ths_adjustment_nv_fund",K$3,$A672))</x:f>
        <x:v>#NAME?</x:v>
      </x:c>
      <x:c r="L672" s="146" t="e">
        <x:f>IF($A672="","",[1]!thsiFinD("ths_adjustment_nv_fund",L$3,$A672))</x:f>
        <x:v>#NAME?</x:v>
      </x:c>
      <x:c r="M672" s="146" t="e">
        <x:f>IF($A672="","",[1]!thsiFinD("ths_adjustment_nv_fund",M$3,$A672))</x:f>
        <x:v>#NAME?</x:v>
      </x:c>
      <x:c r="N672" s="146" t="e">
        <x:f>IF($A672="","",[1]!thsiFinD("ths_adjustment_nv_fund",N$3,$A672))</x:f>
        <x:v>#NAME?</x:v>
      </x:c>
      <x:c r="O672" s="146" t="e">
        <x:f>IF($A672="","",[1]!thsiFinD("ths_adjustment_nv_fund",O$3,$A672))</x:f>
        <x:v>#NAME?</x:v>
      </x:c>
      <x:c r="P672" s="146" t="e">
        <x:f>IF($A672="","",[1]!thsiFinD("ths_adjustment_nv_fund",P$3,$A672))</x:f>
        <x:v>#NAME?</x:v>
      </x:c>
      <x:c r="Q672" s="146" t="e">
        <x:f>IF($A672="","",[1]!thsiFinD("ths_adjustment_nv_fund",Q$3,$A672))</x:f>
        <x:v>#NAME?</x:v>
      </x:c>
      <x:c r="R672" s="146" t="e">
        <x:f>IF($A672="","",[1]!thsiFinD("ths_adjustment_nv_fund",R$3,$A672))</x:f>
        <x:v>#NAME?</x:v>
      </x:c>
      <x:c r="S672" s="146" t="e">
        <x:f>IF($A672="","",[1]!thsiFinD("ths_adjustment_nv_fund",S$3,$A672))</x:f>
        <x:v>#NAME?</x:v>
      </x:c>
      <x:c r="T672" s="146" t="e">
        <x:f>IF($A672="","",[1]!thsiFinD("ths_adjustment_nv_fund",T$3,$A672))</x:f>
        <x:v>#NAME?</x:v>
      </x:c>
      <x:c r="U672" s="146" t="e">
        <x:f>IF($A672="","",[1]!thsiFinD("ths_adjustment_nv_fund",U$3,$A672))</x:f>
        <x:v>#NAME?</x:v>
      </x:c>
      <x:c r="V672" s="146" t="e">
        <x:f>IF($A672="","",[1]!thsiFinD("ths_adjustment_nv_fund",V$3,$A672))</x:f>
        <x:v>#NAME?</x:v>
      </x:c>
      <x:c r="W672" s="146" t="e">
        <x:f>IF($A672="","",[1]!thsiFinD("ths_adjustment_nv_fund",W$3,$A672))</x:f>
        <x:v>#NAME?</x:v>
      </x:c>
      <x:c r="X672" s="146" t="e">
        <x:f>IF($A672="","",[1]!thsiFinD("ths_adjustment_nv_fund",X$3,$A672))</x:f>
        <x:v>#NAME?</x:v>
      </x:c>
      <x:c r="Y672" s="146" t="e">
        <x:f>IF($A672="","",[1]!thsiFinD("ths_adjustment_nv_fund",Y$3,$A672))</x:f>
        <x:v>#NAME?</x:v>
      </x:c>
      <x:c r="Z672" s="146" t="e">
        <x:f>IF($A672="","",[1]!thsiFinD("ths_adjustment_nv_fund",Z$3,$A672))</x:f>
        <x:v>#NAME?</x:v>
      </x:c>
      <x:c r="AA672" s="146" t="e">
        <x:f>IF($A672="","",[1]!thsiFinD("ths_adjustment_nv_fund",AA$3,$A672))</x:f>
        <x:v>#NAME?</x:v>
      </x:c>
    </x:row>
    <x:row r="673">
      <x:c r="B673" s="146" t="e">
        <x:f>IF($A673="","",[1]!thsiFinD("ths_adjustment_nv_fund",B$3,$A673))</x:f>
        <x:v>#NAME?</x:v>
      </x:c>
      <x:c r="C673" s="146" t="e">
        <x:f>IF($A673="","",[1]!thsiFinD("ths_adjustment_nv_fund",C$3,$A673))</x:f>
        <x:v>#NAME?</x:v>
      </x:c>
      <x:c r="D673" s="146" t="e">
        <x:f>IF($A673="","",[1]!thsiFinD("ths_adjustment_nv_fund",D$3,$A673))</x:f>
        <x:v>#NAME?</x:v>
      </x:c>
      <x:c r="E673" s="146" t="e">
        <x:f>IF($A673="","",[1]!thsiFinD("ths_adjustment_nv_fund",E$3,$A673))</x:f>
        <x:v>#NAME?</x:v>
      </x:c>
      <x:c r="F673" s="146" t="e">
        <x:f>IF($A673="","",[1]!thsiFinD("ths_adjustment_nv_fund",F$3,$A673))</x:f>
        <x:v>#NAME?</x:v>
      </x:c>
      <x:c r="G673" s="146" t="e">
        <x:f>IF($A673="","",[1]!thsiFinD("ths_adjustment_nv_fund",G$3,$A673))</x:f>
        <x:v>#NAME?</x:v>
      </x:c>
      <x:c r="H673" s="146" t="e">
        <x:f>IF($A673="","",[1]!thsiFinD("ths_adjustment_nv_fund",H$3,$A673))</x:f>
        <x:v>#NAME?</x:v>
      </x:c>
      <x:c r="I673" s="146" t="e">
        <x:f>IF($A673="","",[1]!thsiFinD("ths_adjustment_nv_fund",I$3,$A673))</x:f>
        <x:v>#NAME?</x:v>
      </x:c>
      <x:c r="J673" s="146" t="e">
        <x:f>IF($A673="","",[1]!thsiFinD("ths_adjustment_nv_fund",J$3,$A673))</x:f>
        <x:v>#NAME?</x:v>
      </x:c>
      <x:c r="K673" s="146" t="e">
        <x:f>IF($A673="","",[1]!thsiFinD("ths_adjustment_nv_fund",K$3,$A673))</x:f>
        <x:v>#NAME?</x:v>
      </x:c>
      <x:c r="L673" s="146" t="e">
        <x:f>IF($A673="","",[1]!thsiFinD("ths_adjustment_nv_fund",L$3,$A673))</x:f>
        <x:v>#NAME?</x:v>
      </x:c>
      <x:c r="M673" s="146" t="e">
        <x:f>IF($A673="","",[1]!thsiFinD("ths_adjustment_nv_fund",M$3,$A673))</x:f>
        <x:v>#NAME?</x:v>
      </x:c>
      <x:c r="N673" s="146" t="e">
        <x:f>IF($A673="","",[1]!thsiFinD("ths_adjustment_nv_fund",N$3,$A673))</x:f>
        <x:v>#NAME?</x:v>
      </x:c>
      <x:c r="O673" s="146" t="e">
        <x:f>IF($A673="","",[1]!thsiFinD("ths_adjustment_nv_fund",O$3,$A673))</x:f>
        <x:v>#NAME?</x:v>
      </x:c>
      <x:c r="P673" s="146" t="e">
        <x:f>IF($A673="","",[1]!thsiFinD("ths_adjustment_nv_fund",P$3,$A673))</x:f>
        <x:v>#NAME?</x:v>
      </x:c>
      <x:c r="Q673" s="146" t="e">
        <x:f>IF($A673="","",[1]!thsiFinD("ths_adjustment_nv_fund",Q$3,$A673))</x:f>
        <x:v>#NAME?</x:v>
      </x:c>
      <x:c r="R673" s="146" t="e">
        <x:f>IF($A673="","",[1]!thsiFinD("ths_adjustment_nv_fund",R$3,$A673))</x:f>
        <x:v>#NAME?</x:v>
      </x:c>
      <x:c r="S673" s="146" t="e">
        <x:f>IF($A673="","",[1]!thsiFinD("ths_adjustment_nv_fund",S$3,$A673))</x:f>
        <x:v>#NAME?</x:v>
      </x:c>
      <x:c r="T673" s="146" t="e">
        <x:f>IF($A673="","",[1]!thsiFinD("ths_adjustment_nv_fund",T$3,$A673))</x:f>
        <x:v>#NAME?</x:v>
      </x:c>
      <x:c r="U673" s="146" t="e">
        <x:f>IF($A673="","",[1]!thsiFinD("ths_adjustment_nv_fund",U$3,$A673))</x:f>
        <x:v>#NAME?</x:v>
      </x:c>
      <x:c r="V673" s="146" t="e">
        <x:f>IF($A673="","",[1]!thsiFinD("ths_adjustment_nv_fund",V$3,$A673))</x:f>
        <x:v>#NAME?</x:v>
      </x:c>
      <x:c r="W673" s="146" t="e">
        <x:f>IF($A673="","",[1]!thsiFinD("ths_adjustment_nv_fund",W$3,$A673))</x:f>
        <x:v>#NAME?</x:v>
      </x:c>
      <x:c r="X673" s="146" t="e">
        <x:f>IF($A673="","",[1]!thsiFinD("ths_adjustment_nv_fund",X$3,$A673))</x:f>
        <x:v>#NAME?</x:v>
      </x:c>
      <x:c r="Y673" s="146" t="e">
        <x:f>IF($A673="","",[1]!thsiFinD("ths_adjustment_nv_fund",Y$3,$A673))</x:f>
        <x:v>#NAME?</x:v>
      </x:c>
      <x:c r="Z673" s="146" t="e">
        <x:f>IF($A673="","",[1]!thsiFinD("ths_adjustment_nv_fund",Z$3,$A673))</x:f>
        <x:v>#NAME?</x:v>
      </x:c>
      <x:c r="AA673" s="146" t="e">
        <x:f>IF($A673="","",[1]!thsiFinD("ths_adjustment_nv_fund",AA$3,$A673))</x:f>
        <x:v>#NAME?</x:v>
      </x:c>
    </x:row>
    <x:row r="674">
      <x:c r="B674" s="146" t="e">
        <x:f>IF($A674="","",[1]!thsiFinD("ths_adjustment_nv_fund",B$3,$A674))</x:f>
        <x:v>#NAME?</x:v>
      </x:c>
      <x:c r="C674" s="146" t="e">
        <x:f>IF($A674="","",[1]!thsiFinD("ths_adjustment_nv_fund",C$3,$A674))</x:f>
        <x:v>#NAME?</x:v>
      </x:c>
      <x:c r="D674" s="146" t="e">
        <x:f>IF($A674="","",[1]!thsiFinD("ths_adjustment_nv_fund",D$3,$A674))</x:f>
        <x:v>#NAME?</x:v>
      </x:c>
      <x:c r="E674" s="146" t="e">
        <x:f>IF($A674="","",[1]!thsiFinD("ths_adjustment_nv_fund",E$3,$A674))</x:f>
        <x:v>#NAME?</x:v>
      </x:c>
      <x:c r="F674" s="146" t="e">
        <x:f>IF($A674="","",[1]!thsiFinD("ths_adjustment_nv_fund",F$3,$A674))</x:f>
        <x:v>#NAME?</x:v>
      </x:c>
      <x:c r="G674" s="146" t="e">
        <x:f>IF($A674="","",[1]!thsiFinD("ths_adjustment_nv_fund",G$3,$A674))</x:f>
        <x:v>#NAME?</x:v>
      </x:c>
      <x:c r="H674" s="146" t="e">
        <x:f>IF($A674="","",[1]!thsiFinD("ths_adjustment_nv_fund",H$3,$A674))</x:f>
        <x:v>#NAME?</x:v>
      </x:c>
      <x:c r="I674" s="146" t="e">
        <x:f>IF($A674="","",[1]!thsiFinD("ths_adjustment_nv_fund",I$3,$A674))</x:f>
        <x:v>#NAME?</x:v>
      </x:c>
      <x:c r="J674" s="146" t="e">
        <x:f>IF($A674="","",[1]!thsiFinD("ths_adjustment_nv_fund",J$3,$A674))</x:f>
        <x:v>#NAME?</x:v>
      </x:c>
      <x:c r="K674" s="146" t="e">
        <x:f>IF($A674="","",[1]!thsiFinD("ths_adjustment_nv_fund",K$3,$A674))</x:f>
        <x:v>#NAME?</x:v>
      </x:c>
      <x:c r="L674" s="146" t="e">
        <x:f>IF($A674="","",[1]!thsiFinD("ths_adjustment_nv_fund",L$3,$A674))</x:f>
        <x:v>#NAME?</x:v>
      </x:c>
      <x:c r="M674" s="146" t="e">
        <x:f>IF($A674="","",[1]!thsiFinD("ths_adjustment_nv_fund",M$3,$A674))</x:f>
        <x:v>#NAME?</x:v>
      </x:c>
      <x:c r="N674" s="146" t="e">
        <x:f>IF($A674="","",[1]!thsiFinD("ths_adjustment_nv_fund",N$3,$A674))</x:f>
        <x:v>#NAME?</x:v>
      </x:c>
      <x:c r="O674" s="146" t="e">
        <x:f>IF($A674="","",[1]!thsiFinD("ths_adjustment_nv_fund",O$3,$A674))</x:f>
        <x:v>#NAME?</x:v>
      </x:c>
      <x:c r="P674" s="146" t="e">
        <x:f>IF($A674="","",[1]!thsiFinD("ths_adjustment_nv_fund",P$3,$A674))</x:f>
        <x:v>#NAME?</x:v>
      </x:c>
      <x:c r="Q674" s="146" t="e">
        <x:f>IF($A674="","",[1]!thsiFinD("ths_adjustment_nv_fund",Q$3,$A674))</x:f>
        <x:v>#NAME?</x:v>
      </x:c>
      <x:c r="R674" s="146" t="e">
        <x:f>IF($A674="","",[1]!thsiFinD("ths_adjustment_nv_fund",R$3,$A674))</x:f>
        <x:v>#NAME?</x:v>
      </x:c>
      <x:c r="S674" s="146" t="e">
        <x:f>IF($A674="","",[1]!thsiFinD("ths_adjustment_nv_fund",S$3,$A674))</x:f>
        <x:v>#NAME?</x:v>
      </x:c>
      <x:c r="T674" s="146" t="e">
        <x:f>IF($A674="","",[1]!thsiFinD("ths_adjustment_nv_fund",T$3,$A674))</x:f>
        <x:v>#NAME?</x:v>
      </x:c>
      <x:c r="U674" s="146" t="e">
        <x:f>IF($A674="","",[1]!thsiFinD("ths_adjustment_nv_fund",U$3,$A674))</x:f>
        <x:v>#NAME?</x:v>
      </x:c>
      <x:c r="V674" s="146" t="e">
        <x:f>IF($A674="","",[1]!thsiFinD("ths_adjustment_nv_fund",V$3,$A674))</x:f>
        <x:v>#NAME?</x:v>
      </x:c>
      <x:c r="W674" s="146" t="e">
        <x:f>IF($A674="","",[1]!thsiFinD("ths_adjustment_nv_fund",W$3,$A674))</x:f>
        <x:v>#NAME?</x:v>
      </x:c>
      <x:c r="X674" s="146" t="e">
        <x:f>IF($A674="","",[1]!thsiFinD("ths_adjustment_nv_fund",X$3,$A674))</x:f>
        <x:v>#NAME?</x:v>
      </x:c>
      <x:c r="Y674" s="146" t="e">
        <x:f>IF($A674="","",[1]!thsiFinD("ths_adjustment_nv_fund",Y$3,$A674))</x:f>
        <x:v>#NAME?</x:v>
      </x:c>
      <x:c r="Z674" s="146" t="e">
        <x:f>IF($A674="","",[1]!thsiFinD("ths_adjustment_nv_fund",Z$3,$A674))</x:f>
        <x:v>#NAME?</x:v>
      </x:c>
      <x:c r="AA674" s="146" t="e">
        <x:f>IF($A674="","",[1]!thsiFinD("ths_adjustment_nv_fund",AA$3,$A674))</x:f>
        <x:v>#NAME?</x:v>
      </x:c>
    </x:row>
    <x:row r="675">
      <x:c r="B675" s="146" t="e">
        <x:f>IF($A675="","",[1]!thsiFinD("ths_adjustment_nv_fund",B$3,$A675))</x:f>
        <x:v>#NAME?</x:v>
      </x:c>
      <x:c r="C675" s="146" t="e">
        <x:f>IF($A675="","",[1]!thsiFinD("ths_adjustment_nv_fund",C$3,$A675))</x:f>
        <x:v>#NAME?</x:v>
      </x:c>
      <x:c r="D675" s="146" t="e">
        <x:f>IF($A675="","",[1]!thsiFinD("ths_adjustment_nv_fund",D$3,$A675))</x:f>
        <x:v>#NAME?</x:v>
      </x:c>
      <x:c r="E675" s="146" t="e">
        <x:f>IF($A675="","",[1]!thsiFinD("ths_adjustment_nv_fund",E$3,$A675))</x:f>
        <x:v>#NAME?</x:v>
      </x:c>
      <x:c r="F675" s="146" t="e">
        <x:f>IF($A675="","",[1]!thsiFinD("ths_adjustment_nv_fund",F$3,$A675))</x:f>
        <x:v>#NAME?</x:v>
      </x:c>
      <x:c r="G675" s="146" t="e">
        <x:f>IF($A675="","",[1]!thsiFinD("ths_adjustment_nv_fund",G$3,$A675))</x:f>
        <x:v>#NAME?</x:v>
      </x:c>
      <x:c r="H675" s="146" t="e">
        <x:f>IF($A675="","",[1]!thsiFinD("ths_adjustment_nv_fund",H$3,$A675))</x:f>
        <x:v>#NAME?</x:v>
      </x:c>
      <x:c r="I675" s="146" t="e">
        <x:f>IF($A675="","",[1]!thsiFinD("ths_adjustment_nv_fund",I$3,$A675))</x:f>
        <x:v>#NAME?</x:v>
      </x:c>
      <x:c r="J675" s="146" t="e">
        <x:f>IF($A675="","",[1]!thsiFinD("ths_adjustment_nv_fund",J$3,$A675))</x:f>
        <x:v>#NAME?</x:v>
      </x:c>
      <x:c r="K675" s="146" t="e">
        <x:f>IF($A675="","",[1]!thsiFinD("ths_adjustment_nv_fund",K$3,$A675))</x:f>
        <x:v>#NAME?</x:v>
      </x:c>
      <x:c r="L675" s="146" t="e">
        <x:f>IF($A675="","",[1]!thsiFinD("ths_adjustment_nv_fund",L$3,$A675))</x:f>
        <x:v>#NAME?</x:v>
      </x:c>
      <x:c r="M675" s="146" t="e">
        <x:f>IF($A675="","",[1]!thsiFinD("ths_adjustment_nv_fund",M$3,$A675))</x:f>
        <x:v>#NAME?</x:v>
      </x:c>
      <x:c r="N675" s="146" t="e">
        <x:f>IF($A675="","",[1]!thsiFinD("ths_adjustment_nv_fund",N$3,$A675))</x:f>
        <x:v>#NAME?</x:v>
      </x:c>
      <x:c r="O675" s="146" t="e">
        <x:f>IF($A675="","",[1]!thsiFinD("ths_adjustment_nv_fund",O$3,$A675))</x:f>
        <x:v>#NAME?</x:v>
      </x:c>
      <x:c r="P675" s="146" t="e">
        <x:f>IF($A675="","",[1]!thsiFinD("ths_adjustment_nv_fund",P$3,$A675))</x:f>
        <x:v>#NAME?</x:v>
      </x:c>
      <x:c r="Q675" s="146" t="e">
        <x:f>IF($A675="","",[1]!thsiFinD("ths_adjustment_nv_fund",Q$3,$A675))</x:f>
        <x:v>#NAME?</x:v>
      </x:c>
      <x:c r="R675" s="146" t="e">
        <x:f>IF($A675="","",[1]!thsiFinD("ths_adjustment_nv_fund",R$3,$A675))</x:f>
        <x:v>#NAME?</x:v>
      </x:c>
      <x:c r="S675" s="146" t="e">
        <x:f>IF($A675="","",[1]!thsiFinD("ths_adjustment_nv_fund",S$3,$A675))</x:f>
        <x:v>#NAME?</x:v>
      </x:c>
      <x:c r="T675" s="146" t="e">
        <x:f>IF($A675="","",[1]!thsiFinD("ths_adjustment_nv_fund",T$3,$A675))</x:f>
        <x:v>#NAME?</x:v>
      </x:c>
      <x:c r="U675" s="146" t="e">
        <x:f>IF($A675="","",[1]!thsiFinD("ths_adjustment_nv_fund",U$3,$A675))</x:f>
        <x:v>#NAME?</x:v>
      </x:c>
      <x:c r="V675" s="146" t="e">
        <x:f>IF($A675="","",[1]!thsiFinD("ths_adjustment_nv_fund",V$3,$A675))</x:f>
        <x:v>#NAME?</x:v>
      </x:c>
      <x:c r="W675" s="146" t="e">
        <x:f>IF($A675="","",[1]!thsiFinD("ths_adjustment_nv_fund",W$3,$A675))</x:f>
        <x:v>#NAME?</x:v>
      </x:c>
      <x:c r="X675" s="146" t="e">
        <x:f>IF($A675="","",[1]!thsiFinD("ths_adjustment_nv_fund",X$3,$A675))</x:f>
        <x:v>#NAME?</x:v>
      </x:c>
      <x:c r="Y675" s="146" t="e">
        <x:f>IF($A675="","",[1]!thsiFinD("ths_adjustment_nv_fund",Y$3,$A675))</x:f>
        <x:v>#NAME?</x:v>
      </x:c>
      <x:c r="Z675" s="146" t="e">
        <x:f>IF($A675="","",[1]!thsiFinD("ths_adjustment_nv_fund",Z$3,$A675))</x:f>
        <x:v>#NAME?</x:v>
      </x:c>
      <x:c r="AA675" s="146" t="e">
        <x:f>IF($A675="","",[1]!thsiFinD("ths_adjustment_nv_fund",AA$3,$A675))</x:f>
        <x:v>#NAME?</x:v>
      </x:c>
    </x:row>
    <x:row r="676">
      <x:c r="B676" s="146" t="e">
        <x:f>IF($A676="","",[1]!thsiFinD("ths_adjustment_nv_fund",B$3,$A676))</x:f>
        <x:v>#NAME?</x:v>
      </x:c>
      <x:c r="C676" s="146" t="e">
        <x:f>IF($A676="","",[1]!thsiFinD("ths_adjustment_nv_fund",C$3,$A676))</x:f>
        <x:v>#NAME?</x:v>
      </x:c>
      <x:c r="D676" s="146" t="e">
        <x:f>IF($A676="","",[1]!thsiFinD("ths_adjustment_nv_fund",D$3,$A676))</x:f>
        <x:v>#NAME?</x:v>
      </x:c>
      <x:c r="E676" s="146" t="e">
        <x:f>IF($A676="","",[1]!thsiFinD("ths_adjustment_nv_fund",E$3,$A676))</x:f>
        <x:v>#NAME?</x:v>
      </x:c>
      <x:c r="F676" s="146" t="e">
        <x:f>IF($A676="","",[1]!thsiFinD("ths_adjustment_nv_fund",F$3,$A676))</x:f>
        <x:v>#NAME?</x:v>
      </x:c>
      <x:c r="G676" s="146" t="e">
        <x:f>IF($A676="","",[1]!thsiFinD("ths_adjustment_nv_fund",G$3,$A676))</x:f>
        <x:v>#NAME?</x:v>
      </x:c>
      <x:c r="H676" s="146" t="e">
        <x:f>IF($A676="","",[1]!thsiFinD("ths_adjustment_nv_fund",H$3,$A676))</x:f>
        <x:v>#NAME?</x:v>
      </x:c>
      <x:c r="I676" s="146" t="e">
        <x:f>IF($A676="","",[1]!thsiFinD("ths_adjustment_nv_fund",I$3,$A676))</x:f>
        <x:v>#NAME?</x:v>
      </x:c>
      <x:c r="J676" s="146" t="e">
        <x:f>IF($A676="","",[1]!thsiFinD("ths_adjustment_nv_fund",J$3,$A676))</x:f>
        <x:v>#NAME?</x:v>
      </x:c>
      <x:c r="K676" s="146" t="e">
        <x:f>IF($A676="","",[1]!thsiFinD("ths_adjustment_nv_fund",K$3,$A676))</x:f>
        <x:v>#NAME?</x:v>
      </x:c>
      <x:c r="L676" s="146" t="e">
        <x:f>IF($A676="","",[1]!thsiFinD("ths_adjustment_nv_fund",L$3,$A676))</x:f>
        <x:v>#NAME?</x:v>
      </x:c>
      <x:c r="M676" s="146" t="e">
        <x:f>IF($A676="","",[1]!thsiFinD("ths_adjustment_nv_fund",M$3,$A676))</x:f>
        <x:v>#NAME?</x:v>
      </x:c>
      <x:c r="N676" s="146" t="e">
        <x:f>IF($A676="","",[1]!thsiFinD("ths_adjustment_nv_fund",N$3,$A676))</x:f>
        <x:v>#NAME?</x:v>
      </x:c>
      <x:c r="O676" s="146" t="e">
        <x:f>IF($A676="","",[1]!thsiFinD("ths_adjustment_nv_fund",O$3,$A676))</x:f>
        <x:v>#NAME?</x:v>
      </x:c>
      <x:c r="P676" s="146" t="e">
        <x:f>IF($A676="","",[1]!thsiFinD("ths_adjustment_nv_fund",P$3,$A676))</x:f>
        <x:v>#NAME?</x:v>
      </x:c>
      <x:c r="Q676" s="146" t="e">
        <x:f>IF($A676="","",[1]!thsiFinD("ths_adjustment_nv_fund",Q$3,$A676))</x:f>
        <x:v>#NAME?</x:v>
      </x:c>
      <x:c r="R676" s="146" t="e">
        <x:f>IF($A676="","",[1]!thsiFinD("ths_adjustment_nv_fund",R$3,$A676))</x:f>
        <x:v>#NAME?</x:v>
      </x:c>
      <x:c r="S676" s="146" t="e">
        <x:f>IF($A676="","",[1]!thsiFinD("ths_adjustment_nv_fund",S$3,$A676))</x:f>
        <x:v>#NAME?</x:v>
      </x:c>
      <x:c r="T676" s="146" t="e">
        <x:f>IF($A676="","",[1]!thsiFinD("ths_adjustment_nv_fund",T$3,$A676))</x:f>
        <x:v>#NAME?</x:v>
      </x:c>
      <x:c r="U676" s="146" t="e">
        <x:f>IF($A676="","",[1]!thsiFinD("ths_adjustment_nv_fund",U$3,$A676))</x:f>
        <x:v>#NAME?</x:v>
      </x:c>
      <x:c r="V676" s="146" t="e">
        <x:f>IF($A676="","",[1]!thsiFinD("ths_adjustment_nv_fund",V$3,$A676))</x:f>
        <x:v>#NAME?</x:v>
      </x:c>
      <x:c r="W676" s="146" t="e">
        <x:f>IF($A676="","",[1]!thsiFinD("ths_adjustment_nv_fund",W$3,$A676))</x:f>
        <x:v>#NAME?</x:v>
      </x:c>
      <x:c r="X676" s="146" t="e">
        <x:f>IF($A676="","",[1]!thsiFinD("ths_adjustment_nv_fund",X$3,$A676))</x:f>
        <x:v>#NAME?</x:v>
      </x:c>
      <x:c r="Y676" s="146" t="e">
        <x:f>IF($A676="","",[1]!thsiFinD("ths_adjustment_nv_fund",Y$3,$A676))</x:f>
        <x:v>#NAME?</x:v>
      </x:c>
      <x:c r="Z676" s="146" t="e">
        <x:f>IF($A676="","",[1]!thsiFinD("ths_adjustment_nv_fund",Z$3,$A676))</x:f>
        <x:v>#NAME?</x:v>
      </x:c>
      <x:c r="AA676" s="146" t="e">
        <x:f>IF($A676="","",[1]!thsiFinD("ths_adjustment_nv_fund",AA$3,$A676))</x:f>
        <x:v>#NAME?</x:v>
      </x:c>
    </x:row>
    <x:row r="677">
      <x:c r="B677" s="146" t="e">
        <x:f>IF($A677="","",[1]!thsiFinD("ths_adjustment_nv_fund",B$3,$A677))</x:f>
        <x:v>#NAME?</x:v>
      </x:c>
      <x:c r="C677" s="146" t="e">
        <x:f>IF($A677="","",[1]!thsiFinD("ths_adjustment_nv_fund",C$3,$A677))</x:f>
        <x:v>#NAME?</x:v>
      </x:c>
      <x:c r="D677" s="146" t="e">
        <x:f>IF($A677="","",[1]!thsiFinD("ths_adjustment_nv_fund",D$3,$A677))</x:f>
        <x:v>#NAME?</x:v>
      </x:c>
      <x:c r="E677" s="146" t="e">
        <x:f>IF($A677="","",[1]!thsiFinD("ths_adjustment_nv_fund",E$3,$A677))</x:f>
        <x:v>#NAME?</x:v>
      </x:c>
      <x:c r="F677" s="146" t="e">
        <x:f>IF($A677="","",[1]!thsiFinD("ths_adjustment_nv_fund",F$3,$A677))</x:f>
        <x:v>#NAME?</x:v>
      </x:c>
      <x:c r="G677" s="146" t="e">
        <x:f>IF($A677="","",[1]!thsiFinD("ths_adjustment_nv_fund",G$3,$A677))</x:f>
        <x:v>#NAME?</x:v>
      </x:c>
      <x:c r="H677" s="146" t="e">
        <x:f>IF($A677="","",[1]!thsiFinD("ths_adjustment_nv_fund",H$3,$A677))</x:f>
        <x:v>#NAME?</x:v>
      </x:c>
      <x:c r="I677" s="146" t="e">
        <x:f>IF($A677="","",[1]!thsiFinD("ths_adjustment_nv_fund",I$3,$A677))</x:f>
        <x:v>#NAME?</x:v>
      </x:c>
      <x:c r="J677" s="146" t="e">
        <x:f>IF($A677="","",[1]!thsiFinD("ths_adjustment_nv_fund",J$3,$A677))</x:f>
        <x:v>#NAME?</x:v>
      </x:c>
      <x:c r="K677" s="146" t="e">
        <x:f>IF($A677="","",[1]!thsiFinD("ths_adjustment_nv_fund",K$3,$A677))</x:f>
        <x:v>#NAME?</x:v>
      </x:c>
      <x:c r="L677" s="146" t="e">
        <x:f>IF($A677="","",[1]!thsiFinD("ths_adjustment_nv_fund",L$3,$A677))</x:f>
        <x:v>#NAME?</x:v>
      </x:c>
      <x:c r="M677" s="146" t="e">
        <x:f>IF($A677="","",[1]!thsiFinD("ths_adjustment_nv_fund",M$3,$A677))</x:f>
        <x:v>#NAME?</x:v>
      </x:c>
      <x:c r="N677" s="146" t="e">
        <x:f>IF($A677="","",[1]!thsiFinD("ths_adjustment_nv_fund",N$3,$A677))</x:f>
        <x:v>#NAME?</x:v>
      </x:c>
      <x:c r="O677" s="146" t="e">
        <x:f>IF($A677="","",[1]!thsiFinD("ths_adjustment_nv_fund",O$3,$A677))</x:f>
        <x:v>#NAME?</x:v>
      </x:c>
      <x:c r="P677" s="146" t="e">
        <x:f>IF($A677="","",[1]!thsiFinD("ths_adjustment_nv_fund",P$3,$A677))</x:f>
        <x:v>#NAME?</x:v>
      </x:c>
      <x:c r="Q677" s="146" t="e">
        <x:f>IF($A677="","",[1]!thsiFinD("ths_adjustment_nv_fund",Q$3,$A677))</x:f>
        <x:v>#NAME?</x:v>
      </x:c>
      <x:c r="R677" s="146" t="e">
        <x:f>IF($A677="","",[1]!thsiFinD("ths_adjustment_nv_fund",R$3,$A677))</x:f>
        <x:v>#NAME?</x:v>
      </x:c>
      <x:c r="S677" s="146" t="e">
        <x:f>IF($A677="","",[1]!thsiFinD("ths_adjustment_nv_fund",S$3,$A677))</x:f>
        <x:v>#NAME?</x:v>
      </x:c>
      <x:c r="T677" s="146" t="e">
        <x:f>IF($A677="","",[1]!thsiFinD("ths_adjustment_nv_fund",T$3,$A677))</x:f>
        <x:v>#NAME?</x:v>
      </x:c>
      <x:c r="U677" s="146" t="e">
        <x:f>IF($A677="","",[1]!thsiFinD("ths_adjustment_nv_fund",U$3,$A677))</x:f>
        <x:v>#NAME?</x:v>
      </x:c>
      <x:c r="V677" s="146" t="e">
        <x:f>IF($A677="","",[1]!thsiFinD("ths_adjustment_nv_fund",V$3,$A677))</x:f>
        <x:v>#NAME?</x:v>
      </x:c>
      <x:c r="W677" s="146" t="e">
        <x:f>IF($A677="","",[1]!thsiFinD("ths_adjustment_nv_fund",W$3,$A677))</x:f>
        <x:v>#NAME?</x:v>
      </x:c>
      <x:c r="X677" s="146" t="e">
        <x:f>IF($A677="","",[1]!thsiFinD("ths_adjustment_nv_fund",X$3,$A677))</x:f>
        <x:v>#NAME?</x:v>
      </x:c>
      <x:c r="Y677" s="146" t="e">
        <x:f>IF($A677="","",[1]!thsiFinD("ths_adjustment_nv_fund",Y$3,$A677))</x:f>
        <x:v>#NAME?</x:v>
      </x:c>
      <x:c r="Z677" s="146" t="e">
        <x:f>IF($A677="","",[1]!thsiFinD("ths_adjustment_nv_fund",Z$3,$A677))</x:f>
        <x:v>#NAME?</x:v>
      </x:c>
      <x:c r="AA677" s="146" t="e">
        <x:f>IF($A677="","",[1]!thsiFinD("ths_adjustment_nv_fund",AA$3,$A677))</x:f>
        <x:v>#NAME?</x:v>
      </x:c>
    </x:row>
    <x:row r="678">
      <x:c r="B678" s="146" t="e">
        <x:f>IF($A678="","",[1]!thsiFinD("ths_adjustment_nv_fund",B$3,$A678))</x:f>
        <x:v>#NAME?</x:v>
      </x:c>
      <x:c r="C678" s="146" t="e">
        <x:f>IF($A678="","",[1]!thsiFinD("ths_adjustment_nv_fund",C$3,$A678))</x:f>
        <x:v>#NAME?</x:v>
      </x:c>
      <x:c r="D678" s="146" t="e">
        <x:f>IF($A678="","",[1]!thsiFinD("ths_adjustment_nv_fund",D$3,$A678))</x:f>
        <x:v>#NAME?</x:v>
      </x:c>
      <x:c r="E678" s="146" t="e">
        <x:f>IF($A678="","",[1]!thsiFinD("ths_adjustment_nv_fund",E$3,$A678))</x:f>
        <x:v>#NAME?</x:v>
      </x:c>
      <x:c r="F678" s="146" t="e">
        <x:f>IF($A678="","",[1]!thsiFinD("ths_adjustment_nv_fund",F$3,$A678))</x:f>
        <x:v>#NAME?</x:v>
      </x:c>
      <x:c r="G678" s="146" t="e">
        <x:f>IF($A678="","",[1]!thsiFinD("ths_adjustment_nv_fund",G$3,$A678))</x:f>
        <x:v>#NAME?</x:v>
      </x:c>
      <x:c r="H678" s="146" t="e">
        <x:f>IF($A678="","",[1]!thsiFinD("ths_adjustment_nv_fund",H$3,$A678))</x:f>
        <x:v>#NAME?</x:v>
      </x:c>
      <x:c r="I678" s="146" t="e">
        <x:f>IF($A678="","",[1]!thsiFinD("ths_adjustment_nv_fund",I$3,$A678))</x:f>
        <x:v>#NAME?</x:v>
      </x:c>
      <x:c r="J678" s="146" t="e">
        <x:f>IF($A678="","",[1]!thsiFinD("ths_adjustment_nv_fund",J$3,$A678))</x:f>
        <x:v>#NAME?</x:v>
      </x:c>
      <x:c r="K678" s="146" t="e">
        <x:f>IF($A678="","",[1]!thsiFinD("ths_adjustment_nv_fund",K$3,$A678))</x:f>
        <x:v>#NAME?</x:v>
      </x:c>
      <x:c r="L678" s="146" t="e">
        <x:f>IF($A678="","",[1]!thsiFinD("ths_adjustment_nv_fund",L$3,$A678))</x:f>
        <x:v>#NAME?</x:v>
      </x:c>
      <x:c r="M678" s="146" t="e">
        <x:f>IF($A678="","",[1]!thsiFinD("ths_adjustment_nv_fund",M$3,$A678))</x:f>
        <x:v>#NAME?</x:v>
      </x:c>
      <x:c r="N678" s="146" t="e">
        <x:f>IF($A678="","",[1]!thsiFinD("ths_adjustment_nv_fund",N$3,$A678))</x:f>
        <x:v>#NAME?</x:v>
      </x:c>
      <x:c r="O678" s="146" t="e">
        <x:f>IF($A678="","",[1]!thsiFinD("ths_adjustment_nv_fund",O$3,$A678))</x:f>
        <x:v>#NAME?</x:v>
      </x:c>
      <x:c r="P678" s="146" t="e">
        <x:f>IF($A678="","",[1]!thsiFinD("ths_adjustment_nv_fund",P$3,$A678))</x:f>
        <x:v>#NAME?</x:v>
      </x:c>
      <x:c r="Q678" s="146" t="e">
        <x:f>IF($A678="","",[1]!thsiFinD("ths_adjustment_nv_fund",Q$3,$A678))</x:f>
        <x:v>#NAME?</x:v>
      </x:c>
      <x:c r="R678" s="146" t="e">
        <x:f>IF($A678="","",[1]!thsiFinD("ths_adjustment_nv_fund",R$3,$A678))</x:f>
        <x:v>#NAME?</x:v>
      </x:c>
      <x:c r="S678" s="146" t="e">
        <x:f>IF($A678="","",[1]!thsiFinD("ths_adjustment_nv_fund",S$3,$A678))</x:f>
        <x:v>#NAME?</x:v>
      </x:c>
      <x:c r="T678" s="146" t="e">
        <x:f>IF($A678="","",[1]!thsiFinD("ths_adjustment_nv_fund",T$3,$A678))</x:f>
        <x:v>#NAME?</x:v>
      </x:c>
      <x:c r="U678" s="146" t="e">
        <x:f>IF($A678="","",[1]!thsiFinD("ths_adjustment_nv_fund",U$3,$A678))</x:f>
        <x:v>#NAME?</x:v>
      </x:c>
      <x:c r="V678" s="146" t="e">
        <x:f>IF($A678="","",[1]!thsiFinD("ths_adjustment_nv_fund",V$3,$A678))</x:f>
        <x:v>#NAME?</x:v>
      </x:c>
      <x:c r="W678" s="146" t="e">
        <x:f>IF($A678="","",[1]!thsiFinD("ths_adjustment_nv_fund",W$3,$A678))</x:f>
        <x:v>#NAME?</x:v>
      </x:c>
      <x:c r="X678" s="146" t="e">
        <x:f>IF($A678="","",[1]!thsiFinD("ths_adjustment_nv_fund",X$3,$A678))</x:f>
        <x:v>#NAME?</x:v>
      </x:c>
      <x:c r="Y678" s="146" t="e">
        <x:f>IF($A678="","",[1]!thsiFinD("ths_adjustment_nv_fund",Y$3,$A678))</x:f>
        <x:v>#NAME?</x:v>
      </x:c>
      <x:c r="Z678" s="146" t="e">
        <x:f>IF($A678="","",[1]!thsiFinD("ths_adjustment_nv_fund",Z$3,$A678))</x:f>
        <x:v>#NAME?</x:v>
      </x:c>
      <x:c r="AA678" s="146" t="e">
        <x:f>IF($A678="","",[1]!thsiFinD("ths_adjustment_nv_fund",AA$3,$A678))</x:f>
        <x:v>#NAME?</x:v>
      </x:c>
    </x:row>
    <x:row r="679">
      <x:c r="B679" s="146" t="e">
        <x:f>IF($A679="","",[1]!thsiFinD("ths_adjustment_nv_fund",B$3,$A679))</x:f>
        <x:v>#NAME?</x:v>
      </x:c>
      <x:c r="C679" s="146" t="e">
        <x:f>IF($A679="","",[1]!thsiFinD("ths_adjustment_nv_fund",C$3,$A679))</x:f>
        <x:v>#NAME?</x:v>
      </x:c>
      <x:c r="D679" s="146" t="e">
        <x:f>IF($A679="","",[1]!thsiFinD("ths_adjustment_nv_fund",D$3,$A679))</x:f>
        <x:v>#NAME?</x:v>
      </x:c>
      <x:c r="E679" s="146" t="e">
        <x:f>IF($A679="","",[1]!thsiFinD("ths_adjustment_nv_fund",E$3,$A679))</x:f>
        <x:v>#NAME?</x:v>
      </x:c>
      <x:c r="F679" s="146" t="e">
        <x:f>IF($A679="","",[1]!thsiFinD("ths_adjustment_nv_fund",F$3,$A679))</x:f>
        <x:v>#NAME?</x:v>
      </x:c>
      <x:c r="G679" s="146" t="e">
        <x:f>IF($A679="","",[1]!thsiFinD("ths_adjustment_nv_fund",G$3,$A679))</x:f>
        <x:v>#NAME?</x:v>
      </x:c>
      <x:c r="H679" s="146" t="e">
        <x:f>IF($A679="","",[1]!thsiFinD("ths_adjustment_nv_fund",H$3,$A679))</x:f>
        <x:v>#NAME?</x:v>
      </x:c>
      <x:c r="I679" s="146" t="e">
        <x:f>IF($A679="","",[1]!thsiFinD("ths_adjustment_nv_fund",I$3,$A679))</x:f>
        <x:v>#NAME?</x:v>
      </x:c>
      <x:c r="J679" s="146" t="e">
        <x:f>IF($A679="","",[1]!thsiFinD("ths_adjustment_nv_fund",J$3,$A679))</x:f>
        <x:v>#NAME?</x:v>
      </x:c>
      <x:c r="K679" s="146" t="e">
        <x:f>IF($A679="","",[1]!thsiFinD("ths_adjustment_nv_fund",K$3,$A679))</x:f>
        <x:v>#NAME?</x:v>
      </x:c>
      <x:c r="L679" s="146" t="e">
        <x:f>IF($A679="","",[1]!thsiFinD("ths_adjustment_nv_fund",L$3,$A679))</x:f>
        <x:v>#NAME?</x:v>
      </x:c>
      <x:c r="M679" s="146" t="e">
        <x:f>IF($A679="","",[1]!thsiFinD("ths_adjustment_nv_fund",M$3,$A679))</x:f>
        <x:v>#NAME?</x:v>
      </x:c>
      <x:c r="N679" s="146" t="e">
        <x:f>IF($A679="","",[1]!thsiFinD("ths_adjustment_nv_fund",N$3,$A679))</x:f>
        <x:v>#NAME?</x:v>
      </x:c>
      <x:c r="O679" s="146" t="e">
        <x:f>IF($A679="","",[1]!thsiFinD("ths_adjustment_nv_fund",O$3,$A679))</x:f>
        <x:v>#NAME?</x:v>
      </x:c>
      <x:c r="P679" s="146" t="e">
        <x:f>IF($A679="","",[1]!thsiFinD("ths_adjustment_nv_fund",P$3,$A679))</x:f>
        <x:v>#NAME?</x:v>
      </x:c>
      <x:c r="Q679" s="146" t="e">
        <x:f>IF($A679="","",[1]!thsiFinD("ths_adjustment_nv_fund",Q$3,$A679))</x:f>
        <x:v>#NAME?</x:v>
      </x:c>
      <x:c r="R679" s="146" t="e">
        <x:f>IF($A679="","",[1]!thsiFinD("ths_adjustment_nv_fund",R$3,$A679))</x:f>
        <x:v>#NAME?</x:v>
      </x:c>
      <x:c r="S679" s="146" t="e">
        <x:f>IF($A679="","",[1]!thsiFinD("ths_adjustment_nv_fund",S$3,$A679))</x:f>
        <x:v>#NAME?</x:v>
      </x:c>
      <x:c r="T679" s="146" t="e">
        <x:f>IF($A679="","",[1]!thsiFinD("ths_adjustment_nv_fund",T$3,$A679))</x:f>
        <x:v>#NAME?</x:v>
      </x:c>
      <x:c r="U679" s="146" t="e">
        <x:f>IF($A679="","",[1]!thsiFinD("ths_adjustment_nv_fund",U$3,$A679))</x:f>
        <x:v>#NAME?</x:v>
      </x:c>
      <x:c r="V679" s="146" t="e">
        <x:f>IF($A679="","",[1]!thsiFinD("ths_adjustment_nv_fund",V$3,$A679))</x:f>
        <x:v>#NAME?</x:v>
      </x:c>
      <x:c r="W679" s="146" t="e">
        <x:f>IF($A679="","",[1]!thsiFinD("ths_adjustment_nv_fund",W$3,$A679))</x:f>
        <x:v>#NAME?</x:v>
      </x:c>
      <x:c r="X679" s="146" t="e">
        <x:f>IF($A679="","",[1]!thsiFinD("ths_adjustment_nv_fund",X$3,$A679))</x:f>
        <x:v>#NAME?</x:v>
      </x:c>
      <x:c r="Y679" s="146" t="e">
        <x:f>IF($A679="","",[1]!thsiFinD("ths_adjustment_nv_fund",Y$3,$A679))</x:f>
        <x:v>#NAME?</x:v>
      </x:c>
      <x:c r="Z679" s="146" t="e">
        <x:f>IF($A679="","",[1]!thsiFinD("ths_adjustment_nv_fund",Z$3,$A679))</x:f>
        <x:v>#NAME?</x:v>
      </x:c>
      <x:c r="AA679" s="146" t="e">
        <x:f>IF($A679="","",[1]!thsiFinD("ths_adjustment_nv_fund",AA$3,$A679))</x:f>
        <x:v>#NAME?</x:v>
      </x:c>
    </x:row>
    <x:row r="680">
      <x:c r="B680" s="146" t="e">
        <x:f>IF($A680="","",[1]!thsiFinD("ths_adjustment_nv_fund",B$3,$A680))</x:f>
        <x:v>#NAME?</x:v>
      </x:c>
      <x:c r="C680" s="146" t="e">
        <x:f>IF($A680="","",[1]!thsiFinD("ths_adjustment_nv_fund",C$3,$A680))</x:f>
        <x:v>#NAME?</x:v>
      </x:c>
      <x:c r="D680" s="146" t="e">
        <x:f>IF($A680="","",[1]!thsiFinD("ths_adjustment_nv_fund",D$3,$A680))</x:f>
        <x:v>#NAME?</x:v>
      </x:c>
      <x:c r="E680" s="146" t="e">
        <x:f>IF($A680="","",[1]!thsiFinD("ths_adjustment_nv_fund",E$3,$A680))</x:f>
        <x:v>#NAME?</x:v>
      </x:c>
      <x:c r="F680" s="146" t="e">
        <x:f>IF($A680="","",[1]!thsiFinD("ths_adjustment_nv_fund",F$3,$A680))</x:f>
        <x:v>#NAME?</x:v>
      </x:c>
      <x:c r="G680" s="146" t="e">
        <x:f>IF($A680="","",[1]!thsiFinD("ths_adjustment_nv_fund",G$3,$A680))</x:f>
        <x:v>#NAME?</x:v>
      </x:c>
      <x:c r="H680" s="146" t="e">
        <x:f>IF($A680="","",[1]!thsiFinD("ths_adjustment_nv_fund",H$3,$A680))</x:f>
        <x:v>#NAME?</x:v>
      </x:c>
      <x:c r="I680" s="146" t="e">
        <x:f>IF($A680="","",[1]!thsiFinD("ths_adjustment_nv_fund",I$3,$A680))</x:f>
        <x:v>#NAME?</x:v>
      </x:c>
      <x:c r="J680" s="146" t="e">
        <x:f>IF($A680="","",[1]!thsiFinD("ths_adjustment_nv_fund",J$3,$A680))</x:f>
        <x:v>#NAME?</x:v>
      </x:c>
      <x:c r="K680" s="146" t="e">
        <x:f>IF($A680="","",[1]!thsiFinD("ths_adjustment_nv_fund",K$3,$A680))</x:f>
        <x:v>#NAME?</x:v>
      </x:c>
      <x:c r="L680" s="146" t="e">
        <x:f>IF($A680="","",[1]!thsiFinD("ths_adjustment_nv_fund",L$3,$A680))</x:f>
        <x:v>#NAME?</x:v>
      </x:c>
      <x:c r="M680" s="146" t="e">
        <x:f>IF($A680="","",[1]!thsiFinD("ths_adjustment_nv_fund",M$3,$A680))</x:f>
        <x:v>#NAME?</x:v>
      </x:c>
      <x:c r="N680" s="146" t="e">
        <x:f>IF($A680="","",[1]!thsiFinD("ths_adjustment_nv_fund",N$3,$A680))</x:f>
        <x:v>#NAME?</x:v>
      </x:c>
      <x:c r="O680" s="146" t="e">
        <x:f>IF($A680="","",[1]!thsiFinD("ths_adjustment_nv_fund",O$3,$A680))</x:f>
        <x:v>#NAME?</x:v>
      </x:c>
      <x:c r="P680" s="146" t="e">
        <x:f>IF($A680="","",[1]!thsiFinD("ths_adjustment_nv_fund",P$3,$A680))</x:f>
        <x:v>#NAME?</x:v>
      </x:c>
      <x:c r="Q680" s="146" t="e">
        <x:f>IF($A680="","",[1]!thsiFinD("ths_adjustment_nv_fund",Q$3,$A680))</x:f>
        <x:v>#NAME?</x:v>
      </x:c>
      <x:c r="R680" s="146" t="e">
        <x:f>IF($A680="","",[1]!thsiFinD("ths_adjustment_nv_fund",R$3,$A680))</x:f>
        <x:v>#NAME?</x:v>
      </x:c>
      <x:c r="S680" s="146" t="e">
        <x:f>IF($A680="","",[1]!thsiFinD("ths_adjustment_nv_fund",S$3,$A680))</x:f>
        <x:v>#NAME?</x:v>
      </x:c>
      <x:c r="T680" s="146" t="e">
        <x:f>IF($A680="","",[1]!thsiFinD("ths_adjustment_nv_fund",T$3,$A680))</x:f>
        <x:v>#NAME?</x:v>
      </x:c>
      <x:c r="U680" s="146" t="e">
        <x:f>IF($A680="","",[1]!thsiFinD("ths_adjustment_nv_fund",U$3,$A680))</x:f>
        <x:v>#NAME?</x:v>
      </x:c>
      <x:c r="V680" s="146" t="e">
        <x:f>IF($A680="","",[1]!thsiFinD("ths_adjustment_nv_fund",V$3,$A680))</x:f>
        <x:v>#NAME?</x:v>
      </x:c>
      <x:c r="W680" s="146" t="e">
        <x:f>IF($A680="","",[1]!thsiFinD("ths_adjustment_nv_fund",W$3,$A680))</x:f>
        <x:v>#NAME?</x:v>
      </x:c>
      <x:c r="X680" s="146" t="e">
        <x:f>IF($A680="","",[1]!thsiFinD("ths_adjustment_nv_fund",X$3,$A680))</x:f>
        <x:v>#NAME?</x:v>
      </x:c>
      <x:c r="Y680" s="146" t="e">
        <x:f>IF($A680="","",[1]!thsiFinD("ths_adjustment_nv_fund",Y$3,$A680))</x:f>
        <x:v>#NAME?</x:v>
      </x:c>
      <x:c r="Z680" s="146" t="e">
        <x:f>IF($A680="","",[1]!thsiFinD("ths_adjustment_nv_fund",Z$3,$A680))</x:f>
        <x:v>#NAME?</x:v>
      </x:c>
      <x:c r="AA680" s="146" t="e">
        <x:f>IF($A680="","",[1]!thsiFinD("ths_adjustment_nv_fund",AA$3,$A680))</x:f>
        <x:v>#NAME?</x:v>
      </x:c>
    </x:row>
    <x:row r="681">
      <x:c r="B681" s="146" t="e">
        <x:f>IF($A681="","",[1]!thsiFinD("ths_adjustment_nv_fund",B$3,$A681))</x:f>
        <x:v>#NAME?</x:v>
      </x:c>
      <x:c r="C681" s="146" t="e">
        <x:f>IF($A681="","",[1]!thsiFinD("ths_adjustment_nv_fund",C$3,$A681))</x:f>
        <x:v>#NAME?</x:v>
      </x:c>
      <x:c r="D681" s="146" t="e">
        <x:f>IF($A681="","",[1]!thsiFinD("ths_adjustment_nv_fund",D$3,$A681))</x:f>
        <x:v>#NAME?</x:v>
      </x:c>
      <x:c r="E681" s="146" t="e">
        <x:f>IF($A681="","",[1]!thsiFinD("ths_adjustment_nv_fund",E$3,$A681))</x:f>
        <x:v>#NAME?</x:v>
      </x:c>
      <x:c r="F681" s="146" t="e">
        <x:f>IF($A681="","",[1]!thsiFinD("ths_adjustment_nv_fund",F$3,$A681))</x:f>
        <x:v>#NAME?</x:v>
      </x:c>
      <x:c r="G681" s="146" t="e">
        <x:f>IF($A681="","",[1]!thsiFinD("ths_adjustment_nv_fund",G$3,$A681))</x:f>
        <x:v>#NAME?</x:v>
      </x:c>
      <x:c r="H681" s="146" t="e">
        <x:f>IF($A681="","",[1]!thsiFinD("ths_adjustment_nv_fund",H$3,$A681))</x:f>
        <x:v>#NAME?</x:v>
      </x:c>
      <x:c r="I681" s="146" t="e">
        <x:f>IF($A681="","",[1]!thsiFinD("ths_adjustment_nv_fund",I$3,$A681))</x:f>
        <x:v>#NAME?</x:v>
      </x:c>
      <x:c r="J681" s="146" t="e">
        <x:f>IF($A681="","",[1]!thsiFinD("ths_adjustment_nv_fund",J$3,$A681))</x:f>
        <x:v>#NAME?</x:v>
      </x:c>
      <x:c r="K681" s="146" t="e">
        <x:f>IF($A681="","",[1]!thsiFinD("ths_adjustment_nv_fund",K$3,$A681))</x:f>
        <x:v>#NAME?</x:v>
      </x:c>
      <x:c r="L681" s="146" t="e">
        <x:f>IF($A681="","",[1]!thsiFinD("ths_adjustment_nv_fund",L$3,$A681))</x:f>
        <x:v>#NAME?</x:v>
      </x:c>
      <x:c r="M681" s="146" t="e">
        <x:f>IF($A681="","",[1]!thsiFinD("ths_adjustment_nv_fund",M$3,$A681))</x:f>
        <x:v>#NAME?</x:v>
      </x:c>
      <x:c r="N681" s="146" t="e">
        <x:f>IF($A681="","",[1]!thsiFinD("ths_adjustment_nv_fund",N$3,$A681))</x:f>
        <x:v>#NAME?</x:v>
      </x:c>
      <x:c r="O681" s="146" t="e">
        <x:f>IF($A681="","",[1]!thsiFinD("ths_adjustment_nv_fund",O$3,$A681))</x:f>
        <x:v>#NAME?</x:v>
      </x:c>
      <x:c r="P681" s="146" t="e">
        <x:f>IF($A681="","",[1]!thsiFinD("ths_adjustment_nv_fund",P$3,$A681))</x:f>
        <x:v>#NAME?</x:v>
      </x:c>
      <x:c r="Q681" s="146" t="e">
        <x:f>IF($A681="","",[1]!thsiFinD("ths_adjustment_nv_fund",Q$3,$A681))</x:f>
        <x:v>#NAME?</x:v>
      </x:c>
      <x:c r="R681" s="146" t="e">
        <x:f>IF($A681="","",[1]!thsiFinD("ths_adjustment_nv_fund",R$3,$A681))</x:f>
        <x:v>#NAME?</x:v>
      </x:c>
      <x:c r="S681" s="146" t="e">
        <x:f>IF($A681="","",[1]!thsiFinD("ths_adjustment_nv_fund",S$3,$A681))</x:f>
        <x:v>#NAME?</x:v>
      </x:c>
      <x:c r="T681" s="146" t="e">
        <x:f>IF($A681="","",[1]!thsiFinD("ths_adjustment_nv_fund",T$3,$A681))</x:f>
        <x:v>#NAME?</x:v>
      </x:c>
      <x:c r="U681" s="146" t="e">
        <x:f>IF($A681="","",[1]!thsiFinD("ths_adjustment_nv_fund",U$3,$A681))</x:f>
        <x:v>#NAME?</x:v>
      </x:c>
      <x:c r="V681" s="146" t="e">
        <x:f>IF($A681="","",[1]!thsiFinD("ths_adjustment_nv_fund",V$3,$A681))</x:f>
        <x:v>#NAME?</x:v>
      </x:c>
      <x:c r="W681" s="146" t="e">
        <x:f>IF($A681="","",[1]!thsiFinD("ths_adjustment_nv_fund",W$3,$A681))</x:f>
        <x:v>#NAME?</x:v>
      </x:c>
      <x:c r="X681" s="146" t="e">
        <x:f>IF($A681="","",[1]!thsiFinD("ths_adjustment_nv_fund",X$3,$A681))</x:f>
        <x:v>#NAME?</x:v>
      </x:c>
      <x:c r="Y681" s="146" t="e">
        <x:f>IF($A681="","",[1]!thsiFinD("ths_adjustment_nv_fund",Y$3,$A681))</x:f>
        <x:v>#NAME?</x:v>
      </x:c>
      <x:c r="Z681" s="146" t="e">
        <x:f>IF($A681="","",[1]!thsiFinD("ths_adjustment_nv_fund",Z$3,$A681))</x:f>
        <x:v>#NAME?</x:v>
      </x:c>
      <x:c r="AA681" s="146" t="e">
        <x:f>IF($A681="","",[1]!thsiFinD("ths_adjustment_nv_fund",AA$3,$A681))</x:f>
        <x:v>#NAME?</x:v>
      </x:c>
    </x:row>
    <x:row r="682">
      <x:c r="B682" s="146" t="e">
        <x:f>IF($A682="","",[1]!thsiFinD("ths_adjustment_nv_fund",B$3,$A682))</x:f>
        <x:v>#NAME?</x:v>
      </x:c>
      <x:c r="C682" s="146" t="e">
        <x:f>IF($A682="","",[1]!thsiFinD("ths_adjustment_nv_fund",C$3,$A682))</x:f>
        <x:v>#NAME?</x:v>
      </x:c>
      <x:c r="D682" s="146" t="e">
        <x:f>IF($A682="","",[1]!thsiFinD("ths_adjustment_nv_fund",D$3,$A682))</x:f>
        <x:v>#NAME?</x:v>
      </x:c>
      <x:c r="E682" s="146" t="e">
        <x:f>IF($A682="","",[1]!thsiFinD("ths_adjustment_nv_fund",E$3,$A682))</x:f>
        <x:v>#NAME?</x:v>
      </x:c>
      <x:c r="F682" s="146" t="e">
        <x:f>IF($A682="","",[1]!thsiFinD("ths_adjustment_nv_fund",F$3,$A682))</x:f>
        <x:v>#NAME?</x:v>
      </x:c>
      <x:c r="G682" s="146" t="e">
        <x:f>IF($A682="","",[1]!thsiFinD("ths_adjustment_nv_fund",G$3,$A682))</x:f>
        <x:v>#NAME?</x:v>
      </x:c>
      <x:c r="H682" s="146" t="e">
        <x:f>IF($A682="","",[1]!thsiFinD("ths_adjustment_nv_fund",H$3,$A682))</x:f>
        <x:v>#NAME?</x:v>
      </x:c>
      <x:c r="I682" s="146" t="e">
        <x:f>IF($A682="","",[1]!thsiFinD("ths_adjustment_nv_fund",I$3,$A682))</x:f>
        <x:v>#NAME?</x:v>
      </x:c>
      <x:c r="J682" s="146" t="e">
        <x:f>IF($A682="","",[1]!thsiFinD("ths_adjustment_nv_fund",J$3,$A682))</x:f>
        <x:v>#NAME?</x:v>
      </x:c>
      <x:c r="K682" s="146" t="e">
        <x:f>IF($A682="","",[1]!thsiFinD("ths_adjustment_nv_fund",K$3,$A682))</x:f>
        <x:v>#NAME?</x:v>
      </x:c>
      <x:c r="L682" s="146" t="e">
        <x:f>IF($A682="","",[1]!thsiFinD("ths_adjustment_nv_fund",L$3,$A682))</x:f>
        <x:v>#NAME?</x:v>
      </x:c>
      <x:c r="M682" s="146" t="e">
        <x:f>IF($A682="","",[1]!thsiFinD("ths_adjustment_nv_fund",M$3,$A682))</x:f>
        <x:v>#NAME?</x:v>
      </x:c>
      <x:c r="N682" s="146" t="e">
        <x:f>IF($A682="","",[1]!thsiFinD("ths_adjustment_nv_fund",N$3,$A682))</x:f>
        <x:v>#NAME?</x:v>
      </x:c>
      <x:c r="O682" s="146" t="e">
        <x:f>IF($A682="","",[1]!thsiFinD("ths_adjustment_nv_fund",O$3,$A682))</x:f>
        <x:v>#NAME?</x:v>
      </x:c>
      <x:c r="P682" s="146" t="e">
        <x:f>IF($A682="","",[1]!thsiFinD("ths_adjustment_nv_fund",P$3,$A682))</x:f>
        <x:v>#NAME?</x:v>
      </x:c>
      <x:c r="Q682" s="146" t="e">
        <x:f>IF($A682="","",[1]!thsiFinD("ths_adjustment_nv_fund",Q$3,$A682))</x:f>
        <x:v>#NAME?</x:v>
      </x:c>
      <x:c r="R682" s="146" t="e">
        <x:f>IF($A682="","",[1]!thsiFinD("ths_adjustment_nv_fund",R$3,$A682))</x:f>
        <x:v>#NAME?</x:v>
      </x:c>
      <x:c r="S682" s="146" t="e">
        <x:f>IF($A682="","",[1]!thsiFinD("ths_adjustment_nv_fund",S$3,$A682))</x:f>
        <x:v>#NAME?</x:v>
      </x:c>
      <x:c r="T682" s="146" t="e">
        <x:f>IF($A682="","",[1]!thsiFinD("ths_adjustment_nv_fund",T$3,$A682))</x:f>
        <x:v>#NAME?</x:v>
      </x:c>
      <x:c r="U682" s="146" t="e">
        <x:f>IF($A682="","",[1]!thsiFinD("ths_adjustment_nv_fund",U$3,$A682))</x:f>
        <x:v>#NAME?</x:v>
      </x:c>
      <x:c r="V682" s="146" t="e">
        <x:f>IF($A682="","",[1]!thsiFinD("ths_adjustment_nv_fund",V$3,$A682))</x:f>
        <x:v>#NAME?</x:v>
      </x:c>
      <x:c r="W682" s="146" t="e">
        <x:f>IF($A682="","",[1]!thsiFinD("ths_adjustment_nv_fund",W$3,$A682))</x:f>
        <x:v>#NAME?</x:v>
      </x:c>
      <x:c r="X682" s="146" t="e">
        <x:f>IF($A682="","",[1]!thsiFinD("ths_adjustment_nv_fund",X$3,$A682))</x:f>
        <x:v>#NAME?</x:v>
      </x:c>
      <x:c r="Y682" s="146" t="e">
        <x:f>IF($A682="","",[1]!thsiFinD("ths_adjustment_nv_fund",Y$3,$A682))</x:f>
        <x:v>#NAME?</x:v>
      </x:c>
      <x:c r="Z682" s="146" t="e">
        <x:f>IF($A682="","",[1]!thsiFinD("ths_adjustment_nv_fund",Z$3,$A682))</x:f>
        <x:v>#NAME?</x:v>
      </x:c>
      <x:c r="AA682" s="146" t="e">
        <x:f>IF($A682="","",[1]!thsiFinD("ths_adjustment_nv_fund",AA$3,$A682))</x:f>
        <x:v>#NAME?</x:v>
      </x:c>
    </x:row>
    <x:row r="683">
      <x:c r="B683" s="146" t="e">
        <x:f>IF($A683="","",[1]!thsiFinD("ths_adjustment_nv_fund",B$3,$A683))</x:f>
        <x:v>#NAME?</x:v>
      </x:c>
      <x:c r="C683" s="146" t="e">
        <x:f>IF($A683="","",[1]!thsiFinD("ths_adjustment_nv_fund",C$3,$A683))</x:f>
        <x:v>#NAME?</x:v>
      </x:c>
      <x:c r="D683" s="146" t="e">
        <x:f>IF($A683="","",[1]!thsiFinD("ths_adjustment_nv_fund",D$3,$A683))</x:f>
        <x:v>#NAME?</x:v>
      </x:c>
      <x:c r="E683" s="146" t="e">
        <x:f>IF($A683="","",[1]!thsiFinD("ths_adjustment_nv_fund",E$3,$A683))</x:f>
        <x:v>#NAME?</x:v>
      </x:c>
      <x:c r="F683" s="146" t="e">
        <x:f>IF($A683="","",[1]!thsiFinD("ths_adjustment_nv_fund",F$3,$A683))</x:f>
        <x:v>#NAME?</x:v>
      </x:c>
      <x:c r="G683" s="146" t="e">
        <x:f>IF($A683="","",[1]!thsiFinD("ths_adjustment_nv_fund",G$3,$A683))</x:f>
        <x:v>#NAME?</x:v>
      </x:c>
      <x:c r="H683" s="146" t="e">
        <x:f>IF($A683="","",[1]!thsiFinD("ths_adjustment_nv_fund",H$3,$A683))</x:f>
        <x:v>#NAME?</x:v>
      </x:c>
      <x:c r="I683" s="146" t="e">
        <x:f>IF($A683="","",[1]!thsiFinD("ths_adjustment_nv_fund",I$3,$A683))</x:f>
        <x:v>#NAME?</x:v>
      </x:c>
      <x:c r="J683" s="146" t="e">
        <x:f>IF($A683="","",[1]!thsiFinD("ths_adjustment_nv_fund",J$3,$A683))</x:f>
        <x:v>#NAME?</x:v>
      </x:c>
      <x:c r="K683" s="146" t="e">
        <x:f>IF($A683="","",[1]!thsiFinD("ths_adjustment_nv_fund",K$3,$A683))</x:f>
        <x:v>#NAME?</x:v>
      </x:c>
      <x:c r="L683" s="146" t="e">
        <x:f>IF($A683="","",[1]!thsiFinD("ths_adjustment_nv_fund",L$3,$A683))</x:f>
        <x:v>#NAME?</x:v>
      </x:c>
      <x:c r="M683" s="146" t="e">
        <x:f>IF($A683="","",[1]!thsiFinD("ths_adjustment_nv_fund",M$3,$A683))</x:f>
        <x:v>#NAME?</x:v>
      </x:c>
      <x:c r="N683" s="146" t="e">
        <x:f>IF($A683="","",[1]!thsiFinD("ths_adjustment_nv_fund",N$3,$A683))</x:f>
        <x:v>#NAME?</x:v>
      </x:c>
      <x:c r="O683" s="146" t="e">
        <x:f>IF($A683="","",[1]!thsiFinD("ths_adjustment_nv_fund",O$3,$A683))</x:f>
        <x:v>#NAME?</x:v>
      </x:c>
      <x:c r="P683" s="146" t="e">
        <x:f>IF($A683="","",[1]!thsiFinD("ths_adjustment_nv_fund",P$3,$A683))</x:f>
        <x:v>#NAME?</x:v>
      </x:c>
      <x:c r="Q683" s="146" t="e">
        <x:f>IF($A683="","",[1]!thsiFinD("ths_adjustment_nv_fund",Q$3,$A683))</x:f>
        <x:v>#NAME?</x:v>
      </x:c>
      <x:c r="R683" s="146" t="e">
        <x:f>IF($A683="","",[1]!thsiFinD("ths_adjustment_nv_fund",R$3,$A683))</x:f>
        <x:v>#NAME?</x:v>
      </x:c>
      <x:c r="S683" s="146" t="e">
        <x:f>IF($A683="","",[1]!thsiFinD("ths_adjustment_nv_fund",S$3,$A683))</x:f>
        <x:v>#NAME?</x:v>
      </x:c>
      <x:c r="T683" s="146" t="e">
        <x:f>IF($A683="","",[1]!thsiFinD("ths_adjustment_nv_fund",T$3,$A683))</x:f>
        <x:v>#NAME?</x:v>
      </x:c>
      <x:c r="U683" s="146" t="e">
        <x:f>IF($A683="","",[1]!thsiFinD("ths_adjustment_nv_fund",U$3,$A683))</x:f>
        <x:v>#NAME?</x:v>
      </x:c>
      <x:c r="V683" s="146" t="e">
        <x:f>IF($A683="","",[1]!thsiFinD("ths_adjustment_nv_fund",V$3,$A683))</x:f>
        <x:v>#NAME?</x:v>
      </x:c>
      <x:c r="W683" s="146" t="e">
        <x:f>IF($A683="","",[1]!thsiFinD("ths_adjustment_nv_fund",W$3,$A683))</x:f>
        <x:v>#NAME?</x:v>
      </x:c>
      <x:c r="X683" s="146" t="e">
        <x:f>IF($A683="","",[1]!thsiFinD("ths_adjustment_nv_fund",X$3,$A683))</x:f>
        <x:v>#NAME?</x:v>
      </x:c>
      <x:c r="Y683" s="146" t="e">
        <x:f>IF($A683="","",[1]!thsiFinD("ths_adjustment_nv_fund",Y$3,$A683))</x:f>
        <x:v>#NAME?</x:v>
      </x:c>
      <x:c r="Z683" s="146" t="e">
        <x:f>IF($A683="","",[1]!thsiFinD("ths_adjustment_nv_fund",Z$3,$A683))</x:f>
        <x:v>#NAME?</x:v>
      </x:c>
      <x:c r="AA683" s="146" t="e">
        <x:f>IF($A683="","",[1]!thsiFinD("ths_adjustment_nv_fund",AA$3,$A683))</x:f>
        <x:v>#NAME?</x:v>
      </x:c>
    </x:row>
    <x:row r="684">
      <x:c r="B684" s="146" t="e">
        <x:f>IF($A684="","",[1]!thsiFinD("ths_adjustment_nv_fund",B$3,$A684))</x:f>
        <x:v>#NAME?</x:v>
      </x:c>
      <x:c r="C684" s="146" t="e">
        <x:f>IF($A684="","",[1]!thsiFinD("ths_adjustment_nv_fund",C$3,$A684))</x:f>
        <x:v>#NAME?</x:v>
      </x:c>
      <x:c r="D684" s="146" t="e">
        <x:f>IF($A684="","",[1]!thsiFinD("ths_adjustment_nv_fund",D$3,$A684))</x:f>
        <x:v>#NAME?</x:v>
      </x:c>
      <x:c r="E684" s="146" t="e">
        <x:f>IF($A684="","",[1]!thsiFinD("ths_adjustment_nv_fund",E$3,$A684))</x:f>
        <x:v>#NAME?</x:v>
      </x:c>
      <x:c r="F684" s="146" t="e">
        <x:f>IF($A684="","",[1]!thsiFinD("ths_adjustment_nv_fund",F$3,$A684))</x:f>
        <x:v>#NAME?</x:v>
      </x:c>
      <x:c r="G684" s="146" t="e">
        <x:f>IF($A684="","",[1]!thsiFinD("ths_adjustment_nv_fund",G$3,$A684))</x:f>
        <x:v>#NAME?</x:v>
      </x:c>
      <x:c r="H684" s="146" t="e">
        <x:f>IF($A684="","",[1]!thsiFinD("ths_adjustment_nv_fund",H$3,$A684))</x:f>
        <x:v>#NAME?</x:v>
      </x:c>
      <x:c r="I684" s="146" t="e">
        <x:f>IF($A684="","",[1]!thsiFinD("ths_adjustment_nv_fund",I$3,$A684))</x:f>
        <x:v>#NAME?</x:v>
      </x:c>
      <x:c r="J684" s="146" t="e">
        <x:f>IF($A684="","",[1]!thsiFinD("ths_adjustment_nv_fund",J$3,$A684))</x:f>
        <x:v>#NAME?</x:v>
      </x:c>
      <x:c r="K684" s="146" t="e">
        <x:f>IF($A684="","",[1]!thsiFinD("ths_adjustment_nv_fund",K$3,$A684))</x:f>
        <x:v>#NAME?</x:v>
      </x:c>
      <x:c r="L684" s="146" t="e">
        <x:f>IF($A684="","",[1]!thsiFinD("ths_adjustment_nv_fund",L$3,$A684))</x:f>
        <x:v>#NAME?</x:v>
      </x:c>
      <x:c r="M684" s="146" t="e">
        <x:f>IF($A684="","",[1]!thsiFinD("ths_adjustment_nv_fund",M$3,$A684))</x:f>
        <x:v>#NAME?</x:v>
      </x:c>
      <x:c r="N684" s="146" t="e">
        <x:f>IF($A684="","",[1]!thsiFinD("ths_adjustment_nv_fund",N$3,$A684))</x:f>
        <x:v>#NAME?</x:v>
      </x:c>
      <x:c r="O684" s="146" t="e">
        <x:f>IF($A684="","",[1]!thsiFinD("ths_adjustment_nv_fund",O$3,$A684))</x:f>
        <x:v>#NAME?</x:v>
      </x:c>
      <x:c r="P684" s="146" t="e">
        <x:f>IF($A684="","",[1]!thsiFinD("ths_adjustment_nv_fund",P$3,$A684))</x:f>
        <x:v>#NAME?</x:v>
      </x:c>
      <x:c r="Q684" s="146" t="e">
        <x:f>IF($A684="","",[1]!thsiFinD("ths_adjustment_nv_fund",Q$3,$A684))</x:f>
        <x:v>#NAME?</x:v>
      </x:c>
      <x:c r="R684" s="146" t="e">
        <x:f>IF($A684="","",[1]!thsiFinD("ths_adjustment_nv_fund",R$3,$A684))</x:f>
        <x:v>#NAME?</x:v>
      </x:c>
      <x:c r="S684" s="146" t="e">
        <x:f>IF($A684="","",[1]!thsiFinD("ths_adjustment_nv_fund",S$3,$A684))</x:f>
        <x:v>#NAME?</x:v>
      </x:c>
      <x:c r="T684" s="146" t="e">
        <x:f>IF($A684="","",[1]!thsiFinD("ths_adjustment_nv_fund",T$3,$A684))</x:f>
        <x:v>#NAME?</x:v>
      </x:c>
      <x:c r="U684" s="146" t="e">
        <x:f>IF($A684="","",[1]!thsiFinD("ths_adjustment_nv_fund",U$3,$A684))</x:f>
        <x:v>#NAME?</x:v>
      </x:c>
      <x:c r="V684" s="146" t="e">
        <x:f>IF($A684="","",[1]!thsiFinD("ths_adjustment_nv_fund",V$3,$A684))</x:f>
        <x:v>#NAME?</x:v>
      </x:c>
      <x:c r="W684" s="146" t="e">
        <x:f>IF($A684="","",[1]!thsiFinD("ths_adjustment_nv_fund",W$3,$A684))</x:f>
        <x:v>#NAME?</x:v>
      </x:c>
      <x:c r="X684" s="146" t="e">
        <x:f>IF($A684="","",[1]!thsiFinD("ths_adjustment_nv_fund",X$3,$A684))</x:f>
        <x:v>#NAME?</x:v>
      </x:c>
      <x:c r="Y684" s="146" t="e">
        <x:f>IF($A684="","",[1]!thsiFinD("ths_adjustment_nv_fund",Y$3,$A684))</x:f>
        <x:v>#NAME?</x:v>
      </x:c>
      <x:c r="Z684" s="146" t="e">
        <x:f>IF($A684="","",[1]!thsiFinD("ths_adjustment_nv_fund",Z$3,$A684))</x:f>
        <x:v>#NAME?</x:v>
      </x:c>
      <x:c r="AA684" s="146" t="e">
        <x:f>IF($A684="","",[1]!thsiFinD("ths_adjustment_nv_fund",AA$3,$A684))</x:f>
        <x:v>#NAME?</x:v>
      </x:c>
    </x:row>
    <x:row r="685">
      <x:c r="B685" s="146" t="e">
        <x:f>IF($A685="","",[1]!thsiFinD("ths_adjustment_nv_fund",B$3,$A685))</x:f>
        <x:v>#NAME?</x:v>
      </x:c>
      <x:c r="C685" s="146" t="e">
        <x:f>IF($A685="","",[1]!thsiFinD("ths_adjustment_nv_fund",C$3,$A685))</x:f>
        <x:v>#NAME?</x:v>
      </x:c>
      <x:c r="D685" s="146" t="e">
        <x:f>IF($A685="","",[1]!thsiFinD("ths_adjustment_nv_fund",D$3,$A685))</x:f>
        <x:v>#NAME?</x:v>
      </x:c>
      <x:c r="E685" s="146" t="e">
        <x:f>IF($A685="","",[1]!thsiFinD("ths_adjustment_nv_fund",E$3,$A685))</x:f>
        <x:v>#NAME?</x:v>
      </x:c>
      <x:c r="F685" s="146" t="e">
        <x:f>IF($A685="","",[1]!thsiFinD("ths_adjustment_nv_fund",F$3,$A685))</x:f>
        <x:v>#NAME?</x:v>
      </x:c>
      <x:c r="G685" s="146" t="e">
        <x:f>IF($A685="","",[1]!thsiFinD("ths_adjustment_nv_fund",G$3,$A685))</x:f>
        <x:v>#NAME?</x:v>
      </x:c>
      <x:c r="H685" s="146" t="e">
        <x:f>IF($A685="","",[1]!thsiFinD("ths_adjustment_nv_fund",H$3,$A685))</x:f>
        <x:v>#NAME?</x:v>
      </x:c>
      <x:c r="I685" s="146" t="e">
        <x:f>IF($A685="","",[1]!thsiFinD("ths_adjustment_nv_fund",I$3,$A685))</x:f>
        <x:v>#NAME?</x:v>
      </x:c>
      <x:c r="J685" s="146" t="e">
        <x:f>IF($A685="","",[1]!thsiFinD("ths_adjustment_nv_fund",J$3,$A685))</x:f>
        <x:v>#NAME?</x:v>
      </x:c>
      <x:c r="K685" s="146" t="e">
        <x:f>IF($A685="","",[1]!thsiFinD("ths_adjustment_nv_fund",K$3,$A685))</x:f>
        <x:v>#NAME?</x:v>
      </x:c>
      <x:c r="L685" s="146" t="e">
        <x:f>IF($A685="","",[1]!thsiFinD("ths_adjustment_nv_fund",L$3,$A685))</x:f>
        <x:v>#NAME?</x:v>
      </x:c>
      <x:c r="M685" s="146" t="e">
        <x:f>IF($A685="","",[1]!thsiFinD("ths_adjustment_nv_fund",M$3,$A685))</x:f>
        <x:v>#NAME?</x:v>
      </x:c>
      <x:c r="N685" s="146" t="e">
        <x:f>IF($A685="","",[1]!thsiFinD("ths_adjustment_nv_fund",N$3,$A685))</x:f>
        <x:v>#NAME?</x:v>
      </x:c>
      <x:c r="O685" s="146" t="e">
        <x:f>IF($A685="","",[1]!thsiFinD("ths_adjustment_nv_fund",O$3,$A685))</x:f>
        <x:v>#NAME?</x:v>
      </x:c>
      <x:c r="P685" s="146" t="e">
        <x:f>IF($A685="","",[1]!thsiFinD("ths_adjustment_nv_fund",P$3,$A685))</x:f>
        <x:v>#NAME?</x:v>
      </x:c>
      <x:c r="Q685" s="146" t="e">
        <x:f>IF($A685="","",[1]!thsiFinD("ths_adjustment_nv_fund",Q$3,$A685))</x:f>
        <x:v>#NAME?</x:v>
      </x:c>
      <x:c r="R685" s="146" t="e">
        <x:f>IF($A685="","",[1]!thsiFinD("ths_adjustment_nv_fund",R$3,$A685))</x:f>
        <x:v>#NAME?</x:v>
      </x:c>
      <x:c r="S685" s="146" t="e">
        <x:f>IF($A685="","",[1]!thsiFinD("ths_adjustment_nv_fund",S$3,$A685))</x:f>
        <x:v>#NAME?</x:v>
      </x:c>
      <x:c r="T685" s="146" t="e">
        <x:f>IF($A685="","",[1]!thsiFinD("ths_adjustment_nv_fund",T$3,$A685))</x:f>
        <x:v>#NAME?</x:v>
      </x:c>
      <x:c r="U685" s="146" t="e">
        <x:f>IF($A685="","",[1]!thsiFinD("ths_adjustment_nv_fund",U$3,$A685))</x:f>
        <x:v>#NAME?</x:v>
      </x:c>
      <x:c r="V685" s="146" t="e">
        <x:f>IF($A685="","",[1]!thsiFinD("ths_adjustment_nv_fund",V$3,$A685))</x:f>
        <x:v>#NAME?</x:v>
      </x:c>
      <x:c r="W685" s="146" t="e">
        <x:f>IF($A685="","",[1]!thsiFinD("ths_adjustment_nv_fund",W$3,$A685))</x:f>
        <x:v>#NAME?</x:v>
      </x:c>
      <x:c r="X685" s="146" t="e">
        <x:f>IF($A685="","",[1]!thsiFinD("ths_adjustment_nv_fund",X$3,$A685))</x:f>
        <x:v>#NAME?</x:v>
      </x:c>
      <x:c r="Y685" s="146" t="e">
        <x:f>IF($A685="","",[1]!thsiFinD("ths_adjustment_nv_fund",Y$3,$A685))</x:f>
        <x:v>#NAME?</x:v>
      </x:c>
      <x:c r="Z685" s="146" t="e">
        <x:f>IF($A685="","",[1]!thsiFinD("ths_adjustment_nv_fund",Z$3,$A685))</x:f>
        <x:v>#NAME?</x:v>
      </x:c>
      <x:c r="AA685" s="146" t="e">
        <x:f>IF($A685="","",[1]!thsiFinD("ths_adjustment_nv_fund",AA$3,$A685))</x:f>
        <x:v>#NAME?</x:v>
      </x:c>
    </x:row>
    <x:row r="686">
      <x:c r="B686" s="146" t="e">
        <x:f>IF($A686="","",[1]!thsiFinD("ths_adjustment_nv_fund",B$3,$A686))</x:f>
        <x:v>#NAME?</x:v>
      </x:c>
      <x:c r="C686" s="146" t="e">
        <x:f>IF($A686="","",[1]!thsiFinD("ths_adjustment_nv_fund",C$3,$A686))</x:f>
        <x:v>#NAME?</x:v>
      </x:c>
      <x:c r="D686" s="146" t="e">
        <x:f>IF($A686="","",[1]!thsiFinD("ths_adjustment_nv_fund",D$3,$A686))</x:f>
        <x:v>#NAME?</x:v>
      </x:c>
      <x:c r="E686" s="146" t="e">
        <x:f>IF($A686="","",[1]!thsiFinD("ths_adjustment_nv_fund",E$3,$A686))</x:f>
        <x:v>#NAME?</x:v>
      </x:c>
      <x:c r="F686" s="146" t="e">
        <x:f>IF($A686="","",[1]!thsiFinD("ths_adjustment_nv_fund",F$3,$A686))</x:f>
        <x:v>#NAME?</x:v>
      </x:c>
      <x:c r="G686" s="146" t="e">
        <x:f>IF($A686="","",[1]!thsiFinD("ths_adjustment_nv_fund",G$3,$A686))</x:f>
        <x:v>#NAME?</x:v>
      </x:c>
      <x:c r="H686" s="146" t="e">
        <x:f>IF($A686="","",[1]!thsiFinD("ths_adjustment_nv_fund",H$3,$A686))</x:f>
        <x:v>#NAME?</x:v>
      </x:c>
      <x:c r="I686" s="146" t="e">
        <x:f>IF($A686="","",[1]!thsiFinD("ths_adjustment_nv_fund",I$3,$A686))</x:f>
        <x:v>#NAME?</x:v>
      </x:c>
      <x:c r="J686" s="146" t="e">
        <x:f>IF($A686="","",[1]!thsiFinD("ths_adjustment_nv_fund",J$3,$A686))</x:f>
        <x:v>#NAME?</x:v>
      </x:c>
      <x:c r="K686" s="146" t="e">
        <x:f>IF($A686="","",[1]!thsiFinD("ths_adjustment_nv_fund",K$3,$A686))</x:f>
        <x:v>#NAME?</x:v>
      </x:c>
      <x:c r="L686" s="146" t="e">
        <x:f>IF($A686="","",[1]!thsiFinD("ths_adjustment_nv_fund",L$3,$A686))</x:f>
        <x:v>#NAME?</x:v>
      </x:c>
      <x:c r="M686" s="146" t="e">
        <x:f>IF($A686="","",[1]!thsiFinD("ths_adjustment_nv_fund",M$3,$A686))</x:f>
        <x:v>#NAME?</x:v>
      </x:c>
      <x:c r="N686" s="146" t="e">
        <x:f>IF($A686="","",[1]!thsiFinD("ths_adjustment_nv_fund",N$3,$A686))</x:f>
        <x:v>#NAME?</x:v>
      </x:c>
      <x:c r="O686" s="146" t="e">
        <x:f>IF($A686="","",[1]!thsiFinD("ths_adjustment_nv_fund",O$3,$A686))</x:f>
        <x:v>#NAME?</x:v>
      </x:c>
      <x:c r="P686" s="146" t="e">
        <x:f>IF($A686="","",[1]!thsiFinD("ths_adjustment_nv_fund",P$3,$A686))</x:f>
        <x:v>#NAME?</x:v>
      </x:c>
      <x:c r="Q686" s="146" t="e">
        <x:f>IF($A686="","",[1]!thsiFinD("ths_adjustment_nv_fund",Q$3,$A686))</x:f>
        <x:v>#NAME?</x:v>
      </x:c>
      <x:c r="R686" s="146" t="e">
        <x:f>IF($A686="","",[1]!thsiFinD("ths_adjustment_nv_fund",R$3,$A686))</x:f>
        <x:v>#NAME?</x:v>
      </x:c>
      <x:c r="S686" s="146" t="e">
        <x:f>IF($A686="","",[1]!thsiFinD("ths_adjustment_nv_fund",S$3,$A686))</x:f>
        <x:v>#NAME?</x:v>
      </x:c>
      <x:c r="T686" s="146" t="e">
        <x:f>IF($A686="","",[1]!thsiFinD("ths_adjustment_nv_fund",T$3,$A686))</x:f>
        <x:v>#NAME?</x:v>
      </x:c>
      <x:c r="U686" s="146" t="e">
        <x:f>IF($A686="","",[1]!thsiFinD("ths_adjustment_nv_fund",U$3,$A686))</x:f>
        <x:v>#NAME?</x:v>
      </x:c>
      <x:c r="V686" s="146" t="e">
        <x:f>IF($A686="","",[1]!thsiFinD("ths_adjustment_nv_fund",V$3,$A686))</x:f>
        <x:v>#NAME?</x:v>
      </x:c>
      <x:c r="W686" s="146" t="e">
        <x:f>IF($A686="","",[1]!thsiFinD("ths_adjustment_nv_fund",W$3,$A686))</x:f>
        <x:v>#NAME?</x:v>
      </x:c>
      <x:c r="X686" s="146" t="e">
        <x:f>IF($A686="","",[1]!thsiFinD("ths_adjustment_nv_fund",X$3,$A686))</x:f>
        <x:v>#NAME?</x:v>
      </x:c>
      <x:c r="Y686" s="146" t="e">
        <x:f>IF($A686="","",[1]!thsiFinD("ths_adjustment_nv_fund",Y$3,$A686))</x:f>
        <x:v>#NAME?</x:v>
      </x:c>
      <x:c r="Z686" s="146" t="e">
        <x:f>IF($A686="","",[1]!thsiFinD("ths_adjustment_nv_fund",Z$3,$A686))</x:f>
        <x:v>#NAME?</x:v>
      </x:c>
      <x:c r="AA686" s="146" t="e">
        <x:f>IF($A686="","",[1]!thsiFinD("ths_adjustment_nv_fund",AA$3,$A686))</x:f>
        <x:v>#NAME?</x:v>
      </x:c>
    </x:row>
    <x:row r="687">
      <x:c r="B687" s="146" t="e">
        <x:f>IF($A687="","",[1]!thsiFinD("ths_adjustment_nv_fund",B$3,$A687))</x:f>
        <x:v>#NAME?</x:v>
      </x:c>
      <x:c r="C687" s="146" t="e">
        <x:f>IF($A687="","",[1]!thsiFinD("ths_adjustment_nv_fund",C$3,$A687))</x:f>
        <x:v>#NAME?</x:v>
      </x:c>
      <x:c r="D687" s="146" t="e">
        <x:f>IF($A687="","",[1]!thsiFinD("ths_adjustment_nv_fund",D$3,$A687))</x:f>
        <x:v>#NAME?</x:v>
      </x:c>
      <x:c r="E687" s="146" t="e">
        <x:f>IF($A687="","",[1]!thsiFinD("ths_adjustment_nv_fund",E$3,$A687))</x:f>
        <x:v>#NAME?</x:v>
      </x:c>
      <x:c r="F687" s="146" t="e">
        <x:f>IF($A687="","",[1]!thsiFinD("ths_adjustment_nv_fund",F$3,$A687))</x:f>
        <x:v>#NAME?</x:v>
      </x:c>
      <x:c r="G687" s="146" t="e">
        <x:f>IF($A687="","",[1]!thsiFinD("ths_adjustment_nv_fund",G$3,$A687))</x:f>
        <x:v>#NAME?</x:v>
      </x:c>
      <x:c r="H687" s="146" t="e">
        <x:f>IF($A687="","",[1]!thsiFinD("ths_adjustment_nv_fund",H$3,$A687))</x:f>
        <x:v>#NAME?</x:v>
      </x:c>
      <x:c r="I687" s="146" t="e">
        <x:f>IF($A687="","",[1]!thsiFinD("ths_adjustment_nv_fund",I$3,$A687))</x:f>
        <x:v>#NAME?</x:v>
      </x:c>
      <x:c r="J687" s="146" t="e">
        <x:f>IF($A687="","",[1]!thsiFinD("ths_adjustment_nv_fund",J$3,$A687))</x:f>
        <x:v>#NAME?</x:v>
      </x:c>
      <x:c r="K687" s="146" t="e">
        <x:f>IF($A687="","",[1]!thsiFinD("ths_adjustment_nv_fund",K$3,$A687))</x:f>
        <x:v>#NAME?</x:v>
      </x:c>
      <x:c r="L687" s="146" t="e">
        <x:f>IF($A687="","",[1]!thsiFinD("ths_adjustment_nv_fund",L$3,$A687))</x:f>
        <x:v>#NAME?</x:v>
      </x:c>
      <x:c r="M687" s="146" t="e">
        <x:f>IF($A687="","",[1]!thsiFinD("ths_adjustment_nv_fund",M$3,$A687))</x:f>
        <x:v>#NAME?</x:v>
      </x:c>
      <x:c r="N687" s="146" t="e">
        <x:f>IF($A687="","",[1]!thsiFinD("ths_adjustment_nv_fund",N$3,$A687))</x:f>
        <x:v>#NAME?</x:v>
      </x:c>
      <x:c r="O687" s="146" t="e">
        <x:f>IF($A687="","",[1]!thsiFinD("ths_adjustment_nv_fund",O$3,$A687))</x:f>
        <x:v>#NAME?</x:v>
      </x:c>
      <x:c r="P687" s="146" t="e">
        <x:f>IF($A687="","",[1]!thsiFinD("ths_adjustment_nv_fund",P$3,$A687))</x:f>
        <x:v>#NAME?</x:v>
      </x:c>
      <x:c r="Q687" s="146" t="e">
        <x:f>IF($A687="","",[1]!thsiFinD("ths_adjustment_nv_fund",Q$3,$A687))</x:f>
        <x:v>#NAME?</x:v>
      </x:c>
      <x:c r="R687" s="146" t="e">
        <x:f>IF($A687="","",[1]!thsiFinD("ths_adjustment_nv_fund",R$3,$A687))</x:f>
        <x:v>#NAME?</x:v>
      </x:c>
      <x:c r="S687" s="146" t="e">
        <x:f>IF($A687="","",[1]!thsiFinD("ths_adjustment_nv_fund",S$3,$A687))</x:f>
        <x:v>#NAME?</x:v>
      </x:c>
      <x:c r="T687" s="146" t="e">
        <x:f>IF($A687="","",[1]!thsiFinD("ths_adjustment_nv_fund",T$3,$A687))</x:f>
        <x:v>#NAME?</x:v>
      </x:c>
      <x:c r="U687" s="146" t="e">
        <x:f>IF($A687="","",[1]!thsiFinD("ths_adjustment_nv_fund",U$3,$A687))</x:f>
        <x:v>#NAME?</x:v>
      </x:c>
      <x:c r="V687" s="146" t="e">
        <x:f>IF($A687="","",[1]!thsiFinD("ths_adjustment_nv_fund",V$3,$A687))</x:f>
        <x:v>#NAME?</x:v>
      </x:c>
      <x:c r="W687" s="146" t="e">
        <x:f>IF($A687="","",[1]!thsiFinD("ths_adjustment_nv_fund",W$3,$A687))</x:f>
        <x:v>#NAME?</x:v>
      </x:c>
      <x:c r="X687" s="146" t="e">
        <x:f>IF($A687="","",[1]!thsiFinD("ths_adjustment_nv_fund",X$3,$A687))</x:f>
        <x:v>#NAME?</x:v>
      </x:c>
      <x:c r="Y687" s="146" t="e">
        <x:f>IF($A687="","",[1]!thsiFinD("ths_adjustment_nv_fund",Y$3,$A687))</x:f>
        <x:v>#NAME?</x:v>
      </x:c>
      <x:c r="Z687" s="146" t="e">
        <x:f>IF($A687="","",[1]!thsiFinD("ths_adjustment_nv_fund",Z$3,$A687))</x:f>
        <x:v>#NAME?</x:v>
      </x:c>
      <x:c r="AA687" s="146" t="e">
        <x:f>IF($A687="","",[1]!thsiFinD("ths_adjustment_nv_fund",AA$3,$A687))</x:f>
        <x:v>#NAME?</x:v>
      </x:c>
    </x:row>
    <x:row r="688">
      <x:c r="B688" s="146" t="e">
        <x:f>IF($A688="","",[1]!thsiFinD("ths_adjustment_nv_fund",B$3,$A688))</x:f>
        <x:v>#NAME?</x:v>
      </x:c>
      <x:c r="C688" s="146" t="e">
        <x:f>IF($A688="","",[1]!thsiFinD("ths_adjustment_nv_fund",C$3,$A688))</x:f>
        <x:v>#NAME?</x:v>
      </x:c>
      <x:c r="D688" s="146" t="e">
        <x:f>IF($A688="","",[1]!thsiFinD("ths_adjustment_nv_fund",D$3,$A688))</x:f>
        <x:v>#NAME?</x:v>
      </x:c>
      <x:c r="E688" s="146" t="e">
        <x:f>IF($A688="","",[1]!thsiFinD("ths_adjustment_nv_fund",E$3,$A688))</x:f>
        <x:v>#NAME?</x:v>
      </x:c>
      <x:c r="F688" s="146" t="e">
        <x:f>IF($A688="","",[1]!thsiFinD("ths_adjustment_nv_fund",F$3,$A688))</x:f>
        <x:v>#NAME?</x:v>
      </x:c>
      <x:c r="G688" s="146" t="e">
        <x:f>IF($A688="","",[1]!thsiFinD("ths_adjustment_nv_fund",G$3,$A688))</x:f>
        <x:v>#NAME?</x:v>
      </x:c>
      <x:c r="H688" s="146" t="e">
        <x:f>IF($A688="","",[1]!thsiFinD("ths_adjustment_nv_fund",H$3,$A688))</x:f>
        <x:v>#NAME?</x:v>
      </x:c>
      <x:c r="I688" s="146" t="e">
        <x:f>IF($A688="","",[1]!thsiFinD("ths_adjustment_nv_fund",I$3,$A688))</x:f>
        <x:v>#NAME?</x:v>
      </x:c>
      <x:c r="J688" s="146" t="e">
        <x:f>IF($A688="","",[1]!thsiFinD("ths_adjustment_nv_fund",J$3,$A688))</x:f>
        <x:v>#NAME?</x:v>
      </x:c>
      <x:c r="K688" s="146" t="e">
        <x:f>IF($A688="","",[1]!thsiFinD("ths_adjustment_nv_fund",K$3,$A688))</x:f>
        <x:v>#NAME?</x:v>
      </x:c>
      <x:c r="L688" s="146" t="e">
        <x:f>IF($A688="","",[1]!thsiFinD("ths_adjustment_nv_fund",L$3,$A688))</x:f>
        <x:v>#NAME?</x:v>
      </x:c>
      <x:c r="M688" s="146" t="e">
        <x:f>IF($A688="","",[1]!thsiFinD("ths_adjustment_nv_fund",M$3,$A688))</x:f>
        <x:v>#NAME?</x:v>
      </x:c>
      <x:c r="N688" s="146" t="e">
        <x:f>IF($A688="","",[1]!thsiFinD("ths_adjustment_nv_fund",N$3,$A688))</x:f>
        <x:v>#NAME?</x:v>
      </x:c>
      <x:c r="O688" s="146" t="e">
        <x:f>IF($A688="","",[1]!thsiFinD("ths_adjustment_nv_fund",O$3,$A688))</x:f>
        <x:v>#NAME?</x:v>
      </x:c>
      <x:c r="P688" s="146" t="e">
        <x:f>IF($A688="","",[1]!thsiFinD("ths_adjustment_nv_fund",P$3,$A688))</x:f>
        <x:v>#NAME?</x:v>
      </x:c>
      <x:c r="Q688" s="146" t="e">
        <x:f>IF($A688="","",[1]!thsiFinD("ths_adjustment_nv_fund",Q$3,$A688))</x:f>
        <x:v>#NAME?</x:v>
      </x:c>
      <x:c r="R688" s="146" t="e">
        <x:f>IF($A688="","",[1]!thsiFinD("ths_adjustment_nv_fund",R$3,$A688))</x:f>
        <x:v>#NAME?</x:v>
      </x:c>
      <x:c r="S688" s="146" t="e">
        <x:f>IF($A688="","",[1]!thsiFinD("ths_adjustment_nv_fund",S$3,$A688))</x:f>
        <x:v>#NAME?</x:v>
      </x:c>
      <x:c r="T688" s="146" t="e">
        <x:f>IF($A688="","",[1]!thsiFinD("ths_adjustment_nv_fund",T$3,$A688))</x:f>
        <x:v>#NAME?</x:v>
      </x:c>
      <x:c r="U688" s="146" t="e">
        <x:f>IF($A688="","",[1]!thsiFinD("ths_adjustment_nv_fund",U$3,$A688))</x:f>
        <x:v>#NAME?</x:v>
      </x:c>
      <x:c r="V688" s="146" t="e">
        <x:f>IF($A688="","",[1]!thsiFinD("ths_adjustment_nv_fund",V$3,$A688))</x:f>
        <x:v>#NAME?</x:v>
      </x:c>
      <x:c r="W688" s="146" t="e">
        <x:f>IF($A688="","",[1]!thsiFinD("ths_adjustment_nv_fund",W$3,$A688))</x:f>
        <x:v>#NAME?</x:v>
      </x:c>
      <x:c r="X688" s="146" t="e">
        <x:f>IF($A688="","",[1]!thsiFinD("ths_adjustment_nv_fund",X$3,$A688))</x:f>
        <x:v>#NAME?</x:v>
      </x:c>
      <x:c r="Y688" s="146" t="e">
        <x:f>IF($A688="","",[1]!thsiFinD("ths_adjustment_nv_fund",Y$3,$A688))</x:f>
        <x:v>#NAME?</x:v>
      </x:c>
      <x:c r="Z688" s="146" t="e">
        <x:f>IF($A688="","",[1]!thsiFinD("ths_adjustment_nv_fund",Z$3,$A688))</x:f>
        <x:v>#NAME?</x:v>
      </x:c>
      <x:c r="AA688" s="146" t="e">
        <x:f>IF($A688="","",[1]!thsiFinD("ths_adjustment_nv_fund",AA$3,$A688))</x:f>
        <x:v>#NAME?</x:v>
      </x:c>
    </x:row>
    <x:row r="689">
      <x:c r="B689" s="146" t="e">
        <x:f>IF($A689="","",[1]!thsiFinD("ths_adjustment_nv_fund",B$3,$A689))</x:f>
        <x:v>#NAME?</x:v>
      </x:c>
      <x:c r="C689" s="146" t="e">
        <x:f>IF($A689="","",[1]!thsiFinD("ths_adjustment_nv_fund",C$3,$A689))</x:f>
        <x:v>#NAME?</x:v>
      </x:c>
      <x:c r="D689" s="146" t="e">
        <x:f>IF($A689="","",[1]!thsiFinD("ths_adjustment_nv_fund",D$3,$A689))</x:f>
        <x:v>#NAME?</x:v>
      </x:c>
      <x:c r="E689" s="146" t="e">
        <x:f>IF($A689="","",[1]!thsiFinD("ths_adjustment_nv_fund",E$3,$A689))</x:f>
        <x:v>#NAME?</x:v>
      </x:c>
      <x:c r="F689" s="146" t="e">
        <x:f>IF($A689="","",[1]!thsiFinD("ths_adjustment_nv_fund",F$3,$A689))</x:f>
        <x:v>#NAME?</x:v>
      </x:c>
      <x:c r="G689" s="146" t="e">
        <x:f>IF($A689="","",[1]!thsiFinD("ths_adjustment_nv_fund",G$3,$A689))</x:f>
        <x:v>#NAME?</x:v>
      </x:c>
      <x:c r="H689" s="146" t="e">
        <x:f>IF($A689="","",[1]!thsiFinD("ths_adjustment_nv_fund",H$3,$A689))</x:f>
        <x:v>#NAME?</x:v>
      </x:c>
      <x:c r="I689" s="146" t="e">
        <x:f>IF($A689="","",[1]!thsiFinD("ths_adjustment_nv_fund",I$3,$A689))</x:f>
        <x:v>#NAME?</x:v>
      </x:c>
      <x:c r="J689" s="146" t="e">
        <x:f>IF($A689="","",[1]!thsiFinD("ths_adjustment_nv_fund",J$3,$A689))</x:f>
        <x:v>#NAME?</x:v>
      </x:c>
      <x:c r="K689" s="146" t="e">
        <x:f>IF($A689="","",[1]!thsiFinD("ths_adjustment_nv_fund",K$3,$A689))</x:f>
        <x:v>#NAME?</x:v>
      </x:c>
      <x:c r="L689" s="146" t="e">
        <x:f>IF($A689="","",[1]!thsiFinD("ths_adjustment_nv_fund",L$3,$A689))</x:f>
        <x:v>#NAME?</x:v>
      </x:c>
      <x:c r="M689" s="146" t="e">
        <x:f>IF($A689="","",[1]!thsiFinD("ths_adjustment_nv_fund",M$3,$A689))</x:f>
        <x:v>#NAME?</x:v>
      </x:c>
      <x:c r="N689" s="146" t="e">
        <x:f>IF($A689="","",[1]!thsiFinD("ths_adjustment_nv_fund",N$3,$A689))</x:f>
        <x:v>#NAME?</x:v>
      </x:c>
      <x:c r="O689" s="146" t="e">
        <x:f>IF($A689="","",[1]!thsiFinD("ths_adjustment_nv_fund",O$3,$A689))</x:f>
        <x:v>#NAME?</x:v>
      </x:c>
      <x:c r="P689" s="146" t="e">
        <x:f>IF($A689="","",[1]!thsiFinD("ths_adjustment_nv_fund",P$3,$A689))</x:f>
        <x:v>#NAME?</x:v>
      </x:c>
      <x:c r="Q689" s="146" t="e">
        <x:f>IF($A689="","",[1]!thsiFinD("ths_adjustment_nv_fund",Q$3,$A689))</x:f>
        <x:v>#NAME?</x:v>
      </x:c>
      <x:c r="R689" s="146" t="e">
        <x:f>IF($A689="","",[1]!thsiFinD("ths_adjustment_nv_fund",R$3,$A689))</x:f>
        <x:v>#NAME?</x:v>
      </x:c>
      <x:c r="S689" s="146" t="e">
        <x:f>IF($A689="","",[1]!thsiFinD("ths_adjustment_nv_fund",S$3,$A689))</x:f>
        <x:v>#NAME?</x:v>
      </x:c>
      <x:c r="T689" s="146" t="e">
        <x:f>IF($A689="","",[1]!thsiFinD("ths_adjustment_nv_fund",T$3,$A689))</x:f>
        <x:v>#NAME?</x:v>
      </x:c>
      <x:c r="U689" s="146" t="e">
        <x:f>IF($A689="","",[1]!thsiFinD("ths_adjustment_nv_fund",U$3,$A689))</x:f>
        <x:v>#NAME?</x:v>
      </x:c>
      <x:c r="V689" s="146" t="e">
        <x:f>IF($A689="","",[1]!thsiFinD("ths_adjustment_nv_fund",V$3,$A689))</x:f>
        <x:v>#NAME?</x:v>
      </x:c>
      <x:c r="W689" s="146" t="e">
        <x:f>IF($A689="","",[1]!thsiFinD("ths_adjustment_nv_fund",W$3,$A689))</x:f>
        <x:v>#NAME?</x:v>
      </x:c>
      <x:c r="X689" s="146" t="e">
        <x:f>IF($A689="","",[1]!thsiFinD("ths_adjustment_nv_fund",X$3,$A689))</x:f>
        <x:v>#NAME?</x:v>
      </x:c>
      <x:c r="Y689" s="146" t="e">
        <x:f>IF($A689="","",[1]!thsiFinD("ths_adjustment_nv_fund",Y$3,$A689))</x:f>
        <x:v>#NAME?</x:v>
      </x:c>
      <x:c r="Z689" s="146" t="e">
        <x:f>IF($A689="","",[1]!thsiFinD("ths_adjustment_nv_fund",Z$3,$A689))</x:f>
        <x:v>#NAME?</x:v>
      </x:c>
      <x:c r="AA689" s="146" t="e">
        <x:f>IF($A689="","",[1]!thsiFinD("ths_adjustment_nv_fund",AA$3,$A689))</x:f>
        <x:v>#NAME?</x:v>
      </x:c>
    </x:row>
    <x:row r="690">
      <x:c r="B690" s="146" t="e">
        <x:f>IF($A690="","",[1]!thsiFinD("ths_adjustment_nv_fund",B$3,$A690))</x:f>
        <x:v>#NAME?</x:v>
      </x:c>
      <x:c r="C690" s="146" t="e">
        <x:f>IF($A690="","",[1]!thsiFinD("ths_adjustment_nv_fund",C$3,$A690))</x:f>
        <x:v>#NAME?</x:v>
      </x:c>
      <x:c r="D690" s="146" t="e">
        <x:f>IF($A690="","",[1]!thsiFinD("ths_adjustment_nv_fund",D$3,$A690))</x:f>
        <x:v>#NAME?</x:v>
      </x:c>
      <x:c r="E690" s="146" t="e">
        <x:f>IF($A690="","",[1]!thsiFinD("ths_adjustment_nv_fund",E$3,$A690))</x:f>
        <x:v>#NAME?</x:v>
      </x:c>
      <x:c r="F690" s="146" t="e">
        <x:f>IF($A690="","",[1]!thsiFinD("ths_adjustment_nv_fund",F$3,$A690))</x:f>
        <x:v>#NAME?</x:v>
      </x:c>
      <x:c r="G690" s="146" t="e">
        <x:f>IF($A690="","",[1]!thsiFinD("ths_adjustment_nv_fund",G$3,$A690))</x:f>
        <x:v>#NAME?</x:v>
      </x:c>
      <x:c r="H690" s="146" t="e">
        <x:f>IF($A690="","",[1]!thsiFinD("ths_adjustment_nv_fund",H$3,$A690))</x:f>
        <x:v>#NAME?</x:v>
      </x:c>
      <x:c r="I690" s="146" t="e">
        <x:f>IF($A690="","",[1]!thsiFinD("ths_adjustment_nv_fund",I$3,$A690))</x:f>
        <x:v>#NAME?</x:v>
      </x:c>
      <x:c r="J690" s="146" t="e">
        <x:f>IF($A690="","",[1]!thsiFinD("ths_adjustment_nv_fund",J$3,$A690))</x:f>
        <x:v>#NAME?</x:v>
      </x:c>
      <x:c r="K690" s="146" t="e">
        <x:f>IF($A690="","",[1]!thsiFinD("ths_adjustment_nv_fund",K$3,$A690))</x:f>
        <x:v>#NAME?</x:v>
      </x:c>
      <x:c r="L690" s="146" t="e">
        <x:f>IF($A690="","",[1]!thsiFinD("ths_adjustment_nv_fund",L$3,$A690))</x:f>
        <x:v>#NAME?</x:v>
      </x:c>
      <x:c r="M690" s="146" t="e">
        <x:f>IF($A690="","",[1]!thsiFinD("ths_adjustment_nv_fund",M$3,$A690))</x:f>
        <x:v>#NAME?</x:v>
      </x:c>
      <x:c r="N690" s="146" t="e">
        <x:f>IF($A690="","",[1]!thsiFinD("ths_adjustment_nv_fund",N$3,$A690))</x:f>
        <x:v>#NAME?</x:v>
      </x:c>
      <x:c r="O690" s="146" t="e">
        <x:f>IF($A690="","",[1]!thsiFinD("ths_adjustment_nv_fund",O$3,$A690))</x:f>
        <x:v>#NAME?</x:v>
      </x:c>
      <x:c r="P690" s="146" t="e">
        <x:f>IF($A690="","",[1]!thsiFinD("ths_adjustment_nv_fund",P$3,$A690))</x:f>
        <x:v>#NAME?</x:v>
      </x:c>
      <x:c r="Q690" s="146" t="e">
        <x:f>IF($A690="","",[1]!thsiFinD("ths_adjustment_nv_fund",Q$3,$A690))</x:f>
        <x:v>#NAME?</x:v>
      </x:c>
      <x:c r="R690" s="146" t="e">
        <x:f>IF($A690="","",[1]!thsiFinD("ths_adjustment_nv_fund",R$3,$A690))</x:f>
        <x:v>#NAME?</x:v>
      </x:c>
      <x:c r="S690" s="146" t="e">
        <x:f>IF($A690="","",[1]!thsiFinD("ths_adjustment_nv_fund",S$3,$A690))</x:f>
        <x:v>#NAME?</x:v>
      </x:c>
      <x:c r="T690" s="146" t="e">
        <x:f>IF($A690="","",[1]!thsiFinD("ths_adjustment_nv_fund",T$3,$A690))</x:f>
        <x:v>#NAME?</x:v>
      </x:c>
      <x:c r="U690" s="146" t="e">
        <x:f>IF($A690="","",[1]!thsiFinD("ths_adjustment_nv_fund",U$3,$A690))</x:f>
        <x:v>#NAME?</x:v>
      </x:c>
      <x:c r="V690" s="146" t="e">
        <x:f>IF($A690="","",[1]!thsiFinD("ths_adjustment_nv_fund",V$3,$A690))</x:f>
        <x:v>#NAME?</x:v>
      </x:c>
      <x:c r="W690" s="146" t="e">
        <x:f>IF($A690="","",[1]!thsiFinD("ths_adjustment_nv_fund",W$3,$A690))</x:f>
        <x:v>#NAME?</x:v>
      </x:c>
      <x:c r="X690" s="146" t="e">
        <x:f>IF($A690="","",[1]!thsiFinD("ths_adjustment_nv_fund",X$3,$A690))</x:f>
        <x:v>#NAME?</x:v>
      </x:c>
      <x:c r="Y690" s="146" t="e">
        <x:f>IF($A690="","",[1]!thsiFinD("ths_adjustment_nv_fund",Y$3,$A690))</x:f>
        <x:v>#NAME?</x:v>
      </x:c>
      <x:c r="Z690" s="146" t="e">
        <x:f>IF($A690="","",[1]!thsiFinD("ths_adjustment_nv_fund",Z$3,$A690))</x:f>
        <x:v>#NAME?</x:v>
      </x:c>
      <x:c r="AA690" s="146" t="e">
        <x:f>IF($A690="","",[1]!thsiFinD("ths_adjustment_nv_fund",AA$3,$A690))</x:f>
        <x:v>#NAME?</x:v>
      </x:c>
    </x:row>
    <x:row r="691">
      <x:c r="B691" s="146" t="e">
        <x:f>IF($A691="","",[1]!thsiFinD("ths_adjustment_nv_fund",B$3,$A691))</x:f>
        <x:v>#NAME?</x:v>
      </x:c>
      <x:c r="C691" s="146" t="e">
        <x:f>IF($A691="","",[1]!thsiFinD("ths_adjustment_nv_fund",C$3,$A691))</x:f>
        <x:v>#NAME?</x:v>
      </x:c>
      <x:c r="D691" s="146" t="e">
        <x:f>IF($A691="","",[1]!thsiFinD("ths_adjustment_nv_fund",D$3,$A691))</x:f>
        <x:v>#NAME?</x:v>
      </x:c>
      <x:c r="E691" s="146" t="e">
        <x:f>IF($A691="","",[1]!thsiFinD("ths_adjustment_nv_fund",E$3,$A691))</x:f>
        <x:v>#NAME?</x:v>
      </x:c>
      <x:c r="F691" s="146" t="e">
        <x:f>IF($A691="","",[1]!thsiFinD("ths_adjustment_nv_fund",F$3,$A691))</x:f>
        <x:v>#NAME?</x:v>
      </x:c>
      <x:c r="G691" s="146" t="e">
        <x:f>IF($A691="","",[1]!thsiFinD("ths_adjustment_nv_fund",G$3,$A691))</x:f>
        <x:v>#NAME?</x:v>
      </x:c>
      <x:c r="H691" s="146" t="e">
        <x:f>IF($A691="","",[1]!thsiFinD("ths_adjustment_nv_fund",H$3,$A691))</x:f>
        <x:v>#NAME?</x:v>
      </x:c>
      <x:c r="I691" s="146" t="e">
        <x:f>IF($A691="","",[1]!thsiFinD("ths_adjustment_nv_fund",I$3,$A691))</x:f>
        <x:v>#NAME?</x:v>
      </x:c>
      <x:c r="J691" s="146" t="e">
        <x:f>IF($A691="","",[1]!thsiFinD("ths_adjustment_nv_fund",J$3,$A691))</x:f>
        <x:v>#NAME?</x:v>
      </x:c>
      <x:c r="K691" s="146" t="e">
        <x:f>IF($A691="","",[1]!thsiFinD("ths_adjustment_nv_fund",K$3,$A691))</x:f>
        <x:v>#NAME?</x:v>
      </x:c>
      <x:c r="L691" s="146" t="e">
        <x:f>IF($A691="","",[1]!thsiFinD("ths_adjustment_nv_fund",L$3,$A691))</x:f>
        <x:v>#NAME?</x:v>
      </x:c>
      <x:c r="M691" s="146" t="e">
        <x:f>IF($A691="","",[1]!thsiFinD("ths_adjustment_nv_fund",M$3,$A691))</x:f>
        <x:v>#NAME?</x:v>
      </x:c>
      <x:c r="N691" s="146" t="e">
        <x:f>IF($A691="","",[1]!thsiFinD("ths_adjustment_nv_fund",N$3,$A691))</x:f>
        <x:v>#NAME?</x:v>
      </x:c>
      <x:c r="O691" s="146" t="e">
        <x:f>IF($A691="","",[1]!thsiFinD("ths_adjustment_nv_fund",O$3,$A691))</x:f>
        <x:v>#NAME?</x:v>
      </x:c>
      <x:c r="P691" s="146" t="e">
        <x:f>IF($A691="","",[1]!thsiFinD("ths_adjustment_nv_fund",P$3,$A691))</x:f>
        <x:v>#NAME?</x:v>
      </x:c>
      <x:c r="Q691" s="146" t="e">
        <x:f>IF($A691="","",[1]!thsiFinD("ths_adjustment_nv_fund",Q$3,$A691))</x:f>
        <x:v>#NAME?</x:v>
      </x:c>
      <x:c r="R691" s="146" t="e">
        <x:f>IF($A691="","",[1]!thsiFinD("ths_adjustment_nv_fund",R$3,$A691))</x:f>
        <x:v>#NAME?</x:v>
      </x:c>
      <x:c r="S691" s="146" t="e">
        <x:f>IF($A691="","",[1]!thsiFinD("ths_adjustment_nv_fund",S$3,$A691))</x:f>
        <x:v>#NAME?</x:v>
      </x:c>
      <x:c r="T691" s="146" t="e">
        <x:f>IF($A691="","",[1]!thsiFinD("ths_adjustment_nv_fund",T$3,$A691))</x:f>
        <x:v>#NAME?</x:v>
      </x:c>
      <x:c r="U691" s="146" t="e">
        <x:f>IF($A691="","",[1]!thsiFinD("ths_adjustment_nv_fund",U$3,$A691))</x:f>
        <x:v>#NAME?</x:v>
      </x:c>
      <x:c r="V691" s="146" t="e">
        <x:f>IF($A691="","",[1]!thsiFinD("ths_adjustment_nv_fund",V$3,$A691))</x:f>
        <x:v>#NAME?</x:v>
      </x:c>
      <x:c r="W691" s="146" t="e">
        <x:f>IF($A691="","",[1]!thsiFinD("ths_adjustment_nv_fund",W$3,$A691))</x:f>
        <x:v>#NAME?</x:v>
      </x:c>
      <x:c r="X691" s="146" t="e">
        <x:f>IF($A691="","",[1]!thsiFinD("ths_adjustment_nv_fund",X$3,$A691))</x:f>
        <x:v>#NAME?</x:v>
      </x:c>
      <x:c r="Y691" s="146" t="e">
        <x:f>IF($A691="","",[1]!thsiFinD("ths_adjustment_nv_fund",Y$3,$A691))</x:f>
        <x:v>#NAME?</x:v>
      </x:c>
      <x:c r="Z691" s="146" t="e">
        <x:f>IF($A691="","",[1]!thsiFinD("ths_adjustment_nv_fund",Z$3,$A691))</x:f>
        <x:v>#NAME?</x:v>
      </x:c>
      <x:c r="AA691" s="146" t="e">
        <x:f>IF($A691="","",[1]!thsiFinD("ths_adjustment_nv_fund",AA$3,$A691))</x:f>
        <x:v>#NAME?</x:v>
      </x:c>
    </x:row>
    <x:row r="692">
      <x:c r="B692" s="146" t="e">
        <x:f>IF($A692="","",[1]!thsiFinD("ths_adjustment_nv_fund",B$3,$A692))</x:f>
        <x:v>#NAME?</x:v>
      </x:c>
      <x:c r="C692" s="146" t="e">
        <x:f>IF($A692="","",[1]!thsiFinD("ths_adjustment_nv_fund",C$3,$A692))</x:f>
        <x:v>#NAME?</x:v>
      </x:c>
      <x:c r="D692" s="146" t="e">
        <x:f>IF($A692="","",[1]!thsiFinD("ths_adjustment_nv_fund",D$3,$A692))</x:f>
        <x:v>#NAME?</x:v>
      </x:c>
      <x:c r="E692" s="146" t="e">
        <x:f>IF($A692="","",[1]!thsiFinD("ths_adjustment_nv_fund",E$3,$A692))</x:f>
        <x:v>#NAME?</x:v>
      </x:c>
      <x:c r="F692" s="146" t="e">
        <x:f>IF($A692="","",[1]!thsiFinD("ths_adjustment_nv_fund",F$3,$A692))</x:f>
        <x:v>#NAME?</x:v>
      </x:c>
      <x:c r="G692" s="146" t="e">
        <x:f>IF($A692="","",[1]!thsiFinD("ths_adjustment_nv_fund",G$3,$A692))</x:f>
        <x:v>#NAME?</x:v>
      </x:c>
      <x:c r="H692" s="146" t="e">
        <x:f>IF($A692="","",[1]!thsiFinD("ths_adjustment_nv_fund",H$3,$A692))</x:f>
        <x:v>#NAME?</x:v>
      </x:c>
      <x:c r="I692" s="146" t="e">
        <x:f>IF($A692="","",[1]!thsiFinD("ths_adjustment_nv_fund",I$3,$A692))</x:f>
        <x:v>#NAME?</x:v>
      </x:c>
      <x:c r="J692" s="146" t="e">
        <x:f>IF($A692="","",[1]!thsiFinD("ths_adjustment_nv_fund",J$3,$A692))</x:f>
        <x:v>#NAME?</x:v>
      </x:c>
      <x:c r="K692" s="146" t="e">
        <x:f>IF($A692="","",[1]!thsiFinD("ths_adjustment_nv_fund",K$3,$A692))</x:f>
        <x:v>#NAME?</x:v>
      </x:c>
      <x:c r="L692" s="146" t="e">
        <x:f>IF($A692="","",[1]!thsiFinD("ths_adjustment_nv_fund",L$3,$A692))</x:f>
        <x:v>#NAME?</x:v>
      </x:c>
      <x:c r="M692" s="146" t="e">
        <x:f>IF($A692="","",[1]!thsiFinD("ths_adjustment_nv_fund",M$3,$A692))</x:f>
        <x:v>#NAME?</x:v>
      </x:c>
      <x:c r="N692" s="146" t="e">
        <x:f>IF($A692="","",[1]!thsiFinD("ths_adjustment_nv_fund",N$3,$A692))</x:f>
        <x:v>#NAME?</x:v>
      </x:c>
      <x:c r="O692" s="146" t="e">
        <x:f>IF($A692="","",[1]!thsiFinD("ths_adjustment_nv_fund",O$3,$A692))</x:f>
        <x:v>#NAME?</x:v>
      </x:c>
      <x:c r="P692" s="146" t="e">
        <x:f>IF($A692="","",[1]!thsiFinD("ths_adjustment_nv_fund",P$3,$A692))</x:f>
        <x:v>#NAME?</x:v>
      </x:c>
      <x:c r="Q692" s="146" t="e">
        <x:f>IF($A692="","",[1]!thsiFinD("ths_adjustment_nv_fund",Q$3,$A692))</x:f>
        <x:v>#NAME?</x:v>
      </x:c>
      <x:c r="R692" s="146" t="e">
        <x:f>IF($A692="","",[1]!thsiFinD("ths_adjustment_nv_fund",R$3,$A692))</x:f>
        <x:v>#NAME?</x:v>
      </x:c>
      <x:c r="S692" s="146" t="e">
        <x:f>IF($A692="","",[1]!thsiFinD("ths_adjustment_nv_fund",S$3,$A692))</x:f>
        <x:v>#NAME?</x:v>
      </x:c>
      <x:c r="T692" s="146" t="e">
        <x:f>IF($A692="","",[1]!thsiFinD("ths_adjustment_nv_fund",T$3,$A692))</x:f>
        <x:v>#NAME?</x:v>
      </x:c>
      <x:c r="U692" s="146" t="e">
        <x:f>IF($A692="","",[1]!thsiFinD("ths_adjustment_nv_fund",U$3,$A692))</x:f>
        <x:v>#NAME?</x:v>
      </x:c>
      <x:c r="V692" s="146" t="e">
        <x:f>IF($A692="","",[1]!thsiFinD("ths_adjustment_nv_fund",V$3,$A692))</x:f>
        <x:v>#NAME?</x:v>
      </x:c>
      <x:c r="W692" s="146" t="e">
        <x:f>IF($A692="","",[1]!thsiFinD("ths_adjustment_nv_fund",W$3,$A692))</x:f>
        <x:v>#NAME?</x:v>
      </x:c>
      <x:c r="X692" s="146" t="e">
        <x:f>IF($A692="","",[1]!thsiFinD("ths_adjustment_nv_fund",X$3,$A692))</x:f>
        <x:v>#NAME?</x:v>
      </x:c>
      <x:c r="Y692" s="146" t="e">
        <x:f>IF($A692="","",[1]!thsiFinD("ths_adjustment_nv_fund",Y$3,$A692))</x:f>
        <x:v>#NAME?</x:v>
      </x:c>
      <x:c r="Z692" s="146" t="e">
        <x:f>IF($A692="","",[1]!thsiFinD("ths_adjustment_nv_fund",Z$3,$A692))</x:f>
        <x:v>#NAME?</x:v>
      </x:c>
      <x:c r="AA692" s="146" t="e">
        <x:f>IF($A692="","",[1]!thsiFinD("ths_adjustment_nv_fund",AA$3,$A692))</x:f>
        <x:v>#NAME?</x:v>
      </x:c>
    </x:row>
    <x:row r="693">
      <x:c r="B693" s="146" t="e">
        <x:f>IF($A693="","",[1]!thsiFinD("ths_adjustment_nv_fund",B$3,$A693))</x:f>
        <x:v>#NAME?</x:v>
      </x:c>
      <x:c r="C693" s="146" t="e">
        <x:f>IF($A693="","",[1]!thsiFinD("ths_adjustment_nv_fund",C$3,$A693))</x:f>
        <x:v>#NAME?</x:v>
      </x:c>
      <x:c r="D693" s="146" t="e">
        <x:f>IF($A693="","",[1]!thsiFinD("ths_adjustment_nv_fund",D$3,$A693))</x:f>
        <x:v>#NAME?</x:v>
      </x:c>
      <x:c r="E693" s="146" t="e">
        <x:f>IF($A693="","",[1]!thsiFinD("ths_adjustment_nv_fund",E$3,$A693))</x:f>
        <x:v>#NAME?</x:v>
      </x:c>
      <x:c r="F693" s="146" t="e">
        <x:f>IF($A693="","",[1]!thsiFinD("ths_adjustment_nv_fund",F$3,$A693))</x:f>
        <x:v>#NAME?</x:v>
      </x:c>
      <x:c r="G693" s="146" t="e">
        <x:f>IF($A693="","",[1]!thsiFinD("ths_adjustment_nv_fund",G$3,$A693))</x:f>
        <x:v>#NAME?</x:v>
      </x:c>
      <x:c r="H693" s="146" t="e">
        <x:f>IF($A693="","",[1]!thsiFinD("ths_adjustment_nv_fund",H$3,$A693))</x:f>
        <x:v>#NAME?</x:v>
      </x:c>
      <x:c r="I693" s="146" t="e">
        <x:f>IF($A693="","",[1]!thsiFinD("ths_adjustment_nv_fund",I$3,$A693))</x:f>
        <x:v>#NAME?</x:v>
      </x:c>
      <x:c r="J693" s="146" t="e">
        <x:f>IF($A693="","",[1]!thsiFinD("ths_adjustment_nv_fund",J$3,$A693))</x:f>
        <x:v>#NAME?</x:v>
      </x:c>
      <x:c r="K693" s="146" t="e">
        <x:f>IF($A693="","",[1]!thsiFinD("ths_adjustment_nv_fund",K$3,$A693))</x:f>
        <x:v>#NAME?</x:v>
      </x:c>
      <x:c r="L693" s="146" t="e">
        <x:f>IF($A693="","",[1]!thsiFinD("ths_adjustment_nv_fund",L$3,$A693))</x:f>
        <x:v>#NAME?</x:v>
      </x:c>
      <x:c r="M693" s="146" t="e">
        <x:f>IF($A693="","",[1]!thsiFinD("ths_adjustment_nv_fund",M$3,$A693))</x:f>
        <x:v>#NAME?</x:v>
      </x:c>
      <x:c r="N693" s="146" t="e">
        <x:f>IF($A693="","",[1]!thsiFinD("ths_adjustment_nv_fund",N$3,$A693))</x:f>
        <x:v>#NAME?</x:v>
      </x:c>
      <x:c r="O693" s="146" t="e">
        <x:f>IF($A693="","",[1]!thsiFinD("ths_adjustment_nv_fund",O$3,$A693))</x:f>
        <x:v>#NAME?</x:v>
      </x:c>
      <x:c r="P693" s="146" t="e">
        <x:f>IF($A693="","",[1]!thsiFinD("ths_adjustment_nv_fund",P$3,$A693))</x:f>
        <x:v>#NAME?</x:v>
      </x:c>
      <x:c r="Q693" s="146" t="e">
        <x:f>IF($A693="","",[1]!thsiFinD("ths_adjustment_nv_fund",Q$3,$A693))</x:f>
        <x:v>#NAME?</x:v>
      </x:c>
      <x:c r="R693" s="146" t="e">
        <x:f>IF($A693="","",[1]!thsiFinD("ths_adjustment_nv_fund",R$3,$A693))</x:f>
        <x:v>#NAME?</x:v>
      </x:c>
      <x:c r="S693" s="146" t="e">
        <x:f>IF($A693="","",[1]!thsiFinD("ths_adjustment_nv_fund",S$3,$A693))</x:f>
        <x:v>#NAME?</x:v>
      </x:c>
      <x:c r="T693" s="146" t="e">
        <x:f>IF($A693="","",[1]!thsiFinD("ths_adjustment_nv_fund",T$3,$A693))</x:f>
        <x:v>#NAME?</x:v>
      </x:c>
      <x:c r="U693" s="146" t="e">
        <x:f>IF($A693="","",[1]!thsiFinD("ths_adjustment_nv_fund",U$3,$A693))</x:f>
        <x:v>#NAME?</x:v>
      </x:c>
      <x:c r="V693" s="146" t="e">
        <x:f>IF($A693="","",[1]!thsiFinD("ths_adjustment_nv_fund",V$3,$A693))</x:f>
        <x:v>#NAME?</x:v>
      </x:c>
      <x:c r="W693" s="146" t="e">
        <x:f>IF($A693="","",[1]!thsiFinD("ths_adjustment_nv_fund",W$3,$A693))</x:f>
        <x:v>#NAME?</x:v>
      </x:c>
      <x:c r="X693" s="146" t="e">
        <x:f>IF($A693="","",[1]!thsiFinD("ths_adjustment_nv_fund",X$3,$A693))</x:f>
        <x:v>#NAME?</x:v>
      </x:c>
      <x:c r="Y693" s="146" t="e">
        <x:f>IF($A693="","",[1]!thsiFinD("ths_adjustment_nv_fund",Y$3,$A693))</x:f>
        <x:v>#NAME?</x:v>
      </x:c>
      <x:c r="Z693" s="146" t="e">
        <x:f>IF($A693="","",[1]!thsiFinD("ths_adjustment_nv_fund",Z$3,$A693))</x:f>
        <x:v>#NAME?</x:v>
      </x:c>
      <x:c r="AA693" s="146" t="e">
        <x:f>IF($A693="","",[1]!thsiFinD("ths_adjustment_nv_fund",AA$3,$A693))</x:f>
        <x:v>#NAME?</x:v>
      </x:c>
    </x:row>
    <x:row r="694">
      <x:c r="B694" s="146" t="e">
        <x:f>IF($A694="","",[1]!thsiFinD("ths_adjustment_nv_fund",B$3,$A694))</x:f>
        <x:v>#NAME?</x:v>
      </x:c>
      <x:c r="C694" s="146" t="e">
        <x:f>IF($A694="","",[1]!thsiFinD("ths_adjustment_nv_fund",C$3,$A694))</x:f>
        <x:v>#NAME?</x:v>
      </x:c>
      <x:c r="D694" s="146" t="e">
        <x:f>IF($A694="","",[1]!thsiFinD("ths_adjustment_nv_fund",D$3,$A694))</x:f>
        <x:v>#NAME?</x:v>
      </x:c>
      <x:c r="E694" s="146" t="e">
        <x:f>IF($A694="","",[1]!thsiFinD("ths_adjustment_nv_fund",E$3,$A694))</x:f>
        <x:v>#NAME?</x:v>
      </x:c>
      <x:c r="F694" s="146" t="e">
        <x:f>IF($A694="","",[1]!thsiFinD("ths_adjustment_nv_fund",F$3,$A694))</x:f>
        <x:v>#NAME?</x:v>
      </x:c>
      <x:c r="G694" s="146" t="e">
        <x:f>IF($A694="","",[1]!thsiFinD("ths_adjustment_nv_fund",G$3,$A694))</x:f>
        <x:v>#NAME?</x:v>
      </x:c>
      <x:c r="H694" s="146" t="e">
        <x:f>IF($A694="","",[1]!thsiFinD("ths_adjustment_nv_fund",H$3,$A694))</x:f>
        <x:v>#NAME?</x:v>
      </x:c>
      <x:c r="I694" s="146" t="e">
        <x:f>IF($A694="","",[1]!thsiFinD("ths_adjustment_nv_fund",I$3,$A694))</x:f>
        <x:v>#NAME?</x:v>
      </x:c>
      <x:c r="J694" s="146" t="e">
        <x:f>IF($A694="","",[1]!thsiFinD("ths_adjustment_nv_fund",J$3,$A694))</x:f>
        <x:v>#NAME?</x:v>
      </x:c>
      <x:c r="K694" s="146" t="e">
        <x:f>IF($A694="","",[1]!thsiFinD("ths_adjustment_nv_fund",K$3,$A694))</x:f>
        <x:v>#NAME?</x:v>
      </x:c>
      <x:c r="L694" s="146" t="e">
        <x:f>IF($A694="","",[1]!thsiFinD("ths_adjustment_nv_fund",L$3,$A694))</x:f>
        <x:v>#NAME?</x:v>
      </x:c>
      <x:c r="M694" s="146" t="e">
        <x:f>IF($A694="","",[1]!thsiFinD("ths_adjustment_nv_fund",M$3,$A694))</x:f>
        <x:v>#NAME?</x:v>
      </x:c>
      <x:c r="N694" s="146" t="e">
        <x:f>IF($A694="","",[1]!thsiFinD("ths_adjustment_nv_fund",N$3,$A694))</x:f>
        <x:v>#NAME?</x:v>
      </x:c>
      <x:c r="O694" s="146" t="e">
        <x:f>IF($A694="","",[1]!thsiFinD("ths_adjustment_nv_fund",O$3,$A694))</x:f>
        <x:v>#NAME?</x:v>
      </x:c>
      <x:c r="P694" s="146" t="e">
        <x:f>IF($A694="","",[1]!thsiFinD("ths_adjustment_nv_fund",P$3,$A694))</x:f>
        <x:v>#NAME?</x:v>
      </x:c>
      <x:c r="Q694" s="146" t="e">
        <x:f>IF($A694="","",[1]!thsiFinD("ths_adjustment_nv_fund",Q$3,$A694))</x:f>
        <x:v>#NAME?</x:v>
      </x:c>
      <x:c r="R694" s="146" t="e">
        <x:f>IF($A694="","",[1]!thsiFinD("ths_adjustment_nv_fund",R$3,$A694))</x:f>
        <x:v>#NAME?</x:v>
      </x:c>
      <x:c r="S694" s="146" t="e">
        <x:f>IF($A694="","",[1]!thsiFinD("ths_adjustment_nv_fund",S$3,$A694))</x:f>
        <x:v>#NAME?</x:v>
      </x:c>
      <x:c r="T694" s="146" t="e">
        <x:f>IF($A694="","",[1]!thsiFinD("ths_adjustment_nv_fund",T$3,$A694))</x:f>
        <x:v>#NAME?</x:v>
      </x:c>
      <x:c r="U694" s="146" t="e">
        <x:f>IF($A694="","",[1]!thsiFinD("ths_adjustment_nv_fund",U$3,$A694))</x:f>
        <x:v>#NAME?</x:v>
      </x:c>
      <x:c r="V694" s="146" t="e">
        <x:f>IF($A694="","",[1]!thsiFinD("ths_adjustment_nv_fund",V$3,$A694))</x:f>
        <x:v>#NAME?</x:v>
      </x:c>
      <x:c r="W694" s="146" t="e">
        <x:f>IF($A694="","",[1]!thsiFinD("ths_adjustment_nv_fund",W$3,$A694))</x:f>
        <x:v>#NAME?</x:v>
      </x:c>
      <x:c r="X694" s="146" t="e">
        <x:f>IF($A694="","",[1]!thsiFinD("ths_adjustment_nv_fund",X$3,$A694))</x:f>
        <x:v>#NAME?</x:v>
      </x:c>
      <x:c r="Y694" s="146" t="e">
        <x:f>IF($A694="","",[1]!thsiFinD("ths_adjustment_nv_fund",Y$3,$A694))</x:f>
        <x:v>#NAME?</x:v>
      </x:c>
      <x:c r="Z694" s="146" t="e">
        <x:f>IF($A694="","",[1]!thsiFinD("ths_adjustment_nv_fund",Z$3,$A694))</x:f>
        <x:v>#NAME?</x:v>
      </x:c>
      <x:c r="AA694" s="146" t="e">
        <x:f>IF($A694="","",[1]!thsiFinD("ths_adjustment_nv_fund",AA$3,$A694))</x:f>
        <x:v>#NAME?</x:v>
      </x:c>
    </x:row>
    <x:row r="695">
      <x:c r="B695" s="146" t="e">
        <x:f>IF($A695="","",[1]!thsiFinD("ths_adjustment_nv_fund",B$3,$A695))</x:f>
        <x:v>#NAME?</x:v>
      </x:c>
      <x:c r="C695" s="146" t="e">
        <x:f>IF($A695="","",[1]!thsiFinD("ths_adjustment_nv_fund",C$3,$A695))</x:f>
        <x:v>#NAME?</x:v>
      </x:c>
      <x:c r="D695" s="146" t="e">
        <x:f>IF($A695="","",[1]!thsiFinD("ths_adjustment_nv_fund",D$3,$A695))</x:f>
        <x:v>#NAME?</x:v>
      </x:c>
      <x:c r="E695" s="146" t="e">
        <x:f>IF($A695="","",[1]!thsiFinD("ths_adjustment_nv_fund",E$3,$A695))</x:f>
        <x:v>#NAME?</x:v>
      </x:c>
      <x:c r="F695" s="146" t="e">
        <x:f>IF($A695="","",[1]!thsiFinD("ths_adjustment_nv_fund",F$3,$A695))</x:f>
        <x:v>#NAME?</x:v>
      </x:c>
      <x:c r="G695" s="146" t="e">
        <x:f>IF($A695="","",[1]!thsiFinD("ths_adjustment_nv_fund",G$3,$A695))</x:f>
        <x:v>#NAME?</x:v>
      </x:c>
      <x:c r="H695" s="146" t="e">
        <x:f>IF($A695="","",[1]!thsiFinD("ths_adjustment_nv_fund",H$3,$A695))</x:f>
        <x:v>#NAME?</x:v>
      </x:c>
      <x:c r="I695" s="146" t="e">
        <x:f>IF($A695="","",[1]!thsiFinD("ths_adjustment_nv_fund",I$3,$A695))</x:f>
        <x:v>#NAME?</x:v>
      </x:c>
      <x:c r="J695" s="146" t="e">
        <x:f>IF($A695="","",[1]!thsiFinD("ths_adjustment_nv_fund",J$3,$A695))</x:f>
        <x:v>#NAME?</x:v>
      </x:c>
      <x:c r="K695" s="146" t="e">
        <x:f>IF($A695="","",[1]!thsiFinD("ths_adjustment_nv_fund",K$3,$A695))</x:f>
        <x:v>#NAME?</x:v>
      </x:c>
      <x:c r="L695" s="146" t="e">
        <x:f>IF($A695="","",[1]!thsiFinD("ths_adjustment_nv_fund",L$3,$A695))</x:f>
        <x:v>#NAME?</x:v>
      </x:c>
      <x:c r="M695" s="146" t="e">
        <x:f>IF($A695="","",[1]!thsiFinD("ths_adjustment_nv_fund",M$3,$A695))</x:f>
        <x:v>#NAME?</x:v>
      </x:c>
      <x:c r="N695" s="146" t="e">
        <x:f>IF($A695="","",[1]!thsiFinD("ths_adjustment_nv_fund",N$3,$A695))</x:f>
        <x:v>#NAME?</x:v>
      </x:c>
      <x:c r="O695" s="146" t="e">
        <x:f>IF($A695="","",[1]!thsiFinD("ths_adjustment_nv_fund",O$3,$A695))</x:f>
        <x:v>#NAME?</x:v>
      </x:c>
      <x:c r="P695" s="146" t="e">
        <x:f>IF($A695="","",[1]!thsiFinD("ths_adjustment_nv_fund",P$3,$A695))</x:f>
        <x:v>#NAME?</x:v>
      </x:c>
      <x:c r="Q695" s="146" t="e">
        <x:f>IF($A695="","",[1]!thsiFinD("ths_adjustment_nv_fund",Q$3,$A695))</x:f>
        <x:v>#NAME?</x:v>
      </x:c>
      <x:c r="R695" s="146" t="e">
        <x:f>IF($A695="","",[1]!thsiFinD("ths_adjustment_nv_fund",R$3,$A695))</x:f>
        <x:v>#NAME?</x:v>
      </x:c>
      <x:c r="S695" s="146" t="e">
        <x:f>IF($A695="","",[1]!thsiFinD("ths_adjustment_nv_fund",S$3,$A695))</x:f>
        <x:v>#NAME?</x:v>
      </x:c>
      <x:c r="T695" s="146" t="e">
        <x:f>IF($A695="","",[1]!thsiFinD("ths_adjustment_nv_fund",T$3,$A695))</x:f>
        <x:v>#NAME?</x:v>
      </x:c>
      <x:c r="U695" s="146" t="e">
        <x:f>IF($A695="","",[1]!thsiFinD("ths_adjustment_nv_fund",U$3,$A695))</x:f>
        <x:v>#NAME?</x:v>
      </x:c>
      <x:c r="V695" s="146" t="e">
        <x:f>IF($A695="","",[1]!thsiFinD("ths_adjustment_nv_fund",V$3,$A695))</x:f>
        <x:v>#NAME?</x:v>
      </x:c>
      <x:c r="W695" s="146" t="e">
        <x:f>IF($A695="","",[1]!thsiFinD("ths_adjustment_nv_fund",W$3,$A695))</x:f>
        <x:v>#NAME?</x:v>
      </x:c>
      <x:c r="X695" s="146" t="e">
        <x:f>IF($A695="","",[1]!thsiFinD("ths_adjustment_nv_fund",X$3,$A695))</x:f>
        <x:v>#NAME?</x:v>
      </x:c>
      <x:c r="Y695" s="146" t="e">
        <x:f>IF($A695="","",[1]!thsiFinD("ths_adjustment_nv_fund",Y$3,$A695))</x:f>
        <x:v>#NAME?</x:v>
      </x:c>
      <x:c r="Z695" s="146" t="e">
        <x:f>IF($A695="","",[1]!thsiFinD("ths_adjustment_nv_fund",Z$3,$A695))</x:f>
        <x:v>#NAME?</x:v>
      </x:c>
      <x:c r="AA695" s="146" t="e">
        <x:f>IF($A695="","",[1]!thsiFinD("ths_adjustment_nv_fund",AA$3,$A695))</x:f>
        <x:v>#NAME?</x:v>
      </x:c>
    </x:row>
    <x:row r="696">
      <x:c r="B696" s="146" t="e">
        <x:f>IF($A696="","",[1]!thsiFinD("ths_adjustment_nv_fund",B$3,$A696))</x:f>
        <x:v>#NAME?</x:v>
      </x:c>
      <x:c r="C696" s="146" t="e">
        <x:f>IF($A696="","",[1]!thsiFinD("ths_adjustment_nv_fund",C$3,$A696))</x:f>
        <x:v>#NAME?</x:v>
      </x:c>
      <x:c r="D696" s="146" t="e">
        <x:f>IF($A696="","",[1]!thsiFinD("ths_adjustment_nv_fund",D$3,$A696))</x:f>
        <x:v>#NAME?</x:v>
      </x:c>
      <x:c r="E696" s="146" t="e">
        <x:f>IF($A696="","",[1]!thsiFinD("ths_adjustment_nv_fund",E$3,$A696))</x:f>
        <x:v>#NAME?</x:v>
      </x:c>
      <x:c r="F696" s="146" t="e">
        <x:f>IF($A696="","",[1]!thsiFinD("ths_adjustment_nv_fund",F$3,$A696))</x:f>
        <x:v>#NAME?</x:v>
      </x:c>
      <x:c r="G696" s="146" t="e">
        <x:f>IF($A696="","",[1]!thsiFinD("ths_adjustment_nv_fund",G$3,$A696))</x:f>
        <x:v>#NAME?</x:v>
      </x:c>
      <x:c r="H696" s="146" t="e">
        <x:f>IF($A696="","",[1]!thsiFinD("ths_adjustment_nv_fund",H$3,$A696))</x:f>
        <x:v>#NAME?</x:v>
      </x:c>
      <x:c r="I696" s="146" t="e">
        <x:f>IF($A696="","",[1]!thsiFinD("ths_adjustment_nv_fund",I$3,$A696))</x:f>
        <x:v>#NAME?</x:v>
      </x:c>
      <x:c r="J696" s="146" t="e">
        <x:f>IF($A696="","",[1]!thsiFinD("ths_adjustment_nv_fund",J$3,$A696))</x:f>
        <x:v>#NAME?</x:v>
      </x:c>
      <x:c r="K696" s="146" t="e">
        <x:f>IF($A696="","",[1]!thsiFinD("ths_adjustment_nv_fund",K$3,$A696))</x:f>
        <x:v>#NAME?</x:v>
      </x:c>
      <x:c r="L696" s="146" t="e">
        <x:f>IF($A696="","",[1]!thsiFinD("ths_adjustment_nv_fund",L$3,$A696))</x:f>
        <x:v>#NAME?</x:v>
      </x:c>
      <x:c r="M696" s="146" t="e">
        <x:f>IF($A696="","",[1]!thsiFinD("ths_adjustment_nv_fund",M$3,$A696))</x:f>
        <x:v>#NAME?</x:v>
      </x:c>
      <x:c r="N696" s="146" t="e">
        <x:f>IF($A696="","",[1]!thsiFinD("ths_adjustment_nv_fund",N$3,$A696))</x:f>
        <x:v>#NAME?</x:v>
      </x:c>
      <x:c r="O696" s="146" t="e">
        <x:f>IF($A696="","",[1]!thsiFinD("ths_adjustment_nv_fund",O$3,$A696))</x:f>
        <x:v>#NAME?</x:v>
      </x:c>
      <x:c r="P696" s="146" t="e">
        <x:f>IF($A696="","",[1]!thsiFinD("ths_adjustment_nv_fund",P$3,$A696))</x:f>
        <x:v>#NAME?</x:v>
      </x:c>
      <x:c r="Q696" s="146" t="e">
        <x:f>IF($A696="","",[1]!thsiFinD("ths_adjustment_nv_fund",Q$3,$A696))</x:f>
        <x:v>#NAME?</x:v>
      </x:c>
      <x:c r="R696" s="146" t="e">
        <x:f>IF($A696="","",[1]!thsiFinD("ths_adjustment_nv_fund",R$3,$A696))</x:f>
        <x:v>#NAME?</x:v>
      </x:c>
      <x:c r="S696" s="146" t="e">
        <x:f>IF($A696="","",[1]!thsiFinD("ths_adjustment_nv_fund",S$3,$A696))</x:f>
        <x:v>#NAME?</x:v>
      </x:c>
      <x:c r="T696" s="146" t="e">
        <x:f>IF($A696="","",[1]!thsiFinD("ths_adjustment_nv_fund",T$3,$A696))</x:f>
        <x:v>#NAME?</x:v>
      </x:c>
      <x:c r="U696" s="146" t="e">
        <x:f>IF($A696="","",[1]!thsiFinD("ths_adjustment_nv_fund",U$3,$A696))</x:f>
        <x:v>#NAME?</x:v>
      </x:c>
      <x:c r="V696" s="146" t="e">
        <x:f>IF($A696="","",[1]!thsiFinD("ths_adjustment_nv_fund",V$3,$A696))</x:f>
        <x:v>#NAME?</x:v>
      </x:c>
      <x:c r="W696" s="146" t="e">
        <x:f>IF($A696="","",[1]!thsiFinD("ths_adjustment_nv_fund",W$3,$A696))</x:f>
        <x:v>#NAME?</x:v>
      </x:c>
      <x:c r="X696" s="146" t="e">
        <x:f>IF($A696="","",[1]!thsiFinD("ths_adjustment_nv_fund",X$3,$A696))</x:f>
        <x:v>#NAME?</x:v>
      </x:c>
      <x:c r="Y696" s="146" t="e">
        <x:f>IF($A696="","",[1]!thsiFinD("ths_adjustment_nv_fund",Y$3,$A696))</x:f>
        <x:v>#NAME?</x:v>
      </x:c>
      <x:c r="Z696" s="146" t="e">
        <x:f>IF($A696="","",[1]!thsiFinD("ths_adjustment_nv_fund",Z$3,$A696))</x:f>
        <x:v>#NAME?</x:v>
      </x:c>
      <x:c r="AA696" s="146" t="e">
        <x:f>IF($A696="","",[1]!thsiFinD("ths_adjustment_nv_fund",AA$3,$A696))</x:f>
        <x:v>#NAME?</x:v>
      </x:c>
    </x:row>
    <x:row r="697">
      <x:c r="B697" s="146" t="e">
        <x:f>IF($A697="","",[1]!thsiFinD("ths_adjustment_nv_fund",B$3,$A697))</x:f>
        <x:v>#NAME?</x:v>
      </x:c>
      <x:c r="C697" s="146" t="e">
        <x:f>IF($A697="","",[1]!thsiFinD("ths_adjustment_nv_fund",C$3,$A697))</x:f>
        <x:v>#NAME?</x:v>
      </x:c>
      <x:c r="D697" s="146" t="e">
        <x:f>IF($A697="","",[1]!thsiFinD("ths_adjustment_nv_fund",D$3,$A697))</x:f>
        <x:v>#NAME?</x:v>
      </x:c>
      <x:c r="E697" s="146" t="e">
        <x:f>IF($A697="","",[1]!thsiFinD("ths_adjustment_nv_fund",E$3,$A697))</x:f>
        <x:v>#NAME?</x:v>
      </x:c>
      <x:c r="F697" s="146" t="e">
        <x:f>IF($A697="","",[1]!thsiFinD("ths_adjustment_nv_fund",F$3,$A697))</x:f>
        <x:v>#NAME?</x:v>
      </x:c>
      <x:c r="G697" s="146" t="e">
        <x:f>IF($A697="","",[1]!thsiFinD("ths_adjustment_nv_fund",G$3,$A697))</x:f>
        <x:v>#NAME?</x:v>
      </x:c>
      <x:c r="H697" s="146" t="e">
        <x:f>IF($A697="","",[1]!thsiFinD("ths_adjustment_nv_fund",H$3,$A697))</x:f>
        <x:v>#NAME?</x:v>
      </x:c>
      <x:c r="I697" s="146" t="e">
        <x:f>IF($A697="","",[1]!thsiFinD("ths_adjustment_nv_fund",I$3,$A697))</x:f>
        <x:v>#NAME?</x:v>
      </x:c>
      <x:c r="J697" s="146" t="e">
        <x:f>IF($A697="","",[1]!thsiFinD("ths_adjustment_nv_fund",J$3,$A697))</x:f>
        <x:v>#NAME?</x:v>
      </x:c>
      <x:c r="K697" s="146" t="e">
        <x:f>IF($A697="","",[1]!thsiFinD("ths_adjustment_nv_fund",K$3,$A697))</x:f>
        <x:v>#NAME?</x:v>
      </x:c>
      <x:c r="L697" s="146" t="e">
        <x:f>IF($A697="","",[1]!thsiFinD("ths_adjustment_nv_fund",L$3,$A697))</x:f>
        <x:v>#NAME?</x:v>
      </x:c>
      <x:c r="M697" s="146" t="e">
        <x:f>IF($A697="","",[1]!thsiFinD("ths_adjustment_nv_fund",M$3,$A697))</x:f>
        <x:v>#NAME?</x:v>
      </x:c>
      <x:c r="N697" s="146" t="e">
        <x:f>IF($A697="","",[1]!thsiFinD("ths_adjustment_nv_fund",N$3,$A697))</x:f>
        <x:v>#NAME?</x:v>
      </x:c>
      <x:c r="O697" s="146" t="e">
        <x:f>IF($A697="","",[1]!thsiFinD("ths_adjustment_nv_fund",O$3,$A697))</x:f>
        <x:v>#NAME?</x:v>
      </x:c>
      <x:c r="P697" s="146" t="e">
        <x:f>IF($A697="","",[1]!thsiFinD("ths_adjustment_nv_fund",P$3,$A697))</x:f>
        <x:v>#NAME?</x:v>
      </x:c>
      <x:c r="Q697" s="146" t="e">
        <x:f>IF($A697="","",[1]!thsiFinD("ths_adjustment_nv_fund",Q$3,$A697))</x:f>
        <x:v>#NAME?</x:v>
      </x:c>
      <x:c r="R697" s="146" t="e">
        <x:f>IF($A697="","",[1]!thsiFinD("ths_adjustment_nv_fund",R$3,$A697))</x:f>
        <x:v>#NAME?</x:v>
      </x:c>
      <x:c r="S697" s="146" t="e">
        <x:f>IF($A697="","",[1]!thsiFinD("ths_adjustment_nv_fund",S$3,$A697))</x:f>
        <x:v>#NAME?</x:v>
      </x:c>
      <x:c r="T697" s="146" t="e">
        <x:f>IF($A697="","",[1]!thsiFinD("ths_adjustment_nv_fund",T$3,$A697))</x:f>
        <x:v>#NAME?</x:v>
      </x:c>
      <x:c r="U697" s="146" t="e">
        <x:f>IF($A697="","",[1]!thsiFinD("ths_adjustment_nv_fund",U$3,$A697))</x:f>
        <x:v>#NAME?</x:v>
      </x:c>
      <x:c r="V697" s="146" t="e">
        <x:f>IF($A697="","",[1]!thsiFinD("ths_adjustment_nv_fund",V$3,$A697))</x:f>
        <x:v>#NAME?</x:v>
      </x:c>
      <x:c r="W697" s="146" t="e">
        <x:f>IF($A697="","",[1]!thsiFinD("ths_adjustment_nv_fund",W$3,$A697))</x:f>
        <x:v>#NAME?</x:v>
      </x:c>
      <x:c r="X697" s="146" t="e">
        <x:f>IF($A697="","",[1]!thsiFinD("ths_adjustment_nv_fund",X$3,$A697))</x:f>
        <x:v>#NAME?</x:v>
      </x:c>
      <x:c r="Y697" s="146" t="e">
        <x:f>IF($A697="","",[1]!thsiFinD("ths_adjustment_nv_fund",Y$3,$A697))</x:f>
        <x:v>#NAME?</x:v>
      </x:c>
      <x:c r="Z697" s="146" t="e">
        <x:f>IF($A697="","",[1]!thsiFinD("ths_adjustment_nv_fund",Z$3,$A697))</x:f>
        <x:v>#NAME?</x:v>
      </x:c>
      <x:c r="AA697" s="146" t="e">
        <x:f>IF($A697="","",[1]!thsiFinD("ths_adjustment_nv_fund",AA$3,$A697))</x:f>
        <x:v>#NAME?</x:v>
      </x:c>
    </x:row>
    <x:row r="698">
      <x:c r="B698" s="146" t="e">
        <x:f>IF($A698="","",[1]!thsiFinD("ths_adjustment_nv_fund",B$3,$A698))</x:f>
        <x:v>#NAME?</x:v>
      </x:c>
      <x:c r="C698" s="146" t="e">
        <x:f>IF($A698="","",[1]!thsiFinD("ths_adjustment_nv_fund",C$3,$A698))</x:f>
        <x:v>#NAME?</x:v>
      </x:c>
      <x:c r="D698" s="146" t="e">
        <x:f>IF($A698="","",[1]!thsiFinD("ths_adjustment_nv_fund",D$3,$A698))</x:f>
        <x:v>#NAME?</x:v>
      </x:c>
      <x:c r="E698" s="146" t="e">
        <x:f>IF($A698="","",[1]!thsiFinD("ths_adjustment_nv_fund",E$3,$A698))</x:f>
        <x:v>#NAME?</x:v>
      </x:c>
      <x:c r="F698" s="146" t="e">
        <x:f>IF($A698="","",[1]!thsiFinD("ths_adjustment_nv_fund",F$3,$A698))</x:f>
        <x:v>#NAME?</x:v>
      </x:c>
      <x:c r="G698" s="146" t="e">
        <x:f>IF($A698="","",[1]!thsiFinD("ths_adjustment_nv_fund",G$3,$A698))</x:f>
        <x:v>#NAME?</x:v>
      </x:c>
      <x:c r="H698" s="146" t="e">
        <x:f>IF($A698="","",[1]!thsiFinD("ths_adjustment_nv_fund",H$3,$A698))</x:f>
        <x:v>#NAME?</x:v>
      </x:c>
      <x:c r="I698" s="146" t="e">
        <x:f>IF($A698="","",[1]!thsiFinD("ths_adjustment_nv_fund",I$3,$A698))</x:f>
        <x:v>#NAME?</x:v>
      </x:c>
      <x:c r="J698" s="146" t="e">
        <x:f>IF($A698="","",[1]!thsiFinD("ths_adjustment_nv_fund",J$3,$A698))</x:f>
        <x:v>#NAME?</x:v>
      </x:c>
      <x:c r="K698" s="146" t="e">
        <x:f>IF($A698="","",[1]!thsiFinD("ths_adjustment_nv_fund",K$3,$A698))</x:f>
        <x:v>#NAME?</x:v>
      </x:c>
      <x:c r="L698" s="146" t="e">
        <x:f>IF($A698="","",[1]!thsiFinD("ths_adjustment_nv_fund",L$3,$A698))</x:f>
        <x:v>#NAME?</x:v>
      </x:c>
      <x:c r="M698" s="146" t="e">
        <x:f>IF($A698="","",[1]!thsiFinD("ths_adjustment_nv_fund",M$3,$A698))</x:f>
        <x:v>#NAME?</x:v>
      </x:c>
      <x:c r="N698" s="146" t="e">
        <x:f>IF($A698="","",[1]!thsiFinD("ths_adjustment_nv_fund",N$3,$A698))</x:f>
        <x:v>#NAME?</x:v>
      </x:c>
      <x:c r="O698" s="146" t="e">
        <x:f>IF($A698="","",[1]!thsiFinD("ths_adjustment_nv_fund",O$3,$A698))</x:f>
        <x:v>#NAME?</x:v>
      </x:c>
      <x:c r="P698" s="146" t="e">
        <x:f>IF($A698="","",[1]!thsiFinD("ths_adjustment_nv_fund",P$3,$A698))</x:f>
        <x:v>#NAME?</x:v>
      </x:c>
      <x:c r="Q698" s="146" t="e">
        <x:f>IF($A698="","",[1]!thsiFinD("ths_adjustment_nv_fund",Q$3,$A698))</x:f>
        <x:v>#NAME?</x:v>
      </x:c>
      <x:c r="R698" s="146" t="e">
        <x:f>IF($A698="","",[1]!thsiFinD("ths_adjustment_nv_fund",R$3,$A698))</x:f>
        <x:v>#NAME?</x:v>
      </x:c>
      <x:c r="S698" s="146" t="e">
        <x:f>IF($A698="","",[1]!thsiFinD("ths_adjustment_nv_fund",S$3,$A698))</x:f>
        <x:v>#NAME?</x:v>
      </x:c>
      <x:c r="T698" s="146" t="e">
        <x:f>IF($A698="","",[1]!thsiFinD("ths_adjustment_nv_fund",T$3,$A698))</x:f>
        <x:v>#NAME?</x:v>
      </x:c>
      <x:c r="U698" s="146" t="e">
        <x:f>IF($A698="","",[1]!thsiFinD("ths_adjustment_nv_fund",U$3,$A698))</x:f>
        <x:v>#NAME?</x:v>
      </x:c>
      <x:c r="V698" s="146" t="e">
        <x:f>IF($A698="","",[1]!thsiFinD("ths_adjustment_nv_fund",V$3,$A698))</x:f>
        <x:v>#NAME?</x:v>
      </x:c>
      <x:c r="W698" s="146" t="e">
        <x:f>IF($A698="","",[1]!thsiFinD("ths_adjustment_nv_fund",W$3,$A698))</x:f>
        <x:v>#NAME?</x:v>
      </x:c>
      <x:c r="X698" s="146" t="e">
        <x:f>IF($A698="","",[1]!thsiFinD("ths_adjustment_nv_fund",X$3,$A698))</x:f>
        <x:v>#NAME?</x:v>
      </x:c>
      <x:c r="Y698" s="146" t="e">
        <x:f>IF($A698="","",[1]!thsiFinD("ths_adjustment_nv_fund",Y$3,$A698))</x:f>
        <x:v>#NAME?</x:v>
      </x:c>
      <x:c r="Z698" s="146" t="e">
        <x:f>IF($A698="","",[1]!thsiFinD("ths_adjustment_nv_fund",Z$3,$A698))</x:f>
        <x:v>#NAME?</x:v>
      </x:c>
      <x:c r="AA698" s="146" t="e">
        <x:f>IF($A698="","",[1]!thsiFinD("ths_adjustment_nv_fund",AA$3,$A698))</x:f>
        <x:v>#NAME?</x:v>
      </x:c>
    </x:row>
    <x:row r="699">
      <x:c r="B699" s="146" t="e">
        <x:f>IF($A699="","",[1]!thsiFinD("ths_adjustment_nv_fund",B$3,$A699))</x:f>
        <x:v>#NAME?</x:v>
      </x:c>
      <x:c r="C699" s="146" t="e">
        <x:f>IF($A699="","",[1]!thsiFinD("ths_adjustment_nv_fund",C$3,$A699))</x:f>
        <x:v>#NAME?</x:v>
      </x:c>
      <x:c r="D699" s="146" t="e">
        <x:f>IF($A699="","",[1]!thsiFinD("ths_adjustment_nv_fund",D$3,$A699))</x:f>
        <x:v>#NAME?</x:v>
      </x:c>
      <x:c r="E699" s="146" t="e">
        <x:f>IF($A699="","",[1]!thsiFinD("ths_adjustment_nv_fund",E$3,$A699))</x:f>
        <x:v>#NAME?</x:v>
      </x:c>
      <x:c r="F699" s="146" t="e">
        <x:f>IF($A699="","",[1]!thsiFinD("ths_adjustment_nv_fund",F$3,$A699))</x:f>
        <x:v>#NAME?</x:v>
      </x:c>
      <x:c r="G699" s="146" t="e">
        <x:f>IF($A699="","",[1]!thsiFinD("ths_adjustment_nv_fund",G$3,$A699))</x:f>
        <x:v>#NAME?</x:v>
      </x:c>
      <x:c r="H699" s="146" t="e">
        <x:f>IF($A699="","",[1]!thsiFinD("ths_adjustment_nv_fund",H$3,$A699))</x:f>
        <x:v>#NAME?</x:v>
      </x:c>
      <x:c r="I699" s="146" t="e">
        <x:f>IF($A699="","",[1]!thsiFinD("ths_adjustment_nv_fund",I$3,$A699))</x:f>
        <x:v>#NAME?</x:v>
      </x:c>
      <x:c r="J699" s="146" t="e">
        <x:f>IF($A699="","",[1]!thsiFinD("ths_adjustment_nv_fund",J$3,$A699))</x:f>
        <x:v>#NAME?</x:v>
      </x:c>
      <x:c r="K699" s="146" t="e">
        <x:f>IF($A699="","",[1]!thsiFinD("ths_adjustment_nv_fund",K$3,$A699))</x:f>
        <x:v>#NAME?</x:v>
      </x:c>
      <x:c r="L699" s="146" t="e">
        <x:f>IF($A699="","",[1]!thsiFinD("ths_adjustment_nv_fund",L$3,$A699))</x:f>
        <x:v>#NAME?</x:v>
      </x:c>
      <x:c r="M699" s="146" t="e">
        <x:f>IF($A699="","",[1]!thsiFinD("ths_adjustment_nv_fund",M$3,$A699))</x:f>
        <x:v>#NAME?</x:v>
      </x:c>
      <x:c r="N699" s="146" t="e">
        <x:f>IF($A699="","",[1]!thsiFinD("ths_adjustment_nv_fund",N$3,$A699))</x:f>
        <x:v>#NAME?</x:v>
      </x:c>
      <x:c r="O699" s="146" t="e">
        <x:f>IF($A699="","",[1]!thsiFinD("ths_adjustment_nv_fund",O$3,$A699))</x:f>
        <x:v>#NAME?</x:v>
      </x:c>
      <x:c r="P699" s="146" t="e">
        <x:f>IF($A699="","",[1]!thsiFinD("ths_adjustment_nv_fund",P$3,$A699))</x:f>
        <x:v>#NAME?</x:v>
      </x:c>
      <x:c r="Q699" s="146" t="e">
        <x:f>IF($A699="","",[1]!thsiFinD("ths_adjustment_nv_fund",Q$3,$A699))</x:f>
        <x:v>#NAME?</x:v>
      </x:c>
      <x:c r="R699" s="146" t="e">
        <x:f>IF($A699="","",[1]!thsiFinD("ths_adjustment_nv_fund",R$3,$A699))</x:f>
        <x:v>#NAME?</x:v>
      </x:c>
      <x:c r="S699" s="146" t="e">
        <x:f>IF($A699="","",[1]!thsiFinD("ths_adjustment_nv_fund",S$3,$A699))</x:f>
        <x:v>#NAME?</x:v>
      </x:c>
      <x:c r="T699" s="146" t="e">
        <x:f>IF($A699="","",[1]!thsiFinD("ths_adjustment_nv_fund",T$3,$A699))</x:f>
        <x:v>#NAME?</x:v>
      </x:c>
      <x:c r="U699" s="146" t="e">
        <x:f>IF($A699="","",[1]!thsiFinD("ths_adjustment_nv_fund",U$3,$A699))</x:f>
        <x:v>#NAME?</x:v>
      </x:c>
      <x:c r="V699" s="146" t="e">
        <x:f>IF($A699="","",[1]!thsiFinD("ths_adjustment_nv_fund",V$3,$A699))</x:f>
        <x:v>#NAME?</x:v>
      </x:c>
      <x:c r="W699" s="146" t="e">
        <x:f>IF($A699="","",[1]!thsiFinD("ths_adjustment_nv_fund",W$3,$A699))</x:f>
        <x:v>#NAME?</x:v>
      </x:c>
      <x:c r="X699" s="146" t="e">
        <x:f>IF($A699="","",[1]!thsiFinD("ths_adjustment_nv_fund",X$3,$A699))</x:f>
        <x:v>#NAME?</x:v>
      </x:c>
      <x:c r="Y699" s="146" t="e">
        <x:f>IF($A699="","",[1]!thsiFinD("ths_adjustment_nv_fund",Y$3,$A699))</x:f>
        <x:v>#NAME?</x:v>
      </x:c>
      <x:c r="Z699" s="146" t="e">
        <x:f>IF($A699="","",[1]!thsiFinD("ths_adjustment_nv_fund",Z$3,$A699))</x:f>
        <x:v>#NAME?</x:v>
      </x:c>
      <x:c r="AA699" s="146" t="e">
        <x:f>IF($A699="","",[1]!thsiFinD("ths_adjustment_nv_fund",AA$3,$A699))</x:f>
        <x:v>#NAME?</x:v>
      </x:c>
    </x:row>
    <x:row r="700">
      <x:c r="B700" s="146" t="e">
        <x:f>IF($A700="","",[1]!thsiFinD("ths_adjustment_nv_fund",B$3,$A700))</x:f>
        <x:v>#NAME?</x:v>
      </x:c>
      <x:c r="C700" s="146" t="e">
        <x:f>IF($A700="","",[1]!thsiFinD("ths_adjustment_nv_fund",C$3,$A700))</x:f>
        <x:v>#NAME?</x:v>
      </x:c>
      <x:c r="D700" s="146" t="e">
        <x:f>IF($A700="","",[1]!thsiFinD("ths_adjustment_nv_fund",D$3,$A700))</x:f>
        <x:v>#NAME?</x:v>
      </x:c>
      <x:c r="E700" s="146" t="e">
        <x:f>IF($A700="","",[1]!thsiFinD("ths_adjustment_nv_fund",E$3,$A700))</x:f>
        <x:v>#NAME?</x:v>
      </x:c>
      <x:c r="F700" s="146" t="e">
        <x:f>IF($A700="","",[1]!thsiFinD("ths_adjustment_nv_fund",F$3,$A700))</x:f>
        <x:v>#NAME?</x:v>
      </x:c>
      <x:c r="G700" s="146" t="e">
        <x:f>IF($A700="","",[1]!thsiFinD("ths_adjustment_nv_fund",G$3,$A700))</x:f>
        <x:v>#NAME?</x:v>
      </x:c>
      <x:c r="H700" s="146" t="e">
        <x:f>IF($A700="","",[1]!thsiFinD("ths_adjustment_nv_fund",H$3,$A700))</x:f>
        <x:v>#NAME?</x:v>
      </x:c>
      <x:c r="I700" s="146" t="e">
        <x:f>IF($A700="","",[1]!thsiFinD("ths_adjustment_nv_fund",I$3,$A700))</x:f>
        <x:v>#NAME?</x:v>
      </x:c>
      <x:c r="J700" s="146" t="e">
        <x:f>IF($A700="","",[1]!thsiFinD("ths_adjustment_nv_fund",J$3,$A700))</x:f>
        <x:v>#NAME?</x:v>
      </x:c>
      <x:c r="K700" s="146" t="e">
        <x:f>IF($A700="","",[1]!thsiFinD("ths_adjustment_nv_fund",K$3,$A700))</x:f>
        <x:v>#NAME?</x:v>
      </x:c>
      <x:c r="L700" s="146" t="e">
        <x:f>IF($A700="","",[1]!thsiFinD("ths_adjustment_nv_fund",L$3,$A700))</x:f>
        <x:v>#NAME?</x:v>
      </x:c>
      <x:c r="M700" s="146" t="e">
        <x:f>IF($A700="","",[1]!thsiFinD("ths_adjustment_nv_fund",M$3,$A700))</x:f>
        <x:v>#NAME?</x:v>
      </x:c>
      <x:c r="N700" s="146" t="e">
        <x:f>IF($A700="","",[1]!thsiFinD("ths_adjustment_nv_fund",N$3,$A700))</x:f>
        <x:v>#NAME?</x:v>
      </x:c>
      <x:c r="O700" s="146" t="e">
        <x:f>IF($A700="","",[1]!thsiFinD("ths_adjustment_nv_fund",O$3,$A700))</x:f>
        <x:v>#NAME?</x:v>
      </x:c>
      <x:c r="P700" s="146" t="e">
        <x:f>IF($A700="","",[1]!thsiFinD("ths_adjustment_nv_fund",P$3,$A700))</x:f>
        <x:v>#NAME?</x:v>
      </x:c>
      <x:c r="Q700" s="146" t="e">
        <x:f>IF($A700="","",[1]!thsiFinD("ths_adjustment_nv_fund",Q$3,$A700))</x:f>
        <x:v>#NAME?</x:v>
      </x:c>
      <x:c r="R700" s="146" t="e">
        <x:f>IF($A700="","",[1]!thsiFinD("ths_adjustment_nv_fund",R$3,$A700))</x:f>
        <x:v>#NAME?</x:v>
      </x:c>
      <x:c r="S700" s="146" t="e">
        <x:f>IF($A700="","",[1]!thsiFinD("ths_adjustment_nv_fund",S$3,$A700))</x:f>
        <x:v>#NAME?</x:v>
      </x:c>
      <x:c r="T700" s="146" t="e">
        <x:f>IF($A700="","",[1]!thsiFinD("ths_adjustment_nv_fund",T$3,$A700))</x:f>
        <x:v>#NAME?</x:v>
      </x:c>
      <x:c r="U700" s="146" t="e">
        <x:f>IF($A700="","",[1]!thsiFinD("ths_adjustment_nv_fund",U$3,$A700))</x:f>
        <x:v>#NAME?</x:v>
      </x:c>
      <x:c r="V700" s="146" t="e">
        <x:f>IF($A700="","",[1]!thsiFinD("ths_adjustment_nv_fund",V$3,$A700))</x:f>
        <x:v>#NAME?</x:v>
      </x:c>
      <x:c r="W700" s="146" t="e">
        <x:f>IF($A700="","",[1]!thsiFinD("ths_adjustment_nv_fund",W$3,$A700))</x:f>
        <x:v>#NAME?</x:v>
      </x:c>
      <x:c r="X700" s="146" t="e">
        <x:f>IF($A700="","",[1]!thsiFinD("ths_adjustment_nv_fund",X$3,$A700))</x:f>
        <x:v>#NAME?</x:v>
      </x:c>
      <x:c r="Y700" s="146" t="e">
        <x:f>IF($A700="","",[1]!thsiFinD("ths_adjustment_nv_fund",Y$3,$A700))</x:f>
        <x:v>#NAME?</x:v>
      </x:c>
      <x:c r="Z700" s="146" t="e">
        <x:f>IF($A700="","",[1]!thsiFinD("ths_adjustment_nv_fund",Z$3,$A700))</x:f>
        <x:v>#NAME?</x:v>
      </x:c>
      <x:c r="AA700" s="146" t="e">
        <x:f>IF($A700="","",[1]!thsiFinD("ths_adjustment_nv_fund",AA$3,$A700))</x:f>
        <x:v>#NAME?</x:v>
      </x:c>
    </x:row>
    <x:row r="701">
      <x:c r="B701" s="146" t="e">
        <x:f>IF($A701="","",[1]!thsiFinD("ths_adjustment_nv_fund",B$3,$A701))</x:f>
        <x:v>#NAME?</x:v>
      </x:c>
      <x:c r="C701" s="146" t="e">
        <x:f>IF($A701="","",[1]!thsiFinD("ths_adjustment_nv_fund",C$3,$A701))</x:f>
        <x:v>#NAME?</x:v>
      </x:c>
      <x:c r="D701" s="146" t="e">
        <x:f>IF($A701="","",[1]!thsiFinD("ths_adjustment_nv_fund",D$3,$A701))</x:f>
        <x:v>#NAME?</x:v>
      </x:c>
      <x:c r="E701" s="146" t="e">
        <x:f>IF($A701="","",[1]!thsiFinD("ths_adjustment_nv_fund",E$3,$A701))</x:f>
        <x:v>#NAME?</x:v>
      </x:c>
      <x:c r="F701" s="146" t="e">
        <x:f>IF($A701="","",[1]!thsiFinD("ths_adjustment_nv_fund",F$3,$A701))</x:f>
        <x:v>#NAME?</x:v>
      </x:c>
      <x:c r="G701" s="146" t="e">
        <x:f>IF($A701="","",[1]!thsiFinD("ths_adjustment_nv_fund",G$3,$A701))</x:f>
        <x:v>#NAME?</x:v>
      </x:c>
      <x:c r="H701" s="146" t="e">
        <x:f>IF($A701="","",[1]!thsiFinD("ths_adjustment_nv_fund",H$3,$A701))</x:f>
        <x:v>#NAME?</x:v>
      </x:c>
      <x:c r="I701" s="146" t="e">
        <x:f>IF($A701="","",[1]!thsiFinD("ths_adjustment_nv_fund",I$3,$A701))</x:f>
        <x:v>#NAME?</x:v>
      </x:c>
      <x:c r="J701" s="146" t="e">
        <x:f>IF($A701="","",[1]!thsiFinD("ths_adjustment_nv_fund",J$3,$A701))</x:f>
        <x:v>#NAME?</x:v>
      </x:c>
      <x:c r="K701" s="146" t="e">
        <x:f>IF($A701="","",[1]!thsiFinD("ths_adjustment_nv_fund",K$3,$A701))</x:f>
        <x:v>#NAME?</x:v>
      </x:c>
      <x:c r="L701" s="146" t="e">
        <x:f>IF($A701="","",[1]!thsiFinD("ths_adjustment_nv_fund",L$3,$A701))</x:f>
        <x:v>#NAME?</x:v>
      </x:c>
      <x:c r="M701" s="146" t="e">
        <x:f>IF($A701="","",[1]!thsiFinD("ths_adjustment_nv_fund",M$3,$A701))</x:f>
        <x:v>#NAME?</x:v>
      </x:c>
      <x:c r="N701" s="146" t="e">
        <x:f>IF($A701="","",[1]!thsiFinD("ths_adjustment_nv_fund",N$3,$A701))</x:f>
        <x:v>#NAME?</x:v>
      </x:c>
      <x:c r="O701" s="146" t="e">
        <x:f>IF($A701="","",[1]!thsiFinD("ths_adjustment_nv_fund",O$3,$A701))</x:f>
        <x:v>#NAME?</x:v>
      </x:c>
      <x:c r="P701" s="146" t="e">
        <x:f>IF($A701="","",[1]!thsiFinD("ths_adjustment_nv_fund",P$3,$A701))</x:f>
        <x:v>#NAME?</x:v>
      </x:c>
      <x:c r="Q701" s="146" t="e">
        <x:f>IF($A701="","",[1]!thsiFinD("ths_adjustment_nv_fund",Q$3,$A701))</x:f>
        <x:v>#NAME?</x:v>
      </x:c>
      <x:c r="R701" s="146" t="e">
        <x:f>IF($A701="","",[1]!thsiFinD("ths_adjustment_nv_fund",R$3,$A701))</x:f>
        <x:v>#NAME?</x:v>
      </x:c>
      <x:c r="S701" s="146" t="e">
        <x:f>IF($A701="","",[1]!thsiFinD("ths_adjustment_nv_fund",S$3,$A701))</x:f>
        <x:v>#NAME?</x:v>
      </x:c>
      <x:c r="T701" s="146" t="e">
        <x:f>IF($A701="","",[1]!thsiFinD("ths_adjustment_nv_fund",T$3,$A701))</x:f>
        <x:v>#NAME?</x:v>
      </x:c>
      <x:c r="U701" s="146" t="e">
        <x:f>IF($A701="","",[1]!thsiFinD("ths_adjustment_nv_fund",U$3,$A701))</x:f>
        <x:v>#NAME?</x:v>
      </x:c>
      <x:c r="V701" s="146" t="e">
        <x:f>IF($A701="","",[1]!thsiFinD("ths_adjustment_nv_fund",V$3,$A701))</x:f>
        <x:v>#NAME?</x:v>
      </x:c>
      <x:c r="W701" s="146" t="e">
        <x:f>IF($A701="","",[1]!thsiFinD("ths_adjustment_nv_fund",W$3,$A701))</x:f>
        <x:v>#NAME?</x:v>
      </x:c>
      <x:c r="X701" s="146" t="e">
        <x:f>IF($A701="","",[1]!thsiFinD("ths_adjustment_nv_fund",X$3,$A701))</x:f>
        <x:v>#NAME?</x:v>
      </x:c>
      <x:c r="Y701" s="146" t="e">
        <x:f>IF($A701="","",[1]!thsiFinD("ths_adjustment_nv_fund",Y$3,$A701))</x:f>
        <x:v>#NAME?</x:v>
      </x:c>
      <x:c r="Z701" s="146" t="e">
        <x:f>IF($A701="","",[1]!thsiFinD("ths_adjustment_nv_fund",Z$3,$A701))</x:f>
        <x:v>#NAME?</x:v>
      </x:c>
      <x:c r="AA701" s="146" t="e">
        <x:f>IF($A701="","",[1]!thsiFinD("ths_adjustment_nv_fund",AA$3,$A701))</x:f>
        <x:v>#NAME?</x:v>
      </x:c>
    </x:row>
    <x:row r="702">
      <x:c r="B702" s="146" t="e">
        <x:f>IF($A702="","",[1]!thsiFinD("ths_adjustment_nv_fund",B$3,$A702))</x:f>
        <x:v>#NAME?</x:v>
      </x:c>
      <x:c r="C702" s="146" t="e">
        <x:f>IF($A702="","",[1]!thsiFinD("ths_adjustment_nv_fund",C$3,$A702))</x:f>
        <x:v>#NAME?</x:v>
      </x:c>
      <x:c r="D702" s="146" t="e">
        <x:f>IF($A702="","",[1]!thsiFinD("ths_adjustment_nv_fund",D$3,$A702))</x:f>
        <x:v>#NAME?</x:v>
      </x:c>
      <x:c r="E702" s="146" t="e">
        <x:f>IF($A702="","",[1]!thsiFinD("ths_adjustment_nv_fund",E$3,$A702))</x:f>
        <x:v>#NAME?</x:v>
      </x:c>
      <x:c r="F702" s="146" t="e">
        <x:f>IF($A702="","",[1]!thsiFinD("ths_adjustment_nv_fund",F$3,$A702))</x:f>
        <x:v>#NAME?</x:v>
      </x:c>
      <x:c r="G702" s="146" t="e">
        <x:f>IF($A702="","",[1]!thsiFinD("ths_adjustment_nv_fund",G$3,$A702))</x:f>
        <x:v>#NAME?</x:v>
      </x:c>
      <x:c r="H702" s="146" t="e">
        <x:f>IF($A702="","",[1]!thsiFinD("ths_adjustment_nv_fund",H$3,$A702))</x:f>
        <x:v>#NAME?</x:v>
      </x:c>
      <x:c r="I702" s="146" t="e">
        <x:f>IF($A702="","",[1]!thsiFinD("ths_adjustment_nv_fund",I$3,$A702))</x:f>
        <x:v>#NAME?</x:v>
      </x:c>
      <x:c r="J702" s="146" t="e">
        <x:f>IF($A702="","",[1]!thsiFinD("ths_adjustment_nv_fund",J$3,$A702))</x:f>
        <x:v>#NAME?</x:v>
      </x:c>
      <x:c r="K702" s="146" t="e">
        <x:f>IF($A702="","",[1]!thsiFinD("ths_adjustment_nv_fund",K$3,$A702))</x:f>
        <x:v>#NAME?</x:v>
      </x:c>
      <x:c r="L702" s="146" t="e">
        <x:f>IF($A702="","",[1]!thsiFinD("ths_adjustment_nv_fund",L$3,$A702))</x:f>
        <x:v>#NAME?</x:v>
      </x:c>
      <x:c r="M702" s="146" t="e">
        <x:f>IF($A702="","",[1]!thsiFinD("ths_adjustment_nv_fund",M$3,$A702))</x:f>
        <x:v>#NAME?</x:v>
      </x:c>
      <x:c r="N702" s="146" t="e">
        <x:f>IF($A702="","",[1]!thsiFinD("ths_adjustment_nv_fund",N$3,$A702))</x:f>
        <x:v>#NAME?</x:v>
      </x:c>
      <x:c r="O702" s="146" t="e">
        <x:f>IF($A702="","",[1]!thsiFinD("ths_adjustment_nv_fund",O$3,$A702))</x:f>
        <x:v>#NAME?</x:v>
      </x:c>
      <x:c r="P702" s="146" t="e">
        <x:f>IF($A702="","",[1]!thsiFinD("ths_adjustment_nv_fund",P$3,$A702))</x:f>
        <x:v>#NAME?</x:v>
      </x:c>
      <x:c r="Q702" s="146" t="e">
        <x:f>IF($A702="","",[1]!thsiFinD("ths_adjustment_nv_fund",Q$3,$A702))</x:f>
        <x:v>#NAME?</x:v>
      </x:c>
      <x:c r="R702" s="146" t="e">
        <x:f>IF($A702="","",[1]!thsiFinD("ths_adjustment_nv_fund",R$3,$A702))</x:f>
        <x:v>#NAME?</x:v>
      </x:c>
      <x:c r="S702" s="146" t="e">
        <x:f>IF($A702="","",[1]!thsiFinD("ths_adjustment_nv_fund",S$3,$A702))</x:f>
        <x:v>#NAME?</x:v>
      </x:c>
      <x:c r="T702" s="146" t="e">
        <x:f>IF($A702="","",[1]!thsiFinD("ths_adjustment_nv_fund",T$3,$A702))</x:f>
        <x:v>#NAME?</x:v>
      </x:c>
      <x:c r="U702" s="146" t="e">
        <x:f>IF($A702="","",[1]!thsiFinD("ths_adjustment_nv_fund",U$3,$A702))</x:f>
        <x:v>#NAME?</x:v>
      </x:c>
      <x:c r="V702" s="146" t="e">
        <x:f>IF($A702="","",[1]!thsiFinD("ths_adjustment_nv_fund",V$3,$A702))</x:f>
        <x:v>#NAME?</x:v>
      </x:c>
      <x:c r="W702" s="146" t="e">
        <x:f>IF($A702="","",[1]!thsiFinD("ths_adjustment_nv_fund",W$3,$A702))</x:f>
        <x:v>#NAME?</x:v>
      </x:c>
      <x:c r="X702" s="146" t="e">
        <x:f>IF($A702="","",[1]!thsiFinD("ths_adjustment_nv_fund",X$3,$A702))</x:f>
        <x:v>#NAME?</x:v>
      </x:c>
      <x:c r="Y702" s="146" t="e">
        <x:f>IF($A702="","",[1]!thsiFinD("ths_adjustment_nv_fund",Y$3,$A702))</x:f>
        <x:v>#NAME?</x:v>
      </x:c>
      <x:c r="Z702" s="146" t="e">
        <x:f>IF($A702="","",[1]!thsiFinD("ths_adjustment_nv_fund",Z$3,$A702))</x:f>
        <x:v>#NAME?</x:v>
      </x:c>
      <x:c r="AA702" s="146" t="e">
        <x:f>IF($A702="","",[1]!thsiFinD("ths_adjustment_nv_fund",AA$3,$A702))</x:f>
        <x:v>#NAME?</x:v>
      </x:c>
    </x:row>
    <x:row r="703">
      <x:c r="B703" s="146" t="e">
        <x:f>IF($A703="","",[1]!thsiFinD("ths_adjustment_nv_fund",B$3,$A703))</x:f>
        <x:v>#NAME?</x:v>
      </x:c>
      <x:c r="C703" s="146" t="e">
        <x:f>IF($A703="","",[1]!thsiFinD("ths_adjustment_nv_fund",C$3,$A703))</x:f>
        <x:v>#NAME?</x:v>
      </x:c>
      <x:c r="D703" s="146" t="e">
        <x:f>IF($A703="","",[1]!thsiFinD("ths_adjustment_nv_fund",D$3,$A703))</x:f>
        <x:v>#NAME?</x:v>
      </x:c>
      <x:c r="E703" s="146" t="e">
        <x:f>IF($A703="","",[1]!thsiFinD("ths_adjustment_nv_fund",E$3,$A703))</x:f>
        <x:v>#NAME?</x:v>
      </x:c>
      <x:c r="F703" s="146" t="e">
        <x:f>IF($A703="","",[1]!thsiFinD("ths_adjustment_nv_fund",F$3,$A703))</x:f>
        <x:v>#NAME?</x:v>
      </x:c>
      <x:c r="G703" s="146" t="e">
        <x:f>IF($A703="","",[1]!thsiFinD("ths_adjustment_nv_fund",G$3,$A703))</x:f>
        <x:v>#NAME?</x:v>
      </x:c>
      <x:c r="H703" s="146" t="e">
        <x:f>IF($A703="","",[1]!thsiFinD("ths_adjustment_nv_fund",H$3,$A703))</x:f>
        <x:v>#NAME?</x:v>
      </x:c>
      <x:c r="I703" s="146" t="e">
        <x:f>IF($A703="","",[1]!thsiFinD("ths_adjustment_nv_fund",I$3,$A703))</x:f>
        <x:v>#NAME?</x:v>
      </x:c>
      <x:c r="J703" s="146" t="e">
        <x:f>IF($A703="","",[1]!thsiFinD("ths_adjustment_nv_fund",J$3,$A703))</x:f>
        <x:v>#NAME?</x:v>
      </x:c>
      <x:c r="K703" s="146" t="e">
        <x:f>IF($A703="","",[1]!thsiFinD("ths_adjustment_nv_fund",K$3,$A703))</x:f>
        <x:v>#NAME?</x:v>
      </x:c>
      <x:c r="L703" s="146" t="e">
        <x:f>IF($A703="","",[1]!thsiFinD("ths_adjustment_nv_fund",L$3,$A703))</x:f>
        <x:v>#NAME?</x:v>
      </x:c>
      <x:c r="M703" s="146" t="e">
        <x:f>IF($A703="","",[1]!thsiFinD("ths_adjustment_nv_fund",M$3,$A703))</x:f>
        <x:v>#NAME?</x:v>
      </x:c>
      <x:c r="N703" s="146" t="e">
        <x:f>IF($A703="","",[1]!thsiFinD("ths_adjustment_nv_fund",N$3,$A703))</x:f>
        <x:v>#NAME?</x:v>
      </x:c>
      <x:c r="O703" s="146" t="e">
        <x:f>IF($A703="","",[1]!thsiFinD("ths_adjustment_nv_fund",O$3,$A703))</x:f>
        <x:v>#NAME?</x:v>
      </x:c>
      <x:c r="P703" s="146" t="e">
        <x:f>IF($A703="","",[1]!thsiFinD("ths_adjustment_nv_fund",P$3,$A703))</x:f>
        <x:v>#NAME?</x:v>
      </x:c>
      <x:c r="Q703" s="146" t="e">
        <x:f>IF($A703="","",[1]!thsiFinD("ths_adjustment_nv_fund",Q$3,$A703))</x:f>
        <x:v>#NAME?</x:v>
      </x:c>
      <x:c r="R703" s="146" t="e">
        <x:f>IF($A703="","",[1]!thsiFinD("ths_adjustment_nv_fund",R$3,$A703))</x:f>
        <x:v>#NAME?</x:v>
      </x:c>
      <x:c r="S703" s="146" t="e">
        <x:f>IF($A703="","",[1]!thsiFinD("ths_adjustment_nv_fund",S$3,$A703))</x:f>
        <x:v>#NAME?</x:v>
      </x:c>
      <x:c r="T703" s="146" t="e">
        <x:f>IF($A703="","",[1]!thsiFinD("ths_adjustment_nv_fund",T$3,$A703))</x:f>
        <x:v>#NAME?</x:v>
      </x:c>
      <x:c r="U703" s="146" t="e">
        <x:f>IF($A703="","",[1]!thsiFinD("ths_adjustment_nv_fund",U$3,$A703))</x:f>
        <x:v>#NAME?</x:v>
      </x:c>
      <x:c r="V703" s="146" t="e">
        <x:f>IF($A703="","",[1]!thsiFinD("ths_adjustment_nv_fund",V$3,$A703))</x:f>
        <x:v>#NAME?</x:v>
      </x:c>
      <x:c r="W703" s="146" t="e">
        <x:f>IF($A703="","",[1]!thsiFinD("ths_adjustment_nv_fund",W$3,$A703))</x:f>
        <x:v>#NAME?</x:v>
      </x:c>
      <x:c r="X703" s="146" t="e">
        <x:f>IF($A703="","",[1]!thsiFinD("ths_adjustment_nv_fund",X$3,$A703))</x:f>
        <x:v>#NAME?</x:v>
      </x:c>
      <x:c r="Y703" s="146" t="e">
        <x:f>IF($A703="","",[1]!thsiFinD("ths_adjustment_nv_fund",Y$3,$A703))</x:f>
        <x:v>#NAME?</x:v>
      </x:c>
      <x:c r="Z703" s="146" t="e">
        <x:f>IF($A703="","",[1]!thsiFinD("ths_adjustment_nv_fund",Z$3,$A703))</x:f>
        <x:v>#NAME?</x:v>
      </x:c>
      <x:c r="AA703" s="146" t="e">
        <x:f>IF($A703="","",[1]!thsiFinD("ths_adjustment_nv_fund",AA$3,$A703))</x:f>
        <x:v>#NAME?</x:v>
      </x:c>
    </x:row>
    <x:row r="704">
      <x:c r="B704" s="146" t="e">
        <x:f>IF($A704="","",[1]!thsiFinD("ths_adjustment_nv_fund",B$3,$A704))</x:f>
        <x:v>#NAME?</x:v>
      </x:c>
      <x:c r="C704" s="146" t="e">
        <x:f>IF($A704="","",[1]!thsiFinD("ths_adjustment_nv_fund",C$3,$A704))</x:f>
        <x:v>#NAME?</x:v>
      </x:c>
      <x:c r="D704" s="146" t="e">
        <x:f>IF($A704="","",[1]!thsiFinD("ths_adjustment_nv_fund",D$3,$A704))</x:f>
        <x:v>#NAME?</x:v>
      </x:c>
      <x:c r="E704" s="146" t="e">
        <x:f>IF($A704="","",[1]!thsiFinD("ths_adjustment_nv_fund",E$3,$A704))</x:f>
        <x:v>#NAME?</x:v>
      </x:c>
      <x:c r="F704" s="146" t="e">
        <x:f>IF($A704="","",[1]!thsiFinD("ths_adjustment_nv_fund",F$3,$A704))</x:f>
        <x:v>#NAME?</x:v>
      </x:c>
      <x:c r="G704" s="146" t="e">
        <x:f>IF($A704="","",[1]!thsiFinD("ths_adjustment_nv_fund",G$3,$A704))</x:f>
        <x:v>#NAME?</x:v>
      </x:c>
      <x:c r="H704" s="146" t="e">
        <x:f>IF($A704="","",[1]!thsiFinD("ths_adjustment_nv_fund",H$3,$A704))</x:f>
        <x:v>#NAME?</x:v>
      </x:c>
      <x:c r="I704" s="146" t="e">
        <x:f>IF($A704="","",[1]!thsiFinD("ths_adjustment_nv_fund",I$3,$A704))</x:f>
        <x:v>#NAME?</x:v>
      </x:c>
      <x:c r="J704" s="146" t="e">
        <x:f>IF($A704="","",[1]!thsiFinD("ths_adjustment_nv_fund",J$3,$A704))</x:f>
        <x:v>#NAME?</x:v>
      </x:c>
      <x:c r="K704" s="146" t="e">
        <x:f>IF($A704="","",[1]!thsiFinD("ths_adjustment_nv_fund",K$3,$A704))</x:f>
        <x:v>#NAME?</x:v>
      </x:c>
      <x:c r="L704" s="146" t="e">
        <x:f>IF($A704="","",[1]!thsiFinD("ths_adjustment_nv_fund",L$3,$A704))</x:f>
        <x:v>#NAME?</x:v>
      </x:c>
      <x:c r="M704" s="146" t="e">
        <x:f>IF($A704="","",[1]!thsiFinD("ths_adjustment_nv_fund",M$3,$A704))</x:f>
        <x:v>#NAME?</x:v>
      </x:c>
      <x:c r="N704" s="146" t="e">
        <x:f>IF($A704="","",[1]!thsiFinD("ths_adjustment_nv_fund",N$3,$A704))</x:f>
        <x:v>#NAME?</x:v>
      </x:c>
      <x:c r="O704" s="146" t="e">
        <x:f>IF($A704="","",[1]!thsiFinD("ths_adjustment_nv_fund",O$3,$A704))</x:f>
        <x:v>#NAME?</x:v>
      </x:c>
      <x:c r="P704" s="146" t="e">
        <x:f>IF($A704="","",[1]!thsiFinD("ths_adjustment_nv_fund",P$3,$A704))</x:f>
        <x:v>#NAME?</x:v>
      </x:c>
      <x:c r="Q704" s="146" t="e">
        <x:f>IF($A704="","",[1]!thsiFinD("ths_adjustment_nv_fund",Q$3,$A704))</x:f>
        <x:v>#NAME?</x:v>
      </x:c>
      <x:c r="R704" s="146" t="e">
        <x:f>IF($A704="","",[1]!thsiFinD("ths_adjustment_nv_fund",R$3,$A704))</x:f>
        <x:v>#NAME?</x:v>
      </x:c>
      <x:c r="S704" s="146" t="e">
        <x:f>IF($A704="","",[1]!thsiFinD("ths_adjustment_nv_fund",S$3,$A704))</x:f>
        <x:v>#NAME?</x:v>
      </x:c>
      <x:c r="T704" s="146" t="e">
        <x:f>IF($A704="","",[1]!thsiFinD("ths_adjustment_nv_fund",T$3,$A704))</x:f>
        <x:v>#NAME?</x:v>
      </x:c>
      <x:c r="U704" s="146" t="e">
        <x:f>IF($A704="","",[1]!thsiFinD("ths_adjustment_nv_fund",U$3,$A704))</x:f>
        <x:v>#NAME?</x:v>
      </x:c>
      <x:c r="V704" s="146" t="e">
        <x:f>IF($A704="","",[1]!thsiFinD("ths_adjustment_nv_fund",V$3,$A704))</x:f>
        <x:v>#NAME?</x:v>
      </x:c>
      <x:c r="W704" s="146" t="e">
        <x:f>IF($A704="","",[1]!thsiFinD("ths_adjustment_nv_fund",W$3,$A704))</x:f>
        <x:v>#NAME?</x:v>
      </x:c>
      <x:c r="X704" s="146" t="e">
        <x:f>IF($A704="","",[1]!thsiFinD("ths_adjustment_nv_fund",X$3,$A704))</x:f>
        <x:v>#NAME?</x:v>
      </x:c>
      <x:c r="Y704" s="146" t="e">
        <x:f>IF($A704="","",[1]!thsiFinD("ths_adjustment_nv_fund",Y$3,$A704))</x:f>
        <x:v>#NAME?</x:v>
      </x:c>
      <x:c r="Z704" s="146" t="e">
        <x:f>IF($A704="","",[1]!thsiFinD("ths_adjustment_nv_fund",Z$3,$A704))</x:f>
        <x:v>#NAME?</x:v>
      </x:c>
      <x:c r="AA704" s="146" t="e">
        <x:f>IF($A704="","",[1]!thsiFinD("ths_adjustment_nv_fund",AA$3,$A704))</x:f>
        <x:v>#NAME?</x:v>
      </x:c>
    </x:row>
    <x:row r="705">
      <x:c r="B705" s="146" t="e">
        <x:f>IF($A705="","",[1]!thsiFinD("ths_adjustment_nv_fund",B$3,$A705))</x:f>
        <x:v>#NAME?</x:v>
      </x:c>
      <x:c r="C705" s="146" t="e">
        <x:f>IF($A705="","",[1]!thsiFinD("ths_adjustment_nv_fund",C$3,$A705))</x:f>
        <x:v>#NAME?</x:v>
      </x:c>
      <x:c r="D705" s="146" t="e">
        <x:f>IF($A705="","",[1]!thsiFinD("ths_adjustment_nv_fund",D$3,$A705))</x:f>
        <x:v>#NAME?</x:v>
      </x:c>
      <x:c r="E705" s="146" t="e">
        <x:f>IF($A705="","",[1]!thsiFinD("ths_adjustment_nv_fund",E$3,$A705))</x:f>
        <x:v>#NAME?</x:v>
      </x:c>
      <x:c r="F705" s="146" t="e">
        <x:f>IF($A705="","",[1]!thsiFinD("ths_adjustment_nv_fund",F$3,$A705))</x:f>
        <x:v>#NAME?</x:v>
      </x:c>
      <x:c r="G705" s="146" t="e">
        <x:f>IF($A705="","",[1]!thsiFinD("ths_adjustment_nv_fund",G$3,$A705))</x:f>
        <x:v>#NAME?</x:v>
      </x:c>
      <x:c r="H705" s="146" t="e">
        <x:f>IF($A705="","",[1]!thsiFinD("ths_adjustment_nv_fund",H$3,$A705))</x:f>
        <x:v>#NAME?</x:v>
      </x:c>
      <x:c r="I705" s="146" t="e">
        <x:f>IF($A705="","",[1]!thsiFinD("ths_adjustment_nv_fund",I$3,$A705))</x:f>
        <x:v>#NAME?</x:v>
      </x:c>
      <x:c r="J705" s="146" t="e">
        <x:f>IF($A705="","",[1]!thsiFinD("ths_adjustment_nv_fund",J$3,$A705))</x:f>
        <x:v>#NAME?</x:v>
      </x:c>
      <x:c r="K705" s="146" t="e">
        <x:f>IF($A705="","",[1]!thsiFinD("ths_adjustment_nv_fund",K$3,$A705))</x:f>
        <x:v>#NAME?</x:v>
      </x:c>
      <x:c r="L705" s="146" t="e">
        <x:f>IF($A705="","",[1]!thsiFinD("ths_adjustment_nv_fund",L$3,$A705))</x:f>
        <x:v>#NAME?</x:v>
      </x:c>
      <x:c r="M705" s="146" t="e">
        <x:f>IF($A705="","",[1]!thsiFinD("ths_adjustment_nv_fund",M$3,$A705))</x:f>
        <x:v>#NAME?</x:v>
      </x:c>
      <x:c r="N705" s="146" t="e">
        <x:f>IF($A705="","",[1]!thsiFinD("ths_adjustment_nv_fund",N$3,$A705))</x:f>
        <x:v>#NAME?</x:v>
      </x:c>
      <x:c r="O705" s="146" t="e">
        <x:f>IF($A705="","",[1]!thsiFinD("ths_adjustment_nv_fund",O$3,$A705))</x:f>
        <x:v>#NAME?</x:v>
      </x:c>
      <x:c r="P705" s="146" t="e">
        <x:f>IF($A705="","",[1]!thsiFinD("ths_adjustment_nv_fund",P$3,$A705))</x:f>
        <x:v>#NAME?</x:v>
      </x:c>
      <x:c r="Q705" s="146" t="e">
        <x:f>IF($A705="","",[1]!thsiFinD("ths_adjustment_nv_fund",Q$3,$A705))</x:f>
        <x:v>#NAME?</x:v>
      </x:c>
      <x:c r="R705" s="146" t="e">
        <x:f>IF($A705="","",[1]!thsiFinD("ths_adjustment_nv_fund",R$3,$A705))</x:f>
        <x:v>#NAME?</x:v>
      </x:c>
      <x:c r="S705" s="146" t="e">
        <x:f>IF($A705="","",[1]!thsiFinD("ths_adjustment_nv_fund",S$3,$A705))</x:f>
        <x:v>#NAME?</x:v>
      </x:c>
      <x:c r="T705" s="146" t="e">
        <x:f>IF($A705="","",[1]!thsiFinD("ths_adjustment_nv_fund",T$3,$A705))</x:f>
        <x:v>#NAME?</x:v>
      </x:c>
      <x:c r="U705" s="146" t="e">
        <x:f>IF($A705="","",[1]!thsiFinD("ths_adjustment_nv_fund",U$3,$A705))</x:f>
        <x:v>#NAME?</x:v>
      </x:c>
      <x:c r="V705" s="146" t="e">
        <x:f>IF($A705="","",[1]!thsiFinD("ths_adjustment_nv_fund",V$3,$A705))</x:f>
        <x:v>#NAME?</x:v>
      </x:c>
      <x:c r="W705" s="146" t="e">
        <x:f>IF($A705="","",[1]!thsiFinD("ths_adjustment_nv_fund",W$3,$A705))</x:f>
        <x:v>#NAME?</x:v>
      </x:c>
      <x:c r="X705" s="146" t="e">
        <x:f>IF($A705="","",[1]!thsiFinD("ths_adjustment_nv_fund",X$3,$A705))</x:f>
        <x:v>#NAME?</x:v>
      </x:c>
      <x:c r="Y705" s="146" t="e">
        <x:f>IF($A705="","",[1]!thsiFinD("ths_adjustment_nv_fund",Y$3,$A705))</x:f>
        <x:v>#NAME?</x:v>
      </x:c>
      <x:c r="Z705" s="146" t="e">
        <x:f>IF($A705="","",[1]!thsiFinD("ths_adjustment_nv_fund",Z$3,$A705))</x:f>
        <x:v>#NAME?</x:v>
      </x:c>
      <x:c r="AA705" s="146" t="e">
        <x:f>IF($A705="","",[1]!thsiFinD("ths_adjustment_nv_fund",AA$3,$A705))</x:f>
        <x:v>#NAME?</x:v>
      </x:c>
    </x:row>
    <x:row r="706">
      <x:c r="B706" s="146" t="e">
        <x:f>IF($A706="","",[1]!thsiFinD("ths_adjustment_nv_fund",B$3,$A706))</x:f>
        <x:v>#NAME?</x:v>
      </x:c>
      <x:c r="C706" s="146" t="e">
        <x:f>IF($A706="","",[1]!thsiFinD("ths_adjustment_nv_fund",C$3,$A706))</x:f>
        <x:v>#NAME?</x:v>
      </x:c>
      <x:c r="D706" s="146" t="e">
        <x:f>IF($A706="","",[1]!thsiFinD("ths_adjustment_nv_fund",D$3,$A706))</x:f>
        <x:v>#NAME?</x:v>
      </x:c>
      <x:c r="E706" s="146" t="e">
        <x:f>IF($A706="","",[1]!thsiFinD("ths_adjustment_nv_fund",E$3,$A706))</x:f>
        <x:v>#NAME?</x:v>
      </x:c>
      <x:c r="F706" s="146" t="e">
        <x:f>IF($A706="","",[1]!thsiFinD("ths_adjustment_nv_fund",F$3,$A706))</x:f>
        <x:v>#NAME?</x:v>
      </x:c>
      <x:c r="G706" s="146" t="e">
        <x:f>IF($A706="","",[1]!thsiFinD("ths_adjustment_nv_fund",G$3,$A706))</x:f>
        <x:v>#NAME?</x:v>
      </x:c>
      <x:c r="H706" s="146" t="e">
        <x:f>IF($A706="","",[1]!thsiFinD("ths_adjustment_nv_fund",H$3,$A706))</x:f>
        <x:v>#NAME?</x:v>
      </x:c>
      <x:c r="I706" s="146" t="e">
        <x:f>IF($A706="","",[1]!thsiFinD("ths_adjustment_nv_fund",I$3,$A706))</x:f>
        <x:v>#NAME?</x:v>
      </x:c>
      <x:c r="J706" s="146" t="e">
        <x:f>IF($A706="","",[1]!thsiFinD("ths_adjustment_nv_fund",J$3,$A706))</x:f>
        <x:v>#NAME?</x:v>
      </x:c>
      <x:c r="K706" s="146" t="e">
        <x:f>IF($A706="","",[1]!thsiFinD("ths_adjustment_nv_fund",K$3,$A706))</x:f>
        <x:v>#NAME?</x:v>
      </x:c>
      <x:c r="L706" s="146" t="e">
        <x:f>IF($A706="","",[1]!thsiFinD("ths_adjustment_nv_fund",L$3,$A706))</x:f>
        <x:v>#NAME?</x:v>
      </x:c>
      <x:c r="M706" s="146" t="e">
        <x:f>IF($A706="","",[1]!thsiFinD("ths_adjustment_nv_fund",M$3,$A706))</x:f>
        <x:v>#NAME?</x:v>
      </x:c>
      <x:c r="N706" s="146" t="e">
        <x:f>IF($A706="","",[1]!thsiFinD("ths_adjustment_nv_fund",N$3,$A706))</x:f>
        <x:v>#NAME?</x:v>
      </x:c>
      <x:c r="O706" s="146" t="e">
        <x:f>IF($A706="","",[1]!thsiFinD("ths_adjustment_nv_fund",O$3,$A706))</x:f>
        <x:v>#NAME?</x:v>
      </x:c>
      <x:c r="P706" s="146" t="e">
        <x:f>IF($A706="","",[1]!thsiFinD("ths_adjustment_nv_fund",P$3,$A706))</x:f>
        <x:v>#NAME?</x:v>
      </x:c>
      <x:c r="Q706" s="146" t="e">
        <x:f>IF($A706="","",[1]!thsiFinD("ths_adjustment_nv_fund",Q$3,$A706))</x:f>
        <x:v>#NAME?</x:v>
      </x:c>
      <x:c r="R706" s="146" t="e">
        <x:f>IF($A706="","",[1]!thsiFinD("ths_adjustment_nv_fund",R$3,$A706))</x:f>
        <x:v>#NAME?</x:v>
      </x:c>
      <x:c r="S706" s="146" t="e">
        <x:f>IF($A706="","",[1]!thsiFinD("ths_adjustment_nv_fund",S$3,$A706))</x:f>
        <x:v>#NAME?</x:v>
      </x:c>
      <x:c r="T706" s="146" t="e">
        <x:f>IF($A706="","",[1]!thsiFinD("ths_adjustment_nv_fund",T$3,$A706))</x:f>
        <x:v>#NAME?</x:v>
      </x:c>
      <x:c r="U706" s="146" t="e">
        <x:f>IF($A706="","",[1]!thsiFinD("ths_adjustment_nv_fund",U$3,$A706))</x:f>
        <x:v>#NAME?</x:v>
      </x:c>
      <x:c r="V706" s="146" t="e">
        <x:f>IF($A706="","",[1]!thsiFinD("ths_adjustment_nv_fund",V$3,$A706))</x:f>
        <x:v>#NAME?</x:v>
      </x:c>
      <x:c r="W706" s="146" t="e">
        <x:f>IF($A706="","",[1]!thsiFinD("ths_adjustment_nv_fund",W$3,$A706))</x:f>
        <x:v>#NAME?</x:v>
      </x:c>
      <x:c r="X706" s="146" t="e">
        <x:f>IF($A706="","",[1]!thsiFinD("ths_adjustment_nv_fund",X$3,$A706))</x:f>
        <x:v>#NAME?</x:v>
      </x:c>
      <x:c r="Y706" s="146" t="e">
        <x:f>IF($A706="","",[1]!thsiFinD("ths_adjustment_nv_fund",Y$3,$A706))</x:f>
        <x:v>#NAME?</x:v>
      </x:c>
      <x:c r="Z706" s="146" t="e">
        <x:f>IF($A706="","",[1]!thsiFinD("ths_adjustment_nv_fund",Z$3,$A706))</x:f>
        <x:v>#NAME?</x:v>
      </x:c>
      <x:c r="AA706" s="146" t="e">
        <x:f>IF($A706="","",[1]!thsiFinD("ths_adjustment_nv_fund",AA$3,$A706))</x:f>
        <x:v>#NAME?</x:v>
      </x:c>
    </x:row>
    <x:row r="707">
      <x:c r="B707" s="146" t="e">
        <x:f>IF($A707="","",[1]!thsiFinD("ths_adjustment_nv_fund",B$3,$A707))</x:f>
        <x:v>#NAME?</x:v>
      </x:c>
      <x:c r="C707" s="146" t="e">
        <x:f>IF($A707="","",[1]!thsiFinD("ths_adjustment_nv_fund",C$3,$A707))</x:f>
        <x:v>#NAME?</x:v>
      </x:c>
      <x:c r="D707" s="146" t="e">
        <x:f>IF($A707="","",[1]!thsiFinD("ths_adjustment_nv_fund",D$3,$A707))</x:f>
        <x:v>#NAME?</x:v>
      </x:c>
      <x:c r="E707" s="146" t="e">
        <x:f>IF($A707="","",[1]!thsiFinD("ths_adjustment_nv_fund",E$3,$A707))</x:f>
        <x:v>#NAME?</x:v>
      </x:c>
      <x:c r="F707" s="146" t="e">
        <x:f>IF($A707="","",[1]!thsiFinD("ths_adjustment_nv_fund",F$3,$A707))</x:f>
        <x:v>#NAME?</x:v>
      </x:c>
      <x:c r="G707" s="146" t="e">
        <x:f>IF($A707="","",[1]!thsiFinD("ths_adjustment_nv_fund",G$3,$A707))</x:f>
        <x:v>#NAME?</x:v>
      </x:c>
      <x:c r="H707" s="146" t="e">
        <x:f>IF($A707="","",[1]!thsiFinD("ths_adjustment_nv_fund",H$3,$A707))</x:f>
        <x:v>#NAME?</x:v>
      </x:c>
      <x:c r="I707" s="146" t="e">
        <x:f>IF($A707="","",[1]!thsiFinD("ths_adjustment_nv_fund",I$3,$A707))</x:f>
        <x:v>#NAME?</x:v>
      </x:c>
      <x:c r="J707" s="146" t="e">
        <x:f>IF($A707="","",[1]!thsiFinD("ths_adjustment_nv_fund",J$3,$A707))</x:f>
        <x:v>#NAME?</x:v>
      </x:c>
      <x:c r="K707" s="146" t="e">
        <x:f>IF($A707="","",[1]!thsiFinD("ths_adjustment_nv_fund",K$3,$A707))</x:f>
        <x:v>#NAME?</x:v>
      </x:c>
      <x:c r="L707" s="146" t="e">
        <x:f>IF($A707="","",[1]!thsiFinD("ths_adjustment_nv_fund",L$3,$A707))</x:f>
        <x:v>#NAME?</x:v>
      </x:c>
      <x:c r="M707" s="146" t="e">
        <x:f>IF($A707="","",[1]!thsiFinD("ths_adjustment_nv_fund",M$3,$A707))</x:f>
        <x:v>#NAME?</x:v>
      </x:c>
      <x:c r="N707" s="146" t="e">
        <x:f>IF($A707="","",[1]!thsiFinD("ths_adjustment_nv_fund",N$3,$A707))</x:f>
        <x:v>#NAME?</x:v>
      </x:c>
      <x:c r="O707" s="146" t="e">
        <x:f>IF($A707="","",[1]!thsiFinD("ths_adjustment_nv_fund",O$3,$A707))</x:f>
        <x:v>#NAME?</x:v>
      </x:c>
      <x:c r="P707" s="146" t="e">
        <x:f>IF($A707="","",[1]!thsiFinD("ths_adjustment_nv_fund",P$3,$A707))</x:f>
        <x:v>#NAME?</x:v>
      </x:c>
      <x:c r="Q707" s="146" t="e">
        <x:f>IF($A707="","",[1]!thsiFinD("ths_adjustment_nv_fund",Q$3,$A707))</x:f>
        <x:v>#NAME?</x:v>
      </x:c>
      <x:c r="R707" s="146" t="e">
        <x:f>IF($A707="","",[1]!thsiFinD("ths_adjustment_nv_fund",R$3,$A707))</x:f>
        <x:v>#NAME?</x:v>
      </x:c>
      <x:c r="S707" s="146" t="e">
        <x:f>IF($A707="","",[1]!thsiFinD("ths_adjustment_nv_fund",S$3,$A707))</x:f>
        <x:v>#NAME?</x:v>
      </x:c>
      <x:c r="T707" s="146" t="e">
        <x:f>IF($A707="","",[1]!thsiFinD("ths_adjustment_nv_fund",T$3,$A707))</x:f>
        <x:v>#NAME?</x:v>
      </x:c>
      <x:c r="U707" s="146" t="e">
        <x:f>IF($A707="","",[1]!thsiFinD("ths_adjustment_nv_fund",U$3,$A707))</x:f>
        <x:v>#NAME?</x:v>
      </x:c>
      <x:c r="V707" s="146" t="e">
        <x:f>IF($A707="","",[1]!thsiFinD("ths_adjustment_nv_fund",V$3,$A707))</x:f>
        <x:v>#NAME?</x:v>
      </x:c>
      <x:c r="W707" s="146" t="e">
        <x:f>IF($A707="","",[1]!thsiFinD("ths_adjustment_nv_fund",W$3,$A707))</x:f>
        <x:v>#NAME?</x:v>
      </x:c>
      <x:c r="X707" s="146" t="e">
        <x:f>IF($A707="","",[1]!thsiFinD("ths_adjustment_nv_fund",X$3,$A707))</x:f>
        <x:v>#NAME?</x:v>
      </x:c>
      <x:c r="Y707" s="146" t="e">
        <x:f>IF($A707="","",[1]!thsiFinD("ths_adjustment_nv_fund",Y$3,$A707))</x:f>
        <x:v>#NAME?</x:v>
      </x:c>
      <x:c r="Z707" s="146" t="e">
        <x:f>IF($A707="","",[1]!thsiFinD("ths_adjustment_nv_fund",Z$3,$A707))</x:f>
        <x:v>#NAME?</x:v>
      </x:c>
      <x:c r="AA707" s="146" t="e">
        <x:f>IF($A707="","",[1]!thsiFinD("ths_adjustment_nv_fund",AA$3,$A707))</x:f>
        <x:v>#NAME?</x:v>
      </x:c>
    </x:row>
    <x:row r="708">
      <x:c r="B708" s="146" t="e">
        <x:f>IF($A708="","",[1]!thsiFinD("ths_adjustment_nv_fund",B$3,$A708))</x:f>
        <x:v>#NAME?</x:v>
      </x:c>
      <x:c r="C708" s="146" t="e">
        <x:f>IF($A708="","",[1]!thsiFinD("ths_adjustment_nv_fund",C$3,$A708))</x:f>
        <x:v>#NAME?</x:v>
      </x:c>
      <x:c r="D708" s="146" t="e">
        <x:f>IF($A708="","",[1]!thsiFinD("ths_adjustment_nv_fund",D$3,$A708))</x:f>
        <x:v>#NAME?</x:v>
      </x:c>
      <x:c r="E708" s="146" t="e">
        <x:f>IF($A708="","",[1]!thsiFinD("ths_adjustment_nv_fund",E$3,$A708))</x:f>
        <x:v>#NAME?</x:v>
      </x:c>
      <x:c r="F708" s="146" t="e">
        <x:f>IF($A708="","",[1]!thsiFinD("ths_adjustment_nv_fund",F$3,$A708))</x:f>
        <x:v>#NAME?</x:v>
      </x:c>
      <x:c r="G708" s="146" t="e">
        <x:f>IF($A708="","",[1]!thsiFinD("ths_adjustment_nv_fund",G$3,$A708))</x:f>
        <x:v>#NAME?</x:v>
      </x:c>
      <x:c r="H708" s="146" t="e">
        <x:f>IF($A708="","",[1]!thsiFinD("ths_adjustment_nv_fund",H$3,$A708))</x:f>
        <x:v>#NAME?</x:v>
      </x:c>
      <x:c r="I708" s="146" t="e">
        <x:f>IF($A708="","",[1]!thsiFinD("ths_adjustment_nv_fund",I$3,$A708))</x:f>
        <x:v>#NAME?</x:v>
      </x:c>
      <x:c r="J708" s="146" t="e">
        <x:f>IF($A708="","",[1]!thsiFinD("ths_adjustment_nv_fund",J$3,$A708))</x:f>
        <x:v>#NAME?</x:v>
      </x:c>
      <x:c r="K708" s="146" t="e">
        <x:f>IF($A708="","",[1]!thsiFinD("ths_adjustment_nv_fund",K$3,$A708))</x:f>
        <x:v>#NAME?</x:v>
      </x:c>
      <x:c r="L708" s="146" t="e">
        <x:f>IF($A708="","",[1]!thsiFinD("ths_adjustment_nv_fund",L$3,$A708))</x:f>
        <x:v>#NAME?</x:v>
      </x:c>
      <x:c r="M708" s="146" t="e">
        <x:f>IF($A708="","",[1]!thsiFinD("ths_adjustment_nv_fund",M$3,$A708))</x:f>
        <x:v>#NAME?</x:v>
      </x:c>
      <x:c r="N708" s="146" t="e">
        <x:f>IF($A708="","",[1]!thsiFinD("ths_adjustment_nv_fund",N$3,$A708))</x:f>
        <x:v>#NAME?</x:v>
      </x:c>
      <x:c r="O708" s="146" t="e">
        <x:f>IF($A708="","",[1]!thsiFinD("ths_adjustment_nv_fund",O$3,$A708))</x:f>
        <x:v>#NAME?</x:v>
      </x:c>
      <x:c r="P708" s="146" t="e">
        <x:f>IF($A708="","",[1]!thsiFinD("ths_adjustment_nv_fund",P$3,$A708))</x:f>
        <x:v>#NAME?</x:v>
      </x:c>
      <x:c r="Q708" s="146" t="e">
        <x:f>IF($A708="","",[1]!thsiFinD("ths_adjustment_nv_fund",Q$3,$A708))</x:f>
        <x:v>#NAME?</x:v>
      </x:c>
      <x:c r="R708" s="146" t="e">
        <x:f>IF($A708="","",[1]!thsiFinD("ths_adjustment_nv_fund",R$3,$A708))</x:f>
        <x:v>#NAME?</x:v>
      </x:c>
      <x:c r="S708" s="146" t="e">
        <x:f>IF($A708="","",[1]!thsiFinD("ths_adjustment_nv_fund",S$3,$A708))</x:f>
        <x:v>#NAME?</x:v>
      </x:c>
      <x:c r="T708" s="146" t="e">
        <x:f>IF($A708="","",[1]!thsiFinD("ths_adjustment_nv_fund",T$3,$A708))</x:f>
        <x:v>#NAME?</x:v>
      </x:c>
      <x:c r="U708" s="146" t="e">
        <x:f>IF($A708="","",[1]!thsiFinD("ths_adjustment_nv_fund",U$3,$A708))</x:f>
        <x:v>#NAME?</x:v>
      </x:c>
      <x:c r="V708" s="146" t="e">
        <x:f>IF($A708="","",[1]!thsiFinD("ths_adjustment_nv_fund",V$3,$A708))</x:f>
        <x:v>#NAME?</x:v>
      </x:c>
      <x:c r="W708" s="146" t="e">
        <x:f>IF($A708="","",[1]!thsiFinD("ths_adjustment_nv_fund",W$3,$A708))</x:f>
        <x:v>#NAME?</x:v>
      </x:c>
      <x:c r="X708" s="146" t="e">
        <x:f>IF($A708="","",[1]!thsiFinD("ths_adjustment_nv_fund",X$3,$A708))</x:f>
        <x:v>#NAME?</x:v>
      </x:c>
      <x:c r="Y708" s="146" t="e">
        <x:f>IF($A708="","",[1]!thsiFinD("ths_adjustment_nv_fund",Y$3,$A708))</x:f>
        <x:v>#NAME?</x:v>
      </x:c>
      <x:c r="Z708" s="146" t="e">
        <x:f>IF($A708="","",[1]!thsiFinD("ths_adjustment_nv_fund",Z$3,$A708))</x:f>
        <x:v>#NAME?</x:v>
      </x:c>
      <x:c r="AA708" s="146" t="e">
        <x:f>IF($A708="","",[1]!thsiFinD("ths_adjustment_nv_fund",AA$3,$A708))</x:f>
        <x:v>#NAME?</x:v>
      </x:c>
    </x:row>
    <x:row r="709">
      <x:c r="B709" s="146" t="e">
        <x:f>IF($A709="","",[1]!thsiFinD("ths_adjustment_nv_fund",B$3,$A709))</x:f>
        <x:v>#NAME?</x:v>
      </x:c>
      <x:c r="C709" s="146" t="e">
        <x:f>IF($A709="","",[1]!thsiFinD("ths_adjustment_nv_fund",C$3,$A709))</x:f>
        <x:v>#NAME?</x:v>
      </x:c>
      <x:c r="D709" s="146" t="e">
        <x:f>IF($A709="","",[1]!thsiFinD("ths_adjustment_nv_fund",D$3,$A709))</x:f>
        <x:v>#NAME?</x:v>
      </x:c>
      <x:c r="E709" s="146" t="e">
        <x:f>IF($A709="","",[1]!thsiFinD("ths_adjustment_nv_fund",E$3,$A709))</x:f>
        <x:v>#NAME?</x:v>
      </x:c>
      <x:c r="F709" s="146" t="e">
        <x:f>IF($A709="","",[1]!thsiFinD("ths_adjustment_nv_fund",F$3,$A709))</x:f>
        <x:v>#NAME?</x:v>
      </x:c>
      <x:c r="G709" s="146" t="e">
        <x:f>IF($A709="","",[1]!thsiFinD("ths_adjustment_nv_fund",G$3,$A709))</x:f>
        <x:v>#NAME?</x:v>
      </x:c>
      <x:c r="H709" s="146" t="e">
        <x:f>IF($A709="","",[1]!thsiFinD("ths_adjustment_nv_fund",H$3,$A709))</x:f>
        <x:v>#NAME?</x:v>
      </x:c>
      <x:c r="I709" s="146" t="e">
        <x:f>IF($A709="","",[1]!thsiFinD("ths_adjustment_nv_fund",I$3,$A709))</x:f>
        <x:v>#NAME?</x:v>
      </x:c>
      <x:c r="J709" s="146" t="e">
        <x:f>IF($A709="","",[1]!thsiFinD("ths_adjustment_nv_fund",J$3,$A709))</x:f>
        <x:v>#NAME?</x:v>
      </x:c>
      <x:c r="K709" s="146" t="e">
        <x:f>IF($A709="","",[1]!thsiFinD("ths_adjustment_nv_fund",K$3,$A709))</x:f>
        <x:v>#NAME?</x:v>
      </x:c>
      <x:c r="L709" s="146" t="e">
        <x:f>IF($A709="","",[1]!thsiFinD("ths_adjustment_nv_fund",L$3,$A709))</x:f>
        <x:v>#NAME?</x:v>
      </x:c>
      <x:c r="M709" s="146" t="e">
        <x:f>IF($A709="","",[1]!thsiFinD("ths_adjustment_nv_fund",M$3,$A709))</x:f>
        <x:v>#NAME?</x:v>
      </x:c>
      <x:c r="N709" s="146" t="e">
        <x:f>IF($A709="","",[1]!thsiFinD("ths_adjustment_nv_fund",N$3,$A709))</x:f>
        <x:v>#NAME?</x:v>
      </x:c>
      <x:c r="O709" s="146" t="e">
        <x:f>IF($A709="","",[1]!thsiFinD("ths_adjustment_nv_fund",O$3,$A709))</x:f>
        <x:v>#NAME?</x:v>
      </x:c>
      <x:c r="P709" s="146" t="e">
        <x:f>IF($A709="","",[1]!thsiFinD("ths_adjustment_nv_fund",P$3,$A709))</x:f>
        <x:v>#NAME?</x:v>
      </x:c>
      <x:c r="Q709" s="146" t="e">
        <x:f>IF($A709="","",[1]!thsiFinD("ths_adjustment_nv_fund",Q$3,$A709))</x:f>
        <x:v>#NAME?</x:v>
      </x:c>
      <x:c r="R709" s="146" t="e">
        <x:f>IF($A709="","",[1]!thsiFinD("ths_adjustment_nv_fund",R$3,$A709))</x:f>
        <x:v>#NAME?</x:v>
      </x:c>
      <x:c r="S709" s="146" t="e">
        <x:f>IF($A709="","",[1]!thsiFinD("ths_adjustment_nv_fund",S$3,$A709))</x:f>
        <x:v>#NAME?</x:v>
      </x:c>
      <x:c r="T709" s="146" t="e">
        <x:f>IF($A709="","",[1]!thsiFinD("ths_adjustment_nv_fund",T$3,$A709))</x:f>
        <x:v>#NAME?</x:v>
      </x:c>
      <x:c r="U709" s="146" t="e">
        <x:f>IF($A709="","",[1]!thsiFinD("ths_adjustment_nv_fund",U$3,$A709))</x:f>
        <x:v>#NAME?</x:v>
      </x:c>
      <x:c r="V709" s="146" t="e">
        <x:f>IF($A709="","",[1]!thsiFinD("ths_adjustment_nv_fund",V$3,$A709))</x:f>
        <x:v>#NAME?</x:v>
      </x:c>
      <x:c r="W709" s="146" t="e">
        <x:f>IF($A709="","",[1]!thsiFinD("ths_adjustment_nv_fund",W$3,$A709))</x:f>
        <x:v>#NAME?</x:v>
      </x:c>
      <x:c r="X709" s="146" t="e">
        <x:f>IF($A709="","",[1]!thsiFinD("ths_adjustment_nv_fund",X$3,$A709))</x:f>
        <x:v>#NAME?</x:v>
      </x:c>
      <x:c r="Y709" s="146" t="e">
        <x:f>IF($A709="","",[1]!thsiFinD("ths_adjustment_nv_fund",Y$3,$A709))</x:f>
        <x:v>#NAME?</x:v>
      </x:c>
      <x:c r="Z709" s="146" t="e">
        <x:f>IF($A709="","",[1]!thsiFinD("ths_adjustment_nv_fund",Z$3,$A709))</x:f>
        <x:v>#NAME?</x:v>
      </x:c>
      <x:c r="AA709" s="146" t="e">
        <x:f>IF($A709="","",[1]!thsiFinD("ths_adjustment_nv_fund",AA$3,$A709))</x:f>
        <x:v>#NAME?</x:v>
      </x:c>
    </x:row>
    <x:row r="710">
      <x:c r="B710" s="146" t="e">
        <x:f>IF($A710="","",[1]!thsiFinD("ths_adjustment_nv_fund",B$3,$A710))</x:f>
        <x:v>#NAME?</x:v>
      </x:c>
      <x:c r="C710" s="146" t="e">
        <x:f>IF($A710="","",[1]!thsiFinD("ths_adjustment_nv_fund",C$3,$A710))</x:f>
        <x:v>#NAME?</x:v>
      </x:c>
      <x:c r="D710" s="146" t="e">
        <x:f>IF($A710="","",[1]!thsiFinD("ths_adjustment_nv_fund",D$3,$A710))</x:f>
        <x:v>#NAME?</x:v>
      </x:c>
      <x:c r="E710" s="146" t="e">
        <x:f>IF($A710="","",[1]!thsiFinD("ths_adjustment_nv_fund",E$3,$A710))</x:f>
        <x:v>#NAME?</x:v>
      </x:c>
      <x:c r="F710" s="146" t="e">
        <x:f>IF($A710="","",[1]!thsiFinD("ths_adjustment_nv_fund",F$3,$A710))</x:f>
        <x:v>#NAME?</x:v>
      </x:c>
      <x:c r="G710" s="146" t="e">
        <x:f>IF($A710="","",[1]!thsiFinD("ths_adjustment_nv_fund",G$3,$A710))</x:f>
        <x:v>#NAME?</x:v>
      </x:c>
      <x:c r="H710" s="146" t="e">
        <x:f>IF($A710="","",[1]!thsiFinD("ths_adjustment_nv_fund",H$3,$A710))</x:f>
        <x:v>#NAME?</x:v>
      </x:c>
      <x:c r="I710" s="146" t="e">
        <x:f>IF($A710="","",[1]!thsiFinD("ths_adjustment_nv_fund",I$3,$A710))</x:f>
        <x:v>#NAME?</x:v>
      </x:c>
      <x:c r="J710" s="146" t="e">
        <x:f>IF($A710="","",[1]!thsiFinD("ths_adjustment_nv_fund",J$3,$A710))</x:f>
        <x:v>#NAME?</x:v>
      </x:c>
      <x:c r="K710" s="146" t="e">
        <x:f>IF($A710="","",[1]!thsiFinD("ths_adjustment_nv_fund",K$3,$A710))</x:f>
        <x:v>#NAME?</x:v>
      </x:c>
      <x:c r="L710" s="146" t="e">
        <x:f>IF($A710="","",[1]!thsiFinD("ths_adjustment_nv_fund",L$3,$A710))</x:f>
        <x:v>#NAME?</x:v>
      </x:c>
      <x:c r="M710" s="146" t="e">
        <x:f>IF($A710="","",[1]!thsiFinD("ths_adjustment_nv_fund",M$3,$A710))</x:f>
        <x:v>#NAME?</x:v>
      </x:c>
      <x:c r="N710" s="146" t="e">
        <x:f>IF($A710="","",[1]!thsiFinD("ths_adjustment_nv_fund",N$3,$A710))</x:f>
        <x:v>#NAME?</x:v>
      </x:c>
      <x:c r="O710" s="146" t="e">
        <x:f>IF($A710="","",[1]!thsiFinD("ths_adjustment_nv_fund",O$3,$A710))</x:f>
        <x:v>#NAME?</x:v>
      </x:c>
      <x:c r="P710" s="146" t="e">
        <x:f>IF($A710="","",[1]!thsiFinD("ths_adjustment_nv_fund",P$3,$A710))</x:f>
        <x:v>#NAME?</x:v>
      </x:c>
      <x:c r="Q710" s="146" t="e">
        <x:f>IF($A710="","",[1]!thsiFinD("ths_adjustment_nv_fund",Q$3,$A710))</x:f>
        <x:v>#NAME?</x:v>
      </x:c>
      <x:c r="R710" s="146" t="e">
        <x:f>IF($A710="","",[1]!thsiFinD("ths_adjustment_nv_fund",R$3,$A710))</x:f>
        <x:v>#NAME?</x:v>
      </x:c>
      <x:c r="S710" s="146" t="e">
        <x:f>IF($A710="","",[1]!thsiFinD("ths_adjustment_nv_fund",S$3,$A710))</x:f>
        <x:v>#NAME?</x:v>
      </x:c>
      <x:c r="T710" s="146" t="e">
        <x:f>IF($A710="","",[1]!thsiFinD("ths_adjustment_nv_fund",T$3,$A710))</x:f>
        <x:v>#NAME?</x:v>
      </x:c>
      <x:c r="U710" s="146" t="e">
        <x:f>IF($A710="","",[1]!thsiFinD("ths_adjustment_nv_fund",U$3,$A710))</x:f>
        <x:v>#NAME?</x:v>
      </x:c>
      <x:c r="V710" s="146" t="e">
        <x:f>IF($A710="","",[1]!thsiFinD("ths_adjustment_nv_fund",V$3,$A710))</x:f>
        <x:v>#NAME?</x:v>
      </x:c>
      <x:c r="W710" s="146" t="e">
        <x:f>IF($A710="","",[1]!thsiFinD("ths_adjustment_nv_fund",W$3,$A710))</x:f>
        <x:v>#NAME?</x:v>
      </x:c>
      <x:c r="X710" s="146" t="e">
        <x:f>IF($A710="","",[1]!thsiFinD("ths_adjustment_nv_fund",X$3,$A710))</x:f>
        <x:v>#NAME?</x:v>
      </x:c>
      <x:c r="Y710" s="146" t="e">
        <x:f>IF($A710="","",[1]!thsiFinD("ths_adjustment_nv_fund",Y$3,$A710))</x:f>
        <x:v>#NAME?</x:v>
      </x:c>
      <x:c r="Z710" s="146" t="e">
        <x:f>IF($A710="","",[1]!thsiFinD("ths_adjustment_nv_fund",Z$3,$A710))</x:f>
        <x:v>#NAME?</x:v>
      </x:c>
      <x:c r="AA710" s="146" t="e">
        <x:f>IF($A710="","",[1]!thsiFinD("ths_adjustment_nv_fund",AA$3,$A710))</x:f>
        <x:v>#NAME?</x:v>
      </x:c>
    </x:row>
    <x:row r="711">
      <x:c r="B711" s="146" t="e">
        <x:f>IF($A711="","",[1]!thsiFinD("ths_adjustment_nv_fund",B$3,$A711))</x:f>
        <x:v>#NAME?</x:v>
      </x:c>
      <x:c r="C711" s="146" t="e">
        <x:f>IF($A711="","",[1]!thsiFinD("ths_adjustment_nv_fund",C$3,$A711))</x:f>
        <x:v>#NAME?</x:v>
      </x:c>
      <x:c r="D711" s="146" t="e">
        <x:f>IF($A711="","",[1]!thsiFinD("ths_adjustment_nv_fund",D$3,$A711))</x:f>
        <x:v>#NAME?</x:v>
      </x:c>
      <x:c r="E711" s="146" t="e">
        <x:f>IF($A711="","",[1]!thsiFinD("ths_adjustment_nv_fund",E$3,$A711))</x:f>
        <x:v>#NAME?</x:v>
      </x:c>
      <x:c r="F711" s="146" t="e">
        <x:f>IF($A711="","",[1]!thsiFinD("ths_adjustment_nv_fund",F$3,$A711))</x:f>
        <x:v>#NAME?</x:v>
      </x:c>
      <x:c r="G711" s="146" t="e">
        <x:f>IF($A711="","",[1]!thsiFinD("ths_adjustment_nv_fund",G$3,$A711))</x:f>
        <x:v>#NAME?</x:v>
      </x:c>
      <x:c r="H711" s="146" t="e">
        <x:f>IF($A711="","",[1]!thsiFinD("ths_adjustment_nv_fund",H$3,$A711))</x:f>
        <x:v>#NAME?</x:v>
      </x:c>
      <x:c r="I711" s="146" t="e">
        <x:f>IF($A711="","",[1]!thsiFinD("ths_adjustment_nv_fund",I$3,$A711))</x:f>
        <x:v>#NAME?</x:v>
      </x:c>
      <x:c r="J711" s="146" t="e">
        <x:f>IF($A711="","",[1]!thsiFinD("ths_adjustment_nv_fund",J$3,$A711))</x:f>
        <x:v>#NAME?</x:v>
      </x:c>
      <x:c r="K711" s="146" t="e">
        <x:f>IF($A711="","",[1]!thsiFinD("ths_adjustment_nv_fund",K$3,$A711))</x:f>
        <x:v>#NAME?</x:v>
      </x:c>
      <x:c r="L711" s="146" t="e">
        <x:f>IF($A711="","",[1]!thsiFinD("ths_adjustment_nv_fund",L$3,$A711))</x:f>
        <x:v>#NAME?</x:v>
      </x:c>
      <x:c r="M711" s="146" t="e">
        <x:f>IF($A711="","",[1]!thsiFinD("ths_adjustment_nv_fund",M$3,$A711))</x:f>
        <x:v>#NAME?</x:v>
      </x:c>
      <x:c r="N711" s="146" t="e">
        <x:f>IF($A711="","",[1]!thsiFinD("ths_adjustment_nv_fund",N$3,$A711))</x:f>
        <x:v>#NAME?</x:v>
      </x:c>
      <x:c r="O711" s="146" t="e">
        <x:f>IF($A711="","",[1]!thsiFinD("ths_adjustment_nv_fund",O$3,$A711))</x:f>
        <x:v>#NAME?</x:v>
      </x:c>
      <x:c r="P711" s="146" t="e">
        <x:f>IF($A711="","",[1]!thsiFinD("ths_adjustment_nv_fund",P$3,$A711))</x:f>
        <x:v>#NAME?</x:v>
      </x:c>
      <x:c r="Q711" s="146" t="e">
        <x:f>IF($A711="","",[1]!thsiFinD("ths_adjustment_nv_fund",Q$3,$A711))</x:f>
        <x:v>#NAME?</x:v>
      </x:c>
      <x:c r="R711" s="146" t="e">
        <x:f>IF($A711="","",[1]!thsiFinD("ths_adjustment_nv_fund",R$3,$A711))</x:f>
        <x:v>#NAME?</x:v>
      </x:c>
      <x:c r="S711" s="146" t="e">
        <x:f>IF($A711="","",[1]!thsiFinD("ths_adjustment_nv_fund",S$3,$A711))</x:f>
        <x:v>#NAME?</x:v>
      </x:c>
      <x:c r="T711" s="146" t="e">
        <x:f>IF($A711="","",[1]!thsiFinD("ths_adjustment_nv_fund",T$3,$A711))</x:f>
        <x:v>#NAME?</x:v>
      </x:c>
      <x:c r="U711" s="146" t="e">
        <x:f>IF($A711="","",[1]!thsiFinD("ths_adjustment_nv_fund",U$3,$A711))</x:f>
        <x:v>#NAME?</x:v>
      </x:c>
      <x:c r="V711" s="146" t="e">
        <x:f>IF($A711="","",[1]!thsiFinD("ths_adjustment_nv_fund",V$3,$A711))</x:f>
        <x:v>#NAME?</x:v>
      </x:c>
      <x:c r="W711" s="146" t="e">
        <x:f>IF($A711="","",[1]!thsiFinD("ths_adjustment_nv_fund",W$3,$A711))</x:f>
        <x:v>#NAME?</x:v>
      </x:c>
      <x:c r="X711" s="146" t="e">
        <x:f>IF($A711="","",[1]!thsiFinD("ths_adjustment_nv_fund",X$3,$A711))</x:f>
        <x:v>#NAME?</x:v>
      </x:c>
      <x:c r="Y711" s="146" t="e">
        <x:f>IF($A711="","",[1]!thsiFinD("ths_adjustment_nv_fund",Y$3,$A711))</x:f>
        <x:v>#NAME?</x:v>
      </x:c>
      <x:c r="Z711" s="146" t="e">
        <x:f>IF($A711="","",[1]!thsiFinD("ths_adjustment_nv_fund",Z$3,$A711))</x:f>
        <x:v>#NAME?</x:v>
      </x:c>
      <x:c r="AA711" s="146" t="e">
        <x:f>IF($A711="","",[1]!thsiFinD("ths_adjustment_nv_fund",AA$3,$A711))</x:f>
        <x:v>#NAME?</x:v>
      </x:c>
    </x:row>
    <x:row r="712">
      <x:c r="B712" s="146" t="e">
        <x:f>IF($A712="","",[1]!thsiFinD("ths_adjustment_nv_fund",B$3,$A712))</x:f>
        <x:v>#NAME?</x:v>
      </x:c>
      <x:c r="C712" s="146" t="e">
        <x:f>IF($A712="","",[1]!thsiFinD("ths_adjustment_nv_fund",C$3,$A712))</x:f>
        <x:v>#NAME?</x:v>
      </x:c>
      <x:c r="D712" s="146" t="e">
        <x:f>IF($A712="","",[1]!thsiFinD("ths_adjustment_nv_fund",D$3,$A712))</x:f>
        <x:v>#NAME?</x:v>
      </x:c>
      <x:c r="E712" s="146" t="e">
        <x:f>IF($A712="","",[1]!thsiFinD("ths_adjustment_nv_fund",E$3,$A712))</x:f>
        <x:v>#NAME?</x:v>
      </x:c>
      <x:c r="F712" s="146" t="e">
        <x:f>IF($A712="","",[1]!thsiFinD("ths_adjustment_nv_fund",F$3,$A712))</x:f>
        <x:v>#NAME?</x:v>
      </x:c>
      <x:c r="G712" s="146" t="e">
        <x:f>IF($A712="","",[1]!thsiFinD("ths_adjustment_nv_fund",G$3,$A712))</x:f>
        <x:v>#NAME?</x:v>
      </x:c>
      <x:c r="H712" s="146" t="e">
        <x:f>IF($A712="","",[1]!thsiFinD("ths_adjustment_nv_fund",H$3,$A712))</x:f>
        <x:v>#NAME?</x:v>
      </x:c>
      <x:c r="I712" s="146" t="e">
        <x:f>IF($A712="","",[1]!thsiFinD("ths_adjustment_nv_fund",I$3,$A712))</x:f>
        <x:v>#NAME?</x:v>
      </x:c>
      <x:c r="J712" s="146" t="e">
        <x:f>IF($A712="","",[1]!thsiFinD("ths_adjustment_nv_fund",J$3,$A712))</x:f>
        <x:v>#NAME?</x:v>
      </x:c>
      <x:c r="K712" s="146" t="e">
        <x:f>IF($A712="","",[1]!thsiFinD("ths_adjustment_nv_fund",K$3,$A712))</x:f>
        <x:v>#NAME?</x:v>
      </x:c>
      <x:c r="L712" s="146" t="e">
        <x:f>IF($A712="","",[1]!thsiFinD("ths_adjustment_nv_fund",L$3,$A712))</x:f>
        <x:v>#NAME?</x:v>
      </x:c>
      <x:c r="M712" s="146" t="e">
        <x:f>IF($A712="","",[1]!thsiFinD("ths_adjustment_nv_fund",M$3,$A712))</x:f>
        <x:v>#NAME?</x:v>
      </x:c>
      <x:c r="N712" s="146" t="e">
        <x:f>IF($A712="","",[1]!thsiFinD("ths_adjustment_nv_fund",N$3,$A712))</x:f>
        <x:v>#NAME?</x:v>
      </x:c>
      <x:c r="O712" s="146" t="e">
        <x:f>IF($A712="","",[1]!thsiFinD("ths_adjustment_nv_fund",O$3,$A712))</x:f>
        <x:v>#NAME?</x:v>
      </x:c>
      <x:c r="P712" s="146" t="e">
        <x:f>IF($A712="","",[1]!thsiFinD("ths_adjustment_nv_fund",P$3,$A712))</x:f>
        <x:v>#NAME?</x:v>
      </x:c>
      <x:c r="Q712" s="146" t="e">
        <x:f>IF($A712="","",[1]!thsiFinD("ths_adjustment_nv_fund",Q$3,$A712))</x:f>
        <x:v>#NAME?</x:v>
      </x:c>
      <x:c r="R712" s="146" t="e">
        <x:f>IF($A712="","",[1]!thsiFinD("ths_adjustment_nv_fund",R$3,$A712))</x:f>
        <x:v>#NAME?</x:v>
      </x:c>
      <x:c r="S712" s="146" t="e">
        <x:f>IF($A712="","",[1]!thsiFinD("ths_adjustment_nv_fund",S$3,$A712))</x:f>
        <x:v>#NAME?</x:v>
      </x:c>
      <x:c r="T712" s="146" t="e">
        <x:f>IF($A712="","",[1]!thsiFinD("ths_adjustment_nv_fund",T$3,$A712))</x:f>
        <x:v>#NAME?</x:v>
      </x:c>
      <x:c r="U712" s="146" t="e">
        <x:f>IF($A712="","",[1]!thsiFinD("ths_adjustment_nv_fund",U$3,$A712))</x:f>
        <x:v>#NAME?</x:v>
      </x:c>
      <x:c r="V712" s="146" t="e">
        <x:f>IF($A712="","",[1]!thsiFinD("ths_adjustment_nv_fund",V$3,$A712))</x:f>
        <x:v>#NAME?</x:v>
      </x:c>
      <x:c r="W712" s="146" t="e">
        <x:f>IF($A712="","",[1]!thsiFinD("ths_adjustment_nv_fund",W$3,$A712))</x:f>
        <x:v>#NAME?</x:v>
      </x:c>
      <x:c r="X712" s="146" t="e">
        <x:f>IF($A712="","",[1]!thsiFinD("ths_adjustment_nv_fund",X$3,$A712))</x:f>
        <x:v>#NAME?</x:v>
      </x:c>
      <x:c r="Y712" s="146" t="e">
        <x:f>IF($A712="","",[1]!thsiFinD("ths_adjustment_nv_fund",Y$3,$A712))</x:f>
        <x:v>#NAME?</x:v>
      </x:c>
      <x:c r="Z712" s="146" t="e">
        <x:f>IF($A712="","",[1]!thsiFinD("ths_adjustment_nv_fund",Z$3,$A712))</x:f>
        <x:v>#NAME?</x:v>
      </x:c>
      <x:c r="AA712" s="146" t="e">
        <x:f>IF($A712="","",[1]!thsiFinD("ths_adjustment_nv_fund",AA$3,$A712))</x:f>
        <x:v>#NAME?</x:v>
      </x:c>
    </x:row>
    <x:row r="713">
      <x:c r="B713" s="146" t="e">
        <x:f>IF($A713="","",[1]!thsiFinD("ths_adjustment_nv_fund",B$3,$A713))</x:f>
        <x:v>#NAME?</x:v>
      </x:c>
      <x:c r="C713" s="146" t="e">
        <x:f>IF($A713="","",[1]!thsiFinD("ths_adjustment_nv_fund",C$3,$A713))</x:f>
        <x:v>#NAME?</x:v>
      </x:c>
      <x:c r="D713" s="146" t="e">
        <x:f>IF($A713="","",[1]!thsiFinD("ths_adjustment_nv_fund",D$3,$A713))</x:f>
        <x:v>#NAME?</x:v>
      </x:c>
      <x:c r="E713" s="146" t="e">
        <x:f>IF($A713="","",[1]!thsiFinD("ths_adjustment_nv_fund",E$3,$A713))</x:f>
        <x:v>#NAME?</x:v>
      </x:c>
      <x:c r="F713" s="146" t="e">
        <x:f>IF($A713="","",[1]!thsiFinD("ths_adjustment_nv_fund",F$3,$A713))</x:f>
        <x:v>#NAME?</x:v>
      </x:c>
      <x:c r="G713" s="146" t="e">
        <x:f>IF($A713="","",[1]!thsiFinD("ths_adjustment_nv_fund",G$3,$A713))</x:f>
        <x:v>#NAME?</x:v>
      </x:c>
      <x:c r="H713" s="146" t="e">
        <x:f>IF($A713="","",[1]!thsiFinD("ths_adjustment_nv_fund",H$3,$A713))</x:f>
        <x:v>#NAME?</x:v>
      </x:c>
      <x:c r="I713" s="146" t="e">
        <x:f>IF($A713="","",[1]!thsiFinD("ths_adjustment_nv_fund",I$3,$A713))</x:f>
        <x:v>#NAME?</x:v>
      </x:c>
      <x:c r="J713" s="146" t="e">
        <x:f>IF($A713="","",[1]!thsiFinD("ths_adjustment_nv_fund",J$3,$A713))</x:f>
        <x:v>#NAME?</x:v>
      </x:c>
      <x:c r="K713" s="146" t="e">
        <x:f>IF($A713="","",[1]!thsiFinD("ths_adjustment_nv_fund",K$3,$A713))</x:f>
        <x:v>#NAME?</x:v>
      </x:c>
      <x:c r="L713" s="146" t="e">
        <x:f>IF($A713="","",[1]!thsiFinD("ths_adjustment_nv_fund",L$3,$A713))</x:f>
        <x:v>#NAME?</x:v>
      </x:c>
      <x:c r="M713" s="146" t="e">
        <x:f>IF($A713="","",[1]!thsiFinD("ths_adjustment_nv_fund",M$3,$A713))</x:f>
        <x:v>#NAME?</x:v>
      </x:c>
      <x:c r="N713" s="146" t="e">
        <x:f>IF($A713="","",[1]!thsiFinD("ths_adjustment_nv_fund",N$3,$A713))</x:f>
        <x:v>#NAME?</x:v>
      </x:c>
      <x:c r="O713" s="146" t="e">
        <x:f>IF($A713="","",[1]!thsiFinD("ths_adjustment_nv_fund",O$3,$A713))</x:f>
        <x:v>#NAME?</x:v>
      </x:c>
      <x:c r="P713" s="146" t="e">
        <x:f>IF($A713="","",[1]!thsiFinD("ths_adjustment_nv_fund",P$3,$A713))</x:f>
        <x:v>#NAME?</x:v>
      </x:c>
      <x:c r="Q713" s="146" t="e">
        <x:f>IF($A713="","",[1]!thsiFinD("ths_adjustment_nv_fund",Q$3,$A713))</x:f>
        <x:v>#NAME?</x:v>
      </x:c>
      <x:c r="R713" s="146" t="e">
        <x:f>IF($A713="","",[1]!thsiFinD("ths_adjustment_nv_fund",R$3,$A713))</x:f>
        <x:v>#NAME?</x:v>
      </x:c>
      <x:c r="S713" s="146" t="e">
        <x:f>IF($A713="","",[1]!thsiFinD("ths_adjustment_nv_fund",S$3,$A713))</x:f>
        <x:v>#NAME?</x:v>
      </x:c>
      <x:c r="T713" s="146" t="e">
        <x:f>IF($A713="","",[1]!thsiFinD("ths_adjustment_nv_fund",T$3,$A713))</x:f>
        <x:v>#NAME?</x:v>
      </x:c>
      <x:c r="U713" s="146" t="e">
        <x:f>IF($A713="","",[1]!thsiFinD("ths_adjustment_nv_fund",U$3,$A713))</x:f>
        <x:v>#NAME?</x:v>
      </x:c>
      <x:c r="V713" s="146" t="e">
        <x:f>IF($A713="","",[1]!thsiFinD("ths_adjustment_nv_fund",V$3,$A713))</x:f>
        <x:v>#NAME?</x:v>
      </x:c>
      <x:c r="W713" s="146" t="e">
        <x:f>IF($A713="","",[1]!thsiFinD("ths_adjustment_nv_fund",W$3,$A713))</x:f>
        <x:v>#NAME?</x:v>
      </x:c>
      <x:c r="X713" s="146" t="e">
        <x:f>IF($A713="","",[1]!thsiFinD("ths_adjustment_nv_fund",X$3,$A713))</x:f>
        <x:v>#NAME?</x:v>
      </x:c>
      <x:c r="Y713" s="146" t="e">
        <x:f>IF($A713="","",[1]!thsiFinD("ths_adjustment_nv_fund",Y$3,$A713))</x:f>
        <x:v>#NAME?</x:v>
      </x:c>
      <x:c r="Z713" s="146" t="e">
        <x:f>IF($A713="","",[1]!thsiFinD("ths_adjustment_nv_fund",Z$3,$A713))</x:f>
        <x:v>#NAME?</x:v>
      </x:c>
      <x:c r="AA713" s="146" t="e">
        <x:f>IF($A713="","",[1]!thsiFinD("ths_adjustment_nv_fund",AA$3,$A713))</x:f>
        <x:v>#NAME?</x:v>
      </x:c>
    </x:row>
    <x:row r="714">
      <x:c r="B714" s="146" t="e">
        <x:f>IF($A714="","",[1]!thsiFinD("ths_adjustment_nv_fund",B$3,$A714))</x:f>
        <x:v>#NAME?</x:v>
      </x:c>
      <x:c r="C714" s="146" t="e">
        <x:f>IF($A714="","",[1]!thsiFinD("ths_adjustment_nv_fund",C$3,$A714))</x:f>
        <x:v>#NAME?</x:v>
      </x:c>
      <x:c r="D714" s="146" t="e">
        <x:f>IF($A714="","",[1]!thsiFinD("ths_adjustment_nv_fund",D$3,$A714))</x:f>
        <x:v>#NAME?</x:v>
      </x:c>
      <x:c r="E714" s="146" t="e">
        <x:f>IF($A714="","",[1]!thsiFinD("ths_adjustment_nv_fund",E$3,$A714))</x:f>
        <x:v>#NAME?</x:v>
      </x:c>
      <x:c r="F714" s="146" t="e">
        <x:f>IF($A714="","",[1]!thsiFinD("ths_adjustment_nv_fund",F$3,$A714))</x:f>
        <x:v>#NAME?</x:v>
      </x:c>
      <x:c r="G714" s="146" t="e">
        <x:f>IF($A714="","",[1]!thsiFinD("ths_adjustment_nv_fund",G$3,$A714))</x:f>
        <x:v>#NAME?</x:v>
      </x:c>
      <x:c r="H714" s="146" t="e">
        <x:f>IF($A714="","",[1]!thsiFinD("ths_adjustment_nv_fund",H$3,$A714))</x:f>
        <x:v>#NAME?</x:v>
      </x:c>
      <x:c r="I714" s="146" t="e">
        <x:f>IF($A714="","",[1]!thsiFinD("ths_adjustment_nv_fund",I$3,$A714))</x:f>
        <x:v>#NAME?</x:v>
      </x:c>
      <x:c r="J714" s="146" t="e">
        <x:f>IF($A714="","",[1]!thsiFinD("ths_adjustment_nv_fund",J$3,$A714))</x:f>
        <x:v>#NAME?</x:v>
      </x:c>
      <x:c r="K714" s="146" t="e">
        <x:f>IF($A714="","",[1]!thsiFinD("ths_adjustment_nv_fund",K$3,$A714))</x:f>
        <x:v>#NAME?</x:v>
      </x:c>
      <x:c r="L714" s="146" t="e">
        <x:f>IF($A714="","",[1]!thsiFinD("ths_adjustment_nv_fund",L$3,$A714))</x:f>
        <x:v>#NAME?</x:v>
      </x:c>
      <x:c r="M714" s="146" t="e">
        <x:f>IF($A714="","",[1]!thsiFinD("ths_adjustment_nv_fund",M$3,$A714))</x:f>
        <x:v>#NAME?</x:v>
      </x:c>
      <x:c r="N714" s="146" t="e">
        <x:f>IF($A714="","",[1]!thsiFinD("ths_adjustment_nv_fund",N$3,$A714))</x:f>
        <x:v>#NAME?</x:v>
      </x:c>
      <x:c r="O714" s="146" t="e">
        <x:f>IF($A714="","",[1]!thsiFinD("ths_adjustment_nv_fund",O$3,$A714))</x:f>
        <x:v>#NAME?</x:v>
      </x:c>
      <x:c r="P714" s="146" t="e">
        <x:f>IF($A714="","",[1]!thsiFinD("ths_adjustment_nv_fund",P$3,$A714))</x:f>
        <x:v>#NAME?</x:v>
      </x:c>
      <x:c r="Q714" s="146" t="e">
        <x:f>IF($A714="","",[1]!thsiFinD("ths_adjustment_nv_fund",Q$3,$A714))</x:f>
        <x:v>#NAME?</x:v>
      </x:c>
      <x:c r="R714" s="146" t="e">
        <x:f>IF($A714="","",[1]!thsiFinD("ths_adjustment_nv_fund",R$3,$A714))</x:f>
        <x:v>#NAME?</x:v>
      </x:c>
      <x:c r="S714" s="146" t="e">
        <x:f>IF($A714="","",[1]!thsiFinD("ths_adjustment_nv_fund",S$3,$A714))</x:f>
        <x:v>#NAME?</x:v>
      </x:c>
      <x:c r="T714" s="146" t="e">
        <x:f>IF($A714="","",[1]!thsiFinD("ths_adjustment_nv_fund",T$3,$A714))</x:f>
        <x:v>#NAME?</x:v>
      </x:c>
      <x:c r="U714" s="146" t="e">
        <x:f>IF($A714="","",[1]!thsiFinD("ths_adjustment_nv_fund",U$3,$A714))</x:f>
        <x:v>#NAME?</x:v>
      </x:c>
      <x:c r="V714" s="146" t="e">
        <x:f>IF($A714="","",[1]!thsiFinD("ths_adjustment_nv_fund",V$3,$A714))</x:f>
        <x:v>#NAME?</x:v>
      </x:c>
      <x:c r="W714" s="146" t="e">
        <x:f>IF($A714="","",[1]!thsiFinD("ths_adjustment_nv_fund",W$3,$A714))</x:f>
        <x:v>#NAME?</x:v>
      </x:c>
      <x:c r="X714" s="146" t="e">
        <x:f>IF($A714="","",[1]!thsiFinD("ths_adjustment_nv_fund",X$3,$A714))</x:f>
        <x:v>#NAME?</x:v>
      </x:c>
      <x:c r="Y714" s="146" t="e">
        <x:f>IF($A714="","",[1]!thsiFinD("ths_adjustment_nv_fund",Y$3,$A714))</x:f>
        <x:v>#NAME?</x:v>
      </x:c>
      <x:c r="Z714" s="146" t="e">
        <x:f>IF($A714="","",[1]!thsiFinD("ths_adjustment_nv_fund",Z$3,$A714))</x:f>
        <x:v>#NAME?</x:v>
      </x:c>
      <x:c r="AA714" s="146" t="e">
        <x:f>IF($A714="","",[1]!thsiFinD("ths_adjustment_nv_fund",AA$3,$A714))</x:f>
        <x:v>#NAME?</x:v>
      </x:c>
    </x:row>
    <x:row r="715">
      <x:c r="B715" s="146" t="e">
        <x:f>IF($A715="","",[1]!thsiFinD("ths_adjustment_nv_fund",B$3,$A715))</x:f>
        <x:v>#NAME?</x:v>
      </x:c>
      <x:c r="C715" s="146" t="e">
        <x:f>IF($A715="","",[1]!thsiFinD("ths_adjustment_nv_fund",C$3,$A715))</x:f>
        <x:v>#NAME?</x:v>
      </x:c>
      <x:c r="D715" s="146" t="e">
        <x:f>IF($A715="","",[1]!thsiFinD("ths_adjustment_nv_fund",D$3,$A715))</x:f>
        <x:v>#NAME?</x:v>
      </x:c>
      <x:c r="E715" s="146" t="e">
        <x:f>IF($A715="","",[1]!thsiFinD("ths_adjustment_nv_fund",E$3,$A715))</x:f>
        <x:v>#NAME?</x:v>
      </x:c>
      <x:c r="F715" s="146" t="e">
        <x:f>IF($A715="","",[1]!thsiFinD("ths_adjustment_nv_fund",F$3,$A715))</x:f>
        <x:v>#NAME?</x:v>
      </x:c>
      <x:c r="G715" s="146" t="e">
        <x:f>IF($A715="","",[1]!thsiFinD("ths_adjustment_nv_fund",G$3,$A715))</x:f>
        <x:v>#NAME?</x:v>
      </x:c>
      <x:c r="H715" s="146" t="e">
        <x:f>IF($A715="","",[1]!thsiFinD("ths_adjustment_nv_fund",H$3,$A715))</x:f>
        <x:v>#NAME?</x:v>
      </x:c>
      <x:c r="I715" s="146" t="e">
        <x:f>IF($A715="","",[1]!thsiFinD("ths_adjustment_nv_fund",I$3,$A715))</x:f>
        <x:v>#NAME?</x:v>
      </x:c>
      <x:c r="J715" s="146" t="e">
        <x:f>IF($A715="","",[1]!thsiFinD("ths_adjustment_nv_fund",J$3,$A715))</x:f>
        <x:v>#NAME?</x:v>
      </x:c>
      <x:c r="K715" s="146" t="e">
        <x:f>IF($A715="","",[1]!thsiFinD("ths_adjustment_nv_fund",K$3,$A715))</x:f>
        <x:v>#NAME?</x:v>
      </x:c>
      <x:c r="L715" s="146" t="e">
        <x:f>IF($A715="","",[1]!thsiFinD("ths_adjustment_nv_fund",L$3,$A715))</x:f>
        <x:v>#NAME?</x:v>
      </x:c>
      <x:c r="M715" s="146" t="e">
        <x:f>IF($A715="","",[1]!thsiFinD("ths_adjustment_nv_fund",M$3,$A715))</x:f>
        <x:v>#NAME?</x:v>
      </x:c>
      <x:c r="N715" s="146" t="e">
        <x:f>IF($A715="","",[1]!thsiFinD("ths_adjustment_nv_fund",N$3,$A715))</x:f>
        <x:v>#NAME?</x:v>
      </x:c>
      <x:c r="O715" s="146" t="e">
        <x:f>IF($A715="","",[1]!thsiFinD("ths_adjustment_nv_fund",O$3,$A715))</x:f>
        <x:v>#NAME?</x:v>
      </x:c>
      <x:c r="P715" s="146" t="e">
        <x:f>IF($A715="","",[1]!thsiFinD("ths_adjustment_nv_fund",P$3,$A715))</x:f>
        <x:v>#NAME?</x:v>
      </x:c>
      <x:c r="Q715" s="146" t="e">
        <x:f>IF($A715="","",[1]!thsiFinD("ths_adjustment_nv_fund",Q$3,$A715))</x:f>
        <x:v>#NAME?</x:v>
      </x:c>
      <x:c r="R715" s="146" t="e">
        <x:f>IF($A715="","",[1]!thsiFinD("ths_adjustment_nv_fund",R$3,$A715))</x:f>
        <x:v>#NAME?</x:v>
      </x:c>
      <x:c r="S715" s="146" t="e">
        <x:f>IF($A715="","",[1]!thsiFinD("ths_adjustment_nv_fund",S$3,$A715))</x:f>
        <x:v>#NAME?</x:v>
      </x:c>
      <x:c r="T715" s="146" t="e">
        <x:f>IF($A715="","",[1]!thsiFinD("ths_adjustment_nv_fund",T$3,$A715))</x:f>
        <x:v>#NAME?</x:v>
      </x:c>
      <x:c r="U715" s="146" t="e">
        <x:f>IF($A715="","",[1]!thsiFinD("ths_adjustment_nv_fund",U$3,$A715))</x:f>
        <x:v>#NAME?</x:v>
      </x:c>
      <x:c r="V715" s="146" t="e">
        <x:f>IF($A715="","",[1]!thsiFinD("ths_adjustment_nv_fund",V$3,$A715))</x:f>
        <x:v>#NAME?</x:v>
      </x:c>
      <x:c r="W715" s="146" t="e">
        <x:f>IF($A715="","",[1]!thsiFinD("ths_adjustment_nv_fund",W$3,$A715))</x:f>
        <x:v>#NAME?</x:v>
      </x:c>
      <x:c r="X715" s="146" t="e">
        <x:f>IF($A715="","",[1]!thsiFinD("ths_adjustment_nv_fund",X$3,$A715))</x:f>
        <x:v>#NAME?</x:v>
      </x:c>
      <x:c r="Y715" s="146" t="e">
        <x:f>IF($A715="","",[1]!thsiFinD("ths_adjustment_nv_fund",Y$3,$A715))</x:f>
        <x:v>#NAME?</x:v>
      </x:c>
      <x:c r="Z715" s="146" t="e">
        <x:f>IF($A715="","",[1]!thsiFinD("ths_adjustment_nv_fund",Z$3,$A715))</x:f>
        <x:v>#NAME?</x:v>
      </x:c>
      <x:c r="AA715" s="146" t="e">
        <x:f>IF($A715="","",[1]!thsiFinD("ths_adjustment_nv_fund",AA$3,$A715))</x:f>
        <x:v>#NAME?</x:v>
      </x:c>
    </x:row>
    <x:row r="716">
      <x:c r="B716" s="146" t="e">
        <x:f>IF($A716="","",[1]!thsiFinD("ths_adjustment_nv_fund",B$3,$A716))</x:f>
        <x:v>#NAME?</x:v>
      </x:c>
      <x:c r="C716" s="146" t="e">
        <x:f>IF($A716="","",[1]!thsiFinD("ths_adjustment_nv_fund",C$3,$A716))</x:f>
        <x:v>#NAME?</x:v>
      </x:c>
      <x:c r="D716" s="146" t="e">
        <x:f>IF($A716="","",[1]!thsiFinD("ths_adjustment_nv_fund",D$3,$A716))</x:f>
        <x:v>#NAME?</x:v>
      </x:c>
      <x:c r="E716" s="146" t="e">
        <x:f>IF($A716="","",[1]!thsiFinD("ths_adjustment_nv_fund",E$3,$A716))</x:f>
        <x:v>#NAME?</x:v>
      </x:c>
      <x:c r="F716" s="146" t="e">
        <x:f>IF($A716="","",[1]!thsiFinD("ths_adjustment_nv_fund",F$3,$A716))</x:f>
        <x:v>#NAME?</x:v>
      </x:c>
      <x:c r="G716" s="146" t="e">
        <x:f>IF($A716="","",[1]!thsiFinD("ths_adjustment_nv_fund",G$3,$A716))</x:f>
        <x:v>#NAME?</x:v>
      </x:c>
      <x:c r="H716" s="146" t="e">
        <x:f>IF($A716="","",[1]!thsiFinD("ths_adjustment_nv_fund",H$3,$A716))</x:f>
        <x:v>#NAME?</x:v>
      </x:c>
      <x:c r="I716" s="146" t="e">
        <x:f>IF($A716="","",[1]!thsiFinD("ths_adjustment_nv_fund",I$3,$A716))</x:f>
        <x:v>#NAME?</x:v>
      </x:c>
      <x:c r="J716" s="146" t="e">
        <x:f>IF($A716="","",[1]!thsiFinD("ths_adjustment_nv_fund",J$3,$A716))</x:f>
        <x:v>#NAME?</x:v>
      </x:c>
      <x:c r="K716" s="146" t="e">
        <x:f>IF($A716="","",[1]!thsiFinD("ths_adjustment_nv_fund",K$3,$A716))</x:f>
        <x:v>#NAME?</x:v>
      </x:c>
      <x:c r="L716" s="146" t="e">
        <x:f>IF($A716="","",[1]!thsiFinD("ths_adjustment_nv_fund",L$3,$A716))</x:f>
        <x:v>#NAME?</x:v>
      </x:c>
      <x:c r="M716" s="146" t="e">
        <x:f>IF($A716="","",[1]!thsiFinD("ths_adjustment_nv_fund",M$3,$A716))</x:f>
        <x:v>#NAME?</x:v>
      </x:c>
      <x:c r="N716" s="146" t="e">
        <x:f>IF($A716="","",[1]!thsiFinD("ths_adjustment_nv_fund",N$3,$A716))</x:f>
        <x:v>#NAME?</x:v>
      </x:c>
      <x:c r="O716" s="146" t="e">
        <x:f>IF($A716="","",[1]!thsiFinD("ths_adjustment_nv_fund",O$3,$A716))</x:f>
        <x:v>#NAME?</x:v>
      </x:c>
      <x:c r="P716" s="146" t="e">
        <x:f>IF($A716="","",[1]!thsiFinD("ths_adjustment_nv_fund",P$3,$A716))</x:f>
        <x:v>#NAME?</x:v>
      </x:c>
      <x:c r="Q716" s="146" t="e">
        <x:f>IF($A716="","",[1]!thsiFinD("ths_adjustment_nv_fund",Q$3,$A716))</x:f>
        <x:v>#NAME?</x:v>
      </x:c>
      <x:c r="R716" s="146" t="e">
        <x:f>IF($A716="","",[1]!thsiFinD("ths_adjustment_nv_fund",R$3,$A716))</x:f>
        <x:v>#NAME?</x:v>
      </x:c>
      <x:c r="S716" s="146" t="e">
        <x:f>IF($A716="","",[1]!thsiFinD("ths_adjustment_nv_fund",S$3,$A716))</x:f>
        <x:v>#NAME?</x:v>
      </x:c>
      <x:c r="T716" s="146" t="e">
        <x:f>IF($A716="","",[1]!thsiFinD("ths_adjustment_nv_fund",T$3,$A716))</x:f>
        <x:v>#NAME?</x:v>
      </x:c>
      <x:c r="U716" s="146" t="e">
        <x:f>IF($A716="","",[1]!thsiFinD("ths_adjustment_nv_fund",U$3,$A716))</x:f>
        <x:v>#NAME?</x:v>
      </x:c>
      <x:c r="V716" s="146" t="e">
        <x:f>IF($A716="","",[1]!thsiFinD("ths_adjustment_nv_fund",V$3,$A716))</x:f>
        <x:v>#NAME?</x:v>
      </x:c>
      <x:c r="W716" s="146" t="e">
        <x:f>IF($A716="","",[1]!thsiFinD("ths_adjustment_nv_fund",W$3,$A716))</x:f>
        <x:v>#NAME?</x:v>
      </x:c>
      <x:c r="X716" s="146" t="e">
        <x:f>IF($A716="","",[1]!thsiFinD("ths_adjustment_nv_fund",X$3,$A716))</x:f>
        <x:v>#NAME?</x:v>
      </x:c>
      <x:c r="Y716" s="146" t="e">
        <x:f>IF($A716="","",[1]!thsiFinD("ths_adjustment_nv_fund",Y$3,$A716))</x:f>
        <x:v>#NAME?</x:v>
      </x:c>
      <x:c r="Z716" s="146" t="e">
        <x:f>IF($A716="","",[1]!thsiFinD("ths_adjustment_nv_fund",Z$3,$A716))</x:f>
        <x:v>#NAME?</x:v>
      </x:c>
      <x:c r="AA716" s="146" t="e">
        <x:f>IF($A716="","",[1]!thsiFinD("ths_adjustment_nv_fund",AA$3,$A716))</x:f>
        <x:v>#NAME?</x:v>
      </x:c>
    </x:row>
    <x:row r="717">
      <x:c r="B717" s="146" t="e">
        <x:f>IF($A717="","",[1]!thsiFinD("ths_adjustment_nv_fund",B$3,$A717))</x:f>
        <x:v>#NAME?</x:v>
      </x:c>
      <x:c r="C717" s="146" t="e">
        <x:f>IF($A717="","",[1]!thsiFinD("ths_adjustment_nv_fund",C$3,$A717))</x:f>
        <x:v>#NAME?</x:v>
      </x:c>
      <x:c r="D717" s="146" t="e">
        <x:f>IF($A717="","",[1]!thsiFinD("ths_adjustment_nv_fund",D$3,$A717))</x:f>
        <x:v>#NAME?</x:v>
      </x:c>
      <x:c r="E717" s="146" t="e">
        <x:f>IF($A717="","",[1]!thsiFinD("ths_adjustment_nv_fund",E$3,$A717))</x:f>
        <x:v>#NAME?</x:v>
      </x:c>
      <x:c r="F717" s="146" t="e">
        <x:f>IF($A717="","",[1]!thsiFinD("ths_adjustment_nv_fund",F$3,$A717))</x:f>
        <x:v>#NAME?</x:v>
      </x:c>
      <x:c r="G717" s="146" t="e">
        <x:f>IF($A717="","",[1]!thsiFinD("ths_adjustment_nv_fund",G$3,$A717))</x:f>
        <x:v>#NAME?</x:v>
      </x:c>
      <x:c r="H717" s="146" t="e">
        <x:f>IF($A717="","",[1]!thsiFinD("ths_adjustment_nv_fund",H$3,$A717))</x:f>
        <x:v>#NAME?</x:v>
      </x:c>
      <x:c r="I717" s="146" t="e">
        <x:f>IF($A717="","",[1]!thsiFinD("ths_adjustment_nv_fund",I$3,$A717))</x:f>
        <x:v>#NAME?</x:v>
      </x:c>
      <x:c r="J717" s="146" t="e">
        <x:f>IF($A717="","",[1]!thsiFinD("ths_adjustment_nv_fund",J$3,$A717))</x:f>
        <x:v>#NAME?</x:v>
      </x:c>
      <x:c r="K717" s="146" t="e">
        <x:f>IF($A717="","",[1]!thsiFinD("ths_adjustment_nv_fund",K$3,$A717))</x:f>
        <x:v>#NAME?</x:v>
      </x:c>
      <x:c r="L717" s="146" t="e">
        <x:f>IF($A717="","",[1]!thsiFinD("ths_adjustment_nv_fund",L$3,$A717))</x:f>
        <x:v>#NAME?</x:v>
      </x:c>
      <x:c r="M717" s="146" t="e">
        <x:f>IF($A717="","",[1]!thsiFinD("ths_adjustment_nv_fund",M$3,$A717))</x:f>
        <x:v>#NAME?</x:v>
      </x:c>
      <x:c r="N717" s="146" t="e">
        <x:f>IF($A717="","",[1]!thsiFinD("ths_adjustment_nv_fund",N$3,$A717))</x:f>
        <x:v>#NAME?</x:v>
      </x:c>
      <x:c r="O717" s="146" t="e">
        <x:f>IF($A717="","",[1]!thsiFinD("ths_adjustment_nv_fund",O$3,$A717))</x:f>
        <x:v>#NAME?</x:v>
      </x:c>
      <x:c r="P717" s="146" t="e">
        <x:f>IF($A717="","",[1]!thsiFinD("ths_adjustment_nv_fund",P$3,$A717))</x:f>
        <x:v>#NAME?</x:v>
      </x:c>
      <x:c r="Q717" s="146" t="e">
        <x:f>IF($A717="","",[1]!thsiFinD("ths_adjustment_nv_fund",Q$3,$A717))</x:f>
        <x:v>#NAME?</x:v>
      </x:c>
      <x:c r="R717" s="146" t="e">
        <x:f>IF($A717="","",[1]!thsiFinD("ths_adjustment_nv_fund",R$3,$A717))</x:f>
        <x:v>#NAME?</x:v>
      </x:c>
      <x:c r="S717" s="146" t="e">
        <x:f>IF($A717="","",[1]!thsiFinD("ths_adjustment_nv_fund",S$3,$A717))</x:f>
        <x:v>#NAME?</x:v>
      </x:c>
      <x:c r="T717" s="146" t="e">
        <x:f>IF($A717="","",[1]!thsiFinD("ths_adjustment_nv_fund",T$3,$A717))</x:f>
        <x:v>#NAME?</x:v>
      </x:c>
      <x:c r="U717" s="146" t="e">
        <x:f>IF($A717="","",[1]!thsiFinD("ths_adjustment_nv_fund",U$3,$A717))</x:f>
        <x:v>#NAME?</x:v>
      </x:c>
      <x:c r="V717" s="146" t="e">
        <x:f>IF($A717="","",[1]!thsiFinD("ths_adjustment_nv_fund",V$3,$A717))</x:f>
        <x:v>#NAME?</x:v>
      </x:c>
      <x:c r="W717" s="146" t="e">
        <x:f>IF($A717="","",[1]!thsiFinD("ths_adjustment_nv_fund",W$3,$A717))</x:f>
        <x:v>#NAME?</x:v>
      </x:c>
      <x:c r="X717" s="146" t="e">
        <x:f>IF($A717="","",[1]!thsiFinD("ths_adjustment_nv_fund",X$3,$A717))</x:f>
        <x:v>#NAME?</x:v>
      </x:c>
      <x:c r="Y717" s="146" t="e">
        <x:f>IF($A717="","",[1]!thsiFinD("ths_adjustment_nv_fund",Y$3,$A717))</x:f>
        <x:v>#NAME?</x:v>
      </x:c>
      <x:c r="Z717" s="146" t="e">
        <x:f>IF($A717="","",[1]!thsiFinD("ths_adjustment_nv_fund",Z$3,$A717))</x:f>
        <x:v>#NAME?</x:v>
      </x:c>
      <x:c r="AA717" s="146" t="e">
        <x:f>IF($A717="","",[1]!thsiFinD("ths_adjustment_nv_fund",AA$3,$A717))</x:f>
        <x:v>#NAME?</x:v>
      </x:c>
    </x:row>
    <x:row r="718">
      <x:c r="B718" s="146" t="e">
        <x:f>IF($A718="","",[1]!thsiFinD("ths_adjustment_nv_fund",B$3,$A718))</x:f>
        <x:v>#NAME?</x:v>
      </x:c>
      <x:c r="C718" s="146" t="e">
        <x:f>IF($A718="","",[1]!thsiFinD("ths_adjustment_nv_fund",C$3,$A718))</x:f>
        <x:v>#NAME?</x:v>
      </x:c>
      <x:c r="D718" s="146" t="e">
        <x:f>IF($A718="","",[1]!thsiFinD("ths_adjustment_nv_fund",D$3,$A718))</x:f>
        <x:v>#NAME?</x:v>
      </x:c>
      <x:c r="E718" s="146" t="e">
        <x:f>IF($A718="","",[1]!thsiFinD("ths_adjustment_nv_fund",E$3,$A718))</x:f>
        <x:v>#NAME?</x:v>
      </x:c>
      <x:c r="F718" s="146" t="e">
        <x:f>IF($A718="","",[1]!thsiFinD("ths_adjustment_nv_fund",F$3,$A718))</x:f>
        <x:v>#NAME?</x:v>
      </x:c>
      <x:c r="G718" s="146" t="e">
        <x:f>IF($A718="","",[1]!thsiFinD("ths_adjustment_nv_fund",G$3,$A718))</x:f>
        <x:v>#NAME?</x:v>
      </x:c>
      <x:c r="H718" s="146" t="e">
        <x:f>IF($A718="","",[1]!thsiFinD("ths_adjustment_nv_fund",H$3,$A718))</x:f>
        <x:v>#NAME?</x:v>
      </x:c>
      <x:c r="I718" s="146" t="e">
        <x:f>IF($A718="","",[1]!thsiFinD("ths_adjustment_nv_fund",I$3,$A718))</x:f>
        <x:v>#NAME?</x:v>
      </x:c>
      <x:c r="J718" s="146" t="e">
        <x:f>IF($A718="","",[1]!thsiFinD("ths_adjustment_nv_fund",J$3,$A718))</x:f>
        <x:v>#NAME?</x:v>
      </x:c>
      <x:c r="K718" s="146" t="e">
        <x:f>IF($A718="","",[1]!thsiFinD("ths_adjustment_nv_fund",K$3,$A718))</x:f>
        <x:v>#NAME?</x:v>
      </x:c>
      <x:c r="L718" s="146" t="e">
        <x:f>IF($A718="","",[1]!thsiFinD("ths_adjustment_nv_fund",L$3,$A718))</x:f>
        <x:v>#NAME?</x:v>
      </x:c>
      <x:c r="M718" s="146" t="e">
        <x:f>IF($A718="","",[1]!thsiFinD("ths_adjustment_nv_fund",M$3,$A718))</x:f>
        <x:v>#NAME?</x:v>
      </x:c>
      <x:c r="N718" s="146" t="e">
        <x:f>IF($A718="","",[1]!thsiFinD("ths_adjustment_nv_fund",N$3,$A718))</x:f>
        <x:v>#NAME?</x:v>
      </x:c>
      <x:c r="O718" s="146" t="e">
        <x:f>IF($A718="","",[1]!thsiFinD("ths_adjustment_nv_fund",O$3,$A718))</x:f>
        <x:v>#NAME?</x:v>
      </x:c>
      <x:c r="P718" s="146" t="e">
        <x:f>IF($A718="","",[1]!thsiFinD("ths_adjustment_nv_fund",P$3,$A718))</x:f>
        <x:v>#NAME?</x:v>
      </x:c>
      <x:c r="Q718" s="146" t="e">
        <x:f>IF($A718="","",[1]!thsiFinD("ths_adjustment_nv_fund",Q$3,$A718))</x:f>
        <x:v>#NAME?</x:v>
      </x:c>
      <x:c r="R718" s="146" t="e">
        <x:f>IF($A718="","",[1]!thsiFinD("ths_adjustment_nv_fund",R$3,$A718))</x:f>
        <x:v>#NAME?</x:v>
      </x:c>
      <x:c r="S718" s="146" t="e">
        <x:f>IF($A718="","",[1]!thsiFinD("ths_adjustment_nv_fund",S$3,$A718))</x:f>
        <x:v>#NAME?</x:v>
      </x:c>
      <x:c r="T718" s="146" t="e">
        <x:f>IF($A718="","",[1]!thsiFinD("ths_adjustment_nv_fund",T$3,$A718))</x:f>
        <x:v>#NAME?</x:v>
      </x:c>
      <x:c r="U718" s="146" t="e">
        <x:f>IF($A718="","",[1]!thsiFinD("ths_adjustment_nv_fund",U$3,$A718))</x:f>
        <x:v>#NAME?</x:v>
      </x:c>
      <x:c r="V718" s="146" t="e">
        <x:f>IF($A718="","",[1]!thsiFinD("ths_adjustment_nv_fund",V$3,$A718))</x:f>
        <x:v>#NAME?</x:v>
      </x:c>
      <x:c r="W718" s="146" t="e">
        <x:f>IF($A718="","",[1]!thsiFinD("ths_adjustment_nv_fund",W$3,$A718))</x:f>
        <x:v>#NAME?</x:v>
      </x:c>
      <x:c r="X718" s="146" t="e">
        <x:f>IF($A718="","",[1]!thsiFinD("ths_adjustment_nv_fund",X$3,$A718))</x:f>
        <x:v>#NAME?</x:v>
      </x:c>
      <x:c r="Y718" s="146" t="e">
        <x:f>IF($A718="","",[1]!thsiFinD("ths_adjustment_nv_fund",Y$3,$A718))</x:f>
        <x:v>#NAME?</x:v>
      </x:c>
      <x:c r="Z718" s="146" t="e">
        <x:f>IF($A718="","",[1]!thsiFinD("ths_adjustment_nv_fund",Z$3,$A718))</x:f>
        <x:v>#NAME?</x:v>
      </x:c>
      <x:c r="AA718" s="146" t="e">
        <x:f>IF($A718="","",[1]!thsiFinD("ths_adjustment_nv_fund",AA$3,$A718))</x:f>
        <x:v>#NAME?</x:v>
      </x:c>
    </x:row>
    <x:row r="719">
      <x:c r="B719" s="146" t="e">
        <x:f>IF($A719="","",[1]!thsiFinD("ths_adjustment_nv_fund",B$3,$A719))</x:f>
        <x:v>#NAME?</x:v>
      </x:c>
      <x:c r="C719" s="146" t="e">
        <x:f>IF($A719="","",[1]!thsiFinD("ths_adjustment_nv_fund",C$3,$A719))</x:f>
        <x:v>#NAME?</x:v>
      </x:c>
      <x:c r="D719" s="146" t="e">
        <x:f>IF($A719="","",[1]!thsiFinD("ths_adjustment_nv_fund",D$3,$A719))</x:f>
        <x:v>#NAME?</x:v>
      </x:c>
      <x:c r="E719" s="146" t="e">
        <x:f>IF($A719="","",[1]!thsiFinD("ths_adjustment_nv_fund",E$3,$A719))</x:f>
        <x:v>#NAME?</x:v>
      </x:c>
      <x:c r="F719" s="146" t="e">
        <x:f>IF($A719="","",[1]!thsiFinD("ths_adjustment_nv_fund",F$3,$A719))</x:f>
        <x:v>#NAME?</x:v>
      </x:c>
      <x:c r="G719" s="146" t="e">
        <x:f>IF($A719="","",[1]!thsiFinD("ths_adjustment_nv_fund",G$3,$A719))</x:f>
        <x:v>#NAME?</x:v>
      </x:c>
      <x:c r="H719" s="146" t="e">
        <x:f>IF($A719="","",[1]!thsiFinD("ths_adjustment_nv_fund",H$3,$A719))</x:f>
        <x:v>#NAME?</x:v>
      </x:c>
      <x:c r="I719" s="146" t="e">
        <x:f>IF($A719="","",[1]!thsiFinD("ths_adjustment_nv_fund",I$3,$A719))</x:f>
        <x:v>#NAME?</x:v>
      </x:c>
      <x:c r="J719" s="146" t="e">
        <x:f>IF($A719="","",[1]!thsiFinD("ths_adjustment_nv_fund",J$3,$A719))</x:f>
        <x:v>#NAME?</x:v>
      </x:c>
      <x:c r="K719" s="146" t="e">
        <x:f>IF($A719="","",[1]!thsiFinD("ths_adjustment_nv_fund",K$3,$A719))</x:f>
        <x:v>#NAME?</x:v>
      </x:c>
      <x:c r="L719" s="146" t="e">
        <x:f>IF($A719="","",[1]!thsiFinD("ths_adjustment_nv_fund",L$3,$A719))</x:f>
        <x:v>#NAME?</x:v>
      </x:c>
      <x:c r="M719" s="146" t="e">
        <x:f>IF($A719="","",[1]!thsiFinD("ths_adjustment_nv_fund",M$3,$A719))</x:f>
        <x:v>#NAME?</x:v>
      </x:c>
      <x:c r="N719" s="146" t="e">
        <x:f>IF($A719="","",[1]!thsiFinD("ths_adjustment_nv_fund",N$3,$A719))</x:f>
        <x:v>#NAME?</x:v>
      </x:c>
      <x:c r="O719" s="146" t="e">
        <x:f>IF($A719="","",[1]!thsiFinD("ths_adjustment_nv_fund",O$3,$A719))</x:f>
        <x:v>#NAME?</x:v>
      </x:c>
      <x:c r="P719" s="146" t="e">
        <x:f>IF($A719="","",[1]!thsiFinD("ths_adjustment_nv_fund",P$3,$A719))</x:f>
        <x:v>#NAME?</x:v>
      </x:c>
      <x:c r="Q719" s="146" t="e">
        <x:f>IF($A719="","",[1]!thsiFinD("ths_adjustment_nv_fund",Q$3,$A719))</x:f>
        <x:v>#NAME?</x:v>
      </x:c>
      <x:c r="R719" s="146" t="e">
        <x:f>IF($A719="","",[1]!thsiFinD("ths_adjustment_nv_fund",R$3,$A719))</x:f>
        <x:v>#NAME?</x:v>
      </x:c>
      <x:c r="S719" s="146" t="e">
        <x:f>IF($A719="","",[1]!thsiFinD("ths_adjustment_nv_fund",S$3,$A719))</x:f>
        <x:v>#NAME?</x:v>
      </x:c>
      <x:c r="T719" s="146" t="e">
        <x:f>IF($A719="","",[1]!thsiFinD("ths_adjustment_nv_fund",T$3,$A719))</x:f>
        <x:v>#NAME?</x:v>
      </x:c>
      <x:c r="U719" s="146" t="e">
        <x:f>IF($A719="","",[1]!thsiFinD("ths_adjustment_nv_fund",U$3,$A719))</x:f>
        <x:v>#NAME?</x:v>
      </x:c>
      <x:c r="V719" s="146" t="e">
        <x:f>IF($A719="","",[1]!thsiFinD("ths_adjustment_nv_fund",V$3,$A719))</x:f>
        <x:v>#NAME?</x:v>
      </x:c>
      <x:c r="W719" s="146" t="e">
        <x:f>IF($A719="","",[1]!thsiFinD("ths_adjustment_nv_fund",W$3,$A719))</x:f>
        <x:v>#NAME?</x:v>
      </x:c>
      <x:c r="X719" s="146" t="e">
        <x:f>IF($A719="","",[1]!thsiFinD("ths_adjustment_nv_fund",X$3,$A719))</x:f>
        <x:v>#NAME?</x:v>
      </x:c>
      <x:c r="Y719" s="146" t="e">
        <x:f>IF($A719="","",[1]!thsiFinD("ths_adjustment_nv_fund",Y$3,$A719))</x:f>
        <x:v>#NAME?</x:v>
      </x:c>
      <x:c r="Z719" s="146" t="e">
        <x:f>IF($A719="","",[1]!thsiFinD("ths_adjustment_nv_fund",Z$3,$A719))</x:f>
        <x:v>#NAME?</x:v>
      </x:c>
      <x:c r="AA719" s="146" t="e">
        <x:f>IF($A719="","",[1]!thsiFinD("ths_adjustment_nv_fund",AA$3,$A719))</x:f>
        <x:v>#NAME?</x:v>
      </x:c>
    </x:row>
    <x:row r="720">
      <x:c r="B720" s="146" t="e">
        <x:f>IF($A720="","",[1]!thsiFinD("ths_adjustment_nv_fund",B$3,$A720))</x:f>
        <x:v>#NAME?</x:v>
      </x:c>
      <x:c r="C720" s="146" t="e">
        <x:f>IF($A720="","",[1]!thsiFinD("ths_adjustment_nv_fund",C$3,$A720))</x:f>
        <x:v>#NAME?</x:v>
      </x:c>
      <x:c r="D720" s="146" t="e">
        <x:f>IF($A720="","",[1]!thsiFinD("ths_adjustment_nv_fund",D$3,$A720))</x:f>
        <x:v>#NAME?</x:v>
      </x:c>
      <x:c r="E720" s="146" t="e">
        <x:f>IF($A720="","",[1]!thsiFinD("ths_adjustment_nv_fund",E$3,$A720))</x:f>
        <x:v>#NAME?</x:v>
      </x:c>
      <x:c r="F720" s="146" t="e">
        <x:f>IF($A720="","",[1]!thsiFinD("ths_adjustment_nv_fund",F$3,$A720))</x:f>
        <x:v>#NAME?</x:v>
      </x:c>
      <x:c r="G720" s="146" t="e">
        <x:f>IF($A720="","",[1]!thsiFinD("ths_adjustment_nv_fund",G$3,$A720))</x:f>
        <x:v>#NAME?</x:v>
      </x:c>
      <x:c r="H720" s="146" t="e">
        <x:f>IF($A720="","",[1]!thsiFinD("ths_adjustment_nv_fund",H$3,$A720))</x:f>
        <x:v>#NAME?</x:v>
      </x:c>
      <x:c r="I720" s="146" t="e">
        <x:f>IF($A720="","",[1]!thsiFinD("ths_adjustment_nv_fund",I$3,$A720))</x:f>
        <x:v>#NAME?</x:v>
      </x:c>
      <x:c r="J720" s="146" t="e">
        <x:f>IF($A720="","",[1]!thsiFinD("ths_adjustment_nv_fund",J$3,$A720))</x:f>
        <x:v>#NAME?</x:v>
      </x:c>
      <x:c r="K720" s="146" t="e">
        <x:f>IF($A720="","",[1]!thsiFinD("ths_adjustment_nv_fund",K$3,$A720))</x:f>
        <x:v>#NAME?</x:v>
      </x:c>
      <x:c r="L720" s="146" t="e">
        <x:f>IF($A720="","",[1]!thsiFinD("ths_adjustment_nv_fund",L$3,$A720))</x:f>
        <x:v>#NAME?</x:v>
      </x:c>
      <x:c r="M720" s="146" t="e">
        <x:f>IF($A720="","",[1]!thsiFinD("ths_adjustment_nv_fund",M$3,$A720))</x:f>
        <x:v>#NAME?</x:v>
      </x:c>
      <x:c r="N720" s="146" t="e">
        <x:f>IF($A720="","",[1]!thsiFinD("ths_adjustment_nv_fund",N$3,$A720))</x:f>
        <x:v>#NAME?</x:v>
      </x:c>
      <x:c r="O720" s="146" t="e">
        <x:f>IF($A720="","",[1]!thsiFinD("ths_adjustment_nv_fund",O$3,$A720))</x:f>
        <x:v>#NAME?</x:v>
      </x:c>
      <x:c r="P720" s="146" t="e">
        <x:f>IF($A720="","",[1]!thsiFinD("ths_adjustment_nv_fund",P$3,$A720))</x:f>
        <x:v>#NAME?</x:v>
      </x:c>
      <x:c r="Q720" s="146" t="e">
        <x:f>IF($A720="","",[1]!thsiFinD("ths_adjustment_nv_fund",Q$3,$A720))</x:f>
        <x:v>#NAME?</x:v>
      </x:c>
      <x:c r="R720" s="146" t="e">
        <x:f>IF($A720="","",[1]!thsiFinD("ths_adjustment_nv_fund",R$3,$A720))</x:f>
        <x:v>#NAME?</x:v>
      </x:c>
      <x:c r="S720" s="146" t="e">
        <x:f>IF($A720="","",[1]!thsiFinD("ths_adjustment_nv_fund",S$3,$A720))</x:f>
        <x:v>#NAME?</x:v>
      </x:c>
      <x:c r="T720" s="146" t="e">
        <x:f>IF($A720="","",[1]!thsiFinD("ths_adjustment_nv_fund",T$3,$A720))</x:f>
        <x:v>#NAME?</x:v>
      </x:c>
      <x:c r="U720" s="146" t="e">
        <x:f>IF($A720="","",[1]!thsiFinD("ths_adjustment_nv_fund",U$3,$A720))</x:f>
        <x:v>#NAME?</x:v>
      </x:c>
      <x:c r="V720" s="146" t="e">
        <x:f>IF($A720="","",[1]!thsiFinD("ths_adjustment_nv_fund",V$3,$A720))</x:f>
        <x:v>#NAME?</x:v>
      </x:c>
      <x:c r="W720" s="146" t="e">
        <x:f>IF($A720="","",[1]!thsiFinD("ths_adjustment_nv_fund",W$3,$A720))</x:f>
        <x:v>#NAME?</x:v>
      </x:c>
      <x:c r="X720" s="146" t="e">
        <x:f>IF($A720="","",[1]!thsiFinD("ths_adjustment_nv_fund",X$3,$A720))</x:f>
        <x:v>#NAME?</x:v>
      </x:c>
      <x:c r="Y720" s="146" t="e">
        <x:f>IF($A720="","",[1]!thsiFinD("ths_adjustment_nv_fund",Y$3,$A720))</x:f>
        <x:v>#NAME?</x:v>
      </x:c>
      <x:c r="Z720" s="146" t="e">
        <x:f>IF($A720="","",[1]!thsiFinD("ths_adjustment_nv_fund",Z$3,$A720))</x:f>
        <x:v>#NAME?</x:v>
      </x:c>
      <x:c r="AA720" s="146" t="e">
        <x:f>IF($A720="","",[1]!thsiFinD("ths_adjustment_nv_fund",AA$3,$A720))</x:f>
        <x:v>#NAME?</x:v>
      </x:c>
    </x:row>
    <x:row r="721">
      <x:c r="B721" s="146" t="e">
        <x:f>IF($A721="","",[1]!thsiFinD("ths_adjustment_nv_fund",B$3,$A721))</x:f>
        <x:v>#NAME?</x:v>
      </x:c>
      <x:c r="C721" s="146" t="e">
        <x:f>IF($A721="","",[1]!thsiFinD("ths_adjustment_nv_fund",C$3,$A721))</x:f>
        <x:v>#NAME?</x:v>
      </x:c>
      <x:c r="D721" s="146" t="e">
        <x:f>IF($A721="","",[1]!thsiFinD("ths_adjustment_nv_fund",D$3,$A721))</x:f>
        <x:v>#NAME?</x:v>
      </x:c>
      <x:c r="E721" s="146" t="e">
        <x:f>IF($A721="","",[1]!thsiFinD("ths_adjustment_nv_fund",E$3,$A721))</x:f>
        <x:v>#NAME?</x:v>
      </x:c>
      <x:c r="F721" s="146" t="e">
        <x:f>IF($A721="","",[1]!thsiFinD("ths_adjustment_nv_fund",F$3,$A721))</x:f>
        <x:v>#NAME?</x:v>
      </x:c>
      <x:c r="G721" s="146" t="e">
        <x:f>IF($A721="","",[1]!thsiFinD("ths_adjustment_nv_fund",G$3,$A721))</x:f>
        <x:v>#NAME?</x:v>
      </x:c>
      <x:c r="H721" s="146" t="e">
        <x:f>IF($A721="","",[1]!thsiFinD("ths_adjustment_nv_fund",H$3,$A721))</x:f>
        <x:v>#NAME?</x:v>
      </x:c>
      <x:c r="I721" s="146" t="e">
        <x:f>IF($A721="","",[1]!thsiFinD("ths_adjustment_nv_fund",I$3,$A721))</x:f>
        <x:v>#NAME?</x:v>
      </x:c>
      <x:c r="J721" s="146" t="e">
        <x:f>IF($A721="","",[1]!thsiFinD("ths_adjustment_nv_fund",J$3,$A721))</x:f>
        <x:v>#NAME?</x:v>
      </x:c>
      <x:c r="K721" s="146" t="e">
        <x:f>IF($A721="","",[1]!thsiFinD("ths_adjustment_nv_fund",K$3,$A721))</x:f>
        <x:v>#NAME?</x:v>
      </x:c>
      <x:c r="L721" s="146" t="e">
        <x:f>IF($A721="","",[1]!thsiFinD("ths_adjustment_nv_fund",L$3,$A721))</x:f>
        <x:v>#NAME?</x:v>
      </x:c>
      <x:c r="M721" s="146" t="e">
        <x:f>IF($A721="","",[1]!thsiFinD("ths_adjustment_nv_fund",M$3,$A721))</x:f>
        <x:v>#NAME?</x:v>
      </x:c>
      <x:c r="N721" s="146" t="e">
        <x:f>IF($A721="","",[1]!thsiFinD("ths_adjustment_nv_fund",N$3,$A721))</x:f>
        <x:v>#NAME?</x:v>
      </x:c>
      <x:c r="O721" s="146" t="e">
        <x:f>IF($A721="","",[1]!thsiFinD("ths_adjustment_nv_fund",O$3,$A721))</x:f>
        <x:v>#NAME?</x:v>
      </x:c>
      <x:c r="P721" s="146" t="e">
        <x:f>IF($A721="","",[1]!thsiFinD("ths_adjustment_nv_fund",P$3,$A721))</x:f>
        <x:v>#NAME?</x:v>
      </x:c>
      <x:c r="Q721" s="146" t="e">
        <x:f>IF($A721="","",[1]!thsiFinD("ths_adjustment_nv_fund",Q$3,$A721))</x:f>
        <x:v>#NAME?</x:v>
      </x:c>
      <x:c r="R721" s="146" t="e">
        <x:f>IF($A721="","",[1]!thsiFinD("ths_adjustment_nv_fund",R$3,$A721))</x:f>
        <x:v>#NAME?</x:v>
      </x:c>
      <x:c r="S721" s="146" t="e">
        <x:f>IF($A721="","",[1]!thsiFinD("ths_adjustment_nv_fund",S$3,$A721))</x:f>
        <x:v>#NAME?</x:v>
      </x:c>
      <x:c r="T721" s="146" t="e">
        <x:f>IF($A721="","",[1]!thsiFinD("ths_adjustment_nv_fund",T$3,$A721))</x:f>
        <x:v>#NAME?</x:v>
      </x:c>
      <x:c r="U721" s="146" t="e">
        <x:f>IF($A721="","",[1]!thsiFinD("ths_adjustment_nv_fund",U$3,$A721))</x:f>
        <x:v>#NAME?</x:v>
      </x:c>
      <x:c r="V721" s="146" t="e">
        <x:f>IF($A721="","",[1]!thsiFinD("ths_adjustment_nv_fund",V$3,$A721))</x:f>
        <x:v>#NAME?</x:v>
      </x:c>
      <x:c r="W721" s="146" t="e">
        <x:f>IF($A721="","",[1]!thsiFinD("ths_adjustment_nv_fund",W$3,$A721))</x:f>
        <x:v>#NAME?</x:v>
      </x:c>
      <x:c r="X721" s="146" t="e">
        <x:f>IF($A721="","",[1]!thsiFinD("ths_adjustment_nv_fund",X$3,$A721))</x:f>
        <x:v>#NAME?</x:v>
      </x:c>
      <x:c r="Y721" s="146" t="e">
        <x:f>IF($A721="","",[1]!thsiFinD("ths_adjustment_nv_fund",Y$3,$A721))</x:f>
        <x:v>#NAME?</x:v>
      </x:c>
      <x:c r="Z721" s="146" t="e">
        <x:f>IF($A721="","",[1]!thsiFinD("ths_adjustment_nv_fund",Z$3,$A721))</x:f>
        <x:v>#NAME?</x:v>
      </x:c>
      <x:c r="AA721" s="146" t="e">
        <x:f>IF($A721="","",[1]!thsiFinD("ths_adjustment_nv_fund",AA$3,$A721))</x:f>
        <x:v>#NAME?</x:v>
      </x:c>
    </x:row>
    <x:row r="722">
      <x:c r="B722" s="146" t="e">
        <x:f>IF($A722="","",[1]!thsiFinD("ths_adjustment_nv_fund",B$3,$A722))</x:f>
        <x:v>#NAME?</x:v>
      </x:c>
      <x:c r="C722" s="146" t="e">
        <x:f>IF($A722="","",[1]!thsiFinD("ths_adjustment_nv_fund",C$3,$A722))</x:f>
        <x:v>#NAME?</x:v>
      </x:c>
      <x:c r="D722" s="146" t="e">
        <x:f>IF($A722="","",[1]!thsiFinD("ths_adjustment_nv_fund",D$3,$A722))</x:f>
        <x:v>#NAME?</x:v>
      </x:c>
      <x:c r="E722" s="146" t="e">
        <x:f>IF($A722="","",[1]!thsiFinD("ths_adjustment_nv_fund",E$3,$A722))</x:f>
        <x:v>#NAME?</x:v>
      </x:c>
      <x:c r="F722" s="146" t="e">
        <x:f>IF($A722="","",[1]!thsiFinD("ths_adjustment_nv_fund",F$3,$A722))</x:f>
        <x:v>#NAME?</x:v>
      </x:c>
      <x:c r="G722" s="146" t="e">
        <x:f>IF($A722="","",[1]!thsiFinD("ths_adjustment_nv_fund",G$3,$A722))</x:f>
        <x:v>#NAME?</x:v>
      </x:c>
      <x:c r="H722" s="146" t="e">
        <x:f>IF($A722="","",[1]!thsiFinD("ths_adjustment_nv_fund",H$3,$A722))</x:f>
        <x:v>#NAME?</x:v>
      </x:c>
      <x:c r="I722" s="146" t="e">
        <x:f>IF($A722="","",[1]!thsiFinD("ths_adjustment_nv_fund",I$3,$A722))</x:f>
        <x:v>#NAME?</x:v>
      </x:c>
      <x:c r="J722" s="146" t="e">
        <x:f>IF($A722="","",[1]!thsiFinD("ths_adjustment_nv_fund",J$3,$A722))</x:f>
        <x:v>#NAME?</x:v>
      </x:c>
      <x:c r="K722" s="146" t="e">
        <x:f>IF($A722="","",[1]!thsiFinD("ths_adjustment_nv_fund",K$3,$A722))</x:f>
        <x:v>#NAME?</x:v>
      </x:c>
      <x:c r="L722" s="146" t="e">
        <x:f>IF($A722="","",[1]!thsiFinD("ths_adjustment_nv_fund",L$3,$A722))</x:f>
        <x:v>#NAME?</x:v>
      </x:c>
      <x:c r="M722" s="146" t="e">
        <x:f>IF($A722="","",[1]!thsiFinD("ths_adjustment_nv_fund",M$3,$A722))</x:f>
        <x:v>#NAME?</x:v>
      </x:c>
      <x:c r="N722" s="146" t="e">
        <x:f>IF($A722="","",[1]!thsiFinD("ths_adjustment_nv_fund",N$3,$A722))</x:f>
        <x:v>#NAME?</x:v>
      </x:c>
      <x:c r="O722" s="146" t="e">
        <x:f>IF($A722="","",[1]!thsiFinD("ths_adjustment_nv_fund",O$3,$A722))</x:f>
        <x:v>#NAME?</x:v>
      </x:c>
      <x:c r="P722" s="146" t="e">
        <x:f>IF($A722="","",[1]!thsiFinD("ths_adjustment_nv_fund",P$3,$A722))</x:f>
        <x:v>#NAME?</x:v>
      </x:c>
      <x:c r="Q722" s="146" t="e">
        <x:f>IF($A722="","",[1]!thsiFinD("ths_adjustment_nv_fund",Q$3,$A722))</x:f>
        <x:v>#NAME?</x:v>
      </x:c>
      <x:c r="R722" s="146" t="e">
        <x:f>IF($A722="","",[1]!thsiFinD("ths_adjustment_nv_fund",R$3,$A722))</x:f>
        <x:v>#NAME?</x:v>
      </x:c>
      <x:c r="S722" s="146" t="e">
        <x:f>IF($A722="","",[1]!thsiFinD("ths_adjustment_nv_fund",S$3,$A722))</x:f>
        <x:v>#NAME?</x:v>
      </x:c>
      <x:c r="T722" s="146" t="e">
        <x:f>IF($A722="","",[1]!thsiFinD("ths_adjustment_nv_fund",T$3,$A722))</x:f>
        <x:v>#NAME?</x:v>
      </x:c>
      <x:c r="U722" s="146" t="e">
        <x:f>IF($A722="","",[1]!thsiFinD("ths_adjustment_nv_fund",U$3,$A722))</x:f>
        <x:v>#NAME?</x:v>
      </x:c>
      <x:c r="V722" s="146" t="e">
        <x:f>IF($A722="","",[1]!thsiFinD("ths_adjustment_nv_fund",V$3,$A722))</x:f>
        <x:v>#NAME?</x:v>
      </x:c>
      <x:c r="W722" s="146" t="e">
        <x:f>IF($A722="","",[1]!thsiFinD("ths_adjustment_nv_fund",W$3,$A722))</x:f>
        <x:v>#NAME?</x:v>
      </x:c>
      <x:c r="X722" s="146" t="e">
        <x:f>IF($A722="","",[1]!thsiFinD("ths_adjustment_nv_fund",X$3,$A722))</x:f>
        <x:v>#NAME?</x:v>
      </x:c>
      <x:c r="Y722" s="146" t="e">
        <x:f>IF($A722="","",[1]!thsiFinD("ths_adjustment_nv_fund",Y$3,$A722))</x:f>
        <x:v>#NAME?</x:v>
      </x:c>
      <x:c r="Z722" s="146" t="e">
        <x:f>IF($A722="","",[1]!thsiFinD("ths_adjustment_nv_fund",Z$3,$A722))</x:f>
        <x:v>#NAME?</x:v>
      </x:c>
      <x:c r="AA722" s="146" t="e">
        <x:f>IF($A722="","",[1]!thsiFinD("ths_adjustment_nv_fund",AA$3,$A722))</x:f>
        <x:v>#NAME?</x:v>
      </x:c>
    </x:row>
    <x:row r="723">
      <x:c r="B723" s="146" t="e">
        <x:f>IF($A723="","",[1]!thsiFinD("ths_adjustment_nv_fund",B$3,$A723))</x:f>
        <x:v>#NAME?</x:v>
      </x:c>
      <x:c r="C723" s="146" t="e">
        <x:f>IF($A723="","",[1]!thsiFinD("ths_adjustment_nv_fund",C$3,$A723))</x:f>
        <x:v>#NAME?</x:v>
      </x:c>
      <x:c r="D723" s="146" t="e">
        <x:f>IF($A723="","",[1]!thsiFinD("ths_adjustment_nv_fund",D$3,$A723))</x:f>
        <x:v>#NAME?</x:v>
      </x:c>
      <x:c r="E723" s="146" t="e">
        <x:f>IF($A723="","",[1]!thsiFinD("ths_adjustment_nv_fund",E$3,$A723))</x:f>
        <x:v>#NAME?</x:v>
      </x:c>
      <x:c r="F723" s="146" t="e">
        <x:f>IF($A723="","",[1]!thsiFinD("ths_adjustment_nv_fund",F$3,$A723))</x:f>
        <x:v>#NAME?</x:v>
      </x:c>
      <x:c r="G723" s="146" t="e">
        <x:f>IF($A723="","",[1]!thsiFinD("ths_adjustment_nv_fund",G$3,$A723))</x:f>
        <x:v>#NAME?</x:v>
      </x:c>
      <x:c r="H723" s="146" t="e">
        <x:f>IF($A723="","",[1]!thsiFinD("ths_adjustment_nv_fund",H$3,$A723))</x:f>
        <x:v>#NAME?</x:v>
      </x:c>
      <x:c r="I723" s="146" t="e">
        <x:f>IF($A723="","",[1]!thsiFinD("ths_adjustment_nv_fund",I$3,$A723))</x:f>
        <x:v>#NAME?</x:v>
      </x:c>
      <x:c r="J723" s="146" t="e">
        <x:f>IF($A723="","",[1]!thsiFinD("ths_adjustment_nv_fund",J$3,$A723))</x:f>
        <x:v>#NAME?</x:v>
      </x:c>
      <x:c r="K723" s="146" t="e">
        <x:f>IF($A723="","",[1]!thsiFinD("ths_adjustment_nv_fund",K$3,$A723))</x:f>
        <x:v>#NAME?</x:v>
      </x:c>
      <x:c r="L723" s="146" t="e">
        <x:f>IF($A723="","",[1]!thsiFinD("ths_adjustment_nv_fund",L$3,$A723))</x:f>
        <x:v>#NAME?</x:v>
      </x:c>
      <x:c r="M723" s="146" t="e">
        <x:f>IF($A723="","",[1]!thsiFinD("ths_adjustment_nv_fund",M$3,$A723))</x:f>
        <x:v>#NAME?</x:v>
      </x:c>
      <x:c r="N723" s="146" t="e">
        <x:f>IF($A723="","",[1]!thsiFinD("ths_adjustment_nv_fund",N$3,$A723))</x:f>
        <x:v>#NAME?</x:v>
      </x:c>
      <x:c r="O723" s="146" t="e">
        <x:f>IF($A723="","",[1]!thsiFinD("ths_adjustment_nv_fund",O$3,$A723))</x:f>
        <x:v>#NAME?</x:v>
      </x:c>
      <x:c r="P723" s="146" t="e">
        <x:f>IF($A723="","",[1]!thsiFinD("ths_adjustment_nv_fund",P$3,$A723))</x:f>
        <x:v>#NAME?</x:v>
      </x:c>
      <x:c r="Q723" s="146" t="e">
        <x:f>IF($A723="","",[1]!thsiFinD("ths_adjustment_nv_fund",Q$3,$A723))</x:f>
        <x:v>#NAME?</x:v>
      </x:c>
      <x:c r="R723" s="146" t="e">
        <x:f>IF($A723="","",[1]!thsiFinD("ths_adjustment_nv_fund",R$3,$A723))</x:f>
        <x:v>#NAME?</x:v>
      </x:c>
      <x:c r="S723" s="146" t="e">
        <x:f>IF($A723="","",[1]!thsiFinD("ths_adjustment_nv_fund",S$3,$A723))</x:f>
        <x:v>#NAME?</x:v>
      </x:c>
      <x:c r="T723" s="146" t="e">
        <x:f>IF($A723="","",[1]!thsiFinD("ths_adjustment_nv_fund",T$3,$A723))</x:f>
        <x:v>#NAME?</x:v>
      </x:c>
      <x:c r="U723" s="146" t="e">
        <x:f>IF($A723="","",[1]!thsiFinD("ths_adjustment_nv_fund",U$3,$A723))</x:f>
        <x:v>#NAME?</x:v>
      </x:c>
      <x:c r="V723" s="146" t="e">
        <x:f>IF($A723="","",[1]!thsiFinD("ths_adjustment_nv_fund",V$3,$A723))</x:f>
        <x:v>#NAME?</x:v>
      </x:c>
      <x:c r="W723" s="146" t="e">
        <x:f>IF($A723="","",[1]!thsiFinD("ths_adjustment_nv_fund",W$3,$A723))</x:f>
        <x:v>#NAME?</x:v>
      </x:c>
      <x:c r="X723" s="146" t="e">
        <x:f>IF($A723="","",[1]!thsiFinD("ths_adjustment_nv_fund",X$3,$A723))</x:f>
        <x:v>#NAME?</x:v>
      </x:c>
      <x:c r="Y723" s="146" t="e">
        <x:f>IF($A723="","",[1]!thsiFinD("ths_adjustment_nv_fund",Y$3,$A723))</x:f>
        <x:v>#NAME?</x:v>
      </x:c>
      <x:c r="Z723" s="146" t="e">
        <x:f>IF($A723="","",[1]!thsiFinD("ths_adjustment_nv_fund",Z$3,$A723))</x:f>
        <x:v>#NAME?</x:v>
      </x:c>
      <x:c r="AA723" s="146" t="e">
        <x:f>IF($A723="","",[1]!thsiFinD("ths_adjustment_nv_fund",AA$3,$A723))</x:f>
        <x:v>#NAME?</x:v>
      </x:c>
    </x:row>
    <x:row r="724">
      <x:c r="B724" s="146" t="e">
        <x:f>IF($A724="","",[1]!thsiFinD("ths_adjustment_nv_fund",B$3,$A724))</x:f>
        <x:v>#NAME?</x:v>
      </x:c>
      <x:c r="C724" s="146" t="e">
        <x:f>IF($A724="","",[1]!thsiFinD("ths_adjustment_nv_fund",C$3,$A724))</x:f>
        <x:v>#NAME?</x:v>
      </x:c>
      <x:c r="D724" s="146" t="e">
        <x:f>IF($A724="","",[1]!thsiFinD("ths_adjustment_nv_fund",D$3,$A724))</x:f>
        <x:v>#NAME?</x:v>
      </x:c>
      <x:c r="E724" s="146" t="e">
        <x:f>IF($A724="","",[1]!thsiFinD("ths_adjustment_nv_fund",E$3,$A724))</x:f>
        <x:v>#NAME?</x:v>
      </x:c>
      <x:c r="F724" s="146" t="e">
        <x:f>IF($A724="","",[1]!thsiFinD("ths_adjustment_nv_fund",F$3,$A724))</x:f>
        <x:v>#NAME?</x:v>
      </x:c>
      <x:c r="G724" s="146" t="e">
        <x:f>IF($A724="","",[1]!thsiFinD("ths_adjustment_nv_fund",G$3,$A724))</x:f>
        <x:v>#NAME?</x:v>
      </x:c>
      <x:c r="H724" s="146" t="e">
        <x:f>IF($A724="","",[1]!thsiFinD("ths_adjustment_nv_fund",H$3,$A724))</x:f>
        <x:v>#NAME?</x:v>
      </x:c>
      <x:c r="I724" s="146" t="e">
        <x:f>IF($A724="","",[1]!thsiFinD("ths_adjustment_nv_fund",I$3,$A724))</x:f>
        <x:v>#NAME?</x:v>
      </x:c>
      <x:c r="J724" s="146" t="e">
        <x:f>IF($A724="","",[1]!thsiFinD("ths_adjustment_nv_fund",J$3,$A724))</x:f>
        <x:v>#NAME?</x:v>
      </x:c>
      <x:c r="K724" s="146" t="e">
        <x:f>IF($A724="","",[1]!thsiFinD("ths_adjustment_nv_fund",K$3,$A724))</x:f>
        <x:v>#NAME?</x:v>
      </x:c>
      <x:c r="L724" s="146" t="e">
        <x:f>IF($A724="","",[1]!thsiFinD("ths_adjustment_nv_fund",L$3,$A724))</x:f>
        <x:v>#NAME?</x:v>
      </x:c>
      <x:c r="M724" s="146" t="e">
        <x:f>IF($A724="","",[1]!thsiFinD("ths_adjustment_nv_fund",M$3,$A724))</x:f>
        <x:v>#NAME?</x:v>
      </x:c>
      <x:c r="N724" s="146" t="e">
        <x:f>IF($A724="","",[1]!thsiFinD("ths_adjustment_nv_fund",N$3,$A724))</x:f>
        <x:v>#NAME?</x:v>
      </x:c>
      <x:c r="O724" s="146" t="e">
        <x:f>IF($A724="","",[1]!thsiFinD("ths_adjustment_nv_fund",O$3,$A724))</x:f>
        <x:v>#NAME?</x:v>
      </x:c>
      <x:c r="P724" s="146" t="e">
        <x:f>IF($A724="","",[1]!thsiFinD("ths_adjustment_nv_fund",P$3,$A724))</x:f>
        <x:v>#NAME?</x:v>
      </x:c>
      <x:c r="Q724" s="146" t="e">
        <x:f>IF($A724="","",[1]!thsiFinD("ths_adjustment_nv_fund",Q$3,$A724))</x:f>
        <x:v>#NAME?</x:v>
      </x:c>
      <x:c r="R724" s="146" t="e">
        <x:f>IF($A724="","",[1]!thsiFinD("ths_adjustment_nv_fund",R$3,$A724))</x:f>
        <x:v>#NAME?</x:v>
      </x:c>
      <x:c r="S724" s="146" t="e">
        <x:f>IF($A724="","",[1]!thsiFinD("ths_adjustment_nv_fund",S$3,$A724))</x:f>
        <x:v>#NAME?</x:v>
      </x:c>
      <x:c r="T724" s="146" t="e">
        <x:f>IF($A724="","",[1]!thsiFinD("ths_adjustment_nv_fund",T$3,$A724))</x:f>
        <x:v>#NAME?</x:v>
      </x:c>
      <x:c r="U724" s="146" t="e">
        <x:f>IF($A724="","",[1]!thsiFinD("ths_adjustment_nv_fund",U$3,$A724))</x:f>
        <x:v>#NAME?</x:v>
      </x:c>
      <x:c r="V724" s="146" t="e">
        <x:f>IF($A724="","",[1]!thsiFinD("ths_adjustment_nv_fund",V$3,$A724))</x:f>
        <x:v>#NAME?</x:v>
      </x:c>
      <x:c r="W724" s="146" t="e">
        <x:f>IF($A724="","",[1]!thsiFinD("ths_adjustment_nv_fund",W$3,$A724))</x:f>
        <x:v>#NAME?</x:v>
      </x:c>
      <x:c r="X724" s="146" t="e">
        <x:f>IF($A724="","",[1]!thsiFinD("ths_adjustment_nv_fund",X$3,$A724))</x:f>
        <x:v>#NAME?</x:v>
      </x:c>
      <x:c r="Y724" s="146" t="e">
        <x:f>IF($A724="","",[1]!thsiFinD("ths_adjustment_nv_fund",Y$3,$A724))</x:f>
        <x:v>#NAME?</x:v>
      </x:c>
      <x:c r="Z724" s="146" t="e">
        <x:f>IF($A724="","",[1]!thsiFinD("ths_adjustment_nv_fund",Z$3,$A724))</x:f>
        <x:v>#NAME?</x:v>
      </x:c>
      <x:c r="AA724" s="146" t="e">
        <x:f>IF($A724="","",[1]!thsiFinD("ths_adjustment_nv_fund",AA$3,$A724))</x:f>
        <x:v>#NAME?</x:v>
      </x:c>
    </x:row>
    <x:row r="725">
      <x:c r="B725" s="146" t="e">
        <x:f>IF($A725="","",[1]!thsiFinD("ths_adjustment_nv_fund",B$3,$A725))</x:f>
        <x:v>#NAME?</x:v>
      </x:c>
      <x:c r="C725" s="146" t="e">
        <x:f>IF($A725="","",[1]!thsiFinD("ths_adjustment_nv_fund",C$3,$A725))</x:f>
        <x:v>#NAME?</x:v>
      </x:c>
      <x:c r="D725" s="146" t="e">
        <x:f>IF($A725="","",[1]!thsiFinD("ths_adjustment_nv_fund",D$3,$A725))</x:f>
        <x:v>#NAME?</x:v>
      </x:c>
      <x:c r="E725" s="146" t="e">
        <x:f>IF($A725="","",[1]!thsiFinD("ths_adjustment_nv_fund",E$3,$A725))</x:f>
        <x:v>#NAME?</x:v>
      </x:c>
      <x:c r="F725" s="146" t="e">
        <x:f>IF($A725="","",[1]!thsiFinD("ths_adjustment_nv_fund",F$3,$A725))</x:f>
        <x:v>#NAME?</x:v>
      </x:c>
      <x:c r="G725" s="146" t="e">
        <x:f>IF($A725="","",[1]!thsiFinD("ths_adjustment_nv_fund",G$3,$A725))</x:f>
        <x:v>#NAME?</x:v>
      </x:c>
      <x:c r="H725" s="146" t="e">
        <x:f>IF($A725="","",[1]!thsiFinD("ths_adjustment_nv_fund",H$3,$A725))</x:f>
        <x:v>#NAME?</x:v>
      </x:c>
      <x:c r="I725" s="146" t="e">
        <x:f>IF($A725="","",[1]!thsiFinD("ths_adjustment_nv_fund",I$3,$A725))</x:f>
        <x:v>#NAME?</x:v>
      </x:c>
      <x:c r="J725" s="146" t="e">
        <x:f>IF($A725="","",[1]!thsiFinD("ths_adjustment_nv_fund",J$3,$A725))</x:f>
        <x:v>#NAME?</x:v>
      </x:c>
      <x:c r="K725" s="146" t="e">
        <x:f>IF($A725="","",[1]!thsiFinD("ths_adjustment_nv_fund",K$3,$A725))</x:f>
        <x:v>#NAME?</x:v>
      </x:c>
      <x:c r="L725" s="146" t="e">
        <x:f>IF($A725="","",[1]!thsiFinD("ths_adjustment_nv_fund",L$3,$A725))</x:f>
        <x:v>#NAME?</x:v>
      </x:c>
      <x:c r="M725" s="146" t="e">
        <x:f>IF($A725="","",[1]!thsiFinD("ths_adjustment_nv_fund",M$3,$A725))</x:f>
        <x:v>#NAME?</x:v>
      </x:c>
      <x:c r="N725" s="146" t="e">
        <x:f>IF($A725="","",[1]!thsiFinD("ths_adjustment_nv_fund",N$3,$A725))</x:f>
        <x:v>#NAME?</x:v>
      </x:c>
      <x:c r="O725" s="146" t="e">
        <x:f>IF($A725="","",[1]!thsiFinD("ths_adjustment_nv_fund",O$3,$A725))</x:f>
        <x:v>#NAME?</x:v>
      </x:c>
      <x:c r="P725" s="146" t="e">
        <x:f>IF($A725="","",[1]!thsiFinD("ths_adjustment_nv_fund",P$3,$A725))</x:f>
        <x:v>#NAME?</x:v>
      </x:c>
      <x:c r="Q725" s="146" t="e">
        <x:f>IF($A725="","",[1]!thsiFinD("ths_adjustment_nv_fund",Q$3,$A725))</x:f>
        <x:v>#NAME?</x:v>
      </x:c>
      <x:c r="R725" s="146" t="e">
        <x:f>IF($A725="","",[1]!thsiFinD("ths_adjustment_nv_fund",R$3,$A725))</x:f>
        <x:v>#NAME?</x:v>
      </x:c>
      <x:c r="S725" s="146" t="e">
        <x:f>IF($A725="","",[1]!thsiFinD("ths_adjustment_nv_fund",S$3,$A725))</x:f>
        <x:v>#NAME?</x:v>
      </x:c>
      <x:c r="T725" s="146" t="e">
        <x:f>IF($A725="","",[1]!thsiFinD("ths_adjustment_nv_fund",T$3,$A725))</x:f>
        <x:v>#NAME?</x:v>
      </x:c>
      <x:c r="U725" s="146" t="e">
        <x:f>IF($A725="","",[1]!thsiFinD("ths_adjustment_nv_fund",U$3,$A725))</x:f>
        <x:v>#NAME?</x:v>
      </x:c>
      <x:c r="V725" s="146" t="e">
        <x:f>IF($A725="","",[1]!thsiFinD("ths_adjustment_nv_fund",V$3,$A725))</x:f>
        <x:v>#NAME?</x:v>
      </x:c>
      <x:c r="W725" s="146" t="e">
        <x:f>IF($A725="","",[1]!thsiFinD("ths_adjustment_nv_fund",W$3,$A725))</x:f>
        <x:v>#NAME?</x:v>
      </x:c>
      <x:c r="X725" s="146" t="e">
        <x:f>IF($A725="","",[1]!thsiFinD("ths_adjustment_nv_fund",X$3,$A725))</x:f>
        <x:v>#NAME?</x:v>
      </x:c>
      <x:c r="Y725" s="146" t="e">
        <x:f>IF($A725="","",[1]!thsiFinD("ths_adjustment_nv_fund",Y$3,$A725))</x:f>
        <x:v>#NAME?</x:v>
      </x:c>
      <x:c r="Z725" s="146" t="e">
        <x:f>IF($A725="","",[1]!thsiFinD("ths_adjustment_nv_fund",Z$3,$A725))</x:f>
        <x:v>#NAME?</x:v>
      </x:c>
      <x:c r="AA725" s="146" t="e">
        <x:f>IF($A725="","",[1]!thsiFinD("ths_adjustment_nv_fund",AA$3,$A725))</x:f>
        <x:v>#NAME?</x:v>
      </x:c>
    </x:row>
    <x:row r="726">
      <x:c r="B726" s="146" t="e">
        <x:f>IF($A726="","",[1]!thsiFinD("ths_adjustment_nv_fund",B$3,$A726))</x:f>
        <x:v>#NAME?</x:v>
      </x:c>
      <x:c r="C726" s="146" t="e">
        <x:f>IF($A726="","",[1]!thsiFinD("ths_adjustment_nv_fund",C$3,$A726))</x:f>
        <x:v>#NAME?</x:v>
      </x:c>
      <x:c r="D726" s="146" t="e">
        <x:f>IF($A726="","",[1]!thsiFinD("ths_adjustment_nv_fund",D$3,$A726))</x:f>
        <x:v>#NAME?</x:v>
      </x:c>
      <x:c r="E726" s="146" t="e">
        <x:f>IF($A726="","",[1]!thsiFinD("ths_adjustment_nv_fund",E$3,$A726))</x:f>
        <x:v>#NAME?</x:v>
      </x:c>
      <x:c r="F726" s="146" t="e">
        <x:f>IF($A726="","",[1]!thsiFinD("ths_adjustment_nv_fund",F$3,$A726))</x:f>
        <x:v>#NAME?</x:v>
      </x:c>
      <x:c r="G726" s="146" t="e">
        <x:f>IF($A726="","",[1]!thsiFinD("ths_adjustment_nv_fund",G$3,$A726))</x:f>
        <x:v>#NAME?</x:v>
      </x:c>
      <x:c r="H726" s="146" t="e">
        <x:f>IF($A726="","",[1]!thsiFinD("ths_adjustment_nv_fund",H$3,$A726))</x:f>
        <x:v>#NAME?</x:v>
      </x:c>
      <x:c r="I726" s="146" t="e">
        <x:f>IF($A726="","",[1]!thsiFinD("ths_adjustment_nv_fund",I$3,$A726))</x:f>
        <x:v>#NAME?</x:v>
      </x:c>
      <x:c r="J726" s="146" t="e">
        <x:f>IF($A726="","",[1]!thsiFinD("ths_adjustment_nv_fund",J$3,$A726))</x:f>
        <x:v>#NAME?</x:v>
      </x:c>
      <x:c r="K726" s="146" t="e">
        <x:f>IF($A726="","",[1]!thsiFinD("ths_adjustment_nv_fund",K$3,$A726))</x:f>
        <x:v>#NAME?</x:v>
      </x:c>
      <x:c r="L726" s="146" t="e">
        <x:f>IF($A726="","",[1]!thsiFinD("ths_adjustment_nv_fund",L$3,$A726))</x:f>
        <x:v>#NAME?</x:v>
      </x:c>
      <x:c r="M726" s="146" t="e">
        <x:f>IF($A726="","",[1]!thsiFinD("ths_adjustment_nv_fund",M$3,$A726))</x:f>
        <x:v>#NAME?</x:v>
      </x:c>
      <x:c r="N726" s="146" t="e">
        <x:f>IF($A726="","",[1]!thsiFinD("ths_adjustment_nv_fund",N$3,$A726))</x:f>
        <x:v>#NAME?</x:v>
      </x:c>
      <x:c r="O726" s="146" t="e">
        <x:f>IF($A726="","",[1]!thsiFinD("ths_adjustment_nv_fund",O$3,$A726))</x:f>
        <x:v>#NAME?</x:v>
      </x:c>
      <x:c r="P726" s="146" t="e">
        <x:f>IF($A726="","",[1]!thsiFinD("ths_adjustment_nv_fund",P$3,$A726))</x:f>
        <x:v>#NAME?</x:v>
      </x:c>
      <x:c r="Q726" s="146" t="e">
        <x:f>IF($A726="","",[1]!thsiFinD("ths_adjustment_nv_fund",Q$3,$A726))</x:f>
        <x:v>#NAME?</x:v>
      </x:c>
      <x:c r="R726" s="146" t="e">
        <x:f>IF($A726="","",[1]!thsiFinD("ths_adjustment_nv_fund",R$3,$A726))</x:f>
        <x:v>#NAME?</x:v>
      </x:c>
      <x:c r="S726" s="146" t="e">
        <x:f>IF($A726="","",[1]!thsiFinD("ths_adjustment_nv_fund",S$3,$A726))</x:f>
        <x:v>#NAME?</x:v>
      </x:c>
      <x:c r="T726" s="146" t="e">
        <x:f>IF($A726="","",[1]!thsiFinD("ths_adjustment_nv_fund",T$3,$A726))</x:f>
        <x:v>#NAME?</x:v>
      </x:c>
      <x:c r="U726" s="146" t="e">
        <x:f>IF($A726="","",[1]!thsiFinD("ths_adjustment_nv_fund",U$3,$A726))</x:f>
        <x:v>#NAME?</x:v>
      </x:c>
      <x:c r="V726" s="146" t="e">
        <x:f>IF($A726="","",[1]!thsiFinD("ths_adjustment_nv_fund",V$3,$A726))</x:f>
        <x:v>#NAME?</x:v>
      </x:c>
      <x:c r="W726" s="146" t="e">
        <x:f>IF($A726="","",[1]!thsiFinD("ths_adjustment_nv_fund",W$3,$A726))</x:f>
        <x:v>#NAME?</x:v>
      </x:c>
      <x:c r="X726" s="146" t="e">
        <x:f>IF($A726="","",[1]!thsiFinD("ths_adjustment_nv_fund",X$3,$A726))</x:f>
        <x:v>#NAME?</x:v>
      </x:c>
      <x:c r="Y726" s="146" t="e">
        <x:f>IF($A726="","",[1]!thsiFinD("ths_adjustment_nv_fund",Y$3,$A726))</x:f>
        <x:v>#NAME?</x:v>
      </x:c>
      <x:c r="Z726" s="146" t="e">
        <x:f>IF($A726="","",[1]!thsiFinD("ths_adjustment_nv_fund",Z$3,$A726))</x:f>
        <x:v>#NAME?</x:v>
      </x:c>
      <x:c r="AA726" s="146" t="e">
        <x:f>IF($A726="","",[1]!thsiFinD("ths_adjustment_nv_fund",AA$3,$A726))</x:f>
        <x:v>#NAME?</x:v>
      </x:c>
    </x:row>
    <x:row r="727">
      <x:c r="B727" s="146" t="e">
        <x:f>IF($A727="","",[1]!thsiFinD("ths_adjustment_nv_fund",B$3,$A727))</x:f>
        <x:v>#NAME?</x:v>
      </x:c>
      <x:c r="C727" s="146" t="e">
        <x:f>IF($A727="","",[1]!thsiFinD("ths_adjustment_nv_fund",C$3,$A727))</x:f>
        <x:v>#NAME?</x:v>
      </x:c>
      <x:c r="D727" s="146" t="e">
        <x:f>IF($A727="","",[1]!thsiFinD("ths_adjustment_nv_fund",D$3,$A727))</x:f>
        <x:v>#NAME?</x:v>
      </x:c>
      <x:c r="E727" s="146" t="e">
        <x:f>IF($A727="","",[1]!thsiFinD("ths_adjustment_nv_fund",E$3,$A727))</x:f>
        <x:v>#NAME?</x:v>
      </x:c>
      <x:c r="F727" s="146" t="e">
        <x:f>IF($A727="","",[1]!thsiFinD("ths_adjustment_nv_fund",F$3,$A727))</x:f>
        <x:v>#NAME?</x:v>
      </x:c>
      <x:c r="G727" s="146" t="e">
        <x:f>IF($A727="","",[1]!thsiFinD("ths_adjustment_nv_fund",G$3,$A727))</x:f>
        <x:v>#NAME?</x:v>
      </x:c>
      <x:c r="H727" s="146" t="e">
        <x:f>IF($A727="","",[1]!thsiFinD("ths_adjustment_nv_fund",H$3,$A727))</x:f>
        <x:v>#NAME?</x:v>
      </x:c>
      <x:c r="I727" s="146" t="e">
        <x:f>IF($A727="","",[1]!thsiFinD("ths_adjustment_nv_fund",I$3,$A727))</x:f>
        <x:v>#NAME?</x:v>
      </x:c>
      <x:c r="J727" s="146" t="e">
        <x:f>IF($A727="","",[1]!thsiFinD("ths_adjustment_nv_fund",J$3,$A727))</x:f>
        <x:v>#NAME?</x:v>
      </x:c>
      <x:c r="K727" s="146" t="e">
        <x:f>IF($A727="","",[1]!thsiFinD("ths_adjustment_nv_fund",K$3,$A727))</x:f>
        <x:v>#NAME?</x:v>
      </x:c>
      <x:c r="L727" s="146" t="e">
        <x:f>IF($A727="","",[1]!thsiFinD("ths_adjustment_nv_fund",L$3,$A727))</x:f>
        <x:v>#NAME?</x:v>
      </x:c>
      <x:c r="M727" s="146" t="e">
        <x:f>IF($A727="","",[1]!thsiFinD("ths_adjustment_nv_fund",M$3,$A727))</x:f>
        <x:v>#NAME?</x:v>
      </x:c>
      <x:c r="N727" s="146" t="e">
        <x:f>IF($A727="","",[1]!thsiFinD("ths_adjustment_nv_fund",N$3,$A727))</x:f>
        <x:v>#NAME?</x:v>
      </x:c>
      <x:c r="O727" s="146" t="e">
        <x:f>IF($A727="","",[1]!thsiFinD("ths_adjustment_nv_fund",O$3,$A727))</x:f>
        <x:v>#NAME?</x:v>
      </x:c>
      <x:c r="P727" s="146" t="e">
        <x:f>IF($A727="","",[1]!thsiFinD("ths_adjustment_nv_fund",P$3,$A727))</x:f>
        <x:v>#NAME?</x:v>
      </x:c>
      <x:c r="Q727" s="146" t="e">
        <x:f>IF($A727="","",[1]!thsiFinD("ths_adjustment_nv_fund",Q$3,$A727))</x:f>
        <x:v>#NAME?</x:v>
      </x:c>
      <x:c r="R727" s="146" t="e">
        <x:f>IF($A727="","",[1]!thsiFinD("ths_adjustment_nv_fund",R$3,$A727))</x:f>
        <x:v>#NAME?</x:v>
      </x:c>
      <x:c r="S727" s="146" t="e">
        <x:f>IF($A727="","",[1]!thsiFinD("ths_adjustment_nv_fund",S$3,$A727))</x:f>
        <x:v>#NAME?</x:v>
      </x:c>
      <x:c r="T727" s="146" t="e">
        <x:f>IF($A727="","",[1]!thsiFinD("ths_adjustment_nv_fund",T$3,$A727))</x:f>
        <x:v>#NAME?</x:v>
      </x:c>
      <x:c r="U727" s="146" t="e">
        <x:f>IF($A727="","",[1]!thsiFinD("ths_adjustment_nv_fund",U$3,$A727))</x:f>
        <x:v>#NAME?</x:v>
      </x:c>
      <x:c r="V727" s="146" t="e">
        <x:f>IF($A727="","",[1]!thsiFinD("ths_adjustment_nv_fund",V$3,$A727))</x:f>
        <x:v>#NAME?</x:v>
      </x:c>
      <x:c r="W727" s="146" t="e">
        <x:f>IF($A727="","",[1]!thsiFinD("ths_adjustment_nv_fund",W$3,$A727))</x:f>
        <x:v>#NAME?</x:v>
      </x:c>
      <x:c r="X727" s="146" t="e">
        <x:f>IF($A727="","",[1]!thsiFinD("ths_adjustment_nv_fund",X$3,$A727))</x:f>
        <x:v>#NAME?</x:v>
      </x:c>
      <x:c r="Y727" s="146" t="e">
        <x:f>IF($A727="","",[1]!thsiFinD("ths_adjustment_nv_fund",Y$3,$A727))</x:f>
        <x:v>#NAME?</x:v>
      </x:c>
      <x:c r="Z727" s="146" t="e">
        <x:f>IF($A727="","",[1]!thsiFinD("ths_adjustment_nv_fund",Z$3,$A727))</x:f>
        <x:v>#NAME?</x:v>
      </x:c>
      <x:c r="AA727" s="146" t="e">
        <x:f>IF($A727="","",[1]!thsiFinD("ths_adjustment_nv_fund",AA$3,$A727))</x:f>
        <x:v>#NAME?</x:v>
      </x:c>
    </x:row>
    <x:row r="728">
      <x:c r="B728" s="146" t="e">
        <x:f>IF($A728="","",[1]!thsiFinD("ths_adjustment_nv_fund",B$3,$A728))</x:f>
        <x:v>#NAME?</x:v>
      </x:c>
      <x:c r="C728" s="146" t="e">
        <x:f>IF($A728="","",[1]!thsiFinD("ths_adjustment_nv_fund",C$3,$A728))</x:f>
        <x:v>#NAME?</x:v>
      </x:c>
      <x:c r="D728" s="146" t="e">
        <x:f>IF($A728="","",[1]!thsiFinD("ths_adjustment_nv_fund",D$3,$A728))</x:f>
        <x:v>#NAME?</x:v>
      </x:c>
      <x:c r="E728" s="146" t="e">
        <x:f>IF($A728="","",[1]!thsiFinD("ths_adjustment_nv_fund",E$3,$A728))</x:f>
        <x:v>#NAME?</x:v>
      </x:c>
      <x:c r="F728" s="146" t="e">
        <x:f>IF($A728="","",[1]!thsiFinD("ths_adjustment_nv_fund",F$3,$A728))</x:f>
        <x:v>#NAME?</x:v>
      </x:c>
      <x:c r="G728" s="146" t="e">
        <x:f>IF($A728="","",[1]!thsiFinD("ths_adjustment_nv_fund",G$3,$A728))</x:f>
        <x:v>#NAME?</x:v>
      </x:c>
      <x:c r="H728" s="146" t="e">
        <x:f>IF($A728="","",[1]!thsiFinD("ths_adjustment_nv_fund",H$3,$A728))</x:f>
        <x:v>#NAME?</x:v>
      </x:c>
      <x:c r="I728" s="146" t="e">
        <x:f>IF($A728="","",[1]!thsiFinD("ths_adjustment_nv_fund",I$3,$A728))</x:f>
        <x:v>#NAME?</x:v>
      </x:c>
      <x:c r="J728" s="146" t="e">
        <x:f>IF($A728="","",[1]!thsiFinD("ths_adjustment_nv_fund",J$3,$A728))</x:f>
        <x:v>#NAME?</x:v>
      </x:c>
      <x:c r="K728" s="146" t="e">
        <x:f>IF($A728="","",[1]!thsiFinD("ths_adjustment_nv_fund",K$3,$A728))</x:f>
        <x:v>#NAME?</x:v>
      </x:c>
      <x:c r="L728" s="146" t="e">
        <x:f>IF($A728="","",[1]!thsiFinD("ths_adjustment_nv_fund",L$3,$A728))</x:f>
        <x:v>#NAME?</x:v>
      </x:c>
      <x:c r="M728" s="146" t="e">
        <x:f>IF($A728="","",[1]!thsiFinD("ths_adjustment_nv_fund",M$3,$A728))</x:f>
        <x:v>#NAME?</x:v>
      </x:c>
      <x:c r="N728" s="146" t="e">
        <x:f>IF($A728="","",[1]!thsiFinD("ths_adjustment_nv_fund",N$3,$A728))</x:f>
        <x:v>#NAME?</x:v>
      </x:c>
      <x:c r="O728" s="146" t="e">
        <x:f>IF($A728="","",[1]!thsiFinD("ths_adjustment_nv_fund",O$3,$A728))</x:f>
        <x:v>#NAME?</x:v>
      </x:c>
      <x:c r="P728" s="146" t="e">
        <x:f>IF($A728="","",[1]!thsiFinD("ths_adjustment_nv_fund",P$3,$A728))</x:f>
        <x:v>#NAME?</x:v>
      </x:c>
      <x:c r="Q728" s="146" t="e">
        <x:f>IF($A728="","",[1]!thsiFinD("ths_adjustment_nv_fund",Q$3,$A728))</x:f>
        <x:v>#NAME?</x:v>
      </x:c>
      <x:c r="R728" s="146" t="e">
        <x:f>IF($A728="","",[1]!thsiFinD("ths_adjustment_nv_fund",R$3,$A728))</x:f>
        <x:v>#NAME?</x:v>
      </x:c>
      <x:c r="S728" s="146" t="e">
        <x:f>IF($A728="","",[1]!thsiFinD("ths_adjustment_nv_fund",S$3,$A728))</x:f>
        <x:v>#NAME?</x:v>
      </x:c>
      <x:c r="T728" s="146" t="e">
        <x:f>IF($A728="","",[1]!thsiFinD("ths_adjustment_nv_fund",T$3,$A728))</x:f>
        <x:v>#NAME?</x:v>
      </x:c>
      <x:c r="U728" s="146" t="e">
        <x:f>IF($A728="","",[1]!thsiFinD("ths_adjustment_nv_fund",U$3,$A728))</x:f>
        <x:v>#NAME?</x:v>
      </x:c>
      <x:c r="V728" s="146" t="e">
        <x:f>IF($A728="","",[1]!thsiFinD("ths_adjustment_nv_fund",V$3,$A728))</x:f>
        <x:v>#NAME?</x:v>
      </x:c>
      <x:c r="W728" s="146" t="e">
        <x:f>IF($A728="","",[1]!thsiFinD("ths_adjustment_nv_fund",W$3,$A728))</x:f>
        <x:v>#NAME?</x:v>
      </x:c>
      <x:c r="X728" s="146" t="e">
        <x:f>IF($A728="","",[1]!thsiFinD("ths_adjustment_nv_fund",X$3,$A728))</x:f>
        <x:v>#NAME?</x:v>
      </x:c>
      <x:c r="Y728" s="146" t="e">
        <x:f>IF($A728="","",[1]!thsiFinD("ths_adjustment_nv_fund",Y$3,$A728))</x:f>
        <x:v>#NAME?</x:v>
      </x:c>
      <x:c r="Z728" s="146" t="e">
        <x:f>IF($A728="","",[1]!thsiFinD("ths_adjustment_nv_fund",Z$3,$A728))</x:f>
        <x:v>#NAME?</x:v>
      </x:c>
      <x:c r="AA728" s="146" t="e">
        <x:f>IF($A728="","",[1]!thsiFinD("ths_adjustment_nv_fund",AA$3,$A728))</x:f>
        <x:v>#NAME?</x:v>
      </x:c>
    </x:row>
    <x:row r="729">
      <x:c r="B729" s="146" t="e">
        <x:f>IF($A729="","",[1]!thsiFinD("ths_adjustment_nv_fund",B$3,$A729))</x:f>
        <x:v>#NAME?</x:v>
      </x:c>
      <x:c r="C729" s="146" t="e">
        <x:f>IF($A729="","",[1]!thsiFinD("ths_adjustment_nv_fund",C$3,$A729))</x:f>
        <x:v>#NAME?</x:v>
      </x:c>
      <x:c r="D729" s="146" t="e">
        <x:f>IF($A729="","",[1]!thsiFinD("ths_adjustment_nv_fund",D$3,$A729))</x:f>
        <x:v>#NAME?</x:v>
      </x:c>
      <x:c r="E729" s="146" t="e">
        <x:f>IF($A729="","",[1]!thsiFinD("ths_adjustment_nv_fund",E$3,$A729))</x:f>
        <x:v>#NAME?</x:v>
      </x:c>
      <x:c r="F729" s="146" t="e">
        <x:f>IF($A729="","",[1]!thsiFinD("ths_adjustment_nv_fund",F$3,$A729))</x:f>
        <x:v>#NAME?</x:v>
      </x:c>
      <x:c r="G729" s="146" t="e">
        <x:f>IF($A729="","",[1]!thsiFinD("ths_adjustment_nv_fund",G$3,$A729))</x:f>
        <x:v>#NAME?</x:v>
      </x:c>
      <x:c r="H729" s="146" t="e">
        <x:f>IF($A729="","",[1]!thsiFinD("ths_adjustment_nv_fund",H$3,$A729))</x:f>
        <x:v>#NAME?</x:v>
      </x:c>
      <x:c r="I729" s="146" t="e">
        <x:f>IF($A729="","",[1]!thsiFinD("ths_adjustment_nv_fund",I$3,$A729))</x:f>
        <x:v>#NAME?</x:v>
      </x:c>
      <x:c r="J729" s="146" t="e">
        <x:f>IF($A729="","",[1]!thsiFinD("ths_adjustment_nv_fund",J$3,$A729))</x:f>
        <x:v>#NAME?</x:v>
      </x:c>
      <x:c r="K729" s="146" t="e">
        <x:f>IF($A729="","",[1]!thsiFinD("ths_adjustment_nv_fund",K$3,$A729))</x:f>
        <x:v>#NAME?</x:v>
      </x:c>
      <x:c r="L729" s="146" t="e">
        <x:f>IF($A729="","",[1]!thsiFinD("ths_adjustment_nv_fund",L$3,$A729))</x:f>
        <x:v>#NAME?</x:v>
      </x:c>
      <x:c r="M729" s="146" t="e">
        <x:f>IF($A729="","",[1]!thsiFinD("ths_adjustment_nv_fund",M$3,$A729))</x:f>
        <x:v>#NAME?</x:v>
      </x:c>
      <x:c r="N729" s="146" t="e">
        <x:f>IF($A729="","",[1]!thsiFinD("ths_adjustment_nv_fund",N$3,$A729))</x:f>
        <x:v>#NAME?</x:v>
      </x:c>
      <x:c r="O729" s="146" t="e">
        <x:f>IF($A729="","",[1]!thsiFinD("ths_adjustment_nv_fund",O$3,$A729))</x:f>
        <x:v>#NAME?</x:v>
      </x:c>
      <x:c r="P729" s="146" t="e">
        <x:f>IF($A729="","",[1]!thsiFinD("ths_adjustment_nv_fund",P$3,$A729))</x:f>
        <x:v>#NAME?</x:v>
      </x:c>
      <x:c r="Q729" s="146" t="e">
        <x:f>IF($A729="","",[1]!thsiFinD("ths_adjustment_nv_fund",Q$3,$A729))</x:f>
        <x:v>#NAME?</x:v>
      </x:c>
      <x:c r="R729" s="146" t="e">
        <x:f>IF($A729="","",[1]!thsiFinD("ths_adjustment_nv_fund",R$3,$A729))</x:f>
        <x:v>#NAME?</x:v>
      </x:c>
      <x:c r="S729" s="146" t="e">
        <x:f>IF($A729="","",[1]!thsiFinD("ths_adjustment_nv_fund",S$3,$A729))</x:f>
        <x:v>#NAME?</x:v>
      </x:c>
      <x:c r="T729" s="146" t="e">
        <x:f>IF($A729="","",[1]!thsiFinD("ths_adjustment_nv_fund",T$3,$A729))</x:f>
        <x:v>#NAME?</x:v>
      </x:c>
      <x:c r="U729" s="146" t="e">
        <x:f>IF($A729="","",[1]!thsiFinD("ths_adjustment_nv_fund",U$3,$A729))</x:f>
        <x:v>#NAME?</x:v>
      </x:c>
      <x:c r="V729" s="146" t="e">
        <x:f>IF($A729="","",[1]!thsiFinD("ths_adjustment_nv_fund",V$3,$A729))</x:f>
        <x:v>#NAME?</x:v>
      </x:c>
      <x:c r="W729" s="146" t="e">
        <x:f>IF($A729="","",[1]!thsiFinD("ths_adjustment_nv_fund",W$3,$A729))</x:f>
        <x:v>#NAME?</x:v>
      </x:c>
      <x:c r="X729" s="146" t="e">
        <x:f>IF($A729="","",[1]!thsiFinD("ths_adjustment_nv_fund",X$3,$A729))</x:f>
        <x:v>#NAME?</x:v>
      </x:c>
      <x:c r="Y729" s="146" t="e">
        <x:f>IF($A729="","",[1]!thsiFinD("ths_adjustment_nv_fund",Y$3,$A729))</x:f>
        <x:v>#NAME?</x:v>
      </x:c>
      <x:c r="Z729" s="146" t="e">
        <x:f>IF($A729="","",[1]!thsiFinD("ths_adjustment_nv_fund",Z$3,$A729))</x:f>
        <x:v>#NAME?</x:v>
      </x:c>
      <x:c r="AA729" s="146" t="e">
        <x:f>IF($A729="","",[1]!thsiFinD("ths_adjustment_nv_fund",AA$3,$A729))</x:f>
        <x:v>#NAME?</x:v>
      </x:c>
    </x:row>
    <x:row r="730">
      <x:c r="B730" s="146" t="e">
        <x:f>IF($A730="","",[1]!thsiFinD("ths_adjustment_nv_fund",B$3,$A730))</x:f>
        <x:v>#NAME?</x:v>
      </x:c>
      <x:c r="C730" s="146" t="e">
        <x:f>IF($A730="","",[1]!thsiFinD("ths_adjustment_nv_fund",C$3,$A730))</x:f>
        <x:v>#NAME?</x:v>
      </x:c>
      <x:c r="D730" s="146" t="e">
        <x:f>IF($A730="","",[1]!thsiFinD("ths_adjustment_nv_fund",D$3,$A730))</x:f>
        <x:v>#NAME?</x:v>
      </x:c>
      <x:c r="E730" s="146" t="e">
        <x:f>IF($A730="","",[1]!thsiFinD("ths_adjustment_nv_fund",E$3,$A730))</x:f>
        <x:v>#NAME?</x:v>
      </x:c>
      <x:c r="F730" s="146" t="e">
        <x:f>IF($A730="","",[1]!thsiFinD("ths_adjustment_nv_fund",F$3,$A730))</x:f>
        <x:v>#NAME?</x:v>
      </x:c>
      <x:c r="G730" s="146" t="e">
        <x:f>IF($A730="","",[1]!thsiFinD("ths_adjustment_nv_fund",G$3,$A730))</x:f>
        <x:v>#NAME?</x:v>
      </x:c>
      <x:c r="H730" s="146" t="e">
        <x:f>IF($A730="","",[1]!thsiFinD("ths_adjustment_nv_fund",H$3,$A730))</x:f>
        <x:v>#NAME?</x:v>
      </x:c>
      <x:c r="I730" s="146" t="e">
        <x:f>IF($A730="","",[1]!thsiFinD("ths_adjustment_nv_fund",I$3,$A730))</x:f>
        <x:v>#NAME?</x:v>
      </x:c>
      <x:c r="J730" s="146" t="e">
        <x:f>IF($A730="","",[1]!thsiFinD("ths_adjustment_nv_fund",J$3,$A730))</x:f>
        <x:v>#NAME?</x:v>
      </x:c>
      <x:c r="K730" s="146" t="e">
        <x:f>IF($A730="","",[1]!thsiFinD("ths_adjustment_nv_fund",K$3,$A730))</x:f>
        <x:v>#NAME?</x:v>
      </x:c>
      <x:c r="L730" s="146" t="e">
        <x:f>IF($A730="","",[1]!thsiFinD("ths_adjustment_nv_fund",L$3,$A730))</x:f>
        <x:v>#NAME?</x:v>
      </x:c>
      <x:c r="M730" s="146" t="e">
        <x:f>IF($A730="","",[1]!thsiFinD("ths_adjustment_nv_fund",M$3,$A730))</x:f>
        <x:v>#NAME?</x:v>
      </x:c>
      <x:c r="N730" s="146" t="e">
        <x:f>IF($A730="","",[1]!thsiFinD("ths_adjustment_nv_fund",N$3,$A730))</x:f>
        <x:v>#NAME?</x:v>
      </x:c>
      <x:c r="O730" s="146" t="e">
        <x:f>IF($A730="","",[1]!thsiFinD("ths_adjustment_nv_fund",O$3,$A730))</x:f>
        <x:v>#NAME?</x:v>
      </x:c>
      <x:c r="P730" s="146" t="e">
        <x:f>IF($A730="","",[1]!thsiFinD("ths_adjustment_nv_fund",P$3,$A730))</x:f>
        <x:v>#NAME?</x:v>
      </x:c>
      <x:c r="Q730" s="146" t="e">
        <x:f>IF($A730="","",[1]!thsiFinD("ths_adjustment_nv_fund",Q$3,$A730))</x:f>
        <x:v>#NAME?</x:v>
      </x:c>
      <x:c r="R730" s="146" t="e">
        <x:f>IF($A730="","",[1]!thsiFinD("ths_adjustment_nv_fund",R$3,$A730))</x:f>
        <x:v>#NAME?</x:v>
      </x:c>
      <x:c r="S730" s="146" t="e">
        <x:f>IF($A730="","",[1]!thsiFinD("ths_adjustment_nv_fund",S$3,$A730))</x:f>
        <x:v>#NAME?</x:v>
      </x:c>
      <x:c r="T730" s="146" t="e">
        <x:f>IF($A730="","",[1]!thsiFinD("ths_adjustment_nv_fund",T$3,$A730))</x:f>
        <x:v>#NAME?</x:v>
      </x:c>
      <x:c r="U730" s="146" t="e">
        <x:f>IF($A730="","",[1]!thsiFinD("ths_adjustment_nv_fund",U$3,$A730))</x:f>
        <x:v>#NAME?</x:v>
      </x:c>
      <x:c r="V730" s="146" t="e">
        <x:f>IF($A730="","",[1]!thsiFinD("ths_adjustment_nv_fund",V$3,$A730))</x:f>
        <x:v>#NAME?</x:v>
      </x:c>
      <x:c r="W730" s="146" t="e">
        <x:f>IF($A730="","",[1]!thsiFinD("ths_adjustment_nv_fund",W$3,$A730))</x:f>
        <x:v>#NAME?</x:v>
      </x:c>
      <x:c r="X730" s="146" t="e">
        <x:f>IF($A730="","",[1]!thsiFinD("ths_adjustment_nv_fund",X$3,$A730))</x:f>
        <x:v>#NAME?</x:v>
      </x:c>
      <x:c r="Y730" s="146" t="e">
        <x:f>IF($A730="","",[1]!thsiFinD("ths_adjustment_nv_fund",Y$3,$A730))</x:f>
        <x:v>#NAME?</x:v>
      </x:c>
      <x:c r="Z730" s="146" t="e">
        <x:f>IF($A730="","",[1]!thsiFinD("ths_adjustment_nv_fund",Z$3,$A730))</x:f>
        <x:v>#NAME?</x:v>
      </x:c>
      <x:c r="AA730" s="146" t="e">
        <x:f>IF($A730="","",[1]!thsiFinD("ths_adjustment_nv_fund",AA$3,$A730))</x:f>
        <x:v>#NAME?</x:v>
      </x:c>
    </x:row>
    <x:row r="731">
      <x:c r="B731" s="146" t="e">
        <x:f>IF($A731="","",[1]!thsiFinD("ths_adjustment_nv_fund",B$3,$A731))</x:f>
        <x:v>#NAME?</x:v>
      </x:c>
      <x:c r="C731" s="146" t="e">
        <x:f>IF($A731="","",[1]!thsiFinD("ths_adjustment_nv_fund",C$3,$A731))</x:f>
        <x:v>#NAME?</x:v>
      </x:c>
      <x:c r="D731" s="146" t="e">
        <x:f>IF($A731="","",[1]!thsiFinD("ths_adjustment_nv_fund",D$3,$A731))</x:f>
        <x:v>#NAME?</x:v>
      </x:c>
      <x:c r="E731" s="146" t="e">
        <x:f>IF($A731="","",[1]!thsiFinD("ths_adjustment_nv_fund",E$3,$A731))</x:f>
        <x:v>#NAME?</x:v>
      </x:c>
      <x:c r="F731" s="146" t="e">
        <x:f>IF($A731="","",[1]!thsiFinD("ths_adjustment_nv_fund",F$3,$A731))</x:f>
        <x:v>#NAME?</x:v>
      </x:c>
      <x:c r="G731" s="146" t="e">
        <x:f>IF($A731="","",[1]!thsiFinD("ths_adjustment_nv_fund",G$3,$A731))</x:f>
        <x:v>#NAME?</x:v>
      </x:c>
      <x:c r="H731" s="146" t="e">
        <x:f>IF($A731="","",[1]!thsiFinD("ths_adjustment_nv_fund",H$3,$A731))</x:f>
        <x:v>#NAME?</x:v>
      </x:c>
      <x:c r="I731" s="146" t="e">
        <x:f>IF($A731="","",[1]!thsiFinD("ths_adjustment_nv_fund",I$3,$A731))</x:f>
        <x:v>#NAME?</x:v>
      </x:c>
      <x:c r="J731" s="146" t="e">
        <x:f>IF($A731="","",[1]!thsiFinD("ths_adjustment_nv_fund",J$3,$A731))</x:f>
        <x:v>#NAME?</x:v>
      </x:c>
      <x:c r="K731" s="146" t="e">
        <x:f>IF($A731="","",[1]!thsiFinD("ths_adjustment_nv_fund",K$3,$A731))</x:f>
        <x:v>#NAME?</x:v>
      </x:c>
      <x:c r="L731" s="146" t="e">
        <x:f>IF($A731="","",[1]!thsiFinD("ths_adjustment_nv_fund",L$3,$A731))</x:f>
        <x:v>#NAME?</x:v>
      </x:c>
      <x:c r="M731" s="146" t="e">
        <x:f>IF($A731="","",[1]!thsiFinD("ths_adjustment_nv_fund",M$3,$A731))</x:f>
        <x:v>#NAME?</x:v>
      </x:c>
      <x:c r="N731" s="146" t="e">
        <x:f>IF($A731="","",[1]!thsiFinD("ths_adjustment_nv_fund",N$3,$A731))</x:f>
        <x:v>#NAME?</x:v>
      </x:c>
      <x:c r="O731" s="146" t="e">
        <x:f>IF($A731="","",[1]!thsiFinD("ths_adjustment_nv_fund",O$3,$A731))</x:f>
        <x:v>#NAME?</x:v>
      </x:c>
      <x:c r="P731" s="146" t="e">
        <x:f>IF($A731="","",[1]!thsiFinD("ths_adjustment_nv_fund",P$3,$A731))</x:f>
        <x:v>#NAME?</x:v>
      </x:c>
      <x:c r="Q731" s="146" t="e">
        <x:f>IF($A731="","",[1]!thsiFinD("ths_adjustment_nv_fund",Q$3,$A731))</x:f>
        <x:v>#NAME?</x:v>
      </x:c>
      <x:c r="R731" s="146" t="e">
        <x:f>IF($A731="","",[1]!thsiFinD("ths_adjustment_nv_fund",R$3,$A731))</x:f>
        <x:v>#NAME?</x:v>
      </x:c>
      <x:c r="S731" s="146" t="e">
        <x:f>IF($A731="","",[1]!thsiFinD("ths_adjustment_nv_fund",S$3,$A731))</x:f>
        <x:v>#NAME?</x:v>
      </x:c>
      <x:c r="T731" s="146" t="e">
        <x:f>IF($A731="","",[1]!thsiFinD("ths_adjustment_nv_fund",T$3,$A731))</x:f>
        <x:v>#NAME?</x:v>
      </x:c>
      <x:c r="U731" s="146" t="e">
        <x:f>IF($A731="","",[1]!thsiFinD("ths_adjustment_nv_fund",U$3,$A731))</x:f>
        <x:v>#NAME?</x:v>
      </x:c>
      <x:c r="V731" s="146" t="e">
        <x:f>IF($A731="","",[1]!thsiFinD("ths_adjustment_nv_fund",V$3,$A731))</x:f>
        <x:v>#NAME?</x:v>
      </x:c>
      <x:c r="W731" s="146" t="e">
        <x:f>IF($A731="","",[1]!thsiFinD("ths_adjustment_nv_fund",W$3,$A731))</x:f>
        <x:v>#NAME?</x:v>
      </x:c>
      <x:c r="X731" s="146" t="e">
        <x:f>IF($A731="","",[1]!thsiFinD("ths_adjustment_nv_fund",X$3,$A731))</x:f>
        <x:v>#NAME?</x:v>
      </x:c>
      <x:c r="Y731" s="146" t="e">
        <x:f>IF($A731="","",[1]!thsiFinD("ths_adjustment_nv_fund",Y$3,$A731))</x:f>
        <x:v>#NAME?</x:v>
      </x:c>
      <x:c r="Z731" s="146" t="e">
        <x:f>IF($A731="","",[1]!thsiFinD("ths_adjustment_nv_fund",Z$3,$A731))</x:f>
        <x:v>#NAME?</x:v>
      </x:c>
      <x:c r="AA731" s="146" t="e">
        <x:f>IF($A731="","",[1]!thsiFinD("ths_adjustment_nv_fund",AA$3,$A731))</x:f>
        <x:v>#NAME?</x:v>
      </x:c>
    </x:row>
    <x:row r="732">
      <x:c r="B732" s="146" t="e">
        <x:f>IF($A732="","",[1]!thsiFinD("ths_adjustment_nv_fund",B$3,$A732))</x:f>
        <x:v>#NAME?</x:v>
      </x:c>
      <x:c r="C732" s="146" t="e">
        <x:f>IF($A732="","",[1]!thsiFinD("ths_adjustment_nv_fund",C$3,$A732))</x:f>
        <x:v>#NAME?</x:v>
      </x:c>
      <x:c r="D732" s="146" t="e">
        <x:f>IF($A732="","",[1]!thsiFinD("ths_adjustment_nv_fund",D$3,$A732))</x:f>
        <x:v>#NAME?</x:v>
      </x:c>
      <x:c r="E732" s="146" t="e">
        <x:f>IF($A732="","",[1]!thsiFinD("ths_adjustment_nv_fund",E$3,$A732))</x:f>
        <x:v>#NAME?</x:v>
      </x:c>
      <x:c r="F732" s="146" t="e">
        <x:f>IF($A732="","",[1]!thsiFinD("ths_adjustment_nv_fund",F$3,$A732))</x:f>
        <x:v>#NAME?</x:v>
      </x:c>
      <x:c r="G732" s="146" t="e">
        <x:f>IF($A732="","",[1]!thsiFinD("ths_adjustment_nv_fund",G$3,$A732))</x:f>
        <x:v>#NAME?</x:v>
      </x:c>
      <x:c r="H732" s="146" t="e">
        <x:f>IF($A732="","",[1]!thsiFinD("ths_adjustment_nv_fund",H$3,$A732))</x:f>
        <x:v>#NAME?</x:v>
      </x:c>
      <x:c r="I732" s="146" t="e">
        <x:f>IF($A732="","",[1]!thsiFinD("ths_adjustment_nv_fund",I$3,$A732))</x:f>
        <x:v>#NAME?</x:v>
      </x:c>
      <x:c r="J732" s="146" t="e">
        <x:f>IF($A732="","",[1]!thsiFinD("ths_adjustment_nv_fund",J$3,$A732))</x:f>
        <x:v>#NAME?</x:v>
      </x:c>
      <x:c r="K732" s="146" t="e">
        <x:f>IF($A732="","",[1]!thsiFinD("ths_adjustment_nv_fund",K$3,$A732))</x:f>
        <x:v>#NAME?</x:v>
      </x:c>
      <x:c r="L732" s="146" t="e">
        <x:f>IF($A732="","",[1]!thsiFinD("ths_adjustment_nv_fund",L$3,$A732))</x:f>
        <x:v>#NAME?</x:v>
      </x:c>
      <x:c r="M732" s="146" t="e">
        <x:f>IF($A732="","",[1]!thsiFinD("ths_adjustment_nv_fund",M$3,$A732))</x:f>
        <x:v>#NAME?</x:v>
      </x:c>
      <x:c r="N732" s="146" t="e">
        <x:f>IF($A732="","",[1]!thsiFinD("ths_adjustment_nv_fund",N$3,$A732))</x:f>
        <x:v>#NAME?</x:v>
      </x:c>
      <x:c r="O732" s="146" t="e">
        <x:f>IF($A732="","",[1]!thsiFinD("ths_adjustment_nv_fund",O$3,$A732))</x:f>
        <x:v>#NAME?</x:v>
      </x:c>
      <x:c r="P732" s="146" t="e">
        <x:f>IF($A732="","",[1]!thsiFinD("ths_adjustment_nv_fund",P$3,$A732))</x:f>
        <x:v>#NAME?</x:v>
      </x:c>
      <x:c r="Q732" s="146" t="e">
        <x:f>IF($A732="","",[1]!thsiFinD("ths_adjustment_nv_fund",Q$3,$A732))</x:f>
        <x:v>#NAME?</x:v>
      </x:c>
      <x:c r="R732" s="146" t="e">
        <x:f>IF($A732="","",[1]!thsiFinD("ths_adjustment_nv_fund",R$3,$A732))</x:f>
        <x:v>#NAME?</x:v>
      </x:c>
      <x:c r="S732" s="146" t="e">
        <x:f>IF($A732="","",[1]!thsiFinD("ths_adjustment_nv_fund",S$3,$A732))</x:f>
        <x:v>#NAME?</x:v>
      </x:c>
      <x:c r="T732" s="146" t="e">
        <x:f>IF($A732="","",[1]!thsiFinD("ths_adjustment_nv_fund",T$3,$A732))</x:f>
        <x:v>#NAME?</x:v>
      </x:c>
      <x:c r="U732" s="146" t="e">
        <x:f>IF($A732="","",[1]!thsiFinD("ths_adjustment_nv_fund",U$3,$A732))</x:f>
        <x:v>#NAME?</x:v>
      </x:c>
      <x:c r="V732" s="146" t="e">
        <x:f>IF($A732="","",[1]!thsiFinD("ths_adjustment_nv_fund",V$3,$A732))</x:f>
        <x:v>#NAME?</x:v>
      </x:c>
      <x:c r="W732" s="146" t="e">
        <x:f>IF($A732="","",[1]!thsiFinD("ths_adjustment_nv_fund",W$3,$A732))</x:f>
        <x:v>#NAME?</x:v>
      </x:c>
      <x:c r="X732" s="146" t="e">
        <x:f>IF($A732="","",[1]!thsiFinD("ths_adjustment_nv_fund",X$3,$A732))</x:f>
        <x:v>#NAME?</x:v>
      </x:c>
      <x:c r="Y732" s="146" t="e">
        <x:f>IF($A732="","",[1]!thsiFinD("ths_adjustment_nv_fund",Y$3,$A732))</x:f>
        <x:v>#NAME?</x:v>
      </x:c>
      <x:c r="Z732" s="146" t="e">
        <x:f>IF($A732="","",[1]!thsiFinD("ths_adjustment_nv_fund",Z$3,$A732))</x:f>
        <x:v>#NAME?</x:v>
      </x:c>
      <x:c r="AA732" s="146" t="e">
        <x:f>IF($A732="","",[1]!thsiFinD("ths_adjustment_nv_fund",AA$3,$A732))</x:f>
        <x:v>#NAME?</x:v>
      </x:c>
    </x:row>
    <x:row r="733">
      <x:c r="B733" s="146" t="e">
        <x:f>IF($A733="","",[1]!thsiFinD("ths_adjustment_nv_fund",B$3,$A733))</x:f>
        <x:v>#NAME?</x:v>
      </x:c>
      <x:c r="C733" s="146" t="e">
        <x:f>IF($A733="","",[1]!thsiFinD("ths_adjustment_nv_fund",C$3,$A733))</x:f>
        <x:v>#NAME?</x:v>
      </x:c>
      <x:c r="D733" s="146" t="e">
        <x:f>IF($A733="","",[1]!thsiFinD("ths_adjustment_nv_fund",D$3,$A733))</x:f>
        <x:v>#NAME?</x:v>
      </x:c>
      <x:c r="E733" s="146" t="e">
        <x:f>IF($A733="","",[1]!thsiFinD("ths_adjustment_nv_fund",E$3,$A733))</x:f>
        <x:v>#NAME?</x:v>
      </x:c>
      <x:c r="F733" s="146" t="e">
        <x:f>IF($A733="","",[1]!thsiFinD("ths_adjustment_nv_fund",F$3,$A733))</x:f>
        <x:v>#NAME?</x:v>
      </x:c>
      <x:c r="G733" s="146" t="e">
        <x:f>IF($A733="","",[1]!thsiFinD("ths_adjustment_nv_fund",G$3,$A733))</x:f>
        <x:v>#NAME?</x:v>
      </x:c>
      <x:c r="H733" s="146" t="e">
        <x:f>IF($A733="","",[1]!thsiFinD("ths_adjustment_nv_fund",H$3,$A733))</x:f>
        <x:v>#NAME?</x:v>
      </x:c>
      <x:c r="I733" s="146" t="e">
        <x:f>IF($A733="","",[1]!thsiFinD("ths_adjustment_nv_fund",I$3,$A733))</x:f>
        <x:v>#NAME?</x:v>
      </x:c>
      <x:c r="J733" s="146" t="e">
        <x:f>IF($A733="","",[1]!thsiFinD("ths_adjustment_nv_fund",J$3,$A733))</x:f>
        <x:v>#NAME?</x:v>
      </x:c>
      <x:c r="K733" s="146" t="e">
        <x:f>IF($A733="","",[1]!thsiFinD("ths_adjustment_nv_fund",K$3,$A733))</x:f>
        <x:v>#NAME?</x:v>
      </x:c>
      <x:c r="L733" s="146" t="e">
        <x:f>IF($A733="","",[1]!thsiFinD("ths_adjustment_nv_fund",L$3,$A733))</x:f>
        <x:v>#NAME?</x:v>
      </x:c>
      <x:c r="M733" s="146" t="e">
        <x:f>IF($A733="","",[1]!thsiFinD("ths_adjustment_nv_fund",M$3,$A733))</x:f>
        <x:v>#NAME?</x:v>
      </x:c>
      <x:c r="N733" s="146" t="e">
        <x:f>IF($A733="","",[1]!thsiFinD("ths_adjustment_nv_fund",N$3,$A733))</x:f>
        <x:v>#NAME?</x:v>
      </x:c>
      <x:c r="O733" s="146" t="e">
        <x:f>IF($A733="","",[1]!thsiFinD("ths_adjustment_nv_fund",O$3,$A733))</x:f>
        <x:v>#NAME?</x:v>
      </x:c>
      <x:c r="P733" s="146" t="e">
        <x:f>IF($A733="","",[1]!thsiFinD("ths_adjustment_nv_fund",P$3,$A733))</x:f>
        <x:v>#NAME?</x:v>
      </x:c>
      <x:c r="Q733" s="146" t="e">
        <x:f>IF($A733="","",[1]!thsiFinD("ths_adjustment_nv_fund",Q$3,$A733))</x:f>
        <x:v>#NAME?</x:v>
      </x:c>
      <x:c r="R733" s="146" t="e">
        <x:f>IF($A733="","",[1]!thsiFinD("ths_adjustment_nv_fund",R$3,$A733))</x:f>
        <x:v>#NAME?</x:v>
      </x:c>
      <x:c r="S733" s="146" t="e">
        <x:f>IF($A733="","",[1]!thsiFinD("ths_adjustment_nv_fund",S$3,$A733))</x:f>
        <x:v>#NAME?</x:v>
      </x:c>
      <x:c r="T733" s="146" t="e">
        <x:f>IF($A733="","",[1]!thsiFinD("ths_adjustment_nv_fund",T$3,$A733))</x:f>
        <x:v>#NAME?</x:v>
      </x:c>
      <x:c r="U733" s="146" t="e">
        <x:f>IF($A733="","",[1]!thsiFinD("ths_adjustment_nv_fund",U$3,$A733))</x:f>
        <x:v>#NAME?</x:v>
      </x:c>
      <x:c r="V733" s="146" t="e">
        <x:f>IF($A733="","",[1]!thsiFinD("ths_adjustment_nv_fund",V$3,$A733))</x:f>
        <x:v>#NAME?</x:v>
      </x:c>
      <x:c r="W733" s="146" t="e">
        <x:f>IF($A733="","",[1]!thsiFinD("ths_adjustment_nv_fund",W$3,$A733))</x:f>
        <x:v>#NAME?</x:v>
      </x:c>
      <x:c r="X733" s="146" t="e">
        <x:f>IF($A733="","",[1]!thsiFinD("ths_adjustment_nv_fund",X$3,$A733))</x:f>
        <x:v>#NAME?</x:v>
      </x:c>
      <x:c r="Y733" s="146" t="e">
        <x:f>IF($A733="","",[1]!thsiFinD("ths_adjustment_nv_fund",Y$3,$A733))</x:f>
        <x:v>#NAME?</x:v>
      </x:c>
      <x:c r="Z733" s="146" t="e">
        <x:f>IF($A733="","",[1]!thsiFinD("ths_adjustment_nv_fund",Z$3,$A733))</x:f>
        <x:v>#NAME?</x:v>
      </x:c>
      <x:c r="AA733" s="146" t="e">
        <x:f>IF($A733="","",[1]!thsiFinD("ths_adjustment_nv_fund",AA$3,$A733))</x:f>
        <x:v>#NAME?</x:v>
      </x:c>
    </x:row>
    <x:row r="734">
      <x:c r="B734" s="146" t="e">
        <x:f>IF($A734="","",[1]!thsiFinD("ths_adjustment_nv_fund",B$3,$A734))</x:f>
        <x:v>#NAME?</x:v>
      </x:c>
      <x:c r="C734" s="146" t="e">
        <x:f>IF($A734="","",[1]!thsiFinD("ths_adjustment_nv_fund",C$3,$A734))</x:f>
        <x:v>#NAME?</x:v>
      </x:c>
      <x:c r="D734" s="146" t="e">
        <x:f>IF($A734="","",[1]!thsiFinD("ths_adjustment_nv_fund",D$3,$A734))</x:f>
        <x:v>#NAME?</x:v>
      </x:c>
      <x:c r="E734" s="146" t="e">
        <x:f>IF($A734="","",[1]!thsiFinD("ths_adjustment_nv_fund",E$3,$A734))</x:f>
        <x:v>#NAME?</x:v>
      </x:c>
      <x:c r="F734" s="146" t="e">
        <x:f>IF($A734="","",[1]!thsiFinD("ths_adjustment_nv_fund",F$3,$A734))</x:f>
        <x:v>#NAME?</x:v>
      </x:c>
      <x:c r="G734" s="146" t="e">
        <x:f>IF($A734="","",[1]!thsiFinD("ths_adjustment_nv_fund",G$3,$A734))</x:f>
        <x:v>#NAME?</x:v>
      </x:c>
      <x:c r="H734" s="146" t="e">
        <x:f>IF($A734="","",[1]!thsiFinD("ths_adjustment_nv_fund",H$3,$A734))</x:f>
        <x:v>#NAME?</x:v>
      </x:c>
      <x:c r="I734" s="146" t="e">
        <x:f>IF($A734="","",[1]!thsiFinD("ths_adjustment_nv_fund",I$3,$A734))</x:f>
        <x:v>#NAME?</x:v>
      </x:c>
      <x:c r="J734" s="146" t="e">
        <x:f>IF($A734="","",[1]!thsiFinD("ths_adjustment_nv_fund",J$3,$A734))</x:f>
        <x:v>#NAME?</x:v>
      </x:c>
      <x:c r="K734" s="146" t="e">
        <x:f>IF($A734="","",[1]!thsiFinD("ths_adjustment_nv_fund",K$3,$A734))</x:f>
        <x:v>#NAME?</x:v>
      </x:c>
      <x:c r="L734" s="146" t="e">
        <x:f>IF($A734="","",[1]!thsiFinD("ths_adjustment_nv_fund",L$3,$A734))</x:f>
        <x:v>#NAME?</x:v>
      </x:c>
      <x:c r="M734" s="146" t="e">
        <x:f>IF($A734="","",[1]!thsiFinD("ths_adjustment_nv_fund",M$3,$A734))</x:f>
        <x:v>#NAME?</x:v>
      </x:c>
      <x:c r="N734" s="146" t="e">
        <x:f>IF($A734="","",[1]!thsiFinD("ths_adjustment_nv_fund",N$3,$A734))</x:f>
        <x:v>#NAME?</x:v>
      </x:c>
      <x:c r="O734" s="146" t="e">
        <x:f>IF($A734="","",[1]!thsiFinD("ths_adjustment_nv_fund",O$3,$A734))</x:f>
        <x:v>#NAME?</x:v>
      </x:c>
      <x:c r="P734" s="146" t="e">
        <x:f>IF($A734="","",[1]!thsiFinD("ths_adjustment_nv_fund",P$3,$A734))</x:f>
        <x:v>#NAME?</x:v>
      </x:c>
      <x:c r="Q734" s="146" t="e">
        <x:f>IF($A734="","",[1]!thsiFinD("ths_adjustment_nv_fund",Q$3,$A734))</x:f>
        <x:v>#NAME?</x:v>
      </x:c>
      <x:c r="R734" s="146" t="e">
        <x:f>IF($A734="","",[1]!thsiFinD("ths_adjustment_nv_fund",R$3,$A734))</x:f>
        <x:v>#NAME?</x:v>
      </x:c>
      <x:c r="S734" s="146" t="e">
        <x:f>IF($A734="","",[1]!thsiFinD("ths_adjustment_nv_fund",S$3,$A734))</x:f>
        <x:v>#NAME?</x:v>
      </x:c>
      <x:c r="T734" s="146" t="e">
        <x:f>IF($A734="","",[1]!thsiFinD("ths_adjustment_nv_fund",T$3,$A734))</x:f>
        <x:v>#NAME?</x:v>
      </x:c>
      <x:c r="U734" s="146" t="e">
        <x:f>IF($A734="","",[1]!thsiFinD("ths_adjustment_nv_fund",U$3,$A734))</x:f>
        <x:v>#NAME?</x:v>
      </x:c>
      <x:c r="V734" s="146" t="e">
        <x:f>IF($A734="","",[1]!thsiFinD("ths_adjustment_nv_fund",V$3,$A734))</x:f>
        <x:v>#NAME?</x:v>
      </x:c>
      <x:c r="W734" s="146" t="e">
        <x:f>IF($A734="","",[1]!thsiFinD("ths_adjustment_nv_fund",W$3,$A734))</x:f>
        <x:v>#NAME?</x:v>
      </x:c>
      <x:c r="X734" s="146" t="e">
        <x:f>IF($A734="","",[1]!thsiFinD("ths_adjustment_nv_fund",X$3,$A734))</x:f>
        <x:v>#NAME?</x:v>
      </x:c>
      <x:c r="Y734" s="146" t="e">
        <x:f>IF($A734="","",[1]!thsiFinD("ths_adjustment_nv_fund",Y$3,$A734))</x:f>
        <x:v>#NAME?</x:v>
      </x:c>
      <x:c r="Z734" s="146" t="e">
        <x:f>IF($A734="","",[1]!thsiFinD("ths_adjustment_nv_fund",Z$3,$A734))</x:f>
        <x:v>#NAME?</x:v>
      </x:c>
      <x:c r="AA734" s="146" t="e">
        <x:f>IF($A734="","",[1]!thsiFinD("ths_adjustment_nv_fund",AA$3,$A734))</x:f>
        <x:v>#NAME?</x:v>
      </x:c>
    </x:row>
    <x:row r="735">
      <x:c r="B735" s="146" t="e">
        <x:f>IF($A735="","",[1]!thsiFinD("ths_adjustment_nv_fund",B$3,$A735))</x:f>
        <x:v>#NAME?</x:v>
      </x:c>
      <x:c r="C735" s="146" t="e">
        <x:f>IF($A735="","",[1]!thsiFinD("ths_adjustment_nv_fund",C$3,$A735))</x:f>
        <x:v>#NAME?</x:v>
      </x:c>
      <x:c r="D735" s="146" t="e">
        <x:f>IF($A735="","",[1]!thsiFinD("ths_adjustment_nv_fund",D$3,$A735))</x:f>
        <x:v>#NAME?</x:v>
      </x:c>
      <x:c r="E735" s="146" t="e">
        <x:f>IF($A735="","",[1]!thsiFinD("ths_adjustment_nv_fund",E$3,$A735))</x:f>
        <x:v>#NAME?</x:v>
      </x:c>
      <x:c r="F735" s="146" t="e">
        <x:f>IF($A735="","",[1]!thsiFinD("ths_adjustment_nv_fund",F$3,$A735))</x:f>
        <x:v>#NAME?</x:v>
      </x:c>
      <x:c r="G735" s="146" t="e">
        <x:f>IF($A735="","",[1]!thsiFinD("ths_adjustment_nv_fund",G$3,$A735))</x:f>
        <x:v>#NAME?</x:v>
      </x:c>
      <x:c r="H735" s="146" t="e">
        <x:f>IF($A735="","",[1]!thsiFinD("ths_adjustment_nv_fund",H$3,$A735))</x:f>
        <x:v>#NAME?</x:v>
      </x:c>
      <x:c r="I735" s="146" t="e">
        <x:f>IF($A735="","",[1]!thsiFinD("ths_adjustment_nv_fund",I$3,$A735))</x:f>
        <x:v>#NAME?</x:v>
      </x:c>
      <x:c r="J735" s="146" t="e">
        <x:f>IF($A735="","",[1]!thsiFinD("ths_adjustment_nv_fund",J$3,$A735))</x:f>
        <x:v>#NAME?</x:v>
      </x:c>
      <x:c r="K735" s="146" t="e">
        <x:f>IF($A735="","",[1]!thsiFinD("ths_adjustment_nv_fund",K$3,$A735))</x:f>
        <x:v>#NAME?</x:v>
      </x:c>
      <x:c r="L735" s="146" t="e">
        <x:f>IF($A735="","",[1]!thsiFinD("ths_adjustment_nv_fund",L$3,$A735))</x:f>
        <x:v>#NAME?</x:v>
      </x:c>
      <x:c r="M735" s="146" t="e">
        <x:f>IF($A735="","",[1]!thsiFinD("ths_adjustment_nv_fund",M$3,$A735))</x:f>
        <x:v>#NAME?</x:v>
      </x:c>
      <x:c r="N735" s="146" t="e">
        <x:f>IF($A735="","",[1]!thsiFinD("ths_adjustment_nv_fund",N$3,$A735))</x:f>
        <x:v>#NAME?</x:v>
      </x:c>
      <x:c r="O735" s="146" t="e">
        <x:f>IF($A735="","",[1]!thsiFinD("ths_adjustment_nv_fund",O$3,$A735))</x:f>
        <x:v>#NAME?</x:v>
      </x:c>
      <x:c r="P735" s="146" t="e">
        <x:f>IF($A735="","",[1]!thsiFinD("ths_adjustment_nv_fund",P$3,$A735))</x:f>
        <x:v>#NAME?</x:v>
      </x:c>
      <x:c r="Q735" s="146" t="e">
        <x:f>IF($A735="","",[1]!thsiFinD("ths_adjustment_nv_fund",Q$3,$A735))</x:f>
        <x:v>#NAME?</x:v>
      </x:c>
      <x:c r="R735" s="146" t="e">
        <x:f>IF($A735="","",[1]!thsiFinD("ths_adjustment_nv_fund",R$3,$A735))</x:f>
        <x:v>#NAME?</x:v>
      </x:c>
      <x:c r="S735" s="146" t="e">
        <x:f>IF($A735="","",[1]!thsiFinD("ths_adjustment_nv_fund",S$3,$A735))</x:f>
        <x:v>#NAME?</x:v>
      </x:c>
      <x:c r="T735" s="146" t="e">
        <x:f>IF($A735="","",[1]!thsiFinD("ths_adjustment_nv_fund",T$3,$A735))</x:f>
        <x:v>#NAME?</x:v>
      </x:c>
      <x:c r="U735" s="146" t="e">
        <x:f>IF($A735="","",[1]!thsiFinD("ths_adjustment_nv_fund",U$3,$A735))</x:f>
        <x:v>#NAME?</x:v>
      </x:c>
      <x:c r="V735" s="146" t="e">
        <x:f>IF($A735="","",[1]!thsiFinD("ths_adjustment_nv_fund",V$3,$A735))</x:f>
        <x:v>#NAME?</x:v>
      </x:c>
      <x:c r="W735" s="146" t="e">
        <x:f>IF($A735="","",[1]!thsiFinD("ths_adjustment_nv_fund",W$3,$A735))</x:f>
        <x:v>#NAME?</x:v>
      </x:c>
      <x:c r="X735" s="146" t="e">
        <x:f>IF($A735="","",[1]!thsiFinD("ths_adjustment_nv_fund",X$3,$A735))</x:f>
        <x:v>#NAME?</x:v>
      </x:c>
      <x:c r="Y735" s="146" t="e">
        <x:f>IF($A735="","",[1]!thsiFinD("ths_adjustment_nv_fund",Y$3,$A735))</x:f>
        <x:v>#NAME?</x:v>
      </x:c>
      <x:c r="Z735" s="146" t="e">
        <x:f>IF($A735="","",[1]!thsiFinD("ths_adjustment_nv_fund",Z$3,$A735))</x:f>
        <x:v>#NAME?</x:v>
      </x:c>
      <x:c r="AA735" s="146" t="e">
        <x:f>IF($A735="","",[1]!thsiFinD("ths_adjustment_nv_fund",AA$3,$A735))</x:f>
        <x:v>#NAME?</x:v>
      </x:c>
    </x:row>
    <x:row r="736">
      <x:c r="B736" s="146" t="e">
        <x:f>IF($A736="","",[1]!thsiFinD("ths_adjustment_nv_fund",B$3,$A736))</x:f>
        <x:v>#NAME?</x:v>
      </x:c>
      <x:c r="C736" s="146" t="e">
        <x:f>IF($A736="","",[1]!thsiFinD("ths_adjustment_nv_fund",C$3,$A736))</x:f>
        <x:v>#NAME?</x:v>
      </x:c>
      <x:c r="D736" s="146" t="e">
        <x:f>IF($A736="","",[1]!thsiFinD("ths_adjustment_nv_fund",D$3,$A736))</x:f>
        <x:v>#NAME?</x:v>
      </x:c>
      <x:c r="E736" s="146" t="e">
        <x:f>IF($A736="","",[1]!thsiFinD("ths_adjustment_nv_fund",E$3,$A736))</x:f>
        <x:v>#NAME?</x:v>
      </x:c>
      <x:c r="F736" s="146" t="e">
        <x:f>IF($A736="","",[1]!thsiFinD("ths_adjustment_nv_fund",F$3,$A736))</x:f>
        <x:v>#NAME?</x:v>
      </x:c>
      <x:c r="G736" s="146" t="e">
        <x:f>IF($A736="","",[1]!thsiFinD("ths_adjustment_nv_fund",G$3,$A736))</x:f>
        <x:v>#NAME?</x:v>
      </x:c>
      <x:c r="H736" s="146" t="e">
        <x:f>IF($A736="","",[1]!thsiFinD("ths_adjustment_nv_fund",H$3,$A736))</x:f>
        <x:v>#NAME?</x:v>
      </x:c>
      <x:c r="I736" s="146" t="e">
        <x:f>IF($A736="","",[1]!thsiFinD("ths_adjustment_nv_fund",I$3,$A736))</x:f>
        <x:v>#NAME?</x:v>
      </x:c>
      <x:c r="J736" s="146" t="e">
        <x:f>IF($A736="","",[1]!thsiFinD("ths_adjustment_nv_fund",J$3,$A736))</x:f>
        <x:v>#NAME?</x:v>
      </x:c>
      <x:c r="K736" s="146" t="e">
        <x:f>IF($A736="","",[1]!thsiFinD("ths_adjustment_nv_fund",K$3,$A736))</x:f>
        <x:v>#NAME?</x:v>
      </x:c>
      <x:c r="L736" s="146" t="e">
        <x:f>IF($A736="","",[1]!thsiFinD("ths_adjustment_nv_fund",L$3,$A736))</x:f>
        <x:v>#NAME?</x:v>
      </x:c>
      <x:c r="M736" s="146" t="e">
        <x:f>IF($A736="","",[1]!thsiFinD("ths_adjustment_nv_fund",M$3,$A736))</x:f>
        <x:v>#NAME?</x:v>
      </x:c>
      <x:c r="N736" s="146" t="e">
        <x:f>IF($A736="","",[1]!thsiFinD("ths_adjustment_nv_fund",N$3,$A736))</x:f>
        <x:v>#NAME?</x:v>
      </x:c>
      <x:c r="O736" s="146" t="e">
        <x:f>IF($A736="","",[1]!thsiFinD("ths_adjustment_nv_fund",O$3,$A736))</x:f>
        <x:v>#NAME?</x:v>
      </x:c>
      <x:c r="P736" s="146" t="e">
        <x:f>IF($A736="","",[1]!thsiFinD("ths_adjustment_nv_fund",P$3,$A736))</x:f>
        <x:v>#NAME?</x:v>
      </x:c>
      <x:c r="Q736" s="146" t="e">
        <x:f>IF($A736="","",[1]!thsiFinD("ths_adjustment_nv_fund",Q$3,$A736))</x:f>
        <x:v>#NAME?</x:v>
      </x:c>
      <x:c r="R736" s="146" t="e">
        <x:f>IF($A736="","",[1]!thsiFinD("ths_adjustment_nv_fund",R$3,$A736))</x:f>
        <x:v>#NAME?</x:v>
      </x:c>
      <x:c r="S736" s="146" t="e">
        <x:f>IF($A736="","",[1]!thsiFinD("ths_adjustment_nv_fund",S$3,$A736))</x:f>
        <x:v>#NAME?</x:v>
      </x:c>
      <x:c r="T736" s="146" t="e">
        <x:f>IF($A736="","",[1]!thsiFinD("ths_adjustment_nv_fund",T$3,$A736))</x:f>
        <x:v>#NAME?</x:v>
      </x:c>
      <x:c r="U736" s="146" t="e">
        <x:f>IF($A736="","",[1]!thsiFinD("ths_adjustment_nv_fund",U$3,$A736))</x:f>
        <x:v>#NAME?</x:v>
      </x:c>
      <x:c r="V736" s="146" t="e">
        <x:f>IF($A736="","",[1]!thsiFinD("ths_adjustment_nv_fund",V$3,$A736))</x:f>
        <x:v>#NAME?</x:v>
      </x:c>
      <x:c r="W736" s="146" t="e">
        <x:f>IF($A736="","",[1]!thsiFinD("ths_adjustment_nv_fund",W$3,$A736))</x:f>
        <x:v>#NAME?</x:v>
      </x:c>
      <x:c r="X736" s="146" t="e">
        <x:f>IF($A736="","",[1]!thsiFinD("ths_adjustment_nv_fund",X$3,$A736))</x:f>
        <x:v>#NAME?</x:v>
      </x:c>
      <x:c r="Y736" s="146" t="e">
        <x:f>IF($A736="","",[1]!thsiFinD("ths_adjustment_nv_fund",Y$3,$A736))</x:f>
        <x:v>#NAME?</x:v>
      </x:c>
      <x:c r="Z736" s="146" t="e">
        <x:f>IF($A736="","",[1]!thsiFinD("ths_adjustment_nv_fund",Z$3,$A736))</x:f>
        <x:v>#NAME?</x:v>
      </x:c>
      <x:c r="AA736" s="146" t="e">
        <x:f>IF($A736="","",[1]!thsiFinD("ths_adjustment_nv_fund",AA$3,$A736))</x:f>
        <x:v>#NAME?</x:v>
      </x:c>
    </x:row>
    <x:row r="737">
      <x:c r="B737" s="146" t="e">
        <x:f>IF($A737="","",[1]!thsiFinD("ths_adjustment_nv_fund",B$3,$A737))</x:f>
        <x:v>#NAME?</x:v>
      </x:c>
      <x:c r="C737" s="146" t="e">
        <x:f>IF($A737="","",[1]!thsiFinD("ths_adjustment_nv_fund",C$3,$A737))</x:f>
        <x:v>#NAME?</x:v>
      </x:c>
      <x:c r="D737" s="146" t="e">
        <x:f>IF($A737="","",[1]!thsiFinD("ths_adjustment_nv_fund",D$3,$A737))</x:f>
        <x:v>#NAME?</x:v>
      </x:c>
      <x:c r="E737" s="146" t="e">
        <x:f>IF($A737="","",[1]!thsiFinD("ths_adjustment_nv_fund",E$3,$A737))</x:f>
        <x:v>#NAME?</x:v>
      </x:c>
      <x:c r="F737" s="146" t="e">
        <x:f>IF($A737="","",[1]!thsiFinD("ths_adjustment_nv_fund",F$3,$A737))</x:f>
        <x:v>#NAME?</x:v>
      </x:c>
      <x:c r="G737" s="146" t="e">
        <x:f>IF($A737="","",[1]!thsiFinD("ths_adjustment_nv_fund",G$3,$A737))</x:f>
        <x:v>#NAME?</x:v>
      </x:c>
      <x:c r="H737" s="146" t="e">
        <x:f>IF($A737="","",[1]!thsiFinD("ths_adjustment_nv_fund",H$3,$A737))</x:f>
        <x:v>#NAME?</x:v>
      </x:c>
      <x:c r="I737" s="146" t="e">
        <x:f>IF($A737="","",[1]!thsiFinD("ths_adjustment_nv_fund",I$3,$A737))</x:f>
        <x:v>#NAME?</x:v>
      </x:c>
      <x:c r="J737" s="146" t="e">
        <x:f>IF($A737="","",[1]!thsiFinD("ths_adjustment_nv_fund",J$3,$A737))</x:f>
        <x:v>#NAME?</x:v>
      </x:c>
      <x:c r="K737" s="146" t="e">
        <x:f>IF($A737="","",[1]!thsiFinD("ths_adjustment_nv_fund",K$3,$A737))</x:f>
        <x:v>#NAME?</x:v>
      </x:c>
      <x:c r="L737" s="146" t="e">
        <x:f>IF($A737="","",[1]!thsiFinD("ths_adjustment_nv_fund",L$3,$A737))</x:f>
        <x:v>#NAME?</x:v>
      </x:c>
      <x:c r="M737" s="146" t="e">
        <x:f>IF($A737="","",[1]!thsiFinD("ths_adjustment_nv_fund",M$3,$A737))</x:f>
        <x:v>#NAME?</x:v>
      </x:c>
      <x:c r="N737" s="146" t="e">
        <x:f>IF($A737="","",[1]!thsiFinD("ths_adjustment_nv_fund",N$3,$A737))</x:f>
        <x:v>#NAME?</x:v>
      </x:c>
      <x:c r="O737" s="146" t="e">
        <x:f>IF($A737="","",[1]!thsiFinD("ths_adjustment_nv_fund",O$3,$A737))</x:f>
        <x:v>#NAME?</x:v>
      </x:c>
      <x:c r="P737" s="146" t="e">
        <x:f>IF($A737="","",[1]!thsiFinD("ths_adjustment_nv_fund",P$3,$A737))</x:f>
        <x:v>#NAME?</x:v>
      </x:c>
      <x:c r="Q737" s="146" t="e">
        <x:f>IF($A737="","",[1]!thsiFinD("ths_adjustment_nv_fund",Q$3,$A737))</x:f>
        <x:v>#NAME?</x:v>
      </x:c>
      <x:c r="R737" s="146" t="e">
        <x:f>IF($A737="","",[1]!thsiFinD("ths_adjustment_nv_fund",R$3,$A737))</x:f>
        <x:v>#NAME?</x:v>
      </x:c>
      <x:c r="S737" s="146" t="e">
        <x:f>IF($A737="","",[1]!thsiFinD("ths_adjustment_nv_fund",S$3,$A737))</x:f>
        <x:v>#NAME?</x:v>
      </x:c>
      <x:c r="T737" s="146" t="e">
        <x:f>IF($A737="","",[1]!thsiFinD("ths_adjustment_nv_fund",T$3,$A737))</x:f>
        <x:v>#NAME?</x:v>
      </x:c>
      <x:c r="U737" s="146" t="e">
        <x:f>IF($A737="","",[1]!thsiFinD("ths_adjustment_nv_fund",U$3,$A737))</x:f>
        <x:v>#NAME?</x:v>
      </x:c>
      <x:c r="V737" s="146" t="e">
        <x:f>IF($A737="","",[1]!thsiFinD("ths_adjustment_nv_fund",V$3,$A737))</x:f>
        <x:v>#NAME?</x:v>
      </x:c>
      <x:c r="W737" s="146" t="e">
        <x:f>IF($A737="","",[1]!thsiFinD("ths_adjustment_nv_fund",W$3,$A737))</x:f>
        <x:v>#NAME?</x:v>
      </x:c>
      <x:c r="X737" s="146" t="e">
        <x:f>IF($A737="","",[1]!thsiFinD("ths_adjustment_nv_fund",X$3,$A737))</x:f>
        <x:v>#NAME?</x:v>
      </x:c>
      <x:c r="Y737" s="146" t="e">
        <x:f>IF($A737="","",[1]!thsiFinD("ths_adjustment_nv_fund",Y$3,$A737))</x:f>
        <x:v>#NAME?</x:v>
      </x:c>
      <x:c r="Z737" s="146" t="e">
        <x:f>IF($A737="","",[1]!thsiFinD("ths_adjustment_nv_fund",Z$3,$A737))</x:f>
        <x:v>#NAME?</x:v>
      </x:c>
      <x:c r="AA737" s="146" t="e">
        <x:f>IF($A737="","",[1]!thsiFinD("ths_adjustment_nv_fund",AA$3,$A737))</x:f>
        <x:v>#NAME?</x:v>
      </x:c>
    </x:row>
    <x:row r="738">
      <x:c r="B738" s="146" t="e">
        <x:f>IF($A738="","",[1]!thsiFinD("ths_adjustment_nv_fund",B$3,$A738))</x:f>
        <x:v>#NAME?</x:v>
      </x:c>
      <x:c r="C738" s="146" t="e">
        <x:f>IF($A738="","",[1]!thsiFinD("ths_adjustment_nv_fund",C$3,$A738))</x:f>
        <x:v>#NAME?</x:v>
      </x:c>
      <x:c r="D738" s="146" t="e">
        <x:f>IF($A738="","",[1]!thsiFinD("ths_adjustment_nv_fund",D$3,$A738))</x:f>
        <x:v>#NAME?</x:v>
      </x:c>
      <x:c r="E738" s="146" t="e">
        <x:f>IF($A738="","",[1]!thsiFinD("ths_adjustment_nv_fund",E$3,$A738))</x:f>
        <x:v>#NAME?</x:v>
      </x:c>
      <x:c r="F738" s="146" t="e">
        <x:f>IF($A738="","",[1]!thsiFinD("ths_adjustment_nv_fund",F$3,$A738))</x:f>
        <x:v>#NAME?</x:v>
      </x:c>
      <x:c r="G738" s="146" t="e">
        <x:f>IF($A738="","",[1]!thsiFinD("ths_adjustment_nv_fund",G$3,$A738))</x:f>
        <x:v>#NAME?</x:v>
      </x:c>
      <x:c r="H738" s="146" t="e">
        <x:f>IF($A738="","",[1]!thsiFinD("ths_adjustment_nv_fund",H$3,$A738))</x:f>
        <x:v>#NAME?</x:v>
      </x:c>
      <x:c r="I738" s="146" t="e">
        <x:f>IF($A738="","",[1]!thsiFinD("ths_adjustment_nv_fund",I$3,$A738))</x:f>
        <x:v>#NAME?</x:v>
      </x:c>
      <x:c r="J738" s="146" t="e">
        <x:f>IF($A738="","",[1]!thsiFinD("ths_adjustment_nv_fund",J$3,$A738))</x:f>
        <x:v>#NAME?</x:v>
      </x:c>
      <x:c r="K738" s="146" t="e">
        <x:f>IF($A738="","",[1]!thsiFinD("ths_adjustment_nv_fund",K$3,$A738))</x:f>
        <x:v>#NAME?</x:v>
      </x:c>
      <x:c r="L738" s="146" t="e">
        <x:f>IF($A738="","",[1]!thsiFinD("ths_adjustment_nv_fund",L$3,$A738))</x:f>
        <x:v>#NAME?</x:v>
      </x:c>
      <x:c r="M738" s="146" t="e">
        <x:f>IF($A738="","",[1]!thsiFinD("ths_adjustment_nv_fund",M$3,$A738))</x:f>
        <x:v>#NAME?</x:v>
      </x:c>
      <x:c r="N738" s="146" t="e">
        <x:f>IF($A738="","",[1]!thsiFinD("ths_adjustment_nv_fund",N$3,$A738))</x:f>
        <x:v>#NAME?</x:v>
      </x:c>
      <x:c r="O738" s="146" t="e">
        <x:f>IF($A738="","",[1]!thsiFinD("ths_adjustment_nv_fund",O$3,$A738))</x:f>
        <x:v>#NAME?</x:v>
      </x:c>
      <x:c r="P738" s="146" t="e">
        <x:f>IF($A738="","",[1]!thsiFinD("ths_adjustment_nv_fund",P$3,$A738))</x:f>
        <x:v>#NAME?</x:v>
      </x:c>
      <x:c r="Q738" s="146" t="e">
        <x:f>IF($A738="","",[1]!thsiFinD("ths_adjustment_nv_fund",Q$3,$A738))</x:f>
        <x:v>#NAME?</x:v>
      </x:c>
      <x:c r="R738" s="146" t="e">
        <x:f>IF($A738="","",[1]!thsiFinD("ths_adjustment_nv_fund",R$3,$A738))</x:f>
        <x:v>#NAME?</x:v>
      </x:c>
      <x:c r="S738" s="146" t="e">
        <x:f>IF($A738="","",[1]!thsiFinD("ths_adjustment_nv_fund",S$3,$A738))</x:f>
        <x:v>#NAME?</x:v>
      </x:c>
      <x:c r="T738" s="146" t="e">
        <x:f>IF($A738="","",[1]!thsiFinD("ths_adjustment_nv_fund",T$3,$A738))</x:f>
        <x:v>#NAME?</x:v>
      </x:c>
      <x:c r="U738" s="146" t="e">
        <x:f>IF($A738="","",[1]!thsiFinD("ths_adjustment_nv_fund",U$3,$A738))</x:f>
        <x:v>#NAME?</x:v>
      </x:c>
      <x:c r="V738" s="146" t="e">
        <x:f>IF($A738="","",[1]!thsiFinD("ths_adjustment_nv_fund",V$3,$A738))</x:f>
        <x:v>#NAME?</x:v>
      </x:c>
      <x:c r="W738" s="146" t="e">
        <x:f>IF($A738="","",[1]!thsiFinD("ths_adjustment_nv_fund",W$3,$A738))</x:f>
        <x:v>#NAME?</x:v>
      </x:c>
      <x:c r="X738" s="146" t="e">
        <x:f>IF($A738="","",[1]!thsiFinD("ths_adjustment_nv_fund",X$3,$A738))</x:f>
        <x:v>#NAME?</x:v>
      </x:c>
      <x:c r="Y738" s="146" t="e">
        <x:f>IF($A738="","",[1]!thsiFinD("ths_adjustment_nv_fund",Y$3,$A738))</x:f>
        <x:v>#NAME?</x:v>
      </x:c>
      <x:c r="Z738" s="146" t="e">
        <x:f>IF($A738="","",[1]!thsiFinD("ths_adjustment_nv_fund",Z$3,$A738))</x:f>
        <x:v>#NAME?</x:v>
      </x:c>
      <x:c r="AA738" s="146" t="e">
        <x:f>IF($A738="","",[1]!thsiFinD("ths_adjustment_nv_fund",AA$3,$A738))</x:f>
        <x:v>#NAME?</x:v>
      </x:c>
    </x:row>
    <x:row r="739">
      <x:c r="B739" s="146" t="e">
        <x:f>IF($A739="","",[1]!thsiFinD("ths_adjustment_nv_fund",B$3,$A739))</x:f>
        <x:v>#NAME?</x:v>
      </x:c>
      <x:c r="C739" s="146" t="e">
        <x:f>IF($A739="","",[1]!thsiFinD("ths_adjustment_nv_fund",C$3,$A739))</x:f>
        <x:v>#NAME?</x:v>
      </x:c>
      <x:c r="D739" s="146" t="e">
        <x:f>IF($A739="","",[1]!thsiFinD("ths_adjustment_nv_fund",D$3,$A739))</x:f>
        <x:v>#NAME?</x:v>
      </x:c>
      <x:c r="E739" s="146" t="e">
        <x:f>IF($A739="","",[1]!thsiFinD("ths_adjustment_nv_fund",E$3,$A739))</x:f>
        <x:v>#NAME?</x:v>
      </x:c>
      <x:c r="F739" s="146" t="e">
        <x:f>IF($A739="","",[1]!thsiFinD("ths_adjustment_nv_fund",F$3,$A739))</x:f>
        <x:v>#NAME?</x:v>
      </x:c>
      <x:c r="G739" s="146" t="e">
        <x:f>IF($A739="","",[1]!thsiFinD("ths_adjustment_nv_fund",G$3,$A739))</x:f>
        <x:v>#NAME?</x:v>
      </x:c>
      <x:c r="H739" s="146" t="e">
        <x:f>IF($A739="","",[1]!thsiFinD("ths_adjustment_nv_fund",H$3,$A739))</x:f>
        <x:v>#NAME?</x:v>
      </x:c>
      <x:c r="I739" s="146" t="e">
        <x:f>IF($A739="","",[1]!thsiFinD("ths_adjustment_nv_fund",I$3,$A739))</x:f>
        <x:v>#NAME?</x:v>
      </x:c>
      <x:c r="J739" s="146" t="e">
        <x:f>IF($A739="","",[1]!thsiFinD("ths_adjustment_nv_fund",J$3,$A739))</x:f>
        <x:v>#NAME?</x:v>
      </x:c>
      <x:c r="K739" s="146" t="e">
        <x:f>IF($A739="","",[1]!thsiFinD("ths_adjustment_nv_fund",K$3,$A739))</x:f>
        <x:v>#NAME?</x:v>
      </x:c>
      <x:c r="L739" s="146" t="e">
        <x:f>IF($A739="","",[1]!thsiFinD("ths_adjustment_nv_fund",L$3,$A739))</x:f>
        <x:v>#NAME?</x:v>
      </x:c>
      <x:c r="M739" s="146" t="e">
        <x:f>IF($A739="","",[1]!thsiFinD("ths_adjustment_nv_fund",M$3,$A739))</x:f>
        <x:v>#NAME?</x:v>
      </x:c>
      <x:c r="N739" s="146" t="e">
        <x:f>IF($A739="","",[1]!thsiFinD("ths_adjustment_nv_fund",N$3,$A739))</x:f>
        <x:v>#NAME?</x:v>
      </x:c>
      <x:c r="O739" s="146" t="e">
        <x:f>IF($A739="","",[1]!thsiFinD("ths_adjustment_nv_fund",O$3,$A739))</x:f>
        <x:v>#NAME?</x:v>
      </x:c>
      <x:c r="P739" s="146" t="e">
        <x:f>IF($A739="","",[1]!thsiFinD("ths_adjustment_nv_fund",P$3,$A739))</x:f>
        <x:v>#NAME?</x:v>
      </x:c>
      <x:c r="Q739" s="146" t="e">
        <x:f>IF($A739="","",[1]!thsiFinD("ths_adjustment_nv_fund",Q$3,$A739))</x:f>
        <x:v>#NAME?</x:v>
      </x:c>
      <x:c r="R739" s="146" t="e">
        <x:f>IF($A739="","",[1]!thsiFinD("ths_adjustment_nv_fund",R$3,$A739))</x:f>
        <x:v>#NAME?</x:v>
      </x:c>
      <x:c r="S739" s="146" t="e">
        <x:f>IF($A739="","",[1]!thsiFinD("ths_adjustment_nv_fund",S$3,$A739))</x:f>
        <x:v>#NAME?</x:v>
      </x:c>
      <x:c r="T739" s="146" t="e">
        <x:f>IF($A739="","",[1]!thsiFinD("ths_adjustment_nv_fund",T$3,$A739))</x:f>
        <x:v>#NAME?</x:v>
      </x:c>
      <x:c r="U739" s="146" t="e">
        <x:f>IF($A739="","",[1]!thsiFinD("ths_adjustment_nv_fund",U$3,$A739))</x:f>
        <x:v>#NAME?</x:v>
      </x:c>
      <x:c r="V739" s="146" t="e">
        <x:f>IF($A739="","",[1]!thsiFinD("ths_adjustment_nv_fund",V$3,$A739))</x:f>
        <x:v>#NAME?</x:v>
      </x:c>
      <x:c r="W739" s="146" t="e">
        <x:f>IF($A739="","",[1]!thsiFinD("ths_adjustment_nv_fund",W$3,$A739))</x:f>
        <x:v>#NAME?</x:v>
      </x:c>
      <x:c r="X739" s="146" t="e">
        <x:f>IF($A739="","",[1]!thsiFinD("ths_adjustment_nv_fund",X$3,$A739))</x:f>
        <x:v>#NAME?</x:v>
      </x:c>
      <x:c r="Y739" s="146" t="e">
        <x:f>IF($A739="","",[1]!thsiFinD("ths_adjustment_nv_fund",Y$3,$A739))</x:f>
        <x:v>#NAME?</x:v>
      </x:c>
      <x:c r="Z739" s="146" t="e">
        <x:f>IF($A739="","",[1]!thsiFinD("ths_adjustment_nv_fund",Z$3,$A739))</x:f>
        <x:v>#NAME?</x:v>
      </x:c>
      <x:c r="AA739" s="146" t="e">
        <x:f>IF($A739="","",[1]!thsiFinD("ths_adjustment_nv_fund",AA$3,$A739))</x:f>
        <x:v>#NAME?</x:v>
      </x:c>
    </x:row>
    <x:row r="740">
      <x:c r="B740" s="146" t="e">
        <x:f>IF($A740="","",[1]!thsiFinD("ths_adjustment_nv_fund",B$3,$A740))</x:f>
        <x:v>#NAME?</x:v>
      </x:c>
      <x:c r="C740" s="146" t="e">
        <x:f>IF($A740="","",[1]!thsiFinD("ths_adjustment_nv_fund",C$3,$A740))</x:f>
        <x:v>#NAME?</x:v>
      </x:c>
      <x:c r="D740" s="146" t="e">
        <x:f>IF($A740="","",[1]!thsiFinD("ths_adjustment_nv_fund",D$3,$A740))</x:f>
        <x:v>#NAME?</x:v>
      </x:c>
      <x:c r="E740" s="146" t="e">
        <x:f>IF($A740="","",[1]!thsiFinD("ths_adjustment_nv_fund",E$3,$A740))</x:f>
        <x:v>#NAME?</x:v>
      </x:c>
      <x:c r="F740" s="146" t="e">
        <x:f>IF($A740="","",[1]!thsiFinD("ths_adjustment_nv_fund",F$3,$A740))</x:f>
        <x:v>#NAME?</x:v>
      </x:c>
      <x:c r="G740" s="146" t="e">
        <x:f>IF($A740="","",[1]!thsiFinD("ths_adjustment_nv_fund",G$3,$A740))</x:f>
        <x:v>#NAME?</x:v>
      </x:c>
      <x:c r="H740" s="146" t="e">
        <x:f>IF($A740="","",[1]!thsiFinD("ths_adjustment_nv_fund",H$3,$A740))</x:f>
        <x:v>#NAME?</x:v>
      </x:c>
      <x:c r="I740" s="146" t="e">
        <x:f>IF($A740="","",[1]!thsiFinD("ths_adjustment_nv_fund",I$3,$A740))</x:f>
        <x:v>#NAME?</x:v>
      </x:c>
      <x:c r="J740" s="146" t="e">
        <x:f>IF($A740="","",[1]!thsiFinD("ths_adjustment_nv_fund",J$3,$A740))</x:f>
        <x:v>#NAME?</x:v>
      </x:c>
      <x:c r="K740" s="146" t="e">
        <x:f>IF($A740="","",[1]!thsiFinD("ths_adjustment_nv_fund",K$3,$A740))</x:f>
        <x:v>#NAME?</x:v>
      </x:c>
      <x:c r="L740" s="146" t="e">
        <x:f>IF($A740="","",[1]!thsiFinD("ths_adjustment_nv_fund",L$3,$A740))</x:f>
        <x:v>#NAME?</x:v>
      </x:c>
      <x:c r="M740" s="146" t="e">
        <x:f>IF($A740="","",[1]!thsiFinD("ths_adjustment_nv_fund",M$3,$A740))</x:f>
        <x:v>#NAME?</x:v>
      </x:c>
      <x:c r="N740" s="146" t="e">
        <x:f>IF($A740="","",[1]!thsiFinD("ths_adjustment_nv_fund",N$3,$A740))</x:f>
        <x:v>#NAME?</x:v>
      </x:c>
      <x:c r="O740" s="146" t="e">
        <x:f>IF($A740="","",[1]!thsiFinD("ths_adjustment_nv_fund",O$3,$A740))</x:f>
        <x:v>#NAME?</x:v>
      </x:c>
      <x:c r="P740" s="146" t="e">
        <x:f>IF($A740="","",[1]!thsiFinD("ths_adjustment_nv_fund",P$3,$A740))</x:f>
        <x:v>#NAME?</x:v>
      </x:c>
      <x:c r="Q740" s="146" t="e">
        <x:f>IF($A740="","",[1]!thsiFinD("ths_adjustment_nv_fund",Q$3,$A740))</x:f>
        <x:v>#NAME?</x:v>
      </x:c>
      <x:c r="R740" s="146" t="e">
        <x:f>IF($A740="","",[1]!thsiFinD("ths_adjustment_nv_fund",R$3,$A740))</x:f>
        <x:v>#NAME?</x:v>
      </x:c>
      <x:c r="S740" s="146" t="e">
        <x:f>IF($A740="","",[1]!thsiFinD("ths_adjustment_nv_fund",S$3,$A740))</x:f>
        <x:v>#NAME?</x:v>
      </x:c>
      <x:c r="T740" s="146" t="e">
        <x:f>IF($A740="","",[1]!thsiFinD("ths_adjustment_nv_fund",T$3,$A740))</x:f>
        <x:v>#NAME?</x:v>
      </x:c>
      <x:c r="U740" s="146" t="e">
        <x:f>IF($A740="","",[1]!thsiFinD("ths_adjustment_nv_fund",U$3,$A740))</x:f>
        <x:v>#NAME?</x:v>
      </x:c>
      <x:c r="V740" s="146" t="e">
        <x:f>IF($A740="","",[1]!thsiFinD("ths_adjustment_nv_fund",V$3,$A740))</x:f>
        <x:v>#NAME?</x:v>
      </x:c>
      <x:c r="W740" s="146" t="e">
        <x:f>IF($A740="","",[1]!thsiFinD("ths_adjustment_nv_fund",W$3,$A740))</x:f>
        <x:v>#NAME?</x:v>
      </x:c>
      <x:c r="X740" s="146" t="e">
        <x:f>IF($A740="","",[1]!thsiFinD("ths_adjustment_nv_fund",X$3,$A740))</x:f>
        <x:v>#NAME?</x:v>
      </x:c>
      <x:c r="Y740" s="146" t="e">
        <x:f>IF($A740="","",[1]!thsiFinD("ths_adjustment_nv_fund",Y$3,$A740))</x:f>
        <x:v>#NAME?</x:v>
      </x:c>
      <x:c r="Z740" s="146" t="e">
        <x:f>IF($A740="","",[1]!thsiFinD("ths_adjustment_nv_fund",Z$3,$A740))</x:f>
        <x:v>#NAME?</x:v>
      </x:c>
      <x:c r="AA740" s="146" t="e">
        <x:f>IF($A740="","",[1]!thsiFinD("ths_adjustment_nv_fund",AA$3,$A740))</x:f>
        <x:v>#NAME?</x:v>
      </x:c>
    </x:row>
    <x:row r="741">
      <x:c r="B741" s="146" t="e">
        <x:f>IF($A741="","",[1]!thsiFinD("ths_adjustment_nv_fund",B$3,$A741))</x:f>
        <x:v>#NAME?</x:v>
      </x:c>
      <x:c r="C741" s="146" t="e">
        <x:f>IF($A741="","",[1]!thsiFinD("ths_adjustment_nv_fund",C$3,$A741))</x:f>
        <x:v>#NAME?</x:v>
      </x:c>
      <x:c r="D741" s="146" t="e">
        <x:f>IF($A741="","",[1]!thsiFinD("ths_adjustment_nv_fund",D$3,$A741))</x:f>
        <x:v>#NAME?</x:v>
      </x:c>
      <x:c r="E741" s="146" t="e">
        <x:f>IF($A741="","",[1]!thsiFinD("ths_adjustment_nv_fund",E$3,$A741))</x:f>
        <x:v>#NAME?</x:v>
      </x:c>
      <x:c r="F741" s="146" t="e">
        <x:f>IF($A741="","",[1]!thsiFinD("ths_adjustment_nv_fund",F$3,$A741))</x:f>
        <x:v>#NAME?</x:v>
      </x:c>
      <x:c r="G741" s="146" t="e">
        <x:f>IF($A741="","",[1]!thsiFinD("ths_adjustment_nv_fund",G$3,$A741))</x:f>
        <x:v>#NAME?</x:v>
      </x:c>
      <x:c r="H741" s="146" t="e">
        <x:f>IF($A741="","",[1]!thsiFinD("ths_adjustment_nv_fund",H$3,$A741))</x:f>
        <x:v>#NAME?</x:v>
      </x:c>
      <x:c r="I741" s="146" t="e">
        <x:f>IF($A741="","",[1]!thsiFinD("ths_adjustment_nv_fund",I$3,$A741))</x:f>
        <x:v>#NAME?</x:v>
      </x:c>
      <x:c r="J741" s="146" t="e">
        <x:f>IF($A741="","",[1]!thsiFinD("ths_adjustment_nv_fund",J$3,$A741))</x:f>
        <x:v>#NAME?</x:v>
      </x:c>
      <x:c r="K741" s="146" t="e">
        <x:f>IF($A741="","",[1]!thsiFinD("ths_adjustment_nv_fund",K$3,$A741))</x:f>
        <x:v>#NAME?</x:v>
      </x:c>
      <x:c r="L741" s="146" t="e">
        <x:f>IF($A741="","",[1]!thsiFinD("ths_adjustment_nv_fund",L$3,$A741))</x:f>
        <x:v>#NAME?</x:v>
      </x:c>
      <x:c r="M741" s="146" t="e">
        <x:f>IF($A741="","",[1]!thsiFinD("ths_adjustment_nv_fund",M$3,$A741))</x:f>
        <x:v>#NAME?</x:v>
      </x:c>
      <x:c r="N741" s="146" t="e">
        <x:f>IF($A741="","",[1]!thsiFinD("ths_adjustment_nv_fund",N$3,$A741))</x:f>
        <x:v>#NAME?</x:v>
      </x:c>
      <x:c r="O741" s="146" t="e">
        <x:f>IF($A741="","",[1]!thsiFinD("ths_adjustment_nv_fund",O$3,$A741))</x:f>
        <x:v>#NAME?</x:v>
      </x:c>
      <x:c r="P741" s="146" t="e">
        <x:f>IF($A741="","",[1]!thsiFinD("ths_adjustment_nv_fund",P$3,$A741))</x:f>
        <x:v>#NAME?</x:v>
      </x:c>
      <x:c r="Q741" s="146" t="e">
        <x:f>IF($A741="","",[1]!thsiFinD("ths_adjustment_nv_fund",Q$3,$A741))</x:f>
        <x:v>#NAME?</x:v>
      </x:c>
      <x:c r="R741" s="146" t="e">
        <x:f>IF($A741="","",[1]!thsiFinD("ths_adjustment_nv_fund",R$3,$A741))</x:f>
        <x:v>#NAME?</x:v>
      </x:c>
      <x:c r="S741" s="146" t="e">
        <x:f>IF($A741="","",[1]!thsiFinD("ths_adjustment_nv_fund",S$3,$A741))</x:f>
        <x:v>#NAME?</x:v>
      </x:c>
      <x:c r="T741" s="146" t="e">
        <x:f>IF($A741="","",[1]!thsiFinD("ths_adjustment_nv_fund",T$3,$A741))</x:f>
        <x:v>#NAME?</x:v>
      </x:c>
      <x:c r="U741" s="146" t="e">
        <x:f>IF($A741="","",[1]!thsiFinD("ths_adjustment_nv_fund",U$3,$A741))</x:f>
        <x:v>#NAME?</x:v>
      </x:c>
      <x:c r="V741" s="146" t="e">
        <x:f>IF($A741="","",[1]!thsiFinD("ths_adjustment_nv_fund",V$3,$A741))</x:f>
        <x:v>#NAME?</x:v>
      </x:c>
      <x:c r="W741" s="146" t="e">
        <x:f>IF($A741="","",[1]!thsiFinD("ths_adjustment_nv_fund",W$3,$A741))</x:f>
        <x:v>#NAME?</x:v>
      </x:c>
      <x:c r="X741" s="146" t="e">
        <x:f>IF($A741="","",[1]!thsiFinD("ths_adjustment_nv_fund",X$3,$A741))</x:f>
        <x:v>#NAME?</x:v>
      </x:c>
      <x:c r="Y741" s="146" t="e">
        <x:f>IF($A741="","",[1]!thsiFinD("ths_adjustment_nv_fund",Y$3,$A741))</x:f>
        <x:v>#NAME?</x:v>
      </x:c>
      <x:c r="Z741" s="146" t="e">
        <x:f>IF($A741="","",[1]!thsiFinD("ths_adjustment_nv_fund",Z$3,$A741))</x:f>
        <x:v>#NAME?</x:v>
      </x:c>
      <x:c r="AA741" s="146" t="e">
        <x:f>IF($A741="","",[1]!thsiFinD("ths_adjustment_nv_fund",AA$3,$A741))</x:f>
        <x:v>#NAME?</x:v>
      </x:c>
    </x:row>
    <x:row r="742">
      <x:c r="B742" s="146" t="e">
        <x:f>IF($A742="","",[1]!thsiFinD("ths_adjustment_nv_fund",B$3,$A742))</x:f>
        <x:v>#NAME?</x:v>
      </x:c>
      <x:c r="C742" s="146" t="e">
        <x:f>IF($A742="","",[1]!thsiFinD("ths_adjustment_nv_fund",C$3,$A742))</x:f>
        <x:v>#NAME?</x:v>
      </x:c>
      <x:c r="D742" s="146" t="e">
        <x:f>IF($A742="","",[1]!thsiFinD("ths_adjustment_nv_fund",D$3,$A742))</x:f>
        <x:v>#NAME?</x:v>
      </x:c>
      <x:c r="E742" s="146" t="e">
        <x:f>IF($A742="","",[1]!thsiFinD("ths_adjustment_nv_fund",E$3,$A742))</x:f>
        <x:v>#NAME?</x:v>
      </x:c>
      <x:c r="F742" s="146" t="e">
        <x:f>IF($A742="","",[1]!thsiFinD("ths_adjustment_nv_fund",F$3,$A742))</x:f>
        <x:v>#NAME?</x:v>
      </x:c>
      <x:c r="G742" s="146" t="e">
        <x:f>IF($A742="","",[1]!thsiFinD("ths_adjustment_nv_fund",G$3,$A742))</x:f>
        <x:v>#NAME?</x:v>
      </x:c>
      <x:c r="H742" s="146" t="e">
        <x:f>IF($A742="","",[1]!thsiFinD("ths_adjustment_nv_fund",H$3,$A742))</x:f>
        <x:v>#NAME?</x:v>
      </x:c>
      <x:c r="I742" s="146" t="e">
        <x:f>IF($A742="","",[1]!thsiFinD("ths_adjustment_nv_fund",I$3,$A742))</x:f>
        <x:v>#NAME?</x:v>
      </x:c>
      <x:c r="J742" s="146" t="e">
        <x:f>IF($A742="","",[1]!thsiFinD("ths_adjustment_nv_fund",J$3,$A742))</x:f>
        <x:v>#NAME?</x:v>
      </x:c>
      <x:c r="K742" s="146" t="e">
        <x:f>IF($A742="","",[1]!thsiFinD("ths_adjustment_nv_fund",K$3,$A742))</x:f>
        <x:v>#NAME?</x:v>
      </x:c>
      <x:c r="L742" s="146" t="e">
        <x:f>IF($A742="","",[1]!thsiFinD("ths_adjustment_nv_fund",L$3,$A742))</x:f>
        <x:v>#NAME?</x:v>
      </x:c>
      <x:c r="M742" s="146" t="e">
        <x:f>IF($A742="","",[1]!thsiFinD("ths_adjustment_nv_fund",M$3,$A742))</x:f>
        <x:v>#NAME?</x:v>
      </x:c>
      <x:c r="N742" s="146" t="e">
        <x:f>IF($A742="","",[1]!thsiFinD("ths_adjustment_nv_fund",N$3,$A742))</x:f>
        <x:v>#NAME?</x:v>
      </x:c>
      <x:c r="O742" s="146" t="e">
        <x:f>IF($A742="","",[1]!thsiFinD("ths_adjustment_nv_fund",O$3,$A742))</x:f>
        <x:v>#NAME?</x:v>
      </x:c>
      <x:c r="P742" s="146" t="e">
        <x:f>IF($A742="","",[1]!thsiFinD("ths_adjustment_nv_fund",P$3,$A742))</x:f>
        <x:v>#NAME?</x:v>
      </x:c>
      <x:c r="Q742" s="146" t="e">
        <x:f>IF($A742="","",[1]!thsiFinD("ths_adjustment_nv_fund",Q$3,$A742))</x:f>
        <x:v>#NAME?</x:v>
      </x:c>
      <x:c r="R742" s="146" t="e">
        <x:f>IF($A742="","",[1]!thsiFinD("ths_adjustment_nv_fund",R$3,$A742))</x:f>
        <x:v>#NAME?</x:v>
      </x:c>
      <x:c r="S742" s="146" t="e">
        <x:f>IF($A742="","",[1]!thsiFinD("ths_adjustment_nv_fund",S$3,$A742))</x:f>
        <x:v>#NAME?</x:v>
      </x:c>
      <x:c r="T742" s="146" t="e">
        <x:f>IF($A742="","",[1]!thsiFinD("ths_adjustment_nv_fund",T$3,$A742))</x:f>
        <x:v>#NAME?</x:v>
      </x:c>
      <x:c r="U742" s="146" t="e">
        <x:f>IF($A742="","",[1]!thsiFinD("ths_adjustment_nv_fund",U$3,$A742))</x:f>
        <x:v>#NAME?</x:v>
      </x:c>
      <x:c r="V742" s="146" t="e">
        <x:f>IF($A742="","",[1]!thsiFinD("ths_adjustment_nv_fund",V$3,$A742))</x:f>
        <x:v>#NAME?</x:v>
      </x:c>
      <x:c r="W742" s="146" t="e">
        <x:f>IF($A742="","",[1]!thsiFinD("ths_adjustment_nv_fund",W$3,$A742))</x:f>
        <x:v>#NAME?</x:v>
      </x:c>
      <x:c r="X742" s="146" t="e">
        <x:f>IF($A742="","",[1]!thsiFinD("ths_adjustment_nv_fund",X$3,$A742))</x:f>
        <x:v>#NAME?</x:v>
      </x:c>
      <x:c r="Y742" s="146" t="e">
        <x:f>IF($A742="","",[1]!thsiFinD("ths_adjustment_nv_fund",Y$3,$A742))</x:f>
        <x:v>#NAME?</x:v>
      </x:c>
      <x:c r="Z742" s="146" t="e">
        <x:f>IF($A742="","",[1]!thsiFinD("ths_adjustment_nv_fund",Z$3,$A742))</x:f>
        <x:v>#NAME?</x:v>
      </x:c>
      <x:c r="AA742" s="146" t="e">
        <x:f>IF($A742="","",[1]!thsiFinD("ths_adjustment_nv_fund",AA$3,$A742))</x:f>
        <x:v>#NAME?</x:v>
      </x:c>
    </x:row>
    <x:row r="743">
      <x:c r="B743" s="146" t="e">
        <x:f>IF($A743="","",[1]!thsiFinD("ths_adjustment_nv_fund",B$3,$A743))</x:f>
        <x:v>#NAME?</x:v>
      </x:c>
      <x:c r="C743" s="146" t="e">
        <x:f>IF($A743="","",[1]!thsiFinD("ths_adjustment_nv_fund",C$3,$A743))</x:f>
        <x:v>#NAME?</x:v>
      </x:c>
      <x:c r="D743" s="146" t="e">
        <x:f>IF($A743="","",[1]!thsiFinD("ths_adjustment_nv_fund",D$3,$A743))</x:f>
        <x:v>#NAME?</x:v>
      </x:c>
      <x:c r="E743" s="146" t="e">
        <x:f>IF($A743="","",[1]!thsiFinD("ths_adjustment_nv_fund",E$3,$A743))</x:f>
        <x:v>#NAME?</x:v>
      </x:c>
      <x:c r="F743" s="146" t="e">
        <x:f>IF($A743="","",[1]!thsiFinD("ths_adjustment_nv_fund",F$3,$A743))</x:f>
        <x:v>#NAME?</x:v>
      </x:c>
      <x:c r="G743" s="146" t="e">
        <x:f>IF($A743="","",[1]!thsiFinD("ths_adjustment_nv_fund",G$3,$A743))</x:f>
        <x:v>#NAME?</x:v>
      </x:c>
      <x:c r="H743" s="146" t="e">
        <x:f>IF($A743="","",[1]!thsiFinD("ths_adjustment_nv_fund",H$3,$A743))</x:f>
        <x:v>#NAME?</x:v>
      </x:c>
      <x:c r="I743" s="146" t="e">
        <x:f>IF($A743="","",[1]!thsiFinD("ths_adjustment_nv_fund",I$3,$A743))</x:f>
        <x:v>#NAME?</x:v>
      </x:c>
      <x:c r="J743" s="146" t="e">
        <x:f>IF($A743="","",[1]!thsiFinD("ths_adjustment_nv_fund",J$3,$A743))</x:f>
        <x:v>#NAME?</x:v>
      </x:c>
      <x:c r="K743" s="146" t="e">
        <x:f>IF($A743="","",[1]!thsiFinD("ths_adjustment_nv_fund",K$3,$A743))</x:f>
        <x:v>#NAME?</x:v>
      </x:c>
      <x:c r="L743" s="146" t="e">
        <x:f>IF($A743="","",[1]!thsiFinD("ths_adjustment_nv_fund",L$3,$A743))</x:f>
        <x:v>#NAME?</x:v>
      </x:c>
      <x:c r="M743" s="146" t="e">
        <x:f>IF($A743="","",[1]!thsiFinD("ths_adjustment_nv_fund",M$3,$A743))</x:f>
        <x:v>#NAME?</x:v>
      </x:c>
      <x:c r="N743" s="146" t="e">
        <x:f>IF($A743="","",[1]!thsiFinD("ths_adjustment_nv_fund",N$3,$A743))</x:f>
        <x:v>#NAME?</x:v>
      </x:c>
      <x:c r="O743" s="146" t="e">
        <x:f>IF($A743="","",[1]!thsiFinD("ths_adjustment_nv_fund",O$3,$A743))</x:f>
        <x:v>#NAME?</x:v>
      </x:c>
      <x:c r="P743" s="146" t="e">
        <x:f>IF($A743="","",[1]!thsiFinD("ths_adjustment_nv_fund",P$3,$A743))</x:f>
        <x:v>#NAME?</x:v>
      </x:c>
      <x:c r="Q743" s="146" t="e">
        <x:f>IF($A743="","",[1]!thsiFinD("ths_adjustment_nv_fund",Q$3,$A743))</x:f>
        <x:v>#NAME?</x:v>
      </x:c>
      <x:c r="R743" s="146" t="e">
        <x:f>IF($A743="","",[1]!thsiFinD("ths_adjustment_nv_fund",R$3,$A743))</x:f>
        <x:v>#NAME?</x:v>
      </x:c>
      <x:c r="S743" s="146" t="e">
        <x:f>IF($A743="","",[1]!thsiFinD("ths_adjustment_nv_fund",S$3,$A743))</x:f>
        <x:v>#NAME?</x:v>
      </x:c>
      <x:c r="T743" s="146" t="e">
        <x:f>IF($A743="","",[1]!thsiFinD("ths_adjustment_nv_fund",T$3,$A743))</x:f>
        <x:v>#NAME?</x:v>
      </x:c>
      <x:c r="U743" s="146" t="e">
        <x:f>IF($A743="","",[1]!thsiFinD("ths_adjustment_nv_fund",U$3,$A743))</x:f>
        <x:v>#NAME?</x:v>
      </x:c>
      <x:c r="V743" s="146" t="e">
        <x:f>IF($A743="","",[1]!thsiFinD("ths_adjustment_nv_fund",V$3,$A743))</x:f>
        <x:v>#NAME?</x:v>
      </x:c>
      <x:c r="W743" s="146" t="e">
        <x:f>IF($A743="","",[1]!thsiFinD("ths_adjustment_nv_fund",W$3,$A743))</x:f>
        <x:v>#NAME?</x:v>
      </x:c>
      <x:c r="X743" s="146" t="e">
        <x:f>IF($A743="","",[1]!thsiFinD("ths_adjustment_nv_fund",X$3,$A743))</x:f>
        <x:v>#NAME?</x:v>
      </x:c>
      <x:c r="Y743" s="146" t="e">
        <x:f>IF($A743="","",[1]!thsiFinD("ths_adjustment_nv_fund",Y$3,$A743))</x:f>
        <x:v>#NAME?</x:v>
      </x:c>
      <x:c r="Z743" s="146" t="e">
        <x:f>IF($A743="","",[1]!thsiFinD("ths_adjustment_nv_fund",Z$3,$A743))</x:f>
        <x:v>#NAME?</x:v>
      </x:c>
      <x:c r="AA743" s="146" t="e">
        <x:f>IF($A743="","",[1]!thsiFinD("ths_adjustment_nv_fund",AA$3,$A743))</x:f>
        <x:v>#NAME?</x:v>
      </x:c>
    </x:row>
    <x:row r="744">
      <x:c r="B744" s="146" t="e">
        <x:f>IF($A744="","",[1]!thsiFinD("ths_adjustment_nv_fund",B$3,$A744))</x:f>
        <x:v>#NAME?</x:v>
      </x:c>
      <x:c r="C744" s="146" t="e">
        <x:f>IF($A744="","",[1]!thsiFinD("ths_adjustment_nv_fund",C$3,$A744))</x:f>
        <x:v>#NAME?</x:v>
      </x:c>
      <x:c r="D744" s="146" t="e">
        <x:f>IF($A744="","",[1]!thsiFinD("ths_adjustment_nv_fund",D$3,$A744))</x:f>
        <x:v>#NAME?</x:v>
      </x:c>
      <x:c r="E744" s="146" t="e">
        <x:f>IF($A744="","",[1]!thsiFinD("ths_adjustment_nv_fund",E$3,$A744))</x:f>
        <x:v>#NAME?</x:v>
      </x:c>
      <x:c r="F744" s="146" t="e">
        <x:f>IF($A744="","",[1]!thsiFinD("ths_adjustment_nv_fund",F$3,$A744))</x:f>
        <x:v>#NAME?</x:v>
      </x:c>
      <x:c r="G744" s="146" t="e">
        <x:f>IF($A744="","",[1]!thsiFinD("ths_adjustment_nv_fund",G$3,$A744))</x:f>
        <x:v>#NAME?</x:v>
      </x:c>
      <x:c r="H744" s="146" t="e">
        <x:f>IF($A744="","",[1]!thsiFinD("ths_adjustment_nv_fund",H$3,$A744))</x:f>
        <x:v>#NAME?</x:v>
      </x:c>
      <x:c r="I744" s="146" t="e">
        <x:f>IF($A744="","",[1]!thsiFinD("ths_adjustment_nv_fund",I$3,$A744))</x:f>
        <x:v>#NAME?</x:v>
      </x:c>
      <x:c r="J744" s="146" t="e">
        <x:f>IF($A744="","",[1]!thsiFinD("ths_adjustment_nv_fund",J$3,$A744))</x:f>
        <x:v>#NAME?</x:v>
      </x:c>
      <x:c r="K744" s="146" t="e">
        <x:f>IF($A744="","",[1]!thsiFinD("ths_adjustment_nv_fund",K$3,$A744))</x:f>
        <x:v>#NAME?</x:v>
      </x:c>
      <x:c r="L744" s="146" t="e">
        <x:f>IF($A744="","",[1]!thsiFinD("ths_adjustment_nv_fund",L$3,$A744))</x:f>
        <x:v>#NAME?</x:v>
      </x:c>
      <x:c r="M744" s="146" t="e">
        <x:f>IF($A744="","",[1]!thsiFinD("ths_adjustment_nv_fund",M$3,$A744))</x:f>
        <x:v>#NAME?</x:v>
      </x:c>
      <x:c r="N744" s="146" t="e">
        <x:f>IF($A744="","",[1]!thsiFinD("ths_adjustment_nv_fund",N$3,$A744))</x:f>
        <x:v>#NAME?</x:v>
      </x:c>
      <x:c r="O744" s="146" t="e">
        <x:f>IF($A744="","",[1]!thsiFinD("ths_adjustment_nv_fund",O$3,$A744))</x:f>
        <x:v>#NAME?</x:v>
      </x:c>
      <x:c r="P744" s="146" t="e">
        <x:f>IF($A744="","",[1]!thsiFinD("ths_adjustment_nv_fund",P$3,$A744))</x:f>
        <x:v>#NAME?</x:v>
      </x:c>
      <x:c r="Q744" s="146" t="e">
        <x:f>IF($A744="","",[1]!thsiFinD("ths_adjustment_nv_fund",Q$3,$A744))</x:f>
        <x:v>#NAME?</x:v>
      </x:c>
      <x:c r="R744" s="146" t="e">
        <x:f>IF($A744="","",[1]!thsiFinD("ths_adjustment_nv_fund",R$3,$A744))</x:f>
        <x:v>#NAME?</x:v>
      </x:c>
      <x:c r="S744" s="146" t="e">
        <x:f>IF($A744="","",[1]!thsiFinD("ths_adjustment_nv_fund",S$3,$A744))</x:f>
        <x:v>#NAME?</x:v>
      </x:c>
      <x:c r="T744" s="146" t="e">
        <x:f>IF($A744="","",[1]!thsiFinD("ths_adjustment_nv_fund",T$3,$A744))</x:f>
        <x:v>#NAME?</x:v>
      </x:c>
      <x:c r="U744" s="146" t="e">
        <x:f>IF($A744="","",[1]!thsiFinD("ths_adjustment_nv_fund",U$3,$A744))</x:f>
        <x:v>#NAME?</x:v>
      </x:c>
      <x:c r="V744" s="146" t="e">
        <x:f>IF($A744="","",[1]!thsiFinD("ths_adjustment_nv_fund",V$3,$A744))</x:f>
        <x:v>#NAME?</x:v>
      </x:c>
      <x:c r="W744" s="146" t="e">
        <x:f>IF($A744="","",[1]!thsiFinD("ths_adjustment_nv_fund",W$3,$A744))</x:f>
        <x:v>#NAME?</x:v>
      </x:c>
      <x:c r="X744" s="146" t="e">
        <x:f>IF($A744="","",[1]!thsiFinD("ths_adjustment_nv_fund",X$3,$A744))</x:f>
        <x:v>#NAME?</x:v>
      </x:c>
      <x:c r="Y744" s="146" t="e">
        <x:f>IF($A744="","",[1]!thsiFinD("ths_adjustment_nv_fund",Y$3,$A744))</x:f>
        <x:v>#NAME?</x:v>
      </x:c>
      <x:c r="Z744" s="146" t="e">
        <x:f>IF($A744="","",[1]!thsiFinD("ths_adjustment_nv_fund",Z$3,$A744))</x:f>
        <x:v>#NAME?</x:v>
      </x:c>
      <x:c r="AA744" s="146" t="e">
        <x:f>IF($A744="","",[1]!thsiFinD("ths_adjustment_nv_fund",AA$3,$A744))</x:f>
        <x:v>#NAME?</x:v>
      </x:c>
    </x:row>
    <x:row r="745">
      <x:c r="B745" s="146" t="e">
        <x:f>IF($A745="","",[1]!thsiFinD("ths_adjustment_nv_fund",B$3,$A745))</x:f>
        <x:v>#NAME?</x:v>
      </x:c>
      <x:c r="C745" s="146" t="e">
        <x:f>IF($A745="","",[1]!thsiFinD("ths_adjustment_nv_fund",C$3,$A745))</x:f>
        <x:v>#NAME?</x:v>
      </x:c>
      <x:c r="D745" s="146" t="e">
        <x:f>IF($A745="","",[1]!thsiFinD("ths_adjustment_nv_fund",D$3,$A745))</x:f>
        <x:v>#NAME?</x:v>
      </x:c>
      <x:c r="E745" s="146" t="e">
        <x:f>IF($A745="","",[1]!thsiFinD("ths_adjustment_nv_fund",E$3,$A745))</x:f>
        <x:v>#NAME?</x:v>
      </x:c>
      <x:c r="F745" s="146" t="e">
        <x:f>IF($A745="","",[1]!thsiFinD("ths_adjustment_nv_fund",F$3,$A745))</x:f>
        <x:v>#NAME?</x:v>
      </x:c>
      <x:c r="G745" s="146" t="e">
        <x:f>IF($A745="","",[1]!thsiFinD("ths_adjustment_nv_fund",G$3,$A745))</x:f>
        <x:v>#NAME?</x:v>
      </x:c>
      <x:c r="H745" s="146" t="e">
        <x:f>IF($A745="","",[1]!thsiFinD("ths_adjustment_nv_fund",H$3,$A745))</x:f>
        <x:v>#NAME?</x:v>
      </x:c>
      <x:c r="I745" s="146" t="e">
        <x:f>IF($A745="","",[1]!thsiFinD("ths_adjustment_nv_fund",I$3,$A745))</x:f>
        <x:v>#NAME?</x:v>
      </x:c>
      <x:c r="J745" s="146" t="e">
        <x:f>IF($A745="","",[1]!thsiFinD("ths_adjustment_nv_fund",J$3,$A745))</x:f>
        <x:v>#NAME?</x:v>
      </x:c>
      <x:c r="K745" s="146" t="e">
        <x:f>IF($A745="","",[1]!thsiFinD("ths_adjustment_nv_fund",K$3,$A745))</x:f>
        <x:v>#NAME?</x:v>
      </x:c>
      <x:c r="L745" s="146" t="e">
        <x:f>IF($A745="","",[1]!thsiFinD("ths_adjustment_nv_fund",L$3,$A745))</x:f>
        <x:v>#NAME?</x:v>
      </x:c>
      <x:c r="M745" s="146" t="e">
        <x:f>IF($A745="","",[1]!thsiFinD("ths_adjustment_nv_fund",M$3,$A745))</x:f>
        <x:v>#NAME?</x:v>
      </x:c>
      <x:c r="N745" s="146" t="e">
        <x:f>IF($A745="","",[1]!thsiFinD("ths_adjustment_nv_fund",N$3,$A745))</x:f>
        <x:v>#NAME?</x:v>
      </x:c>
      <x:c r="O745" s="146" t="e">
        <x:f>IF($A745="","",[1]!thsiFinD("ths_adjustment_nv_fund",O$3,$A745))</x:f>
        <x:v>#NAME?</x:v>
      </x:c>
      <x:c r="P745" s="146" t="e">
        <x:f>IF($A745="","",[1]!thsiFinD("ths_adjustment_nv_fund",P$3,$A745))</x:f>
        <x:v>#NAME?</x:v>
      </x:c>
      <x:c r="Q745" s="146" t="e">
        <x:f>IF($A745="","",[1]!thsiFinD("ths_adjustment_nv_fund",Q$3,$A745))</x:f>
        <x:v>#NAME?</x:v>
      </x:c>
      <x:c r="R745" s="146" t="e">
        <x:f>IF($A745="","",[1]!thsiFinD("ths_adjustment_nv_fund",R$3,$A745))</x:f>
        <x:v>#NAME?</x:v>
      </x:c>
      <x:c r="S745" s="146" t="e">
        <x:f>IF($A745="","",[1]!thsiFinD("ths_adjustment_nv_fund",S$3,$A745))</x:f>
        <x:v>#NAME?</x:v>
      </x:c>
      <x:c r="T745" s="146" t="e">
        <x:f>IF($A745="","",[1]!thsiFinD("ths_adjustment_nv_fund",T$3,$A745))</x:f>
        <x:v>#NAME?</x:v>
      </x:c>
      <x:c r="U745" s="146" t="e">
        <x:f>IF($A745="","",[1]!thsiFinD("ths_adjustment_nv_fund",U$3,$A745))</x:f>
        <x:v>#NAME?</x:v>
      </x:c>
      <x:c r="V745" s="146" t="e">
        <x:f>IF($A745="","",[1]!thsiFinD("ths_adjustment_nv_fund",V$3,$A745))</x:f>
        <x:v>#NAME?</x:v>
      </x:c>
      <x:c r="W745" s="146" t="e">
        <x:f>IF($A745="","",[1]!thsiFinD("ths_adjustment_nv_fund",W$3,$A745))</x:f>
        <x:v>#NAME?</x:v>
      </x:c>
      <x:c r="X745" s="146" t="e">
        <x:f>IF($A745="","",[1]!thsiFinD("ths_adjustment_nv_fund",X$3,$A745))</x:f>
        <x:v>#NAME?</x:v>
      </x:c>
      <x:c r="Y745" s="146" t="e">
        <x:f>IF($A745="","",[1]!thsiFinD("ths_adjustment_nv_fund",Y$3,$A745))</x:f>
        <x:v>#NAME?</x:v>
      </x:c>
      <x:c r="Z745" s="146" t="e">
        <x:f>IF($A745="","",[1]!thsiFinD("ths_adjustment_nv_fund",Z$3,$A745))</x:f>
        <x:v>#NAME?</x:v>
      </x:c>
      <x:c r="AA745" s="146" t="e">
        <x:f>IF($A745="","",[1]!thsiFinD("ths_adjustment_nv_fund",AA$3,$A745))</x:f>
        <x:v>#NAME?</x:v>
      </x:c>
    </x:row>
    <x:row r="746">
      <x:c r="B746" s="146" t="e">
        <x:f>IF($A746="","",[1]!thsiFinD("ths_adjustment_nv_fund",B$3,$A746))</x:f>
        <x:v>#NAME?</x:v>
      </x:c>
      <x:c r="C746" s="146" t="e">
        <x:f>IF($A746="","",[1]!thsiFinD("ths_adjustment_nv_fund",C$3,$A746))</x:f>
        <x:v>#NAME?</x:v>
      </x:c>
      <x:c r="D746" s="146" t="e">
        <x:f>IF($A746="","",[1]!thsiFinD("ths_adjustment_nv_fund",D$3,$A746))</x:f>
        <x:v>#NAME?</x:v>
      </x:c>
      <x:c r="E746" s="146" t="e">
        <x:f>IF($A746="","",[1]!thsiFinD("ths_adjustment_nv_fund",E$3,$A746))</x:f>
        <x:v>#NAME?</x:v>
      </x:c>
      <x:c r="F746" s="146" t="e">
        <x:f>IF($A746="","",[1]!thsiFinD("ths_adjustment_nv_fund",F$3,$A746))</x:f>
        <x:v>#NAME?</x:v>
      </x:c>
      <x:c r="G746" s="146" t="e">
        <x:f>IF($A746="","",[1]!thsiFinD("ths_adjustment_nv_fund",G$3,$A746))</x:f>
        <x:v>#NAME?</x:v>
      </x:c>
      <x:c r="H746" s="146" t="e">
        <x:f>IF($A746="","",[1]!thsiFinD("ths_adjustment_nv_fund",H$3,$A746))</x:f>
        <x:v>#NAME?</x:v>
      </x:c>
      <x:c r="I746" s="146" t="e">
        <x:f>IF($A746="","",[1]!thsiFinD("ths_adjustment_nv_fund",I$3,$A746))</x:f>
        <x:v>#NAME?</x:v>
      </x:c>
      <x:c r="J746" s="146" t="e">
        <x:f>IF($A746="","",[1]!thsiFinD("ths_adjustment_nv_fund",J$3,$A746))</x:f>
        <x:v>#NAME?</x:v>
      </x:c>
      <x:c r="K746" s="146" t="e">
        <x:f>IF($A746="","",[1]!thsiFinD("ths_adjustment_nv_fund",K$3,$A746))</x:f>
        <x:v>#NAME?</x:v>
      </x:c>
      <x:c r="L746" s="146" t="e">
        <x:f>IF($A746="","",[1]!thsiFinD("ths_adjustment_nv_fund",L$3,$A746))</x:f>
        <x:v>#NAME?</x:v>
      </x:c>
      <x:c r="M746" s="146" t="e">
        <x:f>IF($A746="","",[1]!thsiFinD("ths_adjustment_nv_fund",M$3,$A746))</x:f>
        <x:v>#NAME?</x:v>
      </x:c>
      <x:c r="N746" s="146" t="e">
        <x:f>IF($A746="","",[1]!thsiFinD("ths_adjustment_nv_fund",N$3,$A746))</x:f>
        <x:v>#NAME?</x:v>
      </x:c>
      <x:c r="O746" s="146" t="e">
        <x:f>IF($A746="","",[1]!thsiFinD("ths_adjustment_nv_fund",O$3,$A746))</x:f>
        <x:v>#NAME?</x:v>
      </x:c>
      <x:c r="P746" s="146" t="e">
        <x:f>IF($A746="","",[1]!thsiFinD("ths_adjustment_nv_fund",P$3,$A746))</x:f>
        <x:v>#NAME?</x:v>
      </x:c>
      <x:c r="Q746" s="146" t="e">
        <x:f>IF($A746="","",[1]!thsiFinD("ths_adjustment_nv_fund",Q$3,$A746))</x:f>
        <x:v>#NAME?</x:v>
      </x:c>
      <x:c r="R746" s="146" t="e">
        <x:f>IF($A746="","",[1]!thsiFinD("ths_adjustment_nv_fund",R$3,$A746))</x:f>
        <x:v>#NAME?</x:v>
      </x:c>
      <x:c r="S746" s="146" t="e">
        <x:f>IF($A746="","",[1]!thsiFinD("ths_adjustment_nv_fund",S$3,$A746))</x:f>
        <x:v>#NAME?</x:v>
      </x:c>
      <x:c r="T746" s="146" t="e">
        <x:f>IF($A746="","",[1]!thsiFinD("ths_adjustment_nv_fund",T$3,$A746))</x:f>
        <x:v>#NAME?</x:v>
      </x:c>
      <x:c r="U746" s="146" t="e">
        <x:f>IF($A746="","",[1]!thsiFinD("ths_adjustment_nv_fund",U$3,$A746))</x:f>
        <x:v>#NAME?</x:v>
      </x:c>
      <x:c r="V746" s="146" t="e">
        <x:f>IF($A746="","",[1]!thsiFinD("ths_adjustment_nv_fund",V$3,$A746))</x:f>
        <x:v>#NAME?</x:v>
      </x:c>
      <x:c r="W746" s="146" t="e">
        <x:f>IF($A746="","",[1]!thsiFinD("ths_adjustment_nv_fund",W$3,$A746))</x:f>
        <x:v>#NAME?</x:v>
      </x:c>
      <x:c r="X746" s="146" t="e">
        <x:f>IF($A746="","",[1]!thsiFinD("ths_adjustment_nv_fund",X$3,$A746))</x:f>
        <x:v>#NAME?</x:v>
      </x:c>
      <x:c r="Y746" s="146" t="e">
        <x:f>IF($A746="","",[1]!thsiFinD("ths_adjustment_nv_fund",Y$3,$A746))</x:f>
        <x:v>#NAME?</x:v>
      </x:c>
      <x:c r="Z746" s="146" t="e">
        <x:f>IF($A746="","",[1]!thsiFinD("ths_adjustment_nv_fund",Z$3,$A746))</x:f>
        <x:v>#NAME?</x:v>
      </x:c>
      <x:c r="AA746" s="146" t="e">
        <x:f>IF($A746="","",[1]!thsiFinD("ths_adjustment_nv_fund",AA$3,$A746))</x:f>
        <x:v>#NAME?</x:v>
      </x:c>
    </x:row>
    <x:row r="747">
      <x:c r="B747" s="146" t="e">
        <x:f>IF($A747="","",[1]!thsiFinD("ths_adjustment_nv_fund",B$3,$A747))</x:f>
        <x:v>#NAME?</x:v>
      </x:c>
      <x:c r="C747" s="146" t="e">
        <x:f>IF($A747="","",[1]!thsiFinD("ths_adjustment_nv_fund",C$3,$A747))</x:f>
        <x:v>#NAME?</x:v>
      </x:c>
      <x:c r="D747" s="146" t="e">
        <x:f>IF($A747="","",[1]!thsiFinD("ths_adjustment_nv_fund",D$3,$A747))</x:f>
        <x:v>#NAME?</x:v>
      </x:c>
      <x:c r="E747" s="146" t="e">
        <x:f>IF($A747="","",[1]!thsiFinD("ths_adjustment_nv_fund",E$3,$A747))</x:f>
        <x:v>#NAME?</x:v>
      </x:c>
      <x:c r="F747" s="146" t="e">
        <x:f>IF($A747="","",[1]!thsiFinD("ths_adjustment_nv_fund",F$3,$A747))</x:f>
        <x:v>#NAME?</x:v>
      </x:c>
      <x:c r="G747" s="146" t="e">
        <x:f>IF($A747="","",[1]!thsiFinD("ths_adjustment_nv_fund",G$3,$A747))</x:f>
        <x:v>#NAME?</x:v>
      </x:c>
      <x:c r="H747" s="146" t="e">
        <x:f>IF($A747="","",[1]!thsiFinD("ths_adjustment_nv_fund",H$3,$A747))</x:f>
        <x:v>#NAME?</x:v>
      </x:c>
      <x:c r="I747" s="146" t="e">
        <x:f>IF($A747="","",[1]!thsiFinD("ths_adjustment_nv_fund",I$3,$A747))</x:f>
        <x:v>#NAME?</x:v>
      </x:c>
      <x:c r="J747" s="146" t="e">
        <x:f>IF($A747="","",[1]!thsiFinD("ths_adjustment_nv_fund",J$3,$A747))</x:f>
        <x:v>#NAME?</x:v>
      </x:c>
      <x:c r="K747" s="146" t="e">
        <x:f>IF($A747="","",[1]!thsiFinD("ths_adjustment_nv_fund",K$3,$A747))</x:f>
        <x:v>#NAME?</x:v>
      </x:c>
      <x:c r="L747" s="146" t="e">
        <x:f>IF($A747="","",[1]!thsiFinD("ths_adjustment_nv_fund",L$3,$A747))</x:f>
        <x:v>#NAME?</x:v>
      </x:c>
      <x:c r="M747" s="146" t="e">
        <x:f>IF($A747="","",[1]!thsiFinD("ths_adjustment_nv_fund",M$3,$A747))</x:f>
        <x:v>#NAME?</x:v>
      </x:c>
      <x:c r="N747" s="146" t="e">
        <x:f>IF($A747="","",[1]!thsiFinD("ths_adjustment_nv_fund",N$3,$A747))</x:f>
        <x:v>#NAME?</x:v>
      </x:c>
      <x:c r="O747" s="146" t="e">
        <x:f>IF($A747="","",[1]!thsiFinD("ths_adjustment_nv_fund",O$3,$A747))</x:f>
        <x:v>#NAME?</x:v>
      </x:c>
      <x:c r="P747" s="146" t="e">
        <x:f>IF($A747="","",[1]!thsiFinD("ths_adjustment_nv_fund",P$3,$A747))</x:f>
        <x:v>#NAME?</x:v>
      </x:c>
      <x:c r="Q747" s="146" t="e">
        <x:f>IF($A747="","",[1]!thsiFinD("ths_adjustment_nv_fund",Q$3,$A747))</x:f>
        <x:v>#NAME?</x:v>
      </x:c>
      <x:c r="R747" s="146" t="e">
        <x:f>IF($A747="","",[1]!thsiFinD("ths_adjustment_nv_fund",R$3,$A747))</x:f>
        <x:v>#NAME?</x:v>
      </x:c>
      <x:c r="S747" s="146" t="e">
        <x:f>IF($A747="","",[1]!thsiFinD("ths_adjustment_nv_fund",S$3,$A747))</x:f>
        <x:v>#NAME?</x:v>
      </x:c>
      <x:c r="T747" s="146" t="e">
        <x:f>IF($A747="","",[1]!thsiFinD("ths_adjustment_nv_fund",T$3,$A747))</x:f>
        <x:v>#NAME?</x:v>
      </x:c>
      <x:c r="U747" s="146" t="e">
        <x:f>IF($A747="","",[1]!thsiFinD("ths_adjustment_nv_fund",U$3,$A747))</x:f>
        <x:v>#NAME?</x:v>
      </x:c>
      <x:c r="V747" s="146" t="e">
        <x:f>IF($A747="","",[1]!thsiFinD("ths_adjustment_nv_fund",V$3,$A747))</x:f>
        <x:v>#NAME?</x:v>
      </x:c>
      <x:c r="W747" s="146" t="e">
        <x:f>IF($A747="","",[1]!thsiFinD("ths_adjustment_nv_fund",W$3,$A747))</x:f>
        <x:v>#NAME?</x:v>
      </x:c>
      <x:c r="X747" s="146" t="e">
        <x:f>IF($A747="","",[1]!thsiFinD("ths_adjustment_nv_fund",X$3,$A747))</x:f>
        <x:v>#NAME?</x:v>
      </x:c>
      <x:c r="Y747" s="146" t="e">
        <x:f>IF($A747="","",[1]!thsiFinD("ths_adjustment_nv_fund",Y$3,$A747))</x:f>
        <x:v>#NAME?</x:v>
      </x:c>
      <x:c r="Z747" s="146" t="e">
        <x:f>IF($A747="","",[1]!thsiFinD("ths_adjustment_nv_fund",Z$3,$A747))</x:f>
        <x:v>#NAME?</x:v>
      </x:c>
      <x:c r="AA747" s="146" t="e">
        <x:f>IF($A747="","",[1]!thsiFinD("ths_adjustment_nv_fund",AA$3,$A747))</x:f>
        <x:v>#NAME?</x:v>
      </x:c>
    </x:row>
    <x:row r="748">
      <x:c r="B748" s="146" t="e">
        <x:f>IF($A748="","",[1]!thsiFinD("ths_adjustment_nv_fund",B$3,$A748))</x:f>
        <x:v>#NAME?</x:v>
      </x:c>
      <x:c r="C748" s="146" t="e">
        <x:f>IF($A748="","",[1]!thsiFinD("ths_adjustment_nv_fund",C$3,$A748))</x:f>
        <x:v>#NAME?</x:v>
      </x:c>
      <x:c r="D748" s="146" t="e">
        <x:f>IF($A748="","",[1]!thsiFinD("ths_adjustment_nv_fund",D$3,$A748))</x:f>
        <x:v>#NAME?</x:v>
      </x:c>
      <x:c r="E748" s="146" t="e">
        <x:f>IF($A748="","",[1]!thsiFinD("ths_adjustment_nv_fund",E$3,$A748))</x:f>
        <x:v>#NAME?</x:v>
      </x:c>
      <x:c r="F748" s="146" t="e">
        <x:f>IF($A748="","",[1]!thsiFinD("ths_adjustment_nv_fund",F$3,$A748))</x:f>
        <x:v>#NAME?</x:v>
      </x:c>
      <x:c r="G748" s="146" t="e">
        <x:f>IF($A748="","",[1]!thsiFinD("ths_adjustment_nv_fund",G$3,$A748))</x:f>
        <x:v>#NAME?</x:v>
      </x:c>
      <x:c r="H748" s="146" t="e">
        <x:f>IF($A748="","",[1]!thsiFinD("ths_adjustment_nv_fund",H$3,$A748))</x:f>
        <x:v>#NAME?</x:v>
      </x:c>
      <x:c r="I748" s="146" t="e">
        <x:f>IF($A748="","",[1]!thsiFinD("ths_adjustment_nv_fund",I$3,$A748))</x:f>
        <x:v>#NAME?</x:v>
      </x:c>
      <x:c r="J748" s="146" t="e">
        <x:f>IF($A748="","",[1]!thsiFinD("ths_adjustment_nv_fund",J$3,$A748))</x:f>
        <x:v>#NAME?</x:v>
      </x:c>
      <x:c r="K748" s="146" t="e">
        <x:f>IF($A748="","",[1]!thsiFinD("ths_adjustment_nv_fund",K$3,$A748))</x:f>
        <x:v>#NAME?</x:v>
      </x:c>
      <x:c r="L748" s="146" t="e">
        <x:f>IF($A748="","",[1]!thsiFinD("ths_adjustment_nv_fund",L$3,$A748))</x:f>
        <x:v>#NAME?</x:v>
      </x:c>
      <x:c r="M748" s="146" t="e">
        <x:f>IF($A748="","",[1]!thsiFinD("ths_adjustment_nv_fund",M$3,$A748))</x:f>
        <x:v>#NAME?</x:v>
      </x:c>
      <x:c r="N748" s="146" t="e">
        <x:f>IF($A748="","",[1]!thsiFinD("ths_adjustment_nv_fund",N$3,$A748))</x:f>
        <x:v>#NAME?</x:v>
      </x:c>
      <x:c r="O748" s="146" t="e">
        <x:f>IF($A748="","",[1]!thsiFinD("ths_adjustment_nv_fund",O$3,$A748))</x:f>
        <x:v>#NAME?</x:v>
      </x:c>
      <x:c r="P748" s="146" t="e">
        <x:f>IF($A748="","",[1]!thsiFinD("ths_adjustment_nv_fund",P$3,$A748))</x:f>
        <x:v>#NAME?</x:v>
      </x:c>
      <x:c r="Q748" s="146" t="e">
        <x:f>IF($A748="","",[1]!thsiFinD("ths_adjustment_nv_fund",Q$3,$A748))</x:f>
        <x:v>#NAME?</x:v>
      </x:c>
      <x:c r="R748" s="146" t="e">
        <x:f>IF($A748="","",[1]!thsiFinD("ths_adjustment_nv_fund",R$3,$A748))</x:f>
        <x:v>#NAME?</x:v>
      </x:c>
      <x:c r="S748" s="146" t="e">
        <x:f>IF($A748="","",[1]!thsiFinD("ths_adjustment_nv_fund",S$3,$A748))</x:f>
        <x:v>#NAME?</x:v>
      </x:c>
      <x:c r="T748" s="146" t="e">
        <x:f>IF($A748="","",[1]!thsiFinD("ths_adjustment_nv_fund",T$3,$A748))</x:f>
        <x:v>#NAME?</x:v>
      </x:c>
      <x:c r="U748" s="146" t="e">
        <x:f>IF($A748="","",[1]!thsiFinD("ths_adjustment_nv_fund",U$3,$A748))</x:f>
        <x:v>#NAME?</x:v>
      </x:c>
      <x:c r="V748" s="146" t="e">
        <x:f>IF($A748="","",[1]!thsiFinD("ths_adjustment_nv_fund",V$3,$A748))</x:f>
        <x:v>#NAME?</x:v>
      </x:c>
      <x:c r="W748" s="146" t="e">
        <x:f>IF($A748="","",[1]!thsiFinD("ths_adjustment_nv_fund",W$3,$A748))</x:f>
        <x:v>#NAME?</x:v>
      </x:c>
      <x:c r="X748" s="146" t="e">
        <x:f>IF($A748="","",[1]!thsiFinD("ths_adjustment_nv_fund",X$3,$A748))</x:f>
        <x:v>#NAME?</x:v>
      </x:c>
      <x:c r="Y748" s="146" t="e">
        <x:f>IF($A748="","",[1]!thsiFinD("ths_adjustment_nv_fund",Y$3,$A748))</x:f>
        <x:v>#NAME?</x:v>
      </x:c>
      <x:c r="Z748" s="146" t="e">
        <x:f>IF($A748="","",[1]!thsiFinD("ths_adjustment_nv_fund",Z$3,$A748))</x:f>
        <x:v>#NAME?</x:v>
      </x:c>
      <x:c r="AA748" s="146" t="e">
        <x:f>IF($A748="","",[1]!thsiFinD("ths_adjustment_nv_fund",AA$3,$A748))</x:f>
        <x:v>#NAME?</x:v>
      </x:c>
    </x:row>
    <x:row r="749">
      <x:c r="B749" s="146" t="e">
        <x:f>IF($A749="","",[1]!thsiFinD("ths_adjustment_nv_fund",B$3,$A749))</x:f>
        <x:v>#NAME?</x:v>
      </x:c>
      <x:c r="C749" s="146" t="e">
        <x:f>IF($A749="","",[1]!thsiFinD("ths_adjustment_nv_fund",C$3,$A749))</x:f>
        <x:v>#NAME?</x:v>
      </x:c>
      <x:c r="D749" s="146" t="e">
        <x:f>IF($A749="","",[1]!thsiFinD("ths_adjustment_nv_fund",D$3,$A749))</x:f>
        <x:v>#NAME?</x:v>
      </x:c>
      <x:c r="E749" s="146" t="e">
        <x:f>IF($A749="","",[1]!thsiFinD("ths_adjustment_nv_fund",E$3,$A749))</x:f>
        <x:v>#NAME?</x:v>
      </x:c>
      <x:c r="F749" s="146" t="e">
        <x:f>IF($A749="","",[1]!thsiFinD("ths_adjustment_nv_fund",F$3,$A749))</x:f>
        <x:v>#NAME?</x:v>
      </x:c>
      <x:c r="G749" s="146" t="e">
        <x:f>IF($A749="","",[1]!thsiFinD("ths_adjustment_nv_fund",G$3,$A749))</x:f>
        <x:v>#NAME?</x:v>
      </x:c>
      <x:c r="H749" s="146" t="e">
        <x:f>IF($A749="","",[1]!thsiFinD("ths_adjustment_nv_fund",H$3,$A749))</x:f>
        <x:v>#NAME?</x:v>
      </x:c>
      <x:c r="I749" s="146" t="e">
        <x:f>IF($A749="","",[1]!thsiFinD("ths_adjustment_nv_fund",I$3,$A749))</x:f>
        <x:v>#NAME?</x:v>
      </x:c>
      <x:c r="J749" s="146" t="e">
        <x:f>IF($A749="","",[1]!thsiFinD("ths_adjustment_nv_fund",J$3,$A749))</x:f>
        <x:v>#NAME?</x:v>
      </x:c>
      <x:c r="K749" s="146" t="e">
        <x:f>IF($A749="","",[1]!thsiFinD("ths_adjustment_nv_fund",K$3,$A749))</x:f>
        <x:v>#NAME?</x:v>
      </x:c>
      <x:c r="L749" s="146" t="e">
        <x:f>IF($A749="","",[1]!thsiFinD("ths_adjustment_nv_fund",L$3,$A749))</x:f>
        <x:v>#NAME?</x:v>
      </x:c>
      <x:c r="M749" s="146" t="e">
        <x:f>IF($A749="","",[1]!thsiFinD("ths_adjustment_nv_fund",M$3,$A749))</x:f>
        <x:v>#NAME?</x:v>
      </x:c>
      <x:c r="N749" s="146" t="e">
        <x:f>IF($A749="","",[1]!thsiFinD("ths_adjustment_nv_fund",N$3,$A749))</x:f>
        <x:v>#NAME?</x:v>
      </x:c>
      <x:c r="O749" s="146" t="e">
        <x:f>IF($A749="","",[1]!thsiFinD("ths_adjustment_nv_fund",O$3,$A749))</x:f>
        <x:v>#NAME?</x:v>
      </x:c>
      <x:c r="P749" s="146" t="e">
        <x:f>IF($A749="","",[1]!thsiFinD("ths_adjustment_nv_fund",P$3,$A749))</x:f>
        <x:v>#NAME?</x:v>
      </x:c>
      <x:c r="Q749" s="146" t="e">
        <x:f>IF($A749="","",[1]!thsiFinD("ths_adjustment_nv_fund",Q$3,$A749))</x:f>
        <x:v>#NAME?</x:v>
      </x:c>
      <x:c r="R749" s="146" t="e">
        <x:f>IF($A749="","",[1]!thsiFinD("ths_adjustment_nv_fund",R$3,$A749))</x:f>
        <x:v>#NAME?</x:v>
      </x:c>
      <x:c r="S749" s="146" t="e">
        <x:f>IF($A749="","",[1]!thsiFinD("ths_adjustment_nv_fund",S$3,$A749))</x:f>
        <x:v>#NAME?</x:v>
      </x:c>
      <x:c r="T749" s="146" t="e">
        <x:f>IF($A749="","",[1]!thsiFinD("ths_adjustment_nv_fund",T$3,$A749))</x:f>
        <x:v>#NAME?</x:v>
      </x:c>
      <x:c r="U749" s="146" t="e">
        <x:f>IF($A749="","",[1]!thsiFinD("ths_adjustment_nv_fund",U$3,$A749))</x:f>
        <x:v>#NAME?</x:v>
      </x:c>
      <x:c r="V749" s="146" t="e">
        <x:f>IF($A749="","",[1]!thsiFinD("ths_adjustment_nv_fund",V$3,$A749))</x:f>
        <x:v>#NAME?</x:v>
      </x:c>
      <x:c r="W749" s="146" t="e">
        <x:f>IF($A749="","",[1]!thsiFinD("ths_adjustment_nv_fund",W$3,$A749))</x:f>
        <x:v>#NAME?</x:v>
      </x:c>
      <x:c r="X749" s="146" t="e">
        <x:f>IF($A749="","",[1]!thsiFinD("ths_adjustment_nv_fund",X$3,$A749))</x:f>
        <x:v>#NAME?</x:v>
      </x:c>
      <x:c r="Y749" s="146" t="e">
        <x:f>IF($A749="","",[1]!thsiFinD("ths_adjustment_nv_fund",Y$3,$A749))</x:f>
        <x:v>#NAME?</x:v>
      </x:c>
      <x:c r="Z749" s="146" t="e">
        <x:f>IF($A749="","",[1]!thsiFinD("ths_adjustment_nv_fund",Z$3,$A749))</x:f>
        <x:v>#NAME?</x:v>
      </x:c>
      <x:c r="AA749" s="146" t="e">
        <x:f>IF($A749="","",[1]!thsiFinD("ths_adjustment_nv_fund",AA$3,$A749))</x:f>
        <x:v>#NAME?</x:v>
      </x:c>
    </x:row>
    <x:row r="750">
      <x:c r="B750" s="146" t="e">
        <x:f>IF($A750="","",[1]!thsiFinD("ths_adjustment_nv_fund",B$3,$A750))</x:f>
        <x:v>#NAME?</x:v>
      </x:c>
      <x:c r="C750" s="146" t="e">
        <x:f>IF($A750="","",[1]!thsiFinD("ths_adjustment_nv_fund",C$3,$A750))</x:f>
        <x:v>#NAME?</x:v>
      </x:c>
      <x:c r="D750" s="146" t="e">
        <x:f>IF($A750="","",[1]!thsiFinD("ths_adjustment_nv_fund",D$3,$A750))</x:f>
        <x:v>#NAME?</x:v>
      </x:c>
      <x:c r="E750" s="146" t="e">
        <x:f>IF($A750="","",[1]!thsiFinD("ths_adjustment_nv_fund",E$3,$A750))</x:f>
        <x:v>#NAME?</x:v>
      </x:c>
      <x:c r="F750" s="146" t="e">
        <x:f>IF($A750="","",[1]!thsiFinD("ths_adjustment_nv_fund",F$3,$A750))</x:f>
        <x:v>#NAME?</x:v>
      </x:c>
      <x:c r="G750" s="146" t="e">
        <x:f>IF($A750="","",[1]!thsiFinD("ths_adjustment_nv_fund",G$3,$A750))</x:f>
        <x:v>#NAME?</x:v>
      </x:c>
      <x:c r="H750" s="146" t="e">
        <x:f>IF($A750="","",[1]!thsiFinD("ths_adjustment_nv_fund",H$3,$A750))</x:f>
        <x:v>#NAME?</x:v>
      </x:c>
      <x:c r="I750" s="146" t="e">
        <x:f>IF($A750="","",[1]!thsiFinD("ths_adjustment_nv_fund",I$3,$A750))</x:f>
        <x:v>#NAME?</x:v>
      </x:c>
      <x:c r="J750" s="146" t="e">
        <x:f>IF($A750="","",[1]!thsiFinD("ths_adjustment_nv_fund",J$3,$A750))</x:f>
        <x:v>#NAME?</x:v>
      </x:c>
      <x:c r="K750" s="146" t="e">
        <x:f>IF($A750="","",[1]!thsiFinD("ths_adjustment_nv_fund",K$3,$A750))</x:f>
        <x:v>#NAME?</x:v>
      </x:c>
      <x:c r="L750" s="146" t="e">
        <x:f>IF($A750="","",[1]!thsiFinD("ths_adjustment_nv_fund",L$3,$A750))</x:f>
        <x:v>#NAME?</x:v>
      </x:c>
      <x:c r="M750" s="146" t="e">
        <x:f>IF($A750="","",[1]!thsiFinD("ths_adjustment_nv_fund",M$3,$A750))</x:f>
        <x:v>#NAME?</x:v>
      </x:c>
      <x:c r="N750" s="146" t="e">
        <x:f>IF($A750="","",[1]!thsiFinD("ths_adjustment_nv_fund",N$3,$A750))</x:f>
        <x:v>#NAME?</x:v>
      </x:c>
      <x:c r="O750" s="146" t="e">
        <x:f>IF($A750="","",[1]!thsiFinD("ths_adjustment_nv_fund",O$3,$A750))</x:f>
        <x:v>#NAME?</x:v>
      </x:c>
      <x:c r="P750" s="146" t="e">
        <x:f>IF($A750="","",[1]!thsiFinD("ths_adjustment_nv_fund",P$3,$A750))</x:f>
        <x:v>#NAME?</x:v>
      </x:c>
      <x:c r="Q750" s="146" t="e">
        <x:f>IF($A750="","",[1]!thsiFinD("ths_adjustment_nv_fund",Q$3,$A750))</x:f>
        <x:v>#NAME?</x:v>
      </x:c>
      <x:c r="R750" s="146" t="e">
        <x:f>IF($A750="","",[1]!thsiFinD("ths_adjustment_nv_fund",R$3,$A750))</x:f>
        <x:v>#NAME?</x:v>
      </x:c>
      <x:c r="S750" s="146" t="e">
        <x:f>IF($A750="","",[1]!thsiFinD("ths_adjustment_nv_fund",S$3,$A750))</x:f>
        <x:v>#NAME?</x:v>
      </x:c>
      <x:c r="T750" s="146" t="e">
        <x:f>IF($A750="","",[1]!thsiFinD("ths_adjustment_nv_fund",T$3,$A750))</x:f>
        <x:v>#NAME?</x:v>
      </x:c>
      <x:c r="U750" s="146" t="e">
        <x:f>IF($A750="","",[1]!thsiFinD("ths_adjustment_nv_fund",U$3,$A750))</x:f>
        <x:v>#NAME?</x:v>
      </x:c>
      <x:c r="V750" s="146" t="e">
        <x:f>IF($A750="","",[1]!thsiFinD("ths_adjustment_nv_fund",V$3,$A750))</x:f>
        <x:v>#NAME?</x:v>
      </x:c>
      <x:c r="W750" s="146" t="e">
        <x:f>IF($A750="","",[1]!thsiFinD("ths_adjustment_nv_fund",W$3,$A750))</x:f>
        <x:v>#NAME?</x:v>
      </x:c>
      <x:c r="X750" s="146" t="e">
        <x:f>IF($A750="","",[1]!thsiFinD("ths_adjustment_nv_fund",X$3,$A750))</x:f>
        <x:v>#NAME?</x:v>
      </x:c>
      <x:c r="Y750" s="146" t="e">
        <x:f>IF($A750="","",[1]!thsiFinD("ths_adjustment_nv_fund",Y$3,$A750))</x:f>
        <x:v>#NAME?</x:v>
      </x:c>
      <x:c r="Z750" s="146" t="e">
        <x:f>IF($A750="","",[1]!thsiFinD("ths_adjustment_nv_fund",Z$3,$A750))</x:f>
        <x:v>#NAME?</x:v>
      </x:c>
      <x:c r="AA750" s="146" t="e">
        <x:f>IF($A750="","",[1]!thsiFinD("ths_adjustment_nv_fund",AA$3,$A750))</x:f>
        <x:v>#NAME?</x:v>
      </x:c>
    </x:row>
    <x:row r="751">
      <x:c r="B751" s="146" t="e">
        <x:f>IF($A751="","",[1]!thsiFinD("ths_adjustment_nv_fund",B$3,$A751))</x:f>
        <x:v>#NAME?</x:v>
      </x:c>
      <x:c r="C751" s="146" t="e">
        <x:f>IF($A751="","",[1]!thsiFinD("ths_adjustment_nv_fund",C$3,$A751))</x:f>
        <x:v>#NAME?</x:v>
      </x:c>
      <x:c r="D751" s="146" t="e">
        <x:f>IF($A751="","",[1]!thsiFinD("ths_adjustment_nv_fund",D$3,$A751))</x:f>
        <x:v>#NAME?</x:v>
      </x:c>
      <x:c r="E751" s="146" t="e">
        <x:f>IF($A751="","",[1]!thsiFinD("ths_adjustment_nv_fund",E$3,$A751))</x:f>
        <x:v>#NAME?</x:v>
      </x:c>
      <x:c r="F751" s="146" t="e">
        <x:f>IF($A751="","",[1]!thsiFinD("ths_adjustment_nv_fund",F$3,$A751))</x:f>
        <x:v>#NAME?</x:v>
      </x:c>
      <x:c r="G751" s="146" t="e">
        <x:f>IF($A751="","",[1]!thsiFinD("ths_adjustment_nv_fund",G$3,$A751))</x:f>
        <x:v>#NAME?</x:v>
      </x:c>
      <x:c r="H751" s="146" t="e">
        <x:f>IF($A751="","",[1]!thsiFinD("ths_adjustment_nv_fund",H$3,$A751))</x:f>
        <x:v>#NAME?</x:v>
      </x:c>
      <x:c r="I751" s="146" t="e">
        <x:f>IF($A751="","",[1]!thsiFinD("ths_adjustment_nv_fund",I$3,$A751))</x:f>
        <x:v>#NAME?</x:v>
      </x:c>
      <x:c r="J751" s="146" t="e">
        <x:f>IF($A751="","",[1]!thsiFinD("ths_adjustment_nv_fund",J$3,$A751))</x:f>
        <x:v>#NAME?</x:v>
      </x:c>
      <x:c r="K751" s="146" t="e">
        <x:f>IF($A751="","",[1]!thsiFinD("ths_adjustment_nv_fund",K$3,$A751))</x:f>
        <x:v>#NAME?</x:v>
      </x:c>
      <x:c r="L751" s="146" t="e">
        <x:f>IF($A751="","",[1]!thsiFinD("ths_adjustment_nv_fund",L$3,$A751))</x:f>
        <x:v>#NAME?</x:v>
      </x:c>
      <x:c r="M751" s="146" t="e">
        <x:f>IF($A751="","",[1]!thsiFinD("ths_adjustment_nv_fund",M$3,$A751))</x:f>
        <x:v>#NAME?</x:v>
      </x:c>
      <x:c r="N751" s="146" t="e">
        <x:f>IF($A751="","",[1]!thsiFinD("ths_adjustment_nv_fund",N$3,$A751))</x:f>
        <x:v>#NAME?</x:v>
      </x:c>
      <x:c r="O751" s="146" t="e">
        <x:f>IF($A751="","",[1]!thsiFinD("ths_adjustment_nv_fund",O$3,$A751))</x:f>
        <x:v>#NAME?</x:v>
      </x:c>
      <x:c r="P751" s="146" t="e">
        <x:f>IF($A751="","",[1]!thsiFinD("ths_adjustment_nv_fund",P$3,$A751))</x:f>
        <x:v>#NAME?</x:v>
      </x:c>
      <x:c r="Q751" s="146" t="e">
        <x:f>IF($A751="","",[1]!thsiFinD("ths_adjustment_nv_fund",Q$3,$A751))</x:f>
        <x:v>#NAME?</x:v>
      </x:c>
      <x:c r="R751" s="146" t="e">
        <x:f>IF($A751="","",[1]!thsiFinD("ths_adjustment_nv_fund",R$3,$A751))</x:f>
        <x:v>#NAME?</x:v>
      </x:c>
      <x:c r="S751" s="146" t="e">
        <x:f>IF($A751="","",[1]!thsiFinD("ths_adjustment_nv_fund",S$3,$A751))</x:f>
        <x:v>#NAME?</x:v>
      </x:c>
      <x:c r="T751" s="146" t="e">
        <x:f>IF($A751="","",[1]!thsiFinD("ths_adjustment_nv_fund",T$3,$A751))</x:f>
        <x:v>#NAME?</x:v>
      </x:c>
      <x:c r="U751" s="146" t="e">
        <x:f>IF($A751="","",[1]!thsiFinD("ths_adjustment_nv_fund",U$3,$A751))</x:f>
        <x:v>#NAME?</x:v>
      </x:c>
      <x:c r="V751" s="146" t="e">
        <x:f>IF($A751="","",[1]!thsiFinD("ths_adjustment_nv_fund",V$3,$A751))</x:f>
        <x:v>#NAME?</x:v>
      </x:c>
      <x:c r="W751" s="146" t="e">
        <x:f>IF($A751="","",[1]!thsiFinD("ths_adjustment_nv_fund",W$3,$A751))</x:f>
        <x:v>#NAME?</x:v>
      </x:c>
      <x:c r="X751" s="146" t="e">
        <x:f>IF($A751="","",[1]!thsiFinD("ths_adjustment_nv_fund",X$3,$A751))</x:f>
        <x:v>#NAME?</x:v>
      </x:c>
      <x:c r="Y751" s="146" t="e">
        <x:f>IF($A751="","",[1]!thsiFinD("ths_adjustment_nv_fund",Y$3,$A751))</x:f>
        <x:v>#NAME?</x:v>
      </x:c>
      <x:c r="Z751" s="146" t="e">
        <x:f>IF($A751="","",[1]!thsiFinD("ths_adjustment_nv_fund",Z$3,$A751))</x:f>
        <x:v>#NAME?</x:v>
      </x:c>
      <x:c r="AA751" s="146" t="e">
        <x:f>IF($A751="","",[1]!thsiFinD("ths_adjustment_nv_fund",AA$3,$A751))</x:f>
        <x:v>#NAME?</x:v>
      </x:c>
    </x:row>
    <x:row r="752">
      <x:c r="B752" s="146" t="e">
        <x:f>IF($A752="","",[1]!thsiFinD("ths_adjustment_nv_fund",B$3,$A752))</x:f>
        <x:v>#NAME?</x:v>
      </x:c>
      <x:c r="C752" s="146" t="e">
        <x:f>IF($A752="","",[1]!thsiFinD("ths_adjustment_nv_fund",C$3,$A752))</x:f>
        <x:v>#NAME?</x:v>
      </x:c>
      <x:c r="D752" s="146" t="e">
        <x:f>IF($A752="","",[1]!thsiFinD("ths_adjustment_nv_fund",D$3,$A752))</x:f>
        <x:v>#NAME?</x:v>
      </x:c>
      <x:c r="E752" s="146" t="e">
        <x:f>IF($A752="","",[1]!thsiFinD("ths_adjustment_nv_fund",E$3,$A752))</x:f>
        <x:v>#NAME?</x:v>
      </x:c>
      <x:c r="F752" s="146" t="e">
        <x:f>IF($A752="","",[1]!thsiFinD("ths_adjustment_nv_fund",F$3,$A752))</x:f>
        <x:v>#NAME?</x:v>
      </x:c>
      <x:c r="G752" s="146" t="e">
        <x:f>IF($A752="","",[1]!thsiFinD("ths_adjustment_nv_fund",G$3,$A752))</x:f>
        <x:v>#NAME?</x:v>
      </x:c>
      <x:c r="H752" s="146" t="e">
        <x:f>IF($A752="","",[1]!thsiFinD("ths_adjustment_nv_fund",H$3,$A752))</x:f>
        <x:v>#NAME?</x:v>
      </x:c>
      <x:c r="I752" s="146" t="e">
        <x:f>IF($A752="","",[1]!thsiFinD("ths_adjustment_nv_fund",I$3,$A752))</x:f>
        <x:v>#NAME?</x:v>
      </x:c>
      <x:c r="J752" s="146" t="e">
        <x:f>IF($A752="","",[1]!thsiFinD("ths_adjustment_nv_fund",J$3,$A752))</x:f>
        <x:v>#NAME?</x:v>
      </x:c>
      <x:c r="K752" s="146" t="e">
        <x:f>IF($A752="","",[1]!thsiFinD("ths_adjustment_nv_fund",K$3,$A752))</x:f>
        <x:v>#NAME?</x:v>
      </x:c>
      <x:c r="L752" s="146" t="e">
        <x:f>IF($A752="","",[1]!thsiFinD("ths_adjustment_nv_fund",L$3,$A752))</x:f>
        <x:v>#NAME?</x:v>
      </x:c>
      <x:c r="M752" s="146" t="e">
        <x:f>IF($A752="","",[1]!thsiFinD("ths_adjustment_nv_fund",M$3,$A752))</x:f>
        <x:v>#NAME?</x:v>
      </x:c>
      <x:c r="N752" s="146" t="e">
        <x:f>IF($A752="","",[1]!thsiFinD("ths_adjustment_nv_fund",N$3,$A752))</x:f>
        <x:v>#NAME?</x:v>
      </x:c>
      <x:c r="O752" s="146" t="e">
        <x:f>IF($A752="","",[1]!thsiFinD("ths_adjustment_nv_fund",O$3,$A752))</x:f>
        <x:v>#NAME?</x:v>
      </x:c>
      <x:c r="P752" s="146" t="e">
        <x:f>IF($A752="","",[1]!thsiFinD("ths_adjustment_nv_fund",P$3,$A752))</x:f>
        <x:v>#NAME?</x:v>
      </x:c>
      <x:c r="Q752" s="146" t="e">
        <x:f>IF($A752="","",[1]!thsiFinD("ths_adjustment_nv_fund",Q$3,$A752))</x:f>
        <x:v>#NAME?</x:v>
      </x:c>
      <x:c r="R752" s="146" t="e">
        <x:f>IF($A752="","",[1]!thsiFinD("ths_adjustment_nv_fund",R$3,$A752))</x:f>
        <x:v>#NAME?</x:v>
      </x:c>
      <x:c r="S752" s="146" t="e">
        <x:f>IF($A752="","",[1]!thsiFinD("ths_adjustment_nv_fund",S$3,$A752))</x:f>
        <x:v>#NAME?</x:v>
      </x:c>
      <x:c r="T752" s="146" t="e">
        <x:f>IF($A752="","",[1]!thsiFinD("ths_adjustment_nv_fund",T$3,$A752))</x:f>
        <x:v>#NAME?</x:v>
      </x:c>
      <x:c r="U752" s="146" t="e">
        <x:f>IF($A752="","",[1]!thsiFinD("ths_adjustment_nv_fund",U$3,$A752))</x:f>
        <x:v>#NAME?</x:v>
      </x:c>
      <x:c r="V752" s="146" t="e">
        <x:f>IF($A752="","",[1]!thsiFinD("ths_adjustment_nv_fund",V$3,$A752))</x:f>
        <x:v>#NAME?</x:v>
      </x:c>
      <x:c r="W752" s="146" t="e">
        <x:f>IF($A752="","",[1]!thsiFinD("ths_adjustment_nv_fund",W$3,$A752))</x:f>
        <x:v>#NAME?</x:v>
      </x:c>
      <x:c r="X752" s="146" t="e">
        <x:f>IF($A752="","",[1]!thsiFinD("ths_adjustment_nv_fund",X$3,$A752))</x:f>
        <x:v>#NAME?</x:v>
      </x:c>
      <x:c r="Y752" s="146" t="e">
        <x:f>IF($A752="","",[1]!thsiFinD("ths_adjustment_nv_fund",Y$3,$A752))</x:f>
        <x:v>#NAME?</x:v>
      </x:c>
      <x:c r="Z752" s="146" t="e">
        <x:f>IF($A752="","",[1]!thsiFinD("ths_adjustment_nv_fund",Z$3,$A752))</x:f>
        <x:v>#NAME?</x:v>
      </x:c>
      <x:c r="AA752" s="146" t="e">
        <x:f>IF($A752="","",[1]!thsiFinD("ths_adjustment_nv_fund",AA$3,$A752))</x:f>
        <x:v>#NAME?</x:v>
      </x:c>
    </x:row>
    <x:row r="753">
      <x:c r="B753" s="146" t="e">
        <x:f>IF($A753="","",[1]!thsiFinD("ths_adjustment_nv_fund",B$3,$A753))</x:f>
        <x:v>#NAME?</x:v>
      </x:c>
      <x:c r="C753" s="146" t="e">
        <x:f>IF($A753="","",[1]!thsiFinD("ths_adjustment_nv_fund",C$3,$A753))</x:f>
        <x:v>#NAME?</x:v>
      </x:c>
      <x:c r="D753" s="146" t="e">
        <x:f>IF($A753="","",[1]!thsiFinD("ths_adjustment_nv_fund",D$3,$A753))</x:f>
        <x:v>#NAME?</x:v>
      </x:c>
      <x:c r="E753" s="146" t="e">
        <x:f>IF($A753="","",[1]!thsiFinD("ths_adjustment_nv_fund",E$3,$A753))</x:f>
        <x:v>#NAME?</x:v>
      </x:c>
      <x:c r="F753" s="146" t="e">
        <x:f>IF($A753="","",[1]!thsiFinD("ths_adjustment_nv_fund",F$3,$A753))</x:f>
        <x:v>#NAME?</x:v>
      </x:c>
      <x:c r="G753" s="146" t="e">
        <x:f>IF($A753="","",[1]!thsiFinD("ths_adjustment_nv_fund",G$3,$A753))</x:f>
        <x:v>#NAME?</x:v>
      </x:c>
      <x:c r="H753" s="146" t="e">
        <x:f>IF($A753="","",[1]!thsiFinD("ths_adjustment_nv_fund",H$3,$A753))</x:f>
        <x:v>#NAME?</x:v>
      </x:c>
      <x:c r="I753" s="146" t="e">
        <x:f>IF($A753="","",[1]!thsiFinD("ths_adjustment_nv_fund",I$3,$A753))</x:f>
        <x:v>#NAME?</x:v>
      </x:c>
      <x:c r="J753" s="146" t="e">
        <x:f>IF($A753="","",[1]!thsiFinD("ths_adjustment_nv_fund",J$3,$A753))</x:f>
        <x:v>#NAME?</x:v>
      </x:c>
      <x:c r="K753" s="146" t="e">
        <x:f>IF($A753="","",[1]!thsiFinD("ths_adjustment_nv_fund",K$3,$A753))</x:f>
        <x:v>#NAME?</x:v>
      </x:c>
      <x:c r="L753" s="146" t="e">
        <x:f>IF($A753="","",[1]!thsiFinD("ths_adjustment_nv_fund",L$3,$A753))</x:f>
        <x:v>#NAME?</x:v>
      </x:c>
      <x:c r="M753" s="146" t="e">
        <x:f>IF($A753="","",[1]!thsiFinD("ths_adjustment_nv_fund",M$3,$A753))</x:f>
        <x:v>#NAME?</x:v>
      </x:c>
      <x:c r="N753" s="146" t="e">
        <x:f>IF($A753="","",[1]!thsiFinD("ths_adjustment_nv_fund",N$3,$A753))</x:f>
        <x:v>#NAME?</x:v>
      </x:c>
      <x:c r="O753" s="146" t="e">
        <x:f>IF($A753="","",[1]!thsiFinD("ths_adjustment_nv_fund",O$3,$A753))</x:f>
        <x:v>#NAME?</x:v>
      </x:c>
      <x:c r="P753" s="146" t="e">
        <x:f>IF($A753="","",[1]!thsiFinD("ths_adjustment_nv_fund",P$3,$A753))</x:f>
        <x:v>#NAME?</x:v>
      </x:c>
      <x:c r="Q753" s="146" t="e">
        <x:f>IF($A753="","",[1]!thsiFinD("ths_adjustment_nv_fund",Q$3,$A753))</x:f>
        <x:v>#NAME?</x:v>
      </x:c>
      <x:c r="R753" s="146" t="e">
        <x:f>IF($A753="","",[1]!thsiFinD("ths_adjustment_nv_fund",R$3,$A753))</x:f>
        <x:v>#NAME?</x:v>
      </x:c>
      <x:c r="S753" s="146" t="e">
        <x:f>IF($A753="","",[1]!thsiFinD("ths_adjustment_nv_fund",S$3,$A753))</x:f>
        <x:v>#NAME?</x:v>
      </x:c>
      <x:c r="T753" s="146" t="e">
        <x:f>IF($A753="","",[1]!thsiFinD("ths_adjustment_nv_fund",T$3,$A753))</x:f>
        <x:v>#NAME?</x:v>
      </x:c>
      <x:c r="U753" s="146" t="e">
        <x:f>IF($A753="","",[1]!thsiFinD("ths_adjustment_nv_fund",U$3,$A753))</x:f>
        <x:v>#NAME?</x:v>
      </x:c>
      <x:c r="V753" s="146" t="e">
        <x:f>IF($A753="","",[1]!thsiFinD("ths_adjustment_nv_fund",V$3,$A753))</x:f>
        <x:v>#NAME?</x:v>
      </x:c>
      <x:c r="W753" s="146" t="e">
        <x:f>IF($A753="","",[1]!thsiFinD("ths_adjustment_nv_fund",W$3,$A753))</x:f>
        <x:v>#NAME?</x:v>
      </x:c>
      <x:c r="X753" s="146" t="e">
        <x:f>IF($A753="","",[1]!thsiFinD("ths_adjustment_nv_fund",X$3,$A753))</x:f>
        <x:v>#NAME?</x:v>
      </x:c>
      <x:c r="Y753" s="146" t="e">
        <x:f>IF($A753="","",[1]!thsiFinD("ths_adjustment_nv_fund",Y$3,$A753))</x:f>
        <x:v>#NAME?</x:v>
      </x:c>
      <x:c r="Z753" s="146" t="e">
        <x:f>IF($A753="","",[1]!thsiFinD("ths_adjustment_nv_fund",Z$3,$A753))</x:f>
        <x:v>#NAME?</x:v>
      </x:c>
      <x:c r="AA753" s="146" t="e">
        <x:f>IF($A753="","",[1]!thsiFinD("ths_adjustment_nv_fund",AA$3,$A753))</x:f>
        <x:v>#NAME?</x:v>
      </x:c>
    </x:row>
    <x:row r="754">
      <x:c r="B754" s="146" t="e">
        <x:f>IF($A754="","",[1]!thsiFinD("ths_adjustment_nv_fund",B$3,$A754))</x:f>
        <x:v>#NAME?</x:v>
      </x:c>
      <x:c r="C754" s="146" t="e">
        <x:f>IF($A754="","",[1]!thsiFinD("ths_adjustment_nv_fund",C$3,$A754))</x:f>
        <x:v>#NAME?</x:v>
      </x:c>
      <x:c r="D754" s="146" t="e">
        <x:f>IF($A754="","",[1]!thsiFinD("ths_adjustment_nv_fund",D$3,$A754))</x:f>
        <x:v>#NAME?</x:v>
      </x:c>
      <x:c r="E754" s="146" t="e">
        <x:f>IF($A754="","",[1]!thsiFinD("ths_adjustment_nv_fund",E$3,$A754))</x:f>
        <x:v>#NAME?</x:v>
      </x:c>
      <x:c r="F754" s="146" t="e">
        <x:f>IF($A754="","",[1]!thsiFinD("ths_adjustment_nv_fund",F$3,$A754))</x:f>
        <x:v>#NAME?</x:v>
      </x:c>
      <x:c r="G754" s="146" t="e">
        <x:f>IF($A754="","",[1]!thsiFinD("ths_adjustment_nv_fund",G$3,$A754))</x:f>
        <x:v>#NAME?</x:v>
      </x:c>
      <x:c r="H754" s="146" t="e">
        <x:f>IF($A754="","",[1]!thsiFinD("ths_adjustment_nv_fund",H$3,$A754))</x:f>
        <x:v>#NAME?</x:v>
      </x:c>
      <x:c r="I754" s="146" t="e">
        <x:f>IF($A754="","",[1]!thsiFinD("ths_adjustment_nv_fund",I$3,$A754))</x:f>
        <x:v>#NAME?</x:v>
      </x:c>
      <x:c r="J754" s="146" t="e">
        <x:f>IF($A754="","",[1]!thsiFinD("ths_adjustment_nv_fund",J$3,$A754))</x:f>
        <x:v>#NAME?</x:v>
      </x:c>
      <x:c r="K754" s="146" t="e">
        <x:f>IF($A754="","",[1]!thsiFinD("ths_adjustment_nv_fund",K$3,$A754))</x:f>
        <x:v>#NAME?</x:v>
      </x:c>
      <x:c r="L754" s="146" t="e">
        <x:f>IF($A754="","",[1]!thsiFinD("ths_adjustment_nv_fund",L$3,$A754))</x:f>
        <x:v>#NAME?</x:v>
      </x:c>
      <x:c r="M754" s="146" t="e">
        <x:f>IF($A754="","",[1]!thsiFinD("ths_adjustment_nv_fund",M$3,$A754))</x:f>
        <x:v>#NAME?</x:v>
      </x:c>
      <x:c r="N754" s="146" t="e">
        <x:f>IF($A754="","",[1]!thsiFinD("ths_adjustment_nv_fund",N$3,$A754))</x:f>
        <x:v>#NAME?</x:v>
      </x:c>
      <x:c r="O754" s="146" t="e">
        <x:f>IF($A754="","",[1]!thsiFinD("ths_adjustment_nv_fund",O$3,$A754))</x:f>
        <x:v>#NAME?</x:v>
      </x:c>
      <x:c r="P754" s="146" t="e">
        <x:f>IF($A754="","",[1]!thsiFinD("ths_adjustment_nv_fund",P$3,$A754))</x:f>
        <x:v>#NAME?</x:v>
      </x:c>
      <x:c r="Q754" s="146" t="e">
        <x:f>IF($A754="","",[1]!thsiFinD("ths_adjustment_nv_fund",Q$3,$A754))</x:f>
        <x:v>#NAME?</x:v>
      </x:c>
      <x:c r="R754" s="146" t="e">
        <x:f>IF($A754="","",[1]!thsiFinD("ths_adjustment_nv_fund",R$3,$A754))</x:f>
        <x:v>#NAME?</x:v>
      </x:c>
      <x:c r="S754" s="146" t="e">
        <x:f>IF($A754="","",[1]!thsiFinD("ths_adjustment_nv_fund",S$3,$A754))</x:f>
        <x:v>#NAME?</x:v>
      </x:c>
      <x:c r="T754" s="146" t="e">
        <x:f>IF($A754="","",[1]!thsiFinD("ths_adjustment_nv_fund",T$3,$A754))</x:f>
        <x:v>#NAME?</x:v>
      </x:c>
      <x:c r="U754" s="146" t="e">
        <x:f>IF($A754="","",[1]!thsiFinD("ths_adjustment_nv_fund",U$3,$A754))</x:f>
        <x:v>#NAME?</x:v>
      </x:c>
      <x:c r="V754" s="146" t="e">
        <x:f>IF($A754="","",[1]!thsiFinD("ths_adjustment_nv_fund",V$3,$A754))</x:f>
        <x:v>#NAME?</x:v>
      </x:c>
      <x:c r="W754" s="146" t="e">
        <x:f>IF($A754="","",[1]!thsiFinD("ths_adjustment_nv_fund",W$3,$A754))</x:f>
        <x:v>#NAME?</x:v>
      </x:c>
      <x:c r="X754" s="146" t="e">
        <x:f>IF($A754="","",[1]!thsiFinD("ths_adjustment_nv_fund",X$3,$A754))</x:f>
        <x:v>#NAME?</x:v>
      </x:c>
      <x:c r="Y754" s="146" t="e">
        <x:f>IF($A754="","",[1]!thsiFinD("ths_adjustment_nv_fund",Y$3,$A754))</x:f>
        <x:v>#NAME?</x:v>
      </x:c>
      <x:c r="Z754" s="146" t="e">
        <x:f>IF($A754="","",[1]!thsiFinD("ths_adjustment_nv_fund",Z$3,$A754))</x:f>
        <x:v>#NAME?</x:v>
      </x:c>
      <x:c r="AA754" s="146" t="e">
        <x:f>IF($A754="","",[1]!thsiFinD("ths_adjustment_nv_fund",AA$3,$A754))</x:f>
        <x:v>#NAME?</x:v>
      </x:c>
    </x:row>
    <x:row r="755">
      <x:c r="B755" s="146" t="e">
        <x:f>IF($A755="","",[1]!thsiFinD("ths_adjustment_nv_fund",B$3,$A755))</x:f>
        <x:v>#NAME?</x:v>
      </x:c>
      <x:c r="C755" s="146" t="e">
        <x:f>IF($A755="","",[1]!thsiFinD("ths_adjustment_nv_fund",C$3,$A755))</x:f>
        <x:v>#NAME?</x:v>
      </x:c>
      <x:c r="D755" s="146" t="e">
        <x:f>IF($A755="","",[1]!thsiFinD("ths_adjustment_nv_fund",D$3,$A755))</x:f>
        <x:v>#NAME?</x:v>
      </x:c>
      <x:c r="E755" s="146" t="e">
        <x:f>IF($A755="","",[1]!thsiFinD("ths_adjustment_nv_fund",E$3,$A755))</x:f>
        <x:v>#NAME?</x:v>
      </x:c>
      <x:c r="F755" s="146" t="e">
        <x:f>IF($A755="","",[1]!thsiFinD("ths_adjustment_nv_fund",F$3,$A755))</x:f>
        <x:v>#NAME?</x:v>
      </x:c>
      <x:c r="G755" s="146" t="e">
        <x:f>IF($A755="","",[1]!thsiFinD("ths_adjustment_nv_fund",G$3,$A755))</x:f>
        <x:v>#NAME?</x:v>
      </x:c>
      <x:c r="H755" s="146" t="e">
        <x:f>IF($A755="","",[1]!thsiFinD("ths_adjustment_nv_fund",H$3,$A755))</x:f>
        <x:v>#NAME?</x:v>
      </x:c>
      <x:c r="I755" s="146" t="e">
        <x:f>IF($A755="","",[1]!thsiFinD("ths_adjustment_nv_fund",I$3,$A755))</x:f>
        <x:v>#NAME?</x:v>
      </x:c>
      <x:c r="J755" s="146" t="e">
        <x:f>IF($A755="","",[1]!thsiFinD("ths_adjustment_nv_fund",J$3,$A755))</x:f>
        <x:v>#NAME?</x:v>
      </x:c>
      <x:c r="K755" s="146" t="e">
        <x:f>IF($A755="","",[1]!thsiFinD("ths_adjustment_nv_fund",K$3,$A755))</x:f>
        <x:v>#NAME?</x:v>
      </x:c>
      <x:c r="L755" s="146" t="e">
        <x:f>IF($A755="","",[1]!thsiFinD("ths_adjustment_nv_fund",L$3,$A755))</x:f>
        <x:v>#NAME?</x:v>
      </x:c>
      <x:c r="M755" s="146" t="e">
        <x:f>IF($A755="","",[1]!thsiFinD("ths_adjustment_nv_fund",M$3,$A755))</x:f>
        <x:v>#NAME?</x:v>
      </x:c>
      <x:c r="N755" s="146" t="e">
        <x:f>IF($A755="","",[1]!thsiFinD("ths_adjustment_nv_fund",N$3,$A755))</x:f>
        <x:v>#NAME?</x:v>
      </x:c>
      <x:c r="O755" s="146" t="e">
        <x:f>IF($A755="","",[1]!thsiFinD("ths_adjustment_nv_fund",O$3,$A755))</x:f>
        <x:v>#NAME?</x:v>
      </x:c>
      <x:c r="P755" s="146" t="e">
        <x:f>IF($A755="","",[1]!thsiFinD("ths_adjustment_nv_fund",P$3,$A755))</x:f>
        <x:v>#NAME?</x:v>
      </x:c>
      <x:c r="Q755" s="146" t="e">
        <x:f>IF($A755="","",[1]!thsiFinD("ths_adjustment_nv_fund",Q$3,$A755))</x:f>
        <x:v>#NAME?</x:v>
      </x:c>
      <x:c r="R755" s="146" t="e">
        <x:f>IF($A755="","",[1]!thsiFinD("ths_adjustment_nv_fund",R$3,$A755))</x:f>
        <x:v>#NAME?</x:v>
      </x:c>
      <x:c r="S755" s="146" t="e">
        <x:f>IF($A755="","",[1]!thsiFinD("ths_adjustment_nv_fund",S$3,$A755))</x:f>
        <x:v>#NAME?</x:v>
      </x:c>
      <x:c r="T755" s="146" t="e">
        <x:f>IF($A755="","",[1]!thsiFinD("ths_adjustment_nv_fund",T$3,$A755))</x:f>
        <x:v>#NAME?</x:v>
      </x:c>
      <x:c r="U755" s="146" t="e">
        <x:f>IF($A755="","",[1]!thsiFinD("ths_adjustment_nv_fund",U$3,$A755))</x:f>
        <x:v>#NAME?</x:v>
      </x:c>
      <x:c r="V755" s="146" t="e">
        <x:f>IF($A755="","",[1]!thsiFinD("ths_adjustment_nv_fund",V$3,$A755))</x:f>
        <x:v>#NAME?</x:v>
      </x:c>
      <x:c r="W755" s="146" t="e">
        <x:f>IF($A755="","",[1]!thsiFinD("ths_adjustment_nv_fund",W$3,$A755))</x:f>
        <x:v>#NAME?</x:v>
      </x:c>
      <x:c r="X755" s="146" t="e">
        <x:f>IF($A755="","",[1]!thsiFinD("ths_adjustment_nv_fund",X$3,$A755))</x:f>
        <x:v>#NAME?</x:v>
      </x:c>
      <x:c r="Y755" s="146" t="e">
        <x:f>IF($A755="","",[1]!thsiFinD("ths_adjustment_nv_fund",Y$3,$A755))</x:f>
        <x:v>#NAME?</x:v>
      </x:c>
      <x:c r="Z755" s="146" t="e">
        <x:f>IF($A755="","",[1]!thsiFinD("ths_adjustment_nv_fund",Z$3,$A755))</x:f>
        <x:v>#NAME?</x:v>
      </x:c>
      <x:c r="AA755" s="146" t="e">
        <x:f>IF($A755="","",[1]!thsiFinD("ths_adjustment_nv_fund",AA$3,$A755))</x:f>
        <x:v>#NAME?</x:v>
      </x:c>
    </x:row>
    <x:row r="756">
      <x:c r="B756" s="146" t="e">
        <x:f>IF($A756="","",[1]!thsiFinD("ths_adjustment_nv_fund",B$3,$A756))</x:f>
        <x:v>#NAME?</x:v>
      </x:c>
      <x:c r="C756" s="146" t="e">
        <x:f>IF($A756="","",[1]!thsiFinD("ths_adjustment_nv_fund",C$3,$A756))</x:f>
        <x:v>#NAME?</x:v>
      </x:c>
      <x:c r="D756" s="146" t="e">
        <x:f>IF($A756="","",[1]!thsiFinD("ths_adjustment_nv_fund",D$3,$A756))</x:f>
        <x:v>#NAME?</x:v>
      </x:c>
      <x:c r="E756" s="146" t="e">
        <x:f>IF($A756="","",[1]!thsiFinD("ths_adjustment_nv_fund",E$3,$A756))</x:f>
        <x:v>#NAME?</x:v>
      </x:c>
      <x:c r="F756" s="146" t="e">
        <x:f>IF($A756="","",[1]!thsiFinD("ths_adjustment_nv_fund",F$3,$A756))</x:f>
        <x:v>#NAME?</x:v>
      </x:c>
      <x:c r="G756" s="146" t="e">
        <x:f>IF($A756="","",[1]!thsiFinD("ths_adjustment_nv_fund",G$3,$A756))</x:f>
        <x:v>#NAME?</x:v>
      </x:c>
      <x:c r="H756" s="146" t="e">
        <x:f>IF($A756="","",[1]!thsiFinD("ths_adjustment_nv_fund",H$3,$A756))</x:f>
        <x:v>#NAME?</x:v>
      </x:c>
      <x:c r="I756" s="146" t="e">
        <x:f>IF($A756="","",[1]!thsiFinD("ths_adjustment_nv_fund",I$3,$A756))</x:f>
        <x:v>#NAME?</x:v>
      </x:c>
      <x:c r="J756" s="146" t="e">
        <x:f>IF($A756="","",[1]!thsiFinD("ths_adjustment_nv_fund",J$3,$A756))</x:f>
        <x:v>#NAME?</x:v>
      </x:c>
      <x:c r="K756" s="146" t="e">
        <x:f>IF($A756="","",[1]!thsiFinD("ths_adjustment_nv_fund",K$3,$A756))</x:f>
        <x:v>#NAME?</x:v>
      </x:c>
      <x:c r="L756" s="146" t="e">
        <x:f>IF($A756="","",[1]!thsiFinD("ths_adjustment_nv_fund",L$3,$A756))</x:f>
        <x:v>#NAME?</x:v>
      </x:c>
      <x:c r="M756" s="146" t="e">
        <x:f>IF($A756="","",[1]!thsiFinD("ths_adjustment_nv_fund",M$3,$A756))</x:f>
        <x:v>#NAME?</x:v>
      </x:c>
      <x:c r="N756" s="146" t="e">
        <x:f>IF($A756="","",[1]!thsiFinD("ths_adjustment_nv_fund",N$3,$A756))</x:f>
        <x:v>#NAME?</x:v>
      </x:c>
      <x:c r="O756" s="146" t="e">
        <x:f>IF($A756="","",[1]!thsiFinD("ths_adjustment_nv_fund",O$3,$A756))</x:f>
        <x:v>#NAME?</x:v>
      </x:c>
      <x:c r="P756" s="146" t="e">
        <x:f>IF($A756="","",[1]!thsiFinD("ths_adjustment_nv_fund",P$3,$A756))</x:f>
        <x:v>#NAME?</x:v>
      </x:c>
      <x:c r="Q756" s="146" t="e">
        <x:f>IF($A756="","",[1]!thsiFinD("ths_adjustment_nv_fund",Q$3,$A756))</x:f>
        <x:v>#NAME?</x:v>
      </x:c>
      <x:c r="R756" s="146" t="e">
        <x:f>IF($A756="","",[1]!thsiFinD("ths_adjustment_nv_fund",R$3,$A756))</x:f>
        <x:v>#NAME?</x:v>
      </x:c>
      <x:c r="S756" s="146" t="e">
        <x:f>IF($A756="","",[1]!thsiFinD("ths_adjustment_nv_fund",S$3,$A756))</x:f>
        <x:v>#NAME?</x:v>
      </x:c>
      <x:c r="T756" s="146" t="e">
        <x:f>IF($A756="","",[1]!thsiFinD("ths_adjustment_nv_fund",T$3,$A756))</x:f>
        <x:v>#NAME?</x:v>
      </x:c>
      <x:c r="U756" s="146" t="e">
        <x:f>IF($A756="","",[1]!thsiFinD("ths_adjustment_nv_fund",U$3,$A756))</x:f>
        <x:v>#NAME?</x:v>
      </x:c>
      <x:c r="V756" s="146" t="e">
        <x:f>IF($A756="","",[1]!thsiFinD("ths_adjustment_nv_fund",V$3,$A756))</x:f>
        <x:v>#NAME?</x:v>
      </x:c>
      <x:c r="W756" s="146" t="e">
        <x:f>IF($A756="","",[1]!thsiFinD("ths_adjustment_nv_fund",W$3,$A756))</x:f>
        <x:v>#NAME?</x:v>
      </x:c>
      <x:c r="X756" s="146" t="e">
        <x:f>IF($A756="","",[1]!thsiFinD("ths_adjustment_nv_fund",X$3,$A756))</x:f>
        <x:v>#NAME?</x:v>
      </x:c>
      <x:c r="Y756" s="146" t="e">
        <x:f>IF($A756="","",[1]!thsiFinD("ths_adjustment_nv_fund",Y$3,$A756))</x:f>
        <x:v>#NAME?</x:v>
      </x:c>
      <x:c r="Z756" s="146" t="e">
        <x:f>IF($A756="","",[1]!thsiFinD("ths_adjustment_nv_fund",Z$3,$A756))</x:f>
        <x:v>#NAME?</x:v>
      </x:c>
      <x:c r="AA756" s="146" t="e">
        <x:f>IF($A756="","",[1]!thsiFinD("ths_adjustment_nv_fund",AA$3,$A756))</x:f>
        <x:v>#NAME?</x:v>
      </x:c>
    </x:row>
    <x:row r="757">
      <x:c r="B757" s="146" t="e">
        <x:f>IF($A757="","",[1]!thsiFinD("ths_adjustment_nv_fund",B$3,$A757))</x:f>
        <x:v>#NAME?</x:v>
      </x:c>
      <x:c r="C757" s="146" t="e">
        <x:f>IF($A757="","",[1]!thsiFinD("ths_adjustment_nv_fund",C$3,$A757))</x:f>
        <x:v>#NAME?</x:v>
      </x:c>
      <x:c r="D757" s="146" t="e">
        <x:f>IF($A757="","",[1]!thsiFinD("ths_adjustment_nv_fund",D$3,$A757))</x:f>
        <x:v>#NAME?</x:v>
      </x:c>
      <x:c r="E757" s="146" t="e">
        <x:f>IF($A757="","",[1]!thsiFinD("ths_adjustment_nv_fund",E$3,$A757))</x:f>
        <x:v>#NAME?</x:v>
      </x:c>
      <x:c r="F757" s="146" t="e">
        <x:f>IF($A757="","",[1]!thsiFinD("ths_adjustment_nv_fund",F$3,$A757))</x:f>
        <x:v>#NAME?</x:v>
      </x:c>
      <x:c r="G757" s="146" t="e">
        <x:f>IF($A757="","",[1]!thsiFinD("ths_adjustment_nv_fund",G$3,$A757))</x:f>
        <x:v>#NAME?</x:v>
      </x:c>
      <x:c r="H757" s="146" t="e">
        <x:f>IF($A757="","",[1]!thsiFinD("ths_adjustment_nv_fund",H$3,$A757))</x:f>
        <x:v>#NAME?</x:v>
      </x:c>
      <x:c r="I757" s="146" t="e">
        <x:f>IF($A757="","",[1]!thsiFinD("ths_adjustment_nv_fund",I$3,$A757))</x:f>
        <x:v>#NAME?</x:v>
      </x:c>
      <x:c r="J757" s="146" t="e">
        <x:f>IF($A757="","",[1]!thsiFinD("ths_adjustment_nv_fund",J$3,$A757))</x:f>
        <x:v>#NAME?</x:v>
      </x:c>
      <x:c r="K757" s="146" t="e">
        <x:f>IF($A757="","",[1]!thsiFinD("ths_adjustment_nv_fund",K$3,$A757))</x:f>
        <x:v>#NAME?</x:v>
      </x:c>
      <x:c r="L757" s="146" t="e">
        <x:f>IF($A757="","",[1]!thsiFinD("ths_adjustment_nv_fund",L$3,$A757))</x:f>
        <x:v>#NAME?</x:v>
      </x:c>
      <x:c r="M757" s="146" t="e">
        <x:f>IF($A757="","",[1]!thsiFinD("ths_adjustment_nv_fund",M$3,$A757))</x:f>
        <x:v>#NAME?</x:v>
      </x:c>
      <x:c r="N757" s="146" t="e">
        <x:f>IF($A757="","",[1]!thsiFinD("ths_adjustment_nv_fund",N$3,$A757))</x:f>
        <x:v>#NAME?</x:v>
      </x:c>
      <x:c r="O757" s="146" t="e">
        <x:f>IF($A757="","",[1]!thsiFinD("ths_adjustment_nv_fund",O$3,$A757))</x:f>
        <x:v>#NAME?</x:v>
      </x:c>
      <x:c r="P757" s="146" t="e">
        <x:f>IF($A757="","",[1]!thsiFinD("ths_adjustment_nv_fund",P$3,$A757))</x:f>
        <x:v>#NAME?</x:v>
      </x:c>
      <x:c r="Q757" s="146" t="e">
        <x:f>IF($A757="","",[1]!thsiFinD("ths_adjustment_nv_fund",Q$3,$A757))</x:f>
        <x:v>#NAME?</x:v>
      </x:c>
      <x:c r="R757" s="146" t="e">
        <x:f>IF($A757="","",[1]!thsiFinD("ths_adjustment_nv_fund",R$3,$A757))</x:f>
        <x:v>#NAME?</x:v>
      </x:c>
      <x:c r="S757" s="146" t="e">
        <x:f>IF($A757="","",[1]!thsiFinD("ths_adjustment_nv_fund",S$3,$A757))</x:f>
        <x:v>#NAME?</x:v>
      </x:c>
      <x:c r="T757" s="146" t="e">
        <x:f>IF($A757="","",[1]!thsiFinD("ths_adjustment_nv_fund",T$3,$A757))</x:f>
        <x:v>#NAME?</x:v>
      </x:c>
      <x:c r="U757" s="146" t="e">
        <x:f>IF($A757="","",[1]!thsiFinD("ths_adjustment_nv_fund",U$3,$A757))</x:f>
        <x:v>#NAME?</x:v>
      </x:c>
      <x:c r="V757" s="146" t="e">
        <x:f>IF($A757="","",[1]!thsiFinD("ths_adjustment_nv_fund",V$3,$A757))</x:f>
        <x:v>#NAME?</x:v>
      </x:c>
      <x:c r="W757" s="146" t="e">
        <x:f>IF($A757="","",[1]!thsiFinD("ths_adjustment_nv_fund",W$3,$A757))</x:f>
        <x:v>#NAME?</x:v>
      </x:c>
      <x:c r="X757" s="146" t="e">
        <x:f>IF($A757="","",[1]!thsiFinD("ths_adjustment_nv_fund",X$3,$A757))</x:f>
        <x:v>#NAME?</x:v>
      </x:c>
      <x:c r="Y757" s="146" t="e">
        <x:f>IF($A757="","",[1]!thsiFinD("ths_adjustment_nv_fund",Y$3,$A757))</x:f>
        <x:v>#NAME?</x:v>
      </x:c>
      <x:c r="Z757" s="146" t="e">
        <x:f>IF($A757="","",[1]!thsiFinD("ths_adjustment_nv_fund",Z$3,$A757))</x:f>
        <x:v>#NAME?</x:v>
      </x:c>
      <x:c r="AA757" s="146" t="e">
        <x:f>IF($A757="","",[1]!thsiFinD("ths_adjustment_nv_fund",AA$3,$A757))</x:f>
        <x:v>#NAME?</x:v>
      </x:c>
    </x:row>
    <x:row r="758">
      <x:c r="B758" s="146" t="e">
        <x:f>IF($A758="","",[1]!thsiFinD("ths_adjustment_nv_fund",B$3,$A758))</x:f>
        <x:v>#NAME?</x:v>
      </x:c>
      <x:c r="C758" s="146" t="e">
        <x:f>IF($A758="","",[1]!thsiFinD("ths_adjustment_nv_fund",C$3,$A758))</x:f>
        <x:v>#NAME?</x:v>
      </x:c>
      <x:c r="D758" s="146" t="e">
        <x:f>IF($A758="","",[1]!thsiFinD("ths_adjustment_nv_fund",D$3,$A758))</x:f>
        <x:v>#NAME?</x:v>
      </x:c>
      <x:c r="E758" s="146" t="e">
        <x:f>IF($A758="","",[1]!thsiFinD("ths_adjustment_nv_fund",E$3,$A758))</x:f>
        <x:v>#NAME?</x:v>
      </x:c>
      <x:c r="F758" s="146" t="e">
        <x:f>IF($A758="","",[1]!thsiFinD("ths_adjustment_nv_fund",F$3,$A758))</x:f>
        <x:v>#NAME?</x:v>
      </x:c>
      <x:c r="G758" s="146" t="e">
        <x:f>IF($A758="","",[1]!thsiFinD("ths_adjustment_nv_fund",G$3,$A758))</x:f>
        <x:v>#NAME?</x:v>
      </x:c>
      <x:c r="H758" s="146" t="e">
        <x:f>IF($A758="","",[1]!thsiFinD("ths_adjustment_nv_fund",H$3,$A758))</x:f>
        <x:v>#NAME?</x:v>
      </x:c>
      <x:c r="I758" s="146" t="e">
        <x:f>IF($A758="","",[1]!thsiFinD("ths_adjustment_nv_fund",I$3,$A758))</x:f>
        <x:v>#NAME?</x:v>
      </x:c>
      <x:c r="J758" s="146" t="e">
        <x:f>IF($A758="","",[1]!thsiFinD("ths_adjustment_nv_fund",J$3,$A758))</x:f>
        <x:v>#NAME?</x:v>
      </x:c>
      <x:c r="K758" s="146" t="e">
        <x:f>IF($A758="","",[1]!thsiFinD("ths_adjustment_nv_fund",K$3,$A758))</x:f>
        <x:v>#NAME?</x:v>
      </x:c>
      <x:c r="L758" s="146" t="e">
        <x:f>IF($A758="","",[1]!thsiFinD("ths_adjustment_nv_fund",L$3,$A758))</x:f>
        <x:v>#NAME?</x:v>
      </x:c>
      <x:c r="M758" s="146" t="e">
        <x:f>IF($A758="","",[1]!thsiFinD("ths_adjustment_nv_fund",M$3,$A758))</x:f>
        <x:v>#NAME?</x:v>
      </x:c>
      <x:c r="N758" s="146" t="e">
        <x:f>IF($A758="","",[1]!thsiFinD("ths_adjustment_nv_fund",N$3,$A758))</x:f>
        <x:v>#NAME?</x:v>
      </x:c>
      <x:c r="O758" s="146" t="e">
        <x:f>IF($A758="","",[1]!thsiFinD("ths_adjustment_nv_fund",O$3,$A758))</x:f>
        <x:v>#NAME?</x:v>
      </x:c>
      <x:c r="P758" s="146" t="e">
        <x:f>IF($A758="","",[1]!thsiFinD("ths_adjustment_nv_fund",P$3,$A758))</x:f>
        <x:v>#NAME?</x:v>
      </x:c>
      <x:c r="Q758" s="146" t="e">
        <x:f>IF($A758="","",[1]!thsiFinD("ths_adjustment_nv_fund",Q$3,$A758))</x:f>
        <x:v>#NAME?</x:v>
      </x:c>
      <x:c r="R758" s="146" t="e">
        <x:f>IF($A758="","",[1]!thsiFinD("ths_adjustment_nv_fund",R$3,$A758))</x:f>
        <x:v>#NAME?</x:v>
      </x:c>
      <x:c r="S758" s="146" t="e">
        <x:f>IF($A758="","",[1]!thsiFinD("ths_adjustment_nv_fund",S$3,$A758))</x:f>
        <x:v>#NAME?</x:v>
      </x:c>
      <x:c r="T758" s="146" t="e">
        <x:f>IF($A758="","",[1]!thsiFinD("ths_adjustment_nv_fund",T$3,$A758))</x:f>
        <x:v>#NAME?</x:v>
      </x:c>
      <x:c r="U758" s="146" t="e">
        <x:f>IF($A758="","",[1]!thsiFinD("ths_adjustment_nv_fund",U$3,$A758))</x:f>
        <x:v>#NAME?</x:v>
      </x:c>
      <x:c r="V758" s="146" t="e">
        <x:f>IF($A758="","",[1]!thsiFinD("ths_adjustment_nv_fund",V$3,$A758))</x:f>
        <x:v>#NAME?</x:v>
      </x:c>
      <x:c r="W758" s="146" t="e">
        <x:f>IF($A758="","",[1]!thsiFinD("ths_adjustment_nv_fund",W$3,$A758))</x:f>
        <x:v>#NAME?</x:v>
      </x:c>
      <x:c r="X758" s="146" t="e">
        <x:f>IF($A758="","",[1]!thsiFinD("ths_adjustment_nv_fund",X$3,$A758))</x:f>
        <x:v>#NAME?</x:v>
      </x:c>
      <x:c r="Y758" s="146" t="e">
        <x:f>IF($A758="","",[1]!thsiFinD("ths_adjustment_nv_fund",Y$3,$A758))</x:f>
        <x:v>#NAME?</x:v>
      </x:c>
      <x:c r="Z758" s="146" t="e">
        <x:f>IF($A758="","",[1]!thsiFinD("ths_adjustment_nv_fund",Z$3,$A758))</x:f>
        <x:v>#NAME?</x:v>
      </x:c>
      <x:c r="AA758" s="146" t="e">
        <x:f>IF($A758="","",[1]!thsiFinD("ths_adjustment_nv_fund",AA$3,$A758))</x:f>
        <x:v>#NAME?</x:v>
      </x:c>
    </x:row>
    <x:row r="759">
      <x:c r="B759" s="146" t="e">
        <x:f>IF($A759="","",[1]!thsiFinD("ths_adjustment_nv_fund",B$3,$A759))</x:f>
        <x:v>#NAME?</x:v>
      </x:c>
      <x:c r="C759" s="146" t="e">
        <x:f>IF($A759="","",[1]!thsiFinD("ths_adjustment_nv_fund",C$3,$A759))</x:f>
        <x:v>#NAME?</x:v>
      </x:c>
      <x:c r="D759" s="146" t="e">
        <x:f>IF($A759="","",[1]!thsiFinD("ths_adjustment_nv_fund",D$3,$A759))</x:f>
        <x:v>#NAME?</x:v>
      </x:c>
      <x:c r="E759" s="146" t="e">
        <x:f>IF($A759="","",[1]!thsiFinD("ths_adjustment_nv_fund",E$3,$A759))</x:f>
        <x:v>#NAME?</x:v>
      </x:c>
      <x:c r="F759" s="146" t="e">
        <x:f>IF($A759="","",[1]!thsiFinD("ths_adjustment_nv_fund",F$3,$A759))</x:f>
        <x:v>#NAME?</x:v>
      </x:c>
      <x:c r="G759" s="146" t="e">
        <x:f>IF($A759="","",[1]!thsiFinD("ths_adjustment_nv_fund",G$3,$A759))</x:f>
        <x:v>#NAME?</x:v>
      </x:c>
      <x:c r="H759" s="146" t="e">
        <x:f>IF($A759="","",[1]!thsiFinD("ths_adjustment_nv_fund",H$3,$A759))</x:f>
        <x:v>#NAME?</x:v>
      </x:c>
      <x:c r="I759" s="146" t="e">
        <x:f>IF($A759="","",[1]!thsiFinD("ths_adjustment_nv_fund",I$3,$A759))</x:f>
        <x:v>#NAME?</x:v>
      </x:c>
      <x:c r="J759" s="146" t="e">
        <x:f>IF($A759="","",[1]!thsiFinD("ths_adjustment_nv_fund",J$3,$A759))</x:f>
        <x:v>#NAME?</x:v>
      </x:c>
      <x:c r="K759" s="146" t="e">
        <x:f>IF($A759="","",[1]!thsiFinD("ths_adjustment_nv_fund",K$3,$A759))</x:f>
        <x:v>#NAME?</x:v>
      </x:c>
      <x:c r="L759" s="146" t="e">
        <x:f>IF($A759="","",[1]!thsiFinD("ths_adjustment_nv_fund",L$3,$A759))</x:f>
        <x:v>#NAME?</x:v>
      </x:c>
      <x:c r="M759" s="146" t="e">
        <x:f>IF($A759="","",[1]!thsiFinD("ths_adjustment_nv_fund",M$3,$A759))</x:f>
        <x:v>#NAME?</x:v>
      </x:c>
      <x:c r="N759" s="146" t="e">
        <x:f>IF($A759="","",[1]!thsiFinD("ths_adjustment_nv_fund",N$3,$A759))</x:f>
        <x:v>#NAME?</x:v>
      </x:c>
      <x:c r="O759" s="146" t="e">
        <x:f>IF($A759="","",[1]!thsiFinD("ths_adjustment_nv_fund",O$3,$A759))</x:f>
        <x:v>#NAME?</x:v>
      </x:c>
      <x:c r="P759" s="146" t="e">
        <x:f>IF($A759="","",[1]!thsiFinD("ths_adjustment_nv_fund",P$3,$A759))</x:f>
        <x:v>#NAME?</x:v>
      </x:c>
      <x:c r="Q759" s="146" t="e">
        <x:f>IF($A759="","",[1]!thsiFinD("ths_adjustment_nv_fund",Q$3,$A759))</x:f>
        <x:v>#NAME?</x:v>
      </x:c>
      <x:c r="R759" s="146" t="e">
        <x:f>IF($A759="","",[1]!thsiFinD("ths_adjustment_nv_fund",R$3,$A759))</x:f>
        <x:v>#NAME?</x:v>
      </x:c>
      <x:c r="S759" s="146" t="e">
        <x:f>IF($A759="","",[1]!thsiFinD("ths_adjustment_nv_fund",S$3,$A759))</x:f>
        <x:v>#NAME?</x:v>
      </x:c>
      <x:c r="T759" s="146" t="e">
        <x:f>IF($A759="","",[1]!thsiFinD("ths_adjustment_nv_fund",T$3,$A759))</x:f>
        <x:v>#NAME?</x:v>
      </x:c>
      <x:c r="U759" s="146" t="e">
        <x:f>IF($A759="","",[1]!thsiFinD("ths_adjustment_nv_fund",U$3,$A759))</x:f>
        <x:v>#NAME?</x:v>
      </x:c>
      <x:c r="V759" s="146" t="e">
        <x:f>IF($A759="","",[1]!thsiFinD("ths_adjustment_nv_fund",V$3,$A759))</x:f>
        <x:v>#NAME?</x:v>
      </x:c>
      <x:c r="W759" s="146" t="e">
        <x:f>IF($A759="","",[1]!thsiFinD("ths_adjustment_nv_fund",W$3,$A759))</x:f>
        <x:v>#NAME?</x:v>
      </x:c>
      <x:c r="X759" s="146" t="e">
        <x:f>IF($A759="","",[1]!thsiFinD("ths_adjustment_nv_fund",X$3,$A759))</x:f>
        <x:v>#NAME?</x:v>
      </x:c>
      <x:c r="Y759" s="146" t="e">
        <x:f>IF($A759="","",[1]!thsiFinD("ths_adjustment_nv_fund",Y$3,$A759))</x:f>
        <x:v>#NAME?</x:v>
      </x:c>
      <x:c r="Z759" s="146" t="e">
        <x:f>IF($A759="","",[1]!thsiFinD("ths_adjustment_nv_fund",Z$3,$A759))</x:f>
        <x:v>#NAME?</x:v>
      </x:c>
      <x:c r="AA759" s="146" t="e">
        <x:f>IF($A759="","",[1]!thsiFinD("ths_adjustment_nv_fund",AA$3,$A759))</x:f>
        <x:v>#NAME?</x:v>
      </x:c>
    </x:row>
    <x:row r="760">
      <x:c r="B760" s="146" t="e">
        <x:f>IF($A760="","",[1]!thsiFinD("ths_adjustment_nv_fund",B$3,$A760))</x:f>
        <x:v>#NAME?</x:v>
      </x:c>
      <x:c r="C760" s="146" t="e">
        <x:f>IF($A760="","",[1]!thsiFinD("ths_adjustment_nv_fund",C$3,$A760))</x:f>
        <x:v>#NAME?</x:v>
      </x:c>
      <x:c r="D760" s="146" t="e">
        <x:f>IF($A760="","",[1]!thsiFinD("ths_adjustment_nv_fund",D$3,$A760))</x:f>
        <x:v>#NAME?</x:v>
      </x:c>
      <x:c r="E760" s="146" t="e">
        <x:f>IF($A760="","",[1]!thsiFinD("ths_adjustment_nv_fund",E$3,$A760))</x:f>
        <x:v>#NAME?</x:v>
      </x:c>
      <x:c r="F760" s="146" t="e">
        <x:f>IF($A760="","",[1]!thsiFinD("ths_adjustment_nv_fund",F$3,$A760))</x:f>
        <x:v>#NAME?</x:v>
      </x:c>
      <x:c r="G760" s="146" t="e">
        <x:f>IF($A760="","",[1]!thsiFinD("ths_adjustment_nv_fund",G$3,$A760))</x:f>
        <x:v>#NAME?</x:v>
      </x:c>
      <x:c r="H760" s="146" t="e">
        <x:f>IF($A760="","",[1]!thsiFinD("ths_adjustment_nv_fund",H$3,$A760))</x:f>
        <x:v>#NAME?</x:v>
      </x:c>
      <x:c r="I760" s="146" t="e">
        <x:f>IF($A760="","",[1]!thsiFinD("ths_adjustment_nv_fund",I$3,$A760))</x:f>
        <x:v>#NAME?</x:v>
      </x:c>
      <x:c r="J760" s="146" t="e">
        <x:f>IF($A760="","",[1]!thsiFinD("ths_adjustment_nv_fund",J$3,$A760))</x:f>
        <x:v>#NAME?</x:v>
      </x:c>
      <x:c r="K760" s="146" t="e">
        <x:f>IF($A760="","",[1]!thsiFinD("ths_adjustment_nv_fund",K$3,$A760))</x:f>
        <x:v>#NAME?</x:v>
      </x:c>
      <x:c r="L760" s="146" t="e">
        <x:f>IF($A760="","",[1]!thsiFinD("ths_adjustment_nv_fund",L$3,$A760))</x:f>
        <x:v>#NAME?</x:v>
      </x:c>
      <x:c r="M760" s="146" t="e">
        <x:f>IF($A760="","",[1]!thsiFinD("ths_adjustment_nv_fund",M$3,$A760))</x:f>
        <x:v>#NAME?</x:v>
      </x:c>
      <x:c r="N760" s="146" t="e">
        <x:f>IF($A760="","",[1]!thsiFinD("ths_adjustment_nv_fund",N$3,$A760))</x:f>
        <x:v>#NAME?</x:v>
      </x:c>
      <x:c r="O760" s="146" t="e">
        <x:f>IF($A760="","",[1]!thsiFinD("ths_adjustment_nv_fund",O$3,$A760))</x:f>
        <x:v>#NAME?</x:v>
      </x:c>
      <x:c r="P760" s="146" t="e">
        <x:f>IF($A760="","",[1]!thsiFinD("ths_adjustment_nv_fund",P$3,$A760))</x:f>
        <x:v>#NAME?</x:v>
      </x:c>
      <x:c r="Q760" s="146" t="e">
        <x:f>IF($A760="","",[1]!thsiFinD("ths_adjustment_nv_fund",Q$3,$A760))</x:f>
        <x:v>#NAME?</x:v>
      </x:c>
      <x:c r="R760" s="146" t="e">
        <x:f>IF($A760="","",[1]!thsiFinD("ths_adjustment_nv_fund",R$3,$A760))</x:f>
        <x:v>#NAME?</x:v>
      </x:c>
      <x:c r="S760" s="146" t="e">
        <x:f>IF($A760="","",[1]!thsiFinD("ths_adjustment_nv_fund",S$3,$A760))</x:f>
        <x:v>#NAME?</x:v>
      </x:c>
      <x:c r="T760" s="146" t="e">
        <x:f>IF($A760="","",[1]!thsiFinD("ths_adjustment_nv_fund",T$3,$A760))</x:f>
        <x:v>#NAME?</x:v>
      </x:c>
      <x:c r="U760" s="146" t="e">
        <x:f>IF($A760="","",[1]!thsiFinD("ths_adjustment_nv_fund",U$3,$A760))</x:f>
        <x:v>#NAME?</x:v>
      </x:c>
      <x:c r="V760" s="146" t="e">
        <x:f>IF($A760="","",[1]!thsiFinD("ths_adjustment_nv_fund",V$3,$A760))</x:f>
        <x:v>#NAME?</x:v>
      </x:c>
      <x:c r="W760" s="146" t="e">
        <x:f>IF($A760="","",[1]!thsiFinD("ths_adjustment_nv_fund",W$3,$A760))</x:f>
        <x:v>#NAME?</x:v>
      </x:c>
      <x:c r="X760" s="146" t="e">
        <x:f>IF($A760="","",[1]!thsiFinD("ths_adjustment_nv_fund",X$3,$A760))</x:f>
        <x:v>#NAME?</x:v>
      </x:c>
      <x:c r="Y760" s="146" t="e">
        <x:f>IF($A760="","",[1]!thsiFinD("ths_adjustment_nv_fund",Y$3,$A760))</x:f>
        <x:v>#NAME?</x:v>
      </x:c>
      <x:c r="Z760" s="146" t="e">
        <x:f>IF($A760="","",[1]!thsiFinD("ths_adjustment_nv_fund",Z$3,$A760))</x:f>
        <x:v>#NAME?</x:v>
      </x:c>
      <x:c r="AA760" s="146" t="e">
        <x:f>IF($A760="","",[1]!thsiFinD("ths_adjustment_nv_fund",AA$3,$A760))</x:f>
        <x:v>#NAME?</x:v>
      </x:c>
    </x:row>
    <x:row r="761">
      <x:c r="B761" s="146" t="e">
        <x:f>IF($A761="","",[1]!thsiFinD("ths_adjustment_nv_fund",B$3,$A761))</x:f>
        <x:v>#NAME?</x:v>
      </x:c>
      <x:c r="C761" s="146" t="e">
        <x:f>IF($A761="","",[1]!thsiFinD("ths_adjustment_nv_fund",C$3,$A761))</x:f>
        <x:v>#NAME?</x:v>
      </x:c>
      <x:c r="D761" s="146" t="e">
        <x:f>IF($A761="","",[1]!thsiFinD("ths_adjustment_nv_fund",D$3,$A761))</x:f>
        <x:v>#NAME?</x:v>
      </x:c>
      <x:c r="E761" s="146" t="e">
        <x:f>IF($A761="","",[1]!thsiFinD("ths_adjustment_nv_fund",E$3,$A761))</x:f>
        <x:v>#NAME?</x:v>
      </x:c>
      <x:c r="F761" s="146" t="e">
        <x:f>IF($A761="","",[1]!thsiFinD("ths_adjustment_nv_fund",F$3,$A761))</x:f>
        <x:v>#NAME?</x:v>
      </x:c>
      <x:c r="G761" s="146" t="e">
        <x:f>IF($A761="","",[1]!thsiFinD("ths_adjustment_nv_fund",G$3,$A761))</x:f>
        <x:v>#NAME?</x:v>
      </x:c>
      <x:c r="H761" s="146" t="e">
        <x:f>IF($A761="","",[1]!thsiFinD("ths_adjustment_nv_fund",H$3,$A761))</x:f>
        <x:v>#NAME?</x:v>
      </x:c>
      <x:c r="I761" s="146" t="e">
        <x:f>IF($A761="","",[1]!thsiFinD("ths_adjustment_nv_fund",I$3,$A761))</x:f>
        <x:v>#NAME?</x:v>
      </x:c>
      <x:c r="J761" s="146" t="e">
        <x:f>IF($A761="","",[1]!thsiFinD("ths_adjustment_nv_fund",J$3,$A761))</x:f>
        <x:v>#NAME?</x:v>
      </x:c>
      <x:c r="K761" s="146" t="e">
        <x:f>IF($A761="","",[1]!thsiFinD("ths_adjustment_nv_fund",K$3,$A761))</x:f>
        <x:v>#NAME?</x:v>
      </x:c>
      <x:c r="L761" s="146" t="e">
        <x:f>IF($A761="","",[1]!thsiFinD("ths_adjustment_nv_fund",L$3,$A761))</x:f>
        <x:v>#NAME?</x:v>
      </x:c>
      <x:c r="M761" s="146" t="e">
        <x:f>IF($A761="","",[1]!thsiFinD("ths_adjustment_nv_fund",M$3,$A761))</x:f>
        <x:v>#NAME?</x:v>
      </x:c>
      <x:c r="N761" s="146" t="e">
        <x:f>IF($A761="","",[1]!thsiFinD("ths_adjustment_nv_fund",N$3,$A761))</x:f>
        <x:v>#NAME?</x:v>
      </x:c>
      <x:c r="O761" s="146" t="e">
        <x:f>IF($A761="","",[1]!thsiFinD("ths_adjustment_nv_fund",O$3,$A761))</x:f>
        <x:v>#NAME?</x:v>
      </x:c>
      <x:c r="P761" s="146" t="e">
        <x:f>IF($A761="","",[1]!thsiFinD("ths_adjustment_nv_fund",P$3,$A761))</x:f>
        <x:v>#NAME?</x:v>
      </x:c>
      <x:c r="Q761" s="146" t="e">
        <x:f>IF($A761="","",[1]!thsiFinD("ths_adjustment_nv_fund",Q$3,$A761))</x:f>
        <x:v>#NAME?</x:v>
      </x:c>
      <x:c r="R761" s="146" t="e">
        <x:f>IF($A761="","",[1]!thsiFinD("ths_adjustment_nv_fund",R$3,$A761))</x:f>
        <x:v>#NAME?</x:v>
      </x:c>
      <x:c r="S761" s="146" t="e">
        <x:f>IF($A761="","",[1]!thsiFinD("ths_adjustment_nv_fund",S$3,$A761))</x:f>
        <x:v>#NAME?</x:v>
      </x:c>
      <x:c r="T761" s="146" t="e">
        <x:f>IF($A761="","",[1]!thsiFinD("ths_adjustment_nv_fund",T$3,$A761))</x:f>
        <x:v>#NAME?</x:v>
      </x:c>
      <x:c r="U761" s="146" t="e">
        <x:f>IF($A761="","",[1]!thsiFinD("ths_adjustment_nv_fund",U$3,$A761))</x:f>
        <x:v>#NAME?</x:v>
      </x:c>
      <x:c r="V761" s="146" t="e">
        <x:f>IF($A761="","",[1]!thsiFinD("ths_adjustment_nv_fund",V$3,$A761))</x:f>
        <x:v>#NAME?</x:v>
      </x:c>
      <x:c r="W761" s="146" t="e">
        <x:f>IF($A761="","",[1]!thsiFinD("ths_adjustment_nv_fund",W$3,$A761))</x:f>
        <x:v>#NAME?</x:v>
      </x:c>
      <x:c r="X761" s="146" t="e">
        <x:f>IF($A761="","",[1]!thsiFinD("ths_adjustment_nv_fund",X$3,$A761))</x:f>
        <x:v>#NAME?</x:v>
      </x:c>
      <x:c r="Y761" s="146" t="e">
        <x:f>IF($A761="","",[1]!thsiFinD("ths_adjustment_nv_fund",Y$3,$A761))</x:f>
        <x:v>#NAME?</x:v>
      </x:c>
      <x:c r="Z761" s="146" t="e">
        <x:f>IF($A761="","",[1]!thsiFinD("ths_adjustment_nv_fund",Z$3,$A761))</x:f>
        <x:v>#NAME?</x:v>
      </x:c>
      <x:c r="AA761" s="146" t="e">
        <x:f>IF($A761="","",[1]!thsiFinD("ths_adjustment_nv_fund",AA$3,$A761))</x:f>
        <x:v>#NAME?</x:v>
      </x:c>
    </x:row>
    <x:row r="762">
      <x:c r="B762" s="146" t="e">
        <x:f>IF($A762="","",[1]!thsiFinD("ths_adjustment_nv_fund",B$3,$A762))</x:f>
        <x:v>#NAME?</x:v>
      </x:c>
      <x:c r="C762" s="146" t="e">
        <x:f>IF($A762="","",[1]!thsiFinD("ths_adjustment_nv_fund",C$3,$A762))</x:f>
        <x:v>#NAME?</x:v>
      </x:c>
      <x:c r="D762" s="146" t="e">
        <x:f>IF($A762="","",[1]!thsiFinD("ths_adjustment_nv_fund",D$3,$A762))</x:f>
        <x:v>#NAME?</x:v>
      </x:c>
      <x:c r="E762" s="146" t="e">
        <x:f>IF($A762="","",[1]!thsiFinD("ths_adjustment_nv_fund",E$3,$A762))</x:f>
        <x:v>#NAME?</x:v>
      </x:c>
      <x:c r="F762" s="146" t="e">
        <x:f>IF($A762="","",[1]!thsiFinD("ths_adjustment_nv_fund",F$3,$A762))</x:f>
        <x:v>#NAME?</x:v>
      </x:c>
      <x:c r="G762" s="146" t="e">
        <x:f>IF($A762="","",[1]!thsiFinD("ths_adjustment_nv_fund",G$3,$A762))</x:f>
        <x:v>#NAME?</x:v>
      </x:c>
      <x:c r="H762" s="146" t="e">
        <x:f>IF($A762="","",[1]!thsiFinD("ths_adjustment_nv_fund",H$3,$A762))</x:f>
        <x:v>#NAME?</x:v>
      </x:c>
      <x:c r="I762" s="146" t="e">
        <x:f>IF($A762="","",[1]!thsiFinD("ths_adjustment_nv_fund",I$3,$A762))</x:f>
        <x:v>#NAME?</x:v>
      </x:c>
      <x:c r="J762" s="146" t="e">
        <x:f>IF($A762="","",[1]!thsiFinD("ths_adjustment_nv_fund",J$3,$A762))</x:f>
        <x:v>#NAME?</x:v>
      </x:c>
      <x:c r="K762" s="146" t="e">
        <x:f>IF($A762="","",[1]!thsiFinD("ths_adjustment_nv_fund",K$3,$A762))</x:f>
        <x:v>#NAME?</x:v>
      </x:c>
      <x:c r="L762" s="146" t="e">
        <x:f>IF($A762="","",[1]!thsiFinD("ths_adjustment_nv_fund",L$3,$A762))</x:f>
        <x:v>#NAME?</x:v>
      </x:c>
      <x:c r="M762" s="146" t="e">
        <x:f>IF($A762="","",[1]!thsiFinD("ths_adjustment_nv_fund",M$3,$A762))</x:f>
        <x:v>#NAME?</x:v>
      </x:c>
      <x:c r="N762" s="146" t="e">
        <x:f>IF($A762="","",[1]!thsiFinD("ths_adjustment_nv_fund",N$3,$A762))</x:f>
        <x:v>#NAME?</x:v>
      </x:c>
      <x:c r="O762" s="146" t="e">
        <x:f>IF($A762="","",[1]!thsiFinD("ths_adjustment_nv_fund",O$3,$A762))</x:f>
        <x:v>#NAME?</x:v>
      </x:c>
      <x:c r="P762" s="146" t="e">
        <x:f>IF($A762="","",[1]!thsiFinD("ths_adjustment_nv_fund",P$3,$A762))</x:f>
        <x:v>#NAME?</x:v>
      </x:c>
      <x:c r="Q762" s="146" t="e">
        <x:f>IF($A762="","",[1]!thsiFinD("ths_adjustment_nv_fund",Q$3,$A762))</x:f>
        <x:v>#NAME?</x:v>
      </x:c>
      <x:c r="R762" s="146" t="e">
        <x:f>IF($A762="","",[1]!thsiFinD("ths_adjustment_nv_fund",R$3,$A762))</x:f>
        <x:v>#NAME?</x:v>
      </x:c>
      <x:c r="S762" s="146" t="e">
        <x:f>IF($A762="","",[1]!thsiFinD("ths_adjustment_nv_fund",S$3,$A762))</x:f>
        <x:v>#NAME?</x:v>
      </x:c>
      <x:c r="T762" s="146" t="e">
        <x:f>IF($A762="","",[1]!thsiFinD("ths_adjustment_nv_fund",T$3,$A762))</x:f>
        <x:v>#NAME?</x:v>
      </x:c>
      <x:c r="U762" s="146" t="e">
        <x:f>IF($A762="","",[1]!thsiFinD("ths_adjustment_nv_fund",U$3,$A762))</x:f>
        <x:v>#NAME?</x:v>
      </x:c>
      <x:c r="V762" s="146" t="e">
        <x:f>IF($A762="","",[1]!thsiFinD("ths_adjustment_nv_fund",V$3,$A762))</x:f>
        <x:v>#NAME?</x:v>
      </x:c>
      <x:c r="W762" s="146" t="e">
        <x:f>IF($A762="","",[1]!thsiFinD("ths_adjustment_nv_fund",W$3,$A762))</x:f>
        <x:v>#NAME?</x:v>
      </x:c>
      <x:c r="X762" s="146" t="e">
        <x:f>IF($A762="","",[1]!thsiFinD("ths_adjustment_nv_fund",X$3,$A762))</x:f>
        <x:v>#NAME?</x:v>
      </x:c>
      <x:c r="Y762" s="146" t="e">
        <x:f>IF($A762="","",[1]!thsiFinD("ths_adjustment_nv_fund",Y$3,$A762))</x:f>
        <x:v>#NAME?</x:v>
      </x:c>
      <x:c r="Z762" s="146" t="e">
        <x:f>IF($A762="","",[1]!thsiFinD("ths_adjustment_nv_fund",Z$3,$A762))</x:f>
        <x:v>#NAME?</x:v>
      </x:c>
      <x:c r="AA762" s="146" t="e">
        <x:f>IF($A762="","",[1]!thsiFinD("ths_adjustment_nv_fund",AA$3,$A762))</x:f>
        <x:v>#NAME?</x:v>
      </x:c>
    </x:row>
    <x:row r="763">
      <x:c r="B763" s="146" t="e">
        <x:f>IF($A763="","",[1]!thsiFinD("ths_adjustment_nv_fund",B$3,$A763))</x:f>
        <x:v>#NAME?</x:v>
      </x:c>
      <x:c r="C763" s="146" t="e">
        <x:f>IF($A763="","",[1]!thsiFinD("ths_adjustment_nv_fund",C$3,$A763))</x:f>
        <x:v>#NAME?</x:v>
      </x:c>
      <x:c r="D763" s="146" t="e">
        <x:f>IF($A763="","",[1]!thsiFinD("ths_adjustment_nv_fund",D$3,$A763))</x:f>
        <x:v>#NAME?</x:v>
      </x:c>
      <x:c r="E763" s="146" t="e">
        <x:f>IF($A763="","",[1]!thsiFinD("ths_adjustment_nv_fund",E$3,$A763))</x:f>
        <x:v>#NAME?</x:v>
      </x:c>
      <x:c r="F763" s="146" t="e">
        <x:f>IF($A763="","",[1]!thsiFinD("ths_adjustment_nv_fund",F$3,$A763))</x:f>
        <x:v>#NAME?</x:v>
      </x:c>
      <x:c r="G763" s="146" t="e">
        <x:f>IF($A763="","",[1]!thsiFinD("ths_adjustment_nv_fund",G$3,$A763))</x:f>
        <x:v>#NAME?</x:v>
      </x:c>
      <x:c r="H763" s="146" t="e">
        <x:f>IF($A763="","",[1]!thsiFinD("ths_adjustment_nv_fund",H$3,$A763))</x:f>
        <x:v>#NAME?</x:v>
      </x:c>
      <x:c r="I763" s="146" t="e">
        <x:f>IF($A763="","",[1]!thsiFinD("ths_adjustment_nv_fund",I$3,$A763))</x:f>
        <x:v>#NAME?</x:v>
      </x:c>
      <x:c r="J763" s="146" t="e">
        <x:f>IF($A763="","",[1]!thsiFinD("ths_adjustment_nv_fund",J$3,$A763))</x:f>
        <x:v>#NAME?</x:v>
      </x:c>
      <x:c r="K763" s="146" t="e">
        <x:f>IF($A763="","",[1]!thsiFinD("ths_adjustment_nv_fund",K$3,$A763))</x:f>
        <x:v>#NAME?</x:v>
      </x:c>
      <x:c r="L763" s="146" t="e">
        <x:f>IF($A763="","",[1]!thsiFinD("ths_adjustment_nv_fund",L$3,$A763))</x:f>
        <x:v>#NAME?</x:v>
      </x:c>
      <x:c r="M763" s="146" t="e">
        <x:f>IF($A763="","",[1]!thsiFinD("ths_adjustment_nv_fund",M$3,$A763))</x:f>
        <x:v>#NAME?</x:v>
      </x:c>
      <x:c r="N763" s="146" t="e">
        <x:f>IF($A763="","",[1]!thsiFinD("ths_adjustment_nv_fund",N$3,$A763))</x:f>
        <x:v>#NAME?</x:v>
      </x:c>
      <x:c r="O763" s="146" t="e">
        <x:f>IF($A763="","",[1]!thsiFinD("ths_adjustment_nv_fund",O$3,$A763))</x:f>
        <x:v>#NAME?</x:v>
      </x:c>
      <x:c r="P763" s="146" t="e">
        <x:f>IF($A763="","",[1]!thsiFinD("ths_adjustment_nv_fund",P$3,$A763))</x:f>
        <x:v>#NAME?</x:v>
      </x:c>
      <x:c r="Q763" s="146" t="e">
        <x:f>IF($A763="","",[1]!thsiFinD("ths_adjustment_nv_fund",Q$3,$A763))</x:f>
        <x:v>#NAME?</x:v>
      </x:c>
      <x:c r="R763" s="146" t="e">
        <x:f>IF($A763="","",[1]!thsiFinD("ths_adjustment_nv_fund",R$3,$A763))</x:f>
        <x:v>#NAME?</x:v>
      </x:c>
      <x:c r="S763" s="146" t="e">
        <x:f>IF($A763="","",[1]!thsiFinD("ths_adjustment_nv_fund",S$3,$A763))</x:f>
        <x:v>#NAME?</x:v>
      </x:c>
      <x:c r="T763" s="146" t="e">
        <x:f>IF($A763="","",[1]!thsiFinD("ths_adjustment_nv_fund",T$3,$A763))</x:f>
        <x:v>#NAME?</x:v>
      </x:c>
      <x:c r="U763" s="146" t="e">
        <x:f>IF($A763="","",[1]!thsiFinD("ths_adjustment_nv_fund",U$3,$A763))</x:f>
        <x:v>#NAME?</x:v>
      </x:c>
      <x:c r="V763" s="146" t="e">
        <x:f>IF($A763="","",[1]!thsiFinD("ths_adjustment_nv_fund",V$3,$A763))</x:f>
        <x:v>#NAME?</x:v>
      </x:c>
      <x:c r="W763" s="146" t="e">
        <x:f>IF($A763="","",[1]!thsiFinD("ths_adjustment_nv_fund",W$3,$A763))</x:f>
        <x:v>#NAME?</x:v>
      </x:c>
      <x:c r="X763" s="146" t="e">
        <x:f>IF($A763="","",[1]!thsiFinD("ths_adjustment_nv_fund",X$3,$A763))</x:f>
        <x:v>#NAME?</x:v>
      </x:c>
      <x:c r="Y763" s="146" t="e">
        <x:f>IF($A763="","",[1]!thsiFinD("ths_adjustment_nv_fund",Y$3,$A763))</x:f>
        <x:v>#NAME?</x:v>
      </x:c>
      <x:c r="Z763" s="146" t="e">
        <x:f>IF($A763="","",[1]!thsiFinD("ths_adjustment_nv_fund",Z$3,$A763))</x:f>
        <x:v>#NAME?</x:v>
      </x:c>
      <x:c r="AA763" s="146" t="e">
        <x:f>IF($A763="","",[1]!thsiFinD("ths_adjustment_nv_fund",AA$3,$A763))</x:f>
        <x:v>#NAME?</x:v>
      </x:c>
    </x:row>
    <x:row r="764">
      <x:c r="B764" s="146" t="e">
        <x:f>IF($A764="","",[1]!thsiFinD("ths_adjustment_nv_fund",B$3,$A764))</x:f>
        <x:v>#NAME?</x:v>
      </x:c>
      <x:c r="C764" s="146" t="e">
        <x:f>IF($A764="","",[1]!thsiFinD("ths_adjustment_nv_fund",C$3,$A764))</x:f>
        <x:v>#NAME?</x:v>
      </x:c>
      <x:c r="D764" s="146" t="e">
        <x:f>IF($A764="","",[1]!thsiFinD("ths_adjustment_nv_fund",D$3,$A764))</x:f>
        <x:v>#NAME?</x:v>
      </x:c>
      <x:c r="E764" s="146" t="e">
        <x:f>IF($A764="","",[1]!thsiFinD("ths_adjustment_nv_fund",E$3,$A764))</x:f>
        <x:v>#NAME?</x:v>
      </x:c>
      <x:c r="F764" s="146" t="e">
        <x:f>IF($A764="","",[1]!thsiFinD("ths_adjustment_nv_fund",F$3,$A764))</x:f>
        <x:v>#NAME?</x:v>
      </x:c>
      <x:c r="G764" s="146" t="e">
        <x:f>IF($A764="","",[1]!thsiFinD("ths_adjustment_nv_fund",G$3,$A764))</x:f>
        <x:v>#NAME?</x:v>
      </x:c>
      <x:c r="H764" s="146" t="e">
        <x:f>IF($A764="","",[1]!thsiFinD("ths_adjustment_nv_fund",H$3,$A764))</x:f>
        <x:v>#NAME?</x:v>
      </x:c>
      <x:c r="I764" s="146" t="e">
        <x:f>IF($A764="","",[1]!thsiFinD("ths_adjustment_nv_fund",I$3,$A764))</x:f>
        <x:v>#NAME?</x:v>
      </x:c>
      <x:c r="J764" s="146" t="e">
        <x:f>IF($A764="","",[1]!thsiFinD("ths_adjustment_nv_fund",J$3,$A764))</x:f>
        <x:v>#NAME?</x:v>
      </x:c>
      <x:c r="K764" s="146" t="e">
        <x:f>IF($A764="","",[1]!thsiFinD("ths_adjustment_nv_fund",K$3,$A764))</x:f>
        <x:v>#NAME?</x:v>
      </x:c>
      <x:c r="L764" s="146" t="e">
        <x:f>IF($A764="","",[1]!thsiFinD("ths_adjustment_nv_fund",L$3,$A764))</x:f>
        <x:v>#NAME?</x:v>
      </x:c>
      <x:c r="M764" s="146" t="e">
        <x:f>IF($A764="","",[1]!thsiFinD("ths_adjustment_nv_fund",M$3,$A764))</x:f>
        <x:v>#NAME?</x:v>
      </x:c>
      <x:c r="N764" s="146" t="e">
        <x:f>IF($A764="","",[1]!thsiFinD("ths_adjustment_nv_fund",N$3,$A764))</x:f>
        <x:v>#NAME?</x:v>
      </x:c>
      <x:c r="O764" s="146" t="e">
        <x:f>IF($A764="","",[1]!thsiFinD("ths_adjustment_nv_fund",O$3,$A764))</x:f>
        <x:v>#NAME?</x:v>
      </x:c>
      <x:c r="P764" s="146" t="e">
        <x:f>IF($A764="","",[1]!thsiFinD("ths_adjustment_nv_fund",P$3,$A764))</x:f>
        <x:v>#NAME?</x:v>
      </x:c>
      <x:c r="Q764" s="146" t="e">
        <x:f>IF($A764="","",[1]!thsiFinD("ths_adjustment_nv_fund",Q$3,$A764))</x:f>
        <x:v>#NAME?</x:v>
      </x:c>
      <x:c r="R764" s="146" t="e">
        <x:f>IF($A764="","",[1]!thsiFinD("ths_adjustment_nv_fund",R$3,$A764))</x:f>
        <x:v>#NAME?</x:v>
      </x:c>
      <x:c r="S764" s="146" t="e">
        <x:f>IF($A764="","",[1]!thsiFinD("ths_adjustment_nv_fund",S$3,$A764))</x:f>
        <x:v>#NAME?</x:v>
      </x:c>
      <x:c r="T764" s="146" t="e">
        <x:f>IF($A764="","",[1]!thsiFinD("ths_adjustment_nv_fund",T$3,$A764))</x:f>
        <x:v>#NAME?</x:v>
      </x:c>
      <x:c r="U764" s="146" t="e">
        <x:f>IF($A764="","",[1]!thsiFinD("ths_adjustment_nv_fund",U$3,$A764))</x:f>
        <x:v>#NAME?</x:v>
      </x:c>
      <x:c r="V764" s="146" t="e">
        <x:f>IF($A764="","",[1]!thsiFinD("ths_adjustment_nv_fund",V$3,$A764))</x:f>
        <x:v>#NAME?</x:v>
      </x:c>
      <x:c r="W764" s="146" t="e">
        <x:f>IF($A764="","",[1]!thsiFinD("ths_adjustment_nv_fund",W$3,$A764))</x:f>
        <x:v>#NAME?</x:v>
      </x:c>
      <x:c r="X764" s="146" t="e">
        <x:f>IF($A764="","",[1]!thsiFinD("ths_adjustment_nv_fund",X$3,$A764))</x:f>
        <x:v>#NAME?</x:v>
      </x:c>
      <x:c r="Y764" s="146" t="e">
        <x:f>IF($A764="","",[1]!thsiFinD("ths_adjustment_nv_fund",Y$3,$A764))</x:f>
        <x:v>#NAME?</x:v>
      </x:c>
      <x:c r="Z764" s="146" t="e">
        <x:f>IF($A764="","",[1]!thsiFinD("ths_adjustment_nv_fund",Z$3,$A764))</x:f>
        <x:v>#NAME?</x:v>
      </x:c>
      <x:c r="AA764" s="146" t="e">
        <x:f>IF($A764="","",[1]!thsiFinD("ths_adjustment_nv_fund",AA$3,$A764))</x:f>
        <x:v>#NAME?</x:v>
      </x:c>
    </x:row>
    <x:row r="765">
      <x:c r="B765" s="146" t="e">
        <x:f>IF($A765="","",[1]!thsiFinD("ths_adjustment_nv_fund",B$3,$A765))</x:f>
        <x:v>#NAME?</x:v>
      </x:c>
      <x:c r="C765" s="146" t="e">
        <x:f>IF($A765="","",[1]!thsiFinD("ths_adjustment_nv_fund",C$3,$A765))</x:f>
        <x:v>#NAME?</x:v>
      </x:c>
      <x:c r="D765" s="146" t="e">
        <x:f>IF($A765="","",[1]!thsiFinD("ths_adjustment_nv_fund",D$3,$A765))</x:f>
        <x:v>#NAME?</x:v>
      </x:c>
      <x:c r="E765" s="146" t="e">
        <x:f>IF($A765="","",[1]!thsiFinD("ths_adjustment_nv_fund",E$3,$A765))</x:f>
        <x:v>#NAME?</x:v>
      </x:c>
      <x:c r="F765" s="146" t="e">
        <x:f>IF($A765="","",[1]!thsiFinD("ths_adjustment_nv_fund",F$3,$A765))</x:f>
        <x:v>#NAME?</x:v>
      </x:c>
      <x:c r="G765" s="146" t="e">
        <x:f>IF($A765="","",[1]!thsiFinD("ths_adjustment_nv_fund",G$3,$A765))</x:f>
        <x:v>#NAME?</x:v>
      </x:c>
      <x:c r="H765" s="146" t="e">
        <x:f>IF($A765="","",[1]!thsiFinD("ths_adjustment_nv_fund",H$3,$A765))</x:f>
        <x:v>#NAME?</x:v>
      </x:c>
      <x:c r="I765" s="146" t="e">
        <x:f>IF($A765="","",[1]!thsiFinD("ths_adjustment_nv_fund",I$3,$A765))</x:f>
        <x:v>#NAME?</x:v>
      </x:c>
      <x:c r="J765" s="146" t="e">
        <x:f>IF($A765="","",[1]!thsiFinD("ths_adjustment_nv_fund",J$3,$A765))</x:f>
        <x:v>#NAME?</x:v>
      </x:c>
      <x:c r="K765" s="146" t="e">
        <x:f>IF($A765="","",[1]!thsiFinD("ths_adjustment_nv_fund",K$3,$A765))</x:f>
        <x:v>#NAME?</x:v>
      </x:c>
      <x:c r="L765" s="146" t="e">
        <x:f>IF($A765="","",[1]!thsiFinD("ths_adjustment_nv_fund",L$3,$A765))</x:f>
        <x:v>#NAME?</x:v>
      </x:c>
      <x:c r="M765" s="146" t="e">
        <x:f>IF($A765="","",[1]!thsiFinD("ths_adjustment_nv_fund",M$3,$A765))</x:f>
        <x:v>#NAME?</x:v>
      </x:c>
      <x:c r="N765" s="146" t="e">
        <x:f>IF($A765="","",[1]!thsiFinD("ths_adjustment_nv_fund",N$3,$A765))</x:f>
        <x:v>#NAME?</x:v>
      </x:c>
      <x:c r="O765" s="146" t="e">
        <x:f>IF($A765="","",[1]!thsiFinD("ths_adjustment_nv_fund",O$3,$A765))</x:f>
        <x:v>#NAME?</x:v>
      </x:c>
      <x:c r="P765" s="146" t="e">
        <x:f>IF($A765="","",[1]!thsiFinD("ths_adjustment_nv_fund",P$3,$A765))</x:f>
        <x:v>#NAME?</x:v>
      </x:c>
      <x:c r="Q765" s="146" t="e">
        <x:f>IF($A765="","",[1]!thsiFinD("ths_adjustment_nv_fund",Q$3,$A765))</x:f>
        <x:v>#NAME?</x:v>
      </x:c>
      <x:c r="R765" s="146" t="e">
        <x:f>IF($A765="","",[1]!thsiFinD("ths_adjustment_nv_fund",R$3,$A765))</x:f>
        <x:v>#NAME?</x:v>
      </x:c>
      <x:c r="S765" s="146" t="e">
        <x:f>IF($A765="","",[1]!thsiFinD("ths_adjustment_nv_fund",S$3,$A765))</x:f>
        <x:v>#NAME?</x:v>
      </x:c>
      <x:c r="T765" s="146" t="e">
        <x:f>IF($A765="","",[1]!thsiFinD("ths_adjustment_nv_fund",T$3,$A765))</x:f>
        <x:v>#NAME?</x:v>
      </x:c>
      <x:c r="U765" s="146" t="e">
        <x:f>IF($A765="","",[1]!thsiFinD("ths_adjustment_nv_fund",U$3,$A765))</x:f>
        <x:v>#NAME?</x:v>
      </x:c>
      <x:c r="V765" s="146" t="e">
        <x:f>IF($A765="","",[1]!thsiFinD("ths_adjustment_nv_fund",V$3,$A765))</x:f>
        <x:v>#NAME?</x:v>
      </x:c>
      <x:c r="W765" s="146" t="e">
        <x:f>IF($A765="","",[1]!thsiFinD("ths_adjustment_nv_fund",W$3,$A765))</x:f>
        <x:v>#NAME?</x:v>
      </x:c>
      <x:c r="X765" s="146" t="e">
        <x:f>IF($A765="","",[1]!thsiFinD("ths_adjustment_nv_fund",X$3,$A765))</x:f>
        <x:v>#NAME?</x:v>
      </x:c>
      <x:c r="Y765" s="146" t="e">
        <x:f>IF($A765="","",[1]!thsiFinD("ths_adjustment_nv_fund",Y$3,$A765))</x:f>
        <x:v>#NAME?</x:v>
      </x:c>
      <x:c r="Z765" s="146" t="e">
        <x:f>IF($A765="","",[1]!thsiFinD("ths_adjustment_nv_fund",Z$3,$A765))</x:f>
        <x:v>#NAME?</x:v>
      </x:c>
      <x:c r="AA765" s="146" t="e">
        <x:f>IF($A765="","",[1]!thsiFinD("ths_adjustment_nv_fund",AA$3,$A765))</x:f>
        <x:v>#NAME?</x:v>
      </x:c>
    </x:row>
    <x:row r="766">
      <x:c r="B766" s="146" t="e">
        <x:f>IF($A766="","",[1]!thsiFinD("ths_adjustment_nv_fund",B$3,$A766))</x:f>
        <x:v>#NAME?</x:v>
      </x:c>
      <x:c r="C766" s="146" t="e">
        <x:f>IF($A766="","",[1]!thsiFinD("ths_adjustment_nv_fund",C$3,$A766))</x:f>
        <x:v>#NAME?</x:v>
      </x:c>
      <x:c r="D766" s="146" t="e">
        <x:f>IF($A766="","",[1]!thsiFinD("ths_adjustment_nv_fund",D$3,$A766))</x:f>
        <x:v>#NAME?</x:v>
      </x:c>
      <x:c r="E766" s="146" t="e">
        <x:f>IF($A766="","",[1]!thsiFinD("ths_adjustment_nv_fund",E$3,$A766))</x:f>
        <x:v>#NAME?</x:v>
      </x:c>
      <x:c r="F766" s="146" t="e">
        <x:f>IF($A766="","",[1]!thsiFinD("ths_adjustment_nv_fund",F$3,$A766))</x:f>
        <x:v>#NAME?</x:v>
      </x:c>
      <x:c r="G766" s="146" t="e">
        <x:f>IF($A766="","",[1]!thsiFinD("ths_adjustment_nv_fund",G$3,$A766))</x:f>
        <x:v>#NAME?</x:v>
      </x:c>
      <x:c r="H766" s="146" t="e">
        <x:f>IF($A766="","",[1]!thsiFinD("ths_adjustment_nv_fund",H$3,$A766))</x:f>
        <x:v>#NAME?</x:v>
      </x:c>
      <x:c r="I766" s="146" t="e">
        <x:f>IF($A766="","",[1]!thsiFinD("ths_adjustment_nv_fund",I$3,$A766))</x:f>
        <x:v>#NAME?</x:v>
      </x:c>
      <x:c r="J766" s="146" t="e">
        <x:f>IF($A766="","",[1]!thsiFinD("ths_adjustment_nv_fund",J$3,$A766))</x:f>
        <x:v>#NAME?</x:v>
      </x:c>
      <x:c r="K766" s="146" t="e">
        <x:f>IF($A766="","",[1]!thsiFinD("ths_adjustment_nv_fund",K$3,$A766))</x:f>
        <x:v>#NAME?</x:v>
      </x:c>
      <x:c r="L766" s="146" t="e">
        <x:f>IF($A766="","",[1]!thsiFinD("ths_adjustment_nv_fund",L$3,$A766))</x:f>
        <x:v>#NAME?</x:v>
      </x:c>
      <x:c r="M766" s="146" t="e">
        <x:f>IF($A766="","",[1]!thsiFinD("ths_adjustment_nv_fund",M$3,$A766))</x:f>
        <x:v>#NAME?</x:v>
      </x:c>
      <x:c r="N766" s="146" t="e">
        <x:f>IF($A766="","",[1]!thsiFinD("ths_adjustment_nv_fund",N$3,$A766))</x:f>
        <x:v>#NAME?</x:v>
      </x:c>
      <x:c r="O766" s="146" t="e">
        <x:f>IF($A766="","",[1]!thsiFinD("ths_adjustment_nv_fund",O$3,$A766))</x:f>
        <x:v>#NAME?</x:v>
      </x:c>
      <x:c r="P766" s="146" t="e">
        <x:f>IF($A766="","",[1]!thsiFinD("ths_adjustment_nv_fund",P$3,$A766))</x:f>
        <x:v>#NAME?</x:v>
      </x:c>
      <x:c r="Q766" s="146" t="e">
        <x:f>IF($A766="","",[1]!thsiFinD("ths_adjustment_nv_fund",Q$3,$A766))</x:f>
        <x:v>#NAME?</x:v>
      </x:c>
      <x:c r="R766" s="146" t="e">
        <x:f>IF($A766="","",[1]!thsiFinD("ths_adjustment_nv_fund",R$3,$A766))</x:f>
        <x:v>#NAME?</x:v>
      </x:c>
      <x:c r="S766" s="146" t="e">
        <x:f>IF($A766="","",[1]!thsiFinD("ths_adjustment_nv_fund",S$3,$A766))</x:f>
        <x:v>#NAME?</x:v>
      </x:c>
      <x:c r="T766" s="146" t="e">
        <x:f>IF($A766="","",[1]!thsiFinD("ths_adjustment_nv_fund",T$3,$A766))</x:f>
        <x:v>#NAME?</x:v>
      </x:c>
      <x:c r="U766" s="146" t="e">
        <x:f>IF($A766="","",[1]!thsiFinD("ths_adjustment_nv_fund",U$3,$A766))</x:f>
        <x:v>#NAME?</x:v>
      </x:c>
      <x:c r="V766" s="146" t="e">
        <x:f>IF($A766="","",[1]!thsiFinD("ths_adjustment_nv_fund",V$3,$A766))</x:f>
        <x:v>#NAME?</x:v>
      </x:c>
      <x:c r="W766" s="146" t="e">
        <x:f>IF($A766="","",[1]!thsiFinD("ths_adjustment_nv_fund",W$3,$A766))</x:f>
        <x:v>#NAME?</x:v>
      </x:c>
      <x:c r="X766" s="146" t="e">
        <x:f>IF($A766="","",[1]!thsiFinD("ths_adjustment_nv_fund",X$3,$A766))</x:f>
        <x:v>#NAME?</x:v>
      </x:c>
      <x:c r="Y766" s="146" t="e">
        <x:f>IF($A766="","",[1]!thsiFinD("ths_adjustment_nv_fund",Y$3,$A766))</x:f>
        <x:v>#NAME?</x:v>
      </x:c>
      <x:c r="Z766" s="146" t="e">
        <x:f>IF($A766="","",[1]!thsiFinD("ths_adjustment_nv_fund",Z$3,$A766))</x:f>
        <x:v>#NAME?</x:v>
      </x:c>
      <x:c r="AA766" s="146" t="e">
        <x:f>IF($A766="","",[1]!thsiFinD("ths_adjustment_nv_fund",AA$3,$A766))</x:f>
        <x:v>#NAME?</x:v>
      </x:c>
    </x:row>
    <x:row r="767">
      <x:c r="B767" s="146" t="e">
        <x:f>IF($A767="","",[1]!thsiFinD("ths_adjustment_nv_fund",B$3,$A767))</x:f>
        <x:v>#NAME?</x:v>
      </x:c>
      <x:c r="C767" s="146" t="e">
        <x:f>IF($A767="","",[1]!thsiFinD("ths_adjustment_nv_fund",C$3,$A767))</x:f>
        <x:v>#NAME?</x:v>
      </x:c>
      <x:c r="D767" s="146" t="e">
        <x:f>IF($A767="","",[1]!thsiFinD("ths_adjustment_nv_fund",D$3,$A767))</x:f>
        <x:v>#NAME?</x:v>
      </x:c>
      <x:c r="E767" s="146" t="e">
        <x:f>IF($A767="","",[1]!thsiFinD("ths_adjustment_nv_fund",E$3,$A767))</x:f>
        <x:v>#NAME?</x:v>
      </x:c>
      <x:c r="F767" s="146" t="e">
        <x:f>IF($A767="","",[1]!thsiFinD("ths_adjustment_nv_fund",F$3,$A767))</x:f>
        <x:v>#NAME?</x:v>
      </x:c>
      <x:c r="G767" s="146" t="e">
        <x:f>IF($A767="","",[1]!thsiFinD("ths_adjustment_nv_fund",G$3,$A767))</x:f>
        <x:v>#NAME?</x:v>
      </x:c>
      <x:c r="H767" s="146" t="e">
        <x:f>IF($A767="","",[1]!thsiFinD("ths_adjustment_nv_fund",H$3,$A767))</x:f>
        <x:v>#NAME?</x:v>
      </x:c>
      <x:c r="I767" s="146" t="e">
        <x:f>IF($A767="","",[1]!thsiFinD("ths_adjustment_nv_fund",I$3,$A767))</x:f>
        <x:v>#NAME?</x:v>
      </x:c>
      <x:c r="J767" s="146" t="e">
        <x:f>IF($A767="","",[1]!thsiFinD("ths_adjustment_nv_fund",J$3,$A767))</x:f>
        <x:v>#NAME?</x:v>
      </x:c>
      <x:c r="K767" s="146" t="e">
        <x:f>IF($A767="","",[1]!thsiFinD("ths_adjustment_nv_fund",K$3,$A767))</x:f>
        <x:v>#NAME?</x:v>
      </x:c>
      <x:c r="L767" s="146" t="e">
        <x:f>IF($A767="","",[1]!thsiFinD("ths_adjustment_nv_fund",L$3,$A767))</x:f>
        <x:v>#NAME?</x:v>
      </x:c>
      <x:c r="M767" s="146" t="e">
        <x:f>IF($A767="","",[1]!thsiFinD("ths_adjustment_nv_fund",M$3,$A767))</x:f>
        <x:v>#NAME?</x:v>
      </x:c>
      <x:c r="N767" s="146" t="e">
        <x:f>IF($A767="","",[1]!thsiFinD("ths_adjustment_nv_fund",N$3,$A767))</x:f>
        <x:v>#NAME?</x:v>
      </x:c>
      <x:c r="O767" s="146" t="e">
        <x:f>IF($A767="","",[1]!thsiFinD("ths_adjustment_nv_fund",O$3,$A767))</x:f>
        <x:v>#NAME?</x:v>
      </x:c>
      <x:c r="P767" s="146" t="e">
        <x:f>IF($A767="","",[1]!thsiFinD("ths_adjustment_nv_fund",P$3,$A767))</x:f>
        <x:v>#NAME?</x:v>
      </x:c>
      <x:c r="Q767" s="146" t="e">
        <x:f>IF($A767="","",[1]!thsiFinD("ths_adjustment_nv_fund",Q$3,$A767))</x:f>
        <x:v>#NAME?</x:v>
      </x:c>
      <x:c r="R767" s="146" t="e">
        <x:f>IF($A767="","",[1]!thsiFinD("ths_adjustment_nv_fund",R$3,$A767))</x:f>
        <x:v>#NAME?</x:v>
      </x:c>
      <x:c r="S767" s="146" t="e">
        <x:f>IF($A767="","",[1]!thsiFinD("ths_adjustment_nv_fund",S$3,$A767))</x:f>
        <x:v>#NAME?</x:v>
      </x:c>
      <x:c r="T767" s="146" t="e">
        <x:f>IF($A767="","",[1]!thsiFinD("ths_adjustment_nv_fund",T$3,$A767))</x:f>
        <x:v>#NAME?</x:v>
      </x:c>
      <x:c r="U767" s="146" t="e">
        <x:f>IF($A767="","",[1]!thsiFinD("ths_adjustment_nv_fund",U$3,$A767))</x:f>
        <x:v>#NAME?</x:v>
      </x:c>
      <x:c r="V767" s="146" t="e">
        <x:f>IF($A767="","",[1]!thsiFinD("ths_adjustment_nv_fund",V$3,$A767))</x:f>
        <x:v>#NAME?</x:v>
      </x:c>
      <x:c r="W767" s="146" t="e">
        <x:f>IF($A767="","",[1]!thsiFinD("ths_adjustment_nv_fund",W$3,$A767))</x:f>
        <x:v>#NAME?</x:v>
      </x:c>
      <x:c r="X767" s="146" t="e">
        <x:f>IF($A767="","",[1]!thsiFinD("ths_adjustment_nv_fund",X$3,$A767))</x:f>
        <x:v>#NAME?</x:v>
      </x:c>
      <x:c r="Y767" s="146" t="e">
        <x:f>IF($A767="","",[1]!thsiFinD("ths_adjustment_nv_fund",Y$3,$A767))</x:f>
        <x:v>#NAME?</x:v>
      </x:c>
      <x:c r="Z767" s="146" t="e">
        <x:f>IF($A767="","",[1]!thsiFinD("ths_adjustment_nv_fund",Z$3,$A767))</x:f>
        <x:v>#NAME?</x:v>
      </x:c>
      <x:c r="AA767" s="146" t="e">
        <x:f>IF($A767="","",[1]!thsiFinD("ths_adjustment_nv_fund",AA$3,$A767))</x:f>
        <x:v>#NAME?</x:v>
      </x:c>
    </x:row>
    <x:row r="768">
      <x:c r="B768" s="146" t="e">
        <x:f>IF($A768="","",[1]!thsiFinD("ths_adjustment_nv_fund",B$3,$A768))</x:f>
        <x:v>#NAME?</x:v>
      </x:c>
      <x:c r="C768" s="146" t="e">
        <x:f>IF($A768="","",[1]!thsiFinD("ths_adjustment_nv_fund",C$3,$A768))</x:f>
        <x:v>#NAME?</x:v>
      </x:c>
      <x:c r="D768" s="146" t="e">
        <x:f>IF($A768="","",[1]!thsiFinD("ths_adjustment_nv_fund",D$3,$A768))</x:f>
        <x:v>#NAME?</x:v>
      </x:c>
      <x:c r="E768" s="146" t="e">
        <x:f>IF($A768="","",[1]!thsiFinD("ths_adjustment_nv_fund",E$3,$A768))</x:f>
        <x:v>#NAME?</x:v>
      </x:c>
      <x:c r="F768" s="146" t="e">
        <x:f>IF($A768="","",[1]!thsiFinD("ths_adjustment_nv_fund",F$3,$A768))</x:f>
        <x:v>#NAME?</x:v>
      </x:c>
      <x:c r="G768" s="146" t="e">
        <x:f>IF($A768="","",[1]!thsiFinD("ths_adjustment_nv_fund",G$3,$A768))</x:f>
        <x:v>#NAME?</x:v>
      </x:c>
      <x:c r="H768" s="146" t="e">
        <x:f>IF($A768="","",[1]!thsiFinD("ths_adjustment_nv_fund",H$3,$A768))</x:f>
        <x:v>#NAME?</x:v>
      </x:c>
      <x:c r="I768" s="146" t="e">
        <x:f>IF($A768="","",[1]!thsiFinD("ths_adjustment_nv_fund",I$3,$A768))</x:f>
        <x:v>#NAME?</x:v>
      </x:c>
      <x:c r="J768" s="146" t="e">
        <x:f>IF($A768="","",[1]!thsiFinD("ths_adjustment_nv_fund",J$3,$A768))</x:f>
        <x:v>#NAME?</x:v>
      </x:c>
      <x:c r="K768" s="146" t="e">
        <x:f>IF($A768="","",[1]!thsiFinD("ths_adjustment_nv_fund",K$3,$A768))</x:f>
        <x:v>#NAME?</x:v>
      </x:c>
      <x:c r="L768" s="146" t="e">
        <x:f>IF($A768="","",[1]!thsiFinD("ths_adjustment_nv_fund",L$3,$A768))</x:f>
        <x:v>#NAME?</x:v>
      </x:c>
      <x:c r="M768" s="146" t="e">
        <x:f>IF($A768="","",[1]!thsiFinD("ths_adjustment_nv_fund",M$3,$A768))</x:f>
        <x:v>#NAME?</x:v>
      </x:c>
      <x:c r="N768" s="146" t="e">
        <x:f>IF($A768="","",[1]!thsiFinD("ths_adjustment_nv_fund",N$3,$A768))</x:f>
        <x:v>#NAME?</x:v>
      </x:c>
      <x:c r="O768" s="146" t="e">
        <x:f>IF($A768="","",[1]!thsiFinD("ths_adjustment_nv_fund",O$3,$A768))</x:f>
        <x:v>#NAME?</x:v>
      </x:c>
      <x:c r="P768" s="146" t="e">
        <x:f>IF($A768="","",[1]!thsiFinD("ths_adjustment_nv_fund",P$3,$A768))</x:f>
        <x:v>#NAME?</x:v>
      </x:c>
      <x:c r="Q768" s="146" t="e">
        <x:f>IF($A768="","",[1]!thsiFinD("ths_adjustment_nv_fund",Q$3,$A768))</x:f>
        <x:v>#NAME?</x:v>
      </x:c>
      <x:c r="R768" s="146" t="e">
        <x:f>IF($A768="","",[1]!thsiFinD("ths_adjustment_nv_fund",R$3,$A768))</x:f>
        <x:v>#NAME?</x:v>
      </x:c>
      <x:c r="S768" s="146" t="e">
        <x:f>IF($A768="","",[1]!thsiFinD("ths_adjustment_nv_fund",S$3,$A768))</x:f>
        <x:v>#NAME?</x:v>
      </x:c>
      <x:c r="T768" s="146" t="e">
        <x:f>IF($A768="","",[1]!thsiFinD("ths_adjustment_nv_fund",T$3,$A768))</x:f>
        <x:v>#NAME?</x:v>
      </x:c>
      <x:c r="U768" s="146" t="e">
        <x:f>IF($A768="","",[1]!thsiFinD("ths_adjustment_nv_fund",U$3,$A768))</x:f>
        <x:v>#NAME?</x:v>
      </x:c>
      <x:c r="V768" s="146" t="e">
        <x:f>IF($A768="","",[1]!thsiFinD("ths_adjustment_nv_fund",V$3,$A768))</x:f>
        <x:v>#NAME?</x:v>
      </x:c>
      <x:c r="W768" s="146" t="e">
        <x:f>IF($A768="","",[1]!thsiFinD("ths_adjustment_nv_fund",W$3,$A768))</x:f>
        <x:v>#NAME?</x:v>
      </x:c>
      <x:c r="X768" s="146" t="e">
        <x:f>IF($A768="","",[1]!thsiFinD("ths_adjustment_nv_fund",X$3,$A768))</x:f>
        <x:v>#NAME?</x:v>
      </x:c>
      <x:c r="Y768" s="146" t="e">
        <x:f>IF($A768="","",[1]!thsiFinD("ths_adjustment_nv_fund",Y$3,$A768))</x:f>
        <x:v>#NAME?</x:v>
      </x:c>
      <x:c r="Z768" s="146" t="e">
        <x:f>IF($A768="","",[1]!thsiFinD("ths_adjustment_nv_fund",Z$3,$A768))</x:f>
        <x:v>#NAME?</x:v>
      </x:c>
      <x:c r="AA768" s="146" t="e">
        <x:f>IF($A768="","",[1]!thsiFinD("ths_adjustment_nv_fund",AA$3,$A768))</x:f>
        <x:v>#NAME?</x:v>
      </x:c>
    </x:row>
    <x:row r="769">
      <x:c r="B769" s="146" t="e">
        <x:f>IF($A769="","",[1]!thsiFinD("ths_adjustment_nv_fund",B$3,$A769))</x:f>
        <x:v>#NAME?</x:v>
      </x:c>
      <x:c r="C769" s="146" t="e">
        <x:f>IF($A769="","",[1]!thsiFinD("ths_adjustment_nv_fund",C$3,$A769))</x:f>
        <x:v>#NAME?</x:v>
      </x:c>
      <x:c r="D769" s="146" t="e">
        <x:f>IF($A769="","",[1]!thsiFinD("ths_adjustment_nv_fund",D$3,$A769))</x:f>
        <x:v>#NAME?</x:v>
      </x:c>
      <x:c r="E769" s="146" t="e">
        <x:f>IF($A769="","",[1]!thsiFinD("ths_adjustment_nv_fund",E$3,$A769))</x:f>
        <x:v>#NAME?</x:v>
      </x:c>
      <x:c r="F769" s="146" t="e">
        <x:f>IF($A769="","",[1]!thsiFinD("ths_adjustment_nv_fund",F$3,$A769))</x:f>
        <x:v>#NAME?</x:v>
      </x:c>
      <x:c r="G769" s="146" t="e">
        <x:f>IF($A769="","",[1]!thsiFinD("ths_adjustment_nv_fund",G$3,$A769))</x:f>
        <x:v>#NAME?</x:v>
      </x:c>
      <x:c r="H769" s="146" t="e">
        <x:f>IF($A769="","",[1]!thsiFinD("ths_adjustment_nv_fund",H$3,$A769))</x:f>
        <x:v>#NAME?</x:v>
      </x:c>
      <x:c r="I769" s="146" t="e">
        <x:f>IF($A769="","",[1]!thsiFinD("ths_adjustment_nv_fund",I$3,$A769))</x:f>
        <x:v>#NAME?</x:v>
      </x:c>
      <x:c r="J769" s="146" t="e">
        <x:f>IF($A769="","",[1]!thsiFinD("ths_adjustment_nv_fund",J$3,$A769))</x:f>
        <x:v>#NAME?</x:v>
      </x:c>
      <x:c r="K769" s="146" t="e">
        <x:f>IF($A769="","",[1]!thsiFinD("ths_adjustment_nv_fund",K$3,$A769))</x:f>
        <x:v>#NAME?</x:v>
      </x:c>
      <x:c r="L769" s="146" t="e">
        <x:f>IF($A769="","",[1]!thsiFinD("ths_adjustment_nv_fund",L$3,$A769))</x:f>
        <x:v>#NAME?</x:v>
      </x:c>
      <x:c r="M769" s="146" t="e">
        <x:f>IF($A769="","",[1]!thsiFinD("ths_adjustment_nv_fund",M$3,$A769))</x:f>
        <x:v>#NAME?</x:v>
      </x:c>
      <x:c r="N769" s="146" t="e">
        <x:f>IF($A769="","",[1]!thsiFinD("ths_adjustment_nv_fund",N$3,$A769))</x:f>
        <x:v>#NAME?</x:v>
      </x:c>
      <x:c r="O769" s="146" t="e">
        <x:f>IF($A769="","",[1]!thsiFinD("ths_adjustment_nv_fund",O$3,$A769))</x:f>
        <x:v>#NAME?</x:v>
      </x:c>
      <x:c r="P769" s="146" t="e">
        <x:f>IF($A769="","",[1]!thsiFinD("ths_adjustment_nv_fund",P$3,$A769))</x:f>
        <x:v>#NAME?</x:v>
      </x:c>
      <x:c r="Q769" s="146" t="e">
        <x:f>IF($A769="","",[1]!thsiFinD("ths_adjustment_nv_fund",Q$3,$A769))</x:f>
        <x:v>#NAME?</x:v>
      </x:c>
      <x:c r="R769" s="146" t="e">
        <x:f>IF($A769="","",[1]!thsiFinD("ths_adjustment_nv_fund",R$3,$A769))</x:f>
        <x:v>#NAME?</x:v>
      </x:c>
      <x:c r="S769" s="146" t="e">
        <x:f>IF($A769="","",[1]!thsiFinD("ths_adjustment_nv_fund",S$3,$A769))</x:f>
        <x:v>#NAME?</x:v>
      </x:c>
      <x:c r="T769" s="146" t="e">
        <x:f>IF($A769="","",[1]!thsiFinD("ths_adjustment_nv_fund",T$3,$A769))</x:f>
        <x:v>#NAME?</x:v>
      </x:c>
      <x:c r="U769" s="146" t="e">
        <x:f>IF($A769="","",[1]!thsiFinD("ths_adjustment_nv_fund",U$3,$A769))</x:f>
        <x:v>#NAME?</x:v>
      </x:c>
      <x:c r="V769" s="146" t="e">
        <x:f>IF($A769="","",[1]!thsiFinD("ths_adjustment_nv_fund",V$3,$A769))</x:f>
        <x:v>#NAME?</x:v>
      </x:c>
      <x:c r="W769" s="146" t="e">
        <x:f>IF($A769="","",[1]!thsiFinD("ths_adjustment_nv_fund",W$3,$A769))</x:f>
        <x:v>#NAME?</x:v>
      </x:c>
      <x:c r="X769" s="146" t="e">
        <x:f>IF($A769="","",[1]!thsiFinD("ths_adjustment_nv_fund",X$3,$A769))</x:f>
        <x:v>#NAME?</x:v>
      </x:c>
      <x:c r="Y769" s="146" t="e">
        <x:f>IF($A769="","",[1]!thsiFinD("ths_adjustment_nv_fund",Y$3,$A769))</x:f>
        <x:v>#NAME?</x:v>
      </x:c>
      <x:c r="Z769" s="146" t="e">
        <x:f>IF($A769="","",[1]!thsiFinD("ths_adjustment_nv_fund",Z$3,$A769))</x:f>
        <x:v>#NAME?</x:v>
      </x:c>
      <x:c r="AA769" s="146" t="e">
        <x:f>IF($A769="","",[1]!thsiFinD("ths_adjustment_nv_fund",AA$3,$A769))</x:f>
        <x:v>#NAME?</x:v>
      </x:c>
    </x:row>
    <x:row r="770">
      <x:c r="B770" s="146" t="e">
        <x:f>IF($A770="","",[1]!thsiFinD("ths_adjustment_nv_fund",B$3,$A770))</x:f>
        <x:v>#NAME?</x:v>
      </x:c>
      <x:c r="C770" s="146" t="e">
        <x:f>IF($A770="","",[1]!thsiFinD("ths_adjustment_nv_fund",C$3,$A770))</x:f>
        <x:v>#NAME?</x:v>
      </x:c>
      <x:c r="D770" s="146" t="e">
        <x:f>IF($A770="","",[1]!thsiFinD("ths_adjustment_nv_fund",D$3,$A770))</x:f>
        <x:v>#NAME?</x:v>
      </x:c>
      <x:c r="E770" s="146" t="e">
        <x:f>IF($A770="","",[1]!thsiFinD("ths_adjustment_nv_fund",E$3,$A770))</x:f>
        <x:v>#NAME?</x:v>
      </x:c>
      <x:c r="F770" s="146" t="e">
        <x:f>IF($A770="","",[1]!thsiFinD("ths_adjustment_nv_fund",F$3,$A770))</x:f>
        <x:v>#NAME?</x:v>
      </x:c>
      <x:c r="G770" s="146" t="e">
        <x:f>IF($A770="","",[1]!thsiFinD("ths_adjustment_nv_fund",G$3,$A770))</x:f>
        <x:v>#NAME?</x:v>
      </x:c>
      <x:c r="H770" s="146" t="e">
        <x:f>IF($A770="","",[1]!thsiFinD("ths_adjustment_nv_fund",H$3,$A770))</x:f>
        <x:v>#NAME?</x:v>
      </x:c>
      <x:c r="I770" s="146" t="e">
        <x:f>IF($A770="","",[1]!thsiFinD("ths_adjustment_nv_fund",I$3,$A770))</x:f>
        <x:v>#NAME?</x:v>
      </x:c>
      <x:c r="J770" s="146" t="e">
        <x:f>IF($A770="","",[1]!thsiFinD("ths_adjustment_nv_fund",J$3,$A770))</x:f>
        <x:v>#NAME?</x:v>
      </x:c>
      <x:c r="K770" s="146" t="e">
        <x:f>IF($A770="","",[1]!thsiFinD("ths_adjustment_nv_fund",K$3,$A770))</x:f>
        <x:v>#NAME?</x:v>
      </x:c>
      <x:c r="L770" s="146" t="e">
        <x:f>IF($A770="","",[1]!thsiFinD("ths_adjustment_nv_fund",L$3,$A770))</x:f>
        <x:v>#NAME?</x:v>
      </x:c>
      <x:c r="M770" s="146" t="e">
        <x:f>IF($A770="","",[1]!thsiFinD("ths_adjustment_nv_fund",M$3,$A770))</x:f>
        <x:v>#NAME?</x:v>
      </x:c>
      <x:c r="N770" s="146" t="e">
        <x:f>IF($A770="","",[1]!thsiFinD("ths_adjustment_nv_fund",N$3,$A770))</x:f>
        <x:v>#NAME?</x:v>
      </x:c>
      <x:c r="O770" s="146" t="e">
        <x:f>IF($A770="","",[1]!thsiFinD("ths_adjustment_nv_fund",O$3,$A770))</x:f>
        <x:v>#NAME?</x:v>
      </x:c>
      <x:c r="P770" s="146" t="e">
        <x:f>IF($A770="","",[1]!thsiFinD("ths_adjustment_nv_fund",P$3,$A770))</x:f>
        <x:v>#NAME?</x:v>
      </x:c>
      <x:c r="Q770" s="146" t="e">
        <x:f>IF($A770="","",[1]!thsiFinD("ths_adjustment_nv_fund",Q$3,$A770))</x:f>
        <x:v>#NAME?</x:v>
      </x:c>
      <x:c r="R770" s="146" t="e">
        <x:f>IF($A770="","",[1]!thsiFinD("ths_adjustment_nv_fund",R$3,$A770))</x:f>
        <x:v>#NAME?</x:v>
      </x:c>
      <x:c r="S770" s="146" t="e">
        <x:f>IF($A770="","",[1]!thsiFinD("ths_adjustment_nv_fund",S$3,$A770))</x:f>
        <x:v>#NAME?</x:v>
      </x:c>
      <x:c r="T770" s="146" t="e">
        <x:f>IF($A770="","",[1]!thsiFinD("ths_adjustment_nv_fund",T$3,$A770))</x:f>
        <x:v>#NAME?</x:v>
      </x:c>
      <x:c r="U770" s="146" t="e">
        <x:f>IF($A770="","",[1]!thsiFinD("ths_adjustment_nv_fund",U$3,$A770))</x:f>
        <x:v>#NAME?</x:v>
      </x:c>
      <x:c r="V770" s="146" t="e">
        <x:f>IF($A770="","",[1]!thsiFinD("ths_adjustment_nv_fund",V$3,$A770))</x:f>
        <x:v>#NAME?</x:v>
      </x:c>
      <x:c r="W770" s="146" t="e">
        <x:f>IF($A770="","",[1]!thsiFinD("ths_adjustment_nv_fund",W$3,$A770))</x:f>
        <x:v>#NAME?</x:v>
      </x:c>
      <x:c r="X770" s="146" t="e">
        <x:f>IF($A770="","",[1]!thsiFinD("ths_adjustment_nv_fund",X$3,$A770))</x:f>
        <x:v>#NAME?</x:v>
      </x:c>
      <x:c r="Y770" s="146" t="e">
        <x:f>IF($A770="","",[1]!thsiFinD("ths_adjustment_nv_fund",Y$3,$A770))</x:f>
        <x:v>#NAME?</x:v>
      </x:c>
      <x:c r="Z770" s="146" t="e">
        <x:f>IF($A770="","",[1]!thsiFinD("ths_adjustment_nv_fund",Z$3,$A770))</x:f>
        <x:v>#NAME?</x:v>
      </x:c>
      <x:c r="AA770" s="146" t="e">
        <x:f>IF($A770="","",[1]!thsiFinD("ths_adjustment_nv_fund",AA$3,$A770))</x:f>
        <x:v>#NAME?</x:v>
      </x:c>
    </x:row>
    <x:row r="771">
      <x:c r="B771" s="146" t="e">
        <x:f>IF($A771="","",[1]!thsiFinD("ths_adjustment_nv_fund",B$3,$A771))</x:f>
        <x:v>#NAME?</x:v>
      </x:c>
      <x:c r="C771" s="146" t="e">
        <x:f>IF($A771="","",[1]!thsiFinD("ths_adjustment_nv_fund",C$3,$A771))</x:f>
        <x:v>#NAME?</x:v>
      </x:c>
      <x:c r="D771" s="146" t="e">
        <x:f>IF($A771="","",[1]!thsiFinD("ths_adjustment_nv_fund",D$3,$A771))</x:f>
        <x:v>#NAME?</x:v>
      </x:c>
      <x:c r="E771" s="146" t="e">
        <x:f>IF($A771="","",[1]!thsiFinD("ths_adjustment_nv_fund",E$3,$A771))</x:f>
        <x:v>#NAME?</x:v>
      </x:c>
      <x:c r="F771" s="146" t="e">
        <x:f>IF($A771="","",[1]!thsiFinD("ths_adjustment_nv_fund",F$3,$A771))</x:f>
        <x:v>#NAME?</x:v>
      </x:c>
      <x:c r="G771" s="146" t="e">
        <x:f>IF($A771="","",[1]!thsiFinD("ths_adjustment_nv_fund",G$3,$A771))</x:f>
        <x:v>#NAME?</x:v>
      </x:c>
      <x:c r="H771" s="146" t="e">
        <x:f>IF($A771="","",[1]!thsiFinD("ths_adjustment_nv_fund",H$3,$A771))</x:f>
        <x:v>#NAME?</x:v>
      </x:c>
      <x:c r="I771" s="146" t="e">
        <x:f>IF($A771="","",[1]!thsiFinD("ths_adjustment_nv_fund",I$3,$A771))</x:f>
        <x:v>#NAME?</x:v>
      </x:c>
      <x:c r="J771" s="146" t="e">
        <x:f>IF($A771="","",[1]!thsiFinD("ths_adjustment_nv_fund",J$3,$A771))</x:f>
        <x:v>#NAME?</x:v>
      </x:c>
      <x:c r="K771" s="146" t="e">
        <x:f>IF($A771="","",[1]!thsiFinD("ths_adjustment_nv_fund",K$3,$A771))</x:f>
        <x:v>#NAME?</x:v>
      </x:c>
      <x:c r="L771" s="146" t="e">
        <x:f>IF($A771="","",[1]!thsiFinD("ths_adjustment_nv_fund",L$3,$A771))</x:f>
        <x:v>#NAME?</x:v>
      </x:c>
      <x:c r="M771" s="146" t="e">
        <x:f>IF($A771="","",[1]!thsiFinD("ths_adjustment_nv_fund",M$3,$A771))</x:f>
        <x:v>#NAME?</x:v>
      </x:c>
      <x:c r="N771" s="146" t="e">
        <x:f>IF($A771="","",[1]!thsiFinD("ths_adjustment_nv_fund",N$3,$A771))</x:f>
        <x:v>#NAME?</x:v>
      </x:c>
      <x:c r="O771" s="146" t="e">
        <x:f>IF($A771="","",[1]!thsiFinD("ths_adjustment_nv_fund",O$3,$A771))</x:f>
        <x:v>#NAME?</x:v>
      </x:c>
      <x:c r="P771" s="146" t="e">
        <x:f>IF($A771="","",[1]!thsiFinD("ths_adjustment_nv_fund",P$3,$A771))</x:f>
        <x:v>#NAME?</x:v>
      </x:c>
      <x:c r="Q771" s="146" t="e">
        <x:f>IF($A771="","",[1]!thsiFinD("ths_adjustment_nv_fund",Q$3,$A771))</x:f>
        <x:v>#NAME?</x:v>
      </x:c>
      <x:c r="R771" s="146" t="e">
        <x:f>IF($A771="","",[1]!thsiFinD("ths_adjustment_nv_fund",R$3,$A771))</x:f>
        <x:v>#NAME?</x:v>
      </x:c>
      <x:c r="S771" s="146" t="e">
        <x:f>IF($A771="","",[1]!thsiFinD("ths_adjustment_nv_fund",S$3,$A771))</x:f>
        <x:v>#NAME?</x:v>
      </x:c>
      <x:c r="T771" s="146" t="e">
        <x:f>IF($A771="","",[1]!thsiFinD("ths_adjustment_nv_fund",T$3,$A771))</x:f>
        <x:v>#NAME?</x:v>
      </x:c>
      <x:c r="U771" s="146" t="e">
        <x:f>IF($A771="","",[1]!thsiFinD("ths_adjustment_nv_fund",U$3,$A771))</x:f>
        <x:v>#NAME?</x:v>
      </x:c>
      <x:c r="V771" s="146" t="e">
        <x:f>IF($A771="","",[1]!thsiFinD("ths_adjustment_nv_fund",V$3,$A771))</x:f>
        <x:v>#NAME?</x:v>
      </x:c>
      <x:c r="W771" s="146" t="e">
        <x:f>IF($A771="","",[1]!thsiFinD("ths_adjustment_nv_fund",W$3,$A771))</x:f>
        <x:v>#NAME?</x:v>
      </x:c>
      <x:c r="X771" s="146" t="e">
        <x:f>IF($A771="","",[1]!thsiFinD("ths_adjustment_nv_fund",X$3,$A771))</x:f>
        <x:v>#NAME?</x:v>
      </x:c>
      <x:c r="Y771" s="146" t="e">
        <x:f>IF($A771="","",[1]!thsiFinD("ths_adjustment_nv_fund",Y$3,$A771))</x:f>
        <x:v>#NAME?</x:v>
      </x:c>
      <x:c r="Z771" s="146" t="e">
        <x:f>IF($A771="","",[1]!thsiFinD("ths_adjustment_nv_fund",Z$3,$A771))</x:f>
        <x:v>#NAME?</x:v>
      </x:c>
      <x:c r="AA771" s="146" t="e">
        <x:f>IF($A771="","",[1]!thsiFinD("ths_adjustment_nv_fund",AA$3,$A771))</x:f>
        <x:v>#NAME?</x:v>
      </x:c>
    </x:row>
    <x:row r="772">
      <x:c r="B772" s="146" t="e">
        <x:f>IF($A772="","",[1]!thsiFinD("ths_adjustment_nv_fund",B$3,$A772))</x:f>
        <x:v>#NAME?</x:v>
      </x:c>
      <x:c r="C772" s="146" t="e">
        <x:f>IF($A772="","",[1]!thsiFinD("ths_adjustment_nv_fund",C$3,$A772))</x:f>
        <x:v>#NAME?</x:v>
      </x:c>
      <x:c r="D772" s="146" t="e">
        <x:f>IF($A772="","",[1]!thsiFinD("ths_adjustment_nv_fund",D$3,$A772))</x:f>
        <x:v>#NAME?</x:v>
      </x:c>
      <x:c r="E772" s="146" t="e">
        <x:f>IF($A772="","",[1]!thsiFinD("ths_adjustment_nv_fund",E$3,$A772))</x:f>
        <x:v>#NAME?</x:v>
      </x:c>
      <x:c r="F772" s="146" t="e">
        <x:f>IF($A772="","",[1]!thsiFinD("ths_adjustment_nv_fund",F$3,$A772))</x:f>
        <x:v>#NAME?</x:v>
      </x:c>
      <x:c r="G772" s="146" t="e">
        <x:f>IF($A772="","",[1]!thsiFinD("ths_adjustment_nv_fund",G$3,$A772))</x:f>
        <x:v>#NAME?</x:v>
      </x:c>
      <x:c r="H772" s="146" t="e">
        <x:f>IF($A772="","",[1]!thsiFinD("ths_adjustment_nv_fund",H$3,$A772))</x:f>
        <x:v>#NAME?</x:v>
      </x:c>
      <x:c r="I772" s="146" t="e">
        <x:f>IF($A772="","",[1]!thsiFinD("ths_adjustment_nv_fund",I$3,$A772))</x:f>
        <x:v>#NAME?</x:v>
      </x:c>
      <x:c r="J772" s="146" t="e">
        <x:f>IF($A772="","",[1]!thsiFinD("ths_adjustment_nv_fund",J$3,$A772))</x:f>
        <x:v>#NAME?</x:v>
      </x:c>
      <x:c r="K772" s="146" t="e">
        <x:f>IF($A772="","",[1]!thsiFinD("ths_adjustment_nv_fund",K$3,$A772))</x:f>
        <x:v>#NAME?</x:v>
      </x:c>
      <x:c r="L772" s="146" t="e">
        <x:f>IF($A772="","",[1]!thsiFinD("ths_adjustment_nv_fund",L$3,$A772))</x:f>
        <x:v>#NAME?</x:v>
      </x:c>
      <x:c r="M772" s="146" t="e">
        <x:f>IF($A772="","",[1]!thsiFinD("ths_adjustment_nv_fund",M$3,$A772))</x:f>
        <x:v>#NAME?</x:v>
      </x:c>
      <x:c r="N772" s="146" t="e">
        <x:f>IF($A772="","",[1]!thsiFinD("ths_adjustment_nv_fund",N$3,$A772))</x:f>
        <x:v>#NAME?</x:v>
      </x:c>
      <x:c r="O772" s="146" t="e">
        <x:f>IF($A772="","",[1]!thsiFinD("ths_adjustment_nv_fund",O$3,$A772))</x:f>
        <x:v>#NAME?</x:v>
      </x:c>
      <x:c r="P772" s="146" t="e">
        <x:f>IF($A772="","",[1]!thsiFinD("ths_adjustment_nv_fund",P$3,$A772))</x:f>
        <x:v>#NAME?</x:v>
      </x:c>
      <x:c r="Q772" s="146" t="e">
        <x:f>IF($A772="","",[1]!thsiFinD("ths_adjustment_nv_fund",Q$3,$A772))</x:f>
        <x:v>#NAME?</x:v>
      </x:c>
      <x:c r="R772" s="146" t="e">
        <x:f>IF($A772="","",[1]!thsiFinD("ths_adjustment_nv_fund",R$3,$A772))</x:f>
        <x:v>#NAME?</x:v>
      </x:c>
      <x:c r="S772" s="146" t="e">
        <x:f>IF($A772="","",[1]!thsiFinD("ths_adjustment_nv_fund",S$3,$A772))</x:f>
        <x:v>#NAME?</x:v>
      </x:c>
      <x:c r="T772" s="146" t="e">
        <x:f>IF($A772="","",[1]!thsiFinD("ths_adjustment_nv_fund",T$3,$A772))</x:f>
        <x:v>#NAME?</x:v>
      </x:c>
      <x:c r="U772" s="146" t="e">
        <x:f>IF($A772="","",[1]!thsiFinD("ths_adjustment_nv_fund",U$3,$A772))</x:f>
        <x:v>#NAME?</x:v>
      </x:c>
      <x:c r="V772" s="146" t="e">
        <x:f>IF($A772="","",[1]!thsiFinD("ths_adjustment_nv_fund",V$3,$A772))</x:f>
        <x:v>#NAME?</x:v>
      </x:c>
      <x:c r="W772" s="146" t="e">
        <x:f>IF($A772="","",[1]!thsiFinD("ths_adjustment_nv_fund",W$3,$A772))</x:f>
        <x:v>#NAME?</x:v>
      </x:c>
      <x:c r="X772" s="146" t="e">
        <x:f>IF($A772="","",[1]!thsiFinD("ths_adjustment_nv_fund",X$3,$A772))</x:f>
        <x:v>#NAME?</x:v>
      </x:c>
      <x:c r="Y772" s="146" t="e">
        <x:f>IF($A772="","",[1]!thsiFinD("ths_adjustment_nv_fund",Y$3,$A772))</x:f>
        <x:v>#NAME?</x:v>
      </x:c>
      <x:c r="Z772" s="146" t="e">
        <x:f>IF($A772="","",[1]!thsiFinD("ths_adjustment_nv_fund",Z$3,$A772))</x:f>
        <x:v>#NAME?</x:v>
      </x:c>
      <x:c r="AA772" s="146" t="e">
        <x:f>IF($A772="","",[1]!thsiFinD("ths_adjustment_nv_fund",AA$3,$A772))</x:f>
        <x:v>#NAME?</x:v>
      </x:c>
    </x:row>
    <x:row r="773">
      <x:c r="B773" s="146" t="e">
        <x:f>IF($A773="","",[1]!thsiFinD("ths_adjustment_nv_fund",B$3,$A773))</x:f>
        <x:v>#NAME?</x:v>
      </x:c>
      <x:c r="C773" s="146" t="e">
        <x:f>IF($A773="","",[1]!thsiFinD("ths_adjustment_nv_fund",C$3,$A773))</x:f>
        <x:v>#NAME?</x:v>
      </x:c>
      <x:c r="D773" s="146" t="e">
        <x:f>IF($A773="","",[1]!thsiFinD("ths_adjustment_nv_fund",D$3,$A773))</x:f>
        <x:v>#NAME?</x:v>
      </x:c>
      <x:c r="E773" s="146" t="e">
        <x:f>IF($A773="","",[1]!thsiFinD("ths_adjustment_nv_fund",E$3,$A773))</x:f>
        <x:v>#NAME?</x:v>
      </x:c>
      <x:c r="F773" s="146" t="e">
        <x:f>IF($A773="","",[1]!thsiFinD("ths_adjustment_nv_fund",F$3,$A773))</x:f>
        <x:v>#NAME?</x:v>
      </x:c>
      <x:c r="G773" s="146" t="e">
        <x:f>IF($A773="","",[1]!thsiFinD("ths_adjustment_nv_fund",G$3,$A773))</x:f>
        <x:v>#NAME?</x:v>
      </x:c>
      <x:c r="H773" s="146" t="e">
        <x:f>IF($A773="","",[1]!thsiFinD("ths_adjustment_nv_fund",H$3,$A773))</x:f>
        <x:v>#NAME?</x:v>
      </x:c>
      <x:c r="I773" s="146" t="e">
        <x:f>IF($A773="","",[1]!thsiFinD("ths_adjustment_nv_fund",I$3,$A773))</x:f>
        <x:v>#NAME?</x:v>
      </x:c>
      <x:c r="J773" s="146" t="e">
        <x:f>IF($A773="","",[1]!thsiFinD("ths_adjustment_nv_fund",J$3,$A773))</x:f>
        <x:v>#NAME?</x:v>
      </x:c>
      <x:c r="K773" s="146" t="e">
        <x:f>IF($A773="","",[1]!thsiFinD("ths_adjustment_nv_fund",K$3,$A773))</x:f>
        <x:v>#NAME?</x:v>
      </x:c>
      <x:c r="L773" s="146" t="e">
        <x:f>IF($A773="","",[1]!thsiFinD("ths_adjustment_nv_fund",L$3,$A773))</x:f>
        <x:v>#NAME?</x:v>
      </x:c>
      <x:c r="M773" s="146" t="e">
        <x:f>IF($A773="","",[1]!thsiFinD("ths_adjustment_nv_fund",M$3,$A773))</x:f>
        <x:v>#NAME?</x:v>
      </x:c>
      <x:c r="N773" s="146" t="e">
        <x:f>IF($A773="","",[1]!thsiFinD("ths_adjustment_nv_fund",N$3,$A773))</x:f>
        <x:v>#NAME?</x:v>
      </x:c>
      <x:c r="O773" s="146" t="e">
        <x:f>IF($A773="","",[1]!thsiFinD("ths_adjustment_nv_fund",O$3,$A773))</x:f>
        <x:v>#NAME?</x:v>
      </x:c>
      <x:c r="P773" s="146" t="e">
        <x:f>IF($A773="","",[1]!thsiFinD("ths_adjustment_nv_fund",P$3,$A773))</x:f>
        <x:v>#NAME?</x:v>
      </x:c>
      <x:c r="Q773" s="146" t="e">
        <x:f>IF($A773="","",[1]!thsiFinD("ths_adjustment_nv_fund",Q$3,$A773))</x:f>
        <x:v>#NAME?</x:v>
      </x:c>
      <x:c r="R773" s="146" t="e">
        <x:f>IF($A773="","",[1]!thsiFinD("ths_adjustment_nv_fund",R$3,$A773))</x:f>
        <x:v>#NAME?</x:v>
      </x:c>
      <x:c r="S773" s="146" t="e">
        <x:f>IF($A773="","",[1]!thsiFinD("ths_adjustment_nv_fund",S$3,$A773))</x:f>
        <x:v>#NAME?</x:v>
      </x:c>
      <x:c r="T773" s="146" t="e">
        <x:f>IF($A773="","",[1]!thsiFinD("ths_adjustment_nv_fund",T$3,$A773))</x:f>
        <x:v>#NAME?</x:v>
      </x:c>
      <x:c r="U773" s="146" t="e">
        <x:f>IF($A773="","",[1]!thsiFinD("ths_adjustment_nv_fund",U$3,$A773))</x:f>
        <x:v>#NAME?</x:v>
      </x:c>
      <x:c r="V773" s="146" t="e">
        <x:f>IF($A773="","",[1]!thsiFinD("ths_adjustment_nv_fund",V$3,$A773))</x:f>
        <x:v>#NAME?</x:v>
      </x:c>
      <x:c r="W773" s="146" t="e">
        <x:f>IF($A773="","",[1]!thsiFinD("ths_adjustment_nv_fund",W$3,$A773))</x:f>
        <x:v>#NAME?</x:v>
      </x:c>
      <x:c r="X773" s="146" t="e">
        <x:f>IF($A773="","",[1]!thsiFinD("ths_adjustment_nv_fund",X$3,$A773))</x:f>
        <x:v>#NAME?</x:v>
      </x:c>
      <x:c r="Y773" s="146" t="e">
        <x:f>IF($A773="","",[1]!thsiFinD("ths_adjustment_nv_fund",Y$3,$A773))</x:f>
        <x:v>#NAME?</x:v>
      </x:c>
      <x:c r="Z773" s="146" t="e">
        <x:f>IF($A773="","",[1]!thsiFinD("ths_adjustment_nv_fund",Z$3,$A773))</x:f>
        <x:v>#NAME?</x:v>
      </x:c>
      <x:c r="AA773" s="146" t="e">
        <x:f>IF($A773="","",[1]!thsiFinD("ths_adjustment_nv_fund",AA$3,$A773))</x:f>
        <x:v>#NAME?</x:v>
      </x:c>
    </x:row>
    <x:row r="774">
      <x:c r="B774" s="146" t="e">
        <x:f>IF($A774="","",[1]!thsiFinD("ths_adjustment_nv_fund",B$3,$A774))</x:f>
        <x:v>#NAME?</x:v>
      </x:c>
      <x:c r="C774" s="146" t="e">
        <x:f>IF($A774="","",[1]!thsiFinD("ths_adjustment_nv_fund",C$3,$A774))</x:f>
        <x:v>#NAME?</x:v>
      </x:c>
      <x:c r="D774" s="146" t="e">
        <x:f>IF($A774="","",[1]!thsiFinD("ths_adjustment_nv_fund",D$3,$A774))</x:f>
        <x:v>#NAME?</x:v>
      </x:c>
      <x:c r="E774" s="146" t="e">
        <x:f>IF($A774="","",[1]!thsiFinD("ths_adjustment_nv_fund",E$3,$A774))</x:f>
        <x:v>#NAME?</x:v>
      </x:c>
      <x:c r="F774" s="146" t="e">
        <x:f>IF($A774="","",[1]!thsiFinD("ths_adjustment_nv_fund",F$3,$A774))</x:f>
        <x:v>#NAME?</x:v>
      </x:c>
      <x:c r="G774" s="146" t="e">
        <x:f>IF($A774="","",[1]!thsiFinD("ths_adjustment_nv_fund",G$3,$A774))</x:f>
        <x:v>#NAME?</x:v>
      </x:c>
      <x:c r="H774" s="146" t="e">
        <x:f>IF($A774="","",[1]!thsiFinD("ths_adjustment_nv_fund",H$3,$A774))</x:f>
        <x:v>#NAME?</x:v>
      </x:c>
      <x:c r="I774" s="146" t="e">
        <x:f>IF($A774="","",[1]!thsiFinD("ths_adjustment_nv_fund",I$3,$A774))</x:f>
        <x:v>#NAME?</x:v>
      </x:c>
      <x:c r="J774" s="146" t="e">
        <x:f>IF($A774="","",[1]!thsiFinD("ths_adjustment_nv_fund",J$3,$A774))</x:f>
        <x:v>#NAME?</x:v>
      </x:c>
      <x:c r="K774" s="146" t="e">
        <x:f>IF($A774="","",[1]!thsiFinD("ths_adjustment_nv_fund",K$3,$A774))</x:f>
        <x:v>#NAME?</x:v>
      </x:c>
      <x:c r="L774" s="146" t="e">
        <x:f>IF($A774="","",[1]!thsiFinD("ths_adjustment_nv_fund",L$3,$A774))</x:f>
        <x:v>#NAME?</x:v>
      </x:c>
      <x:c r="M774" s="146" t="e">
        <x:f>IF($A774="","",[1]!thsiFinD("ths_adjustment_nv_fund",M$3,$A774))</x:f>
        <x:v>#NAME?</x:v>
      </x:c>
      <x:c r="N774" s="146" t="e">
        <x:f>IF($A774="","",[1]!thsiFinD("ths_adjustment_nv_fund",N$3,$A774))</x:f>
        <x:v>#NAME?</x:v>
      </x:c>
      <x:c r="O774" s="146" t="e">
        <x:f>IF($A774="","",[1]!thsiFinD("ths_adjustment_nv_fund",O$3,$A774))</x:f>
        <x:v>#NAME?</x:v>
      </x:c>
      <x:c r="P774" s="146" t="e">
        <x:f>IF($A774="","",[1]!thsiFinD("ths_adjustment_nv_fund",P$3,$A774))</x:f>
        <x:v>#NAME?</x:v>
      </x:c>
      <x:c r="Q774" s="146" t="e">
        <x:f>IF($A774="","",[1]!thsiFinD("ths_adjustment_nv_fund",Q$3,$A774))</x:f>
        <x:v>#NAME?</x:v>
      </x:c>
      <x:c r="R774" s="146" t="e">
        <x:f>IF($A774="","",[1]!thsiFinD("ths_adjustment_nv_fund",R$3,$A774))</x:f>
        <x:v>#NAME?</x:v>
      </x:c>
      <x:c r="S774" s="146" t="e">
        <x:f>IF($A774="","",[1]!thsiFinD("ths_adjustment_nv_fund",S$3,$A774))</x:f>
        <x:v>#NAME?</x:v>
      </x:c>
      <x:c r="T774" s="146" t="e">
        <x:f>IF($A774="","",[1]!thsiFinD("ths_adjustment_nv_fund",T$3,$A774))</x:f>
        <x:v>#NAME?</x:v>
      </x:c>
      <x:c r="U774" s="146" t="e">
        <x:f>IF($A774="","",[1]!thsiFinD("ths_adjustment_nv_fund",U$3,$A774))</x:f>
        <x:v>#NAME?</x:v>
      </x:c>
      <x:c r="V774" s="146" t="e">
        <x:f>IF($A774="","",[1]!thsiFinD("ths_adjustment_nv_fund",V$3,$A774))</x:f>
        <x:v>#NAME?</x:v>
      </x:c>
      <x:c r="W774" s="146" t="e">
        <x:f>IF($A774="","",[1]!thsiFinD("ths_adjustment_nv_fund",W$3,$A774))</x:f>
        <x:v>#NAME?</x:v>
      </x:c>
      <x:c r="X774" s="146" t="e">
        <x:f>IF($A774="","",[1]!thsiFinD("ths_adjustment_nv_fund",X$3,$A774))</x:f>
        <x:v>#NAME?</x:v>
      </x:c>
      <x:c r="Y774" s="146" t="e">
        <x:f>IF($A774="","",[1]!thsiFinD("ths_adjustment_nv_fund",Y$3,$A774))</x:f>
        <x:v>#NAME?</x:v>
      </x:c>
      <x:c r="Z774" s="146" t="e">
        <x:f>IF($A774="","",[1]!thsiFinD("ths_adjustment_nv_fund",Z$3,$A774))</x:f>
        <x:v>#NAME?</x:v>
      </x:c>
      <x:c r="AA774" s="146" t="e">
        <x:f>IF($A774="","",[1]!thsiFinD("ths_adjustment_nv_fund",AA$3,$A774))</x:f>
        <x:v>#NAME?</x:v>
      </x:c>
    </x:row>
    <x:row r="775">
      <x:c r="B775" s="146" t="e">
        <x:f>IF($A775="","",[1]!thsiFinD("ths_adjustment_nv_fund",B$3,$A775))</x:f>
        <x:v>#NAME?</x:v>
      </x:c>
      <x:c r="C775" s="146" t="e">
        <x:f>IF($A775="","",[1]!thsiFinD("ths_adjustment_nv_fund",C$3,$A775))</x:f>
        <x:v>#NAME?</x:v>
      </x:c>
      <x:c r="D775" s="146" t="e">
        <x:f>IF($A775="","",[1]!thsiFinD("ths_adjustment_nv_fund",D$3,$A775))</x:f>
        <x:v>#NAME?</x:v>
      </x:c>
      <x:c r="E775" s="146" t="e">
        <x:f>IF($A775="","",[1]!thsiFinD("ths_adjustment_nv_fund",E$3,$A775))</x:f>
        <x:v>#NAME?</x:v>
      </x:c>
      <x:c r="F775" s="146" t="e">
        <x:f>IF($A775="","",[1]!thsiFinD("ths_adjustment_nv_fund",F$3,$A775))</x:f>
        <x:v>#NAME?</x:v>
      </x:c>
      <x:c r="G775" s="146" t="e">
        <x:f>IF($A775="","",[1]!thsiFinD("ths_adjustment_nv_fund",G$3,$A775))</x:f>
        <x:v>#NAME?</x:v>
      </x:c>
      <x:c r="H775" s="146" t="e">
        <x:f>IF($A775="","",[1]!thsiFinD("ths_adjustment_nv_fund",H$3,$A775))</x:f>
        <x:v>#NAME?</x:v>
      </x:c>
      <x:c r="I775" s="146" t="e">
        <x:f>IF($A775="","",[1]!thsiFinD("ths_adjustment_nv_fund",I$3,$A775))</x:f>
        <x:v>#NAME?</x:v>
      </x:c>
      <x:c r="J775" s="146" t="e">
        <x:f>IF($A775="","",[1]!thsiFinD("ths_adjustment_nv_fund",J$3,$A775))</x:f>
        <x:v>#NAME?</x:v>
      </x:c>
      <x:c r="K775" s="146" t="e">
        <x:f>IF($A775="","",[1]!thsiFinD("ths_adjustment_nv_fund",K$3,$A775))</x:f>
        <x:v>#NAME?</x:v>
      </x:c>
      <x:c r="L775" s="146" t="e">
        <x:f>IF($A775="","",[1]!thsiFinD("ths_adjustment_nv_fund",L$3,$A775))</x:f>
        <x:v>#NAME?</x:v>
      </x:c>
      <x:c r="M775" s="146" t="e">
        <x:f>IF($A775="","",[1]!thsiFinD("ths_adjustment_nv_fund",M$3,$A775))</x:f>
        <x:v>#NAME?</x:v>
      </x:c>
      <x:c r="N775" s="146" t="e">
        <x:f>IF($A775="","",[1]!thsiFinD("ths_adjustment_nv_fund",N$3,$A775))</x:f>
        <x:v>#NAME?</x:v>
      </x:c>
      <x:c r="O775" s="146" t="e">
        <x:f>IF($A775="","",[1]!thsiFinD("ths_adjustment_nv_fund",O$3,$A775))</x:f>
        <x:v>#NAME?</x:v>
      </x:c>
      <x:c r="P775" s="146" t="e">
        <x:f>IF($A775="","",[1]!thsiFinD("ths_adjustment_nv_fund",P$3,$A775))</x:f>
        <x:v>#NAME?</x:v>
      </x:c>
      <x:c r="Q775" s="146" t="e">
        <x:f>IF($A775="","",[1]!thsiFinD("ths_adjustment_nv_fund",Q$3,$A775))</x:f>
        <x:v>#NAME?</x:v>
      </x:c>
      <x:c r="R775" s="146" t="e">
        <x:f>IF($A775="","",[1]!thsiFinD("ths_adjustment_nv_fund",R$3,$A775))</x:f>
        <x:v>#NAME?</x:v>
      </x:c>
      <x:c r="S775" s="146" t="e">
        <x:f>IF($A775="","",[1]!thsiFinD("ths_adjustment_nv_fund",S$3,$A775))</x:f>
        <x:v>#NAME?</x:v>
      </x:c>
      <x:c r="T775" s="146" t="e">
        <x:f>IF($A775="","",[1]!thsiFinD("ths_adjustment_nv_fund",T$3,$A775))</x:f>
        <x:v>#NAME?</x:v>
      </x:c>
      <x:c r="U775" s="146" t="e">
        <x:f>IF($A775="","",[1]!thsiFinD("ths_adjustment_nv_fund",U$3,$A775))</x:f>
        <x:v>#NAME?</x:v>
      </x:c>
      <x:c r="V775" s="146" t="e">
        <x:f>IF($A775="","",[1]!thsiFinD("ths_adjustment_nv_fund",V$3,$A775))</x:f>
        <x:v>#NAME?</x:v>
      </x:c>
      <x:c r="W775" s="146" t="e">
        <x:f>IF($A775="","",[1]!thsiFinD("ths_adjustment_nv_fund",W$3,$A775))</x:f>
        <x:v>#NAME?</x:v>
      </x:c>
      <x:c r="X775" s="146" t="e">
        <x:f>IF($A775="","",[1]!thsiFinD("ths_adjustment_nv_fund",X$3,$A775))</x:f>
        <x:v>#NAME?</x:v>
      </x:c>
      <x:c r="Y775" s="146" t="e">
        <x:f>IF($A775="","",[1]!thsiFinD("ths_adjustment_nv_fund",Y$3,$A775))</x:f>
        <x:v>#NAME?</x:v>
      </x:c>
      <x:c r="Z775" s="146" t="e">
        <x:f>IF($A775="","",[1]!thsiFinD("ths_adjustment_nv_fund",Z$3,$A775))</x:f>
        <x:v>#NAME?</x:v>
      </x:c>
      <x:c r="AA775" s="146" t="e">
        <x:f>IF($A775="","",[1]!thsiFinD("ths_adjustment_nv_fund",AA$3,$A775))</x:f>
        <x:v>#NAME?</x:v>
      </x:c>
    </x:row>
    <x:row r="776">
      <x:c r="B776" s="146" t="e">
        <x:f>IF($A776="","",[1]!thsiFinD("ths_adjustment_nv_fund",B$3,$A776))</x:f>
        <x:v>#NAME?</x:v>
      </x:c>
      <x:c r="C776" s="146" t="e">
        <x:f>IF($A776="","",[1]!thsiFinD("ths_adjustment_nv_fund",C$3,$A776))</x:f>
        <x:v>#NAME?</x:v>
      </x:c>
      <x:c r="D776" s="146" t="e">
        <x:f>IF($A776="","",[1]!thsiFinD("ths_adjustment_nv_fund",D$3,$A776))</x:f>
        <x:v>#NAME?</x:v>
      </x:c>
      <x:c r="E776" s="146" t="e">
        <x:f>IF($A776="","",[1]!thsiFinD("ths_adjustment_nv_fund",E$3,$A776))</x:f>
        <x:v>#NAME?</x:v>
      </x:c>
      <x:c r="F776" s="146" t="e">
        <x:f>IF($A776="","",[1]!thsiFinD("ths_adjustment_nv_fund",F$3,$A776))</x:f>
        <x:v>#NAME?</x:v>
      </x:c>
      <x:c r="G776" s="146" t="e">
        <x:f>IF($A776="","",[1]!thsiFinD("ths_adjustment_nv_fund",G$3,$A776))</x:f>
        <x:v>#NAME?</x:v>
      </x:c>
      <x:c r="H776" s="146" t="e">
        <x:f>IF($A776="","",[1]!thsiFinD("ths_adjustment_nv_fund",H$3,$A776))</x:f>
        <x:v>#NAME?</x:v>
      </x:c>
      <x:c r="I776" s="146" t="e">
        <x:f>IF($A776="","",[1]!thsiFinD("ths_adjustment_nv_fund",I$3,$A776))</x:f>
        <x:v>#NAME?</x:v>
      </x:c>
      <x:c r="J776" s="146" t="e">
        <x:f>IF($A776="","",[1]!thsiFinD("ths_adjustment_nv_fund",J$3,$A776))</x:f>
        <x:v>#NAME?</x:v>
      </x:c>
      <x:c r="K776" s="146" t="e">
        <x:f>IF($A776="","",[1]!thsiFinD("ths_adjustment_nv_fund",K$3,$A776))</x:f>
        <x:v>#NAME?</x:v>
      </x:c>
      <x:c r="L776" s="146" t="e">
        <x:f>IF($A776="","",[1]!thsiFinD("ths_adjustment_nv_fund",L$3,$A776))</x:f>
        <x:v>#NAME?</x:v>
      </x:c>
      <x:c r="M776" s="146" t="e">
        <x:f>IF($A776="","",[1]!thsiFinD("ths_adjustment_nv_fund",M$3,$A776))</x:f>
        <x:v>#NAME?</x:v>
      </x:c>
      <x:c r="N776" s="146" t="e">
        <x:f>IF($A776="","",[1]!thsiFinD("ths_adjustment_nv_fund",N$3,$A776))</x:f>
        <x:v>#NAME?</x:v>
      </x:c>
      <x:c r="O776" s="146" t="e">
        <x:f>IF($A776="","",[1]!thsiFinD("ths_adjustment_nv_fund",O$3,$A776))</x:f>
        <x:v>#NAME?</x:v>
      </x:c>
      <x:c r="P776" s="146" t="e">
        <x:f>IF($A776="","",[1]!thsiFinD("ths_adjustment_nv_fund",P$3,$A776))</x:f>
        <x:v>#NAME?</x:v>
      </x:c>
      <x:c r="Q776" s="146" t="e">
        <x:f>IF($A776="","",[1]!thsiFinD("ths_adjustment_nv_fund",Q$3,$A776))</x:f>
        <x:v>#NAME?</x:v>
      </x:c>
      <x:c r="R776" s="146" t="e">
        <x:f>IF($A776="","",[1]!thsiFinD("ths_adjustment_nv_fund",R$3,$A776))</x:f>
        <x:v>#NAME?</x:v>
      </x:c>
      <x:c r="S776" s="146" t="e">
        <x:f>IF($A776="","",[1]!thsiFinD("ths_adjustment_nv_fund",S$3,$A776))</x:f>
        <x:v>#NAME?</x:v>
      </x:c>
      <x:c r="T776" s="146" t="e">
        <x:f>IF($A776="","",[1]!thsiFinD("ths_adjustment_nv_fund",T$3,$A776))</x:f>
        <x:v>#NAME?</x:v>
      </x:c>
      <x:c r="U776" s="146" t="e">
        <x:f>IF($A776="","",[1]!thsiFinD("ths_adjustment_nv_fund",U$3,$A776))</x:f>
        <x:v>#NAME?</x:v>
      </x:c>
      <x:c r="V776" s="146" t="e">
        <x:f>IF($A776="","",[1]!thsiFinD("ths_adjustment_nv_fund",V$3,$A776))</x:f>
        <x:v>#NAME?</x:v>
      </x:c>
      <x:c r="W776" s="146" t="e">
        <x:f>IF($A776="","",[1]!thsiFinD("ths_adjustment_nv_fund",W$3,$A776))</x:f>
        <x:v>#NAME?</x:v>
      </x:c>
      <x:c r="X776" s="146" t="e">
        <x:f>IF($A776="","",[1]!thsiFinD("ths_adjustment_nv_fund",X$3,$A776))</x:f>
        <x:v>#NAME?</x:v>
      </x:c>
      <x:c r="Y776" s="146" t="e">
        <x:f>IF($A776="","",[1]!thsiFinD("ths_adjustment_nv_fund",Y$3,$A776))</x:f>
        <x:v>#NAME?</x:v>
      </x:c>
      <x:c r="Z776" s="146" t="e">
        <x:f>IF($A776="","",[1]!thsiFinD("ths_adjustment_nv_fund",Z$3,$A776))</x:f>
        <x:v>#NAME?</x:v>
      </x:c>
      <x:c r="AA776" s="146" t="e">
        <x:f>IF($A776="","",[1]!thsiFinD("ths_adjustment_nv_fund",AA$3,$A776))</x:f>
        <x:v>#NAME?</x:v>
      </x:c>
    </x:row>
    <x:row r="777">
      <x:c r="B777" s="146" t="e">
        <x:f>IF($A777="","",[1]!thsiFinD("ths_adjustment_nv_fund",B$3,$A777))</x:f>
        <x:v>#NAME?</x:v>
      </x:c>
      <x:c r="C777" s="146" t="e">
        <x:f>IF($A777="","",[1]!thsiFinD("ths_adjustment_nv_fund",C$3,$A777))</x:f>
        <x:v>#NAME?</x:v>
      </x:c>
      <x:c r="D777" s="146" t="e">
        <x:f>IF($A777="","",[1]!thsiFinD("ths_adjustment_nv_fund",D$3,$A777))</x:f>
        <x:v>#NAME?</x:v>
      </x:c>
      <x:c r="E777" s="146" t="e">
        <x:f>IF($A777="","",[1]!thsiFinD("ths_adjustment_nv_fund",E$3,$A777))</x:f>
        <x:v>#NAME?</x:v>
      </x:c>
      <x:c r="F777" s="146" t="e">
        <x:f>IF($A777="","",[1]!thsiFinD("ths_adjustment_nv_fund",F$3,$A777))</x:f>
        <x:v>#NAME?</x:v>
      </x:c>
      <x:c r="G777" s="146" t="e">
        <x:f>IF($A777="","",[1]!thsiFinD("ths_adjustment_nv_fund",G$3,$A777))</x:f>
        <x:v>#NAME?</x:v>
      </x:c>
      <x:c r="H777" s="146" t="e">
        <x:f>IF($A777="","",[1]!thsiFinD("ths_adjustment_nv_fund",H$3,$A777))</x:f>
        <x:v>#NAME?</x:v>
      </x:c>
      <x:c r="I777" s="146" t="e">
        <x:f>IF($A777="","",[1]!thsiFinD("ths_adjustment_nv_fund",I$3,$A777))</x:f>
        <x:v>#NAME?</x:v>
      </x:c>
      <x:c r="J777" s="146" t="e">
        <x:f>IF($A777="","",[1]!thsiFinD("ths_adjustment_nv_fund",J$3,$A777))</x:f>
        <x:v>#NAME?</x:v>
      </x:c>
      <x:c r="K777" s="146" t="e">
        <x:f>IF($A777="","",[1]!thsiFinD("ths_adjustment_nv_fund",K$3,$A777))</x:f>
        <x:v>#NAME?</x:v>
      </x:c>
      <x:c r="L777" s="146" t="e">
        <x:f>IF($A777="","",[1]!thsiFinD("ths_adjustment_nv_fund",L$3,$A777))</x:f>
        <x:v>#NAME?</x:v>
      </x:c>
      <x:c r="M777" s="146" t="e">
        <x:f>IF($A777="","",[1]!thsiFinD("ths_adjustment_nv_fund",M$3,$A777))</x:f>
        <x:v>#NAME?</x:v>
      </x:c>
      <x:c r="N777" s="146" t="e">
        <x:f>IF($A777="","",[1]!thsiFinD("ths_adjustment_nv_fund",N$3,$A777))</x:f>
        <x:v>#NAME?</x:v>
      </x:c>
      <x:c r="O777" s="146" t="e">
        <x:f>IF($A777="","",[1]!thsiFinD("ths_adjustment_nv_fund",O$3,$A777))</x:f>
        <x:v>#NAME?</x:v>
      </x:c>
      <x:c r="P777" s="146" t="e">
        <x:f>IF($A777="","",[1]!thsiFinD("ths_adjustment_nv_fund",P$3,$A777))</x:f>
        <x:v>#NAME?</x:v>
      </x:c>
      <x:c r="Q777" s="146" t="e">
        <x:f>IF($A777="","",[1]!thsiFinD("ths_adjustment_nv_fund",Q$3,$A777))</x:f>
        <x:v>#NAME?</x:v>
      </x:c>
      <x:c r="R777" s="146" t="e">
        <x:f>IF($A777="","",[1]!thsiFinD("ths_adjustment_nv_fund",R$3,$A777))</x:f>
        <x:v>#NAME?</x:v>
      </x:c>
      <x:c r="S777" s="146" t="e">
        <x:f>IF($A777="","",[1]!thsiFinD("ths_adjustment_nv_fund",S$3,$A777))</x:f>
        <x:v>#NAME?</x:v>
      </x:c>
      <x:c r="T777" s="146" t="e">
        <x:f>IF($A777="","",[1]!thsiFinD("ths_adjustment_nv_fund",T$3,$A777))</x:f>
        <x:v>#NAME?</x:v>
      </x:c>
      <x:c r="U777" s="146" t="e">
        <x:f>IF($A777="","",[1]!thsiFinD("ths_adjustment_nv_fund",U$3,$A777))</x:f>
        <x:v>#NAME?</x:v>
      </x:c>
      <x:c r="V777" s="146" t="e">
        <x:f>IF($A777="","",[1]!thsiFinD("ths_adjustment_nv_fund",V$3,$A777))</x:f>
        <x:v>#NAME?</x:v>
      </x:c>
      <x:c r="W777" s="146" t="e">
        <x:f>IF($A777="","",[1]!thsiFinD("ths_adjustment_nv_fund",W$3,$A777))</x:f>
        <x:v>#NAME?</x:v>
      </x:c>
      <x:c r="X777" s="146" t="e">
        <x:f>IF($A777="","",[1]!thsiFinD("ths_adjustment_nv_fund",X$3,$A777))</x:f>
        <x:v>#NAME?</x:v>
      </x:c>
      <x:c r="Y777" s="146" t="e">
        <x:f>IF($A777="","",[1]!thsiFinD("ths_adjustment_nv_fund",Y$3,$A777))</x:f>
        <x:v>#NAME?</x:v>
      </x:c>
      <x:c r="Z777" s="146" t="e">
        <x:f>IF($A777="","",[1]!thsiFinD("ths_adjustment_nv_fund",Z$3,$A777))</x:f>
        <x:v>#NAME?</x:v>
      </x:c>
      <x:c r="AA777" s="146" t="e">
        <x:f>IF($A777="","",[1]!thsiFinD("ths_adjustment_nv_fund",AA$3,$A777))</x:f>
        <x:v>#NAME?</x:v>
      </x:c>
    </x:row>
    <x:row r="778">
      <x:c r="B778" s="146" t="e">
        <x:f>IF($A778="","",[1]!thsiFinD("ths_adjustment_nv_fund",B$3,$A778))</x:f>
        <x:v>#NAME?</x:v>
      </x:c>
      <x:c r="C778" s="146" t="e">
        <x:f>IF($A778="","",[1]!thsiFinD("ths_adjustment_nv_fund",C$3,$A778))</x:f>
        <x:v>#NAME?</x:v>
      </x:c>
      <x:c r="D778" s="146" t="e">
        <x:f>IF($A778="","",[1]!thsiFinD("ths_adjustment_nv_fund",D$3,$A778))</x:f>
        <x:v>#NAME?</x:v>
      </x:c>
      <x:c r="E778" s="146" t="e">
        <x:f>IF($A778="","",[1]!thsiFinD("ths_adjustment_nv_fund",E$3,$A778))</x:f>
        <x:v>#NAME?</x:v>
      </x:c>
      <x:c r="F778" s="146" t="e">
        <x:f>IF($A778="","",[1]!thsiFinD("ths_adjustment_nv_fund",F$3,$A778))</x:f>
        <x:v>#NAME?</x:v>
      </x:c>
      <x:c r="G778" s="146" t="e">
        <x:f>IF($A778="","",[1]!thsiFinD("ths_adjustment_nv_fund",G$3,$A778))</x:f>
        <x:v>#NAME?</x:v>
      </x:c>
      <x:c r="H778" s="146" t="e">
        <x:f>IF($A778="","",[1]!thsiFinD("ths_adjustment_nv_fund",H$3,$A778))</x:f>
        <x:v>#NAME?</x:v>
      </x:c>
      <x:c r="I778" s="146" t="e">
        <x:f>IF($A778="","",[1]!thsiFinD("ths_adjustment_nv_fund",I$3,$A778))</x:f>
        <x:v>#NAME?</x:v>
      </x:c>
      <x:c r="J778" s="146" t="e">
        <x:f>IF($A778="","",[1]!thsiFinD("ths_adjustment_nv_fund",J$3,$A778))</x:f>
        <x:v>#NAME?</x:v>
      </x:c>
      <x:c r="K778" s="146" t="e">
        <x:f>IF($A778="","",[1]!thsiFinD("ths_adjustment_nv_fund",K$3,$A778))</x:f>
        <x:v>#NAME?</x:v>
      </x:c>
      <x:c r="L778" s="146" t="e">
        <x:f>IF($A778="","",[1]!thsiFinD("ths_adjustment_nv_fund",L$3,$A778))</x:f>
        <x:v>#NAME?</x:v>
      </x:c>
      <x:c r="M778" s="146" t="e">
        <x:f>IF($A778="","",[1]!thsiFinD("ths_adjustment_nv_fund",M$3,$A778))</x:f>
        <x:v>#NAME?</x:v>
      </x:c>
      <x:c r="N778" s="146" t="e">
        <x:f>IF($A778="","",[1]!thsiFinD("ths_adjustment_nv_fund",N$3,$A778))</x:f>
        <x:v>#NAME?</x:v>
      </x:c>
      <x:c r="O778" s="146" t="e">
        <x:f>IF($A778="","",[1]!thsiFinD("ths_adjustment_nv_fund",O$3,$A778))</x:f>
        <x:v>#NAME?</x:v>
      </x:c>
      <x:c r="P778" s="146" t="e">
        <x:f>IF($A778="","",[1]!thsiFinD("ths_adjustment_nv_fund",P$3,$A778))</x:f>
        <x:v>#NAME?</x:v>
      </x:c>
      <x:c r="Q778" s="146" t="e">
        <x:f>IF($A778="","",[1]!thsiFinD("ths_adjustment_nv_fund",Q$3,$A778))</x:f>
        <x:v>#NAME?</x:v>
      </x:c>
      <x:c r="R778" s="146" t="e">
        <x:f>IF($A778="","",[1]!thsiFinD("ths_adjustment_nv_fund",R$3,$A778))</x:f>
        <x:v>#NAME?</x:v>
      </x:c>
      <x:c r="S778" s="146" t="e">
        <x:f>IF($A778="","",[1]!thsiFinD("ths_adjustment_nv_fund",S$3,$A778))</x:f>
        <x:v>#NAME?</x:v>
      </x:c>
      <x:c r="T778" s="146" t="e">
        <x:f>IF($A778="","",[1]!thsiFinD("ths_adjustment_nv_fund",T$3,$A778))</x:f>
        <x:v>#NAME?</x:v>
      </x:c>
      <x:c r="U778" s="146" t="e">
        <x:f>IF($A778="","",[1]!thsiFinD("ths_adjustment_nv_fund",U$3,$A778))</x:f>
        <x:v>#NAME?</x:v>
      </x:c>
      <x:c r="V778" s="146" t="e">
        <x:f>IF($A778="","",[1]!thsiFinD("ths_adjustment_nv_fund",V$3,$A778))</x:f>
        <x:v>#NAME?</x:v>
      </x:c>
      <x:c r="W778" s="146" t="e">
        <x:f>IF($A778="","",[1]!thsiFinD("ths_adjustment_nv_fund",W$3,$A778))</x:f>
        <x:v>#NAME?</x:v>
      </x:c>
      <x:c r="X778" s="146" t="e">
        <x:f>IF($A778="","",[1]!thsiFinD("ths_adjustment_nv_fund",X$3,$A778))</x:f>
        <x:v>#NAME?</x:v>
      </x:c>
      <x:c r="Y778" s="146" t="e">
        <x:f>IF($A778="","",[1]!thsiFinD("ths_adjustment_nv_fund",Y$3,$A778))</x:f>
        <x:v>#NAME?</x:v>
      </x:c>
      <x:c r="Z778" s="146" t="e">
        <x:f>IF($A778="","",[1]!thsiFinD("ths_adjustment_nv_fund",Z$3,$A778))</x:f>
        <x:v>#NAME?</x:v>
      </x:c>
      <x:c r="AA778" s="146" t="e">
        <x:f>IF($A778="","",[1]!thsiFinD("ths_adjustment_nv_fund",AA$3,$A778))</x:f>
        <x:v>#NAME?</x:v>
      </x:c>
    </x:row>
    <x:row r="779">
      <x:c r="B779" s="146" t="e">
        <x:f>IF($A779="","",[1]!thsiFinD("ths_adjustment_nv_fund",B$3,$A779))</x:f>
        <x:v>#NAME?</x:v>
      </x:c>
      <x:c r="C779" s="146" t="e">
        <x:f>IF($A779="","",[1]!thsiFinD("ths_adjustment_nv_fund",C$3,$A779))</x:f>
        <x:v>#NAME?</x:v>
      </x:c>
      <x:c r="D779" s="146" t="e">
        <x:f>IF($A779="","",[1]!thsiFinD("ths_adjustment_nv_fund",D$3,$A779))</x:f>
        <x:v>#NAME?</x:v>
      </x:c>
      <x:c r="E779" s="146" t="e">
        <x:f>IF($A779="","",[1]!thsiFinD("ths_adjustment_nv_fund",E$3,$A779))</x:f>
        <x:v>#NAME?</x:v>
      </x:c>
      <x:c r="F779" s="146" t="e">
        <x:f>IF($A779="","",[1]!thsiFinD("ths_adjustment_nv_fund",F$3,$A779))</x:f>
        <x:v>#NAME?</x:v>
      </x:c>
      <x:c r="G779" s="146" t="e">
        <x:f>IF($A779="","",[1]!thsiFinD("ths_adjustment_nv_fund",G$3,$A779))</x:f>
        <x:v>#NAME?</x:v>
      </x:c>
      <x:c r="H779" s="146" t="e">
        <x:f>IF($A779="","",[1]!thsiFinD("ths_adjustment_nv_fund",H$3,$A779))</x:f>
        <x:v>#NAME?</x:v>
      </x:c>
      <x:c r="I779" s="146" t="e">
        <x:f>IF($A779="","",[1]!thsiFinD("ths_adjustment_nv_fund",I$3,$A779))</x:f>
        <x:v>#NAME?</x:v>
      </x:c>
      <x:c r="J779" s="146" t="e">
        <x:f>IF($A779="","",[1]!thsiFinD("ths_adjustment_nv_fund",J$3,$A779))</x:f>
        <x:v>#NAME?</x:v>
      </x:c>
      <x:c r="K779" s="146" t="e">
        <x:f>IF($A779="","",[1]!thsiFinD("ths_adjustment_nv_fund",K$3,$A779))</x:f>
        <x:v>#NAME?</x:v>
      </x:c>
      <x:c r="L779" s="146" t="e">
        <x:f>IF($A779="","",[1]!thsiFinD("ths_adjustment_nv_fund",L$3,$A779))</x:f>
        <x:v>#NAME?</x:v>
      </x:c>
      <x:c r="M779" s="146" t="e">
        <x:f>IF($A779="","",[1]!thsiFinD("ths_adjustment_nv_fund",M$3,$A779))</x:f>
        <x:v>#NAME?</x:v>
      </x:c>
      <x:c r="N779" s="146" t="e">
        <x:f>IF($A779="","",[1]!thsiFinD("ths_adjustment_nv_fund",N$3,$A779))</x:f>
        <x:v>#NAME?</x:v>
      </x:c>
      <x:c r="O779" s="146" t="e">
        <x:f>IF($A779="","",[1]!thsiFinD("ths_adjustment_nv_fund",O$3,$A779))</x:f>
        <x:v>#NAME?</x:v>
      </x:c>
      <x:c r="P779" s="146" t="e">
        <x:f>IF($A779="","",[1]!thsiFinD("ths_adjustment_nv_fund",P$3,$A779))</x:f>
        <x:v>#NAME?</x:v>
      </x:c>
      <x:c r="Q779" s="146" t="e">
        <x:f>IF($A779="","",[1]!thsiFinD("ths_adjustment_nv_fund",Q$3,$A779))</x:f>
        <x:v>#NAME?</x:v>
      </x:c>
      <x:c r="R779" s="146" t="e">
        <x:f>IF($A779="","",[1]!thsiFinD("ths_adjustment_nv_fund",R$3,$A779))</x:f>
        <x:v>#NAME?</x:v>
      </x:c>
      <x:c r="S779" s="146" t="e">
        <x:f>IF($A779="","",[1]!thsiFinD("ths_adjustment_nv_fund",S$3,$A779))</x:f>
        <x:v>#NAME?</x:v>
      </x:c>
      <x:c r="T779" s="146" t="e">
        <x:f>IF($A779="","",[1]!thsiFinD("ths_adjustment_nv_fund",T$3,$A779))</x:f>
        <x:v>#NAME?</x:v>
      </x:c>
      <x:c r="U779" s="146" t="e">
        <x:f>IF($A779="","",[1]!thsiFinD("ths_adjustment_nv_fund",U$3,$A779))</x:f>
        <x:v>#NAME?</x:v>
      </x:c>
      <x:c r="V779" s="146" t="e">
        <x:f>IF($A779="","",[1]!thsiFinD("ths_adjustment_nv_fund",V$3,$A779))</x:f>
        <x:v>#NAME?</x:v>
      </x:c>
      <x:c r="W779" s="146" t="e">
        <x:f>IF($A779="","",[1]!thsiFinD("ths_adjustment_nv_fund",W$3,$A779))</x:f>
        <x:v>#NAME?</x:v>
      </x:c>
      <x:c r="X779" s="146" t="e">
        <x:f>IF($A779="","",[1]!thsiFinD("ths_adjustment_nv_fund",X$3,$A779))</x:f>
        <x:v>#NAME?</x:v>
      </x:c>
      <x:c r="Y779" s="146" t="e">
        <x:f>IF($A779="","",[1]!thsiFinD("ths_adjustment_nv_fund",Y$3,$A779))</x:f>
        <x:v>#NAME?</x:v>
      </x:c>
      <x:c r="Z779" s="146" t="e">
        <x:f>IF($A779="","",[1]!thsiFinD("ths_adjustment_nv_fund",Z$3,$A779))</x:f>
        <x:v>#NAME?</x:v>
      </x:c>
      <x:c r="AA779" s="146" t="e">
        <x:f>IF($A779="","",[1]!thsiFinD("ths_adjustment_nv_fund",AA$3,$A779))</x:f>
        <x:v>#NAME?</x:v>
      </x:c>
    </x:row>
    <x:row r="780">
      <x:c r="B780" s="146" t="e">
        <x:f>IF($A780="","",[1]!thsiFinD("ths_adjustment_nv_fund",B$3,$A780))</x:f>
        <x:v>#NAME?</x:v>
      </x:c>
      <x:c r="C780" s="146" t="e">
        <x:f>IF($A780="","",[1]!thsiFinD("ths_adjustment_nv_fund",C$3,$A780))</x:f>
        <x:v>#NAME?</x:v>
      </x:c>
      <x:c r="D780" s="146" t="e">
        <x:f>IF($A780="","",[1]!thsiFinD("ths_adjustment_nv_fund",D$3,$A780))</x:f>
        <x:v>#NAME?</x:v>
      </x:c>
      <x:c r="E780" s="146" t="e">
        <x:f>IF($A780="","",[1]!thsiFinD("ths_adjustment_nv_fund",E$3,$A780))</x:f>
        <x:v>#NAME?</x:v>
      </x:c>
      <x:c r="F780" s="146" t="e">
        <x:f>IF($A780="","",[1]!thsiFinD("ths_adjustment_nv_fund",F$3,$A780))</x:f>
        <x:v>#NAME?</x:v>
      </x:c>
      <x:c r="G780" s="146" t="e">
        <x:f>IF($A780="","",[1]!thsiFinD("ths_adjustment_nv_fund",G$3,$A780))</x:f>
        <x:v>#NAME?</x:v>
      </x:c>
      <x:c r="H780" s="146" t="e">
        <x:f>IF($A780="","",[1]!thsiFinD("ths_adjustment_nv_fund",H$3,$A780))</x:f>
        <x:v>#NAME?</x:v>
      </x:c>
      <x:c r="I780" s="146" t="e">
        <x:f>IF($A780="","",[1]!thsiFinD("ths_adjustment_nv_fund",I$3,$A780))</x:f>
        <x:v>#NAME?</x:v>
      </x:c>
      <x:c r="J780" s="146" t="e">
        <x:f>IF($A780="","",[1]!thsiFinD("ths_adjustment_nv_fund",J$3,$A780))</x:f>
        <x:v>#NAME?</x:v>
      </x:c>
      <x:c r="K780" s="146" t="e">
        <x:f>IF($A780="","",[1]!thsiFinD("ths_adjustment_nv_fund",K$3,$A780))</x:f>
        <x:v>#NAME?</x:v>
      </x:c>
      <x:c r="L780" s="146" t="e">
        <x:f>IF($A780="","",[1]!thsiFinD("ths_adjustment_nv_fund",L$3,$A780))</x:f>
        <x:v>#NAME?</x:v>
      </x:c>
      <x:c r="M780" s="146" t="e">
        <x:f>IF($A780="","",[1]!thsiFinD("ths_adjustment_nv_fund",M$3,$A780))</x:f>
        <x:v>#NAME?</x:v>
      </x:c>
      <x:c r="N780" s="146" t="e">
        <x:f>IF($A780="","",[1]!thsiFinD("ths_adjustment_nv_fund",N$3,$A780))</x:f>
        <x:v>#NAME?</x:v>
      </x:c>
      <x:c r="O780" s="146" t="e">
        <x:f>IF($A780="","",[1]!thsiFinD("ths_adjustment_nv_fund",O$3,$A780))</x:f>
        <x:v>#NAME?</x:v>
      </x:c>
      <x:c r="P780" s="146" t="e">
        <x:f>IF($A780="","",[1]!thsiFinD("ths_adjustment_nv_fund",P$3,$A780))</x:f>
        <x:v>#NAME?</x:v>
      </x:c>
      <x:c r="Q780" s="146" t="e">
        <x:f>IF($A780="","",[1]!thsiFinD("ths_adjustment_nv_fund",Q$3,$A780))</x:f>
        <x:v>#NAME?</x:v>
      </x:c>
      <x:c r="R780" s="146" t="e">
        <x:f>IF($A780="","",[1]!thsiFinD("ths_adjustment_nv_fund",R$3,$A780))</x:f>
        <x:v>#NAME?</x:v>
      </x:c>
      <x:c r="S780" s="146" t="e">
        <x:f>IF($A780="","",[1]!thsiFinD("ths_adjustment_nv_fund",S$3,$A780))</x:f>
        <x:v>#NAME?</x:v>
      </x:c>
      <x:c r="T780" s="146" t="e">
        <x:f>IF($A780="","",[1]!thsiFinD("ths_adjustment_nv_fund",T$3,$A780))</x:f>
        <x:v>#NAME?</x:v>
      </x:c>
      <x:c r="U780" s="146" t="e">
        <x:f>IF($A780="","",[1]!thsiFinD("ths_adjustment_nv_fund",U$3,$A780))</x:f>
        <x:v>#NAME?</x:v>
      </x:c>
      <x:c r="V780" s="146" t="e">
        <x:f>IF($A780="","",[1]!thsiFinD("ths_adjustment_nv_fund",V$3,$A780))</x:f>
        <x:v>#NAME?</x:v>
      </x:c>
      <x:c r="W780" s="146" t="e">
        <x:f>IF($A780="","",[1]!thsiFinD("ths_adjustment_nv_fund",W$3,$A780))</x:f>
        <x:v>#NAME?</x:v>
      </x:c>
      <x:c r="X780" s="146" t="e">
        <x:f>IF($A780="","",[1]!thsiFinD("ths_adjustment_nv_fund",X$3,$A780))</x:f>
        <x:v>#NAME?</x:v>
      </x:c>
      <x:c r="Y780" s="146" t="e">
        <x:f>IF($A780="","",[1]!thsiFinD("ths_adjustment_nv_fund",Y$3,$A780))</x:f>
        <x:v>#NAME?</x:v>
      </x:c>
      <x:c r="Z780" s="146" t="e">
        <x:f>IF($A780="","",[1]!thsiFinD("ths_adjustment_nv_fund",Z$3,$A780))</x:f>
        <x:v>#NAME?</x:v>
      </x:c>
      <x:c r="AA780" s="146" t="e">
        <x:f>IF($A780="","",[1]!thsiFinD("ths_adjustment_nv_fund",AA$3,$A780))</x:f>
        <x:v>#NAME?</x:v>
      </x:c>
    </x:row>
    <x:row r="781">
      <x:c r="B781" s="146" t="e">
        <x:f>IF($A781="","",[1]!thsiFinD("ths_adjustment_nv_fund",B$3,$A781))</x:f>
        <x:v>#NAME?</x:v>
      </x:c>
      <x:c r="C781" s="146" t="e">
        <x:f>IF($A781="","",[1]!thsiFinD("ths_adjustment_nv_fund",C$3,$A781))</x:f>
        <x:v>#NAME?</x:v>
      </x:c>
      <x:c r="D781" s="146" t="e">
        <x:f>IF($A781="","",[1]!thsiFinD("ths_adjustment_nv_fund",D$3,$A781))</x:f>
        <x:v>#NAME?</x:v>
      </x:c>
      <x:c r="E781" s="146" t="e">
        <x:f>IF($A781="","",[1]!thsiFinD("ths_adjustment_nv_fund",E$3,$A781))</x:f>
        <x:v>#NAME?</x:v>
      </x:c>
      <x:c r="F781" s="146" t="e">
        <x:f>IF($A781="","",[1]!thsiFinD("ths_adjustment_nv_fund",F$3,$A781))</x:f>
        <x:v>#NAME?</x:v>
      </x:c>
      <x:c r="G781" s="146" t="e">
        <x:f>IF($A781="","",[1]!thsiFinD("ths_adjustment_nv_fund",G$3,$A781))</x:f>
        <x:v>#NAME?</x:v>
      </x:c>
      <x:c r="H781" s="146" t="e">
        <x:f>IF($A781="","",[1]!thsiFinD("ths_adjustment_nv_fund",H$3,$A781))</x:f>
        <x:v>#NAME?</x:v>
      </x:c>
      <x:c r="I781" s="146" t="e">
        <x:f>IF($A781="","",[1]!thsiFinD("ths_adjustment_nv_fund",I$3,$A781))</x:f>
        <x:v>#NAME?</x:v>
      </x:c>
      <x:c r="J781" s="146" t="e">
        <x:f>IF($A781="","",[1]!thsiFinD("ths_adjustment_nv_fund",J$3,$A781))</x:f>
        <x:v>#NAME?</x:v>
      </x:c>
      <x:c r="K781" s="146" t="e">
        <x:f>IF($A781="","",[1]!thsiFinD("ths_adjustment_nv_fund",K$3,$A781))</x:f>
        <x:v>#NAME?</x:v>
      </x:c>
      <x:c r="L781" s="146" t="e">
        <x:f>IF($A781="","",[1]!thsiFinD("ths_adjustment_nv_fund",L$3,$A781))</x:f>
        <x:v>#NAME?</x:v>
      </x:c>
      <x:c r="M781" s="146" t="e">
        <x:f>IF($A781="","",[1]!thsiFinD("ths_adjustment_nv_fund",M$3,$A781))</x:f>
        <x:v>#NAME?</x:v>
      </x:c>
      <x:c r="N781" s="146" t="e">
        <x:f>IF($A781="","",[1]!thsiFinD("ths_adjustment_nv_fund",N$3,$A781))</x:f>
        <x:v>#NAME?</x:v>
      </x:c>
      <x:c r="O781" s="146" t="e">
        <x:f>IF($A781="","",[1]!thsiFinD("ths_adjustment_nv_fund",O$3,$A781))</x:f>
        <x:v>#NAME?</x:v>
      </x:c>
      <x:c r="P781" s="146" t="e">
        <x:f>IF($A781="","",[1]!thsiFinD("ths_adjustment_nv_fund",P$3,$A781))</x:f>
        <x:v>#NAME?</x:v>
      </x:c>
      <x:c r="Q781" s="146" t="e">
        <x:f>IF($A781="","",[1]!thsiFinD("ths_adjustment_nv_fund",Q$3,$A781))</x:f>
        <x:v>#NAME?</x:v>
      </x:c>
      <x:c r="R781" s="146" t="e">
        <x:f>IF($A781="","",[1]!thsiFinD("ths_adjustment_nv_fund",R$3,$A781))</x:f>
        <x:v>#NAME?</x:v>
      </x:c>
      <x:c r="S781" s="146" t="e">
        <x:f>IF($A781="","",[1]!thsiFinD("ths_adjustment_nv_fund",S$3,$A781))</x:f>
        <x:v>#NAME?</x:v>
      </x:c>
      <x:c r="T781" s="146" t="e">
        <x:f>IF($A781="","",[1]!thsiFinD("ths_adjustment_nv_fund",T$3,$A781))</x:f>
        <x:v>#NAME?</x:v>
      </x:c>
      <x:c r="U781" s="146" t="e">
        <x:f>IF($A781="","",[1]!thsiFinD("ths_adjustment_nv_fund",U$3,$A781))</x:f>
        <x:v>#NAME?</x:v>
      </x:c>
      <x:c r="V781" s="146" t="e">
        <x:f>IF($A781="","",[1]!thsiFinD("ths_adjustment_nv_fund",V$3,$A781))</x:f>
        <x:v>#NAME?</x:v>
      </x:c>
      <x:c r="W781" s="146" t="e">
        <x:f>IF($A781="","",[1]!thsiFinD("ths_adjustment_nv_fund",W$3,$A781))</x:f>
        <x:v>#NAME?</x:v>
      </x:c>
      <x:c r="X781" s="146" t="e">
        <x:f>IF($A781="","",[1]!thsiFinD("ths_adjustment_nv_fund",X$3,$A781))</x:f>
        <x:v>#NAME?</x:v>
      </x:c>
      <x:c r="Y781" s="146" t="e">
        <x:f>IF($A781="","",[1]!thsiFinD("ths_adjustment_nv_fund",Y$3,$A781))</x:f>
        <x:v>#NAME?</x:v>
      </x:c>
      <x:c r="Z781" s="146" t="e">
        <x:f>IF($A781="","",[1]!thsiFinD("ths_adjustment_nv_fund",Z$3,$A781))</x:f>
        <x:v>#NAME?</x:v>
      </x:c>
      <x:c r="AA781" s="146" t="e">
        <x:f>IF($A781="","",[1]!thsiFinD("ths_adjustment_nv_fund",AA$3,$A781))</x:f>
        <x:v>#NAME?</x:v>
      </x:c>
    </x:row>
    <x:row r="782">
      <x:c r="B782" s="146" t="e">
        <x:f>IF($A782="","",[1]!thsiFinD("ths_adjustment_nv_fund",B$3,$A782))</x:f>
        <x:v>#NAME?</x:v>
      </x:c>
      <x:c r="C782" s="146" t="e">
        <x:f>IF($A782="","",[1]!thsiFinD("ths_adjustment_nv_fund",C$3,$A782))</x:f>
        <x:v>#NAME?</x:v>
      </x:c>
      <x:c r="D782" s="146" t="e">
        <x:f>IF($A782="","",[1]!thsiFinD("ths_adjustment_nv_fund",D$3,$A782))</x:f>
        <x:v>#NAME?</x:v>
      </x:c>
      <x:c r="E782" s="146" t="e">
        <x:f>IF($A782="","",[1]!thsiFinD("ths_adjustment_nv_fund",E$3,$A782))</x:f>
        <x:v>#NAME?</x:v>
      </x:c>
      <x:c r="F782" s="146" t="e">
        <x:f>IF($A782="","",[1]!thsiFinD("ths_adjustment_nv_fund",F$3,$A782))</x:f>
        <x:v>#NAME?</x:v>
      </x:c>
      <x:c r="G782" s="146" t="e">
        <x:f>IF($A782="","",[1]!thsiFinD("ths_adjustment_nv_fund",G$3,$A782))</x:f>
        <x:v>#NAME?</x:v>
      </x:c>
      <x:c r="H782" s="146" t="e">
        <x:f>IF($A782="","",[1]!thsiFinD("ths_adjustment_nv_fund",H$3,$A782))</x:f>
        <x:v>#NAME?</x:v>
      </x:c>
      <x:c r="I782" s="146" t="e">
        <x:f>IF($A782="","",[1]!thsiFinD("ths_adjustment_nv_fund",I$3,$A782))</x:f>
        <x:v>#NAME?</x:v>
      </x:c>
      <x:c r="J782" s="146" t="e">
        <x:f>IF($A782="","",[1]!thsiFinD("ths_adjustment_nv_fund",J$3,$A782))</x:f>
        <x:v>#NAME?</x:v>
      </x:c>
      <x:c r="K782" s="146" t="e">
        <x:f>IF($A782="","",[1]!thsiFinD("ths_adjustment_nv_fund",K$3,$A782))</x:f>
        <x:v>#NAME?</x:v>
      </x:c>
      <x:c r="L782" s="146" t="e">
        <x:f>IF($A782="","",[1]!thsiFinD("ths_adjustment_nv_fund",L$3,$A782))</x:f>
        <x:v>#NAME?</x:v>
      </x:c>
      <x:c r="M782" s="146" t="e">
        <x:f>IF($A782="","",[1]!thsiFinD("ths_adjustment_nv_fund",M$3,$A782))</x:f>
        <x:v>#NAME?</x:v>
      </x:c>
      <x:c r="N782" s="146" t="e">
        <x:f>IF($A782="","",[1]!thsiFinD("ths_adjustment_nv_fund",N$3,$A782))</x:f>
        <x:v>#NAME?</x:v>
      </x:c>
      <x:c r="O782" s="146" t="e">
        <x:f>IF($A782="","",[1]!thsiFinD("ths_adjustment_nv_fund",O$3,$A782))</x:f>
        <x:v>#NAME?</x:v>
      </x:c>
      <x:c r="P782" s="146" t="e">
        <x:f>IF($A782="","",[1]!thsiFinD("ths_adjustment_nv_fund",P$3,$A782))</x:f>
        <x:v>#NAME?</x:v>
      </x:c>
      <x:c r="Q782" s="146" t="e">
        <x:f>IF($A782="","",[1]!thsiFinD("ths_adjustment_nv_fund",Q$3,$A782))</x:f>
        <x:v>#NAME?</x:v>
      </x:c>
      <x:c r="R782" s="146" t="e">
        <x:f>IF($A782="","",[1]!thsiFinD("ths_adjustment_nv_fund",R$3,$A782))</x:f>
        <x:v>#NAME?</x:v>
      </x:c>
      <x:c r="S782" s="146" t="e">
        <x:f>IF($A782="","",[1]!thsiFinD("ths_adjustment_nv_fund",S$3,$A782))</x:f>
        <x:v>#NAME?</x:v>
      </x:c>
      <x:c r="T782" s="146" t="e">
        <x:f>IF($A782="","",[1]!thsiFinD("ths_adjustment_nv_fund",T$3,$A782))</x:f>
        <x:v>#NAME?</x:v>
      </x:c>
      <x:c r="U782" s="146" t="e">
        <x:f>IF($A782="","",[1]!thsiFinD("ths_adjustment_nv_fund",U$3,$A782))</x:f>
        <x:v>#NAME?</x:v>
      </x:c>
      <x:c r="V782" s="146" t="e">
        <x:f>IF($A782="","",[1]!thsiFinD("ths_adjustment_nv_fund",V$3,$A782))</x:f>
        <x:v>#NAME?</x:v>
      </x:c>
      <x:c r="W782" s="146" t="e">
        <x:f>IF($A782="","",[1]!thsiFinD("ths_adjustment_nv_fund",W$3,$A782))</x:f>
        <x:v>#NAME?</x:v>
      </x:c>
      <x:c r="X782" s="146" t="e">
        <x:f>IF($A782="","",[1]!thsiFinD("ths_adjustment_nv_fund",X$3,$A782))</x:f>
        <x:v>#NAME?</x:v>
      </x:c>
      <x:c r="Y782" s="146" t="e">
        <x:f>IF($A782="","",[1]!thsiFinD("ths_adjustment_nv_fund",Y$3,$A782))</x:f>
        <x:v>#NAME?</x:v>
      </x:c>
      <x:c r="Z782" s="146" t="e">
        <x:f>IF($A782="","",[1]!thsiFinD("ths_adjustment_nv_fund",Z$3,$A782))</x:f>
        <x:v>#NAME?</x:v>
      </x:c>
      <x:c r="AA782" s="146" t="e">
        <x:f>IF($A782="","",[1]!thsiFinD("ths_adjustment_nv_fund",AA$3,$A782))</x:f>
        <x:v>#NAME?</x:v>
      </x:c>
    </x:row>
    <x:row r="783">
      <x:c r="B783" s="146" t="e">
        <x:f>IF($A783="","",[1]!thsiFinD("ths_adjustment_nv_fund",B$3,$A783))</x:f>
        <x:v>#NAME?</x:v>
      </x:c>
      <x:c r="C783" s="146" t="e">
        <x:f>IF($A783="","",[1]!thsiFinD("ths_adjustment_nv_fund",C$3,$A783))</x:f>
        <x:v>#NAME?</x:v>
      </x:c>
      <x:c r="D783" s="146" t="e">
        <x:f>IF($A783="","",[1]!thsiFinD("ths_adjustment_nv_fund",D$3,$A783))</x:f>
        <x:v>#NAME?</x:v>
      </x:c>
      <x:c r="E783" s="146" t="e">
        <x:f>IF($A783="","",[1]!thsiFinD("ths_adjustment_nv_fund",E$3,$A783))</x:f>
        <x:v>#NAME?</x:v>
      </x:c>
      <x:c r="F783" s="146" t="e">
        <x:f>IF($A783="","",[1]!thsiFinD("ths_adjustment_nv_fund",F$3,$A783))</x:f>
        <x:v>#NAME?</x:v>
      </x:c>
      <x:c r="G783" s="146" t="e">
        <x:f>IF($A783="","",[1]!thsiFinD("ths_adjustment_nv_fund",G$3,$A783))</x:f>
        <x:v>#NAME?</x:v>
      </x:c>
      <x:c r="H783" s="146" t="e">
        <x:f>IF($A783="","",[1]!thsiFinD("ths_adjustment_nv_fund",H$3,$A783))</x:f>
        <x:v>#NAME?</x:v>
      </x:c>
      <x:c r="I783" s="146" t="e">
        <x:f>IF($A783="","",[1]!thsiFinD("ths_adjustment_nv_fund",I$3,$A783))</x:f>
        <x:v>#NAME?</x:v>
      </x:c>
      <x:c r="J783" s="146" t="e">
        <x:f>IF($A783="","",[1]!thsiFinD("ths_adjustment_nv_fund",J$3,$A783))</x:f>
        <x:v>#NAME?</x:v>
      </x:c>
      <x:c r="K783" s="146" t="e">
        <x:f>IF($A783="","",[1]!thsiFinD("ths_adjustment_nv_fund",K$3,$A783))</x:f>
        <x:v>#NAME?</x:v>
      </x:c>
      <x:c r="L783" s="146" t="e">
        <x:f>IF($A783="","",[1]!thsiFinD("ths_adjustment_nv_fund",L$3,$A783))</x:f>
        <x:v>#NAME?</x:v>
      </x:c>
      <x:c r="M783" s="146" t="e">
        <x:f>IF($A783="","",[1]!thsiFinD("ths_adjustment_nv_fund",M$3,$A783))</x:f>
        <x:v>#NAME?</x:v>
      </x:c>
      <x:c r="N783" s="146" t="e">
        <x:f>IF($A783="","",[1]!thsiFinD("ths_adjustment_nv_fund",N$3,$A783))</x:f>
        <x:v>#NAME?</x:v>
      </x:c>
      <x:c r="O783" s="146" t="e">
        <x:f>IF($A783="","",[1]!thsiFinD("ths_adjustment_nv_fund",O$3,$A783))</x:f>
        <x:v>#NAME?</x:v>
      </x:c>
      <x:c r="P783" s="146" t="e">
        <x:f>IF($A783="","",[1]!thsiFinD("ths_adjustment_nv_fund",P$3,$A783))</x:f>
        <x:v>#NAME?</x:v>
      </x:c>
      <x:c r="Q783" s="146" t="e">
        <x:f>IF($A783="","",[1]!thsiFinD("ths_adjustment_nv_fund",Q$3,$A783))</x:f>
        <x:v>#NAME?</x:v>
      </x:c>
      <x:c r="R783" s="146" t="e">
        <x:f>IF($A783="","",[1]!thsiFinD("ths_adjustment_nv_fund",R$3,$A783))</x:f>
        <x:v>#NAME?</x:v>
      </x:c>
      <x:c r="S783" s="146" t="e">
        <x:f>IF($A783="","",[1]!thsiFinD("ths_adjustment_nv_fund",S$3,$A783))</x:f>
        <x:v>#NAME?</x:v>
      </x:c>
      <x:c r="T783" s="146" t="e">
        <x:f>IF($A783="","",[1]!thsiFinD("ths_adjustment_nv_fund",T$3,$A783))</x:f>
        <x:v>#NAME?</x:v>
      </x:c>
      <x:c r="U783" s="146" t="e">
        <x:f>IF($A783="","",[1]!thsiFinD("ths_adjustment_nv_fund",U$3,$A783))</x:f>
        <x:v>#NAME?</x:v>
      </x:c>
      <x:c r="V783" s="146" t="e">
        <x:f>IF($A783="","",[1]!thsiFinD("ths_adjustment_nv_fund",V$3,$A783))</x:f>
        <x:v>#NAME?</x:v>
      </x:c>
      <x:c r="W783" s="146" t="e">
        <x:f>IF($A783="","",[1]!thsiFinD("ths_adjustment_nv_fund",W$3,$A783))</x:f>
        <x:v>#NAME?</x:v>
      </x:c>
      <x:c r="X783" s="146" t="e">
        <x:f>IF($A783="","",[1]!thsiFinD("ths_adjustment_nv_fund",X$3,$A783))</x:f>
        <x:v>#NAME?</x:v>
      </x:c>
      <x:c r="Y783" s="146" t="e">
        <x:f>IF($A783="","",[1]!thsiFinD("ths_adjustment_nv_fund",Y$3,$A783))</x:f>
        <x:v>#NAME?</x:v>
      </x:c>
      <x:c r="Z783" s="146" t="e">
        <x:f>IF($A783="","",[1]!thsiFinD("ths_adjustment_nv_fund",Z$3,$A783))</x:f>
        <x:v>#NAME?</x:v>
      </x:c>
      <x:c r="AA783" s="146" t="e">
        <x:f>IF($A783="","",[1]!thsiFinD("ths_adjustment_nv_fund",AA$3,$A783))</x:f>
        <x:v>#NAME?</x:v>
      </x:c>
    </x:row>
    <x:row r="784">
      <x:c r="B784" s="146" t="e">
        <x:f>IF($A784="","",[1]!thsiFinD("ths_adjustment_nv_fund",B$3,$A784))</x:f>
        <x:v>#NAME?</x:v>
      </x:c>
      <x:c r="C784" s="146" t="e">
        <x:f>IF($A784="","",[1]!thsiFinD("ths_adjustment_nv_fund",C$3,$A784))</x:f>
        <x:v>#NAME?</x:v>
      </x:c>
      <x:c r="D784" s="146" t="e">
        <x:f>IF($A784="","",[1]!thsiFinD("ths_adjustment_nv_fund",D$3,$A784))</x:f>
        <x:v>#NAME?</x:v>
      </x:c>
      <x:c r="E784" s="146" t="e">
        <x:f>IF($A784="","",[1]!thsiFinD("ths_adjustment_nv_fund",E$3,$A784))</x:f>
        <x:v>#NAME?</x:v>
      </x:c>
      <x:c r="F784" s="146" t="e">
        <x:f>IF($A784="","",[1]!thsiFinD("ths_adjustment_nv_fund",F$3,$A784))</x:f>
        <x:v>#NAME?</x:v>
      </x:c>
      <x:c r="G784" s="146" t="e">
        <x:f>IF($A784="","",[1]!thsiFinD("ths_adjustment_nv_fund",G$3,$A784))</x:f>
        <x:v>#NAME?</x:v>
      </x:c>
      <x:c r="H784" s="146" t="e">
        <x:f>IF($A784="","",[1]!thsiFinD("ths_adjustment_nv_fund",H$3,$A784))</x:f>
        <x:v>#NAME?</x:v>
      </x:c>
      <x:c r="I784" s="146" t="e">
        <x:f>IF($A784="","",[1]!thsiFinD("ths_adjustment_nv_fund",I$3,$A784))</x:f>
        <x:v>#NAME?</x:v>
      </x:c>
      <x:c r="J784" s="146" t="e">
        <x:f>IF($A784="","",[1]!thsiFinD("ths_adjustment_nv_fund",J$3,$A784))</x:f>
        <x:v>#NAME?</x:v>
      </x:c>
      <x:c r="K784" s="146" t="e">
        <x:f>IF($A784="","",[1]!thsiFinD("ths_adjustment_nv_fund",K$3,$A784))</x:f>
        <x:v>#NAME?</x:v>
      </x:c>
      <x:c r="L784" s="146" t="e">
        <x:f>IF($A784="","",[1]!thsiFinD("ths_adjustment_nv_fund",L$3,$A784))</x:f>
        <x:v>#NAME?</x:v>
      </x:c>
      <x:c r="M784" s="146" t="e">
        <x:f>IF($A784="","",[1]!thsiFinD("ths_adjustment_nv_fund",M$3,$A784))</x:f>
        <x:v>#NAME?</x:v>
      </x:c>
      <x:c r="N784" s="146" t="e">
        <x:f>IF($A784="","",[1]!thsiFinD("ths_adjustment_nv_fund",N$3,$A784))</x:f>
        <x:v>#NAME?</x:v>
      </x:c>
      <x:c r="O784" s="146" t="e">
        <x:f>IF($A784="","",[1]!thsiFinD("ths_adjustment_nv_fund",O$3,$A784))</x:f>
        <x:v>#NAME?</x:v>
      </x:c>
      <x:c r="P784" s="146" t="e">
        <x:f>IF($A784="","",[1]!thsiFinD("ths_adjustment_nv_fund",P$3,$A784))</x:f>
        <x:v>#NAME?</x:v>
      </x:c>
      <x:c r="Q784" s="146" t="e">
        <x:f>IF($A784="","",[1]!thsiFinD("ths_adjustment_nv_fund",Q$3,$A784))</x:f>
        <x:v>#NAME?</x:v>
      </x:c>
      <x:c r="R784" s="146" t="e">
        <x:f>IF($A784="","",[1]!thsiFinD("ths_adjustment_nv_fund",R$3,$A784))</x:f>
        <x:v>#NAME?</x:v>
      </x:c>
      <x:c r="S784" s="146" t="e">
        <x:f>IF($A784="","",[1]!thsiFinD("ths_adjustment_nv_fund",S$3,$A784))</x:f>
        <x:v>#NAME?</x:v>
      </x:c>
      <x:c r="T784" s="146" t="e">
        <x:f>IF($A784="","",[1]!thsiFinD("ths_adjustment_nv_fund",T$3,$A784))</x:f>
        <x:v>#NAME?</x:v>
      </x:c>
      <x:c r="U784" s="146" t="e">
        <x:f>IF($A784="","",[1]!thsiFinD("ths_adjustment_nv_fund",U$3,$A784))</x:f>
        <x:v>#NAME?</x:v>
      </x:c>
      <x:c r="V784" s="146" t="e">
        <x:f>IF($A784="","",[1]!thsiFinD("ths_adjustment_nv_fund",V$3,$A784))</x:f>
        <x:v>#NAME?</x:v>
      </x:c>
      <x:c r="W784" s="146" t="e">
        <x:f>IF($A784="","",[1]!thsiFinD("ths_adjustment_nv_fund",W$3,$A784))</x:f>
        <x:v>#NAME?</x:v>
      </x:c>
      <x:c r="X784" s="146" t="e">
        <x:f>IF($A784="","",[1]!thsiFinD("ths_adjustment_nv_fund",X$3,$A784))</x:f>
        <x:v>#NAME?</x:v>
      </x:c>
      <x:c r="Y784" s="146" t="e">
        <x:f>IF($A784="","",[1]!thsiFinD("ths_adjustment_nv_fund",Y$3,$A784))</x:f>
        <x:v>#NAME?</x:v>
      </x:c>
      <x:c r="Z784" s="146" t="e">
        <x:f>IF($A784="","",[1]!thsiFinD("ths_adjustment_nv_fund",Z$3,$A784))</x:f>
        <x:v>#NAME?</x:v>
      </x:c>
      <x:c r="AA784" s="146" t="e">
        <x:f>IF($A784="","",[1]!thsiFinD("ths_adjustment_nv_fund",AA$3,$A784))</x:f>
        <x:v>#NAME?</x:v>
      </x:c>
    </x:row>
    <x:row r="785">
      <x:c r="B785" s="146" t="e">
        <x:f>IF($A785="","",[1]!thsiFinD("ths_adjustment_nv_fund",B$3,$A785))</x:f>
        <x:v>#NAME?</x:v>
      </x:c>
      <x:c r="C785" s="146" t="e">
        <x:f>IF($A785="","",[1]!thsiFinD("ths_adjustment_nv_fund",C$3,$A785))</x:f>
        <x:v>#NAME?</x:v>
      </x:c>
      <x:c r="D785" s="146" t="e">
        <x:f>IF($A785="","",[1]!thsiFinD("ths_adjustment_nv_fund",D$3,$A785))</x:f>
        <x:v>#NAME?</x:v>
      </x:c>
      <x:c r="E785" s="146" t="e">
        <x:f>IF($A785="","",[1]!thsiFinD("ths_adjustment_nv_fund",E$3,$A785))</x:f>
        <x:v>#NAME?</x:v>
      </x:c>
      <x:c r="F785" s="146" t="e">
        <x:f>IF($A785="","",[1]!thsiFinD("ths_adjustment_nv_fund",F$3,$A785))</x:f>
        <x:v>#NAME?</x:v>
      </x:c>
      <x:c r="G785" s="146" t="e">
        <x:f>IF($A785="","",[1]!thsiFinD("ths_adjustment_nv_fund",G$3,$A785))</x:f>
        <x:v>#NAME?</x:v>
      </x:c>
      <x:c r="H785" s="146" t="e">
        <x:f>IF($A785="","",[1]!thsiFinD("ths_adjustment_nv_fund",H$3,$A785))</x:f>
        <x:v>#NAME?</x:v>
      </x:c>
      <x:c r="I785" s="146" t="e">
        <x:f>IF($A785="","",[1]!thsiFinD("ths_adjustment_nv_fund",I$3,$A785))</x:f>
        <x:v>#NAME?</x:v>
      </x:c>
      <x:c r="J785" s="146" t="e">
        <x:f>IF($A785="","",[1]!thsiFinD("ths_adjustment_nv_fund",J$3,$A785))</x:f>
        <x:v>#NAME?</x:v>
      </x:c>
      <x:c r="K785" s="146" t="e">
        <x:f>IF($A785="","",[1]!thsiFinD("ths_adjustment_nv_fund",K$3,$A785))</x:f>
        <x:v>#NAME?</x:v>
      </x:c>
      <x:c r="L785" s="146" t="e">
        <x:f>IF($A785="","",[1]!thsiFinD("ths_adjustment_nv_fund",L$3,$A785))</x:f>
        <x:v>#NAME?</x:v>
      </x:c>
      <x:c r="M785" s="146" t="e">
        <x:f>IF($A785="","",[1]!thsiFinD("ths_adjustment_nv_fund",M$3,$A785))</x:f>
        <x:v>#NAME?</x:v>
      </x:c>
      <x:c r="N785" s="146" t="e">
        <x:f>IF($A785="","",[1]!thsiFinD("ths_adjustment_nv_fund",N$3,$A785))</x:f>
        <x:v>#NAME?</x:v>
      </x:c>
      <x:c r="O785" s="146" t="e">
        <x:f>IF($A785="","",[1]!thsiFinD("ths_adjustment_nv_fund",O$3,$A785))</x:f>
        <x:v>#NAME?</x:v>
      </x:c>
      <x:c r="P785" s="146" t="e">
        <x:f>IF($A785="","",[1]!thsiFinD("ths_adjustment_nv_fund",P$3,$A785))</x:f>
        <x:v>#NAME?</x:v>
      </x:c>
      <x:c r="Q785" s="146" t="e">
        <x:f>IF($A785="","",[1]!thsiFinD("ths_adjustment_nv_fund",Q$3,$A785))</x:f>
        <x:v>#NAME?</x:v>
      </x:c>
      <x:c r="R785" s="146" t="e">
        <x:f>IF($A785="","",[1]!thsiFinD("ths_adjustment_nv_fund",R$3,$A785))</x:f>
        <x:v>#NAME?</x:v>
      </x:c>
      <x:c r="S785" s="146" t="e">
        <x:f>IF($A785="","",[1]!thsiFinD("ths_adjustment_nv_fund",S$3,$A785))</x:f>
        <x:v>#NAME?</x:v>
      </x:c>
      <x:c r="T785" s="146" t="e">
        <x:f>IF($A785="","",[1]!thsiFinD("ths_adjustment_nv_fund",T$3,$A785))</x:f>
        <x:v>#NAME?</x:v>
      </x:c>
      <x:c r="U785" s="146" t="e">
        <x:f>IF($A785="","",[1]!thsiFinD("ths_adjustment_nv_fund",U$3,$A785))</x:f>
        <x:v>#NAME?</x:v>
      </x:c>
      <x:c r="V785" s="146" t="e">
        <x:f>IF($A785="","",[1]!thsiFinD("ths_adjustment_nv_fund",V$3,$A785))</x:f>
        <x:v>#NAME?</x:v>
      </x:c>
      <x:c r="W785" s="146" t="e">
        <x:f>IF($A785="","",[1]!thsiFinD("ths_adjustment_nv_fund",W$3,$A785))</x:f>
        <x:v>#NAME?</x:v>
      </x:c>
      <x:c r="X785" s="146" t="e">
        <x:f>IF($A785="","",[1]!thsiFinD("ths_adjustment_nv_fund",X$3,$A785))</x:f>
        <x:v>#NAME?</x:v>
      </x:c>
      <x:c r="Y785" s="146" t="e">
        <x:f>IF($A785="","",[1]!thsiFinD("ths_adjustment_nv_fund",Y$3,$A785))</x:f>
        <x:v>#NAME?</x:v>
      </x:c>
      <x:c r="Z785" s="146" t="e">
        <x:f>IF($A785="","",[1]!thsiFinD("ths_adjustment_nv_fund",Z$3,$A785))</x:f>
        <x:v>#NAME?</x:v>
      </x:c>
      <x:c r="AA785" s="146" t="e">
        <x:f>IF($A785="","",[1]!thsiFinD("ths_adjustment_nv_fund",AA$3,$A785))</x:f>
        <x:v>#NAME?</x:v>
      </x:c>
    </x:row>
    <x:row r="786">
      <x:c r="B786" s="146" t="e">
        <x:f>IF($A786="","",[1]!thsiFinD("ths_adjustment_nv_fund",B$3,$A786))</x:f>
        <x:v>#NAME?</x:v>
      </x:c>
      <x:c r="C786" s="146" t="e">
        <x:f>IF($A786="","",[1]!thsiFinD("ths_adjustment_nv_fund",C$3,$A786))</x:f>
        <x:v>#NAME?</x:v>
      </x:c>
      <x:c r="D786" s="146" t="e">
        <x:f>IF($A786="","",[1]!thsiFinD("ths_adjustment_nv_fund",D$3,$A786))</x:f>
        <x:v>#NAME?</x:v>
      </x:c>
      <x:c r="E786" s="146" t="e">
        <x:f>IF($A786="","",[1]!thsiFinD("ths_adjustment_nv_fund",E$3,$A786))</x:f>
        <x:v>#NAME?</x:v>
      </x:c>
      <x:c r="F786" s="146" t="e">
        <x:f>IF($A786="","",[1]!thsiFinD("ths_adjustment_nv_fund",F$3,$A786))</x:f>
        <x:v>#NAME?</x:v>
      </x:c>
      <x:c r="G786" s="146" t="e">
        <x:f>IF($A786="","",[1]!thsiFinD("ths_adjustment_nv_fund",G$3,$A786))</x:f>
        <x:v>#NAME?</x:v>
      </x:c>
      <x:c r="H786" s="146" t="e">
        <x:f>IF($A786="","",[1]!thsiFinD("ths_adjustment_nv_fund",H$3,$A786))</x:f>
        <x:v>#NAME?</x:v>
      </x:c>
      <x:c r="I786" s="146" t="e">
        <x:f>IF($A786="","",[1]!thsiFinD("ths_adjustment_nv_fund",I$3,$A786))</x:f>
        <x:v>#NAME?</x:v>
      </x:c>
      <x:c r="J786" s="146" t="e">
        <x:f>IF($A786="","",[1]!thsiFinD("ths_adjustment_nv_fund",J$3,$A786))</x:f>
        <x:v>#NAME?</x:v>
      </x:c>
      <x:c r="K786" s="146" t="e">
        <x:f>IF($A786="","",[1]!thsiFinD("ths_adjustment_nv_fund",K$3,$A786))</x:f>
        <x:v>#NAME?</x:v>
      </x:c>
      <x:c r="L786" s="146" t="e">
        <x:f>IF($A786="","",[1]!thsiFinD("ths_adjustment_nv_fund",L$3,$A786))</x:f>
        <x:v>#NAME?</x:v>
      </x:c>
      <x:c r="M786" s="146" t="e">
        <x:f>IF($A786="","",[1]!thsiFinD("ths_adjustment_nv_fund",M$3,$A786))</x:f>
        <x:v>#NAME?</x:v>
      </x:c>
      <x:c r="N786" s="146" t="e">
        <x:f>IF($A786="","",[1]!thsiFinD("ths_adjustment_nv_fund",N$3,$A786))</x:f>
        <x:v>#NAME?</x:v>
      </x:c>
      <x:c r="O786" s="146" t="e">
        <x:f>IF($A786="","",[1]!thsiFinD("ths_adjustment_nv_fund",O$3,$A786))</x:f>
        <x:v>#NAME?</x:v>
      </x:c>
      <x:c r="P786" s="146" t="e">
        <x:f>IF($A786="","",[1]!thsiFinD("ths_adjustment_nv_fund",P$3,$A786))</x:f>
        <x:v>#NAME?</x:v>
      </x:c>
      <x:c r="Q786" s="146" t="e">
        <x:f>IF($A786="","",[1]!thsiFinD("ths_adjustment_nv_fund",Q$3,$A786))</x:f>
        <x:v>#NAME?</x:v>
      </x:c>
      <x:c r="R786" s="146" t="e">
        <x:f>IF($A786="","",[1]!thsiFinD("ths_adjustment_nv_fund",R$3,$A786))</x:f>
        <x:v>#NAME?</x:v>
      </x:c>
      <x:c r="S786" s="146" t="e">
        <x:f>IF($A786="","",[1]!thsiFinD("ths_adjustment_nv_fund",S$3,$A786))</x:f>
        <x:v>#NAME?</x:v>
      </x:c>
      <x:c r="T786" s="146" t="e">
        <x:f>IF($A786="","",[1]!thsiFinD("ths_adjustment_nv_fund",T$3,$A786))</x:f>
        <x:v>#NAME?</x:v>
      </x:c>
      <x:c r="U786" s="146" t="e">
        <x:f>IF($A786="","",[1]!thsiFinD("ths_adjustment_nv_fund",U$3,$A786))</x:f>
        <x:v>#NAME?</x:v>
      </x:c>
      <x:c r="V786" s="146" t="e">
        <x:f>IF($A786="","",[1]!thsiFinD("ths_adjustment_nv_fund",V$3,$A786))</x:f>
        <x:v>#NAME?</x:v>
      </x:c>
      <x:c r="W786" s="146" t="e">
        <x:f>IF($A786="","",[1]!thsiFinD("ths_adjustment_nv_fund",W$3,$A786))</x:f>
        <x:v>#NAME?</x:v>
      </x:c>
      <x:c r="X786" s="146" t="e">
        <x:f>IF($A786="","",[1]!thsiFinD("ths_adjustment_nv_fund",X$3,$A786))</x:f>
        <x:v>#NAME?</x:v>
      </x:c>
      <x:c r="Y786" s="146" t="e">
        <x:f>IF($A786="","",[1]!thsiFinD("ths_adjustment_nv_fund",Y$3,$A786))</x:f>
        <x:v>#NAME?</x:v>
      </x:c>
      <x:c r="Z786" s="146" t="e">
        <x:f>IF($A786="","",[1]!thsiFinD("ths_adjustment_nv_fund",Z$3,$A786))</x:f>
        <x:v>#NAME?</x:v>
      </x:c>
      <x:c r="AA786" s="146" t="e">
        <x:f>IF($A786="","",[1]!thsiFinD("ths_adjustment_nv_fund",AA$3,$A786))</x:f>
        <x:v>#NAME?</x:v>
      </x:c>
    </x:row>
    <x:row r="787">
      <x:c r="B787" s="146" t="e">
        <x:f>IF($A787="","",[1]!thsiFinD("ths_adjustment_nv_fund",B$3,$A787))</x:f>
        <x:v>#NAME?</x:v>
      </x:c>
      <x:c r="C787" s="146" t="e">
        <x:f>IF($A787="","",[1]!thsiFinD("ths_adjustment_nv_fund",C$3,$A787))</x:f>
        <x:v>#NAME?</x:v>
      </x:c>
      <x:c r="D787" s="146" t="e">
        <x:f>IF($A787="","",[1]!thsiFinD("ths_adjustment_nv_fund",D$3,$A787))</x:f>
        <x:v>#NAME?</x:v>
      </x:c>
      <x:c r="E787" s="146" t="e">
        <x:f>IF($A787="","",[1]!thsiFinD("ths_adjustment_nv_fund",E$3,$A787))</x:f>
        <x:v>#NAME?</x:v>
      </x:c>
      <x:c r="F787" s="146" t="e">
        <x:f>IF($A787="","",[1]!thsiFinD("ths_adjustment_nv_fund",F$3,$A787))</x:f>
        <x:v>#NAME?</x:v>
      </x:c>
      <x:c r="G787" s="146" t="e">
        <x:f>IF($A787="","",[1]!thsiFinD("ths_adjustment_nv_fund",G$3,$A787))</x:f>
        <x:v>#NAME?</x:v>
      </x:c>
      <x:c r="H787" s="146" t="e">
        <x:f>IF($A787="","",[1]!thsiFinD("ths_adjustment_nv_fund",H$3,$A787))</x:f>
        <x:v>#NAME?</x:v>
      </x:c>
      <x:c r="I787" s="146" t="e">
        <x:f>IF($A787="","",[1]!thsiFinD("ths_adjustment_nv_fund",I$3,$A787))</x:f>
        <x:v>#NAME?</x:v>
      </x:c>
      <x:c r="J787" s="146" t="e">
        <x:f>IF($A787="","",[1]!thsiFinD("ths_adjustment_nv_fund",J$3,$A787))</x:f>
        <x:v>#NAME?</x:v>
      </x:c>
      <x:c r="K787" s="146" t="e">
        <x:f>IF($A787="","",[1]!thsiFinD("ths_adjustment_nv_fund",K$3,$A787))</x:f>
        <x:v>#NAME?</x:v>
      </x:c>
      <x:c r="L787" s="146" t="e">
        <x:f>IF($A787="","",[1]!thsiFinD("ths_adjustment_nv_fund",L$3,$A787))</x:f>
        <x:v>#NAME?</x:v>
      </x:c>
      <x:c r="M787" s="146" t="e">
        <x:f>IF($A787="","",[1]!thsiFinD("ths_adjustment_nv_fund",M$3,$A787))</x:f>
        <x:v>#NAME?</x:v>
      </x:c>
      <x:c r="N787" s="146" t="e">
        <x:f>IF($A787="","",[1]!thsiFinD("ths_adjustment_nv_fund",N$3,$A787))</x:f>
        <x:v>#NAME?</x:v>
      </x:c>
      <x:c r="O787" s="146" t="e">
        <x:f>IF($A787="","",[1]!thsiFinD("ths_adjustment_nv_fund",O$3,$A787))</x:f>
        <x:v>#NAME?</x:v>
      </x:c>
      <x:c r="P787" s="146" t="e">
        <x:f>IF($A787="","",[1]!thsiFinD("ths_adjustment_nv_fund",P$3,$A787))</x:f>
        <x:v>#NAME?</x:v>
      </x:c>
      <x:c r="Q787" s="146" t="e">
        <x:f>IF($A787="","",[1]!thsiFinD("ths_adjustment_nv_fund",Q$3,$A787))</x:f>
        <x:v>#NAME?</x:v>
      </x:c>
      <x:c r="R787" s="146" t="e">
        <x:f>IF($A787="","",[1]!thsiFinD("ths_adjustment_nv_fund",R$3,$A787))</x:f>
        <x:v>#NAME?</x:v>
      </x:c>
      <x:c r="S787" s="146" t="e">
        <x:f>IF($A787="","",[1]!thsiFinD("ths_adjustment_nv_fund",S$3,$A787))</x:f>
        <x:v>#NAME?</x:v>
      </x:c>
      <x:c r="T787" s="146" t="e">
        <x:f>IF($A787="","",[1]!thsiFinD("ths_adjustment_nv_fund",T$3,$A787))</x:f>
        <x:v>#NAME?</x:v>
      </x:c>
      <x:c r="U787" s="146" t="e">
        <x:f>IF($A787="","",[1]!thsiFinD("ths_adjustment_nv_fund",U$3,$A787))</x:f>
        <x:v>#NAME?</x:v>
      </x:c>
      <x:c r="V787" s="146" t="e">
        <x:f>IF($A787="","",[1]!thsiFinD("ths_adjustment_nv_fund",V$3,$A787))</x:f>
        <x:v>#NAME?</x:v>
      </x:c>
      <x:c r="W787" s="146" t="e">
        <x:f>IF($A787="","",[1]!thsiFinD("ths_adjustment_nv_fund",W$3,$A787))</x:f>
        <x:v>#NAME?</x:v>
      </x:c>
      <x:c r="X787" s="146" t="e">
        <x:f>IF($A787="","",[1]!thsiFinD("ths_adjustment_nv_fund",X$3,$A787))</x:f>
        <x:v>#NAME?</x:v>
      </x:c>
      <x:c r="Y787" s="146" t="e">
        <x:f>IF($A787="","",[1]!thsiFinD("ths_adjustment_nv_fund",Y$3,$A787))</x:f>
        <x:v>#NAME?</x:v>
      </x:c>
      <x:c r="Z787" s="146" t="e">
        <x:f>IF($A787="","",[1]!thsiFinD("ths_adjustment_nv_fund",Z$3,$A787))</x:f>
        <x:v>#NAME?</x:v>
      </x:c>
      <x:c r="AA787" s="146" t="e">
        <x:f>IF($A787="","",[1]!thsiFinD("ths_adjustment_nv_fund",AA$3,$A787))</x:f>
        <x:v>#NAME?</x:v>
      </x:c>
    </x:row>
    <x:row r="788">
      <x:c r="B788" s="146" t="e">
        <x:f>IF($A788="","",[1]!thsiFinD("ths_adjustment_nv_fund",B$3,$A788))</x:f>
        <x:v>#NAME?</x:v>
      </x:c>
      <x:c r="C788" s="146" t="e">
        <x:f>IF($A788="","",[1]!thsiFinD("ths_adjustment_nv_fund",C$3,$A788))</x:f>
        <x:v>#NAME?</x:v>
      </x:c>
      <x:c r="D788" s="146" t="e">
        <x:f>IF($A788="","",[1]!thsiFinD("ths_adjustment_nv_fund",D$3,$A788))</x:f>
        <x:v>#NAME?</x:v>
      </x:c>
      <x:c r="E788" s="146" t="e">
        <x:f>IF($A788="","",[1]!thsiFinD("ths_adjustment_nv_fund",E$3,$A788))</x:f>
        <x:v>#NAME?</x:v>
      </x:c>
      <x:c r="F788" s="146" t="e">
        <x:f>IF($A788="","",[1]!thsiFinD("ths_adjustment_nv_fund",F$3,$A788))</x:f>
        <x:v>#NAME?</x:v>
      </x:c>
      <x:c r="G788" s="146" t="e">
        <x:f>IF($A788="","",[1]!thsiFinD("ths_adjustment_nv_fund",G$3,$A788))</x:f>
        <x:v>#NAME?</x:v>
      </x:c>
      <x:c r="H788" s="146" t="e">
        <x:f>IF($A788="","",[1]!thsiFinD("ths_adjustment_nv_fund",H$3,$A788))</x:f>
        <x:v>#NAME?</x:v>
      </x:c>
      <x:c r="I788" s="146" t="e">
        <x:f>IF($A788="","",[1]!thsiFinD("ths_adjustment_nv_fund",I$3,$A788))</x:f>
        <x:v>#NAME?</x:v>
      </x:c>
      <x:c r="J788" s="146" t="e">
        <x:f>IF($A788="","",[1]!thsiFinD("ths_adjustment_nv_fund",J$3,$A788))</x:f>
        <x:v>#NAME?</x:v>
      </x:c>
      <x:c r="K788" s="146" t="e">
        <x:f>IF($A788="","",[1]!thsiFinD("ths_adjustment_nv_fund",K$3,$A788))</x:f>
        <x:v>#NAME?</x:v>
      </x:c>
      <x:c r="L788" s="146" t="e">
        <x:f>IF($A788="","",[1]!thsiFinD("ths_adjustment_nv_fund",L$3,$A788))</x:f>
        <x:v>#NAME?</x:v>
      </x:c>
      <x:c r="M788" s="146" t="e">
        <x:f>IF($A788="","",[1]!thsiFinD("ths_adjustment_nv_fund",M$3,$A788))</x:f>
        <x:v>#NAME?</x:v>
      </x:c>
      <x:c r="N788" s="146" t="e">
        <x:f>IF($A788="","",[1]!thsiFinD("ths_adjustment_nv_fund",N$3,$A788))</x:f>
        <x:v>#NAME?</x:v>
      </x:c>
      <x:c r="O788" s="146" t="e">
        <x:f>IF($A788="","",[1]!thsiFinD("ths_adjustment_nv_fund",O$3,$A788))</x:f>
        <x:v>#NAME?</x:v>
      </x:c>
      <x:c r="P788" s="146" t="e">
        <x:f>IF($A788="","",[1]!thsiFinD("ths_adjustment_nv_fund",P$3,$A788))</x:f>
        <x:v>#NAME?</x:v>
      </x:c>
      <x:c r="Q788" s="146" t="e">
        <x:f>IF($A788="","",[1]!thsiFinD("ths_adjustment_nv_fund",Q$3,$A788))</x:f>
        <x:v>#NAME?</x:v>
      </x:c>
      <x:c r="R788" s="146" t="e">
        <x:f>IF($A788="","",[1]!thsiFinD("ths_adjustment_nv_fund",R$3,$A788))</x:f>
        <x:v>#NAME?</x:v>
      </x:c>
      <x:c r="S788" s="146" t="e">
        <x:f>IF($A788="","",[1]!thsiFinD("ths_adjustment_nv_fund",S$3,$A788))</x:f>
        <x:v>#NAME?</x:v>
      </x:c>
      <x:c r="T788" s="146" t="e">
        <x:f>IF($A788="","",[1]!thsiFinD("ths_adjustment_nv_fund",T$3,$A788))</x:f>
        <x:v>#NAME?</x:v>
      </x:c>
      <x:c r="U788" s="146" t="e">
        <x:f>IF($A788="","",[1]!thsiFinD("ths_adjustment_nv_fund",U$3,$A788))</x:f>
        <x:v>#NAME?</x:v>
      </x:c>
      <x:c r="V788" s="146" t="e">
        <x:f>IF($A788="","",[1]!thsiFinD("ths_adjustment_nv_fund",V$3,$A788))</x:f>
        <x:v>#NAME?</x:v>
      </x:c>
      <x:c r="W788" s="146" t="e">
        <x:f>IF($A788="","",[1]!thsiFinD("ths_adjustment_nv_fund",W$3,$A788))</x:f>
        <x:v>#NAME?</x:v>
      </x:c>
      <x:c r="X788" s="146" t="e">
        <x:f>IF($A788="","",[1]!thsiFinD("ths_adjustment_nv_fund",X$3,$A788))</x:f>
        <x:v>#NAME?</x:v>
      </x:c>
      <x:c r="Y788" s="146" t="e">
        <x:f>IF($A788="","",[1]!thsiFinD("ths_adjustment_nv_fund",Y$3,$A788))</x:f>
        <x:v>#NAME?</x:v>
      </x:c>
      <x:c r="Z788" s="146" t="e">
        <x:f>IF($A788="","",[1]!thsiFinD("ths_adjustment_nv_fund",Z$3,$A788))</x:f>
        <x:v>#NAME?</x:v>
      </x:c>
      <x:c r="AA788" s="146" t="e">
        <x:f>IF($A788="","",[1]!thsiFinD("ths_adjustment_nv_fund",AA$3,$A788))</x:f>
        <x:v>#NAME?</x:v>
      </x:c>
    </x:row>
    <x:row r="789">
      <x:c r="B789" s="146" t="e">
        <x:f>IF($A789="","",[1]!thsiFinD("ths_adjustment_nv_fund",B$3,$A789))</x:f>
        <x:v>#NAME?</x:v>
      </x:c>
      <x:c r="C789" s="146" t="e">
        <x:f>IF($A789="","",[1]!thsiFinD("ths_adjustment_nv_fund",C$3,$A789))</x:f>
        <x:v>#NAME?</x:v>
      </x:c>
      <x:c r="D789" s="146" t="e">
        <x:f>IF($A789="","",[1]!thsiFinD("ths_adjustment_nv_fund",D$3,$A789))</x:f>
        <x:v>#NAME?</x:v>
      </x:c>
      <x:c r="E789" s="146" t="e">
        <x:f>IF($A789="","",[1]!thsiFinD("ths_adjustment_nv_fund",E$3,$A789))</x:f>
        <x:v>#NAME?</x:v>
      </x:c>
      <x:c r="F789" s="146" t="e">
        <x:f>IF($A789="","",[1]!thsiFinD("ths_adjustment_nv_fund",F$3,$A789))</x:f>
        <x:v>#NAME?</x:v>
      </x:c>
      <x:c r="G789" s="146" t="e">
        <x:f>IF($A789="","",[1]!thsiFinD("ths_adjustment_nv_fund",G$3,$A789))</x:f>
        <x:v>#NAME?</x:v>
      </x:c>
      <x:c r="H789" s="146" t="e">
        <x:f>IF($A789="","",[1]!thsiFinD("ths_adjustment_nv_fund",H$3,$A789))</x:f>
        <x:v>#NAME?</x:v>
      </x:c>
      <x:c r="I789" s="146" t="e">
        <x:f>IF($A789="","",[1]!thsiFinD("ths_adjustment_nv_fund",I$3,$A789))</x:f>
        <x:v>#NAME?</x:v>
      </x:c>
      <x:c r="J789" s="146" t="e">
        <x:f>IF($A789="","",[1]!thsiFinD("ths_adjustment_nv_fund",J$3,$A789))</x:f>
        <x:v>#NAME?</x:v>
      </x:c>
      <x:c r="K789" s="146" t="e">
        <x:f>IF($A789="","",[1]!thsiFinD("ths_adjustment_nv_fund",K$3,$A789))</x:f>
        <x:v>#NAME?</x:v>
      </x:c>
      <x:c r="L789" s="146" t="e">
        <x:f>IF($A789="","",[1]!thsiFinD("ths_adjustment_nv_fund",L$3,$A789))</x:f>
        <x:v>#NAME?</x:v>
      </x:c>
      <x:c r="M789" s="146" t="e">
        <x:f>IF($A789="","",[1]!thsiFinD("ths_adjustment_nv_fund",M$3,$A789))</x:f>
        <x:v>#NAME?</x:v>
      </x:c>
      <x:c r="N789" s="146" t="e">
        <x:f>IF($A789="","",[1]!thsiFinD("ths_adjustment_nv_fund",N$3,$A789))</x:f>
        <x:v>#NAME?</x:v>
      </x:c>
      <x:c r="O789" s="146" t="e">
        <x:f>IF($A789="","",[1]!thsiFinD("ths_adjustment_nv_fund",O$3,$A789))</x:f>
        <x:v>#NAME?</x:v>
      </x:c>
      <x:c r="P789" s="146" t="e">
        <x:f>IF($A789="","",[1]!thsiFinD("ths_adjustment_nv_fund",P$3,$A789))</x:f>
        <x:v>#NAME?</x:v>
      </x:c>
      <x:c r="Q789" s="146" t="e">
        <x:f>IF($A789="","",[1]!thsiFinD("ths_adjustment_nv_fund",Q$3,$A789))</x:f>
        <x:v>#NAME?</x:v>
      </x:c>
      <x:c r="R789" s="146" t="e">
        <x:f>IF($A789="","",[1]!thsiFinD("ths_adjustment_nv_fund",R$3,$A789))</x:f>
        <x:v>#NAME?</x:v>
      </x:c>
      <x:c r="S789" s="146" t="e">
        <x:f>IF($A789="","",[1]!thsiFinD("ths_adjustment_nv_fund",S$3,$A789))</x:f>
        <x:v>#NAME?</x:v>
      </x:c>
      <x:c r="T789" s="146" t="e">
        <x:f>IF($A789="","",[1]!thsiFinD("ths_adjustment_nv_fund",T$3,$A789))</x:f>
        <x:v>#NAME?</x:v>
      </x:c>
      <x:c r="U789" s="146" t="e">
        <x:f>IF($A789="","",[1]!thsiFinD("ths_adjustment_nv_fund",U$3,$A789))</x:f>
        <x:v>#NAME?</x:v>
      </x:c>
      <x:c r="V789" s="146" t="e">
        <x:f>IF($A789="","",[1]!thsiFinD("ths_adjustment_nv_fund",V$3,$A789))</x:f>
        <x:v>#NAME?</x:v>
      </x:c>
      <x:c r="W789" s="146" t="e">
        <x:f>IF($A789="","",[1]!thsiFinD("ths_adjustment_nv_fund",W$3,$A789))</x:f>
        <x:v>#NAME?</x:v>
      </x:c>
      <x:c r="X789" s="146" t="e">
        <x:f>IF($A789="","",[1]!thsiFinD("ths_adjustment_nv_fund",X$3,$A789))</x:f>
        <x:v>#NAME?</x:v>
      </x:c>
      <x:c r="Y789" s="146" t="e">
        <x:f>IF($A789="","",[1]!thsiFinD("ths_adjustment_nv_fund",Y$3,$A789))</x:f>
        <x:v>#NAME?</x:v>
      </x:c>
      <x:c r="Z789" s="146" t="e">
        <x:f>IF($A789="","",[1]!thsiFinD("ths_adjustment_nv_fund",Z$3,$A789))</x:f>
        <x:v>#NAME?</x:v>
      </x:c>
      <x:c r="AA789" s="146" t="e">
        <x:f>IF($A789="","",[1]!thsiFinD("ths_adjustment_nv_fund",AA$3,$A789))</x:f>
        <x:v>#NAME?</x:v>
      </x:c>
    </x:row>
    <x:row r="790">
      <x:c r="B790" s="146" t="e">
        <x:f>IF($A790="","",[1]!thsiFinD("ths_adjustment_nv_fund",B$3,$A790))</x:f>
        <x:v>#NAME?</x:v>
      </x:c>
      <x:c r="C790" s="146" t="e">
        <x:f>IF($A790="","",[1]!thsiFinD("ths_adjustment_nv_fund",C$3,$A790))</x:f>
        <x:v>#NAME?</x:v>
      </x:c>
      <x:c r="D790" s="146" t="e">
        <x:f>IF($A790="","",[1]!thsiFinD("ths_adjustment_nv_fund",D$3,$A790))</x:f>
        <x:v>#NAME?</x:v>
      </x:c>
      <x:c r="E790" s="146" t="e">
        <x:f>IF($A790="","",[1]!thsiFinD("ths_adjustment_nv_fund",E$3,$A790))</x:f>
        <x:v>#NAME?</x:v>
      </x:c>
      <x:c r="F790" s="146" t="e">
        <x:f>IF($A790="","",[1]!thsiFinD("ths_adjustment_nv_fund",F$3,$A790))</x:f>
        <x:v>#NAME?</x:v>
      </x:c>
      <x:c r="G790" s="146" t="e">
        <x:f>IF($A790="","",[1]!thsiFinD("ths_adjustment_nv_fund",G$3,$A790))</x:f>
        <x:v>#NAME?</x:v>
      </x:c>
      <x:c r="H790" s="146" t="e">
        <x:f>IF($A790="","",[1]!thsiFinD("ths_adjustment_nv_fund",H$3,$A790))</x:f>
        <x:v>#NAME?</x:v>
      </x:c>
      <x:c r="I790" s="146" t="e">
        <x:f>IF($A790="","",[1]!thsiFinD("ths_adjustment_nv_fund",I$3,$A790))</x:f>
        <x:v>#NAME?</x:v>
      </x:c>
      <x:c r="J790" s="146" t="e">
        <x:f>IF($A790="","",[1]!thsiFinD("ths_adjustment_nv_fund",J$3,$A790))</x:f>
        <x:v>#NAME?</x:v>
      </x:c>
      <x:c r="K790" s="146" t="e">
        <x:f>IF($A790="","",[1]!thsiFinD("ths_adjustment_nv_fund",K$3,$A790))</x:f>
        <x:v>#NAME?</x:v>
      </x:c>
      <x:c r="L790" s="146" t="e">
        <x:f>IF($A790="","",[1]!thsiFinD("ths_adjustment_nv_fund",L$3,$A790))</x:f>
        <x:v>#NAME?</x:v>
      </x:c>
      <x:c r="M790" s="146" t="e">
        <x:f>IF($A790="","",[1]!thsiFinD("ths_adjustment_nv_fund",M$3,$A790))</x:f>
        <x:v>#NAME?</x:v>
      </x:c>
      <x:c r="N790" s="146" t="e">
        <x:f>IF($A790="","",[1]!thsiFinD("ths_adjustment_nv_fund",N$3,$A790))</x:f>
        <x:v>#NAME?</x:v>
      </x:c>
      <x:c r="O790" s="146" t="e">
        <x:f>IF($A790="","",[1]!thsiFinD("ths_adjustment_nv_fund",O$3,$A790))</x:f>
        <x:v>#NAME?</x:v>
      </x:c>
      <x:c r="P790" s="146" t="e">
        <x:f>IF($A790="","",[1]!thsiFinD("ths_adjustment_nv_fund",P$3,$A790))</x:f>
        <x:v>#NAME?</x:v>
      </x:c>
      <x:c r="Q790" s="146" t="e">
        <x:f>IF($A790="","",[1]!thsiFinD("ths_adjustment_nv_fund",Q$3,$A790))</x:f>
        <x:v>#NAME?</x:v>
      </x:c>
      <x:c r="R790" s="146" t="e">
        <x:f>IF($A790="","",[1]!thsiFinD("ths_adjustment_nv_fund",R$3,$A790))</x:f>
        <x:v>#NAME?</x:v>
      </x:c>
      <x:c r="S790" s="146" t="e">
        <x:f>IF($A790="","",[1]!thsiFinD("ths_adjustment_nv_fund",S$3,$A790))</x:f>
        <x:v>#NAME?</x:v>
      </x:c>
      <x:c r="T790" s="146" t="e">
        <x:f>IF($A790="","",[1]!thsiFinD("ths_adjustment_nv_fund",T$3,$A790))</x:f>
        <x:v>#NAME?</x:v>
      </x:c>
      <x:c r="U790" s="146" t="e">
        <x:f>IF($A790="","",[1]!thsiFinD("ths_adjustment_nv_fund",U$3,$A790))</x:f>
        <x:v>#NAME?</x:v>
      </x:c>
      <x:c r="V790" s="146" t="e">
        <x:f>IF($A790="","",[1]!thsiFinD("ths_adjustment_nv_fund",V$3,$A790))</x:f>
        <x:v>#NAME?</x:v>
      </x:c>
      <x:c r="W790" s="146" t="e">
        <x:f>IF($A790="","",[1]!thsiFinD("ths_adjustment_nv_fund",W$3,$A790))</x:f>
        <x:v>#NAME?</x:v>
      </x:c>
      <x:c r="X790" s="146" t="e">
        <x:f>IF($A790="","",[1]!thsiFinD("ths_adjustment_nv_fund",X$3,$A790))</x:f>
        <x:v>#NAME?</x:v>
      </x:c>
      <x:c r="Y790" s="146" t="e">
        <x:f>IF($A790="","",[1]!thsiFinD("ths_adjustment_nv_fund",Y$3,$A790))</x:f>
        <x:v>#NAME?</x:v>
      </x:c>
      <x:c r="Z790" s="146" t="e">
        <x:f>IF($A790="","",[1]!thsiFinD("ths_adjustment_nv_fund",Z$3,$A790))</x:f>
        <x:v>#NAME?</x:v>
      </x:c>
      <x:c r="AA790" s="146" t="e">
        <x:f>IF($A790="","",[1]!thsiFinD("ths_adjustment_nv_fund",AA$3,$A790))</x:f>
        <x:v>#NAME?</x:v>
      </x:c>
    </x:row>
    <x:row r="791">
      <x:c r="B791" s="146" t="e">
        <x:f>IF($A791="","",[1]!thsiFinD("ths_adjustment_nv_fund",B$3,$A791))</x:f>
        <x:v>#NAME?</x:v>
      </x:c>
      <x:c r="C791" s="146" t="e">
        <x:f>IF($A791="","",[1]!thsiFinD("ths_adjustment_nv_fund",C$3,$A791))</x:f>
        <x:v>#NAME?</x:v>
      </x:c>
      <x:c r="D791" s="146" t="e">
        <x:f>IF($A791="","",[1]!thsiFinD("ths_adjustment_nv_fund",D$3,$A791))</x:f>
        <x:v>#NAME?</x:v>
      </x:c>
      <x:c r="E791" s="146" t="e">
        <x:f>IF($A791="","",[1]!thsiFinD("ths_adjustment_nv_fund",E$3,$A791))</x:f>
        <x:v>#NAME?</x:v>
      </x:c>
      <x:c r="F791" s="146" t="e">
        <x:f>IF($A791="","",[1]!thsiFinD("ths_adjustment_nv_fund",F$3,$A791))</x:f>
        <x:v>#NAME?</x:v>
      </x:c>
      <x:c r="G791" s="146" t="e">
        <x:f>IF($A791="","",[1]!thsiFinD("ths_adjustment_nv_fund",G$3,$A791))</x:f>
        <x:v>#NAME?</x:v>
      </x:c>
      <x:c r="H791" s="146" t="e">
        <x:f>IF($A791="","",[1]!thsiFinD("ths_adjustment_nv_fund",H$3,$A791))</x:f>
        <x:v>#NAME?</x:v>
      </x:c>
      <x:c r="I791" s="146" t="e">
        <x:f>IF($A791="","",[1]!thsiFinD("ths_adjustment_nv_fund",I$3,$A791))</x:f>
        <x:v>#NAME?</x:v>
      </x:c>
      <x:c r="J791" s="146" t="e">
        <x:f>IF($A791="","",[1]!thsiFinD("ths_adjustment_nv_fund",J$3,$A791))</x:f>
        <x:v>#NAME?</x:v>
      </x:c>
      <x:c r="K791" s="146" t="e">
        <x:f>IF($A791="","",[1]!thsiFinD("ths_adjustment_nv_fund",K$3,$A791))</x:f>
        <x:v>#NAME?</x:v>
      </x:c>
      <x:c r="L791" s="146" t="e">
        <x:f>IF($A791="","",[1]!thsiFinD("ths_adjustment_nv_fund",L$3,$A791))</x:f>
        <x:v>#NAME?</x:v>
      </x:c>
      <x:c r="M791" s="146" t="e">
        <x:f>IF($A791="","",[1]!thsiFinD("ths_adjustment_nv_fund",M$3,$A791))</x:f>
        <x:v>#NAME?</x:v>
      </x:c>
      <x:c r="N791" s="146" t="e">
        <x:f>IF($A791="","",[1]!thsiFinD("ths_adjustment_nv_fund",N$3,$A791))</x:f>
        <x:v>#NAME?</x:v>
      </x:c>
      <x:c r="O791" s="146" t="e">
        <x:f>IF($A791="","",[1]!thsiFinD("ths_adjustment_nv_fund",O$3,$A791))</x:f>
        <x:v>#NAME?</x:v>
      </x:c>
      <x:c r="P791" s="146" t="e">
        <x:f>IF($A791="","",[1]!thsiFinD("ths_adjustment_nv_fund",P$3,$A791))</x:f>
        <x:v>#NAME?</x:v>
      </x:c>
      <x:c r="Q791" s="146" t="e">
        <x:f>IF($A791="","",[1]!thsiFinD("ths_adjustment_nv_fund",Q$3,$A791))</x:f>
        <x:v>#NAME?</x:v>
      </x:c>
      <x:c r="R791" s="146" t="e">
        <x:f>IF($A791="","",[1]!thsiFinD("ths_adjustment_nv_fund",R$3,$A791))</x:f>
        <x:v>#NAME?</x:v>
      </x:c>
      <x:c r="S791" s="146" t="e">
        <x:f>IF($A791="","",[1]!thsiFinD("ths_adjustment_nv_fund",S$3,$A791))</x:f>
        <x:v>#NAME?</x:v>
      </x:c>
      <x:c r="T791" s="146" t="e">
        <x:f>IF($A791="","",[1]!thsiFinD("ths_adjustment_nv_fund",T$3,$A791))</x:f>
        <x:v>#NAME?</x:v>
      </x:c>
      <x:c r="U791" s="146" t="e">
        <x:f>IF($A791="","",[1]!thsiFinD("ths_adjustment_nv_fund",U$3,$A791))</x:f>
        <x:v>#NAME?</x:v>
      </x:c>
      <x:c r="V791" s="146" t="e">
        <x:f>IF($A791="","",[1]!thsiFinD("ths_adjustment_nv_fund",V$3,$A791))</x:f>
        <x:v>#NAME?</x:v>
      </x:c>
      <x:c r="W791" s="146" t="e">
        <x:f>IF($A791="","",[1]!thsiFinD("ths_adjustment_nv_fund",W$3,$A791))</x:f>
        <x:v>#NAME?</x:v>
      </x:c>
      <x:c r="X791" s="146" t="e">
        <x:f>IF($A791="","",[1]!thsiFinD("ths_adjustment_nv_fund",X$3,$A791))</x:f>
        <x:v>#NAME?</x:v>
      </x:c>
      <x:c r="Y791" s="146" t="e">
        <x:f>IF($A791="","",[1]!thsiFinD("ths_adjustment_nv_fund",Y$3,$A791))</x:f>
        <x:v>#NAME?</x:v>
      </x:c>
      <x:c r="Z791" s="146" t="e">
        <x:f>IF($A791="","",[1]!thsiFinD("ths_adjustment_nv_fund",Z$3,$A791))</x:f>
        <x:v>#NAME?</x:v>
      </x:c>
      <x:c r="AA791" s="146" t="e">
        <x:f>IF($A791="","",[1]!thsiFinD("ths_adjustment_nv_fund",AA$3,$A791))</x:f>
        <x:v>#NAME?</x:v>
      </x:c>
    </x:row>
    <x:row r="792">
      <x:c r="B792" s="146" t="e">
        <x:f>IF($A792="","",[1]!thsiFinD("ths_adjustment_nv_fund",B$3,$A792))</x:f>
        <x:v>#NAME?</x:v>
      </x:c>
      <x:c r="C792" s="146" t="e">
        <x:f>IF($A792="","",[1]!thsiFinD("ths_adjustment_nv_fund",C$3,$A792))</x:f>
        <x:v>#NAME?</x:v>
      </x:c>
      <x:c r="D792" s="146" t="e">
        <x:f>IF($A792="","",[1]!thsiFinD("ths_adjustment_nv_fund",D$3,$A792))</x:f>
        <x:v>#NAME?</x:v>
      </x:c>
      <x:c r="E792" s="146" t="e">
        <x:f>IF($A792="","",[1]!thsiFinD("ths_adjustment_nv_fund",E$3,$A792))</x:f>
        <x:v>#NAME?</x:v>
      </x:c>
      <x:c r="F792" s="146" t="e">
        <x:f>IF($A792="","",[1]!thsiFinD("ths_adjustment_nv_fund",F$3,$A792))</x:f>
        <x:v>#NAME?</x:v>
      </x:c>
      <x:c r="G792" s="146" t="e">
        <x:f>IF($A792="","",[1]!thsiFinD("ths_adjustment_nv_fund",G$3,$A792))</x:f>
        <x:v>#NAME?</x:v>
      </x:c>
      <x:c r="H792" s="146" t="e">
        <x:f>IF($A792="","",[1]!thsiFinD("ths_adjustment_nv_fund",H$3,$A792))</x:f>
        <x:v>#NAME?</x:v>
      </x:c>
      <x:c r="I792" s="146" t="e">
        <x:f>IF($A792="","",[1]!thsiFinD("ths_adjustment_nv_fund",I$3,$A792))</x:f>
        <x:v>#NAME?</x:v>
      </x:c>
      <x:c r="J792" s="146" t="e">
        <x:f>IF($A792="","",[1]!thsiFinD("ths_adjustment_nv_fund",J$3,$A792))</x:f>
        <x:v>#NAME?</x:v>
      </x:c>
      <x:c r="K792" s="146" t="e">
        <x:f>IF($A792="","",[1]!thsiFinD("ths_adjustment_nv_fund",K$3,$A792))</x:f>
        <x:v>#NAME?</x:v>
      </x:c>
      <x:c r="L792" s="146" t="e">
        <x:f>IF($A792="","",[1]!thsiFinD("ths_adjustment_nv_fund",L$3,$A792))</x:f>
        <x:v>#NAME?</x:v>
      </x:c>
      <x:c r="M792" s="146" t="e">
        <x:f>IF($A792="","",[1]!thsiFinD("ths_adjustment_nv_fund",M$3,$A792))</x:f>
        <x:v>#NAME?</x:v>
      </x:c>
      <x:c r="N792" s="146" t="e">
        <x:f>IF($A792="","",[1]!thsiFinD("ths_adjustment_nv_fund",N$3,$A792))</x:f>
        <x:v>#NAME?</x:v>
      </x:c>
      <x:c r="O792" s="146" t="e">
        <x:f>IF($A792="","",[1]!thsiFinD("ths_adjustment_nv_fund",O$3,$A792))</x:f>
        <x:v>#NAME?</x:v>
      </x:c>
      <x:c r="P792" s="146" t="e">
        <x:f>IF($A792="","",[1]!thsiFinD("ths_adjustment_nv_fund",P$3,$A792))</x:f>
        <x:v>#NAME?</x:v>
      </x:c>
      <x:c r="Q792" s="146" t="e">
        <x:f>IF($A792="","",[1]!thsiFinD("ths_adjustment_nv_fund",Q$3,$A792))</x:f>
        <x:v>#NAME?</x:v>
      </x:c>
      <x:c r="R792" s="146" t="e">
        <x:f>IF($A792="","",[1]!thsiFinD("ths_adjustment_nv_fund",R$3,$A792))</x:f>
        <x:v>#NAME?</x:v>
      </x:c>
      <x:c r="S792" s="146" t="e">
        <x:f>IF($A792="","",[1]!thsiFinD("ths_adjustment_nv_fund",S$3,$A792))</x:f>
        <x:v>#NAME?</x:v>
      </x:c>
      <x:c r="T792" s="146" t="e">
        <x:f>IF($A792="","",[1]!thsiFinD("ths_adjustment_nv_fund",T$3,$A792))</x:f>
        <x:v>#NAME?</x:v>
      </x:c>
      <x:c r="U792" s="146" t="e">
        <x:f>IF($A792="","",[1]!thsiFinD("ths_adjustment_nv_fund",U$3,$A792))</x:f>
        <x:v>#NAME?</x:v>
      </x:c>
      <x:c r="V792" s="146" t="e">
        <x:f>IF($A792="","",[1]!thsiFinD("ths_adjustment_nv_fund",V$3,$A792))</x:f>
        <x:v>#NAME?</x:v>
      </x:c>
      <x:c r="W792" s="146" t="e">
        <x:f>IF($A792="","",[1]!thsiFinD("ths_adjustment_nv_fund",W$3,$A792))</x:f>
        <x:v>#NAME?</x:v>
      </x:c>
      <x:c r="X792" s="146" t="e">
        <x:f>IF($A792="","",[1]!thsiFinD("ths_adjustment_nv_fund",X$3,$A792))</x:f>
        <x:v>#NAME?</x:v>
      </x:c>
      <x:c r="Y792" s="146" t="e">
        <x:f>IF($A792="","",[1]!thsiFinD("ths_adjustment_nv_fund",Y$3,$A792))</x:f>
        <x:v>#NAME?</x:v>
      </x:c>
      <x:c r="Z792" s="146" t="e">
        <x:f>IF($A792="","",[1]!thsiFinD("ths_adjustment_nv_fund",Z$3,$A792))</x:f>
        <x:v>#NAME?</x:v>
      </x:c>
      <x:c r="AA792" s="146" t="e">
        <x:f>IF($A792="","",[1]!thsiFinD("ths_adjustment_nv_fund",AA$3,$A792))</x:f>
        <x:v>#NAME?</x:v>
      </x:c>
    </x:row>
    <x:row r="793">
      <x:c r="B793" s="146" t="e">
        <x:f>IF($A793="","",[1]!thsiFinD("ths_adjustment_nv_fund",B$3,$A793))</x:f>
        <x:v>#NAME?</x:v>
      </x:c>
      <x:c r="C793" s="146" t="e">
        <x:f>IF($A793="","",[1]!thsiFinD("ths_adjustment_nv_fund",C$3,$A793))</x:f>
        <x:v>#NAME?</x:v>
      </x:c>
      <x:c r="D793" s="146" t="e">
        <x:f>IF($A793="","",[1]!thsiFinD("ths_adjustment_nv_fund",D$3,$A793))</x:f>
        <x:v>#NAME?</x:v>
      </x:c>
      <x:c r="E793" s="146" t="e">
        <x:f>IF($A793="","",[1]!thsiFinD("ths_adjustment_nv_fund",E$3,$A793))</x:f>
        <x:v>#NAME?</x:v>
      </x:c>
      <x:c r="F793" s="146" t="e">
        <x:f>IF($A793="","",[1]!thsiFinD("ths_adjustment_nv_fund",F$3,$A793))</x:f>
        <x:v>#NAME?</x:v>
      </x:c>
      <x:c r="G793" s="146" t="e">
        <x:f>IF($A793="","",[1]!thsiFinD("ths_adjustment_nv_fund",G$3,$A793))</x:f>
        <x:v>#NAME?</x:v>
      </x:c>
      <x:c r="H793" s="146" t="e">
        <x:f>IF($A793="","",[1]!thsiFinD("ths_adjustment_nv_fund",H$3,$A793))</x:f>
        <x:v>#NAME?</x:v>
      </x:c>
      <x:c r="I793" s="146" t="e">
        <x:f>IF($A793="","",[1]!thsiFinD("ths_adjustment_nv_fund",I$3,$A793))</x:f>
        <x:v>#NAME?</x:v>
      </x:c>
      <x:c r="J793" s="146" t="e">
        <x:f>IF($A793="","",[1]!thsiFinD("ths_adjustment_nv_fund",J$3,$A793))</x:f>
        <x:v>#NAME?</x:v>
      </x:c>
      <x:c r="K793" s="146" t="e">
        <x:f>IF($A793="","",[1]!thsiFinD("ths_adjustment_nv_fund",K$3,$A793))</x:f>
        <x:v>#NAME?</x:v>
      </x:c>
      <x:c r="L793" s="146" t="e">
        <x:f>IF($A793="","",[1]!thsiFinD("ths_adjustment_nv_fund",L$3,$A793))</x:f>
        <x:v>#NAME?</x:v>
      </x:c>
      <x:c r="M793" s="146" t="e">
        <x:f>IF($A793="","",[1]!thsiFinD("ths_adjustment_nv_fund",M$3,$A793))</x:f>
        <x:v>#NAME?</x:v>
      </x:c>
      <x:c r="N793" s="146" t="e">
        <x:f>IF($A793="","",[1]!thsiFinD("ths_adjustment_nv_fund",N$3,$A793))</x:f>
        <x:v>#NAME?</x:v>
      </x:c>
      <x:c r="O793" s="146" t="e">
        <x:f>IF($A793="","",[1]!thsiFinD("ths_adjustment_nv_fund",O$3,$A793))</x:f>
        <x:v>#NAME?</x:v>
      </x:c>
      <x:c r="P793" s="146" t="e">
        <x:f>IF($A793="","",[1]!thsiFinD("ths_adjustment_nv_fund",P$3,$A793))</x:f>
        <x:v>#NAME?</x:v>
      </x:c>
      <x:c r="Q793" s="146" t="e">
        <x:f>IF($A793="","",[1]!thsiFinD("ths_adjustment_nv_fund",Q$3,$A793))</x:f>
        <x:v>#NAME?</x:v>
      </x:c>
      <x:c r="R793" s="146" t="e">
        <x:f>IF($A793="","",[1]!thsiFinD("ths_adjustment_nv_fund",R$3,$A793))</x:f>
        <x:v>#NAME?</x:v>
      </x:c>
      <x:c r="S793" s="146" t="e">
        <x:f>IF($A793="","",[1]!thsiFinD("ths_adjustment_nv_fund",S$3,$A793))</x:f>
        <x:v>#NAME?</x:v>
      </x:c>
      <x:c r="T793" s="146" t="e">
        <x:f>IF($A793="","",[1]!thsiFinD("ths_adjustment_nv_fund",T$3,$A793))</x:f>
        <x:v>#NAME?</x:v>
      </x:c>
      <x:c r="U793" s="146" t="e">
        <x:f>IF($A793="","",[1]!thsiFinD("ths_adjustment_nv_fund",U$3,$A793))</x:f>
        <x:v>#NAME?</x:v>
      </x:c>
      <x:c r="V793" s="146" t="e">
        <x:f>IF($A793="","",[1]!thsiFinD("ths_adjustment_nv_fund",V$3,$A793))</x:f>
        <x:v>#NAME?</x:v>
      </x:c>
      <x:c r="W793" s="146" t="e">
        <x:f>IF($A793="","",[1]!thsiFinD("ths_adjustment_nv_fund",W$3,$A793))</x:f>
        <x:v>#NAME?</x:v>
      </x:c>
      <x:c r="X793" s="146" t="e">
        <x:f>IF($A793="","",[1]!thsiFinD("ths_adjustment_nv_fund",X$3,$A793))</x:f>
        <x:v>#NAME?</x:v>
      </x:c>
      <x:c r="Y793" s="146" t="e">
        <x:f>IF($A793="","",[1]!thsiFinD("ths_adjustment_nv_fund",Y$3,$A793))</x:f>
        <x:v>#NAME?</x:v>
      </x:c>
      <x:c r="Z793" s="146" t="e">
        <x:f>IF($A793="","",[1]!thsiFinD("ths_adjustment_nv_fund",Z$3,$A793))</x:f>
        <x:v>#NAME?</x:v>
      </x:c>
      <x:c r="AA793" s="146" t="e">
        <x:f>IF($A793="","",[1]!thsiFinD("ths_adjustment_nv_fund",AA$3,$A793))</x:f>
        <x:v>#NAME?</x:v>
      </x:c>
    </x:row>
    <x:row r="794">
      <x:c r="B794" s="146" t="e">
        <x:f>IF($A794="","",[1]!thsiFinD("ths_adjustment_nv_fund",B$3,$A794))</x:f>
        <x:v>#NAME?</x:v>
      </x:c>
      <x:c r="C794" s="146" t="e">
        <x:f>IF($A794="","",[1]!thsiFinD("ths_adjustment_nv_fund",C$3,$A794))</x:f>
        <x:v>#NAME?</x:v>
      </x:c>
      <x:c r="D794" s="146" t="e">
        <x:f>IF($A794="","",[1]!thsiFinD("ths_adjustment_nv_fund",D$3,$A794))</x:f>
        <x:v>#NAME?</x:v>
      </x:c>
      <x:c r="E794" s="146" t="e">
        <x:f>IF($A794="","",[1]!thsiFinD("ths_adjustment_nv_fund",E$3,$A794))</x:f>
        <x:v>#NAME?</x:v>
      </x:c>
      <x:c r="F794" s="146" t="e">
        <x:f>IF($A794="","",[1]!thsiFinD("ths_adjustment_nv_fund",F$3,$A794))</x:f>
        <x:v>#NAME?</x:v>
      </x:c>
      <x:c r="G794" s="146" t="e">
        <x:f>IF($A794="","",[1]!thsiFinD("ths_adjustment_nv_fund",G$3,$A794))</x:f>
        <x:v>#NAME?</x:v>
      </x:c>
      <x:c r="H794" s="146" t="e">
        <x:f>IF($A794="","",[1]!thsiFinD("ths_adjustment_nv_fund",H$3,$A794))</x:f>
        <x:v>#NAME?</x:v>
      </x:c>
      <x:c r="I794" s="146" t="e">
        <x:f>IF($A794="","",[1]!thsiFinD("ths_adjustment_nv_fund",I$3,$A794))</x:f>
        <x:v>#NAME?</x:v>
      </x:c>
      <x:c r="J794" s="146" t="e">
        <x:f>IF($A794="","",[1]!thsiFinD("ths_adjustment_nv_fund",J$3,$A794))</x:f>
        <x:v>#NAME?</x:v>
      </x:c>
      <x:c r="K794" s="146" t="e">
        <x:f>IF($A794="","",[1]!thsiFinD("ths_adjustment_nv_fund",K$3,$A794))</x:f>
        <x:v>#NAME?</x:v>
      </x:c>
      <x:c r="L794" s="146" t="e">
        <x:f>IF($A794="","",[1]!thsiFinD("ths_adjustment_nv_fund",L$3,$A794))</x:f>
        <x:v>#NAME?</x:v>
      </x:c>
      <x:c r="M794" s="146" t="e">
        <x:f>IF($A794="","",[1]!thsiFinD("ths_adjustment_nv_fund",M$3,$A794))</x:f>
        <x:v>#NAME?</x:v>
      </x:c>
      <x:c r="N794" s="146" t="e">
        <x:f>IF($A794="","",[1]!thsiFinD("ths_adjustment_nv_fund",N$3,$A794))</x:f>
        <x:v>#NAME?</x:v>
      </x:c>
      <x:c r="O794" s="146" t="e">
        <x:f>IF($A794="","",[1]!thsiFinD("ths_adjustment_nv_fund",O$3,$A794))</x:f>
        <x:v>#NAME?</x:v>
      </x:c>
      <x:c r="P794" s="146" t="e">
        <x:f>IF($A794="","",[1]!thsiFinD("ths_adjustment_nv_fund",P$3,$A794))</x:f>
        <x:v>#NAME?</x:v>
      </x:c>
      <x:c r="Q794" s="146" t="e">
        <x:f>IF($A794="","",[1]!thsiFinD("ths_adjustment_nv_fund",Q$3,$A794))</x:f>
        <x:v>#NAME?</x:v>
      </x:c>
      <x:c r="R794" s="146" t="e">
        <x:f>IF($A794="","",[1]!thsiFinD("ths_adjustment_nv_fund",R$3,$A794))</x:f>
        <x:v>#NAME?</x:v>
      </x:c>
      <x:c r="S794" s="146" t="e">
        <x:f>IF($A794="","",[1]!thsiFinD("ths_adjustment_nv_fund",S$3,$A794))</x:f>
        <x:v>#NAME?</x:v>
      </x:c>
      <x:c r="T794" s="146" t="e">
        <x:f>IF($A794="","",[1]!thsiFinD("ths_adjustment_nv_fund",T$3,$A794))</x:f>
        <x:v>#NAME?</x:v>
      </x:c>
      <x:c r="U794" s="146" t="e">
        <x:f>IF($A794="","",[1]!thsiFinD("ths_adjustment_nv_fund",U$3,$A794))</x:f>
        <x:v>#NAME?</x:v>
      </x:c>
      <x:c r="V794" s="146" t="e">
        <x:f>IF($A794="","",[1]!thsiFinD("ths_adjustment_nv_fund",V$3,$A794))</x:f>
        <x:v>#NAME?</x:v>
      </x:c>
      <x:c r="W794" s="146" t="e">
        <x:f>IF($A794="","",[1]!thsiFinD("ths_adjustment_nv_fund",W$3,$A794))</x:f>
        <x:v>#NAME?</x:v>
      </x:c>
      <x:c r="X794" s="146" t="e">
        <x:f>IF($A794="","",[1]!thsiFinD("ths_adjustment_nv_fund",X$3,$A794))</x:f>
        <x:v>#NAME?</x:v>
      </x:c>
      <x:c r="Y794" s="146" t="e">
        <x:f>IF($A794="","",[1]!thsiFinD("ths_adjustment_nv_fund",Y$3,$A794))</x:f>
        <x:v>#NAME?</x:v>
      </x:c>
      <x:c r="Z794" s="146" t="e">
        <x:f>IF($A794="","",[1]!thsiFinD("ths_adjustment_nv_fund",Z$3,$A794))</x:f>
        <x:v>#NAME?</x:v>
      </x:c>
      <x:c r="AA794" s="146" t="e">
        <x:f>IF($A794="","",[1]!thsiFinD("ths_adjustment_nv_fund",AA$3,$A794))</x:f>
        <x:v>#NAME?</x:v>
      </x:c>
    </x:row>
    <x:row r="795">
      <x:c r="B795" s="146" t="e">
        <x:f>IF($A795="","",[1]!thsiFinD("ths_adjustment_nv_fund",B$3,$A795))</x:f>
        <x:v>#NAME?</x:v>
      </x:c>
      <x:c r="C795" s="146" t="e">
        <x:f>IF($A795="","",[1]!thsiFinD("ths_adjustment_nv_fund",C$3,$A795))</x:f>
        <x:v>#NAME?</x:v>
      </x:c>
      <x:c r="D795" s="146" t="e">
        <x:f>IF($A795="","",[1]!thsiFinD("ths_adjustment_nv_fund",D$3,$A795))</x:f>
        <x:v>#NAME?</x:v>
      </x:c>
      <x:c r="E795" s="146" t="e">
        <x:f>IF($A795="","",[1]!thsiFinD("ths_adjustment_nv_fund",E$3,$A795))</x:f>
        <x:v>#NAME?</x:v>
      </x:c>
      <x:c r="F795" s="146" t="e">
        <x:f>IF($A795="","",[1]!thsiFinD("ths_adjustment_nv_fund",F$3,$A795))</x:f>
        <x:v>#NAME?</x:v>
      </x:c>
      <x:c r="G795" s="146" t="e">
        <x:f>IF($A795="","",[1]!thsiFinD("ths_adjustment_nv_fund",G$3,$A795))</x:f>
        <x:v>#NAME?</x:v>
      </x:c>
      <x:c r="H795" s="146" t="e">
        <x:f>IF($A795="","",[1]!thsiFinD("ths_adjustment_nv_fund",H$3,$A795))</x:f>
        <x:v>#NAME?</x:v>
      </x:c>
      <x:c r="I795" s="146" t="e">
        <x:f>IF($A795="","",[1]!thsiFinD("ths_adjustment_nv_fund",I$3,$A795))</x:f>
        <x:v>#NAME?</x:v>
      </x:c>
      <x:c r="J795" s="146" t="e">
        <x:f>IF($A795="","",[1]!thsiFinD("ths_adjustment_nv_fund",J$3,$A795))</x:f>
        <x:v>#NAME?</x:v>
      </x:c>
      <x:c r="K795" s="146" t="e">
        <x:f>IF($A795="","",[1]!thsiFinD("ths_adjustment_nv_fund",K$3,$A795))</x:f>
        <x:v>#NAME?</x:v>
      </x:c>
      <x:c r="L795" s="146" t="e">
        <x:f>IF($A795="","",[1]!thsiFinD("ths_adjustment_nv_fund",L$3,$A795))</x:f>
        <x:v>#NAME?</x:v>
      </x:c>
      <x:c r="M795" s="146" t="e">
        <x:f>IF($A795="","",[1]!thsiFinD("ths_adjustment_nv_fund",M$3,$A795))</x:f>
        <x:v>#NAME?</x:v>
      </x:c>
      <x:c r="N795" s="146" t="e">
        <x:f>IF($A795="","",[1]!thsiFinD("ths_adjustment_nv_fund",N$3,$A795))</x:f>
        <x:v>#NAME?</x:v>
      </x:c>
      <x:c r="O795" s="146" t="e">
        <x:f>IF($A795="","",[1]!thsiFinD("ths_adjustment_nv_fund",O$3,$A795))</x:f>
        <x:v>#NAME?</x:v>
      </x:c>
      <x:c r="P795" s="146" t="e">
        <x:f>IF($A795="","",[1]!thsiFinD("ths_adjustment_nv_fund",P$3,$A795))</x:f>
        <x:v>#NAME?</x:v>
      </x:c>
      <x:c r="Q795" s="146" t="e">
        <x:f>IF($A795="","",[1]!thsiFinD("ths_adjustment_nv_fund",Q$3,$A795))</x:f>
        <x:v>#NAME?</x:v>
      </x:c>
      <x:c r="R795" s="146" t="e">
        <x:f>IF($A795="","",[1]!thsiFinD("ths_adjustment_nv_fund",R$3,$A795))</x:f>
        <x:v>#NAME?</x:v>
      </x:c>
      <x:c r="S795" s="146" t="e">
        <x:f>IF($A795="","",[1]!thsiFinD("ths_adjustment_nv_fund",S$3,$A795))</x:f>
        <x:v>#NAME?</x:v>
      </x:c>
      <x:c r="T795" s="146" t="e">
        <x:f>IF($A795="","",[1]!thsiFinD("ths_adjustment_nv_fund",T$3,$A795))</x:f>
        <x:v>#NAME?</x:v>
      </x:c>
      <x:c r="U795" s="146" t="e">
        <x:f>IF($A795="","",[1]!thsiFinD("ths_adjustment_nv_fund",U$3,$A795))</x:f>
        <x:v>#NAME?</x:v>
      </x:c>
      <x:c r="V795" s="146" t="e">
        <x:f>IF($A795="","",[1]!thsiFinD("ths_adjustment_nv_fund",V$3,$A795))</x:f>
        <x:v>#NAME?</x:v>
      </x:c>
      <x:c r="W795" s="146" t="e">
        <x:f>IF($A795="","",[1]!thsiFinD("ths_adjustment_nv_fund",W$3,$A795))</x:f>
        <x:v>#NAME?</x:v>
      </x:c>
      <x:c r="X795" s="146" t="e">
        <x:f>IF($A795="","",[1]!thsiFinD("ths_adjustment_nv_fund",X$3,$A795))</x:f>
        <x:v>#NAME?</x:v>
      </x:c>
      <x:c r="Y795" s="146" t="e">
        <x:f>IF($A795="","",[1]!thsiFinD("ths_adjustment_nv_fund",Y$3,$A795))</x:f>
        <x:v>#NAME?</x:v>
      </x:c>
      <x:c r="Z795" s="146" t="e">
        <x:f>IF($A795="","",[1]!thsiFinD("ths_adjustment_nv_fund",Z$3,$A795))</x:f>
        <x:v>#NAME?</x:v>
      </x:c>
      <x:c r="AA795" s="146" t="e">
        <x:f>IF($A795="","",[1]!thsiFinD("ths_adjustment_nv_fund",AA$3,$A795))</x:f>
        <x:v>#NAME?</x:v>
      </x:c>
    </x:row>
    <x:row r="796">
      <x:c r="B796" s="146" t="e">
        <x:f>IF($A796="","",[1]!thsiFinD("ths_adjustment_nv_fund",B$3,$A796))</x:f>
        <x:v>#NAME?</x:v>
      </x:c>
      <x:c r="C796" s="146" t="e">
        <x:f>IF($A796="","",[1]!thsiFinD("ths_adjustment_nv_fund",C$3,$A796))</x:f>
        <x:v>#NAME?</x:v>
      </x:c>
      <x:c r="D796" s="146" t="e">
        <x:f>IF($A796="","",[1]!thsiFinD("ths_adjustment_nv_fund",D$3,$A796))</x:f>
        <x:v>#NAME?</x:v>
      </x:c>
      <x:c r="E796" s="146" t="e">
        <x:f>IF($A796="","",[1]!thsiFinD("ths_adjustment_nv_fund",E$3,$A796))</x:f>
        <x:v>#NAME?</x:v>
      </x:c>
      <x:c r="F796" s="146" t="e">
        <x:f>IF($A796="","",[1]!thsiFinD("ths_adjustment_nv_fund",F$3,$A796))</x:f>
        <x:v>#NAME?</x:v>
      </x:c>
      <x:c r="G796" s="146" t="e">
        <x:f>IF($A796="","",[1]!thsiFinD("ths_adjustment_nv_fund",G$3,$A796))</x:f>
        <x:v>#NAME?</x:v>
      </x:c>
      <x:c r="H796" s="146" t="e">
        <x:f>IF($A796="","",[1]!thsiFinD("ths_adjustment_nv_fund",H$3,$A796))</x:f>
        <x:v>#NAME?</x:v>
      </x:c>
      <x:c r="I796" s="146" t="e">
        <x:f>IF($A796="","",[1]!thsiFinD("ths_adjustment_nv_fund",I$3,$A796))</x:f>
        <x:v>#NAME?</x:v>
      </x:c>
      <x:c r="J796" s="146" t="e">
        <x:f>IF($A796="","",[1]!thsiFinD("ths_adjustment_nv_fund",J$3,$A796))</x:f>
        <x:v>#NAME?</x:v>
      </x:c>
      <x:c r="K796" s="146" t="e">
        <x:f>IF($A796="","",[1]!thsiFinD("ths_adjustment_nv_fund",K$3,$A796))</x:f>
        <x:v>#NAME?</x:v>
      </x:c>
      <x:c r="L796" s="146" t="e">
        <x:f>IF($A796="","",[1]!thsiFinD("ths_adjustment_nv_fund",L$3,$A796))</x:f>
        <x:v>#NAME?</x:v>
      </x:c>
      <x:c r="M796" s="146" t="e">
        <x:f>IF($A796="","",[1]!thsiFinD("ths_adjustment_nv_fund",M$3,$A796))</x:f>
        <x:v>#NAME?</x:v>
      </x:c>
      <x:c r="N796" s="146" t="e">
        <x:f>IF($A796="","",[1]!thsiFinD("ths_adjustment_nv_fund",N$3,$A796))</x:f>
        <x:v>#NAME?</x:v>
      </x:c>
      <x:c r="O796" s="146" t="e">
        <x:f>IF($A796="","",[1]!thsiFinD("ths_adjustment_nv_fund",O$3,$A796))</x:f>
        <x:v>#NAME?</x:v>
      </x:c>
      <x:c r="P796" s="146" t="e">
        <x:f>IF($A796="","",[1]!thsiFinD("ths_adjustment_nv_fund",P$3,$A796))</x:f>
        <x:v>#NAME?</x:v>
      </x:c>
      <x:c r="Q796" s="146" t="e">
        <x:f>IF($A796="","",[1]!thsiFinD("ths_adjustment_nv_fund",Q$3,$A796))</x:f>
        <x:v>#NAME?</x:v>
      </x:c>
      <x:c r="R796" s="146" t="e">
        <x:f>IF($A796="","",[1]!thsiFinD("ths_adjustment_nv_fund",R$3,$A796))</x:f>
        <x:v>#NAME?</x:v>
      </x:c>
      <x:c r="S796" s="146" t="e">
        <x:f>IF($A796="","",[1]!thsiFinD("ths_adjustment_nv_fund",S$3,$A796))</x:f>
        <x:v>#NAME?</x:v>
      </x:c>
      <x:c r="T796" s="146" t="e">
        <x:f>IF($A796="","",[1]!thsiFinD("ths_adjustment_nv_fund",T$3,$A796))</x:f>
        <x:v>#NAME?</x:v>
      </x:c>
      <x:c r="U796" s="146" t="e">
        <x:f>IF($A796="","",[1]!thsiFinD("ths_adjustment_nv_fund",U$3,$A796))</x:f>
        <x:v>#NAME?</x:v>
      </x:c>
      <x:c r="V796" s="146" t="e">
        <x:f>IF($A796="","",[1]!thsiFinD("ths_adjustment_nv_fund",V$3,$A796))</x:f>
        <x:v>#NAME?</x:v>
      </x:c>
      <x:c r="W796" s="146" t="e">
        <x:f>IF($A796="","",[1]!thsiFinD("ths_adjustment_nv_fund",W$3,$A796))</x:f>
        <x:v>#NAME?</x:v>
      </x:c>
      <x:c r="X796" s="146" t="e">
        <x:f>IF($A796="","",[1]!thsiFinD("ths_adjustment_nv_fund",X$3,$A796))</x:f>
        <x:v>#NAME?</x:v>
      </x:c>
      <x:c r="Y796" s="146" t="e">
        <x:f>IF($A796="","",[1]!thsiFinD("ths_adjustment_nv_fund",Y$3,$A796))</x:f>
        <x:v>#NAME?</x:v>
      </x:c>
      <x:c r="Z796" s="146" t="e">
        <x:f>IF($A796="","",[1]!thsiFinD("ths_adjustment_nv_fund",Z$3,$A796))</x:f>
        <x:v>#NAME?</x:v>
      </x:c>
      <x:c r="AA796" s="146" t="e">
        <x:f>IF($A796="","",[1]!thsiFinD("ths_adjustment_nv_fund",AA$3,$A796))</x:f>
        <x:v>#NAME?</x:v>
      </x:c>
    </x:row>
    <x:row r="797">
      <x:c r="B797" s="146" t="e">
        <x:f>IF($A797="","",[1]!thsiFinD("ths_adjustment_nv_fund",B$3,$A797))</x:f>
        <x:v>#NAME?</x:v>
      </x:c>
      <x:c r="C797" s="146" t="e">
        <x:f>IF($A797="","",[1]!thsiFinD("ths_adjustment_nv_fund",C$3,$A797))</x:f>
        <x:v>#NAME?</x:v>
      </x:c>
      <x:c r="D797" s="146" t="e">
        <x:f>IF($A797="","",[1]!thsiFinD("ths_adjustment_nv_fund",D$3,$A797))</x:f>
        <x:v>#NAME?</x:v>
      </x:c>
      <x:c r="E797" s="146" t="e">
        <x:f>IF($A797="","",[1]!thsiFinD("ths_adjustment_nv_fund",E$3,$A797))</x:f>
        <x:v>#NAME?</x:v>
      </x:c>
      <x:c r="F797" s="146" t="e">
        <x:f>IF($A797="","",[1]!thsiFinD("ths_adjustment_nv_fund",F$3,$A797))</x:f>
        <x:v>#NAME?</x:v>
      </x:c>
      <x:c r="G797" s="146" t="e">
        <x:f>IF($A797="","",[1]!thsiFinD("ths_adjustment_nv_fund",G$3,$A797))</x:f>
        <x:v>#NAME?</x:v>
      </x:c>
      <x:c r="H797" s="146" t="e">
        <x:f>IF($A797="","",[1]!thsiFinD("ths_adjustment_nv_fund",H$3,$A797))</x:f>
        <x:v>#NAME?</x:v>
      </x:c>
      <x:c r="I797" s="146" t="e">
        <x:f>IF($A797="","",[1]!thsiFinD("ths_adjustment_nv_fund",I$3,$A797))</x:f>
        <x:v>#NAME?</x:v>
      </x:c>
      <x:c r="J797" s="146" t="e">
        <x:f>IF($A797="","",[1]!thsiFinD("ths_adjustment_nv_fund",J$3,$A797))</x:f>
        <x:v>#NAME?</x:v>
      </x:c>
      <x:c r="K797" s="146" t="e">
        <x:f>IF($A797="","",[1]!thsiFinD("ths_adjustment_nv_fund",K$3,$A797))</x:f>
        <x:v>#NAME?</x:v>
      </x:c>
      <x:c r="L797" s="146" t="e">
        <x:f>IF($A797="","",[1]!thsiFinD("ths_adjustment_nv_fund",L$3,$A797))</x:f>
        <x:v>#NAME?</x:v>
      </x:c>
      <x:c r="M797" s="146" t="e">
        <x:f>IF($A797="","",[1]!thsiFinD("ths_adjustment_nv_fund",M$3,$A797))</x:f>
        <x:v>#NAME?</x:v>
      </x:c>
      <x:c r="N797" s="146" t="e">
        <x:f>IF($A797="","",[1]!thsiFinD("ths_adjustment_nv_fund",N$3,$A797))</x:f>
        <x:v>#NAME?</x:v>
      </x:c>
      <x:c r="O797" s="146" t="e">
        <x:f>IF($A797="","",[1]!thsiFinD("ths_adjustment_nv_fund",O$3,$A797))</x:f>
        <x:v>#NAME?</x:v>
      </x:c>
      <x:c r="P797" s="146" t="e">
        <x:f>IF($A797="","",[1]!thsiFinD("ths_adjustment_nv_fund",P$3,$A797))</x:f>
        <x:v>#NAME?</x:v>
      </x:c>
      <x:c r="Q797" s="146" t="e">
        <x:f>IF($A797="","",[1]!thsiFinD("ths_adjustment_nv_fund",Q$3,$A797))</x:f>
        <x:v>#NAME?</x:v>
      </x:c>
      <x:c r="R797" s="146" t="e">
        <x:f>IF($A797="","",[1]!thsiFinD("ths_adjustment_nv_fund",R$3,$A797))</x:f>
        <x:v>#NAME?</x:v>
      </x:c>
      <x:c r="S797" s="146" t="e">
        <x:f>IF($A797="","",[1]!thsiFinD("ths_adjustment_nv_fund",S$3,$A797))</x:f>
        <x:v>#NAME?</x:v>
      </x:c>
      <x:c r="T797" s="146" t="e">
        <x:f>IF($A797="","",[1]!thsiFinD("ths_adjustment_nv_fund",T$3,$A797))</x:f>
        <x:v>#NAME?</x:v>
      </x:c>
      <x:c r="U797" s="146" t="e">
        <x:f>IF($A797="","",[1]!thsiFinD("ths_adjustment_nv_fund",U$3,$A797))</x:f>
        <x:v>#NAME?</x:v>
      </x:c>
      <x:c r="V797" s="146" t="e">
        <x:f>IF($A797="","",[1]!thsiFinD("ths_adjustment_nv_fund",V$3,$A797))</x:f>
        <x:v>#NAME?</x:v>
      </x:c>
      <x:c r="W797" s="146" t="e">
        <x:f>IF($A797="","",[1]!thsiFinD("ths_adjustment_nv_fund",W$3,$A797))</x:f>
        <x:v>#NAME?</x:v>
      </x:c>
      <x:c r="X797" s="146" t="e">
        <x:f>IF($A797="","",[1]!thsiFinD("ths_adjustment_nv_fund",X$3,$A797))</x:f>
        <x:v>#NAME?</x:v>
      </x:c>
      <x:c r="Y797" s="146" t="e">
        <x:f>IF($A797="","",[1]!thsiFinD("ths_adjustment_nv_fund",Y$3,$A797))</x:f>
        <x:v>#NAME?</x:v>
      </x:c>
      <x:c r="Z797" s="146" t="e">
        <x:f>IF($A797="","",[1]!thsiFinD("ths_adjustment_nv_fund",Z$3,$A797))</x:f>
        <x:v>#NAME?</x:v>
      </x:c>
      <x:c r="AA797" s="146" t="e">
        <x:f>IF($A797="","",[1]!thsiFinD("ths_adjustment_nv_fund",AA$3,$A797))</x:f>
        <x:v>#NAME?</x:v>
      </x:c>
    </x:row>
    <x:row r="798">
      <x:c r="B798" s="146" t="e">
        <x:f>IF($A798="","",[1]!thsiFinD("ths_adjustment_nv_fund",B$3,$A798))</x:f>
        <x:v>#NAME?</x:v>
      </x:c>
      <x:c r="C798" s="146" t="e">
        <x:f>IF($A798="","",[1]!thsiFinD("ths_adjustment_nv_fund",C$3,$A798))</x:f>
        <x:v>#NAME?</x:v>
      </x:c>
      <x:c r="D798" s="146" t="e">
        <x:f>IF($A798="","",[1]!thsiFinD("ths_adjustment_nv_fund",D$3,$A798))</x:f>
        <x:v>#NAME?</x:v>
      </x:c>
      <x:c r="E798" s="146" t="e">
        <x:f>IF($A798="","",[1]!thsiFinD("ths_adjustment_nv_fund",E$3,$A798))</x:f>
        <x:v>#NAME?</x:v>
      </x:c>
      <x:c r="F798" s="146" t="e">
        <x:f>IF($A798="","",[1]!thsiFinD("ths_adjustment_nv_fund",F$3,$A798))</x:f>
        <x:v>#NAME?</x:v>
      </x:c>
      <x:c r="G798" s="146" t="e">
        <x:f>IF($A798="","",[1]!thsiFinD("ths_adjustment_nv_fund",G$3,$A798))</x:f>
        <x:v>#NAME?</x:v>
      </x:c>
      <x:c r="H798" s="146" t="e">
        <x:f>IF($A798="","",[1]!thsiFinD("ths_adjustment_nv_fund",H$3,$A798))</x:f>
        <x:v>#NAME?</x:v>
      </x:c>
      <x:c r="I798" s="146" t="e">
        <x:f>IF($A798="","",[1]!thsiFinD("ths_adjustment_nv_fund",I$3,$A798))</x:f>
        <x:v>#NAME?</x:v>
      </x:c>
      <x:c r="J798" s="146" t="e">
        <x:f>IF($A798="","",[1]!thsiFinD("ths_adjustment_nv_fund",J$3,$A798))</x:f>
        <x:v>#NAME?</x:v>
      </x:c>
      <x:c r="K798" s="146" t="e">
        <x:f>IF($A798="","",[1]!thsiFinD("ths_adjustment_nv_fund",K$3,$A798))</x:f>
        <x:v>#NAME?</x:v>
      </x:c>
      <x:c r="L798" s="146" t="e">
        <x:f>IF($A798="","",[1]!thsiFinD("ths_adjustment_nv_fund",L$3,$A798))</x:f>
        <x:v>#NAME?</x:v>
      </x:c>
      <x:c r="M798" s="146" t="e">
        <x:f>IF($A798="","",[1]!thsiFinD("ths_adjustment_nv_fund",M$3,$A798))</x:f>
        <x:v>#NAME?</x:v>
      </x:c>
      <x:c r="N798" s="146" t="e">
        <x:f>IF($A798="","",[1]!thsiFinD("ths_adjustment_nv_fund",N$3,$A798))</x:f>
        <x:v>#NAME?</x:v>
      </x:c>
      <x:c r="O798" s="146" t="e">
        <x:f>IF($A798="","",[1]!thsiFinD("ths_adjustment_nv_fund",O$3,$A798))</x:f>
        <x:v>#NAME?</x:v>
      </x:c>
      <x:c r="P798" s="146" t="e">
        <x:f>IF($A798="","",[1]!thsiFinD("ths_adjustment_nv_fund",P$3,$A798))</x:f>
        <x:v>#NAME?</x:v>
      </x:c>
      <x:c r="Q798" s="146" t="e">
        <x:f>IF($A798="","",[1]!thsiFinD("ths_adjustment_nv_fund",Q$3,$A798))</x:f>
        <x:v>#NAME?</x:v>
      </x:c>
      <x:c r="R798" s="146" t="e">
        <x:f>IF($A798="","",[1]!thsiFinD("ths_adjustment_nv_fund",R$3,$A798))</x:f>
        <x:v>#NAME?</x:v>
      </x:c>
      <x:c r="S798" s="146" t="e">
        <x:f>IF($A798="","",[1]!thsiFinD("ths_adjustment_nv_fund",S$3,$A798))</x:f>
        <x:v>#NAME?</x:v>
      </x:c>
      <x:c r="T798" s="146" t="e">
        <x:f>IF($A798="","",[1]!thsiFinD("ths_adjustment_nv_fund",T$3,$A798))</x:f>
        <x:v>#NAME?</x:v>
      </x:c>
      <x:c r="U798" s="146" t="e">
        <x:f>IF($A798="","",[1]!thsiFinD("ths_adjustment_nv_fund",U$3,$A798))</x:f>
        <x:v>#NAME?</x:v>
      </x:c>
      <x:c r="V798" s="146" t="e">
        <x:f>IF($A798="","",[1]!thsiFinD("ths_adjustment_nv_fund",V$3,$A798))</x:f>
        <x:v>#NAME?</x:v>
      </x:c>
      <x:c r="W798" s="146" t="e">
        <x:f>IF($A798="","",[1]!thsiFinD("ths_adjustment_nv_fund",W$3,$A798))</x:f>
        <x:v>#NAME?</x:v>
      </x:c>
      <x:c r="X798" s="146" t="e">
        <x:f>IF($A798="","",[1]!thsiFinD("ths_adjustment_nv_fund",X$3,$A798))</x:f>
        <x:v>#NAME?</x:v>
      </x:c>
      <x:c r="Y798" s="146" t="e">
        <x:f>IF($A798="","",[1]!thsiFinD("ths_adjustment_nv_fund",Y$3,$A798))</x:f>
        <x:v>#NAME?</x:v>
      </x:c>
      <x:c r="Z798" s="146" t="e">
        <x:f>IF($A798="","",[1]!thsiFinD("ths_adjustment_nv_fund",Z$3,$A798))</x:f>
        <x:v>#NAME?</x:v>
      </x:c>
      <x:c r="AA798" s="146" t="e">
        <x:f>IF($A798="","",[1]!thsiFinD("ths_adjustment_nv_fund",AA$3,$A798))</x:f>
        <x:v>#NAME?</x:v>
      </x:c>
    </x:row>
    <x:row r="799">
      <x:c r="B799" s="146" t="e">
        <x:f>IF($A799="","",[1]!thsiFinD("ths_adjustment_nv_fund",B$3,$A799))</x:f>
        <x:v>#NAME?</x:v>
      </x:c>
      <x:c r="C799" s="146" t="e">
        <x:f>IF($A799="","",[1]!thsiFinD("ths_adjustment_nv_fund",C$3,$A799))</x:f>
        <x:v>#NAME?</x:v>
      </x:c>
      <x:c r="D799" s="146" t="e">
        <x:f>IF($A799="","",[1]!thsiFinD("ths_adjustment_nv_fund",D$3,$A799))</x:f>
        <x:v>#NAME?</x:v>
      </x:c>
      <x:c r="E799" s="146" t="e">
        <x:f>IF($A799="","",[1]!thsiFinD("ths_adjustment_nv_fund",E$3,$A799))</x:f>
        <x:v>#NAME?</x:v>
      </x:c>
      <x:c r="F799" s="146" t="e">
        <x:f>IF($A799="","",[1]!thsiFinD("ths_adjustment_nv_fund",F$3,$A799))</x:f>
        <x:v>#NAME?</x:v>
      </x:c>
      <x:c r="G799" s="146" t="e">
        <x:f>IF($A799="","",[1]!thsiFinD("ths_adjustment_nv_fund",G$3,$A799))</x:f>
        <x:v>#NAME?</x:v>
      </x:c>
      <x:c r="H799" s="146" t="e">
        <x:f>IF($A799="","",[1]!thsiFinD("ths_adjustment_nv_fund",H$3,$A799))</x:f>
        <x:v>#NAME?</x:v>
      </x:c>
      <x:c r="I799" s="146" t="e">
        <x:f>IF($A799="","",[1]!thsiFinD("ths_adjustment_nv_fund",I$3,$A799))</x:f>
        <x:v>#NAME?</x:v>
      </x:c>
      <x:c r="J799" s="146" t="e">
        <x:f>IF($A799="","",[1]!thsiFinD("ths_adjustment_nv_fund",J$3,$A799))</x:f>
        <x:v>#NAME?</x:v>
      </x:c>
      <x:c r="K799" s="146" t="e">
        <x:f>IF($A799="","",[1]!thsiFinD("ths_adjustment_nv_fund",K$3,$A799))</x:f>
        <x:v>#NAME?</x:v>
      </x:c>
      <x:c r="L799" s="146" t="e">
        <x:f>IF($A799="","",[1]!thsiFinD("ths_adjustment_nv_fund",L$3,$A799))</x:f>
        <x:v>#NAME?</x:v>
      </x:c>
      <x:c r="M799" s="146" t="e">
        <x:f>IF($A799="","",[1]!thsiFinD("ths_adjustment_nv_fund",M$3,$A799))</x:f>
        <x:v>#NAME?</x:v>
      </x:c>
      <x:c r="N799" s="146" t="e">
        <x:f>IF($A799="","",[1]!thsiFinD("ths_adjustment_nv_fund",N$3,$A799))</x:f>
        <x:v>#NAME?</x:v>
      </x:c>
      <x:c r="O799" s="146" t="e">
        <x:f>IF($A799="","",[1]!thsiFinD("ths_adjustment_nv_fund",O$3,$A799))</x:f>
        <x:v>#NAME?</x:v>
      </x:c>
      <x:c r="P799" s="146" t="e">
        <x:f>IF($A799="","",[1]!thsiFinD("ths_adjustment_nv_fund",P$3,$A799))</x:f>
        <x:v>#NAME?</x:v>
      </x:c>
      <x:c r="Q799" s="146" t="e">
        <x:f>IF($A799="","",[1]!thsiFinD("ths_adjustment_nv_fund",Q$3,$A799))</x:f>
        <x:v>#NAME?</x:v>
      </x:c>
      <x:c r="R799" s="146" t="e">
        <x:f>IF($A799="","",[1]!thsiFinD("ths_adjustment_nv_fund",R$3,$A799))</x:f>
        <x:v>#NAME?</x:v>
      </x:c>
      <x:c r="S799" s="146" t="e">
        <x:f>IF($A799="","",[1]!thsiFinD("ths_adjustment_nv_fund",S$3,$A799))</x:f>
        <x:v>#NAME?</x:v>
      </x:c>
      <x:c r="T799" s="146" t="e">
        <x:f>IF($A799="","",[1]!thsiFinD("ths_adjustment_nv_fund",T$3,$A799))</x:f>
        <x:v>#NAME?</x:v>
      </x:c>
      <x:c r="U799" s="146" t="e">
        <x:f>IF($A799="","",[1]!thsiFinD("ths_adjustment_nv_fund",U$3,$A799))</x:f>
        <x:v>#NAME?</x:v>
      </x:c>
      <x:c r="V799" s="146" t="e">
        <x:f>IF($A799="","",[1]!thsiFinD("ths_adjustment_nv_fund",V$3,$A799))</x:f>
        <x:v>#NAME?</x:v>
      </x:c>
      <x:c r="W799" s="146" t="e">
        <x:f>IF($A799="","",[1]!thsiFinD("ths_adjustment_nv_fund",W$3,$A799))</x:f>
        <x:v>#NAME?</x:v>
      </x:c>
      <x:c r="X799" s="146" t="e">
        <x:f>IF($A799="","",[1]!thsiFinD("ths_adjustment_nv_fund",X$3,$A799))</x:f>
        <x:v>#NAME?</x:v>
      </x:c>
      <x:c r="Y799" s="146" t="e">
        <x:f>IF($A799="","",[1]!thsiFinD("ths_adjustment_nv_fund",Y$3,$A799))</x:f>
        <x:v>#NAME?</x:v>
      </x:c>
      <x:c r="Z799" s="146" t="e">
        <x:f>IF($A799="","",[1]!thsiFinD("ths_adjustment_nv_fund",Z$3,$A799))</x:f>
        <x:v>#NAME?</x:v>
      </x:c>
      <x:c r="AA799" s="146" t="e">
        <x:f>IF($A799="","",[1]!thsiFinD("ths_adjustment_nv_fund",AA$3,$A799))</x:f>
        <x:v>#NAME?</x:v>
      </x:c>
    </x:row>
    <x:row r="800">
      <x:c r="B800" s="146" t="e">
        <x:f>IF($A800="","",[1]!thsiFinD("ths_adjustment_nv_fund",B$3,$A800))</x:f>
        <x:v>#NAME?</x:v>
      </x:c>
      <x:c r="C800" s="146" t="e">
        <x:f>IF($A800="","",[1]!thsiFinD("ths_adjustment_nv_fund",C$3,$A800))</x:f>
        <x:v>#NAME?</x:v>
      </x:c>
      <x:c r="D800" s="146" t="e">
        <x:f>IF($A800="","",[1]!thsiFinD("ths_adjustment_nv_fund",D$3,$A800))</x:f>
        <x:v>#NAME?</x:v>
      </x:c>
      <x:c r="E800" s="146" t="e">
        <x:f>IF($A800="","",[1]!thsiFinD("ths_adjustment_nv_fund",E$3,$A800))</x:f>
        <x:v>#NAME?</x:v>
      </x:c>
      <x:c r="F800" s="146" t="e">
        <x:f>IF($A800="","",[1]!thsiFinD("ths_adjustment_nv_fund",F$3,$A800))</x:f>
        <x:v>#NAME?</x:v>
      </x:c>
      <x:c r="G800" s="146" t="e">
        <x:f>IF($A800="","",[1]!thsiFinD("ths_adjustment_nv_fund",G$3,$A800))</x:f>
        <x:v>#NAME?</x:v>
      </x:c>
      <x:c r="H800" s="146" t="e">
        <x:f>IF($A800="","",[1]!thsiFinD("ths_adjustment_nv_fund",H$3,$A800))</x:f>
        <x:v>#NAME?</x:v>
      </x:c>
      <x:c r="I800" s="146" t="e">
        <x:f>IF($A800="","",[1]!thsiFinD("ths_adjustment_nv_fund",I$3,$A800))</x:f>
        <x:v>#NAME?</x:v>
      </x:c>
      <x:c r="J800" s="146" t="e">
        <x:f>IF($A800="","",[1]!thsiFinD("ths_adjustment_nv_fund",J$3,$A800))</x:f>
        <x:v>#NAME?</x:v>
      </x:c>
      <x:c r="K800" s="146" t="e">
        <x:f>IF($A800="","",[1]!thsiFinD("ths_adjustment_nv_fund",K$3,$A800))</x:f>
        <x:v>#NAME?</x:v>
      </x:c>
      <x:c r="L800" s="146" t="e">
        <x:f>IF($A800="","",[1]!thsiFinD("ths_adjustment_nv_fund",L$3,$A800))</x:f>
        <x:v>#NAME?</x:v>
      </x:c>
      <x:c r="M800" s="146" t="e">
        <x:f>IF($A800="","",[1]!thsiFinD("ths_adjustment_nv_fund",M$3,$A800))</x:f>
        <x:v>#NAME?</x:v>
      </x:c>
      <x:c r="N800" s="146" t="e">
        <x:f>IF($A800="","",[1]!thsiFinD("ths_adjustment_nv_fund",N$3,$A800))</x:f>
        <x:v>#NAME?</x:v>
      </x:c>
      <x:c r="O800" s="146" t="e">
        <x:f>IF($A800="","",[1]!thsiFinD("ths_adjustment_nv_fund",O$3,$A800))</x:f>
        <x:v>#NAME?</x:v>
      </x:c>
      <x:c r="P800" s="146" t="e">
        <x:f>IF($A800="","",[1]!thsiFinD("ths_adjustment_nv_fund",P$3,$A800))</x:f>
        <x:v>#NAME?</x:v>
      </x:c>
      <x:c r="Q800" s="146" t="e">
        <x:f>IF($A800="","",[1]!thsiFinD("ths_adjustment_nv_fund",Q$3,$A800))</x:f>
        <x:v>#NAME?</x:v>
      </x:c>
      <x:c r="R800" s="146" t="e">
        <x:f>IF($A800="","",[1]!thsiFinD("ths_adjustment_nv_fund",R$3,$A800))</x:f>
        <x:v>#NAME?</x:v>
      </x:c>
      <x:c r="S800" s="146" t="e">
        <x:f>IF($A800="","",[1]!thsiFinD("ths_adjustment_nv_fund",S$3,$A800))</x:f>
        <x:v>#NAME?</x:v>
      </x:c>
      <x:c r="T800" s="146" t="e">
        <x:f>IF($A800="","",[1]!thsiFinD("ths_adjustment_nv_fund",T$3,$A800))</x:f>
        <x:v>#NAME?</x:v>
      </x:c>
      <x:c r="U800" s="146" t="e">
        <x:f>IF($A800="","",[1]!thsiFinD("ths_adjustment_nv_fund",U$3,$A800))</x:f>
        <x:v>#NAME?</x:v>
      </x:c>
      <x:c r="V800" s="146" t="e">
        <x:f>IF($A800="","",[1]!thsiFinD("ths_adjustment_nv_fund",V$3,$A800))</x:f>
        <x:v>#NAME?</x:v>
      </x:c>
      <x:c r="W800" s="146" t="e">
        <x:f>IF($A800="","",[1]!thsiFinD("ths_adjustment_nv_fund",W$3,$A800))</x:f>
        <x:v>#NAME?</x:v>
      </x:c>
      <x:c r="X800" s="146" t="e">
        <x:f>IF($A800="","",[1]!thsiFinD("ths_adjustment_nv_fund",X$3,$A800))</x:f>
        <x:v>#NAME?</x:v>
      </x:c>
      <x:c r="Y800" s="146" t="e">
        <x:f>IF($A800="","",[1]!thsiFinD("ths_adjustment_nv_fund",Y$3,$A800))</x:f>
        <x:v>#NAME?</x:v>
      </x:c>
      <x:c r="Z800" s="146" t="e">
        <x:f>IF($A800="","",[1]!thsiFinD("ths_adjustment_nv_fund",Z$3,$A800))</x:f>
        <x:v>#NAME?</x:v>
      </x:c>
      <x:c r="AA800" s="146" t="e">
        <x:f>IF($A800="","",[1]!thsiFinD("ths_adjustment_nv_fund",AA$3,$A800))</x:f>
        <x:v>#NAME?</x:v>
      </x:c>
    </x:row>
    <x:row r="801">
      <x:c r="B801" s="146" t="e">
        <x:f>IF($A801="","",[1]!thsiFinD("ths_adjustment_nv_fund",B$3,$A801))</x:f>
        <x:v>#NAME?</x:v>
      </x:c>
      <x:c r="C801" s="146" t="e">
        <x:f>IF($A801="","",[1]!thsiFinD("ths_adjustment_nv_fund",C$3,$A801))</x:f>
        <x:v>#NAME?</x:v>
      </x:c>
      <x:c r="D801" s="146" t="e">
        <x:f>IF($A801="","",[1]!thsiFinD("ths_adjustment_nv_fund",D$3,$A801))</x:f>
        <x:v>#NAME?</x:v>
      </x:c>
      <x:c r="E801" s="146" t="e">
        <x:f>IF($A801="","",[1]!thsiFinD("ths_adjustment_nv_fund",E$3,$A801))</x:f>
        <x:v>#NAME?</x:v>
      </x:c>
      <x:c r="F801" s="146" t="e">
        <x:f>IF($A801="","",[1]!thsiFinD("ths_adjustment_nv_fund",F$3,$A801))</x:f>
        <x:v>#NAME?</x:v>
      </x:c>
      <x:c r="G801" s="146" t="e">
        <x:f>IF($A801="","",[1]!thsiFinD("ths_adjustment_nv_fund",G$3,$A801))</x:f>
        <x:v>#NAME?</x:v>
      </x:c>
      <x:c r="H801" s="146" t="e">
        <x:f>IF($A801="","",[1]!thsiFinD("ths_adjustment_nv_fund",H$3,$A801))</x:f>
        <x:v>#NAME?</x:v>
      </x:c>
      <x:c r="I801" s="146" t="e">
        <x:f>IF($A801="","",[1]!thsiFinD("ths_adjustment_nv_fund",I$3,$A801))</x:f>
        <x:v>#NAME?</x:v>
      </x:c>
      <x:c r="J801" s="146" t="e">
        <x:f>IF($A801="","",[1]!thsiFinD("ths_adjustment_nv_fund",J$3,$A801))</x:f>
        <x:v>#NAME?</x:v>
      </x:c>
      <x:c r="K801" s="146" t="e">
        <x:f>IF($A801="","",[1]!thsiFinD("ths_adjustment_nv_fund",K$3,$A801))</x:f>
        <x:v>#NAME?</x:v>
      </x:c>
      <x:c r="L801" s="146" t="e">
        <x:f>IF($A801="","",[1]!thsiFinD("ths_adjustment_nv_fund",L$3,$A801))</x:f>
        <x:v>#NAME?</x:v>
      </x:c>
      <x:c r="M801" s="146" t="e">
        <x:f>IF($A801="","",[1]!thsiFinD("ths_adjustment_nv_fund",M$3,$A801))</x:f>
        <x:v>#NAME?</x:v>
      </x:c>
      <x:c r="N801" s="146" t="e">
        <x:f>IF($A801="","",[1]!thsiFinD("ths_adjustment_nv_fund",N$3,$A801))</x:f>
        <x:v>#NAME?</x:v>
      </x:c>
      <x:c r="O801" s="146" t="e">
        <x:f>IF($A801="","",[1]!thsiFinD("ths_adjustment_nv_fund",O$3,$A801))</x:f>
        <x:v>#NAME?</x:v>
      </x:c>
      <x:c r="P801" s="146" t="e">
        <x:f>IF($A801="","",[1]!thsiFinD("ths_adjustment_nv_fund",P$3,$A801))</x:f>
        <x:v>#NAME?</x:v>
      </x:c>
      <x:c r="Q801" s="146" t="e">
        <x:f>IF($A801="","",[1]!thsiFinD("ths_adjustment_nv_fund",Q$3,$A801))</x:f>
        <x:v>#NAME?</x:v>
      </x:c>
      <x:c r="R801" s="146" t="e">
        <x:f>IF($A801="","",[1]!thsiFinD("ths_adjustment_nv_fund",R$3,$A801))</x:f>
        <x:v>#NAME?</x:v>
      </x:c>
      <x:c r="S801" s="146" t="e">
        <x:f>IF($A801="","",[1]!thsiFinD("ths_adjustment_nv_fund",S$3,$A801))</x:f>
        <x:v>#NAME?</x:v>
      </x:c>
      <x:c r="T801" s="146" t="e">
        <x:f>IF($A801="","",[1]!thsiFinD("ths_adjustment_nv_fund",T$3,$A801))</x:f>
        <x:v>#NAME?</x:v>
      </x:c>
      <x:c r="U801" s="146" t="e">
        <x:f>IF($A801="","",[1]!thsiFinD("ths_adjustment_nv_fund",U$3,$A801))</x:f>
        <x:v>#NAME?</x:v>
      </x:c>
      <x:c r="V801" s="146" t="e">
        <x:f>IF($A801="","",[1]!thsiFinD("ths_adjustment_nv_fund",V$3,$A801))</x:f>
        <x:v>#NAME?</x:v>
      </x:c>
      <x:c r="W801" s="146" t="e">
        <x:f>IF($A801="","",[1]!thsiFinD("ths_adjustment_nv_fund",W$3,$A801))</x:f>
        <x:v>#NAME?</x:v>
      </x:c>
      <x:c r="X801" s="146" t="e">
        <x:f>IF($A801="","",[1]!thsiFinD("ths_adjustment_nv_fund",X$3,$A801))</x:f>
        <x:v>#NAME?</x:v>
      </x:c>
      <x:c r="Y801" s="146" t="e">
        <x:f>IF($A801="","",[1]!thsiFinD("ths_adjustment_nv_fund",Y$3,$A801))</x:f>
        <x:v>#NAME?</x:v>
      </x:c>
      <x:c r="Z801" s="146" t="e">
        <x:f>IF($A801="","",[1]!thsiFinD("ths_adjustment_nv_fund",Z$3,$A801))</x:f>
        <x:v>#NAME?</x:v>
      </x:c>
      <x:c r="AA801" s="146" t="e">
        <x:f>IF($A801="","",[1]!thsiFinD("ths_adjustment_nv_fund",AA$3,$A801))</x:f>
        <x:v>#NAME?</x:v>
      </x:c>
    </x:row>
    <x:row r="802">
      <x:c r="B802" s="146" t="e">
        <x:f>IF($A802="","",[1]!thsiFinD("ths_adjustment_nv_fund",B$3,$A802))</x:f>
        <x:v>#NAME?</x:v>
      </x:c>
      <x:c r="C802" s="146" t="e">
        <x:f>IF($A802="","",[1]!thsiFinD("ths_adjustment_nv_fund",C$3,$A802))</x:f>
        <x:v>#NAME?</x:v>
      </x:c>
      <x:c r="D802" s="146" t="e">
        <x:f>IF($A802="","",[1]!thsiFinD("ths_adjustment_nv_fund",D$3,$A802))</x:f>
        <x:v>#NAME?</x:v>
      </x:c>
      <x:c r="E802" s="146" t="e">
        <x:f>IF($A802="","",[1]!thsiFinD("ths_adjustment_nv_fund",E$3,$A802))</x:f>
        <x:v>#NAME?</x:v>
      </x:c>
      <x:c r="F802" s="146" t="e">
        <x:f>IF($A802="","",[1]!thsiFinD("ths_adjustment_nv_fund",F$3,$A802))</x:f>
        <x:v>#NAME?</x:v>
      </x:c>
      <x:c r="G802" s="146" t="e">
        <x:f>IF($A802="","",[1]!thsiFinD("ths_adjustment_nv_fund",G$3,$A802))</x:f>
        <x:v>#NAME?</x:v>
      </x:c>
      <x:c r="H802" s="146" t="e">
        <x:f>IF($A802="","",[1]!thsiFinD("ths_adjustment_nv_fund",H$3,$A802))</x:f>
        <x:v>#NAME?</x:v>
      </x:c>
      <x:c r="I802" s="146" t="e">
        <x:f>IF($A802="","",[1]!thsiFinD("ths_adjustment_nv_fund",I$3,$A802))</x:f>
        <x:v>#NAME?</x:v>
      </x:c>
      <x:c r="J802" s="146" t="e">
        <x:f>IF($A802="","",[1]!thsiFinD("ths_adjustment_nv_fund",J$3,$A802))</x:f>
        <x:v>#NAME?</x:v>
      </x:c>
      <x:c r="K802" s="146" t="e">
        <x:f>IF($A802="","",[1]!thsiFinD("ths_adjustment_nv_fund",K$3,$A802))</x:f>
        <x:v>#NAME?</x:v>
      </x:c>
      <x:c r="L802" s="146" t="e">
        <x:f>IF($A802="","",[1]!thsiFinD("ths_adjustment_nv_fund",L$3,$A802))</x:f>
        <x:v>#NAME?</x:v>
      </x:c>
      <x:c r="M802" s="146" t="e">
        <x:f>IF($A802="","",[1]!thsiFinD("ths_adjustment_nv_fund",M$3,$A802))</x:f>
        <x:v>#NAME?</x:v>
      </x:c>
      <x:c r="N802" s="146" t="e">
        <x:f>IF($A802="","",[1]!thsiFinD("ths_adjustment_nv_fund",N$3,$A802))</x:f>
        <x:v>#NAME?</x:v>
      </x:c>
      <x:c r="O802" s="146" t="e">
        <x:f>IF($A802="","",[1]!thsiFinD("ths_adjustment_nv_fund",O$3,$A802))</x:f>
        <x:v>#NAME?</x:v>
      </x:c>
      <x:c r="P802" s="146" t="e">
        <x:f>IF($A802="","",[1]!thsiFinD("ths_adjustment_nv_fund",P$3,$A802))</x:f>
        <x:v>#NAME?</x:v>
      </x:c>
      <x:c r="Q802" s="146" t="e">
        <x:f>IF($A802="","",[1]!thsiFinD("ths_adjustment_nv_fund",Q$3,$A802))</x:f>
        <x:v>#NAME?</x:v>
      </x:c>
      <x:c r="R802" s="146" t="e">
        <x:f>IF($A802="","",[1]!thsiFinD("ths_adjustment_nv_fund",R$3,$A802))</x:f>
        <x:v>#NAME?</x:v>
      </x:c>
      <x:c r="S802" s="146" t="e">
        <x:f>IF($A802="","",[1]!thsiFinD("ths_adjustment_nv_fund",S$3,$A802))</x:f>
        <x:v>#NAME?</x:v>
      </x:c>
      <x:c r="T802" s="146" t="e">
        <x:f>IF($A802="","",[1]!thsiFinD("ths_adjustment_nv_fund",T$3,$A802))</x:f>
        <x:v>#NAME?</x:v>
      </x:c>
      <x:c r="U802" s="146" t="e">
        <x:f>IF($A802="","",[1]!thsiFinD("ths_adjustment_nv_fund",U$3,$A802))</x:f>
        <x:v>#NAME?</x:v>
      </x:c>
      <x:c r="V802" s="146" t="e">
        <x:f>IF($A802="","",[1]!thsiFinD("ths_adjustment_nv_fund",V$3,$A802))</x:f>
        <x:v>#NAME?</x:v>
      </x:c>
      <x:c r="W802" s="146" t="e">
        <x:f>IF($A802="","",[1]!thsiFinD("ths_adjustment_nv_fund",W$3,$A802))</x:f>
        <x:v>#NAME?</x:v>
      </x:c>
      <x:c r="X802" s="146" t="e">
        <x:f>IF($A802="","",[1]!thsiFinD("ths_adjustment_nv_fund",X$3,$A802))</x:f>
        <x:v>#NAME?</x:v>
      </x:c>
      <x:c r="Y802" s="146" t="e">
        <x:f>IF($A802="","",[1]!thsiFinD("ths_adjustment_nv_fund",Y$3,$A802))</x:f>
        <x:v>#NAME?</x:v>
      </x:c>
      <x:c r="Z802" s="146" t="e">
        <x:f>IF($A802="","",[1]!thsiFinD("ths_adjustment_nv_fund",Z$3,$A802))</x:f>
        <x:v>#NAME?</x:v>
      </x:c>
      <x:c r="AA802" s="146" t="e">
        <x:f>IF($A802="","",[1]!thsiFinD("ths_adjustment_nv_fund",AA$3,$A802))</x:f>
        <x:v>#NAME?</x:v>
      </x:c>
    </x:row>
    <x:row r="803">
      <x:c r="B803" s="146" t="e">
        <x:f>IF($A803="","",[1]!thsiFinD("ths_adjustment_nv_fund",B$3,$A803))</x:f>
        <x:v>#NAME?</x:v>
      </x:c>
      <x:c r="C803" s="146" t="e">
        <x:f>IF($A803="","",[1]!thsiFinD("ths_adjustment_nv_fund",C$3,$A803))</x:f>
        <x:v>#NAME?</x:v>
      </x:c>
      <x:c r="D803" s="146" t="e">
        <x:f>IF($A803="","",[1]!thsiFinD("ths_adjustment_nv_fund",D$3,$A803))</x:f>
        <x:v>#NAME?</x:v>
      </x:c>
      <x:c r="E803" s="146" t="e">
        <x:f>IF($A803="","",[1]!thsiFinD("ths_adjustment_nv_fund",E$3,$A803))</x:f>
        <x:v>#NAME?</x:v>
      </x:c>
      <x:c r="F803" s="146" t="e">
        <x:f>IF($A803="","",[1]!thsiFinD("ths_adjustment_nv_fund",F$3,$A803))</x:f>
        <x:v>#NAME?</x:v>
      </x:c>
      <x:c r="G803" s="146" t="e">
        <x:f>IF($A803="","",[1]!thsiFinD("ths_adjustment_nv_fund",G$3,$A803))</x:f>
        <x:v>#NAME?</x:v>
      </x:c>
      <x:c r="H803" s="146" t="e">
        <x:f>IF($A803="","",[1]!thsiFinD("ths_adjustment_nv_fund",H$3,$A803))</x:f>
        <x:v>#NAME?</x:v>
      </x:c>
      <x:c r="I803" s="146" t="e">
        <x:f>IF($A803="","",[1]!thsiFinD("ths_adjustment_nv_fund",I$3,$A803))</x:f>
        <x:v>#NAME?</x:v>
      </x:c>
      <x:c r="J803" s="146" t="e">
        <x:f>IF($A803="","",[1]!thsiFinD("ths_adjustment_nv_fund",J$3,$A803))</x:f>
        <x:v>#NAME?</x:v>
      </x:c>
      <x:c r="K803" s="146" t="e">
        <x:f>IF($A803="","",[1]!thsiFinD("ths_adjustment_nv_fund",K$3,$A803))</x:f>
        <x:v>#NAME?</x:v>
      </x:c>
      <x:c r="L803" s="146" t="e">
        <x:f>IF($A803="","",[1]!thsiFinD("ths_adjustment_nv_fund",L$3,$A803))</x:f>
        <x:v>#NAME?</x:v>
      </x:c>
      <x:c r="M803" s="146" t="e">
        <x:f>IF($A803="","",[1]!thsiFinD("ths_adjustment_nv_fund",M$3,$A803))</x:f>
        <x:v>#NAME?</x:v>
      </x:c>
      <x:c r="N803" s="146" t="e">
        <x:f>IF($A803="","",[1]!thsiFinD("ths_adjustment_nv_fund",N$3,$A803))</x:f>
        <x:v>#NAME?</x:v>
      </x:c>
      <x:c r="O803" s="146" t="e">
        <x:f>IF($A803="","",[1]!thsiFinD("ths_adjustment_nv_fund",O$3,$A803))</x:f>
        <x:v>#NAME?</x:v>
      </x:c>
      <x:c r="P803" s="146" t="e">
        <x:f>IF($A803="","",[1]!thsiFinD("ths_adjustment_nv_fund",P$3,$A803))</x:f>
        <x:v>#NAME?</x:v>
      </x:c>
      <x:c r="Q803" s="146" t="e">
        <x:f>IF($A803="","",[1]!thsiFinD("ths_adjustment_nv_fund",Q$3,$A803))</x:f>
        <x:v>#NAME?</x:v>
      </x:c>
      <x:c r="R803" s="146" t="e">
        <x:f>IF($A803="","",[1]!thsiFinD("ths_adjustment_nv_fund",R$3,$A803))</x:f>
        <x:v>#NAME?</x:v>
      </x:c>
      <x:c r="S803" s="146" t="e">
        <x:f>IF($A803="","",[1]!thsiFinD("ths_adjustment_nv_fund",S$3,$A803))</x:f>
        <x:v>#NAME?</x:v>
      </x:c>
      <x:c r="T803" s="146" t="e">
        <x:f>IF($A803="","",[1]!thsiFinD("ths_adjustment_nv_fund",T$3,$A803))</x:f>
        <x:v>#NAME?</x:v>
      </x:c>
      <x:c r="U803" s="146" t="e">
        <x:f>IF($A803="","",[1]!thsiFinD("ths_adjustment_nv_fund",U$3,$A803))</x:f>
        <x:v>#NAME?</x:v>
      </x:c>
      <x:c r="V803" s="146" t="e">
        <x:f>IF($A803="","",[1]!thsiFinD("ths_adjustment_nv_fund",V$3,$A803))</x:f>
        <x:v>#NAME?</x:v>
      </x:c>
      <x:c r="W803" s="146" t="e">
        <x:f>IF($A803="","",[1]!thsiFinD("ths_adjustment_nv_fund",W$3,$A803))</x:f>
        <x:v>#NAME?</x:v>
      </x:c>
      <x:c r="X803" s="146" t="e">
        <x:f>IF($A803="","",[1]!thsiFinD("ths_adjustment_nv_fund",X$3,$A803))</x:f>
        <x:v>#NAME?</x:v>
      </x:c>
      <x:c r="Y803" s="146" t="e">
        <x:f>IF($A803="","",[1]!thsiFinD("ths_adjustment_nv_fund",Y$3,$A803))</x:f>
        <x:v>#NAME?</x:v>
      </x:c>
      <x:c r="Z803" s="146" t="e">
        <x:f>IF($A803="","",[1]!thsiFinD("ths_adjustment_nv_fund",Z$3,$A803))</x:f>
        <x:v>#NAME?</x:v>
      </x:c>
      <x:c r="AA803" s="146" t="e">
        <x:f>IF($A803="","",[1]!thsiFinD("ths_adjustment_nv_fund",AA$3,$A803))</x:f>
        <x:v>#NAME?</x:v>
      </x:c>
    </x:row>
    <x:row r="804">
      <x:c r="B804" s="146" t="e">
        <x:f>IF($A804="","",[1]!thsiFinD("ths_adjustment_nv_fund",B$3,$A804))</x:f>
        <x:v>#NAME?</x:v>
      </x:c>
      <x:c r="C804" s="146" t="e">
        <x:f>IF($A804="","",[1]!thsiFinD("ths_adjustment_nv_fund",C$3,$A804))</x:f>
        <x:v>#NAME?</x:v>
      </x:c>
      <x:c r="D804" s="146" t="e">
        <x:f>IF($A804="","",[1]!thsiFinD("ths_adjustment_nv_fund",D$3,$A804))</x:f>
        <x:v>#NAME?</x:v>
      </x:c>
      <x:c r="E804" s="146" t="e">
        <x:f>IF($A804="","",[1]!thsiFinD("ths_adjustment_nv_fund",E$3,$A804))</x:f>
        <x:v>#NAME?</x:v>
      </x:c>
      <x:c r="F804" s="146" t="e">
        <x:f>IF($A804="","",[1]!thsiFinD("ths_adjustment_nv_fund",F$3,$A804))</x:f>
        <x:v>#NAME?</x:v>
      </x:c>
      <x:c r="G804" s="146" t="e">
        <x:f>IF($A804="","",[1]!thsiFinD("ths_adjustment_nv_fund",G$3,$A804))</x:f>
        <x:v>#NAME?</x:v>
      </x:c>
      <x:c r="H804" s="146" t="e">
        <x:f>IF($A804="","",[1]!thsiFinD("ths_adjustment_nv_fund",H$3,$A804))</x:f>
        <x:v>#NAME?</x:v>
      </x:c>
      <x:c r="I804" s="146" t="e">
        <x:f>IF($A804="","",[1]!thsiFinD("ths_adjustment_nv_fund",I$3,$A804))</x:f>
        <x:v>#NAME?</x:v>
      </x:c>
      <x:c r="J804" s="146" t="e">
        <x:f>IF($A804="","",[1]!thsiFinD("ths_adjustment_nv_fund",J$3,$A804))</x:f>
        <x:v>#NAME?</x:v>
      </x:c>
      <x:c r="K804" s="146" t="e">
        <x:f>IF($A804="","",[1]!thsiFinD("ths_adjustment_nv_fund",K$3,$A804))</x:f>
        <x:v>#NAME?</x:v>
      </x:c>
      <x:c r="L804" s="146" t="e">
        <x:f>IF($A804="","",[1]!thsiFinD("ths_adjustment_nv_fund",L$3,$A804))</x:f>
        <x:v>#NAME?</x:v>
      </x:c>
      <x:c r="M804" s="146" t="e">
        <x:f>IF($A804="","",[1]!thsiFinD("ths_adjustment_nv_fund",M$3,$A804))</x:f>
        <x:v>#NAME?</x:v>
      </x:c>
      <x:c r="N804" s="146" t="e">
        <x:f>IF($A804="","",[1]!thsiFinD("ths_adjustment_nv_fund",N$3,$A804))</x:f>
        <x:v>#NAME?</x:v>
      </x:c>
      <x:c r="O804" s="146" t="e">
        <x:f>IF($A804="","",[1]!thsiFinD("ths_adjustment_nv_fund",O$3,$A804))</x:f>
        <x:v>#NAME?</x:v>
      </x:c>
      <x:c r="P804" s="146" t="e">
        <x:f>IF($A804="","",[1]!thsiFinD("ths_adjustment_nv_fund",P$3,$A804))</x:f>
        <x:v>#NAME?</x:v>
      </x:c>
      <x:c r="Q804" s="146" t="e">
        <x:f>IF($A804="","",[1]!thsiFinD("ths_adjustment_nv_fund",Q$3,$A804))</x:f>
        <x:v>#NAME?</x:v>
      </x:c>
      <x:c r="R804" s="146" t="e">
        <x:f>IF($A804="","",[1]!thsiFinD("ths_adjustment_nv_fund",R$3,$A804))</x:f>
        <x:v>#NAME?</x:v>
      </x:c>
      <x:c r="S804" s="146" t="e">
        <x:f>IF($A804="","",[1]!thsiFinD("ths_adjustment_nv_fund",S$3,$A804))</x:f>
        <x:v>#NAME?</x:v>
      </x:c>
      <x:c r="T804" s="146" t="e">
        <x:f>IF($A804="","",[1]!thsiFinD("ths_adjustment_nv_fund",T$3,$A804))</x:f>
        <x:v>#NAME?</x:v>
      </x:c>
      <x:c r="U804" s="146" t="e">
        <x:f>IF($A804="","",[1]!thsiFinD("ths_adjustment_nv_fund",U$3,$A804))</x:f>
        <x:v>#NAME?</x:v>
      </x:c>
      <x:c r="V804" s="146" t="e">
        <x:f>IF($A804="","",[1]!thsiFinD("ths_adjustment_nv_fund",V$3,$A804))</x:f>
        <x:v>#NAME?</x:v>
      </x:c>
      <x:c r="W804" s="146" t="e">
        <x:f>IF($A804="","",[1]!thsiFinD("ths_adjustment_nv_fund",W$3,$A804))</x:f>
        <x:v>#NAME?</x:v>
      </x:c>
      <x:c r="X804" s="146" t="e">
        <x:f>IF($A804="","",[1]!thsiFinD("ths_adjustment_nv_fund",X$3,$A804))</x:f>
        <x:v>#NAME?</x:v>
      </x:c>
      <x:c r="Y804" s="146" t="e">
        <x:f>IF($A804="","",[1]!thsiFinD("ths_adjustment_nv_fund",Y$3,$A804))</x:f>
        <x:v>#NAME?</x:v>
      </x:c>
      <x:c r="Z804" s="146" t="e">
        <x:f>IF($A804="","",[1]!thsiFinD("ths_adjustment_nv_fund",Z$3,$A804))</x:f>
        <x:v>#NAME?</x:v>
      </x:c>
      <x:c r="AA804" s="146" t="e">
        <x:f>IF($A804="","",[1]!thsiFinD("ths_adjustment_nv_fund",AA$3,$A804))</x:f>
        <x:v>#NAME?</x:v>
      </x:c>
    </x:row>
    <x:row r="805">
      <x:c r="B805" s="146" t="e">
        <x:f>IF($A805="","",[1]!thsiFinD("ths_adjustment_nv_fund",B$3,$A805))</x:f>
        <x:v>#NAME?</x:v>
      </x:c>
      <x:c r="C805" s="146" t="e">
        <x:f>IF($A805="","",[1]!thsiFinD("ths_adjustment_nv_fund",C$3,$A805))</x:f>
        <x:v>#NAME?</x:v>
      </x:c>
      <x:c r="D805" s="146" t="e">
        <x:f>IF($A805="","",[1]!thsiFinD("ths_adjustment_nv_fund",D$3,$A805))</x:f>
        <x:v>#NAME?</x:v>
      </x:c>
      <x:c r="E805" s="146" t="e">
        <x:f>IF($A805="","",[1]!thsiFinD("ths_adjustment_nv_fund",E$3,$A805))</x:f>
        <x:v>#NAME?</x:v>
      </x:c>
      <x:c r="F805" s="146" t="e">
        <x:f>IF($A805="","",[1]!thsiFinD("ths_adjustment_nv_fund",F$3,$A805))</x:f>
        <x:v>#NAME?</x:v>
      </x:c>
      <x:c r="G805" s="146" t="e">
        <x:f>IF($A805="","",[1]!thsiFinD("ths_adjustment_nv_fund",G$3,$A805))</x:f>
        <x:v>#NAME?</x:v>
      </x:c>
      <x:c r="H805" s="146" t="e">
        <x:f>IF($A805="","",[1]!thsiFinD("ths_adjustment_nv_fund",H$3,$A805))</x:f>
        <x:v>#NAME?</x:v>
      </x:c>
      <x:c r="I805" s="146" t="e">
        <x:f>IF($A805="","",[1]!thsiFinD("ths_adjustment_nv_fund",I$3,$A805))</x:f>
        <x:v>#NAME?</x:v>
      </x:c>
      <x:c r="J805" s="146" t="e">
        <x:f>IF($A805="","",[1]!thsiFinD("ths_adjustment_nv_fund",J$3,$A805))</x:f>
        <x:v>#NAME?</x:v>
      </x:c>
      <x:c r="K805" s="146" t="e">
        <x:f>IF($A805="","",[1]!thsiFinD("ths_adjustment_nv_fund",K$3,$A805))</x:f>
        <x:v>#NAME?</x:v>
      </x:c>
      <x:c r="L805" s="146" t="e">
        <x:f>IF($A805="","",[1]!thsiFinD("ths_adjustment_nv_fund",L$3,$A805))</x:f>
        <x:v>#NAME?</x:v>
      </x:c>
      <x:c r="M805" s="146" t="e">
        <x:f>IF($A805="","",[1]!thsiFinD("ths_adjustment_nv_fund",M$3,$A805))</x:f>
        <x:v>#NAME?</x:v>
      </x:c>
      <x:c r="N805" s="146" t="e">
        <x:f>IF($A805="","",[1]!thsiFinD("ths_adjustment_nv_fund",N$3,$A805))</x:f>
        <x:v>#NAME?</x:v>
      </x:c>
      <x:c r="O805" s="146" t="e">
        <x:f>IF($A805="","",[1]!thsiFinD("ths_adjustment_nv_fund",O$3,$A805))</x:f>
        <x:v>#NAME?</x:v>
      </x:c>
      <x:c r="P805" s="146" t="e">
        <x:f>IF($A805="","",[1]!thsiFinD("ths_adjustment_nv_fund",P$3,$A805))</x:f>
        <x:v>#NAME?</x:v>
      </x:c>
      <x:c r="Q805" s="146" t="e">
        <x:f>IF($A805="","",[1]!thsiFinD("ths_adjustment_nv_fund",Q$3,$A805))</x:f>
        <x:v>#NAME?</x:v>
      </x:c>
      <x:c r="R805" s="146" t="e">
        <x:f>IF($A805="","",[1]!thsiFinD("ths_adjustment_nv_fund",R$3,$A805))</x:f>
        <x:v>#NAME?</x:v>
      </x:c>
      <x:c r="S805" s="146" t="e">
        <x:f>IF($A805="","",[1]!thsiFinD("ths_adjustment_nv_fund",S$3,$A805))</x:f>
        <x:v>#NAME?</x:v>
      </x:c>
      <x:c r="T805" s="146" t="e">
        <x:f>IF($A805="","",[1]!thsiFinD("ths_adjustment_nv_fund",T$3,$A805))</x:f>
        <x:v>#NAME?</x:v>
      </x:c>
      <x:c r="U805" s="146" t="e">
        <x:f>IF($A805="","",[1]!thsiFinD("ths_adjustment_nv_fund",U$3,$A805))</x:f>
        <x:v>#NAME?</x:v>
      </x:c>
      <x:c r="V805" s="146" t="e">
        <x:f>IF($A805="","",[1]!thsiFinD("ths_adjustment_nv_fund",V$3,$A805))</x:f>
        <x:v>#NAME?</x:v>
      </x:c>
      <x:c r="W805" s="146" t="e">
        <x:f>IF($A805="","",[1]!thsiFinD("ths_adjustment_nv_fund",W$3,$A805))</x:f>
        <x:v>#NAME?</x:v>
      </x:c>
      <x:c r="X805" s="146" t="e">
        <x:f>IF($A805="","",[1]!thsiFinD("ths_adjustment_nv_fund",X$3,$A805))</x:f>
        <x:v>#NAME?</x:v>
      </x:c>
      <x:c r="Y805" s="146" t="e">
        <x:f>IF($A805="","",[1]!thsiFinD("ths_adjustment_nv_fund",Y$3,$A805))</x:f>
        <x:v>#NAME?</x:v>
      </x:c>
      <x:c r="Z805" s="146" t="e">
        <x:f>IF($A805="","",[1]!thsiFinD("ths_adjustment_nv_fund",Z$3,$A805))</x:f>
        <x:v>#NAME?</x:v>
      </x:c>
      <x:c r="AA805" s="146" t="e">
        <x:f>IF($A805="","",[1]!thsiFinD("ths_adjustment_nv_fund",AA$3,$A805))</x:f>
        <x:v>#NAME?</x:v>
      </x:c>
    </x:row>
    <x:row r="806">
      <x:c r="B806" s="146" t="e">
        <x:f>IF($A806="","",[1]!thsiFinD("ths_adjustment_nv_fund",B$3,$A806))</x:f>
        <x:v>#NAME?</x:v>
      </x:c>
      <x:c r="C806" s="146" t="e">
        <x:f>IF($A806="","",[1]!thsiFinD("ths_adjustment_nv_fund",C$3,$A806))</x:f>
        <x:v>#NAME?</x:v>
      </x:c>
      <x:c r="D806" s="146" t="e">
        <x:f>IF($A806="","",[1]!thsiFinD("ths_adjustment_nv_fund",D$3,$A806))</x:f>
        <x:v>#NAME?</x:v>
      </x:c>
      <x:c r="E806" s="146" t="e">
        <x:f>IF($A806="","",[1]!thsiFinD("ths_adjustment_nv_fund",E$3,$A806))</x:f>
        <x:v>#NAME?</x:v>
      </x:c>
      <x:c r="F806" s="146" t="e">
        <x:f>IF($A806="","",[1]!thsiFinD("ths_adjustment_nv_fund",F$3,$A806))</x:f>
        <x:v>#NAME?</x:v>
      </x:c>
      <x:c r="G806" s="146" t="e">
        <x:f>IF($A806="","",[1]!thsiFinD("ths_adjustment_nv_fund",G$3,$A806))</x:f>
        <x:v>#NAME?</x:v>
      </x:c>
      <x:c r="H806" s="146" t="e">
        <x:f>IF($A806="","",[1]!thsiFinD("ths_adjustment_nv_fund",H$3,$A806))</x:f>
        <x:v>#NAME?</x:v>
      </x:c>
      <x:c r="I806" s="146" t="e">
        <x:f>IF($A806="","",[1]!thsiFinD("ths_adjustment_nv_fund",I$3,$A806))</x:f>
        <x:v>#NAME?</x:v>
      </x:c>
      <x:c r="J806" s="146" t="e">
        <x:f>IF($A806="","",[1]!thsiFinD("ths_adjustment_nv_fund",J$3,$A806))</x:f>
        <x:v>#NAME?</x:v>
      </x:c>
      <x:c r="K806" s="146" t="e">
        <x:f>IF($A806="","",[1]!thsiFinD("ths_adjustment_nv_fund",K$3,$A806))</x:f>
        <x:v>#NAME?</x:v>
      </x:c>
      <x:c r="L806" s="146" t="e">
        <x:f>IF($A806="","",[1]!thsiFinD("ths_adjustment_nv_fund",L$3,$A806))</x:f>
        <x:v>#NAME?</x:v>
      </x:c>
      <x:c r="M806" s="146" t="e">
        <x:f>IF($A806="","",[1]!thsiFinD("ths_adjustment_nv_fund",M$3,$A806))</x:f>
        <x:v>#NAME?</x:v>
      </x:c>
      <x:c r="N806" s="146" t="e">
        <x:f>IF($A806="","",[1]!thsiFinD("ths_adjustment_nv_fund",N$3,$A806))</x:f>
        <x:v>#NAME?</x:v>
      </x:c>
      <x:c r="O806" s="146" t="e">
        <x:f>IF($A806="","",[1]!thsiFinD("ths_adjustment_nv_fund",O$3,$A806))</x:f>
        <x:v>#NAME?</x:v>
      </x:c>
      <x:c r="P806" s="146" t="e">
        <x:f>IF($A806="","",[1]!thsiFinD("ths_adjustment_nv_fund",P$3,$A806))</x:f>
        <x:v>#NAME?</x:v>
      </x:c>
      <x:c r="Q806" s="146" t="e">
        <x:f>IF($A806="","",[1]!thsiFinD("ths_adjustment_nv_fund",Q$3,$A806))</x:f>
        <x:v>#NAME?</x:v>
      </x:c>
      <x:c r="R806" s="146" t="e">
        <x:f>IF($A806="","",[1]!thsiFinD("ths_adjustment_nv_fund",R$3,$A806))</x:f>
        <x:v>#NAME?</x:v>
      </x:c>
      <x:c r="S806" s="146" t="e">
        <x:f>IF($A806="","",[1]!thsiFinD("ths_adjustment_nv_fund",S$3,$A806))</x:f>
        <x:v>#NAME?</x:v>
      </x:c>
      <x:c r="T806" s="146" t="e">
        <x:f>IF($A806="","",[1]!thsiFinD("ths_adjustment_nv_fund",T$3,$A806))</x:f>
        <x:v>#NAME?</x:v>
      </x:c>
      <x:c r="U806" s="146" t="e">
        <x:f>IF($A806="","",[1]!thsiFinD("ths_adjustment_nv_fund",U$3,$A806))</x:f>
        <x:v>#NAME?</x:v>
      </x:c>
      <x:c r="V806" s="146" t="e">
        <x:f>IF($A806="","",[1]!thsiFinD("ths_adjustment_nv_fund",V$3,$A806))</x:f>
        <x:v>#NAME?</x:v>
      </x:c>
      <x:c r="W806" s="146" t="e">
        <x:f>IF($A806="","",[1]!thsiFinD("ths_adjustment_nv_fund",W$3,$A806))</x:f>
        <x:v>#NAME?</x:v>
      </x:c>
      <x:c r="X806" s="146" t="e">
        <x:f>IF($A806="","",[1]!thsiFinD("ths_adjustment_nv_fund",X$3,$A806))</x:f>
        <x:v>#NAME?</x:v>
      </x:c>
      <x:c r="Y806" s="146" t="e">
        <x:f>IF($A806="","",[1]!thsiFinD("ths_adjustment_nv_fund",Y$3,$A806))</x:f>
        <x:v>#NAME?</x:v>
      </x:c>
      <x:c r="Z806" s="146" t="e">
        <x:f>IF($A806="","",[1]!thsiFinD("ths_adjustment_nv_fund",Z$3,$A806))</x:f>
        <x:v>#NAME?</x:v>
      </x:c>
      <x:c r="AA806" s="146" t="e">
        <x:f>IF($A806="","",[1]!thsiFinD("ths_adjustment_nv_fund",AA$3,$A806))</x:f>
        <x:v>#NAME?</x:v>
      </x:c>
    </x:row>
    <x:row r="807">
      <x:c r="B807" s="146" t="e">
        <x:f>IF($A807="","",[1]!thsiFinD("ths_adjustment_nv_fund",B$3,$A807))</x:f>
        <x:v>#NAME?</x:v>
      </x:c>
      <x:c r="C807" s="146" t="e">
        <x:f>IF($A807="","",[1]!thsiFinD("ths_adjustment_nv_fund",C$3,$A807))</x:f>
        <x:v>#NAME?</x:v>
      </x:c>
      <x:c r="D807" s="146" t="e">
        <x:f>IF($A807="","",[1]!thsiFinD("ths_adjustment_nv_fund",D$3,$A807))</x:f>
        <x:v>#NAME?</x:v>
      </x:c>
      <x:c r="E807" s="146" t="e">
        <x:f>IF($A807="","",[1]!thsiFinD("ths_adjustment_nv_fund",E$3,$A807))</x:f>
        <x:v>#NAME?</x:v>
      </x:c>
      <x:c r="F807" s="146" t="e">
        <x:f>IF($A807="","",[1]!thsiFinD("ths_adjustment_nv_fund",F$3,$A807))</x:f>
        <x:v>#NAME?</x:v>
      </x:c>
      <x:c r="G807" s="146" t="e">
        <x:f>IF($A807="","",[1]!thsiFinD("ths_adjustment_nv_fund",G$3,$A807))</x:f>
        <x:v>#NAME?</x:v>
      </x:c>
      <x:c r="H807" s="146" t="e">
        <x:f>IF($A807="","",[1]!thsiFinD("ths_adjustment_nv_fund",H$3,$A807))</x:f>
        <x:v>#NAME?</x:v>
      </x:c>
      <x:c r="I807" s="146" t="e">
        <x:f>IF($A807="","",[1]!thsiFinD("ths_adjustment_nv_fund",I$3,$A807))</x:f>
        <x:v>#NAME?</x:v>
      </x:c>
      <x:c r="J807" s="146" t="e">
        <x:f>IF($A807="","",[1]!thsiFinD("ths_adjustment_nv_fund",J$3,$A807))</x:f>
        <x:v>#NAME?</x:v>
      </x:c>
      <x:c r="K807" s="146" t="e">
        <x:f>IF($A807="","",[1]!thsiFinD("ths_adjustment_nv_fund",K$3,$A807))</x:f>
        <x:v>#NAME?</x:v>
      </x:c>
      <x:c r="L807" s="146" t="e">
        <x:f>IF($A807="","",[1]!thsiFinD("ths_adjustment_nv_fund",L$3,$A807))</x:f>
        <x:v>#NAME?</x:v>
      </x:c>
      <x:c r="M807" s="146" t="e">
        <x:f>IF($A807="","",[1]!thsiFinD("ths_adjustment_nv_fund",M$3,$A807))</x:f>
        <x:v>#NAME?</x:v>
      </x:c>
      <x:c r="N807" s="146" t="e">
        <x:f>IF($A807="","",[1]!thsiFinD("ths_adjustment_nv_fund",N$3,$A807))</x:f>
        <x:v>#NAME?</x:v>
      </x:c>
      <x:c r="O807" s="146" t="e">
        <x:f>IF($A807="","",[1]!thsiFinD("ths_adjustment_nv_fund",O$3,$A807))</x:f>
        <x:v>#NAME?</x:v>
      </x:c>
      <x:c r="P807" s="146" t="e">
        <x:f>IF($A807="","",[1]!thsiFinD("ths_adjustment_nv_fund",P$3,$A807))</x:f>
        <x:v>#NAME?</x:v>
      </x:c>
      <x:c r="Q807" s="146" t="e">
        <x:f>IF($A807="","",[1]!thsiFinD("ths_adjustment_nv_fund",Q$3,$A807))</x:f>
        <x:v>#NAME?</x:v>
      </x:c>
      <x:c r="R807" s="146" t="e">
        <x:f>IF($A807="","",[1]!thsiFinD("ths_adjustment_nv_fund",R$3,$A807))</x:f>
        <x:v>#NAME?</x:v>
      </x:c>
      <x:c r="S807" s="146" t="e">
        <x:f>IF($A807="","",[1]!thsiFinD("ths_adjustment_nv_fund",S$3,$A807))</x:f>
        <x:v>#NAME?</x:v>
      </x:c>
      <x:c r="T807" s="146" t="e">
        <x:f>IF($A807="","",[1]!thsiFinD("ths_adjustment_nv_fund",T$3,$A807))</x:f>
        <x:v>#NAME?</x:v>
      </x:c>
      <x:c r="U807" s="146" t="e">
        <x:f>IF($A807="","",[1]!thsiFinD("ths_adjustment_nv_fund",U$3,$A807))</x:f>
        <x:v>#NAME?</x:v>
      </x:c>
      <x:c r="V807" s="146" t="e">
        <x:f>IF($A807="","",[1]!thsiFinD("ths_adjustment_nv_fund",V$3,$A807))</x:f>
        <x:v>#NAME?</x:v>
      </x:c>
      <x:c r="W807" s="146" t="e">
        <x:f>IF($A807="","",[1]!thsiFinD("ths_adjustment_nv_fund",W$3,$A807))</x:f>
        <x:v>#NAME?</x:v>
      </x:c>
      <x:c r="X807" s="146" t="e">
        <x:f>IF($A807="","",[1]!thsiFinD("ths_adjustment_nv_fund",X$3,$A807))</x:f>
        <x:v>#NAME?</x:v>
      </x:c>
      <x:c r="Y807" s="146" t="e">
        <x:f>IF($A807="","",[1]!thsiFinD("ths_adjustment_nv_fund",Y$3,$A807))</x:f>
        <x:v>#NAME?</x:v>
      </x:c>
      <x:c r="Z807" s="146" t="e">
        <x:f>IF($A807="","",[1]!thsiFinD("ths_adjustment_nv_fund",Z$3,$A807))</x:f>
        <x:v>#NAME?</x:v>
      </x:c>
      <x:c r="AA807" s="146" t="e">
        <x:f>IF($A807="","",[1]!thsiFinD("ths_adjustment_nv_fund",AA$3,$A807))</x:f>
        <x:v>#NAME?</x:v>
      </x:c>
    </x:row>
    <x:row r="808">
      <x:c r="B808" s="146" t="e">
        <x:f>IF($A808="","",[1]!thsiFinD("ths_adjustment_nv_fund",B$3,$A808))</x:f>
        <x:v>#NAME?</x:v>
      </x:c>
      <x:c r="C808" s="146" t="e">
        <x:f>IF($A808="","",[1]!thsiFinD("ths_adjustment_nv_fund",C$3,$A808))</x:f>
        <x:v>#NAME?</x:v>
      </x:c>
      <x:c r="D808" s="146" t="e">
        <x:f>IF($A808="","",[1]!thsiFinD("ths_adjustment_nv_fund",D$3,$A808))</x:f>
        <x:v>#NAME?</x:v>
      </x:c>
      <x:c r="E808" s="146" t="e">
        <x:f>IF($A808="","",[1]!thsiFinD("ths_adjustment_nv_fund",E$3,$A808))</x:f>
        <x:v>#NAME?</x:v>
      </x:c>
      <x:c r="F808" s="146" t="e">
        <x:f>IF($A808="","",[1]!thsiFinD("ths_adjustment_nv_fund",F$3,$A808))</x:f>
        <x:v>#NAME?</x:v>
      </x:c>
      <x:c r="G808" s="146" t="e">
        <x:f>IF($A808="","",[1]!thsiFinD("ths_adjustment_nv_fund",G$3,$A808))</x:f>
        <x:v>#NAME?</x:v>
      </x:c>
      <x:c r="H808" s="146" t="e">
        <x:f>IF($A808="","",[1]!thsiFinD("ths_adjustment_nv_fund",H$3,$A808))</x:f>
        <x:v>#NAME?</x:v>
      </x:c>
      <x:c r="I808" s="146" t="e">
        <x:f>IF($A808="","",[1]!thsiFinD("ths_adjustment_nv_fund",I$3,$A808))</x:f>
        <x:v>#NAME?</x:v>
      </x:c>
      <x:c r="J808" s="146" t="e">
        <x:f>IF($A808="","",[1]!thsiFinD("ths_adjustment_nv_fund",J$3,$A808))</x:f>
        <x:v>#NAME?</x:v>
      </x:c>
      <x:c r="K808" s="146" t="e">
        <x:f>IF($A808="","",[1]!thsiFinD("ths_adjustment_nv_fund",K$3,$A808))</x:f>
        <x:v>#NAME?</x:v>
      </x:c>
      <x:c r="L808" s="146" t="e">
        <x:f>IF($A808="","",[1]!thsiFinD("ths_adjustment_nv_fund",L$3,$A808))</x:f>
        <x:v>#NAME?</x:v>
      </x:c>
      <x:c r="M808" s="146" t="e">
        <x:f>IF($A808="","",[1]!thsiFinD("ths_adjustment_nv_fund",M$3,$A808))</x:f>
        <x:v>#NAME?</x:v>
      </x:c>
      <x:c r="N808" s="146" t="e">
        <x:f>IF($A808="","",[1]!thsiFinD("ths_adjustment_nv_fund",N$3,$A808))</x:f>
        <x:v>#NAME?</x:v>
      </x:c>
      <x:c r="O808" s="146" t="e">
        <x:f>IF($A808="","",[1]!thsiFinD("ths_adjustment_nv_fund",O$3,$A808))</x:f>
        <x:v>#NAME?</x:v>
      </x:c>
      <x:c r="P808" s="146" t="e">
        <x:f>IF($A808="","",[1]!thsiFinD("ths_adjustment_nv_fund",P$3,$A808))</x:f>
        <x:v>#NAME?</x:v>
      </x:c>
      <x:c r="Q808" s="146" t="e">
        <x:f>IF($A808="","",[1]!thsiFinD("ths_adjustment_nv_fund",Q$3,$A808))</x:f>
        <x:v>#NAME?</x:v>
      </x:c>
      <x:c r="R808" s="146" t="e">
        <x:f>IF($A808="","",[1]!thsiFinD("ths_adjustment_nv_fund",R$3,$A808))</x:f>
        <x:v>#NAME?</x:v>
      </x:c>
      <x:c r="S808" s="146" t="e">
        <x:f>IF($A808="","",[1]!thsiFinD("ths_adjustment_nv_fund",S$3,$A808))</x:f>
        <x:v>#NAME?</x:v>
      </x:c>
      <x:c r="T808" s="146" t="e">
        <x:f>IF($A808="","",[1]!thsiFinD("ths_adjustment_nv_fund",T$3,$A808))</x:f>
        <x:v>#NAME?</x:v>
      </x:c>
      <x:c r="U808" s="146" t="e">
        <x:f>IF($A808="","",[1]!thsiFinD("ths_adjustment_nv_fund",U$3,$A808))</x:f>
        <x:v>#NAME?</x:v>
      </x:c>
      <x:c r="V808" s="146" t="e">
        <x:f>IF($A808="","",[1]!thsiFinD("ths_adjustment_nv_fund",V$3,$A808))</x:f>
        <x:v>#NAME?</x:v>
      </x:c>
      <x:c r="W808" s="146" t="e">
        <x:f>IF($A808="","",[1]!thsiFinD("ths_adjustment_nv_fund",W$3,$A808))</x:f>
        <x:v>#NAME?</x:v>
      </x:c>
      <x:c r="X808" s="146" t="e">
        <x:f>IF($A808="","",[1]!thsiFinD("ths_adjustment_nv_fund",X$3,$A808))</x:f>
        <x:v>#NAME?</x:v>
      </x:c>
      <x:c r="Y808" s="146" t="e">
        <x:f>IF($A808="","",[1]!thsiFinD("ths_adjustment_nv_fund",Y$3,$A808))</x:f>
        <x:v>#NAME?</x:v>
      </x:c>
      <x:c r="Z808" s="146" t="e">
        <x:f>IF($A808="","",[1]!thsiFinD("ths_adjustment_nv_fund",Z$3,$A808))</x:f>
        <x:v>#NAME?</x:v>
      </x:c>
      <x:c r="AA808" s="146" t="e">
        <x:f>IF($A808="","",[1]!thsiFinD("ths_adjustment_nv_fund",AA$3,$A808))</x:f>
        <x:v>#NAME?</x:v>
      </x:c>
    </x:row>
    <x:row r="809">
      <x:c r="B809" s="146" t="e">
        <x:f>IF($A809="","",[1]!thsiFinD("ths_adjustment_nv_fund",B$3,$A809))</x:f>
        <x:v>#NAME?</x:v>
      </x:c>
      <x:c r="C809" s="146" t="e">
        <x:f>IF($A809="","",[1]!thsiFinD("ths_adjustment_nv_fund",C$3,$A809))</x:f>
        <x:v>#NAME?</x:v>
      </x:c>
      <x:c r="D809" s="146" t="e">
        <x:f>IF($A809="","",[1]!thsiFinD("ths_adjustment_nv_fund",D$3,$A809))</x:f>
        <x:v>#NAME?</x:v>
      </x:c>
      <x:c r="E809" s="146" t="e">
        <x:f>IF($A809="","",[1]!thsiFinD("ths_adjustment_nv_fund",E$3,$A809))</x:f>
        <x:v>#NAME?</x:v>
      </x:c>
      <x:c r="F809" s="146" t="e">
        <x:f>IF($A809="","",[1]!thsiFinD("ths_adjustment_nv_fund",F$3,$A809))</x:f>
        <x:v>#NAME?</x:v>
      </x:c>
      <x:c r="G809" s="146" t="e">
        <x:f>IF($A809="","",[1]!thsiFinD("ths_adjustment_nv_fund",G$3,$A809))</x:f>
        <x:v>#NAME?</x:v>
      </x:c>
      <x:c r="H809" s="146" t="e">
        <x:f>IF($A809="","",[1]!thsiFinD("ths_adjustment_nv_fund",H$3,$A809))</x:f>
        <x:v>#NAME?</x:v>
      </x:c>
      <x:c r="I809" s="146" t="e">
        <x:f>IF($A809="","",[1]!thsiFinD("ths_adjustment_nv_fund",I$3,$A809))</x:f>
        <x:v>#NAME?</x:v>
      </x:c>
      <x:c r="J809" s="146" t="e">
        <x:f>IF($A809="","",[1]!thsiFinD("ths_adjustment_nv_fund",J$3,$A809))</x:f>
        <x:v>#NAME?</x:v>
      </x:c>
      <x:c r="K809" s="146" t="e">
        <x:f>IF($A809="","",[1]!thsiFinD("ths_adjustment_nv_fund",K$3,$A809))</x:f>
        <x:v>#NAME?</x:v>
      </x:c>
      <x:c r="L809" s="146" t="e">
        <x:f>IF($A809="","",[1]!thsiFinD("ths_adjustment_nv_fund",L$3,$A809))</x:f>
        <x:v>#NAME?</x:v>
      </x:c>
      <x:c r="M809" s="146" t="e">
        <x:f>IF($A809="","",[1]!thsiFinD("ths_adjustment_nv_fund",M$3,$A809))</x:f>
        <x:v>#NAME?</x:v>
      </x:c>
      <x:c r="N809" s="146" t="e">
        <x:f>IF($A809="","",[1]!thsiFinD("ths_adjustment_nv_fund",N$3,$A809))</x:f>
        <x:v>#NAME?</x:v>
      </x:c>
      <x:c r="O809" s="146" t="e">
        <x:f>IF($A809="","",[1]!thsiFinD("ths_adjustment_nv_fund",O$3,$A809))</x:f>
        <x:v>#NAME?</x:v>
      </x:c>
      <x:c r="P809" s="146" t="e">
        <x:f>IF($A809="","",[1]!thsiFinD("ths_adjustment_nv_fund",P$3,$A809))</x:f>
        <x:v>#NAME?</x:v>
      </x:c>
      <x:c r="Q809" s="146" t="e">
        <x:f>IF($A809="","",[1]!thsiFinD("ths_adjustment_nv_fund",Q$3,$A809))</x:f>
        <x:v>#NAME?</x:v>
      </x:c>
      <x:c r="R809" s="146" t="e">
        <x:f>IF($A809="","",[1]!thsiFinD("ths_adjustment_nv_fund",R$3,$A809))</x:f>
        <x:v>#NAME?</x:v>
      </x:c>
      <x:c r="S809" s="146" t="e">
        <x:f>IF($A809="","",[1]!thsiFinD("ths_adjustment_nv_fund",S$3,$A809))</x:f>
        <x:v>#NAME?</x:v>
      </x:c>
      <x:c r="T809" s="146" t="e">
        <x:f>IF($A809="","",[1]!thsiFinD("ths_adjustment_nv_fund",T$3,$A809))</x:f>
        <x:v>#NAME?</x:v>
      </x:c>
      <x:c r="U809" s="146" t="e">
        <x:f>IF($A809="","",[1]!thsiFinD("ths_adjustment_nv_fund",U$3,$A809))</x:f>
        <x:v>#NAME?</x:v>
      </x:c>
      <x:c r="V809" s="146" t="e">
        <x:f>IF($A809="","",[1]!thsiFinD("ths_adjustment_nv_fund",V$3,$A809))</x:f>
        <x:v>#NAME?</x:v>
      </x:c>
      <x:c r="W809" s="146" t="e">
        <x:f>IF($A809="","",[1]!thsiFinD("ths_adjustment_nv_fund",W$3,$A809))</x:f>
        <x:v>#NAME?</x:v>
      </x:c>
      <x:c r="X809" s="146" t="e">
        <x:f>IF($A809="","",[1]!thsiFinD("ths_adjustment_nv_fund",X$3,$A809))</x:f>
        <x:v>#NAME?</x:v>
      </x:c>
      <x:c r="Y809" s="146" t="e">
        <x:f>IF($A809="","",[1]!thsiFinD("ths_adjustment_nv_fund",Y$3,$A809))</x:f>
        <x:v>#NAME?</x:v>
      </x:c>
      <x:c r="Z809" s="146" t="e">
        <x:f>IF($A809="","",[1]!thsiFinD("ths_adjustment_nv_fund",Z$3,$A809))</x:f>
        <x:v>#NAME?</x:v>
      </x:c>
      <x:c r="AA809" s="146" t="e">
        <x:f>IF($A809="","",[1]!thsiFinD("ths_adjustment_nv_fund",AA$3,$A809))</x:f>
        <x:v>#NAME?</x:v>
      </x:c>
    </x:row>
    <x:row r="810">
      <x:c r="B810" s="146" t="e">
        <x:f>IF($A810="","",[1]!thsiFinD("ths_adjustment_nv_fund",B$3,$A810))</x:f>
        <x:v>#NAME?</x:v>
      </x:c>
      <x:c r="C810" s="146" t="e">
        <x:f>IF($A810="","",[1]!thsiFinD("ths_adjustment_nv_fund",C$3,$A810))</x:f>
        <x:v>#NAME?</x:v>
      </x:c>
      <x:c r="D810" s="146" t="e">
        <x:f>IF($A810="","",[1]!thsiFinD("ths_adjustment_nv_fund",D$3,$A810))</x:f>
        <x:v>#NAME?</x:v>
      </x:c>
      <x:c r="E810" s="146" t="e">
        <x:f>IF($A810="","",[1]!thsiFinD("ths_adjustment_nv_fund",E$3,$A810))</x:f>
        <x:v>#NAME?</x:v>
      </x:c>
      <x:c r="F810" s="146" t="e">
        <x:f>IF($A810="","",[1]!thsiFinD("ths_adjustment_nv_fund",F$3,$A810))</x:f>
        <x:v>#NAME?</x:v>
      </x:c>
      <x:c r="G810" s="146" t="e">
        <x:f>IF($A810="","",[1]!thsiFinD("ths_adjustment_nv_fund",G$3,$A810))</x:f>
        <x:v>#NAME?</x:v>
      </x:c>
      <x:c r="H810" s="146" t="e">
        <x:f>IF($A810="","",[1]!thsiFinD("ths_adjustment_nv_fund",H$3,$A810))</x:f>
        <x:v>#NAME?</x:v>
      </x:c>
      <x:c r="I810" s="146" t="e">
        <x:f>IF($A810="","",[1]!thsiFinD("ths_adjustment_nv_fund",I$3,$A810))</x:f>
        <x:v>#NAME?</x:v>
      </x:c>
      <x:c r="J810" s="146" t="e">
        <x:f>IF($A810="","",[1]!thsiFinD("ths_adjustment_nv_fund",J$3,$A810))</x:f>
        <x:v>#NAME?</x:v>
      </x:c>
      <x:c r="K810" s="146" t="e">
        <x:f>IF($A810="","",[1]!thsiFinD("ths_adjustment_nv_fund",K$3,$A810))</x:f>
        <x:v>#NAME?</x:v>
      </x:c>
      <x:c r="L810" s="146" t="e">
        <x:f>IF($A810="","",[1]!thsiFinD("ths_adjustment_nv_fund",L$3,$A810))</x:f>
        <x:v>#NAME?</x:v>
      </x:c>
      <x:c r="M810" s="146" t="e">
        <x:f>IF($A810="","",[1]!thsiFinD("ths_adjustment_nv_fund",M$3,$A810))</x:f>
        <x:v>#NAME?</x:v>
      </x:c>
      <x:c r="N810" s="146" t="e">
        <x:f>IF($A810="","",[1]!thsiFinD("ths_adjustment_nv_fund",N$3,$A810))</x:f>
        <x:v>#NAME?</x:v>
      </x:c>
      <x:c r="O810" s="146" t="e">
        <x:f>IF($A810="","",[1]!thsiFinD("ths_adjustment_nv_fund",O$3,$A810))</x:f>
        <x:v>#NAME?</x:v>
      </x:c>
      <x:c r="P810" s="146" t="e">
        <x:f>IF($A810="","",[1]!thsiFinD("ths_adjustment_nv_fund",P$3,$A810))</x:f>
        <x:v>#NAME?</x:v>
      </x:c>
      <x:c r="Q810" s="146" t="e">
        <x:f>IF($A810="","",[1]!thsiFinD("ths_adjustment_nv_fund",Q$3,$A810))</x:f>
        <x:v>#NAME?</x:v>
      </x:c>
      <x:c r="R810" s="146" t="e">
        <x:f>IF($A810="","",[1]!thsiFinD("ths_adjustment_nv_fund",R$3,$A810))</x:f>
        <x:v>#NAME?</x:v>
      </x:c>
      <x:c r="S810" s="146" t="e">
        <x:f>IF($A810="","",[1]!thsiFinD("ths_adjustment_nv_fund",S$3,$A810))</x:f>
        <x:v>#NAME?</x:v>
      </x:c>
      <x:c r="T810" s="146" t="e">
        <x:f>IF($A810="","",[1]!thsiFinD("ths_adjustment_nv_fund",T$3,$A810))</x:f>
        <x:v>#NAME?</x:v>
      </x:c>
      <x:c r="U810" s="146" t="e">
        <x:f>IF($A810="","",[1]!thsiFinD("ths_adjustment_nv_fund",U$3,$A810))</x:f>
        <x:v>#NAME?</x:v>
      </x:c>
      <x:c r="V810" s="146" t="e">
        <x:f>IF($A810="","",[1]!thsiFinD("ths_adjustment_nv_fund",V$3,$A810))</x:f>
        <x:v>#NAME?</x:v>
      </x:c>
      <x:c r="W810" s="146" t="e">
        <x:f>IF($A810="","",[1]!thsiFinD("ths_adjustment_nv_fund",W$3,$A810))</x:f>
        <x:v>#NAME?</x:v>
      </x:c>
      <x:c r="X810" s="146" t="e">
        <x:f>IF($A810="","",[1]!thsiFinD("ths_adjustment_nv_fund",X$3,$A810))</x:f>
        <x:v>#NAME?</x:v>
      </x:c>
      <x:c r="Y810" s="146" t="e">
        <x:f>IF($A810="","",[1]!thsiFinD("ths_adjustment_nv_fund",Y$3,$A810))</x:f>
        <x:v>#NAME?</x:v>
      </x:c>
      <x:c r="Z810" s="146" t="e">
        <x:f>IF($A810="","",[1]!thsiFinD("ths_adjustment_nv_fund",Z$3,$A810))</x:f>
        <x:v>#NAME?</x:v>
      </x:c>
      <x:c r="AA810" s="146" t="e">
        <x:f>IF($A810="","",[1]!thsiFinD("ths_adjustment_nv_fund",AA$3,$A810))</x:f>
        <x:v>#NAME?</x:v>
      </x:c>
    </x:row>
    <x:row r="811">
      <x:c r="B811" s="146" t="e">
        <x:f>IF($A811="","",[1]!thsiFinD("ths_adjustment_nv_fund",B$3,$A811))</x:f>
        <x:v>#NAME?</x:v>
      </x:c>
      <x:c r="C811" s="146" t="e">
        <x:f>IF($A811="","",[1]!thsiFinD("ths_adjustment_nv_fund",C$3,$A811))</x:f>
        <x:v>#NAME?</x:v>
      </x:c>
      <x:c r="D811" s="146" t="e">
        <x:f>IF($A811="","",[1]!thsiFinD("ths_adjustment_nv_fund",D$3,$A811))</x:f>
        <x:v>#NAME?</x:v>
      </x:c>
      <x:c r="E811" s="146" t="e">
        <x:f>IF($A811="","",[1]!thsiFinD("ths_adjustment_nv_fund",E$3,$A811))</x:f>
        <x:v>#NAME?</x:v>
      </x:c>
      <x:c r="F811" s="146" t="e">
        <x:f>IF($A811="","",[1]!thsiFinD("ths_adjustment_nv_fund",F$3,$A811))</x:f>
        <x:v>#NAME?</x:v>
      </x:c>
      <x:c r="G811" s="146" t="e">
        <x:f>IF($A811="","",[1]!thsiFinD("ths_adjustment_nv_fund",G$3,$A811))</x:f>
        <x:v>#NAME?</x:v>
      </x:c>
      <x:c r="H811" s="146" t="e">
        <x:f>IF($A811="","",[1]!thsiFinD("ths_adjustment_nv_fund",H$3,$A811))</x:f>
        <x:v>#NAME?</x:v>
      </x:c>
      <x:c r="I811" s="146" t="e">
        <x:f>IF($A811="","",[1]!thsiFinD("ths_adjustment_nv_fund",I$3,$A811))</x:f>
        <x:v>#NAME?</x:v>
      </x:c>
      <x:c r="J811" s="146" t="e">
        <x:f>IF($A811="","",[1]!thsiFinD("ths_adjustment_nv_fund",J$3,$A811))</x:f>
        <x:v>#NAME?</x:v>
      </x:c>
      <x:c r="K811" s="146" t="e">
        <x:f>IF($A811="","",[1]!thsiFinD("ths_adjustment_nv_fund",K$3,$A811))</x:f>
        <x:v>#NAME?</x:v>
      </x:c>
      <x:c r="L811" s="146" t="e">
        <x:f>IF($A811="","",[1]!thsiFinD("ths_adjustment_nv_fund",L$3,$A811))</x:f>
        <x:v>#NAME?</x:v>
      </x:c>
      <x:c r="M811" s="146" t="e">
        <x:f>IF($A811="","",[1]!thsiFinD("ths_adjustment_nv_fund",M$3,$A811))</x:f>
        <x:v>#NAME?</x:v>
      </x:c>
      <x:c r="N811" s="146" t="e">
        <x:f>IF($A811="","",[1]!thsiFinD("ths_adjustment_nv_fund",N$3,$A811))</x:f>
        <x:v>#NAME?</x:v>
      </x:c>
      <x:c r="O811" s="146" t="e">
        <x:f>IF($A811="","",[1]!thsiFinD("ths_adjustment_nv_fund",O$3,$A811))</x:f>
        <x:v>#NAME?</x:v>
      </x:c>
      <x:c r="P811" s="146" t="e">
        <x:f>IF($A811="","",[1]!thsiFinD("ths_adjustment_nv_fund",P$3,$A811))</x:f>
        <x:v>#NAME?</x:v>
      </x:c>
      <x:c r="Q811" s="146" t="e">
        <x:f>IF($A811="","",[1]!thsiFinD("ths_adjustment_nv_fund",Q$3,$A811))</x:f>
        <x:v>#NAME?</x:v>
      </x:c>
      <x:c r="R811" s="146" t="e">
        <x:f>IF($A811="","",[1]!thsiFinD("ths_adjustment_nv_fund",R$3,$A811))</x:f>
        <x:v>#NAME?</x:v>
      </x:c>
      <x:c r="S811" s="146" t="e">
        <x:f>IF($A811="","",[1]!thsiFinD("ths_adjustment_nv_fund",S$3,$A811))</x:f>
        <x:v>#NAME?</x:v>
      </x:c>
      <x:c r="T811" s="146" t="e">
        <x:f>IF($A811="","",[1]!thsiFinD("ths_adjustment_nv_fund",T$3,$A811))</x:f>
        <x:v>#NAME?</x:v>
      </x:c>
      <x:c r="U811" s="146" t="e">
        <x:f>IF($A811="","",[1]!thsiFinD("ths_adjustment_nv_fund",U$3,$A811))</x:f>
        <x:v>#NAME?</x:v>
      </x:c>
      <x:c r="V811" s="146" t="e">
        <x:f>IF($A811="","",[1]!thsiFinD("ths_adjustment_nv_fund",V$3,$A811))</x:f>
        <x:v>#NAME?</x:v>
      </x:c>
      <x:c r="W811" s="146" t="e">
        <x:f>IF($A811="","",[1]!thsiFinD("ths_adjustment_nv_fund",W$3,$A811))</x:f>
        <x:v>#NAME?</x:v>
      </x:c>
      <x:c r="X811" s="146" t="e">
        <x:f>IF($A811="","",[1]!thsiFinD("ths_adjustment_nv_fund",X$3,$A811))</x:f>
        <x:v>#NAME?</x:v>
      </x:c>
      <x:c r="Y811" s="146" t="e">
        <x:f>IF($A811="","",[1]!thsiFinD("ths_adjustment_nv_fund",Y$3,$A811))</x:f>
        <x:v>#NAME?</x:v>
      </x:c>
      <x:c r="Z811" s="146" t="e">
        <x:f>IF($A811="","",[1]!thsiFinD("ths_adjustment_nv_fund",Z$3,$A811))</x:f>
        <x:v>#NAME?</x:v>
      </x:c>
      <x:c r="AA811" s="146" t="e">
        <x:f>IF($A811="","",[1]!thsiFinD("ths_adjustment_nv_fund",AA$3,$A811))</x:f>
        <x:v>#NAME?</x:v>
      </x:c>
    </x:row>
    <x:row r="812">
      <x:c r="B812" s="146" t="e">
        <x:f>IF($A812="","",[1]!thsiFinD("ths_adjustment_nv_fund",B$3,$A812))</x:f>
        <x:v>#NAME?</x:v>
      </x:c>
      <x:c r="C812" s="146" t="e">
        <x:f>IF($A812="","",[1]!thsiFinD("ths_adjustment_nv_fund",C$3,$A812))</x:f>
        <x:v>#NAME?</x:v>
      </x:c>
      <x:c r="D812" s="146" t="e">
        <x:f>IF($A812="","",[1]!thsiFinD("ths_adjustment_nv_fund",D$3,$A812))</x:f>
        <x:v>#NAME?</x:v>
      </x:c>
      <x:c r="E812" s="146" t="e">
        <x:f>IF($A812="","",[1]!thsiFinD("ths_adjustment_nv_fund",E$3,$A812))</x:f>
        <x:v>#NAME?</x:v>
      </x:c>
      <x:c r="F812" s="146" t="e">
        <x:f>IF($A812="","",[1]!thsiFinD("ths_adjustment_nv_fund",F$3,$A812))</x:f>
        <x:v>#NAME?</x:v>
      </x:c>
      <x:c r="G812" s="146" t="e">
        <x:f>IF($A812="","",[1]!thsiFinD("ths_adjustment_nv_fund",G$3,$A812))</x:f>
        <x:v>#NAME?</x:v>
      </x:c>
      <x:c r="H812" s="146" t="e">
        <x:f>IF($A812="","",[1]!thsiFinD("ths_adjustment_nv_fund",H$3,$A812))</x:f>
        <x:v>#NAME?</x:v>
      </x:c>
      <x:c r="I812" s="146" t="e">
        <x:f>IF($A812="","",[1]!thsiFinD("ths_adjustment_nv_fund",I$3,$A812))</x:f>
        <x:v>#NAME?</x:v>
      </x:c>
      <x:c r="J812" s="146" t="e">
        <x:f>IF($A812="","",[1]!thsiFinD("ths_adjustment_nv_fund",J$3,$A812))</x:f>
        <x:v>#NAME?</x:v>
      </x:c>
      <x:c r="K812" s="146" t="e">
        <x:f>IF($A812="","",[1]!thsiFinD("ths_adjustment_nv_fund",K$3,$A812))</x:f>
        <x:v>#NAME?</x:v>
      </x:c>
      <x:c r="L812" s="146" t="e">
        <x:f>IF($A812="","",[1]!thsiFinD("ths_adjustment_nv_fund",L$3,$A812))</x:f>
        <x:v>#NAME?</x:v>
      </x:c>
      <x:c r="M812" s="146" t="e">
        <x:f>IF($A812="","",[1]!thsiFinD("ths_adjustment_nv_fund",M$3,$A812))</x:f>
        <x:v>#NAME?</x:v>
      </x:c>
      <x:c r="N812" s="146" t="e">
        <x:f>IF($A812="","",[1]!thsiFinD("ths_adjustment_nv_fund",N$3,$A812))</x:f>
        <x:v>#NAME?</x:v>
      </x:c>
      <x:c r="O812" s="146" t="e">
        <x:f>IF($A812="","",[1]!thsiFinD("ths_adjustment_nv_fund",O$3,$A812))</x:f>
        <x:v>#NAME?</x:v>
      </x:c>
      <x:c r="P812" s="146" t="e">
        <x:f>IF($A812="","",[1]!thsiFinD("ths_adjustment_nv_fund",P$3,$A812))</x:f>
        <x:v>#NAME?</x:v>
      </x:c>
      <x:c r="Q812" s="146" t="e">
        <x:f>IF($A812="","",[1]!thsiFinD("ths_adjustment_nv_fund",Q$3,$A812))</x:f>
        <x:v>#NAME?</x:v>
      </x:c>
      <x:c r="R812" s="146" t="e">
        <x:f>IF($A812="","",[1]!thsiFinD("ths_adjustment_nv_fund",R$3,$A812))</x:f>
        <x:v>#NAME?</x:v>
      </x:c>
      <x:c r="S812" s="146" t="e">
        <x:f>IF($A812="","",[1]!thsiFinD("ths_adjustment_nv_fund",S$3,$A812))</x:f>
        <x:v>#NAME?</x:v>
      </x:c>
      <x:c r="T812" s="146" t="e">
        <x:f>IF($A812="","",[1]!thsiFinD("ths_adjustment_nv_fund",T$3,$A812))</x:f>
        <x:v>#NAME?</x:v>
      </x:c>
      <x:c r="U812" s="146" t="e">
        <x:f>IF($A812="","",[1]!thsiFinD("ths_adjustment_nv_fund",U$3,$A812))</x:f>
        <x:v>#NAME?</x:v>
      </x:c>
      <x:c r="V812" s="146" t="e">
        <x:f>IF($A812="","",[1]!thsiFinD("ths_adjustment_nv_fund",V$3,$A812))</x:f>
        <x:v>#NAME?</x:v>
      </x:c>
      <x:c r="W812" s="146" t="e">
        <x:f>IF($A812="","",[1]!thsiFinD("ths_adjustment_nv_fund",W$3,$A812))</x:f>
        <x:v>#NAME?</x:v>
      </x:c>
      <x:c r="X812" s="146" t="e">
        <x:f>IF($A812="","",[1]!thsiFinD("ths_adjustment_nv_fund",X$3,$A812))</x:f>
        <x:v>#NAME?</x:v>
      </x:c>
      <x:c r="Y812" s="146" t="e">
        <x:f>IF($A812="","",[1]!thsiFinD("ths_adjustment_nv_fund",Y$3,$A812))</x:f>
        <x:v>#NAME?</x:v>
      </x:c>
      <x:c r="Z812" s="146" t="e">
        <x:f>IF($A812="","",[1]!thsiFinD("ths_adjustment_nv_fund",Z$3,$A812))</x:f>
        <x:v>#NAME?</x:v>
      </x:c>
      <x:c r="AA812" s="146" t="e">
        <x:f>IF($A812="","",[1]!thsiFinD("ths_adjustment_nv_fund",AA$3,$A812))</x:f>
        <x:v>#NAME?</x:v>
      </x:c>
    </x:row>
    <x:row r="813">
      <x:c r="B813" s="146" t="e">
        <x:f>IF($A813="","",[1]!thsiFinD("ths_adjustment_nv_fund",B$3,$A813))</x:f>
        <x:v>#NAME?</x:v>
      </x:c>
      <x:c r="C813" s="146" t="e">
        <x:f>IF($A813="","",[1]!thsiFinD("ths_adjustment_nv_fund",C$3,$A813))</x:f>
        <x:v>#NAME?</x:v>
      </x:c>
      <x:c r="D813" s="146" t="e">
        <x:f>IF($A813="","",[1]!thsiFinD("ths_adjustment_nv_fund",D$3,$A813))</x:f>
        <x:v>#NAME?</x:v>
      </x:c>
      <x:c r="E813" s="146" t="e">
        <x:f>IF($A813="","",[1]!thsiFinD("ths_adjustment_nv_fund",E$3,$A813))</x:f>
        <x:v>#NAME?</x:v>
      </x:c>
      <x:c r="F813" s="146" t="e">
        <x:f>IF($A813="","",[1]!thsiFinD("ths_adjustment_nv_fund",F$3,$A813))</x:f>
        <x:v>#NAME?</x:v>
      </x:c>
      <x:c r="G813" s="146" t="e">
        <x:f>IF($A813="","",[1]!thsiFinD("ths_adjustment_nv_fund",G$3,$A813))</x:f>
        <x:v>#NAME?</x:v>
      </x:c>
      <x:c r="H813" s="146" t="e">
        <x:f>IF($A813="","",[1]!thsiFinD("ths_adjustment_nv_fund",H$3,$A813))</x:f>
        <x:v>#NAME?</x:v>
      </x:c>
      <x:c r="I813" s="146" t="e">
        <x:f>IF($A813="","",[1]!thsiFinD("ths_adjustment_nv_fund",I$3,$A813))</x:f>
        <x:v>#NAME?</x:v>
      </x:c>
      <x:c r="J813" s="146" t="e">
        <x:f>IF($A813="","",[1]!thsiFinD("ths_adjustment_nv_fund",J$3,$A813))</x:f>
        <x:v>#NAME?</x:v>
      </x:c>
      <x:c r="K813" s="146" t="e">
        <x:f>IF($A813="","",[1]!thsiFinD("ths_adjustment_nv_fund",K$3,$A813))</x:f>
        <x:v>#NAME?</x:v>
      </x:c>
      <x:c r="L813" s="146" t="e">
        <x:f>IF($A813="","",[1]!thsiFinD("ths_adjustment_nv_fund",L$3,$A813))</x:f>
        <x:v>#NAME?</x:v>
      </x:c>
      <x:c r="M813" s="146" t="e">
        <x:f>IF($A813="","",[1]!thsiFinD("ths_adjustment_nv_fund",M$3,$A813))</x:f>
        <x:v>#NAME?</x:v>
      </x:c>
      <x:c r="N813" s="146" t="e">
        <x:f>IF($A813="","",[1]!thsiFinD("ths_adjustment_nv_fund",N$3,$A813))</x:f>
        <x:v>#NAME?</x:v>
      </x:c>
      <x:c r="O813" s="146" t="e">
        <x:f>IF($A813="","",[1]!thsiFinD("ths_adjustment_nv_fund",O$3,$A813))</x:f>
        <x:v>#NAME?</x:v>
      </x:c>
      <x:c r="P813" s="146" t="e">
        <x:f>IF($A813="","",[1]!thsiFinD("ths_adjustment_nv_fund",P$3,$A813))</x:f>
        <x:v>#NAME?</x:v>
      </x:c>
      <x:c r="Q813" s="146" t="e">
        <x:f>IF($A813="","",[1]!thsiFinD("ths_adjustment_nv_fund",Q$3,$A813))</x:f>
        <x:v>#NAME?</x:v>
      </x:c>
      <x:c r="R813" s="146" t="e">
        <x:f>IF($A813="","",[1]!thsiFinD("ths_adjustment_nv_fund",R$3,$A813))</x:f>
        <x:v>#NAME?</x:v>
      </x:c>
      <x:c r="S813" s="146" t="e">
        <x:f>IF($A813="","",[1]!thsiFinD("ths_adjustment_nv_fund",S$3,$A813))</x:f>
        <x:v>#NAME?</x:v>
      </x:c>
      <x:c r="T813" s="146" t="e">
        <x:f>IF($A813="","",[1]!thsiFinD("ths_adjustment_nv_fund",T$3,$A813))</x:f>
        <x:v>#NAME?</x:v>
      </x:c>
      <x:c r="U813" s="146" t="e">
        <x:f>IF($A813="","",[1]!thsiFinD("ths_adjustment_nv_fund",U$3,$A813))</x:f>
        <x:v>#NAME?</x:v>
      </x:c>
      <x:c r="V813" s="146" t="e">
        <x:f>IF($A813="","",[1]!thsiFinD("ths_adjustment_nv_fund",V$3,$A813))</x:f>
        <x:v>#NAME?</x:v>
      </x:c>
      <x:c r="W813" s="146" t="e">
        <x:f>IF($A813="","",[1]!thsiFinD("ths_adjustment_nv_fund",W$3,$A813))</x:f>
        <x:v>#NAME?</x:v>
      </x:c>
      <x:c r="X813" s="146" t="e">
        <x:f>IF($A813="","",[1]!thsiFinD("ths_adjustment_nv_fund",X$3,$A813))</x:f>
        <x:v>#NAME?</x:v>
      </x:c>
      <x:c r="Y813" s="146" t="e">
        <x:f>IF($A813="","",[1]!thsiFinD("ths_adjustment_nv_fund",Y$3,$A813))</x:f>
        <x:v>#NAME?</x:v>
      </x:c>
      <x:c r="Z813" s="146" t="e">
        <x:f>IF($A813="","",[1]!thsiFinD("ths_adjustment_nv_fund",Z$3,$A813))</x:f>
        <x:v>#NAME?</x:v>
      </x:c>
      <x:c r="AA813" s="146" t="e">
        <x:f>IF($A813="","",[1]!thsiFinD("ths_adjustment_nv_fund",AA$3,$A813))</x:f>
        <x:v>#NAME?</x:v>
      </x:c>
    </x:row>
    <x:row r="814">
      <x:c r="B814" s="146" t="e">
        <x:f>IF($A814="","",[1]!thsiFinD("ths_adjustment_nv_fund",B$3,$A814))</x:f>
        <x:v>#NAME?</x:v>
      </x:c>
      <x:c r="C814" s="146" t="e">
        <x:f>IF($A814="","",[1]!thsiFinD("ths_adjustment_nv_fund",C$3,$A814))</x:f>
        <x:v>#NAME?</x:v>
      </x:c>
      <x:c r="D814" s="146" t="e">
        <x:f>IF($A814="","",[1]!thsiFinD("ths_adjustment_nv_fund",D$3,$A814))</x:f>
        <x:v>#NAME?</x:v>
      </x:c>
      <x:c r="E814" s="146" t="e">
        <x:f>IF($A814="","",[1]!thsiFinD("ths_adjustment_nv_fund",E$3,$A814))</x:f>
        <x:v>#NAME?</x:v>
      </x:c>
      <x:c r="F814" s="146" t="e">
        <x:f>IF($A814="","",[1]!thsiFinD("ths_adjustment_nv_fund",F$3,$A814))</x:f>
        <x:v>#NAME?</x:v>
      </x:c>
      <x:c r="G814" s="146" t="e">
        <x:f>IF($A814="","",[1]!thsiFinD("ths_adjustment_nv_fund",G$3,$A814))</x:f>
        <x:v>#NAME?</x:v>
      </x:c>
      <x:c r="H814" s="146" t="e">
        <x:f>IF($A814="","",[1]!thsiFinD("ths_adjustment_nv_fund",H$3,$A814))</x:f>
        <x:v>#NAME?</x:v>
      </x:c>
      <x:c r="I814" s="146" t="e">
        <x:f>IF($A814="","",[1]!thsiFinD("ths_adjustment_nv_fund",I$3,$A814))</x:f>
        <x:v>#NAME?</x:v>
      </x:c>
      <x:c r="J814" s="146" t="e">
        <x:f>IF($A814="","",[1]!thsiFinD("ths_adjustment_nv_fund",J$3,$A814))</x:f>
        <x:v>#NAME?</x:v>
      </x:c>
      <x:c r="K814" s="146" t="e">
        <x:f>IF($A814="","",[1]!thsiFinD("ths_adjustment_nv_fund",K$3,$A814))</x:f>
        <x:v>#NAME?</x:v>
      </x:c>
      <x:c r="L814" s="146" t="e">
        <x:f>IF($A814="","",[1]!thsiFinD("ths_adjustment_nv_fund",L$3,$A814))</x:f>
        <x:v>#NAME?</x:v>
      </x:c>
      <x:c r="M814" s="146" t="e">
        <x:f>IF($A814="","",[1]!thsiFinD("ths_adjustment_nv_fund",M$3,$A814))</x:f>
        <x:v>#NAME?</x:v>
      </x:c>
      <x:c r="N814" s="146" t="e">
        <x:f>IF($A814="","",[1]!thsiFinD("ths_adjustment_nv_fund",N$3,$A814))</x:f>
        <x:v>#NAME?</x:v>
      </x:c>
      <x:c r="O814" s="146" t="e">
        <x:f>IF($A814="","",[1]!thsiFinD("ths_adjustment_nv_fund",O$3,$A814))</x:f>
        <x:v>#NAME?</x:v>
      </x:c>
      <x:c r="P814" s="146" t="e">
        <x:f>IF($A814="","",[1]!thsiFinD("ths_adjustment_nv_fund",P$3,$A814))</x:f>
        <x:v>#NAME?</x:v>
      </x:c>
      <x:c r="Q814" s="146" t="e">
        <x:f>IF($A814="","",[1]!thsiFinD("ths_adjustment_nv_fund",Q$3,$A814))</x:f>
        <x:v>#NAME?</x:v>
      </x:c>
      <x:c r="R814" s="146" t="e">
        <x:f>IF($A814="","",[1]!thsiFinD("ths_adjustment_nv_fund",R$3,$A814))</x:f>
        <x:v>#NAME?</x:v>
      </x:c>
      <x:c r="S814" s="146" t="e">
        <x:f>IF($A814="","",[1]!thsiFinD("ths_adjustment_nv_fund",S$3,$A814))</x:f>
        <x:v>#NAME?</x:v>
      </x:c>
      <x:c r="T814" s="146" t="e">
        <x:f>IF($A814="","",[1]!thsiFinD("ths_adjustment_nv_fund",T$3,$A814))</x:f>
        <x:v>#NAME?</x:v>
      </x:c>
      <x:c r="U814" s="146" t="e">
        <x:f>IF($A814="","",[1]!thsiFinD("ths_adjustment_nv_fund",U$3,$A814))</x:f>
        <x:v>#NAME?</x:v>
      </x:c>
      <x:c r="V814" s="146" t="e">
        <x:f>IF($A814="","",[1]!thsiFinD("ths_adjustment_nv_fund",V$3,$A814))</x:f>
        <x:v>#NAME?</x:v>
      </x:c>
      <x:c r="W814" s="146" t="e">
        <x:f>IF($A814="","",[1]!thsiFinD("ths_adjustment_nv_fund",W$3,$A814))</x:f>
        <x:v>#NAME?</x:v>
      </x:c>
      <x:c r="X814" s="146" t="e">
        <x:f>IF($A814="","",[1]!thsiFinD("ths_adjustment_nv_fund",X$3,$A814))</x:f>
        <x:v>#NAME?</x:v>
      </x:c>
      <x:c r="Y814" s="146" t="e">
        <x:f>IF($A814="","",[1]!thsiFinD("ths_adjustment_nv_fund",Y$3,$A814))</x:f>
        <x:v>#NAME?</x:v>
      </x:c>
      <x:c r="Z814" s="146" t="e">
        <x:f>IF($A814="","",[1]!thsiFinD("ths_adjustment_nv_fund",Z$3,$A814))</x:f>
        <x:v>#NAME?</x:v>
      </x:c>
      <x:c r="AA814" s="146" t="e">
        <x:f>IF($A814="","",[1]!thsiFinD("ths_adjustment_nv_fund",AA$3,$A814))</x:f>
        <x:v>#NAME?</x:v>
      </x:c>
    </x:row>
    <x:row r="815">
      <x:c r="B815" s="146" t="e">
        <x:f>IF($A815="","",[1]!thsiFinD("ths_adjustment_nv_fund",B$3,$A815))</x:f>
        <x:v>#NAME?</x:v>
      </x:c>
      <x:c r="C815" s="146" t="e">
        <x:f>IF($A815="","",[1]!thsiFinD("ths_adjustment_nv_fund",C$3,$A815))</x:f>
        <x:v>#NAME?</x:v>
      </x:c>
      <x:c r="D815" s="146" t="e">
        <x:f>IF($A815="","",[1]!thsiFinD("ths_adjustment_nv_fund",D$3,$A815))</x:f>
        <x:v>#NAME?</x:v>
      </x:c>
      <x:c r="E815" s="146" t="e">
        <x:f>IF($A815="","",[1]!thsiFinD("ths_adjustment_nv_fund",E$3,$A815))</x:f>
        <x:v>#NAME?</x:v>
      </x:c>
      <x:c r="F815" s="146" t="e">
        <x:f>IF($A815="","",[1]!thsiFinD("ths_adjustment_nv_fund",F$3,$A815))</x:f>
        <x:v>#NAME?</x:v>
      </x:c>
      <x:c r="G815" s="146" t="e">
        <x:f>IF($A815="","",[1]!thsiFinD("ths_adjustment_nv_fund",G$3,$A815))</x:f>
        <x:v>#NAME?</x:v>
      </x:c>
      <x:c r="H815" s="146" t="e">
        <x:f>IF($A815="","",[1]!thsiFinD("ths_adjustment_nv_fund",H$3,$A815))</x:f>
        <x:v>#NAME?</x:v>
      </x:c>
      <x:c r="I815" s="146" t="e">
        <x:f>IF($A815="","",[1]!thsiFinD("ths_adjustment_nv_fund",I$3,$A815))</x:f>
        <x:v>#NAME?</x:v>
      </x:c>
      <x:c r="J815" s="146" t="e">
        <x:f>IF($A815="","",[1]!thsiFinD("ths_adjustment_nv_fund",J$3,$A815))</x:f>
        <x:v>#NAME?</x:v>
      </x:c>
      <x:c r="K815" s="146" t="e">
        <x:f>IF($A815="","",[1]!thsiFinD("ths_adjustment_nv_fund",K$3,$A815))</x:f>
        <x:v>#NAME?</x:v>
      </x:c>
      <x:c r="L815" s="146" t="e">
        <x:f>IF($A815="","",[1]!thsiFinD("ths_adjustment_nv_fund",L$3,$A815))</x:f>
        <x:v>#NAME?</x:v>
      </x:c>
      <x:c r="M815" s="146" t="e">
        <x:f>IF($A815="","",[1]!thsiFinD("ths_adjustment_nv_fund",M$3,$A815))</x:f>
        <x:v>#NAME?</x:v>
      </x:c>
      <x:c r="N815" s="146" t="e">
        <x:f>IF($A815="","",[1]!thsiFinD("ths_adjustment_nv_fund",N$3,$A815))</x:f>
        <x:v>#NAME?</x:v>
      </x:c>
      <x:c r="O815" s="146" t="e">
        <x:f>IF($A815="","",[1]!thsiFinD("ths_adjustment_nv_fund",O$3,$A815))</x:f>
        <x:v>#NAME?</x:v>
      </x:c>
      <x:c r="P815" s="146" t="e">
        <x:f>IF($A815="","",[1]!thsiFinD("ths_adjustment_nv_fund",P$3,$A815))</x:f>
        <x:v>#NAME?</x:v>
      </x:c>
      <x:c r="Q815" s="146" t="e">
        <x:f>IF($A815="","",[1]!thsiFinD("ths_adjustment_nv_fund",Q$3,$A815))</x:f>
        <x:v>#NAME?</x:v>
      </x:c>
      <x:c r="R815" s="146" t="e">
        <x:f>IF($A815="","",[1]!thsiFinD("ths_adjustment_nv_fund",R$3,$A815))</x:f>
        <x:v>#NAME?</x:v>
      </x:c>
      <x:c r="S815" s="146" t="e">
        <x:f>IF($A815="","",[1]!thsiFinD("ths_adjustment_nv_fund",S$3,$A815))</x:f>
        <x:v>#NAME?</x:v>
      </x:c>
      <x:c r="T815" s="146" t="e">
        <x:f>IF($A815="","",[1]!thsiFinD("ths_adjustment_nv_fund",T$3,$A815))</x:f>
        <x:v>#NAME?</x:v>
      </x:c>
      <x:c r="U815" s="146" t="e">
        <x:f>IF($A815="","",[1]!thsiFinD("ths_adjustment_nv_fund",U$3,$A815))</x:f>
        <x:v>#NAME?</x:v>
      </x:c>
      <x:c r="V815" s="146" t="e">
        <x:f>IF($A815="","",[1]!thsiFinD("ths_adjustment_nv_fund",V$3,$A815))</x:f>
        <x:v>#NAME?</x:v>
      </x:c>
      <x:c r="W815" s="146" t="e">
        <x:f>IF($A815="","",[1]!thsiFinD("ths_adjustment_nv_fund",W$3,$A815))</x:f>
        <x:v>#NAME?</x:v>
      </x:c>
      <x:c r="X815" s="146" t="e">
        <x:f>IF($A815="","",[1]!thsiFinD("ths_adjustment_nv_fund",X$3,$A815))</x:f>
        <x:v>#NAME?</x:v>
      </x:c>
      <x:c r="Y815" s="146" t="e">
        <x:f>IF($A815="","",[1]!thsiFinD("ths_adjustment_nv_fund",Y$3,$A815))</x:f>
        <x:v>#NAME?</x:v>
      </x:c>
      <x:c r="Z815" s="146" t="e">
        <x:f>IF($A815="","",[1]!thsiFinD("ths_adjustment_nv_fund",Z$3,$A815))</x:f>
        <x:v>#NAME?</x:v>
      </x:c>
      <x:c r="AA815" s="146" t="e">
        <x:f>IF($A815="","",[1]!thsiFinD("ths_adjustment_nv_fund",AA$3,$A815))</x:f>
        <x:v>#NAME?</x:v>
      </x:c>
    </x:row>
    <x:row r="816">
      <x:c r="B816" s="146" t="e">
        <x:f>IF($A816="","",[1]!thsiFinD("ths_adjustment_nv_fund",B$3,$A816))</x:f>
        <x:v>#NAME?</x:v>
      </x:c>
      <x:c r="C816" s="146" t="e">
        <x:f>IF($A816="","",[1]!thsiFinD("ths_adjustment_nv_fund",C$3,$A816))</x:f>
        <x:v>#NAME?</x:v>
      </x:c>
      <x:c r="D816" s="146" t="e">
        <x:f>IF($A816="","",[1]!thsiFinD("ths_adjustment_nv_fund",D$3,$A816))</x:f>
        <x:v>#NAME?</x:v>
      </x:c>
      <x:c r="E816" s="146" t="e">
        <x:f>IF($A816="","",[1]!thsiFinD("ths_adjustment_nv_fund",E$3,$A816))</x:f>
        <x:v>#NAME?</x:v>
      </x:c>
      <x:c r="F816" s="146" t="e">
        <x:f>IF($A816="","",[1]!thsiFinD("ths_adjustment_nv_fund",F$3,$A816))</x:f>
        <x:v>#NAME?</x:v>
      </x:c>
      <x:c r="G816" s="146" t="e">
        <x:f>IF($A816="","",[1]!thsiFinD("ths_adjustment_nv_fund",G$3,$A816))</x:f>
        <x:v>#NAME?</x:v>
      </x:c>
      <x:c r="H816" s="146" t="e">
        <x:f>IF($A816="","",[1]!thsiFinD("ths_adjustment_nv_fund",H$3,$A816))</x:f>
        <x:v>#NAME?</x:v>
      </x:c>
      <x:c r="I816" s="146" t="e">
        <x:f>IF($A816="","",[1]!thsiFinD("ths_adjustment_nv_fund",I$3,$A816))</x:f>
        <x:v>#NAME?</x:v>
      </x:c>
      <x:c r="J816" s="146" t="e">
        <x:f>IF($A816="","",[1]!thsiFinD("ths_adjustment_nv_fund",J$3,$A816))</x:f>
        <x:v>#NAME?</x:v>
      </x:c>
      <x:c r="K816" s="146" t="e">
        <x:f>IF($A816="","",[1]!thsiFinD("ths_adjustment_nv_fund",K$3,$A816))</x:f>
        <x:v>#NAME?</x:v>
      </x:c>
      <x:c r="L816" s="146" t="e">
        <x:f>IF($A816="","",[1]!thsiFinD("ths_adjustment_nv_fund",L$3,$A816))</x:f>
        <x:v>#NAME?</x:v>
      </x:c>
      <x:c r="M816" s="146" t="e">
        <x:f>IF($A816="","",[1]!thsiFinD("ths_adjustment_nv_fund",M$3,$A816))</x:f>
        <x:v>#NAME?</x:v>
      </x:c>
      <x:c r="N816" s="146" t="e">
        <x:f>IF($A816="","",[1]!thsiFinD("ths_adjustment_nv_fund",N$3,$A816))</x:f>
        <x:v>#NAME?</x:v>
      </x:c>
      <x:c r="O816" s="146" t="e">
        <x:f>IF($A816="","",[1]!thsiFinD("ths_adjustment_nv_fund",O$3,$A816))</x:f>
        <x:v>#NAME?</x:v>
      </x:c>
      <x:c r="P816" s="146" t="e">
        <x:f>IF($A816="","",[1]!thsiFinD("ths_adjustment_nv_fund",P$3,$A816))</x:f>
        <x:v>#NAME?</x:v>
      </x:c>
      <x:c r="Q816" s="146" t="e">
        <x:f>IF($A816="","",[1]!thsiFinD("ths_adjustment_nv_fund",Q$3,$A816))</x:f>
        <x:v>#NAME?</x:v>
      </x:c>
      <x:c r="R816" s="146" t="e">
        <x:f>IF($A816="","",[1]!thsiFinD("ths_adjustment_nv_fund",R$3,$A816))</x:f>
        <x:v>#NAME?</x:v>
      </x:c>
      <x:c r="S816" s="146" t="e">
        <x:f>IF($A816="","",[1]!thsiFinD("ths_adjustment_nv_fund",S$3,$A816))</x:f>
        <x:v>#NAME?</x:v>
      </x:c>
      <x:c r="T816" s="146" t="e">
        <x:f>IF($A816="","",[1]!thsiFinD("ths_adjustment_nv_fund",T$3,$A816))</x:f>
        <x:v>#NAME?</x:v>
      </x:c>
      <x:c r="U816" s="146" t="e">
        <x:f>IF($A816="","",[1]!thsiFinD("ths_adjustment_nv_fund",U$3,$A816))</x:f>
        <x:v>#NAME?</x:v>
      </x:c>
      <x:c r="V816" s="146" t="e">
        <x:f>IF($A816="","",[1]!thsiFinD("ths_adjustment_nv_fund",V$3,$A816))</x:f>
        <x:v>#NAME?</x:v>
      </x:c>
      <x:c r="W816" s="146" t="e">
        <x:f>IF($A816="","",[1]!thsiFinD("ths_adjustment_nv_fund",W$3,$A816))</x:f>
        <x:v>#NAME?</x:v>
      </x:c>
      <x:c r="X816" s="146" t="e">
        <x:f>IF($A816="","",[1]!thsiFinD("ths_adjustment_nv_fund",X$3,$A816))</x:f>
        <x:v>#NAME?</x:v>
      </x:c>
      <x:c r="Y816" s="146" t="e">
        <x:f>IF($A816="","",[1]!thsiFinD("ths_adjustment_nv_fund",Y$3,$A816))</x:f>
        <x:v>#NAME?</x:v>
      </x:c>
      <x:c r="Z816" s="146" t="e">
        <x:f>IF($A816="","",[1]!thsiFinD("ths_adjustment_nv_fund",Z$3,$A816))</x:f>
        <x:v>#NAME?</x:v>
      </x:c>
      <x:c r="AA816" s="146" t="e">
        <x:f>IF($A816="","",[1]!thsiFinD("ths_adjustment_nv_fund",AA$3,$A816))</x:f>
        <x:v>#NAME?</x:v>
      </x:c>
    </x:row>
    <x:row r="817">
      <x:c r="B817" s="146" t="e">
        <x:f>IF($A817="","",[1]!thsiFinD("ths_adjustment_nv_fund",B$3,$A817))</x:f>
        <x:v>#NAME?</x:v>
      </x:c>
      <x:c r="C817" s="146" t="e">
        <x:f>IF($A817="","",[1]!thsiFinD("ths_adjustment_nv_fund",C$3,$A817))</x:f>
        <x:v>#NAME?</x:v>
      </x:c>
      <x:c r="D817" s="146" t="e">
        <x:f>IF($A817="","",[1]!thsiFinD("ths_adjustment_nv_fund",D$3,$A817))</x:f>
        <x:v>#NAME?</x:v>
      </x:c>
      <x:c r="E817" s="146" t="e">
        <x:f>IF($A817="","",[1]!thsiFinD("ths_adjustment_nv_fund",E$3,$A817))</x:f>
        <x:v>#NAME?</x:v>
      </x:c>
      <x:c r="F817" s="146" t="e">
        <x:f>IF($A817="","",[1]!thsiFinD("ths_adjustment_nv_fund",F$3,$A817))</x:f>
        <x:v>#NAME?</x:v>
      </x:c>
      <x:c r="G817" s="146" t="e">
        <x:f>IF($A817="","",[1]!thsiFinD("ths_adjustment_nv_fund",G$3,$A817))</x:f>
        <x:v>#NAME?</x:v>
      </x:c>
      <x:c r="H817" s="146" t="e">
        <x:f>IF($A817="","",[1]!thsiFinD("ths_adjustment_nv_fund",H$3,$A817))</x:f>
        <x:v>#NAME?</x:v>
      </x:c>
      <x:c r="I817" s="146" t="e">
        <x:f>IF($A817="","",[1]!thsiFinD("ths_adjustment_nv_fund",I$3,$A817))</x:f>
        <x:v>#NAME?</x:v>
      </x:c>
      <x:c r="J817" s="146" t="e">
        <x:f>IF($A817="","",[1]!thsiFinD("ths_adjustment_nv_fund",J$3,$A817))</x:f>
        <x:v>#NAME?</x:v>
      </x:c>
      <x:c r="K817" s="146" t="e">
        <x:f>IF($A817="","",[1]!thsiFinD("ths_adjustment_nv_fund",K$3,$A817))</x:f>
        <x:v>#NAME?</x:v>
      </x:c>
      <x:c r="L817" s="146" t="e">
        <x:f>IF($A817="","",[1]!thsiFinD("ths_adjustment_nv_fund",L$3,$A817))</x:f>
        <x:v>#NAME?</x:v>
      </x:c>
      <x:c r="M817" s="146" t="e">
        <x:f>IF($A817="","",[1]!thsiFinD("ths_adjustment_nv_fund",M$3,$A817))</x:f>
        <x:v>#NAME?</x:v>
      </x:c>
      <x:c r="N817" s="146" t="e">
        <x:f>IF($A817="","",[1]!thsiFinD("ths_adjustment_nv_fund",N$3,$A817))</x:f>
        <x:v>#NAME?</x:v>
      </x:c>
      <x:c r="O817" s="146" t="e">
        <x:f>IF($A817="","",[1]!thsiFinD("ths_adjustment_nv_fund",O$3,$A817))</x:f>
        <x:v>#NAME?</x:v>
      </x:c>
      <x:c r="P817" s="146" t="e">
        <x:f>IF($A817="","",[1]!thsiFinD("ths_adjustment_nv_fund",P$3,$A817))</x:f>
        <x:v>#NAME?</x:v>
      </x:c>
      <x:c r="Q817" s="146" t="e">
        <x:f>IF($A817="","",[1]!thsiFinD("ths_adjustment_nv_fund",Q$3,$A817))</x:f>
        <x:v>#NAME?</x:v>
      </x:c>
      <x:c r="R817" s="146" t="e">
        <x:f>IF($A817="","",[1]!thsiFinD("ths_adjustment_nv_fund",R$3,$A817))</x:f>
        <x:v>#NAME?</x:v>
      </x:c>
      <x:c r="S817" s="146" t="e">
        <x:f>IF($A817="","",[1]!thsiFinD("ths_adjustment_nv_fund",S$3,$A817))</x:f>
        <x:v>#NAME?</x:v>
      </x:c>
      <x:c r="T817" s="146" t="e">
        <x:f>IF($A817="","",[1]!thsiFinD("ths_adjustment_nv_fund",T$3,$A817))</x:f>
        <x:v>#NAME?</x:v>
      </x:c>
      <x:c r="U817" s="146" t="e">
        <x:f>IF($A817="","",[1]!thsiFinD("ths_adjustment_nv_fund",U$3,$A817))</x:f>
        <x:v>#NAME?</x:v>
      </x:c>
      <x:c r="V817" s="146" t="e">
        <x:f>IF($A817="","",[1]!thsiFinD("ths_adjustment_nv_fund",V$3,$A817))</x:f>
        <x:v>#NAME?</x:v>
      </x:c>
      <x:c r="W817" s="146" t="e">
        <x:f>IF($A817="","",[1]!thsiFinD("ths_adjustment_nv_fund",W$3,$A817))</x:f>
        <x:v>#NAME?</x:v>
      </x:c>
      <x:c r="X817" s="146" t="e">
        <x:f>IF($A817="","",[1]!thsiFinD("ths_adjustment_nv_fund",X$3,$A817))</x:f>
        <x:v>#NAME?</x:v>
      </x:c>
      <x:c r="Y817" s="146" t="e">
        <x:f>IF($A817="","",[1]!thsiFinD("ths_adjustment_nv_fund",Y$3,$A817))</x:f>
        <x:v>#NAME?</x:v>
      </x:c>
      <x:c r="Z817" s="146" t="e">
        <x:f>IF($A817="","",[1]!thsiFinD("ths_adjustment_nv_fund",Z$3,$A817))</x:f>
        <x:v>#NAME?</x:v>
      </x:c>
      <x:c r="AA817" s="146" t="e">
        <x:f>IF($A817="","",[1]!thsiFinD("ths_adjustment_nv_fund",AA$3,$A817))</x:f>
        <x:v>#NAME?</x:v>
      </x:c>
    </x:row>
    <x:row r="818">
      <x:c r="B818" s="146" t="e">
        <x:f>IF($A818="","",[1]!thsiFinD("ths_adjustment_nv_fund",B$3,$A818))</x:f>
        <x:v>#NAME?</x:v>
      </x:c>
      <x:c r="C818" s="146" t="e">
        <x:f>IF($A818="","",[1]!thsiFinD("ths_adjustment_nv_fund",C$3,$A818))</x:f>
        <x:v>#NAME?</x:v>
      </x:c>
      <x:c r="D818" s="146" t="e">
        <x:f>IF($A818="","",[1]!thsiFinD("ths_adjustment_nv_fund",D$3,$A818))</x:f>
        <x:v>#NAME?</x:v>
      </x:c>
      <x:c r="E818" s="146" t="e">
        <x:f>IF($A818="","",[1]!thsiFinD("ths_adjustment_nv_fund",E$3,$A818))</x:f>
        <x:v>#NAME?</x:v>
      </x:c>
      <x:c r="F818" s="146" t="e">
        <x:f>IF($A818="","",[1]!thsiFinD("ths_adjustment_nv_fund",F$3,$A818))</x:f>
        <x:v>#NAME?</x:v>
      </x:c>
      <x:c r="G818" s="146" t="e">
        <x:f>IF($A818="","",[1]!thsiFinD("ths_adjustment_nv_fund",G$3,$A818))</x:f>
        <x:v>#NAME?</x:v>
      </x:c>
      <x:c r="H818" s="146" t="e">
        <x:f>IF($A818="","",[1]!thsiFinD("ths_adjustment_nv_fund",H$3,$A818))</x:f>
        <x:v>#NAME?</x:v>
      </x:c>
      <x:c r="I818" s="146" t="e">
        <x:f>IF($A818="","",[1]!thsiFinD("ths_adjustment_nv_fund",I$3,$A818))</x:f>
        <x:v>#NAME?</x:v>
      </x:c>
      <x:c r="J818" s="146" t="e">
        <x:f>IF($A818="","",[1]!thsiFinD("ths_adjustment_nv_fund",J$3,$A818))</x:f>
        <x:v>#NAME?</x:v>
      </x:c>
      <x:c r="K818" s="146" t="e">
        <x:f>IF($A818="","",[1]!thsiFinD("ths_adjustment_nv_fund",K$3,$A818))</x:f>
        <x:v>#NAME?</x:v>
      </x:c>
      <x:c r="L818" s="146" t="e">
        <x:f>IF($A818="","",[1]!thsiFinD("ths_adjustment_nv_fund",L$3,$A818))</x:f>
        <x:v>#NAME?</x:v>
      </x:c>
      <x:c r="M818" s="146" t="e">
        <x:f>IF($A818="","",[1]!thsiFinD("ths_adjustment_nv_fund",M$3,$A818))</x:f>
        <x:v>#NAME?</x:v>
      </x:c>
      <x:c r="N818" s="146" t="e">
        <x:f>IF($A818="","",[1]!thsiFinD("ths_adjustment_nv_fund",N$3,$A818))</x:f>
        <x:v>#NAME?</x:v>
      </x:c>
      <x:c r="O818" s="146" t="e">
        <x:f>IF($A818="","",[1]!thsiFinD("ths_adjustment_nv_fund",O$3,$A818))</x:f>
        <x:v>#NAME?</x:v>
      </x:c>
      <x:c r="P818" s="146" t="e">
        <x:f>IF($A818="","",[1]!thsiFinD("ths_adjustment_nv_fund",P$3,$A818))</x:f>
        <x:v>#NAME?</x:v>
      </x:c>
      <x:c r="Q818" s="146" t="e">
        <x:f>IF($A818="","",[1]!thsiFinD("ths_adjustment_nv_fund",Q$3,$A818))</x:f>
        <x:v>#NAME?</x:v>
      </x:c>
      <x:c r="R818" s="146" t="e">
        <x:f>IF($A818="","",[1]!thsiFinD("ths_adjustment_nv_fund",R$3,$A818))</x:f>
        <x:v>#NAME?</x:v>
      </x:c>
      <x:c r="S818" s="146" t="e">
        <x:f>IF($A818="","",[1]!thsiFinD("ths_adjustment_nv_fund",S$3,$A818))</x:f>
        <x:v>#NAME?</x:v>
      </x:c>
      <x:c r="T818" s="146" t="e">
        <x:f>IF($A818="","",[1]!thsiFinD("ths_adjustment_nv_fund",T$3,$A818))</x:f>
        <x:v>#NAME?</x:v>
      </x:c>
      <x:c r="U818" s="146" t="e">
        <x:f>IF($A818="","",[1]!thsiFinD("ths_adjustment_nv_fund",U$3,$A818))</x:f>
        <x:v>#NAME?</x:v>
      </x:c>
      <x:c r="V818" s="146" t="e">
        <x:f>IF($A818="","",[1]!thsiFinD("ths_adjustment_nv_fund",V$3,$A818))</x:f>
        <x:v>#NAME?</x:v>
      </x:c>
      <x:c r="W818" s="146" t="e">
        <x:f>IF($A818="","",[1]!thsiFinD("ths_adjustment_nv_fund",W$3,$A818))</x:f>
        <x:v>#NAME?</x:v>
      </x:c>
      <x:c r="X818" s="146" t="e">
        <x:f>IF($A818="","",[1]!thsiFinD("ths_adjustment_nv_fund",X$3,$A818))</x:f>
        <x:v>#NAME?</x:v>
      </x:c>
      <x:c r="Y818" s="146" t="e">
        <x:f>IF($A818="","",[1]!thsiFinD("ths_adjustment_nv_fund",Y$3,$A818))</x:f>
        <x:v>#NAME?</x:v>
      </x:c>
      <x:c r="Z818" s="146" t="e">
        <x:f>IF($A818="","",[1]!thsiFinD("ths_adjustment_nv_fund",Z$3,$A818))</x:f>
        <x:v>#NAME?</x:v>
      </x:c>
      <x:c r="AA818" s="146" t="e">
        <x:f>IF($A818="","",[1]!thsiFinD("ths_adjustment_nv_fund",AA$3,$A818))</x:f>
        <x:v>#NAME?</x:v>
      </x:c>
    </x:row>
    <x:row r="819">
      <x:c r="B819" s="146" t="e">
        <x:f>IF($A819="","",[1]!thsiFinD("ths_adjustment_nv_fund",B$3,$A819))</x:f>
        <x:v>#NAME?</x:v>
      </x:c>
      <x:c r="C819" s="146" t="e">
        <x:f>IF($A819="","",[1]!thsiFinD("ths_adjustment_nv_fund",C$3,$A819))</x:f>
        <x:v>#NAME?</x:v>
      </x:c>
      <x:c r="D819" s="146" t="e">
        <x:f>IF($A819="","",[1]!thsiFinD("ths_adjustment_nv_fund",D$3,$A819))</x:f>
        <x:v>#NAME?</x:v>
      </x:c>
      <x:c r="E819" s="146" t="e">
        <x:f>IF($A819="","",[1]!thsiFinD("ths_adjustment_nv_fund",E$3,$A819))</x:f>
        <x:v>#NAME?</x:v>
      </x:c>
      <x:c r="F819" s="146" t="e">
        <x:f>IF($A819="","",[1]!thsiFinD("ths_adjustment_nv_fund",F$3,$A819))</x:f>
        <x:v>#NAME?</x:v>
      </x:c>
      <x:c r="G819" s="146" t="e">
        <x:f>IF($A819="","",[1]!thsiFinD("ths_adjustment_nv_fund",G$3,$A819))</x:f>
        <x:v>#NAME?</x:v>
      </x:c>
      <x:c r="H819" s="146" t="e">
        <x:f>IF($A819="","",[1]!thsiFinD("ths_adjustment_nv_fund",H$3,$A819))</x:f>
        <x:v>#NAME?</x:v>
      </x:c>
      <x:c r="I819" s="146" t="e">
        <x:f>IF($A819="","",[1]!thsiFinD("ths_adjustment_nv_fund",I$3,$A819))</x:f>
        <x:v>#NAME?</x:v>
      </x:c>
      <x:c r="J819" s="146" t="e">
        <x:f>IF($A819="","",[1]!thsiFinD("ths_adjustment_nv_fund",J$3,$A819))</x:f>
        <x:v>#NAME?</x:v>
      </x:c>
      <x:c r="K819" s="146" t="e">
        <x:f>IF($A819="","",[1]!thsiFinD("ths_adjustment_nv_fund",K$3,$A819))</x:f>
        <x:v>#NAME?</x:v>
      </x:c>
      <x:c r="L819" s="146" t="e">
        <x:f>IF($A819="","",[1]!thsiFinD("ths_adjustment_nv_fund",L$3,$A819))</x:f>
        <x:v>#NAME?</x:v>
      </x:c>
      <x:c r="M819" s="146" t="e">
        <x:f>IF($A819="","",[1]!thsiFinD("ths_adjustment_nv_fund",M$3,$A819))</x:f>
        <x:v>#NAME?</x:v>
      </x:c>
      <x:c r="N819" s="146" t="e">
        <x:f>IF($A819="","",[1]!thsiFinD("ths_adjustment_nv_fund",N$3,$A819))</x:f>
        <x:v>#NAME?</x:v>
      </x:c>
      <x:c r="O819" s="146" t="e">
        <x:f>IF($A819="","",[1]!thsiFinD("ths_adjustment_nv_fund",O$3,$A819))</x:f>
        <x:v>#NAME?</x:v>
      </x:c>
      <x:c r="P819" s="146" t="e">
        <x:f>IF($A819="","",[1]!thsiFinD("ths_adjustment_nv_fund",P$3,$A819))</x:f>
        <x:v>#NAME?</x:v>
      </x:c>
      <x:c r="Q819" s="146" t="e">
        <x:f>IF($A819="","",[1]!thsiFinD("ths_adjustment_nv_fund",Q$3,$A819))</x:f>
        <x:v>#NAME?</x:v>
      </x:c>
      <x:c r="R819" s="146" t="e">
        <x:f>IF($A819="","",[1]!thsiFinD("ths_adjustment_nv_fund",R$3,$A819))</x:f>
        <x:v>#NAME?</x:v>
      </x:c>
      <x:c r="S819" s="146" t="e">
        <x:f>IF($A819="","",[1]!thsiFinD("ths_adjustment_nv_fund",S$3,$A819))</x:f>
        <x:v>#NAME?</x:v>
      </x:c>
      <x:c r="T819" s="146" t="e">
        <x:f>IF($A819="","",[1]!thsiFinD("ths_adjustment_nv_fund",T$3,$A819))</x:f>
        <x:v>#NAME?</x:v>
      </x:c>
      <x:c r="U819" s="146" t="e">
        <x:f>IF($A819="","",[1]!thsiFinD("ths_adjustment_nv_fund",U$3,$A819))</x:f>
        <x:v>#NAME?</x:v>
      </x:c>
      <x:c r="V819" s="146" t="e">
        <x:f>IF($A819="","",[1]!thsiFinD("ths_adjustment_nv_fund",V$3,$A819))</x:f>
        <x:v>#NAME?</x:v>
      </x:c>
      <x:c r="W819" s="146" t="e">
        <x:f>IF($A819="","",[1]!thsiFinD("ths_adjustment_nv_fund",W$3,$A819))</x:f>
        <x:v>#NAME?</x:v>
      </x:c>
      <x:c r="X819" s="146" t="e">
        <x:f>IF($A819="","",[1]!thsiFinD("ths_adjustment_nv_fund",X$3,$A819))</x:f>
        <x:v>#NAME?</x:v>
      </x:c>
      <x:c r="Y819" s="146" t="e">
        <x:f>IF($A819="","",[1]!thsiFinD("ths_adjustment_nv_fund",Y$3,$A819))</x:f>
        <x:v>#NAME?</x:v>
      </x:c>
      <x:c r="Z819" s="146" t="e">
        <x:f>IF($A819="","",[1]!thsiFinD("ths_adjustment_nv_fund",Z$3,$A819))</x:f>
        <x:v>#NAME?</x:v>
      </x:c>
      <x:c r="AA819" s="146" t="e">
        <x:f>IF($A819="","",[1]!thsiFinD("ths_adjustment_nv_fund",AA$3,$A819))</x:f>
        <x:v>#NAME?</x:v>
      </x:c>
    </x:row>
    <x:row r="820">
      <x:c r="B820" s="146" t="e">
        <x:f>IF($A820="","",[1]!thsiFinD("ths_adjustment_nv_fund",B$3,$A820))</x:f>
        <x:v>#NAME?</x:v>
      </x:c>
      <x:c r="C820" s="146" t="e">
        <x:f>IF($A820="","",[1]!thsiFinD("ths_adjustment_nv_fund",C$3,$A820))</x:f>
        <x:v>#NAME?</x:v>
      </x:c>
      <x:c r="D820" s="146" t="e">
        <x:f>IF($A820="","",[1]!thsiFinD("ths_adjustment_nv_fund",D$3,$A820))</x:f>
        <x:v>#NAME?</x:v>
      </x:c>
      <x:c r="E820" s="146" t="e">
        <x:f>IF($A820="","",[1]!thsiFinD("ths_adjustment_nv_fund",E$3,$A820))</x:f>
        <x:v>#NAME?</x:v>
      </x:c>
      <x:c r="F820" s="146" t="e">
        <x:f>IF($A820="","",[1]!thsiFinD("ths_adjustment_nv_fund",F$3,$A820))</x:f>
        <x:v>#NAME?</x:v>
      </x:c>
      <x:c r="G820" s="146" t="e">
        <x:f>IF($A820="","",[1]!thsiFinD("ths_adjustment_nv_fund",G$3,$A820))</x:f>
        <x:v>#NAME?</x:v>
      </x:c>
      <x:c r="H820" s="146" t="e">
        <x:f>IF($A820="","",[1]!thsiFinD("ths_adjustment_nv_fund",H$3,$A820))</x:f>
        <x:v>#NAME?</x:v>
      </x:c>
      <x:c r="I820" s="146" t="e">
        <x:f>IF($A820="","",[1]!thsiFinD("ths_adjustment_nv_fund",I$3,$A820))</x:f>
        <x:v>#NAME?</x:v>
      </x:c>
      <x:c r="J820" s="146" t="e">
        <x:f>IF($A820="","",[1]!thsiFinD("ths_adjustment_nv_fund",J$3,$A820))</x:f>
        <x:v>#NAME?</x:v>
      </x:c>
      <x:c r="K820" s="146" t="e">
        <x:f>IF($A820="","",[1]!thsiFinD("ths_adjustment_nv_fund",K$3,$A820))</x:f>
        <x:v>#NAME?</x:v>
      </x:c>
      <x:c r="L820" s="146" t="e">
        <x:f>IF($A820="","",[1]!thsiFinD("ths_adjustment_nv_fund",L$3,$A820))</x:f>
        <x:v>#NAME?</x:v>
      </x:c>
      <x:c r="M820" s="146" t="e">
        <x:f>IF($A820="","",[1]!thsiFinD("ths_adjustment_nv_fund",M$3,$A820))</x:f>
        <x:v>#NAME?</x:v>
      </x:c>
      <x:c r="N820" s="146" t="e">
        <x:f>IF($A820="","",[1]!thsiFinD("ths_adjustment_nv_fund",N$3,$A820))</x:f>
        <x:v>#NAME?</x:v>
      </x:c>
      <x:c r="O820" s="146" t="e">
        <x:f>IF($A820="","",[1]!thsiFinD("ths_adjustment_nv_fund",O$3,$A820))</x:f>
        <x:v>#NAME?</x:v>
      </x:c>
      <x:c r="P820" s="146" t="e">
        <x:f>IF($A820="","",[1]!thsiFinD("ths_adjustment_nv_fund",P$3,$A820))</x:f>
        <x:v>#NAME?</x:v>
      </x:c>
      <x:c r="Q820" s="146" t="e">
        <x:f>IF($A820="","",[1]!thsiFinD("ths_adjustment_nv_fund",Q$3,$A820))</x:f>
        <x:v>#NAME?</x:v>
      </x:c>
      <x:c r="R820" s="146" t="e">
        <x:f>IF($A820="","",[1]!thsiFinD("ths_adjustment_nv_fund",R$3,$A820))</x:f>
        <x:v>#NAME?</x:v>
      </x:c>
      <x:c r="S820" s="146" t="e">
        <x:f>IF($A820="","",[1]!thsiFinD("ths_adjustment_nv_fund",S$3,$A820))</x:f>
        <x:v>#NAME?</x:v>
      </x:c>
      <x:c r="T820" s="146" t="e">
        <x:f>IF($A820="","",[1]!thsiFinD("ths_adjustment_nv_fund",T$3,$A820))</x:f>
        <x:v>#NAME?</x:v>
      </x:c>
      <x:c r="U820" s="146" t="e">
        <x:f>IF($A820="","",[1]!thsiFinD("ths_adjustment_nv_fund",U$3,$A820))</x:f>
        <x:v>#NAME?</x:v>
      </x:c>
      <x:c r="V820" s="146" t="e">
        <x:f>IF($A820="","",[1]!thsiFinD("ths_adjustment_nv_fund",V$3,$A820))</x:f>
        <x:v>#NAME?</x:v>
      </x:c>
      <x:c r="W820" s="146" t="e">
        <x:f>IF($A820="","",[1]!thsiFinD("ths_adjustment_nv_fund",W$3,$A820))</x:f>
        <x:v>#NAME?</x:v>
      </x:c>
      <x:c r="X820" s="146" t="e">
        <x:f>IF($A820="","",[1]!thsiFinD("ths_adjustment_nv_fund",X$3,$A820))</x:f>
        <x:v>#NAME?</x:v>
      </x:c>
      <x:c r="Y820" s="146" t="e">
        <x:f>IF($A820="","",[1]!thsiFinD("ths_adjustment_nv_fund",Y$3,$A820))</x:f>
        <x:v>#NAME?</x:v>
      </x:c>
      <x:c r="Z820" s="146" t="e">
        <x:f>IF($A820="","",[1]!thsiFinD("ths_adjustment_nv_fund",Z$3,$A820))</x:f>
        <x:v>#NAME?</x:v>
      </x:c>
      <x:c r="AA820" s="146" t="e">
        <x:f>IF($A820="","",[1]!thsiFinD("ths_adjustment_nv_fund",AA$3,$A820))</x:f>
        <x:v>#NAME?</x:v>
      </x:c>
    </x:row>
    <x:row r="821">
      <x:c r="B821" s="146" t="e">
        <x:f>IF($A821="","",[1]!thsiFinD("ths_adjustment_nv_fund",B$3,$A821))</x:f>
        <x:v>#NAME?</x:v>
      </x:c>
      <x:c r="C821" s="146" t="e">
        <x:f>IF($A821="","",[1]!thsiFinD("ths_adjustment_nv_fund",C$3,$A821))</x:f>
        <x:v>#NAME?</x:v>
      </x:c>
      <x:c r="D821" s="146" t="e">
        <x:f>IF($A821="","",[1]!thsiFinD("ths_adjustment_nv_fund",D$3,$A821))</x:f>
        <x:v>#NAME?</x:v>
      </x:c>
      <x:c r="E821" s="146" t="e">
        <x:f>IF($A821="","",[1]!thsiFinD("ths_adjustment_nv_fund",E$3,$A821))</x:f>
        <x:v>#NAME?</x:v>
      </x:c>
      <x:c r="F821" s="146" t="e">
        <x:f>IF($A821="","",[1]!thsiFinD("ths_adjustment_nv_fund",F$3,$A821))</x:f>
        <x:v>#NAME?</x:v>
      </x:c>
      <x:c r="G821" s="146" t="e">
        <x:f>IF($A821="","",[1]!thsiFinD("ths_adjustment_nv_fund",G$3,$A821))</x:f>
        <x:v>#NAME?</x:v>
      </x:c>
      <x:c r="H821" s="146" t="e">
        <x:f>IF($A821="","",[1]!thsiFinD("ths_adjustment_nv_fund",H$3,$A821))</x:f>
        <x:v>#NAME?</x:v>
      </x:c>
      <x:c r="I821" s="146" t="e">
        <x:f>IF($A821="","",[1]!thsiFinD("ths_adjustment_nv_fund",I$3,$A821))</x:f>
        <x:v>#NAME?</x:v>
      </x:c>
      <x:c r="J821" s="146" t="e">
        <x:f>IF($A821="","",[1]!thsiFinD("ths_adjustment_nv_fund",J$3,$A821))</x:f>
        <x:v>#NAME?</x:v>
      </x:c>
      <x:c r="K821" s="146" t="e">
        <x:f>IF($A821="","",[1]!thsiFinD("ths_adjustment_nv_fund",K$3,$A821))</x:f>
        <x:v>#NAME?</x:v>
      </x:c>
      <x:c r="L821" s="146" t="e">
        <x:f>IF($A821="","",[1]!thsiFinD("ths_adjustment_nv_fund",L$3,$A821))</x:f>
        <x:v>#NAME?</x:v>
      </x:c>
      <x:c r="M821" s="146" t="e">
        <x:f>IF($A821="","",[1]!thsiFinD("ths_adjustment_nv_fund",M$3,$A821))</x:f>
        <x:v>#NAME?</x:v>
      </x:c>
      <x:c r="N821" s="146" t="e">
        <x:f>IF($A821="","",[1]!thsiFinD("ths_adjustment_nv_fund",N$3,$A821))</x:f>
        <x:v>#NAME?</x:v>
      </x:c>
      <x:c r="O821" s="146" t="e">
        <x:f>IF($A821="","",[1]!thsiFinD("ths_adjustment_nv_fund",O$3,$A821))</x:f>
        <x:v>#NAME?</x:v>
      </x:c>
      <x:c r="P821" s="146" t="e">
        <x:f>IF($A821="","",[1]!thsiFinD("ths_adjustment_nv_fund",P$3,$A821))</x:f>
        <x:v>#NAME?</x:v>
      </x:c>
      <x:c r="Q821" s="146" t="e">
        <x:f>IF($A821="","",[1]!thsiFinD("ths_adjustment_nv_fund",Q$3,$A821))</x:f>
        <x:v>#NAME?</x:v>
      </x:c>
      <x:c r="R821" s="146" t="e">
        <x:f>IF($A821="","",[1]!thsiFinD("ths_adjustment_nv_fund",R$3,$A821))</x:f>
        <x:v>#NAME?</x:v>
      </x:c>
      <x:c r="S821" s="146" t="e">
        <x:f>IF($A821="","",[1]!thsiFinD("ths_adjustment_nv_fund",S$3,$A821))</x:f>
        <x:v>#NAME?</x:v>
      </x:c>
      <x:c r="T821" s="146" t="e">
        <x:f>IF($A821="","",[1]!thsiFinD("ths_adjustment_nv_fund",T$3,$A821))</x:f>
        <x:v>#NAME?</x:v>
      </x:c>
      <x:c r="U821" s="146" t="e">
        <x:f>IF($A821="","",[1]!thsiFinD("ths_adjustment_nv_fund",U$3,$A821))</x:f>
        <x:v>#NAME?</x:v>
      </x:c>
      <x:c r="V821" s="146" t="e">
        <x:f>IF($A821="","",[1]!thsiFinD("ths_adjustment_nv_fund",V$3,$A821))</x:f>
        <x:v>#NAME?</x:v>
      </x:c>
      <x:c r="W821" s="146" t="e">
        <x:f>IF($A821="","",[1]!thsiFinD("ths_adjustment_nv_fund",W$3,$A821))</x:f>
        <x:v>#NAME?</x:v>
      </x:c>
      <x:c r="X821" s="146" t="e">
        <x:f>IF($A821="","",[1]!thsiFinD("ths_adjustment_nv_fund",X$3,$A821))</x:f>
        <x:v>#NAME?</x:v>
      </x:c>
      <x:c r="Y821" s="146" t="e">
        <x:f>IF($A821="","",[1]!thsiFinD("ths_adjustment_nv_fund",Y$3,$A821))</x:f>
        <x:v>#NAME?</x:v>
      </x:c>
      <x:c r="Z821" s="146" t="e">
        <x:f>IF($A821="","",[1]!thsiFinD("ths_adjustment_nv_fund",Z$3,$A821))</x:f>
        <x:v>#NAME?</x:v>
      </x:c>
      <x:c r="AA821" s="146" t="e">
        <x:f>IF($A821="","",[1]!thsiFinD("ths_adjustment_nv_fund",AA$3,$A821))</x:f>
        <x:v>#NAME?</x:v>
      </x:c>
    </x:row>
    <x:row r="822">
      <x:c r="B822" s="146" t="e">
        <x:f>IF($A822="","",[1]!thsiFinD("ths_adjustment_nv_fund",B$3,$A822))</x:f>
        <x:v>#NAME?</x:v>
      </x:c>
      <x:c r="C822" s="146" t="e">
        <x:f>IF($A822="","",[1]!thsiFinD("ths_adjustment_nv_fund",C$3,$A822))</x:f>
        <x:v>#NAME?</x:v>
      </x:c>
      <x:c r="D822" s="146" t="e">
        <x:f>IF($A822="","",[1]!thsiFinD("ths_adjustment_nv_fund",D$3,$A822))</x:f>
        <x:v>#NAME?</x:v>
      </x:c>
      <x:c r="E822" s="146" t="e">
        <x:f>IF($A822="","",[1]!thsiFinD("ths_adjustment_nv_fund",E$3,$A822))</x:f>
        <x:v>#NAME?</x:v>
      </x:c>
      <x:c r="F822" s="146" t="e">
        <x:f>IF($A822="","",[1]!thsiFinD("ths_adjustment_nv_fund",F$3,$A822))</x:f>
        <x:v>#NAME?</x:v>
      </x:c>
      <x:c r="G822" s="146" t="e">
        <x:f>IF($A822="","",[1]!thsiFinD("ths_adjustment_nv_fund",G$3,$A822))</x:f>
        <x:v>#NAME?</x:v>
      </x:c>
      <x:c r="H822" s="146" t="e">
        <x:f>IF($A822="","",[1]!thsiFinD("ths_adjustment_nv_fund",H$3,$A822))</x:f>
        <x:v>#NAME?</x:v>
      </x:c>
      <x:c r="I822" s="146" t="e">
        <x:f>IF($A822="","",[1]!thsiFinD("ths_adjustment_nv_fund",I$3,$A822))</x:f>
        <x:v>#NAME?</x:v>
      </x:c>
      <x:c r="J822" s="146" t="e">
        <x:f>IF($A822="","",[1]!thsiFinD("ths_adjustment_nv_fund",J$3,$A822))</x:f>
        <x:v>#NAME?</x:v>
      </x:c>
      <x:c r="K822" s="146" t="e">
        <x:f>IF($A822="","",[1]!thsiFinD("ths_adjustment_nv_fund",K$3,$A822))</x:f>
        <x:v>#NAME?</x:v>
      </x:c>
      <x:c r="L822" s="146" t="e">
        <x:f>IF($A822="","",[1]!thsiFinD("ths_adjustment_nv_fund",L$3,$A822))</x:f>
        <x:v>#NAME?</x:v>
      </x:c>
      <x:c r="M822" s="146" t="e">
        <x:f>IF($A822="","",[1]!thsiFinD("ths_adjustment_nv_fund",M$3,$A822))</x:f>
        <x:v>#NAME?</x:v>
      </x:c>
      <x:c r="N822" s="146" t="e">
        <x:f>IF($A822="","",[1]!thsiFinD("ths_adjustment_nv_fund",N$3,$A822))</x:f>
        <x:v>#NAME?</x:v>
      </x:c>
      <x:c r="O822" s="146" t="e">
        <x:f>IF($A822="","",[1]!thsiFinD("ths_adjustment_nv_fund",O$3,$A822))</x:f>
        <x:v>#NAME?</x:v>
      </x:c>
      <x:c r="P822" s="146" t="e">
        <x:f>IF($A822="","",[1]!thsiFinD("ths_adjustment_nv_fund",P$3,$A822))</x:f>
        <x:v>#NAME?</x:v>
      </x:c>
      <x:c r="Q822" s="146" t="e">
        <x:f>IF($A822="","",[1]!thsiFinD("ths_adjustment_nv_fund",Q$3,$A822))</x:f>
        <x:v>#NAME?</x:v>
      </x:c>
      <x:c r="R822" s="146" t="e">
        <x:f>IF($A822="","",[1]!thsiFinD("ths_adjustment_nv_fund",R$3,$A822))</x:f>
        <x:v>#NAME?</x:v>
      </x:c>
      <x:c r="S822" s="146" t="e">
        <x:f>IF($A822="","",[1]!thsiFinD("ths_adjustment_nv_fund",S$3,$A822))</x:f>
        <x:v>#NAME?</x:v>
      </x:c>
      <x:c r="T822" s="146" t="e">
        <x:f>IF($A822="","",[1]!thsiFinD("ths_adjustment_nv_fund",T$3,$A822))</x:f>
        <x:v>#NAME?</x:v>
      </x:c>
      <x:c r="U822" s="146" t="e">
        <x:f>IF($A822="","",[1]!thsiFinD("ths_adjustment_nv_fund",U$3,$A822))</x:f>
        <x:v>#NAME?</x:v>
      </x:c>
      <x:c r="V822" s="146" t="e">
        <x:f>IF($A822="","",[1]!thsiFinD("ths_adjustment_nv_fund",V$3,$A822))</x:f>
        <x:v>#NAME?</x:v>
      </x:c>
      <x:c r="W822" s="146" t="e">
        <x:f>IF($A822="","",[1]!thsiFinD("ths_adjustment_nv_fund",W$3,$A822))</x:f>
        <x:v>#NAME?</x:v>
      </x:c>
      <x:c r="X822" s="146" t="e">
        <x:f>IF($A822="","",[1]!thsiFinD("ths_adjustment_nv_fund",X$3,$A822))</x:f>
        <x:v>#NAME?</x:v>
      </x:c>
      <x:c r="Y822" s="146" t="e">
        <x:f>IF($A822="","",[1]!thsiFinD("ths_adjustment_nv_fund",Y$3,$A822))</x:f>
        <x:v>#NAME?</x:v>
      </x:c>
      <x:c r="Z822" s="146" t="e">
        <x:f>IF($A822="","",[1]!thsiFinD("ths_adjustment_nv_fund",Z$3,$A822))</x:f>
        <x:v>#NAME?</x:v>
      </x:c>
      <x:c r="AA822" s="146" t="e">
        <x:f>IF($A822="","",[1]!thsiFinD("ths_adjustment_nv_fund",AA$3,$A822))</x:f>
        <x:v>#NAME?</x:v>
      </x:c>
    </x:row>
    <x:row r="823">
      <x:c r="B823" s="146" t="e">
        <x:f>IF($A823="","",[1]!thsiFinD("ths_adjustment_nv_fund",B$3,$A823))</x:f>
        <x:v>#NAME?</x:v>
      </x:c>
      <x:c r="C823" s="146" t="e">
        <x:f>IF($A823="","",[1]!thsiFinD("ths_adjustment_nv_fund",C$3,$A823))</x:f>
        <x:v>#NAME?</x:v>
      </x:c>
      <x:c r="D823" s="146" t="e">
        <x:f>IF($A823="","",[1]!thsiFinD("ths_adjustment_nv_fund",D$3,$A823))</x:f>
        <x:v>#NAME?</x:v>
      </x:c>
      <x:c r="E823" s="146" t="e">
        <x:f>IF($A823="","",[1]!thsiFinD("ths_adjustment_nv_fund",E$3,$A823))</x:f>
        <x:v>#NAME?</x:v>
      </x:c>
      <x:c r="F823" s="146" t="e">
        <x:f>IF($A823="","",[1]!thsiFinD("ths_adjustment_nv_fund",F$3,$A823))</x:f>
        <x:v>#NAME?</x:v>
      </x:c>
      <x:c r="G823" s="146" t="e">
        <x:f>IF($A823="","",[1]!thsiFinD("ths_adjustment_nv_fund",G$3,$A823))</x:f>
        <x:v>#NAME?</x:v>
      </x:c>
      <x:c r="H823" s="146" t="e">
        <x:f>IF($A823="","",[1]!thsiFinD("ths_adjustment_nv_fund",H$3,$A823))</x:f>
        <x:v>#NAME?</x:v>
      </x:c>
      <x:c r="I823" s="146" t="e">
        <x:f>IF($A823="","",[1]!thsiFinD("ths_adjustment_nv_fund",I$3,$A823))</x:f>
        <x:v>#NAME?</x:v>
      </x:c>
      <x:c r="J823" s="146" t="e">
        <x:f>IF($A823="","",[1]!thsiFinD("ths_adjustment_nv_fund",J$3,$A823))</x:f>
        <x:v>#NAME?</x:v>
      </x:c>
      <x:c r="K823" s="146" t="e">
        <x:f>IF($A823="","",[1]!thsiFinD("ths_adjustment_nv_fund",K$3,$A823))</x:f>
        <x:v>#NAME?</x:v>
      </x:c>
      <x:c r="L823" s="146" t="e">
        <x:f>IF($A823="","",[1]!thsiFinD("ths_adjustment_nv_fund",L$3,$A823))</x:f>
        <x:v>#NAME?</x:v>
      </x:c>
      <x:c r="M823" s="146" t="e">
        <x:f>IF($A823="","",[1]!thsiFinD("ths_adjustment_nv_fund",M$3,$A823))</x:f>
        <x:v>#NAME?</x:v>
      </x:c>
      <x:c r="N823" s="146" t="e">
        <x:f>IF($A823="","",[1]!thsiFinD("ths_adjustment_nv_fund",N$3,$A823))</x:f>
        <x:v>#NAME?</x:v>
      </x:c>
      <x:c r="O823" s="146" t="e">
        <x:f>IF($A823="","",[1]!thsiFinD("ths_adjustment_nv_fund",O$3,$A823))</x:f>
        <x:v>#NAME?</x:v>
      </x:c>
      <x:c r="P823" s="146" t="e">
        <x:f>IF($A823="","",[1]!thsiFinD("ths_adjustment_nv_fund",P$3,$A823))</x:f>
        <x:v>#NAME?</x:v>
      </x:c>
      <x:c r="Q823" s="146" t="e">
        <x:f>IF($A823="","",[1]!thsiFinD("ths_adjustment_nv_fund",Q$3,$A823))</x:f>
        <x:v>#NAME?</x:v>
      </x:c>
      <x:c r="R823" s="146" t="e">
        <x:f>IF($A823="","",[1]!thsiFinD("ths_adjustment_nv_fund",R$3,$A823))</x:f>
        <x:v>#NAME?</x:v>
      </x:c>
      <x:c r="S823" s="146" t="e">
        <x:f>IF($A823="","",[1]!thsiFinD("ths_adjustment_nv_fund",S$3,$A823))</x:f>
        <x:v>#NAME?</x:v>
      </x:c>
      <x:c r="T823" s="146" t="e">
        <x:f>IF($A823="","",[1]!thsiFinD("ths_adjustment_nv_fund",T$3,$A823))</x:f>
        <x:v>#NAME?</x:v>
      </x:c>
      <x:c r="U823" s="146" t="e">
        <x:f>IF($A823="","",[1]!thsiFinD("ths_adjustment_nv_fund",U$3,$A823))</x:f>
        <x:v>#NAME?</x:v>
      </x:c>
      <x:c r="V823" s="146" t="e">
        <x:f>IF($A823="","",[1]!thsiFinD("ths_adjustment_nv_fund",V$3,$A823))</x:f>
        <x:v>#NAME?</x:v>
      </x:c>
      <x:c r="W823" s="146" t="e">
        <x:f>IF($A823="","",[1]!thsiFinD("ths_adjustment_nv_fund",W$3,$A823))</x:f>
        <x:v>#NAME?</x:v>
      </x:c>
      <x:c r="X823" s="146" t="e">
        <x:f>IF($A823="","",[1]!thsiFinD("ths_adjustment_nv_fund",X$3,$A823))</x:f>
        <x:v>#NAME?</x:v>
      </x:c>
      <x:c r="Y823" s="146" t="e">
        <x:f>IF($A823="","",[1]!thsiFinD("ths_adjustment_nv_fund",Y$3,$A823))</x:f>
        <x:v>#NAME?</x:v>
      </x:c>
      <x:c r="Z823" s="146" t="e">
        <x:f>IF($A823="","",[1]!thsiFinD("ths_adjustment_nv_fund",Z$3,$A823))</x:f>
        <x:v>#NAME?</x:v>
      </x:c>
      <x:c r="AA823" s="146" t="e">
        <x:f>IF($A823="","",[1]!thsiFinD("ths_adjustment_nv_fund",AA$3,$A823))</x:f>
        <x:v>#NAME?</x:v>
      </x:c>
    </x:row>
    <x:row r="824">
      <x:c r="B824" s="146" t="e">
        <x:f>IF($A824="","",[1]!thsiFinD("ths_adjustment_nv_fund",B$3,$A824))</x:f>
        <x:v>#NAME?</x:v>
      </x:c>
      <x:c r="C824" s="146" t="e">
        <x:f>IF($A824="","",[1]!thsiFinD("ths_adjustment_nv_fund",C$3,$A824))</x:f>
        <x:v>#NAME?</x:v>
      </x:c>
      <x:c r="D824" s="146" t="e">
        <x:f>IF($A824="","",[1]!thsiFinD("ths_adjustment_nv_fund",D$3,$A824))</x:f>
        <x:v>#NAME?</x:v>
      </x:c>
      <x:c r="E824" s="146" t="e">
        <x:f>IF($A824="","",[1]!thsiFinD("ths_adjustment_nv_fund",E$3,$A824))</x:f>
        <x:v>#NAME?</x:v>
      </x:c>
      <x:c r="F824" s="146" t="e">
        <x:f>IF($A824="","",[1]!thsiFinD("ths_adjustment_nv_fund",F$3,$A824))</x:f>
        <x:v>#NAME?</x:v>
      </x:c>
      <x:c r="G824" s="146" t="e">
        <x:f>IF($A824="","",[1]!thsiFinD("ths_adjustment_nv_fund",G$3,$A824))</x:f>
        <x:v>#NAME?</x:v>
      </x:c>
      <x:c r="H824" s="146" t="e">
        <x:f>IF($A824="","",[1]!thsiFinD("ths_adjustment_nv_fund",H$3,$A824))</x:f>
        <x:v>#NAME?</x:v>
      </x:c>
      <x:c r="I824" s="146" t="e">
        <x:f>IF($A824="","",[1]!thsiFinD("ths_adjustment_nv_fund",I$3,$A824))</x:f>
        <x:v>#NAME?</x:v>
      </x:c>
      <x:c r="J824" s="146" t="e">
        <x:f>IF($A824="","",[1]!thsiFinD("ths_adjustment_nv_fund",J$3,$A824))</x:f>
        <x:v>#NAME?</x:v>
      </x:c>
      <x:c r="K824" s="146" t="e">
        <x:f>IF($A824="","",[1]!thsiFinD("ths_adjustment_nv_fund",K$3,$A824))</x:f>
        <x:v>#NAME?</x:v>
      </x:c>
      <x:c r="L824" s="146" t="e">
        <x:f>IF($A824="","",[1]!thsiFinD("ths_adjustment_nv_fund",L$3,$A824))</x:f>
        <x:v>#NAME?</x:v>
      </x:c>
      <x:c r="M824" s="146" t="e">
        <x:f>IF($A824="","",[1]!thsiFinD("ths_adjustment_nv_fund",M$3,$A824))</x:f>
        <x:v>#NAME?</x:v>
      </x:c>
      <x:c r="N824" s="146" t="e">
        <x:f>IF($A824="","",[1]!thsiFinD("ths_adjustment_nv_fund",N$3,$A824))</x:f>
        <x:v>#NAME?</x:v>
      </x:c>
      <x:c r="O824" s="146" t="e">
        <x:f>IF($A824="","",[1]!thsiFinD("ths_adjustment_nv_fund",O$3,$A824))</x:f>
        <x:v>#NAME?</x:v>
      </x:c>
      <x:c r="P824" s="146" t="e">
        <x:f>IF($A824="","",[1]!thsiFinD("ths_adjustment_nv_fund",P$3,$A824))</x:f>
        <x:v>#NAME?</x:v>
      </x:c>
      <x:c r="Q824" s="146" t="e">
        <x:f>IF($A824="","",[1]!thsiFinD("ths_adjustment_nv_fund",Q$3,$A824))</x:f>
        <x:v>#NAME?</x:v>
      </x:c>
      <x:c r="R824" s="146" t="e">
        <x:f>IF($A824="","",[1]!thsiFinD("ths_adjustment_nv_fund",R$3,$A824))</x:f>
        <x:v>#NAME?</x:v>
      </x:c>
      <x:c r="S824" s="146" t="e">
        <x:f>IF($A824="","",[1]!thsiFinD("ths_adjustment_nv_fund",S$3,$A824))</x:f>
        <x:v>#NAME?</x:v>
      </x:c>
      <x:c r="T824" s="146" t="e">
        <x:f>IF($A824="","",[1]!thsiFinD("ths_adjustment_nv_fund",T$3,$A824))</x:f>
        <x:v>#NAME?</x:v>
      </x:c>
      <x:c r="U824" s="146" t="e">
        <x:f>IF($A824="","",[1]!thsiFinD("ths_adjustment_nv_fund",U$3,$A824))</x:f>
        <x:v>#NAME?</x:v>
      </x:c>
      <x:c r="V824" s="146" t="e">
        <x:f>IF($A824="","",[1]!thsiFinD("ths_adjustment_nv_fund",V$3,$A824))</x:f>
        <x:v>#NAME?</x:v>
      </x:c>
      <x:c r="W824" s="146" t="e">
        <x:f>IF($A824="","",[1]!thsiFinD("ths_adjustment_nv_fund",W$3,$A824))</x:f>
        <x:v>#NAME?</x:v>
      </x:c>
      <x:c r="X824" s="146" t="e">
        <x:f>IF($A824="","",[1]!thsiFinD("ths_adjustment_nv_fund",X$3,$A824))</x:f>
        <x:v>#NAME?</x:v>
      </x:c>
      <x:c r="Y824" s="146" t="e">
        <x:f>IF($A824="","",[1]!thsiFinD("ths_adjustment_nv_fund",Y$3,$A824))</x:f>
        <x:v>#NAME?</x:v>
      </x:c>
      <x:c r="Z824" s="146" t="e">
        <x:f>IF($A824="","",[1]!thsiFinD("ths_adjustment_nv_fund",Z$3,$A824))</x:f>
        <x:v>#NAME?</x:v>
      </x:c>
      <x:c r="AA824" s="146" t="e">
        <x:f>IF($A824="","",[1]!thsiFinD("ths_adjustment_nv_fund",AA$3,$A824))</x:f>
        <x:v>#NAME?</x:v>
      </x:c>
    </x:row>
    <x:row r="825">
      <x:c r="B825" s="146" t="e">
        <x:f>IF($A825="","",[1]!thsiFinD("ths_adjustment_nv_fund",B$3,$A825))</x:f>
        <x:v>#NAME?</x:v>
      </x:c>
      <x:c r="C825" s="146" t="e">
        <x:f>IF($A825="","",[1]!thsiFinD("ths_adjustment_nv_fund",C$3,$A825))</x:f>
        <x:v>#NAME?</x:v>
      </x:c>
      <x:c r="D825" s="146" t="e">
        <x:f>IF($A825="","",[1]!thsiFinD("ths_adjustment_nv_fund",D$3,$A825))</x:f>
        <x:v>#NAME?</x:v>
      </x:c>
      <x:c r="E825" s="146" t="e">
        <x:f>IF($A825="","",[1]!thsiFinD("ths_adjustment_nv_fund",E$3,$A825))</x:f>
        <x:v>#NAME?</x:v>
      </x:c>
      <x:c r="F825" s="146" t="e">
        <x:f>IF($A825="","",[1]!thsiFinD("ths_adjustment_nv_fund",F$3,$A825))</x:f>
        <x:v>#NAME?</x:v>
      </x:c>
      <x:c r="G825" s="146" t="e">
        <x:f>IF($A825="","",[1]!thsiFinD("ths_adjustment_nv_fund",G$3,$A825))</x:f>
        <x:v>#NAME?</x:v>
      </x:c>
      <x:c r="H825" s="146" t="e">
        <x:f>IF($A825="","",[1]!thsiFinD("ths_adjustment_nv_fund",H$3,$A825))</x:f>
        <x:v>#NAME?</x:v>
      </x:c>
      <x:c r="I825" s="146" t="e">
        <x:f>IF($A825="","",[1]!thsiFinD("ths_adjustment_nv_fund",I$3,$A825))</x:f>
        <x:v>#NAME?</x:v>
      </x:c>
      <x:c r="J825" s="146" t="e">
        <x:f>IF($A825="","",[1]!thsiFinD("ths_adjustment_nv_fund",J$3,$A825))</x:f>
        <x:v>#NAME?</x:v>
      </x:c>
      <x:c r="K825" s="146" t="e">
        <x:f>IF($A825="","",[1]!thsiFinD("ths_adjustment_nv_fund",K$3,$A825))</x:f>
        <x:v>#NAME?</x:v>
      </x:c>
      <x:c r="L825" s="146" t="e">
        <x:f>IF($A825="","",[1]!thsiFinD("ths_adjustment_nv_fund",L$3,$A825))</x:f>
        <x:v>#NAME?</x:v>
      </x:c>
      <x:c r="M825" s="146" t="e">
        <x:f>IF($A825="","",[1]!thsiFinD("ths_adjustment_nv_fund",M$3,$A825))</x:f>
        <x:v>#NAME?</x:v>
      </x:c>
      <x:c r="N825" s="146" t="e">
        <x:f>IF($A825="","",[1]!thsiFinD("ths_adjustment_nv_fund",N$3,$A825))</x:f>
        <x:v>#NAME?</x:v>
      </x:c>
      <x:c r="O825" s="146" t="e">
        <x:f>IF($A825="","",[1]!thsiFinD("ths_adjustment_nv_fund",O$3,$A825))</x:f>
        <x:v>#NAME?</x:v>
      </x:c>
      <x:c r="P825" s="146" t="e">
        <x:f>IF($A825="","",[1]!thsiFinD("ths_adjustment_nv_fund",P$3,$A825))</x:f>
        <x:v>#NAME?</x:v>
      </x:c>
      <x:c r="Q825" s="146" t="e">
        <x:f>IF($A825="","",[1]!thsiFinD("ths_adjustment_nv_fund",Q$3,$A825))</x:f>
        <x:v>#NAME?</x:v>
      </x:c>
      <x:c r="R825" s="146" t="e">
        <x:f>IF($A825="","",[1]!thsiFinD("ths_adjustment_nv_fund",R$3,$A825))</x:f>
        <x:v>#NAME?</x:v>
      </x:c>
      <x:c r="S825" s="146" t="e">
        <x:f>IF($A825="","",[1]!thsiFinD("ths_adjustment_nv_fund",S$3,$A825))</x:f>
        <x:v>#NAME?</x:v>
      </x:c>
      <x:c r="T825" s="146" t="e">
        <x:f>IF($A825="","",[1]!thsiFinD("ths_adjustment_nv_fund",T$3,$A825))</x:f>
        <x:v>#NAME?</x:v>
      </x:c>
      <x:c r="U825" s="146" t="e">
        <x:f>IF($A825="","",[1]!thsiFinD("ths_adjustment_nv_fund",U$3,$A825))</x:f>
        <x:v>#NAME?</x:v>
      </x:c>
      <x:c r="V825" s="146" t="e">
        <x:f>IF($A825="","",[1]!thsiFinD("ths_adjustment_nv_fund",V$3,$A825))</x:f>
        <x:v>#NAME?</x:v>
      </x:c>
      <x:c r="W825" s="146" t="e">
        <x:f>IF($A825="","",[1]!thsiFinD("ths_adjustment_nv_fund",W$3,$A825))</x:f>
        <x:v>#NAME?</x:v>
      </x:c>
      <x:c r="X825" s="146" t="e">
        <x:f>IF($A825="","",[1]!thsiFinD("ths_adjustment_nv_fund",X$3,$A825))</x:f>
        <x:v>#NAME?</x:v>
      </x:c>
      <x:c r="Y825" s="146" t="e">
        <x:f>IF($A825="","",[1]!thsiFinD("ths_adjustment_nv_fund",Y$3,$A825))</x:f>
        <x:v>#NAME?</x:v>
      </x:c>
      <x:c r="Z825" s="146" t="e">
        <x:f>IF($A825="","",[1]!thsiFinD("ths_adjustment_nv_fund",Z$3,$A825))</x:f>
        <x:v>#NAME?</x:v>
      </x:c>
      <x:c r="AA825" s="146" t="e">
        <x:f>IF($A825="","",[1]!thsiFinD("ths_adjustment_nv_fund",AA$3,$A825))</x:f>
        <x:v>#NAME?</x:v>
      </x:c>
    </x:row>
    <x:row r="826">
      <x:c r="B826" s="146" t="e">
        <x:f>IF($A826="","",[1]!thsiFinD("ths_adjustment_nv_fund",B$3,$A826))</x:f>
        <x:v>#NAME?</x:v>
      </x:c>
      <x:c r="C826" s="146" t="e">
        <x:f>IF($A826="","",[1]!thsiFinD("ths_adjustment_nv_fund",C$3,$A826))</x:f>
        <x:v>#NAME?</x:v>
      </x:c>
      <x:c r="D826" s="146" t="e">
        <x:f>IF($A826="","",[1]!thsiFinD("ths_adjustment_nv_fund",D$3,$A826))</x:f>
        <x:v>#NAME?</x:v>
      </x:c>
      <x:c r="E826" s="146" t="e">
        <x:f>IF($A826="","",[1]!thsiFinD("ths_adjustment_nv_fund",E$3,$A826))</x:f>
        <x:v>#NAME?</x:v>
      </x:c>
      <x:c r="F826" s="146" t="e">
        <x:f>IF($A826="","",[1]!thsiFinD("ths_adjustment_nv_fund",F$3,$A826))</x:f>
        <x:v>#NAME?</x:v>
      </x:c>
      <x:c r="G826" s="146" t="e">
        <x:f>IF($A826="","",[1]!thsiFinD("ths_adjustment_nv_fund",G$3,$A826))</x:f>
        <x:v>#NAME?</x:v>
      </x:c>
      <x:c r="H826" s="146" t="e">
        <x:f>IF($A826="","",[1]!thsiFinD("ths_adjustment_nv_fund",H$3,$A826))</x:f>
        <x:v>#NAME?</x:v>
      </x:c>
      <x:c r="I826" s="146" t="e">
        <x:f>IF($A826="","",[1]!thsiFinD("ths_adjustment_nv_fund",I$3,$A826))</x:f>
        <x:v>#NAME?</x:v>
      </x:c>
      <x:c r="J826" s="146" t="e">
        <x:f>IF($A826="","",[1]!thsiFinD("ths_adjustment_nv_fund",J$3,$A826))</x:f>
        <x:v>#NAME?</x:v>
      </x:c>
      <x:c r="K826" s="146" t="e">
        <x:f>IF($A826="","",[1]!thsiFinD("ths_adjustment_nv_fund",K$3,$A826))</x:f>
        <x:v>#NAME?</x:v>
      </x:c>
      <x:c r="L826" s="146" t="e">
        <x:f>IF($A826="","",[1]!thsiFinD("ths_adjustment_nv_fund",L$3,$A826))</x:f>
        <x:v>#NAME?</x:v>
      </x:c>
      <x:c r="M826" s="146" t="e">
        <x:f>IF($A826="","",[1]!thsiFinD("ths_adjustment_nv_fund",M$3,$A826))</x:f>
        <x:v>#NAME?</x:v>
      </x:c>
      <x:c r="N826" s="146" t="e">
        <x:f>IF($A826="","",[1]!thsiFinD("ths_adjustment_nv_fund",N$3,$A826))</x:f>
        <x:v>#NAME?</x:v>
      </x:c>
      <x:c r="O826" s="146" t="e">
        <x:f>IF($A826="","",[1]!thsiFinD("ths_adjustment_nv_fund",O$3,$A826))</x:f>
        <x:v>#NAME?</x:v>
      </x:c>
      <x:c r="P826" s="146" t="e">
        <x:f>IF($A826="","",[1]!thsiFinD("ths_adjustment_nv_fund",P$3,$A826))</x:f>
        <x:v>#NAME?</x:v>
      </x:c>
      <x:c r="Q826" s="146" t="e">
        <x:f>IF($A826="","",[1]!thsiFinD("ths_adjustment_nv_fund",Q$3,$A826))</x:f>
        <x:v>#NAME?</x:v>
      </x:c>
      <x:c r="R826" s="146" t="e">
        <x:f>IF($A826="","",[1]!thsiFinD("ths_adjustment_nv_fund",R$3,$A826))</x:f>
        <x:v>#NAME?</x:v>
      </x:c>
      <x:c r="S826" s="146" t="e">
        <x:f>IF($A826="","",[1]!thsiFinD("ths_adjustment_nv_fund",S$3,$A826))</x:f>
        <x:v>#NAME?</x:v>
      </x:c>
      <x:c r="T826" s="146" t="e">
        <x:f>IF($A826="","",[1]!thsiFinD("ths_adjustment_nv_fund",T$3,$A826))</x:f>
        <x:v>#NAME?</x:v>
      </x:c>
      <x:c r="U826" s="146" t="e">
        <x:f>IF($A826="","",[1]!thsiFinD("ths_adjustment_nv_fund",U$3,$A826))</x:f>
        <x:v>#NAME?</x:v>
      </x:c>
      <x:c r="V826" s="146" t="e">
        <x:f>IF($A826="","",[1]!thsiFinD("ths_adjustment_nv_fund",V$3,$A826))</x:f>
        <x:v>#NAME?</x:v>
      </x:c>
      <x:c r="W826" s="146" t="e">
        <x:f>IF($A826="","",[1]!thsiFinD("ths_adjustment_nv_fund",W$3,$A826))</x:f>
        <x:v>#NAME?</x:v>
      </x:c>
      <x:c r="X826" s="146" t="e">
        <x:f>IF($A826="","",[1]!thsiFinD("ths_adjustment_nv_fund",X$3,$A826))</x:f>
        <x:v>#NAME?</x:v>
      </x:c>
      <x:c r="Y826" s="146" t="e">
        <x:f>IF($A826="","",[1]!thsiFinD("ths_adjustment_nv_fund",Y$3,$A826))</x:f>
        <x:v>#NAME?</x:v>
      </x:c>
      <x:c r="Z826" s="146" t="e">
        <x:f>IF($A826="","",[1]!thsiFinD("ths_adjustment_nv_fund",Z$3,$A826))</x:f>
        <x:v>#NAME?</x:v>
      </x:c>
      <x:c r="AA826" s="146" t="e">
        <x:f>IF($A826="","",[1]!thsiFinD("ths_adjustment_nv_fund",AA$3,$A826))</x:f>
        <x:v>#NAME?</x:v>
      </x:c>
    </x:row>
    <x:row r="827">
      <x:c r="B827" s="146" t="e">
        <x:f>IF($A827="","",[1]!thsiFinD("ths_adjustment_nv_fund",B$3,$A827))</x:f>
        <x:v>#NAME?</x:v>
      </x:c>
      <x:c r="C827" s="146" t="e">
        <x:f>IF($A827="","",[1]!thsiFinD("ths_adjustment_nv_fund",C$3,$A827))</x:f>
        <x:v>#NAME?</x:v>
      </x:c>
      <x:c r="D827" s="146" t="e">
        <x:f>IF($A827="","",[1]!thsiFinD("ths_adjustment_nv_fund",D$3,$A827))</x:f>
        <x:v>#NAME?</x:v>
      </x:c>
      <x:c r="E827" s="146" t="e">
        <x:f>IF($A827="","",[1]!thsiFinD("ths_adjustment_nv_fund",E$3,$A827))</x:f>
        <x:v>#NAME?</x:v>
      </x:c>
      <x:c r="F827" s="146" t="e">
        <x:f>IF($A827="","",[1]!thsiFinD("ths_adjustment_nv_fund",F$3,$A827))</x:f>
        <x:v>#NAME?</x:v>
      </x:c>
      <x:c r="G827" s="146" t="e">
        <x:f>IF($A827="","",[1]!thsiFinD("ths_adjustment_nv_fund",G$3,$A827))</x:f>
        <x:v>#NAME?</x:v>
      </x:c>
      <x:c r="H827" s="146" t="e">
        <x:f>IF($A827="","",[1]!thsiFinD("ths_adjustment_nv_fund",H$3,$A827))</x:f>
        <x:v>#NAME?</x:v>
      </x:c>
      <x:c r="I827" s="146" t="e">
        <x:f>IF($A827="","",[1]!thsiFinD("ths_adjustment_nv_fund",I$3,$A827))</x:f>
        <x:v>#NAME?</x:v>
      </x:c>
      <x:c r="J827" s="146" t="e">
        <x:f>IF($A827="","",[1]!thsiFinD("ths_adjustment_nv_fund",J$3,$A827))</x:f>
        <x:v>#NAME?</x:v>
      </x:c>
      <x:c r="K827" s="146" t="e">
        <x:f>IF($A827="","",[1]!thsiFinD("ths_adjustment_nv_fund",K$3,$A827))</x:f>
        <x:v>#NAME?</x:v>
      </x:c>
      <x:c r="L827" s="146" t="e">
        <x:f>IF($A827="","",[1]!thsiFinD("ths_adjustment_nv_fund",L$3,$A827))</x:f>
        <x:v>#NAME?</x:v>
      </x:c>
      <x:c r="M827" s="146" t="e">
        <x:f>IF($A827="","",[1]!thsiFinD("ths_adjustment_nv_fund",M$3,$A827))</x:f>
        <x:v>#NAME?</x:v>
      </x:c>
      <x:c r="N827" s="146" t="e">
        <x:f>IF($A827="","",[1]!thsiFinD("ths_adjustment_nv_fund",N$3,$A827))</x:f>
        <x:v>#NAME?</x:v>
      </x:c>
      <x:c r="O827" s="146" t="e">
        <x:f>IF($A827="","",[1]!thsiFinD("ths_adjustment_nv_fund",O$3,$A827))</x:f>
        <x:v>#NAME?</x:v>
      </x:c>
      <x:c r="P827" s="146" t="e">
        <x:f>IF($A827="","",[1]!thsiFinD("ths_adjustment_nv_fund",P$3,$A827))</x:f>
        <x:v>#NAME?</x:v>
      </x:c>
      <x:c r="Q827" s="146" t="e">
        <x:f>IF($A827="","",[1]!thsiFinD("ths_adjustment_nv_fund",Q$3,$A827))</x:f>
        <x:v>#NAME?</x:v>
      </x:c>
      <x:c r="R827" s="146" t="e">
        <x:f>IF($A827="","",[1]!thsiFinD("ths_adjustment_nv_fund",R$3,$A827))</x:f>
        <x:v>#NAME?</x:v>
      </x:c>
      <x:c r="S827" s="146" t="e">
        <x:f>IF($A827="","",[1]!thsiFinD("ths_adjustment_nv_fund",S$3,$A827))</x:f>
        <x:v>#NAME?</x:v>
      </x:c>
      <x:c r="T827" s="146" t="e">
        <x:f>IF($A827="","",[1]!thsiFinD("ths_adjustment_nv_fund",T$3,$A827))</x:f>
        <x:v>#NAME?</x:v>
      </x:c>
      <x:c r="U827" s="146" t="e">
        <x:f>IF($A827="","",[1]!thsiFinD("ths_adjustment_nv_fund",U$3,$A827))</x:f>
        <x:v>#NAME?</x:v>
      </x:c>
      <x:c r="V827" s="146" t="e">
        <x:f>IF($A827="","",[1]!thsiFinD("ths_adjustment_nv_fund",V$3,$A827))</x:f>
        <x:v>#NAME?</x:v>
      </x:c>
      <x:c r="W827" s="146" t="e">
        <x:f>IF($A827="","",[1]!thsiFinD("ths_adjustment_nv_fund",W$3,$A827))</x:f>
        <x:v>#NAME?</x:v>
      </x:c>
      <x:c r="X827" s="146" t="e">
        <x:f>IF($A827="","",[1]!thsiFinD("ths_adjustment_nv_fund",X$3,$A827))</x:f>
        <x:v>#NAME?</x:v>
      </x:c>
      <x:c r="Y827" s="146" t="e">
        <x:f>IF($A827="","",[1]!thsiFinD("ths_adjustment_nv_fund",Y$3,$A827))</x:f>
        <x:v>#NAME?</x:v>
      </x:c>
      <x:c r="Z827" s="146" t="e">
        <x:f>IF($A827="","",[1]!thsiFinD("ths_adjustment_nv_fund",Z$3,$A827))</x:f>
        <x:v>#NAME?</x:v>
      </x:c>
      <x:c r="AA827" s="146" t="e">
        <x:f>IF($A827="","",[1]!thsiFinD("ths_adjustment_nv_fund",AA$3,$A827))</x:f>
        <x:v>#NAME?</x:v>
      </x:c>
    </x:row>
    <x:row r="828">
      <x:c r="B828" s="146" t="e">
        <x:f>IF($A828="","",[1]!thsiFinD("ths_adjustment_nv_fund",B$3,$A828))</x:f>
        <x:v>#NAME?</x:v>
      </x:c>
      <x:c r="C828" s="146" t="e">
        <x:f>IF($A828="","",[1]!thsiFinD("ths_adjustment_nv_fund",C$3,$A828))</x:f>
        <x:v>#NAME?</x:v>
      </x:c>
      <x:c r="D828" s="146" t="e">
        <x:f>IF($A828="","",[1]!thsiFinD("ths_adjustment_nv_fund",D$3,$A828))</x:f>
        <x:v>#NAME?</x:v>
      </x:c>
      <x:c r="E828" s="146" t="e">
        <x:f>IF($A828="","",[1]!thsiFinD("ths_adjustment_nv_fund",E$3,$A828))</x:f>
        <x:v>#NAME?</x:v>
      </x:c>
      <x:c r="F828" s="146" t="e">
        <x:f>IF($A828="","",[1]!thsiFinD("ths_adjustment_nv_fund",F$3,$A828))</x:f>
        <x:v>#NAME?</x:v>
      </x:c>
      <x:c r="G828" s="146" t="e">
        <x:f>IF($A828="","",[1]!thsiFinD("ths_adjustment_nv_fund",G$3,$A828))</x:f>
        <x:v>#NAME?</x:v>
      </x:c>
      <x:c r="H828" s="146" t="e">
        <x:f>IF($A828="","",[1]!thsiFinD("ths_adjustment_nv_fund",H$3,$A828))</x:f>
        <x:v>#NAME?</x:v>
      </x:c>
      <x:c r="I828" s="146" t="e">
        <x:f>IF($A828="","",[1]!thsiFinD("ths_adjustment_nv_fund",I$3,$A828))</x:f>
        <x:v>#NAME?</x:v>
      </x:c>
      <x:c r="J828" s="146" t="e">
        <x:f>IF($A828="","",[1]!thsiFinD("ths_adjustment_nv_fund",J$3,$A828))</x:f>
        <x:v>#NAME?</x:v>
      </x:c>
      <x:c r="K828" s="146" t="e">
        <x:f>IF($A828="","",[1]!thsiFinD("ths_adjustment_nv_fund",K$3,$A828))</x:f>
        <x:v>#NAME?</x:v>
      </x:c>
      <x:c r="L828" s="146" t="e">
        <x:f>IF($A828="","",[1]!thsiFinD("ths_adjustment_nv_fund",L$3,$A828))</x:f>
        <x:v>#NAME?</x:v>
      </x:c>
      <x:c r="M828" s="146" t="e">
        <x:f>IF($A828="","",[1]!thsiFinD("ths_adjustment_nv_fund",M$3,$A828))</x:f>
        <x:v>#NAME?</x:v>
      </x:c>
      <x:c r="N828" s="146" t="e">
        <x:f>IF($A828="","",[1]!thsiFinD("ths_adjustment_nv_fund",N$3,$A828))</x:f>
        <x:v>#NAME?</x:v>
      </x:c>
      <x:c r="O828" s="146" t="e">
        <x:f>IF($A828="","",[1]!thsiFinD("ths_adjustment_nv_fund",O$3,$A828))</x:f>
        <x:v>#NAME?</x:v>
      </x:c>
      <x:c r="P828" s="146" t="e">
        <x:f>IF($A828="","",[1]!thsiFinD("ths_adjustment_nv_fund",P$3,$A828))</x:f>
        <x:v>#NAME?</x:v>
      </x:c>
      <x:c r="Q828" s="146" t="e">
        <x:f>IF($A828="","",[1]!thsiFinD("ths_adjustment_nv_fund",Q$3,$A828))</x:f>
        <x:v>#NAME?</x:v>
      </x:c>
      <x:c r="R828" s="146" t="e">
        <x:f>IF($A828="","",[1]!thsiFinD("ths_adjustment_nv_fund",R$3,$A828))</x:f>
        <x:v>#NAME?</x:v>
      </x:c>
      <x:c r="S828" s="146" t="e">
        <x:f>IF($A828="","",[1]!thsiFinD("ths_adjustment_nv_fund",S$3,$A828))</x:f>
        <x:v>#NAME?</x:v>
      </x:c>
      <x:c r="T828" s="146" t="e">
        <x:f>IF($A828="","",[1]!thsiFinD("ths_adjustment_nv_fund",T$3,$A828))</x:f>
        <x:v>#NAME?</x:v>
      </x:c>
      <x:c r="U828" s="146" t="e">
        <x:f>IF($A828="","",[1]!thsiFinD("ths_adjustment_nv_fund",U$3,$A828))</x:f>
        <x:v>#NAME?</x:v>
      </x:c>
      <x:c r="V828" s="146" t="e">
        <x:f>IF($A828="","",[1]!thsiFinD("ths_adjustment_nv_fund",V$3,$A828))</x:f>
        <x:v>#NAME?</x:v>
      </x:c>
      <x:c r="W828" s="146" t="e">
        <x:f>IF($A828="","",[1]!thsiFinD("ths_adjustment_nv_fund",W$3,$A828))</x:f>
        <x:v>#NAME?</x:v>
      </x:c>
      <x:c r="X828" s="146" t="e">
        <x:f>IF($A828="","",[1]!thsiFinD("ths_adjustment_nv_fund",X$3,$A828))</x:f>
        <x:v>#NAME?</x:v>
      </x:c>
      <x:c r="Y828" s="146" t="e">
        <x:f>IF($A828="","",[1]!thsiFinD("ths_adjustment_nv_fund",Y$3,$A828))</x:f>
        <x:v>#NAME?</x:v>
      </x:c>
      <x:c r="Z828" s="146" t="e">
        <x:f>IF($A828="","",[1]!thsiFinD("ths_adjustment_nv_fund",Z$3,$A828))</x:f>
        <x:v>#NAME?</x:v>
      </x:c>
      <x:c r="AA828" s="146" t="e">
        <x:f>IF($A828="","",[1]!thsiFinD("ths_adjustment_nv_fund",AA$3,$A828))</x:f>
        <x:v>#NAME?</x:v>
      </x:c>
    </x:row>
    <x:row r="829">
      <x:c r="B829" s="146" t="e">
        <x:f>IF($A829="","",[1]!thsiFinD("ths_adjustment_nv_fund",B$3,$A829))</x:f>
        <x:v>#NAME?</x:v>
      </x:c>
      <x:c r="C829" s="146" t="e">
        <x:f>IF($A829="","",[1]!thsiFinD("ths_adjustment_nv_fund",C$3,$A829))</x:f>
        <x:v>#NAME?</x:v>
      </x:c>
      <x:c r="D829" s="146" t="e">
        <x:f>IF($A829="","",[1]!thsiFinD("ths_adjustment_nv_fund",D$3,$A829))</x:f>
        <x:v>#NAME?</x:v>
      </x:c>
      <x:c r="E829" s="146" t="e">
        <x:f>IF($A829="","",[1]!thsiFinD("ths_adjustment_nv_fund",E$3,$A829))</x:f>
        <x:v>#NAME?</x:v>
      </x:c>
      <x:c r="F829" s="146" t="e">
        <x:f>IF($A829="","",[1]!thsiFinD("ths_adjustment_nv_fund",F$3,$A829))</x:f>
        <x:v>#NAME?</x:v>
      </x:c>
      <x:c r="G829" s="146" t="e">
        <x:f>IF($A829="","",[1]!thsiFinD("ths_adjustment_nv_fund",G$3,$A829))</x:f>
        <x:v>#NAME?</x:v>
      </x:c>
      <x:c r="H829" s="146" t="e">
        <x:f>IF($A829="","",[1]!thsiFinD("ths_adjustment_nv_fund",H$3,$A829))</x:f>
        <x:v>#NAME?</x:v>
      </x:c>
      <x:c r="I829" s="146" t="e">
        <x:f>IF($A829="","",[1]!thsiFinD("ths_adjustment_nv_fund",I$3,$A829))</x:f>
        <x:v>#NAME?</x:v>
      </x:c>
      <x:c r="J829" s="146" t="e">
        <x:f>IF($A829="","",[1]!thsiFinD("ths_adjustment_nv_fund",J$3,$A829))</x:f>
        <x:v>#NAME?</x:v>
      </x:c>
      <x:c r="K829" s="146" t="e">
        <x:f>IF($A829="","",[1]!thsiFinD("ths_adjustment_nv_fund",K$3,$A829))</x:f>
        <x:v>#NAME?</x:v>
      </x:c>
      <x:c r="L829" s="146" t="e">
        <x:f>IF($A829="","",[1]!thsiFinD("ths_adjustment_nv_fund",L$3,$A829))</x:f>
        <x:v>#NAME?</x:v>
      </x:c>
      <x:c r="M829" s="146" t="e">
        <x:f>IF($A829="","",[1]!thsiFinD("ths_adjustment_nv_fund",M$3,$A829))</x:f>
        <x:v>#NAME?</x:v>
      </x:c>
      <x:c r="N829" s="146" t="e">
        <x:f>IF($A829="","",[1]!thsiFinD("ths_adjustment_nv_fund",N$3,$A829))</x:f>
        <x:v>#NAME?</x:v>
      </x:c>
      <x:c r="O829" s="146" t="e">
        <x:f>IF($A829="","",[1]!thsiFinD("ths_adjustment_nv_fund",O$3,$A829))</x:f>
        <x:v>#NAME?</x:v>
      </x:c>
      <x:c r="P829" s="146" t="e">
        <x:f>IF($A829="","",[1]!thsiFinD("ths_adjustment_nv_fund",P$3,$A829))</x:f>
        <x:v>#NAME?</x:v>
      </x:c>
      <x:c r="Q829" s="146" t="e">
        <x:f>IF($A829="","",[1]!thsiFinD("ths_adjustment_nv_fund",Q$3,$A829))</x:f>
        <x:v>#NAME?</x:v>
      </x:c>
      <x:c r="R829" s="146" t="e">
        <x:f>IF($A829="","",[1]!thsiFinD("ths_adjustment_nv_fund",R$3,$A829))</x:f>
        <x:v>#NAME?</x:v>
      </x:c>
      <x:c r="S829" s="146" t="e">
        <x:f>IF($A829="","",[1]!thsiFinD("ths_adjustment_nv_fund",S$3,$A829))</x:f>
        <x:v>#NAME?</x:v>
      </x:c>
      <x:c r="T829" s="146" t="e">
        <x:f>IF($A829="","",[1]!thsiFinD("ths_adjustment_nv_fund",T$3,$A829))</x:f>
        <x:v>#NAME?</x:v>
      </x:c>
      <x:c r="U829" s="146" t="e">
        <x:f>IF($A829="","",[1]!thsiFinD("ths_adjustment_nv_fund",U$3,$A829))</x:f>
        <x:v>#NAME?</x:v>
      </x:c>
      <x:c r="V829" s="146" t="e">
        <x:f>IF($A829="","",[1]!thsiFinD("ths_adjustment_nv_fund",V$3,$A829))</x:f>
        <x:v>#NAME?</x:v>
      </x:c>
      <x:c r="W829" s="146" t="e">
        <x:f>IF($A829="","",[1]!thsiFinD("ths_adjustment_nv_fund",W$3,$A829))</x:f>
        <x:v>#NAME?</x:v>
      </x:c>
      <x:c r="X829" s="146" t="e">
        <x:f>IF($A829="","",[1]!thsiFinD("ths_adjustment_nv_fund",X$3,$A829))</x:f>
        <x:v>#NAME?</x:v>
      </x:c>
      <x:c r="Y829" s="146" t="e">
        <x:f>IF($A829="","",[1]!thsiFinD("ths_adjustment_nv_fund",Y$3,$A829))</x:f>
        <x:v>#NAME?</x:v>
      </x:c>
      <x:c r="Z829" s="146" t="e">
        <x:f>IF($A829="","",[1]!thsiFinD("ths_adjustment_nv_fund",Z$3,$A829))</x:f>
        <x:v>#NAME?</x:v>
      </x:c>
      <x:c r="AA829" s="146" t="e">
        <x:f>IF($A829="","",[1]!thsiFinD("ths_adjustment_nv_fund",AA$3,$A829))</x:f>
        <x:v>#NAME?</x:v>
      </x:c>
    </x:row>
    <x:row r="830">
      <x:c r="B830" s="146" t="e">
        <x:f>IF($A830="","",[1]!thsiFinD("ths_adjustment_nv_fund",B$3,$A830))</x:f>
        <x:v>#NAME?</x:v>
      </x:c>
      <x:c r="C830" s="146" t="e">
        <x:f>IF($A830="","",[1]!thsiFinD("ths_adjustment_nv_fund",C$3,$A830))</x:f>
        <x:v>#NAME?</x:v>
      </x:c>
      <x:c r="D830" s="146" t="e">
        <x:f>IF($A830="","",[1]!thsiFinD("ths_adjustment_nv_fund",D$3,$A830))</x:f>
        <x:v>#NAME?</x:v>
      </x:c>
      <x:c r="E830" s="146" t="e">
        <x:f>IF($A830="","",[1]!thsiFinD("ths_adjustment_nv_fund",E$3,$A830))</x:f>
        <x:v>#NAME?</x:v>
      </x:c>
      <x:c r="F830" s="146" t="e">
        <x:f>IF($A830="","",[1]!thsiFinD("ths_adjustment_nv_fund",F$3,$A830))</x:f>
        <x:v>#NAME?</x:v>
      </x:c>
      <x:c r="G830" s="146" t="e">
        <x:f>IF($A830="","",[1]!thsiFinD("ths_adjustment_nv_fund",G$3,$A830))</x:f>
        <x:v>#NAME?</x:v>
      </x:c>
      <x:c r="H830" s="146" t="e">
        <x:f>IF($A830="","",[1]!thsiFinD("ths_adjustment_nv_fund",H$3,$A830))</x:f>
        <x:v>#NAME?</x:v>
      </x:c>
      <x:c r="I830" s="146" t="e">
        <x:f>IF($A830="","",[1]!thsiFinD("ths_adjustment_nv_fund",I$3,$A830))</x:f>
        <x:v>#NAME?</x:v>
      </x:c>
      <x:c r="J830" s="146" t="e">
        <x:f>IF($A830="","",[1]!thsiFinD("ths_adjustment_nv_fund",J$3,$A830))</x:f>
        <x:v>#NAME?</x:v>
      </x:c>
      <x:c r="K830" s="146" t="e">
        <x:f>IF($A830="","",[1]!thsiFinD("ths_adjustment_nv_fund",K$3,$A830))</x:f>
        <x:v>#NAME?</x:v>
      </x:c>
      <x:c r="L830" s="146" t="e">
        <x:f>IF($A830="","",[1]!thsiFinD("ths_adjustment_nv_fund",L$3,$A830))</x:f>
        <x:v>#NAME?</x:v>
      </x:c>
      <x:c r="M830" s="146" t="e">
        <x:f>IF($A830="","",[1]!thsiFinD("ths_adjustment_nv_fund",M$3,$A830))</x:f>
        <x:v>#NAME?</x:v>
      </x:c>
      <x:c r="N830" s="146" t="e">
        <x:f>IF($A830="","",[1]!thsiFinD("ths_adjustment_nv_fund",N$3,$A830))</x:f>
        <x:v>#NAME?</x:v>
      </x:c>
      <x:c r="O830" s="146" t="e">
        <x:f>IF($A830="","",[1]!thsiFinD("ths_adjustment_nv_fund",O$3,$A830))</x:f>
        <x:v>#NAME?</x:v>
      </x:c>
      <x:c r="P830" s="146" t="e">
        <x:f>IF($A830="","",[1]!thsiFinD("ths_adjustment_nv_fund",P$3,$A830))</x:f>
        <x:v>#NAME?</x:v>
      </x:c>
      <x:c r="Q830" s="146" t="e">
        <x:f>IF($A830="","",[1]!thsiFinD("ths_adjustment_nv_fund",Q$3,$A830))</x:f>
        <x:v>#NAME?</x:v>
      </x:c>
      <x:c r="R830" s="146" t="e">
        <x:f>IF($A830="","",[1]!thsiFinD("ths_adjustment_nv_fund",R$3,$A830))</x:f>
        <x:v>#NAME?</x:v>
      </x:c>
      <x:c r="S830" s="146" t="e">
        <x:f>IF($A830="","",[1]!thsiFinD("ths_adjustment_nv_fund",S$3,$A830))</x:f>
        <x:v>#NAME?</x:v>
      </x:c>
      <x:c r="T830" s="146" t="e">
        <x:f>IF($A830="","",[1]!thsiFinD("ths_adjustment_nv_fund",T$3,$A830))</x:f>
        <x:v>#NAME?</x:v>
      </x:c>
      <x:c r="U830" s="146" t="e">
        <x:f>IF($A830="","",[1]!thsiFinD("ths_adjustment_nv_fund",U$3,$A830))</x:f>
        <x:v>#NAME?</x:v>
      </x:c>
      <x:c r="V830" s="146" t="e">
        <x:f>IF($A830="","",[1]!thsiFinD("ths_adjustment_nv_fund",V$3,$A830))</x:f>
        <x:v>#NAME?</x:v>
      </x:c>
      <x:c r="W830" s="146" t="e">
        <x:f>IF($A830="","",[1]!thsiFinD("ths_adjustment_nv_fund",W$3,$A830))</x:f>
        <x:v>#NAME?</x:v>
      </x:c>
      <x:c r="X830" s="146" t="e">
        <x:f>IF($A830="","",[1]!thsiFinD("ths_adjustment_nv_fund",X$3,$A830))</x:f>
        <x:v>#NAME?</x:v>
      </x:c>
      <x:c r="Y830" s="146" t="e">
        <x:f>IF($A830="","",[1]!thsiFinD("ths_adjustment_nv_fund",Y$3,$A830))</x:f>
        <x:v>#NAME?</x:v>
      </x:c>
      <x:c r="Z830" s="146" t="e">
        <x:f>IF($A830="","",[1]!thsiFinD("ths_adjustment_nv_fund",Z$3,$A830))</x:f>
        <x:v>#NAME?</x:v>
      </x:c>
      <x:c r="AA830" s="146" t="e">
        <x:f>IF($A830="","",[1]!thsiFinD("ths_adjustment_nv_fund",AA$3,$A830))</x:f>
        <x:v>#NAME?</x:v>
      </x:c>
    </x:row>
    <x:row r="831">
      <x:c r="B831" s="146" t="e">
        <x:f>IF($A831="","",[1]!thsiFinD("ths_adjustment_nv_fund",B$3,$A831))</x:f>
        <x:v>#NAME?</x:v>
      </x:c>
      <x:c r="C831" s="146" t="e">
        <x:f>IF($A831="","",[1]!thsiFinD("ths_adjustment_nv_fund",C$3,$A831))</x:f>
        <x:v>#NAME?</x:v>
      </x:c>
      <x:c r="D831" s="146" t="e">
        <x:f>IF($A831="","",[1]!thsiFinD("ths_adjustment_nv_fund",D$3,$A831))</x:f>
        <x:v>#NAME?</x:v>
      </x:c>
      <x:c r="E831" s="146" t="e">
        <x:f>IF($A831="","",[1]!thsiFinD("ths_adjustment_nv_fund",E$3,$A831))</x:f>
        <x:v>#NAME?</x:v>
      </x:c>
      <x:c r="F831" s="146" t="e">
        <x:f>IF($A831="","",[1]!thsiFinD("ths_adjustment_nv_fund",F$3,$A831))</x:f>
        <x:v>#NAME?</x:v>
      </x:c>
      <x:c r="G831" s="146" t="e">
        <x:f>IF($A831="","",[1]!thsiFinD("ths_adjustment_nv_fund",G$3,$A831))</x:f>
        <x:v>#NAME?</x:v>
      </x:c>
      <x:c r="H831" s="146" t="e">
        <x:f>IF($A831="","",[1]!thsiFinD("ths_adjustment_nv_fund",H$3,$A831))</x:f>
        <x:v>#NAME?</x:v>
      </x:c>
      <x:c r="I831" s="146" t="e">
        <x:f>IF($A831="","",[1]!thsiFinD("ths_adjustment_nv_fund",I$3,$A831))</x:f>
        <x:v>#NAME?</x:v>
      </x:c>
      <x:c r="J831" s="146" t="e">
        <x:f>IF($A831="","",[1]!thsiFinD("ths_adjustment_nv_fund",J$3,$A831))</x:f>
        <x:v>#NAME?</x:v>
      </x:c>
      <x:c r="K831" s="146" t="e">
        <x:f>IF($A831="","",[1]!thsiFinD("ths_adjustment_nv_fund",K$3,$A831))</x:f>
        <x:v>#NAME?</x:v>
      </x:c>
      <x:c r="L831" s="146" t="e">
        <x:f>IF($A831="","",[1]!thsiFinD("ths_adjustment_nv_fund",L$3,$A831))</x:f>
        <x:v>#NAME?</x:v>
      </x:c>
      <x:c r="M831" s="146" t="e">
        <x:f>IF($A831="","",[1]!thsiFinD("ths_adjustment_nv_fund",M$3,$A831))</x:f>
        <x:v>#NAME?</x:v>
      </x:c>
      <x:c r="N831" s="146" t="e">
        <x:f>IF($A831="","",[1]!thsiFinD("ths_adjustment_nv_fund",N$3,$A831))</x:f>
        <x:v>#NAME?</x:v>
      </x:c>
      <x:c r="O831" s="146" t="e">
        <x:f>IF($A831="","",[1]!thsiFinD("ths_adjustment_nv_fund",O$3,$A831))</x:f>
        <x:v>#NAME?</x:v>
      </x:c>
      <x:c r="P831" s="146" t="e">
        <x:f>IF($A831="","",[1]!thsiFinD("ths_adjustment_nv_fund",P$3,$A831))</x:f>
        <x:v>#NAME?</x:v>
      </x:c>
      <x:c r="Q831" s="146" t="e">
        <x:f>IF($A831="","",[1]!thsiFinD("ths_adjustment_nv_fund",Q$3,$A831))</x:f>
        <x:v>#NAME?</x:v>
      </x:c>
      <x:c r="R831" s="146" t="e">
        <x:f>IF($A831="","",[1]!thsiFinD("ths_adjustment_nv_fund",R$3,$A831))</x:f>
        <x:v>#NAME?</x:v>
      </x:c>
      <x:c r="S831" s="146" t="e">
        <x:f>IF($A831="","",[1]!thsiFinD("ths_adjustment_nv_fund",S$3,$A831))</x:f>
        <x:v>#NAME?</x:v>
      </x:c>
      <x:c r="T831" s="146" t="e">
        <x:f>IF($A831="","",[1]!thsiFinD("ths_adjustment_nv_fund",T$3,$A831))</x:f>
        <x:v>#NAME?</x:v>
      </x:c>
      <x:c r="U831" s="146" t="e">
        <x:f>IF($A831="","",[1]!thsiFinD("ths_adjustment_nv_fund",U$3,$A831))</x:f>
        <x:v>#NAME?</x:v>
      </x:c>
      <x:c r="V831" s="146" t="e">
        <x:f>IF($A831="","",[1]!thsiFinD("ths_adjustment_nv_fund",V$3,$A831))</x:f>
        <x:v>#NAME?</x:v>
      </x:c>
      <x:c r="W831" s="146" t="e">
        <x:f>IF($A831="","",[1]!thsiFinD("ths_adjustment_nv_fund",W$3,$A831))</x:f>
        <x:v>#NAME?</x:v>
      </x:c>
      <x:c r="X831" s="146" t="e">
        <x:f>IF($A831="","",[1]!thsiFinD("ths_adjustment_nv_fund",X$3,$A831))</x:f>
        <x:v>#NAME?</x:v>
      </x:c>
      <x:c r="Y831" s="146" t="e">
        <x:f>IF($A831="","",[1]!thsiFinD("ths_adjustment_nv_fund",Y$3,$A831))</x:f>
        <x:v>#NAME?</x:v>
      </x:c>
      <x:c r="Z831" s="146" t="e">
        <x:f>IF($A831="","",[1]!thsiFinD("ths_adjustment_nv_fund",Z$3,$A831))</x:f>
        <x:v>#NAME?</x:v>
      </x:c>
      <x:c r="AA831" s="146" t="e">
        <x:f>IF($A831="","",[1]!thsiFinD("ths_adjustment_nv_fund",AA$3,$A831))</x:f>
        <x:v>#NAME?</x:v>
      </x:c>
    </x:row>
    <x:row r="832">
      <x:c r="B832" s="146" t="e">
        <x:f>IF($A832="","",[1]!thsiFinD("ths_adjustment_nv_fund",B$3,$A832))</x:f>
        <x:v>#NAME?</x:v>
      </x:c>
      <x:c r="C832" s="146" t="e">
        <x:f>IF($A832="","",[1]!thsiFinD("ths_adjustment_nv_fund",C$3,$A832))</x:f>
        <x:v>#NAME?</x:v>
      </x:c>
      <x:c r="D832" s="146" t="e">
        <x:f>IF($A832="","",[1]!thsiFinD("ths_adjustment_nv_fund",D$3,$A832))</x:f>
        <x:v>#NAME?</x:v>
      </x:c>
      <x:c r="E832" s="146" t="e">
        <x:f>IF($A832="","",[1]!thsiFinD("ths_adjustment_nv_fund",E$3,$A832))</x:f>
        <x:v>#NAME?</x:v>
      </x:c>
      <x:c r="F832" s="146" t="e">
        <x:f>IF($A832="","",[1]!thsiFinD("ths_adjustment_nv_fund",F$3,$A832))</x:f>
        <x:v>#NAME?</x:v>
      </x:c>
      <x:c r="G832" s="146" t="e">
        <x:f>IF($A832="","",[1]!thsiFinD("ths_adjustment_nv_fund",G$3,$A832))</x:f>
        <x:v>#NAME?</x:v>
      </x:c>
      <x:c r="H832" s="146" t="e">
        <x:f>IF($A832="","",[1]!thsiFinD("ths_adjustment_nv_fund",H$3,$A832))</x:f>
        <x:v>#NAME?</x:v>
      </x:c>
      <x:c r="I832" s="146" t="e">
        <x:f>IF($A832="","",[1]!thsiFinD("ths_adjustment_nv_fund",I$3,$A832))</x:f>
        <x:v>#NAME?</x:v>
      </x:c>
      <x:c r="J832" s="146" t="e">
        <x:f>IF($A832="","",[1]!thsiFinD("ths_adjustment_nv_fund",J$3,$A832))</x:f>
        <x:v>#NAME?</x:v>
      </x:c>
      <x:c r="K832" s="146" t="e">
        <x:f>IF($A832="","",[1]!thsiFinD("ths_adjustment_nv_fund",K$3,$A832))</x:f>
        <x:v>#NAME?</x:v>
      </x:c>
      <x:c r="L832" s="146" t="e">
        <x:f>IF($A832="","",[1]!thsiFinD("ths_adjustment_nv_fund",L$3,$A832))</x:f>
        <x:v>#NAME?</x:v>
      </x:c>
      <x:c r="M832" s="146" t="e">
        <x:f>IF($A832="","",[1]!thsiFinD("ths_adjustment_nv_fund",M$3,$A832))</x:f>
        <x:v>#NAME?</x:v>
      </x:c>
      <x:c r="N832" s="146" t="e">
        <x:f>IF($A832="","",[1]!thsiFinD("ths_adjustment_nv_fund",N$3,$A832))</x:f>
        <x:v>#NAME?</x:v>
      </x:c>
      <x:c r="O832" s="146" t="e">
        <x:f>IF($A832="","",[1]!thsiFinD("ths_adjustment_nv_fund",O$3,$A832))</x:f>
        <x:v>#NAME?</x:v>
      </x:c>
      <x:c r="P832" s="146" t="e">
        <x:f>IF($A832="","",[1]!thsiFinD("ths_adjustment_nv_fund",P$3,$A832))</x:f>
        <x:v>#NAME?</x:v>
      </x:c>
      <x:c r="Q832" s="146" t="e">
        <x:f>IF($A832="","",[1]!thsiFinD("ths_adjustment_nv_fund",Q$3,$A832))</x:f>
        <x:v>#NAME?</x:v>
      </x:c>
      <x:c r="R832" s="146" t="e">
        <x:f>IF($A832="","",[1]!thsiFinD("ths_adjustment_nv_fund",R$3,$A832))</x:f>
        <x:v>#NAME?</x:v>
      </x:c>
      <x:c r="S832" s="146" t="e">
        <x:f>IF($A832="","",[1]!thsiFinD("ths_adjustment_nv_fund",S$3,$A832))</x:f>
        <x:v>#NAME?</x:v>
      </x:c>
      <x:c r="T832" s="146" t="e">
        <x:f>IF($A832="","",[1]!thsiFinD("ths_adjustment_nv_fund",T$3,$A832))</x:f>
        <x:v>#NAME?</x:v>
      </x:c>
      <x:c r="U832" s="146" t="e">
        <x:f>IF($A832="","",[1]!thsiFinD("ths_adjustment_nv_fund",U$3,$A832))</x:f>
        <x:v>#NAME?</x:v>
      </x:c>
      <x:c r="V832" s="146" t="e">
        <x:f>IF($A832="","",[1]!thsiFinD("ths_adjustment_nv_fund",V$3,$A832))</x:f>
        <x:v>#NAME?</x:v>
      </x:c>
      <x:c r="W832" s="146" t="e">
        <x:f>IF($A832="","",[1]!thsiFinD("ths_adjustment_nv_fund",W$3,$A832))</x:f>
        <x:v>#NAME?</x:v>
      </x:c>
      <x:c r="X832" s="146" t="e">
        <x:f>IF($A832="","",[1]!thsiFinD("ths_adjustment_nv_fund",X$3,$A832))</x:f>
        <x:v>#NAME?</x:v>
      </x:c>
      <x:c r="Y832" s="146" t="e">
        <x:f>IF($A832="","",[1]!thsiFinD("ths_adjustment_nv_fund",Y$3,$A832))</x:f>
        <x:v>#NAME?</x:v>
      </x:c>
      <x:c r="Z832" s="146" t="e">
        <x:f>IF($A832="","",[1]!thsiFinD("ths_adjustment_nv_fund",Z$3,$A832))</x:f>
        <x:v>#NAME?</x:v>
      </x:c>
      <x:c r="AA832" s="146" t="e">
        <x:f>IF($A832="","",[1]!thsiFinD("ths_adjustment_nv_fund",AA$3,$A832))</x:f>
        <x:v>#NAME?</x:v>
      </x:c>
    </x:row>
    <x:row r="833">
      <x:c r="B833" s="146" t="e">
        <x:f>IF($A833="","",[1]!thsiFinD("ths_adjustment_nv_fund",B$3,$A833))</x:f>
        <x:v>#NAME?</x:v>
      </x:c>
      <x:c r="C833" s="146" t="e">
        <x:f>IF($A833="","",[1]!thsiFinD("ths_adjustment_nv_fund",C$3,$A833))</x:f>
        <x:v>#NAME?</x:v>
      </x:c>
      <x:c r="D833" s="146" t="e">
        <x:f>IF($A833="","",[1]!thsiFinD("ths_adjustment_nv_fund",D$3,$A833))</x:f>
        <x:v>#NAME?</x:v>
      </x:c>
      <x:c r="E833" s="146" t="e">
        <x:f>IF($A833="","",[1]!thsiFinD("ths_adjustment_nv_fund",E$3,$A833))</x:f>
        <x:v>#NAME?</x:v>
      </x:c>
      <x:c r="F833" s="146" t="e">
        <x:f>IF($A833="","",[1]!thsiFinD("ths_adjustment_nv_fund",F$3,$A833))</x:f>
        <x:v>#NAME?</x:v>
      </x:c>
      <x:c r="G833" s="146" t="e">
        <x:f>IF($A833="","",[1]!thsiFinD("ths_adjustment_nv_fund",G$3,$A833))</x:f>
        <x:v>#NAME?</x:v>
      </x:c>
      <x:c r="H833" s="146" t="e">
        <x:f>IF($A833="","",[1]!thsiFinD("ths_adjustment_nv_fund",H$3,$A833))</x:f>
        <x:v>#NAME?</x:v>
      </x:c>
      <x:c r="I833" s="146" t="e">
        <x:f>IF($A833="","",[1]!thsiFinD("ths_adjustment_nv_fund",I$3,$A833))</x:f>
        <x:v>#NAME?</x:v>
      </x:c>
      <x:c r="J833" s="146" t="e">
        <x:f>IF($A833="","",[1]!thsiFinD("ths_adjustment_nv_fund",J$3,$A833))</x:f>
        <x:v>#NAME?</x:v>
      </x:c>
      <x:c r="K833" s="146" t="e">
        <x:f>IF($A833="","",[1]!thsiFinD("ths_adjustment_nv_fund",K$3,$A833))</x:f>
        <x:v>#NAME?</x:v>
      </x:c>
      <x:c r="L833" s="146" t="e">
        <x:f>IF($A833="","",[1]!thsiFinD("ths_adjustment_nv_fund",L$3,$A833))</x:f>
        <x:v>#NAME?</x:v>
      </x:c>
      <x:c r="M833" s="146" t="e">
        <x:f>IF($A833="","",[1]!thsiFinD("ths_adjustment_nv_fund",M$3,$A833))</x:f>
        <x:v>#NAME?</x:v>
      </x:c>
      <x:c r="N833" s="146" t="e">
        <x:f>IF($A833="","",[1]!thsiFinD("ths_adjustment_nv_fund",N$3,$A833))</x:f>
        <x:v>#NAME?</x:v>
      </x:c>
      <x:c r="O833" s="146" t="e">
        <x:f>IF($A833="","",[1]!thsiFinD("ths_adjustment_nv_fund",O$3,$A833))</x:f>
        <x:v>#NAME?</x:v>
      </x:c>
      <x:c r="P833" s="146" t="e">
        <x:f>IF($A833="","",[1]!thsiFinD("ths_adjustment_nv_fund",P$3,$A833))</x:f>
        <x:v>#NAME?</x:v>
      </x:c>
      <x:c r="Q833" s="146" t="e">
        <x:f>IF($A833="","",[1]!thsiFinD("ths_adjustment_nv_fund",Q$3,$A833))</x:f>
        <x:v>#NAME?</x:v>
      </x:c>
      <x:c r="R833" s="146" t="e">
        <x:f>IF($A833="","",[1]!thsiFinD("ths_adjustment_nv_fund",R$3,$A833))</x:f>
        <x:v>#NAME?</x:v>
      </x:c>
      <x:c r="S833" s="146" t="e">
        <x:f>IF($A833="","",[1]!thsiFinD("ths_adjustment_nv_fund",S$3,$A833))</x:f>
        <x:v>#NAME?</x:v>
      </x:c>
      <x:c r="T833" s="146" t="e">
        <x:f>IF($A833="","",[1]!thsiFinD("ths_adjustment_nv_fund",T$3,$A833))</x:f>
        <x:v>#NAME?</x:v>
      </x:c>
      <x:c r="U833" s="146" t="e">
        <x:f>IF($A833="","",[1]!thsiFinD("ths_adjustment_nv_fund",U$3,$A833))</x:f>
        <x:v>#NAME?</x:v>
      </x:c>
      <x:c r="V833" s="146" t="e">
        <x:f>IF($A833="","",[1]!thsiFinD("ths_adjustment_nv_fund",V$3,$A833))</x:f>
        <x:v>#NAME?</x:v>
      </x:c>
      <x:c r="W833" s="146" t="e">
        <x:f>IF($A833="","",[1]!thsiFinD("ths_adjustment_nv_fund",W$3,$A833))</x:f>
        <x:v>#NAME?</x:v>
      </x:c>
      <x:c r="X833" s="146" t="e">
        <x:f>IF($A833="","",[1]!thsiFinD("ths_adjustment_nv_fund",X$3,$A833))</x:f>
        <x:v>#NAME?</x:v>
      </x:c>
      <x:c r="Y833" s="146" t="e">
        <x:f>IF($A833="","",[1]!thsiFinD("ths_adjustment_nv_fund",Y$3,$A833))</x:f>
        <x:v>#NAME?</x:v>
      </x:c>
      <x:c r="Z833" s="146" t="e">
        <x:f>IF($A833="","",[1]!thsiFinD("ths_adjustment_nv_fund",Z$3,$A833))</x:f>
        <x:v>#NAME?</x:v>
      </x:c>
      <x:c r="AA833" s="146" t="e">
        <x:f>IF($A833="","",[1]!thsiFinD("ths_adjustment_nv_fund",AA$3,$A833))</x:f>
        <x:v>#NAME?</x:v>
      </x:c>
    </x:row>
    <x:row r="834">
      <x:c r="B834" s="146" t="e">
        <x:f>IF($A834="","",[1]!thsiFinD("ths_adjustment_nv_fund",B$3,$A834))</x:f>
        <x:v>#NAME?</x:v>
      </x:c>
      <x:c r="C834" s="146" t="e">
        <x:f>IF($A834="","",[1]!thsiFinD("ths_adjustment_nv_fund",C$3,$A834))</x:f>
        <x:v>#NAME?</x:v>
      </x:c>
      <x:c r="D834" s="146" t="e">
        <x:f>IF($A834="","",[1]!thsiFinD("ths_adjustment_nv_fund",D$3,$A834))</x:f>
        <x:v>#NAME?</x:v>
      </x:c>
      <x:c r="E834" s="146" t="e">
        <x:f>IF($A834="","",[1]!thsiFinD("ths_adjustment_nv_fund",E$3,$A834))</x:f>
        <x:v>#NAME?</x:v>
      </x:c>
      <x:c r="F834" s="146" t="e">
        <x:f>IF($A834="","",[1]!thsiFinD("ths_adjustment_nv_fund",F$3,$A834))</x:f>
        <x:v>#NAME?</x:v>
      </x:c>
      <x:c r="G834" s="146" t="e">
        <x:f>IF($A834="","",[1]!thsiFinD("ths_adjustment_nv_fund",G$3,$A834))</x:f>
        <x:v>#NAME?</x:v>
      </x:c>
      <x:c r="H834" s="146" t="e">
        <x:f>IF($A834="","",[1]!thsiFinD("ths_adjustment_nv_fund",H$3,$A834))</x:f>
        <x:v>#NAME?</x:v>
      </x:c>
      <x:c r="I834" s="146" t="e">
        <x:f>IF($A834="","",[1]!thsiFinD("ths_adjustment_nv_fund",I$3,$A834))</x:f>
        <x:v>#NAME?</x:v>
      </x:c>
      <x:c r="J834" s="146" t="e">
        <x:f>IF($A834="","",[1]!thsiFinD("ths_adjustment_nv_fund",J$3,$A834))</x:f>
        <x:v>#NAME?</x:v>
      </x:c>
      <x:c r="K834" s="146" t="e">
        <x:f>IF($A834="","",[1]!thsiFinD("ths_adjustment_nv_fund",K$3,$A834))</x:f>
        <x:v>#NAME?</x:v>
      </x:c>
      <x:c r="L834" s="146" t="e">
        <x:f>IF($A834="","",[1]!thsiFinD("ths_adjustment_nv_fund",L$3,$A834))</x:f>
        <x:v>#NAME?</x:v>
      </x:c>
      <x:c r="M834" s="146" t="e">
        <x:f>IF($A834="","",[1]!thsiFinD("ths_adjustment_nv_fund",M$3,$A834))</x:f>
        <x:v>#NAME?</x:v>
      </x:c>
      <x:c r="N834" s="146" t="e">
        <x:f>IF($A834="","",[1]!thsiFinD("ths_adjustment_nv_fund",N$3,$A834))</x:f>
        <x:v>#NAME?</x:v>
      </x:c>
      <x:c r="O834" s="146" t="e">
        <x:f>IF($A834="","",[1]!thsiFinD("ths_adjustment_nv_fund",O$3,$A834))</x:f>
        <x:v>#NAME?</x:v>
      </x:c>
      <x:c r="P834" s="146" t="e">
        <x:f>IF($A834="","",[1]!thsiFinD("ths_adjustment_nv_fund",P$3,$A834))</x:f>
        <x:v>#NAME?</x:v>
      </x:c>
      <x:c r="Q834" s="146" t="e">
        <x:f>IF($A834="","",[1]!thsiFinD("ths_adjustment_nv_fund",Q$3,$A834))</x:f>
        <x:v>#NAME?</x:v>
      </x:c>
      <x:c r="R834" s="146" t="e">
        <x:f>IF($A834="","",[1]!thsiFinD("ths_adjustment_nv_fund",R$3,$A834))</x:f>
        <x:v>#NAME?</x:v>
      </x:c>
      <x:c r="S834" s="146" t="e">
        <x:f>IF($A834="","",[1]!thsiFinD("ths_adjustment_nv_fund",S$3,$A834))</x:f>
        <x:v>#NAME?</x:v>
      </x:c>
      <x:c r="T834" s="146" t="e">
        <x:f>IF($A834="","",[1]!thsiFinD("ths_adjustment_nv_fund",T$3,$A834))</x:f>
        <x:v>#NAME?</x:v>
      </x:c>
      <x:c r="U834" s="146" t="e">
        <x:f>IF($A834="","",[1]!thsiFinD("ths_adjustment_nv_fund",U$3,$A834))</x:f>
        <x:v>#NAME?</x:v>
      </x:c>
      <x:c r="V834" s="146" t="e">
        <x:f>IF($A834="","",[1]!thsiFinD("ths_adjustment_nv_fund",V$3,$A834))</x:f>
        <x:v>#NAME?</x:v>
      </x:c>
      <x:c r="W834" s="146" t="e">
        <x:f>IF($A834="","",[1]!thsiFinD("ths_adjustment_nv_fund",W$3,$A834))</x:f>
        <x:v>#NAME?</x:v>
      </x:c>
      <x:c r="X834" s="146" t="e">
        <x:f>IF($A834="","",[1]!thsiFinD("ths_adjustment_nv_fund",X$3,$A834))</x:f>
        <x:v>#NAME?</x:v>
      </x:c>
      <x:c r="Y834" s="146" t="e">
        <x:f>IF($A834="","",[1]!thsiFinD("ths_adjustment_nv_fund",Y$3,$A834))</x:f>
        <x:v>#NAME?</x:v>
      </x:c>
      <x:c r="Z834" s="146" t="e">
        <x:f>IF($A834="","",[1]!thsiFinD("ths_adjustment_nv_fund",Z$3,$A834))</x:f>
        <x:v>#NAME?</x:v>
      </x:c>
      <x:c r="AA834" s="146" t="e">
        <x:f>IF($A834="","",[1]!thsiFinD("ths_adjustment_nv_fund",AA$3,$A834))</x:f>
        <x:v>#NAME?</x:v>
      </x:c>
    </x:row>
    <x:row r="835">
      <x:c r="B835" s="146" t="e">
        <x:f>IF($A835="","",[1]!thsiFinD("ths_adjustment_nv_fund",B$3,$A835))</x:f>
        <x:v>#NAME?</x:v>
      </x:c>
      <x:c r="C835" s="146" t="e">
        <x:f>IF($A835="","",[1]!thsiFinD("ths_adjustment_nv_fund",C$3,$A835))</x:f>
        <x:v>#NAME?</x:v>
      </x:c>
      <x:c r="D835" s="146" t="e">
        <x:f>IF($A835="","",[1]!thsiFinD("ths_adjustment_nv_fund",D$3,$A835))</x:f>
        <x:v>#NAME?</x:v>
      </x:c>
      <x:c r="E835" s="146" t="e">
        <x:f>IF($A835="","",[1]!thsiFinD("ths_adjustment_nv_fund",E$3,$A835))</x:f>
        <x:v>#NAME?</x:v>
      </x:c>
      <x:c r="F835" s="146" t="e">
        <x:f>IF($A835="","",[1]!thsiFinD("ths_adjustment_nv_fund",F$3,$A835))</x:f>
        <x:v>#NAME?</x:v>
      </x:c>
      <x:c r="G835" s="146" t="e">
        <x:f>IF($A835="","",[1]!thsiFinD("ths_adjustment_nv_fund",G$3,$A835))</x:f>
        <x:v>#NAME?</x:v>
      </x:c>
      <x:c r="H835" s="146" t="e">
        <x:f>IF($A835="","",[1]!thsiFinD("ths_adjustment_nv_fund",H$3,$A835))</x:f>
        <x:v>#NAME?</x:v>
      </x:c>
      <x:c r="I835" s="146" t="e">
        <x:f>IF($A835="","",[1]!thsiFinD("ths_adjustment_nv_fund",I$3,$A835))</x:f>
        <x:v>#NAME?</x:v>
      </x:c>
      <x:c r="J835" s="146" t="e">
        <x:f>IF($A835="","",[1]!thsiFinD("ths_adjustment_nv_fund",J$3,$A835))</x:f>
        <x:v>#NAME?</x:v>
      </x:c>
      <x:c r="K835" s="146" t="e">
        <x:f>IF($A835="","",[1]!thsiFinD("ths_adjustment_nv_fund",K$3,$A835))</x:f>
        <x:v>#NAME?</x:v>
      </x:c>
      <x:c r="L835" s="146" t="e">
        <x:f>IF($A835="","",[1]!thsiFinD("ths_adjustment_nv_fund",L$3,$A835))</x:f>
        <x:v>#NAME?</x:v>
      </x:c>
      <x:c r="M835" s="146" t="e">
        <x:f>IF($A835="","",[1]!thsiFinD("ths_adjustment_nv_fund",M$3,$A835))</x:f>
        <x:v>#NAME?</x:v>
      </x:c>
      <x:c r="N835" s="146" t="e">
        <x:f>IF($A835="","",[1]!thsiFinD("ths_adjustment_nv_fund",N$3,$A835))</x:f>
        <x:v>#NAME?</x:v>
      </x:c>
      <x:c r="O835" s="146" t="e">
        <x:f>IF($A835="","",[1]!thsiFinD("ths_adjustment_nv_fund",O$3,$A835))</x:f>
        <x:v>#NAME?</x:v>
      </x:c>
      <x:c r="P835" s="146" t="e">
        <x:f>IF($A835="","",[1]!thsiFinD("ths_adjustment_nv_fund",P$3,$A835))</x:f>
        <x:v>#NAME?</x:v>
      </x:c>
      <x:c r="Q835" s="146" t="e">
        <x:f>IF($A835="","",[1]!thsiFinD("ths_adjustment_nv_fund",Q$3,$A835))</x:f>
        <x:v>#NAME?</x:v>
      </x:c>
      <x:c r="R835" s="146" t="e">
        <x:f>IF($A835="","",[1]!thsiFinD("ths_adjustment_nv_fund",R$3,$A835))</x:f>
        <x:v>#NAME?</x:v>
      </x:c>
      <x:c r="S835" s="146" t="e">
        <x:f>IF($A835="","",[1]!thsiFinD("ths_adjustment_nv_fund",S$3,$A835))</x:f>
        <x:v>#NAME?</x:v>
      </x:c>
      <x:c r="T835" s="146" t="e">
        <x:f>IF($A835="","",[1]!thsiFinD("ths_adjustment_nv_fund",T$3,$A835))</x:f>
        <x:v>#NAME?</x:v>
      </x:c>
      <x:c r="U835" s="146" t="e">
        <x:f>IF($A835="","",[1]!thsiFinD("ths_adjustment_nv_fund",U$3,$A835))</x:f>
        <x:v>#NAME?</x:v>
      </x:c>
      <x:c r="V835" s="146" t="e">
        <x:f>IF($A835="","",[1]!thsiFinD("ths_adjustment_nv_fund",V$3,$A835))</x:f>
        <x:v>#NAME?</x:v>
      </x:c>
      <x:c r="W835" s="146" t="e">
        <x:f>IF($A835="","",[1]!thsiFinD("ths_adjustment_nv_fund",W$3,$A835))</x:f>
        <x:v>#NAME?</x:v>
      </x:c>
      <x:c r="X835" s="146" t="e">
        <x:f>IF($A835="","",[1]!thsiFinD("ths_adjustment_nv_fund",X$3,$A835))</x:f>
        <x:v>#NAME?</x:v>
      </x:c>
      <x:c r="Y835" s="146" t="e">
        <x:f>IF($A835="","",[1]!thsiFinD("ths_adjustment_nv_fund",Y$3,$A835))</x:f>
        <x:v>#NAME?</x:v>
      </x:c>
      <x:c r="Z835" s="146" t="e">
        <x:f>IF($A835="","",[1]!thsiFinD("ths_adjustment_nv_fund",Z$3,$A835))</x:f>
        <x:v>#NAME?</x:v>
      </x:c>
      <x:c r="AA835" s="146" t="e">
        <x:f>IF($A835="","",[1]!thsiFinD("ths_adjustment_nv_fund",AA$3,$A835))</x:f>
        <x:v>#NAME?</x:v>
      </x:c>
    </x:row>
    <x:row r="836">
      <x:c r="B836" s="146" t="e">
        <x:f>IF($A836="","",[1]!thsiFinD("ths_adjustment_nv_fund",B$3,$A836))</x:f>
        <x:v>#NAME?</x:v>
      </x:c>
      <x:c r="C836" s="146" t="e">
        <x:f>IF($A836="","",[1]!thsiFinD("ths_adjustment_nv_fund",C$3,$A836))</x:f>
        <x:v>#NAME?</x:v>
      </x:c>
      <x:c r="D836" s="146" t="e">
        <x:f>IF($A836="","",[1]!thsiFinD("ths_adjustment_nv_fund",D$3,$A836))</x:f>
        <x:v>#NAME?</x:v>
      </x:c>
      <x:c r="E836" s="146" t="e">
        <x:f>IF($A836="","",[1]!thsiFinD("ths_adjustment_nv_fund",E$3,$A836))</x:f>
        <x:v>#NAME?</x:v>
      </x:c>
      <x:c r="F836" s="146" t="e">
        <x:f>IF($A836="","",[1]!thsiFinD("ths_adjustment_nv_fund",F$3,$A836))</x:f>
        <x:v>#NAME?</x:v>
      </x:c>
      <x:c r="G836" s="146" t="e">
        <x:f>IF($A836="","",[1]!thsiFinD("ths_adjustment_nv_fund",G$3,$A836))</x:f>
        <x:v>#NAME?</x:v>
      </x:c>
      <x:c r="H836" s="146" t="e">
        <x:f>IF($A836="","",[1]!thsiFinD("ths_adjustment_nv_fund",H$3,$A836))</x:f>
        <x:v>#NAME?</x:v>
      </x:c>
      <x:c r="I836" s="146" t="e">
        <x:f>IF($A836="","",[1]!thsiFinD("ths_adjustment_nv_fund",I$3,$A836))</x:f>
        <x:v>#NAME?</x:v>
      </x:c>
      <x:c r="J836" s="146" t="e">
        <x:f>IF($A836="","",[1]!thsiFinD("ths_adjustment_nv_fund",J$3,$A836))</x:f>
        <x:v>#NAME?</x:v>
      </x:c>
      <x:c r="K836" s="146" t="e">
        <x:f>IF($A836="","",[1]!thsiFinD("ths_adjustment_nv_fund",K$3,$A836))</x:f>
        <x:v>#NAME?</x:v>
      </x:c>
      <x:c r="L836" s="146" t="e">
        <x:f>IF($A836="","",[1]!thsiFinD("ths_adjustment_nv_fund",L$3,$A836))</x:f>
        <x:v>#NAME?</x:v>
      </x:c>
      <x:c r="M836" s="146" t="e">
        <x:f>IF($A836="","",[1]!thsiFinD("ths_adjustment_nv_fund",M$3,$A836))</x:f>
        <x:v>#NAME?</x:v>
      </x:c>
      <x:c r="N836" s="146" t="e">
        <x:f>IF($A836="","",[1]!thsiFinD("ths_adjustment_nv_fund",N$3,$A836))</x:f>
        <x:v>#NAME?</x:v>
      </x:c>
      <x:c r="O836" s="146" t="e">
        <x:f>IF($A836="","",[1]!thsiFinD("ths_adjustment_nv_fund",O$3,$A836))</x:f>
        <x:v>#NAME?</x:v>
      </x:c>
      <x:c r="P836" s="146" t="e">
        <x:f>IF($A836="","",[1]!thsiFinD("ths_adjustment_nv_fund",P$3,$A836))</x:f>
        <x:v>#NAME?</x:v>
      </x:c>
      <x:c r="Q836" s="146" t="e">
        <x:f>IF($A836="","",[1]!thsiFinD("ths_adjustment_nv_fund",Q$3,$A836))</x:f>
        <x:v>#NAME?</x:v>
      </x:c>
      <x:c r="R836" s="146" t="e">
        <x:f>IF($A836="","",[1]!thsiFinD("ths_adjustment_nv_fund",R$3,$A836))</x:f>
        <x:v>#NAME?</x:v>
      </x:c>
      <x:c r="S836" s="146" t="e">
        <x:f>IF($A836="","",[1]!thsiFinD("ths_adjustment_nv_fund",S$3,$A836))</x:f>
        <x:v>#NAME?</x:v>
      </x:c>
      <x:c r="T836" s="146" t="e">
        <x:f>IF($A836="","",[1]!thsiFinD("ths_adjustment_nv_fund",T$3,$A836))</x:f>
        <x:v>#NAME?</x:v>
      </x:c>
      <x:c r="U836" s="146" t="e">
        <x:f>IF($A836="","",[1]!thsiFinD("ths_adjustment_nv_fund",U$3,$A836))</x:f>
        <x:v>#NAME?</x:v>
      </x:c>
      <x:c r="V836" s="146" t="e">
        <x:f>IF($A836="","",[1]!thsiFinD("ths_adjustment_nv_fund",V$3,$A836))</x:f>
        <x:v>#NAME?</x:v>
      </x:c>
      <x:c r="W836" s="146" t="e">
        <x:f>IF($A836="","",[1]!thsiFinD("ths_adjustment_nv_fund",W$3,$A836))</x:f>
        <x:v>#NAME?</x:v>
      </x:c>
      <x:c r="X836" s="146" t="e">
        <x:f>IF($A836="","",[1]!thsiFinD("ths_adjustment_nv_fund",X$3,$A836))</x:f>
        <x:v>#NAME?</x:v>
      </x:c>
      <x:c r="Y836" s="146" t="e">
        <x:f>IF($A836="","",[1]!thsiFinD("ths_adjustment_nv_fund",Y$3,$A836))</x:f>
        <x:v>#NAME?</x:v>
      </x:c>
      <x:c r="Z836" s="146" t="e">
        <x:f>IF($A836="","",[1]!thsiFinD("ths_adjustment_nv_fund",Z$3,$A836))</x:f>
        <x:v>#NAME?</x:v>
      </x:c>
      <x:c r="AA836" s="146" t="e">
        <x:f>IF($A836="","",[1]!thsiFinD("ths_adjustment_nv_fund",AA$3,$A836))</x:f>
        <x:v>#NAME?</x:v>
      </x:c>
    </x:row>
    <x:row r="837">
      <x:c r="B837" s="146" t="e">
        <x:f>IF($A837="","",[1]!thsiFinD("ths_adjustment_nv_fund",B$3,$A837))</x:f>
        <x:v>#NAME?</x:v>
      </x:c>
      <x:c r="C837" s="146" t="e">
        <x:f>IF($A837="","",[1]!thsiFinD("ths_adjustment_nv_fund",C$3,$A837))</x:f>
        <x:v>#NAME?</x:v>
      </x:c>
      <x:c r="D837" s="146" t="e">
        <x:f>IF($A837="","",[1]!thsiFinD("ths_adjustment_nv_fund",D$3,$A837))</x:f>
        <x:v>#NAME?</x:v>
      </x:c>
      <x:c r="E837" s="146" t="e">
        <x:f>IF($A837="","",[1]!thsiFinD("ths_adjustment_nv_fund",E$3,$A837))</x:f>
        <x:v>#NAME?</x:v>
      </x:c>
      <x:c r="F837" s="146" t="e">
        <x:f>IF($A837="","",[1]!thsiFinD("ths_adjustment_nv_fund",F$3,$A837))</x:f>
        <x:v>#NAME?</x:v>
      </x:c>
      <x:c r="G837" s="146" t="e">
        <x:f>IF($A837="","",[1]!thsiFinD("ths_adjustment_nv_fund",G$3,$A837))</x:f>
        <x:v>#NAME?</x:v>
      </x:c>
      <x:c r="H837" s="146" t="e">
        <x:f>IF($A837="","",[1]!thsiFinD("ths_adjustment_nv_fund",H$3,$A837))</x:f>
        <x:v>#NAME?</x:v>
      </x:c>
      <x:c r="I837" s="146" t="e">
        <x:f>IF($A837="","",[1]!thsiFinD("ths_adjustment_nv_fund",I$3,$A837))</x:f>
        <x:v>#NAME?</x:v>
      </x:c>
      <x:c r="J837" s="146" t="e">
        <x:f>IF($A837="","",[1]!thsiFinD("ths_adjustment_nv_fund",J$3,$A837))</x:f>
        <x:v>#NAME?</x:v>
      </x:c>
      <x:c r="K837" s="146" t="e">
        <x:f>IF($A837="","",[1]!thsiFinD("ths_adjustment_nv_fund",K$3,$A837))</x:f>
        <x:v>#NAME?</x:v>
      </x:c>
      <x:c r="L837" s="146" t="e">
        <x:f>IF($A837="","",[1]!thsiFinD("ths_adjustment_nv_fund",L$3,$A837))</x:f>
        <x:v>#NAME?</x:v>
      </x:c>
      <x:c r="M837" s="146" t="e">
        <x:f>IF($A837="","",[1]!thsiFinD("ths_adjustment_nv_fund",M$3,$A837))</x:f>
        <x:v>#NAME?</x:v>
      </x:c>
      <x:c r="N837" s="146" t="e">
        <x:f>IF($A837="","",[1]!thsiFinD("ths_adjustment_nv_fund",N$3,$A837))</x:f>
        <x:v>#NAME?</x:v>
      </x:c>
      <x:c r="O837" s="146" t="e">
        <x:f>IF($A837="","",[1]!thsiFinD("ths_adjustment_nv_fund",O$3,$A837))</x:f>
        <x:v>#NAME?</x:v>
      </x:c>
      <x:c r="P837" s="146" t="e">
        <x:f>IF($A837="","",[1]!thsiFinD("ths_adjustment_nv_fund",P$3,$A837))</x:f>
        <x:v>#NAME?</x:v>
      </x:c>
      <x:c r="Q837" s="146" t="e">
        <x:f>IF($A837="","",[1]!thsiFinD("ths_adjustment_nv_fund",Q$3,$A837))</x:f>
        <x:v>#NAME?</x:v>
      </x:c>
      <x:c r="R837" s="146" t="e">
        <x:f>IF($A837="","",[1]!thsiFinD("ths_adjustment_nv_fund",R$3,$A837))</x:f>
        <x:v>#NAME?</x:v>
      </x:c>
      <x:c r="S837" s="146" t="e">
        <x:f>IF($A837="","",[1]!thsiFinD("ths_adjustment_nv_fund",S$3,$A837))</x:f>
        <x:v>#NAME?</x:v>
      </x:c>
      <x:c r="T837" s="146" t="e">
        <x:f>IF($A837="","",[1]!thsiFinD("ths_adjustment_nv_fund",T$3,$A837))</x:f>
        <x:v>#NAME?</x:v>
      </x:c>
      <x:c r="U837" s="146" t="e">
        <x:f>IF($A837="","",[1]!thsiFinD("ths_adjustment_nv_fund",U$3,$A837))</x:f>
        <x:v>#NAME?</x:v>
      </x:c>
      <x:c r="V837" s="146" t="e">
        <x:f>IF($A837="","",[1]!thsiFinD("ths_adjustment_nv_fund",V$3,$A837))</x:f>
        <x:v>#NAME?</x:v>
      </x:c>
      <x:c r="W837" s="146" t="e">
        <x:f>IF($A837="","",[1]!thsiFinD("ths_adjustment_nv_fund",W$3,$A837))</x:f>
        <x:v>#NAME?</x:v>
      </x:c>
      <x:c r="X837" s="146" t="e">
        <x:f>IF($A837="","",[1]!thsiFinD("ths_adjustment_nv_fund",X$3,$A837))</x:f>
        <x:v>#NAME?</x:v>
      </x:c>
      <x:c r="Y837" s="146" t="e">
        <x:f>IF($A837="","",[1]!thsiFinD("ths_adjustment_nv_fund",Y$3,$A837))</x:f>
        <x:v>#NAME?</x:v>
      </x:c>
      <x:c r="Z837" s="146" t="e">
        <x:f>IF($A837="","",[1]!thsiFinD("ths_adjustment_nv_fund",Z$3,$A837))</x:f>
        <x:v>#NAME?</x:v>
      </x:c>
      <x:c r="AA837" s="146" t="e">
        <x:f>IF($A837="","",[1]!thsiFinD("ths_adjustment_nv_fund",AA$3,$A837))</x:f>
        <x:v>#NAME?</x:v>
      </x:c>
    </x:row>
    <x:row r="838">
      <x:c r="B838" s="146" t="e">
        <x:f>IF($A838="","",[1]!thsiFinD("ths_adjustment_nv_fund",B$3,$A838))</x:f>
        <x:v>#NAME?</x:v>
      </x:c>
      <x:c r="C838" s="146" t="e">
        <x:f>IF($A838="","",[1]!thsiFinD("ths_adjustment_nv_fund",C$3,$A838))</x:f>
        <x:v>#NAME?</x:v>
      </x:c>
      <x:c r="D838" s="146" t="e">
        <x:f>IF($A838="","",[1]!thsiFinD("ths_adjustment_nv_fund",D$3,$A838))</x:f>
        <x:v>#NAME?</x:v>
      </x:c>
      <x:c r="E838" s="146" t="e">
        <x:f>IF($A838="","",[1]!thsiFinD("ths_adjustment_nv_fund",E$3,$A838))</x:f>
        <x:v>#NAME?</x:v>
      </x:c>
      <x:c r="F838" s="146" t="e">
        <x:f>IF($A838="","",[1]!thsiFinD("ths_adjustment_nv_fund",F$3,$A838))</x:f>
        <x:v>#NAME?</x:v>
      </x:c>
      <x:c r="G838" s="146" t="e">
        <x:f>IF($A838="","",[1]!thsiFinD("ths_adjustment_nv_fund",G$3,$A838))</x:f>
        <x:v>#NAME?</x:v>
      </x:c>
      <x:c r="H838" s="146" t="e">
        <x:f>IF($A838="","",[1]!thsiFinD("ths_adjustment_nv_fund",H$3,$A838))</x:f>
        <x:v>#NAME?</x:v>
      </x:c>
      <x:c r="I838" s="146" t="e">
        <x:f>IF($A838="","",[1]!thsiFinD("ths_adjustment_nv_fund",I$3,$A838))</x:f>
        <x:v>#NAME?</x:v>
      </x:c>
      <x:c r="J838" s="146" t="e">
        <x:f>IF($A838="","",[1]!thsiFinD("ths_adjustment_nv_fund",J$3,$A838))</x:f>
        <x:v>#NAME?</x:v>
      </x:c>
      <x:c r="K838" s="146" t="e">
        <x:f>IF($A838="","",[1]!thsiFinD("ths_adjustment_nv_fund",K$3,$A838))</x:f>
        <x:v>#NAME?</x:v>
      </x:c>
      <x:c r="L838" s="146" t="e">
        <x:f>IF($A838="","",[1]!thsiFinD("ths_adjustment_nv_fund",L$3,$A838))</x:f>
        <x:v>#NAME?</x:v>
      </x:c>
      <x:c r="M838" s="146" t="e">
        <x:f>IF($A838="","",[1]!thsiFinD("ths_adjustment_nv_fund",M$3,$A838))</x:f>
        <x:v>#NAME?</x:v>
      </x:c>
      <x:c r="N838" s="146" t="e">
        <x:f>IF($A838="","",[1]!thsiFinD("ths_adjustment_nv_fund",N$3,$A838))</x:f>
        <x:v>#NAME?</x:v>
      </x:c>
      <x:c r="O838" s="146" t="e">
        <x:f>IF($A838="","",[1]!thsiFinD("ths_adjustment_nv_fund",O$3,$A838))</x:f>
        <x:v>#NAME?</x:v>
      </x:c>
      <x:c r="P838" s="146" t="e">
        <x:f>IF($A838="","",[1]!thsiFinD("ths_adjustment_nv_fund",P$3,$A838))</x:f>
        <x:v>#NAME?</x:v>
      </x:c>
      <x:c r="Q838" s="146" t="e">
        <x:f>IF($A838="","",[1]!thsiFinD("ths_adjustment_nv_fund",Q$3,$A838))</x:f>
        <x:v>#NAME?</x:v>
      </x:c>
      <x:c r="R838" s="146" t="e">
        <x:f>IF($A838="","",[1]!thsiFinD("ths_adjustment_nv_fund",R$3,$A838))</x:f>
        <x:v>#NAME?</x:v>
      </x:c>
      <x:c r="S838" s="146" t="e">
        <x:f>IF($A838="","",[1]!thsiFinD("ths_adjustment_nv_fund",S$3,$A838))</x:f>
        <x:v>#NAME?</x:v>
      </x:c>
      <x:c r="T838" s="146" t="e">
        <x:f>IF($A838="","",[1]!thsiFinD("ths_adjustment_nv_fund",T$3,$A838))</x:f>
        <x:v>#NAME?</x:v>
      </x:c>
      <x:c r="U838" s="146" t="e">
        <x:f>IF($A838="","",[1]!thsiFinD("ths_adjustment_nv_fund",U$3,$A838))</x:f>
        <x:v>#NAME?</x:v>
      </x:c>
      <x:c r="V838" s="146" t="e">
        <x:f>IF($A838="","",[1]!thsiFinD("ths_adjustment_nv_fund",V$3,$A838))</x:f>
        <x:v>#NAME?</x:v>
      </x:c>
      <x:c r="W838" s="146" t="e">
        <x:f>IF($A838="","",[1]!thsiFinD("ths_adjustment_nv_fund",W$3,$A838))</x:f>
        <x:v>#NAME?</x:v>
      </x:c>
      <x:c r="X838" s="146" t="e">
        <x:f>IF($A838="","",[1]!thsiFinD("ths_adjustment_nv_fund",X$3,$A838))</x:f>
        <x:v>#NAME?</x:v>
      </x:c>
      <x:c r="Y838" s="146" t="e">
        <x:f>IF($A838="","",[1]!thsiFinD("ths_adjustment_nv_fund",Y$3,$A838))</x:f>
        <x:v>#NAME?</x:v>
      </x:c>
      <x:c r="Z838" s="146" t="e">
        <x:f>IF($A838="","",[1]!thsiFinD("ths_adjustment_nv_fund",Z$3,$A838))</x:f>
        <x:v>#NAME?</x:v>
      </x:c>
      <x:c r="AA838" s="146" t="e">
        <x:f>IF($A838="","",[1]!thsiFinD("ths_adjustment_nv_fund",AA$3,$A838))</x:f>
        <x:v>#NAME?</x:v>
      </x:c>
    </x:row>
    <x:row r="839">
      <x:c r="B839" s="146" t="e">
        <x:f>IF($A839="","",[1]!thsiFinD("ths_adjustment_nv_fund",B$3,$A839))</x:f>
        <x:v>#NAME?</x:v>
      </x:c>
      <x:c r="C839" s="146" t="e">
        <x:f>IF($A839="","",[1]!thsiFinD("ths_adjustment_nv_fund",C$3,$A839))</x:f>
        <x:v>#NAME?</x:v>
      </x:c>
      <x:c r="D839" s="146" t="e">
        <x:f>IF($A839="","",[1]!thsiFinD("ths_adjustment_nv_fund",D$3,$A839))</x:f>
        <x:v>#NAME?</x:v>
      </x:c>
      <x:c r="E839" s="146" t="e">
        <x:f>IF($A839="","",[1]!thsiFinD("ths_adjustment_nv_fund",E$3,$A839))</x:f>
        <x:v>#NAME?</x:v>
      </x:c>
      <x:c r="F839" s="146" t="e">
        <x:f>IF($A839="","",[1]!thsiFinD("ths_adjustment_nv_fund",F$3,$A839))</x:f>
        <x:v>#NAME?</x:v>
      </x:c>
      <x:c r="G839" s="146" t="e">
        <x:f>IF($A839="","",[1]!thsiFinD("ths_adjustment_nv_fund",G$3,$A839))</x:f>
        <x:v>#NAME?</x:v>
      </x:c>
      <x:c r="H839" s="146" t="e">
        <x:f>IF($A839="","",[1]!thsiFinD("ths_adjustment_nv_fund",H$3,$A839))</x:f>
        <x:v>#NAME?</x:v>
      </x:c>
      <x:c r="I839" s="146" t="e">
        <x:f>IF($A839="","",[1]!thsiFinD("ths_adjustment_nv_fund",I$3,$A839))</x:f>
        <x:v>#NAME?</x:v>
      </x:c>
      <x:c r="J839" s="146" t="e">
        <x:f>IF($A839="","",[1]!thsiFinD("ths_adjustment_nv_fund",J$3,$A839))</x:f>
        <x:v>#NAME?</x:v>
      </x:c>
      <x:c r="K839" s="146" t="e">
        <x:f>IF($A839="","",[1]!thsiFinD("ths_adjustment_nv_fund",K$3,$A839))</x:f>
        <x:v>#NAME?</x:v>
      </x:c>
      <x:c r="L839" s="146" t="e">
        <x:f>IF($A839="","",[1]!thsiFinD("ths_adjustment_nv_fund",L$3,$A839))</x:f>
        <x:v>#NAME?</x:v>
      </x:c>
      <x:c r="M839" s="146" t="e">
        <x:f>IF($A839="","",[1]!thsiFinD("ths_adjustment_nv_fund",M$3,$A839))</x:f>
        <x:v>#NAME?</x:v>
      </x:c>
      <x:c r="N839" s="146" t="e">
        <x:f>IF($A839="","",[1]!thsiFinD("ths_adjustment_nv_fund",N$3,$A839))</x:f>
        <x:v>#NAME?</x:v>
      </x:c>
      <x:c r="O839" s="146" t="e">
        <x:f>IF($A839="","",[1]!thsiFinD("ths_adjustment_nv_fund",O$3,$A839))</x:f>
        <x:v>#NAME?</x:v>
      </x:c>
      <x:c r="P839" s="146" t="e">
        <x:f>IF($A839="","",[1]!thsiFinD("ths_adjustment_nv_fund",P$3,$A839))</x:f>
        <x:v>#NAME?</x:v>
      </x:c>
      <x:c r="Q839" s="146" t="e">
        <x:f>IF($A839="","",[1]!thsiFinD("ths_adjustment_nv_fund",Q$3,$A839))</x:f>
        <x:v>#NAME?</x:v>
      </x:c>
      <x:c r="R839" s="146" t="e">
        <x:f>IF($A839="","",[1]!thsiFinD("ths_adjustment_nv_fund",R$3,$A839))</x:f>
        <x:v>#NAME?</x:v>
      </x:c>
      <x:c r="S839" s="146" t="e">
        <x:f>IF($A839="","",[1]!thsiFinD("ths_adjustment_nv_fund",S$3,$A839))</x:f>
        <x:v>#NAME?</x:v>
      </x:c>
      <x:c r="T839" s="146" t="e">
        <x:f>IF($A839="","",[1]!thsiFinD("ths_adjustment_nv_fund",T$3,$A839))</x:f>
        <x:v>#NAME?</x:v>
      </x:c>
      <x:c r="U839" s="146" t="e">
        <x:f>IF($A839="","",[1]!thsiFinD("ths_adjustment_nv_fund",U$3,$A839))</x:f>
        <x:v>#NAME?</x:v>
      </x:c>
      <x:c r="V839" s="146" t="e">
        <x:f>IF($A839="","",[1]!thsiFinD("ths_adjustment_nv_fund",V$3,$A839))</x:f>
        <x:v>#NAME?</x:v>
      </x:c>
      <x:c r="W839" s="146" t="e">
        <x:f>IF($A839="","",[1]!thsiFinD("ths_adjustment_nv_fund",W$3,$A839))</x:f>
        <x:v>#NAME?</x:v>
      </x:c>
      <x:c r="X839" s="146" t="e">
        <x:f>IF($A839="","",[1]!thsiFinD("ths_adjustment_nv_fund",X$3,$A839))</x:f>
        <x:v>#NAME?</x:v>
      </x:c>
      <x:c r="Y839" s="146" t="e">
        <x:f>IF($A839="","",[1]!thsiFinD("ths_adjustment_nv_fund",Y$3,$A839))</x:f>
        <x:v>#NAME?</x:v>
      </x:c>
      <x:c r="Z839" s="146" t="e">
        <x:f>IF($A839="","",[1]!thsiFinD("ths_adjustment_nv_fund",Z$3,$A839))</x:f>
        <x:v>#NAME?</x:v>
      </x:c>
      <x:c r="AA839" s="146" t="e">
        <x:f>IF($A839="","",[1]!thsiFinD("ths_adjustment_nv_fund",AA$3,$A839))</x:f>
        <x:v>#NAME?</x:v>
      </x:c>
    </x:row>
    <x:row r="840">
      <x:c r="B840" s="146" t="e">
        <x:f>IF($A840="","",[1]!thsiFinD("ths_adjustment_nv_fund",B$3,$A840))</x:f>
        <x:v>#NAME?</x:v>
      </x:c>
      <x:c r="C840" s="146" t="e">
        <x:f>IF($A840="","",[1]!thsiFinD("ths_adjustment_nv_fund",C$3,$A840))</x:f>
        <x:v>#NAME?</x:v>
      </x:c>
      <x:c r="D840" s="146" t="e">
        <x:f>IF($A840="","",[1]!thsiFinD("ths_adjustment_nv_fund",D$3,$A840))</x:f>
        <x:v>#NAME?</x:v>
      </x:c>
      <x:c r="E840" s="146" t="e">
        <x:f>IF($A840="","",[1]!thsiFinD("ths_adjustment_nv_fund",E$3,$A840))</x:f>
        <x:v>#NAME?</x:v>
      </x:c>
      <x:c r="F840" s="146" t="e">
        <x:f>IF($A840="","",[1]!thsiFinD("ths_adjustment_nv_fund",F$3,$A840))</x:f>
        <x:v>#NAME?</x:v>
      </x:c>
      <x:c r="G840" s="146" t="e">
        <x:f>IF($A840="","",[1]!thsiFinD("ths_adjustment_nv_fund",G$3,$A840))</x:f>
        <x:v>#NAME?</x:v>
      </x:c>
      <x:c r="H840" s="146" t="e">
        <x:f>IF($A840="","",[1]!thsiFinD("ths_adjustment_nv_fund",H$3,$A840))</x:f>
        <x:v>#NAME?</x:v>
      </x:c>
      <x:c r="I840" s="146" t="e">
        <x:f>IF($A840="","",[1]!thsiFinD("ths_adjustment_nv_fund",I$3,$A840))</x:f>
        <x:v>#NAME?</x:v>
      </x:c>
      <x:c r="J840" s="146" t="e">
        <x:f>IF($A840="","",[1]!thsiFinD("ths_adjustment_nv_fund",J$3,$A840))</x:f>
        <x:v>#NAME?</x:v>
      </x:c>
      <x:c r="K840" s="146" t="e">
        <x:f>IF($A840="","",[1]!thsiFinD("ths_adjustment_nv_fund",K$3,$A840))</x:f>
        <x:v>#NAME?</x:v>
      </x:c>
      <x:c r="L840" s="146" t="e">
        <x:f>IF($A840="","",[1]!thsiFinD("ths_adjustment_nv_fund",L$3,$A840))</x:f>
        <x:v>#NAME?</x:v>
      </x:c>
      <x:c r="M840" s="146" t="e">
        <x:f>IF($A840="","",[1]!thsiFinD("ths_adjustment_nv_fund",M$3,$A840))</x:f>
        <x:v>#NAME?</x:v>
      </x:c>
      <x:c r="N840" s="146" t="e">
        <x:f>IF($A840="","",[1]!thsiFinD("ths_adjustment_nv_fund",N$3,$A840))</x:f>
        <x:v>#NAME?</x:v>
      </x:c>
      <x:c r="O840" s="146" t="e">
        <x:f>IF($A840="","",[1]!thsiFinD("ths_adjustment_nv_fund",O$3,$A840))</x:f>
        <x:v>#NAME?</x:v>
      </x:c>
      <x:c r="P840" s="146" t="e">
        <x:f>IF($A840="","",[1]!thsiFinD("ths_adjustment_nv_fund",P$3,$A840))</x:f>
        <x:v>#NAME?</x:v>
      </x:c>
      <x:c r="Q840" s="146" t="e">
        <x:f>IF($A840="","",[1]!thsiFinD("ths_adjustment_nv_fund",Q$3,$A840))</x:f>
        <x:v>#NAME?</x:v>
      </x:c>
      <x:c r="R840" s="146" t="e">
        <x:f>IF($A840="","",[1]!thsiFinD("ths_adjustment_nv_fund",R$3,$A840))</x:f>
        <x:v>#NAME?</x:v>
      </x:c>
      <x:c r="S840" s="146" t="e">
        <x:f>IF($A840="","",[1]!thsiFinD("ths_adjustment_nv_fund",S$3,$A840))</x:f>
        <x:v>#NAME?</x:v>
      </x:c>
      <x:c r="T840" s="146" t="e">
        <x:f>IF($A840="","",[1]!thsiFinD("ths_adjustment_nv_fund",T$3,$A840))</x:f>
        <x:v>#NAME?</x:v>
      </x:c>
      <x:c r="U840" s="146" t="e">
        <x:f>IF($A840="","",[1]!thsiFinD("ths_adjustment_nv_fund",U$3,$A840))</x:f>
        <x:v>#NAME?</x:v>
      </x:c>
      <x:c r="V840" s="146" t="e">
        <x:f>IF($A840="","",[1]!thsiFinD("ths_adjustment_nv_fund",V$3,$A840))</x:f>
        <x:v>#NAME?</x:v>
      </x:c>
      <x:c r="W840" s="146" t="e">
        <x:f>IF($A840="","",[1]!thsiFinD("ths_adjustment_nv_fund",W$3,$A840))</x:f>
        <x:v>#NAME?</x:v>
      </x:c>
      <x:c r="X840" s="146" t="e">
        <x:f>IF($A840="","",[1]!thsiFinD("ths_adjustment_nv_fund",X$3,$A840))</x:f>
        <x:v>#NAME?</x:v>
      </x:c>
      <x:c r="Y840" s="146" t="e">
        <x:f>IF($A840="","",[1]!thsiFinD("ths_adjustment_nv_fund",Y$3,$A840))</x:f>
        <x:v>#NAME?</x:v>
      </x:c>
      <x:c r="Z840" s="146" t="e">
        <x:f>IF($A840="","",[1]!thsiFinD("ths_adjustment_nv_fund",Z$3,$A840))</x:f>
        <x:v>#NAME?</x:v>
      </x:c>
      <x:c r="AA840" s="146" t="e">
        <x:f>IF($A840="","",[1]!thsiFinD("ths_adjustment_nv_fund",AA$3,$A840))</x:f>
        <x:v>#NAME?</x:v>
      </x:c>
    </x:row>
    <x:row r="841">
      <x:c r="B841" s="146" t="e">
        <x:f>IF($A841="","",[1]!thsiFinD("ths_adjustment_nv_fund",B$3,$A841))</x:f>
        <x:v>#NAME?</x:v>
      </x:c>
      <x:c r="C841" s="146" t="e">
        <x:f>IF($A841="","",[1]!thsiFinD("ths_adjustment_nv_fund",C$3,$A841))</x:f>
        <x:v>#NAME?</x:v>
      </x:c>
      <x:c r="D841" s="146" t="e">
        <x:f>IF($A841="","",[1]!thsiFinD("ths_adjustment_nv_fund",D$3,$A841))</x:f>
        <x:v>#NAME?</x:v>
      </x:c>
      <x:c r="E841" s="146" t="e">
        <x:f>IF($A841="","",[1]!thsiFinD("ths_adjustment_nv_fund",E$3,$A841))</x:f>
        <x:v>#NAME?</x:v>
      </x:c>
      <x:c r="F841" s="146" t="e">
        <x:f>IF($A841="","",[1]!thsiFinD("ths_adjustment_nv_fund",F$3,$A841))</x:f>
        <x:v>#NAME?</x:v>
      </x:c>
      <x:c r="G841" s="146" t="e">
        <x:f>IF($A841="","",[1]!thsiFinD("ths_adjustment_nv_fund",G$3,$A841))</x:f>
        <x:v>#NAME?</x:v>
      </x:c>
      <x:c r="H841" s="146" t="e">
        <x:f>IF($A841="","",[1]!thsiFinD("ths_adjustment_nv_fund",H$3,$A841))</x:f>
        <x:v>#NAME?</x:v>
      </x:c>
      <x:c r="I841" s="146" t="e">
        <x:f>IF($A841="","",[1]!thsiFinD("ths_adjustment_nv_fund",I$3,$A841))</x:f>
        <x:v>#NAME?</x:v>
      </x:c>
      <x:c r="J841" s="146" t="e">
        <x:f>IF($A841="","",[1]!thsiFinD("ths_adjustment_nv_fund",J$3,$A841))</x:f>
        <x:v>#NAME?</x:v>
      </x:c>
      <x:c r="K841" s="146" t="e">
        <x:f>IF($A841="","",[1]!thsiFinD("ths_adjustment_nv_fund",K$3,$A841))</x:f>
        <x:v>#NAME?</x:v>
      </x:c>
      <x:c r="L841" s="146" t="e">
        <x:f>IF($A841="","",[1]!thsiFinD("ths_adjustment_nv_fund",L$3,$A841))</x:f>
        <x:v>#NAME?</x:v>
      </x:c>
      <x:c r="M841" s="146" t="e">
        <x:f>IF($A841="","",[1]!thsiFinD("ths_adjustment_nv_fund",M$3,$A841))</x:f>
        <x:v>#NAME?</x:v>
      </x:c>
      <x:c r="N841" s="146" t="e">
        <x:f>IF($A841="","",[1]!thsiFinD("ths_adjustment_nv_fund",N$3,$A841))</x:f>
        <x:v>#NAME?</x:v>
      </x:c>
      <x:c r="O841" s="146" t="e">
        <x:f>IF($A841="","",[1]!thsiFinD("ths_adjustment_nv_fund",O$3,$A841))</x:f>
        <x:v>#NAME?</x:v>
      </x:c>
      <x:c r="P841" s="146" t="e">
        <x:f>IF($A841="","",[1]!thsiFinD("ths_adjustment_nv_fund",P$3,$A841))</x:f>
        <x:v>#NAME?</x:v>
      </x:c>
      <x:c r="Q841" s="146" t="e">
        <x:f>IF($A841="","",[1]!thsiFinD("ths_adjustment_nv_fund",Q$3,$A841))</x:f>
        <x:v>#NAME?</x:v>
      </x:c>
      <x:c r="R841" s="146" t="e">
        <x:f>IF($A841="","",[1]!thsiFinD("ths_adjustment_nv_fund",R$3,$A841))</x:f>
        <x:v>#NAME?</x:v>
      </x:c>
      <x:c r="S841" s="146" t="e">
        <x:f>IF($A841="","",[1]!thsiFinD("ths_adjustment_nv_fund",S$3,$A841))</x:f>
        <x:v>#NAME?</x:v>
      </x:c>
      <x:c r="T841" s="146" t="e">
        <x:f>IF($A841="","",[1]!thsiFinD("ths_adjustment_nv_fund",T$3,$A841))</x:f>
        <x:v>#NAME?</x:v>
      </x:c>
      <x:c r="U841" s="146" t="e">
        <x:f>IF($A841="","",[1]!thsiFinD("ths_adjustment_nv_fund",U$3,$A841))</x:f>
        <x:v>#NAME?</x:v>
      </x:c>
      <x:c r="V841" s="146" t="e">
        <x:f>IF($A841="","",[1]!thsiFinD("ths_adjustment_nv_fund",V$3,$A841))</x:f>
        <x:v>#NAME?</x:v>
      </x:c>
      <x:c r="W841" s="146" t="e">
        <x:f>IF($A841="","",[1]!thsiFinD("ths_adjustment_nv_fund",W$3,$A841))</x:f>
        <x:v>#NAME?</x:v>
      </x:c>
      <x:c r="X841" s="146" t="e">
        <x:f>IF($A841="","",[1]!thsiFinD("ths_adjustment_nv_fund",X$3,$A841))</x:f>
        <x:v>#NAME?</x:v>
      </x:c>
      <x:c r="Y841" s="146" t="e">
        <x:f>IF($A841="","",[1]!thsiFinD("ths_adjustment_nv_fund",Y$3,$A841))</x:f>
        <x:v>#NAME?</x:v>
      </x:c>
      <x:c r="Z841" s="146" t="e">
        <x:f>IF($A841="","",[1]!thsiFinD("ths_adjustment_nv_fund",Z$3,$A841))</x:f>
        <x:v>#NAME?</x:v>
      </x:c>
      <x:c r="AA841" s="146" t="e">
        <x:f>IF($A841="","",[1]!thsiFinD("ths_adjustment_nv_fund",AA$3,$A841))</x:f>
        <x:v>#NAME?</x:v>
      </x:c>
    </x:row>
    <x:row r="842">
      <x:c r="B842" s="146" t="e">
        <x:f>IF($A842="","",[1]!thsiFinD("ths_adjustment_nv_fund",B$3,$A842))</x:f>
        <x:v>#NAME?</x:v>
      </x:c>
      <x:c r="C842" s="146" t="e">
        <x:f>IF($A842="","",[1]!thsiFinD("ths_adjustment_nv_fund",C$3,$A842))</x:f>
        <x:v>#NAME?</x:v>
      </x:c>
      <x:c r="D842" s="146" t="e">
        <x:f>IF($A842="","",[1]!thsiFinD("ths_adjustment_nv_fund",D$3,$A842))</x:f>
        <x:v>#NAME?</x:v>
      </x:c>
      <x:c r="E842" s="146" t="e">
        <x:f>IF($A842="","",[1]!thsiFinD("ths_adjustment_nv_fund",E$3,$A842))</x:f>
        <x:v>#NAME?</x:v>
      </x:c>
      <x:c r="F842" s="146" t="e">
        <x:f>IF($A842="","",[1]!thsiFinD("ths_adjustment_nv_fund",F$3,$A842))</x:f>
        <x:v>#NAME?</x:v>
      </x:c>
      <x:c r="G842" s="146" t="e">
        <x:f>IF($A842="","",[1]!thsiFinD("ths_adjustment_nv_fund",G$3,$A842))</x:f>
        <x:v>#NAME?</x:v>
      </x:c>
      <x:c r="H842" s="146" t="e">
        <x:f>IF($A842="","",[1]!thsiFinD("ths_adjustment_nv_fund",H$3,$A842))</x:f>
        <x:v>#NAME?</x:v>
      </x:c>
      <x:c r="I842" s="146" t="e">
        <x:f>IF($A842="","",[1]!thsiFinD("ths_adjustment_nv_fund",I$3,$A842))</x:f>
        <x:v>#NAME?</x:v>
      </x:c>
      <x:c r="J842" s="146" t="e">
        <x:f>IF($A842="","",[1]!thsiFinD("ths_adjustment_nv_fund",J$3,$A842))</x:f>
        <x:v>#NAME?</x:v>
      </x:c>
      <x:c r="K842" s="146" t="e">
        <x:f>IF($A842="","",[1]!thsiFinD("ths_adjustment_nv_fund",K$3,$A842))</x:f>
        <x:v>#NAME?</x:v>
      </x:c>
      <x:c r="L842" s="146" t="e">
        <x:f>IF($A842="","",[1]!thsiFinD("ths_adjustment_nv_fund",L$3,$A842))</x:f>
        <x:v>#NAME?</x:v>
      </x:c>
      <x:c r="M842" s="146" t="e">
        <x:f>IF($A842="","",[1]!thsiFinD("ths_adjustment_nv_fund",M$3,$A842))</x:f>
        <x:v>#NAME?</x:v>
      </x:c>
      <x:c r="N842" s="146" t="e">
        <x:f>IF($A842="","",[1]!thsiFinD("ths_adjustment_nv_fund",N$3,$A842))</x:f>
        <x:v>#NAME?</x:v>
      </x:c>
      <x:c r="O842" s="146" t="e">
        <x:f>IF($A842="","",[1]!thsiFinD("ths_adjustment_nv_fund",O$3,$A842))</x:f>
        <x:v>#NAME?</x:v>
      </x:c>
      <x:c r="P842" s="146" t="e">
        <x:f>IF($A842="","",[1]!thsiFinD("ths_adjustment_nv_fund",P$3,$A842))</x:f>
        <x:v>#NAME?</x:v>
      </x:c>
      <x:c r="Q842" s="146" t="e">
        <x:f>IF($A842="","",[1]!thsiFinD("ths_adjustment_nv_fund",Q$3,$A842))</x:f>
        <x:v>#NAME?</x:v>
      </x:c>
      <x:c r="R842" s="146" t="e">
        <x:f>IF($A842="","",[1]!thsiFinD("ths_adjustment_nv_fund",R$3,$A842))</x:f>
        <x:v>#NAME?</x:v>
      </x:c>
      <x:c r="S842" s="146" t="e">
        <x:f>IF($A842="","",[1]!thsiFinD("ths_adjustment_nv_fund",S$3,$A842))</x:f>
        <x:v>#NAME?</x:v>
      </x:c>
      <x:c r="T842" s="146" t="e">
        <x:f>IF($A842="","",[1]!thsiFinD("ths_adjustment_nv_fund",T$3,$A842))</x:f>
        <x:v>#NAME?</x:v>
      </x:c>
      <x:c r="U842" s="146" t="e">
        <x:f>IF($A842="","",[1]!thsiFinD("ths_adjustment_nv_fund",U$3,$A842))</x:f>
        <x:v>#NAME?</x:v>
      </x:c>
      <x:c r="V842" s="146" t="e">
        <x:f>IF($A842="","",[1]!thsiFinD("ths_adjustment_nv_fund",V$3,$A842))</x:f>
        <x:v>#NAME?</x:v>
      </x:c>
      <x:c r="W842" s="146" t="e">
        <x:f>IF($A842="","",[1]!thsiFinD("ths_adjustment_nv_fund",W$3,$A842))</x:f>
        <x:v>#NAME?</x:v>
      </x:c>
      <x:c r="X842" s="146" t="e">
        <x:f>IF($A842="","",[1]!thsiFinD("ths_adjustment_nv_fund",X$3,$A842))</x:f>
        <x:v>#NAME?</x:v>
      </x:c>
      <x:c r="Y842" s="146" t="e">
        <x:f>IF($A842="","",[1]!thsiFinD("ths_adjustment_nv_fund",Y$3,$A842))</x:f>
        <x:v>#NAME?</x:v>
      </x:c>
      <x:c r="Z842" s="146" t="e">
        <x:f>IF($A842="","",[1]!thsiFinD("ths_adjustment_nv_fund",Z$3,$A842))</x:f>
        <x:v>#NAME?</x:v>
      </x:c>
      <x:c r="AA842" s="146" t="e">
        <x:f>IF($A842="","",[1]!thsiFinD("ths_adjustment_nv_fund",AA$3,$A842))</x:f>
        <x:v>#NAME?</x:v>
      </x:c>
    </x:row>
    <x:row r="843">
      <x:c r="B843" s="146" t="e">
        <x:f>IF($A843="","",[1]!thsiFinD("ths_adjustment_nv_fund",B$3,$A843))</x:f>
        <x:v>#NAME?</x:v>
      </x:c>
      <x:c r="C843" s="146" t="e">
        <x:f>IF($A843="","",[1]!thsiFinD("ths_adjustment_nv_fund",C$3,$A843))</x:f>
        <x:v>#NAME?</x:v>
      </x:c>
      <x:c r="D843" s="146" t="e">
        <x:f>IF($A843="","",[1]!thsiFinD("ths_adjustment_nv_fund",D$3,$A843))</x:f>
        <x:v>#NAME?</x:v>
      </x:c>
      <x:c r="E843" s="146" t="e">
        <x:f>IF($A843="","",[1]!thsiFinD("ths_adjustment_nv_fund",E$3,$A843))</x:f>
        <x:v>#NAME?</x:v>
      </x:c>
      <x:c r="F843" s="146" t="e">
        <x:f>IF($A843="","",[1]!thsiFinD("ths_adjustment_nv_fund",F$3,$A843))</x:f>
        <x:v>#NAME?</x:v>
      </x:c>
      <x:c r="G843" s="146" t="e">
        <x:f>IF($A843="","",[1]!thsiFinD("ths_adjustment_nv_fund",G$3,$A843))</x:f>
        <x:v>#NAME?</x:v>
      </x:c>
      <x:c r="H843" s="146" t="e">
        <x:f>IF($A843="","",[1]!thsiFinD("ths_adjustment_nv_fund",H$3,$A843))</x:f>
        <x:v>#NAME?</x:v>
      </x:c>
      <x:c r="I843" s="146" t="e">
        <x:f>IF($A843="","",[1]!thsiFinD("ths_adjustment_nv_fund",I$3,$A843))</x:f>
        <x:v>#NAME?</x:v>
      </x:c>
      <x:c r="J843" s="146" t="e">
        <x:f>IF($A843="","",[1]!thsiFinD("ths_adjustment_nv_fund",J$3,$A843))</x:f>
        <x:v>#NAME?</x:v>
      </x:c>
      <x:c r="K843" s="146" t="e">
        <x:f>IF($A843="","",[1]!thsiFinD("ths_adjustment_nv_fund",K$3,$A843))</x:f>
        <x:v>#NAME?</x:v>
      </x:c>
      <x:c r="L843" s="146" t="e">
        <x:f>IF($A843="","",[1]!thsiFinD("ths_adjustment_nv_fund",L$3,$A843))</x:f>
        <x:v>#NAME?</x:v>
      </x:c>
      <x:c r="M843" s="146" t="e">
        <x:f>IF($A843="","",[1]!thsiFinD("ths_adjustment_nv_fund",M$3,$A843))</x:f>
        <x:v>#NAME?</x:v>
      </x:c>
      <x:c r="N843" s="146" t="e">
        <x:f>IF($A843="","",[1]!thsiFinD("ths_adjustment_nv_fund",N$3,$A843))</x:f>
        <x:v>#NAME?</x:v>
      </x:c>
      <x:c r="O843" s="146" t="e">
        <x:f>IF($A843="","",[1]!thsiFinD("ths_adjustment_nv_fund",O$3,$A843))</x:f>
        <x:v>#NAME?</x:v>
      </x:c>
      <x:c r="P843" s="146" t="e">
        <x:f>IF($A843="","",[1]!thsiFinD("ths_adjustment_nv_fund",P$3,$A843))</x:f>
        <x:v>#NAME?</x:v>
      </x:c>
      <x:c r="Q843" s="146" t="e">
        <x:f>IF($A843="","",[1]!thsiFinD("ths_adjustment_nv_fund",Q$3,$A843))</x:f>
        <x:v>#NAME?</x:v>
      </x:c>
      <x:c r="R843" s="146" t="e">
        <x:f>IF($A843="","",[1]!thsiFinD("ths_adjustment_nv_fund",R$3,$A843))</x:f>
        <x:v>#NAME?</x:v>
      </x:c>
      <x:c r="S843" s="146" t="e">
        <x:f>IF($A843="","",[1]!thsiFinD("ths_adjustment_nv_fund",S$3,$A843))</x:f>
        <x:v>#NAME?</x:v>
      </x:c>
      <x:c r="T843" s="146" t="e">
        <x:f>IF($A843="","",[1]!thsiFinD("ths_adjustment_nv_fund",T$3,$A843))</x:f>
        <x:v>#NAME?</x:v>
      </x:c>
      <x:c r="U843" s="146" t="e">
        <x:f>IF($A843="","",[1]!thsiFinD("ths_adjustment_nv_fund",U$3,$A843))</x:f>
        <x:v>#NAME?</x:v>
      </x:c>
      <x:c r="V843" s="146" t="e">
        <x:f>IF($A843="","",[1]!thsiFinD("ths_adjustment_nv_fund",V$3,$A843))</x:f>
        <x:v>#NAME?</x:v>
      </x:c>
      <x:c r="W843" s="146" t="e">
        <x:f>IF($A843="","",[1]!thsiFinD("ths_adjustment_nv_fund",W$3,$A843))</x:f>
        <x:v>#NAME?</x:v>
      </x:c>
      <x:c r="X843" s="146" t="e">
        <x:f>IF($A843="","",[1]!thsiFinD("ths_adjustment_nv_fund",X$3,$A843))</x:f>
        <x:v>#NAME?</x:v>
      </x:c>
      <x:c r="Y843" s="146" t="e">
        <x:f>IF($A843="","",[1]!thsiFinD("ths_adjustment_nv_fund",Y$3,$A843))</x:f>
        <x:v>#NAME?</x:v>
      </x:c>
      <x:c r="Z843" s="146" t="e">
        <x:f>IF($A843="","",[1]!thsiFinD("ths_adjustment_nv_fund",Z$3,$A843))</x:f>
        <x:v>#NAME?</x:v>
      </x:c>
      <x:c r="AA843" s="146" t="e">
        <x:f>IF($A843="","",[1]!thsiFinD("ths_adjustment_nv_fund",AA$3,$A843))</x:f>
        <x:v>#NAME?</x:v>
      </x:c>
    </x:row>
    <x:row r="844">
      <x:c r="B844" s="146" t="e">
        <x:f>IF($A844="","",[1]!thsiFinD("ths_adjustment_nv_fund",B$3,$A844))</x:f>
        <x:v>#NAME?</x:v>
      </x:c>
      <x:c r="C844" s="146" t="e">
        <x:f>IF($A844="","",[1]!thsiFinD("ths_adjustment_nv_fund",C$3,$A844))</x:f>
        <x:v>#NAME?</x:v>
      </x:c>
      <x:c r="D844" s="146" t="e">
        <x:f>IF($A844="","",[1]!thsiFinD("ths_adjustment_nv_fund",D$3,$A844))</x:f>
        <x:v>#NAME?</x:v>
      </x:c>
      <x:c r="E844" s="146" t="e">
        <x:f>IF($A844="","",[1]!thsiFinD("ths_adjustment_nv_fund",E$3,$A844))</x:f>
        <x:v>#NAME?</x:v>
      </x:c>
      <x:c r="F844" s="146" t="e">
        <x:f>IF($A844="","",[1]!thsiFinD("ths_adjustment_nv_fund",F$3,$A844))</x:f>
        <x:v>#NAME?</x:v>
      </x:c>
      <x:c r="G844" s="146" t="e">
        <x:f>IF($A844="","",[1]!thsiFinD("ths_adjustment_nv_fund",G$3,$A844))</x:f>
        <x:v>#NAME?</x:v>
      </x:c>
      <x:c r="H844" s="146" t="e">
        <x:f>IF($A844="","",[1]!thsiFinD("ths_adjustment_nv_fund",H$3,$A844))</x:f>
        <x:v>#NAME?</x:v>
      </x:c>
      <x:c r="I844" s="146" t="e">
        <x:f>IF($A844="","",[1]!thsiFinD("ths_adjustment_nv_fund",I$3,$A844))</x:f>
        <x:v>#NAME?</x:v>
      </x:c>
      <x:c r="J844" s="146" t="e">
        <x:f>IF($A844="","",[1]!thsiFinD("ths_adjustment_nv_fund",J$3,$A844))</x:f>
        <x:v>#NAME?</x:v>
      </x:c>
      <x:c r="K844" s="146" t="e">
        <x:f>IF($A844="","",[1]!thsiFinD("ths_adjustment_nv_fund",K$3,$A844))</x:f>
        <x:v>#NAME?</x:v>
      </x:c>
      <x:c r="L844" s="146" t="e">
        <x:f>IF($A844="","",[1]!thsiFinD("ths_adjustment_nv_fund",L$3,$A844))</x:f>
        <x:v>#NAME?</x:v>
      </x:c>
      <x:c r="M844" s="146" t="e">
        <x:f>IF($A844="","",[1]!thsiFinD("ths_adjustment_nv_fund",M$3,$A844))</x:f>
        <x:v>#NAME?</x:v>
      </x:c>
      <x:c r="N844" s="146" t="e">
        <x:f>IF($A844="","",[1]!thsiFinD("ths_adjustment_nv_fund",N$3,$A844))</x:f>
        <x:v>#NAME?</x:v>
      </x:c>
      <x:c r="O844" s="146" t="e">
        <x:f>IF($A844="","",[1]!thsiFinD("ths_adjustment_nv_fund",O$3,$A844))</x:f>
        <x:v>#NAME?</x:v>
      </x:c>
      <x:c r="P844" s="146" t="e">
        <x:f>IF($A844="","",[1]!thsiFinD("ths_adjustment_nv_fund",P$3,$A844))</x:f>
        <x:v>#NAME?</x:v>
      </x:c>
      <x:c r="Q844" s="146" t="e">
        <x:f>IF($A844="","",[1]!thsiFinD("ths_adjustment_nv_fund",Q$3,$A844))</x:f>
        <x:v>#NAME?</x:v>
      </x:c>
      <x:c r="R844" s="146" t="e">
        <x:f>IF($A844="","",[1]!thsiFinD("ths_adjustment_nv_fund",R$3,$A844))</x:f>
        <x:v>#NAME?</x:v>
      </x:c>
      <x:c r="S844" s="146" t="e">
        <x:f>IF($A844="","",[1]!thsiFinD("ths_adjustment_nv_fund",S$3,$A844))</x:f>
        <x:v>#NAME?</x:v>
      </x:c>
      <x:c r="T844" s="146" t="e">
        <x:f>IF($A844="","",[1]!thsiFinD("ths_adjustment_nv_fund",T$3,$A844))</x:f>
        <x:v>#NAME?</x:v>
      </x:c>
      <x:c r="U844" s="146" t="e">
        <x:f>IF($A844="","",[1]!thsiFinD("ths_adjustment_nv_fund",U$3,$A844))</x:f>
        <x:v>#NAME?</x:v>
      </x:c>
      <x:c r="V844" s="146" t="e">
        <x:f>IF($A844="","",[1]!thsiFinD("ths_adjustment_nv_fund",V$3,$A844))</x:f>
        <x:v>#NAME?</x:v>
      </x:c>
      <x:c r="W844" s="146" t="e">
        <x:f>IF($A844="","",[1]!thsiFinD("ths_adjustment_nv_fund",W$3,$A844))</x:f>
        <x:v>#NAME?</x:v>
      </x:c>
      <x:c r="X844" s="146" t="e">
        <x:f>IF($A844="","",[1]!thsiFinD("ths_adjustment_nv_fund",X$3,$A844))</x:f>
        <x:v>#NAME?</x:v>
      </x:c>
      <x:c r="Y844" s="146" t="e">
        <x:f>IF($A844="","",[1]!thsiFinD("ths_adjustment_nv_fund",Y$3,$A844))</x:f>
        <x:v>#NAME?</x:v>
      </x:c>
      <x:c r="Z844" s="146" t="e">
        <x:f>IF($A844="","",[1]!thsiFinD("ths_adjustment_nv_fund",Z$3,$A844))</x:f>
        <x:v>#NAME?</x:v>
      </x:c>
      <x:c r="AA844" s="146" t="e">
        <x:f>IF($A844="","",[1]!thsiFinD("ths_adjustment_nv_fund",AA$3,$A844))</x:f>
        <x:v>#NAME?</x:v>
      </x:c>
    </x:row>
    <x:row r="845">
      <x:c r="B845" s="146" t="e">
        <x:f>IF($A845="","",[1]!thsiFinD("ths_adjustment_nv_fund",B$3,$A845))</x:f>
        <x:v>#NAME?</x:v>
      </x:c>
      <x:c r="C845" s="146" t="e">
        <x:f>IF($A845="","",[1]!thsiFinD("ths_adjustment_nv_fund",C$3,$A845))</x:f>
        <x:v>#NAME?</x:v>
      </x:c>
      <x:c r="D845" s="146" t="e">
        <x:f>IF($A845="","",[1]!thsiFinD("ths_adjustment_nv_fund",D$3,$A845))</x:f>
        <x:v>#NAME?</x:v>
      </x:c>
      <x:c r="E845" s="146" t="e">
        <x:f>IF($A845="","",[1]!thsiFinD("ths_adjustment_nv_fund",E$3,$A845))</x:f>
        <x:v>#NAME?</x:v>
      </x:c>
      <x:c r="F845" s="146" t="e">
        <x:f>IF($A845="","",[1]!thsiFinD("ths_adjustment_nv_fund",F$3,$A845))</x:f>
        <x:v>#NAME?</x:v>
      </x:c>
      <x:c r="G845" s="146" t="e">
        <x:f>IF($A845="","",[1]!thsiFinD("ths_adjustment_nv_fund",G$3,$A845))</x:f>
        <x:v>#NAME?</x:v>
      </x:c>
      <x:c r="H845" s="146" t="e">
        <x:f>IF($A845="","",[1]!thsiFinD("ths_adjustment_nv_fund",H$3,$A845))</x:f>
        <x:v>#NAME?</x:v>
      </x:c>
      <x:c r="I845" s="146" t="e">
        <x:f>IF($A845="","",[1]!thsiFinD("ths_adjustment_nv_fund",I$3,$A845))</x:f>
        <x:v>#NAME?</x:v>
      </x:c>
      <x:c r="J845" s="146" t="e">
        <x:f>IF($A845="","",[1]!thsiFinD("ths_adjustment_nv_fund",J$3,$A845))</x:f>
        <x:v>#NAME?</x:v>
      </x:c>
      <x:c r="K845" s="146" t="e">
        <x:f>IF($A845="","",[1]!thsiFinD("ths_adjustment_nv_fund",K$3,$A845))</x:f>
        <x:v>#NAME?</x:v>
      </x:c>
      <x:c r="L845" s="146" t="e">
        <x:f>IF($A845="","",[1]!thsiFinD("ths_adjustment_nv_fund",L$3,$A845))</x:f>
        <x:v>#NAME?</x:v>
      </x:c>
      <x:c r="M845" s="146" t="e">
        <x:f>IF($A845="","",[1]!thsiFinD("ths_adjustment_nv_fund",M$3,$A845))</x:f>
        <x:v>#NAME?</x:v>
      </x:c>
      <x:c r="N845" s="146" t="e">
        <x:f>IF($A845="","",[1]!thsiFinD("ths_adjustment_nv_fund",N$3,$A845))</x:f>
        <x:v>#NAME?</x:v>
      </x:c>
      <x:c r="O845" s="146" t="e">
        <x:f>IF($A845="","",[1]!thsiFinD("ths_adjustment_nv_fund",O$3,$A845))</x:f>
        <x:v>#NAME?</x:v>
      </x:c>
      <x:c r="P845" s="146" t="e">
        <x:f>IF($A845="","",[1]!thsiFinD("ths_adjustment_nv_fund",P$3,$A845))</x:f>
        <x:v>#NAME?</x:v>
      </x:c>
      <x:c r="Q845" s="146" t="e">
        <x:f>IF($A845="","",[1]!thsiFinD("ths_adjustment_nv_fund",Q$3,$A845))</x:f>
        <x:v>#NAME?</x:v>
      </x:c>
      <x:c r="R845" s="146" t="e">
        <x:f>IF($A845="","",[1]!thsiFinD("ths_adjustment_nv_fund",R$3,$A845))</x:f>
        <x:v>#NAME?</x:v>
      </x:c>
      <x:c r="S845" s="146" t="e">
        <x:f>IF($A845="","",[1]!thsiFinD("ths_adjustment_nv_fund",S$3,$A845))</x:f>
        <x:v>#NAME?</x:v>
      </x:c>
      <x:c r="T845" s="146" t="e">
        <x:f>IF($A845="","",[1]!thsiFinD("ths_adjustment_nv_fund",T$3,$A845))</x:f>
        <x:v>#NAME?</x:v>
      </x:c>
      <x:c r="U845" s="146" t="e">
        <x:f>IF($A845="","",[1]!thsiFinD("ths_adjustment_nv_fund",U$3,$A845))</x:f>
        <x:v>#NAME?</x:v>
      </x:c>
      <x:c r="V845" s="146" t="e">
        <x:f>IF($A845="","",[1]!thsiFinD("ths_adjustment_nv_fund",V$3,$A845))</x:f>
        <x:v>#NAME?</x:v>
      </x:c>
      <x:c r="W845" s="146" t="e">
        <x:f>IF($A845="","",[1]!thsiFinD("ths_adjustment_nv_fund",W$3,$A845))</x:f>
        <x:v>#NAME?</x:v>
      </x:c>
      <x:c r="X845" s="146" t="e">
        <x:f>IF($A845="","",[1]!thsiFinD("ths_adjustment_nv_fund",X$3,$A845))</x:f>
        <x:v>#NAME?</x:v>
      </x:c>
      <x:c r="Y845" s="146" t="e">
        <x:f>IF($A845="","",[1]!thsiFinD("ths_adjustment_nv_fund",Y$3,$A845))</x:f>
        <x:v>#NAME?</x:v>
      </x:c>
      <x:c r="Z845" s="146" t="e">
        <x:f>IF($A845="","",[1]!thsiFinD("ths_adjustment_nv_fund",Z$3,$A845))</x:f>
        <x:v>#NAME?</x:v>
      </x:c>
      <x:c r="AA845" s="146" t="e">
        <x:f>IF($A845="","",[1]!thsiFinD("ths_adjustment_nv_fund",AA$3,$A845))</x:f>
        <x:v>#NAME?</x:v>
      </x:c>
    </x:row>
    <x:row r="846">
      <x:c r="B846" s="146" t="e">
        <x:f>IF($A846="","",[1]!thsiFinD("ths_adjustment_nv_fund",B$3,$A846))</x:f>
        <x:v>#NAME?</x:v>
      </x:c>
      <x:c r="C846" s="146" t="e">
        <x:f>IF($A846="","",[1]!thsiFinD("ths_adjustment_nv_fund",C$3,$A846))</x:f>
        <x:v>#NAME?</x:v>
      </x:c>
      <x:c r="D846" s="146" t="e">
        <x:f>IF($A846="","",[1]!thsiFinD("ths_adjustment_nv_fund",D$3,$A846))</x:f>
        <x:v>#NAME?</x:v>
      </x:c>
      <x:c r="E846" s="146" t="e">
        <x:f>IF($A846="","",[1]!thsiFinD("ths_adjustment_nv_fund",E$3,$A846))</x:f>
        <x:v>#NAME?</x:v>
      </x:c>
      <x:c r="F846" s="146" t="e">
        <x:f>IF($A846="","",[1]!thsiFinD("ths_adjustment_nv_fund",F$3,$A846))</x:f>
        <x:v>#NAME?</x:v>
      </x:c>
      <x:c r="G846" s="146" t="e">
        <x:f>IF($A846="","",[1]!thsiFinD("ths_adjustment_nv_fund",G$3,$A846))</x:f>
        <x:v>#NAME?</x:v>
      </x:c>
      <x:c r="H846" s="146" t="e">
        <x:f>IF($A846="","",[1]!thsiFinD("ths_adjustment_nv_fund",H$3,$A846))</x:f>
        <x:v>#NAME?</x:v>
      </x:c>
      <x:c r="I846" s="146" t="e">
        <x:f>IF($A846="","",[1]!thsiFinD("ths_adjustment_nv_fund",I$3,$A846))</x:f>
        <x:v>#NAME?</x:v>
      </x:c>
      <x:c r="J846" s="146" t="e">
        <x:f>IF($A846="","",[1]!thsiFinD("ths_adjustment_nv_fund",J$3,$A846))</x:f>
        <x:v>#NAME?</x:v>
      </x:c>
      <x:c r="K846" s="146" t="e">
        <x:f>IF($A846="","",[1]!thsiFinD("ths_adjustment_nv_fund",K$3,$A846))</x:f>
        <x:v>#NAME?</x:v>
      </x:c>
      <x:c r="L846" s="146" t="e">
        <x:f>IF($A846="","",[1]!thsiFinD("ths_adjustment_nv_fund",L$3,$A846))</x:f>
        <x:v>#NAME?</x:v>
      </x:c>
      <x:c r="M846" s="146" t="e">
        <x:f>IF($A846="","",[1]!thsiFinD("ths_adjustment_nv_fund",M$3,$A846))</x:f>
        <x:v>#NAME?</x:v>
      </x:c>
      <x:c r="N846" s="146" t="e">
        <x:f>IF($A846="","",[1]!thsiFinD("ths_adjustment_nv_fund",N$3,$A846))</x:f>
        <x:v>#NAME?</x:v>
      </x:c>
      <x:c r="O846" s="146" t="e">
        <x:f>IF($A846="","",[1]!thsiFinD("ths_adjustment_nv_fund",O$3,$A846))</x:f>
        <x:v>#NAME?</x:v>
      </x:c>
      <x:c r="P846" s="146" t="e">
        <x:f>IF($A846="","",[1]!thsiFinD("ths_adjustment_nv_fund",P$3,$A846))</x:f>
        <x:v>#NAME?</x:v>
      </x:c>
      <x:c r="Q846" s="146" t="e">
        <x:f>IF($A846="","",[1]!thsiFinD("ths_adjustment_nv_fund",Q$3,$A846))</x:f>
        <x:v>#NAME?</x:v>
      </x:c>
      <x:c r="R846" s="146" t="e">
        <x:f>IF($A846="","",[1]!thsiFinD("ths_adjustment_nv_fund",R$3,$A846))</x:f>
        <x:v>#NAME?</x:v>
      </x:c>
      <x:c r="S846" s="146" t="e">
        <x:f>IF($A846="","",[1]!thsiFinD("ths_adjustment_nv_fund",S$3,$A846))</x:f>
        <x:v>#NAME?</x:v>
      </x:c>
      <x:c r="T846" s="146" t="e">
        <x:f>IF($A846="","",[1]!thsiFinD("ths_adjustment_nv_fund",T$3,$A846))</x:f>
        <x:v>#NAME?</x:v>
      </x:c>
      <x:c r="U846" s="146" t="e">
        <x:f>IF($A846="","",[1]!thsiFinD("ths_adjustment_nv_fund",U$3,$A846))</x:f>
        <x:v>#NAME?</x:v>
      </x:c>
      <x:c r="V846" s="146" t="e">
        <x:f>IF($A846="","",[1]!thsiFinD("ths_adjustment_nv_fund",V$3,$A846))</x:f>
        <x:v>#NAME?</x:v>
      </x:c>
      <x:c r="W846" s="146" t="e">
        <x:f>IF($A846="","",[1]!thsiFinD("ths_adjustment_nv_fund",W$3,$A846))</x:f>
        <x:v>#NAME?</x:v>
      </x:c>
      <x:c r="X846" s="146" t="e">
        <x:f>IF($A846="","",[1]!thsiFinD("ths_adjustment_nv_fund",X$3,$A846))</x:f>
        <x:v>#NAME?</x:v>
      </x:c>
      <x:c r="Y846" s="146" t="e">
        <x:f>IF($A846="","",[1]!thsiFinD("ths_adjustment_nv_fund",Y$3,$A846))</x:f>
        <x:v>#NAME?</x:v>
      </x:c>
      <x:c r="Z846" s="146" t="e">
        <x:f>IF($A846="","",[1]!thsiFinD("ths_adjustment_nv_fund",Z$3,$A846))</x:f>
        <x:v>#NAME?</x:v>
      </x:c>
      <x:c r="AA846" s="146" t="e">
        <x:f>IF($A846="","",[1]!thsiFinD("ths_adjustment_nv_fund",AA$3,$A846))</x:f>
        <x:v>#NAME?</x:v>
      </x:c>
    </x:row>
    <x:row r="847">
      <x:c r="B847" s="146" t="e">
        <x:f>IF($A847="","",[1]!thsiFinD("ths_adjustment_nv_fund",B$3,$A847))</x:f>
        <x:v>#NAME?</x:v>
      </x:c>
      <x:c r="C847" s="146" t="e">
        <x:f>IF($A847="","",[1]!thsiFinD("ths_adjustment_nv_fund",C$3,$A847))</x:f>
        <x:v>#NAME?</x:v>
      </x:c>
      <x:c r="D847" s="146" t="e">
        <x:f>IF($A847="","",[1]!thsiFinD("ths_adjustment_nv_fund",D$3,$A847))</x:f>
        <x:v>#NAME?</x:v>
      </x:c>
      <x:c r="E847" s="146" t="e">
        <x:f>IF($A847="","",[1]!thsiFinD("ths_adjustment_nv_fund",E$3,$A847))</x:f>
        <x:v>#NAME?</x:v>
      </x:c>
      <x:c r="F847" s="146" t="e">
        <x:f>IF($A847="","",[1]!thsiFinD("ths_adjustment_nv_fund",F$3,$A847))</x:f>
        <x:v>#NAME?</x:v>
      </x:c>
      <x:c r="G847" s="146" t="e">
        <x:f>IF($A847="","",[1]!thsiFinD("ths_adjustment_nv_fund",G$3,$A847))</x:f>
        <x:v>#NAME?</x:v>
      </x:c>
      <x:c r="H847" s="146" t="e">
        <x:f>IF($A847="","",[1]!thsiFinD("ths_adjustment_nv_fund",H$3,$A847))</x:f>
        <x:v>#NAME?</x:v>
      </x:c>
      <x:c r="I847" s="146" t="e">
        <x:f>IF($A847="","",[1]!thsiFinD("ths_adjustment_nv_fund",I$3,$A847))</x:f>
        <x:v>#NAME?</x:v>
      </x:c>
      <x:c r="J847" s="146" t="e">
        <x:f>IF($A847="","",[1]!thsiFinD("ths_adjustment_nv_fund",J$3,$A847))</x:f>
        <x:v>#NAME?</x:v>
      </x:c>
      <x:c r="K847" s="146" t="e">
        <x:f>IF($A847="","",[1]!thsiFinD("ths_adjustment_nv_fund",K$3,$A847))</x:f>
        <x:v>#NAME?</x:v>
      </x:c>
      <x:c r="L847" s="146" t="e">
        <x:f>IF($A847="","",[1]!thsiFinD("ths_adjustment_nv_fund",L$3,$A847))</x:f>
        <x:v>#NAME?</x:v>
      </x:c>
      <x:c r="M847" s="146" t="e">
        <x:f>IF($A847="","",[1]!thsiFinD("ths_adjustment_nv_fund",M$3,$A847))</x:f>
        <x:v>#NAME?</x:v>
      </x:c>
      <x:c r="N847" s="146" t="e">
        <x:f>IF($A847="","",[1]!thsiFinD("ths_adjustment_nv_fund",N$3,$A847))</x:f>
        <x:v>#NAME?</x:v>
      </x:c>
      <x:c r="O847" s="146" t="e">
        <x:f>IF($A847="","",[1]!thsiFinD("ths_adjustment_nv_fund",O$3,$A847))</x:f>
        <x:v>#NAME?</x:v>
      </x:c>
      <x:c r="P847" s="146" t="e">
        <x:f>IF($A847="","",[1]!thsiFinD("ths_adjustment_nv_fund",P$3,$A847))</x:f>
        <x:v>#NAME?</x:v>
      </x:c>
      <x:c r="Q847" s="146" t="e">
        <x:f>IF($A847="","",[1]!thsiFinD("ths_adjustment_nv_fund",Q$3,$A847))</x:f>
        <x:v>#NAME?</x:v>
      </x:c>
      <x:c r="R847" s="146" t="e">
        <x:f>IF($A847="","",[1]!thsiFinD("ths_adjustment_nv_fund",R$3,$A847))</x:f>
        <x:v>#NAME?</x:v>
      </x:c>
      <x:c r="S847" s="146" t="e">
        <x:f>IF($A847="","",[1]!thsiFinD("ths_adjustment_nv_fund",S$3,$A847))</x:f>
        <x:v>#NAME?</x:v>
      </x:c>
      <x:c r="T847" s="146" t="e">
        <x:f>IF($A847="","",[1]!thsiFinD("ths_adjustment_nv_fund",T$3,$A847))</x:f>
        <x:v>#NAME?</x:v>
      </x:c>
      <x:c r="U847" s="146" t="e">
        <x:f>IF($A847="","",[1]!thsiFinD("ths_adjustment_nv_fund",U$3,$A847))</x:f>
        <x:v>#NAME?</x:v>
      </x:c>
      <x:c r="V847" s="146" t="e">
        <x:f>IF($A847="","",[1]!thsiFinD("ths_adjustment_nv_fund",V$3,$A847))</x:f>
        <x:v>#NAME?</x:v>
      </x:c>
      <x:c r="W847" s="146" t="e">
        <x:f>IF($A847="","",[1]!thsiFinD("ths_adjustment_nv_fund",W$3,$A847))</x:f>
        <x:v>#NAME?</x:v>
      </x:c>
      <x:c r="X847" s="146" t="e">
        <x:f>IF($A847="","",[1]!thsiFinD("ths_adjustment_nv_fund",X$3,$A847))</x:f>
        <x:v>#NAME?</x:v>
      </x:c>
      <x:c r="Y847" s="146" t="e">
        <x:f>IF($A847="","",[1]!thsiFinD("ths_adjustment_nv_fund",Y$3,$A847))</x:f>
        <x:v>#NAME?</x:v>
      </x:c>
      <x:c r="Z847" s="146" t="e">
        <x:f>IF($A847="","",[1]!thsiFinD("ths_adjustment_nv_fund",Z$3,$A847))</x:f>
        <x:v>#NAME?</x:v>
      </x:c>
      <x:c r="AA847" s="146" t="e">
        <x:f>IF($A847="","",[1]!thsiFinD("ths_adjustment_nv_fund",AA$3,$A847))</x:f>
        <x:v>#NAME?</x:v>
      </x:c>
    </x:row>
    <x:row r="848">
      <x:c r="B848" s="146" t="e">
        <x:f>IF($A848="","",[1]!thsiFinD("ths_adjustment_nv_fund",B$3,$A848))</x:f>
        <x:v>#NAME?</x:v>
      </x:c>
      <x:c r="C848" s="146" t="e">
        <x:f>IF($A848="","",[1]!thsiFinD("ths_adjustment_nv_fund",C$3,$A848))</x:f>
        <x:v>#NAME?</x:v>
      </x:c>
      <x:c r="D848" s="146" t="e">
        <x:f>IF($A848="","",[1]!thsiFinD("ths_adjustment_nv_fund",D$3,$A848))</x:f>
        <x:v>#NAME?</x:v>
      </x:c>
      <x:c r="E848" s="146" t="e">
        <x:f>IF($A848="","",[1]!thsiFinD("ths_adjustment_nv_fund",E$3,$A848))</x:f>
        <x:v>#NAME?</x:v>
      </x:c>
      <x:c r="F848" s="146" t="e">
        <x:f>IF($A848="","",[1]!thsiFinD("ths_adjustment_nv_fund",F$3,$A848))</x:f>
        <x:v>#NAME?</x:v>
      </x:c>
      <x:c r="G848" s="146" t="e">
        <x:f>IF($A848="","",[1]!thsiFinD("ths_adjustment_nv_fund",G$3,$A848))</x:f>
        <x:v>#NAME?</x:v>
      </x:c>
      <x:c r="H848" s="146" t="e">
        <x:f>IF($A848="","",[1]!thsiFinD("ths_adjustment_nv_fund",H$3,$A848))</x:f>
        <x:v>#NAME?</x:v>
      </x:c>
      <x:c r="I848" s="146" t="e">
        <x:f>IF($A848="","",[1]!thsiFinD("ths_adjustment_nv_fund",I$3,$A848))</x:f>
        <x:v>#NAME?</x:v>
      </x:c>
      <x:c r="J848" s="146" t="e">
        <x:f>IF($A848="","",[1]!thsiFinD("ths_adjustment_nv_fund",J$3,$A848))</x:f>
        <x:v>#NAME?</x:v>
      </x:c>
      <x:c r="K848" s="146" t="e">
        <x:f>IF($A848="","",[1]!thsiFinD("ths_adjustment_nv_fund",K$3,$A848))</x:f>
        <x:v>#NAME?</x:v>
      </x:c>
      <x:c r="L848" s="146" t="e">
        <x:f>IF($A848="","",[1]!thsiFinD("ths_adjustment_nv_fund",L$3,$A848))</x:f>
        <x:v>#NAME?</x:v>
      </x:c>
      <x:c r="M848" s="146" t="e">
        <x:f>IF($A848="","",[1]!thsiFinD("ths_adjustment_nv_fund",M$3,$A848))</x:f>
        <x:v>#NAME?</x:v>
      </x:c>
      <x:c r="N848" s="146" t="e">
        <x:f>IF($A848="","",[1]!thsiFinD("ths_adjustment_nv_fund",N$3,$A848))</x:f>
        <x:v>#NAME?</x:v>
      </x:c>
      <x:c r="O848" s="146" t="e">
        <x:f>IF($A848="","",[1]!thsiFinD("ths_adjustment_nv_fund",O$3,$A848))</x:f>
        <x:v>#NAME?</x:v>
      </x:c>
      <x:c r="P848" s="146" t="e">
        <x:f>IF($A848="","",[1]!thsiFinD("ths_adjustment_nv_fund",P$3,$A848))</x:f>
        <x:v>#NAME?</x:v>
      </x:c>
      <x:c r="Q848" s="146" t="e">
        <x:f>IF($A848="","",[1]!thsiFinD("ths_adjustment_nv_fund",Q$3,$A848))</x:f>
        <x:v>#NAME?</x:v>
      </x:c>
      <x:c r="R848" s="146" t="e">
        <x:f>IF($A848="","",[1]!thsiFinD("ths_adjustment_nv_fund",R$3,$A848))</x:f>
        <x:v>#NAME?</x:v>
      </x:c>
      <x:c r="S848" s="146" t="e">
        <x:f>IF($A848="","",[1]!thsiFinD("ths_adjustment_nv_fund",S$3,$A848))</x:f>
        <x:v>#NAME?</x:v>
      </x:c>
      <x:c r="T848" s="146" t="e">
        <x:f>IF($A848="","",[1]!thsiFinD("ths_adjustment_nv_fund",T$3,$A848))</x:f>
        <x:v>#NAME?</x:v>
      </x:c>
      <x:c r="U848" s="146" t="e">
        <x:f>IF($A848="","",[1]!thsiFinD("ths_adjustment_nv_fund",U$3,$A848))</x:f>
        <x:v>#NAME?</x:v>
      </x:c>
      <x:c r="V848" s="146" t="e">
        <x:f>IF($A848="","",[1]!thsiFinD("ths_adjustment_nv_fund",V$3,$A848))</x:f>
        <x:v>#NAME?</x:v>
      </x:c>
      <x:c r="W848" s="146" t="e">
        <x:f>IF($A848="","",[1]!thsiFinD("ths_adjustment_nv_fund",W$3,$A848))</x:f>
        <x:v>#NAME?</x:v>
      </x:c>
      <x:c r="X848" s="146" t="e">
        <x:f>IF($A848="","",[1]!thsiFinD("ths_adjustment_nv_fund",X$3,$A848))</x:f>
        <x:v>#NAME?</x:v>
      </x:c>
      <x:c r="Y848" s="146" t="e">
        <x:f>IF($A848="","",[1]!thsiFinD("ths_adjustment_nv_fund",Y$3,$A848))</x:f>
        <x:v>#NAME?</x:v>
      </x:c>
      <x:c r="Z848" s="146" t="e">
        <x:f>IF($A848="","",[1]!thsiFinD("ths_adjustment_nv_fund",Z$3,$A848))</x:f>
        <x:v>#NAME?</x:v>
      </x:c>
      <x:c r="AA848" s="146" t="e">
        <x:f>IF($A848="","",[1]!thsiFinD("ths_adjustment_nv_fund",AA$3,$A848))</x:f>
        <x:v>#NAME?</x:v>
      </x:c>
    </x:row>
    <x:row r="849">
      <x:c r="B849" s="146" t="e">
        <x:f>IF($A849="","",[1]!thsiFinD("ths_adjustment_nv_fund",B$3,$A849))</x:f>
        <x:v>#NAME?</x:v>
      </x:c>
      <x:c r="C849" s="146" t="e">
        <x:f>IF($A849="","",[1]!thsiFinD("ths_adjustment_nv_fund",C$3,$A849))</x:f>
        <x:v>#NAME?</x:v>
      </x:c>
      <x:c r="D849" s="146" t="e">
        <x:f>IF($A849="","",[1]!thsiFinD("ths_adjustment_nv_fund",D$3,$A849))</x:f>
        <x:v>#NAME?</x:v>
      </x:c>
      <x:c r="E849" s="146" t="e">
        <x:f>IF($A849="","",[1]!thsiFinD("ths_adjustment_nv_fund",E$3,$A849))</x:f>
        <x:v>#NAME?</x:v>
      </x:c>
      <x:c r="F849" s="146" t="e">
        <x:f>IF($A849="","",[1]!thsiFinD("ths_adjustment_nv_fund",F$3,$A849))</x:f>
        <x:v>#NAME?</x:v>
      </x:c>
      <x:c r="G849" s="146" t="e">
        <x:f>IF($A849="","",[1]!thsiFinD("ths_adjustment_nv_fund",G$3,$A849))</x:f>
        <x:v>#NAME?</x:v>
      </x:c>
      <x:c r="H849" s="146" t="e">
        <x:f>IF($A849="","",[1]!thsiFinD("ths_adjustment_nv_fund",H$3,$A849))</x:f>
        <x:v>#NAME?</x:v>
      </x:c>
      <x:c r="I849" s="146" t="e">
        <x:f>IF($A849="","",[1]!thsiFinD("ths_adjustment_nv_fund",I$3,$A849))</x:f>
        <x:v>#NAME?</x:v>
      </x:c>
      <x:c r="J849" s="146" t="e">
        <x:f>IF($A849="","",[1]!thsiFinD("ths_adjustment_nv_fund",J$3,$A849))</x:f>
        <x:v>#NAME?</x:v>
      </x:c>
      <x:c r="K849" s="146" t="e">
        <x:f>IF($A849="","",[1]!thsiFinD("ths_adjustment_nv_fund",K$3,$A849))</x:f>
        <x:v>#NAME?</x:v>
      </x:c>
      <x:c r="L849" s="146" t="e">
        <x:f>IF($A849="","",[1]!thsiFinD("ths_adjustment_nv_fund",L$3,$A849))</x:f>
        <x:v>#NAME?</x:v>
      </x:c>
      <x:c r="M849" s="146" t="e">
        <x:f>IF($A849="","",[1]!thsiFinD("ths_adjustment_nv_fund",M$3,$A849))</x:f>
        <x:v>#NAME?</x:v>
      </x:c>
      <x:c r="N849" s="146" t="e">
        <x:f>IF($A849="","",[1]!thsiFinD("ths_adjustment_nv_fund",N$3,$A849))</x:f>
        <x:v>#NAME?</x:v>
      </x:c>
      <x:c r="O849" s="146" t="e">
        <x:f>IF($A849="","",[1]!thsiFinD("ths_adjustment_nv_fund",O$3,$A849))</x:f>
        <x:v>#NAME?</x:v>
      </x:c>
      <x:c r="P849" s="146" t="e">
        <x:f>IF($A849="","",[1]!thsiFinD("ths_adjustment_nv_fund",P$3,$A849))</x:f>
        <x:v>#NAME?</x:v>
      </x:c>
      <x:c r="Q849" s="146" t="e">
        <x:f>IF($A849="","",[1]!thsiFinD("ths_adjustment_nv_fund",Q$3,$A849))</x:f>
        <x:v>#NAME?</x:v>
      </x:c>
      <x:c r="R849" s="146" t="e">
        <x:f>IF($A849="","",[1]!thsiFinD("ths_adjustment_nv_fund",R$3,$A849))</x:f>
        <x:v>#NAME?</x:v>
      </x:c>
      <x:c r="S849" s="146" t="e">
        <x:f>IF($A849="","",[1]!thsiFinD("ths_adjustment_nv_fund",S$3,$A849))</x:f>
        <x:v>#NAME?</x:v>
      </x:c>
      <x:c r="T849" s="146" t="e">
        <x:f>IF($A849="","",[1]!thsiFinD("ths_adjustment_nv_fund",T$3,$A849))</x:f>
        <x:v>#NAME?</x:v>
      </x:c>
      <x:c r="U849" s="146" t="e">
        <x:f>IF($A849="","",[1]!thsiFinD("ths_adjustment_nv_fund",U$3,$A849))</x:f>
        <x:v>#NAME?</x:v>
      </x:c>
      <x:c r="V849" s="146" t="e">
        <x:f>IF($A849="","",[1]!thsiFinD("ths_adjustment_nv_fund",V$3,$A849))</x:f>
        <x:v>#NAME?</x:v>
      </x:c>
      <x:c r="W849" s="146" t="e">
        <x:f>IF($A849="","",[1]!thsiFinD("ths_adjustment_nv_fund",W$3,$A849))</x:f>
        <x:v>#NAME?</x:v>
      </x:c>
      <x:c r="X849" s="146" t="e">
        <x:f>IF($A849="","",[1]!thsiFinD("ths_adjustment_nv_fund",X$3,$A849))</x:f>
        <x:v>#NAME?</x:v>
      </x:c>
      <x:c r="Y849" s="146" t="e">
        <x:f>IF($A849="","",[1]!thsiFinD("ths_adjustment_nv_fund",Y$3,$A849))</x:f>
        <x:v>#NAME?</x:v>
      </x:c>
      <x:c r="Z849" s="146" t="e">
        <x:f>IF($A849="","",[1]!thsiFinD("ths_adjustment_nv_fund",Z$3,$A849))</x:f>
        <x:v>#NAME?</x:v>
      </x:c>
      <x:c r="AA849" s="146" t="e">
        <x:f>IF($A849="","",[1]!thsiFinD("ths_adjustment_nv_fund",AA$3,$A849))</x:f>
        <x:v>#NAME?</x:v>
      </x:c>
    </x:row>
    <x:row r="850">
      <x:c r="B850" s="146" t="e">
        <x:f>IF($A850="","",[1]!thsiFinD("ths_adjustment_nv_fund",B$3,$A850))</x:f>
        <x:v>#NAME?</x:v>
      </x:c>
      <x:c r="C850" s="146" t="e">
        <x:f>IF($A850="","",[1]!thsiFinD("ths_adjustment_nv_fund",C$3,$A850))</x:f>
        <x:v>#NAME?</x:v>
      </x:c>
      <x:c r="D850" s="146" t="e">
        <x:f>IF($A850="","",[1]!thsiFinD("ths_adjustment_nv_fund",D$3,$A850))</x:f>
        <x:v>#NAME?</x:v>
      </x:c>
      <x:c r="E850" s="146" t="e">
        <x:f>IF($A850="","",[1]!thsiFinD("ths_adjustment_nv_fund",E$3,$A850))</x:f>
        <x:v>#NAME?</x:v>
      </x:c>
      <x:c r="F850" s="146" t="e">
        <x:f>IF($A850="","",[1]!thsiFinD("ths_adjustment_nv_fund",F$3,$A850))</x:f>
        <x:v>#NAME?</x:v>
      </x:c>
      <x:c r="G850" s="146" t="e">
        <x:f>IF($A850="","",[1]!thsiFinD("ths_adjustment_nv_fund",G$3,$A850))</x:f>
        <x:v>#NAME?</x:v>
      </x:c>
      <x:c r="H850" s="146" t="e">
        <x:f>IF($A850="","",[1]!thsiFinD("ths_adjustment_nv_fund",H$3,$A850))</x:f>
        <x:v>#NAME?</x:v>
      </x:c>
      <x:c r="I850" s="146" t="e">
        <x:f>IF($A850="","",[1]!thsiFinD("ths_adjustment_nv_fund",I$3,$A850))</x:f>
        <x:v>#NAME?</x:v>
      </x:c>
      <x:c r="J850" s="146" t="e">
        <x:f>IF($A850="","",[1]!thsiFinD("ths_adjustment_nv_fund",J$3,$A850))</x:f>
        <x:v>#NAME?</x:v>
      </x:c>
      <x:c r="K850" s="146" t="e">
        <x:f>IF($A850="","",[1]!thsiFinD("ths_adjustment_nv_fund",K$3,$A850))</x:f>
        <x:v>#NAME?</x:v>
      </x:c>
      <x:c r="L850" s="146" t="e">
        <x:f>IF($A850="","",[1]!thsiFinD("ths_adjustment_nv_fund",L$3,$A850))</x:f>
        <x:v>#NAME?</x:v>
      </x:c>
      <x:c r="M850" s="146" t="e">
        <x:f>IF($A850="","",[1]!thsiFinD("ths_adjustment_nv_fund",M$3,$A850))</x:f>
        <x:v>#NAME?</x:v>
      </x:c>
      <x:c r="N850" s="146" t="e">
        <x:f>IF($A850="","",[1]!thsiFinD("ths_adjustment_nv_fund",N$3,$A850))</x:f>
        <x:v>#NAME?</x:v>
      </x:c>
      <x:c r="O850" s="146" t="e">
        <x:f>IF($A850="","",[1]!thsiFinD("ths_adjustment_nv_fund",O$3,$A850))</x:f>
        <x:v>#NAME?</x:v>
      </x:c>
      <x:c r="P850" s="146" t="e">
        <x:f>IF($A850="","",[1]!thsiFinD("ths_adjustment_nv_fund",P$3,$A850))</x:f>
        <x:v>#NAME?</x:v>
      </x:c>
      <x:c r="Q850" s="146" t="e">
        <x:f>IF($A850="","",[1]!thsiFinD("ths_adjustment_nv_fund",Q$3,$A850))</x:f>
        <x:v>#NAME?</x:v>
      </x:c>
      <x:c r="R850" s="146" t="e">
        <x:f>IF($A850="","",[1]!thsiFinD("ths_adjustment_nv_fund",R$3,$A850))</x:f>
        <x:v>#NAME?</x:v>
      </x:c>
      <x:c r="S850" s="146" t="e">
        <x:f>IF($A850="","",[1]!thsiFinD("ths_adjustment_nv_fund",S$3,$A850))</x:f>
        <x:v>#NAME?</x:v>
      </x:c>
      <x:c r="T850" s="146" t="e">
        <x:f>IF($A850="","",[1]!thsiFinD("ths_adjustment_nv_fund",T$3,$A850))</x:f>
        <x:v>#NAME?</x:v>
      </x:c>
      <x:c r="U850" s="146" t="e">
        <x:f>IF($A850="","",[1]!thsiFinD("ths_adjustment_nv_fund",U$3,$A850))</x:f>
        <x:v>#NAME?</x:v>
      </x:c>
      <x:c r="V850" s="146" t="e">
        <x:f>IF($A850="","",[1]!thsiFinD("ths_adjustment_nv_fund",V$3,$A850))</x:f>
        <x:v>#NAME?</x:v>
      </x:c>
      <x:c r="W850" s="146" t="e">
        <x:f>IF($A850="","",[1]!thsiFinD("ths_adjustment_nv_fund",W$3,$A850))</x:f>
        <x:v>#NAME?</x:v>
      </x:c>
      <x:c r="X850" s="146" t="e">
        <x:f>IF($A850="","",[1]!thsiFinD("ths_adjustment_nv_fund",X$3,$A850))</x:f>
        <x:v>#NAME?</x:v>
      </x:c>
      <x:c r="Y850" s="146" t="e">
        <x:f>IF($A850="","",[1]!thsiFinD("ths_adjustment_nv_fund",Y$3,$A850))</x:f>
        <x:v>#NAME?</x:v>
      </x:c>
      <x:c r="Z850" s="146" t="e">
        <x:f>IF($A850="","",[1]!thsiFinD("ths_adjustment_nv_fund",Z$3,$A850))</x:f>
        <x:v>#NAME?</x:v>
      </x:c>
      <x:c r="AA850" s="146" t="e">
        <x:f>IF($A850="","",[1]!thsiFinD("ths_adjustment_nv_fund",AA$3,$A850))</x:f>
        <x:v>#NAME?</x:v>
      </x:c>
    </x:row>
    <x:row r="851">
      <x:c r="B851" s="146" t="e">
        <x:f>IF($A851="","",[1]!thsiFinD("ths_adjustment_nv_fund",B$3,$A851))</x:f>
        <x:v>#NAME?</x:v>
      </x:c>
      <x:c r="C851" s="146" t="e">
        <x:f>IF($A851="","",[1]!thsiFinD("ths_adjustment_nv_fund",C$3,$A851))</x:f>
        <x:v>#NAME?</x:v>
      </x:c>
      <x:c r="D851" s="146" t="e">
        <x:f>IF($A851="","",[1]!thsiFinD("ths_adjustment_nv_fund",D$3,$A851))</x:f>
        <x:v>#NAME?</x:v>
      </x:c>
      <x:c r="E851" s="146" t="e">
        <x:f>IF($A851="","",[1]!thsiFinD("ths_adjustment_nv_fund",E$3,$A851))</x:f>
        <x:v>#NAME?</x:v>
      </x:c>
      <x:c r="F851" s="146" t="e">
        <x:f>IF($A851="","",[1]!thsiFinD("ths_adjustment_nv_fund",F$3,$A851))</x:f>
        <x:v>#NAME?</x:v>
      </x:c>
      <x:c r="G851" s="146" t="e">
        <x:f>IF($A851="","",[1]!thsiFinD("ths_adjustment_nv_fund",G$3,$A851))</x:f>
        <x:v>#NAME?</x:v>
      </x:c>
      <x:c r="H851" s="146" t="e">
        <x:f>IF($A851="","",[1]!thsiFinD("ths_adjustment_nv_fund",H$3,$A851))</x:f>
        <x:v>#NAME?</x:v>
      </x:c>
      <x:c r="I851" s="146" t="e">
        <x:f>IF($A851="","",[1]!thsiFinD("ths_adjustment_nv_fund",I$3,$A851))</x:f>
        <x:v>#NAME?</x:v>
      </x:c>
      <x:c r="J851" s="146" t="e">
        <x:f>IF($A851="","",[1]!thsiFinD("ths_adjustment_nv_fund",J$3,$A851))</x:f>
        <x:v>#NAME?</x:v>
      </x:c>
      <x:c r="K851" s="146" t="e">
        <x:f>IF($A851="","",[1]!thsiFinD("ths_adjustment_nv_fund",K$3,$A851))</x:f>
        <x:v>#NAME?</x:v>
      </x:c>
      <x:c r="L851" s="146" t="e">
        <x:f>IF($A851="","",[1]!thsiFinD("ths_adjustment_nv_fund",L$3,$A851))</x:f>
        <x:v>#NAME?</x:v>
      </x:c>
      <x:c r="M851" s="146" t="e">
        <x:f>IF($A851="","",[1]!thsiFinD("ths_adjustment_nv_fund",M$3,$A851))</x:f>
        <x:v>#NAME?</x:v>
      </x:c>
      <x:c r="N851" s="146" t="e">
        <x:f>IF($A851="","",[1]!thsiFinD("ths_adjustment_nv_fund",N$3,$A851))</x:f>
        <x:v>#NAME?</x:v>
      </x:c>
      <x:c r="O851" s="146" t="e">
        <x:f>IF($A851="","",[1]!thsiFinD("ths_adjustment_nv_fund",O$3,$A851))</x:f>
        <x:v>#NAME?</x:v>
      </x:c>
      <x:c r="P851" s="146" t="e">
        <x:f>IF($A851="","",[1]!thsiFinD("ths_adjustment_nv_fund",P$3,$A851))</x:f>
        <x:v>#NAME?</x:v>
      </x:c>
      <x:c r="Q851" s="146" t="e">
        <x:f>IF($A851="","",[1]!thsiFinD("ths_adjustment_nv_fund",Q$3,$A851))</x:f>
        <x:v>#NAME?</x:v>
      </x:c>
      <x:c r="R851" s="146" t="e">
        <x:f>IF($A851="","",[1]!thsiFinD("ths_adjustment_nv_fund",R$3,$A851))</x:f>
        <x:v>#NAME?</x:v>
      </x:c>
      <x:c r="S851" s="146" t="e">
        <x:f>IF($A851="","",[1]!thsiFinD("ths_adjustment_nv_fund",S$3,$A851))</x:f>
        <x:v>#NAME?</x:v>
      </x:c>
      <x:c r="T851" s="146" t="e">
        <x:f>IF($A851="","",[1]!thsiFinD("ths_adjustment_nv_fund",T$3,$A851))</x:f>
        <x:v>#NAME?</x:v>
      </x:c>
      <x:c r="U851" s="146" t="e">
        <x:f>IF($A851="","",[1]!thsiFinD("ths_adjustment_nv_fund",U$3,$A851))</x:f>
        <x:v>#NAME?</x:v>
      </x:c>
      <x:c r="V851" s="146" t="e">
        <x:f>IF($A851="","",[1]!thsiFinD("ths_adjustment_nv_fund",V$3,$A851))</x:f>
        <x:v>#NAME?</x:v>
      </x:c>
      <x:c r="W851" s="146" t="e">
        <x:f>IF($A851="","",[1]!thsiFinD("ths_adjustment_nv_fund",W$3,$A851))</x:f>
        <x:v>#NAME?</x:v>
      </x:c>
      <x:c r="X851" s="146" t="e">
        <x:f>IF($A851="","",[1]!thsiFinD("ths_adjustment_nv_fund",X$3,$A851))</x:f>
        <x:v>#NAME?</x:v>
      </x:c>
      <x:c r="Y851" s="146" t="e">
        <x:f>IF($A851="","",[1]!thsiFinD("ths_adjustment_nv_fund",Y$3,$A851))</x:f>
        <x:v>#NAME?</x:v>
      </x:c>
      <x:c r="Z851" s="146" t="e">
        <x:f>IF($A851="","",[1]!thsiFinD("ths_adjustment_nv_fund",Z$3,$A851))</x:f>
        <x:v>#NAME?</x:v>
      </x:c>
      <x:c r="AA851" s="146" t="e">
        <x:f>IF($A851="","",[1]!thsiFinD("ths_adjustment_nv_fund",AA$3,$A851))</x:f>
        <x:v>#NAME?</x:v>
      </x:c>
    </x:row>
    <x:row r="852">
      <x:c r="B852" s="146" t="e">
        <x:f>IF($A852="","",[1]!thsiFinD("ths_adjustment_nv_fund",B$3,$A852))</x:f>
        <x:v>#NAME?</x:v>
      </x:c>
      <x:c r="C852" s="146" t="e">
        <x:f>IF($A852="","",[1]!thsiFinD("ths_adjustment_nv_fund",C$3,$A852))</x:f>
        <x:v>#NAME?</x:v>
      </x:c>
      <x:c r="D852" s="146" t="e">
        <x:f>IF($A852="","",[1]!thsiFinD("ths_adjustment_nv_fund",D$3,$A852))</x:f>
        <x:v>#NAME?</x:v>
      </x:c>
      <x:c r="E852" s="146" t="e">
        <x:f>IF($A852="","",[1]!thsiFinD("ths_adjustment_nv_fund",E$3,$A852))</x:f>
        <x:v>#NAME?</x:v>
      </x:c>
      <x:c r="F852" s="146" t="e">
        <x:f>IF($A852="","",[1]!thsiFinD("ths_adjustment_nv_fund",F$3,$A852))</x:f>
        <x:v>#NAME?</x:v>
      </x:c>
      <x:c r="G852" s="146" t="e">
        <x:f>IF($A852="","",[1]!thsiFinD("ths_adjustment_nv_fund",G$3,$A852))</x:f>
        <x:v>#NAME?</x:v>
      </x:c>
      <x:c r="H852" s="146" t="e">
        <x:f>IF($A852="","",[1]!thsiFinD("ths_adjustment_nv_fund",H$3,$A852))</x:f>
        <x:v>#NAME?</x:v>
      </x:c>
      <x:c r="I852" s="146" t="e">
        <x:f>IF($A852="","",[1]!thsiFinD("ths_adjustment_nv_fund",I$3,$A852))</x:f>
        <x:v>#NAME?</x:v>
      </x:c>
      <x:c r="J852" s="146" t="e">
        <x:f>IF($A852="","",[1]!thsiFinD("ths_adjustment_nv_fund",J$3,$A852))</x:f>
        <x:v>#NAME?</x:v>
      </x:c>
      <x:c r="K852" s="146" t="e">
        <x:f>IF($A852="","",[1]!thsiFinD("ths_adjustment_nv_fund",K$3,$A852))</x:f>
        <x:v>#NAME?</x:v>
      </x:c>
      <x:c r="L852" s="146" t="e">
        <x:f>IF($A852="","",[1]!thsiFinD("ths_adjustment_nv_fund",L$3,$A852))</x:f>
        <x:v>#NAME?</x:v>
      </x:c>
      <x:c r="M852" s="146" t="e">
        <x:f>IF($A852="","",[1]!thsiFinD("ths_adjustment_nv_fund",M$3,$A852))</x:f>
        <x:v>#NAME?</x:v>
      </x:c>
      <x:c r="N852" s="146" t="e">
        <x:f>IF($A852="","",[1]!thsiFinD("ths_adjustment_nv_fund",N$3,$A852))</x:f>
        <x:v>#NAME?</x:v>
      </x:c>
      <x:c r="O852" s="146" t="e">
        <x:f>IF($A852="","",[1]!thsiFinD("ths_adjustment_nv_fund",O$3,$A852))</x:f>
        <x:v>#NAME?</x:v>
      </x:c>
      <x:c r="P852" s="146" t="e">
        <x:f>IF($A852="","",[1]!thsiFinD("ths_adjustment_nv_fund",P$3,$A852))</x:f>
        <x:v>#NAME?</x:v>
      </x:c>
      <x:c r="Q852" s="146" t="e">
        <x:f>IF($A852="","",[1]!thsiFinD("ths_adjustment_nv_fund",Q$3,$A852))</x:f>
        <x:v>#NAME?</x:v>
      </x:c>
      <x:c r="R852" s="146" t="e">
        <x:f>IF($A852="","",[1]!thsiFinD("ths_adjustment_nv_fund",R$3,$A852))</x:f>
        <x:v>#NAME?</x:v>
      </x:c>
      <x:c r="S852" s="146" t="e">
        <x:f>IF($A852="","",[1]!thsiFinD("ths_adjustment_nv_fund",S$3,$A852))</x:f>
        <x:v>#NAME?</x:v>
      </x:c>
      <x:c r="T852" s="146" t="e">
        <x:f>IF($A852="","",[1]!thsiFinD("ths_adjustment_nv_fund",T$3,$A852))</x:f>
        <x:v>#NAME?</x:v>
      </x:c>
      <x:c r="U852" s="146" t="e">
        <x:f>IF($A852="","",[1]!thsiFinD("ths_adjustment_nv_fund",U$3,$A852))</x:f>
        <x:v>#NAME?</x:v>
      </x:c>
      <x:c r="V852" s="146" t="e">
        <x:f>IF($A852="","",[1]!thsiFinD("ths_adjustment_nv_fund",V$3,$A852))</x:f>
        <x:v>#NAME?</x:v>
      </x:c>
      <x:c r="W852" s="146" t="e">
        <x:f>IF($A852="","",[1]!thsiFinD("ths_adjustment_nv_fund",W$3,$A852))</x:f>
        <x:v>#NAME?</x:v>
      </x:c>
      <x:c r="X852" s="146" t="e">
        <x:f>IF($A852="","",[1]!thsiFinD("ths_adjustment_nv_fund",X$3,$A852))</x:f>
        <x:v>#NAME?</x:v>
      </x:c>
      <x:c r="Y852" s="146" t="e">
        <x:f>IF($A852="","",[1]!thsiFinD("ths_adjustment_nv_fund",Y$3,$A852))</x:f>
        <x:v>#NAME?</x:v>
      </x:c>
      <x:c r="Z852" s="146" t="e">
        <x:f>IF($A852="","",[1]!thsiFinD("ths_adjustment_nv_fund",Z$3,$A852))</x:f>
        <x:v>#NAME?</x:v>
      </x:c>
      <x:c r="AA852" s="146" t="e">
        <x:f>IF($A852="","",[1]!thsiFinD("ths_adjustment_nv_fund",AA$3,$A852))</x:f>
        <x:v>#NAME?</x:v>
      </x:c>
    </x:row>
    <x:row r="853">
      <x:c r="B853" s="146" t="e">
        <x:f>IF($A853="","",[1]!thsiFinD("ths_adjustment_nv_fund",B$3,$A853))</x:f>
        <x:v>#NAME?</x:v>
      </x:c>
      <x:c r="C853" s="146" t="e">
        <x:f>IF($A853="","",[1]!thsiFinD("ths_adjustment_nv_fund",C$3,$A853))</x:f>
        <x:v>#NAME?</x:v>
      </x:c>
      <x:c r="D853" s="146" t="e">
        <x:f>IF($A853="","",[1]!thsiFinD("ths_adjustment_nv_fund",D$3,$A853))</x:f>
        <x:v>#NAME?</x:v>
      </x:c>
      <x:c r="E853" s="146" t="e">
        <x:f>IF($A853="","",[1]!thsiFinD("ths_adjustment_nv_fund",E$3,$A853))</x:f>
        <x:v>#NAME?</x:v>
      </x:c>
      <x:c r="F853" s="146" t="e">
        <x:f>IF($A853="","",[1]!thsiFinD("ths_adjustment_nv_fund",F$3,$A853))</x:f>
        <x:v>#NAME?</x:v>
      </x:c>
      <x:c r="G853" s="146" t="e">
        <x:f>IF($A853="","",[1]!thsiFinD("ths_adjustment_nv_fund",G$3,$A853))</x:f>
        <x:v>#NAME?</x:v>
      </x:c>
      <x:c r="H853" s="146" t="e">
        <x:f>IF($A853="","",[1]!thsiFinD("ths_adjustment_nv_fund",H$3,$A853))</x:f>
        <x:v>#NAME?</x:v>
      </x:c>
      <x:c r="I853" s="146" t="e">
        <x:f>IF($A853="","",[1]!thsiFinD("ths_adjustment_nv_fund",I$3,$A853))</x:f>
        <x:v>#NAME?</x:v>
      </x:c>
      <x:c r="J853" s="146" t="e">
        <x:f>IF($A853="","",[1]!thsiFinD("ths_adjustment_nv_fund",J$3,$A853))</x:f>
        <x:v>#NAME?</x:v>
      </x:c>
      <x:c r="K853" s="146" t="e">
        <x:f>IF($A853="","",[1]!thsiFinD("ths_adjustment_nv_fund",K$3,$A853))</x:f>
        <x:v>#NAME?</x:v>
      </x:c>
      <x:c r="L853" s="146" t="e">
        <x:f>IF($A853="","",[1]!thsiFinD("ths_adjustment_nv_fund",L$3,$A853))</x:f>
        <x:v>#NAME?</x:v>
      </x:c>
      <x:c r="M853" s="146" t="e">
        <x:f>IF($A853="","",[1]!thsiFinD("ths_adjustment_nv_fund",M$3,$A853))</x:f>
        <x:v>#NAME?</x:v>
      </x:c>
      <x:c r="N853" s="146" t="e">
        <x:f>IF($A853="","",[1]!thsiFinD("ths_adjustment_nv_fund",N$3,$A853))</x:f>
        <x:v>#NAME?</x:v>
      </x:c>
      <x:c r="O853" s="146" t="e">
        <x:f>IF($A853="","",[1]!thsiFinD("ths_adjustment_nv_fund",O$3,$A853))</x:f>
        <x:v>#NAME?</x:v>
      </x:c>
      <x:c r="P853" s="146" t="e">
        <x:f>IF($A853="","",[1]!thsiFinD("ths_adjustment_nv_fund",P$3,$A853))</x:f>
        <x:v>#NAME?</x:v>
      </x:c>
      <x:c r="Q853" s="146" t="e">
        <x:f>IF($A853="","",[1]!thsiFinD("ths_adjustment_nv_fund",Q$3,$A853))</x:f>
        <x:v>#NAME?</x:v>
      </x:c>
      <x:c r="R853" s="146" t="e">
        <x:f>IF($A853="","",[1]!thsiFinD("ths_adjustment_nv_fund",R$3,$A853))</x:f>
        <x:v>#NAME?</x:v>
      </x:c>
      <x:c r="S853" s="146" t="e">
        <x:f>IF($A853="","",[1]!thsiFinD("ths_adjustment_nv_fund",S$3,$A853))</x:f>
        <x:v>#NAME?</x:v>
      </x:c>
      <x:c r="T853" s="146" t="e">
        <x:f>IF($A853="","",[1]!thsiFinD("ths_adjustment_nv_fund",T$3,$A853))</x:f>
        <x:v>#NAME?</x:v>
      </x:c>
      <x:c r="U853" s="146" t="e">
        <x:f>IF($A853="","",[1]!thsiFinD("ths_adjustment_nv_fund",U$3,$A853))</x:f>
        <x:v>#NAME?</x:v>
      </x:c>
      <x:c r="V853" s="146" t="e">
        <x:f>IF($A853="","",[1]!thsiFinD("ths_adjustment_nv_fund",V$3,$A853))</x:f>
        <x:v>#NAME?</x:v>
      </x:c>
      <x:c r="W853" s="146" t="e">
        <x:f>IF($A853="","",[1]!thsiFinD("ths_adjustment_nv_fund",W$3,$A853))</x:f>
        <x:v>#NAME?</x:v>
      </x:c>
      <x:c r="X853" s="146" t="e">
        <x:f>IF($A853="","",[1]!thsiFinD("ths_adjustment_nv_fund",X$3,$A853))</x:f>
        <x:v>#NAME?</x:v>
      </x:c>
      <x:c r="Y853" s="146" t="e">
        <x:f>IF($A853="","",[1]!thsiFinD("ths_adjustment_nv_fund",Y$3,$A853))</x:f>
        <x:v>#NAME?</x:v>
      </x:c>
      <x:c r="Z853" s="146" t="e">
        <x:f>IF($A853="","",[1]!thsiFinD("ths_adjustment_nv_fund",Z$3,$A853))</x:f>
        <x:v>#NAME?</x:v>
      </x:c>
      <x:c r="AA853" s="146" t="e">
        <x:f>IF($A853="","",[1]!thsiFinD("ths_adjustment_nv_fund",AA$3,$A853))</x:f>
        <x:v>#NAME?</x:v>
      </x:c>
    </x:row>
    <x:row r="854">
      <x:c r="B854" s="146" t="e">
        <x:f>IF($A854="","",[1]!thsiFinD("ths_adjustment_nv_fund",B$3,$A854))</x:f>
        <x:v>#NAME?</x:v>
      </x:c>
      <x:c r="C854" s="146" t="e">
        <x:f>IF($A854="","",[1]!thsiFinD("ths_adjustment_nv_fund",C$3,$A854))</x:f>
        <x:v>#NAME?</x:v>
      </x:c>
      <x:c r="D854" s="146" t="e">
        <x:f>IF($A854="","",[1]!thsiFinD("ths_adjustment_nv_fund",D$3,$A854))</x:f>
        <x:v>#NAME?</x:v>
      </x:c>
      <x:c r="E854" s="146" t="e">
        <x:f>IF($A854="","",[1]!thsiFinD("ths_adjustment_nv_fund",E$3,$A854))</x:f>
        <x:v>#NAME?</x:v>
      </x:c>
      <x:c r="F854" s="146" t="e">
        <x:f>IF($A854="","",[1]!thsiFinD("ths_adjustment_nv_fund",F$3,$A854))</x:f>
        <x:v>#NAME?</x:v>
      </x:c>
      <x:c r="G854" s="146" t="e">
        <x:f>IF($A854="","",[1]!thsiFinD("ths_adjustment_nv_fund",G$3,$A854))</x:f>
        <x:v>#NAME?</x:v>
      </x:c>
      <x:c r="H854" s="146" t="e">
        <x:f>IF($A854="","",[1]!thsiFinD("ths_adjustment_nv_fund",H$3,$A854))</x:f>
        <x:v>#NAME?</x:v>
      </x:c>
      <x:c r="I854" s="146" t="e">
        <x:f>IF($A854="","",[1]!thsiFinD("ths_adjustment_nv_fund",I$3,$A854))</x:f>
        <x:v>#NAME?</x:v>
      </x:c>
      <x:c r="J854" s="146" t="e">
        <x:f>IF($A854="","",[1]!thsiFinD("ths_adjustment_nv_fund",J$3,$A854))</x:f>
        <x:v>#NAME?</x:v>
      </x:c>
      <x:c r="K854" s="146" t="e">
        <x:f>IF($A854="","",[1]!thsiFinD("ths_adjustment_nv_fund",K$3,$A854))</x:f>
        <x:v>#NAME?</x:v>
      </x:c>
      <x:c r="L854" s="146" t="e">
        <x:f>IF($A854="","",[1]!thsiFinD("ths_adjustment_nv_fund",L$3,$A854))</x:f>
        <x:v>#NAME?</x:v>
      </x:c>
      <x:c r="M854" s="146" t="e">
        <x:f>IF($A854="","",[1]!thsiFinD("ths_adjustment_nv_fund",M$3,$A854))</x:f>
        <x:v>#NAME?</x:v>
      </x:c>
      <x:c r="N854" s="146" t="e">
        <x:f>IF($A854="","",[1]!thsiFinD("ths_adjustment_nv_fund",N$3,$A854))</x:f>
        <x:v>#NAME?</x:v>
      </x:c>
      <x:c r="O854" s="146" t="e">
        <x:f>IF($A854="","",[1]!thsiFinD("ths_adjustment_nv_fund",O$3,$A854))</x:f>
        <x:v>#NAME?</x:v>
      </x:c>
      <x:c r="P854" s="146" t="e">
        <x:f>IF($A854="","",[1]!thsiFinD("ths_adjustment_nv_fund",P$3,$A854))</x:f>
        <x:v>#NAME?</x:v>
      </x:c>
      <x:c r="Q854" s="146" t="e">
        <x:f>IF($A854="","",[1]!thsiFinD("ths_adjustment_nv_fund",Q$3,$A854))</x:f>
        <x:v>#NAME?</x:v>
      </x:c>
      <x:c r="R854" s="146" t="e">
        <x:f>IF($A854="","",[1]!thsiFinD("ths_adjustment_nv_fund",R$3,$A854))</x:f>
        <x:v>#NAME?</x:v>
      </x:c>
      <x:c r="S854" s="146" t="e">
        <x:f>IF($A854="","",[1]!thsiFinD("ths_adjustment_nv_fund",S$3,$A854))</x:f>
        <x:v>#NAME?</x:v>
      </x:c>
      <x:c r="T854" s="146" t="e">
        <x:f>IF($A854="","",[1]!thsiFinD("ths_adjustment_nv_fund",T$3,$A854))</x:f>
        <x:v>#NAME?</x:v>
      </x:c>
      <x:c r="U854" s="146" t="e">
        <x:f>IF($A854="","",[1]!thsiFinD("ths_adjustment_nv_fund",U$3,$A854))</x:f>
        <x:v>#NAME?</x:v>
      </x:c>
      <x:c r="V854" s="146" t="e">
        <x:f>IF($A854="","",[1]!thsiFinD("ths_adjustment_nv_fund",V$3,$A854))</x:f>
        <x:v>#NAME?</x:v>
      </x:c>
      <x:c r="W854" s="146" t="e">
        <x:f>IF($A854="","",[1]!thsiFinD("ths_adjustment_nv_fund",W$3,$A854))</x:f>
        <x:v>#NAME?</x:v>
      </x:c>
      <x:c r="X854" s="146" t="e">
        <x:f>IF($A854="","",[1]!thsiFinD("ths_adjustment_nv_fund",X$3,$A854))</x:f>
        <x:v>#NAME?</x:v>
      </x:c>
      <x:c r="Y854" s="146" t="e">
        <x:f>IF($A854="","",[1]!thsiFinD("ths_adjustment_nv_fund",Y$3,$A854))</x:f>
        <x:v>#NAME?</x:v>
      </x:c>
      <x:c r="Z854" s="146" t="e">
        <x:f>IF($A854="","",[1]!thsiFinD("ths_adjustment_nv_fund",Z$3,$A854))</x:f>
        <x:v>#NAME?</x:v>
      </x:c>
      <x:c r="AA854" s="146" t="e">
        <x:f>IF($A854="","",[1]!thsiFinD("ths_adjustment_nv_fund",AA$3,$A854))</x:f>
        <x:v>#NAME?</x:v>
      </x:c>
    </x:row>
    <x:row r="855">
      <x:c r="B855" s="146" t="e">
        <x:f>IF($A855="","",[1]!thsiFinD("ths_adjustment_nv_fund",B$3,$A855))</x:f>
        <x:v>#NAME?</x:v>
      </x:c>
      <x:c r="C855" s="146" t="e">
        <x:f>IF($A855="","",[1]!thsiFinD("ths_adjustment_nv_fund",C$3,$A855))</x:f>
        <x:v>#NAME?</x:v>
      </x:c>
      <x:c r="D855" s="146" t="e">
        <x:f>IF($A855="","",[1]!thsiFinD("ths_adjustment_nv_fund",D$3,$A855))</x:f>
        <x:v>#NAME?</x:v>
      </x:c>
      <x:c r="E855" s="146" t="e">
        <x:f>IF($A855="","",[1]!thsiFinD("ths_adjustment_nv_fund",E$3,$A855))</x:f>
        <x:v>#NAME?</x:v>
      </x:c>
      <x:c r="F855" s="146" t="e">
        <x:f>IF($A855="","",[1]!thsiFinD("ths_adjustment_nv_fund",F$3,$A855))</x:f>
        <x:v>#NAME?</x:v>
      </x:c>
      <x:c r="G855" s="146" t="e">
        <x:f>IF($A855="","",[1]!thsiFinD("ths_adjustment_nv_fund",G$3,$A855))</x:f>
        <x:v>#NAME?</x:v>
      </x:c>
      <x:c r="H855" s="146" t="e">
        <x:f>IF($A855="","",[1]!thsiFinD("ths_adjustment_nv_fund",H$3,$A855))</x:f>
        <x:v>#NAME?</x:v>
      </x:c>
      <x:c r="I855" s="146" t="e">
        <x:f>IF($A855="","",[1]!thsiFinD("ths_adjustment_nv_fund",I$3,$A855))</x:f>
        <x:v>#NAME?</x:v>
      </x:c>
      <x:c r="J855" s="146" t="e">
        <x:f>IF($A855="","",[1]!thsiFinD("ths_adjustment_nv_fund",J$3,$A855))</x:f>
        <x:v>#NAME?</x:v>
      </x:c>
      <x:c r="K855" s="146" t="e">
        <x:f>IF($A855="","",[1]!thsiFinD("ths_adjustment_nv_fund",K$3,$A855))</x:f>
        <x:v>#NAME?</x:v>
      </x:c>
      <x:c r="L855" s="146" t="e">
        <x:f>IF($A855="","",[1]!thsiFinD("ths_adjustment_nv_fund",L$3,$A855))</x:f>
        <x:v>#NAME?</x:v>
      </x:c>
      <x:c r="M855" s="146" t="e">
        <x:f>IF($A855="","",[1]!thsiFinD("ths_adjustment_nv_fund",M$3,$A855))</x:f>
        <x:v>#NAME?</x:v>
      </x:c>
      <x:c r="N855" s="146" t="e">
        <x:f>IF($A855="","",[1]!thsiFinD("ths_adjustment_nv_fund",N$3,$A855))</x:f>
        <x:v>#NAME?</x:v>
      </x:c>
      <x:c r="O855" s="146" t="e">
        <x:f>IF($A855="","",[1]!thsiFinD("ths_adjustment_nv_fund",O$3,$A855))</x:f>
        <x:v>#NAME?</x:v>
      </x:c>
      <x:c r="P855" s="146" t="e">
        <x:f>IF($A855="","",[1]!thsiFinD("ths_adjustment_nv_fund",P$3,$A855))</x:f>
        <x:v>#NAME?</x:v>
      </x:c>
      <x:c r="Q855" s="146" t="e">
        <x:f>IF($A855="","",[1]!thsiFinD("ths_adjustment_nv_fund",Q$3,$A855))</x:f>
        <x:v>#NAME?</x:v>
      </x:c>
      <x:c r="R855" s="146" t="e">
        <x:f>IF($A855="","",[1]!thsiFinD("ths_adjustment_nv_fund",R$3,$A855))</x:f>
        <x:v>#NAME?</x:v>
      </x:c>
      <x:c r="S855" s="146" t="e">
        <x:f>IF($A855="","",[1]!thsiFinD("ths_adjustment_nv_fund",S$3,$A855))</x:f>
        <x:v>#NAME?</x:v>
      </x:c>
      <x:c r="T855" s="146" t="e">
        <x:f>IF($A855="","",[1]!thsiFinD("ths_adjustment_nv_fund",T$3,$A855))</x:f>
        <x:v>#NAME?</x:v>
      </x:c>
      <x:c r="U855" s="146" t="e">
        <x:f>IF($A855="","",[1]!thsiFinD("ths_adjustment_nv_fund",U$3,$A855))</x:f>
        <x:v>#NAME?</x:v>
      </x:c>
      <x:c r="V855" s="146" t="e">
        <x:f>IF($A855="","",[1]!thsiFinD("ths_adjustment_nv_fund",V$3,$A855))</x:f>
        <x:v>#NAME?</x:v>
      </x:c>
      <x:c r="W855" s="146" t="e">
        <x:f>IF($A855="","",[1]!thsiFinD("ths_adjustment_nv_fund",W$3,$A855))</x:f>
        <x:v>#NAME?</x:v>
      </x:c>
      <x:c r="X855" s="146" t="e">
        <x:f>IF($A855="","",[1]!thsiFinD("ths_adjustment_nv_fund",X$3,$A855))</x:f>
        <x:v>#NAME?</x:v>
      </x:c>
      <x:c r="Y855" s="146" t="e">
        <x:f>IF($A855="","",[1]!thsiFinD("ths_adjustment_nv_fund",Y$3,$A855))</x:f>
        <x:v>#NAME?</x:v>
      </x:c>
      <x:c r="Z855" s="146" t="e">
        <x:f>IF($A855="","",[1]!thsiFinD("ths_adjustment_nv_fund",Z$3,$A855))</x:f>
        <x:v>#NAME?</x:v>
      </x:c>
      <x:c r="AA855" s="146" t="e">
        <x:f>IF($A855="","",[1]!thsiFinD("ths_adjustment_nv_fund",AA$3,$A855))</x:f>
        <x:v>#NAME?</x:v>
      </x:c>
    </x:row>
    <x:row r="856">
      <x:c r="B856" s="146" t="e">
        <x:f>IF($A856="","",[1]!thsiFinD("ths_adjustment_nv_fund",B$3,$A856))</x:f>
        <x:v>#NAME?</x:v>
      </x:c>
      <x:c r="C856" s="146" t="e">
        <x:f>IF($A856="","",[1]!thsiFinD("ths_adjustment_nv_fund",C$3,$A856))</x:f>
        <x:v>#NAME?</x:v>
      </x:c>
      <x:c r="D856" s="146" t="e">
        <x:f>IF($A856="","",[1]!thsiFinD("ths_adjustment_nv_fund",D$3,$A856))</x:f>
        <x:v>#NAME?</x:v>
      </x:c>
      <x:c r="E856" s="146" t="e">
        <x:f>IF($A856="","",[1]!thsiFinD("ths_adjustment_nv_fund",E$3,$A856))</x:f>
        <x:v>#NAME?</x:v>
      </x:c>
      <x:c r="F856" s="146" t="e">
        <x:f>IF($A856="","",[1]!thsiFinD("ths_adjustment_nv_fund",F$3,$A856))</x:f>
        <x:v>#NAME?</x:v>
      </x:c>
      <x:c r="G856" s="146" t="e">
        <x:f>IF($A856="","",[1]!thsiFinD("ths_adjustment_nv_fund",G$3,$A856))</x:f>
        <x:v>#NAME?</x:v>
      </x:c>
      <x:c r="H856" s="146" t="e">
        <x:f>IF($A856="","",[1]!thsiFinD("ths_adjustment_nv_fund",H$3,$A856))</x:f>
        <x:v>#NAME?</x:v>
      </x:c>
      <x:c r="I856" s="146" t="e">
        <x:f>IF($A856="","",[1]!thsiFinD("ths_adjustment_nv_fund",I$3,$A856))</x:f>
        <x:v>#NAME?</x:v>
      </x:c>
      <x:c r="J856" s="146" t="e">
        <x:f>IF($A856="","",[1]!thsiFinD("ths_adjustment_nv_fund",J$3,$A856))</x:f>
        <x:v>#NAME?</x:v>
      </x:c>
      <x:c r="K856" s="146" t="e">
        <x:f>IF($A856="","",[1]!thsiFinD("ths_adjustment_nv_fund",K$3,$A856))</x:f>
        <x:v>#NAME?</x:v>
      </x:c>
      <x:c r="L856" s="146" t="e">
        <x:f>IF($A856="","",[1]!thsiFinD("ths_adjustment_nv_fund",L$3,$A856))</x:f>
        <x:v>#NAME?</x:v>
      </x:c>
      <x:c r="M856" s="146" t="e">
        <x:f>IF($A856="","",[1]!thsiFinD("ths_adjustment_nv_fund",M$3,$A856))</x:f>
        <x:v>#NAME?</x:v>
      </x:c>
      <x:c r="N856" s="146" t="e">
        <x:f>IF($A856="","",[1]!thsiFinD("ths_adjustment_nv_fund",N$3,$A856))</x:f>
        <x:v>#NAME?</x:v>
      </x:c>
      <x:c r="O856" s="146" t="e">
        <x:f>IF($A856="","",[1]!thsiFinD("ths_adjustment_nv_fund",O$3,$A856))</x:f>
        <x:v>#NAME?</x:v>
      </x:c>
      <x:c r="P856" s="146" t="e">
        <x:f>IF($A856="","",[1]!thsiFinD("ths_adjustment_nv_fund",P$3,$A856))</x:f>
        <x:v>#NAME?</x:v>
      </x:c>
      <x:c r="Q856" s="146" t="e">
        <x:f>IF($A856="","",[1]!thsiFinD("ths_adjustment_nv_fund",Q$3,$A856))</x:f>
        <x:v>#NAME?</x:v>
      </x:c>
      <x:c r="R856" s="146" t="e">
        <x:f>IF($A856="","",[1]!thsiFinD("ths_adjustment_nv_fund",R$3,$A856))</x:f>
        <x:v>#NAME?</x:v>
      </x:c>
      <x:c r="S856" s="146" t="e">
        <x:f>IF($A856="","",[1]!thsiFinD("ths_adjustment_nv_fund",S$3,$A856))</x:f>
        <x:v>#NAME?</x:v>
      </x:c>
      <x:c r="T856" s="146" t="e">
        <x:f>IF($A856="","",[1]!thsiFinD("ths_adjustment_nv_fund",T$3,$A856))</x:f>
        <x:v>#NAME?</x:v>
      </x:c>
      <x:c r="U856" s="146" t="e">
        <x:f>IF($A856="","",[1]!thsiFinD("ths_adjustment_nv_fund",U$3,$A856))</x:f>
        <x:v>#NAME?</x:v>
      </x:c>
      <x:c r="V856" s="146" t="e">
        <x:f>IF($A856="","",[1]!thsiFinD("ths_adjustment_nv_fund",V$3,$A856))</x:f>
        <x:v>#NAME?</x:v>
      </x:c>
      <x:c r="W856" s="146" t="e">
        <x:f>IF($A856="","",[1]!thsiFinD("ths_adjustment_nv_fund",W$3,$A856))</x:f>
        <x:v>#NAME?</x:v>
      </x:c>
      <x:c r="X856" s="146" t="e">
        <x:f>IF($A856="","",[1]!thsiFinD("ths_adjustment_nv_fund",X$3,$A856))</x:f>
        <x:v>#NAME?</x:v>
      </x:c>
      <x:c r="Y856" s="146" t="e">
        <x:f>IF($A856="","",[1]!thsiFinD("ths_adjustment_nv_fund",Y$3,$A856))</x:f>
        <x:v>#NAME?</x:v>
      </x:c>
      <x:c r="Z856" s="146" t="e">
        <x:f>IF($A856="","",[1]!thsiFinD("ths_adjustment_nv_fund",Z$3,$A856))</x:f>
        <x:v>#NAME?</x:v>
      </x:c>
      <x:c r="AA856" s="146" t="e">
        <x:f>IF($A856="","",[1]!thsiFinD("ths_adjustment_nv_fund",AA$3,$A856))</x:f>
        <x:v>#NAME?</x:v>
      </x:c>
    </x:row>
    <x:row r="857">
      <x:c r="B857" s="146" t="e">
        <x:f>IF($A857="","",[1]!thsiFinD("ths_adjustment_nv_fund",B$3,$A857))</x:f>
        <x:v>#NAME?</x:v>
      </x:c>
      <x:c r="C857" s="146" t="e">
        <x:f>IF($A857="","",[1]!thsiFinD("ths_adjustment_nv_fund",C$3,$A857))</x:f>
        <x:v>#NAME?</x:v>
      </x:c>
      <x:c r="D857" s="146" t="e">
        <x:f>IF($A857="","",[1]!thsiFinD("ths_adjustment_nv_fund",D$3,$A857))</x:f>
        <x:v>#NAME?</x:v>
      </x:c>
      <x:c r="E857" s="146" t="e">
        <x:f>IF($A857="","",[1]!thsiFinD("ths_adjustment_nv_fund",E$3,$A857))</x:f>
        <x:v>#NAME?</x:v>
      </x:c>
      <x:c r="F857" s="146" t="e">
        <x:f>IF($A857="","",[1]!thsiFinD("ths_adjustment_nv_fund",F$3,$A857))</x:f>
        <x:v>#NAME?</x:v>
      </x:c>
      <x:c r="G857" s="146" t="e">
        <x:f>IF($A857="","",[1]!thsiFinD("ths_adjustment_nv_fund",G$3,$A857))</x:f>
        <x:v>#NAME?</x:v>
      </x:c>
      <x:c r="H857" s="146" t="e">
        <x:f>IF($A857="","",[1]!thsiFinD("ths_adjustment_nv_fund",H$3,$A857))</x:f>
        <x:v>#NAME?</x:v>
      </x:c>
      <x:c r="I857" s="146" t="e">
        <x:f>IF($A857="","",[1]!thsiFinD("ths_adjustment_nv_fund",I$3,$A857))</x:f>
        <x:v>#NAME?</x:v>
      </x:c>
      <x:c r="J857" s="146" t="e">
        <x:f>IF($A857="","",[1]!thsiFinD("ths_adjustment_nv_fund",J$3,$A857))</x:f>
        <x:v>#NAME?</x:v>
      </x:c>
      <x:c r="K857" s="146" t="e">
        <x:f>IF($A857="","",[1]!thsiFinD("ths_adjustment_nv_fund",K$3,$A857))</x:f>
        <x:v>#NAME?</x:v>
      </x:c>
      <x:c r="L857" s="146" t="e">
        <x:f>IF($A857="","",[1]!thsiFinD("ths_adjustment_nv_fund",L$3,$A857))</x:f>
        <x:v>#NAME?</x:v>
      </x:c>
      <x:c r="M857" s="146" t="e">
        <x:f>IF($A857="","",[1]!thsiFinD("ths_adjustment_nv_fund",M$3,$A857))</x:f>
        <x:v>#NAME?</x:v>
      </x:c>
      <x:c r="N857" s="146" t="e">
        <x:f>IF($A857="","",[1]!thsiFinD("ths_adjustment_nv_fund",N$3,$A857))</x:f>
        <x:v>#NAME?</x:v>
      </x:c>
      <x:c r="O857" s="146" t="e">
        <x:f>IF($A857="","",[1]!thsiFinD("ths_adjustment_nv_fund",O$3,$A857))</x:f>
        <x:v>#NAME?</x:v>
      </x:c>
      <x:c r="P857" s="146" t="e">
        <x:f>IF($A857="","",[1]!thsiFinD("ths_adjustment_nv_fund",P$3,$A857))</x:f>
        <x:v>#NAME?</x:v>
      </x:c>
      <x:c r="Q857" s="146" t="e">
        <x:f>IF($A857="","",[1]!thsiFinD("ths_adjustment_nv_fund",Q$3,$A857))</x:f>
        <x:v>#NAME?</x:v>
      </x:c>
      <x:c r="R857" s="146" t="e">
        <x:f>IF($A857="","",[1]!thsiFinD("ths_adjustment_nv_fund",R$3,$A857))</x:f>
        <x:v>#NAME?</x:v>
      </x:c>
      <x:c r="S857" s="146" t="e">
        <x:f>IF($A857="","",[1]!thsiFinD("ths_adjustment_nv_fund",S$3,$A857))</x:f>
        <x:v>#NAME?</x:v>
      </x:c>
      <x:c r="T857" s="146" t="e">
        <x:f>IF($A857="","",[1]!thsiFinD("ths_adjustment_nv_fund",T$3,$A857))</x:f>
        <x:v>#NAME?</x:v>
      </x:c>
      <x:c r="U857" s="146" t="e">
        <x:f>IF($A857="","",[1]!thsiFinD("ths_adjustment_nv_fund",U$3,$A857))</x:f>
        <x:v>#NAME?</x:v>
      </x:c>
      <x:c r="V857" s="146" t="e">
        <x:f>IF($A857="","",[1]!thsiFinD("ths_adjustment_nv_fund",V$3,$A857))</x:f>
        <x:v>#NAME?</x:v>
      </x:c>
      <x:c r="W857" s="146" t="e">
        <x:f>IF($A857="","",[1]!thsiFinD("ths_adjustment_nv_fund",W$3,$A857))</x:f>
        <x:v>#NAME?</x:v>
      </x:c>
      <x:c r="X857" s="146" t="e">
        <x:f>IF($A857="","",[1]!thsiFinD("ths_adjustment_nv_fund",X$3,$A857))</x:f>
        <x:v>#NAME?</x:v>
      </x:c>
      <x:c r="Y857" s="146" t="e">
        <x:f>IF($A857="","",[1]!thsiFinD("ths_adjustment_nv_fund",Y$3,$A857))</x:f>
        <x:v>#NAME?</x:v>
      </x:c>
      <x:c r="Z857" s="146" t="e">
        <x:f>IF($A857="","",[1]!thsiFinD("ths_adjustment_nv_fund",Z$3,$A857))</x:f>
        <x:v>#NAME?</x:v>
      </x:c>
      <x:c r="AA857" s="146" t="e">
        <x:f>IF($A857="","",[1]!thsiFinD("ths_adjustment_nv_fund",AA$3,$A857))</x:f>
        <x:v>#NAME?</x:v>
      </x:c>
    </x:row>
    <x:row r="858">
      <x:c r="B858" s="146" t="e">
        <x:f>IF($A858="","",[1]!thsiFinD("ths_adjustment_nv_fund",B$3,$A858))</x:f>
        <x:v>#NAME?</x:v>
      </x:c>
      <x:c r="C858" s="146" t="e">
        <x:f>IF($A858="","",[1]!thsiFinD("ths_adjustment_nv_fund",C$3,$A858))</x:f>
        <x:v>#NAME?</x:v>
      </x:c>
      <x:c r="D858" s="146" t="e">
        <x:f>IF($A858="","",[1]!thsiFinD("ths_adjustment_nv_fund",D$3,$A858))</x:f>
        <x:v>#NAME?</x:v>
      </x:c>
      <x:c r="E858" s="146" t="e">
        <x:f>IF($A858="","",[1]!thsiFinD("ths_adjustment_nv_fund",E$3,$A858))</x:f>
        <x:v>#NAME?</x:v>
      </x:c>
      <x:c r="F858" s="146" t="e">
        <x:f>IF($A858="","",[1]!thsiFinD("ths_adjustment_nv_fund",F$3,$A858))</x:f>
        <x:v>#NAME?</x:v>
      </x:c>
      <x:c r="G858" s="146" t="e">
        <x:f>IF($A858="","",[1]!thsiFinD("ths_adjustment_nv_fund",G$3,$A858))</x:f>
        <x:v>#NAME?</x:v>
      </x:c>
      <x:c r="H858" s="146" t="e">
        <x:f>IF($A858="","",[1]!thsiFinD("ths_adjustment_nv_fund",H$3,$A858))</x:f>
        <x:v>#NAME?</x:v>
      </x:c>
      <x:c r="I858" s="146" t="e">
        <x:f>IF($A858="","",[1]!thsiFinD("ths_adjustment_nv_fund",I$3,$A858))</x:f>
        <x:v>#NAME?</x:v>
      </x:c>
      <x:c r="J858" s="146" t="e">
        <x:f>IF($A858="","",[1]!thsiFinD("ths_adjustment_nv_fund",J$3,$A858))</x:f>
        <x:v>#NAME?</x:v>
      </x:c>
      <x:c r="K858" s="146" t="e">
        <x:f>IF($A858="","",[1]!thsiFinD("ths_adjustment_nv_fund",K$3,$A858))</x:f>
        <x:v>#NAME?</x:v>
      </x:c>
      <x:c r="L858" s="146" t="e">
        <x:f>IF($A858="","",[1]!thsiFinD("ths_adjustment_nv_fund",L$3,$A858))</x:f>
        <x:v>#NAME?</x:v>
      </x:c>
      <x:c r="M858" s="146" t="e">
        <x:f>IF($A858="","",[1]!thsiFinD("ths_adjustment_nv_fund",M$3,$A858))</x:f>
        <x:v>#NAME?</x:v>
      </x:c>
      <x:c r="N858" s="146" t="e">
        <x:f>IF($A858="","",[1]!thsiFinD("ths_adjustment_nv_fund",N$3,$A858))</x:f>
        <x:v>#NAME?</x:v>
      </x:c>
      <x:c r="O858" s="146" t="e">
        <x:f>IF($A858="","",[1]!thsiFinD("ths_adjustment_nv_fund",O$3,$A858))</x:f>
        <x:v>#NAME?</x:v>
      </x:c>
      <x:c r="P858" s="146" t="e">
        <x:f>IF($A858="","",[1]!thsiFinD("ths_adjustment_nv_fund",P$3,$A858))</x:f>
        <x:v>#NAME?</x:v>
      </x:c>
      <x:c r="Q858" s="146" t="e">
        <x:f>IF($A858="","",[1]!thsiFinD("ths_adjustment_nv_fund",Q$3,$A858))</x:f>
        <x:v>#NAME?</x:v>
      </x:c>
      <x:c r="R858" s="146" t="e">
        <x:f>IF($A858="","",[1]!thsiFinD("ths_adjustment_nv_fund",R$3,$A858))</x:f>
        <x:v>#NAME?</x:v>
      </x:c>
      <x:c r="S858" s="146" t="e">
        <x:f>IF($A858="","",[1]!thsiFinD("ths_adjustment_nv_fund",S$3,$A858))</x:f>
        <x:v>#NAME?</x:v>
      </x:c>
      <x:c r="T858" s="146" t="e">
        <x:f>IF($A858="","",[1]!thsiFinD("ths_adjustment_nv_fund",T$3,$A858))</x:f>
        <x:v>#NAME?</x:v>
      </x:c>
      <x:c r="U858" s="146" t="e">
        <x:f>IF($A858="","",[1]!thsiFinD("ths_adjustment_nv_fund",U$3,$A858))</x:f>
        <x:v>#NAME?</x:v>
      </x:c>
      <x:c r="V858" s="146" t="e">
        <x:f>IF($A858="","",[1]!thsiFinD("ths_adjustment_nv_fund",V$3,$A858))</x:f>
        <x:v>#NAME?</x:v>
      </x:c>
      <x:c r="W858" s="146" t="e">
        <x:f>IF($A858="","",[1]!thsiFinD("ths_adjustment_nv_fund",W$3,$A858))</x:f>
        <x:v>#NAME?</x:v>
      </x:c>
      <x:c r="X858" s="146" t="e">
        <x:f>IF($A858="","",[1]!thsiFinD("ths_adjustment_nv_fund",X$3,$A858))</x:f>
        <x:v>#NAME?</x:v>
      </x:c>
      <x:c r="Y858" s="146" t="e">
        <x:f>IF($A858="","",[1]!thsiFinD("ths_adjustment_nv_fund",Y$3,$A858))</x:f>
        <x:v>#NAME?</x:v>
      </x:c>
      <x:c r="Z858" s="146" t="e">
        <x:f>IF($A858="","",[1]!thsiFinD("ths_adjustment_nv_fund",Z$3,$A858))</x:f>
        <x:v>#NAME?</x:v>
      </x:c>
      <x:c r="AA858" s="146" t="e">
        <x:f>IF($A858="","",[1]!thsiFinD("ths_adjustment_nv_fund",AA$3,$A858))</x:f>
        <x:v>#NAME?</x:v>
      </x:c>
    </x:row>
    <x:row r="859">
      <x:c r="B859" s="146" t="e">
        <x:f>IF($A859="","",[1]!thsiFinD("ths_adjustment_nv_fund",B$3,$A859))</x:f>
        <x:v>#NAME?</x:v>
      </x:c>
      <x:c r="C859" s="146" t="e">
        <x:f>IF($A859="","",[1]!thsiFinD("ths_adjustment_nv_fund",C$3,$A859))</x:f>
        <x:v>#NAME?</x:v>
      </x:c>
      <x:c r="D859" s="146" t="e">
        <x:f>IF($A859="","",[1]!thsiFinD("ths_adjustment_nv_fund",D$3,$A859))</x:f>
        <x:v>#NAME?</x:v>
      </x:c>
      <x:c r="E859" s="146" t="e">
        <x:f>IF($A859="","",[1]!thsiFinD("ths_adjustment_nv_fund",E$3,$A859))</x:f>
        <x:v>#NAME?</x:v>
      </x:c>
      <x:c r="F859" s="146" t="e">
        <x:f>IF($A859="","",[1]!thsiFinD("ths_adjustment_nv_fund",F$3,$A859))</x:f>
        <x:v>#NAME?</x:v>
      </x:c>
      <x:c r="G859" s="146" t="e">
        <x:f>IF($A859="","",[1]!thsiFinD("ths_adjustment_nv_fund",G$3,$A859))</x:f>
        <x:v>#NAME?</x:v>
      </x:c>
      <x:c r="H859" s="146" t="e">
        <x:f>IF($A859="","",[1]!thsiFinD("ths_adjustment_nv_fund",H$3,$A859))</x:f>
        <x:v>#NAME?</x:v>
      </x:c>
      <x:c r="I859" s="146" t="e">
        <x:f>IF($A859="","",[1]!thsiFinD("ths_adjustment_nv_fund",I$3,$A859))</x:f>
        <x:v>#NAME?</x:v>
      </x:c>
      <x:c r="J859" s="146" t="e">
        <x:f>IF($A859="","",[1]!thsiFinD("ths_adjustment_nv_fund",J$3,$A859))</x:f>
        <x:v>#NAME?</x:v>
      </x:c>
      <x:c r="K859" s="146" t="e">
        <x:f>IF($A859="","",[1]!thsiFinD("ths_adjustment_nv_fund",K$3,$A859))</x:f>
        <x:v>#NAME?</x:v>
      </x:c>
      <x:c r="L859" s="146" t="e">
        <x:f>IF($A859="","",[1]!thsiFinD("ths_adjustment_nv_fund",L$3,$A859))</x:f>
        <x:v>#NAME?</x:v>
      </x:c>
      <x:c r="M859" s="146" t="e">
        <x:f>IF($A859="","",[1]!thsiFinD("ths_adjustment_nv_fund",M$3,$A859))</x:f>
        <x:v>#NAME?</x:v>
      </x:c>
      <x:c r="N859" s="146" t="e">
        <x:f>IF($A859="","",[1]!thsiFinD("ths_adjustment_nv_fund",N$3,$A859))</x:f>
        <x:v>#NAME?</x:v>
      </x:c>
      <x:c r="O859" s="146" t="e">
        <x:f>IF($A859="","",[1]!thsiFinD("ths_adjustment_nv_fund",O$3,$A859))</x:f>
        <x:v>#NAME?</x:v>
      </x:c>
      <x:c r="P859" s="146" t="e">
        <x:f>IF($A859="","",[1]!thsiFinD("ths_adjustment_nv_fund",P$3,$A859))</x:f>
        <x:v>#NAME?</x:v>
      </x:c>
      <x:c r="Q859" s="146" t="e">
        <x:f>IF($A859="","",[1]!thsiFinD("ths_adjustment_nv_fund",Q$3,$A859))</x:f>
        <x:v>#NAME?</x:v>
      </x:c>
      <x:c r="R859" s="146" t="e">
        <x:f>IF($A859="","",[1]!thsiFinD("ths_adjustment_nv_fund",R$3,$A859))</x:f>
        <x:v>#NAME?</x:v>
      </x:c>
      <x:c r="S859" s="146" t="e">
        <x:f>IF($A859="","",[1]!thsiFinD("ths_adjustment_nv_fund",S$3,$A859))</x:f>
        <x:v>#NAME?</x:v>
      </x:c>
      <x:c r="T859" s="146" t="e">
        <x:f>IF($A859="","",[1]!thsiFinD("ths_adjustment_nv_fund",T$3,$A859))</x:f>
        <x:v>#NAME?</x:v>
      </x:c>
      <x:c r="U859" s="146" t="e">
        <x:f>IF($A859="","",[1]!thsiFinD("ths_adjustment_nv_fund",U$3,$A859))</x:f>
        <x:v>#NAME?</x:v>
      </x:c>
      <x:c r="V859" s="146" t="e">
        <x:f>IF($A859="","",[1]!thsiFinD("ths_adjustment_nv_fund",V$3,$A859))</x:f>
        <x:v>#NAME?</x:v>
      </x:c>
      <x:c r="W859" s="146" t="e">
        <x:f>IF($A859="","",[1]!thsiFinD("ths_adjustment_nv_fund",W$3,$A859))</x:f>
        <x:v>#NAME?</x:v>
      </x:c>
      <x:c r="X859" s="146" t="e">
        <x:f>IF($A859="","",[1]!thsiFinD("ths_adjustment_nv_fund",X$3,$A859))</x:f>
        <x:v>#NAME?</x:v>
      </x:c>
      <x:c r="Y859" s="146" t="e">
        <x:f>IF($A859="","",[1]!thsiFinD("ths_adjustment_nv_fund",Y$3,$A859))</x:f>
        <x:v>#NAME?</x:v>
      </x:c>
      <x:c r="Z859" s="146" t="e">
        <x:f>IF($A859="","",[1]!thsiFinD("ths_adjustment_nv_fund",Z$3,$A859))</x:f>
        <x:v>#NAME?</x:v>
      </x:c>
      <x:c r="AA859" s="146" t="e">
        <x:f>IF($A859="","",[1]!thsiFinD("ths_adjustment_nv_fund",AA$3,$A859))</x:f>
        <x:v>#NAME?</x:v>
      </x:c>
    </x:row>
    <x:row r="860">
      <x:c r="B860" s="146" t="e">
        <x:f>IF($A860="","",[1]!thsiFinD("ths_adjustment_nv_fund",B$3,$A860))</x:f>
        <x:v>#NAME?</x:v>
      </x:c>
      <x:c r="C860" s="146" t="e">
        <x:f>IF($A860="","",[1]!thsiFinD("ths_adjustment_nv_fund",C$3,$A860))</x:f>
        <x:v>#NAME?</x:v>
      </x:c>
      <x:c r="D860" s="146" t="e">
        <x:f>IF($A860="","",[1]!thsiFinD("ths_adjustment_nv_fund",D$3,$A860))</x:f>
        <x:v>#NAME?</x:v>
      </x:c>
      <x:c r="E860" s="146" t="e">
        <x:f>IF($A860="","",[1]!thsiFinD("ths_adjustment_nv_fund",E$3,$A860))</x:f>
        <x:v>#NAME?</x:v>
      </x:c>
      <x:c r="F860" s="146" t="e">
        <x:f>IF($A860="","",[1]!thsiFinD("ths_adjustment_nv_fund",F$3,$A860))</x:f>
        <x:v>#NAME?</x:v>
      </x:c>
      <x:c r="G860" s="146" t="e">
        <x:f>IF($A860="","",[1]!thsiFinD("ths_adjustment_nv_fund",G$3,$A860))</x:f>
        <x:v>#NAME?</x:v>
      </x:c>
      <x:c r="H860" s="146" t="e">
        <x:f>IF($A860="","",[1]!thsiFinD("ths_adjustment_nv_fund",H$3,$A860))</x:f>
        <x:v>#NAME?</x:v>
      </x:c>
      <x:c r="I860" s="146" t="e">
        <x:f>IF($A860="","",[1]!thsiFinD("ths_adjustment_nv_fund",I$3,$A860))</x:f>
        <x:v>#NAME?</x:v>
      </x:c>
      <x:c r="J860" s="146" t="e">
        <x:f>IF($A860="","",[1]!thsiFinD("ths_adjustment_nv_fund",J$3,$A860))</x:f>
        <x:v>#NAME?</x:v>
      </x:c>
      <x:c r="K860" s="146" t="e">
        <x:f>IF($A860="","",[1]!thsiFinD("ths_adjustment_nv_fund",K$3,$A860))</x:f>
        <x:v>#NAME?</x:v>
      </x:c>
      <x:c r="L860" s="146" t="e">
        <x:f>IF($A860="","",[1]!thsiFinD("ths_adjustment_nv_fund",L$3,$A860))</x:f>
        <x:v>#NAME?</x:v>
      </x:c>
      <x:c r="M860" s="146" t="e">
        <x:f>IF($A860="","",[1]!thsiFinD("ths_adjustment_nv_fund",M$3,$A860))</x:f>
        <x:v>#NAME?</x:v>
      </x:c>
      <x:c r="N860" s="146" t="e">
        <x:f>IF($A860="","",[1]!thsiFinD("ths_adjustment_nv_fund",N$3,$A860))</x:f>
        <x:v>#NAME?</x:v>
      </x:c>
      <x:c r="O860" s="146" t="e">
        <x:f>IF($A860="","",[1]!thsiFinD("ths_adjustment_nv_fund",O$3,$A860))</x:f>
        <x:v>#NAME?</x:v>
      </x:c>
      <x:c r="P860" s="146" t="e">
        <x:f>IF($A860="","",[1]!thsiFinD("ths_adjustment_nv_fund",P$3,$A860))</x:f>
        <x:v>#NAME?</x:v>
      </x:c>
      <x:c r="Q860" s="146" t="e">
        <x:f>IF($A860="","",[1]!thsiFinD("ths_adjustment_nv_fund",Q$3,$A860))</x:f>
        <x:v>#NAME?</x:v>
      </x:c>
      <x:c r="R860" s="146" t="e">
        <x:f>IF($A860="","",[1]!thsiFinD("ths_adjustment_nv_fund",R$3,$A860))</x:f>
        <x:v>#NAME?</x:v>
      </x:c>
      <x:c r="S860" s="146" t="e">
        <x:f>IF($A860="","",[1]!thsiFinD("ths_adjustment_nv_fund",S$3,$A860))</x:f>
        <x:v>#NAME?</x:v>
      </x:c>
      <x:c r="T860" s="146" t="e">
        <x:f>IF($A860="","",[1]!thsiFinD("ths_adjustment_nv_fund",T$3,$A860))</x:f>
        <x:v>#NAME?</x:v>
      </x:c>
      <x:c r="U860" s="146" t="e">
        <x:f>IF($A860="","",[1]!thsiFinD("ths_adjustment_nv_fund",U$3,$A860))</x:f>
        <x:v>#NAME?</x:v>
      </x:c>
      <x:c r="V860" s="146" t="e">
        <x:f>IF($A860="","",[1]!thsiFinD("ths_adjustment_nv_fund",V$3,$A860))</x:f>
        <x:v>#NAME?</x:v>
      </x:c>
      <x:c r="W860" s="146" t="e">
        <x:f>IF($A860="","",[1]!thsiFinD("ths_adjustment_nv_fund",W$3,$A860))</x:f>
        <x:v>#NAME?</x:v>
      </x:c>
      <x:c r="X860" s="146" t="e">
        <x:f>IF($A860="","",[1]!thsiFinD("ths_adjustment_nv_fund",X$3,$A860))</x:f>
        <x:v>#NAME?</x:v>
      </x:c>
      <x:c r="Y860" s="146" t="e">
        <x:f>IF($A860="","",[1]!thsiFinD("ths_adjustment_nv_fund",Y$3,$A860))</x:f>
        <x:v>#NAME?</x:v>
      </x:c>
      <x:c r="Z860" s="146" t="e">
        <x:f>IF($A860="","",[1]!thsiFinD("ths_adjustment_nv_fund",Z$3,$A860))</x:f>
        <x:v>#NAME?</x:v>
      </x:c>
      <x:c r="AA860" s="146" t="e">
        <x:f>IF($A860="","",[1]!thsiFinD("ths_adjustment_nv_fund",AA$3,$A860))</x:f>
        <x:v>#NAME?</x:v>
      </x:c>
    </x:row>
    <x:row r="861">
      <x:c r="B861" s="146" t="e">
        <x:f>IF($A861="","",[1]!thsiFinD("ths_adjustment_nv_fund",B$3,$A861))</x:f>
        <x:v>#NAME?</x:v>
      </x:c>
      <x:c r="C861" s="146" t="e">
        <x:f>IF($A861="","",[1]!thsiFinD("ths_adjustment_nv_fund",C$3,$A861))</x:f>
        <x:v>#NAME?</x:v>
      </x:c>
      <x:c r="D861" s="146" t="e">
        <x:f>IF($A861="","",[1]!thsiFinD("ths_adjustment_nv_fund",D$3,$A861))</x:f>
        <x:v>#NAME?</x:v>
      </x:c>
      <x:c r="E861" s="146" t="e">
        <x:f>IF($A861="","",[1]!thsiFinD("ths_adjustment_nv_fund",E$3,$A861))</x:f>
        <x:v>#NAME?</x:v>
      </x:c>
      <x:c r="F861" s="146" t="e">
        <x:f>IF($A861="","",[1]!thsiFinD("ths_adjustment_nv_fund",F$3,$A861))</x:f>
        <x:v>#NAME?</x:v>
      </x:c>
      <x:c r="G861" s="146" t="e">
        <x:f>IF($A861="","",[1]!thsiFinD("ths_adjustment_nv_fund",G$3,$A861))</x:f>
        <x:v>#NAME?</x:v>
      </x:c>
      <x:c r="H861" s="146" t="e">
        <x:f>IF($A861="","",[1]!thsiFinD("ths_adjustment_nv_fund",H$3,$A861))</x:f>
        <x:v>#NAME?</x:v>
      </x:c>
      <x:c r="I861" s="146" t="e">
        <x:f>IF($A861="","",[1]!thsiFinD("ths_adjustment_nv_fund",I$3,$A861))</x:f>
        <x:v>#NAME?</x:v>
      </x:c>
      <x:c r="J861" s="146" t="e">
        <x:f>IF($A861="","",[1]!thsiFinD("ths_adjustment_nv_fund",J$3,$A861))</x:f>
        <x:v>#NAME?</x:v>
      </x:c>
      <x:c r="K861" s="146" t="e">
        <x:f>IF($A861="","",[1]!thsiFinD("ths_adjustment_nv_fund",K$3,$A861))</x:f>
        <x:v>#NAME?</x:v>
      </x:c>
      <x:c r="L861" s="146" t="e">
        <x:f>IF($A861="","",[1]!thsiFinD("ths_adjustment_nv_fund",L$3,$A861))</x:f>
        <x:v>#NAME?</x:v>
      </x:c>
      <x:c r="M861" s="146" t="e">
        <x:f>IF($A861="","",[1]!thsiFinD("ths_adjustment_nv_fund",M$3,$A861))</x:f>
        <x:v>#NAME?</x:v>
      </x:c>
      <x:c r="N861" s="146" t="e">
        <x:f>IF($A861="","",[1]!thsiFinD("ths_adjustment_nv_fund",N$3,$A861))</x:f>
        <x:v>#NAME?</x:v>
      </x:c>
      <x:c r="O861" s="146" t="e">
        <x:f>IF($A861="","",[1]!thsiFinD("ths_adjustment_nv_fund",O$3,$A861))</x:f>
        <x:v>#NAME?</x:v>
      </x:c>
      <x:c r="P861" s="146" t="e">
        <x:f>IF($A861="","",[1]!thsiFinD("ths_adjustment_nv_fund",P$3,$A861))</x:f>
        <x:v>#NAME?</x:v>
      </x:c>
      <x:c r="Q861" s="146" t="e">
        <x:f>IF($A861="","",[1]!thsiFinD("ths_adjustment_nv_fund",Q$3,$A861))</x:f>
        <x:v>#NAME?</x:v>
      </x:c>
      <x:c r="R861" s="146" t="e">
        <x:f>IF($A861="","",[1]!thsiFinD("ths_adjustment_nv_fund",R$3,$A861))</x:f>
        <x:v>#NAME?</x:v>
      </x:c>
      <x:c r="S861" s="146" t="e">
        <x:f>IF($A861="","",[1]!thsiFinD("ths_adjustment_nv_fund",S$3,$A861))</x:f>
        <x:v>#NAME?</x:v>
      </x:c>
      <x:c r="T861" s="146" t="e">
        <x:f>IF($A861="","",[1]!thsiFinD("ths_adjustment_nv_fund",T$3,$A861))</x:f>
        <x:v>#NAME?</x:v>
      </x:c>
      <x:c r="U861" s="146" t="e">
        <x:f>IF($A861="","",[1]!thsiFinD("ths_adjustment_nv_fund",U$3,$A861))</x:f>
        <x:v>#NAME?</x:v>
      </x:c>
      <x:c r="V861" s="146" t="e">
        <x:f>IF($A861="","",[1]!thsiFinD("ths_adjustment_nv_fund",V$3,$A861))</x:f>
        <x:v>#NAME?</x:v>
      </x:c>
      <x:c r="W861" s="146" t="e">
        <x:f>IF($A861="","",[1]!thsiFinD("ths_adjustment_nv_fund",W$3,$A861))</x:f>
        <x:v>#NAME?</x:v>
      </x:c>
      <x:c r="X861" s="146" t="e">
        <x:f>IF($A861="","",[1]!thsiFinD("ths_adjustment_nv_fund",X$3,$A861))</x:f>
        <x:v>#NAME?</x:v>
      </x:c>
      <x:c r="Y861" s="146" t="e">
        <x:f>IF($A861="","",[1]!thsiFinD("ths_adjustment_nv_fund",Y$3,$A861))</x:f>
        <x:v>#NAME?</x:v>
      </x:c>
      <x:c r="Z861" s="146" t="e">
        <x:f>IF($A861="","",[1]!thsiFinD("ths_adjustment_nv_fund",Z$3,$A861))</x:f>
        <x:v>#NAME?</x:v>
      </x:c>
      <x:c r="AA861" s="146" t="e">
        <x:f>IF($A861="","",[1]!thsiFinD("ths_adjustment_nv_fund",AA$3,$A861))</x:f>
        <x:v>#NAME?</x:v>
      </x:c>
    </x:row>
    <x:row r="862">
      <x:c r="B862" s="146" t="e">
        <x:f>IF($A862="","",[1]!thsiFinD("ths_adjustment_nv_fund",B$3,$A862))</x:f>
        <x:v>#NAME?</x:v>
      </x:c>
      <x:c r="C862" s="146" t="e">
        <x:f>IF($A862="","",[1]!thsiFinD("ths_adjustment_nv_fund",C$3,$A862))</x:f>
        <x:v>#NAME?</x:v>
      </x:c>
      <x:c r="D862" s="146" t="e">
        <x:f>IF($A862="","",[1]!thsiFinD("ths_adjustment_nv_fund",D$3,$A862))</x:f>
        <x:v>#NAME?</x:v>
      </x:c>
      <x:c r="E862" s="146" t="e">
        <x:f>IF($A862="","",[1]!thsiFinD("ths_adjustment_nv_fund",E$3,$A862))</x:f>
        <x:v>#NAME?</x:v>
      </x:c>
      <x:c r="F862" s="146" t="e">
        <x:f>IF($A862="","",[1]!thsiFinD("ths_adjustment_nv_fund",F$3,$A862))</x:f>
        <x:v>#NAME?</x:v>
      </x:c>
      <x:c r="G862" s="146" t="e">
        <x:f>IF($A862="","",[1]!thsiFinD("ths_adjustment_nv_fund",G$3,$A862))</x:f>
        <x:v>#NAME?</x:v>
      </x:c>
      <x:c r="H862" s="146" t="e">
        <x:f>IF($A862="","",[1]!thsiFinD("ths_adjustment_nv_fund",H$3,$A862))</x:f>
        <x:v>#NAME?</x:v>
      </x:c>
      <x:c r="I862" s="146" t="e">
        <x:f>IF($A862="","",[1]!thsiFinD("ths_adjustment_nv_fund",I$3,$A862))</x:f>
        <x:v>#NAME?</x:v>
      </x:c>
      <x:c r="J862" s="146" t="e">
        <x:f>IF($A862="","",[1]!thsiFinD("ths_adjustment_nv_fund",J$3,$A862))</x:f>
        <x:v>#NAME?</x:v>
      </x:c>
      <x:c r="K862" s="146" t="e">
        <x:f>IF($A862="","",[1]!thsiFinD("ths_adjustment_nv_fund",K$3,$A862))</x:f>
        <x:v>#NAME?</x:v>
      </x:c>
      <x:c r="L862" s="146" t="e">
        <x:f>IF($A862="","",[1]!thsiFinD("ths_adjustment_nv_fund",L$3,$A862))</x:f>
        <x:v>#NAME?</x:v>
      </x:c>
      <x:c r="M862" s="146" t="e">
        <x:f>IF($A862="","",[1]!thsiFinD("ths_adjustment_nv_fund",M$3,$A862))</x:f>
        <x:v>#NAME?</x:v>
      </x:c>
      <x:c r="N862" s="146" t="e">
        <x:f>IF($A862="","",[1]!thsiFinD("ths_adjustment_nv_fund",N$3,$A862))</x:f>
        <x:v>#NAME?</x:v>
      </x:c>
      <x:c r="O862" s="146" t="e">
        <x:f>IF($A862="","",[1]!thsiFinD("ths_adjustment_nv_fund",O$3,$A862))</x:f>
        <x:v>#NAME?</x:v>
      </x:c>
      <x:c r="P862" s="146" t="e">
        <x:f>IF($A862="","",[1]!thsiFinD("ths_adjustment_nv_fund",P$3,$A862))</x:f>
        <x:v>#NAME?</x:v>
      </x:c>
      <x:c r="Q862" s="146" t="e">
        <x:f>IF($A862="","",[1]!thsiFinD("ths_adjustment_nv_fund",Q$3,$A862))</x:f>
        <x:v>#NAME?</x:v>
      </x:c>
      <x:c r="R862" s="146" t="e">
        <x:f>IF($A862="","",[1]!thsiFinD("ths_adjustment_nv_fund",R$3,$A862))</x:f>
        <x:v>#NAME?</x:v>
      </x:c>
      <x:c r="S862" s="146" t="e">
        <x:f>IF($A862="","",[1]!thsiFinD("ths_adjustment_nv_fund",S$3,$A862))</x:f>
        <x:v>#NAME?</x:v>
      </x:c>
      <x:c r="T862" s="146" t="e">
        <x:f>IF($A862="","",[1]!thsiFinD("ths_adjustment_nv_fund",T$3,$A862))</x:f>
        <x:v>#NAME?</x:v>
      </x:c>
      <x:c r="U862" s="146" t="e">
        <x:f>IF($A862="","",[1]!thsiFinD("ths_adjustment_nv_fund",U$3,$A862))</x:f>
        <x:v>#NAME?</x:v>
      </x:c>
      <x:c r="V862" s="146" t="e">
        <x:f>IF($A862="","",[1]!thsiFinD("ths_adjustment_nv_fund",V$3,$A862))</x:f>
        <x:v>#NAME?</x:v>
      </x:c>
      <x:c r="W862" s="146" t="e">
        <x:f>IF($A862="","",[1]!thsiFinD("ths_adjustment_nv_fund",W$3,$A862))</x:f>
        <x:v>#NAME?</x:v>
      </x:c>
      <x:c r="X862" s="146" t="e">
        <x:f>IF($A862="","",[1]!thsiFinD("ths_adjustment_nv_fund",X$3,$A862))</x:f>
        <x:v>#NAME?</x:v>
      </x:c>
      <x:c r="Y862" s="146" t="e">
        <x:f>IF($A862="","",[1]!thsiFinD("ths_adjustment_nv_fund",Y$3,$A862))</x:f>
        <x:v>#NAME?</x:v>
      </x:c>
      <x:c r="Z862" s="146" t="e">
        <x:f>IF($A862="","",[1]!thsiFinD("ths_adjustment_nv_fund",Z$3,$A862))</x:f>
        <x:v>#NAME?</x:v>
      </x:c>
      <x:c r="AA862" s="146" t="e">
        <x:f>IF($A862="","",[1]!thsiFinD("ths_adjustment_nv_fund",AA$3,$A862))</x:f>
        <x:v>#NAME?</x:v>
      </x:c>
    </x:row>
    <x:row r="863">
      <x:c r="B863" s="146" t="e">
        <x:f>IF($A863="","",[1]!thsiFinD("ths_adjustment_nv_fund",B$3,$A863))</x:f>
        <x:v>#NAME?</x:v>
      </x:c>
      <x:c r="C863" s="146" t="e">
        <x:f>IF($A863="","",[1]!thsiFinD("ths_adjustment_nv_fund",C$3,$A863))</x:f>
        <x:v>#NAME?</x:v>
      </x:c>
      <x:c r="D863" s="146" t="e">
        <x:f>IF($A863="","",[1]!thsiFinD("ths_adjustment_nv_fund",D$3,$A863))</x:f>
        <x:v>#NAME?</x:v>
      </x:c>
      <x:c r="E863" s="146" t="e">
        <x:f>IF($A863="","",[1]!thsiFinD("ths_adjustment_nv_fund",E$3,$A863))</x:f>
        <x:v>#NAME?</x:v>
      </x:c>
      <x:c r="F863" s="146" t="e">
        <x:f>IF($A863="","",[1]!thsiFinD("ths_adjustment_nv_fund",F$3,$A863))</x:f>
        <x:v>#NAME?</x:v>
      </x:c>
      <x:c r="G863" s="146" t="e">
        <x:f>IF($A863="","",[1]!thsiFinD("ths_adjustment_nv_fund",G$3,$A863))</x:f>
        <x:v>#NAME?</x:v>
      </x:c>
      <x:c r="H863" s="146" t="e">
        <x:f>IF($A863="","",[1]!thsiFinD("ths_adjustment_nv_fund",H$3,$A863))</x:f>
        <x:v>#NAME?</x:v>
      </x:c>
      <x:c r="I863" s="146" t="e">
        <x:f>IF($A863="","",[1]!thsiFinD("ths_adjustment_nv_fund",I$3,$A863))</x:f>
        <x:v>#NAME?</x:v>
      </x:c>
      <x:c r="J863" s="146" t="e">
        <x:f>IF($A863="","",[1]!thsiFinD("ths_adjustment_nv_fund",J$3,$A863))</x:f>
        <x:v>#NAME?</x:v>
      </x:c>
      <x:c r="K863" s="146" t="e">
        <x:f>IF($A863="","",[1]!thsiFinD("ths_adjustment_nv_fund",K$3,$A863))</x:f>
        <x:v>#NAME?</x:v>
      </x:c>
      <x:c r="L863" s="146" t="e">
        <x:f>IF($A863="","",[1]!thsiFinD("ths_adjustment_nv_fund",L$3,$A863))</x:f>
        <x:v>#NAME?</x:v>
      </x:c>
      <x:c r="M863" s="146" t="e">
        <x:f>IF($A863="","",[1]!thsiFinD("ths_adjustment_nv_fund",M$3,$A863))</x:f>
        <x:v>#NAME?</x:v>
      </x:c>
      <x:c r="N863" s="146" t="e">
        <x:f>IF($A863="","",[1]!thsiFinD("ths_adjustment_nv_fund",N$3,$A863))</x:f>
        <x:v>#NAME?</x:v>
      </x:c>
      <x:c r="O863" s="146" t="e">
        <x:f>IF($A863="","",[1]!thsiFinD("ths_adjustment_nv_fund",O$3,$A863))</x:f>
        <x:v>#NAME?</x:v>
      </x:c>
      <x:c r="P863" s="146" t="e">
        <x:f>IF($A863="","",[1]!thsiFinD("ths_adjustment_nv_fund",P$3,$A863))</x:f>
        <x:v>#NAME?</x:v>
      </x:c>
      <x:c r="Q863" s="146" t="e">
        <x:f>IF($A863="","",[1]!thsiFinD("ths_adjustment_nv_fund",Q$3,$A863))</x:f>
        <x:v>#NAME?</x:v>
      </x:c>
      <x:c r="R863" s="146" t="e">
        <x:f>IF($A863="","",[1]!thsiFinD("ths_adjustment_nv_fund",R$3,$A863))</x:f>
        <x:v>#NAME?</x:v>
      </x:c>
      <x:c r="S863" s="146" t="e">
        <x:f>IF($A863="","",[1]!thsiFinD("ths_adjustment_nv_fund",S$3,$A863))</x:f>
        <x:v>#NAME?</x:v>
      </x:c>
      <x:c r="T863" s="146" t="e">
        <x:f>IF($A863="","",[1]!thsiFinD("ths_adjustment_nv_fund",T$3,$A863))</x:f>
        <x:v>#NAME?</x:v>
      </x:c>
      <x:c r="U863" s="146" t="e">
        <x:f>IF($A863="","",[1]!thsiFinD("ths_adjustment_nv_fund",U$3,$A863))</x:f>
        <x:v>#NAME?</x:v>
      </x:c>
      <x:c r="V863" s="146" t="e">
        <x:f>IF($A863="","",[1]!thsiFinD("ths_adjustment_nv_fund",V$3,$A863))</x:f>
        <x:v>#NAME?</x:v>
      </x:c>
      <x:c r="W863" s="146" t="e">
        <x:f>IF($A863="","",[1]!thsiFinD("ths_adjustment_nv_fund",W$3,$A863))</x:f>
        <x:v>#NAME?</x:v>
      </x:c>
      <x:c r="X863" s="146" t="e">
        <x:f>IF($A863="","",[1]!thsiFinD("ths_adjustment_nv_fund",X$3,$A863))</x:f>
        <x:v>#NAME?</x:v>
      </x:c>
      <x:c r="Y863" s="146" t="e">
        <x:f>IF($A863="","",[1]!thsiFinD("ths_adjustment_nv_fund",Y$3,$A863))</x:f>
        <x:v>#NAME?</x:v>
      </x:c>
      <x:c r="Z863" s="146" t="e">
        <x:f>IF($A863="","",[1]!thsiFinD("ths_adjustment_nv_fund",Z$3,$A863))</x:f>
        <x:v>#NAME?</x:v>
      </x:c>
      <x:c r="AA863" s="146" t="e">
        <x:f>IF($A863="","",[1]!thsiFinD("ths_adjustment_nv_fund",AA$3,$A863))</x:f>
        <x:v>#NAME?</x:v>
      </x:c>
    </x:row>
    <x:row r="864">
      <x:c r="B864" s="146" t="e">
        <x:f>IF($A864="","",[1]!thsiFinD("ths_adjustment_nv_fund",B$3,$A864))</x:f>
        <x:v>#NAME?</x:v>
      </x:c>
      <x:c r="C864" s="146" t="e">
        <x:f>IF($A864="","",[1]!thsiFinD("ths_adjustment_nv_fund",C$3,$A864))</x:f>
        <x:v>#NAME?</x:v>
      </x:c>
      <x:c r="D864" s="146" t="e">
        <x:f>IF($A864="","",[1]!thsiFinD("ths_adjustment_nv_fund",D$3,$A864))</x:f>
        <x:v>#NAME?</x:v>
      </x:c>
      <x:c r="E864" s="146" t="e">
        <x:f>IF($A864="","",[1]!thsiFinD("ths_adjustment_nv_fund",E$3,$A864))</x:f>
        <x:v>#NAME?</x:v>
      </x:c>
      <x:c r="F864" s="146" t="e">
        <x:f>IF($A864="","",[1]!thsiFinD("ths_adjustment_nv_fund",F$3,$A864))</x:f>
        <x:v>#NAME?</x:v>
      </x:c>
      <x:c r="G864" s="146" t="e">
        <x:f>IF($A864="","",[1]!thsiFinD("ths_adjustment_nv_fund",G$3,$A864))</x:f>
        <x:v>#NAME?</x:v>
      </x:c>
      <x:c r="H864" s="146" t="e">
        <x:f>IF($A864="","",[1]!thsiFinD("ths_adjustment_nv_fund",H$3,$A864))</x:f>
        <x:v>#NAME?</x:v>
      </x:c>
      <x:c r="I864" s="146" t="e">
        <x:f>IF($A864="","",[1]!thsiFinD("ths_adjustment_nv_fund",I$3,$A864))</x:f>
        <x:v>#NAME?</x:v>
      </x:c>
      <x:c r="J864" s="146" t="e">
        <x:f>IF($A864="","",[1]!thsiFinD("ths_adjustment_nv_fund",J$3,$A864))</x:f>
        <x:v>#NAME?</x:v>
      </x:c>
      <x:c r="K864" s="146" t="e">
        <x:f>IF($A864="","",[1]!thsiFinD("ths_adjustment_nv_fund",K$3,$A864))</x:f>
        <x:v>#NAME?</x:v>
      </x:c>
      <x:c r="L864" s="146" t="e">
        <x:f>IF($A864="","",[1]!thsiFinD("ths_adjustment_nv_fund",L$3,$A864))</x:f>
        <x:v>#NAME?</x:v>
      </x:c>
      <x:c r="M864" s="146" t="e">
        <x:f>IF($A864="","",[1]!thsiFinD("ths_adjustment_nv_fund",M$3,$A864))</x:f>
        <x:v>#NAME?</x:v>
      </x:c>
      <x:c r="N864" s="146" t="e">
        <x:f>IF($A864="","",[1]!thsiFinD("ths_adjustment_nv_fund",N$3,$A864))</x:f>
        <x:v>#NAME?</x:v>
      </x:c>
      <x:c r="O864" s="146" t="e">
        <x:f>IF($A864="","",[1]!thsiFinD("ths_adjustment_nv_fund",O$3,$A864))</x:f>
        <x:v>#NAME?</x:v>
      </x:c>
      <x:c r="P864" s="146" t="e">
        <x:f>IF($A864="","",[1]!thsiFinD("ths_adjustment_nv_fund",P$3,$A864))</x:f>
        <x:v>#NAME?</x:v>
      </x:c>
      <x:c r="Q864" s="146" t="e">
        <x:f>IF($A864="","",[1]!thsiFinD("ths_adjustment_nv_fund",Q$3,$A864))</x:f>
        <x:v>#NAME?</x:v>
      </x:c>
      <x:c r="R864" s="146" t="e">
        <x:f>IF($A864="","",[1]!thsiFinD("ths_adjustment_nv_fund",R$3,$A864))</x:f>
        <x:v>#NAME?</x:v>
      </x:c>
      <x:c r="S864" s="146" t="e">
        <x:f>IF($A864="","",[1]!thsiFinD("ths_adjustment_nv_fund",S$3,$A864))</x:f>
        <x:v>#NAME?</x:v>
      </x:c>
      <x:c r="T864" s="146" t="e">
        <x:f>IF($A864="","",[1]!thsiFinD("ths_adjustment_nv_fund",T$3,$A864))</x:f>
        <x:v>#NAME?</x:v>
      </x:c>
      <x:c r="U864" s="146" t="e">
        <x:f>IF($A864="","",[1]!thsiFinD("ths_adjustment_nv_fund",U$3,$A864))</x:f>
        <x:v>#NAME?</x:v>
      </x:c>
      <x:c r="V864" s="146" t="e">
        <x:f>IF($A864="","",[1]!thsiFinD("ths_adjustment_nv_fund",V$3,$A864))</x:f>
        <x:v>#NAME?</x:v>
      </x:c>
      <x:c r="W864" s="146" t="e">
        <x:f>IF($A864="","",[1]!thsiFinD("ths_adjustment_nv_fund",W$3,$A864))</x:f>
        <x:v>#NAME?</x:v>
      </x:c>
      <x:c r="X864" s="146" t="e">
        <x:f>IF($A864="","",[1]!thsiFinD("ths_adjustment_nv_fund",X$3,$A864))</x:f>
        <x:v>#NAME?</x:v>
      </x:c>
      <x:c r="Y864" s="146" t="e">
        <x:f>IF($A864="","",[1]!thsiFinD("ths_adjustment_nv_fund",Y$3,$A864))</x:f>
        <x:v>#NAME?</x:v>
      </x:c>
      <x:c r="Z864" s="146" t="e">
        <x:f>IF($A864="","",[1]!thsiFinD("ths_adjustment_nv_fund",Z$3,$A864))</x:f>
        <x:v>#NAME?</x:v>
      </x:c>
      <x:c r="AA864" s="146" t="e">
        <x:f>IF($A864="","",[1]!thsiFinD("ths_adjustment_nv_fund",AA$3,$A864))</x:f>
        <x:v>#NAME?</x:v>
      </x:c>
    </x:row>
    <x:row r="865">
      <x:c r="B865" s="146" t="e">
        <x:f>IF($A865="","",[1]!thsiFinD("ths_adjustment_nv_fund",B$3,$A865))</x:f>
        <x:v>#NAME?</x:v>
      </x:c>
      <x:c r="C865" s="146" t="e">
        <x:f>IF($A865="","",[1]!thsiFinD("ths_adjustment_nv_fund",C$3,$A865))</x:f>
        <x:v>#NAME?</x:v>
      </x:c>
      <x:c r="D865" s="146" t="e">
        <x:f>IF($A865="","",[1]!thsiFinD("ths_adjustment_nv_fund",D$3,$A865))</x:f>
        <x:v>#NAME?</x:v>
      </x:c>
      <x:c r="E865" s="146" t="e">
        <x:f>IF($A865="","",[1]!thsiFinD("ths_adjustment_nv_fund",E$3,$A865))</x:f>
        <x:v>#NAME?</x:v>
      </x:c>
      <x:c r="F865" s="146" t="e">
        <x:f>IF($A865="","",[1]!thsiFinD("ths_adjustment_nv_fund",F$3,$A865))</x:f>
        <x:v>#NAME?</x:v>
      </x:c>
      <x:c r="G865" s="146" t="e">
        <x:f>IF($A865="","",[1]!thsiFinD("ths_adjustment_nv_fund",G$3,$A865))</x:f>
        <x:v>#NAME?</x:v>
      </x:c>
      <x:c r="H865" s="146" t="e">
        <x:f>IF($A865="","",[1]!thsiFinD("ths_adjustment_nv_fund",H$3,$A865))</x:f>
        <x:v>#NAME?</x:v>
      </x:c>
      <x:c r="I865" s="146" t="e">
        <x:f>IF($A865="","",[1]!thsiFinD("ths_adjustment_nv_fund",I$3,$A865))</x:f>
        <x:v>#NAME?</x:v>
      </x:c>
      <x:c r="J865" s="146" t="e">
        <x:f>IF($A865="","",[1]!thsiFinD("ths_adjustment_nv_fund",J$3,$A865))</x:f>
        <x:v>#NAME?</x:v>
      </x:c>
      <x:c r="K865" s="146" t="e">
        <x:f>IF($A865="","",[1]!thsiFinD("ths_adjustment_nv_fund",K$3,$A865))</x:f>
        <x:v>#NAME?</x:v>
      </x:c>
      <x:c r="L865" s="146" t="e">
        <x:f>IF($A865="","",[1]!thsiFinD("ths_adjustment_nv_fund",L$3,$A865))</x:f>
        <x:v>#NAME?</x:v>
      </x:c>
      <x:c r="M865" s="146" t="e">
        <x:f>IF($A865="","",[1]!thsiFinD("ths_adjustment_nv_fund",M$3,$A865))</x:f>
        <x:v>#NAME?</x:v>
      </x:c>
      <x:c r="N865" s="146" t="e">
        <x:f>IF($A865="","",[1]!thsiFinD("ths_adjustment_nv_fund",N$3,$A865))</x:f>
        <x:v>#NAME?</x:v>
      </x:c>
      <x:c r="O865" s="146" t="e">
        <x:f>IF($A865="","",[1]!thsiFinD("ths_adjustment_nv_fund",O$3,$A865))</x:f>
        <x:v>#NAME?</x:v>
      </x:c>
      <x:c r="P865" s="146" t="e">
        <x:f>IF($A865="","",[1]!thsiFinD("ths_adjustment_nv_fund",P$3,$A865))</x:f>
        <x:v>#NAME?</x:v>
      </x:c>
      <x:c r="Q865" s="146" t="e">
        <x:f>IF($A865="","",[1]!thsiFinD("ths_adjustment_nv_fund",Q$3,$A865))</x:f>
        <x:v>#NAME?</x:v>
      </x:c>
      <x:c r="R865" s="146" t="e">
        <x:f>IF($A865="","",[1]!thsiFinD("ths_adjustment_nv_fund",R$3,$A865))</x:f>
        <x:v>#NAME?</x:v>
      </x:c>
      <x:c r="S865" s="146" t="e">
        <x:f>IF($A865="","",[1]!thsiFinD("ths_adjustment_nv_fund",S$3,$A865))</x:f>
        <x:v>#NAME?</x:v>
      </x:c>
      <x:c r="T865" s="146" t="e">
        <x:f>IF($A865="","",[1]!thsiFinD("ths_adjustment_nv_fund",T$3,$A865))</x:f>
        <x:v>#NAME?</x:v>
      </x:c>
      <x:c r="U865" s="146" t="e">
        <x:f>IF($A865="","",[1]!thsiFinD("ths_adjustment_nv_fund",U$3,$A865))</x:f>
        <x:v>#NAME?</x:v>
      </x:c>
      <x:c r="V865" s="146" t="e">
        <x:f>IF($A865="","",[1]!thsiFinD("ths_adjustment_nv_fund",V$3,$A865))</x:f>
        <x:v>#NAME?</x:v>
      </x:c>
      <x:c r="W865" s="146" t="e">
        <x:f>IF($A865="","",[1]!thsiFinD("ths_adjustment_nv_fund",W$3,$A865))</x:f>
        <x:v>#NAME?</x:v>
      </x:c>
      <x:c r="X865" s="146" t="e">
        <x:f>IF($A865="","",[1]!thsiFinD("ths_adjustment_nv_fund",X$3,$A865))</x:f>
        <x:v>#NAME?</x:v>
      </x:c>
      <x:c r="Y865" s="146" t="e">
        <x:f>IF($A865="","",[1]!thsiFinD("ths_adjustment_nv_fund",Y$3,$A865))</x:f>
        <x:v>#NAME?</x:v>
      </x:c>
      <x:c r="Z865" s="146" t="e">
        <x:f>IF($A865="","",[1]!thsiFinD("ths_adjustment_nv_fund",Z$3,$A865))</x:f>
        <x:v>#NAME?</x:v>
      </x:c>
      <x:c r="AA865" s="146" t="e">
        <x:f>IF($A865="","",[1]!thsiFinD("ths_adjustment_nv_fund",AA$3,$A865))</x:f>
        <x:v>#NAME?</x:v>
      </x:c>
    </x:row>
    <x:row r="866">
      <x:c r="B866" s="146" t="e">
        <x:f>IF($A866="","",[1]!thsiFinD("ths_adjustment_nv_fund",B$3,$A866))</x:f>
        <x:v>#NAME?</x:v>
      </x:c>
      <x:c r="C866" s="146" t="e">
        <x:f>IF($A866="","",[1]!thsiFinD("ths_adjustment_nv_fund",C$3,$A866))</x:f>
        <x:v>#NAME?</x:v>
      </x:c>
      <x:c r="D866" s="146" t="e">
        <x:f>IF($A866="","",[1]!thsiFinD("ths_adjustment_nv_fund",D$3,$A866))</x:f>
        <x:v>#NAME?</x:v>
      </x:c>
      <x:c r="E866" s="146" t="e">
        <x:f>IF($A866="","",[1]!thsiFinD("ths_adjustment_nv_fund",E$3,$A866))</x:f>
        <x:v>#NAME?</x:v>
      </x:c>
      <x:c r="F866" s="146" t="e">
        <x:f>IF($A866="","",[1]!thsiFinD("ths_adjustment_nv_fund",F$3,$A866))</x:f>
        <x:v>#NAME?</x:v>
      </x:c>
      <x:c r="G866" s="146" t="e">
        <x:f>IF($A866="","",[1]!thsiFinD("ths_adjustment_nv_fund",G$3,$A866))</x:f>
        <x:v>#NAME?</x:v>
      </x:c>
      <x:c r="H866" s="146" t="e">
        <x:f>IF($A866="","",[1]!thsiFinD("ths_adjustment_nv_fund",H$3,$A866))</x:f>
        <x:v>#NAME?</x:v>
      </x:c>
      <x:c r="I866" s="146" t="e">
        <x:f>IF($A866="","",[1]!thsiFinD("ths_adjustment_nv_fund",I$3,$A866))</x:f>
        <x:v>#NAME?</x:v>
      </x:c>
      <x:c r="J866" s="146" t="e">
        <x:f>IF($A866="","",[1]!thsiFinD("ths_adjustment_nv_fund",J$3,$A866))</x:f>
        <x:v>#NAME?</x:v>
      </x:c>
      <x:c r="K866" s="146" t="e">
        <x:f>IF($A866="","",[1]!thsiFinD("ths_adjustment_nv_fund",K$3,$A866))</x:f>
        <x:v>#NAME?</x:v>
      </x:c>
      <x:c r="L866" s="146" t="e">
        <x:f>IF($A866="","",[1]!thsiFinD("ths_adjustment_nv_fund",L$3,$A866))</x:f>
        <x:v>#NAME?</x:v>
      </x:c>
      <x:c r="M866" s="146" t="e">
        <x:f>IF($A866="","",[1]!thsiFinD("ths_adjustment_nv_fund",M$3,$A866))</x:f>
        <x:v>#NAME?</x:v>
      </x:c>
      <x:c r="N866" s="146" t="e">
        <x:f>IF($A866="","",[1]!thsiFinD("ths_adjustment_nv_fund",N$3,$A866))</x:f>
        <x:v>#NAME?</x:v>
      </x:c>
      <x:c r="O866" s="146" t="e">
        <x:f>IF($A866="","",[1]!thsiFinD("ths_adjustment_nv_fund",O$3,$A866))</x:f>
        <x:v>#NAME?</x:v>
      </x:c>
      <x:c r="P866" s="146" t="e">
        <x:f>IF($A866="","",[1]!thsiFinD("ths_adjustment_nv_fund",P$3,$A866))</x:f>
        <x:v>#NAME?</x:v>
      </x:c>
      <x:c r="Q866" s="146" t="e">
        <x:f>IF($A866="","",[1]!thsiFinD("ths_adjustment_nv_fund",Q$3,$A866))</x:f>
        <x:v>#NAME?</x:v>
      </x:c>
      <x:c r="R866" s="146" t="e">
        <x:f>IF($A866="","",[1]!thsiFinD("ths_adjustment_nv_fund",R$3,$A866))</x:f>
        <x:v>#NAME?</x:v>
      </x:c>
      <x:c r="S866" s="146" t="e">
        <x:f>IF($A866="","",[1]!thsiFinD("ths_adjustment_nv_fund",S$3,$A866))</x:f>
        <x:v>#NAME?</x:v>
      </x:c>
      <x:c r="T866" s="146" t="e">
        <x:f>IF($A866="","",[1]!thsiFinD("ths_adjustment_nv_fund",T$3,$A866))</x:f>
        <x:v>#NAME?</x:v>
      </x:c>
      <x:c r="U866" s="146" t="e">
        <x:f>IF($A866="","",[1]!thsiFinD("ths_adjustment_nv_fund",U$3,$A866))</x:f>
        <x:v>#NAME?</x:v>
      </x:c>
      <x:c r="V866" s="146" t="e">
        <x:f>IF($A866="","",[1]!thsiFinD("ths_adjustment_nv_fund",V$3,$A866))</x:f>
        <x:v>#NAME?</x:v>
      </x:c>
      <x:c r="W866" s="146" t="e">
        <x:f>IF($A866="","",[1]!thsiFinD("ths_adjustment_nv_fund",W$3,$A866))</x:f>
        <x:v>#NAME?</x:v>
      </x:c>
      <x:c r="X866" s="146" t="e">
        <x:f>IF($A866="","",[1]!thsiFinD("ths_adjustment_nv_fund",X$3,$A866))</x:f>
        <x:v>#NAME?</x:v>
      </x:c>
      <x:c r="Y866" s="146" t="e">
        <x:f>IF($A866="","",[1]!thsiFinD("ths_adjustment_nv_fund",Y$3,$A866))</x:f>
        <x:v>#NAME?</x:v>
      </x:c>
      <x:c r="Z866" s="146" t="e">
        <x:f>IF($A866="","",[1]!thsiFinD("ths_adjustment_nv_fund",Z$3,$A866))</x:f>
        <x:v>#NAME?</x:v>
      </x:c>
      <x:c r="AA866" s="146" t="e">
        <x:f>IF($A866="","",[1]!thsiFinD("ths_adjustment_nv_fund",AA$3,$A866))</x:f>
        <x:v>#NAME?</x:v>
      </x:c>
    </x:row>
    <x:row r="867">
      <x:c r="B867" s="146" t="e">
        <x:f>IF($A867="","",[1]!thsiFinD("ths_adjustment_nv_fund",B$3,$A867))</x:f>
        <x:v>#NAME?</x:v>
      </x:c>
      <x:c r="C867" s="146" t="e">
        <x:f>IF($A867="","",[1]!thsiFinD("ths_adjustment_nv_fund",C$3,$A867))</x:f>
        <x:v>#NAME?</x:v>
      </x:c>
      <x:c r="D867" s="146" t="e">
        <x:f>IF($A867="","",[1]!thsiFinD("ths_adjustment_nv_fund",D$3,$A867))</x:f>
        <x:v>#NAME?</x:v>
      </x:c>
      <x:c r="E867" s="146" t="e">
        <x:f>IF($A867="","",[1]!thsiFinD("ths_adjustment_nv_fund",E$3,$A867))</x:f>
        <x:v>#NAME?</x:v>
      </x:c>
      <x:c r="F867" s="146" t="e">
        <x:f>IF($A867="","",[1]!thsiFinD("ths_adjustment_nv_fund",F$3,$A867))</x:f>
        <x:v>#NAME?</x:v>
      </x:c>
      <x:c r="G867" s="146" t="e">
        <x:f>IF($A867="","",[1]!thsiFinD("ths_adjustment_nv_fund",G$3,$A867))</x:f>
        <x:v>#NAME?</x:v>
      </x:c>
      <x:c r="H867" s="146" t="e">
        <x:f>IF($A867="","",[1]!thsiFinD("ths_adjustment_nv_fund",H$3,$A867))</x:f>
        <x:v>#NAME?</x:v>
      </x:c>
      <x:c r="I867" s="146" t="e">
        <x:f>IF($A867="","",[1]!thsiFinD("ths_adjustment_nv_fund",I$3,$A867))</x:f>
        <x:v>#NAME?</x:v>
      </x:c>
      <x:c r="J867" s="146" t="e">
        <x:f>IF($A867="","",[1]!thsiFinD("ths_adjustment_nv_fund",J$3,$A867))</x:f>
        <x:v>#NAME?</x:v>
      </x:c>
      <x:c r="K867" s="146" t="e">
        <x:f>IF($A867="","",[1]!thsiFinD("ths_adjustment_nv_fund",K$3,$A867))</x:f>
        <x:v>#NAME?</x:v>
      </x:c>
      <x:c r="L867" s="146" t="e">
        <x:f>IF($A867="","",[1]!thsiFinD("ths_adjustment_nv_fund",L$3,$A867))</x:f>
        <x:v>#NAME?</x:v>
      </x:c>
      <x:c r="M867" s="146" t="e">
        <x:f>IF($A867="","",[1]!thsiFinD("ths_adjustment_nv_fund",M$3,$A867))</x:f>
        <x:v>#NAME?</x:v>
      </x:c>
      <x:c r="N867" s="146" t="e">
        <x:f>IF($A867="","",[1]!thsiFinD("ths_adjustment_nv_fund",N$3,$A867))</x:f>
        <x:v>#NAME?</x:v>
      </x:c>
      <x:c r="O867" s="146" t="e">
        <x:f>IF($A867="","",[1]!thsiFinD("ths_adjustment_nv_fund",O$3,$A867))</x:f>
        <x:v>#NAME?</x:v>
      </x:c>
      <x:c r="P867" s="146" t="e">
        <x:f>IF($A867="","",[1]!thsiFinD("ths_adjustment_nv_fund",P$3,$A867))</x:f>
        <x:v>#NAME?</x:v>
      </x:c>
      <x:c r="Q867" s="146" t="e">
        <x:f>IF($A867="","",[1]!thsiFinD("ths_adjustment_nv_fund",Q$3,$A867))</x:f>
        <x:v>#NAME?</x:v>
      </x:c>
      <x:c r="R867" s="146" t="e">
        <x:f>IF($A867="","",[1]!thsiFinD("ths_adjustment_nv_fund",R$3,$A867))</x:f>
        <x:v>#NAME?</x:v>
      </x:c>
      <x:c r="S867" s="146" t="e">
        <x:f>IF($A867="","",[1]!thsiFinD("ths_adjustment_nv_fund",S$3,$A867))</x:f>
        <x:v>#NAME?</x:v>
      </x:c>
      <x:c r="T867" s="146" t="e">
        <x:f>IF($A867="","",[1]!thsiFinD("ths_adjustment_nv_fund",T$3,$A867))</x:f>
        <x:v>#NAME?</x:v>
      </x:c>
      <x:c r="U867" s="146" t="e">
        <x:f>IF($A867="","",[1]!thsiFinD("ths_adjustment_nv_fund",U$3,$A867))</x:f>
        <x:v>#NAME?</x:v>
      </x:c>
      <x:c r="V867" s="146" t="e">
        <x:f>IF($A867="","",[1]!thsiFinD("ths_adjustment_nv_fund",V$3,$A867))</x:f>
        <x:v>#NAME?</x:v>
      </x:c>
      <x:c r="W867" s="146" t="e">
        <x:f>IF($A867="","",[1]!thsiFinD("ths_adjustment_nv_fund",W$3,$A867))</x:f>
        <x:v>#NAME?</x:v>
      </x:c>
      <x:c r="X867" s="146" t="e">
        <x:f>IF($A867="","",[1]!thsiFinD("ths_adjustment_nv_fund",X$3,$A867))</x:f>
        <x:v>#NAME?</x:v>
      </x:c>
      <x:c r="Y867" s="146" t="e">
        <x:f>IF($A867="","",[1]!thsiFinD("ths_adjustment_nv_fund",Y$3,$A867))</x:f>
        <x:v>#NAME?</x:v>
      </x:c>
      <x:c r="Z867" s="146" t="e">
        <x:f>IF($A867="","",[1]!thsiFinD("ths_adjustment_nv_fund",Z$3,$A867))</x:f>
        <x:v>#NAME?</x:v>
      </x:c>
      <x:c r="AA867" s="146" t="e">
        <x:f>IF($A867="","",[1]!thsiFinD("ths_adjustment_nv_fund",AA$3,$A867))</x:f>
        <x:v>#NAME?</x:v>
      </x:c>
    </x:row>
    <x:row r="868">
      <x:c r="B868" s="146" t="e">
        <x:f>IF($A868="","",[1]!thsiFinD("ths_adjustment_nv_fund",B$3,$A868))</x:f>
        <x:v>#NAME?</x:v>
      </x:c>
      <x:c r="C868" s="146" t="e">
        <x:f>IF($A868="","",[1]!thsiFinD("ths_adjustment_nv_fund",C$3,$A868))</x:f>
        <x:v>#NAME?</x:v>
      </x:c>
      <x:c r="D868" s="146" t="e">
        <x:f>IF($A868="","",[1]!thsiFinD("ths_adjustment_nv_fund",D$3,$A868))</x:f>
        <x:v>#NAME?</x:v>
      </x:c>
      <x:c r="E868" s="146" t="e">
        <x:f>IF($A868="","",[1]!thsiFinD("ths_adjustment_nv_fund",E$3,$A868))</x:f>
        <x:v>#NAME?</x:v>
      </x:c>
      <x:c r="F868" s="146" t="e">
        <x:f>IF($A868="","",[1]!thsiFinD("ths_adjustment_nv_fund",F$3,$A868))</x:f>
        <x:v>#NAME?</x:v>
      </x:c>
      <x:c r="G868" s="146" t="e">
        <x:f>IF($A868="","",[1]!thsiFinD("ths_adjustment_nv_fund",G$3,$A868))</x:f>
        <x:v>#NAME?</x:v>
      </x:c>
      <x:c r="H868" s="146" t="e">
        <x:f>IF($A868="","",[1]!thsiFinD("ths_adjustment_nv_fund",H$3,$A868))</x:f>
        <x:v>#NAME?</x:v>
      </x:c>
      <x:c r="I868" s="146" t="e">
        <x:f>IF($A868="","",[1]!thsiFinD("ths_adjustment_nv_fund",I$3,$A868))</x:f>
        <x:v>#NAME?</x:v>
      </x:c>
      <x:c r="J868" s="146" t="e">
        <x:f>IF($A868="","",[1]!thsiFinD("ths_adjustment_nv_fund",J$3,$A868))</x:f>
        <x:v>#NAME?</x:v>
      </x:c>
      <x:c r="K868" s="146" t="e">
        <x:f>IF($A868="","",[1]!thsiFinD("ths_adjustment_nv_fund",K$3,$A868))</x:f>
        <x:v>#NAME?</x:v>
      </x:c>
      <x:c r="L868" s="146" t="e">
        <x:f>IF($A868="","",[1]!thsiFinD("ths_adjustment_nv_fund",L$3,$A868))</x:f>
        <x:v>#NAME?</x:v>
      </x:c>
      <x:c r="M868" s="146" t="e">
        <x:f>IF($A868="","",[1]!thsiFinD("ths_adjustment_nv_fund",M$3,$A868))</x:f>
        <x:v>#NAME?</x:v>
      </x:c>
      <x:c r="N868" s="146" t="e">
        <x:f>IF($A868="","",[1]!thsiFinD("ths_adjustment_nv_fund",N$3,$A868))</x:f>
        <x:v>#NAME?</x:v>
      </x:c>
      <x:c r="O868" s="146" t="e">
        <x:f>IF($A868="","",[1]!thsiFinD("ths_adjustment_nv_fund",O$3,$A868))</x:f>
        <x:v>#NAME?</x:v>
      </x:c>
      <x:c r="P868" s="146" t="e">
        <x:f>IF($A868="","",[1]!thsiFinD("ths_adjustment_nv_fund",P$3,$A868))</x:f>
        <x:v>#NAME?</x:v>
      </x:c>
      <x:c r="Q868" s="146" t="e">
        <x:f>IF($A868="","",[1]!thsiFinD("ths_adjustment_nv_fund",Q$3,$A868))</x:f>
        <x:v>#NAME?</x:v>
      </x:c>
      <x:c r="R868" s="146" t="e">
        <x:f>IF($A868="","",[1]!thsiFinD("ths_adjustment_nv_fund",R$3,$A868))</x:f>
        <x:v>#NAME?</x:v>
      </x:c>
      <x:c r="S868" s="146" t="e">
        <x:f>IF($A868="","",[1]!thsiFinD("ths_adjustment_nv_fund",S$3,$A868))</x:f>
        <x:v>#NAME?</x:v>
      </x:c>
      <x:c r="T868" s="146" t="e">
        <x:f>IF($A868="","",[1]!thsiFinD("ths_adjustment_nv_fund",T$3,$A868))</x:f>
        <x:v>#NAME?</x:v>
      </x:c>
      <x:c r="U868" s="146" t="e">
        <x:f>IF($A868="","",[1]!thsiFinD("ths_adjustment_nv_fund",U$3,$A868))</x:f>
        <x:v>#NAME?</x:v>
      </x:c>
      <x:c r="V868" s="146" t="e">
        <x:f>IF($A868="","",[1]!thsiFinD("ths_adjustment_nv_fund",V$3,$A868))</x:f>
        <x:v>#NAME?</x:v>
      </x:c>
      <x:c r="W868" s="146" t="e">
        <x:f>IF($A868="","",[1]!thsiFinD("ths_adjustment_nv_fund",W$3,$A868))</x:f>
        <x:v>#NAME?</x:v>
      </x:c>
      <x:c r="X868" s="146" t="e">
        <x:f>IF($A868="","",[1]!thsiFinD("ths_adjustment_nv_fund",X$3,$A868))</x:f>
        <x:v>#NAME?</x:v>
      </x:c>
      <x:c r="Y868" s="146" t="e">
        <x:f>IF($A868="","",[1]!thsiFinD("ths_adjustment_nv_fund",Y$3,$A868))</x:f>
        <x:v>#NAME?</x:v>
      </x:c>
      <x:c r="Z868" s="146" t="e">
        <x:f>IF($A868="","",[1]!thsiFinD("ths_adjustment_nv_fund",Z$3,$A868))</x:f>
        <x:v>#NAME?</x:v>
      </x:c>
      <x:c r="AA868" s="146" t="e">
        <x:f>IF($A868="","",[1]!thsiFinD("ths_adjustment_nv_fund",AA$3,$A868))</x:f>
        <x:v>#NAME?</x:v>
      </x:c>
    </x:row>
    <x:row r="869">
      <x:c r="B869" s="146" t="e">
        <x:f>IF($A869="","",[1]!thsiFinD("ths_adjustment_nv_fund",B$3,$A869))</x:f>
        <x:v>#NAME?</x:v>
      </x:c>
      <x:c r="C869" s="146" t="e">
        <x:f>IF($A869="","",[1]!thsiFinD("ths_adjustment_nv_fund",C$3,$A869))</x:f>
        <x:v>#NAME?</x:v>
      </x:c>
      <x:c r="D869" s="146" t="e">
        <x:f>IF($A869="","",[1]!thsiFinD("ths_adjustment_nv_fund",D$3,$A869))</x:f>
        <x:v>#NAME?</x:v>
      </x:c>
      <x:c r="E869" s="146" t="e">
        <x:f>IF($A869="","",[1]!thsiFinD("ths_adjustment_nv_fund",E$3,$A869))</x:f>
        <x:v>#NAME?</x:v>
      </x:c>
      <x:c r="F869" s="146" t="e">
        <x:f>IF($A869="","",[1]!thsiFinD("ths_adjustment_nv_fund",F$3,$A869))</x:f>
        <x:v>#NAME?</x:v>
      </x:c>
      <x:c r="G869" s="146" t="e">
        <x:f>IF($A869="","",[1]!thsiFinD("ths_adjustment_nv_fund",G$3,$A869))</x:f>
        <x:v>#NAME?</x:v>
      </x:c>
      <x:c r="H869" s="146" t="e">
        <x:f>IF($A869="","",[1]!thsiFinD("ths_adjustment_nv_fund",H$3,$A869))</x:f>
        <x:v>#NAME?</x:v>
      </x:c>
      <x:c r="I869" s="146" t="e">
        <x:f>IF($A869="","",[1]!thsiFinD("ths_adjustment_nv_fund",I$3,$A869))</x:f>
        <x:v>#NAME?</x:v>
      </x:c>
      <x:c r="J869" s="146" t="e">
        <x:f>IF($A869="","",[1]!thsiFinD("ths_adjustment_nv_fund",J$3,$A869))</x:f>
        <x:v>#NAME?</x:v>
      </x:c>
      <x:c r="K869" s="146" t="e">
        <x:f>IF($A869="","",[1]!thsiFinD("ths_adjustment_nv_fund",K$3,$A869))</x:f>
        <x:v>#NAME?</x:v>
      </x:c>
      <x:c r="L869" s="146" t="e">
        <x:f>IF($A869="","",[1]!thsiFinD("ths_adjustment_nv_fund",L$3,$A869))</x:f>
        <x:v>#NAME?</x:v>
      </x:c>
      <x:c r="M869" s="146" t="e">
        <x:f>IF($A869="","",[1]!thsiFinD("ths_adjustment_nv_fund",M$3,$A869))</x:f>
        <x:v>#NAME?</x:v>
      </x:c>
      <x:c r="N869" s="146" t="e">
        <x:f>IF($A869="","",[1]!thsiFinD("ths_adjustment_nv_fund",N$3,$A869))</x:f>
        <x:v>#NAME?</x:v>
      </x:c>
      <x:c r="O869" s="146" t="e">
        <x:f>IF($A869="","",[1]!thsiFinD("ths_adjustment_nv_fund",O$3,$A869))</x:f>
        <x:v>#NAME?</x:v>
      </x:c>
      <x:c r="P869" s="146" t="e">
        <x:f>IF($A869="","",[1]!thsiFinD("ths_adjustment_nv_fund",P$3,$A869))</x:f>
        <x:v>#NAME?</x:v>
      </x:c>
      <x:c r="Q869" s="146" t="e">
        <x:f>IF($A869="","",[1]!thsiFinD("ths_adjustment_nv_fund",Q$3,$A869))</x:f>
        <x:v>#NAME?</x:v>
      </x:c>
      <x:c r="R869" s="146" t="e">
        <x:f>IF($A869="","",[1]!thsiFinD("ths_adjustment_nv_fund",R$3,$A869))</x:f>
        <x:v>#NAME?</x:v>
      </x:c>
      <x:c r="S869" s="146" t="e">
        <x:f>IF($A869="","",[1]!thsiFinD("ths_adjustment_nv_fund",S$3,$A869))</x:f>
        <x:v>#NAME?</x:v>
      </x:c>
      <x:c r="T869" s="146" t="e">
        <x:f>IF($A869="","",[1]!thsiFinD("ths_adjustment_nv_fund",T$3,$A869))</x:f>
        <x:v>#NAME?</x:v>
      </x:c>
      <x:c r="U869" s="146" t="e">
        <x:f>IF($A869="","",[1]!thsiFinD("ths_adjustment_nv_fund",U$3,$A869))</x:f>
        <x:v>#NAME?</x:v>
      </x:c>
      <x:c r="V869" s="146" t="e">
        <x:f>IF($A869="","",[1]!thsiFinD("ths_adjustment_nv_fund",V$3,$A869))</x:f>
        <x:v>#NAME?</x:v>
      </x:c>
      <x:c r="W869" s="146" t="e">
        <x:f>IF($A869="","",[1]!thsiFinD("ths_adjustment_nv_fund",W$3,$A869))</x:f>
        <x:v>#NAME?</x:v>
      </x:c>
      <x:c r="X869" s="146" t="e">
        <x:f>IF($A869="","",[1]!thsiFinD("ths_adjustment_nv_fund",X$3,$A869))</x:f>
        <x:v>#NAME?</x:v>
      </x:c>
      <x:c r="Y869" s="146" t="e">
        <x:f>IF($A869="","",[1]!thsiFinD("ths_adjustment_nv_fund",Y$3,$A869))</x:f>
        <x:v>#NAME?</x:v>
      </x:c>
      <x:c r="Z869" s="146" t="e">
        <x:f>IF($A869="","",[1]!thsiFinD("ths_adjustment_nv_fund",Z$3,$A869))</x:f>
        <x:v>#NAME?</x:v>
      </x:c>
      <x:c r="AA869" s="146" t="e">
        <x:f>IF($A869="","",[1]!thsiFinD("ths_adjustment_nv_fund",AA$3,$A869))</x:f>
        <x:v>#NAME?</x:v>
      </x:c>
    </x:row>
    <x:row r="870">
      <x:c r="B870" s="146" t="e">
        <x:f>IF($A870="","",[1]!thsiFinD("ths_adjustment_nv_fund",B$3,$A870))</x:f>
        <x:v>#NAME?</x:v>
      </x:c>
      <x:c r="C870" s="146" t="e">
        <x:f>IF($A870="","",[1]!thsiFinD("ths_adjustment_nv_fund",C$3,$A870))</x:f>
        <x:v>#NAME?</x:v>
      </x:c>
      <x:c r="D870" s="146" t="e">
        <x:f>IF($A870="","",[1]!thsiFinD("ths_adjustment_nv_fund",D$3,$A870))</x:f>
        <x:v>#NAME?</x:v>
      </x:c>
      <x:c r="E870" s="146" t="e">
        <x:f>IF($A870="","",[1]!thsiFinD("ths_adjustment_nv_fund",E$3,$A870))</x:f>
        <x:v>#NAME?</x:v>
      </x:c>
      <x:c r="F870" s="146" t="e">
        <x:f>IF($A870="","",[1]!thsiFinD("ths_adjustment_nv_fund",F$3,$A870))</x:f>
        <x:v>#NAME?</x:v>
      </x:c>
      <x:c r="G870" s="146" t="e">
        <x:f>IF($A870="","",[1]!thsiFinD("ths_adjustment_nv_fund",G$3,$A870))</x:f>
        <x:v>#NAME?</x:v>
      </x:c>
      <x:c r="H870" s="146" t="e">
        <x:f>IF($A870="","",[1]!thsiFinD("ths_adjustment_nv_fund",H$3,$A870))</x:f>
        <x:v>#NAME?</x:v>
      </x:c>
      <x:c r="I870" s="146" t="e">
        <x:f>IF($A870="","",[1]!thsiFinD("ths_adjustment_nv_fund",I$3,$A870))</x:f>
        <x:v>#NAME?</x:v>
      </x:c>
      <x:c r="J870" s="146" t="e">
        <x:f>IF($A870="","",[1]!thsiFinD("ths_adjustment_nv_fund",J$3,$A870))</x:f>
        <x:v>#NAME?</x:v>
      </x:c>
      <x:c r="K870" s="146" t="e">
        <x:f>IF($A870="","",[1]!thsiFinD("ths_adjustment_nv_fund",K$3,$A870))</x:f>
        <x:v>#NAME?</x:v>
      </x:c>
      <x:c r="L870" s="146" t="e">
        <x:f>IF($A870="","",[1]!thsiFinD("ths_adjustment_nv_fund",L$3,$A870))</x:f>
        <x:v>#NAME?</x:v>
      </x:c>
      <x:c r="M870" s="146" t="e">
        <x:f>IF($A870="","",[1]!thsiFinD("ths_adjustment_nv_fund",M$3,$A870))</x:f>
        <x:v>#NAME?</x:v>
      </x:c>
      <x:c r="N870" s="146" t="e">
        <x:f>IF($A870="","",[1]!thsiFinD("ths_adjustment_nv_fund",N$3,$A870))</x:f>
        <x:v>#NAME?</x:v>
      </x:c>
      <x:c r="O870" s="146" t="e">
        <x:f>IF($A870="","",[1]!thsiFinD("ths_adjustment_nv_fund",O$3,$A870))</x:f>
        <x:v>#NAME?</x:v>
      </x:c>
      <x:c r="P870" s="146" t="e">
        <x:f>IF($A870="","",[1]!thsiFinD("ths_adjustment_nv_fund",P$3,$A870))</x:f>
        <x:v>#NAME?</x:v>
      </x:c>
      <x:c r="Q870" s="146" t="e">
        <x:f>IF($A870="","",[1]!thsiFinD("ths_adjustment_nv_fund",Q$3,$A870))</x:f>
        <x:v>#NAME?</x:v>
      </x:c>
      <x:c r="R870" s="146" t="e">
        <x:f>IF($A870="","",[1]!thsiFinD("ths_adjustment_nv_fund",R$3,$A870))</x:f>
        <x:v>#NAME?</x:v>
      </x:c>
      <x:c r="S870" s="146" t="e">
        <x:f>IF($A870="","",[1]!thsiFinD("ths_adjustment_nv_fund",S$3,$A870))</x:f>
        <x:v>#NAME?</x:v>
      </x:c>
      <x:c r="T870" s="146" t="e">
        <x:f>IF($A870="","",[1]!thsiFinD("ths_adjustment_nv_fund",T$3,$A870))</x:f>
        <x:v>#NAME?</x:v>
      </x:c>
      <x:c r="U870" s="146" t="e">
        <x:f>IF($A870="","",[1]!thsiFinD("ths_adjustment_nv_fund",U$3,$A870))</x:f>
        <x:v>#NAME?</x:v>
      </x:c>
      <x:c r="V870" s="146" t="e">
        <x:f>IF($A870="","",[1]!thsiFinD("ths_adjustment_nv_fund",V$3,$A870))</x:f>
        <x:v>#NAME?</x:v>
      </x:c>
      <x:c r="W870" s="146" t="e">
        <x:f>IF($A870="","",[1]!thsiFinD("ths_adjustment_nv_fund",W$3,$A870))</x:f>
        <x:v>#NAME?</x:v>
      </x:c>
      <x:c r="X870" s="146" t="e">
        <x:f>IF($A870="","",[1]!thsiFinD("ths_adjustment_nv_fund",X$3,$A870))</x:f>
        <x:v>#NAME?</x:v>
      </x:c>
      <x:c r="Y870" s="146" t="e">
        <x:f>IF($A870="","",[1]!thsiFinD("ths_adjustment_nv_fund",Y$3,$A870))</x:f>
        <x:v>#NAME?</x:v>
      </x:c>
      <x:c r="Z870" s="146" t="e">
        <x:f>IF($A870="","",[1]!thsiFinD("ths_adjustment_nv_fund",Z$3,$A870))</x:f>
        <x:v>#NAME?</x:v>
      </x:c>
      <x:c r="AA870" s="146" t="e">
        <x:f>IF($A870="","",[1]!thsiFinD("ths_adjustment_nv_fund",AA$3,$A870))</x:f>
        <x:v>#NAME?</x:v>
      </x:c>
    </x:row>
    <x:row r="871">
      <x:c r="B871" s="146" t="e">
        <x:f>IF($A871="","",[1]!thsiFinD("ths_adjustment_nv_fund",B$3,$A871))</x:f>
        <x:v>#NAME?</x:v>
      </x:c>
      <x:c r="C871" s="146" t="e">
        <x:f>IF($A871="","",[1]!thsiFinD("ths_adjustment_nv_fund",C$3,$A871))</x:f>
        <x:v>#NAME?</x:v>
      </x:c>
      <x:c r="D871" s="146" t="e">
        <x:f>IF($A871="","",[1]!thsiFinD("ths_adjustment_nv_fund",D$3,$A871))</x:f>
        <x:v>#NAME?</x:v>
      </x:c>
      <x:c r="E871" s="146" t="e">
        <x:f>IF($A871="","",[1]!thsiFinD("ths_adjustment_nv_fund",E$3,$A871))</x:f>
        <x:v>#NAME?</x:v>
      </x:c>
      <x:c r="F871" s="146" t="e">
        <x:f>IF($A871="","",[1]!thsiFinD("ths_adjustment_nv_fund",F$3,$A871))</x:f>
        <x:v>#NAME?</x:v>
      </x:c>
      <x:c r="G871" s="146" t="e">
        <x:f>IF($A871="","",[1]!thsiFinD("ths_adjustment_nv_fund",G$3,$A871))</x:f>
        <x:v>#NAME?</x:v>
      </x:c>
      <x:c r="H871" s="146" t="e">
        <x:f>IF($A871="","",[1]!thsiFinD("ths_adjustment_nv_fund",H$3,$A871))</x:f>
        <x:v>#NAME?</x:v>
      </x:c>
      <x:c r="I871" s="146" t="e">
        <x:f>IF($A871="","",[1]!thsiFinD("ths_adjustment_nv_fund",I$3,$A871))</x:f>
        <x:v>#NAME?</x:v>
      </x:c>
      <x:c r="J871" s="146" t="e">
        <x:f>IF($A871="","",[1]!thsiFinD("ths_adjustment_nv_fund",J$3,$A871))</x:f>
        <x:v>#NAME?</x:v>
      </x:c>
      <x:c r="K871" s="146" t="e">
        <x:f>IF($A871="","",[1]!thsiFinD("ths_adjustment_nv_fund",K$3,$A871))</x:f>
        <x:v>#NAME?</x:v>
      </x:c>
      <x:c r="L871" s="146" t="e">
        <x:f>IF($A871="","",[1]!thsiFinD("ths_adjustment_nv_fund",L$3,$A871))</x:f>
        <x:v>#NAME?</x:v>
      </x:c>
      <x:c r="M871" s="146" t="e">
        <x:f>IF($A871="","",[1]!thsiFinD("ths_adjustment_nv_fund",M$3,$A871))</x:f>
        <x:v>#NAME?</x:v>
      </x:c>
      <x:c r="N871" s="146" t="e">
        <x:f>IF($A871="","",[1]!thsiFinD("ths_adjustment_nv_fund",N$3,$A871))</x:f>
        <x:v>#NAME?</x:v>
      </x:c>
      <x:c r="O871" s="146" t="e">
        <x:f>IF($A871="","",[1]!thsiFinD("ths_adjustment_nv_fund",O$3,$A871))</x:f>
        <x:v>#NAME?</x:v>
      </x:c>
      <x:c r="P871" s="146" t="e">
        <x:f>IF($A871="","",[1]!thsiFinD("ths_adjustment_nv_fund",P$3,$A871))</x:f>
        <x:v>#NAME?</x:v>
      </x:c>
      <x:c r="Q871" s="146" t="e">
        <x:f>IF($A871="","",[1]!thsiFinD("ths_adjustment_nv_fund",Q$3,$A871))</x:f>
        <x:v>#NAME?</x:v>
      </x:c>
      <x:c r="R871" s="146" t="e">
        <x:f>IF($A871="","",[1]!thsiFinD("ths_adjustment_nv_fund",R$3,$A871))</x:f>
        <x:v>#NAME?</x:v>
      </x:c>
      <x:c r="S871" s="146" t="e">
        <x:f>IF($A871="","",[1]!thsiFinD("ths_adjustment_nv_fund",S$3,$A871))</x:f>
        <x:v>#NAME?</x:v>
      </x:c>
      <x:c r="T871" s="146" t="e">
        <x:f>IF($A871="","",[1]!thsiFinD("ths_adjustment_nv_fund",T$3,$A871))</x:f>
        <x:v>#NAME?</x:v>
      </x:c>
      <x:c r="U871" s="146" t="e">
        <x:f>IF($A871="","",[1]!thsiFinD("ths_adjustment_nv_fund",U$3,$A871))</x:f>
        <x:v>#NAME?</x:v>
      </x:c>
      <x:c r="V871" s="146" t="e">
        <x:f>IF($A871="","",[1]!thsiFinD("ths_adjustment_nv_fund",V$3,$A871))</x:f>
        <x:v>#NAME?</x:v>
      </x:c>
      <x:c r="W871" s="146" t="e">
        <x:f>IF($A871="","",[1]!thsiFinD("ths_adjustment_nv_fund",W$3,$A871))</x:f>
        <x:v>#NAME?</x:v>
      </x:c>
      <x:c r="X871" s="146" t="e">
        <x:f>IF($A871="","",[1]!thsiFinD("ths_adjustment_nv_fund",X$3,$A871))</x:f>
        <x:v>#NAME?</x:v>
      </x:c>
      <x:c r="Y871" s="146" t="e">
        <x:f>IF($A871="","",[1]!thsiFinD("ths_adjustment_nv_fund",Y$3,$A871))</x:f>
        <x:v>#NAME?</x:v>
      </x:c>
      <x:c r="Z871" s="146" t="e">
        <x:f>IF($A871="","",[1]!thsiFinD("ths_adjustment_nv_fund",Z$3,$A871))</x:f>
        <x:v>#NAME?</x:v>
      </x:c>
      <x:c r="AA871" s="146" t="e">
        <x:f>IF($A871="","",[1]!thsiFinD("ths_adjustment_nv_fund",AA$3,$A871))</x:f>
        <x:v>#NAME?</x:v>
      </x:c>
    </x:row>
    <x:row r="872">
      <x:c r="B872" s="146" t="e">
        <x:f>IF($A872="","",[1]!thsiFinD("ths_adjustment_nv_fund",B$3,$A872))</x:f>
        <x:v>#NAME?</x:v>
      </x:c>
      <x:c r="C872" s="146" t="e">
        <x:f>IF($A872="","",[1]!thsiFinD("ths_adjustment_nv_fund",C$3,$A872))</x:f>
        <x:v>#NAME?</x:v>
      </x:c>
      <x:c r="D872" s="146" t="e">
        <x:f>IF($A872="","",[1]!thsiFinD("ths_adjustment_nv_fund",D$3,$A872))</x:f>
        <x:v>#NAME?</x:v>
      </x:c>
      <x:c r="E872" s="146" t="e">
        <x:f>IF($A872="","",[1]!thsiFinD("ths_adjustment_nv_fund",E$3,$A872))</x:f>
        <x:v>#NAME?</x:v>
      </x:c>
      <x:c r="F872" s="146" t="e">
        <x:f>IF($A872="","",[1]!thsiFinD("ths_adjustment_nv_fund",F$3,$A872))</x:f>
        <x:v>#NAME?</x:v>
      </x:c>
      <x:c r="G872" s="146" t="e">
        <x:f>IF($A872="","",[1]!thsiFinD("ths_adjustment_nv_fund",G$3,$A872))</x:f>
        <x:v>#NAME?</x:v>
      </x:c>
      <x:c r="H872" s="146" t="e">
        <x:f>IF($A872="","",[1]!thsiFinD("ths_adjustment_nv_fund",H$3,$A872))</x:f>
        <x:v>#NAME?</x:v>
      </x:c>
      <x:c r="I872" s="146" t="e">
        <x:f>IF($A872="","",[1]!thsiFinD("ths_adjustment_nv_fund",I$3,$A872))</x:f>
        <x:v>#NAME?</x:v>
      </x:c>
      <x:c r="J872" s="146" t="e">
        <x:f>IF($A872="","",[1]!thsiFinD("ths_adjustment_nv_fund",J$3,$A872))</x:f>
        <x:v>#NAME?</x:v>
      </x:c>
      <x:c r="K872" s="146" t="e">
        <x:f>IF($A872="","",[1]!thsiFinD("ths_adjustment_nv_fund",K$3,$A872))</x:f>
        <x:v>#NAME?</x:v>
      </x:c>
      <x:c r="L872" s="146" t="e">
        <x:f>IF($A872="","",[1]!thsiFinD("ths_adjustment_nv_fund",L$3,$A872))</x:f>
        <x:v>#NAME?</x:v>
      </x:c>
      <x:c r="M872" s="146" t="e">
        <x:f>IF($A872="","",[1]!thsiFinD("ths_adjustment_nv_fund",M$3,$A872))</x:f>
        <x:v>#NAME?</x:v>
      </x:c>
      <x:c r="N872" s="146" t="e">
        <x:f>IF($A872="","",[1]!thsiFinD("ths_adjustment_nv_fund",N$3,$A872))</x:f>
        <x:v>#NAME?</x:v>
      </x:c>
      <x:c r="O872" s="146" t="e">
        <x:f>IF($A872="","",[1]!thsiFinD("ths_adjustment_nv_fund",O$3,$A872))</x:f>
        <x:v>#NAME?</x:v>
      </x:c>
      <x:c r="P872" s="146" t="e">
        <x:f>IF($A872="","",[1]!thsiFinD("ths_adjustment_nv_fund",P$3,$A872))</x:f>
        <x:v>#NAME?</x:v>
      </x:c>
      <x:c r="Q872" s="146" t="e">
        <x:f>IF($A872="","",[1]!thsiFinD("ths_adjustment_nv_fund",Q$3,$A872))</x:f>
        <x:v>#NAME?</x:v>
      </x:c>
      <x:c r="R872" s="146" t="e">
        <x:f>IF($A872="","",[1]!thsiFinD("ths_adjustment_nv_fund",R$3,$A872))</x:f>
        <x:v>#NAME?</x:v>
      </x:c>
      <x:c r="S872" s="146" t="e">
        <x:f>IF($A872="","",[1]!thsiFinD("ths_adjustment_nv_fund",S$3,$A872))</x:f>
        <x:v>#NAME?</x:v>
      </x:c>
      <x:c r="T872" s="146" t="e">
        <x:f>IF($A872="","",[1]!thsiFinD("ths_adjustment_nv_fund",T$3,$A872))</x:f>
        <x:v>#NAME?</x:v>
      </x:c>
      <x:c r="U872" s="146" t="e">
        <x:f>IF($A872="","",[1]!thsiFinD("ths_adjustment_nv_fund",U$3,$A872))</x:f>
        <x:v>#NAME?</x:v>
      </x:c>
      <x:c r="V872" s="146" t="e">
        <x:f>IF($A872="","",[1]!thsiFinD("ths_adjustment_nv_fund",V$3,$A872))</x:f>
        <x:v>#NAME?</x:v>
      </x:c>
      <x:c r="W872" s="146" t="e">
        <x:f>IF($A872="","",[1]!thsiFinD("ths_adjustment_nv_fund",W$3,$A872))</x:f>
        <x:v>#NAME?</x:v>
      </x:c>
      <x:c r="X872" s="146" t="e">
        <x:f>IF($A872="","",[1]!thsiFinD("ths_adjustment_nv_fund",X$3,$A872))</x:f>
        <x:v>#NAME?</x:v>
      </x:c>
      <x:c r="Y872" s="146" t="e">
        <x:f>IF($A872="","",[1]!thsiFinD("ths_adjustment_nv_fund",Y$3,$A872))</x:f>
        <x:v>#NAME?</x:v>
      </x:c>
      <x:c r="Z872" s="146" t="e">
        <x:f>IF($A872="","",[1]!thsiFinD("ths_adjustment_nv_fund",Z$3,$A872))</x:f>
        <x:v>#NAME?</x:v>
      </x:c>
      <x:c r="AA872" s="146" t="e">
        <x:f>IF($A872="","",[1]!thsiFinD("ths_adjustment_nv_fund",AA$3,$A872))</x:f>
        <x:v>#NAME?</x:v>
      </x:c>
    </x:row>
    <x:row r="873">
      <x:c r="B873" s="146" t="e">
        <x:f>IF($A873="","",[1]!thsiFinD("ths_adjustment_nv_fund",B$3,$A873))</x:f>
        <x:v>#NAME?</x:v>
      </x:c>
      <x:c r="C873" s="146" t="e">
        <x:f>IF($A873="","",[1]!thsiFinD("ths_adjustment_nv_fund",C$3,$A873))</x:f>
        <x:v>#NAME?</x:v>
      </x:c>
      <x:c r="D873" s="146" t="e">
        <x:f>IF($A873="","",[1]!thsiFinD("ths_adjustment_nv_fund",D$3,$A873))</x:f>
        <x:v>#NAME?</x:v>
      </x:c>
      <x:c r="E873" s="146" t="e">
        <x:f>IF($A873="","",[1]!thsiFinD("ths_adjustment_nv_fund",E$3,$A873))</x:f>
        <x:v>#NAME?</x:v>
      </x:c>
      <x:c r="F873" s="146" t="e">
        <x:f>IF($A873="","",[1]!thsiFinD("ths_adjustment_nv_fund",F$3,$A873))</x:f>
        <x:v>#NAME?</x:v>
      </x:c>
      <x:c r="G873" s="146" t="e">
        <x:f>IF($A873="","",[1]!thsiFinD("ths_adjustment_nv_fund",G$3,$A873))</x:f>
        <x:v>#NAME?</x:v>
      </x:c>
      <x:c r="H873" s="146" t="e">
        <x:f>IF($A873="","",[1]!thsiFinD("ths_adjustment_nv_fund",H$3,$A873))</x:f>
        <x:v>#NAME?</x:v>
      </x:c>
      <x:c r="I873" s="146" t="e">
        <x:f>IF($A873="","",[1]!thsiFinD("ths_adjustment_nv_fund",I$3,$A873))</x:f>
        <x:v>#NAME?</x:v>
      </x:c>
      <x:c r="J873" s="146" t="e">
        <x:f>IF($A873="","",[1]!thsiFinD("ths_adjustment_nv_fund",J$3,$A873))</x:f>
        <x:v>#NAME?</x:v>
      </x:c>
      <x:c r="K873" s="146" t="e">
        <x:f>IF($A873="","",[1]!thsiFinD("ths_adjustment_nv_fund",K$3,$A873))</x:f>
        <x:v>#NAME?</x:v>
      </x:c>
      <x:c r="L873" s="146" t="e">
        <x:f>IF($A873="","",[1]!thsiFinD("ths_adjustment_nv_fund",L$3,$A873))</x:f>
        <x:v>#NAME?</x:v>
      </x:c>
      <x:c r="M873" s="146" t="e">
        <x:f>IF($A873="","",[1]!thsiFinD("ths_adjustment_nv_fund",M$3,$A873))</x:f>
        <x:v>#NAME?</x:v>
      </x:c>
      <x:c r="N873" s="146" t="e">
        <x:f>IF($A873="","",[1]!thsiFinD("ths_adjustment_nv_fund",N$3,$A873))</x:f>
        <x:v>#NAME?</x:v>
      </x:c>
      <x:c r="O873" s="146" t="e">
        <x:f>IF($A873="","",[1]!thsiFinD("ths_adjustment_nv_fund",O$3,$A873))</x:f>
        <x:v>#NAME?</x:v>
      </x:c>
      <x:c r="P873" s="146" t="e">
        <x:f>IF($A873="","",[1]!thsiFinD("ths_adjustment_nv_fund",P$3,$A873))</x:f>
        <x:v>#NAME?</x:v>
      </x:c>
      <x:c r="Q873" s="146" t="e">
        <x:f>IF($A873="","",[1]!thsiFinD("ths_adjustment_nv_fund",Q$3,$A873))</x:f>
        <x:v>#NAME?</x:v>
      </x:c>
      <x:c r="R873" s="146" t="e">
        <x:f>IF($A873="","",[1]!thsiFinD("ths_adjustment_nv_fund",R$3,$A873))</x:f>
        <x:v>#NAME?</x:v>
      </x:c>
      <x:c r="S873" s="146" t="e">
        <x:f>IF($A873="","",[1]!thsiFinD("ths_adjustment_nv_fund",S$3,$A873))</x:f>
        <x:v>#NAME?</x:v>
      </x:c>
      <x:c r="T873" s="146" t="e">
        <x:f>IF($A873="","",[1]!thsiFinD("ths_adjustment_nv_fund",T$3,$A873))</x:f>
        <x:v>#NAME?</x:v>
      </x:c>
      <x:c r="U873" s="146" t="e">
        <x:f>IF($A873="","",[1]!thsiFinD("ths_adjustment_nv_fund",U$3,$A873))</x:f>
        <x:v>#NAME?</x:v>
      </x:c>
      <x:c r="V873" s="146" t="e">
        <x:f>IF($A873="","",[1]!thsiFinD("ths_adjustment_nv_fund",V$3,$A873))</x:f>
        <x:v>#NAME?</x:v>
      </x:c>
      <x:c r="W873" s="146" t="e">
        <x:f>IF($A873="","",[1]!thsiFinD("ths_adjustment_nv_fund",W$3,$A873))</x:f>
        <x:v>#NAME?</x:v>
      </x:c>
      <x:c r="X873" s="146" t="e">
        <x:f>IF($A873="","",[1]!thsiFinD("ths_adjustment_nv_fund",X$3,$A873))</x:f>
        <x:v>#NAME?</x:v>
      </x:c>
      <x:c r="Y873" s="146" t="e">
        <x:f>IF($A873="","",[1]!thsiFinD("ths_adjustment_nv_fund",Y$3,$A873))</x:f>
        <x:v>#NAME?</x:v>
      </x:c>
      <x:c r="Z873" s="146" t="e">
        <x:f>IF($A873="","",[1]!thsiFinD("ths_adjustment_nv_fund",Z$3,$A873))</x:f>
        <x:v>#NAME?</x:v>
      </x:c>
      <x:c r="AA873" s="146" t="e">
        <x:f>IF($A873="","",[1]!thsiFinD("ths_adjustment_nv_fund",AA$3,$A873))</x:f>
        <x:v>#NAME?</x:v>
      </x:c>
    </x:row>
    <x:row r="874">
      <x:c r="B874" s="146" t="e">
        <x:f>IF($A874="","",[1]!thsiFinD("ths_adjustment_nv_fund",B$3,$A874))</x:f>
        <x:v>#NAME?</x:v>
      </x:c>
      <x:c r="C874" s="146" t="e">
        <x:f>IF($A874="","",[1]!thsiFinD("ths_adjustment_nv_fund",C$3,$A874))</x:f>
        <x:v>#NAME?</x:v>
      </x:c>
      <x:c r="D874" s="146" t="e">
        <x:f>IF($A874="","",[1]!thsiFinD("ths_adjustment_nv_fund",D$3,$A874))</x:f>
        <x:v>#NAME?</x:v>
      </x:c>
      <x:c r="E874" s="146" t="e">
        <x:f>IF($A874="","",[1]!thsiFinD("ths_adjustment_nv_fund",E$3,$A874))</x:f>
        <x:v>#NAME?</x:v>
      </x:c>
      <x:c r="F874" s="146" t="e">
        <x:f>IF($A874="","",[1]!thsiFinD("ths_adjustment_nv_fund",F$3,$A874))</x:f>
        <x:v>#NAME?</x:v>
      </x:c>
      <x:c r="G874" s="146" t="e">
        <x:f>IF($A874="","",[1]!thsiFinD("ths_adjustment_nv_fund",G$3,$A874))</x:f>
        <x:v>#NAME?</x:v>
      </x:c>
      <x:c r="H874" s="146" t="e">
        <x:f>IF($A874="","",[1]!thsiFinD("ths_adjustment_nv_fund",H$3,$A874))</x:f>
        <x:v>#NAME?</x:v>
      </x:c>
      <x:c r="I874" s="146" t="e">
        <x:f>IF($A874="","",[1]!thsiFinD("ths_adjustment_nv_fund",I$3,$A874))</x:f>
        <x:v>#NAME?</x:v>
      </x:c>
      <x:c r="J874" s="146" t="e">
        <x:f>IF($A874="","",[1]!thsiFinD("ths_adjustment_nv_fund",J$3,$A874))</x:f>
        <x:v>#NAME?</x:v>
      </x:c>
      <x:c r="K874" s="146" t="e">
        <x:f>IF($A874="","",[1]!thsiFinD("ths_adjustment_nv_fund",K$3,$A874))</x:f>
        <x:v>#NAME?</x:v>
      </x:c>
      <x:c r="L874" s="146" t="e">
        <x:f>IF($A874="","",[1]!thsiFinD("ths_adjustment_nv_fund",L$3,$A874))</x:f>
        <x:v>#NAME?</x:v>
      </x:c>
      <x:c r="M874" s="146" t="e">
        <x:f>IF($A874="","",[1]!thsiFinD("ths_adjustment_nv_fund",M$3,$A874))</x:f>
        <x:v>#NAME?</x:v>
      </x:c>
      <x:c r="N874" s="146" t="e">
        <x:f>IF($A874="","",[1]!thsiFinD("ths_adjustment_nv_fund",N$3,$A874))</x:f>
        <x:v>#NAME?</x:v>
      </x:c>
      <x:c r="O874" s="146" t="e">
        <x:f>IF($A874="","",[1]!thsiFinD("ths_adjustment_nv_fund",O$3,$A874))</x:f>
        <x:v>#NAME?</x:v>
      </x:c>
      <x:c r="P874" s="146" t="e">
        <x:f>IF($A874="","",[1]!thsiFinD("ths_adjustment_nv_fund",P$3,$A874))</x:f>
        <x:v>#NAME?</x:v>
      </x:c>
      <x:c r="Q874" s="146" t="e">
        <x:f>IF($A874="","",[1]!thsiFinD("ths_adjustment_nv_fund",Q$3,$A874))</x:f>
        <x:v>#NAME?</x:v>
      </x:c>
      <x:c r="R874" s="146" t="e">
        <x:f>IF($A874="","",[1]!thsiFinD("ths_adjustment_nv_fund",R$3,$A874))</x:f>
        <x:v>#NAME?</x:v>
      </x:c>
      <x:c r="S874" s="146" t="e">
        <x:f>IF($A874="","",[1]!thsiFinD("ths_adjustment_nv_fund",S$3,$A874))</x:f>
        <x:v>#NAME?</x:v>
      </x:c>
      <x:c r="T874" s="146" t="e">
        <x:f>IF($A874="","",[1]!thsiFinD("ths_adjustment_nv_fund",T$3,$A874))</x:f>
        <x:v>#NAME?</x:v>
      </x:c>
      <x:c r="U874" s="146" t="e">
        <x:f>IF($A874="","",[1]!thsiFinD("ths_adjustment_nv_fund",U$3,$A874))</x:f>
        <x:v>#NAME?</x:v>
      </x:c>
      <x:c r="V874" s="146" t="e">
        <x:f>IF($A874="","",[1]!thsiFinD("ths_adjustment_nv_fund",V$3,$A874))</x:f>
        <x:v>#NAME?</x:v>
      </x:c>
      <x:c r="W874" s="146" t="e">
        <x:f>IF($A874="","",[1]!thsiFinD("ths_adjustment_nv_fund",W$3,$A874))</x:f>
        <x:v>#NAME?</x:v>
      </x:c>
      <x:c r="X874" s="146" t="e">
        <x:f>IF($A874="","",[1]!thsiFinD("ths_adjustment_nv_fund",X$3,$A874))</x:f>
        <x:v>#NAME?</x:v>
      </x:c>
      <x:c r="Y874" s="146" t="e">
        <x:f>IF($A874="","",[1]!thsiFinD("ths_adjustment_nv_fund",Y$3,$A874))</x:f>
        <x:v>#NAME?</x:v>
      </x:c>
      <x:c r="Z874" s="146" t="e">
        <x:f>IF($A874="","",[1]!thsiFinD("ths_adjustment_nv_fund",Z$3,$A874))</x:f>
        <x:v>#NAME?</x:v>
      </x:c>
      <x:c r="AA874" s="146" t="e">
        <x:f>IF($A874="","",[1]!thsiFinD("ths_adjustment_nv_fund",AA$3,$A874))</x:f>
        <x:v>#NAME?</x:v>
      </x:c>
    </x:row>
    <x:row r="875">
      <x:c r="B875" s="146" t="e">
        <x:f>IF($A875="","",[1]!thsiFinD("ths_adjustment_nv_fund",B$3,$A875))</x:f>
        <x:v>#NAME?</x:v>
      </x:c>
      <x:c r="C875" s="146" t="e">
        <x:f>IF($A875="","",[1]!thsiFinD("ths_adjustment_nv_fund",C$3,$A875))</x:f>
        <x:v>#NAME?</x:v>
      </x:c>
      <x:c r="D875" s="146" t="e">
        <x:f>IF($A875="","",[1]!thsiFinD("ths_adjustment_nv_fund",D$3,$A875))</x:f>
        <x:v>#NAME?</x:v>
      </x:c>
      <x:c r="E875" s="146" t="e">
        <x:f>IF($A875="","",[1]!thsiFinD("ths_adjustment_nv_fund",E$3,$A875))</x:f>
        <x:v>#NAME?</x:v>
      </x:c>
      <x:c r="F875" s="146" t="e">
        <x:f>IF($A875="","",[1]!thsiFinD("ths_adjustment_nv_fund",F$3,$A875))</x:f>
        <x:v>#NAME?</x:v>
      </x:c>
      <x:c r="G875" s="146" t="e">
        <x:f>IF($A875="","",[1]!thsiFinD("ths_adjustment_nv_fund",G$3,$A875))</x:f>
        <x:v>#NAME?</x:v>
      </x:c>
      <x:c r="H875" s="146" t="e">
        <x:f>IF($A875="","",[1]!thsiFinD("ths_adjustment_nv_fund",H$3,$A875))</x:f>
        <x:v>#NAME?</x:v>
      </x:c>
      <x:c r="I875" s="146" t="e">
        <x:f>IF($A875="","",[1]!thsiFinD("ths_adjustment_nv_fund",I$3,$A875))</x:f>
        <x:v>#NAME?</x:v>
      </x:c>
      <x:c r="J875" s="146" t="e">
        <x:f>IF($A875="","",[1]!thsiFinD("ths_adjustment_nv_fund",J$3,$A875))</x:f>
        <x:v>#NAME?</x:v>
      </x:c>
      <x:c r="K875" s="146" t="e">
        <x:f>IF($A875="","",[1]!thsiFinD("ths_adjustment_nv_fund",K$3,$A875))</x:f>
        <x:v>#NAME?</x:v>
      </x:c>
      <x:c r="L875" s="146" t="e">
        <x:f>IF($A875="","",[1]!thsiFinD("ths_adjustment_nv_fund",L$3,$A875))</x:f>
        <x:v>#NAME?</x:v>
      </x:c>
      <x:c r="M875" s="146" t="e">
        <x:f>IF($A875="","",[1]!thsiFinD("ths_adjustment_nv_fund",M$3,$A875))</x:f>
        <x:v>#NAME?</x:v>
      </x:c>
      <x:c r="N875" s="146" t="e">
        <x:f>IF($A875="","",[1]!thsiFinD("ths_adjustment_nv_fund",N$3,$A875))</x:f>
        <x:v>#NAME?</x:v>
      </x:c>
      <x:c r="O875" s="146" t="e">
        <x:f>IF($A875="","",[1]!thsiFinD("ths_adjustment_nv_fund",O$3,$A875))</x:f>
        <x:v>#NAME?</x:v>
      </x:c>
      <x:c r="P875" s="146" t="e">
        <x:f>IF($A875="","",[1]!thsiFinD("ths_adjustment_nv_fund",P$3,$A875))</x:f>
        <x:v>#NAME?</x:v>
      </x:c>
      <x:c r="Q875" s="146" t="e">
        <x:f>IF($A875="","",[1]!thsiFinD("ths_adjustment_nv_fund",Q$3,$A875))</x:f>
        <x:v>#NAME?</x:v>
      </x:c>
      <x:c r="R875" s="146" t="e">
        <x:f>IF($A875="","",[1]!thsiFinD("ths_adjustment_nv_fund",R$3,$A875))</x:f>
        <x:v>#NAME?</x:v>
      </x:c>
      <x:c r="S875" s="146" t="e">
        <x:f>IF($A875="","",[1]!thsiFinD("ths_adjustment_nv_fund",S$3,$A875))</x:f>
        <x:v>#NAME?</x:v>
      </x:c>
      <x:c r="T875" s="146" t="e">
        <x:f>IF($A875="","",[1]!thsiFinD("ths_adjustment_nv_fund",T$3,$A875))</x:f>
        <x:v>#NAME?</x:v>
      </x:c>
      <x:c r="U875" s="146" t="e">
        <x:f>IF($A875="","",[1]!thsiFinD("ths_adjustment_nv_fund",U$3,$A875))</x:f>
        <x:v>#NAME?</x:v>
      </x:c>
      <x:c r="V875" s="146" t="e">
        <x:f>IF($A875="","",[1]!thsiFinD("ths_adjustment_nv_fund",V$3,$A875))</x:f>
        <x:v>#NAME?</x:v>
      </x:c>
      <x:c r="W875" s="146" t="e">
        <x:f>IF($A875="","",[1]!thsiFinD("ths_adjustment_nv_fund",W$3,$A875))</x:f>
        <x:v>#NAME?</x:v>
      </x:c>
      <x:c r="X875" s="146" t="e">
        <x:f>IF($A875="","",[1]!thsiFinD("ths_adjustment_nv_fund",X$3,$A875))</x:f>
        <x:v>#NAME?</x:v>
      </x:c>
      <x:c r="Y875" s="146" t="e">
        <x:f>IF($A875="","",[1]!thsiFinD("ths_adjustment_nv_fund",Y$3,$A875))</x:f>
        <x:v>#NAME?</x:v>
      </x:c>
      <x:c r="Z875" s="146" t="e">
        <x:f>IF($A875="","",[1]!thsiFinD("ths_adjustment_nv_fund",Z$3,$A875))</x:f>
        <x:v>#NAME?</x:v>
      </x:c>
      <x:c r="AA875" s="146" t="e">
        <x:f>IF($A875="","",[1]!thsiFinD("ths_adjustment_nv_fund",AA$3,$A875))</x:f>
        <x:v>#NAME?</x:v>
      </x:c>
    </x:row>
    <x:row r="876">
      <x:c r="B876" s="146" t="e">
        <x:f>IF($A876="","",[1]!thsiFinD("ths_adjustment_nv_fund",B$3,$A876))</x:f>
        <x:v>#NAME?</x:v>
      </x:c>
      <x:c r="C876" s="146" t="e">
        <x:f>IF($A876="","",[1]!thsiFinD("ths_adjustment_nv_fund",C$3,$A876))</x:f>
        <x:v>#NAME?</x:v>
      </x:c>
      <x:c r="D876" s="146" t="e">
        <x:f>IF($A876="","",[1]!thsiFinD("ths_adjustment_nv_fund",D$3,$A876))</x:f>
        <x:v>#NAME?</x:v>
      </x:c>
      <x:c r="E876" s="146" t="e">
        <x:f>IF($A876="","",[1]!thsiFinD("ths_adjustment_nv_fund",E$3,$A876))</x:f>
        <x:v>#NAME?</x:v>
      </x:c>
      <x:c r="F876" s="146" t="e">
        <x:f>IF($A876="","",[1]!thsiFinD("ths_adjustment_nv_fund",F$3,$A876))</x:f>
        <x:v>#NAME?</x:v>
      </x:c>
      <x:c r="G876" s="146" t="e">
        <x:f>IF($A876="","",[1]!thsiFinD("ths_adjustment_nv_fund",G$3,$A876))</x:f>
        <x:v>#NAME?</x:v>
      </x:c>
      <x:c r="H876" s="146" t="e">
        <x:f>IF($A876="","",[1]!thsiFinD("ths_adjustment_nv_fund",H$3,$A876))</x:f>
        <x:v>#NAME?</x:v>
      </x:c>
      <x:c r="I876" s="146" t="e">
        <x:f>IF($A876="","",[1]!thsiFinD("ths_adjustment_nv_fund",I$3,$A876))</x:f>
        <x:v>#NAME?</x:v>
      </x:c>
      <x:c r="J876" s="146" t="e">
        <x:f>IF($A876="","",[1]!thsiFinD("ths_adjustment_nv_fund",J$3,$A876))</x:f>
        <x:v>#NAME?</x:v>
      </x:c>
      <x:c r="K876" s="146" t="e">
        <x:f>IF($A876="","",[1]!thsiFinD("ths_adjustment_nv_fund",K$3,$A876))</x:f>
        <x:v>#NAME?</x:v>
      </x:c>
      <x:c r="L876" s="146" t="e">
        <x:f>IF($A876="","",[1]!thsiFinD("ths_adjustment_nv_fund",L$3,$A876))</x:f>
        <x:v>#NAME?</x:v>
      </x:c>
      <x:c r="M876" s="146" t="e">
        <x:f>IF($A876="","",[1]!thsiFinD("ths_adjustment_nv_fund",M$3,$A876))</x:f>
        <x:v>#NAME?</x:v>
      </x:c>
      <x:c r="N876" s="146" t="e">
        <x:f>IF($A876="","",[1]!thsiFinD("ths_adjustment_nv_fund",N$3,$A876))</x:f>
        <x:v>#NAME?</x:v>
      </x:c>
      <x:c r="O876" s="146" t="e">
        <x:f>IF($A876="","",[1]!thsiFinD("ths_adjustment_nv_fund",O$3,$A876))</x:f>
        <x:v>#NAME?</x:v>
      </x:c>
      <x:c r="P876" s="146" t="e">
        <x:f>IF($A876="","",[1]!thsiFinD("ths_adjustment_nv_fund",P$3,$A876))</x:f>
        <x:v>#NAME?</x:v>
      </x:c>
      <x:c r="Q876" s="146" t="e">
        <x:f>IF($A876="","",[1]!thsiFinD("ths_adjustment_nv_fund",Q$3,$A876))</x:f>
        <x:v>#NAME?</x:v>
      </x:c>
      <x:c r="R876" s="146" t="e">
        <x:f>IF($A876="","",[1]!thsiFinD("ths_adjustment_nv_fund",R$3,$A876))</x:f>
        <x:v>#NAME?</x:v>
      </x:c>
      <x:c r="S876" s="146" t="e">
        <x:f>IF($A876="","",[1]!thsiFinD("ths_adjustment_nv_fund",S$3,$A876))</x:f>
        <x:v>#NAME?</x:v>
      </x:c>
      <x:c r="T876" s="146" t="e">
        <x:f>IF($A876="","",[1]!thsiFinD("ths_adjustment_nv_fund",T$3,$A876))</x:f>
        <x:v>#NAME?</x:v>
      </x:c>
      <x:c r="U876" s="146" t="e">
        <x:f>IF($A876="","",[1]!thsiFinD("ths_adjustment_nv_fund",U$3,$A876))</x:f>
        <x:v>#NAME?</x:v>
      </x:c>
      <x:c r="V876" s="146" t="e">
        <x:f>IF($A876="","",[1]!thsiFinD("ths_adjustment_nv_fund",V$3,$A876))</x:f>
        <x:v>#NAME?</x:v>
      </x:c>
      <x:c r="W876" s="146" t="e">
        <x:f>IF($A876="","",[1]!thsiFinD("ths_adjustment_nv_fund",W$3,$A876))</x:f>
        <x:v>#NAME?</x:v>
      </x:c>
      <x:c r="X876" s="146" t="e">
        <x:f>IF($A876="","",[1]!thsiFinD("ths_adjustment_nv_fund",X$3,$A876))</x:f>
        <x:v>#NAME?</x:v>
      </x:c>
      <x:c r="Y876" s="146" t="e">
        <x:f>IF($A876="","",[1]!thsiFinD("ths_adjustment_nv_fund",Y$3,$A876))</x:f>
        <x:v>#NAME?</x:v>
      </x:c>
      <x:c r="Z876" s="146" t="e">
        <x:f>IF($A876="","",[1]!thsiFinD("ths_adjustment_nv_fund",Z$3,$A876))</x:f>
        <x:v>#NAME?</x:v>
      </x:c>
      <x:c r="AA876" s="146" t="e">
        <x:f>IF($A876="","",[1]!thsiFinD("ths_adjustment_nv_fund",AA$3,$A876))</x:f>
        <x:v>#NAME?</x:v>
      </x:c>
    </x:row>
    <x:row r="877">
      <x:c r="B877" s="146" t="e">
        <x:f>IF($A877="","",[1]!thsiFinD("ths_adjustment_nv_fund",B$3,$A877))</x:f>
        <x:v>#NAME?</x:v>
      </x:c>
      <x:c r="C877" s="146" t="e">
        <x:f>IF($A877="","",[1]!thsiFinD("ths_adjustment_nv_fund",C$3,$A877))</x:f>
        <x:v>#NAME?</x:v>
      </x:c>
      <x:c r="D877" s="146" t="e">
        <x:f>IF($A877="","",[1]!thsiFinD("ths_adjustment_nv_fund",D$3,$A877))</x:f>
        <x:v>#NAME?</x:v>
      </x:c>
      <x:c r="E877" s="146" t="e">
        <x:f>IF($A877="","",[1]!thsiFinD("ths_adjustment_nv_fund",E$3,$A877))</x:f>
        <x:v>#NAME?</x:v>
      </x:c>
      <x:c r="F877" s="146" t="e">
        <x:f>IF($A877="","",[1]!thsiFinD("ths_adjustment_nv_fund",F$3,$A877))</x:f>
        <x:v>#NAME?</x:v>
      </x:c>
      <x:c r="G877" s="146" t="e">
        <x:f>IF($A877="","",[1]!thsiFinD("ths_adjustment_nv_fund",G$3,$A877))</x:f>
        <x:v>#NAME?</x:v>
      </x:c>
      <x:c r="H877" s="146" t="e">
        <x:f>IF($A877="","",[1]!thsiFinD("ths_adjustment_nv_fund",H$3,$A877))</x:f>
        <x:v>#NAME?</x:v>
      </x:c>
      <x:c r="I877" s="146" t="e">
        <x:f>IF($A877="","",[1]!thsiFinD("ths_adjustment_nv_fund",I$3,$A877))</x:f>
        <x:v>#NAME?</x:v>
      </x:c>
      <x:c r="J877" s="146" t="e">
        <x:f>IF($A877="","",[1]!thsiFinD("ths_adjustment_nv_fund",J$3,$A877))</x:f>
        <x:v>#NAME?</x:v>
      </x:c>
      <x:c r="K877" s="146" t="e">
        <x:f>IF($A877="","",[1]!thsiFinD("ths_adjustment_nv_fund",K$3,$A877))</x:f>
        <x:v>#NAME?</x:v>
      </x:c>
      <x:c r="L877" s="146" t="e">
        <x:f>IF($A877="","",[1]!thsiFinD("ths_adjustment_nv_fund",L$3,$A877))</x:f>
        <x:v>#NAME?</x:v>
      </x:c>
      <x:c r="M877" s="146" t="e">
        <x:f>IF($A877="","",[1]!thsiFinD("ths_adjustment_nv_fund",M$3,$A877))</x:f>
        <x:v>#NAME?</x:v>
      </x:c>
      <x:c r="N877" s="146" t="e">
        <x:f>IF($A877="","",[1]!thsiFinD("ths_adjustment_nv_fund",N$3,$A877))</x:f>
        <x:v>#NAME?</x:v>
      </x:c>
      <x:c r="O877" s="146" t="e">
        <x:f>IF($A877="","",[1]!thsiFinD("ths_adjustment_nv_fund",O$3,$A877))</x:f>
        <x:v>#NAME?</x:v>
      </x:c>
      <x:c r="P877" s="146" t="e">
        <x:f>IF($A877="","",[1]!thsiFinD("ths_adjustment_nv_fund",P$3,$A877))</x:f>
        <x:v>#NAME?</x:v>
      </x:c>
      <x:c r="Q877" s="146" t="e">
        <x:f>IF($A877="","",[1]!thsiFinD("ths_adjustment_nv_fund",Q$3,$A877))</x:f>
        <x:v>#NAME?</x:v>
      </x:c>
      <x:c r="R877" s="146" t="e">
        <x:f>IF($A877="","",[1]!thsiFinD("ths_adjustment_nv_fund",R$3,$A877))</x:f>
        <x:v>#NAME?</x:v>
      </x:c>
      <x:c r="S877" s="146" t="e">
        <x:f>IF($A877="","",[1]!thsiFinD("ths_adjustment_nv_fund",S$3,$A877))</x:f>
        <x:v>#NAME?</x:v>
      </x:c>
      <x:c r="T877" s="146" t="e">
        <x:f>IF($A877="","",[1]!thsiFinD("ths_adjustment_nv_fund",T$3,$A877))</x:f>
        <x:v>#NAME?</x:v>
      </x:c>
      <x:c r="U877" s="146" t="e">
        <x:f>IF($A877="","",[1]!thsiFinD("ths_adjustment_nv_fund",U$3,$A877))</x:f>
        <x:v>#NAME?</x:v>
      </x:c>
      <x:c r="V877" s="146" t="e">
        <x:f>IF($A877="","",[1]!thsiFinD("ths_adjustment_nv_fund",V$3,$A877))</x:f>
        <x:v>#NAME?</x:v>
      </x:c>
      <x:c r="W877" s="146" t="e">
        <x:f>IF($A877="","",[1]!thsiFinD("ths_adjustment_nv_fund",W$3,$A877))</x:f>
        <x:v>#NAME?</x:v>
      </x:c>
      <x:c r="X877" s="146" t="e">
        <x:f>IF($A877="","",[1]!thsiFinD("ths_adjustment_nv_fund",X$3,$A877))</x:f>
        <x:v>#NAME?</x:v>
      </x:c>
      <x:c r="Y877" s="146" t="e">
        <x:f>IF($A877="","",[1]!thsiFinD("ths_adjustment_nv_fund",Y$3,$A877))</x:f>
        <x:v>#NAME?</x:v>
      </x:c>
      <x:c r="Z877" s="146" t="e">
        <x:f>IF($A877="","",[1]!thsiFinD("ths_adjustment_nv_fund",Z$3,$A877))</x:f>
        <x:v>#NAME?</x:v>
      </x:c>
      <x:c r="AA877" s="146" t="e">
        <x:f>IF($A877="","",[1]!thsiFinD("ths_adjustment_nv_fund",AA$3,$A877))</x:f>
        <x:v>#NAME?</x:v>
      </x:c>
    </x:row>
    <x:row r="878">
      <x:c r="B878" s="146" t="e">
        <x:f>IF($A878="","",[1]!thsiFinD("ths_adjustment_nv_fund",B$3,$A878))</x:f>
        <x:v>#NAME?</x:v>
      </x:c>
      <x:c r="C878" s="146" t="e">
        <x:f>IF($A878="","",[1]!thsiFinD("ths_adjustment_nv_fund",C$3,$A878))</x:f>
        <x:v>#NAME?</x:v>
      </x:c>
      <x:c r="D878" s="146" t="e">
        <x:f>IF($A878="","",[1]!thsiFinD("ths_adjustment_nv_fund",D$3,$A878))</x:f>
        <x:v>#NAME?</x:v>
      </x:c>
      <x:c r="E878" s="146" t="e">
        <x:f>IF($A878="","",[1]!thsiFinD("ths_adjustment_nv_fund",E$3,$A878))</x:f>
        <x:v>#NAME?</x:v>
      </x:c>
      <x:c r="F878" s="146" t="e">
        <x:f>IF($A878="","",[1]!thsiFinD("ths_adjustment_nv_fund",F$3,$A878))</x:f>
        <x:v>#NAME?</x:v>
      </x:c>
      <x:c r="G878" s="146" t="e">
        <x:f>IF($A878="","",[1]!thsiFinD("ths_adjustment_nv_fund",G$3,$A878))</x:f>
        <x:v>#NAME?</x:v>
      </x:c>
      <x:c r="H878" s="146" t="e">
        <x:f>IF($A878="","",[1]!thsiFinD("ths_adjustment_nv_fund",H$3,$A878))</x:f>
        <x:v>#NAME?</x:v>
      </x:c>
      <x:c r="I878" s="146" t="e">
        <x:f>IF($A878="","",[1]!thsiFinD("ths_adjustment_nv_fund",I$3,$A878))</x:f>
        <x:v>#NAME?</x:v>
      </x:c>
      <x:c r="J878" s="146" t="e">
        <x:f>IF($A878="","",[1]!thsiFinD("ths_adjustment_nv_fund",J$3,$A878))</x:f>
        <x:v>#NAME?</x:v>
      </x:c>
      <x:c r="K878" s="146" t="e">
        <x:f>IF($A878="","",[1]!thsiFinD("ths_adjustment_nv_fund",K$3,$A878))</x:f>
        <x:v>#NAME?</x:v>
      </x:c>
      <x:c r="L878" s="146" t="e">
        <x:f>IF($A878="","",[1]!thsiFinD("ths_adjustment_nv_fund",L$3,$A878))</x:f>
        <x:v>#NAME?</x:v>
      </x:c>
      <x:c r="M878" s="146" t="e">
        <x:f>IF($A878="","",[1]!thsiFinD("ths_adjustment_nv_fund",M$3,$A878))</x:f>
        <x:v>#NAME?</x:v>
      </x:c>
      <x:c r="N878" s="146" t="e">
        <x:f>IF($A878="","",[1]!thsiFinD("ths_adjustment_nv_fund",N$3,$A878))</x:f>
        <x:v>#NAME?</x:v>
      </x:c>
      <x:c r="O878" s="146" t="e">
        <x:f>IF($A878="","",[1]!thsiFinD("ths_adjustment_nv_fund",O$3,$A878))</x:f>
        <x:v>#NAME?</x:v>
      </x:c>
      <x:c r="P878" s="146" t="e">
        <x:f>IF($A878="","",[1]!thsiFinD("ths_adjustment_nv_fund",P$3,$A878))</x:f>
        <x:v>#NAME?</x:v>
      </x:c>
      <x:c r="Q878" s="146" t="e">
        <x:f>IF($A878="","",[1]!thsiFinD("ths_adjustment_nv_fund",Q$3,$A878))</x:f>
        <x:v>#NAME?</x:v>
      </x:c>
      <x:c r="R878" s="146" t="e">
        <x:f>IF($A878="","",[1]!thsiFinD("ths_adjustment_nv_fund",R$3,$A878))</x:f>
        <x:v>#NAME?</x:v>
      </x:c>
      <x:c r="S878" s="146" t="e">
        <x:f>IF($A878="","",[1]!thsiFinD("ths_adjustment_nv_fund",S$3,$A878))</x:f>
        <x:v>#NAME?</x:v>
      </x:c>
      <x:c r="T878" s="146" t="e">
        <x:f>IF($A878="","",[1]!thsiFinD("ths_adjustment_nv_fund",T$3,$A878))</x:f>
        <x:v>#NAME?</x:v>
      </x:c>
      <x:c r="U878" s="146" t="e">
        <x:f>IF($A878="","",[1]!thsiFinD("ths_adjustment_nv_fund",U$3,$A878))</x:f>
        <x:v>#NAME?</x:v>
      </x:c>
      <x:c r="V878" s="146" t="e">
        <x:f>IF($A878="","",[1]!thsiFinD("ths_adjustment_nv_fund",V$3,$A878))</x:f>
        <x:v>#NAME?</x:v>
      </x:c>
      <x:c r="W878" s="146" t="e">
        <x:f>IF($A878="","",[1]!thsiFinD("ths_adjustment_nv_fund",W$3,$A878))</x:f>
        <x:v>#NAME?</x:v>
      </x:c>
      <x:c r="X878" s="146" t="e">
        <x:f>IF($A878="","",[1]!thsiFinD("ths_adjustment_nv_fund",X$3,$A878))</x:f>
        <x:v>#NAME?</x:v>
      </x:c>
      <x:c r="Y878" s="146" t="e">
        <x:f>IF($A878="","",[1]!thsiFinD("ths_adjustment_nv_fund",Y$3,$A878))</x:f>
        <x:v>#NAME?</x:v>
      </x:c>
      <x:c r="Z878" s="146" t="e">
        <x:f>IF($A878="","",[1]!thsiFinD("ths_adjustment_nv_fund",Z$3,$A878))</x:f>
        <x:v>#NAME?</x:v>
      </x:c>
      <x:c r="AA878" s="146" t="e">
        <x:f>IF($A878="","",[1]!thsiFinD("ths_adjustment_nv_fund",AA$3,$A878))</x:f>
        <x:v>#NAME?</x:v>
      </x:c>
    </x:row>
    <x:row r="879">
      <x:c r="B879" s="146" t="e">
        <x:f>IF($A879="","",[1]!thsiFinD("ths_adjustment_nv_fund",B$3,$A879))</x:f>
        <x:v>#NAME?</x:v>
      </x:c>
      <x:c r="C879" s="146" t="e">
        <x:f>IF($A879="","",[1]!thsiFinD("ths_adjustment_nv_fund",C$3,$A879))</x:f>
        <x:v>#NAME?</x:v>
      </x:c>
      <x:c r="D879" s="146" t="e">
        <x:f>IF($A879="","",[1]!thsiFinD("ths_adjustment_nv_fund",D$3,$A879))</x:f>
        <x:v>#NAME?</x:v>
      </x:c>
      <x:c r="E879" s="146" t="e">
        <x:f>IF($A879="","",[1]!thsiFinD("ths_adjustment_nv_fund",E$3,$A879))</x:f>
        <x:v>#NAME?</x:v>
      </x:c>
      <x:c r="F879" s="146" t="e">
        <x:f>IF($A879="","",[1]!thsiFinD("ths_adjustment_nv_fund",F$3,$A879))</x:f>
        <x:v>#NAME?</x:v>
      </x:c>
      <x:c r="G879" s="146" t="e">
        <x:f>IF($A879="","",[1]!thsiFinD("ths_adjustment_nv_fund",G$3,$A879))</x:f>
        <x:v>#NAME?</x:v>
      </x:c>
      <x:c r="H879" s="146" t="e">
        <x:f>IF($A879="","",[1]!thsiFinD("ths_adjustment_nv_fund",H$3,$A879))</x:f>
        <x:v>#NAME?</x:v>
      </x:c>
      <x:c r="I879" s="146" t="e">
        <x:f>IF($A879="","",[1]!thsiFinD("ths_adjustment_nv_fund",I$3,$A879))</x:f>
        <x:v>#NAME?</x:v>
      </x:c>
      <x:c r="J879" s="146" t="e">
        <x:f>IF($A879="","",[1]!thsiFinD("ths_adjustment_nv_fund",J$3,$A879))</x:f>
        <x:v>#NAME?</x:v>
      </x:c>
      <x:c r="K879" s="146" t="e">
        <x:f>IF($A879="","",[1]!thsiFinD("ths_adjustment_nv_fund",K$3,$A879))</x:f>
        <x:v>#NAME?</x:v>
      </x:c>
      <x:c r="L879" s="146" t="e">
        <x:f>IF($A879="","",[1]!thsiFinD("ths_adjustment_nv_fund",L$3,$A879))</x:f>
        <x:v>#NAME?</x:v>
      </x:c>
      <x:c r="M879" s="146" t="e">
        <x:f>IF($A879="","",[1]!thsiFinD("ths_adjustment_nv_fund",M$3,$A879))</x:f>
        <x:v>#NAME?</x:v>
      </x:c>
      <x:c r="N879" s="146" t="e">
        <x:f>IF($A879="","",[1]!thsiFinD("ths_adjustment_nv_fund",N$3,$A879))</x:f>
        <x:v>#NAME?</x:v>
      </x:c>
      <x:c r="O879" s="146" t="e">
        <x:f>IF($A879="","",[1]!thsiFinD("ths_adjustment_nv_fund",O$3,$A879))</x:f>
        <x:v>#NAME?</x:v>
      </x:c>
      <x:c r="P879" s="146" t="e">
        <x:f>IF($A879="","",[1]!thsiFinD("ths_adjustment_nv_fund",P$3,$A879))</x:f>
        <x:v>#NAME?</x:v>
      </x:c>
      <x:c r="Q879" s="146" t="e">
        <x:f>IF($A879="","",[1]!thsiFinD("ths_adjustment_nv_fund",Q$3,$A879))</x:f>
        <x:v>#NAME?</x:v>
      </x:c>
      <x:c r="R879" s="146" t="e">
        <x:f>IF($A879="","",[1]!thsiFinD("ths_adjustment_nv_fund",R$3,$A879))</x:f>
        <x:v>#NAME?</x:v>
      </x:c>
      <x:c r="S879" s="146" t="e">
        <x:f>IF($A879="","",[1]!thsiFinD("ths_adjustment_nv_fund",S$3,$A879))</x:f>
        <x:v>#NAME?</x:v>
      </x:c>
      <x:c r="T879" s="146" t="e">
        <x:f>IF($A879="","",[1]!thsiFinD("ths_adjustment_nv_fund",T$3,$A879))</x:f>
        <x:v>#NAME?</x:v>
      </x:c>
      <x:c r="U879" s="146" t="e">
        <x:f>IF($A879="","",[1]!thsiFinD("ths_adjustment_nv_fund",U$3,$A879))</x:f>
        <x:v>#NAME?</x:v>
      </x:c>
      <x:c r="V879" s="146" t="e">
        <x:f>IF($A879="","",[1]!thsiFinD("ths_adjustment_nv_fund",V$3,$A879))</x:f>
        <x:v>#NAME?</x:v>
      </x:c>
      <x:c r="W879" s="146" t="e">
        <x:f>IF($A879="","",[1]!thsiFinD("ths_adjustment_nv_fund",W$3,$A879))</x:f>
        <x:v>#NAME?</x:v>
      </x:c>
      <x:c r="X879" s="146" t="e">
        <x:f>IF($A879="","",[1]!thsiFinD("ths_adjustment_nv_fund",X$3,$A879))</x:f>
        <x:v>#NAME?</x:v>
      </x:c>
      <x:c r="Y879" s="146" t="e">
        <x:f>IF($A879="","",[1]!thsiFinD("ths_adjustment_nv_fund",Y$3,$A879))</x:f>
        <x:v>#NAME?</x:v>
      </x:c>
      <x:c r="Z879" s="146" t="e">
        <x:f>IF($A879="","",[1]!thsiFinD("ths_adjustment_nv_fund",Z$3,$A879))</x:f>
        <x:v>#NAME?</x:v>
      </x:c>
      <x:c r="AA879" s="146" t="e">
        <x:f>IF($A879="","",[1]!thsiFinD("ths_adjustment_nv_fund",AA$3,$A879))</x:f>
        <x:v>#NAME?</x:v>
      </x:c>
    </x:row>
    <x:row r="880">
      <x:c r="B880" s="146" t="e">
        <x:f>IF($A880="","",[1]!thsiFinD("ths_adjustment_nv_fund",B$3,$A880))</x:f>
        <x:v>#NAME?</x:v>
      </x:c>
      <x:c r="C880" s="146" t="e">
        <x:f>IF($A880="","",[1]!thsiFinD("ths_adjustment_nv_fund",C$3,$A880))</x:f>
        <x:v>#NAME?</x:v>
      </x:c>
      <x:c r="D880" s="146" t="e">
        <x:f>IF($A880="","",[1]!thsiFinD("ths_adjustment_nv_fund",D$3,$A880))</x:f>
        <x:v>#NAME?</x:v>
      </x:c>
      <x:c r="E880" s="146" t="e">
        <x:f>IF($A880="","",[1]!thsiFinD("ths_adjustment_nv_fund",E$3,$A880))</x:f>
        <x:v>#NAME?</x:v>
      </x:c>
      <x:c r="F880" s="146" t="e">
        <x:f>IF($A880="","",[1]!thsiFinD("ths_adjustment_nv_fund",F$3,$A880))</x:f>
        <x:v>#NAME?</x:v>
      </x:c>
      <x:c r="G880" s="146" t="e">
        <x:f>IF($A880="","",[1]!thsiFinD("ths_adjustment_nv_fund",G$3,$A880))</x:f>
        <x:v>#NAME?</x:v>
      </x:c>
      <x:c r="H880" s="146" t="e">
        <x:f>IF($A880="","",[1]!thsiFinD("ths_adjustment_nv_fund",H$3,$A880))</x:f>
        <x:v>#NAME?</x:v>
      </x:c>
      <x:c r="I880" s="146" t="e">
        <x:f>IF($A880="","",[1]!thsiFinD("ths_adjustment_nv_fund",I$3,$A880))</x:f>
        <x:v>#NAME?</x:v>
      </x:c>
      <x:c r="J880" s="146" t="e">
        <x:f>IF($A880="","",[1]!thsiFinD("ths_adjustment_nv_fund",J$3,$A880))</x:f>
        <x:v>#NAME?</x:v>
      </x:c>
      <x:c r="K880" s="146" t="e">
        <x:f>IF($A880="","",[1]!thsiFinD("ths_adjustment_nv_fund",K$3,$A880))</x:f>
        <x:v>#NAME?</x:v>
      </x:c>
      <x:c r="L880" s="146" t="e">
        <x:f>IF($A880="","",[1]!thsiFinD("ths_adjustment_nv_fund",L$3,$A880))</x:f>
        <x:v>#NAME?</x:v>
      </x:c>
      <x:c r="M880" s="146" t="e">
        <x:f>IF($A880="","",[1]!thsiFinD("ths_adjustment_nv_fund",M$3,$A880))</x:f>
        <x:v>#NAME?</x:v>
      </x:c>
      <x:c r="N880" s="146" t="e">
        <x:f>IF($A880="","",[1]!thsiFinD("ths_adjustment_nv_fund",N$3,$A880))</x:f>
        <x:v>#NAME?</x:v>
      </x:c>
      <x:c r="O880" s="146" t="e">
        <x:f>IF($A880="","",[1]!thsiFinD("ths_adjustment_nv_fund",O$3,$A880))</x:f>
        <x:v>#NAME?</x:v>
      </x:c>
      <x:c r="P880" s="146" t="e">
        <x:f>IF($A880="","",[1]!thsiFinD("ths_adjustment_nv_fund",P$3,$A880))</x:f>
        <x:v>#NAME?</x:v>
      </x:c>
      <x:c r="Q880" s="146" t="e">
        <x:f>IF($A880="","",[1]!thsiFinD("ths_adjustment_nv_fund",Q$3,$A880))</x:f>
        <x:v>#NAME?</x:v>
      </x:c>
      <x:c r="R880" s="146" t="e">
        <x:f>IF($A880="","",[1]!thsiFinD("ths_adjustment_nv_fund",R$3,$A880))</x:f>
        <x:v>#NAME?</x:v>
      </x:c>
      <x:c r="S880" s="146" t="e">
        <x:f>IF($A880="","",[1]!thsiFinD("ths_adjustment_nv_fund",S$3,$A880))</x:f>
        <x:v>#NAME?</x:v>
      </x:c>
      <x:c r="T880" s="146" t="e">
        <x:f>IF($A880="","",[1]!thsiFinD("ths_adjustment_nv_fund",T$3,$A880))</x:f>
        <x:v>#NAME?</x:v>
      </x:c>
      <x:c r="U880" s="146" t="e">
        <x:f>IF($A880="","",[1]!thsiFinD("ths_adjustment_nv_fund",U$3,$A880))</x:f>
        <x:v>#NAME?</x:v>
      </x:c>
      <x:c r="V880" s="146" t="e">
        <x:f>IF($A880="","",[1]!thsiFinD("ths_adjustment_nv_fund",V$3,$A880))</x:f>
        <x:v>#NAME?</x:v>
      </x:c>
      <x:c r="W880" s="146" t="e">
        <x:f>IF($A880="","",[1]!thsiFinD("ths_adjustment_nv_fund",W$3,$A880))</x:f>
        <x:v>#NAME?</x:v>
      </x:c>
      <x:c r="X880" s="146" t="e">
        <x:f>IF($A880="","",[1]!thsiFinD("ths_adjustment_nv_fund",X$3,$A880))</x:f>
        <x:v>#NAME?</x:v>
      </x:c>
      <x:c r="Y880" s="146" t="e">
        <x:f>IF($A880="","",[1]!thsiFinD("ths_adjustment_nv_fund",Y$3,$A880))</x:f>
        <x:v>#NAME?</x:v>
      </x:c>
      <x:c r="Z880" s="146" t="e">
        <x:f>IF($A880="","",[1]!thsiFinD("ths_adjustment_nv_fund",Z$3,$A880))</x:f>
        <x:v>#NAME?</x:v>
      </x:c>
      <x:c r="AA880" s="146" t="e">
        <x:f>IF($A880="","",[1]!thsiFinD("ths_adjustment_nv_fund",AA$3,$A880))</x:f>
        <x:v>#NAME?</x:v>
      </x:c>
    </x:row>
    <x:row r="881">
      <x:c r="B881" s="146" t="e">
        <x:f>IF($A881="","",[1]!thsiFinD("ths_adjustment_nv_fund",B$3,$A881))</x:f>
        <x:v>#NAME?</x:v>
      </x:c>
      <x:c r="C881" s="146" t="e">
        <x:f>IF($A881="","",[1]!thsiFinD("ths_adjustment_nv_fund",C$3,$A881))</x:f>
        <x:v>#NAME?</x:v>
      </x:c>
      <x:c r="D881" s="146" t="e">
        <x:f>IF($A881="","",[1]!thsiFinD("ths_adjustment_nv_fund",D$3,$A881))</x:f>
        <x:v>#NAME?</x:v>
      </x:c>
      <x:c r="E881" s="146" t="e">
        <x:f>IF($A881="","",[1]!thsiFinD("ths_adjustment_nv_fund",E$3,$A881))</x:f>
        <x:v>#NAME?</x:v>
      </x:c>
      <x:c r="F881" s="146" t="e">
        <x:f>IF($A881="","",[1]!thsiFinD("ths_adjustment_nv_fund",F$3,$A881))</x:f>
        <x:v>#NAME?</x:v>
      </x:c>
      <x:c r="G881" s="146" t="e">
        <x:f>IF($A881="","",[1]!thsiFinD("ths_adjustment_nv_fund",G$3,$A881))</x:f>
        <x:v>#NAME?</x:v>
      </x:c>
      <x:c r="H881" s="146" t="e">
        <x:f>IF($A881="","",[1]!thsiFinD("ths_adjustment_nv_fund",H$3,$A881))</x:f>
        <x:v>#NAME?</x:v>
      </x:c>
      <x:c r="I881" s="146" t="e">
        <x:f>IF($A881="","",[1]!thsiFinD("ths_adjustment_nv_fund",I$3,$A881))</x:f>
        <x:v>#NAME?</x:v>
      </x:c>
      <x:c r="J881" s="146" t="e">
        <x:f>IF($A881="","",[1]!thsiFinD("ths_adjustment_nv_fund",J$3,$A881))</x:f>
        <x:v>#NAME?</x:v>
      </x:c>
      <x:c r="K881" s="146" t="e">
        <x:f>IF($A881="","",[1]!thsiFinD("ths_adjustment_nv_fund",K$3,$A881))</x:f>
        <x:v>#NAME?</x:v>
      </x:c>
      <x:c r="L881" s="146" t="e">
        <x:f>IF($A881="","",[1]!thsiFinD("ths_adjustment_nv_fund",L$3,$A881))</x:f>
        <x:v>#NAME?</x:v>
      </x:c>
      <x:c r="M881" s="146" t="e">
        <x:f>IF($A881="","",[1]!thsiFinD("ths_adjustment_nv_fund",M$3,$A881))</x:f>
        <x:v>#NAME?</x:v>
      </x:c>
      <x:c r="N881" s="146" t="e">
        <x:f>IF($A881="","",[1]!thsiFinD("ths_adjustment_nv_fund",N$3,$A881))</x:f>
        <x:v>#NAME?</x:v>
      </x:c>
      <x:c r="O881" s="146" t="e">
        <x:f>IF($A881="","",[1]!thsiFinD("ths_adjustment_nv_fund",O$3,$A881))</x:f>
        <x:v>#NAME?</x:v>
      </x:c>
      <x:c r="P881" s="146" t="e">
        <x:f>IF($A881="","",[1]!thsiFinD("ths_adjustment_nv_fund",P$3,$A881))</x:f>
        <x:v>#NAME?</x:v>
      </x:c>
      <x:c r="Q881" s="146" t="e">
        <x:f>IF($A881="","",[1]!thsiFinD("ths_adjustment_nv_fund",Q$3,$A881))</x:f>
        <x:v>#NAME?</x:v>
      </x:c>
      <x:c r="R881" s="146" t="e">
        <x:f>IF($A881="","",[1]!thsiFinD("ths_adjustment_nv_fund",R$3,$A881))</x:f>
        <x:v>#NAME?</x:v>
      </x:c>
      <x:c r="S881" s="146" t="e">
        <x:f>IF($A881="","",[1]!thsiFinD("ths_adjustment_nv_fund",S$3,$A881))</x:f>
        <x:v>#NAME?</x:v>
      </x:c>
      <x:c r="T881" s="146" t="e">
        <x:f>IF($A881="","",[1]!thsiFinD("ths_adjustment_nv_fund",T$3,$A881))</x:f>
        <x:v>#NAME?</x:v>
      </x:c>
      <x:c r="U881" s="146" t="e">
        <x:f>IF($A881="","",[1]!thsiFinD("ths_adjustment_nv_fund",U$3,$A881))</x:f>
        <x:v>#NAME?</x:v>
      </x:c>
      <x:c r="V881" s="146" t="e">
        <x:f>IF($A881="","",[1]!thsiFinD("ths_adjustment_nv_fund",V$3,$A881))</x:f>
        <x:v>#NAME?</x:v>
      </x:c>
      <x:c r="W881" s="146" t="e">
        <x:f>IF($A881="","",[1]!thsiFinD("ths_adjustment_nv_fund",W$3,$A881))</x:f>
        <x:v>#NAME?</x:v>
      </x:c>
      <x:c r="X881" s="146" t="e">
        <x:f>IF($A881="","",[1]!thsiFinD("ths_adjustment_nv_fund",X$3,$A881))</x:f>
        <x:v>#NAME?</x:v>
      </x:c>
      <x:c r="Y881" s="146" t="e">
        <x:f>IF($A881="","",[1]!thsiFinD("ths_adjustment_nv_fund",Y$3,$A881))</x:f>
        <x:v>#NAME?</x:v>
      </x:c>
      <x:c r="Z881" s="146" t="e">
        <x:f>IF($A881="","",[1]!thsiFinD("ths_adjustment_nv_fund",Z$3,$A881))</x:f>
        <x:v>#NAME?</x:v>
      </x:c>
      <x:c r="AA881" s="146" t="e">
        <x:f>IF($A881="","",[1]!thsiFinD("ths_adjustment_nv_fund",AA$3,$A881))</x:f>
        <x:v>#NAME?</x:v>
      </x:c>
    </x:row>
    <x:row r="882">
      <x:c r="B882" s="146" t="e">
        <x:f>IF($A882="","",[1]!thsiFinD("ths_adjustment_nv_fund",B$3,$A882))</x:f>
        <x:v>#NAME?</x:v>
      </x:c>
      <x:c r="C882" s="146" t="e">
        <x:f>IF($A882="","",[1]!thsiFinD("ths_adjustment_nv_fund",C$3,$A882))</x:f>
        <x:v>#NAME?</x:v>
      </x:c>
      <x:c r="D882" s="146" t="e">
        <x:f>IF($A882="","",[1]!thsiFinD("ths_adjustment_nv_fund",D$3,$A882))</x:f>
        <x:v>#NAME?</x:v>
      </x:c>
      <x:c r="E882" s="146" t="e">
        <x:f>IF($A882="","",[1]!thsiFinD("ths_adjustment_nv_fund",E$3,$A882))</x:f>
        <x:v>#NAME?</x:v>
      </x:c>
      <x:c r="F882" s="146" t="e">
        <x:f>IF($A882="","",[1]!thsiFinD("ths_adjustment_nv_fund",F$3,$A882))</x:f>
        <x:v>#NAME?</x:v>
      </x:c>
      <x:c r="G882" s="146" t="e">
        <x:f>IF($A882="","",[1]!thsiFinD("ths_adjustment_nv_fund",G$3,$A882))</x:f>
        <x:v>#NAME?</x:v>
      </x:c>
      <x:c r="H882" s="146" t="e">
        <x:f>IF($A882="","",[1]!thsiFinD("ths_adjustment_nv_fund",H$3,$A882))</x:f>
        <x:v>#NAME?</x:v>
      </x:c>
      <x:c r="I882" s="146" t="e">
        <x:f>IF($A882="","",[1]!thsiFinD("ths_adjustment_nv_fund",I$3,$A882))</x:f>
        <x:v>#NAME?</x:v>
      </x:c>
      <x:c r="J882" s="146" t="e">
        <x:f>IF($A882="","",[1]!thsiFinD("ths_adjustment_nv_fund",J$3,$A882))</x:f>
        <x:v>#NAME?</x:v>
      </x:c>
      <x:c r="K882" s="146" t="e">
        <x:f>IF($A882="","",[1]!thsiFinD("ths_adjustment_nv_fund",K$3,$A882))</x:f>
        <x:v>#NAME?</x:v>
      </x:c>
      <x:c r="L882" s="146" t="e">
        <x:f>IF($A882="","",[1]!thsiFinD("ths_adjustment_nv_fund",L$3,$A882))</x:f>
        <x:v>#NAME?</x:v>
      </x:c>
      <x:c r="M882" s="146" t="e">
        <x:f>IF($A882="","",[1]!thsiFinD("ths_adjustment_nv_fund",M$3,$A882))</x:f>
        <x:v>#NAME?</x:v>
      </x:c>
      <x:c r="N882" s="146" t="e">
        <x:f>IF($A882="","",[1]!thsiFinD("ths_adjustment_nv_fund",N$3,$A882))</x:f>
        <x:v>#NAME?</x:v>
      </x:c>
      <x:c r="O882" s="146" t="e">
        <x:f>IF($A882="","",[1]!thsiFinD("ths_adjustment_nv_fund",O$3,$A882))</x:f>
        <x:v>#NAME?</x:v>
      </x:c>
      <x:c r="P882" s="146" t="e">
        <x:f>IF($A882="","",[1]!thsiFinD("ths_adjustment_nv_fund",P$3,$A882))</x:f>
        <x:v>#NAME?</x:v>
      </x:c>
      <x:c r="Q882" s="146" t="e">
        <x:f>IF($A882="","",[1]!thsiFinD("ths_adjustment_nv_fund",Q$3,$A882))</x:f>
        <x:v>#NAME?</x:v>
      </x:c>
      <x:c r="R882" s="146" t="e">
        <x:f>IF($A882="","",[1]!thsiFinD("ths_adjustment_nv_fund",R$3,$A882))</x:f>
        <x:v>#NAME?</x:v>
      </x:c>
      <x:c r="S882" s="146" t="e">
        <x:f>IF($A882="","",[1]!thsiFinD("ths_adjustment_nv_fund",S$3,$A882))</x:f>
        <x:v>#NAME?</x:v>
      </x:c>
      <x:c r="T882" s="146" t="e">
        <x:f>IF($A882="","",[1]!thsiFinD("ths_adjustment_nv_fund",T$3,$A882))</x:f>
        <x:v>#NAME?</x:v>
      </x:c>
      <x:c r="U882" s="146" t="e">
        <x:f>IF($A882="","",[1]!thsiFinD("ths_adjustment_nv_fund",U$3,$A882))</x:f>
        <x:v>#NAME?</x:v>
      </x:c>
      <x:c r="V882" s="146" t="e">
        <x:f>IF($A882="","",[1]!thsiFinD("ths_adjustment_nv_fund",V$3,$A882))</x:f>
        <x:v>#NAME?</x:v>
      </x:c>
      <x:c r="W882" s="146" t="e">
        <x:f>IF($A882="","",[1]!thsiFinD("ths_adjustment_nv_fund",W$3,$A882))</x:f>
        <x:v>#NAME?</x:v>
      </x:c>
      <x:c r="X882" s="146" t="e">
        <x:f>IF($A882="","",[1]!thsiFinD("ths_adjustment_nv_fund",X$3,$A882))</x:f>
        <x:v>#NAME?</x:v>
      </x:c>
      <x:c r="Y882" s="146" t="e">
        <x:f>IF($A882="","",[1]!thsiFinD("ths_adjustment_nv_fund",Y$3,$A882))</x:f>
        <x:v>#NAME?</x:v>
      </x:c>
      <x:c r="Z882" s="146" t="e">
        <x:f>IF($A882="","",[1]!thsiFinD("ths_adjustment_nv_fund",Z$3,$A882))</x:f>
        <x:v>#NAME?</x:v>
      </x:c>
      <x:c r="AA882" s="146" t="e">
        <x:f>IF($A882="","",[1]!thsiFinD("ths_adjustment_nv_fund",AA$3,$A882))</x:f>
        <x:v>#NAME?</x:v>
      </x:c>
    </x:row>
    <x:row r="883">
      <x:c r="B883" s="146" t="e">
        <x:f>IF($A883="","",[1]!thsiFinD("ths_adjustment_nv_fund",B$3,$A883))</x:f>
        <x:v>#NAME?</x:v>
      </x:c>
      <x:c r="C883" s="146" t="e">
        <x:f>IF($A883="","",[1]!thsiFinD("ths_adjustment_nv_fund",C$3,$A883))</x:f>
        <x:v>#NAME?</x:v>
      </x:c>
      <x:c r="D883" s="146" t="e">
        <x:f>IF($A883="","",[1]!thsiFinD("ths_adjustment_nv_fund",D$3,$A883))</x:f>
        <x:v>#NAME?</x:v>
      </x:c>
      <x:c r="E883" s="146" t="e">
        <x:f>IF($A883="","",[1]!thsiFinD("ths_adjustment_nv_fund",E$3,$A883))</x:f>
        <x:v>#NAME?</x:v>
      </x:c>
      <x:c r="F883" s="146" t="e">
        <x:f>IF($A883="","",[1]!thsiFinD("ths_adjustment_nv_fund",F$3,$A883))</x:f>
        <x:v>#NAME?</x:v>
      </x:c>
      <x:c r="G883" s="146" t="e">
        <x:f>IF($A883="","",[1]!thsiFinD("ths_adjustment_nv_fund",G$3,$A883))</x:f>
        <x:v>#NAME?</x:v>
      </x:c>
      <x:c r="H883" s="146" t="e">
        <x:f>IF($A883="","",[1]!thsiFinD("ths_adjustment_nv_fund",H$3,$A883))</x:f>
        <x:v>#NAME?</x:v>
      </x:c>
      <x:c r="I883" s="146" t="e">
        <x:f>IF($A883="","",[1]!thsiFinD("ths_adjustment_nv_fund",I$3,$A883))</x:f>
        <x:v>#NAME?</x:v>
      </x:c>
      <x:c r="J883" s="146" t="e">
        <x:f>IF($A883="","",[1]!thsiFinD("ths_adjustment_nv_fund",J$3,$A883))</x:f>
        <x:v>#NAME?</x:v>
      </x:c>
      <x:c r="K883" s="146" t="e">
        <x:f>IF($A883="","",[1]!thsiFinD("ths_adjustment_nv_fund",K$3,$A883))</x:f>
        <x:v>#NAME?</x:v>
      </x:c>
      <x:c r="L883" s="146" t="e">
        <x:f>IF($A883="","",[1]!thsiFinD("ths_adjustment_nv_fund",L$3,$A883))</x:f>
        <x:v>#NAME?</x:v>
      </x:c>
      <x:c r="M883" s="146" t="e">
        <x:f>IF($A883="","",[1]!thsiFinD("ths_adjustment_nv_fund",M$3,$A883))</x:f>
        <x:v>#NAME?</x:v>
      </x:c>
      <x:c r="N883" s="146" t="e">
        <x:f>IF($A883="","",[1]!thsiFinD("ths_adjustment_nv_fund",N$3,$A883))</x:f>
        <x:v>#NAME?</x:v>
      </x:c>
      <x:c r="O883" s="146" t="e">
        <x:f>IF($A883="","",[1]!thsiFinD("ths_adjustment_nv_fund",O$3,$A883))</x:f>
        <x:v>#NAME?</x:v>
      </x:c>
      <x:c r="P883" s="146" t="e">
        <x:f>IF($A883="","",[1]!thsiFinD("ths_adjustment_nv_fund",P$3,$A883))</x:f>
        <x:v>#NAME?</x:v>
      </x:c>
      <x:c r="Q883" s="146" t="e">
        <x:f>IF($A883="","",[1]!thsiFinD("ths_adjustment_nv_fund",Q$3,$A883))</x:f>
        <x:v>#NAME?</x:v>
      </x:c>
      <x:c r="R883" s="146" t="e">
        <x:f>IF($A883="","",[1]!thsiFinD("ths_adjustment_nv_fund",R$3,$A883))</x:f>
        <x:v>#NAME?</x:v>
      </x:c>
      <x:c r="S883" s="146" t="e">
        <x:f>IF($A883="","",[1]!thsiFinD("ths_adjustment_nv_fund",S$3,$A883))</x:f>
        <x:v>#NAME?</x:v>
      </x:c>
      <x:c r="T883" s="146" t="e">
        <x:f>IF($A883="","",[1]!thsiFinD("ths_adjustment_nv_fund",T$3,$A883))</x:f>
        <x:v>#NAME?</x:v>
      </x:c>
      <x:c r="U883" s="146" t="e">
        <x:f>IF($A883="","",[1]!thsiFinD("ths_adjustment_nv_fund",U$3,$A883))</x:f>
        <x:v>#NAME?</x:v>
      </x:c>
      <x:c r="V883" s="146" t="e">
        <x:f>IF($A883="","",[1]!thsiFinD("ths_adjustment_nv_fund",V$3,$A883))</x:f>
        <x:v>#NAME?</x:v>
      </x:c>
      <x:c r="W883" s="146" t="e">
        <x:f>IF($A883="","",[1]!thsiFinD("ths_adjustment_nv_fund",W$3,$A883))</x:f>
        <x:v>#NAME?</x:v>
      </x:c>
      <x:c r="X883" s="146" t="e">
        <x:f>IF($A883="","",[1]!thsiFinD("ths_adjustment_nv_fund",X$3,$A883))</x:f>
        <x:v>#NAME?</x:v>
      </x:c>
      <x:c r="Y883" s="146" t="e">
        <x:f>IF($A883="","",[1]!thsiFinD("ths_adjustment_nv_fund",Y$3,$A883))</x:f>
        <x:v>#NAME?</x:v>
      </x:c>
      <x:c r="Z883" s="146" t="e">
        <x:f>IF($A883="","",[1]!thsiFinD("ths_adjustment_nv_fund",Z$3,$A883))</x:f>
        <x:v>#NAME?</x:v>
      </x:c>
      <x:c r="AA883" s="146" t="e">
        <x:f>IF($A883="","",[1]!thsiFinD("ths_adjustment_nv_fund",AA$3,$A883))</x:f>
        <x:v>#NAME?</x:v>
      </x:c>
    </x:row>
    <x:row r="884">
      <x:c r="B884" s="146" t="e">
        <x:f>IF($A884="","",[1]!thsiFinD("ths_adjustment_nv_fund",B$3,$A884))</x:f>
        <x:v>#NAME?</x:v>
      </x:c>
      <x:c r="C884" s="146" t="e">
        <x:f>IF($A884="","",[1]!thsiFinD("ths_adjustment_nv_fund",C$3,$A884))</x:f>
        <x:v>#NAME?</x:v>
      </x:c>
      <x:c r="D884" s="146" t="e">
        <x:f>IF($A884="","",[1]!thsiFinD("ths_adjustment_nv_fund",D$3,$A884))</x:f>
        <x:v>#NAME?</x:v>
      </x:c>
      <x:c r="E884" s="146" t="e">
        <x:f>IF($A884="","",[1]!thsiFinD("ths_adjustment_nv_fund",E$3,$A884))</x:f>
        <x:v>#NAME?</x:v>
      </x:c>
      <x:c r="F884" s="146" t="e">
        <x:f>IF($A884="","",[1]!thsiFinD("ths_adjustment_nv_fund",F$3,$A884))</x:f>
        <x:v>#NAME?</x:v>
      </x:c>
      <x:c r="G884" s="146" t="e">
        <x:f>IF($A884="","",[1]!thsiFinD("ths_adjustment_nv_fund",G$3,$A884))</x:f>
        <x:v>#NAME?</x:v>
      </x:c>
      <x:c r="H884" s="146" t="e">
        <x:f>IF($A884="","",[1]!thsiFinD("ths_adjustment_nv_fund",H$3,$A884))</x:f>
        <x:v>#NAME?</x:v>
      </x:c>
      <x:c r="I884" s="146" t="e">
        <x:f>IF($A884="","",[1]!thsiFinD("ths_adjustment_nv_fund",I$3,$A884))</x:f>
        <x:v>#NAME?</x:v>
      </x:c>
      <x:c r="J884" s="146" t="e">
        <x:f>IF($A884="","",[1]!thsiFinD("ths_adjustment_nv_fund",J$3,$A884))</x:f>
        <x:v>#NAME?</x:v>
      </x:c>
      <x:c r="K884" s="146" t="e">
        <x:f>IF($A884="","",[1]!thsiFinD("ths_adjustment_nv_fund",K$3,$A884))</x:f>
        <x:v>#NAME?</x:v>
      </x:c>
      <x:c r="L884" s="146" t="e">
        <x:f>IF($A884="","",[1]!thsiFinD("ths_adjustment_nv_fund",L$3,$A884))</x:f>
        <x:v>#NAME?</x:v>
      </x:c>
      <x:c r="M884" s="146" t="e">
        <x:f>IF($A884="","",[1]!thsiFinD("ths_adjustment_nv_fund",M$3,$A884))</x:f>
        <x:v>#NAME?</x:v>
      </x:c>
      <x:c r="N884" s="146" t="e">
        <x:f>IF($A884="","",[1]!thsiFinD("ths_adjustment_nv_fund",N$3,$A884))</x:f>
        <x:v>#NAME?</x:v>
      </x:c>
      <x:c r="O884" s="146" t="e">
        <x:f>IF($A884="","",[1]!thsiFinD("ths_adjustment_nv_fund",O$3,$A884))</x:f>
        <x:v>#NAME?</x:v>
      </x:c>
      <x:c r="P884" s="146" t="e">
        <x:f>IF($A884="","",[1]!thsiFinD("ths_adjustment_nv_fund",P$3,$A884))</x:f>
        <x:v>#NAME?</x:v>
      </x:c>
      <x:c r="Q884" s="146" t="e">
        <x:f>IF($A884="","",[1]!thsiFinD("ths_adjustment_nv_fund",Q$3,$A884))</x:f>
        <x:v>#NAME?</x:v>
      </x:c>
      <x:c r="R884" s="146" t="e">
        <x:f>IF($A884="","",[1]!thsiFinD("ths_adjustment_nv_fund",R$3,$A884))</x:f>
        <x:v>#NAME?</x:v>
      </x:c>
      <x:c r="S884" s="146" t="e">
        <x:f>IF($A884="","",[1]!thsiFinD("ths_adjustment_nv_fund",S$3,$A884))</x:f>
        <x:v>#NAME?</x:v>
      </x:c>
      <x:c r="T884" s="146" t="e">
        <x:f>IF($A884="","",[1]!thsiFinD("ths_adjustment_nv_fund",T$3,$A884))</x:f>
        <x:v>#NAME?</x:v>
      </x:c>
      <x:c r="U884" s="146" t="e">
        <x:f>IF($A884="","",[1]!thsiFinD("ths_adjustment_nv_fund",U$3,$A884))</x:f>
        <x:v>#NAME?</x:v>
      </x:c>
      <x:c r="V884" s="146" t="e">
        <x:f>IF($A884="","",[1]!thsiFinD("ths_adjustment_nv_fund",V$3,$A884))</x:f>
        <x:v>#NAME?</x:v>
      </x:c>
      <x:c r="W884" s="146" t="e">
        <x:f>IF($A884="","",[1]!thsiFinD("ths_adjustment_nv_fund",W$3,$A884))</x:f>
        <x:v>#NAME?</x:v>
      </x:c>
      <x:c r="X884" s="146" t="e">
        <x:f>IF($A884="","",[1]!thsiFinD("ths_adjustment_nv_fund",X$3,$A884))</x:f>
        <x:v>#NAME?</x:v>
      </x:c>
      <x:c r="Y884" s="146" t="e">
        <x:f>IF($A884="","",[1]!thsiFinD("ths_adjustment_nv_fund",Y$3,$A884))</x:f>
        <x:v>#NAME?</x:v>
      </x:c>
      <x:c r="Z884" s="146" t="e">
        <x:f>IF($A884="","",[1]!thsiFinD("ths_adjustment_nv_fund",Z$3,$A884))</x:f>
        <x:v>#NAME?</x:v>
      </x:c>
      <x:c r="AA884" s="146" t="e">
        <x:f>IF($A884="","",[1]!thsiFinD("ths_adjustment_nv_fund",AA$3,$A884))</x:f>
        <x:v>#NAME?</x:v>
      </x:c>
    </x:row>
    <x:row r="885">
      <x:c r="B885" s="146" t="e">
        <x:f>IF($A885="","",[1]!thsiFinD("ths_adjustment_nv_fund",B$3,$A885))</x:f>
        <x:v>#NAME?</x:v>
      </x:c>
      <x:c r="C885" s="146" t="e">
        <x:f>IF($A885="","",[1]!thsiFinD("ths_adjustment_nv_fund",C$3,$A885))</x:f>
        <x:v>#NAME?</x:v>
      </x:c>
      <x:c r="D885" s="146" t="e">
        <x:f>IF($A885="","",[1]!thsiFinD("ths_adjustment_nv_fund",D$3,$A885))</x:f>
        <x:v>#NAME?</x:v>
      </x:c>
      <x:c r="E885" s="146" t="e">
        <x:f>IF($A885="","",[1]!thsiFinD("ths_adjustment_nv_fund",E$3,$A885))</x:f>
        <x:v>#NAME?</x:v>
      </x:c>
      <x:c r="F885" s="146" t="e">
        <x:f>IF($A885="","",[1]!thsiFinD("ths_adjustment_nv_fund",F$3,$A885))</x:f>
        <x:v>#NAME?</x:v>
      </x:c>
      <x:c r="G885" s="146" t="e">
        <x:f>IF($A885="","",[1]!thsiFinD("ths_adjustment_nv_fund",G$3,$A885))</x:f>
        <x:v>#NAME?</x:v>
      </x:c>
      <x:c r="H885" s="146" t="e">
        <x:f>IF($A885="","",[1]!thsiFinD("ths_adjustment_nv_fund",H$3,$A885))</x:f>
        <x:v>#NAME?</x:v>
      </x:c>
      <x:c r="I885" s="146" t="e">
        <x:f>IF($A885="","",[1]!thsiFinD("ths_adjustment_nv_fund",I$3,$A885))</x:f>
        <x:v>#NAME?</x:v>
      </x:c>
      <x:c r="J885" s="146" t="e">
        <x:f>IF($A885="","",[1]!thsiFinD("ths_adjustment_nv_fund",J$3,$A885))</x:f>
        <x:v>#NAME?</x:v>
      </x:c>
      <x:c r="K885" s="146" t="e">
        <x:f>IF($A885="","",[1]!thsiFinD("ths_adjustment_nv_fund",K$3,$A885))</x:f>
        <x:v>#NAME?</x:v>
      </x:c>
      <x:c r="L885" s="146" t="e">
        <x:f>IF($A885="","",[1]!thsiFinD("ths_adjustment_nv_fund",L$3,$A885))</x:f>
        <x:v>#NAME?</x:v>
      </x:c>
      <x:c r="M885" s="146" t="e">
        <x:f>IF($A885="","",[1]!thsiFinD("ths_adjustment_nv_fund",M$3,$A885))</x:f>
        <x:v>#NAME?</x:v>
      </x:c>
      <x:c r="N885" s="146" t="e">
        <x:f>IF($A885="","",[1]!thsiFinD("ths_adjustment_nv_fund",N$3,$A885))</x:f>
        <x:v>#NAME?</x:v>
      </x:c>
      <x:c r="O885" s="146" t="e">
        <x:f>IF($A885="","",[1]!thsiFinD("ths_adjustment_nv_fund",O$3,$A885))</x:f>
        <x:v>#NAME?</x:v>
      </x:c>
      <x:c r="P885" s="146" t="e">
        <x:f>IF($A885="","",[1]!thsiFinD("ths_adjustment_nv_fund",P$3,$A885))</x:f>
        <x:v>#NAME?</x:v>
      </x:c>
      <x:c r="Q885" s="146" t="e">
        <x:f>IF($A885="","",[1]!thsiFinD("ths_adjustment_nv_fund",Q$3,$A885))</x:f>
        <x:v>#NAME?</x:v>
      </x:c>
      <x:c r="R885" s="146" t="e">
        <x:f>IF($A885="","",[1]!thsiFinD("ths_adjustment_nv_fund",R$3,$A885))</x:f>
        <x:v>#NAME?</x:v>
      </x:c>
      <x:c r="S885" s="146" t="e">
        <x:f>IF($A885="","",[1]!thsiFinD("ths_adjustment_nv_fund",S$3,$A885))</x:f>
        <x:v>#NAME?</x:v>
      </x:c>
      <x:c r="T885" s="146" t="e">
        <x:f>IF($A885="","",[1]!thsiFinD("ths_adjustment_nv_fund",T$3,$A885))</x:f>
        <x:v>#NAME?</x:v>
      </x:c>
      <x:c r="U885" s="146" t="e">
        <x:f>IF($A885="","",[1]!thsiFinD("ths_adjustment_nv_fund",U$3,$A885))</x:f>
        <x:v>#NAME?</x:v>
      </x:c>
      <x:c r="V885" s="146" t="e">
        <x:f>IF($A885="","",[1]!thsiFinD("ths_adjustment_nv_fund",V$3,$A885))</x:f>
        <x:v>#NAME?</x:v>
      </x:c>
      <x:c r="W885" s="146" t="e">
        <x:f>IF($A885="","",[1]!thsiFinD("ths_adjustment_nv_fund",W$3,$A885))</x:f>
        <x:v>#NAME?</x:v>
      </x:c>
      <x:c r="X885" s="146" t="e">
        <x:f>IF($A885="","",[1]!thsiFinD("ths_adjustment_nv_fund",X$3,$A885))</x:f>
        <x:v>#NAME?</x:v>
      </x:c>
      <x:c r="Y885" s="146" t="e">
        <x:f>IF($A885="","",[1]!thsiFinD("ths_adjustment_nv_fund",Y$3,$A885))</x:f>
        <x:v>#NAME?</x:v>
      </x:c>
      <x:c r="Z885" s="146" t="e">
        <x:f>IF($A885="","",[1]!thsiFinD("ths_adjustment_nv_fund",Z$3,$A885))</x:f>
        <x:v>#NAME?</x:v>
      </x:c>
      <x:c r="AA885" s="146" t="e">
        <x:f>IF($A885="","",[1]!thsiFinD("ths_adjustment_nv_fund",AA$3,$A885))</x:f>
        <x:v>#NAME?</x:v>
      </x:c>
    </x:row>
    <x:row r="886">
      <x:c r="B886" s="146" t="e">
        <x:f>IF($A886="","",[1]!thsiFinD("ths_adjustment_nv_fund",B$3,$A886))</x:f>
        <x:v>#NAME?</x:v>
      </x:c>
      <x:c r="C886" s="146" t="e">
        <x:f>IF($A886="","",[1]!thsiFinD("ths_adjustment_nv_fund",C$3,$A886))</x:f>
        <x:v>#NAME?</x:v>
      </x:c>
      <x:c r="D886" s="146" t="e">
        <x:f>IF($A886="","",[1]!thsiFinD("ths_adjustment_nv_fund",D$3,$A886))</x:f>
        <x:v>#NAME?</x:v>
      </x:c>
      <x:c r="E886" s="146" t="e">
        <x:f>IF($A886="","",[1]!thsiFinD("ths_adjustment_nv_fund",E$3,$A886))</x:f>
        <x:v>#NAME?</x:v>
      </x:c>
      <x:c r="F886" s="146" t="e">
        <x:f>IF($A886="","",[1]!thsiFinD("ths_adjustment_nv_fund",F$3,$A886))</x:f>
        <x:v>#NAME?</x:v>
      </x:c>
      <x:c r="G886" s="146" t="e">
        <x:f>IF($A886="","",[1]!thsiFinD("ths_adjustment_nv_fund",G$3,$A886))</x:f>
        <x:v>#NAME?</x:v>
      </x:c>
      <x:c r="H886" s="146" t="e">
        <x:f>IF($A886="","",[1]!thsiFinD("ths_adjustment_nv_fund",H$3,$A886))</x:f>
        <x:v>#NAME?</x:v>
      </x:c>
      <x:c r="I886" s="146" t="e">
        <x:f>IF($A886="","",[1]!thsiFinD("ths_adjustment_nv_fund",I$3,$A886))</x:f>
        <x:v>#NAME?</x:v>
      </x:c>
      <x:c r="J886" s="146" t="e">
        <x:f>IF($A886="","",[1]!thsiFinD("ths_adjustment_nv_fund",J$3,$A886))</x:f>
        <x:v>#NAME?</x:v>
      </x:c>
      <x:c r="K886" s="146" t="e">
        <x:f>IF($A886="","",[1]!thsiFinD("ths_adjustment_nv_fund",K$3,$A886))</x:f>
        <x:v>#NAME?</x:v>
      </x:c>
      <x:c r="L886" s="146" t="e">
        <x:f>IF($A886="","",[1]!thsiFinD("ths_adjustment_nv_fund",L$3,$A886))</x:f>
        <x:v>#NAME?</x:v>
      </x:c>
      <x:c r="M886" s="146" t="e">
        <x:f>IF($A886="","",[1]!thsiFinD("ths_adjustment_nv_fund",M$3,$A886))</x:f>
        <x:v>#NAME?</x:v>
      </x:c>
      <x:c r="N886" s="146" t="e">
        <x:f>IF($A886="","",[1]!thsiFinD("ths_adjustment_nv_fund",N$3,$A886))</x:f>
        <x:v>#NAME?</x:v>
      </x:c>
      <x:c r="O886" s="146" t="e">
        <x:f>IF($A886="","",[1]!thsiFinD("ths_adjustment_nv_fund",O$3,$A886))</x:f>
        <x:v>#NAME?</x:v>
      </x:c>
      <x:c r="P886" s="146" t="e">
        <x:f>IF($A886="","",[1]!thsiFinD("ths_adjustment_nv_fund",P$3,$A886))</x:f>
        <x:v>#NAME?</x:v>
      </x:c>
      <x:c r="Q886" s="146" t="e">
        <x:f>IF($A886="","",[1]!thsiFinD("ths_adjustment_nv_fund",Q$3,$A886))</x:f>
        <x:v>#NAME?</x:v>
      </x:c>
      <x:c r="R886" s="146" t="e">
        <x:f>IF($A886="","",[1]!thsiFinD("ths_adjustment_nv_fund",R$3,$A886))</x:f>
        <x:v>#NAME?</x:v>
      </x:c>
      <x:c r="S886" s="146" t="e">
        <x:f>IF($A886="","",[1]!thsiFinD("ths_adjustment_nv_fund",S$3,$A886))</x:f>
        <x:v>#NAME?</x:v>
      </x:c>
      <x:c r="T886" s="146" t="e">
        <x:f>IF($A886="","",[1]!thsiFinD("ths_adjustment_nv_fund",T$3,$A886))</x:f>
        <x:v>#NAME?</x:v>
      </x:c>
      <x:c r="U886" s="146" t="e">
        <x:f>IF($A886="","",[1]!thsiFinD("ths_adjustment_nv_fund",U$3,$A886))</x:f>
        <x:v>#NAME?</x:v>
      </x:c>
      <x:c r="V886" s="146" t="e">
        <x:f>IF($A886="","",[1]!thsiFinD("ths_adjustment_nv_fund",V$3,$A886))</x:f>
        <x:v>#NAME?</x:v>
      </x:c>
      <x:c r="W886" s="146" t="e">
        <x:f>IF($A886="","",[1]!thsiFinD("ths_adjustment_nv_fund",W$3,$A886))</x:f>
        <x:v>#NAME?</x:v>
      </x:c>
      <x:c r="X886" s="146" t="e">
        <x:f>IF($A886="","",[1]!thsiFinD("ths_adjustment_nv_fund",X$3,$A886))</x:f>
        <x:v>#NAME?</x:v>
      </x:c>
      <x:c r="Y886" s="146" t="e">
        <x:f>IF($A886="","",[1]!thsiFinD("ths_adjustment_nv_fund",Y$3,$A886))</x:f>
        <x:v>#NAME?</x:v>
      </x:c>
      <x:c r="Z886" s="146" t="e">
        <x:f>IF($A886="","",[1]!thsiFinD("ths_adjustment_nv_fund",Z$3,$A886))</x:f>
        <x:v>#NAME?</x:v>
      </x:c>
      <x:c r="AA886" s="146" t="e">
        <x:f>IF($A886="","",[1]!thsiFinD("ths_adjustment_nv_fund",AA$3,$A886))</x:f>
        <x:v>#NAME?</x:v>
      </x:c>
    </x:row>
    <x:row r="887">
      <x:c r="B887" s="146" t="e">
        <x:f>IF($A887="","",[1]!thsiFinD("ths_adjustment_nv_fund",B$3,$A887))</x:f>
        <x:v>#NAME?</x:v>
      </x:c>
      <x:c r="C887" s="146" t="e">
        <x:f>IF($A887="","",[1]!thsiFinD("ths_adjustment_nv_fund",C$3,$A887))</x:f>
        <x:v>#NAME?</x:v>
      </x:c>
      <x:c r="D887" s="146" t="e">
        <x:f>IF($A887="","",[1]!thsiFinD("ths_adjustment_nv_fund",D$3,$A887))</x:f>
        <x:v>#NAME?</x:v>
      </x:c>
      <x:c r="E887" s="146" t="e">
        <x:f>IF($A887="","",[1]!thsiFinD("ths_adjustment_nv_fund",E$3,$A887))</x:f>
        <x:v>#NAME?</x:v>
      </x:c>
      <x:c r="F887" s="146" t="e">
        <x:f>IF($A887="","",[1]!thsiFinD("ths_adjustment_nv_fund",F$3,$A887))</x:f>
        <x:v>#NAME?</x:v>
      </x:c>
      <x:c r="G887" s="146" t="e">
        <x:f>IF($A887="","",[1]!thsiFinD("ths_adjustment_nv_fund",G$3,$A887))</x:f>
        <x:v>#NAME?</x:v>
      </x:c>
      <x:c r="H887" s="146" t="e">
        <x:f>IF($A887="","",[1]!thsiFinD("ths_adjustment_nv_fund",H$3,$A887))</x:f>
        <x:v>#NAME?</x:v>
      </x:c>
      <x:c r="I887" s="146" t="e">
        <x:f>IF($A887="","",[1]!thsiFinD("ths_adjustment_nv_fund",I$3,$A887))</x:f>
        <x:v>#NAME?</x:v>
      </x:c>
      <x:c r="J887" s="146" t="e">
        <x:f>IF($A887="","",[1]!thsiFinD("ths_adjustment_nv_fund",J$3,$A887))</x:f>
        <x:v>#NAME?</x:v>
      </x:c>
      <x:c r="K887" s="146" t="e">
        <x:f>IF($A887="","",[1]!thsiFinD("ths_adjustment_nv_fund",K$3,$A887))</x:f>
        <x:v>#NAME?</x:v>
      </x:c>
      <x:c r="L887" s="146" t="e">
        <x:f>IF($A887="","",[1]!thsiFinD("ths_adjustment_nv_fund",L$3,$A887))</x:f>
        <x:v>#NAME?</x:v>
      </x:c>
      <x:c r="M887" s="146" t="e">
        <x:f>IF($A887="","",[1]!thsiFinD("ths_adjustment_nv_fund",M$3,$A887))</x:f>
        <x:v>#NAME?</x:v>
      </x:c>
      <x:c r="N887" s="146" t="e">
        <x:f>IF($A887="","",[1]!thsiFinD("ths_adjustment_nv_fund",N$3,$A887))</x:f>
        <x:v>#NAME?</x:v>
      </x:c>
      <x:c r="O887" s="146" t="e">
        <x:f>IF($A887="","",[1]!thsiFinD("ths_adjustment_nv_fund",O$3,$A887))</x:f>
        <x:v>#NAME?</x:v>
      </x:c>
      <x:c r="P887" s="146" t="e">
        <x:f>IF($A887="","",[1]!thsiFinD("ths_adjustment_nv_fund",P$3,$A887))</x:f>
        <x:v>#NAME?</x:v>
      </x:c>
      <x:c r="Q887" s="146" t="e">
        <x:f>IF($A887="","",[1]!thsiFinD("ths_adjustment_nv_fund",Q$3,$A887))</x:f>
        <x:v>#NAME?</x:v>
      </x:c>
      <x:c r="R887" s="146" t="e">
        <x:f>IF($A887="","",[1]!thsiFinD("ths_adjustment_nv_fund",R$3,$A887))</x:f>
        <x:v>#NAME?</x:v>
      </x:c>
      <x:c r="S887" s="146" t="e">
        <x:f>IF($A887="","",[1]!thsiFinD("ths_adjustment_nv_fund",S$3,$A887))</x:f>
        <x:v>#NAME?</x:v>
      </x:c>
      <x:c r="T887" s="146" t="e">
        <x:f>IF($A887="","",[1]!thsiFinD("ths_adjustment_nv_fund",T$3,$A887))</x:f>
        <x:v>#NAME?</x:v>
      </x:c>
      <x:c r="U887" s="146" t="e">
        <x:f>IF($A887="","",[1]!thsiFinD("ths_adjustment_nv_fund",U$3,$A887))</x:f>
        <x:v>#NAME?</x:v>
      </x:c>
      <x:c r="V887" s="146" t="e">
        <x:f>IF($A887="","",[1]!thsiFinD("ths_adjustment_nv_fund",V$3,$A887))</x:f>
        <x:v>#NAME?</x:v>
      </x:c>
      <x:c r="W887" s="146" t="e">
        <x:f>IF($A887="","",[1]!thsiFinD("ths_adjustment_nv_fund",W$3,$A887))</x:f>
        <x:v>#NAME?</x:v>
      </x:c>
      <x:c r="X887" s="146" t="e">
        <x:f>IF($A887="","",[1]!thsiFinD("ths_adjustment_nv_fund",X$3,$A887))</x:f>
        <x:v>#NAME?</x:v>
      </x:c>
      <x:c r="Y887" s="146" t="e">
        <x:f>IF($A887="","",[1]!thsiFinD("ths_adjustment_nv_fund",Y$3,$A887))</x:f>
        <x:v>#NAME?</x:v>
      </x:c>
      <x:c r="Z887" s="146" t="e">
        <x:f>IF($A887="","",[1]!thsiFinD("ths_adjustment_nv_fund",Z$3,$A887))</x:f>
        <x:v>#NAME?</x:v>
      </x:c>
      <x:c r="AA887" s="146" t="e">
        <x:f>IF($A887="","",[1]!thsiFinD("ths_adjustment_nv_fund",AA$3,$A887))</x:f>
        <x:v>#NAME?</x:v>
      </x:c>
    </x:row>
    <x:row r="888">
      <x:c r="B888" s="146" t="e">
        <x:f>IF($A888="","",[1]!thsiFinD("ths_adjustment_nv_fund",B$3,$A888))</x:f>
        <x:v>#NAME?</x:v>
      </x:c>
      <x:c r="C888" s="146" t="e">
        <x:f>IF($A888="","",[1]!thsiFinD("ths_adjustment_nv_fund",C$3,$A888))</x:f>
        <x:v>#NAME?</x:v>
      </x:c>
      <x:c r="D888" s="146" t="e">
        <x:f>IF($A888="","",[1]!thsiFinD("ths_adjustment_nv_fund",D$3,$A888))</x:f>
        <x:v>#NAME?</x:v>
      </x:c>
      <x:c r="E888" s="146" t="e">
        <x:f>IF($A888="","",[1]!thsiFinD("ths_adjustment_nv_fund",E$3,$A888))</x:f>
        <x:v>#NAME?</x:v>
      </x:c>
      <x:c r="F888" s="146" t="e">
        <x:f>IF($A888="","",[1]!thsiFinD("ths_adjustment_nv_fund",F$3,$A888))</x:f>
        <x:v>#NAME?</x:v>
      </x:c>
      <x:c r="G888" s="146" t="e">
        <x:f>IF($A888="","",[1]!thsiFinD("ths_adjustment_nv_fund",G$3,$A888))</x:f>
        <x:v>#NAME?</x:v>
      </x:c>
      <x:c r="H888" s="146" t="e">
        <x:f>IF($A888="","",[1]!thsiFinD("ths_adjustment_nv_fund",H$3,$A888))</x:f>
        <x:v>#NAME?</x:v>
      </x:c>
      <x:c r="I888" s="146" t="e">
        <x:f>IF($A888="","",[1]!thsiFinD("ths_adjustment_nv_fund",I$3,$A888))</x:f>
        <x:v>#NAME?</x:v>
      </x:c>
      <x:c r="J888" s="146" t="e">
        <x:f>IF($A888="","",[1]!thsiFinD("ths_adjustment_nv_fund",J$3,$A888))</x:f>
        <x:v>#NAME?</x:v>
      </x:c>
      <x:c r="K888" s="146" t="e">
        <x:f>IF($A888="","",[1]!thsiFinD("ths_adjustment_nv_fund",K$3,$A888))</x:f>
        <x:v>#NAME?</x:v>
      </x:c>
      <x:c r="L888" s="146" t="e">
        <x:f>IF($A888="","",[1]!thsiFinD("ths_adjustment_nv_fund",L$3,$A888))</x:f>
        <x:v>#NAME?</x:v>
      </x:c>
      <x:c r="M888" s="146" t="e">
        <x:f>IF($A888="","",[1]!thsiFinD("ths_adjustment_nv_fund",M$3,$A888))</x:f>
        <x:v>#NAME?</x:v>
      </x:c>
      <x:c r="N888" s="146" t="e">
        <x:f>IF($A888="","",[1]!thsiFinD("ths_adjustment_nv_fund",N$3,$A888))</x:f>
        <x:v>#NAME?</x:v>
      </x:c>
      <x:c r="O888" s="146" t="e">
        <x:f>IF($A888="","",[1]!thsiFinD("ths_adjustment_nv_fund",O$3,$A888))</x:f>
        <x:v>#NAME?</x:v>
      </x:c>
      <x:c r="P888" s="146" t="e">
        <x:f>IF($A888="","",[1]!thsiFinD("ths_adjustment_nv_fund",P$3,$A888))</x:f>
        <x:v>#NAME?</x:v>
      </x:c>
      <x:c r="Q888" s="146" t="e">
        <x:f>IF($A888="","",[1]!thsiFinD("ths_adjustment_nv_fund",Q$3,$A888))</x:f>
        <x:v>#NAME?</x:v>
      </x:c>
      <x:c r="R888" s="146" t="e">
        <x:f>IF($A888="","",[1]!thsiFinD("ths_adjustment_nv_fund",R$3,$A888))</x:f>
        <x:v>#NAME?</x:v>
      </x:c>
      <x:c r="S888" s="146" t="e">
        <x:f>IF($A888="","",[1]!thsiFinD("ths_adjustment_nv_fund",S$3,$A888))</x:f>
        <x:v>#NAME?</x:v>
      </x:c>
      <x:c r="T888" s="146" t="e">
        <x:f>IF($A888="","",[1]!thsiFinD("ths_adjustment_nv_fund",T$3,$A888))</x:f>
        <x:v>#NAME?</x:v>
      </x:c>
      <x:c r="U888" s="146" t="e">
        <x:f>IF($A888="","",[1]!thsiFinD("ths_adjustment_nv_fund",U$3,$A888))</x:f>
        <x:v>#NAME?</x:v>
      </x:c>
      <x:c r="V888" s="146" t="e">
        <x:f>IF($A888="","",[1]!thsiFinD("ths_adjustment_nv_fund",V$3,$A888))</x:f>
        <x:v>#NAME?</x:v>
      </x:c>
      <x:c r="W888" s="146" t="e">
        <x:f>IF($A888="","",[1]!thsiFinD("ths_adjustment_nv_fund",W$3,$A888))</x:f>
        <x:v>#NAME?</x:v>
      </x:c>
      <x:c r="X888" s="146" t="e">
        <x:f>IF($A888="","",[1]!thsiFinD("ths_adjustment_nv_fund",X$3,$A888))</x:f>
        <x:v>#NAME?</x:v>
      </x:c>
      <x:c r="Y888" s="146" t="e">
        <x:f>IF($A888="","",[1]!thsiFinD("ths_adjustment_nv_fund",Y$3,$A888))</x:f>
        <x:v>#NAME?</x:v>
      </x:c>
      <x:c r="Z888" s="146" t="e">
        <x:f>IF($A888="","",[1]!thsiFinD("ths_adjustment_nv_fund",Z$3,$A888))</x:f>
        <x:v>#NAME?</x:v>
      </x:c>
      <x:c r="AA888" s="146" t="e">
        <x:f>IF($A888="","",[1]!thsiFinD("ths_adjustment_nv_fund",AA$3,$A888))</x:f>
        <x:v>#NAME?</x:v>
      </x:c>
    </x:row>
    <x:row r="889">
      <x:c r="B889" s="146" t="e">
        <x:f>IF($A889="","",[1]!thsiFinD("ths_adjustment_nv_fund",B$3,$A889))</x:f>
        <x:v>#NAME?</x:v>
      </x:c>
      <x:c r="C889" s="146" t="e">
        <x:f>IF($A889="","",[1]!thsiFinD("ths_adjustment_nv_fund",C$3,$A889))</x:f>
        <x:v>#NAME?</x:v>
      </x:c>
      <x:c r="D889" s="146" t="e">
        <x:f>IF($A889="","",[1]!thsiFinD("ths_adjustment_nv_fund",D$3,$A889))</x:f>
        <x:v>#NAME?</x:v>
      </x:c>
      <x:c r="E889" s="146" t="e">
        <x:f>IF($A889="","",[1]!thsiFinD("ths_adjustment_nv_fund",E$3,$A889))</x:f>
        <x:v>#NAME?</x:v>
      </x:c>
      <x:c r="F889" s="146" t="e">
        <x:f>IF($A889="","",[1]!thsiFinD("ths_adjustment_nv_fund",F$3,$A889))</x:f>
        <x:v>#NAME?</x:v>
      </x:c>
      <x:c r="G889" s="146" t="e">
        <x:f>IF($A889="","",[1]!thsiFinD("ths_adjustment_nv_fund",G$3,$A889))</x:f>
        <x:v>#NAME?</x:v>
      </x:c>
      <x:c r="H889" s="146" t="e">
        <x:f>IF($A889="","",[1]!thsiFinD("ths_adjustment_nv_fund",H$3,$A889))</x:f>
        <x:v>#NAME?</x:v>
      </x:c>
      <x:c r="I889" s="146" t="e">
        <x:f>IF($A889="","",[1]!thsiFinD("ths_adjustment_nv_fund",I$3,$A889))</x:f>
        <x:v>#NAME?</x:v>
      </x:c>
      <x:c r="J889" s="146" t="e">
        <x:f>IF($A889="","",[1]!thsiFinD("ths_adjustment_nv_fund",J$3,$A889))</x:f>
        <x:v>#NAME?</x:v>
      </x:c>
      <x:c r="K889" s="146" t="e">
        <x:f>IF($A889="","",[1]!thsiFinD("ths_adjustment_nv_fund",K$3,$A889))</x:f>
        <x:v>#NAME?</x:v>
      </x:c>
      <x:c r="L889" s="146" t="e">
        <x:f>IF($A889="","",[1]!thsiFinD("ths_adjustment_nv_fund",L$3,$A889))</x:f>
        <x:v>#NAME?</x:v>
      </x:c>
      <x:c r="M889" s="146" t="e">
        <x:f>IF($A889="","",[1]!thsiFinD("ths_adjustment_nv_fund",M$3,$A889))</x:f>
        <x:v>#NAME?</x:v>
      </x:c>
      <x:c r="N889" s="146" t="e">
        <x:f>IF($A889="","",[1]!thsiFinD("ths_adjustment_nv_fund",N$3,$A889))</x:f>
        <x:v>#NAME?</x:v>
      </x:c>
      <x:c r="O889" s="146" t="e">
        <x:f>IF($A889="","",[1]!thsiFinD("ths_adjustment_nv_fund",O$3,$A889))</x:f>
        <x:v>#NAME?</x:v>
      </x:c>
      <x:c r="P889" s="146" t="e">
        <x:f>IF($A889="","",[1]!thsiFinD("ths_adjustment_nv_fund",P$3,$A889))</x:f>
        <x:v>#NAME?</x:v>
      </x:c>
      <x:c r="Q889" s="146" t="e">
        <x:f>IF($A889="","",[1]!thsiFinD("ths_adjustment_nv_fund",Q$3,$A889))</x:f>
        <x:v>#NAME?</x:v>
      </x:c>
      <x:c r="R889" s="146" t="e">
        <x:f>IF($A889="","",[1]!thsiFinD("ths_adjustment_nv_fund",R$3,$A889))</x:f>
        <x:v>#NAME?</x:v>
      </x:c>
      <x:c r="S889" s="146" t="e">
        <x:f>IF($A889="","",[1]!thsiFinD("ths_adjustment_nv_fund",S$3,$A889))</x:f>
        <x:v>#NAME?</x:v>
      </x:c>
      <x:c r="T889" s="146" t="e">
        <x:f>IF($A889="","",[1]!thsiFinD("ths_adjustment_nv_fund",T$3,$A889))</x:f>
        <x:v>#NAME?</x:v>
      </x:c>
      <x:c r="U889" s="146" t="e">
        <x:f>IF($A889="","",[1]!thsiFinD("ths_adjustment_nv_fund",U$3,$A889))</x:f>
        <x:v>#NAME?</x:v>
      </x:c>
      <x:c r="V889" s="146" t="e">
        <x:f>IF($A889="","",[1]!thsiFinD("ths_adjustment_nv_fund",V$3,$A889))</x:f>
        <x:v>#NAME?</x:v>
      </x:c>
      <x:c r="W889" s="146" t="e">
        <x:f>IF($A889="","",[1]!thsiFinD("ths_adjustment_nv_fund",W$3,$A889))</x:f>
        <x:v>#NAME?</x:v>
      </x:c>
      <x:c r="X889" s="146" t="e">
        <x:f>IF($A889="","",[1]!thsiFinD("ths_adjustment_nv_fund",X$3,$A889))</x:f>
        <x:v>#NAME?</x:v>
      </x:c>
      <x:c r="Y889" s="146" t="e">
        <x:f>IF($A889="","",[1]!thsiFinD("ths_adjustment_nv_fund",Y$3,$A889))</x:f>
        <x:v>#NAME?</x:v>
      </x:c>
      <x:c r="Z889" s="146" t="e">
        <x:f>IF($A889="","",[1]!thsiFinD("ths_adjustment_nv_fund",Z$3,$A889))</x:f>
        <x:v>#NAME?</x:v>
      </x:c>
      <x:c r="AA889" s="146" t="e">
        <x:f>IF($A889="","",[1]!thsiFinD("ths_adjustment_nv_fund",AA$3,$A889))</x:f>
        <x:v>#NAME?</x:v>
      </x:c>
    </x:row>
    <x:row r="890">
      <x:c r="B890" s="146" t="e">
        <x:f>IF($A890="","",[1]!thsiFinD("ths_adjustment_nv_fund",B$3,$A890))</x:f>
        <x:v>#NAME?</x:v>
      </x:c>
      <x:c r="C890" s="146" t="e">
        <x:f>IF($A890="","",[1]!thsiFinD("ths_adjustment_nv_fund",C$3,$A890))</x:f>
        <x:v>#NAME?</x:v>
      </x:c>
      <x:c r="D890" s="146" t="e">
        <x:f>IF($A890="","",[1]!thsiFinD("ths_adjustment_nv_fund",D$3,$A890))</x:f>
        <x:v>#NAME?</x:v>
      </x:c>
      <x:c r="E890" s="146" t="e">
        <x:f>IF($A890="","",[1]!thsiFinD("ths_adjustment_nv_fund",E$3,$A890))</x:f>
        <x:v>#NAME?</x:v>
      </x:c>
      <x:c r="F890" s="146" t="e">
        <x:f>IF($A890="","",[1]!thsiFinD("ths_adjustment_nv_fund",F$3,$A890))</x:f>
        <x:v>#NAME?</x:v>
      </x:c>
      <x:c r="G890" s="146" t="e">
        <x:f>IF($A890="","",[1]!thsiFinD("ths_adjustment_nv_fund",G$3,$A890))</x:f>
        <x:v>#NAME?</x:v>
      </x:c>
      <x:c r="H890" s="146" t="e">
        <x:f>IF($A890="","",[1]!thsiFinD("ths_adjustment_nv_fund",H$3,$A890))</x:f>
        <x:v>#NAME?</x:v>
      </x:c>
      <x:c r="I890" s="146" t="e">
        <x:f>IF($A890="","",[1]!thsiFinD("ths_adjustment_nv_fund",I$3,$A890))</x:f>
        <x:v>#NAME?</x:v>
      </x:c>
      <x:c r="J890" s="146" t="e">
        <x:f>IF($A890="","",[1]!thsiFinD("ths_adjustment_nv_fund",J$3,$A890))</x:f>
        <x:v>#NAME?</x:v>
      </x:c>
      <x:c r="K890" s="146" t="e">
        <x:f>IF($A890="","",[1]!thsiFinD("ths_adjustment_nv_fund",K$3,$A890))</x:f>
        <x:v>#NAME?</x:v>
      </x:c>
      <x:c r="L890" s="146" t="e">
        <x:f>IF($A890="","",[1]!thsiFinD("ths_adjustment_nv_fund",L$3,$A890))</x:f>
        <x:v>#NAME?</x:v>
      </x:c>
      <x:c r="M890" s="146" t="e">
        <x:f>IF($A890="","",[1]!thsiFinD("ths_adjustment_nv_fund",M$3,$A890))</x:f>
        <x:v>#NAME?</x:v>
      </x:c>
      <x:c r="N890" s="146" t="e">
        <x:f>IF($A890="","",[1]!thsiFinD("ths_adjustment_nv_fund",N$3,$A890))</x:f>
        <x:v>#NAME?</x:v>
      </x:c>
      <x:c r="O890" s="146" t="e">
        <x:f>IF($A890="","",[1]!thsiFinD("ths_adjustment_nv_fund",O$3,$A890))</x:f>
        <x:v>#NAME?</x:v>
      </x:c>
      <x:c r="P890" s="146" t="e">
        <x:f>IF($A890="","",[1]!thsiFinD("ths_adjustment_nv_fund",P$3,$A890))</x:f>
        <x:v>#NAME?</x:v>
      </x:c>
      <x:c r="Q890" s="146" t="e">
        <x:f>IF($A890="","",[1]!thsiFinD("ths_adjustment_nv_fund",Q$3,$A890))</x:f>
        <x:v>#NAME?</x:v>
      </x:c>
      <x:c r="R890" s="146" t="e">
        <x:f>IF($A890="","",[1]!thsiFinD("ths_adjustment_nv_fund",R$3,$A890))</x:f>
        <x:v>#NAME?</x:v>
      </x:c>
      <x:c r="S890" s="146" t="e">
        <x:f>IF($A890="","",[1]!thsiFinD("ths_adjustment_nv_fund",S$3,$A890))</x:f>
        <x:v>#NAME?</x:v>
      </x:c>
      <x:c r="T890" s="146" t="e">
        <x:f>IF($A890="","",[1]!thsiFinD("ths_adjustment_nv_fund",T$3,$A890))</x:f>
        <x:v>#NAME?</x:v>
      </x:c>
      <x:c r="U890" s="146" t="e">
        <x:f>IF($A890="","",[1]!thsiFinD("ths_adjustment_nv_fund",U$3,$A890))</x:f>
        <x:v>#NAME?</x:v>
      </x:c>
      <x:c r="V890" s="146" t="e">
        <x:f>IF($A890="","",[1]!thsiFinD("ths_adjustment_nv_fund",V$3,$A890))</x:f>
        <x:v>#NAME?</x:v>
      </x:c>
      <x:c r="W890" s="146" t="e">
        <x:f>IF($A890="","",[1]!thsiFinD("ths_adjustment_nv_fund",W$3,$A890))</x:f>
        <x:v>#NAME?</x:v>
      </x:c>
      <x:c r="X890" s="146" t="e">
        <x:f>IF($A890="","",[1]!thsiFinD("ths_adjustment_nv_fund",X$3,$A890))</x:f>
        <x:v>#NAME?</x:v>
      </x:c>
      <x:c r="Y890" s="146" t="e">
        <x:f>IF($A890="","",[1]!thsiFinD("ths_adjustment_nv_fund",Y$3,$A890))</x:f>
        <x:v>#NAME?</x:v>
      </x:c>
      <x:c r="Z890" s="146" t="e">
        <x:f>IF($A890="","",[1]!thsiFinD("ths_adjustment_nv_fund",Z$3,$A890))</x:f>
        <x:v>#NAME?</x:v>
      </x:c>
      <x:c r="AA890" s="146" t="e">
        <x:f>IF($A890="","",[1]!thsiFinD("ths_adjustment_nv_fund",AA$3,$A890))</x:f>
        <x:v>#NAME?</x:v>
      </x:c>
    </x:row>
    <x:row r="891">
      <x:c r="B891" s="146" t="e">
        <x:f>IF($A891="","",[1]!thsiFinD("ths_adjustment_nv_fund",B$3,$A891))</x:f>
        <x:v>#NAME?</x:v>
      </x:c>
      <x:c r="C891" s="146" t="e">
        <x:f>IF($A891="","",[1]!thsiFinD("ths_adjustment_nv_fund",C$3,$A891))</x:f>
        <x:v>#NAME?</x:v>
      </x:c>
      <x:c r="D891" s="146" t="e">
        <x:f>IF($A891="","",[1]!thsiFinD("ths_adjustment_nv_fund",D$3,$A891))</x:f>
        <x:v>#NAME?</x:v>
      </x:c>
      <x:c r="E891" s="146" t="e">
        <x:f>IF($A891="","",[1]!thsiFinD("ths_adjustment_nv_fund",E$3,$A891))</x:f>
        <x:v>#NAME?</x:v>
      </x:c>
      <x:c r="F891" s="146" t="e">
        <x:f>IF($A891="","",[1]!thsiFinD("ths_adjustment_nv_fund",F$3,$A891))</x:f>
        <x:v>#NAME?</x:v>
      </x:c>
      <x:c r="G891" s="146" t="e">
        <x:f>IF($A891="","",[1]!thsiFinD("ths_adjustment_nv_fund",G$3,$A891))</x:f>
        <x:v>#NAME?</x:v>
      </x:c>
      <x:c r="H891" s="146" t="e">
        <x:f>IF($A891="","",[1]!thsiFinD("ths_adjustment_nv_fund",H$3,$A891))</x:f>
        <x:v>#NAME?</x:v>
      </x:c>
      <x:c r="I891" s="146" t="e">
        <x:f>IF($A891="","",[1]!thsiFinD("ths_adjustment_nv_fund",I$3,$A891))</x:f>
        <x:v>#NAME?</x:v>
      </x:c>
      <x:c r="J891" s="146" t="e">
        <x:f>IF($A891="","",[1]!thsiFinD("ths_adjustment_nv_fund",J$3,$A891))</x:f>
        <x:v>#NAME?</x:v>
      </x:c>
      <x:c r="K891" s="146" t="e">
        <x:f>IF($A891="","",[1]!thsiFinD("ths_adjustment_nv_fund",K$3,$A891))</x:f>
        <x:v>#NAME?</x:v>
      </x:c>
      <x:c r="L891" s="146" t="e">
        <x:f>IF($A891="","",[1]!thsiFinD("ths_adjustment_nv_fund",L$3,$A891))</x:f>
        <x:v>#NAME?</x:v>
      </x:c>
      <x:c r="M891" s="146" t="e">
        <x:f>IF($A891="","",[1]!thsiFinD("ths_adjustment_nv_fund",M$3,$A891))</x:f>
        <x:v>#NAME?</x:v>
      </x:c>
      <x:c r="N891" s="146" t="e">
        <x:f>IF($A891="","",[1]!thsiFinD("ths_adjustment_nv_fund",N$3,$A891))</x:f>
        <x:v>#NAME?</x:v>
      </x:c>
      <x:c r="O891" s="146" t="e">
        <x:f>IF($A891="","",[1]!thsiFinD("ths_adjustment_nv_fund",O$3,$A891))</x:f>
        <x:v>#NAME?</x:v>
      </x:c>
      <x:c r="P891" s="146" t="e">
        <x:f>IF($A891="","",[1]!thsiFinD("ths_adjustment_nv_fund",P$3,$A891))</x:f>
        <x:v>#NAME?</x:v>
      </x:c>
      <x:c r="Q891" s="146" t="e">
        <x:f>IF($A891="","",[1]!thsiFinD("ths_adjustment_nv_fund",Q$3,$A891))</x:f>
        <x:v>#NAME?</x:v>
      </x:c>
      <x:c r="R891" s="146" t="e">
        <x:f>IF($A891="","",[1]!thsiFinD("ths_adjustment_nv_fund",R$3,$A891))</x:f>
        <x:v>#NAME?</x:v>
      </x:c>
      <x:c r="S891" s="146" t="e">
        <x:f>IF($A891="","",[1]!thsiFinD("ths_adjustment_nv_fund",S$3,$A891))</x:f>
        <x:v>#NAME?</x:v>
      </x:c>
      <x:c r="T891" s="146" t="e">
        <x:f>IF($A891="","",[1]!thsiFinD("ths_adjustment_nv_fund",T$3,$A891))</x:f>
        <x:v>#NAME?</x:v>
      </x:c>
      <x:c r="U891" s="146" t="e">
        <x:f>IF($A891="","",[1]!thsiFinD("ths_adjustment_nv_fund",U$3,$A891))</x:f>
        <x:v>#NAME?</x:v>
      </x:c>
      <x:c r="V891" s="146" t="e">
        <x:f>IF($A891="","",[1]!thsiFinD("ths_adjustment_nv_fund",V$3,$A891))</x:f>
        <x:v>#NAME?</x:v>
      </x:c>
      <x:c r="W891" s="146" t="e">
        <x:f>IF($A891="","",[1]!thsiFinD("ths_adjustment_nv_fund",W$3,$A891))</x:f>
        <x:v>#NAME?</x:v>
      </x:c>
      <x:c r="X891" s="146" t="e">
        <x:f>IF($A891="","",[1]!thsiFinD("ths_adjustment_nv_fund",X$3,$A891))</x:f>
        <x:v>#NAME?</x:v>
      </x:c>
      <x:c r="Y891" s="146" t="e">
        <x:f>IF($A891="","",[1]!thsiFinD("ths_adjustment_nv_fund",Y$3,$A891))</x:f>
        <x:v>#NAME?</x:v>
      </x:c>
      <x:c r="Z891" s="146" t="e">
        <x:f>IF($A891="","",[1]!thsiFinD("ths_adjustment_nv_fund",Z$3,$A891))</x:f>
        <x:v>#NAME?</x:v>
      </x:c>
      <x:c r="AA891" s="146" t="e">
        <x:f>IF($A891="","",[1]!thsiFinD("ths_adjustment_nv_fund",AA$3,$A891))</x:f>
        <x:v>#NAME?</x:v>
      </x:c>
    </x:row>
    <x:row r="892">
      <x:c r="B892" s="146" t="e">
        <x:f>IF($A892="","",[1]!thsiFinD("ths_adjustment_nv_fund",B$3,$A892))</x:f>
        <x:v>#NAME?</x:v>
      </x:c>
      <x:c r="C892" s="146" t="e">
        <x:f>IF($A892="","",[1]!thsiFinD("ths_adjustment_nv_fund",C$3,$A892))</x:f>
        <x:v>#NAME?</x:v>
      </x:c>
      <x:c r="D892" s="146" t="e">
        <x:f>IF($A892="","",[1]!thsiFinD("ths_adjustment_nv_fund",D$3,$A892))</x:f>
        <x:v>#NAME?</x:v>
      </x:c>
      <x:c r="E892" s="146" t="e">
        <x:f>IF($A892="","",[1]!thsiFinD("ths_adjustment_nv_fund",E$3,$A892))</x:f>
        <x:v>#NAME?</x:v>
      </x:c>
      <x:c r="F892" s="146" t="e">
        <x:f>IF($A892="","",[1]!thsiFinD("ths_adjustment_nv_fund",F$3,$A892))</x:f>
        <x:v>#NAME?</x:v>
      </x:c>
      <x:c r="G892" s="146" t="e">
        <x:f>IF($A892="","",[1]!thsiFinD("ths_adjustment_nv_fund",G$3,$A892))</x:f>
        <x:v>#NAME?</x:v>
      </x:c>
      <x:c r="H892" s="146" t="e">
        <x:f>IF($A892="","",[1]!thsiFinD("ths_adjustment_nv_fund",H$3,$A892))</x:f>
        <x:v>#NAME?</x:v>
      </x:c>
      <x:c r="I892" s="146" t="e">
        <x:f>IF($A892="","",[1]!thsiFinD("ths_adjustment_nv_fund",I$3,$A892))</x:f>
        <x:v>#NAME?</x:v>
      </x:c>
      <x:c r="J892" s="146" t="e">
        <x:f>IF($A892="","",[1]!thsiFinD("ths_adjustment_nv_fund",J$3,$A892))</x:f>
        <x:v>#NAME?</x:v>
      </x:c>
      <x:c r="K892" s="146" t="e">
        <x:f>IF($A892="","",[1]!thsiFinD("ths_adjustment_nv_fund",K$3,$A892))</x:f>
        <x:v>#NAME?</x:v>
      </x:c>
      <x:c r="L892" s="146" t="e">
        <x:f>IF($A892="","",[1]!thsiFinD("ths_adjustment_nv_fund",L$3,$A892))</x:f>
        <x:v>#NAME?</x:v>
      </x:c>
      <x:c r="M892" s="146" t="e">
        <x:f>IF($A892="","",[1]!thsiFinD("ths_adjustment_nv_fund",M$3,$A892))</x:f>
        <x:v>#NAME?</x:v>
      </x:c>
      <x:c r="N892" s="146" t="e">
        <x:f>IF($A892="","",[1]!thsiFinD("ths_adjustment_nv_fund",N$3,$A892))</x:f>
        <x:v>#NAME?</x:v>
      </x:c>
      <x:c r="O892" s="146" t="e">
        <x:f>IF($A892="","",[1]!thsiFinD("ths_adjustment_nv_fund",O$3,$A892))</x:f>
        <x:v>#NAME?</x:v>
      </x:c>
      <x:c r="P892" s="146" t="e">
        <x:f>IF($A892="","",[1]!thsiFinD("ths_adjustment_nv_fund",P$3,$A892))</x:f>
        <x:v>#NAME?</x:v>
      </x:c>
      <x:c r="Q892" s="146" t="e">
        <x:f>IF($A892="","",[1]!thsiFinD("ths_adjustment_nv_fund",Q$3,$A892))</x:f>
        <x:v>#NAME?</x:v>
      </x:c>
      <x:c r="R892" s="146" t="e">
        <x:f>IF($A892="","",[1]!thsiFinD("ths_adjustment_nv_fund",R$3,$A892))</x:f>
        <x:v>#NAME?</x:v>
      </x:c>
      <x:c r="S892" s="146" t="e">
        <x:f>IF($A892="","",[1]!thsiFinD("ths_adjustment_nv_fund",S$3,$A892))</x:f>
        <x:v>#NAME?</x:v>
      </x:c>
      <x:c r="T892" s="146" t="e">
        <x:f>IF($A892="","",[1]!thsiFinD("ths_adjustment_nv_fund",T$3,$A892))</x:f>
        <x:v>#NAME?</x:v>
      </x:c>
      <x:c r="U892" s="146" t="e">
        <x:f>IF($A892="","",[1]!thsiFinD("ths_adjustment_nv_fund",U$3,$A892))</x:f>
        <x:v>#NAME?</x:v>
      </x:c>
      <x:c r="V892" s="146" t="e">
        <x:f>IF($A892="","",[1]!thsiFinD("ths_adjustment_nv_fund",V$3,$A892))</x:f>
        <x:v>#NAME?</x:v>
      </x:c>
      <x:c r="W892" s="146" t="e">
        <x:f>IF($A892="","",[1]!thsiFinD("ths_adjustment_nv_fund",W$3,$A892))</x:f>
        <x:v>#NAME?</x:v>
      </x:c>
      <x:c r="X892" s="146" t="e">
        <x:f>IF($A892="","",[1]!thsiFinD("ths_adjustment_nv_fund",X$3,$A892))</x:f>
        <x:v>#NAME?</x:v>
      </x:c>
      <x:c r="Y892" s="146" t="e">
        <x:f>IF($A892="","",[1]!thsiFinD("ths_adjustment_nv_fund",Y$3,$A892))</x:f>
        <x:v>#NAME?</x:v>
      </x:c>
      <x:c r="Z892" s="146" t="e">
        <x:f>IF($A892="","",[1]!thsiFinD("ths_adjustment_nv_fund",Z$3,$A892))</x:f>
        <x:v>#NAME?</x:v>
      </x:c>
      <x:c r="AA892" s="146" t="e">
        <x:f>IF($A892="","",[1]!thsiFinD("ths_adjustment_nv_fund",AA$3,$A892))</x:f>
        <x:v>#NAME?</x:v>
      </x:c>
    </x:row>
    <x:row r="893">
      <x:c r="B893" s="146" t="e">
        <x:f>IF($A893="","",[1]!thsiFinD("ths_adjustment_nv_fund",B$3,$A893))</x:f>
        <x:v>#NAME?</x:v>
      </x:c>
      <x:c r="C893" s="146" t="e">
        <x:f>IF($A893="","",[1]!thsiFinD("ths_adjustment_nv_fund",C$3,$A893))</x:f>
        <x:v>#NAME?</x:v>
      </x:c>
      <x:c r="D893" s="146" t="e">
        <x:f>IF($A893="","",[1]!thsiFinD("ths_adjustment_nv_fund",D$3,$A893))</x:f>
        <x:v>#NAME?</x:v>
      </x:c>
      <x:c r="E893" s="146" t="e">
        <x:f>IF($A893="","",[1]!thsiFinD("ths_adjustment_nv_fund",E$3,$A893))</x:f>
        <x:v>#NAME?</x:v>
      </x:c>
      <x:c r="F893" s="146" t="e">
        <x:f>IF($A893="","",[1]!thsiFinD("ths_adjustment_nv_fund",F$3,$A893))</x:f>
        <x:v>#NAME?</x:v>
      </x:c>
      <x:c r="G893" s="146" t="e">
        <x:f>IF($A893="","",[1]!thsiFinD("ths_adjustment_nv_fund",G$3,$A893))</x:f>
        <x:v>#NAME?</x:v>
      </x:c>
      <x:c r="H893" s="146" t="e">
        <x:f>IF($A893="","",[1]!thsiFinD("ths_adjustment_nv_fund",H$3,$A893))</x:f>
        <x:v>#NAME?</x:v>
      </x:c>
      <x:c r="I893" s="146" t="e">
        <x:f>IF($A893="","",[1]!thsiFinD("ths_adjustment_nv_fund",I$3,$A893))</x:f>
        <x:v>#NAME?</x:v>
      </x:c>
      <x:c r="J893" s="146" t="e">
        <x:f>IF($A893="","",[1]!thsiFinD("ths_adjustment_nv_fund",J$3,$A893))</x:f>
        <x:v>#NAME?</x:v>
      </x:c>
      <x:c r="K893" s="146" t="e">
        <x:f>IF($A893="","",[1]!thsiFinD("ths_adjustment_nv_fund",K$3,$A893))</x:f>
        <x:v>#NAME?</x:v>
      </x:c>
      <x:c r="L893" s="146" t="e">
        <x:f>IF($A893="","",[1]!thsiFinD("ths_adjustment_nv_fund",L$3,$A893))</x:f>
        <x:v>#NAME?</x:v>
      </x:c>
      <x:c r="M893" s="146" t="e">
        <x:f>IF($A893="","",[1]!thsiFinD("ths_adjustment_nv_fund",M$3,$A893))</x:f>
        <x:v>#NAME?</x:v>
      </x:c>
      <x:c r="N893" s="146" t="e">
        <x:f>IF($A893="","",[1]!thsiFinD("ths_adjustment_nv_fund",N$3,$A893))</x:f>
        <x:v>#NAME?</x:v>
      </x:c>
      <x:c r="O893" s="146" t="e">
        <x:f>IF($A893="","",[1]!thsiFinD("ths_adjustment_nv_fund",O$3,$A893))</x:f>
        <x:v>#NAME?</x:v>
      </x:c>
      <x:c r="P893" s="146" t="e">
        <x:f>IF($A893="","",[1]!thsiFinD("ths_adjustment_nv_fund",P$3,$A893))</x:f>
        <x:v>#NAME?</x:v>
      </x:c>
      <x:c r="Q893" s="146" t="e">
        <x:f>IF($A893="","",[1]!thsiFinD("ths_adjustment_nv_fund",Q$3,$A893))</x:f>
        <x:v>#NAME?</x:v>
      </x:c>
      <x:c r="R893" s="146" t="e">
        <x:f>IF($A893="","",[1]!thsiFinD("ths_adjustment_nv_fund",R$3,$A893))</x:f>
        <x:v>#NAME?</x:v>
      </x:c>
      <x:c r="S893" s="146" t="e">
        <x:f>IF($A893="","",[1]!thsiFinD("ths_adjustment_nv_fund",S$3,$A893))</x:f>
        <x:v>#NAME?</x:v>
      </x:c>
      <x:c r="T893" s="146" t="e">
        <x:f>IF($A893="","",[1]!thsiFinD("ths_adjustment_nv_fund",T$3,$A893))</x:f>
        <x:v>#NAME?</x:v>
      </x:c>
      <x:c r="U893" s="146" t="e">
        <x:f>IF($A893="","",[1]!thsiFinD("ths_adjustment_nv_fund",U$3,$A893))</x:f>
        <x:v>#NAME?</x:v>
      </x:c>
      <x:c r="V893" s="146" t="e">
        <x:f>IF($A893="","",[1]!thsiFinD("ths_adjustment_nv_fund",V$3,$A893))</x:f>
        <x:v>#NAME?</x:v>
      </x:c>
      <x:c r="W893" s="146" t="e">
        <x:f>IF($A893="","",[1]!thsiFinD("ths_adjustment_nv_fund",W$3,$A893))</x:f>
        <x:v>#NAME?</x:v>
      </x:c>
      <x:c r="X893" s="146" t="e">
        <x:f>IF($A893="","",[1]!thsiFinD("ths_adjustment_nv_fund",X$3,$A893))</x:f>
        <x:v>#NAME?</x:v>
      </x:c>
      <x:c r="Y893" s="146" t="e">
        <x:f>IF($A893="","",[1]!thsiFinD("ths_adjustment_nv_fund",Y$3,$A893))</x:f>
        <x:v>#NAME?</x:v>
      </x:c>
      <x:c r="Z893" s="146" t="e">
        <x:f>IF($A893="","",[1]!thsiFinD("ths_adjustment_nv_fund",Z$3,$A893))</x:f>
        <x:v>#NAME?</x:v>
      </x:c>
      <x:c r="AA893" s="146" t="e">
        <x:f>IF($A893="","",[1]!thsiFinD("ths_adjustment_nv_fund",AA$3,$A893))</x:f>
        <x:v>#NAME?</x:v>
      </x:c>
    </x:row>
    <x:row r="894">
      <x:c r="B894" s="146" t="e">
        <x:f>IF($A894="","",[1]!thsiFinD("ths_adjustment_nv_fund",B$3,$A894))</x:f>
        <x:v>#NAME?</x:v>
      </x:c>
      <x:c r="C894" s="146" t="e">
        <x:f>IF($A894="","",[1]!thsiFinD("ths_adjustment_nv_fund",C$3,$A894))</x:f>
        <x:v>#NAME?</x:v>
      </x:c>
      <x:c r="D894" s="146" t="e">
        <x:f>IF($A894="","",[1]!thsiFinD("ths_adjustment_nv_fund",D$3,$A894))</x:f>
        <x:v>#NAME?</x:v>
      </x:c>
      <x:c r="E894" s="146" t="e">
        <x:f>IF($A894="","",[1]!thsiFinD("ths_adjustment_nv_fund",E$3,$A894))</x:f>
        <x:v>#NAME?</x:v>
      </x:c>
      <x:c r="F894" s="146" t="e">
        <x:f>IF($A894="","",[1]!thsiFinD("ths_adjustment_nv_fund",F$3,$A894))</x:f>
        <x:v>#NAME?</x:v>
      </x:c>
      <x:c r="G894" s="146" t="e">
        <x:f>IF($A894="","",[1]!thsiFinD("ths_adjustment_nv_fund",G$3,$A894))</x:f>
        <x:v>#NAME?</x:v>
      </x:c>
      <x:c r="H894" s="146" t="e">
        <x:f>IF($A894="","",[1]!thsiFinD("ths_adjustment_nv_fund",H$3,$A894))</x:f>
        <x:v>#NAME?</x:v>
      </x:c>
      <x:c r="I894" s="146" t="e">
        <x:f>IF($A894="","",[1]!thsiFinD("ths_adjustment_nv_fund",I$3,$A894))</x:f>
        <x:v>#NAME?</x:v>
      </x:c>
      <x:c r="J894" s="146" t="e">
        <x:f>IF($A894="","",[1]!thsiFinD("ths_adjustment_nv_fund",J$3,$A894))</x:f>
        <x:v>#NAME?</x:v>
      </x:c>
      <x:c r="K894" s="146" t="e">
        <x:f>IF($A894="","",[1]!thsiFinD("ths_adjustment_nv_fund",K$3,$A894))</x:f>
        <x:v>#NAME?</x:v>
      </x:c>
      <x:c r="L894" s="146" t="e">
        <x:f>IF($A894="","",[1]!thsiFinD("ths_adjustment_nv_fund",L$3,$A894))</x:f>
        <x:v>#NAME?</x:v>
      </x:c>
      <x:c r="M894" s="146" t="e">
        <x:f>IF($A894="","",[1]!thsiFinD("ths_adjustment_nv_fund",M$3,$A894))</x:f>
        <x:v>#NAME?</x:v>
      </x:c>
      <x:c r="N894" s="146" t="e">
        <x:f>IF($A894="","",[1]!thsiFinD("ths_adjustment_nv_fund",N$3,$A894))</x:f>
        <x:v>#NAME?</x:v>
      </x:c>
      <x:c r="O894" s="146" t="e">
        <x:f>IF($A894="","",[1]!thsiFinD("ths_adjustment_nv_fund",O$3,$A894))</x:f>
        <x:v>#NAME?</x:v>
      </x:c>
      <x:c r="P894" s="146" t="e">
        <x:f>IF($A894="","",[1]!thsiFinD("ths_adjustment_nv_fund",P$3,$A894))</x:f>
        <x:v>#NAME?</x:v>
      </x:c>
      <x:c r="Q894" s="146" t="e">
        <x:f>IF($A894="","",[1]!thsiFinD("ths_adjustment_nv_fund",Q$3,$A894))</x:f>
        <x:v>#NAME?</x:v>
      </x:c>
      <x:c r="R894" s="146" t="e">
        <x:f>IF($A894="","",[1]!thsiFinD("ths_adjustment_nv_fund",R$3,$A894))</x:f>
        <x:v>#NAME?</x:v>
      </x:c>
      <x:c r="S894" s="146" t="e">
        <x:f>IF($A894="","",[1]!thsiFinD("ths_adjustment_nv_fund",S$3,$A894))</x:f>
        <x:v>#NAME?</x:v>
      </x:c>
      <x:c r="T894" s="146" t="e">
        <x:f>IF($A894="","",[1]!thsiFinD("ths_adjustment_nv_fund",T$3,$A894))</x:f>
        <x:v>#NAME?</x:v>
      </x:c>
      <x:c r="U894" s="146" t="e">
        <x:f>IF($A894="","",[1]!thsiFinD("ths_adjustment_nv_fund",U$3,$A894))</x:f>
        <x:v>#NAME?</x:v>
      </x:c>
      <x:c r="V894" s="146" t="e">
        <x:f>IF($A894="","",[1]!thsiFinD("ths_adjustment_nv_fund",V$3,$A894))</x:f>
        <x:v>#NAME?</x:v>
      </x:c>
      <x:c r="W894" s="146" t="e">
        <x:f>IF($A894="","",[1]!thsiFinD("ths_adjustment_nv_fund",W$3,$A894))</x:f>
        <x:v>#NAME?</x:v>
      </x:c>
      <x:c r="X894" s="146" t="e">
        <x:f>IF($A894="","",[1]!thsiFinD("ths_adjustment_nv_fund",X$3,$A894))</x:f>
        <x:v>#NAME?</x:v>
      </x:c>
      <x:c r="Y894" s="146" t="e">
        <x:f>IF($A894="","",[1]!thsiFinD("ths_adjustment_nv_fund",Y$3,$A894))</x:f>
        <x:v>#NAME?</x:v>
      </x:c>
      <x:c r="Z894" s="146" t="e">
        <x:f>IF($A894="","",[1]!thsiFinD("ths_adjustment_nv_fund",Z$3,$A894))</x:f>
        <x:v>#NAME?</x:v>
      </x:c>
      <x:c r="AA894" s="146" t="e">
        <x:f>IF($A894="","",[1]!thsiFinD("ths_adjustment_nv_fund",AA$3,$A894))</x:f>
        <x:v>#NAME?</x:v>
      </x:c>
    </x:row>
    <x:row r="895">
      <x:c r="B895" s="146" t="e">
        <x:f>IF($A895="","",[1]!thsiFinD("ths_adjustment_nv_fund",B$3,$A895))</x:f>
        <x:v>#NAME?</x:v>
      </x:c>
      <x:c r="C895" s="146" t="e">
        <x:f>IF($A895="","",[1]!thsiFinD("ths_adjustment_nv_fund",C$3,$A895))</x:f>
        <x:v>#NAME?</x:v>
      </x:c>
      <x:c r="D895" s="146" t="e">
        <x:f>IF($A895="","",[1]!thsiFinD("ths_adjustment_nv_fund",D$3,$A895))</x:f>
        <x:v>#NAME?</x:v>
      </x:c>
      <x:c r="E895" s="146" t="e">
        <x:f>IF($A895="","",[1]!thsiFinD("ths_adjustment_nv_fund",E$3,$A895))</x:f>
        <x:v>#NAME?</x:v>
      </x:c>
      <x:c r="F895" s="146" t="e">
        <x:f>IF($A895="","",[1]!thsiFinD("ths_adjustment_nv_fund",F$3,$A895))</x:f>
        <x:v>#NAME?</x:v>
      </x:c>
      <x:c r="G895" s="146" t="e">
        <x:f>IF($A895="","",[1]!thsiFinD("ths_adjustment_nv_fund",G$3,$A895))</x:f>
        <x:v>#NAME?</x:v>
      </x:c>
      <x:c r="H895" s="146" t="e">
        <x:f>IF($A895="","",[1]!thsiFinD("ths_adjustment_nv_fund",H$3,$A895))</x:f>
        <x:v>#NAME?</x:v>
      </x:c>
      <x:c r="I895" s="146" t="e">
        <x:f>IF($A895="","",[1]!thsiFinD("ths_adjustment_nv_fund",I$3,$A895))</x:f>
        <x:v>#NAME?</x:v>
      </x:c>
      <x:c r="J895" s="146" t="e">
        <x:f>IF($A895="","",[1]!thsiFinD("ths_adjustment_nv_fund",J$3,$A895))</x:f>
        <x:v>#NAME?</x:v>
      </x:c>
      <x:c r="K895" s="146" t="e">
        <x:f>IF($A895="","",[1]!thsiFinD("ths_adjustment_nv_fund",K$3,$A895))</x:f>
        <x:v>#NAME?</x:v>
      </x:c>
      <x:c r="L895" s="146" t="e">
        <x:f>IF($A895="","",[1]!thsiFinD("ths_adjustment_nv_fund",L$3,$A895))</x:f>
        <x:v>#NAME?</x:v>
      </x:c>
      <x:c r="M895" s="146" t="e">
        <x:f>IF($A895="","",[1]!thsiFinD("ths_adjustment_nv_fund",M$3,$A895))</x:f>
        <x:v>#NAME?</x:v>
      </x:c>
      <x:c r="N895" s="146" t="e">
        <x:f>IF($A895="","",[1]!thsiFinD("ths_adjustment_nv_fund",N$3,$A895))</x:f>
        <x:v>#NAME?</x:v>
      </x:c>
      <x:c r="O895" s="146" t="e">
        <x:f>IF($A895="","",[1]!thsiFinD("ths_adjustment_nv_fund",O$3,$A895))</x:f>
        <x:v>#NAME?</x:v>
      </x:c>
      <x:c r="P895" s="146" t="e">
        <x:f>IF($A895="","",[1]!thsiFinD("ths_adjustment_nv_fund",P$3,$A895))</x:f>
        <x:v>#NAME?</x:v>
      </x:c>
      <x:c r="Q895" s="146" t="e">
        <x:f>IF($A895="","",[1]!thsiFinD("ths_adjustment_nv_fund",Q$3,$A895))</x:f>
        <x:v>#NAME?</x:v>
      </x:c>
      <x:c r="R895" s="146" t="e">
        <x:f>IF($A895="","",[1]!thsiFinD("ths_adjustment_nv_fund",R$3,$A895))</x:f>
        <x:v>#NAME?</x:v>
      </x:c>
      <x:c r="S895" s="146" t="e">
        <x:f>IF($A895="","",[1]!thsiFinD("ths_adjustment_nv_fund",S$3,$A895))</x:f>
        <x:v>#NAME?</x:v>
      </x:c>
      <x:c r="T895" s="146" t="e">
        <x:f>IF($A895="","",[1]!thsiFinD("ths_adjustment_nv_fund",T$3,$A895))</x:f>
        <x:v>#NAME?</x:v>
      </x:c>
      <x:c r="U895" s="146" t="e">
        <x:f>IF($A895="","",[1]!thsiFinD("ths_adjustment_nv_fund",U$3,$A895))</x:f>
        <x:v>#NAME?</x:v>
      </x:c>
      <x:c r="V895" s="146" t="e">
        <x:f>IF($A895="","",[1]!thsiFinD("ths_adjustment_nv_fund",V$3,$A895))</x:f>
        <x:v>#NAME?</x:v>
      </x:c>
      <x:c r="W895" s="146" t="e">
        <x:f>IF($A895="","",[1]!thsiFinD("ths_adjustment_nv_fund",W$3,$A895))</x:f>
        <x:v>#NAME?</x:v>
      </x:c>
      <x:c r="X895" s="146" t="e">
        <x:f>IF($A895="","",[1]!thsiFinD("ths_adjustment_nv_fund",X$3,$A895))</x:f>
        <x:v>#NAME?</x:v>
      </x:c>
      <x:c r="Y895" s="146" t="e">
        <x:f>IF($A895="","",[1]!thsiFinD("ths_adjustment_nv_fund",Y$3,$A895))</x:f>
        <x:v>#NAME?</x:v>
      </x:c>
      <x:c r="Z895" s="146" t="e">
        <x:f>IF($A895="","",[1]!thsiFinD("ths_adjustment_nv_fund",Z$3,$A895))</x:f>
        <x:v>#NAME?</x:v>
      </x:c>
      <x:c r="AA895" s="146" t="e">
        <x:f>IF($A895="","",[1]!thsiFinD("ths_adjustment_nv_fund",AA$3,$A895))</x:f>
        <x:v>#NAME?</x:v>
      </x:c>
    </x:row>
    <x:row r="896">
      <x:c r="B896" s="146" t="e">
        <x:f>IF($A896="","",[1]!thsiFinD("ths_adjustment_nv_fund",B$3,$A896))</x:f>
        <x:v>#NAME?</x:v>
      </x:c>
      <x:c r="C896" s="146" t="e">
        <x:f>IF($A896="","",[1]!thsiFinD("ths_adjustment_nv_fund",C$3,$A896))</x:f>
        <x:v>#NAME?</x:v>
      </x:c>
      <x:c r="D896" s="146" t="e">
        <x:f>IF($A896="","",[1]!thsiFinD("ths_adjustment_nv_fund",D$3,$A896))</x:f>
        <x:v>#NAME?</x:v>
      </x:c>
      <x:c r="E896" s="146" t="e">
        <x:f>IF($A896="","",[1]!thsiFinD("ths_adjustment_nv_fund",E$3,$A896))</x:f>
        <x:v>#NAME?</x:v>
      </x:c>
      <x:c r="F896" s="146" t="e">
        <x:f>IF($A896="","",[1]!thsiFinD("ths_adjustment_nv_fund",F$3,$A896))</x:f>
        <x:v>#NAME?</x:v>
      </x:c>
      <x:c r="G896" s="146" t="e">
        <x:f>IF($A896="","",[1]!thsiFinD("ths_adjustment_nv_fund",G$3,$A896))</x:f>
        <x:v>#NAME?</x:v>
      </x:c>
      <x:c r="H896" s="146" t="e">
        <x:f>IF($A896="","",[1]!thsiFinD("ths_adjustment_nv_fund",H$3,$A896))</x:f>
        <x:v>#NAME?</x:v>
      </x:c>
      <x:c r="I896" s="146" t="e">
        <x:f>IF($A896="","",[1]!thsiFinD("ths_adjustment_nv_fund",I$3,$A896))</x:f>
        <x:v>#NAME?</x:v>
      </x:c>
      <x:c r="J896" s="146" t="e">
        <x:f>IF($A896="","",[1]!thsiFinD("ths_adjustment_nv_fund",J$3,$A896))</x:f>
        <x:v>#NAME?</x:v>
      </x:c>
      <x:c r="K896" s="146" t="e">
        <x:f>IF($A896="","",[1]!thsiFinD("ths_adjustment_nv_fund",K$3,$A896))</x:f>
        <x:v>#NAME?</x:v>
      </x:c>
      <x:c r="L896" s="146" t="e">
        <x:f>IF($A896="","",[1]!thsiFinD("ths_adjustment_nv_fund",L$3,$A896))</x:f>
        <x:v>#NAME?</x:v>
      </x:c>
      <x:c r="M896" s="146" t="e">
        <x:f>IF($A896="","",[1]!thsiFinD("ths_adjustment_nv_fund",M$3,$A896))</x:f>
        <x:v>#NAME?</x:v>
      </x:c>
      <x:c r="N896" s="146" t="e">
        <x:f>IF($A896="","",[1]!thsiFinD("ths_adjustment_nv_fund",N$3,$A896))</x:f>
        <x:v>#NAME?</x:v>
      </x:c>
      <x:c r="O896" s="146" t="e">
        <x:f>IF($A896="","",[1]!thsiFinD("ths_adjustment_nv_fund",O$3,$A896))</x:f>
        <x:v>#NAME?</x:v>
      </x:c>
      <x:c r="P896" s="146" t="e">
        <x:f>IF($A896="","",[1]!thsiFinD("ths_adjustment_nv_fund",P$3,$A896))</x:f>
        <x:v>#NAME?</x:v>
      </x:c>
      <x:c r="Q896" s="146" t="e">
        <x:f>IF($A896="","",[1]!thsiFinD("ths_adjustment_nv_fund",Q$3,$A896))</x:f>
        <x:v>#NAME?</x:v>
      </x:c>
      <x:c r="R896" s="146" t="e">
        <x:f>IF($A896="","",[1]!thsiFinD("ths_adjustment_nv_fund",R$3,$A896))</x:f>
        <x:v>#NAME?</x:v>
      </x:c>
      <x:c r="S896" s="146" t="e">
        <x:f>IF($A896="","",[1]!thsiFinD("ths_adjustment_nv_fund",S$3,$A896))</x:f>
        <x:v>#NAME?</x:v>
      </x:c>
      <x:c r="T896" s="146" t="e">
        <x:f>IF($A896="","",[1]!thsiFinD("ths_adjustment_nv_fund",T$3,$A896))</x:f>
        <x:v>#NAME?</x:v>
      </x:c>
      <x:c r="U896" s="146" t="e">
        <x:f>IF($A896="","",[1]!thsiFinD("ths_adjustment_nv_fund",U$3,$A896))</x:f>
        <x:v>#NAME?</x:v>
      </x:c>
      <x:c r="V896" s="146" t="e">
        <x:f>IF($A896="","",[1]!thsiFinD("ths_adjustment_nv_fund",V$3,$A896))</x:f>
        <x:v>#NAME?</x:v>
      </x:c>
      <x:c r="W896" s="146" t="e">
        <x:f>IF($A896="","",[1]!thsiFinD("ths_adjustment_nv_fund",W$3,$A896))</x:f>
        <x:v>#NAME?</x:v>
      </x:c>
      <x:c r="X896" s="146" t="e">
        <x:f>IF($A896="","",[1]!thsiFinD("ths_adjustment_nv_fund",X$3,$A896))</x:f>
        <x:v>#NAME?</x:v>
      </x:c>
      <x:c r="Y896" s="146" t="e">
        <x:f>IF($A896="","",[1]!thsiFinD("ths_adjustment_nv_fund",Y$3,$A896))</x:f>
        <x:v>#NAME?</x:v>
      </x:c>
      <x:c r="Z896" s="146" t="e">
        <x:f>IF($A896="","",[1]!thsiFinD("ths_adjustment_nv_fund",Z$3,$A896))</x:f>
        <x:v>#NAME?</x:v>
      </x:c>
      <x:c r="AA896" s="146" t="e">
        <x:f>IF($A896="","",[1]!thsiFinD("ths_adjustment_nv_fund",AA$3,$A896))</x:f>
        <x:v>#NAME?</x:v>
      </x:c>
    </x:row>
    <x:row r="897">
      <x:c r="B897" s="146" t="e">
        <x:f>IF($A897="","",[1]!thsiFinD("ths_adjustment_nv_fund",B$3,$A897))</x:f>
        <x:v>#NAME?</x:v>
      </x:c>
      <x:c r="C897" s="146" t="e">
        <x:f>IF($A897="","",[1]!thsiFinD("ths_adjustment_nv_fund",C$3,$A897))</x:f>
        <x:v>#NAME?</x:v>
      </x:c>
      <x:c r="D897" s="146" t="e">
        <x:f>IF($A897="","",[1]!thsiFinD("ths_adjustment_nv_fund",D$3,$A897))</x:f>
        <x:v>#NAME?</x:v>
      </x:c>
      <x:c r="E897" s="146" t="e">
        <x:f>IF($A897="","",[1]!thsiFinD("ths_adjustment_nv_fund",E$3,$A897))</x:f>
        <x:v>#NAME?</x:v>
      </x:c>
      <x:c r="F897" s="146" t="e">
        <x:f>IF($A897="","",[1]!thsiFinD("ths_adjustment_nv_fund",F$3,$A897))</x:f>
        <x:v>#NAME?</x:v>
      </x:c>
      <x:c r="G897" s="146" t="e">
        <x:f>IF($A897="","",[1]!thsiFinD("ths_adjustment_nv_fund",G$3,$A897))</x:f>
        <x:v>#NAME?</x:v>
      </x:c>
      <x:c r="H897" s="146" t="e">
        <x:f>IF($A897="","",[1]!thsiFinD("ths_adjustment_nv_fund",H$3,$A897))</x:f>
        <x:v>#NAME?</x:v>
      </x:c>
      <x:c r="I897" s="146" t="e">
        <x:f>IF($A897="","",[1]!thsiFinD("ths_adjustment_nv_fund",I$3,$A897))</x:f>
        <x:v>#NAME?</x:v>
      </x:c>
      <x:c r="J897" s="146" t="e">
        <x:f>IF($A897="","",[1]!thsiFinD("ths_adjustment_nv_fund",J$3,$A897))</x:f>
        <x:v>#NAME?</x:v>
      </x:c>
      <x:c r="K897" s="146" t="e">
        <x:f>IF($A897="","",[1]!thsiFinD("ths_adjustment_nv_fund",K$3,$A897))</x:f>
        <x:v>#NAME?</x:v>
      </x:c>
      <x:c r="L897" s="146" t="e">
        <x:f>IF($A897="","",[1]!thsiFinD("ths_adjustment_nv_fund",L$3,$A897))</x:f>
        <x:v>#NAME?</x:v>
      </x:c>
      <x:c r="M897" s="146" t="e">
        <x:f>IF($A897="","",[1]!thsiFinD("ths_adjustment_nv_fund",M$3,$A897))</x:f>
        <x:v>#NAME?</x:v>
      </x:c>
      <x:c r="N897" s="146" t="e">
        <x:f>IF($A897="","",[1]!thsiFinD("ths_adjustment_nv_fund",N$3,$A897))</x:f>
        <x:v>#NAME?</x:v>
      </x:c>
      <x:c r="O897" s="146" t="e">
        <x:f>IF($A897="","",[1]!thsiFinD("ths_adjustment_nv_fund",O$3,$A897))</x:f>
        <x:v>#NAME?</x:v>
      </x:c>
      <x:c r="P897" s="146" t="e">
        <x:f>IF($A897="","",[1]!thsiFinD("ths_adjustment_nv_fund",P$3,$A897))</x:f>
        <x:v>#NAME?</x:v>
      </x:c>
      <x:c r="Q897" s="146" t="e">
        <x:f>IF($A897="","",[1]!thsiFinD("ths_adjustment_nv_fund",Q$3,$A897))</x:f>
        <x:v>#NAME?</x:v>
      </x:c>
      <x:c r="R897" s="146" t="e">
        <x:f>IF($A897="","",[1]!thsiFinD("ths_adjustment_nv_fund",R$3,$A897))</x:f>
        <x:v>#NAME?</x:v>
      </x:c>
      <x:c r="S897" s="146" t="e">
        <x:f>IF($A897="","",[1]!thsiFinD("ths_adjustment_nv_fund",S$3,$A897))</x:f>
        <x:v>#NAME?</x:v>
      </x:c>
      <x:c r="T897" s="146" t="e">
        <x:f>IF($A897="","",[1]!thsiFinD("ths_adjustment_nv_fund",T$3,$A897))</x:f>
        <x:v>#NAME?</x:v>
      </x:c>
      <x:c r="U897" s="146" t="e">
        <x:f>IF($A897="","",[1]!thsiFinD("ths_adjustment_nv_fund",U$3,$A897))</x:f>
        <x:v>#NAME?</x:v>
      </x:c>
      <x:c r="V897" s="146" t="e">
        <x:f>IF($A897="","",[1]!thsiFinD("ths_adjustment_nv_fund",V$3,$A897))</x:f>
        <x:v>#NAME?</x:v>
      </x:c>
      <x:c r="W897" s="146" t="e">
        <x:f>IF($A897="","",[1]!thsiFinD("ths_adjustment_nv_fund",W$3,$A897))</x:f>
        <x:v>#NAME?</x:v>
      </x:c>
      <x:c r="X897" s="146" t="e">
        <x:f>IF($A897="","",[1]!thsiFinD("ths_adjustment_nv_fund",X$3,$A897))</x:f>
        <x:v>#NAME?</x:v>
      </x:c>
      <x:c r="Y897" s="146" t="e">
        <x:f>IF($A897="","",[1]!thsiFinD("ths_adjustment_nv_fund",Y$3,$A897))</x:f>
        <x:v>#NAME?</x:v>
      </x:c>
      <x:c r="Z897" s="146" t="e">
        <x:f>IF($A897="","",[1]!thsiFinD("ths_adjustment_nv_fund",Z$3,$A897))</x:f>
        <x:v>#NAME?</x:v>
      </x:c>
      <x:c r="AA897" s="146" t="e">
        <x:f>IF($A897="","",[1]!thsiFinD("ths_adjustment_nv_fund",AA$3,$A897))</x:f>
        <x:v>#NAME?</x:v>
      </x:c>
    </x:row>
    <x:row r="898">
      <x:c r="B898" s="146" t="e">
        <x:f>IF($A898="","",[1]!thsiFinD("ths_adjustment_nv_fund",B$3,$A898))</x:f>
        <x:v>#NAME?</x:v>
      </x:c>
      <x:c r="C898" s="146" t="e">
        <x:f>IF($A898="","",[1]!thsiFinD("ths_adjustment_nv_fund",C$3,$A898))</x:f>
        <x:v>#NAME?</x:v>
      </x:c>
      <x:c r="D898" s="146" t="e">
        <x:f>IF($A898="","",[1]!thsiFinD("ths_adjustment_nv_fund",D$3,$A898))</x:f>
        <x:v>#NAME?</x:v>
      </x:c>
      <x:c r="E898" s="146" t="e">
        <x:f>IF($A898="","",[1]!thsiFinD("ths_adjustment_nv_fund",E$3,$A898))</x:f>
        <x:v>#NAME?</x:v>
      </x:c>
      <x:c r="F898" s="146" t="e">
        <x:f>IF($A898="","",[1]!thsiFinD("ths_adjustment_nv_fund",F$3,$A898))</x:f>
        <x:v>#NAME?</x:v>
      </x:c>
      <x:c r="G898" s="146" t="e">
        <x:f>IF($A898="","",[1]!thsiFinD("ths_adjustment_nv_fund",G$3,$A898))</x:f>
        <x:v>#NAME?</x:v>
      </x:c>
      <x:c r="H898" s="146" t="e">
        <x:f>IF($A898="","",[1]!thsiFinD("ths_adjustment_nv_fund",H$3,$A898))</x:f>
        <x:v>#NAME?</x:v>
      </x:c>
      <x:c r="I898" s="146" t="e">
        <x:f>IF($A898="","",[1]!thsiFinD("ths_adjustment_nv_fund",I$3,$A898))</x:f>
        <x:v>#NAME?</x:v>
      </x:c>
      <x:c r="J898" s="146" t="e">
        <x:f>IF($A898="","",[1]!thsiFinD("ths_adjustment_nv_fund",J$3,$A898))</x:f>
        <x:v>#NAME?</x:v>
      </x:c>
      <x:c r="K898" s="146" t="e">
        <x:f>IF($A898="","",[1]!thsiFinD("ths_adjustment_nv_fund",K$3,$A898))</x:f>
        <x:v>#NAME?</x:v>
      </x:c>
      <x:c r="L898" s="146" t="e">
        <x:f>IF($A898="","",[1]!thsiFinD("ths_adjustment_nv_fund",L$3,$A898))</x:f>
        <x:v>#NAME?</x:v>
      </x:c>
      <x:c r="M898" s="146" t="e">
        <x:f>IF($A898="","",[1]!thsiFinD("ths_adjustment_nv_fund",M$3,$A898))</x:f>
        <x:v>#NAME?</x:v>
      </x:c>
      <x:c r="N898" s="146" t="e">
        <x:f>IF($A898="","",[1]!thsiFinD("ths_adjustment_nv_fund",N$3,$A898))</x:f>
        <x:v>#NAME?</x:v>
      </x:c>
      <x:c r="O898" s="146" t="e">
        <x:f>IF($A898="","",[1]!thsiFinD("ths_adjustment_nv_fund",O$3,$A898))</x:f>
        <x:v>#NAME?</x:v>
      </x:c>
      <x:c r="P898" s="146" t="e">
        <x:f>IF($A898="","",[1]!thsiFinD("ths_adjustment_nv_fund",P$3,$A898))</x:f>
        <x:v>#NAME?</x:v>
      </x:c>
      <x:c r="Q898" s="146" t="e">
        <x:f>IF($A898="","",[1]!thsiFinD("ths_adjustment_nv_fund",Q$3,$A898))</x:f>
        <x:v>#NAME?</x:v>
      </x:c>
      <x:c r="R898" s="146" t="e">
        <x:f>IF($A898="","",[1]!thsiFinD("ths_adjustment_nv_fund",R$3,$A898))</x:f>
        <x:v>#NAME?</x:v>
      </x:c>
      <x:c r="S898" s="146" t="e">
        <x:f>IF($A898="","",[1]!thsiFinD("ths_adjustment_nv_fund",S$3,$A898))</x:f>
        <x:v>#NAME?</x:v>
      </x:c>
      <x:c r="T898" s="146" t="e">
        <x:f>IF($A898="","",[1]!thsiFinD("ths_adjustment_nv_fund",T$3,$A898))</x:f>
        <x:v>#NAME?</x:v>
      </x:c>
      <x:c r="U898" s="146" t="e">
        <x:f>IF($A898="","",[1]!thsiFinD("ths_adjustment_nv_fund",U$3,$A898))</x:f>
        <x:v>#NAME?</x:v>
      </x:c>
      <x:c r="V898" s="146" t="e">
        <x:f>IF($A898="","",[1]!thsiFinD("ths_adjustment_nv_fund",V$3,$A898))</x:f>
        <x:v>#NAME?</x:v>
      </x:c>
      <x:c r="W898" s="146" t="e">
        <x:f>IF($A898="","",[1]!thsiFinD("ths_adjustment_nv_fund",W$3,$A898))</x:f>
        <x:v>#NAME?</x:v>
      </x:c>
      <x:c r="X898" s="146" t="e">
        <x:f>IF($A898="","",[1]!thsiFinD("ths_adjustment_nv_fund",X$3,$A898))</x:f>
        <x:v>#NAME?</x:v>
      </x:c>
      <x:c r="Y898" s="146" t="e">
        <x:f>IF($A898="","",[1]!thsiFinD("ths_adjustment_nv_fund",Y$3,$A898))</x:f>
        <x:v>#NAME?</x:v>
      </x:c>
      <x:c r="Z898" s="146" t="e">
        <x:f>IF($A898="","",[1]!thsiFinD("ths_adjustment_nv_fund",Z$3,$A898))</x:f>
        <x:v>#NAME?</x:v>
      </x:c>
      <x:c r="AA898" s="146" t="e">
        <x:f>IF($A898="","",[1]!thsiFinD("ths_adjustment_nv_fund",AA$3,$A898))</x:f>
        <x:v>#NAME?</x:v>
      </x:c>
    </x:row>
    <x:row r="899">
      <x:c r="B899" s="146" t="e">
        <x:f>IF($A899="","",[1]!thsiFinD("ths_adjustment_nv_fund",B$3,$A899))</x:f>
        <x:v>#NAME?</x:v>
      </x:c>
      <x:c r="C899" s="146" t="e">
        <x:f>IF($A899="","",[1]!thsiFinD("ths_adjustment_nv_fund",C$3,$A899))</x:f>
        <x:v>#NAME?</x:v>
      </x:c>
      <x:c r="D899" s="146" t="e">
        <x:f>IF($A899="","",[1]!thsiFinD("ths_adjustment_nv_fund",D$3,$A899))</x:f>
        <x:v>#NAME?</x:v>
      </x:c>
      <x:c r="E899" s="146" t="e">
        <x:f>IF($A899="","",[1]!thsiFinD("ths_adjustment_nv_fund",E$3,$A899))</x:f>
        <x:v>#NAME?</x:v>
      </x:c>
      <x:c r="F899" s="146" t="e">
        <x:f>IF($A899="","",[1]!thsiFinD("ths_adjustment_nv_fund",F$3,$A899))</x:f>
        <x:v>#NAME?</x:v>
      </x:c>
      <x:c r="G899" s="146" t="e">
        <x:f>IF($A899="","",[1]!thsiFinD("ths_adjustment_nv_fund",G$3,$A899))</x:f>
        <x:v>#NAME?</x:v>
      </x:c>
      <x:c r="H899" s="146" t="e">
        <x:f>IF($A899="","",[1]!thsiFinD("ths_adjustment_nv_fund",H$3,$A899))</x:f>
        <x:v>#NAME?</x:v>
      </x:c>
      <x:c r="I899" s="146" t="e">
        <x:f>IF($A899="","",[1]!thsiFinD("ths_adjustment_nv_fund",I$3,$A899))</x:f>
        <x:v>#NAME?</x:v>
      </x:c>
      <x:c r="J899" s="146" t="e">
        <x:f>IF($A899="","",[1]!thsiFinD("ths_adjustment_nv_fund",J$3,$A899))</x:f>
        <x:v>#NAME?</x:v>
      </x:c>
      <x:c r="K899" s="146" t="e">
        <x:f>IF($A899="","",[1]!thsiFinD("ths_adjustment_nv_fund",K$3,$A899))</x:f>
        <x:v>#NAME?</x:v>
      </x:c>
      <x:c r="L899" s="146" t="e">
        <x:f>IF($A899="","",[1]!thsiFinD("ths_adjustment_nv_fund",L$3,$A899))</x:f>
        <x:v>#NAME?</x:v>
      </x:c>
      <x:c r="M899" s="146" t="e">
        <x:f>IF($A899="","",[1]!thsiFinD("ths_adjustment_nv_fund",M$3,$A899))</x:f>
        <x:v>#NAME?</x:v>
      </x:c>
      <x:c r="N899" s="146" t="e">
        <x:f>IF($A899="","",[1]!thsiFinD("ths_adjustment_nv_fund",N$3,$A899))</x:f>
        <x:v>#NAME?</x:v>
      </x:c>
      <x:c r="O899" s="146" t="e">
        <x:f>IF($A899="","",[1]!thsiFinD("ths_adjustment_nv_fund",O$3,$A899))</x:f>
        <x:v>#NAME?</x:v>
      </x:c>
      <x:c r="P899" s="146" t="e">
        <x:f>IF($A899="","",[1]!thsiFinD("ths_adjustment_nv_fund",P$3,$A899))</x:f>
        <x:v>#NAME?</x:v>
      </x:c>
      <x:c r="Q899" s="146" t="e">
        <x:f>IF($A899="","",[1]!thsiFinD("ths_adjustment_nv_fund",Q$3,$A899))</x:f>
        <x:v>#NAME?</x:v>
      </x:c>
      <x:c r="R899" s="146" t="e">
        <x:f>IF($A899="","",[1]!thsiFinD("ths_adjustment_nv_fund",R$3,$A899))</x:f>
        <x:v>#NAME?</x:v>
      </x:c>
      <x:c r="S899" s="146" t="e">
        <x:f>IF($A899="","",[1]!thsiFinD("ths_adjustment_nv_fund",S$3,$A899))</x:f>
        <x:v>#NAME?</x:v>
      </x:c>
      <x:c r="T899" s="146" t="e">
        <x:f>IF($A899="","",[1]!thsiFinD("ths_adjustment_nv_fund",T$3,$A899))</x:f>
        <x:v>#NAME?</x:v>
      </x:c>
      <x:c r="U899" s="146" t="e">
        <x:f>IF($A899="","",[1]!thsiFinD("ths_adjustment_nv_fund",U$3,$A899))</x:f>
        <x:v>#NAME?</x:v>
      </x:c>
      <x:c r="V899" s="146" t="e">
        <x:f>IF($A899="","",[1]!thsiFinD("ths_adjustment_nv_fund",V$3,$A899))</x:f>
        <x:v>#NAME?</x:v>
      </x:c>
      <x:c r="W899" s="146" t="e">
        <x:f>IF($A899="","",[1]!thsiFinD("ths_adjustment_nv_fund",W$3,$A899))</x:f>
        <x:v>#NAME?</x:v>
      </x:c>
      <x:c r="X899" s="146" t="e">
        <x:f>IF($A899="","",[1]!thsiFinD("ths_adjustment_nv_fund",X$3,$A899))</x:f>
        <x:v>#NAME?</x:v>
      </x:c>
      <x:c r="Y899" s="146" t="e">
        <x:f>IF($A899="","",[1]!thsiFinD("ths_adjustment_nv_fund",Y$3,$A899))</x:f>
        <x:v>#NAME?</x:v>
      </x:c>
      <x:c r="Z899" s="146" t="e">
        <x:f>IF($A899="","",[1]!thsiFinD("ths_adjustment_nv_fund",Z$3,$A899))</x:f>
        <x:v>#NAME?</x:v>
      </x:c>
      <x:c r="AA899" s="146" t="e">
        <x:f>IF($A899="","",[1]!thsiFinD("ths_adjustment_nv_fund",AA$3,$A899))</x:f>
        <x:v>#NAME?</x:v>
      </x:c>
    </x:row>
    <x:row r="900">
      <x:c r="B900" s="146" t="e">
        <x:f>IF($A900="","",[1]!thsiFinD("ths_adjustment_nv_fund",B$3,$A900))</x:f>
        <x:v>#NAME?</x:v>
      </x:c>
      <x:c r="C900" s="146" t="e">
        <x:f>IF($A900="","",[1]!thsiFinD("ths_adjustment_nv_fund",C$3,$A900))</x:f>
        <x:v>#NAME?</x:v>
      </x:c>
      <x:c r="D900" s="146" t="e">
        <x:f>IF($A900="","",[1]!thsiFinD("ths_adjustment_nv_fund",D$3,$A900))</x:f>
        <x:v>#NAME?</x:v>
      </x:c>
      <x:c r="E900" s="146" t="e">
        <x:f>IF($A900="","",[1]!thsiFinD("ths_adjustment_nv_fund",E$3,$A900))</x:f>
        <x:v>#NAME?</x:v>
      </x:c>
      <x:c r="F900" s="146" t="e">
        <x:f>IF($A900="","",[1]!thsiFinD("ths_adjustment_nv_fund",F$3,$A900))</x:f>
        <x:v>#NAME?</x:v>
      </x:c>
      <x:c r="G900" s="146" t="e">
        <x:f>IF($A900="","",[1]!thsiFinD("ths_adjustment_nv_fund",G$3,$A900))</x:f>
        <x:v>#NAME?</x:v>
      </x:c>
      <x:c r="H900" s="146" t="e">
        <x:f>IF($A900="","",[1]!thsiFinD("ths_adjustment_nv_fund",H$3,$A900))</x:f>
        <x:v>#NAME?</x:v>
      </x:c>
      <x:c r="I900" s="146" t="e">
        <x:f>IF($A900="","",[1]!thsiFinD("ths_adjustment_nv_fund",I$3,$A900))</x:f>
        <x:v>#NAME?</x:v>
      </x:c>
      <x:c r="J900" s="146" t="e">
        <x:f>IF($A900="","",[1]!thsiFinD("ths_adjustment_nv_fund",J$3,$A900))</x:f>
        <x:v>#NAME?</x:v>
      </x:c>
      <x:c r="K900" s="146" t="e">
        <x:f>IF($A900="","",[1]!thsiFinD("ths_adjustment_nv_fund",K$3,$A900))</x:f>
        <x:v>#NAME?</x:v>
      </x:c>
      <x:c r="L900" s="146" t="e">
        <x:f>IF($A900="","",[1]!thsiFinD("ths_adjustment_nv_fund",L$3,$A900))</x:f>
        <x:v>#NAME?</x:v>
      </x:c>
      <x:c r="M900" s="146" t="e">
        <x:f>IF($A900="","",[1]!thsiFinD("ths_adjustment_nv_fund",M$3,$A900))</x:f>
        <x:v>#NAME?</x:v>
      </x:c>
      <x:c r="N900" s="146" t="e">
        <x:f>IF($A900="","",[1]!thsiFinD("ths_adjustment_nv_fund",N$3,$A900))</x:f>
        <x:v>#NAME?</x:v>
      </x:c>
      <x:c r="O900" s="146" t="e">
        <x:f>IF($A900="","",[1]!thsiFinD("ths_adjustment_nv_fund",O$3,$A900))</x:f>
        <x:v>#NAME?</x:v>
      </x:c>
      <x:c r="P900" s="146" t="e">
        <x:f>IF($A900="","",[1]!thsiFinD("ths_adjustment_nv_fund",P$3,$A900))</x:f>
        <x:v>#NAME?</x:v>
      </x:c>
      <x:c r="Q900" s="146" t="e">
        <x:f>IF($A900="","",[1]!thsiFinD("ths_adjustment_nv_fund",Q$3,$A900))</x:f>
        <x:v>#NAME?</x:v>
      </x:c>
      <x:c r="R900" s="146" t="e">
        <x:f>IF($A900="","",[1]!thsiFinD("ths_adjustment_nv_fund",R$3,$A900))</x:f>
        <x:v>#NAME?</x:v>
      </x:c>
      <x:c r="S900" s="146" t="e">
        <x:f>IF($A900="","",[1]!thsiFinD("ths_adjustment_nv_fund",S$3,$A900))</x:f>
        <x:v>#NAME?</x:v>
      </x:c>
      <x:c r="T900" s="146" t="e">
        <x:f>IF($A900="","",[1]!thsiFinD("ths_adjustment_nv_fund",T$3,$A900))</x:f>
        <x:v>#NAME?</x:v>
      </x:c>
      <x:c r="U900" s="146" t="e">
        <x:f>IF($A900="","",[1]!thsiFinD("ths_adjustment_nv_fund",U$3,$A900))</x:f>
        <x:v>#NAME?</x:v>
      </x:c>
      <x:c r="V900" s="146" t="e">
        <x:f>IF($A900="","",[1]!thsiFinD("ths_adjustment_nv_fund",V$3,$A900))</x:f>
        <x:v>#NAME?</x:v>
      </x:c>
      <x:c r="W900" s="146" t="e">
        <x:f>IF($A900="","",[1]!thsiFinD("ths_adjustment_nv_fund",W$3,$A900))</x:f>
        <x:v>#NAME?</x:v>
      </x:c>
      <x:c r="X900" s="146" t="e">
        <x:f>IF($A900="","",[1]!thsiFinD("ths_adjustment_nv_fund",X$3,$A900))</x:f>
        <x:v>#NAME?</x:v>
      </x:c>
      <x:c r="Y900" s="146" t="e">
        <x:f>IF($A900="","",[1]!thsiFinD("ths_adjustment_nv_fund",Y$3,$A900))</x:f>
        <x:v>#NAME?</x:v>
      </x:c>
      <x:c r="Z900" s="146" t="e">
        <x:f>IF($A900="","",[1]!thsiFinD("ths_adjustment_nv_fund",Z$3,$A900))</x:f>
        <x:v>#NAME?</x:v>
      </x:c>
      <x:c r="AA900" s="146" t="e">
        <x:f>IF($A900="","",[1]!thsiFinD("ths_adjustment_nv_fund",AA$3,$A900))</x:f>
        <x:v>#NAME?</x:v>
      </x:c>
    </x:row>
    <x:row r="901">
      <x:c r="B901" s="146" t="e">
        <x:f>IF($A901="","",[1]!thsiFinD("ths_adjustment_nv_fund",B$3,$A901))</x:f>
        <x:v>#NAME?</x:v>
      </x:c>
      <x:c r="C901" s="146" t="e">
        <x:f>IF($A901="","",[1]!thsiFinD("ths_adjustment_nv_fund",C$3,$A901))</x:f>
        <x:v>#NAME?</x:v>
      </x:c>
      <x:c r="D901" s="146" t="e">
        <x:f>IF($A901="","",[1]!thsiFinD("ths_adjustment_nv_fund",D$3,$A901))</x:f>
        <x:v>#NAME?</x:v>
      </x:c>
      <x:c r="E901" s="146" t="e">
        <x:f>IF($A901="","",[1]!thsiFinD("ths_adjustment_nv_fund",E$3,$A901))</x:f>
        <x:v>#NAME?</x:v>
      </x:c>
      <x:c r="F901" s="146" t="e">
        <x:f>IF($A901="","",[1]!thsiFinD("ths_adjustment_nv_fund",F$3,$A901))</x:f>
        <x:v>#NAME?</x:v>
      </x:c>
      <x:c r="G901" s="146" t="e">
        <x:f>IF($A901="","",[1]!thsiFinD("ths_adjustment_nv_fund",G$3,$A901))</x:f>
        <x:v>#NAME?</x:v>
      </x:c>
      <x:c r="H901" s="146" t="e">
        <x:f>IF($A901="","",[1]!thsiFinD("ths_adjustment_nv_fund",H$3,$A901))</x:f>
        <x:v>#NAME?</x:v>
      </x:c>
      <x:c r="I901" s="146" t="e">
        <x:f>IF($A901="","",[1]!thsiFinD("ths_adjustment_nv_fund",I$3,$A901))</x:f>
        <x:v>#NAME?</x:v>
      </x:c>
      <x:c r="J901" s="146" t="e">
        <x:f>IF($A901="","",[1]!thsiFinD("ths_adjustment_nv_fund",J$3,$A901))</x:f>
        <x:v>#NAME?</x:v>
      </x:c>
      <x:c r="K901" s="146" t="e">
        <x:f>IF($A901="","",[1]!thsiFinD("ths_adjustment_nv_fund",K$3,$A901))</x:f>
        <x:v>#NAME?</x:v>
      </x:c>
      <x:c r="L901" s="146" t="e">
        <x:f>IF($A901="","",[1]!thsiFinD("ths_adjustment_nv_fund",L$3,$A901))</x:f>
        <x:v>#NAME?</x:v>
      </x:c>
      <x:c r="M901" s="146" t="e">
        <x:f>IF($A901="","",[1]!thsiFinD("ths_adjustment_nv_fund",M$3,$A901))</x:f>
        <x:v>#NAME?</x:v>
      </x:c>
      <x:c r="N901" s="146" t="e">
        <x:f>IF($A901="","",[1]!thsiFinD("ths_adjustment_nv_fund",N$3,$A901))</x:f>
        <x:v>#NAME?</x:v>
      </x:c>
      <x:c r="O901" s="146" t="e">
        <x:f>IF($A901="","",[1]!thsiFinD("ths_adjustment_nv_fund",O$3,$A901))</x:f>
        <x:v>#NAME?</x:v>
      </x:c>
      <x:c r="P901" s="146" t="e">
        <x:f>IF($A901="","",[1]!thsiFinD("ths_adjustment_nv_fund",P$3,$A901))</x:f>
        <x:v>#NAME?</x:v>
      </x:c>
      <x:c r="Q901" s="146" t="e">
        <x:f>IF($A901="","",[1]!thsiFinD("ths_adjustment_nv_fund",Q$3,$A901))</x:f>
        <x:v>#NAME?</x:v>
      </x:c>
      <x:c r="R901" s="146" t="e">
        <x:f>IF($A901="","",[1]!thsiFinD("ths_adjustment_nv_fund",R$3,$A901))</x:f>
        <x:v>#NAME?</x:v>
      </x:c>
      <x:c r="S901" s="146" t="e">
        <x:f>IF($A901="","",[1]!thsiFinD("ths_adjustment_nv_fund",S$3,$A901))</x:f>
        <x:v>#NAME?</x:v>
      </x:c>
      <x:c r="T901" s="146" t="e">
        <x:f>IF($A901="","",[1]!thsiFinD("ths_adjustment_nv_fund",T$3,$A901))</x:f>
        <x:v>#NAME?</x:v>
      </x:c>
      <x:c r="U901" s="146" t="e">
        <x:f>IF($A901="","",[1]!thsiFinD("ths_adjustment_nv_fund",U$3,$A901))</x:f>
        <x:v>#NAME?</x:v>
      </x:c>
      <x:c r="V901" s="146" t="e">
        <x:f>IF($A901="","",[1]!thsiFinD("ths_adjustment_nv_fund",V$3,$A901))</x:f>
        <x:v>#NAME?</x:v>
      </x:c>
      <x:c r="W901" s="146" t="e">
        <x:f>IF($A901="","",[1]!thsiFinD("ths_adjustment_nv_fund",W$3,$A901))</x:f>
        <x:v>#NAME?</x:v>
      </x:c>
      <x:c r="X901" s="146" t="e">
        <x:f>IF($A901="","",[1]!thsiFinD("ths_adjustment_nv_fund",X$3,$A901))</x:f>
        <x:v>#NAME?</x:v>
      </x:c>
      <x:c r="Y901" s="146" t="e">
        <x:f>IF($A901="","",[1]!thsiFinD("ths_adjustment_nv_fund",Y$3,$A901))</x:f>
        <x:v>#NAME?</x:v>
      </x:c>
      <x:c r="Z901" s="146" t="e">
        <x:f>IF($A901="","",[1]!thsiFinD("ths_adjustment_nv_fund",Z$3,$A901))</x:f>
        <x:v>#NAME?</x:v>
      </x:c>
      <x:c r="AA901" s="146" t="e">
        <x:f>IF($A901="","",[1]!thsiFinD("ths_adjustment_nv_fund",AA$3,$A901))</x:f>
        <x:v>#NAME?</x:v>
      </x:c>
    </x:row>
    <x:row r="902">
      <x:c r="B902" s="146" t="e">
        <x:f>IF($A902="","",[1]!thsiFinD("ths_adjustment_nv_fund",B$3,$A902))</x:f>
        <x:v>#NAME?</x:v>
      </x:c>
      <x:c r="C902" s="146" t="e">
        <x:f>IF($A902="","",[1]!thsiFinD("ths_adjustment_nv_fund",C$3,$A902))</x:f>
        <x:v>#NAME?</x:v>
      </x:c>
      <x:c r="D902" s="146" t="e">
        <x:f>IF($A902="","",[1]!thsiFinD("ths_adjustment_nv_fund",D$3,$A902))</x:f>
        <x:v>#NAME?</x:v>
      </x:c>
      <x:c r="E902" s="146" t="e">
        <x:f>IF($A902="","",[1]!thsiFinD("ths_adjustment_nv_fund",E$3,$A902))</x:f>
        <x:v>#NAME?</x:v>
      </x:c>
      <x:c r="F902" s="146" t="e">
        <x:f>IF($A902="","",[1]!thsiFinD("ths_adjustment_nv_fund",F$3,$A902))</x:f>
        <x:v>#NAME?</x:v>
      </x:c>
      <x:c r="G902" s="146" t="e">
        <x:f>IF($A902="","",[1]!thsiFinD("ths_adjustment_nv_fund",G$3,$A902))</x:f>
        <x:v>#NAME?</x:v>
      </x:c>
      <x:c r="H902" s="146" t="e">
        <x:f>IF($A902="","",[1]!thsiFinD("ths_adjustment_nv_fund",H$3,$A902))</x:f>
        <x:v>#NAME?</x:v>
      </x:c>
      <x:c r="I902" s="146" t="e">
        <x:f>IF($A902="","",[1]!thsiFinD("ths_adjustment_nv_fund",I$3,$A902))</x:f>
        <x:v>#NAME?</x:v>
      </x:c>
      <x:c r="J902" s="146" t="e">
        <x:f>IF($A902="","",[1]!thsiFinD("ths_adjustment_nv_fund",J$3,$A902))</x:f>
        <x:v>#NAME?</x:v>
      </x:c>
      <x:c r="K902" s="146" t="e">
        <x:f>IF($A902="","",[1]!thsiFinD("ths_adjustment_nv_fund",K$3,$A902))</x:f>
        <x:v>#NAME?</x:v>
      </x:c>
      <x:c r="L902" s="146" t="e">
        <x:f>IF($A902="","",[1]!thsiFinD("ths_adjustment_nv_fund",L$3,$A902))</x:f>
        <x:v>#NAME?</x:v>
      </x:c>
      <x:c r="M902" s="146" t="e">
        <x:f>IF($A902="","",[1]!thsiFinD("ths_adjustment_nv_fund",M$3,$A902))</x:f>
        <x:v>#NAME?</x:v>
      </x:c>
      <x:c r="N902" s="146" t="e">
        <x:f>IF($A902="","",[1]!thsiFinD("ths_adjustment_nv_fund",N$3,$A902))</x:f>
        <x:v>#NAME?</x:v>
      </x:c>
      <x:c r="O902" s="146" t="e">
        <x:f>IF($A902="","",[1]!thsiFinD("ths_adjustment_nv_fund",O$3,$A902))</x:f>
        <x:v>#NAME?</x:v>
      </x:c>
      <x:c r="P902" s="146" t="e">
        <x:f>IF($A902="","",[1]!thsiFinD("ths_adjustment_nv_fund",P$3,$A902))</x:f>
        <x:v>#NAME?</x:v>
      </x:c>
      <x:c r="Q902" s="146" t="e">
        <x:f>IF($A902="","",[1]!thsiFinD("ths_adjustment_nv_fund",Q$3,$A902))</x:f>
        <x:v>#NAME?</x:v>
      </x:c>
      <x:c r="R902" s="146" t="e">
        <x:f>IF($A902="","",[1]!thsiFinD("ths_adjustment_nv_fund",R$3,$A902))</x:f>
        <x:v>#NAME?</x:v>
      </x:c>
      <x:c r="S902" s="146" t="e">
        <x:f>IF($A902="","",[1]!thsiFinD("ths_adjustment_nv_fund",S$3,$A902))</x:f>
        <x:v>#NAME?</x:v>
      </x:c>
      <x:c r="T902" s="146" t="e">
        <x:f>IF($A902="","",[1]!thsiFinD("ths_adjustment_nv_fund",T$3,$A902))</x:f>
        <x:v>#NAME?</x:v>
      </x:c>
      <x:c r="U902" s="146" t="e">
        <x:f>IF($A902="","",[1]!thsiFinD("ths_adjustment_nv_fund",U$3,$A902))</x:f>
        <x:v>#NAME?</x:v>
      </x:c>
      <x:c r="V902" s="146" t="e">
        <x:f>IF($A902="","",[1]!thsiFinD("ths_adjustment_nv_fund",V$3,$A902))</x:f>
        <x:v>#NAME?</x:v>
      </x:c>
      <x:c r="W902" s="146" t="e">
        <x:f>IF($A902="","",[1]!thsiFinD("ths_adjustment_nv_fund",W$3,$A902))</x:f>
        <x:v>#NAME?</x:v>
      </x:c>
      <x:c r="X902" s="146" t="e">
        <x:f>IF($A902="","",[1]!thsiFinD("ths_adjustment_nv_fund",X$3,$A902))</x:f>
        <x:v>#NAME?</x:v>
      </x:c>
      <x:c r="Y902" s="146" t="e">
        <x:f>IF($A902="","",[1]!thsiFinD("ths_adjustment_nv_fund",Y$3,$A902))</x:f>
        <x:v>#NAME?</x:v>
      </x:c>
      <x:c r="Z902" s="146" t="e">
        <x:f>IF($A902="","",[1]!thsiFinD("ths_adjustment_nv_fund",Z$3,$A902))</x:f>
        <x:v>#NAME?</x:v>
      </x:c>
      <x:c r="AA902" s="146" t="e">
        <x:f>IF($A902="","",[1]!thsiFinD("ths_adjustment_nv_fund",AA$3,$A902))</x:f>
        <x:v>#NAME?</x:v>
      </x:c>
    </x:row>
    <x:row r="903">
      <x:c r="B903" s="146" t="e">
        <x:f>IF($A903="","",[1]!thsiFinD("ths_adjustment_nv_fund",B$3,$A903))</x:f>
        <x:v>#NAME?</x:v>
      </x:c>
      <x:c r="C903" s="146" t="e">
        <x:f>IF($A903="","",[1]!thsiFinD("ths_adjustment_nv_fund",C$3,$A903))</x:f>
        <x:v>#NAME?</x:v>
      </x:c>
      <x:c r="D903" s="146" t="e">
        <x:f>IF($A903="","",[1]!thsiFinD("ths_adjustment_nv_fund",D$3,$A903))</x:f>
        <x:v>#NAME?</x:v>
      </x:c>
      <x:c r="E903" s="146" t="e">
        <x:f>IF($A903="","",[1]!thsiFinD("ths_adjustment_nv_fund",E$3,$A903))</x:f>
        <x:v>#NAME?</x:v>
      </x:c>
      <x:c r="F903" s="146" t="e">
        <x:f>IF($A903="","",[1]!thsiFinD("ths_adjustment_nv_fund",F$3,$A903))</x:f>
        <x:v>#NAME?</x:v>
      </x:c>
      <x:c r="G903" s="146" t="e">
        <x:f>IF($A903="","",[1]!thsiFinD("ths_adjustment_nv_fund",G$3,$A903))</x:f>
        <x:v>#NAME?</x:v>
      </x:c>
      <x:c r="H903" s="146" t="e">
        <x:f>IF($A903="","",[1]!thsiFinD("ths_adjustment_nv_fund",H$3,$A903))</x:f>
        <x:v>#NAME?</x:v>
      </x:c>
      <x:c r="I903" s="146" t="e">
        <x:f>IF($A903="","",[1]!thsiFinD("ths_adjustment_nv_fund",I$3,$A903))</x:f>
        <x:v>#NAME?</x:v>
      </x:c>
      <x:c r="J903" s="146" t="e">
        <x:f>IF($A903="","",[1]!thsiFinD("ths_adjustment_nv_fund",J$3,$A903))</x:f>
        <x:v>#NAME?</x:v>
      </x:c>
      <x:c r="K903" s="146" t="e">
        <x:f>IF($A903="","",[1]!thsiFinD("ths_adjustment_nv_fund",K$3,$A903))</x:f>
        <x:v>#NAME?</x:v>
      </x:c>
      <x:c r="L903" s="146" t="e">
        <x:f>IF($A903="","",[1]!thsiFinD("ths_adjustment_nv_fund",L$3,$A903))</x:f>
        <x:v>#NAME?</x:v>
      </x:c>
      <x:c r="M903" s="146" t="e">
        <x:f>IF($A903="","",[1]!thsiFinD("ths_adjustment_nv_fund",M$3,$A903))</x:f>
        <x:v>#NAME?</x:v>
      </x:c>
      <x:c r="N903" s="146" t="e">
        <x:f>IF($A903="","",[1]!thsiFinD("ths_adjustment_nv_fund",N$3,$A903))</x:f>
        <x:v>#NAME?</x:v>
      </x:c>
      <x:c r="O903" s="146" t="e">
        <x:f>IF($A903="","",[1]!thsiFinD("ths_adjustment_nv_fund",O$3,$A903))</x:f>
        <x:v>#NAME?</x:v>
      </x:c>
      <x:c r="P903" s="146" t="e">
        <x:f>IF($A903="","",[1]!thsiFinD("ths_adjustment_nv_fund",P$3,$A903))</x:f>
        <x:v>#NAME?</x:v>
      </x:c>
      <x:c r="Q903" s="146" t="e">
        <x:f>IF($A903="","",[1]!thsiFinD("ths_adjustment_nv_fund",Q$3,$A903))</x:f>
        <x:v>#NAME?</x:v>
      </x:c>
      <x:c r="R903" s="146" t="e">
        <x:f>IF($A903="","",[1]!thsiFinD("ths_adjustment_nv_fund",R$3,$A903))</x:f>
        <x:v>#NAME?</x:v>
      </x:c>
      <x:c r="S903" s="146" t="e">
        <x:f>IF($A903="","",[1]!thsiFinD("ths_adjustment_nv_fund",S$3,$A903))</x:f>
        <x:v>#NAME?</x:v>
      </x:c>
      <x:c r="T903" s="146" t="e">
        <x:f>IF($A903="","",[1]!thsiFinD("ths_adjustment_nv_fund",T$3,$A903))</x:f>
        <x:v>#NAME?</x:v>
      </x:c>
      <x:c r="U903" s="146" t="e">
        <x:f>IF($A903="","",[1]!thsiFinD("ths_adjustment_nv_fund",U$3,$A903))</x:f>
        <x:v>#NAME?</x:v>
      </x:c>
      <x:c r="V903" s="146" t="e">
        <x:f>IF($A903="","",[1]!thsiFinD("ths_adjustment_nv_fund",V$3,$A903))</x:f>
        <x:v>#NAME?</x:v>
      </x:c>
      <x:c r="W903" s="146" t="e">
        <x:f>IF($A903="","",[1]!thsiFinD("ths_adjustment_nv_fund",W$3,$A903))</x:f>
        <x:v>#NAME?</x:v>
      </x:c>
      <x:c r="X903" s="146" t="e">
        <x:f>IF($A903="","",[1]!thsiFinD("ths_adjustment_nv_fund",X$3,$A903))</x:f>
        <x:v>#NAME?</x:v>
      </x:c>
      <x:c r="Y903" s="146" t="e">
        <x:f>IF($A903="","",[1]!thsiFinD("ths_adjustment_nv_fund",Y$3,$A903))</x:f>
        <x:v>#NAME?</x:v>
      </x:c>
      <x:c r="Z903" s="146" t="e">
        <x:f>IF($A903="","",[1]!thsiFinD("ths_adjustment_nv_fund",Z$3,$A903))</x:f>
        <x:v>#NAME?</x:v>
      </x:c>
      <x:c r="AA903" s="146" t="e">
        <x:f>IF($A903="","",[1]!thsiFinD("ths_adjustment_nv_fund",AA$3,$A903))</x:f>
        <x:v>#NAME?</x:v>
      </x:c>
    </x:row>
    <x:row r="904">
      <x:c r="B904" s="146" t="e">
        <x:f>IF($A904="","",[1]!thsiFinD("ths_adjustment_nv_fund",B$3,$A904))</x:f>
        <x:v>#NAME?</x:v>
      </x:c>
      <x:c r="C904" s="146" t="e">
        <x:f>IF($A904="","",[1]!thsiFinD("ths_adjustment_nv_fund",C$3,$A904))</x:f>
        <x:v>#NAME?</x:v>
      </x:c>
      <x:c r="D904" s="146" t="e">
        <x:f>IF($A904="","",[1]!thsiFinD("ths_adjustment_nv_fund",D$3,$A904))</x:f>
        <x:v>#NAME?</x:v>
      </x:c>
      <x:c r="E904" s="146" t="e">
        <x:f>IF($A904="","",[1]!thsiFinD("ths_adjustment_nv_fund",E$3,$A904))</x:f>
        <x:v>#NAME?</x:v>
      </x:c>
      <x:c r="F904" s="146" t="e">
        <x:f>IF($A904="","",[1]!thsiFinD("ths_adjustment_nv_fund",F$3,$A904))</x:f>
        <x:v>#NAME?</x:v>
      </x:c>
      <x:c r="G904" s="146" t="e">
        <x:f>IF($A904="","",[1]!thsiFinD("ths_adjustment_nv_fund",G$3,$A904))</x:f>
        <x:v>#NAME?</x:v>
      </x:c>
      <x:c r="H904" s="146" t="e">
        <x:f>IF($A904="","",[1]!thsiFinD("ths_adjustment_nv_fund",H$3,$A904))</x:f>
        <x:v>#NAME?</x:v>
      </x:c>
      <x:c r="I904" s="146" t="e">
        <x:f>IF($A904="","",[1]!thsiFinD("ths_adjustment_nv_fund",I$3,$A904))</x:f>
        <x:v>#NAME?</x:v>
      </x:c>
      <x:c r="J904" s="146" t="e">
        <x:f>IF($A904="","",[1]!thsiFinD("ths_adjustment_nv_fund",J$3,$A904))</x:f>
        <x:v>#NAME?</x:v>
      </x:c>
      <x:c r="K904" s="146" t="e">
        <x:f>IF($A904="","",[1]!thsiFinD("ths_adjustment_nv_fund",K$3,$A904))</x:f>
        <x:v>#NAME?</x:v>
      </x:c>
      <x:c r="L904" s="146" t="e">
        <x:f>IF($A904="","",[1]!thsiFinD("ths_adjustment_nv_fund",L$3,$A904))</x:f>
        <x:v>#NAME?</x:v>
      </x:c>
      <x:c r="M904" s="146" t="e">
        <x:f>IF($A904="","",[1]!thsiFinD("ths_adjustment_nv_fund",M$3,$A904))</x:f>
        <x:v>#NAME?</x:v>
      </x:c>
      <x:c r="N904" s="146" t="e">
        <x:f>IF($A904="","",[1]!thsiFinD("ths_adjustment_nv_fund",N$3,$A904))</x:f>
        <x:v>#NAME?</x:v>
      </x:c>
      <x:c r="O904" s="146" t="e">
        <x:f>IF($A904="","",[1]!thsiFinD("ths_adjustment_nv_fund",O$3,$A904))</x:f>
        <x:v>#NAME?</x:v>
      </x:c>
      <x:c r="P904" s="146" t="e">
        <x:f>IF($A904="","",[1]!thsiFinD("ths_adjustment_nv_fund",P$3,$A904))</x:f>
        <x:v>#NAME?</x:v>
      </x:c>
      <x:c r="Q904" s="146" t="e">
        <x:f>IF($A904="","",[1]!thsiFinD("ths_adjustment_nv_fund",Q$3,$A904))</x:f>
        <x:v>#NAME?</x:v>
      </x:c>
      <x:c r="R904" s="146" t="e">
        <x:f>IF($A904="","",[1]!thsiFinD("ths_adjustment_nv_fund",R$3,$A904))</x:f>
        <x:v>#NAME?</x:v>
      </x:c>
      <x:c r="S904" s="146" t="e">
        <x:f>IF($A904="","",[1]!thsiFinD("ths_adjustment_nv_fund",S$3,$A904))</x:f>
        <x:v>#NAME?</x:v>
      </x:c>
      <x:c r="T904" s="146" t="e">
        <x:f>IF($A904="","",[1]!thsiFinD("ths_adjustment_nv_fund",T$3,$A904))</x:f>
        <x:v>#NAME?</x:v>
      </x:c>
      <x:c r="U904" s="146" t="e">
        <x:f>IF($A904="","",[1]!thsiFinD("ths_adjustment_nv_fund",U$3,$A904))</x:f>
        <x:v>#NAME?</x:v>
      </x:c>
      <x:c r="V904" s="146" t="e">
        <x:f>IF($A904="","",[1]!thsiFinD("ths_adjustment_nv_fund",V$3,$A904))</x:f>
        <x:v>#NAME?</x:v>
      </x:c>
      <x:c r="W904" s="146" t="e">
        <x:f>IF($A904="","",[1]!thsiFinD("ths_adjustment_nv_fund",W$3,$A904))</x:f>
        <x:v>#NAME?</x:v>
      </x:c>
      <x:c r="X904" s="146" t="e">
        <x:f>IF($A904="","",[1]!thsiFinD("ths_adjustment_nv_fund",X$3,$A904))</x:f>
        <x:v>#NAME?</x:v>
      </x:c>
      <x:c r="Y904" s="146" t="e">
        <x:f>IF($A904="","",[1]!thsiFinD("ths_adjustment_nv_fund",Y$3,$A904))</x:f>
        <x:v>#NAME?</x:v>
      </x:c>
      <x:c r="Z904" s="146" t="e">
        <x:f>IF($A904="","",[1]!thsiFinD("ths_adjustment_nv_fund",Z$3,$A904))</x:f>
        <x:v>#NAME?</x:v>
      </x:c>
      <x:c r="AA904" s="146" t="e">
        <x:f>IF($A904="","",[1]!thsiFinD("ths_adjustment_nv_fund",AA$3,$A904))</x:f>
        <x:v>#NAME?</x:v>
      </x:c>
    </x:row>
    <x:row r="905">
      <x:c r="B905" s="146" t="e">
        <x:f>IF($A905="","",[1]!thsiFinD("ths_adjustment_nv_fund",B$3,$A905))</x:f>
        <x:v>#NAME?</x:v>
      </x:c>
      <x:c r="C905" s="146" t="e">
        <x:f>IF($A905="","",[1]!thsiFinD("ths_adjustment_nv_fund",C$3,$A905))</x:f>
        <x:v>#NAME?</x:v>
      </x:c>
      <x:c r="D905" s="146" t="e">
        <x:f>IF($A905="","",[1]!thsiFinD("ths_adjustment_nv_fund",D$3,$A905))</x:f>
        <x:v>#NAME?</x:v>
      </x:c>
      <x:c r="E905" s="146" t="e">
        <x:f>IF($A905="","",[1]!thsiFinD("ths_adjustment_nv_fund",E$3,$A905))</x:f>
        <x:v>#NAME?</x:v>
      </x:c>
      <x:c r="F905" s="146" t="e">
        <x:f>IF($A905="","",[1]!thsiFinD("ths_adjustment_nv_fund",F$3,$A905))</x:f>
        <x:v>#NAME?</x:v>
      </x:c>
      <x:c r="G905" s="146" t="e">
        <x:f>IF($A905="","",[1]!thsiFinD("ths_adjustment_nv_fund",G$3,$A905))</x:f>
        <x:v>#NAME?</x:v>
      </x:c>
      <x:c r="H905" s="146" t="e">
        <x:f>IF($A905="","",[1]!thsiFinD("ths_adjustment_nv_fund",H$3,$A905))</x:f>
        <x:v>#NAME?</x:v>
      </x:c>
      <x:c r="I905" s="146" t="e">
        <x:f>IF($A905="","",[1]!thsiFinD("ths_adjustment_nv_fund",I$3,$A905))</x:f>
        <x:v>#NAME?</x:v>
      </x:c>
      <x:c r="J905" s="146" t="e">
        <x:f>IF($A905="","",[1]!thsiFinD("ths_adjustment_nv_fund",J$3,$A905))</x:f>
        <x:v>#NAME?</x:v>
      </x:c>
      <x:c r="K905" s="146" t="e">
        <x:f>IF($A905="","",[1]!thsiFinD("ths_adjustment_nv_fund",K$3,$A905))</x:f>
        <x:v>#NAME?</x:v>
      </x:c>
      <x:c r="L905" s="146" t="e">
        <x:f>IF($A905="","",[1]!thsiFinD("ths_adjustment_nv_fund",L$3,$A905))</x:f>
        <x:v>#NAME?</x:v>
      </x:c>
      <x:c r="M905" s="146" t="e">
        <x:f>IF($A905="","",[1]!thsiFinD("ths_adjustment_nv_fund",M$3,$A905))</x:f>
        <x:v>#NAME?</x:v>
      </x:c>
      <x:c r="N905" s="146" t="e">
        <x:f>IF($A905="","",[1]!thsiFinD("ths_adjustment_nv_fund",N$3,$A905))</x:f>
        <x:v>#NAME?</x:v>
      </x:c>
      <x:c r="O905" s="146" t="e">
        <x:f>IF($A905="","",[1]!thsiFinD("ths_adjustment_nv_fund",O$3,$A905))</x:f>
        <x:v>#NAME?</x:v>
      </x:c>
      <x:c r="P905" s="146" t="e">
        <x:f>IF($A905="","",[1]!thsiFinD("ths_adjustment_nv_fund",P$3,$A905))</x:f>
        <x:v>#NAME?</x:v>
      </x:c>
      <x:c r="Q905" s="146" t="e">
        <x:f>IF($A905="","",[1]!thsiFinD("ths_adjustment_nv_fund",Q$3,$A905))</x:f>
        <x:v>#NAME?</x:v>
      </x:c>
      <x:c r="R905" s="146" t="e">
        <x:f>IF($A905="","",[1]!thsiFinD("ths_adjustment_nv_fund",R$3,$A905))</x:f>
        <x:v>#NAME?</x:v>
      </x:c>
      <x:c r="S905" s="146" t="e">
        <x:f>IF($A905="","",[1]!thsiFinD("ths_adjustment_nv_fund",S$3,$A905))</x:f>
        <x:v>#NAME?</x:v>
      </x:c>
      <x:c r="T905" s="146" t="e">
        <x:f>IF($A905="","",[1]!thsiFinD("ths_adjustment_nv_fund",T$3,$A905))</x:f>
        <x:v>#NAME?</x:v>
      </x:c>
      <x:c r="U905" s="146" t="e">
        <x:f>IF($A905="","",[1]!thsiFinD("ths_adjustment_nv_fund",U$3,$A905))</x:f>
        <x:v>#NAME?</x:v>
      </x:c>
      <x:c r="V905" s="146" t="e">
        <x:f>IF($A905="","",[1]!thsiFinD("ths_adjustment_nv_fund",V$3,$A905))</x:f>
        <x:v>#NAME?</x:v>
      </x:c>
      <x:c r="W905" s="146" t="e">
        <x:f>IF($A905="","",[1]!thsiFinD("ths_adjustment_nv_fund",W$3,$A905))</x:f>
        <x:v>#NAME?</x:v>
      </x:c>
      <x:c r="X905" s="146" t="e">
        <x:f>IF($A905="","",[1]!thsiFinD("ths_adjustment_nv_fund",X$3,$A905))</x:f>
        <x:v>#NAME?</x:v>
      </x:c>
      <x:c r="Y905" s="146" t="e">
        <x:f>IF($A905="","",[1]!thsiFinD("ths_adjustment_nv_fund",Y$3,$A905))</x:f>
        <x:v>#NAME?</x:v>
      </x:c>
      <x:c r="Z905" s="146" t="e">
        <x:f>IF($A905="","",[1]!thsiFinD("ths_adjustment_nv_fund",Z$3,$A905))</x:f>
        <x:v>#NAME?</x:v>
      </x:c>
      <x:c r="AA905" s="146" t="e">
        <x:f>IF($A905="","",[1]!thsiFinD("ths_adjustment_nv_fund",AA$3,$A905))</x:f>
        <x:v>#NAME?</x:v>
      </x:c>
    </x:row>
    <x:row r="906">
      <x:c r="B906" s="146" t="e">
        <x:f>IF($A906="","",[1]!thsiFinD("ths_adjustment_nv_fund",B$3,$A906))</x:f>
        <x:v>#NAME?</x:v>
      </x:c>
      <x:c r="C906" s="146" t="e">
        <x:f>IF($A906="","",[1]!thsiFinD("ths_adjustment_nv_fund",C$3,$A906))</x:f>
        <x:v>#NAME?</x:v>
      </x:c>
      <x:c r="D906" s="146" t="e">
        <x:f>IF($A906="","",[1]!thsiFinD("ths_adjustment_nv_fund",D$3,$A906))</x:f>
        <x:v>#NAME?</x:v>
      </x:c>
      <x:c r="E906" s="146" t="e">
        <x:f>IF($A906="","",[1]!thsiFinD("ths_adjustment_nv_fund",E$3,$A906))</x:f>
        <x:v>#NAME?</x:v>
      </x:c>
      <x:c r="F906" s="146" t="e">
        <x:f>IF($A906="","",[1]!thsiFinD("ths_adjustment_nv_fund",F$3,$A906))</x:f>
        <x:v>#NAME?</x:v>
      </x:c>
      <x:c r="G906" s="146" t="e">
        <x:f>IF($A906="","",[1]!thsiFinD("ths_adjustment_nv_fund",G$3,$A906))</x:f>
        <x:v>#NAME?</x:v>
      </x:c>
      <x:c r="H906" s="146" t="e">
        <x:f>IF($A906="","",[1]!thsiFinD("ths_adjustment_nv_fund",H$3,$A906))</x:f>
        <x:v>#NAME?</x:v>
      </x:c>
      <x:c r="I906" s="146" t="e">
        <x:f>IF($A906="","",[1]!thsiFinD("ths_adjustment_nv_fund",I$3,$A906))</x:f>
        <x:v>#NAME?</x:v>
      </x:c>
      <x:c r="J906" s="146" t="e">
        <x:f>IF($A906="","",[1]!thsiFinD("ths_adjustment_nv_fund",J$3,$A906))</x:f>
        <x:v>#NAME?</x:v>
      </x:c>
      <x:c r="K906" s="146" t="e">
        <x:f>IF($A906="","",[1]!thsiFinD("ths_adjustment_nv_fund",K$3,$A906))</x:f>
        <x:v>#NAME?</x:v>
      </x:c>
      <x:c r="L906" s="146" t="e">
        <x:f>IF($A906="","",[1]!thsiFinD("ths_adjustment_nv_fund",L$3,$A906))</x:f>
        <x:v>#NAME?</x:v>
      </x:c>
      <x:c r="M906" s="146" t="e">
        <x:f>IF($A906="","",[1]!thsiFinD("ths_adjustment_nv_fund",M$3,$A906))</x:f>
        <x:v>#NAME?</x:v>
      </x:c>
      <x:c r="N906" s="146" t="e">
        <x:f>IF($A906="","",[1]!thsiFinD("ths_adjustment_nv_fund",N$3,$A906))</x:f>
        <x:v>#NAME?</x:v>
      </x:c>
      <x:c r="O906" s="146" t="e">
        <x:f>IF($A906="","",[1]!thsiFinD("ths_adjustment_nv_fund",O$3,$A906))</x:f>
        <x:v>#NAME?</x:v>
      </x:c>
      <x:c r="P906" s="146" t="e">
        <x:f>IF($A906="","",[1]!thsiFinD("ths_adjustment_nv_fund",P$3,$A906))</x:f>
        <x:v>#NAME?</x:v>
      </x:c>
      <x:c r="Q906" s="146" t="e">
        <x:f>IF($A906="","",[1]!thsiFinD("ths_adjustment_nv_fund",Q$3,$A906))</x:f>
        <x:v>#NAME?</x:v>
      </x:c>
      <x:c r="R906" s="146" t="e">
        <x:f>IF($A906="","",[1]!thsiFinD("ths_adjustment_nv_fund",R$3,$A906))</x:f>
        <x:v>#NAME?</x:v>
      </x:c>
      <x:c r="S906" s="146" t="e">
        <x:f>IF($A906="","",[1]!thsiFinD("ths_adjustment_nv_fund",S$3,$A906))</x:f>
        <x:v>#NAME?</x:v>
      </x:c>
      <x:c r="T906" s="146" t="e">
        <x:f>IF($A906="","",[1]!thsiFinD("ths_adjustment_nv_fund",T$3,$A906))</x:f>
        <x:v>#NAME?</x:v>
      </x:c>
      <x:c r="U906" s="146" t="e">
        <x:f>IF($A906="","",[1]!thsiFinD("ths_adjustment_nv_fund",U$3,$A906))</x:f>
        <x:v>#NAME?</x:v>
      </x:c>
      <x:c r="V906" s="146" t="e">
        <x:f>IF($A906="","",[1]!thsiFinD("ths_adjustment_nv_fund",V$3,$A906))</x:f>
        <x:v>#NAME?</x:v>
      </x:c>
      <x:c r="W906" s="146" t="e">
        <x:f>IF($A906="","",[1]!thsiFinD("ths_adjustment_nv_fund",W$3,$A906))</x:f>
        <x:v>#NAME?</x:v>
      </x:c>
      <x:c r="X906" s="146" t="e">
        <x:f>IF($A906="","",[1]!thsiFinD("ths_adjustment_nv_fund",X$3,$A906))</x:f>
        <x:v>#NAME?</x:v>
      </x:c>
      <x:c r="Y906" s="146" t="e">
        <x:f>IF($A906="","",[1]!thsiFinD("ths_adjustment_nv_fund",Y$3,$A906))</x:f>
        <x:v>#NAME?</x:v>
      </x:c>
      <x:c r="Z906" s="146" t="e">
        <x:f>IF($A906="","",[1]!thsiFinD("ths_adjustment_nv_fund",Z$3,$A906))</x:f>
        <x:v>#NAME?</x:v>
      </x:c>
      <x:c r="AA906" s="146" t="e">
        <x:f>IF($A906="","",[1]!thsiFinD("ths_adjustment_nv_fund",AA$3,$A906))</x:f>
        <x:v>#NAME?</x:v>
      </x:c>
    </x:row>
    <x:row r="907">
      <x:c r="B907" s="146" t="e">
        <x:f>IF($A907="","",[1]!thsiFinD("ths_adjustment_nv_fund",B$3,$A907))</x:f>
        <x:v>#NAME?</x:v>
      </x:c>
      <x:c r="C907" s="146" t="e">
        <x:f>IF($A907="","",[1]!thsiFinD("ths_adjustment_nv_fund",C$3,$A907))</x:f>
        <x:v>#NAME?</x:v>
      </x:c>
      <x:c r="D907" s="146" t="e">
        <x:f>IF($A907="","",[1]!thsiFinD("ths_adjustment_nv_fund",D$3,$A907))</x:f>
        <x:v>#NAME?</x:v>
      </x:c>
      <x:c r="E907" s="146" t="e">
        <x:f>IF($A907="","",[1]!thsiFinD("ths_adjustment_nv_fund",E$3,$A907))</x:f>
        <x:v>#NAME?</x:v>
      </x:c>
      <x:c r="F907" s="146" t="e">
        <x:f>IF($A907="","",[1]!thsiFinD("ths_adjustment_nv_fund",F$3,$A907))</x:f>
        <x:v>#NAME?</x:v>
      </x:c>
      <x:c r="G907" s="146" t="e">
        <x:f>IF($A907="","",[1]!thsiFinD("ths_adjustment_nv_fund",G$3,$A907))</x:f>
        <x:v>#NAME?</x:v>
      </x:c>
      <x:c r="H907" s="146" t="e">
        <x:f>IF($A907="","",[1]!thsiFinD("ths_adjustment_nv_fund",H$3,$A907))</x:f>
        <x:v>#NAME?</x:v>
      </x:c>
      <x:c r="I907" s="146" t="e">
        <x:f>IF($A907="","",[1]!thsiFinD("ths_adjustment_nv_fund",I$3,$A907))</x:f>
        <x:v>#NAME?</x:v>
      </x:c>
      <x:c r="J907" s="146" t="e">
        <x:f>IF($A907="","",[1]!thsiFinD("ths_adjustment_nv_fund",J$3,$A907))</x:f>
        <x:v>#NAME?</x:v>
      </x:c>
      <x:c r="K907" s="146" t="e">
        <x:f>IF($A907="","",[1]!thsiFinD("ths_adjustment_nv_fund",K$3,$A907))</x:f>
        <x:v>#NAME?</x:v>
      </x:c>
      <x:c r="L907" s="146" t="e">
        <x:f>IF($A907="","",[1]!thsiFinD("ths_adjustment_nv_fund",L$3,$A907))</x:f>
        <x:v>#NAME?</x:v>
      </x:c>
      <x:c r="M907" s="146" t="e">
        <x:f>IF($A907="","",[1]!thsiFinD("ths_adjustment_nv_fund",M$3,$A907))</x:f>
        <x:v>#NAME?</x:v>
      </x:c>
      <x:c r="N907" s="146" t="e">
        <x:f>IF($A907="","",[1]!thsiFinD("ths_adjustment_nv_fund",N$3,$A907))</x:f>
        <x:v>#NAME?</x:v>
      </x:c>
      <x:c r="O907" s="146" t="e">
        <x:f>IF($A907="","",[1]!thsiFinD("ths_adjustment_nv_fund",O$3,$A907))</x:f>
        <x:v>#NAME?</x:v>
      </x:c>
      <x:c r="P907" s="146" t="e">
        <x:f>IF($A907="","",[1]!thsiFinD("ths_adjustment_nv_fund",P$3,$A907))</x:f>
        <x:v>#NAME?</x:v>
      </x:c>
      <x:c r="Q907" s="146" t="e">
        <x:f>IF($A907="","",[1]!thsiFinD("ths_adjustment_nv_fund",Q$3,$A907))</x:f>
        <x:v>#NAME?</x:v>
      </x:c>
      <x:c r="R907" s="146" t="e">
        <x:f>IF($A907="","",[1]!thsiFinD("ths_adjustment_nv_fund",R$3,$A907))</x:f>
        <x:v>#NAME?</x:v>
      </x:c>
      <x:c r="S907" s="146" t="e">
        <x:f>IF($A907="","",[1]!thsiFinD("ths_adjustment_nv_fund",S$3,$A907))</x:f>
        <x:v>#NAME?</x:v>
      </x:c>
      <x:c r="T907" s="146" t="e">
        <x:f>IF($A907="","",[1]!thsiFinD("ths_adjustment_nv_fund",T$3,$A907))</x:f>
        <x:v>#NAME?</x:v>
      </x:c>
      <x:c r="U907" s="146" t="e">
        <x:f>IF($A907="","",[1]!thsiFinD("ths_adjustment_nv_fund",U$3,$A907))</x:f>
        <x:v>#NAME?</x:v>
      </x:c>
      <x:c r="V907" s="146" t="e">
        <x:f>IF($A907="","",[1]!thsiFinD("ths_adjustment_nv_fund",V$3,$A907))</x:f>
        <x:v>#NAME?</x:v>
      </x:c>
      <x:c r="W907" s="146" t="e">
        <x:f>IF($A907="","",[1]!thsiFinD("ths_adjustment_nv_fund",W$3,$A907))</x:f>
        <x:v>#NAME?</x:v>
      </x:c>
      <x:c r="X907" s="146" t="e">
        <x:f>IF($A907="","",[1]!thsiFinD("ths_adjustment_nv_fund",X$3,$A907))</x:f>
        <x:v>#NAME?</x:v>
      </x:c>
      <x:c r="Y907" s="146" t="e">
        <x:f>IF($A907="","",[1]!thsiFinD("ths_adjustment_nv_fund",Y$3,$A907))</x:f>
        <x:v>#NAME?</x:v>
      </x:c>
      <x:c r="Z907" s="146" t="e">
        <x:f>IF($A907="","",[1]!thsiFinD("ths_adjustment_nv_fund",Z$3,$A907))</x:f>
        <x:v>#NAME?</x:v>
      </x:c>
      <x:c r="AA907" s="146" t="e">
        <x:f>IF($A907="","",[1]!thsiFinD("ths_adjustment_nv_fund",AA$3,$A907))</x:f>
        <x:v>#NAME?</x:v>
      </x:c>
    </x:row>
    <x:row r="908">
      <x:c r="B908" s="146" t="e">
        <x:f>IF($A908="","",[1]!thsiFinD("ths_adjustment_nv_fund",B$3,$A908))</x:f>
        <x:v>#NAME?</x:v>
      </x:c>
      <x:c r="C908" s="146" t="e">
        <x:f>IF($A908="","",[1]!thsiFinD("ths_adjustment_nv_fund",C$3,$A908))</x:f>
        <x:v>#NAME?</x:v>
      </x:c>
      <x:c r="D908" s="146" t="e">
        <x:f>IF($A908="","",[1]!thsiFinD("ths_adjustment_nv_fund",D$3,$A908))</x:f>
        <x:v>#NAME?</x:v>
      </x:c>
      <x:c r="E908" s="146" t="e">
        <x:f>IF($A908="","",[1]!thsiFinD("ths_adjustment_nv_fund",E$3,$A908))</x:f>
        <x:v>#NAME?</x:v>
      </x:c>
      <x:c r="F908" s="146" t="e">
        <x:f>IF($A908="","",[1]!thsiFinD("ths_adjustment_nv_fund",F$3,$A908))</x:f>
        <x:v>#NAME?</x:v>
      </x:c>
      <x:c r="G908" s="146" t="e">
        <x:f>IF($A908="","",[1]!thsiFinD("ths_adjustment_nv_fund",G$3,$A908))</x:f>
        <x:v>#NAME?</x:v>
      </x:c>
      <x:c r="H908" s="146" t="e">
        <x:f>IF($A908="","",[1]!thsiFinD("ths_adjustment_nv_fund",H$3,$A908))</x:f>
        <x:v>#NAME?</x:v>
      </x:c>
      <x:c r="I908" s="146" t="e">
        <x:f>IF($A908="","",[1]!thsiFinD("ths_adjustment_nv_fund",I$3,$A908))</x:f>
        <x:v>#NAME?</x:v>
      </x:c>
      <x:c r="J908" s="146" t="e">
        <x:f>IF($A908="","",[1]!thsiFinD("ths_adjustment_nv_fund",J$3,$A908))</x:f>
        <x:v>#NAME?</x:v>
      </x:c>
      <x:c r="K908" s="146" t="e">
        <x:f>IF($A908="","",[1]!thsiFinD("ths_adjustment_nv_fund",K$3,$A908))</x:f>
        <x:v>#NAME?</x:v>
      </x:c>
      <x:c r="L908" s="146" t="e">
        <x:f>IF($A908="","",[1]!thsiFinD("ths_adjustment_nv_fund",L$3,$A908))</x:f>
        <x:v>#NAME?</x:v>
      </x:c>
      <x:c r="M908" s="146" t="e">
        <x:f>IF($A908="","",[1]!thsiFinD("ths_adjustment_nv_fund",M$3,$A908))</x:f>
        <x:v>#NAME?</x:v>
      </x:c>
      <x:c r="N908" s="146" t="e">
        <x:f>IF($A908="","",[1]!thsiFinD("ths_adjustment_nv_fund",N$3,$A908))</x:f>
        <x:v>#NAME?</x:v>
      </x:c>
      <x:c r="O908" s="146" t="e">
        <x:f>IF($A908="","",[1]!thsiFinD("ths_adjustment_nv_fund",O$3,$A908))</x:f>
        <x:v>#NAME?</x:v>
      </x:c>
      <x:c r="P908" s="146" t="e">
        <x:f>IF($A908="","",[1]!thsiFinD("ths_adjustment_nv_fund",P$3,$A908))</x:f>
        <x:v>#NAME?</x:v>
      </x:c>
      <x:c r="Q908" s="146" t="e">
        <x:f>IF($A908="","",[1]!thsiFinD("ths_adjustment_nv_fund",Q$3,$A908))</x:f>
        <x:v>#NAME?</x:v>
      </x:c>
      <x:c r="R908" s="146" t="e">
        <x:f>IF($A908="","",[1]!thsiFinD("ths_adjustment_nv_fund",R$3,$A908))</x:f>
        <x:v>#NAME?</x:v>
      </x:c>
      <x:c r="S908" s="146" t="e">
        <x:f>IF($A908="","",[1]!thsiFinD("ths_adjustment_nv_fund",S$3,$A908))</x:f>
        <x:v>#NAME?</x:v>
      </x:c>
      <x:c r="T908" s="146" t="e">
        <x:f>IF($A908="","",[1]!thsiFinD("ths_adjustment_nv_fund",T$3,$A908))</x:f>
        <x:v>#NAME?</x:v>
      </x:c>
      <x:c r="U908" s="146" t="e">
        <x:f>IF($A908="","",[1]!thsiFinD("ths_adjustment_nv_fund",U$3,$A908))</x:f>
        <x:v>#NAME?</x:v>
      </x:c>
      <x:c r="V908" s="146" t="e">
        <x:f>IF($A908="","",[1]!thsiFinD("ths_adjustment_nv_fund",V$3,$A908))</x:f>
        <x:v>#NAME?</x:v>
      </x:c>
      <x:c r="W908" s="146" t="e">
        <x:f>IF($A908="","",[1]!thsiFinD("ths_adjustment_nv_fund",W$3,$A908))</x:f>
        <x:v>#NAME?</x:v>
      </x:c>
      <x:c r="X908" s="146" t="e">
        <x:f>IF($A908="","",[1]!thsiFinD("ths_adjustment_nv_fund",X$3,$A908))</x:f>
        <x:v>#NAME?</x:v>
      </x:c>
      <x:c r="Y908" s="146" t="e">
        <x:f>IF($A908="","",[1]!thsiFinD("ths_adjustment_nv_fund",Y$3,$A908))</x:f>
        <x:v>#NAME?</x:v>
      </x:c>
      <x:c r="Z908" s="146" t="e">
        <x:f>IF($A908="","",[1]!thsiFinD("ths_adjustment_nv_fund",Z$3,$A908))</x:f>
        <x:v>#NAME?</x:v>
      </x:c>
      <x:c r="AA908" s="146" t="e">
        <x:f>IF($A908="","",[1]!thsiFinD("ths_adjustment_nv_fund",AA$3,$A908))</x:f>
        <x:v>#NAME?</x:v>
      </x:c>
    </x:row>
    <x:row r="909">
      <x:c r="B909" s="146" t="e">
        <x:f>IF($A909="","",[1]!thsiFinD("ths_adjustment_nv_fund",B$3,$A909))</x:f>
        <x:v>#NAME?</x:v>
      </x:c>
      <x:c r="C909" s="146" t="e">
        <x:f>IF($A909="","",[1]!thsiFinD("ths_adjustment_nv_fund",C$3,$A909))</x:f>
        <x:v>#NAME?</x:v>
      </x:c>
      <x:c r="D909" s="146" t="e">
        <x:f>IF($A909="","",[1]!thsiFinD("ths_adjustment_nv_fund",D$3,$A909))</x:f>
        <x:v>#NAME?</x:v>
      </x:c>
      <x:c r="E909" s="146" t="e">
        <x:f>IF($A909="","",[1]!thsiFinD("ths_adjustment_nv_fund",E$3,$A909))</x:f>
        <x:v>#NAME?</x:v>
      </x:c>
      <x:c r="F909" s="146" t="e">
        <x:f>IF($A909="","",[1]!thsiFinD("ths_adjustment_nv_fund",F$3,$A909))</x:f>
        <x:v>#NAME?</x:v>
      </x:c>
      <x:c r="G909" s="146" t="e">
        <x:f>IF($A909="","",[1]!thsiFinD("ths_adjustment_nv_fund",G$3,$A909))</x:f>
        <x:v>#NAME?</x:v>
      </x:c>
      <x:c r="H909" s="146" t="e">
        <x:f>IF($A909="","",[1]!thsiFinD("ths_adjustment_nv_fund",H$3,$A909))</x:f>
        <x:v>#NAME?</x:v>
      </x:c>
      <x:c r="I909" s="146" t="e">
        <x:f>IF($A909="","",[1]!thsiFinD("ths_adjustment_nv_fund",I$3,$A909))</x:f>
        <x:v>#NAME?</x:v>
      </x:c>
      <x:c r="J909" s="146" t="e">
        <x:f>IF($A909="","",[1]!thsiFinD("ths_adjustment_nv_fund",J$3,$A909))</x:f>
        <x:v>#NAME?</x:v>
      </x:c>
      <x:c r="K909" s="146" t="e">
        <x:f>IF($A909="","",[1]!thsiFinD("ths_adjustment_nv_fund",K$3,$A909))</x:f>
        <x:v>#NAME?</x:v>
      </x:c>
      <x:c r="L909" s="146" t="e">
        <x:f>IF($A909="","",[1]!thsiFinD("ths_adjustment_nv_fund",L$3,$A909))</x:f>
        <x:v>#NAME?</x:v>
      </x:c>
      <x:c r="M909" s="146" t="e">
        <x:f>IF($A909="","",[1]!thsiFinD("ths_adjustment_nv_fund",M$3,$A909))</x:f>
        <x:v>#NAME?</x:v>
      </x:c>
      <x:c r="N909" s="146" t="e">
        <x:f>IF($A909="","",[1]!thsiFinD("ths_adjustment_nv_fund",N$3,$A909))</x:f>
        <x:v>#NAME?</x:v>
      </x:c>
      <x:c r="O909" s="146" t="e">
        <x:f>IF($A909="","",[1]!thsiFinD("ths_adjustment_nv_fund",O$3,$A909))</x:f>
        <x:v>#NAME?</x:v>
      </x:c>
      <x:c r="P909" s="146" t="e">
        <x:f>IF($A909="","",[1]!thsiFinD("ths_adjustment_nv_fund",P$3,$A909))</x:f>
        <x:v>#NAME?</x:v>
      </x:c>
      <x:c r="Q909" s="146" t="e">
        <x:f>IF($A909="","",[1]!thsiFinD("ths_adjustment_nv_fund",Q$3,$A909))</x:f>
        <x:v>#NAME?</x:v>
      </x:c>
      <x:c r="R909" s="146" t="e">
        <x:f>IF($A909="","",[1]!thsiFinD("ths_adjustment_nv_fund",R$3,$A909))</x:f>
        <x:v>#NAME?</x:v>
      </x:c>
      <x:c r="S909" s="146" t="e">
        <x:f>IF($A909="","",[1]!thsiFinD("ths_adjustment_nv_fund",S$3,$A909))</x:f>
        <x:v>#NAME?</x:v>
      </x:c>
      <x:c r="T909" s="146" t="e">
        <x:f>IF($A909="","",[1]!thsiFinD("ths_adjustment_nv_fund",T$3,$A909))</x:f>
        <x:v>#NAME?</x:v>
      </x:c>
      <x:c r="U909" s="146" t="e">
        <x:f>IF($A909="","",[1]!thsiFinD("ths_adjustment_nv_fund",U$3,$A909))</x:f>
        <x:v>#NAME?</x:v>
      </x:c>
      <x:c r="V909" s="146" t="e">
        <x:f>IF($A909="","",[1]!thsiFinD("ths_adjustment_nv_fund",V$3,$A909))</x:f>
        <x:v>#NAME?</x:v>
      </x:c>
      <x:c r="W909" s="146" t="e">
        <x:f>IF($A909="","",[1]!thsiFinD("ths_adjustment_nv_fund",W$3,$A909))</x:f>
        <x:v>#NAME?</x:v>
      </x:c>
      <x:c r="X909" s="146" t="e">
        <x:f>IF($A909="","",[1]!thsiFinD("ths_adjustment_nv_fund",X$3,$A909))</x:f>
        <x:v>#NAME?</x:v>
      </x:c>
      <x:c r="Y909" s="146" t="e">
        <x:f>IF($A909="","",[1]!thsiFinD("ths_adjustment_nv_fund",Y$3,$A909))</x:f>
        <x:v>#NAME?</x:v>
      </x:c>
      <x:c r="Z909" s="146" t="e">
        <x:f>IF($A909="","",[1]!thsiFinD("ths_adjustment_nv_fund",Z$3,$A909))</x:f>
        <x:v>#NAME?</x:v>
      </x:c>
      <x:c r="AA909" s="146" t="e">
        <x:f>IF($A909="","",[1]!thsiFinD("ths_adjustment_nv_fund",AA$3,$A909))</x:f>
        <x:v>#NAME?</x:v>
      </x:c>
    </x:row>
    <x:row r="910">
      <x:c r="B910" s="146" t="e">
        <x:f>IF($A910="","",[1]!thsiFinD("ths_adjustment_nv_fund",B$3,$A910))</x:f>
        <x:v>#NAME?</x:v>
      </x:c>
      <x:c r="C910" s="146" t="e">
        <x:f>IF($A910="","",[1]!thsiFinD("ths_adjustment_nv_fund",C$3,$A910))</x:f>
        <x:v>#NAME?</x:v>
      </x:c>
      <x:c r="D910" s="146" t="e">
        <x:f>IF($A910="","",[1]!thsiFinD("ths_adjustment_nv_fund",D$3,$A910))</x:f>
        <x:v>#NAME?</x:v>
      </x:c>
      <x:c r="E910" s="146" t="e">
        <x:f>IF($A910="","",[1]!thsiFinD("ths_adjustment_nv_fund",E$3,$A910))</x:f>
        <x:v>#NAME?</x:v>
      </x:c>
      <x:c r="F910" s="146" t="e">
        <x:f>IF($A910="","",[1]!thsiFinD("ths_adjustment_nv_fund",F$3,$A910))</x:f>
        <x:v>#NAME?</x:v>
      </x:c>
      <x:c r="G910" s="146" t="e">
        <x:f>IF($A910="","",[1]!thsiFinD("ths_adjustment_nv_fund",G$3,$A910))</x:f>
        <x:v>#NAME?</x:v>
      </x:c>
      <x:c r="H910" s="146" t="e">
        <x:f>IF($A910="","",[1]!thsiFinD("ths_adjustment_nv_fund",H$3,$A910))</x:f>
        <x:v>#NAME?</x:v>
      </x:c>
      <x:c r="I910" s="146" t="e">
        <x:f>IF($A910="","",[1]!thsiFinD("ths_adjustment_nv_fund",I$3,$A910))</x:f>
        <x:v>#NAME?</x:v>
      </x:c>
      <x:c r="J910" s="146" t="e">
        <x:f>IF($A910="","",[1]!thsiFinD("ths_adjustment_nv_fund",J$3,$A910))</x:f>
        <x:v>#NAME?</x:v>
      </x:c>
      <x:c r="K910" s="146" t="e">
        <x:f>IF($A910="","",[1]!thsiFinD("ths_adjustment_nv_fund",K$3,$A910))</x:f>
        <x:v>#NAME?</x:v>
      </x:c>
      <x:c r="L910" s="146" t="e">
        <x:f>IF($A910="","",[1]!thsiFinD("ths_adjustment_nv_fund",L$3,$A910))</x:f>
        <x:v>#NAME?</x:v>
      </x:c>
      <x:c r="M910" s="146" t="e">
        <x:f>IF($A910="","",[1]!thsiFinD("ths_adjustment_nv_fund",M$3,$A910))</x:f>
        <x:v>#NAME?</x:v>
      </x:c>
      <x:c r="N910" s="146" t="e">
        <x:f>IF($A910="","",[1]!thsiFinD("ths_adjustment_nv_fund",N$3,$A910))</x:f>
        <x:v>#NAME?</x:v>
      </x:c>
      <x:c r="O910" s="146" t="e">
        <x:f>IF($A910="","",[1]!thsiFinD("ths_adjustment_nv_fund",O$3,$A910))</x:f>
        <x:v>#NAME?</x:v>
      </x:c>
      <x:c r="P910" s="146" t="e">
        <x:f>IF($A910="","",[1]!thsiFinD("ths_adjustment_nv_fund",P$3,$A910))</x:f>
        <x:v>#NAME?</x:v>
      </x:c>
      <x:c r="Q910" s="146" t="e">
        <x:f>IF($A910="","",[1]!thsiFinD("ths_adjustment_nv_fund",Q$3,$A910))</x:f>
        <x:v>#NAME?</x:v>
      </x:c>
      <x:c r="R910" s="146" t="e">
        <x:f>IF($A910="","",[1]!thsiFinD("ths_adjustment_nv_fund",R$3,$A910))</x:f>
        <x:v>#NAME?</x:v>
      </x:c>
      <x:c r="S910" s="146" t="e">
        <x:f>IF($A910="","",[1]!thsiFinD("ths_adjustment_nv_fund",S$3,$A910))</x:f>
        <x:v>#NAME?</x:v>
      </x:c>
      <x:c r="T910" s="146" t="e">
        <x:f>IF($A910="","",[1]!thsiFinD("ths_adjustment_nv_fund",T$3,$A910))</x:f>
        <x:v>#NAME?</x:v>
      </x:c>
      <x:c r="U910" s="146" t="e">
        <x:f>IF($A910="","",[1]!thsiFinD("ths_adjustment_nv_fund",U$3,$A910))</x:f>
        <x:v>#NAME?</x:v>
      </x:c>
      <x:c r="V910" s="146" t="e">
        <x:f>IF($A910="","",[1]!thsiFinD("ths_adjustment_nv_fund",V$3,$A910))</x:f>
        <x:v>#NAME?</x:v>
      </x:c>
      <x:c r="W910" s="146" t="e">
        <x:f>IF($A910="","",[1]!thsiFinD("ths_adjustment_nv_fund",W$3,$A910))</x:f>
        <x:v>#NAME?</x:v>
      </x:c>
      <x:c r="X910" s="146" t="e">
        <x:f>IF($A910="","",[1]!thsiFinD("ths_adjustment_nv_fund",X$3,$A910))</x:f>
        <x:v>#NAME?</x:v>
      </x:c>
      <x:c r="Y910" s="146" t="e">
        <x:f>IF($A910="","",[1]!thsiFinD("ths_adjustment_nv_fund",Y$3,$A910))</x:f>
        <x:v>#NAME?</x:v>
      </x:c>
      <x:c r="Z910" s="146" t="e">
        <x:f>IF($A910="","",[1]!thsiFinD("ths_adjustment_nv_fund",Z$3,$A910))</x:f>
        <x:v>#NAME?</x:v>
      </x:c>
      <x:c r="AA910" s="146" t="e">
        <x:f>IF($A910="","",[1]!thsiFinD("ths_adjustment_nv_fund",AA$3,$A910))</x:f>
        <x:v>#NAME?</x:v>
      </x:c>
    </x:row>
    <x:row r="911">
      <x:c r="B911" s="146" t="e">
        <x:f>IF($A911="","",[1]!thsiFinD("ths_adjustment_nv_fund",B$3,$A911))</x:f>
        <x:v>#NAME?</x:v>
      </x:c>
      <x:c r="C911" s="146" t="e">
        <x:f>IF($A911="","",[1]!thsiFinD("ths_adjustment_nv_fund",C$3,$A911))</x:f>
        <x:v>#NAME?</x:v>
      </x:c>
      <x:c r="D911" s="146" t="e">
        <x:f>IF($A911="","",[1]!thsiFinD("ths_adjustment_nv_fund",D$3,$A911))</x:f>
        <x:v>#NAME?</x:v>
      </x:c>
      <x:c r="E911" s="146" t="e">
        <x:f>IF($A911="","",[1]!thsiFinD("ths_adjustment_nv_fund",E$3,$A911))</x:f>
        <x:v>#NAME?</x:v>
      </x:c>
      <x:c r="F911" s="146" t="e">
        <x:f>IF($A911="","",[1]!thsiFinD("ths_adjustment_nv_fund",F$3,$A911))</x:f>
        <x:v>#NAME?</x:v>
      </x:c>
      <x:c r="G911" s="146" t="e">
        <x:f>IF($A911="","",[1]!thsiFinD("ths_adjustment_nv_fund",G$3,$A911))</x:f>
        <x:v>#NAME?</x:v>
      </x:c>
      <x:c r="H911" s="146" t="e">
        <x:f>IF($A911="","",[1]!thsiFinD("ths_adjustment_nv_fund",H$3,$A911))</x:f>
        <x:v>#NAME?</x:v>
      </x:c>
      <x:c r="I911" s="146" t="e">
        <x:f>IF($A911="","",[1]!thsiFinD("ths_adjustment_nv_fund",I$3,$A911))</x:f>
        <x:v>#NAME?</x:v>
      </x:c>
      <x:c r="J911" s="146" t="e">
        <x:f>IF($A911="","",[1]!thsiFinD("ths_adjustment_nv_fund",J$3,$A911))</x:f>
        <x:v>#NAME?</x:v>
      </x:c>
      <x:c r="K911" s="146" t="e">
        <x:f>IF($A911="","",[1]!thsiFinD("ths_adjustment_nv_fund",K$3,$A911))</x:f>
        <x:v>#NAME?</x:v>
      </x:c>
      <x:c r="L911" s="146" t="e">
        <x:f>IF($A911="","",[1]!thsiFinD("ths_adjustment_nv_fund",L$3,$A911))</x:f>
        <x:v>#NAME?</x:v>
      </x:c>
      <x:c r="M911" s="146" t="e">
        <x:f>IF($A911="","",[1]!thsiFinD("ths_adjustment_nv_fund",M$3,$A911))</x:f>
        <x:v>#NAME?</x:v>
      </x:c>
      <x:c r="N911" s="146" t="e">
        <x:f>IF($A911="","",[1]!thsiFinD("ths_adjustment_nv_fund",N$3,$A911))</x:f>
        <x:v>#NAME?</x:v>
      </x:c>
      <x:c r="O911" s="146" t="e">
        <x:f>IF($A911="","",[1]!thsiFinD("ths_adjustment_nv_fund",O$3,$A911))</x:f>
        <x:v>#NAME?</x:v>
      </x:c>
      <x:c r="P911" s="146" t="e">
        <x:f>IF($A911="","",[1]!thsiFinD("ths_adjustment_nv_fund",P$3,$A911))</x:f>
        <x:v>#NAME?</x:v>
      </x:c>
      <x:c r="Q911" s="146" t="e">
        <x:f>IF($A911="","",[1]!thsiFinD("ths_adjustment_nv_fund",Q$3,$A911))</x:f>
        <x:v>#NAME?</x:v>
      </x:c>
      <x:c r="R911" s="146" t="e">
        <x:f>IF($A911="","",[1]!thsiFinD("ths_adjustment_nv_fund",R$3,$A911))</x:f>
        <x:v>#NAME?</x:v>
      </x:c>
      <x:c r="S911" s="146" t="e">
        <x:f>IF($A911="","",[1]!thsiFinD("ths_adjustment_nv_fund",S$3,$A911))</x:f>
        <x:v>#NAME?</x:v>
      </x:c>
      <x:c r="T911" s="146" t="e">
        <x:f>IF($A911="","",[1]!thsiFinD("ths_adjustment_nv_fund",T$3,$A911))</x:f>
        <x:v>#NAME?</x:v>
      </x:c>
      <x:c r="U911" s="146" t="e">
        <x:f>IF($A911="","",[1]!thsiFinD("ths_adjustment_nv_fund",U$3,$A911))</x:f>
        <x:v>#NAME?</x:v>
      </x:c>
      <x:c r="V911" s="146" t="e">
        <x:f>IF($A911="","",[1]!thsiFinD("ths_adjustment_nv_fund",V$3,$A911))</x:f>
        <x:v>#NAME?</x:v>
      </x:c>
      <x:c r="W911" s="146" t="e">
        <x:f>IF($A911="","",[1]!thsiFinD("ths_adjustment_nv_fund",W$3,$A911))</x:f>
        <x:v>#NAME?</x:v>
      </x:c>
      <x:c r="X911" s="146" t="e">
        <x:f>IF($A911="","",[1]!thsiFinD("ths_adjustment_nv_fund",X$3,$A911))</x:f>
        <x:v>#NAME?</x:v>
      </x:c>
      <x:c r="Y911" s="146" t="e">
        <x:f>IF($A911="","",[1]!thsiFinD("ths_adjustment_nv_fund",Y$3,$A911))</x:f>
        <x:v>#NAME?</x:v>
      </x:c>
      <x:c r="Z911" s="146" t="e">
        <x:f>IF($A911="","",[1]!thsiFinD("ths_adjustment_nv_fund",Z$3,$A911))</x:f>
        <x:v>#NAME?</x:v>
      </x:c>
      <x:c r="AA911" s="146" t="e">
        <x:f>IF($A911="","",[1]!thsiFinD("ths_adjustment_nv_fund",AA$3,$A911))</x:f>
        <x:v>#NAME?</x:v>
      </x:c>
    </x:row>
    <x:row r="912">
      <x:c r="B912" s="146" t="e">
        <x:f>IF($A912="","",[1]!thsiFinD("ths_adjustment_nv_fund",B$3,$A912))</x:f>
        <x:v>#NAME?</x:v>
      </x:c>
      <x:c r="C912" s="146" t="e">
        <x:f>IF($A912="","",[1]!thsiFinD("ths_adjustment_nv_fund",C$3,$A912))</x:f>
        <x:v>#NAME?</x:v>
      </x:c>
      <x:c r="D912" s="146" t="e">
        <x:f>IF($A912="","",[1]!thsiFinD("ths_adjustment_nv_fund",D$3,$A912))</x:f>
        <x:v>#NAME?</x:v>
      </x:c>
      <x:c r="E912" s="146" t="e">
        <x:f>IF($A912="","",[1]!thsiFinD("ths_adjustment_nv_fund",E$3,$A912))</x:f>
        <x:v>#NAME?</x:v>
      </x:c>
      <x:c r="F912" s="146" t="e">
        <x:f>IF($A912="","",[1]!thsiFinD("ths_adjustment_nv_fund",F$3,$A912))</x:f>
        <x:v>#NAME?</x:v>
      </x:c>
      <x:c r="G912" s="146" t="e">
        <x:f>IF($A912="","",[1]!thsiFinD("ths_adjustment_nv_fund",G$3,$A912))</x:f>
        <x:v>#NAME?</x:v>
      </x:c>
      <x:c r="H912" s="146" t="e">
        <x:f>IF($A912="","",[1]!thsiFinD("ths_adjustment_nv_fund",H$3,$A912))</x:f>
        <x:v>#NAME?</x:v>
      </x:c>
      <x:c r="I912" s="146" t="e">
        <x:f>IF($A912="","",[1]!thsiFinD("ths_adjustment_nv_fund",I$3,$A912))</x:f>
        <x:v>#NAME?</x:v>
      </x:c>
      <x:c r="J912" s="146" t="e">
        <x:f>IF($A912="","",[1]!thsiFinD("ths_adjustment_nv_fund",J$3,$A912))</x:f>
        <x:v>#NAME?</x:v>
      </x:c>
      <x:c r="K912" s="146" t="e">
        <x:f>IF($A912="","",[1]!thsiFinD("ths_adjustment_nv_fund",K$3,$A912))</x:f>
        <x:v>#NAME?</x:v>
      </x:c>
      <x:c r="L912" s="146" t="e">
        <x:f>IF($A912="","",[1]!thsiFinD("ths_adjustment_nv_fund",L$3,$A912))</x:f>
        <x:v>#NAME?</x:v>
      </x:c>
      <x:c r="M912" s="146" t="e">
        <x:f>IF($A912="","",[1]!thsiFinD("ths_adjustment_nv_fund",M$3,$A912))</x:f>
        <x:v>#NAME?</x:v>
      </x:c>
      <x:c r="N912" s="146" t="e">
        <x:f>IF($A912="","",[1]!thsiFinD("ths_adjustment_nv_fund",N$3,$A912))</x:f>
        <x:v>#NAME?</x:v>
      </x:c>
      <x:c r="O912" s="146" t="e">
        <x:f>IF($A912="","",[1]!thsiFinD("ths_adjustment_nv_fund",O$3,$A912))</x:f>
        <x:v>#NAME?</x:v>
      </x:c>
      <x:c r="P912" s="146" t="e">
        <x:f>IF($A912="","",[1]!thsiFinD("ths_adjustment_nv_fund",P$3,$A912))</x:f>
        <x:v>#NAME?</x:v>
      </x:c>
      <x:c r="Q912" s="146" t="e">
        <x:f>IF($A912="","",[1]!thsiFinD("ths_adjustment_nv_fund",Q$3,$A912))</x:f>
        <x:v>#NAME?</x:v>
      </x:c>
      <x:c r="R912" s="146" t="e">
        <x:f>IF($A912="","",[1]!thsiFinD("ths_adjustment_nv_fund",R$3,$A912))</x:f>
        <x:v>#NAME?</x:v>
      </x:c>
      <x:c r="S912" s="146" t="e">
        <x:f>IF($A912="","",[1]!thsiFinD("ths_adjustment_nv_fund",S$3,$A912))</x:f>
        <x:v>#NAME?</x:v>
      </x:c>
      <x:c r="T912" s="146" t="e">
        <x:f>IF($A912="","",[1]!thsiFinD("ths_adjustment_nv_fund",T$3,$A912))</x:f>
        <x:v>#NAME?</x:v>
      </x:c>
      <x:c r="U912" s="146" t="e">
        <x:f>IF($A912="","",[1]!thsiFinD("ths_adjustment_nv_fund",U$3,$A912))</x:f>
        <x:v>#NAME?</x:v>
      </x:c>
      <x:c r="V912" s="146" t="e">
        <x:f>IF($A912="","",[1]!thsiFinD("ths_adjustment_nv_fund",V$3,$A912))</x:f>
        <x:v>#NAME?</x:v>
      </x:c>
      <x:c r="W912" s="146" t="e">
        <x:f>IF($A912="","",[1]!thsiFinD("ths_adjustment_nv_fund",W$3,$A912))</x:f>
        <x:v>#NAME?</x:v>
      </x:c>
      <x:c r="X912" s="146" t="e">
        <x:f>IF($A912="","",[1]!thsiFinD("ths_adjustment_nv_fund",X$3,$A912))</x:f>
        <x:v>#NAME?</x:v>
      </x:c>
      <x:c r="Y912" s="146" t="e">
        <x:f>IF($A912="","",[1]!thsiFinD("ths_adjustment_nv_fund",Y$3,$A912))</x:f>
        <x:v>#NAME?</x:v>
      </x:c>
      <x:c r="Z912" s="146" t="e">
        <x:f>IF($A912="","",[1]!thsiFinD("ths_adjustment_nv_fund",Z$3,$A912))</x:f>
        <x:v>#NAME?</x:v>
      </x:c>
      <x:c r="AA912" s="146" t="e">
        <x:f>IF($A912="","",[1]!thsiFinD("ths_adjustment_nv_fund",AA$3,$A912))</x:f>
        <x:v>#NAME?</x:v>
      </x:c>
    </x:row>
    <x:row r="913">
      <x:c r="B913" s="146" t="e">
        <x:f>IF($A913="","",[1]!thsiFinD("ths_adjustment_nv_fund",B$3,$A913))</x:f>
        <x:v>#NAME?</x:v>
      </x:c>
      <x:c r="C913" s="146" t="e">
        <x:f>IF($A913="","",[1]!thsiFinD("ths_adjustment_nv_fund",C$3,$A913))</x:f>
        <x:v>#NAME?</x:v>
      </x:c>
      <x:c r="D913" s="146" t="e">
        <x:f>IF($A913="","",[1]!thsiFinD("ths_adjustment_nv_fund",D$3,$A913))</x:f>
        <x:v>#NAME?</x:v>
      </x:c>
      <x:c r="E913" s="146" t="e">
        <x:f>IF($A913="","",[1]!thsiFinD("ths_adjustment_nv_fund",E$3,$A913))</x:f>
        <x:v>#NAME?</x:v>
      </x:c>
      <x:c r="F913" s="146" t="e">
        <x:f>IF($A913="","",[1]!thsiFinD("ths_adjustment_nv_fund",F$3,$A913))</x:f>
        <x:v>#NAME?</x:v>
      </x:c>
      <x:c r="G913" s="146" t="e">
        <x:f>IF($A913="","",[1]!thsiFinD("ths_adjustment_nv_fund",G$3,$A913))</x:f>
        <x:v>#NAME?</x:v>
      </x:c>
      <x:c r="H913" s="146" t="e">
        <x:f>IF($A913="","",[1]!thsiFinD("ths_adjustment_nv_fund",H$3,$A913))</x:f>
        <x:v>#NAME?</x:v>
      </x:c>
      <x:c r="I913" s="146" t="e">
        <x:f>IF($A913="","",[1]!thsiFinD("ths_adjustment_nv_fund",I$3,$A913))</x:f>
        <x:v>#NAME?</x:v>
      </x:c>
      <x:c r="J913" s="146" t="e">
        <x:f>IF($A913="","",[1]!thsiFinD("ths_adjustment_nv_fund",J$3,$A913))</x:f>
        <x:v>#NAME?</x:v>
      </x:c>
      <x:c r="K913" s="146" t="e">
        <x:f>IF($A913="","",[1]!thsiFinD("ths_adjustment_nv_fund",K$3,$A913))</x:f>
        <x:v>#NAME?</x:v>
      </x:c>
      <x:c r="L913" s="146" t="e">
        <x:f>IF($A913="","",[1]!thsiFinD("ths_adjustment_nv_fund",L$3,$A913))</x:f>
        <x:v>#NAME?</x:v>
      </x:c>
      <x:c r="M913" s="146" t="e">
        <x:f>IF($A913="","",[1]!thsiFinD("ths_adjustment_nv_fund",M$3,$A913))</x:f>
        <x:v>#NAME?</x:v>
      </x:c>
      <x:c r="N913" s="146" t="e">
        <x:f>IF($A913="","",[1]!thsiFinD("ths_adjustment_nv_fund",N$3,$A913))</x:f>
        <x:v>#NAME?</x:v>
      </x:c>
      <x:c r="O913" s="146" t="e">
        <x:f>IF($A913="","",[1]!thsiFinD("ths_adjustment_nv_fund",O$3,$A913))</x:f>
        <x:v>#NAME?</x:v>
      </x:c>
      <x:c r="P913" s="146" t="e">
        <x:f>IF($A913="","",[1]!thsiFinD("ths_adjustment_nv_fund",P$3,$A913))</x:f>
        <x:v>#NAME?</x:v>
      </x:c>
      <x:c r="Q913" s="146" t="e">
        <x:f>IF($A913="","",[1]!thsiFinD("ths_adjustment_nv_fund",Q$3,$A913))</x:f>
        <x:v>#NAME?</x:v>
      </x:c>
      <x:c r="R913" s="146" t="e">
        <x:f>IF($A913="","",[1]!thsiFinD("ths_adjustment_nv_fund",R$3,$A913))</x:f>
        <x:v>#NAME?</x:v>
      </x:c>
      <x:c r="S913" s="146" t="e">
        <x:f>IF($A913="","",[1]!thsiFinD("ths_adjustment_nv_fund",S$3,$A913))</x:f>
        <x:v>#NAME?</x:v>
      </x:c>
      <x:c r="T913" s="146" t="e">
        <x:f>IF($A913="","",[1]!thsiFinD("ths_adjustment_nv_fund",T$3,$A913))</x:f>
        <x:v>#NAME?</x:v>
      </x:c>
      <x:c r="U913" s="146" t="e">
        <x:f>IF($A913="","",[1]!thsiFinD("ths_adjustment_nv_fund",U$3,$A913))</x:f>
        <x:v>#NAME?</x:v>
      </x:c>
      <x:c r="V913" s="146" t="e">
        <x:f>IF($A913="","",[1]!thsiFinD("ths_adjustment_nv_fund",V$3,$A913))</x:f>
        <x:v>#NAME?</x:v>
      </x:c>
      <x:c r="W913" s="146" t="e">
        <x:f>IF($A913="","",[1]!thsiFinD("ths_adjustment_nv_fund",W$3,$A913))</x:f>
        <x:v>#NAME?</x:v>
      </x:c>
      <x:c r="X913" s="146" t="e">
        <x:f>IF($A913="","",[1]!thsiFinD("ths_adjustment_nv_fund",X$3,$A913))</x:f>
        <x:v>#NAME?</x:v>
      </x:c>
      <x:c r="Y913" s="146" t="e">
        <x:f>IF($A913="","",[1]!thsiFinD("ths_adjustment_nv_fund",Y$3,$A913))</x:f>
        <x:v>#NAME?</x:v>
      </x:c>
      <x:c r="Z913" s="146" t="e">
        <x:f>IF($A913="","",[1]!thsiFinD("ths_adjustment_nv_fund",Z$3,$A913))</x:f>
        <x:v>#NAME?</x:v>
      </x:c>
      <x:c r="AA913" s="146" t="e">
        <x:f>IF($A913="","",[1]!thsiFinD("ths_adjustment_nv_fund",AA$3,$A913))</x:f>
        <x:v>#NAME?</x:v>
      </x:c>
    </x:row>
    <x:row r="914">
      <x:c r="B914" s="146" t="e">
        <x:f>IF($A914="","",[1]!thsiFinD("ths_adjustment_nv_fund",B$3,$A914))</x:f>
        <x:v>#NAME?</x:v>
      </x:c>
      <x:c r="C914" s="146" t="e">
        <x:f>IF($A914="","",[1]!thsiFinD("ths_adjustment_nv_fund",C$3,$A914))</x:f>
        <x:v>#NAME?</x:v>
      </x:c>
      <x:c r="D914" s="146" t="e">
        <x:f>IF($A914="","",[1]!thsiFinD("ths_adjustment_nv_fund",D$3,$A914))</x:f>
        <x:v>#NAME?</x:v>
      </x:c>
      <x:c r="E914" s="146" t="e">
        <x:f>IF($A914="","",[1]!thsiFinD("ths_adjustment_nv_fund",E$3,$A914))</x:f>
        <x:v>#NAME?</x:v>
      </x:c>
      <x:c r="F914" s="146" t="e">
        <x:f>IF($A914="","",[1]!thsiFinD("ths_adjustment_nv_fund",F$3,$A914))</x:f>
        <x:v>#NAME?</x:v>
      </x:c>
      <x:c r="G914" s="146" t="e">
        <x:f>IF($A914="","",[1]!thsiFinD("ths_adjustment_nv_fund",G$3,$A914))</x:f>
        <x:v>#NAME?</x:v>
      </x:c>
      <x:c r="H914" s="146" t="e">
        <x:f>IF($A914="","",[1]!thsiFinD("ths_adjustment_nv_fund",H$3,$A914))</x:f>
        <x:v>#NAME?</x:v>
      </x:c>
      <x:c r="I914" s="146" t="e">
        <x:f>IF($A914="","",[1]!thsiFinD("ths_adjustment_nv_fund",I$3,$A914))</x:f>
        <x:v>#NAME?</x:v>
      </x:c>
      <x:c r="J914" s="146" t="e">
        <x:f>IF($A914="","",[1]!thsiFinD("ths_adjustment_nv_fund",J$3,$A914))</x:f>
        <x:v>#NAME?</x:v>
      </x:c>
      <x:c r="K914" s="146" t="e">
        <x:f>IF($A914="","",[1]!thsiFinD("ths_adjustment_nv_fund",K$3,$A914))</x:f>
        <x:v>#NAME?</x:v>
      </x:c>
      <x:c r="L914" s="146" t="e">
        <x:f>IF($A914="","",[1]!thsiFinD("ths_adjustment_nv_fund",L$3,$A914))</x:f>
        <x:v>#NAME?</x:v>
      </x:c>
      <x:c r="M914" s="146" t="e">
        <x:f>IF($A914="","",[1]!thsiFinD("ths_adjustment_nv_fund",M$3,$A914))</x:f>
        <x:v>#NAME?</x:v>
      </x:c>
      <x:c r="N914" s="146" t="e">
        <x:f>IF($A914="","",[1]!thsiFinD("ths_adjustment_nv_fund",N$3,$A914))</x:f>
        <x:v>#NAME?</x:v>
      </x:c>
      <x:c r="O914" s="146" t="e">
        <x:f>IF($A914="","",[1]!thsiFinD("ths_adjustment_nv_fund",O$3,$A914))</x:f>
        <x:v>#NAME?</x:v>
      </x:c>
      <x:c r="P914" s="146" t="e">
        <x:f>IF($A914="","",[1]!thsiFinD("ths_adjustment_nv_fund",P$3,$A914))</x:f>
        <x:v>#NAME?</x:v>
      </x:c>
      <x:c r="Q914" s="146" t="e">
        <x:f>IF($A914="","",[1]!thsiFinD("ths_adjustment_nv_fund",Q$3,$A914))</x:f>
        <x:v>#NAME?</x:v>
      </x:c>
      <x:c r="R914" s="146" t="e">
        <x:f>IF($A914="","",[1]!thsiFinD("ths_adjustment_nv_fund",R$3,$A914))</x:f>
        <x:v>#NAME?</x:v>
      </x:c>
      <x:c r="S914" s="146" t="e">
        <x:f>IF($A914="","",[1]!thsiFinD("ths_adjustment_nv_fund",S$3,$A914))</x:f>
        <x:v>#NAME?</x:v>
      </x:c>
      <x:c r="T914" s="146" t="e">
        <x:f>IF($A914="","",[1]!thsiFinD("ths_adjustment_nv_fund",T$3,$A914))</x:f>
        <x:v>#NAME?</x:v>
      </x:c>
      <x:c r="U914" s="146" t="e">
        <x:f>IF($A914="","",[1]!thsiFinD("ths_adjustment_nv_fund",U$3,$A914))</x:f>
        <x:v>#NAME?</x:v>
      </x:c>
      <x:c r="V914" s="146" t="e">
        <x:f>IF($A914="","",[1]!thsiFinD("ths_adjustment_nv_fund",V$3,$A914))</x:f>
        <x:v>#NAME?</x:v>
      </x:c>
      <x:c r="W914" s="146" t="e">
        <x:f>IF($A914="","",[1]!thsiFinD("ths_adjustment_nv_fund",W$3,$A914))</x:f>
        <x:v>#NAME?</x:v>
      </x:c>
      <x:c r="X914" s="146" t="e">
        <x:f>IF($A914="","",[1]!thsiFinD("ths_adjustment_nv_fund",X$3,$A914))</x:f>
        <x:v>#NAME?</x:v>
      </x:c>
      <x:c r="Y914" s="146" t="e">
        <x:f>IF($A914="","",[1]!thsiFinD("ths_adjustment_nv_fund",Y$3,$A914))</x:f>
        <x:v>#NAME?</x:v>
      </x:c>
      <x:c r="Z914" s="146" t="e">
        <x:f>IF($A914="","",[1]!thsiFinD("ths_adjustment_nv_fund",Z$3,$A914))</x:f>
        <x:v>#NAME?</x:v>
      </x:c>
      <x:c r="AA914" s="146" t="e">
        <x:f>IF($A914="","",[1]!thsiFinD("ths_adjustment_nv_fund",AA$3,$A914))</x:f>
        <x:v>#NAME?</x:v>
      </x:c>
    </x:row>
    <x:row r="915">
      <x:c r="B915" s="146" t="e">
        <x:f>IF($A915="","",[1]!thsiFinD("ths_adjustment_nv_fund",B$3,$A915))</x:f>
        <x:v>#NAME?</x:v>
      </x:c>
      <x:c r="C915" s="146" t="e">
        <x:f>IF($A915="","",[1]!thsiFinD("ths_adjustment_nv_fund",C$3,$A915))</x:f>
        <x:v>#NAME?</x:v>
      </x:c>
      <x:c r="D915" s="146" t="e">
        <x:f>IF($A915="","",[1]!thsiFinD("ths_adjustment_nv_fund",D$3,$A915))</x:f>
        <x:v>#NAME?</x:v>
      </x:c>
      <x:c r="E915" s="146" t="e">
        <x:f>IF($A915="","",[1]!thsiFinD("ths_adjustment_nv_fund",E$3,$A915))</x:f>
        <x:v>#NAME?</x:v>
      </x:c>
      <x:c r="F915" s="146" t="e">
        <x:f>IF($A915="","",[1]!thsiFinD("ths_adjustment_nv_fund",F$3,$A915))</x:f>
        <x:v>#NAME?</x:v>
      </x:c>
      <x:c r="G915" s="146" t="e">
        <x:f>IF($A915="","",[1]!thsiFinD("ths_adjustment_nv_fund",G$3,$A915))</x:f>
        <x:v>#NAME?</x:v>
      </x:c>
      <x:c r="H915" s="146" t="e">
        <x:f>IF($A915="","",[1]!thsiFinD("ths_adjustment_nv_fund",H$3,$A915))</x:f>
        <x:v>#NAME?</x:v>
      </x:c>
      <x:c r="I915" s="146" t="e">
        <x:f>IF($A915="","",[1]!thsiFinD("ths_adjustment_nv_fund",I$3,$A915))</x:f>
        <x:v>#NAME?</x:v>
      </x:c>
      <x:c r="J915" s="146" t="e">
        <x:f>IF($A915="","",[1]!thsiFinD("ths_adjustment_nv_fund",J$3,$A915))</x:f>
        <x:v>#NAME?</x:v>
      </x:c>
      <x:c r="K915" s="146" t="e">
        <x:f>IF($A915="","",[1]!thsiFinD("ths_adjustment_nv_fund",K$3,$A915))</x:f>
        <x:v>#NAME?</x:v>
      </x:c>
      <x:c r="L915" s="146" t="e">
        <x:f>IF($A915="","",[1]!thsiFinD("ths_adjustment_nv_fund",L$3,$A915))</x:f>
        <x:v>#NAME?</x:v>
      </x:c>
      <x:c r="M915" s="146" t="e">
        <x:f>IF($A915="","",[1]!thsiFinD("ths_adjustment_nv_fund",M$3,$A915))</x:f>
        <x:v>#NAME?</x:v>
      </x:c>
      <x:c r="N915" s="146" t="e">
        <x:f>IF($A915="","",[1]!thsiFinD("ths_adjustment_nv_fund",N$3,$A915))</x:f>
        <x:v>#NAME?</x:v>
      </x:c>
      <x:c r="O915" s="146" t="e">
        <x:f>IF($A915="","",[1]!thsiFinD("ths_adjustment_nv_fund",O$3,$A915))</x:f>
        <x:v>#NAME?</x:v>
      </x:c>
      <x:c r="P915" s="146" t="e">
        <x:f>IF($A915="","",[1]!thsiFinD("ths_adjustment_nv_fund",P$3,$A915))</x:f>
        <x:v>#NAME?</x:v>
      </x:c>
      <x:c r="Q915" s="146" t="e">
        <x:f>IF($A915="","",[1]!thsiFinD("ths_adjustment_nv_fund",Q$3,$A915))</x:f>
        <x:v>#NAME?</x:v>
      </x:c>
      <x:c r="R915" s="146" t="e">
        <x:f>IF($A915="","",[1]!thsiFinD("ths_adjustment_nv_fund",R$3,$A915))</x:f>
        <x:v>#NAME?</x:v>
      </x:c>
      <x:c r="S915" s="146" t="e">
        <x:f>IF($A915="","",[1]!thsiFinD("ths_adjustment_nv_fund",S$3,$A915))</x:f>
        <x:v>#NAME?</x:v>
      </x:c>
      <x:c r="T915" s="146" t="e">
        <x:f>IF($A915="","",[1]!thsiFinD("ths_adjustment_nv_fund",T$3,$A915))</x:f>
        <x:v>#NAME?</x:v>
      </x:c>
      <x:c r="U915" s="146" t="e">
        <x:f>IF($A915="","",[1]!thsiFinD("ths_adjustment_nv_fund",U$3,$A915))</x:f>
        <x:v>#NAME?</x:v>
      </x:c>
      <x:c r="V915" s="146" t="e">
        <x:f>IF($A915="","",[1]!thsiFinD("ths_adjustment_nv_fund",V$3,$A915))</x:f>
        <x:v>#NAME?</x:v>
      </x:c>
      <x:c r="W915" s="146" t="e">
        <x:f>IF($A915="","",[1]!thsiFinD("ths_adjustment_nv_fund",W$3,$A915))</x:f>
        <x:v>#NAME?</x:v>
      </x:c>
      <x:c r="X915" s="146" t="e">
        <x:f>IF($A915="","",[1]!thsiFinD("ths_adjustment_nv_fund",X$3,$A915))</x:f>
        <x:v>#NAME?</x:v>
      </x:c>
      <x:c r="Y915" s="146" t="e">
        <x:f>IF($A915="","",[1]!thsiFinD("ths_adjustment_nv_fund",Y$3,$A915))</x:f>
        <x:v>#NAME?</x:v>
      </x:c>
      <x:c r="Z915" s="146" t="e">
        <x:f>IF($A915="","",[1]!thsiFinD("ths_adjustment_nv_fund",Z$3,$A915))</x:f>
        <x:v>#NAME?</x:v>
      </x:c>
      <x:c r="AA915" s="146" t="e">
        <x:f>IF($A915="","",[1]!thsiFinD("ths_adjustment_nv_fund",AA$3,$A915))</x:f>
        <x:v>#NAME?</x:v>
      </x:c>
    </x:row>
    <x:row r="916">
      <x:c r="B916" s="146" t="e">
        <x:f>IF($A916="","",[1]!thsiFinD("ths_adjustment_nv_fund",B$3,$A916))</x:f>
        <x:v>#NAME?</x:v>
      </x:c>
      <x:c r="C916" s="146" t="e">
        <x:f>IF($A916="","",[1]!thsiFinD("ths_adjustment_nv_fund",C$3,$A916))</x:f>
        <x:v>#NAME?</x:v>
      </x:c>
      <x:c r="D916" s="146" t="e">
        <x:f>IF($A916="","",[1]!thsiFinD("ths_adjustment_nv_fund",D$3,$A916))</x:f>
        <x:v>#NAME?</x:v>
      </x:c>
      <x:c r="E916" s="146" t="e">
        <x:f>IF($A916="","",[1]!thsiFinD("ths_adjustment_nv_fund",E$3,$A916))</x:f>
        <x:v>#NAME?</x:v>
      </x:c>
      <x:c r="F916" s="146" t="e">
        <x:f>IF($A916="","",[1]!thsiFinD("ths_adjustment_nv_fund",F$3,$A916))</x:f>
        <x:v>#NAME?</x:v>
      </x:c>
      <x:c r="G916" s="146" t="e">
        <x:f>IF($A916="","",[1]!thsiFinD("ths_adjustment_nv_fund",G$3,$A916))</x:f>
        <x:v>#NAME?</x:v>
      </x:c>
      <x:c r="H916" s="146" t="e">
        <x:f>IF($A916="","",[1]!thsiFinD("ths_adjustment_nv_fund",H$3,$A916))</x:f>
        <x:v>#NAME?</x:v>
      </x:c>
      <x:c r="I916" s="146" t="e">
        <x:f>IF($A916="","",[1]!thsiFinD("ths_adjustment_nv_fund",I$3,$A916))</x:f>
        <x:v>#NAME?</x:v>
      </x:c>
      <x:c r="J916" s="146" t="e">
        <x:f>IF($A916="","",[1]!thsiFinD("ths_adjustment_nv_fund",J$3,$A916))</x:f>
        <x:v>#NAME?</x:v>
      </x:c>
      <x:c r="K916" s="146" t="e">
        <x:f>IF($A916="","",[1]!thsiFinD("ths_adjustment_nv_fund",K$3,$A916))</x:f>
        <x:v>#NAME?</x:v>
      </x:c>
      <x:c r="L916" s="146" t="e">
        <x:f>IF($A916="","",[1]!thsiFinD("ths_adjustment_nv_fund",L$3,$A916))</x:f>
        <x:v>#NAME?</x:v>
      </x:c>
      <x:c r="M916" s="146" t="e">
        <x:f>IF($A916="","",[1]!thsiFinD("ths_adjustment_nv_fund",M$3,$A916))</x:f>
        <x:v>#NAME?</x:v>
      </x:c>
      <x:c r="N916" s="146" t="e">
        <x:f>IF($A916="","",[1]!thsiFinD("ths_adjustment_nv_fund",N$3,$A916))</x:f>
        <x:v>#NAME?</x:v>
      </x:c>
      <x:c r="O916" s="146" t="e">
        <x:f>IF($A916="","",[1]!thsiFinD("ths_adjustment_nv_fund",O$3,$A916))</x:f>
        <x:v>#NAME?</x:v>
      </x:c>
      <x:c r="P916" s="146" t="e">
        <x:f>IF($A916="","",[1]!thsiFinD("ths_adjustment_nv_fund",P$3,$A916))</x:f>
        <x:v>#NAME?</x:v>
      </x:c>
      <x:c r="Q916" s="146" t="e">
        <x:f>IF($A916="","",[1]!thsiFinD("ths_adjustment_nv_fund",Q$3,$A916))</x:f>
        <x:v>#NAME?</x:v>
      </x:c>
      <x:c r="R916" s="146" t="e">
        <x:f>IF($A916="","",[1]!thsiFinD("ths_adjustment_nv_fund",R$3,$A916))</x:f>
        <x:v>#NAME?</x:v>
      </x:c>
      <x:c r="S916" s="146" t="e">
        <x:f>IF($A916="","",[1]!thsiFinD("ths_adjustment_nv_fund",S$3,$A916))</x:f>
        <x:v>#NAME?</x:v>
      </x:c>
      <x:c r="T916" s="146" t="e">
        <x:f>IF($A916="","",[1]!thsiFinD("ths_adjustment_nv_fund",T$3,$A916))</x:f>
        <x:v>#NAME?</x:v>
      </x:c>
      <x:c r="U916" s="146" t="e">
        <x:f>IF($A916="","",[1]!thsiFinD("ths_adjustment_nv_fund",U$3,$A916))</x:f>
        <x:v>#NAME?</x:v>
      </x:c>
      <x:c r="V916" s="146" t="e">
        <x:f>IF($A916="","",[1]!thsiFinD("ths_adjustment_nv_fund",V$3,$A916))</x:f>
        <x:v>#NAME?</x:v>
      </x:c>
      <x:c r="W916" s="146" t="e">
        <x:f>IF($A916="","",[1]!thsiFinD("ths_adjustment_nv_fund",W$3,$A916))</x:f>
        <x:v>#NAME?</x:v>
      </x:c>
      <x:c r="X916" s="146" t="e">
        <x:f>IF($A916="","",[1]!thsiFinD("ths_adjustment_nv_fund",X$3,$A916))</x:f>
        <x:v>#NAME?</x:v>
      </x:c>
      <x:c r="Y916" s="146" t="e">
        <x:f>IF($A916="","",[1]!thsiFinD("ths_adjustment_nv_fund",Y$3,$A916))</x:f>
        <x:v>#NAME?</x:v>
      </x:c>
      <x:c r="Z916" s="146" t="e">
        <x:f>IF($A916="","",[1]!thsiFinD("ths_adjustment_nv_fund",Z$3,$A916))</x:f>
        <x:v>#NAME?</x:v>
      </x:c>
      <x:c r="AA916" s="146" t="e">
        <x:f>IF($A916="","",[1]!thsiFinD("ths_adjustment_nv_fund",AA$3,$A916))</x:f>
        <x:v>#NAME?</x:v>
      </x:c>
    </x:row>
    <x:row r="917">
      <x:c r="B917" s="146" t="e">
        <x:f>IF($A917="","",[1]!thsiFinD("ths_adjustment_nv_fund",B$3,$A917))</x:f>
        <x:v>#NAME?</x:v>
      </x:c>
      <x:c r="C917" s="146" t="e">
        <x:f>IF($A917="","",[1]!thsiFinD("ths_adjustment_nv_fund",C$3,$A917))</x:f>
        <x:v>#NAME?</x:v>
      </x:c>
      <x:c r="D917" s="146" t="e">
        <x:f>IF($A917="","",[1]!thsiFinD("ths_adjustment_nv_fund",D$3,$A917))</x:f>
        <x:v>#NAME?</x:v>
      </x:c>
      <x:c r="E917" s="146" t="e">
        <x:f>IF($A917="","",[1]!thsiFinD("ths_adjustment_nv_fund",E$3,$A917))</x:f>
        <x:v>#NAME?</x:v>
      </x:c>
      <x:c r="F917" s="146" t="e">
        <x:f>IF($A917="","",[1]!thsiFinD("ths_adjustment_nv_fund",F$3,$A917))</x:f>
        <x:v>#NAME?</x:v>
      </x:c>
      <x:c r="G917" s="146" t="e">
        <x:f>IF($A917="","",[1]!thsiFinD("ths_adjustment_nv_fund",G$3,$A917))</x:f>
        <x:v>#NAME?</x:v>
      </x:c>
      <x:c r="H917" s="146" t="e">
        <x:f>IF($A917="","",[1]!thsiFinD("ths_adjustment_nv_fund",H$3,$A917))</x:f>
        <x:v>#NAME?</x:v>
      </x:c>
      <x:c r="I917" s="146" t="e">
        <x:f>IF($A917="","",[1]!thsiFinD("ths_adjustment_nv_fund",I$3,$A917))</x:f>
        <x:v>#NAME?</x:v>
      </x:c>
      <x:c r="J917" s="146" t="e">
        <x:f>IF($A917="","",[1]!thsiFinD("ths_adjustment_nv_fund",J$3,$A917))</x:f>
        <x:v>#NAME?</x:v>
      </x:c>
      <x:c r="K917" s="146" t="e">
        <x:f>IF($A917="","",[1]!thsiFinD("ths_adjustment_nv_fund",K$3,$A917))</x:f>
        <x:v>#NAME?</x:v>
      </x:c>
      <x:c r="L917" s="146" t="e">
        <x:f>IF($A917="","",[1]!thsiFinD("ths_adjustment_nv_fund",L$3,$A917))</x:f>
        <x:v>#NAME?</x:v>
      </x:c>
      <x:c r="M917" s="146" t="e">
        <x:f>IF($A917="","",[1]!thsiFinD("ths_adjustment_nv_fund",M$3,$A917))</x:f>
        <x:v>#NAME?</x:v>
      </x:c>
      <x:c r="N917" s="146" t="e">
        <x:f>IF($A917="","",[1]!thsiFinD("ths_adjustment_nv_fund",N$3,$A917))</x:f>
        <x:v>#NAME?</x:v>
      </x:c>
      <x:c r="O917" s="146" t="e">
        <x:f>IF($A917="","",[1]!thsiFinD("ths_adjustment_nv_fund",O$3,$A917))</x:f>
        <x:v>#NAME?</x:v>
      </x:c>
      <x:c r="P917" s="146" t="e">
        <x:f>IF($A917="","",[1]!thsiFinD("ths_adjustment_nv_fund",P$3,$A917))</x:f>
        <x:v>#NAME?</x:v>
      </x:c>
      <x:c r="Q917" s="146" t="e">
        <x:f>IF($A917="","",[1]!thsiFinD("ths_adjustment_nv_fund",Q$3,$A917))</x:f>
        <x:v>#NAME?</x:v>
      </x:c>
      <x:c r="R917" s="146" t="e">
        <x:f>IF($A917="","",[1]!thsiFinD("ths_adjustment_nv_fund",R$3,$A917))</x:f>
        <x:v>#NAME?</x:v>
      </x:c>
      <x:c r="S917" s="146" t="e">
        <x:f>IF($A917="","",[1]!thsiFinD("ths_adjustment_nv_fund",S$3,$A917))</x:f>
        <x:v>#NAME?</x:v>
      </x:c>
      <x:c r="T917" s="146" t="e">
        <x:f>IF($A917="","",[1]!thsiFinD("ths_adjustment_nv_fund",T$3,$A917))</x:f>
        <x:v>#NAME?</x:v>
      </x:c>
      <x:c r="U917" s="146" t="e">
        <x:f>IF($A917="","",[1]!thsiFinD("ths_adjustment_nv_fund",U$3,$A917))</x:f>
        <x:v>#NAME?</x:v>
      </x:c>
      <x:c r="V917" s="146" t="e">
        <x:f>IF($A917="","",[1]!thsiFinD("ths_adjustment_nv_fund",V$3,$A917))</x:f>
        <x:v>#NAME?</x:v>
      </x:c>
      <x:c r="W917" s="146" t="e">
        <x:f>IF($A917="","",[1]!thsiFinD("ths_adjustment_nv_fund",W$3,$A917))</x:f>
        <x:v>#NAME?</x:v>
      </x:c>
      <x:c r="X917" s="146" t="e">
        <x:f>IF($A917="","",[1]!thsiFinD("ths_adjustment_nv_fund",X$3,$A917))</x:f>
        <x:v>#NAME?</x:v>
      </x:c>
      <x:c r="Y917" s="146" t="e">
        <x:f>IF($A917="","",[1]!thsiFinD("ths_adjustment_nv_fund",Y$3,$A917))</x:f>
        <x:v>#NAME?</x:v>
      </x:c>
      <x:c r="Z917" s="146" t="e">
        <x:f>IF($A917="","",[1]!thsiFinD("ths_adjustment_nv_fund",Z$3,$A917))</x:f>
        <x:v>#NAME?</x:v>
      </x:c>
      <x:c r="AA917" s="146" t="e">
        <x:f>IF($A917="","",[1]!thsiFinD("ths_adjustment_nv_fund",AA$3,$A917))</x:f>
        <x:v>#NAME?</x:v>
      </x:c>
    </x:row>
    <x:row r="918">
      <x:c r="B918" s="146" t="e">
        <x:f>IF($A918="","",[1]!thsiFinD("ths_adjustment_nv_fund",B$3,$A918))</x:f>
        <x:v>#NAME?</x:v>
      </x:c>
      <x:c r="C918" s="146" t="e">
        <x:f>IF($A918="","",[1]!thsiFinD("ths_adjustment_nv_fund",C$3,$A918))</x:f>
        <x:v>#NAME?</x:v>
      </x:c>
      <x:c r="D918" s="146" t="e">
        <x:f>IF($A918="","",[1]!thsiFinD("ths_adjustment_nv_fund",D$3,$A918))</x:f>
        <x:v>#NAME?</x:v>
      </x:c>
      <x:c r="E918" s="146" t="e">
        <x:f>IF($A918="","",[1]!thsiFinD("ths_adjustment_nv_fund",E$3,$A918))</x:f>
        <x:v>#NAME?</x:v>
      </x:c>
      <x:c r="F918" s="146" t="e">
        <x:f>IF($A918="","",[1]!thsiFinD("ths_adjustment_nv_fund",F$3,$A918))</x:f>
        <x:v>#NAME?</x:v>
      </x:c>
      <x:c r="G918" s="146" t="e">
        <x:f>IF($A918="","",[1]!thsiFinD("ths_adjustment_nv_fund",G$3,$A918))</x:f>
        <x:v>#NAME?</x:v>
      </x:c>
      <x:c r="H918" s="146" t="e">
        <x:f>IF($A918="","",[1]!thsiFinD("ths_adjustment_nv_fund",H$3,$A918))</x:f>
        <x:v>#NAME?</x:v>
      </x:c>
      <x:c r="I918" s="146" t="e">
        <x:f>IF($A918="","",[1]!thsiFinD("ths_adjustment_nv_fund",I$3,$A918))</x:f>
        <x:v>#NAME?</x:v>
      </x:c>
      <x:c r="J918" s="146" t="e">
        <x:f>IF($A918="","",[1]!thsiFinD("ths_adjustment_nv_fund",J$3,$A918))</x:f>
        <x:v>#NAME?</x:v>
      </x:c>
      <x:c r="K918" s="146" t="e">
        <x:f>IF($A918="","",[1]!thsiFinD("ths_adjustment_nv_fund",K$3,$A918))</x:f>
        <x:v>#NAME?</x:v>
      </x:c>
      <x:c r="L918" s="146" t="e">
        <x:f>IF($A918="","",[1]!thsiFinD("ths_adjustment_nv_fund",L$3,$A918))</x:f>
        <x:v>#NAME?</x:v>
      </x:c>
      <x:c r="M918" s="146" t="e">
        <x:f>IF($A918="","",[1]!thsiFinD("ths_adjustment_nv_fund",M$3,$A918))</x:f>
        <x:v>#NAME?</x:v>
      </x:c>
      <x:c r="N918" s="146" t="e">
        <x:f>IF($A918="","",[1]!thsiFinD("ths_adjustment_nv_fund",N$3,$A918))</x:f>
        <x:v>#NAME?</x:v>
      </x:c>
      <x:c r="O918" s="146" t="e">
        <x:f>IF($A918="","",[1]!thsiFinD("ths_adjustment_nv_fund",O$3,$A918))</x:f>
        <x:v>#NAME?</x:v>
      </x:c>
      <x:c r="P918" s="146" t="e">
        <x:f>IF($A918="","",[1]!thsiFinD("ths_adjustment_nv_fund",P$3,$A918))</x:f>
        <x:v>#NAME?</x:v>
      </x:c>
      <x:c r="Q918" s="146" t="e">
        <x:f>IF($A918="","",[1]!thsiFinD("ths_adjustment_nv_fund",Q$3,$A918))</x:f>
        <x:v>#NAME?</x:v>
      </x:c>
      <x:c r="R918" s="146" t="e">
        <x:f>IF($A918="","",[1]!thsiFinD("ths_adjustment_nv_fund",R$3,$A918))</x:f>
        <x:v>#NAME?</x:v>
      </x:c>
      <x:c r="S918" s="146" t="e">
        <x:f>IF($A918="","",[1]!thsiFinD("ths_adjustment_nv_fund",S$3,$A918))</x:f>
        <x:v>#NAME?</x:v>
      </x:c>
      <x:c r="T918" s="146" t="e">
        <x:f>IF($A918="","",[1]!thsiFinD("ths_adjustment_nv_fund",T$3,$A918))</x:f>
        <x:v>#NAME?</x:v>
      </x:c>
      <x:c r="U918" s="146" t="e">
        <x:f>IF($A918="","",[1]!thsiFinD("ths_adjustment_nv_fund",U$3,$A918))</x:f>
        <x:v>#NAME?</x:v>
      </x:c>
      <x:c r="V918" s="146" t="e">
        <x:f>IF($A918="","",[1]!thsiFinD("ths_adjustment_nv_fund",V$3,$A918))</x:f>
        <x:v>#NAME?</x:v>
      </x:c>
      <x:c r="W918" s="146" t="e">
        <x:f>IF($A918="","",[1]!thsiFinD("ths_adjustment_nv_fund",W$3,$A918))</x:f>
        <x:v>#NAME?</x:v>
      </x:c>
      <x:c r="X918" s="146" t="e">
        <x:f>IF($A918="","",[1]!thsiFinD("ths_adjustment_nv_fund",X$3,$A918))</x:f>
        <x:v>#NAME?</x:v>
      </x:c>
      <x:c r="Y918" s="146" t="e">
        <x:f>IF($A918="","",[1]!thsiFinD("ths_adjustment_nv_fund",Y$3,$A918))</x:f>
        <x:v>#NAME?</x:v>
      </x:c>
      <x:c r="Z918" s="146" t="e">
        <x:f>IF($A918="","",[1]!thsiFinD("ths_adjustment_nv_fund",Z$3,$A918))</x:f>
        <x:v>#NAME?</x:v>
      </x:c>
      <x:c r="AA918" s="146" t="e">
        <x:f>IF($A918="","",[1]!thsiFinD("ths_adjustment_nv_fund",AA$3,$A918))</x:f>
        <x:v>#NAME?</x:v>
      </x:c>
    </x:row>
    <x:row r="919">
      <x:c r="B919" s="146" t="e">
        <x:f>IF($A919="","",[1]!thsiFinD("ths_adjustment_nv_fund",B$3,$A919))</x:f>
        <x:v>#NAME?</x:v>
      </x:c>
      <x:c r="C919" s="146" t="e">
        <x:f>IF($A919="","",[1]!thsiFinD("ths_adjustment_nv_fund",C$3,$A919))</x:f>
        <x:v>#NAME?</x:v>
      </x:c>
      <x:c r="D919" s="146" t="e">
        <x:f>IF($A919="","",[1]!thsiFinD("ths_adjustment_nv_fund",D$3,$A919))</x:f>
        <x:v>#NAME?</x:v>
      </x:c>
      <x:c r="E919" s="146" t="e">
        <x:f>IF($A919="","",[1]!thsiFinD("ths_adjustment_nv_fund",E$3,$A919))</x:f>
        <x:v>#NAME?</x:v>
      </x:c>
      <x:c r="F919" s="146" t="e">
        <x:f>IF($A919="","",[1]!thsiFinD("ths_adjustment_nv_fund",F$3,$A919))</x:f>
        <x:v>#NAME?</x:v>
      </x:c>
      <x:c r="G919" s="146" t="e">
        <x:f>IF($A919="","",[1]!thsiFinD("ths_adjustment_nv_fund",G$3,$A919))</x:f>
        <x:v>#NAME?</x:v>
      </x:c>
      <x:c r="H919" s="146" t="e">
        <x:f>IF($A919="","",[1]!thsiFinD("ths_adjustment_nv_fund",H$3,$A919))</x:f>
        <x:v>#NAME?</x:v>
      </x:c>
      <x:c r="I919" s="146" t="e">
        <x:f>IF($A919="","",[1]!thsiFinD("ths_adjustment_nv_fund",I$3,$A919))</x:f>
        <x:v>#NAME?</x:v>
      </x:c>
      <x:c r="J919" s="146" t="e">
        <x:f>IF($A919="","",[1]!thsiFinD("ths_adjustment_nv_fund",J$3,$A919))</x:f>
        <x:v>#NAME?</x:v>
      </x:c>
      <x:c r="K919" s="146" t="e">
        <x:f>IF($A919="","",[1]!thsiFinD("ths_adjustment_nv_fund",K$3,$A919))</x:f>
        <x:v>#NAME?</x:v>
      </x:c>
      <x:c r="L919" s="146" t="e">
        <x:f>IF($A919="","",[1]!thsiFinD("ths_adjustment_nv_fund",L$3,$A919))</x:f>
        <x:v>#NAME?</x:v>
      </x:c>
      <x:c r="M919" s="146" t="e">
        <x:f>IF($A919="","",[1]!thsiFinD("ths_adjustment_nv_fund",M$3,$A919))</x:f>
        <x:v>#NAME?</x:v>
      </x:c>
      <x:c r="N919" s="146" t="e">
        <x:f>IF($A919="","",[1]!thsiFinD("ths_adjustment_nv_fund",N$3,$A919))</x:f>
        <x:v>#NAME?</x:v>
      </x:c>
      <x:c r="O919" s="146" t="e">
        <x:f>IF($A919="","",[1]!thsiFinD("ths_adjustment_nv_fund",O$3,$A919))</x:f>
        <x:v>#NAME?</x:v>
      </x:c>
      <x:c r="P919" s="146" t="e">
        <x:f>IF($A919="","",[1]!thsiFinD("ths_adjustment_nv_fund",P$3,$A919))</x:f>
        <x:v>#NAME?</x:v>
      </x:c>
      <x:c r="Q919" s="146" t="e">
        <x:f>IF($A919="","",[1]!thsiFinD("ths_adjustment_nv_fund",Q$3,$A919))</x:f>
        <x:v>#NAME?</x:v>
      </x:c>
      <x:c r="R919" s="146" t="e">
        <x:f>IF($A919="","",[1]!thsiFinD("ths_adjustment_nv_fund",R$3,$A919))</x:f>
        <x:v>#NAME?</x:v>
      </x:c>
      <x:c r="S919" s="146" t="e">
        <x:f>IF($A919="","",[1]!thsiFinD("ths_adjustment_nv_fund",S$3,$A919))</x:f>
        <x:v>#NAME?</x:v>
      </x:c>
      <x:c r="T919" s="146" t="e">
        <x:f>IF($A919="","",[1]!thsiFinD("ths_adjustment_nv_fund",T$3,$A919))</x:f>
        <x:v>#NAME?</x:v>
      </x:c>
      <x:c r="U919" s="146" t="e">
        <x:f>IF($A919="","",[1]!thsiFinD("ths_adjustment_nv_fund",U$3,$A919))</x:f>
        <x:v>#NAME?</x:v>
      </x:c>
      <x:c r="V919" s="146" t="e">
        <x:f>IF($A919="","",[1]!thsiFinD("ths_adjustment_nv_fund",V$3,$A919))</x:f>
        <x:v>#NAME?</x:v>
      </x:c>
      <x:c r="W919" s="146" t="e">
        <x:f>IF($A919="","",[1]!thsiFinD("ths_adjustment_nv_fund",W$3,$A919))</x:f>
        <x:v>#NAME?</x:v>
      </x:c>
      <x:c r="X919" s="146" t="e">
        <x:f>IF($A919="","",[1]!thsiFinD("ths_adjustment_nv_fund",X$3,$A919))</x:f>
        <x:v>#NAME?</x:v>
      </x:c>
      <x:c r="Y919" s="146" t="e">
        <x:f>IF($A919="","",[1]!thsiFinD("ths_adjustment_nv_fund",Y$3,$A919))</x:f>
        <x:v>#NAME?</x:v>
      </x:c>
      <x:c r="Z919" s="146" t="e">
        <x:f>IF($A919="","",[1]!thsiFinD("ths_adjustment_nv_fund",Z$3,$A919))</x:f>
        <x:v>#NAME?</x:v>
      </x:c>
      <x:c r="AA919" s="146" t="e">
        <x:f>IF($A919="","",[1]!thsiFinD("ths_adjustment_nv_fund",AA$3,$A919))</x:f>
        <x:v>#NAME?</x:v>
      </x:c>
    </x:row>
    <x:row r="920">
      <x:c r="B920" s="146" t="e">
        <x:f>IF($A920="","",[1]!thsiFinD("ths_adjustment_nv_fund",B$3,$A920))</x:f>
        <x:v>#NAME?</x:v>
      </x:c>
      <x:c r="C920" s="146" t="e">
        <x:f>IF($A920="","",[1]!thsiFinD("ths_adjustment_nv_fund",C$3,$A920))</x:f>
        <x:v>#NAME?</x:v>
      </x:c>
      <x:c r="D920" s="146" t="e">
        <x:f>IF($A920="","",[1]!thsiFinD("ths_adjustment_nv_fund",D$3,$A920))</x:f>
        <x:v>#NAME?</x:v>
      </x:c>
      <x:c r="E920" s="146" t="e">
        <x:f>IF($A920="","",[1]!thsiFinD("ths_adjustment_nv_fund",E$3,$A920))</x:f>
        <x:v>#NAME?</x:v>
      </x:c>
      <x:c r="F920" s="146" t="e">
        <x:f>IF($A920="","",[1]!thsiFinD("ths_adjustment_nv_fund",F$3,$A920))</x:f>
        <x:v>#NAME?</x:v>
      </x:c>
      <x:c r="G920" s="146" t="e">
        <x:f>IF($A920="","",[1]!thsiFinD("ths_adjustment_nv_fund",G$3,$A920))</x:f>
        <x:v>#NAME?</x:v>
      </x:c>
      <x:c r="H920" s="146" t="e">
        <x:f>IF($A920="","",[1]!thsiFinD("ths_adjustment_nv_fund",H$3,$A920))</x:f>
        <x:v>#NAME?</x:v>
      </x:c>
      <x:c r="I920" s="146" t="e">
        <x:f>IF($A920="","",[1]!thsiFinD("ths_adjustment_nv_fund",I$3,$A920))</x:f>
        <x:v>#NAME?</x:v>
      </x:c>
      <x:c r="J920" s="146" t="e">
        <x:f>IF($A920="","",[1]!thsiFinD("ths_adjustment_nv_fund",J$3,$A920))</x:f>
        <x:v>#NAME?</x:v>
      </x:c>
      <x:c r="K920" s="146" t="e">
        <x:f>IF($A920="","",[1]!thsiFinD("ths_adjustment_nv_fund",K$3,$A920))</x:f>
        <x:v>#NAME?</x:v>
      </x:c>
      <x:c r="L920" s="146" t="e">
        <x:f>IF($A920="","",[1]!thsiFinD("ths_adjustment_nv_fund",L$3,$A920))</x:f>
        <x:v>#NAME?</x:v>
      </x:c>
      <x:c r="M920" s="146" t="e">
        <x:f>IF($A920="","",[1]!thsiFinD("ths_adjustment_nv_fund",M$3,$A920))</x:f>
        <x:v>#NAME?</x:v>
      </x:c>
      <x:c r="N920" s="146" t="e">
        <x:f>IF($A920="","",[1]!thsiFinD("ths_adjustment_nv_fund",N$3,$A920))</x:f>
        <x:v>#NAME?</x:v>
      </x:c>
      <x:c r="O920" s="146" t="e">
        <x:f>IF($A920="","",[1]!thsiFinD("ths_adjustment_nv_fund",O$3,$A920))</x:f>
        <x:v>#NAME?</x:v>
      </x:c>
      <x:c r="P920" s="146" t="e">
        <x:f>IF($A920="","",[1]!thsiFinD("ths_adjustment_nv_fund",P$3,$A920))</x:f>
        <x:v>#NAME?</x:v>
      </x:c>
      <x:c r="Q920" s="146" t="e">
        <x:f>IF($A920="","",[1]!thsiFinD("ths_adjustment_nv_fund",Q$3,$A920))</x:f>
        <x:v>#NAME?</x:v>
      </x:c>
      <x:c r="R920" s="146" t="e">
        <x:f>IF($A920="","",[1]!thsiFinD("ths_adjustment_nv_fund",R$3,$A920))</x:f>
        <x:v>#NAME?</x:v>
      </x:c>
      <x:c r="S920" s="146" t="e">
        <x:f>IF($A920="","",[1]!thsiFinD("ths_adjustment_nv_fund",S$3,$A920))</x:f>
        <x:v>#NAME?</x:v>
      </x:c>
      <x:c r="T920" s="146" t="e">
        <x:f>IF($A920="","",[1]!thsiFinD("ths_adjustment_nv_fund",T$3,$A920))</x:f>
        <x:v>#NAME?</x:v>
      </x:c>
      <x:c r="U920" s="146" t="e">
        <x:f>IF($A920="","",[1]!thsiFinD("ths_adjustment_nv_fund",U$3,$A920))</x:f>
        <x:v>#NAME?</x:v>
      </x:c>
      <x:c r="V920" s="146" t="e">
        <x:f>IF($A920="","",[1]!thsiFinD("ths_adjustment_nv_fund",V$3,$A920))</x:f>
        <x:v>#NAME?</x:v>
      </x:c>
      <x:c r="W920" s="146" t="e">
        <x:f>IF($A920="","",[1]!thsiFinD("ths_adjustment_nv_fund",W$3,$A920))</x:f>
        <x:v>#NAME?</x:v>
      </x:c>
      <x:c r="X920" s="146" t="e">
        <x:f>IF($A920="","",[1]!thsiFinD("ths_adjustment_nv_fund",X$3,$A920))</x:f>
        <x:v>#NAME?</x:v>
      </x:c>
      <x:c r="Y920" s="146" t="e">
        <x:f>IF($A920="","",[1]!thsiFinD("ths_adjustment_nv_fund",Y$3,$A920))</x:f>
        <x:v>#NAME?</x:v>
      </x:c>
      <x:c r="Z920" s="146" t="e">
        <x:f>IF($A920="","",[1]!thsiFinD("ths_adjustment_nv_fund",Z$3,$A920))</x:f>
        <x:v>#NAME?</x:v>
      </x:c>
      <x:c r="AA920" s="146" t="e">
        <x:f>IF($A920="","",[1]!thsiFinD("ths_adjustment_nv_fund",AA$3,$A920))</x:f>
        <x:v>#NAME?</x:v>
      </x:c>
    </x:row>
    <x:row r="921">
      <x:c r="B921" s="146" t="e">
        <x:f>IF($A921="","",[1]!thsiFinD("ths_adjustment_nv_fund",B$3,$A921))</x:f>
        <x:v>#NAME?</x:v>
      </x:c>
      <x:c r="C921" s="146" t="e">
        <x:f>IF($A921="","",[1]!thsiFinD("ths_adjustment_nv_fund",C$3,$A921))</x:f>
        <x:v>#NAME?</x:v>
      </x:c>
      <x:c r="D921" s="146" t="e">
        <x:f>IF($A921="","",[1]!thsiFinD("ths_adjustment_nv_fund",D$3,$A921))</x:f>
        <x:v>#NAME?</x:v>
      </x:c>
      <x:c r="E921" s="146" t="e">
        <x:f>IF($A921="","",[1]!thsiFinD("ths_adjustment_nv_fund",E$3,$A921))</x:f>
        <x:v>#NAME?</x:v>
      </x:c>
      <x:c r="F921" s="146" t="e">
        <x:f>IF($A921="","",[1]!thsiFinD("ths_adjustment_nv_fund",F$3,$A921))</x:f>
        <x:v>#NAME?</x:v>
      </x:c>
      <x:c r="G921" s="146" t="e">
        <x:f>IF($A921="","",[1]!thsiFinD("ths_adjustment_nv_fund",G$3,$A921))</x:f>
        <x:v>#NAME?</x:v>
      </x:c>
      <x:c r="H921" s="146" t="e">
        <x:f>IF($A921="","",[1]!thsiFinD("ths_adjustment_nv_fund",H$3,$A921))</x:f>
        <x:v>#NAME?</x:v>
      </x:c>
      <x:c r="I921" s="146" t="e">
        <x:f>IF($A921="","",[1]!thsiFinD("ths_adjustment_nv_fund",I$3,$A921))</x:f>
        <x:v>#NAME?</x:v>
      </x:c>
      <x:c r="J921" s="146" t="e">
        <x:f>IF($A921="","",[1]!thsiFinD("ths_adjustment_nv_fund",J$3,$A921))</x:f>
        <x:v>#NAME?</x:v>
      </x:c>
      <x:c r="K921" s="146" t="e">
        <x:f>IF($A921="","",[1]!thsiFinD("ths_adjustment_nv_fund",K$3,$A921))</x:f>
        <x:v>#NAME?</x:v>
      </x:c>
      <x:c r="L921" s="146" t="e">
        <x:f>IF($A921="","",[1]!thsiFinD("ths_adjustment_nv_fund",L$3,$A921))</x:f>
        <x:v>#NAME?</x:v>
      </x:c>
      <x:c r="M921" s="146" t="e">
        <x:f>IF($A921="","",[1]!thsiFinD("ths_adjustment_nv_fund",M$3,$A921))</x:f>
        <x:v>#NAME?</x:v>
      </x:c>
      <x:c r="N921" s="146" t="e">
        <x:f>IF($A921="","",[1]!thsiFinD("ths_adjustment_nv_fund",N$3,$A921))</x:f>
        <x:v>#NAME?</x:v>
      </x:c>
      <x:c r="O921" s="146" t="e">
        <x:f>IF($A921="","",[1]!thsiFinD("ths_adjustment_nv_fund",O$3,$A921))</x:f>
        <x:v>#NAME?</x:v>
      </x:c>
      <x:c r="P921" s="146" t="e">
        <x:f>IF($A921="","",[1]!thsiFinD("ths_adjustment_nv_fund",P$3,$A921))</x:f>
        <x:v>#NAME?</x:v>
      </x:c>
      <x:c r="Q921" s="146" t="e">
        <x:f>IF($A921="","",[1]!thsiFinD("ths_adjustment_nv_fund",Q$3,$A921))</x:f>
        <x:v>#NAME?</x:v>
      </x:c>
      <x:c r="R921" s="146" t="e">
        <x:f>IF($A921="","",[1]!thsiFinD("ths_adjustment_nv_fund",R$3,$A921))</x:f>
        <x:v>#NAME?</x:v>
      </x:c>
      <x:c r="S921" s="146" t="e">
        <x:f>IF($A921="","",[1]!thsiFinD("ths_adjustment_nv_fund",S$3,$A921))</x:f>
        <x:v>#NAME?</x:v>
      </x:c>
      <x:c r="T921" s="146" t="e">
        <x:f>IF($A921="","",[1]!thsiFinD("ths_adjustment_nv_fund",T$3,$A921))</x:f>
        <x:v>#NAME?</x:v>
      </x:c>
      <x:c r="U921" s="146" t="e">
        <x:f>IF($A921="","",[1]!thsiFinD("ths_adjustment_nv_fund",U$3,$A921))</x:f>
        <x:v>#NAME?</x:v>
      </x:c>
      <x:c r="V921" s="146" t="e">
        <x:f>IF($A921="","",[1]!thsiFinD("ths_adjustment_nv_fund",V$3,$A921))</x:f>
        <x:v>#NAME?</x:v>
      </x:c>
      <x:c r="W921" s="146" t="e">
        <x:f>IF($A921="","",[1]!thsiFinD("ths_adjustment_nv_fund",W$3,$A921))</x:f>
        <x:v>#NAME?</x:v>
      </x:c>
      <x:c r="X921" s="146" t="e">
        <x:f>IF($A921="","",[1]!thsiFinD("ths_adjustment_nv_fund",X$3,$A921))</x:f>
        <x:v>#NAME?</x:v>
      </x:c>
      <x:c r="Y921" s="146" t="e">
        <x:f>IF($A921="","",[1]!thsiFinD("ths_adjustment_nv_fund",Y$3,$A921))</x:f>
        <x:v>#NAME?</x:v>
      </x:c>
      <x:c r="Z921" s="146" t="e">
        <x:f>IF($A921="","",[1]!thsiFinD("ths_adjustment_nv_fund",Z$3,$A921))</x:f>
        <x:v>#NAME?</x:v>
      </x:c>
      <x:c r="AA921" s="146" t="e">
        <x:f>IF($A921="","",[1]!thsiFinD("ths_adjustment_nv_fund",AA$3,$A921))</x:f>
        <x:v>#NAME?</x:v>
      </x:c>
    </x:row>
    <x:row r="922">
      <x:c r="B922" s="146" t="e">
        <x:f>IF($A922="","",[1]!thsiFinD("ths_adjustment_nv_fund",B$3,$A922))</x:f>
        <x:v>#NAME?</x:v>
      </x:c>
      <x:c r="C922" s="146" t="e">
        <x:f>IF($A922="","",[1]!thsiFinD("ths_adjustment_nv_fund",C$3,$A922))</x:f>
        <x:v>#NAME?</x:v>
      </x:c>
      <x:c r="D922" s="146" t="e">
        <x:f>IF($A922="","",[1]!thsiFinD("ths_adjustment_nv_fund",D$3,$A922))</x:f>
        <x:v>#NAME?</x:v>
      </x:c>
      <x:c r="E922" s="146" t="e">
        <x:f>IF($A922="","",[1]!thsiFinD("ths_adjustment_nv_fund",E$3,$A922))</x:f>
        <x:v>#NAME?</x:v>
      </x:c>
      <x:c r="F922" s="146" t="e">
        <x:f>IF($A922="","",[1]!thsiFinD("ths_adjustment_nv_fund",F$3,$A922))</x:f>
        <x:v>#NAME?</x:v>
      </x:c>
      <x:c r="G922" s="146" t="e">
        <x:f>IF($A922="","",[1]!thsiFinD("ths_adjustment_nv_fund",G$3,$A922))</x:f>
        <x:v>#NAME?</x:v>
      </x:c>
      <x:c r="H922" s="146" t="e">
        <x:f>IF($A922="","",[1]!thsiFinD("ths_adjustment_nv_fund",H$3,$A922))</x:f>
        <x:v>#NAME?</x:v>
      </x:c>
      <x:c r="I922" s="146" t="e">
        <x:f>IF($A922="","",[1]!thsiFinD("ths_adjustment_nv_fund",I$3,$A922))</x:f>
        <x:v>#NAME?</x:v>
      </x:c>
      <x:c r="J922" s="146" t="e">
        <x:f>IF($A922="","",[1]!thsiFinD("ths_adjustment_nv_fund",J$3,$A922))</x:f>
        <x:v>#NAME?</x:v>
      </x:c>
      <x:c r="K922" s="146" t="e">
        <x:f>IF($A922="","",[1]!thsiFinD("ths_adjustment_nv_fund",K$3,$A922))</x:f>
        <x:v>#NAME?</x:v>
      </x:c>
      <x:c r="L922" s="146" t="e">
        <x:f>IF($A922="","",[1]!thsiFinD("ths_adjustment_nv_fund",L$3,$A922))</x:f>
        <x:v>#NAME?</x:v>
      </x:c>
      <x:c r="M922" s="146" t="e">
        <x:f>IF($A922="","",[1]!thsiFinD("ths_adjustment_nv_fund",M$3,$A922))</x:f>
        <x:v>#NAME?</x:v>
      </x:c>
      <x:c r="N922" s="146" t="e">
        <x:f>IF($A922="","",[1]!thsiFinD("ths_adjustment_nv_fund",N$3,$A922))</x:f>
        <x:v>#NAME?</x:v>
      </x:c>
      <x:c r="O922" s="146" t="e">
        <x:f>IF($A922="","",[1]!thsiFinD("ths_adjustment_nv_fund",O$3,$A922))</x:f>
        <x:v>#NAME?</x:v>
      </x:c>
      <x:c r="P922" s="146" t="e">
        <x:f>IF($A922="","",[1]!thsiFinD("ths_adjustment_nv_fund",P$3,$A922))</x:f>
        <x:v>#NAME?</x:v>
      </x:c>
      <x:c r="Q922" s="146" t="e">
        <x:f>IF($A922="","",[1]!thsiFinD("ths_adjustment_nv_fund",Q$3,$A922))</x:f>
        <x:v>#NAME?</x:v>
      </x:c>
      <x:c r="R922" s="146" t="e">
        <x:f>IF($A922="","",[1]!thsiFinD("ths_adjustment_nv_fund",R$3,$A922))</x:f>
        <x:v>#NAME?</x:v>
      </x:c>
      <x:c r="S922" s="146" t="e">
        <x:f>IF($A922="","",[1]!thsiFinD("ths_adjustment_nv_fund",S$3,$A922))</x:f>
        <x:v>#NAME?</x:v>
      </x:c>
      <x:c r="T922" s="146" t="e">
        <x:f>IF($A922="","",[1]!thsiFinD("ths_adjustment_nv_fund",T$3,$A922))</x:f>
        <x:v>#NAME?</x:v>
      </x:c>
      <x:c r="U922" s="146" t="e">
        <x:f>IF($A922="","",[1]!thsiFinD("ths_adjustment_nv_fund",U$3,$A922))</x:f>
        <x:v>#NAME?</x:v>
      </x:c>
      <x:c r="V922" s="146" t="e">
        <x:f>IF($A922="","",[1]!thsiFinD("ths_adjustment_nv_fund",V$3,$A922))</x:f>
        <x:v>#NAME?</x:v>
      </x:c>
      <x:c r="W922" s="146" t="e">
        <x:f>IF($A922="","",[1]!thsiFinD("ths_adjustment_nv_fund",W$3,$A922))</x:f>
        <x:v>#NAME?</x:v>
      </x:c>
      <x:c r="X922" s="146" t="e">
        <x:f>IF($A922="","",[1]!thsiFinD("ths_adjustment_nv_fund",X$3,$A922))</x:f>
        <x:v>#NAME?</x:v>
      </x:c>
      <x:c r="Y922" s="146" t="e">
        <x:f>IF($A922="","",[1]!thsiFinD("ths_adjustment_nv_fund",Y$3,$A922))</x:f>
        <x:v>#NAME?</x:v>
      </x:c>
      <x:c r="Z922" s="146" t="e">
        <x:f>IF($A922="","",[1]!thsiFinD("ths_adjustment_nv_fund",Z$3,$A922))</x:f>
        <x:v>#NAME?</x:v>
      </x:c>
      <x:c r="AA922" s="146" t="e">
        <x:f>IF($A922="","",[1]!thsiFinD("ths_adjustment_nv_fund",AA$3,$A922))</x:f>
        <x:v>#NAME?</x:v>
      </x:c>
    </x:row>
    <x:row r="923">
      <x:c r="B923" s="146" t="e">
        <x:f>IF($A923="","",[1]!thsiFinD("ths_adjustment_nv_fund",B$3,$A923))</x:f>
        <x:v>#NAME?</x:v>
      </x:c>
      <x:c r="C923" s="146" t="e">
        <x:f>IF($A923="","",[1]!thsiFinD("ths_adjustment_nv_fund",C$3,$A923))</x:f>
        <x:v>#NAME?</x:v>
      </x:c>
      <x:c r="D923" s="146" t="e">
        <x:f>IF($A923="","",[1]!thsiFinD("ths_adjustment_nv_fund",D$3,$A923))</x:f>
        <x:v>#NAME?</x:v>
      </x:c>
      <x:c r="E923" s="146" t="e">
        <x:f>IF($A923="","",[1]!thsiFinD("ths_adjustment_nv_fund",E$3,$A923))</x:f>
        <x:v>#NAME?</x:v>
      </x:c>
      <x:c r="F923" s="146" t="e">
        <x:f>IF($A923="","",[1]!thsiFinD("ths_adjustment_nv_fund",F$3,$A923))</x:f>
        <x:v>#NAME?</x:v>
      </x:c>
      <x:c r="G923" s="146" t="e">
        <x:f>IF($A923="","",[1]!thsiFinD("ths_adjustment_nv_fund",G$3,$A923))</x:f>
        <x:v>#NAME?</x:v>
      </x:c>
      <x:c r="H923" s="146" t="e">
        <x:f>IF($A923="","",[1]!thsiFinD("ths_adjustment_nv_fund",H$3,$A923))</x:f>
        <x:v>#NAME?</x:v>
      </x:c>
      <x:c r="I923" s="146" t="e">
        <x:f>IF($A923="","",[1]!thsiFinD("ths_adjustment_nv_fund",I$3,$A923))</x:f>
        <x:v>#NAME?</x:v>
      </x:c>
      <x:c r="J923" s="146" t="e">
        <x:f>IF($A923="","",[1]!thsiFinD("ths_adjustment_nv_fund",J$3,$A923))</x:f>
        <x:v>#NAME?</x:v>
      </x:c>
      <x:c r="K923" s="146" t="e">
        <x:f>IF($A923="","",[1]!thsiFinD("ths_adjustment_nv_fund",K$3,$A923))</x:f>
        <x:v>#NAME?</x:v>
      </x:c>
      <x:c r="L923" s="146" t="e">
        <x:f>IF($A923="","",[1]!thsiFinD("ths_adjustment_nv_fund",L$3,$A923))</x:f>
        <x:v>#NAME?</x:v>
      </x:c>
      <x:c r="M923" s="146" t="e">
        <x:f>IF($A923="","",[1]!thsiFinD("ths_adjustment_nv_fund",M$3,$A923))</x:f>
        <x:v>#NAME?</x:v>
      </x:c>
      <x:c r="N923" s="146" t="e">
        <x:f>IF($A923="","",[1]!thsiFinD("ths_adjustment_nv_fund",N$3,$A923))</x:f>
        <x:v>#NAME?</x:v>
      </x:c>
      <x:c r="O923" s="146" t="e">
        <x:f>IF($A923="","",[1]!thsiFinD("ths_adjustment_nv_fund",O$3,$A923))</x:f>
        <x:v>#NAME?</x:v>
      </x:c>
      <x:c r="P923" s="146" t="e">
        <x:f>IF($A923="","",[1]!thsiFinD("ths_adjustment_nv_fund",P$3,$A923))</x:f>
        <x:v>#NAME?</x:v>
      </x:c>
      <x:c r="Q923" s="146" t="e">
        <x:f>IF($A923="","",[1]!thsiFinD("ths_adjustment_nv_fund",Q$3,$A923))</x:f>
        <x:v>#NAME?</x:v>
      </x:c>
      <x:c r="R923" s="146" t="e">
        <x:f>IF($A923="","",[1]!thsiFinD("ths_adjustment_nv_fund",R$3,$A923))</x:f>
        <x:v>#NAME?</x:v>
      </x:c>
      <x:c r="S923" s="146" t="e">
        <x:f>IF($A923="","",[1]!thsiFinD("ths_adjustment_nv_fund",S$3,$A923))</x:f>
        <x:v>#NAME?</x:v>
      </x:c>
      <x:c r="T923" s="146" t="e">
        <x:f>IF($A923="","",[1]!thsiFinD("ths_adjustment_nv_fund",T$3,$A923))</x:f>
        <x:v>#NAME?</x:v>
      </x:c>
      <x:c r="U923" s="146" t="e">
        <x:f>IF($A923="","",[1]!thsiFinD("ths_adjustment_nv_fund",U$3,$A923))</x:f>
        <x:v>#NAME?</x:v>
      </x:c>
      <x:c r="V923" s="146" t="e">
        <x:f>IF($A923="","",[1]!thsiFinD("ths_adjustment_nv_fund",V$3,$A923))</x:f>
        <x:v>#NAME?</x:v>
      </x:c>
      <x:c r="W923" s="146" t="e">
        <x:f>IF($A923="","",[1]!thsiFinD("ths_adjustment_nv_fund",W$3,$A923))</x:f>
        <x:v>#NAME?</x:v>
      </x:c>
      <x:c r="X923" s="146" t="e">
        <x:f>IF($A923="","",[1]!thsiFinD("ths_adjustment_nv_fund",X$3,$A923))</x:f>
        <x:v>#NAME?</x:v>
      </x:c>
      <x:c r="Y923" s="146" t="e">
        <x:f>IF($A923="","",[1]!thsiFinD("ths_adjustment_nv_fund",Y$3,$A923))</x:f>
        <x:v>#NAME?</x:v>
      </x:c>
      <x:c r="Z923" s="146" t="e">
        <x:f>IF($A923="","",[1]!thsiFinD("ths_adjustment_nv_fund",Z$3,$A923))</x:f>
        <x:v>#NAME?</x:v>
      </x:c>
      <x:c r="AA923" s="146" t="e">
        <x:f>IF($A923="","",[1]!thsiFinD("ths_adjustment_nv_fund",AA$3,$A923))</x:f>
        <x:v>#NAME?</x:v>
      </x:c>
    </x:row>
    <x:row r="924">
      <x:c r="B924" s="146" t="e">
        <x:f>IF($A924="","",[1]!thsiFinD("ths_adjustment_nv_fund",B$3,$A924))</x:f>
        <x:v>#NAME?</x:v>
      </x:c>
      <x:c r="C924" s="146" t="e">
        <x:f>IF($A924="","",[1]!thsiFinD("ths_adjustment_nv_fund",C$3,$A924))</x:f>
        <x:v>#NAME?</x:v>
      </x:c>
      <x:c r="D924" s="146" t="e">
        <x:f>IF($A924="","",[1]!thsiFinD("ths_adjustment_nv_fund",D$3,$A924))</x:f>
        <x:v>#NAME?</x:v>
      </x:c>
      <x:c r="E924" s="146" t="e">
        <x:f>IF($A924="","",[1]!thsiFinD("ths_adjustment_nv_fund",E$3,$A924))</x:f>
        <x:v>#NAME?</x:v>
      </x:c>
      <x:c r="F924" s="146" t="e">
        <x:f>IF($A924="","",[1]!thsiFinD("ths_adjustment_nv_fund",F$3,$A924))</x:f>
        <x:v>#NAME?</x:v>
      </x:c>
      <x:c r="G924" s="146" t="e">
        <x:f>IF($A924="","",[1]!thsiFinD("ths_adjustment_nv_fund",G$3,$A924))</x:f>
        <x:v>#NAME?</x:v>
      </x:c>
      <x:c r="H924" s="146" t="e">
        <x:f>IF($A924="","",[1]!thsiFinD("ths_adjustment_nv_fund",H$3,$A924))</x:f>
        <x:v>#NAME?</x:v>
      </x:c>
      <x:c r="I924" s="146" t="e">
        <x:f>IF($A924="","",[1]!thsiFinD("ths_adjustment_nv_fund",I$3,$A924))</x:f>
        <x:v>#NAME?</x:v>
      </x:c>
      <x:c r="J924" s="146" t="e">
        <x:f>IF($A924="","",[1]!thsiFinD("ths_adjustment_nv_fund",J$3,$A924))</x:f>
        <x:v>#NAME?</x:v>
      </x:c>
      <x:c r="K924" s="146" t="e">
        <x:f>IF($A924="","",[1]!thsiFinD("ths_adjustment_nv_fund",K$3,$A924))</x:f>
        <x:v>#NAME?</x:v>
      </x:c>
      <x:c r="L924" s="146" t="e">
        <x:f>IF($A924="","",[1]!thsiFinD("ths_adjustment_nv_fund",L$3,$A924))</x:f>
        <x:v>#NAME?</x:v>
      </x:c>
      <x:c r="M924" s="146" t="e">
        <x:f>IF($A924="","",[1]!thsiFinD("ths_adjustment_nv_fund",M$3,$A924))</x:f>
        <x:v>#NAME?</x:v>
      </x:c>
      <x:c r="N924" s="146" t="e">
        <x:f>IF($A924="","",[1]!thsiFinD("ths_adjustment_nv_fund",N$3,$A924))</x:f>
        <x:v>#NAME?</x:v>
      </x:c>
      <x:c r="O924" s="146" t="e">
        <x:f>IF($A924="","",[1]!thsiFinD("ths_adjustment_nv_fund",O$3,$A924))</x:f>
        <x:v>#NAME?</x:v>
      </x:c>
      <x:c r="P924" s="146" t="e">
        <x:f>IF($A924="","",[1]!thsiFinD("ths_adjustment_nv_fund",P$3,$A924))</x:f>
        <x:v>#NAME?</x:v>
      </x:c>
      <x:c r="Q924" s="146" t="e">
        <x:f>IF($A924="","",[1]!thsiFinD("ths_adjustment_nv_fund",Q$3,$A924))</x:f>
        <x:v>#NAME?</x:v>
      </x:c>
      <x:c r="R924" s="146" t="e">
        <x:f>IF($A924="","",[1]!thsiFinD("ths_adjustment_nv_fund",R$3,$A924))</x:f>
        <x:v>#NAME?</x:v>
      </x:c>
      <x:c r="S924" s="146" t="e">
        <x:f>IF($A924="","",[1]!thsiFinD("ths_adjustment_nv_fund",S$3,$A924))</x:f>
        <x:v>#NAME?</x:v>
      </x:c>
      <x:c r="T924" s="146" t="e">
        <x:f>IF($A924="","",[1]!thsiFinD("ths_adjustment_nv_fund",T$3,$A924))</x:f>
        <x:v>#NAME?</x:v>
      </x:c>
      <x:c r="U924" s="146" t="e">
        <x:f>IF($A924="","",[1]!thsiFinD("ths_adjustment_nv_fund",U$3,$A924))</x:f>
        <x:v>#NAME?</x:v>
      </x:c>
      <x:c r="V924" s="146" t="e">
        <x:f>IF($A924="","",[1]!thsiFinD("ths_adjustment_nv_fund",V$3,$A924))</x:f>
        <x:v>#NAME?</x:v>
      </x:c>
      <x:c r="W924" s="146" t="e">
        <x:f>IF($A924="","",[1]!thsiFinD("ths_adjustment_nv_fund",W$3,$A924))</x:f>
        <x:v>#NAME?</x:v>
      </x:c>
      <x:c r="X924" s="146" t="e">
        <x:f>IF($A924="","",[1]!thsiFinD("ths_adjustment_nv_fund",X$3,$A924))</x:f>
        <x:v>#NAME?</x:v>
      </x:c>
      <x:c r="Y924" s="146" t="e">
        <x:f>IF($A924="","",[1]!thsiFinD("ths_adjustment_nv_fund",Y$3,$A924))</x:f>
        <x:v>#NAME?</x:v>
      </x:c>
      <x:c r="Z924" s="146" t="e">
        <x:f>IF($A924="","",[1]!thsiFinD("ths_adjustment_nv_fund",Z$3,$A924))</x:f>
        <x:v>#NAME?</x:v>
      </x:c>
      <x:c r="AA924" s="146" t="e">
        <x:f>IF($A924="","",[1]!thsiFinD("ths_adjustment_nv_fund",AA$3,$A924))</x:f>
        <x:v>#NAME?</x:v>
      </x:c>
    </x:row>
    <x:row r="925">
      <x:c r="B925" s="146" t="e">
        <x:f>IF($A925="","",[1]!thsiFinD("ths_adjustment_nv_fund",B$3,$A925))</x:f>
        <x:v>#NAME?</x:v>
      </x:c>
      <x:c r="C925" s="146" t="e">
        <x:f>IF($A925="","",[1]!thsiFinD("ths_adjustment_nv_fund",C$3,$A925))</x:f>
        <x:v>#NAME?</x:v>
      </x:c>
      <x:c r="D925" s="146" t="e">
        <x:f>IF($A925="","",[1]!thsiFinD("ths_adjustment_nv_fund",D$3,$A925))</x:f>
        <x:v>#NAME?</x:v>
      </x:c>
      <x:c r="E925" s="146" t="e">
        <x:f>IF($A925="","",[1]!thsiFinD("ths_adjustment_nv_fund",E$3,$A925))</x:f>
        <x:v>#NAME?</x:v>
      </x:c>
      <x:c r="F925" s="146" t="e">
        <x:f>IF($A925="","",[1]!thsiFinD("ths_adjustment_nv_fund",F$3,$A925))</x:f>
        <x:v>#NAME?</x:v>
      </x:c>
      <x:c r="G925" s="146" t="e">
        <x:f>IF($A925="","",[1]!thsiFinD("ths_adjustment_nv_fund",G$3,$A925))</x:f>
        <x:v>#NAME?</x:v>
      </x:c>
      <x:c r="H925" s="146" t="e">
        <x:f>IF($A925="","",[1]!thsiFinD("ths_adjustment_nv_fund",H$3,$A925))</x:f>
        <x:v>#NAME?</x:v>
      </x:c>
      <x:c r="I925" s="146" t="e">
        <x:f>IF($A925="","",[1]!thsiFinD("ths_adjustment_nv_fund",I$3,$A925))</x:f>
        <x:v>#NAME?</x:v>
      </x:c>
      <x:c r="J925" s="146" t="e">
        <x:f>IF($A925="","",[1]!thsiFinD("ths_adjustment_nv_fund",J$3,$A925))</x:f>
        <x:v>#NAME?</x:v>
      </x:c>
      <x:c r="K925" s="146" t="e">
        <x:f>IF($A925="","",[1]!thsiFinD("ths_adjustment_nv_fund",K$3,$A925))</x:f>
        <x:v>#NAME?</x:v>
      </x:c>
      <x:c r="L925" s="146" t="e">
        <x:f>IF($A925="","",[1]!thsiFinD("ths_adjustment_nv_fund",L$3,$A925))</x:f>
        <x:v>#NAME?</x:v>
      </x:c>
      <x:c r="M925" s="146" t="e">
        <x:f>IF($A925="","",[1]!thsiFinD("ths_adjustment_nv_fund",M$3,$A925))</x:f>
        <x:v>#NAME?</x:v>
      </x:c>
      <x:c r="N925" s="146" t="e">
        <x:f>IF($A925="","",[1]!thsiFinD("ths_adjustment_nv_fund",N$3,$A925))</x:f>
        <x:v>#NAME?</x:v>
      </x:c>
      <x:c r="O925" s="146" t="e">
        <x:f>IF($A925="","",[1]!thsiFinD("ths_adjustment_nv_fund",O$3,$A925))</x:f>
        <x:v>#NAME?</x:v>
      </x:c>
      <x:c r="P925" s="146" t="e">
        <x:f>IF($A925="","",[1]!thsiFinD("ths_adjustment_nv_fund",P$3,$A925))</x:f>
        <x:v>#NAME?</x:v>
      </x:c>
      <x:c r="Q925" s="146" t="e">
        <x:f>IF($A925="","",[1]!thsiFinD("ths_adjustment_nv_fund",Q$3,$A925))</x:f>
        <x:v>#NAME?</x:v>
      </x:c>
      <x:c r="R925" s="146" t="e">
        <x:f>IF($A925="","",[1]!thsiFinD("ths_adjustment_nv_fund",R$3,$A925))</x:f>
        <x:v>#NAME?</x:v>
      </x:c>
      <x:c r="S925" s="146" t="e">
        <x:f>IF($A925="","",[1]!thsiFinD("ths_adjustment_nv_fund",S$3,$A925))</x:f>
        <x:v>#NAME?</x:v>
      </x:c>
      <x:c r="T925" s="146" t="e">
        <x:f>IF($A925="","",[1]!thsiFinD("ths_adjustment_nv_fund",T$3,$A925))</x:f>
        <x:v>#NAME?</x:v>
      </x:c>
      <x:c r="U925" s="146" t="e">
        <x:f>IF($A925="","",[1]!thsiFinD("ths_adjustment_nv_fund",U$3,$A925))</x:f>
        <x:v>#NAME?</x:v>
      </x:c>
      <x:c r="V925" s="146" t="e">
        <x:f>IF($A925="","",[1]!thsiFinD("ths_adjustment_nv_fund",V$3,$A925))</x:f>
        <x:v>#NAME?</x:v>
      </x:c>
      <x:c r="W925" s="146" t="e">
        <x:f>IF($A925="","",[1]!thsiFinD("ths_adjustment_nv_fund",W$3,$A925))</x:f>
        <x:v>#NAME?</x:v>
      </x:c>
      <x:c r="X925" s="146" t="e">
        <x:f>IF($A925="","",[1]!thsiFinD("ths_adjustment_nv_fund",X$3,$A925))</x:f>
        <x:v>#NAME?</x:v>
      </x:c>
      <x:c r="Y925" s="146" t="e">
        <x:f>IF($A925="","",[1]!thsiFinD("ths_adjustment_nv_fund",Y$3,$A925))</x:f>
        <x:v>#NAME?</x:v>
      </x:c>
      <x:c r="Z925" s="146" t="e">
        <x:f>IF($A925="","",[1]!thsiFinD("ths_adjustment_nv_fund",Z$3,$A925))</x:f>
        <x:v>#NAME?</x:v>
      </x:c>
      <x:c r="AA925" s="146" t="e">
        <x:f>IF($A925="","",[1]!thsiFinD("ths_adjustment_nv_fund",AA$3,$A925))</x:f>
        <x:v>#NAME?</x:v>
      </x:c>
    </x:row>
    <x:row r="926">
      <x:c r="B926" s="146" t="e">
        <x:f>IF($A926="","",[1]!thsiFinD("ths_adjustment_nv_fund",B$3,$A926))</x:f>
        <x:v>#NAME?</x:v>
      </x:c>
      <x:c r="C926" s="146" t="e">
        <x:f>IF($A926="","",[1]!thsiFinD("ths_adjustment_nv_fund",C$3,$A926))</x:f>
        <x:v>#NAME?</x:v>
      </x:c>
      <x:c r="D926" s="146" t="e">
        <x:f>IF($A926="","",[1]!thsiFinD("ths_adjustment_nv_fund",D$3,$A926))</x:f>
        <x:v>#NAME?</x:v>
      </x:c>
      <x:c r="E926" s="146" t="e">
        <x:f>IF($A926="","",[1]!thsiFinD("ths_adjustment_nv_fund",E$3,$A926))</x:f>
        <x:v>#NAME?</x:v>
      </x:c>
      <x:c r="F926" s="146" t="e">
        <x:f>IF($A926="","",[1]!thsiFinD("ths_adjustment_nv_fund",F$3,$A926))</x:f>
        <x:v>#NAME?</x:v>
      </x:c>
      <x:c r="G926" s="146" t="e">
        <x:f>IF($A926="","",[1]!thsiFinD("ths_adjustment_nv_fund",G$3,$A926))</x:f>
        <x:v>#NAME?</x:v>
      </x:c>
      <x:c r="H926" s="146" t="e">
        <x:f>IF($A926="","",[1]!thsiFinD("ths_adjustment_nv_fund",H$3,$A926))</x:f>
        <x:v>#NAME?</x:v>
      </x:c>
      <x:c r="I926" s="146" t="e">
        <x:f>IF($A926="","",[1]!thsiFinD("ths_adjustment_nv_fund",I$3,$A926))</x:f>
        <x:v>#NAME?</x:v>
      </x:c>
      <x:c r="J926" s="146" t="e">
        <x:f>IF($A926="","",[1]!thsiFinD("ths_adjustment_nv_fund",J$3,$A926))</x:f>
        <x:v>#NAME?</x:v>
      </x:c>
      <x:c r="K926" s="146" t="e">
        <x:f>IF($A926="","",[1]!thsiFinD("ths_adjustment_nv_fund",K$3,$A926))</x:f>
        <x:v>#NAME?</x:v>
      </x:c>
      <x:c r="L926" s="146" t="e">
        <x:f>IF($A926="","",[1]!thsiFinD("ths_adjustment_nv_fund",L$3,$A926))</x:f>
        <x:v>#NAME?</x:v>
      </x:c>
      <x:c r="M926" s="146" t="e">
        <x:f>IF($A926="","",[1]!thsiFinD("ths_adjustment_nv_fund",M$3,$A926))</x:f>
        <x:v>#NAME?</x:v>
      </x:c>
      <x:c r="N926" s="146" t="e">
        <x:f>IF($A926="","",[1]!thsiFinD("ths_adjustment_nv_fund",N$3,$A926))</x:f>
        <x:v>#NAME?</x:v>
      </x:c>
      <x:c r="O926" s="146" t="e">
        <x:f>IF($A926="","",[1]!thsiFinD("ths_adjustment_nv_fund",O$3,$A926))</x:f>
        <x:v>#NAME?</x:v>
      </x:c>
      <x:c r="P926" s="146" t="e">
        <x:f>IF($A926="","",[1]!thsiFinD("ths_adjustment_nv_fund",P$3,$A926))</x:f>
        <x:v>#NAME?</x:v>
      </x:c>
      <x:c r="Q926" s="146" t="e">
        <x:f>IF($A926="","",[1]!thsiFinD("ths_adjustment_nv_fund",Q$3,$A926))</x:f>
        <x:v>#NAME?</x:v>
      </x:c>
      <x:c r="R926" s="146" t="e">
        <x:f>IF($A926="","",[1]!thsiFinD("ths_adjustment_nv_fund",R$3,$A926))</x:f>
        <x:v>#NAME?</x:v>
      </x:c>
      <x:c r="S926" s="146" t="e">
        <x:f>IF($A926="","",[1]!thsiFinD("ths_adjustment_nv_fund",S$3,$A926))</x:f>
        <x:v>#NAME?</x:v>
      </x:c>
      <x:c r="T926" s="146" t="e">
        <x:f>IF($A926="","",[1]!thsiFinD("ths_adjustment_nv_fund",T$3,$A926))</x:f>
        <x:v>#NAME?</x:v>
      </x:c>
      <x:c r="U926" s="146" t="e">
        <x:f>IF($A926="","",[1]!thsiFinD("ths_adjustment_nv_fund",U$3,$A926))</x:f>
        <x:v>#NAME?</x:v>
      </x:c>
      <x:c r="V926" s="146" t="e">
        <x:f>IF($A926="","",[1]!thsiFinD("ths_adjustment_nv_fund",V$3,$A926))</x:f>
        <x:v>#NAME?</x:v>
      </x:c>
      <x:c r="W926" s="146" t="e">
        <x:f>IF($A926="","",[1]!thsiFinD("ths_adjustment_nv_fund",W$3,$A926))</x:f>
        <x:v>#NAME?</x:v>
      </x:c>
      <x:c r="X926" s="146" t="e">
        <x:f>IF($A926="","",[1]!thsiFinD("ths_adjustment_nv_fund",X$3,$A926))</x:f>
        <x:v>#NAME?</x:v>
      </x:c>
      <x:c r="Y926" s="146" t="e">
        <x:f>IF($A926="","",[1]!thsiFinD("ths_adjustment_nv_fund",Y$3,$A926))</x:f>
        <x:v>#NAME?</x:v>
      </x:c>
      <x:c r="Z926" s="146" t="e">
        <x:f>IF($A926="","",[1]!thsiFinD("ths_adjustment_nv_fund",Z$3,$A926))</x:f>
        <x:v>#NAME?</x:v>
      </x:c>
      <x:c r="AA926" s="146" t="e">
        <x:f>IF($A926="","",[1]!thsiFinD("ths_adjustment_nv_fund",AA$3,$A926))</x:f>
        <x:v>#NAME?</x:v>
      </x:c>
    </x:row>
    <x:row r="927">
      <x:c r="B927" s="146" t="e">
        <x:f>IF($A927="","",[1]!thsiFinD("ths_adjustment_nv_fund",B$3,$A927))</x:f>
        <x:v>#NAME?</x:v>
      </x:c>
      <x:c r="C927" s="146" t="e">
        <x:f>IF($A927="","",[1]!thsiFinD("ths_adjustment_nv_fund",C$3,$A927))</x:f>
        <x:v>#NAME?</x:v>
      </x:c>
      <x:c r="D927" s="146" t="e">
        <x:f>IF($A927="","",[1]!thsiFinD("ths_adjustment_nv_fund",D$3,$A927))</x:f>
        <x:v>#NAME?</x:v>
      </x:c>
      <x:c r="E927" s="146" t="e">
        <x:f>IF($A927="","",[1]!thsiFinD("ths_adjustment_nv_fund",E$3,$A927))</x:f>
        <x:v>#NAME?</x:v>
      </x:c>
      <x:c r="F927" s="146" t="e">
        <x:f>IF($A927="","",[1]!thsiFinD("ths_adjustment_nv_fund",F$3,$A927))</x:f>
        <x:v>#NAME?</x:v>
      </x:c>
      <x:c r="G927" s="146" t="e">
        <x:f>IF($A927="","",[1]!thsiFinD("ths_adjustment_nv_fund",G$3,$A927))</x:f>
        <x:v>#NAME?</x:v>
      </x:c>
      <x:c r="H927" s="146" t="e">
        <x:f>IF($A927="","",[1]!thsiFinD("ths_adjustment_nv_fund",H$3,$A927))</x:f>
        <x:v>#NAME?</x:v>
      </x:c>
      <x:c r="I927" s="146" t="e">
        <x:f>IF($A927="","",[1]!thsiFinD("ths_adjustment_nv_fund",I$3,$A927))</x:f>
        <x:v>#NAME?</x:v>
      </x:c>
      <x:c r="J927" s="146" t="e">
        <x:f>IF($A927="","",[1]!thsiFinD("ths_adjustment_nv_fund",J$3,$A927))</x:f>
        <x:v>#NAME?</x:v>
      </x:c>
      <x:c r="K927" s="146" t="e">
        <x:f>IF($A927="","",[1]!thsiFinD("ths_adjustment_nv_fund",K$3,$A927))</x:f>
        <x:v>#NAME?</x:v>
      </x:c>
      <x:c r="L927" s="146" t="e">
        <x:f>IF($A927="","",[1]!thsiFinD("ths_adjustment_nv_fund",L$3,$A927))</x:f>
        <x:v>#NAME?</x:v>
      </x:c>
      <x:c r="M927" s="146" t="e">
        <x:f>IF($A927="","",[1]!thsiFinD("ths_adjustment_nv_fund",M$3,$A927))</x:f>
        <x:v>#NAME?</x:v>
      </x:c>
      <x:c r="N927" s="146" t="e">
        <x:f>IF($A927="","",[1]!thsiFinD("ths_adjustment_nv_fund",N$3,$A927))</x:f>
        <x:v>#NAME?</x:v>
      </x:c>
      <x:c r="O927" s="146" t="e">
        <x:f>IF($A927="","",[1]!thsiFinD("ths_adjustment_nv_fund",O$3,$A927))</x:f>
        <x:v>#NAME?</x:v>
      </x:c>
      <x:c r="P927" s="146" t="e">
        <x:f>IF($A927="","",[1]!thsiFinD("ths_adjustment_nv_fund",P$3,$A927))</x:f>
        <x:v>#NAME?</x:v>
      </x:c>
      <x:c r="Q927" s="146" t="e">
        <x:f>IF($A927="","",[1]!thsiFinD("ths_adjustment_nv_fund",Q$3,$A927))</x:f>
        <x:v>#NAME?</x:v>
      </x:c>
      <x:c r="R927" s="146" t="e">
        <x:f>IF($A927="","",[1]!thsiFinD("ths_adjustment_nv_fund",R$3,$A927))</x:f>
        <x:v>#NAME?</x:v>
      </x:c>
      <x:c r="S927" s="146" t="e">
        <x:f>IF($A927="","",[1]!thsiFinD("ths_adjustment_nv_fund",S$3,$A927))</x:f>
        <x:v>#NAME?</x:v>
      </x:c>
      <x:c r="T927" s="146" t="e">
        <x:f>IF($A927="","",[1]!thsiFinD("ths_adjustment_nv_fund",T$3,$A927))</x:f>
        <x:v>#NAME?</x:v>
      </x:c>
      <x:c r="U927" s="146" t="e">
        <x:f>IF($A927="","",[1]!thsiFinD("ths_adjustment_nv_fund",U$3,$A927))</x:f>
        <x:v>#NAME?</x:v>
      </x:c>
      <x:c r="V927" s="146" t="e">
        <x:f>IF($A927="","",[1]!thsiFinD("ths_adjustment_nv_fund",V$3,$A927))</x:f>
        <x:v>#NAME?</x:v>
      </x:c>
      <x:c r="W927" s="146" t="e">
        <x:f>IF($A927="","",[1]!thsiFinD("ths_adjustment_nv_fund",W$3,$A927))</x:f>
        <x:v>#NAME?</x:v>
      </x:c>
      <x:c r="X927" s="146" t="e">
        <x:f>IF($A927="","",[1]!thsiFinD("ths_adjustment_nv_fund",X$3,$A927))</x:f>
        <x:v>#NAME?</x:v>
      </x:c>
      <x:c r="Y927" s="146" t="e">
        <x:f>IF($A927="","",[1]!thsiFinD("ths_adjustment_nv_fund",Y$3,$A927))</x:f>
        <x:v>#NAME?</x:v>
      </x:c>
      <x:c r="Z927" s="146" t="e">
        <x:f>IF($A927="","",[1]!thsiFinD("ths_adjustment_nv_fund",Z$3,$A927))</x:f>
        <x:v>#NAME?</x:v>
      </x:c>
      <x:c r="AA927" s="146" t="e">
        <x:f>IF($A927="","",[1]!thsiFinD("ths_adjustment_nv_fund",AA$3,$A927))</x:f>
        <x:v>#NAME?</x:v>
      </x:c>
    </x:row>
    <x:row r="928">
      <x:c r="B928" s="146" t="e">
        <x:f>IF($A928="","",[1]!thsiFinD("ths_adjustment_nv_fund",B$3,$A928))</x:f>
        <x:v>#NAME?</x:v>
      </x:c>
      <x:c r="C928" s="146" t="e">
        <x:f>IF($A928="","",[1]!thsiFinD("ths_adjustment_nv_fund",C$3,$A928))</x:f>
        <x:v>#NAME?</x:v>
      </x:c>
      <x:c r="D928" s="146" t="e">
        <x:f>IF($A928="","",[1]!thsiFinD("ths_adjustment_nv_fund",D$3,$A928))</x:f>
        <x:v>#NAME?</x:v>
      </x:c>
      <x:c r="E928" s="146" t="e">
        <x:f>IF($A928="","",[1]!thsiFinD("ths_adjustment_nv_fund",E$3,$A928))</x:f>
        <x:v>#NAME?</x:v>
      </x:c>
      <x:c r="F928" s="146" t="e">
        <x:f>IF($A928="","",[1]!thsiFinD("ths_adjustment_nv_fund",F$3,$A928))</x:f>
        <x:v>#NAME?</x:v>
      </x:c>
      <x:c r="G928" s="146" t="e">
        <x:f>IF($A928="","",[1]!thsiFinD("ths_adjustment_nv_fund",G$3,$A928))</x:f>
        <x:v>#NAME?</x:v>
      </x:c>
      <x:c r="H928" s="146" t="e">
        <x:f>IF($A928="","",[1]!thsiFinD("ths_adjustment_nv_fund",H$3,$A928))</x:f>
        <x:v>#NAME?</x:v>
      </x:c>
      <x:c r="I928" s="146" t="e">
        <x:f>IF($A928="","",[1]!thsiFinD("ths_adjustment_nv_fund",I$3,$A928))</x:f>
        <x:v>#NAME?</x:v>
      </x:c>
      <x:c r="J928" s="146" t="e">
        <x:f>IF($A928="","",[1]!thsiFinD("ths_adjustment_nv_fund",J$3,$A928))</x:f>
        <x:v>#NAME?</x:v>
      </x:c>
      <x:c r="K928" s="146" t="e">
        <x:f>IF($A928="","",[1]!thsiFinD("ths_adjustment_nv_fund",K$3,$A928))</x:f>
        <x:v>#NAME?</x:v>
      </x:c>
      <x:c r="L928" s="146" t="e">
        <x:f>IF($A928="","",[1]!thsiFinD("ths_adjustment_nv_fund",L$3,$A928))</x:f>
        <x:v>#NAME?</x:v>
      </x:c>
      <x:c r="M928" s="146" t="e">
        <x:f>IF($A928="","",[1]!thsiFinD("ths_adjustment_nv_fund",M$3,$A928))</x:f>
        <x:v>#NAME?</x:v>
      </x:c>
      <x:c r="N928" s="146" t="e">
        <x:f>IF($A928="","",[1]!thsiFinD("ths_adjustment_nv_fund",N$3,$A928))</x:f>
        <x:v>#NAME?</x:v>
      </x:c>
      <x:c r="O928" s="146" t="e">
        <x:f>IF($A928="","",[1]!thsiFinD("ths_adjustment_nv_fund",O$3,$A928))</x:f>
        <x:v>#NAME?</x:v>
      </x:c>
      <x:c r="P928" s="146" t="e">
        <x:f>IF($A928="","",[1]!thsiFinD("ths_adjustment_nv_fund",P$3,$A928))</x:f>
        <x:v>#NAME?</x:v>
      </x:c>
      <x:c r="Q928" s="146" t="e">
        <x:f>IF($A928="","",[1]!thsiFinD("ths_adjustment_nv_fund",Q$3,$A928))</x:f>
        <x:v>#NAME?</x:v>
      </x:c>
      <x:c r="R928" s="146" t="e">
        <x:f>IF($A928="","",[1]!thsiFinD("ths_adjustment_nv_fund",R$3,$A928))</x:f>
        <x:v>#NAME?</x:v>
      </x:c>
      <x:c r="S928" s="146" t="e">
        <x:f>IF($A928="","",[1]!thsiFinD("ths_adjustment_nv_fund",S$3,$A928))</x:f>
        <x:v>#NAME?</x:v>
      </x:c>
      <x:c r="T928" s="146" t="e">
        <x:f>IF($A928="","",[1]!thsiFinD("ths_adjustment_nv_fund",T$3,$A928))</x:f>
        <x:v>#NAME?</x:v>
      </x:c>
      <x:c r="U928" s="146" t="e">
        <x:f>IF($A928="","",[1]!thsiFinD("ths_adjustment_nv_fund",U$3,$A928))</x:f>
        <x:v>#NAME?</x:v>
      </x:c>
      <x:c r="V928" s="146" t="e">
        <x:f>IF($A928="","",[1]!thsiFinD("ths_adjustment_nv_fund",V$3,$A928))</x:f>
        <x:v>#NAME?</x:v>
      </x:c>
      <x:c r="W928" s="146" t="e">
        <x:f>IF($A928="","",[1]!thsiFinD("ths_adjustment_nv_fund",W$3,$A928))</x:f>
        <x:v>#NAME?</x:v>
      </x:c>
      <x:c r="X928" s="146" t="e">
        <x:f>IF($A928="","",[1]!thsiFinD("ths_adjustment_nv_fund",X$3,$A928))</x:f>
        <x:v>#NAME?</x:v>
      </x:c>
      <x:c r="Y928" s="146" t="e">
        <x:f>IF($A928="","",[1]!thsiFinD("ths_adjustment_nv_fund",Y$3,$A928))</x:f>
        <x:v>#NAME?</x:v>
      </x:c>
      <x:c r="Z928" s="146" t="e">
        <x:f>IF($A928="","",[1]!thsiFinD("ths_adjustment_nv_fund",Z$3,$A928))</x:f>
        <x:v>#NAME?</x:v>
      </x:c>
      <x:c r="AA928" s="146" t="e">
        <x:f>IF($A928="","",[1]!thsiFinD("ths_adjustment_nv_fund",AA$3,$A928))</x:f>
        <x:v>#NAME?</x:v>
      </x:c>
    </x:row>
    <x:row r="929">
      <x:c r="B929" s="146" t="e">
        <x:f>IF($A929="","",[1]!thsiFinD("ths_adjustment_nv_fund",B$3,$A929))</x:f>
        <x:v>#NAME?</x:v>
      </x:c>
      <x:c r="C929" s="146" t="e">
        <x:f>IF($A929="","",[1]!thsiFinD("ths_adjustment_nv_fund",C$3,$A929))</x:f>
        <x:v>#NAME?</x:v>
      </x:c>
      <x:c r="D929" s="146" t="e">
        <x:f>IF($A929="","",[1]!thsiFinD("ths_adjustment_nv_fund",D$3,$A929))</x:f>
        <x:v>#NAME?</x:v>
      </x:c>
      <x:c r="E929" s="146" t="e">
        <x:f>IF($A929="","",[1]!thsiFinD("ths_adjustment_nv_fund",E$3,$A929))</x:f>
        <x:v>#NAME?</x:v>
      </x:c>
      <x:c r="F929" s="146" t="e">
        <x:f>IF($A929="","",[1]!thsiFinD("ths_adjustment_nv_fund",F$3,$A929))</x:f>
        <x:v>#NAME?</x:v>
      </x:c>
      <x:c r="G929" s="146" t="e">
        <x:f>IF($A929="","",[1]!thsiFinD("ths_adjustment_nv_fund",G$3,$A929))</x:f>
        <x:v>#NAME?</x:v>
      </x:c>
      <x:c r="H929" s="146" t="e">
        <x:f>IF($A929="","",[1]!thsiFinD("ths_adjustment_nv_fund",H$3,$A929))</x:f>
        <x:v>#NAME?</x:v>
      </x:c>
      <x:c r="I929" s="146" t="e">
        <x:f>IF($A929="","",[1]!thsiFinD("ths_adjustment_nv_fund",I$3,$A929))</x:f>
        <x:v>#NAME?</x:v>
      </x:c>
      <x:c r="J929" s="146" t="e">
        <x:f>IF($A929="","",[1]!thsiFinD("ths_adjustment_nv_fund",J$3,$A929))</x:f>
        <x:v>#NAME?</x:v>
      </x:c>
      <x:c r="K929" s="146" t="e">
        <x:f>IF($A929="","",[1]!thsiFinD("ths_adjustment_nv_fund",K$3,$A929))</x:f>
        <x:v>#NAME?</x:v>
      </x:c>
      <x:c r="L929" s="146" t="e">
        <x:f>IF($A929="","",[1]!thsiFinD("ths_adjustment_nv_fund",L$3,$A929))</x:f>
        <x:v>#NAME?</x:v>
      </x:c>
      <x:c r="M929" s="146" t="e">
        <x:f>IF($A929="","",[1]!thsiFinD("ths_adjustment_nv_fund",M$3,$A929))</x:f>
        <x:v>#NAME?</x:v>
      </x:c>
      <x:c r="N929" s="146" t="e">
        <x:f>IF($A929="","",[1]!thsiFinD("ths_adjustment_nv_fund",N$3,$A929))</x:f>
        <x:v>#NAME?</x:v>
      </x:c>
      <x:c r="O929" s="146" t="e">
        <x:f>IF($A929="","",[1]!thsiFinD("ths_adjustment_nv_fund",O$3,$A929))</x:f>
        <x:v>#NAME?</x:v>
      </x:c>
      <x:c r="P929" s="146" t="e">
        <x:f>IF($A929="","",[1]!thsiFinD("ths_adjustment_nv_fund",P$3,$A929))</x:f>
        <x:v>#NAME?</x:v>
      </x:c>
      <x:c r="Q929" s="146" t="e">
        <x:f>IF($A929="","",[1]!thsiFinD("ths_adjustment_nv_fund",Q$3,$A929))</x:f>
        <x:v>#NAME?</x:v>
      </x:c>
      <x:c r="R929" s="146" t="e">
        <x:f>IF($A929="","",[1]!thsiFinD("ths_adjustment_nv_fund",R$3,$A929))</x:f>
        <x:v>#NAME?</x:v>
      </x:c>
      <x:c r="S929" s="146" t="e">
        <x:f>IF($A929="","",[1]!thsiFinD("ths_adjustment_nv_fund",S$3,$A929))</x:f>
        <x:v>#NAME?</x:v>
      </x:c>
      <x:c r="T929" s="146" t="e">
        <x:f>IF($A929="","",[1]!thsiFinD("ths_adjustment_nv_fund",T$3,$A929))</x:f>
        <x:v>#NAME?</x:v>
      </x:c>
      <x:c r="U929" s="146" t="e">
        <x:f>IF($A929="","",[1]!thsiFinD("ths_adjustment_nv_fund",U$3,$A929))</x:f>
        <x:v>#NAME?</x:v>
      </x:c>
      <x:c r="V929" s="146" t="e">
        <x:f>IF($A929="","",[1]!thsiFinD("ths_adjustment_nv_fund",V$3,$A929))</x:f>
        <x:v>#NAME?</x:v>
      </x:c>
      <x:c r="W929" s="146" t="e">
        <x:f>IF($A929="","",[1]!thsiFinD("ths_adjustment_nv_fund",W$3,$A929))</x:f>
        <x:v>#NAME?</x:v>
      </x:c>
      <x:c r="X929" s="146" t="e">
        <x:f>IF($A929="","",[1]!thsiFinD("ths_adjustment_nv_fund",X$3,$A929))</x:f>
        <x:v>#NAME?</x:v>
      </x:c>
      <x:c r="Y929" s="146" t="e">
        <x:f>IF($A929="","",[1]!thsiFinD("ths_adjustment_nv_fund",Y$3,$A929))</x:f>
        <x:v>#NAME?</x:v>
      </x:c>
      <x:c r="Z929" s="146" t="e">
        <x:f>IF($A929="","",[1]!thsiFinD("ths_adjustment_nv_fund",Z$3,$A929))</x:f>
        <x:v>#NAME?</x:v>
      </x:c>
      <x:c r="AA929" s="146" t="e">
        <x:f>IF($A929="","",[1]!thsiFinD("ths_adjustment_nv_fund",AA$3,$A929))</x:f>
        <x:v>#NAME?</x:v>
      </x:c>
    </x:row>
    <x:row r="930">
      <x:c r="B930" s="146" t="e">
        <x:f>IF($A930="","",[1]!thsiFinD("ths_adjustment_nv_fund",B$3,$A930))</x:f>
        <x:v>#NAME?</x:v>
      </x:c>
      <x:c r="C930" s="146" t="e">
        <x:f>IF($A930="","",[1]!thsiFinD("ths_adjustment_nv_fund",C$3,$A930))</x:f>
        <x:v>#NAME?</x:v>
      </x:c>
      <x:c r="D930" s="146" t="e">
        <x:f>IF($A930="","",[1]!thsiFinD("ths_adjustment_nv_fund",D$3,$A930))</x:f>
        <x:v>#NAME?</x:v>
      </x:c>
      <x:c r="E930" s="146" t="e">
        <x:f>IF($A930="","",[1]!thsiFinD("ths_adjustment_nv_fund",E$3,$A930))</x:f>
        <x:v>#NAME?</x:v>
      </x:c>
      <x:c r="F930" s="146" t="e">
        <x:f>IF($A930="","",[1]!thsiFinD("ths_adjustment_nv_fund",F$3,$A930))</x:f>
        <x:v>#NAME?</x:v>
      </x:c>
      <x:c r="G930" s="146" t="e">
        <x:f>IF($A930="","",[1]!thsiFinD("ths_adjustment_nv_fund",G$3,$A930))</x:f>
        <x:v>#NAME?</x:v>
      </x:c>
      <x:c r="H930" s="146" t="e">
        <x:f>IF($A930="","",[1]!thsiFinD("ths_adjustment_nv_fund",H$3,$A930))</x:f>
        <x:v>#NAME?</x:v>
      </x:c>
      <x:c r="I930" s="146" t="e">
        <x:f>IF($A930="","",[1]!thsiFinD("ths_adjustment_nv_fund",I$3,$A930))</x:f>
        <x:v>#NAME?</x:v>
      </x:c>
      <x:c r="J930" s="146" t="e">
        <x:f>IF($A930="","",[1]!thsiFinD("ths_adjustment_nv_fund",J$3,$A930))</x:f>
        <x:v>#NAME?</x:v>
      </x:c>
      <x:c r="K930" s="146" t="e">
        <x:f>IF($A930="","",[1]!thsiFinD("ths_adjustment_nv_fund",K$3,$A930))</x:f>
        <x:v>#NAME?</x:v>
      </x:c>
      <x:c r="L930" s="146" t="e">
        <x:f>IF($A930="","",[1]!thsiFinD("ths_adjustment_nv_fund",L$3,$A930))</x:f>
        <x:v>#NAME?</x:v>
      </x:c>
      <x:c r="M930" s="146" t="e">
        <x:f>IF($A930="","",[1]!thsiFinD("ths_adjustment_nv_fund",M$3,$A930))</x:f>
        <x:v>#NAME?</x:v>
      </x:c>
      <x:c r="N930" s="146" t="e">
        <x:f>IF($A930="","",[1]!thsiFinD("ths_adjustment_nv_fund",N$3,$A930))</x:f>
        <x:v>#NAME?</x:v>
      </x:c>
      <x:c r="O930" s="146" t="e">
        <x:f>IF($A930="","",[1]!thsiFinD("ths_adjustment_nv_fund",O$3,$A930))</x:f>
        <x:v>#NAME?</x:v>
      </x:c>
      <x:c r="P930" s="146" t="e">
        <x:f>IF($A930="","",[1]!thsiFinD("ths_adjustment_nv_fund",P$3,$A930))</x:f>
        <x:v>#NAME?</x:v>
      </x:c>
      <x:c r="Q930" s="146" t="e">
        <x:f>IF($A930="","",[1]!thsiFinD("ths_adjustment_nv_fund",Q$3,$A930))</x:f>
        <x:v>#NAME?</x:v>
      </x:c>
      <x:c r="R930" s="146" t="e">
        <x:f>IF($A930="","",[1]!thsiFinD("ths_adjustment_nv_fund",R$3,$A930))</x:f>
        <x:v>#NAME?</x:v>
      </x:c>
      <x:c r="S930" s="146" t="e">
        <x:f>IF($A930="","",[1]!thsiFinD("ths_adjustment_nv_fund",S$3,$A930))</x:f>
        <x:v>#NAME?</x:v>
      </x:c>
      <x:c r="T930" s="146" t="e">
        <x:f>IF($A930="","",[1]!thsiFinD("ths_adjustment_nv_fund",T$3,$A930))</x:f>
        <x:v>#NAME?</x:v>
      </x:c>
      <x:c r="U930" s="146" t="e">
        <x:f>IF($A930="","",[1]!thsiFinD("ths_adjustment_nv_fund",U$3,$A930))</x:f>
        <x:v>#NAME?</x:v>
      </x:c>
      <x:c r="V930" s="146" t="e">
        <x:f>IF($A930="","",[1]!thsiFinD("ths_adjustment_nv_fund",V$3,$A930))</x:f>
        <x:v>#NAME?</x:v>
      </x:c>
      <x:c r="W930" s="146" t="e">
        <x:f>IF($A930="","",[1]!thsiFinD("ths_adjustment_nv_fund",W$3,$A930))</x:f>
        <x:v>#NAME?</x:v>
      </x:c>
      <x:c r="X930" s="146" t="e">
        <x:f>IF($A930="","",[1]!thsiFinD("ths_adjustment_nv_fund",X$3,$A930))</x:f>
        <x:v>#NAME?</x:v>
      </x:c>
      <x:c r="Y930" s="146" t="e">
        <x:f>IF($A930="","",[1]!thsiFinD("ths_adjustment_nv_fund",Y$3,$A930))</x:f>
        <x:v>#NAME?</x:v>
      </x:c>
      <x:c r="Z930" s="146" t="e">
        <x:f>IF($A930="","",[1]!thsiFinD("ths_adjustment_nv_fund",Z$3,$A930))</x:f>
        <x:v>#NAME?</x:v>
      </x:c>
      <x:c r="AA930" s="146" t="e">
        <x:f>IF($A930="","",[1]!thsiFinD("ths_adjustment_nv_fund",AA$3,$A930))</x:f>
        <x:v>#NAME?</x:v>
      </x:c>
    </x:row>
    <x:row r="931">
      <x:c r="B931" s="146" t="e">
        <x:f>IF($A931="","",[1]!thsiFinD("ths_adjustment_nv_fund",B$3,$A931))</x:f>
        <x:v>#NAME?</x:v>
      </x:c>
      <x:c r="C931" s="146" t="e">
        <x:f>IF($A931="","",[1]!thsiFinD("ths_adjustment_nv_fund",C$3,$A931))</x:f>
        <x:v>#NAME?</x:v>
      </x:c>
      <x:c r="D931" s="146" t="e">
        <x:f>IF($A931="","",[1]!thsiFinD("ths_adjustment_nv_fund",D$3,$A931))</x:f>
        <x:v>#NAME?</x:v>
      </x:c>
      <x:c r="E931" s="146" t="e">
        <x:f>IF($A931="","",[1]!thsiFinD("ths_adjustment_nv_fund",E$3,$A931))</x:f>
        <x:v>#NAME?</x:v>
      </x:c>
      <x:c r="F931" s="146" t="e">
        <x:f>IF($A931="","",[1]!thsiFinD("ths_adjustment_nv_fund",F$3,$A931))</x:f>
        <x:v>#NAME?</x:v>
      </x:c>
      <x:c r="G931" s="146" t="e">
        <x:f>IF($A931="","",[1]!thsiFinD("ths_adjustment_nv_fund",G$3,$A931))</x:f>
        <x:v>#NAME?</x:v>
      </x:c>
      <x:c r="H931" s="146" t="e">
        <x:f>IF($A931="","",[1]!thsiFinD("ths_adjustment_nv_fund",H$3,$A931))</x:f>
        <x:v>#NAME?</x:v>
      </x:c>
      <x:c r="I931" s="146" t="e">
        <x:f>IF($A931="","",[1]!thsiFinD("ths_adjustment_nv_fund",I$3,$A931))</x:f>
        <x:v>#NAME?</x:v>
      </x:c>
      <x:c r="J931" s="146" t="e">
        <x:f>IF($A931="","",[1]!thsiFinD("ths_adjustment_nv_fund",J$3,$A931))</x:f>
        <x:v>#NAME?</x:v>
      </x:c>
      <x:c r="K931" s="146" t="e">
        <x:f>IF($A931="","",[1]!thsiFinD("ths_adjustment_nv_fund",K$3,$A931))</x:f>
        <x:v>#NAME?</x:v>
      </x:c>
      <x:c r="L931" s="146" t="e">
        <x:f>IF($A931="","",[1]!thsiFinD("ths_adjustment_nv_fund",L$3,$A931))</x:f>
        <x:v>#NAME?</x:v>
      </x:c>
      <x:c r="M931" s="146" t="e">
        <x:f>IF($A931="","",[1]!thsiFinD("ths_adjustment_nv_fund",M$3,$A931))</x:f>
        <x:v>#NAME?</x:v>
      </x:c>
      <x:c r="N931" s="146" t="e">
        <x:f>IF($A931="","",[1]!thsiFinD("ths_adjustment_nv_fund",N$3,$A931))</x:f>
        <x:v>#NAME?</x:v>
      </x:c>
      <x:c r="O931" s="146" t="e">
        <x:f>IF($A931="","",[1]!thsiFinD("ths_adjustment_nv_fund",O$3,$A931))</x:f>
        <x:v>#NAME?</x:v>
      </x:c>
      <x:c r="P931" s="146" t="e">
        <x:f>IF($A931="","",[1]!thsiFinD("ths_adjustment_nv_fund",P$3,$A931))</x:f>
        <x:v>#NAME?</x:v>
      </x:c>
      <x:c r="Q931" s="146" t="e">
        <x:f>IF($A931="","",[1]!thsiFinD("ths_adjustment_nv_fund",Q$3,$A931))</x:f>
        <x:v>#NAME?</x:v>
      </x:c>
      <x:c r="R931" s="146" t="e">
        <x:f>IF($A931="","",[1]!thsiFinD("ths_adjustment_nv_fund",R$3,$A931))</x:f>
        <x:v>#NAME?</x:v>
      </x:c>
      <x:c r="S931" s="146" t="e">
        <x:f>IF($A931="","",[1]!thsiFinD("ths_adjustment_nv_fund",S$3,$A931))</x:f>
        <x:v>#NAME?</x:v>
      </x:c>
      <x:c r="T931" s="146" t="e">
        <x:f>IF($A931="","",[1]!thsiFinD("ths_adjustment_nv_fund",T$3,$A931))</x:f>
        <x:v>#NAME?</x:v>
      </x:c>
      <x:c r="U931" s="146" t="e">
        <x:f>IF($A931="","",[1]!thsiFinD("ths_adjustment_nv_fund",U$3,$A931))</x:f>
        <x:v>#NAME?</x:v>
      </x:c>
      <x:c r="V931" s="146" t="e">
        <x:f>IF($A931="","",[1]!thsiFinD("ths_adjustment_nv_fund",V$3,$A931))</x:f>
        <x:v>#NAME?</x:v>
      </x:c>
      <x:c r="W931" s="146" t="e">
        <x:f>IF($A931="","",[1]!thsiFinD("ths_adjustment_nv_fund",W$3,$A931))</x:f>
        <x:v>#NAME?</x:v>
      </x:c>
      <x:c r="X931" s="146" t="e">
        <x:f>IF($A931="","",[1]!thsiFinD("ths_adjustment_nv_fund",X$3,$A931))</x:f>
        <x:v>#NAME?</x:v>
      </x:c>
      <x:c r="Y931" s="146" t="e">
        <x:f>IF($A931="","",[1]!thsiFinD("ths_adjustment_nv_fund",Y$3,$A931))</x:f>
        <x:v>#NAME?</x:v>
      </x:c>
      <x:c r="Z931" s="146" t="e">
        <x:f>IF($A931="","",[1]!thsiFinD("ths_adjustment_nv_fund",Z$3,$A931))</x:f>
        <x:v>#NAME?</x:v>
      </x:c>
      <x:c r="AA931" s="146" t="e">
        <x:f>IF($A931="","",[1]!thsiFinD("ths_adjustment_nv_fund",AA$3,$A931))</x:f>
        <x:v>#NAME?</x:v>
      </x:c>
    </x:row>
    <x:row r="932">
      <x:c r="B932" s="146" t="e">
        <x:f>IF($A932="","",[1]!thsiFinD("ths_adjustment_nv_fund",B$3,$A932))</x:f>
        <x:v>#NAME?</x:v>
      </x:c>
      <x:c r="C932" s="146" t="e">
        <x:f>IF($A932="","",[1]!thsiFinD("ths_adjustment_nv_fund",C$3,$A932))</x:f>
        <x:v>#NAME?</x:v>
      </x:c>
      <x:c r="D932" s="146" t="e">
        <x:f>IF($A932="","",[1]!thsiFinD("ths_adjustment_nv_fund",D$3,$A932))</x:f>
        <x:v>#NAME?</x:v>
      </x:c>
      <x:c r="E932" s="146" t="e">
        <x:f>IF($A932="","",[1]!thsiFinD("ths_adjustment_nv_fund",E$3,$A932))</x:f>
        <x:v>#NAME?</x:v>
      </x:c>
      <x:c r="F932" s="146" t="e">
        <x:f>IF($A932="","",[1]!thsiFinD("ths_adjustment_nv_fund",F$3,$A932))</x:f>
        <x:v>#NAME?</x:v>
      </x:c>
      <x:c r="G932" s="146" t="e">
        <x:f>IF($A932="","",[1]!thsiFinD("ths_adjustment_nv_fund",G$3,$A932))</x:f>
        <x:v>#NAME?</x:v>
      </x:c>
      <x:c r="H932" s="146" t="e">
        <x:f>IF($A932="","",[1]!thsiFinD("ths_adjustment_nv_fund",H$3,$A932))</x:f>
        <x:v>#NAME?</x:v>
      </x:c>
      <x:c r="I932" s="146" t="e">
        <x:f>IF($A932="","",[1]!thsiFinD("ths_adjustment_nv_fund",I$3,$A932))</x:f>
        <x:v>#NAME?</x:v>
      </x:c>
      <x:c r="J932" s="146" t="e">
        <x:f>IF($A932="","",[1]!thsiFinD("ths_adjustment_nv_fund",J$3,$A932))</x:f>
        <x:v>#NAME?</x:v>
      </x:c>
      <x:c r="K932" s="146" t="e">
        <x:f>IF($A932="","",[1]!thsiFinD("ths_adjustment_nv_fund",K$3,$A932))</x:f>
        <x:v>#NAME?</x:v>
      </x:c>
      <x:c r="L932" s="146" t="e">
        <x:f>IF($A932="","",[1]!thsiFinD("ths_adjustment_nv_fund",L$3,$A932))</x:f>
        <x:v>#NAME?</x:v>
      </x:c>
      <x:c r="M932" s="146" t="e">
        <x:f>IF($A932="","",[1]!thsiFinD("ths_adjustment_nv_fund",M$3,$A932))</x:f>
        <x:v>#NAME?</x:v>
      </x:c>
      <x:c r="N932" s="146" t="e">
        <x:f>IF($A932="","",[1]!thsiFinD("ths_adjustment_nv_fund",N$3,$A932))</x:f>
        <x:v>#NAME?</x:v>
      </x:c>
      <x:c r="O932" s="146" t="e">
        <x:f>IF($A932="","",[1]!thsiFinD("ths_adjustment_nv_fund",O$3,$A932))</x:f>
        <x:v>#NAME?</x:v>
      </x:c>
      <x:c r="P932" s="146" t="e">
        <x:f>IF($A932="","",[1]!thsiFinD("ths_adjustment_nv_fund",P$3,$A932))</x:f>
        <x:v>#NAME?</x:v>
      </x:c>
      <x:c r="Q932" s="146" t="e">
        <x:f>IF($A932="","",[1]!thsiFinD("ths_adjustment_nv_fund",Q$3,$A932))</x:f>
        <x:v>#NAME?</x:v>
      </x:c>
      <x:c r="R932" s="146" t="e">
        <x:f>IF($A932="","",[1]!thsiFinD("ths_adjustment_nv_fund",R$3,$A932))</x:f>
        <x:v>#NAME?</x:v>
      </x:c>
      <x:c r="S932" s="146" t="e">
        <x:f>IF($A932="","",[1]!thsiFinD("ths_adjustment_nv_fund",S$3,$A932))</x:f>
        <x:v>#NAME?</x:v>
      </x:c>
      <x:c r="T932" s="146" t="e">
        <x:f>IF($A932="","",[1]!thsiFinD("ths_adjustment_nv_fund",T$3,$A932))</x:f>
        <x:v>#NAME?</x:v>
      </x:c>
      <x:c r="U932" s="146" t="e">
        <x:f>IF($A932="","",[1]!thsiFinD("ths_adjustment_nv_fund",U$3,$A932))</x:f>
        <x:v>#NAME?</x:v>
      </x:c>
      <x:c r="V932" s="146" t="e">
        <x:f>IF($A932="","",[1]!thsiFinD("ths_adjustment_nv_fund",V$3,$A932))</x:f>
        <x:v>#NAME?</x:v>
      </x:c>
      <x:c r="W932" s="146" t="e">
        <x:f>IF($A932="","",[1]!thsiFinD("ths_adjustment_nv_fund",W$3,$A932))</x:f>
        <x:v>#NAME?</x:v>
      </x:c>
      <x:c r="X932" s="146" t="e">
        <x:f>IF($A932="","",[1]!thsiFinD("ths_adjustment_nv_fund",X$3,$A932))</x:f>
        <x:v>#NAME?</x:v>
      </x:c>
      <x:c r="Y932" s="146" t="e">
        <x:f>IF($A932="","",[1]!thsiFinD("ths_adjustment_nv_fund",Y$3,$A932))</x:f>
        <x:v>#NAME?</x:v>
      </x:c>
      <x:c r="Z932" s="146" t="e">
        <x:f>IF($A932="","",[1]!thsiFinD("ths_adjustment_nv_fund",Z$3,$A932))</x:f>
        <x:v>#NAME?</x:v>
      </x:c>
      <x:c r="AA932" s="146" t="e">
        <x:f>IF($A932="","",[1]!thsiFinD("ths_adjustment_nv_fund",AA$3,$A932))</x:f>
        <x:v>#NAME?</x:v>
      </x:c>
    </x:row>
    <x:row r="933">
      <x:c r="B933" s="146" t="e">
        <x:f>IF($A933="","",[1]!thsiFinD("ths_adjustment_nv_fund",B$3,$A933))</x:f>
        <x:v>#NAME?</x:v>
      </x:c>
      <x:c r="C933" s="146" t="e">
        <x:f>IF($A933="","",[1]!thsiFinD("ths_adjustment_nv_fund",C$3,$A933))</x:f>
        <x:v>#NAME?</x:v>
      </x:c>
      <x:c r="D933" s="146" t="e">
        <x:f>IF($A933="","",[1]!thsiFinD("ths_adjustment_nv_fund",D$3,$A933))</x:f>
        <x:v>#NAME?</x:v>
      </x:c>
      <x:c r="E933" s="146" t="e">
        <x:f>IF($A933="","",[1]!thsiFinD("ths_adjustment_nv_fund",E$3,$A933))</x:f>
        <x:v>#NAME?</x:v>
      </x:c>
      <x:c r="F933" s="146" t="e">
        <x:f>IF($A933="","",[1]!thsiFinD("ths_adjustment_nv_fund",F$3,$A933))</x:f>
        <x:v>#NAME?</x:v>
      </x:c>
      <x:c r="G933" s="146" t="e">
        <x:f>IF($A933="","",[1]!thsiFinD("ths_adjustment_nv_fund",G$3,$A933))</x:f>
        <x:v>#NAME?</x:v>
      </x:c>
      <x:c r="H933" s="146" t="e">
        <x:f>IF($A933="","",[1]!thsiFinD("ths_adjustment_nv_fund",H$3,$A933))</x:f>
        <x:v>#NAME?</x:v>
      </x:c>
      <x:c r="I933" s="146" t="e">
        <x:f>IF($A933="","",[1]!thsiFinD("ths_adjustment_nv_fund",I$3,$A933))</x:f>
        <x:v>#NAME?</x:v>
      </x:c>
      <x:c r="J933" s="146" t="e">
        <x:f>IF($A933="","",[1]!thsiFinD("ths_adjustment_nv_fund",J$3,$A933))</x:f>
        <x:v>#NAME?</x:v>
      </x:c>
      <x:c r="K933" s="146" t="e">
        <x:f>IF($A933="","",[1]!thsiFinD("ths_adjustment_nv_fund",K$3,$A933))</x:f>
        <x:v>#NAME?</x:v>
      </x:c>
      <x:c r="L933" s="146" t="e">
        <x:f>IF($A933="","",[1]!thsiFinD("ths_adjustment_nv_fund",L$3,$A933))</x:f>
        <x:v>#NAME?</x:v>
      </x:c>
      <x:c r="M933" s="146" t="e">
        <x:f>IF($A933="","",[1]!thsiFinD("ths_adjustment_nv_fund",M$3,$A933))</x:f>
        <x:v>#NAME?</x:v>
      </x:c>
      <x:c r="N933" s="146" t="e">
        <x:f>IF($A933="","",[1]!thsiFinD("ths_adjustment_nv_fund",N$3,$A933))</x:f>
        <x:v>#NAME?</x:v>
      </x:c>
      <x:c r="O933" s="146" t="e">
        <x:f>IF($A933="","",[1]!thsiFinD("ths_adjustment_nv_fund",O$3,$A933))</x:f>
        <x:v>#NAME?</x:v>
      </x:c>
      <x:c r="P933" s="146" t="e">
        <x:f>IF($A933="","",[1]!thsiFinD("ths_adjustment_nv_fund",P$3,$A933))</x:f>
        <x:v>#NAME?</x:v>
      </x:c>
      <x:c r="Q933" s="146" t="e">
        <x:f>IF($A933="","",[1]!thsiFinD("ths_adjustment_nv_fund",Q$3,$A933))</x:f>
        <x:v>#NAME?</x:v>
      </x:c>
      <x:c r="R933" s="146" t="e">
        <x:f>IF($A933="","",[1]!thsiFinD("ths_adjustment_nv_fund",R$3,$A933))</x:f>
        <x:v>#NAME?</x:v>
      </x:c>
      <x:c r="S933" s="146" t="e">
        <x:f>IF($A933="","",[1]!thsiFinD("ths_adjustment_nv_fund",S$3,$A933))</x:f>
        <x:v>#NAME?</x:v>
      </x:c>
      <x:c r="T933" s="146" t="e">
        <x:f>IF($A933="","",[1]!thsiFinD("ths_adjustment_nv_fund",T$3,$A933))</x:f>
        <x:v>#NAME?</x:v>
      </x:c>
      <x:c r="U933" s="146" t="e">
        <x:f>IF($A933="","",[1]!thsiFinD("ths_adjustment_nv_fund",U$3,$A933))</x:f>
        <x:v>#NAME?</x:v>
      </x:c>
      <x:c r="V933" s="146" t="e">
        <x:f>IF($A933="","",[1]!thsiFinD("ths_adjustment_nv_fund",V$3,$A933))</x:f>
        <x:v>#NAME?</x:v>
      </x:c>
      <x:c r="W933" s="146" t="e">
        <x:f>IF($A933="","",[1]!thsiFinD("ths_adjustment_nv_fund",W$3,$A933))</x:f>
        <x:v>#NAME?</x:v>
      </x:c>
      <x:c r="X933" s="146" t="e">
        <x:f>IF($A933="","",[1]!thsiFinD("ths_adjustment_nv_fund",X$3,$A933))</x:f>
        <x:v>#NAME?</x:v>
      </x:c>
      <x:c r="Y933" s="146" t="e">
        <x:f>IF($A933="","",[1]!thsiFinD("ths_adjustment_nv_fund",Y$3,$A933))</x:f>
        <x:v>#NAME?</x:v>
      </x:c>
      <x:c r="Z933" s="146" t="e">
        <x:f>IF($A933="","",[1]!thsiFinD("ths_adjustment_nv_fund",Z$3,$A933))</x:f>
        <x:v>#NAME?</x:v>
      </x:c>
      <x:c r="AA933" s="146" t="e">
        <x:f>IF($A933="","",[1]!thsiFinD("ths_adjustment_nv_fund",AA$3,$A933))</x:f>
        <x:v>#NAME?</x:v>
      </x:c>
    </x:row>
    <x:row r="934">
      <x:c r="B934" s="146" t="e">
        <x:f>IF($A934="","",[1]!thsiFinD("ths_adjustment_nv_fund",B$3,$A934))</x:f>
        <x:v>#NAME?</x:v>
      </x:c>
      <x:c r="C934" s="146" t="e">
        <x:f>IF($A934="","",[1]!thsiFinD("ths_adjustment_nv_fund",C$3,$A934))</x:f>
        <x:v>#NAME?</x:v>
      </x:c>
      <x:c r="D934" s="146" t="e">
        <x:f>IF($A934="","",[1]!thsiFinD("ths_adjustment_nv_fund",D$3,$A934))</x:f>
        <x:v>#NAME?</x:v>
      </x:c>
      <x:c r="E934" s="146" t="e">
        <x:f>IF($A934="","",[1]!thsiFinD("ths_adjustment_nv_fund",E$3,$A934))</x:f>
        <x:v>#NAME?</x:v>
      </x:c>
      <x:c r="F934" s="146" t="e">
        <x:f>IF($A934="","",[1]!thsiFinD("ths_adjustment_nv_fund",F$3,$A934))</x:f>
        <x:v>#NAME?</x:v>
      </x:c>
      <x:c r="G934" s="146" t="e">
        <x:f>IF($A934="","",[1]!thsiFinD("ths_adjustment_nv_fund",G$3,$A934))</x:f>
        <x:v>#NAME?</x:v>
      </x:c>
      <x:c r="H934" s="146" t="e">
        <x:f>IF($A934="","",[1]!thsiFinD("ths_adjustment_nv_fund",H$3,$A934))</x:f>
        <x:v>#NAME?</x:v>
      </x:c>
      <x:c r="I934" s="146" t="e">
        <x:f>IF($A934="","",[1]!thsiFinD("ths_adjustment_nv_fund",I$3,$A934))</x:f>
        <x:v>#NAME?</x:v>
      </x:c>
      <x:c r="J934" s="146" t="e">
        <x:f>IF($A934="","",[1]!thsiFinD("ths_adjustment_nv_fund",J$3,$A934))</x:f>
        <x:v>#NAME?</x:v>
      </x:c>
      <x:c r="K934" s="146" t="e">
        <x:f>IF($A934="","",[1]!thsiFinD("ths_adjustment_nv_fund",K$3,$A934))</x:f>
        <x:v>#NAME?</x:v>
      </x:c>
      <x:c r="L934" s="146" t="e">
        <x:f>IF($A934="","",[1]!thsiFinD("ths_adjustment_nv_fund",L$3,$A934))</x:f>
        <x:v>#NAME?</x:v>
      </x:c>
      <x:c r="M934" s="146" t="e">
        <x:f>IF($A934="","",[1]!thsiFinD("ths_adjustment_nv_fund",M$3,$A934))</x:f>
        <x:v>#NAME?</x:v>
      </x:c>
      <x:c r="N934" s="146" t="e">
        <x:f>IF($A934="","",[1]!thsiFinD("ths_adjustment_nv_fund",N$3,$A934))</x:f>
        <x:v>#NAME?</x:v>
      </x:c>
      <x:c r="O934" s="146" t="e">
        <x:f>IF($A934="","",[1]!thsiFinD("ths_adjustment_nv_fund",O$3,$A934))</x:f>
        <x:v>#NAME?</x:v>
      </x:c>
      <x:c r="P934" s="146" t="e">
        <x:f>IF($A934="","",[1]!thsiFinD("ths_adjustment_nv_fund",P$3,$A934))</x:f>
        <x:v>#NAME?</x:v>
      </x:c>
      <x:c r="Q934" s="146" t="e">
        <x:f>IF($A934="","",[1]!thsiFinD("ths_adjustment_nv_fund",Q$3,$A934))</x:f>
        <x:v>#NAME?</x:v>
      </x:c>
      <x:c r="R934" s="146" t="e">
        <x:f>IF($A934="","",[1]!thsiFinD("ths_adjustment_nv_fund",R$3,$A934))</x:f>
        <x:v>#NAME?</x:v>
      </x:c>
      <x:c r="S934" s="146" t="e">
        <x:f>IF($A934="","",[1]!thsiFinD("ths_adjustment_nv_fund",S$3,$A934))</x:f>
        <x:v>#NAME?</x:v>
      </x:c>
      <x:c r="T934" s="146" t="e">
        <x:f>IF($A934="","",[1]!thsiFinD("ths_adjustment_nv_fund",T$3,$A934))</x:f>
        <x:v>#NAME?</x:v>
      </x:c>
      <x:c r="U934" s="146" t="e">
        <x:f>IF($A934="","",[1]!thsiFinD("ths_adjustment_nv_fund",U$3,$A934))</x:f>
        <x:v>#NAME?</x:v>
      </x:c>
      <x:c r="V934" s="146" t="e">
        <x:f>IF($A934="","",[1]!thsiFinD("ths_adjustment_nv_fund",V$3,$A934))</x:f>
        <x:v>#NAME?</x:v>
      </x:c>
      <x:c r="W934" s="146" t="e">
        <x:f>IF($A934="","",[1]!thsiFinD("ths_adjustment_nv_fund",W$3,$A934))</x:f>
        <x:v>#NAME?</x:v>
      </x:c>
      <x:c r="X934" s="146" t="e">
        <x:f>IF($A934="","",[1]!thsiFinD("ths_adjustment_nv_fund",X$3,$A934))</x:f>
        <x:v>#NAME?</x:v>
      </x:c>
      <x:c r="Y934" s="146" t="e">
        <x:f>IF($A934="","",[1]!thsiFinD("ths_adjustment_nv_fund",Y$3,$A934))</x:f>
        <x:v>#NAME?</x:v>
      </x:c>
      <x:c r="Z934" s="146" t="e">
        <x:f>IF($A934="","",[1]!thsiFinD("ths_adjustment_nv_fund",Z$3,$A934))</x:f>
        <x:v>#NAME?</x:v>
      </x:c>
      <x:c r="AA934" s="146" t="e">
        <x:f>IF($A934="","",[1]!thsiFinD("ths_adjustment_nv_fund",AA$3,$A934))</x:f>
        <x:v>#NAME?</x:v>
      </x:c>
    </x:row>
    <x:row r="935">
      <x:c r="B935" s="146" t="e">
        <x:f>IF($A935="","",[1]!thsiFinD("ths_adjustment_nv_fund",B$3,$A935))</x:f>
        <x:v>#NAME?</x:v>
      </x:c>
      <x:c r="C935" s="146" t="e">
        <x:f>IF($A935="","",[1]!thsiFinD("ths_adjustment_nv_fund",C$3,$A935))</x:f>
        <x:v>#NAME?</x:v>
      </x:c>
      <x:c r="D935" s="146" t="e">
        <x:f>IF($A935="","",[1]!thsiFinD("ths_adjustment_nv_fund",D$3,$A935))</x:f>
        <x:v>#NAME?</x:v>
      </x:c>
      <x:c r="E935" s="146" t="e">
        <x:f>IF($A935="","",[1]!thsiFinD("ths_adjustment_nv_fund",E$3,$A935))</x:f>
        <x:v>#NAME?</x:v>
      </x:c>
      <x:c r="F935" s="146" t="e">
        <x:f>IF($A935="","",[1]!thsiFinD("ths_adjustment_nv_fund",F$3,$A935))</x:f>
        <x:v>#NAME?</x:v>
      </x:c>
      <x:c r="G935" s="146" t="e">
        <x:f>IF($A935="","",[1]!thsiFinD("ths_adjustment_nv_fund",G$3,$A935))</x:f>
        <x:v>#NAME?</x:v>
      </x:c>
      <x:c r="H935" s="146" t="e">
        <x:f>IF($A935="","",[1]!thsiFinD("ths_adjustment_nv_fund",H$3,$A935))</x:f>
        <x:v>#NAME?</x:v>
      </x:c>
      <x:c r="I935" s="146" t="e">
        <x:f>IF($A935="","",[1]!thsiFinD("ths_adjustment_nv_fund",I$3,$A935))</x:f>
        <x:v>#NAME?</x:v>
      </x:c>
      <x:c r="J935" s="146" t="e">
        <x:f>IF($A935="","",[1]!thsiFinD("ths_adjustment_nv_fund",J$3,$A935))</x:f>
        <x:v>#NAME?</x:v>
      </x:c>
      <x:c r="K935" s="146" t="e">
        <x:f>IF($A935="","",[1]!thsiFinD("ths_adjustment_nv_fund",K$3,$A935))</x:f>
        <x:v>#NAME?</x:v>
      </x:c>
      <x:c r="L935" s="146" t="e">
        <x:f>IF($A935="","",[1]!thsiFinD("ths_adjustment_nv_fund",L$3,$A935))</x:f>
        <x:v>#NAME?</x:v>
      </x:c>
      <x:c r="M935" s="146" t="e">
        <x:f>IF($A935="","",[1]!thsiFinD("ths_adjustment_nv_fund",M$3,$A935))</x:f>
        <x:v>#NAME?</x:v>
      </x:c>
      <x:c r="N935" s="146" t="e">
        <x:f>IF($A935="","",[1]!thsiFinD("ths_adjustment_nv_fund",N$3,$A935))</x:f>
        <x:v>#NAME?</x:v>
      </x:c>
      <x:c r="O935" s="146" t="e">
        <x:f>IF($A935="","",[1]!thsiFinD("ths_adjustment_nv_fund",O$3,$A935))</x:f>
        <x:v>#NAME?</x:v>
      </x:c>
      <x:c r="P935" s="146" t="e">
        <x:f>IF($A935="","",[1]!thsiFinD("ths_adjustment_nv_fund",P$3,$A935))</x:f>
        <x:v>#NAME?</x:v>
      </x:c>
      <x:c r="Q935" s="146" t="e">
        <x:f>IF($A935="","",[1]!thsiFinD("ths_adjustment_nv_fund",Q$3,$A935))</x:f>
        <x:v>#NAME?</x:v>
      </x:c>
      <x:c r="R935" s="146" t="e">
        <x:f>IF($A935="","",[1]!thsiFinD("ths_adjustment_nv_fund",R$3,$A935))</x:f>
        <x:v>#NAME?</x:v>
      </x:c>
      <x:c r="S935" s="146" t="e">
        <x:f>IF($A935="","",[1]!thsiFinD("ths_adjustment_nv_fund",S$3,$A935))</x:f>
        <x:v>#NAME?</x:v>
      </x:c>
      <x:c r="T935" s="146" t="e">
        <x:f>IF($A935="","",[1]!thsiFinD("ths_adjustment_nv_fund",T$3,$A935))</x:f>
        <x:v>#NAME?</x:v>
      </x:c>
      <x:c r="U935" s="146" t="e">
        <x:f>IF($A935="","",[1]!thsiFinD("ths_adjustment_nv_fund",U$3,$A935))</x:f>
        <x:v>#NAME?</x:v>
      </x:c>
      <x:c r="V935" s="146" t="e">
        <x:f>IF($A935="","",[1]!thsiFinD("ths_adjustment_nv_fund",V$3,$A935))</x:f>
        <x:v>#NAME?</x:v>
      </x:c>
      <x:c r="W935" s="146" t="e">
        <x:f>IF($A935="","",[1]!thsiFinD("ths_adjustment_nv_fund",W$3,$A935))</x:f>
        <x:v>#NAME?</x:v>
      </x:c>
      <x:c r="X935" s="146" t="e">
        <x:f>IF($A935="","",[1]!thsiFinD("ths_adjustment_nv_fund",X$3,$A935))</x:f>
        <x:v>#NAME?</x:v>
      </x:c>
      <x:c r="Y935" s="146" t="e">
        <x:f>IF($A935="","",[1]!thsiFinD("ths_adjustment_nv_fund",Y$3,$A935))</x:f>
        <x:v>#NAME?</x:v>
      </x:c>
      <x:c r="Z935" s="146" t="e">
        <x:f>IF($A935="","",[1]!thsiFinD("ths_adjustment_nv_fund",Z$3,$A935))</x:f>
        <x:v>#NAME?</x:v>
      </x:c>
      <x:c r="AA935" s="146" t="e">
        <x:f>IF($A935="","",[1]!thsiFinD("ths_adjustment_nv_fund",AA$3,$A935))</x:f>
        <x:v>#NAME?</x:v>
      </x:c>
    </x:row>
    <x:row r="936">
      <x:c r="B936" s="146" t="e">
        <x:f>IF($A936="","",[1]!thsiFinD("ths_adjustment_nv_fund",B$3,$A936))</x:f>
        <x:v>#NAME?</x:v>
      </x:c>
      <x:c r="C936" s="146" t="e">
        <x:f>IF($A936="","",[1]!thsiFinD("ths_adjustment_nv_fund",C$3,$A936))</x:f>
        <x:v>#NAME?</x:v>
      </x:c>
      <x:c r="D936" s="146" t="e">
        <x:f>IF($A936="","",[1]!thsiFinD("ths_adjustment_nv_fund",D$3,$A936))</x:f>
        <x:v>#NAME?</x:v>
      </x:c>
      <x:c r="E936" s="146" t="e">
        <x:f>IF($A936="","",[1]!thsiFinD("ths_adjustment_nv_fund",E$3,$A936))</x:f>
        <x:v>#NAME?</x:v>
      </x:c>
      <x:c r="F936" s="146" t="e">
        <x:f>IF($A936="","",[1]!thsiFinD("ths_adjustment_nv_fund",F$3,$A936))</x:f>
        <x:v>#NAME?</x:v>
      </x:c>
      <x:c r="G936" s="146" t="e">
        <x:f>IF($A936="","",[1]!thsiFinD("ths_adjustment_nv_fund",G$3,$A936))</x:f>
        <x:v>#NAME?</x:v>
      </x:c>
      <x:c r="H936" s="146" t="e">
        <x:f>IF($A936="","",[1]!thsiFinD("ths_adjustment_nv_fund",H$3,$A936))</x:f>
        <x:v>#NAME?</x:v>
      </x:c>
      <x:c r="I936" s="146" t="e">
        <x:f>IF($A936="","",[1]!thsiFinD("ths_adjustment_nv_fund",I$3,$A936))</x:f>
        <x:v>#NAME?</x:v>
      </x:c>
      <x:c r="J936" s="146" t="e">
        <x:f>IF($A936="","",[1]!thsiFinD("ths_adjustment_nv_fund",J$3,$A936))</x:f>
        <x:v>#NAME?</x:v>
      </x:c>
      <x:c r="K936" s="146" t="e">
        <x:f>IF($A936="","",[1]!thsiFinD("ths_adjustment_nv_fund",K$3,$A936))</x:f>
        <x:v>#NAME?</x:v>
      </x:c>
      <x:c r="L936" s="146" t="e">
        <x:f>IF($A936="","",[1]!thsiFinD("ths_adjustment_nv_fund",L$3,$A936))</x:f>
        <x:v>#NAME?</x:v>
      </x:c>
      <x:c r="M936" s="146" t="e">
        <x:f>IF($A936="","",[1]!thsiFinD("ths_adjustment_nv_fund",M$3,$A936))</x:f>
        <x:v>#NAME?</x:v>
      </x:c>
      <x:c r="N936" s="146" t="e">
        <x:f>IF($A936="","",[1]!thsiFinD("ths_adjustment_nv_fund",N$3,$A936))</x:f>
        <x:v>#NAME?</x:v>
      </x:c>
      <x:c r="O936" s="146" t="e">
        <x:f>IF($A936="","",[1]!thsiFinD("ths_adjustment_nv_fund",O$3,$A936))</x:f>
        <x:v>#NAME?</x:v>
      </x:c>
      <x:c r="P936" s="146" t="e">
        <x:f>IF($A936="","",[1]!thsiFinD("ths_adjustment_nv_fund",P$3,$A936))</x:f>
        <x:v>#NAME?</x:v>
      </x:c>
      <x:c r="Q936" s="146" t="e">
        <x:f>IF($A936="","",[1]!thsiFinD("ths_adjustment_nv_fund",Q$3,$A936))</x:f>
        <x:v>#NAME?</x:v>
      </x:c>
      <x:c r="R936" s="146" t="e">
        <x:f>IF($A936="","",[1]!thsiFinD("ths_adjustment_nv_fund",R$3,$A936))</x:f>
        <x:v>#NAME?</x:v>
      </x:c>
      <x:c r="S936" s="146" t="e">
        <x:f>IF($A936="","",[1]!thsiFinD("ths_adjustment_nv_fund",S$3,$A936))</x:f>
        <x:v>#NAME?</x:v>
      </x:c>
      <x:c r="T936" s="146" t="e">
        <x:f>IF($A936="","",[1]!thsiFinD("ths_adjustment_nv_fund",T$3,$A936))</x:f>
        <x:v>#NAME?</x:v>
      </x:c>
      <x:c r="U936" s="146" t="e">
        <x:f>IF($A936="","",[1]!thsiFinD("ths_adjustment_nv_fund",U$3,$A936))</x:f>
        <x:v>#NAME?</x:v>
      </x:c>
      <x:c r="V936" s="146" t="e">
        <x:f>IF($A936="","",[1]!thsiFinD("ths_adjustment_nv_fund",V$3,$A936))</x:f>
        <x:v>#NAME?</x:v>
      </x:c>
      <x:c r="W936" s="146" t="e">
        <x:f>IF($A936="","",[1]!thsiFinD("ths_adjustment_nv_fund",W$3,$A936))</x:f>
        <x:v>#NAME?</x:v>
      </x:c>
      <x:c r="X936" s="146" t="e">
        <x:f>IF($A936="","",[1]!thsiFinD("ths_adjustment_nv_fund",X$3,$A936))</x:f>
        <x:v>#NAME?</x:v>
      </x:c>
      <x:c r="Y936" s="146" t="e">
        <x:f>IF($A936="","",[1]!thsiFinD("ths_adjustment_nv_fund",Y$3,$A936))</x:f>
        <x:v>#NAME?</x:v>
      </x:c>
      <x:c r="Z936" s="146" t="e">
        <x:f>IF($A936="","",[1]!thsiFinD("ths_adjustment_nv_fund",Z$3,$A936))</x:f>
        <x:v>#NAME?</x:v>
      </x:c>
      <x:c r="AA936" s="146" t="e">
        <x:f>IF($A936="","",[1]!thsiFinD("ths_adjustment_nv_fund",AA$3,$A936))</x:f>
        <x:v>#NAME?</x:v>
      </x:c>
    </x:row>
    <x:row r="937">
      <x:c r="B937" s="146" t="e">
        <x:f>IF($A937="","",[1]!thsiFinD("ths_adjustment_nv_fund",B$3,$A937))</x:f>
        <x:v>#NAME?</x:v>
      </x:c>
      <x:c r="C937" s="146" t="e">
        <x:f>IF($A937="","",[1]!thsiFinD("ths_adjustment_nv_fund",C$3,$A937))</x:f>
        <x:v>#NAME?</x:v>
      </x:c>
      <x:c r="D937" s="146" t="e">
        <x:f>IF($A937="","",[1]!thsiFinD("ths_adjustment_nv_fund",D$3,$A937))</x:f>
        <x:v>#NAME?</x:v>
      </x:c>
      <x:c r="E937" s="146" t="e">
        <x:f>IF($A937="","",[1]!thsiFinD("ths_adjustment_nv_fund",E$3,$A937))</x:f>
        <x:v>#NAME?</x:v>
      </x:c>
      <x:c r="F937" s="146" t="e">
        <x:f>IF($A937="","",[1]!thsiFinD("ths_adjustment_nv_fund",F$3,$A937))</x:f>
        <x:v>#NAME?</x:v>
      </x:c>
      <x:c r="G937" s="146" t="e">
        <x:f>IF($A937="","",[1]!thsiFinD("ths_adjustment_nv_fund",G$3,$A937))</x:f>
        <x:v>#NAME?</x:v>
      </x:c>
      <x:c r="H937" s="146" t="e">
        <x:f>IF($A937="","",[1]!thsiFinD("ths_adjustment_nv_fund",H$3,$A937))</x:f>
        <x:v>#NAME?</x:v>
      </x:c>
      <x:c r="I937" s="146" t="e">
        <x:f>IF($A937="","",[1]!thsiFinD("ths_adjustment_nv_fund",I$3,$A937))</x:f>
        <x:v>#NAME?</x:v>
      </x:c>
      <x:c r="J937" s="146" t="e">
        <x:f>IF($A937="","",[1]!thsiFinD("ths_adjustment_nv_fund",J$3,$A937))</x:f>
        <x:v>#NAME?</x:v>
      </x:c>
      <x:c r="K937" s="146" t="e">
        <x:f>IF($A937="","",[1]!thsiFinD("ths_adjustment_nv_fund",K$3,$A937))</x:f>
        <x:v>#NAME?</x:v>
      </x:c>
      <x:c r="L937" s="146" t="e">
        <x:f>IF($A937="","",[1]!thsiFinD("ths_adjustment_nv_fund",L$3,$A937))</x:f>
        <x:v>#NAME?</x:v>
      </x:c>
      <x:c r="M937" s="146" t="e">
        <x:f>IF($A937="","",[1]!thsiFinD("ths_adjustment_nv_fund",M$3,$A937))</x:f>
        <x:v>#NAME?</x:v>
      </x:c>
      <x:c r="N937" s="146" t="e">
        <x:f>IF($A937="","",[1]!thsiFinD("ths_adjustment_nv_fund",N$3,$A937))</x:f>
        <x:v>#NAME?</x:v>
      </x:c>
      <x:c r="O937" s="146" t="e">
        <x:f>IF($A937="","",[1]!thsiFinD("ths_adjustment_nv_fund",O$3,$A937))</x:f>
        <x:v>#NAME?</x:v>
      </x:c>
      <x:c r="P937" s="146" t="e">
        <x:f>IF($A937="","",[1]!thsiFinD("ths_adjustment_nv_fund",P$3,$A937))</x:f>
        <x:v>#NAME?</x:v>
      </x:c>
      <x:c r="Q937" s="146" t="e">
        <x:f>IF($A937="","",[1]!thsiFinD("ths_adjustment_nv_fund",Q$3,$A937))</x:f>
        <x:v>#NAME?</x:v>
      </x:c>
      <x:c r="R937" s="146" t="e">
        <x:f>IF($A937="","",[1]!thsiFinD("ths_adjustment_nv_fund",R$3,$A937))</x:f>
        <x:v>#NAME?</x:v>
      </x:c>
      <x:c r="S937" s="146" t="e">
        <x:f>IF($A937="","",[1]!thsiFinD("ths_adjustment_nv_fund",S$3,$A937))</x:f>
        <x:v>#NAME?</x:v>
      </x:c>
      <x:c r="T937" s="146" t="e">
        <x:f>IF($A937="","",[1]!thsiFinD("ths_adjustment_nv_fund",T$3,$A937))</x:f>
        <x:v>#NAME?</x:v>
      </x:c>
      <x:c r="U937" s="146" t="e">
        <x:f>IF($A937="","",[1]!thsiFinD("ths_adjustment_nv_fund",U$3,$A937))</x:f>
        <x:v>#NAME?</x:v>
      </x:c>
      <x:c r="V937" s="146" t="e">
        <x:f>IF($A937="","",[1]!thsiFinD("ths_adjustment_nv_fund",V$3,$A937))</x:f>
        <x:v>#NAME?</x:v>
      </x:c>
      <x:c r="W937" s="146" t="e">
        <x:f>IF($A937="","",[1]!thsiFinD("ths_adjustment_nv_fund",W$3,$A937))</x:f>
        <x:v>#NAME?</x:v>
      </x:c>
      <x:c r="X937" s="146" t="e">
        <x:f>IF($A937="","",[1]!thsiFinD("ths_adjustment_nv_fund",X$3,$A937))</x:f>
        <x:v>#NAME?</x:v>
      </x:c>
      <x:c r="Y937" s="146" t="e">
        <x:f>IF($A937="","",[1]!thsiFinD("ths_adjustment_nv_fund",Y$3,$A937))</x:f>
        <x:v>#NAME?</x:v>
      </x:c>
      <x:c r="Z937" s="146" t="e">
        <x:f>IF($A937="","",[1]!thsiFinD("ths_adjustment_nv_fund",Z$3,$A937))</x:f>
        <x:v>#NAME?</x:v>
      </x:c>
      <x:c r="AA937" s="146" t="e">
        <x:f>IF($A937="","",[1]!thsiFinD("ths_adjustment_nv_fund",AA$3,$A937))</x:f>
        <x:v>#NAME?</x:v>
      </x:c>
    </x:row>
    <x:row r="938">
      <x:c r="B938" s="146" t="e">
        <x:f>IF($A938="","",[1]!thsiFinD("ths_adjustment_nv_fund",B$3,$A938))</x:f>
        <x:v>#NAME?</x:v>
      </x:c>
      <x:c r="C938" s="146" t="e">
        <x:f>IF($A938="","",[1]!thsiFinD("ths_adjustment_nv_fund",C$3,$A938))</x:f>
        <x:v>#NAME?</x:v>
      </x:c>
      <x:c r="D938" s="146" t="e">
        <x:f>IF($A938="","",[1]!thsiFinD("ths_adjustment_nv_fund",D$3,$A938))</x:f>
        <x:v>#NAME?</x:v>
      </x:c>
      <x:c r="E938" s="146" t="e">
        <x:f>IF($A938="","",[1]!thsiFinD("ths_adjustment_nv_fund",E$3,$A938))</x:f>
        <x:v>#NAME?</x:v>
      </x:c>
      <x:c r="F938" s="146" t="e">
        <x:f>IF($A938="","",[1]!thsiFinD("ths_adjustment_nv_fund",F$3,$A938))</x:f>
        <x:v>#NAME?</x:v>
      </x:c>
      <x:c r="G938" s="146" t="e">
        <x:f>IF($A938="","",[1]!thsiFinD("ths_adjustment_nv_fund",G$3,$A938))</x:f>
        <x:v>#NAME?</x:v>
      </x:c>
      <x:c r="H938" s="146" t="e">
        <x:f>IF($A938="","",[1]!thsiFinD("ths_adjustment_nv_fund",H$3,$A938))</x:f>
        <x:v>#NAME?</x:v>
      </x:c>
      <x:c r="I938" s="146" t="e">
        <x:f>IF($A938="","",[1]!thsiFinD("ths_adjustment_nv_fund",I$3,$A938))</x:f>
        <x:v>#NAME?</x:v>
      </x:c>
      <x:c r="J938" s="146" t="e">
        <x:f>IF($A938="","",[1]!thsiFinD("ths_adjustment_nv_fund",J$3,$A938))</x:f>
        <x:v>#NAME?</x:v>
      </x:c>
      <x:c r="K938" s="146" t="e">
        <x:f>IF($A938="","",[1]!thsiFinD("ths_adjustment_nv_fund",K$3,$A938))</x:f>
        <x:v>#NAME?</x:v>
      </x:c>
      <x:c r="L938" s="146" t="e">
        <x:f>IF($A938="","",[1]!thsiFinD("ths_adjustment_nv_fund",L$3,$A938))</x:f>
        <x:v>#NAME?</x:v>
      </x:c>
      <x:c r="M938" s="146" t="e">
        <x:f>IF($A938="","",[1]!thsiFinD("ths_adjustment_nv_fund",M$3,$A938))</x:f>
        <x:v>#NAME?</x:v>
      </x:c>
      <x:c r="N938" s="146" t="e">
        <x:f>IF($A938="","",[1]!thsiFinD("ths_adjustment_nv_fund",N$3,$A938))</x:f>
        <x:v>#NAME?</x:v>
      </x:c>
      <x:c r="O938" s="146" t="e">
        <x:f>IF($A938="","",[1]!thsiFinD("ths_adjustment_nv_fund",O$3,$A938))</x:f>
        <x:v>#NAME?</x:v>
      </x:c>
      <x:c r="P938" s="146" t="e">
        <x:f>IF($A938="","",[1]!thsiFinD("ths_adjustment_nv_fund",P$3,$A938))</x:f>
        <x:v>#NAME?</x:v>
      </x:c>
      <x:c r="Q938" s="146" t="e">
        <x:f>IF($A938="","",[1]!thsiFinD("ths_adjustment_nv_fund",Q$3,$A938))</x:f>
        <x:v>#NAME?</x:v>
      </x:c>
      <x:c r="R938" s="146" t="e">
        <x:f>IF($A938="","",[1]!thsiFinD("ths_adjustment_nv_fund",R$3,$A938))</x:f>
        <x:v>#NAME?</x:v>
      </x:c>
      <x:c r="S938" s="146" t="e">
        <x:f>IF($A938="","",[1]!thsiFinD("ths_adjustment_nv_fund",S$3,$A938))</x:f>
        <x:v>#NAME?</x:v>
      </x:c>
      <x:c r="T938" s="146" t="e">
        <x:f>IF($A938="","",[1]!thsiFinD("ths_adjustment_nv_fund",T$3,$A938))</x:f>
        <x:v>#NAME?</x:v>
      </x:c>
      <x:c r="U938" s="146" t="e">
        <x:f>IF($A938="","",[1]!thsiFinD("ths_adjustment_nv_fund",U$3,$A938))</x:f>
        <x:v>#NAME?</x:v>
      </x:c>
      <x:c r="V938" s="146" t="e">
        <x:f>IF($A938="","",[1]!thsiFinD("ths_adjustment_nv_fund",V$3,$A938))</x:f>
        <x:v>#NAME?</x:v>
      </x:c>
      <x:c r="W938" s="146" t="e">
        <x:f>IF($A938="","",[1]!thsiFinD("ths_adjustment_nv_fund",W$3,$A938))</x:f>
        <x:v>#NAME?</x:v>
      </x:c>
      <x:c r="X938" s="146" t="e">
        <x:f>IF($A938="","",[1]!thsiFinD("ths_adjustment_nv_fund",X$3,$A938))</x:f>
        <x:v>#NAME?</x:v>
      </x:c>
      <x:c r="Y938" s="146" t="e">
        <x:f>IF($A938="","",[1]!thsiFinD("ths_adjustment_nv_fund",Y$3,$A938))</x:f>
        <x:v>#NAME?</x:v>
      </x:c>
      <x:c r="Z938" s="146" t="e">
        <x:f>IF($A938="","",[1]!thsiFinD("ths_adjustment_nv_fund",Z$3,$A938))</x:f>
        <x:v>#NAME?</x:v>
      </x:c>
      <x:c r="AA938" s="146" t="e">
        <x:f>IF($A938="","",[1]!thsiFinD("ths_adjustment_nv_fund",AA$3,$A938))</x:f>
        <x:v>#NAME?</x:v>
      </x:c>
    </x:row>
    <x:row r="939">
      <x:c r="B939" s="146" t="e">
        <x:f>IF($A939="","",[1]!thsiFinD("ths_adjustment_nv_fund",B$3,$A939))</x:f>
        <x:v>#NAME?</x:v>
      </x:c>
      <x:c r="C939" s="146" t="e">
        <x:f>IF($A939="","",[1]!thsiFinD("ths_adjustment_nv_fund",C$3,$A939))</x:f>
        <x:v>#NAME?</x:v>
      </x:c>
      <x:c r="D939" s="146" t="e">
        <x:f>IF($A939="","",[1]!thsiFinD("ths_adjustment_nv_fund",D$3,$A939))</x:f>
        <x:v>#NAME?</x:v>
      </x:c>
      <x:c r="E939" s="146" t="e">
        <x:f>IF($A939="","",[1]!thsiFinD("ths_adjustment_nv_fund",E$3,$A939))</x:f>
        <x:v>#NAME?</x:v>
      </x:c>
      <x:c r="F939" s="146" t="e">
        <x:f>IF($A939="","",[1]!thsiFinD("ths_adjustment_nv_fund",F$3,$A939))</x:f>
        <x:v>#NAME?</x:v>
      </x:c>
      <x:c r="G939" s="146" t="e">
        <x:f>IF($A939="","",[1]!thsiFinD("ths_adjustment_nv_fund",G$3,$A939))</x:f>
        <x:v>#NAME?</x:v>
      </x:c>
      <x:c r="H939" s="146" t="e">
        <x:f>IF($A939="","",[1]!thsiFinD("ths_adjustment_nv_fund",H$3,$A939))</x:f>
        <x:v>#NAME?</x:v>
      </x:c>
      <x:c r="I939" s="146" t="e">
        <x:f>IF($A939="","",[1]!thsiFinD("ths_adjustment_nv_fund",I$3,$A939))</x:f>
        <x:v>#NAME?</x:v>
      </x:c>
      <x:c r="J939" s="146" t="e">
        <x:f>IF($A939="","",[1]!thsiFinD("ths_adjustment_nv_fund",J$3,$A939))</x:f>
        <x:v>#NAME?</x:v>
      </x:c>
      <x:c r="K939" s="146" t="e">
        <x:f>IF($A939="","",[1]!thsiFinD("ths_adjustment_nv_fund",K$3,$A939))</x:f>
        <x:v>#NAME?</x:v>
      </x:c>
      <x:c r="L939" s="146" t="e">
        <x:f>IF($A939="","",[1]!thsiFinD("ths_adjustment_nv_fund",L$3,$A939))</x:f>
        <x:v>#NAME?</x:v>
      </x:c>
      <x:c r="M939" s="146" t="e">
        <x:f>IF($A939="","",[1]!thsiFinD("ths_adjustment_nv_fund",M$3,$A939))</x:f>
        <x:v>#NAME?</x:v>
      </x:c>
      <x:c r="N939" s="146" t="e">
        <x:f>IF($A939="","",[1]!thsiFinD("ths_adjustment_nv_fund",N$3,$A939))</x:f>
        <x:v>#NAME?</x:v>
      </x:c>
      <x:c r="O939" s="146" t="e">
        <x:f>IF($A939="","",[1]!thsiFinD("ths_adjustment_nv_fund",O$3,$A939))</x:f>
        <x:v>#NAME?</x:v>
      </x:c>
      <x:c r="P939" s="146" t="e">
        <x:f>IF($A939="","",[1]!thsiFinD("ths_adjustment_nv_fund",P$3,$A939))</x:f>
        <x:v>#NAME?</x:v>
      </x:c>
      <x:c r="Q939" s="146" t="e">
        <x:f>IF($A939="","",[1]!thsiFinD("ths_adjustment_nv_fund",Q$3,$A939))</x:f>
        <x:v>#NAME?</x:v>
      </x:c>
      <x:c r="R939" s="146" t="e">
        <x:f>IF($A939="","",[1]!thsiFinD("ths_adjustment_nv_fund",R$3,$A939))</x:f>
        <x:v>#NAME?</x:v>
      </x:c>
      <x:c r="S939" s="146" t="e">
        <x:f>IF($A939="","",[1]!thsiFinD("ths_adjustment_nv_fund",S$3,$A939))</x:f>
        <x:v>#NAME?</x:v>
      </x:c>
      <x:c r="T939" s="146" t="e">
        <x:f>IF($A939="","",[1]!thsiFinD("ths_adjustment_nv_fund",T$3,$A939))</x:f>
        <x:v>#NAME?</x:v>
      </x:c>
      <x:c r="U939" s="146" t="e">
        <x:f>IF($A939="","",[1]!thsiFinD("ths_adjustment_nv_fund",U$3,$A939))</x:f>
        <x:v>#NAME?</x:v>
      </x:c>
      <x:c r="V939" s="146" t="e">
        <x:f>IF($A939="","",[1]!thsiFinD("ths_adjustment_nv_fund",V$3,$A939))</x:f>
        <x:v>#NAME?</x:v>
      </x:c>
      <x:c r="W939" s="146" t="e">
        <x:f>IF($A939="","",[1]!thsiFinD("ths_adjustment_nv_fund",W$3,$A939))</x:f>
        <x:v>#NAME?</x:v>
      </x:c>
      <x:c r="X939" s="146" t="e">
        <x:f>IF($A939="","",[1]!thsiFinD("ths_adjustment_nv_fund",X$3,$A939))</x:f>
        <x:v>#NAME?</x:v>
      </x:c>
      <x:c r="Y939" s="146" t="e">
        <x:f>IF($A939="","",[1]!thsiFinD("ths_adjustment_nv_fund",Y$3,$A939))</x:f>
        <x:v>#NAME?</x:v>
      </x:c>
      <x:c r="Z939" s="146" t="e">
        <x:f>IF($A939="","",[1]!thsiFinD("ths_adjustment_nv_fund",Z$3,$A939))</x:f>
        <x:v>#NAME?</x:v>
      </x:c>
      <x:c r="AA939" s="146" t="e">
        <x:f>IF($A939="","",[1]!thsiFinD("ths_adjustment_nv_fund",AA$3,$A939))</x:f>
        <x:v>#NAME?</x:v>
      </x:c>
    </x:row>
    <x:row r="940">
      <x:c r="B940" s="146" t="e">
        <x:f>IF($A940="","",[1]!thsiFinD("ths_adjustment_nv_fund",B$3,$A940))</x:f>
        <x:v>#NAME?</x:v>
      </x:c>
      <x:c r="C940" s="146" t="e">
        <x:f>IF($A940="","",[1]!thsiFinD("ths_adjustment_nv_fund",C$3,$A940))</x:f>
        <x:v>#NAME?</x:v>
      </x:c>
      <x:c r="D940" s="146" t="e">
        <x:f>IF($A940="","",[1]!thsiFinD("ths_adjustment_nv_fund",D$3,$A940))</x:f>
        <x:v>#NAME?</x:v>
      </x:c>
      <x:c r="E940" s="146" t="e">
        <x:f>IF($A940="","",[1]!thsiFinD("ths_adjustment_nv_fund",E$3,$A940))</x:f>
        <x:v>#NAME?</x:v>
      </x:c>
      <x:c r="F940" s="146" t="e">
        <x:f>IF($A940="","",[1]!thsiFinD("ths_adjustment_nv_fund",F$3,$A940))</x:f>
        <x:v>#NAME?</x:v>
      </x:c>
      <x:c r="G940" s="146" t="e">
        <x:f>IF($A940="","",[1]!thsiFinD("ths_adjustment_nv_fund",G$3,$A940))</x:f>
        <x:v>#NAME?</x:v>
      </x:c>
      <x:c r="H940" s="146" t="e">
        <x:f>IF($A940="","",[1]!thsiFinD("ths_adjustment_nv_fund",H$3,$A940))</x:f>
        <x:v>#NAME?</x:v>
      </x:c>
      <x:c r="I940" s="146" t="e">
        <x:f>IF($A940="","",[1]!thsiFinD("ths_adjustment_nv_fund",I$3,$A940))</x:f>
        <x:v>#NAME?</x:v>
      </x:c>
      <x:c r="J940" s="146" t="e">
        <x:f>IF($A940="","",[1]!thsiFinD("ths_adjustment_nv_fund",J$3,$A940))</x:f>
        <x:v>#NAME?</x:v>
      </x:c>
      <x:c r="K940" s="146" t="e">
        <x:f>IF($A940="","",[1]!thsiFinD("ths_adjustment_nv_fund",K$3,$A940))</x:f>
        <x:v>#NAME?</x:v>
      </x:c>
      <x:c r="L940" s="146" t="e">
        <x:f>IF($A940="","",[1]!thsiFinD("ths_adjustment_nv_fund",L$3,$A940))</x:f>
        <x:v>#NAME?</x:v>
      </x:c>
      <x:c r="M940" s="146" t="e">
        <x:f>IF($A940="","",[1]!thsiFinD("ths_adjustment_nv_fund",M$3,$A940))</x:f>
        <x:v>#NAME?</x:v>
      </x:c>
      <x:c r="N940" s="146" t="e">
        <x:f>IF($A940="","",[1]!thsiFinD("ths_adjustment_nv_fund",N$3,$A940))</x:f>
        <x:v>#NAME?</x:v>
      </x:c>
      <x:c r="O940" s="146" t="e">
        <x:f>IF($A940="","",[1]!thsiFinD("ths_adjustment_nv_fund",O$3,$A940))</x:f>
        <x:v>#NAME?</x:v>
      </x:c>
      <x:c r="P940" s="146" t="e">
        <x:f>IF($A940="","",[1]!thsiFinD("ths_adjustment_nv_fund",P$3,$A940))</x:f>
        <x:v>#NAME?</x:v>
      </x:c>
      <x:c r="Q940" s="146" t="e">
        <x:f>IF($A940="","",[1]!thsiFinD("ths_adjustment_nv_fund",Q$3,$A940))</x:f>
        <x:v>#NAME?</x:v>
      </x:c>
      <x:c r="R940" s="146" t="e">
        <x:f>IF($A940="","",[1]!thsiFinD("ths_adjustment_nv_fund",R$3,$A940))</x:f>
        <x:v>#NAME?</x:v>
      </x:c>
      <x:c r="S940" s="146" t="e">
        <x:f>IF($A940="","",[1]!thsiFinD("ths_adjustment_nv_fund",S$3,$A940))</x:f>
        <x:v>#NAME?</x:v>
      </x:c>
      <x:c r="T940" s="146" t="e">
        <x:f>IF($A940="","",[1]!thsiFinD("ths_adjustment_nv_fund",T$3,$A940))</x:f>
        <x:v>#NAME?</x:v>
      </x:c>
      <x:c r="U940" s="146" t="e">
        <x:f>IF($A940="","",[1]!thsiFinD("ths_adjustment_nv_fund",U$3,$A940))</x:f>
        <x:v>#NAME?</x:v>
      </x:c>
      <x:c r="V940" s="146" t="e">
        <x:f>IF($A940="","",[1]!thsiFinD("ths_adjustment_nv_fund",V$3,$A940))</x:f>
        <x:v>#NAME?</x:v>
      </x:c>
      <x:c r="W940" s="146" t="e">
        <x:f>IF($A940="","",[1]!thsiFinD("ths_adjustment_nv_fund",W$3,$A940))</x:f>
        <x:v>#NAME?</x:v>
      </x:c>
      <x:c r="X940" s="146" t="e">
        <x:f>IF($A940="","",[1]!thsiFinD("ths_adjustment_nv_fund",X$3,$A940))</x:f>
        <x:v>#NAME?</x:v>
      </x:c>
      <x:c r="Y940" s="146" t="e">
        <x:f>IF($A940="","",[1]!thsiFinD("ths_adjustment_nv_fund",Y$3,$A940))</x:f>
        <x:v>#NAME?</x:v>
      </x:c>
      <x:c r="Z940" s="146" t="e">
        <x:f>IF($A940="","",[1]!thsiFinD("ths_adjustment_nv_fund",Z$3,$A940))</x:f>
        <x:v>#NAME?</x:v>
      </x:c>
      <x:c r="AA940" s="146" t="e">
        <x:f>IF($A940="","",[1]!thsiFinD("ths_adjustment_nv_fund",AA$3,$A940))</x:f>
        <x:v>#NAME?</x:v>
      </x:c>
    </x:row>
    <x:row r="941">
      <x:c r="B941" s="146" t="e">
        <x:f>IF($A941="","",[1]!thsiFinD("ths_adjustment_nv_fund",B$3,$A941))</x:f>
        <x:v>#NAME?</x:v>
      </x:c>
      <x:c r="C941" s="146" t="e">
        <x:f>IF($A941="","",[1]!thsiFinD("ths_adjustment_nv_fund",C$3,$A941))</x:f>
        <x:v>#NAME?</x:v>
      </x:c>
      <x:c r="D941" s="146" t="e">
        <x:f>IF($A941="","",[1]!thsiFinD("ths_adjustment_nv_fund",D$3,$A941))</x:f>
        <x:v>#NAME?</x:v>
      </x:c>
      <x:c r="E941" s="146" t="e">
        <x:f>IF($A941="","",[1]!thsiFinD("ths_adjustment_nv_fund",E$3,$A941))</x:f>
        <x:v>#NAME?</x:v>
      </x:c>
      <x:c r="F941" s="146" t="e">
        <x:f>IF($A941="","",[1]!thsiFinD("ths_adjustment_nv_fund",F$3,$A941))</x:f>
        <x:v>#NAME?</x:v>
      </x:c>
      <x:c r="G941" s="146" t="e">
        <x:f>IF($A941="","",[1]!thsiFinD("ths_adjustment_nv_fund",G$3,$A941))</x:f>
        <x:v>#NAME?</x:v>
      </x:c>
      <x:c r="H941" s="146" t="e">
        <x:f>IF($A941="","",[1]!thsiFinD("ths_adjustment_nv_fund",H$3,$A941))</x:f>
        <x:v>#NAME?</x:v>
      </x:c>
      <x:c r="I941" s="146" t="e">
        <x:f>IF($A941="","",[1]!thsiFinD("ths_adjustment_nv_fund",I$3,$A941))</x:f>
        <x:v>#NAME?</x:v>
      </x:c>
      <x:c r="J941" s="146" t="e">
        <x:f>IF($A941="","",[1]!thsiFinD("ths_adjustment_nv_fund",J$3,$A941))</x:f>
        <x:v>#NAME?</x:v>
      </x:c>
      <x:c r="K941" s="146" t="e">
        <x:f>IF($A941="","",[1]!thsiFinD("ths_adjustment_nv_fund",K$3,$A941))</x:f>
        <x:v>#NAME?</x:v>
      </x:c>
      <x:c r="L941" s="146" t="e">
        <x:f>IF($A941="","",[1]!thsiFinD("ths_adjustment_nv_fund",L$3,$A941))</x:f>
        <x:v>#NAME?</x:v>
      </x:c>
      <x:c r="M941" s="146" t="e">
        <x:f>IF($A941="","",[1]!thsiFinD("ths_adjustment_nv_fund",M$3,$A941))</x:f>
        <x:v>#NAME?</x:v>
      </x:c>
      <x:c r="N941" s="146" t="e">
        <x:f>IF($A941="","",[1]!thsiFinD("ths_adjustment_nv_fund",N$3,$A941))</x:f>
        <x:v>#NAME?</x:v>
      </x:c>
      <x:c r="O941" s="146" t="e">
        <x:f>IF($A941="","",[1]!thsiFinD("ths_adjustment_nv_fund",O$3,$A941))</x:f>
        <x:v>#NAME?</x:v>
      </x:c>
      <x:c r="P941" s="146" t="e">
        <x:f>IF($A941="","",[1]!thsiFinD("ths_adjustment_nv_fund",P$3,$A941))</x:f>
        <x:v>#NAME?</x:v>
      </x:c>
      <x:c r="Q941" s="146" t="e">
        <x:f>IF($A941="","",[1]!thsiFinD("ths_adjustment_nv_fund",Q$3,$A941))</x:f>
        <x:v>#NAME?</x:v>
      </x:c>
      <x:c r="R941" s="146" t="e">
        <x:f>IF($A941="","",[1]!thsiFinD("ths_adjustment_nv_fund",R$3,$A941))</x:f>
        <x:v>#NAME?</x:v>
      </x:c>
      <x:c r="S941" s="146" t="e">
        <x:f>IF($A941="","",[1]!thsiFinD("ths_adjustment_nv_fund",S$3,$A941))</x:f>
        <x:v>#NAME?</x:v>
      </x:c>
      <x:c r="T941" s="146" t="e">
        <x:f>IF($A941="","",[1]!thsiFinD("ths_adjustment_nv_fund",T$3,$A941))</x:f>
        <x:v>#NAME?</x:v>
      </x:c>
      <x:c r="U941" s="146" t="e">
        <x:f>IF($A941="","",[1]!thsiFinD("ths_adjustment_nv_fund",U$3,$A941))</x:f>
        <x:v>#NAME?</x:v>
      </x:c>
      <x:c r="V941" s="146" t="e">
        <x:f>IF($A941="","",[1]!thsiFinD("ths_adjustment_nv_fund",V$3,$A941))</x:f>
        <x:v>#NAME?</x:v>
      </x:c>
      <x:c r="W941" s="146" t="e">
        <x:f>IF($A941="","",[1]!thsiFinD("ths_adjustment_nv_fund",W$3,$A941))</x:f>
        <x:v>#NAME?</x:v>
      </x:c>
      <x:c r="X941" s="146" t="e">
        <x:f>IF($A941="","",[1]!thsiFinD("ths_adjustment_nv_fund",X$3,$A941))</x:f>
        <x:v>#NAME?</x:v>
      </x:c>
      <x:c r="Y941" s="146" t="e">
        <x:f>IF($A941="","",[1]!thsiFinD("ths_adjustment_nv_fund",Y$3,$A941))</x:f>
        <x:v>#NAME?</x:v>
      </x:c>
      <x:c r="Z941" s="146" t="e">
        <x:f>IF($A941="","",[1]!thsiFinD("ths_adjustment_nv_fund",Z$3,$A941))</x:f>
        <x:v>#NAME?</x:v>
      </x:c>
      <x:c r="AA941" s="146" t="e">
        <x:f>IF($A941="","",[1]!thsiFinD("ths_adjustment_nv_fund",AA$3,$A941))</x:f>
        <x:v>#NAME?</x:v>
      </x:c>
    </x:row>
    <x:row r="942">
      <x:c r="B942" s="146" t="e">
        <x:f>IF($A942="","",[1]!thsiFinD("ths_adjustment_nv_fund",B$3,$A942))</x:f>
        <x:v>#NAME?</x:v>
      </x:c>
      <x:c r="C942" s="146" t="e">
        <x:f>IF($A942="","",[1]!thsiFinD("ths_adjustment_nv_fund",C$3,$A942))</x:f>
        <x:v>#NAME?</x:v>
      </x:c>
      <x:c r="D942" s="146" t="e">
        <x:f>IF($A942="","",[1]!thsiFinD("ths_adjustment_nv_fund",D$3,$A942))</x:f>
        <x:v>#NAME?</x:v>
      </x:c>
      <x:c r="E942" s="146" t="e">
        <x:f>IF($A942="","",[1]!thsiFinD("ths_adjustment_nv_fund",E$3,$A942))</x:f>
        <x:v>#NAME?</x:v>
      </x:c>
      <x:c r="F942" s="146" t="e">
        <x:f>IF($A942="","",[1]!thsiFinD("ths_adjustment_nv_fund",F$3,$A942))</x:f>
        <x:v>#NAME?</x:v>
      </x:c>
      <x:c r="G942" s="146" t="e">
        <x:f>IF($A942="","",[1]!thsiFinD("ths_adjustment_nv_fund",G$3,$A942))</x:f>
        <x:v>#NAME?</x:v>
      </x:c>
      <x:c r="H942" s="146" t="e">
        <x:f>IF($A942="","",[1]!thsiFinD("ths_adjustment_nv_fund",H$3,$A942))</x:f>
        <x:v>#NAME?</x:v>
      </x:c>
      <x:c r="I942" s="146" t="e">
        <x:f>IF($A942="","",[1]!thsiFinD("ths_adjustment_nv_fund",I$3,$A942))</x:f>
        <x:v>#NAME?</x:v>
      </x:c>
      <x:c r="J942" s="146" t="e">
        <x:f>IF($A942="","",[1]!thsiFinD("ths_adjustment_nv_fund",J$3,$A942))</x:f>
        <x:v>#NAME?</x:v>
      </x:c>
      <x:c r="K942" s="146" t="e">
        <x:f>IF($A942="","",[1]!thsiFinD("ths_adjustment_nv_fund",K$3,$A942))</x:f>
        <x:v>#NAME?</x:v>
      </x:c>
      <x:c r="L942" s="146" t="e">
        <x:f>IF($A942="","",[1]!thsiFinD("ths_adjustment_nv_fund",L$3,$A942))</x:f>
        <x:v>#NAME?</x:v>
      </x:c>
      <x:c r="M942" s="146" t="e">
        <x:f>IF($A942="","",[1]!thsiFinD("ths_adjustment_nv_fund",M$3,$A942))</x:f>
        <x:v>#NAME?</x:v>
      </x:c>
      <x:c r="N942" s="146" t="e">
        <x:f>IF($A942="","",[1]!thsiFinD("ths_adjustment_nv_fund",N$3,$A942))</x:f>
        <x:v>#NAME?</x:v>
      </x:c>
      <x:c r="O942" s="146" t="e">
        <x:f>IF($A942="","",[1]!thsiFinD("ths_adjustment_nv_fund",O$3,$A942))</x:f>
        <x:v>#NAME?</x:v>
      </x:c>
      <x:c r="P942" s="146" t="e">
        <x:f>IF($A942="","",[1]!thsiFinD("ths_adjustment_nv_fund",P$3,$A942))</x:f>
        <x:v>#NAME?</x:v>
      </x:c>
      <x:c r="Q942" s="146" t="e">
        <x:f>IF($A942="","",[1]!thsiFinD("ths_adjustment_nv_fund",Q$3,$A942))</x:f>
        <x:v>#NAME?</x:v>
      </x:c>
      <x:c r="R942" s="146" t="e">
        <x:f>IF($A942="","",[1]!thsiFinD("ths_adjustment_nv_fund",R$3,$A942))</x:f>
        <x:v>#NAME?</x:v>
      </x:c>
      <x:c r="S942" s="146" t="e">
        <x:f>IF($A942="","",[1]!thsiFinD("ths_adjustment_nv_fund",S$3,$A942))</x:f>
        <x:v>#NAME?</x:v>
      </x:c>
      <x:c r="T942" s="146" t="e">
        <x:f>IF($A942="","",[1]!thsiFinD("ths_adjustment_nv_fund",T$3,$A942))</x:f>
        <x:v>#NAME?</x:v>
      </x:c>
      <x:c r="U942" s="146" t="e">
        <x:f>IF($A942="","",[1]!thsiFinD("ths_adjustment_nv_fund",U$3,$A942))</x:f>
        <x:v>#NAME?</x:v>
      </x:c>
      <x:c r="V942" s="146" t="e">
        <x:f>IF($A942="","",[1]!thsiFinD("ths_adjustment_nv_fund",V$3,$A942))</x:f>
        <x:v>#NAME?</x:v>
      </x:c>
      <x:c r="W942" s="146" t="e">
        <x:f>IF($A942="","",[1]!thsiFinD("ths_adjustment_nv_fund",W$3,$A942))</x:f>
        <x:v>#NAME?</x:v>
      </x:c>
      <x:c r="X942" s="146" t="e">
        <x:f>IF($A942="","",[1]!thsiFinD("ths_adjustment_nv_fund",X$3,$A942))</x:f>
        <x:v>#NAME?</x:v>
      </x:c>
      <x:c r="Y942" s="146" t="e">
        <x:f>IF($A942="","",[1]!thsiFinD("ths_adjustment_nv_fund",Y$3,$A942))</x:f>
        <x:v>#NAME?</x:v>
      </x:c>
      <x:c r="Z942" s="146" t="e">
        <x:f>IF($A942="","",[1]!thsiFinD("ths_adjustment_nv_fund",Z$3,$A942))</x:f>
        <x:v>#NAME?</x:v>
      </x:c>
      <x:c r="AA942" s="146" t="e">
        <x:f>IF($A942="","",[1]!thsiFinD("ths_adjustment_nv_fund",AA$3,$A942))</x:f>
        <x:v>#NAME?</x:v>
      </x:c>
    </x:row>
    <x:row r="943">
      <x:c r="B943" s="146" t="e">
        <x:f>IF($A943="","",[1]!thsiFinD("ths_adjustment_nv_fund",B$3,$A943))</x:f>
        <x:v>#NAME?</x:v>
      </x:c>
      <x:c r="C943" s="146" t="e">
        <x:f>IF($A943="","",[1]!thsiFinD("ths_adjustment_nv_fund",C$3,$A943))</x:f>
        <x:v>#NAME?</x:v>
      </x:c>
      <x:c r="D943" s="146" t="e">
        <x:f>IF($A943="","",[1]!thsiFinD("ths_adjustment_nv_fund",D$3,$A943))</x:f>
        <x:v>#NAME?</x:v>
      </x:c>
      <x:c r="E943" s="146" t="e">
        <x:f>IF($A943="","",[1]!thsiFinD("ths_adjustment_nv_fund",E$3,$A943))</x:f>
        <x:v>#NAME?</x:v>
      </x:c>
      <x:c r="F943" s="146" t="e">
        <x:f>IF($A943="","",[1]!thsiFinD("ths_adjustment_nv_fund",F$3,$A943))</x:f>
        <x:v>#NAME?</x:v>
      </x:c>
      <x:c r="G943" s="146" t="e">
        <x:f>IF($A943="","",[1]!thsiFinD("ths_adjustment_nv_fund",G$3,$A943))</x:f>
        <x:v>#NAME?</x:v>
      </x:c>
      <x:c r="H943" s="146" t="e">
        <x:f>IF($A943="","",[1]!thsiFinD("ths_adjustment_nv_fund",H$3,$A943))</x:f>
        <x:v>#NAME?</x:v>
      </x:c>
      <x:c r="I943" s="146" t="e">
        <x:f>IF($A943="","",[1]!thsiFinD("ths_adjustment_nv_fund",I$3,$A943))</x:f>
        <x:v>#NAME?</x:v>
      </x:c>
      <x:c r="J943" s="146" t="e">
        <x:f>IF($A943="","",[1]!thsiFinD("ths_adjustment_nv_fund",J$3,$A943))</x:f>
        <x:v>#NAME?</x:v>
      </x:c>
      <x:c r="K943" s="146" t="e">
        <x:f>IF($A943="","",[1]!thsiFinD("ths_adjustment_nv_fund",K$3,$A943))</x:f>
        <x:v>#NAME?</x:v>
      </x:c>
      <x:c r="L943" s="146" t="e">
        <x:f>IF($A943="","",[1]!thsiFinD("ths_adjustment_nv_fund",L$3,$A943))</x:f>
        <x:v>#NAME?</x:v>
      </x:c>
      <x:c r="M943" s="146" t="e">
        <x:f>IF($A943="","",[1]!thsiFinD("ths_adjustment_nv_fund",M$3,$A943))</x:f>
        <x:v>#NAME?</x:v>
      </x:c>
      <x:c r="N943" s="146" t="e">
        <x:f>IF($A943="","",[1]!thsiFinD("ths_adjustment_nv_fund",N$3,$A943))</x:f>
        <x:v>#NAME?</x:v>
      </x:c>
      <x:c r="O943" s="146" t="e">
        <x:f>IF($A943="","",[1]!thsiFinD("ths_adjustment_nv_fund",O$3,$A943))</x:f>
        <x:v>#NAME?</x:v>
      </x:c>
      <x:c r="P943" s="146" t="e">
        <x:f>IF($A943="","",[1]!thsiFinD("ths_adjustment_nv_fund",P$3,$A943))</x:f>
        <x:v>#NAME?</x:v>
      </x:c>
      <x:c r="Q943" s="146" t="e">
        <x:f>IF($A943="","",[1]!thsiFinD("ths_adjustment_nv_fund",Q$3,$A943))</x:f>
        <x:v>#NAME?</x:v>
      </x:c>
      <x:c r="R943" s="146" t="e">
        <x:f>IF($A943="","",[1]!thsiFinD("ths_adjustment_nv_fund",R$3,$A943))</x:f>
        <x:v>#NAME?</x:v>
      </x:c>
      <x:c r="S943" s="146" t="e">
        <x:f>IF($A943="","",[1]!thsiFinD("ths_adjustment_nv_fund",S$3,$A943))</x:f>
        <x:v>#NAME?</x:v>
      </x:c>
      <x:c r="T943" s="146" t="e">
        <x:f>IF($A943="","",[1]!thsiFinD("ths_adjustment_nv_fund",T$3,$A943))</x:f>
        <x:v>#NAME?</x:v>
      </x:c>
      <x:c r="U943" s="146" t="e">
        <x:f>IF($A943="","",[1]!thsiFinD("ths_adjustment_nv_fund",U$3,$A943))</x:f>
        <x:v>#NAME?</x:v>
      </x:c>
      <x:c r="V943" s="146" t="e">
        <x:f>IF($A943="","",[1]!thsiFinD("ths_adjustment_nv_fund",V$3,$A943))</x:f>
        <x:v>#NAME?</x:v>
      </x:c>
      <x:c r="W943" s="146" t="e">
        <x:f>IF($A943="","",[1]!thsiFinD("ths_adjustment_nv_fund",W$3,$A943))</x:f>
        <x:v>#NAME?</x:v>
      </x:c>
      <x:c r="X943" s="146" t="e">
        <x:f>IF($A943="","",[1]!thsiFinD("ths_adjustment_nv_fund",X$3,$A943))</x:f>
        <x:v>#NAME?</x:v>
      </x:c>
      <x:c r="Y943" s="146" t="e">
        <x:f>IF($A943="","",[1]!thsiFinD("ths_adjustment_nv_fund",Y$3,$A943))</x:f>
        <x:v>#NAME?</x:v>
      </x:c>
      <x:c r="Z943" s="146" t="e">
        <x:f>IF($A943="","",[1]!thsiFinD("ths_adjustment_nv_fund",Z$3,$A943))</x:f>
        <x:v>#NAME?</x:v>
      </x:c>
      <x:c r="AA943" s="146" t="e">
        <x:f>IF($A943="","",[1]!thsiFinD("ths_adjustment_nv_fund",AA$3,$A943))</x:f>
        <x:v>#NAME?</x:v>
      </x:c>
    </x:row>
    <x:row r="944">
      <x:c r="B944" s="146" t="e">
        <x:f>IF($A944="","",[1]!thsiFinD("ths_adjustment_nv_fund",B$3,$A944))</x:f>
        <x:v>#NAME?</x:v>
      </x:c>
      <x:c r="C944" s="146" t="e">
        <x:f>IF($A944="","",[1]!thsiFinD("ths_adjustment_nv_fund",C$3,$A944))</x:f>
        <x:v>#NAME?</x:v>
      </x:c>
      <x:c r="D944" s="146" t="e">
        <x:f>IF($A944="","",[1]!thsiFinD("ths_adjustment_nv_fund",D$3,$A944))</x:f>
        <x:v>#NAME?</x:v>
      </x:c>
      <x:c r="E944" s="146" t="e">
        <x:f>IF($A944="","",[1]!thsiFinD("ths_adjustment_nv_fund",E$3,$A944))</x:f>
        <x:v>#NAME?</x:v>
      </x:c>
      <x:c r="F944" s="146" t="e">
        <x:f>IF($A944="","",[1]!thsiFinD("ths_adjustment_nv_fund",F$3,$A944))</x:f>
        <x:v>#NAME?</x:v>
      </x:c>
      <x:c r="G944" s="146" t="e">
        <x:f>IF($A944="","",[1]!thsiFinD("ths_adjustment_nv_fund",G$3,$A944))</x:f>
        <x:v>#NAME?</x:v>
      </x:c>
      <x:c r="H944" s="146" t="e">
        <x:f>IF($A944="","",[1]!thsiFinD("ths_adjustment_nv_fund",H$3,$A944))</x:f>
        <x:v>#NAME?</x:v>
      </x:c>
      <x:c r="I944" s="146" t="e">
        <x:f>IF($A944="","",[1]!thsiFinD("ths_adjustment_nv_fund",I$3,$A944))</x:f>
        <x:v>#NAME?</x:v>
      </x:c>
      <x:c r="J944" s="146" t="e">
        <x:f>IF($A944="","",[1]!thsiFinD("ths_adjustment_nv_fund",J$3,$A944))</x:f>
        <x:v>#NAME?</x:v>
      </x:c>
      <x:c r="K944" s="146" t="e">
        <x:f>IF($A944="","",[1]!thsiFinD("ths_adjustment_nv_fund",K$3,$A944))</x:f>
        <x:v>#NAME?</x:v>
      </x:c>
      <x:c r="L944" s="146" t="e">
        <x:f>IF($A944="","",[1]!thsiFinD("ths_adjustment_nv_fund",L$3,$A944))</x:f>
        <x:v>#NAME?</x:v>
      </x:c>
      <x:c r="M944" s="146" t="e">
        <x:f>IF($A944="","",[1]!thsiFinD("ths_adjustment_nv_fund",M$3,$A944))</x:f>
        <x:v>#NAME?</x:v>
      </x:c>
      <x:c r="N944" s="146" t="e">
        <x:f>IF($A944="","",[1]!thsiFinD("ths_adjustment_nv_fund",N$3,$A944))</x:f>
        <x:v>#NAME?</x:v>
      </x:c>
      <x:c r="O944" s="146" t="e">
        <x:f>IF($A944="","",[1]!thsiFinD("ths_adjustment_nv_fund",O$3,$A944))</x:f>
        <x:v>#NAME?</x:v>
      </x:c>
      <x:c r="P944" s="146" t="e">
        <x:f>IF($A944="","",[1]!thsiFinD("ths_adjustment_nv_fund",P$3,$A944))</x:f>
        <x:v>#NAME?</x:v>
      </x:c>
      <x:c r="Q944" s="146" t="e">
        <x:f>IF($A944="","",[1]!thsiFinD("ths_adjustment_nv_fund",Q$3,$A944))</x:f>
        <x:v>#NAME?</x:v>
      </x:c>
      <x:c r="R944" s="146" t="e">
        <x:f>IF($A944="","",[1]!thsiFinD("ths_adjustment_nv_fund",R$3,$A944))</x:f>
        <x:v>#NAME?</x:v>
      </x:c>
      <x:c r="S944" s="146" t="e">
        <x:f>IF($A944="","",[1]!thsiFinD("ths_adjustment_nv_fund",S$3,$A944))</x:f>
        <x:v>#NAME?</x:v>
      </x:c>
      <x:c r="T944" s="146" t="e">
        <x:f>IF($A944="","",[1]!thsiFinD("ths_adjustment_nv_fund",T$3,$A944))</x:f>
        <x:v>#NAME?</x:v>
      </x:c>
      <x:c r="U944" s="146" t="e">
        <x:f>IF($A944="","",[1]!thsiFinD("ths_adjustment_nv_fund",U$3,$A944))</x:f>
        <x:v>#NAME?</x:v>
      </x:c>
      <x:c r="V944" s="146" t="e">
        <x:f>IF($A944="","",[1]!thsiFinD("ths_adjustment_nv_fund",V$3,$A944))</x:f>
        <x:v>#NAME?</x:v>
      </x:c>
      <x:c r="W944" s="146" t="e">
        <x:f>IF($A944="","",[1]!thsiFinD("ths_adjustment_nv_fund",W$3,$A944))</x:f>
        <x:v>#NAME?</x:v>
      </x:c>
      <x:c r="X944" s="146" t="e">
        <x:f>IF($A944="","",[1]!thsiFinD("ths_adjustment_nv_fund",X$3,$A944))</x:f>
        <x:v>#NAME?</x:v>
      </x:c>
      <x:c r="Y944" s="146" t="e">
        <x:f>IF($A944="","",[1]!thsiFinD("ths_adjustment_nv_fund",Y$3,$A944))</x:f>
        <x:v>#NAME?</x:v>
      </x:c>
      <x:c r="Z944" s="146" t="e">
        <x:f>IF($A944="","",[1]!thsiFinD("ths_adjustment_nv_fund",Z$3,$A944))</x:f>
        <x:v>#NAME?</x:v>
      </x:c>
      <x:c r="AA944" s="146" t="e">
        <x:f>IF($A944="","",[1]!thsiFinD("ths_adjustment_nv_fund",AA$3,$A944))</x:f>
        <x:v>#NAME?</x:v>
      </x:c>
    </x:row>
    <x:row r="945">
      <x:c r="B945" s="146" t="e">
        <x:f>IF($A945="","",[1]!thsiFinD("ths_adjustment_nv_fund",B$3,$A945))</x:f>
        <x:v>#NAME?</x:v>
      </x:c>
      <x:c r="C945" s="146" t="e">
        <x:f>IF($A945="","",[1]!thsiFinD("ths_adjustment_nv_fund",C$3,$A945))</x:f>
        <x:v>#NAME?</x:v>
      </x:c>
      <x:c r="D945" s="146" t="e">
        <x:f>IF($A945="","",[1]!thsiFinD("ths_adjustment_nv_fund",D$3,$A945))</x:f>
        <x:v>#NAME?</x:v>
      </x:c>
      <x:c r="E945" s="146" t="e">
        <x:f>IF($A945="","",[1]!thsiFinD("ths_adjustment_nv_fund",E$3,$A945))</x:f>
        <x:v>#NAME?</x:v>
      </x:c>
      <x:c r="F945" s="146" t="e">
        <x:f>IF($A945="","",[1]!thsiFinD("ths_adjustment_nv_fund",F$3,$A945))</x:f>
        <x:v>#NAME?</x:v>
      </x:c>
      <x:c r="G945" s="146" t="e">
        <x:f>IF($A945="","",[1]!thsiFinD("ths_adjustment_nv_fund",G$3,$A945))</x:f>
        <x:v>#NAME?</x:v>
      </x:c>
      <x:c r="H945" s="146" t="e">
        <x:f>IF($A945="","",[1]!thsiFinD("ths_adjustment_nv_fund",H$3,$A945))</x:f>
        <x:v>#NAME?</x:v>
      </x:c>
      <x:c r="I945" s="146" t="e">
        <x:f>IF($A945="","",[1]!thsiFinD("ths_adjustment_nv_fund",I$3,$A945))</x:f>
        <x:v>#NAME?</x:v>
      </x:c>
      <x:c r="J945" s="146" t="e">
        <x:f>IF($A945="","",[1]!thsiFinD("ths_adjustment_nv_fund",J$3,$A945))</x:f>
        <x:v>#NAME?</x:v>
      </x:c>
      <x:c r="K945" s="146" t="e">
        <x:f>IF($A945="","",[1]!thsiFinD("ths_adjustment_nv_fund",K$3,$A945))</x:f>
        <x:v>#NAME?</x:v>
      </x:c>
      <x:c r="L945" s="146" t="e">
        <x:f>IF($A945="","",[1]!thsiFinD("ths_adjustment_nv_fund",L$3,$A945))</x:f>
        <x:v>#NAME?</x:v>
      </x:c>
      <x:c r="M945" s="146" t="e">
        <x:f>IF($A945="","",[1]!thsiFinD("ths_adjustment_nv_fund",M$3,$A945))</x:f>
        <x:v>#NAME?</x:v>
      </x:c>
      <x:c r="N945" s="146" t="e">
        <x:f>IF($A945="","",[1]!thsiFinD("ths_adjustment_nv_fund",N$3,$A945))</x:f>
        <x:v>#NAME?</x:v>
      </x:c>
      <x:c r="O945" s="146" t="e">
        <x:f>IF($A945="","",[1]!thsiFinD("ths_adjustment_nv_fund",O$3,$A945))</x:f>
        <x:v>#NAME?</x:v>
      </x:c>
      <x:c r="P945" s="146" t="e">
        <x:f>IF($A945="","",[1]!thsiFinD("ths_adjustment_nv_fund",P$3,$A945))</x:f>
        <x:v>#NAME?</x:v>
      </x:c>
      <x:c r="Q945" s="146" t="e">
        <x:f>IF($A945="","",[1]!thsiFinD("ths_adjustment_nv_fund",Q$3,$A945))</x:f>
        <x:v>#NAME?</x:v>
      </x:c>
      <x:c r="R945" s="146" t="e">
        <x:f>IF($A945="","",[1]!thsiFinD("ths_adjustment_nv_fund",R$3,$A945))</x:f>
        <x:v>#NAME?</x:v>
      </x:c>
      <x:c r="S945" s="146" t="e">
        <x:f>IF($A945="","",[1]!thsiFinD("ths_adjustment_nv_fund",S$3,$A945))</x:f>
        <x:v>#NAME?</x:v>
      </x:c>
      <x:c r="T945" s="146" t="e">
        <x:f>IF($A945="","",[1]!thsiFinD("ths_adjustment_nv_fund",T$3,$A945))</x:f>
        <x:v>#NAME?</x:v>
      </x:c>
      <x:c r="U945" s="146" t="e">
        <x:f>IF($A945="","",[1]!thsiFinD("ths_adjustment_nv_fund",U$3,$A945))</x:f>
        <x:v>#NAME?</x:v>
      </x:c>
      <x:c r="V945" s="146" t="e">
        <x:f>IF($A945="","",[1]!thsiFinD("ths_adjustment_nv_fund",V$3,$A945))</x:f>
        <x:v>#NAME?</x:v>
      </x:c>
      <x:c r="W945" s="146" t="e">
        <x:f>IF($A945="","",[1]!thsiFinD("ths_adjustment_nv_fund",W$3,$A945))</x:f>
        <x:v>#NAME?</x:v>
      </x:c>
      <x:c r="X945" s="146" t="e">
        <x:f>IF($A945="","",[1]!thsiFinD("ths_adjustment_nv_fund",X$3,$A945))</x:f>
        <x:v>#NAME?</x:v>
      </x:c>
      <x:c r="Y945" s="146" t="e">
        <x:f>IF($A945="","",[1]!thsiFinD("ths_adjustment_nv_fund",Y$3,$A945))</x:f>
        <x:v>#NAME?</x:v>
      </x:c>
      <x:c r="Z945" s="146" t="e">
        <x:f>IF($A945="","",[1]!thsiFinD("ths_adjustment_nv_fund",Z$3,$A945))</x:f>
        <x:v>#NAME?</x:v>
      </x:c>
      <x:c r="AA945" s="146" t="e">
        <x:f>IF($A945="","",[1]!thsiFinD("ths_adjustment_nv_fund",AA$3,$A945))</x:f>
        <x:v>#NAME?</x:v>
      </x:c>
    </x:row>
    <x:row r="946">
      <x:c r="B946" s="146" t="e">
        <x:f>IF($A946="","",[1]!thsiFinD("ths_adjustment_nv_fund",B$3,$A946))</x:f>
        <x:v>#NAME?</x:v>
      </x:c>
      <x:c r="C946" s="146" t="e">
        <x:f>IF($A946="","",[1]!thsiFinD("ths_adjustment_nv_fund",C$3,$A946))</x:f>
        <x:v>#NAME?</x:v>
      </x:c>
      <x:c r="D946" s="146" t="e">
        <x:f>IF($A946="","",[1]!thsiFinD("ths_adjustment_nv_fund",D$3,$A946))</x:f>
        <x:v>#NAME?</x:v>
      </x:c>
      <x:c r="E946" s="146" t="e">
        <x:f>IF($A946="","",[1]!thsiFinD("ths_adjustment_nv_fund",E$3,$A946))</x:f>
        <x:v>#NAME?</x:v>
      </x:c>
      <x:c r="F946" s="146" t="e">
        <x:f>IF($A946="","",[1]!thsiFinD("ths_adjustment_nv_fund",F$3,$A946))</x:f>
        <x:v>#NAME?</x:v>
      </x:c>
      <x:c r="G946" s="146" t="e">
        <x:f>IF($A946="","",[1]!thsiFinD("ths_adjustment_nv_fund",G$3,$A946))</x:f>
        <x:v>#NAME?</x:v>
      </x:c>
      <x:c r="H946" s="146" t="e">
        <x:f>IF($A946="","",[1]!thsiFinD("ths_adjustment_nv_fund",H$3,$A946))</x:f>
        <x:v>#NAME?</x:v>
      </x:c>
      <x:c r="I946" s="146" t="e">
        <x:f>IF($A946="","",[1]!thsiFinD("ths_adjustment_nv_fund",I$3,$A946))</x:f>
        <x:v>#NAME?</x:v>
      </x:c>
      <x:c r="J946" s="146" t="e">
        <x:f>IF($A946="","",[1]!thsiFinD("ths_adjustment_nv_fund",J$3,$A946))</x:f>
        <x:v>#NAME?</x:v>
      </x:c>
      <x:c r="K946" s="146" t="e">
        <x:f>IF($A946="","",[1]!thsiFinD("ths_adjustment_nv_fund",K$3,$A946))</x:f>
        <x:v>#NAME?</x:v>
      </x:c>
      <x:c r="L946" s="146" t="e">
        <x:f>IF($A946="","",[1]!thsiFinD("ths_adjustment_nv_fund",L$3,$A946))</x:f>
        <x:v>#NAME?</x:v>
      </x:c>
      <x:c r="M946" s="146" t="e">
        <x:f>IF($A946="","",[1]!thsiFinD("ths_adjustment_nv_fund",M$3,$A946))</x:f>
        <x:v>#NAME?</x:v>
      </x:c>
      <x:c r="N946" s="146" t="e">
        <x:f>IF($A946="","",[1]!thsiFinD("ths_adjustment_nv_fund",N$3,$A946))</x:f>
        <x:v>#NAME?</x:v>
      </x:c>
      <x:c r="O946" s="146" t="e">
        <x:f>IF($A946="","",[1]!thsiFinD("ths_adjustment_nv_fund",O$3,$A946))</x:f>
        <x:v>#NAME?</x:v>
      </x:c>
      <x:c r="P946" s="146" t="e">
        <x:f>IF($A946="","",[1]!thsiFinD("ths_adjustment_nv_fund",P$3,$A946))</x:f>
        <x:v>#NAME?</x:v>
      </x:c>
      <x:c r="Q946" s="146" t="e">
        <x:f>IF($A946="","",[1]!thsiFinD("ths_adjustment_nv_fund",Q$3,$A946))</x:f>
        <x:v>#NAME?</x:v>
      </x:c>
      <x:c r="R946" s="146" t="e">
        <x:f>IF($A946="","",[1]!thsiFinD("ths_adjustment_nv_fund",R$3,$A946))</x:f>
        <x:v>#NAME?</x:v>
      </x:c>
      <x:c r="S946" s="146" t="e">
        <x:f>IF($A946="","",[1]!thsiFinD("ths_adjustment_nv_fund",S$3,$A946))</x:f>
        <x:v>#NAME?</x:v>
      </x:c>
      <x:c r="T946" s="146" t="e">
        <x:f>IF($A946="","",[1]!thsiFinD("ths_adjustment_nv_fund",T$3,$A946))</x:f>
        <x:v>#NAME?</x:v>
      </x:c>
      <x:c r="U946" s="146" t="e">
        <x:f>IF($A946="","",[1]!thsiFinD("ths_adjustment_nv_fund",U$3,$A946))</x:f>
        <x:v>#NAME?</x:v>
      </x:c>
      <x:c r="V946" s="146" t="e">
        <x:f>IF($A946="","",[1]!thsiFinD("ths_adjustment_nv_fund",V$3,$A946))</x:f>
        <x:v>#NAME?</x:v>
      </x:c>
      <x:c r="W946" s="146" t="e">
        <x:f>IF($A946="","",[1]!thsiFinD("ths_adjustment_nv_fund",W$3,$A946))</x:f>
        <x:v>#NAME?</x:v>
      </x:c>
      <x:c r="X946" s="146" t="e">
        <x:f>IF($A946="","",[1]!thsiFinD("ths_adjustment_nv_fund",X$3,$A946))</x:f>
        <x:v>#NAME?</x:v>
      </x:c>
      <x:c r="Y946" s="146" t="e">
        <x:f>IF($A946="","",[1]!thsiFinD("ths_adjustment_nv_fund",Y$3,$A946))</x:f>
        <x:v>#NAME?</x:v>
      </x:c>
      <x:c r="Z946" s="146" t="e">
        <x:f>IF($A946="","",[1]!thsiFinD("ths_adjustment_nv_fund",Z$3,$A946))</x:f>
        <x:v>#NAME?</x:v>
      </x:c>
      <x:c r="AA946" s="146" t="e">
        <x:f>IF($A946="","",[1]!thsiFinD("ths_adjustment_nv_fund",AA$3,$A946))</x:f>
        <x:v>#NAME?</x:v>
      </x:c>
    </x:row>
    <x:row r="947">
      <x:c r="B947" s="146" t="e">
        <x:f>IF($A947="","",[1]!thsiFinD("ths_adjustment_nv_fund",B$3,$A947))</x:f>
        <x:v>#NAME?</x:v>
      </x:c>
      <x:c r="C947" s="146" t="e">
        <x:f>IF($A947="","",[1]!thsiFinD("ths_adjustment_nv_fund",C$3,$A947))</x:f>
        <x:v>#NAME?</x:v>
      </x:c>
      <x:c r="D947" s="146" t="e">
        <x:f>IF($A947="","",[1]!thsiFinD("ths_adjustment_nv_fund",D$3,$A947))</x:f>
        <x:v>#NAME?</x:v>
      </x:c>
      <x:c r="E947" s="146" t="e">
        <x:f>IF($A947="","",[1]!thsiFinD("ths_adjustment_nv_fund",E$3,$A947))</x:f>
        <x:v>#NAME?</x:v>
      </x:c>
      <x:c r="F947" s="146" t="e">
        <x:f>IF($A947="","",[1]!thsiFinD("ths_adjustment_nv_fund",F$3,$A947))</x:f>
        <x:v>#NAME?</x:v>
      </x:c>
      <x:c r="G947" s="146" t="e">
        <x:f>IF($A947="","",[1]!thsiFinD("ths_adjustment_nv_fund",G$3,$A947))</x:f>
        <x:v>#NAME?</x:v>
      </x:c>
      <x:c r="H947" s="146" t="e">
        <x:f>IF($A947="","",[1]!thsiFinD("ths_adjustment_nv_fund",H$3,$A947))</x:f>
        <x:v>#NAME?</x:v>
      </x:c>
      <x:c r="I947" s="146" t="e">
        <x:f>IF($A947="","",[1]!thsiFinD("ths_adjustment_nv_fund",I$3,$A947))</x:f>
        <x:v>#NAME?</x:v>
      </x:c>
      <x:c r="J947" s="146" t="e">
        <x:f>IF($A947="","",[1]!thsiFinD("ths_adjustment_nv_fund",J$3,$A947))</x:f>
        <x:v>#NAME?</x:v>
      </x:c>
      <x:c r="K947" s="146" t="e">
        <x:f>IF($A947="","",[1]!thsiFinD("ths_adjustment_nv_fund",K$3,$A947))</x:f>
        <x:v>#NAME?</x:v>
      </x:c>
      <x:c r="L947" s="146" t="e">
        <x:f>IF($A947="","",[1]!thsiFinD("ths_adjustment_nv_fund",L$3,$A947))</x:f>
        <x:v>#NAME?</x:v>
      </x:c>
      <x:c r="M947" s="146" t="e">
        <x:f>IF($A947="","",[1]!thsiFinD("ths_adjustment_nv_fund",M$3,$A947))</x:f>
        <x:v>#NAME?</x:v>
      </x:c>
      <x:c r="N947" s="146" t="e">
        <x:f>IF($A947="","",[1]!thsiFinD("ths_adjustment_nv_fund",N$3,$A947))</x:f>
        <x:v>#NAME?</x:v>
      </x:c>
      <x:c r="O947" s="146" t="e">
        <x:f>IF($A947="","",[1]!thsiFinD("ths_adjustment_nv_fund",O$3,$A947))</x:f>
        <x:v>#NAME?</x:v>
      </x:c>
      <x:c r="P947" s="146" t="e">
        <x:f>IF($A947="","",[1]!thsiFinD("ths_adjustment_nv_fund",P$3,$A947))</x:f>
        <x:v>#NAME?</x:v>
      </x:c>
      <x:c r="Q947" s="146" t="e">
        <x:f>IF($A947="","",[1]!thsiFinD("ths_adjustment_nv_fund",Q$3,$A947))</x:f>
        <x:v>#NAME?</x:v>
      </x:c>
      <x:c r="R947" s="146" t="e">
        <x:f>IF($A947="","",[1]!thsiFinD("ths_adjustment_nv_fund",R$3,$A947))</x:f>
        <x:v>#NAME?</x:v>
      </x:c>
      <x:c r="S947" s="146" t="e">
        <x:f>IF($A947="","",[1]!thsiFinD("ths_adjustment_nv_fund",S$3,$A947))</x:f>
        <x:v>#NAME?</x:v>
      </x:c>
      <x:c r="T947" s="146" t="e">
        <x:f>IF($A947="","",[1]!thsiFinD("ths_adjustment_nv_fund",T$3,$A947))</x:f>
        <x:v>#NAME?</x:v>
      </x:c>
      <x:c r="U947" s="146" t="e">
        <x:f>IF($A947="","",[1]!thsiFinD("ths_adjustment_nv_fund",U$3,$A947))</x:f>
        <x:v>#NAME?</x:v>
      </x:c>
      <x:c r="V947" s="146" t="e">
        <x:f>IF($A947="","",[1]!thsiFinD("ths_adjustment_nv_fund",V$3,$A947))</x:f>
        <x:v>#NAME?</x:v>
      </x:c>
      <x:c r="W947" s="146" t="e">
        <x:f>IF($A947="","",[1]!thsiFinD("ths_adjustment_nv_fund",W$3,$A947))</x:f>
        <x:v>#NAME?</x:v>
      </x:c>
      <x:c r="X947" s="146" t="e">
        <x:f>IF($A947="","",[1]!thsiFinD("ths_adjustment_nv_fund",X$3,$A947))</x:f>
        <x:v>#NAME?</x:v>
      </x:c>
      <x:c r="Y947" s="146" t="e">
        <x:f>IF($A947="","",[1]!thsiFinD("ths_adjustment_nv_fund",Y$3,$A947))</x:f>
        <x:v>#NAME?</x:v>
      </x:c>
      <x:c r="Z947" s="146" t="e">
        <x:f>IF($A947="","",[1]!thsiFinD("ths_adjustment_nv_fund",Z$3,$A947))</x:f>
        <x:v>#NAME?</x:v>
      </x:c>
      <x:c r="AA947" s="146" t="e">
        <x:f>IF($A947="","",[1]!thsiFinD("ths_adjustment_nv_fund",AA$3,$A947))</x:f>
        <x:v>#NAME?</x:v>
      </x:c>
    </x:row>
    <x:row r="948">
      <x:c r="B948" s="146" t="e">
        <x:f>IF($A948="","",[1]!thsiFinD("ths_adjustment_nv_fund",B$3,$A948))</x:f>
        <x:v>#NAME?</x:v>
      </x:c>
      <x:c r="C948" s="146" t="e">
        <x:f>IF($A948="","",[1]!thsiFinD("ths_adjustment_nv_fund",C$3,$A948))</x:f>
        <x:v>#NAME?</x:v>
      </x:c>
      <x:c r="D948" s="146" t="e">
        <x:f>IF($A948="","",[1]!thsiFinD("ths_adjustment_nv_fund",D$3,$A948))</x:f>
        <x:v>#NAME?</x:v>
      </x:c>
      <x:c r="E948" s="146" t="e">
        <x:f>IF($A948="","",[1]!thsiFinD("ths_adjustment_nv_fund",E$3,$A948))</x:f>
        <x:v>#NAME?</x:v>
      </x:c>
      <x:c r="F948" s="146" t="e">
        <x:f>IF($A948="","",[1]!thsiFinD("ths_adjustment_nv_fund",F$3,$A948))</x:f>
        <x:v>#NAME?</x:v>
      </x:c>
      <x:c r="G948" s="146" t="e">
        <x:f>IF($A948="","",[1]!thsiFinD("ths_adjustment_nv_fund",G$3,$A948))</x:f>
        <x:v>#NAME?</x:v>
      </x:c>
      <x:c r="H948" s="146" t="e">
        <x:f>IF($A948="","",[1]!thsiFinD("ths_adjustment_nv_fund",H$3,$A948))</x:f>
        <x:v>#NAME?</x:v>
      </x:c>
      <x:c r="I948" s="146" t="e">
        <x:f>IF($A948="","",[1]!thsiFinD("ths_adjustment_nv_fund",I$3,$A948))</x:f>
        <x:v>#NAME?</x:v>
      </x:c>
      <x:c r="J948" s="146" t="e">
        <x:f>IF($A948="","",[1]!thsiFinD("ths_adjustment_nv_fund",J$3,$A948))</x:f>
        <x:v>#NAME?</x:v>
      </x:c>
      <x:c r="K948" s="146" t="e">
        <x:f>IF($A948="","",[1]!thsiFinD("ths_adjustment_nv_fund",K$3,$A948))</x:f>
        <x:v>#NAME?</x:v>
      </x:c>
      <x:c r="L948" s="146" t="e">
        <x:f>IF($A948="","",[1]!thsiFinD("ths_adjustment_nv_fund",L$3,$A948))</x:f>
        <x:v>#NAME?</x:v>
      </x:c>
      <x:c r="M948" s="146" t="e">
        <x:f>IF($A948="","",[1]!thsiFinD("ths_adjustment_nv_fund",M$3,$A948))</x:f>
        <x:v>#NAME?</x:v>
      </x:c>
      <x:c r="N948" s="146" t="e">
        <x:f>IF($A948="","",[1]!thsiFinD("ths_adjustment_nv_fund",N$3,$A948))</x:f>
        <x:v>#NAME?</x:v>
      </x:c>
      <x:c r="O948" s="146" t="e">
        <x:f>IF($A948="","",[1]!thsiFinD("ths_adjustment_nv_fund",O$3,$A948))</x:f>
        <x:v>#NAME?</x:v>
      </x:c>
      <x:c r="P948" s="146" t="e">
        <x:f>IF($A948="","",[1]!thsiFinD("ths_adjustment_nv_fund",P$3,$A948))</x:f>
        <x:v>#NAME?</x:v>
      </x:c>
      <x:c r="Q948" s="146" t="e">
        <x:f>IF($A948="","",[1]!thsiFinD("ths_adjustment_nv_fund",Q$3,$A948))</x:f>
        <x:v>#NAME?</x:v>
      </x:c>
      <x:c r="R948" s="146" t="e">
        <x:f>IF($A948="","",[1]!thsiFinD("ths_adjustment_nv_fund",R$3,$A948))</x:f>
        <x:v>#NAME?</x:v>
      </x:c>
      <x:c r="S948" s="146" t="e">
        <x:f>IF($A948="","",[1]!thsiFinD("ths_adjustment_nv_fund",S$3,$A948))</x:f>
        <x:v>#NAME?</x:v>
      </x:c>
      <x:c r="T948" s="146" t="e">
        <x:f>IF($A948="","",[1]!thsiFinD("ths_adjustment_nv_fund",T$3,$A948))</x:f>
        <x:v>#NAME?</x:v>
      </x:c>
      <x:c r="U948" s="146" t="e">
        <x:f>IF($A948="","",[1]!thsiFinD("ths_adjustment_nv_fund",U$3,$A948))</x:f>
        <x:v>#NAME?</x:v>
      </x:c>
      <x:c r="V948" s="146" t="e">
        <x:f>IF($A948="","",[1]!thsiFinD("ths_adjustment_nv_fund",V$3,$A948))</x:f>
        <x:v>#NAME?</x:v>
      </x:c>
      <x:c r="W948" s="146" t="e">
        <x:f>IF($A948="","",[1]!thsiFinD("ths_adjustment_nv_fund",W$3,$A948))</x:f>
        <x:v>#NAME?</x:v>
      </x:c>
      <x:c r="X948" s="146" t="e">
        <x:f>IF($A948="","",[1]!thsiFinD("ths_adjustment_nv_fund",X$3,$A948))</x:f>
        <x:v>#NAME?</x:v>
      </x:c>
      <x:c r="Y948" s="146" t="e">
        <x:f>IF($A948="","",[1]!thsiFinD("ths_adjustment_nv_fund",Y$3,$A948))</x:f>
        <x:v>#NAME?</x:v>
      </x:c>
      <x:c r="Z948" s="146" t="e">
        <x:f>IF($A948="","",[1]!thsiFinD("ths_adjustment_nv_fund",Z$3,$A948))</x:f>
        <x:v>#NAME?</x:v>
      </x:c>
      <x:c r="AA948" s="146" t="e">
        <x:f>IF($A948="","",[1]!thsiFinD("ths_adjustment_nv_fund",AA$3,$A948))</x:f>
        <x:v>#NAME?</x:v>
      </x:c>
    </x:row>
    <x:row r="949">
      <x:c r="B949" s="146" t="e">
        <x:f>IF($A949="","",[1]!thsiFinD("ths_adjustment_nv_fund",B$3,$A949))</x:f>
        <x:v>#NAME?</x:v>
      </x:c>
      <x:c r="C949" s="146" t="e">
        <x:f>IF($A949="","",[1]!thsiFinD("ths_adjustment_nv_fund",C$3,$A949))</x:f>
        <x:v>#NAME?</x:v>
      </x:c>
      <x:c r="D949" s="146" t="e">
        <x:f>IF($A949="","",[1]!thsiFinD("ths_adjustment_nv_fund",D$3,$A949))</x:f>
        <x:v>#NAME?</x:v>
      </x:c>
      <x:c r="E949" s="146" t="e">
        <x:f>IF($A949="","",[1]!thsiFinD("ths_adjustment_nv_fund",E$3,$A949))</x:f>
        <x:v>#NAME?</x:v>
      </x:c>
      <x:c r="F949" s="146" t="e">
        <x:f>IF($A949="","",[1]!thsiFinD("ths_adjustment_nv_fund",F$3,$A949))</x:f>
        <x:v>#NAME?</x:v>
      </x:c>
      <x:c r="G949" s="146" t="e">
        <x:f>IF($A949="","",[1]!thsiFinD("ths_adjustment_nv_fund",G$3,$A949))</x:f>
        <x:v>#NAME?</x:v>
      </x:c>
      <x:c r="H949" s="146" t="e">
        <x:f>IF($A949="","",[1]!thsiFinD("ths_adjustment_nv_fund",H$3,$A949))</x:f>
        <x:v>#NAME?</x:v>
      </x:c>
      <x:c r="I949" s="146" t="e">
        <x:f>IF($A949="","",[1]!thsiFinD("ths_adjustment_nv_fund",I$3,$A949))</x:f>
        <x:v>#NAME?</x:v>
      </x:c>
      <x:c r="J949" s="146" t="e">
        <x:f>IF($A949="","",[1]!thsiFinD("ths_adjustment_nv_fund",J$3,$A949))</x:f>
        <x:v>#NAME?</x:v>
      </x:c>
      <x:c r="K949" s="146" t="e">
        <x:f>IF($A949="","",[1]!thsiFinD("ths_adjustment_nv_fund",K$3,$A949))</x:f>
        <x:v>#NAME?</x:v>
      </x:c>
      <x:c r="L949" s="146" t="e">
        <x:f>IF($A949="","",[1]!thsiFinD("ths_adjustment_nv_fund",L$3,$A949))</x:f>
        <x:v>#NAME?</x:v>
      </x:c>
      <x:c r="M949" s="146" t="e">
        <x:f>IF($A949="","",[1]!thsiFinD("ths_adjustment_nv_fund",M$3,$A949))</x:f>
        <x:v>#NAME?</x:v>
      </x:c>
      <x:c r="N949" s="146" t="e">
        <x:f>IF($A949="","",[1]!thsiFinD("ths_adjustment_nv_fund",N$3,$A949))</x:f>
        <x:v>#NAME?</x:v>
      </x:c>
      <x:c r="O949" s="146" t="e">
        <x:f>IF($A949="","",[1]!thsiFinD("ths_adjustment_nv_fund",O$3,$A949))</x:f>
        <x:v>#NAME?</x:v>
      </x:c>
      <x:c r="P949" s="146" t="e">
        <x:f>IF($A949="","",[1]!thsiFinD("ths_adjustment_nv_fund",P$3,$A949))</x:f>
        <x:v>#NAME?</x:v>
      </x:c>
      <x:c r="Q949" s="146" t="e">
        <x:f>IF($A949="","",[1]!thsiFinD("ths_adjustment_nv_fund",Q$3,$A949))</x:f>
        <x:v>#NAME?</x:v>
      </x:c>
      <x:c r="R949" s="146" t="e">
        <x:f>IF($A949="","",[1]!thsiFinD("ths_adjustment_nv_fund",R$3,$A949))</x:f>
        <x:v>#NAME?</x:v>
      </x:c>
      <x:c r="S949" s="146" t="e">
        <x:f>IF($A949="","",[1]!thsiFinD("ths_adjustment_nv_fund",S$3,$A949))</x:f>
        <x:v>#NAME?</x:v>
      </x:c>
      <x:c r="T949" s="146" t="e">
        <x:f>IF($A949="","",[1]!thsiFinD("ths_adjustment_nv_fund",T$3,$A949))</x:f>
        <x:v>#NAME?</x:v>
      </x:c>
      <x:c r="U949" s="146" t="e">
        <x:f>IF($A949="","",[1]!thsiFinD("ths_adjustment_nv_fund",U$3,$A949))</x:f>
        <x:v>#NAME?</x:v>
      </x:c>
      <x:c r="V949" s="146" t="e">
        <x:f>IF($A949="","",[1]!thsiFinD("ths_adjustment_nv_fund",V$3,$A949))</x:f>
        <x:v>#NAME?</x:v>
      </x:c>
      <x:c r="W949" s="146" t="e">
        <x:f>IF($A949="","",[1]!thsiFinD("ths_adjustment_nv_fund",W$3,$A949))</x:f>
        <x:v>#NAME?</x:v>
      </x:c>
      <x:c r="X949" s="146" t="e">
        <x:f>IF($A949="","",[1]!thsiFinD("ths_adjustment_nv_fund",X$3,$A949))</x:f>
        <x:v>#NAME?</x:v>
      </x:c>
      <x:c r="Y949" s="146" t="e">
        <x:f>IF($A949="","",[1]!thsiFinD("ths_adjustment_nv_fund",Y$3,$A949))</x:f>
        <x:v>#NAME?</x:v>
      </x:c>
      <x:c r="Z949" s="146" t="e">
        <x:f>IF($A949="","",[1]!thsiFinD("ths_adjustment_nv_fund",Z$3,$A949))</x:f>
        <x:v>#NAME?</x:v>
      </x:c>
      <x:c r="AA949" s="146" t="e">
        <x:f>IF($A949="","",[1]!thsiFinD("ths_adjustment_nv_fund",AA$3,$A949))</x:f>
        <x:v>#NAME?</x:v>
      </x:c>
    </x:row>
    <x:row r="950">
      <x:c r="B950" s="146" t="e">
        <x:f>IF($A950="","",[1]!thsiFinD("ths_adjustment_nv_fund",B$3,$A950))</x:f>
        <x:v>#NAME?</x:v>
      </x:c>
      <x:c r="C950" s="146" t="e">
        <x:f>IF($A950="","",[1]!thsiFinD("ths_adjustment_nv_fund",C$3,$A950))</x:f>
        <x:v>#NAME?</x:v>
      </x:c>
      <x:c r="D950" s="146" t="e">
        <x:f>IF($A950="","",[1]!thsiFinD("ths_adjustment_nv_fund",D$3,$A950))</x:f>
        <x:v>#NAME?</x:v>
      </x:c>
      <x:c r="E950" s="146" t="e">
        <x:f>IF($A950="","",[1]!thsiFinD("ths_adjustment_nv_fund",E$3,$A950))</x:f>
        <x:v>#NAME?</x:v>
      </x:c>
      <x:c r="F950" s="146" t="e">
        <x:f>IF($A950="","",[1]!thsiFinD("ths_adjustment_nv_fund",F$3,$A950))</x:f>
        <x:v>#NAME?</x:v>
      </x:c>
      <x:c r="G950" s="146" t="e">
        <x:f>IF($A950="","",[1]!thsiFinD("ths_adjustment_nv_fund",G$3,$A950))</x:f>
        <x:v>#NAME?</x:v>
      </x:c>
      <x:c r="H950" s="146" t="e">
        <x:f>IF($A950="","",[1]!thsiFinD("ths_adjustment_nv_fund",H$3,$A950))</x:f>
        <x:v>#NAME?</x:v>
      </x:c>
      <x:c r="I950" s="146" t="e">
        <x:f>IF($A950="","",[1]!thsiFinD("ths_adjustment_nv_fund",I$3,$A950))</x:f>
        <x:v>#NAME?</x:v>
      </x:c>
      <x:c r="J950" s="146" t="e">
        <x:f>IF($A950="","",[1]!thsiFinD("ths_adjustment_nv_fund",J$3,$A950))</x:f>
        <x:v>#NAME?</x:v>
      </x:c>
      <x:c r="K950" s="146" t="e">
        <x:f>IF($A950="","",[1]!thsiFinD("ths_adjustment_nv_fund",K$3,$A950))</x:f>
        <x:v>#NAME?</x:v>
      </x:c>
      <x:c r="L950" s="146" t="e">
        <x:f>IF($A950="","",[1]!thsiFinD("ths_adjustment_nv_fund",L$3,$A950))</x:f>
        <x:v>#NAME?</x:v>
      </x:c>
      <x:c r="M950" s="146" t="e">
        <x:f>IF($A950="","",[1]!thsiFinD("ths_adjustment_nv_fund",M$3,$A950))</x:f>
        <x:v>#NAME?</x:v>
      </x:c>
      <x:c r="N950" s="146" t="e">
        <x:f>IF($A950="","",[1]!thsiFinD("ths_adjustment_nv_fund",N$3,$A950))</x:f>
        <x:v>#NAME?</x:v>
      </x:c>
      <x:c r="O950" s="146" t="e">
        <x:f>IF($A950="","",[1]!thsiFinD("ths_adjustment_nv_fund",O$3,$A950))</x:f>
        <x:v>#NAME?</x:v>
      </x:c>
      <x:c r="P950" s="146" t="e">
        <x:f>IF($A950="","",[1]!thsiFinD("ths_adjustment_nv_fund",P$3,$A950))</x:f>
        <x:v>#NAME?</x:v>
      </x:c>
      <x:c r="Q950" s="146" t="e">
        <x:f>IF($A950="","",[1]!thsiFinD("ths_adjustment_nv_fund",Q$3,$A950))</x:f>
        <x:v>#NAME?</x:v>
      </x:c>
      <x:c r="R950" s="146" t="e">
        <x:f>IF($A950="","",[1]!thsiFinD("ths_adjustment_nv_fund",R$3,$A950))</x:f>
        <x:v>#NAME?</x:v>
      </x:c>
      <x:c r="S950" s="146" t="e">
        <x:f>IF($A950="","",[1]!thsiFinD("ths_adjustment_nv_fund",S$3,$A950))</x:f>
        <x:v>#NAME?</x:v>
      </x:c>
      <x:c r="T950" s="146" t="e">
        <x:f>IF($A950="","",[1]!thsiFinD("ths_adjustment_nv_fund",T$3,$A950))</x:f>
        <x:v>#NAME?</x:v>
      </x:c>
      <x:c r="U950" s="146" t="e">
        <x:f>IF($A950="","",[1]!thsiFinD("ths_adjustment_nv_fund",U$3,$A950))</x:f>
        <x:v>#NAME?</x:v>
      </x:c>
      <x:c r="V950" s="146" t="e">
        <x:f>IF($A950="","",[1]!thsiFinD("ths_adjustment_nv_fund",V$3,$A950))</x:f>
        <x:v>#NAME?</x:v>
      </x:c>
      <x:c r="W950" s="146" t="e">
        <x:f>IF($A950="","",[1]!thsiFinD("ths_adjustment_nv_fund",W$3,$A950))</x:f>
        <x:v>#NAME?</x:v>
      </x:c>
      <x:c r="X950" s="146" t="e">
        <x:f>IF($A950="","",[1]!thsiFinD("ths_adjustment_nv_fund",X$3,$A950))</x:f>
        <x:v>#NAME?</x:v>
      </x:c>
      <x:c r="Y950" s="146" t="e">
        <x:f>IF($A950="","",[1]!thsiFinD("ths_adjustment_nv_fund",Y$3,$A950))</x:f>
        <x:v>#NAME?</x:v>
      </x:c>
      <x:c r="Z950" s="146" t="e">
        <x:f>IF($A950="","",[1]!thsiFinD("ths_adjustment_nv_fund",Z$3,$A950))</x:f>
        <x:v>#NAME?</x:v>
      </x:c>
      <x:c r="AA950" s="146" t="e">
        <x:f>IF($A950="","",[1]!thsiFinD("ths_adjustment_nv_fund",AA$3,$A950))</x:f>
        <x:v>#NAME?</x:v>
      </x:c>
    </x:row>
    <x:row r="951">
      <x:c r="B951" s="146" t="e">
        <x:f>IF($A951="","",[1]!thsiFinD("ths_adjustment_nv_fund",B$3,$A951))</x:f>
        <x:v>#NAME?</x:v>
      </x:c>
      <x:c r="C951" s="146" t="e">
        <x:f>IF($A951="","",[1]!thsiFinD("ths_adjustment_nv_fund",C$3,$A951))</x:f>
        <x:v>#NAME?</x:v>
      </x:c>
      <x:c r="D951" s="146" t="e">
        <x:f>IF($A951="","",[1]!thsiFinD("ths_adjustment_nv_fund",D$3,$A951))</x:f>
        <x:v>#NAME?</x:v>
      </x:c>
      <x:c r="E951" s="146" t="e">
        <x:f>IF($A951="","",[1]!thsiFinD("ths_adjustment_nv_fund",E$3,$A951))</x:f>
        <x:v>#NAME?</x:v>
      </x:c>
      <x:c r="F951" s="146" t="e">
        <x:f>IF($A951="","",[1]!thsiFinD("ths_adjustment_nv_fund",F$3,$A951))</x:f>
        <x:v>#NAME?</x:v>
      </x:c>
      <x:c r="G951" s="146" t="e">
        <x:f>IF($A951="","",[1]!thsiFinD("ths_adjustment_nv_fund",G$3,$A951))</x:f>
        <x:v>#NAME?</x:v>
      </x:c>
      <x:c r="H951" s="146" t="e">
        <x:f>IF($A951="","",[1]!thsiFinD("ths_adjustment_nv_fund",H$3,$A951))</x:f>
        <x:v>#NAME?</x:v>
      </x:c>
      <x:c r="I951" s="146" t="e">
        <x:f>IF($A951="","",[1]!thsiFinD("ths_adjustment_nv_fund",I$3,$A951))</x:f>
        <x:v>#NAME?</x:v>
      </x:c>
      <x:c r="J951" s="146" t="e">
        <x:f>IF($A951="","",[1]!thsiFinD("ths_adjustment_nv_fund",J$3,$A951))</x:f>
        <x:v>#NAME?</x:v>
      </x:c>
      <x:c r="K951" s="146" t="e">
        <x:f>IF($A951="","",[1]!thsiFinD("ths_adjustment_nv_fund",K$3,$A951))</x:f>
        <x:v>#NAME?</x:v>
      </x:c>
      <x:c r="L951" s="146" t="e">
        <x:f>IF($A951="","",[1]!thsiFinD("ths_adjustment_nv_fund",L$3,$A951))</x:f>
        <x:v>#NAME?</x:v>
      </x:c>
      <x:c r="M951" s="146" t="e">
        <x:f>IF($A951="","",[1]!thsiFinD("ths_adjustment_nv_fund",M$3,$A951))</x:f>
        <x:v>#NAME?</x:v>
      </x:c>
      <x:c r="N951" s="146" t="e">
        <x:f>IF($A951="","",[1]!thsiFinD("ths_adjustment_nv_fund",N$3,$A951))</x:f>
        <x:v>#NAME?</x:v>
      </x:c>
      <x:c r="O951" s="146" t="e">
        <x:f>IF($A951="","",[1]!thsiFinD("ths_adjustment_nv_fund",O$3,$A951))</x:f>
        <x:v>#NAME?</x:v>
      </x:c>
      <x:c r="P951" s="146" t="e">
        <x:f>IF($A951="","",[1]!thsiFinD("ths_adjustment_nv_fund",P$3,$A951))</x:f>
        <x:v>#NAME?</x:v>
      </x:c>
      <x:c r="Q951" s="146" t="e">
        <x:f>IF($A951="","",[1]!thsiFinD("ths_adjustment_nv_fund",Q$3,$A951))</x:f>
        <x:v>#NAME?</x:v>
      </x:c>
      <x:c r="R951" s="146" t="e">
        <x:f>IF($A951="","",[1]!thsiFinD("ths_adjustment_nv_fund",R$3,$A951))</x:f>
        <x:v>#NAME?</x:v>
      </x:c>
      <x:c r="S951" s="146" t="e">
        <x:f>IF($A951="","",[1]!thsiFinD("ths_adjustment_nv_fund",S$3,$A951))</x:f>
        <x:v>#NAME?</x:v>
      </x:c>
      <x:c r="T951" s="146" t="e">
        <x:f>IF($A951="","",[1]!thsiFinD("ths_adjustment_nv_fund",T$3,$A951))</x:f>
        <x:v>#NAME?</x:v>
      </x:c>
      <x:c r="U951" s="146" t="e">
        <x:f>IF($A951="","",[1]!thsiFinD("ths_adjustment_nv_fund",U$3,$A951))</x:f>
        <x:v>#NAME?</x:v>
      </x:c>
      <x:c r="V951" s="146" t="e">
        <x:f>IF($A951="","",[1]!thsiFinD("ths_adjustment_nv_fund",V$3,$A951))</x:f>
        <x:v>#NAME?</x:v>
      </x:c>
      <x:c r="W951" s="146" t="e">
        <x:f>IF($A951="","",[1]!thsiFinD("ths_adjustment_nv_fund",W$3,$A951))</x:f>
        <x:v>#NAME?</x:v>
      </x:c>
      <x:c r="X951" s="146" t="e">
        <x:f>IF($A951="","",[1]!thsiFinD("ths_adjustment_nv_fund",X$3,$A951))</x:f>
        <x:v>#NAME?</x:v>
      </x:c>
      <x:c r="Y951" s="146" t="e">
        <x:f>IF($A951="","",[1]!thsiFinD("ths_adjustment_nv_fund",Y$3,$A951))</x:f>
        <x:v>#NAME?</x:v>
      </x:c>
      <x:c r="Z951" s="146" t="e">
        <x:f>IF($A951="","",[1]!thsiFinD("ths_adjustment_nv_fund",Z$3,$A951))</x:f>
        <x:v>#NAME?</x:v>
      </x:c>
      <x:c r="AA951" s="146" t="e">
        <x:f>IF($A951="","",[1]!thsiFinD("ths_adjustment_nv_fund",AA$3,$A951))</x:f>
        <x:v>#NAME?</x:v>
      </x:c>
    </x:row>
    <x:row r="952">
      <x:c r="B952" s="146" t="e">
        <x:f>IF($A952="","",[1]!thsiFinD("ths_adjustment_nv_fund",B$3,$A952))</x:f>
        <x:v>#NAME?</x:v>
      </x:c>
      <x:c r="C952" s="146" t="e">
        <x:f>IF($A952="","",[1]!thsiFinD("ths_adjustment_nv_fund",C$3,$A952))</x:f>
        <x:v>#NAME?</x:v>
      </x:c>
      <x:c r="D952" s="146" t="e">
        <x:f>IF($A952="","",[1]!thsiFinD("ths_adjustment_nv_fund",D$3,$A952))</x:f>
        <x:v>#NAME?</x:v>
      </x:c>
      <x:c r="E952" s="146" t="e">
        <x:f>IF($A952="","",[1]!thsiFinD("ths_adjustment_nv_fund",E$3,$A952))</x:f>
        <x:v>#NAME?</x:v>
      </x:c>
      <x:c r="F952" s="146" t="e">
        <x:f>IF($A952="","",[1]!thsiFinD("ths_adjustment_nv_fund",F$3,$A952))</x:f>
        <x:v>#NAME?</x:v>
      </x:c>
      <x:c r="G952" s="146" t="e">
        <x:f>IF($A952="","",[1]!thsiFinD("ths_adjustment_nv_fund",G$3,$A952))</x:f>
        <x:v>#NAME?</x:v>
      </x:c>
      <x:c r="H952" s="146" t="e">
        <x:f>IF($A952="","",[1]!thsiFinD("ths_adjustment_nv_fund",H$3,$A952))</x:f>
        <x:v>#NAME?</x:v>
      </x:c>
      <x:c r="I952" s="146" t="e">
        <x:f>IF($A952="","",[1]!thsiFinD("ths_adjustment_nv_fund",I$3,$A952))</x:f>
        <x:v>#NAME?</x:v>
      </x:c>
      <x:c r="J952" s="146" t="e">
        <x:f>IF($A952="","",[1]!thsiFinD("ths_adjustment_nv_fund",J$3,$A952))</x:f>
        <x:v>#NAME?</x:v>
      </x:c>
      <x:c r="K952" s="146" t="e">
        <x:f>IF($A952="","",[1]!thsiFinD("ths_adjustment_nv_fund",K$3,$A952))</x:f>
        <x:v>#NAME?</x:v>
      </x:c>
      <x:c r="L952" s="146" t="e">
        <x:f>IF($A952="","",[1]!thsiFinD("ths_adjustment_nv_fund",L$3,$A952))</x:f>
        <x:v>#NAME?</x:v>
      </x:c>
      <x:c r="M952" s="146" t="e">
        <x:f>IF($A952="","",[1]!thsiFinD("ths_adjustment_nv_fund",M$3,$A952))</x:f>
        <x:v>#NAME?</x:v>
      </x:c>
      <x:c r="N952" s="146" t="e">
        <x:f>IF($A952="","",[1]!thsiFinD("ths_adjustment_nv_fund",N$3,$A952))</x:f>
        <x:v>#NAME?</x:v>
      </x:c>
      <x:c r="O952" s="146" t="e">
        <x:f>IF($A952="","",[1]!thsiFinD("ths_adjustment_nv_fund",O$3,$A952))</x:f>
        <x:v>#NAME?</x:v>
      </x:c>
      <x:c r="P952" s="146" t="e">
        <x:f>IF($A952="","",[1]!thsiFinD("ths_adjustment_nv_fund",P$3,$A952))</x:f>
        <x:v>#NAME?</x:v>
      </x:c>
      <x:c r="Q952" s="146" t="e">
        <x:f>IF($A952="","",[1]!thsiFinD("ths_adjustment_nv_fund",Q$3,$A952))</x:f>
        <x:v>#NAME?</x:v>
      </x:c>
      <x:c r="R952" s="146" t="e">
        <x:f>IF($A952="","",[1]!thsiFinD("ths_adjustment_nv_fund",R$3,$A952))</x:f>
        <x:v>#NAME?</x:v>
      </x:c>
      <x:c r="S952" s="146" t="e">
        <x:f>IF($A952="","",[1]!thsiFinD("ths_adjustment_nv_fund",S$3,$A952))</x:f>
        <x:v>#NAME?</x:v>
      </x:c>
      <x:c r="T952" s="146" t="e">
        <x:f>IF($A952="","",[1]!thsiFinD("ths_adjustment_nv_fund",T$3,$A952))</x:f>
        <x:v>#NAME?</x:v>
      </x:c>
      <x:c r="U952" s="146" t="e">
        <x:f>IF($A952="","",[1]!thsiFinD("ths_adjustment_nv_fund",U$3,$A952))</x:f>
        <x:v>#NAME?</x:v>
      </x:c>
      <x:c r="V952" s="146" t="e">
        <x:f>IF($A952="","",[1]!thsiFinD("ths_adjustment_nv_fund",V$3,$A952))</x:f>
        <x:v>#NAME?</x:v>
      </x:c>
      <x:c r="W952" s="146" t="e">
        <x:f>IF($A952="","",[1]!thsiFinD("ths_adjustment_nv_fund",W$3,$A952))</x:f>
        <x:v>#NAME?</x:v>
      </x:c>
      <x:c r="X952" s="146" t="e">
        <x:f>IF($A952="","",[1]!thsiFinD("ths_adjustment_nv_fund",X$3,$A952))</x:f>
        <x:v>#NAME?</x:v>
      </x:c>
      <x:c r="Y952" s="146" t="e">
        <x:f>IF($A952="","",[1]!thsiFinD("ths_adjustment_nv_fund",Y$3,$A952))</x:f>
        <x:v>#NAME?</x:v>
      </x:c>
      <x:c r="Z952" s="146" t="e">
        <x:f>IF($A952="","",[1]!thsiFinD("ths_adjustment_nv_fund",Z$3,$A952))</x:f>
        <x:v>#NAME?</x:v>
      </x:c>
      <x:c r="AA952" s="146" t="e">
        <x:f>IF($A952="","",[1]!thsiFinD("ths_adjustment_nv_fund",AA$3,$A952))</x:f>
        <x:v>#NAME?</x:v>
      </x:c>
    </x:row>
    <x:row r="953">
      <x:c r="B953" s="146" t="e">
        <x:f>IF($A953="","",[1]!thsiFinD("ths_adjustment_nv_fund",B$3,$A953))</x:f>
        <x:v>#NAME?</x:v>
      </x:c>
      <x:c r="C953" s="146" t="e">
        <x:f>IF($A953="","",[1]!thsiFinD("ths_adjustment_nv_fund",C$3,$A953))</x:f>
        <x:v>#NAME?</x:v>
      </x:c>
      <x:c r="D953" s="146" t="e">
        <x:f>IF($A953="","",[1]!thsiFinD("ths_adjustment_nv_fund",D$3,$A953))</x:f>
        <x:v>#NAME?</x:v>
      </x:c>
      <x:c r="E953" s="146" t="e">
        <x:f>IF($A953="","",[1]!thsiFinD("ths_adjustment_nv_fund",E$3,$A953))</x:f>
        <x:v>#NAME?</x:v>
      </x:c>
      <x:c r="F953" s="146" t="e">
        <x:f>IF($A953="","",[1]!thsiFinD("ths_adjustment_nv_fund",F$3,$A953))</x:f>
        <x:v>#NAME?</x:v>
      </x:c>
      <x:c r="G953" s="146" t="e">
        <x:f>IF($A953="","",[1]!thsiFinD("ths_adjustment_nv_fund",G$3,$A953))</x:f>
        <x:v>#NAME?</x:v>
      </x:c>
      <x:c r="H953" s="146" t="e">
        <x:f>IF($A953="","",[1]!thsiFinD("ths_adjustment_nv_fund",H$3,$A953))</x:f>
        <x:v>#NAME?</x:v>
      </x:c>
      <x:c r="I953" s="146" t="e">
        <x:f>IF($A953="","",[1]!thsiFinD("ths_adjustment_nv_fund",I$3,$A953))</x:f>
        <x:v>#NAME?</x:v>
      </x:c>
      <x:c r="J953" s="146" t="e">
        <x:f>IF($A953="","",[1]!thsiFinD("ths_adjustment_nv_fund",J$3,$A953))</x:f>
        <x:v>#NAME?</x:v>
      </x:c>
      <x:c r="K953" s="146" t="e">
        <x:f>IF($A953="","",[1]!thsiFinD("ths_adjustment_nv_fund",K$3,$A953))</x:f>
        <x:v>#NAME?</x:v>
      </x:c>
      <x:c r="L953" s="146" t="e">
        <x:f>IF($A953="","",[1]!thsiFinD("ths_adjustment_nv_fund",L$3,$A953))</x:f>
        <x:v>#NAME?</x:v>
      </x:c>
      <x:c r="M953" s="146" t="e">
        <x:f>IF($A953="","",[1]!thsiFinD("ths_adjustment_nv_fund",M$3,$A953))</x:f>
        <x:v>#NAME?</x:v>
      </x:c>
      <x:c r="N953" s="146" t="e">
        <x:f>IF($A953="","",[1]!thsiFinD("ths_adjustment_nv_fund",N$3,$A953))</x:f>
        <x:v>#NAME?</x:v>
      </x:c>
      <x:c r="O953" s="146" t="e">
        <x:f>IF($A953="","",[1]!thsiFinD("ths_adjustment_nv_fund",O$3,$A953))</x:f>
        <x:v>#NAME?</x:v>
      </x:c>
      <x:c r="P953" s="146" t="e">
        <x:f>IF($A953="","",[1]!thsiFinD("ths_adjustment_nv_fund",P$3,$A953))</x:f>
        <x:v>#NAME?</x:v>
      </x:c>
      <x:c r="Q953" s="146" t="e">
        <x:f>IF($A953="","",[1]!thsiFinD("ths_adjustment_nv_fund",Q$3,$A953))</x:f>
        <x:v>#NAME?</x:v>
      </x:c>
      <x:c r="R953" s="146" t="e">
        <x:f>IF($A953="","",[1]!thsiFinD("ths_adjustment_nv_fund",R$3,$A953))</x:f>
        <x:v>#NAME?</x:v>
      </x:c>
      <x:c r="S953" s="146" t="e">
        <x:f>IF($A953="","",[1]!thsiFinD("ths_adjustment_nv_fund",S$3,$A953))</x:f>
        <x:v>#NAME?</x:v>
      </x:c>
      <x:c r="T953" s="146" t="e">
        <x:f>IF($A953="","",[1]!thsiFinD("ths_adjustment_nv_fund",T$3,$A953))</x:f>
        <x:v>#NAME?</x:v>
      </x:c>
      <x:c r="U953" s="146" t="e">
        <x:f>IF($A953="","",[1]!thsiFinD("ths_adjustment_nv_fund",U$3,$A953))</x:f>
        <x:v>#NAME?</x:v>
      </x:c>
      <x:c r="V953" s="146" t="e">
        <x:f>IF($A953="","",[1]!thsiFinD("ths_adjustment_nv_fund",V$3,$A953))</x:f>
        <x:v>#NAME?</x:v>
      </x:c>
      <x:c r="W953" s="146" t="e">
        <x:f>IF($A953="","",[1]!thsiFinD("ths_adjustment_nv_fund",W$3,$A953))</x:f>
        <x:v>#NAME?</x:v>
      </x:c>
      <x:c r="X953" s="146" t="e">
        <x:f>IF($A953="","",[1]!thsiFinD("ths_adjustment_nv_fund",X$3,$A953))</x:f>
        <x:v>#NAME?</x:v>
      </x:c>
      <x:c r="Y953" s="146" t="e">
        <x:f>IF($A953="","",[1]!thsiFinD("ths_adjustment_nv_fund",Y$3,$A953))</x:f>
        <x:v>#NAME?</x:v>
      </x:c>
      <x:c r="Z953" s="146" t="e">
        <x:f>IF($A953="","",[1]!thsiFinD("ths_adjustment_nv_fund",Z$3,$A953))</x:f>
        <x:v>#NAME?</x:v>
      </x:c>
      <x:c r="AA953" s="146" t="e">
        <x:f>IF($A953="","",[1]!thsiFinD("ths_adjustment_nv_fund",AA$3,$A953))</x:f>
        <x:v>#NAME?</x:v>
      </x:c>
    </x:row>
    <x:row r="954">
      <x:c r="B954" s="146" t="e">
        <x:f>IF($A954="","",[1]!thsiFinD("ths_adjustment_nv_fund",B$3,$A954))</x:f>
        <x:v>#NAME?</x:v>
      </x:c>
      <x:c r="C954" s="146" t="e">
        <x:f>IF($A954="","",[1]!thsiFinD("ths_adjustment_nv_fund",C$3,$A954))</x:f>
        <x:v>#NAME?</x:v>
      </x:c>
      <x:c r="D954" s="146" t="e">
        <x:f>IF($A954="","",[1]!thsiFinD("ths_adjustment_nv_fund",D$3,$A954))</x:f>
        <x:v>#NAME?</x:v>
      </x:c>
      <x:c r="E954" s="146" t="e">
        <x:f>IF($A954="","",[1]!thsiFinD("ths_adjustment_nv_fund",E$3,$A954))</x:f>
        <x:v>#NAME?</x:v>
      </x:c>
      <x:c r="F954" s="146" t="e">
        <x:f>IF($A954="","",[1]!thsiFinD("ths_adjustment_nv_fund",F$3,$A954))</x:f>
        <x:v>#NAME?</x:v>
      </x:c>
      <x:c r="G954" s="146" t="e">
        <x:f>IF($A954="","",[1]!thsiFinD("ths_adjustment_nv_fund",G$3,$A954))</x:f>
        <x:v>#NAME?</x:v>
      </x:c>
      <x:c r="H954" s="146" t="e">
        <x:f>IF($A954="","",[1]!thsiFinD("ths_adjustment_nv_fund",H$3,$A954))</x:f>
        <x:v>#NAME?</x:v>
      </x:c>
      <x:c r="I954" s="146" t="e">
        <x:f>IF($A954="","",[1]!thsiFinD("ths_adjustment_nv_fund",I$3,$A954))</x:f>
        <x:v>#NAME?</x:v>
      </x:c>
      <x:c r="J954" s="146" t="e">
        <x:f>IF($A954="","",[1]!thsiFinD("ths_adjustment_nv_fund",J$3,$A954))</x:f>
        <x:v>#NAME?</x:v>
      </x:c>
      <x:c r="K954" s="146" t="e">
        <x:f>IF($A954="","",[1]!thsiFinD("ths_adjustment_nv_fund",K$3,$A954))</x:f>
        <x:v>#NAME?</x:v>
      </x:c>
      <x:c r="L954" s="146" t="e">
        <x:f>IF($A954="","",[1]!thsiFinD("ths_adjustment_nv_fund",L$3,$A954))</x:f>
        <x:v>#NAME?</x:v>
      </x:c>
      <x:c r="M954" s="146" t="e">
        <x:f>IF($A954="","",[1]!thsiFinD("ths_adjustment_nv_fund",M$3,$A954))</x:f>
        <x:v>#NAME?</x:v>
      </x:c>
      <x:c r="N954" s="146" t="e">
        <x:f>IF($A954="","",[1]!thsiFinD("ths_adjustment_nv_fund",N$3,$A954))</x:f>
        <x:v>#NAME?</x:v>
      </x:c>
      <x:c r="O954" s="146" t="e">
        <x:f>IF($A954="","",[1]!thsiFinD("ths_adjustment_nv_fund",O$3,$A954))</x:f>
        <x:v>#NAME?</x:v>
      </x:c>
      <x:c r="P954" s="146" t="e">
        <x:f>IF($A954="","",[1]!thsiFinD("ths_adjustment_nv_fund",P$3,$A954))</x:f>
        <x:v>#NAME?</x:v>
      </x:c>
      <x:c r="Q954" s="146" t="e">
        <x:f>IF($A954="","",[1]!thsiFinD("ths_adjustment_nv_fund",Q$3,$A954))</x:f>
        <x:v>#NAME?</x:v>
      </x:c>
      <x:c r="R954" s="146" t="e">
        <x:f>IF($A954="","",[1]!thsiFinD("ths_adjustment_nv_fund",R$3,$A954))</x:f>
        <x:v>#NAME?</x:v>
      </x:c>
      <x:c r="S954" s="146" t="e">
        <x:f>IF($A954="","",[1]!thsiFinD("ths_adjustment_nv_fund",S$3,$A954))</x:f>
        <x:v>#NAME?</x:v>
      </x:c>
      <x:c r="T954" s="146" t="e">
        <x:f>IF($A954="","",[1]!thsiFinD("ths_adjustment_nv_fund",T$3,$A954))</x:f>
        <x:v>#NAME?</x:v>
      </x:c>
      <x:c r="U954" s="146" t="e">
        <x:f>IF($A954="","",[1]!thsiFinD("ths_adjustment_nv_fund",U$3,$A954))</x:f>
        <x:v>#NAME?</x:v>
      </x:c>
      <x:c r="V954" s="146" t="e">
        <x:f>IF($A954="","",[1]!thsiFinD("ths_adjustment_nv_fund",V$3,$A954))</x:f>
        <x:v>#NAME?</x:v>
      </x:c>
      <x:c r="W954" s="146" t="e">
        <x:f>IF($A954="","",[1]!thsiFinD("ths_adjustment_nv_fund",W$3,$A954))</x:f>
        <x:v>#NAME?</x:v>
      </x:c>
      <x:c r="X954" s="146" t="e">
        <x:f>IF($A954="","",[1]!thsiFinD("ths_adjustment_nv_fund",X$3,$A954))</x:f>
        <x:v>#NAME?</x:v>
      </x:c>
      <x:c r="Y954" s="146" t="e">
        <x:f>IF($A954="","",[1]!thsiFinD("ths_adjustment_nv_fund",Y$3,$A954))</x:f>
        <x:v>#NAME?</x:v>
      </x:c>
      <x:c r="Z954" s="146" t="e">
        <x:f>IF($A954="","",[1]!thsiFinD("ths_adjustment_nv_fund",Z$3,$A954))</x:f>
        <x:v>#NAME?</x:v>
      </x:c>
      <x:c r="AA954" s="146" t="e">
        <x:f>IF($A954="","",[1]!thsiFinD("ths_adjustment_nv_fund",AA$3,$A954))</x:f>
        <x:v>#NAME?</x:v>
      </x:c>
    </x:row>
    <x:row r="955">
      <x:c r="B955" s="146" t="e">
        <x:f>IF($A955="","",[1]!thsiFinD("ths_adjustment_nv_fund",B$3,$A955))</x:f>
        <x:v>#NAME?</x:v>
      </x:c>
      <x:c r="C955" s="146" t="e">
        <x:f>IF($A955="","",[1]!thsiFinD("ths_adjustment_nv_fund",C$3,$A955))</x:f>
        <x:v>#NAME?</x:v>
      </x:c>
      <x:c r="D955" s="146" t="e">
        <x:f>IF($A955="","",[1]!thsiFinD("ths_adjustment_nv_fund",D$3,$A955))</x:f>
        <x:v>#NAME?</x:v>
      </x:c>
      <x:c r="E955" s="146" t="e">
        <x:f>IF($A955="","",[1]!thsiFinD("ths_adjustment_nv_fund",E$3,$A955))</x:f>
        <x:v>#NAME?</x:v>
      </x:c>
      <x:c r="F955" s="146" t="e">
        <x:f>IF($A955="","",[1]!thsiFinD("ths_adjustment_nv_fund",F$3,$A955))</x:f>
        <x:v>#NAME?</x:v>
      </x:c>
      <x:c r="G955" s="146" t="e">
        <x:f>IF($A955="","",[1]!thsiFinD("ths_adjustment_nv_fund",G$3,$A955))</x:f>
        <x:v>#NAME?</x:v>
      </x:c>
      <x:c r="H955" s="146" t="e">
        <x:f>IF($A955="","",[1]!thsiFinD("ths_adjustment_nv_fund",H$3,$A955))</x:f>
        <x:v>#NAME?</x:v>
      </x:c>
      <x:c r="I955" s="146" t="e">
        <x:f>IF($A955="","",[1]!thsiFinD("ths_adjustment_nv_fund",I$3,$A955))</x:f>
        <x:v>#NAME?</x:v>
      </x:c>
      <x:c r="J955" s="146" t="e">
        <x:f>IF($A955="","",[1]!thsiFinD("ths_adjustment_nv_fund",J$3,$A955))</x:f>
        <x:v>#NAME?</x:v>
      </x:c>
      <x:c r="K955" s="146" t="e">
        <x:f>IF($A955="","",[1]!thsiFinD("ths_adjustment_nv_fund",K$3,$A955))</x:f>
        <x:v>#NAME?</x:v>
      </x:c>
      <x:c r="L955" s="146" t="e">
        <x:f>IF($A955="","",[1]!thsiFinD("ths_adjustment_nv_fund",L$3,$A955))</x:f>
        <x:v>#NAME?</x:v>
      </x:c>
      <x:c r="M955" s="146" t="e">
        <x:f>IF($A955="","",[1]!thsiFinD("ths_adjustment_nv_fund",M$3,$A955))</x:f>
        <x:v>#NAME?</x:v>
      </x:c>
      <x:c r="N955" s="146" t="e">
        <x:f>IF($A955="","",[1]!thsiFinD("ths_adjustment_nv_fund",N$3,$A955))</x:f>
        <x:v>#NAME?</x:v>
      </x:c>
      <x:c r="O955" s="146" t="e">
        <x:f>IF($A955="","",[1]!thsiFinD("ths_adjustment_nv_fund",O$3,$A955))</x:f>
        <x:v>#NAME?</x:v>
      </x:c>
      <x:c r="P955" s="146" t="e">
        <x:f>IF($A955="","",[1]!thsiFinD("ths_adjustment_nv_fund",P$3,$A955))</x:f>
        <x:v>#NAME?</x:v>
      </x:c>
      <x:c r="Q955" s="146" t="e">
        <x:f>IF($A955="","",[1]!thsiFinD("ths_adjustment_nv_fund",Q$3,$A955))</x:f>
        <x:v>#NAME?</x:v>
      </x:c>
      <x:c r="R955" s="146" t="e">
        <x:f>IF($A955="","",[1]!thsiFinD("ths_adjustment_nv_fund",R$3,$A955))</x:f>
        <x:v>#NAME?</x:v>
      </x:c>
      <x:c r="S955" s="146" t="e">
        <x:f>IF($A955="","",[1]!thsiFinD("ths_adjustment_nv_fund",S$3,$A955))</x:f>
        <x:v>#NAME?</x:v>
      </x:c>
      <x:c r="T955" s="146" t="e">
        <x:f>IF($A955="","",[1]!thsiFinD("ths_adjustment_nv_fund",T$3,$A955))</x:f>
        <x:v>#NAME?</x:v>
      </x:c>
      <x:c r="U955" s="146" t="e">
        <x:f>IF($A955="","",[1]!thsiFinD("ths_adjustment_nv_fund",U$3,$A955))</x:f>
        <x:v>#NAME?</x:v>
      </x:c>
      <x:c r="V955" s="146" t="e">
        <x:f>IF($A955="","",[1]!thsiFinD("ths_adjustment_nv_fund",V$3,$A955))</x:f>
        <x:v>#NAME?</x:v>
      </x:c>
      <x:c r="W955" s="146" t="e">
        <x:f>IF($A955="","",[1]!thsiFinD("ths_adjustment_nv_fund",W$3,$A955))</x:f>
        <x:v>#NAME?</x:v>
      </x:c>
      <x:c r="X955" s="146" t="e">
        <x:f>IF($A955="","",[1]!thsiFinD("ths_adjustment_nv_fund",X$3,$A955))</x:f>
        <x:v>#NAME?</x:v>
      </x:c>
      <x:c r="Y955" s="146" t="e">
        <x:f>IF($A955="","",[1]!thsiFinD("ths_adjustment_nv_fund",Y$3,$A955))</x:f>
        <x:v>#NAME?</x:v>
      </x:c>
      <x:c r="Z955" s="146" t="e">
        <x:f>IF($A955="","",[1]!thsiFinD("ths_adjustment_nv_fund",Z$3,$A955))</x:f>
        <x:v>#NAME?</x:v>
      </x:c>
      <x:c r="AA955" s="146" t="e">
        <x:f>IF($A955="","",[1]!thsiFinD("ths_adjustment_nv_fund",AA$3,$A955))</x:f>
        <x:v>#NAME?</x:v>
      </x:c>
    </x:row>
    <x:row r="956">
      <x:c r="B956" s="146" t="e">
        <x:f>IF($A956="","",[1]!thsiFinD("ths_adjustment_nv_fund",B$3,$A956))</x:f>
        <x:v>#NAME?</x:v>
      </x:c>
      <x:c r="C956" s="146" t="e">
        <x:f>IF($A956="","",[1]!thsiFinD("ths_adjustment_nv_fund",C$3,$A956))</x:f>
        <x:v>#NAME?</x:v>
      </x:c>
      <x:c r="D956" s="146" t="e">
        <x:f>IF($A956="","",[1]!thsiFinD("ths_adjustment_nv_fund",D$3,$A956))</x:f>
        <x:v>#NAME?</x:v>
      </x:c>
      <x:c r="E956" s="146" t="e">
        <x:f>IF($A956="","",[1]!thsiFinD("ths_adjustment_nv_fund",E$3,$A956))</x:f>
        <x:v>#NAME?</x:v>
      </x:c>
      <x:c r="F956" s="146" t="e">
        <x:f>IF($A956="","",[1]!thsiFinD("ths_adjustment_nv_fund",F$3,$A956))</x:f>
        <x:v>#NAME?</x:v>
      </x:c>
      <x:c r="G956" s="146" t="e">
        <x:f>IF($A956="","",[1]!thsiFinD("ths_adjustment_nv_fund",G$3,$A956))</x:f>
        <x:v>#NAME?</x:v>
      </x:c>
      <x:c r="H956" s="146" t="e">
        <x:f>IF($A956="","",[1]!thsiFinD("ths_adjustment_nv_fund",H$3,$A956))</x:f>
        <x:v>#NAME?</x:v>
      </x:c>
      <x:c r="I956" s="146" t="e">
        <x:f>IF($A956="","",[1]!thsiFinD("ths_adjustment_nv_fund",I$3,$A956))</x:f>
        <x:v>#NAME?</x:v>
      </x:c>
      <x:c r="J956" s="146" t="e">
        <x:f>IF($A956="","",[1]!thsiFinD("ths_adjustment_nv_fund",J$3,$A956))</x:f>
        <x:v>#NAME?</x:v>
      </x:c>
      <x:c r="K956" s="146" t="e">
        <x:f>IF($A956="","",[1]!thsiFinD("ths_adjustment_nv_fund",K$3,$A956))</x:f>
        <x:v>#NAME?</x:v>
      </x:c>
      <x:c r="L956" s="146" t="e">
        <x:f>IF($A956="","",[1]!thsiFinD("ths_adjustment_nv_fund",L$3,$A956))</x:f>
        <x:v>#NAME?</x:v>
      </x:c>
      <x:c r="M956" s="146" t="e">
        <x:f>IF($A956="","",[1]!thsiFinD("ths_adjustment_nv_fund",M$3,$A956))</x:f>
        <x:v>#NAME?</x:v>
      </x:c>
      <x:c r="N956" s="146" t="e">
        <x:f>IF($A956="","",[1]!thsiFinD("ths_adjustment_nv_fund",N$3,$A956))</x:f>
        <x:v>#NAME?</x:v>
      </x:c>
      <x:c r="O956" s="146" t="e">
        <x:f>IF($A956="","",[1]!thsiFinD("ths_adjustment_nv_fund",O$3,$A956))</x:f>
        <x:v>#NAME?</x:v>
      </x:c>
      <x:c r="P956" s="146" t="e">
        <x:f>IF($A956="","",[1]!thsiFinD("ths_adjustment_nv_fund",P$3,$A956))</x:f>
        <x:v>#NAME?</x:v>
      </x:c>
      <x:c r="Q956" s="146" t="e">
        <x:f>IF($A956="","",[1]!thsiFinD("ths_adjustment_nv_fund",Q$3,$A956))</x:f>
        <x:v>#NAME?</x:v>
      </x:c>
      <x:c r="R956" s="146" t="e">
        <x:f>IF($A956="","",[1]!thsiFinD("ths_adjustment_nv_fund",R$3,$A956))</x:f>
        <x:v>#NAME?</x:v>
      </x:c>
      <x:c r="S956" s="146" t="e">
        <x:f>IF($A956="","",[1]!thsiFinD("ths_adjustment_nv_fund",S$3,$A956))</x:f>
        <x:v>#NAME?</x:v>
      </x:c>
      <x:c r="T956" s="146" t="e">
        <x:f>IF($A956="","",[1]!thsiFinD("ths_adjustment_nv_fund",T$3,$A956))</x:f>
        <x:v>#NAME?</x:v>
      </x:c>
      <x:c r="U956" s="146" t="e">
        <x:f>IF($A956="","",[1]!thsiFinD("ths_adjustment_nv_fund",U$3,$A956))</x:f>
        <x:v>#NAME?</x:v>
      </x:c>
      <x:c r="V956" s="146" t="e">
        <x:f>IF($A956="","",[1]!thsiFinD("ths_adjustment_nv_fund",V$3,$A956))</x:f>
        <x:v>#NAME?</x:v>
      </x:c>
      <x:c r="W956" s="146" t="e">
        <x:f>IF($A956="","",[1]!thsiFinD("ths_adjustment_nv_fund",W$3,$A956))</x:f>
        <x:v>#NAME?</x:v>
      </x:c>
      <x:c r="X956" s="146" t="e">
        <x:f>IF($A956="","",[1]!thsiFinD("ths_adjustment_nv_fund",X$3,$A956))</x:f>
        <x:v>#NAME?</x:v>
      </x:c>
      <x:c r="Y956" s="146" t="e">
        <x:f>IF($A956="","",[1]!thsiFinD("ths_adjustment_nv_fund",Y$3,$A956))</x:f>
        <x:v>#NAME?</x:v>
      </x:c>
      <x:c r="Z956" s="146" t="e">
        <x:f>IF($A956="","",[1]!thsiFinD("ths_adjustment_nv_fund",Z$3,$A956))</x:f>
        <x:v>#NAME?</x:v>
      </x:c>
      <x:c r="AA956" s="146" t="e">
        <x:f>IF($A956="","",[1]!thsiFinD("ths_adjustment_nv_fund",AA$3,$A956))</x:f>
        <x:v>#NAME?</x:v>
      </x:c>
    </x:row>
    <x:row r="957">
      <x:c r="B957" s="146" t="e">
        <x:f>IF($A957="","",[1]!thsiFinD("ths_adjustment_nv_fund",B$3,$A957))</x:f>
        <x:v>#NAME?</x:v>
      </x:c>
      <x:c r="C957" s="146" t="e">
        <x:f>IF($A957="","",[1]!thsiFinD("ths_adjustment_nv_fund",C$3,$A957))</x:f>
        <x:v>#NAME?</x:v>
      </x:c>
      <x:c r="D957" s="146" t="e">
        <x:f>IF($A957="","",[1]!thsiFinD("ths_adjustment_nv_fund",D$3,$A957))</x:f>
        <x:v>#NAME?</x:v>
      </x:c>
      <x:c r="E957" s="146" t="e">
        <x:f>IF($A957="","",[1]!thsiFinD("ths_adjustment_nv_fund",E$3,$A957))</x:f>
        <x:v>#NAME?</x:v>
      </x:c>
      <x:c r="F957" s="146" t="e">
        <x:f>IF($A957="","",[1]!thsiFinD("ths_adjustment_nv_fund",F$3,$A957))</x:f>
        <x:v>#NAME?</x:v>
      </x:c>
      <x:c r="G957" s="146" t="e">
        <x:f>IF($A957="","",[1]!thsiFinD("ths_adjustment_nv_fund",G$3,$A957))</x:f>
        <x:v>#NAME?</x:v>
      </x:c>
      <x:c r="H957" s="146" t="e">
        <x:f>IF($A957="","",[1]!thsiFinD("ths_adjustment_nv_fund",H$3,$A957))</x:f>
        <x:v>#NAME?</x:v>
      </x:c>
      <x:c r="I957" s="146" t="e">
        <x:f>IF($A957="","",[1]!thsiFinD("ths_adjustment_nv_fund",I$3,$A957))</x:f>
        <x:v>#NAME?</x:v>
      </x:c>
      <x:c r="J957" s="146" t="e">
        <x:f>IF($A957="","",[1]!thsiFinD("ths_adjustment_nv_fund",J$3,$A957))</x:f>
        <x:v>#NAME?</x:v>
      </x:c>
      <x:c r="K957" s="146" t="e">
        <x:f>IF($A957="","",[1]!thsiFinD("ths_adjustment_nv_fund",K$3,$A957))</x:f>
        <x:v>#NAME?</x:v>
      </x:c>
      <x:c r="L957" s="146" t="e">
        <x:f>IF($A957="","",[1]!thsiFinD("ths_adjustment_nv_fund",L$3,$A957))</x:f>
        <x:v>#NAME?</x:v>
      </x:c>
      <x:c r="M957" s="146" t="e">
        <x:f>IF($A957="","",[1]!thsiFinD("ths_adjustment_nv_fund",M$3,$A957))</x:f>
        <x:v>#NAME?</x:v>
      </x:c>
      <x:c r="N957" s="146" t="e">
        <x:f>IF($A957="","",[1]!thsiFinD("ths_adjustment_nv_fund",N$3,$A957))</x:f>
        <x:v>#NAME?</x:v>
      </x:c>
      <x:c r="O957" s="146" t="e">
        <x:f>IF($A957="","",[1]!thsiFinD("ths_adjustment_nv_fund",O$3,$A957))</x:f>
        <x:v>#NAME?</x:v>
      </x:c>
      <x:c r="P957" s="146" t="e">
        <x:f>IF($A957="","",[1]!thsiFinD("ths_adjustment_nv_fund",P$3,$A957))</x:f>
        <x:v>#NAME?</x:v>
      </x:c>
      <x:c r="Q957" s="146" t="e">
        <x:f>IF($A957="","",[1]!thsiFinD("ths_adjustment_nv_fund",Q$3,$A957))</x:f>
        <x:v>#NAME?</x:v>
      </x:c>
      <x:c r="R957" s="146" t="e">
        <x:f>IF($A957="","",[1]!thsiFinD("ths_adjustment_nv_fund",R$3,$A957))</x:f>
        <x:v>#NAME?</x:v>
      </x:c>
      <x:c r="S957" s="146" t="e">
        <x:f>IF($A957="","",[1]!thsiFinD("ths_adjustment_nv_fund",S$3,$A957))</x:f>
        <x:v>#NAME?</x:v>
      </x:c>
      <x:c r="T957" s="146" t="e">
        <x:f>IF($A957="","",[1]!thsiFinD("ths_adjustment_nv_fund",T$3,$A957))</x:f>
        <x:v>#NAME?</x:v>
      </x:c>
      <x:c r="U957" s="146" t="e">
        <x:f>IF($A957="","",[1]!thsiFinD("ths_adjustment_nv_fund",U$3,$A957))</x:f>
        <x:v>#NAME?</x:v>
      </x:c>
      <x:c r="V957" s="146" t="e">
        <x:f>IF($A957="","",[1]!thsiFinD("ths_adjustment_nv_fund",V$3,$A957))</x:f>
        <x:v>#NAME?</x:v>
      </x:c>
      <x:c r="W957" s="146" t="e">
        <x:f>IF($A957="","",[1]!thsiFinD("ths_adjustment_nv_fund",W$3,$A957))</x:f>
        <x:v>#NAME?</x:v>
      </x:c>
      <x:c r="X957" s="146" t="e">
        <x:f>IF($A957="","",[1]!thsiFinD("ths_adjustment_nv_fund",X$3,$A957))</x:f>
        <x:v>#NAME?</x:v>
      </x:c>
      <x:c r="Y957" s="146" t="e">
        <x:f>IF($A957="","",[1]!thsiFinD("ths_adjustment_nv_fund",Y$3,$A957))</x:f>
        <x:v>#NAME?</x:v>
      </x:c>
      <x:c r="Z957" s="146" t="e">
        <x:f>IF($A957="","",[1]!thsiFinD("ths_adjustment_nv_fund",Z$3,$A957))</x:f>
        <x:v>#NAME?</x:v>
      </x:c>
      <x:c r="AA957" s="146" t="e">
        <x:f>IF($A957="","",[1]!thsiFinD("ths_adjustment_nv_fund",AA$3,$A957))</x:f>
        <x:v>#NAME?</x:v>
      </x:c>
    </x:row>
    <x:row r="958">
      <x:c r="B958" s="146" t="e">
        <x:f>IF($A958="","",[1]!thsiFinD("ths_adjustment_nv_fund",B$3,$A958))</x:f>
        <x:v>#NAME?</x:v>
      </x:c>
      <x:c r="C958" s="146" t="e">
        <x:f>IF($A958="","",[1]!thsiFinD("ths_adjustment_nv_fund",C$3,$A958))</x:f>
        <x:v>#NAME?</x:v>
      </x:c>
      <x:c r="D958" s="146" t="e">
        <x:f>IF($A958="","",[1]!thsiFinD("ths_adjustment_nv_fund",D$3,$A958))</x:f>
        <x:v>#NAME?</x:v>
      </x:c>
      <x:c r="E958" s="146" t="e">
        <x:f>IF($A958="","",[1]!thsiFinD("ths_adjustment_nv_fund",E$3,$A958))</x:f>
        <x:v>#NAME?</x:v>
      </x:c>
      <x:c r="F958" s="146" t="e">
        <x:f>IF($A958="","",[1]!thsiFinD("ths_adjustment_nv_fund",F$3,$A958))</x:f>
        <x:v>#NAME?</x:v>
      </x:c>
      <x:c r="G958" s="146" t="e">
        <x:f>IF($A958="","",[1]!thsiFinD("ths_adjustment_nv_fund",G$3,$A958))</x:f>
        <x:v>#NAME?</x:v>
      </x:c>
      <x:c r="H958" s="146" t="e">
        <x:f>IF($A958="","",[1]!thsiFinD("ths_adjustment_nv_fund",H$3,$A958))</x:f>
        <x:v>#NAME?</x:v>
      </x:c>
      <x:c r="I958" s="146" t="e">
        <x:f>IF($A958="","",[1]!thsiFinD("ths_adjustment_nv_fund",I$3,$A958))</x:f>
        <x:v>#NAME?</x:v>
      </x:c>
      <x:c r="J958" s="146" t="e">
        <x:f>IF($A958="","",[1]!thsiFinD("ths_adjustment_nv_fund",J$3,$A958))</x:f>
        <x:v>#NAME?</x:v>
      </x:c>
      <x:c r="K958" s="146" t="e">
        <x:f>IF($A958="","",[1]!thsiFinD("ths_adjustment_nv_fund",K$3,$A958))</x:f>
        <x:v>#NAME?</x:v>
      </x:c>
      <x:c r="L958" s="146" t="e">
        <x:f>IF($A958="","",[1]!thsiFinD("ths_adjustment_nv_fund",L$3,$A958))</x:f>
        <x:v>#NAME?</x:v>
      </x:c>
      <x:c r="M958" s="146" t="e">
        <x:f>IF($A958="","",[1]!thsiFinD("ths_adjustment_nv_fund",M$3,$A958))</x:f>
        <x:v>#NAME?</x:v>
      </x:c>
      <x:c r="N958" s="146" t="e">
        <x:f>IF($A958="","",[1]!thsiFinD("ths_adjustment_nv_fund",N$3,$A958))</x:f>
        <x:v>#NAME?</x:v>
      </x:c>
      <x:c r="O958" s="146" t="e">
        <x:f>IF($A958="","",[1]!thsiFinD("ths_adjustment_nv_fund",O$3,$A958))</x:f>
        <x:v>#NAME?</x:v>
      </x:c>
      <x:c r="P958" s="146" t="e">
        <x:f>IF($A958="","",[1]!thsiFinD("ths_adjustment_nv_fund",P$3,$A958))</x:f>
        <x:v>#NAME?</x:v>
      </x:c>
      <x:c r="Q958" s="146" t="e">
        <x:f>IF($A958="","",[1]!thsiFinD("ths_adjustment_nv_fund",Q$3,$A958))</x:f>
        <x:v>#NAME?</x:v>
      </x:c>
      <x:c r="R958" s="146" t="e">
        <x:f>IF($A958="","",[1]!thsiFinD("ths_adjustment_nv_fund",R$3,$A958))</x:f>
        <x:v>#NAME?</x:v>
      </x:c>
      <x:c r="S958" s="146" t="e">
        <x:f>IF($A958="","",[1]!thsiFinD("ths_adjustment_nv_fund",S$3,$A958))</x:f>
        <x:v>#NAME?</x:v>
      </x:c>
      <x:c r="T958" s="146" t="e">
        <x:f>IF($A958="","",[1]!thsiFinD("ths_adjustment_nv_fund",T$3,$A958))</x:f>
        <x:v>#NAME?</x:v>
      </x:c>
      <x:c r="U958" s="146" t="e">
        <x:f>IF($A958="","",[1]!thsiFinD("ths_adjustment_nv_fund",U$3,$A958))</x:f>
        <x:v>#NAME?</x:v>
      </x:c>
      <x:c r="V958" s="146" t="e">
        <x:f>IF($A958="","",[1]!thsiFinD("ths_adjustment_nv_fund",V$3,$A958))</x:f>
        <x:v>#NAME?</x:v>
      </x:c>
      <x:c r="W958" s="146" t="e">
        <x:f>IF($A958="","",[1]!thsiFinD("ths_adjustment_nv_fund",W$3,$A958))</x:f>
        <x:v>#NAME?</x:v>
      </x:c>
      <x:c r="X958" s="146" t="e">
        <x:f>IF($A958="","",[1]!thsiFinD("ths_adjustment_nv_fund",X$3,$A958))</x:f>
        <x:v>#NAME?</x:v>
      </x:c>
      <x:c r="Y958" s="146" t="e">
        <x:f>IF($A958="","",[1]!thsiFinD("ths_adjustment_nv_fund",Y$3,$A958))</x:f>
        <x:v>#NAME?</x:v>
      </x:c>
      <x:c r="Z958" s="146" t="e">
        <x:f>IF($A958="","",[1]!thsiFinD("ths_adjustment_nv_fund",Z$3,$A958))</x:f>
        <x:v>#NAME?</x:v>
      </x:c>
      <x:c r="AA958" s="146" t="e">
        <x:f>IF($A958="","",[1]!thsiFinD("ths_adjustment_nv_fund",AA$3,$A958))</x:f>
        <x:v>#NAME?</x:v>
      </x:c>
    </x:row>
    <x:row r="959">
      <x:c r="B959" s="146" t="e">
        <x:f>IF($A959="","",[1]!thsiFinD("ths_adjustment_nv_fund",B$3,$A959))</x:f>
        <x:v>#NAME?</x:v>
      </x:c>
      <x:c r="C959" s="146" t="e">
        <x:f>IF($A959="","",[1]!thsiFinD("ths_adjustment_nv_fund",C$3,$A959))</x:f>
        <x:v>#NAME?</x:v>
      </x:c>
      <x:c r="D959" s="146" t="e">
        <x:f>IF($A959="","",[1]!thsiFinD("ths_adjustment_nv_fund",D$3,$A959))</x:f>
        <x:v>#NAME?</x:v>
      </x:c>
      <x:c r="E959" s="146" t="e">
        <x:f>IF($A959="","",[1]!thsiFinD("ths_adjustment_nv_fund",E$3,$A959))</x:f>
        <x:v>#NAME?</x:v>
      </x:c>
      <x:c r="F959" s="146" t="e">
        <x:f>IF($A959="","",[1]!thsiFinD("ths_adjustment_nv_fund",F$3,$A959))</x:f>
        <x:v>#NAME?</x:v>
      </x:c>
      <x:c r="G959" s="146" t="e">
        <x:f>IF($A959="","",[1]!thsiFinD("ths_adjustment_nv_fund",G$3,$A959))</x:f>
        <x:v>#NAME?</x:v>
      </x:c>
      <x:c r="H959" s="146" t="e">
        <x:f>IF($A959="","",[1]!thsiFinD("ths_adjustment_nv_fund",H$3,$A959))</x:f>
        <x:v>#NAME?</x:v>
      </x:c>
      <x:c r="I959" s="146" t="e">
        <x:f>IF($A959="","",[1]!thsiFinD("ths_adjustment_nv_fund",I$3,$A959))</x:f>
        <x:v>#NAME?</x:v>
      </x:c>
      <x:c r="J959" s="146" t="e">
        <x:f>IF($A959="","",[1]!thsiFinD("ths_adjustment_nv_fund",J$3,$A959))</x:f>
        <x:v>#NAME?</x:v>
      </x:c>
      <x:c r="K959" s="146" t="e">
        <x:f>IF($A959="","",[1]!thsiFinD("ths_adjustment_nv_fund",K$3,$A959))</x:f>
        <x:v>#NAME?</x:v>
      </x:c>
      <x:c r="L959" s="146" t="e">
        <x:f>IF($A959="","",[1]!thsiFinD("ths_adjustment_nv_fund",L$3,$A959))</x:f>
        <x:v>#NAME?</x:v>
      </x:c>
      <x:c r="M959" s="146" t="e">
        <x:f>IF($A959="","",[1]!thsiFinD("ths_adjustment_nv_fund",M$3,$A959))</x:f>
        <x:v>#NAME?</x:v>
      </x:c>
      <x:c r="N959" s="146" t="e">
        <x:f>IF($A959="","",[1]!thsiFinD("ths_adjustment_nv_fund",N$3,$A959))</x:f>
        <x:v>#NAME?</x:v>
      </x:c>
      <x:c r="O959" s="146" t="e">
        <x:f>IF($A959="","",[1]!thsiFinD("ths_adjustment_nv_fund",O$3,$A959))</x:f>
        <x:v>#NAME?</x:v>
      </x:c>
      <x:c r="P959" s="146" t="e">
        <x:f>IF($A959="","",[1]!thsiFinD("ths_adjustment_nv_fund",P$3,$A959))</x:f>
        <x:v>#NAME?</x:v>
      </x:c>
      <x:c r="Q959" s="146" t="e">
        <x:f>IF($A959="","",[1]!thsiFinD("ths_adjustment_nv_fund",Q$3,$A959))</x:f>
        <x:v>#NAME?</x:v>
      </x:c>
      <x:c r="R959" s="146" t="e">
        <x:f>IF($A959="","",[1]!thsiFinD("ths_adjustment_nv_fund",R$3,$A959))</x:f>
        <x:v>#NAME?</x:v>
      </x:c>
      <x:c r="S959" s="146" t="e">
        <x:f>IF($A959="","",[1]!thsiFinD("ths_adjustment_nv_fund",S$3,$A959))</x:f>
        <x:v>#NAME?</x:v>
      </x:c>
      <x:c r="T959" s="146" t="e">
        <x:f>IF($A959="","",[1]!thsiFinD("ths_adjustment_nv_fund",T$3,$A959))</x:f>
        <x:v>#NAME?</x:v>
      </x:c>
      <x:c r="U959" s="146" t="e">
        <x:f>IF($A959="","",[1]!thsiFinD("ths_adjustment_nv_fund",U$3,$A959))</x:f>
        <x:v>#NAME?</x:v>
      </x:c>
      <x:c r="V959" s="146" t="e">
        <x:f>IF($A959="","",[1]!thsiFinD("ths_adjustment_nv_fund",V$3,$A959))</x:f>
        <x:v>#NAME?</x:v>
      </x:c>
      <x:c r="W959" s="146" t="e">
        <x:f>IF($A959="","",[1]!thsiFinD("ths_adjustment_nv_fund",W$3,$A959))</x:f>
        <x:v>#NAME?</x:v>
      </x:c>
      <x:c r="X959" s="146" t="e">
        <x:f>IF($A959="","",[1]!thsiFinD("ths_adjustment_nv_fund",X$3,$A959))</x:f>
        <x:v>#NAME?</x:v>
      </x:c>
      <x:c r="Y959" s="146" t="e">
        <x:f>IF($A959="","",[1]!thsiFinD("ths_adjustment_nv_fund",Y$3,$A959))</x:f>
        <x:v>#NAME?</x:v>
      </x:c>
      <x:c r="Z959" s="146" t="e">
        <x:f>IF($A959="","",[1]!thsiFinD("ths_adjustment_nv_fund",Z$3,$A959))</x:f>
        <x:v>#NAME?</x:v>
      </x:c>
      <x:c r="AA959" s="146" t="e">
        <x:f>IF($A959="","",[1]!thsiFinD("ths_adjustment_nv_fund",AA$3,$A959))</x:f>
        <x:v>#NAME?</x:v>
      </x:c>
    </x:row>
    <x:row r="960">
      <x:c r="B960" s="146" t="e">
        <x:f>IF($A960="","",[1]!thsiFinD("ths_adjustment_nv_fund",B$3,$A960))</x:f>
        <x:v>#NAME?</x:v>
      </x:c>
      <x:c r="C960" s="146" t="e">
        <x:f>IF($A960="","",[1]!thsiFinD("ths_adjustment_nv_fund",C$3,$A960))</x:f>
        <x:v>#NAME?</x:v>
      </x:c>
      <x:c r="D960" s="146" t="e">
        <x:f>IF($A960="","",[1]!thsiFinD("ths_adjustment_nv_fund",D$3,$A960))</x:f>
        <x:v>#NAME?</x:v>
      </x:c>
      <x:c r="E960" s="146" t="e">
        <x:f>IF($A960="","",[1]!thsiFinD("ths_adjustment_nv_fund",E$3,$A960))</x:f>
        <x:v>#NAME?</x:v>
      </x:c>
      <x:c r="F960" s="146" t="e">
        <x:f>IF($A960="","",[1]!thsiFinD("ths_adjustment_nv_fund",F$3,$A960))</x:f>
        <x:v>#NAME?</x:v>
      </x:c>
      <x:c r="G960" s="146" t="e">
        <x:f>IF($A960="","",[1]!thsiFinD("ths_adjustment_nv_fund",G$3,$A960))</x:f>
        <x:v>#NAME?</x:v>
      </x:c>
      <x:c r="H960" s="146" t="e">
        <x:f>IF($A960="","",[1]!thsiFinD("ths_adjustment_nv_fund",H$3,$A960))</x:f>
        <x:v>#NAME?</x:v>
      </x:c>
      <x:c r="I960" s="146" t="e">
        <x:f>IF($A960="","",[1]!thsiFinD("ths_adjustment_nv_fund",I$3,$A960))</x:f>
        <x:v>#NAME?</x:v>
      </x:c>
      <x:c r="J960" s="146" t="e">
        <x:f>IF($A960="","",[1]!thsiFinD("ths_adjustment_nv_fund",J$3,$A960))</x:f>
        <x:v>#NAME?</x:v>
      </x:c>
      <x:c r="K960" s="146" t="e">
        <x:f>IF($A960="","",[1]!thsiFinD("ths_adjustment_nv_fund",K$3,$A960))</x:f>
        <x:v>#NAME?</x:v>
      </x:c>
      <x:c r="L960" s="146" t="e">
        <x:f>IF($A960="","",[1]!thsiFinD("ths_adjustment_nv_fund",L$3,$A960))</x:f>
        <x:v>#NAME?</x:v>
      </x:c>
      <x:c r="M960" s="146" t="e">
        <x:f>IF($A960="","",[1]!thsiFinD("ths_adjustment_nv_fund",M$3,$A960))</x:f>
        <x:v>#NAME?</x:v>
      </x:c>
      <x:c r="N960" s="146" t="e">
        <x:f>IF($A960="","",[1]!thsiFinD("ths_adjustment_nv_fund",N$3,$A960))</x:f>
        <x:v>#NAME?</x:v>
      </x:c>
      <x:c r="O960" s="146" t="e">
        <x:f>IF($A960="","",[1]!thsiFinD("ths_adjustment_nv_fund",O$3,$A960))</x:f>
        <x:v>#NAME?</x:v>
      </x:c>
      <x:c r="P960" s="146" t="e">
        <x:f>IF($A960="","",[1]!thsiFinD("ths_adjustment_nv_fund",P$3,$A960))</x:f>
        <x:v>#NAME?</x:v>
      </x:c>
      <x:c r="Q960" s="146" t="e">
        <x:f>IF($A960="","",[1]!thsiFinD("ths_adjustment_nv_fund",Q$3,$A960))</x:f>
        <x:v>#NAME?</x:v>
      </x:c>
      <x:c r="R960" s="146" t="e">
        <x:f>IF($A960="","",[1]!thsiFinD("ths_adjustment_nv_fund",R$3,$A960))</x:f>
        <x:v>#NAME?</x:v>
      </x:c>
      <x:c r="S960" s="146" t="e">
        <x:f>IF($A960="","",[1]!thsiFinD("ths_adjustment_nv_fund",S$3,$A960))</x:f>
        <x:v>#NAME?</x:v>
      </x:c>
      <x:c r="T960" s="146" t="e">
        <x:f>IF($A960="","",[1]!thsiFinD("ths_adjustment_nv_fund",T$3,$A960))</x:f>
        <x:v>#NAME?</x:v>
      </x:c>
      <x:c r="U960" s="146" t="e">
        <x:f>IF($A960="","",[1]!thsiFinD("ths_adjustment_nv_fund",U$3,$A960))</x:f>
        <x:v>#NAME?</x:v>
      </x:c>
      <x:c r="V960" s="146" t="e">
        <x:f>IF($A960="","",[1]!thsiFinD("ths_adjustment_nv_fund",V$3,$A960))</x:f>
        <x:v>#NAME?</x:v>
      </x:c>
      <x:c r="W960" s="146" t="e">
        <x:f>IF($A960="","",[1]!thsiFinD("ths_adjustment_nv_fund",W$3,$A960))</x:f>
        <x:v>#NAME?</x:v>
      </x:c>
      <x:c r="X960" s="146" t="e">
        <x:f>IF($A960="","",[1]!thsiFinD("ths_adjustment_nv_fund",X$3,$A960))</x:f>
        <x:v>#NAME?</x:v>
      </x:c>
      <x:c r="Y960" s="146" t="e">
        <x:f>IF($A960="","",[1]!thsiFinD("ths_adjustment_nv_fund",Y$3,$A960))</x:f>
        <x:v>#NAME?</x:v>
      </x:c>
      <x:c r="Z960" s="146" t="e">
        <x:f>IF($A960="","",[1]!thsiFinD("ths_adjustment_nv_fund",Z$3,$A960))</x:f>
        <x:v>#NAME?</x:v>
      </x:c>
      <x:c r="AA960" s="146" t="e">
        <x:f>IF($A960="","",[1]!thsiFinD("ths_adjustment_nv_fund",AA$3,$A960))</x:f>
        <x:v>#NAME?</x:v>
      </x:c>
    </x:row>
    <x:row r="961">
      <x:c r="B961" s="146" t="e">
        <x:f>IF($A961="","",[1]!thsiFinD("ths_adjustment_nv_fund",B$3,$A961))</x:f>
        <x:v>#NAME?</x:v>
      </x:c>
      <x:c r="C961" s="146" t="e">
        <x:f>IF($A961="","",[1]!thsiFinD("ths_adjustment_nv_fund",C$3,$A961))</x:f>
        <x:v>#NAME?</x:v>
      </x:c>
      <x:c r="D961" s="146" t="e">
        <x:f>IF($A961="","",[1]!thsiFinD("ths_adjustment_nv_fund",D$3,$A961))</x:f>
        <x:v>#NAME?</x:v>
      </x:c>
      <x:c r="E961" s="146" t="e">
        <x:f>IF($A961="","",[1]!thsiFinD("ths_adjustment_nv_fund",E$3,$A961))</x:f>
        <x:v>#NAME?</x:v>
      </x:c>
      <x:c r="F961" s="146" t="e">
        <x:f>IF($A961="","",[1]!thsiFinD("ths_adjustment_nv_fund",F$3,$A961))</x:f>
        <x:v>#NAME?</x:v>
      </x:c>
      <x:c r="G961" s="146" t="e">
        <x:f>IF($A961="","",[1]!thsiFinD("ths_adjustment_nv_fund",G$3,$A961))</x:f>
        <x:v>#NAME?</x:v>
      </x:c>
      <x:c r="H961" s="146" t="e">
        <x:f>IF($A961="","",[1]!thsiFinD("ths_adjustment_nv_fund",H$3,$A961))</x:f>
        <x:v>#NAME?</x:v>
      </x:c>
      <x:c r="I961" s="146" t="e">
        <x:f>IF($A961="","",[1]!thsiFinD("ths_adjustment_nv_fund",I$3,$A961))</x:f>
        <x:v>#NAME?</x:v>
      </x:c>
      <x:c r="J961" s="146" t="e">
        <x:f>IF($A961="","",[1]!thsiFinD("ths_adjustment_nv_fund",J$3,$A961))</x:f>
        <x:v>#NAME?</x:v>
      </x:c>
      <x:c r="K961" s="146" t="e">
        <x:f>IF($A961="","",[1]!thsiFinD("ths_adjustment_nv_fund",K$3,$A961))</x:f>
        <x:v>#NAME?</x:v>
      </x:c>
      <x:c r="L961" s="146" t="e">
        <x:f>IF($A961="","",[1]!thsiFinD("ths_adjustment_nv_fund",L$3,$A961))</x:f>
        <x:v>#NAME?</x:v>
      </x:c>
      <x:c r="M961" s="146" t="e">
        <x:f>IF($A961="","",[1]!thsiFinD("ths_adjustment_nv_fund",M$3,$A961))</x:f>
        <x:v>#NAME?</x:v>
      </x:c>
      <x:c r="N961" s="146" t="e">
        <x:f>IF($A961="","",[1]!thsiFinD("ths_adjustment_nv_fund",N$3,$A961))</x:f>
        <x:v>#NAME?</x:v>
      </x:c>
      <x:c r="O961" s="146" t="e">
        <x:f>IF($A961="","",[1]!thsiFinD("ths_adjustment_nv_fund",O$3,$A961))</x:f>
        <x:v>#NAME?</x:v>
      </x:c>
      <x:c r="P961" s="146" t="e">
        <x:f>IF($A961="","",[1]!thsiFinD("ths_adjustment_nv_fund",P$3,$A961))</x:f>
        <x:v>#NAME?</x:v>
      </x:c>
      <x:c r="Q961" s="146" t="e">
        <x:f>IF($A961="","",[1]!thsiFinD("ths_adjustment_nv_fund",Q$3,$A961))</x:f>
        <x:v>#NAME?</x:v>
      </x:c>
      <x:c r="R961" s="146" t="e">
        <x:f>IF($A961="","",[1]!thsiFinD("ths_adjustment_nv_fund",R$3,$A961))</x:f>
        <x:v>#NAME?</x:v>
      </x:c>
      <x:c r="S961" s="146" t="e">
        <x:f>IF($A961="","",[1]!thsiFinD("ths_adjustment_nv_fund",S$3,$A961))</x:f>
        <x:v>#NAME?</x:v>
      </x:c>
      <x:c r="T961" s="146" t="e">
        <x:f>IF($A961="","",[1]!thsiFinD("ths_adjustment_nv_fund",T$3,$A961))</x:f>
        <x:v>#NAME?</x:v>
      </x:c>
      <x:c r="U961" s="146" t="e">
        <x:f>IF($A961="","",[1]!thsiFinD("ths_adjustment_nv_fund",U$3,$A961))</x:f>
        <x:v>#NAME?</x:v>
      </x:c>
      <x:c r="V961" s="146" t="e">
        <x:f>IF($A961="","",[1]!thsiFinD("ths_adjustment_nv_fund",V$3,$A961))</x:f>
        <x:v>#NAME?</x:v>
      </x:c>
      <x:c r="W961" s="146" t="e">
        <x:f>IF($A961="","",[1]!thsiFinD("ths_adjustment_nv_fund",W$3,$A961))</x:f>
        <x:v>#NAME?</x:v>
      </x:c>
      <x:c r="X961" s="146" t="e">
        <x:f>IF($A961="","",[1]!thsiFinD("ths_adjustment_nv_fund",X$3,$A961))</x:f>
        <x:v>#NAME?</x:v>
      </x:c>
      <x:c r="Y961" s="146" t="e">
        <x:f>IF($A961="","",[1]!thsiFinD("ths_adjustment_nv_fund",Y$3,$A961))</x:f>
        <x:v>#NAME?</x:v>
      </x:c>
      <x:c r="Z961" s="146" t="e">
        <x:f>IF($A961="","",[1]!thsiFinD("ths_adjustment_nv_fund",Z$3,$A961))</x:f>
        <x:v>#NAME?</x:v>
      </x:c>
      <x:c r="AA961" s="146" t="e">
        <x:f>IF($A961="","",[1]!thsiFinD("ths_adjustment_nv_fund",AA$3,$A961))</x:f>
        <x:v>#NAME?</x:v>
      </x:c>
    </x:row>
    <x:row r="962">
      <x:c r="B962" s="146" t="e">
        <x:f>IF($A962="","",[1]!thsiFinD("ths_adjustment_nv_fund",B$3,$A962))</x:f>
        <x:v>#NAME?</x:v>
      </x:c>
      <x:c r="C962" s="146" t="e">
        <x:f>IF($A962="","",[1]!thsiFinD("ths_adjustment_nv_fund",C$3,$A962))</x:f>
        <x:v>#NAME?</x:v>
      </x:c>
      <x:c r="D962" s="146" t="e">
        <x:f>IF($A962="","",[1]!thsiFinD("ths_adjustment_nv_fund",D$3,$A962))</x:f>
        <x:v>#NAME?</x:v>
      </x:c>
      <x:c r="E962" s="146" t="e">
        <x:f>IF($A962="","",[1]!thsiFinD("ths_adjustment_nv_fund",E$3,$A962))</x:f>
        <x:v>#NAME?</x:v>
      </x:c>
      <x:c r="F962" s="146" t="e">
        <x:f>IF($A962="","",[1]!thsiFinD("ths_adjustment_nv_fund",F$3,$A962))</x:f>
        <x:v>#NAME?</x:v>
      </x:c>
      <x:c r="G962" s="146" t="e">
        <x:f>IF($A962="","",[1]!thsiFinD("ths_adjustment_nv_fund",G$3,$A962))</x:f>
        <x:v>#NAME?</x:v>
      </x:c>
      <x:c r="H962" s="146" t="e">
        <x:f>IF($A962="","",[1]!thsiFinD("ths_adjustment_nv_fund",H$3,$A962))</x:f>
        <x:v>#NAME?</x:v>
      </x:c>
      <x:c r="I962" s="146" t="e">
        <x:f>IF($A962="","",[1]!thsiFinD("ths_adjustment_nv_fund",I$3,$A962))</x:f>
        <x:v>#NAME?</x:v>
      </x:c>
      <x:c r="J962" s="146" t="e">
        <x:f>IF($A962="","",[1]!thsiFinD("ths_adjustment_nv_fund",J$3,$A962))</x:f>
        <x:v>#NAME?</x:v>
      </x:c>
      <x:c r="K962" s="146" t="e">
        <x:f>IF($A962="","",[1]!thsiFinD("ths_adjustment_nv_fund",K$3,$A962))</x:f>
        <x:v>#NAME?</x:v>
      </x:c>
      <x:c r="L962" s="146" t="e">
        <x:f>IF($A962="","",[1]!thsiFinD("ths_adjustment_nv_fund",L$3,$A962))</x:f>
        <x:v>#NAME?</x:v>
      </x:c>
      <x:c r="M962" s="146" t="e">
        <x:f>IF($A962="","",[1]!thsiFinD("ths_adjustment_nv_fund",M$3,$A962))</x:f>
        <x:v>#NAME?</x:v>
      </x:c>
      <x:c r="N962" s="146" t="e">
        <x:f>IF($A962="","",[1]!thsiFinD("ths_adjustment_nv_fund",N$3,$A962))</x:f>
        <x:v>#NAME?</x:v>
      </x:c>
      <x:c r="O962" s="146" t="e">
        <x:f>IF($A962="","",[1]!thsiFinD("ths_adjustment_nv_fund",O$3,$A962))</x:f>
        <x:v>#NAME?</x:v>
      </x:c>
      <x:c r="P962" s="146" t="e">
        <x:f>IF($A962="","",[1]!thsiFinD("ths_adjustment_nv_fund",P$3,$A962))</x:f>
        <x:v>#NAME?</x:v>
      </x:c>
      <x:c r="Q962" s="146" t="e">
        <x:f>IF($A962="","",[1]!thsiFinD("ths_adjustment_nv_fund",Q$3,$A962))</x:f>
        <x:v>#NAME?</x:v>
      </x:c>
      <x:c r="R962" s="146" t="e">
        <x:f>IF($A962="","",[1]!thsiFinD("ths_adjustment_nv_fund",R$3,$A962))</x:f>
        <x:v>#NAME?</x:v>
      </x:c>
      <x:c r="S962" s="146" t="e">
        <x:f>IF($A962="","",[1]!thsiFinD("ths_adjustment_nv_fund",S$3,$A962))</x:f>
        <x:v>#NAME?</x:v>
      </x:c>
      <x:c r="T962" s="146" t="e">
        <x:f>IF($A962="","",[1]!thsiFinD("ths_adjustment_nv_fund",T$3,$A962))</x:f>
        <x:v>#NAME?</x:v>
      </x:c>
      <x:c r="U962" s="146" t="e">
        <x:f>IF($A962="","",[1]!thsiFinD("ths_adjustment_nv_fund",U$3,$A962))</x:f>
        <x:v>#NAME?</x:v>
      </x:c>
      <x:c r="V962" s="146" t="e">
        <x:f>IF($A962="","",[1]!thsiFinD("ths_adjustment_nv_fund",V$3,$A962))</x:f>
        <x:v>#NAME?</x:v>
      </x:c>
      <x:c r="W962" s="146" t="e">
        <x:f>IF($A962="","",[1]!thsiFinD("ths_adjustment_nv_fund",W$3,$A962))</x:f>
        <x:v>#NAME?</x:v>
      </x:c>
      <x:c r="X962" s="146" t="e">
        <x:f>IF($A962="","",[1]!thsiFinD("ths_adjustment_nv_fund",X$3,$A962))</x:f>
        <x:v>#NAME?</x:v>
      </x:c>
      <x:c r="Y962" s="146" t="e">
        <x:f>IF($A962="","",[1]!thsiFinD("ths_adjustment_nv_fund",Y$3,$A962))</x:f>
        <x:v>#NAME?</x:v>
      </x:c>
      <x:c r="Z962" s="146" t="e">
        <x:f>IF($A962="","",[1]!thsiFinD("ths_adjustment_nv_fund",Z$3,$A962))</x:f>
        <x:v>#NAME?</x:v>
      </x:c>
      <x:c r="AA962" s="146" t="e">
        <x:f>IF($A962="","",[1]!thsiFinD("ths_adjustment_nv_fund",AA$3,$A962))</x:f>
        <x:v>#NAME?</x:v>
      </x:c>
    </x:row>
    <x:row r="963">
      <x:c r="B963" s="146" t="e">
        <x:f>IF($A963="","",[1]!thsiFinD("ths_adjustment_nv_fund",B$3,$A963))</x:f>
        <x:v>#NAME?</x:v>
      </x:c>
      <x:c r="C963" s="146" t="e">
        <x:f>IF($A963="","",[1]!thsiFinD("ths_adjustment_nv_fund",C$3,$A963))</x:f>
        <x:v>#NAME?</x:v>
      </x:c>
      <x:c r="D963" s="146" t="e">
        <x:f>IF($A963="","",[1]!thsiFinD("ths_adjustment_nv_fund",D$3,$A963))</x:f>
        <x:v>#NAME?</x:v>
      </x:c>
      <x:c r="E963" s="146" t="e">
        <x:f>IF($A963="","",[1]!thsiFinD("ths_adjustment_nv_fund",E$3,$A963))</x:f>
        <x:v>#NAME?</x:v>
      </x:c>
      <x:c r="F963" s="146" t="e">
        <x:f>IF($A963="","",[1]!thsiFinD("ths_adjustment_nv_fund",F$3,$A963))</x:f>
        <x:v>#NAME?</x:v>
      </x:c>
      <x:c r="G963" s="146" t="e">
        <x:f>IF($A963="","",[1]!thsiFinD("ths_adjustment_nv_fund",G$3,$A963))</x:f>
        <x:v>#NAME?</x:v>
      </x:c>
      <x:c r="H963" s="146" t="e">
        <x:f>IF($A963="","",[1]!thsiFinD("ths_adjustment_nv_fund",H$3,$A963))</x:f>
        <x:v>#NAME?</x:v>
      </x:c>
      <x:c r="I963" s="146" t="e">
        <x:f>IF($A963="","",[1]!thsiFinD("ths_adjustment_nv_fund",I$3,$A963))</x:f>
        <x:v>#NAME?</x:v>
      </x:c>
      <x:c r="J963" s="146" t="e">
        <x:f>IF($A963="","",[1]!thsiFinD("ths_adjustment_nv_fund",J$3,$A963))</x:f>
        <x:v>#NAME?</x:v>
      </x:c>
      <x:c r="K963" s="146" t="e">
        <x:f>IF($A963="","",[1]!thsiFinD("ths_adjustment_nv_fund",K$3,$A963))</x:f>
        <x:v>#NAME?</x:v>
      </x:c>
      <x:c r="L963" s="146" t="e">
        <x:f>IF($A963="","",[1]!thsiFinD("ths_adjustment_nv_fund",L$3,$A963))</x:f>
        <x:v>#NAME?</x:v>
      </x:c>
      <x:c r="M963" s="146" t="e">
        <x:f>IF($A963="","",[1]!thsiFinD("ths_adjustment_nv_fund",M$3,$A963))</x:f>
        <x:v>#NAME?</x:v>
      </x:c>
      <x:c r="N963" s="146" t="e">
        <x:f>IF($A963="","",[1]!thsiFinD("ths_adjustment_nv_fund",N$3,$A963))</x:f>
        <x:v>#NAME?</x:v>
      </x:c>
      <x:c r="O963" s="146" t="e">
        <x:f>IF($A963="","",[1]!thsiFinD("ths_adjustment_nv_fund",O$3,$A963))</x:f>
        <x:v>#NAME?</x:v>
      </x:c>
      <x:c r="P963" s="146" t="e">
        <x:f>IF($A963="","",[1]!thsiFinD("ths_adjustment_nv_fund",P$3,$A963))</x:f>
        <x:v>#NAME?</x:v>
      </x:c>
      <x:c r="Q963" s="146" t="e">
        <x:f>IF($A963="","",[1]!thsiFinD("ths_adjustment_nv_fund",Q$3,$A963))</x:f>
        <x:v>#NAME?</x:v>
      </x:c>
      <x:c r="R963" s="146" t="e">
        <x:f>IF($A963="","",[1]!thsiFinD("ths_adjustment_nv_fund",R$3,$A963))</x:f>
        <x:v>#NAME?</x:v>
      </x:c>
      <x:c r="S963" s="146" t="e">
        <x:f>IF($A963="","",[1]!thsiFinD("ths_adjustment_nv_fund",S$3,$A963))</x:f>
        <x:v>#NAME?</x:v>
      </x:c>
      <x:c r="T963" s="146" t="e">
        <x:f>IF($A963="","",[1]!thsiFinD("ths_adjustment_nv_fund",T$3,$A963))</x:f>
        <x:v>#NAME?</x:v>
      </x:c>
      <x:c r="U963" s="146" t="e">
        <x:f>IF($A963="","",[1]!thsiFinD("ths_adjustment_nv_fund",U$3,$A963))</x:f>
        <x:v>#NAME?</x:v>
      </x:c>
      <x:c r="V963" s="146" t="e">
        <x:f>IF($A963="","",[1]!thsiFinD("ths_adjustment_nv_fund",V$3,$A963))</x:f>
        <x:v>#NAME?</x:v>
      </x:c>
      <x:c r="W963" s="146" t="e">
        <x:f>IF($A963="","",[1]!thsiFinD("ths_adjustment_nv_fund",W$3,$A963))</x:f>
        <x:v>#NAME?</x:v>
      </x:c>
      <x:c r="X963" s="146" t="e">
        <x:f>IF($A963="","",[1]!thsiFinD("ths_adjustment_nv_fund",X$3,$A963))</x:f>
        <x:v>#NAME?</x:v>
      </x:c>
      <x:c r="Y963" s="146" t="e">
        <x:f>IF($A963="","",[1]!thsiFinD("ths_adjustment_nv_fund",Y$3,$A963))</x:f>
        <x:v>#NAME?</x:v>
      </x:c>
      <x:c r="Z963" s="146" t="e">
        <x:f>IF($A963="","",[1]!thsiFinD("ths_adjustment_nv_fund",Z$3,$A963))</x:f>
        <x:v>#NAME?</x:v>
      </x:c>
      <x:c r="AA963" s="146" t="e">
        <x:f>IF($A963="","",[1]!thsiFinD("ths_adjustment_nv_fund",AA$3,$A963))</x:f>
        <x:v>#NAME?</x:v>
      </x:c>
    </x:row>
    <x:row r="964">
      <x:c r="B964" s="146" t="e">
        <x:f>IF($A964="","",[1]!thsiFinD("ths_adjustment_nv_fund",B$3,$A964))</x:f>
        <x:v>#NAME?</x:v>
      </x:c>
      <x:c r="C964" s="146" t="e">
        <x:f>IF($A964="","",[1]!thsiFinD("ths_adjustment_nv_fund",C$3,$A964))</x:f>
        <x:v>#NAME?</x:v>
      </x:c>
      <x:c r="D964" s="146" t="e">
        <x:f>IF($A964="","",[1]!thsiFinD("ths_adjustment_nv_fund",D$3,$A964))</x:f>
        <x:v>#NAME?</x:v>
      </x:c>
      <x:c r="E964" s="146" t="e">
        <x:f>IF($A964="","",[1]!thsiFinD("ths_adjustment_nv_fund",E$3,$A964))</x:f>
        <x:v>#NAME?</x:v>
      </x:c>
      <x:c r="F964" s="146" t="e">
        <x:f>IF($A964="","",[1]!thsiFinD("ths_adjustment_nv_fund",F$3,$A964))</x:f>
        <x:v>#NAME?</x:v>
      </x:c>
      <x:c r="G964" s="146" t="e">
        <x:f>IF($A964="","",[1]!thsiFinD("ths_adjustment_nv_fund",G$3,$A964))</x:f>
        <x:v>#NAME?</x:v>
      </x:c>
      <x:c r="H964" s="146" t="e">
        <x:f>IF($A964="","",[1]!thsiFinD("ths_adjustment_nv_fund",H$3,$A964))</x:f>
        <x:v>#NAME?</x:v>
      </x:c>
      <x:c r="I964" s="146" t="e">
        <x:f>IF($A964="","",[1]!thsiFinD("ths_adjustment_nv_fund",I$3,$A964))</x:f>
        <x:v>#NAME?</x:v>
      </x:c>
      <x:c r="J964" s="146" t="e">
        <x:f>IF($A964="","",[1]!thsiFinD("ths_adjustment_nv_fund",J$3,$A964))</x:f>
        <x:v>#NAME?</x:v>
      </x:c>
      <x:c r="K964" s="146" t="e">
        <x:f>IF($A964="","",[1]!thsiFinD("ths_adjustment_nv_fund",K$3,$A964))</x:f>
        <x:v>#NAME?</x:v>
      </x:c>
      <x:c r="L964" s="146" t="e">
        <x:f>IF($A964="","",[1]!thsiFinD("ths_adjustment_nv_fund",L$3,$A964))</x:f>
        <x:v>#NAME?</x:v>
      </x:c>
      <x:c r="M964" s="146" t="e">
        <x:f>IF($A964="","",[1]!thsiFinD("ths_adjustment_nv_fund",M$3,$A964))</x:f>
        <x:v>#NAME?</x:v>
      </x:c>
      <x:c r="N964" s="146" t="e">
        <x:f>IF($A964="","",[1]!thsiFinD("ths_adjustment_nv_fund",N$3,$A964))</x:f>
        <x:v>#NAME?</x:v>
      </x:c>
      <x:c r="O964" s="146" t="e">
        <x:f>IF($A964="","",[1]!thsiFinD("ths_adjustment_nv_fund",O$3,$A964))</x:f>
        <x:v>#NAME?</x:v>
      </x:c>
      <x:c r="P964" s="146" t="e">
        <x:f>IF($A964="","",[1]!thsiFinD("ths_adjustment_nv_fund",P$3,$A964))</x:f>
        <x:v>#NAME?</x:v>
      </x:c>
      <x:c r="Q964" s="146" t="e">
        <x:f>IF($A964="","",[1]!thsiFinD("ths_adjustment_nv_fund",Q$3,$A964))</x:f>
        <x:v>#NAME?</x:v>
      </x:c>
      <x:c r="R964" s="146" t="e">
        <x:f>IF($A964="","",[1]!thsiFinD("ths_adjustment_nv_fund",R$3,$A964))</x:f>
        <x:v>#NAME?</x:v>
      </x:c>
      <x:c r="S964" s="146" t="e">
        <x:f>IF($A964="","",[1]!thsiFinD("ths_adjustment_nv_fund",S$3,$A964))</x:f>
        <x:v>#NAME?</x:v>
      </x:c>
      <x:c r="T964" s="146" t="e">
        <x:f>IF($A964="","",[1]!thsiFinD("ths_adjustment_nv_fund",T$3,$A964))</x:f>
        <x:v>#NAME?</x:v>
      </x:c>
      <x:c r="U964" s="146" t="e">
        <x:f>IF($A964="","",[1]!thsiFinD("ths_adjustment_nv_fund",U$3,$A964))</x:f>
        <x:v>#NAME?</x:v>
      </x:c>
      <x:c r="V964" s="146" t="e">
        <x:f>IF($A964="","",[1]!thsiFinD("ths_adjustment_nv_fund",V$3,$A964))</x:f>
        <x:v>#NAME?</x:v>
      </x:c>
      <x:c r="W964" s="146" t="e">
        <x:f>IF($A964="","",[1]!thsiFinD("ths_adjustment_nv_fund",W$3,$A964))</x:f>
        <x:v>#NAME?</x:v>
      </x:c>
      <x:c r="X964" s="146" t="e">
        <x:f>IF($A964="","",[1]!thsiFinD("ths_adjustment_nv_fund",X$3,$A964))</x:f>
        <x:v>#NAME?</x:v>
      </x:c>
      <x:c r="Y964" s="146" t="e">
        <x:f>IF($A964="","",[1]!thsiFinD("ths_adjustment_nv_fund",Y$3,$A964))</x:f>
        <x:v>#NAME?</x:v>
      </x:c>
      <x:c r="Z964" s="146" t="e">
        <x:f>IF($A964="","",[1]!thsiFinD("ths_adjustment_nv_fund",Z$3,$A964))</x:f>
        <x:v>#NAME?</x:v>
      </x:c>
      <x:c r="AA964" s="146" t="e">
        <x:f>IF($A964="","",[1]!thsiFinD("ths_adjustment_nv_fund",AA$3,$A964))</x:f>
        <x:v>#NAME?</x:v>
      </x:c>
    </x:row>
    <x:row r="965">
      <x:c r="B965" s="146" t="e">
        <x:f>IF($A965="","",[1]!thsiFinD("ths_adjustment_nv_fund",B$3,$A965))</x:f>
        <x:v>#NAME?</x:v>
      </x:c>
      <x:c r="C965" s="146" t="e">
        <x:f>IF($A965="","",[1]!thsiFinD("ths_adjustment_nv_fund",C$3,$A965))</x:f>
        <x:v>#NAME?</x:v>
      </x:c>
      <x:c r="D965" s="146" t="e">
        <x:f>IF($A965="","",[1]!thsiFinD("ths_adjustment_nv_fund",D$3,$A965))</x:f>
        <x:v>#NAME?</x:v>
      </x:c>
      <x:c r="E965" s="146" t="e">
        <x:f>IF($A965="","",[1]!thsiFinD("ths_adjustment_nv_fund",E$3,$A965))</x:f>
        <x:v>#NAME?</x:v>
      </x:c>
      <x:c r="F965" s="146" t="e">
        <x:f>IF($A965="","",[1]!thsiFinD("ths_adjustment_nv_fund",F$3,$A965))</x:f>
        <x:v>#NAME?</x:v>
      </x:c>
      <x:c r="G965" s="146" t="e">
        <x:f>IF($A965="","",[1]!thsiFinD("ths_adjustment_nv_fund",G$3,$A965))</x:f>
        <x:v>#NAME?</x:v>
      </x:c>
      <x:c r="H965" s="146" t="e">
        <x:f>IF($A965="","",[1]!thsiFinD("ths_adjustment_nv_fund",H$3,$A965))</x:f>
        <x:v>#NAME?</x:v>
      </x:c>
      <x:c r="I965" s="146" t="e">
        <x:f>IF($A965="","",[1]!thsiFinD("ths_adjustment_nv_fund",I$3,$A965))</x:f>
        <x:v>#NAME?</x:v>
      </x:c>
      <x:c r="J965" s="146" t="e">
        <x:f>IF($A965="","",[1]!thsiFinD("ths_adjustment_nv_fund",J$3,$A965))</x:f>
        <x:v>#NAME?</x:v>
      </x:c>
      <x:c r="K965" s="146" t="e">
        <x:f>IF($A965="","",[1]!thsiFinD("ths_adjustment_nv_fund",K$3,$A965))</x:f>
        <x:v>#NAME?</x:v>
      </x:c>
      <x:c r="L965" s="146" t="e">
        <x:f>IF($A965="","",[1]!thsiFinD("ths_adjustment_nv_fund",L$3,$A965))</x:f>
        <x:v>#NAME?</x:v>
      </x:c>
      <x:c r="M965" s="146" t="e">
        <x:f>IF($A965="","",[1]!thsiFinD("ths_adjustment_nv_fund",M$3,$A965))</x:f>
        <x:v>#NAME?</x:v>
      </x:c>
      <x:c r="N965" s="146" t="e">
        <x:f>IF($A965="","",[1]!thsiFinD("ths_adjustment_nv_fund",N$3,$A965))</x:f>
        <x:v>#NAME?</x:v>
      </x:c>
      <x:c r="O965" s="146" t="e">
        <x:f>IF($A965="","",[1]!thsiFinD("ths_adjustment_nv_fund",O$3,$A965))</x:f>
        <x:v>#NAME?</x:v>
      </x:c>
      <x:c r="P965" s="146" t="e">
        <x:f>IF($A965="","",[1]!thsiFinD("ths_adjustment_nv_fund",P$3,$A965))</x:f>
        <x:v>#NAME?</x:v>
      </x:c>
      <x:c r="Q965" s="146" t="e">
        <x:f>IF($A965="","",[1]!thsiFinD("ths_adjustment_nv_fund",Q$3,$A965))</x:f>
        <x:v>#NAME?</x:v>
      </x:c>
      <x:c r="R965" s="146" t="e">
        <x:f>IF($A965="","",[1]!thsiFinD("ths_adjustment_nv_fund",R$3,$A965))</x:f>
        <x:v>#NAME?</x:v>
      </x:c>
      <x:c r="S965" s="146" t="e">
        <x:f>IF($A965="","",[1]!thsiFinD("ths_adjustment_nv_fund",S$3,$A965))</x:f>
        <x:v>#NAME?</x:v>
      </x:c>
      <x:c r="T965" s="146" t="e">
        <x:f>IF($A965="","",[1]!thsiFinD("ths_adjustment_nv_fund",T$3,$A965))</x:f>
        <x:v>#NAME?</x:v>
      </x:c>
      <x:c r="U965" s="146" t="e">
        <x:f>IF($A965="","",[1]!thsiFinD("ths_adjustment_nv_fund",U$3,$A965))</x:f>
        <x:v>#NAME?</x:v>
      </x:c>
      <x:c r="V965" s="146" t="e">
        <x:f>IF($A965="","",[1]!thsiFinD("ths_adjustment_nv_fund",V$3,$A965))</x:f>
        <x:v>#NAME?</x:v>
      </x:c>
      <x:c r="W965" s="146" t="e">
        <x:f>IF($A965="","",[1]!thsiFinD("ths_adjustment_nv_fund",W$3,$A965))</x:f>
        <x:v>#NAME?</x:v>
      </x:c>
      <x:c r="X965" s="146" t="e">
        <x:f>IF($A965="","",[1]!thsiFinD("ths_adjustment_nv_fund",X$3,$A965))</x:f>
        <x:v>#NAME?</x:v>
      </x:c>
      <x:c r="Y965" s="146" t="e">
        <x:f>IF($A965="","",[1]!thsiFinD("ths_adjustment_nv_fund",Y$3,$A965))</x:f>
        <x:v>#NAME?</x:v>
      </x:c>
      <x:c r="Z965" s="146" t="e">
        <x:f>IF($A965="","",[1]!thsiFinD("ths_adjustment_nv_fund",Z$3,$A965))</x:f>
        <x:v>#NAME?</x:v>
      </x:c>
      <x:c r="AA965" s="146" t="e">
        <x:f>IF($A965="","",[1]!thsiFinD("ths_adjustment_nv_fund",AA$3,$A965))</x:f>
        <x:v>#NAME?</x:v>
      </x:c>
    </x:row>
    <x:row r="966">
      <x:c r="B966" s="146" t="e">
        <x:f>IF($A966="","",[1]!thsiFinD("ths_adjustment_nv_fund",B$3,$A966))</x:f>
        <x:v>#NAME?</x:v>
      </x:c>
      <x:c r="C966" s="146" t="e">
        <x:f>IF($A966="","",[1]!thsiFinD("ths_adjustment_nv_fund",C$3,$A966))</x:f>
        <x:v>#NAME?</x:v>
      </x:c>
      <x:c r="D966" s="146" t="e">
        <x:f>IF($A966="","",[1]!thsiFinD("ths_adjustment_nv_fund",D$3,$A966))</x:f>
        <x:v>#NAME?</x:v>
      </x:c>
      <x:c r="E966" s="146" t="e">
        <x:f>IF($A966="","",[1]!thsiFinD("ths_adjustment_nv_fund",E$3,$A966))</x:f>
        <x:v>#NAME?</x:v>
      </x:c>
      <x:c r="F966" s="146" t="e">
        <x:f>IF($A966="","",[1]!thsiFinD("ths_adjustment_nv_fund",F$3,$A966))</x:f>
        <x:v>#NAME?</x:v>
      </x:c>
      <x:c r="G966" s="146" t="e">
        <x:f>IF($A966="","",[1]!thsiFinD("ths_adjustment_nv_fund",G$3,$A966))</x:f>
        <x:v>#NAME?</x:v>
      </x:c>
      <x:c r="H966" s="146" t="e">
        <x:f>IF($A966="","",[1]!thsiFinD("ths_adjustment_nv_fund",H$3,$A966))</x:f>
        <x:v>#NAME?</x:v>
      </x:c>
      <x:c r="I966" s="146" t="e">
        <x:f>IF($A966="","",[1]!thsiFinD("ths_adjustment_nv_fund",I$3,$A966))</x:f>
        <x:v>#NAME?</x:v>
      </x:c>
      <x:c r="J966" s="146" t="e">
        <x:f>IF($A966="","",[1]!thsiFinD("ths_adjustment_nv_fund",J$3,$A966))</x:f>
        <x:v>#NAME?</x:v>
      </x:c>
      <x:c r="K966" s="146" t="e">
        <x:f>IF($A966="","",[1]!thsiFinD("ths_adjustment_nv_fund",K$3,$A966))</x:f>
        <x:v>#NAME?</x:v>
      </x:c>
      <x:c r="L966" s="146" t="e">
        <x:f>IF($A966="","",[1]!thsiFinD("ths_adjustment_nv_fund",L$3,$A966))</x:f>
        <x:v>#NAME?</x:v>
      </x:c>
      <x:c r="M966" s="146" t="e">
        <x:f>IF($A966="","",[1]!thsiFinD("ths_adjustment_nv_fund",M$3,$A966))</x:f>
        <x:v>#NAME?</x:v>
      </x:c>
      <x:c r="N966" s="146" t="e">
        <x:f>IF($A966="","",[1]!thsiFinD("ths_adjustment_nv_fund",N$3,$A966))</x:f>
        <x:v>#NAME?</x:v>
      </x:c>
      <x:c r="O966" s="146" t="e">
        <x:f>IF($A966="","",[1]!thsiFinD("ths_adjustment_nv_fund",O$3,$A966))</x:f>
        <x:v>#NAME?</x:v>
      </x:c>
      <x:c r="P966" s="146" t="e">
        <x:f>IF($A966="","",[1]!thsiFinD("ths_adjustment_nv_fund",P$3,$A966))</x:f>
        <x:v>#NAME?</x:v>
      </x:c>
      <x:c r="Q966" s="146" t="e">
        <x:f>IF($A966="","",[1]!thsiFinD("ths_adjustment_nv_fund",Q$3,$A966))</x:f>
        <x:v>#NAME?</x:v>
      </x:c>
      <x:c r="R966" s="146" t="e">
        <x:f>IF($A966="","",[1]!thsiFinD("ths_adjustment_nv_fund",R$3,$A966))</x:f>
        <x:v>#NAME?</x:v>
      </x:c>
      <x:c r="S966" s="146" t="e">
        <x:f>IF($A966="","",[1]!thsiFinD("ths_adjustment_nv_fund",S$3,$A966))</x:f>
        <x:v>#NAME?</x:v>
      </x:c>
      <x:c r="T966" s="146" t="e">
        <x:f>IF($A966="","",[1]!thsiFinD("ths_adjustment_nv_fund",T$3,$A966))</x:f>
        <x:v>#NAME?</x:v>
      </x:c>
      <x:c r="U966" s="146" t="e">
        <x:f>IF($A966="","",[1]!thsiFinD("ths_adjustment_nv_fund",U$3,$A966))</x:f>
        <x:v>#NAME?</x:v>
      </x:c>
      <x:c r="V966" s="146" t="e">
        <x:f>IF($A966="","",[1]!thsiFinD("ths_adjustment_nv_fund",V$3,$A966))</x:f>
        <x:v>#NAME?</x:v>
      </x:c>
      <x:c r="W966" s="146" t="e">
        <x:f>IF($A966="","",[1]!thsiFinD("ths_adjustment_nv_fund",W$3,$A966))</x:f>
        <x:v>#NAME?</x:v>
      </x:c>
      <x:c r="X966" s="146" t="e">
        <x:f>IF($A966="","",[1]!thsiFinD("ths_adjustment_nv_fund",X$3,$A966))</x:f>
        <x:v>#NAME?</x:v>
      </x:c>
      <x:c r="Y966" s="146" t="e">
        <x:f>IF($A966="","",[1]!thsiFinD("ths_adjustment_nv_fund",Y$3,$A966))</x:f>
        <x:v>#NAME?</x:v>
      </x:c>
      <x:c r="Z966" s="146" t="e">
        <x:f>IF($A966="","",[1]!thsiFinD("ths_adjustment_nv_fund",Z$3,$A966))</x:f>
        <x:v>#NAME?</x:v>
      </x:c>
      <x:c r="AA966" s="146" t="e">
        <x:f>IF($A966="","",[1]!thsiFinD("ths_adjustment_nv_fund",AA$3,$A966))</x:f>
        <x:v>#NAME?</x:v>
      </x:c>
    </x:row>
    <x:row r="967">
      <x:c r="B967" s="146" t="e">
        <x:f>IF($A967="","",[1]!thsiFinD("ths_adjustment_nv_fund",B$3,$A967))</x:f>
        <x:v>#NAME?</x:v>
      </x:c>
      <x:c r="C967" s="146" t="e">
        <x:f>IF($A967="","",[1]!thsiFinD("ths_adjustment_nv_fund",C$3,$A967))</x:f>
        <x:v>#NAME?</x:v>
      </x:c>
      <x:c r="D967" s="146" t="e">
        <x:f>IF($A967="","",[1]!thsiFinD("ths_adjustment_nv_fund",D$3,$A967))</x:f>
        <x:v>#NAME?</x:v>
      </x:c>
      <x:c r="E967" s="146" t="e">
        <x:f>IF($A967="","",[1]!thsiFinD("ths_adjustment_nv_fund",E$3,$A967))</x:f>
        <x:v>#NAME?</x:v>
      </x:c>
      <x:c r="F967" s="146" t="e">
        <x:f>IF($A967="","",[1]!thsiFinD("ths_adjustment_nv_fund",F$3,$A967))</x:f>
        <x:v>#NAME?</x:v>
      </x:c>
      <x:c r="G967" s="146" t="e">
        <x:f>IF($A967="","",[1]!thsiFinD("ths_adjustment_nv_fund",G$3,$A967))</x:f>
        <x:v>#NAME?</x:v>
      </x:c>
      <x:c r="H967" s="146" t="e">
        <x:f>IF($A967="","",[1]!thsiFinD("ths_adjustment_nv_fund",H$3,$A967))</x:f>
        <x:v>#NAME?</x:v>
      </x:c>
      <x:c r="I967" s="146" t="e">
        <x:f>IF($A967="","",[1]!thsiFinD("ths_adjustment_nv_fund",I$3,$A967))</x:f>
        <x:v>#NAME?</x:v>
      </x:c>
      <x:c r="J967" s="146" t="e">
        <x:f>IF($A967="","",[1]!thsiFinD("ths_adjustment_nv_fund",J$3,$A967))</x:f>
        <x:v>#NAME?</x:v>
      </x:c>
      <x:c r="K967" s="146" t="e">
        <x:f>IF($A967="","",[1]!thsiFinD("ths_adjustment_nv_fund",K$3,$A967))</x:f>
        <x:v>#NAME?</x:v>
      </x:c>
      <x:c r="L967" s="146" t="e">
        <x:f>IF($A967="","",[1]!thsiFinD("ths_adjustment_nv_fund",L$3,$A967))</x:f>
        <x:v>#NAME?</x:v>
      </x:c>
      <x:c r="M967" s="146" t="e">
        <x:f>IF($A967="","",[1]!thsiFinD("ths_adjustment_nv_fund",M$3,$A967))</x:f>
        <x:v>#NAME?</x:v>
      </x:c>
      <x:c r="N967" s="146" t="e">
        <x:f>IF($A967="","",[1]!thsiFinD("ths_adjustment_nv_fund",N$3,$A967))</x:f>
        <x:v>#NAME?</x:v>
      </x:c>
      <x:c r="O967" s="146" t="e">
        <x:f>IF($A967="","",[1]!thsiFinD("ths_adjustment_nv_fund",O$3,$A967))</x:f>
        <x:v>#NAME?</x:v>
      </x:c>
      <x:c r="P967" s="146" t="e">
        <x:f>IF($A967="","",[1]!thsiFinD("ths_adjustment_nv_fund",P$3,$A967))</x:f>
        <x:v>#NAME?</x:v>
      </x:c>
      <x:c r="Q967" s="146" t="e">
        <x:f>IF($A967="","",[1]!thsiFinD("ths_adjustment_nv_fund",Q$3,$A967))</x:f>
        <x:v>#NAME?</x:v>
      </x:c>
      <x:c r="R967" s="146" t="e">
        <x:f>IF($A967="","",[1]!thsiFinD("ths_adjustment_nv_fund",R$3,$A967))</x:f>
        <x:v>#NAME?</x:v>
      </x:c>
      <x:c r="S967" s="146" t="e">
        <x:f>IF($A967="","",[1]!thsiFinD("ths_adjustment_nv_fund",S$3,$A967))</x:f>
        <x:v>#NAME?</x:v>
      </x:c>
      <x:c r="T967" s="146" t="e">
        <x:f>IF($A967="","",[1]!thsiFinD("ths_adjustment_nv_fund",T$3,$A967))</x:f>
        <x:v>#NAME?</x:v>
      </x:c>
      <x:c r="U967" s="146" t="e">
        <x:f>IF($A967="","",[1]!thsiFinD("ths_adjustment_nv_fund",U$3,$A967))</x:f>
        <x:v>#NAME?</x:v>
      </x:c>
      <x:c r="V967" s="146" t="e">
        <x:f>IF($A967="","",[1]!thsiFinD("ths_adjustment_nv_fund",V$3,$A967))</x:f>
        <x:v>#NAME?</x:v>
      </x:c>
      <x:c r="W967" s="146" t="e">
        <x:f>IF($A967="","",[1]!thsiFinD("ths_adjustment_nv_fund",W$3,$A967))</x:f>
        <x:v>#NAME?</x:v>
      </x:c>
      <x:c r="X967" s="146" t="e">
        <x:f>IF($A967="","",[1]!thsiFinD("ths_adjustment_nv_fund",X$3,$A967))</x:f>
        <x:v>#NAME?</x:v>
      </x:c>
      <x:c r="Y967" s="146" t="e">
        <x:f>IF($A967="","",[1]!thsiFinD("ths_adjustment_nv_fund",Y$3,$A967))</x:f>
        <x:v>#NAME?</x:v>
      </x:c>
      <x:c r="Z967" s="146" t="e">
        <x:f>IF($A967="","",[1]!thsiFinD("ths_adjustment_nv_fund",Z$3,$A967))</x:f>
        <x:v>#NAME?</x:v>
      </x:c>
      <x:c r="AA967" s="146" t="e">
        <x:f>IF($A967="","",[1]!thsiFinD("ths_adjustment_nv_fund",AA$3,$A967))</x:f>
        <x:v>#NAME?</x:v>
      </x:c>
    </x:row>
    <x:row r="968">
      <x:c r="B968" s="146" t="e">
        <x:f>IF($A968="","",[1]!thsiFinD("ths_adjustment_nv_fund",B$3,$A968))</x:f>
        <x:v>#NAME?</x:v>
      </x:c>
      <x:c r="C968" s="146" t="e">
        <x:f>IF($A968="","",[1]!thsiFinD("ths_adjustment_nv_fund",C$3,$A968))</x:f>
        <x:v>#NAME?</x:v>
      </x:c>
      <x:c r="D968" s="146" t="e">
        <x:f>IF($A968="","",[1]!thsiFinD("ths_adjustment_nv_fund",D$3,$A968))</x:f>
        <x:v>#NAME?</x:v>
      </x:c>
      <x:c r="E968" s="146" t="e">
        <x:f>IF($A968="","",[1]!thsiFinD("ths_adjustment_nv_fund",E$3,$A968))</x:f>
        <x:v>#NAME?</x:v>
      </x:c>
      <x:c r="F968" s="146" t="e">
        <x:f>IF($A968="","",[1]!thsiFinD("ths_adjustment_nv_fund",F$3,$A968))</x:f>
        <x:v>#NAME?</x:v>
      </x:c>
      <x:c r="G968" s="146" t="e">
        <x:f>IF($A968="","",[1]!thsiFinD("ths_adjustment_nv_fund",G$3,$A968))</x:f>
        <x:v>#NAME?</x:v>
      </x:c>
      <x:c r="H968" s="146" t="e">
        <x:f>IF($A968="","",[1]!thsiFinD("ths_adjustment_nv_fund",H$3,$A968))</x:f>
        <x:v>#NAME?</x:v>
      </x:c>
      <x:c r="I968" s="146" t="e">
        <x:f>IF($A968="","",[1]!thsiFinD("ths_adjustment_nv_fund",I$3,$A968))</x:f>
        <x:v>#NAME?</x:v>
      </x:c>
      <x:c r="J968" s="146" t="e">
        <x:f>IF($A968="","",[1]!thsiFinD("ths_adjustment_nv_fund",J$3,$A968))</x:f>
        <x:v>#NAME?</x:v>
      </x:c>
      <x:c r="K968" s="146" t="e">
        <x:f>IF($A968="","",[1]!thsiFinD("ths_adjustment_nv_fund",K$3,$A968))</x:f>
        <x:v>#NAME?</x:v>
      </x:c>
      <x:c r="L968" s="146" t="e">
        <x:f>IF($A968="","",[1]!thsiFinD("ths_adjustment_nv_fund",L$3,$A968))</x:f>
        <x:v>#NAME?</x:v>
      </x:c>
      <x:c r="M968" s="146" t="e">
        <x:f>IF($A968="","",[1]!thsiFinD("ths_adjustment_nv_fund",M$3,$A968))</x:f>
        <x:v>#NAME?</x:v>
      </x:c>
      <x:c r="N968" s="146" t="e">
        <x:f>IF($A968="","",[1]!thsiFinD("ths_adjustment_nv_fund",N$3,$A968))</x:f>
        <x:v>#NAME?</x:v>
      </x:c>
      <x:c r="O968" s="146" t="e">
        <x:f>IF($A968="","",[1]!thsiFinD("ths_adjustment_nv_fund",O$3,$A968))</x:f>
        <x:v>#NAME?</x:v>
      </x:c>
      <x:c r="P968" s="146" t="e">
        <x:f>IF($A968="","",[1]!thsiFinD("ths_adjustment_nv_fund",P$3,$A968))</x:f>
        <x:v>#NAME?</x:v>
      </x:c>
      <x:c r="Q968" s="146" t="e">
        <x:f>IF($A968="","",[1]!thsiFinD("ths_adjustment_nv_fund",Q$3,$A968))</x:f>
        <x:v>#NAME?</x:v>
      </x:c>
      <x:c r="R968" s="146" t="e">
        <x:f>IF($A968="","",[1]!thsiFinD("ths_adjustment_nv_fund",R$3,$A968))</x:f>
        <x:v>#NAME?</x:v>
      </x:c>
      <x:c r="S968" s="146" t="e">
        <x:f>IF($A968="","",[1]!thsiFinD("ths_adjustment_nv_fund",S$3,$A968))</x:f>
        <x:v>#NAME?</x:v>
      </x:c>
      <x:c r="T968" s="146" t="e">
        <x:f>IF($A968="","",[1]!thsiFinD("ths_adjustment_nv_fund",T$3,$A968))</x:f>
        <x:v>#NAME?</x:v>
      </x:c>
      <x:c r="U968" s="146" t="e">
        <x:f>IF($A968="","",[1]!thsiFinD("ths_adjustment_nv_fund",U$3,$A968))</x:f>
        <x:v>#NAME?</x:v>
      </x:c>
      <x:c r="V968" s="146" t="e">
        <x:f>IF($A968="","",[1]!thsiFinD("ths_adjustment_nv_fund",V$3,$A968))</x:f>
        <x:v>#NAME?</x:v>
      </x:c>
      <x:c r="W968" s="146" t="e">
        <x:f>IF($A968="","",[1]!thsiFinD("ths_adjustment_nv_fund",W$3,$A968))</x:f>
        <x:v>#NAME?</x:v>
      </x:c>
      <x:c r="X968" s="146" t="e">
        <x:f>IF($A968="","",[1]!thsiFinD("ths_adjustment_nv_fund",X$3,$A968))</x:f>
        <x:v>#NAME?</x:v>
      </x:c>
      <x:c r="Y968" s="146" t="e">
        <x:f>IF($A968="","",[1]!thsiFinD("ths_adjustment_nv_fund",Y$3,$A968))</x:f>
        <x:v>#NAME?</x:v>
      </x:c>
      <x:c r="Z968" s="146" t="e">
        <x:f>IF($A968="","",[1]!thsiFinD("ths_adjustment_nv_fund",Z$3,$A968))</x:f>
        <x:v>#NAME?</x:v>
      </x:c>
      <x:c r="AA968" s="146" t="e">
        <x:f>IF($A968="","",[1]!thsiFinD("ths_adjustment_nv_fund",AA$3,$A968))</x:f>
        <x:v>#NAME?</x:v>
      </x:c>
    </x:row>
    <x:row r="969">
      <x:c r="B969" s="146" t="e">
        <x:f>IF($A969="","",[1]!thsiFinD("ths_adjustment_nv_fund",B$3,$A969))</x:f>
        <x:v>#NAME?</x:v>
      </x:c>
      <x:c r="C969" s="146" t="e">
        <x:f>IF($A969="","",[1]!thsiFinD("ths_adjustment_nv_fund",C$3,$A969))</x:f>
        <x:v>#NAME?</x:v>
      </x:c>
      <x:c r="D969" s="146" t="e">
        <x:f>IF($A969="","",[1]!thsiFinD("ths_adjustment_nv_fund",D$3,$A969))</x:f>
        <x:v>#NAME?</x:v>
      </x:c>
      <x:c r="E969" s="146" t="e">
        <x:f>IF($A969="","",[1]!thsiFinD("ths_adjustment_nv_fund",E$3,$A969))</x:f>
        <x:v>#NAME?</x:v>
      </x:c>
      <x:c r="F969" s="146" t="e">
        <x:f>IF($A969="","",[1]!thsiFinD("ths_adjustment_nv_fund",F$3,$A969))</x:f>
        <x:v>#NAME?</x:v>
      </x:c>
      <x:c r="G969" s="146" t="e">
        <x:f>IF($A969="","",[1]!thsiFinD("ths_adjustment_nv_fund",G$3,$A969))</x:f>
        <x:v>#NAME?</x:v>
      </x:c>
      <x:c r="H969" s="146" t="e">
        <x:f>IF($A969="","",[1]!thsiFinD("ths_adjustment_nv_fund",H$3,$A969))</x:f>
        <x:v>#NAME?</x:v>
      </x:c>
      <x:c r="I969" s="146" t="e">
        <x:f>IF($A969="","",[1]!thsiFinD("ths_adjustment_nv_fund",I$3,$A969))</x:f>
        <x:v>#NAME?</x:v>
      </x:c>
      <x:c r="J969" s="146" t="e">
        <x:f>IF($A969="","",[1]!thsiFinD("ths_adjustment_nv_fund",J$3,$A969))</x:f>
        <x:v>#NAME?</x:v>
      </x:c>
      <x:c r="K969" s="146" t="e">
        <x:f>IF($A969="","",[1]!thsiFinD("ths_adjustment_nv_fund",K$3,$A969))</x:f>
        <x:v>#NAME?</x:v>
      </x:c>
      <x:c r="L969" s="146" t="e">
        <x:f>IF($A969="","",[1]!thsiFinD("ths_adjustment_nv_fund",L$3,$A969))</x:f>
        <x:v>#NAME?</x:v>
      </x:c>
      <x:c r="M969" s="146" t="e">
        <x:f>IF($A969="","",[1]!thsiFinD("ths_adjustment_nv_fund",M$3,$A969))</x:f>
        <x:v>#NAME?</x:v>
      </x:c>
      <x:c r="N969" s="146" t="e">
        <x:f>IF($A969="","",[1]!thsiFinD("ths_adjustment_nv_fund",N$3,$A969))</x:f>
        <x:v>#NAME?</x:v>
      </x:c>
      <x:c r="O969" s="146" t="e">
        <x:f>IF($A969="","",[1]!thsiFinD("ths_adjustment_nv_fund",O$3,$A969))</x:f>
        <x:v>#NAME?</x:v>
      </x:c>
      <x:c r="P969" s="146" t="e">
        <x:f>IF($A969="","",[1]!thsiFinD("ths_adjustment_nv_fund",P$3,$A969))</x:f>
        <x:v>#NAME?</x:v>
      </x:c>
      <x:c r="Q969" s="146" t="e">
        <x:f>IF($A969="","",[1]!thsiFinD("ths_adjustment_nv_fund",Q$3,$A969))</x:f>
        <x:v>#NAME?</x:v>
      </x:c>
      <x:c r="R969" s="146" t="e">
        <x:f>IF($A969="","",[1]!thsiFinD("ths_adjustment_nv_fund",R$3,$A969))</x:f>
        <x:v>#NAME?</x:v>
      </x:c>
      <x:c r="S969" s="146" t="e">
        <x:f>IF($A969="","",[1]!thsiFinD("ths_adjustment_nv_fund",S$3,$A969))</x:f>
        <x:v>#NAME?</x:v>
      </x:c>
      <x:c r="T969" s="146" t="e">
        <x:f>IF($A969="","",[1]!thsiFinD("ths_adjustment_nv_fund",T$3,$A969))</x:f>
        <x:v>#NAME?</x:v>
      </x:c>
      <x:c r="U969" s="146" t="e">
        <x:f>IF($A969="","",[1]!thsiFinD("ths_adjustment_nv_fund",U$3,$A969))</x:f>
        <x:v>#NAME?</x:v>
      </x:c>
      <x:c r="V969" s="146" t="e">
        <x:f>IF($A969="","",[1]!thsiFinD("ths_adjustment_nv_fund",V$3,$A969))</x:f>
        <x:v>#NAME?</x:v>
      </x:c>
      <x:c r="W969" s="146" t="e">
        <x:f>IF($A969="","",[1]!thsiFinD("ths_adjustment_nv_fund",W$3,$A969))</x:f>
        <x:v>#NAME?</x:v>
      </x:c>
      <x:c r="X969" s="146" t="e">
        <x:f>IF($A969="","",[1]!thsiFinD("ths_adjustment_nv_fund",X$3,$A969))</x:f>
        <x:v>#NAME?</x:v>
      </x:c>
      <x:c r="Y969" s="146" t="e">
        <x:f>IF($A969="","",[1]!thsiFinD("ths_adjustment_nv_fund",Y$3,$A969))</x:f>
        <x:v>#NAME?</x:v>
      </x:c>
      <x:c r="Z969" s="146" t="e">
        <x:f>IF($A969="","",[1]!thsiFinD("ths_adjustment_nv_fund",Z$3,$A969))</x:f>
        <x:v>#NAME?</x:v>
      </x:c>
      <x:c r="AA969" s="146" t="e">
        <x:f>IF($A969="","",[1]!thsiFinD("ths_adjustment_nv_fund",AA$3,$A969))</x:f>
        <x:v>#NAME?</x:v>
      </x:c>
    </x:row>
    <x:row r="970">
      <x:c r="B970" s="146" t="e">
        <x:f>IF($A970="","",[1]!thsiFinD("ths_adjustment_nv_fund",B$3,$A970))</x:f>
        <x:v>#NAME?</x:v>
      </x:c>
      <x:c r="C970" s="146" t="e">
        <x:f>IF($A970="","",[1]!thsiFinD("ths_adjustment_nv_fund",C$3,$A970))</x:f>
        <x:v>#NAME?</x:v>
      </x:c>
      <x:c r="D970" s="146" t="e">
        <x:f>IF($A970="","",[1]!thsiFinD("ths_adjustment_nv_fund",D$3,$A970))</x:f>
        <x:v>#NAME?</x:v>
      </x:c>
      <x:c r="E970" s="146" t="e">
        <x:f>IF($A970="","",[1]!thsiFinD("ths_adjustment_nv_fund",E$3,$A970))</x:f>
        <x:v>#NAME?</x:v>
      </x:c>
      <x:c r="F970" s="146" t="e">
        <x:f>IF($A970="","",[1]!thsiFinD("ths_adjustment_nv_fund",F$3,$A970))</x:f>
        <x:v>#NAME?</x:v>
      </x:c>
      <x:c r="G970" s="146" t="e">
        <x:f>IF($A970="","",[1]!thsiFinD("ths_adjustment_nv_fund",G$3,$A970))</x:f>
        <x:v>#NAME?</x:v>
      </x:c>
      <x:c r="H970" s="146" t="e">
        <x:f>IF($A970="","",[1]!thsiFinD("ths_adjustment_nv_fund",H$3,$A970))</x:f>
        <x:v>#NAME?</x:v>
      </x:c>
      <x:c r="I970" s="146" t="e">
        <x:f>IF($A970="","",[1]!thsiFinD("ths_adjustment_nv_fund",I$3,$A970))</x:f>
        <x:v>#NAME?</x:v>
      </x:c>
      <x:c r="J970" s="146" t="e">
        <x:f>IF($A970="","",[1]!thsiFinD("ths_adjustment_nv_fund",J$3,$A970))</x:f>
        <x:v>#NAME?</x:v>
      </x:c>
      <x:c r="K970" s="146" t="e">
        <x:f>IF($A970="","",[1]!thsiFinD("ths_adjustment_nv_fund",K$3,$A970))</x:f>
        <x:v>#NAME?</x:v>
      </x:c>
      <x:c r="L970" s="146" t="e">
        <x:f>IF($A970="","",[1]!thsiFinD("ths_adjustment_nv_fund",L$3,$A970))</x:f>
        <x:v>#NAME?</x:v>
      </x:c>
      <x:c r="M970" s="146" t="e">
        <x:f>IF($A970="","",[1]!thsiFinD("ths_adjustment_nv_fund",M$3,$A970))</x:f>
        <x:v>#NAME?</x:v>
      </x:c>
      <x:c r="N970" s="146" t="e">
        <x:f>IF($A970="","",[1]!thsiFinD("ths_adjustment_nv_fund",N$3,$A970))</x:f>
        <x:v>#NAME?</x:v>
      </x:c>
      <x:c r="O970" s="146" t="e">
        <x:f>IF($A970="","",[1]!thsiFinD("ths_adjustment_nv_fund",O$3,$A970))</x:f>
        <x:v>#NAME?</x:v>
      </x:c>
      <x:c r="P970" s="146" t="e">
        <x:f>IF($A970="","",[1]!thsiFinD("ths_adjustment_nv_fund",P$3,$A970))</x:f>
        <x:v>#NAME?</x:v>
      </x:c>
      <x:c r="Q970" s="146" t="e">
        <x:f>IF($A970="","",[1]!thsiFinD("ths_adjustment_nv_fund",Q$3,$A970))</x:f>
        <x:v>#NAME?</x:v>
      </x:c>
      <x:c r="R970" s="146" t="e">
        <x:f>IF($A970="","",[1]!thsiFinD("ths_adjustment_nv_fund",R$3,$A970))</x:f>
        <x:v>#NAME?</x:v>
      </x:c>
      <x:c r="S970" s="146" t="e">
        <x:f>IF($A970="","",[1]!thsiFinD("ths_adjustment_nv_fund",S$3,$A970))</x:f>
        <x:v>#NAME?</x:v>
      </x:c>
      <x:c r="T970" s="146" t="e">
        <x:f>IF($A970="","",[1]!thsiFinD("ths_adjustment_nv_fund",T$3,$A970))</x:f>
        <x:v>#NAME?</x:v>
      </x:c>
      <x:c r="U970" s="146" t="e">
        <x:f>IF($A970="","",[1]!thsiFinD("ths_adjustment_nv_fund",U$3,$A970))</x:f>
        <x:v>#NAME?</x:v>
      </x:c>
      <x:c r="V970" s="146" t="e">
        <x:f>IF($A970="","",[1]!thsiFinD("ths_adjustment_nv_fund",V$3,$A970))</x:f>
        <x:v>#NAME?</x:v>
      </x:c>
      <x:c r="W970" s="146" t="e">
        <x:f>IF($A970="","",[1]!thsiFinD("ths_adjustment_nv_fund",W$3,$A970))</x:f>
        <x:v>#NAME?</x:v>
      </x:c>
      <x:c r="X970" s="146" t="e">
        <x:f>IF($A970="","",[1]!thsiFinD("ths_adjustment_nv_fund",X$3,$A970))</x:f>
        <x:v>#NAME?</x:v>
      </x:c>
      <x:c r="Y970" s="146" t="e">
        <x:f>IF($A970="","",[1]!thsiFinD("ths_adjustment_nv_fund",Y$3,$A970))</x:f>
        <x:v>#NAME?</x:v>
      </x:c>
      <x:c r="Z970" s="146" t="e">
        <x:f>IF($A970="","",[1]!thsiFinD("ths_adjustment_nv_fund",Z$3,$A970))</x:f>
        <x:v>#NAME?</x:v>
      </x:c>
      <x:c r="AA970" s="146" t="e">
        <x:f>IF($A970="","",[1]!thsiFinD("ths_adjustment_nv_fund",AA$3,$A970))</x:f>
        <x:v>#NAME?</x:v>
      </x:c>
    </x:row>
    <x:row r="971">
      <x:c r="B971" s="146" t="e">
        <x:f>IF($A971="","",[1]!thsiFinD("ths_adjustment_nv_fund",B$3,$A971))</x:f>
        <x:v>#NAME?</x:v>
      </x:c>
      <x:c r="C971" s="146" t="e">
        <x:f>IF($A971="","",[1]!thsiFinD("ths_adjustment_nv_fund",C$3,$A971))</x:f>
        <x:v>#NAME?</x:v>
      </x:c>
      <x:c r="D971" s="146" t="e">
        <x:f>IF($A971="","",[1]!thsiFinD("ths_adjustment_nv_fund",D$3,$A971))</x:f>
        <x:v>#NAME?</x:v>
      </x:c>
      <x:c r="E971" s="146" t="e">
        <x:f>IF($A971="","",[1]!thsiFinD("ths_adjustment_nv_fund",E$3,$A971))</x:f>
        <x:v>#NAME?</x:v>
      </x:c>
      <x:c r="F971" s="146" t="e">
        <x:f>IF($A971="","",[1]!thsiFinD("ths_adjustment_nv_fund",F$3,$A971))</x:f>
        <x:v>#NAME?</x:v>
      </x:c>
      <x:c r="G971" s="146" t="e">
        <x:f>IF($A971="","",[1]!thsiFinD("ths_adjustment_nv_fund",G$3,$A971))</x:f>
        <x:v>#NAME?</x:v>
      </x:c>
      <x:c r="H971" s="146" t="e">
        <x:f>IF($A971="","",[1]!thsiFinD("ths_adjustment_nv_fund",H$3,$A971))</x:f>
        <x:v>#NAME?</x:v>
      </x:c>
      <x:c r="I971" s="146" t="e">
        <x:f>IF($A971="","",[1]!thsiFinD("ths_adjustment_nv_fund",I$3,$A971))</x:f>
        <x:v>#NAME?</x:v>
      </x:c>
      <x:c r="J971" s="146" t="e">
        <x:f>IF($A971="","",[1]!thsiFinD("ths_adjustment_nv_fund",J$3,$A971))</x:f>
        <x:v>#NAME?</x:v>
      </x:c>
      <x:c r="K971" s="146" t="e">
        <x:f>IF($A971="","",[1]!thsiFinD("ths_adjustment_nv_fund",K$3,$A971))</x:f>
        <x:v>#NAME?</x:v>
      </x:c>
      <x:c r="L971" s="146" t="e">
        <x:f>IF($A971="","",[1]!thsiFinD("ths_adjustment_nv_fund",L$3,$A971))</x:f>
        <x:v>#NAME?</x:v>
      </x:c>
      <x:c r="M971" s="146" t="e">
        <x:f>IF($A971="","",[1]!thsiFinD("ths_adjustment_nv_fund",M$3,$A971))</x:f>
        <x:v>#NAME?</x:v>
      </x:c>
      <x:c r="N971" s="146" t="e">
        <x:f>IF($A971="","",[1]!thsiFinD("ths_adjustment_nv_fund",N$3,$A971))</x:f>
        <x:v>#NAME?</x:v>
      </x:c>
      <x:c r="O971" s="146" t="e">
        <x:f>IF($A971="","",[1]!thsiFinD("ths_adjustment_nv_fund",O$3,$A971))</x:f>
        <x:v>#NAME?</x:v>
      </x:c>
      <x:c r="P971" s="146" t="e">
        <x:f>IF($A971="","",[1]!thsiFinD("ths_adjustment_nv_fund",P$3,$A971))</x:f>
        <x:v>#NAME?</x:v>
      </x:c>
      <x:c r="Q971" s="146" t="e">
        <x:f>IF($A971="","",[1]!thsiFinD("ths_adjustment_nv_fund",Q$3,$A971))</x:f>
        <x:v>#NAME?</x:v>
      </x:c>
      <x:c r="R971" s="146" t="e">
        <x:f>IF($A971="","",[1]!thsiFinD("ths_adjustment_nv_fund",R$3,$A971))</x:f>
        <x:v>#NAME?</x:v>
      </x:c>
      <x:c r="S971" s="146" t="e">
        <x:f>IF($A971="","",[1]!thsiFinD("ths_adjustment_nv_fund",S$3,$A971))</x:f>
        <x:v>#NAME?</x:v>
      </x:c>
      <x:c r="T971" s="146" t="e">
        <x:f>IF($A971="","",[1]!thsiFinD("ths_adjustment_nv_fund",T$3,$A971))</x:f>
        <x:v>#NAME?</x:v>
      </x:c>
      <x:c r="U971" s="146" t="e">
        <x:f>IF($A971="","",[1]!thsiFinD("ths_adjustment_nv_fund",U$3,$A971))</x:f>
        <x:v>#NAME?</x:v>
      </x:c>
      <x:c r="V971" s="146" t="e">
        <x:f>IF($A971="","",[1]!thsiFinD("ths_adjustment_nv_fund",V$3,$A971))</x:f>
        <x:v>#NAME?</x:v>
      </x:c>
      <x:c r="W971" s="146" t="e">
        <x:f>IF($A971="","",[1]!thsiFinD("ths_adjustment_nv_fund",W$3,$A971))</x:f>
        <x:v>#NAME?</x:v>
      </x:c>
      <x:c r="X971" s="146" t="e">
        <x:f>IF($A971="","",[1]!thsiFinD("ths_adjustment_nv_fund",X$3,$A971))</x:f>
        <x:v>#NAME?</x:v>
      </x:c>
      <x:c r="Y971" s="146" t="e">
        <x:f>IF($A971="","",[1]!thsiFinD("ths_adjustment_nv_fund",Y$3,$A971))</x:f>
        <x:v>#NAME?</x:v>
      </x:c>
      <x:c r="Z971" s="146" t="e">
        <x:f>IF($A971="","",[1]!thsiFinD("ths_adjustment_nv_fund",Z$3,$A971))</x:f>
        <x:v>#NAME?</x:v>
      </x:c>
      <x:c r="AA971" s="146" t="e">
        <x:f>IF($A971="","",[1]!thsiFinD("ths_adjustment_nv_fund",AA$3,$A971))</x:f>
        <x:v>#NAME?</x:v>
      </x:c>
    </x:row>
    <x:row r="972">
      <x:c r="B972" s="146" t="e">
        <x:f>IF($A972="","",[1]!thsiFinD("ths_adjustment_nv_fund",B$3,$A972))</x:f>
        <x:v>#NAME?</x:v>
      </x:c>
      <x:c r="C972" s="146" t="e">
        <x:f>IF($A972="","",[1]!thsiFinD("ths_adjustment_nv_fund",C$3,$A972))</x:f>
        <x:v>#NAME?</x:v>
      </x:c>
      <x:c r="D972" s="146" t="e">
        <x:f>IF($A972="","",[1]!thsiFinD("ths_adjustment_nv_fund",D$3,$A972))</x:f>
        <x:v>#NAME?</x:v>
      </x:c>
      <x:c r="E972" s="146" t="e">
        <x:f>IF($A972="","",[1]!thsiFinD("ths_adjustment_nv_fund",E$3,$A972))</x:f>
        <x:v>#NAME?</x:v>
      </x:c>
      <x:c r="F972" s="146" t="e">
        <x:f>IF($A972="","",[1]!thsiFinD("ths_adjustment_nv_fund",F$3,$A972))</x:f>
        <x:v>#NAME?</x:v>
      </x:c>
      <x:c r="G972" s="146" t="e">
        <x:f>IF($A972="","",[1]!thsiFinD("ths_adjustment_nv_fund",G$3,$A972))</x:f>
        <x:v>#NAME?</x:v>
      </x:c>
      <x:c r="H972" s="146" t="e">
        <x:f>IF($A972="","",[1]!thsiFinD("ths_adjustment_nv_fund",H$3,$A972))</x:f>
        <x:v>#NAME?</x:v>
      </x:c>
      <x:c r="I972" s="146" t="e">
        <x:f>IF($A972="","",[1]!thsiFinD("ths_adjustment_nv_fund",I$3,$A972))</x:f>
        <x:v>#NAME?</x:v>
      </x:c>
      <x:c r="J972" s="146" t="e">
        <x:f>IF($A972="","",[1]!thsiFinD("ths_adjustment_nv_fund",J$3,$A972))</x:f>
        <x:v>#NAME?</x:v>
      </x:c>
      <x:c r="K972" s="146" t="e">
        <x:f>IF($A972="","",[1]!thsiFinD("ths_adjustment_nv_fund",K$3,$A972))</x:f>
        <x:v>#NAME?</x:v>
      </x:c>
      <x:c r="L972" s="146" t="e">
        <x:f>IF($A972="","",[1]!thsiFinD("ths_adjustment_nv_fund",L$3,$A972))</x:f>
        <x:v>#NAME?</x:v>
      </x:c>
      <x:c r="M972" s="146" t="e">
        <x:f>IF($A972="","",[1]!thsiFinD("ths_adjustment_nv_fund",M$3,$A972))</x:f>
        <x:v>#NAME?</x:v>
      </x:c>
      <x:c r="N972" s="146" t="e">
        <x:f>IF($A972="","",[1]!thsiFinD("ths_adjustment_nv_fund",N$3,$A972))</x:f>
        <x:v>#NAME?</x:v>
      </x:c>
      <x:c r="O972" s="146" t="e">
        <x:f>IF($A972="","",[1]!thsiFinD("ths_adjustment_nv_fund",O$3,$A972))</x:f>
        <x:v>#NAME?</x:v>
      </x:c>
      <x:c r="P972" s="146" t="e">
        <x:f>IF($A972="","",[1]!thsiFinD("ths_adjustment_nv_fund",P$3,$A972))</x:f>
        <x:v>#NAME?</x:v>
      </x:c>
      <x:c r="Q972" s="146" t="e">
        <x:f>IF($A972="","",[1]!thsiFinD("ths_adjustment_nv_fund",Q$3,$A972))</x:f>
        <x:v>#NAME?</x:v>
      </x:c>
      <x:c r="R972" s="146" t="e">
        <x:f>IF($A972="","",[1]!thsiFinD("ths_adjustment_nv_fund",R$3,$A972))</x:f>
        <x:v>#NAME?</x:v>
      </x:c>
      <x:c r="S972" s="146" t="e">
        <x:f>IF($A972="","",[1]!thsiFinD("ths_adjustment_nv_fund",S$3,$A972))</x:f>
        <x:v>#NAME?</x:v>
      </x:c>
      <x:c r="T972" s="146" t="e">
        <x:f>IF($A972="","",[1]!thsiFinD("ths_adjustment_nv_fund",T$3,$A972))</x:f>
        <x:v>#NAME?</x:v>
      </x:c>
      <x:c r="U972" s="146" t="e">
        <x:f>IF($A972="","",[1]!thsiFinD("ths_adjustment_nv_fund",U$3,$A972))</x:f>
        <x:v>#NAME?</x:v>
      </x:c>
      <x:c r="V972" s="146" t="e">
        <x:f>IF($A972="","",[1]!thsiFinD("ths_adjustment_nv_fund",V$3,$A972))</x:f>
        <x:v>#NAME?</x:v>
      </x:c>
      <x:c r="W972" s="146" t="e">
        <x:f>IF($A972="","",[1]!thsiFinD("ths_adjustment_nv_fund",W$3,$A972))</x:f>
        <x:v>#NAME?</x:v>
      </x:c>
      <x:c r="X972" s="146" t="e">
        <x:f>IF($A972="","",[1]!thsiFinD("ths_adjustment_nv_fund",X$3,$A972))</x:f>
        <x:v>#NAME?</x:v>
      </x:c>
      <x:c r="Y972" s="146" t="e">
        <x:f>IF($A972="","",[1]!thsiFinD("ths_adjustment_nv_fund",Y$3,$A972))</x:f>
        <x:v>#NAME?</x:v>
      </x:c>
      <x:c r="Z972" s="146" t="e">
        <x:f>IF($A972="","",[1]!thsiFinD("ths_adjustment_nv_fund",Z$3,$A972))</x:f>
        <x:v>#NAME?</x:v>
      </x:c>
      <x:c r="AA972" s="146" t="e">
        <x:f>IF($A972="","",[1]!thsiFinD("ths_adjustment_nv_fund",AA$3,$A972))</x:f>
        <x:v>#NAME?</x:v>
      </x:c>
    </x:row>
    <x:row r="973">
      <x:c r="B973" s="146" t="e">
        <x:f>IF($A973="","",[1]!thsiFinD("ths_adjustment_nv_fund",B$3,$A973))</x:f>
        <x:v>#NAME?</x:v>
      </x:c>
      <x:c r="C973" s="146" t="e">
        <x:f>IF($A973="","",[1]!thsiFinD("ths_adjustment_nv_fund",C$3,$A973))</x:f>
        <x:v>#NAME?</x:v>
      </x:c>
      <x:c r="D973" s="146" t="e">
        <x:f>IF($A973="","",[1]!thsiFinD("ths_adjustment_nv_fund",D$3,$A973))</x:f>
        <x:v>#NAME?</x:v>
      </x:c>
      <x:c r="E973" s="146" t="e">
        <x:f>IF($A973="","",[1]!thsiFinD("ths_adjustment_nv_fund",E$3,$A973))</x:f>
        <x:v>#NAME?</x:v>
      </x:c>
      <x:c r="F973" s="146" t="e">
        <x:f>IF($A973="","",[1]!thsiFinD("ths_adjustment_nv_fund",F$3,$A973))</x:f>
        <x:v>#NAME?</x:v>
      </x:c>
      <x:c r="G973" s="146" t="e">
        <x:f>IF($A973="","",[1]!thsiFinD("ths_adjustment_nv_fund",G$3,$A973))</x:f>
        <x:v>#NAME?</x:v>
      </x:c>
      <x:c r="H973" s="146" t="e">
        <x:f>IF($A973="","",[1]!thsiFinD("ths_adjustment_nv_fund",H$3,$A973))</x:f>
        <x:v>#NAME?</x:v>
      </x:c>
      <x:c r="I973" s="146" t="e">
        <x:f>IF($A973="","",[1]!thsiFinD("ths_adjustment_nv_fund",I$3,$A973))</x:f>
        <x:v>#NAME?</x:v>
      </x:c>
      <x:c r="J973" s="146" t="e">
        <x:f>IF($A973="","",[1]!thsiFinD("ths_adjustment_nv_fund",J$3,$A973))</x:f>
        <x:v>#NAME?</x:v>
      </x:c>
      <x:c r="K973" s="146" t="e">
        <x:f>IF($A973="","",[1]!thsiFinD("ths_adjustment_nv_fund",K$3,$A973))</x:f>
        <x:v>#NAME?</x:v>
      </x:c>
      <x:c r="L973" s="146" t="e">
        <x:f>IF($A973="","",[1]!thsiFinD("ths_adjustment_nv_fund",L$3,$A973))</x:f>
        <x:v>#NAME?</x:v>
      </x:c>
      <x:c r="M973" s="146" t="e">
        <x:f>IF($A973="","",[1]!thsiFinD("ths_adjustment_nv_fund",M$3,$A973))</x:f>
        <x:v>#NAME?</x:v>
      </x:c>
      <x:c r="N973" s="146" t="e">
        <x:f>IF($A973="","",[1]!thsiFinD("ths_adjustment_nv_fund",N$3,$A973))</x:f>
        <x:v>#NAME?</x:v>
      </x:c>
      <x:c r="O973" s="146" t="e">
        <x:f>IF($A973="","",[1]!thsiFinD("ths_adjustment_nv_fund",O$3,$A973))</x:f>
        <x:v>#NAME?</x:v>
      </x:c>
      <x:c r="P973" s="146" t="e">
        <x:f>IF($A973="","",[1]!thsiFinD("ths_adjustment_nv_fund",P$3,$A973))</x:f>
        <x:v>#NAME?</x:v>
      </x:c>
      <x:c r="Q973" s="146" t="e">
        <x:f>IF($A973="","",[1]!thsiFinD("ths_adjustment_nv_fund",Q$3,$A973))</x:f>
        <x:v>#NAME?</x:v>
      </x:c>
      <x:c r="R973" s="146" t="e">
        <x:f>IF($A973="","",[1]!thsiFinD("ths_adjustment_nv_fund",R$3,$A973))</x:f>
        <x:v>#NAME?</x:v>
      </x:c>
      <x:c r="S973" s="146" t="e">
        <x:f>IF($A973="","",[1]!thsiFinD("ths_adjustment_nv_fund",S$3,$A973))</x:f>
        <x:v>#NAME?</x:v>
      </x:c>
      <x:c r="T973" s="146" t="e">
        <x:f>IF($A973="","",[1]!thsiFinD("ths_adjustment_nv_fund",T$3,$A973))</x:f>
        <x:v>#NAME?</x:v>
      </x:c>
      <x:c r="U973" s="146" t="e">
        <x:f>IF($A973="","",[1]!thsiFinD("ths_adjustment_nv_fund",U$3,$A973))</x:f>
        <x:v>#NAME?</x:v>
      </x:c>
      <x:c r="V973" s="146" t="e">
        <x:f>IF($A973="","",[1]!thsiFinD("ths_adjustment_nv_fund",V$3,$A973))</x:f>
        <x:v>#NAME?</x:v>
      </x:c>
      <x:c r="W973" s="146" t="e">
        <x:f>IF($A973="","",[1]!thsiFinD("ths_adjustment_nv_fund",W$3,$A973))</x:f>
        <x:v>#NAME?</x:v>
      </x:c>
      <x:c r="X973" s="146" t="e">
        <x:f>IF($A973="","",[1]!thsiFinD("ths_adjustment_nv_fund",X$3,$A973))</x:f>
        <x:v>#NAME?</x:v>
      </x:c>
      <x:c r="Y973" s="146" t="e">
        <x:f>IF($A973="","",[1]!thsiFinD("ths_adjustment_nv_fund",Y$3,$A973))</x:f>
        <x:v>#NAME?</x:v>
      </x:c>
      <x:c r="Z973" s="146" t="e">
        <x:f>IF($A973="","",[1]!thsiFinD("ths_adjustment_nv_fund",Z$3,$A973))</x:f>
        <x:v>#NAME?</x:v>
      </x:c>
      <x:c r="AA973" s="146" t="e">
        <x:f>IF($A973="","",[1]!thsiFinD("ths_adjustment_nv_fund",AA$3,$A973))</x:f>
        <x:v>#NAME?</x:v>
      </x:c>
    </x:row>
    <x:row r="974">
      <x:c r="B974" s="146" t="e">
        <x:f>IF($A974="","",[1]!thsiFinD("ths_adjustment_nv_fund",B$3,$A974))</x:f>
        <x:v>#NAME?</x:v>
      </x:c>
      <x:c r="C974" s="146" t="e">
        <x:f>IF($A974="","",[1]!thsiFinD("ths_adjustment_nv_fund",C$3,$A974))</x:f>
        <x:v>#NAME?</x:v>
      </x:c>
      <x:c r="D974" s="146" t="e">
        <x:f>IF($A974="","",[1]!thsiFinD("ths_adjustment_nv_fund",D$3,$A974))</x:f>
        <x:v>#NAME?</x:v>
      </x:c>
      <x:c r="E974" s="146" t="e">
        <x:f>IF($A974="","",[1]!thsiFinD("ths_adjustment_nv_fund",E$3,$A974))</x:f>
        <x:v>#NAME?</x:v>
      </x:c>
      <x:c r="F974" s="146" t="e">
        <x:f>IF($A974="","",[1]!thsiFinD("ths_adjustment_nv_fund",F$3,$A974))</x:f>
        <x:v>#NAME?</x:v>
      </x:c>
      <x:c r="G974" s="146" t="e">
        <x:f>IF($A974="","",[1]!thsiFinD("ths_adjustment_nv_fund",G$3,$A974))</x:f>
        <x:v>#NAME?</x:v>
      </x:c>
      <x:c r="H974" s="146" t="e">
        <x:f>IF($A974="","",[1]!thsiFinD("ths_adjustment_nv_fund",H$3,$A974))</x:f>
        <x:v>#NAME?</x:v>
      </x:c>
      <x:c r="I974" s="146" t="e">
        <x:f>IF($A974="","",[1]!thsiFinD("ths_adjustment_nv_fund",I$3,$A974))</x:f>
        <x:v>#NAME?</x:v>
      </x:c>
      <x:c r="J974" s="146" t="e">
        <x:f>IF($A974="","",[1]!thsiFinD("ths_adjustment_nv_fund",J$3,$A974))</x:f>
        <x:v>#NAME?</x:v>
      </x:c>
      <x:c r="K974" s="146" t="e">
        <x:f>IF($A974="","",[1]!thsiFinD("ths_adjustment_nv_fund",K$3,$A974))</x:f>
        <x:v>#NAME?</x:v>
      </x:c>
      <x:c r="L974" s="146" t="e">
        <x:f>IF($A974="","",[1]!thsiFinD("ths_adjustment_nv_fund",L$3,$A974))</x:f>
        <x:v>#NAME?</x:v>
      </x:c>
      <x:c r="M974" s="146" t="e">
        <x:f>IF($A974="","",[1]!thsiFinD("ths_adjustment_nv_fund",M$3,$A974))</x:f>
        <x:v>#NAME?</x:v>
      </x:c>
      <x:c r="N974" s="146" t="e">
        <x:f>IF($A974="","",[1]!thsiFinD("ths_adjustment_nv_fund",N$3,$A974))</x:f>
        <x:v>#NAME?</x:v>
      </x:c>
      <x:c r="O974" s="146" t="e">
        <x:f>IF($A974="","",[1]!thsiFinD("ths_adjustment_nv_fund",O$3,$A974))</x:f>
        <x:v>#NAME?</x:v>
      </x:c>
      <x:c r="P974" s="146" t="e">
        <x:f>IF($A974="","",[1]!thsiFinD("ths_adjustment_nv_fund",P$3,$A974))</x:f>
        <x:v>#NAME?</x:v>
      </x:c>
      <x:c r="Q974" s="146" t="e">
        <x:f>IF($A974="","",[1]!thsiFinD("ths_adjustment_nv_fund",Q$3,$A974))</x:f>
        <x:v>#NAME?</x:v>
      </x:c>
      <x:c r="R974" s="146" t="e">
        <x:f>IF($A974="","",[1]!thsiFinD("ths_adjustment_nv_fund",R$3,$A974))</x:f>
        <x:v>#NAME?</x:v>
      </x:c>
      <x:c r="S974" s="146" t="e">
        <x:f>IF($A974="","",[1]!thsiFinD("ths_adjustment_nv_fund",S$3,$A974))</x:f>
        <x:v>#NAME?</x:v>
      </x:c>
      <x:c r="T974" s="146" t="e">
        <x:f>IF($A974="","",[1]!thsiFinD("ths_adjustment_nv_fund",T$3,$A974))</x:f>
        <x:v>#NAME?</x:v>
      </x:c>
      <x:c r="U974" s="146" t="e">
        <x:f>IF($A974="","",[1]!thsiFinD("ths_adjustment_nv_fund",U$3,$A974))</x:f>
        <x:v>#NAME?</x:v>
      </x:c>
      <x:c r="V974" s="146" t="e">
        <x:f>IF($A974="","",[1]!thsiFinD("ths_adjustment_nv_fund",V$3,$A974))</x:f>
        <x:v>#NAME?</x:v>
      </x:c>
      <x:c r="W974" s="146" t="e">
        <x:f>IF($A974="","",[1]!thsiFinD("ths_adjustment_nv_fund",W$3,$A974))</x:f>
        <x:v>#NAME?</x:v>
      </x:c>
      <x:c r="X974" s="146" t="e">
        <x:f>IF($A974="","",[1]!thsiFinD("ths_adjustment_nv_fund",X$3,$A974))</x:f>
        <x:v>#NAME?</x:v>
      </x:c>
      <x:c r="Y974" s="146" t="e">
        <x:f>IF($A974="","",[1]!thsiFinD("ths_adjustment_nv_fund",Y$3,$A974))</x:f>
        <x:v>#NAME?</x:v>
      </x:c>
      <x:c r="Z974" s="146" t="e">
        <x:f>IF($A974="","",[1]!thsiFinD("ths_adjustment_nv_fund",Z$3,$A974))</x:f>
        <x:v>#NAME?</x:v>
      </x:c>
      <x:c r="AA974" s="146" t="e">
        <x:f>IF($A974="","",[1]!thsiFinD("ths_adjustment_nv_fund",AA$3,$A974))</x:f>
        <x:v>#NAME?</x:v>
      </x:c>
    </x:row>
    <x:row r="975">
      <x:c r="B975" s="146" t="e">
        <x:f>IF($A975="","",[1]!thsiFinD("ths_adjustment_nv_fund",B$3,$A975))</x:f>
        <x:v>#NAME?</x:v>
      </x:c>
      <x:c r="C975" s="146" t="e">
        <x:f>IF($A975="","",[1]!thsiFinD("ths_adjustment_nv_fund",C$3,$A975))</x:f>
        <x:v>#NAME?</x:v>
      </x:c>
      <x:c r="D975" s="146" t="e">
        <x:f>IF($A975="","",[1]!thsiFinD("ths_adjustment_nv_fund",D$3,$A975))</x:f>
        <x:v>#NAME?</x:v>
      </x:c>
      <x:c r="E975" s="146" t="e">
        <x:f>IF($A975="","",[1]!thsiFinD("ths_adjustment_nv_fund",E$3,$A975))</x:f>
        <x:v>#NAME?</x:v>
      </x:c>
      <x:c r="F975" s="146" t="e">
        <x:f>IF($A975="","",[1]!thsiFinD("ths_adjustment_nv_fund",F$3,$A975))</x:f>
        <x:v>#NAME?</x:v>
      </x:c>
      <x:c r="G975" s="146" t="e">
        <x:f>IF($A975="","",[1]!thsiFinD("ths_adjustment_nv_fund",G$3,$A975))</x:f>
        <x:v>#NAME?</x:v>
      </x:c>
      <x:c r="H975" s="146" t="e">
        <x:f>IF($A975="","",[1]!thsiFinD("ths_adjustment_nv_fund",H$3,$A975))</x:f>
        <x:v>#NAME?</x:v>
      </x:c>
      <x:c r="I975" s="146" t="e">
        <x:f>IF($A975="","",[1]!thsiFinD("ths_adjustment_nv_fund",I$3,$A975))</x:f>
        <x:v>#NAME?</x:v>
      </x:c>
      <x:c r="J975" s="146" t="e">
        <x:f>IF($A975="","",[1]!thsiFinD("ths_adjustment_nv_fund",J$3,$A975))</x:f>
        <x:v>#NAME?</x:v>
      </x:c>
      <x:c r="K975" s="146" t="e">
        <x:f>IF($A975="","",[1]!thsiFinD("ths_adjustment_nv_fund",K$3,$A975))</x:f>
        <x:v>#NAME?</x:v>
      </x:c>
      <x:c r="L975" s="146" t="e">
        <x:f>IF($A975="","",[1]!thsiFinD("ths_adjustment_nv_fund",L$3,$A975))</x:f>
        <x:v>#NAME?</x:v>
      </x:c>
      <x:c r="M975" s="146" t="e">
        <x:f>IF($A975="","",[1]!thsiFinD("ths_adjustment_nv_fund",M$3,$A975))</x:f>
        <x:v>#NAME?</x:v>
      </x:c>
      <x:c r="N975" s="146" t="e">
        <x:f>IF($A975="","",[1]!thsiFinD("ths_adjustment_nv_fund",N$3,$A975))</x:f>
        <x:v>#NAME?</x:v>
      </x:c>
      <x:c r="O975" s="146" t="e">
        <x:f>IF($A975="","",[1]!thsiFinD("ths_adjustment_nv_fund",O$3,$A975))</x:f>
        <x:v>#NAME?</x:v>
      </x:c>
      <x:c r="P975" s="146" t="e">
        <x:f>IF($A975="","",[1]!thsiFinD("ths_adjustment_nv_fund",P$3,$A975))</x:f>
        <x:v>#NAME?</x:v>
      </x:c>
      <x:c r="Q975" s="146" t="e">
        <x:f>IF($A975="","",[1]!thsiFinD("ths_adjustment_nv_fund",Q$3,$A975))</x:f>
        <x:v>#NAME?</x:v>
      </x:c>
      <x:c r="R975" s="146" t="e">
        <x:f>IF($A975="","",[1]!thsiFinD("ths_adjustment_nv_fund",R$3,$A975))</x:f>
        <x:v>#NAME?</x:v>
      </x:c>
      <x:c r="S975" s="146" t="e">
        <x:f>IF($A975="","",[1]!thsiFinD("ths_adjustment_nv_fund",S$3,$A975))</x:f>
        <x:v>#NAME?</x:v>
      </x:c>
      <x:c r="T975" s="146" t="e">
        <x:f>IF($A975="","",[1]!thsiFinD("ths_adjustment_nv_fund",T$3,$A975))</x:f>
        <x:v>#NAME?</x:v>
      </x:c>
      <x:c r="U975" s="146" t="e">
        <x:f>IF($A975="","",[1]!thsiFinD("ths_adjustment_nv_fund",U$3,$A975))</x:f>
        <x:v>#NAME?</x:v>
      </x:c>
      <x:c r="V975" s="146" t="e">
        <x:f>IF($A975="","",[1]!thsiFinD("ths_adjustment_nv_fund",V$3,$A975))</x:f>
        <x:v>#NAME?</x:v>
      </x:c>
      <x:c r="W975" s="146" t="e">
        <x:f>IF($A975="","",[1]!thsiFinD("ths_adjustment_nv_fund",W$3,$A975))</x:f>
        <x:v>#NAME?</x:v>
      </x:c>
      <x:c r="X975" s="146" t="e">
        <x:f>IF($A975="","",[1]!thsiFinD("ths_adjustment_nv_fund",X$3,$A975))</x:f>
        <x:v>#NAME?</x:v>
      </x:c>
      <x:c r="Y975" s="146" t="e">
        <x:f>IF($A975="","",[1]!thsiFinD("ths_adjustment_nv_fund",Y$3,$A975))</x:f>
        <x:v>#NAME?</x:v>
      </x:c>
      <x:c r="Z975" s="146" t="e">
        <x:f>IF($A975="","",[1]!thsiFinD("ths_adjustment_nv_fund",Z$3,$A975))</x:f>
        <x:v>#NAME?</x:v>
      </x:c>
      <x:c r="AA975" s="146" t="e">
        <x:f>IF($A975="","",[1]!thsiFinD("ths_adjustment_nv_fund",AA$3,$A975))</x:f>
        <x:v>#NAME?</x:v>
      </x:c>
    </x:row>
    <x:row r="976">
      <x:c r="B976" s="146" t="e">
        <x:f>IF($A976="","",[1]!thsiFinD("ths_adjustment_nv_fund",B$3,$A976))</x:f>
        <x:v>#NAME?</x:v>
      </x:c>
      <x:c r="C976" s="146" t="e">
        <x:f>IF($A976="","",[1]!thsiFinD("ths_adjustment_nv_fund",C$3,$A976))</x:f>
        <x:v>#NAME?</x:v>
      </x:c>
      <x:c r="D976" s="146" t="e">
        <x:f>IF($A976="","",[1]!thsiFinD("ths_adjustment_nv_fund",D$3,$A976))</x:f>
        <x:v>#NAME?</x:v>
      </x:c>
      <x:c r="E976" s="146" t="e">
        <x:f>IF($A976="","",[1]!thsiFinD("ths_adjustment_nv_fund",E$3,$A976))</x:f>
        <x:v>#NAME?</x:v>
      </x:c>
      <x:c r="F976" s="146" t="e">
        <x:f>IF($A976="","",[1]!thsiFinD("ths_adjustment_nv_fund",F$3,$A976))</x:f>
        <x:v>#NAME?</x:v>
      </x:c>
      <x:c r="G976" s="146" t="e">
        <x:f>IF($A976="","",[1]!thsiFinD("ths_adjustment_nv_fund",G$3,$A976))</x:f>
        <x:v>#NAME?</x:v>
      </x:c>
      <x:c r="H976" s="146" t="e">
        <x:f>IF($A976="","",[1]!thsiFinD("ths_adjustment_nv_fund",H$3,$A976))</x:f>
        <x:v>#NAME?</x:v>
      </x:c>
      <x:c r="I976" s="146" t="e">
        <x:f>IF($A976="","",[1]!thsiFinD("ths_adjustment_nv_fund",I$3,$A976))</x:f>
        <x:v>#NAME?</x:v>
      </x:c>
      <x:c r="J976" s="146" t="e">
        <x:f>IF($A976="","",[1]!thsiFinD("ths_adjustment_nv_fund",J$3,$A976))</x:f>
        <x:v>#NAME?</x:v>
      </x:c>
      <x:c r="K976" s="146" t="e">
        <x:f>IF($A976="","",[1]!thsiFinD("ths_adjustment_nv_fund",K$3,$A976))</x:f>
        <x:v>#NAME?</x:v>
      </x:c>
      <x:c r="L976" s="146" t="e">
        <x:f>IF($A976="","",[1]!thsiFinD("ths_adjustment_nv_fund",L$3,$A976))</x:f>
        <x:v>#NAME?</x:v>
      </x:c>
      <x:c r="M976" s="146" t="e">
        <x:f>IF($A976="","",[1]!thsiFinD("ths_adjustment_nv_fund",M$3,$A976))</x:f>
        <x:v>#NAME?</x:v>
      </x:c>
      <x:c r="N976" s="146" t="e">
        <x:f>IF($A976="","",[1]!thsiFinD("ths_adjustment_nv_fund",N$3,$A976))</x:f>
        <x:v>#NAME?</x:v>
      </x:c>
      <x:c r="O976" s="146" t="e">
        <x:f>IF($A976="","",[1]!thsiFinD("ths_adjustment_nv_fund",O$3,$A976))</x:f>
        <x:v>#NAME?</x:v>
      </x:c>
      <x:c r="P976" s="146" t="e">
        <x:f>IF($A976="","",[1]!thsiFinD("ths_adjustment_nv_fund",P$3,$A976))</x:f>
        <x:v>#NAME?</x:v>
      </x:c>
      <x:c r="Q976" s="146" t="e">
        <x:f>IF($A976="","",[1]!thsiFinD("ths_adjustment_nv_fund",Q$3,$A976))</x:f>
        <x:v>#NAME?</x:v>
      </x:c>
      <x:c r="R976" s="146" t="e">
        <x:f>IF($A976="","",[1]!thsiFinD("ths_adjustment_nv_fund",R$3,$A976))</x:f>
        <x:v>#NAME?</x:v>
      </x:c>
      <x:c r="S976" s="146" t="e">
        <x:f>IF($A976="","",[1]!thsiFinD("ths_adjustment_nv_fund",S$3,$A976))</x:f>
        <x:v>#NAME?</x:v>
      </x:c>
      <x:c r="T976" s="146" t="e">
        <x:f>IF($A976="","",[1]!thsiFinD("ths_adjustment_nv_fund",T$3,$A976))</x:f>
        <x:v>#NAME?</x:v>
      </x:c>
      <x:c r="U976" s="146" t="e">
        <x:f>IF($A976="","",[1]!thsiFinD("ths_adjustment_nv_fund",U$3,$A976))</x:f>
        <x:v>#NAME?</x:v>
      </x:c>
      <x:c r="V976" s="146" t="e">
        <x:f>IF($A976="","",[1]!thsiFinD("ths_adjustment_nv_fund",V$3,$A976))</x:f>
        <x:v>#NAME?</x:v>
      </x:c>
      <x:c r="W976" s="146" t="e">
        <x:f>IF($A976="","",[1]!thsiFinD("ths_adjustment_nv_fund",W$3,$A976))</x:f>
        <x:v>#NAME?</x:v>
      </x:c>
      <x:c r="X976" s="146" t="e">
        <x:f>IF($A976="","",[1]!thsiFinD("ths_adjustment_nv_fund",X$3,$A976))</x:f>
        <x:v>#NAME?</x:v>
      </x:c>
      <x:c r="Y976" s="146" t="e">
        <x:f>IF($A976="","",[1]!thsiFinD("ths_adjustment_nv_fund",Y$3,$A976))</x:f>
        <x:v>#NAME?</x:v>
      </x:c>
      <x:c r="Z976" s="146" t="e">
        <x:f>IF($A976="","",[1]!thsiFinD("ths_adjustment_nv_fund",Z$3,$A976))</x:f>
        <x:v>#NAME?</x:v>
      </x:c>
      <x:c r="AA976" s="146" t="e">
        <x:f>IF($A976="","",[1]!thsiFinD("ths_adjustment_nv_fund",AA$3,$A976))</x:f>
        <x:v>#NAME?</x:v>
      </x:c>
    </x:row>
    <x:row r="977">
      <x:c r="B977" s="146" t="e">
        <x:f>IF($A977="","",[1]!thsiFinD("ths_adjustment_nv_fund",B$3,$A977))</x:f>
        <x:v>#NAME?</x:v>
      </x:c>
      <x:c r="C977" s="146" t="e">
        <x:f>IF($A977="","",[1]!thsiFinD("ths_adjustment_nv_fund",C$3,$A977))</x:f>
        <x:v>#NAME?</x:v>
      </x:c>
      <x:c r="D977" s="146" t="e">
        <x:f>IF($A977="","",[1]!thsiFinD("ths_adjustment_nv_fund",D$3,$A977))</x:f>
        <x:v>#NAME?</x:v>
      </x:c>
      <x:c r="E977" s="146" t="e">
        <x:f>IF($A977="","",[1]!thsiFinD("ths_adjustment_nv_fund",E$3,$A977))</x:f>
        <x:v>#NAME?</x:v>
      </x:c>
      <x:c r="F977" s="146" t="e">
        <x:f>IF($A977="","",[1]!thsiFinD("ths_adjustment_nv_fund",F$3,$A977))</x:f>
        <x:v>#NAME?</x:v>
      </x:c>
      <x:c r="G977" s="146" t="e">
        <x:f>IF($A977="","",[1]!thsiFinD("ths_adjustment_nv_fund",G$3,$A977))</x:f>
        <x:v>#NAME?</x:v>
      </x:c>
      <x:c r="H977" s="146" t="e">
        <x:f>IF($A977="","",[1]!thsiFinD("ths_adjustment_nv_fund",H$3,$A977))</x:f>
        <x:v>#NAME?</x:v>
      </x:c>
      <x:c r="I977" s="146" t="e">
        <x:f>IF($A977="","",[1]!thsiFinD("ths_adjustment_nv_fund",I$3,$A977))</x:f>
        <x:v>#NAME?</x:v>
      </x:c>
      <x:c r="J977" s="146" t="e">
        <x:f>IF($A977="","",[1]!thsiFinD("ths_adjustment_nv_fund",J$3,$A977))</x:f>
        <x:v>#NAME?</x:v>
      </x:c>
      <x:c r="K977" s="146" t="e">
        <x:f>IF($A977="","",[1]!thsiFinD("ths_adjustment_nv_fund",K$3,$A977))</x:f>
        <x:v>#NAME?</x:v>
      </x:c>
      <x:c r="L977" s="146" t="e">
        <x:f>IF($A977="","",[1]!thsiFinD("ths_adjustment_nv_fund",L$3,$A977))</x:f>
        <x:v>#NAME?</x:v>
      </x:c>
      <x:c r="M977" s="146" t="e">
        <x:f>IF($A977="","",[1]!thsiFinD("ths_adjustment_nv_fund",M$3,$A977))</x:f>
        <x:v>#NAME?</x:v>
      </x:c>
      <x:c r="N977" s="146" t="e">
        <x:f>IF($A977="","",[1]!thsiFinD("ths_adjustment_nv_fund",N$3,$A977))</x:f>
        <x:v>#NAME?</x:v>
      </x:c>
      <x:c r="O977" s="146" t="e">
        <x:f>IF($A977="","",[1]!thsiFinD("ths_adjustment_nv_fund",O$3,$A977))</x:f>
        <x:v>#NAME?</x:v>
      </x:c>
      <x:c r="P977" s="146" t="e">
        <x:f>IF($A977="","",[1]!thsiFinD("ths_adjustment_nv_fund",P$3,$A977))</x:f>
        <x:v>#NAME?</x:v>
      </x:c>
      <x:c r="Q977" s="146" t="e">
        <x:f>IF($A977="","",[1]!thsiFinD("ths_adjustment_nv_fund",Q$3,$A977))</x:f>
        <x:v>#NAME?</x:v>
      </x:c>
      <x:c r="R977" s="146" t="e">
        <x:f>IF($A977="","",[1]!thsiFinD("ths_adjustment_nv_fund",R$3,$A977))</x:f>
        <x:v>#NAME?</x:v>
      </x:c>
      <x:c r="S977" s="146" t="e">
        <x:f>IF($A977="","",[1]!thsiFinD("ths_adjustment_nv_fund",S$3,$A977))</x:f>
        <x:v>#NAME?</x:v>
      </x:c>
      <x:c r="T977" s="146" t="e">
        <x:f>IF($A977="","",[1]!thsiFinD("ths_adjustment_nv_fund",T$3,$A977))</x:f>
        <x:v>#NAME?</x:v>
      </x:c>
      <x:c r="U977" s="146" t="e">
        <x:f>IF($A977="","",[1]!thsiFinD("ths_adjustment_nv_fund",U$3,$A977))</x:f>
        <x:v>#NAME?</x:v>
      </x:c>
      <x:c r="V977" s="146" t="e">
        <x:f>IF($A977="","",[1]!thsiFinD("ths_adjustment_nv_fund",V$3,$A977))</x:f>
        <x:v>#NAME?</x:v>
      </x:c>
      <x:c r="W977" s="146" t="e">
        <x:f>IF($A977="","",[1]!thsiFinD("ths_adjustment_nv_fund",W$3,$A977))</x:f>
        <x:v>#NAME?</x:v>
      </x:c>
      <x:c r="X977" s="146" t="e">
        <x:f>IF($A977="","",[1]!thsiFinD("ths_adjustment_nv_fund",X$3,$A977))</x:f>
        <x:v>#NAME?</x:v>
      </x:c>
      <x:c r="Y977" s="146" t="e">
        <x:f>IF($A977="","",[1]!thsiFinD("ths_adjustment_nv_fund",Y$3,$A977))</x:f>
        <x:v>#NAME?</x:v>
      </x:c>
      <x:c r="Z977" s="146" t="e">
        <x:f>IF($A977="","",[1]!thsiFinD("ths_adjustment_nv_fund",Z$3,$A977))</x:f>
        <x:v>#NAME?</x:v>
      </x:c>
      <x:c r="AA977" s="146" t="e">
        <x:f>IF($A977="","",[1]!thsiFinD("ths_adjustment_nv_fund",AA$3,$A977))</x:f>
        <x:v>#NAME?</x:v>
      </x:c>
    </x:row>
    <x:row r="978">
      <x:c r="B978" s="146" t="e">
        <x:f>IF($A978="","",[1]!thsiFinD("ths_adjustment_nv_fund",B$3,$A978))</x:f>
        <x:v>#NAME?</x:v>
      </x:c>
      <x:c r="C978" s="146" t="e">
        <x:f>IF($A978="","",[1]!thsiFinD("ths_adjustment_nv_fund",C$3,$A978))</x:f>
        <x:v>#NAME?</x:v>
      </x:c>
      <x:c r="D978" s="146" t="e">
        <x:f>IF($A978="","",[1]!thsiFinD("ths_adjustment_nv_fund",D$3,$A978))</x:f>
        <x:v>#NAME?</x:v>
      </x:c>
      <x:c r="E978" s="146" t="e">
        <x:f>IF($A978="","",[1]!thsiFinD("ths_adjustment_nv_fund",E$3,$A978))</x:f>
        <x:v>#NAME?</x:v>
      </x:c>
      <x:c r="F978" s="146" t="e">
        <x:f>IF($A978="","",[1]!thsiFinD("ths_adjustment_nv_fund",F$3,$A978))</x:f>
        <x:v>#NAME?</x:v>
      </x:c>
      <x:c r="G978" s="146" t="e">
        <x:f>IF($A978="","",[1]!thsiFinD("ths_adjustment_nv_fund",G$3,$A978))</x:f>
        <x:v>#NAME?</x:v>
      </x:c>
      <x:c r="H978" s="146" t="e">
        <x:f>IF($A978="","",[1]!thsiFinD("ths_adjustment_nv_fund",H$3,$A978))</x:f>
        <x:v>#NAME?</x:v>
      </x:c>
      <x:c r="I978" s="146" t="e">
        <x:f>IF($A978="","",[1]!thsiFinD("ths_adjustment_nv_fund",I$3,$A978))</x:f>
        <x:v>#NAME?</x:v>
      </x:c>
      <x:c r="J978" s="146" t="e">
        <x:f>IF($A978="","",[1]!thsiFinD("ths_adjustment_nv_fund",J$3,$A978))</x:f>
        <x:v>#NAME?</x:v>
      </x:c>
      <x:c r="K978" s="146" t="e">
        <x:f>IF($A978="","",[1]!thsiFinD("ths_adjustment_nv_fund",K$3,$A978))</x:f>
        <x:v>#NAME?</x:v>
      </x:c>
      <x:c r="L978" s="146" t="e">
        <x:f>IF($A978="","",[1]!thsiFinD("ths_adjustment_nv_fund",L$3,$A978))</x:f>
        <x:v>#NAME?</x:v>
      </x:c>
      <x:c r="M978" s="146" t="e">
        <x:f>IF($A978="","",[1]!thsiFinD("ths_adjustment_nv_fund",M$3,$A978))</x:f>
        <x:v>#NAME?</x:v>
      </x:c>
      <x:c r="N978" s="146" t="e">
        <x:f>IF($A978="","",[1]!thsiFinD("ths_adjustment_nv_fund",N$3,$A978))</x:f>
        <x:v>#NAME?</x:v>
      </x:c>
      <x:c r="O978" s="146" t="e">
        <x:f>IF($A978="","",[1]!thsiFinD("ths_adjustment_nv_fund",O$3,$A978))</x:f>
        <x:v>#NAME?</x:v>
      </x:c>
      <x:c r="P978" s="146" t="e">
        <x:f>IF($A978="","",[1]!thsiFinD("ths_adjustment_nv_fund",P$3,$A978))</x:f>
        <x:v>#NAME?</x:v>
      </x:c>
      <x:c r="Q978" s="146" t="e">
        <x:f>IF($A978="","",[1]!thsiFinD("ths_adjustment_nv_fund",Q$3,$A978))</x:f>
        <x:v>#NAME?</x:v>
      </x:c>
      <x:c r="R978" s="146" t="e">
        <x:f>IF($A978="","",[1]!thsiFinD("ths_adjustment_nv_fund",R$3,$A978))</x:f>
        <x:v>#NAME?</x:v>
      </x:c>
      <x:c r="S978" s="146" t="e">
        <x:f>IF($A978="","",[1]!thsiFinD("ths_adjustment_nv_fund",S$3,$A978))</x:f>
        <x:v>#NAME?</x:v>
      </x:c>
      <x:c r="T978" s="146" t="e">
        <x:f>IF($A978="","",[1]!thsiFinD("ths_adjustment_nv_fund",T$3,$A978))</x:f>
        <x:v>#NAME?</x:v>
      </x:c>
      <x:c r="U978" s="146" t="e">
        <x:f>IF($A978="","",[1]!thsiFinD("ths_adjustment_nv_fund",U$3,$A978))</x:f>
        <x:v>#NAME?</x:v>
      </x:c>
      <x:c r="V978" s="146" t="e">
        <x:f>IF($A978="","",[1]!thsiFinD("ths_adjustment_nv_fund",V$3,$A978))</x:f>
        <x:v>#NAME?</x:v>
      </x:c>
      <x:c r="W978" s="146" t="e">
        <x:f>IF($A978="","",[1]!thsiFinD("ths_adjustment_nv_fund",W$3,$A978))</x:f>
        <x:v>#NAME?</x:v>
      </x:c>
      <x:c r="X978" s="146" t="e">
        <x:f>IF($A978="","",[1]!thsiFinD("ths_adjustment_nv_fund",X$3,$A978))</x:f>
        <x:v>#NAME?</x:v>
      </x:c>
      <x:c r="Y978" s="146" t="e">
        <x:f>IF($A978="","",[1]!thsiFinD("ths_adjustment_nv_fund",Y$3,$A978))</x:f>
        <x:v>#NAME?</x:v>
      </x:c>
      <x:c r="Z978" s="146" t="e">
        <x:f>IF($A978="","",[1]!thsiFinD("ths_adjustment_nv_fund",Z$3,$A978))</x:f>
        <x:v>#NAME?</x:v>
      </x:c>
      <x:c r="AA978" s="146" t="e">
        <x:f>IF($A978="","",[1]!thsiFinD("ths_adjustment_nv_fund",AA$3,$A978))</x:f>
        <x:v>#NAME?</x:v>
      </x:c>
    </x:row>
    <x:row r="979">
      <x:c r="B979" s="146" t="e">
        <x:f>IF($A979="","",[1]!thsiFinD("ths_adjustment_nv_fund",B$3,$A979))</x:f>
        <x:v>#NAME?</x:v>
      </x:c>
      <x:c r="C979" s="146" t="e">
        <x:f>IF($A979="","",[1]!thsiFinD("ths_adjustment_nv_fund",C$3,$A979))</x:f>
        <x:v>#NAME?</x:v>
      </x:c>
      <x:c r="D979" s="146" t="e">
        <x:f>IF($A979="","",[1]!thsiFinD("ths_adjustment_nv_fund",D$3,$A979))</x:f>
        <x:v>#NAME?</x:v>
      </x:c>
      <x:c r="E979" s="146" t="e">
        <x:f>IF($A979="","",[1]!thsiFinD("ths_adjustment_nv_fund",E$3,$A979))</x:f>
        <x:v>#NAME?</x:v>
      </x:c>
      <x:c r="F979" s="146" t="e">
        <x:f>IF($A979="","",[1]!thsiFinD("ths_adjustment_nv_fund",F$3,$A979))</x:f>
        <x:v>#NAME?</x:v>
      </x:c>
      <x:c r="G979" s="146" t="e">
        <x:f>IF($A979="","",[1]!thsiFinD("ths_adjustment_nv_fund",G$3,$A979))</x:f>
        <x:v>#NAME?</x:v>
      </x:c>
      <x:c r="H979" s="146" t="e">
        <x:f>IF($A979="","",[1]!thsiFinD("ths_adjustment_nv_fund",H$3,$A979))</x:f>
        <x:v>#NAME?</x:v>
      </x:c>
      <x:c r="I979" s="146" t="e">
        <x:f>IF($A979="","",[1]!thsiFinD("ths_adjustment_nv_fund",I$3,$A979))</x:f>
        <x:v>#NAME?</x:v>
      </x:c>
      <x:c r="J979" s="146" t="e">
        <x:f>IF($A979="","",[1]!thsiFinD("ths_adjustment_nv_fund",J$3,$A979))</x:f>
        <x:v>#NAME?</x:v>
      </x:c>
      <x:c r="K979" s="146" t="e">
        <x:f>IF($A979="","",[1]!thsiFinD("ths_adjustment_nv_fund",K$3,$A979))</x:f>
        <x:v>#NAME?</x:v>
      </x:c>
      <x:c r="L979" s="146" t="e">
        <x:f>IF($A979="","",[1]!thsiFinD("ths_adjustment_nv_fund",L$3,$A979))</x:f>
        <x:v>#NAME?</x:v>
      </x:c>
      <x:c r="M979" s="146" t="e">
        <x:f>IF($A979="","",[1]!thsiFinD("ths_adjustment_nv_fund",M$3,$A979))</x:f>
        <x:v>#NAME?</x:v>
      </x:c>
      <x:c r="N979" s="146" t="e">
        <x:f>IF($A979="","",[1]!thsiFinD("ths_adjustment_nv_fund",N$3,$A979))</x:f>
        <x:v>#NAME?</x:v>
      </x:c>
      <x:c r="O979" s="146" t="e">
        <x:f>IF($A979="","",[1]!thsiFinD("ths_adjustment_nv_fund",O$3,$A979))</x:f>
        <x:v>#NAME?</x:v>
      </x:c>
      <x:c r="P979" s="146" t="e">
        <x:f>IF($A979="","",[1]!thsiFinD("ths_adjustment_nv_fund",P$3,$A979))</x:f>
        <x:v>#NAME?</x:v>
      </x:c>
      <x:c r="Q979" s="146" t="e">
        <x:f>IF($A979="","",[1]!thsiFinD("ths_adjustment_nv_fund",Q$3,$A979))</x:f>
        <x:v>#NAME?</x:v>
      </x:c>
      <x:c r="R979" s="146" t="e">
        <x:f>IF($A979="","",[1]!thsiFinD("ths_adjustment_nv_fund",R$3,$A979))</x:f>
        <x:v>#NAME?</x:v>
      </x:c>
      <x:c r="S979" s="146" t="e">
        <x:f>IF($A979="","",[1]!thsiFinD("ths_adjustment_nv_fund",S$3,$A979))</x:f>
        <x:v>#NAME?</x:v>
      </x:c>
      <x:c r="T979" s="146" t="e">
        <x:f>IF($A979="","",[1]!thsiFinD("ths_adjustment_nv_fund",T$3,$A979))</x:f>
        <x:v>#NAME?</x:v>
      </x:c>
      <x:c r="U979" s="146" t="e">
        <x:f>IF($A979="","",[1]!thsiFinD("ths_adjustment_nv_fund",U$3,$A979))</x:f>
        <x:v>#NAME?</x:v>
      </x:c>
      <x:c r="V979" s="146" t="e">
        <x:f>IF($A979="","",[1]!thsiFinD("ths_adjustment_nv_fund",V$3,$A979))</x:f>
        <x:v>#NAME?</x:v>
      </x:c>
      <x:c r="W979" s="146" t="e">
        <x:f>IF($A979="","",[1]!thsiFinD("ths_adjustment_nv_fund",W$3,$A979))</x:f>
        <x:v>#NAME?</x:v>
      </x:c>
      <x:c r="X979" s="146" t="e">
        <x:f>IF($A979="","",[1]!thsiFinD("ths_adjustment_nv_fund",X$3,$A979))</x:f>
        <x:v>#NAME?</x:v>
      </x:c>
      <x:c r="Y979" s="146" t="e">
        <x:f>IF($A979="","",[1]!thsiFinD("ths_adjustment_nv_fund",Y$3,$A979))</x:f>
        <x:v>#NAME?</x:v>
      </x:c>
      <x:c r="Z979" s="146" t="e">
        <x:f>IF($A979="","",[1]!thsiFinD("ths_adjustment_nv_fund",Z$3,$A979))</x:f>
        <x:v>#NAME?</x:v>
      </x:c>
      <x:c r="AA979" s="146" t="e">
        <x:f>IF($A979="","",[1]!thsiFinD("ths_adjustment_nv_fund",AA$3,$A979))</x:f>
        <x:v>#NAME?</x:v>
      </x:c>
    </x:row>
    <x:row r="980">
      <x:c r="B980" s="146" t="e">
        <x:f>IF($A980="","",[1]!thsiFinD("ths_adjustment_nv_fund",B$3,$A980))</x:f>
        <x:v>#NAME?</x:v>
      </x:c>
      <x:c r="C980" s="146" t="e">
        <x:f>IF($A980="","",[1]!thsiFinD("ths_adjustment_nv_fund",C$3,$A980))</x:f>
        <x:v>#NAME?</x:v>
      </x:c>
      <x:c r="D980" s="146" t="e">
        <x:f>IF($A980="","",[1]!thsiFinD("ths_adjustment_nv_fund",D$3,$A980))</x:f>
        <x:v>#NAME?</x:v>
      </x:c>
      <x:c r="E980" s="146" t="e">
        <x:f>IF($A980="","",[1]!thsiFinD("ths_adjustment_nv_fund",E$3,$A980))</x:f>
        <x:v>#NAME?</x:v>
      </x:c>
      <x:c r="F980" s="146" t="e">
        <x:f>IF($A980="","",[1]!thsiFinD("ths_adjustment_nv_fund",F$3,$A980))</x:f>
        <x:v>#NAME?</x:v>
      </x:c>
      <x:c r="G980" s="146" t="e">
        <x:f>IF($A980="","",[1]!thsiFinD("ths_adjustment_nv_fund",G$3,$A980))</x:f>
        <x:v>#NAME?</x:v>
      </x:c>
      <x:c r="H980" s="146" t="e">
        <x:f>IF($A980="","",[1]!thsiFinD("ths_adjustment_nv_fund",H$3,$A980))</x:f>
        <x:v>#NAME?</x:v>
      </x:c>
      <x:c r="I980" s="146" t="e">
        <x:f>IF($A980="","",[1]!thsiFinD("ths_adjustment_nv_fund",I$3,$A980))</x:f>
        <x:v>#NAME?</x:v>
      </x:c>
      <x:c r="J980" s="146" t="e">
        <x:f>IF($A980="","",[1]!thsiFinD("ths_adjustment_nv_fund",J$3,$A980))</x:f>
        <x:v>#NAME?</x:v>
      </x:c>
      <x:c r="K980" s="146" t="e">
        <x:f>IF($A980="","",[1]!thsiFinD("ths_adjustment_nv_fund",K$3,$A980))</x:f>
        <x:v>#NAME?</x:v>
      </x:c>
      <x:c r="L980" s="146" t="e">
        <x:f>IF($A980="","",[1]!thsiFinD("ths_adjustment_nv_fund",L$3,$A980))</x:f>
        <x:v>#NAME?</x:v>
      </x:c>
      <x:c r="M980" s="146" t="e">
        <x:f>IF($A980="","",[1]!thsiFinD("ths_adjustment_nv_fund",M$3,$A980))</x:f>
        <x:v>#NAME?</x:v>
      </x:c>
      <x:c r="N980" s="146" t="e">
        <x:f>IF($A980="","",[1]!thsiFinD("ths_adjustment_nv_fund",N$3,$A980))</x:f>
        <x:v>#NAME?</x:v>
      </x:c>
      <x:c r="O980" s="146" t="e">
        <x:f>IF($A980="","",[1]!thsiFinD("ths_adjustment_nv_fund",O$3,$A980))</x:f>
        <x:v>#NAME?</x:v>
      </x:c>
      <x:c r="P980" s="146" t="e">
        <x:f>IF($A980="","",[1]!thsiFinD("ths_adjustment_nv_fund",P$3,$A980))</x:f>
        <x:v>#NAME?</x:v>
      </x:c>
      <x:c r="Q980" s="146" t="e">
        <x:f>IF($A980="","",[1]!thsiFinD("ths_adjustment_nv_fund",Q$3,$A980))</x:f>
        <x:v>#NAME?</x:v>
      </x:c>
      <x:c r="R980" s="146" t="e">
        <x:f>IF($A980="","",[1]!thsiFinD("ths_adjustment_nv_fund",R$3,$A980))</x:f>
        <x:v>#NAME?</x:v>
      </x:c>
      <x:c r="S980" s="146" t="e">
        <x:f>IF($A980="","",[1]!thsiFinD("ths_adjustment_nv_fund",S$3,$A980))</x:f>
        <x:v>#NAME?</x:v>
      </x:c>
      <x:c r="T980" s="146" t="e">
        <x:f>IF($A980="","",[1]!thsiFinD("ths_adjustment_nv_fund",T$3,$A980))</x:f>
        <x:v>#NAME?</x:v>
      </x:c>
      <x:c r="U980" s="146" t="e">
        <x:f>IF($A980="","",[1]!thsiFinD("ths_adjustment_nv_fund",U$3,$A980))</x:f>
        <x:v>#NAME?</x:v>
      </x:c>
      <x:c r="V980" s="146" t="e">
        <x:f>IF($A980="","",[1]!thsiFinD("ths_adjustment_nv_fund",V$3,$A980))</x:f>
        <x:v>#NAME?</x:v>
      </x:c>
      <x:c r="W980" s="146" t="e">
        <x:f>IF($A980="","",[1]!thsiFinD("ths_adjustment_nv_fund",W$3,$A980))</x:f>
        <x:v>#NAME?</x:v>
      </x:c>
      <x:c r="X980" s="146" t="e">
        <x:f>IF($A980="","",[1]!thsiFinD("ths_adjustment_nv_fund",X$3,$A980))</x:f>
        <x:v>#NAME?</x:v>
      </x:c>
      <x:c r="Y980" s="146" t="e">
        <x:f>IF($A980="","",[1]!thsiFinD("ths_adjustment_nv_fund",Y$3,$A980))</x:f>
        <x:v>#NAME?</x:v>
      </x:c>
      <x:c r="Z980" s="146" t="e">
        <x:f>IF($A980="","",[1]!thsiFinD("ths_adjustment_nv_fund",Z$3,$A980))</x:f>
        <x:v>#NAME?</x:v>
      </x:c>
      <x:c r="AA980" s="146" t="e">
        <x:f>IF($A980="","",[1]!thsiFinD("ths_adjustment_nv_fund",AA$3,$A980))</x:f>
        <x:v>#NAME?</x:v>
      </x:c>
    </x:row>
    <x:row r="981">
      <x:c r="B981" s="146" t="e">
        <x:f>IF($A981="","",[1]!thsiFinD("ths_adjustment_nv_fund",B$3,$A981))</x:f>
        <x:v>#NAME?</x:v>
      </x:c>
      <x:c r="C981" s="146" t="e">
        <x:f>IF($A981="","",[1]!thsiFinD("ths_adjustment_nv_fund",C$3,$A981))</x:f>
        <x:v>#NAME?</x:v>
      </x:c>
      <x:c r="D981" s="146" t="e">
        <x:f>IF($A981="","",[1]!thsiFinD("ths_adjustment_nv_fund",D$3,$A981))</x:f>
        <x:v>#NAME?</x:v>
      </x:c>
      <x:c r="E981" s="146" t="e">
        <x:f>IF($A981="","",[1]!thsiFinD("ths_adjustment_nv_fund",E$3,$A981))</x:f>
        <x:v>#NAME?</x:v>
      </x:c>
      <x:c r="F981" s="146" t="e">
        <x:f>IF($A981="","",[1]!thsiFinD("ths_adjustment_nv_fund",F$3,$A981))</x:f>
        <x:v>#NAME?</x:v>
      </x:c>
      <x:c r="G981" s="146" t="e">
        <x:f>IF($A981="","",[1]!thsiFinD("ths_adjustment_nv_fund",G$3,$A981))</x:f>
        <x:v>#NAME?</x:v>
      </x:c>
      <x:c r="H981" s="146" t="e">
        <x:f>IF($A981="","",[1]!thsiFinD("ths_adjustment_nv_fund",H$3,$A981))</x:f>
        <x:v>#NAME?</x:v>
      </x:c>
      <x:c r="I981" s="146" t="e">
        <x:f>IF($A981="","",[1]!thsiFinD("ths_adjustment_nv_fund",I$3,$A981))</x:f>
        <x:v>#NAME?</x:v>
      </x:c>
      <x:c r="J981" s="146" t="e">
        <x:f>IF($A981="","",[1]!thsiFinD("ths_adjustment_nv_fund",J$3,$A981))</x:f>
        <x:v>#NAME?</x:v>
      </x:c>
      <x:c r="K981" s="146" t="e">
        <x:f>IF($A981="","",[1]!thsiFinD("ths_adjustment_nv_fund",K$3,$A981))</x:f>
        <x:v>#NAME?</x:v>
      </x:c>
      <x:c r="L981" s="146" t="e">
        <x:f>IF($A981="","",[1]!thsiFinD("ths_adjustment_nv_fund",L$3,$A981))</x:f>
        <x:v>#NAME?</x:v>
      </x:c>
      <x:c r="M981" s="146" t="e">
        <x:f>IF($A981="","",[1]!thsiFinD("ths_adjustment_nv_fund",M$3,$A981))</x:f>
        <x:v>#NAME?</x:v>
      </x:c>
      <x:c r="N981" s="146" t="e">
        <x:f>IF($A981="","",[1]!thsiFinD("ths_adjustment_nv_fund",N$3,$A981))</x:f>
        <x:v>#NAME?</x:v>
      </x:c>
      <x:c r="O981" s="146" t="e">
        <x:f>IF($A981="","",[1]!thsiFinD("ths_adjustment_nv_fund",O$3,$A981))</x:f>
        <x:v>#NAME?</x:v>
      </x:c>
      <x:c r="P981" s="146" t="e">
        <x:f>IF($A981="","",[1]!thsiFinD("ths_adjustment_nv_fund",P$3,$A981))</x:f>
        <x:v>#NAME?</x:v>
      </x:c>
      <x:c r="Q981" s="146" t="e">
        <x:f>IF($A981="","",[1]!thsiFinD("ths_adjustment_nv_fund",Q$3,$A981))</x:f>
        <x:v>#NAME?</x:v>
      </x:c>
      <x:c r="R981" s="146" t="e">
        <x:f>IF($A981="","",[1]!thsiFinD("ths_adjustment_nv_fund",R$3,$A981))</x:f>
        <x:v>#NAME?</x:v>
      </x:c>
      <x:c r="S981" s="146" t="e">
        <x:f>IF($A981="","",[1]!thsiFinD("ths_adjustment_nv_fund",S$3,$A981))</x:f>
        <x:v>#NAME?</x:v>
      </x:c>
      <x:c r="T981" s="146" t="e">
        <x:f>IF($A981="","",[1]!thsiFinD("ths_adjustment_nv_fund",T$3,$A981))</x:f>
        <x:v>#NAME?</x:v>
      </x:c>
      <x:c r="U981" s="146" t="e">
        <x:f>IF($A981="","",[1]!thsiFinD("ths_adjustment_nv_fund",U$3,$A981))</x:f>
        <x:v>#NAME?</x:v>
      </x:c>
      <x:c r="V981" s="146" t="e">
        <x:f>IF($A981="","",[1]!thsiFinD("ths_adjustment_nv_fund",V$3,$A981))</x:f>
        <x:v>#NAME?</x:v>
      </x:c>
      <x:c r="W981" s="146" t="e">
        <x:f>IF($A981="","",[1]!thsiFinD("ths_adjustment_nv_fund",W$3,$A981))</x:f>
        <x:v>#NAME?</x:v>
      </x:c>
      <x:c r="X981" s="146" t="e">
        <x:f>IF($A981="","",[1]!thsiFinD("ths_adjustment_nv_fund",X$3,$A981))</x:f>
        <x:v>#NAME?</x:v>
      </x:c>
      <x:c r="Y981" s="146" t="e">
        <x:f>IF($A981="","",[1]!thsiFinD("ths_adjustment_nv_fund",Y$3,$A981))</x:f>
        <x:v>#NAME?</x:v>
      </x:c>
      <x:c r="Z981" s="146" t="e">
        <x:f>IF($A981="","",[1]!thsiFinD("ths_adjustment_nv_fund",Z$3,$A981))</x:f>
        <x:v>#NAME?</x:v>
      </x:c>
      <x:c r="AA981" s="146" t="e">
        <x:f>IF($A981="","",[1]!thsiFinD("ths_adjustment_nv_fund",AA$3,$A981))</x:f>
        <x:v>#NAME?</x:v>
      </x:c>
    </x:row>
    <x:row r="982">
      <x:c r="B982" s="146" t="e">
        <x:f>IF($A982="","",[1]!thsiFinD("ths_adjustment_nv_fund",B$3,$A982))</x:f>
        <x:v>#NAME?</x:v>
      </x:c>
      <x:c r="C982" s="146" t="e">
        <x:f>IF($A982="","",[1]!thsiFinD("ths_adjustment_nv_fund",C$3,$A982))</x:f>
        <x:v>#NAME?</x:v>
      </x:c>
      <x:c r="D982" s="146" t="e">
        <x:f>IF($A982="","",[1]!thsiFinD("ths_adjustment_nv_fund",D$3,$A982))</x:f>
        <x:v>#NAME?</x:v>
      </x:c>
      <x:c r="E982" s="146" t="e">
        <x:f>IF($A982="","",[1]!thsiFinD("ths_adjustment_nv_fund",E$3,$A982))</x:f>
        <x:v>#NAME?</x:v>
      </x:c>
      <x:c r="F982" s="146" t="e">
        <x:f>IF($A982="","",[1]!thsiFinD("ths_adjustment_nv_fund",F$3,$A982))</x:f>
        <x:v>#NAME?</x:v>
      </x:c>
      <x:c r="G982" s="146" t="e">
        <x:f>IF($A982="","",[1]!thsiFinD("ths_adjustment_nv_fund",G$3,$A982))</x:f>
        <x:v>#NAME?</x:v>
      </x:c>
      <x:c r="H982" s="146" t="e">
        <x:f>IF($A982="","",[1]!thsiFinD("ths_adjustment_nv_fund",H$3,$A982))</x:f>
        <x:v>#NAME?</x:v>
      </x:c>
      <x:c r="I982" s="146" t="e">
        <x:f>IF($A982="","",[1]!thsiFinD("ths_adjustment_nv_fund",I$3,$A982))</x:f>
        <x:v>#NAME?</x:v>
      </x:c>
      <x:c r="J982" s="146" t="e">
        <x:f>IF($A982="","",[1]!thsiFinD("ths_adjustment_nv_fund",J$3,$A982))</x:f>
        <x:v>#NAME?</x:v>
      </x:c>
      <x:c r="K982" s="146" t="e">
        <x:f>IF($A982="","",[1]!thsiFinD("ths_adjustment_nv_fund",K$3,$A982))</x:f>
        <x:v>#NAME?</x:v>
      </x:c>
      <x:c r="L982" s="146" t="e">
        <x:f>IF($A982="","",[1]!thsiFinD("ths_adjustment_nv_fund",L$3,$A982))</x:f>
        <x:v>#NAME?</x:v>
      </x:c>
      <x:c r="M982" s="146" t="e">
        <x:f>IF($A982="","",[1]!thsiFinD("ths_adjustment_nv_fund",M$3,$A982))</x:f>
        <x:v>#NAME?</x:v>
      </x:c>
      <x:c r="N982" s="146" t="e">
        <x:f>IF($A982="","",[1]!thsiFinD("ths_adjustment_nv_fund",N$3,$A982))</x:f>
        <x:v>#NAME?</x:v>
      </x:c>
      <x:c r="O982" s="146" t="e">
        <x:f>IF($A982="","",[1]!thsiFinD("ths_adjustment_nv_fund",O$3,$A982))</x:f>
        <x:v>#NAME?</x:v>
      </x:c>
      <x:c r="P982" s="146" t="e">
        <x:f>IF($A982="","",[1]!thsiFinD("ths_adjustment_nv_fund",P$3,$A982))</x:f>
        <x:v>#NAME?</x:v>
      </x:c>
      <x:c r="Q982" s="146" t="e">
        <x:f>IF($A982="","",[1]!thsiFinD("ths_adjustment_nv_fund",Q$3,$A982))</x:f>
        <x:v>#NAME?</x:v>
      </x:c>
      <x:c r="R982" s="146" t="e">
        <x:f>IF($A982="","",[1]!thsiFinD("ths_adjustment_nv_fund",R$3,$A982))</x:f>
        <x:v>#NAME?</x:v>
      </x:c>
      <x:c r="S982" s="146" t="e">
        <x:f>IF($A982="","",[1]!thsiFinD("ths_adjustment_nv_fund",S$3,$A982))</x:f>
        <x:v>#NAME?</x:v>
      </x:c>
      <x:c r="T982" s="146" t="e">
        <x:f>IF($A982="","",[1]!thsiFinD("ths_adjustment_nv_fund",T$3,$A982))</x:f>
        <x:v>#NAME?</x:v>
      </x:c>
      <x:c r="U982" s="146" t="e">
        <x:f>IF($A982="","",[1]!thsiFinD("ths_adjustment_nv_fund",U$3,$A982))</x:f>
        <x:v>#NAME?</x:v>
      </x:c>
      <x:c r="V982" s="146" t="e">
        <x:f>IF($A982="","",[1]!thsiFinD("ths_adjustment_nv_fund",V$3,$A982))</x:f>
        <x:v>#NAME?</x:v>
      </x:c>
      <x:c r="W982" s="146" t="e">
        <x:f>IF($A982="","",[1]!thsiFinD("ths_adjustment_nv_fund",W$3,$A982))</x:f>
        <x:v>#NAME?</x:v>
      </x:c>
      <x:c r="X982" s="146" t="e">
        <x:f>IF($A982="","",[1]!thsiFinD("ths_adjustment_nv_fund",X$3,$A982))</x:f>
        <x:v>#NAME?</x:v>
      </x:c>
      <x:c r="Y982" s="146" t="e">
        <x:f>IF($A982="","",[1]!thsiFinD("ths_adjustment_nv_fund",Y$3,$A982))</x:f>
        <x:v>#NAME?</x:v>
      </x:c>
      <x:c r="Z982" s="146" t="e">
        <x:f>IF($A982="","",[1]!thsiFinD("ths_adjustment_nv_fund",Z$3,$A982))</x:f>
        <x:v>#NAME?</x:v>
      </x:c>
      <x:c r="AA982" s="146" t="e">
        <x:f>IF($A982="","",[1]!thsiFinD("ths_adjustment_nv_fund",AA$3,$A982))</x:f>
        <x:v>#NAME?</x:v>
      </x:c>
    </x:row>
    <x:row r="983">
      <x:c r="B983" s="146" t="e">
        <x:f>IF($A983="","",[1]!thsiFinD("ths_adjustment_nv_fund",B$3,$A983))</x:f>
        <x:v>#NAME?</x:v>
      </x:c>
      <x:c r="C983" s="146" t="e">
        <x:f>IF($A983="","",[1]!thsiFinD("ths_adjustment_nv_fund",C$3,$A983))</x:f>
        <x:v>#NAME?</x:v>
      </x:c>
      <x:c r="D983" s="146" t="e">
        <x:f>IF($A983="","",[1]!thsiFinD("ths_adjustment_nv_fund",D$3,$A983))</x:f>
        <x:v>#NAME?</x:v>
      </x:c>
      <x:c r="E983" s="146" t="e">
        <x:f>IF($A983="","",[1]!thsiFinD("ths_adjustment_nv_fund",E$3,$A983))</x:f>
        <x:v>#NAME?</x:v>
      </x:c>
      <x:c r="F983" s="146" t="e">
        <x:f>IF($A983="","",[1]!thsiFinD("ths_adjustment_nv_fund",F$3,$A983))</x:f>
        <x:v>#NAME?</x:v>
      </x:c>
      <x:c r="G983" s="146" t="e">
        <x:f>IF($A983="","",[1]!thsiFinD("ths_adjustment_nv_fund",G$3,$A983))</x:f>
        <x:v>#NAME?</x:v>
      </x:c>
      <x:c r="H983" s="146" t="e">
        <x:f>IF($A983="","",[1]!thsiFinD("ths_adjustment_nv_fund",H$3,$A983))</x:f>
        <x:v>#NAME?</x:v>
      </x:c>
      <x:c r="I983" s="146" t="e">
        <x:f>IF($A983="","",[1]!thsiFinD("ths_adjustment_nv_fund",I$3,$A983))</x:f>
        <x:v>#NAME?</x:v>
      </x:c>
      <x:c r="J983" s="146" t="e">
        <x:f>IF($A983="","",[1]!thsiFinD("ths_adjustment_nv_fund",J$3,$A983))</x:f>
        <x:v>#NAME?</x:v>
      </x:c>
      <x:c r="K983" s="146" t="e">
        <x:f>IF($A983="","",[1]!thsiFinD("ths_adjustment_nv_fund",K$3,$A983))</x:f>
        <x:v>#NAME?</x:v>
      </x:c>
      <x:c r="L983" s="146" t="e">
        <x:f>IF($A983="","",[1]!thsiFinD("ths_adjustment_nv_fund",L$3,$A983))</x:f>
        <x:v>#NAME?</x:v>
      </x:c>
      <x:c r="M983" s="146" t="e">
        <x:f>IF($A983="","",[1]!thsiFinD("ths_adjustment_nv_fund",M$3,$A983))</x:f>
        <x:v>#NAME?</x:v>
      </x:c>
      <x:c r="N983" s="146" t="e">
        <x:f>IF($A983="","",[1]!thsiFinD("ths_adjustment_nv_fund",N$3,$A983))</x:f>
        <x:v>#NAME?</x:v>
      </x:c>
      <x:c r="O983" s="146" t="e">
        <x:f>IF($A983="","",[1]!thsiFinD("ths_adjustment_nv_fund",O$3,$A983))</x:f>
        <x:v>#NAME?</x:v>
      </x:c>
      <x:c r="P983" s="146" t="e">
        <x:f>IF($A983="","",[1]!thsiFinD("ths_adjustment_nv_fund",P$3,$A983))</x:f>
        <x:v>#NAME?</x:v>
      </x:c>
      <x:c r="Q983" s="146" t="e">
        <x:f>IF($A983="","",[1]!thsiFinD("ths_adjustment_nv_fund",Q$3,$A983))</x:f>
        <x:v>#NAME?</x:v>
      </x:c>
      <x:c r="R983" s="146" t="e">
        <x:f>IF($A983="","",[1]!thsiFinD("ths_adjustment_nv_fund",R$3,$A983))</x:f>
        <x:v>#NAME?</x:v>
      </x:c>
      <x:c r="S983" s="146" t="e">
        <x:f>IF($A983="","",[1]!thsiFinD("ths_adjustment_nv_fund",S$3,$A983))</x:f>
        <x:v>#NAME?</x:v>
      </x:c>
      <x:c r="T983" s="146" t="e">
        <x:f>IF($A983="","",[1]!thsiFinD("ths_adjustment_nv_fund",T$3,$A983))</x:f>
        <x:v>#NAME?</x:v>
      </x:c>
      <x:c r="U983" s="146" t="e">
        <x:f>IF($A983="","",[1]!thsiFinD("ths_adjustment_nv_fund",U$3,$A983))</x:f>
        <x:v>#NAME?</x:v>
      </x:c>
      <x:c r="V983" s="146" t="e">
        <x:f>IF($A983="","",[1]!thsiFinD("ths_adjustment_nv_fund",V$3,$A983))</x:f>
        <x:v>#NAME?</x:v>
      </x:c>
      <x:c r="W983" s="146" t="e">
        <x:f>IF($A983="","",[1]!thsiFinD("ths_adjustment_nv_fund",W$3,$A983))</x:f>
        <x:v>#NAME?</x:v>
      </x:c>
      <x:c r="X983" s="146" t="e">
        <x:f>IF($A983="","",[1]!thsiFinD("ths_adjustment_nv_fund",X$3,$A983))</x:f>
        <x:v>#NAME?</x:v>
      </x:c>
      <x:c r="Y983" s="146" t="e">
        <x:f>IF($A983="","",[1]!thsiFinD("ths_adjustment_nv_fund",Y$3,$A983))</x:f>
        <x:v>#NAME?</x:v>
      </x:c>
      <x:c r="Z983" s="146" t="e">
        <x:f>IF($A983="","",[1]!thsiFinD("ths_adjustment_nv_fund",Z$3,$A983))</x:f>
        <x:v>#NAME?</x:v>
      </x:c>
      <x:c r="AA983" s="146" t="e">
        <x:f>IF($A983="","",[1]!thsiFinD("ths_adjustment_nv_fund",AA$3,$A983))</x:f>
        <x:v>#NAME?</x:v>
      </x:c>
    </x:row>
    <x:row r="984">
      <x:c r="B984" s="146" t="e">
        <x:f>IF($A984="","",[1]!thsiFinD("ths_adjustment_nv_fund",B$3,$A984))</x:f>
        <x:v>#NAME?</x:v>
      </x:c>
      <x:c r="C984" s="146" t="e">
        <x:f>IF($A984="","",[1]!thsiFinD("ths_adjustment_nv_fund",C$3,$A984))</x:f>
        <x:v>#NAME?</x:v>
      </x:c>
      <x:c r="D984" s="146" t="e">
        <x:f>IF($A984="","",[1]!thsiFinD("ths_adjustment_nv_fund",D$3,$A984))</x:f>
        <x:v>#NAME?</x:v>
      </x:c>
      <x:c r="E984" s="146" t="e">
        <x:f>IF($A984="","",[1]!thsiFinD("ths_adjustment_nv_fund",E$3,$A984))</x:f>
        <x:v>#NAME?</x:v>
      </x:c>
      <x:c r="F984" s="146" t="e">
        <x:f>IF($A984="","",[1]!thsiFinD("ths_adjustment_nv_fund",F$3,$A984))</x:f>
        <x:v>#NAME?</x:v>
      </x:c>
      <x:c r="G984" s="146" t="e">
        <x:f>IF($A984="","",[1]!thsiFinD("ths_adjustment_nv_fund",G$3,$A984))</x:f>
        <x:v>#NAME?</x:v>
      </x:c>
      <x:c r="H984" s="146" t="e">
        <x:f>IF($A984="","",[1]!thsiFinD("ths_adjustment_nv_fund",H$3,$A984))</x:f>
        <x:v>#NAME?</x:v>
      </x:c>
      <x:c r="I984" s="146" t="e">
        <x:f>IF($A984="","",[1]!thsiFinD("ths_adjustment_nv_fund",I$3,$A984))</x:f>
        <x:v>#NAME?</x:v>
      </x:c>
      <x:c r="J984" s="146" t="e">
        <x:f>IF($A984="","",[1]!thsiFinD("ths_adjustment_nv_fund",J$3,$A984))</x:f>
        <x:v>#NAME?</x:v>
      </x:c>
      <x:c r="K984" s="146" t="e">
        <x:f>IF($A984="","",[1]!thsiFinD("ths_adjustment_nv_fund",K$3,$A984))</x:f>
        <x:v>#NAME?</x:v>
      </x:c>
      <x:c r="L984" s="146" t="e">
        <x:f>IF($A984="","",[1]!thsiFinD("ths_adjustment_nv_fund",L$3,$A984))</x:f>
        <x:v>#NAME?</x:v>
      </x:c>
      <x:c r="M984" s="146" t="e">
        <x:f>IF($A984="","",[1]!thsiFinD("ths_adjustment_nv_fund",M$3,$A984))</x:f>
        <x:v>#NAME?</x:v>
      </x:c>
      <x:c r="N984" s="146" t="e">
        <x:f>IF($A984="","",[1]!thsiFinD("ths_adjustment_nv_fund",N$3,$A984))</x:f>
        <x:v>#NAME?</x:v>
      </x:c>
      <x:c r="O984" s="146" t="e">
        <x:f>IF($A984="","",[1]!thsiFinD("ths_adjustment_nv_fund",O$3,$A984))</x:f>
        <x:v>#NAME?</x:v>
      </x:c>
      <x:c r="P984" s="146" t="e">
        <x:f>IF($A984="","",[1]!thsiFinD("ths_adjustment_nv_fund",P$3,$A984))</x:f>
        <x:v>#NAME?</x:v>
      </x:c>
      <x:c r="Q984" s="146" t="e">
        <x:f>IF($A984="","",[1]!thsiFinD("ths_adjustment_nv_fund",Q$3,$A984))</x:f>
        <x:v>#NAME?</x:v>
      </x:c>
      <x:c r="R984" s="146" t="e">
        <x:f>IF($A984="","",[1]!thsiFinD("ths_adjustment_nv_fund",R$3,$A984))</x:f>
        <x:v>#NAME?</x:v>
      </x:c>
      <x:c r="S984" s="146" t="e">
        <x:f>IF($A984="","",[1]!thsiFinD("ths_adjustment_nv_fund",S$3,$A984))</x:f>
        <x:v>#NAME?</x:v>
      </x:c>
      <x:c r="T984" s="146" t="e">
        <x:f>IF($A984="","",[1]!thsiFinD("ths_adjustment_nv_fund",T$3,$A984))</x:f>
        <x:v>#NAME?</x:v>
      </x:c>
      <x:c r="U984" s="146" t="e">
        <x:f>IF($A984="","",[1]!thsiFinD("ths_adjustment_nv_fund",U$3,$A984))</x:f>
        <x:v>#NAME?</x:v>
      </x:c>
      <x:c r="V984" s="146" t="e">
        <x:f>IF($A984="","",[1]!thsiFinD("ths_adjustment_nv_fund",V$3,$A984))</x:f>
        <x:v>#NAME?</x:v>
      </x:c>
      <x:c r="W984" s="146" t="e">
        <x:f>IF($A984="","",[1]!thsiFinD("ths_adjustment_nv_fund",W$3,$A984))</x:f>
        <x:v>#NAME?</x:v>
      </x:c>
      <x:c r="X984" s="146" t="e">
        <x:f>IF($A984="","",[1]!thsiFinD("ths_adjustment_nv_fund",X$3,$A984))</x:f>
        <x:v>#NAME?</x:v>
      </x:c>
      <x:c r="Y984" s="146" t="e">
        <x:f>IF($A984="","",[1]!thsiFinD("ths_adjustment_nv_fund",Y$3,$A984))</x:f>
        <x:v>#NAME?</x:v>
      </x:c>
      <x:c r="Z984" s="146" t="e">
        <x:f>IF($A984="","",[1]!thsiFinD("ths_adjustment_nv_fund",Z$3,$A984))</x:f>
        <x:v>#NAME?</x:v>
      </x:c>
      <x:c r="AA984" s="146" t="e">
        <x:f>IF($A984="","",[1]!thsiFinD("ths_adjustment_nv_fund",AA$3,$A984))</x:f>
        <x:v>#NAME?</x:v>
      </x:c>
    </x:row>
    <x:row r="985">
      <x:c r="B985" s="146" t="e">
        <x:f>IF($A985="","",[1]!thsiFinD("ths_adjustment_nv_fund",B$3,$A985))</x:f>
        <x:v>#NAME?</x:v>
      </x:c>
      <x:c r="C985" s="146" t="e">
        <x:f>IF($A985="","",[1]!thsiFinD("ths_adjustment_nv_fund",C$3,$A985))</x:f>
        <x:v>#NAME?</x:v>
      </x:c>
      <x:c r="D985" s="146" t="e">
        <x:f>IF($A985="","",[1]!thsiFinD("ths_adjustment_nv_fund",D$3,$A985))</x:f>
        <x:v>#NAME?</x:v>
      </x:c>
      <x:c r="E985" s="146" t="e">
        <x:f>IF($A985="","",[1]!thsiFinD("ths_adjustment_nv_fund",E$3,$A985))</x:f>
        <x:v>#NAME?</x:v>
      </x:c>
      <x:c r="F985" s="146" t="e">
        <x:f>IF($A985="","",[1]!thsiFinD("ths_adjustment_nv_fund",F$3,$A985))</x:f>
        <x:v>#NAME?</x:v>
      </x:c>
      <x:c r="G985" s="146" t="e">
        <x:f>IF($A985="","",[1]!thsiFinD("ths_adjustment_nv_fund",G$3,$A985))</x:f>
        <x:v>#NAME?</x:v>
      </x:c>
      <x:c r="H985" s="146" t="e">
        <x:f>IF($A985="","",[1]!thsiFinD("ths_adjustment_nv_fund",H$3,$A985))</x:f>
        <x:v>#NAME?</x:v>
      </x:c>
      <x:c r="I985" s="146" t="e">
        <x:f>IF($A985="","",[1]!thsiFinD("ths_adjustment_nv_fund",I$3,$A985))</x:f>
        <x:v>#NAME?</x:v>
      </x:c>
      <x:c r="J985" s="146" t="e">
        <x:f>IF($A985="","",[1]!thsiFinD("ths_adjustment_nv_fund",J$3,$A985))</x:f>
        <x:v>#NAME?</x:v>
      </x:c>
      <x:c r="K985" s="146" t="e">
        <x:f>IF($A985="","",[1]!thsiFinD("ths_adjustment_nv_fund",K$3,$A985))</x:f>
        <x:v>#NAME?</x:v>
      </x:c>
      <x:c r="L985" s="146" t="e">
        <x:f>IF($A985="","",[1]!thsiFinD("ths_adjustment_nv_fund",L$3,$A985))</x:f>
        <x:v>#NAME?</x:v>
      </x:c>
      <x:c r="M985" s="146" t="e">
        <x:f>IF($A985="","",[1]!thsiFinD("ths_adjustment_nv_fund",M$3,$A985))</x:f>
        <x:v>#NAME?</x:v>
      </x:c>
      <x:c r="N985" s="146" t="e">
        <x:f>IF($A985="","",[1]!thsiFinD("ths_adjustment_nv_fund",N$3,$A985))</x:f>
        <x:v>#NAME?</x:v>
      </x:c>
      <x:c r="O985" s="146" t="e">
        <x:f>IF($A985="","",[1]!thsiFinD("ths_adjustment_nv_fund",O$3,$A985))</x:f>
        <x:v>#NAME?</x:v>
      </x:c>
      <x:c r="P985" s="146" t="e">
        <x:f>IF($A985="","",[1]!thsiFinD("ths_adjustment_nv_fund",P$3,$A985))</x:f>
        <x:v>#NAME?</x:v>
      </x:c>
      <x:c r="Q985" s="146" t="e">
        <x:f>IF($A985="","",[1]!thsiFinD("ths_adjustment_nv_fund",Q$3,$A985))</x:f>
        <x:v>#NAME?</x:v>
      </x:c>
      <x:c r="R985" s="146" t="e">
        <x:f>IF($A985="","",[1]!thsiFinD("ths_adjustment_nv_fund",R$3,$A985))</x:f>
        <x:v>#NAME?</x:v>
      </x:c>
      <x:c r="S985" s="146" t="e">
        <x:f>IF($A985="","",[1]!thsiFinD("ths_adjustment_nv_fund",S$3,$A985))</x:f>
        <x:v>#NAME?</x:v>
      </x:c>
      <x:c r="T985" s="146" t="e">
        <x:f>IF($A985="","",[1]!thsiFinD("ths_adjustment_nv_fund",T$3,$A985))</x:f>
        <x:v>#NAME?</x:v>
      </x:c>
      <x:c r="U985" s="146" t="e">
        <x:f>IF($A985="","",[1]!thsiFinD("ths_adjustment_nv_fund",U$3,$A985))</x:f>
        <x:v>#NAME?</x:v>
      </x:c>
      <x:c r="V985" s="146" t="e">
        <x:f>IF($A985="","",[1]!thsiFinD("ths_adjustment_nv_fund",V$3,$A985))</x:f>
        <x:v>#NAME?</x:v>
      </x:c>
      <x:c r="W985" s="146" t="e">
        <x:f>IF($A985="","",[1]!thsiFinD("ths_adjustment_nv_fund",W$3,$A985))</x:f>
        <x:v>#NAME?</x:v>
      </x:c>
      <x:c r="X985" s="146" t="e">
        <x:f>IF($A985="","",[1]!thsiFinD("ths_adjustment_nv_fund",X$3,$A985))</x:f>
        <x:v>#NAME?</x:v>
      </x:c>
      <x:c r="Y985" s="146" t="e">
        <x:f>IF($A985="","",[1]!thsiFinD("ths_adjustment_nv_fund",Y$3,$A985))</x:f>
        <x:v>#NAME?</x:v>
      </x:c>
      <x:c r="Z985" s="146" t="e">
        <x:f>IF($A985="","",[1]!thsiFinD("ths_adjustment_nv_fund",Z$3,$A985))</x:f>
        <x:v>#NAME?</x:v>
      </x:c>
      <x:c r="AA985" s="146" t="e">
        <x:f>IF($A985="","",[1]!thsiFinD("ths_adjustment_nv_fund",AA$3,$A985))</x:f>
        <x:v>#NAME?</x:v>
      </x:c>
    </x:row>
    <x:row r="986">
      <x:c r="B986" s="146" t="e">
        <x:f>IF($A986="","",[1]!thsiFinD("ths_adjustment_nv_fund",B$3,$A986))</x:f>
        <x:v>#NAME?</x:v>
      </x:c>
      <x:c r="C986" s="146" t="e">
        <x:f>IF($A986="","",[1]!thsiFinD("ths_adjustment_nv_fund",C$3,$A986))</x:f>
        <x:v>#NAME?</x:v>
      </x:c>
      <x:c r="D986" s="146" t="e">
        <x:f>IF($A986="","",[1]!thsiFinD("ths_adjustment_nv_fund",D$3,$A986))</x:f>
        <x:v>#NAME?</x:v>
      </x:c>
      <x:c r="E986" s="146" t="e">
        <x:f>IF($A986="","",[1]!thsiFinD("ths_adjustment_nv_fund",E$3,$A986))</x:f>
        <x:v>#NAME?</x:v>
      </x:c>
      <x:c r="F986" s="146" t="e">
        <x:f>IF($A986="","",[1]!thsiFinD("ths_adjustment_nv_fund",F$3,$A986))</x:f>
        <x:v>#NAME?</x:v>
      </x:c>
      <x:c r="G986" s="146" t="e">
        <x:f>IF($A986="","",[1]!thsiFinD("ths_adjustment_nv_fund",G$3,$A986))</x:f>
        <x:v>#NAME?</x:v>
      </x:c>
      <x:c r="H986" s="146" t="e">
        <x:f>IF($A986="","",[1]!thsiFinD("ths_adjustment_nv_fund",H$3,$A986))</x:f>
        <x:v>#NAME?</x:v>
      </x:c>
      <x:c r="I986" s="146" t="e">
        <x:f>IF($A986="","",[1]!thsiFinD("ths_adjustment_nv_fund",I$3,$A986))</x:f>
        <x:v>#NAME?</x:v>
      </x:c>
      <x:c r="J986" s="146" t="e">
        <x:f>IF($A986="","",[1]!thsiFinD("ths_adjustment_nv_fund",J$3,$A986))</x:f>
        <x:v>#NAME?</x:v>
      </x:c>
      <x:c r="K986" s="146" t="e">
        <x:f>IF($A986="","",[1]!thsiFinD("ths_adjustment_nv_fund",K$3,$A986))</x:f>
        <x:v>#NAME?</x:v>
      </x:c>
      <x:c r="L986" s="146" t="e">
        <x:f>IF($A986="","",[1]!thsiFinD("ths_adjustment_nv_fund",L$3,$A986))</x:f>
        <x:v>#NAME?</x:v>
      </x:c>
      <x:c r="M986" s="146" t="e">
        <x:f>IF($A986="","",[1]!thsiFinD("ths_adjustment_nv_fund",M$3,$A986))</x:f>
        <x:v>#NAME?</x:v>
      </x:c>
      <x:c r="N986" s="146" t="e">
        <x:f>IF($A986="","",[1]!thsiFinD("ths_adjustment_nv_fund",N$3,$A986))</x:f>
        <x:v>#NAME?</x:v>
      </x:c>
      <x:c r="O986" s="146" t="e">
        <x:f>IF($A986="","",[1]!thsiFinD("ths_adjustment_nv_fund",O$3,$A986))</x:f>
        <x:v>#NAME?</x:v>
      </x:c>
      <x:c r="P986" s="146" t="e">
        <x:f>IF($A986="","",[1]!thsiFinD("ths_adjustment_nv_fund",P$3,$A986))</x:f>
        <x:v>#NAME?</x:v>
      </x:c>
      <x:c r="Q986" s="146" t="e">
        <x:f>IF($A986="","",[1]!thsiFinD("ths_adjustment_nv_fund",Q$3,$A986))</x:f>
        <x:v>#NAME?</x:v>
      </x:c>
      <x:c r="R986" s="146" t="e">
        <x:f>IF($A986="","",[1]!thsiFinD("ths_adjustment_nv_fund",R$3,$A986))</x:f>
        <x:v>#NAME?</x:v>
      </x:c>
      <x:c r="S986" s="146" t="e">
        <x:f>IF($A986="","",[1]!thsiFinD("ths_adjustment_nv_fund",S$3,$A986))</x:f>
        <x:v>#NAME?</x:v>
      </x:c>
      <x:c r="T986" s="146" t="e">
        <x:f>IF($A986="","",[1]!thsiFinD("ths_adjustment_nv_fund",T$3,$A986))</x:f>
        <x:v>#NAME?</x:v>
      </x:c>
      <x:c r="U986" s="146" t="e">
        <x:f>IF($A986="","",[1]!thsiFinD("ths_adjustment_nv_fund",U$3,$A986))</x:f>
        <x:v>#NAME?</x:v>
      </x:c>
      <x:c r="V986" s="146" t="e">
        <x:f>IF($A986="","",[1]!thsiFinD("ths_adjustment_nv_fund",V$3,$A986))</x:f>
        <x:v>#NAME?</x:v>
      </x:c>
      <x:c r="W986" s="146" t="e">
        <x:f>IF($A986="","",[1]!thsiFinD("ths_adjustment_nv_fund",W$3,$A986))</x:f>
        <x:v>#NAME?</x:v>
      </x:c>
      <x:c r="X986" s="146" t="e">
        <x:f>IF($A986="","",[1]!thsiFinD("ths_adjustment_nv_fund",X$3,$A986))</x:f>
        <x:v>#NAME?</x:v>
      </x:c>
      <x:c r="Y986" s="146" t="e">
        <x:f>IF($A986="","",[1]!thsiFinD("ths_adjustment_nv_fund",Y$3,$A986))</x:f>
        <x:v>#NAME?</x:v>
      </x:c>
      <x:c r="Z986" s="146" t="e">
        <x:f>IF($A986="","",[1]!thsiFinD("ths_adjustment_nv_fund",Z$3,$A986))</x:f>
        <x:v>#NAME?</x:v>
      </x:c>
      <x:c r="AA986" s="146" t="e">
        <x:f>IF($A986="","",[1]!thsiFinD("ths_adjustment_nv_fund",AA$3,$A986))</x:f>
        <x:v>#NAME?</x:v>
      </x:c>
    </x:row>
    <x:row r="987">
      <x:c r="B987" s="146" t="e">
        <x:f>IF($A987="","",[1]!thsiFinD("ths_adjustment_nv_fund",B$3,$A987))</x:f>
        <x:v>#NAME?</x:v>
      </x:c>
      <x:c r="C987" s="146" t="e">
        <x:f>IF($A987="","",[1]!thsiFinD("ths_adjustment_nv_fund",C$3,$A987))</x:f>
        <x:v>#NAME?</x:v>
      </x:c>
      <x:c r="D987" s="146" t="e">
        <x:f>IF($A987="","",[1]!thsiFinD("ths_adjustment_nv_fund",D$3,$A987))</x:f>
        <x:v>#NAME?</x:v>
      </x:c>
      <x:c r="E987" s="146" t="e">
        <x:f>IF($A987="","",[1]!thsiFinD("ths_adjustment_nv_fund",E$3,$A987))</x:f>
        <x:v>#NAME?</x:v>
      </x:c>
      <x:c r="F987" s="146" t="e">
        <x:f>IF($A987="","",[1]!thsiFinD("ths_adjustment_nv_fund",F$3,$A987))</x:f>
        <x:v>#NAME?</x:v>
      </x:c>
      <x:c r="G987" s="146" t="e">
        <x:f>IF($A987="","",[1]!thsiFinD("ths_adjustment_nv_fund",G$3,$A987))</x:f>
        <x:v>#NAME?</x:v>
      </x:c>
      <x:c r="H987" s="146" t="e">
        <x:f>IF($A987="","",[1]!thsiFinD("ths_adjustment_nv_fund",H$3,$A987))</x:f>
        <x:v>#NAME?</x:v>
      </x:c>
      <x:c r="I987" s="146" t="e">
        <x:f>IF($A987="","",[1]!thsiFinD("ths_adjustment_nv_fund",I$3,$A987))</x:f>
        <x:v>#NAME?</x:v>
      </x:c>
      <x:c r="J987" s="146" t="e">
        <x:f>IF($A987="","",[1]!thsiFinD("ths_adjustment_nv_fund",J$3,$A987))</x:f>
        <x:v>#NAME?</x:v>
      </x:c>
      <x:c r="K987" s="146" t="e">
        <x:f>IF($A987="","",[1]!thsiFinD("ths_adjustment_nv_fund",K$3,$A987))</x:f>
        <x:v>#NAME?</x:v>
      </x:c>
      <x:c r="L987" s="146" t="e">
        <x:f>IF($A987="","",[1]!thsiFinD("ths_adjustment_nv_fund",L$3,$A987))</x:f>
        <x:v>#NAME?</x:v>
      </x:c>
      <x:c r="M987" s="146" t="e">
        <x:f>IF($A987="","",[1]!thsiFinD("ths_adjustment_nv_fund",M$3,$A987))</x:f>
        <x:v>#NAME?</x:v>
      </x:c>
      <x:c r="N987" s="146" t="e">
        <x:f>IF($A987="","",[1]!thsiFinD("ths_adjustment_nv_fund",N$3,$A987))</x:f>
        <x:v>#NAME?</x:v>
      </x:c>
      <x:c r="O987" s="146" t="e">
        <x:f>IF($A987="","",[1]!thsiFinD("ths_adjustment_nv_fund",O$3,$A987))</x:f>
        <x:v>#NAME?</x:v>
      </x:c>
      <x:c r="P987" s="146" t="e">
        <x:f>IF($A987="","",[1]!thsiFinD("ths_adjustment_nv_fund",P$3,$A987))</x:f>
        <x:v>#NAME?</x:v>
      </x:c>
      <x:c r="Q987" s="146" t="e">
        <x:f>IF($A987="","",[1]!thsiFinD("ths_adjustment_nv_fund",Q$3,$A987))</x:f>
        <x:v>#NAME?</x:v>
      </x:c>
      <x:c r="R987" s="146" t="e">
        <x:f>IF($A987="","",[1]!thsiFinD("ths_adjustment_nv_fund",R$3,$A987))</x:f>
        <x:v>#NAME?</x:v>
      </x:c>
      <x:c r="S987" s="146" t="e">
        <x:f>IF($A987="","",[1]!thsiFinD("ths_adjustment_nv_fund",S$3,$A987))</x:f>
        <x:v>#NAME?</x:v>
      </x:c>
      <x:c r="T987" s="146" t="e">
        <x:f>IF($A987="","",[1]!thsiFinD("ths_adjustment_nv_fund",T$3,$A987))</x:f>
        <x:v>#NAME?</x:v>
      </x:c>
      <x:c r="U987" s="146" t="e">
        <x:f>IF($A987="","",[1]!thsiFinD("ths_adjustment_nv_fund",U$3,$A987))</x:f>
        <x:v>#NAME?</x:v>
      </x:c>
      <x:c r="V987" s="146" t="e">
        <x:f>IF($A987="","",[1]!thsiFinD("ths_adjustment_nv_fund",V$3,$A987))</x:f>
        <x:v>#NAME?</x:v>
      </x:c>
      <x:c r="W987" s="146" t="e">
        <x:f>IF($A987="","",[1]!thsiFinD("ths_adjustment_nv_fund",W$3,$A987))</x:f>
        <x:v>#NAME?</x:v>
      </x:c>
      <x:c r="X987" s="146" t="e">
        <x:f>IF($A987="","",[1]!thsiFinD("ths_adjustment_nv_fund",X$3,$A987))</x:f>
        <x:v>#NAME?</x:v>
      </x:c>
      <x:c r="Y987" s="146" t="e">
        <x:f>IF($A987="","",[1]!thsiFinD("ths_adjustment_nv_fund",Y$3,$A987))</x:f>
        <x:v>#NAME?</x:v>
      </x:c>
      <x:c r="Z987" s="146" t="e">
        <x:f>IF($A987="","",[1]!thsiFinD("ths_adjustment_nv_fund",Z$3,$A987))</x:f>
        <x:v>#NAME?</x:v>
      </x:c>
      <x:c r="AA987" s="146" t="e">
        <x:f>IF($A987="","",[1]!thsiFinD("ths_adjustment_nv_fund",AA$3,$A987))</x:f>
        <x:v>#NAME?</x:v>
      </x:c>
    </x:row>
    <x:row r="988">
      <x:c r="B988" s="146" t="e">
        <x:f>IF($A988="","",[1]!thsiFinD("ths_adjustment_nv_fund",B$3,$A988))</x:f>
        <x:v>#NAME?</x:v>
      </x:c>
      <x:c r="C988" s="146" t="e">
        <x:f>IF($A988="","",[1]!thsiFinD("ths_adjustment_nv_fund",C$3,$A988))</x:f>
        <x:v>#NAME?</x:v>
      </x:c>
      <x:c r="D988" s="146" t="e">
        <x:f>IF($A988="","",[1]!thsiFinD("ths_adjustment_nv_fund",D$3,$A988))</x:f>
        <x:v>#NAME?</x:v>
      </x:c>
      <x:c r="E988" s="146" t="e">
        <x:f>IF($A988="","",[1]!thsiFinD("ths_adjustment_nv_fund",E$3,$A988))</x:f>
        <x:v>#NAME?</x:v>
      </x:c>
      <x:c r="F988" s="146" t="e">
        <x:f>IF($A988="","",[1]!thsiFinD("ths_adjustment_nv_fund",F$3,$A988))</x:f>
        <x:v>#NAME?</x:v>
      </x:c>
      <x:c r="G988" s="146" t="e">
        <x:f>IF($A988="","",[1]!thsiFinD("ths_adjustment_nv_fund",G$3,$A988))</x:f>
        <x:v>#NAME?</x:v>
      </x:c>
      <x:c r="H988" s="146" t="e">
        <x:f>IF($A988="","",[1]!thsiFinD("ths_adjustment_nv_fund",H$3,$A988))</x:f>
        <x:v>#NAME?</x:v>
      </x:c>
      <x:c r="I988" s="146" t="e">
        <x:f>IF($A988="","",[1]!thsiFinD("ths_adjustment_nv_fund",I$3,$A988))</x:f>
        <x:v>#NAME?</x:v>
      </x:c>
      <x:c r="J988" s="146" t="e">
        <x:f>IF($A988="","",[1]!thsiFinD("ths_adjustment_nv_fund",J$3,$A988))</x:f>
        <x:v>#NAME?</x:v>
      </x:c>
      <x:c r="K988" s="146" t="e">
        <x:f>IF($A988="","",[1]!thsiFinD("ths_adjustment_nv_fund",K$3,$A988))</x:f>
        <x:v>#NAME?</x:v>
      </x:c>
      <x:c r="L988" s="146" t="e">
        <x:f>IF($A988="","",[1]!thsiFinD("ths_adjustment_nv_fund",L$3,$A988))</x:f>
        <x:v>#NAME?</x:v>
      </x:c>
      <x:c r="M988" s="146" t="e">
        <x:f>IF($A988="","",[1]!thsiFinD("ths_adjustment_nv_fund",M$3,$A988))</x:f>
        <x:v>#NAME?</x:v>
      </x:c>
      <x:c r="N988" s="146" t="e">
        <x:f>IF($A988="","",[1]!thsiFinD("ths_adjustment_nv_fund",N$3,$A988))</x:f>
        <x:v>#NAME?</x:v>
      </x:c>
      <x:c r="O988" s="146" t="e">
        <x:f>IF($A988="","",[1]!thsiFinD("ths_adjustment_nv_fund",O$3,$A988))</x:f>
        <x:v>#NAME?</x:v>
      </x:c>
      <x:c r="P988" s="146" t="e">
        <x:f>IF($A988="","",[1]!thsiFinD("ths_adjustment_nv_fund",P$3,$A988))</x:f>
        <x:v>#NAME?</x:v>
      </x:c>
      <x:c r="Q988" s="146" t="e">
        <x:f>IF($A988="","",[1]!thsiFinD("ths_adjustment_nv_fund",Q$3,$A988))</x:f>
        <x:v>#NAME?</x:v>
      </x:c>
      <x:c r="R988" s="146" t="e">
        <x:f>IF($A988="","",[1]!thsiFinD("ths_adjustment_nv_fund",R$3,$A988))</x:f>
        <x:v>#NAME?</x:v>
      </x:c>
      <x:c r="S988" s="146" t="e">
        <x:f>IF($A988="","",[1]!thsiFinD("ths_adjustment_nv_fund",S$3,$A988))</x:f>
        <x:v>#NAME?</x:v>
      </x:c>
      <x:c r="T988" s="146" t="e">
        <x:f>IF($A988="","",[1]!thsiFinD("ths_adjustment_nv_fund",T$3,$A988))</x:f>
        <x:v>#NAME?</x:v>
      </x:c>
      <x:c r="U988" s="146" t="e">
        <x:f>IF($A988="","",[1]!thsiFinD("ths_adjustment_nv_fund",U$3,$A988))</x:f>
        <x:v>#NAME?</x:v>
      </x:c>
      <x:c r="V988" s="146" t="e">
        <x:f>IF($A988="","",[1]!thsiFinD("ths_adjustment_nv_fund",V$3,$A988))</x:f>
        <x:v>#NAME?</x:v>
      </x:c>
      <x:c r="W988" s="146" t="e">
        <x:f>IF($A988="","",[1]!thsiFinD("ths_adjustment_nv_fund",W$3,$A988))</x:f>
        <x:v>#NAME?</x:v>
      </x:c>
      <x:c r="X988" s="146" t="e">
        <x:f>IF($A988="","",[1]!thsiFinD("ths_adjustment_nv_fund",X$3,$A988))</x:f>
        <x:v>#NAME?</x:v>
      </x:c>
      <x:c r="Y988" s="146" t="e">
        <x:f>IF($A988="","",[1]!thsiFinD("ths_adjustment_nv_fund",Y$3,$A988))</x:f>
        <x:v>#NAME?</x:v>
      </x:c>
      <x:c r="Z988" s="146" t="e">
        <x:f>IF($A988="","",[1]!thsiFinD("ths_adjustment_nv_fund",Z$3,$A988))</x:f>
        <x:v>#NAME?</x:v>
      </x:c>
      <x:c r="AA988" s="146" t="e">
        <x:f>IF($A988="","",[1]!thsiFinD("ths_adjustment_nv_fund",AA$3,$A988))</x:f>
        <x:v>#NAME?</x:v>
      </x:c>
    </x:row>
    <x:row r="989">
      <x:c r="B989" s="146" t="e">
        <x:f>IF($A989="","",[1]!thsiFinD("ths_adjustment_nv_fund",B$3,$A989))</x:f>
        <x:v>#NAME?</x:v>
      </x:c>
      <x:c r="C989" s="146" t="e">
        <x:f>IF($A989="","",[1]!thsiFinD("ths_adjustment_nv_fund",C$3,$A989))</x:f>
        <x:v>#NAME?</x:v>
      </x:c>
      <x:c r="D989" s="146" t="e">
        <x:f>IF($A989="","",[1]!thsiFinD("ths_adjustment_nv_fund",D$3,$A989))</x:f>
        <x:v>#NAME?</x:v>
      </x:c>
      <x:c r="E989" s="146" t="e">
        <x:f>IF($A989="","",[1]!thsiFinD("ths_adjustment_nv_fund",E$3,$A989))</x:f>
        <x:v>#NAME?</x:v>
      </x:c>
      <x:c r="F989" s="146" t="e">
        <x:f>IF($A989="","",[1]!thsiFinD("ths_adjustment_nv_fund",F$3,$A989))</x:f>
        <x:v>#NAME?</x:v>
      </x:c>
      <x:c r="G989" s="146" t="e">
        <x:f>IF($A989="","",[1]!thsiFinD("ths_adjustment_nv_fund",G$3,$A989))</x:f>
        <x:v>#NAME?</x:v>
      </x:c>
      <x:c r="H989" s="146" t="e">
        <x:f>IF($A989="","",[1]!thsiFinD("ths_adjustment_nv_fund",H$3,$A989))</x:f>
        <x:v>#NAME?</x:v>
      </x:c>
      <x:c r="I989" s="146" t="e">
        <x:f>IF($A989="","",[1]!thsiFinD("ths_adjustment_nv_fund",I$3,$A989))</x:f>
        <x:v>#NAME?</x:v>
      </x:c>
      <x:c r="J989" s="146" t="e">
        <x:f>IF($A989="","",[1]!thsiFinD("ths_adjustment_nv_fund",J$3,$A989))</x:f>
        <x:v>#NAME?</x:v>
      </x:c>
      <x:c r="K989" s="146" t="e">
        <x:f>IF($A989="","",[1]!thsiFinD("ths_adjustment_nv_fund",K$3,$A989))</x:f>
        <x:v>#NAME?</x:v>
      </x:c>
      <x:c r="L989" s="146" t="e">
        <x:f>IF($A989="","",[1]!thsiFinD("ths_adjustment_nv_fund",L$3,$A989))</x:f>
        <x:v>#NAME?</x:v>
      </x:c>
      <x:c r="M989" s="146" t="e">
        <x:f>IF($A989="","",[1]!thsiFinD("ths_adjustment_nv_fund",M$3,$A989))</x:f>
        <x:v>#NAME?</x:v>
      </x:c>
      <x:c r="N989" s="146" t="e">
        <x:f>IF($A989="","",[1]!thsiFinD("ths_adjustment_nv_fund",N$3,$A989))</x:f>
        <x:v>#NAME?</x:v>
      </x:c>
      <x:c r="O989" s="146" t="e">
        <x:f>IF($A989="","",[1]!thsiFinD("ths_adjustment_nv_fund",O$3,$A989))</x:f>
        <x:v>#NAME?</x:v>
      </x:c>
      <x:c r="P989" s="146" t="e">
        <x:f>IF($A989="","",[1]!thsiFinD("ths_adjustment_nv_fund",P$3,$A989))</x:f>
        <x:v>#NAME?</x:v>
      </x:c>
      <x:c r="Q989" s="146" t="e">
        <x:f>IF($A989="","",[1]!thsiFinD("ths_adjustment_nv_fund",Q$3,$A989))</x:f>
        <x:v>#NAME?</x:v>
      </x:c>
      <x:c r="R989" s="146" t="e">
        <x:f>IF($A989="","",[1]!thsiFinD("ths_adjustment_nv_fund",R$3,$A989))</x:f>
        <x:v>#NAME?</x:v>
      </x:c>
      <x:c r="S989" s="146" t="e">
        <x:f>IF($A989="","",[1]!thsiFinD("ths_adjustment_nv_fund",S$3,$A989))</x:f>
        <x:v>#NAME?</x:v>
      </x:c>
      <x:c r="T989" s="146" t="e">
        <x:f>IF($A989="","",[1]!thsiFinD("ths_adjustment_nv_fund",T$3,$A989))</x:f>
        <x:v>#NAME?</x:v>
      </x:c>
      <x:c r="U989" s="146" t="e">
        <x:f>IF($A989="","",[1]!thsiFinD("ths_adjustment_nv_fund",U$3,$A989))</x:f>
        <x:v>#NAME?</x:v>
      </x:c>
      <x:c r="V989" s="146" t="e">
        <x:f>IF($A989="","",[1]!thsiFinD("ths_adjustment_nv_fund",V$3,$A989))</x:f>
        <x:v>#NAME?</x:v>
      </x:c>
      <x:c r="W989" s="146" t="e">
        <x:f>IF($A989="","",[1]!thsiFinD("ths_adjustment_nv_fund",W$3,$A989))</x:f>
        <x:v>#NAME?</x:v>
      </x:c>
      <x:c r="X989" s="146" t="e">
        <x:f>IF($A989="","",[1]!thsiFinD("ths_adjustment_nv_fund",X$3,$A989))</x:f>
        <x:v>#NAME?</x:v>
      </x:c>
      <x:c r="Y989" s="146" t="e">
        <x:f>IF($A989="","",[1]!thsiFinD("ths_adjustment_nv_fund",Y$3,$A989))</x:f>
        <x:v>#NAME?</x:v>
      </x:c>
      <x:c r="Z989" s="146" t="e">
        <x:f>IF($A989="","",[1]!thsiFinD("ths_adjustment_nv_fund",Z$3,$A989))</x:f>
        <x:v>#NAME?</x:v>
      </x:c>
      <x:c r="AA989" s="146" t="e">
        <x:f>IF($A989="","",[1]!thsiFinD("ths_adjustment_nv_fund",AA$3,$A989))</x:f>
        <x:v>#NAME?</x:v>
      </x:c>
    </x:row>
    <x:row r="990">
      <x:c r="B990" s="146" t="e">
        <x:f>IF($A990="","",[1]!thsiFinD("ths_adjustment_nv_fund",B$3,$A990))</x:f>
        <x:v>#NAME?</x:v>
      </x:c>
      <x:c r="C990" s="146" t="e">
        <x:f>IF($A990="","",[1]!thsiFinD("ths_adjustment_nv_fund",C$3,$A990))</x:f>
        <x:v>#NAME?</x:v>
      </x:c>
      <x:c r="D990" s="146" t="e">
        <x:f>IF($A990="","",[1]!thsiFinD("ths_adjustment_nv_fund",D$3,$A990))</x:f>
        <x:v>#NAME?</x:v>
      </x:c>
      <x:c r="E990" s="146" t="e">
        <x:f>IF($A990="","",[1]!thsiFinD("ths_adjustment_nv_fund",E$3,$A990))</x:f>
        <x:v>#NAME?</x:v>
      </x:c>
      <x:c r="F990" s="146" t="e">
        <x:f>IF($A990="","",[1]!thsiFinD("ths_adjustment_nv_fund",F$3,$A990))</x:f>
        <x:v>#NAME?</x:v>
      </x:c>
      <x:c r="G990" s="146" t="e">
        <x:f>IF($A990="","",[1]!thsiFinD("ths_adjustment_nv_fund",G$3,$A990))</x:f>
        <x:v>#NAME?</x:v>
      </x:c>
      <x:c r="H990" s="146" t="e">
        <x:f>IF($A990="","",[1]!thsiFinD("ths_adjustment_nv_fund",H$3,$A990))</x:f>
        <x:v>#NAME?</x:v>
      </x:c>
      <x:c r="I990" s="146" t="e">
        <x:f>IF($A990="","",[1]!thsiFinD("ths_adjustment_nv_fund",I$3,$A990))</x:f>
        <x:v>#NAME?</x:v>
      </x:c>
      <x:c r="J990" s="146" t="e">
        <x:f>IF($A990="","",[1]!thsiFinD("ths_adjustment_nv_fund",J$3,$A990))</x:f>
        <x:v>#NAME?</x:v>
      </x:c>
      <x:c r="K990" s="146" t="e">
        <x:f>IF($A990="","",[1]!thsiFinD("ths_adjustment_nv_fund",K$3,$A990))</x:f>
        <x:v>#NAME?</x:v>
      </x:c>
      <x:c r="L990" s="146" t="e">
        <x:f>IF($A990="","",[1]!thsiFinD("ths_adjustment_nv_fund",L$3,$A990))</x:f>
        <x:v>#NAME?</x:v>
      </x:c>
      <x:c r="M990" s="146" t="e">
        <x:f>IF($A990="","",[1]!thsiFinD("ths_adjustment_nv_fund",M$3,$A990))</x:f>
        <x:v>#NAME?</x:v>
      </x:c>
      <x:c r="N990" s="146" t="e">
        <x:f>IF($A990="","",[1]!thsiFinD("ths_adjustment_nv_fund",N$3,$A990))</x:f>
        <x:v>#NAME?</x:v>
      </x:c>
      <x:c r="O990" s="146" t="e">
        <x:f>IF($A990="","",[1]!thsiFinD("ths_adjustment_nv_fund",O$3,$A990))</x:f>
        <x:v>#NAME?</x:v>
      </x:c>
      <x:c r="P990" s="146" t="e">
        <x:f>IF($A990="","",[1]!thsiFinD("ths_adjustment_nv_fund",P$3,$A990))</x:f>
        <x:v>#NAME?</x:v>
      </x:c>
      <x:c r="Q990" s="146" t="e">
        <x:f>IF($A990="","",[1]!thsiFinD("ths_adjustment_nv_fund",Q$3,$A990))</x:f>
        <x:v>#NAME?</x:v>
      </x:c>
      <x:c r="R990" s="146" t="e">
        <x:f>IF($A990="","",[1]!thsiFinD("ths_adjustment_nv_fund",R$3,$A990))</x:f>
        <x:v>#NAME?</x:v>
      </x:c>
      <x:c r="S990" s="146" t="e">
        <x:f>IF($A990="","",[1]!thsiFinD("ths_adjustment_nv_fund",S$3,$A990))</x:f>
        <x:v>#NAME?</x:v>
      </x:c>
      <x:c r="T990" s="146" t="e">
        <x:f>IF($A990="","",[1]!thsiFinD("ths_adjustment_nv_fund",T$3,$A990))</x:f>
        <x:v>#NAME?</x:v>
      </x:c>
      <x:c r="U990" s="146" t="e">
        <x:f>IF($A990="","",[1]!thsiFinD("ths_adjustment_nv_fund",U$3,$A990))</x:f>
        <x:v>#NAME?</x:v>
      </x:c>
      <x:c r="V990" s="146" t="e">
        <x:f>IF($A990="","",[1]!thsiFinD("ths_adjustment_nv_fund",V$3,$A990))</x:f>
        <x:v>#NAME?</x:v>
      </x:c>
      <x:c r="W990" s="146" t="e">
        <x:f>IF($A990="","",[1]!thsiFinD("ths_adjustment_nv_fund",W$3,$A990))</x:f>
        <x:v>#NAME?</x:v>
      </x:c>
      <x:c r="X990" s="146" t="e">
        <x:f>IF($A990="","",[1]!thsiFinD("ths_adjustment_nv_fund",X$3,$A990))</x:f>
        <x:v>#NAME?</x:v>
      </x:c>
      <x:c r="Y990" s="146" t="e">
        <x:f>IF($A990="","",[1]!thsiFinD("ths_adjustment_nv_fund",Y$3,$A990))</x:f>
        <x:v>#NAME?</x:v>
      </x:c>
      <x:c r="Z990" s="146" t="e">
        <x:f>IF($A990="","",[1]!thsiFinD("ths_adjustment_nv_fund",Z$3,$A990))</x:f>
        <x:v>#NAME?</x:v>
      </x:c>
      <x:c r="AA990" s="146" t="e">
        <x:f>IF($A990="","",[1]!thsiFinD("ths_adjustment_nv_fund",AA$3,$A990))</x:f>
        <x:v>#NAME?</x:v>
      </x:c>
    </x:row>
    <x:row r="991">
      <x:c r="B991" s="146" t="e">
        <x:f>IF($A991="","",[1]!thsiFinD("ths_adjustment_nv_fund",B$3,$A991))</x:f>
        <x:v>#NAME?</x:v>
      </x:c>
      <x:c r="C991" s="146" t="e">
        <x:f>IF($A991="","",[1]!thsiFinD("ths_adjustment_nv_fund",C$3,$A991))</x:f>
        <x:v>#NAME?</x:v>
      </x:c>
      <x:c r="D991" s="146" t="e">
        <x:f>IF($A991="","",[1]!thsiFinD("ths_adjustment_nv_fund",D$3,$A991))</x:f>
        <x:v>#NAME?</x:v>
      </x:c>
      <x:c r="E991" s="146" t="e">
        <x:f>IF($A991="","",[1]!thsiFinD("ths_adjustment_nv_fund",E$3,$A991))</x:f>
        <x:v>#NAME?</x:v>
      </x:c>
      <x:c r="F991" s="146" t="e">
        <x:f>IF($A991="","",[1]!thsiFinD("ths_adjustment_nv_fund",F$3,$A991))</x:f>
        <x:v>#NAME?</x:v>
      </x:c>
      <x:c r="G991" s="146" t="e">
        <x:f>IF($A991="","",[1]!thsiFinD("ths_adjustment_nv_fund",G$3,$A991))</x:f>
        <x:v>#NAME?</x:v>
      </x:c>
      <x:c r="H991" s="146" t="e">
        <x:f>IF($A991="","",[1]!thsiFinD("ths_adjustment_nv_fund",H$3,$A991))</x:f>
        <x:v>#NAME?</x:v>
      </x:c>
      <x:c r="I991" s="146" t="e">
        <x:f>IF($A991="","",[1]!thsiFinD("ths_adjustment_nv_fund",I$3,$A991))</x:f>
        <x:v>#NAME?</x:v>
      </x:c>
      <x:c r="J991" s="146" t="e">
        <x:f>IF($A991="","",[1]!thsiFinD("ths_adjustment_nv_fund",J$3,$A991))</x:f>
        <x:v>#NAME?</x:v>
      </x:c>
      <x:c r="K991" s="146" t="e">
        <x:f>IF($A991="","",[1]!thsiFinD("ths_adjustment_nv_fund",K$3,$A991))</x:f>
        <x:v>#NAME?</x:v>
      </x:c>
      <x:c r="L991" s="146" t="e">
        <x:f>IF($A991="","",[1]!thsiFinD("ths_adjustment_nv_fund",L$3,$A991))</x:f>
        <x:v>#NAME?</x:v>
      </x:c>
      <x:c r="M991" s="146" t="e">
        <x:f>IF($A991="","",[1]!thsiFinD("ths_adjustment_nv_fund",M$3,$A991))</x:f>
        <x:v>#NAME?</x:v>
      </x:c>
      <x:c r="N991" s="146" t="e">
        <x:f>IF($A991="","",[1]!thsiFinD("ths_adjustment_nv_fund",N$3,$A991))</x:f>
        <x:v>#NAME?</x:v>
      </x:c>
      <x:c r="O991" s="146" t="e">
        <x:f>IF($A991="","",[1]!thsiFinD("ths_adjustment_nv_fund",O$3,$A991))</x:f>
        <x:v>#NAME?</x:v>
      </x:c>
      <x:c r="P991" s="146" t="e">
        <x:f>IF($A991="","",[1]!thsiFinD("ths_adjustment_nv_fund",P$3,$A991))</x:f>
        <x:v>#NAME?</x:v>
      </x:c>
      <x:c r="Q991" s="146" t="e">
        <x:f>IF($A991="","",[1]!thsiFinD("ths_adjustment_nv_fund",Q$3,$A991))</x:f>
        <x:v>#NAME?</x:v>
      </x:c>
      <x:c r="R991" s="146" t="e">
        <x:f>IF($A991="","",[1]!thsiFinD("ths_adjustment_nv_fund",R$3,$A991))</x:f>
        <x:v>#NAME?</x:v>
      </x:c>
      <x:c r="S991" s="146" t="e">
        <x:f>IF($A991="","",[1]!thsiFinD("ths_adjustment_nv_fund",S$3,$A991))</x:f>
        <x:v>#NAME?</x:v>
      </x:c>
      <x:c r="T991" s="146" t="e">
        <x:f>IF($A991="","",[1]!thsiFinD("ths_adjustment_nv_fund",T$3,$A991))</x:f>
        <x:v>#NAME?</x:v>
      </x:c>
      <x:c r="U991" s="146" t="e">
        <x:f>IF($A991="","",[1]!thsiFinD("ths_adjustment_nv_fund",U$3,$A991))</x:f>
        <x:v>#NAME?</x:v>
      </x:c>
      <x:c r="V991" s="146" t="e">
        <x:f>IF($A991="","",[1]!thsiFinD("ths_adjustment_nv_fund",V$3,$A991))</x:f>
        <x:v>#NAME?</x:v>
      </x:c>
      <x:c r="W991" s="146" t="e">
        <x:f>IF($A991="","",[1]!thsiFinD("ths_adjustment_nv_fund",W$3,$A991))</x:f>
        <x:v>#NAME?</x:v>
      </x:c>
      <x:c r="X991" s="146" t="e">
        <x:f>IF($A991="","",[1]!thsiFinD("ths_adjustment_nv_fund",X$3,$A991))</x:f>
        <x:v>#NAME?</x:v>
      </x:c>
      <x:c r="Y991" s="146" t="e">
        <x:f>IF($A991="","",[1]!thsiFinD("ths_adjustment_nv_fund",Y$3,$A991))</x:f>
        <x:v>#NAME?</x:v>
      </x:c>
      <x:c r="Z991" s="146" t="e">
        <x:f>IF($A991="","",[1]!thsiFinD("ths_adjustment_nv_fund",Z$3,$A991))</x:f>
        <x:v>#NAME?</x:v>
      </x:c>
      <x:c r="AA991" s="146" t="e">
        <x:f>IF($A991="","",[1]!thsiFinD("ths_adjustment_nv_fund",AA$3,$A991))</x:f>
        <x:v>#NAME?</x:v>
      </x:c>
    </x:row>
    <x:row r="992">
      <x:c r="B992" s="146" t="e">
        <x:f>IF($A992="","",[1]!thsiFinD("ths_adjustment_nv_fund",B$3,$A992))</x:f>
        <x:v>#NAME?</x:v>
      </x:c>
      <x:c r="C992" s="146" t="e">
        <x:f>IF($A992="","",[1]!thsiFinD("ths_adjustment_nv_fund",C$3,$A992))</x:f>
        <x:v>#NAME?</x:v>
      </x:c>
      <x:c r="D992" s="146" t="e">
        <x:f>IF($A992="","",[1]!thsiFinD("ths_adjustment_nv_fund",D$3,$A992))</x:f>
        <x:v>#NAME?</x:v>
      </x:c>
      <x:c r="E992" s="146" t="e">
        <x:f>IF($A992="","",[1]!thsiFinD("ths_adjustment_nv_fund",E$3,$A992))</x:f>
        <x:v>#NAME?</x:v>
      </x:c>
      <x:c r="F992" s="146" t="e">
        <x:f>IF($A992="","",[1]!thsiFinD("ths_adjustment_nv_fund",F$3,$A992))</x:f>
        <x:v>#NAME?</x:v>
      </x:c>
      <x:c r="G992" s="146" t="e">
        <x:f>IF($A992="","",[1]!thsiFinD("ths_adjustment_nv_fund",G$3,$A992))</x:f>
        <x:v>#NAME?</x:v>
      </x:c>
      <x:c r="H992" s="146" t="e">
        <x:f>IF($A992="","",[1]!thsiFinD("ths_adjustment_nv_fund",H$3,$A992))</x:f>
        <x:v>#NAME?</x:v>
      </x:c>
      <x:c r="I992" s="146" t="e">
        <x:f>IF($A992="","",[1]!thsiFinD("ths_adjustment_nv_fund",I$3,$A992))</x:f>
        <x:v>#NAME?</x:v>
      </x:c>
      <x:c r="J992" s="146" t="e">
        <x:f>IF($A992="","",[1]!thsiFinD("ths_adjustment_nv_fund",J$3,$A992))</x:f>
        <x:v>#NAME?</x:v>
      </x:c>
      <x:c r="K992" s="146" t="e">
        <x:f>IF($A992="","",[1]!thsiFinD("ths_adjustment_nv_fund",K$3,$A992))</x:f>
        <x:v>#NAME?</x:v>
      </x:c>
      <x:c r="L992" s="146" t="e">
        <x:f>IF($A992="","",[1]!thsiFinD("ths_adjustment_nv_fund",L$3,$A992))</x:f>
        <x:v>#NAME?</x:v>
      </x:c>
      <x:c r="M992" s="146" t="e">
        <x:f>IF($A992="","",[1]!thsiFinD("ths_adjustment_nv_fund",M$3,$A992))</x:f>
        <x:v>#NAME?</x:v>
      </x:c>
      <x:c r="N992" s="146" t="e">
        <x:f>IF($A992="","",[1]!thsiFinD("ths_adjustment_nv_fund",N$3,$A992))</x:f>
        <x:v>#NAME?</x:v>
      </x:c>
      <x:c r="O992" s="146" t="e">
        <x:f>IF($A992="","",[1]!thsiFinD("ths_adjustment_nv_fund",O$3,$A992))</x:f>
        <x:v>#NAME?</x:v>
      </x:c>
      <x:c r="P992" s="146" t="e">
        <x:f>IF($A992="","",[1]!thsiFinD("ths_adjustment_nv_fund",P$3,$A992))</x:f>
        <x:v>#NAME?</x:v>
      </x:c>
      <x:c r="Q992" s="146" t="e">
        <x:f>IF($A992="","",[1]!thsiFinD("ths_adjustment_nv_fund",Q$3,$A992))</x:f>
        <x:v>#NAME?</x:v>
      </x:c>
      <x:c r="R992" s="146" t="e">
        <x:f>IF($A992="","",[1]!thsiFinD("ths_adjustment_nv_fund",R$3,$A992))</x:f>
        <x:v>#NAME?</x:v>
      </x:c>
      <x:c r="S992" s="146" t="e">
        <x:f>IF($A992="","",[1]!thsiFinD("ths_adjustment_nv_fund",S$3,$A992))</x:f>
        <x:v>#NAME?</x:v>
      </x:c>
      <x:c r="T992" s="146" t="e">
        <x:f>IF($A992="","",[1]!thsiFinD("ths_adjustment_nv_fund",T$3,$A992))</x:f>
        <x:v>#NAME?</x:v>
      </x:c>
      <x:c r="U992" s="146" t="e">
        <x:f>IF($A992="","",[1]!thsiFinD("ths_adjustment_nv_fund",U$3,$A992))</x:f>
        <x:v>#NAME?</x:v>
      </x:c>
      <x:c r="V992" s="146" t="e">
        <x:f>IF($A992="","",[1]!thsiFinD("ths_adjustment_nv_fund",V$3,$A992))</x:f>
        <x:v>#NAME?</x:v>
      </x:c>
      <x:c r="W992" s="146" t="e">
        <x:f>IF($A992="","",[1]!thsiFinD("ths_adjustment_nv_fund",W$3,$A992))</x:f>
        <x:v>#NAME?</x:v>
      </x:c>
      <x:c r="X992" s="146" t="e">
        <x:f>IF($A992="","",[1]!thsiFinD("ths_adjustment_nv_fund",X$3,$A992))</x:f>
        <x:v>#NAME?</x:v>
      </x:c>
      <x:c r="Y992" s="146" t="e">
        <x:f>IF($A992="","",[1]!thsiFinD("ths_adjustment_nv_fund",Y$3,$A992))</x:f>
        <x:v>#NAME?</x:v>
      </x:c>
      <x:c r="Z992" s="146" t="e">
        <x:f>IF($A992="","",[1]!thsiFinD("ths_adjustment_nv_fund",Z$3,$A992))</x:f>
        <x:v>#NAME?</x:v>
      </x:c>
      <x:c r="AA992" s="146" t="e">
        <x:f>IF($A992="","",[1]!thsiFinD("ths_adjustment_nv_fund",AA$3,$A992))</x:f>
        <x:v>#NAME?</x:v>
      </x:c>
    </x:row>
    <x:row r="993">
      <x:c r="B993" s="146" t="e">
        <x:f>IF($A993="","",[1]!thsiFinD("ths_adjustment_nv_fund",B$3,$A993))</x:f>
        <x:v>#NAME?</x:v>
      </x:c>
      <x:c r="C993" s="146" t="e">
        <x:f>IF($A993="","",[1]!thsiFinD("ths_adjustment_nv_fund",C$3,$A993))</x:f>
        <x:v>#NAME?</x:v>
      </x:c>
      <x:c r="D993" s="146" t="e">
        <x:f>IF($A993="","",[1]!thsiFinD("ths_adjustment_nv_fund",D$3,$A993))</x:f>
        <x:v>#NAME?</x:v>
      </x:c>
      <x:c r="E993" s="146" t="e">
        <x:f>IF($A993="","",[1]!thsiFinD("ths_adjustment_nv_fund",E$3,$A993))</x:f>
        <x:v>#NAME?</x:v>
      </x:c>
      <x:c r="F993" s="146" t="e">
        <x:f>IF($A993="","",[1]!thsiFinD("ths_adjustment_nv_fund",F$3,$A993))</x:f>
        <x:v>#NAME?</x:v>
      </x:c>
      <x:c r="G993" s="146" t="e">
        <x:f>IF($A993="","",[1]!thsiFinD("ths_adjustment_nv_fund",G$3,$A993))</x:f>
        <x:v>#NAME?</x:v>
      </x:c>
      <x:c r="H993" s="146" t="e">
        <x:f>IF($A993="","",[1]!thsiFinD("ths_adjustment_nv_fund",H$3,$A993))</x:f>
        <x:v>#NAME?</x:v>
      </x:c>
      <x:c r="I993" s="146" t="e">
        <x:f>IF($A993="","",[1]!thsiFinD("ths_adjustment_nv_fund",I$3,$A993))</x:f>
        <x:v>#NAME?</x:v>
      </x:c>
      <x:c r="J993" s="146" t="e">
        <x:f>IF($A993="","",[1]!thsiFinD("ths_adjustment_nv_fund",J$3,$A993))</x:f>
        <x:v>#NAME?</x:v>
      </x:c>
      <x:c r="K993" s="146" t="e">
        <x:f>IF($A993="","",[1]!thsiFinD("ths_adjustment_nv_fund",K$3,$A993))</x:f>
        <x:v>#NAME?</x:v>
      </x:c>
      <x:c r="L993" s="146" t="e">
        <x:f>IF($A993="","",[1]!thsiFinD("ths_adjustment_nv_fund",L$3,$A993))</x:f>
        <x:v>#NAME?</x:v>
      </x:c>
      <x:c r="M993" s="146" t="e">
        <x:f>IF($A993="","",[1]!thsiFinD("ths_adjustment_nv_fund",M$3,$A993))</x:f>
        <x:v>#NAME?</x:v>
      </x:c>
      <x:c r="N993" s="146" t="e">
        <x:f>IF($A993="","",[1]!thsiFinD("ths_adjustment_nv_fund",N$3,$A993))</x:f>
        <x:v>#NAME?</x:v>
      </x:c>
      <x:c r="O993" s="146" t="e">
        <x:f>IF($A993="","",[1]!thsiFinD("ths_adjustment_nv_fund",O$3,$A993))</x:f>
        <x:v>#NAME?</x:v>
      </x:c>
      <x:c r="P993" s="146" t="e">
        <x:f>IF($A993="","",[1]!thsiFinD("ths_adjustment_nv_fund",P$3,$A993))</x:f>
        <x:v>#NAME?</x:v>
      </x:c>
      <x:c r="Q993" s="146" t="e">
        <x:f>IF($A993="","",[1]!thsiFinD("ths_adjustment_nv_fund",Q$3,$A993))</x:f>
        <x:v>#NAME?</x:v>
      </x:c>
      <x:c r="R993" s="146" t="e">
        <x:f>IF($A993="","",[1]!thsiFinD("ths_adjustment_nv_fund",R$3,$A993))</x:f>
        <x:v>#NAME?</x:v>
      </x:c>
      <x:c r="S993" s="146" t="e">
        <x:f>IF($A993="","",[1]!thsiFinD("ths_adjustment_nv_fund",S$3,$A993))</x:f>
        <x:v>#NAME?</x:v>
      </x:c>
      <x:c r="T993" s="146" t="e">
        <x:f>IF($A993="","",[1]!thsiFinD("ths_adjustment_nv_fund",T$3,$A993))</x:f>
        <x:v>#NAME?</x:v>
      </x:c>
      <x:c r="U993" s="146" t="e">
        <x:f>IF($A993="","",[1]!thsiFinD("ths_adjustment_nv_fund",U$3,$A993))</x:f>
        <x:v>#NAME?</x:v>
      </x:c>
      <x:c r="V993" s="146" t="e">
        <x:f>IF($A993="","",[1]!thsiFinD("ths_adjustment_nv_fund",V$3,$A993))</x:f>
        <x:v>#NAME?</x:v>
      </x:c>
      <x:c r="W993" s="146" t="e">
        <x:f>IF($A993="","",[1]!thsiFinD("ths_adjustment_nv_fund",W$3,$A993))</x:f>
        <x:v>#NAME?</x:v>
      </x:c>
      <x:c r="X993" s="146" t="e">
        <x:f>IF($A993="","",[1]!thsiFinD("ths_adjustment_nv_fund",X$3,$A993))</x:f>
        <x:v>#NAME?</x:v>
      </x:c>
      <x:c r="Y993" s="146" t="e">
        <x:f>IF($A993="","",[1]!thsiFinD("ths_adjustment_nv_fund",Y$3,$A993))</x:f>
        <x:v>#NAME?</x:v>
      </x:c>
      <x:c r="Z993" s="146" t="e">
        <x:f>IF($A993="","",[1]!thsiFinD("ths_adjustment_nv_fund",Z$3,$A993))</x:f>
        <x:v>#NAME?</x:v>
      </x:c>
      <x:c r="AA993" s="146" t="e">
        <x:f>IF($A993="","",[1]!thsiFinD("ths_adjustment_nv_fund",AA$3,$A993))</x:f>
        <x:v>#NAME?</x:v>
      </x:c>
    </x:row>
    <x:row r="994">
      <x:c r="B994" s="146" t="e">
        <x:f>IF($A994="","",[1]!thsiFinD("ths_adjustment_nv_fund",B$3,$A994))</x:f>
        <x:v>#NAME?</x:v>
      </x:c>
      <x:c r="C994" s="146" t="e">
        <x:f>IF($A994="","",[1]!thsiFinD("ths_adjustment_nv_fund",C$3,$A994))</x:f>
        <x:v>#NAME?</x:v>
      </x:c>
      <x:c r="D994" s="146" t="e">
        <x:f>IF($A994="","",[1]!thsiFinD("ths_adjustment_nv_fund",D$3,$A994))</x:f>
        <x:v>#NAME?</x:v>
      </x:c>
      <x:c r="E994" s="146" t="e">
        <x:f>IF($A994="","",[1]!thsiFinD("ths_adjustment_nv_fund",E$3,$A994))</x:f>
        <x:v>#NAME?</x:v>
      </x:c>
      <x:c r="F994" s="146" t="e">
        <x:f>IF($A994="","",[1]!thsiFinD("ths_adjustment_nv_fund",F$3,$A994))</x:f>
        <x:v>#NAME?</x:v>
      </x:c>
      <x:c r="G994" s="146" t="e">
        <x:f>IF($A994="","",[1]!thsiFinD("ths_adjustment_nv_fund",G$3,$A994))</x:f>
        <x:v>#NAME?</x:v>
      </x:c>
      <x:c r="H994" s="146" t="e">
        <x:f>IF($A994="","",[1]!thsiFinD("ths_adjustment_nv_fund",H$3,$A994))</x:f>
        <x:v>#NAME?</x:v>
      </x:c>
      <x:c r="I994" s="146" t="e">
        <x:f>IF($A994="","",[1]!thsiFinD("ths_adjustment_nv_fund",I$3,$A994))</x:f>
        <x:v>#NAME?</x:v>
      </x:c>
      <x:c r="J994" s="146" t="e">
        <x:f>IF($A994="","",[1]!thsiFinD("ths_adjustment_nv_fund",J$3,$A994))</x:f>
        <x:v>#NAME?</x:v>
      </x:c>
      <x:c r="K994" s="146" t="e">
        <x:f>IF($A994="","",[1]!thsiFinD("ths_adjustment_nv_fund",K$3,$A994))</x:f>
        <x:v>#NAME?</x:v>
      </x:c>
      <x:c r="L994" s="146" t="e">
        <x:f>IF($A994="","",[1]!thsiFinD("ths_adjustment_nv_fund",L$3,$A994))</x:f>
        <x:v>#NAME?</x:v>
      </x:c>
      <x:c r="M994" s="146" t="e">
        <x:f>IF($A994="","",[1]!thsiFinD("ths_adjustment_nv_fund",M$3,$A994))</x:f>
        <x:v>#NAME?</x:v>
      </x:c>
      <x:c r="N994" s="146" t="e">
        <x:f>IF($A994="","",[1]!thsiFinD("ths_adjustment_nv_fund",N$3,$A994))</x:f>
        <x:v>#NAME?</x:v>
      </x:c>
      <x:c r="O994" s="146" t="e">
        <x:f>IF($A994="","",[1]!thsiFinD("ths_adjustment_nv_fund",O$3,$A994))</x:f>
        <x:v>#NAME?</x:v>
      </x:c>
      <x:c r="P994" s="146" t="e">
        <x:f>IF($A994="","",[1]!thsiFinD("ths_adjustment_nv_fund",P$3,$A994))</x:f>
        <x:v>#NAME?</x:v>
      </x:c>
      <x:c r="Q994" s="146" t="e">
        <x:f>IF($A994="","",[1]!thsiFinD("ths_adjustment_nv_fund",Q$3,$A994))</x:f>
        <x:v>#NAME?</x:v>
      </x:c>
      <x:c r="R994" s="146" t="e">
        <x:f>IF($A994="","",[1]!thsiFinD("ths_adjustment_nv_fund",R$3,$A994))</x:f>
        <x:v>#NAME?</x:v>
      </x:c>
      <x:c r="S994" s="146" t="e">
        <x:f>IF($A994="","",[1]!thsiFinD("ths_adjustment_nv_fund",S$3,$A994))</x:f>
        <x:v>#NAME?</x:v>
      </x:c>
      <x:c r="T994" s="146" t="e">
        <x:f>IF($A994="","",[1]!thsiFinD("ths_adjustment_nv_fund",T$3,$A994))</x:f>
        <x:v>#NAME?</x:v>
      </x:c>
      <x:c r="U994" s="146" t="e">
        <x:f>IF($A994="","",[1]!thsiFinD("ths_adjustment_nv_fund",U$3,$A994))</x:f>
        <x:v>#NAME?</x:v>
      </x:c>
      <x:c r="V994" s="146" t="e">
        <x:f>IF($A994="","",[1]!thsiFinD("ths_adjustment_nv_fund",V$3,$A994))</x:f>
        <x:v>#NAME?</x:v>
      </x:c>
      <x:c r="W994" s="146" t="e">
        <x:f>IF($A994="","",[1]!thsiFinD("ths_adjustment_nv_fund",W$3,$A994))</x:f>
        <x:v>#NAME?</x:v>
      </x:c>
      <x:c r="X994" s="146" t="e">
        <x:f>IF($A994="","",[1]!thsiFinD("ths_adjustment_nv_fund",X$3,$A994))</x:f>
        <x:v>#NAME?</x:v>
      </x:c>
      <x:c r="Y994" s="146" t="e">
        <x:f>IF($A994="","",[1]!thsiFinD("ths_adjustment_nv_fund",Y$3,$A994))</x:f>
        <x:v>#NAME?</x:v>
      </x:c>
      <x:c r="Z994" s="146" t="e">
        <x:f>IF($A994="","",[1]!thsiFinD("ths_adjustment_nv_fund",Z$3,$A994))</x:f>
        <x:v>#NAME?</x:v>
      </x:c>
      <x:c r="AA994" s="146" t="e">
        <x:f>IF($A994="","",[1]!thsiFinD("ths_adjustment_nv_fund",AA$3,$A994))</x:f>
        <x:v>#NAME?</x:v>
      </x:c>
    </x:row>
    <x:row r="995">
      <x:c r="B995" s="146" t="e">
        <x:f>IF($A995="","",[1]!thsiFinD("ths_adjustment_nv_fund",B$3,$A995))</x:f>
        <x:v>#NAME?</x:v>
      </x:c>
      <x:c r="C995" s="146" t="e">
        <x:f>IF($A995="","",[1]!thsiFinD("ths_adjustment_nv_fund",C$3,$A995))</x:f>
        <x:v>#NAME?</x:v>
      </x:c>
      <x:c r="D995" s="146" t="e">
        <x:f>IF($A995="","",[1]!thsiFinD("ths_adjustment_nv_fund",D$3,$A995))</x:f>
        <x:v>#NAME?</x:v>
      </x:c>
      <x:c r="E995" s="146" t="e">
        <x:f>IF($A995="","",[1]!thsiFinD("ths_adjustment_nv_fund",E$3,$A995))</x:f>
        <x:v>#NAME?</x:v>
      </x:c>
      <x:c r="F995" s="146" t="e">
        <x:f>IF($A995="","",[1]!thsiFinD("ths_adjustment_nv_fund",F$3,$A995))</x:f>
        <x:v>#NAME?</x:v>
      </x:c>
      <x:c r="G995" s="146" t="e">
        <x:f>IF($A995="","",[1]!thsiFinD("ths_adjustment_nv_fund",G$3,$A995))</x:f>
        <x:v>#NAME?</x:v>
      </x:c>
      <x:c r="H995" s="146" t="e">
        <x:f>IF($A995="","",[1]!thsiFinD("ths_adjustment_nv_fund",H$3,$A995))</x:f>
        <x:v>#NAME?</x:v>
      </x:c>
      <x:c r="I995" s="146" t="e">
        <x:f>IF($A995="","",[1]!thsiFinD("ths_adjustment_nv_fund",I$3,$A995))</x:f>
        <x:v>#NAME?</x:v>
      </x:c>
      <x:c r="J995" s="146" t="e">
        <x:f>IF($A995="","",[1]!thsiFinD("ths_adjustment_nv_fund",J$3,$A995))</x:f>
        <x:v>#NAME?</x:v>
      </x:c>
      <x:c r="K995" s="146" t="e">
        <x:f>IF($A995="","",[1]!thsiFinD("ths_adjustment_nv_fund",K$3,$A995))</x:f>
        <x:v>#NAME?</x:v>
      </x:c>
      <x:c r="L995" s="146" t="e">
        <x:f>IF($A995="","",[1]!thsiFinD("ths_adjustment_nv_fund",L$3,$A995))</x:f>
        <x:v>#NAME?</x:v>
      </x:c>
      <x:c r="M995" s="146" t="e">
        <x:f>IF($A995="","",[1]!thsiFinD("ths_adjustment_nv_fund",M$3,$A995))</x:f>
        <x:v>#NAME?</x:v>
      </x:c>
      <x:c r="N995" s="146" t="e">
        <x:f>IF($A995="","",[1]!thsiFinD("ths_adjustment_nv_fund",N$3,$A995))</x:f>
        <x:v>#NAME?</x:v>
      </x:c>
      <x:c r="O995" s="146" t="e">
        <x:f>IF($A995="","",[1]!thsiFinD("ths_adjustment_nv_fund",O$3,$A995))</x:f>
        <x:v>#NAME?</x:v>
      </x:c>
      <x:c r="P995" s="146" t="e">
        <x:f>IF($A995="","",[1]!thsiFinD("ths_adjustment_nv_fund",P$3,$A995))</x:f>
        <x:v>#NAME?</x:v>
      </x:c>
      <x:c r="Q995" s="146" t="e">
        <x:f>IF($A995="","",[1]!thsiFinD("ths_adjustment_nv_fund",Q$3,$A995))</x:f>
        <x:v>#NAME?</x:v>
      </x:c>
      <x:c r="R995" s="146" t="e">
        <x:f>IF($A995="","",[1]!thsiFinD("ths_adjustment_nv_fund",R$3,$A995))</x:f>
        <x:v>#NAME?</x:v>
      </x:c>
      <x:c r="S995" s="146" t="e">
        <x:f>IF($A995="","",[1]!thsiFinD("ths_adjustment_nv_fund",S$3,$A995))</x:f>
        <x:v>#NAME?</x:v>
      </x:c>
      <x:c r="T995" s="146" t="e">
        <x:f>IF($A995="","",[1]!thsiFinD("ths_adjustment_nv_fund",T$3,$A995))</x:f>
        <x:v>#NAME?</x:v>
      </x:c>
      <x:c r="U995" s="146" t="e">
        <x:f>IF($A995="","",[1]!thsiFinD("ths_adjustment_nv_fund",U$3,$A995))</x:f>
        <x:v>#NAME?</x:v>
      </x:c>
      <x:c r="V995" s="146" t="e">
        <x:f>IF($A995="","",[1]!thsiFinD("ths_adjustment_nv_fund",V$3,$A995))</x:f>
        <x:v>#NAME?</x:v>
      </x:c>
      <x:c r="W995" s="146" t="e">
        <x:f>IF($A995="","",[1]!thsiFinD("ths_adjustment_nv_fund",W$3,$A995))</x:f>
        <x:v>#NAME?</x:v>
      </x:c>
      <x:c r="X995" s="146" t="e">
        <x:f>IF($A995="","",[1]!thsiFinD("ths_adjustment_nv_fund",X$3,$A995))</x:f>
        <x:v>#NAME?</x:v>
      </x:c>
      <x:c r="Y995" s="146" t="e">
        <x:f>IF($A995="","",[1]!thsiFinD("ths_adjustment_nv_fund",Y$3,$A995))</x:f>
        <x:v>#NAME?</x:v>
      </x:c>
      <x:c r="Z995" s="146" t="e">
        <x:f>IF($A995="","",[1]!thsiFinD("ths_adjustment_nv_fund",Z$3,$A995))</x:f>
        <x:v>#NAME?</x:v>
      </x:c>
      <x:c r="AA995" s="146" t="e">
        <x:f>IF($A995="","",[1]!thsiFinD("ths_adjustment_nv_fund",AA$3,$A995))</x:f>
        <x:v>#NAME?</x:v>
      </x:c>
    </x:row>
    <x:row r="996">
      <x:c r="B996" s="146" t="e">
        <x:f>IF($A996="","",[1]!thsiFinD("ths_adjustment_nv_fund",B$3,$A996))</x:f>
        <x:v>#NAME?</x:v>
      </x:c>
      <x:c r="C996" s="146" t="e">
        <x:f>IF($A996="","",[1]!thsiFinD("ths_adjustment_nv_fund",C$3,$A996))</x:f>
        <x:v>#NAME?</x:v>
      </x:c>
      <x:c r="D996" s="146" t="e">
        <x:f>IF($A996="","",[1]!thsiFinD("ths_adjustment_nv_fund",D$3,$A996))</x:f>
        <x:v>#NAME?</x:v>
      </x:c>
      <x:c r="E996" s="146" t="e">
        <x:f>IF($A996="","",[1]!thsiFinD("ths_adjustment_nv_fund",E$3,$A996))</x:f>
        <x:v>#NAME?</x:v>
      </x:c>
      <x:c r="F996" s="146" t="e">
        <x:f>IF($A996="","",[1]!thsiFinD("ths_adjustment_nv_fund",F$3,$A996))</x:f>
        <x:v>#NAME?</x:v>
      </x:c>
      <x:c r="G996" s="146" t="e">
        <x:f>IF($A996="","",[1]!thsiFinD("ths_adjustment_nv_fund",G$3,$A996))</x:f>
        <x:v>#NAME?</x:v>
      </x:c>
      <x:c r="H996" s="146" t="e">
        <x:f>IF($A996="","",[1]!thsiFinD("ths_adjustment_nv_fund",H$3,$A996))</x:f>
        <x:v>#NAME?</x:v>
      </x:c>
      <x:c r="I996" s="146" t="e">
        <x:f>IF($A996="","",[1]!thsiFinD("ths_adjustment_nv_fund",I$3,$A996))</x:f>
        <x:v>#NAME?</x:v>
      </x:c>
      <x:c r="J996" s="146" t="e">
        <x:f>IF($A996="","",[1]!thsiFinD("ths_adjustment_nv_fund",J$3,$A996))</x:f>
        <x:v>#NAME?</x:v>
      </x:c>
      <x:c r="K996" s="146" t="e">
        <x:f>IF($A996="","",[1]!thsiFinD("ths_adjustment_nv_fund",K$3,$A996))</x:f>
        <x:v>#NAME?</x:v>
      </x:c>
      <x:c r="L996" s="146" t="e">
        <x:f>IF($A996="","",[1]!thsiFinD("ths_adjustment_nv_fund",L$3,$A996))</x:f>
        <x:v>#NAME?</x:v>
      </x:c>
      <x:c r="M996" s="146" t="e">
        <x:f>IF($A996="","",[1]!thsiFinD("ths_adjustment_nv_fund",M$3,$A996))</x:f>
        <x:v>#NAME?</x:v>
      </x:c>
      <x:c r="N996" s="146" t="e">
        <x:f>IF($A996="","",[1]!thsiFinD("ths_adjustment_nv_fund",N$3,$A996))</x:f>
        <x:v>#NAME?</x:v>
      </x:c>
      <x:c r="O996" s="146" t="e">
        <x:f>IF($A996="","",[1]!thsiFinD("ths_adjustment_nv_fund",O$3,$A996))</x:f>
        <x:v>#NAME?</x:v>
      </x:c>
      <x:c r="P996" s="146" t="e">
        <x:f>IF($A996="","",[1]!thsiFinD("ths_adjustment_nv_fund",P$3,$A996))</x:f>
        <x:v>#NAME?</x:v>
      </x:c>
      <x:c r="Q996" s="146" t="e">
        <x:f>IF($A996="","",[1]!thsiFinD("ths_adjustment_nv_fund",Q$3,$A996))</x:f>
        <x:v>#NAME?</x:v>
      </x:c>
      <x:c r="R996" s="146" t="e">
        <x:f>IF($A996="","",[1]!thsiFinD("ths_adjustment_nv_fund",R$3,$A996))</x:f>
        <x:v>#NAME?</x:v>
      </x:c>
      <x:c r="S996" s="146" t="e">
        <x:f>IF($A996="","",[1]!thsiFinD("ths_adjustment_nv_fund",S$3,$A996))</x:f>
        <x:v>#NAME?</x:v>
      </x:c>
      <x:c r="T996" s="146" t="e">
        <x:f>IF($A996="","",[1]!thsiFinD("ths_adjustment_nv_fund",T$3,$A996))</x:f>
        <x:v>#NAME?</x:v>
      </x:c>
      <x:c r="U996" s="146" t="e">
        <x:f>IF($A996="","",[1]!thsiFinD("ths_adjustment_nv_fund",U$3,$A996))</x:f>
        <x:v>#NAME?</x:v>
      </x:c>
      <x:c r="V996" s="146" t="e">
        <x:f>IF($A996="","",[1]!thsiFinD("ths_adjustment_nv_fund",V$3,$A996))</x:f>
        <x:v>#NAME?</x:v>
      </x:c>
      <x:c r="W996" s="146" t="e">
        <x:f>IF($A996="","",[1]!thsiFinD("ths_adjustment_nv_fund",W$3,$A996))</x:f>
        <x:v>#NAME?</x:v>
      </x:c>
      <x:c r="X996" s="146" t="e">
        <x:f>IF($A996="","",[1]!thsiFinD("ths_adjustment_nv_fund",X$3,$A996))</x:f>
        <x:v>#NAME?</x:v>
      </x:c>
      <x:c r="Y996" s="146" t="e">
        <x:f>IF($A996="","",[1]!thsiFinD("ths_adjustment_nv_fund",Y$3,$A996))</x:f>
        <x:v>#NAME?</x:v>
      </x:c>
      <x:c r="Z996" s="146" t="e">
        <x:f>IF($A996="","",[1]!thsiFinD("ths_adjustment_nv_fund",Z$3,$A996))</x:f>
        <x:v>#NAME?</x:v>
      </x:c>
      <x:c r="AA996" s="146" t="e">
        <x:f>IF($A996="","",[1]!thsiFinD("ths_adjustment_nv_fund",AA$3,$A996))</x:f>
        <x:v>#NAME?</x:v>
      </x:c>
    </x:row>
    <x:row r="997">
      <x:c r="B997" s="146" t="e">
        <x:f>IF($A997="","",[1]!thsiFinD("ths_adjustment_nv_fund",B$3,$A997))</x:f>
        <x:v>#NAME?</x:v>
      </x:c>
      <x:c r="C997" s="146" t="e">
        <x:f>IF($A997="","",[1]!thsiFinD("ths_adjustment_nv_fund",C$3,$A997))</x:f>
        <x:v>#NAME?</x:v>
      </x:c>
      <x:c r="D997" s="146" t="e">
        <x:f>IF($A997="","",[1]!thsiFinD("ths_adjustment_nv_fund",D$3,$A997))</x:f>
        <x:v>#NAME?</x:v>
      </x:c>
      <x:c r="E997" s="146" t="e">
        <x:f>IF($A997="","",[1]!thsiFinD("ths_adjustment_nv_fund",E$3,$A997))</x:f>
        <x:v>#NAME?</x:v>
      </x:c>
      <x:c r="F997" s="146" t="e">
        <x:f>IF($A997="","",[1]!thsiFinD("ths_adjustment_nv_fund",F$3,$A997))</x:f>
        <x:v>#NAME?</x:v>
      </x:c>
      <x:c r="G997" s="146" t="e">
        <x:f>IF($A997="","",[1]!thsiFinD("ths_adjustment_nv_fund",G$3,$A997))</x:f>
        <x:v>#NAME?</x:v>
      </x:c>
      <x:c r="H997" s="146" t="e">
        <x:f>IF($A997="","",[1]!thsiFinD("ths_adjustment_nv_fund",H$3,$A997))</x:f>
        <x:v>#NAME?</x:v>
      </x:c>
      <x:c r="I997" s="146" t="e">
        <x:f>IF($A997="","",[1]!thsiFinD("ths_adjustment_nv_fund",I$3,$A997))</x:f>
        <x:v>#NAME?</x:v>
      </x:c>
      <x:c r="J997" s="146" t="e">
        <x:f>IF($A997="","",[1]!thsiFinD("ths_adjustment_nv_fund",J$3,$A997))</x:f>
        <x:v>#NAME?</x:v>
      </x:c>
      <x:c r="K997" s="146" t="e">
        <x:f>IF($A997="","",[1]!thsiFinD("ths_adjustment_nv_fund",K$3,$A997))</x:f>
        <x:v>#NAME?</x:v>
      </x:c>
      <x:c r="L997" s="146" t="e">
        <x:f>IF($A997="","",[1]!thsiFinD("ths_adjustment_nv_fund",L$3,$A997))</x:f>
        <x:v>#NAME?</x:v>
      </x:c>
      <x:c r="M997" s="146" t="e">
        <x:f>IF($A997="","",[1]!thsiFinD("ths_adjustment_nv_fund",M$3,$A997))</x:f>
        <x:v>#NAME?</x:v>
      </x:c>
      <x:c r="N997" s="146" t="e">
        <x:f>IF($A997="","",[1]!thsiFinD("ths_adjustment_nv_fund",N$3,$A997))</x:f>
        <x:v>#NAME?</x:v>
      </x:c>
      <x:c r="O997" s="146" t="e">
        <x:f>IF($A997="","",[1]!thsiFinD("ths_adjustment_nv_fund",O$3,$A997))</x:f>
        <x:v>#NAME?</x:v>
      </x:c>
      <x:c r="P997" s="146" t="e">
        <x:f>IF($A997="","",[1]!thsiFinD("ths_adjustment_nv_fund",P$3,$A997))</x:f>
        <x:v>#NAME?</x:v>
      </x:c>
      <x:c r="Q997" s="146" t="e">
        <x:f>IF($A997="","",[1]!thsiFinD("ths_adjustment_nv_fund",Q$3,$A997))</x:f>
        <x:v>#NAME?</x:v>
      </x:c>
      <x:c r="R997" s="146" t="e">
        <x:f>IF($A997="","",[1]!thsiFinD("ths_adjustment_nv_fund",R$3,$A997))</x:f>
        <x:v>#NAME?</x:v>
      </x:c>
      <x:c r="S997" s="146" t="e">
        <x:f>IF($A997="","",[1]!thsiFinD("ths_adjustment_nv_fund",S$3,$A997))</x:f>
        <x:v>#NAME?</x:v>
      </x:c>
      <x:c r="T997" s="146" t="e">
        <x:f>IF($A997="","",[1]!thsiFinD("ths_adjustment_nv_fund",T$3,$A997))</x:f>
        <x:v>#NAME?</x:v>
      </x:c>
      <x:c r="U997" s="146" t="e">
        <x:f>IF($A997="","",[1]!thsiFinD("ths_adjustment_nv_fund",U$3,$A997))</x:f>
        <x:v>#NAME?</x:v>
      </x:c>
      <x:c r="V997" s="146" t="e">
        <x:f>IF($A997="","",[1]!thsiFinD("ths_adjustment_nv_fund",V$3,$A997))</x:f>
        <x:v>#NAME?</x:v>
      </x:c>
      <x:c r="W997" s="146" t="e">
        <x:f>IF($A997="","",[1]!thsiFinD("ths_adjustment_nv_fund",W$3,$A997))</x:f>
        <x:v>#NAME?</x:v>
      </x:c>
      <x:c r="X997" s="146" t="e">
        <x:f>IF($A997="","",[1]!thsiFinD("ths_adjustment_nv_fund",X$3,$A997))</x:f>
        <x:v>#NAME?</x:v>
      </x:c>
      <x:c r="Y997" s="146" t="e">
        <x:f>IF($A997="","",[1]!thsiFinD("ths_adjustment_nv_fund",Y$3,$A997))</x:f>
        <x:v>#NAME?</x:v>
      </x:c>
      <x:c r="Z997" s="146" t="e">
        <x:f>IF($A997="","",[1]!thsiFinD("ths_adjustment_nv_fund",Z$3,$A997))</x:f>
        <x:v>#NAME?</x:v>
      </x:c>
      <x:c r="AA997" s="146" t="e">
        <x:f>IF($A997="","",[1]!thsiFinD("ths_adjustment_nv_fund",AA$3,$A997))</x:f>
        <x:v>#NAME?</x:v>
      </x:c>
    </x:row>
    <x:row r="998">
      <x:c r="B998" s="146" t="e">
        <x:f>IF($A998="","",[1]!thsiFinD("ths_adjustment_nv_fund",B$3,$A998))</x:f>
        <x:v>#NAME?</x:v>
      </x:c>
      <x:c r="C998" s="146" t="e">
        <x:f>IF($A998="","",[1]!thsiFinD("ths_adjustment_nv_fund",C$3,$A998))</x:f>
        <x:v>#NAME?</x:v>
      </x:c>
      <x:c r="D998" s="146" t="e">
        <x:f>IF($A998="","",[1]!thsiFinD("ths_adjustment_nv_fund",D$3,$A998))</x:f>
        <x:v>#NAME?</x:v>
      </x:c>
      <x:c r="E998" s="146" t="e">
        <x:f>IF($A998="","",[1]!thsiFinD("ths_adjustment_nv_fund",E$3,$A998))</x:f>
        <x:v>#NAME?</x:v>
      </x:c>
      <x:c r="F998" s="146" t="e">
        <x:f>IF($A998="","",[1]!thsiFinD("ths_adjustment_nv_fund",F$3,$A998))</x:f>
        <x:v>#NAME?</x:v>
      </x:c>
      <x:c r="G998" s="146" t="e">
        <x:f>IF($A998="","",[1]!thsiFinD("ths_adjustment_nv_fund",G$3,$A998))</x:f>
        <x:v>#NAME?</x:v>
      </x:c>
      <x:c r="H998" s="146" t="e">
        <x:f>IF($A998="","",[1]!thsiFinD("ths_adjustment_nv_fund",H$3,$A998))</x:f>
        <x:v>#NAME?</x:v>
      </x:c>
      <x:c r="I998" s="146" t="e">
        <x:f>IF($A998="","",[1]!thsiFinD("ths_adjustment_nv_fund",I$3,$A998))</x:f>
        <x:v>#NAME?</x:v>
      </x:c>
      <x:c r="J998" s="146" t="e">
        <x:f>IF($A998="","",[1]!thsiFinD("ths_adjustment_nv_fund",J$3,$A998))</x:f>
        <x:v>#NAME?</x:v>
      </x:c>
      <x:c r="K998" s="146" t="e">
        <x:f>IF($A998="","",[1]!thsiFinD("ths_adjustment_nv_fund",K$3,$A998))</x:f>
        <x:v>#NAME?</x:v>
      </x:c>
      <x:c r="L998" s="146" t="e">
        <x:f>IF($A998="","",[1]!thsiFinD("ths_adjustment_nv_fund",L$3,$A998))</x:f>
        <x:v>#NAME?</x:v>
      </x:c>
      <x:c r="M998" s="146" t="e">
        <x:f>IF($A998="","",[1]!thsiFinD("ths_adjustment_nv_fund",M$3,$A998))</x:f>
        <x:v>#NAME?</x:v>
      </x:c>
      <x:c r="N998" s="146" t="e">
        <x:f>IF($A998="","",[1]!thsiFinD("ths_adjustment_nv_fund",N$3,$A998))</x:f>
        <x:v>#NAME?</x:v>
      </x:c>
      <x:c r="O998" s="146" t="e">
        <x:f>IF($A998="","",[1]!thsiFinD("ths_adjustment_nv_fund",O$3,$A998))</x:f>
        <x:v>#NAME?</x:v>
      </x:c>
      <x:c r="P998" s="146" t="e">
        <x:f>IF($A998="","",[1]!thsiFinD("ths_adjustment_nv_fund",P$3,$A998))</x:f>
        <x:v>#NAME?</x:v>
      </x:c>
      <x:c r="Q998" s="146" t="e">
        <x:f>IF($A998="","",[1]!thsiFinD("ths_adjustment_nv_fund",Q$3,$A998))</x:f>
        <x:v>#NAME?</x:v>
      </x:c>
      <x:c r="R998" s="146" t="e">
        <x:f>IF($A998="","",[1]!thsiFinD("ths_adjustment_nv_fund",R$3,$A998))</x:f>
        <x:v>#NAME?</x:v>
      </x:c>
      <x:c r="S998" s="146" t="e">
        <x:f>IF($A998="","",[1]!thsiFinD("ths_adjustment_nv_fund",S$3,$A998))</x:f>
        <x:v>#NAME?</x:v>
      </x:c>
      <x:c r="T998" s="146" t="e">
        <x:f>IF($A998="","",[1]!thsiFinD("ths_adjustment_nv_fund",T$3,$A998))</x:f>
        <x:v>#NAME?</x:v>
      </x:c>
      <x:c r="U998" s="146" t="e">
        <x:f>IF($A998="","",[1]!thsiFinD("ths_adjustment_nv_fund",U$3,$A998))</x:f>
        <x:v>#NAME?</x:v>
      </x:c>
      <x:c r="V998" s="146" t="e">
        <x:f>IF($A998="","",[1]!thsiFinD("ths_adjustment_nv_fund",V$3,$A998))</x:f>
        <x:v>#NAME?</x:v>
      </x:c>
      <x:c r="W998" s="146" t="e">
        <x:f>IF($A998="","",[1]!thsiFinD("ths_adjustment_nv_fund",W$3,$A998))</x:f>
        <x:v>#NAME?</x:v>
      </x:c>
      <x:c r="X998" s="146" t="e">
        <x:f>IF($A998="","",[1]!thsiFinD("ths_adjustment_nv_fund",X$3,$A998))</x:f>
        <x:v>#NAME?</x:v>
      </x:c>
      <x:c r="Y998" s="146" t="e">
        <x:f>IF($A998="","",[1]!thsiFinD("ths_adjustment_nv_fund",Y$3,$A998))</x:f>
        <x:v>#NAME?</x:v>
      </x:c>
      <x:c r="Z998" s="146" t="e">
        <x:f>IF($A998="","",[1]!thsiFinD("ths_adjustment_nv_fund",Z$3,$A998))</x:f>
        <x:v>#NAME?</x:v>
      </x:c>
      <x:c r="AA998" s="146" t="e">
        <x:f>IF($A998="","",[1]!thsiFinD("ths_adjustment_nv_fund",AA$3,$A998))</x:f>
        <x:v>#NAME?</x:v>
      </x:c>
    </x:row>
    <x:row r="999">
      <x:c r="B999" s="146" t="e">
        <x:f>IF($A999="","",[1]!thsiFinD("ths_adjustment_nv_fund",B$3,$A999))</x:f>
        <x:v>#NAME?</x:v>
      </x:c>
      <x:c r="C999" s="146" t="e">
        <x:f>IF($A999="","",[1]!thsiFinD("ths_adjustment_nv_fund",C$3,$A999))</x:f>
        <x:v>#NAME?</x:v>
      </x:c>
      <x:c r="D999" s="146" t="e">
        <x:f>IF($A999="","",[1]!thsiFinD("ths_adjustment_nv_fund",D$3,$A999))</x:f>
        <x:v>#NAME?</x:v>
      </x:c>
      <x:c r="E999" s="146" t="e">
        <x:f>IF($A999="","",[1]!thsiFinD("ths_adjustment_nv_fund",E$3,$A999))</x:f>
        <x:v>#NAME?</x:v>
      </x:c>
      <x:c r="F999" s="146" t="e">
        <x:f>IF($A999="","",[1]!thsiFinD("ths_adjustment_nv_fund",F$3,$A999))</x:f>
        <x:v>#NAME?</x:v>
      </x:c>
      <x:c r="G999" s="146" t="e">
        <x:f>IF($A999="","",[1]!thsiFinD("ths_adjustment_nv_fund",G$3,$A999))</x:f>
        <x:v>#NAME?</x:v>
      </x:c>
      <x:c r="H999" s="146" t="e">
        <x:f>IF($A999="","",[1]!thsiFinD("ths_adjustment_nv_fund",H$3,$A999))</x:f>
        <x:v>#NAME?</x:v>
      </x:c>
      <x:c r="I999" s="146" t="e">
        <x:f>IF($A999="","",[1]!thsiFinD("ths_adjustment_nv_fund",I$3,$A999))</x:f>
        <x:v>#NAME?</x:v>
      </x:c>
      <x:c r="J999" s="146" t="e">
        <x:f>IF($A999="","",[1]!thsiFinD("ths_adjustment_nv_fund",J$3,$A999))</x:f>
        <x:v>#NAME?</x:v>
      </x:c>
      <x:c r="K999" s="146" t="e">
        <x:f>IF($A999="","",[1]!thsiFinD("ths_adjustment_nv_fund",K$3,$A999))</x:f>
        <x:v>#NAME?</x:v>
      </x:c>
      <x:c r="L999" s="146" t="e">
        <x:f>IF($A999="","",[1]!thsiFinD("ths_adjustment_nv_fund",L$3,$A999))</x:f>
        <x:v>#NAME?</x:v>
      </x:c>
      <x:c r="M999" s="146" t="e">
        <x:f>IF($A999="","",[1]!thsiFinD("ths_adjustment_nv_fund",M$3,$A999))</x:f>
        <x:v>#NAME?</x:v>
      </x:c>
      <x:c r="N999" s="146" t="e">
        <x:f>IF($A999="","",[1]!thsiFinD("ths_adjustment_nv_fund",N$3,$A999))</x:f>
        <x:v>#NAME?</x:v>
      </x:c>
      <x:c r="O999" s="146" t="e">
        <x:f>IF($A999="","",[1]!thsiFinD("ths_adjustment_nv_fund",O$3,$A999))</x:f>
        <x:v>#NAME?</x:v>
      </x:c>
      <x:c r="P999" s="146" t="e">
        <x:f>IF($A999="","",[1]!thsiFinD("ths_adjustment_nv_fund",P$3,$A999))</x:f>
        <x:v>#NAME?</x:v>
      </x:c>
      <x:c r="Q999" s="146" t="e">
        <x:f>IF($A999="","",[1]!thsiFinD("ths_adjustment_nv_fund",Q$3,$A999))</x:f>
        <x:v>#NAME?</x:v>
      </x:c>
      <x:c r="R999" s="146" t="e">
        <x:f>IF($A999="","",[1]!thsiFinD("ths_adjustment_nv_fund",R$3,$A999))</x:f>
        <x:v>#NAME?</x:v>
      </x:c>
      <x:c r="S999" s="146" t="e">
        <x:f>IF($A999="","",[1]!thsiFinD("ths_adjustment_nv_fund",S$3,$A999))</x:f>
        <x:v>#NAME?</x:v>
      </x:c>
      <x:c r="T999" s="146" t="e">
        <x:f>IF($A999="","",[1]!thsiFinD("ths_adjustment_nv_fund",T$3,$A999))</x:f>
        <x:v>#NAME?</x:v>
      </x:c>
      <x:c r="U999" s="146" t="e">
        <x:f>IF($A999="","",[1]!thsiFinD("ths_adjustment_nv_fund",U$3,$A999))</x:f>
        <x:v>#NAME?</x:v>
      </x:c>
      <x:c r="V999" s="146" t="e">
        <x:f>IF($A999="","",[1]!thsiFinD("ths_adjustment_nv_fund",V$3,$A999))</x:f>
        <x:v>#NAME?</x:v>
      </x:c>
      <x:c r="W999" s="146" t="e">
        <x:f>IF($A999="","",[1]!thsiFinD("ths_adjustment_nv_fund",W$3,$A999))</x:f>
        <x:v>#NAME?</x:v>
      </x:c>
      <x:c r="X999" s="146" t="e">
        <x:f>IF($A999="","",[1]!thsiFinD("ths_adjustment_nv_fund",X$3,$A999))</x:f>
        <x:v>#NAME?</x:v>
      </x:c>
      <x:c r="Y999" s="146" t="e">
        <x:f>IF($A999="","",[1]!thsiFinD("ths_adjustment_nv_fund",Y$3,$A999))</x:f>
        <x:v>#NAME?</x:v>
      </x:c>
      <x:c r="Z999" s="146" t="e">
        <x:f>IF($A999="","",[1]!thsiFinD("ths_adjustment_nv_fund",Z$3,$A999))</x:f>
        <x:v>#NAME?</x:v>
      </x:c>
      <x:c r="AA999" s="146" t="e">
        <x:f>IF($A999="","",[1]!thsiFinD("ths_adjustment_nv_fund",AA$3,$A999))</x:f>
        <x:v>#NAME?</x:v>
      </x:c>
    </x:row>
    <x:row r="1000">
      <x:c r="B1000" s="146" t="e">
        <x:f>IF($A1000="","",[1]!thsiFinD("ths_adjustment_nv_fund",B$3,$A1000))</x:f>
        <x:v>#NAME?</x:v>
      </x:c>
      <x:c r="C1000" s="146" t="e">
        <x:f>IF($A1000="","",[1]!thsiFinD("ths_adjustment_nv_fund",C$3,$A1000))</x:f>
        <x:v>#NAME?</x:v>
      </x:c>
      <x:c r="D1000" s="146" t="e">
        <x:f>IF($A1000="","",[1]!thsiFinD("ths_adjustment_nv_fund",D$3,$A1000))</x:f>
        <x:v>#NAME?</x:v>
      </x:c>
      <x:c r="E1000" s="146" t="e">
        <x:f>IF($A1000="","",[1]!thsiFinD("ths_adjustment_nv_fund",E$3,$A1000))</x:f>
        <x:v>#NAME?</x:v>
      </x:c>
      <x:c r="F1000" s="146" t="e">
        <x:f>IF($A1000="","",[1]!thsiFinD("ths_adjustment_nv_fund",F$3,$A1000))</x:f>
        <x:v>#NAME?</x:v>
      </x:c>
      <x:c r="G1000" s="146" t="e">
        <x:f>IF($A1000="","",[1]!thsiFinD("ths_adjustment_nv_fund",G$3,$A1000))</x:f>
        <x:v>#NAME?</x:v>
      </x:c>
      <x:c r="H1000" s="146" t="e">
        <x:f>IF($A1000="","",[1]!thsiFinD("ths_adjustment_nv_fund",H$3,$A1000))</x:f>
        <x:v>#NAME?</x:v>
      </x:c>
      <x:c r="I1000" s="146" t="e">
        <x:f>IF($A1000="","",[1]!thsiFinD("ths_adjustment_nv_fund",I$3,$A1000))</x:f>
        <x:v>#NAME?</x:v>
      </x:c>
      <x:c r="J1000" s="146" t="e">
        <x:f>IF($A1000="","",[1]!thsiFinD("ths_adjustment_nv_fund",J$3,$A1000))</x:f>
        <x:v>#NAME?</x:v>
      </x:c>
      <x:c r="K1000" s="146" t="e">
        <x:f>IF($A1000="","",[1]!thsiFinD("ths_adjustment_nv_fund",K$3,$A1000))</x:f>
        <x:v>#NAME?</x:v>
      </x:c>
      <x:c r="L1000" s="146" t="e">
        <x:f>IF($A1000="","",[1]!thsiFinD("ths_adjustment_nv_fund",L$3,$A1000))</x:f>
        <x:v>#NAME?</x:v>
      </x:c>
      <x:c r="M1000" s="146" t="e">
        <x:f>IF($A1000="","",[1]!thsiFinD("ths_adjustment_nv_fund",M$3,$A1000))</x:f>
        <x:v>#NAME?</x:v>
      </x:c>
      <x:c r="N1000" s="146" t="e">
        <x:f>IF($A1000="","",[1]!thsiFinD("ths_adjustment_nv_fund",N$3,$A1000))</x:f>
        <x:v>#NAME?</x:v>
      </x:c>
      <x:c r="O1000" s="146" t="e">
        <x:f>IF($A1000="","",[1]!thsiFinD("ths_adjustment_nv_fund",O$3,$A1000))</x:f>
        <x:v>#NAME?</x:v>
      </x:c>
      <x:c r="P1000" s="146" t="e">
        <x:f>IF($A1000="","",[1]!thsiFinD("ths_adjustment_nv_fund",P$3,$A1000))</x:f>
        <x:v>#NAME?</x:v>
      </x:c>
      <x:c r="Q1000" s="146" t="e">
        <x:f>IF($A1000="","",[1]!thsiFinD("ths_adjustment_nv_fund",Q$3,$A1000))</x:f>
        <x:v>#NAME?</x:v>
      </x:c>
      <x:c r="R1000" s="146" t="e">
        <x:f>IF($A1000="","",[1]!thsiFinD("ths_adjustment_nv_fund",R$3,$A1000))</x:f>
        <x:v>#NAME?</x:v>
      </x:c>
      <x:c r="S1000" s="146" t="e">
        <x:f>IF($A1000="","",[1]!thsiFinD("ths_adjustment_nv_fund",S$3,$A1000))</x:f>
        <x:v>#NAME?</x:v>
      </x:c>
      <x:c r="T1000" s="146" t="e">
        <x:f>IF($A1000="","",[1]!thsiFinD("ths_adjustment_nv_fund",T$3,$A1000))</x:f>
        <x:v>#NAME?</x:v>
      </x:c>
      <x:c r="U1000" s="146" t="e">
        <x:f>IF($A1000="","",[1]!thsiFinD("ths_adjustment_nv_fund",U$3,$A1000))</x:f>
        <x:v>#NAME?</x:v>
      </x:c>
      <x:c r="V1000" s="146" t="e">
        <x:f>IF($A1000="","",[1]!thsiFinD("ths_adjustment_nv_fund",V$3,$A1000))</x:f>
        <x:v>#NAME?</x:v>
      </x:c>
      <x:c r="W1000" s="146" t="e">
        <x:f>IF($A1000="","",[1]!thsiFinD("ths_adjustment_nv_fund",W$3,$A1000))</x:f>
        <x:v>#NAME?</x:v>
      </x:c>
      <x:c r="X1000" s="146" t="e">
        <x:f>IF($A1000="","",[1]!thsiFinD("ths_adjustment_nv_fund",X$3,$A1000))</x:f>
        <x:v>#NAME?</x:v>
      </x:c>
      <x:c r="Y1000" s="146" t="e">
        <x:f>IF($A1000="","",[1]!thsiFinD("ths_adjustment_nv_fund",Y$3,$A1000))</x:f>
        <x:v>#NAME?</x:v>
      </x:c>
      <x:c r="Z1000" s="146" t="e">
        <x:f>IF($A1000="","",[1]!thsiFinD("ths_adjustment_nv_fund",Z$3,$A1000))</x:f>
        <x:v>#NAME?</x:v>
      </x:c>
      <x:c r="AA1000" s="146" t="e">
        <x:f>IF($A1000="","",[1]!thsiFinD("ths_adjustment_nv_fund",AA$3,$A1000))</x:f>
        <x:v>#NAME?</x:v>
      </x:c>
    </x:row>
  </x:sheetData>
  <x:mergeCells>
    <x:mergeCell ref="A1:AA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.453125" defaultRowHeight="12"/>
  <x:cols>
    <x:col min="1" max="1" width="13.1899995803833" hidden="0" customWidth="1"/>
    <x:col min="22" max="22" width="14.819999694824219" hidden="0" customWidth="1"/>
  </x:cols>
  <x:sheetData>
    <x:row r="1" ht="18.75" hidden="0" customHeight="1">
      <x:c r="A1" s="107" t="s">
        <x:v>342</x:v>
      </x:c>
      <x:c r="B1" s="107"/>
      <x:c r="C1" s="107"/>
      <x:c r="D1" s="107"/>
      <x:c r="E1" s="107"/>
      <x:c r="F1" s="107"/>
      <x:c r="G1" s="107"/>
      <x:c r="H1" s="107"/>
      <x:c r="I1" s="107"/>
      <x:c r="J1" s="107"/>
    </x:row>
    <x:row r="2" ht="13.5" hidden="0" customHeight="1">
      <x:c r="A2" s="107"/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42" hidden="0" customHeight="1">
      <x:c r="B3" s="108" t="s">
        <x:v>343</x:v>
      </x:c>
      <x:c r="E3" s="108" t="s">
        <x:v>344</x:v>
      </x:c>
      <x:c r="H3" s="108" t="s">
        <x:v>345</x:v>
      </x:c>
      <x:c r="K3" s="108" t="s">
        <x:v>346</x:v>
      </x:c>
      <x:c r="N3" s="108" t="s">
        <x:v>347</x:v>
      </x:c>
      <x:c r="Q3" s="108" t="s">
        <x:v>348</x:v>
      </x:c>
    </x:row>
    <x:row r="4" ht="12.649999618530273" hidden="0">
      <x:c r="A4" s="2" t="s">
        <x:v>349</x:v>
      </x:c>
      <x:c r="B4" s="2" t="s">
        <x:v>350</x:v>
      </x:c>
      <x:c r="C4" s="2" t="s">
        <x:v>351</x:v>
      </x:c>
      <x:c r="D4" s="2" t="s">
        <x:v>352</x:v>
      </x:c>
      <x:c r="E4" s="2" t="s">
        <x:v>350</x:v>
      </x:c>
      <x:c r="F4" s="2" t="s">
        <x:v>351</x:v>
      </x:c>
      <x:c r="G4" s="2" t="s">
        <x:v>352</x:v>
      </x:c>
      <x:c r="H4" s="2" t="s">
        <x:v>350</x:v>
      </x:c>
      <x:c r="I4" s="2" t="s">
        <x:v>351</x:v>
      </x:c>
      <x:c r="J4" s="2" t="s">
        <x:v>352</x:v>
      </x:c>
      <x:c r="K4" s="2" t="s">
        <x:v>350</x:v>
      </x:c>
      <x:c r="L4" s="2" t="s">
        <x:v>351</x:v>
      </x:c>
      <x:c r="M4" s="2" t="s">
        <x:v>352</x:v>
      </x:c>
      <x:c r="N4" s="2" t="s">
        <x:v>350</x:v>
      </x:c>
      <x:c r="O4" s="2" t="s">
        <x:v>351</x:v>
      </x:c>
      <x:c r="P4" s="2" t="s">
        <x:v>352</x:v>
      </x:c>
      <x:c r="Q4" s="2" t="s">
        <x:v>350</x:v>
      </x:c>
      <x:c r="R4" s="2" t="s">
        <x:v>351</x:v>
      </x:c>
      <x:c r="S4" s="2" t="s">
        <x:v>352</x:v>
      </x:c>
    </x:row>
    <x:row r="5" ht="13.5" hidden="0">
      <x:c r="A5" s="109" t="n">
        <x:f aca="0">IF('实盘净值数据(iFinD公式)'!A5="","",'实盘净值数据(iFinD公式)'!A5)</x:f>
        <x:v>46191</x:v>
      </x:c>
      <x:c r="B5" s="106" t="e">
        <x:f aca="0">IF(OR((ROW()-1)&lt;6,'实盘净值数据(iFinD公式)'!$A5="",'实盘净值数据(iFinD公式)'!$B5=""),"",SUMPRODUCT(实盘持仓初始配置!$B$4:$X$4,'实盘净值数据(iFinD公式)'!$B5:$X5/'实盘净值数据(iFinD公式)'!$B$6:$X$6)*(1-实盘持仓初始配置!$Z$4)^(('实盘净值数据(iFinD公式)'!$A5-'实盘净值数据(iFinD公式)'!$A$6)/365))</x:f>
        <x:v>#NAME?</x:v>
      </x:c>
      <x:c r="C5" s="110"/>
      <x:c r="D5" s="110" t="e">
        <x:f aca="0">IF(B5="","",B5/MAX(B$5:B5)-1)</x:f>
        <x:v>#NAME?</x:v>
      </x:c>
      <x:c r="E5" s="106" t="n">
        <x:v>1</x:v>
      </x:c>
      <x:c r="F5" s="110"/>
      <x:c r="G5" s="110" t="n">
        <x:f aca="0">IF(E5="","",E5/MAX(E$5:E5)-1)</x:f>
        <x:v>0</x:v>
      </x:c>
      <x:c r="H5" s="106" t="e">
        <x:f aca="0">IF(OR((ROW()-1)&lt;7,'实盘净值数据(iFinD公式)'!$A5="",'实盘净值数据(iFinD公式)'!$B5=""),"",SUMPRODUCT(实盘持仓初始配置!$B$6:$X$6,'实盘净值数据(iFinD公式)'!$B5:$X5/'实盘净值数据(iFinD公式)'!$B$7:$X$7)*(1-实盘持仓初始配置!$Z$6)^(('实盘净值数据(iFinD公式)'!$A5-'实盘净值数据(iFinD公式)'!$A$7)/365))</x:f>
        <x:v>#NAME?</x:v>
      </x:c>
      <x:c r="I5" s="110"/>
      <x:c r="J5" s="110" t="e">
        <x:f aca="0">IF(H5="","",H5/MAX(H$5:H5)-1)</x:f>
        <x:v>#NAME?</x:v>
      </x:c>
      <x:c r="K5" s="106" t="e">
        <x:f aca="0">IF(OR((ROW()-1)&lt;8,'实盘净值数据(iFinD公式)'!$A5="",'实盘净值数据(iFinD公式)'!$B5=""),"",SUMPRODUCT(实盘持仓初始配置!$B$7:$X$7,'实盘净值数据(iFinD公式)'!$B5:$X5/'实盘净值数据(iFinD公式)'!$B$8:$X$8)*(1-实盘持仓初始配置!$Z$7)^(('实盘净值数据(iFinD公式)'!$A5-'实盘净值数据(iFinD公式)'!$A$8)/365))</x:f>
        <x:v>#NAME?</x:v>
      </x:c>
      <x:c r="L5" s="110"/>
      <x:c r="M5" s="110" t="e">
        <x:f aca="0">IF(K5="","",K5/MAX(K$5:K5)-1)</x:f>
        <x:v>#NAME?</x:v>
      </x:c>
      <x:c r="N5" s="106" t="n">
        <x:v>1</x:v>
      </x:c>
      <x:c r="O5" s="110"/>
      <x:c r="P5" s="110" t="n">
        <x:f aca="0">IF(N5="","",N5/MAX(N$5:N5)-1)</x:f>
        <x:v>0</x:v>
      </x:c>
      <x:c r="Q5" s="106" t="e">
        <x:f aca="0">IF(OR((ROW()-1)&lt;8,'实盘净值数据(iFinD公式)'!$A5="",'实盘净值数据(iFinD公式)'!$B5=""),"",SUMPRODUCT(实盘持仓初始配置!$B$9:$X$9,'实盘净值数据(iFinD公式)'!$B5:$X5/'实盘净值数据(iFinD公式)'!$B$8:$X$8)*(1-实盘持仓初始配置!$Z$9)^(('实盘净值数据(iFinD公式)'!$A5-'实盘净值数据(iFinD公式)'!$A$8)/365))</x:f>
        <x:v>#NAME?</x:v>
      </x:c>
      <x:c r="R5" s="110"/>
      <x:c r="S5" s="110" t="e">
        <x:f aca="0">IF(Q5="","",Q5/MAX(Q$5:Q5)-1)</x:f>
        <x:v>#NAME?</x:v>
      </x:c>
      <x:c r="U5" s="111"/>
    </x:row>
    <x:row r="6" ht="13.5" hidden="0">
      <x:c r="A6" s="109" t="n">
        <x:f aca="0">IF('实盘净值数据(iFinD公式)'!A6="","",'实盘净值数据(iFinD公式)'!A6)</x:f>
        <x:v>46195</x:v>
      </x:c>
      <x:c r="B6" s="106" t="n">
        <x:v>1</x:v>
      </x:c>
      <x:c r="C6" s="110" t="e">
        <x:f aca="0">IF(OR(B5="",'实盘净值数据(iFinD公式)'!$A6="",'实盘净值数据(iFinD公式)'!$B6=""),"",(SUMPRODUCT(实盘持仓初始配置!$B$4:$X$4,'实盘净值数据(iFinD公式)'!$B5:$X5/'实盘净值数据(iFinD公式)'!$B$6:$X$6,'实盘净值数据(iFinD公式)'!$B6:$X6/'实盘净值数据(iFinD公式)'!$B5:$X5)/SUMPRODUCT(实盘持仓初始配置!$B$4:$X$4,'实盘净值数据(iFinD公式)'!$B5:$X5/'实盘净值数据(iFinD公式)'!$B$6:$X$6))*(1-实盘持仓初始配置!$Z$4)^(('实盘净值数据(iFinD公式)'!$A6-'实盘净值数据(iFinD公式)'!$A5)/365)-1)</x:f>
        <x:v>#NAME?</x:v>
      </x:c>
      <x:c r="D6" s="110" t="e">
        <x:f aca="0">IF(B6="","",B6/MAX(B$5:B6)-1)</x:f>
        <x:v>#NAME?</x:v>
      </x:c>
      <x:c r="E6" s="106" t="e">
        <x:f aca="0">IF(OR((ROW()-1)&lt;5,'实盘净值数据(iFinD公式)'!$A6="",'实盘净值数据(iFinD公式)'!$B6=""),"",SUMPRODUCT(实盘持仓初始配置!$B$5:$X$5,'实盘净值数据(iFinD公式)'!$B6:$X6/'实盘净值数据(iFinD公式)'!$B$5:$X$5)*(1-实盘持仓初始配置!$Z$5)^(('实盘净值数据(iFinD公式)'!$A6-'实盘净值数据(iFinD公式)'!$A$5)/365))</x:f>
        <x:v>#NAME?</x:v>
      </x:c>
      <x:c r="F6" s="110" t="e">
        <x:f aca="0">IF(OR(E5="",'实盘净值数据(iFinD公式)'!$A6="",'实盘净值数据(iFinD公式)'!$B6=""),"",(SUMPRODUCT(实盘持仓初始配置!$B$5:$X$5,'实盘净值数据(iFinD公式)'!$B5:$X5/'实盘净值数据(iFinD公式)'!$B$5:$X$5,'实盘净值数据(iFinD公式)'!$B6:$X6/'实盘净值数据(iFinD公式)'!$B5:$X5)/SUMPRODUCT(实盘持仓初始配置!$B$5:$X$5,'实盘净值数据(iFinD公式)'!$B5:$X5/'实盘净值数据(iFinD公式)'!$B$5:$X$5))*(1-实盘持仓初始配置!$Z$5)^(('实盘净值数据(iFinD公式)'!$A6-'实盘净值数据(iFinD公式)'!$A5)/365)-1)</x:f>
        <x:v>#NAME?</x:v>
      </x:c>
      <x:c r="G6" s="110" t="e">
        <x:f aca="0">IF(E6="","",E6/MAX(E$5:E6)-1)</x:f>
        <x:v>#NAME?</x:v>
      </x:c>
      <x:c r="H6" s="106" t="e">
        <x:f aca="0">IF(OR((ROW()-1)&lt;7,'实盘净值数据(iFinD公式)'!$A6="",'实盘净值数据(iFinD公式)'!$B6=""),"",SUMPRODUCT(实盘持仓初始配置!$B$6:$X$6,'实盘净值数据(iFinD公式)'!$B6:$X6/'实盘净值数据(iFinD公式)'!$B$7:$X$7)*(1-实盘持仓初始配置!$Z$6)^(('实盘净值数据(iFinD公式)'!$A6-'实盘净值数据(iFinD公式)'!$A$7)/365))</x:f>
        <x:v>#NAME?</x:v>
      </x:c>
      <x:c r="I6" s="110" t="e">
        <x:f aca="0">IF(OR(H5="",'实盘净值数据(iFinD公式)'!$A6="",'实盘净值数据(iFinD公式)'!$B6=""),"",(SUMPRODUCT(实盘持仓初始配置!$B$6:$X$6,'实盘净值数据(iFinD公式)'!$B5:$X5/'实盘净值数据(iFinD公式)'!$B$7:$X$7,'实盘净值数据(iFinD公式)'!$B6:$X6/'实盘净值数据(iFinD公式)'!$B5:$X5)/SUMPRODUCT(实盘持仓初始配置!$B$6:$X$6,'实盘净值数据(iFinD公式)'!$B5:$X5/'实盘净值数据(iFinD公式)'!$B$7:$X$7))*(1-实盘持仓初始配置!$Z$6)^(('实盘净值数据(iFinD公式)'!$A6-'实盘净值数据(iFinD公式)'!$A5)/365)-1)</x:f>
        <x:v>#NAME?</x:v>
      </x:c>
      <x:c r="J6" s="110" t="e">
        <x:f aca="0">IF(H6="","",H6/MAX(H$5:H6)-1)</x:f>
        <x:v>#NAME?</x:v>
      </x:c>
      <x:c r="K6" s="106" t="e">
        <x:f aca="0">IF(OR((ROW()-1)&lt;8,'实盘净值数据(iFinD公式)'!$A6="",'实盘净值数据(iFinD公式)'!$B6=""),"",SUMPRODUCT(实盘持仓初始配置!$B$7:$X$7,'实盘净值数据(iFinD公式)'!$B6:$X6/'实盘净值数据(iFinD公式)'!$B$8:$X$8)*(1-实盘持仓初始配置!$Z$7)^(('实盘净值数据(iFinD公式)'!$A6-'实盘净值数据(iFinD公式)'!$A$8)/365))</x:f>
        <x:v>#NAME?</x:v>
      </x:c>
      <x:c r="L6" s="110" t="e">
        <x:f aca="0">IF(OR(K5="",'实盘净值数据(iFinD公式)'!$A6="",'实盘净值数据(iFinD公式)'!$B6=""),"",(SUMPRODUCT(实盘持仓初始配置!$B$7:$X$7,'实盘净值数据(iFinD公式)'!$B5:$X5/'实盘净值数据(iFinD公式)'!$B$8:$X$8,'实盘净值数据(iFinD公式)'!$B6:$X6/'实盘净值数据(iFinD公式)'!$B5:$X5)/SUMPRODUCT(实盘持仓初始配置!$B$7:$X$7,'实盘净值数据(iFinD公式)'!$B5:$X5/'实盘净值数据(iFinD公式)'!$B$8:$X$8))*(1-实盘持仓初始配置!$Z$7)^(('实盘净值数据(iFinD公式)'!$A6-'实盘净值数据(iFinD公式)'!$A5)/365)-1)</x:f>
        <x:v>#NAME?</x:v>
      </x:c>
      <x:c r="M6" s="110" t="e">
        <x:f aca="0">IF(K6="","",K6/MAX(K$5:K6)-1)</x:f>
        <x:v>#NAME?</x:v>
      </x:c>
      <x:c r="N6" s="106" t="e">
        <x:f aca="0">IF(OR((ROW()-1)&lt;5,'实盘净值数据(iFinD公式)'!$A6="",'实盘净值数据(iFinD公式)'!$B6=""),"",SUMPRODUCT(实盘持仓初始配置!$B$8:$X$8,'实盘净值数据(iFinD公式)'!$B6:$X6/'实盘净值数据(iFinD公式)'!$B$5:$X$5)*(1-实盘持仓初始配置!$Z$8)^(('实盘净值数据(iFinD公式)'!$A6-'实盘净值数据(iFinD公式)'!$A$5)/365))</x:f>
        <x:v>#NAME?</x:v>
      </x:c>
      <x:c r="O6" s="110" t="e">
        <x:f aca="0">IF(OR(N5="",'实盘净值数据(iFinD公式)'!$A6="",'实盘净值数据(iFinD公式)'!$B6=""),"",(SUMPRODUCT(实盘持仓初始配置!$B$8:$X$8,'实盘净值数据(iFinD公式)'!$B5:$X5/'实盘净值数据(iFinD公式)'!$B$5:$X$5,'实盘净值数据(iFinD公式)'!$B6:$X6/'实盘净值数据(iFinD公式)'!$B5:$X5)/SUMPRODUCT(实盘持仓初始配置!$B$8:$X$8,'实盘净值数据(iFinD公式)'!$B5:$X5/'实盘净值数据(iFinD公式)'!$B$5:$X$5))*(1-实盘持仓初始配置!$Z$8)^(('实盘净值数据(iFinD公式)'!$A6-'实盘净值数据(iFinD公式)'!$A5)/365)-1)</x:f>
        <x:v>#NAME?</x:v>
      </x:c>
      <x:c r="P6" s="110" t="e">
        <x:f aca="0">IF(N6="","",N6/MAX(N$5:N6)-1)</x:f>
        <x:v>#NAME?</x:v>
      </x:c>
      <x:c r="Q6" s="106" t="e">
        <x:f aca="0">IF(OR((ROW()-1)&lt;8,'实盘净值数据(iFinD公式)'!$A6="",'实盘净值数据(iFinD公式)'!$B6=""),"",SUMPRODUCT(实盘持仓初始配置!$B$9:$X$9,'实盘净值数据(iFinD公式)'!$B6:$X6/'实盘净值数据(iFinD公式)'!$B$8:$X$8)*(1-实盘持仓初始配置!$Z$9)^(('实盘净值数据(iFinD公式)'!$A6-'实盘净值数据(iFinD公式)'!$A$8)/365))</x:f>
        <x:v>#NAME?</x:v>
      </x:c>
      <x:c r="R6" s="110" t="e">
        <x:f aca="0">IF(OR(Q5="",'实盘净值数据(iFinD公式)'!$A6="",'实盘净值数据(iFinD公式)'!$B6=""),"",(SUMPRODUCT(实盘持仓初始配置!$B$9:$X$9,'实盘净值数据(iFinD公式)'!$B5:$X5/'实盘净值数据(iFinD公式)'!$B$8:$X$8,'实盘净值数据(iFinD公式)'!$B6:$X6/'实盘净值数据(iFinD公式)'!$B5:$X5)/SUMPRODUCT(实盘持仓初始配置!$B$9:$X$9,'实盘净值数据(iFinD公式)'!$B5:$X5/'实盘净值数据(iFinD公式)'!$B$8:$X$8))*(1-实盘持仓初始配置!$Z$9)^(('实盘净值数据(iFinD公式)'!$A6-'实盘净值数据(iFinD公式)'!$A5)/365)-1)</x:f>
        <x:v>#NAME?</x:v>
      </x:c>
      <x:c r="S6" s="110" t="e">
        <x:f aca="0">IF(Q6="","",Q6/MAX(Q$5:Q6)-1)</x:f>
        <x:v>#NAME?</x:v>
      </x:c>
      <x:c r="U6" s="111"/>
      <x:c r="V6" s="112"/>
    </x:row>
    <x:row r="7" ht="13.5" hidden="0">
      <x:c r="A7" s="109" t="n">
        <x:f aca="0">IF('实盘净值数据(iFinD公式)'!A7="","",'实盘净值数据(iFinD公式)'!A7)</x:f>
        <x:v>46196</x:v>
      </x:c>
      <x:c r="B7" s="106" t="e">
        <x:f aca="0">IF(OR((ROW()-1)&lt;6,'实盘净值数据(iFinD公式)'!$A7="",'实盘净值数据(iFinD公式)'!$B7=""),"",SUMPRODUCT(实盘持仓初始配置!$B$4:$X$4,'实盘净值数据(iFinD公式)'!$B7:$X7/'实盘净值数据(iFinD公式)'!$B$6:$X$6)*(1-实盘持仓初始配置!$Z$4)^(('实盘净值数据(iFinD公式)'!$A7-'实盘净值数据(iFinD公式)'!$A$6)/365))</x:f>
        <x:v>#NAME?</x:v>
      </x:c>
      <x:c r="C7" s="110" t="e">
        <x:f aca="0">IF(OR(B6="",'实盘净值数据(iFinD公式)'!$A7="",'实盘净值数据(iFinD公式)'!$B7=""),"",(SUMPRODUCT(实盘持仓初始配置!$B$4:$X$4,'实盘净值数据(iFinD公式)'!$B6:$X6/'实盘净值数据(iFinD公式)'!$B$6:$X$6,'实盘净值数据(iFinD公式)'!$B7:$X7/'实盘净值数据(iFinD公式)'!$B6:$X6)/SUMPRODUCT(实盘持仓初始配置!$B$4:$X$4,'实盘净值数据(iFinD公式)'!$B6:$X6/'实盘净值数据(iFinD公式)'!$B$6:$X$6))*(1-实盘持仓初始配置!$Z$4)^(('实盘净值数据(iFinD公式)'!$A7-'实盘净值数据(iFinD公式)'!$A6)/365)-1)</x:f>
        <x:v>#NAME?</x:v>
      </x:c>
      <x:c r="D7" s="110" t="e">
        <x:f aca="0">IF(B7="","",B7/MAX(B$5:B7)-1)</x:f>
        <x:v>#NAME?</x:v>
      </x:c>
      <x:c r="E7" s="106" t="e">
        <x:f aca="0">IF(OR((ROW()-1)&lt;5,'实盘净值数据(iFinD公式)'!$A7="",'实盘净值数据(iFinD公式)'!$B7=""),"",SUMPRODUCT(实盘持仓初始配置!$B$5:$X$5,'实盘净值数据(iFinD公式)'!$B7:$X7/'实盘净值数据(iFinD公式)'!$B$5:$X$5)*(1-实盘持仓初始配置!$Z$5)^(('实盘净值数据(iFinD公式)'!$A7-'实盘净值数据(iFinD公式)'!$A$5)/365))</x:f>
        <x:v>#NAME?</x:v>
      </x:c>
      <x:c r="F7" s="110" t="e">
        <x:f aca="0">IF(OR(E6="",'实盘净值数据(iFinD公式)'!$A7="",'实盘净值数据(iFinD公式)'!$B7=""),"",(SUMPRODUCT(实盘持仓初始配置!$B$5:$X$5,'实盘净值数据(iFinD公式)'!$B6:$X6/'实盘净值数据(iFinD公式)'!$B$5:$X$5,'实盘净值数据(iFinD公式)'!$B7:$X7/'实盘净值数据(iFinD公式)'!$B6:$X6)/SUMPRODUCT(实盘持仓初始配置!$B$5:$X$5,'实盘净值数据(iFinD公式)'!$B6:$X6/'实盘净值数据(iFinD公式)'!$B$5:$X$5))*(1-实盘持仓初始配置!$Z$5)^(('实盘净值数据(iFinD公式)'!$A7-'实盘净值数据(iFinD公式)'!$A6)/365)-1)</x:f>
        <x:v>#NAME?</x:v>
      </x:c>
      <x:c r="G7" s="110" t="e">
        <x:f aca="0">IF(E7="","",E7/MAX(E$5:E7)-1)</x:f>
        <x:v>#NAME?</x:v>
      </x:c>
      <x:c r="H7" s="106" t="n">
        <x:v>1</x:v>
      </x:c>
      <x:c r="I7" s="110" t="e">
        <x:f aca="0">IF(OR(H6="",'实盘净值数据(iFinD公式)'!$A7="",'实盘净值数据(iFinD公式)'!$B7=""),"",(SUMPRODUCT(实盘持仓初始配置!$B$6:$X$6,'实盘净值数据(iFinD公式)'!$B6:$X6/'实盘净值数据(iFinD公式)'!$B$7:$X$7,'实盘净值数据(iFinD公式)'!$B7:$X7/'实盘净值数据(iFinD公式)'!$B6:$X6)/SUMPRODUCT(实盘持仓初始配置!$B$6:$X$6,'实盘净值数据(iFinD公式)'!$B6:$X6/'实盘净值数据(iFinD公式)'!$B$7:$X$7))*(1-实盘持仓初始配置!$Z$6)^(('实盘净值数据(iFinD公式)'!$A7-'实盘净值数据(iFinD公式)'!$A6)/365)-1)</x:f>
        <x:v>#NAME?</x:v>
      </x:c>
      <x:c r="J7" s="110" t="e">
        <x:f aca="0">IF(H7="","",H7/MAX(H$5:H7)-1)</x:f>
        <x:v>#NAME?</x:v>
      </x:c>
      <x:c r="K7" s="106" t="e">
        <x:f aca="0">IF(OR((ROW()-1)&lt;8,'实盘净值数据(iFinD公式)'!$A7="",'实盘净值数据(iFinD公式)'!$B7=""),"",SUMPRODUCT(实盘持仓初始配置!$B$7:$X$7,'实盘净值数据(iFinD公式)'!$B7:$X7/'实盘净值数据(iFinD公式)'!$B$8:$X$8)*(1-实盘持仓初始配置!$Z$7)^(('实盘净值数据(iFinD公式)'!$A7-'实盘净值数据(iFinD公式)'!$A$8)/365))</x:f>
        <x:v>#NAME?</x:v>
      </x:c>
      <x:c r="L7" s="110" t="e">
        <x:f aca="0">IF(OR(K6="",'实盘净值数据(iFinD公式)'!$A7="",'实盘净值数据(iFinD公式)'!$B7=""),"",(SUMPRODUCT(实盘持仓初始配置!$B$7:$X$7,'实盘净值数据(iFinD公式)'!$B6:$X6/'实盘净值数据(iFinD公式)'!$B$8:$X$8,'实盘净值数据(iFinD公式)'!$B7:$X7/'实盘净值数据(iFinD公式)'!$B6:$X6)/SUMPRODUCT(实盘持仓初始配置!$B$7:$X$7,'实盘净值数据(iFinD公式)'!$B6:$X6/'实盘净值数据(iFinD公式)'!$B$8:$X$8))*(1-实盘持仓初始配置!$Z$7)^(('实盘净值数据(iFinD公式)'!$A7-'实盘净值数据(iFinD公式)'!$A6)/365)-1)</x:f>
        <x:v>#NAME?</x:v>
      </x:c>
      <x:c r="M7" s="110" t="e">
        <x:f aca="0">IF(K7="","",K7/MAX(K$5:K7)-1)</x:f>
        <x:v>#NAME?</x:v>
      </x:c>
      <x:c r="N7" s="106" t="e">
        <x:f aca="0">IF(OR((ROW()-1)&lt;5,'实盘净值数据(iFinD公式)'!$A7="",'实盘净值数据(iFinD公式)'!$B7=""),"",SUMPRODUCT(实盘持仓初始配置!$B$8:$X$8,'实盘净值数据(iFinD公式)'!$B7:$X7/'实盘净值数据(iFinD公式)'!$B$5:$X$5)*(1-实盘持仓初始配置!$Z$8)^(('实盘净值数据(iFinD公式)'!$A7-'实盘净值数据(iFinD公式)'!$A$5)/365))</x:f>
        <x:v>#NAME?</x:v>
      </x:c>
      <x:c r="O7" s="110" t="e">
        <x:f aca="0">IF(OR(N6="",'实盘净值数据(iFinD公式)'!$A7="",'实盘净值数据(iFinD公式)'!$B7=""),"",(SUMPRODUCT(实盘持仓初始配置!$B$8:$X$8,'实盘净值数据(iFinD公式)'!$B6:$X6/'实盘净值数据(iFinD公式)'!$B$5:$X$5,'实盘净值数据(iFinD公式)'!$B7:$X7/'实盘净值数据(iFinD公式)'!$B6:$X6)/SUMPRODUCT(实盘持仓初始配置!$B$8:$X$8,'实盘净值数据(iFinD公式)'!$B6:$X6/'实盘净值数据(iFinD公式)'!$B$5:$X$5))*(1-实盘持仓初始配置!$Z$8)^(('实盘净值数据(iFinD公式)'!$A7-'实盘净值数据(iFinD公式)'!$A6)/365)-1)</x:f>
        <x:v>#NAME?</x:v>
      </x:c>
      <x:c r="P7" s="110" t="e">
        <x:f aca="0">IF(N7="","",N7/MAX(N$5:N7)-1)</x:f>
        <x:v>#NAME?</x:v>
      </x:c>
      <x:c r="Q7" s="106" t="e">
        <x:f aca="0">IF(OR((ROW()-1)&lt;8,'实盘净值数据(iFinD公式)'!$A7="",'实盘净值数据(iFinD公式)'!$B7=""),"",SUMPRODUCT(实盘持仓初始配置!$B$9:$X$9,'实盘净值数据(iFinD公式)'!$B7:$X7/'实盘净值数据(iFinD公式)'!$B$8:$X$8)*(1-实盘持仓初始配置!$Z$9)^(('实盘净值数据(iFinD公式)'!$A7-'实盘净值数据(iFinD公式)'!$A$8)/365))</x:f>
        <x:v>#NAME?</x:v>
      </x:c>
      <x:c r="R7" s="110" t="e">
        <x:f aca="0">IF(OR(Q6="",'实盘净值数据(iFinD公式)'!$A7="",'实盘净值数据(iFinD公式)'!$B7=""),"",(SUMPRODUCT(实盘持仓初始配置!$B$9:$X$9,'实盘净值数据(iFinD公式)'!$B6:$X6/'实盘净值数据(iFinD公式)'!$B$8:$X$8,'实盘净值数据(iFinD公式)'!$B7:$X7/'实盘净值数据(iFinD公式)'!$B6:$X6)/SUMPRODUCT(实盘持仓初始配置!$B$9:$X$9,'实盘净值数据(iFinD公式)'!$B6:$X6/'实盘净值数据(iFinD公式)'!$B$8:$X$8))*(1-实盘持仓初始配置!$Z$9)^(('实盘净值数据(iFinD公式)'!$A7-'实盘净值数据(iFinD公式)'!$A6)/365)-1)</x:f>
        <x:v>#NAME?</x:v>
      </x:c>
      <x:c r="S7" s="110" t="e">
        <x:f aca="0">IF(Q7="","",Q7/MAX(Q$5:Q7)-1)</x:f>
        <x:v>#NAME?</x:v>
      </x:c>
      <x:c r="U7" s="111"/>
      <x:c r="V7" s="112"/>
    </x:row>
    <x:row r="8" ht="13.5" hidden="0">
      <x:c r="A8" s="109" t="n">
        <x:f aca="0">IF('实盘净值数据(iFinD公式)'!A8="","",'实盘净值数据(iFinD公式)'!A8)</x:f>
        <x:v>46197</x:v>
      </x:c>
      <x:c r="B8" s="106" t="e">
        <x:f aca="0">IF(OR((ROW()-1)&lt;6,'实盘净值数据(iFinD公式)'!$A8="",'实盘净值数据(iFinD公式)'!$B8=""),"",SUMPRODUCT(实盘持仓初始配置!$B$4:$X$4,'实盘净值数据(iFinD公式)'!$B8:$X8/'实盘净值数据(iFinD公式)'!$B$6:$X$6)*(1-实盘持仓初始配置!$Z$4)^(('实盘净值数据(iFinD公式)'!$A8-'实盘净值数据(iFinD公式)'!$A$6)/365))</x:f>
        <x:v>#NAME?</x:v>
      </x:c>
      <x:c r="C8" s="110" t="e">
        <x:f aca="0">IF(OR(B7="",'实盘净值数据(iFinD公式)'!$A8="",'实盘净值数据(iFinD公式)'!$B8=""),"",(SUMPRODUCT(实盘持仓初始配置!$B$4:$X$4,'实盘净值数据(iFinD公式)'!$B7:$X7/'实盘净值数据(iFinD公式)'!$B$6:$X$6,'实盘净值数据(iFinD公式)'!$B8:$X8/'实盘净值数据(iFinD公式)'!$B7:$X7)/SUMPRODUCT(实盘持仓初始配置!$B$4:$X$4,'实盘净值数据(iFinD公式)'!$B7:$X7/'实盘净值数据(iFinD公式)'!$B$6:$X$6))*(1-实盘持仓初始配置!$Z$4)^(('实盘净值数据(iFinD公式)'!$A8-'实盘净值数据(iFinD公式)'!$A7)/365)-1)</x:f>
        <x:v>#NAME?</x:v>
      </x:c>
      <x:c r="D8" s="110" t="e">
        <x:f aca="0">IF(B8="","",B8/MAX(B$5:B8)-1)</x:f>
        <x:v>#NAME?</x:v>
      </x:c>
      <x:c r="E8" s="106" t="e">
        <x:f aca="0">IF(OR((ROW()-1)&lt;5,'实盘净值数据(iFinD公式)'!$A8="",'实盘净值数据(iFinD公式)'!$B8=""),"",SUMPRODUCT(实盘持仓初始配置!$B$5:$X$5,'实盘净值数据(iFinD公式)'!$B8:$X8/'实盘净值数据(iFinD公式)'!$B$5:$X$5)*(1-实盘持仓初始配置!$Z$5)^(('实盘净值数据(iFinD公式)'!$A8-'实盘净值数据(iFinD公式)'!$A$5)/365))</x:f>
        <x:v>#NAME?</x:v>
      </x:c>
      <x:c r="F8" s="110" t="e">
        <x:f aca="0">IF(OR(E7="",'实盘净值数据(iFinD公式)'!$A8="",'实盘净值数据(iFinD公式)'!$B8=""),"",(SUMPRODUCT(实盘持仓初始配置!$B$5:$X$5,'实盘净值数据(iFinD公式)'!$B7:$X7/'实盘净值数据(iFinD公式)'!$B$5:$X$5,'实盘净值数据(iFinD公式)'!$B8:$X8/'实盘净值数据(iFinD公式)'!$B7:$X7)/SUMPRODUCT(实盘持仓初始配置!$B$5:$X$5,'实盘净值数据(iFinD公式)'!$B7:$X7/'实盘净值数据(iFinD公式)'!$B$5:$X$5))*(1-实盘持仓初始配置!$Z$5)^(('实盘净值数据(iFinD公式)'!$A8-'实盘净值数据(iFinD公式)'!$A7)/365)-1)</x:f>
        <x:v>#NAME?</x:v>
      </x:c>
      <x:c r="G8" s="110" t="e">
        <x:f aca="0">IF(E8="","",E8/MAX(E$5:E8)-1)</x:f>
        <x:v>#NAME?</x:v>
      </x:c>
      <x:c r="H8" s="106" t="e">
        <x:f aca="0">IF(OR((ROW()-1)&lt;7,'实盘净值数据(iFinD公式)'!$A8="",'实盘净值数据(iFinD公式)'!$B8=""),"",SUMPRODUCT(实盘持仓初始配置!$B$6:$X$6,'实盘净值数据(iFinD公式)'!$B8:$X8/'实盘净值数据(iFinD公式)'!$B$7:$X$7)*(1-实盘持仓初始配置!$Z$6)^(('实盘净值数据(iFinD公式)'!$A8-'实盘净值数据(iFinD公式)'!$A$7)/365))</x:f>
        <x:v>#NAME?</x:v>
      </x:c>
      <x:c r="I8" s="110" t="e">
        <x:f aca="0">IF(OR(H7="",'实盘净值数据(iFinD公式)'!$A8="",'实盘净值数据(iFinD公式)'!$B8=""),"",(SUMPRODUCT(实盘持仓初始配置!$B$6:$X$6,'实盘净值数据(iFinD公式)'!$B7:$X7/'实盘净值数据(iFinD公式)'!$B$7:$X$7,'实盘净值数据(iFinD公式)'!$B8:$X8/'实盘净值数据(iFinD公式)'!$B7:$X7)/SUMPRODUCT(实盘持仓初始配置!$B$6:$X$6,'实盘净值数据(iFinD公式)'!$B7:$X7/'实盘净值数据(iFinD公式)'!$B$7:$X$7))*(1-实盘持仓初始配置!$Z$6)^(('实盘净值数据(iFinD公式)'!$A8-'实盘净值数据(iFinD公式)'!$A7)/365)-1)</x:f>
        <x:v>#NAME?</x:v>
      </x:c>
      <x:c r="J8" s="110" t="e">
        <x:f aca="0">IF(H8="","",H8/MAX(H$5:H8)-1)</x:f>
        <x:v>#NAME?</x:v>
      </x:c>
      <x:c r="K8" s="106" t="n">
        <x:v>1</x:v>
      </x:c>
      <x:c r="L8" s="110" t="e">
        <x:f aca="0">IF(OR(K7="",'实盘净值数据(iFinD公式)'!$A8="",'实盘净值数据(iFinD公式)'!$B8=""),"",(SUMPRODUCT(实盘持仓初始配置!$B$7:$X$7,'实盘净值数据(iFinD公式)'!$B7:$X7/'实盘净值数据(iFinD公式)'!$B$8:$X$8,'实盘净值数据(iFinD公式)'!$B8:$X8/'实盘净值数据(iFinD公式)'!$B7:$X7)/SUMPRODUCT(实盘持仓初始配置!$B$7:$X$7,'实盘净值数据(iFinD公式)'!$B7:$X7/'实盘净值数据(iFinD公式)'!$B$8:$X$8))*(1-实盘持仓初始配置!$Z$7)^(('实盘净值数据(iFinD公式)'!$A8-'实盘净值数据(iFinD公式)'!$A7)/365)-1)</x:f>
        <x:v>#NAME?</x:v>
      </x:c>
      <x:c r="M8" s="110" t="e">
        <x:f aca="0">IF(K8="","",K8/MAX(K$5:K8)-1)</x:f>
        <x:v>#NAME?</x:v>
      </x:c>
      <x:c r="N8" s="106" t="e">
        <x:f aca="0">IF(OR((ROW()-1)&lt;5,'实盘净值数据(iFinD公式)'!$A8="",'实盘净值数据(iFinD公式)'!$B8=""),"",SUMPRODUCT(实盘持仓初始配置!$B$8:$X$8,'实盘净值数据(iFinD公式)'!$B8:$X8/'实盘净值数据(iFinD公式)'!$B$5:$X$5)*(1-实盘持仓初始配置!$Z$8)^(('实盘净值数据(iFinD公式)'!$A8-'实盘净值数据(iFinD公式)'!$A$5)/365))</x:f>
        <x:v>#NAME?</x:v>
      </x:c>
      <x:c r="O8" s="110" t="e">
        <x:f aca="0">IF(OR(N7="",'实盘净值数据(iFinD公式)'!$A8="",'实盘净值数据(iFinD公式)'!$B8=""),"",(SUMPRODUCT(实盘持仓初始配置!$B$8:$X$8,'实盘净值数据(iFinD公式)'!$B7:$X7/'实盘净值数据(iFinD公式)'!$B$5:$X$5,'实盘净值数据(iFinD公式)'!$B8:$X8/'实盘净值数据(iFinD公式)'!$B7:$X7)/SUMPRODUCT(实盘持仓初始配置!$B$8:$X$8,'实盘净值数据(iFinD公式)'!$B7:$X7/'实盘净值数据(iFinD公式)'!$B$5:$X$5))*(1-实盘持仓初始配置!$Z$8)^(('实盘净值数据(iFinD公式)'!$A8-'实盘净值数据(iFinD公式)'!$A7)/365)-1)</x:f>
        <x:v>#NAME?</x:v>
      </x:c>
      <x:c r="P8" s="110" t="e">
        <x:f aca="0">IF(N8="","",N8/MAX(N$5:N8)-1)</x:f>
        <x:v>#NAME?</x:v>
      </x:c>
      <x:c r="Q8" s="106" t="n">
        <x:v>1</x:v>
      </x:c>
      <x:c r="R8" s="110" t="e">
        <x:f aca="0">IF(OR(Q7="",'实盘净值数据(iFinD公式)'!$A8="",'实盘净值数据(iFinD公式)'!$B8=""),"",(SUMPRODUCT(实盘持仓初始配置!$B$9:$X$9,'实盘净值数据(iFinD公式)'!$B7:$X7/'实盘净值数据(iFinD公式)'!$B$8:$X$8,'实盘净值数据(iFinD公式)'!$B8:$X8/'实盘净值数据(iFinD公式)'!$B7:$X7)/SUMPRODUCT(实盘持仓初始配置!$B$9:$X$9,'实盘净值数据(iFinD公式)'!$B7:$X7/'实盘净值数据(iFinD公式)'!$B$8:$X$8))*(1-实盘持仓初始配置!$Z$9)^(('实盘净值数据(iFinD公式)'!$A8-'实盘净值数据(iFinD公式)'!$A7)/365)-1)</x:f>
        <x:v>#NAME?</x:v>
      </x:c>
      <x:c r="S8" s="110" t="e">
        <x:f aca="0">IF(Q8="","",Q8/MAX(Q$5:Q8)-1)</x:f>
        <x:v>#NAME?</x:v>
      </x:c>
      <x:c r="U8" s="111"/>
      <x:c r="V8" s="112"/>
    </x:row>
    <x:row r="9" ht="13.5" hidden="0">
      <x:c r="A9" s="109" t="n">
        <x:f aca="0">IF('实盘净值数据(iFinD公式)'!A9="","",'实盘净值数据(iFinD公式)'!A9)</x:f>
        <x:v>46198</x:v>
      </x:c>
      <x:c r="B9" s="106" t="e">
        <x:f aca="0">IF(OR((ROW()-1)&lt;6,'实盘净值数据(iFinD公式)'!$A9="",'实盘净值数据(iFinD公式)'!$B9=""),"",SUMPRODUCT(实盘持仓初始配置!$B$4:$X$4,'实盘净值数据(iFinD公式)'!$B9:$X9/'实盘净值数据(iFinD公式)'!$B$6:$X$6)*(1-实盘持仓初始配置!$Z$4)^(('实盘净值数据(iFinD公式)'!$A9-'实盘净值数据(iFinD公式)'!$A$6)/365))</x:f>
        <x:v>#NAME?</x:v>
      </x:c>
      <x:c r="C9" s="110" t="e">
        <x:f aca="0">IF(OR(B8="",'实盘净值数据(iFinD公式)'!$A9="",'实盘净值数据(iFinD公式)'!$B9=""),"",(SUMPRODUCT(实盘持仓初始配置!$B$4:$X$4,'实盘净值数据(iFinD公式)'!$B8:$X8/'实盘净值数据(iFinD公式)'!$B$6:$X$6,'实盘净值数据(iFinD公式)'!$B9:$X9/'实盘净值数据(iFinD公式)'!$B8:$X8)/SUMPRODUCT(实盘持仓初始配置!$B$4:$X$4,'实盘净值数据(iFinD公式)'!$B8:$X8/'实盘净值数据(iFinD公式)'!$B$6:$X$6))*(1-实盘持仓初始配置!$Z$4)^(('实盘净值数据(iFinD公式)'!$A9-'实盘净值数据(iFinD公式)'!$A8)/365)-1)</x:f>
        <x:v>#NAME?</x:v>
      </x:c>
      <x:c r="D9" s="110" t="e">
        <x:f aca="0">IF(B9="","",B9/MAX(B$5:B9)-1)</x:f>
        <x:v>#NAME?</x:v>
      </x:c>
      <x:c r="E9" s="106" t="e">
        <x:f aca="0">IF(OR((ROW()-1)&lt;5,'实盘净值数据(iFinD公式)'!$A9="",'实盘净值数据(iFinD公式)'!$B9=""),"",SUMPRODUCT(实盘持仓初始配置!$B$5:$X$5,'实盘净值数据(iFinD公式)'!$B9:$X9/'实盘净值数据(iFinD公式)'!$B$5:$X$5)*(1-实盘持仓初始配置!$Z$5)^(('实盘净值数据(iFinD公式)'!$A9-'实盘净值数据(iFinD公式)'!$A$5)/365))</x:f>
        <x:v>#NAME?</x:v>
      </x:c>
      <x:c r="F9" s="110" t="e">
        <x:f aca="0">IF(OR(E8="",'实盘净值数据(iFinD公式)'!$A9="",'实盘净值数据(iFinD公式)'!$B9=""),"",(SUMPRODUCT(实盘持仓初始配置!$B$5:$X$5,'实盘净值数据(iFinD公式)'!$B8:$X8/'实盘净值数据(iFinD公式)'!$B$5:$X$5,'实盘净值数据(iFinD公式)'!$B9:$X9/'实盘净值数据(iFinD公式)'!$B8:$X8)/SUMPRODUCT(实盘持仓初始配置!$B$5:$X$5,'实盘净值数据(iFinD公式)'!$B8:$X8/'实盘净值数据(iFinD公式)'!$B$5:$X$5))*(1-实盘持仓初始配置!$Z$5)^(('实盘净值数据(iFinD公式)'!$A9-'实盘净值数据(iFinD公式)'!$A8)/365)-1)</x:f>
        <x:v>#NAME?</x:v>
      </x:c>
      <x:c r="G9" s="110" t="e">
        <x:f aca="0">IF(E9="","",E9/MAX(E$5:E9)-1)</x:f>
        <x:v>#NAME?</x:v>
      </x:c>
      <x:c r="H9" s="106" t="e">
        <x:f aca="0">IF(OR((ROW()-1)&lt;7,'实盘净值数据(iFinD公式)'!$A9="",'实盘净值数据(iFinD公式)'!$B9=""),"",SUMPRODUCT(实盘持仓初始配置!$B$6:$X$6,'实盘净值数据(iFinD公式)'!$B9:$X9/'实盘净值数据(iFinD公式)'!$B$7:$X$7)*(1-实盘持仓初始配置!$Z$6)^(('实盘净值数据(iFinD公式)'!$A9-'实盘净值数据(iFinD公式)'!$A$7)/365))</x:f>
        <x:v>#NAME?</x:v>
      </x:c>
      <x:c r="I9" s="110" t="e">
        <x:f aca="0">IF(OR(H8="",'实盘净值数据(iFinD公式)'!$A9="",'实盘净值数据(iFinD公式)'!$B9=""),"",(SUMPRODUCT(实盘持仓初始配置!$B$6:$X$6,'实盘净值数据(iFinD公式)'!$B8:$X8/'实盘净值数据(iFinD公式)'!$B$7:$X$7,'实盘净值数据(iFinD公式)'!$B9:$X9/'实盘净值数据(iFinD公式)'!$B8:$X8)/SUMPRODUCT(实盘持仓初始配置!$B$6:$X$6,'实盘净值数据(iFinD公式)'!$B8:$X8/'实盘净值数据(iFinD公式)'!$B$7:$X$7))*(1-实盘持仓初始配置!$Z$6)^(('实盘净值数据(iFinD公式)'!$A9-'实盘净值数据(iFinD公式)'!$A8)/365)-1)</x:f>
        <x:v>#NAME?</x:v>
      </x:c>
      <x:c r="J9" s="110" t="e">
        <x:f aca="0">IF(H9="","",H9/MAX(H$5:H9)-1)</x:f>
        <x:v>#NAME?</x:v>
      </x:c>
      <x:c r="K9" s="106" t="e">
        <x:f aca="0">IF(OR((ROW()-1)&lt;8,'实盘净值数据(iFinD公式)'!$A9="",'实盘净值数据(iFinD公式)'!$B9=""),"",SUMPRODUCT(实盘持仓初始配置!$B$7:$X$7,'实盘净值数据(iFinD公式)'!$B9:$X9/'实盘净值数据(iFinD公式)'!$B$8:$X$8)*(1-实盘持仓初始配置!$Z$7)^(('实盘净值数据(iFinD公式)'!$A9-'实盘净值数据(iFinD公式)'!$A$8)/365))</x:f>
        <x:v>#NAME?</x:v>
      </x:c>
      <x:c r="L9" s="110" t="e">
        <x:f aca="0">IF(OR(K8="",'实盘净值数据(iFinD公式)'!$A9="",'实盘净值数据(iFinD公式)'!$B9=""),"",(SUMPRODUCT(实盘持仓初始配置!$B$7:$X$7,'实盘净值数据(iFinD公式)'!$B8:$X8/'实盘净值数据(iFinD公式)'!$B$8:$X$8,'实盘净值数据(iFinD公式)'!$B9:$X9/'实盘净值数据(iFinD公式)'!$B8:$X8)/SUMPRODUCT(实盘持仓初始配置!$B$7:$X$7,'实盘净值数据(iFinD公式)'!$B8:$X8/'实盘净值数据(iFinD公式)'!$B$8:$X$8))*(1-实盘持仓初始配置!$Z$7)^(('实盘净值数据(iFinD公式)'!$A9-'实盘净值数据(iFinD公式)'!$A8)/365)-1)</x:f>
        <x:v>#NAME?</x:v>
      </x:c>
      <x:c r="M9" s="110" t="e">
        <x:f aca="0">IF(K9="","",K9/MAX(K$5:K9)-1)</x:f>
        <x:v>#NAME?</x:v>
      </x:c>
      <x:c r="N9" s="106" t="e">
        <x:f aca="0">IF(OR((ROW()-1)&lt;5,'实盘净值数据(iFinD公式)'!$A9="",'实盘净值数据(iFinD公式)'!$B9=""),"",SUMPRODUCT(实盘持仓初始配置!$B$8:$X$8,'实盘净值数据(iFinD公式)'!$B9:$X9/'实盘净值数据(iFinD公式)'!$B$5:$X$5)*(1-实盘持仓初始配置!$Z$8)^(('实盘净值数据(iFinD公式)'!$A9-'实盘净值数据(iFinD公式)'!$A$5)/365))</x:f>
        <x:v>#NAME?</x:v>
      </x:c>
      <x:c r="O9" s="110" t="e">
        <x:f aca="0">IF(OR(N8="",'实盘净值数据(iFinD公式)'!$A9="",'实盘净值数据(iFinD公式)'!$B9=""),"",(SUMPRODUCT(实盘持仓初始配置!$B$8:$X$8,'实盘净值数据(iFinD公式)'!$B8:$X8/'实盘净值数据(iFinD公式)'!$B$5:$X$5,'实盘净值数据(iFinD公式)'!$B9:$X9/'实盘净值数据(iFinD公式)'!$B8:$X8)/SUMPRODUCT(实盘持仓初始配置!$B$8:$X$8,'实盘净值数据(iFinD公式)'!$B8:$X8/'实盘净值数据(iFinD公式)'!$B$5:$X$5))*(1-实盘持仓初始配置!$Z$8)^(('实盘净值数据(iFinD公式)'!$A9-'实盘净值数据(iFinD公式)'!$A8)/365)-1)</x:f>
        <x:v>#NAME?</x:v>
      </x:c>
      <x:c r="P9" s="110" t="e">
        <x:f aca="0">IF(N9="","",N9/MAX(N$5:N9)-1)</x:f>
        <x:v>#NAME?</x:v>
      </x:c>
      <x:c r="Q9" s="106" t="e">
        <x:f aca="0">IF(OR((ROW()-1)&lt;8,'实盘净值数据(iFinD公式)'!$A9="",'实盘净值数据(iFinD公式)'!$B9=""),"",SUMPRODUCT(实盘持仓初始配置!$B$9:$X$9,'实盘净值数据(iFinD公式)'!$B9:$X9/'实盘净值数据(iFinD公式)'!$B$8:$X$8)*(1-实盘持仓初始配置!$Z$9)^(('实盘净值数据(iFinD公式)'!$A9-'实盘净值数据(iFinD公式)'!$A$8)/365))</x:f>
        <x:v>#NAME?</x:v>
      </x:c>
      <x:c r="R9" s="110" t="e">
        <x:f aca="0">IF(OR(Q8="",'实盘净值数据(iFinD公式)'!$A9="",'实盘净值数据(iFinD公式)'!$B9=""),"",(SUMPRODUCT(实盘持仓初始配置!$B$9:$X$9,'实盘净值数据(iFinD公式)'!$B8:$X8/'实盘净值数据(iFinD公式)'!$B$8:$X$8,'实盘净值数据(iFinD公式)'!$B9:$X9/'实盘净值数据(iFinD公式)'!$B8:$X8)/SUMPRODUCT(实盘持仓初始配置!$B$9:$X$9,'实盘净值数据(iFinD公式)'!$B8:$X8/'实盘净值数据(iFinD公式)'!$B$8:$X$8))*(1-实盘持仓初始配置!$Z$9)^(('实盘净值数据(iFinD公式)'!$A9-'实盘净值数据(iFinD公式)'!$A8)/365)-1)</x:f>
        <x:v>#NAME?</x:v>
      </x:c>
      <x:c r="S9" s="110" t="e">
        <x:f aca="0">IF(Q9="","",Q9/MAX(Q$5:Q9)-1)</x:f>
        <x:v>#NAME?</x:v>
      </x:c>
      <x:c r="U9" s="111"/>
      <x:c r="V9" s="112"/>
    </x:row>
    <x:row r="10" ht="13.5" hidden="0">
      <x:c r="A10" s="109" t="n">
        <x:f aca="0">IF('实盘净值数据(iFinD公式)'!A10="","",'实盘净值数据(iFinD公式)'!A10)</x:f>
        <x:v>46199</x:v>
      </x:c>
      <x:c r="B10" s="106" t="e">
        <x:f aca="0">IF(OR((ROW()-1)&lt;6,'实盘净值数据(iFinD公式)'!$A10="",'实盘净值数据(iFinD公式)'!$B10=""),"",SUMPRODUCT(实盘持仓初始配置!$B$4:$X$4,'实盘净值数据(iFinD公式)'!$B10:$X10/'实盘净值数据(iFinD公式)'!$B$6:$X$6)*(1-实盘持仓初始配置!$Z$4)^(('实盘净值数据(iFinD公式)'!$A10-'实盘净值数据(iFinD公式)'!$A$6)/365))</x:f>
        <x:v>#NAME?</x:v>
      </x:c>
      <x:c r="C10" s="110" t="e">
        <x:f aca="0">IF(OR(B9="",'实盘净值数据(iFinD公式)'!$A10="",'实盘净值数据(iFinD公式)'!$B10=""),"",(SUMPRODUCT(实盘持仓初始配置!$B$4:$X$4,'实盘净值数据(iFinD公式)'!$B9:$X9/'实盘净值数据(iFinD公式)'!$B$6:$X$6,'实盘净值数据(iFinD公式)'!$B10:$X10/'实盘净值数据(iFinD公式)'!$B9:$X9)/SUMPRODUCT(实盘持仓初始配置!$B$4:$X$4,'实盘净值数据(iFinD公式)'!$B9:$X9/'实盘净值数据(iFinD公式)'!$B$6:$X$6))*(1-实盘持仓初始配置!$Z$4)^(('实盘净值数据(iFinD公式)'!$A10-'实盘净值数据(iFinD公式)'!$A9)/365)-1)</x:f>
        <x:v>#NAME?</x:v>
      </x:c>
      <x:c r="D10" s="110" t="e">
        <x:f aca="0">IF(B10="","",B10/MAX(B$5:B10)-1)</x:f>
        <x:v>#NAME?</x:v>
      </x:c>
      <x:c r="E10" s="106" t="e">
        <x:f aca="0">IF(OR((ROW()-1)&lt;5,'实盘净值数据(iFinD公式)'!$A10="",'实盘净值数据(iFinD公式)'!$B10=""),"",SUMPRODUCT(实盘持仓初始配置!$B$5:$X$5,'实盘净值数据(iFinD公式)'!$B10:$X10/'实盘净值数据(iFinD公式)'!$B$5:$X$5)*(1-实盘持仓初始配置!$Z$5)^(('实盘净值数据(iFinD公式)'!$A10-'实盘净值数据(iFinD公式)'!$A$5)/365))</x:f>
        <x:v>#NAME?</x:v>
      </x:c>
      <x:c r="F10" s="110" t="e">
        <x:f aca="0">IF(OR(E9="",'实盘净值数据(iFinD公式)'!$A10="",'实盘净值数据(iFinD公式)'!$B10=""),"",(SUMPRODUCT(实盘持仓初始配置!$B$5:$X$5,'实盘净值数据(iFinD公式)'!$B9:$X9/'实盘净值数据(iFinD公式)'!$B$5:$X$5,'实盘净值数据(iFinD公式)'!$B10:$X10/'实盘净值数据(iFinD公式)'!$B9:$X9)/SUMPRODUCT(实盘持仓初始配置!$B$5:$X$5,'实盘净值数据(iFinD公式)'!$B9:$X9/'实盘净值数据(iFinD公式)'!$B$5:$X$5))*(1-实盘持仓初始配置!$Z$5)^(('实盘净值数据(iFinD公式)'!$A10-'实盘净值数据(iFinD公式)'!$A9)/365)-1)</x:f>
        <x:v>#NAME?</x:v>
      </x:c>
      <x:c r="G10" s="110" t="e">
        <x:f aca="0">IF(E10="","",E10/MAX(E$5:E10)-1)</x:f>
        <x:v>#NAME?</x:v>
      </x:c>
      <x:c r="H10" s="106" t="e">
        <x:f aca="0">IF(OR((ROW()-1)&lt;7,'实盘净值数据(iFinD公式)'!$A10="",'实盘净值数据(iFinD公式)'!$B10=""),"",SUMPRODUCT(实盘持仓初始配置!$B$6:$X$6,'实盘净值数据(iFinD公式)'!$B10:$X10/'实盘净值数据(iFinD公式)'!$B$7:$X$7)*(1-实盘持仓初始配置!$Z$6)^(('实盘净值数据(iFinD公式)'!$A10-'实盘净值数据(iFinD公式)'!$A$7)/365))</x:f>
        <x:v>#NAME?</x:v>
      </x:c>
      <x:c r="I10" s="110" t="e">
        <x:f aca="0">IF(OR(H9="",'实盘净值数据(iFinD公式)'!$A10="",'实盘净值数据(iFinD公式)'!$B10=""),"",(SUMPRODUCT(实盘持仓初始配置!$B$6:$X$6,'实盘净值数据(iFinD公式)'!$B9:$X9/'实盘净值数据(iFinD公式)'!$B$7:$X$7,'实盘净值数据(iFinD公式)'!$B10:$X10/'实盘净值数据(iFinD公式)'!$B9:$X9)/SUMPRODUCT(实盘持仓初始配置!$B$6:$X$6,'实盘净值数据(iFinD公式)'!$B9:$X9/'实盘净值数据(iFinD公式)'!$B$7:$X$7))*(1-实盘持仓初始配置!$Z$6)^(('实盘净值数据(iFinD公式)'!$A10-'实盘净值数据(iFinD公式)'!$A9)/365)-1)</x:f>
        <x:v>#NAME?</x:v>
      </x:c>
      <x:c r="J10" s="110" t="e">
        <x:f aca="0">IF(H10="","",H10/MAX(H$5:H10)-1)</x:f>
        <x:v>#NAME?</x:v>
      </x:c>
      <x:c r="K10" s="106" t="e">
        <x:f aca="0">IF(OR((ROW()-1)&lt;8,'实盘净值数据(iFinD公式)'!$A10="",'实盘净值数据(iFinD公式)'!$B10=""),"",SUMPRODUCT(实盘持仓初始配置!$B$7:$X$7,'实盘净值数据(iFinD公式)'!$B10:$X10/'实盘净值数据(iFinD公式)'!$B$8:$X$8)*(1-实盘持仓初始配置!$Z$7)^(('实盘净值数据(iFinD公式)'!$A10-'实盘净值数据(iFinD公式)'!$A$8)/365))</x:f>
        <x:v>#NAME?</x:v>
      </x:c>
      <x:c r="L10" s="110" t="e">
        <x:f aca="0">IF(OR(K9="",'实盘净值数据(iFinD公式)'!$A10="",'实盘净值数据(iFinD公式)'!$B10=""),"",(SUMPRODUCT(实盘持仓初始配置!$B$7:$X$7,'实盘净值数据(iFinD公式)'!$B9:$X9/'实盘净值数据(iFinD公式)'!$B$8:$X$8,'实盘净值数据(iFinD公式)'!$B10:$X10/'实盘净值数据(iFinD公式)'!$B9:$X9)/SUMPRODUCT(实盘持仓初始配置!$B$7:$X$7,'实盘净值数据(iFinD公式)'!$B9:$X9/'实盘净值数据(iFinD公式)'!$B$8:$X$8))*(1-实盘持仓初始配置!$Z$7)^(('实盘净值数据(iFinD公式)'!$A10-'实盘净值数据(iFinD公式)'!$A9)/365)-1)</x:f>
        <x:v>#NAME?</x:v>
      </x:c>
      <x:c r="M10" s="110" t="e">
        <x:f aca="0">IF(K10="","",K10/MAX(K$5:K10)-1)</x:f>
        <x:v>#NAME?</x:v>
      </x:c>
      <x:c r="N10" s="106" t="e">
        <x:f aca="0">IF(OR((ROW()-1)&lt;5,'实盘净值数据(iFinD公式)'!$A10="",'实盘净值数据(iFinD公式)'!$B10=""),"",SUMPRODUCT(实盘持仓初始配置!$B$8:$X$8,'实盘净值数据(iFinD公式)'!$B10:$X10/'实盘净值数据(iFinD公式)'!$B$5:$X$5)*(1-实盘持仓初始配置!$Z$8)^(('实盘净值数据(iFinD公式)'!$A10-'实盘净值数据(iFinD公式)'!$A$5)/365))</x:f>
        <x:v>#NAME?</x:v>
      </x:c>
      <x:c r="O10" s="110" t="e">
        <x:f aca="0">IF(OR(N9="",'实盘净值数据(iFinD公式)'!$A10="",'实盘净值数据(iFinD公式)'!$B10=""),"",(SUMPRODUCT(实盘持仓初始配置!$B$8:$X$8,'实盘净值数据(iFinD公式)'!$B9:$X9/'实盘净值数据(iFinD公式)'!$B$5:$X$5,'实盘净值数据(iFinD公式)'!$B10:$X10/'实盘净值数据(iFinD公式)'!$B9:$X9)/SUMPRODUCT(实盘持仓初始配置!$B$8:$X$8,'实盘净值数据(iFinD公式)'!$B9:$X9/'实盘净值数据(iFinD公式)'!$B$5:$X$5))*(1-实盘持仓初始配置!$Z$8)^(('实盘净值数据(iFinD公式)'!$A10-'实盘净值数据(iFinD公式)'!$A9)/365)-1)</x:f>
        <x:v>#NAME?</x:v>
      </x:c>
      <x:c r="P10" s="110" t="e">
        <x:f aca="0">IF(N10="","",N10/MAX(N$5:N10)-1)</x:f>
        <x:v>#NAME?</x:v>
      </x:c>
      <x:c r="Q10" s="106" t="e">
        <x:f aca="0">IF(OR((ROW()-1)&lt;8,'实盘净值数据(iFinD公式)'!$A10="",'实盘净值数据(iFinD公式)'!$B10=""),"",SUMPRODUCT(实盘持仓初始配置!$B$9:$X$9,'实盘净值数据(iFinD公式)'!$B10:$X10/'实盘净值数据(iFinD公式)'!$B$8:$X$8)*(1-实盘持仓初始配置!$Z$9)^(('实盘净值数据(iFinD公式)'!$A10-'实盘净值数据(iFinD公式)'!$A$8)/365))</x:f>
        <x:v>#NAME?</x:v>
      </x:c>
      <x:c r="R10" s="110" t="e">
        <x:f aca="0">IF(OR(Q9="",'实盘净值数据(iFinD公式)'!$A10="",'实盘净值数据(iFinD公式)'!$B10=""),"",(SUMPRODUCT(实盘持仓初始配置!$B$9:$X$9,'实盘净值数据(iFinD公式)'!$B9:$X9/'实盘净值数据(iFinD公式)'!$B$8:$X$8,'实盘净值数据(iFinD公式)'!$B10:$X10/'实盘净值数据(iFinD公式)'!$B9:$X9)/SUMPRODUCT(实盘持仓初始配置!$B$9:$X$9,'实盘净值数据(iFinD公式)'!$B9:$X9/'实盘净值数据(iFinD公式)'!$B$8:$X$8))*(1-实盘持仓初始配置!$Z$9)^(('实盘净值数据(iFinD公式)'!$A10-'实盘净值数据(iFinD公式)'!$A9)/365)-1)</x:f>
        <x:v>#NAME?</x:v>
      </x:c>
      <x:c r="S10" s="110" t="e">
        <x:f aca="0">IF(Q10="","",Q10/MAX(Q$5:Q10)-1)</x:f>
        <x:v>#NAME?</x:v>
      </x:c>
      <x:c r="U10" s="111"/>
      <x:c r="V10" s="112"/>
    </x:row>
    <x:row r="11" ht="13.5" hidden="0">
      <x:c r="A11" s="109" t="n">
        <x:f aca="0">IF('实盘净值数据(iFinD公式)'!A11="","",'实盘净值数据(iFinD公式)'!A11)</x:f>
        <x:v>46202</x:v>
      </x:c>
      <x:c r="B11" s="106" t="e">
        <x:f aca="0">IF(OR((ROW()-1)&lt;6,'实盘净值数据(iFinD公式)'!$A11="",'实盘净值数据(iFinD公式)'!$B11=""),"",SUMPRODUCT(实盘持仓初始配置!$B$4:$X$4,'实盘净值数据(iFinD公式)'!$B11:$X11/'实盘净值数据(iFinD公式)'!$B$6:$X$6)*(1-实盘持仓初始配置!$Z$4)^(('实盘净值数据(iFinD公式)'!$A11-'实盘净值数据(iFinD公式)'!$A$6)/365))</x:f>
        <x:v>#NAME?</x:v>
      </x:c>
      <x:c r="C11" s="110" t="e">
        <x:f aca="0">IF(OR(B10="",'实盘净值数据(iFinD公式)'!$A11="",'实盘净值数据(iFinD公式)'!$B11=""),"",(SUMPRODUCT(实盘持仓初始配置!$B$4:$X$4,'实盘净值数据(iFinD公式)'!$B10:$X10/'实盘净值数据(iFinD公式)'!$B$6:$X$6,'实盘净值数据(iFinD公式)'!$B11:$X11/'实盘净值数据(iFinD公式)'!$B10:$X10)/SUMPRODUCT(实盘持仓初始配置!$B$4:$X$4,'实盘净值数据(iFinD公式)'!$B10:$X10/'实盘净值数据(iFinD公式)'!$B$6:$X$6))*(1-实盘持仓初始配置!$Z$4)^(('实盘净值数据(iFinD公式)'!$A11-'实盘净值数据(iFinD公式)'!$A10)/365)-1)</x:f>
        <x:v>#NAME?</x:v>
      </x:c>
      <x:c r="D11" s="110" t="e">
        <x:f aca="0">IF(B11="","",B11/MAX(B$5:B11)-1)</x:f>
        <x:v>#NAME?</x:v>
      </x:c>
      <x:c r="E11" s="106" t="e">
        <x:f aca="0">IF(OR((ROW()-1)&lt;5,'实盘净值数据(iFinD公式)'!$A11="",'实盘净值数据(iFinD公式)'!$B11=""),"",SUMPRODUCT(实盘持仓初始配置!$B$5:$X$5,'实盘净值数据(iFinD公式)'!$B11:$X11/'实盘净值数据(iFinD公式)'!$B$5:$X$5)*(1-实盘持仓初始配置!$Z$5)^(('实盘净值数据(iFinD公式)'!$A11-'实盘净值数据(iFinD公式)'!$A$5)/365))</x:f>
        <x:v>#NAME?</x:v>
      </x:c>
      <x:c r="F11" s="110" t="e">
        <x:f aca="0">IF(OR(E10="",'实盘净值数据(iFinD公式)'!$A11="",'实盘净值数据(iFinD公式)'!$B11=""),"",(SUMPRODUCT(实盘持仓初始配置!$B$5:$X$5,'实盘净值数据(iFinD公式)'!$B10:$X10/'实盘净值数据(iFinD公式)'!$B$5:$X$5,'实盘净值数据(iFinD公式)'!$B11:$X11/'实盘净值数据(iFinD公式)'!$B10:$X10)/SUMPRODUCT(实盘持仓初始配置!$B$5:$X$5,'实盘净值数据(iFinD公式)'!$B10:$X10/'实盘净值数据(iFinD公式)'!$B$5:$X$5))*(1-实盘持仓初始配置!$Z$5)^(('实盘净值数据(iFinD公式)'!$A11-'实盘净值数据(iFinD公式)'!$A10)/365)-1)</x:f>
        <x:v>#NAME?</x:v>
      </x:c>
      <x:c r="G11" s="110" t="e">
        <x:f aca="0">IF(E11="","",E11/MAX(E$5:E11)-1)</x:f>
        <x:v>#NAME?</x:v>
      </x:c>
      <x:c r="H11" s="106" t="e">
        <x:f aca="0">IF(OR((ROW()-1)&lt;7,'实盘净值数据(iFinD公式)'!$A11="",'实盘净值数据(iFinD公式)'!$B11=""),"",SUMPRODUCT(实盘持仓初始配置!$B$6:$X$6,'实盘净值数据(iFinD公式)'!$B11:$X11/'实盘净值数据(iFinD公式)'!$B$7:$X$7)*(1-实盘持仓初始配置!$Z$6)^(('实盘净值数据(iFinD公式)'!$A11-'实盘净值数据(iFinD公式)'!$A$7)/365))</x:f>
        <x:v>#NAME?</x:v>
      </x:c>
      <x:c r="I11" s="110" t="e">
        <x:f aca="0">IF(OR(H10="",'实盘净值数据(iFinD公式)'!$A11="",'实盘净值数据(iFinD公式)'!$B11=""),"",(SUMPRODUCT(实盘持仓初始配置!$B$6:$X$6,'实盘净值数据(iFinD公式)'!$B10:$X10/'实盘净值数据(iFinD公式)'!$B$7:$X$7,'实盘净值数据(iFinD公式)'!$B11:$X11/'实盘净值数据(iFinD公式)'!$B10:$X10)/SUMPRODUCT(实盘持仓初始配置!$B$6:$X$6,'实盘净值数据(iFinD公式)'!$B10:$X10/'实盘净值数据(iFinD公式)'!$B$7:$X$7))*(1-实盘持仓初始配置!$Z$6)^(('实盘净值数据(iFinD公式)'!$A11-'实盘净值数据(iFinD公式)'!$A10)/365)-1)</x:f>
        <x:v>#NAME?</x:v>
      </x:c>
      <x:c r="J11" s="110" t="e">
        <x:f aca="0">IF(H11="","",H11/MAX(H$5:H11)-1)</x:f>
        <x:v>#NAME?</x:v>
      </x:c>
      <x:c r="K11" s="106" t="e">
        <x:f aca="0">IF(OR((ROW()-1)&lt;8,'实盘净值数据(iFinD公式)'!$A11="",'实盘净值数据(iFinD公式)'!$B11=""),"",SUMPRODUCT(实盘持仓初始配置!$B$7:$X$7,'实盘净值数据(iFinD公式)'!$B11:$X11/'实盘净值数据(iFinD公式)'!$B$8:$X$8)*(1-实盘持仓初始配置!$Z$7)^(('实盘净值数据(iFinD公式)'!$A11-'实盘净值数据(iFinD公式)'!$A$8)/365))</x:f>
        <x:v>#NAME?</x:v>
      </x:c>
      <x:c r="L11" s="110" t="e">
        <x:f aca="0">IF(OR(K10="",'实盘净值数据(iFinD公式)'!$A11="",'实盘净值数据(iFinD公式)'!$B11=""),"",(SUMPRODUCT(实盘持仓初始配置!$B$7:$X$7,'实盘净值数据(iFinD公式)'!$B10:$X10/'实盘净值数据(iFinD公式)'!$B$8:$X$8,'实盘净值数据(iFinD公式)'!$B11:$X11/'实盘净值数据(iFinD公式)'!$B10:$X10)/SUMPRODUCT(实盘持仓初始配置!$B$7:$X$7,'实盘净值数据(iFinD公式)'!$B10:$X10/'实盘净值数据(iFinD公式)'!$B$8:$X$8))*(1-实盘持仓初始配置!$Z$7)^(('实盘净值数据(iFinD公式)'!$A11-'实盘净值数据(iFinD公式)'!$A10)/365)-1)</x:f>
        <x:v>#NAME?</x:v>
      </x:c>
      <x:c r="M11" s="110" t="e">
        <x:f aca="0">IF(K11="","",K11/MAX(K$5:K11)-1)</x:f>
        <x:v>#NAME?</x:v>
      </x:c>
      <x:c r="N11" s="106" t="e">
        <x:f aca="0">IF(OR((ROW()-1)&lt;5,'实盘净值数据(iFinD公式)'!$A11="",'实盘净值数据(iFinD公式)'!$B11=""),"",SUMPRODUCT(实盘持仓初始配置!$B$8:$X$8,'实盘净值数据(iFinD公式)'!$B11:$X11/'实盘净值数据(iFinD公式)'!$B$5:$X$5)*(1-实盘持仓初始配置!$Z$8)^(('实盘净值数据(iFinD公式)'!$A11-'实盘净值数据(iFinD公式)'!$A$5)/365))</x:f>
        <x:v>#NAME?</x:v>
      </x:c>
      <x:c r="O11" s="110" t="e">
        <x:f aca="0">IF(OR(N10="",'实盘净值数据(iFinD公式)'!$A11="",'实盘净值数据(iFinD公式)'!$B11=""),"",(SUMPRODUCT(实盘持仓初始配置!$B$8:$X$8,'实盘净值数据(iFinD公式)'!$B10:$X10/'实盘净值数据(iFinD公式)'!$B$5:$X$5,'实盘净值数据(iFinD公式)'!$B11:$X11/'实盘净值数据(iFinD公式)'!$B10:$X10)/SUMPRODUCT(实盘持仓初始配置!$B$8:$X$8,'实盘净值数据(iFinD公式)'!$B10:$X10/'实盘净值数据(iFinD公式)'!$B$5:$X$5))*(1-实盘持仓初始配置!$Z$8)^(('实盘净值数据(iFinD公式)'!$A11-'实盘净值数据(iFinD公式)'!$A10)/365)-1)</x:f>
        <x:v>#NAME?</x:v>
      </x:c>
      <x:c r="P11" s="110" t="e">
        <x:f aca="0">IF(N11="","",N11/MAX(N$5:N11)-1)</x:f>
        <x:v>#NAME?</x:v>
      </x:c>
      <x:c r="Q11" s="106" t="e">
        <x:f aca="0">IF(OR((ROW()-1)&lt;8,'实盘净值数据(iFinD公式)'!$A11="",'实盘净值数据(iFinD公式)'!$B11=""),"",SUMPRODUCT(实盘持仓初始配置!$B$9:$X$9,'实盘净值数据(iFinD公式)'!$B11:$X11/'实盘净值数据(iFinD公式)'!$B$8:$X$8)*(1-实盘持仓初始配置!$Z$9)^(('实盘净值数据(iFinD公式)'!$A11-'实盘净值数据(iFinD公式)'!$A$8)/365))</x:f>
        <x:v>#NAME?</x:v>
      </x:c>
      <x:c r="R11" s="110" t="e">
        <x:f aca="0">IF(OR(Q10="",'实盘净值数据(iFinD公式)'!$A11="",'实盘净值数据(iFinD公式)'!$B11=""),"",(SUMPRODUCT(实盘持仓初始配置!$B$9:$X$9,'实盘净值数据(iFinD公式)'!$B10:$X10/'实盘净值数据(iFinD公式)'!$B$8:$X$8,'实盘净值数据(iFinD公式)'!$B11:$X11/'实盘净值数据(iFinD公式)'!$B10:$X10)/SUMPRODUCT(实盘持仓初始配置!$B$9:$X$9,'实盘净值数据(iFinD公式)'!$B10:$X10/'实盘净值数据(iFinD公式)'!$B$8:$X$8))*(1-实盘持仓初始配置!$Z$9)^(('实盘净值数据(iFinD公式)'!$A11-'实盘净值数据(iFinD公式)'!$A10)/365)-1)</x:f>
        <x:v>#NAME?</x:v>
      </x:c>
      <x:c r="S11" s="110" t="e">
        <x:f aca="0">IF(Q11="","",Q11/MAX(Q$5:Q11)-1)</x:f>
        <x:v>#NAME?</x:v>
      </x:c>
      <x:c r="U11" s="111"/>
      <x:c r="V11" s="112"/>
    </x:row>
    <x:row r="12" ht="12" hidden="0">
      <x:c r="A12" s="109" t="n">
        <x:f aca="0">IF('实盘净值数据(iFinD公式)'!A12="","",'实盘净值数据(iFinD公式)'!A12)</x:f>
        <x:v>46203</x:v>
      </x:c>
      <x:c r="B12" s="106" t="e">
        <x:f aca="0">IF(OR((ROW()-1)&lt;6,'实盘净值数据(iFinD公式)'!$A12="",'实盘净值数据(iFinD公式)'!$B12=""),"",SUMPRODUCT(实盘持仓初始配置!$B$4:$X$4,'实盘净值数据(iFinD公式)'!$B12:$X12/'实盘净值数据(iFinD公式)'!$B$6:$X$6)*(1-实盘持仓初始配置!$Z$4)^(('实盘净值数据(iFinD公式)'!$A12-'实盘净值数据(iFinD公式)'!$A$6)/365))</x:f>
        <x:v>#NAME?</x:v>
      </x:c>
      <x:c r="C12" s="110" t="e">
        <x:f aca="0">IF(OR(B11="",'实盘净值数据(iFinD公式)'!$A12="",'实盘净值数据(iFinD公式)'!$B12=""),"",(SUMPRODUCT(实盘持仓初始配置!$B$4:$X$4,'实盘净值数据(iFinD公式)'!$B11:$X11/'实盘净值数据(iFinD公式)'!$B$6:$X$6,'实盘净值数据(iFinD公式)'!$B12:$X12/'实盘净值数据(iFinD公式)'!$B11:$X11)/SUMPRODUCT(实盘持仓初始配置!$B$4:$X$4,'实盘净值数据(iFinD公式)'!$B11:$X11/'实盘净值数据(iFinD公式)'!$B$6:$X$6))*(1-实盘持仓初始配置!$Z$4)^(('实盘净值数据(iFinD公式)'!$A12-'实盘净值数据(iFinD公式)'!$A11)/365)-1)</x:f>
        <x:v>#NAME?</x:v>
      </x:c>
      <x:c r="D12" s="110" t="e">
        <x:f aca="0">IF(B12="","",B12/MAX(B$5:B12)-1)</x:f>
        <x:v>#NAME?</x:v>
      </x:c>
      <x:c r="E12" s="106" t="e">
        <x:f aca="0">IF(OR((ROW()-1)&lt;5,'实盘净值数据(iFinD公式)'!$A12="",'实盘净值数据(iFinD公式)'!$B12=""),"",SUMPRODUCT(实盘持仓初始配置!$B$5:$X$5,'实盘净值数据(iFinD公式)'!$B12:$X12/'实盘净值数据(iFinD公式)'!$B$5:$X$5)*(1-实盘持仓初始配置!$Z$5)^(('实盘净值数据(iFinD公式)'!$A12-'实盘净值数据(iFinD公式)'!$A$5)/365))</x:f>
        <x:v>#NAME?</x:v>
      </x:c>
      <x:c r="F12" s="110" t="e">
        <x:f aca="0">IF(OR(E11="",'实盘净值数据(iFinD公式)'!$A12="",'实盘净值数据(iFinD公式)'!$B12=""),"",(SUMPRODUCT(实盘持仓初始配置!$B$5:$X$5,'实盘净值数据(iFinD公式)'!$B11:$X11/'实盘净值数据(iFinD公式)'!$B$5:$X$5,'实盘净值数据(iFinD公式)'!$B12:$X12/'实盘净值数据(iFinD公式)'!$B11:$X11)/SUMPRODUCT(实盘持仓初始配置!$B$5:$X$5,'实盘净值数据(iFinD公式)'!$B11:$X11/'实盘净值数据(iFinD公式)'!$B$5:$X$5))*(1-实盘持仓初始配置!$Z$5)^(('实盘净值数据(iFinD公式)'!$A12-'实盘净值数据(iFinD公式)'!$A11)/365)-1)</x:f>
        <x:v>#NAME?</x:v>
      </x:c>
      <x:c r="G12" s="110" t="e">
        <x:f aca="0">IF(E12="","",E12/MAX(E$5:E12)-1)</x:f>
        <x:v>#NAME?</x:v>
      </x:c>
      <x:c r="H12" s="106" t="e">
        <x:f aca="0">IF(OR((ROW()-1)&lt;7,'实盘净值数据(iFinD公式)'!$A12="",'实盘净值数据(iFinD公式)'!$B12=""),"",SUMPRODUCT(实盘持仓初始配置!$B$6:$X$6,'实盘净值数据(iFinD公式)'!$B12:$X12/'实盘净值数据(iFinD公式)'!$B$7:$X$7)*(1-实盘持仓初始配置!$Z$6)^(('实盘净值数据(iFinD公式)'!$A12-'实盘净值数据(iFinD公式)'!$A$7)/365))</x:f>
        <x:v>#NAME?</x:v>
      </x:c>
      <x:c r="I12" s="110" t="e">
        <x:f aca="0">IF(OR(H11="",'实盘净值数据(iFinD公式)'!$A12="",'实盘净值数据(iFinD公式)'!$B12=""),"",(SUMPRODUCT(实盘持仓初始配置!$B$6:$X$6,'实盘净值数据(iFinD公式)'!$B11:$X11/'实盘净值数据(iFinD公式)'!$B$7:$X$7,'实盘净值数据(iFinD公式)'!$B12:$X12/'实盘净值数据(iFinD公式)'!$B11:$X11)/SUMPRODUCT(实盘持仓初始配置!$B$6:$X$6,'实盘净值数据(iFinD公式)'!$B11:$X11/'实盘净值数据(iFinD公式)'!$B$7:$X$7))*(1-实盘持仓初始配置!$Z$6)^(('实盘净值数据(iFinD公式)'!$A12-'实盘净值数据(iFinD公式)'!$A11)/365)-1)</x:f>
        <x:v>#NAME?</x:v>
      </x:c>
      <x:c r="J12" s="110" t="e">
        <x:f aca="0">IF(H12="","",H12/MAX(H$5:H12)-1)</x:f>
        <x:v>#NAME?</x:v>
      </x:c>
      <x:c r="K12" s="106" t="e">
        <x:f aca="0">IF(OR((ROW()-1)&lt;8,'实盘净值数据(iFinD公式)'!$A12="",'实盘净值数据(iFinD公式)'!$B12=""),"",SUMPRODUCT(实盘持仓初始配置!$B$7:$X$7,'实盘净值数据(iFinD公式)'!$B12:$X12/'实盘净值数据(iFinD公式)'!$B$8:$X$8)*(1-实盘持仓初始配置!$Z$7)^(('实盘净值数据(iFinD公式)'!$A12-'实盘净值数据(iFinD公式)'!$A$8)/365))</x:f>
        <x:v>#NAME?</x:v>
      </x:c>
      <x:c r="L12" s="110" t="e">
        <x:f aca="0">IF(OR(K11="",'实盘净值数据(iFinD公式)'!$A12="",'实盘净值数据(iFinD公式)'!$B12=""),"",(SUMPRODUCT(实盘持仓初始配置!$B$7:$X$7,'实盘净值数据(iFinD公式)'!$B11:$X11/'实盘净值数据(iFinD公式)'!$B$8:$X$8,'实盘净值数据(iFinD公式)'!$B12:$X12/'实盘净值数据(iFinD公式)'!$B11:$X11)/SUMPRODUCT(实盘持仓初始配置!$B$7:$X$7,'实盘净值数据(iFinD公式)'!$B11:$X11/'实盘净值数据(iFinD公式)'!$B$8:$X$8))*(1-实盘持仓初始配置!$Z$7)^(('实盘净值数据(iFinD公式)'!$A12-'实盘净值数据(iFinD公式)'!$A11)/365)-1)</x:f>
        <x:v>#NAME?</x:v>
      </x:c>
      <x:c r="M12" s="110" t="e">
        <x:f aca="0">IF(K12="","",K12/MAX(K$5:K12)-1)</x:f>
        <x:v>#NAME?</x:v>
      </x:c>
      <x:c r="N12" s="106" t="e">
        <x:f aca="0">IF(OR((ROW()-1)&lt;5,'实盘净值数据(iFinD公式)'!$A12="",'实盘净值数据(iFinD公式)'!$B12=""),"",SUMPRODUCT(实盘持仓初始配置!$B$8:$X$8,'实盘净值数据(iFinD公式)'!$B12:$X12/'实盘净值数据(iFinD公式)'!$B$5:$X$5)*(1-实盘持仓初始配置!$Z$8)^(('实盘净值数据(iFinD公式)'!$A12-'实盘净值数据(iFinD公式)'!$A$5)/365))</x:f>
        <x:v>#NAME?</x:v>
      </x:c>
      <x:c r="O12" s="110" t="e">
        <x:f aca="0">IF(OR(N11="",'实盘净值数据(iFinD公式)'!$A12="",'实盘净值数据(iFinD公式)'!$B12=""),"",(SUMPRODUCT(实盘持仓初始配置!$B$8:$X$8,'实盘净值数据(iFinD公式)'!$B11:$X11/'实盘净值数据(iFinD公式)'!$B$5:$X$5,'实盘净值数据(iFinD公式)'!$B12:$X12/'实盘净值数据(iFinD公式)'!$B11:$X11)/SUMPRODUCT(实盘持仓初始配置!$B$8:$X$8,'实盘净值数据(iFinD公式)'!$B11:$X11/'实盘净值数据(iFinD公式)'!$B$5:$X$5))*(1-实盘持仓初始配置!$Z$8)^(('实盘净值数据(iFinD公式)'!$A12-'实盘净值数据(iFinD公式)'!$A11)/365)-1)</x:f>
        <x:v>#NAME?</x:v>
      </x:c>
      <x:c r="P12" s="110" t="e">
        <x:f aca="0">IF(N12="","",N12/MAX(N$5:N12)-1)</x:f>
        <x:v>#NAME?</x:v>
      </x:c>
      <x:c r="Q12" s="106" t="e">
        <x:f aca="0">IF(OR((ROW()-1)&lt;8,'实盘净值数据(iFinD公式)'!$A12="",'实盘净值数据(iFinD公式)'!$B12=""),"",SUMPRODUCT(实盘持仓初始配置!$B$9:$X$9,'实盘净值数据(iFinD公式)'!$B12:$X12/'实盘净值数据(iFinD公式)'!$B$8:$X$8)*(1-实盘持仓初始配置!$Z$9)^(('实盘净值数据(iFinD公式)'!$A12-'实盘净值数据(iFinD公式)'!$A$8)/365))</x:f>
        <x:v>#NAME?</x:v>
      </x:c>
      <x:c r="R12" s="110" t="e">
        <x:f aca="0">IF(OR(Q11="",'实盘净值数据(iFinD公式)'!$A12="",'实盘净值数据(iFinD公式)'!$B12=""),"",(SUMPRODUCT(实盘持仓初始配置!$B$9:$X$9,'实盘净值数据(iFinD公式)'!$B11:$X11/'实盘净值数据(iFinD公式)'!$B$8:$X$8,'实盘净值数据(iFinD公式)'!$B12:$X12/'实盘净值数据(iFinD公式)'!$B11:$X11)/SUMPRODUCT(实盘持仓初始配置!$B$9:$X$9,'实盘净值数据(iFinD公式)'!$B11:$X11/'实盘净值数据(iFinD公式)'!$B$8:$X$8))*(1-实盘持仓初始配置!$Z$9)^(('实盘净值数据(iFinD公式)'!$A12-'实盘净值数据(iFinD公式)'!$A11)/365)-1)</x:f>
        <x:v>#NAME?</x:v>
      </x:c>
      <x:c r="S12" s="110" t="e">
        <x:f aca="0">IF(Q12="","",Q12/MAX(Q$5:Q12)-1)</x:f>
        <x:v>#NAME?</x:v>
      </x:c>
    </x:row>
    <x:row r="13" ht="12" hidden="0">
      <x:c r="A13" s="109" t="n">
        <x:f aca="0">IF('实盘净值数据(iFinD公式)'!A13="","",'实盘净值数据(iFinD公式)'!A13)</x:f>
        <x:v>46204</x:v>
      </x:c>
      <x:c r="B13" s="106" t="e">
        <x:f aca="0">IF(OR((ROW()-1)&lt;6,'实盘净值数据(iFinD公式)'!$A13="",'实盘净值数据(iFinD公式)'!$B13=""),"",SUMPRODUCT(实盘持仓初始配置!$B$4:$X$4,'实盘净值数据(iFinD公式)'!$B13:$X13/'实盘净值数据(iFinD公式)'!$B$6:$X$6)*(1-实盘持仓初始配置!$Z$4)^(('实盘净值数据(iFinD公式)'!$A13-'实盘净值数据(iFinD公式)'!$A$6)/365))</x:f>
        <x:v>#NAME?</x:v>
      </x:c>
      <x:c r="C13" s="110" t="e">
        <x:f aca="0">IF(OR(B12="",'实盘净值数据(iFinD公式)'!$A13="",'实盘净值数据(iFinD公式)'!$B13=""),"",(SUMPRODUCT(实盘持仓初始配置!$B$4:$X$4,'实盘净值数据(iFinD公式)'!$B12:$X12/'实盘净值数据(iFinD公式)'!$B$6:$X$6,'实盘净值数据(iFinD公式)'!$B13:$X13/'实盘净值数据(iFinD公式)'!$B12:$X12)/SUMPRODUCT(实盘持仓初始配置!$B$4:$X$4,'实盘净值数据(iFinD公式)'!$B12:$X12/'实盘净值数据(iFinD公式)'!$B$6:$X$6))*(1-实盘持仓初始配置!$Z$4)^(('实盘净值数据(iFinD公式)'!$A13-'实盘净值数据(iFinD公式)'!$A12)/365)-1)</x:f>
        <x:v>#NAME?</x:v>
      </x:c>
      <x:c r="D13" s="110" t="e">
        <x:f aca="0">IF(B13="","",B13/MAX(B$5:B13)-1)</x:f>
        <x:v>#NAME?</x:v>
      </x:c>
      <x:c r="E13" s="106" t="e">
        <x:f aca="0">IF(OR((ROW()-1)&lt;5,'实盘净值数据(iFinD公式)'!$A13="",'实盘净值数据(iFinD公式)'!$B13=""),"",SUMPRODUCT(实盘持仓初始配置!$B$5:$X$5,'实盘净值数据(iFinD公式)'!$B13:$X13/'实盘净值数据(iFinD公式)'!$B$5:$X$5)*(1-实盘持仓初始配置!$Z$5)^(('实盘净值数据(iFinD公式)'!$A13-'实盘净值数据(iFinD公式)'!$A$5)/365))</x:f>
        <x:v>#NAME?</x:v>
      </x:c>
      <x:c r="F13" s="110" t="e">
        <x:f aca="0">IF(OR(E12="",'实盘净值数据(iFinD公式)'!$A13="",'实盘净值数据(iFinD公式)'!$B13=""),"",(SUMPRODUCT(实盘持仓初始配置!$B$5:$X$5,'实盘净值数据(iFinD公式)'!$B12:$X12/'实盘净值数据(iFinD公式)'!$B$5:$X$5,'实盘净值数据(iFinD公式)'!$B13:$X13/'实盘净值数据(iFinD公式)'!$B12:$X12)/SUMPRODUCT(实盘持仓初始配置!$B$5:$X$5,'实盘净值数据(iFinD公式)'!$B12:$X12/'实盘净值数据(iFinD公式)'!$B$5:$X$5))*(1-实盘持仓初始配置!$Z$5)^(('实盘净值数据(iFinD公式)'!$A13-'实盘净值数据(iFinD公式)'!$A12)/365)-1)</x:f>
        <x:v>#NAME?</x:v>
      </x:c>
      <x:c r="G13" s="110" t="e">
        <x:f aca="0">IF(E13="","",E13/MAX(E$5:E13)-1)</x:f>
        <x:v>#NAME?</x:v>
      </x:c>
      <x:c r="H13" s="106" t="e">
        <x:f aca="0">IF(OR((ROW()-1)&lt;7,'实盘净值数据(iFinD公式)'!$A13="",'实盘净值数据(iFinD公式)'!$B13=""),"",SUMPRODUCT(实盘持仓初始配置!$B$6:$X$6,'实盘净值数据(iFinD公式)'!$B13:$X13/'实盘净值数据(iFinD公式)'!$B$7:$X$7)*(1-实盘持仓初始配置!$Z$6)^(('实盘净值数据(iFinD公式)'!$A13-'实盘净值数据(iFinD公式)'!$A$7)/365))</x:f>
        <x:v>#NAME?</x:v>
      </x:c>
      <x:c r="I13" s="110" t="e">
        <x:f aca="0">IF(OR(H12="",'实盘净值数据(iFinD公式)'!$A13="",'实盘净值数据(iFinD公式)'!$B13=""),"",(SUMPRODUCT(实盘持仓初始配置!$B$6:$X$6,'实盘净值数据(iFinD公式)'!$B12:$X12/'实盘净值数据(iFinD公式)'!$B$7:$X$7,'实盘净值数据(iFinD公式)'!$B13:$X13/'实盘净值数据(iFinD公式)'!$B12:$X12)/SUMPRODUCT(实盘持仓初始配置!$B$6:$X$6,'实盘净值数据(iFinD公式)'!$B12:$X12/'实盘净值数据(iFinD公式)'!$B$7:$X$7))*(1-实盘持仓初始配置!$Z$6)^(('实盘净值数据(iFinD公式)'!$A13-'实盘净值数据(iFinD公式)'!$A12)/365)-1)</x:f>
        <x:v>#NAME?</x:v>
      </x:c>
      <x:c r="J13" s="110" t="e">
        <x:f aca="0">IF(H13="","",H13/MAX(H$5:H13)-1)</x:f>
        <x:v>#NAME?</x:v>
      </x:c>
      <x:c r="K13" s="106" t="e">
        <x:f aca="0">IF(OR((ROW()-1)&lt;8,'实盘净值数据(iFinD公式)'!$A13="",'实盘净值数据(iFinD公式)'!$B13=""),"",SUMPRODUCT(实盘持仓初始配置!$B$7:$X$7,'实盘净值数据(iFinD公式)'!$B13:$X13/'实盘净值数据(iFinD公式)'!$B$8:$X$8)*(1-实盘持仓初始配置!$Z$7)^(('实盘净值数据(iFinD公式)'!$A13-'实盘净值数据(iFinD公式)'!$A$8)/365))</x:f>
        <x:v>#NAME?</x:v>
      </x:c>
      <x:c r="L13" s="110" t="e">
        <x:f aca="0">IF(OR(K12="",'实盘净值数据(iFinD公式)'!$A13="",'实盘净值数据(iFinD公式)'!$B13=""),"",(SUMPRODUCT(实盘持仓初始配置!$B$7:$X$7,'实盘净值数据(iFinD公式)'!$B12:$X12/'实盘净值数据(iFinD公式)'!$B$8:$X$8,'实盘净值数据(iFinD公式)'!$B13:$X13/'实盘净值数据(iFinD公式)'!$B12:$X12)/SUMPRODUCT(实盘持仓初始配置!$B$7:$X$7,'实盘净值数据(iFinD公式)'!$B12:$X12/'实盘净值数据(iFinD公式)'!$B$8:$X$8))*(1-实盘持仓初始配置!$Z$7)^(('实盘净值数据(iFinD公式)'!$A13-'实盘净值数据(iFinD公式)'!$A12)/365)-1)</x:f>
        <x:v>#NAME?</x:v>
      </x:c>
      <x:c r="M13" s="110" t="e">
        <x:f aca="0">IF(K13="","",K13/MAX(K$5:K13)-1)</x:f>
        <x:v>#NAME?</x:v>
      </x:c>
      <x:c r="N13" s="106" t="e">
        <x:f aca="0">IF(OR((ROW()-1)&lt;5,'实盘净值数据(iFinD公式)'!$A13="",'实盘净值数据(iFinD公式)'!$B13=""),"",SUMPRODUCT(实盘持仓初始配置!$B$8:$X$8,'实盘净值数据(iFinD公式)'!$B13:$X13/'实盘净值数据(iFinD公式)'!$B$5:$X$5)*(1-实盘持仓初始配置!$Z$8)^(('实盘净值数据(iFinD公式)'!$A13-'实盘净值数据(iFinD公式)'!$A$5)/365))</x:f>
        <x:v>#NAME?</x:v>
      </x:c>
      <x:c r="O13" s="110" t="e">
        <x:f aca="0">IF(OR(N12="",'实盘净值数据(iFinD公式)'!$A13="",'实盘净值数据(iFinD公式)'!$B13=""),"",(SUMPRODUCT(实盘持仓初始配置!$B$8:$X$8,'实盘净值数据(iFinD公式)'!$B12:$X12/'实盘净值数据(iFinD公式)'!$B$5:$X$5,'实盘净值数据(iFinD公式)'!$B13:$X13/'实盘净值数据(iFinD公式)'!$B12:$X12)/SUMPRODUCT(实盘持仓初始配置!$B$8:$X$8,'实盘净值数据(iFinD公式)'!$B12:$X12/'实盘净值数据(iFinD公式)'!$B$5:$X$5))*(1-实盘持仓初始配置!$Z$8)^(('实盘净值数据(iFinD公式)'!$A13-'实盘净值数据(iFinD公式)'!$A12)/365)-1)</x:f>
        <x:v>#NAME?</x:v>
      </x:c>
      <x:c r="P13" s="110" t="e">
        <x:f aca="0">IF(N13="","",N13/MAX(N$5:N13)-1)</x:f>
        <x:v>#NAME?</x:v>
      </x:c>
      <x:c r="Q13" s="106" t="e">
        <x:f aca="0">IF(OR((ROW()-1)&lt;8,'实盘净值数据(iFinD公式)'!$A13="",'实盘净值数据(iFinD公式)'!$B13=""),"",SUMPRODUCT(实盘持仓初始配置!$B$9:$X$9,'实盘净值数据(iFinD公式)'!$B13:$X13/'实盘净值数据(iFinD公式)'!$B$8:$X$8)*(1-实盘持仓初始配置!$Z$9)^(('实盘净值数据(iFinD公式)'!$A13-'实盘净值数据(iFinD公式)'!$A$8)/365))</x:f>
        <x:v>#NAME?</x:v>
      </x:c>
      <x:c r="R13" s="110" t="e">
        <x:f aca="0">IF(OR(Q12="",'实盘净值数据(iFinD公式)'!$A13="",'实盘净值数据(iFinD公式)'!$B13=""),"",(SUMPRODUCT(实盘持仓初始配置!$B$9:$X$9,'实盘净值数据(iFinD公式)'!$B12:$X12/'实盘净值数据(iFinD公式)'!$B$8:$X$8,'实盘净值数据(iFinD公式)'!$B13:$X13/'实盘净值数据(iFinD公式)'!$B12:$X12)/SUMPRODUCT(实盘持仓初始配置!$B$9:$X$9,'实盘净值数据(iFinD公式)'!$B12:$X12/'实盘净值数据(iFinD公式)'!$B$8:$X$8))*(1-实盘持仓初始配置!$Z$9)^(('实盘净值数据(iFinD公式)'!$A13-'实盘净值数据(iFinD公式)'!$A12)/365)-1)</x:f>
        <x:v>#NAME?</x:v>
      </x:c>
      <x:c r="S13" s="110" t="e">
        <x:f aca="0">IF(Q13="","",Q13/MAX(Q$5:Q13)-1)</x:f>
        <x:v>#NAME?</x:v>
      </x:c>
    </x:row>
    <x:row r="14" ht="12" hidden="0">
      <x:c r="A14" s="109" t="n">
        <x:f aca="0">IF('实盘净值数据(iFinD公式)'!A14="","",'实盘净值数据(iFinD公式)'!A14)</x:f>
        <x:v>46205</x:v>
      </x:c>
      <x:c r="B14" s="106" t="e">
        <x:f aca="0">IF(OR((ROW()-1)&lt;6,'实盘净值数据(iFinD公式)'!$A14="",'实盘净值数据(iFinD公式)'!$B14=""),"",SUMPRODUCT(实盘持仓初始配置!$B$4:$X$4,'实盘净值数据(iFinD公式)'!$B14:$X14/'实盘净值数据(iFinD公式)'!$B$6:$X$6)*(1-实盘持仓初始配置!$Z$4)^(('实盘净值数据(iFinD公式)'!$A14-'实盘净值数据(iFinD公式)'!$A$6)/365))</x:f>
        <x:v>#NAME?</x:v>
      </x:c>
      <x:c r="C14" s="110" t="e">
        <x:f aca="0">IF(OR(B13="",'实盘净值数据(iFinD公式)'!$A14="",'实盘净值数据(iFinD公式)'!$B14=""),"",(SUMPRODUCT(实盘持仓初始配置!$B$4:$X$4,'实盘净值数据(iFinD公式)'!$B13:$X13/'实盘净值数据(iFinD公式)'!$B$6:$X$6,'实盘净值数据(iFinD公式)'!$B14:$X14/'实盘净值数据(iFinD公式)'!$B13:$X13)/SUMPRODUCT(实盘持仓初始配置!$B$4:$X$4,'实盘净值数据(iFinD公式)'!$B13:$X13/'实盘净值数据(iFinD公式)'!$B$6:$X$6))*(1-实盘持仓初始配置!$Z$4)^(('实盘净值数据(iFinD公式)'!$A14-'实盘净值数据(iFinD公式)'!$A13)/365)-1)</x:f>
        <x:v>#NAME?</x:v>
      </x:c>
      <x:c r="D14" s="110" t="e">
        <x:f aca="0">IF(B14="","",B14/MAX(B$5:B14)-1)</x:f>
        <x:v>#NAME?</x:v>
      </x:c>
      <x:c r="E14" s="106" t="e">
        <x:f aca="0">IF(OR((ROW()-1)&lt;5,'实盘净值数据(iFinD公式)'!$A14="",'实盘净值数据(iFinD公式)'!$B14=""),"",SUMPRODUCT(实盘持仓初始配置!$B$5:$X$5,'实盘净值数据(iFinD公式)'!$B14:$X14/'实盘净值数据(iFinD公式)'!$B$5:$X$5)*(1-实盘持仓初始配置!$Z$5)^(('实盘净值数据(iFinD公式)'!$A14-'实盘净值数据(iFinD公式)'!$A$5)/365))</x:f>
        <x:v>#NAME?</x:v>
      </x:c>
      <x:c r="F14" s="110" t="e">
        <x:f aca="0">IF(OR(E13="",'实盘净值数据(iFinD公式)'!$A14="",'实盘净值数据(iFinD公式)'!$B14=""),"",(SUMPRODUCT(实盘持仓初始配置!$B$5:$X$5,'实盘净值数据(iFinD公式)'!$B13:$X13/'实盘净值数据(iFinD公式)'!$B$5:$X$5,'实盘净值数据(iFinD公式)'!$B14:$X14/'实盘净值数据(iFinD公式)'!$B13:$X13)/SUMPRODUCT(实盘持仓初始配置!$B$5:$X$5,'实盘净值数据(iFinD公式)'!$B13:$X13/'实盘净值数据(iFinD公式)'!$B$5:$X$5))*(1-实盘持仓初始配置!$Z$5)^(('实盘净值数据(iFinD公式)'!$A14-'实盘净值数据(iFinD公式)'!$A13)/365)-1)</x:f>
        <x:v>#NAME?</x:v>
      </x:c>
      <x:c r="G14" s="110" t="e">
        <x:f aca="0">IF(E14="","",E14/MAX(E$5:E14)-1)</x:f>
        <x:v>#NAME?</x:v>
      </x:c>
      <x:c r="H14" s="106" t="e">
        <x:f aca="0">IF(OR((ROW()-1)&lt;7,'实盘净值数据(iFinD公式)'!$A14="",'实盘净值数据(iFinD公式)'!$B14=""),"",SUMPRODUCT(实盘持仓初始配置!$B$6:$X$6,'实盘净值数据(iFinD公式)'!$B14:$X14/'实盘净值数据(iFinD公式)'!$B$7:$X$7)*(1-实盘持仓初始配置!$Z$6)^(('实盘净值数据(iFinD公式)'!$A14-'实盘净值数据(iFinD公式)'!$A$7)/365))</x:f>
        <x:v>#NAME?</x:v>
      </x:c>
      <x:c r="I14" s="110" t="e">
        <x:f aca="0">IF(OR(H13="",'实盘净值数据(iFinD公式)'!$A14="",'实盘净值数据(iFinD公式)'!$B14=""),"",(SUMPRODUCT(实盘持仓初始配置!$B$6:$X$6,'实盘净值数据(iFinD公式)'!$B13:$X13/'实盘净值数据(iFinD公式)'!$B$7:$X$7,'实盘净值数据(iFinD公式)'!$B14:$X14/'实盘净值数据(iFinD公式)'!$B13:$X13)/SUMPRODUCT(实盘持仓初始配置!$B$6:$X$6,'实盘净值数据(iFinD公式)'!$B13:$X13/'实盘净值数据(iFinD公式)'!$B$7:$X$7))*(1-实盘持仓初始配置!$Z$6)^(('实盘净值数据(iFinD公式)'!$A14-'实盘净值数据(iFinD公式)'!$A13)/365)-1)</x:f>
        <x:v>#NAME?</x:v>
      </x:c>
      <x:c r="J14" s="110" t="e">
        <x:f aca="0">IF(H14="","",H14/MAX(H$5:H14)-1)</x:f>
        <x:v>#NAME?</x:v>
      </x:c>
      <x:c r="K14" s="106" t="e">
        <x:f aca="0">IF(OR('实盘净值数据(iFinD公式)'!$A14="",'实盘净值数据(iFinD公式)'!$B14=""),"",分期持仓明细!$AD$9*SUMPRODUCT(分期持仓明细!$B$9:$AA$9,'实盘净值数据(iFinD公式)'!$B14:$AA14/'实盘净值数据(iFinD公式)'!$B$13:$AA$13)*(1-实盘持仓初始配置!$Z$7)^(('实盘净值数据(iFinD公式)'!$A14-'实盘净值数据(iFinD公式)'!$A$8)/365))</x:f>
        <x:v>#NAME?</x:v>
      </x:c>
      <x:c r="L14" s="110" t="e">
        <x:f aca="0">IF(OR(K13="",K14=""),"",K14/K13-1)</x:f>
        <x:v>#NAME?</x:v>
      </x:c>
      <x:c r="M14" s="110" t="e">
        <x:f aca="0">IF(K14="","",K14/MAX(K$5:K14)-1)</x:f>
        <x:v>#NAME?</x:v>
      </x:c>
      <x:c r="N14" s="106" t="e">
        <x:f aca="0">IF(OR('实盘净值数据(iFinD公式)'!$A14="",'实盘净值数据(iFinD公式)'!$B14=""),"",分期持仓明细!$AD$11*SUMPRODUCT(分期持仓明细!$B$11:$AA$11,'实盘净值数据(iFinD公式)'!$B14:$AA14/'实盘净值数据(iFinD公式)'!$B$13:$AA$13)*(1-实盘持仓初始配置!$Z$8)^(('实盘净值数据(iFinD公式)'!$A14-'实盘净值数据(iFinD公式)'!$A$5)/365))</x:f>
        <x:v>#NAME?</x:v>
      </x:c>
      <x:c r="O14" s="110" t="e">
        <x:f aca="0">IF(OR(N13="",N14=""),"",N14/N13-1)</x:f>
        <x:v>#NAME?</x:v>
      </x:c>
      <x:c r="P14" s="110" t="e">
        <x:f aca="0">IF(N14="","",N14/MAX(N$5:N14)-1)</x:f>
        <x:v>#NAME?</x:v>
      </x:c>
      <x:c r="Q14" s="106" t="e">
        <x:f aca="0">IF(OR('实盘净值数据(iFinD公式)'!$A14="",'实盘净值数据(iFinD公式)'!$B14=""),"",分期持仓明细!$AD$13*SUMPRODUCT(分期持仓明细!$B$13:$AA$13,'实盘净值数据(iFinD公式)'!$B14:$AA14/'实盘净值数据(iFinD公式)'!$B$13:$AA$13)*(1-实盘持仓初始配置!$Z$9)^(('实盘净值数据(iFinD公式)'!$A14-'实盘净值数据(iFinD公式)'!$A$8)/365))</x:f>
        <x:v>#NAME?</x:v>
      </x:c>
      <x:c r="R14" s="110" t="e">
        <x:f aca="0">IF(OR(Q13="",Q14=""),"",Q14/Q13-1)</x:f>
        <x:v>#NAME?</x:v>
      </x:c>
      <x:c r="S14" s="110" t="e">
        <x:f aca="0">IF(Q14="","",Q14/MAX(Q$5:Q14)-1)</x:f>
        <x:v>#NAME?</x:v>
      </x:c>
    </x:row>
    <x:row r="15" ht="12" hidden="0">
      <x:c r="A15" s="109" t="n">
        <x:f aca="0">IF('实盘净值数据(iFinD公式)'!A15="","",'实盘净值数据(iFinD公式)'!A15)</x:f>
        <x:v>46206</x:v>
      </x:c>
      <x:c r="B15" s="106" t="e">
        <x:f aca="0">IF(OR((ROW()-1)&lt;6,'实盘净值数据(iFinD公式)'!$A15="",'实盘净值数据(iFinD公式)'!$B15=""),"",SUMPRODUCT(实盘持仓初始配置!$B$4:$X$4,'实盘净值数据(iFinD公式)'!$B15:$X15/'实盘净值数据(iFinD公式)'!$B$6:$X$6)*(1-实盘持仓初始配置!$Z$4)^(('实盘净值数据(iFinD公式)'!$A15-'实盘净值数据(iFinD公式)'!$A$6)/365))</x:f>
        <x:v>#NAME?</x:v>
      </x:c>
      <x:c r="C15" s="110" t="e">
        <x:f aca="0">IF(OR(B14="",'实盘净值数据(iFinD公式)'!$A15="",'实盘净值数据(iFinD公式)'!$B15=""),"",(SUMPRODUCT(实盘持仓初始配置!$B$4:$X$4,'实盘净值数据(iFinD公式)'!$B14:$X14/'实盘净值数据(iFinD公式)'!$B$6:$X$6,'实盘净值数据(iFinD公式)'!$B15:$X15/'实盘净值数据(iFinD公式)'!$B14:$X14)/SUMPRODUCT(实盘持仓初始配置!$B$4:$X$4,'实盘净值数据(iFinD公式)'!$B14:$X14/'实盘净值数据(iFinD公式)'!$B$6:$X$6))*(1-实盘持仓初始配置!$Z$4)^(('实盘净值数据(iFinD公式)'!$A15-'实盘净值数据(iFinD公式)'!$A14)/365)-1)</x:f>
        <x:v>#NAME?</x:v>
      </x:c>
      <x:c r="D15" s="110" t="e">
        <x:f aca="0">IF(B15="","",B15/MAX(B$5:B15)-1)</x:f>
        <x:v>#NAME?</x:v>
      </x:c>
      <x:c r="E15" s="106" t="e">
        <x:f aca="0">IF(OR((ROW()-1)&lt;5,'实盘净值数据(iFinD公式)'!$A15="",'实盘净值数据(iFinD公式)'!$B15=""),"",SUMPRODUCT(实盘持仓初始配置!$B$5:$X$5,'实盘净值数据(iFinD公式)'!$B15:$X15/'实盘净值数据(iFinD公式)'!$B$5:$X$5)*(1-实盘持仓初始配置!$Z$5)^(('实盘净值数据(iFinD公式)'!$A15-'实盘净值数据(iFinD公式)'!$A$5)/365))</x:f>
        <x:v>#NAME?</x:v>
      </x:c>
      <x:c r="F15" s="110" t="e">
        <x:f aca="0">IF(OR(E14="",'实盘净值数据(iFinD公式)'!$A15="",'实盘净值数据(iFinD公式)'!$B15=""),"",(SUMPRODUCT(实盘持仓初始配置!$B$5:$X$5,'实盘净值数据(iFinD公式)'!$B14:$X14/'实盘净值数据(iFinD公式)'!$B$5:$X$5,'实盘净值数据(iFinD公式)'!$B15:$X15/'实盘净值数据(iFinD公式)'!$B14:$X14)/SUMPRODUCT(实盘持仓初始配置!$B$5:$X$5,'实盘净值数据(iFinD公式)'!$B14:$X14/'实盘净值数据(iFinD公式)'!$B$5:$X$5))*(1-实盘持仓初始配置!$Z$5)^(('实盘净值数据(iFinD公式)'!$A15-'实盘净值数据(iFinD公式)'!$A14)/365)-1)</x:f>
        <x:v>#NAME?</x:v>
      </x:c>
      <x:c r="G15" s="110" t="e">
        <x:f aca="0">IF(E15="","",E15/MAX(E$5:E15)-1)</x:f>
        <x:v>#NAME?</x:v>
      </x:c>
      <x:c r="H15" s="106" t="e">
        <x:f aca="0">IF(OR((ROW()-1)&lt;7,'实盘净值数据(iFinD公式)'!$A15="",'实盘净值数据(iFinD公式)'!$B15=""),"",SUMPRODUCT(实盘持仓初始配置!$B$6:$X$6,'实盘净值数据(iFinD公式)'!$B15:$X15/'实盘净值数据(iFinD公式)'!$B$7:$X$7)*(1-实盘持仓初始配置!$Z$6)^(('实盘净值数据(iFinD公式)'!$A15-'实盘净值数据(iFinD公式)'!$A$7)/365))</x:f>
        <x:v>#NAME?</x:v>
      </x:c>
      <x:c r="I15" s="110" t="e">
        <x:f aca="0">IF(OR(H14="",'实盘净值数据(iFinD公式)'!$A15="",'实盘净值数据(iFinD公式)'!$B15=""),"",(SUMPRODUCT(实盘持仓初始配置!$B$6:$X$6,'实盘净值数据(iFinD公式)'!$B14:$X14/'实盘净值数据(iFinD公式)'!$B$7:$X$7,'实盘净值数据(iFinD公式)'!$B15:$X15/'实盘净值数据(iFinD公式)'!$B14:$X14)/SUMPRODUCT(实盘持仓初始配置!$B$6:$X$6,'实盘净值数据(iFinD公式)'!$B14:$X14/'实盘净值数据(iFinD公式)'!$B$7:$X$7))*(1-实盘持仓初始配置!$Z$6)^(('实盘净值数据(iFinD公式)'!$A15-'实盘净值数据(iFinD公式)'!$A14)/365)-1)</x:f>
        <x:v>#NAME?</x:v>
      </x:c>
      <x:c r="J15" s="110" t="e">
        <x:f aca="0">IF(H15="","",H15/MAX(H$5:H15)-1)</x:f>
        <x:v>#NAME?</x:v>
      </x:c>
      <x:c r="K15" s="106" t="e">
        <x:f aca="0">IF(OR('实盘净值数据(iFinD公式)'!$A15="",'实盘净值数据(iFinD公式)'!$B15=""),"",分期持仓明细!$AD$9*SUMPRODUCT(分期持仓明细!$B$9:$AA$9,'实盘净值数据(iFinD公式)'!$B15:$AA15/'实盘净值数据(iFinD公式)'!$B$13:$AA$13)*(1-实盘持仓初始配置!$Z$7)^(('实盘净值数据(iFinD公式)'!$A15-'实盘净值数据(iFinD公式)'!$A$8)/365))</x:f>
        <x:v>#NAME?</x:v>
      </x:c>
      <x:c r="L15" s="110" t="e">
        <x:f aca="0">IF(OR(K14="",K15=""),"",K15/K14-1)</x:f>
        <x:v>#NAME?</x:v>
      </x:c>
      <x:c r="M15" s="110" t="e">
        <x:f aca="0">IF(K15="","",K15/MAX(K$5:K15)-1)</x:f>
        <x:v>#NAME?</x:v>
      </x:c>
      <x:c r="N15" s="106" t="e">
        <x:f aca="0">IF(OR('实盘净值数据(iFinD公式)'!$A15="",'实盘净值数据(iFinD公式)'!$B15=""),"",分期持仓明细!$AD$11*SUMPRODUCT(分期持仓明细!$B$11:$AA$11,'实盘净值数据(iFinD公式)'!$B15:$AA15/'实盘净值数据(iFinD公式)'!$B$13:$AA$13)*(1-实盘持仓初始配置!$Z$8)^(('实盘净值数据(iFinD公式)'!$A15-'实盘净值数据(iFinD公式)'!$A$5)/365))</x:f>
        <x:v>#NAME?</x:v>
      </x:c>
      <x:c r="O15" s="110" t="e">
        <x:f aca="0">IF(OR(N14="",N15=""),"",N15/N14-1)</x:f>
        <x:v>#NAME?</x:v>
      </x:c>
      <x:c r="P15" s="110" t="e">
        <x:f aca="0">IF(N15="","",N15/MAX(N$5:N15)-1)</x:f>
        <x:v>#NAME?</x:v>
      </x:c>
      <x:c r="Q15" s="106" t="e">
        <x:f aca="0">IF(OR('实盘净值数据(iFinD公式)'!$A15="",'实盘净值数据(iFinD公式)'!$B15=""),"",分期持仓明细!$AD$13*SUMPRODUCT(分期持仓明细!$B$13:$AA$13,'实盘净值数据(iFinD公式)'!$B15:$AA15/'实盘净值数据(iFinD公式)'!$B$13:$AA$13)*(1-实盘持仓初始配置!$Z$9)^(('实盘净值数据(iFinD公式)'!$A15-'实盘净值数据(iFinD公式)'!$A$8)/365))</x:f>
        <x:v>#NAME?</x:v>
      </x:c>
      <x:c r="R15" s="110" t="e">
        <x:f aca="0">IF(OR(Q14="",Q15=""),"",Q15/Q14-1)</x:f>
        <x:v>#NAME?</x:v>
      </x:c>
      <x:c r="S15" s="110" t="e">
        <x:f aca="0">IF(Q15="","",Q15/MAX(Q$5:Q15)-1)</x:f>
        <x:v>#NAME?</x:v>
      </x:c>
    </x:row>
    <x:row r="16" ht="12" hidden="0">
      <x:c r="A16" s="109" t="n">
        <x:f aca="0">IF('实盘净值数据(iFinD公式)'!A16="","",'实盘净值数据(iFinD公式)'!A16)</x:f>
        <x:v>46209</x:v>
      </x:c>
      <x:c r="B16" s="106" t="e">
        <x:f aca="0">IF(OR((ROW()-1)&lt;6,'实盘净值数据(iFinD公式)'!$A16="",'实盘净值数据(iFinD公式)'!$B16=""),"",SUMPRODUCT(实盘持仓初始配置!$B$4:$X$4,'实盘净值数据(iFinD公式)'!$B16:$X16/'实盘净值数据(iFinD公式)'!$B$6:$X$6)*(1-实盘持仓初始配置!$Z$4)^(('实盘净值数据(iFinD公式)'!$A16-'实盘净值数据(iFinD公式)'!$A$6)/365))</x:f>
        <x:v>#NAME?</x:v>
      </x:c>
      <x:c r="C16" s="110" t="e">
        <x:f aca="0">IF(OR(B15="",'实盘净值数据(iFinD公式)'!$A16="",'实盘净值数据(iFinD公式)'!$B16=""),"",(SUMPRODUCT(实盘持仓初始配置!$B$4:$X$4,'实盘净值数据(iFinD公式)'!$B15:$X15/'实盘净值数据(iFinD公式)'!$B$6:$X$6,'实盘净值数据(iFinD公式)'!$B16:$X16/'实盘净值数据(iFinD公式)'!$B15:$X15)/SUMPRODUCT(实盘持仓初始配置!$B$4:$X$4,'实盘净值数据(iFinD公式)'!$B15:$X15/'实盘净值数据(iFinD公式)'!$B$6:$X$6))*(1-实盘持仓初始配置!$Z$4)^(('实盘净值数据(iFinD公式)'!$A16-'实盘净值数据(iFinD公式)'!$A15)/365)-1)</x:f>
        <x:v>#NAME?</x:v>
      </x:c>
      <x:c r="D16" s="110" t="e">
        <x:f aca="0">IF(B16="","",B16/MAX(B$5:B16)-1)</x:f>
        <x:v>#NAME?</x:v>
      </x:c>
      <x:c r="E16" s="106" t="e">
        <x:f aca="0">IF(OR((ROW()-1)&lt;5,'实盘净值数据(iFinD公式)'!$A16="",'实盘净值数据(iFinD公式)'!$B16=""),"",SUMPRODUCT(实盘持仓初始配置!$B$5:$X$5,'实盘净值数据(iFinD公式)'!$B16:$X16/'实盘净值数据(iFinD公式)'!$B$5:$X$5)*(1-实盘持仓初始配置!$Z$5)^(('实盘净值数据(iFinD公式)'!$A16-'实盘净值数据(iFinD公式)'!$A$5)/365))</x:f>
        <x:v>#NAME?</x:v>
      </x:c>
      <x:c r="F16" s="110" t="e">
        <x:f aca="0">IF(OR(E15="",'实盘净值数据(iFinD公式)'!$A16="",'实盘净值数据(iFinD公式)'!$B16=""),"",(SUMPRODUCT(实盘持仓初始配置!$B$5:$X$5,'实盘净值数据(iFinD公式)'!$B15:$X15/'实盘净值数据(iFinD公式)'!$B$5:$X$5,'实盘净值数据(iFinD公式)'!$B16:$X16/'实盘净值数据(iFinD公式)'!$B15:$X15)/SUMPRODUCT(实盘持仓初始配置!$B$5:$X$5,'实盘净值数据(iFinD公式)'!$B15:$X15/'实盘净值数据(iFinD公式)'!$B$5:$X$5))*(1-实盘持仓初始配置!$Z$5)^(('实盘净值数据(iFinD公式)'!$A16-'实盘净值数据(iFinD公式)'!$A15)/365)-1)</x:f>
        <x:v>#NAME?</x:v>
      </x:c>
      <x:c r="G16" s="110" t="e">
        <x:f aca="0">IF(E16="","",E16/MAX(E$5:E16)-1)</x:f>
        <x:v>#NAME?</x:v>
      </x:c>
      <x:c r="H16" s="106" t="e">
        <x:f aca="0">IF(OR((ROW()-1)&lt;7,'实盘净值数据(iFinD公式)'!$A16="",'实盘净值数据(iFinD公式)'!$B16=""),"",SUMPRODUCT(实盘持仓初始配置!$B$6:$X$6,'实盘净值数据(iFinD公式)'!$B16:$X16/'实盘净值数据(iFinD公式)'!$B$7:$X$7)*(1-实盘持仓初始配置!$Z$6)^(('实盘净值数据(iFinD公式)'!$A16-'实盘净值数据(iFinD公式)'!$A$7)/365))</x:f>
        <x:v>#NAME?</x:v>
      </x:c>
      <x:c r="I16" s="110" t="e">
        <x:f aca="0">IF(OR(H15="",'实盘净值数据(iFinD公式)'!$A16="",'实盘净值数据(iFinD公式)'!$B16=""),"",(SUMPRODUCT(实盘持仓初始配置!$B$6:$X$6,'实盘净值数据(iFinD公式)'!$B15:$X15/'实盘净值数据(iFinD公式)'!$B$7:$X$7,'实盘净值数据(iFinD公式)'!$B16:$X16/'实盘净值数据(iFinD公式)'!$B15:$X15)/SUMPRODUCT(实盘持仓初始配置!$B$6:$X$6,'实盘净值数据(iFinD公式)'!$B15:$X15/'实盘净值数据(iFinD公式)'!$B$7:$X$7))*(1-实盘持仓初始配置!$Z$6)^(('实盘净值数据(iFinD公式)'!$A16-'实盘净值数据(iFinD公式)'!$A15)/365)-1)</x:f>
        <x:v>#NAME?</x:v>
      </x:c>
      <x:c r="J16" s="110" t="e">
        <x:f aca="0">IF(H16="","",H16/MAX(H$5:H16)-1)</x:f>
        <x:v>#NAME?</x:v>
      </x:c>
      <x:c r="K16" s="106" t="e">
        <x:f aca="0">IF(OR('实盘净值数据(iFinD公式)'!$A16="",'实盘净值数据(iFinD公式)'!$B16=""),"",分期持仓明细!$AD$9*SUMPRODUCT(分期持仓明细!$B$9:$AA$9,'实盘净值数据(iFinD公式)'!$B16:$AA16/'实盘净值数据(iFinD公式)'!$B$13:$AA$13)*(1-实盘持仓初始配置!$Z$7)^(('实盘净值数据(iFinD公式)'!$A16-'实盘净值数据(iFinD公式)'!$A$8)/365))</x:f>
        <x:v>#NAME?</x:v>
      </x:c>
      <x:c r="L16" s="110" t="e">
        <x:f aca="0">IF(OR(K15="",K16=""),"",K16/K15-1)</x:f>
        <x:v>#NAME?</x:v>
      </x:c>
      <x:c r="M16" s="110" t="e">
        <x:f aca="0">IF(K16="","",K16/MAX(K$5:K16)-1)</x:f>
        <x:v>#NAME?</x:v>
      </x:c>
      <x:c r="N16" s="106" t="e">
        <x:f aca="0">IF(OR('实盘净值数据(iFinD公式)'!$A16="",'实盘净值数据(iFinD公式)'!$B16=""),"",分期持仓明细!$AD$11*SUMPRODUCT(分期持仓明细!$B$11:$AA$11,'实盘净值数据(iFinD公式)'!$B16:$AA16/'实盘净值数据(iFinD公式)'!$B$13:$AA$13)*(1-实盘持仓初始配置!$Z$8)^(('实盘净值数据(iFinD公式)'!$A16-'实盘净值数据(iFinD公式)'!$A$5)/365))</x:f>
        <x:v>#NAME?</x:v>
      </x:c>
      <x:c r="O16" s="110" t="e">
        <x:f aca="0">IF(OR(N15="",N16=""),"",N16/N15-1)</x:f>
        <x:v>#NAME?</x:v>
      </x:c>
      <x:c r="P16" s="110" t="e">
        <x:f aca="0">IF(N16="","",N16/MAX(N$5:N16)-1)</x:f>
        <x:v>#NAME?</x:v>
      </x:c>
      <x:c r="Q16" s="106" t="e">
        <x:f aca="0">IF(OR('实盘净值数据(iFinD公式)'!$A16="",'实盘净值数据(iFinD公式)'!$B16=""),"",分期持仓明细!$AD$13*SUMPRODUCT(分期持仓明细!$B$13:$AA$13,'实盘净值数据(iFinD公式)'!$B16:$AA16/'实盘净值数据(iFinD公式)'!$B$13:$AA$13)*(1-实盘持仓初始配置!$Z$9)^(('实盘净值数据(iFinD公式)'!$A16-'实盘净值数据(iFinD公式)'!$A$8)/365))</x:f>
        <x:v>#NAME?</x:v>
      </x:c>
      <x:c r="R16" s="110" t="e">
        <x:f aca="0">IF(OR(Q15="",Q16=""),"",Q16/Q15-1)</x:f>
        <x:v>#NAME?</x:v>
      </x:c>
      <x:c r="S16" s="110" t="e">
        <x:f aca="0">IF(Q16="","",Q16/MAX(Q$5:Q16)-1)</x:f>
        <x:v>#NAME?</x:v>
      </x:c>
    </x:row>
    <x:row r="17" ht="12" hidden="0">
      <x:c r="A17" s="109" t="n">
        <x:f aca="0">IF('实盘净值数据(iFinD公式)'!A17="","",'实盘净值数据(iFinD公式)'!A17)</x:f>
        <x:v>46210</x:v>
      </x:c>
      <x:c r="B17" s="106" t="e">
        <x:f aca="0">IF(OR((ROW()-1)&lt;6,'实盘净值数据(iFinD公式)'!$A17="",'实盘净值数据(iFinD公式)'!$B17=""),"",SUMPRODUCT(实盘持仓初始配置!$B$4:$X$4,'实盘净值数据(iFinD公式)'!$B17:$X17/'实盘净值数据(iFinD公式)'!$B$6:$X$6)*(1-实盘持仓初始配置!$Z$4)^(('实盘净值数据(iFinD公式)'!$A17-'实盘净值数据(iFinD公式)'!$A$6)/365))</x:f>
        <x:v>#NAME?</x:v>
      </x:c>
      <x:c r="C17" s="110" t="e">
        <x:f aca="0">IF(OR(B16="",'实盘净值数据(iFinD公式)'!$A17="",'实盘净值数据(iFinD公式)'!$B17=""),"",(SUMPRODUCT(实盘持仓初始配置!$B$4:$X$4,'实盘净值数据(iFinD公式)'!$B16:$X16/'实盘净值数据(iFinD公式)'!$B$6:$X$6,'实盘净值数据(iFinD公式)'!$B17:$X17/'实盘净值数据(iFinD公式)'!$B16:$X16)/SUMPRODUCT(实盘持仓初始配置!$B$4:$X$4,'实盘净值数据(iFinD公式)'!$B16:$X16/'实盘净值数据(iFinD公式)'!$B$6:$X$6))*(1-实盘持仓初始配置!$Z$4)^(('实盘净值数据(iFinD公式)'!$A17-'实盘净值数据(iFinD公式)'!$A16)/365)-1)</x:f>
        <x:v>#NAME?</x:v>
      </x:c>
      <x:c r="D17" s="110" t="e">
        <x:f aca="0">IF(B17="","",B17/MAX(B$5:B17)-1)</x:f>
        <x:v>#NAME?</x:v>
      </x:c>
      <x:c r="E17" s="106" t="e">
        <x:f aca="0">IF(OR((ROW()-1)&lt;5,'实盘净值数据(iFinD公式)'!$A17="",'实盘净值数据(iFinD公式)'!$B17=""),"",SUMPRODUCT(实盘持仓初始配置!$B$5:$X$5,'实盘净值数据(iFinD公式)'!$B17:$X17/'实盘净值数据(iFinD公式)'!$B$5:$X$5)*(1-实盘持仓初始配置!$Z$5)^(('实盘净值数据(iFinD公式)'!$A17-'实盘净值数据(iFinD公式)'!$A$5)/365))</x:f>
        <x:v>#NAME?</x:v>
      </x:c>
      <x:c r="F17" s="110" t="e">
        <x:f aca="0">IF(OR(E16="",'实盘净值数据(iFinD公式)'!$A17="",'实盘净值数据(iFinD公式)'!$B17=""),"",(SUMPRODUCT(实盘持仓初始配置!$B$5:$X$5,'实盘净值数据(iFinD公式)'!$B16:$X16/'实盘净值数据(iFinD公式)'!$B$5:$X$5,'实盘净值数据(iFinD公式)'!$B17:$X17/'实盘净值数据(iFinD公式)'!$B16:$X16)/SUMPRODUCT(实盘持仓初始配置!$B$5:$X$5,'实盘净值数据(iFinD公式)'!$B16:$X16/'实盘净值数据(iFinD公式)'!$B$5:$X$5))*(1-实盘持仓初始配置!$Z$5)^(('实盘净值数据(iFinD公式)'!$A17-'实盘净值数据(iFinD公式)'!$A16)/365)-1)</x:f>
        <x:v>#NAME?</x:v>
      </x:c>
      <x:c r="G17" s="110" t="e">
        <x:f aca="0">IF(E17="","",E17/MAX(E$5:E17)-1)</x:f>
        <x:v>#NAME?</x:v>
      </x:c>
      <x:c r="H17" s="106" t="e">
        <x:f aca="0">IF(OR((ROW()-1)&lt;7,'实盘净值数据(iFinD公式)'!$A17="",'实盘净值数据(iFinD公式)'!$B17=""),"",SUMPRODUCT(实盘持仓初始配置!$B$6:$X$6,'实盘净值数据(iFinD公式)'!$B17:$X17/'实盘净值数据(iFinD公式)'!$B$7:$X$7)*(1-实盘持仓初始配置!$Z$6)^(('实盘净值数据(iFinD公式)'!$A17-'实盘净值数据(iFinD公式)'!$A$7)/365))</x:f>
        <x:v>#NAME?</x:v>
      </x:c>
      <x:c r="I17" s="110" t="e">
        <x:f aca="0">IF(OR(H16="",'实盘净值数据(iFinD公式)'!$A17="",'实盘净值数据(iFinD公式)'!$B17=""),"",(SUMPRODUCT(实盘持仓初始配置!$B$6:$X$6,'实盘净值数据(iFinD公式)'!$B16:$X16/'实盘净值数据(iFinD公式)'!$B$7:$X$7,'实盘净值数据(iFinD公式)'!$B17:$X17/'实盘净值数据(iFinD公式)'!$B16:$X16)/SUMPRODUCT(实盘持仓初始配置!$B$6:$X$6,'实盘净值数据(iFinD公式)'!$B16:$X16/'实盘净值数据(iFinD公式)'!$B$7:$X$7))*(1-实盘持仓初始配置!$Z$6)^(('实盘净值数据(iFinD公式)'!$A17-'实盘净值数据(iFinD公式)'!$A16)/365)-1)</x:f>
        <x:v>#NAME?</x:v>
      </x:c>
      <x:c r="J17" s="110" t="e">
        <x:f aca="0">IF(H17="","",H17/MAX(H$5:H17)-1)</x:f>
        <x:v>#NAME?</x:v>
      </x:c>
      <x:c r="K17" s="106" t="e">
        <x:f aca="0">IF(OR('实盘净值数据(iFinD公式)'!$A17="",'实盘净值数据(iFinD公式)'!$B17=""),"",分期持仓明细!$AD$9*SUMPRODUCT(分期持仓明细!$B$9:$AA$9,'实盘净值数据(iFinD公式)'!$B17:$AA17/'实盘净值数据(iFinD公式)'!$B$13:$AA$13)*(1-实盘持仓初始配置!$Z$7)^(('实盘净值数据(iFinD公式)'!$A17-'实盘净值数据(iFinD公式)'!$A$8)/365))</x:f>
        <x:v>#NAME?</x:v>
      </x:c>
      <x:c r="L17" s="110" t="e">
        <x:f aca="0">IF(OR(K16="",K17=""),"",K17/K16-1)</x:f>
        <x:v>#NAME?</x:v>
      </x:c>
      <x:c r="M17" s="110" t="e">
        <x:f aca="0">IF(K17="","",K17/MAX(K$5:K17)-1)</x:f>
        <x:v>#NAME?</x:v>
      </x:c>
      <x:c r="N17" s="106" t="e">
        <x:f aca="0">IF(OR('实盘净值数据(iFinD公式)'!$A17="",'实盘净值数据(iFinD公式)'!$B17=""),"",分期持仓明细!$AD$11*SUMPRODUCT(分期持仓明细!$B$11:$AA$11,'实盘净值数据(iFinD公式)'!$B17:$AA17/'实盘净值数据(iFinD公式)'!$B$13:$AA$13)*(1-实盘持仓初始配置!$Z$8)^(('实盘净值数据(iFinD公式)'!$A17-'实盘净值数据(iFinD公式)'!$A$5)/365))</x:f>
        <x:v>#NAME?</x:v>
      </x:c>
      <x:c r="O17" s="110" t="e">
        <x:f aca="0">IF(OR(N16="",N17=""),"",N17/N16-1)</x:f>
        <x:v>#NAME?</x:v>
      </x:c>
      <x:c r="P17" s="110" t="e">
        <x:f aca="0">IF(N17="","",N17/MAX(N$5:N17)-1)</x:f>
        <x:v>#NAME?</x:v>
      </x:c>
      <x:c r="Q17" s="106" t="e">
        <x:f aca="0">IF(OR('实盘净值数据(iFinD公式)'!$A17="",'实盘净值数据(iFinD公式)'!$B17=""),"",分期持仓明细!$AD$13*SUMPRODUCT(分期持仓明细!$B$13:$AA$13,'实盘净值数据(iFinD公式)'!$B17:$AA17/'实盘净值数据(iFinD公式)'!$B$13:$AA$13)*(1-实盘持仓初始配置!$Z$9)^(('实盘净值数据(iFinD公式)'!$A17-'实盘净值数据(iFinD公式)'!$A$8)/365))</x:f>
        <x:v>#NAME?</x:v>
      </x:c>
      <x:c r="R17" s="110" t="e">
        <x:f aca="0">IF(OR(Q16="",Q17=""),"",Q17/Q16-1)</x:f>
        <x:v>#NAME?</x:v>
      </x:c>
      <x:c r="S17" s="110" t="e">
        <x:f aca="0">IF(Q17="","",Q17/MAX(Q$5:Q17)-1)</x:f>
        <x:v>#NAME?</x:v>
      </x:c>
    </x:row>
    <x:row r="18" ht="12" hidden="0">
      <x:c r="A18" s="109" t="n">
        <x:f aca="0">IF('实盘净值数据(iFinD公式)'!A18="","",'实盘净值数据(iFinD公式)'!A18)</x:f>
        <x:v>46211</x:v>
      </x:c>
      <x:c r="B18" s="106" t="e">
        <x:f aca="0">IF(OR((ROW()-1)&lt;6,'实盘净值数据(iFinD公式)'!$A18="",'实盘净值数据(iFinD公式)'!$B18=""),"",SUMPRODUCT(实盘持仓初始配置!$B$4:$X$4,'实盘净值数据(iFinD公式)'!$B18:$X18/'实盘净值数据(iFinD公式)'!$B$6:$X$6)*(1-实盘持仓初始配置!$Z$4)^(('实盘净值数据(iFinD公式)'!$A18-'实盘净值数据(iFinD公式)'!$A$6)/365))</x:f>
        <x:v>#NAME?</x:v>
      </x:c>
      <x:c r="C18" s="110" t="e">
        <x:f aca="0">IF(OR(B17="",'实盘净值数据(iFinD公式)'!$A18="",'实盘净值数据(iFinD公式)'!$B18=""),"",(SUMPRODUCT(实盘持仓初始配置!$B$4:$X$4,'实盘净值数据(iFinD公式)'!$B17:$X17/'实盘净值数据(iFinD公式)'!$B$6:$X$6,'实盘净值数据(iFinD公式)'!$B18:$X18/'实盘净值数据(iFinD公式)'!$B17:$X17)/SUMPRODUCT(实盘持仓初始配置!$B$4:$X$4,'实盘净值数据(iFinD公式)'!$B17:$X17/'实盘净值数据(iFinD公式)'!$B$6:$X$6))*(1-实盘持仓初始配置!$Z$4)^(('实盘净值数据(iFinD公式)'!$A18-'实盘净值数据(iFinD公式)'!$A17)/365)-1)</x:f>
        <x:v>#NAME?</x:v>
      </x:c>
      <x:c r="D18" s="110" t="e">
        <x:f aca="0">IF(B18="","",B18/MAX(B$5:B18)-1)</x:f>
        <x:v>#NAME?</x:v>
      </x:c>
      <x:c r="E18" s="106" t="e">
        <x:f aca="0">IF(OR((ROW()-1)&lt;5,'实盘净值数据(iFinD公式)'!$A18="",'实盘净值数据(iFinD公式)'!$B18=""),"",SUMPRODUCT(实盘持仓初始配置!$B$5:$X$5,'实盘净值数据(iFinD公式)'!$B18:$X18/'实盘净值数据(iFinD公式)'!$B$5:$X$5)*(1-实盘持仓初始配置!$Z$5)^(('实盘净值数据(iFinD公式)'!$A18-'实盘净值数据(iFinD公式)'!$A$5)/365))</x:f>
        <x:v>#NAME?</x:v>
      </x:c>
      <x:c r="F18" s="110" t="e">
        <x:f aca="0">IF(OR(E17="",'实盘净值数据(iFinD公式)'!$A18="",'实盘净值数据(iFinD公式)'!$B18=""),"",(SUMPRODUCT(实盘持仓初始配置!$B$5:$X$5,'实盘净值数据(iFinD公式)'!$B17:$X17/'实盘净值数据(iFinD公式)'!$B$5:$X$5,'实盘净值数据(iFinD公式)'!$B18:$X18/'实盘净值数据(iFinD公式)'!$B17:$X17)/SUMPRODUCT(实盘持仓初始配置!$B$5:$X$5,'实盘净值数据(iFinD公式)'!$B17:$X17/'实盘净值数据(iFinD公式)'!$B$5:$X$5))*(1-实盘持仓初始配置!$Z$5)^(('实盘净值数据(iFinD公式)'!$A18-'实盘净值数据(iFinD公式)'!$A17)/365)-1)</x:f>
        <x:v>#NAME?</x:v>
      </x:c>
      <x:c r="G18" s="110" t="e">
        <x:f aca="0">IF(E18="","",E18/MAX(E$5:E18)-1)</x:f>
        <x:v>#NAME?</x:v>
      </x:c>
      <x:c r="H18" s="106" t="e">
        <x:f aca="0">IF(OR((ROW()-1)&lt;7,'实盘净值数据(iFinD公式)'!$A18="",'实盘净值数据(iFinD公式)'!$B18=""),"",SUMPRODUCT(实盘持仓初始配置!$B$6:$X$6,'实盘净值数据(iFinD公式)'!$B18:$X18/'实盘净值数据(iFinD公式)'!$B$7:$X$7)*(1-实盘持仓初始配置!$Z$6)^(('实盘净值数据(iFinD公式)'!$A18-'实盘净值数据(iFinD公式)'!$A$7)/365))</x:f>
        <x:v>#NAME?</x:v>
      </x:c>
      <x:c r="I18" s="110" t="e">
        <x:f aca="0">IF(OR(H17="",'实盘净值数据(iFinD公式)'!$A18="",'实盘净值数据(iFinD公式)'!$B18=""),"",(SUMPRODUCT(实盘持仓初始配置!$B$6:$X$6,'实盘净值数据(iFinD公式)'!$B17:$X17/'实盘净值数据(iFinD公式)'!$B$7:$X$7,'实盘净值数据(iFinD公式)'!$B18:$X18/'实盘净值数据(iFinD公式)'!$B17:$X17)/SUMPRODUCT(实盘持仓初始配置!$B$6:$X$6,'实盘净值数据(iFinD公式)'!$B17:$X17/'实盘净值数据(iFinD公式)'!$B$7:$X$7))*(1-实盘持仓初始配置!$Z$6)^(('实盘净值数据(iFinD公式)'!$A18-'实盘净值数据(iFinD公式)'!$A17)/365)-1)</x:f>
        <x:v>#NAME?</x:v>
      </x:c>
      <x:c r="J18" s="110" t="e">
        <x:f aca="0">IF(H18="","",H18/MAX(H$5:H18)-1)</x:f>
        <x:v>#NAME?</x:v>
      </x:c>
      <x:c r="K18" s="106" t="e">
        <x:f aca="0">IF(OR('实盘净值数据(iFinD公式)'!$A18="",'实盘净值数据(iFinD公式)'!$B18=""),"",分期持仓明细!$AD$14*SUMPRODUCT(分期持仓明细!$B$14:$AA$14,'实盘净值数据(iFinD公式)'!$B18:$AA18/'实盘净值数据(iFinD公式)'!$B$17:$AA$17)*(1-实盘持仓初始配置!$Z$7)^(('实盘净值数据(iFinD公式)'!$A18-'实盘净值数据(iFinD公式)'!$A$8)/365))</x:f>
        <x:v>#NAME?</x:v>
      </x:c>
      <x:c r="L18" s="110" t="e">
        <x:f aca="0">IF(OR(K17="",K18=""),"",K18/K17-1)</x:f>
        <x:v>#NAME?</x:v>
      </x:c>
      <x:c r="M18" s="110" t="e">
        <x:f aca="0">IF(K18="","",K18/MAX(K$5:K18)-1)</x:f>
        <x:v>#NAME?</x:v>
      </x:c>
      <x:c r="N18" s="106" t="e">
        <x:f aca="0">IF(OR('实盘净值数据(iFinD公式)'!$A18="",'实盘净值数据(iFinD公式)'!$B18=""),"",分期持仓明细!$AD$15*SUMPRODUCT(分期持仓明细!$B$15:$AA$15,'实盘净值数据(iFinD公式)'!$B18:$AA18/'实盘净值数据(iFinD公式)'!$B$17:$AA$17)*(1-实盘持仓初始配置!$Z$8)^(('实盘净值数据(iFinD公式)'!$A18-'实盘净值数据(iFinD公式)'!$A$5)/365))</x:f>
        <x:v>#NAME?</x:v>
      </x:c>
      <x:c r="O18" s="110" t="e">
        <x:f aca="0">IF(OR(N17="",N18=""),"",N18/N17-1)</x:f>
        <x:v>#NAME?</x:v>
      </x:c>
      <x:c r="P18" s="110" t="e">
        <x:f aca="0">IF(N18="","",N18/MAX(N$5:N18)-1)</x:f>
        <x:v>#NAME?</x:v>
      </x:c>
      <x:c r="Q18" s="106" t="e">
        <x:f aca="0">IF(OR('实盘净值数据(iFinD公式)'!$A18="",'实盘净值数据(iFinD公式)'!$B18=""),"",分期持仓明细!$AD$16*SUMPRODUCT(分期持仓明细!$B$16:$AA$16,'实盘净值数据(iFinD公式)'!$B18:$AA18/'实盘净值数据(iFinD公式)'!$B$17:$AA$17)*(1-实盘持仓初始配置!$Z$9)^(('实盘净值数据(iFinD公式)'!$A18-'实盘净值数据(iFinD公式)'!$A$8)/365))</x:f>
        <x:v>#NAME?</x:v>
      </x:c>
      <x:c r="R18" s="110" t="e">
        <x:f aca="0">IF(OR(Q17="",Q18=""),"",Q18/Q17-1)</x:f>
        <x:v>#NAME?</x:v>
      </x:c>
      <x:c r="S18" s="110" t="e">
        <x:f aca="0">IF(Q18="","",Q18/MAX(Q$5:Q18)-1)</x:f>
        <x:v>#NAME?</x:v>
      </x:c>
    </x:row>
    <x:row r="19" ht="12" hidden="0">
      <x:c r="A19" s="109" t="n">
        <x:f aca="0">IF('实盘净值数据(iFinD公式)'!A19="","",'实盘净值数据(iFinD公式)'!A19)</x:f>
        <x:v>46212</x:v>
      </x:c>
      <x:c r="B19" s="106" t="e">
        <x:f aca="0">IF(OR((ROW()-1)&lt;6,'实盘净值数据(iFinD公式)'!$A19="",'实盘净值数据(iFinD公式)'!$B19=""),"",SUMPRODUCT(实盘持仓初始配置!$B$4:$X$4,'实盘净值数据(iFinD公式)'!$B19:$X19/'实盘净值数据(iFinD公式)'!$B$6:$X$6)*(1-实盘持仓初始配置!$Z$4)^(('实盘净值数据(iFinD公式)'!$A19-'实盘净值数据(iFinD公式)'!$A$6)/365))</x:f>
        <x:v>#NAME?</x:v>
      </x:c>
      <x:c r="C19" s="110" t="e">
        <x:f aca="0">IF(OR(B18="",'实盘净值数据(iFinD公式)'!$A19="",'实盘净值数据(iFinD公式)'!$B19=""),"",(SUMPRODUCT(实盘持仓初始配置!$B$4:$X$4,'实盘净值数据(iFinD公式)'!$B18:$X18/'实盘净值数据(iFinD公式)'!$B$6:$X$6,'实盘净值数据(iFinD公式)'!$B19:$X19/'实盘净值数据(iFinD公式)'!$B18:$X18)/SUMPRODUCT(实盘持仓初始配置!$B$4:$X$4,'实盘净值数据(iFinD公式)'!$B18:$X18/'实盘净值数据(iFinD公式)'!$B$6:$X$6))*(1-实盘持仓初始配置!$Z$4)^(('实盘净值数据(iFinD公式)'!$A19-'实盘净值数据(iFinD公式)'!$A18)/365)-1)</x:f>
        <x:v>#NAME?</x:v>
      </x:c>
      <x:c r="D19" s="110" t="e">
        <x:f aca="0">IF(B19="","",B19/MAX(B$5:B19)-1)</x:f>
        <x:v>#NAME?</x:v>
      </x:c>
      <x:c r="E19" s="106" t="e">
        <x:f aca="0">IF(OR((ROW()-1)&lt;5,'实盘净值数据(iFinD公式)'!$A19="",'实盘净值数据(iFinD公式)'!$B19=""),"",SUMPRODUCT(实盘持仓初始配置!$B$5:$X$5,'实盘净值数据(iFinD公式)'!$B19:$X19/'实盘净值数据(iFinD公式)'!$B$5:$X$5)*(1-实盘持仓初始配置!$Z$5)^(('实盘净值数据(iFinD公式)'!$A19-'实盘净值数据(iFinD公式)'!$A$5)/365))</x:f>
        <x:v>#NAME?</x:v>
      </x:c>
      <x:c r="F19" s="110" t="e">
        <x:f aca="0">IF(OR(E18="",'实盘净值数据(iFinD公式)'!$A19="",'实盘净值数据(iFinD公式)'!$B19=""),"",(SUMPRODUCT(实盘持仓初始配置!$B$5:$X$5,'实盘净值数据(iFinD公式)'!$B18:$X18/'实盘净值数据(iFinD公式)'!$B$5:$X$5,'实盘净值数据(iFinD公式)'!$B19:$X19/'实盘净值数据(iFinD公式)'!$B18:$X18)/SUMPRODUCT(实盘持仓初始配置!$B$5:$X$5,'实盘净值数据(iFinD公式)'!$B18:$X18/'实盘净值数据(iFinD公式)'!$B$5:$X$5))*(1-实盘持仓初始配置!$Z$5)^(('实盘净值数据(iFinD公式)'!$A19-'实盘净值数据(iFinD公式)'!$A18)/365)-1)</x:f>
        <x:v>#NAME?</x:v>
      </x:c>
      <x:c r="G19" s="110" t="e">
        <x:f aca="0">IF(E19="","",E19/MAX(E$5:E19)-1)</x:f>
        <x:v>#NAME?</x:v>
      </x:c>
      <x:c r="H19" s="106" t="e">
        <x:f aca="0">IF(OR((ROW()-1)&lt;7,'实盘净值数据(iFinD公式)'!$A19="",'实盘净值数据(iFinD公式)'!$B19=""),"",SUMPRODUCT(实盘持仓初始配置!$B$6:$X$6,'实盘净值数据(iFinD公式)'!$B19:$X19/'实盘净值数据(iFinD公式)'!$B$7:$X$7)*(1-实盘持仓初始配置!$Z$6)^(('实盘净值数据(iFinD公式)'!$A19-'实盘净值数据(iFinD公式)'!$A$7)/365))</x:f>
        <x:v>#NAME?</x:v>
      </x:c>
      <x:c r="I19" s="110" t="e">
        <x:f aca="0">IF(OR(H18="",'实盘净值数据(iFinD公式)'!$A19="",'实盘净值数据(iFinD公式)'!$B19=""),"",(SUMPRODUCT(实盘持仓初始配置!$B$6:$X$6,'实盘净值数据(iFinD公式)'!$B18:$X18/'实盘净值数据(iFinD公式)'!$B$7:$X$7,'实盘净值数据(iFinD公式)'!$B19:$X19/'实盘净值数据(iFinD公式)'!$B18:$X18)/SUMPRODUCT(实盘持仓初始配置!$B$6:$X$6,'实盘净值数据(iFinD公式)'!$B18:$X18/'实盘净值数据(iFinD公式)'!$B$7:$X$7))*(1-实盘持仓初始配置!$Z$6)^(('实盘净值数据(iFinD公式)'!$A19-'实盘净值数据(iFinD公式)'!$A18)/365)-1)</x:f>
        <x:v>#NAME?</x:v>
      </x:c>
      <x:c r="J19" s="110" t="e">
        <x:f aca="0">IF(H19="","",H19/MAX(H$5:H19)-1)</x:f>
        <x:v>#NAME?</x:v>
      </x:c>
      <x:c r="K19" s="106" t="e">
        <x:f aca="0">IF(OR('实盘净值数据(iFinD公式)'!$A19="",'实盘净值数据(iFinD公式)'!$B19=""),"",分期持仓明细!$AD$14*SUMPRODUCT(分期持仓明细!$B$14:$AA$14,'实盘净值数据(iFinD公式)'!$B19:$AA19/'实盘净值数据(iFinD公式)'!$B$17:$AA$17)*(1-实盘持仓初始配置!$Z$7)^(('实盘净值数据(iFinD公式)'!$A19-'实盘净值数据(iFinD公式)'!$A$8)/365))</x:f>
        <x:v>#NAME?</x:v>
      </x:c>
      <x:c r="L19" s="110" t="e">
        <x:f aca="0">IF(OR(K18="",K19=""),"",K19/K18-1)</x:f>
        <x:v>#NAME?</x:v>
      </x:c>
      <x:c r="M19" s="110" t="e">
        <x:f aca="0">IF(K19="","",K19/MAX(K$5:K19)-1)</x:f>
        <x:v>#NAME?</x:v>
      </x:c>
      <x:c r="N19" s="106" t="e">
        <x:f aca="0">IF(OR('实盘净值数据(iFinD公式)'!$A19="",'实盘净值数据(iFinD公式)'!$B19=""),"",分期持仓明细!$AD$15*SUMPRODUCT(分期持仓明细!$B$15:$AA$15,'实盘净值数据(iFinD公式)'!$B19:$AA19/'实盘净值数据(iFinD公式)'!$B$17:$AA$17)*(1-实盘持仓初始配置!$Z$8)^(('实盘净值数据(iFinD公式)'!$A19-'实盘净值数据(iFinD公式)'!$A$5)/365))</x:f>
        <x:v>#NAME?</x:v>
      </x:c>
      <x:c r="O19" s="110" t="e">
        <x:f aca="0">IF(OR(N18="",N19=""),"",N19/N18-1)</x:f>
        <x:v>#NAME?</x:v>
      </x:c>
      <x:c r="P19" s="110" t="e">
        <x:f aca="0">IF(N19="","",N19/MAX(N$5:N19)-1)</x:f>
        <x:v>#NAME?</x:v>
      </x:c>
      <x:c r="Q19" s="106" t="e">
        <x:f aca="0">IF(OR('实盘净值数据(iFinD公式)'!$A19="",'实盘净值数据(iFinD公式)'!$B19=""),"",分期持仓明细!$AD$16*SUMPRODUCT(分期持仓明细!$B$16:$AA$16,'实盘净值数据(iFinD公式)'!$B19:$AA19/'实盘净值数据(iFinD公式)'!$B$17:$AA$17)*(1-实盘持仓初始配置!$Z$9)^(('实盘净值数据(iFinD公式)'!$A19-'实盘净值数据(iFinD公式)'!$A$8)/365))</x:f>
        <x:v>#NAME?</x:v>
      </x:c>
      <x:c r="R19" s="110" t="e">
        <x:f aca="0">IF(OR(Q18="",Q19=""),"",Q19/Q18-1)</x:f>
        <x:v>#NAME?</x:v>
      </x:c>
      <x:c r="S19" s="110" t="e">
        <x:f aca="0">IF(Q19="","",Q19/MAX(Q$5:Q19)-1)</x:f>
        <x:v>#NAME?</x:v>
      </x:c>
    </x:row>
    <x:row r="20" ht="12" hidden="0">
      <x:c r="A20" s="109" t="n">
        <x:f aca="0">IF('实盘净值数据(iFinD公式)'!A20="","",'实盘净值数据(iFinD公式)'!A20)</x:f>
        <x:v>46213</x:v>
      </x:c>
      <x:c r="B20" s="106" t="e">
        <x:f aca="0">IF(OR((ROW()-1)&lt;6,'实盘净值数据(iFinD公式)'!$A20="",'实盘净值数据(iFinD公式)'!$B20=""),"",SUMPRODUCT(实盘持仓初始配置!$B$4:$X$4,'实盘净值数据(iFinD公式)'!$B20:$X20/'实盘净值数据(iFinD公式)'!$B$6:$X$6)*(1-实盘持仓初始配置!$Z$4)^(('实盘净值数据(iFinD公式)'!$A20-'实盘净值数据(iFinD公式)'!$A$6)/365))</x:f>
        <x:v>#NAME?</x:v>
      </x:c>
      <x:c r="C20" s="110" t="e">
        <x:f aca="0">IF(OR(B19="",'实盘净值数据(iFinD公式)'!$A20="",'实盘净值数据(iFinD公式)'!$B20=""),"",(SUMPRODUCT(实盘持仓初始配置!$B$4:$X$4,'实盘净值数据(iFinD公式)'!$B19:$X19/'实盘净值数据(iFinD公式)'!$B$6:$X$6,'实盘净值数据(iFinD公式)'!$B20:$X20/'实盘净值数据(iFinD公式)'!$B19:$X19)/SUMPRODUCT(实盘持仓初始配置!$B$4:$X$4,'实盘净值数据(iFinD公式)'!$B19:$X19/'实盘净值数据(iFinD公式)'!$B$6:$X$6))*(1-实盘持仓初始配置!$Z$4)^(('实盘净值数据(iFinD公式)'!$A20-'实盘净值数据(iFinD公式)'!$A19)/365)-1)</x:f>
        <x:v>#NAME?</x:v>
      </x:c>
      <x:c r="D20" s="110" t="e">
        <x:f aca="0">IF(B20="","",B20/MAX(B$5:B20)-1)</x:f>
        <x:v>#NAME?</x:v>
      </x:c>
      <x:c r="E20" s="106" t="e">
        <x:f aca="0">IF(OR((ROW()-1)&lt;5,'实盘净值数据(iFinD公式)'!$A20="",'实盘净值数据(iFinD公式)'!$B20=""),"",SUMPRODUCT(实盘持仓初始配置!$B$5:$X$5,'实盘净值数据(iFinD公式)'!$B20:$X20/'实盘净值数据(iFinD公式)'!$B$5:$X$5)*(1-实盘持仓初始配置!$Z$5)^(('实盘净值数据(iFinD公式)'!$A20-'实盘净值数据(iFinD公式)'!$A$5)/365))</x:f>
        <x:v>#NAME?</x:v>
      </x:c>
      <x:c r="F20" s="110" t="e">
        <x:f aca="0">IF(OR(E19="",'实盘净值数据(iFinD公式)'!$A20="",'实盘净值数据(iFinD公式)'!$B20=""),"",(SUMPRODUCT(实盘持仓初始配置!$B$5:$X$5,'实盘净值数据(iFinD公式)'!$B19:$X19/'实盘净值数据(iFinD公式)'!$B$5:$X$5,'实盘净值数据(iFinD公式)'!$B20:$X20/'实盘净值数据(iFinD公式)'!$B19:$X19)/SUMPRODUCT(实盘持仓初始配置!$B$5:$X$5,'实盘净值数据(iFinD公式)'!$B19:$X19/'实盘净值数据(iFinD公式)'!$B$5:$X$5))*(1-实盘持仓初始配置!$Z$5)^(('实盘净值数据(iFinD公式)'!$A20-'实盘净值数据(iFinD公式)'!$A19)/365)-1)</x:f>
        <x:v>#NAME?</x:v>
      </x:c>
      <x:c r="G20" s="110" t="e">
        <x:f aca="0">IF(E20="","",E20/MAX(E$5:E20)-1)</x:f>
        <x:v>#NAME?</x:v>
      </x:c>
      <x:c r="H20" s="106" t="e">
        <x:f aca="0">IF(OR((ROW()-1)&lt;7,'实盘净值数据(iFinD公式)'!$A20="",'实盘净值数据(iFinD公式)'!$B20=""),"",SUMPRODUCT(实盘持仓初始配置!$B$6:$X$6,'实盘净值数据(iFinD公式)'!$B20:$X20/'实盘净值数据(iFinD公式)'!$B$7:$X$7)*(1-实盘持仓初始配置!$Z$6)^(('实盘净值数据(iFinD公式)'!$A20-'实盘净值数据(iFinD公式)'!$A$7)/365))</x:f>
        <x:v>#NAME?</x:v>
      </x:c>
      <x:c r="I20" s="110" t="e">
        <x:f aca="0">IF(OR(H19="",'实盘净值数据(iFinD公式)'!$A20="",'实盘净值数据(iFinD公式)'!$B20=""),"",(SUMPRODUCT(实盘持仓初始配置!$B$6:$X$6,'实盘净值数据(iFinD公式)'!$B19:$X19/'实盘净值数据(iFinD公式)'!$B$7:$X$7,'实盘净值数据(iFinD公式)'!$B20:$X20/'实盘净值数据(iFinD公式)'!$B19:$X19)/SUMPRODUCT(实盘持仓初始配置!$B$6:$X$6,'实盘净值数据(iFinD公式)'!$B19:$X19/'实盘净值数据(iFinD公式)'!$B$7:$X$7))*(1-实盘持仓初始配置!$Z$6)^(('实盘净值数据(iFinD公式)'!$A20-'实盘净值数据(iFinD公式)'!$A19)/365)-1)</x:f>
        <x:v>#NAME?</x:v>
      </x:c>
      <x:c r="J20" s="110" t="e">
        <x:f aca="0">IF(H20="","",H20/MAX(H$5:H20)-1)</x:f>
        <x:v>#NAME?</x:v>
      </x:c>
      <x:c r="K20" s="106" t="e">
        <x:f aca="0">IF(OR('实盘净值数据(iFinD公式)'!$A20="",'实盘净值数据(iFinD公式)'!$B20=""),"",分期持仓明细!$AD$14*SUMPRODUCT(分期持仓明细!$B$14:$AA$14,'实盘净值数据(iFinD公式)'!$B20:$AA20/'实盘净值数据(iFinD公式)'!$B$17:$AA$17)*(1-实盘持仓初始配置!$Z$7)^(('实盘净值数据(iFinD公式)'!$A20-'实盘净值数据(iFinD公式)'!$A$8)/365))</x:f>
        <x:v>#NAME?</x:v>
      </x:c>
      <x:c r="L20" s="110" t="e">
        <x:f aca="0">IF(OR(K19="",K20=""),"",K20/K19-1)</x:f>
        <x:v>#NAME?</x:v>
      </x:c>
      <x:c r="M20" s="110" t="e">
        <x:f aca="0">IF(K20="","",K20/MAX(K$5:K20)-1)</x:f>
        <x:v>#NAME?</x:v>
      </x:c>
      <x:c r="N20" s="106" t="e">
        <x:f aca="0">IF(OR('实盘净值数据(iFinD公式)'!$A20="",'实盘净值数据(iFinD公式)'!$B20=""),"",分期持仓明细!$AD$15*SUMPRODUCT(分期持仓明细!$B$15:$AA$15,'实盘净值数据(iFinD公式)'!$B20:$AA20/'实盘净值数据(iFinD公式)'!$B$17:$AA$17)*(1-实盘持仓初始配置!$Z$8)^(('实盘净值数据(iFinD公式)'!$A20-'实盘净值数据(iFinD公式)'!$A$5)/365))</x:f>
        <x:v>#NAME?</x:v>
      </x:c>
      <x:c r="O20" s="110" t="e">
        <x:f aca="0">IF(OR(N19="",N20=""),"",N20/N19-1)</x:f>
        <x:v>#NAME?</x:v>
      </x:c>
      <x:c r="P20" s="110" t="e">
        <x:f aca="0">IF(N20="","",N20/MAX(N$5:N20)-1)</x:f>
        <x:v>#NAME?</x:v>
      </x:c>
      <x:c r="Q20" s="106" t="e">
        <x:f aca="0">IF(OR('实盘净值数据(iFinD公式)'!$A20="",'实盘净值数据(iFinD公式)'!$B20=""),"",分期持仓明细!$AD$16*SUMPRODUCT(分期持仓明细!$B$16:$AA$16,'实盘净值数据(iFinD公式)'!$B20:$AA20/'实盘净值数据(iFinD公式)'!$B$17:$AA$17)*(1-实盘持仓初始配置!$Z$9)^(('实盘净值数据(iFinD公式)'!$A20-'实盘净值数据(iFinD公式)'!$A$8)/365))</x:f>
        <x:v>#NAME?</x:v>
      </x:c>
      <x:c r="R20" s="110" t="e">
        <x:f aca="0">IF(OR(Q19="",Q20=""),"",Q20/Q19-1)</x:f>
        <x:v>#NAME?</x:v>
      </x:c>
      <x:c r="S20" s="110" t="e">
        <x:f aca="0">IF(Q20="","",Q20/MAX(Q$5:Q20)-1)</x:f>
        <x:v>#NAME?</x:v>
      </x:c>
    </x:row>
    <x:row r="21" ht="12" hidden="0">
      <x:c r="A21" s="109" t="n">
        <x:f aca="0">IF('实盘净值数据(iFinD公式)'!A21="","",'实盘净值数据(iFinD公式)'!A21)</x:f>
        <x:v>46216</x:v>
      </x:c>
      <x:c r="B21" s="106" t="e">
        <x:f aca="0">IF(OR('实盘净值数据(iFinD公式)'!$A21="",'实盘净值数据(iFinD公式)'!$B21=""),"",分期持仓明细!$AD$17*SUMPRODUCT(分期持仓明细!$B$17:$AA$17,'实盘净值数据(iFinD公式)'!$B21:$AA21/'实盘净值数据(iFinD公式)'!$B$20:$AA$20)*(1-实盘持仓初始配置!$Z$4)^(('实盘净值数据(iFinD公式)'!$A21-'实盘净值数据(iFinD公式)'!$A$6)/365))</x:f>
        <x:v>#NAME?</x:v>
      </x:c>
      <x:c r="C21" s="110" t="e">
        <x:f aca="0">IF(OR(B20="",B21=""),"",B21/B20-1)</x:f>
        <x:v>#NAME?</x:v>
      </x:c>
      <x:c r="D21" s="110" t="e">
        <x:f aca="0">IF(B21="","",B21/MAX(B$5:B21)-1)</x:f>
        <x:v>#NAME?</x:v>
      </x:c>
      <x:c r="E21" s="106" t="e">
        <x:f aca="0">IF(OR('实盘净值数据(iFinD公式)'!$A21="",'实盘净值数据(iFinD公式)'!$B21=""),"",分期持仓明细!$AD$18*SUMPRODUCT(分期持仓明细!$B$18:$AA$18,'实盘净值数据(iFinD公式)'!$B21:$AA21/'实盘净值数据(iFinD公式)'!$B$20:$AA$20)*(1-实盘持仓初始配置!$Z$5)^(('实盘净值数据(iFinD公式)'!$A21-'实盘净值数据(iFinD公式)'!$A$5)/365))</x:f>
        <x:v>#NAME?</x:v>
      </x:c>
      <x:c r="F21" s="110" t="e">
        <x:f aca="0">IF(OR(E20="",E21=""),"",E21/E20-1)</x:f>
        <x:v>#NAME?</x:v>
      </x:c>
      <x:c r="G21" s="110" t="e">
        <x:f aca="0">IF(E21="","",E21/MAX(E$5:E21)-1)</x:f>
        <x:v>#NAME?</x:v>
      </x:c>
      <x:c r="H21" s="106" t="e">
        <x:f aca="0">IF(OR('实盘净值数据(iFinD公式)'!$A21="",'实盘净值数据(iFinD公式)'!$B21=""),"",分期持仓明细!$AD$19*SUMPRODUCT(分期持仓明细!$B$19:$AA$19,'实盘净值数据(iFinD公式)'!$B21:$AA21/'实盘净值数据(iFinD公式)'!$B$20:$AA$20)*(1-实盘持仓初始配置!$Z$6)^(('实盘净值数据(iFinD公式)'!$A21-'实盘净值数据(iFinD公式)'!$A$7)/365))</x:f>
        <x:v>#NAME?</x:v>
      </x:c>
      <x:c r="I21" s="110" t="e">
        <x:f aca="0">IF(OR(H20="",H21=""),"",H21/H20-1)</x:f>
        <x:v>#NAME?</x:v>
      </x:c>
      <x:c r="J21" s="110" t="e">
        <x:f aca="0">IF(H21="","",H21/MAX(H$5:H21)-1)</x:f>
        <x:v>#NAME?</x:v>
      </x:c>
      <x:c r="K21" s="106" t="e">
        <x:f aca="0">IF(OR('实盘净值数据(iFinD公式)'!$A21="",'实盘净值数据(iFinD公式)'!$B21=""),"",分期持仓明细!$AD$14*SUMPRODUCT(分期持仓明细!$B$14:$AA$14,'实盘净值数据(iFinD公式)'!$B21:$AA21/'实盘净值数据(iFinD公式)'!$B$17:$AA$17)*(1-实盘持仓初始配置!$Z$7)^(('实盘净值数据(iFinD公式)'!$A21-'实盘净值数据(iFinD公式)'!$A$8)/365))</x:f>
        <x:v>#NAME?</x:v>
      </x:c>
      <x:c r="L21" s="110" t="e">
        <x:f aca="0">IF(OR(K20="",K21=""),"",K21/K20-1)</x:f>
        <x:v>#NAME?</x:v>
      </x:c>
      <x:c r="M21" s="110" t="e">
        <x:f aca="0">IF(K21="","",K21/MAX(K$5:K21)-1)</x:f>
        <x:v>#NAME?</x:v>
      </x:c>
      <x:c r="N21" s="106" t="e">
        <x:f aca="0">IF(OR('实盘净值数据(iFinD公式)'!$A21="",'实盘净值数据(iFinD公式)'!$B21=""),"",分期持仓明细!$AD$15*SUMPRODUCT(分期持仓明细!$B$15:$AA$15,'实盘净值数据(iFinD公式)'!$B21:$AA21/'实盘净值数据(iFinD公式)'!$B$17:$AA$17)*(1-实盘持仓初始配置!$Z$8)^(('实盘净值数据(iFinD公式)'!$A21-'实盘净值数据(iFinD公式)'!$A$5)/365))</x:f>
        <x:v>#NAME?</x:v>
      </x:c>
      <x:c r="O21" s="110" t="e">
        <x:f aca="0">IF(OR(N20="",N21=""),"",N21/N20-1)</x:f>
        <x:v>#NAME?</x:v>
      </x:c>
      <x:c r="P21" s="110" t="e">
        <x:f aca="0">IF(N21="","",N21/MAX(N$5:N21)-1)</x:f>
        <x:v>#NAME?</x:v>
      </x:c>
      <x:c r="Q21" s="106" t="e">
        <x:f aca="0">IF(OR('实盘净值数据(iFinD公式)'!$A21="",'实盘净值数据(iFinD公式)'!$B21=""),"",分期持仓明细!$AD$16*SUMPRODUCT(分期持仓明细!$B$16:$AA$16,'实盘净值数据(iFinD公式)'!$B21:$AA21/'实盘净值数据(iFinD公式)'!$B$17:$AA$17)*(1-实盘持仓初始配置!$Z$9)^(('实盘净值数据(iFinD公式)'!$A21-'实盘净值数据(iFinD公式)'!$A$8)/365))</x:f>
        <x:v>#NAME?</x:v>
      </x:c>
      <x:c r="R21" s="110" t="e">
        <x:f aca="0">IF(OR(Q20="",Q21=""),"",Q21/Q20-1)</x:f>
        <x:v>#NAME?</x:v>
      </x:c>
      <x:c r="S21" s="110" t="e">
        <x:f aca="0">IF(Q21="","",Q21/MAX(Q$5:Q21)-1)</x:f>
        <x:v>#NAME?</x:v>
      </x:c>
    </x:row>
    <x:row r="22" ht="12" hidden="0">
      <x:c r="A22" s="109" t="n">
        <x:f aca="0">IF('实盘净值数据(iFinD公式)'!A22="","",'实盘净值数据(iFinD公式)'!A22)</x:f>
        <x:v>46217</x:v>
      </x:c>
      <x:c r="B22" s="106" t="e">
        <x:f aca="0">IF(OR('实盘净值数据(iFinD公式)'!$A22="",'实盘净值数据(iFinD公式)'!$B22=""),"",分期持仓明细!$AD$17*SUMPRODUCT(分期持仓明细!$B$17:$AA$17,'实盘净值数据(iFinD公式)'!$B22:$AA22/'实盘净值数据(iFinD公式)'!$B$20:$AA$20)*(1-实盘持仓初始配置!$Z$4)^(('实盘净值数据(iFinD公式)'!$A22-'实盘净值数据(iFinD公式)'!$A$6)/365))</x:f>
        <x:v>#NAME?</x:v>
      </x:c>
      <x:c r="C22" s="110" t="e">
        <x:f aca="0">IF(OR(B21="",B22=""),"",B22/B21-1)</x:f>
        <x:v>#NAME?</x:v>
      </x:c>
      <x:c r="D22" s="110" t="e">
        <x:f aca="0">IF(B22="","",B22/MAX(B$5:B22)-1)</x:f>
        <x:v>#NAME?</x:v>
      </x:c>
      <x:c r="E22" s="106" t="e">
        <x:f aca="0">IF(OR('实盘净值数据(iFinD公式)'!$A22="",'实盘净值数据(iFinD公式)'!$B22=""),"",分期持仓明细!$AD$18*SUMPRODUCT(分期持仓明细!$B$18:$AA$18,'实盘净值数据(iFinD公式)'!$B22:$AA22/'实盘净值数据(iFinD公式)'!$B$20:$AA$20)*(1-实盘持仓初始配置!$Z$5)^(('实盘净值数据(iFinD公式)'!$A22-'实盘净值数据(iFinD公式)'!$A$5)/365))</x:f>
        <x:v>#NAME?</x:v>
      </x:c>
      <x:c r="F22" s="110" t="e">
        <x:f aca="0">IF(OR(E21="",E22=""),"",E22/E21-1)</x:f>
        <x:v>#NAME?</x:v>
      </x:c>
      <x:c r="G22" s="110" t="e">
        <x:f aca="0">IF(E22="","",E22/MAX(E$5:E22)-1)</x:f>
        <x:v>#NAME?</x:v>
      </x:c>
      <x:c r="H22" s="106" t="e">
        <x:f aca="0">IF(OR('实盘净值数据(iFinD公式)'!$A22="",'实盘净值数据(iFinD公式)'!$B22=""),"",分期持仓明细!$AD$19*SUMPRODUCT(分期持仓明细!$B$19:$AA$19,'实盘净值数据(iFinD公式)'!$B22:$AA22/'实盘净值数据(iFinD公式)'!$B$20:$AA$20)*(1-实盘持仓初始配置!$Z$6)^(('实盘净值数据(iFinD公式)'!$A22-'实盘净值数据(iFinD公式)'!$A$7)/365))</x:f>
        <x:v>#NAME?</x:v>
      </x:c>
      <x:c r="I22" s="110" t="e">
        <x:f aca="0">IF(OR(H21="",H22=""),"",H22/H21-1)</x:f>
        <x:v>#NAME?</x:v>
      </x:c>
      <x:c r="J22" s="110" t="e">
        <x:f aca="0">IF(H22="","",H22/MAX(H$5:H22)-1)</x:f>
        <x:v>#NAME?</x:v>
      </x:c>
      <x:c r="K22" s="106" t="e">
        <x:f aca="0">IF(OR('实盘净值数据(iFinD公式)'!$A22="",'实盘净值数据(iFinD公式)'!$B22=""),"",分期持仓明细!$AD$14*SUMPRODUCT(分期持仓明细!$B$14:$AA$14,'实盘净值数据(iFinD公式)'!$B22:$AA22/'实盘净值数据(iFinD公式)'!$B$17:$AA$17)*(1-实盘持仓初始配置!$Z$7)^(('实盘净值数据(iFinD公式)'!$A22-'实盘净值数据(iFinD公式)'!$A$8)/365))</x:f>
        <x:v>#NAME?</x:v>
      </x:c>
      <x:c r="L22" s="110" t="e">
        <x:f aca="0">IF(OR(K21="",K22=""),"",K22/K21-1)</x:f>
        <x:v>#NAME?</x:v>
      </x:c>
      <x:c r="M22" s="110" t="e">
        <x:f aca="0">IF(K22="","",K22/MAX(K$5:K22)-1)</x:f>
        <x:v>#NAME?</x:v>
      </x:c>
      <x:c r="N22" s="106" t="e">
        <x:f aca="0">IF(OR('实盘净值数据(iFinD公式)'!$A22="",'实盘净值数据(iFinD公式)'!$B22=""),"",分期持仓明细!$AD$15*SUMPRODUCT(分期持仓明细!$B$15:$AA$15,'实盘净值数据(iFinD公式)'!$B22:$AA22/'实盘净值数据(iFinD公式)'!$B$17:$AA$17)*(1-实盘持仓初始配置!$Z$8)^(('实盘净值数据(iFinD公式)'!$A22-'实盘净值数据(iFinD公式)'!$A$5)/365))</x:f>
        <x:v>#NAME?</x:v>
      </x:c>
      <x:c r="O22" s="110" t="e">
        <x:f aca="0">IF(OR(N21="",N22=""),"",N22/N21-1)</x:f>
        <x:v>#NAME?</x:v>
      </x:c>
      <x:c r="P22" s="110" t="e">
        <x:f aca="0">IF(N22="","",N22/MAX(N$5:N22)-1)</x:f>
        <x:v>#NAME?</x:v>
      </x:c>
      <x:c r="Q22" s="106" t="e">
        <x:f aca="0">IF(OR('实盘净值数据(iFinD公式)'!$A22="",'实盘净值数据(iFinD公式)'!$B22=""),"",分期持仓明细!$AD$16*SUMPRODUCT(分期持仓明细!$B$16:$AA$16,'实盘净值数据(iFinD公式)'!$B22:$AA22/'实盘净值数据(iFinD公式)'!$B$17:$AA$17)*(1-实盘持仓初始配置!$Z$9)^(('实盘净值数据(iFinD公式)'!$A22-'实盘净值数据(iFinD公式)'!$A$8)/365))</x:f>
        <x:v>#NAME?</x:v>
      </x:c>
      <x:c r="R22" s="110" t="e">
        <x:f aca="0">IF(OR(Q21="",Q22=""),"",Q22/Q21-1)</x:f>
        <x:v>#NAME?</x:v>
      </x:c>
      <x:c r="S22" s="110" t="e">
        <x:f aca="0">IF(Q22="","",Q22/MAX(Q$5:Q22)-1)</x:f>
        <x:v>#NAME?</x:v>
      </x:c>
    </x:row>
    <x:row r="23" ht="12" hidden="0">
      <x:c r="A23" s="109" t="n">
        <x:f aca="0">IF('实盘净值数据(iFinD公式)'!A23="","",'实盘净值数据(iFinD公式)'!A23)</x:f>
        <x:v>46218</x:v>
      </x:c>
      <x:c r="B23" s="106" t="e">
        <x:f aca="0">IF(OR('实盘净值数据(iFinD公式)'!$A23="",'实盘净值数据(iFinD公式)'!$B23=""),"",分期持仓明细!$AD$17*SUMPRODUCT(分期持仓明细!$B$17:$AA$17,'实盘净值数据(iFinD公式)'!$B23:$AA23/'实盘净值数据(iFinD公式)'!$B$20:$AA$20)*(1-实盘持仓初始配置!$Z$4)^(('实盘净值数据(iFinD公式)'!$A23-'实盘净值数据(iFinD公式)'!$A$6)/365))</x:f>
        <x:v>#NAME?</x:v>
      </x:c>
      <x:c r="C23" s="110" t="e">
        <x:f aca="0">IF(OR(B22="",B23=""),"",B23/B22-1)</x:f>
        <x:v>#NAME?</x:v>
      </x:c>
      <x:c r="D23" s="110" t="e">
        <x:f aca="0">IF(B23="","",B23/MAX(B$5:B23)-1)</x:f>
        <x:v>#NAME?</x:v>
      </x:c>
      <x:c r="E23" s="106" t="e">
        <x:f aca="0">IF(OR('实盘净值数据(iFinD公式)'!$A23="",'实盘净值数据(iFinD公式)'!$B23=""),"",分期持仓明细!$AD$18*SUMPRODUCT(分期持仓明细!$B$18:$AA$18,'实盘净值数据(iFinD公式)'!$B23:$AA23/'实盘净值数据(iFinD公式)'!$B$20:$AA$20)*(1-实盘持仓初始配置!$Z$5)^(('实盘净值数据(iFinD公式)'!$A23-'实盘净值数据(iFinD公式)'!$A$5)/365))</x:f>
        <x:v>#NAME?</x:v>
      </x:c>
      <x:c r="F23" s="110" t="e">
        <x:f aca="0">IF(OR(E22="",E23=""),"",E23/E22-1)</x:f>
        <x:v>#NAME?</x:v>
      </x:c>
      <x:c r="G23" s="110" t="e">
        <x:f aca="0">IF(E23="","",E23/MAX(E$5:E23)-1)</x:f>
        <x:v>#NAME?</x:v>
      </x:c>
      <x:c r="H23" s="106" t="e">
        <x:f aca="0">IF(OR('实盘净值数据(iFinD公式)'!$A23="",'实盘净值数据(iFinD公式)'!$B23=""),"",分期持仓明细!$AD$19*SUMPRODUCT(分期持仓明细!$B$19:$AA$19,'实盘净值数据(iFinD公式)'!$B23:$AA23/'实盘净值数据(iFinD公式)'!$B$20:$AA$20)*(1-实盘持仓初始配置!$Z$6)^(('实盘净值数据(iFinD公式)'!$A23-'实盘净值数据(iFinD公式)'!$A$7)/365))</x:f>
        <x:v>#NAME?</x:v>
      </x:c>
      <x:c r="I23" s="110" t="e">
        <x:f aca="0">IF(OR(H22="",H23=""),"",H23/H22-1)</x:f>
        <x:v>#NAME?</x:v>
      </x:c>
      <x:c r="J23" s="110" t="e">
        <x:f aca="0">IF(H23="","",H23/MAX(H$5:H23)-1)</x:f>
        <x:v>#NAME?</x:v>
      </x:c>
      <x:c r="K23" s="106" t="e">
        <x:f aca="0">IF(OR('实盘净值数据(iFinD公式)'!$A23="",'实盘净值数据(iFinD公式)'!$B23=""),"",分期持仓明细!$AD$14*SUMPRODUCT(分期持仓明细!$B$14:$AA$14,'实盘净值数据(iFinD公式)'!$B23:$AA23/'实盘净值数据(iFinD公式)'!$B$17:$AA$17)*(1-实盘持仓初始配置!$Z$7)^(('实盘净值数据(iFinD公式)'!$A23-'实盘净值数据(iFinD公式)'!$A$8)/365))</x:f>
        <x:v>#NAME?</x:v>
      </x:c>
      <x:c r="L23" s="110" t="e">
        <x:f aca="0">IF(OR(K22="",K23=""),"",K23/K22-1)</x:f>
        <x:v>#NAME?</x:v>
      </x:c>
      <x:c r="M23" s="110" t="e">
        <x:f aca="0">IF(K23="","",K23/MAX(K$5:K23)-1)</x:f>
        <x:v>#NAME?</x:v>
      </x:c>
      <x:c r="N23" s="106" t="e">
        <x:f aca="0">IF(OR('实盘净值数据(iFinD公式)'!$A23="",'实盘净值数据(iFinD公式)'!$B23=""),"",分期持仓明细!$AD$15*SUMPRODUCT(分期持仓明细!$B$15:$AA$15,'实盘净值数据(iFinD公式)'!$B23:$AA23/'实盘净值数据(iFinD公式)'!$B$17:$AA$17)*(1-实盘持仓初始配置!$Z$8)^(('实盘净值数据(iFinD公式)'!$A23-'实盘净值数据(iFinD公式)'!$A$5)/365))</x:f>
        <x:v>#NAME?</x:v>
      </x:c>
      <x:c r="O23" s="110" t="e">
        <x:f aca="0">IF(OR(N22="",N23=""),"",N23/N22-1)</x:f>
        <x:v>#NAME?</x:v>
      </x:c>
      <x:c r="P23" s="110" t="e">
        <x:f aca="0">IF(N23="","",N23/MAX(N$5:N23)-1)</x:f>
        <x:v>#NAME?</x:v>
      </x:c>
      <x:c r="Q23" s="106" t="e">
        <x:f aca="0">IF(OR('实盘净值数据(iFinD公式)'!$A23="",'实盘净值数据(iFinD公式)'!$B23=""),"",分期持仓明细!$AD$16*SUMPRODUCT(分期持仓明细!$B$16:$AA$16,'实盘净值数据(iFinD公式)'!$B23:$AA23/'实盘净值数据(iFinD公式)'!$B$17:$AA$17)*(1-实盘持仓初始配置!$Z$9)^(('实盘净值数据(iFinD公式)'!$A23-'实盘净值数据(iFinD公式)'!$A$8)/365))</x:f>
        <x:v>#NAME?</x:v>
      </x:c>
      <x:c r="R23" s="110" t="e">
        <x:f aca="0">IF(OR(Q22="",Q23=""),"",Q23/Q22-1)</x:f>
        <x:v>#NAME?</x:v>
      </x:c>
      <x:c r="S23" s="110" t="e">
        <x:f aca="0">IF(Q23="","",Q23/MAX(Q$5:Q23)-1)</x:f>
        <x:v>#NAME?</x:v>
      </x:c>
    </x:row>
    <x:row r="24" ht="12" hidden="0">
      <x:c r="A24" s="109" t="n">
        <x:f aca="0">IF('实盘净值数据(iFinD公式)'!A24="","",'实盘净值数据(iFinD公式)'!A24)</x:f>
        <x:v>46219</x:v>
      </x:c>
      <x:c r="B24" s="106" t="e">
        <x:f aca="0">IF(OR('实盘净值数据(iFinD公式)'!$A24="",'实盘净值数据(iFinD公式)'!$B24=""),"",分期持仓明细!$AD$17*SUMPRODUCT(分期持仓明细!$B$17:$AA$17,'实盘净值数据(iFinD公式)'!$B24:$AA24/'实盘净值数据(iFinD公式)'!$B$20:$AA$20)*(1-实盘持仓初始配置!$Z$4)^(('实盘净值数据(iFinD公式)'!$A24-'实盘净值数据(iFinD公式)'!$A$6)/365))</x:f>
        <x:v>#NAME?</x:v>
      </x:c>
      <x:c r="C24" s="110" t="e">
        <x:f aca="0">IF(OR(B23="",B24=""),"",B24/B23-1)</x:f>
        <x:v>#NAME?</x:v>
      </x:c>
      <x:c r="D24" s="110" t="e">
        <x:f aca="0">IF(B24="","",B24/MAX(B$5:B24)-1)</x:f>
        <x:v>#NAME?</x:v>
      </x:c>
      <x:c r="E24" s="106" t="e">
        <x:f aca="0">IF(OR('实盘净值数据(iFinD公式)'!$A24="",'实盘净值数据(iFinD公式)'!$B24=""),"",分期持仓明细!$AD$18*SUMPRODUCT(分期持仓明细!$B$18:$AA$18,'实盘净值数据(iFinD公式)'!$B24:$AA24/'实盘净值数据(iFinD公式)'!$B$20:$AA$20)*(1-实盘持仓初始配置!$Z$5)^(('实盘净值数据(iFinD公式)'!$A24-'实盘净值数据(iFinD公式)'!$A$5)/365))</x:f>
        <x:v>#NAME?</x:v>
      </x:c>
      <x:c r="F24" s="110" t="e">
        <x:f aca="0">IF(OR(E23="",E24=""),"",E24/E23-1)</x:f>
        <x:v>#NAME?</x:v>
      </x:c>
      <x:c r="G24" s="110" t="e">
        <x:f aca="0">IF(E24="","",E24/MAX(E$5:E24)-1)</x:f>
        <x:v>#NAME?</x:v>
      </x:c>
      <x:c r="H24" s="106" t="e">
        <x:f aca="0">IF(OR('实盘净值数据(iFinD公式)'!$A24="",'实盘净值数据(iFinD公式)'!$B24=""),"",分期持仓明细!$AD$19*SUMPRODUCT(分期持仓明细!$B$19:$AA$19,'实盘净值数据(iFinD公式)'!$B24:$AA24/'实盘净值数据(iFinD公式)'!$B$20:$AA$20)*(1-实盘持仓初始配置!$Z$6)^(('实盘净值数据(iFinD公式)'!$A24-'实盘净值数据(iFinD公式)'!$A$7)/365))</x:f>
        <x:v>#NAME?</x:v>
      </x:c>
      <x:c r="I24" s="110" t="e">
        <x:f aca="0">IF(OR(H23="",H24=""),"",H24/H23-1)</x:f>
        <x:v>#NAME?</x:v>
      </x:c>
      <x:c r="J24" s="110" t="e">
        <x:f aca="0">IF(H24="","",H24/MAX(H$5:H24)-1)</x:f>
        <x:v>#NAME?</x:v>
      </x:c>
      <x:c r="K24" s="106" t="e">
        <x:f aca="0">IF(OR('实盘净值数据(iFinD公式)'!$A24="",'实盘净值数据(iFinD公式)'!$B24=""),"",分期持仓明细!$AD$14*SUMPRODUCT(分期持仓明细!$B$14:$AA$14,'实盘净值数据(iFinD公式)'!$B24:$AA24/'实盘净值数据(iFinD公式)'!$B$17:$AA$17)*(1-实盘持仓初始配置!$Z$7)^(('实盘净值数据(iFinD公式)'!$A24-'实盘净值数据(iFinD公式)'!$A$8)/365))</x:f>
        <x:v>#NAME?</x:v>
      </x:c>
      <x:c r="L24" s="110" t="e">
        <x:f aca="0">IF(OR(K23="",K24=""),"",K24/K23-1)</x:f>
        <x:v>#NAME?</x:v>
      </x:c>
      <x:c r="M24" s="110" t="e">
        <x:f aca="0">IF(K24="","",K24/MAX(K$5:K24)-1)</x:f>
        <x:v>#NAME?</x:v>
      </x:c>
      <x:c r="N24" s="106" t="e">
        <x:f aca="0">IF(OR('实盘净值数据(iFinD公式)'!$A24="",'实盘净值数据(iFinD公式)'!$B24=""),"",分期持仓明细!$AD$15*SUMPRODUCT(分期持仓明细!$B$15:$AA$15,'实盘净值数据(iFinD公式)'!$B24:$AA24/'实盘净值数据(iFinD公式)'!$B$17:$AA$17)*(1-实盘持仓初始配置!$Z$8)^(('实盘净值数据(iFinD公式)'!$A24-'实盘净值数据(iFinD公式)'!$A$5)/365))</x:f>
        <x:v>#NAME?</x:v>
      </x:c>
      <x:c r="O24" s="110" t="e">
        <x:f aca="0">IF(OR(N23="",N24=""),"",N24/N23-1)</x:f>
        <x:v>#NAME?</x:v>
      </x:c>
      <x:c r="P24" s="110" t="e">
        <x:f aca="0">IF(N24="","",N24/MAX(N$5:N24)-1)</x:f>
        <x:v>#NAME?</x:v>
      </x:c>
      <x:c r="Q24" s="106" t="e">
        <x:f aca="0">IF(OR('实盘净值数据(iFinD公式)'!$A24="",'实盘净值数据(iFinD公式)'!$B24=""),"",分期持仓明细!$AD$16*SUMPRODUCT(分期持仓明细!$B$16:$AA$16,'实盘净值数据(iFinD公式)'!$B24:$AA24/'实盘净值数据(iFinD公式)'!$B$17:$AA$17)*(1-实盘持仓初始配置!$Z$9)^(('实盘净值数据(iFinD公式)'!$A24-'实盘净值数据(iFinD公式)'!$A$8)/365))</x:f>
        <x:v>#NAME?</x:v>
      </x:c>
      <x:c r="R24" s="110" t="e">
        <x:f aca="0">IF(OR(Q23="",Q24=""),"",Q24/Q23-1)</x:f>
        <x:v>#NAME?</x:v>
      </x:c>
      <x:c r="S24" s="110" t="e">
        <x:f aca="0">IF(Q24="","",Q24/MAX(Q$5:Q24)-1)</x:f>
        <x:v>#NAME?</x:v>
      </x:c>
    </x:row>
    <x:row r="25" ht="12" hidden="0">
      <x:c r="A25" s="109" t="n">
        <x:f aca="0">IF('实盘净值数据(iFinD公式)'!A25="","",'实盘净值数据(iFinD公式)'!A25)</x:f>
        <x:v>46220</x:v>
      </x:c>
      <x:c r="B25" s="106" t="e">
        <x:f aca="0">IF(OR('实盘净值数据(iFinD公式)'!$A25="",'实盘净值数据(iFinD公式)'!$B25=""),"",分期持仓明细!$AD$17*SUMPRODUCT(分期持仓明细!$B$17:$AA$17,'实盘净值数据(iFinD公式)'!$B25:$AA25/'实盘净值数据(iFinD公式)'!$B$20:$AA$20)*(1-实盘持仓初始配置!$Z$4)^(('实盘净值数据(iFinD公式)'!$A25-'实盘净值数据(iFinD公式)'!$A$6)/365))</x:f>
        <x:v>#NAME?</x:v>
      </x:c>
      <x:c r="C25" s="110" t="e">
        <x:f aca="0">IF(OR(B24="",B25=""),"",B25/B24-1)</x:f>
        <x:v>#NAME?</x:v>
      </x:c>
      <x:c r="D25" s="110" t="e">
        <x:f aca="0">IF(B25="","",B25/MAX(B$5:B25)-1)</x:f>
        <x:v>#NAME?</x:v>
      </x:c>
      <x:c r="E25" s="106" t="e">
        <x:f aca="0">IF(OR('实盘净值数据(iFinD公式)'!$A25="",'实盘净值数据(iFinD公式)'!$B25=""),"",分期持仓明细!$AD$18*SUMPRODUCT(分期持仓明细!$B$18:$AA$18,'实盘净值数据(iFinD公式)'!$B25:$AA25/'实盘净值数据(iFinD公式)'!$B$20:$AA$20)*(1-实盘持仓初始配置!$Z$5)^(('实盘净值数据(iFinD公式)'!$A25-'实盘净值数据(iFinD公式)'!$A$5)/365))</x:f>
        <x:v>#NAME?</x:v>
      </x:c>
      <x:c r="F25" s="110" t="e">
        <x:f aca="0">IF(OR(E24="",E25=""),"",E25/E24-1)</x:f>
        <x:v>#NAME?</x:v>
      </x:c>
      <x:c r="G25" s="110" t="e">
        <x:f aca="0">IF(E25="","",E25/MAX(E$5:E25)-1)</x:f>
        <x:v>#NAME?</x:v>
      </x:c>
      <x:c r="H25" s="106" t="e">
        <x:f aca="0">IF(OR('实盘净值数据(iFinD公式)'!$A25="",'实盘净值数据(iFinD公式)'!$B25=""),"",分期持仓明细!$AD$19*SUMPRODUCT(分期持仓明细!$B$19:$AA$19,'实盘净值数据(iFinD公式)'!$B25:$AA25/'实盘净值数据(iFinD公式)'!$B$20:$AA$20)*(1-实盘持仓初始配置!$Z$6)^(('实盘净值数据(iFinD公式)'!$A25-'实盘净值数据(iFinD公式)'!$A$7)/365))</x:f>
        <x:v>#NAME?</x:v>
      </x:c>
      <x:c r="I25" s="110" t="e">
        <x:f aca="0">IF(OR(H24="",H25=""),"",H25/H24-1)</x:f>
        <x:v>#NAME?</x:v>
      </x:c>
      <x:c r="J25" s="110" t="e">
        <x:f aca="0">IF(H25="","",H25/MAX(H$5:H25)-1)</x:f>
        <x:v>#NAME?</x:v>
      </x:c>
      <x:c r="K25" s="106" t="e">
        <x:f aca="0">IF(OR('实盘净值数据(iFinD公式)'!$A25="",'实盘净值数据(iFinD公式)'!$B25=""),"",分期持仓明细!$AD$20*SUMPRODUCT(分期持仓明细!$B$20:$AA$20,'实盘净值数据(iFinD公式)'!$B25:$AA25/'实盘净值数据(iFinD公式)'!$B$25:$AA$25)*(1-实盘持仓初始配置!$Z$7)^(('实盘净值数据(iFinD公式)'!$A25-'实盘净值数据(iFinD公式)'!$A$8)/365))</x:f>
        <x:v>#NAME?</x:v>
      </x:c>
      <x:c r="L25" s="110" t="e">
        <x:f aca="0">IF(OR(K24="",K25=""),"",K25/K24-1)</x:f>
        <x:v>#NAME?</x:v>
      </x:c>
      <x:c r="M25" s="110" t="e">
        <x:f aca="0">IF(K25="","",K25/MAX(K$5:K25)-1)</x:f>
        <x:v>#NAME?</x:v>
      </x:c>
      <x:c r="N25" s="106" t="e">
        <x:f aca="0">IF(OR('实盘净值数据(iFinD公式)'!$A25="",'实盘净值数据(iFinD公式)'!$B25=""),"",分期持仓明细!$AD$21*SUMPRODUCT(分期持仓明细!$B$21:$AA$21,'实盘净值数据(iFinD公式)'!$B25:$AA25/'实盘净值数据(iFinD公式)'!$B$25:$AA$25)*(1-实盘持仓初始配置!$Z$8)^(('实盘净值数据(iFinD公式)'!$A25-'实盘净值数据(iFinD公式)'!$A$5)/365))</x:f>
        <x:v>#NAME?</x:v>
      </x:c>
      <x:c r="O25" s="110" t="e">
        <x:f aca="0">IF(OR(N24="",N25=""),"",N25/N24-1)</x:f>
        <x:v>#NAME?</x:v>
      </x:c>
      <x:c r="P25" s="110" t="e">
        <x:f aca="0">IF(N25="","",N25/MAX(N$5:N25)-1)</x:f>
        <x:v>#NAME?</x:v>
      </x:c>
      <x:c r="Q25" s="106" t="e">
        <x:f aca="0">IF(OR('实盘净值数据(iFinD公式)'!$A25="",'实盘净值数据(iFinD公式)'!$B25=""),"",分期持仓明细!$AD$22*SUMPRODUCT(分期持仓明细!$B$22:$AA$22,'实盘净值数据(iFinD公式)'!$B25:$AA25/'实盘净值数据(iFinD公式)'!$B$25:$AA$25)*(1-实盘持仓初始配置!$Z$9)^(('实盘净值数据(iFinD公式)'!$A25-'实盘净值数据(iFinD公式)'!$A$8)/365))</x:f>
        <x:v>#NAME?</x:v>
      </x:c>
      <x:c r="R25" s="110" t="e">
        <x:f aca="0">IF(OR(Q24="",Q25=""),"",Q25/Q24-1)</x:f>
        <x:v>#NAME?</x:v>
      </x:c>
      <x:c r="S25" s="110" t="e">
        <x:f aca="0">IF(Q25="","",Q25/MAX(Q$5:Q25)-1)</x:f>
        <x:v>#NAME?</x:v>
      </x:c>
    </x:row>
    <x:row r="26" ht="12" hidden="0">
      <x:c r="A26" s="109" t="n">
        <x:f aca="0">IF('实盘净值数据(iFinD公式)'!A26="","",'实盘净值数据(iFinD公式)'!A26)</x:f>
        <x:v>46223</x:v>
      </x:c>
      <x:c r="B26" s="106" t="e">
        <x:f aca="0">IF(OR('实盘净值数据(iFinD公式)'!$A26="",'实盘净值数据(iFinD公式)'!$B26=""),"",分期持仓明细!$AD$17*SUMPRODUCT(分期持仓明细!$B$17:$AA$17,'实盘净值数据(iFinD公式)'!$B26:$AA26/'实盘净值数据(iFinD公式)'!$B$20:$AA$20)*(1-实盘持仓初始配置!$Z$4)^(('实盘净值数据(iFinD公式)'!$A26-'实盘净值数据(iFinD公式)'!$A$6)/365))</x:f>
        <x:v>#NAME?</x:v>
      </x:c>
      <x:c r="C26" s="110" t="e">
        <x:f aca="0">IF(OR(B25="",B26=""),"",B26/B25-1)</x:f>
        <x:v>#NAME?</x:v>
      </x:c>
      <x:c r="D26" s="110" t="e">
        <x:f aca="0">IF(B26="","",B26/MAX(B$5:B26)-1)</x:f>
        <x:v>#NAME?</x:v>
      </x:c>
      <x:c r="E26" s="106" t="e">
        <x:f aca="0">IF(OR('实盘净值数据(iFinD公式)'!$A26="",'实盘净值数据(iFinD公式)'!$B26=""),"",分期持仓明细!$AD$18*SUMPRODUCT(分期持仓明细!$B$18:$AA$18,'实盘净值数据(iFinD公式)'!$B26:$AA26/'实盘净值数据(iFinD公式)'!$B$20:$AA$20)*(1-实盘持仓初始配置!$Z$5)^(('实盘净值数据(iFinD公式)'!$A26-'实盘净值数据(iFinD公式)'!$A$5)/365))</x:f>
        <x:v>#NAME?</x:v>
      </x:c>
      <x:c r="F26" s="110" t="e">
        <x:f aca="0">IF(OR(E25="",E26=""),"",E26/E25-1)</x:f>
        <x:v>#NAME?</x:v>
      </x:c>
      <x:c r="G26" s="110" t="e">
        <x:f aca="0">IF(E26="","",E26/MAX(E$5:E26)-1)</x:f>
        <x:v>#NAME?</x:v>
      </x:c>
      <x:c r="H26" s="106" t="e">
        <x:f aca="0">IF(OR('实盘净值数据(iFinD公式)'!$A26="",'实盘净值数据(iFinD公式)'!$B26=""),"",分期持仓明细!$AD$19*SUMPRODUCT(分期持仓明细!$B$19:$AA$19,'实盘净值数据(iFinD公式)'!$B26:$AA26/'实盘净值数据(iFinD公式)'!$B$20:$AA$20)*(1-实盘持仓初始配置!$Z$6)^(('实盘净值数据(iFinD公式)'!$A26-'实盘净值数据(iFinD公式)'!$A$7)/365))</x:f>
        <x:v>#NAME?</x:v>
      </x:c>
      <x:c r="I26" s="110" t="e">
        <x:f aca="0">IF(OR(H25="",H26=""),"",H26/H25-1)</x:f>
        <x:v>#NAME?</x:v>
      </x:c>
      <x:c r="J26" s="110" t="e">
        <x:f aca="0">IF(H26="","",H26/MAX(H$5:H26)-1)</x:f>
        <x:v>#NAME?</x:v>
      </x:c>
      <x:c r="K26" s="106" t="e">
        <x:f aca="0">IF(OR('实盘净值数据(iFinD公式)'!$A26="",'实盘净值数据(iFinD公式)'!$B26=""),"",分期持仓明细!$AD$20*SUMPRODUCT(分期持仓明细!$B$20:$AA$20,'实盘净值数据(iFinD公式)'!$B26:$AA26/'实盘净值数据(iFinD公式)'!$B$25:$AA$25)*(1-实盘持仓初始配置!$Z$7)^(('实盘净值数据(iFinD公式)'!$A26-'实盘净值数据(iFinD公式)'!$A$8)/365))</x:f>
        <x:v>#NAME?</x:v>
      </x:c>
      <x:c r="L26" s="110" t="e">
        <x:f aca="0">IF(OR(K25="",K26=""),"",K26/K25-1)</x:f>
        <x:v>#NAME?</x:v>
      </x:c>
      <x:c r="M26" s="110" t="e">
        <x:f aca="0">IF(K26="","",K26/MAX(K$5:K26)-1)</x:f>
        <x:v>#NAME?</x:v>
      </x:c>
      <x:c r="N26" s="106" t="e">
        <x:f aca="0">IF(OR('实盘净值数据(iFinD公式)'!$A26="",'实盘净值数据(iFinD公式)'!$B26=""),"",分期持仓明细!$AD$21*SUMPRODUCT(分期持仓明细!$B$21:$AA$21,'实盘净值数据(iFinD公式)'!$B26:$AA26/'实盘净值数据(iFinD公式)'!$B$25:$AA$25)*(1-实盘持仓初始配置!$Z$8)^(('实盘净值数据(iFinD公式)'!$A26-'实盘净值数据(iFinD公式)'!$A$5)/365))</x:f>
        <x:v>#NAME?</x:v>
      </x:c>
      <x:c r="O26" s="110" t="e">
        <x:f aca="0">IF(OR(N25="",N26=""),"",N26/N25-1)</x:f>
        <x:v>#NAME?</x:v>
      </x:c>
      <x:c r="P26" s="110" t="e">
        <x:f aca="0">IF(N26="","",N26/MAX(N$5:N26)-1)</x:f>
        <x:v>#NAME?</x:v>
      </x:c>
      <x:c r="Q26" s="106" t="e">
        <x:f aca="0">IF(OR('实盘净值数据(iFinD公式)'!$A26="",'实盘净值数据(iFinD公式)'!$B26=""),"",分期持仓明细!$AD$22*SUMPRODUCT(分期持仓明细!$B$22:$AA$22,'实盘净值数据(iFinD公式)'!$B26:$AA26/'实盘净值数据(iFinD公式)'!$B$25:$AA$25)*(1-实盘持仓初始配置!$Z$9)^(('实盘净值数据(iFinD公式)'!$A26-'实盘净值数据(iFinD公式)'!$A$8)/365))</x:f>
        <x:v>#NAME?</x:v>
      </x:c>
      <x:c r="R26" s="110" t="e">
        <x:f aca="0">IF(OR(Q25="",Q26=""),"",Q26/Q25-1)</x:f>
        <x:v>#NAME?</x:v>
      </x:c>
      <x:c r="S26" s="110" t="e">
        <x:f aca="0">IF(Q26="","",Q26/MAX(Q$5:Q26)-1)</x:f>
        <x:v>#NAME?</x:v>
      </x:c>
    </x:row>
    <x:row r="27" ht="12" hidden="0">
      <x:c r="A27" s="109" t="n">
        <x:f aca="0">IF('实盘净值数据(iFinD公式)'!A27="","",'实盘净值数据(iFinD公式)'!A27)</x:f>
        <x:v>46224</x:v>
      </x:c>
      <x:c r="B27" s="106" t="e">
        <x:f aca="0">IF(OR('实盘净值数据(iFinD公式)'!$A27="",'实盘净值数据(iFinD公式)'!$B27=""),"",分期持仓明细!$AD$17*SUMPRODUCT(分期持仓明细!$B$17:$AA$17,'实盘净值数据(iFinD公式)'!$B27:$AA27/'实盘净值数据(iFinD公式)'!$B$20:$AA$20)*(1-实盘持仓初始配置!$Z$4)^(('实盘净值数据(iFinD公式)'!$A27-'实盘净值数据(iFinD公式)'!$A$6)/365))</x:f>
        <x:v>#NAME?</x:v>
      </x:c>
      <x:c r="C27" s="110" t="e">
        <x:f aca="0">IF(OR(B26="",B27=""),"",B27/B26-1)</x:f>
        <x:v>#NAME?</x:v>
      </x:c>
      <x:c r="D27" s="110" t="e">
        <x:f aca="0">IF(B27="","",B27/MAX(B$5:B27)-1)</x:f>
        <x:v>#NAME?</x:v>
      </x:c>
      <x:c r="E27" s="106" t="e">
        <x:f aca="0">IF(OR('实盘净值数据(iFinD公式)'!$A27="",'实盘净值数据(iFinD公式)'!$B27=""),"",分期持仓明细!$AD$18*SUMPRODUCT(分期持仓明细!$B$18:$AA$18,'实盘净值数据(iFinD公式)'!$B27:$AA27/'实盘净值数据(iFinD公式)'!$B$20:$AA$20)*(1-实盘持仓初始配置!$Z$5)^(('实盘净值数据(iFinD公式)'!$A27-'实盘净值数据(iFinD公式)'!$A$5)/365))</x:f>
        <x:v>#NAME?</x:v>
      </x:c>
      <x:c r="F27" s="110" t="e">
        <x:f aca="0">IF(OR(E26="",E27=""),"",E27/E26-1)</x:f>
        <x:v>#NAME?</x:v>
      </x:c>
      <x:c r="G27" s="110" t="e">
        <x:f aca="0">IF(E27="","",E27/MAX(E$5:E27)-1)</x:f>
        <x:v>#NAME?</x:v>
      </x:c>
      <x:c r="H27" s="106" t="e">
        <x:f aca="0">IF(OR('实盘净值数据(iFinD公式)'!$A27="",'实盘净值数据(iFinD公式)'!$B27=""),"",分期持仓明细!$AD$19*SUMPRODUCT(分期持仓明细!$B$19:$AA$19,'实盘净值数据(iFinD公式)'!$B27:$AA27/'实盘净值数据(iFinD公式)'!$B$20:$AA$20)*(1-实盘持仓初始配置!$Z$6)^(('实盘净值数据(iFinD公式)'!$A27-'实盘净值数据(iFinD公式)'!$A$7)/365))</x:f>
        <x:v>#NAME?</x:v>
      </x:c>
      <x:c r="I27" s="110" t="e">
        <x:f aca="0">IF(OR(H26="",H27=""),"",H27/H26-1)</x:f>
        <x:v>#NAME?</x:v>
      </x:c>
      <x:c r="J27" s="110" t="e">
        <x:f aca="0">IF(H27="","",H27/MAX(H$5:H27)-1)</x:f>
        <x:v>#NAME?</x:v>
      </x:c>
      <x:c r="K27" s="106" t="e">
        <x:f aca="0">IF(OR('实盘净值数据(iFinD公式)'!$A27="",'实盘净值数据(iFinD公式)'!$B27=""),"",分期持仓明细!$AD$20*SUMPRODUCT(分期持仓明细!$B$20:$AA$20,'实盘净值数据(iFinD公式)'!$B27:$AA27/'实盘净值数据(iFinD公式)'!$B$25:$AA$25)*(1-实盘持仓初始配置!$Z$7)^(('实盘净值数据(iFinD公式)'!$A27-'实盘净值数据(iFinD公式)'!$A$8)/365))</x:f>
        <x:v>#NAME?</x:v>
      </x:c>
      <x:c r="L27" s="110" t="e">
        <x:f aca="0">IF(OR(K26="",K27=""),"",K27/K26-1)</x:f>
        <x:v>#NAME?</x:v>
      </x:c>
      <x:c r="M27" s="110" t="e">
        <x:f aca="0">IF(K27="","",K27/MAX(K$5:K27)-1)</x:f>
        <x:v>#NAME?</x:v>
      </x:c>
      <x:c r="N27" s="106" t="e">
        <x:f aca="0">IF(OR('实盘净值数据(iFinD公式)'!$A27="",'实盘净值数据(iFinD公式)'!$B27=""),"",分期持仓明细!$AD$21*SUMPRODUCT(分期持仓明细!$B$21:$AA$21,'实盘净值数据(iFinD公式)'!$B27:$AA27/'实盘净值数据(iFinD公式)'!$B$25:$AA$25)*(1-实盘持仓初始配置!$Z$8)^(('实盘净值数据(iFinD公式)'!$A27-'实盘净值数据(iFinD公式)'!$A$5)/365))</x:f>
        <x:v>#NAME?</x:v>
      </x:c>
      <x:c r="O27" s="110" t="e">
        <x:f aca="0">IF(OR(N26="",N27=""),"",N27/N26-1)</x:f>
        <x:v>#NAME?</x:v>
      </x:c>
      <x:c r="P27" s="110" t="e">
        <x:f aca="0">IF(N27="","",N27/MAX(N$5:N27)-1)</x:f>
        <x:v>#NAME?</x:v>
      </x:c>
      <x:c r="Q27" s="106" t="e">
        <x:f aca="0">IF(OR('实盘净值数据(iFinD公式)'!$A27="",'实盘净值数据(iFinD公式)'!$B27=""),"",分期持仓明细!$AD$22*SUMPRODUCT(分期持仓明细!$B$22:$AA$22,'实盘净值数据(iFinD公式)'!$B27:$AA27/'实盘净值数据(iFinD公式)'!$B$25:$AA$25)*(1-实盘持仓初始配置!$Z$9)^(('实盘净值数据(iFinD公式)'!$A27-'实盘净值数据(iFinD公式)'!$A$8)/365))</x:f>
        <x:v>#NAME?</x:v>
      </x:c>
      <x:c r="R27" s="110" t="e">
        <x:f aca="0">IF(OR(Q26="",Q27=""),"",Q27/Q26-1)</x:f>
        <x:v>#NAME?</x:v>
      </x:c>
      <x:c r="S27" s="110" t="e">
        <x:f aca="0">IF(Q27="","",Q27/MAX(Q$5:Q27)-1)</x:f>
        <x:v>#NAME?</x:v>
      </x:c>
    </x:row>
    <x:row r="28" ht="12" hidden="0">
      <x:c r="A28" s="109" t="n">
        <x:f aca="0">IF('实盘净值数据(iFinD公式)'!A28="","",'实盘净值数据(iFinD公式)'!A28)</x:f>
        <x:v>46225</x:v>
      </x:c>
      <x:c r="B28" s="106" t="e">
        <x:f aca="0">IF(OR('实盘净值数据(iFinD公式)'!$A28="",'实盘净值数据(iFinD公式)'!$B28=""),"",分期持仓明细!$AD$17*SUMPRODUCT(分期持仓明细!$B$17:$AA$17,'实盘净值数据(iFinD公式)'!$B28:$AA28/'实盘净值数据(iFinD公式)'!$B$20:$AA$20)*(1-实盘持仓初始配置!$Z$4)^(('实盘净值数据(iFinD公式)'!$A28-'实盘净值数据(iFinD公式)'!$A$6)/365))</x:f>
        <x:v>#NAME?</x:v>
      </x:c>
      <x:c r="C28" s="110" t="e">
        <x:f aca="0">IF(OR(B27="",B28=""),"",B28/B27-1)</x:f>
        <x:v>#NAME?</x:v>
      </x:c>
      <x:c r="D28" s="110" t="e">
        <x:f aca="0">IF(B28="","",B28/MAX(B$5:B28)-1)</x:f>
        <x:v>#NAME?</x:v>
      </x:c>
      <x:c r="E28" s="106" t="e">
        <x:f aca="0">IF(OR('实盘净值数据(iFinD公式)'!$A28="",'实盘净值数据(iFinD公式)'!$B28=""),"",分期持仓明细!$AD$18*SUMPRODUCT(分期持仓明细!$B$18:$AA$18,'实盘净值数据(iFinD公式)'!$B28:$AA28/'实盘净值数据(iFinD公式)'!$B$20:$AA$20)*(1-实盘持仓初始配置!$Z$5)^(('实盘净值数据(iFinD公式)'!$A28-'实盘净值数据(iFinD公式)'!$A$5)/365))</x:f>
        <x:v>#NAME?</x:v>
      </x:c>
      <x:c r="F28" s="110" t="e">
        <x:f aca="0">IF(OR(E27="",E28=""),"",E28/E27-1)</x:f>
        <x:v>#NAME?</x:v>
      </x:c>
      <x:c r="G28" s="110" t="e">
        <x:f aca="0">IF(E28="","",E28/MAX(E$5:E28)-1)</x:f>
        <x:v>#NAME?</x:v>
      </x:c>
      <x:c r="H28" s="106" t="e">
        <x:f aca="0">IF(OR('实盘净值数据(iFinD公式)'!$A28="",'实盘净值数据(iFinD公式)'!$B28=""),"",分期持仓明细!$AD$19*SUMPRODUCT(分期持仓明细!$B$19:$AA$19,'实盘净值数据(iFinD公式)'!$B28:$AA28/'实盘净值数据(iFinD公式)'!$B$20:$AA$20)*(1-实盘持仓初始配置!$Z$6)^(('实盘净值数据(iFinD公式)'!$A28-'实盘净值数据(iFinD公式)'!$A$7)/365))</x:f>
        <x:v>#NAME?</x:v>
      </x:c>
      <x:c r="I28" s="110" t="e">
        <x:f aca="0">IF(OR(H27="",H28=""),"",H28/H27-1)</x:f>
        <x:v>#NAME?</x:v>
      </x:c>
      <x:c r="J28" s="110" t="e">
        <x:f aca="0">IF(H28="","",H28/MAX(H$5:H28)-1)</x:f>
        <x:v>#NAME?</x:v>
      </x:c>
      <x:c r="K28" s="106" t="e">
        <x:f aca="0">IF(OR('实盘净值数据(iFinD公式)'!$A28="",'实盘净值数据(iFinD公式)'!$B28=""),"",分期持仓明细!$AD$20*SUMPRODUCT(分期持仓明细!$B$20:$AA$20,'实盘净值数据(iFinD公式)'!$B28:$AA28/'实盘净值数据(iFinD公式)'!$B$25:$AA$25)*(1-实盘持仓初始配置!$Z$7)^(('实盘净值数据(iFinD公式)'!$A28-'实盘净值数据(iFinD公式)'!$A$8)/365))</x:f>
        <x:v>#NAME?</x:v>
      </x:c>
      <x:c r="L28" s="110" t="e">
        <x:f aca="0">IF(OR(K27="",K28=""),"",K28/K27-1)</x:f>
        <x:v>#NAME?</x:v>
      </x:c>
      <x:c r="M28" s="110" t="e">
        <x:f aca="0">IF(K28="","",K28/MAX(K$5:K28)-1)</x:f>
        <x:v>#NAME?</x:v>
      </x:c>
      <x:c r="N28" s="106" t="e">
        <x:f aca="0">IF(OR('实盘净值数据(iFinD公式)'!$A28="",'实盘净值数据(iFinD公式)'!$B28=""),"",分期持仓明细!$AD$21*SUMPRODUCT(分期持仓明细!$B$21:$AA$21,'实盘净值数据(iFinD公式)'!$B28:$AA28/'实盘净值数据(iFinD公式)'!$B$25:$AA$25)*(1-实盘持仓初始配置!$Z$8)^(('实盘净值数据(iFinD公式)'!$A28-'实盘净值数据(iFinD公式)'!$A$5)/365))</x:f>
        <x:v>#NAME?</x:v>
      </x:c>
      <x:c r="O28" s="110" t="e">
        <x:f aca="0">IF(OR(N27="",N28=""),"",N28/N27-1)</x:f>
        <x:v>#NAME?</x:v>
      </x:c>
      <x:c r="P28" s="110" t="e">
        <x:f aca="0">IF(N28="","",N28/MAX(N$5:N28)-1)</x:f>
        <x:v>#NAME?</x:v>
      </x:c>
      <x:c r="Q28" s="106" t="e">
        <x:f aca="0">IF(OR('实盘净值数据(iFinD公式)'!$A28="",'实盘净值数据(iFinD公式)'!$B28=""),"",分期持仓明细!$AD$22*SUMPRODUCT(分期持仓明细!$B$22:$AA$22,'实盘净值数据(iFinD公式)'!$B28:$AA28/'实盘净值数据(iFinD公式)'!$B$25:$AA$25)*(1-实盘持仓初始配置!$Z$9)^(('实盘净值数据(iFinD公式)'!$A28-'实盘净值数据(iFinD公式)'!$A$8)/365))</x:f>
        <x:v>#NAME?</x:v>
      </x:c>
      <x:c r="R28" s="110" t="e">
        <x:f aca="0">IF(OR(Q27="",Q28=""),"",Q28/Q27-1)</x:f>
        <x:v>#NAME?</x:v>
      </x:c>
      <x:c r="S28" s="110" t="e">
        <x:f aca="0">IF(Q28="","",Q28/MAX(Q$5:Q28)-1)</x:f>
        <x:v>#NAME?</x:v>
      </x:c>
    </x:row>
    <x:row r="29" ht="12" hidden="0">
      <x:c r="A29" s="109" t="n">
        <x:f aca="0">IF('实盘净值数据(iFinD公式)'!A29="","",'实盘净值数据(iFinD公式)'!A29)</x:f>
        <x:v>46226</x:v>
      </x:c>
      <x:c r="B29" s="106" t="e">
        <x:f aca="0">IF(OR('实盘净值数据(iFinD公式)'!$A29="",'实盘净值数据(iFinD公式)'!$B29=""),"",分期持仓明细!$AD$17*SUMPRODUCT(分期持仓明细!$B$17:$AA$17,'实盘净值数据(iFinD公式)'!$B29:$AA29/'实盘净值数据(iFinD公式)'!$B$20:$AA$20)*(1-实盘持仓初始配置!$Z$4)^(('实盘净值数据(iFinD公式)'!$A29-'实盘净值数据(iFinD公式)'!$A$6)/365))</x:f>
        <x:v>#NAME?</x:v>
      </x:c>
      <x:c r="C29" s="110" t="e">
        <x:f aca="0">IF(OR(B28="",B29=""),"",B29/B28-1)</x:f>
        <x:v>#NAME?</x:v>
      </x:c>
      <x:c r="D29" s="110" t="e">
        <x:f aca="0">IF(B29="","",B29/MAX(B$5:B29)-1)</x:f>
        <x:v>#NAME?</x:v>
      </x:c>
      <x:c r="E29" s="106" t="e">
        <x:f aca="0">IF(OR('实盘净值数据(iFinD公式)'!$A29="",'实盘净值数据(iFinD公式)'!$B29=""),"",分期持仓明细!$AD$18*SUMPRODUCT(分期持仓明细!$B$18:$AA$18,'实盘净值数据(iFinD公式)'!$B29:$AA29/'实盘净值数据(iFinD公式)'!$B$20:$AA$20)*(1-实盘持仓初始配置!$Z$5)^(('实盘净值数据(iFinD公式)'!$A29-'实盘净值数据(iFinD公式)'!$A$5)/365))</x:f>
        <x:v>#NAME?</x:v>
      </x:c>
      <x:c r="F29" s="110" t="e">
        <x:f aca="0">IF(OR(E28="",E29=""),"",E29/E28-1)</x:f>
        <x:v>#NAME?</x:v>
      </x:c>
      <x:c r="G29" s="110" t="e">
        <x:f aca="0">IF(E29="","",E29/MAX(E$5:E29)-1)</x:f>
        <x:v>#NAME?</x:v>
      </x:c>
      <x:c r="H29" s="106" t="e">
        <x:f aca="0">IF(OR('实盘净值数据(iFinD公式)'!$A29="",'实盘净值数据(iFinD公式)'!$B29=""),"",分期持仓明细!$AD$19*SUMPRODUCT(分期持仓明细!$B$19:$AA$19,'实盘净值数据(iFinD公式)'!$B29:$AA29/'实盘净值数据(iFinD公式)'!$B$20:$AA$20)*(1-实盘持仓初始配置!$Z$6)^(('实盘净值数据(iFinD公式)'!$A29-'实盘净值数据(iFinD公式)'!$A$7)/365))</x:f>
        <x:v>#NAME?</x:v>
      </x:c>
      <x:c r="I29" s="110" t="e">
        <x:f aca="0">IF(OR(H28="",H29=""),"",H29/H28-1)</x:f>
        <x:v>#NAME?</x:v>
      </x:c>
      <x:c r="J29" s="110" t="e">
        <x:f aca="0">IF(H29="","",H29/MAX(H$5:H29)-1)</x:f>
        <x:v>#NAME?</x:v>
      </x:c>
      <x:c r="K29" s="106" t="e">
        <x:f aca="0">IF(OR('实盘净值数据(iFinD公式)'!$A29="",'实盘净值数据(iFinD公式)'!$B29=""),"",分期持仓明细!$AD$20*SUMPRODUCT(分期持仓明细!$B$20:$AA$20,'实盘净值数据(iFinD公式)'!$B29:$AA29/'实盘净值数据(iFinD公式)'!$B$25:$AA$25)*(1-实盘持仓初始配置!$Z$7)^(('实盘净值数据(iFinD公式)'!$A29-'实盘净值数据(iFinD公式)'!$A$8)/365))</x:f>
        <x:v>#NAME?</x:v>
      </x:c>
      <x:c r="L29" s="110" t="e">
        <x:f aca="0">IF(OR(K28="",K29=""),"",K29/K28-1)</x:f>
        <x:v>#NAME?</x:v>
      </x:c>
      <x:c r="M29" s="110" t="e">
        <x:f aca="0">IF(K29="","",K29/MAX(K$5:K29)-1)</x:f>
        <x:v>#NAME?</x:v>
      </x:c>
      <x:c r="N29" s="106" t="e">
        <x:f aca="0">IF(OR('实盘净值数据(iFinD公式)'!$A29="",'实盘净值数据(iFinD公式)'!$B29=""),"",分期持仓明细!$AD$21*SUMPRODUCT(分期持仓明细!$B$21:$AA$21,'实盘净值数据(iFinD公式)'!$B29:$AA29/'实盘净值数据(iFinD公式)'!$B$25:$AA$25)*(1-实盘持仓初始配置!$Z$8)^(('实盘净值数据(iFinD公式)'!$A29-'实盘净值数据(iFinD公式)'!$A$5)/365))</x:f>
        <x:v>#NAME?</x:v>
      </x:c>
      <x:c r="O29" s="110" t="e">
        <x:f aca="0">IF(OR(N28="",N29=""),"",N29/N28-1)</x:f>
        <x:v>#NAME?</x:v>
      </x:c>
      <x:c r="P29" s="110" t="e">
        <x:f aca="0">IF(N29="","",N29/MAX(N$5:N29)-1)</x:f>
        <x:v>#NAME?</x:v>
      </x:c>
      <x:c r="Q29" s="106" t="e">
        <x:f aca="0">IF(OR('实盘净值数据(iFinD公式)'!$A29="",'实盘净值数据(iFinD公式)'!$B29=""),"",分期持仓明细!$AD$22*SUMPRODUCT(分期持仓明细!$B$22:$AA$22,'实盘净值数据(iFinD公式)'!$B29:$AA29/'实盘净值数据(iFinD公式)'!$B$25:$AA$25)*(1-实盘持仓初始配置!$Z$9)^(('实盘净值数据(iFinD公式)'!$A29-'实盘净值数据(iFinD公式)'!$A$8)/365))</x:f>
        <x:v>#NAME?</x:v>
      </x:c>
      <x:c r="R29" s="110" t="e">
        <x:f aca="0">IF(OR(Q28="",Q29=""),"",Q29/Q28-1)</x:f>
        <x:v>#NAME?</x:v>
      </x:c>
      <x:c r="S29" s="110" t="e">
        <x:f aca="0">IF(Q29="","",Q29/MAX(Q$5:Q29)-1)</x:f>
        <x:v>#NAME?</x:v>
      </x:c>
    </x:row>
    <x:row r="30" ht="12" hidden="0">
      <x:c r="A30" s="109" t="n">
        <x:f aca="0">IF('实盘净值数据(iFinD公式)'!A30="","",'实盘净值数据(iFinD公式)'!A30)</x:f>
        <x:v>46227</x:v>
      </x:c>
      <x:c r="B30" s="106" t="e">
        <x:f aca="0">IF(OR('实盘净值数据(iFinD公式)'!$A30="",'实盘净值数据(iFinD公式)'!$B30=""),"",分期持仓明细!$AD$17*SUMPRODUCT(分期持仓明细!$B$17:$AA$17,'实盘净值数据(iFinD公式)'!$B30:$AA30/'实盘净值数据(iFinD公式)'!$B$20:$AA$20)*(1-实盘持仓初始配置!$Z$4)^(('实盘净值数据(iFinD公式)'!$A30-'实盘净值数据(iFinD公式)'!$A$6)/365))</x:f>
        <x:v>#NAME?</x:v>
      </x:c>
      <x:c r="C30" s="110" t="e">
        <x:f aca="0">IF(OR(B29="",B30=""),"",B30/B29-1)</x:f>
        <x:v>#NAME?</x:v>
      </x:c>
      <x:c r="D30" s="110" t="e">
        <x:f aca="0">IF(B30="","",B30/MAX(B$5:B30)-1)</x:f>
        <x:v>#NAME?</x:v>
      </x:c>
      <x:c r="E30" s="106" t="e">
        <x:f aca="0">IF(OR('实盘净值数据(iFinD公式)'!$A30="",'实盘净值数据(iFinD公式)'!$B30=""),"",分期持仓明细!$AD$18*SUMPRODUCT(分期持仓明细!$B$18:$AA$18,'实盘净值数据(iFinD公式)'!$B30:$AA30/'实盘净值数据(iFinD公式)'!$B$20:$AA$20)*(1-实盘持仓初始配置!$Z$5)^(('实盘净值数据(iFinD公式)'!$A30-'实盘净值数据(iFinD公式)'!$A$5)/365))</x:f>
        <x:v>#NAME?</x:v>
      </x:c>
      <x:c r="F30" s="110" t="e">
        <x:f aca="0">IF(OR(E29="",E30=""),"",E30/E29-1)</x:f>
        <x:v>#NAME?</x:v>
      </x:c>
      <x:c r="G30" s="110" t="e">
        <x:f aca="0">IF(E30="","",E30/MAX(E$5:E30)-1)</x:f>
        <x:v>#NAME?</x:v>
      </x:c>
      <x:c r="H30" s="106" t="e">
        <x:f aca="0">IF(OR('实盘净值数据(iFinD公式)'!$A30="",'实盘净值数据(iFinD公式)'!$B30=""),"",分期持仓明细!$AD$19*SUMPRODUCT(分期持仓明细!$B$19:$AA$19,'实盘净值数据(iFinD公式)'!$B30:$AA30/'实盘净值数据(iFinD公式)'!$B$20:$AA$20)*(1-实盘持仓初始配置!$Z$6)^(('实盘净值数据(iFinD公式)'!$A30-'实盘净值数据(iFinD公式)'!$A$7)/365))</x:f>
        <x:v>#NAME?</x:v>
      </x:c>
      <x:c r="I30" s="110" t="e">
        <x:f aca="0">IF(OR(H29="",H30=""),"",H30/H29-1)</x:f>
        <x:v>#NAME?</x:v>
      </x:c>
      <x:c r="J30" s="110" t="e">
        <x:f aca="0">IF(H30="","",H30/MAX(H$5:H30)-1)</x:f>
        <x:v>#NAME?</x:v>
      </x:c>
      <x:c r="K30" s="106" t="e">
        <x:f aca="0">IF(OR('实盘净值数据(iFinD公式)'!$A30="",'实盘净值数据(iFinD公式)'!$B30=""),"",分期持仓明细!$AD$20*SUMPRODUCT(分期持仓明细!$B$20:$AA$20,'实盘净值数据(iFinD公式)'!$B30:$AA30/'实盘净值数据(iFinD公式)'!$B$25:$AA$25)*(1-实盘持仓初始配置!$Z$7)^(('实盘净值数据(iFinD公式)'!$A30-'实盘净值数据(iFinD公式)'!$A$8)/365))</x:f>
        <x:v>#NAME?</x:v>
      </x:c>
      <x:c r="L30" s="110" t="e">
        <x:f aca="0">IF(OR(K29="",K30=""),"",K30/K29-1)</x:f>
        <x:v>#NAME?</x:v>
      </x:c>
      <x:c r="M30" s="110" t="e">
        <x:f aca="0">IF(K30="","",K30/MAX(K$5:K30)-1)</x:f>
        <x:v>#NAME?</x:v>
      </x:c>
      <x:c r="N30" s="106" t="e">
        <x:f aca="0">IF(OR('实盘净值数据(iFinD公式)'!$A30="",'实盘净值数据(iFinD公式)'!$B30=""),"",分期持仓明细!$AD$21*SUMPRODUCT(分期持仓明细!$B$21:$AA$21,'实盘净值数据(iFinD公式)'!$B30:$AA30/'实盘净值数据(iFinD公式)'!$B$25:$AA$25)*(1-实盘持仓初始配置!$Z$8)^(('实盘净值数据(iFinD公式)'!$A30-'实盘净值数据(iFinD公式)'!$A$5)/365))</x:f>
        <x:v>#NAME?</x:v>
      </x:c>
      <x:c r="O30" s="110" t="e">
        <x:f aca="0">IF(OR(N29="",N30=""),"",N30/N29-1)</x:f>
        <x:v>#NAME?</x:v>
      </x:c>
      <x:c r="P30" s="110" t="e">
        <x:f aca="0">IF(N30="","",N30/MAX(N$5:N30)-1)</x:f>
        <x:v>#NAME?</x:v>
      </x:c>
      <x:c r="Q30" s="106" t="e">
        <x:f aca="0">IF(OR('实盘净值数据(iFinD公式)'!$A30="",'实盘净值数据(iFinD公式)'!$B30=""),"",分期持仓明细!$AD$22*SUMPRODUCT(分期持仓明细!$B$22:$AA$22,'实盘净值数据(iFinD公式)'!$B30:$AA30/'实盘净值数据(iFinD公式)'!$B$25:$AA$25)*(1-实盘持仓初始配置!$Z$9)^(('实盘净值数据(iFinD公式)'!$A30-'实盘净值数据(iFinD公式)'!$A$8)/365))</x:f>
        <x:v>#NAME?</x:v>
      </x:c>
      <x:c r="R30" s="110" t="e">
        <x:f aca="0">IF(OR(Q29="",Q30=""),"",Q30/Q29-1)</x:f>
        <x:v>#NAME?</x:v>
      </x:c>
      <x:c r="S30" s="110" t="e">
        <x:f aca="0">IF(Q30="","",Q30/MAX(Q$5:Q30)-1)</x:f>
        <x:v>#NAME?</x:v>
      </x:c>
    </x:row>
    <x:row r="31" ht="12" hidden="0">
      <x:c r="A31" s="109" t="n">
        <x:f aca="0">IF('实盘净值数据(iFinD公式)'!A31="","",'实盘净值数据(iFinD公式)'!A31)</x:f>
        <x:v>46230</x:v>
      </x:c>
      <x:c r="B31" s="106" t="e">
        <x:f aca="0">IF(OR('实盘净值数据(iFinD公式)'!$A31="",'实盘净值数据(iFinD公式)'!$B31=""),"",分期持仓明细!$AD$17*SUMPRODUCT(分期持仓明细!$B$17:$AA$17,'实盘净值数据(iFinD公式)'!$B31:$AA31/'实盘净值数据(iFinD公式)'!$B$20:$AA$20)*(1-实盘持仓初始配置!$Z$4)^(('实盘净值数据(iFinD公式)'!$A31-'实盘净值数据(iFinD公式)'!$A$6)/365))</x:f>
        <x:v>#NAME?</x:v>
      </x:c>
      <x:c r="C31" s="110" t="e">
        <x:f aca="0">IF(OR(B30="",B31=""),"",B31/B30-1)</x:f>
        <x:v>#NAME?</x:v>
      </x:c>
      <x:c r="D31" s="110" t="e">
        <x:f aca="0">IF(B31="","",B31/MAX(B$5:B31)-1)</x:f>
        <x:v>#NAME?</x:v>
      </x:c>
      <x:c r="E31" s="106" t="e">
        <x:f aca="0">IF(OR('实盘净值数据(iFinD公式)'!$A31="",'实盘净值数据(iFinD公式)'!$B31=""),"",分期持仓明细!$AD$18*SUMPRODUCT(分期持仓明细!$B$18:$AA$18,'实盘净值数据(iFinD公式)'!$B31:$AA31/'实盘净值数据(iFinD公式)'!$B$20:$AA$20)*(1-实盘持仓初始配置!$Z$5)^(('实盘净值数据(iFinD公式)'!$A31-'实盘净值数据(iFinD公式)'!$A$5)/365))</x:f>
        <x:v>#NAME?</x:v>
      </x:c>
      <x:c r="F31" s="110" t="e">
        <x:f aca="0">IF(OR(E30="",E31=""),"",E31/E30-1)</x:f>
        <x:v>#NAME?</x:v>
      </x:c>
      <x:c r="G31" s="110" t="e">
        <x:f aca="0">IF(E31="","",E31/MAX(E$5:E31)-1)</x:f>
        <x:v>#NAME?</x:v>
      </x:c>
      <x:c r="H31" s="106" t="e">
        <x:f aca="0">IF(OR('实盘净值数据(iFinD公式)'!$A31="",'实盘净值数据(iFinD公式)'!$B31=""),"",分期持仓明细!$AD$19*SUMPRODUCT(分期持仓明细!$B$19:$AA$19,'实盘净值数据(iFinD公式)'!$B31:$AA31/'实盘净值数据(iFinD公式)'!$B$20:$AA$20)*(1-实盘持仓初始配置!$Z$6)^(('实盘净值数据(iFinD公式)'!$A31-'实盘净值数据(iFinD公式)'!$A$7)/365))</x:f>
        <x:v>#NAME?</x:v>
      </x:c>
      <x:c r="I31" s="110" t="e">
        <x:f aca="0">IF(OR(H30="",H31=""),"",H31/H30-1)</x:f>
        <x:v>#NAME?</x:v>
      </x:c>
      <x:c r="J31" s="110" t="e">
        <x:f aca="0">IF(H31="","",H31/MAX(H$5:H31)-1)</x:f>
        <x:v>#NAME?</x:v>
      </x:c>
      <x:c r="K31" s="106" t="e">
        <x:f aca="0">IF(OR('实盘净值数据(iFinD公式)'!$A31="",'实盘净值数据(iFinD公式)'!$B31=""),"",分期持仓明细!$AD$20*SUMPRODUCT(分期持仓明细!$B$20:$AA$20,'实盘净值数据(iFinD公式)'!$B31:$AA31/'实盘净值数据(iFinD公式)'!$B$25:$AA$25)*(1-实盘持仓初始配置!$Z$7)^(('实盘净值数据(iFinD公式)'!$A31-'实盘净值数据(iFinD公式)'!$A$8)/365))</x:f>
        <x:v>#NAME?</x:v>
      </x:c>
      <x:c r="L31" s="110" t="e">
        <x:f aca="0">IF(OR(K30="",K31=""),"",K31/K30-1)</x:f>
        <x:v>#NAME?</x:v>
      </x:c>
      <x:c r="M31" s="110" t="e">
        <x:f aca="0">IF(K31="","",K31/MAX(K$5:K31)-1)</x:f>
        <x:v>#NAME?</x:v>
      </x:c>
      <x:c r="N31" s="106" t="e">
        <x:f aca="0">IF(OR('实盘净值数据(iFinD公式)'!$A31="",'实盘净值数据(iFinD公式)'!$B31=""),"",分期持仓明细!$AD$21*SUMPRODUCT(分期持仓明细!$B$21:$AA$21,'实盘净值数据(iFinD公式)'!$B31:$AA31/'实盘净值数据(iFinD公式)'!$B$25:$AA$25)*(1-实盘持仓初始配置!$Z$8)^(('实盘净值数据(iFinD公式)'!$A31-'实盘净值数据(iFinD公式)'!$A$5)/365))</x:f>
        <x:v>#NAME?</x:v>
      </x:c>
      <x:c r="O31" s="110" t="e">
        <x:f aca="0">IF(OR(N30="",N31=""),"",N31/N30-1)</x:f>
        <x:v>#NAME?</x:v>
      </x:c>
      <x:c r="P31" s="110" t="e">
        <x:f aca="0">IF(N31="","",N31/MAX(N$5:N31)-1)</x:f>
        <x:v>#NAME?</x:v>
      </x:c>
      <x:c r="Q31" s="106" t="e">
        <x:f aca="0">IF(OR('实盘净值数据(iFinD公式)'!$A31="",'实盘净值数据(iFinD公式)'!$B31=""),"",分期持仓明细!$AD$22*SUMPRODUCT(分期持仓明细!$B$22:$AA$22,'实盘净值数据(iFinD公式)'!$B31:$AA31/'实盘净值数据(iFinD公式)'!$B$25:$AA$25)*(1-实盘持仓初始配置!$Z$9)^(('实盘净值数据(iFinD公式)'!$A31-'实盘净值数据(iFinD公式)'!$A$8)/365))</x:f>
        <x:v>#NAME?</x:v>
      </x:c>
      <x:c r="R31" s="110" t="e">
        <x:f aca="0">IF(OR(Q30="",Q31=""),"",Q31/Q30-1)</x:f>
        <x:v>#NAME?</x:v>
      </x:c>
      <x:c r="S31" s="110" t="e">
        <x:f aca="0">IF(Q31="","",Q31/MAX(Q$5:Q31)-1)</x:f>
        <x:v>#NAME?</x:v>
      </x:c>
    </x:row>
    <x:row r="32" ht="12" hidden="0">
      <x:c r="A32" s="109" t="n">
        <x:f aca="0">IF('实盘净值数据(iFinD公式)'!A32="","",'实盘净值数据(iFinD公式)'!A32)</x:f>
        <x:v>46231</x:v>
      </x:c>
      <x:c r="B32" s="106" t="e">
        <x:f aca="0">IF(OR('实盘净值数据(iFinD公式)'!$A32="",'实盘净值数据(iFinD公式)'!$B32=""),"",分期持仓明细!$AD$17*SUMPRODUCT(分期持仓明细!$B$17:$AA$17,'实盘净值数据(iFinD公式)'!$B32:$AA32/'实盘净值数据(iFinD公式)'!$B$20:$AA$20)*(1-实盘持仓初始配置!$Z$4)^(('实盘净值数据(iFinD公式)'!$A32-'实盘净值数据(iFinD公式)'!$A$6)/365))</x:f>
        <x:v>#NAME?</x:v>
      </x:c>
      <x:c r="C32" s="110" t="e">
        <x:f aca="0">IF(OR(B31="",B32=""),"",B32/B31-1)</x:f>
        <x:v>#NAME?</x:v>
      </x:c>
      <x:c r="D32" s="110" t="e">
        <x:f aca="0">IF(B32="","",B32/MAX(B$5:B32)-1)</x:f>
        <x:v>#NAME?</x:v>
      </x:c>
      <x:c r="E32" s="106" t="e">
        <x:f aca="0">IF(OR('实盘净值数据(iFinD公式)'!$A32="",'实盘净值数据(iFinD公式)'!$B32=""),"",分期持仓明细!$AD$18*SUMPRODUCT(分期持仓明细!$B$18:$AA$18,'实盘净值数据(iFinD公式)'!$B32:$AA32/'实盘净值数据(iFinD公式)'!$B$20:$AA$20)*(1-实盘持仓初始配置!$Z$5)^(('实盘净值数据(iFinD公式)'!$A32-'实盘净值数据(iFinD公式)'!$A$5)/365))</x:f>
        <x:v>#NAME?</x:v>
      </x:c>
      <x:c r="F32" s="110" t="e">
        <x:f aca="0">IF(OR(E31="",E32=""),"",E32/E31-1)</x:f>
        <x:v>#NAME?</x:v>
      </x:c>
      <x:c r="G32" s="110" t="e">
        <x:f aca="0">IF(E32="","",E32/MAX(E$5:E32)-1)</x:f>
        <x:v>#NAME?</x:v>
      </x:c>
      <x:c r="H32" s="106" t="e">
        <x:f aca="0">IF(OR('实盘净值数据(iFinD公式)'!$A32="",'实盘净值数据(iFinD公式)'!$B32=""),"",分期持仓明细!$AD$19*SUMPRODUCT(分期持仓明细!$B$19:$AA$19,'实盘净值数据(iFinD公式)'!$B32:$AA32/'实盘净值数据(iFinD公式)'!$B$20:$AA$20)*(1-实盘持仓初始配置!$Z$6)^(('实盘净值数据(iFinD公式)'!$A32-'实盘净值数据(iFinD公式)'!$A$7)/365))</x:f>
        <x:v>#NAME?</x:v>
      </x:c>
      <x:c r="I32" s="110" t="e">
        <x:f aca="0">IF(OR(H31="",H32=""),"",H32/H31-1)</x:f>
        <x:v>#NAME?</x:v>
      </x:c>
      <x:c r="J32" s="110" t="e">
        <x:f aca="0">IF(H32="","",H32/MAX(H$5:H32)-1)</x:f>
        <x:v>#NAME?</x:v>
      </x:c>
      <x:c r="K32" s="106" t="e">
        <x:f aca="0">IF(OR('实盘净值数据(iFinD公式)'!$A32="",'实盘净值数据(iFinD公式)'!$B32=""),"",分期持仓明细!$AD$20*SUMPRODUCT(分期持仓明细!$B$20:$AA$20,'实盘净值数据(iFinD公式)'!$B32:$AA32/'实盘净值数据(iFinD公式)'!$B$25:$AA$25)*(1-实盘持仓初始配置!$Z$7)^(('实盘净值数据(iFinD公式)'!$A32-'实盘净值数据(iFinD公式)'!$A$8)/365))</x:f>
        <x:v>#NAME?</x:v>
      </x:c>
      <x:c r="L32" s="110" t="e">
        <x:f aca="0">IF(OR(K31="",K32=""),"",K32/K31-1)</x:f>
        <x:v>#NAME?</x:v>
      </x:c>
      <x:c r="M32" s="110" t="e">
        <x:f aca="0">IF(K32="","",K32/MAX(K$5:K32)-1)</x:f>
        <x:v>#NAME?</x:v>
      </x:c>
      <x:c r="N32" s="106" t="e">
        <x:f aca="0">IF(OR('实盘净值数据(iFinD公式)'!$A32="",'实盘净值数据(iFinD公式)'!$B32=""),"",分期持仓明细!$AD$21*SUMPRODUCT(分期持仓明细!$B$21:$AA$21,'实盘净值数据(iFinD公式)'!$B32:$AA32/'实盘净值数据(iFinD公式)'!$B$25:$AA$25)*(1-实盘持仓初始配置!$Z$8)^(('实盘净值数据(iFinD公式)'!$A32-'实盘净值数据(iFinD公式)'!$A$5)/365))</x:f>
        <x:v>#NAME?</x:v>
      </x:c>
      <x:c r="O32" s="110" t="e">
        <x:f aca="0">IF(OR(N31="",N32=""),"",N32/N31-1)</x:f>
        <x:v>#NAME?</x:v>
      </x:c>
      <x:c r="P32" s="110" t="e">
        <x:f aca="0">IF(N32="","",N32/MAX(N$5:N32)-1)</x:f>
        <x:v>#NAME?</x:v>
      </x:c>
      <x:c r="Q32" s="106" t="e">
        <x:f aca="0">IF(OR('实盘净值数据(iFinD公式)'!$A32="",'实盘净值数据(iFinD公式)'!$B32=""),"",分期持仓明细!$AD$22*SUMPRODUCT(分期持仓明细!$B$22:$AA$22,'实盘净值数据(iFinD公式)'!$B32:$AA32/'实盘净值数据(iFinD公式)'!$B$25:$AA$25)*(1-实盘持仓初始配置!$Z$9)^(('实盘净值数据(iFinD公式)'!$A32-'实盘净值数据(iFinD公式)'!$A$8)/365))</x:f>
        <x:v>#NAME?</x:v>
      </x:c>
      <x:c r="R32" s="110" t="e">
        <x:f aca="0">IF(OR(Q31="",Q32=""),"",Q32/Q31-1)</x:f>
        <x:v>#NAME?</x:v>
      </x:c>
      <x:c r="S32" s="110" t="e">
        <x:f aca="0">IF(Q32="","",Q32/MAX(Q$5:Q32)-1)</x:f>
        <x:v>#NAME?</x:v>
      </x:c>
    </x:row>
    <x:row r="33" ht="12" hidden="0">
      <x:c r="A33" s="109" t="n">
        <x:f aca="0">IF('实盘净值数据(iFinD公式)'!A33="","",'实盘净值数据(iFinD公式)'!A33)</x:f>
        <x:v>46232</x:v>
      </x:c>
      <x:c r="B33" s="106" t="e">
        <x:f aca="0">IF(OR('实盘净值数据(iFinD公式)'!$A33="",'实盘净值数据(iFinD公式)'!$B33=""),"",分期持仓明细!$AD$17*SUMPRODUCT(分期持仓明细!$B$17:$AA$17,'实盘净值数据(iFinD公式)'!$B33:$AA33/'实盘净值数据(iFinD公式)'!$B$20:$AA$20)*(1-实盘持仓初始配置!$Z$4)^(('实盘净值数据(iFinD公式)'!$A33-'实盘净值数据(iFinD公式)'!$A$6)/365))</x:f>
        <x:v>#NAME?</x:v>
      </x:c>
      <x:c r="C33" s="110" t="e">
        <x:f aca="0">IF(OR(B32="",B33=""),"",B33/B32-1)</x:f>
        <x:v>#NAME?</x:v>
      </x:c>
      <x:c r="D33" s="110" t="e">
        <x:f aca="0">IF(B33="","",B33/MAX(B$5:B33)-1)</x:f>
        <x:v>#NAME?</x:v>
      </x:c>
      <x:c r="E33" s="106" t="e">
        <x:f aca="0">IF(OR('实盘净值数据(iFinD公式)'!$A33="",'实盘净值数据(iFinD公式)'!$B33=""),"",分期持仓明细!$AD$18*SUMPRODUCT(分期持仓明细!$B$18:$AA$18,'实盘净值数据(iFinD公式)'!$B33:$AA33/'实盘净值数据(iFinD公式)'!$B$20:$AA$20)*(1-实盘持仓初始配置!$Z$5)^(('实盘净值数据(iFinD公式)'!$A33-'实盘净值数据(iFinD公式)'!$A$5)/365))</x:f>
        <x:v>#NAME?</x:v>
      </x:c>
      <x:c r="F33" s="110" t="e">
        <x:f aca="0">IF(OR(E32="",E33=""),"",E33/E32-1)</x:f>
        <x:v>#NAME?</x:v>
      </x:c>
      <x:c r="G33" s="110" t="e">
        <x:f aca="0">IF(E33="","",E33/MAX(E$5:E33)-1)</x:f>
        <x:v>#NAME?</x:v>
      </x:c>
      <x:c r="H33" s="106" t="e">
        <x:f aca="0">IF(OR('实盘净值数据(iFinD公式)'!$A33="",'实盘净值数据(iFinD公式)'!$B33=""),"",分期持仓明细!$AD$19*SUMPRODUCT(分期持仓明细!$B$19:$AA$19,'实盘净值数据(iFinD公式)'!$B33:$AA33/'实盘净值数据(iFinD公式)'!$B$20:$AA$20)*(1-实盘持仓初始配置!$Z$6)^(('实盘净值数据(iFinD公式)'!$A33-'实盘净值数据(iFinD公式)'!$A$7)/365))</x:f>
        <x:v>#NAME?</x:v>
      </x:c>
      <x:c r="I33" s="110" t="e">
        <x:f aca="0">IF(OR(H32="",H33=""),"",H33/H32-1)</x:f>
        <x:v>#NAME?</x:v>
      </x:c>
      <x:c r="J33" s="110" t="e">
        <x:f aca="0">IF(H33="","",H33/MAX(H$5:H33)-1)</x:f>
        <x:v>#NAME?</x:v>
      </x:c>
      <x:c r="K33" s="106" t="e">
        <x:f aca="0">IF(OR('实盘净值数据(iFinD公式)'!$A33="",'实盘净值数据(iFinD公式)'!$B33=""),"",分期持仓明细!$AD$20*SUMPRODUCT(分期持仓明细!$B$20:$AA$20,'实盘净值数据(iFinD公式)'!$B33:$AA33/'实盘净值数据(iFinD公式)'!$B$25:$AA$25)*(1-实盘持仓初始配置!$Z$7)^(('实盘净值数据(iFinD公式)'!$A33-'实盘净值数据(iFinD公式)'!$A$8)/365))</x:f>
        <x:v>#NAME?</x:v>
      </x:c>
      <x:c r="L33" s="110" t="e">
        <x:f aca="0">IF(OR(K32="",K33=""),"",K33/K32-1)</x:f>
        <x:v>#NAME?</x:v>
      </x:c>
      <x:c r="M33" s="110" t="e">
        <x:f aca="0">IF(K33="","",K33/MAX(K$5:K33)-1)</x:f>
        <x:v>#NAME?</x:v>
      </x:c>
      <x:c r="N33" s="106" t="e">
        <x:f aca="0">IF(OR('实盘净值数据(iFinD公式)'!$A33="",'实盘净值数据(iFinD公式)'!$B33=""),"",分期持仓明细!$AD$21*SUMPRODUCT(分期持仓明细!$B$21:$AA$21,'实盘净值数据(iFinD公式)'!$B33:$AA33/'实盘净值数据(iFinD公式)'!$B$25:$AA$25)*(1-实盘持仓初始配置!$Z$8)^(('实盘净值数据(iFinD公式)'!$A33-'实盘净值数据(iFinD公式)'!$A$5)/365))</x:f>
        <x:v>#NAME?</x:v>
      </x:c>
      <x:c r="O33" s="110" t="e">
        <x:f aca="0">IF(OR(N32="",N33=""),"",N33/N32-1)</x:f>
        <x:v>#NAME?</x:v>
      </x:c>
      <x:c r="P33" s="110" t="e">
        <x:f aca="0">IF(N33="","",N33/MAX(N$5:N33)-1)</x:f>
        <x:v>#NAME?</x:v>
      </x:c>
      <x:c r="Q33" s="106" t="e">
        <x:f aca="0">IF(OR('实盘净值数据(iFinD公式)'!$A33="",'实盘净值数据(iFinD公式)'!$B33=""),"",分期持仓明细!$AD$22*SUMPRODUCT(分期持仓明细!$B$22:$AA$22,'实盘净值数据(iFinD公式)'!$B33:$AA33/'实盘净值数据(iFinD公式)'!$B$25:$AA$25)*(1-实盘持仓初始配置!$Z$9)^(('实盘净值数据(iFinD公式)'!$A33-'实盘净值数据(iFinD公式)'!$A$8)/365))</x:f>
        <x:v>#NAME?</x:v>
      </x:c>
      <x:c r="R33" s="110" t="e">
        <x:f aca="0">IF(OR(Q32="",Q33=""),"",Q33/Q32-1)</x:f>
        <x:v>#NAME?</x:v>
      </x:c>
      <x:c r="S33" s="110" t="e">
        <x:f aca="0">IF(Q33="","",Q33/MAX(Q$5:Q33)-1)</x:f>
        <x:v>#NAME?</x:v>
      </x:c>
    </x:row>
    <x:row r="34" ht="12" hidden="0">
      <x:c r="A34" s="109" t="n">
        <x:f aca="0">IF('实盘净值数据(iFinD公式)'!A34="","",'实盘净值数据(iFinD公式)'!A34)</x:f>
        <x:v>46233</x:v>
      </x:c>
      <x:c r="B34" s="106" t="e">
        <x:f aca="0">IF(OR('实盘净值数据(iFinD公式)'!$A34="",'实盘净值数据(iFinD公式)'!$B34=""),"",分期持仓明细!$AD$17*SUMPRODUCT(分期持仓明细!$B$17:$AA$17,'实盘净值数据(iFinD公式)'!$B34:$AA34/'实盘净值数据(iFinD公式)'!$B$20:$AA$20)*(1-实盘持仓初始配置!$Z$4)^(('实盘净值数据(iFinD公式)'!$A34-'实盘净值数据(iFinD公式)'!$A$6)/365))</x:f>
        <x:v>#NAME?</x:v>
      </x:c>
      <x:c r="C34" s="110" t="e">
        <x:f aca="0">IF(OR(B33="",B34=""),"",B34/B33-1)</x:f>
        <x:v>#NAME?</x:v>
      </x:c>
      <x:c r="D34" s="110" t="e">
        <x:f aca="0">IF(B34="","",B34/MAX(B$5:B34)-1)</x:f>
        <x:v>#NAME?</x:v>
      </x:c>
      <x:c r="E34" s="106" t="e">
        <x:f aca="0">IF(OR('实盘净值数据(iFinD公式)'!$A34="",'实盘净值数据(iFinD公式)'!$B34=""),"",分期持仓明细!$AD$18*SUMPRODUCT(分期持仓明细!$B$18:$AA$18,'实盘净值数据(iFinD公式)'!$B34:$AA34/'实盘净值数据(iFinD公式)'!$B$20:$AA$20)*(1-实盘持仓初始配置!$Z$5)^(('实盘净值数据(iFinD公式)'!$A34-'实盘净值数据(iFinD公式)'!$A$5)/365))</x:f>
        <x:v>#NAME?</x:v>
      </x:c>
      <x:c r="F34" s="110" t="e">
        <x:f aca="0">IF(OR(E33="",E34=""),"",E34/E33-1)</x:f>
        <x:v>#NAME?</x:v>
      </x:c>
      <x:c r="G34" s="110" t="e">
        <x:f aca="0">IF(E34="","",E34/MAX(E$5:E34)-1)</x:f>
        <x:v>#NAME?</x:v>
      </x:c>
      <x:c r="H34" s="106" t="e">
        <x:f aca="0">IF(OR('实盘净值数据(iFinD公式)'!$A34="",'实盘净值数据(iFinD公式)'!$B34=""),"",分期持仓明细!$AD$19*SUMPRODUCT(分期持仓明细!$B$19:$AA$19,'实盘净值数据(iFinD公式)'!$B34:$AA34/'实盘净值数据(iFinD公式)'!$B$20:$AA$20)*(1-实盘持仓初始配置!$Z$6)^(('实盘净值数据(iFinD公式)'!$A34-'实盘净值数据(iFinD公式)'!$A$7)/365))</x:f>
        <x:v>#NAME?</x:v>
      </x:c>
      <x:c r="I34" s="110" t="e">
        <x:f aca="0">IF(OR(H33="",H34=""),"",H34/H33-1)</x:f>
        <x:v>#NAME?</x:v>
      </x:c>
      <x:c r="J34" s="110" t="e">
        <x:f aca="0">IF(H34="","",H34/MAX(H$5:H34)-1)</x:f>
        <x:v>#NAME?</x:v>
      </x:c>
      <x:c r="K34" s="106" t="e">
        <x:f aca="0">IF(OR('实盘净值数据(iFinD公式)'!$A34="",'实盘净值数据(iFinD公式)'!$B34=""),"",分期持仓明细!$AD$20*SUMPRODUCT(分期持仓明细!$B$20:$AA$20,'实盘净值数据(iFinD公式)'!$B34:$AA34/'实盘净值数据(iFinD公式)'!$B$25:$AA$25)*(1-实盘持仓初始配置!$Z$7)^(('实盘净值数据(iFinD公式)'!$A34-'实盘净值数据(iFinD公式)'!$A$8)/365))</x:f>
        <x:v>#NAME?</x:v>
      </x:c>
      <x:c r="L34" s="110" t="e">
        <x:f aca="0">IF(OR(K33="",K34=""),"",K34/K33-1)</x:f>
        <x:v>#NAME?</x:v>
      </x:c>
      <x:c r="M34" s="110" t="e">
        <x:f aca="0">IF(K34="","",K34/MAX(K$5:K34)-1)</x:f>
        <x:v>#NAME?</x:v>
      </x:c>
      <x:c r="N34" s="106" t="e">
        <x:f aca="0">IF(OR('实盘净值数据(iFinD公式)'!$A34="",'实盘净值数据(iFinD公式)'!$B34=""),"",分期持仓明细!$AD$21*SUMPRODUCT(分期持仓明细!$B$21:$AA$21,'实盘净值数据(iFinD公式)'!$B34:$AA34/'实盘净值数据(iFinD公式)'!$B$25:$AA$25)*(1-实盘持仓初始配置!$Z$8)^(('实盘净值数据(iFinD公式)'!$A34-'实盘净值数据(iFinD公式)'!$A$5)/365))</x:f>
        <x:v>#NAME?</x:v>
      </x:c>
      <x:c r="O34" s="110" t="e">
        <x:f aca="0">IF(OR(N33="",N34=""),"",N34/N33-1)</x:f>
        <x:v>#NAME?</x:v>
      </x:c>
      <x:c r="P34" s="110" t="e">
        <x:f aca="0">IF(N34="","",N34/MAX(N$5:N34)-1)</x:f>
        <x:v>#NAME?</x:v>
      </x:c>
      <x:c r="Q34" s="106" t="e">
        <x:f aca="0">IF(OR('实盘净值数据(iFinD公式)'!$A34="",'实盘净值数据(iFinD公式)'!$B34=""),"",分期持仓明细!$AD$22*SUMPRODUCT(分期持仓明细!$B$22:$AA$22,'实盘净值数据(iFinD公式)'!$B34:$AA34/'实盘净值数据(iFinD公式)'!$B$25:$AA$25)*(1-实盘持仓初始配置!$Z$9)^(('实盘净值数据(iFinD公式)'!$A34-'实盘净值数据(iFinD公式)'!$A$8)/365))</x:f>
        <x:v>#NAME?</x:v>
      </x:c>
      <x:c r="R34" s="110" t="e">
        <x:f aca="0">IF(OR(Q33="",Q34=""),"",Q34/Q33-1)</x:f>
        <x:v>#NAME?</x:v>
      </x:c>
      <x:c r="S34" s="110" t="e">
        <x:f aca="0">IF(Q34="","",Q34/MAX(Q$5:Q34)-1)</x:f>
        <x:v>#NAME?</x:v>
      </x:c>
    </x:row>
    <x:row r="35" ht="12" hidden="0">
      <x:c r="A35" s="109" t="n">
        <x:f aca="0">IF('实盘净值数据(iFinD公式)'!A35="","",'实盘净值数据(iFinD公式)'!A35)</x:f>
        <x:v>46234</x:v>
      </x:c>
      <x:c r="B35" s="106" t="e">
        <x:f aca="0">IF(OR('实盘净值数据(iFinD公式)'!$A35="",'实盘净值数据(iFinD公式)'!$B35=""),"",分期持仓明细!$AD$17*SUMPRODUCT(分期持仓明细!$B$17:$AA$17,'实盘净值数据(iFinD公式)'!$B35:$AA35/'实盘净值数据(iFinD公式)'!$B$20:$AA$20)*(1-实盘持仓初始配置!$Z$4)^(('实盘净值数据(iFinD公式)'!$A35-'实盘净值数据(iFinD公式)'!$A$6)/365))</x:f>
        <x:v>#NAME?</x:v>
      </x:c>
      <x:c r="C35" s="110" t="e">
        <x:f aca="0">IF(OR(B34="",B35=""),"",B35/B34-1)</x:f>
        <x:v>#NAME?</x:v>
      </x:c>
      <x:c r="D35" s="110" t="e">
        <x:f aca="0">IF(B35="","",B35/MAX(B$5:B35)-1)</x:f>
        <x:v>#NAME?</x:v>
      </x:c>
      <x:c r="E35" s="106" t="e">
        <x:f aca="0">IF(OR('实盘净值数据(iFinD公式)'!$A35="",'实盘净值数据(iFinD公式)'!$B35=""),"",分期持仓明细!$AD$18*SUMPRODUCT(分期持仓明细!$B$18:$AA$18,'实盘净值数据(iFinD公式)'!$B35:$AA35/'实盘净值数据(iFinD公式)'!$B$20:$AA$20)*(1-实盘持仓初始配置!$Z$5)^(('实盘净值数据(iFinD公式)'!$A35-'实盘净值数据(iFinD公式)'!$A$5)/365))</x:f>
        <x:v>#NAME?</x:v>
      </x:c>
      <x:c r="F35" s="110" t="e">
        <x:f aca="0">IF(OR(E34="",E35=""),"",E35/E34-1)</x:f>
        <x:v>#NAME?</x:v>
      </x:c>
      <x:c r="G35" s="110" t="e">
        <x:f aca="0">IF(E35="","",E35/MAX(E$5:E35)-1)</x:f>
        <x:v>#NAME?</x:v>
      </x:c>
      <x:c r="H35" s="106" t="e">
        <x:f aca="0">IF(OR('实盘净值数据(iFinD公式)'!$A35="",'实盘净值数据(iFinD公式)'!$B35=""),"",分期持仓明细!$AD$19*SUMPRODUCT(分期持仓明细!$B$19:$AA$19,'实盘净值数据(iFinD公式)'!$B35:$AA35/'实盘净值数据(iFinD公式)'!$B$20:$AA$20)*(1-实盘持仓初始配置!$Z$6)^(('实盘净值数据(iFinD公式)'!$A35-'实盘净值数据(iFinD公式)'!$A$7)/365))</x:f>
        <x:v>#NAME?</x:v>
      </x:c>
      <x:c r="I35" s="110" t="e">
        <x:f aca="0">IF(OR(H34="",H35=""),"",H35/H34-1)</x:f>
        <x:v>#NAME?</x:v>
      </x:c>
      <x:c r="J35" s="110" t="e">
        <x:f aca="0">IF(H35="","",H35/MAX(H$5:H35)-1)</x:f>
        <x:v>#NAME?</x:v>
      </x:c>
      <x:c r="K35" s="106" t="e">
        <x:f aca="0">IF(OR('实盘净值数据(iFinD公式)'!$A35="",'实盘净值数据(iFinD公式)'!$B35=""),"",分期持仓明细!$AD$20*SUMPRODUCT(分期持仓明细!$B$20:$AA$20,'实盘净值数据(iFinD公式)'!$B35:$AA35/'实盘净值数据(iFinD公式)'!$B$25:$AA$25)*(1-实盘持仓初始配置!$Z$7)^(('实盘净值数据(iFinD公式)'!$A35-'实盘净值数据(iFinD公式)'!$A$8)/365))</x:f>
        <x:v>#NAME?</x:v>
      </x:c>
      <x:c r="L35" s="110" t="e">
        <x:f aca="0">IF(OR(K34="",K35=""),"",K35/K34-1)</x:f>
        <x:v>#NAME?</x:v>
      </x:c>
      <x:c r="M35" s="110" t="e">
        <x:f aca="0">IF(K35="","",K35/MAX(K$5:K35)-1)</x:f>
        <x:v>#NAME?</x:v>
      </x:c>
      <x:c r="N35" s="106" t="e">
        <x:f aca="0">IF(OR('实盘净值数据(iFinD公式)'!$A35="",'实盘净值数据(iFinD公式)'!$B35=""),"",分期持仓明细!$AD$21*SUMPRODUCT(分期持仓明细!$B$21:$AA$21,'实盘净值数据(iFinD公式)'!$B35:$AA35/'实盘净值数据(iFinD公式)'!$B$25:$AA$25)*(1-实盘持仓初始配置!$Z$8)^(('实盘净值数据(iFinD公式)'!$A35-'实盘净值数据(iFinD公式)'!$A$5)/365))</x:f>
        <x:v>#NAME?</x:v>
      </x:c>
      <x:c r="O35" s="110" t="e">
        <x:f aca="0">IF(OR(N34="",N35=""),"",N35/N34-1)</x:f>
        <x:v>#NAME?</x:v>
      </x:c>
      <x:c r="P35" s="110" t="e">
        <x:f aca="0">IF(N35="","",N35/MAX(N$5:N35)-1)</x:f>
        <x:v>#NAME?</x:v>
      </x:c>
      <x:c r="Q35" s="106" t="e">
        <x:f aca="0">IF(OR('实盘净值数据(iFinD公式)'!$A35="",'实盘净值数据(iFinD公式)'!$B35=""),"",分期持仓明细!$AD$22*SUMPRODUCT(分期持仓明细!$B$22:$AA$22,'实盘净值数据(iFinD公式)'!$B35:$AA35/'实盘净值数据(iFinD公式)'!$B$25:$AA$25)*(1-实盘持仓初始配置!$Z$9)^(('实盘净值数据(iFinD公式)'!$A35-'实盘净值数据(iFinD公式)'!$A$8)/365))</x:f>
        <x:v>#NAME?</x:v>
      </x:c>
      <x:c r="R35" s="110" t="e">
        <x:f aca="0">IF(OR(Q34="",Q35=""),"",Q35/Q34-1)</x:f>
        <x:v>#NAME?</x:v>
      </x:c>
      <x:c r="S35" s="110" t="e">
        <x:f aca="0">IF(Q35="","",Q35/MAX(Q$5:Q35)-1)</x:f>
        <x:v>#NAME?</x:v>
      </x:c>
    </x:row>
    <x:row r="36" ht="12" hidden="0">
      <x:c r="A36" s="109" t="n">
        <x:f aca="0">IF('实盘净值数据(iFinD公式)'!A36="","",'实盘净值数据(iFinD公式)'!A36)</x:f>
        <x:v>46237</x:v>
      </x:c>
      <x:c r="B36" s="106" t="e">
        <x:f aca="0">IF(OR('实盘净值数据(iFinD公式)'!$A36="",'实盘净值数据(iFinD公式)'!$B36=""),"",分期持仓明细!$AD$17*SUMPRODUCT(分期持仓明细!$B$17:$AA$17,'实盘净值数据(iFinD公式)'!$B36:$AA36/'实盘净值数据(iFinD公式)'!$B$20:$AA$20)*(1-实盘持仓初始配置!$Z$4)^(('实盘净值数据(iFinD公式)'!$A36-'实盘净值数据(iFinD公式)'!$A$6)/365))</x:f>
        <x:v>#NAME?</x:v>
      </x:c>
      <x:c r="C36" s="110" t="e">
        <x:f aca="0">IF(OR(B35="",B36=""),"",B36/B35-1)</x:f>
        <x:v>#NAME?</x:v>
      </x:c>
      <x:c r="D36" s="110" t="e">
        <x:f aca="0">IF(B36="","",B36/MAX(B$5:B36)-1)</x:f>
        <x:v>#NAME?</x:v>
      </x:c>
      <x:c r="E36" s="106" t="e">
        <x:f aca="0">IF(OR('实盘净值数据(iFinD公式)'!$A36="",'实盘净值数据(iFinD公式)'!$B36=""),"",分期持仓明细!$AD$18*SUMPRODUCT(分期持仓明细!$B$18:$AA$18,'实盘净值数据(iFinD公式)'!$B36:$AA36/'实盘净值数据(iFinD公式)'!$B$20:$AA$20)*(1-实盘持仓初始配置!$Z$5)^(('实盘净值数据(iFinD公式)'!$A36-'实盘净值数据(iFinD公式)'!$A$5)/365))</x:f>
        <x:v>#NAME?</x:v>
      </x:c>
      <x:c r="F36" s="110" t="e">
        <x:f aca="0">IF(OR(E35="",E36=""),"",E36/E35-1)</x:f>
        <x:v>#NAME?</x:v>
      </x:c>
      <x:c r="G36" s="110" t="e">
        <x:f aca="0">IF(E36="","",E36/MAX(E$5:E36)-1)</x:f>
        <x:v>#NAME?</x:v>
      </x:c>
      <x:c r="H36" s="106" t="e">
        <x:f aca="0">IF(OR('实盘净值数据(iFinD公式)'!$A36="",'实盘净值数据(iFinD公式)'!$B36=""),"",分期持仓明细!$AD$19*SUMPRODUCT(分期持仓明细!$B$19:$AA$19,'实盘净值数据(iFinD公式)'!$B36:$AA36/'实盘净值数据(iFinD公式)'!$B$20:$AA$20)*(1-实盘持仓初始配置!$Z$6)^(('实盘净值数据(iFinD公式)'!$A36-'实盘净值数据(iFinD公式)'!$A$7)/365))</x:f>
        <x:v>#NAME?</x:v>
      </x:c>
      <x:c r="I36" s="110" t="e">
        <x:f aca="0">IF(OR(H35="",H36=""),"",H36/H35-1)</x:f>
        <x:v>#NAME?</x:v>
      </x:c>
      <x:c r="J36" s="110" t="e">
        <x:f aca="0">IF(H36="","",H36/MAX(H$5:H36)-1)</x:f>
        <x:v>#NAME?</x:v>
      </x:c>
      <x:c r="K36" s="106" t="e">
        <x:f aca="0">IF(OR('实盘净值数据(iFinD公式)'!$A36="",'实盘净值数据(iFinD公式)'!$B36=""),"",分期持仓明细!$AD$20*SUMPRODUCT(分期持仓明细!$B$20:$AA$20,'实盘净值数据(iFinD公式)'!$B36:$AA36/'实盘净值数据(iFinD公式)'!$B$25:$AA$25)*(1-实盘持仓初始配置!$Z$7)^(('实盘净值数据(iFinD公式)'!$A36-'实盘净值数据(iFinD公式)'!$A$8)/365))</x:f>
        <x:v>#NAME?</x:v>
      </x:c>
      <x:c r="L36" s="110" t="e">
        <x:f aca="0">IF(OR(K35="",K36=""),"",K36/K35-1)</x:f>
        <x:v>#NAME?</x:v>
      </x:c>
      <x:c r="M36" s="110" t="e">
        <x:f aca="0">IF(K36="","",K36/MAX(K$5:K36)-1)</x:f>
        <x:v>#NAME?</x:v>
      </x:c>
      <x:c r="N36" s="106" t="e">
        <x:f aca="0">IF(OR('实盘净值数据(iFinD公式)'!$A36="",'实盘净值数据(iFinD公式)'!$B36=""),"",分期持仓明细!$AD$21*SUMPRODUCT(分期持仓明细!$B$21:$AA$21,'实盘净值数据(iFinD公式)'!$B36:$AA36/'实盘净值数据(iFinD公式)'!$B$25:$AA$25)*(1-实盘持仓初始配置!$Z$8)^(('实盘净值数据(iFinD公式)'!$A36-'实盘净值数据(iFinD公式)'!$A$5)/365))</x:f>
        <x:v>#NAME?</x:v>
      </x:c>
      <x:c r="O36" s="110" t="e">
        <x:f aca="0">IF(OR(N35="",N36=""),"",N36/N35-1)</x:f>
        <x:v>#NAME?</x:v>
      </x:c>
      <x:c r="P36" s="110" t="e">
        <x:f aca="0">IF(N36="","",N36/MAX(N$5:N36)-1)</x:f>
        <x:v>#NAME?</x:v>
      </x:c>
      <x:c r="Q36" s="106" t="e">
        <x:f aca="0">IF(OR('实盘净值数据(iFinD公式)'!$A36="",'实盘净值数据(iFinD公式)'!$B36=""),"",分期持仓明细!$AD$22*SUMPRODUCT(分期持仓明细!$B$22:$AA$22,'实盘净值数据(iFinD公式)'!$B36:$AA36/'实盘净值数据(iFinD公式)'!$B$25:$AA$25)*(1-实盘持仓初始配置!$Z$9)^(('实盘净值数据(iFinD公式)'!$A36-'实盘净值数据(iFinD公式)'!$A$8)/365))</x:f>
        <x:v>#NAME?</x:v>
      </x:c>
      <x:c r="R36" s="110" t="e">
        <x:f aca="0">IF(OR(Q35="",Q36=""),"",Q36/Q35-1)</x:f>
        <x:v>#NAME?</x:v>
      </x:c>
      <x:c r="S36" s="110" t="e">
        <x:f aca="0">IF(Q36="","",Q36/MAX(Q$5:Q36)-1)</x:f>
        <x:v>#NAME?</x:v>
      </x:c>
    </x:row>
    <x:row r="37" ht="12" hidden="0">
      <x:c r="A37" s="109" t="n">
        <x:f aca="0">IF('实盘净值数据(iFinD公式)'!A37="","",'实盘净值数据(iFinD公式)'!A37)</x:f>
        <x:v>46238</x:v>
      </x:c>
      <x:c r="B37" s="106" t="e">
        <x:f aca="0">IF(OR('实盘净值数据(iFinD公式)'!$A37="",'实盘净值数据(iFinD公式)'!$B37=""),"",分期持仓明细!$AD$17*SUMPRODUCT(分期持仓明细!$B$17:$AA$17,'实盘净值数据(iFinD公式)'!$B37:$AA37/'实盘净值数据(iFinD公式)'!$B$20:$AA$20)*(1-实盘持仓初始配置!$Z$4)^(('实盘净值数据(iFinD公式)'!$A37-'实盘净值数据(iFinD公式)'!$A$6)/365))</x:f>
        <x:v>#NAME?</x:v>
      </x:c>
      <x:c r="C37" s="110" t="e">
        <x:f aca="0">IF(OR(B36="",B37=""),"",B37/B36-1)</x:f>
        <x:v>#NAME?</x:v>
      </x:c>
      <x:c r="D37" s="110" t="e">
        <x:f aca="0">IF(B37="","",B37/MAX(B$5:B37)-1)</x:f>
        <x:v>#NAME?</x:v>
      </x:c>
      <x:c r="E37" s="106" t="e">
        <x:f aca="0">IF(OR('实盘净值数据(iFinD公式)'!$A37="",'实盘净值数据(iFinD公式)'!$B37=""),"",分期持仓明细!$AD$18*SUMPRODUCT(分期持仓明细!$B$18:$AA$18,'实盘净值数据(iFinD公式)'!$B37:$AA37/'实盘净值数据(iFinD公式)'!$B$20:$AA$20)*(1-实盘持仓初始配置!$Z$5)^(('实盘净值数据(iFinD公式)'!$A37-'实盘净值数据(iFinD公式)'!$A$5)/365))</x:f>
        <x:v>#NAME?</x:v>
      </x:c>
      <x:c r="F37" s="110" t="e">
        <x:f aca="0">IF(OR(E36="",E37=""),"",E37/E36-1)</x:f>
        <x:v>#NAME?</x:v>
      </x:c>
      <x:c r="G37" s="110" t="e">
        <x:f aca="0">IF(E37="","",E37/MAX(E$5:E37)-1)</x:f>
        <x:v>#NAME?</x:v>
      </x:c>
      <x:c r="H37" s="106" t="e">
        <x:f aca="0">IF(OR('实盘净值数据(iFinD公式)'!$A37="",'实盘净值数据(iFinD公式)'!$B37=""),"",分期持仓明细!$AD$19*SUMPRODUCT(分期持仓明细!$B$19:$AA$19,'实盘净值数据(iFinD公式)'!$B37:$AA37/'实盘净值数据(iFinD公式)'!$B$20:$AA$20)*(1-实盘持仓初始配置!$Z$6)^(('实盘净值数据(iFinD公式)'!$A37-'实盘净值数据(iFinD公式)'!$A$7)/365))</x:f>
        <x:v>#NAME?</x:v>
      </x:c>
      <x:c r="I37" s="110" t="e">
        <x:f aca="0">IF(OR(H36="",H37=""),"",H37/H36-1)</x:f>
        <x:v>#NAME?</x:v>
      </x:c>
      <x:c r="J37" s="110" t="e">
        <x:f aca="0">IF(H37="","",H37/MAX(H$5:H37)-1)</x:f>
        <x:v>#NAME?</x:v>
      </x:c>
      <x:c r="K37" s="106" t="e">
        <x:f aca="0">IF(OR('实盘净值数据(iFinD公式)'!$A37="",'实盘净值数据(iFinD公式)'!$B37=""),"",分期持仓明细!$AD$20*SUMPRODUCT(分期持仓明细!$B$20:$AA$20,'实盘净值数据(iFinD公式)'!$B37:$AA37/'实盘净值数据(iFinD公式)'!$B$25:$AA$25)*(1-实盘持仓初始配置!$Z$7)^(('实盘净值数据(iFinD公式)'!$A37-'实盘净值数据(iFinD公式)'!$A$8)/365))</x:f>
        <x:v>#NAME?</x:v>
      </x:c>
      <x:c r="L37" s="110" t="e">
        <x:f aca="0">IF(OR(K36="",K37=""),"",K37/K36-1)</x:f>
        <x:v>#NAME?</x:v>
      </x:c>
      <x:c r="M37" s="110" t="e">
        <x:f aca="0">IF(K37="","",K37/MAX(K$5:K37)-1)</x:f>
        <x:v>#NAME?</x:v>
      </x:c>
      <x:c r="N37" s="106" t="e">
        <x:f aca="0">IF(OR('实盘净值数据(iFinD公式)'!$A37="",'实盘净值数据(iFinD公式)'!$B37=""),"",分期持仓明细!$AD$21*SUMPRODUCT(分期持仓明细!$B$21:$AA$21,'实盘净值数据(iFinD公式)'!$B37:$AA37/'实盘净值数据(iFinD公式)'!$B$25:$AA$25)*(1-实盘持仓初始配置!$Z$8)^(('实盘净值数据(iFinD公式)'!$A37-'实盘净值数据(iFinD公式)'!$A$5)/365))</x:f>
        <x:v>#NAME?</x:v>
      </x:c>
      <x:c r="O37" s="110" t="e">
        <x:f aca="0">IF(OR(N36="",N37=""),"",N37/N36-1)</x:f>
        <x:v>#NAME?</x:v>
      </x:c>
      <x:c r="P37" s="110" t="e">
        <x:f aca="0">IF(N37="","",N37/MAX(N$5:N37)-1)</x:f>
        <x:v>#NAME?</x:v>
      </x:c>
      <x:c r="Q37" s="106" t="e">
        <x:f aca="0">IF(OR('实盘净值数据(iFinD公式)'!$A37="",'实盘净值数据(iFinD公式)'!$B37=""),"",分期持仓明细!$AD$22*SUMPRODUCT(分期持仓明细!$B$22:$AA$22,'实盘净值数据(iFinD公式)'!$B37:$AA37/'实盘净值数据(iFinD公式)'!$B$25:$AA$25)*(1-实盘持仓初始配置!$Z$9)^(('实盘净值数据(iFinD公式)'!$A37-'实盘净值数据(iFinD公式)'!$A$8)/365))</x:f>
        <x:v>#NAME?</x:v>
      </x:c>
      <x:c r="R37" s="110" t="e">
        <x:f aca="0">IF(OR(Q36="",Q37=""),"",Q37/Q36-1)</x:f>
        <x:v>#NAME?</x:v>
      </x:c>
      <x:c r="S37" s="110" t="e">
        <x:f aca="0">IF(Q37="","",Q37/MAX(Q$5:Q37)-1)</x:f>
        <x:v>#NAME?</x:v>
      </x:c>
    </x:row>
    <x:row r="38" ht="12" hidden="0">
      <x:c r="A38" s="109" t="n">
        <x:f aca="0">IF('实盘净值数据(iFinD公式)'!A38="","",'实盘净值数据(iFinD公式)'!A38)</x:f>
        <x:v>46239</x:v>
      </x:c>
      <x:c r="B38" s="106" t="e">
        <x:f aca="0">IF(OR('实盘净值数据(iFinD公式)'!$A38="",'实盘净值数据(iFinD公式)'!$B38=""),"",分期持仓明细!$AD$17*SUMPRODUCT(分期持仓明细!$B$17:$AA$17,'实盘净值数据(iFinD公式)'!$B38:$AA38/'实盘净值数据(iFinD公式)'!$B$20:$AA$20)*(1-实盘持仓初始配置!$Z$4)^(('实盘净值数据(iFinD公式)'!$A38-'实盘净值数据(iFinD公式)'!$A$6)/365))</x:f>
        <x:v>#NAME?</x:v>
      </x:c>
      <x:c r="C38" s="110" t="e">
        <x:f aca="0">IF(OR(B37="",B38=""),"",B38/B37-1)</x:f>
        <x:v>#NAME?</x:v>
      </x:c>
      <x:c r="D38" s="110" t="e">
        <x:f aca="0">IF(B38="","",B38/MAX(B$5:B38)-1)</x:f>
        <x:v>#NAME?</x:v>
      </x:c>
      <x:c r="E38" s="106" t="e">
        <x:f aca="0">IF(OR('实盘净值数据(iFinD公式)'!$A38="",'实盘净值数据(iFinD公式)'!$B38=""),"",分期持仓明细!$AD$18*SUMPRODUCT(分期持仓明细!$B$18:$AA$18,'实盘净值数据(iFinD公式)'!$B38:$AA38/'实盘净值数据(iFinD公式)'!$B$20:$AA$20)*(1-实盘持仓初始配置!$Z$5)^(('实盘净值数据(iFinD公式)'!$A38-'实盘净值数据(iFinD公式)'!$A$5)/365))</x:f>
        <x:v>#NAME?</x:v>
      </x:c>
      <x:c r="F38" s="110" t="e">
        <x:f aca="0">IF(OR(E37="",E38=""),"",E38/E37-1)</x:f>
        <x:v>#NAME?</x:v>
      </x:c>
      <x:c r="G38" s="110" t="e">
        <x:f aca="0">IF(E38="","",E38/MAX(E$5:E38)-1)</x:f>
        <x:v>#NAME?</x:v>
      </x:c>
      <x:c r="H38" s="106" t="e">
        <x:f aca="0">IF(OR('实盘净值数据(iFinD公式)'!$A38="",'实盘净值数据(iFinD公式)'!$B38=""),"",分期持仓明细!$AD$19*SUMPRODUCT(分期持仓明细!$B$19:$AA$19,'实盘净值数据(iFinD公式)'!$B38:$AA38/'实盘净值数据(iFinD公式)'!$B$20:$AA$20)*(1-实盘持仓初始配置!$Z$6)^(('实盘净值数据(iFinD公式)'!$A38-'实盘净值数据(iFinD公式)'!$A$7)/365))</x:f>
        <x:v>#NAME?</x:v>
      </x:c>
      <x:c r="I38" s="110" t="e">
        <x:f aca="0">IF(OR(H37="",H38=""),"",H38/H37-1)</x:f>
        <x:v>#NAME?</x:v>
      </x:c>
      <x:c r="J38" s="110" t="e">
        <x:f aca="0">IF(H38="","",H38/MAX(H$5:H38)-1)</x:f>
        <x:v>#NAME?</x:v>
      </x:c>
      <x:c r="K38" s="106" t="e">
        <x:f aca="0">IF(OR('实盘净值数据(iFinD公式)'!$A38="",'实盘净值数据(iFinD公式)'!$B38=""),"",分期持仓明细!$AD$20*SUMPRODUCT(分期持仓明细!$B$20:$AA$20,'实盘净值数据(iFinD公式)'!$B38:$AA38/'实盘净值数据(iFinD公式)'!$B$25:$AA$25)*(1-实盘持仓初始配置!$Z$7)^(('实盘净值数据(iFinD公式)'!$A38-'实盘净值数据(iFinD公式)'!$A$8)/365))</x:f>
        <x:v>#NAME?</x:v>
      </x:c>
      <x:c r="L38" s="110" t="e">
        <x:f aca="0">IF(OR(K37="",K38=""),"",K38/K37-1)</x:f>
        <x:v>#NAME?</x:v>
      </x:c>
      <x:c r="M38" s="110" t="e">
        <x:f aca="0">IF(K38="","",K38/MAX(K$5:K38)-1)</x:f>
        <x:v>#NAME?</x:v>
      </x:c>
      <x:c r="N38" s="106" t="e">
        <x:f aca="0">IF(OR('实盘净值数据(iFinD公式)'!$A38="",'实盘净值数据(iFinD公式)'!$B38=""),"",分期持仓明细!$AD$21*SUMPRODUCT(分期持仓明细!$B$21:$AA$21,'实盘净值数据(iFinD公式)'!$B38:$AA38/'实盘净值数据(iFinD公式)'!$B$25:$AA$25)*(1-实盘持仓初始配置!$Z$8)^(('实盘净值数据(iFinD公式)'!$A38-'实盘净值数据(iFinD公式)'!$A$5)/365))</x:f>
        <x:v>#NAME?</x:v>
      </x:c>
      <x:c r="O38" s="110" t="e">
        <x:f aca="0">IF(OR(N37="",N38=""),"",N38/N37-1)</x:f>
        <x:v>#NAME?</x:v>
      </x:c>
      <x:c r="P38" s="110" t="e">
        <x:f aca="0">IF(N38="","",N38/MAX(N$5:N38)-1)</x:f>
        <x:v>#NAME?</x:v>
      </x:c>
      <x:c r="Q38" s="106" t="e">
        <x:f aca="0">IF(OR('实盘净值数据(iFinD公式)'!$A38="",'实盘净值数据(iFinD公式)'!$B38=""),"",分期持仓明细!$AD$22*SUMPRODUCT(分期持仓明细!$B$22:$AA$22,'实盘净值数据(iFinD公式)'!$B38:$AA38/'实盘净值数据(iFinD公式)'!$B$25:$AA$25)*(1-实盘持仓初始配置!$Z$9)^(('实盘净值数据(iFinD公式)'!$A38-'实盘净值数据(iFinD公式)'!$A$8)/365))</x:f>
        <x:v>#NAME?</x:v>
      </x:c>
      <x:c r="R38" s="110" t="e">
        <x:f aca="0">IF(OR(Q37="",Q38=""),"",Q38/Q37-1)</x:f>
        <x:v>#NAME?</x:v>
      </x:c>
      <x:c r="S38" s="110" t="e">
        <x:f aca="0">IF(Q38="","",Q38/MAX(Q$5:Q38)-1)</x:f>
        <x:v>#NAME?</x:v>
      </x:c>
    </x:row>
    <x:row r="39" ht="12" hidden="0">
      <x:c r="A39" s="109" t="n">
        <x:f aca="0">IF('实盘净值数据(iFinD公式)'!A39="","",'实盘净值数据(iFinD公式)'!A39)</x:f>
        <x:v>46240</x:v>
      </x:c>
      <x:c r="B39" s="106" t="e">
        <x:f aca="0">IF(OR('实盘净值数据(iFinD公式)'!$A39="",'实盘净值数据(iFinD公式)'!$B39=""),"",分期持仓明细!$AD$17*SUMPRODUCT(分期持仓明细!$B$17:$AA$17,'实盘净值数据(iFinD公式)'!$B39:$AA39/'实盘净值数据(iFinD公式)'!$B$20:$AA$20)*(1-实盘持仓初始配置!$Z$4)^(('实盘净值数据(iFinD公式)'!$A39-'实盘净值数据(iFinD公式)'!$A$6)/365))</x:f>
        <x:v>#NAME?</x:v>
      </x:c>
      <x:c r="C39" s="110" t="e">
        <x:f aca="0">IF(OR(B38="",B39=""),"",B39/B38-1)</x:f>
        <x:v>#NAME?</x:v>
      </x:c>
      <x:c r="D39" s="110" t="e">
        <x:f aca="0">IF(B39="","",B39/MAX(B$5:B39)-1)</x:f>
        <x:v>#NAME?</x:v>
      </x:c>
      <x:c r="E39" s="106" t="e">
        <x:f aca="0">IF(OR('实盘净值数据(iFinD公式)'!$A39="",'实盘净值数据(iFinD公式)'!$B39=""),"",分期持仓明细!$AD$18*SUMPRODUCT(分期持仓明细!$B$18:$AA$18,'实盘净值数据(iFinD公式)'!$B39:$AA39/'实盘净值数据(iFinD公式)'!$B$20:$AA$20)*(1-实盘持仓初始配置!$Z$5)^(('实盘净值数据(iFinD公式)'!$A39-'实盘净值数据(iFinD公式)'!$A$5)/365))</x:f>
        <x:v>#NAME?</x:v>
      </x:c>
      <x:c r="F39" s="110" t="e">
        <x:f aca="0">IF(OR(E38="",E39=""),"",E39/E38-1)</x:f>
        <x:v>#NAME?</x:v>
      </x:c>
      <x:c r="G39" s="110" t="e">
        <x:f aca="0">IF(E39="","",E39/MAX(E$5:E39)-1)</x:f>
        <x:v>#NAME?</x:v>
      </x:c>
      <x:c r="H39" s="106" t="e">
        <x:f aca="0">IF(OR('实盘净值数据(iFinD公式)'!$A39="",'实盘净值数据(iFinD公式)'!$B39=""),"",分期持仓明细!$AD$19*SUMPRODUCT(分期持仓明细!$B$19:$AA$19,'实盘净值数据(iFinD公式)'!$B39:$AA39/'实盘净值数据(iFinD公式)'!$B$20:$AA$20)*(1-实盘持仓初始配置!$Z$6)^(('实盘净值数据(iFinD公式)'!$A39-'实盘净值数据(iFinD公式)'!$A$7)/365))</x:f>
        <x:v>#NAME?</x:v>
      </x:c>
      <x:c r="I39" s="110" t="e">
        <x:f aca="0">IF(OR(H38="",H39=""),"",H39/H38-1)</x:f>
        <x:v>#NAME?</x:v>
      </x:c>
      <x:c r="J39" s="110" t="e">
        <x:f aca="0">IF(H39="","",H39/MAX(H$5:H39)-1)</x:f>
        <x:v>#NAME?</x:v>
      </x:c>
      <x:c r="K39" s="106" t="e">
        <x:f aca="0">IF(OR('实盘净值数据(iFinD公式)'!$A39="",'实盘净值数据(iFinD公式)'!$B39=""),"",分期持仓明细!$AD$20*SUMPRODUCT(分期持仓明细!$B$20:$AA$20,'实盘净值数据(iFinD公式)'!$B39:$AA39/'实盘净值数据(iFinD公式)'!$B$25:$AA$25)*(1-实盘持仓初始配置!$Z$7)^(('实盘净值数据(iFinD公式)'!$A39-'实盘净值数据(iFinD公式)'!$A$8)/365))</x:f>
        <x:v>#NAME?</x:v>
      </x:c>
      <x:c r="L39" s="110" t="e">
        <x:f aca="0">IF(OR(K38="",K39=""),"",K39/K38-1)</x:f>
        <x:v>#NAME?</x:v>
      </x:c>
      <x:c r="M39" s="110" t="e">
        <x:f aca="0">IF(K39="","",K39/MAX(K$5:K39)-1)</x:f>
        <x:v>#NAME?</x:v>
      </x:c>
      <x:c r="N39" s="106" t="e">
        <x:f aca="0">IF(OR('实盘净值数据(iFinD公式)'!$A39="",'实盘净值数据(iFinD公式)'!$B39=""),"",分期持仓明细!$AD$21*SUMPRODUCT(分期持仓明细!$B$21:$AA$21,'实盘净值数据(iFinD公式)'!$B39:$AA39/'实盘净值数据(iFinD公式)'!$B$25:$AA$25)*(1-实盘持仓初始配置!$Z$8)^(('实盘净值数据(iFinD公式)'!$A39-'实盘净值数据(iFinD公式)'!$A$5)/365))</x:f>
        <x:v>#NAME?</x:v>
      </x:c>
      <x:c r="O39" s="110" t="e">
        <x:f aca="0">IF(OR(N38="",N39=""),"",N39/N38-1)</x:f>
        <x:v>#NAME?</x:v>
      </x:c>
      <x:c r="P39" s="110" t="e">
        <x:f aca="0">IF(N39="","",N39/MAX(N$5:N39)-1)</x:f>
        <x:v>#NAME?</x:v>
      </x:c>
      <x:c r="Q39" s="106" t="e">
        <x:f aca="0">IF(OR('实盘净值数据(iFinD公式)'!$A39="",'实盘净值数据(iFinD公式)'!$B39=""),"",分期持仓明细!$AD$22*SUMPRODUCT(分期持仓明细!$B$22:$AA$22,'实盘净值数据(iFinD公式)'!$B39:$AA39/'实盘净值数据(iFinD公式)'!$B$25:$AA$25)*(1-实盘持仓初始配置!$Z$9)^(('实盘净值数据(iFinD公式)'!$A39-'实盘净值数据(iFinD公式)'!$A$8)/365))</x:f>
        <x:v>#NAME?</x:v>
      </x:c>
      <x:c r="R39" s="110" t="e">
        <x:f aca="0">IF(OR(Q38="",Q39=""),"",Q39/Q38-1)</x:f>
        <x:v>#NAME?</x:v>
      </x:c>
      <x:c r="S39" s="110" t="e">
        <x:f aca="0">IF(Q39="","",Q39/MAX(Q$5:Q39)-1)</x:f>
        <x:v>#NAME?</x:v>
      </x:c>
    </x:row>
    <x:row r="40" ht="12" hidden="0">
      <x:c r="A40" s="109" t="n">
        <x:f aca="0">IF('实盘净值数据(iFinD公式)'!A40="","",'实盘净值数据(iFinD公式)'!A40)</x:f>
        <x:v>46241</x:v>
      </x:c>
      <x:c r="B40" s="106" t="e">
        <x:f aca="0">IF(OR('实盘净值数据(iFinD公式)'!$A40="",'实盘净值数据(iFinD公式)'!$B40=""),"",分期持仓明细!$AD$17*SUMPRODUCT(分期持仓明细!$B$17:$AA$17,'实盘净值数据(iFinD公式)'!$B40:$AA40/'实盘净值数据(iFinD公式)'!$B$20:$AA$20)*(1-实盘持仓初始配置!$Z$4)^(('实盘净值数据(iFinD公式)'!$A40-'实盘净值数据(iFinD公式)'!$A$6)/365))</x:f>
        <x:v>#NAME?</x:v>
      </x:c>
      <x:c r="C40" s="110" t="e">
        <x:f aca="0">IF(OR(B39="",B40=""),"",B40/B39-1)</x:f>
        <x:v>#NAME?</x:v>
      </x:c>
      <x:c r="D40" s="110" t="e">
        <x:f aca="0">IF(B40="","",B40/MAX(B$5:B40)-1)</x:f>
        <x:v>#NAME?</x:v>
      </x:c>
      <x:c r="E40" s="106" t="e">
        <x:f aca="0">IF(OR('实盘净值数据(iFinD公式)'!$A40="",'实盘净值数据(iFinD公式)'!$B40=""),"",分期持仓明细!$AD$18*SUMPRODUCT(分期持仓明细!$B$18:$AA$18,'实盘净值数据(iFinD公式)'!$B40:$AA40/'实盘净值数据(iFinD公式)'!$B$20:$AA$20)*(1-实盘持仓初始配置!$Z$5)^(('实盘净值数据(iFinD公式)'!$A40-'实盘净值数据(iFinD公式)'!$A$5)/365))</x:f>
        <x:v>#NAME?</x:v>
      </x:c>
      <x:c r="F40" s="110" t="e">
        <x:f aca="0">IF(OR(E39="",E40=""),"",E40/E39-1)</x:f>
        <x:v>#NAME?</x:v>
      </x:c>
      <x:c r="G40" s="110" t="e">
        <x:f aca="0">IF(E40="","",E40/MAX(E$5:E40)-1)</x:f>
        <x:v>#NAME?</x:v>
      </x:c>
      <x:c r="H40" s="106" t="e">
        <x:f aca="0">IF(OR('实盘净值数据(iFinD公式)'!$A40="",'实盘净值数据(iFinD公式)'!$B40=""),"",分期持仓明细!$AD$19*SUMPRODUCT(分期持仓明细!$B$19:$AA$19,'实盘净值数据(iFinD公式)'!$B40:$AA40/'实盘净值数据(iFinD公式)'!$B$20:$AA$20)*(1-实盘持仓初始配置!$Z$6)^(('实盘净值数据(iFinD公式)'!$A40-'实盘净值数据(iFinD公式)'!$A$7)/365))</x:f>
        <x:v>#NAME?</x:v>
      </x:c>
      <x:c r="I40" s="110" t="e">
        <x:f aca="0">IF(OR(H39="",H40=""),"",H40/H39-1)</x:f>
        <x:v>#NAME?</x:v>
      </x:c>
      <x:c r="J40" s="110" t="e">
        <x:f aca="0">IF(H40="","",H40/MAX(H$5:H40)-1)</x:f>
        <x:v>#NAME?</x:v>
      </x:c>
      <x:c r="K40" s="106" t="e">
        <x:f aca="0">IF(OR('实盘净值数据(iFinD公式)'!$A40="",'实盘净值数据(iFinD公式)'!$B40=""),"",分期持仓明细!$AD$20*SUMPRODUCT(分期持仓明细!$B$20:$AA$20,'实盘净值数据(iFinD公式)'!$B40:$AA40/'实盘净值数据(iFinD公式)'!$B$25:$AA$25)*(1-实盘持仓初始配置!$Z$7)^(('实盘净值数据(iFinD公式)'!$A40-'实盘净值数据(iFinD公式)'!$A$8)/365))</x:f>
        <x:v>#NAME?</x:v>
      </x:c>
      <x:c r="L40" s="110" t="e">
        <x:f aca="0">IF(OR(K39="",K40=""),"",K40/K39-1)</x:f>
        <x:v>#NAME?</x:v>
      </x:c>
      <x:c r="M40" s="110" t="e">
        <x:f aca="0">IF(K40="","",K40/MAX(K$5:K40)-1)</x:f>
        <x:v>#NAME?</x:v>
      </x:c>
      <x:c r="N40" s="106" t="e">
        <x:f aca="0">IF(OR('实盘净值数据(iFinD公式)'!$A40="",'实盘净值数据(iFinD公式)'!$B40=""),"",分期持仓明细!$AD$21*SUMPRODUCT(分期持仓明细!$B$21:$AA$21,'实盘净值数据(iFinD公式)'!$B40:$AA40/'实盘净值数据(iFinD公式)'!$B$25:$AA$25)*(1-实盘持仓初始配置!$Z$8)^(('实盘净值数据(iFinD公式)'!$A40-'实盘净值数据(iFinD公式)'!$A$5)/365))</x:f>
        <x:v>#NAME?</x:v>
      </x:c>
      <x:c r="O40" s="110" t="e">
        <x:f aca="0">IF(OR(N39="",N40=""),"",N40/N39-1)</x:f>
        <x:v>#NAME?</x:v>
      </x:c>
      <x:c r="P40" s="110" t="e">
        <x:f aca="0">IF(N40="","",N40/MAX(N$5:N40)-1)</x:f>
        <x:v>#NAME?</x:v>
      </x:c>
      <x:c r="Q40" s="106" t="e">
        <x:f aca="0">IF(OR('实盘净值数据(iFinD公式)'!$A40="",'实盘净值数据(iFinD公式)'!$B40=""),"",分期持仓明细!$AD$22*SUMPRODUCT(分期持仓明细!$B$22:$AA$22,'实盘净值数据(iFinD公式)'!$B40:$AA40/'实盘净值数据(iFinD公式)'!$B$25:$AA$25)*(1-实盘持仓初始配置!$Z$9)^(('实盘净值数据(iFinD公式)'!$A40-'实盘净值数据(iFinD公式)'!$A$8)/365))</x:f>
        <x:v>#NAME?</x:v>
      </x:c>
      <x:c r="R40" s="110" t="e">
        <x:f aca="0">IF(OR(Q39="",Q40=""),"",Q40/Q39-1)</x:f>
        <x:v>#NAME?</x:v>
      </x:c>
      <x:c r="S40" s="110" t="e">
        <x:f aca="0">IF(Q40="","",Q40/MAX(Q$5:Q40)-1)</x:f>
        <x:v>#NAME?</x:v>
      </x:c>
    </x:row>
    <x:row r="41" ht="12" hidden="0">
      <x:c r="A41" s="109" t="n">
        <x:f aca="0">IF('实盘净值数据(iFinD公式)'!A41="","",'实盘净值数据(iFinD公式)'!A41)</x:f>
        <x:v>46244</x:v>
      </x:c>
      <x:c r="B41" s="106" t="e">
        <x:f aca="0">IF(OR('实盘净值数据(iFinD公式)'!$A41="",'实盘净值数据(iFinD公式)'!$B41=""),"",分期持仓明细!$AD$17*SUMPRODUCT(分期持仓明细!$B$17:$AA$17,'实盘净值数据(iFinD公式)'!$B41:$AA41/'实盘净值数据(iFinD公式)'!$B$20:$AA$20)*(1-实盘持仓初始配置!$Z$4)^(('实盘净值数据(iFinD公式)'!$A41-'实盘净值数据(iFinD公式)'!$A$6)/365))</x:f>
        <x:v>#NAME?</x:v>
      </x:c>
      <x:c r="C41" s="110" t="e">
        <x:f aca="0">IF(OR(B40="",B41=""),"",B41/B40-1)</x:f>
        <x:v>#NAME?</x:v>
      </x:c>
      <x:c r="D41" s="110" t="e">
        <x:f aca="0">IF(B41="","",B41/MAX(B$5:B41)-1)</x:f>
        <x:v>#NAME?</x:v>
      </x:c>
      <x:c r="E41" s="106" t="e">
        <x:f aca="0">IF(OR('实盘净值数据(iFinD公式)'!$A41="",'实盘净值数据(iFinD公式)'!$B41=""),"",分期持仓明细!$AD$18*SUMPRODUCT(分期持仓明细!$B$18:$AA$18,'实盘净值数据(iFinD公式)'!$B41:$AA41/'实盘净值数据(iFinD公式)'!$B$20:$AA$20)*(1-实盘持仓初始配置!$Z$5)^(('实盘净值数据(iFinD公式)'!$A41-'实盘净值数据(iFinD公式)'!$A$5)/365))</x:f>
        <x:v>#NAME?</x:v>
      </x:c>
      <x:c r="F41" s="110" t="e">
        <x:f aca="0">IF(OR(E40="",E41=""),"",E41/E40-1)</x:f>
        <x:v>#NAME?</x:v>
      </x:c>
      <x:c r="G41" s="110" t="e">
        <x:f aca="0">IF(E41="","",E41/MAX(E$5:E41)-1)</x:f>
        <x:v>#NAME?</x:v>
      </x:c>
      <x:c r="H41" s="106" t="e">
        <x:f aca="0">IF(OR('实盘净值数据(iFinD公式)'!$A41="",'实盘净值数据(iFinD公式)'!$B41=""),"",分期持仓明细!$AD$19*SUMPRODUCT(分期持仓明细!$B$19:$AA$19,'实盘净值数据(iFinD公式)'!$B41:$AA41/'实盘净值数据(iFinD公式)'!$B$20:$AA$20)*(1-实盘持仓初始配置!$Z$6)^(('实盘净值数据(iFinD公式)'!$A41-'实盘净值数据(iFinD公式)'!$A$7)/365))</x:f>
        <x:v>#NAME?</x:v>
      </x:c>
      <x:c r="I41" s="110" t="e">
        <x:f aca="0">IF(OR(H40="",H41=""),"",H41/H40-1)</x:f>
        <x:v>#NAME?</x:v>
      </x:c>
      <x:c r="J41" s="110" t="e">
        <x:f aca="0">IF(H41="","",H41/MAX(H$5:H41)-1)</x:f>
        <x:v>#NAME?</x:v>
      </x:c>
      <x:c r="K41" s="106" t="e">
        <x:f aca="0">IF(OR('实盘净值数据(iFinD公式)'!$A41="",'实盘净值数据(iFinD公式)'!$B41=""),"",分期持仓明细!$AD$20*SUMPRODUCT(分期持仓明细!$B$20:$AA$20,'实盘净值数据(iFinD公式)'!$B41:$AA41/'实盘净值数据(iFinD公式)'!$B$25:$AA$25)*(1-实盘持仓初始配置!$Z$7)^(('实盘净值数据(iFinD公式)'!$A41-'实盘净值数据(iFinD公式)'!$A$8)/365))</x:f>
        <x:v>#NAME?</x:v>
      </x:c>
      <x:c r="L41" s="110" t="e">
        <x:f aca="0">IF(OR(K40="",K41=""),"",K41/K40-1)</x:f>
        <x:v>#NAME?</x:v>
      </x:c>
      <x:c r="M41" s="110" t="e">
        <x:f aca="0">IF(K41="","",K41/MAX(K$5:K41)-1)</x:f>
        <x:v>#NAME?</x:v>
      </x:c>
      <x:c r="N41" s="106" t="e">
        <x:f aca="0">IF(OR('实盘净值数据(iFinD公式)'!$A41="",'实盘净值数据(iFinD公式)'!$B41=""),"",分期持仓明细!$AD$21*SUMPRODUCT(分期持仓明细!$B$21:$AA$21,'实盘净值数据(iFinD公式)'!$B41:$AA41/'实盘净值数据(iFinD公式)'!$B$25:$AA$25)*(1-实盘持仓初始配置!$Z$8)^(('实盘净值数据(iFinD公式)'!$A41-'实盘净值数据(iFinD公式)'!$A$5)/365))</x:f>
        <x:v>#NAME?</x:v>
      </x:c>
      <x:c r="O41" s="110" t="e">
        <x:f aca="0">IF(OR(N40="",N41=""),"",N41/N40-1)</x:f>
        <x:v>#NAME?</x:v>
      </x:c>
      <x:c r="P41" s="110" t="e">
        <x:f aca="0">IF(N41="","",N41/MAX(N$5:N41)-1)</x:f>
        <x:v>#NAME?</x:v>
      </x:c>
      <x:c r="Q41" s="106" t="e">
        <x:f aca="0">IF(OR('实盘净值数据(iFinD公式)'!$A41="",'实盘净值数据(iFinD公式)'!$B41=""),"",分期持仓明细!$AD$22*SUMPRODUCT(分期持仓明细!$B$22:$AA$22,'实盘净值数据(iFinD公式)'!$B41:$AA41/'实盘净值数据(iFinD公式)'!$B$25:$AA$25)*(1-实盘持仓初始配置!$Z$9)^(('实盘净值数据(iFinD公式)'!$A41-'实盘净值数据(iFinD公式)'!$A$8)/365))</x:f>
        <x:v>#NAME?</x:v>
      </x:c>
      <x:c r="R41" s="110" t="e">
        <x:f aca="0">IF(OR(Q40="",Q41=""),"",Q41/Q40-1)</x:f>
        <x:v>#NAME?</x:v>
      </x:c>
      <x:c r="S41" s="110" t="e">
        <x:f aca="0">IF(Q41="","",Q41/MAX(Q$5:Q41)-1)</x:f>
        <x:v>#NAME?</x:v>
      </x:c>
    </x:row>
    <x:row r="42" ht="12" hidden="0">
      <x:c r="A42" s="109" t="n">
        <x:f aca="0">IF('实盘净值数据(iFinD公式)'!A42="","",'实盘净值数据(iFinD公式)'!A42)</x:f>
        <x:v>46245</x:v>
      </x:c>
      <x:c r="B42" s="106" t="e">
        <x:f aca="0">IF(OR('实盘净值数据(iFinD公式)'!$A42="",'实盘净值数据(iFinD公式)'!$B42=""),"",分期持仓明细!$AD$17*SUMPRODUCT(分期持仓明细!$B$17:$AA$17,'实盘净值数据(iFinD公式)'!$B42:$AA42/'实盘净值数据(iFinD公式)'!$B$20:$AA$20)*(1-实盘持仓初始配置!$Z$4)^(('实盘净值数据(iFinD公式)'!$A42-'实盘净值数据(iFinD公式)'!$A$6)/365))</x:f>
        <x:v>#NAME?</x:v>
      </x:c>
      <x:c r="C42" s="110" t="e">
        <x:f aca="0">IF(OR(B41="",B42=""),"",B42/B41-1)</x:f>
        <x:v>#NAME?</x:v>
      </x:c>
      <x:c r="D42" s="110" t="e">
        <x:f aca="0">IF(B42="","",B42/MAX(B$5:B42)-1)</x:f>
        <x:v>#NAME?</x:v>
      </x:c>
      <x:c r="E42" s="106" t="e">
        <x:f aca="0">IF(OR('实盘净值数据(iFinD公式)'!$A42="",'实盘净值数据(iFinD公式)'!$B42=""),"",分期持仓明细!$AD$18*SUMPRODUCT(分期持仓明细!$B$18:$AA$18,'实盘净值数据(iFinD公式)'!$B42:$AA42/'实盘净值数据(iFinD公式)'!$B$20:$AA$20)*(1-实盘持仓初始配置!$Z$5)^(('实盘净值数据(iFinD公式)'!$A42-'实盘净值数据(iFinD公式)'!$A$5)/365))</x:f>
        <x:v>#NAME?</x:v>
      </x:c>
      <x:c r="F42" s="110" t="e">
        <x:f aca="0">IF(OR(E41="",E42=""),"",E42/E41-1)</x:f>
        <x:v>#NAME?</x:v>
      </x:c>
      <x:c r="G42" s="110" t="e">
        <x:f aca="0">IF(E42="","",E42/MAX(E$5:E42)-1)</x:f>
        <x:v>#NAME?</x:v>
      </x:c>
      <x:c r="H42" s="106" t="e">
        <x:f aca="0">IF(OR('实盘净值数据(iFinD公式)'!$A42="",'实盘净值数据(iFinD公式)'!$B42=""),"",分期持仓明细!$AD$19*SUMPRODUCT(分期持仓明细!$B$19:$AA$19,'实盘净值数据(iFinD公式)'!$B42:$AA42/'实盘净值数据(iFinD公式)'!$B$20:$AA$20)*(1-实盘持仓初始配置!$Z$6)^(('实盘净值数据(iFinD公式)'!$A42-'实盘净值数据(iFinD公式)'!$A$7)/365))</x:f>
        <x:v>#NAME?</x:v>
      </x:c>
      <x:c r="I42" s="110" t="e">
        <x:f aca="0">IF(OR(H41="",H42=""),"",H42/H41-1)</x:f>
        <x:v>#NAME?</x:v>
      </x:c>
      <x:c r="J42" s="110" t="e">
        <x:f aca="0">IF(H42="","",H42/MAX(H$5:H42)-1)</x:f>
        <x:v>#NAME?</x:v>
      </x:c>
      <x:c r="K42" s="106" t="e">
        <x:f aca="0">IF(OR('实盘净值数据(iFinD公式)'!$A42="",'实盘净值数据(iFinD公式)'!$B42=""),"",分期持仓明细!$AD$20*SUMPRODUCT(分期持仓明细!$B$20:$AA$20,'实盘净值数据(iFinD公式)'!$B42:$AA42/'实盘净值数据(iFinD公式)'!$B$25:$AA$25)*(1-实盘持仓初始配置!$Z$7)^(('实盘净值数据(iFinD公式)'!$A42-'实盘净值数据(iFinD公式)'!$A$8)/365))</x:f>
        <x:v>#NAME?</x:v>
      </x:c>
      <x:c r="L42" s="110" t="e">
        <x:f aca="0">IF(OR(K41="",K42=""),"",K42/K41-1)</x:f>
        <x:v>#NAME?</x:v>
      </x:c>
      <x:c r="M42" s="110" t="e">
        <x:f aca="0">IF(K42="","",K42/MAX(K$5:K42)-1)</x:f>
        <x:v>#NAME?</x:v>
      </x:c>
      <x:c r="N42" s="106" t="e">
        <x:f aca="0">IF(OR('实盘净值数据(iFinD公式)'!$A42="",'实盘净值数据(iFinD公式)'!$B42=""),"",分期持仓明细!$AD$21*SUMPRODUCT(分期持仓明细!$B$21:$AA$21,'实盘净值数据(iFinD公式)'!$B42:$AA42/'实盘净值数据(iFinD公式)'!$B$25:$AA$25)*(1-实盘持仓初始配置!$Z$8)^(('实盘净值数据(iFinD公式)'!$A42-'实盘净值数据(iFinD公式)'!$A$5)/365))</x:f>
        <x:v>#NAME?</x:v>
      </x:c>
      <x:c r="O42" s="110" t="e">
        <x:f aca="0">IF(OR(N41="",N42=""),"",N42/N41-1)</x:f>
        <x:v>#NAME?</x:v>
      </x:c>
      <x:c r="P42" s="110" t="e">
        <x:f aca="0">IF(N42="","",N42/MAX(N$5:N42)-1)</x:f>
        <x:v>#NAME?</x:v>
      </x:c>
      <x:c r="Q42" s="106" t="e">
        <x:f aca="0">IF(OR('实盘净值数据(iFinD公式)'!$A42="",'实盘净值数据(iFinD公式)'!$B42=""),"",分期持仓明细!$AD$22*SUMPRODUCT(分期持仓明细!$B$22:$AA$22,'实盘净值数据(iFinD公式)'!$B42:$AA42/'实盘净值数据(iFinD公式)'!$B$25:$AA$25)*(1-实盘持仓初始配置!$Z$9)^(('实盘净值数据(iFinD公式)'!$A42-'实盘净值数据(iFinD公式)'!$A$8)/365))</x:f>
        <x:v>#NAME?</x:v>
      </x:c>
      <x:c r="R42" s="110" t="e">
        <x:f aca="0">IF(OR(Q41="",Q42=""),"",Q42/Q41-1)</x:f>
        <x:v>#NAME?</x:v>
      </x:c>
      <x:c r="S42" s="110" t="e">
        <x:f aca="0">IF(Q42="","",Q42/MAX(Q$5:Q42)-1)</x:f>
        <x:v>#NAME?</x:v>
      </x:c>
    </x:row>
    <x:row r="43" ht="12" hidden="0">
      <x:c r="A43" s="109" t="n">
        <x:f aca="0">IF('实盘净值数据(iFinD公式)'!A43="","",'实盘净值数据(iFinD公式)'!A43)</x:f>
        <x:v>46246</x:v>
      </x:c>
      <x:c r="B43" s="106" t="e">
        <x:f aca="0">IF(OR('实盘净值数据(iFinD公式)'!$A43="",'实盘净值数据(iFinD公式)'!$B43=""),"",分期持仓明细!$AD$17*SUMPRODUCT(分期持仓明细!$B$17:$AA$17,'实盘净值数据(iFinD公式)'!$B43:$AA43/'实盘净值数据(iFinD公式)'!$B$20:$AA$20)*(1-实盘持仓初始配置!$Z$4)^(('实盘净值数据(iFinD公式)'!$A43-'实盘净值数据(iFinD公式)'!$A$6)/365))</x:f>
        <x:v>#NAME?</x:v>
      </x:c>
      <x:c r="C43" s="110" t="e">
        <x:f aca="0">IF(OR(B42="",B43=""),"",B43/B42-1)</x:f>
        <x:v>#NAME?</x:v>
      </x:c>
      <x:c r="D43" s="110" t="e">
        <x:f aca="0">IF(B43="","",B43/MAX(B$5:B43)-1)</x:f>
        <x:v>#NAME?</x:v>
      </x:c>
      <x:c r="E43" s="106" t="e">
        <x:f aca="0">IF(OR('实盘净值数据(iFinD公式)'!$A43="",'实盘净值数据(iFinD公式)'!$B43=""),"",分期持仓明细!$AD$18*SUMPRODUCT(分期持仓明细!$B$18:$AA$18,'实盘净值数据(iFinD公式)'!$B43:$AA43/'实盘净值数据(iFinD公式)'!$B$20:$AA$20)*(1-实盘持仓初始配置!$Z$5)^(('实盘净值数据(iFinD公式)'!$A43-'实盘净值数据(iFinD公式)'!$A$5)/365))</x:f>
        <x:v>#NAME?</x:v>
      </x:c>
      <x:c r="F43" s="110" t="e">
        <x:f aca="0">IF(OR(E42="",E43=""),"",E43/E42-1)</x:f>
        <x:v>#NAME?</x:v>
      </x:c>
      <x:c r="G43" s="110" t="e">
        <x:f aca="0">IF(E43="","",E43/MAX(E$5:E43)-1)</x:f>
        <x:v>#NAME?</x:v>
      </x:c>
      <x:c r="H43" s="106" t="e">
        <x:f aca="0">IF(OR('实盘净值数据(iFinD公式)'!$A43="",'实盘净值数据(iFinD公式)'!$B43=""),"",分期持仓明细!$AD$19*SUMPRODUCT(分期持仓明细!$B$19:$AA$19,'实盘净值数据(iFinD公式)'!$B43:$AA43/'实盘净值数据(iFinD公式)'!$B$20:$AA$20)*(1-实盘持仓初始配置!$Z$6)^(('实盘净值数据(iFinD公式)'!$A43-'实盘净值数据(iFinD公式)'!$A$7)/365))</x:f>
        <x:v>#NAME?</x:v>
      </x:c>
      <x:c r="I43" s="110" t="e">
        <x:f aca="0">IF(OR(H42="",H43=""),"",H43/H42-1)</x:f>
        <x:v>#NAME?</x:v>
      </x:c>
      <x:c r="J43" s="110" t="e">
        <x:f aca="0">IF(H43="","",H43/MAX(H$5:H43)-1)</x:f>
        <x:v>#NAME?</x:v>
      </x:c>
      <x:c r="K43" s="106" t="e">
        <x:f aca="0">IF(OR('实盘净值数据(iFinD公式)'!$A43="",'实盘净值数据(iFinD公式)'!$B43=""),"",分期持仓明细!$AD$20*SUMPRODUCT(分期持仓明细!$B$20:$AA$20,'实盘净值数据(iFinD公式)'!$B43:$AA43/'实盘净值数据(iFinD公式)'!$B$25:$AA$25)*(1-实盘持仓初始配置!$Z$7)^(('实盘净值数据(iFinD公式)'!$A43-'实盘净值数据(iFinD公式)'!$A$8)/365))</x:f>
        <x:v>#NAME?</x:v>
      </x:c>
      <x:c r="L43" s="110" t="e">
        <x:f aca="0">IF(OR(K42="",K43=""),"",K43/K42-1)</x:f>
        <x:v>#NAME?</x:v>
      </x:c>
      <x:c r="M43" s="110" t="e">
        <x:f aca="0">IF(K43="","",K43/MAX(K$5:K43)-1)</x:f>
        <x:v>#NAME?</x:v>
      </x:c>
      <x:c r="N43" s="106" t="e">
        <x:f aca="0">IF(OR('实盘净值数据(iFinD公式)'!$A43="",'实盘净值数据(iFinD公式)'!$B43=""),"",分期持仓明细!$AD$21*SUMPRODUCT(分期持仓明细!$B$21:$AA$21,'实盘净值数据(iFinD公式)'!$B43:$AA43/'实盘净值数据(iFinD公式)'!$B$25:$AA$25)*(1-实盘持仓初始配置!$Z$8)^(('实盘净值数据(iFinD公式)'!$A43-'实盘净值数据(iFinD公式)'!$A$5)/365))</x:f>
        <x:v>#NAME?</x:v>
      </x:c>
      <x:c r="O43" s="110" t="e">
        <x:f aca="0">IF(OR(N42="",N43=""),"",N43/N42-1)</x:f>
        <x:v>#NAME?</x:v>
      </x:c>
      <x:c r="P43" s="110" t="e">
        <x:f aca="0">IF(N43="","",N43/MAX(N$5:N43)-1)</x:f>
        <x:v>#NAME?</x:v>
      </x:c>
      <x:c r="Q43" s="106" t="e">
        <x:f aca="0">IF(OR('实盘净值数据(iFinD公式)'!$A43="",'实盘净值数据(iFinD公式)'!$B43=""),"",分期持仓明细!$AD$22*SUMPRODUCT(分期持仓明细!$B$22:$AA$22,'实盘净值数据(iFinD公式)'!$B43:$AA43/'实盘净值数据(iFinD公式)'!$B$25:$AA$25)*(1-实盘持仓初始配置!$Z$9)^(('实盘净值数据(iFinD公式)'!$A43-'实盘净值数据(iFinD公式)'!$A$8)/365))</x:f>
        <x:v>#NAME?</x:v>
      </x:c>
      <x:c r="R43" s="110" t="e">
        <x:f aca="0">IF(OR(Q42="",Q43=""),"",Q43/Q42-1)</x:f>
        <x:v>#NAME?</x:v>
      </x:c>
      <x:c r="S43" s="110" t="e">
        <x:f aca="0">IF(Q43="","",Q43/MAX(Q$5:Q43)-1)</x:f>
        <x:v>#NAME?</x:v>
      </x:c>
    </x:row>
    <x:row r="44" ht="12" hidden="0">
      <x:c r="A44" s="109" t="n">
        <x:f aca="0">IF('实盘净值数据(iFinD公式)'!A44="","",'实盘净值数据(iFinD公式)'!A44)</x:f>
        <x:v>46247</x:v>
      </x:c>
      <x:c r="B44" s="106" t="e">
        <x:f aca="0">IF(OR('实盘净值数据(iFinD公式)'!$A44="",'实盘净值数据(iFinD公式)'!$B44=""),"",分期持仓明细!$AD$17*SUMPRODUCT(分期持仓明细!$B$17:$AA$17,'实盘净值数据(iFinD公式)'!$B44:$AA44/'实盘净值数据(iFinD公式)'!$B$20:$AA$20)*(1-实盘持仓初始配置!$Z$4)^(('实盘净值数据(iFinD公式)'!$A44-'实盘净值数据(iFinD公式)'!$A$6)/365))</x:f>
        <x:v>#NAME?</x:v>
      </x:c>
      <x:c r="C44" s="110" t="e">
        <x:f aca="0">IF(OR(B43="",B44=""),"",B44/B43-1)</x:f>
        <x:v>#NAME?</x:v>
      </x:c>
      <x:c r="D44" s="110" t="e">
        <x:f aca="0">IF(B44="","",B44/MAX(B$5:B44)-1)</x:f>
        <x:v>#NAME?</x:v>
      </x:c>
      <x:c r="E44" s="106" t="e">
        <x:f aca="0">IF(OR('实盘净值数据(iFinD公式)'!$A44="",'实盘净值数据(iFinD公式)'!$B44=""),"",分期持仓明细!$AD$18*SUMPRODUCT(分期持仓明细!$B$18:$AA$18,'实盘净值数据(iFinD公式)'!$B44:$AA44/'实盘净值数据(iFinD公式)'!$B$20:$AA$20)*(1-实盘持仓初始配置!$Z$5)^(('实盘净值数据(iFinD公式)'!$A44-'实盘净值数据(iFinD公式)'!$A$5)/365))</x:f>
        <x:v>#NAME?</x:v>
      </x:c>
      <x:c r="F44" s="110" t="e">
        <x:f aca="0">IF(OR(E43="",E44=""),"",E44/E43-1)</x:f>
        <x:v>#NAME?</x:v>
      </x:c>
      <x:c r="G44" s="110" t="e">
        <x:f aca="0">IF(E44="","",E44/MAX(E$5:E44)-1)</x:f>
        <x:v>#NAME?</x:v>
      </x:c>
      <x:c r="H44" s="106" t="e">
        <x:f aca="0">IF(OR('实盘净值数据(iFinD公式)'!$A44="",'实盘净值数据(iFinD公式)'!$B44=""),"",分期持仓明细!$AD$19*SUMPRODUCT(分期持仓明细!$B$19:$AA$19,'实盘净值数据(iFinD公式)'!$B44:$AA44/'实盘净值数据(iFinD公式)'!$B$20:$AA$20)*(1-实盘持仓初始配置!$Z$6)^(('实盘净值数据(iFinD公式)'!$A44-'实盘净值数据(iFinD公式)'!$A$7)/365))</x:f>
        <x:v>#NAME?</x:v>
      </x:c>
      <x:c r="I44" s="110" t="e">
        <x:f aca="0">IF(OR(H43="",H44=""),"",H44/H43-1)</x:f>
        <x:v>#NAME?</x:v>
      </x:c>
      <x:c r="J44" s="110" t="e">
        <x:f aca="0">IF(H44="","",H44/MAX(H$5:H44)-1)</x:f>
        <x:v>#NAME?</x:v>
      </x:c>
      <x:c r="K44" s="106" t="e">
        <x:f aca="0">IF(OR('实盘净值数据(iFinD公式)'!$A44="",'实盘净值数据(iFinD公式)'!$B44=""),"",分期持仓明细!$AD$20*SUMPRODUCT(分期持仓明细!$B$20:$AA$20,'实盘净值数据(iFinD公式)'!$B44:$AA44/'实盘净值数据(iFinD公式)'!$B$25:$AA$25)*(1-实盘持仓初始配置!$Z$7)^(('实盘净值数据(iFinD公式)'!$A44-'实盘净值数据(iFinD公式)'!$A$8)/365))</x:f>
        <x:v>#NAME?</x:v>
      </x:c>
      <x:c r="L44" s="110" t="e">
        <x:f aca="0">IF(OR(K43="",K44=""),"",K44/K43-1)</x:f>
        <x:v>#NAME?</x:v>
      </x:c>
      <x:c r="M44" s="110" t="e">
        <x:f aca="0">IF(K44="","",K44/MAX(K$5:K44)-1)</x:f>
        <x:v>#NAME?</x:v>
      </x:c>
      <x:c r="N44" s="106" t="e">
        <x:f aca="0">IF(OR('实盘净值数据(iFinD公式)'!$A44="",'实盘净值数据(iFinD公式)'!$B44=""),"",分期持仓明细!$AD$21*SUMPRODUCT(分期持仓明细!$B$21:$AA$21,'实盘净值数据(iFinD公式)'!$B44:$AA44/'实盘净值数据(iFinD公式)'!$B$25:$AA$25)*(1-实盘持仓初始配置!$Z$8)^(('实盘净值数据(iFinD公式)'!$A44-'实盘净值数据(iFinD公式)'!$A$5)/365))</x:f>
        <x:v>#NAME?</x:v>
      </x:c>
      <x:c r="O44" s="110" t="e">
        <x:f aca="0">IF(OR(N43="",N44=""),"",N44/N43-1)</x:f>
        <x:v>#NAME?</x:v>
      </x:c>
      <x:c r="P44" s="110" t="e">
        <x:f aca="0">IF(N44="","",N44/MAX(N$5:N44)-1)</x:f>
        <x:v>#NAME?</x:v>
      </x:c>
      <x:c r="Q44" s="106" t="e">
        <x:f aca="0">IF(OR('实盘净值数据(iFinD公式)'!$A44="",'实盘净值数据(iFinD公式)'!$B44=""),"",分期持仓明细!$AD$22*SUMPRODUCT(分期持仓明细!$B$22:$AA$22,'实盘净值数据(iFinD公式)'!$B44:$AA44/'实盘净值数据(iFinD公式)'!$B$25:$AA$25)*(1-实盘持仓初始配置!$Z$9)^(('实盘净值数据(iFinD公式)'!$A44-'实盘净值数据(iFinD公式)'!$A$8)/365))</x:f>
        <x:v>#NAME?</x:v>
      </x:c>
      <x:c r="R44" s="110" t="e">
        <x:f aca="0">IF(OR(Q43="",Q44=""),"",Q44/Q43-1)</x:f>
        <x:v>#NAME?</x:v>
      </x:c>
      <x:c r="S44" s="110" t="e">
        <x:f aca="0">IF(Q44="","",Q44/MAX(Q$5:Q44)-1)</x:f>
        <x:v>#NAME?</x:v>
      </x:c>
    </x:row>
    <x:row r="45" ht="12" hidden="0">
      <x:c r="A45" s="109" t="n">
        <x:f aca="0">IF('实盘净值数据(iFinD公式)'!A45="","",'实盘净值数据(iFinD公式)'!A45)</x:f>
        <x:v>46248</x:v>
      </x:c>
      <x:c r="B45" s="106" t="e">
        <x:f aca="0">IF(OR('实盘净值数据(iFinD公式)'!$A45="",'实盘净值数据(iFinD公式)'!$B45=""),"",分期持仓明细!$AD$17*SUMPRODUCT(分期持仓明细!$B$17:$AA$17,'实盘净值数据(iFinD公式)'!$B45:$AA45/'实盘净值数据(iFinD公式)'!$B$20:$AA$20)*(1-实盘持仓初始配置!$Z$4)^(('实盘净值数据(iFinD公式)'!$A45-'实盘净值数据(iFinD公式)'!$A$6)/365))</x:f>
        <x:v>#NAME?</x:v>
      </x:c>
      <x:c r="C45" s="110" t="e">
        <x:f aca="0">IF(OR(B44="",B45=""),"",B45/B44-1)</x:f>
        <x:v>#NAME?</x:v>
      </x:c>
      <x:c r="D45" s="110" t="e">
        <x:f aca="0">IF(B45="","",B45/MAX(B$5:B45)-1)</x:f>
        <x:v>#NAME?</x:v>
      </x:c>
      <x:c r="E45" s="106" t="e">
        <x:f aca="0">IF(OR('实盘净值数据(iFinD公式)'!$A45="",'实盘净值数据(iFinD公式)'!$B45=""),"",分期持仓明细!$AD$18*SUMPRODUCT(分期持仓明细!$B$18:$AA$18,'实盘净值数据(iFinD公式)'!$B45:$AA45/'实盘净值数据(iFinD公式)'!$B$20:$AA$20)*(1-实盘持仓初始配置!$Z$5)^(('实盘净值数据(iFinD公式)'!$A45-'实盘净值数据(iFinD公式)'!$A$5)/365))</x:f>
        <x:v>#NAME?</x:v>
      </x:c>
      <x:c r="F45" s="110" t="e">
        <x:f aca="0">IF(OR(E44="",E45=""),"",E45/E44-1)</x:f>
        <x:v>#NAME?</x:v>
      </x:c>
      <x:c r="G45" s="110" t="e">
        <x:f aca="0">IF(E45="","",E45/MAX(E$5:E45)-1)</x:f>
        <x:v>#NAME?</x:v>
      </x:c>
      <x:c r="H45" s="106" t="e">
        <x:f aca="0">IF(OR('实盘净值数据(iFinD公式)'!$A45="",'实盘净值数据(iFinD公式)'!$B45=""),"",分期持仓明细!$AD$19*SUMPRODUCT(分期持仓明细!$B$19:$AA$19,'实盘净值数据(iFinD公式)'!$B45:$AA45/'实盘净值数据(iFinD公式)'!$B$20:$AA$20)*(1-实盘持仓初始配置!$Z$6)^(('实盘净值数据(iFinD公式)'!$A45-'实盘净值数据(iFinD公式)'!$A$7)/365))</x:f>
        <x:v>#NAME?</x:v>
      </x:c>
      <x:c r="I45" s="110" t="e">
        <x:f aca="0">IF(OR(H44="",H45=""),"",H45/H44-1)</x:f>
        <x:v>#NAME?</x:v>
      </x:c>
      <x:c r="J45" s="110" t="e">
        <x:f aca="0">IF(H45="","",H45/MAX(H$5:H45)-1)</x:f>
        <x:v>#NAME?</x:v>
      </x:c>
      <x:c r="K45" s="106" t="e">
        <x:f aca="0">IF(OR('实盘净值数据(iFinD公式)'!$A45="",'实盘净值数据(iFinD公式)'!$B45=""),"",分期持仓明细!$AD$20*SUMPRODUCT(分期持仓明细!$B$20:$AA$20,'实盘净值数据(iFinD公式)'!$B45:$AA45/'实盘净值数据(iFinD公式)'!$B$25:$AA$25)*(1-实盘持仓初始配置!$Z$7)^(('实盘净值数据(iFinD公式)'!$A45-'实盘净值数据(iFinD公式)'!$A$8)/365))</x:f>
        <x:v>#NAME?</x:v>
      </x:c>
      <x:c r="L45" s="110" t="e">
        <x:f aca="0">IF(OR(K44="",K45=""),"",K45/K44-1)</x:f>
        <x:v>#NAME?</x:v>
      </x:c>
      <x:c r="M45" s="110" t="e">
        <x:f aca="0">IF(K45="","",K45/MAX(K$5:K45)-1)</x:f>
        <x:v>#NAME?</x:v>
      </x:c>
      <x:c r="N45" s="106" t="e">
        <x:f aca="0">IF(OR('实盘净值数据(iFinD公式)'!$A45="",'实盘净值数据(iFinD公式)'!$B45=""),"",分期持仓明细!$AD$21*SUMPRODUCT(分期持仓明细!$B$21:$AA$21,'实盘净值数据(iFinD公式)'!$B45:$AA45/'实盘净值数据(iFinD公式)'!$B$25:$AA$25)*(1-实盘持仓初始配置!$Z$8)^(('实盘净值数据(iFinD公式)'!$A45-'实盘净值数据(iFinD公式)'!$A$5)/365))</x:f>
        <x:v>#NAME?</x:v>
      </x:c>
      <x:c r="O45" s="110" t="e">
        <x:f aca="0">IF(OR(N44="",N45=""),"",N45/N44-1)</x:f>
        <x:v>#NAME?</x:v>
      </x:c>
      <x:c r="P45" s="110" t="e">
        <x:f aca="0">IF(N45="","",N45/MAX(N$5:N45)-1)</x:f>
        <x:v>#NAME?</x:v>
      </x:c>
      <x:c r="Q45" s="106" t="e">
        <x:f aca="0">IF(OR('实盘净值数据(iFinD公式)'!$A45="",'实盘净值数据(iFinD公式)'!$B45=""),"",分期持仓明细!$AD$22*SUMPRODUCT(分期持仓明细!$B$22:$AA$22,'实盘净值数据(iFinD公式)'!$B45:$AA45/'实盘净值数据(iFinD公式)'!$B$25:$AA$25)*(1-实盘持仓初始配置!$Z$9)^(('实盘净值数据(iFinD公式)'!$A45-'实盘净值数据(iFinD公式)'!$A$8)/365))</x:f>
        <x:v>#NAME?</x:v>
      </x:c>
      <x:c r="R45" s="110" t="e">
        <x:f aca="0">IF(OR(Q44="",Q45=""),"",Q45/Q44-1)</x:f>
        <x:v>#NAME?</x:v>
      </x:c>
      <x:c r="S45" s="110" t="e">
        <x:f aca="0">IF(Q45="","",Q45/MAX(Q$5:Q45)-1)</x:f>
        <x:v>#NAME?</x:v>
      </x:c>
    </x:row>
    <x:row r="46" ht="12" hidden="0">
      <x:c r="A46" s="109" t="n">
        <x:f aca="0">IF('实盘净值数据(iFinD公式)'!A46="","",'实盘净值数据(iFinD公式)'!A46)</x:f>
        <x:v>46251</x:v>
      </x:c>
      <x:c r="B46" s="106" t="e">
        <x:f aca="0">IF(OR('实盘净值数据(iFinD公式)'!$A46="",'实盘净值数据(iFinD公式)'!$B46=""),"",分期持仓明细!$AD$17*SUMPRODUCT(分期持仓明细!$B$17:$AA$17,'实盘净值数据(iFinD公式)'!$B46:$AA46/'实盘净值数据(iFinD公式)'!$B$20:$AA$20)*(1-实盘持仓初始配置!$Z$4)^(('实盘净值数据(iFinD公式)'!$A46-'实盘净值数据(iFinD公式)'!$A$6)/365))</x:f>
        <x:v>#NAME?</x:v>
      </x:c>
      <x:c r="C46" s="110" t="e">
        <x:f aca="0">IF(OR(B45="",B46=""),"",B46/B45-1)</x:f>
        <x:v>#NAME?</x:v>
      </x:c>
      <x:c r="D46" s="110" t="e">
        <x:f aca="0">IF(B46="","",B46/MAX(B$5:B46)-1)</x:f>
        <x:v>#NAME?</x:v>
      </x:c>
      <x:c r="E46" s="106" t="e">
        <x:f aca="0">IF(OR('实盘净值数据(iFinD公式)'!$A46="",'实盘净值数据(iFinD公式)'!$B46=""),"",分期持仓明细!$AD$18*SUMPRODUCT(分期持仓明细!$B$18:$AA$18,'实盘净值数据(iFinD公式)'!$B46:$AA46/'实盘净值数据(iFinD公式)'!$B$20:$AA$20)*(1-实盘持仓初始配置!$Z$5)^(('实盘净值数据(iFinD公式)'!$A46-'实盘净值数据(iFinD公式)'!$A$5)/365))</x:f>
        <x:v>#NAME?</x:v>
      </x:c>
      <x:c r="F46" s="110" t="e">
        <x:f aca="0">IF(OR(E45="",E46=""),"",E46/E45-1)</x:f>
        <x:v>#NAME?</x:v>
      </x:c>
      <x:c r="G46" s="110" t="e">
        <x:f aca="0">IF(E46="","",E46/MAX(E$5:E46)-1)</x:f>
        <x:v>#NAME?</x:v>
      </x:c>
      <x:c r="H46" s="106" t="e">
        <x:f aca="0">IF(OR('实盘净值数据(iFinD公式)'!$A46="",'实盘净值数据(iFinD公式)'!$B46=""),"",分期持仓明细!$AD$19*SUMPRODUCT(分期持仓明细!$B$19:$AA$19,'实盘净值数据(iFinD公式)'!$B46:$AA46/'实盘净值数据(iFinD公式)'!$B$20:$AA$20)*(1-实盘持仓初始配置!$Z$6)^(('实盘净值数据(iFinD公式)'!$A46-'实盘净值数据(iFinD公式)'!$A$7)/365))</x:f>
        <x:v>#NAME?</x:v>
      </x:c>
      <x:c r="I46" s="110" t="e">
        <x:f aca="0">IF(OR(H45="",H46=""),"",H46/H45-1)</x:f>
        <x:v>#NAME?</x:v>
      </x:c>
      <x:c r="J46" s="110" t="e">
        <x:f aca="0">IF(H46="","",H46/MAX(H$5:H46)-1)</x:f>
        <x:v>#NAME?</x:v>
      </x:c>
      <x:c r="K46" s="106" t="e">
        <x:f aca="0">IF(OR('实盘净值数据(iFinD公式)'!$A46="",'实盘净值数据(iFinD公式)'!$B46=""),"",分期持仓明细!$AD$20*SUMPRODUCT(分期持仓明细!$B$20:$AA$20,'实盘净值数据(iFinD公式)'!$B46:$AA46/'实盘净值数据(iFinD公式)'!$B$25:$AA$25)*(1-实盘持仓初始配置!$Z$7)^(('实盘净值数据(iFinD公式)'!$A46-'实盘净值数据(iFinD公式)'!$A$8)/365))</x:f>
        <x:v>#NAME?</x:v>
      </x:c>
      <x:c r="L46" s="110" t="e">
        <x:f aca="0">IF(OR(K45="",K46=""),"",K46/K45-1)</x:f>
        <x:v>#NAME?</x:v>
      </x:c>
      <x:c r="M46" s="110" t="e">
        <x:f aca="0">IF(K46="","",K46/MAX(K$5:K46)-1)</x:f>
        <x:v>#NAME?</x:v>
      </x:c>
      <x:c r="N46" s="106" t="e">
        <x:f aca="0">IF(OR('实盘净值数据(iFinD公式)'!$A46="",'实盘净值数据(iFinD公式)'!$B46=""),"",分期持仓明细!$AD$21*SUMPRODUCT(分期持仓明细!$B$21:$AA$21,'实盘净值数据(iFinD公式)'!$B46:$AA46/'实盘净值数据(iFinD公式)'!$B$25:$AA$25)*(1-实盘持仓初始配置!$Z$8)^(('实盘净值数据(iFinD公式)'!$A46-'实盘净值数据(iFinD公式)'!$A$5)/365))</x:f>
        <x:v>#NAME?</x:v>
      </x:c>
      <x:c r="O46" s="110" t="e">
        <x:f aca="0">IF(OR(N45="",N46=""),"",N46/N45-1)</x:f>
        <x:v>#NAME?</x:v>
      </x:c>
      <x:c r="P46" s="110" t="e">
        <x:f aca="0">IF(N46="","",N46/MAX(N$5:N46)-1)</x:f>
        <x:v>#NAME?</x:v>
      </x:c>
      <x:c r="Q46" s="106" t="e">
        <x:f aca="0">IF(OR('实盘净值数据(iFinD公式)'!$A46="",'实盘净值数据(iFinD公式)'!$B46=""),"",分期持仓明细!$AD$22*SUMPRODUCT(分期持仓明细!$B$22:$AA$22,'实盘净值数据(iFinD公式)'!$B46:$AA46/'实盘净值数据(iFinD公式)'!$B$25:$AA$25)*(1-实盘持仓初始配置!$Z$9)^(('实盘净值数据(iFinD公式)'!$A46-'实盘净值数据(iFinD公式)'!$A$8)/365))</x:f>
        <x:v>#NAME?</x:v>
      </x:c>
      <x:c r="R46" s="110" t="e">
        <x:f aca="0">IF(OR(Q45="",Q46=""),"",Q46/Q45-1)</x:f>
        <x:v>#NAME?</x:v>
      </x:c>
      <x:c r="S46" s="110" t="e">
        <x:f aca="0">IF(Q46="","",Q46/MAX(Q$5:Q46)-1)</x:f>
        <x:v>#NAME?</x:v>
      </x:c>
    </x:row>
    <x:row r="47" ht="12" hidden="0">
      <x:c r="A47" s="109" t="n">
        <x:f aca="0">IF('实盘净值数据(iFinD公式)'!A47="","",'实盘净值数据(iFinD公式)'!A47)</x:f>
        <x:v>46252</x:v>
      </x:c>
      <x:c r="B47" s="106" t="e">
        <x:f aca="0">IF(OR('实盘净值数据(iFinD公式)'!$A47="",'实盘净值数据(iFinD公式)'!$B47=""),"",分期持仓明细!$AD$17*SUMPRODUCT(分期持仓明细!$B$17:$AA$17,'实盘净值数据(iFinD公式)'!$B47:$AA47/'实盘净值数据(iFinD公式)'!$B$20:$AA$20)*(1-实盘持仓初始配置!$Z$4)^(('实盘净值数据(iFinD公式)'!$A47-'实盘净值数据(iFinD公式)'!$A$6)/365))</x:f>
        <x:v>#NAME?</x:v>
      </x:c>
      <x:c r="C47" s="110" t="e">
        <x:f aca="0">IF(OR(B46="",B47=""),"",B47/B46-1)</x:f>
        <x:v>#NAME?</x:v>
      </x:c>
      <x:c r="D47" s="110" t="e">
        <x:f aca="0">IF(B47="","",B47/MAX(B$5:B47)-1)</x:f>
        <x:v>#NAME?</x:v>
      </x:c>
      <x:c r="E47" s="106" t="e">
        <x:f aca="0">IF(OR('实盘净值数据(iFinD公式)'!$A47="",'实盘净值数据(iFinD公式)'!$B47=""),"",分期持仓明细!$AD$18*SUMPRODUCT(分期持仓明细!$B$18:$AA$18,'实盘净值数据(iFinD公式)'!$B47:$AA47/'实盘净值数据(iFinD公式)'!$B$20:$AA$20)*(1-实盘持仓初始配置!$Z$5)^(('实盘净值数据(iFinD公式)'!$A47-'实盘净值数据(iFinD公式)'!$A$5)/365))</x:f>
        <x:v>#NAME?</x:v>
      </x:c>
      <x:c r="F47" s="110" t="e">
        <x:f aca="0">IF(OR(E46="",E47=""),"",E47/E46-1)</x:f>
        <x:v>#NAME?</x:v>
      </x:c>
      <x:c r="G47" s="110" t="e">
        <x:f aca="0">IF(E47="","",E47/MAX(E$5:E47)-1)</x:f>
        <x:v>#NAME?</x:v>
      </x:c>
      <x:c r="H47" s="106" t="e">
        <x:f aca="0">IF(OR('实盘净值数据(iFinD公式)'!$A47="",'实盘净值数据(iFinD公式)'!$B47=""),"",分期持仓明细!$AD$19*SUMPRODUCT(分期持仓明细!$B$19:$AA$19,'实盘净值数据(iFinD公式)'!$B47:$AA47/'实盘净值数据(iFinD公式)'!$B$20:$AA$20)*(1-实盘持仓初始配置!$Z$6)^(('实盘净值数据(iFinD公式)'!$A47-'实盘净值数据(iFinD公式)'!$A$7)/365))</x:f>
        <x:v>#NAME?</x:v>
      </x:c>
      <x:c r="I47" s="110" t="e">
        <x:f aca="0">IF(OR(H46="",H47=""),"",H47/H46-1)</x:f>
        <x:v>#NAME?</x:v>
      </x:c>
      <x:c r="J47" s="110" t="e">
        <x:f aca="0">IF(H47="","",H47/MAX(H$5:H47)-1)</x:f>
        <x:v>#NAME?</x:v>
      </x:c>
      <x:c r="K47" s="106" t="e">
        <x:f aca="0">IF(OR('实盘净值数据(iFinD公式)'!$A47="",'实盘净值数据(iFinD公式)'!$B47=""),"",分期持仓明细!$AD$20*SUMPRODUCT(分期持仓明细!$B$20:$AA$20,'实盘净值数据(iFinD公式)'!$B47:$AA47/'实盘净值数据(iFinD公式)'!$B$25:$AA$25)*(1-实盘持仓初始配置!$Z$7)^(('实盘净值数据(iFinD公式)'!$A47-'实盘净值数据(iFinD公式)'!$A$8)/365))</x:f>
        <x:v>#NAME?</x:v>
      </x:c>
      <x:c r="L47" s="110" t="e">
        <x:f aca="0">IF(OR(K46="",K47=""),"",K47/K46-1)</x:f>
        <x:v>#NAME?</x:v>
      </x:c>
      <x:c r="M47" s="110" t="e">
        <x:f aca="0">IF(K47="","",K47/MAX(K$5:K47)-1)</x:f>
        <x:v>#NAME?</x:v>
      </x:c>
      <x:c r="N47" s="106" t="e">
        <x:f aca="0">IF(OR('实盘净值数据(iFinD公式)'!$A47="",'实盘净值数据(iFinD公式)'!$B47=""),"",分期持仓明细!$AD$21*SUMPRODUCT(分期持仓明细!$B$21:$AA$21,'实盘净值数据(iFinD公式)'!$B47:$AA47/'实盘净值数据(iFinD公式)'!$B$25:$AA$25)*(1-实盘持仓初始配置!$Z$8)^(('实盘净值数据(iFinD公式)'!$A47-'实盘净值数据(iFinD公式)'!$A$5)/365))</x:f>
        <x:v>#NAME?</x:v>
      </x:c>
      <x:c r="O47" s="110" t="e">
        <x:f aca="0">IF(OR(N46="",N47=""),"",N47/N46-1)</x:f>
        <x:v>#NAME?</x:v>
      </x:c>
      <x:c r="P47" s="110" t="e">
        <x:f aca="0">IF(N47="","",N47/MAX(N$5:N47)-1)</x:f>
        <x:v>#NAME?</x:v>
      </x:c>
      <x:c r="Q47" s="106" t="e">
        <x:f aca="0">IF(OR('实盘净值数据(iFinD公式)'!$A47="",'实盘净值数据(iFinD公式)'!$B47=""),"",分期持仓明细!$AD$22*SUMPRODUCT(分期持仓明细!$B$22:$AA$22,'实盘净值数据(iFinD公式)'!$B47:$AA47/'实盘净值数据(iFinD公式)'!$B$25:$AA$25)*(1-实盘持仓初始配置!$Z$9)^(('实盘净值数据(iFinD公式)'!$A47-'实盘净值数据(iFinD公式)'!$A$8)/365))</x:f>
        <x:v>#NAME?</x:v>
      </x:c>
      <x:c r="R47" s="110" t="e">
        <x:f aca="0">IF(OR(Q46="",Q47=""),"",Q47/Q46-1)</x:f>
        <x:v>#NAME?</x:v>
      </x:c>
      <x:c r="S47" s="110" t="e">
        <x:f aca="0">IF(Q47="","",Q47/MAX(Q$5:Q47)-1)</x:f>
        <x:v>#NAME?</x:v>
      </x:c>
    </x:row>
    <x:row r="48" ht="12" hidden="0">
      <x:c r="A48" s="109" t="n">
        <x:f aca="0">IF('实盘净值数据(iFinD公式)'!A48="","",'实盘净值数据(iFinD公式)'!A48)</x:f>
        <x:v>46253</x:v>
      </x:c>
      <x:c r="B48" s="106" t="e">
        <x:f aca="0">IF(OR('实盘净值数据(iFinD公式)'!$A48="",'实盘净值数据(iFinD公式)'!$B48=""),"",分期持仓明细!$AD$17*SUMPRODUCT(分期持仓明细!$B$17:$AA$17,'实盘净值数据(iFinD公式)'!$B48:$AA48/'实盘净值数据(iFinD公式)'!$B$20:$AA$20)*(1-实盘持仓初始配置!$Z$4)^(('实盘净值数据(iFinD公式)'!$A48-'实盘净值数据(iFinD公式)'!$A$6)/365))</x:f>
        <x:v>#NAME?</x:v>
      </x:c>
      <x:c r="C48" s="110" t="e">
        <x:f aca="0">IF(OR(B47="",B48=""),"",B48/B47-1)</x:f>
        <x:v>#NAME?</x:v>
      </x:c>
      <x:c r="D48" s="110" t="e">
        <x:f aca="0">IF(B48="","",B48/MAX(B$5:B48)-1)</x:f>
        <x:v>#NAME?</x:v>
      </x:c>
      <x:c r="E48" s="106" t="e">
        <x:f aca="0">IF(OR('实盘净值数据(iFinD公式)'!$A48="",'实盘净值数据(iFinD公式)'!$B48=""),"",分期持仓明细!$AD$18*SUMPRODUCT(分期持仓明细!$B$18:$AA$18,'实盘净值数据(iFinD公式)'!$B48:$AA48/'实盘净值数据(iFinD公式)'!$B$20:$AA$20)*(1-实盘持仓初始配置!$Z$5)^(('实盘净值数据(iFinD公式)'!$A48-'实盘净值数据(iFinD公式)'!$A$5)/365))</x:f>
        <x:v>#NAME?</x:v>
      </x:c>
      <x:c r="F48" s="110" t="e">
        <x:f aca="0">IF(OR(E47="",E48=""),"",E48/E47-1)</x:f>
        <x:v>#NAME?</x:v>
      </x:c>
      <x:c r="G48" s="110" t="e">
        <x:f aca="0">IF(E48="","",E48/MAX(E$5:E48)-1)</x:f>
        <x:v>#NAME?</x:v>
      </x:c>
      <x:c r="H48" s="106" t="e">
        <x:f aca="0">IF(OR('实盘净值数据(iFinD公式)'!$A48="",'实盘净值数据(iFinD公式)'!$B48=""),"",分期持仓明细!$AD$19*SUMPRODUCT(分期持仓明细!$B$19:$AA$19,'实盘净值数据(iFinD公式)'!$B48:$AA48/'实盘净值数据(iFinD公式)'!$B$20:$AA$20)*(1-实盘持仓初始配置!$Z$6)^(('实盘净值数据(iFinD公式)'!$A48-'实盘净值数据(iFinD公式)'!$A$7)/365))</x:f>
        <x:v>#NAME?</x:v>
      </x:c>
      <x:c r="I48" s="110" t="e">
        <x:f aca="0">IF(OR(H47="",H48=""),"",H48/H47-1)</x:f>
        <x:v>#NAME?</x:v>
      </x:c>
      <x:c r="J48" s="110" t="e">
        <x:f aca="0">IF(H48="","",H48/MAX(H$5:H48)-1)</x:f>
        <x:v>#NAME?</x:v>
      </x:c>
      <x:c r="K48" s="106" t="e">
        <x:f aca="0">IF(OR('实盘净值数据(iFinD公式)'!$A48="",'实盘净值数据(iFinD公式)'!$B48=""),"",分期持仓明细!$AD$20*SUMPRODUCT(分期持仓明细!$B$20:$AA$20,'实盘净值数据(iFinD公式)'!$B48:$AA48/'实盘净值数据(iFinD公式)'!$B$25:$AA$25)*(1-实盘持仓初始配置!$Z$7)^(('实盘净值数据(iFinD公式)'!$A48-'实盘净值数据(iFinD公式)'!$A$8)/365))</x:f>
        <x:v>#NAME?</x:v>
      </x:c>
      <x:c r="L48" s="110" t="e">
        <x:f aca="0">IF(OR(K47="",K48=""),"",K48/K47-1)</x:f>
        <x:v>#NAME?</x:v>
      </x:c>
      <x:c r="M48" s="110" t="e">
        <x:f aca="0">IF(K48="","",K48/MAX(K$5:K48)-1)</x:f>
        <x:v>#NAME?</x:v>
      </x:c>
      <x:c r="N48" s="106" t="e">
        <x:f aca="0">IF(OR('实盘净值数据(iFinD公式)'!$A48="",'实盘净值数据(iFinD公式)'!$B48=""),"",分期持仓明细!$AD$21*SUMPRODUCT(分期持仓明细!$B$21:$AA$21,'实盘净值数据(iFinD公式)'!$B48:$AA48/'实盘净值数据(iFinD公式)'!$B$25:$AA$25)*(1-实盘持仓初始配置!$Z$8)^(('实盘净值数据(iFinD公式)'!$A48-'实盘净值数据(iFinD公式)'!$A$5)/365))</x:f>
        <x:v>#NAME?</x:v>
      </x:c>
      <x:c r="O48" s="110" t="e">
        <x:f aca="0">IF(OR(N47="",N48=""),"",N48/N47-1)</x:f>
        <x:v>#NAME?</x:v>
      </x:c>
      <x:c r="P48" s="110" t="e">
        <x:f aca="0">IF(N48="","",N48/MAX(N$5:N48)-1)</x:f>
        <x:v>#NAME?</x:v>
      </x:c>
      <x:c r="Q48" s="106" t="e">
        <x:f aca="0">IF(OR('实盘净值数据(iFinD公式)'!$A48="",'实盘净值数据(iFinD公式)'!$B48=""),"",分期持仓明细!$AD$22*SUMPRODUCT(分期持仓明细!$B$22:$AA$22,'实盘净值数据(iFinD公式)'!$B48:$AA48/'实盘净值数据(iFinD公式)'!$B$25:$AA$25)*(1-实盘持仓初始配置!$Z$9)^(('实盘净值数据(iFinD公式)'!$A48-'实盘净值数据(iFinD公式)'!$A$8)/365))</x:f>
        <x:v>#NAME?</x:v>
      </x:c>
      <x:c r="R48" s="110" t="e">
        <x:f aca="0">IF(OR(Q47="",Q48=""),"",Q48/Q47-1)</x:f>
        <x:v>#NAME?</x:v>
      </x:c>
      <x:c r="S48" s="110" t="e">
        <x:f aca="0">IF(Q48="","",Q48/MAX(Q$5:Q48)-1)</x:f>
        <x:v>#NAME?</x:v>
      </x:c>
    </x:row>
    <x:row r="49" ht="12" hidden="0">
      <x:c r="A49" s="109" t="n">
        <x:f aca="0">IF('实盘净值数据(iFinD公式)'!A49="","",'实盘净值数据(iFinD公式)'!A49)</x:f>
        <x:v>46254</x:v>
      </x:c>
      <x:c r="B49" s="106" t="e">
        <x:f aca="0">IF(OR('实盘净值数据(iFinD公式)'!$A49="",'实盘净值数据(iFinD公式)'!$B49=""),"",分期持仓明细!$AD$17*SUMPRODUCT(分期持仓明细!$B$17:$AA$17,'实盘净值数据(iFinD公式)'!$B49:$AA49/'实盘净值数据(iFinD公式)'!$B$20:$AA$20)*(1-实盘持仓初始配置!$Z$4)^(('实盘净值数据(iFinD公式)'!$A49-'实盘净值数据(iFinD公式)'!$A$6)/365))</x:f>
        <x:v>#NAME?</x:v>
      </x:c>
      <x:c r="C49" s="110" t="e">
        <x:f aca="0">IF(OR(B48="",B49=""),"",B49/B48-1)</x:f>
        <x:v>#NAME?</x:v>
      </x:c>
      <x:c r="D49" s="110" t="e">
        <x:f aca="0">IF(B49="","",B49/MAX(B$5:B49)-1)</x:f>
        <x:v>#NAME?</x:v>
      </x:c>
      <x:c r="E49" s="106" t="e">
        <x:f aca="0">IF(OR('实盘净值数据(iFinD公式)'!$A49="",'实盘净值数据(iFinD公式)'!$B49=""),"",分期持仓明细!$AD$18*SUMPRODUCT(分期持仓明细!$B$18:$AA$18,'实盘净值数据(iFinD公式)'!$B49:$AA49/'实盘净值数据(iFinD公式)'!$B$20:$AA$20)*(1-实盘持仓初始配置!$Z$5)^(('实盘净值数据(iFinD公式)'!$A49-'实盘净值数据(iFinD公式)'!$A$5)/365))</x:f>
        <x:v>#NAME?</x:v>
      </x:c>
      <x:c r="F49" s="110" t="e">
        <x:f aca="0">IF(OR(E48="",E49=""),"",E49/E48-1)</x:f>
        <x:v>#NAME?</x:v>
      </x:c>
      <x:c r="G49" s="110" t="e">
        <x:f aca="0">IF(E49="","",E49/MAX(E$5:E49)-1)</x:f>
        <x:v>#NAME?</x:v>
      </x:c>
      <x:c r="H49" s="106" t="e">
        <x:f aca="0">IF(OR('实盘净值数据(iFinD公式)'!$A49="",'实盘净值数据(iFinD公式)'!$B49=""),"",分期持仓明细!$AD$19*SUMPRODUCT(分期持仓明细!$B$19:$AA$19,'实盘净值数据(iFinD公式)'!$B49:$AA49/'实盘净值数据(iFinD公式)'!$B$20:$AA$20)*(1-实盘持仓初始配置!$Z$6)^(('实盘净值数据(iFinD公式)'!$A49-'实盘净值数据(iFinD公式)'!$A$7)/365))</x:f>
        <x:v>#NAME?</x:v>
      </x:c>
      <x:c r="I49" s="110" t="e">
        <x:f aca="0">IF(OR(H48="",H49=""),"",H49/H48-1)</x:f>
        <x:v>#NAME?</x:v>
      </x:c>
      <x:c r="J49" s="110" t="e">
        <x:f aca="0">IF(H49="","",H49/MAX(H$5:H49)-1)</x:f>
        <x:v>#NAME?</x:v>
      </x:c>
      <x:c r="K49" s="106" t="e">
        <x:f aca="0">IF(OR('实盘净值数据(iFinD公式)'!$A49="",'实盘净值数据(iFinD公式)'!$B49=""),"",分期持仓明细!$AD$20*SUMPRODUCT(分期持仓明细!$B$20:$AA$20,'实盘净值数据(iFinD公式)'!$B49:$AA49/'实盘净值数据(iFinD公式)'!$B$25:$AA$25)*(1-实盘持仓初始配置!$Z$7)^(('实盘净值数据(iFinD公式)'!$A49-'实盘净值数据(iFinD公式)'!$A$8)/365))</x:f>
        <x:v>#NAME?</x:v>
      </x:c>
      <x:c r="L49" s="110" t="e">
        <x:f aca="0">IF(OR(K48="",K49=""),"",K49/K48-1)</x:f>
        <x:v>#NAME?</x:v>
      </x:c>
      <x:c r="M49" s="110" t="e">
        <x:f aca="0">IF(K49="","",K49/MAX(K$5:K49)-1)</x:f>
        <x:v>#NAME?</x:v>
      </x:c>
      <x:c r="N49" s="106" t="e">
        <x:f aca="0">IF(OR('实盘净值数据(iFinD公式)'!$A49="",'实盘净值数据(iFinD公式)'!$B49=""),"",分期持仓明细!$AD$21*SUMPRODUCT(分期持仓明细!$B$21:$AA$21,'实盘净值数据(iFinD公式)'!$B49:$AA49/'实盘净值数据(iFinD公式)'!$B$25:$AA$25)*(1-实盘持仓初始配置!$Z$8)^(('实盘净值数据(iFinD公式)'!$A49-'实盘净值数据(iFinD公式)'!$A$5)/365))</x:f>
        <x:v>#NAME?</x:v>
      </x:c>
      <x:c r="O49" s="110" t="e">
        <x:f aca="0">IF(OR(N48="",N49=""),"",N49/N48-1)</x:f>
        <x:v>#NAME?</x:v>
      </x:c>
      <x:c r="P49" s="110" t="e">
        <x:f aca="0">IF(N49="","",N49/MAX(N$5:N49)-1)</x:f>
        <x:v>#NAME?</x:v>
      </x:c>
      <x:c r="Q49" s="106" t="e">
        <x:f aca="0">IF(OR('实盘净值数据(iFinD公式)'!$A49="",'实盘净值数据(iFinD公式)'!$B49=""),"",分期持仓明细!$AD$22*SUMPRODUCT(分期持仓明细!$B$22:$AA$22,'实盘净值数据(iFinD公式)'!$B49:$AA49/'实盘净值数据(iFinD公式)'!$B$25:$AA$25)*(1-实盘持仓初始配置!$Z$9)^(('实盘净值数据(iFinD公式)'!$A49-'实盘净值数据(iFinD公式)'!$A$8)/365))</x:f>
        <x:v>#NAME?</x:v>
      </x:c>
      <x:c r="R49" s="110" t="e">
        <x:f aca="0">IF(OR(Q48="",Q49=""),"",Q49/Q48-1)</x:f>
        <x:v>#NAME?</x:v>
      </x:c>
      <x:c r="S49" s="110" t="e">
        <x:f aca="0">IF(Q49="","",Q49/MAX(Q$5:Q49)-1)</x:f>
        <x:v>#NAME?</x:v>
      </x:c>
    </x:row>
    <x:row r="50" ht="12" hidden="0">
      <x:c r="A50" s="109" t="n">
        <x:f aca="0">IF('实盘净值数据(iFinD公式)'!A50="","",'实盘净值数据(iFinD公式)'!A50)</x:f>
        <x:v>46255</x:v>
      </x:c>
      <x:c r="B50" s="106" t="e">
        <x:f aca="0">IF(OR('实盘净值数据(iFinD公式)'!$A50="",'实盘净值数据(iFinD公式)'!$B50=""),"",分期持仓明细!$AD$17*SUMPRODUCT(分期持仓明细!$B$17:$AA$17,'实盘净值数据(iFinD公式)'!$B50:$AA50/'实盘净值数据(iFinD公式)'!$B$20:$AA$20)*(1-实盘持仓初始配置!$Z$4)^(('实盘净值数据(iFinD公式)'!$A50-'实盘净值数据(iFinD公式)'!$A$6)/365))</x:f>
        <x:v>#NAME?</x:v>
      </x:c>
      <x:c r="C50" s="110" t="e">
        <x:f aca="0">IF(OR(B49="",B50=""),"",B50/B49-1)</x:f>
        <x:v>#NAME?</x:v>
      </x:c>
      <x:c r="D50" s="110" t="e">
        <x:f aca="0">IF(B50="","",B50/MAX(B$5:B50)-1)</x:f>
        <x:v>#NAME?</x:v>
      </x:c>
      <x:c r="E50" s="106" t="e">
        <x:f aca="0">IF(OR('实盘净值数据(iFinD公式)'!$A50="",'实盘净值数据(iFinD公式)'!$B50=""),"",分期持仓明细!$AD$18*SUMPRODUCT(分期持仓明细!$B$18:$AA$18,'实盘净值数据(iFinD公式)'!$B50:$AA50/'实盘净值数据(iFinD公式)'!$B$20:$AA$20)*(1-实盘持仓初始配置!$Z$5)^(('实盘净值数据(iFinD公式)'!$A50-'实盘净值数据(iFinD公式)'!$A$5)/365))</x:f>
        <x:v>#NAME?</x:v>
      </x:c>
      <x:c r="F50" s="110" t="e">
        <x:f aca="0">IF(OR(E49="",E50=""),"",E50/E49-1)</x:f>
        <x:v>#NAME?</x:v>
      </x:c>
      <x:c r="G50" s="110" t="e">
        <x:f aca="0">IF(E50="","",E50/MAX(E$5:E50)-1)</x:f>
        <x:v>#NAME?</x:v>
      </x:c>
      <x:c r="H50" s="106" t="e">
        <x:f aca="0">IF(OR('实盘净值数据(iFinD公式)'!$A50="",'实盘净值数据(iFinD公式)'!$B50=""),"",分期持仓明细!$AD$19*SUMPRODUCT(分期持仓明细!$B$19:$AA$19,'实盘净值数据(iFinD公式)'!$B50:$AA50/'实盘净值数据(iFinD公式)'!$B$20:$AA$20)*(1-实盘持仓初始配置!$Z$6)^(('实盘净值数据(iFinD公式)'!$A50-'实盘净值数据(iFinD公式)'!$A$7)/365))</x:f>
        <x:v>#NAME?</x:v>
      </x:c>
      <x:c r="I50" s="110" t="e">
        <x:f aca="0">IF(OR(H49="",H50=""),"",H50/H49-1)</x:f>
        <x:v>#NAME?</x:v>
      </x:c>
      <x:c r="J50" s="110" t="e">
        <x:f aca="0">IF(H50="","",H50/MAX(H$5:H50)-1)</x:f>
        <x:v>#NAME?</x:v>
      </x:c>
      <x:c r="K50" s="106" t="e">
        <x:f aca="0">IF(OR('实盘净值数据(iFinD公式)'!$A50="",'实盘净值数据(iFinD公式)'!$B50=""),"",分期持仓明细!$AD$20*SUMPRODUCT(分期持仓明细!$B$20:$AA$20,'实盘净值数据(iFinD公式)'!$B50:$AA50/'实盘净值数据(iFinD公式)'!$B$25:$AA$25)*(1-实盘持仓初始配置!$Z$7)^(('实盘净值数据(iFinD公式)'!$A50-'实盘净值数据(iFinD公式)'!$A$8)/365))</x:f>
        <x:v>#NAME?</x:v>
      </x:c>
      <x:c r="L50" s="110" t="e">
        <x:f aca="0">IF(OR(K49="",K50=""),"",K50/K49-1)</x:f>
        <x:v>#NAME?</x:v>
      </x:c>
      <x:c r="M50" s="110" t="e">
        <x:f aca="0">IF(K50="","",K50/MAX(K$5:K50)-1)</x:f>
        <x:v>#NAME?</x:v>
      </x:c>
      <x:c r="N50" s="106" t="e">
        <x:f aca="0">IF(OR('实盘净值数据(iFinD公式)'!$A50="",'实盘净值数据(iFinD公式)'!$B50=""),"",分期持仓明细!$AD$21*SUMPRODUCT(分期持仓明细!$B$21:$AA$21,'实盘净值数据(iFinD公式)'!$B50:$AA50/'实盘净值数据(iFinD公式)'!$B$25:$AA$25)*(1-实盘持仓初始配置!$Z$8)^(('实盘净值数据(iFinD公式)'!$A50-'实盘净值数据(iFinD公式)'!$A$5)/365))</x:f>
        <x:v>#NAME?</x:v>
      </x:c>
      <x:c r="O50" s="110" t="e">
        <x:f aca="0">IF(OR(N49="",N50=""),"",N50/N49-1)</x:f>
        <x:v>#NAME?</x:v>
      </x:c>
      <x:c r="P50" s="110" t="e">
        <x:f aca="0">IF(N50="","",N50/MAX(N$5:N50)-1)</x:f>
        <x:v>#NAME?</x:v>
      </x:c>
      <x:c r="Q50" s="106" t="e">
        <x:f aca="0">IF(OR('实盘净值数据(iFinD公式)'!$A50="",'实盘净值数据(iFinD公式)'!$B50=""),"",分期持仓明细!$AD$22*SUMPRODUCT(分期持仓明细!$B$22:$AA$22,'实盘净值数据(iFinD公式)'!$B50:$AA50/'实盘净值数据(iFinD公式)'!$B$25:$AA$25)*(1-实盘持仓初始配置!$Z$9)^(('实盘净值数据(iFinD公式)'!$A50-'实盘净值数据(iFinD公式)'!$A$8)/365))</x:f>
        <x:v>#NAME?</x:v>
      </x:c>
      <x:c r="R50" s="110" t="e">
        <x:f aca="0">IF(OR(Q49="",Q50=""),"",Q50/Q49-1)</x:f>
        <x:v>#NAME?</x:v>
      </x:c>
      <x:c r="S50" s="110" t="e">
        <x:f aca="0">IF(Q50="","",Q50/MAX(Q$5:Q50)-1)</x:f>
        <x:v>#NAME?</x:v>
      </x:c>
    </x:row>
    <x:row r="51" ht="12" hidden="0">
      <x:c r="A51" s="109" t="n">
        <x:f aca="0">IF('实盘净值数据(iFinD公式)'!A51="","",'实盘净值数据(iFinD公式)'!A51)</x:f>
        <x:v>46258</x:v>
      </x:c>
      <x:c r="B51" s="106" t="e">
        <x:f aca="0">IF(OR('实盘净值数据(iFinD公式)'!$A51="",'实盘净值数据(iFinD公式)'!$B51=""),"",分期持仓明细!$AD$17*SUMPRODUCT(分期持仓明细!$B$17:$AA$17,'实盘净值数据(iFinD公式)'!$B51:$AA51/'实盘净值数据(iFinD公式)'!$B$20:$AA$20)*(1-实盘持仓初始配置!$Z$4)^(('实盘净值数据(iFinD公式)'!$A51-'实盘净值数据(iFinD公式)'!$A$6)/365))</x:f>
        <x:v>#NAME?</x:v>
      </x:c>
      <x:c r="C51" s="110" t="e">
        <x:f aca="0">IF(OR(B50="",B51=""),"",B51/B50-1)</x:f>
        <x:v>#NAME?</x:v>
      </x:c>
      <x:c r="D51" s="110" t="e">
        <x:f aca="0">IF(B51="","",B51/MAX(B$5:B51)-1)</x:f>
        <x:v>#NAME?</x:v>
      </x:c>
      <x:c r="E51" s="106" t="e">
        <x:f aca="0">IF(OR('实盘净值数据(iFinD公式)'!$A51="",'实盘净值数据(iFinD公式)'!$B51=""),"",分期持仓明细!$AD$18*SUMPRODUCT(分期持仓明细!$B$18:$AA$18,'实盘净值数据(iFinD公式)'!$B51:$AA51/'实盘净值数据(iFinD公式)'!$B$20:$AA$20)*(1-实盘持仓初始配置!$Z$5)^(('实盘净值数据(iFinD公式)'!$A51-'实盘净值数据(iFinD公式)'!$A$5)/365))</x:f>
        <x:v>#NAME?</x:v>
      </x:c>
      <x:c r="F51" s="110" t="e">
        <x:f aca="0">IF(OR(E50="",E51=""),"",E51/E50-1)</x:f>
        <x:v>#NAME?</x:v>
      </x:c>
      <x:c r="G51" s="110" t="e">
        <x:f aca="0">IF(E51="","",E51/MAX(E$5:E51)-1)</x:f>
        <x:v>#NAME?</x:v>
      </x:c>
      <x:c r="H51" s="106" t="e">
        <x:f aca="0">IF(OR('实盘净值数据(iFinD公式)'!$A51="",'实盘净值数据(iFinD公式)'!$B51=""),"",分期持仓明细!$AD$19*SUMPRODUCT(分期持仓明细!$B$19:$AA$19,'实盘净值数据(iFinD公式)'!$B51:$AA51/'实盘净值数据(iFinD公式)'!$B$20:$AA$20)*(1-实盘持仓初始配置!$Z$6)^(('实盘净值数据(iFinD公式)'!$A51-'实盘净值数据(iFinD公式)'!$A$7)/365))</x:f>
        <x:v>#NAME?</x:v>
      </x:c>
      <x:c r="I51" s="110" t="e">
        <x:f aca="0">IF(OR(H50="",H51=""),"",H51/H50-1)</x:f>
        <x:v>#NAME?</x:v>
      </x:c>
      <x:c r="J51" s="110" t="e">
        <x:f aca="0">IF(H51="","",H51/MAX(H$5:H51)-1)</x:f>
        <x:v>#NAME?</x:v>
      </x:c>
      <x:c r="K51" s="106" t="e">
        <x:f aca="0">IF(OR('实盘净值数据(iFinD公式)'!$A51="",'实盘净值数据(iFinD公式)'!$B51=""),"",分期持仓明细!$AD$20*SUMPRODUCT(分期持仓明细!$B$20:$AA$20,'实盘净值数据(iFinD公式)'!$B51:$AA51/'实盘净值数据(iFinD公式)'!$B$25:$AA$25)*(1-实盘持仓初始配置!$Z$7)^(('实盘净值数据(iFinD公式)'!$A51-'实盘净值数据(iFinD公式)'!$A$8)/365))</x:f>
        <x:v>#NAME?</x:v>
      </x:c>
      <x:c r="L51" s="110" t="e">
        <x:f aca="0">IF(OR(K50="",K51=""),"",K51/K50-1)</x:f>
        <x:v>#NAME?</x:v>
      </x:c>
      <x:c r="M51" s="110" t="e">
        <x:f aca="0">IF(K51="","",K51/MAX(K$5:K51)-1)</x:f>
        <x:v>#NAME?</x:v>
      </x:c>
      <x:c r="N51" s="106" t="e">
        <x:f aca="0">IF(OR('实盘净值数据(iFinD公式)'!$A51="",'实盘净值数据(iFinD公式)'!$B51=""),"",分期持仓明细!$AD$21*SUMPRODUCT(分期持仓明细!$B$21:$AA$21,'实盘净值数据(iFinD公式)'!$B51:$AA51/'实盘净值数据(iFinD公式)'!$B$25:$AA$25)*(1-实盘持仓初始配置!$Z$8)^(('实盘净值数据(iFinD公式)'!$A51-'实盘净值数据(iFinD公式)'!$A$5)/365))</x:f>
        <x:v>#NAME?</x:v>
      </x:c>
      <x:c r="O51" s="110" t="e">
        <x:f aca="0">IF(OR(N50="",N51=""),"",N51/N50-1)</x:f>
        <x:v>#NAME?</x:v>
      </x:c>
      <x:c r="P51" s="110" t="e">
        <x:f aca="0">IF(N51="","",N51/MAX(N$5:N51)-1)</x:f>
        <x:v>#NAME?</x:v>
      </x:c>
      <x:c r="Q51" s="106" t="e">
        <x:f aca="0">IF(OR('实盘净值数据(iFinD公式)'!$A51="",'实盘净值数据(iFinD公式)'!$B51=""),"",分期持仓明细!$AD$22*SUMPRODUCT(分期持仓明细!$B$22:$AA$22,'实盘净值数据(iFinD公式)'!$B51:$AA51/'实盘净值数据(iFinD公式)'!$B$25:$AA$25)*(1-实盘持仓初始配置!$Z$9)^(('实盘净值数据(iFinD公式)'!$A51-'实盘净值数据(iFinD公式)'!$A$8)/365))</x:f>
        <x:v>#NAME?</x:v>
      </x:c>
      <x:c r="R51" s="110" t="e">
        <x:f aca="0">IF(OR(Q50="",Q51=""),"",Q51/Q50-1)</x:f>
        <x:v>#NAME?</x:v>
      </x:c>
      <x:c r="S51" s="110" t="e">
        <x:f aca="0">IF(Q51="","",Q51/MAX(Q$5:Q51)-1)</x:f>
        <x:v>#NAME?</x:v>
      </x:c>
    </x:row>
    <x:row r="52" ht="12" hidden="0">
      <x:c r="A52" s="109" t="n">
        <x:f aca="0">IF('实盘净值数据(iFinD公式)'!A52="","",'实盘净值数据(iFinD公式)'!A52)</x:f>
        <x:v>46259</x:v>
      </x:c>
      <x:c r="B52" s="106" t="e">
        <x:f aca="0">IF(OR('实盘净值数据(iFinD公式)'!$A52="",'实盘净值数据(iFinD公式)'!$B52=""),"",分期持仓明细!$AD$17*SUMPRODUCT(分期持仓明细!$B$17:$AA$17,'实盘净值数据(iFinD公式)'!$B52:$AA52/'实盘净值数据(iFinD公式)'!$B$20:$AA$20)*(1-实盘持仓初始配置!$Z$4)^(('实盘净值数据(iFinD公式)'!$A52-'实盘净值数据(iFinD公式)'!$A$6)/365))</x:f>
        <x:v>#NAME?</x:v>
      </x:c>
      <x:c r="C52" s="110" t="e">
        <x:f aca="0">IF(OR(B51="",B52=""),"",B52/B51-1)</x:f>
        <x:v>#NAME?</x:v>
      </x:c>
      <x:c r="D52" s="110" t="e">
        <x:f aca="0">IF(B52="","",B52/MAX(B$5:B52)-1)</x:f>
        <x:v>#NAME?</x:v>
      </x:c>
      <x:c r="E52" s="106" t="e">
        <x:f aca="0">IF(OR('实盘净值数据(iFinD公式)'!$A52="",'实盘净值数据(iFinD公式)'!$B52=""),"",分期持仓明细!$AD$18*SUMPRODUCT(分期持仓明细!$B$18:$AA$18,'实盘净值数据(iFinD公式)'!$B52:$AA52/'实盘净值数据(iFinD公式)'!$B$20:$AA$20)*(1-实盘持仓初始配置!$Z$5)^(('实盘净值数据(iFinD公式)'!$A52-'实盘净值数据(iFinD公式)'!$A$5)/365))</x:f>
        <x:v>#NAME?</x:v>
      </x:c>
      <x:c r="F52" s="110" t="e">
        <x:f aca="0">IF(OR(E51="",E52=""),"",E52/E51-1)</x:f>
        <x:v>#NAME?</x:v>
      </x:c>
      <x:c r="G52" s="110" t="e">
        <x:f aca="0">IF(E52="","",E52/MAX(E$5:E52)-1)</x:f>
        <x:v>#NAME?</x:v>
      </x:c>
      <x:c r="H52" s="106" t="e">
        <x:f aca="0">IF(OR('实盘净值数据(iFinD公式)'!$A52="",'实盘净值数据(iFinD公式)'!$B52=""),"",分期持仓明细!$AD$19*SUMPRODUCT(分期持仓明细!$B$19:$AA$19,'实盘净值数据(iFinD公式)'!$B52:$AA52/'实盘净值数据(iFinD公式)'!$B$20:$AA$20)*(1-实盘持仓初始配置!$Z$6)^(('实盘净值数据(iFinD公式)'!$A52-'实盘净值数据(iFinD公式)'!$A$7)/365))</x:f>
        <x:v>#NAME?</x:v>
      </x:c>
      <x:c r="I52" s="110" t="e">
        <x:f aca="0">IF(OR(H51="",H52=""),"",H52/H51-1)</x:f>
        <x:v>#NAME?</x:v>
      </x:c>
      <x:c r="J52" s="110" t="e">
        <x:f aca="0">IF(H52="","",H52/MAX(H$5:H52)-1)</x:f>
        <x:v>#NAME?</x:v>
      </x:c>
      <x:c r="K52" s="106" t="e">
        <x:f aca="0">IF(OR('实盘净值数据(iFinD公式)'!$A52="",'实盘净值数据(iFinD公式)'!$B52=""),"",分期持仓明细!$AD$20*SUMPRODUCT(分期持仓明细!$B$20:$AA$20,'实盘净值数据(iFinD公式)'!$B52:$AA52/'实盘净值数据(iFinD公式)'!$B$25:$AA$25)*(1-实盘持仓初始配置!$Z$7)^(('实盘净值数据(iFinD公式)'!$A52-'实盘净值数据(iFinD公式)'!$A$8)/365))</x:f>
        <x:v>#NAME?</x:v>
      </x:c>
      <x:c r="L52" s="110" t="e">
        <x:f aca="0">IF(OR(K51="",K52=""),"",K52/K51-1)</x:f>
        <x:v>#NAME?</x:v>
      </x:c>
      <x:c r="M52" s="110" t="e">
        <x:f aca="0">IF(K52="","",K52/MAX(K$5:K52)-1)</x:f>
        <x:v>#NAME?</x:v>
      </x:c>
      <x:c r="N52" s="106" t="e">
        <x:f aca="0">IF(OR('实盘净值数据(iFinD公式)'!$A52="",'实盘净值数据(iFinD公式)'!$B52=""),"",分期持仓明细!$AD$21*SUMPRODUCT(分期持仓明细!$B$21:$AA$21,'实盘净值数据(iFinD公式)'!$B52:$AA52/'实盘净值数据(iFinD公式)'!$B$25:$AA$25)*(1-实盘持仓初始配置!$Z$8)^(('实盘净值数据(iFinD公式)'!$A52-'实盘净值数据(iFinD公式)'!$A$5)/365))</x:f>
        <x:v>#NAME?</x:v>
      </x:c>
      <x:c r="O52" s="110" t="e">
        <x:f aca="0">IF(OR(N51="",N52=""),"",N52/N51-1)</x:f>
        <x:v>#NAME?</x:v>
      </x:c>
      <x:c r="P52" s="110" t="e">
        <x:f aca="0">IF(N52="","",N52/MAX(N$5:N52)-1)</x:f>
        <x:v>#NAME?</x:v>
      </x:c>
      <x:c r="Q52" s="106" t="e">
        <x:f aca="0">IF(OR('实盘净值数据(iFinD公式)'!$A52="",'实盘净值数据(iFinD公式)'!$B52=""),"",分期持仓明细!$AD$22*SUMPRODUCT(分期持仓明细!$B$22:$AA$22,'实盘净值数据(iFinD公式)'!$B52:$AA52/'实盘净值数据(iFinD公式)'!$B$25:$AA$25)*(1-实盘持仓初始配置!$Z$9)^(('实盘净值数据(iFinD公式)'!$A52-'实盘净值数据(iFinD公式)'!$A$8)/365))</x:f>
        <x:v>#NAME?</x:v>
      </x:c>
      <x:c r="R52" s="110" t="e">
        <x:f aca="0">IF(OR(Q51="",Q52=""),"",Q52/Q51-1)</x:f>
        <x:v>#NAME?</x:v>
      </x:c>
      <x:c r="S52" s="110" t="e">
        <x:f aca="0">IF(Q52="","",Q52/MAX(Q$5:Q52)-1)</x:f>
        <x:v>#NAME?</x:v>
      </x:c>
    </x:row>
    <x:row r="53" ht="12" hidden="0">
      <x:c r="A53" s="109" t="n">
        <x:f aca="0">IF('实盘净值数据(iFinD公式)'!A53="","",'实盘净值数据(iFinD公式)'!A53)</x:f>
        <x:v>46260</x:v>
      </x:c>
      <x:c r="B53" s="106" t="e">
        <x:f aca="0">IF(OR('实盘净值数据(iFinD公式)'!$A53="",'实盘净值数据(iFinD公式)'!$B53=""),"",分期持仓明细!$AD$17*SUMPRODUCT(分期持仓明细!$B$17:$AA$17,'实盘净值数据(iFinD公式)'!$B53:$AA53/'实盘净值数据(iFinD公式)'!$B$20:$AA$20)*(1-实盘持仓初始配置!$Z$4)^(('实盘净值数据(iFinD公式)'!$A53-'实盘净值数据(iFinD公式)'!$A$6)/365))</x:f>
        <x:v>#NAME?</x:v>
      </x:c>
      <x:c r="C53" s="110" t="e">
        <x:f aca="0">IF(OR(B52="",B53=""),"",B53/B52-1)</x:f>
        <x:v>#NAME?</x:v>
      </x:c>
      <x:c r="D53" s="110" t="e">
        <x:f aca="0">IF(B53="","",B53/MAX(B$5:B53)-1)</x:f>
        <x:v>#NAME?</x:v>
      </x:c>
      <x:c r="E53" s="106" t="e">
        <x:f aca="0">IF(OR('实盘净值数据(iFinD公式)'!$A53="",'实盘净值数据(iFinD公式)'!$B53=""),"",分期持仓明细!$AD$18*SUMPRODUCT(分期持仓明细!$B$18:$AA$18,'实盘净值数据(iFinD公式)'!$B53:$AA53/'实盘净值数据(iFinD公式)'!$B$20:$AA$20)*(1-实盘持仓初始配置!$Z$5)^(('实盘净值数据(iFinD公式)'!$A53-'实盘净值数据(iFinD公式)'!$A$5)/365))</x:f>
        <x:v>#NAME?</x:v>
      </x:c>
      <x:c r="F53" s="110" t="e">
        <x:f aca="0">IF(OR(E52="",E53=""),"",E53/E52-1)</x:f>
        <x:v>#NAME?</x:v>
      </x:c>
      <x:c r="G53" s="110" t="e">
        <x:f aca="0">IF(E53="","",E53/MAX(E$5:E53)-1)</x:f>
        <x:v>#NAME?</x:v>
      </x:c>
      <x:c r="H53" s="106" t="e">
        <x:f aca="0">IF(OR('实盘净值数据(iFinD公式)'!$A53="",'实盘净值数据(iFinD公式)'!$B53=""),"",分期持仓明细!$AD$19*SUMPRODUCT(分期持仓明细!$B$19:$AA$19,'实盘净值数据(iFinD公式)'!$B53:$AA53/'实盘净值数据(iFinD公式)'!$B$20:$AA$20)*(1-实盘持仓初始配置!$Z$6)^(('实盘净值数据(iFinD公式)'!$A53-'实盘净值数据(iFinD公式)'!$A$7)/365))</x:f>
        <x:v>#NAME?</x:v>
      </x:c>
      <x:c r="I53" s="110" t="e">
        <x:f aca="0">IF(OR(H52="",H53=""),"",H53/H52-1)</x:f>
        <x:v>#NAME?</x:v>
      </x:c>
      <x:c r="J53" s="110" t="e">
        <x:f aca="0">IF(H53="","",H53/MAX(H$5:H53)-1)</x:f>
        <x:v>#NAME?</x:v>
      </x:c>
      <x:c r="K53" s="106" t="e">
        <x:f aca="0">IF(OR('实盘净值数据(iFinD公式)'!$A53="",'实盘净值数据(iFinD公式)'!$B53=""),"",分期持仓明细!$AD$20*SUMPRODUCT(分期持仓明细!$B$20:$AA$20,'实盘净值数据(iFinD公式)'!$B53:$AA53/'实盘净值数据(iFinD公式)'!$B$25:$AA$25)*(1-实盘持仓初始配置!$Z$7)^(('实盘净值数据(iFinD公式)'!$A53-'实盘净值数据(iFinD公式)'!$A$8)/365))</x:f>
        <x:v>#NAME?</x:v>
      </x:c>
      <x:c r="L53" s="110" t="e">
        <x:f aca="0">IF(OR(K52="",K53=""),"",K53/K52-1)</x:f>
        <x:v>#NAME?</x:v>
      </x:c>
      <x:c r="M53" s="110" t="e">
        <x:f aca="0">IF(K53="","",K53/MAX(K$5:K53)-1)</x:f>
        <x:v>#NAME?</x:v>
      </x:c>
      <x:c r="N53" s="106" t="e">
        <x:f aca="0">IF(OR('实盘净值数据(iFinD公式)'!$A53="",'实盘净值数据(iFinD公式)'!$B53=""),"",分期持仓明细!$AD$21*SUMPRODUCT(分期持仓明细!$B$21:$AA$21,'实盘净值数据(iFinD公式)'!$B53:$AA53/'实盘净值数据(iFinD公式)'!$B$25:$AA$25)*(1-实盘持仓初始配置!$Z$8)^(('实盘净值数据(iFinD公式)'!$A53-'实盘净值数据(iFinD公式)'!$A$5)/365))</x:f>
        <x:v>#NAME?</x:v>
      </x:c>
      <x:c r="O53" s="110" t="e">
        <x:f aca="0">IF(OR(N52="",N53=""),"",N53/N52-1)</x:f>
        <x:v>#NAME?</x:v>
      </x:c>
      <x:c r="P53" s="110" t="e">
        <x:f aca="0">IF(N53="","",N53/MAX(N$5:N53)-1)</x:f>
        <x:v>#NAME?</x:v>
      </x:c>
      <x:c r="Q53" s="106" t="e">
        <x:f aca="0">IF(OR('实盘净值数据(iFinD公式)'!$A53="",'实盘净值数据(iFinD公式)'!$B53=""),"",分期持仓明细!$AD$22*SUMPRODUCT(分期持仓明细!$B$22:$AA$22,'实盘净值数据(iFinD公式)'!$B53:$AA53/'实盘净值数据(iFinD公式)'!$B$25:$AA$25)*(1-实盘持仓初始配置!$Z$9)^(('实盘净值数据(iFinD公式)'!$A53-'实盘净值数据(iFinD公式)'!$A$8)/365))</x:f>
        <x:v>#NAME?</x:v>
      </x:c>
      <x:c r="R53" s="110" t="e">
        <x:f aca="0">IF(OR(Q52="",Q53=""),"",Q53/Q52-1)</x:f>
        <x:v>#NAME?</x:v>
      </x:c>
      <x:c r="S53" s="110" t="e">
        <x:f aca="0">IF(Q53="","",Q53/MAX(Q$5:Q53)-1)</x:f>
        <x:v>#NAME?</x:v>
      </x:c>
    </x:row>
    <x:row r="54" ht="12" hidden="0">
      <x:c r="A54" s="109" t="n">
        <x:f aca="0">IF('实盘净值数据(iFinD公式)'!A54="","",'实盘净值数据(iFinD公式)'!A54)</x:f>
        <x:v>46261</x:v>
      </x:c>
      <x:c r="B54" s="106" t="e">
        <x:f aca="0">IF(OR('实盘净值数据(iFinD公式)'!$A54="",'实盘净值数据(iFinD公式)'!$B54=""),"",分期持仓明细!$AD$17*SUMPRODUCT(分期持仓明细!$B$17:$AA$17,'实盘净值数据(iFinD公式)'!$B54:$AA54/'实盘净值数据(iFinD公式)'!$B$20:$AA$20)*(1-实盘持仓初始配置!$Z$4)^(('实盘净值数据(iFinD公式)'!$A54-'实盘净值数据(iFinD公式)'!$A$6)/365))</x:f>
        <x:v>#NAME?</x:v>
      </x:c>
      <x:c r="C54" s="110" t="e">
        <x:f aca="0">IF(OR(B53="",B54=""),"",B54/B53-1)</x:f>
        <x:v>#NAME?</x:v>
      </x:c>
      <x:c r="D54" s="110" t="e">
        <x:f aca="0">IF(B54="","",B54/MAX(B$5:B54)-1)</x:f>
        <x:v>#NAME?</x:v>
      </x:c>
      <x:c r="E54" s="106" t="e">
        <x:f aca="0">IF(OR('实盘净值数据(iFinD公式)'!$A54="",'实盘净值数据(iFinD公式)'!$B54=""),"",分期持仓明细!$AD$18*SUMPRODUCT(分期持仓明细!$B$18:$AA$18,'实盘净值数据(iFinD公式)'!$B54:$AA54/'实盘净值数据(iFinD公式)'!$B$20:$AA$20)*(1-实盘持仓初始配置!$Z$5)^(('实盘净值数据(iFinD公式)'!$A54-'实盘净值数据(iFinD公式)'!$A$5)/365))</x:f>
        <x:v>#NAME?</x:v>
      </x:c>
      <x:c r="F54" s="110" t="e">
        <x:f aca="0">IF(OR(E53="",E54=""),"",E54/E53-1)</x:f>
        <x:v>#NAME?</x:v>
      </x:c>
      <x:c r="G54" s="110" t="e">
        <x:f aca="0">IF(E54="","",E54/MAX(E$5:E54)-1)</x:f>
        <x:v>#NAME?</x:v>
      </x:c>
      <x:c r="H54" s="106" t="e">
        <x:f aca="0">IF(OR('实盘净值数据(iFinD公式)'!$A54="",'实盘净值数据(iFinD公式)'!$B54=""),"",分期持仓明细!$AD$19*SUMPRODUCT(分期持仓明细!$B$19:$AA$19,'实盘净值数据(iFinD公式)'!$B54:$AA54/'实盘净值数据(iFinD公式)'!$B$20:$AA$20)*(1-实盘持仓初始配置!$Z$6)^(('实盘净值数据(iFinD公式)'!$A54-'实盘净值数据(iFinD公式)'!$A$7)/365))</x:f>
        <x:v>#NAME?</x:v>
      </x:c>
      <x:c r="I54" s="110" t="e">
        <x:f aca="0">IF(OR(H53="",H54=""),"",H54/H53-1)</x:f>
        <x:v>#NAME?</x:v>
      </x:c>
      <x:c r="J54" s="110" t="e">
        <x:f aca="0">IF(H54="","",H54/MAX(H$5:H54)-1)</x:f>
        <x:v>#NAME?</x:v>
      </x:c>
      <x:c r="K54" s="106" t="e">
        <x:f aca="0">IF(OR('实盘净值数据(iFinD公式)'!$A54="",'实盘净值数据(iFinD公式)'!$B54=""),"",分期持仓明细!$AD$20*SUMPRODUCT(分期持仓明细!$B$20:$AA$20,'实盘净值数据(iFinD公式)'!$B54:$AA54/'实盘净值数据(iFinD公式)'!$B$25:$AA$25)*(1-实盘持仓初始配置!$Z$7)^(('实盘净值数据(iFinD公式)'!$A54-'实盘净值数据(iFinD公式)'!$A$8)/365))</x:f>
        <x:v>#NAME?</x:v>
      </x:c>
      <x:c r="L54" s="110" t="e">
        <x:f aca="0">IF(OR(K53="",K54=""),"",K54/K53-1)</x:f>
        <x:v>#NAME?</x:v>
      </x:c>
      <x:c r="M54" s="110" t="e">
        <x:f aca="0">IF(K54="","",K54/MAX(K$5:K54)-1)</x:f>
        <x:v>#NAME?</x:v>
      </x:c>
      <x:c r="N54" s="106" t="e">
        <x:f aca="0">IF(OR('实盘净值数据(iFinD公式)'!$A54="",'实盘净值数据(iFinD公式)'!$B54=""),"",分期持仓明细!$AD$21*SUMPRODUCT(分期持仓明细!$B$21:$AA$21,'实盘净值数据(iFinD公式)'!$B54:$AA54/'实盘净值数据(iFinD公式)'!$B$25:$AA$25)*(1-实盘持仓初始配置!$Z$8)^(('实盘净值数据(iFinD公式)'!$A54-'实盘净值数据(iFinD公式)'!$A$5)/365))</x:f>
        <x:v>#NAME?</x:v>
      </x:c>
      <x:c r="O54" s="110" t="e">
        <x:f aca="0">IF(OR(N53="",N54=""),"",N54/N53-1)</x:f>
        <x:v>#NAME?</x:v>
      </x:c>
      <x:c r="P54" s="110" t="e">
        <x:f aca="0">IF(N54="","",N54/MAX(N$5:N54)-1)</x:f>
        <x:v>#NAME?</x:v>
      </x:c>
      <x:c r="Q54" s="106" t="e">
        <x:f aca="0">IF(OR('实盘净值数据(iFinD公式)'!$A54="",'实盘净值数据(iFinD公式)'!$B54=""),"",分期持仓明细!$AD$22*SUMPRODUCT(分期持仓明细!$B$22:$AA$22,'实盘净值数据(iFinD公式)'!$B54:$AA54/'实盘净值数据(iFinD公式)'!$B$25:$AA$25)*(1-实盘持仓初始配置!$Z$9)^(('实盘净值数据(iFinD公式)'!$A54-'实盘净值数据(iFinD公式)'!$A$8)/365))</x:f>
        <x:v>#NAME?</x:v>
      </x:c>
      <x:c r="R54" s="110" t="e">
        <x:f aca="0">IF(OR(Q53="",Q54=""),"",Q54/Q53-1)</x:f>
        <x:v>#NAME?</x:v>
      </x:c>
      <x:c r="S54" s="110" t="e">
        <x:f aca="0">IF(Q54="","",Q54/MAX(Q$5:Q54)-1)</x:f>
        <x:v>#NAME?</x:v>
      </x:c>
    </x:row>
    <x:row r="55" ht="12" hidden="0">
      <x:c r="A55" s="109" t="n">
        <x:f aca="0">IF('实盘净值数据(iFinD公式)'!A55="","",'实盘净值数据(iFinD公式)'!A55)</x:f>
        <x:v>46262</x:v>
      </x:c>
      <x:c r="B55" s="106" t="e">
        <x:f aca="0">IF(OR('实盘净值数据(iFinD公式)'!$A55="",'实盘净值数据(iFinD公式)'!$B55=""),"",分期持仓明细!$AD$17*SUMPRODUCT(分期持仓明细!$B$17:$AA$17,'实盘净值数据(iFinD公式)'!$B55:$AA55/'实盘净值数据(iFinD公式)'!$B$20:$AA$20)*(1-实盘持仓初始配置!$Z$4)^(('实盘净值数据(iFinD公式)'!$A55-'实盘净值数据(iFinD公式)'!$A$6)/365))</x:f>
        <x:v>#NAME?</x:v>
      </x:c>
      <x:c r="C55" s="110" t="e">
        <x:f aca="0">IF(OR(B54="",B55=""),"",B55/B54-1)</x:f>
        <x:v>#NAME?</x:v>
      </x:c>
      <x:c r="D55" s="110" t="e">
        <x:f aca="0">IF(B55="","",B55/MAX(B$5:B55)-1)</x:f>
        <x:v>#NAME?</x:v>
      </x:c>
      <x:c r="E55" s="106" t="e">
        <x:f aca="0">IF(OR('实盘净值数据(iFinD公式)'!$A55="",'实盘净值数据(iFinD公式)'!$B55=""),"",分期持仓明细!$AD$18*SUMPRODUCT(分期持仓明细!$B$18:$AA$18,'实盘净值数据(iFinD公式)'!$B55:$AA55/'实盘净值数据(iFinD公式)'!$B$20:$AA$20)*(1-实盘持仓初始配置!$Z$5)^(('实盘净值数据(iFinD公式)'!$A55-'实盘净值数据(iFinD公式)'!$A$5)/365))</x:f>
        <x:v>#NAME?</x:v>
      </x:c>
      <x:c r="F55" s="110" t="e">
        <x:f aca="0">IF(OR(E54="",E55=""),"",E55/E54-1)</x:f>
        <x:v>#NAME?</x:v>
      </x:c>
      <x:c r="G55" s="110" t="e">
        <x:f aca="0">IF(E55="","",E55/MAX(E$5:E55)-1)</x:f>
        <x:v>#NAME?</x:v>
      </x:c>
      <x:c r="H55" s="106" t="e">
        <x:f aca="0">IF(OR('实盘净值数据(iFinD公式)'!$A55="",'实盘净值数据(iFinD公式)'!$B55=""),"",分期持仓明细!$AD$19*SUMPRODUCT(分期持仓明细!$B$19:$AA$19,'实盘净值数据(iFinD公式)'!$B55:$AA55/'实盘净值数据(iFinD公式)'!$B$20:$AA$20)*(1-实盘持仓初始配置!$Z$6)^(('实盘净值数据(iFinD公式)'!$A55-'实盘净值数据(iFinD公式)'!$A$7)/365))</x:f>
        <x:v>#NAME?</x:v>
      </x:c>
      <x:c r="I55" s="110" t="e">
        <x:f aca="0">IF(OR(H54="",H55=""),"",H55/H54-1)</x:f>
        <x:v>#NAME?</x:v>
      </x:c>
      <x:c r="J55" s="110" t="e">
        <x:f aca="0">IF(H55="","",H55/MAX(H$5:H55)-1)</x:f>
        <x:v>#NAME?</x:v>
      </x:c>
      <x:c r="K55" s="106" t="e">
        <x:f aca="0">IF(OR('实盘净值数据(iFinD公式)'!$A55="",'实盘净值数据(iFinD公式)'!$B55=""),"",分期持仓明细!$AD$20*SUMPRODUCT(分期持仓明细!$B$20:$AA$20,'实盘净值数据(iFinD公式)'!$B55:$AA55/'实盘净值数据(iFinD公式)'!$B$25:$AA$25)*(1-实盘持仓初始配置!$Z$7)^(('实盘净值数据(iFinD公式)'!$A55-'实盘净值数据(iFinD公式)'!$A$8)/365))</x:f>
        <x:v>#NAME?</x:v>
      </x:c>
      <x:c r="L55" s="110" t="e">
        <x:f aca="0">IF(OR(K54="",K55=""),"",K55/K54-1)</x:f>
        <x:v>#NAME?</x:v>
      </x:c>
      <x:c r="M55" s="110" t="e">
        <x:f aca="0">IF(K55="","",K55/MAX(K$5:K55)-1)</x:f>
        <x:v>#NAME?</x:v>
      </x:c>
      <x:c r="N55" s="106" t="e">
        <x:f aca="0">IF(OR('实盘净值数据(iFinD公式)'!$A55="",'实盘净值数据(iFinD公式)'!$B55=""),"",分期持仓明细!$AD$21*SUMPRODUCT(分期持仓明细!$B$21:$AA$21,'实盘净值数据(iFinD公式)'!$B55:$AA55/'实盘净值数据(iFinD公式)'!$B$25:$AA$25)*(1-实盘持仓初始配置!$Z$8)^(('实盘净值数据(iFinD公式)'!$A55-'实盘净值数据(iFinD公式)'!$A$5)/365))</x:f>
        <x:v>#NAME?</x:v>
      </x:c>
      <x:c r="O55" s="110" t="e">
        <x:f aca="0">IF(OR(N54="",N55=""),"",N55/N54-1)</x:f>
        <x:v>#NAME?</x:v>
      </x:c>
      <x:c r="P55" s="110" t="e">
        <x:f aca="0">IF(N55="","",N55/MAX(N$5:N55)-1)</x:f>
        <x:v>#NAME?</x:v>
      </x:c>
      <x:c r="Q55" s="106" t="e">
        <x:f aca="0">IF(OR('实盘净值数据(iFinD公式)'!$A55="",'实盘净值数据(iFinD公式)'!$B55=""),"",分期持仓明细!$AD$22*SUMPRODUCT(分期持仓明细!$B$22:$AA$22,'实盘净值数据(iFinD公式)'!$B55:$AA55/'实盘净值数据(iFinD公式)'!$B$25:$AA$25)*(1-实盘持仓初始配置!$Z$9)^(('实盘净值数据(iFinD公式)'!$A55-'实盘净值数据(iFinD公式)'!$A$8)/365))</x:f>
        <x:v>#NAME?</x:v>
      </x:c>
      <x:c r="R55" s="110" t="e">
        <x:f aca="0">IF(OR(Q54="",Q55=""),"",Q55/Q54-1)</x:f>
        <x:v>#NAME?</x:v>
      </x:c>
      <x:c r="S55" s="110" t="e">
        <x:f aca="0">IF(Q55="","",Q55/MAX(Q$5:Q55)-1)</x:f>
        <x:v>#NAME?</x:v>
      </x:c>
    </x:row>
    <x:row r="56" ht="12" hidden="0">
      <x:c r="A56" s="109" t="n">
        <x:f aca="0">IF('实盘净值数据(iFinD公式)'!A56="","",'实盘净值数据(iFinD公式)'!A56)</x:f>
        <x:v>46265</x:v>
      </x:c>
      <x:c r="B56" s="106" t="e">
        <x:f aca="0">IF(OR('实盘净值数据(iFinD公式)'!$A56="",'实盘净值数据(iFinD公式)'!$B56=""),"",分期持仓明细!$AD$17*SUMPRODUCT(分期持仓明细!$B$17:$AA$17,'实盘净值数据(iFinD公式)'!$B56:$AA56/'实盘净值数据(iFinD公式)'!$B$20:$AA$20)*(1-实盘持仓初始配置!$Z$4)^(('实盘净值数据(iFinD公式)'!$A56-'实盘净值数据(iFinD公式)'!$A$6)/365))</x:f>
        <x:v>#NAME?</x:v>
      </x:c>
      <x:c r="C56" s="110" t="e">
        <x:f aca="0">IF(OR(B55="",B56=""),"",B56/B55-1)</x:f>
        <x:v>#NAME?</x:v>
      </x:c>
      <x:c r="D56" s="110" t="e">
        <x:f aca="0">IF(B56="","",B56/MAX(B$5:B56)-1)</x:f>
        <x:v>#NAME?</x:v>
      </x:c>
      <x:c r="E56" s="106" t="e">
        <x:f aca="0">IF(OR('实盘净值数据(iFinD公式)'!$A56="",'实盘净值数据(iFinD公式)'!$B56=""),"",分期持仓明细!$AD$18*SUMPRODUCT(分期持仓明细!$B$18:$AA$18,'实盘净值数据(iFinD公式)'!$B56:$AA56/'实盘净值数据(iFinD公式)'!$B$20:$AA$20)*(1-实盘持仓初始配置!$Z$5)^(('实盘净值数据(iFinD公式)'!$A56-'实盘净值数据(iFinD公式)'!$A$5)/365))</x:f>
        <x:v>#NAME?</x:v>
      </x:c>
      <x:c r="F56" s="110" t="e">
        <x:f aca="0">IF(OR(E55="",E56=""),"",E56/E55-1)</x:f>
        <x:v>#NAME?</x:v>
      </x:c>
      <x:c r="G56" s="110" t="e">
        <x:f aca="0">IF(E56="","",E56/MAX(E$5:E56)-1)</x:f>
        <x:v>#NAME?</x:v>
      </x:c>
      <x:c r="H56" s="106" t="e">
        <x:f aca="0">IF(OR('实盘净值数据(iFinD公式)'!$A56="",'实盘净值数据(iFinD公式)'!$B56=""),"",分期持仓明细!$AD$19*SUMPRODUCT(分期持仓明细!$B$19:$AA$19,'实盘净值数据(iFinD公式)'!$B56:$AA56/'实盘净值数据(iFinD公式)'!$B$20:$AA$20)*(1-实盘持仓初始配置!$Z$6)^(('实盘净值数据(iFinD公式)'!$A56-'实盘净值数据(iFinD公式)'!$A$7)/365))</x:f>
        <x:v>#NAME?</x:v>
      </x:c>
      <x:c r="I56" s="110" t="e">
        <x:f aca="0">IF(OR(H55="",H56=""),"",H56/H55-1)</x:f>
        <x:v>#NAME?</x:v>
      </x:c>
      <x:c r="J56" s="110" t="e">
        <x:f aca="0">IF(H56="","",H56/MAX(H$5:H56)-1)</x:f>
        <x:v>#NAME?</x:v>
      </x:c>
      <x:c r="K56" s="106" t="e">
        <x:f aca="0">IF(OR('实盘净值数据(iFinD公式)'!$A56="",'实盘净值数据(iFinD公式)'!$B56=""),"",分期持仓明细!$AD$20*SUMPRODUCT(分期持仓明细!$B$20:$AA$20,'实盘净值数据(iFinD公式)'!$B56:$AA56/'实盘净值数据(iFinD公式)'!$B$25:$AA$25)*(1-实盘持仓初始配置!$Z$7)^(('实盘净值数据(iFinD公式)'!$A56-'实盘净值数据(iFinD公式)'!$A$8)/365))</x:f>
        <x:v>#NAME?</x:v>
      </x:c>
      <x:c r="L56" s="110" t="e">
        <x:f aca="0">IF(OR(K55="",K56=""),"",K56/K55-1)</x:f>
        <x:v>#NAME?</x:v>
      </x:c>
      <x:c r="M56" s="110" t="e">
        <x:f aca="0">IF(K56="","",K56/MAX(K$5:K56)-1)</x:f>
        <x:v>#NAME?</x:v>
      </x:c>
      <x:c r="N56" s="106" t="e">
        <x:f aca="0">IF(OR('实盘净值数据(iFinD公式)'!$A56="",'实盘净值数据(iFinD公式)'!$B56=""),"",分期持仓明细!$AD$21*SUMPRODUCT(分期持仓明细!$B$21:$AA$21,'实盘净值数据(iFinD公式)'!$B56:$AA56/'实盘净值数据(iFinD公式)'!$B$25:$AA$25)*(1-实盘持仓初始配置!$Z$8)^(('实盘净值数据(iFinD公式)'!$A56-'实盘净值数据(iFinD公式)'!$A$5)/365))</x:f>
        <x:v>#NAME?</x:v>
      </x:c>
      <x:c r="O56" s="110" t="e">
        <x:f aca="0">IF(OR(N55="",N56=""),"",N56/N55-1)</x:f>
        <x:v>#NAME?</x:v>
      </x:c>
      <x:c r="P56" s="110" t="e">
        <x:f aca="0">IF(N56="","",N56/MAX(N$5:N56)-1)</x:f>
        <x:v>#NAME?</x:v>
      </x:c>
      <x:c r="Q56" s="106" t="e">
        <x:f aca="0">IF(OR('实盘净值数据(iFinD公式)'!$A56="",'实盘净值数据(iFinD公式)'!$B56=""),"",分期持仓明细!$AD$22*SUMPRODUCT(分期持仓明细!$B$22:$AA$22,'实盘净值数据(iFinD公式)'!$B56:$AA56/'实盘净值数据(iFinD公式)'!$B$25:$AA$25)*(1-实盘持仓初始配置!$Z$9)^(('实盘净值数据(iFinD公式)'!$A56-'实盘净值数据(iFinD公式)'!$A$8)/365))</x:f>
        <x:v>#NAME?</x:v>
      </x:c>
      <x:c r="R56" s="110" t="e">
        <x:f aca="0">IF(OR(Q55="",Q56=""),"",Q56/Q55-1)</x:f>
        <x:v>#NAME?</x:v>
      </x:c>
      <x:c r="S56" s="110" t="e">
        <x:f aca="0">IF(Q56="","",Q56/MAX(Q$5:Q56)-1)</x:f>
        <x:v>#NAME?</x:v>
      </x:c>
    </x:row>
    <x:row r="57" ht="12" hidden="0">
      <x:c r="A57" s="109" t="n">
        <x:f aca="0">IF('实盘净值数据(iFinD公式)'!A57="","",'实盘净值数据(iFinD公式)'!A57)</x:f>
        <x:v>46266</x:v>
      </x:c>
      <x:c r="B57" s="106" t="e">
        <x:f aca="0">IF(OR('实盘净值数据(iFinD公式)'!$A57="",'实盘净值数据(iFinD公式)'!$B57=""),"",分期持仓明细!$AD$17*SUMPRODUCT(分期持仓明细!$B$17:$AA$17,'实盘净值数据(iFinD公式)'!$B57:$AA57/'实盘净值数据(iFinD公式)'!$B$20:$AA$20)*(1-实盘持仓初始配置!$Z$4)^(('实盘净值数据(iFinD公式)'!$A57-'实盘净值数据(iFinD公式)'!$A$6)/365))</x:f>
        <x:v>#NAME?</x:v>
      </x:c>
      <x:c r="C57" s="110" t="e">
        <x:f aca="0">IF(OR(B56="",B57=""),"",B57/B56-1)</x:f>
        <x:v>#NAME?</x:v>
      </x:c>
      <x:c r="D57" s="110" t="e">
        <x:f aca="0">IF(B57="","",B57/MAX(B$5:B57)-1)</x:f>
        <x:v>#NAME?</x:v>
      </x:c>
      <x:c r="E57" s="106" t="e">
        <x:f aca="0">IF(OR('实盘净值数据(iFinD公式)'!$A57="",'实盘净值数据(iFinD公式)'!$B57=""),"",分期持仓明细!$AD$18*SUMPRODUCT(分期持仓明细!$B$18:$AA$18,'实盘净值数据(iFinD公式)'!$B57:$AA57/'实盘净值数据(iFinD公式)'!$B$20:$AA$20)*(1-实盘持仓初始配置!$Z$5)^(('实盘净值数据(iFinD公式)'!$A57-'实盘净值数据(iFinD公式)'!$A$5)/365))</x:f>
        <x:v>#NAME?</x:v>
      </x:c>
      <x:c r="F57" s="110" t="e">
        <x:f aca="0">IF(OR(E56="",E57=""),"",E57/E56-1)</x:f>
        <x:v>#NAME?</x:v>
      </x:c>
      <x:c r="G57" s="110" t="e">
        <x:f aca="0">IF(E57="","",E57/MAX(E$5:E57)-1)</x:f>
        <x:v>#NAME?</x:v>
      </x:c>
      <x:c r="H57" s="106" t="e">
        <x:f aca="0">IF(OR('实盘净值数据(iFinD公式)'!$A57="",'实盘净值数据(iFinD公式)'!$B57=""),"",分期持仓明细!$AD$19*SUMPRODUCT(分期持仓明细!$B$19:$AA$19,'实盘净值数据(iFinD公式)'!$B57:$AA57/'实盘净值数据(iFinD公式)'!$B$20:$AA$20)*(1-实盘持仓初始配置!$Z$6)^(('实盘净值数据(iFinD公式)'!$A57-'实盘净值数据(iFinD公式)'!$A$7)/365))</x:f>
        <x:v>#NAME?</x:v>
      </x:c>
      <x:c r="I57" s="110" t="e">
        <x:f aca="0">IF(OR(H56="",H57=""),"",H57/H56-1)</x:f>
        <x:v>#NAME?</x:v>
      </x:c>
      <x:c r="J57" s="110" t="e">
        <x:f aca="0">IF(H57="","",H57/MAX(H$5:H57)-1)</x:f>
        <x:v>#NAME?</x:v>
      </x:c>
      <x:c r="K57" s="106" t="e">
        <x:f aca="0">IF(OR('实盘净值数据(iFinD公式)'!$A57="",'实盘净值数据(iFinD公式)'!$B57=""),"",分期持仓明细!$AD$20*SUMPRODUCT(分期持仓明细!$B$20:$AA$20,'实盘净值数据(iFinD公式)'!$B57:$AA57/'实盘净值数据(iFinD公式)'!$B$25:$AA$25)*(1-实盘持仓初始配置!$Z$7)^(('实盘净值数据(iFinD公式)'!$A57-'实盘净值数据(iFinD公式)'!$A$8)/365))</x:f>
        <x:v>#NAME?</x:v>
      </x:c>
      <x:c r="L57" s="110" t="e">
        <x:f aca="0">IF(OR(K56="",K57=""),"",K57/K56-1)</x:f>
        <x:v>#NAME?</x:v>
      </x:c>
      <x:c r="M57" s="110" t="e">
        <x:f aca="0">IF(K57="","",K57/MAX(K$5:K57)-1)</x:f>
        <x:v>#NAME?</x:v>
      </x:c>
      <x:c r="N57" s="106" t="e">
        <x:f aca="0">IF(OR('实盘净值数据(iFinD公式)'!$A57="",'实盘净值数据(iFinD公式)'!$B57=""),"",分期持仓明细!$AD$21*SUMPRODUCT(分期持仓明细!$B$21:$AA$21,'实盘净值数据(iFinD公式)'!$B57:$AA57/'实盘净值数据(iFinD公式)'!$B$25:$AA$25)*(1-实盘持仓初始配置!$Z$8)^(('实盘净值数据(iFinD公式)'!$A57-'实盘净值数据(iFinD公式)'!$A$5)/365))</x:f>
        <x:v>#NAME?</x:v>
      </x:c>
      <x:c r="O57" s="110" t="e">
        <x:f aca="0">IF(OR(N56="",N57=""),"",N57/N56-1)</x:f>
        <x:v>#NAME?</x:v>
      </x:c>
      <x:c r="P57" s="110" t="e">
        <x:f aca="0">IF(N57="","",N57/MAX(N$5:N57)-1)</x:f>
        <x:v>#NAME?</x:v>
      </x:c>
      <x:c r="Q57" s="106" t="e">
        <x:f aca="0">IF(OR('实盘净值数据(iFinD公式)'!$A57="",'实盘净值数据(iFinD公式)'!$B57=""),"",分期持仓明细!$AD$22*SUMPRODUCT(分期持仓明细!$B$22:$AA$22,'实盘净值数据(iFinD公式)'!$B57:$AA57/'实盘净值数据(iFinD公式)'!$B$25:$AA$25)*(1-实盘持仓初始配置!$Z$9)^(('实盘净值数据(iFinD公式)'!$A57-'实盘净值数据(iFinD公式)'!$A$8)/365))</x:f>
        <x:v>#NAME?</x:v>
      </x:c>
      <x:c r="R57" s="110" t="e">
        <x:f aca="0">IF(OR(Q56="",Q57=""),"",Q57/Q56-1)</x:f>
        <x:v>#NAME?</x:v>
      </x:c>
      <x:c r="S57" s="110" t="e">
        <x:f aca="0">IF(Q57="","",Q57/MAX(Q$5:Q57)-1)</x:f>
        <x:v>#NAME?</x:v>
      </x:c>
    </x:row>
    <x:row r="58" ht="12" hidden="0">
      <x:c r="A58" s="109" t="n">
        <x:f aca="0">IF('实盘净值数据(iFinD公式)'!A58="","",'实盘净值数据(iFinD公式)'!A58)</x:f>
        <x:v>46267</x:v>
      </x:c>
      <x:c r="B58" s="106" t="e">
        <x:f aca="0">IF(OR('实盘净值数据(iFinD公式)'!$A58="",'实盘净值数据(iFinD公式)'!$B58=""),"",分期持仓明细!$AD$17*SUMPRODUCT(分期持仓明细!$B$17:$AA$17,'实盘净值数据(iFinD公式)'!$B58:$AA58/'实盘净值数据(iFinD公式)'!$B$20:$AA$20)*(1-实盘持仓初始配置!$Z$4)^(('实盘净值数据(iFinD公式)'!$A58-'实盘净值数据(iFinD公式)'!$A$6)/365))</x:f>
        <x:v>#NAME?</x:v>
      </x:c>
      <x:c r="C58" s="110" t="e">
        <x:f aca="0">IF(OR(B57="",B58=""),"",B58/B57-1)</x:f>
        <x:v>#NAME?</x:v>
      </x:c>
      <x:c r="D58" s="110" t="e">
        <x:f aca="0">IF(B58="","",B58/MAX(B$5:B58)-1)</x:f>
        <x:v>#NAME?</x:v>
      </x:c>
      <x:c r="E58" s="106" t="e">
        <x:f aca="0">IF(OR('实盘净值数据(iFinD公式)'!$A58="",'实盘净值数据(iFinD公式)'!$B58=""),"",分期持仓明细!$AD$18*SUMPRODUCT(分期持仓明细!$B$18:$AA$18,'实盘净值数据(iFinD公式)'!$B58:$AA58/'实盘净值数据(iFinD公式)'!$B$20:$AA$20)*(1-实盘持仓初始配置!$Z$5)^(('实盘净值数据(iFinD公式)'!$A58-'实盘净值数据(iFinD公式)'!$A$5)/365))</x:f>
        <x:v>#NAME?</x:v>
      </x:c>
      <x:c r="F58" s="110" t="e">
        <x:f aca="0">IF(OR(E57="",E58=""),"",E58/E57-1)</x:f>
        <x:v>#NAME?</x:v>
      </x:c>
      <x:c r="G58" s="110" t="e">
        <x:f aca="0">IF(E58="","",E58/MAX(E$5:E58)-1)</x:f>
        <x:v>#NAME?</x:v>
      </x:c>
      <x:c r="H58" s="106" t="e">
        <x:f aca="0">IF(OR('实盘净值数据(iFinD公式)'!$A58="",'实盘净值数据(iFinD公式)'!$B58=""),"",分期持仓明细!$AD$19*SUMPRODUCT(分期持仓明细!$B$19:$AA$19,'实盘净值数据(iFinD公式)'!$B58:$AA58/'实盘净值数据(iFinD公式)'!$B$20:$AA$20)*(1-实盘持仓初始配置!$Z$6)^(('实盘净值数据(iFinD公式)'!$A58-'实盘净值数据(iFinD公式)'!$A$7)/365))</x:f>
        <x:v>#NAME?</x:v>
      </x:c>
      <x:c r="I58" s="110" t="e">
        <x:f aca="0">IF(OR(H57="",H58=""),"",H58/H57-1)</x:f>
        <x:v>#NAME?</x:v>
      </x:c>
      <x:c r="J58" s="110" t="e">
        <x:f aca="0">IF(H58="","",H58/MAX(H$5:H58)-1)</x:f>
        <x:v>#NAME?</x:v>
      </x:c>
      <x:c r="K58" s="106" t="e">
        <x:f aca="0">IF(OR('实盘净值数据(iFinD公式)'!$A58="",'实盘净值数据(iFinD公式)'!$B58=""),"",分期持仓明细!$AD$20*SUMPRODUCT(分期持仓明细!$B$20:$AA$20,'实盘净值数据(iFinD公式)'!$B58:$AA58/'实盘净值数据(iFinD公式)'!$B$25:$AA$25)*(1-实盘持仓初始配置!$Z$7)^(('实盘净值数据(iFinD公式)'!$A58-'实盘净值数据(iFinD公式)'!$A$8)/365))</x:f>
        <x:v>#NAME?</x:v>
      </x:c>
      <x:c r="L58" s="110" t="e">
        <x:f aca="0">IF(OR(K57="",K58=""),"",K58/K57-1)</x:f>
        <x:v>#NAME?</x:v>
      </x:c>
      <x:c r="M58" s="110" t="e">
        <x:f aca="0">IF(K58="","",K58/MAX(K$5:K58)-1)</x:f>
        <x:v>#NAME?</x:v>
      </x:c>
      <x:c r="N58" s="106" t="e">
        <x:f aca="0">IF(OR('实盘净值数据(iFinD公式)'!$A58="",'实盘净值数据(iFinD公式)'!$B58=""),"",分期持仓明细!$AD$21*SUMPRODUCT(分期持仓明细!$B$21:$AA$21,'实盘净值数据(iFinD公式)'!$B58:$AA58/'实盘净值数据(iFinD公式)'!$B$25:$AA$25)*(1-实盘持仓初始配置!$Z$8)^(('实盘净值数据(iFinD公式)'!$A58-'实盘净值数据(iFinD公式)'!$A$5)/365))</x:f>
        <x:v>#NAME?</x:v>
      </x:c>
      <x:c r="O58" s="110" t="e">
        <x:f aca="0">IF(OR(N57="",N58=""),"",N58/N57-1)</x:f>
        <x:v>#NAME?</x:v>
      </x:c>
      <x:c r="P58" s="110" t="e">
        <x:f aca="0">IF(N58="","",N58/MAX(N$5:N58)-1)</x:f>
        <x:v>#NAME?</x:v>
      </x:c>
      <x:c r="Q58" s="106" t="e">
        <x:f aca="0">IF(OR('实盘净值数据(iFinD公式)'!$A58="",'实盘净值数据(iFinD公式)'!$B58=""),"",分期持仓明细!$AD$22*SUMPRODUCT(分期持仓明细!$B$22:$AA$22,'实盘净值数据(iFinD公式)'!$B58:$AA58/'实盘净值数据(iFinD公式)'!$B$25:$AA$25)*(1-实盘持仓初始配置!$Z$9)^(('实盘净值数据(iFinD公式)'!$A58-'实盘净值数据(iFinD公式)'!$A$8)/365))</x:f>
        <x:v>#NAME?</x:v>
      </x:c>
      <x:c r="R58" s="110" t="e">
        <x:f aca="0">IF(OR(Q57="",Q58=""),"",Q58/Q57-1)</x:f>
        <x:v>#NAME?</x:v>
      </x:c>
      <x:c r="S58" s="110" t="e">
        <x:f aca="0">IF(Q58="","",Q58/MAX(Q$5:Q58)-1)</x:f>
        <x:v>#NAME?</x:v>
      </x:c>
    </x:row>
    <x:row r="59" ht="12" hidden="0">
      <x:c r="A59" s="109" t="n">
        <x:f aca="0">IF('实盘净值数据(iFinD公式)'!A59="","",'实盘净值数据(iFinD公式)'!A59)</x:f>
        <x:v>46268</x:v>
      </x:c>
      <x:c r="B59" s="106" t="e">
        <x:f aca="0">IF(OR('实盘净值数据(iFinD公式)'!$A59="",'实盘净值数据(iFinD公式)'!$B59=""),"",分期持仓明细!$AD$17*SUMPRODUCT(分期持仓明细!$B$17:$AA$17,'实盘净值数据(iFinD公式)'!$B59:$AA59/'实盘净值数据(iFinD公式)'!$B$20:$AA$20)*(1-实盘持仓初始配置!$Z$4)^(('实盘净值数据(iFinD公式)'!$A59-'实盘净值数据(iFinD公式)'!$A$6)/365))</x:f>
        <x:v>#NAME?</x:v>
      </x:c>
      <x:c r="C59" s="110" t="e">
        <x:f aca="0">IF(OR(B58="",B59=""),"",B59/B58-1)</x:f>
        <x:v>#NAME?</x:v>
      </x:c>
      <x:c r="D59" s="110" t="e">
        <x:f aca="0">IF(B59="","",B59/MAX(B$5:B59)-1)</x:f>
        <x:v>#NAME?</x:v>
      </x:c>
      <x:c r="E59" s="106" t="e">
        <x:f aca="0">IF(OR('实盘净值数据(iFinD公式)'!$A59="",'实盘净值数据(iFinD公式)'!$B59=""),"",分期持仓明细!$AD$18*SUMPRODUCT(分期持仓明细!$B$18:$AA$18,'实盘净值数据(iFinD公式)'!$B59:$AA59/'实盘净值数据(iFinD公式)'!$B$20:$AA$20)*(1-实盘持仓初始配置!$Z$5)^(('实盘净值数据(iFinD公式)'!$A59-'实盘净值数据(iFinD公式)'!$A$5)/365))</x:f>
        <x:v>#NAME?</x:v>
      </x:c>
      <x:c r="F59" s="110" t="e">
        <x:f aca="0">IF(OR(E58="",E59=""),"",E59/E58-1)</x:f>
        <x:v>#NAME?</x:v>
      </x:c>
      <x:c r="G59" s="110" t="e">
        <x:f aca="0">IF(E59="","",E59/MAX(E$5:E59)-1)</x:f>
        <x:v>#NAME?</x:v>
      </x:c>
      <x:c r="H59" s="106" t="e">
        <x:f aca="0">IF(OR('实盘净值数据(iFinD公式)'!$A59="",'实盘净值数据(iFinD公式)'!$B59=""),"",分期持仓明细!$AD$19*SUMPRODUCT(分期持仓明细!$B$19:$AA$19,'实盘净值数据(iFinD公式)'!$B59:$AA59/'实盘净值数据(iFinD公式)'!$B$20:$AA$20)*(1-实盘持仓初始配置!$Z$6)^(('实盘净值数据(iFinD公式)'!$A59-'实盘净值数据(iFinD公式)'!$A$7)/365))</x:f>
        <x:v>#NAME?</x:v>
      </x:c>
      <x:c r="I59" s="110" t="e">
        <x:f aca="0">IF(OR(H58="",H59=""),"",H59/H58-1)</x:f>
        <x:v>#NAME?</x:v>
      </x:c>
      <x:c r="J59" s="110" t="e">
        <x:f aca="0">IF(H59="","",H59/MAX(H$5:H59)-1)</x:f>
        <x:v>#NAME?</x:v>
      </x:c>
      <x:c r="K59" s="106" t="e">
        <x:f aca="0">IF(OR('实盘净值数据(iFinD公式)'!$A59="",'实盘净值数据(iFinD公式)'!$B59=""),"",分期持仓明细!$AD$20*SUMPRODUCT(分期持仓明细!$B$20:$AA$20,'实盘净值数据(iFinD公式)'!$B59:$AA59/'实盘净值数据(iFinD公式)'!$B$25:$AA$25)*(1-实盘持仓初始配置!$Z$7)^(('实盘净值数据(iFinD公式)'!$A59-'实盘净值数据(iFinD公式)'!$A$8)/365))</x:f>
        <x:v>#NAME?</x:v>
      </x:c>
      <x:c r="L59" s="110" t="e">
        <x:f aca="0">IF(OR(K58="",K59=""),"",K59/K58-1)</x:f>
        <x:v>#NAME?</x:v>
      </x:c>
      <x:c r="M59" s="110" t="e">
        <x:f aca="0">IF(K59="","",K59/MAX(K$5:K59)-1)</x:f>
        <x:v>#NAME?</x:v>
      </x:c>
      <x:c r="N59" s="106" t="e">
        <x:f aca="0">IF(OR('实盘净值数据(iFinD公式)'!$A59="",'实盘净值数据(iFinD公式)'!$B59=""),"",分期持仓明细!$AD$21*SUMPRODUCT(分期持仓明细!$B$21:$AA$21,'实盘净值数据(iFinD公式)'!$B59:$AA59/'实盘净值数据(iFinD公式)'!$B$25:$AA$25)*(1-实盘持仓初始配置!$Z$8)^(('实盘净值数据(iFinD公式)'!$A59-'实盘净值数据(iFinD公式)'!$A$5)/365))</x:f>
        <x:v>#NAME?</x:v>
      </x:c>
      <x:c r="O59" s="110" t="e">
        <x:f aca="0">IF(OR(N58="",N59=""),"",N59/N58-1)</x:f>
        <x:v>#NAME?</x:v>
      </x:c>
      <x:c r="P59" s="110" t="e">
        <x:f aca="0">IF(N59="","",N59/MAX(N$5:N59)-1)</x:f>
        <x:v>#NAME?</x:v>
      </x:c>
      <x:c r="Q59" s="106" t="e">
        <x:f aca="0">IF(OR('实盘净值数据(iFinD公式)'!$A59="",'实盘净值数据(iFinD公式)'!$B59=""),"",分期持仓明细!$AD$22*SUMPRODUCT(分期持仓明细!$B$22:$AA$22,'实盘净值数据(iFinD公式)'!$B59:$AA59/'实盘净值数据(iFinD公式)'!$B$25:$AA$25)*(1-实盘持仓初始配置!$Z$9)^(('实盘净值数据(iFinD公式)'!$A59-'实盘净值数据(iFinD公式)'!$A$8)/365))</x:f>
        <x:v>#NAME?</x:v>
      </x:c>
      <x:c r="R59" s="110" t="e">
        <x:f aca="0">IF(OR(Q58="",Q59=""),"",Q59/Q58-1)</x:f>
        <x:v>#NAME?</x:v>
      </x:c>
      <x:c r="S59" s="110" t="e">
        <x:f aca="0">IF(Q59="","",Q59/MAX(Q$5:Q59)-1)</x:f>
        <x:v>#NAME?</x:v>
      </x:c>
    </x:row>
    <x:row r="60">
      <x:c r="A60" s="149" t="n">
        <x:f>IF('实盘净值数据(iFinD公式)'!A60="","",'实盘净值数据(iFinD公式)'!A60)</x:f>
        <x:v>46269</x:v>
      </x:c>
      <x:c r="B60" s="146" t="e">
        <x:f>IF(OR('实盘净值数据(iFinD公式)'!$A60="",'实盘净值数据(iFinD公式)'!$B60=""),"",分期持仓明细!$AD$17*SUMPRODUCT(分期持仓明细!$B$17:$AA$17,'实盘净值数据(iFinD公式)'!$B60:$AA60/'实盘净值数据(iFinD公式)'!$B$20:$AA$20)*(1-实盘持仓初始配置!$Z$4)^(('实盘净值数据(iFinD公式)'!$A60-'实盘净值数据(iFinD公式)'!$A$6)/365))</x:f>
        <x:v>#NAME?</x:v>
      </x:c>
      <x:c r="C60" s="152" t="e">
        <x:f>IF(OR(B59="",B60=""),"",B60/B59-1)</x:f>
        <x:v>#NAME?</x:v>
      </x:c>
      <x:c r="D60" s="152" t="e">
        <x:f>IF(B60="","",B60/MAX(B$5:B60)-1)</x:f>
        <x:v>#NAME?</x:v>
      </x:c>
      <x:c r="E60" s="146" t="e">
        <x:f>IF(OR('实盘净值数据(iFinD公式)'!$A60="",'实盘净值数据(iFinD公式)'!$B60=""),"",分期持仓明细!$AD$18*SUMPRODUCT(分期持仓明细!$B$18:$AA$18,'实盘净值数据(iFinD公式)'!$B60:$AA60/'实盘净值数据(iFinD公式)'!$B$20:$AA$20)*(1-实盘持仓初始配置!$Z$5)^(('实盘净值数据(iFinD公式)'!$A60-'实盘净值数据(iFinD公式)'!$A$5)/365))</x:f>
        <x:v>#NAME?</x:v>
      </x:c>
      <x:c r="F60" s="152" t="e">
        <x:f>IF(OR(E59="",E60=""),"",E60/E59-1)</x:f>
        <x:v>#NAME?</x:v>
      </x:c>
      <x:c r="G60" s="152" t="e">
        <x:f>IF(E60="","",E60/MAX(E$5:E60)-1)</x:f>
        <x:v>#NAME?</x:v>
      </x:c>
      <x:c r="H60" s="146" t="e">
        <x:f>IF(OR('实盘净值数据(iFinD公式)'!$A60="",'实盘净值数据(iFinD公式)'!$B60=""),"",分期持仓明细!$AD$19*SUMPRODUCT(分期持仓明细!$B$19:$AA$19,'实盘净值数据(iFinD公式)'!$B60:$AA60/'实盘净值数据(iFinD公式)'!$B$20:$AA$20)*(1-实盘持仓初始配置!$Z$6)^(('实盘净值数据(iFinD公式)'!$A60-'实盘净值数据(iFinD公式)'!$A$7)/365))</x:f>
        <x:v>#NAME?</x:v>
      </x:c>
      <x:c r="I60" s="152" t="e">
        <x:f>IF(OR(H59="",H60=""),"",H60/H59-1)</x:f>
        <x:v>#NAME?</x:v>
      </x:c>
      <x:c r="J60" s="152" t="e">
        <x:f>IF(H60="","",H60/MAX(H$5:H60)-1)</x:f>
        <x:v>#NAME?</x:v>
      </x:c>
      <x:c r="K60" s="146" t="e">
        <x:f>IF(OR('实盘净值数据(iFinD公式)'!$A60="",'实盘净值数据(iFinD公式)'!$B60=""),"",分期持仓明细!$AD$20*SUMPRODUCT(分期持仓明细!$B$20:$AA$20,'实盘净值数据(iFinD公式)'!$B60:$AA60/'实盘净值数据(iFinD公式)'!$B$25:$AA$25)*(1-实盘持仓初始配置!$Z$7)^(('实盘净值数据(iFinD公式)'!$A60-'实盘净值数据(iFinD公式)'!$A$8)/365))</x:f>
        <x:v>#NAME?</x:v>
      </x:c>
      <x:c r="L60" s="152" t="e">
        <x:f>IF(OR(K59="",K60=""),"",K60/K59-1)</x:f>
        <x:v>#NAME?</x:v>
      </x:c>
      <x:c r="M60" s="152" t="e">
        <x:f>IF(K60="","",K60/MAX(K$5:K60)-1)</x:f>
        <x:v>#NAME?</x:v>
      </x:c>
      <x:c r="N60" s="146" t="e">
        <x:f>IF(OR('实盘净值数据(iFinD公式)'!$A60="",'实盘净值数据(iFinD公式)'!$B60=""),"",分期持仓明细!$AD$21*SUMPRODUCT(分期持仓明细!$B$21:$AA$21,'实盘净值数据(iFinD公式)'!$B60:$AA60/'实盘净值数据(iFinD公式)'!$B$25:$AA$25)*(1-实盘持仓初始配置!$Z$8)^(('实盘净值数据(iFinD公式)'!$A60-'实盘净值数据(iFinD公式)'!$A$5)/365))</x:f>
        <x:v>#NAME?</x:v>
      </x:c>
      <x:c r="O60" s="152" t="e">
        <x:f>IF(OR(N59="",N60=""),"",N60/N59-1)</x:f>
        <x:v>#NAME?</x:v>
      </x:c>
      <x:c r="P60" s="152" t="e">
        <x:f>IF(N60="","",N60/MAX(N$5:N60)-1)</x:f>
        <x:v>#NAME?</x:v>
      </x:c>
      <x:c r="Q60" s="146" t="e">
        <x:f>IF(OR('实盘净值数据(iFinD公式)'!$A60="",'实盘净值数据(iFinD公式)'!$B60=""),"",分期持仓明细!$AD$22*SUMPRODUCT(分期持仓明细!$B$22:$AA$22,'实盘净值数据(iFinD公式)'!$B60:$AA60/'实盘净值数据(iFinD公式)'!$B$25:$AA$25)*(1-实盘持仓初始配置!$Z$9)^(('实盘净值数据(iFinD公式)'!$A60-'实盘净值数据(iFinD公式)'!$A$8)/365))</x:f>
        <x:v>#NAME?</x:v>
      </x:c>
      <x:c r="R60" s="152" t="e">
        <x:f>IF(OR(Q59="",Q60=""),"",Q60/Q59-1)</x:f>
        <x:v>#NAME?</x:v>
      </x:c>
      <x:c r="S60" s="152" t="e">
        <x:f>IF(Q60="","",Q60/MAX(Q$5:Q60)-1)</x:f>
        <x:v>#NAME?</x:v>
      </x:c>
    </x:row>
    <x:row r="61" ht="14.25" hidden="0" customHeight="1">
      <x:c r="A61" s="151" t="n">
        <x:f>IF('实盘净值数据(iFinD公式)'!A61="","",'实盘净值数据(iFinD公式)'!A61)</x:f>
        <x:v>46272</x:v>
      </x:c>
      <x:c r="B61" s="146" t="e">
        <x:f>IF(OR('实盘净值数据(iFinD公式)'!$A61="",'实盘净值数据(iFinD公式)'!$B61=""),"",分期持仓明细!$AD$17*SUMPRODUCT(分期持仓明细!$B$17:$AA$17,'实盘净值数据(iFinD公式)'!$B61:$AA61/'实盘净值数据(iFinD公式)'!$B$20:$AA$20)*(1-实盘持仓初始配置!$Z$4)^(('实盘净值数据(iFinD公式)'!$A61-'实盘净值数据(iFinD公式)'!$A$6)/365))</x:f>
        <x:v>#NAME?</x:v>
      </x:c>
      <x:c r="C61" s="152" t="e">
        <x:f>IF(OR(B60="",B61=""),"",B61/B60-1)</x:f>
        <x:v>#NAME?</x:v>
      </x:c>
      <x:c r="D61" s="152" t="e">
        <x:f>IF(B61="","",B61/MAX(B$5:B61)-1)</x:f>
        <x:v>#NAME?</x:v>
      </x:c>
      <x:c r="E61" s="146" t="e">
        <x:f>IF(OR('实盘净值数据(iFinD公式)'!$A61="",'实盘净值数据(iFinD公式)'!$B61=""),"",分期持仓明细!$AD$18*SUMPRODUCT(分期持仓明细!$B$18:$AA$18,'实盘净值数据(iFinD公式)'!$B61:$AA61/'实盘净值数据(iFinD公式)'!$B$20:$AA$20)*(1-实盘持仓初始配置!$Z$5)^(('实盘净值数据(iFinD公式)'!$A61-'实盘净值数据(iFinD公式)'!$A$5)/365))</x:f>
        <x:v>#NAME?</x:v>
      </x:c>
      <x:c r="F61" s="152" t="e">
        <x:f>IF(OR(E60="",E61=""),"",E61/E60-1)</x:f>
        <x:v>#NAME?</x:v>
      </x:c>
      <x:c r="G61" s="152" t="e">
        <x:f>IF(E61="","",E61/MAX(E$5:E61)-1)</x:f>
        <x:v>#NAME?</x:v>
      </x:c>
      <x:c r="H61" s="146" t="e">
        <x:f>IF(OR('实盘净值数据(iFinD公式)'!$A61="",'实盘净值数据(iFinD公式)'!$B61=""),"",分期持仓明细!$AD$19*SUMPRODUCT(分期持仓明细!$B$19:$AA$19,'实盘净值数据(iFinD公式)'!$B61:$AA61/'实盘净值数据(iFinD公式)'!$B$20:$AA$20)*(1-实盘持仓初始配置!$Z$6)^(('实盘净值数据(iFinD公式)'!$A61-'实盘净值数据(iFinD公式)'!$A$7)/365))</x:f>
        <x:v>#NAME?</x:v>
      </x:c>
      <x:c r="I61" s="152" t="e">
        <x:f>IF(OR(H60="",H61=""),"",H61/H60-1)</x:f>
        <x:v>#NAME?</x:v>
      </x:c>
      <x:c r="J61" s="152" t="e">
        <x:f>IF(H61="","",H61/MAX(H$5:H61)-1)</x:f>
        <x:v>#NAME?</x:v>
      </x:c>
      <x:c r="K61" s="146" t="e">
        <x:f>IF(OR('实盘净值数据(iFinD公式)'!$A61="",'实盘净值数据(iFinD公式)'!$B61=""),"",分期持仓明细!$AD$20*SUMPRODUCT(分期持仓明细!$B$20:$AA$20,'实盘净值数据(iFinD公式)'!$B61:$AA61/'实盘净值数据(iFinD公式)'!$B$25:$AA$25)*(1-实盘持仓初始配置!$Z$7)^(('实盘净值数据(iFinD公式)'!$A61-'实盘净值数据(iFinD公式)'!$A$8)/365))</x:f>
        <x:v>#NAME?</x:v>
      </x:c>
      <x:c r="L61" s="152" t="e">
        <x:f>IF(OR(K60="",K61=""),"",K61/K60-1)</x:f>
        <x:v>#NAME?</x:v>
      </x:c>
      <x:c r="M61" s="152" t="e">
        <x:f>IF(K61="","",K61/MAX(K$5:K61)-1)</x:f>
        <x:v>#NAME?</x:v>
      </x:c>
      <x:c r="N61" s="146" t="e">
        <x:f>IF(OR('实盘净值数据(iFinD公式)'!$A61="",'实盘净值数据(iFinD公式)'!$B61=""),"",分期持仓明细!$AD$21*SUMPRODUCT(分期持仓明细!$B$21:$AA$21,'实盘净值数据(iFinD公式)'!$B61:$AA61/'实盘净值数据(iFinD公式)'!$B$25:$AA$25)*(1-实盘持仓初始配置!$Z$8)^(('实盘净值数据(iFinD公式)'!$A61-'实盘净值数据(iFinD公式)'!$A$5)/365))</x:f>
        <x:v>#NAME?</x:v>
      </x:c>
      <x:c r="O61" s="152" t="e">
        <x:f>IF(OR(N60="",N61=""),"",N61/N60-1)</x:f>
        <x:v>#NAME?</x:v>
      </x:c>
      <x:c r="P61" s="152" t="e">
        <x:f>IF(N61="","",N61/MAX(N$5:N61)-1)</x:f>
        <x:v>#NAME?</x:v>
      </x:c>
      <x:c r="Q61" s="146" t="e">
        <x:f>IF(OR('实盘净值数据(iFinD公式)'!$A61="",'实盘净值数据(iFinD公式)'!$B61=""),"",分期持仓明细!$AD$22*SUMPRODUCT(分期持仓明细!$B$22:$AA$22,'实盘净值数据(iFinD公式)'!$B61:$AA61/'实盘净值数据(iFinD公式)'!$B$25:$AA$25)*(1-实盘持仓初始配置!$Z$9)^(('实盘净值数据(iFinD公式)'!$A61-'实盘净值数据(iFinD公式)'!$A$8)/365))</x:f>
        <x:v>#NAME?</x:v>
      </x:c>
      <x:c r="R61" s="152" t="e">
        <x:f>IF(OR(Q60="",Q61=""),"",Q61/Q60-1)</x:f>
        <x:v>#NAME?</x:v>
      </x:c>
      <x:c r="S61" s="152" t="e">
        <x:f>IF(Q61="","",Q61/MAX(Q$5:Q61)-1)</x:f>
        <x:v>#NAME?</x:v>
      </x:c>
    </x:row>
    <x:row r="62">
      <x:c r="A62" s="149" t="n">
        <x:f>IF('实盘净值数据(iFinD公式)'!A62="","",'实盘净值数据(iFinD公式)'!A62)</x:f>
        <x:v>46273</x:v>
      </x:c>
      <x:c r="B62" s="146" t="e">
        <x:f>IF(OR('实盘净值数据(iFinD公式)'!$A62="",'实盘净值数据(iFinD公式)'!$B62=""),"",分期持仓明细!$AD$17*SUMPRODUCT(分期持仓明细!$B$17:$AA$17,'实盘净值数据(iFinD公式)'!$B62:$AA62/'实盘净值数据(iFinD公式)'!$B$20:$AA$20)*(1-实盘持仓初始配置!$Z$4)^(('实盘净值数据(iFinD公式)'!$A62-'实盘净值数据(iFinD公式)'!$A$6)/365))</x:f>
        <x:v>#NAME?</x:v>
      </x:c>
      <x:c r="C62" s="152" t="e">
        <x:f>IF(OR(B61="",B62=""),"",B62/B61-1)</x:f>
        <x:v>#NAME?</x:v>
      </x:c>
      <x:c r="D62" s="152" t="e">
        <x:f>IF(B62="","",B62/MAX(B$5:B62)-1)</x:f>
        <x:v>#NAME?</x:v>
      </x:c>
      <x:c r="E62" s="146" t="e">
        <x:f>IF(OR('实盘净值数据(iFinD公式)'!$A62="",'实盘净值数据(iFinD公式)'!$B62=""),"",分期持仓明细!$AD$18*SUMPRODUCT(分期持仓明细!$B$18:$AA$18,'实盘净值数据(iFinD公式)'!$B62:$AA62/'实盘净值数据(iFinD公式)'!$B$20:$AA$20)*(1-实盘持仓初始配置!$Z$5)^(('实盘净值数据(iFinD公式)'!$A62-'实盘净值数据(iFinD公式)'!$A$5)/365))</x:f>
        <x:v>#NAME?</x:v>
      </x:c>
      <x:c r="F62" s="152" t="e">
        <x:f>IF(OR(E61="",E62=""),"",E62/E61-1)</x:f>
        <x:v>#NAME?</x:v>
      </x:c>
      <x:c r="G62" s="152" t="e">
        <x:f>IF(E62="","",E62/MAX(E$5:E62)-1)</x:f>
        <x:v>#NAME?</x:v>
      </x:c>
      <x:c r="H62" s="146" t="e">
        <x:f>IF(OR('实盘净值数据(iFinD公式)'!$A62="",'实盘净值数据(iFinD公式)'!$B62=""),"",分期持仓明细!$AD$19*SUMPRODUCT(分期持仓明细!$B$19:$AA$19,'实盘净值数据(iFinD公式)'!$B62:$AA62/'实盘净值数据(iFinD公式)'!$B$20:$AA$20)*(1-实盘持仓初始配置!$Z$6)^(('实盘净值数据(iFinD公式)'!$A62-'实盘净值数据(iFinD公式)'!$A$7)/365))</x:f>
        <x:v>#NAME?</x:v>
      </x:c>
      <x:c r="I62" s="152" t="e">
        <x:f>IF(OR(H61="",H62=""),"",H62/H61-1)</x:f>
        <x:v>#NAME?</x:v>
      </x:c>
      <x:c r="J62" s="152" t="e">
        <x:f>IF(H62="","",H62/MAX(H$5:H62)-1)</x:f>
        <x:v>#NAME?</x:v>
      </x:c>
      <x:c r="K62" s="146" t="e">
        <x:f>IF(OR('实盘净值数据(iFinD公式)'!$A62="",'实盘净值数据(iFinD公式)'!$B62=""),"",分期持仓明细!$AD$20*SUMPRODUCT(分期持仓明细!$B$20:$AA$20,'实盘净值数据(iFinD公式)'!$B62:$AA62/'实盘净值数据(iFinD公式)'!$B$25:$AA$25)*(1-实盘持仓初始配置!$Z$7)^(('实盘净值数据(iFinD公式)'!$A62-'实盘净值数据(iFinD公式)'!$A$8)/365))</x:f>
        <x:v>#NAME?</x:v>
      </x:c>
      <x:c r="L62" s="152" t="e">
        <x:f>IF(OR(K61="",K62=""),"",K62/K61-1)</x:f>
        <x:v>#NAME?</x:v>
      </x:c>
      <x:c r="M62" s="152" t="e">
        <x:f>IF(K62="","",K62/MAX(K$5:K62)-1)</x:f>
        <x:v>#NAME?</x:v>
      </x:c>
      <x:c r="N62" s="146" t="e">
        <x:f>IF(OR('实盘净值数据(iFinD公式)'!$A62="",'实盘净值数据(iFinD公式)'!$B62=""),"",分期持仓明细!$AD$21*SUMPRODUCT(分期持仓明细!$B$21:$AA$21,'实盘净值数据(iFinD公式)'!$B62:$AA62/'实盘净值数据(iFinD公式)'!$B$25:$AA$25)*(1-实盘持仓初始配置!$Z$8)^(('实盘净值数据(iFinD公式)'!$A62-'实盘净值数据(iFinD公式)'!$A$5)/365))</x:f>
        <x:v>#NAME?</x:v>
      </x:c>
      <x:c r="O62" s="152" t="e">
        <x:f>IF(OR(N61="",N62=""),"",N62/N61-1)</x:f>
        <x:v>#NAME?</x:v>
      </x:c>
      <x:c r="P62" s="152" t="e">
        <x:f>IF(N62="","",N62/MAX(N$5:N62)-1)</x:f>
        <x:v>#NAME?</x:v>
      </x:c>
      <x:c r="Q62" s="146" t="e">
        <x:f>IF(OR('实盘净值数据(iFinD公式)'!$A62="",'实盘净值数据(iFinD公式)'!$B62=""),"",分期持仓明细!$AD$22*SUMPRODUCT(分期持仓明细!$B$22:$AA$22,'实盘净值数据(iFinD公式)'!$B62:$AA62/'实盘净值数据(iFinD公式)'!$B$25:$AA$25)*(1-实盘持仓初始配置!$Z$9)^(('实盘净值数据(iFinD公式)'!$A62-'实盘净值数据(iFinD公式)'!$A$8)/365))</x:f>
        <x:v>#NAME?</x:v>
      </x:c>
      <x:c r="R62" s="152" t="e">
        <x:f>IF(OR(Q61="",Q62=""),"",Q62/Q61-1)</x:f>
        <x:v>#NAME?</x:v>
      </x:c>
      <x:c r="S62" s="152" t="e">
        <x:f>IF(Q62="","",Q62/MAX(Q$5:Q62)-1)</x:f>
        <x:v>#NAME?</x:v>
      </x:c>
    </x:row>
    <x:row r="63">
      <x:c r="A63" s="149" t="n">
        <x:f>IF('实盘净值数据(iFinD公式)'!A63="","",'实盘净值数据(iFinD公式)'!A63)</x:f>
        <x:v>46274</x:v>
      </x:c>
      <x:c r="B63" s="146" t="e">
        <x:f>IF(OR('实盘净值数据(iFinD公式)'!$A63="",'实盘净值数据(iFinD公式)'!$B63=""),"",分期持仓明细!$AD$17*SUMPRODUCT(分期持仓明细!$B$17:$AA$17,'实盘净值数据(iFinD公式)'!$B63:$AA63/'实盘净值数据(iFinD公式)'!$B$20:$AA$20)*(1-实盘持仓初始配置!$Z$4)^(('实盘净值数据(iFinD公式)'!$A63-'实盘净值数据(iFinD公式)'!$A$6)/365))</x:f>
        <x:v>#NAME?</x:v>
      </x:c>
      <x:c r="C63" s="152" t="e">
        <x:f>IF(OR(B62="",B63=""),"",B63/B62-1)</x:f>
        <x:v>#NAME?</x:v>
      </x:c>
      <x:c r="D63" s="152" t="e">
        <x:f>IF(B63="","",B63/MAX(B$5:B63)-1)</x:f>
        <x:v>#NAME?</x:v>
      </x:c>
      <x:c r="E63" s="146" t="e">
        <x:f>IF(OR('实盘净值数据(iFinD公式)'!$A63="",'实盘净值数据(iFinD公式)'!$B63=""),"",分期持仓明细!$AD$18*SUMPRODUCT(分期持仓明细!$B$18:$AA$18,'实盘净值数据(iFinD公式)'!$B63:$AA63/'实盘净值数据(iFinD公式)'!$B$20:$AA$20)*(1-实盘持仓初始配置!$Z$5)^(('实盘净值数据(iFinD公式)'!$A63-'实盘净值数据(iFinD公式)'!$A$5)/365))</x:f>
        <x:v>#NAME?</x:v>
      </x:c>
      <x:c r="F63" s="152" t="e">
        <x:f>IF(OR(E62="",E63=""),"",E63/E62-1)</x:f>
        <x:v>#NAME?</x:v>
      </x:c>
      <x:c r="G63" s="152" t="e">
        <x:f>IF(E63="","",E63/MAX(E$5:E63)-1)</x:f>
        <x:v>#NAME?</x:v>
      </x:c>
      <x:c r="H63" s="146" t="e">
        <x:f>IF(OR('实盘净值数据(iFinD公式)'!$A63="",'实盘净值数据(iFinD公式)'!$B63=""),"",分期持仓明细!$AD$19*SUMPRODUCT(分期持仓明细!$B$19:$AA$19,'实盘净值数据(iFinD公式)'!$B63:$AA63/'实盘净值数据(iFinD公式)'!$B$20:$AA$20)*(1-实盘持仓初始配置!$Z$6)^(('实盘净值数据(iFinD公式)'!$A63-'实盘净值数据(iFinD公式)'!$A$7)/365))</x:f>
        <x:v>#NAME?</x:v>
      </x:c>
      <x:c r="I63" s="152" t="e">
        <x:f>IF(OR(H62="",H63=""),"",H63/H62-1)</x:f>
        <x:v>#NAME?</x:v>
      </x:c>
      <x:c r="J63" s="152" t="e">
        <x:f>IF(H63="","",H63/MAX(H$5:H63)-1)</x:f>
        <x:v>#NAME?</x:v>
      </x:c>
      <x:c r="K63" s="146" t="e">
        <x:f>IF(OR('实盘净值数据(iFinD公式)'!$A63="",'实盘净值数据(iFinD公式)'!$B63=""),"",分期持仓明细!$AD$20*SUMPRODUCT(分期持仓明细!$B$20:$AA$20,'实盘净值数据(iFinD公式)'!$B63:$AA63/'实盘净值数据(iFinD公式)'!$B$25:$AA$25)*(1-实盘持仓初始配置!$Z$7)^(('实盘净值数据(iFinD公式)'!$A63-'实盘净值数据(iFinD公式)'!$A$8)/365))</x:f>
        <x:v>#NAME?</x:v>
      </x:c>
      <x:c r="L63" s="152" t="e">
        <x:f>IF(OR(K62="",K63=""),"",K63/K62-1)</x:f>
        <x:v>#NAME?</x:v>
      </x:c>
      <x:c r="M63" s="152" t="e">
        <x:f>IF(K63="","",K63/MAX(K$5:K63)-1)</x:f>
        <x:v>#NAME?</x:v>
      </x:c>
      <x:c r="N63" s="146" t="e">
        <x:f>IF(OR('实盘净值数据(iFinD公式)'!$A63="",'实盘净值数据(iFinD公式)'!$B63=""),"",分期持仓明细!$AD$21*SUMPRODUCT(分期持仓明细!$B$21:$AA$21,'实盘净值数据(iFinD公式)'!$B63:$AA63/'实盘净值数据(iFinD公式)'!$B$25:$AA$25)*(1-实盘持仓初始配置!$Z$8)^(('实盘净值数据(iFinD公式)'!$A63-'实盘净值数据(iFinD公式)'!$A$5)/365))</x:f>
        <x:v>#NAME?</x:v>
      </x:c>
      <x:c r="O63" s="152" t="e">
        <x:f>IF(OR(N62="",N63=""),"",N63/N62-1)</x:f>
        <x:v>#NAME?</x:v>
      </x:c>
      <x:c r="P63" s="152" t="e">
        <x:f>IF(N63="","",N63/MAX(N$5:N63)-1)</x:f>
        <x:v>#NAME?</x:v>
      </x:c>
      <x:c r="Q63" s="146" t="e">
        <x:f>IF(OR('实盘净值数据(iFinD公式)'!$A63="",'实盘净值数据(iFinD公式)'!$B63=""),"",分期持仓明细!$AD$22*SUMPRODUCT(分期持仓明细!$B$22:$AA$22,'实盘净值数据(iFinD公式)'!$B63:$AA63/'实盘净值数据(iFinD公式)'!$B$25:$AA$25)*(1-实盘持仓初始配置!$Z$9)^(('实盘净值数据(iFinD公式)'!$A63-'实盘净值数据(iFinD公式)'!$A$8)/365))</x:f>
        <x:v>#NAME?</x:v>
      </x:c>
      <x:c r="R63" s="152" t="e">
        <x:f>IF(OR(Q62="",Q63=""),"",Q63/Q62-1)</x:f>
        <x:v>#NAME?</x:v>
      </x:c>
      <x:c r="S63" s="152" t="e">
        <x:f>IF(Q63="","",Q63/MAX(Q$5:Q63)-1)</x:f>
        <x:v>#NAME?</x:v>
      </x:c>
    </x:row>
    <x:row r="64">
      <x:c r="A64" s="149" t="n">
        <x:f>IF('实盘净值数据(iFinD公式)'!A64="","",'实盘净值数据(iFinD公式)'!A64)</x:f>
        <x:v>46275</x:v>
      </x:c>
      <x:c r="B64" s="146" t="e">
        <x:f>IF(OR('实盘净值数据(iFinD公式)'!$A64="",'实盘净值数据(iFinD公式)'!$B64=""),"",分期持仓明细!$AD$17*SUMPRODUCT(分期持仓明细!$B$17:$AA$17,'实盘净值数据(iFinD公式)'!$B64:$AA64/'实盘净值数据(iFinD公式)'!$B$20:$AA$20)*(1-实盘持仓初始配置!$Z$4)^(('实盘净值数据(iFinD公式)'!$A64-'实盘净值数据(iFinD公式)'!$A$6)/365))</x:f>
        <x:v>#NAME?</x:v>
      </x:c>
      <x:c r="C64" s="152" t="e">
        <x:f>IF(OR(B63="",B64=""),"",B64/B63-1)</x:f>
        <x:v>#NAME?</x:v>
      </x:c>
      <x:c r="D64" s="152" t="e">
        <x:f>IF(B64="","",B64/MAX(B$5:B64)-1)</x:f>
        <x:v>#NAME?</x:v>
      </x:c>
      <x:c r="E64" s="146" t="e">
        <x:f>IF(OR('实盘净值数据(iFinD公式)'!$A64="",'实盘净值数据(iFinD公式)'!$B64=""),"",分期持仓明细!$AD$18*SUMPRODUCT(分期持仓明细!$B$18:$AA$18,'实盘净值数据(iFinD公式)'!$B64:$AA64/'实盘净值数据(iFinD公式)'!$B$20:$AA$20)*(1-实盘持仓初始配置!$Z$5)^(('实盘净值数据(iFinD公式)'!$A64-'实盘净值数据(iFinD公式)'!$A$5)/365))</x:f>
        <x:v>#NAME?</x:v>
      </x:c>
      <x:c r="F64" s="152" t="e">
        <x:f>IF(OR(E63="",E64=""),"",E64/E63-1)</x:f>
        <x:v>#NAME?</x:v>
      </x:c>
      <x:c r="G64" s="152" t="e">
        <x:f>IF(E64="","",E64/MAX(E$5:E64)-1)</x:f>
        <x:v>#NAME?</x:v>
      </x:c>
      <x:c r="H64" s="146" t="e">
        <x:f>IF(OR('实盘净值数据(iFinD公式)'!$A64="",'实盘净值数据(iFinD公式)'!$B64=""),"",分期持仓明细!$AD$19*SUMPRODUCT(分期持仓明细!$B$19:$AA$19,'实盘净值数据(iFinD公式)'!$B64:$AA64/'实盘净值数据(iFinD公式)'!$B$20:$AA$20)*(1-实盘持仓初始配置!$Z$6)^(('实盘净值数据(iFinD公式)'!$A64-'实盘净值数据(iFinD公式)'!$A$7)/365))</x:f>
        <x:v>#NAME?</x:v>
      </x:c>
      <x:c r="I64" s="152" t="e">
        <x:f>IF(OR(H63="",H64=""),"",H64/H63-1)</x:f>
        <x:v>#NAME?</x:v>
      </x:c>
      <x:c r="J64" s="152" t="e">
        <x:f>IF(H64="","",H64/MAX(H$5:H64)-1)</x:f>
        <x:v>#NAME?</x:v>
      </x:c>
      <x:c r="K64" s="146" t="e">
        <x:f>IF(OR('实盘净值数据(iFinD公式)'!$A64="",'实盘净值数据(iFinD公式)'!$B64=""),"",分期持仓明细!$AD$20*SUMPRODUCT(分期持仓明细!$B$20:$AA$20,'实盘净值数据(iFinD公式)'!$B64:$AA64/'实盘净值数据(iFinD公式)'!$B$25:$AA$25)*(1-实盘持仓初始配置!$Z$7)^(('实盘净值数据(iFinD公式)'!$A64-'实盘净值数据(iFinD公式)'!$A$8)/365))</x:f>
        <x:v>#NAME?</x:v>
      </x:c>
      <x:c r="L64" s="152" t="e">
        <x:f>IF(OR(K63="",K64=""),"",K64/K63-1)</x:f>
        <x:v>#NAME?</x:v>
      </x:c>
      <x:c r="M64" s="152" t="e">
        <x:f>IF(K64="","",K64/MAX(K$5:K64)-1)</x:f>
        <x:v>#NAME?</x:v>
      </x:c>
      <x:c r="N64" s="146" t="e">
        <x:f>IF(OR('实盘净值数据(iFinD公式)'!$A64="",'实盘净值数据(iFinD公式)'!$B64=""),"",分期持仓明细!$AD$21*SUMPRODUCT(分期持仓明细!$B$21:$AA$21,'实盘净值数据(iFinD公式)'!$B64:$AA64/'实盘净值数据(iFinD公式)'!$B$25:$AA$25)*(1-实盘持仓初始配置!$Z$8)^(('实盘净值数据(iFinD公式)'!$A64-'实盘净值数据(iFinD公式)'!$A$5)/365))</x:f>
        <x:v>#NAME?</x:v>
      </x:c>
      <x:c r="O64" s="152" t="e">
        <x:f>IF(OR(N63="",N64=""),"",N64/N63-1)</x:f>
        <x:v>#NAME?</x:v>
      </x:c>
      <x:c r="P64" s="152" t="e">
        <x:f>IF(N64="","",N64/MAX(N$5:N64)-1)</x:f>
        <x:v>#NAME?</x:v>
      </x:c>
      <x:c r="Q64" s="146" t="e">
        <x:f>IF(OR('实盘净值数据(iFinD公式)'!$A64="",'实盘净值数据(iFinD公式)'!$B64=""),"",分期持仓明细!$AD$22*SUMPRODUCT(分期持仓明细!$B$22:$AA$22,'实盘净值数据(iFinD公式)'!$B64:$AA64/'实盘净值数据(iFinD公式)'!$B$25:$AA$25)*(1-实盘持仓初始配置!$Z$9)^(('实盘净值数据(iFinD公式)'!$A64-'实盘净值数据(iFinD公式)'!$A$8)/365))</x:f>
        <x:v>#NAME?</x:v>
      </x:c>
      <x:c r="R64" s="152" t="e">
        <x:f>IF(OR(Q63="",Q64=""),"",Q64/Q63-1)</x:f>
        <x:v>#NAME?</x:v>
      </x:c>
      <x:c r="S64" s="152" t="e">
        <x:f>IF(Q64="","",Q64/MAX(Q$5:Q64)-1)</x:f>
        <x:v>#NAME?</x:v>
      </x:c>
    </x:row>
    <x:row r="65">
      <x:c r="A65" s="149" t="n">
        <x:f>IF('实盘净值数据(iFinD公式)'!A65="","",'实盘净值数据(iFinD公式)'!A65)</x:f>
        <x:v>46276</x:v>
      </x:c>
      <x:c r="B65" s="146" t="e">
        <x:f>IF(OR('实盘净值数据(iFinD公式)'!$A65="",'实盘净值数据(iFinD公式)'!$B65=""),"",分期持仓明细!$AD$17*SUMPRODUCT(分期持仓明细!$B$17:$AA$17,'实盘净值数据(iFinD公式)'!$B65:$AA65/'实盘净值数据(iFinD公式)'!$B$20:$AA$20)*(1-实盘持仓初始配置!$Z$4)^(('实盘净值数据(iFinD公式)'!$A65-'实盘净值数据(iFinD公式)'!$A$6)/365))</x:f>
        <x:v>#NAME?</x:v>
      </x:c>
      <x:c r="C65" s="152" t="e">
        <x:f>IF(OR(B64="",B65=""),"",B65/B64-1)</x:f>
        <x:v>#NAME?</x:v>
      </x:c>
      <x:c r="D65" s="152" t="e">
        <x:f>IF(B65="","",B65/MAX(B$5:B65)-1)</x:f>
        <x:v>#NAME?</x:v>
      </x:c>
      <x:c r="E65" s="146" t="e">
        <x:f>IF(OR('实盘净值数据(iFinD公式)'!$A65="",'实盘净值数据(iFinD公式)'!$B65=""),"",分期持仓明细!$AD$18*SUMPRODUCT(分期持仓明细!$B$18:$AA$18,'实盘净值数据(iFinD公式)'!$B65:$AA65/'实盘净值数据(iFinD公式)'!$B$20:$AA$20)*(1-实盘持仓初始配置!$Z$5)^(('实盘净值数据(iFinD公式)'!$A65-'实盘净值数据(iFinD公式)'!$A$5)/365))</x:f>
        <x:v>#NAME?</x:v>
      </x:c>
      <x:c r="F65" s="152" t="e">
        <x:f>IF(OR(E64="",E65=""),"",E65/E64-1)</x:f>
        <x:v>#NAME?</x:v>
      </x:c>
      <x:c r="G65" s="152" t="e">
        <x:f>IF(E65="","",E65/MAX(E$5:E65)-1)</x:f>
        <x:v>#NAME?</x:v>
      </x:c>
      <x:c r="H65" s="146" t="e">
        <x:f>IF(OR('实盘净值数据(iFinD公式)'!$A65="",'实盘净值数据(iFinD公式)'!$B65=""),"",分期持仓明细!$AD$19*SUMPRODUCT(分期持仓明细!$B$19:$AA$19,'实盘净值数据(iFinD公式)'!$B65:$AA65/'实盘净值数据(iFinD公式)'!$B$20:$AA$20)*(1-实盘持仓初始配置!$Z$6)^(('实盘净值数据(iFinD公式)'!$A65-'实盘净值数据(iFinD公式)'!$A$7)/365))</x:f>
        <x:v>#NAME?</x:v>
      </x:c>
      <x:c r="I65" s="152" t="e">
        <x:f>IF(OR(H64="",H65=""),"",H65/H64-1)</x:f>
        <x:v>#NAME?</x:v>
      </x:c>
      <x:c r="J65" s="152" t="e">
        <x:f>IF(H65="","",H65/MAX(H$5:H65)-1)</x:f>
        <x:v>#NAME?</x:v>
      </x:c>
      <x:c r="K65" s="146" t="e">
        <x:f>IF(OR('实盘净值数据(iFinD公式)'!$A65="",'实盘净值数据(iFinD公式)'!$B65=""),"",分期持仓明细!$AD$23*SUMPRODUCT(分期持仓明细!$B$23:$AA$23,'实盘净值数据(iFinD公式)'!$B65:$AA65/'实盘净值数据(iFinD公式)'!$B$65:$AA$65)*(1-实盘持仓初始配置!$Z$7)^(('实盘净值数据(iFinD公式)'!$A65-'实盘净值数据(iFinD公式)'!$A$8)/365))</x:f>
        <x:v>#NAME?</x:v>
      </x:c>
      <x:c r="L65" s="152" t="e">
        <x:f>IF(OR(K64="",K65=""),"",K65/K64-1)</x:f>
        <x:v>#NAME?</x:v>
      </x:c>
      <x:c r="M65" s="152" t="e">
        <x:f>IF(K65="","",K65/MAX(K$5:K65)-1)</x:f>
        <x:v>#NAME?</x:v>
      </x:c>
      <x:c r="N65" s="146" t="e">
        <x:f>IF(OR('实盘净值数据(iFinD公式)'!$A65="",'实盘净值数据(iFinD公式)'!$B65=""),"",分期持仓明细!$AD$24*SUMPRODUCT(分期持仓明细!$B$24:$AA$24,'实盘净值数据(iFinD公式)'!$B65:$AA65/'实盘净值数据(iFinD公式)'!$B$65:$AA$65)*(1-实盘持仓初始配置!$Z$8)^(('实盘净值数据(iFinD公式)'!$A65-'实盘净值数据(iFinD公式)'!$A$5)/365))</x:f>
        <x:v>#NAME?</x:v>
      </x:c>
      <x:c r="O65" s="152" t="e">
        <x:f>IF(OR(N64="",N65=""),"",N65/N64-1)</x:f>
        <x:v>#NAME?</x:v>
      </x:c>
      <x:c r="P65" s="152" t="e">
        <x:f>IF(N65="","",N65/MAX(N$5:N65)-1)</x:f>
        <x:v>#NAME?</x:v>
      </x:c>
      <x:c r="Q65" s="146" t="e">
        <x:f>IF(OR('实盘净值数据(iFinD公式)'!$A65="",'实盘净值数据(iFinD公式)'!$B65=""),"",分期持仓明细!$AD$25*SUMPRODUCT(分期持仓明细!$B$25:$AA$25,'实盘净值数据(iFinD公式)'!$B65:$AA65/'实盘净值数据(iFinD公式)'!$B$65:$AA$65)*(1-实盘持仓初始配置!$Z$9)^(('实盘净值数据(iFinD公式)'!$A65-'实盘净值数据(iFinD公式)'!$A$8)/365))</x:f>
        <x:v>#NAME?</x:v>
      </x:c>
      <x:c r="R65" s="152" t="e">
        <x:f>IF(OR(Q64="",Q65=""),"",Q65/Q64-1)</x:f>
        <x:v>#NAME?</x:v>
      </x:c>
      <x:c r="S65" s="152" t="e">
        <x:f>IF(Q65="","",Q65/MAX(Q$5:Q65)-1)</x:f>
        <x:v>#NAME?</x:v>
      </x:c>
    </x:row>
    <x:row r="66">
      <x:c r="A66" s="149" t="n">
        <x:f>IF('实盘净值数据(iFinD公式)'!A66="","",'实盘净值数据(iFinD公式)'!A66)</x:f>
        <x:v>46279</x:v>
      </x:c>
      <x:c r="B66" s="146" t="e">
        <x:f>IF(OR('实盘净值数据(iFinD公式)'!$A66="",'实盘净值数据(iFinD公式)'!$B66=""),"",分期持仓明细!$AD$17*SUMPRODUCT(分期持仓明细!$B$17:$AA$17,'实盘净值数据(iFinD公式)'!$B66:$AA66/'实盘净值数据(iFinD公式)'!$B$20:$AA$20)*(1-实盘持仓初始配置!$Z$4)^(('实盘净值数据(iFinD公式)'!$A66-'实盘净值数据(iFinD公式)'!$A$6)/365))</x:f>
        <x:v>#NAME?</x:v>
      </x:c>
      <x:c r="C66" s="152" t="e">
        <x:f>IF(OR(B65="",B66=""),"",B66/B65-1)</x:f>
        <x:v>#NAME?</x:v>
      </x:c>
      <x:c r="D66" s="152" t="e">
        <x:f>IF(B66="","",B66/MAX(B$5:B66)-1)</x:f>
        <x:v>#NAME?</x:v>
      </x:c>
      <x:c r="E66" s="146" t="e">
        <x:f>IF(OR('实盘净值数据(iFinD公式)'!$A66="",'实盘净值数据(iFinD公式)'!$B66=""),"",分期持仓明细!$AD$18*SUMPRODUCT(分期持仓明细!$B$18:$AA$18,'实盘净值数据(iFinD公式)'!$B66:$AA66/'实盘净值数据(iFinD公式)'!$B$20:$AA$20)*(1-实盘持仓初始配置!$Z$5)^(('实盘净值数据(iFinD公式)'!$A66-'实盘净值数据(iFinD公式)'!$A$5)/365))</x:f>
        <x:v>#NAME?</x:v>
      </x:c>
      <x:c r="F66" s="152" t="e">
        <x:f>IF(OR(E65="",E66=""),"",E66/E65-1)</x:f>
        <x:v>#NAME?</x:v>
      </x:c>
      <x:c r="G66" s="152" t="e">
        <x:f>IF(E66="","",E66/MAX(E$5:E66)-1)</x:f>
        <x:v>#NAME?</x:v>
      </x:c>
      <x:c r="H66" s="146" t="e">
        <x:f>IF(OR('实盘净值数据(iFinD公式)'!$A66="",'实盘净值数据(iFinD公式)'!$B66=""),"",分期持仓明细!$AD$19*SUMPRODUCT(分期持仓明细!$B$19:$AA$19,'实盘净值数据(iFinD公式)'!$B66:$AA66/'实盘净值数据(iFinD公式)'!$B$20:$AA$20)*(1-实盘持仓初始配置!$Z$6)^(('实盘净值数据(iFinD公式)'!$A66-'实盘净值数据(iFinD公式)'!$A$7)/365))</x:f>
        <x:v>#NAME?</x:v>
      </x:c>
      <x:c r="I66" s="152" t="e">
        <x:f>IF(OR(H65="",H66=""),"",H66/H65-1)</x:f>
        <x:v>#NAME?</x:v>
      </x:c>
      <x:c r="J66" s="152" t="e">
        <x:f>IF(H66="","",H66/MAX(H$5:H66)-1)</x:f>
        <x:v>#NAME?</x:v>
      </x:c>
      <x:c r="K66" s="146" t="e">
        <x:f>IF(OR('实盘净值数据(iFinD公式)'!$A66="",'实盘净值数据(iFinD公式)'!$B66=""),"",分期持仓明细!$AD$23*SUMPRODUCT(分期持仓明细!$B$23:$AA$23,'实盘净值数据(iFinD公式)'!$B66:$AA66/'实盘净值数据(iFinD公式)'!$B$65:$AA$65)*(1-实盘持仓初始配置!$Z$7)^(('实盘净值数据(iFinD公式)'!$A66-'实盘净值数据(iFinD公式)'!$A$8)/365))</x:f>
        <x:v>#NAME?</x:v>
      </x:c>
      <x:c r="L66" s="152" t="e">
        <x:f>IF(OR(K65="",K66=""),"",K66/K65-1)</x:f>
        <x:v>#NAME?</x:v>
      </x:c>
      <x:c r="M66" s="152" t="e">
        <x:f>IF(K66="","",K66/MAX(K$5:K66)-1)</x:f>
        <x:v>#NAME?</x:v>
      </x:c>
      <x:c r="N66" s="146" t="e">
        <x:f>IF(OR('实盘净值数据(iFinD公式)'!$A66="",'实盘净值数据(iFinD公式)'!$B66=""),"",分期持仓明细!$AD$24*SUMPRODUCT(分期持仓明细!$B$24:$AA$24,'实盘净值数据(iFinD公式)'!$B66:$AA66/'实盘净值数据(iFinD公式)'!$B$65:$AA$65)*(1-实盘持仓初始配置!$Z$8)^(('实盘净值数据(iFinD公式)'!$A66-'实盘净值数据(iFinD公式)'!$A$5)/365))</x:f>
        <x:v>#NAME?</x:v>
      </x:c>
      <x:c r="O66" s="152" t="e">
        <x:f>IF(OR(N65="",N66=""),"",N66/N65-1)</x:f>
        <x:v>#NAME?</x:v>
      </x:c>
      <x:c r="P66" s="152" t="e">
        <x:f>IF(N66="","",N66/MAX(N$5:N66)-1)</x:f>
        <x:v>#NAME?</x:v>
      </x:c>
      <x:c r="Q66" s="146" t="e">
        <x:f>IF(OR('实盘净值数据(iFinD公式)'!$A66="",'实盘净值数据(iFinD公式)'!$B66=""),"",分期持仓明细!$AD$25*SUMPRODUCT(分期持仓明细!$B$25:$AA$25,'实盘净值数据(iFinD公式)'!$B66:$AA66/'实盘净值数据(iFinD公式)'!$B$65:$AA$65)*(1-实盘持仓初始配置!$Z$9)^(('实盘净值数据(iFinD公式)'!$A66-'实盘净值数据(iFinD公式)'!$A$8)/365))</x:f>
        <x:v>#NAME?</x:v>
      </x:c>
      <x:c r="R66" s="152" t="e">
        <x:f>IF(OR(Q65="",Q66=""),"",Q66/Q65-1)</x:f>
        <x:v>#NAME?</x:v>
      </x:c>
      <x:c r="S66" s="152" t="e">
        <x:f>IF(Q66="","",Q66/MAX(Q$5:Q66)-1)</x:f>
        <x:v>#NAME?</x:v>
      </x:c>
    </x:row>
    <x:row r="67">
      <x:c r="A67" s="149" t="n">
        <x:f>IF('实盘净值数据(iFinD公式)'!A67="","",'实盘净值数据(iFinD公式)'!A67)</x:f>
        <x:v>46280</x:v>
      </x:c>
      <x:c r="B67" s="146" t="e">
        <x:f>IF(OR('实盘净值数据(iFinD公式)'!$A67="",'实盘净值数据(iFinD公式)'!$B67=""),"",分期持仓明细!$AD$17*SUMPRODUCT(分期持仓明细!$B$17:$AA$17,'实盘净值数据(iFinD公式)'!$B67:$AA67/'实盘净值数据(iFinD公式)'!$B$20:$AA$20)*(1-实盘持仓初始配置!$Z$4)^(('实盘净值数据(iFinD公式)'!$A67-'实盘净值数据(iFinD公式)'!$A$6)/365))</x:f>
        <x:v>#NAME?</x:v>
      </x:c>
      <x:c r="C67" s="152" t="e">
        <x:f>IF(OR(B66="",B67=""),"",B67/B66-1)</x:f>
        <x:v>#NAME?</x:v>
      </x:c>
      <x:c r="D67" s="152" t="e">
        <x:f>IF(B67="","",B67/MAX(B$5:B67)-1)</x:f>
        <x:v>#NAME?</x:v>
      </x:c>
      <x:c r="E67" s="146" t="e">
        <x:f>IF(OR('实盘净值数据(iFinD公式)'!$A67="",'实盘净值数据(iFinD公式)'!$B67=""),"",分期持仓明细!$AD$18*SUMPRODUCT(分期持仓明细!$B$18:$AA$18,'实盘净值数据(iFinD公式)'!$B67:$AA67/'实盘净值数据(iFinD公式)'!$B$20:$AA$20)*(1-实盘持仓初始配置!$Z$5)^(('实盘净值数据(iFinD公式)'!$A67-'实盘净值数据(iFinD公式)'!$A$5)/365))</x:f>
        <x:v>#NAME?</x:v>
      </x:c>
      <x:c r="F67" s="152" t="e">
        <x:f>IF(OR(E66="",E67=""),"",E67/E66-1)</x:f>
        <x:v>#NAME?</x:v>
      </x:c>
      <x:c r="G67" s="152" t="e">
        <x:f>IF(E67="","",E67/MAX(E$5:E67)-1)</x:f>
        <x:v>#NAME?</x:v>
      </x:c>
      <x:c r="H67" s="146" t="e">
        <x:f>IF(OR('实盘净值数据(iFinD公式)'!$A67="",'实盘净值数据(iFinD公式)'!$B67=""),"",分期持仓明细!$AD$19*SUMPRODUCT(分期持仓明细!$B$19:$AA$19,'实盘净值数据(iFinD公式)'!$B67:$AA67/'实盘净值数据(iFinD公式)'!$B$20:$AA$20)*(1-实盘持仓初始配置!$Z$6)^(('实盘净值数据(iFinD公式)'!$A67-'实盘净值数据(iFinD公式)'!$A$7)/365))</x:f>
        <x:v>#NAME?</x:v>
      </x:c>
      <x:c r="I67" s="152" t="e">
        <x:f>IF(OR(H66="",H67=""),"",H67/H66-1)</x:f>
        <x:v>#NAME?</x:v>
      </x:c>
      <x:c r="J67" s="152" t="e">
        <x:f>IF(H67="","",H67/MAX(H$5:H67)-1)</x:f>
        <x:v>#NAME?</x:v>
      </x:c>
      <x:c r="K67" s="146" t="e">
        <x:f>IF(OR('实盘净值数据(iFinD公式)'!$A67="",'实盘净值数据(iFinD公式)'!$B67=""),"",分期持仓明细!$AD$23*SUMPRODUCT(分期持仓明细!$B$23:$AA$23,'实盘净值数据(iFinD公式)'!$B67:$AA67/'实盘净值数据(iFinD公式)'!$B$65:$AA$65)*(1-实盘持仓初始配置!$Z$7)^(('实盘净值数据(iFinD公式)'!$A67-'实盘净值数据(iFinD公式)'!$A$8)/365))</x:f>
        <x:v>#NAME?</x:v>
      </x:c>
      <x:c r="L67" s="152" t="e">
        <x:f>IF(OR(K66="",K67=""),"",K67/K66-1)</x:f>
        <x:v>#NAME?</x:v>
      </x:c>
      <x:c r="M67" s="152" t="e">
        <x:f>IF(K67="","",K67/MAX(K$5:K67)-1)</x:f>
        <x:v>#NAME?</x:v>
      </x:c>
      <x:c r="N67" s="146" t="e">
        <x:f>IF(OR('实盘净值数据(iFinD公式)'!$A67="",'实盘净值数据(iFinD公式)'!$B67=""),"",分期持仓明细!$AD$24*SUMPRODUCT(分期持仓明细!$B$24:$AA$24,'实盘净值数据(iFinD公式)'!$B67:$AA67/'实盘净值数据(iFinD公式)'!$B$65:$AA$65)*(1-实盘持仓初始配置!$Z$8)^(('实盘净值数据(iFinD公式)'!$A67-'实盘净值数据(iFinD公式)'!$A$5)/365))</x:f>
        <x:v>#NAME?</x:v>
      </x:c>
      <x:c r="O67" s="152" t="e">
        <x:f>IF(OR(N66="",N67=""),"",N67/N66-1)</x:f>
        <x:v>#NAME?</x:v>
      </x:c>
      <x:c r="P67" s="152" t="e">
        <x:f>IF(N67="","",N67/MAX(N$5:N67)-1)</x:f>
        <x:v>#NAME?</x:v>
      </x:c>
      <x:c r="Q67" s="146" t="e">
        <x:f>IF(OR('实盘净值数据(iFinD公式)'!$A67="",'实盘净值数据(iFinD公式)'!$B67=""),"",分期持仓明细!$AD$25*SUMPRODUCT(分期持仓明细!$B$25:$AA$25,'实盘净值数据(iFinD公式)'!$B67:$AA67/'实盘净值数据(iFinD公式)'!$B$65:$AA$65)*(1-实盘持仓初始配置!$Z$9)^(('实盘净值数据(iFinD公式)'!$A67-'实盘净值数据(iFinD公式)'!$A$8)/365))</x:f>
        <x:v>#NAME?</x:v>
      </x:c>
      <x:c r="R67" s="152" t="e">
        <x:f>IF(OR(Q66="",Q67=""),"",Q67/Q66-1)</x:f>
        <x:v>#NAME?</x:v>
      </x:c>
      <x:c r="S67" s="152" t="e">
        <x:f>IF(Q67="","",Q67/MAX(Q$5:Q67)-1)</x:f>
        <x:v>#NAME?</x:v>
      </x:c>
    </x:row>
    <x:row r="68">
      <x:c r="A68" s="149" t="n">
        <x:f>IF('实盘净值数据(iFinD公式)'!A68="","",'实盘净值数据(iFinD公式)'!A68)</x:f>
        <x:v>46281</x:v>
      </x:c>
      <x:c r="B68" s="146" t="e">
        <x:f>IF(OR('实盘净值数据(iFinD公式)'!$A68="",'实盘净值数据(iFinD公式)'!$B68=""),"",分期持仓明细!$AD$17*SUMPRODUCT(分期持仓明细!$B$17:$AA$17,'实盘净值数据(iFinD公式)'!$B68:$AA68/'实盘净值数据(iFinD公式)'!$B$20:$AA$20)*(1-实盘持仓初始配置!$Z$4)^(('实盘净值数据(iFinD公式)'!$A68-'实盘净值数据(iFinD公式)'!$A$6)/365))</x:f>
        <x:v>#NAME?</x:v>
      </x:c>
      <x:c r="C68" s="152" t="e">
        <x:f>IF(OR(B67="",B68=""),"",B68/B67-1)</x:f>
        <x:v>#NAME?</x:v>
      </x:c>
      <x:c r="D68" s="152" t="e">
        <x:f>IF(B68="","",B68/MAX(B$5:B68)-1)</x:f>
        <x:v>#NAME?</x:v>
      </x:c>
      <x:c r="E68" s="146" t="e">
        <x:f>IF(OR('实盘净值数据(iFinD公式)'!$A68="",'实盘净值数据(iFinD公式)'!$B68=""),"",分期持仓明细!$AD$18*SUMPRODUCT(分期持仓明细!$B$18:$AA$18,'实盘净值数据(iFinD公式)'!$B68:$AA68/'实盘净值数据(iFinD公式)'!$B$20:$AA$20)*(1-实盘持仓初始配置!$Z$5)^(('实盘净值数据(iFinD公式)'!$A68-'实盘净值数据(iFinD公式)'!$A$5)/365))</x:f>
        <x:v>#NAME?</x:v>
      </x:c>
      <x:c r="F68" s="152" t="e">
        <x:f>IF(OR(E67="",E68=""),"",E68/E67-1)</x:f>
        <x:v>#NAME?</x:v>
      </x:c>
      <x:c r="G68" s="152" t="e">
        <x:f>IF(E68="","",E68/MAX(E$5:E68)-1)</x:f>
        <x:v>#NAME?</x:v>
      </x:c>
      <x:c r="H68" s="146" t="e">
        <x:f>IF(OR('实盘净值数据(iFinD公式)'!$A68="",'实盘净值数据(iFinD公式)'!$B68=""),"",分期持仓明细!$AD$19*SUMPRODUCT(分期持仓明细!$B$19:$AA$19,'实盘净值数据(iFinD公式)'!$B68:$AA68/'实盘净值数据(iFinD公式)'!$B$20:$AA$20)*(1-实盘持仓初始配置!$Z$6)^(('实盘净值数据(iFinD公式)'!$A68-'实盘净值数据(iFinD公式)'!$A$7)/365))</x:f>
        <x:v>#NAME?</x:v>
      </x:c>
      <x:c r="I68" s="152" t="e">
        <x:f>IF(OR(H67="",H68=""),"",H68/H67-1)</x:f>
        <x:v>#NAME?</x:v>
      </x:c>
      <x:c r="J68" s="152" t="e">
        <x:f>IF(H68="","",H68/MAX(H$5:H68)-1)</x:f>
        <x:v>#NAME?</x:v>
      </x:c>
      <x:c r="K68" s="146" t="e">
        <x:f>IF(OR('实盘净值数据(iFinD公式)'!$A68="",'实盘净值数据(iFinD公式)'!$B68=""),"",分期持仓明细!$AD$23*SUMPRODUCT(分期持仓明细!$B$23:$AA$23,'实盘净值数据(iFinD公式)'!$B68:$AA68/'实盘净值数据(iFinD公式)'!$B$65:$AA$65)*(1-实盘持仓初始配置!$Z$7)^(('实盘净值数据(iFinD公式)'!$A68-'实盘净值数据(iFinD公式)'!$A$8)/365))</x:f>
        <x:v>#NAME?</x:v>
      </x:c>
      <x:c r="L68" s="152" t="e">
        <x:f>IF(OR(K67="",K68=""),"",K68/K67-1)</x:f>
        <x:v>#NAME?</x:v>
      </x:c>
      <x:c r="M68" s="152" t="e">
        <x:f>IF(K68="","",K68/MAX(K$5:K68)-1)</x:f>
        <x:v>#NAME?</x:v>
      </x:c>
      <x:c r="N68" s="146" t="e">
        <x:f>IF(OR('实盘净值数据(iFinD公式)'!$A68="",'实盘净值数据(iFinD公式)'!$B68=""),"",分期持仓明细!$AD$24*SUMPRODUCT(分期持仓明细!$B$24:$AA$24,'实盘净值数据(iFinD公式)'!$B68:$AA68/'实盘净值数据(iFinD公式)'!$B$65:$AA$65)*(1-实盘持仓初始配置!$Z$8)^(('实盘净值数据(iFinD公式)'!$A68-'实盘净值数据(iFinD公式)'!$A$5)/365))</x:f>
        <x:v>#NAME?</x:v>
      </x:c>
      <x:c r="O68" s="152" t="e">
        <x:f>IF(OR(N67="",N68=""),"",N68/N67-1)</x:f>
        <x:v>#NAME?</x:v>
      </x:c>
      <x:c r="P68" s="152" t="e">
        <x:f>IF(N68="","",N68/MAX(N$5:N68)-1)</x:f>
        <x:v>#NAME?</x:v>
      </x:c>
      <x:c r="Q68" s="146" t="e">
        <x:f>IF(OR('实盘净值数据(iFinD公式)'!$A68="",'实盘净值数据(iFinD公式)'!$B68=""),"",分期持仓明细!$AD$25*SUMPRODUCT(分期持仓明细!$B$25:$AA$25,'实盘净值数据(iFinD公式)'!$B68:$AA68/'实盘净值数据(iFinD公式)'!$B$65:$AA$65)*(1-实盘持仓初始配置!$Z$9)^(('实盘净值数据(iFinD公式)'!$A68-'实盘净值数据(iFinD公式)'!$A$8)/365))</x:f>
        <x:v>#NAME?</x:v>
      </x:c>
      <x:c r="R68" s="152" t="e">
        <x:f>IF(OR(Q67="",Q68=""),"",Q68/Q67-1)</x:f>
        <x:v>#NAME?</x:v>
      </x:c>
      <x:c r="S68" s="152" t="e">
        <x:f>IF(Q68="","",Q68/MAX(Q$5:Q68)-1)</x:f>
        <x:v>#NAME?</x:v>
      </x:c>
    </x:row>
    <x:row r="69">
      <x:c r="A69" s="149" t="str">
        <x:f>IF('实盘净值数据(iFinD公式)'!A69="","",'实盘净值数据(iFinD公式)'!A69)</x:f>
      </x:c>
      <x:c r="B69" s="146" t="e">
        <x:f>IF(OR('实盘净值数据(iFinD公式)'!$A69="",'实盘净值数据(iFinD公式)'!$B69=""),"",分期持仓明细!$AD$17*SUMPRODUCT(分期持仓明细!$B$17:$AA$17,'实盘净值数据(iFinD公式)'!$B69:$AA69/'实盘净值数据(iFinD公式)'!$B$20:$AA$20)*(1-实盘持仓初始配置!$Z$4)^(('实盘净值数据(iFinD公式)'!$A69-'实盘净值数据(iFinD公式)'!$A$6)/365))</x:f>
        <x:v>#NAME?</x:v>
      </x:c>
      <x:c r="C69" s="152" t="e">
        <x:f>IF(OR(B68="",B69=""),"",B69/B68-1)</x:f>
        <x:v>#NAME?</x:v>
      </x:c>
      <x:c r="D69" s="152" t="e">
        <x:f>IF(B69="","",B69/MAX(B$5:B69)-1)</x:f>
        <x:v>#NAME?</x:v>
      </x:c>
      <x:c r="E69" s="146" t="e">
        <x:f>IF(OR('实盘净值数据(iFinD公式)'!$A69="",'实盘净值数据(iFinD公式)'!$B69=""),"",分期持仓明细!$AD$18*SUMPRODUCT(分期持仓明细!$B$18:$AA$18,'实盘净值数据(iFinD公式)'!$B69:$AA69/'实盘净值数据(iFinD公式)'!$B$20:$AA$20)*(1-实盘持仓初始配置!$Z$5)^(('实盘净值数据(iFinD公式)'!$A69-'实盘净值数据(iFinD公式)'!$A$5)/365))</x:f>
        <x:v>#NAME?</x:v>
      </x:c>
      <x:c r="F69" s="152" t="e">
        <x:f>IF(OR(E68="",E69=""),"",E69/E68-1)</x:f>
        <x:v>#NAME?</x:v>
      </x:c>
      <x:c r="G69" s="152" t="e">
        <x:f>IF(E69="","",E69/MAX(E$5:E69)-1)</x:f>
        <x:v>#NAME?</x:v>
      </x:c>
      <x:c r="H69" s="146" t="e">
        <x:f>IF(OR('实盘净值数据(iFinD公式)'!$A69="",'实盘净值数据(iFinD公式)'!$B69=""),"",分期持仓明细!$AD$19*SUMPRODUCT(分期持仓明细!$B$19:$AA$19,'实盘净值数据(iFinD公式)'!$B69:$AA69/'实盘净值数据(iFinD公式)'!$B$20:$AA$20)*(1-实盘持仓初始配置!$Z$6)^(('实盘净值数据(iFinD公式)'!$A69-'实盘净值数据(iFinD公式)'!$A$7)/365))</x:f>
        <x:v>#NAME?</x:v>
      </x:c>
      <x:c r="I69" s="152" t="e">
        <x:f>IF(OR(H68="",H69=""),"",H69/H68-1)</x:f>
        <x:v>#NAME?</x:v>
      </x:c>
      <x:c r="J69" s="152" t="e">
        <x:f>IF(H69="","",H69/MAX(H$5:H69)-1)</x:f>
        <x:v>#NAME?</x:v>
      </x:c>
      <x:c r="K69" s="146" t="e">
        <x:f>IF(OR('实盘净值数据(iFinD公式)'!$A69="",'实盘净值数据(iFinD公式)'!$B69=""),"",分期持仓明细!$AD$23*SUMPRODUCT(分期持仓明细!$B$23:$AA$23,'实盘净值数据(iFinD公式)'!$B69:$AA69/'实盘净值数据(iFinD公式)'!$B$65:$AA$65)*(1-实盘持仓初始配置!$Z$7)^(('实盘净值数据(iFinD公式)'!$A69-'实盘净值数据(iFinD公式)'!$A$8)/365))</x:f>
        <x:v>#NAME?</x:v>
      </x:c>
      <x:c r="L69" s="152" t="e">
        <x:f>IF(OR(K68="",K69=""),"",K69/K68-1)</x:f>
        <x:v>#NAME?</x:v>
      </x:c>
      <x:c r="M69" s="152" t="e">
        <x:f>IF(K69="","",K69/MAX(K$5:K69)-1)</x:f>
        <x:v>#NAME?</x:v>
      </x:c>
      <x:c r="N69" s="146" t="e">
        <x:f>IF(OR('实盘净值数据(iFinD公式)'!$A69="",'实盘净值数据(iFinD公式)'!$B69=""),"",分期持仓明细!$AD$24*SUMPRODUCT(分期持仓明细!$B$24:$AA$24,'实盘净值数据(iFinD公式)'!$B69:$AA69/'实盘净值数据(iFinD公式)'!$B$65:$AA$65)*(1-实盘持仓初始配置!$Z$8)^(('实盘净值数据(iFinD公式)'!$A69-'实盘净值数据(iFinD公式)'!$A$5)/365))</x:f>
        <x:v>#NAME?</x:v>
      </x:c>
      <x:c r="O69" s="152" t="e">
        <x:f>IF(OR(N68="",N69=""),"",N69/N68-1)</x:f>
        <x:v>#NAME?</x:v>
      </x:c>
      <x:c r="P69" s="152" t="e">
        <x:f>IF(N69="","",N69/MAX(N$5:N69)-1)</x:f>
        <x:v>#NAME?</x:v>
      </x:c>
      <x:c r="Q69" s="146" t="e">
        <x:f>IF(OR('实盘净值数据(iFinD公式)'!$A69="",'实盘净值数据(iFinD公式)'!$B69=""),"",分期持仓明细!$AD$25*SUMPRODUCT(分期持仓明细!$B$25:$AA$25,'实盘净值数据(iFinD公式)'!$B69:$AA69/'实盘净值数据(iFinD公式)'!$B$65:$AA$65)*(1-实盘持仓初始配置!$Z$9)^(('实盘净值数据(iFinD公式)'!$A69-'实盘净值数据(iFinD公式)'!$A$8)/365))</x:f>
        <x:v>#NAME?</x:v>
      </x:c>
      <x:c r="R69" s="152" t="e">
        <x:f>IF(OR(Q68="",Q69=""),"",Q69/Q68-1)</x:f>
        <x:v>#NAME?</x:v>
      </x:c>
      <x:c r="S69" s="152" t="e">
        <x:f>IF(Q69="","",Q69/MAX(Q$5:Q69)-1)</x:f>
        <x:v>#NAME?</x:v>
      </x:c>
    </x:row>
    <x:row r="70">
      <x:c r="A70" s="149" t="str">
        <x:f>IF('实盘净值数据(iFinD公式)'!A70="","",'实盘净值数据(iFinD公式)'!A70)</x:f>
      </x:c>
      <x:c r="B70" s="146" t="e">
        <x:f>IF(OR('实盘净值数据(iFinD公式)'!$A70="",'实盘净值数据(iFinD公式)'!$B70=""),"",分期持仓明细!$AD$17*SUMPRODUCT(分期持仓明细!$B$17:$AA$17,'实盘净值数据(iFinD公式)'!$B70:$AA70/'实盘净值数据(iFinD公式)'!$B$20:$AA$20)*(1-实盘持仓初始配置!$Z$4)^(('实盘净值数据(iFinD公式)'!$A70-'实盘净值数据(iFinD公式)'!$A$6)/365))</x:f>
        <x:v>#NAME?</x:v>
      </x:c>
      <x:c r="C70" s="152" t="e">
        <x:f>IF(OR(B69="",B70=""),"",B70/B69-1)</x:f>
        <x:v>#NAME?</x:v>
      </x:c>
      <x:c r="D70" s="152" t="e">
        <x:f>IF(B70="","",B70/MAX(B$5:B70)-1)</x:f>
        <x:v>#NAME?</x:v>
      </x:c>
      <x:c r="E70" s="146" t="e">
        <x:f>IF(OR('实盘净值数据(iFinD公式)'!$A70="",'实盘净值数据(iFinD公式)'!$B70=""),"",分期持仓明细!$AD$18*SUMPRODUCT(分期持仓明细!$B$18:$AA$18,'实盘净值数据(iFinD公式)'!$B70:$AA70/'实盘净值数据(iFinD公式)'!$B$20:$AA$20)*(1-实盘持仓初始配置!$Z$5)^(('实盘净值数据(iFinD公式)'!$A70-'实盘净值数据(iFinD公式)'!$A$5)/365))</x:f>
        <x:v>#NAME?</x:v>
      </x:c>
      <x:c r="F70" s="152" t="e">
        <x:f>IF(OR(E69="",E70=""),"",E70/E69-1)</x:f>
        <x:v>#NAME?</x:v>
      </x:c>
      <x:c r="G70" s="152" t="e">
        <x:f>IF(E70="","",E70/MAX(E$5:E70)-1)</x:f>
        <x:v>#NAME?</x:v>
      </x:c>
      <x:c r="H70" s="146" t="e">
        <x:f>IF(OR('实盘净值数据(iFinD公式)'!$A70="",'实盘净值数据(iFinD公式)'!$B70=""),"",分期持仓明细!$AD$19*SUMPRODUCT(分期持仓明细!$B$19:$AA$19,'实盘净值数据(iFinD公式)'!$B70:$AA70/'实盘净值数据(iFinD公式)'!$B$20:$AA$20)*(1-实盘持仓初始配置!$Z$6)^(('实盘净值数据(iFinD公式)'!$A70-'实盘净值数据(iFinD公式)'!$A$7)/365))</x:f>
        <x:v>#NAME?</x:v>
      </x:c>
      <x:c r="I70" s="152" t="e">
        <x:f>IF(OR(H69="",H70=""),"",H70/H69-1)</x:f>
        <x:v>#NAME?</x:v>
      </x:c>
      <x:c r="J70" s="152" t="e">
        <x:f>IF(H70="","",H70/MAX(H$5:H70)-1)</x:f>
        <x:v>#NAME?</x:v>
      </x:c>
      <x:c r="K70" s="146" t="e">
        <x:f>IF(OR('实盘净值数据(iFinD公式)'!$A70="",'实盘净值数据(iFinD公式)'!$B70=""),"",分期持仓明细!$AD$23*SUMPRODUCT(分期持仓明细!$B$23:$AA$23,'实盘净值数据(iFinD公式)'!$B70:$AA70/'实盘净值数据(iFinD公式)'!$B$65:$AA$65)*(1-实盘持仓初始配置!$Z$7)^(('实盘净值数据(iFinD公式)'!$A70-'实盘净值数据(iFinD公式)'!$A$8)/365))</x:f>
        <x:v>#NAME?</x:v>
      </x:c>
      <x:c r="L70" s="152" t="e">
        <x:f>IF(OR(K69="",K70=""),"",K70/K69-1)</x:f>
        <x:v>#NAME?</x:v>
      </x:c>
      <x:c r="M70" s="152" t="e">
        <x:f>IF(K70="","",K70/MAX(K$5:K70)-1)</x:f>
        <x:v>#NAME?</x:v>
      </x:c>
      <x:c r="N70" s="146" t="e">
        <x:f>IF(OR('实盘净值数据(iFinD公式)'!$A70="",'实盘净值数据(iFinD公式)'!$B70=""),"",分期持仓明细!$AD$24*SUMPRODUCT(分期持仓明细!$B$24:$AA$24,'实盘净值数据(iFinD公式)'!$B70:$AA70/'实盘净值数据(iFinD公式)'!$B$65:$AA$65)*(1-实盘持仓初始配置!$Z$8)^(('实盘净值数据(iFinD公式)'!$A70-'实盘净值数据(iFinD公式)'!$A$5)/365))</x:f>
        <x:v>#NAME?</x:v>
      </x:c>
      <x:c r="O70" s="152" t="e">
        <x:f>IF(OR(N69="",N70=""),"",N70/N69-1)</x:f>
        <x:v>#NAME?</x:v>
      </x:c>
      <x:c r="P70" s="152" t="e">
        <x:f>IF(N70="","",N70/MAX(N$5:N70)-1)</x:f>
        <x:v>#NAME?</x:v>
      </x:c>
      <x:c r="Q70" s="146" t="e">
        <x:f>IF(OR('实盘净值数据(iFinD公式)'!$A70="",'实盘净值数据(iFinD公式)'!$B70=""),"",分期持仓明细!$AD$25*SUMPRODUCT(分期持仓明细!$B$25:$AA$25,'实盘净值数据(iFinD公式)'!$B70:$AA70/'实盘净值数据(iFinD公式)'!$B$65:$AA$65)*(1-实盘持仓初始配置!$Z$9)^(('实盘净值数据(iFinD公式)'!$A70-'实盘净值数据(iFinD公式)'!$A$8)/365))</x:f>
        <x:v>#NAME?</x:v>
      </x:c>
      <x:c r="R70" s="152" t="e">
        <x:f>IF(OR(Q69="",Q70=""),"",Q70/Q69-1)</x:f>
        <x:v>#NAME?</x:v>
      </x:c>
      <x:c r="S70" s="152" t="e">
        <x:f>IF(Q70="","",Q70/MAX(Q$5:Q70)-1)</x:f>
        <x:v>#NAME?</x:v>
      </x:c>
    </x:row>
    <x:row r="71">
      <x:c r="A71" s="149" t="str">
        <x:f>IF('实盘净值数据(iFinD公式)'!A71="","",'实盘净值数据(iFinD公式)'!A71)</x:f>
      </x:c>
      <x:c r="B71" s="146" t="e">
        <x:f>IF(OR('实盘净值数据(iFinD公式)'!$A71="",'实盘净值数据(iFinD公式)'!$B71=""),"",分期持仓明细!$AD$17*SUMPRODUCT(分期持仓明细!$B$17:$AA$17,'实盘净值数据(iFinD公式)'!$B71:$AA71/'实盘净值数据(iFinD公式)'!$B$20:$AA$20)*(1-实盘持仓初始配置!$Z$4)^(('实盘净值数据(iFinD公式)'!$A71-'实盘净值数据(iFinD公式)'!$A$6)/365))</x:f>
        <x:v>#NAME?</x:v>
      </x:c>
      <x:c r="C71" s="152" t="e">
        <x:f>IF(OR(B70="",B71=""),"",B71/B70-1)</x:f>
        <x:v>#NAME?</x:v>
      </x:c>
      <x:c r="D71" s="152" t="e">
        <x:f>IF(B71="","",B71/MAX(B$5:B71)-1)</x:f>
        <x:v>#NAME?</x:v>
      </x:c>
      <x:c r="E71" s="146" t="e">
        <x:f>IF(OR('实盘净值数据(iFinD公式)'!$A71="",'实盘净值数据(iFinD公式)'!$B71=""),"",分期持仓明细!$AD$18*SUMPRODUCT(分期持仓明细!$B$18:$AA$18,'实盘净值数据(iFinD公式)'!$B71:$AA71/'实盘净值数据(iFinD公式)'!$B$20:$AA$20)*(1-实盘持仓初始配置!$Z$5)^(('实盘净值数据(iFinD公式)'!$A71-'实盘净值数据(iFinD公式)'!$A$5)/365))</x:f>
        <x:v>#NAME?</x:v>
      </x:c>
      <x:c r="F71" s="152" t="e">
        <x:f>IF(OR(E70="",E71=""),"",E71/E70-1)</x:f>
        <x:v>#NAME?</x:v>
      </x:c>
      <x:c r="G71" s="152" t="e">
        <x:f>IF(E71="","",E71/MAX(E$5:E71)-1)</x:f>
        <x:v>#NAME?</x:v>
      </x:c>
      <x:c r="H71" s="146" t="e">
        <x:f>IF(OR('实盘净值数据(iFinD公式)'!$A71="",'实盘净值数据(iFinD公式)'!$B71=""),"",分期持仓明细!$AD$19*SUMPRODUCT(分期持仓明细!$B$19:$AA$19,'实盘净值数据(iFinD公式)'!$B71:$AA71/'实盘净值数据(iFinD公式)'!$B$20:$AA$20)*(1-实盘持仓初始配置!$Z$6)^(('实盘净值数据(iFinD公式)'!$A71-'实盘净值数据(iFinD公式)'!$A$7)/365))</x:f>
        <x:v>#NAME?</x:v>
      </x:c>
      <x:c r="I71" s="152" t="e">
        <x:f>IF(OR(H70="",H71=""),"",H71/H70-1)</x:f>
        <x:v>#NAME?</x:v>
      </x:c>
      <x:c r="J71" s="152" t="e">
        <x:f>IF(H71="","",H71/MAX(H$5:H71)-1)</x:f>
        <x:v>#NAME?</x:v>
      </x:c>
      <x:c r="K71" s="146" t="e">
        <x:f>IF(OR('实盘净值数据(iFinD公式)'!$A71="",'实盘净值数据(iFinD公式)'!$B71=""),"",分期持仓明细!$AD$23*SUMPRODUCT(分期持仓明细!$B$23:$AA$23,'实盘净值数据(iFinD公式)'!$B71:$AA71/'实盘净值数据(iFinD公式)'!$B$65:$AA$65)*(1-实盘持仓初始配置!$Z$7)^(('实盘净值数据(iFinD公式)'!$A71-'实盘净值数据(iFinD公式)'!$A$8)/365))</x:f>
        <x:v>#NAME?</x:v>
      </x:c>
      <x:c r="L71" s="152" t="e">
        <x:f>IF(OR(K70="",K71=""),"",K71/K70-1)</x:f>
        <x:v>#NAME?</x:v>
      </x:c>
      <x:c r="M71" s="152" t="e">
        <x:f>IF(K71="","",K71/MAX(K$5:K71)-1)</x:f>
        <x:v>#NAME?</x:v>
      </x:c>
      <x:c r="N71" s="146" t="e">
        <x:f>IF(OR('实盘净值数据(iFinD公式)'!$A71="",'实盘净值数据(iFinD公式)'!$B71=""),"",分期持仓明细!$AD$24*SUMPRODUCT(分期持仓明细!$B$24:$AA$24,'实盘净值数据(iFinD公式)'!$B71:$AA71/'实盘净值数据(iFinD公式)'!$B$65:$AA$65)*(1-实盘持仓初始配置!$Z$8)^(('实盘净值数据(iFinD公式)'!$A71-'实盘净值数据(iFinD公式)'!$A$5)/365))</x:f>
        <x:v>#NAME?</x:v>
      </x:c>
      <x:c r="O71" s="152" t="e">
        <x:f>IF(OR(N70="",N71=""),"",N71/N70-1)</x:f>
        <x:v>#NAME?</x:v>
      </x:c>
      <x:c r="P71" s="152" t="e">
        <x:f>IF(N71="","",N71/MAX(N$5:N71)-1)</x:f>
        <x:v>#NAME?</x:v>
      </x:c>
      <x:c r="Q71" s="146" t="e">
        <x:f>IF(OR('实盘净值数据(iFinD公式)'!$A71="",'实盘净值数据(iFinD公式)'!$B71=""),"",分期持仓明细!$AD$25*SUMPRODUCT(分期持仓明细!$B$25:$AA$25,'实盘净值数据(iFinD公式)'!$B71:$AA71/'实盘净值数据(iFinD公式)'!$B$65:$AA$65)*(1-实盘持仓初始配置!$Z$9)^(('实盘净值数据(iFinD公式)'!$A71-'实盘净值数据(iFinD公式)'!$A$8)/365))</x:f>
        <x:v>#NAME?</x:v>
      </x:c>
      <x:c r="R71" s="152" t="e">
        <x:f>IF(OR(Q70="",Q71=""),"",Q71/Q70-1)</x:f>
        <x:v>#NAME?</x:v>
      </x:c>
      <x:c r="S71" s="152" t="e">
        <x:f>IF(Q71="","",Q71/MAX(Q$5:Q71)-1)</x:f>
        <x:v>#NAME?</x:v>
      </x:c>
    </x:row>
    <x:row r="72">
      <x:c r="A72" s="149" t="str">
        <x:f>IF('实盘净值数据(iFinD公式)'!A72="","",'实盘净值数据(iFinD公式)'!A72)</x:f>
      </x:c>
      <x:c r="B72" s="146" t="e">
        <x:f>IF(OR('实盘净值数据(iFinD公式)'!$A72="",'实盘净值数据(iFinD公式)'!$B72=""),"",分期持仓明细!$AD$17*SUMPRODUCT(分期持仓明细!$B$17:$AA$17,'实盘净值数据(iFinD公式)'!$B72:$AA72/'实盘净值数据(iFinD公式)'!$B$20:$AA$20)*(1-实盘持仓初始配置!$Z$4)^(('实盘净值数据(iFinD公式)'!$A72-'实盘净值数据(iFinD公式)'!$A$6)/365))</x:f>
        <x:v>#NAME?</x:v>
      </x:c>
      <x:c r="C72" s="152" t="e">
        <x:f>IF(OR(B71="",B72=""),"",B72/B71-1)</x:f>
        <x:v>#NAME?</x:v>
      </x:c>
      <x:c r="D72" s="152" t="e">
        <x:f>IF(B72="","",B72/MAX(B$5:B72)-1)</x:f>
        <x:v>#NAME?</x:v>
      </x:c>
      <x:c r="E72" s="146" t="e">
        <x:f>IF(OR('实盘净值数据(iFinD公式)'!$A72="",'实盘净值数据(iFinD公式)'!$B72=""),"",分期持仓明细!$AD$18*SUMPRODUCT(分期持仓明细!$B$18:$AA$18,'实盘净值数据(iFinD公式)'!$B72:$AA72/'实盘净值数据(iFinD公式)'!$B$20:$AA$20)*(1-实盘持仓初始配置!$Z$5)^(('实盘净值数据(iFinD公式)'!$A72-'实盘净值数据(iFinD公式)'!$A$5)/365))</x:f>
        <x:v>#NAME?</x:v>
      </x:c>
      <x:c r="F72" s="152" t="e">
        <x:f>IF(OR(E71="",E72=""),"",E72/E71-1)</x:f>
        <x:v>#NAME?</x:v>
      </x:c>
      <x:c r="G72" s="152" t="e">
        <x:f>IF(E72="","",E72/MAX(E$5:E72)-1)</x:f>
        <x:v>#NAME?</x:v>
      </x:c>
      <x:c r="H72" s="146" t="e">
        <x:f>IF(OR('实盘净值数据(iFinD公式)'!$A72="",'实盘净值数据(iFinD公式)'!$B72=""),"",分期持仓明细!$AD$19*SUMPRODUCT(分期持仓明细!$B$19:$AA$19,'实盘净值数据(iFinD公式)'!$B72:$AA72/'实盘净值数据(iFinD公式)'!$B$20:$AA$20)*(1-实盘持仓初始配置!$Z$6)^(('实盘净值数据(iFinD公式)'!$A72-'实盘净值数据(iFinD公式)'!$A$7)/365))</x:f>
        <x:v>#NAME?</x:v>
      </x:c>
      <x:c r="I72" s="152" t="e">
        <x:f>IF(OR(H71="",H72=""),"",H72/H71-1)</x:f>
        <x:v>#NAME?</x:v>
      </x:c>
      <x:c r="J72" s="152" t="e">
        <x:f>IF(H72="","",H72/MAX(H$5:H72)-1)</x:f>
        <x:v>#NAME?</x:v>
      </x:c>
      <x:c r="K72" s="146" t="e">
        <x:f>IF(OR('实盘净值数据(iFinD公式)'!$A72="",'实盘净值数据(iFinD公式)'!$B72=""),"",分期持仓明细!$AD$23*SUMPRODUCT(分期持仓明细!$B$23:$AA$23,'实盘净值数据(iFinD公式)'!$B72:$AA72/'实盘净值数据(iFinD公式)'!$B$65:$AA$65)*(1-实盘持仓初始配置!$Z$7)^(('实盘净值数据(iFinD公式)'!$A72-'实盘净值数据(iFinD公式)'!$A$8)/365))</x:f>
        <x:v>#NAME?</x:v>
      </x:c>
      <x:c r="L72" s="152" t="e">
        <x:f>IF(OR(K71="",K72=""),"",K72/K71-1)</x:f>
        <x:v>#NAME?</x:v>
      </x:c>
      <x:c r="M72" s="152" t="e">
        <x:f>IF(K72="","",K72/MAX(K$5:K72)-1)</x:f>
        <x:v>#NAME?</x:v>
      </x:c>
      <x:c r="N72" s="146" t="e">
        <x:f>IF(OR('实盘净值数据(iFinD公式)'!$A72="",'实盘净值数据(iFinD公式)'!$B72=""),"",分期持仓明细!$AD$24*SUMPRODUCT(分期持仓明细!$B$24:$AA$24,'实盘净值数据(iFinD公式)'!$B72:$AA72/'实盘净值数据(iFinD公式)'!$B$65:$AA$65)*(1-实盘持仓初始配置!$Z$8)^(('实盘净值数据(iFinD公式)'!$A72-'实盘净值数据(iFinD公式)'!$A$5)/365))</x:f>
        <x:v>#NAME?</x:v>
      </x:c>
      <x:c r="O72" s="152" t="e">
        <x:f>IF(OR(N71="",N72=""),"",N72/N71-1)</x:f>
        <x:v>#NAME?</x:v>
      </x:c>
      <x:c r="P72" s="152" t="e">
        <x:f>IF(N72="","",N72/MAX(N$5:N72)-1)</x:f>
        <x:v>#NAME?</x:v>
      </x:c>
      <x:c r="Q72" s="146" t="e">
        <x:f>IF(OR('实盘净值数据(iFinD公式)'!$A72="",'实盘净值数据(iFinD公式)'!$B72=""),"",分期持仓明细!$AD$25*SUMPRODUCT(分期持仓明细!$B$25:$AA$25,'实盘净值数据(iFinD公式)'!$B72:$AA72/'实盘净值数据(iFinD公式)'!$B$65:$AA$65)*(1-实盘持仓初始配置!$Z$9)^(('实盘净值数据(iFinD公式)'!$A72-'实盘净值数据(iFinD公式)'!$A$8)/365))</x:f>
        <x:v>#NAME?</x:v>
      </x:c>
      <x:c r="R72" s="152" t="e">
        <x:f>IF(OR(Q71="",Q72=""),"",Q72/Q71-1)</x:f>
        <x:v>#NAME?</x:v>
      </x:c>
      <x:c r="S72" s="152" t="e">
        <x:f>IF(Q72="","",Q72/MAX(Q$5:Q72)-1)</x:f>
        <x:v>#NAME?</x:v>
      </x:c>
    </x:row>
    <x:row r="73">
      <x:c r="A73" s="149" t="str">
        <x:f>IF('实盘净值数据(iFinD公式)'!A73="","",'实盘净值数据(iFinD公式)'!A73)</x:f>
      </x:c>
      <x:c r="B73" s="146" t="e">
        <x:f>IF(OR('实盘净值数据(iFinD公式)'!$A73="",'实盘净值数据(iFinD公式)'!$B73=""),"",分期持仓明细!$AD$17*SUMPRODUCT(分期持仓明细!$B$17:$AA$17,'实盘净值数据(iFinD公式)'!$B73:$AA73/'实盘净值数据(iFinD公式)'!$B$20:$AA$20)*(1-实盘持仓初始配置!$Z$4)^(('实盘净值数据(iFinD公式)'!$A73-'实盘净值数据(iFinD公式)'!$A$6)/365))</x:f>
        <x:v>#NAME?</x:v>
      </x:c>
      <x:c r="C73" s="152" t="e">
        <x:f>IF(OR(B72="",B73=""),"",B73/B72-1)</x:f>
        <x:v>#NAME?</x:v>
      </x:c>
      <x:c r="D73" s="152" t="e">
        <x:f>IF(B73="","",B73/MAX(B$5:B73)-1)</x:f>
        <x:v>#NAME?</x:v>
      </x:c>
      <x:c r="E73" s="146" t="e">
        <x:f>IF(OR('实盘净值数据(iFinD公式)'!$A73="",'实盘净值数据(iFinD公式)'!$B73=""),"",分期持仓明细!$AD$18*SUMPRODUCT(分期持仓明细!$B$18:$AA$18,'实盘净值数据(iFinD公式)'!$B73:$AA73/'实盘净值数据(iFinD公式)'!$B$20:$AA$20)*(1-实盘持仓初始配置!$Z$5)^(('实盘净值数据(iFinD公式)'!$A73-'实盘净值数据(iFinD公式)'!$A$5)/365))</x:f>
        <x:v>#NAME?</x:v>
      </x:c>
      <x:c r="F73" s="152" t="e">
        <x:f>IF(OR(E72="",E73=""),"",E73/E72-1)</x:f>
        <x:v>#NAME?</x:v>
      </x:c>
      <x:c r="G73" s="152" t="e">
        <x:f>IF(E73="","",E73/MAX(E$5:E73)-1)</x:f>
        <x:v>#NAME?</x:v>
      </x:c>
      <x:c r="H73" s="146" t="e">
        <x:f>IF(OR('实盘净值数据(iFinD公式)'!$A73="",'实盘净值数据(iFinD公式)'!$B73=""),"",分期持仓明细!$AD$19*SUMPRODUCT(分期持仓明细!$B$19:$AA$19,'实盘净值数据(iFinD公式)'!$B73:$AA73/'实盘净值数据(iFinD公式)'!$B$20:$AA$20)*(1-实盘持仓初始配置!$Z$6)^(('实盘净值数据(iFinD公式)'!$A73-'实盘净值数据(iFinD公式)'!$A$7)/365))</x:f>
        <x:v>#NAME?</x:v>
      </x:c>
      <x:c r="I73" s="152" t="e">
        <x:f>IF(OR(H72="",H73=""),"",H73/H72-1)</x:f>
        <x:v>#NAME?</x:v>
      </x:c>
      <x:c r="J73" s="152" t="e">
        <x:f>IF(H73="","",H73/MAX(H$5:H73)-1)</x:f>
        <x:v>#NAME?</x:v>
      </x:c>
      <x:c r="K73" s="146" t="e">
        <x:f>IF(OR('实盘净值数据(iFinD公式)'!$A73="",'实盘净值数据(iFinD公式)'!$B73=""),"",分期持仓明细!$AD$23*SUMPRODUCT(分期持仓明细!$B$23:$AA$23,'实盘净值数据(iFinD公式)'!$B73:$AA73/'实盘净值数据(iFinD公式)'!$B$65:$AA$65)*(1-实盘持仓初始配置!$Z$7)^(('实盘净值数据(iFinD公式)'!$A73-'实盘净值数据(iFinD公式)'!$A$8)/365))</x:f>
        <x:v>#NAME?</x:v>
      </x:c>
      <x:c r="L73" s="152" t="e">
        <x:f>IF(OR(K72="",K73=""),"",K73/K72-1)</x:f>
        <x:v>#NAME?</x:v>
      </x:c>
      <x:c r="M73" s="152" t="e">
        <x:f>IF(K73="","",K73/MAX(K$5:K73)-1)</x:f>
        <x:v>#NAME?</x:v>
      </x:c>
      <x:c r="N73" s="146" t="e">
        <x:f>IF(OR('实盘净值数据(iFinD公式)'!$A73="",'实盘净值数据(iFinD公式)'!$B73=""),"",分期持仓明细!$AD$24*SUMPRODUCT(分期持仓明细!$B$24:$AA$24,'实盘净值数据(iFinD公式)'!$B73:$AA73/'实盘净值数据(iFinD公式)'!$B$65:$AA$65)*(1-实盘持仓初始配置!$Z$8)^(('实盘净值数据(iFinD公式)'!$A73-'实盘净值数据(iFinD公式)'!$A$5)/365))</x:f>
        <x:v>#NAME?</x:v>
      </x:c>
      <x:c r="O73" s="152" t="e">
        <x:f>IF(OR(N72="",N73=""),"",N73/N72-1)</x:f>
        <x:v>#NAME?</x:v>
      </x:c>
      <x:c r="P73" s="152" t="e">
        <x:f>IF(N73="","",N73/MAX(N$5:N73)-1)</x:f>
        <x:v>#NAME?</x:v>
      </x:c>
      <x:c r="Q73" s="146" t="e">
        <x:f>IF(OR('实盘净值数据(iFinD公式)'!$A73="",'实盘净值数据(iFinD公式)'!$B73=""),"",分期持仓明细!$AD$25*SUMPRODUCT(分期持仓明细!$B$25:$AA$25,'实盘净值数据(iFinD公式)'!$B73:$AA73/'实盘净值数据(iFinD公式)'!$B$65:$AA$65)*(1-实盘持仓初始配置!$Z$9)^(('实盘净值数据(iFinD公式)'!$A73-'实盘净值数据(iFinD公式)'!$A$8)/365))</x:f>
        <x:v>#NAME?</x:v>
      </x:c>
      <x:c r="R73" s="152" t="e">
        <x:f>IF(OR(Q72="",Q73=""),"",Q73/Q72-1)</x:f>
        <x:v>#NAME?</x:v>
      </x:c>
      <x:c r="S73" s="152" t="e">
        <x:f>IF(Q73="","",Q73/MAX(Q$5:Q73)-1)</x:f>
        <x:v>#NAME?</x:v>
      </x:c>
    </x:row>
    <x:row r="74">
      <x:c r="A74" s="149" t="str">
        <x:f>IF('实盘净值数据(iFinD公式)'!A74="","",'实盘净值数据(iFinD公式)'!A74)</x:f>
      </x:c>
      <x:c r="B74" s="146" t="e">
        <x:f>IF(OR('实盘净值数据(iFinD公式)'!$A74="",'实盘净值数据(iFinD公式)'!$B74=""),"",分期持仓明细!$AD$17*SUMPRODUCT(分期持仓明细!$B$17:$AA$17,'实盘净值数据(iFinD公式)'!$B74:$AA74/'实盘净值数据(iFinD公式)'!$B$20:$AA$20)*(1-实盘持仓初始配置!$Z$4)^(('实盘净值数据(iFinD公式)'!$A74-'实盘净值数据(iFinD公式)'!$A$6)/365))</x:f>
        <x:v>#NAME?</x:v>
      </x:c>
      <x:c r="C74" s="152" t="e">
        <x:f>IF(OR(B73="",B74=""),"",B74/B73-1)</x:f>
        <x:v>#NAME?</x:v>
      </x:c>
      <x:c r="D74" s="152" t="e">
        <x:f>IF(B74="","",B74/MAX(B$5:B74)-1)</x:f>
        <x:v>#NAME?</x:v>
      </x:c>
      <x:c r="E74" s="146" t="e">
        <x:f>IF(OR('实盘净值数据(iFinD公式)'!$A74="",'实盘净值数据(iFinD公式)'!$B74=""),"",分期持仓明细!$AD$18*SUMPRODUCT(分期持仓明细!$B$18:$AA$18,'实盘净值数据(iFinD公式)'!$B74:$AA74/'实盘净值数据(iFinD公式)'!$B$20:$AA$20)*(1-实盘持仓初始配置!$Z$5)^(('实盘净值数据(iFinD公式)'!$A74-'实盘净值数据(iFinD公式)'!$A$5)/365))</x:f>
        <x:v>#NAME?</x:v>
      </x:c>
      <x:c r="F74" s="152" t="e">
        <x:f>IF(OR(E73="",E74=""),"",E74/E73-1)</x:f>
        <x:v>#NAME?</x:v>
      </x:c>
      <x:c r="G74" s="152" t="e">
        <x:f>IF(E74="","",E74/MAX(E$5:E74)-1)</x:f>
        <x:v>#NAME?</x:v>
      </x:c>
      <x:c r="H74" s="146" t="e">
        <x:f>IF(OR('实盘净值数据(iFinD公式)'!$A74="",'实盘净值数据(iFinD公式)'!$B74=""),"",分期持仓明细!$AD$19*SUMPRODUCT(分期持仓明细!$B$19:$AA$19,'实盘净值数据(iFinD公式)'!$B74:$AA74/'实盘净值数据(iFinD公式)'!$B$20:$AA$20)*(1-实盘持仓初始配置!$Z$6)^(('实盘净值数据(iFinD公式)'!$A74-'实盘净值数据(iFinD公式)'!$A$7)/365))</x:f>
        <x:v>#NAME?</x:v>
      </x:c>
      <x:c r="I74" s="152" t="e">
        <x:f>IF(OR(H73="",H74=""),"",H74/H73-1)</x:f>
        <x:v>#NAME?</x:v>
      </x:c>
      <x:c r="J74" s="152" t="e">
        <x:f>IF(H74="","",H74/MAX(H$5:H74)-1)</x:f>
        <x:v>#NAME?</x:v>
      </x:c>
      <x:c r="K74" s="146" t="e">
        <x:f>IF(OR('实盘净值数据(iFinD公式)'!$A74="",'实盘净值数据(iFinD公式)'!$B74=""),"",分期持仓明细!$AD$23*SUMPRODUCT(分期持仓明细!$B$23:$AA$23,'实盘净值数据(iFinD公式)'!$B74:$AA74/'实盘净值数据(iFinD公式)'!$B$65:$AA$65)*(1-实盘持仓初始配置!$Z$7)^(('实盘净值数据(iFinD公式)'!$A74-'实盘净值数据(iFinD公式)'!$A$8)/365))</x:f>
        <x:v>#NAME?</x:v>
      </x:c>
      <x:c r="L74" s="152" t="e">
        <x:f>IF(OR(K73="",K74=""),"",K74/K73-1)</x:f>
        <x:v>#NAME?</x:v>
      </x:c>
      <x:c r="M74" s="152" t="e">
        <x:f>IF(K74="","",K74/MAX(K$5:K74)-1)</x:f>
        <x:v>#NAME?</x:v>
      </x:c>
      <x:c r="N74" s="146" t="e">
        <x:f>IF(OR('实盘净值数据(iFinD公式)'!$A74="",'实盘净值数据(iFinD公式)'!$B74=""),"",分期持仓明细!$AD$24*SUMPRODUCT(分期持仓明细!$B$24:$AA$24,'实盘净值数据(iFinD公式)'!$B74:$AA74/'实盘净值数据(iFinD公式)'!$B$65:$AA$65)*(1-实盘持仓初始配置!$Z$8)^(('实盘净值数据(iFinD公式)'!$A74-'实盘净值数据(iFinD公式)'!$A$5)/365))</x:f>
        <x:v>#NAME?</x:v>
      </x:c>
      <x:c r="O74" s="152" t="e">
        <x:f>IF(OR(N73="",N74=""),"",N74/N73-1)</x:f>
        <x:v>#NAME?</x:v>
      </x:c>
      <x:c r="P74" s="152" t="e">
        <x:f>IF(N74="","",N74/MAX(N$5:N74)-1)</x:f>
        <x:v>#NAME?</x:v>
      </x:c>
      <x:c r="Q74" s="146" t="e">
        <x:f>IF(OR('实盘净值数据(iFinD公式)'!$A74="",'实盘净值数据(iFinD公式)'!$B74=""),"",分期持仓明细!$AD$25*SUMPRODUCT(分期持仓明细!$B$25:$AA$25,'实盘净值数据(iFinD公式)'!$B74:$AA74/'实盘净值数据(iFinD公式)'!$B$65:$AA$65)*(1-实盘持仓初始配置!$Z$9)^(('实盘净值数据(iFinD公式)'!$A74-'实盘净值数据(iFinD公式)'!$A$8)/365))</x:f>
        <x:v>#NAME?</x:v>
      </x:c>
      <x:c r="R74" s="152" t="e">
        <x:f>IF(OR(Q73="",Q74=""),"",Q74/Q73-1)</x:f>
        <x:v>#NAME?</x:v>
      </x:c>
      <x:c r="S74" s="152" t="e">
        <x:f>IF(Q74="","",Q74/MAX(Q$5:Q74)-1)</x:f>
        <x:v>#NAME?</x:v>
      </x:c>
    </x:row>
    <x:row r="75">
      <x:c r="A75" s="149" t="str">
        <x:f>IF('实盘净值数据(iFinD公式)'!A75="","",'实盘净值数据(iFinD公式)'!A75)</x:f>
      </x:c>
      <x:c r="B75" s="146" t="e">
        <x:f>IF(OR('实盘净值数据(iFinD公式)'!$A75="",'实盘净值数据(iFinD公式)'!$B75=""),"",分期持仓明细!$AD$17*SUMPRODUCT(分期持仓明细!$B$17:$AA$17,'实盘净值数据(iFinD公式)'!$B75:$AA75/'实盘净值数据(iFinD公式)'!$B$20:$AA$20)*(1-实盘持仓初始配置!$Z$4)^(('实盘净值数据(iFinD公式)'!$A75-'实盘净值数据(iFinD公式)'!$A$6)/365))</x:f>
        <x:v>#NAME?</x:v>
      </x:c>
      <x:c r="C75" s="152" t="e">
        <x:f>IF(OR(B74="",B75=""),"",B75/B74-1)</x:f>
        <x:v>#NAME?</x:v>
      </x:c>
      <x:c r="D75" s="152" t="e">
        <x:f>IF(B75="","",B75/MAX(B$5:B75)-1)</x:f>
        <x:v>#NAME?</x:v>
      </x:c>
      <x:c r="E75" s="146" t="e">
        <x:f>IF(OR('实盘净值数据(iFinD公式)'!$A75="",'实盘净值数据(iFinD公式)'!$B75=""),"",分期持仓明细!$AD$18*SUMPRODUCT(分期持仓明细!$B$18:$AA$18,'实盘净值数据(iFinD公式)'!$B75:$AA75/'实盘净值数据(iFinD公式)'!$B$20:$AA$20)*(1-实盘持仓初始配置!$Z$5)^(('实盘净值数据(iFinD公式)'!$A75-'实盘净值数据(iFinD公式)'!$A$5)/365))</x:f>
        <x:v>#NAME?</x:v>
      </x:c>
      <x:c r="F75" s="152" t="e">
        <x:f>IF(OR(E74="",E75=""),"",E75/E74-1)</x:f>
        <x:v>#NAME?</x:v>
      </x:c>
      <x:c r="G75" s="152" t="e">
        <x:f>IF(E75="","",E75/MAX(E$5:E75)-1)</x:f>
        <x:v>#NAME?</x:v>
      </x:c>
      <x:c r="H75" s="146" t="e">
        <x:f>IF(OR('实盘净值数据(iFinD公式)'!$A75="",'实盘净值数据(iFinD公式)'!$B75=""),"",分期持仓明细!$AD$19*SUMPRODUCT(分期持仓明细!$B$19:$AA$19,'实盘净值数据(iFinD公式)'!$B75:$AA75/'实盘净值数据(iFinD公式)'!$B$20:$AA$20)*(1-实盘持仓初始配置!$Z$6)^(('实盘净值数据(iFinD公式)'!$A75-'实盘净值数据(iFinD公式)'!$A$7)/365))</x:f>
        <x:v>#NAME?</x:v>
      </x:c>
      <x:c r="I75" s="152" t="e">
        <x:f>IF(OR(H74="",H75=""),"",H75/H74-1)</x:f>
        <x:v>#NAME?</x:v>
      </x:c>
      <x:c r="J75" s="152" t="e">
        <x:f>IF(H75="","",H75/MAX(H$5:H75)-1)</x:f>
        <x:v>#NAME?</x:v>
      </x:c>
      <x:c r="K75" s="146" t="e">
        <x:f>IF(OR('实盘净值数据(iFinD公式)'!$A75="",'实盘净值数据(iFinD公式)'!$B75=""),"",分期持仓明细!$AD$23*SUMPRODUCT(分期持仓明细!$B$23:$AA$23,'实盘净值数据(iFinD公式)'!$B75:$AA75/'实盘净值数据(iFinD公式)'!$B$65:$AA$65)*(1-实盘持仓初始配置!$Z$7)^(('实盘净值数据(iFinD公式)'!$A75-'实盘净值数据(iFinD公式)'!$A$8)/365))</x:f>
        <x:v>#NAME?</x:v>
      </x:c>
      <x:c r="L75" s="152" t="e">
        <x:f>IF(OR(K74="",K75=""),"",K75/K74-1)</x:f>
        <x:v>#NAME?</x:v>
      </x:c>
      <x:c r="M75" s="152" t="e">
        <x:f>IF(K75="","",K75/MAX(K$5:K75)-1)</x:f>
        <x:v>#NAME?</x:v>
      </x:c>
      <x:c r="N75" s="146" t="e">
        <x:f>IF(OR('实盘净值数据(iFinD公式)'!$A75="",'实盘净值数据(iFinD公式)'!$B75=""),"",分期持仓明细!$AD$24*SUMPRODUCT(分期持仓明细!$B$24:$AA$24,'实盘净值数据(iFinD公式)'!$B75:$AA75/'实盘净值数据(iFinD公式)'!$B$65:$AA$65)*(1-实盘持仓初始配置!$Z$8)^(('实盘净值数据(iFinD公式)'!$A75-'实盘净值数据(iFinD公式)'!$A$5)/365))</x:f>
        <x:v>#NAME?</x:v>
      </x:c>
      <x:c r="O75" s="152" t="e">
        <x:f>IF(OR(N74="",N75=""),"",N75/N74-1)</x:f>
        <x:v>#NAME?</x:v>
      </x:c>
      <x:c r="P75" s="152" t="e">
        <x:f>IF(N75="","",N75/MAX(N$5:N75)-1)</x:f>
        <x:v>#NAME?</x:v>
      </x:c>
      <x:c r="Q75" s="146" t="e">
        <x:f>IF(OR('实盘净值数据(iFinD公式)'!$A75="",'实盘净值数据(iFinD公式)'!$B75=""),"",分期持仓明细!$AD$25*SUMPRODUCT(分期持仓明细!$B$25:$AA$25,'实盘净值数据(iFinD公式)'!$B75:$AA75/'实盘净值数据(iFinD公式)'!$B$65:$AA$65)*(1-实盘持仓初始配置!$Z$9)^(('实盘净值数据(iFinD公式)'!$A75-'实盘净值数据(iFinD公式)'!$A$8)/365))</x:f>
        <x:v>#NAME?</x:v>
      </x:c>
      <x:c r="R75" s="152" t="e">
        <x:f>IF(OR(Q74="",Q75=""),"",Q75/Q74-1)</x:f>
        <x:v>#NAME?</x:v>
      </x:c>
      <x:c r="S75" s="152" t="e">
        <x:f>IF(Q75="","",Q75/MAX(Q$5:Q75)-1)</x:f>
        <x:v>#NAME?</x:v>
      </x:c>
    </x:row>
    <x:row r="76">
      <x:c r="A76" s="149" t="str">
        <x:f>IF('实盘净值数据(iFinD公式)'!A76="","",'实盘净值数据(iFinD公式)'!A76)</x:f>
      </x:c>
      <x:c r="B76" s="146" t="e">
        <x:f>IF(OR('实盘净值数据(iFinD公式)'!$A76="",'实盘净值数据(iFinD公式)'!$B76=""),"",分期持仓明细!$AD$17*SUMPRODUCT(分期持仓明细!$B$17:$AA$17,'实盘净值数据(iFinD公式)'!$B76:$AA76/'实盘净值数据(iFinD公式)'!$B$20:$AA$20)*(1-实盘持仓初始配置!$Z$4)^(('实盘净值数据(iFinD公式)'!$A76-'实盘净值数据(iFinD公式)'!$A$6)/365))</x:f>
        <x:v>#NAME?</x:v>
      </x:c>
      <x:c r="C76" s="152" t="e">
        <x:f>IF(OR(B75="",B76=""),"",B76/B75-1)</x:f>
        <x:v>#NAME?</x:v>
      </x:c>
      <x:c r="D76" s="152" t="e">
        <x:f>IF(B76="","",B76/MAX(B$5:B76)-1)</x:f>
        <x:v>#NAME?</x:v>
      </x:c>
      <x:c r="E76" s="146" t="e">
        <x:f>IF(OR('实盘净值数据(iFinD公式)'!$A76="",'实盘净值数据(iFinD公式)'!$B76=""),"",分期持仓明细!$AD$18*SUMPRODUCT(分期持仓明细!$B$18:$AA$18,'实盘净值数据(iFinD公式)'!$B76:$AA76/'实盘净值数据(iFinD公式)'!$B$20:$AA$20)*(1-实盘持仓初始配置!$Z$5)^(('实盘净值数据(iFinD公式)'!$A76-'实盘净值数据(iFinD公式)'!$A$5)/365))</x:f>
        <x:v>#NAME?</x:v>
      </x:c>
      <x:c r="F76" s="152" t="e">
        <x:f>IF(OR(E75="",E76=""),"",E76/E75-1)</x:f>
        <x:v>#NAME?</x:v>
      </x:c>
      <x:c r="G76" s="152" t="e">
        <x:f>IF(E76="","",E76/MAX(E$5:E76)-1)</x:f>
        <x:v>#NAME?</x:v>
      </x:c>
      <x:c r="H76" s="146" t="e">
        <x:f>IF(OR('实盘净值数据(iFinD公式)'!$A76="",'实盘净值数据(iFinD公式)'!$B76=""),"",分期持仓明细!$AD$19*SUMPRODUCT(分期持仓明细!$B$19:$AA$19,'实盘净值数据(iFinD公式)'!$B76:$AA76/'实盘净值数据(iFinD公式)'!$B$20:$AA$20)*(1-实盘持仓初始配置!$Z$6)^(('实盘净值数据(iFinD公式)'!$A76-'实盘净值数据(iFinD公式)'!$A$7)/365))</x:f>
        <x:v>#NAME?</x:v>
      </x:c>
      <x:c r="I76" s="152" t="e">
        <x:f>IF(OR(H75="",H76=""),"",H76/H75-1)</x:f>
        <x:v>#NAME?</x:v>
      </x:c>
      <x:c r="J76" s="152" t="e">
        <x:f>IF(H76="","",H76/MAX(H$5:H76)-1)</x:f>
        <x:v>#NAME?</x:v>
      </x:c>
      <x:c r="K76" s="146" t="e">
        <x:f>IF(OR('实盘净值数据(iFinD公式)'!$A76="",'实盘净值数据(iFinD公式)'!$B76=""),"",分期持仓明细!$AD$23*SUMPRODUCT(分期持仓明细!$B$23:$AA$23,'实盘净值数据(iFinD公式)'!$B76:$AA76/'实盘净值数据(iFinD公式)'!$B$65:$AA$65)*(1-实盘持仓初始配置!$Z$7)^(('实盘净值数据(iFinD公式)'!$A76-'实盘净值数据(iFinD公式)'!$A$8)/365))</x:f>
        <x:v>#NAME?</x:v>
      </x:c>
      <x:c r="L76" s="152" t="e">
        <x:f>IF(OR(K75="",K76=""),"",K76/K75-1)</x:f>
        <x:v>#NAME?</x:v>
      </x:c>
      <x:c r="M76" s="152" t="e">
        <x:f>IF(K76="","",K76/MAX(K$5:K76)-1)</x:f>
        <x:v>#NAME?</x:v>
      </x:c>
      <x:c r="N76" s="146" t="e">
        <x:f>IF(OR('实盘净值数据(iFinD公式)'!$A76="",'实盘净值数据(iFinD公式)'!$B76=""),"",分期持仓明细!$AD$24*SUMPRODUCT(分期持仓明细!$B$24:$AA$24,'实盘净值数据(iFinD公式)'!$B76:$AA76/'实盘净值数据(iFinD公式)'!$B$65:$AA$65)*(1-实盘持仓初始配置!$Z$8)^(('实盘净值数据(iFinD公式)'!$A76-'实盘净值数据(iFinD公式)'!$A$5)/365))</x:f>
        <x:v>#NAME?</x:v>
      </x:c>
      <x:c r="O76" s="152" t="e">
        <x:f>IF(OR(N75="",N76=""),"",N76/N75-1)</x:f>
        <x:v>#NAME?</x:v>
      </x:c>
      <x:c r="P76" s="152" t="e">
        <x:f>IF(N76="","",N76/MAX(N$5:N76)-1)</x:f>
        <x:v>#NAME?</x:v>
      </x:c>
      <x:c r="Q76" s="146" t="e">
        <x:f>IF(OR('实盘净值数据(iFinD公式)'!$A76="",'实盘净值数据(iFinD公式)'!$B76=""),"",分期持仓明细!$AD$25*SUMPRODUCT(分期持仓明细!$B$25:$AA$25,'实盘净值数据(iFinD公式)'!$B76:$AA76/'实盘净值数据(iFinD公式)'!$B$65:$AA$65)*(1-实盘持仓初始配置!$Z$9)^(('实盘净值数据(iFinD公式)'!$A76-'实盘净值数据(iFinD公式)'!$A$8)/365))</x:f>
        <x:v>#NAME?</x:v>
      </x:c>
      <x:c r="R76" s="152" t="e">
        <x:f>IF(OR(Q75="",Q76=""),"",Q76/Q75-1)</x:f>
        <x:v>#NAME?</x:v>
      </x:c>
      <x:c r="S76" s="152" t="e">
        <x:f>IF(Q76="","",Q76/MAX(Q$5:Q76)-1)</x:f>
        <x:v>#NAME?</x:v>
      </x:c>
    </x:row>
    <x:row r="77">
      <x:c r="A77" s="149" t="str">
        <x:f>IF('实盘净值数据(iFinD公式)'!A77="","",'实盘净值数据(iFinD公式)'!A77)</x:f>
      </x:c>
      <x:c r="B77" s="146" t="e">
        <x:f>IF(OR('实盘净值数据(iFinD公式)'!$A77="",'实盘净值数据(iFinD公式)'!$B77=""),"",分期持仓明细!$AD$17*SUMPRODUCT(分期持仓明细!$B$17:$AA$17,'实盘净值数据(iFinD公式)'!$B77:$AA77/'实盘净值数据(iFinD公式)'!$B$20:$AA$20)*(1-实盘持仓初始配置!$Z$4)^(('实盘净值数据(iFinD公式)'!$A77-'实盘净值数据(iFinD公式)'!$A$6)/365))</x:f>
        <x:v>#NAME?</x:v>
      </x:c>
      <x:c r="C77" s="152" t="e">
        <x:f>IF(OR(B76="",B77=""),"",B77/B76-1)</x:f>
        <x:v>#NAME?</x:v>
      </x:c>
      <x:c r="D77" s="152" t="e">
        <x:f>IF(B77="","",B77/MAX(B$5:B77)-1)</x:f>
        <x:v>#NAME?</x:v>
      </x:c>
      <x:c r="E77" s="146" t="e">
        <x:f>IF(OR('实盘净值数据(iFinD公式)'!$A77="",'实盘净值数据(iFinD公式)'!$B77=""),"",分期持仓明细!$AD$18*SUMPRODUCT(分期持仓明细!$B$18:$AA$18,'实盘净值数据(iFinD公式)'!$B77:$AA77/'实盘净值数据(iFinD公式)'!$B$20:$AA$20)*(1-实盘持仓初始配置!$Z$5)^(('实盘净值数据(iFinD公式)'!$A77-'实盘净值数据(iFinD公式)'!$A$5)/365))</x:f>
        <x:v>#NAME?</x:v>
      </x:c>
      <x:c r="F77" s="152" t="e">
        <x:f>IF(OR(E76="",E77=""),"",E77/E76-1)</x:f>
        <x:v>#NAME?</x:v>
      </x:c>
      <x:c r="G77" s="152" t="e">
        <x:f>IF(E77="","",E77/MAX(E$5:E77)-1)</x:f>
        <x:v>#NAME?</x:v>
      </x:c>
      <x:c r="H77" s="146" t="e">
        <x:f>IF(OR('实盘净值数据(iFinD公式)'!$A77="",'实盘净值数据(iFinD公式)'!$B77=""),"",分期持仓明细!$AD$19*SUMPRODUCT(分期持仓明细!$B$19:$AA$19,'实盘净值数据(iFinD公式)'!$B77:$AA77/'实盘净值数据(iFinD公式)'!$B$20:$AA$20)*(1-实盘持仓初始配置!$Z$6)^(('实盘净值数据(iFinD公式)'!$A77-'实盘净值数据(iFinD公式)'!$A$7)/365))</x:f>
        <x:v>#NAME?</x:v>
      </x:c>
      <x:c r="I77" s="152" t="e">
        <x:f>IF(OR(H76="",H77=""),"",H77/H76-1)</x:f>
        <x:v>#NAME?</x:v>
      </x:c>
      <x:c r="J77" s="152" t="e">
        <x:f>IF(H77="","",H77/MAX(H$5:H77)-1)</x:f>
        <x:v>#NAME?</x:v>
      </x:c>
      <x:c r="K77" s="146" t="e">
        <x:f>IF(OR('实盘净值数据(iFinD公式)'!$A77="",'实盘净值数据(iFinD公式)'!$B77=""),"",分期持仓明细!$AD$23*SUMPRODUCT(分期持仓明细!$B$23:$AA$23,'实盘净值数据(iFinD公式)'!$B77:$AA77/'实盘净值数据(iFinD公式)'!$B$65:$AA$65)*(1-实盘持仓初始配置!$Z$7)^(('实盘净值数据(iFinD公式)'!$A77-'实盘净值数据(iFinD公式)'!$A$8)/365))</x:f>
        <x:v>#NAME?</x:v>
      </x:c>
      <x:c r="L77" s="152" t="e">
        <x:f>IF(OR(K76="",K77=""),"",K77/K76-1)</x:f>
        <x:v>#NAME?</x:v>
      </x:c>
      <x:c r="M77" s="152" t="e">
        <x:f>IF(K77="","",K77/MAX(K$5:K77)-1)</x:f>
        <x:v>#NAME?</x:v>
      </x:c>
      <x:c r="N77" s="146" t="e">
        <x:f>IF(OR('实盘净值数据(iFinD公式)'!$A77="",'实盘净值数据(iFinD公式)'!$B77=""),"",分期持仓明细!$AD$24*SUMPRODUCT(分期持仓明细!$B$24:$AA$24,'实盘净值数据(iFinD公式)'!$B77:$AA77/'实盘净值数据(iFinD公式)'!$B$65:$AA$65)*(1-实盘持仓初始配置!$Z$8)^(('实盘净值数据(iFinD公式)'!$A77-'实盘净值数据(iFinD公式)'!$A$5)/365))</x:f>
        <x:v>#NAME?</x:v>
      </x:c>
      <x:c r="O77" s="152" t="e">
        <x:f>IF(OR(N76="",N77=""),"",N77/N76-1)</x:f>
        <x:v>#NAME?</x:v>
      </x:c>
      <x:c r="P77" s="152" t="e">
        <x:f>IF(N77="","",N77/MAX(N$5:N77)-1)</x:f>
        <x:v>#NAME?</x:v>
      </x:c>
      <x:c r="Q77" s="146" t="e">
        <x:f>IF(OR('实盘净值数据(iFinD公式)'!$A77="",'实盘净值数据(iFinD公式)'!$B77=""),"",分期持仓明细!$AD$25*SUMPRODUCT(分期持仓明细!$B$25:$AA$25,'实盘净值数据(iFinD公式)'!$B77:$AA77/'实盘净值数据(iFinD公式)'!$B$65:$AA$65)*(1-实盘持仓初始配置!$Z$9)^(('实盘净值数据(iFinD公式)'!$A77-'实盘净值数据(iFinD公式)'!$A$8)/365))</x:f>
        <x:v>#NAME?</x:v>
      </x:c>
      <x:c r="R77" s="152" t="e">
        <x:f>IF(OR(Q76="",Q77=""),"",Q77/Q76-1)</x:f>
        <x:v>#NAME?</x:v>
      </x:c>
      <x:c r="S77" s="152" t="e">
        <x:f>IF(Q77="","",Q77/MAX(Q$5:Q77)-1)</x:f>
        <x:v>#NAME?</x:v>
      </x:c>
    </x:row>
    <x:row r="78">
      <x:c r="A78" s="149" t="str">
        <x:f>IF('实盘净值数据(iFinD公式)'!A78="","",'实盘净值数据(iFinD公式)'!A78)</x:f>
      </x:c>
      <x:c r="B78" s="146" t="e">
        <x:f>IF(OR('实盘净值数据(iFinD公式)'!$A78="",'实盘净值数据(iFinD公式)'!$B78=""),"",分期持仓明细!$AD$17*SUMPRODUCT(分期持仓明细!$B$17:$AA$17,'实盘净值数据(iFinD公式)'!$B78:$AA78/'实盘净值数据(iFinD公式)'!$B$20:$AA$20)*(1-实盘持仓初始配置!$Z$4)^(('实盘净值数据(iFinD公式)'!$A78-'实盘净值数据(iFinD公式)'!$A$6)/365))</x:f>
        <x:v>#NAME?</x:v>
      </x:c>
      <x:c r="C78" s="152" t="e">
        <x:f>IF(OR(B77="",B78=""),"",B78/B77-1)</x:f>
        <x:v>#NAME?</x:v>
      </x:c>
      <x:c r="D78" s="152" t="e">
        <x:f>IF(B78="","",B78/MAX(B$5:B78)-1)</x:f>
        <x:v>#NAME?</x:v>
      </x:c>
      <x:c r="E78" s="146" t="e">
        <x:f>IF(OR('实盘净值数据(iFinD公式)'!$A78="",'实盘净值数据(iFinD公式)'!$B78=""),"",分期持仓明细!$AD$18*SUMPRODUCT(分期持仓明细!$B$18:$AA$18,'实盘净值数据(iFinD公式)'!$B78:$AA78/'实盘净值数据(iFinD公式)'!$B$20:$AA$20)*(1-实盘持仓初始配置!$Z$5)^(('实盘净值数据(iFinD公式)'!$A78-'实盘净值数据(iFinD公式)'!$A$5)/365))</x:f>
        <x:v>#NAME?</x:v>
      </x:c>
      <x:c r="F78" s="152" t="e">
        <x:f>IF(OR(E77="",E78=""),"",E78/E77-1)</x:f>
        <x:v>#NAME?</x:v>
      </x:c>
      <x:c r="G78" s="152" t="e">
        <x:f>IF(E78="","",E78/MAX(E$5:E78)-1)</x:f>
        <x:v>#NAME?</x:v>
      </x:c>
      <x:c r="H78" s="146" t="e">
        <x:f>IF(OR('实盘净值数据(iFinD公式)'!$A78="",'实盘净值数据(iFinD公式)'!$B78=""),"",分期持仓明细!$AD$19*SUMPRODUCT(分期持仓明细!$B$19:$AA$19,'实盘净值数据(iFinD公式)'!$B78:$AA78/'实盘净值数据(iFinD公式)'!$B$20:$AA$20)*(1-实盘持仓初始配置!$Z$6)^(('实盘净值数据(iFinD公式)'!$A78-'实盘净值数据(iFinD公式)'!$A$7)/365))</x:f>
        <x:v>#NAME?</x:v>
      </x:c>
      <x:c r="I78" s="152" t="e">
        <x:f>IF(OR(H77="",H78=""),"",H78/H77-1)</x:f>
        <x:v>#NAME?</x:v>
      </x:c>
      <x:c r="J78" s="152" t="e">
        <x:f>IF(H78="","",H78/MAX(H$5:H78)-1)</x:f>
        <x:v>#NAME?</x:v>
      </x:c>
      <x:c r="K78" s="146" t="e">
        <x:f>IF(OR('实盘净值数据(iFinD公式)'!$A78="",'实盘净值数据(iFinD公式)'!$B78=""),"",分期持仓明细!$AD$23*SUMPRODUCT(分期持仓明细!$B$23:$AA$23,'实盘净值数据(iFinD公式)'!$B78:$AA78/'实盘净值数据(iFinD公式)'!$B$65:$AA$65)*(1-实盘持仓初始配置!$Z$7)^(('实盘净值数据(iFinD公式)'!$A78-'实盘净值数据(iFinD公式)'!$A$8)/365))</x:f>
        <x:v>#NAME?</x:v>
      </x:c>
      <x:c r="L78" s="152" t="e">
        <x:f>IF(OR(K77="",K78=""),"",K78/K77-1)</x:f>
        <x:v>#NAME?</x:v>
      </x:c>
      <x:c r="M78" s="152" t="e">
        <x:f>IF(K78="","",K78/MAX(K$5:K78)-1)</x:f>
        <x:v>#NAME?</x:v>
      </x:c>
      <x:c r="N78" s="146" t="e">
        <x:f>IF(OR('实盘净值数据(iFinD公式)'!$A78="",'实盘净值数据(iFinD公式)'!$B78=""),"",分期持仓明细!$AD$24*SUMPRODUCT(分期持仓明细!$B$24:$AA$24,'实盘净值数据(iFinD公式)'!$B78:$AA78/'实盘净值数据(iFinD公式)'!$B$65:$AA$65)*(1-实盘持仓初始配置!$Z$8)^(('实盘净值数据(iFinD公式)'!$A78-'实盘净值数据(iFinD公式)'!$A$5)/365))</x:f>
        <x:v>#NAME?</x:v>
      </x:c>
      <x:c r="O78" s="152" t="e">
        <x:f>IF(OR(N77="",N78=""),"",N78/N77-1)</x:f>
        <x:v>#NAME?</x:v>
      </x:c>
      <x:c r="P78" s="152" t="e">
        <x:f>IF(N78="","",N78/MAX(N$5:N78)-1)</x:f>
        <x:v>#NAME?</x:v>
      </x:c>
      <x:c r="Q78" s="146" t="e">
        <x:f>IF(OR('实盘净值数据(iFinD公式)'!$A78="",'实盘净值数据(iFinD公式)'!$B78=""),"",分期持仓明细!$AD$25*SUMPRODUCT(分期持仓明细!$B$25:$AA$25,'实盘净值数据(iFinD公式)'!$B78:$AA78/'实盘净值数据(iFinD公式)'!$B$65:$AA$65)*(1-实盘持仓初始配置!$Z$9)^(('实盘净值数据(iFinD公式)'!$A78-'实盘净值数据(iFinD公式)'!$A$8)/365))</x:f>
        <x:v>#NAME?</x:v>
      </x:c>
      <x:c r="R78" s="152" t="e">
        <x:f>IF(OR(Q77="",Q78=""),"",Q78/Q77-1)</x:f>
        <x:v>#NAME?</x:v>
      </x:c>
      <x:c r="S78" s="152" t="e">
        <x:f>IF(Q78="","",Q78/MAX(Q$5:Q78)-1)</x:f>
        <x:v>#NAME?</x:v>
      </x:c>
    </x:row>
    <x:row r="79">
      <x:c r="A79" s="149" t="str">
        <x:f>IF('实盘净值数据(iFinD公式)'!A79="","",'实盘净值数据(iFinD公式)'!A79)</x:f>
      </x:c>
      <x:c r="B79" s="146" t="e">
        <x:f>IF(OR('实盘净值数据(iFinD公式)'!$A79="",'实盘净值数据(iFinD公式)'!$B79=""),"",分期持仓明细!$AD$17*SUMPRODUCT(分期持仓明细!$B$17:$AA$17,'实盘净值数据(iFinD公式)'!$B79:$AA79/'实盘净值数据(iFinD公式)'!$B$20:$AA$20)*(1-实盘持仓初始配置!$Z$4)^(('实盘净值数据(iFinD公式)'!$A79-'实盘净值数据(iFinD公式)'!$A$6)/365))</x:f>
        <x:v>#NAME?</x:v>
      </x:c>
      <x:c r="C79" s="152" t="e">
        <x:f>IF(OR(B78="",B79=""),"",B79/B78-1)</x:f>
        <x:v>#NAME?</x:v>
      </x:c>
      <x:c r="D79" s="152" t="e">
        <x:f>IF(B79="","",B79/MAX(B$5:B79)-1)</x:f>
        <x:v>#NAME?</x:v>
      </x:c>
      <x:c r="E79" s="146" t="e">
        <x:f>IF(OR('实盘净值数据(iFinD公式)'!$A79="",'实盘净值数据(iFinD公式)'!$B79=""),"",分期持仓明细!$AD$18*SUMPRODUCT(分期持仓明细!$B$18:$AA$18,'实盘净值数据(iFinD公式)'!$B79:$AA79/'实盘净值数据(iFinD公式)'!$B$20:$AA$20)*(1-实盘持仓初始配置!$Z$5)^(('实盘净值数据(iFinD公式)'!$A79-'实盘净值数据(iFinD公式)'!$A$5)/365))</x:f>
        <x:v>#NAME?</x:v>
      </x:c>
      <x:c r="F79" s="152" t="e">
        <x:f>IF(OR(E78="",E79=""),"",E79/E78-1)</x:f>
        <x:v>#NAME?</x:v>
      </x:c>
      <x:c r="G79" s="152" t="e">
        <x:f>IF(E79="","",E79/MAX(E$5:E79)-1)</x:f>
        <x:v>#NAME?</x:v>
      </x:c>
      <x:c r="H79" s="146" t="e">
        <x:f>IF(OR('实盘净值数据(iFinD公式)'!$A79="",'实盘净值数据(iFinD公式)'!$B79=""),"",分期持仓明细!$AD$19*SUMPRODUCT(分期持仓明细!$B$19:$AA$19,'实盘净值数据(iFinD公式)'!$B79:$AA79/'实盘净值数据(iFinD公式)'!$B$20:$AA$20)*(1-实盘持仓初始配置!$Z$6)^(('实盘净值数据(iFinD公式)'!$A79-'实盘净值数据(iFinD公式)'!$A$7)/365))</x:f>
        <x:v>#NAME?</x:v>
      </x:c>
      <x:c r="I79" s="152" t="e">
        <x:f>IF(OR(H78="",H79=""),"",H79/H78-1)</x:f>
        <x:v>#NAME?</x:v>
      </x:c>
      <x:c r="J79" s="152" t="e">
        <x:f>IF(H79="","",H79/MAX(H$5:H79)-1)</x:f>
        <x:v>#NAME?</x:v>
      </x:c>
      <x:c r="K79" s="146" t="e">
        <x:f>IF(OR('实盘净值数据(iFinD公式)'!$A79="",'实盘净值数据(iFinD公式)'!$B79=""),"",分期持仓明细!$AD$23*SUMPRODUCT(分期持仓明细!$B$23:$AA$23,'实盘净值数据(iFinD公式)'!$B79:$AA79/'实盘净值数据(iFinD公式)'!$B$65:$AA$65)*(1-实盘持仓初始配置!$Z$7)^(('实盘净值数据(iFinD公式)'!$A79-'实盘净值数据(iFinD公式)'!$A$8)/365))</x:f>
        <x:v>#NAME?</x:v>
      </x:c>
      <x:c r="L79" s="152" t="e">
        <x:f>IF(OR(K78="",K79=""),"",K79/K78-1)</x:f>
        <x:v>#NAME?</x:v>
      </x:c>
      <x:c r="M79" s="152" t="e">
        <x:f>IF(K79="","",K79/MAX(K$5:K79)-1)</x:f>
        <x:v>#NAME?</x:v>
      </x:c>
      <x:c r="N79" s="146" t="e">
        <x:f>IF(OR('实盘净值数据(iFinD公式)'!$A79="",'实盘净值数据(iFinD公式)'!$B79=""),"",分期持仓明细!$AD$24*SUMPRODUCT(分期持仓明细!$B$24:$AA$24,'实盘净值数据(iFinD公式)'!$B79:$AA79/'实盘净值数据(iFinD公式)'!$B$65:$AA$65)*(1-实盘持仓初始配置!$Z$8)^(('实盘净值数据(iFinD公式)'!$A79-'实盘净值数据(iFinD公式)'!$A$5)/365))</x:f>
        <x:v>#NAME?</x:v>
      </x:c>
      <x:c r="O79" s="152" t="e">
        <x:f>IF(OR(N78="",N79=""),"",N79/N78-1)</x:f>
        <x:v>#NAME?</x:v>
      </x:c>
      <x:c r="P79" s="152" t="e">
        <x:f>IF(N79="","",N79/MAX(N$5:N79)-1)</x:f>
        <x:v>#NAME?</x:v>
      </x:c>
      <x:c r="Q79" s="146" t="e">
        <x:f>IF(OR('实盘净值数据(iFinD公式)'!$A79="",'实盘净值数据(iFinD公式)'!$B79=""),"",分期持仓明细!$AD$25*SUMPRODUCT(分期持仓明细!$B$25:$AA$25,'实盘净值数据(iFinD公式)'!$B79:$AA79/'实盘净值数据(iFinD公式)'!$B$65:$AA$65)*(1-实盘持仓初始配置!$Z$9)^(('实盘净值数据(iFinD公式)'!$A79-'实盘净值数据(iFinD公式)'!$A$8)/365))</x:f>
        <x:v>#NAME?</x:v>
      </x:c>
      <x:c r="R79" s="152" t="e">
        <x:f>IF(OR(Q78="",Q79=""),"",Q79/Q78-1)</x:f>
        <x:v>#NAME?</x:v>
      </x:c>
      <x:c r="S79" s="152" t="e">
        <x:f>IF(Q79="","",Q79/MAX(Q$5:Q79)-1)</x:f>
        <x:v>#NAME?</x:v>
      </x:c>
    </x:row>
    <x:row r="80">
      <x:c r="A80" s="149" t="str">
        <x:f>IF('实盘净值数据(iFinD公式)'!A80="","",'实盘净值数据(iFinD公式)'!A80)</x:f>
      </x:c>
      <x:c r="B80" s="146" t="e">
        <x:f>IF(OR('实盘净值数据(iFinD公式)'!$A80="",'实盘净值数据(iFinD公式)'!$B80=""),"",分期持仓明细!$AD$17*SUMPRODUCT(分期持仓明细!$B$17:$AA$17,'实盘净值数据(iFinD公式)'!$B80:$AA80/'实盘净值数据(iFinD公式)'!$B$20:$AA$20)*(1-实盘持仓初始配置!$Z$4)^(('实盘净值数据(iFinD公式)'!$A80-'实盘净值数据(iFinD公式)'!$A$6)/365))</x:f>
        <x:v>#NAME?</x:v>
      </x:c>
      <x:c r="C80" s="152" t="e">
        <x:f>IF(OR(B79="",B80=""),"",B80/B79-1)</x:f>
        <x:v>#NAME?</x:v>
      </x:c>
      <x:c r="D80" s="152" t="e">
        <x:f>IF(B80="","",B80/MAX(B$5:B80)-1)</x:f>
        <x:v>#NAME?</x:v>
      </x:c>
      <x:c r="E80" s="146" t="e">
        <x:f>IF(OR('实盘净值数据(iFinD公式)'!$A80="",'实盘净值数据(iFinD公式)'!$B80=""),"",分期持仓明细!$AD$18*SUMPRODUCT(分期持仓明细!$B$18:$AA$18,'实盘净值数据(iFinD公式)'!$B80:$AA80/'实盘净值数据(iFinD公式)'!$B$20:$AA$20)*(1-实盘持仓初始配置!$Z$5)^(('实盘净值数据(iFinD公式)'!$A80-'实盘净值数据(iFinD公式)'!$A$5)/365))</x:f>
        <x:v>#NAME?</x:v>
      </x:c>
      <x:c r="F80" s="152" t="e">
        <x:f>IF(OR(E79="",E80=""),"",E80/E79-1)</x:f>
        <x:v>#NAME?</x:v>
      </x:c>
      <x:c r="G80" s="152" t="e">
        <x:f>IF(E80="","",E80/MAX(E$5:E80)-1)</x:f>
        <x:v>#NAME?</x:v>
      </x:c>
      <x:c r="H80" s="146" t="e">
        <x:f>IF(OR('实盘净值数据(iFinD公式)'!$A80="",'实盘净值数据(iFinD公式)'!$B80=""),"",分期持仓明细!$AD$19*SUMPRODUCT(分期持仓明细!$B$19:$AA$19,'实盘净值数据(iFinD公式)'!$B80:$AA80/'实盘净值数据(iFinD公式)'!$B$20:$AA$20)*(1-实盘持仓初始配置!$Z$6)^(('实盘净值数据(iFinD公式)'!$A80-'实盘净值数据(iFinD公式)'!$A$7)/365))</x:f>
        <x:v>#NAME?</x:v>
      </x:c>
      <x:c r="I80" s="152" t="e">
        <x:f>IF(OR(H79="",H80=""),"",H80/H79-1)</x:f>
        <x:v>#NAME?</x:v>
      </x:c>
      <x:c r="J80" s="152" t="e">
        <x:f>IF(H80="","",H80/MAX(H$5:H80)-1)</x:f>
        <x:v>#NAME?</x:v>
      </x:c>
      <x:c r="K80" s="146" t="e">
        <x:f>IF(OR('实盘净值数据(iFinD公式)'!$A80="",'实盘净值数据(iFinD公式)'!$B80=""),"",分期持仓明细!$AD$23*SUMPRODUCT(分期持仓明细!$B$23:$AA$23,'实盘净值数据(iFinD公式)'!$B80:$AA80/'实盘净值数据(iFinD公式)'!$B$65:$AA$65)*(1-实盘持仓初始配置!$Z$7)^(('实盘净值数据(iFinD公式)'!$A80-'实盘净值数据(iFinD公式)'!$A$8)/365))</x:f>
        <x:v>#NAME?</x:v>
      </x:c>
      <x:c r="L80" s="152" t="e">
        <x:f>IF(OR(K79="",K80=""),"",K80/K79-1)</x:f>
        <x:v>#NAME?</x:v>
      </x:c>
      <x:c r="M80" s="152" t="e">
        <x:f>IF(K80="","",K80/MAX(K$5:K80)-1)</x:f>
        <x:v>#NAME?</x:v>
      </x:c>
      <x:c r="N80" s="146" t="e">
        <x:f>IF(OR('实盘净值数据(iFinD公式)'!$A80="",'实盘净值数据(iFinD公式)'!$B80=""),"",分期持仓明细!$AD$24*SUMPRODUCT(分期持仓明细!$B$24:$AA$24,'实盘净值数据(iFinD公式)'!$B80:$AA80/'实盘净值数据(iFinD公式)'!$B$65:$AA$65)*(1-实盘持仓初始配置!$Z$8)^(('实盘净值数据(iFinD公式)'!$A80-'实盘净值数据(iFinD公式)'!$A$5)/365))</x:f>
        <x:v>#NAME?</x:v>
      </x:c>
      <x:c r="O80" s="152" t="e">
        <x:f>IF(OR(N79="",N80=""),"",N80/N79-1)</x:f>
        <x:v>#NAME?</x:v>
      </x:c>
      <x:c r="P80" s="152" t="e">
        <x:f>IF(N80="","",N80/MAX(N$5:N80)-1)</x:f>
        <x:v>#NAME?</x:v>
      </x:c>
      <x:c r="Q80" s="146" t="e">
        <x:f>IF(OR('实盘净值数据(iFinD公式)'!$A80="",'实盘净值数据(iFinD公式)'!$B80=""),"",分期持仓明细!$AD$25*SUMPRODUCT(分期持仓明细!$B$25:$AA$25,'实盘净值数据(iFinD公式)'!$B80:$AA80/'实盘净值数据(iFinD公式)'!$B$65:$AA$65)*(1-实盘持仓初始配置!$Z$9)^(('实盘净值数据(iFinD公式)'!$A80-'实盘净值数据(iFinD公式)'!$A$8)/365))</x:f>
        <x:v>#NAME?</x:v>
      </x:c>
      <x:c r="R80" s="152" t="e">
        <x:f>IF(OR(Q79="",Q80=""),"",Q80/Q79-1)</x:f>
        <x:v>#NAME?</x:v>
      </x:c>
      <x:c r="S80" s="152" t="e">
        <x:f>IF(Q80="","",Q80/MAX(Q$5:Q80)-1)</x:f>
        <x:v>#NAME?</x:v>
      </x:c>
    </x:row>
    <x:row r="81">
      <x:c r="A81" s="149" t="str">
        <x:f>IF('实盘净值数据(iFinD公式)'!A81="","",'实盘净值数据(iFinD公式)'!A81)</x:f>
      </x:c>
      <x:c r="B81" s="146" t="e">
        <x:f>IF(OR('实盘净值数据(iFinD公式)'!$A81="",'实盘净值数据(iFinD公式)'!$B81=""),"",分期持仓明细!$AD$17*SUMPRODUCT(分期持仓明细!$B$17:$AA$17,'实盘净值数据(iFinD公式)'!$B81:$AA81/'实盘净值数据(iFinD公式)'!$B$20:$AA$20)*(1-实盘持仓初始配置!$Z$4)^(('实盘净值数据(iFinD公式)'!$A81-'实盘净值数据(iFinD公式)'!$A$6)/365))</x:f>
        <x:v>#NAME?</x:v>
      </x:c>
      <x:c r="C81" s="152" t="e">
        <x:f>IF(OR(B80="",B81=""),"",B81/B80-1)</x:f>
        <x:v>#NAME?</x:v>
      </x:c>
      <x:c r="D81" s="152" t="e">
        <x:f>IF(B81="","",B81/MAX(B$5:B81)-1)</x:f>
        <x:v>#NAME?</x:v>
      </x:c>
      <x:c r="E81" s="146" t="e">
        <x:f>IF(OR('实盘净值数据(iFinD公式)'!$A81="",'实盘净值数据(iFinD公式)'!$B81=""),"",分期持仓明细!$AD$18*SUMPRODUCT(分期持仓明细!$B$18:$AA$18,'实盘净值数据(iFinD公式)'!$B81:$AA81/'实盘净值数据(iFinD公式)'!$B$20:$AA$20)*(1-实盘持仓初始配置!$Z$5)^(('实盘净值数据(iFinD公式)'!$A81-'实盘净值数据(iFinD公式)'!$A$5)/365))</x:f>
        <x:v>#NAME?</x:v>
      </x:c>
      <x:c r="F81" s="152" t="e">
        <x:f>IF(OR(E80="",E81=""),"",E81/E80-1)</x:f>
        <x:v>#NAME?</x:v>
      </x:c>
      <x:c r="G81" s="152" t="e">
        <x:f>IF(E81="","",E81/MAX(E$5:E81)-1)</x:f>
        <x:v>#NAME?</x:v>
      </x:c>
      <x:c r="H81" s="146" t="e">
        <x:f>IF(OR('实盘净值数据(iFinD公式)'!$A81="",'实盘净值数据(iFinD公式)'!$B81=""),"",分期持仓明细!$AD$19*SUMPRODUCT(分期持仓明细!$B$19:$AA$19,'实盘净值数据(iFinD公式)'!$B81:$AA81/'实盘净值数据(iFinD公式)'!$B$20:$AA$20)*(1-实盘持仓初始配置!$Z$6)^(('实盘净值数据(iFinD公式)'!$A81-'实盘净值数据(iFinD公式)'!$A$7)/365))</x:f>
        <x:v>#NAME?</x:v>
      </x:c>
      <x:c r="I81" s="152" t="e">
        <x:f>IF(OR(H80="",H81=""),"",H81/H80-1)</x:f>
        <x:v>#NAME?</x:v>
      </x:c>
      <x:c r="J81" s="152" t="e">
        <x:f>IF(H81="","",H81/MAX(H$5:H81)-1)</x:f>
        <x:v>#NAME?</x:v>
      </x:c>
      <x:c r="K81" s="146" t="e">
        <x:f>IF(OR('实盘净值数据(iFinD公式)'!$A81="",'实盘净值数据(iFinD公式)'!$B81=""),"",分期持仓明细!$AD$23*SUMPRODUCT(分期持仓明细!$B$23:$AA$23,'实盘净值数据(iFinD公式)'!$B81:$AA81/'实盘净值数据(iFinD公式)'!$B$65:$AA$65)*(1-实盘持仓初始配置!$Z$7)^(('实盘净值数据(iFinD公式)'!$A81-'实盘净值数据(iFinD公式)'!$A$8)/365))</x:f>
        <x:v>#NAME?</x:v>
      </x:c>
      <x:c r="L81" s="152" t="e">
        <x:f>IF(OR(K80="",K81=""),"",K81/K80-1)</x:f>
        <x:v>#NAME?</x:v>
      </x:c>
      <x:c r="M81" s="152" t="e">
        <x:f>IF(K81="","",K81/MAX(K$5:K81)-1)</x:f>
        <x:v>#NAME?</x:v>
      </x:c>
      <x:c r="N81" s="146" t="e">
        <x:f>IF(OR('实盘净值数据(iFinD公式)'!$A81="",'实盘净值数据(iFinD公式)'!$B81=""),"",分期持仓明细!$AD$24*SUMPRODUCT(分期持仓明细!$B$24:$AA$24,'实盘净值数据(iFinD公式)'!$B81:$AA81/'实盘净值数据(iFinD公式)'!$B$65:$AA$65)*(1-实盘持仓初始配置!$Z$8)^(('实盘净值数据(iFinD公式)'!$A81-'实盘净值数据(iFinD公式)'!$A$5)/365))</x:f>
        <x:v>#NAME?</x:v>
      </x:c>
      <x:c r="O81" s="152" t="e">
        <x:f>IF(OR(N80="",N81=""),"",N81/N80-1)</x:f>
        <x:v>#NAME?</x:v>
      </x:c>
      <x:c r="P81" s="152" t="e">
        <x:f>IF(N81="","",N81/MAX(N$5:N81)-1)</x:f>
        <x:v>#NAME?</x:v>
      </x:c>
      <x:c r="Q81" s="146" t="e">
        <x:f>IF(OR('实盘净值数据(iFinD公式)'!$A81="",'实盘净值数据(iFinD公式)'!$B81=""),"",分期持仓明细!$AD$25*SUMPRODUCT(分期持仓明细!$B$25:$AA$25,'实盘净值数据(iFinD公式)'!$B81:$AA81/'实盘净值数据(iFinD公式)'!$B$65:$AA$65)*(1-实盘持仓初始配置!$Z$9)^(('实盘净值数据(iFinD公式)'!$A81-'实盘净值数据(iFinD公式)'!$A$8)/365))</x:f>
        <x:v>#NAME?</x:v>
      </x:c>
      <x:c r="R81" s="152" t="e">
        <x:f>IF(OR(Q80="",Q81=""),"",Q81/Q80-1)</x:f>
        <x:v>#NAME?</x:v>
      </x:c>
      <x:c r="S81" s="152" t="e">
        <x:f>IF(Q81="","",Q81/MAX(Q$5:Q81)-1)</x:f>
        <x:v>#NAME?</x:v>
      </x:c>
    </x:row>
    <x:row r="82">
      <x:c r="A82" s="149" t="str">
        <x:f>IF('实盘净值数据(iFinD公式)'!A82="","",'实盘净值数据(iFinD公式)'!A82)</x:f>
      </x:c>
      <x:c r="B82" s="146" t="e">
        <x:f>IF(OR('实盘净值数据(iFinD公式)'!$A82="",'实盘净值数据(iFinD公式)'!$B82=""),"",分期持仓明细!$AD$17*SUMPRODUCT(分期持仓明细!$B$17:$AA$17,'实盘净值数据(iFinD公式)'!$B82:$AA82/'实盘净值数据(iFinD公式)'!$B$20:$AA$20)*(1-实盘持仓初始配置!$Z$4)^(('实盘净值数据(iFinD公式)'!$A82-'实盘净值数据(iFinD公式)'!$A$6)/365))</x:f>
        <x:v>#NAME?</x:v>
      </x:c>
      <x:c r="C82" s="152" t="e">
        <x:f>IF(OR(B81="",B82=""),"",B82/B81-1)</x:f>
        <x:v>#NAME?</x:v>
      </x:c>
      <x:c r="D82" s="152" t="e">
        <x:f>IF(B82="","",B82/MAX(B$5:B82)-1)</x:f>
        <x:v>#NAME?</x:v>
      </x:c>
      <x:c r="E82" s="146" t="e">
        <x:f>IF(OR('实盘净值数据(iFinD公式)'!$A82="",'实盘净值数据(iFinD公式)'!$B82=""),"",分期持仓明细!$AD$18*SUMPRODUCT(分期持仓明细!$B$18:$AA$18,'实盘净值数据(iFinD公式)'!$B82:$AA82/'实盘净值数据(iFinD公式)'!$B$20:$AA$20)*(1-实盘持仓初始配置!$Z$5)^(('实盘净值数据(iFinD公式)'!$A82-'实盘净值数据(iFinD公式)'!$A$5)/365))</x:f>
        <x:v>#NAME?</x:v>
      </x:c>
      <x:c r="F82" s="152" t="e">
        <x:f>IF(OR(E81="",E82=""),"",E82/E81-1)</x:f>
        <x:v>#NAME?</x:v>
      </x:c>
      <x:c r="G82" s="152" t="e">
        <x:f>IF(E82="","",E82/MAX(E$5:E82)-1)</x:f>
        <x:v>#NAME?</x:v>
      </x:c>
      <x:c r="H82" s="146" t="e">
        <x:f>IF(OR('实盘净值数据(iFinD公式)'!$A82="",'实盘净值数据(iFinD公式)'!$B82=""),"",分期持仓明细!$AD$19*SUMPRODUCT(分期持仓明细!$B$19:$AA$19,'实盘净值数据(iFinD公式)'!$B82:$AA82/'实盘净值数据(iFinD公式)'!$B$20:$AA$20)*(1-实盘持仓初始配置!$Z$6)^(('实盘净值数据(iFinD公式)'!$A82-'实盘净值数据(iFinD公式)'!$A$7)/365))</x:f>
        <x:v>#NAME?</x:v>
      </x:c>
      <x:c r="I82" s="152" t="e">
        <x:f>IF(OR(H81="",H82=""),"",H82/H81-1)</x:f>
        <x:v>#NAME?</x:v>
      </x:c>
      <x:c r="J82" s="152" t="e">
        <x:f>IF(H82="","",H82/MAX(H$5:H82)-1)</x:f>
        <x:v>#NAME?</x:v>
      </x:c>
      <x:c r="K82" s="146" t="e">
        <x:f>IF(OR('实盘净值数据(iFinD公式)'!$A82="",'实盘净值数据(iFinD公式)'!$B82=""),"",分期持仓明细!$AD$23*SUMPRODUCT(分期持仓明细!$B$23:$AA$23,'实盘净值数据(iFinD公式)'!$B82:$AA82/'实盘净值数据(iFinD公式)'!$B$65:$AA$65)*(1-实盘持仓初始配置!$Z$7)^(('实盘净值数据(iFinD公式)'!$A82-'实盘净值数据(iFinD公式)'!$A$8)/365))</x:f>
        <x:v>#NAME?</x:v>
      </x:c>
      <x:c r="L82" s="152" t="e">
        <x:f>IF(OR(K81="",K82=""),"",K82/K81-1)</x:f>
        <x:v>#NAME?</x:v>
      </x:c>
      <x:c r="M82" s="152" t="e">
        <x:f>IF(K82="","",K82/MAX(K$5:K82)-1)</x:f>
        <x:v>#NAME?</x:v>
      </x:c>
      <x:c r="N82" s="146" t="e">
        <x:f>IF(OR('实盘净值数据(iFinD公式)'!$A82="",'实盘净值数据(iFinD公式)'!$B82=""),"",分期持仓明细!$AD$24*SUMPRODUCT(分期持仓明细!$B$24:$AA$24,'实盘净值数据(iFinD公式)'!$B82:$AA82/'实盘净值数据(iFinD公式)'!$B$65:$AA$65)*(1-实盘持仓初始配置!$Z$8)^(('实盘净值数据(iFinD公式)'!$A82-'实盘净值数据(iFinD公式)'!$A$5)/365))</x:f>
        <x:v>#NAME?</x:v>
      </x:c>
      <x:c r="O82" s="152" t="e">
        <x:f>IF(OR(N81="",N82=""),"",N82/N81-1)</x:f>
        <x:v>#NAME?</x:v>
      </x:c>
      <x:c r="P82" s="152" t="e">
        <x:f>IF(N82="","",N82/MAX(N$5:N82)-1)</x:f>
        <x:v>#NAME?</x:v>
      </x:c>
      <x:c r="Q82" s="146" t="e">
        <x:f>IF(OR('实盘净值数据(iFinD公式)'!$A82="",'实盘净值数据(iFinD公式)'!$B82=""),"",分期持仓明细!$AD$25*SUMPRODUCT(分期持仓明细!$B$25:$AA$25,'实盘净值数据(iFinD公式)'!$B82:$AA82/'实盘净值数据(iFinD公式)'!$B$65:$AA$65)*(1-实盘持仓初始配置!$Z$9)^(('实盘净值数据(iFinD公式)'!$A82-'实盘净值数据(iFinD公式)'!$A$8)/365))</x:f>
        <x:v>#NAME?</x:v>
      </x:c>
      <x:c r="R82" s="152" t="e">
        <x:f>IF(OR(Q81="",Q82=""),"",Q82/Q81-1)</x:f>
        <x:v>#NAME?</x:v>
      </x:c>
      <x:c r="S82" s="152" t="e">
        <x:f>IF(Q82="","",Q82/MAX(Q$5:Q82)-1)</x:f>
        <x:v>#NAME?</x:v>
      </x:c>
    </x:row>
    <x:row r="83">
      <x:c r="A83" s="149" t="str">
        <x:f>IF('实盘净值数据(iFinD公式)'!A83="","",'实盘净值数据(iFinD公式)'!A83)</x:f>
      </x:c>
      <x:c r="B83" s="146" t="e">
        <x:f>IF(OR('实盘净值数据(iFinD公式)'!$A83="",'实盘净值数据(iFinD公式)'!$B83=""),"",分期持仓明细!$AD$17*SUMPRODUCT(分期持仓明细!$B$17:$AA$17,'实盘净值数据(iFinD公式)'!$B83:$AA83/'实盘净值数据(iFinD公式)'!$B$20:$AA$20)*(1-实盘持仓初始配置!$Z$4)^(('实盘净值数据(iFinD公式)'!$A83-'实盘净值数据(iFinD公式)'!$A$6)/365))</x:f>
        <x:v>#NAME?</x:v>
      </x:c>
      <x:c r="C83" s="152" t="e">
        <x:f>IF(OR(B82="",B83=""),"",B83/B82-1)</x:f>
        <x:v>#NAME?</x:v>
      </x:c>
      <x:c r="D83" s="152" t="e">
        <x:f>IF(B83="","",B83/MAX(B$5:B83)-1)</x:f>
        <x:v>#NAME?</x:v>
      </x:c>
      <x:c r="E83" s="146" t="e">
        <x:f>IF(OR('实盘净值数据(iFinD公式)'!$A83="",'实盘净值数据(iFinD公式)'!$B83=""),"",分期持仓明细!$AD$18*SUMPRODUCT(分期持仓明细!$B$18:$AA$18,'实盘净值数据(iFinD公式)'!$B83:$AA83/'实盘净值数据(iFinD公式)'!$B$20:$AA$20)*(1-实盘持仓初始配置!$Z$5)^(('实盘净值数据(iFinD公式)'!$A83-'实盘净值数据(iFinD公式)'!$A$5)/365))</x:f>
        <x:v>#NAME?</x:v>
      </x:c>
      <x:c r="F83" s="152" t="e">
        <x:f>IF(OR(E82="",E83=""),"",E83/E82-1)</x:f>
        <x:v>#NAME?</x:v>
      </x:c>
      <x:c r="G83" s="152" t="e">
        <x:f>IF(E83="","",E83/MAX(E$5:E83)-1)</x:f>
        <x:v>#NAME?</x:v>
      </x:c>
      <x:c r="H83" s="146" t="e">
        <x:f>IF(OR('实盘净值数据(iFinD公式)'!$A83="",'实盘净值数据(iFinD公式)'!$B83=""),"",分期持仓明细!$AD$19*SUMPRODUCT(分期持仓明细!$B$19:$AA$19,'实盘净值数据(iFinD公式)'!$B83:$AA83/'实盘净值数据(iFinD公式)'!$B$20:$AA$20)*(1-实盘持仓初始配置!$Z$6)^(('实盘净值数据(iFinD公式)'!$A83-'实盘净值数据(iFinD公式)'!$A$7)/365))</x:f>
        <x:v>#NAME?</x:v>
      </x:c>
      <x:c r="I83" s="152" t="e">
        <x:f>IF(OR(H82="",H83=""),"",H83/H82-1)</x:f>
        <x:v>#NAME?</x:v>
      </x:c>
      <x:c r="J83" s="152" t="e">
        <x:f>IF(H83="","",H83/MAX(H$5:H83)-1)</x:f>
        <x:v>#NAME?</x:v>
      </x:c>
      <x:c r="K83" s="146" t="e">
        <x:f>IF(OR('实盘净值数据(iFinD公式)'!$A83="",'实盘净值数据(iFinD公式)'!$B83=""),"",分期持仓明细!$AD$23*SUMPRODUCT(分期持仓明细!$B$23:$AA$23,'实盘净值数据(iFinD公式)'!$B83:$AA83/'实盘净值数据(iFinD公式)'!$B$65:$AA$65)*(1-实盘持仓初始配置!$Z$7)^(('实盘净值数据(iFinD公式)'!$A83-'实盘净值数据(iFinD公式)'!$A$8)/365))</x:f>
        <x:v>#NAME?</x:v>
      </x:c>
      <x:c r="L83" s="152" t="e">
        <x:f>IF(OR(K82="",K83=""),"",K83/K82-1)</x:f>
        <x:v>#NAME?</x:v>
      </x:c>
      <x:c r="M83" s="152" t="e">
        <x:f>IF(K83="","",K83/MAX(K$5:K83)-1)</x:f>
        <x:v>#NAME?</x:v>
      </x:c>
      <x:c r="N83" s="146" t="e">
        <x:f>IF(OR('实盘净值数据(iFinD公式)'!$A83="",'实盘净值数据(iFinD公式)'!$B83=""),"",分期持仓明细!$AD$24*SUMPRODUCT(分期持仓明细!$B$24:$AA$24,'实盘净值数据(iFinD公式)'!$B83:$AA83/'实盘净值数据(iFinD公式)'!$B$65:$AA$65)*(1-实盘持仓初始配置!$Z$8)^(('实盘净值数据(iFinD公式)'!$A83-'实盘净值数据(iFinD公式)'!$A$5)/365))</x:f>
        <x:v>#NAME?</x:v>
      </x:c>
      <x:c r="O83" s="152" t="e">
        <x:f>IF(OR(N82="",N83=""),"",N83/N82-1)</x:f>
        <x:v>#NAME?</x:v>
      </x:c>
      <x:c r="P83" s="152" t="e">
        <x:f>IF(N83="","",N83/MAX(N$5:N83)-1)</x:f>
        <x:v>#NAME?</x:v>
      </x:c>
      <x:c r="Q83" s="146" t="e">
        <x:f>IF(OR('实盘净值数据(iFinD公式)'!$A83="",'实盘净值数据(iFinD公式)'!$B83=""),"",分期持仓明细!$AD$25*SUMPRODUCT(分期持仓明细!$B$25:$AA$25,'实盘净值数据(iFinD公式)'!$B83:$AA83/'实盘净值数据(iFinD公式)'!$B$65:$AA$65)*(1-实盘持仓初始配置!$Z$9)^(('实盘净值数据(iFinD公式)'!$A83-'实盘净值数据(iFinD公式)'!$A$8)/365))</x:f>
        <x:v>#NAME?</x:v>
      </x:c>
      <x:c r="R83" s="152" t="e">
        <x:f>IF(OR(Q82="",Q83=""),"",Q83/Q82-1)</x:f>
        <x:v>#NAME?</x:v>
      </x:c>
      <x:c r="S83" s="152" t="e">
        <x:f>IF(Q83="","",Q83/MAX(Q$5:Q83)-1)</x:f>
        <x:v>#NAME?</x:v>
      </x:c>
    </x:row>
    <x:row r="84">
      <x:c r="A84" s="149" t="str">
        <x:f>IF('实盘净值数据(iFinD公式)'!A84="","",'实盘净值数据(iFinD公式)'!A84)</x:f>
      </x:c>
      <x:c r="B84" s="146" t="e">
        <x:f>IF(OR('实盘净值数据(iFinD公式)'!$A84="",'实盘净值数据(iFinD公式)'!$B84=""),"",分期持仓明细!$AD$17*SUMPRODUCT(分期持仓明细!$B$17:$AA$17,'实盘净值数据(iFinD公式)'!$B84:$AA84/'实盘净值数据(iFinD公式)'!$B$20:$AA$20)*(1-实盘持仓初始配置!$Z$4)^(('实盘净值数据(iFinD公式)'!$A84-'实盘净值数据(iFinD公式)'!$A$6)/365))</x:f>
        <x:v>#NAME?</x:v>
      </x:c>
      <x:c r="C84" s="152" t="e">
        <x:f>IF(OR(B83="",B84=""),"",B84/B83-1)</x:f>
        <x:v>#NAME?</x:v>
      </x:c>
      <x:c r="D84" s="152" t="e">
        <x:f>IF(B84="","",B84/MAX(B$5:B84)-1)</x:f>
        <x:v>#NAME?</x:v>
      </x:c>
      <x:c r="E84" s="146" t="e">
        <x:f>IF(OR('实盘净值数据(iFinD公式)'!$A84="",'实盘净值数据(iFinD公式)'!$B84=""),"",分期持仓明细!$AD$18*SUMPRODUCT(分期持仓明细!$B$18:$AA$18,'实盘净值数据(iFinD公式)'!$B84:$AA84/'实盘净值数据(iFinD公式)'!$B$20:$AA$20)*(1-实盘持仓初始配置!$Z$5)^(('实盘净值数据(iFinD公式)'!$A84-'实盘净值数据(iFinD公式)'!$A$5)/365))</x:f>
        <x:v>#NAME?</x:v>
      </x:c>
      <x:c r="F84" s="152" t="e">
        <x:f>IF(OR(E83="",E84=""),"",E84/E83-1)</x:f>
        <x:v>#NAME?</x:v>
      </x:c>
      <x:c r="G84" s="152" t="e">
        <x:f>IF(E84="","",E84/MAX(E$5:E84)-1)</x:f>
        <x:v>#NAME?</x:v>
      </x:c>
      <x:c r="H84" s="146" t="e">
        <x:f>IF(OR('实盘净值数据(iFinD公式)'!$A84="",'实盘净值数据(iFinD公式)'!$B84=""),"",分期持仓明细!$AD$19*SUMPRODUCT(分期持仓明细!$B$19:$AA$19,'实盘净值数据(iFinD公式)'!$B84:$AA84/'实盘净值数据(iFinD公式)'!$B$20:$AA$20)*(1-实盘持仓初始配置!$Z$6)^(('实盘净值数据(iFinD公式)'!$A84-'实盘净值数据(iFinD公式)'!$A$7)/365))</x:f>
        <x:v>#NAME?</x:v>
      </x:c>
      <x:c r="I84" s="152" t="e">
        <x:f>IF(OR(H83="",H84=""),"",H84/H83-1)</x:f>
        <x:v>#NAME?</x:v>
      </x:c>
      <x:c r="J84" s="152" t="e">
        <x:f>IF(H84="","",H84/MAX(H$5:H84)-1)</x:f>
        <x:v>#NAME?</x:v>
      </x:c>
      <x:c r="K84" s="146" t="e">
        <x:f>IF(OR('实盘净值数据(iFinD公式)'!$A84="",'实盘净值数据(iFinD公式)'!$B84=""),"",分期持仓明细!$AD$23*SUMPRODUCT(分期持仓明细!$B$23:$AA$23,'实盘净值数据(iFinD公式)'!$B84:$AA84/'实盘净值数据(iFinD公式)'!$B$65:$AA$65)*(1-实盘持仓初始配置!$Z$7)^(('实盘净值数据(iFinD公式)'!$A84-'实盘净值数据(iFinD公式)'!$A$8)/365))</x:f>
        <x:v>#NAME?</x:v>
      </x:c>
      <x:c r="L84" s="152" t="e">
        <x:f>IF(OR(K83="",K84=""),"",K84/K83-1)</x:f>
        <x:v>#NAME?</x:v>
      </x:c>
      <x:c r="M84" s="152" t="e">
        <x:f>IF(K84="","",K84/MAX(K$5:K84)-1)</x:f>
        <x:v>#NAME?</x:v>
      </x:c>
      <x:c r="N84" s="146" t="e">
        <x:f>IF(OR('实盘净值数据(iFinD公式)'!$A84="",'实盘净值数据(iFinD公式)'!$B84=""),"",分期持仓明细!$AD$24*SUMPRODUCT(分期持仓明细!$B$24:$AA$24,'实盘净值数据(iFinD公式)'!$B84:$AA84/'实盘净值数据(iFinD公式)'!$B$65:$AA$65)*(1-实盘持仓初始配置!$Z$8)^(('实盘净值数据(iFinD公式)'!$A84-'实盘净值数据(iFinD公式)'!$A$5)/365))</x:f>
        <x:v>#NAME?</x:v>
      </x:c>
      <x:c r="O84" s="152" t="e">
        <x:f>IF(OR(N83="",N84=""),"",N84/N83-1)</x:f>
        <x:v>#NAME?</x:v>
      </x:c>
      <x:c r="P84" s="152" t="e">
        <x:f>IF(N84="","",N84/MAX(N$5:N84)-1)</x:f>
        <x:v>#NAME?</x:v>
      </x:c>
      <x:c r="Q84" s="146" t="e">
        <x:f>IF(OR('实盘净值数据(iFinD公式)'!$A84="",'实盘净值数据(iFinD公式)'!$B84=""),"",分期持仓明细!$AD$25*SUMPRODUCT(分期持仓明细!$B$25:$AA$25,'实盘净值数据(iFinD公式)'!$B84:$AA84/'实盘净值数据(iFinD公式)'!$B$65:$AA$65)*(1-实盘持仓初始配置!$Z$9)^(('实盘净值数据(iFinD公式)'!$A84-'实盘净值数据(iFinD公式)'!$A$8)/365))</x:f>
        <x:v>#NAME?</x:v>
      </x:c>
      <x:c r="R84" s="152" t="e">
        <x:f>IF(OR(Q83="",Q84=""),"",Q84/Q83-1)</x:f>
        <x:v>#NAME?</x:v>
      </x:c>
      <x:c r="S84" s="152" t="e">
        <x:f>IF(Q84="","",Q84/MAX(Q$5:Q84)-1)</x:f>
        <x:v>#NAME?</x:v>
      </x:c>
    </x:row>
    <x:row r="85">
      <x:c r="A85" s="149" t="str">
        <x:f>IF('实盘净值数据(iFinD公式)'!A85="","",'实盘净值数据(iFinD公式)'!A85)</x:f>
      </x:c>
      <x:c r="B85" s="146" t="e">
        <x:f>IF(OR('实盘净值数据(iFinD公式)'!$A85="",'实盘净值数据(iFinD公式)'!$B85=""),"",分期持仓明细!$AD$17*SUMPRODUCT(分期持仓明细!$B$17:$AA$17,'实盘净值数据(iFinD公式)'!$B85:$AA85/'实盘净值数据(iFinD公式)'!$B$20:$AA$20)*(1-实盘持仓初始配置!$Z$4)^(('实盘净值数据(iFinD公式)'!$A85-'实盘净值数据(iFinD公式)'!$A$6)/365))</x:f>
        <x:v>#NAME?</x:v>
      </x:c>
      <x:c r="C85" s="152" t="e">
        <x:f>IF(OR(B84="",B85=""),"",B85/B84-1)</x:f>
        <x:v>#NAME?</x:v>
      </x:c>
      <x:c r="D85" s="152" t="e">
        <x:f>IF(B85="","",B85/MAX(B$5:B85)-1)</x:f>
        <x:v>#NAME?</x:v>
      </x:c>
      <x:c r="E85" s="146" t="e">
        <x:f>IF(OR('实盘净值数据(iFinD公式)'!$A85="",'实盘净值数据(iFinD公式)'!$B85=""),"",分期持仓明细!$AD$18*SUMPRODUCT(分期持仓明细!$B$18:$AA$18,'实盘净值数据(iFinD公式)'!$B85:$AA85/'实盘净值数据(iFinD公式)'!$B$20:$AA$20)*(1-实盘持仓初始配置!$Z$5)^(('实盘净值数据(iFinD公式)'!$A85-'实盘净值数据(iFinD公式)'!$A$5)/365))</x:f>
        <x:v>#NAME?</x:v>
      </x:c>
      <x:c r="F85" s="152" t="e">
        <x:f>IF(OR(E84="",E85=""),"",E85/E84-1)</x:f>
        <x:v>#NAME?</x:v>
      </x:c>
      <x:c r="G85" s="152" t="e">
        <x:f>IF(E85="","",E85/MAX(E$5:E85)-1)</x:f>
        <x:v>#NAME?</x:v>
      </x:c>
      <x:c r="H85" s="146" t="e">
        <x:f>IF(OR('实盘净值数据(iFinD公式)'!$A85="",'实盘净值数据(iFinD公式)'!$B85=""),"",分期持仓明细!$AD$19*SUMPRODUCT(分期持仓明细!$B$19:$AA$19,'实盘净值数据(iFinD公式)'!$B85:$AA85/'实盘净值数据(iFinD公式)'!$B$20:$AA$20)*(1-实盘持仓初始配置!$Z$6)^(('实盘净值数据(iFinD公式)'!$A85-'实盘净值数据(iFinD公式)'!$A$7)/365))</x:f>
        <x:v>#NAME?</x:v>
      </x:c>
      <x:c r="I85" s="152" t="e">
        <x:f>IF(OR(H84="",H85=""),"",H85/H84-1)</x:f>
        <x:v>#NAME?</x:v>
      </x:c>
      <x:c r="J85" s="152" t="e">
        <x:f>IF(H85="","",H85/MAX(H$5:H85)-1)</x:f>
        <x:v>#NAME?</x:v>
      </x:c>
      <x:c r="K85" s="146" t="e">
        <x:f>IF(OR('实盘净值数据(iFinD公式)'!$A85="",'实盘净值数据(iFinD公式)'!$B85=""),"",分期持仓明细!$AD$23*SUMPRODUCT(分期持仓明细!$B$23:$AA$23,'实盘净值数据(iFinD公式)'!$B85:$AA85/'实盘净值数据(iFinD公式)'!$B$65:$AA$65)*(1-实盘持仓初始配置!$Z$7)^(('实盘净值数据(iFinD公式)'!$A85-'实盘净值数据(iFinD公式)'!$A$8)/365))</x:f>
        <x:v>#NAME?</x:v>
      </x:c>
      <x:c r="L85" s="152" t="e">
        <x:f>IF(OR(K84="",K85=""),"",K85/K84-1)</x:f>
        <x:v>#NAME?</x:v>
      </x:c>
      <x:c r="M85" s="152" t="e">
        <x:f>IF(K85="","",K85/MAX(K$5:K85)-1)</x:f>
        <x:v>#NAME?</x:v>
      </x:c>
      <x:c r="N85" s="146" t="e">
        <x:f>IF(OR('实盘净值数据(iFinD公式)'!$A85="",'实盘净值数据(iFinD公式)'!$B85=""),"",分期持仓明细!$AD$24*SUMPRODUCT(分期持仓明细!$B$24:$AA$24,'实盘净值数据(iFinD公式)'!$B85:$AA85/'实盘净值数据(iFinD公式)'!$B$65:$AA$65)*(1-实盘持仓初始配置!$Z$8)^(('实盘净值数据(iFinD公式)'!$A85-'实盘净值数据(iFinD公式)'!$A$5)/365))</x:f>
        <x:v>#NAME?</x:v>
      </x:c>
      <x:c r="O85" s="152" t="e">
        <x:f>IF(OR(N84="",N85=""),"",N85/N84-1)</x:f>
        <x:v>#NAME?</x:v>
      </x:c>
      <x:c r="P85" s="152" t="e">
        <x:f>IF(N85="","",N85/MAX(N$5:N85)-1)</x:f>
        <x:v>#NAME?</x:v>
      </x:c>
      <x:c r="Q85" s="146" t="e">
        <x:f>IF(OR('实盘净值数据(iFinD公式)'!$A85="",'实盘净值数据(iFinD公式)'!$B85=""),"",分期持仓明细!$AD$25*SUMPRODUCT(分期持仓明细!$B$25:$AA$25,'实盘净值数据(iFinD公式)'!$B85:$AA85/'实盘净值数据(iFinD公式)'!$B$65:$AA$65)*(1-实盘持仓初始配置!$Z$9)^(('实盘净值数据(iFinD公式)'!$A85-'实盘净值数据(iFinD公式)'!$A$8)/365))</x:f>
        <x:v>#NAME?</x:v>
      </x:c>
      <x:c r="R85" s="152" t="e">
        <x:f>IF(OR(Q84="",Q85=""),"",Q85/Q84-1)</x:f>
        <x:v>#NAME?</x:v>
      </x:c>
      <x:c r="S85" s="152" t="e">
        <x:f>IF(Q85="","",Q85/MAX(Q$5:Q85)-1)</x:f>
        <x:v>#NAME?</x:v>
      </x:c>
    </x:row>
    <x:row r="86">
      <x:c r="A86" s="149" t="str">
        <x:f>IF('实盘净值数据(iFinD公式)'!A86="","",'实盘净值数据(iFinD公式)'!A86)</x:f>
      </x:c>
      <x:c r="B86" s="146" t="e">
        <x:f>IF(OR('实盘净值数据(iFinD公式)'!$A86="",'实盘净值数据(iFinD公式)'!$B86=""),"",分期持仓明细!$AD$17*SUMPRODUCT(分期持仓明细!$B$17:$AA$17,'实盘净值数据(iFinD公式)'!$B86:$AA86/'实盘净值数据(iFinD公式)'!$B$20:$AA$20)*(1-实盘持仓初始配置!$Z$4)^(('实盘净值数据(iFinD公式)'!$A86-'实盘净值数据(iFinD公式)'!$A$6)/365))</x:f>
        <x:v>#NAME?</x:v>
      </x:c>
      <x:c r="C86" s="152" t="e">
        <x:f>IF(OR(B85="",B86=""),"",B86/B85-1)</x:f>
        <x:v>#NAME?</x:v>
      </x:c>
      <x:c r="D86" s="152" t="e">
        <x:f>IF(B86="","",B86/MAX(B$5:B86)-1)</x:f>
        <x:v>#NAME?</x:v>
      </x:c>
      <x:c r="E86" s="146" t="e">
        <x:f>IF(OR('实盘净值数据(iFinD公式)'!$A86="",'实盘净值数据(iFinD公式)'!$B86=""),"",分期持仓明细!$AD$18*SUMPRODUCT(分期持仓明细!$B$18:$AA$18,'实盘净值数据(iFinD公式)'!$B86:$AA86/'实盘净值数据(iFinD公式)'!$B$20:$AA$20)*(1-实盘持仓初始配置!$Z$5)^(('实盘净值数据(iFinD公式)'!$A86-'实盘净值数据(iFinD公式)'!$A$5)/365))</x:f>
        <x:v>#NAME?</x:v>
      </x:c>
      <x:c r="F86" s="152" t="e">
        <x:f>IF(OR(E85="",E86=""),"",E86/E85-1)</x:f>
        <x:v>#NAME?</x:v>
      </x:c>
      <x:c r="G86" s="152" t="e">
        <x:f>IF(E86="","",E86/MAX(E$5:E86)-1)</x:f>
        <x:v>#NAME?</x:v>
      </x:c>
      <x:c r="H86" s="146" t="e">
        <x:f>IF(OR('实盘净值数据(iFinD公式)'!$A86="",'实盘净值数据(iFinD公式)'!$B86=""),"",分期持仓明细!$AD$19*SUMPRODUCT(分期持仓明细!$B$19:$AA$19,'实盘净值数据(iFinD公式)'!$B86:$AA86/'实盘净值数据(iFinD公式)'!$B$20:$AA$20)*(1-实盘持仓初始配置!$Z$6)^(('实盘净值数据(iFinD公式)'!$A86-'实盘净值数据(iFinD公式)'!$A$7)/365))</x:f>
        <x:v>#NAME?</x:v>
      </x:c>
      <x:c r="I86" s="152" t="e">
        <x:f>IF(OR(H85="",H86=""),"",H86/H85-1)</x:f>
        <x:v>#NAME?</x:v>
      </x:c>
      <x:c r="J86" s="152" t="e">
        <x:f>IF(H86="","",H86/MAX(H$5:H86)-1)</x:f>
        <x:v>#NAME?</x:v>
      </x:c>
      <x:c r="K86" s="146" t="e">
        <x:f>IF(OR('实盘净值数据(iFinD公式)'!$A86="",'实盘净值数据(iFinD公式)'!$B86=""),"",分期持仓明细!$AD$23*SUMPRODUCT(分期持仓明细!$B$23:$AA$23,'实盘净值数据(iFinD公式)'!$B86:$AA86/'实盘净值数据(iFinD公式)'!$B$65:$AA$65)*(1-实盘持仓初始配置!$Z$7)^(('实盘净值数据(iFinD公式)'!$A86-'实盘净值数据(iFinD公式)'!$A$8)/365))</x:f>
        <x:v>#NAME?</x:v>
      </x:c>
      <x:c r="L86" s="152" t="e">
        <x:f>IF(OR(K85="",K86=""),"",K86/K85-1)</x:f>
        <x:v>#NAME?</x:v>
      </x:c>
      <x:c r="M86" s="152" t="e">
        <x:f>IF(K86="","",K86/MAX(K$5:K86)-1)</x:f>
        <x:v>#NAME?</x:v>
      </x:c>
      <x:c r="N86" s="146" t="e">
        <x:f>IF(OR('实盘净值数据(iFinD公式)'!$A86="",'实盘净值数据(iFinD公式)'!$B86=""),"",分期持仓明细!$AD$24*SUMPRODUCT(分期持仓明细!$B$24:$AA$24,'实盘净值数据(iFinD公式)'!$B86:$AA86/'实盘净值数据(iFinD公式)'!$B$65:$AA$65)*(1-实盘持仓初始配置!$Z$8)^(('实盘净值数据(iFinD公式)'!$A86-'实盘净值数据(iFinD公式)'!$A$5)/365))</x:f>
        <x:v>#NAME?</x:v>
      </x:c>
      <x:c r="O86" s="152" t="e">
        <x:f>IF(OR(N85="",N86=""),"",N86/N85-1)</x:f>
        <x:v>#NAME?</x:v>
      </x:c>
      <x:c r="P86" s="152" t="e">
        <x:f>IF(N86="","",N86/MAX(N$5:N86)-1)</x:f>
        <x:v>#NAME?</x:v>
      </x:c>
      <x:c r="Q86" s="146" t="e">
        <x:f>IF(OR('实盘净值数据(iFinD公式)'!$A86="",'实盘净值数据(iFinD公式)'!$B86=""),"",分期持仓明细!$AD$25*SUMPRODUCT(分期持仓明细!$B$25:$AA$25,'实盘净值数据(iFinD公式)'!$B86:$AA86/'实盘净值数据(iFinD公式)'!$B$65:$AA$65)*(1-实盘持仓初始配置!$Z$9)^(('实盘净值数据(iFinD公式)'!$A86-'实盘净值数据(iFinD公式)'!$A$8)/365))</x:f>
        <x:v>#NAME?</x:v>
      </x:c>
      <x:c r="R86" s="152" t="e">
        <x:f>IF(OR(Q85="",Q86=""),"",Q86/Q85-1)</x:f>
        <x:v>#NAME?</x:v>
      </x:c>
      <x:c r="S86" s="152" t="e">
        <x:f>IF(Q86="","",Q86/MAX(Q$5:Q86)-1)</x:f>
        <x:v>#NAME?</x:v>
      </x:c>
    </x:row>
    <x:row r="87">
      <x:c r="A87" s="149" t="str">
        <x:f>IF('实盘净值数据(iFinD公式)'!A87="","",'实盘净值数据(iFinD公式)'!A87)</x:f>
      </x:c>
      <x:c r="B87" s="146" t="e">
        <x:f>IF(OR('实盘净值数据(iFinD公式)'!$A87="",'实盘净值数据(iFinD公式)'!$B87=""),"",分期持仓明细!$AD$17*SUMPRODUCT(分期持仓明细!$B$17:$AA$17,'实盘净值数据(iFinD公式)'!$B87:$AA87/'实盘净值数据(iFinD公式)'!$B$20:$AA$20)*(1-实盘持仓初始配置!$Z$4)^(('实盘净值数据(iFinD公式)'!$A87-'实盘净值数据(iFinD公式)'!$A$6)/365))</x:f>
        <x:v>#NAME?</x:v>
      </x:c>
      <x:c r="C87" s="152" t="e">
        <x:f>IF(OR(B86="",B87=""),"",B87/B86-1)</x:f>
        <x:v>#NAME?</x:v>
      </x:c>
      <x:c r="D87" s="152" t="e">
        <x:f>IF(B87="","",B87/MAX(B$5:B87)-1)</x:f>
        <x:v>#NAME?</x:v>
      </x:c>
      <x:c r="E87" s="146" t="e">
        <x:f>IF(OR('实盘净值数据(iFinD公式)'!$A87="",'实盘净值数据(iFinD公式)'!$B87=""),"",分期持仓明细!$AD$18*SUMPRODUCT(分期持仓明细!$B$18:$AA$18,'实盘净值数据(iFinD公式)'!$B87:$AA87/'实盘净值数据(iFinD公式)'!$B$20:$AA$20)*(1-实盘持仓初始配置!$Z$5)^(('实盘净值数据(iFinD公式)'!$A87-'实盘净值数据(iFinD公式)'!$A$5)/365))</x:f>
        <x:v>#NAME?</x:v>
      </x:c>
      <x:c r="F87" s="152" t="e">
        <x:f>IF(OR(E86="",E87=""),"",E87/E86-1)</x:f>
        <x:v>#NAME?</x:v>
      </x:c>
      <x:c r="G87" s="152" t="e">
        <x:f>IF(E87="","",E87/MAX(E$5:E87)-1)</x:f>
        <x:v>#NAME?</x:v>
      </x:c>
      <x:c r="H87" s="146" t="e">
        <x:f>IF(OR('实盘净值数据(iFinD公式)'!$A87="",'实盘净值数据(iFinD公式)'!$B87=""),"",分期持仓明细!$AD$19*SUMPRODUCT(分期持仓明细!$B$19:$AA$19,'实盘净值数据(iFinD公式)'!$B87:$AA87/'实盘净值数据(iFinD公式)'!$B$20:$AA$20)*(1-实盘持仓初始配置!$Z$6)^(('实盘净值数据(iFinD公式)'!$A87-'实盘净值数据(iFinD公式)'!$A$7)/365))</x:f>
        <x:v>#NAME?</x:v>
      </x:c>
      <x:c r="I87" s="152" t="e">
        <x:f>IF(OR(H86="",H87=""),"",H87/H86-1)</x:f>
        <x:v>#NAME?</x:v>
      </x:c>
      <x:c r="J87" s="152" t="e">
        <x:f>IF(H87="","",H87/MAX(H$5:H87)-1)</x:f>
        <x:v>#NAME?</x:v>
      </x:c>
      <x:c r="K87" s="146" t="e">
        <x:f>IF(OR('实盘净值数据(iFinD公式)'!$A87="",'实盘净值数据(iFinD公式)'!$B87=""),"",分期持仓明细!$AD$23*SUMPRODUCT(分期持仓明细!$B$23:$AA$23,'实盘净值数据(iFinD公式)'!$B87:$AA87/'实盘净值数据(iFinD公式)'!$B$65:$AA$65)*(1-实盘持仓初始配置!$Z$7)^(('实盘净值数据(iFinD公式)'!$A87-'实盘净值数据(iFinD公式)'!$A$8)/365))</x:f>
        <x:v>#NAME?</x:v>
      </x:c>
      <x:c r="L87" s="152" t="e">
        <x:f>IF(OR(K86="",K87=""),"",K87/K86-1)</x:f>
        <x:v>#NAME?</x:v>
      </x:c>
      <x:c r="M87" s="152" t="e">
        <x:f>IF(K87="","",K87/MAX(K$5:K87)-1)</x:f>
        <x:v>#NAME?</x:v>
      </x:c>
      <x:c r="N87" s="146" t="e">
        <x:f>IF(OR('实盘净值数据(iFinD公式)'!$A87="",'实盘净值数据(iFinD公式)'!$B87=""),"",分期持仓明细!$AD$24*SUMPRODUCT(分期持仓明细!$B$24:$AA$24,'实盘净值数据(iFinD公式)'!$B87:$AA87/'实盘净值数据(iFinD公式)'!$B$65:$AA$65)*(1-实盘持仓初始配置!$Z$8)^(('实盘净值数据(iFinD公式)'!$A87-'实盘净值数据(iFinD公式)'!$A$5)/365))</x:f>
        <x:v>#NAME?</x:v>
      </x:c>
      <x:c r="O87" s="152" t="e">
        <x:f>IF(OR(N86="",N87=""),"",N87/N86-1)</x:f>
        <x:v>#NAME?</x:v>
      </x:c>
      <x:c r="P87" s="152" t="e">
        <x:f>IF(N87="","",N87/MAX(N$5:N87)-1)</x:f>
        <x:v>#NAME?</x:v>
      </x:c>
      <x:c r="Q87" s="146" t="e">
        <x:f>IF(OR('实盘净值数据(iFinD公式)'!$A87="",'实盘净值数据(iFinD公式)'!$B87=""),"",分期持仓明细!$AD$25*SUMPRODUCT(分期持仓明细!$B$25:$AA$25,'实盘净值数据(iFinD公式)'!$B87:$AA87/'实盘净值数据(iFinD公式)'!$B$65:$AA$65)*(1-实盘持仓初始配置!$Z$9)^(('实盘净值数据(iFinD公式)'!$A87-'实盘净值数据(iFinD公式)'!$A$8)/365))</x:f>
        <x:v>#NAME?</x:v>
      </x:c>
      <x:c r="R87" s="152" t="e">
        <x:f>IF(OR(Q86="",Q87=""),"",Q87/Q86-1)</x:f>
        <x:v>#NAME?</x:v>
      </x:c>
      <x:c r="S87" s="152" t="e">
        <x:f>IF(Q87="","",Q87/MAX(Q$5:Q87)-1)</x:f>
        <x:v>#NAME?</x:v>
      </x:c>
    </x:row>
    <x:row r="88">
      <x:c r="A88" s="149" t="str">
        <x:f>IF('实盘净值数据(iFinD公式)'!A88="","",'实盘净值数据(iFinD公式)'!A88)</x:f>
      </x:c>
      <x:c r="B88" s="146" t="e">
        <x:f>IF(OR('实盘净值数据(iFinD公式)'!$A88="",'实盘净值数据(iFinD公式)'!$B88=""),"",分期持仓明细!$AD$17*SUMPRODUCT(分期持仓明细!$B$17:$AA$17,'实盘净值数据(iFinD公式)'!$B88:$AA88/'实盘净值数据(iFinD公式)'!$B$20:$AA$20)*(1-实盘持仓初始配置!$Z$4)^(('实盘净值数据(iFinD公式)'!$A88-'实盘净值数据(iFinD公式)'!$A$6)/365))</x:f>
        <x:v>#NAME?</x:v>
      </x:c>
      <x:c r="C88" s="152" t="e">
        <x:f>IF(OR(B87="",B88=""),"",B88/B87-1)</x:f>
        <x:v>#NAME?</x:v>
      </x:c>
      <x:c r="D88" s="152" t="e">
        <x:f>IF(B88="","",B88/MAX(B$5:B88)-1)</x:f>
        <x:v>#NAME?</x:v>
      </x:c>
      <x:c r="E88" s="146" t="e">
        <x:f>IF(OR('实盘净值数据(iFinD公式)'!$A88="",'实盘净值数据(iFinD公式)'!$B88=""),"",分期持仓明细!$AD$18*SUMPRODUCT(分期持仓明细!$B$18:$AA$18,'实盘净值数据(iFinD公式)'!$B88:$AA88/'实盘净值数据(iFinD公式)'!$B$20:$AA$20)*(1-实盘持仓初始配置!$Z$5)^(('实盘净值数据(iFinD公式)'!$A88-'实盘净值数据(iFinD公式)'!$A$5)/365))</x:f>
        <x:v>#NAME?</x:v>
      </x:c>
      <x:c r="F88" s="152" t="e">
        <x:f>IF(OR(E87="",E88=""),"",E88/E87-1)</x:f>
        <x:v>#NAME?</x:v>
      </x:c>
      <x:c r="G88" s="152" t="e">
        <x:f>IF(E88="","",E88/MAX(E$5:E88)-1)</x:f>
        <x:v>#NAME?</x:v>
      </x:c>
      <x:c r="H88" s="146" t="e">
        <x:f>IF(OR('实盘净值数据(iFinD公式)'!$A88="",'实盘净值数据(iFinD公式)'!$B88=""),"",分期持仓明细!$AD$19*SUMPRODUCT(分期持仓明细!$B$19:$AA$19,'实盘净值数据(iFinD公式)'!$B88:$AA88/'实盘净值数据(iFinD公式)'!$B$20:$AA$20)*(1-实盘持仓初始配置!$Z$6)^(('实盘净值数据(iFinD公式)'!$A88-'实盘净值数据(iFinD公式)'!$A$7)/365))</x:f>
        <x:v>#NAME?</x:v>
      </x:c>
      <x:c r="I88" s="152" t="e">
        <x:f>IF(OR(H87="",H88=""),"",H88/H87-1)</x:f>
        <x:v>#NAME?</x:v>
      </x:c>
      <x:c r="J88" s="152" t="e">
        <x:f>IF(H88="","",H88/MAX(H$5:H88)-1)</x:f>
        <x:v>#NAME?</x:v>
      </x:c>
      <x:c r="K88" s="146" t="e">
        <x:f>IF(OR('实盘净值数据(iFinD公式)'!$A88="",'实盘净值数据(iFinD公式)'!$B88=""),"",分期持仓明细!$AD$23*SUMPRODUCT(分期持仓明细!$B$23:$AA$23,'实盘净值数据(iFinD公式)'!$B88:$AA88/'实盘净值数据(iFinD公式)'!$B$65:$AA$65)*(1-实盘持仓初始配置!$Z$7)^(('实盘净值数据(iFinD公式)'!$A88-'实盘净值数据(iFinD公式)'!$A$8)/365))</x:f>
        <x:v>#NAME?</x:v>
      </x:c>
      <x:c r="L88" s="152" t="e">
        <x:f>IF(OR(K87="",K88=""),"",K88/K87-1)</x:f>
        <x:v>#NAME?</x:v>
      </x:c>
      <x:c r="M88" s="152" t="e">
        <x:f>IF(K88="","",K88/MAX(K$5:K88)-1)</x:f>
        <x:v>#NAME?</x:v>
      </x:c>
      <x:c r="N88" s="146" t="e">
        <x:f>IF(OR('实盘净值数据(iFinD公式)'!$A88="",'实盘净值数据(iFinD公式)'!$B88=""),"",分期持仓明细!$AD$24*SUMPRODUCT(分期持仓明细!$B$24:$AA$24,'实盘净值数据(iFinD公式)'!$B88:$AA88/'实盘净值数据(iFinD公式)'!$B$65:$AA$65)*(1-实盘持仓初始配置!$Z$8)^(('实盘净值数据(iFinD公式)'!$A88-'实盘净值数据(iFinD公式)'!$A$5)/365))</x:f>
        <x:v>#NAME?</x:v>
      </x:c>
      <x:c r="O88" s="152" t="e">
        <x:f>IF(OR(N87="",N88=""),"",N88/N87-1)</x:f>
        <x:v>#NAME?</x:v>
      </x:c>
      <x:c r="P88" s="152" t="e">
        <x:f>IF(N88="","",N88/MAX(N$5:N88)-1)</x:f>
        <x:v>#NAME?</x:v>
      </x:c>
      <x:c r="Q88" s="146" t="e">
        <x:f>IF(OR('实盘净值数据(iFinD公式)'!$A88="",'实盘净值数据(iFinD公式)'!$B88=""),"",分期持仓明细!$AD$25*SUMPRODUCT(分期持仓明细!$B$25:$AA$25,'实盘净值数据(iFinD公式)'!$B88:$AA88/'实盘净值数据(iFinD公式)'!$B$65:$AA$65)*(1-实盘持仓初始配置!$Z$9)^(('实盘净值数据(iFinD公式)'!$A88-'实盘净值数据(iFinD公式)'!$A$8)/365))</x:f>
        <x:v>#NAME?</x:v>
      </x:c>
      <x:c r="R88" s="152" t="e">
        <x:f>IF(OR(Q87="",Q88=""),"",Q88/Q87-1)</x:f>
        <x:v>#NAME?</x:v>
      </x:c>
      <x:c r="S88" s="152" t="e">
        <x:f>IF(Q88="","",Q88/MAX(Q$5:Q88)-1)</x:f>
        <x:v>#NAME?</x:v>
      </x:c>
    </x:row>
    <x:row r="89">
      <x:c r="A89" s="149" t="str">
        <x:f>IF('实盘净值数据(iFinD公式)'!A89="","",'实盘净值数据(iFinD公式)'!A89)</x:f>
      </x:c>
      <x:c r="B89" s="146" t="e">
        <x:f>IF(OR('实盘净值数据(iFinD公式)'!$A89="",'实盘净值数据(iFinD公式)'!$B89=""),"",分期持仓明细!$AD$17*SUMPRODUCT(分期持仓明细!$B$17:$AA$17,'实盘净值数据(iFinD公式)'!$B89:$AA89/'实盘净值数据(iFinD公式)'!$B$20:$AA$20)*(1-实盘持仓初始配置!$Z$4)^(('实盘净值数据(iFinD公式)'!$A89-'实盘净值数据(iFinD公式)'!$A$6)/365))</x:f>
        <x:v>#NAME?</x:v>
      </x:c>
      <x:c r="C89" s="152" t="e">
        <x:f>IF(OR(B88="",B89=""),"",B89/B88-1)</x:f>
        <x:v>#NAME?</x:v>
      </x:c>
      <x:c r="D89" s="152" t="e">
        <x:f>IF(B89="","",B89/MAX(B$5:B89)-1)</x:f>
        <x:v>#NAME?</x:v>
      </x:c>
      <x:c r="E89" s="146" t="e">
        <x:f>IF(OR('实盘净值数据(iFinD公式)'!$A89="",'实盘净值数据(iFinD公式)'!$B89=""),"",分期持仓明细!$AD$18*SUMPRODUCT(分期持仓明细!$B$18:$AA$18,'实盘净值数据(iFinD公式)'!$B89:$AA89/'实盘净值数据(iFinD公式)'!$B$20:$AA$20)*(1-实盘持仓初始配置!$Z$5)^(('实盘净值数据(iFinD公式)'!$A89-'实盘净值数据(iFinD公式)'!$A$5)/365))</x:f>
        <x:v>#NAME?</x:v>
      </x:c>
      <x:c r="F89" s="152" t="e">
        <x:f>IF(OR(E88="",E89=""),"",E89/E88-1)</x:f>
        <x:v>#NAME?</x:v>
      </x:c>
      <x:c r="G89" s="152" t="e">
        <x:f>IF(E89="","",E89/MAX(E$5:E89)-1)</x:f>
        <x:v>#NAME?</x:v>
      </x:c>
      <x:c r="H89" s="146" t="e">
        <x:f>IF(OR('实盘净值数据(iFinD公式)'!$A89="",'实盘净值数据(iFinD公式)'!$B89=""),"",分期持仓明细!$AD$19*SUMPRODUCT(分期持仓明细!$B$19:$AA$19,'实盘净值数据(iFinD公式)'!$B89:$AA89/'实盘净值数据(iFinD公式)'!$B$20:$AA$20)*(1-实盘持仓初始配置!$Z$6)^(('实盘净值数据(iFinD公式)'!$A89-'实盘净值数据(iFinD公式)'!$A$7)/365))</x:f>
        <x:v>#NAME?</x:v>
      </x:c>
      <x:c r="I89" s="152" t="e">
        <x:f>IF(OR(H88="",H89=""),"",H89/H88-1)</x:f>
        <x:v>#NAME?</x:v>
      </x:c>
      <x:c r="J89" s="152" t="e">
        <x:f>IF(H89="","",H89/MAX(H$5:H89)-1)</x:f>
        <x:v>#NAME?</x:v>
      </x:c>
      <x:c r="K89" s="146" t="e">
        <x:f>IF(OR('实盘净值数据(iFinD公式)'!$A89="",'实盘净值数据(iFinD公式)'!$B89=""),"",分期持仓明细!$AD$23*SUMPRODUCT(分期持仓明细!$B$23:$AA$23,'实盘净值数据(iFinD公式)'!$B89:$AA89/'实盘净值数据(iFinD公式)'!$B$65:$AA$65)*(1-实盘持仓初始配置!$Z$7)^(('实盘净值数据(iFinD公式)'!$A89-'实盘净值数据(iFinD公式)'!$A$8)/365))</x:f>
        <x:v>#NAME?</x:v>
      </x:c>
      <x:c r="L89" s="152" t="e">
        <x:f>IF(OR(K88="",K89=""),"",K89/K88-1)</x:f>
        <x:v>#NAME?</x:v>
      </x:c>
      <x:c r="M89" s="152" t="e">
        <x:f>IF(K89="","",K89/MAX(K$5:K89)-1)</x:f>
        <x:v>#NAME?</x:v>
      </x:c>
      <x:c r="N89" s="146" t="e">
        <x:f>IF(OR('实盘净值数据(iFinD公式)'!$A89="",'实盘净值数据(iFinD公式)'!$B89=""),"",分期持仓明细!$AD$24*SUMPRODUCT(分期持仓明细!$B$24:$AA$24,'实盘净值数据(iFinD公式)'!$B89:$AA89/'实盘净值数据(iFinD公式)'!$B$65:$AA$65)*(1-实盘持仓初始配置!$Z$8)^(('实盘净值数据(iFinD公式)'!$A89-'实盘净值数据(iFinD公式)'!$A$5)/365))</x:f>
        <x:v>#NAME?</x:v>
      </x:c>
      <x:c r="O89" s="152" t="e">
        <x:f>IF(OR(N88="",N89=""),"",N89/N88-1)</x:f>
        <x:v>#NAME?</x:v>
      </x:c>
      <x:c r="P89" s="152" t="e">
        <x:f>IF(N89="","",N89/MAX(N$5:N89)-1)</x:f>
        <x:v>#NAME?</x:v>
      </x:c>
      <x:c r="Q89" s="146" t="e">
        <x:f>IF(OR('实盘净值数据(iFinD公式)'!$A89="",'实盘净值数据(iFinD公式)'!$B89=""),"",分期持仓明细!$AD$25*SUMPRODUCT(分期持仓明细!$B$25:$AA$25,'实盘净值数据(iFinD公式)'!$B89:$AA89/'实盘净值数据(iFinD公式)'!$B$65:$AA$65)*(1-实盘持仓初始配置!$Z$9)^(('实盘净值数据(iFinD公式)'!$A89-'实盘净值数据(iFinD公式)'!$A$8)/365))</x:f>
        <x:v>#NAME?</x:v>
      </x:c>
      <x:c r="R89" s="152" t="e">
        <x:f>IF(OR(Q88="",Q89=""),"",Q89/Q88-1)</x:f>
        <x:v>#NAME?</x:v>
      </x:c>
      <x:c r="S89" s="152" t="e">
        <x:f>IF(Q89="","",Q89/MAX(Q$5:Q89)-1)</x:f>
        <x:v>#NAME?</x:v>
      </x:c>
    </x:row>
    <x:row r="90">
      <x:c r="A90" s="149" t="str">
        <x:f>IF('实盘净值数据(iFinD公式)'!A90="","",'实盘净值数据(iFinD公式)'!A90)</x:f>
      </x:c>
      <x:c r="B90" s="146" t="e">
        <x:f>IF(OR('实盘净值数据(iFinD公式)'!$A90="",'实盘净值数据(iFinD公式)'!$B90=""),"",分期持仓明细!$AD$17*SUMPRODUCT(分期持仓明细!$B$17:$AA$17,'实盘净值数据(iFinD公式)'!$B90:$AA90/'实盘净值数据(iFinD公式)'!$B$20:$AA$20)*(1-实盘持仓初始配置!$Z$4)^(('实盘净值数据(iFinD公式)'!$A90-'实盘净值数据(iFinD公式)'!$A$6)/365))</x:f>
        <x:v>#NAME?</x:v>
      </x:c>
      <x:c r="C90" s="152" t="e">
        <x:f>IF(OR(B89="",B90=""),"",B90/B89-1)</x:f>
        <x:v>#NAME?</x:v>
      </x:c>
      <x:c r="D90" s="152" t="e">
        <x:f>IF(B90="","",B90/MAX(B$5:B90)-1)</x:f>
        <x:v>#NAME?</x:v>
      </x:c>
      <x:c r="E90" s="146" t="e">
        <x:f>IF(OR('实盘净值数据(iFinD公式)'!$A90="",'实盘净值数据(iFinD公式)'!$B90=""),"",分期持仓明细!$AD$18*SUMPRODUCT(分期持仓明细!$B$18:$AA$18,'实盘净值数据(iFinD公式)'!$B90:$AA90/'实盘净值数据(iFinD公式)'!$B$20:$AA$20)*(1-实盘持仓初始配置!$Z$5)^(('实盘净值数据(iFinD公式)'!$A90-'实盘净值数据(iFinD公式)'!$A$5)/365))</x:f>
        <x:v>#NAME?</x:v>
      </x:c>
      <x:c r="F90" s="152" t="e">
        <x:f>IF(OR(E89="",E90=""),"",E90/E89-1)</x:f>
        <x:v>#NAME?</x:v>
      </x:c>
      <x:c r="G90" s="152" t="e">
        <x:f>IF(E90="","",E90/MAX(E$5:E90)-1)</x:f>
        <x:v>#NAME?</x:v>
      </x:c>
      <x:c r="H90" s="146" t="e">
        <x:f>IF(OR('实盘净值数据(iFinD公式)'!$A90="",'实盘净值数据(iFinD公式)'!$B90=""),"",分期持仓明细!$AD$19*SUMPRODUCT(分期持仓明细!$B$19:$AA$19,'实盘净值数据(iFinD公式)'!$B90:$AA90/'实盘净值数据(iFinD公式)'!$B$20:$AA$20)*(1-实盘持仓初始配置!$Z$6)^(('实盘净值数据(iFinD公式)'!$A90-'实盘净值数据(iFinD公式)'!$A$7)/365))</x:f>
        <x:v>#NAME?</x:v>
      </x:c>
      <x:c r="I90" s="152" t="e">
        <x:f>IF(OR(H89="",H90=""),"",H90/H89-1)</x:f>
        <x:v>#NAME?</x:v>
      </x:c>
      <x:c r="J90" s="152" t="e">
        <x:f>IF(H90="","",H90/MAX(H$5:H90)-1)</x:f>
        <x:v>#NAME?</x:v>
      </x:c>
      <x:c r="K90" s="146" t="e">
        <x:f>IF(OR('实盘净值数据(iFinD公式)'!$A90="",'实盘净值数据(iFinD公式)'!$B90=""),"",分期持仓明细!$AD$23*SUMPRODUCT(分期持仓明细!$B$23:$AA$23,'实盘净值数据(iFinD公式)'!$B90:$AA90/'实盘净值数据(iFinD公式)'!$B$65:$AA$65)*(1-实盘持仓初始配置!$Z$7)^(('实盘净值数据(iFinD公式)'!$A90-'实盘净值数据(iFinD公式)'!$A$8)/365))</x:f>
        <x:v>#NAME?</x:v>
      </x:c>
      <x:c r="L90" s="152" t="e">
        <x:f>IF(OR(K89="",K90=""),"",K90/K89-1)</x:f>
        <x:v>#NAME?</x:v>
      </x:c>
      <x:c r="M90" s="152" t="e">
        <x:f>IF(K90="","",K90/MAX(K$5:K90)-1)</x:f>
        <x:v>#NAME?</x:v>
      </x:c>
      <x:c r="N90" s="146" t="e">
        <x:f>IF(OR('实盘净值数据(iFinD公式)'!$A90="",'实盘净值数据(iFinD公式)'!$B90=""),"",分期持仓明细!$AD$24*SUMPRODUCT(分期持仓明细!$B$24:$AA$24,'实盘净值数据(iFinD公式)'!$B90:$AA90/'实盘净值数据(iFinD公式)'!$B$65:$AA$65)*(1-实盘持仓初始配置!$Z$8)^(('实盘净值数据(iFinD公式)'!$A90-'实盘净值数据(iFinD公式)'!$A$5)/365))</x:f>
        <x:v>#NAME?</x:v>
      </x:c>
      <x:c r="O90" s="152" t="e">
        <x:f>IF(OR(N89="",N90=""),"",N90/N89-1)</x:f>
        <x:v>#NAME?</x:v>
      </x:c>
      <x:c r="P90" s="152" t="e">
        <x:f>IF(N90="","",N90/MAX(N$5:N90)-1)</x:f>
        <x:v>#NAME?</x:v>
      </x:c>
      <x:c r="Q90" s="146" t="e">
        <x:f>IF(OR('实盘净值数据(iFinD公式)'!$A90="",'实盘净值数据(iFinD公式)'!$B90=""),"",分期持仓明细!$AD$25*SUMPRODUCT(分期持仓明细!$B$25:$AA$25,'实盘净值数据(iFinD公式)'!$B90:$AA90/'实盘净值数据(iFinD公式)'!$B$65:$AA$65)*(1-实盘持仓初始配置!$Z$9)^(('实盘净值数据(iFinD公式)'!$A90-'实盘净值数据(iFinD公式)'!$A$8)/365))</x:f>
        <x:v>#NAME?</x:v>
      </x:c>
      <x:c r="R90" s="152" t="e">
        <x:f>IF(OR(Q89="",Q90=""),"",Q90/Q89-1)</x:f>
        <x:v>#NAME?</x:v>
      </x:c>
      <x:c r="S90" s="152" t="e">
        <x:f>IF(Q90="","",Q90/MAX(Q$5:Q90)-1)</x:f>
        <x:v>#NAME?</x:v>
      </x:c>
    </x:row>
    <x:row r="91">
      <x:c r="A91" s="149" t="str">
        <x:f>IF('实盘净值数据(iFinD公式)'!A91="","",'实盘净值数据(iFinD公式)'!A91)</x:f>
      </x:c>
      <x:c r="B91" s="146" t="e">
        <x:f>IF(OR('实盘净值数据(iFinD公式)'!$A91="",'实盘净值数据(iFinD公式)'!$B91=""),"",分期持仓明细!$AD$17*SUMPRODUCT(分期持仓明细!$B$17:$AA$17,'实盘净值数据(iFinD公式)'!$B91:$AA91/'实盘净值数据(iFinD公式)'!$B$20:$AA$20)*(1-实盘持仓初始配置!$Z$4)^(('实盘净值数据(iFinD公式)'!$A91-'实盘净值数据(iFinD公式)'!$A$6)/365))</x:f>
        <x:v>#NAME?</x:v>
      </x:c>
      <x:c r="C91" s="152" t="e">
        <x:f>IF(OR(B90="",B91=""),"",B91/B90-1)</x:f>
        <x:v>#NAME?</x:v>
      </x:c>
      <x:c r="D91" s="152" t="e">
        <x:f>IF(B91="","",B91/MAX(B$5:B91)-1)</x:f>
        <x:v>#NAME?</x:v>
      </x:c>
      <x:c r="E91" s="146" t="e">
        <x:f>IF(OR('实盘净值数据(iFinD公式)'!$A91="",'实盘净值数据(iFinD公式)'!$B91=""),"",分期持仓明细!$AD$18*SUMPRODUCT(分期持仓明细!$B$18:$AA$18,'实盘净值数据(iFinD公式)'!$B91:$AA91/'实盘净值数据(iFinD公式)'!$B$20:$AA$20)*(1-实盘持仓初始配置!$Z$5)^(('实盘净值数据(iFinD公式)'!$A91-'实盘净值数据(iFinD公式)'!$A$5)/365))</x:f>
        <x:v>#NAME?</x:v>
      </x:c>
      <x:c r="F91" s="152" t="e">
        <x:f>IF(OR(E90="",E91=""),"",E91/E90-1)</x:f>
        <x:v>#NAME?</x:v>
      </x:c>
      <x:c r="G91" s="152" t="e">
        <x:f>IF(E91="","",E91/MAX(E$5:E91)-1)</x:f>
        <x:v>#NAME?</x:v>
      </x:c>
      <x:c r="H91" s="146" t="e">
        <x:f>IF(OR('实盘净值数据(iFinD公式)'!$A91="",'实盘净值数据(iFinD公式)'!$B91=""),"",分期持仓明细!$AD$19*SUMPRODUCT(分期持仓明细!$B$19:$AA$19,'实盘净值数据(iFinD公式)'!$B91:$AA91/'实盘净值数据(iFinD公式)'!$B$20:$AA$20)*(1-实盘持仓初始配置!$Z$6)^(('实盘净值数据(iFinD公式)'!$A91-'实盘净值数据(iFinD公式)'!$A$7)/365))</x:f>
        <x:v>#NAME?</x:v>
      </x:c>
      <x:c r="I91" s="152" t="e">
        <x:f>IF(OR(H90="",H91=""),"",H91/H90-1)</x:f>
        <x:v>#NAME?</x:v>
      </x:c>
      <x:c r="J91" s="152" t="e">
        <x:f>IF(H91="","",H91/MAX(H$5:H91)-1)</x:f>
        <x:v>#NAME?</x:v>
      </x:c>
      <x:c r="K91" s="146" t="e">
        <x:f>IF(OR('实盘净值数据(iFinD公式)'!$A91="",'实盘净值数据(iFinD公式)'!$B91=""),"",分期持仓明细!$AD$23*SUMPRODUCT(分期持仓明细!$B$23:$AA$23,'实盘净值数据(iFinD公式)'!$B91:$AA91/'实盘净值数据(iFinD公式)'!$B$65:$AA$65)*(1-实盘持仓初始配置!$Z$7)^(('实盘净值数据(iFinD公式)'!$A91-'实盘净值数据(iFinD公式)'!$A$8)/365))</x:f>
        <x:v>#NAME?</x:v>
      </x:c>
      <x:c r="L91" s="152" t="e">
        <x:f>IF(OR(K90="",K91=""),"",K91/K90-1)</x:f>
        <x:v>#NAME?</x:v>
      </x:c>
      <x:c r="M91" s="152" t="e">
        <x:f>IF(K91="","",K91/MAX(K$5:K91)-1)</x:f>
        <x:v>#NAME?</x:v>
      </x:c>
      <x:c r="N91" s="146" t="e">
        <x:f>IF(OR('实盘净值数据(iFinD公式)'!$A91="",'实盘净值数据(iFinD公式)'!$B91=""),"",分期持仓明细!$AD$24*SUMPRODUCT(分期持仓明细!$B$24:$AA$24,'实盘净值数据(iFinD公式)'!$B91:$AA91/'实盘净值数据(iFinD公式)'!$B$65:$AA$65)*(1-实盘持仓初始配置!$Z$8)^(('实盘净值数据(iFinD公式)'!$A91-'实盘净值数据(iFinD公式)'!$A$5)/365))</x:f>
        <x:v>#NAME?</x:v>
      </x:c>
      <x:c r="O91" s="152" t="e">
        <x:f>IF(OR(N90="",N91=""),"",N91/N90-1)</x:f>
        <x:v>#NAME?</x:v>
      </x:c>
      <x:c r="P91" s="152" t="e">
        <x:f>IF(N91="","",N91/MAX(N$5:N91)-1)</x:f>
        <x:v>#NAME?</x:v>
      </x:c>
      <x:c r="Q91" s="146" t="e">
        <x:f>IF(OR('实盘净值数据(iFinD公式)'!$A91="",'实盘净值数据(iFinD公式)'!$B91=""),"",分期持仓明细!$AD$25*SUMPRODUCT(分期持仓明细!$B$25:$AA$25,'实盘净值数据(iFinD公式)'!$B91:$AA91/'实盘净值数据(iFinD公式)'!$B$65:$AA$65)*(1-实盘持仓初始配置!$Z$9)^(('实盘净值数据(iFinD公式)'!$A91-'实盘净值数据(iFinD公式)'!$A$8)/365))</x:f>
        <x:v>#NAME?</x:v>
      </x:c>
      <x:c r="R91" s="152" t="e">
        <x:f>IF(OR(Q90="",Q91=""),"",Q91/Q90-1)</x:f>
        <x:v>#NAME?</x:v>
      </x:c>
      <x:c r="S91" s="152" t="e">
        <x:f>IF(Q91="","",Q91/MAX(Q$5:Q91)-1)</x:f>
        <x:v>#NAME?</x:v>
      </x:c>
    </x:row>
    <x:row r="92">
      <x:c r="A92" s="149" t="str">
        <x:f>IF('实盘净值数据(iFinD公式)'!A92="","",'实盘净值数据(iFinD公式)'!A92)</x:f>
      </x:c>
      <x:c r="B92" s="146" t="e">
        <x:f>IF(OR('实盘净值数据(iFinD公式)'!$A92="",'实盘净值数据(iFinD公式)'!$B92=""),"",分期持仓明细!$AD$17*SUMPRODUCT(分期持仓明细!$B$17:$AA$17,'实盘净值数据(iFinD公式)'!$B92:$AA92/'实盘净值数据(iFinD公式)'!$B$20:$AA$20)*(1-实盘持仓初始配置!$Z$4)^(('实盘净值数据(iFinD公式)'!$A92-'实盘净值数据(iFinD公式)'!$A$6)/365))</x:f>
        <x:v>#NAME?</x:v>
      </x:c>
      <x:c r="C92" s="152" t="e">
        <x:f>IF(OR(B91="",B92=""),"",B92/B91-1)</x:f>
        <x:v>#NAME?</x:v>
      </x:c>
      <x:c r="D92" s="152" t="e">
        <x:f>IF(B92="","",B92/MAX(B$5:B92)-1)</x:f>
        <x:v>#NAME?</x:v>
      </x:c>
      <x:c r="E92" s="146" t="e">
        <x:f>IF(OR('实盘净值数据(iFinD公式)'!$A92="",'实盘净值数据(iFinD公式)'!$B92=""),"",分期持仓明细!$AD$18*SUMPRODUCT(分期持仓明细!$B$18:$AA$18,'实盘净值数据(iFinD公式)'!$B92:$AA92/'实盘净值数据(iFinD公式)'!$B$20:$AA$20)*(1-实盘持仓初始配置!$Z$5)^(('实盘净值数据(iFinD公式)'!$A92-'实盘净值数据(iFinD公式)'!$A$5)/365))</x:f>
        <x:v>#NAME?</x:v>
      </x:c>
      <x:c r="F92" s="152" t="e">
        <x:f>IF(OR(E91="",E92=""),"",E92/E91-1)</x:f>
        <x:v>#NAME?</x:v>
      </x:c>
      <x:c r="G92" s="152" t="e">
        <x:f>IF(E92="","",E92/MAX(E$5:E92)-1)</x:f>
        <x:v>#NAME?</x:v>
      </x:c>
      <x:c r="H92" s="146" t="e">
        <x:f>IF(OR('实盘净值数据(iFinD公式)'!$A92="",'实盘净值数据(iFinD公式)'!$B92=""),"",分期持仓明细!$AD$19*SUMPRODUCT(分期持仓明细!$B$19:$AA$19,'实盘净值数据(iFinD公式)'!$B92:$AA92/'实盘净值数据(iFinD公式)'!$B$20:$AA$20)*(1-实盘持仓初始配置!$Z$6)^(('实盘净值数据(iFinD公式)'!$A92-'实盘净值数据(iFinD公式)'!$A$7)/365))</x:f>
        <x:v>#NAME?</x:v>
      </x:c>
      <x:c r="I92" s="152" t="e">
        <x:f>IF(OR(H91="",H92=""),"",H92/H91-1)</x:f>
        <x:v>#NAME?</x:v>
      </x:c>
      <x:c r="J92" s="152" t="e">
        <x:f>IF(H92="","",H92/MAX(H$5:H92)-1)</x:f>
        <x:v>#NAME?</x:v>
      </x:c>
      <x:c r="K92" s="146" t="e">
        <x:f>IF(OR('实盘净值数据(iFinD公式)'!$A92="",'实盘净值数据(iFinD公式)'!$B92=""),"",分期持仓明细!$AD$23*SUMPRODUCT(分期持仓明细!$B$23:$AA$23,'实盘净值数据(iFinD公式)'!$B92:$AA92/'实盘净值数据(iFinD公式)'!$B$65:$AA$65)*(1-实盘持仓初始配置!$Z$7)^(('实盘净值数据(iFinD公式)'!$A92-'实盘净值数据(iFinD公式)'!$A$8)/365))</x:f>
        <x:v>#NAME?</x:v>
      </x:c>
      <x:c r="L92" s="152" t="e">
        <x:f>IF(OR(K91="",K92=""),"",K92/K91-1)</x:f>
        <x:v>#NAME?</x:v>
      </x:c>
      <x:c r="M92" s="152" t="e">
        <x:f>IF(K92="","",K92/MAX(K$5:K92)-1)</x:f>
        <x:v>#NAME?</x:v>
      </x:c>
      <x:c r="N92" s="146" t="e">
        <x:f>IF(OR('实盘净值数据(iFinD公式)'!$A92="",'实盘净值数据(iFinD公式)'!$B92=""),"",分期持仓明细!$AD$24*SUMPRODUCT(分期持仓明细!$B$24:$AA$24,'实盘净值数据(iFinD公式)'!$B92:$AA92/'实盘净值数据(iFinD公式)'!$B$65:$AA$65)*(1-实盘持仓初始配置!$Z$8)^(('实盘净值数据(iFinD公式)'!$A92-'实盘净值数据(iFinD公式)'!$A$5)/365))</x:f>
        <x:v>#NAME?</x:v>
      </x:c>
      <x:c r="O92" s="152" t="e">
        <x:f>IF(OR(N91="",N92=""),"",N92/N91-1)</x:f>
        <x:v>#NAME?</x:v>
      </x:c>
      <x:c r="P92" s="152" t="e">
        <x:f>IF(N92="","",N92/MAX(N$5:N92)-1)</x:f>
        <x:v>#NAME?</x:v>
      </x:c>
      <x:c r="Q92" s="146" t="e">
        <x:f>IF(OR('实盘净值数据(iFinD公式)'!$A92="",'实盘净值数据(iFinD公式)'!$B92=""),"",分期持仓明细!$AD$25*SUMPRODUCT(分期持仓明细!$B$25:$AA$25,'实盘净值数据(iFinD公式)'!$B92:$AA92/'实盘净值数据(iFinD公式)'!$B$65:$AA$65)*(1-实盘持仓初始配置!$Z$9)^(('实盘净值数据(iFinD公式)'!$A92-'实盘净值数据(iFinD公式)'!$A$8)/365))</x:f>
        <x:v>#NAME?</x:v>
      </x:c>
      <x:c r="R92" s="152" t="e">
        <x:f>IF(OR(Q91="",Q92=""),"",Q92/Q91-1)</x:f>
        <x:v>#NAME?</x:v>
      </x:c>
      <x:c r="S92" s="152" t="e">
        <x:f>IF(Q92="","",Q92/MAX(Q$5:Q92)-1)</x:f>
        <x:v>#NAME?</x:v>
      </x:c>
    </x:row>
    <x:row r="93">
      <x:c r="A93" s="149" t="str">
        <x:f>IF('实盘净值数据(iFinD公式)'!A93="","",'实盘净值数据(iFinD公式)'!A93)</x:f>
      </x:c>
      <x:c r="B93" s="146" t="e">
        <x:f>IF(OR('实盘净值数据(iFinD公式)'!$A93="",'实盘净值数据(iFinD公式)'!$B93=""),"",分期持仓明细!$AD$17*SUMPRODUCT(分期持仓明细!$B$17:$AA$17,'实盘净值数据(iFinD公式)'!$B93:$AA93/'实盘净值数据(iFinD公式)'!$B$20:$AA$20)*(1-实盘持仓初始配置!$Z$4)^(('实盘净值数据(iFinD公式)'!$A93-'实盘净值数据(iFinD公式)'!$A$6)/365))</x:f>
        <x:v>#NAME?</x:v>
      </x:c>
      <x:c r="C93" s="152" t="e">
        <x:f>IF(OR(B92="",B93=""),"",B93/B92-1)</x:f>
        <x:v>#NAME?</x:v>
      </x:c>
      <x:c r="D93" s="152" t="e">
        <x:f>IF(B93="","",B93/MAX(B$5:B93)-1)</x:f>
        <x:v>#NAME?</x:v>
      </x:c>
      <x:c r="E93" s="146" t="e">
        <x:f>IF(OR('实盘净值数据(iFinD公式)'!$A93="",'实盘净值数据(iFinD公式)'!$B93=""),"",分期持仓明细!$AD$18*SUMPRODUCT(分期持仓明细!$B$18:$AA$18,'实盘净值数据(iFinD公式)'!$B93:$AA93/'实盘净值数据(iFinD公式)'!$B$20:$AA$20)*(1-实盘持仓初始配置!$Z$5)^(('实盘净值数据(iFinD公式)'!$A93-'实盘净值数据(iFinD公式)'!$A$5)/365))</x:f>
        <x:v>#NAME?</x:v>
      </x:c>
      <x:c r="F93" s="152" t="e">
        <x:f>IF(OR(E92="",E93=""),"",E93/E92-1)</x:f>
        <x:v>#NAME?</x:v>
      </x:c>
      <x:c r="G93" s="152" t="e">
        <x:f>IF(E93="","",E93/MAX(E$5:E93)-1)</x:f>
        <x:v>#NAME?</x:v>
      </x:c>
      <x:c r="H93" s="146" t="e">
        <x:f>IF(OR('实盘净值数据(iFinD公式)'!$A93="",'实盘净值数据(iFinD公式)'!$B93=""),"",分期持仓明细!$AD$19*SUMPRODUCT(分期持仓明细!$B$19:$AA$19,'实盘净值数据(iFinD公式)'!$B93:$AA93/'实盘净值数据(iFinD公式)'!$B$20:$AA$20)*(1-实盘持仓初始配置!$Z$6)^(('实盘净值数据(iFinD公式)'!$A93-'实盘净值数据(iFinD公式)'!$A$7)/365))</x:f>
        <x:v>#NAME?</x:v>
      </x:c>
      <x:c r="I93" s="152" t="e">
        <x:f>IF(OR(H92="",H93=""),"",H93/H92-1)</x:f>
        <x:v>#NAME?</x:v>
      </x:c>
      <x:c r="J93" s="152" t="e">
        <x:f>IF(H93="","",H93/MAX(H$5:H93)-1)</x:f>
        <x:v>#NAME?</x:v>
      </x:c>
      <x:c r="K93" s="146" t="e">
        <x:f>IF(OR('实盘净值数据(iFinD公式)'!$A93="",'实盘净值数据(iFinD公式)'!$B93=""),"",分期持仓明细!$AD$23*SUMPRODUCT(分期持仓明细!$B$23:$AA$23,'实盘净值数据(iFinD公式)'!$B93:$AA93/'实盘净值数据(iFinD公式)'!$B$65:$AA$65)*(1-实盘持仓初始配置!$Z$7)^(('实盘净值数据(iFinD公式)'!$A93-'实盘净值数据(iFinD公式)'!$A$8)/365))</x:f>
        <x:v>#NAME?</x:v>
      </x:c>
      <x:c r="L93" s="152" t="e">
        <x:f>IF(OR(K92="",K93=""),"",K93/K92-1)</x:f>
        <x:v>#NAME?</x:v>
      </x:c>
      <x:c r="M93" s="152" t="e">
        <x:f>IF(K93="","",K93/MAX(K$5:K93)-1)</x:f>
        <x:v>#NAME?</x:v>
      </x:c>
      <x:c r="N93" s="146" t="e">
        <x:f>IF(OR('实盘净值数据(iFinD公式)'!$A93="",'实盘净值数据(iFinD公式)'!$B93=""),"",分期持仓明细!$AD$24*SUMPRODUCT(分期持仓明细!$B$24:$AA$24,'实盘净值数据(iFinD公式)'!$B93:$AA93/'实盘净值数据(iFinD公式)'!$B$65:$AA$65)*(1-实盘持仓初始配置!$Z$8)^(('实盘净值数据(iFinD公式)'!$A93-'实盘净值数据(iFinD公式)'!$A$5)/365))</x:f>
        <x:v>#NAME?</x:v>
      </x:c>
      <x:c r="O93" s="152" t="e">
        <x:f>IF(OR(N92="",N93=""),"",N93/N92-1)</x:f>
        <x:v>#NAME?</x:v>
      </x:c>
      <x:c r="P93" s="152" t="e">
        <x:f>IF(N93="","",N93/MAX(N$5:N93)-1)</x:f>
        <x:v>#NAME?</x:v>
      </x:c>
      <x:c r="Q93" s="146" t="e">
        <x:f>IF(OR('实盘净值数据(iFinD公式)'!$A93="",'实盘净值数据(iFinD公式)'!$B93=""),"",分期持仓明细!$AD$25*SUMPRODUCT(分期持仓明细!$B$25:$AA$25,'实盘净值数据(iFinD公式)'!$B93:$AA93/'实盘净值数据(iFinD公式)'!$B$65:$AA$65)*(1-实盘持仓初始配置!$Z$9)^(('实盘净值数据(iFinD公式)'!$A93-'实盘净值数据(iFinD公式)'!$A$8)/365))</x:f>
        <x:v>#NAME?</x:v>
      </x:c>
      <x:c r="R93" s="152" t="e">
        <x:f>IF(OR(Q92="",Q93=""),"",Q93/Q92-1)</x:f>
        <x:v>#NAME?</x:v>
      </x:c>
      <x:c r="S93" s="152" t="e">
        <x:f>IF(Q93="","",Q93/MAX(Q$5:Q93)-1)</x:f>
        <x:v>#NAME?</x:v>
      </x:c>
    </x:row>
    <x:row r="94">
      <x:c r="A94" s="149" t="str">
        <x:f>IF('实盘净值数据(iFinD公式)'!A94="","",'实盘净值数据(iFinD公式)'!A94)</x:f>
      </x:c>
      <x:c r="B94" s="146" t="e">
        <x:f>IF(OR('实盘净值数据(iFinD公式)'!$A94="",'实盘净值数据(iFinD公式)'!$B94=""),"",分期持仓明细!$AD$17*SUMPRODUCT(分期持仓明细!$B$17:$AA$17,'实盘净值数据(iFinD公式)'!$B94:$AA94/'实盘净值数据(iFinD公式)'!$B$20:$AA$20)*(1-实盘持仓初始配置!$Z$4)^(('实盘净值数据(iFinD公式)'!$A94-'实盘净值数据(iFinD公式)'!$A$6)/365))</x:f>
        <x:v>#NAME?</x:v>
      </x:c>
      <x:c r="C94" s="152" t="e">
        <x:f>IF(OR(B93="",B94=""),"",B94/B93-1)</x:f>
        <x:v>#NAME?</x:v>
      </x:c>
      <x:c r="D94" s="152" t="e">
        <x:f>IF(B94="","",B94/MAX(B$5:B94)-1)</x:f>
        <x:v>#NAME?</x:v>
      </x:c>
      <x:c r="E94" s="146" t="e">
        <x:f>IF(OR('实盘净值数据(iFinD公式)'!$A94="",'实盘净值数据(iFinD公式)'!$B94=""),"",分期持仓明细!$AD$18*SUMPRODUCT(分期持仓明细!$B$18:$AA$18,'实盘净值数据(iFinD公式)'!$B94:$AA94/'实盘净值数据(iFinD公式)'!$B$20:$AA$20)*(1-实盘持仓初始配置!$Z$5)^(('实盘净值数据(iFinD公式)'!$A94-'实盘净值数据(iFinD公式)'!$A$5)/365))</x:f>
        <x:v>#NAME?</x:v>
      </x:c>
      <x:c r="F94" s="152" t="e">
        <x:f>IF(OR(E93="",E94=""),"",E94/E93-1)</x:f>
        <x:v>#NAME?</x:v>
      </x:c>
      <x:c r="G94" s="152" t="e">
        <x:f>IF(E94="","",E94/MAX(E$5:E94)-1)</x:f>
        <x:v>#NAME?</x:v>
      </x:c>
      <x:c r="H94" s="146" t="e">
        <x:f>IF(OR('实盘净值数据(iFinD公式)'!$A94="",'实盘净值数据(iFinD公式)'!$B94=""),"",分期持仓明细!$AD$19*SUMPRODUCT(分期持仓明细!$B$19:$AA$19,'实盘净值数据(iFinD公式)'!$B94:$AA94/'实盘净值数据(iFinD公式)'!$B$20:$AA$20)*(1-实盘持仓初始配置!$Z$6)^(('实盘净值数据(iFinD公式)'!$A94-'实盘净值数据(iFinD公式)'!$A$7)/365))</x:f>
        <x:v>#NAME?</x:v>
      </x:c>
      <x:c r="I94" s="152" t="e">
        <x:f>IF(OR(H93="",H94=""),"",H94/H93-1)</x:f>
        <x:v>#NAME?</x:v>
      </x:c>
      <x:c r="J94" s="152" t="e">
        <x:f>IF(H94="","",H94/MAX(H$5:H94)-1)</x:f>
        <x:v>#NAME?</x:v>
      </x:c>
      <x:c r="K94" s="146" t="e">
        <x:f>IF(OR('实盘净值数据(iFinD公式)'!$A94="",'实盘净值数据(iFinD公式)'!$B94=""),"",分期持仓明细!$AD$23*SUMPRODUCT(分期持仓明细!$B$23:$AA$23,'实盘净值数据(iFinD公式)'!$B94:$AA94/'实盘净值数据(iFinD公式)'!$B$65:$AA$65)*(1-实盘持仓初始配置!$Z$7)^(('实盘净值数据(iFinD公式)'!$A94-'实盘净值数据(iFinD公式)'!$A$8)/365))</x:f>
        <x:v>#NAME?</x:v>
      </x:c>
      <x:c r="L94" s="152" t="e">
        <x:f>IF(OR(K93="",K94=""),"",K94/K93-1)</x:f>
        <x:v>#NAME?</x:v>
      </x:c>
      <x:c r="M94" s="152" t="e">
        <x:f>IF(K94="","",K94/MAX(K$5:K94)-1)</x:f>
        <x:v>#NAME?</x:v>
      </x:c>
      <x:c r="N94" s="146" t="e">
        <x:f>IF(OR('实盘净值数据(iFinD公式)'!$A94="",'实盘净值数据(iFinD公式)'!$B94=""),"",分期持仓明细!$AD$24*SUMPRODUCT(分期持仓明细!$B$24:$AA$24,'实盘净值数据(iFinD公式)'!$B94:$AA94/'实盘净值数据(iFinD公式)'!$B$65:$AA$65)*(1-实盘持仓初始配置!$Z$8)^(('实盘净值数据(iFinD公式)'!$A94-'实盘净值数据(iFinD公式)'!$A$5)/365))</x:f>
        <x:v>#NAME?</x:v>
      </x:c>
      <x:c r="O94" s="152" t="e">
        <x:f>IF(OR(N93="",N94=""),"",N94/N93-1)</x:f>
        <x:v>#NAME?</x:v>
      </x:c>
      <x:c r="P94" s="152" t="e">
        <x:f>IF(N94="","",N94/MAX(N$5:N94)-1)</x:f>
        <x:v>#NAME?</x:v>
      </x:c>
      <x:c r="Q94" s="146" t="e">
        <x:f>IF(OR('实盘净值数据(iFinD公式)'!$A94="",'实盘净值数据(iFinD公式)'!$B94=""),"",分期持仓明细!$AD$25*SUMPRODUCT(分期持仓明细!$B$25:$AA$25,'实盘净值数据(iFinD公式)'!$B94:$AA94/'实盘净值数据(iFinD公式)'!$B$65:$AA$65)*(1-实盘持仓初始配置!$Z$9)^(('实盘净值数据(iFinD公式)'!$A94-'实盘净值数据(iFinD公式)'!$A$8)/365))</x:f>
        <x:v>#NAME?</x:v>
      </x:c>
      <x:c r="R94" s="152" t="e">
        <x:f>IF(OR(Q93="",Q94=""),"",Q94/Q93-1)</x:f>
        <x:v>#NAME?</x:v>
      </x:c>
      <x:c r="S94" s="152" t="e">
        <x:f>IF(Q94="","",Q94/MAX(Q$5:Q94)-1)</x:f>
        <x:v>#NAME?</x:v>
      </x:c>
    </x:row>
    <x:row r="95">
      <x:c r="A95" s="149" t="str">
        <x:f>IF('实盘净值数据(iFinD公式)'!A95="","",'实盘净值数据(iFinD公式)'!A95)</x:f>
      </x:c>
      <x:c r="B95" s="146" t="e">
        <x:f>IF(OR('实盘净值数据(iFinD公式)'!$A95="",'实盘净值数据(iFinD公式)'!$B95=""),"",分期持仓明细!$AD$17*SUMPRODUCT(分期持仓明细!$B$17:$AA$17,'实盘净值数据(iFinD公式)'!$B95:$AA95/'实盘净值数据(iFinD公式)'!$B$20:$AA$20)*(1-实盘持仓初始配置!$Z$4)^(('实盘净值数据(iFinD公式)'!$A95-'实盘净值数据(iFinD公式)'!$A$6)/365))</x:f>
        <x:v>#NAME?</x:v>
      </x:c>
      <x:c r="C95" s="152" t="e">
        <x:f>IF(OR(B94="",B95=""),"",B95/B94-1)</x:f>
        <x:v>#NAME?</x:v>
      </x:c>
      <x:c r="D95" s="152" t="e">
        <x:f>IF(B95="","",B95/MAX(B$5:B95)-1)</x:f>
        <x:v>#NAME?</x:v>
      </x:c>
      <x:c r="E95" s="146" t="e">
        <x:f>IF(OR('实盘净值数据(iFinD公式)'!$A95="",'实盘净值数据(iFinD公式)'!$B95=""),"",分期持仓明细!$AD$18*SUMPRODUCT(分期持仓明细!$B$18:$AA$18,'实盘净值数据(iFinD公式)'!$B95:$AA95/'实盘净值数据(iFinD公式)'!$B$20:$AA$20)*(1-实盘持仓初始配置!$Z$5)^(('实盘净值数据(iFinD公式)'!$A95-'实盘净值数据(iFinD公式)'!$A$5)/365))</x:f>
        <x:v>#NAME?</x:v>
      </x:c>
      <x:c r="F95" s="152" t="e">
        <x:f>IF(OR(E94="",E95=""),"",E95/E94-1)</x:f>
        <x:v>#NAME?</x:v>
      </x:c>
      <x:c r="G95" s="152" t="e">
        <x:f>IF(E95="","",E95/MAX(E$5:E95)-1)</x:f>
        <x:v>#NAME?</x:v>
      </x:c>
      <x:c r="H95" s="146" t="e">
        <x:f>IF(OR('实盘净值数据(iFinD公式)'!$A95="",'实盘净值数据(iFinD公式)'!$B95=""),"",分期持仓明细!$AD$19*SUMPRODUCT(分期持仓明细!$B$19:$AA$19,'实盘净值数据(iFinD公式)'!$B95:$AA95/'实盘净值数据(iFinD公式)'!$B$20:$AA$20)*(1-实盘持仓初始配置!$Z$6)^(('实盘净值数据(iFinD公式)'!$A95-'实盘净值数据(iFinD公式)'!$A$7)/365))</x:f>
        <x:v>#NAME?</x:v>
      </x:c>
      <x:c r="I95" s="152" t="e">
        <x:f>IF(OR(H94="",H95=""),"",H95/H94-1)</x:f>
        <x:v>#NAME?</x:v>
      </x:c>
      <x:c r="J95" s="152" t="e">
        <x:f>IF(H95="","",H95/MAX(H$5:H95)-1)</x:f>
        <x:v>#NAME?</x:v>
      </x:c>
      <x:c r="K95" s="146" t="e">
        <x:f>IF(OR('实盘净值数据(iFinD公式)'!$A95="",'实盘净值数据(iFinD公式)'!$B95=""),"",分期持仓明细!$AD$23*SUMPRODUCT(分期持仓明细!$B$23:$AA$23,'实盘净值数据(iFinD公式)'!$B95:$AA95/'实盘净值数据(iFinD公式)'!$B$65:$AA$65)*(1-实盘持仓初始配置!$Z$7)^(('实盘净值数据(iFinD公式)'!$A95-'实盘净值数据(iFinD公式)'!$A$8)/365))</x:f>
        <x:v>#NAME?</x:v>
      </x:c>
      <x:c r="L95" s="152" t="e">
        <x:f>IF(OR(K94="",K95=""),"",K95/K94-1)</x:f>
        <x:v>#NAME?</x:v>
      </x:c>
      <x:c r="M95" s="152" t="e">
        <x:f>IF(K95="","",K95/MAX(K$5:K95)-1)</x:f>
        <x:v>#NAME?</x:v>
      </x:c>
      <x:c r="N95" s="146" t="e">
        <x:f>IF(OR('实盘净值数据(iFinD公式)'!$A95="",'实盘净值数据(iFinD公式)'!$B95=""),"",分期持仓明细!$AD$24*SUMPRODUCT(分期持仓明细!$B$24:$AA$24,'实盘净值数据(iFinD公式)'!$B95:$AA95/'实盘净值数据(iFinD公式)'!$B$65:$AA$65)*(1-实盘持仓初始配置!$Z$8)^(('实盘净值数据(iFinD公式)'!$A95-'实盘净值数据(iFinD公式)'!$A$5)/365))</x:f>
        <x:v>#NAME?</x:v>
      </x:c>
      <x:c r="O95" s="152" t="e">
        <x:f>IF(OR(N94="",N95=""),"",N95/N94-1)</x:f>
        <x:v>#NAME?</x:v>
      </x:c>
      <x:c r="P95" s="152" t="e">
        <x:f>IF(N95="","",N95/MAX(N$5:N95)-1)</x:f>
        <x:v>#NAME?</x:v>
      </x:c>
      <x:c r="Q95" s="146" t="e">
        <x:f>IF(OR('实盘净值数据(iFinD公式)'!$A95="",'实盘净值数据(iFinD公式)'!$B95=""),"",分期持仓明细!$AD$25*SUMPRODUCT(分期持仓明细!$B$25:$AA$25,'实盘净值数据(iFinD公式)'!$B95:$AA95/'实盘净值数据(iFinD公式)'!$B$65:$AA$65)*(1-实盘持仓初始配置!$Z$9)^(('实盘净值数据(iFinD公式)'!$A95-'实盘净值数据(iFinD公式)'!$A$8)/365))</x:f>
        <x:v>#NAME?</x:v>
      </x:c>
      <x:c r="R95" s="152" t="e">
        <x:f>IF(OR(Q94="",Q95=""),"",Q95/Q94-1)</x:f>
        <x:v>#NAME?</x:v>
      </x:c>
      <x:c r="S95" s="152" t="e">
        <x:f>IF(Q95="","",Q95/MAX(Q$5:Q95)-1)</x:f>
        <x:v>#NAME?</x:v>
      </x:c>
    </x:row>
    <x:row r="96">
      <x:c r="A96" s="149" t="str">
        <x:f>IF('实盘净值数据(iFinD公式)'!A96="","",'实盘净值数据(iFinD公式)'!A96)</x:f>
      </x:c>
      <x:c r="B96" s="146" t="e">
        <x:f>IF(OR('实盘净值数据(iFinD公式)'!$A96="",'实盘净值数据(iFinD公式)'!$B96=""),"",分期持仓明细!$AD$17*SUMPRODUCT(分期持仓明细!$B$17:$AA$17,'实盘净值数据(iFinD公式)'!$B96:$AA96/'实盘净值数据(iFinD公式)'!$B$20:$AA$20)*(1-实盘持仓初始配置!$Z$4)^(('实盘净值数据(iFinD公式)'!$A96-'实盘净值数据(iFinD公式)'!$A$6)/365))</x:f>
        <x:v>#NAME?</x:v>
      </x:c>
      <x:c r="C96" s="152" t="e">
        <x:f>IF(OR(B95="",B96=""),"",B96/B95-1)</x:f>
        <x:v>#NAME?</x:v>
      </x:c>
      <x:c r="D96" s="152" t="e">
        <x:f>IF(B96="","",B96/MAX(B$5:B96)-1)</x:f>
        <x:v>#NAME?</x:v>
      </x:c>
      <x:c r="E96" s="146" t="e">
        <x:f>IF(OR('实盘净值数据(iFinD公式)'!$A96="",'实盘净值数据(iFinD公式)'!$B96=""),"",分期持仓明细!$AD$18*SUMPRODUCT(分期持仓明细!$B$18:$AA$18,'实盘净值数据(iFinD公式)'!$B96:$AA96/'实盘净值数据(iFinD公式)'!$B$20:$AA$20)*(1-实盘持仓初始配置!$Z$5)^(('实盘净值数据(iFinD公式)'!$A96-'实盘净值数据(iFinD公式)'!$A$5)/365))</x:f>
        <x:v>#NAME?</x:v>
      </x:c>
      <x:c r="F96" s="152" t="e">
        <x:f>IF(OR(E95="",E96=""),"",E96/E95-1)</x:f>
        <x:v>#NAME?</x:v>
      </x:c>
      <x:c r="G96" s="152" t="e">
        <x:f>IF(E96="","",E96/MAX(E$5:E96)-1)</x:f>
        <x:v>#NAME?</x:v>
      </x:c>
      <x:c r="H96" s="146" t="e">
        <x:f>IF(OR('实盘净值数据(iFinD公式)'!$A96="",'实盘净值数据(iFinD公式)'!$B96=""),"",分期持仓明细!$AD$19*SUMPRODUCT(分期持仓明细!$B$19:$AA$19,'实盘净值数据(iFinD公式)'!$B96:$AA96/'实盘净值数据(iFinD公式)'!$B$20:$AA$20)*(1-实盘持仓初始配置!$Z$6)^(('实盘净值数据(iFinD公式)'!$A96-'实盘净值数据(iFinD公式)'!$A$7)/365))</x:f>
        <x:v>#NAME?</x:v>
      </x:c>
      <x:c r="I96" s="152" t="e">
        <x:f>IF(OR(H95="",H96=""),"",H96/H95-1)</x:f>
        <x:v>#NAME?</x:v>
      </x:c>
      <x:c r="J96" s="152" t="e">
        <x:f>IF(H96="","",H96/MAX(H$5:H96)-1)</x:f>
        <x:v>#NAME?</x:v>
      </x:c>
      <x:c r="K96" s="146" t="e">
        <x:f>IF(OR('实盘净值数据(iFinD公式)'!$A96="",'实盘净值数据(iFinD公式)'!$B96=""),"",分期持仓明细!$AD$23*SUMPRODUCT(分期持仓明细!$B$23:$AA$23,'实盘净值数据(iFinD公式)'!$B96:$AA96/'实盘净值数据(iFinD公式)'!$B$65:$AA$65)*(1-实盘持仓初始配置!$Z$7)^(('实盘净值数据(iFinD公式)'!$A96-'实盘净值数据(iFinD公式)'!$A$8)/365))</x:f>
        <x:v>#NAME?</x:v>
      </x:c>
      <x:c r="L96" s="152" t="e">
        <x:f>IF(OR(K95="",K96=""),"",K96/K95-1)</x:f>
        <x:v>#NAME?</x:v>
      </x:c>
      <x:c r="M96" s="152" t="e">
        <x:f>IF(K96="","",K96/MAX(K$5:K96)-1)</x:f>
        <x:v>#NAME?</x:v>
      </x:c>
      <x:c r="N96" s="146" t="e">
        <x:f>IF(OR('实盘净值数据(iFinD公式)'!$A96="",'实盘净值数据(iFinD公式)'!$B96=""),"",分期持仓明细!$AD$24*SUMPRODUCT(分期持仓明细!$B$24:$AA$24,'实盘净值数据(iFinD公式)'!$B96:$AA96/'实盘净值数据(iFinD公式)'!$B$65:$AA$65)*(1-实盘持仓初始配置!$Z$8)^(('实盘净值数据(iFinD公式)'!$A96-'实盘净值数据(iFinD公式)'!$A$5)/365))</x:f>
        <x:v>#NAME?</x:v>
      </x:c>
      <x:c r="O96" s="152" t="e">
        <x:f>IF(OR(N95="",N96=""),"",N96/N95-1)</x:f>
        <x:v>#NAME?</x:v>
      </x:c>
      <x:c r="P96" s="152" t="e">
        <x:f>IF(N96="","",N96/MAX(N$5:N96)-1)</x:f>
        <x:v>#NAME?</x:v>
      </x:c>
      <x:c r="Q96" s="146" t="e">
        <x:f>IF(OR('实盘净值数据(iFinD公式)'!$A96="",'实盘净值数据(iFinD公式)'!$B96=""),"",分期持仓明细!$AD$25*SUMPRODUCT(分期持仓明细!$B$25:$AA$25,'实盘净值数据(iFinD公式)'!$B96:$AA96/'实盘净值数据(iFinD公式)'!$B$65:$AA$65)*(1-实盘持仓初始配置!$Z$9)^(('实盘净值数据(iFinD公式)'!$A96-'实盘净值数据(iFinD公式)'!$A$8)/365))</x:f>
        <x:v>#NAME?</x:v>
      </x:c>
      <x:c r="R96" s="152" t="e">
        <x:f>IF(OR(Q95="",Q96=""),"",Q96/Q95-1)</x:f>
        <x:v>#NAME?</x:v>
      </x:c>
      <x:c r="S96" s="152" t="e">
        <x:f>IF(Q96="","",Q96/MAX(Q$5:Q96)-1)</x:f>
        <x:v>#NAME?</x:v>
      </x:c>
    </x:row>
    <x:row r="97">
      <x:c r="A97" s="149" t="str">
        <x:f>IF('实盘净值数据(iFinD公式)'!A97="","",'实盘净值数据(iFinD公式)'!A97)</x:f>
      </x:c>
      <x:c r="B97" s="146" t="e">
        <x:f>IF(OR('实盘净值数据(iFinD公式)'!$A97="",'实盘净值数据(iFinD公式)'!$B97=""),"",分期持仓明细!$AD$17*SUMPRODUCT(分期持仓明细!$B$17:$AA$17,'实盘净值数据(iFinD公式)'!$B97:$AA97/'实盘净值数据(iFinD公式)'!$B$20:$AA$20)*(1-实盘持仓初始配置!$Z$4)^(('实盘净值数据(iFinD公式)'!$A97-'实盘净值数据(iFinD公式)'!$A$6)/365))</x:f>
        <x:v>#NAME?</x:v>
      </x:c>
      <x:c r="C97" s="152" t="e">
        <x:f>IF(OR(B96="",B97=""),"",B97/B96-1)</x:f>
        <x:v>#NAME?</x:v>
      </x:c>
      <x:c r="D97" s="152" t="e">
        <x:f>IF(B97="","",B97/MAX(B$5:B97)-1)</x:f>
        <x:v>#NAME?</x:v>
      </x:c>
      <x:c r="E97" s="146" t="e">
        <x:f>IF(OR('实盘净值数据(iFinD公式)'!$A97="",'实盘净值数据(iFinD公式)'!$B97=""),"",分期持仓明细!$AD$18*SUMPRODUCT(分期持仓明细!$B$18:$AA$18,'实盘净值数据(iFinD公式)'!$B97:$AA97/'实盘净值数据(iFinD公式)'!$B$20:$AA$20)*(1-实盘持仓初始配置!$Z$5)^(('实盘净值数据(iFinD公式)'!$A97-'实盘净值数据(iFinD公式)'!$A$5)/365))</x:f>
        <x:v>#NAME?</x:v>
      </x:c>
      <x:c r="F97" s="152" t="e">
        <x:f>IF(OR(E96="",E97=""),"",E97/E96-1)</x:f>
        <x:v>#NAME?</x:v>
      </x:c>
      <x:c r="G97" s="152" t="e">
        <x:f>IF(E97="","",E97/MAX(E$5:E97)-1)</x:f>
        <x:v>#NAME?</x:v>
      </x:c>
      <x:c r="H97" s="146" t="e">
        <x:f>IF(OR('实盘净值数据(iFinD公式)'!$A97="",'实盘净值数据(iFinD公式)'!$B97=""),"",分期持仓明细!$AD$19*SUMPRODUCT(分期持仓明细!$B$19:$AA$19,'实盘净值数据(iFinD公式)'!$B97:$AA97/'实盘净值数据(iFinD公式)'!$B$20:$AA$20)*(1-实盘持仓初始配置!$Z$6)^(('实盘净值数据(iFinD公式)'!$A97-'实盘净值数据(iFinD公式)'!$A$7)/365))</x:f>
        <x:v>#NAME?</x:v>
      </x:c>
      <x:c r="I97" s="152" t="e">
        <x:f>IF(OR(H96="",H97=""),"",H97/H96-1)</x:f>
        <x:v>#NAME?</x:v>
      </x:c>
      <x:c r="J97" s="152" t="e">
        <x:f>IF(H97="","",H97/MAX(H$5:H97)-1)</x:f>
        <x:v>#NAME?</x:v>
      </x:c>
      <x:c r="K97" s="146" t="e">
        <x:f>IF(OR('实盘净值数据(iFinD公式)'!$A97="",'实盘净值数据(iFinD公式)'!$B97=""),"",分期持仓明细!$AD$23*SUMPRODUCT(分期持仓明细!$B$23:$AA$23,'实盘净值数据(iFinD公式)'!$B97:$AA97/'实盘净值数据(iFinD公式)'!$B$65:$AA$65)*(1-实盘持仓初始配置!$Z$7)^(('实盘净值数据(iFinD公式)'!$A97-'实盘净值数据(iFinD公式)'!$A$8)/365))</x:f>
        <x:v>#NAME?</x:v>
      </x:c>
      <x:c r="L97" s="152" t="e">
        <x:f>IF(OR(K96="",K97=""),"",K97/K96-1)</x:f>
        <x:v>#NAME?</x:v>
      </x:c>
      <x:c r="M97" s="152" t="e">
        <x:f>IF(K97="","",K97/MAX(K$5:K97)-1)</x:f>
        <x:v>#NAME?</x:v>
      </x:c>
      <x:c r="N97" s="146" t="e">
        <x:f>IF(OR('实盘净值数据(iFinD公式)'!$A97="",'实盘净值数据(iFinD公式)'!$B97=""),"",分期持仓明细!$AD$24*SUMPRODUCT(分期持仓明细!$B$24:$AA$24,'实盘净值数据(iFinD公式)'!$B97:$AA97/'实盘净值数据(iFinD公式)'!$B$65:$AA$65)*(1-实盘持仓初始配置!$Z$8)^(('实盘净值数据(iFinD公式)'!$A97-'实盘净值数据(iFinD公式)'!$A$5)/365))</x:f>
        <x:v>#NAME?</x:v>
      </x:c>
      <x:c r="O97" s="152" t="e">
        <x:f>IF(OR(N96="",N97=""),"",N97/N96-1)</x:f>
        <x:v>#NAME?</x:v>
      </x:c>
      <x:c r="P97" s="152" t="e">
        <x:f>IF(N97="","",N97/MAX(N$5:N97)-1)</x:f>
        <x:v>#NAME?</x:v>
      </x:c>
      <x:c r="Q97" s="146" t="e">
        <x:f>IF(OR('实盘净值数据(iFinD公式)'!$A97="",'实盘净值数据(iFinD公式)'!$B97=""),"",分期持仓明细!$AD$25*SUMPRODUCT(分期持仓明细!$B$25:$AA$25,'实盘净值数据(iFinD公式)'!$B97:$AA97/'实盘净值数据(iFinD公式)'!$B$65:$AA$65)*(1-实盘持仓初始配置!$Z$9)^(('实盘净值数据(iFinD公式)'!$A97-'实盘净值数据(iFinD公式)'!$A$8)/365))</x:f>
        <x:v>#NAME?</x:v>
      </x:c>
      <x:c r="R97" s="152" t="e">
        <x:f>IF(OR(Q96="",Q97=""),"",Q97/Q96-1)</x:f>
        <x:v>#NAME?</x:v>
      </x:c>
      <x:c r="S97" s="152" t="e">
        <x:f>IF(Q97="","",Q97/MAX(Q$5:Q97)-1)</x:f>
        <x:v>#NAME?</x:v>
      </x:c>
    </x:row>
    <x:row r="98">
      <x:c r="A98" s="149" t="str">
        <x:f>IF('实盘净值数据(iFinD公式)'!A98="","",'实盘净值数据(iFinD公式)'!A98)</x:f>
      </x:c>
      <x:c r="B98" s="146" t="e">
        <x:f>IF(OR('实盘净值数据(iFinD公式)'!$A98="",'实盘净值数据(iFinD公式)'!$B98=""),"",分期持仓明细!$AD$17*SUMPRODUCT(分期持仓明细!$B$17:$AA$17,'实盘净值数据(iFinD公式)'!$B98:$AA98/'实盘净值数据(iFinD公式)'!$B$20:$AA$20)*(1-实盘持仓初始配置!$Z$4)^(('实盘净值数据(iFinD公式)'!$A98-'实盘净值数据(iFinD公式)'!$A$6)/365))</x:f>
        <x:v>#NAME?</x:v>
      </x:c>
      <x:c r="C98" s="152" t="e">
        <x:f>IF(OR(B97="",B98=""),"",B98/B97-1)</x:f>
        <x:v>#NAME?</x:v>
      </x:c>
      <x:c r="D98" s="152" t="e">
        <x:f>IF(B98="","",B98/MAX(B$5:B98)-1)</x:f>
        <x:v>#NAME?</x:v>
      </x:c>
      <x:c r="E98" s="146" t="e">
        <x:f>IF(OR('实盘净值数据(iFinD公式)'!$A98="",'实盘净值数据(iFinD公式)'!$B98=""),"",分期持仓明细!$AD$18*SUMPRODUCT(分期持仓明细!$B$18:$AA$18,'实盘净值数据(iFinD公式)'!$B98:$AA98/'实盘净值数据(iFinD公式)'!$B$20:$AA$20)*(1-实盘持仓初始配置!$Z$5)^(('实盘净值数据(iFinD公式)'!$A98-'实盘净值数据(iFinD公式)'!$A$5)/365))</x:f>
        <x:v>#NAME?</x:v>
      </x:c>
      <x:c r="F98" s="152" t="e">
        <x:f>IF(OR(E97="",E98=""),"",E98/E97-1)</x:f>
        <x:v>#NAME?</x:v>
      </x:c>
      <x:c r="G98" s="152" t="e">
        <x:f>IF(E98="","",E98/MAX(E$5:E98)-1)</x:f>
        <x:v>#NAME?</x:v>
      </x:c>
      <x:c r="H98" s="146" t="e">
        <x:f>IF(OR('实盘净值数据(iFinD公式)'!$A98="",'实盘净值数据(iFinD公式)'!$B98=""),"",分期持仓明细!$AD$19*SUMPRODUCT(分期持仓明细!$B$19:$AA$19,'实盘净值数据(iFinD公式)'!$B98:$AA98/'实盘净值数据(iFinD公式)'!$B$20:$AA$20)*(1-实盘持仓初始配置!$Z$6)^(('实盘净值数据(iFinD公式)'!$A98-'实盘净值数据(iFinD公式)'!$A$7)/365))</x:f>
        <x:v>#NAME?</x:v>
      </x:c>
      <x:c r="I98" s="152" t="e">
        <x:f>IF(OR(H97="",H98=""),"",H98/H97-1)</x:f>
        <x:v>#NAME?</x:v>
      </x:c>
      <x:c r="J98" s="152" t="e">
        <x:f>IF(H98="","",H98/MAX(H$5:H98)-1)</x:f>
        <x:v>#NAME?</x:v>
      </x:c>
      <x:c r="K98" s="146" t="e">
        <x:f>IF(OR('实盘净值数据(iFinD公式)'!$A98="",'实盘净值数据(iFinD公式)'!$B98=""),"",分期持仓明细!$AD$23*SUMPRODUCT(分期持仓明细!$B$23:$AA$23,'实盘净值数据(iFinD公式)'!$B98:$AA98/'实盘净值数据(iFinD公式)'!$B$65:$AA$65)*(1-实盘持仓初始配置!$Z$7)^(('实盘净值数据(iFinD公式)'!$A98-'实盘净值数据(iFinD公式)'!$A$8)/365))</x:f>
        <x:v>#NAME?</x:v>
      </x:c>
      <x:c r="L98" s="152" t="e">
        <x:f>IF(OR(K97="",K98=""),"",K98/K97-1)</x:f>
        <x:v>#NAME?</x:v>
      </x:c>
      <x:c r="M98" s="152" t="e">
        <x:f>IF(K98="","",K98/MAX(K$5:K98)-1)</x:f>
        <x:v>#NAME?</x:v>
      </x:c>
      <x:c r="N98" s="146" t="e">
        <x:f>IF(OR('实盘净值数据(iFinD公式)'!$A98="",'实盘净值数据(iFinD公式)'!$B98=""),"",分期持仓明细!$AD$24*SUMPRODUCT(分期持仓明细!$B$24:$AA$24,'实盘净值数据(iFinD公式)'!$B98:$AA98/'实盘净值数据(iFinD公式)'!$B$65:$AA$65)*(1-实盘持仓初始配置!$Z$8)^(('实盘净值数据(iFinD公式)'!$A98-'实盘净值数据(iFinD公式)'!$A$5)/365))</x:f>
        <x:v>#NAME?</x:v>
      </x:c>
      <x:c r="O98" s="152" t="e">
        <x:f>IF(OR(N97="",N98=""),"",N98/N97-1)</x:f>
        <x:v>#NAME?</x:v>
      </x:c>
      <x:c r="P98" s="152" t="e">
        <x:f>IF(N98="","",N98/MAX(N$5:N98)-1)</x:f>
        <x:v>#NAME?</x:v>
      </x:c>
      <x:c r="Q98" s="146" t="e">
        <x:f>IF(OR('实盘净值数据(iFinD公式)'!$A98="",'实盘净值数据(iFinD公式)'!$B98=""),"",分期持仓明细!$AD$25*SUMPRODUCT(分期持仓明细!$B$25:$AA$25,'实盘净值数据(iFinD公式)'!$B98:$AA98/'实盘净值数据(iFinD公式)'!$B$65:$AA$65)*(1-实盘持仓初始配置!$Z$9)^(('实盘净值数据(iFinD公式)'!$A98-'实盘净值数据(iFinD公式)'!$A$8)/365))</x:f>
        <x:v>#NAME?</x:v>
      </x:c>
      <x:c r="R98" s="152" t="e">
        <x:f>IF(OR(Q97="",Q98=""),"",Q98/Q97-1)</x:f>
        <x:v>#NAME?</x:v>
      </x:c>
      <x:c r="S98" s="152" t="e">
        <x:f>IF(Q98="","",Q98/MAX(Q$5:Q98)-1)</x:f>
        <x:v>#NAME?</x:v>
      </x:c>
    </x:row>
    <x:row r="99">
      <x:c r="A99" s="149" t="str">
        <x:f>IF('实盘净值数据(iFinD公式)'!A99="","",'实盘净值数据(iFinD公式)'!A99)</x:f>
      </x:c>
      <x:c r="B99" s="146" t="e">
        <x:f>IF(OR('实盘净值数据(iFinD公式)'!$A99="",'实盘净值数据(iFinD公式)'!$B99=""),"",分期持仓明细!$AD$17*SUMPRODUCT(分期持仓明细!$B$17:$AA$17,'实盘净值数据(iFinD公式)'!$B99:$AA99/'实盘净值数据(iFinD公式)'!$B$20:$AA$20)*(1-实盘持仓初始配置!$Z$4)^(('实盘净值数据(iFinD公式)'!$A99-'实盘净值数据(iFinD公式)'!$A$6)/365))</x:f>
        <x:v>#NAME?</x:v>
      </x:c>
      <x:c r="C99" s="152" t="e">
        <x:f>IF(OR(B98="",B99=""),"",B99/B98-1)</x:f>
        <x:v>#NAME?</x:v>
      </x:c>
      <x:c r="D99" s="152" t="e">
        <x:f>IF(B99="","",B99/MAX(B$5:B99)-1)</x:f>
        <x:v>#NAME?</x:v>
      </x:c>
      <x:c r="E99" s="146" t="e">
        <x:f>IF(OR('实盘净值数据(iFinD公式)'!$A99="",'实盘净值数据(iFinD公式)'!$B99=""),"",分期持仓明细!$AD$18*SUMPRODUCT(分期持仓明细!$B$18:$AA$18,'实盘净值数据(iFinD公式)'!$B99:$AA99/'实盘净值数据(iFinD公式)'!$B$20:$AA$20)*(1-实盘持仓初始配置!$Z$5)^(('实盘净值数据(iFinD公式)'!$A99-'实盘净值数据(iFinD公式)'!$A$5)/365))</x:f>
        <x:v>#NAME?</x:v>
      </x:c>
      <x:c r="F99" s="152" t="e">
        <x:f>IF(OR(E98="",E99=""),"",E99/E98-1)</x:f>
        <x:v>#NAME?</x:v>
      </x:c>
      <x:c r="G99" s="152" t="e">
        <x:f>IF(E99="","",E99/MAX(E$5:E99)-1)</x:f>
        <x:v>#NAME?</x:v>
      </x:c>
      <x:c r="H99" s="146" t="e">
        <x:f>IF(OR('实盘净值数据(iFinD公式)'!$A99="",'实盘净值数据(iFinD公式)'!$B99=""),"",分期持仓明细!$AD$19*SUMPRODUCT(分期持仓明细!$B$19:$AA$19,'实盘净值数据(iFinD公式)'!$B99:$AA99/'实盘净值数据(iFinD公式)'!$B$20:$AA$20)*(1-实盘持仓初始配置!$Z$6)^(('实盘净值数据(iFinD公式)'!$A99-'实盘净值数据(iFinD公式)'!$A$7)/365))</x:f>
        <x:v>#NAME?</x:v>
      </x:c>
      <x:c r="I99" s="152" t="e">
        <x:f>IF(OR(H98="",H99=""),"",H99/H98-1)</x:f>
        <x:v>#NAME?</x:v>
      </x:c>
      <x:c r="J99" s="152" t="e">
        <x:f>IF(H99="","",H99/MAX(H$5:H99)-1)</x:f>
        <x:v>#NAME?</x:v>
      </x:c>
      <x:c r="K99" s="146" t="e">
        <x:f>IF(OR('实盘净值数据(iFinD公式)'!$A99="",'实盘净值数据(iFinD公式)'!$B99=""),"",分期持仓明细!$AD$23*SUMPRODUCT(分期持仓明细!$B$23:$AA$23,'实盘净值数据(iFinD公式)'!$B99:$AA99/'实盘净值数据(iFinD公式)'!$B$65:$AA$65)*(1-实盘持仓初始配置!$Z$7)^(('实盘净值数据(iFinD公式)'!$A99-'实盘净值数据(iFinD公式)'!$A$8)/365))</x:f>
        <x:v>#NAME?</x:v>
      </x:c>
      <x:c r="L99" s="152" t="e">
        <x:f>IF(OR(K98="",K99=""),"",K99/K98-1)</x:f>
        <x:v>#NAME?</x:v>
      </x:c>
      <x:c r="M99" s="152" t="e">
        <x:f>IF(K99="","",K99/MAX(K$5:K99)-1)</x:f>
        <x:v>#NAME?</x:v>
      </x:c>
      <x:c r="N99" s="146" t="e">
        <x:f>IF(OR('实盘净值数据(iFinD公式)'!$A99="",'实盘净值数据(iFinD公式)'!$B99=""),"",分期持仓明细!$AD$24*SUMPRODUCT(分期持仓明细!$B$24:$AA$24,'实盘净值数据(iFinD公式)'!$B99:$AA99/'实盘净值数据(iFinD公式)'!$B$65:$AA$65)*(1-实盘持仓初始配置!$Z$8)^(('实盘净值数据(iFinD公式)'!$A99-'实盘净值数据(iFinD公式)'!$A$5)/365))</x:f>
        <x:v>#NAME?</x:v>
      </x:c>
      <x:c r="O99" s="152" t="e">
        <x:f>IF(OR(N98="",N99=""),"",N99/N98-1)</x:f>
        <x:v>#NAME?</x:v>
      </x:c>
      <x:c r="P99" s="152" t="e">
        <x:f>IF(N99="","",N99/MAX(N$5:N99)-1)</x:f>
        <x:v>#NAME?</x:v>
      </x:c>
      <x:c r="Q99" s="146" t="e">
        <x:f>IF(OR('实盘净值数据(iFinD公式)'!$A99="",'实盘净值数据(iFinD公式)'!$B99=""),"",分期持仓明细!$AD$25*SUMPRODUCT(分期持仓明细!$B$25:$AA$25,'实盘净值数据(iFinD公式)'!$B99:$AA99/'实盘净值数据(iFinD公式)'!$B$65:$AA$65)*(1-实盘持仓初始配置!$Z$9)^(('实盘净值数据(iFinD公式)'!$A99-'实盘净值数据(iFinD公式)'!$A$8)/365))</x:f>
        <x:v>#NAME?</x:v>
      </x:c>
      <x:c r="R99" s="152" t="e">
        <x:f>IF(OR(Q98="",Q99=""),"",Q99/Q98-1)</x:f>
        <x:v>#NAME?</x:v>
      </x:c>
      <x:c r="S99" s="152" t="e">
        <x:f>IF(Q99="","",Q99/MAX(Q$5:Q99)-1)</x:f>
        <x:v>#NAME?</x:v>
      </x:c>
    </x:row>
    <x:row r="100">
      <x:c r="A100" s="149" t="str">
        <x:f>IF('实盘净值数据(iFinD公式)'!A100="","",'实盘净值数据(iFinD公式)'!A100)</x:f>
      </x:c>
      <x:c r="B100" s="146" t="e">
        <x:f>IF(OR('实盘净值数据(iFinD公式)'!$A100="",'实盘净值数据(iFinD公式)'!$B100=""),"",分期持仓明细!$AD$17*SUMPRODUCT(分期持仓明细!$B$17:$AA$17,'实盘净值数据(iFinD公式)'!$B100:$AA100/'实盘净值数据(iFinD公式)'!$B$20:$AA$20)*(1-实盘持仓初始配置!$Z$4)^(('实盘净值数据(iFinD公式)'!$A100-'实盘净值数据(iFinD公式)'!$A$6)/365))</x:f>
        <x:v>#NAME?</x:v>
      </x:c>
      <x:c r="C100" s="152" t="e">
        <x:f>IF(OR(B99="",B100=""),"",B100/B99-1)</x:f>
        <x:v>#NAME?</x:v>
      </x:c>
      <x:c r="D100" s="152" t="e">
        <x:f>IF(B100="","",B100/MAX(B$5:B100)-1)</x:f>
        <x:v>#NAME?</x:v>
      </x:c>
      <x:c r="E100" s="146" t="e">
        <x:f>IF(OR('实盘净值数据(iFinD公式)'!$A100="",'实盘净值数据(iFinD公式)'!$B100=""),"",分期持仓明细!$AD$18*SUMPRODUCT(分期持仓明细!$B$18:$AA$18,'实盘净值数据(iFinD公式)'!$B100:$AA100/'实盘净值数据(iFinD公式)'!$B$20:$AA$20)*(1-实盘持仓初始配置!$Z$5)^(('实盘净值数据(iFinD公式)'!$A100-'实盘净值数据(iFinD公式)'!$A$5)/365))</x:f>
        <x:v>#NAME?</x:v>
      </x:c>
      <x:c r="F100" s="152" t="e">
        <x:f>IF(OR(E99="",E100=""),"",E100/E99-1)</x:f>
        <x:v>#NAME?</x:v>
      </x:c>
      <x:c r="G100" s="152" t="e">
        <x:f>IF(E100="","",E100/MAX(E$5:E100)-1)</x:f>
        <x:v>#NAME?</x:v>
      </x:c>
      <x:c r="H100" s="146" t="e">
        <x:f>IF(OR('实盘净值数据(iFinD公式)'!$A100="",'实盘净值数据(iFinD公式)'!$B100=""),"",分期持仓明细!$AD$19*SUMPRODUCT(分期持仓明细!$B$19:$AA$19,'实盘净值数据(iFinD公式)'!$B100:$AA100/'实盘净值数据(iFinD公式)'!$B$20:$AA$20)*(1-实盘持仓初始配置!$Z$6)^(('实盘净值数据(iFinD公式)'!$A100-'实盘净值数据(iFinD公式)'!$A$7)/365))</x:f>
        <x:v>#NAME?</x:v>
      </x:c>
      <x:c r="I100" s="152" t="e">
        <x:f>IF(OR(H99="",H100=""),"",H100/H99-1)</x:f>
        <x:v>#NAME?</x:v>
      </x:c>
      <x:c r="J100" s="152" t="e">
        <x:f>IF(H100="","",H100/MAX(H$5:H100)-1)</x:f>
        <x:v>#NAME?</x:v>
      </x:c>
      <x:c r="K100" s="146" t="e">
        <x:f>IF(OR('实盘净值数据(iFinD公式)'!$A100="",'实盘净值数据(iFinD公式)'!$B100=""),"",分期持仓明细!$AD$23*SUMPRODUCT(分期持仓明细!$B$23:$AA$23,'实盘净值数据(iFinD公式)'!$B100:$AA100/'实盘净值数据(iFinD公式)'!$B$65:$AA$65)*(1-实盘持仓初始配置!$Z$7)^(('实盘净值数据(iFinD公式)'!$A100-'实盘净值数据(iFinD公式)'!$A$8)/365))</x:f>
        <x:v>#NAME?</x:v>
      </x:c>
      <x:c r="L100" s="152" t="e">
        <x:f>IF(OR(K99="",K100=""),"",K100/K99-1)</x:f>
        <x:v>#NAME?</x:v>
      </x:c>
      <x:c r="M100" s="152" t="e">
        <x:f>IF(K100="","",K100/MAX(K$5:K100)-1)</x:f>
        <x:v>#NAME?</x:v>
      </x:c>
      <x:c r="N100" s="146" t="e">
        <x:f>IF(OR('实盘净值数据(iFinD公式)'!$A100="",'实盘净值数据(iFinD公式)'!$B100=""),"",分期持仓明细!$AD$24*SUMPRODUCT(分期持仓明细!$B$24:$AA$24,'实盘净值数据(iFinD公式)'!$B100:$AA100/'实盘净值数据(iFinD公式)'!$B$65:$AA$65)*(1-实盘持仓初始配置!$Z$8)^(('实盘净值数据(iFinD公式)'!$A100-'实盘净值数据(iFinD公式)'!$A$5)/365))</x:f>
        <x:v>#NAME?</x:v>
      </x:c>
      <x:c r="O100" s="152" t="e">
        <x:f>IF(OR(N99="",N100=""),"",N100/N99-1)</x:f>
        <x:v>#NAME?</x:v>
      </x:c>
      <x:c r="P100" s="152" t="e">
        <x:f>IF(N100="","",N100/MAX(N$5:N100)-1)</x:f>
        <x:v>#NAME?</x:v>
      </x:c>
      <x:c r="Q100" s="146" t="e">
        <x:f>IF(OR('实盘净值数据(iFinD公式)'!$A100="",'实盘净值数据(iFinD公式)'!$B100=""),"",分期持仓明细!$AD$25*SUMPRODUCT(分期持仓明细!$B$25:$AA$25,'实盘净值数据(iFinD公式)'!$B100:$AA100/'实盘净值数据(iFinD公式)'!$B$65:$AA$65)*(1-实盘持仓初始配置!$Z$9)^(('实盘净值数据(iFinD公式)'!$A100-'实盘净值数据(iFinD公式)'!$A$8)/365))</x:f>
        <x:v>#NAME?</x:v>
      </x:c>
      <x:c r="R100" s="152" t="e">
        <x:f>IF(OR(Q99="",Q100=""),"",Q100/Q99-1)</x:f>
        <x:v>#NAME?</x:v>
      </x:c>
      <x:c r="S100" s="152" t="e">
        <x:f>IF(Q100="","",Q100/MAX(Q$5:Q100)-1)</x:f>
        <x:v>#NAME?</x:v>
      </x:c>
    </x:row>
    <x:row r="101">
      <x:c r="A101" s="149" t="str">
        <x:f>IF('实盘净值数据(iFinD公式)'!A101="","",'实盘净值数据(iFinD公式)'!A101)</x:f>
      </x:c>
      <x:c r="B101" s="146" t="e">
        <x:f>IF(OR('实盘净值数据(iFinD公式)'!$A101="",'实盘净值数据(iFinD公式)'!$B101=""),"",分期持仓明细!$AD$17*SUMPRODUCT(分期持仓明细!$B$17:$AA$17,'实盘净值数据(iFinD公式)'!$B101:$AA101/'实盘净值数据(iFinD公式)'!$B$20:$AA$20)*(1-实盘持仓初始配置!$Z$4)^(('实盘净值数据(iFinD公式)'!$A101-'实盘净值数据(iFinD公式)'!$A$6)/365))</x:f>
        <x:v>#NAME?</x:v>
      </x:c>
      <x:c r="C101" s="152" t="e">
        <x:f>IF(OR(B100="",B101=""),"",B101/B100-1)</x:f>
        <x:v>#NAME?</x:v>
      </x:c>
      <x:c r="D101" s="152" t="e">
        <x:f>IF(B101="","",B101/MAX(B$5:B101)-1)</x:f>
        <x:v>#NAME?</x:v>
      </x:c>
      <x:c r="E101" s="146" t="e">
        <x:f>IF(OR('实盘净值数据(iFinD公式)'!$A101="",'实盘净值数据(iFinD公式)'!$B101=""),"",分期持仓明细!$AD$18*SUMPRODUCT(分期持仓明细!$B$18:$AA$18,'实盘净值数据(iFinD公式)'!$B101:$AA101/'实盘净值数据(iFinD公式)'!$B$20:$AA$20)*(1-实盘持仓初始配置!$Z$5)^(('实盘净值数据(iFinD公式)'!$A101-'实盘净值数据(iFinD公式)'!$A$5)/365))</x:f>
        <x:v>#NAME?</x:v>
      </x:c>
      <x:c r="F101" s="152" t="e">
        <x:f>IF(OR(E100="",E101=""),"",E101/E100-1)</x:f>
        <x:v>#NAME?</x:v>
      </x:c>
      <x:c r="G101" s="152" t="e">
        <x:f>IF(E101="","",E101/MAX(E$5:E101)-1)</x:f>
        <x:v>#NAME?</x:v>
      </x:c>
      <x:c r="H101" s="146" t="e">
        <x:f>IF(OR('实盘净值数据(iFinD公式)'!$A101="",'实盘净值数据(iFinD公式)'!$B101=""),"",分期持仓明细!$AD$19*SUMPRODUCT(分期持仓明细!$B$19:$AA$19,'实盘净值数据(iFinD公式)'!$B101:$AA101/'实盘净值数据(iFinD公式)'!$B$20:$AA$20)*(1-实盘持仓初始配置!$Z$6)^(('实盘净值数据(iFinD公式)'!$A101-'实盘净值数据(iFinD公式)'!$A$7)/365))</x:f>
        <x:v>#NAME?</x:v>
      </x:c>
      <x:c r="I101" s="152" t="e">
        <x:f>IF(OR(H100="",H101=""),"",H101/H100-1)</x:f>
        <x:v>#NAME?</x:v>
      </x:c>
      <x:c r="J101" s="152" t="e">
        <x:f>IF(H101="","",H101/MAX(H$5:H101)-1)</x:f>
        <x:v>#NAME?</x:v>
      </x:c>
      <x:c r="K101" s="146" t="e">
        <x:f>IF(OR('实盘净值数据(iFinD公式)'!$A101="",'实盘净值数据(iFinD公式)'!$B101=""),"",分期持仓明细!$AD$23*SUMPRODUCT(分期持仓明细!$B$23:$AA$23,'实盘净值数据(iFinD公式)'!$B101:$AA101/'实盘净值数据(iFinD公式)'!$B$65:$AA$65)*(1-实盘持仓初始配置!$Z$7)^(('实盘净值数据(iFinD公式)'!$A101-'实盘净值数据(iFinD公式)'!$A$8)/365))</x:f>
        <x:v>#NAME?</x:v>
      </x:c>
      <x:c r="L101" s="152" t="e">
        <x:f>IF(OR(K100="",K101=""),"",K101/K100-1)</x:f>
        <x:v>#NAME?</x:v>
      </x:c>
      <x:c r="M101" s="152" t="e">
        <x:f>IF(K101="","",K101/MAX(K$5:K101)-1)</x:f>
        <x:v>#NAME?</x:v>
      </x:c>
      <x:c r="N101" s="146" t="e">
        <x:f>IF(OR('实盘净值数据(iFinD公式)'!$A101="",'实盘净值数据(iFinD公式)'!$B101=""),"",分期持仓明细!$AD$24*SUMPRODUCT(分期持仓明细!$B$24:$AA$24,'实盘净值数据(iFinD公式)'!$B101:$AA101/'实盘净值数据(iFinD公式)'!$B$65:$AA$65)*(1-实盘持仓初始配置!$Z$8)^(('实盘净值数据(iFinD公式)'!$A101-'实盘净值数据(iFinD公式)'!$A$5)/365))</x:f>
        <x:v>#NAME?</x:v>
      </x:c>
      <x:c r="O101" s="152" t="e">
        <x:f>IF(OR(N100="",N101=""),"",N101/N100-1)</x:f>
        <x:v>#NAME?</x:v>
      </x:c>
      <x:c r="P101" s="152" t="e">
        <x:f>IF(N101="","",N101/MAX(N$5:N101)-1)</x:f>
        <x:v>#NAME?</x:v>
      </x:c>
      <x:c r="Q101" s="146" t="e">
        <x:f>IF(OR('实盘净值数据(iFinD公式)'!$A101="",'实盘净值数据(iFinD公式)'!$B101=""),"",分期持仓明细!$AD$25*SUMPRODUCT(分期持仓明细!$B$25:$AA$25,'实盘净值数据(iFinD公式)'!$B101:$AA101/'实盘净值数据(iFinD公式)'!$B$65:$AA$65)*(1-实盘持仓初始配置!$Z$9)^(('实盘净值数据(iFinD公式)'!$A101-'实盘净值数据(iFinD公式)'!$A$8)/365))</x:f>
        <x:v>#NAME?</x:v>
      </x:c>
      <x:c r="R101" s="152" t="e">
        <x:f>IF(OR(Q100="",Q101=""),"",Q101/Q100-1)</x:f>
        <x:v>#NAME?</x:v>
      </x:c>
      <x:c r="S101" s="152" t="e">
        <x:f>IF(Q101="","",Q101/MAX(Q$5:Q101)-1)</x:f>
        <x:v>#NAME?</x:v>
      </x:c>
    </x:row>
    <x:row r="102">
      <x:c r="A102" s="149" t="str">
        <x:f>IF('实盘净值数据(iFinD公式)'!A102="","",'实盘净值数据(iFinD公式)'!A102)</x:f>
      </x:c>
      <x:c r="B102" s="146" t="e">
        <x:f>IF(OR('实盘净值数据(iFinD公式)'!$A102="",'实盘净值数据(iFinD公式)'!$B102=""),"",分期持仓明细!$AD$17*SUMPRODUCT(分期持仓明细!$B$17:$AA$17,'实盘净值数据(iFinD公式)'!$B102:$AA102/'实盘净值数据(iFinD公式)'!$B$20:$AA$20)*(1-实盘持仓初始配置!$Z$4)^(('实盘净值数据(iFinD公式)'!$A102-'实盘净值数据(iFinD公式)'!$A$6)/365))</x:f>
        <x:v>#NAME?</x:v>
      </x:c>
      <x:c r="C102" s="152" t="e">
        <x:f>IF(OR(B101="",B102=""),"",B102/B101-1)</x:f>
        <x:v>#NAME?</x:v>
      </x:c>
      <x:c r="D102" s="152" t="e">
        <x:f>IF(B102="","",B102/MAX(B$5:B102)-1)</x:f>
        <x:v>#NAME?</x:v>
      </x:c>
      <x:c r="E102" s="146" t="e">
        <x:f>IF(OR('实盘净值数据(iFinD公式)'!$A102="",'实盘净值数据(iFinD公式)'!$B102=""),"",分期持仓明细!$AD$18*SUMPRODUCT(分期持仓明细!$B$18:$AA$18,'实盘净值数据(iFinD公式)'!$B102:$AA102/'实盘净值数据(iFinD公式)'!$B$20:$AA$20)*(1-实盘持仓初始配置!$Z$5)^(('实盘净值数据(iFinD公式)'!$A102-'实盘净值数据(iFinD公式)'!$A$5)/365))</x:f>
        <x:v>#NAME?</x:v>
      </x:c>
      <x:c r="F102" s="152" t="e">
        <x:f>IF(OR(E101="",E102=""),"",E102/E101-1)</x:f>
        <x:v>#NAME?</x:v>
      </x:c>
      <x:c r="G102" s="152" t="e">
        <x:f>IF(E102="","",E102/MAX(E$5:E102)-1)</x:f>
        <x:v>#NAME?</x:v>
      </x:c>
      <x:c r="H102" s="146" t="e">
        <x:f>IF(OR('实盘净值数据(iFinD公式)'!$A102="",'实盘净值数据(iFinD公式)'!$B102=""),"",分期持仓明细!$AD$19*SUMPRODUCT(分期持仓明细!$B$19:$AA$19,'实盘净值数据(iFinD公式)'!$B102:$AA102/'实盘净值数据(iFinD公式)'!$B$20:$AA$20)*(1-实盘持仓初始配置!$Z$6)^(('实盘净值数据(iFinD公式)'!$A102-'实盘净值数据(iFinD公式)'!$A$7)/365))</x:f>
        <x:v>#NAME?</x:v>
      </x:c>
      <x:c r="I102" s="152" t="e">
        <x:f>IF(OR(H101="",H102=""),"",H102/H101-1)</x:f>
        <x:v>#NAME?</x:v>
      </x:c>
      <x:c r="J102" s="152" t="e">
        <x:f>IF(H102="","",H102/MAX(H$5:H102)-1)</x:f>
        <x:v>#NAME?</x:v>
      </x:c>
      <x:c r="K102" s="146" t="e">
        <x:f>IF(OR('实盘净值数据(iFinD公式)'!$A102="",'实盘净值数据(iFinD公式)'!$B102=""),"",分期持仓明细!$AD$23*SUMPRODUCT(分期持仓明细!$B$23:$AA$23,'实盘净值数据(iFinD公式)'!$B102:$AA102/'实盘净值数据(iFinD公式)'!$B$65:$AA$65)*(1-实盘持仓初始配置!$Z$7)^(('实盘净值数据(iFinD公式)'!$A102-'实盘净值数据(iFinD公式)'!$A$8)/365))</x:f>
        <x:v>#NAME?</x:v>
      </x:c>
      <x:c r="L102" s="152" t="e">
        <x:f>IF(OR(K101="",K102=""),"",K102/K101-1)</x:f>
        <x:v>#NAME?</x:v>
      </x:c>
      <x:c r="M102" s="152" t="e">
        <x:f>IF(K102="","",K102/MAX(K$5:K102)-1)</x:f>
        <x:v>#NAME?</x:v>
      </x:c>
      <x:c r="N102" s="146" t="e">
        <x:f>IF(OR('实盘净值数据(iFinD公式)'!$A102="",'实盘净值数据(iFinD公式)'!$B102=""),"",分期持仓明细!$AD$24*SUMPRODUCT(分期持仓明细!$B$24:$AA$24,'实盘净值数据(iFinD公式)'!$B102:$AA102/'实盘净值数据(iFinD公式)'!$B$65:$AA$65)*(1-实盘持仓初始配置!$Z$8)^(('实盘净值数据(iFinD公式)'!$A102-'实盘净值数据(iFinD公式)'!$A$5)/365))</x:f>
        <x:v>#NAME?</x:v>
      </x:c>
      <x:c r="O102" s="152" t="e">
        <x:f>IF(OR(N101="",N102=""),"",N102/N101-1)</x:f>
        <x:v>#NAME?</x:v>
      </x:c>
      <x:c r="P102" s="152" t="e">
        <x:f>IF(N102="","",N102/MAX(N$5:N102)-1)</x:f>
        <x:v>#NAME?</x:v>
      </x:c>
      <x:c r="Q102" s="146" t="e">
        <x:f>IF(OR('实盘净值数据(iFinD公式)'!$A102="",'实盘净值数据(iFinD公式)'!$B102=""),"",分期持仓明细!$AD$25*SUMPRODUCT(分期持仓明细!$B$25:$AA$25,'实盘净值数据(iFinD公式)'!$B102:$AA102/'实盘净值数据(iFinD公式)'!$B$65:$AA$65)*(1-实盘持仓初始配置!$Z$9)^(('实盘净值数据(iFinD公式)'!$A102-'实盘净值数据(iFinD公式)'!$A$8)/365))</x:f>
        <x:v>#NAME?</x:v>
      </x:c>
      <x:c r="R102" s="152" t="e">
        <x:f>IF(OR(Q101="",Q102=""),"",Q102/Q101-1)</x:f>
        <x:v>#NAME?</x:v>
      </x:c>
      <x:c r="S102" s="152" t="e">
        <x:f>IF(Q102="","",Q102/MAX(Q$5:Q102)-1)</x:f>
        <x:v>#NAME?</x:v>
      </x:c>
    </x:row>
    <x:row r="103">
      <x:c r="A103" s="149" t="str">
        <x:f>IF('实盘净值数据(iFinD公式)'!A103="","",'实盘净值数据(iFinD公式)'!A103)</x:f>
      </x:c>
      <x:c r="B103" s="146" t="e">
        <x:f>IF(OR('实盘净值数据(iFinD公式)'!$A103="",'实盘净值数据(iFinD公式)'!$B103=""),"",分期持仓明细!$AD$17*SUMPRODUCT(分期持仓明细!$B$17:$AA$17,'实盘净值数据(iFinD公式)'!$B103:$AA103/'实盘净值数据(iFinD公式)'!$B$20:$AA$20)*(1-实盘持仓初始配置!$Z$4)^(('实盘净值数据(iFinD公式)'!$A103-'实盘净值数据(iFinD公式)'!$A$6)/365))</x:f>
        <x:v>#NAME?</x:v>
      </x:c>
      <x:c r="C103" s="152" t="e">
        <x:f>IF(OR(B102="",B103=""),"",B103/B102-1)</x:f>
        <x:v>#NAME?</x:v>
      </x:c>
      <x:c r="D103" s="152" t="e">
        <x:f>IF(B103="","",B103/MAX(B$5:B103)-1)</x:f>
        <x:v>#NAME?</x:v>
      </x:c>
      <x:c r="E103" s="146" t="e">
        <x:f>IF(OR('实盘净值数据(iFinD公式)'!$A103="",'实盘净值数据(iFinD公式)'!$B103=""),"",分期持仓明细!$AD$18*SUMPRODUCT(分期持仓明细!$B$18:$AA$18,'实盘净值数据(iFinD公式)'!$B103:$AA103/'实盘净值数据(iFinD公式)'!$B$20:$AA$20)*(1-实盘持仓初始配置!$Z$5)^(('实盘净值数据(iFinD公式)'!$A103-'实盘净值数据(iFinD公式)'!$A$5)/365))</x:f>
        <x:v>#NAME?</x:v>
      </x:c>
      <x:c r="F103" s="152" t="e">
        <x:f>IF(OR(E102="",E103=""),"",E103/E102-1)</x:f>
        <x:v>#NAME?</x:v>
      </x:c>
      <x:c r="G103" s="152" t="e">
        <x:f>IF(E103="","",E103/MAX(E$5:E103)-1)</x:f>
        <x:v>#NAME?</x:v>
      </x:c>
      <x:c r="H103" s="146" t="e">
        <x:f>IF(OR('实盘净值数据(iFinD公式)'!$A103="",'实盘净值数据(iFinD公式)'!$B103=""),"",分期持仓明细!$AD$19*SUMPRODUCT(分期持仓明细!$B$19:$AA$19,'实盘净值数据(iFinD公式)'!$B103:$AA103/'实盘净值数据(iFinD公式)'!$B$20:$AA$20)*(1-实盘持仓初始配置!$Z$6)^(('实盘净值数据(iFinD公式)'!$A103-'实盘净值数据(iFinD公式)'!$A$7)/365))</x:f>
        <x:v>#NAME?</x:v>
      </x:c>
      <x:c r="I103" s="152" t="e">
        <x:f>IF(OR(H102="",H103=""),"",H103/H102-1)</x:f>
        <x:v>#NAME?</x:v>
      </x:c>
      <x:c r="J103" s="152" t="e">
        <x:f>IF(H103="","",H103/MAX(H$5:H103)-1)</x:f>
        <x:v>#NAME?</x:v>
      </x:c>
      <x:c r="K103" s="146" t="e">
        <x:f>IF(OR('实盘净值数据(iFinD公式)'!$A103="",'实盘净值数据(iFinD公式)'!$B103=""),"",分期持仓明细!$AD$23*SUMPRODUCT(分期持仓明细!$B$23:$AA$23,'实盘净值数据(iFinD公式)'!$B103:$AA103/'实盘净值数据(iFinD公式)'!$B$65:$AA$65)*(1-实盘持仓初始配置!$Z$7)^(('实盘净值数据(iFinD公式)'!$A103-'实盘净值数据(iFinD公式)'!$A$8)/365))</x:f>
        <x:v>#NAME?</x:v>
      </x:c>
      <x:c r="L103" s="152" t="e">
        <x:f>IF(OR(K102="",K103=""),"",K103/K102-1)</x:f>
        <x:v>#NAME?</x:v>
      </x:c>
      <x:c r="M103" s="152" t="e">
        <x:f>IF(K103="","",K103/MAX(K$5:K103)-1)</x:f>
        <x:v>#NAME?</x:v>
      </x:c>
      <x:c r="N103" s="146" t="e">
        <x:f>IF(OR('实盘净值数据(iFinD公式)'!$A103="",'实盘净值数据(iFinD公式)'!$B103=""),"",分期持仓明细!$AD$24*SUMPRODUCT(分期持仓明细!$B$24:$AA$24,'实盘净值数据(iFinD公式)'!$B103:$AA103/'实盘净值数据(iFinD公式)'!$B$65:$AA$65)*(1-实盘持仓初始配置!$Z$8)^(('实盘净值数据(iFinD公式)'!$A103-'实盘净值数据(iFinD公式)'!$A$5)/365))</x:f>
        <x:v>#NAME?</x:v>
      </x:c>
      <x:c r="O103" s="152" t="e">
        <x:f>IF(OR(N102="",N103=""),"",N103/N102-1)</x:f>
        <x:v>#NAME?</x:v>
      </x:c>
      <x:c r="P103" s="152" t="e">
        <x:f>IF(N103="","",N103/MAX(N$5:N103)-1)</x:f>
        <x:v>#NAME?</x:v>
      </x:c>
      <x:c r="Q103" s="146" t="e">
        <x:f>IF(OR('实盘净值数据(iFinD公式)'!$A103="",'实盘净值数据(iFinD公式)'!$B103=""),"",分期持仓明细!$AD$25*SUMPRODUCT(分期持仓明细!$B$25:$AA$25,'实盘净值数据(iFinD公式)'!$B103:$AA103/'实盘净值数据(iFinD公式)'!$B$65:$AA$65)*(1-实盘持仓初始配置!$Z$9)^(('实盘净值数据(iFinD公式)'!$A103-'实盘净值数据(iFinD公式)'!$A$8)/365))</x:f>
        <x:v>#NAME?</x:v>
      </x:c>
      <x:c r="R103" s="152" t="e">
        <x:f>IF(OR(Q102="",Q103=""),"",Q103/Q102-1)</x:f>
        <x:v>#NAME?</x:v>
      </x:c>
      <x:c r="S103" s="152" t="e">
        <x:f>IF(Q103="","",Q103/MAX(Q$5:Q103)-1)</x:f>
        <x:v>#NAME?</x:v>
      </x:c>
    </x:row>
    <x:row r="104">
      <x:c r="A104" s="149" t="str">
        <x:f>IF('实盘净值数据(iFinD公式)'!A104="","",'实盘净值数据(iFinD公式)'!A104)</x:f>
      </x:c>
      <x:c r="B104" s="146" t="e">
        <x:f>IF(OR('实盘净值数据(iFinD公式)'!$A104="",'实盘净值数据(iFinD公式)'!$B104=""),"",分期持仓明细!$AD$17*SUMPRODUCT(分期持仓明细!$B$17:$AA$17,'实盘净值数据(iFinD公式)'!$B104:$AA104/'实盘净值数据(iFinD公式)'!$B$20:$AA$20)*(1-实盘持仓初始配置!$Z$4)^(('实盘净值数据(iFinD公式)'!$A104-'实盘净值数据(iFinD公式)'!$A$6)/365))</x:f>
        <x:v>#NAME?</x:v>
      </x:c>
      <x:c r="C104" s="152" t="e">
        <x:f>IF(OR(B103="",B104=""),"",B104/B103-1)</x:f>
        <x:v>#NAME?</x:v>
      </x:c>
      <x:c r="D104" s="152" t="e">
        <x:f>IF(B104="","",B104/MAX(B$5:B104)-1)</x:f>
        <x:v>#NAME?</x:v>
      </x:c>
      <x:c r="E104" s="146" t="e">
        <x:f>IF(OR('实盘净值数据(iFinD公式)'!$A104="",'实盘净值数据(iFinD公式)'!$B104=""),"",分期持仓明细!$AD$18*SUMPRODUCT(分期持仓明细!$B$18:$AA$18,'实盘净值数据(iFinD公式)'!$B104:$AA104/'实盘净值数据(iFinD公式)'!$B$20:$AA$20)*(1-实盘持仓初始配置!$Z$5)^(('实盘净值数据(iFinD公式)'!$A104-'实盘净值数据(iFinD公式)'!$A$5)/365))</x:f>
        <x:v>#NAME?</x:v>
      </x:c>
      <x:c r="F104" s="152" t="e">
        <x:f>IF(OR(E103="",E104=""),"",E104/E103-1)</x:f>
        <x:v>#NAME?</x:v>
      </x:c>
      <x:c r="G104" s="152" t="e">
        <x:f>IF(E104="","",E104/MAX(E$5:E104)-1)</x:f>
        <x:v>#NAME?</x:v>
      </x:c>
      <x:c r="H104" s="146" t="e">
        <x:f>IF(OR('实盘净值数据(iFinD公式)'!$A104="",'实盘净值数据(iFinD公式)'!$B104=""),"",分期持仓明细!$AD$19*SUMPRODUCT(分期持仓明细!$B$19:$AA$19,'实盘净值数据(iFinD公式)'!$B104:$AA104/'实盘净值数据(iFinD公式)'!$B$20:$AA$20)*(1-实盘持仓初始配置!$Z$6)^(('实盘净值数据(iFinD公式)'!$A104-'实盘净值数据(iFinD公式)'!$A$7)/365))</x:f>
        <x:v>#NAME?</x:v>
      </x:c>
      <x:c r="I104" s="152" t="e">
        <x:f>IF(OR(H103="",H104=""),"",H104/H103-1)</x:f>
        <x:v>#NAME?</x:v>
      </x:c>
      <x:c r="J104" s="152" t="e">
        <x:f>IF(H104="","",H104/MAX(H$5:H104)-1)</x:f>
        <x:v>#NAME?</x:v>
      </x:c>
      <x:c r="K104" s="146" t="e">
        <x:f>IF(OR('实盘净值数据(iFinD公式)'!$A104="",'实盘净值数据(iFinD公式)'!$B104=""),"",分期持仓明细!$AD$23*SUMPRODUCT(分期持仓明细!$B$23:$AA$23,'实盘净值数据(iFinD公式)'!$B104:$AA104/'实盘净值数据(iFinD公式)'!$B$65:$AA$65)*(1-实盘持仓初始配置!$Z$7)^(('实盘净值数据(iFinD公式)'!$A104-'实盘净值数据(iFinD公式)'!$A$8)/365))</x:f>
        <x:v>#NAME?</x:v>
      </x:c>
      <x:c r="L104" s="152" t="e">
        <x:f>IF(OR(K103="",K104=""),"",K104/K103-1)</x:f>
        <x:v>#NAME?</x:v>
      </x:c>
      <x:c r="M104" s="152" t="e">
        <x:f>IF(K104="","",K104/MAX(K$5:K104)-1)</x:f>
        <x:v>#NAME?</x:v>
      </x:c>
      <x:c r="N104" s="146" t="e">
        <x:f>IF(OR('实盘净值数据(iFinD公式)'!$A104="",'实盘净值数据(iFinD公式)'!$B104=""),"",分期持仓明细!$AD$24*SUMPRODUCT(分期持仓明细!$B$24:$AA$24,'实盘净值数据(iFinD公式)'!$B104:$AA104/'实盘净值数据(iFinD公式)'!$B$65:$AA$65)*(1-实盘持仓初始配置!$Z$8)^(('实盘净值数据(iFinD公式)'!$A104-'实盘净值数据(iFinD公式)'!$A$5)/365))</x:f>
        <x:v>#NAME?</x:v>
      </x:c>
      <x:c r="O104" s="152" t="e">
        <x:f>IF(OR(N103="",N104=""),"",N104/N103-1)</x:f>
        <x:v>#NAME?</x:v>
      </x:c>
      <x:c r="P104" s="152" t="e">
        <x:f>IF(N104="","",N104/MAX(N$5:N104)-1)</x:f>
        <x:v>#NAME?</x:v>
      </x:c>
      <x:c r="Q104" s="146" t="e">
        <x:f>IF(OR('实盘净值数据(iFinD公式)'!$A104="",'实盘净值数据(iFinD公式)'!$B104=""),"",分期持仓明细!$AD$25*SUMPRODUCT(分期持仓明细!$B$25:$AA$25,'实盘净值数据(iFinD公式)'!$B104:$AA104/'实盘净值数据(iFinD公式)'!$B$65:$AA$65)*(1-实盘持仓初始配置!$Z$9)^(('实盘净值数据(iFinD公式)'!$A104-'实盘净值数据(iFinD公式)'!$A$8)/365))</x:f>
        <x:v>#NAME?</x:v>
      </x:c>
      <x:c r="R104" s="152" t="e">
        <x:f>IF(OR(Q103="",Q104=""),"",Q104/Q103-1)</x:f>
        <x:v>#NAME?</x:v>
      </x:c>
      <x:c r="S104" s="152" t="e">
        <x:f>IF(Q104="","",Q104/MAX(Q$5:Q104)-1)</x:f>
        <x:v>#NAME?</x:v>
      </x:c>
    </x:row>
    <x:row r="105">
      <x:c r="A105" s="149" t="str">
        <x:f>IF('实盘净值数据(iFinD公式)'!A105="","",'实盘净值数据(iFinD公式)'!A105)</x:f>
      </x:c>
      <x:c r="B105" s="146" t="e">
        <x:f>IF(OR('实盘净值数据(iFinD公式)'!$A105="",'实盘净值数据(iFinD公式)'!$B105=""),"",分期持仓明细!$AD$17*SUMPRODUCT(分期持仓明细!$B$17:$AA$17,'实盘净值数据(iFinD公式)'!$B105:$AA105/'实盘净值数据(iFinD公式)'!$B$20:$AA$20)*(1-实盘持仓初始配置!$Z$4)^(('实盘净值数据(iFinD公式)'!$A105-'实盘净值数据(iFinD公式)'!$A$6)/365))</x:f>
        <x:v>#NAME?</x:v>
      </x:c>
      <x:c r="C105" s="152" t="e">
        <x:f>IF(OR(B104="",B105=""),"",B105/B104-1)</x:f>
        <x:v>#NAME?</x:v>
      </x:c>
      <x:c r="D105" s="152" t="e">
        <x:f>IF(B105="","",B105/MAX(B$5:B105)-1)</x:f>
        <x:v>#NAME?</x:v>
      </x:c>
      <x:c r="E105" s="146" t="e">
        <x:f>IF(OR('实盘净值数据(iFinD公式)'!$A105="",'实盘净值数据(iFinD公式)'!$B105=""),"",分期持仓明细!$AD$18*SUMPRODUCT(分期持仓明细!$B$18:$AA$18,'实盘净值数据(iFinD公式)'!$B105:$AA105/'实盘净值数据(iFinD公式)'!$B$20:$AA$20)*(1-实盘持仓初始配置!$Z$5)^(('实盘净值数据(iFinD公式)'!$A105-'实盘净值数据(iFinD公式)'!$A$5)/365))</x:f>
        <x:v>#NAME?</x:v>
      </x:c>
      <x:c r="F105" s="152" t="e">
        <x:f>IF(OR(E104="",E105=""),"",E105/E104-1)</x:f>
        <x:v>#NAME?</x:v>
      </x:c>
      <x:c r="G105" s="152" t="e">
        <x:f>IF(E105="","",E105/MAX(E$5:E105)-1)</x:f>
        <x:v>#NAME?</x:v>
      </x:c>
      <x:c r="H105" s="146" t="e">
        <x:f>IF(OR('实盘净值数据(iFinD公式)'!$A105="",'实盘净值数据(iFinD公式)'!$B105=""),"",分期持仓明细!$AD$19*SUMPRODUCT(分期持仓明细!$B$19:$AA$19,'实盘净值数据(iFinD公式)'!$B105:$AA105/'实盘净值数据(iFinD公式)'!$B$20:$AA$20)*(1-实盘持仓初始配置!$Z$6)^(('实盘净值数据(iFinD公式)'!$A105-'实盘净值数据(iFinD公式)'!$A$7)/365))</x:f>
        <x:v>#NAME?</x:v>
      </x:c>
      <x:c r="I105" s="152" t="e">
        <x:f>IF(OR(H104="",H105=""),"",H105/H104-1)</x:f>
        <x:v>#NAME?</x:v>
      </x:c>
      <x:c r="J105" s="152" t="e">
        <x:f>IF(H105="","",H105/MAX(H$5:H105)-1)</x:f>
        <x:v>#NAME?</x:v>
      </x:c>
      <x:c r="K105" s="146" t="e">
        <x:f>IF(OR('实盘净值数据(iFinD公式)'!$A105="",'实盘净值数据(iFinD公式)'!$B105=""),"",分期持仓明细!$AD$23*SUMPRODUCT(分期持仓明细!$B$23:$AA$23,'实盘净值数据(iFinD公式)'!$B105:$AA105/'实盘净值数据(iFinD公式)'!$B$65:$AA$65)*(1-实盘持仓初始配置!$Z$7)^(('实盘净值数据(iFinD公式)'!$A105-'实盘净值数据(iFinD公式)'!$A$8)/365))</x:f>
        <x:v>#NAME?</x:v>
      </x:c>
      <x:c r="L105" s="152" t="e">
        <x:f>IF(OR(K104="",K105=""),"",K105/K104-1)</x:f>
        <x:v>#NAME?</x:v>
      </x:c>
      <x:c r="M105" s="152" t="e">
        <x:f>IF(K105="","",K105/MAX(K$5:K105)-1)</x:f>
        <x:v>#NAME?</x:v>
      </x:c>
      <x:c r="N105" s="146" t="e">
        <x:f>IF(OR('实盘净值数据(iFinD公式)'!$A105="",'实盘净值数据(iFinD公式)'!$B105=""),"",分期持仓明细!$AD$24*SUMPRODUCT(分期持仓明细!$B$24:$AA$24,'实盘净值数据(iFinD公式)'!$B105:$AA105/'实盘净值数据(iFinD公式)'!$B$65:$AA$65)*(1-实盘持仓初始配置!$Z$8)^(('实盘净值数据(iFinD公式)'!$A105-'实盘净值数据(iFinD公式)'!$A$5)/365))</x:f>
        <x:v>#NAME?</x:v>
      </x:c>
      <x:c r="O105" s="152" t="e">
        <x:f>IF(OR(N104="",N105=""),"",N105/N104-1)</x:f>
        <x:v>#NAME?</x:v>
      </x:c>
      <x:c r="P105" s="152" t="e">
        <x:f>IF(N105="","",N105/MAX(N$5:N105)-1)</x:f>
        <x:v>#NAME?</x:v>
      </x:c>
      <x:c r="Q105" s="146" t="e">
        <x:f>IF(OR('实盘净值数据(iFinD公式)'!$A105="",'实盘净值数据(iFinD公式)'!$B105=""),"",分期持仓明细!$AD$25*SUMPRODUCT(分期持仓明细!$B$25:$AA$25,'实盘净值数据(iFinD公式)'!$B105:$AA105/'实盘净值数据(iFinD公式)'!$B$65:$AA$65)*(1-实盘持仓初始配置!$Z$9)^(('实盘净值数据(iFinD公式)'!$A105-'实盘净值数据(iFinD公式)'!$A$8)/365))</x:f>
        <x:v>#NAME?</x:v>
      </x:c>
      <x:c r="R105" s="152" t="e">
        <x:f>IF(OR(Q104="",Q105=""),"",Q105/Q104-1)</x:f>
        <x:v>#NAME?</x:v>
      </x:c>
      <x:c r="S105" s="152" t="e">
        <x:f>IF(Q105="","",Q105/MAX(Q$5:Q105)-1)</x:f>
        <x:v>#NAME?</x:v>
      </x:c>
    </x:row>
    <x:row r="106">
      <x:c r="A106" s="149" t="str">
        <x:f>IF('实盘净值数据(iFinD公式)'!A106="","",'实盘净值数据(iFinD公式)'!A106)</x:f>
      </x:c>
      <x:c r="B106" s="146" t="e">
        <x:f>IF(OR('实盘净值数据(iFinD公式)'!$A106="",'实盘净值数据(iFinD公式)'!$B106=""),"",分期持仓明细!$AD$17*SUMPRODUCT(分期持仓明细!$B$17:$AA$17,'实盘净值数据(iFinD公式)'!$B106:$AA106/'实盘净值数据(iFinD公式)'!$B$20:$AA$20)*(1-实盘持仓初始配置!$Z$4)^(('实盘净值数据(iFinD公式)'!$A106-'实盘净值数据(iFinD公式)'!$A$6)/365))</x:f>
        <x:v>#NAME?</x:v>
      </x:c>
      <x:c r="C106" s="152" t="e">
        <x:f>IF(OR(B105="",B106=""),"",B106/B105-1)</x:f>
        <x:v>#NAME?</x:v>
      </x:c>
      <x:c r="D106" s="152" t="e">
        <x:f>IF(B106="","",B106/MAX(B$5:B106)-1)</x:f>
        <x:v>#NAME?</x:v>
      </x:c>
      <x:c r="E106" s="146" t="e">
        <x:f>IF(OR('实盘净值数据(iFinD公式)'!$A106="",'实盘净值数据(iFinD公式)'!$B106=""),"",分期持仓明细!$AD$18*SUMPRODUCT(分期持仓明细!$B$18:$AA$18,'实盘净值数据(iFinD公式)'!$B106:$AA106/'实盘净值数据(iFinD公式)'!$B$20:$AA$20)*(1-实盘持仓初始配置!$Z$5)^(('实盘净值数据(iFinD公式)'!$A106-'实盘净值数据(iFinD公式)'!$A$5)/365))</x:f>
        <x:v>#NAME?</x:v>
      </x:c>
      <x:c r="F106" s="152" t="e">
        <x:f>IF(OR(E105="",E106=""),"",E106/E105-1)</x:f>
        <x:v>#NAME?</x:v>
      </x:c>
      <x:c r="G106" s="152" t="e">
        <x:f>IF(E106="","",E106/MAX(E$5:E106)-1)</x:f>
        <x:v>#NAME?</x:v>
      </x:c>
      <x:c r="H106" s="146" t="e">
        <x:f>IF(OR('实盘净值数据(iFinD公式)'!$A106="",'实盘净值数据(iFinD公式)'!$B106=""),"",分期持仓明细!$AD$19*SUMPRODUCT(分期持仓明细!$B$19:$AA$19,'实盘净值数据(iFinD公式)'!$B106:$AA106/'实盘净值数据(iFinD公式)'!$B$20:$AA$20)*(1-实盘持仓初始配置!$Z$6)^(('实盘净值数据(iFinD公式)'!$A106-'实盘净值数据(iFinD公式)'!$A$7)/365))</x:f>
        <x:v>#NAME?</x:v>
      </x:c>
      <x:c r="I106" s="152" t="e">
        <x:f>IF(OR(H105="",H106=""),"",H106/H105-1)</x:f>
        <x:v>#NAME?</x:v>
      </x:c>
      <x:c r="J106" s="152" t="e">
        <x:f>IF(H106="","",H106/MAX(H$5:H106)-1)</x:f>
        <x:v>#NAME?</x:v>
      </x:c>
      <x:c r="K106" s="146" t="e">
        <x:f>IF(OR('实盘净值数据(iFinD公式)'!$A106="",'实盘净值数据(iFinD公式)'!$B106=""),"",分期持仓明细!$AD$23*SUMPRODUCT(分期持仓明细!$B$23:$AA$23,'实盘净值数据(iFinD公式)'!$B106:$AA106/'实盘净值数据(iFinD公式)'!$B$65:$AA$65)*(1-实盘持仓初始配置!$Z$7)^(('实盘净值数据(iFinD公式)'!$A106-'实盘净值数据(iFinD公式)'!$A$8)/365))</x:f>
        <x:v>#NAME?</x:v>
      </x:c>
      <x:c r="L106" s="152" t="e">
        <x:f>IF(OR(K105="",K106=""),"",K106/K105-1)</x:f>
        <x:v>#NAME?</x:v>
      </x:c>
      <x:c r="M106" s="152" t="e">
        <x:f>IF(K106="","",K106/MAX(K$5:K106)-1)</x:f>
        <x:v>#NAME?</x:v>
      </x:c>
      <x:c r="N106" s="146" t="e">
        <x:f>IF(OR('实盘净值数据(iFinD公式)'!$A106="",'实盘净值数据(iFinD公式)'!$B106=""),"",分期持仓明细!$AD$24*SUMPRODUCT(分期持仓明细!$B$24:$AA$24,'实盘净值数据(iFinD公式)'!$B106:$AA106/'实盘净值数据(iFinD公式)'!$B$65:$AA$65)*(1-实盘持仓初始配置!$Z$8)^(('实盘净值数据(iFinD公式)'!$A106-'实盘净值数据(iFinD公式)'!$A$5)/365))</x:f>
        <x:v>#NAME?</x:v>
      </x:c>
      <x:c r="O106" s="152" t="e">
        <x:f>IF(OR(N105="",N106=""),"",N106/N105-1)</x:f>
        <x:v>#NAME?</x:v>
      </x:c>
      <x:c r="P106" s="152" t="e">
        <x:f>IF(N106="","",N106/MAX(N$5:N106)-1)</x:f>
        <x:v>#NAME?</x:v>
      </x:c>
      <x:c r="Q106" s="146" t="e">
        <x:f>IF(OR('实盘净值数据(iFinD公式)'!$A106="",'实盘净值数据(iFinD公式)'!$B106=""),"",分期持仓明细!$AD$25*SUMPRODUCT(分期持仓明细!$B$25:$AA$25,'实盘净值数据(iFinD公式)'!$B106:$AA106/'实盘净值数据(iFinD公式)'!$B$65:$AA$65)*(1-实盘持仓初始配置!$Z$9)^(('实盘净值数据(iFinD公式)'!$A106-'实盘净值数据(iFinD公式)'!$A$8)/365))</x:f>
        <x:v>#NAME?</x:v>
      </x:c>
      <x:c r="R106" s="152" t="e">
        <x:f>IF(OR(Q105="",Q106=""),"",Q106/Q105-1)</x:f>
        <x:v>#NAME?</x:v>
      </x:c>
      <x:c r="S106" s="152" t="e">
        <x:f>IF(Q106="","",Q106/MAX(Q$5:Q106)-1)</x:f>
        <x:v>#NAME?</x:v>
      </x:c>
    </x:row>
    <x:row r="107">
      <x:c r="A107" s="149" t="str">
        <x:f>IF('实盘净值数据(iFinD公式)'!A107="","",'实盘净值数据(iFinD公式)'!A107)</x:f>
      </x:c>
      <x:c r="B107" s="146" t="e">
        <x:f>IF(OR('实盘净值数据(iFinD公式)'!$A107="",'实盘净值数据(iFinD公式)'!$B107=""),"",分期持仓明细!$AD$17*SUMPRODUCT(分期持仓明细!$B$17:$AA$17,'实盘净值数据(iFinD公式)'!$B107:$AA107/'实盘净值数据(iFinD公式)'!$B$20:$AA$20)*(1-实盘持仓初始配置!$Z$4)^(('实盘净值数据(iFinD公式)'!$A107-'实盘净值数据(iFinD公式)'!$A$6)/365))</x:f>
        <x:v>#NAME?</x:v>
      </x:c>
      <x:c r="C107" s="152" t="e">
        <x:f>IF(OR(B106="",B107=""),"",B107/B106-1)</x:f>
        <x:v>#NAME?</x:v>
      </x:c>
      <x:c r="D107" s="152" t="e">
        <x:f>IF(B107="","",B107/MAX(B$5:B107)-1)</x:f>
        <x:v>#NAME?</x:v>
      </x:c>
      <x:c r="E107" s="146" t="e">
        <x:f>IF(OR('实盘净值数据(iFinD公式)'!$A107="",'实盘净值数据(iFinD公式)'!$B107=""),"",分期持仓明细!$AD$18*SUMPRODUCT(分期持仓明细!$B$18:$AA$18,'实盘净值数据(iFinD公式)'!$B107:$AA107/'实盘净值数据(iFinD公式)'!$B$20:$AA$20)*(1-实盘持仓初始配置!$Z$5)^(('实盘净值数据(iFinD公式)'!$A107-'实盘净值数据(iFinD公式)'!$A$5)/365))</x:f>
        <x:v>#NAME?</x:v>
      </x:c>
      <x:c r="F107" s="152" t="e">
        <x:f>IF(OR(E106="",E107=""),"",E107/E106-1)</x:f>
        <x:v>#NAME?</x:v>
      </x:c>
      <x:c r="G107" s="152" t="e">
        <x:f>IF(E107="","",E107/MAX(E$5:E107)-1)</x:f>
        <x:v>#NAME?</x:v>
      </x:c>
      <x:c r="H107" s="146" t="e">
        <x:f>IF(OR('实盘净值数据(iFinD公式)'!$A107="",'实盘净值数据(iFinD公式)'!$B107=""),"",分期持仓明细!$AD$19*SUMPRODUCT(分期持仓明细!$B$19:$AA$19,'实盘净值数据(iFinD公式)'!$B107:$AA107/'实盘净值数据(iFinD公式)'!$B$20:$AA$20)*(1-实盘持仓初始配置!$Z$6)^(('实盘净值数据(iFinD公式)'!$A107-'实盘净值数据(iFinD公式)'!$A$7)/365))</x:f>
        <x:v>#NAME?</x:v>
      </x:c>
      <x:c r="I107" s="152" t="e">
        <x:f>IF(OR(H106="",H107=""),"",H107/H106-1)</x:f>
        <x:v>#NAME?</x:v>
      </x:c>
      <x:c r="J107" s="152" t="e">
        <x:f>IF(H107="","",H107/MAX(H$5:H107)-1)</x:f>
        <x:v>#NAME?</x:v>
      </x:c>
      <x:c r="K107" s="146" t="e">
        <x:f>IF(OR('实盘净值数据(iFinD公式)'!$A107="",'实盘净值数据(iFinD公式)'!$B107=""),"",分期持仓明细!$AD$23*SUMPRODUCT(分期持仓明细!$B$23:$AA$23,'实盘净值数据(iFinD公式)'!$B107:$AA107/'实盘净值数据(iFinD公式)'!$B$65:$AA$65)*(1-实盘持仓初始配置!$Z$7)^(('实盘净值数据(iFinD公式)'!$A107-'实盘净值数据(iFinD公式)'!$A$8)/365))</x:f>
        <x:v>#NAME?</x:v>
      </x:c>
      <x:c r="L107" s="152" t="e">
        <x:f>IF(OR(K106="",K107=""),"",K107/K106-1)</x:f>
        <x:v>#NAME?</x:v>
      </x:c>
      <x:c r="M107" s="152" t="e">
        <x:f>IF(K107="","",K107/MAX(K$5:K107)-1)</x:f>
        <x:v>#NAME?</x:v>
      </x:c>
      <x:c r="N107" s="146" t="e">
        <x:f>IF(OR('实盘净值数据(iFinD公式)'!$A107="",'实盘净值数据(iFinD公式)'!$B107=""),"",分期持仓明细!$AD$24*SUMPRODUCT(分期持仓明细!$B$24:$AA$24,'实盘净值数据(iFinD公式)'!$B107:$AA107/'实盘净值数据(iFinD公式)'!$B$65:$AA$65)*(1-实盘持仓初始配置!$Z$8)^(('实盘净值数据(iFinD公式)'!$A107-'实盘净值数据(iFinD公式)'!$A$5)/365))</x:f>
        <x:v>#NAME?</x:v>
      </x:c>
      <x:c r="O107" s="152" t="e">
        <x:f>IF(OR(N106="",N107=""),"",N107/N106-1)</x:f>
        <x:v>#NAME?</x:v>
      </x:c>
      <x:c r="P107" s="152" t="e">
        <x:f>IF(N107="","",N107/MAX(N$5:N107)-1)</x:f>
        <x:v>#NAME?</x:v>
      </x:c>
      <x:c r="Q107" s="146" t="e">
        <x:f>IF(OR('实盘净值数据(iFinD公式)'!$A107="",'实盘净值数据(iFinD公式)'!$B107=""),"",分期持仓明细!$AD$25*SUMPRODUCT(分期持仓明细!$B$25:$AA$25,'实盘净值数据(iFinD公式)'!$B107:$AA107/'实盘净值数据(iFinD公式)'!$B$65:$AA$65)*(1-实盘持仓初始配置!$Z$9)^(('实盘净值数据(iFinD公式)'!$A107-'实盘净值数据(iFinD公式)'!$A$8)/365))</x:f>
        <x:v>#NAME?</x:v>
      </x:c>
      <x:c r="R107" s="152" t="e">
        <x:f>IF(OR(Q106="",Q107=""),"",Q107/Q106-1)</x:f>
        <x:v>#NAME?</x:v>
      </x:c>
      <x:c r="S107" s="152" t="e">
        <x:f>IF(Q107="","",Q107/MAX(Q$5:Q107)-1)</x:f>
        <x:v>#NAME?</x:v>
      </x:c>
    </x:row>
    <x:row r="108">
      <x:c r="A108" s="149" t="str">
        <x:f>IF('实盘净值数据(iFinD公式)'!A108="","",'实盘净值数据(iFinD公式)'!A108)</x:f>
      </x:c>
      <x:c r="B108" s="146" t="e">
        <x:f>IF(OR('实盘净值数据(iFinD公式)'!$A108="",'实盘净值数据(iFinD公式)'!$B108=""),"",分期持仓明细!$AD$17*SUMPRODUCT(分期持仓明细!$B$17:$AA$17,'实盘净值数据(iFinD公式)'!$B108:$AA108/'实盘净值数据(iFinD公式)'!$B$20:$AA$20)*(1-实盘持仓初始配置!$Z$4)^(('实盘净值数据(iFinD公式)'!$A108-'实盘净值数据(iFinD公式)'!$A$6)/365))</x:f>
        <x:v>#NAME?</x:v>
      </x:c>
      <x:c r="C108" s="152" t="e">
        <x:f>IF(OR(B107="",B108=""),"",B108/B107-1)</x:f>
        <x:v>#NAME?</x:v>
      </x:c>
      <x:c r="D108" s="152" t="e">
        <x:f>IF(B108="","",B108/MAX(B$5:B108)-1)</x:f>
        <x:v>#NAME?</x:v>
      </x:c>
      <x:c r="E108" s="146" t="e">
        <x:f>IF(OR('实盘净值数据(iFinD公式)'!$A108="",'实盘净值数据(iFinD公式)'!$B108=""),"",分期持仓明细!$AD$18*SUMPRODUCT(分期持仓明细!$B$18:$AA$18,'实盘净值数据(iFinD公式)'!$B108:$AA108/'实盘净值数据(iFinD公式)'!$B$20:$AA$20)*(1-实盘持仓初始配置!$Z$5)^(('实盘净值数据(iFinD公式)'!$A108-'实盘净值数据(iFinD公式)'!$A$5)/365))</x:f>
        <x:v>#NAME?</x:v>
      </x:c>
      <x:c r="F108" s="152" t="e">
        <x:f>IF(OR(E107="",E108=""),"",E108/E107-1)</x:f>
        <x:v>#NAME?</x:v>
      </x:c>
      <x:c r="G108" s="152" t="e">
        <x:f>IF(E108="","",E108/MAX(E$5:E108)-1)</x:f>
        <x:v>#NAME?</x:v>
      </x:c>
      <x:c r="H108" s="146" t="e">
        <x:f>IF(OR('实盘净值数据(iFinD公式)'!$A108="",'实盘净值数据(iFinD公式)'!$B108=""),"",分期持仓明细!$AD$19*SUMPRODUCT(分期持仓明细!$B$19:$AA$19,'实盘净值数据(iFinD公式)'!$B108:$AA108/'实盘净值数据(iFinD公式)'!$B$20:$AA$20)*(1-实盘持仓初始配置!$Z$6)^(('实盘净值数据(iFinD公式)'!$A108-'实盘净值数据(iFinD公式)'!$A$7)/365))</x:f>
        <x:v>#NAME?</x:v>
      </x:c>
      <x:c r="I108" s="152" t="e">
        <x:f>IF(OR(H107="",H108=""),"",H108/H107-1)</x:f>
        <x:v>#NAME?</x:v>
      </x:c>
      <x:c r="J108" s="152" t="e">
        <x:f>IF(H108="","",H108/MAX(H$5:H108)-1)</x:f>
        <x:v>#NAME?</x:v>
      </x:c>
      <x:c r="K108" s="146" t="e">
        <x:f>IF(OR('实盘净值数据(iFinD公式)'!$A108="",'实盘净值数据(iFinD公式)'!$B108=""),"",分期持仓明细!$AD$23*SUMPRODUCT(分期持仓明细!$B$23:$AA$23,'实盘净值数据(iFinD公式)'!$B108:$AA108/'实盘净值数据(iFinD公式)'!$B$65:$AA$65)*(1-实盘持仓初始配置!$Z$7)^(('实盘净值数据(iFinD公式)'!$A108-'实盘净值数据(iFinD公式)'!$A$8)/365))</x:f>
        <x:v>#NAME?</x:v>
      </x:c>
      <x:c r="L108" s="152" t="e">
        <x:f>IF(OR(K107="",K108=""),"",K108/K107-1)</x:f>
        <x:v>#NAME?</x:v>
      </x:c>
      <x:c r="M108" s="152" t="e">
        <x:f>IF(K108="","",K108/MAX(K$5:K108)-1)</x:f>
        <x:v>#NAME?</x:v>
      </x:c>
      <x:c r="N108" s="146" t="e">
        <x:f>IF(OR('实盘净值数据(iFinD公式)'!$A108="",'实盘净值数据(iFinD公式)'!$B108=""),"",分期持仓明细!$AD$24*SUMPRODUCT(分期持仓明细!$B$24:$AA$24,'实盘净值数据(iFinD公式)'!$B108:$AA108/'实盘净值数据(iFinD公式)'!$B$65:$AA$65)*(1-实盘持仓初始配置!$Z$8)^(('实盘净值数据(iFinD公式)'!$A108-'实盘净值数据(iFinD公式)'!$A$5)/365))</x:f>
        <x:v>#NAME?</x:v>
      </x:c>
      <x:c r="O108" s="152" t="e">
        <x:f>IF(OR(N107="",N108=""),"",N108/N107-1)</x:f>
        <x:v>#NAME?</x:v>
      </x:c>
      <x:c r="P108" s="152" t="e">
        <x:f>IF(N108="","",N108/MAX(N$5:N108)-1)</x:f>
        <x:v>#NAME?</x:v>
      </x:c>
      <x:c r="Q108" s="146" t="e">
        <x:f>IF(OR('实盘净值数据(iFinD公式)'!$A108="",'实盘净值数据(iFinD公式)'!$B108=""),"",分期持仓明细!$AD$25*SUMPRODUCT(分期持仓明细!$B$25:$AA$25,'实盘净值数据(iFinD公式)'!$B108:$AA108/'实盘净值数据(iFinD公式)'!$B$65:$AA$65)*(1-实盘持仓初始配置!$Z$9)^(('实盘净值数据(iFinD公式)'!$A108-'实盘净值数据(iFinD公式)'!$A$8)/365))</x:f>
        <x:v>#NAME?</x:v>
      </x:c>
      <x:c r="R108" s="152" t="e">
        <x:f>IF(OR(Q107="",Q108=""),"",Q108/Q107-1)</x:f>
        <x:v>#NAME?</x:v>
      </x:c>
      <x:c r="S108" s="152" t="e">
        <x:f>IF(Q108="","",Q108/MAX(Q$5:Q108)-1)</x:f>
        <x:v>#NAME?</x:v>
      </x:c>
    </x:row>
    <x:row r="109">
      <x:c r="A109" s="149" t="str">
        <x:f>IF('实盘净值数据(iFinD公式)'!A109="","",'实盘净值数据(iFinD公式)'!A109)</x:f>
      </x:c>
      <x:c r="B109" s="146" t="e">
        <x:f>IF(OR('实盘净值数据(iFinD公式)'!$A109="",'实盘净值数据(iFinD公式)'!$B109=""),"",分期持仓明细!$AD$17*SUMPRODUCT(分期持仓明细!$B$17:$AA$17,'实盘净值数据(iFinD公式)'!$B109:$AA109/'实盘净值数据(iFinD公式)'!$B$20:$AA$20)*(1-实盘持仓初始配置!$Z$4)^(('实盘净值数据(iFinD公式)'!$A109-'实盘净值数据(iFinD公式)'!$A$6)/365))</x:f>
        <x:v>#NAME?</x:v>
      </x:c>
      <x:c r="C109" s="152" t="e">
        <x:f>IF(OR(B108="",B109=""),"",B109/B108-1)</x:f>
        <x:v>#NAME?</x:v>
      </x:c>
      <x:c r="D109" s="152" t="e">
        <x:f>IF(B109="","",B109/MAX(B$5:B109)-1)</x:f>
        <x:v>#NAME?</x:v>
      </x:c>
      <x:c r="E109" s="146" t="e">
        <x:f>IF(OR('实盘净值数据(iFinD公式)'!$A109="",'实盘净值数据(iFinD公式)'!$B109=""),"",分期持仓明细!$AD$18*SUMPRODUCT(分期持仓明细!$B$18:$AA$18,'实盘净值数据(iFinD公式)'!$B109:$AA109/'实盘净值数据(iFinD公式)'!$B$20:$AA$20)*(1-实盘持仓初始配置!$Z$5)^(('实盘净值数据(iFinD公式)'!$A109-'实盘净值数据(iFinD公式)'!$A$5)/365))</x:f>
        <x:v>#NAME?</x:v>
      </x:c>
      <x:c r="F109" s="152" t="e">
        <x:f>IF(OR(E108="",E109=""),"",E109/E108-1)</x:f>
        <x:v>#NAME?</x:v>
      </x:c>
      <x:c r="G109" s="152" t="e">
        <x:f>IF(E109="","",E109/MAX(E$5:E109)-1)</x:f>
        <x:v>#NAME?</x:v>
      </x:c>
      <x:c r="H109" s="146" t="e">
        <x:f>IF(OR('实盘净值数据(iFinD公式)'!$A109="",'实盘净值数据(iFinD公式)'!$B109=""),"",分期持仓明细!$AD$19*SUMPRODUCT(分期持仓明细!$B$19:$AA$19,'实盘净值数据(iFinD公式)'!$B109:$AA109/'实盘净值数据(iFinD公式)'!$B$20:$AA$20)*(1-实盘持仓初始配置!$Z$6)^(('实盘净值数据(iFinD公式)'!$A109-'实盘净值数据(iFinD公式)'!$A$7)/365))</x:f>
        <x:v>#NAME?</x:v>
      </x:c>
      <x:c r="I109" s="152" t="e">
        <x:f>IF(OR(H108="",H109=""),"",H109/H108-1)</x:f>
        <x:v>#NAME?</x:v>
      </x:c>
      <x:c r="J109" s="152" t="e">
        <x:f>IF(H109="","",H109/MAX(H$5:H109)-1)</x:f>
        <x:v>#NAME?</x:v>
      </x:c>
      <x:c r="K109" s="146" t="e">
        <x:f>IF(OR('实盘净值数据(iFinD公式)'!$A109="",'实盘净值数据(iFinD公式)'!$B109=""),"",分期持仓明细!$AD$23*SUMPRODUCT(分期持仓明细!$B$23:$AA$23,'实盘净值数据(iFinD公式)'!$B109:$AA109/'实盘净值数据(iFinD公式)'!$B$65:$AA$65)*(1-实盘持仓初始配置!$Z$7)^(('实盘净值数据(iFinD公式)'!$A109-'实盘净值数据(iFinD公式)'!$A$8)/365))</x:f>
        <x:v>#NAME?</x:v>
      </x:c>
      <x:c r="L109" s="152" t="e">
        <x:f>IF(OR(K108="",K109=""),"",K109/K108-1)</x:f>
        <x:v>#NAME?</x:v>
      </x:c>
      <x:c r="M109" s="152" t="e">
        <x:f>IF(K109="","",K109/MAX(K$5:K109)-1)</x:f>
        <x:v>#NAME?</x:v>
      </x:c>
      <x:c r="N109" s="146" t="e">
        <x:f>IF(OR('实盘净值数据(iFinD公式)'!$A109="",'实盘净值数据(iFinD公式)'!$B109=""),"",分期持仓明细!$AD$24*SUMPRODUCT(分期持仓明细!$B$24:$AA$24,'实盘净值数据(iFinD公式)'!$B109:$AA109/'实盘净值数据(iFinD公式)'!$B$65:$AA$65)*(1-实盘持仓初始配置!$Z$8)^(('实盘净值数据(iFinD公式)'!$A109-'实盘净值数据(iFinD公式)'!$A$5)/365))</x:f>
        <x:v>#NAME?</x:v>
      </x:c>
      <x:c r="O109" s="152" t="e">
        <x:f>IF(OR(N108="",N109=""),"",N109/N108-1)</x:f>
        <x:v>#NAME?</x:v>
      </x:c>
      <x:c r="P109" s="152" t="e">
        <x:f>IF(N109="","",N109/MAX(N$5:N109)-1)</x:f>
        <x:v>#NAME?</x:v>
      </x:c>
      <x:c r="Q109" s="146" t="e">
        <x:f>IF(OR('实盘净值数据(iFinD公式)'!$A109="",'实盘净值数据(iFinD公式)'!$B109=""),"",分期持仓明细!$AD$25*SUMPRODUCT(分期持仓明细!$B$25:$AA$25,'实盘净值数据(iFinD公式)'!$B109:$AA109/'实盘净值数据(iFinD公式)'!$B$65:$AA$65)*(1-实盘持仓初始配置!$Z$9)^(('实盘净值数据(iFinD公式)'!$A109-'实盘净值数据(iFinD公式)'!$A$8)/365))</x:f>
        <x:v>#NAME?</x:v>
      </x:c>
      <x:c r="R109" s="152" t="e">
        <x:f>IF(OR(Q108="",Q109=""),"",Q109/Q108-1)</x:f>
        <x:v>#NAME?</x:v>
      </x:c>
      <x:c r="S109" s="152" t="e">
        <x:f>IF(Q109="","",Q109/MAX(Q$5:Q109)-1)</x:f>
        <x:v>#NAME?</x:v>
      </x:c>
    </x:row>
    <x:row r="110">
      <x:c r="A110" s="149" t="str">
        <x:f>IF('实盘净值数据(iFinD公式)'!A110="","",'实盘净值数据(iFinD公式)'!A110)</x:f>
      </x:c>
      <x:c r="B110" s="146" t="e">
        <x:f>IF(OR('实盘净值数据(iFinD公式)'!$A110="",'实盘净值数据(iFinD公式)'!$B110=""),"",分期持仓明细!$AD$17*SUMPRODUCT(分期持仓明细!$B$17:$AA$17,'实盘净值数据(iFinD公式)'!$B110:$AA110/'实盘净值数据(iFinD公式)'!$B$20:$AA$20)*(1-实盘持仓初始配置!$Z$4)^(('实盘净值数据(iFinD公式)'!$A110-'实盘净值数据(iFinD公式)'!$A$6)/365))</x:f>
        <x:v>#NAME?</x:v>
      </x:c>
      <x:c r="C110" s="152" t="e">
        <x:f>IF(OR(B109="",B110=""),"",B110/B109-1)</x:f>
        <x:v>#NAME?</x:v>
      </x:c>
      <x:c r="D110" s="152" t="e">
        <x:f>IF(B110="","",B110/MAX(B$5:B110)-1)</x:f>
        <x:v>#NAME?</x:v>
      </x:c>
      <x:c r="E110" s="146" t="e">
        <x:f>IF(OR('实盘净值数据(iFinD公式)'!$A110="",'实盘净值数据(iFinD公式)'!$B110=""),"",分期持仓明细!$AD$18*SUMPRODUCT(分期持仓明细!$B$18:$AA$18,'实盘净值数据(iFinD公式)'!$B110:$AA110/'实盘净值数据(iFinD公式)'!$B$20:$AA$20)*(1-实盘持仓初始配置!$Z$5)^(('实盘净值数据(iFinD公式)'!$A110-'实盘净值数据(iFinD公式)'!$A$5)/365))</x:f>
        <x:v>#NAME?</x:v>
      </x:c>
      <x:c r="F110" s="152" t="e">
        <x:f>IF(OR(E109="",E110=""),"",E110/E109-1)</x:f>
        <x:v>#NAME?</x:v>
      </x:c>
      <x:c r="G110" s="152" t="e">
        <x:f>IF(E110="","",E110/MAX(E$5:E110)-1)</x:f>
        <x:v>#NAME?</x:v>
      </x:c>
      <x:c r="H110" s="146" t="e">
        <x:f>IF(OR('实盘净值数据(iFinD公式)'!$A110="",'实盘净值数据(iFinD公式)'!$B110=""),"",分期持仓明细!$AD$19*SUMPRODUCT(分期持仓明细!$B$19:$AA$19,'实盘净值数据(iFinD公式)'!$B110:$AA110/'实盘净值数据(iFinD公式)'!$B$20:$AA$20)*(1-实盘持仓初始配置!$Z$6)^(('实盘净值数据(iFinD公式)'!$A110-'实盘净值数据(iFinD公式)'!$A$7)/365))</x:f>
        <x:v>#NAME?</x:v>
      </x:c>
      <x:c r="I110" s="152" t="e">
        <x:f>IF(OR(H109="",H110=""),"",H110/H109-1)</x:f>
        <x:v>#NAME?</x:v>
      </x:c>
      <x:c r="J110" s="152" t="e">
        <x:f>IF(H110="","",H110/MAX(H$5:H110)-1)</x:f>
        <x:v>#NAME?</x:v>
      </x:c>
      <x:c r="K110" s="146" t="e">
        <x:f>IF(OR('实盘净值数据(iFinD公式)'!$A110="",'实盘净值数据(iFinD公式)'!$B110=""),"",分期持仓明细!$AD$23*SUMPRODUCT(分期持仓明细!$B$23:$AA$23,'实盘净值数据(iFinD公式)'!$B110:$AA110/'实盘净值数据(iFinD公式)'!$B$65:$AA$65)*(1-实盘持仓初始配置!$Z$7)^(('实盘净值数据(iFinD公式)'!$A110-'实盘净值数据(iFinD公式)'!$A$8)/365))</x:f>
        <x:v>#NAME?</x:v>
      </x:c>
      <x:c r="L110" s="152" t="e">
        <x:f>IF(OR(K109="",K110=""),"",K110/K109-1)</x:f>
        <x:v>#NAME?</x:v>
      </x:c>
      <x:c r="M110" s="152" t="e">
        <x:f>IF(K110="","",K110/MAX(K$5:K110)-1)</x:f>
        <x:v>#NAME?</x:v>
      </x:c>
      <x:c r="N110" s="146" t="e">
        <x:f>IF(OR('实盘净值数据(iFinD公式)'!$A110="",'实盘净值数据(iFinD公式)'!$B110=""),"",分期持仓明细!$AD$24*SUMPRODUCT(分期持仓明细!$B$24:$AA$24,'实盘净值数据(iFinD公式)'!$B110:$AA110/'实盘净值数据(iFinD公式)'!$B$65:$AA$65)*(1-实盘持仓初始配置!$Z$8)^(('实盘净值数据(iFinD公式)'!$A110-'实盘净值数据(iFinD公式)'!$A$5)/365))</x:f>
        <x:v>#NAME?</x:v>
      </x:c>
      <x:c r="O110" s="152" t="e">
        <x:f>IF(OR(N109="",N110=""),"",N110/N109-1)</x:f>
        <x:v>#NAME?</x:v>
      </x:c>
      <x:c r="P110" s="152" t="e">
        <x:f>IF(N110="","",N110/MAX(N$5:N110)-1)</x:f>
        <x:v>#NAME?</x:v>
      </x:c>
      <x:c r="Q110" s="146" t="e">
        <x:f>IF(OR('实盘净值数据(iFinD公式)'!$A110="",'实盘净值数据(iFinD公式)'!$B110=""),"",分期持仓明细!$AD$25*SUMPRODUCT(分期持仓明细!$B$25:$AA$25,'实盘净值数据(iFinD公式)'!$B110:$AA110/'实盘净值数据(iFinD公式)'!$B$65:$AA$65)*(1-实盘持仓初始配置!$Z$9)^(('实盘净值数据(iFinD公式)'!$A110-'实盘净值数据(iFinD公式)'!$A$8)/365))</x:f>
        <x:v>#NAME?</x:v>
      </x:c>
      <x:c r="R110" s="152" t="e">
        <x:f>IF(OR(Q109="",Q110=""),"",Q110/Q109-1)</x:f>
        <x:v>#NAME?</x:v>
      </x:c>
      <x:c r="S110" s="152" t="e">
        <x:f>IF(Q110="","",Q110/MAX(Q$5:Q110)-1)</x:f>
        <x:v>#NAME?</x:v>
      </x:c>
    </x:row>
    <x:row r="111">
      <x:c r="A111" s="149" t="str">
        <x:f>IF('实盘净值数据(iFinD公式)'!A111="","",'实盘净值数据(iFinD公式)'!A111)</x:f>
      </x:c>
      <x:c r="B111" s="146" t="e">
        <x:f>IF(OR('实盘净值数据(iFinD公式)'!$A111="",'实盘净值数据(iFinD公式)'!$B111=""),"",分期持仓明细!$AD$17*SUMPRODUCT(分期持仓明细!$B$17:$AA$17,'实盘净值数据(iFinD公式)'!$B111:$AA111/'实盘净值数据(iFinD公式)'!$B$20:$AA$20)*(1-实盘持仓初始配置!$Z$4)^(('实盘净值数据(iFinD公式)'!$A111-'实盘净值数据(iFinD公式)'!$A$6)/365))</x:f>
        <x:v>#NAME?</x:v>
      </x:c>
      <x:c r="C111" s="152" t="e">
        <x:f>IF(OR(B110="",B111=""),"",B111/B110-1)</x:f>
        <x:v>#NAME?</x:v>
      </x:c>
      <x:c r="D111" s="152" t="e">
        <x:f>IF(B111="","",B111/MAX(B$5:B111)-1)</x:f>
        <x:v>#NAME?</x:v>
      </x:c>
      <x:c r="E111" s="146" t="e">
        <x:f>IF(OR('实盘净值数据(iFinD公式)'!$A111="",'实盘净值数据(iFinD公式)'!$B111=""),"",分期持仓明细!$AD$18*SUMPRODUCT(分期持仓明细!$B$18:$AA$18,'实盘净值数据(iFinD公式)'!$B111:$AA111/'实盘净值数据(iFinD公式)'!$B$20:$AA$20)*(1-实盘持仓初始配置!$Z$5)^(('实盘净值数据(iFinD公式)'!$A111-'实盘净值数据(iFinD公式)'!$A$5)/365))</x:f>
        <x:v>#NAME?</x:v>
      </x:c>
      <x:c r="F111" s="152" t="e">
        <x:f>IF(OR(E110="",E111=""),"",E111/E110-1)</x:f>
        <x:v>#NAME?</x:v>
      </x:c>
      <x:c r="G111" s="152" t="e">
        <x:f>IF(E111="","",E111/MAX(E$5:E111)-1)</x:f>
        <x:v>#NAME?</x:v>
      </x:c>
      <x:c r="H111" s="146" t="e">
        <x:f>IF(OR('实盘净值数据(iFinD公式)'!$A111="",'实盘净值数据(iFinD公式)'!$B111=""),"",分期持仓明细!$AD$19*SUMPRODUCT(分期持仓明细!$B$19:$AA$19,'实盘净值数据(iFinD公式)'!$B111:$AA111/'实盘净值数据(iFinD公式)'!$B$20:$AA$20)*(1-实盘持仓初始配置!$Z$6)^(('实盘净值数据(iFinD公式)'!$A111-'实盘净值数据(iFinD公式)'!$A$7)/365))</x:f>
        <x:v>#NAME?</x:v>
      </x:c>
      <x:c r="I111" s="152" t="e">
        <x:f>IF(OR(H110="",H111=""),"",H111/H110-1)</x:f>
        <x:v>#NAME?</x:v>
      </x:c>
      <x:c r="J111" s="152" t="e">
        <x:f>IF(H111="","",H111/MAX(H$5:H111)-1)</x:f>
        <x:v>#NAME?</x:v>
      </x:c>
      <x:c r="K111" s="146" t="e">
        <x:f>IF(OR('实盘净值数据(iFinD公式)'!$A111="",'实盘净值数据(iFinD公式)'!$B111=""),"",分期持仓明细!$AD$23*SUMPRODUCT(分期持仓明细!$B$23:$AA$23,'实盘净值数据(iFinD公式)'!$B111:$AA111/'实盘净值数据(iFinD公式)'!$B$65:$AA$65)*(1-实盘持仓初始配置!$Z$7)^(('实盘净值数据(iFinD公式)'!$A111-'实盘净值数据(iFinD公式)'!$A$8)/365))</x:f>
        <x:v>#NAME?</x:v>
      </x:c>
      <x:c r="L111" s="152" t="e">
        <x:f>IF(OR(K110="",K111=""),"",K111/K110-1)</x:f>
        <x:v>#NAME?</x:v>
      </x:c>
      <x:c r="M111" s="152" t="e">
        <x:f>IF(K111="","",K111/MAX(K$5:K111)-1)</x:f>
        <x:v>#NAME?</x:v>
      </x:c>
      <x:c r="N111" s="146" t="e">
        <x:f>IF(OR('实盘净值数据(iFinD公式)'!$A111="",'实盘净值数据(iFinD公式)'!$B111=""),"",分期持仓明细!$AD$24*SUMPRODUCT(分期持仓明细!$B$24:$AA$24,'实盘净值数据(iFinD公式)'!$B111:$AA111/'实盘净值数据(iFinD公式)'!$B$65:$AA$65)*(1-实盘持仓初始配置!$Z$8)^(('实盘净值数据(iFinD公式)'!$A111-'实盘净值数据(iFinD公式)'!$A$5)/365))</x:f>
        <x:v>#NAME?</x:v>
      </x:c>
      <x:c r="O111" s="152" t="e">
        <x:f>IF(OR(N110="",N111=""),"",N111/N110-1)</x:f>
        <x:v>#NAME?</x:v>
      </x:c>
      <x:c r="P111" s="152" t="e">
        <x:f>IF(N111="","",N111/MAX(N$5:N111)-1)</x:f>
        <x:v>#NAME?</x:v>
      </x:c>
      <x:c r="Q111" s="146" t="e">
        <x:f>IF(OR('实盘净值数据(iFinD公式)'!$A111="",'实盘净值数据(iFinD公式)'!$B111=""),"",分期持仓明细!$AD$25*SUMPRODUCT(分期持仓明细!$B$25:$AA$25,'实盘净值数据(iFinD公式)'!$B111:$AA111/'实盘净值数据(iFinD公式)'!$B$65:$AA$65)*(1-实盘持仓初始配置!$Z$9)^(('实盘净值数据(iFinD公式)'!$A111-'实盘净值数据(iFinD公式)'!$A$8)/365))</x:f>
        <x:v>#NAME?</x:v>
      </x:c>
      <x:c r="R111" s="152" t="e">
        <x:f>IF(OR(Q110="",Q111=""),"",Q111/Q110-1)</x:f>
        <x:v>#NAME?</x:v>
      </x:c>
      <x:c r="S111" s="152" t="e">
        <x:f>IF(Q111="","",Q111/MAX(Q$5:Q111)-1)</x:f>
        <x:v>#NAME?</x:v>
      </x:c>
    </x:row>
    <x:row r="112">
      <x:c r="A112" s="149" t="str">
        <x:f>IF('实盘净值数据(iFinD公式)'!A112="","",'实盘净值数据(iFinD公式)'!A112)</x:f>
      </x:c>
      <x:c r="B112" s="146" t="e">
        <x:f>IF(OR('实盘净值数据(iFinD公式)'!$A112="",'实盘净值数据(iFinD公式)'!$B112=""),"",分期持仓明细!$AD$17*SUMPRODUCT(分期持仓明细!$B$17:$AA$17,'实盘净值数据(iFinD公式)'!$B112:$AA112/'实盘净值数据(iFinD公式)'!$B$20:$AA$20)*(1-实盘持仓初始配置!$Z$4)^(('实盘净值数据(iFinD公式)'!$A112-'实盘净值数据(iFinD公式)'!$A$6)/365))</x:f>
        <x:v>#NAME?</x:v>
      </x:c>
      <x:c r="C112" s="152" t="e">
        <x:f>IF(OR(B111="",B112=""),"",B112/B111-1)</x:f>
        <x:v>#NAME?</x:v>
      </x:c>
      <x:c r="D112" s="152" t="e">
        <x:f>IF(B112="","",B112/MAX(B$5:B112)-1)</x:f>
        <x:v>#NAME?</x:v>
      </x:c>
      <x:c r="E112" s="146" t="e">
        <x:f>IF(OR('实盘净值数据(iFinD公式)'!$A112="",'实盘净值数据(iFinD公式)'!$B112=""),"",分期持仓明细!$AD$18*SUMPRODUCT(分期持仓明细!$B$18:$AA$18,'实盘净值数据(iFinD公式)'!$B112:$AA112/'实盘净值数据(iFinD公式)'!$B$20:$AA$20)*(1-实盘持仓初始配置!$Z$5)^(('实盘净值数据(iFinD公式)'!$A112-'实盘净值数据(iFinD公式)'!$A$5)/365))</x:f>
        <x:v>#NAME?</x:v>
      </x:c>
      <x:c r="F112" s="152" t="e">
        <x:f>IF(OR(E111="",E112=""),"",E112/E111-1)</x:f>
        <x:v>#NAME?</x:v>
      </x:c>
      <x:c r="G112" s="152" t="e">
        <x:f>IF(E112="","",E112/MAX(E$5:E112)-1)</x:f>
        <x:v>#NAME?</x:v>
      </x:c>
      <x:c r="H112" s="146" t="e">
        <x:f>IF(OR('实盘净值数据(iFinD公式)'!$A112="",'实盘净值数据(iFinD公式)'!$B112=""),"",分期持仓明细!$AD$19*SUMPRODUCT(分期持仓明细!$B$19:$AA$19,'实盘净值数据(iFinD公式)'!$B112:$AA112/'实盘净值数据(iFinD公式)'!$B$20:$AA$20)*(1-实盘持仓初始配置!$Z$6)^(('实盘净值数据(iFinD公式)'!$A112-'实盘净值数据(iFinD公式)'!$A$7)/365))</x:f>
        <x:v>#NAME?</x:v>
      </x:c>
      <x:c r="I112" s="152" t="e">
        <x:f>IF(OR(H111="",H112=""),"",H112/H111-1)</x:f>
        <x:v>#NAME?</x:v>
      </x:c>
      <x:c r="J112" s="152" t="e">
        <x:f>IF(H112="","",H112/MAX(H$5:H112)-1)</x:f>
        <x:v>#NAME?</x:v>
      </x:c>
      <x:c r="K112" s="146" t="e">
        <x:f>IF(OR('实盘净值数据(iFinD公式)'!$A112="",'实盘净值数据(iFinD公式)'!$B112=""),"",分期持仓明细!$AD$23*SUMPRODUCT(分期持仓明细!$B$23:$AA$23,'实盘净值数据(iFinD公式)'!$B112:$AA112/'实盘净值数据(iFinD公式)'!$B$65:$AA$65)*(1-实盘持仓初始配置!$Z$7)^(('实盘净值数据(iFinD公式)'!$A112-'实盘净值数据(iFinD公式)'!$A$8)/365))</x:f>
        <x:v>#NAME?</x:v>
      </x:c>
      <x:c r="L112" s="152" t="e">
        <x:f>IF(OR(K111="",K112=""),"",K112/K111-1)</x:f>
        <x:v>#NAME?</x:v>
      </x:c>
      <x:c r="M112" s="152" t="e">
        <x:f>IF(K112="","",K112/MAX(K$5:K112)-1)</x:f>
        <x:v>#NAME?</x:v>
      </x:c>
      <x:c r="N112" s="146" t="e">
        <x:f>IF(OR('实盘净值数据(iFinD公式)'!$A112="",'实盘净值数据(iFinD公式)'!$B112=""),"",分期持仓明细!$AD$24*SUMPRODUCT(分期持仓明细!$B$24:$AA$24,'实盘净值数据(iFinD公式)'!$B112:$AA112/'实盘净值数据(iFinD公式)'!$B$65:$AA$65)*(1-实盘持仓初始配置!$Z$8)^(('实盘净值数据(iFinD公式)'!$A112-'实盘净值数据(iFinD公式)'!$A$5)/365))</x:f>
        <x:v>#NAME?</x:v>
      </x:c>
      <x:c r="O112" s="152" t="e">
        <x:f>IF(OR(N111="",N112=""),"",N112/N111-1)</x:f>
        <x:v>#NAME?</x:v>
      </x:c>
      <x:c r="P112" s="152" t="e">
        <x:f>IF(N112="","",N112/MAX(N$5:N112)-1)</x:f>
        <x:v>#NAME?</x:v>
      </x:c>
      <x:c r="Q112" s="146" t="e">
        <x:f>IF(OR('实盘净值数据(iFinD公式)'!$A112="",'实盘净值数据(iFinD公式)'!$B112=""),"",分期持仓明细!$AD$25*SUMPRODUCT(分期持仓明细!$B$25:$AA$25,'实盘净值数据(iFinD公式)'!$B112:$AA112/'实盘净值数据(iFinD公式)'!$B$65:$AA$65)*(1-实盘持仓初始配置!$Z$9)^(('实盘净值数据(iFinD公式)'!$A112-'实盘净值数据(iFinD公式)'!$A$8)/365))</x:f>
        <x:v>#NAME?</x:v>
      </x:c>
      <x:c r="R112" s="152" t="e">
        <x:f>IF(OR(Q111="",Q112=""),"",Q112/Q111-1)</x:f>
        <x:v>#NAME?</x:v>
      </x:c>
      <x:c r="S112" s="152" t="e">
        <x:f>IF(Q112="","",Q112/MAX(Q$5:Q112)-1)</x:f>
        <x:v>#NAME?</x:v>
      </x:c>
    </x:row>
    <x:row r="113">
      <x:c r="A113" s="149" t="str">
        <x:f>IF('实盘净值数据(iFinD公式)'!A113="","",'实盘净值数据(iFinD公式)'!A113)</x:f>
      </x:c>
      <x:c r="B113" s="146" t="e">
        <x:f>IF(OR('实盘净值数据(iFinD公式)'!$A113="",'实盘净值数据(iFinD公式)'!$B113=""),"",分期持仓明细!$AD$17*SUMPRODUCT(分期持仓明细!$B$17:$AA$17,'实盘净值数据(iFinD公式)'!$B113:$AA113/'实盘净值数据(iFinD公式)'!$B$20:$AA$20)*(1-实盘持仓初始配置!$Z$4)^(('实盘净值数据(iFinD公式)'!$A113-'实盘净值数据(iFinD公式)'!$A$6)/365))</x:f>
        <x:v>#NAME?</x:v>
      </x:c>
      <x:c r="C113" s="152" t="e">
        <x:f>IF(OR(B112="",B113=""),"",B113/B112-1)</x:f>
        <x:v>#NAME?</x:v>
      </x:c>
      <x:c r="D113" s="152" t="e">
        <x:f>IF(B113="","",B113/MAX(B$5:B113)-1)</x:f>
        <x:v>#NAME?</x:v>
      </x:c>
      <x:c r="E113" s="146" t="e">
        <x:f>IF(OR('实盘净值数据(iFinD公式)'!$A113="",'实盘净值数据(iFinD公式)'!$B113=""),"",分期持仓明细!$AD$18*SUMPRODUCT(分期持仓明细!$B$18:$AA$18,'实盘净值数据(iFinD公式)'!$B113:$AA113/'实盘净值数据(iFinD公式)'!$B$20:$AA$20)*(1-实盘持仓初始配置!$Z$5)^(('实盘净值数据(iFinD公式)'!$A113-'实盘净值数据(iFinD公式)'!$A$5)/365))</x:f>
        <x:v>#NAME?</x:v>
      </x:c>
      <x:c r="F113" s="152" t="e">
        <x:f>IF(OR(E112="",E113=""),"",E113/E112-1)</x:f>
        <x:v>#NAME?</x:v>
      </x:c>
      <x:c r="G113" s="152" t="e">
        <x:f>IF(E113="","",E113/MAX(E$5:E113)-1)</x:f>
        <x:v>#NAME?</x:v>
      </x:c>
      <x:c r="H113" s="146" t="e">
        <x:f>IF(OR('实盘净值数据(iFinD公式)'!$A113="",'实盘净值数据(iFinD公式)'!$B113=""),"",分期持仓明细!$AD$19*SUMPRODUCT(分期持仓明细!$B$19:$AA$19,'实盘净值数据(iFinD公式)'!$B113:$AA113/'实盘净值数据(iFinD公式)'!$B$20:$AA$20)*(1-实盘持仓初始配置!$Z$6)^(('实盘净值数据(iFinD公式)'!$A113-'实盘净值数据(iFinD公式)'!$A$7)/365))</x:f>
        <x:v>#NAME?</x:v>
      </x:c>
      <x:c r="I113" s="152" t="e">
        <x:f>IF(OR(H112="",H113=""),"",H113/H112-1)</x:f>
        <x:v>#NAME?</x:v>
      </x:c>
      <x:c r="J113" s="152" t="e">
        <x:f>IF(H113="","",H113/MAX(H$5:H113)-1)</x:f>
        <x:v>#NAME?</x:v>
      </x:c>
      <x:c r="K113" s="146" t="e">
        <x:f>IF(OR('实盘净值数据(iFinD公式)'!$A113="",'实盘净值数据(iFinD公式)'!$B113=""),"",分期持仓明细!$AD$23*SUMPRODUCT(分期持仓明细!$B$23:$AA$23,'实盘净值数据(iFinD公式)'!$B113:$AA113/'实盘净值数据(iFinD公式)'!$B$65:$AA$65)*(1-实盘持仓初始配置!$Z$7)^(('实盘净值数据(iFinD公式)'!$A113-'实盘净值数据(iFinD公式)'!$A$8)/365))</x:f>
        <x:v>#NAME?</x:v>
      </x:c>
      <x:c r="L113" s="152" t="e">
        <x:f>IF(OR(K112="",K113=""),"",K113/K112-1)</x:f>
        <x:v>#NAME?</x:v>
      </x:c>
      <x:c r="M113" s="152" t="e">
        <x:f>IF(K113="","",K113/MAX(K$5:K113)-1)</x:f>
        <x:v>#NAME?</x:v>
      </x:c>
      <x:c r="N113" s="146" t="e">
        <x:f>IF(OR('实盘净值数据(iFinD公式)'!$A113="",'实盘净值数据(iFinD公式)'!$B113=""),"",分期持仓明细!$AD$24*SUMPRODUCT(分期持仓明细!$B$24:$AA$24,'实盘净值数据(iFinD公式)'!$B113:$AA113/'实盘净值数据(iFinD公式)'!$B$65:$AA$65)*(1-实盘持仓初始配置!$Z$8)^(('实盘净值数据(iFinD公式)'!$A113-'实盘净值数据(iFinD公式)'!$A$5)/365))</x:f>
        <x:v>#NAME?</x:v>
      </x:c>
      <x:c r="O113" s="152" t="e">
        <x:f>IF(OR(N112="",N113=""),"",N113/N112-1)</x:f>
        <x:v>#NAME?</x:v>
      </x:c>
      <x:c r="P113" s="152" t="e">
        <x:f>IF(N113="","",N113/MAX(N$5:N113)-1)</x:f>
        <x:v>#NAME?</x:v>
      </x:c>
      <x:c r="Q113" s="146" t="e">
        <x:f>IF(OR('实盘净值数据(iFinD公式)'!$A113="",'实盘净值数据(iFinD公式)'!$B113=""),"",分期持仓明细!$AD$25*SUMPRODUCT(分期持仓明细!$B$25:$AA$25,'实盘净值数据(iFinD公式)'!$B113:$AA113/'实盘净值数据(iFinD公式)'!$B$65:$AA$65)*(1-实盘持仓初始配置!$Z$9)^(('实盘净值数据(iFinD公式)'!$A113-'实盘净值数据(iFinD公式)'!$A$8)/365))</x:f>
        <x:v>#NAME?</x:v>
      </x:c>
      <x:c r="R113" s="152" t="e">
        <x:f>IF(OR(Q112="",Q113=""),"",Q113/Q112-1)</x:f>
        <x:v>#NAME?</x:v>
      </x:c>
      <x:c r="S113" s="152" t="e">
        <x:f>IF(Q113="","",Q113/MAX(Q$5:Q113)-1)</x:f>
        <x:v>#NAME?</x:v>
      </x:c>
    </x:row>
    <x:row r="114">
      <x:c r="A114" s="149" t="str">
        <x:f>IF('实盘净值数据(iFinD公式)'!A114="","",'实盘净值数据(iFinD公式)'!A114)</x:f>
      </x:c>
      <x:c r="B114" s="146" t="e">
        <x:f>IF(OR('实盘净值数据(iFinD公式)'!$A114="",'实盘净值数据(iFinD公式)'!$B114=""),"",分期持仓明细!$AD$17*SUMPRODUCT(分期持仓明细!$B$17:$AA$17,'实盘净值数据(iFinD公式)'!$B114:$AA114/'实盘净值数据(iFinD公式)'!$B$20:$AA$20)*(1-实盘持仓初始配置!$Z$4)^(('实盘净值数据(iFinD公式)'!$A114-'实盘净值数据(iFinD公式)'!$A$6)/365))</x:f>
        <x:v>#NAME?</x:v>
      </x:c>
      <x:c r="C114" s="152" t="e">
        <x:f>IF(OR(B113="",B114=""),"",B114/B113-1)</x:f>
        <x:v>#NAME?</x:v>
      </x:c>
      <x:c r="D114" s="152" t="e">
        <x:f>IF(B114="","",B114/MAX(B$5:B114)-1)</x:f>
        <x:v>#NAME?</x:v>
      </x:c>
      <x:c r="E114" s="146" t="e">
        <x:f>IF(OR('实盘净值数据(iFinD公式)'!$A114="",'实盘净值数据(iFinD公式)'!$B114=""),"",分期持仓明细!$AD$18*SUMPRODUCT(分期持仓明细!$B$18:$AA$18,'实盘净值数据(iFinD公式)'!$B114:$AA114/'实盘净值数据(iFinD公式)'!$B$20:$AA$20)*(1-实盘持仓初始配置!$Z$5)^(('实盘净值数据(iFinD公式)'!$A114-'实盘净值数据(iFinD公式)'!$A$5)/365))</x:f>
        <x:v>#NAME?</x:v>
      </x:c>
      <x:c r="F114" s="152" t="e">
        <x:f>IF(OR(E113="",E114=""),"",E114/E113-1)</x:f>
        <x:v>#NAME?</x:v>
      </x:c>
      <x:c r="G114" s="152" t="e">
        <x:f>IF(E114="","",E114/MAX(E$5:E114)-1)</x:f>
        <x:v>#NAME?</x:v>
      </x:c>
      <x:c r="H114" s="146" t="e">
        <x:f>IF(OR('实盘净值数据(iFinD公式)'!$A114="",'实盘净值数据(iFinD公式)'!$B114=""),"",分期持仓明细!$AD$19*SUMPRODUCT(分期持仓明细!$B$19:$AA$19,'实盘净值数据(iFinD公式)'!$B114:$AA114/'实盘净值数据(iFinD公式)'!$B$20:$AA$20)*(1-实盘持仓初始配置!$Z$6)^(('实盘净值数据(iFinD公式)'!$A114-'实盘净值数据(iFinD公式)'!$A$7)/365))</x:f>
        <x:v>#NAME?</x:v>
      </x:c>
      <x:c r="I114" s="152" t="e">
        <x:f>IF(OR(H113="",H114=""),"",H114/H113-1)</x:f>
        <x:v>#NAME?</x:v>
      </x:c>
      <x:c r="J114" s="152" t="e">
        <x:f>IF(H114="","",H114/MAX(H$5:H114)-1)</x:f>
        <x:v>#NAME?</x:v>
      </x:c>
      <x:c r="K114" s="146" t="e">
        <x:f>IF(OR('实盘净值数据(iFinD公式)'!$A114="",'实盘净值数据(iFinD公式)'!$B114=""),"",分期持仓明细!$AD$23*SUMPRODUCT(分期持仓明细!$B$23:$AA$23,'实盘净值数据(iFinD公式)'!$B114:$AA114/'实盘净值数据(iFinD公式)'!$B$65:$AA$65)*(1-实盘持仓初始配置!$Z$7)^(('实盘净值数据(iFinD公式)'!$A114-'实盘净值数据(iFinD公式)'!$A$8)/365))</x:f>
        <x:v>#NAME?</x:v>
      </x:c>
      <x:c r="L114" s="152" t="e">
        <x:f>IF(OR(K113="",K114=""),"",K114/K113-1)</x:f>
        <x:v>#NAME?</x:v>
      </x:c>
      <x:c r="M114" s="152" t="e">
        <x:f>IF(K114="","",K114/MAX(K$5:K114)-1)</x:f>
        <x:v>#NAME?</x:v>
      </x:c>
      <x:c r="N114" s="146" t="e">
        <x:f>IF(OR('实盘净值数据(iFinD公式)'!$A114="",'实盘净值数据(iFinD公式)'!$B114=""),"",分期持仓明细!$AD$24*SUMPRODUCT(分期持仓明细!$B$24:$AA$24,'实盘净值数据(iFinD公式)'!$B114:$AA114/'实盘净值数据(iFinD公式)'!$B$65:$AA$65)*(1-实盘持仓初始配置!$Z$8)^(('实盘净值数据(iFinD公式)'!$A114-'实盘净值数据(iFinD公式)'!$A$5)/365))</x:f>
        <x:v>#NAME?</x:v>
      </x:c>
      <x:c r="O114" s="152" t="e">
        <x:f>IF(OR(N113="",N114=""),"",N114/N113-1)</x:f>
        <x:v>#NAME?</x:v>
      </x:c>
      <x:c r="P114" s="152" t="e">
        <x:f>IF(N114="","",N114/MAX(N$5:N114)-1)</x:f>
        <x:v>#NAME?</x:v>
      </x:c>
      <x:c r="Q114" s="146" t="e">
        <x:f>IF(OR('实盘净值数据(iFinD公式)'!$A114="",'实盘净值数据(iFinD公式)'!$B114=""),"",分期持仓明细!$AD$25*SUMPRODUCT(分期持仓明细!$B$25:$AA$25,'实盘净值数据(iFinD公式)'!$B114:$AA114/'实盘净值数据(iFinD公式)'!$B$65:$AA$65)*(1-实盘持仓初始配置!$Z$9)^(('实盘净值数据(iFinD公式)'!$A114-'实盘净值数据(iFinD公式)'!$A$8)/365))</x:f>
        <x:v>#NAME?</x:v>
      </x:c>
      <x:c r="R114" s="152" t="e">
        <x:f>IF(OR(Q113="",Q114=""),"",Q114/Q113-1)</x:f>
        <x:v>#NAME?</x:v>
      </x:c>
      <x:c r="S114" s="152" t="e">
        <x:f>IF(Q114="","",Q114/MAX(Q$5:Q114)-1)</x:f>
        <x:v>#NAME?</x:v>
      </x:c>
    </x:row>
    <x:row r="115">
      <x:c r="A115" s="149" t="str">
        <x:f>IF('实盘净值数据(iFinD公式)'!A115="","",'实盘净值数据(iFinD公式)'!A115)</x:f>
      </x:c>
      <x:c r="B115" s="146" t="e">
        <x:f>IF(OR('实盘净值数据(iFinD公式)'!$A115="",'实盘净值数据(iFinD公式)'!$B115=""),"",分期持仓明细!$AD$17*SUMPRODUCT(分期持仓明细!$B$17:$AA$17,'实盘净值数据(iFinD公式)'!$B115:$AA115/'实盘净值数据(iFinD公式)'!$B$20:$AA$20)*(1-实盘持仓初始配置!$Z$4)^(('实盘净值数据(iFinD公式)'!$A115-'实盘净值数据(iFinD公式)'!$A$6)/365))</x:f>
        <x:v>#NAME?</x:v>
      </x:c>
      <x:c r="C115" s="152" t="e">
        <x:f>IF(OR(B114="",B115=""),"",B115/B114-1)</x:f>
        <x:v>#NAME?</x:v>
      </x:c>
      <x:c r="D115" s="152" t="e">
        <x:f>IF(B115="","",B115/MAX(B$5:B115)-1)</x:f>
        <x:v>#NAME?</x:v>
      </x:c>
      <x:c r="E115" s="146" t="e">
        <x:f>IF(OR('实盘净值数据(iFinD公式)'!$A115="",'实盘净值数据(iFinD公式)'!$B115=""),"",分期持仓明细!$AD$18*SUMPRODUCT(分期持仓明细!$B$18:$AA$18,'实盘净值数据(iFinD公式)'!$B115:$AA115/'实盘净值数据(iFinD公式)'!$B$20:$AA$20)*(1-实盘持仓初始配置!$Z$5)^(('实盘净值数据(iFinD公式)'!$A115-'实盘净值数据(iFinD公式)'!$A$5)/365))</x:f>
        <x:v>#NAME?</x:v>
      </x:c>
      <x:c r="F115" s="152" t="e">
        <x:f>IF(OR(E114="",E115=""),"",E115/E114-1)</x:f>
        <x:v>#NAME?</x:v>
      </x:c>
      <x:c r="G115" s="152" t="e">
        <x:f>IF(E115="","",E115/MAX(E$5:E115)-1)</x:f>
        <x:v>#NAME?</x:v>
      </x:c>
      <x:c r="H115" s="146" t="e">
        <x:f>IF(OR('实盘净值数据(iFinD公式)'!$A115="",'实盘净值数据(iFinD公式)'!$B115=""),"",分期持仓明细!$AD$19*SUMPRODUCT(分期持仓明细!$B$19:$AA$19,'实盘净值数据(iFinD公式)'!$B115:$AA115/'实盘净值数据(iFinD公式)'!$B$20:$AA$20)*(1-实盘持仓初始配置!$Z$6)^(('实盘净值数据(iFinD公式)'!$A115-'实盘净值数据(iFinD公式)'!$A$7)/365))</x:f>
        <x:v>#NAME?</x:v>
      </x:c>
      <x:c r="I115" s="152" t="e">
        <x:f>IF(OR(H114="",H115=""),"",H115/H114-1)</x:f>
        <x:v>#NAME?</x:v>
      </x:c>
      <x:c r="J115" s="152" t="e">
        <x:f>IF(H115="","",H115/MAX(H$5:H115)-1)</x:f>
        <x:v>#NAME?</x:v>
      </x:c>
      <x:c r="K115" s="146" t="e">
        <x:f>IF(OR('实盘净值数据(iFinD公式)'!$A115="",'实盘净值数据(iFinD公式)'!$B115=""),"",分期持仓明细!$AD$23*SUMPRODUCT(分期持仓明细!$B$23:$AA$23,'实盘净值数据(iFinD公式)'!$B115:$AA115/'实盘净值数据(iFinD公式)'!$B$65:$AA$65)*(1-实盘持仓初始配置!$Z$7)^(('实盘净值数据(iFinD公式)'!$A115-'实盘净值数据(iFinD公式)'!$A$8)/365))</x:f>
        <x:v>#NAME?</x:v>
      </x:c>
      <x:c r="L115" s="152" t="e">
        <x:f>IF(OR(K114="",K115=""),"",K115/K114-1)</x:f>
        <x:v>#NAME?</x:v>
      </x:c>
      <x:c r="M115" s="152" t="e">
        <x:f>IF(K115="","",K115/MAX(K$5:K115)-1)</x:f>
        <x:v>#NAME?</x:v>
      </x:c>
      <x:c r="N115" s="146" t="e">
        <x:f>IF(OR('实盘净值数据(iFinD公式)'!$A115="",'实盘净值数据(iFinD公式)'!$B115=""),"",分期持仓明细!$AD$24*SUMPRODUCT(分期持仓明细!$B$24:$AA$24,'实盘净值数据(iFinD公式)'!$B115:$AA115/'实盘净值数据(iFinD公式)'!$B$65:$AA$65)*(1-实盘持仓初始配置!$Z$8)^(('实盘净值数据(iFinD公式)'!$A115-'实盘净值数据(iFinD公式)'!$A$5)/365))</x:f>
        <x:v>#NAME?</x:v>
      </x:c>
      <x:c r="O115" s="152" t="e">
        <x:f>IF(OR(N114="",N115=""),"",N115/N114-1)</x:f>
        <x:v>#NAME?</x:v>
      </x:c>
      <x:c r="P115" s="152" t="e">
        <x:f>IF(N115="","",N115/MAX(N$5:N115)-1)</x:f>
        <x:v>#NAME?</x:v>
      </x:c>
      <x:c r="Q115" s="146" t="e">
        <x:f>IF(OR('实盘净值数据(iFinD公式)'!$A115="",'实盘净值数据(iFinD公式)'!$B115=""),"",分期持仓明细!$AD$25*SUMPRODUCT(分期持仓明细!$B$25:$AA$25,'实盘净值数据(iFinD公式)'!$B115:$AA115/'实盘净值数据(iFinD公式)'!$B$65:$AA$65)*(1-实盘持仓初始配置!$Z$9)^(('实盘净值数据(iFinD公式)'!$A115-'实盘净值数据(iFinD公式)'!$A$8)/365))</x:f>
        <x:v>#NAME?</x:v>
      </x:c>
      <x:c r="R115" s="152" t="e">
        <x:f>IF(OR(Q114="",Q115=""),"",Q115/Q114-1)</x:f>
        <x:v>#NAME?</x:v>
      </x:c>
      <x:c r="S115" s="152" t="e">
        <x:f>IF(Q115="","",Q115/MAX(Q$5:Q115)-1)</x:f>
        <x:v>#NAME?</x:v>
      </x:c>
    </x:row>
    <x:row r="116">
      <x:c r="A116" s="149" t="str">
        <x:f>IF('实盘净值数据(iFinD公式)'!A116="","",'实盘净值数据(iFinD公式)'!A116)</x:f>
      </x:c>
      <x:c r="B116" s="146" t="e">
        <x:f>IF(OR('实盘净值数据(iFinD公式)'!$A116="",'实盘净值数据(iFinD公式)'!$B116=""),"",分期持仓明细!$AD$17*SUMPRODUCT(分期持仓明细!$B$17:$AA$17,'实盘净值数据(iFinD公式)'!$B116:$AA116/'实盘净值数据(iFinD公式)'!$B$20:$AA$20)*(1-实盘持仓初始配置!$Z$4)^(('实盘净值数据(iFinD公式)'!$A116-'实盘净值数据(iFinD公式)'!$A$6)/365))</x:f>
        <x:v>#NAME?</x:v>
      </x:c>
      <x:c r="C116" s="152" t="e">
        <x:f>IF(OR(B115="",B116=""),"",B116/B115-1)</x:f>
        <x:v>#NAME?</x:v>
      </x:c>
      <x:c r="D116" s="152" t="e">
        <x:f>IF(B116="","",B116/MAX(B$5:B116)-1)</x:f>
        <x:v>#NAME?</x:v>
      </x:c>
      <x:c r="E116" s="146" t="e">
        <x:f>IF(OR('实盘净值数据(iFinD公式)'!$A116="",'实盘净值数据(iFinD公式)'!$B116=""),"",分期持仓明细!$AD$18*SUMPRODUCT(分期持仓明细!$B$18:$AA$18,'实盘净值数据(iFinD公式)'!$B116:$AA116/'实盘净值数据(iFinD公式)'!$B$20:$AA$20)*(1-实盘持仓初始配置!$Z$5)^(('实盘净值数据(iFinD公式)'!$A116-'实盘净值数据(iFinD公式)'!$A$5)/365))</x:f>
        <x:v>#NAME?</x:v>
      </x:c>
      <x:c r="F116" s="152" t="e">
        <x:f>IF(OR(E115="",E116=""),"",E116/E115-1)</x:f>
        <x:v>#NAME?</x:v>
      </x:c>
      <x:c r="G116" s="152" t="e">
        <x:f>IF(E116="","",E116/MAX(E$5:E116)-1)</x:f>
        <x:v>#NAME?</x:v>
      </x:c>
      <x:c r="H116" s="146" t="e">
        <x:f>IF(OR('实盘净值数据(iFinD公式)'!$A116="",'实盘净值数据(iFinD公式)'!$B116=""),"",分期持仓明细!$AD$19*SUMPRODUCT(分期持仓明细!$B$19:$AA$19,'实盘净值数据(iFinD公式)'!$B116:$AA116/'实盘净值数据(iFinD公式)'!$B$20:$AA$20)*(1-实盘持仓初始配置!$Z$6)^(('实盘净值数据(iFinD公式)'!$A116-'实盘净值数据(iFinD公式)'!$A$7)/365))</x:f>
        <x:v>#NAME?</x:v>
      </x:c>
      <x:c r="I116" s="152" t="e">
        <x:f>IF(OR(H115="",H116=""),"",H116/H115-1)</x:f>
        <x:v>#NAME?</x:v>
      </x:c>
      <x:c r="J116" s="152" t="e">
        <x:f>IF(H116="","",H116/MAX(H$5:H116)-1)</x:f>
        <x:v>#NAME?</x:v>
      </x:c>
      <x:c r="K116" s="146" t="e">
        <x:f>IF(OR('实盘净值数据(iFinD公式)'!$A116="",'实盘净值数据(iFinD公式)'!$B116=""),"",分期持仓明细!$AD$23*SUMPRODUCT(分期持仓明细!$B$23:$AA$23,'实盘净值数据(iFinD公式)'!$B116:$AA116/'实盘净值数据(iFinD公式)'!$B$65:$AA$65)*(1-实盘持仓初始配置!$Z$7)^(('实盘净值数据(iFinD公式)'!$A116-'实盘净值数据(iFinD公式)'!$A$8)/365))</x:f>
        <x:v>#NAME?</x:v>
      </x:c>
      <x:c r="L116" s="152" t="e">
        <x:f>IF(OR(K115="",K116=""),"",K116/K115-1)</x:f>
        <x:v>#NAME?</x:v>
      </x:c>
      <x:c r="M116" s="152" t="e">
        <x:f>IF(K116="","",K116/MAX(K$5:K116)-1)</x:f>
        <x:v>#NAME?</x:v>
      </x:c>
      <x:c r="N116" s="146" t="e">
        <x:f>IF(OR('实盘净值数据(iFinD公式)'!$A116="",'实盘净值数据(iFinD公式)'!$B116=""),"",分期持仓明细!$AD$24*SUMPRODUCT(分期持仓明细!$B$24:$AA$24,'实盘净值数据(iFinD公式)'!$B116:$AA116/'实盘净值数据(iFinD公式)'!$B$65:$AA$65)*(1-实盘持仓初始配置!$Z$8)^(('实盘净值数据(iFinD公式)'!$A116-'实盘净值数据(iFinD公式)'!$A$5)/365))</x:f>
        <x:v>#NAME?</x:v>
      </x:c>
      <x:c r="O116" s="152" t="e">
        <x:f>IF(OR(N115="",N116=""),"",N116/N115-1)</x:f>
        <x:v>#NAME?</x:v>
      </x:c>
      <x:c r="P116" s="152" t="e">
        <x:f>IF(N116="","",N116/MAX(N$5:N116)-1)</x:f>
        <x:v>#NAME?</x:v>
      </x:c>
      <x:c r="Q116" s="146" t="e">
        <x:f>IF(OR('实盘净值数据(iFinD公式)'!$A116="",'实盘净值数据(iFinD公式)'!$B116=""),"",分期持仓明细!$AD$25*SUMPRODUCT(分期持仓明细!$B$25:$AA$25,'实盘净值数据(iFinD公式)'!$B116:$AA116/'实盘净值数据(iFinD公式)'!$B$65:$AA$65)*(1-实盘持仓初始配置!$Z$9)^(('实盘净值数据(iFinD公式)'!$A116-'实盘净值数据(iFinD公式)'!$A$8)/365))</x:f>
        <x:v>#NAME?</x:v>
      </x:c>
      <x:c r="R116" s="152" t="e">
        <x:f>IF(OR(Q115="",Q116=""),"",Q116/Q115-1)</x:f>
        <x:v>#NAME?</x:v>
      </x:c>
      <x:c r="S116" s="152" t="e">
        <x:f>IF(Q116="","",Q116/MAX(Q$5:Q116)-1)</x:f>
        <x:v>#NAME?</x:v>
      </x:c>
    </x:row>
    <x:row r="117">
      <x:c r="A117" s="149" t="str">
        <x:f>IF('实盘净值数据(iFinD公式)'!A117="","",'实盘净值数据(iFinD公式)'!A117)</x:f>
      </x:c>
      <x:c r="B117" s="146" t="e">
        <x:f>IF(OR('实盘净值数据(iFinD公式)'!$A117="",'实盘净值数据(iFinD公式)'!$B117=""),"",分期持仓明细!$AD$17*SUMPRODUCT(分期持仓明细!$B$17:$AA$17,'实盘净值数据(iFinD公式)'!$B117:$AA117/'实盘净值数据(iFinD公式)'!$B$20:$AA$20)*(1-实盘持仓初始配置!$Z$4)^(('实盘净值数据(iFinD公式)'!$A117-'实盘净值数据(iFinD公式)'!$A$6)/365))</x:f>
        <x:v>#NAME?</x:v>
      </x:c>
      <x:c r="C117" s="152" t="e">
        <x:f>IF(OR(B116="",B117=""),"",B117/B116-1)</x:f>
        <x:v>#NAME?</x:v>
      </x:c>
      <x:c r="D117" s="152" t="e">
        <x:f>IF(B117="","",B117/MAX(B$5:B117)-1)</x:f>
        <x:v>#NAME?</x:v>
      </x:c>
      <x:c r="E117" s="146" t="e">
        <x:f>IF(OR('实盘净值数据(iFinD公式)'!$A117="",'实盘净值数据(iFinD公式)'!$B117=""),"",分期持仓明细!$AD$18*SUMPRODUCT(分期持仓明细!$B$18:$AA$18,'实盘净值数据(iFinD公式)'!$B117:$AA117/'实盘净值数据(iFinD公式)'!$B$20:$AA$20)*(1-实盘持仓初始配置!$Z$5)^(('实盘净值数据(iFinD公式)'!$A117-'实盘净值数据(iFinD公式)'!$A$5)/365))</x:f>
        <x:v>#NAME?</x:v>
      </x:c>
      <x:c r="F117" s="152" t="e">
        <x:f>IF(OR(E116="",E117=""),"",E117/E116-1)</x:f>
        <x:v>#NAME?</x:v>
      </x:c>
      <x:c r="G117" s="152" t="e">
        <x:f>IF(E117="","",E117/MAX(E$5:E117)-1)</x:f>
        <x:v>#NAME?</x:v>
      </x:c>
      <x:c r="H117" s="146" t="e">
        <x:f>IF(OR('实盘净值数据(iFinD公式)'!$A117="",'实盘净值数据(iFinD公式)'!$B117=""),"",分期持仓明细!$AD$19*SUMPRODUCT(分期持仓明细!$B$19:$AA$19,'实盘净值数据(iFinD公式)'!$B117:$AA117/'实盘净值数据(iFinD公式)'!$B$20:$AA$20)*(1-实盘持仓初始配置!$Z$6)^(('实盘净值数据(iFinD公式)'!$A117-'实盘净值数据(iFinD公式)'!$A$7)/365))</x:f>
        <x:v>#NAME?</x:v>
      </x:c>
      <x:c r="I117" s="152" t="e">
        <x:f>IF(OR(H116="",H117=""),"",H117/H116-1)</x:f>
        <x:v>#NAME?</x:v>
      </x:c>
      <x:c r="J117" s="152" t="e">
        <x:f>IF(H117="","",H117/MAX(H$5:H117)-1)</x:f>
        <x:v>#NAME?</x:v>
      </x:c>
      <x:c r="K117" s="146" t="e">
        <x:f>IF(OR('实盘净值数据(iFinD公式)'!$A117="",'实盘净值数据(iFinD公式)'!$B117=""),"",分期持仓明细!$AD$23*SUMPRODUCT(分期持仓明细!$B$23:$AA$23,'实盘净值数据(iFinD公式)'!$B117:$AA117/'实盘净值数据(iFinD公式)'!$B$65:$AA$65)*(1-实盘持仓初始配置!$Z$7)^(('实盘净值数据(iFinD公式)'!$A117-'实盘净值数据(iFinD公式)'!$A$8)/365))</x:f>
        <x:v>#NAME?</x:v>
      </x:c>
      <x:c r="L117" s="152" t="e">
        <x:f>IF(OR(K116="",K117=""),"",K117/K116-1)</x:f>
        <x:v>#NAME?</x:v>
      </x:c>
      <x:c r="M117" s="152" t="e">
        <x:f>IF(K117="","",K117/MAX(K$5:K117)-1)</x:f>
        <x:v>#NAME?</x:v>
      </x:c>
      <x:c r="N117" s="146" t="e">
        <x:f>IF(OR('实盘净值数据(iFinD公式)'!$A117="",'实盘净值数据(iFinD公式)'!$B117=""),"",分期持仓明细!$AD$24*SUMPRODUCT(分期持仓明细!$B$24:$AA$24,'实盘净值数据(iFinD公式)'!$B117:$AA117/'实盘净值数据(iFinD公式)'!$B$65:$AA$65)*(1-实盘持仓初始配置!$Z$8)^(('实盘净值数据(iFinD公式)'!$A117-'实盘净值数据(iFinD公式)'!$A$5)/365))</x:f>
        <x:v>#NAME?</x:v>
      </x:c>
      <x:c r="O117" s="152" t="e">
        <x:f>IF(OR(N116="",N117=""),"",N117/N116-1)</x:f>
        <x:v>#NAME?</x:v>
      </x:c>
      <x:c r="P117" s="152" t="e">
        <x:f>IF(N117="","",N117/MAX(N$5:N117)-1)</x:f>
        <x:v>#NAME?</x:v>
      </x:c>
      <x:c r="Q117" s="146" t="e">
        <x:f>IF(OR('实盘净值数据(iFinD公式)'!$A117="",'实盘净值数据(iFinD公式)'!$B117=""),"",分期持仓明细!$AD$25*SUMPRODUCT(分期持仓明细!$B$25:$AA$25,'实盘净值数据(iFinD公式)'!$B117:$AA117/'实盘净值数据(iFinD公式)'!$B$65:$AA$65)*(1-实盘持仓初始配置!$Z$9)^(('实盘净值数据(iFinD公式)'!$A117-'实盘净值数据(iFinD公式)'!$A$8)/365))</x:f>
        <x:v>#NAME?</x:v>
      </x:c>
      <x:c r="R117" s="152" t="e">
        <x:f>IF(OR(Q116="",Q117=""),"",Q117/Q116-1)</x:f>
        <x:v>#NAME?</x:v>
      </x:c>
      <x:c r="S117" s="152" t="e">
        <x:f>IF(Q117="","",Q117/MAX(Q$5:Q117)-1)</x:f>
        <x:v>#NAME?</x:v>
      </x:c>
    </x:row>
    <x:row r="118">
      <x:c r="A118" s="149" t="str">
        <x:f>IF('实盘净值数据(iFinD公式)'!A118="","",'实盘净值数据(iFinD公式)'!A118)</x:f>
      </x:c>
      <x:c r="B118" s="146" t="e">
        <x:f>IF(OR('实盘净值数据(iFinD公式)'!$A118="",'实盘净值数据(iFinD公式)'!$B118=""),"",分期持仓明细!$AD$17*SUMPRODUCT(分期持仓明细!$B$17:$AA$17,'实盘净值数据(iFinD公式)'!$B118:$AA118/'实盘净值数据(iFinD公式)'!$B$20:$AA$20)*(1-实盘持仓初始配置!$Z$4)^(('实盘净值数据(iFinD公式)'!$A118-'实盘净值数据(iFinD公式)'!$A$6)/365))</x:f>
        <x:v>#NAME?</x:v>
      </x:c>
      <x:c r="C118" s="152" t="e">
        <x:f>IF(OR(B117="",B118=""),"",B118/B117-1)</x:f>
        <x:v>#NAME?</x:v>
      </x:c>
      <x:c r="D118" s="152" t="e">
        <x:f>IF(B118="","",B118/MAX(B$5:B118)-1)</x:f>
        <x:v>#NAME?</x:v>
      </x:c>
      <x:c r="E118" s="146" t="e">
        <x:f>IF(OR('实盘净值数据(iFinD公式)'!$A118="",'实盘净值数据(iFinD公式)'!$B118=""),"",分期持仓明细!$AD$18*SUMPRODUCT(分期持仓明细!$B$18:$AA$18,'实盘净值数据(iFinD公式)'!$B118:$AA118/'实盘净值数据(iFinD公式)'!$B$20:$AA$20)*(1-实盘持仓初始配置!$Z$5)^(('实盘净值数据(iFinD公式)'!$A118-'实盘净值数据(iFinD公式)'!$A$5)/365))</x:f>
        <x:v>#NAME?</x:v>
      </x:c>
      <x:c r="F118" s="152" t="e">
        <x:f>IF(OR(E117="",E118=""),"",E118/E117-1)</x:f>
        <x:v>#NAME?</x:v>
      </x:c>
      <x:c r="G118" s="152" t="e">
        <x:f>IF(E118="","",E118/MAX(E$5:E118)-1)</x:f>
        <x:v>#NAME?</x:v>
      </x:c>
      <x:c r="H118" s="146" t="e">
        <x:f>IF(OR('实盘净值数据(iFinD公式)'!$A118="",'实盘净值数据(iFinD公式)'!$B118=""),"",分期持仓明细!$AD$19*SUMPRODUCT(分期持仓明细!$B$19:$AA$19,'实盘净值数据(iFinD公式)'!$B118:$AA118/'实盘净值数据(iFinD公式)'!$B$20:$AA$20)*(1-实盘持仓初始配置!$Z$6)^(('实盘净值数据(iFinD公式)'!$A118-'实盘净值数据(iFinD公式)'!$A$7)/365))</x:f>
        <x:v>#NAME?</x:v>
      </x:c>
      <x:c r="I118" s="152" t="e">
        <x:f>IF(OR(H117="",H118=""),"",H118/H117-1)</x:f>
        <x:v>#NAME?</x:v>
      </x:c>
      <x:c r="J118" s="152" t="e">
        <x:f>IF(H118="","",H118/MAX(H$5:H118)-1)</x:f>
        <x:v>#NAME?</x:v>
      </x:c>
      <x:c r="K118" s="146" t="e">
        <x:f>IF(OR('实盘净值数据(iFinD公式)'!$A118="",'实盘净值数据(iFinD公式)'!$B118=""),"",分期持仓明细!$AD$23*SUMPRODUCT(分期持仓明细!$B$23:$AA$23,'实盘净值数据(iFinD公式)'!$B118:$AA118/'实盘净值数据(iFinD公式)'!$B$65:$AA$65)*(1-实盘持仓初始配置!$Z$7)^(('实盘净值数据(iFinD公式)'!$A118-'实盘净值数据(iFinD公式)'!$A$8)/365))</x:f>
        <x:v>#NAME?</x:v>
      </x:c>
      <x:c r="L118" s="152" t="e">
        <x:f>IF(OR(K117="",K118=""),"",K118/K117-1)</x:f>
        <x:v>#NAME?</x:v>
      </x:c>
      <x:c r="M118" s="152" t="e">
        <x:f>IF(K118="","",K118/MAX(K$5:K118)-1)</x:f>
        <x:v>#NAME?</x:v>
      </x:c>
      <x:c r="N118" s="146" t="e">
        <x:f>IF(OR('实盘净值数据(iFinD公式)'!$A118="",'实盘净值数据(iFinD公式)'!$B118=""),"",分期持仓明细!$AD$24*SUMPRODUCT(分期持仓明细!$B$24:$AA$24,'实盘净值数据(iFinD公式)'!$B118:$AA118/'实盘净值数据(iFinD公式)'!$B$65:$AA$65)*(1-实盘持仓初始配置!$Z$8)^(('实盘净值数据(iFinD公式)'!$A118-'实盘净值数据(iFinD公式)'!$A$5)/365))</x:f>
        <x:v>#NAME?</x:v>
      </x:c>
      <x:c r="O118" s="152" t="e">
        <x:f>IF(OR(N117="",N118=""),"",N118/N117-1)</x:f>
        <x:v>#NAME?</x:v>
      </x:c>
      <x:c r="P118" s="152" t="e">
        <x:f>IF(N118="","",N118/MAX(N$5:N118)-1)</x:f>
        <x:v>#NAME?</x:v>
      </x:c>
      <x:c r="Q118" s="146" t="e">
        <x:f>IF(OR('实盘净值数据(iFinD公式)'!$A118="",'实盘净值数据(iFinD公式)'!$B118=""),"",分期持仓明细!$AD$25*SUMPRODUCT(分期持仓明细!$B$25:$AA$25,'实盘净值数据(iFinD公式)'!$B118:$AA118/'实盘净值数据(iFinD公式)'!$B$65:$AA$65)*(1-实盘持仓初始配置!$Z$9)^(('实盘净值数据(iFinD公式)'!$A118-'实盘净值数据(iFinD公式)'!$A$8)/365))</x:f>
        <x:v>#NAME?</x:v>
      </x:c>
      <x:c r="R118" s="152" t="e">
        <x:f>IF(OR(Q117="",Q118=""),"",Q118/Q117-1)</x:f>
        <x:v>#NAME?</x:v>
      </x:c>
      <x:c r="S118" s="152" t="e">
        <x:f>IF(Q118="","",Q118/MAX(Q$5:Q118)-1)</x:f>
        <x:v>#NAME?</x:v>
      </x:c>
    </x:row>
    <x:row r="119">
      <x:c r="A119" s="149" t="str">
        <x:f>IF('实盘净值数据(iFinD公式)'!A119="","",'实盘净值数据(iFinD公式)'!A119)</x:f>
      </x:c>
      <x:c r="B119" s="146" t="e">
        <x:f>IF(OR('实盘净值数据(iFinD公式)'!$A119="",'实盘净值数据(iFinD公式)'!$B119=""),"",分期持仓明细!$AD$17*SUMPRODUCT(分期持仓明细!$B$17:$AA$17,'实盘净值数据(iFinD公式)'!$B119:$AA119/'实盘净值数据(iFinD公式)'!$B$20:$AA$20)*(1-实盘持仓初始配置!$Z$4)^(('实盘净值数据(iFinD公式)'!$A119-'实盘净值数据(iFinD公式)'!$A$6)/365))</x:f>
        <x:v>#NAME?</x:v>
      </x:c>
      <x:c r="C119" s="152" t="e">
        <x:f>IF(OR(B118="",B119=""),"",B119/B118-1)</x:f>
        <x:v>#NAME?</x:v>
      </x:c>
      <x:c r="D119" s="152" t="e">
        <x:f>IF(B119="","",B119/MAX(B$5:B119)-1)</x:f>
        <x:v>#NAME?</x:v>
      </x:c>
      <x:c r="E119" s="146" t="e">
        <x:f>IF(OR('实盘净值数据(iFinD公式)'!$A119="",'实盘净值数据(iFinD公式)'!$B119=""),"",分期持仓明细!$AD$18*SUMPRODUCT(分期持仓明细!$B$18:$AA$18,'实盘净值数据(iFinD公式)'!$B119:$AA119/'实盘净值数据(iFinD公式)'!$B$20:$AA$20)*(1-实盘持仓初始配置!$Z$5)^(('实盘净值数据(iFinD公式)'!$A119-'实盘净值数据(iFinD公式)'!$A$5)/365))</x:f>
        <x:v>#NAME?</x:v>
      </x:c>
      <x:c r="F119" s="152" t="e">
        <x:f>IF(OR(E118="",E119=""),"",E119/E118-1)</x:f>
        <x:v>#NAME?</x:v>
      </x:c>
      <x:c r="G119" s="152" t="e">
        <x:f>IF(E119="","",E119/MAX(E$5:E119)-1)</x:f>
        <x:v>#NAME?</x:v>
      </x:c>
      <x:c r="H119" s="146" t="e">
        <x:f>IF(OR('实盘净值数据(iFinD公式)'!$A119="",'实盘净值数据(iFinD公式)'!$B119=""),"",分期持仓明细!$AD$19*SUMPRODUCT(分期持仓明细!$B$19:$AA$19,'实盘净值数据(iFinD公式)'!$B119:$AA119/'实盘净值数据(iFinD公式)'!$B$20:$AA$20)*(1-实盘持仓初始配置!$Z$6)^(('实盘净值数据(iFinD公式)'!$A119-'实盘净值数据(iFinD公式)'!$A$7)/365))</x:f>
        <x:v>#NAME?</x:v>
      </x:c>
      <x:c r="I119" s="152" t="e">
        <x:f>IF(OR(H118="",H119=""),"",H119/H118-1)</x:f>
        <x:v>#NAME?</x:v>
      </x:c>
      <x:c r="J119" s="152" t="e">
        <x:f>IF(H119="","",H119/MAX(H$5:H119)-1)</x:f>
        <x:v>#NAME?</x:v>
      </x:c>
      <x:c r="K119" s="146" t="e">
        <x:f>IF(OR('实盘净值数据(iFinD公式)'!$A119="",'实盘净值数据(iFinD公式)'!$B119=""),"",分期持仓明细!$AD$23*SUMPRODUCT(分期持仓明细!$B$23:$AA$23,'实盘净值数据(iFinD公式)'!$B119:$AA119/'实盘净值数据(iFinD公式)'!$B$65:$AA$65)*(1-实盘持仓初始配置!$Z$7)^(('实盘净值数据(iFinD公式)'!$A119-'实盘净值数据(iFinD公式)'!$A$8)/365))</x:f>
        <x:v>#NAME?</x:v>
      </x:c>
      <x:c r="L119" s="152" t="e">
        <x:f>IF(OR(K118="",K119=""),"",K119/K118-1)</x:f>
        <x:v>#NAME?</x:v>
      </x:c>
      <x:c r="M119" s="152" t="e">
        <x:f>IF(K119="","",K119/MAX(K$5:K119)-1)</x:f>
        <x:v>#NAME?</x:v>
      </x:c>
      <x:c r="N119" s="146" t="e">
        <x:f>IF(OR('实盘净值数据(iFinD公式)'!$A119="",'实盘净值数据(iFinD公式)'!$B119=""),"",分期持仓明细!$AD$24*SUMPRODUCT(分期持仓明细!$B$24:$AA$24,'实盘净值数据(iFinD公式)'!$B119:$AA119/'实盘净值数据(iFinD公式)'!$B$65:$AA$65)*(1-实盘持仓初始配置!$Z$8)^(('实盘净值数据(iFinD公式)'!$A119-'实盘净值数据(iFinD公式)'!$A$5)/365))</x:f>
        <x:v>#NAME?</x:v>
      </x:c>
      <x:c r="O119" s="152" t="e">
        <x:f>IF(OR(N118="",N119=""),"",N119/N118-1)</x:f>
        <x:v>#NAME?</x:v>
      </x:c>
      <x:c r="P119" s="152" t="e">
        <x:f>IF(N119="","",N119/MAX(N$5:N119)-1)</x:f>
        <x:v>#NAME?</x:v>
      </x:c>
      <x:c r="Q119" s="146" t="e">
        <x:f>IF(OR('实盘净值数据(iFinD公式)'!$A119="",'实盘净值数据(iFinD公式)'!$B119=""),"",分期持仓明细!$AD$25*SUMPRODUCT(分期持仓明细!$B$25:$AA$25,'实盘净值数据(iFinD公式)'!$B119:$AA119/'实盘净值数据(iFinD公式)'!$B$65:$AA$65)*(1-实盘持仓初始配置!$Z$9)^(('实盘净值数据(iFinD公式)'!$A119-'实盘净值数据(iFinD公式)'!$A$8)/365))</x:f>
        <x:v>#NAME?</x:v>
      </x:c>
      <x:c r="R119" s="152" t="e">
        <x:f>IF(OR(Q118="",Q119=""),"",Q119/Q118-1)</x:f>
        <x:v>#NAME?</x:v>
      </x:c>
      <x:c r="S119" s="152" t="e">
        <x:f>IF(Q119="","",Q119/MAX(Q$5:Q119)-1)</x:f>
        <x:v>#NAME?</x:v>
      </x:c>
    </x:row>
    <x:row r="120">
      <x:c r="A120" s="149" t="str">
        <x:f>IF('实盘净值数据(iFinD公式)'!A120="","",'实盘净值数据(iFinD公式)'!A120)</x:f>
      </x:c>
      <x:c r="B120" s="146" t="e">
        <x:f>IF(OR('实盘净值数据(iFinD公式)'!$A120="",'实盘净值数据(iFinD公式)'!$B120=""),"",分期持仓明细!$AD$17*SUMPRODUCT(分期持仓明细!$B$17:$AA$17,'实盘净值数据(iFinD公式)'!$B120:$AA120/'实盘净值数据(iFinD公式)'!$B$20:$AA$20)*(1-实盘持仓初始配置!$Z$4)^(('实盘净值数据(iFinD公式)'!$A120-'实盘净值数据(iFinD公式)'!$A$6)/365))</x:f>
        <x:v>#NAME?</x:v>
      </x:c>
      <x:c r="C120" s="152" t="e">
        <x:f>IF(OR(B119="",B120=""),"",B120/B119-1)</x:f>
        <x:v>#NAME?</x:v>
      </x:c>
      <x:c r="D120" s="152" t="e">
        <x:f>IF(B120="","",B120/MAX(B$5:B120)-1)</x:f>
        <x:v>#NAME?</x:v>
      </x:c>
      <x:c r="E120" s="146" t="e">
        <x:f>IF(OR('实盘净值数据(iFinD公式)'!$A120="",'实盘净值数据(iFinD公式)'!$B120=""),"",分期持仓明细!$AD$18*SUMPRODUCT(分期持仓明细!$B$18:$AA$18,'实盘净值数据(iFinD公式)'!$B120:$AA120/'实盘净值数据(iFinD公式)'!$B$20:$AA$20)*(1-实盘持仓初始配置!$Z$5)^(('实盘净值数据(iFinD公式)'!$A120-'实盘净值数据(iFinD公式)'!$A$5)/365))</x:f>
        <x:v>#NAME?</x:v>
      </x:c>
      <x:c r="F120" s="152" t="e">
        <x:f>IF(OR(E119="",E120=""),"",E120/E119-1)</x:f>
        <x:v>#NAME?</x:v>
      </x:c>
      <x:c r="G120" s="152" t="e">
        <x:f>IF(E120="","",E120/MAX(E$5:E120)-1)</x:f>
        <x:v>#NAME?</x:v>
      </x:c>
      <x:c r="H120" s="146" t="e">
        <x:f>IF(OR('实盘净值数据(iFinD公式)'!$A120="",'实盘净值数据(iFinD公式)'!$B120=""),"",分期持仓明细!$AD$19*SUMPRODUCT(分期持仓明细!$B$19:$AA$19,'实盘净值数据(iFinD公式)'!$B120:$AA120/'实盘净值数据(iFinD公式)'!$B$20:$AA$20)*(1-实盘持仓初始配置!$Z$6)^(('实盘净值数据(iFinD公式)'!$A120-'实盘净值数据(iFinD公式)'!$A$7)/365))</x:f>
        <x:v>#NAME?</x:v>
      </x:c>
      <x:c r="I120" s="152" t="e">
        <x:f>IF(OR(H119="",H120=""),"",H120/H119-1)</x:f>
        <x:v>#NAME?</x:v>
      </x:c>
      <x:c r="J120" s="152" t="e">
        <x:f>IF(H120="","",H120/MAX(H$5:H120)-1)</x:f>
        <x:v>#NAME?</x:v>
      </x:c>
      <x:c r="K120" s="146" t="e">
        <x:f>IF(OR('实盘净值数据(iFinD公式)'!$A120="",'实盘净值数据(iFinD公式)'!$B120=""),"",分期持仓明细!$AD$23*SUMPRODUCT(分期持仓明细!$B$23:$AA$23,'实盘净值数据(iFinD公式)'!$B120:$AA120/'实盘净值数据(iFinD公式)'!$B$65:$AA$65)*(1-实盘持仓初始配置!$Z$7)^(('实盘净值数据(iFinD公式)'!$A120-'实盘净值数据(iFinD公式)'!$A$8)/365))</x:f>
        <x:v>#NAME?</x:v>
      </x:c>
      <x:c r="L120" s="152" t="e">
        <x:f>IF(OR(K119="",K120=""),"",K120/K119-1)</x:f>
        <x:v>#NAME?</x:v>
      </x:c>
      <x:c r="M120" s="152" t="e">
        <x:f>IF(K120="","",K120/MAX(K$5:K120)-1)</x:f>
        <x:v>#NAME?</x:v>
      </x:c>
      <x:c r="N120" s="146" t="e">
        <x:f>IF(OR('实盘净值数据(iFinD公式)'!$A120="",'实盘净值数据(iFinD公式)'!$B120=""),"",分期持仓明细!$AD$24*SUMPRODUCT(分期持仓明细!$B$24:$AA$24,'实盘净值数据(iFinD公式)'!$B120:$AA120/'实盘净值数据(iFinD公式)'!$B$65:$AA$65)*(1-实盘持仓初始配置!$Z$8)^(('实盘净值数据(iFinD公式)'!$A120-'实盘净值数据(iFinD公式)'!$A$5)/365))</x:f>
        <x:v>#NAME?</x:v>
      </x:c>
      <x:c r="O120" s="152" t="e">
        <x:f>IF(OR(N119="",N120=""),"",N120/N119-1)</x:f>
        <x:v>#NAME?</x:v>
      </x:c>
      <x:c r="P120" s="152" t="e">
        <x:f>IF(N120="","",N120/MAX(N$5:N120)-1)</x:f>
        <x:v>#NAME?</x:v>
      </x:c>
      <x:c r="Q120" s="146" t="e">
        <x:f>IF(OR('实盘净值数据(iFinD公式)'!$A120="",'实盘净值数据(iFinD公式)'!$B120=""),"",分期持仓明细!$AD$25*SUMPRODUCT(分期持仓明细!$B$25:$AA$25,'实盘净值数据(iFinD公式)'!$B120:$AA120/'实盘净值数据(iFinD公式)'!$B$65:$AA$65)*(1-实盘持仓初始配置!$Z$9)^(('实盘净值数据(iFinD公式)'!$A120-'实盘净值数据(iFinD公式)'!$A$8)/365))</x:f>
        <x:v>#NAME?</x:v>
      </x:c>
      <x:c r="R120" s="152" t="e">
        <x:f>IF(OR(Q119="",Q120=""),"",Q120/Q119-1)</x:f>
        <x:v>#NAME?</x:v>
      </x:c>
      <x:c r="S120" s="152" t="e">
        <x:f>IF(Q120="","",Q120/MAX(Q$5:Q120)-1)</x:f>
        <x:v>#NAME?</x:v>
      </x:c>
    </x:row>
    <x:row r="121">
      <x:c r="A121" s="149" t="str">
        <x:f>IF('实盘净值数据(iFinD公式)'!A121="","",'实盘净值数据(iFinD公式)'!A121)</x:f>
      </x:c>
      <x:c r="B121" s="146" t="e">
        <x:f>IF(OR('实盘净值数据(iFinD公式)'!$A121="",'实盘净值数据(iFinD公式)'!$B121=""),"",分期持仓明细!$AD$17*SUMPRODUCT(分期持仓明细!$B$17:$AA$17,'实盘净值数据(iFinD公式)'!$B121:$AA121/'实盘净值数据(iFinD公式)'!$B$20:$AA$20)*(1-实盘持仓初始配置!$Z$4)^(('实盘净值数据(iFinD公式)'!$A121-'实盘净值数据(iFinD公式)'!$A$6)/365))</x:f>
        <x:v>#NAME?</x:v>
      </x:c>
      <x:c r="C121" s="152" t="e">
        <x:f>IF(OR(B120="",B121=""),"",B121/B120-1)</x:f>
        <x:v>#NAME?</x:v>
      </x:c>
      <x:c r="D121" s="152" t="e">
        <x:f>IF(B121="","",B121/MAX(B$5:B121)-1)</x:f>
        <x:v>#NAME?</x:v>
      </x:c>
      <x:c r="E121" s="146" t="e">
        <x:f>IF(OR('实盘净值数据(iFinD公式)'!$A121="",'实盘净值数据(iFinD公式)'!$B121=""),"",分期持仓明细!$AD$18*SUMPRODUCT(分期持仓明细!$B$18:$AA$18,'实盘净值数据(iFinD公式)'!$B121:$AA121/'实盘净值数据(iFinD公式)'!$B$20:$AA$20)*(1-实盘持仓初始配置!$Z$5)^(('实盘净值数据(iFinD公式)'!$A121-'实盘净值数据(iFinD公式)'!$A$5)/365))</x:f>
        <x:v>#NAME?</x:v>
      </x:c>
      <x:c r="F121" s="152" t="e">
        <x:f>IF(OR(E120="",E121=""),"",E121/E120-1)</x:f>
        <x:v>#NAME?</x:v>
      </x:c>
      <x:c r="G121" s="152" t="e">
        <x:f>IF(E121="","",E121/MAX(E$5:E121)-1)</x:f>
        <x:v>#NAME?</x:v>
      </x:c>
      <x:c r="H121" s="146" t="e">
        <x:f>IF(OR('实盘净值数据(iFinD公式)'!$A121="",'实盘净值数据(iFinD公式)'!$B121=""),"",分期持仓明细!$AD$19*SUMPRODUCT(分期持仓明细!$B$19:$AA$19,'实盘净值数据(iFinD公式)'!$B121:$AA121/'实盘净值数据(iFinD公式)'!$B$20:$AA$20)*(1-实盘持仓初始配置!$Z$6)^(('实盘净值数据(iFinD公式)'!$A121-'实盘净值数据(iFinD公式)'!$A$7)/365))</x:f>
        <x:v>#NAME?</x:v>
      </x:c>
      <x:c r="I121" s="152" t="e">
        <x:f>IF(OR(H120="",H121=""),"",H121/H120-1)</x:f>
        <x:v>#NAME?</x:v>
      </x:c>
      <x:c r="J121" s="152" t="e">
        <x:f>IF(H121="","",H121/MAX(H$5:H121)-1)</x:f>
        <x:v>#NAME?</x:v>
      </x:c>
      <x:c r="K121" s="146" t="e">
        <x:f>IF(OR('实盘净值数据(iFinD公式)'!$A121="",'实盘净值数据(iFinD公式)'!$B121=""),"",分期持仓明细!$AD$23*SUMPRODUCT(分期持仓明细!$B$23:$AA$23,'实盘净值数据(iFinD公式)'!$B121:$AA121/'实盘净值数据(iFinD公式)'!$B$65:$AA$65)*(1-实盘持仓初始配置!$Z$7)^(('实盘净值数据(iFinD公式)'!$A121-'实盘净值数据(iFinD公式)'!$A$8)/365))</x:f>
        <x:v>#NAME?</x:v>
      </x:c>
      <x:c r="L121" s="152" t="e">
        <x:f>IF(OR(K120="",K121=""),"",K121/K120-1)</x:f>
        <x:v>#NAME?</x:v>
      </x:c>
      <x:c r="M121" s="152" t="e">
        <x:f>IF(K121="","",K121/MAX(K$5:K121)-1)</x:f>
        <x:v>#NAME?</x:v>
      </x:c>
      <x:c r="N121" s="146" t="e">
        <x:f>IF(OR('实盘净值数据(iFinD公式)'!$A121="",'实盘净值数据(iFinD公式)'!$B121=""),"",分期持仓明细!$AD$24*SUMPRODUCT(分期持仓明细!$B$24:$AA$24,'实盘净值数据(iFinD公式)'!$B121:$AA121/'实盘净值数据(iFinD公式)'!$B$65:$AA$65)*(1-实盘持仓初始配置!$Z$8)^(('实盘净值数据(iFinD公式)'!$A121-'实盘净值数据(iFinD公式)'!$A$5)/365))</x:f>
        <x:v>#NAME?</x:v>
      </x:c>
      <x:c r="O121" s="152" t="e">
        <x:f>IF(OR(N120="",N121=""),"",N121/N120-1)</x:f>
        <x:v>#NAME?</x:v>
      </x:c>
      <x:c r="P121" s="152" t="e">
        <x:f>IF(N121="","",N121/MAX(N$5:N121)-1)</x:f>
        <x:v>#NAME?</x:v>
      </x:c>
      <x:c r="Q121" s="146" t="e">
        <x:f>IF(OR('实盘净值数据(iFinD公式)'!$A121="",'实盘净值数据(iFinD公式)'!$B121=""),"",分期持仓明细!$AD$25*SUMPRODUCT(分期持仓明细!$B$25:$AA$25,'实盘净值数据(iFinD公式)'!$B121:$AA121/'实盘净值数据(iFinD公式)'!$B$65:$AA$65)*(1-实盘持仓初始配置!$Z$9)^(('实盘净值数据(iFinD公式)'!$A121-'实盘净值数据(iFinD公式)'!$A$8)/365))</x:f>
        <x:v>#NAME?</x:v>
      </x:c>
      <x:c r="R121" s="152" t="e">
        <x:f>IF(OR(Q120="",Q121=""),"",Q121/Q120-1)</x:f>
        <x:v>#NAME?</x:v>
      </x:c>
      <x:c r="S121" s="152" t="e">
        <x:f>IF(Q121="","",Q121/MAX(Q$5:Q121)-1)</x:f>
        <x:v>#NAME?</x:v>
      </x:c>
    </x:row>
    <x:row r="122">
      <x:c r="A122" s="149" t="str">
        <x:f>IF('实盘净值数据(iFinD公式)'!A122="","",'实盘净值数据(iFinD公式)'!A122)</x:f>
      </x:c>
      <x:c r="B122" s="146" t="e">
        <x:f>IF(OR('实盘净值数据(iFinD公式)'!$A122="",'实盘净值数据(iFinD公式)'!$B122=""),"",分期持仓明细!$AD$17*SUMPRODUCT(分期持仓明细!$B$17:$AA$17,'实盘净值数据(iFinD公式)'!$B122:$AA122/'实盘净值数据(iFinD公式)'!$B$20:$AA$20)*(1-实盘持仓初始配置!$Z$4)^(('实盘净值数据(iFinD公式)'!$A122-'实盘净值数据(iFinD公式)'!$A$6)/365))</x:f>
        <x:v>#NAME?</x:v>
      </x:c>
      <x:c r="C122" s="152" t="e">
        <x:f>IF(OR(B121="",B122=""),"",B122/B121-1)</x:f>
        <x:v>#NAME?</x:v>
      </x:c>
      <x:c r="D122" s="152" t="e">
        <x:f>IF(B122="","",B122/MAX(B$5:B122)-1)</x:f>
        <x:v>#NAME?</x:v>
      </x:c>
      <x:c r="E122" s="146" t="e">
        <x:f>IF(OR('实盘净值数据(iFinD公式)'!$A122="",'实盘净值数据(iFinD公式)'!$B122=""),"",分期持仓明细!$AD$18*SUMPRODUCT(分期持仓明细!$B$18:$AA$18,'实盘净值数据(iFinD公式)'!$B122:$AA122/'实盘净值数据(iFinD公式)'!$B$20:$AA$20)*(1-实盘持仓初始配置!$Z$5)^(('实盘净值数据(iFinD公式)'!$A122-'实盘净值数据(iFinD公式)'!$A$5)/365))</x:f>
        <x:v>#NAME?</x:v>
      </x:c>
      <x:c r="F122" s="152" t="e">
        <x:f>IF(OR(E121="",E122=""),"",E122/E121-1)</x:f>
        <x:v>#NAME?</x:v>
      </x:c>
      <x:c r="G122" s="152" t="e">
        <x:f>IF(E122="","",E122/MAX(E$5:E122)-1)</x:f>
        <x:v>#NAME?</x:v>
      </x:c>
      <x:c r="H122" s="146" t="e">
        <x:f>IF(OR('实盘净值数据(iFinD公式)'!$A122="",'实盘净值数据(iFinD公式)'!$B122=""),"",分期持仓明细!$AD$19*SUMPRODUCT(分期持仓明细!$B$19:$AA$19,'实盘净值数据(iFinD公式)'!$B122:$AA122/'实盘净值数据(iFinD公式)'!$B$20:$AA$20)*(1-实盘持仓初始配置!$Z$6)^(('实盘净值数据(iFinD公式)'!$A122-'实盘净值数据(iFinD公式)'!$A$7)/365))</x:f>
        <x:v>#NAME?</x:v>
      </x:c>
      <x:c r="I122" s="152" t="e">
        <x:f>IF(OR(H121="",H122=""),"",H122/H121-1)</x:f>
        <x:v>#NAME?</x:v>
      </x:c>
      <x:c r="J122" s="152" t="e">
        <x:f>IF(H122="","",H122/MAX(H$5:H122)-1)</x:f>
        <x:v>#NAME?</x:v>
      </x:c>
      <x:c r="K122" s="146" t="e">
        <x:f>IF(OR('实盘净值数据(iFinD公式)'!$A122="",'实盘净值数据(iFinD公式)'!$B122=""),"",分期持仓明细!$AD$23*SUMPRODUCT(分期持仓明细!$B$23:$AA$23,'实盘净值数据(iFinD公式)'!$B122:$AA122/'实盘净值数据(iFinD公式)'!$B$65:$AA$65)*(1-实盘持仓初始配置!$Z$7)^(('实盘净值数据(iFinD公式)'!$A122-'实盘净值数据(iFinD公式)'!$A$8)/365))</x:f>
        <x:v>#NAME?</x:v>
      </x:c>
      <x:c r="L122" s="152" t="e">
        <x:f>IF(OR(K121="",K122=""),"",K122/K121-1)</x:f>
        <x:v>#NAME?</x:v>
      </x:c>
      <x:c r="M122" s="152" t="e">
        <x:f>IF(K122="","",K122/MAX(K$5:K122)-1)</x:f>
        <x:v>#NAME?</x:v>
      </x:c>
      <x:c r="N122" s="146" t="e">
        <x:f>IF(OR('实盘净值数据(iFinD公式)'!$A122="",'实盘净值数据(iFinD公式)'!$B122=""),"",分期持仓明细!$AD$24*SUMPRODUCT(分期持仓明细!$B$24:$AA$24,'实盘净值数据(iFinD公式)'!$B122:$AA122/'实盘净值数据(iFinD公式)'!$B$65:$AA$65)*(1-实盘持仓初始配置!$Z$8)^(('实盘净值数据(iFinD公式)'!$A122-'实盘净值数据(iFinD公式)'!$A$5)/365))</x:f>
        <x:v>#NAME?</x:v>
      </x:c>
      <x:c r="O122" s="152" t="e">
        <x:f>IF(OR(N121="",N122=""),"",N122/N121-1)</x:f>
        <x:v>#NAME?</x:v>
      </x:c>
      <x:c r="P122" s="152" t="e">
        <x:f>IF(N122="","",N122/MAX(N$5:N122)-1)</x:f>
        <x:v>#NAME?</x:v>
      </x:c>
      <x:c r="Q122" s="146" t="e">
        <x:f>IF(OR('实盘净值数据(iFinD公式)'!$A122="",'实盘净值数据(iFinD公式)'!$B122=""),"",分期持仓明细!$AD$25*SUMPRODUCT(分期持仓明细!$B$25:$AA$25,'实盘净值数据(iFinD公式)'!$B122:$AA122/'实盘净值数据(iFinD公式)'!$B$65:$AA$65)*(1-实盘持仓初始配置!$Z$9)^(('实盘净值数据(iFinD公式)'!$A122-'实盘净值数据(iFinD公式)'!$A$8)/365))</x:f>
        <x:v>#NAME?</x:v>
      </x:c>
      <x:c r="R122" s="152" t="e">
        <x:f>IF(OR(Q121="",Q122=""),"",Q122/Q121-1)</x:f>
        <x:v>#NAME?</x:v>
      </x:c>
      <x:c r="S122" s="152" t="e">
        <x:f>IF(Q122="","",Q122/MAX(Q$5:Q122)-1)</x:f>
        <x:v>#NAME?</x:v>
      </x:c>
    </x:row>
    <x:row r="123">
      <x:c r="A123" s="149" t="str">
        <x:f>IF('实盘净值数据(iFinD公式)'!A123="","",'实盘净值数据(iFinD公式)'!A123)</x:f>
      </x:c>
      <x:c r="B123" s="146" t="e">
        <x:f>IF(OR('实盘净值数据(iFinD公式)'!$A123="",'实盘净值数据(iFinD公式)'!$B123=""),"",分期持仓明细!$AD$17*SUMPRODUCT(分期持仓明细!$B$17:$AA$17,'实盘净值数据(iFinD公式)'!$B123:$AA123/'实盘净值数据(iFinD公式)'!$B$20:$AA$20)*(1-实盘持仓初始配置!$Z$4)^(('实盘净值数据(iFinD公式)'!$A123-'实盘净值数据(iFinD公式)'!$A$6)/365))</x:f>
        <x:v>#NAME?</x:v>
      </x:c>
      <x:c r="C123" s="152" t="e">
        <x:f>IF(OR(B122="",B123=""),"",B123/B122-1)</x:f>
        <x:v>#NAME?</x:v>
      </x:c>
      <x:c r="D123" s="152" t="e">
        <x:f>IF(B123="","",B123/MAX(B$5:B123)-1)</x:f>
        <x:v>#NAME?</x:v>
      </x:c>
      <x:c r="E123" s="146" t="e">
        <x:f>IF(OR('实盘净值数据(iFinD公式)'!$A123="",'实盘净值数据(iFinD公式)'!$B123=""),"",分期持仓明细!$AD$18*SUMPRODUCT(分期持仓明细!$B$18:$AA$18,'实盘净值数据(iFinD公式)'!$B123:$AA123/'实盘净值数据(iFinD公式)'!$B$20:$AA$20)*(1-实盘持仓初始配置!$Z$5)^(('实盘净值数据(iFinD公式)'!$A123-'实盘净值数据(iFinD公式)'!$A$5)/365))</x:f>
        <x:v>#NAME?</x:v>
      </x:c>
      <x:c r="F123" s="152" t="e">
        <x:f>IF(OR(E122="",E123=""),"",E123/E122-1)</x:f>
        <x:v>#NAME?</x:v>
      </x:c>
      <x:c r="G123" s="152" t="e">
        <x:f>IF(E123="","",E123/MAX(E$5:E123)-1)</x:f>
        <x:v>#NAME?</x:v>
      </x:c>
      <x:c r="H123" s="146" t="e">
        <x:f>IF(OR('实盘净值数据(iFinD公式)'!$A123="",'实盘净值数据(iFinD公式)'!$B123=""),"",分期持仓明细!$AD$19*SUMPRODUCT(分期持仓明细!$B$19:$AA$19,'实盘净值数据(iFinD公式)'!$B123:$AA123/'实盘净值数据(iFinD公式)'!$B$20:$AA$20)*(1-实盘持仓初始配置!$Z$6)^(('实盘净值数据(iFinD公式)'!$A123-'实盘净值数据(iFinD公式)'!$A$7)/365))</x:f>
        <x:v>#NAME?</x:v>
      </x:c>
      <x:c r="I123" s="152" t="e">
        <x:f>IF(OR(H122="",H123=""),"",H123/H122-1)</x:f>
        <x:v>#NAME?</x:v>
      </x:c>
      <x:c r="J123" s="152" t="e">
        <x:f>IF(H123="","",H123/MAX(H$5:H123)-1)</x:f>
        <x:v>#NAME?</x:v>
      </x:c>
      <x:c r="K123" s="146" t="e">
        <x:f>IF(OR('实盘净值数据(iFinD公式)'!$A123="",'实盘净值数据(iFinD公式)'!$B123=""),"",分期持仓明细!$AD$23*SUMPRODUCT(分期持仓明细!$B$23:$AA$23,'实盘净值数据(iFinD公式)'!$B123:$AA123/'实盘净值数据(iFinD公式)'!$B$65:$AA$65)*(1-实盘持仓初始配置!$Z$7)^(('实盘净值数据(iFinD公式)'!$A123-'实盘净值数据(iFinD公式)'!$A$8)/365))</x:f>
        <x:v>#NAME?</x:v>
      </x:c>
      <x:c r="L123" s="152" t="e">
        <x:f>IF(OR(K122="",K123=""),"",K123/K122-1)</x:f>
        <x:v>#NAME?</x:v>
      </x:c>
      <x:c r="M123" s="152" t="e">
        <x:f>IF(K123="","",K123/MAX(K$5:K123)-1)</x:f>
        <x:v>#NAME?</x:v>
      </x:c>
      <x:c r="N123" s="146" t="e">
        <x:f>IF(OR('实盘净值数据(iFinD公式)'!$A123="",'实盘净值数据(iFinD公式)'!$B123=""),"",分期持仓明细!$AD$24*SUMPRODUCT(分期持仓明细!$B$24:$AA$24,'实盘净值数据(iFinD公式)'!$B123:$AA123/'实盘净值数据(iFinD公式)'!$B$65:$AA$65)*(1-实盘持仓初始配置!$Z$8)^(('实盘净值数据(iFinD公式)'!$A123-'实盘净值数据(iFinD公式)'!$A$5)/365))</x:f>
        <x:v>#NAME?</x:v>
      </x:c>
      <x:c r="O123" s="152" t="e">
        <x:f>IF(OR(N122="",N123=""),"",N123/N122-1)</x:f>
        <x:v>#NAME?</x:v>
      </x:c>
      <x:c r="P123" s="152" t="e">
        <x:f>IF(N123="","",N123/MAX(N$5:N123)-1)</x:f>
        <x:v>#NAME?</x:v>
      </x:c>
      <x:c r="Q123" s="146" t="e">
        <x:f>IF(OR('实盘净值数据(iFinD公式)'!$A123="",'实盘净值数据(iFinD公式)'!$B123=""),"",分期持仓明细!$AD$25*SUMPRODUCT(分期持仓明细!$B$25:$AA$25,'实盘净值数据(iFinD公式)'!$B123:$AA123/'实盘净值数据(iFinD公式)'!$B$65:$AA$65)*(1-实盘持仓初始配置!$Z$9)^(('实盘净值数据(iFinD公式)'!$A123-'实盘净值数据(iFinD公式)'!$A$8)/365))</x:f>
        <x:v>#NAME?</x:v>
      </x:c>
      <x:c r="R123" s="152" t="e">
        <x:f>IF(OR(Q122="",Q123=""),"",Q123/Q122-1)</x:f>
        <x:v>#NAME?</x:v>
      </x:c>
      <x:c r="S123" s="152" t="e">
        <x:f>IF(Q123="","",Q123/MAX(Q$5:Q123)-1)</x:f>
        <x:v>#NAME?</x:v>
      </x:c>
    </x:row>
    <x:row r="124">
      <x:c r="A124" s="149" t="str">
        <x:f>IF('实盘净值数据(iFinD公式)'!A124="","",'实盘净值数据(iFinD公式)'!A124)</x:f>
      </x:c>
      <x:c r="B124" s="146" t="e">
        <x:f>IF(OR('实盘净值数据(iFinD公式)'!$A124="",'实盘净值数据(iFinD公式)'!$B124=""),"",分期持仓明细!$AD$17*SUMPRODUCT(分期持仓明细!$B$17:$AA$17,'实盘净值数据(iFinD公式)'!$B124:$AA124/'实盘净值数据(iFinD公式)'!$B$20:$AA$20)*(1-实盘持仓初始配置!$Z$4)^(('实盘净值数据(iFinD公式)'!$A124-'实盘净值数据(iFinD公式)'!$A$6)/365))</x:f>
        <x:v>#NAME?</x:v>
      </x:c>
      <x:c r="C124" s="152" t="e">
        <x:f>IF(OR(B123="",B124=""),"",B124/B123-1)</x:f>
        <x:v>#NAME?</x:v>
      </x:c>
      <x:c r="D124" s="152" t="e">
        <x:f>IF(B124="","",B124/MAX(B$5:B124)-1)</x:f>
        <x:v>#NAME?</x:v>
      </x:c>
      <x:c r="E124" s="146" t="e">
        <x:f>IF(OR('实盘净值数据(iFinD公式)'!$A124="",'实盘净值数据(iFinD公式)'!$B124=""),"",分期持仓明细!$AD$18*SUMPRODUCT(分期持仓明细!$B$18:$AA$18,'实盘净值数据(iFinD公式)'!$B124:$AA124/'实盘净值数据(iFinD公式)'!$B$20:$AA$20)*(1-实盘持仓初始配置!$Z$5)^(('实盘净值数据(iFinD公式)'!$A124-'实盘净值数据(iFinD公式)'!$A$5)/365))</x:f>
        <x:v>#NAME?</x:v>
      </x:c>
      <x:c r="F124" s="152" t="e">
        <x:f>IF(OR(E123="",E124=""),"",E124/E123-1)</x:f>
        <x:v>#NAME?</x:v>
      </x:c>
      <x:c r="G124" s="152" t="e">
        <x:f>IF(E124="","",E124/MAX(E$5:E124)-1)</x:f>
        <x:v>#NAME?</x:v>
      </x:c>
      <x:c r="H124" s="146" t="e">
        <x:f>IF(OR('实盘净值数据(iFinD公式)'!$A124="",'实盘净值数据(iFinD公式)'!$B124=""),"",分期持仓明细!$AD$19*SUMPRODUCT(分期持仓明细!$B$19:$AA$19,'实盘净值数据(iFinD公式)'!$B124:$AA124/'实盘净值数据(iFinD公式)'!$B$20:$AA$20)*(1-实盘持仓初始配置!$Z$6)^(('实盘净值数据(iFinD公式)'!$A124-'实盘净值数据(iFinD公式)'!$A$7)/365))</x:f>
        <x:v>#NAME?</x:v>
      </x:c>
      <x:c r="I124" s="152" t="e">
        <x:f>IF(OR(H123="",H124=""),"",H124/H123-1)</x:f>
        <x:v>#NAME?</x:v>
      </x:c>
      <x:c r="J124" s="152" t="e">
        <x:f>IF(H124="","",H124/MAX(H$5:H124)-1)</x:f>
        <x:v>#NAME?</x:v>
      </x:c>
      <x:c r="K124" s="146" t="e">
        <x:f>IF(OR('实盘净值数据(iFinD公式)'!$A124="",'实盘净值数据(iFinD公式)'!$B124=""),"",分期持仓明细!$AD$23*SUMPRODUCT(分期持仓明细!$B$23:$AA$23,'实盘净值数据(iFinD公式)'!$B124:$AA124/'实盘净值数据(iFinD公式)'!$B$65:$AA$65)*(1-实盘持仓初始配置!$Z$7)^(('实盘净值数据(iFinD公式)'!$A124-'实盘净值数据(iFinD公式)'!$A$8)/365))</x:f>
        <x:v>#NAME?</x:v>
      </x:c>
      <x:c r="L124" s="152" t="e">
        <x:f>IF(OR(K123="",K124=""),"",K124/K123-1)</x:f>
        <x:v>#NAME?</x:v>
      </x:c>
      <x:c r="M124" s="152" t="e">
        <x:f>IF(K124="","",K124/MAX(K$5:K124)-1)</x:f>
        <x:v>#NAME?</x:v>
      </x:c>
      <x:c r="N124" s="146" t="e">
        <x:f>IF(OR('实盘净值数据(iFinD公式)'!$A124="",'实盘净值数据(iFinD公式)'!$B124=""),"",分期持仓明细!$AD$24*SUMPRODUCT(分期持仓明细!$B$24:$AA$24,'实盘净值数据(iFinD公式)'!$B124:$AA124/'实盘净值数据(iFinD公式)'!$B$65:$AA$65)*(1-实盘持仓初始配置!$Z$8)^(('实盘净值数据(iFinD公式)'!$A124-'实盘净值数据(iFinD公式)'!$A$5)/365))</x:f>
        <x:v>#NAME?</x:v>
      </x:c>
      <x:c r="O124" s="152" t="e">
        <x:f>IF(OR(N123="",N124=""),"",N124/N123-1)</x:f>
        <x:v>#NAME?</x:v>
      </x:c>
      <x:c r="P124" s="152" t="e">
        <x:f>IF(N124="","",N124/MAX(N$5:N124)-1)</x:f>
        <x:v>#NAME?</x:v>
      </x:c>
      <x:c r="Q124" s="146" t="e">
        <x:f>IF(OR('实盘净值数据(iFinD公式)'!$A124="",'实盘净值数据(iFinD公式)'!$B124=""),"",分期持仓明细!$AD$25*SUMPRODUCT(分期持仓明细!$B$25:$AA$25,'实盘净值数据(iFinD公式)'!$B124:$AA124/'实盘净值数据(iFinD公式)'!$B$65:$AA$65)*(1-实盘持仓初始配置!$Z$9)^(('实盘净值数据(iFinD公式)'!$A124-'实盘净值数据(iFinD公式)'!$A$8)/365))</x:f>
        <x:v>#NAME?</x:v>
      </x:c>
      <x:c r="R124" s="152" t="e">
        <x:f>IF(OR(Q123="",Q124=""),"",Q124/Q123-1)</x:f>
        <x:v>#NAME?</x:v>
      </x:c>
      <x:c r="S124" s="152" t="e">
        <x:f>IF(Q124="","",Q124/MAX(Q$5:Q124)-1)</x:f>
        <x:v>#NAME?</x:v>
      </x:c>
    </x:row>
    <x:row r="125">
      <x:c r="A125" s="149" t="str">
        <x:f>IF('实盘净值数据(iFinD公式)'!A125="","",'实盘净值数据(iFinD公式)'!A125)</x:f>
      </x:c>
      <x:c r="B125" s="146" t="e">
        <x:f>IF(OR('实盘净值数据(iFinD公式)'!$A125="",'实盘净值数据(iFinD公式)'!$B125=""),"",分期持仓明细!$AD$17*SUMPRODUCT(分期持仓明细!$B$17:$AA$17,'实盘净值数据(iFinD公式)'!$B125:$AA125/'实盘净值数据(iFinD公式)'!$B$20:$AA$20)*(1-实盘持仓初始配置!$Z$4)^(('实盘净值数据(iFinD公式)'!$A125-'实盘净值数据(iFinD公式)'!$A$6)/365))</x:f>
        <x:v>#NAME?</x:v>
      </x:c>
      <x:c r="C125" s="152" t="e">
        <x:f>IF(OR(B124="",B125=""),"",B125/B124-1)</x:f>
        <x:v>#NAME?</x:v>
      </x:c>
      <x:c r="D125" s="152" t="e">
        <x:f>IF(B125="","",B125/MAX(B$5:B125)-1)</x:f>
        <x:v>#NAME?</x:v>
      </x:c>
      <x:c r="E125" s="146" t="e">
        <x:f>IF(OR('实盘净值数据(iFinD公式)'!$A125="",'实盘净值数据(iFinD公式)'!$B125=""),"",分期持仓明细!$AD$18*SUMPRODUCT(分期持仓明细!$B$18:$AA$18,'实盘净值数据(iFinD公式)'!$B125:$AA125/'实盘净值数据(iFinD公式)'!$B$20:$AA$20)*(1-实盘持仓初始配置!$Z$5)^(('实盘净值数据(iFinD公式)'!$A125-'实盘净值数据(iFinD公式)'!$A$5)/365))</x:f>
        <x:v>#NAME?</x:v>
      </x:c>
      <x:c r="F125" s="152" t="e">
        <x:f>IF(OR(E124="",E125=""),"",E125/E124-1)</x:f>
        <x:v>#NAME?</x:v>
      </x:c>
      <x:c r="G125" s="152" t="e">
        <x:f>IF(E125="","",E125/MAX(E$5:E125)-1)</x:f>
        <x:v>#NAME?</x:v>
      </x:c>
      <x:c r="H125" s="146" t="e">
        <x:f>IF(OR('实盘净值数据(iFinD公式)'!$A125="",'实盘净值数据(iFinD公式)'!$B125=""),"",分期持仓明细!$AD$19*SUMPRODUCT(分期持仓明细!$B$19:$AA$19,'实盘净值数据(iFinD公式)'!$B125:$AA125/'实盘净值数据(iFinD公式)'!$B$20:$AA$20)*(1-实盘持仓初始配置!$Z$6)^(('实盘净值数据(iFinD公式)'!$A125-'实盘净值数据(iFinD公式)'!$A$7)/365))</x:f>
        <x:v>#NAME?</x:v>
      </x:c>
      <x:c r="I125" s="152" t="e">
        <x:f>IF(OR(H124="",H125=""),"",H125/H124-1)</x:f>
        <x:v>#NAME?</x:v>
      </x:c>
      <x:c r="J125" s="152" t="e">
        <x:f>IF(H125="","",H125/MAX(H$5:H125)-1)</x:f>
        <x:v>#NAME?</x:v>
      </x:c>
      <x:c r="K125" s="146" t="e">
        <x:f>IF(OR('实盘净值数据(iFinD公式)'!$A125="",'实盘净值数据(iFinD公式)'!$B125=""),"",分期持仓明细!$AD$23*SUMPRODUCT(分期持仓明细!$B$23:$AA$23,'实盘净值数据(iFinD公式)'!$B125:$AA125/'实盘净值数据(iFinD公式)'!$B$65:$AA$65)*(1-实盘持仓初始配置!$Z$7)^(('实盘净值数据(iFinD公式)'!$A125-'实盘净值数据(iFinD公式)'!$A$8)/365))</x:f>
        <x:v>#NAME?</x:v>
      </x:c>
      <x:c r="L125" s="152" t="e">
        <x:f>IF(OR(K124="",K125=""),"",K125/K124-1)</x:f>
        <x:v>#NAME?</x:v>
      </x:c>
      <x:c r="M125" s="152" t="e">
        <x:f>IF(K125="","",K125/MAX(K$5:K125)-1)</x:f>
        <x:v>#NAME?</x:v>
      </x:c>
      <x:c r="N125" s="146" t="e">
        <x:f>IF(OR('实盘净值数据(iFinD公式)'!$A125="",'实盘净值数据(iFinD公式)'!$B125=""),"",分期持仓明细!$AD$24*SUMPRODUCT(分期持仓明细!$B$24:$AA$24,'实盘净值数据(iFinD公式)'!$B125:$AA125/'实盘净值数据(iFinD公式)'!$B$65:$AA$65)*(1-实盘持仓初始配置!$Z$8)^(('实盘净值数据(iFinD公式)'!$A125-'实盘净值数据(iFinD公式)'!$A$5)/365))</x:f>
        <x:v>#NAME?</x:v>
      </x:c>
      <x:c r="O125" s="152" t="e">
        <x:f>IF(OR(N124="",N125=""),"",N125/N124-1)</x:f>
        <x:v>#NAME?</x:v>
      </x:c>
      <x:c r="P125" s="152" t="e">
        <x:f>IF(N125="","",N125/MAX(N$5:N125)-1)</x:f>
        <x:v>#NAME?</x:v>
      </x:c>
      <x:c r="Q125" s="146" t="e">
        <x:f>IF(OR('实盘净值数据(iFinD公式)'!$A125="",'实盘净值数据(iFinD公式)'!$B125=""),"",分期持仓明细!$AD$25*SUMPRODUCT(分期持仓明细!$B$25:$AA$25,'实盘净值数据(iFinD公式)'!$B125:$AA125/'实盘净值数据(iFinD公式)'!$B$65:$AA$65)*(1-实盘持仓初始配置!$Z$9)^(('实盘净值数据(iFinD公式)'!$A125-'实盘净值数据(iFinD公式)'!$A$8)/365))</x:f>
        <x:v>#NAME?</x:v>
      </x:c>
      <x:c r="R125" s="152" t="e">
        <x:f>IF(OR(Q124="",Q125=""),"",Q125/Q124-1)</x:f>
        <x:v>#NAME?</x:v>
      </x:c>
      <x:c r="S125" s="152" t="e">
        <x:f>IF(Q125="","",Q125/MAX(Q$5:Q125)-1)</x:f>
        <x:v>#NAME?</x:v>
      </x:c>
    </x:row>
    <x:row r="126">
      <x:c r="A126" s="149" t="str">
        <x:f>IF('实盘净值数据(iFinD公式)'!A126="","",'实盘净值数据(iFinD公式)'!A126)</x:f>
      </x:c>
      <x:c r="B126" s="146" t="e">
        <x:f>IF(OR('实盘净值数据(iFinD公式)'!$A126="",'实盘净值数据(iFinD公式)'!$B126=""),"",分期持仓明细!$AD$17*SUMPRODUCT(分期持仓明细!$B$17:$AA$17,'实盘净值数据(iFinD公式)'!$B126:$AA126/'实盘净值数据(iFinD公式)'!$B$20:$AA$20)*(1-实盘持仓初始配置!$Z$4)^(('实盘净值数据(iFinD公式)'!$A126-'实盘净值数据(iFinD公式)'!$A$6)/365))</x:f>
        <x:v>#NAME?</x:v>
      </x:c>
      <x:c r="C126" s="152" t="e">
        <x:f>IF(OR(B125="",B126=""),"",B126/B125-1)</x:f>
        <x:v>#NAME?</x:v>
      </x:c>
      <x:c r="D126" s="152" t="e">
        <x:f>IF(B126="","",B126/MAX(B$5:B126)-1)</x:f>
        <x:v>#NAME?</x:v>
      </x:c>
      <x:c r="E126" s="146" t="e">
        <x:f>IF(OR('实盘净值数据(iFinD公式)'!$A126="",'实盘净值数据(iFinD公式)'!$B126=""),"",分期持仓明细!$AD$18*SUMPRODUCT(分期持仓明细!$B$18:$AA$18,'实盘净值数据(iFinD公式)'!$B126:$AA126/'实盘净值数据(iFinD公式)'!$B$20:$AA$20)*(1-实盘持仓初始配置!$Z$5)^(('实盘净值数据(iFinD公式)'!$A126-'实盘净值数据(iFinD公式)'!$A$5)/365))</x:f>
        <x:v>#NAME?</x:v>
      </x:c>
      <x:c r="F126" s="152" t="e">
        <x:f>IF(OR(E125="",E126=""),"",E126/E125-1)</x:f>
        <x:v>#NAME?</x:v>
      </x:c>
      <x:c r="G126" s="152" t="e">
        <x:f>IF(E126="","",E126/MAX(E$5:E126)-1)</x:f>
        <x:v>#NAME?</x:v>
      </x:c>
      <x:c r="H126" s="146" t="e">
        <x:f>IF(OR('实盘净值数据(iFinD公式)'!$A126="",'实盘净值数据(iFinD公式)'!$B126=""),"",分期持仓明细!$AD$19*SUMPRODUCT(分期持仓明细!$B$19:$AA$19,'实盘净值数据(iFinD公式)'!$B126:$AA126/'实盘净值数据(iFinD公式)'!$B$20:$AA$20)*(1-实盘持仓初始配置!$Z$6)^(('实盘净值数据(iFinD公式)'!$A126-'实盘净值数据(iFinD公式)'!$A$7)/365))</x:f>
        <x:v>#NAME?</x:v>
      </x:c>
      <x:c r="I126" s="152" t="e">
        <x:f>IF(OR(H125="",H126=""),"",H126/H125-1)</x:f>
        <x:v>#NAME?</x:v>
      </x:c>
      <x:c r="J126" s="152" t="e">
        <x:f>IF(H126="","",H126/MAX(H$5:H126)-1)</x:f>
        <x:v>#NAME?</x:v>
      </x:c>
      <x:c r="K126" s="146" t="e">
        <x:f>IF(OR('实盘净值数据(iFinD公式)'!$A126="",'实盘净值数据(iFinD公式)'!$B126=""),"",分期持仓明细!$AD$23*SUMPRODUCT(分期持仓明细!$B$23:$AA$23,'实盘净值数据(iFinD公式)'!$B126:$AA126/'实盘净值数据(iFinD公式)'!$B$65:$AA$65)*(1-实盘持仓初始配置!$Z$7)^(('实盘净值数据(iFinD公式)'!$A126-'实盘净值数据(iFinD公式)'!$A$8)/365))</x:f>
        <x:v>#NAME?</x:v>
      </x:c>
      <x:c r="L126" s="152" t="e">
        <x:f>IF(OR(K125="",K126=""),"",K126/K125-1)</x:f>
        <x:v>#NAME?</x:v>
      </x:c>
      <x:c r="M126" s="152" t="e">
        <x:f>IF(K126="","",K126/MAX(K$5:K126)-1)</x:f>
        <x:v>#NAME?</x:v>
      </x:c>
      <x:c r="N126" s="146" t="e">
        <x:f>IF(OR('实盘净值数据(iFinD公式)'!$A126="",'实盘净值数据(iFinD公式)'!$B126=""),"",分期持仓明细!$AD$24*SUMPRODUCT(分期持仓明细!$B$24:$AA$24,'实盘净值数据(iFinD公式)'!$B126:$AA126/'实盘净值数据(iFinD公式)'!$B$65:$AA$65)*(1-实盘持仓初始配置!$Z$8)^(('实盘净值数据(iFinD公式)'!$A126-'实盘净值数据(iFinD公式)'!$A$5)/365))</x:f>
        <x:v>#NAME?</x:v>
      </x:c>
      <x:c r="O126" s="152" t="e">
        <x:f>IF(OR(N125="",N126=""),"",N126/N125-1)</x:f>
        <x:v>#NAME?</x:v>
      </x:c>
      <x:c r="P126" s="152" t="e">
        <x:f>IF(N126="","",N126/MAX(N$5:N126)-1)</x:f>
        <x:v>#NAME?</x:v>
      </x:c>
      <x:c r="Q126" s="146" t="e">
        <x:f>IF(OR('实盘净值数据(iFinD公式)'!$A126="",'实盘净值数据(iFinD公式)'!$B126=""),"",分期持仓明细!$AD$25*SUMPRODUCT(分期持仓明细!$B$25:$AA$25,'实盘净值数据(iFinD公式)'!$B126:$AA126/'实盘净值数据(iFinD公式)'!$B$65:$AA$65)*(1-实盘持仓初始配置!$Z$9)^(('实盘净值数据(iFinD公式)'!$A126-'实盘净值数据(iFinD公式)'!$A$8)/365))</x:f>
        <x:v>#NAME?</x:v>
      </x:c>
      <x:c r="R126" s="152" t="e">
        <x:f>IF(OR(Q125="",Q126=""),"",Q126/Q125-1)</x:f>
        <x:v>#NAME?</x:v>
      </x:c>
      <x:c r="S126" s="152" t="e">
        <x:f>IF(Q126="","",Q126/MAX(Q$5:Q126)-1)</x:f>
        <x:v>#NAME?</x:v>
      </x:c>
    </x:row>
    <x:row r="127">
      <x:c r="A127" s="149" t="str">
        <x:f>IF('实盘净值数据(iFinD公式)'!A127="","",'实盘净值数据(iFinD公式)'!A127)</x:f>
      </x:c>
      <x:c r="B127" s="146" t="e">
        <x:f>IF(OR('实盘净值数据(iFinD公式)'!$A127="",'实盘净值数据(iFinD公式)'!$B127=""),"",分期持仓明细!$AD$17*SUMPRODUCT(分期持仓明细!$B$17:$AA$17,'实盘净值数据(iFinD公式)'!$B127:$AA127/'实盘净值数据(iFinD公式)'!$B$20:$AA$20)*(1-实盘持仓初始配置!$Z$4)^(('实盘净值数据(iFinD公式)'!$A127-'实盘净值数据(iFinD公式)'!$A$6)/365))</x:f>
        <x:v>#NAME?</x:v>
      </x:c>
      <x:c r="C127" s="152" t="e">
        <x:f>IF(OR(B126="",B127=""),"",B127/B126-1)</x:f>
        <x:v>#NAME?</x:v>
      </x:c>
      <x:c r="D127" s="152" t="e">
        <x:f>IF(B127="","",B127/MAX(B$5:B127)-1)</x:f>
        <x:v>#NAME?</x:v>
      </x:c>
      <x:c r="E127" s="146" t="e">
        <x:f>IF(OR('实盘净值数据(iFinD公式)'!$A127="",'实盘净值数据(iFinD公式)'!$B127=""),"",分期持仓明细!$AD$18*SUMPRODUCT(分期持仓明细!$B$18:$AA$18,'实盘净值数据(iFinD公式)'!$B127:$AA127/'实盘净值数据(iFinD公式)'!$B$20:$AA$20)*(1-实盘持仓初始配置!$Z$5)^(('实盘净值数据(iFinD公式)'!$A127-'实盘净值数据(iFinD公式)'!$A$5)/365))</x:f>
        <x:v>#NAME?</x:v>
      </x:c>
      <x:c r="F127" s="152" t="e">
        <x:f>IF(OR(E126="",E127=""),"",E127/E126-1)</x:f>
        <x:v>#NAME?</x:v>
      </x:c>
      <x:c r="G127" s="152" t="e">
        <x:f>IF(E127="","",E127/MAX(E$5:E127)-1)</x:f>
        <x:v>#NAME?</x:v>
      </x:c>
      <x:c r="H127" s="146" t="e">
        <x:f>IF(OR('实盘净值数据(iFinD公式)'!$A127="",'实盘净值数据(iFinD公式)'!$B127=""),"",分期持仓明细!$AD$19*SUMPRODUCT(分期持仓明细!$B$19:$AA$19,'实盘净值数据(iFinD公式)'!$B127:$AA127/'实盘净值数据(iFinD公式)'!$B$20:$AA$20)*(1-实盘持仓初始配置!$Z$6)^(('实盘净值数据(iFinD公式)'!$A127-'实盘净值数据(iFinD公式)'!$A$7)/365))</x:f>
        <x:v>#NAME?</x:v>
      </x:c>
      <x:c r="I127" s="152" t="e">
        <x:f>IF(OR(H126="",H127=""),"",H127/H126-1)</x:f>
        <x:v>#NAME?</x:v>
      </x:c>
      <x:c r="J127" s="152" t="e">
        <x:f>IF(H127="","",H127/MAX(H$5:H127)-1)</x:f>
        <x:v>#NAME?</x:v>
      </x:c>
      <x:c r="K127" s="146" t="e">
        <x:f>IF(OR('实盘净值数据(iFinD公式)'!$A127="",'实盘净值数据(iFinD公式)'!$B127=""),"",分期持仓明细!$AD$23*SUMPRODUCT(分期持仓明细!$B$23:$AA$23,'实盘净值数据(iFinD公式)'!$B127:$AA127/'实盘净值数据(iFinD公式)'!$B$65:$AA$65)*(1-实盘持仓初始配置!$Z$7)^(('实盘净值数据(iFinD公式)'!$A127-'实盘净值数据(iFinD公式)'!$A$8)/365))</x:f>
        <x:v>#NAME?</x:v>
      </x:c>
      <x:c r="L127" s="152" t="e">
        <x:f>IF(OR(K126="",K127=""),"",K127/K126-1)</x:f>
        <x:v>#NAME?</x:v>
      </x:c>
      <x:c r="M127" s="152" t="e">
        <x:f>IF(K127="","",K127/MAX(K$5:K127)-1)</x:f>
        <x:v>#NAME?</x:v>
      </x:c>
      <x:c r="N127" s="146" t="e">
        <x:f>IF(OR('实盘净值数据(iFinD公式)'!$A127="",'实盘净值数据(iFinD公式)'!$B127=""),"",分期持仓明细!$AD$24*SUMPRODUCT(分期持仓明细!$B$24:$AA$24,'实盘净值数据(iFinD公式)'!$B127:$AA127/'实盘净值数据(iFinD公式)'!$B$65:$AA$65)*(1-实盘持仓初始配置!$Z$8)^(('实盘净值数据(iFinD公式)'!$A127-'实盘净值数据(iFinD公式)'!$A$5)/365))</x:f>
        <x:v>#NAME?</x:v>
      </x:c>
      <x:c r="O127" s="152" t="e">
        <x:f>IF(OR(N126="",N127=""),"",N127/N126-1)</x:f>
        <x:v>#NAME?</x:v>
      </x:c>
      <x:c r="P127" s="152" t="e">
        <x:f>IF(N127="","",N127/MAX(N$5:N127)-1)</x:f>
        <x:v>#NAME?</x:v>
      </x:c>
      <x:c r="Q127" s="146" t="e">
        <x:f>IF(OR('实盘净值数据(iFinD公式)'!$A127="",'实盘净值数据(iFinD公式)'!$B127=""),"",分期持仓明细!$AD$25*SUMPRODUCT(分期持仓明细!$B$25:$AA$25,'实盘净值数据(iFinD公式)'!$B127:$AA127/'实盘净值数据(iFinD公式)'!$B$65:$AA$65)*(1-实盘持仓初始配置!$Z$9)^(('实盘净值数据(iFinD公式)'!$A127-'实盘净值数据(iFinD公式)'!$A$8)/365))</x:f>
        <x:v>#NAME?</x:v>
      </x:c>
      <x:c r="R127" s="152" t="e">
        <x:f>IF(OR(Q126="",Q127=""),"",Q127/Q126-1)</x:f>
        <x:v>#NAME?</x:v>
      </x:c>
      <x:c r="S127" s="152" t="e">
        <x:f>IF(Q127="","",Q127/MAX(Q$5:Q127)-1)</x:f>
        <x:v>#NAME?</x:v>
      </x:c>
    </x:row>
    <x:row r="128">
      <x:c r="A128" s="149" t="str">
        <x:f>IF('实盘净值数据(iFinD公式)'!A128="","",'实盘净值数据(iFinD公式)'!A128)</x:f>
      </x:c>
      <x:c r="B128" s="146" t="e">
        <x:f>IF(OR('实盘净值数据(iFinD公式)'!$A128="",'实盘净值数据(iFinD公式)'!$B128=""),"",分期持仓明细!$AD$17*SUMPRODUCT(分期持仓明细!$B$17:$AA$17,'实盘净值数据(iFinD公式)'!$B128:$AA128/'实盘净值数据(iFinD公式)'!$B$20:$AA$20)*(1-实盘持仓初始配置!$Z$4)^(('实盘净值数据(iFinD公式)'!$A128-'实盘净值数据(iFinD公式)'!$A$6)/365))</x:f>
        <x:v>#NAME?</x:v>
      </x:c>
      <x:c r="C128" s="152" t="e">
        <x:f>IF(OR(B127="",B128=""),"",B128/B127-1)</x:f>
        <x:v>#NAME?</x:v>
      </x:c>
      <x:c r="D128" s="152" t="e">
        <x:f>IF(B128="","",B128/MAX(B$5:B128)-1)</x:f>
        <x:v>#NAME?</x:v>
      </x:c>
      <x:c r="E128" s="146" t="e">
        <x:f>IF(OR('实盘净值数据(iFinD公式)'!$A128="",'实盘净值数据(iFinD公式)'!$B128=""),"",分期持仓明细!$AD$18*SUMPRODUCT(分期持仓明细!$B$18:$AA$18,'实盘净值数据(iFinD公式)'!$B128:$AA128/'实盘净值数据(iFinD公式)'!$B$20:$AA$20)*(1-实盘持仓初始配置!$Z$5)^(('实盘净值数据(iFinD公式)'!$A128-'实盘净值数据(iFinD公式)'!$A$5)/365))</x:f>
        <x:v>#NAME?</x:v>
      </x:c>
      <x:c r="F128" s="152" t="e">
        <x:f>IF(OR(E127="",E128=""),"",E128/E127-1)</x:f>
        <x:v>#NAME?</x:v>
      </x:c>
      <x:c r="G128" s="152" t="e">
        <x:f>IF(E128="","",E128/MAX(E$5:E128)-1)</x:f>
        <x:v>#NAME?</x:v>
      </x:c>
      <x:c r="H128" s="146" t="e">
        <x:f>IF(OR('实盘净值数据(iFinD公式)'!$A128="",'实盘净值数据(iFinD公式)'!$B128=""),"",分期持仓明细!$AD$19*SUMPRODUCT(分期持仓明细!$B$19:$AA$19,'实盘净值数据(iFinD公式)'!$B128:$AA128/'实盘净值数据(iFinD公式)'!$B$20:$AA$20)*(1-实盘持仓初始配置!$Z$6)^(('实盘净值数据(iFinD公式)'!$A128-'实盘净值数据(iFinD公式)'!$A$7)/365))</x:f>
        <x:v>#NAME?</x:v>
      </x:c>
      <x:c r="I128" s="152" t="e">
        <x:f>IF(OR(H127="",H128=""),"",H128/H127-1)</x:f>
        <x:v>#NAME?</x:v>
      </x:c>
      <x:c r="J128" s="152" t="e">
        <x:f>IF(H128="","",H128/MAX(H$5:H128)-1)</x:f>
        <x:v>#NAME?</x:v>
      </x:c>
      <x:c r="K128" s="146" t="e">
        <x:f>IF(OR('实盘净值数据(iFinD公式)'!$A128="",'实盘净值数据(iFinD公式)'!$B128=""),"",分期持仓明细!$AD$23*SUMPRODUCT(分期持仓明细!$B$23:$AA$23,'实盘净值数据(iFinD公式)'!$B128:$AA128/'实盘净值数据(iFinD公式)'!$B$65:$AA$65)*(1-实盘持仓初始配置!$Z$7)^(('实盘净值数据(iFinD公式)'!$A128-'实盘净值数据(iFinD公式)'!$A$8)/365))</x:f>
        <x:v>#NAME?</x:v>
      </x:c>
      <x:c r="L128" s="152" t="e">
        <x:f>IF(OR(K127="",K128=""),"",K128/K127-1)</x:f>
        <x:v>#NAME?</x:v>
      </x:c>
      <x:c r="M128" s="152" t="e">
        <x:f>IF(K128="","",K128/MAX(K$5:K128)-1)</x:f>
        <x:v>#NAME?</x:v>
      </x:c>
      <x:c r="N128" s="146" t="e">
        <x:f>IF(OR('实盘净值数据(iFinD公式)'!$A128="",'实盘净值数据(iFinD公式)'!$B128=""),"",分期持仓明细!$AD$24*SUMPRODUCT(分期持仓明细!$B$24:$AA$24,'实盘净值数据(iFinD公式)'!$B128:$AA128/'实盘净值数据(iFinD公式)'!$B$65:$AA$65)*(1-实盘持仓初始配置!$Z$8)^(('实盘净值数据(iFinD公式)'!$A128-'实盘净值数据(iFinD公式)'!$A$5)/365))</x:f>
        <x:v>#NAME?</x:v>
      </x:c>
      <x:c r="O128" s="152" t="e">
        <x:f>IF(OR(N127="",N128=""),"",N128/N127-1)</x:f>
        <x:v>#NAME?</x:v>
      </x:c>
      <x:c r="P128" s="152" t="e">
        <x:f>IF(N128="","",N128/MAX(N$5:N128)-1)</x:f>
        <x:v>#NAME?</x:v>
      </x:c>
      <x:c r="Q128" s="146" t="e">
        <x:f>IF(OR('实盘净值数据(iFinD公式)'!$A128="",'实盘净值数据(iFinD公式)'!$B128=""),"",分期持仓明细!$AD$25*SUMPRODUCT(分期持仓明细!$B$25:$AA$25,'实盘净值数据(iFinD公式)'!$B128:$AA128/'实盘净值数据(iFinD公式)'!$B$65:$AA$65)*(1-实盘持仓初始配置!$Z$9)^(('实盘净值数据(iFinD公式)'!$A128-'实盘净值数据(iFinD公式)'!$A$8)/365))</x:f>
        <x:v>#NAME?</x:v>
      </x:c>
      <x:c r="R128" s="152" t="e">
        <x:f>IF(OR(Q127="",Q128=""),"",Q128/Q127-1)</x:f>
        <x:v>#NAME?</x:v>
      </x:c>
      <x:c r="S128" s="152" t="e">
        <x:f>IF(Q128="","",Q128/MAX(Q$5:Q128)-1)</x:f>
        <x:v>#NAME?</x:v>
      </x:c>
    </x:row>
    <x:row r="129">
      <x:c r="A129" s="149" t="str">
        <x:f>IF('实盘净值数据(iFinD公式)'!A129="","",'实盘净值数据(iFinD公式)'!A129)</x:f>
      </x:c>
      <x:c r="B129" s="146" t="e">
        <x:f>IF(OR('实盘净值数据(iFinD公式)'!$A129="",'实盘净值数据(iFinD公式)'!$B129=""),"",分期持仓明细!$AD$17*SUMPRODUCT(分期持仓明细!$B$17:$AA$17,'实盘净值数据(iFinD公式)'!$B129:$AA129/'实盘净值数据(iFinD公式)'!$B$20:$AA$20)*(1-实盘持仓初始配置!$Z$4)^(('实盘净值数据(iFinD公式)'!$A129-'实盘净值数据(iFinD公式)'!$A$6)/365))</x:f>
        <x:v>#NAME?</x:v>
      </x:c>
      <x:c r="C129" s="152" t="e">
        <x:f>IF(OR(B128="",B129=""),"",B129/B128-1)</x:f>
        <x:v>#NAME?</x:v>
      </x:c>
      <x:c r="D129" s="152" t="e">
        <x:f>IF(B129="","",B129/MAX(B$5:B129)-1)</x:f>
        <x:v>#NAME?</x:v>
      </x:c>
      <x:c r="E129" s="146" t="e">
        <x:f>IF(OR('实盘净值数据(iFinD公式)'!$A129="",'实盘净值数据(iFinD公式)'!$B129=""),"",分期持仓明细!$AD$18*SUMPRODUCT(分期持仓明细!$B$18:$AA$18,'实盘净值数据(iFinD公式)'!$B129:$AA129/'实盘净值数据(iFinD公式)'!$B$20:$AA$20)*(1-实盘持仓初始配置!$Z$5)^(('实盘净值数据(iFinD公式)'!$A129-'实盘净值数据(iFinD公式)'!$A$5)/365))</x:f>
        <x:v>#NAME?</x:v>
      </x:c>
      <x:c r="F129" s="152" t="e">
        <x:f>IF(OR(E128="",E129=""),"",E129/E128-1)</x:f>
        <x:v>#NAME?</x:v>
      </x:c>
      <x:c r="G129" s="152" t="e">
        <x:f>IF(E129="","",E129/MAX(E$5:E129)-1)</x:f>
        <x:v>#NAME?</x:v>
      </x:c>
      <x:c r="H129" s="146" t="e">
        <x:f>IF(OR('实盘净值数据(iFinD公式)'!$A129="",'实盘净值数据(iFinD公式)'!$B129=""),"",分期持仓明细!$AD$19*SUMPRODUCT(分期持仓明细!$B$19:$AA$19,'实盘净值数据(iFinD公式)'!$B129:$AA129/'实盘净值数据(iFinD公式)'!$B$20:$AA$20)*(1-实盘持仓初始配置!$Z$6)^(('实盘净值数据(iFinD公式)'!$A129-'实盘净值数据(iFinD公式)'!$A$7)/365))</x:f>
        <x:v>#NAME?</x:v>
      </x:c>
      <x:c r="I129" s="152" t="e">
        <x:f>IF(OR(H128="",H129=""),"",H129/H128-1)</x:f>
        <x:v>#NAME?</x:v>
      </x:c>
      <x:c r="J129" s="152" t="e">
        <x:f>IF(H129="","",H129/MAX(H$5:H129)-1)</x:f>
        <x:v>#NAME?</x:v>
      </x:c>
      <x:c r="K129" s="146" t="e">
        <x:f>IF(OR('实盘净值数据(iFinD公式)'!$A129="",'实盘净值数据(iFinD公式)'!$B129=""),"",分期持仓明细!$AD$23*SUMPRODUCT(分期持仓明细!$B$23:$AA$23,'实盘净值数据(iFinD公式)'!$B129:$AA129/'实盘净值数据(iFinD公式)'!$B$65:$AA$65)*(1-实盘持仓初始配置!$Z$7)^(('实盘净值数据(iFinD公式)'!$A129-'实盘净值数据(iFinD公式)'!$A$8)/365))</x:f>
        <x:v>#NAME?</x:v>
      </x:c>
      <x:c r="L129" s="152" t="e">
        <x:f>IF(OR(K128="",K129=""),"",K129/K128-1)</x:f>
        <x:v>#NAME?</x:v>
      </x:c>
      <x:c r="M129" s="152" t="e">
        <x:f>IF(K129="","",K129/MAX(K$5:K129)-1)</x:f>
        <x:v>#NAME?</x:v>
      </x:c>
      <x:c r="N129" s="146" t="e">
        <x:f>IF(OR('实盘净值数据(iFinD公式)'!$A129="",'实盘净值数据(iFinD公式)'!$B129=""),"",分期持仓明细!$AD$24*SUMPRODUCT(分期持仓明细!$B$24:$AA$24,'实盘净值数据(iFinD公式)'!$B129:$AA129/'实盘净值数据(iFinD公式)'!$B$65:$AA$65)*(1-实盘持仓初始配置!$Z$8)^(('实盘净值数据(iFinD公式)'!$A129-'实盘净值数据(iFinD公式)'!$A$5)/365))</x:f>
        <x:v>#NAME?</x:v>
      </x:c>
      <x:c r="O129" s="152" t="e">
        <x:f>IF(OR(N128="",N129=""),"",N129/N128-1)</x:f>
        <x:v>#NAME?</x:v>
      </x:c>
      <x:c r="P129" s="152" t="e">
        <x:f>IF(N129="","",N129/MAX(N$5:N129)-1)</x:f>
        <x:v>#NAME?</x:v>
      </x:c>
      <x:c r="Q129" s="146" t="e">
        <x:f>IF(OR('实盘净值数据(iFinD公式)'!$A129="",'实盘净值数据(iFinD公式)'!$B129=""),"",分期持仓明细!$AD$25*SUMPRODUCT(分期持仓明细!$B$25:$AA$25,'实盘净值数据(iFinD公式)'!$B129:$AA129/'实盘净值数据(iFinD公式)'!$B$65:$AA$65)*(1-实盘持仓初始配置!$Z$9)^(('实盘净值数据(iFinD公式)'!$A129-'实盘净值数据(iFinD公式)'!$A$8)/365))</x:f>
        <x:v>#NAME?</x:v>
      </x:c>
      <x:c r="R129" s="152" t="e">
        <x:f>IF(OR(Q128="",Q129=""),"",Q129/Q128-1)</x:f>
        <x:v>#NAME?</x:v>
      </x:c>
      <x:c r="S129" s="152" t="e">
        <x:f>IF(Q129="","",Q129/MAX(Q$5:Q129)-1)</x:f>
        <x:v>#NAME?</x:v>
      </x:c>
    </x:row>
    <x:row r="130">
      <x:c r="A130" s="149" t="str">
        <x:f>IF('实盘净值数据(iFinD公式)'!A130="","",'实盘净值数据(iFinD公式)'!A130)</x:f>
      </x:c>
      <x:c r="B130" s="146" t="e">
        <x:f>IF(OR('实盘净值数据(iFinD公式)'!$A130="",'实盘净值数据(iFinD公式)'!$B130=""),"",分期持仓明细!$AD$17*SUMPRODUCT(分期持仓明细!$B$17:$AA$17,'实盘净值数据(iFinD公式)'!$B130:$AA130/'实盘净值数据(iFinD公式)'!$B$20:$AA$20)*(1-实盘持仓初始配置!$Z$4)^(('实盘净值数据(iFinD公式)'!$A130-'实盘净值数据(iFinD公式)'!$A$6)/365))</x:f>
        <x:v>#NAME?</x:v>
      </x:c>
      <x:c r="C130" s="152" t="e">
        <x:f>IF(OR(B129="",B130=""),"",B130/B129-1)</x:f>
        <x:v>#NAME?</x:v>
      </x:c>
      <x:c r="D130" s="152" t="e">
        <x:f>IF(B130="","",B130/MAX(B$5:B130)-1)</x:f>
        <x:v>#NAME?</x:v>
      </x:c>
      <x:c r="E130" s="146" t="e">
        <x:f>IF(OR('实盘净值数据(iFinD公式)'!$A130="",'实盘净值数据(iFinD公式)'!$B130=""),"",分期持仓明细!$AD$18*SUMPRODUCT(分期持仓明细!$B$18:$AA$18,'实盘净值数据(iFinD公式)'!$B130:$AA130/'实盘净值数据(iFinD公式)'!$B$20:$AA$20)*(1-实盘持仓初始配置!$Z$5)^(('实盘净值数据(iFinD公式)'!$A130-'实盘净值数据(iFinD公式)'!$A$5)/365))</x:f>
        <x:v>#NAME?</x:v>
      </x:c>
      <x:c r="F130" s="152" t="e">
        <x:f>IF(OR(E129="",E130=""),"",E130/E129-1)</x:f>
        <x:v>#NAME?</x:v>
      </x:c>
      <x:c r="G130" s="152" t="e">
        <x:f>IF(E130="","",E130/MAX(E$5:E130)-1)</x:f>
        <x:v>#NAME?</x:v>
      </x:c>
      <x:c r="H130" s="146" t="e">
        <x:f>IF(OR('实盘净值数据(iFinD公式)'!$A130="",'实盘净值数据(iFinD公式)'!$B130=""),"",分期持仓明细!$AD$19*SUMPRODUCT(分期持仓明细!$B$19:$AA$19,'实盘净值数据(iFinD公式)'!$B130:$AA130/'实盘净值数据(iFinD公式)'!$B$20:$AA$20)*(1-实盘持仓初始配置!$Z$6)^(('实盘净值数据(iFinD公式)'!$A130-'实盘净值数据(iFinD公式)'!$A$7)/365))</x:f>
        <x:v>#NAME?</x:v>
      </x:c>
      <x:c r="I130" s="152" t="e">
        <x:f>IF(OR(H129="",H130=""),"",H130/H129-1)</x:f>
        <x:v>#NAME?</x:v>
      </x:c>
      <x:c r="J130" s="152" t="e">
        <x:f>IF(H130="","",H130/MAX(H$5:H130)-1)</x:f>
        <x:v>#NAME?</x:v>
      </x:c>
      <x:c r="K130" s="146" t="e">
        <x:f>IF(OR('实盘净值数据(iFinD公式)'!$A130="",'实盘净值数据(iFinD公式)'!$B130=""),"",分期持仓明细!$AD$23*SUMPRODUCT(分期持仓明细!$B$23:$AA$23,'实盘净值数据(iFinD公式)'!$B130:$AA130/'实盘净值数据(iFinD公式)'!$B$65:$AA$65)*(1-实盘持仓初始配置!$Z$7)^(('实盘净值数据(iFinD公式)'!$A130-'实盘净值数据(iFinD公式)'!$A$8)/365))</x:f>
        <x:v>#NAME?</x:v>
      </x:c>
      <x:c r="L130" s="152" t="e">
        <x:f>IF(OR(K129="",K130=""),"",K130/K129-1)</x:f>
        <x:v>#NAME?</x:v>
      </x:c>
      <x:c r="M130" s="152" t="e">
        <x:f>IF(K130="","",K130/MAX(K$5:K130)-1)</x:f>
        <x:v>#NAME?</x:v>
      </x:c>
      <x:c r="N130" s="146" t="e">
        <x:f>IF(OR('实盘净值数据(iFinD公式)'!$A130="",'实盘净值数据(iFinD公式)'!$B130=""),"",分期持仓明细!$AD$24*SUMPRODUCT(分期持仓明细!$B$24:$AA$24,'实盘净值数据(iFinD公式)'!$B130:$AA130/'实盘净值数据(iFinD公式)'!$B$65:$AA$65)*(1-实盘持仓初始配置!$Z$8)^(('实盘净值数据(iFinD公式)'!$A130-'实盘净值数据(iFinD公式)'!$A$5)/365))</x:f>
        <x:v>#NAME?</x:v>
      </x:c>
      <x:c r="O130" s="152" t="e">
        <x:f>IF(OR(N129="",N130=""),"",N130/N129-1)</x:f>
        <x:v>#NAME?</x:v>
      </x:c>
      <x:c r="P130" s="152" t="e">
        <x:f>IF(N130="","",N130/MAX(N$5:N130)-1)</x:f>
        <x:v>#NAME?</x:v>
      </x:c>
      <x:c r="Q130" s="146" t="e">
        <x:f>IF(OR('实盘净值数据(iFinD公式)'!$A130="",'实盘净值数据(iFinD公式)'!$B130=""),"",分期持仓明细!$AD$25*SUMPRODUCT(分期持仓明细!$B$25:$AA$25,'实盘净值数据(iFinD公式)'!$B130:$AA130/'实盘净值数据(iFinD公式)'!$B$65:$AA$65)*(1-实盘持仓初始配置!$Z$9)^(('实盘净值数据(iFinD公式)'!$A130-'实盘净值数据(iFinD公式)'!$A$8)/365))</x:f>
        <x:v>#NAME?</x:v>
      </x:c>
      <x:c r="R130" s="152" t="e">
        <x:f>IF(OR(Q129="",Q130=""),"",Q130/Q129-1)</x:f>
        <x:v>#NAME?</x:v>
      </x:c>
      <x:c r="S130" s="152" t="e">
        <x:f>IF(Q130="","",Q130/MAX(Q$5:Q130)-1)</x:f>
        <x:v>#NAME?</x:v>
      </x:c>
    </x:row>
    <x:row r="131">
      <x:c r="A131" s="149" t="str">
        <x:f>IF('实盘净值数据(iFinD公式)'!A131="","",'实盘净值数据(iFinD公式)'!A131)</x:f>
      </x:c>
      <x:c r="B131" s="146" t="e">
        <x:f>IF(OR('实盘净值数据(iFinD公式)'!$A131="",'实盘净值数据(iFinD公式)'!$B131=""),"",分期持仓明细!$AD$17*SUMPRODUCT(分期持仓明细!$B$17:$AA$17,'实盘净值数据(iFinD公式)'!$B131:$AA131/'实盘净值数据(iFinD公式)'!$B$20:$AA$20)*(1-实盘持仓初始配置!$Z$4)^(('实盘净值数据(iFinD公式)'!$A131-'实盘净值数据(iFinD公式)'!$A$6)/365))</x:f>
        <x:v>#NAME?</x:v>
      </x:c>
      <x:c r="C131" s="152" t="e">
        <x:f>IF(OR(B130="",B131=""),"",B131/B130-1)</x:f>
        <x:v>#NAME?</x:v>
      </x:c>
      <x:c r="D131" s="152" t="e">
        <x:f>IF(B131="","",B131/MAX(B$5:B131)-1)</x:f>
        <x:v>#NAME?</x:v>
      </x:c>
      <x:c r="E131" s="146" t="e">
        <x:f>IF(OR('实盘净值数据(iFinD公式)'!$A131="",'实盘净值数据(iFinD公式)'!$B131=""),"",分期持仓明细!$AD$18*SUMPRODUCT(分期持仓明细!$B$18:$AA$18,'实盘净值数据(iFinD公式)'!$B131:$AA131/'实盘净值数据(iFinD公式)'!$B$20:$AA$20)*(1-实盘持仓初始配置!$Z$5)^(('实盘净值数据(iFinD公式)'!$A131-'实盘净值数据(iFinD公式)'!$A$5)/365))</x:f>
        <x:v>#NAME?</x:v>
      </x:c>
      <x:c r="F131" s="152" t="e">
        <x:f>IF(OR(E130="",E131=""),"",E131/E130-1)</x:f>
        <x:v>#NAME?</x:v>
      </x:c>
      <x:c r="G131" s="152" t="e">
        <x:f>IF(E131="","",E131/MAX(E$5:E131)-1)</x:f>
        <x:v>#NAME?</x:v>
      </x:c>
      <x:c r="H131" s="146" t="e">
        <x:f>IF(OR('实盘净值数据(iFinD公式)'!$A131="",'实盘净值数据(iFinD公式)'!$B131=""),"",分期持仓明细!$AD$19*SUMPRODUCT(分期持仓明细!$B$19:$AA$19,'实盘净值数据(iFinD公式)'!$B131:$AA131/'实盘净值数据(iFinD公式)'!$B$20:$AA$20)*(1-实盘持仓初始配置!$Z$6)^(('实盘净值数据(iFinD公式)'!$A131-'实盘净值数据(iFinD公式)'!$A$7)/365))</x:f>
        <x:v>#NAME?</x:v>
      </x:c>
      <x:c r="I131" s="152" t="e">
        <x:f>IF(OR(H130="",H131=""),"",H131/H130-1)</x:f>
        <x:v>#NAME?</x:v>
      </x:c>
      <x:c r="J131" s="152" t="e">
        <x:f>IF(H131="","",H131/MAX(H$5:H131)-1)</x:f>
        <x:v>#NAME?</x:v>
      </x:c>
      <x:c r="K131" s="146" t="e">
        <x:f>IF(OR('实盘净值数据(iFinD公式)'!$A131="",'实盘净值数据(iFinD公式)'!$B131=""),"",分期持仓明细!$AD$23*SUMPRODUCT(分期持仓明细!$B$23:$AA$23,'实盘净值数据(iFinD公式)'!$B131:$AA131/'实盘净值数据(iFinD公式)'!$B$65:$AA$65)*(1-实盘持仓初始配置!$Z$7)^(('实盘净值数据(iFinD公式)'!$A131-'实盘净值数据(iFinD公式)'!$A$8)/365))</x:f>
        <x:v>#NAME?</x:v>
      </x:c>
      <x:c r="L131" s="152" t="e">
        <x:f>IF(OR(K130="",K131=""),"",K131/K130-1)</x:f>
        <x:v>#NAME?</x:v>
      </x:c>
      <x:c r="M131" s="152" t="e">
        <x:f>IF(K131="","",K131/MAX(K$5:K131)-1)</x:f>
        <x:v>#NAME?</x:v>
      </x:c>
      <x:c r="N131" s="146" t="e">
        <x:f>IF(OR('实盘净值数据(iFinD公式)'!$A131="",'实盘净值数据(iFinD公式)'!$B131=""),"",分期持仓明细!$AD$24*SUMPRODUCT(分期持仓明细!$B$24:$AA$24,'实盘净值数据(iFinD公式)'!$B131:$AA131/'实盘净值数据(iFinD公式)'!$B$65:$AA$65)*(1-实盘持仓初始配置!$Z$8)^(('实盘净值数据(iFinD公式)'!$A131-'实盘净值数据(iFinD公式)'!$A$5)/365))</x:f>
        <x:v>#NAME?</x:v>
      </x:c>
      <x:c r="O131" s="152" t="e">
        <x:f>IF(OR(N130="",N131=""),"",N131/N130-1)</x:f>
        <x:v>#NAME?</x:v>
      </x:c>
      <x:c r="P131" s="152" t="e">
        <x:f>IF(N131="","",N131/MAX(N$5:N131)-1)</x:f>
        <x:v>#NAME?</x:v>
      </x:c>
      <x:c r="Q131" s="146" t="e">
        <x:f>IF(OR('实盘净值数据(iFinD公式)'!$A131="",'实盘净值数据(iFinD公式)'!$B131=""),"",分期持仓明细!$AD$25*SUMPRODUCT(分期持仓明细!$B$25:$AA$25,'实盘净值数据(iFinD公式)'!$B131:$AA131/'实盘净值数据(iFinD公式)'!$B$65:$AA$65)*(1-实盘持仓初始配置!$Z$9)^(('实盘净值数据(iFinD公式)'!$A131-'实盘净值数据(iFinD公式)'!$A$8)/365))</x:f>
        <x:v>#NAME?</x:v>
      </x:c>
      <x:c r="R131" s="152" t="e">
        <x:f>IF(OR(Q130="",Q131=""),"",Q131/Q130-1)</x:f>
        <x:v>#NAME?</x:v>
      </x:c>
      <x:c r="S131" s="152" t="e">
        <x:f>IF(Q131="","",Q131/MAX(Q$5:Q131)-1)</x:f>
        <x:v>#NAME?</x:v>
      </x:c>
    </x:row>
    <x:row r="132">
      <x:c r="A132" s="149" t="str">
        <x:f>IF('实盘净值数据(iFinD公式)'!A132="","",'实盘净值数据(iFinD公式)'!A132)</x:f>
      </x:c>
      <x:c r="B132" s="146" t="e">
        <x:f>IF(OR('实盘净值数据(iFinD公式)'!$A132="",'实盘净值数据(iFinD公式)'!$B132=""),"",分期持仓明细!$AD$17*SUMPRODUCT(分期持仓明细!$B$17:$AA$17,'实盘净值数据(iFinD公式)'!$B132:$AA132/'实盘净值数据(iFinD公式)'!$B$20:$AA$20)*(1-实盘持仓初始配置!$Z$4)^(('实盘净值数据(iFinD公式)'!$A132-'实盘净值数据(iFinD公式)'!$A$6)/365))</x:f>
        <x:v>#NAME?</x:v>
      </x:c>
      <x:c r="C132" s="152" t="e">
        <x:f>IF(OR(B131="",B132=""),"",B132/B131-1)</x:f>
        <x:v>#NAME?</x:v>
      </x:c>
      <x:c r="D132" s="152" t="e">
        <x:f>IF(B132="","",B132/MAX(B$5:B132)-1)</x:f>
        <x:v>#NAME?</x:v>
      </x:c>
      <x:c r="E132" s="146" t="e">
        <x:f>IF(OR('实盘净值数据(iFinD公式)'!$A132="",'实盘净值数据(iFinD公式)'!$B132=""),"",分期持仓明细!$AD$18*SUMPRODUCT(分期持仓明细!$B$18:$AA$18,'实盘净值数据(iFinD公式)'!$B132:$AA132/'实盘净值数据(iFinD公式)'!$B$20:$AA$20)*(1-实盘持仓初始配置!$Z$5)^(('实盘净值数据(iFinD公式)'!$A132-'实盘净值数据(iFinD公式)'!$A$5)/365))</x:f>
        <x:v>#NAME?</x:v>
      </x:c>
      <x:c r="F132" s="152" t="e">
        <x:f>IF(OR(E131="",E132=""),"",E132/E131-1)</x:f>
        <x:v>#NAME?</x:v>
      </x:c>
      <x:c r="G132" s="152" t="e">
        <x:f>IF(E132="","",E132/MAX(E$5:E132)-1)</x:f>
        <x:v>#NAME?</x:v>
      </x:c>
      <x:c r="H132" s="146" t="e">
        <x:f>IF(OR('实盘净值数据(iFinD公式)'!$A132="",'实盘净值数据(iFinD公式)'!$B132=""),"",分期持仓明细!$AD$19*SUMPRODUCT(分期持仓明细!$B$19:$AA$19,'实盘净值数据(iFinD公式)'!$B132:$AA132/'实盘净值数据(iFinD公式)'!$B$20:$AA$20)*(1-实盘持仓初始配置!$Z$6)^(('实盘净值数据(iFinD公式)'!$A132-'实盘净值数据(iFinD公式)'!$A$7)/365))</x:f>
        <x:v>#NAME?</x:v>
      </x:c>
      <x:c r="I132" s="152" t="e">
        <x:f>IF(OR(H131="",H132=""),"",H132/H131-1)</x:f>
        <x:v>#NAME?</x:v>
      </x:c>
      <x:c r="J132" s="152" t="e">
        <x:f>IF(H132="","",H132/MAX(H$5:H132)-1)</x:f>
        <x:v>#NAME?</x:v>
      </x:c>
      <x:c r="K132" s="146" t="e">
        <x:f>IF(OR('实盘净值数据(iFinD公式)'!$A132="",'实盘净值数据(iFinD公式)'!$B132=""),"",分期持仓明细!$AD$23*SUMPRODUCT(分期持仓明细!$B$23:$AA$23,'实盘净值数据(iFinD公式)'!$B132:$AA132/'实盘净值数据(iFinD公式)'!$B$65:$AA$65)*(1-实盘持仓初始配置!$Z$7)^(('实盘净值数据(iFinD公式)'!$A132-'实盘净值数据(iFinD公式)'!$A$8)/365))</x:f>
        <x:v>#NAME?</x:v>
      </x:c>
      <x:c r="L132" s="152" t="e">
        <x:f>IF(OR(K131="",K132=""),"",K132/K131-1)</x:f>
        <x:v>#NAME?</x:v>
      </x:c>
      <x:c r="M132" s="152" t="e">
        <x:f>IF(K132="","",K132/MAX(K$5:K132)-1)</x:f>
        <x:v>#NAME?</x:v>
      </x:c>
      <x:c r="N132" s="146" t="e">
        <x:f>IF(OR('实盘净值数据(iFinD公式)'!$A132="",'实盘净值数据(iFinD公式)'!$B132=""),"",分期持仓明细!$AD$24*SUMPRODUCT(分期持仓明细!$B$24:$AA$24,'实盘净值数据(iFinD公式)'!$B132:$AA132/'实盘净值数据(iFinD公式)'!$B$65:$AA$65)*(1-实盘持仓初始配置!$Z$8)^(('实盘净值数据(iFinD公式)'!$A132-'实盘净值数据(iFinD公式)'!$A$5)/365))</x:f>
        <x:v>#NAME?</x:v>
      </x:c>
      <x:c r="O132" s="152" t="e">
        <x:f>IF(OR(N131="",N132=""),"",N132/N131-1)</x:f>
        <x:v>#NAME?</x:v>
      </x:c>
      <x:c r="P132" s="152" t="e">
        <x:f>IF(N132="","",N132/MAX(N$5:N132)-1)</x:f>
        <x:v>#NAME?</x:v>
      </x:c>
      <x:c r="Q132" s="146" t="e">
        <x:f>IF(OR('实盘净值数据(iFinD公式)'!$A132="",'实盘净值数据(iFinD公式)'!$B132=""),"",分期持仓明细!$AD$25*SUMPRODUCT(分期持仓明细!$B$25:$AA$25,'实盘净值数据(iFinD公式)'!$B132:$AA132/'实盘净值数据(iFinD公式)'!$B$65:$AA$65)*(1-实盘持仓初始配置!$Z$9)^(('实盘净值数据(iFinD公式)'!$A132-'实盘净值数据(iFinD公式)'!$A$8)/365))</x:f>
        <x:v>#NAME?</x:v>
      </x:c>
      <x:c r="R132" s="152" t="e">
        <x:f>IF(OR(Q131="",Q132=""),"",Q132/Q131-1)</x:f>
        <x:v>#NAME?</x:v>
      </x:c>
      <x:c r="S132" s="152" t="e">
        <x:f>IF(Q132="","",Q132/MAX(Q$5:Q132)-1)</x:f>
        <x:v>#NAME?</x:v>
      </x:c>
    </x:row>
    <x:row r="133">
      <x:c r="A133" s="149" t="str">
        <x:f>IF('实盘净值数据(iFinD公式)'!A133="","",'实盘净值数据(iFinD公式)'!A133)</x:f>
      </x:c>
      <x:c r="B133" s="146" t="e">
        <x:f>IF(OR('实盘净值数据(iFinD公式)'!$A133="",'实盘净值数据(iFinD公式)'!$B133=""),"",分期持仓明细!$AD$17*SUMPRODUCT(分期持仓明细!$B$17:$AA$17,'实盘净值数据(iFinD公式)'!$B133:$AA133/'实盘净值数据(iFinD公式)'!$B$20:$AA$20)*(1-实盘持仓初始配置!$Z$4)^(('实盘净值数据(iFinD公式)'!$A133-'实盘净值数据(iFinD公式)'!$A$6)/365))</x:f>
        <x:v>#NAME?</x:v>
      </x:c>
      <x:c r="C133" s="152" t="e">
        <x:f>IF(OR(B132="",B133=""),"",B133/B132-1)</x:f>
        <x:v>#NAME?</x:v>
      </x:c>
      <x:c r="D133" s="152" t="e">
        <x:f>IF(B133="","",B133/MAX(B$5:B133)-1)</x:f>
        <x:v>#NAME?</x:v>
      </x:c>
      <x:c r="E133" s="146" t="e">
        <x:f>IF(OR('实盘净值数据(iFinD公式)'!$A133="",'实盘净值数据(iFinD公式)'!$B133=""),"",分期持仓明细!$AD$18*SUMPRODUCT(分期持仓明细!$B$18:$AA$18,'实盘净值数据(iFinD公式)'!$B133:$AA133/'实盘净值数据(iFinD公式)'!$B$20:$AA$20)*(1-实盘持仓初始配置!$Z$5)^(('实盘净值数据(iFinD公式)'!$A133-'实盘净值数据(iFinD公式)'!$A$5)/365))</x:f>
        <x:v>#NAME?</x:v>
      </x:c>
      <x:c r="F133" s="152" t="e">
        <x:f>IF(OR(E132="",E133=""),"",E133/E132-1)</x:f>
        <x:v>#NAME?</x:v>
      </x:c>
      <x:c r="G133" s="152" t="e">
        <x:f>IF(E133="","",E133/MAX(E$5:E133)-1)</x:f>
        <x:v>#NAME?</x:v>
      </x:c>
      <x:c r="H133" s="146" t="e">
        <x:f>IF(OR('实盘净值数据(iFinD公式)'!$A133="",'实盘净值数据(iFinD公式)'!$B133=""),"",分期持仓明细!$AD$19*SUMPRODUCT(分期持仓明细!$B$19:$AA$19,'实盘净值数据(iFinD公式)'!$B133:$AA133/'实盘净值数据(iFinD公式)'!$B$20:$AA$20)*(1-实盘持仓初始配置!$Z$6)^(('实盘净值数据(iFinD公式)'!$A133-'实盘净值数据(iFinD公式)'!$A$7)/365))</x:f>
        <x:v>#NAME?</x:v>
      </x:c>
      <x:c r="I133" s="152" t="e">
        <x:f>IF(OR(H132="",H133=""),"",H133/H132-1)</x:f>
        <x:v>#NAME?</x:v>
      </x:c>
      <x:c r="J133" s="152" t="e">
        <x:f>IF(H133="","",H133/MAX(H$5:H133)-1)</x:f>
        <x:v>#NAME?</x:v>
      </x:c>
      <x:c r="K133" s="146" t="e">
        <x:f>IF(OR('实盘净值数据(iFinD公式)'!$A133="",'实盘净值数据(iFinD公式)'!$B133=""),"",分期持仓明细!$AD$23*SUMPRODUCT(分期持仓明细!$B$23:$AA$23,'实盘净值数据(iFinD公式)'!$B133:$AA133/'实盘净值数据(iFinD公式)'!$B$65:$AA$65)*(1-实盘持仓初始配置!$Z$7)^(('实盘净值数据(iFinD公式)'!$A133-'实盘净值数据(iFinD公式)'!$A$8)/365))</x:f>
        <x:v>#NAME?</x:v>
      </x:c>
      <x:c r="L133" s="152" t="e">
        <x:f>IF(OR(K132="",K133=""),"",K133/K132-1)</x:f>
        <x:v>#NAME?</x:v>
      </x:c>
      <x:c r="M133" s="152" t="e">
        <x:f>IF(K133="","",K133/MAX(K$5:K133)-1)</x:f>
        <x:v>#NAME?</x:v>
      </x:c>
      <x:c r="N133" s="146" t="e">
        <x:f>IF(OR('实盘净值数据(iFinD公式)'!$A133="",'实盘净值数据(iFinD公式)'!$B133=""),"",分期持仓明细!$AD$24*SUMPRODUCT(分期持仓明细!$B$24:$AA$24,'实盘净值数据(iFinD公式)'!$B133:$AA133/'实盘净值数据(iFinD公式)'!$B$65:$AA$65)*(1-实盘持仓初始配置!$Z$8)^(('实盘净值数据(iFinD公式)'!$A133-'实盘净值数据(iFinD公式)'!$A$5)/365))</x:f>
        <x:v>#NAME?</x:v>
      </x:c>
      <x:c r="O133" s="152" t="e">
        <x:f>IF(OR(N132="",N133=""),"",N133/N132-1)</x:f>
        <x:v>#NAME?</x:v>
      </x:c>
      <x:c r="P133" s="152" t="e">
        <x:f>IF(N133="","",N133/MAX(N$5:N133)-1)</x:f>
        <x:v>#NAME?</x:v>
      </x:c>
      <x:c r="Q133" s="146" t="e">
        <x:f>IF(OR('实盘净值数据(iFinD公式)'!$A133="",'实盘净值数据(iFinD公式)'!$B133=""),"",分期持仓明细!$AD$25*SUMPRODUCT(分期持仓明细!$B$25:$AA$25,'实盘净值数据(iFinD公式)'!$B133:$AA133/'实盘净值数据(iFinD公式)'!$B$65:$AA$65)*(1-实盘持仓初始配置!$Z$9)^(('实盘净值数据(iFinD公式)'!$A133-'实盘净值数据(iFinD公式)'!$A$8)/365))</x:f>
        <x:v>#NAME?</x:v>
      </x:c>
      <x:c r="R133" s="152" t="e">
        <x:f>IF(OR(Q132="",Q133=""),"",Q133/Q132-1)</x:f>
        <x:v>#NAME?</x:v>
      </x:c>
      <x:c r="S133" s="152" t="e">
        <x:f>IF(Q133="","",Q133/MAX(Q$5:Q133)-1)</x:f>
        <x:v>#NAME?</x:v>
      </x:c>
    </x:row>
    <x:row r="134">
      <x:c r="A134" s="149" t="str">
        <x:f>IF('实盘净值数据(iFinD公式)'!A134="","",'实盘净值数据(iFinD公式)'!A134)</x:f>
      </x:c>
      <x:c r="B134" s="146" t="e">
        <x:f>IF(OR('实盘净值数据(iFinD公式)'!$A134="",'实盘净值数据(iFinD公式)'!$B134=""),"",分期持仓明细!$AD$17*SUMPRODUCT(分期持仓明细!$B$17:$AA$17,'实盘净值数据(iFinD公式)'!$B134:$AA134/'实盘净值数据(iFinD公式)'!$B$20:$AA$20)*(1-实盘持仓初始配置!$Z$4)^(('实盘净值数据(iFinD公式)'!$A134-'实盘净值数据(iFinD公式)'!$A$6)/365))</x:f>
        <x:v>#NAME?</x:v>
      </x:c>
      <x:c r="C134" s="152" t="e">
        <x:f>IF(OR(B133="",B134=""),"",B134/B133-1)</x:f>
        <x:v>#NAME?</x:v>
      </x:c>
      <x:c r="D134" s="152" t="e">
        <x:f>IF(B134="","",B134/MAX(B$5:B134)-1)</x:f>
        <x:v>#NAME?</x:v>
      </x:c>
      <x:c r="E134" s="146" t="e">
        <x:f>IF(OR('实盘净值数据(iFinD公式)'!$A134="",'实盘净值数据(iFinD公式)'!$B134=""),"",分期持仓明细!$AD$18*SUMPRODUCT(分期持仓明细!$B$18:$AA$18,'实盘净值数据(iFinD公式)'!$B134:$AA134/'实盘净值数据(iFinD公式)'!$B$20:$AA$20)*(1-实盘持仓初始配置!$Z$5)^(('实盘净值数据(iFinD公式)'!$A134-'实盘净值数据(iFinD公式)'!$A$5)/365))</x:f>
        <x:v>#NAME?</x:v>
      </x:c>
      <x:c r="F134" s="152" t="e">
        <x:f>IF(OR(E133="",E134=""),"",E134/E133-1)</x:f>
        <x:v>#NAME?</x:v>
      </x:c>
      <x:c r="G134" s="152" t="e">
        <x:f>IF(E134="","",E134/MAX(E$5:E134)-1)</x:f>
        <x:v>#NAME?</x:v>
      </x:c>
      <x:c r="H134" s="146" t="e">
        <x:f>IF(OR('实盘净值数据(iFinD公式)'!$A134="",'实盘净值数据(iFinD公式)'!$B134=""),"",分期持仓明细!$AD$19*SUMPRODUCT(分期持仓明细!$B$19:$AA$19,'实盘净值数据(iFinD公式)'!$B134:$AA134/'实盘净值数据(iFinD公式)'!$B$20:$AA$20)*(1-实盘持仓初始配置!$Z$6)^(('实盘净值数据(iFinD公式)'!$A134-'实盘净值数据(iFinD公式)'!$A$7)/365))</x:f>
        <x:v>#NAME?</x:v>
      </x:c>
      <x:c r="I134" s="152" t="e">
        <x:f>IF(OR(H133="",H134=""),"",H134/H133-1)</x:f>
        <x:v>#NAME?</x:v>
      </x:c>
      <x:c r="J134" s="152" t="e">
        <x:f>IF(H134="","",H134/MAX(H$5:H134)-1)</x:f>
        <x:v>#NAME?</x:v>
      </x:c>
      <x:c r="K134" s="146" t="e">
        <x:f>IF(OR('实盘净值数据(iFinD公式)'!$A134="",'实盘净值数据(iFinD公式)'!$B134=""),"",分期持仓明细!$AD$23*SUMPRODUCT(分期持仓明细!$B$23:$AA$23,'实盘净值数据(iFinD公式)'!$B134:$AA134/'实盘净值数据(iFinD公式)'!$B$65:$AA$65)*(1-实盘持仓初始配置!$Z$7)^(('实盘净值数据(iFinD公式)'!$A134-'实盘净值数据(iFinD公式)'!$A$8)/365))</x:f>
        <x:v>#NAME?</x:v>
      </x:c>
      <x:c r="L134" s="152" t="e">
        <x:f>IF(OR(K133="",K134=""),"",K134/K133-1)</x:f>
        <x:v>#NAME?</x:v>
      </x:c>
      <x:c r="M134" s="152" t="e">
        <x:f>IF(K134="","",K134/MAX(K$5:K134)-1)</x:f>
        <x:v>#NAME?</x:v>
      </x:c>
      <x:c r="N134" s="146" t="e">
        <x:f>IF(OR('实盘净值数据(iFinD公式)'!$A134="",'实盘净值数据(iFinD公式)'!$B134=""),"",分期持仓明细!$AD$24*SUMPRODUCT(分期持仓明细!$B$24:$AA$24,'实盘净值数据(iFinD公式)'!$B134:$AA134/'实盘净值数据(iFinD公式)'!$B$65:$AA$65)*(1-实盘持仓初始配置!$Z$8)^(('实盘净值数据(iFinD公式)'!$A134-'实盘净值数据(iFinD公式)'!$A$5)/365))</x:f>
        <x:v>#NAME?</x:v>
      </x:c>
      <x:c r="O134" s="152" t="e">
        <x:f>IF(OR(N133="",N134=""),"",N134/N133-1)</x:f>
        <x:v>#NAME?</x:v>
      </x:c>
      <x:c r="P134" s="152" t="e">
        <x:f>IF(N134="","",N134/MAX(N$5:N134)-1)</x:f>
        <x:v>#NAME?</x:v>
      </x:c>
      <x:c r="Q134" s="146" t="e">
        <x:f>IF(OR('实盘净值数据(iFinD公式)'!$A134="",'实盘净值数据(iFinD公式)'!$B134=""),"",分期持仓明细!$AD$25*SUMPRODUCT(分期持仓明细!$B$25:$AA$25,'实盘净值数据(iFinD公式)'!$B134:$AA134/'实盘净值数据(iFinD公式)'!$B$65:$AA$65)*(1-实盘持仓初始配置!$Z$9)^(('实盘净值数据(iFinD公式)'!$A134-'实盘净值数据(iFinD公式)'!$A$8)/365))</x:f>
        <x:v>#NAME?</x:v>
      </x:c>
      <x:c r="R134" s="152" t="e">
        <x:f>IF(OR(Q133="",Q134=""),"",Q134/Q133-1)</x:f>
        <x:v>#NAME?</x:v>
      </x:c>
      <x:c r="S134" s="152" t="e">
        <x:f>IF(Q134="","",Q134/MAX(Q$5:Q134)-1)</x:f>
        <x:v>#NAME?</x:v>
      </x:c>
    </x:row>
    <x:row r="135">
      <x:c r="A135" s="149" t="str">
        <x:f>IF('实盘净值数据(iFinD公式)'!A135="","",'实盘净值数据(iFinD公式)'!A135)</x:f>
      </x:c>
      <x:c r="B135" s="146" t="e">
        <x:f>IF(OR('实盘净值数据(iFinD公式)'!$A135="",'实盘净值数据(iFinD公式)'!$B135=""),"",分期持仓明细!$AD$17*SUMPRODUCT(分期持仓明细!$B$17:$AA$17,'实盘净值数据(iFinD公式)'!$B135:$AA135/'实盘净值数据(iFinD公式)'!$B$20:$AA$20)*(1-实盘持仓初始配置!$Z$4)^(('实盘净值数据(iFinD公式)'!$A135-'实盘净值数据(iFinD公式)'!$A$6)/365))</x:f>
        <x:v>#NAME?</x:v>
      </x:c>
      <x:c r="C135" s="152" t="e">
        <x:f>IF(OR(B134="",B135=""),"",B135/B134-1)</x:f>
        <x:v>#NAME?</x:v>
      </x:c>
      <x:c r="D135" s="152" t="e">
        <x:f>IF(B135="","",B135/MAX(B$5:B135)-1)</x:f>
        <x:v>#NAME?</x:v>
      </x:c>
      <x:c r="E135" s="146" t="e">
        <x:f>IF(OR('实盘净值数据(iFinD公式)'!$A135="",'实盘净值数据(iFinD公式)'!$B135=""),"",分期持仓明细!$AD$18*SUMPRODUCT(分期持仓明细!$B$18:$AA$18,'实盘净值数据(iFinD公式)'!$B135:$AA135/'实盘净值数据(iFinD公式)'!$B$20:$AA$20)*(1-实盘持仓初始配置!$Z$5)^(('实盘净值数据(iFinD公式)'!$A135-'实盘净值数据(iFinD公式)'!$A$5)/365))</x:f>
        <x:v>#NAME?</x:v>
      </x:c>
      <x:c r="F135" s="152" t="e">
        <x:f>IF(OR(E134="",E135=""),"",E135/E134-1)</x:f>
        <x:v>#NAME?</x:v>
      </x:c>
      <x:c r="G135" s="152" t="e">
        <x:f>IF(E135="","",E135/MAX(E$5:E135)-1)</x:f>
        <x:v>#NAME?</x:v>
      </x:c>
      <x:c r="H135" s="146" t="e">
        <x:f>IF(OR('实盘净值数据(iFinD公式)'!$A135="",'实盘净值数据(iFinD公式)'!$B135=""),"",分期持仓明细!$AD$19*SUMPRODUCT(分期持仓明细!$B$19:$AA$19,'实盘净值数据(iFinD公式)'!$B135:$AA135/'实盘净值数据(iFinD公式)'!$B$20:$AA$20)*(1-实盘持仓初始配置!$Z$6)^(('实盘净值数据(iFinD公式)'!$A135-'实盘净值数据(iFinD公式)'!$A$7)/365))</x:f>
        <x:v>#NAME?</x:v>
      </x:c>
      <x:c r="I135" s="152" t="e">
        <x:f>IF(OR(H134="",H135=""),"",H135/H134-1)</x:f>
        <x:v>#NAME?</x:v>
      </x:c>
      <x:c r="J135" s="152" t="e">
        <x:f>IF(H135="","",H135/MAX(H$5:H135)-1)</x:f>
        <x:v>#NAME?</x:v>
      </x:c>
      <x:c r="K135" s="146" t="e">
        <x:f>IF(OR('实盘净值数据(iFinD公式)'!$A135="",'实盘净值数据(iFinD公式)'!$B135=""),"",分期持仓明细!$AD$23*SUMPRODUCT(分期持仓明细!$B$23:$AA$23,'实盘净值数据(iFinD公式)'!$B135:$AA135/'实盘净值数据(iFinD公式)'!$B$65:$AA$65)*(1-实盘持仓初始配置!$Z$7)^(('实盘净值数据(iFinD公式)'!$A135-'实盘净值数据(iFinD公式)'!$A$8)/365))</x:f>
        <x:v>#NAME?</x:v>
      </x:c>
      <x:c r="L135" s="152" t="e">
        <x:f>IF(OR(K134="",K135=""),"",K135/K134-1)</x:f>
        <x:v>#NAME?</x:v>
      </x:c>
      <x:c r="M135" s="152" t="e">
        <x:f>IF(K135="","",K135/MAX(K$5:K135)-1)</x:f>
        <x:v>#NAME?</x:v>
      </x:c>
      <x:c r="N135" s="146" t="e">
        <x:f>IF(OR('实盘净值数据(iFinD公式)'!$A135="",'实盘净值数据(iFinD公式)'!$B135=""),"",分期持仓明细!$AD$24*SUMPRODUCT(分期持仓明细!$B$24:$AA$24,'实盘净值数据(iFinD公式)'!$B135:$AA135/'实盘净值数据(iFinD公式)'!$B$65:$AA$65)*(1-实盘持仓初始配置!$Z$8)^(('实盘净值数据(iFinD公式)'!$A135-'实盘净值数据(iFinD公式)'!$A$5)/365))</x:f>
        <x:v>#NAME?</x:v>
      </x:c>
      <x:c r="O135" s="152" t="e">
        <x:f>IF(OR(N134="",N135=""),"",N135/N134-1)</x:f>
        <x:v>#NAME?</x:v>
      </x:c>
      <x:c r="P135" s="152" t="e">
        <x:f>IF(N135="","",N135/MAX(N$5:N135)-1)</x:f>
        <x:v>#NAME?</x:v>
      </x:c>
      <x:c r="Q135" s="146" t="e">
        <x:f>IF(OR('实盘净值数据(iFinD公式)'!$A135="",'实盘净值数据(iFinD公式)'!$B135=""),"",分期持仓明细!$AD$25*SUMPRODUCT(分期持仓明细!$B$25:$AA$25,'实盘净值数据(iFinD公式)'!$B135:$AA135/'实盘净值数据(iFinD公式)'!$B$65:$AA$65)*(1-实盘持仓初始配置!$Z$9)^(('实盘净值数据(iFinD公式)'!$A135-'实盘净值数据(iFinD公式)'!$A$8)/365))</x:f>
        <x:v>#NAME?</x:v>
      </x:c>
      <x:c r="R135" s="152" t="e">
        <x:f>IF(OR(Q134="",Q135=""),"",Q135/Q134-1)</x:f>
        <x:v>#NAME?</x:v>
      </x:c>
      <x:c r="S135" s="152" t="e">
        <x:f>IF(Q135="","",Q135/MAX(Q$5:Q135)-1)</x:f>
        <x:v>#NAME?</x:v>
      </x:c>
    </x:row>
    <x:row r="136">
      <x:c r="A136" s="149" t="str">
        <x:f>IF('实盘净值数据(iFinD公式)'!A136="","",'实盘净值数据(iFinD公式)'!A136)</x:f>
      </x:c>
      <x:c r="B136" s="146" t="e">
        <x:f>IF(OR('实盘净值数据(iFinD公式)'!$A136="",'实盘净值数据(iFinD公式)'!$B136=""),"",分期持仓明细!$AD$17*SUMPRODUCT(分期持仓明细!$B$17:$AA$17,'实盘净值数据(iFinD公式)'!$B136:$AA136/'实盘净值数据(iFinD公式)'!$B$20:$AA$20)*(1-实盘持仓初始配置!$Z$4)^(('实盘净值数据(iFinD公式)'!$A136-'实盘净值数据(iFinD公式)'!$A$6)/365))</x:f>
        <x:v>#NAME?</x:v>
      </x:c>
      <x:c r="C136" s="152" t="e">
        <x:f>IF(OR(B135="",B136=""),"",B136/B135-1)</x:f>
        <x:v>#NAME?</x:v>
      </x:c>
      <x:c r="D136" s="152" t="e">
        <x:f>IF(B136="","",B136/MAX(B$5:B136)-1)</x:f>
        <x:v>#NAME?</x:v>
      </x:c>
      <x:c r="E136" s="146" t="e">
        <x:f>IF(OR('实盘净值数据(iFinD公式)'!$A136="",'实盘净值数据(iFinD公式)'!$B136=""),"",分期持仓明细!$AD$18*SUMPRODUCT(分期持仓明细!$B$18:$AA$18,'实盘净值数据(iFinD公式)'!$B136:$AA136/'实盘净值数据(iFinD公式)'!$B$20:$AA$20)*(1-实盘持仓初始配置!$Z$5)^(('实盘净值数据(iFinD公式)'!$A136-'实盘净值数据(iFinD公式)'!$A$5)/365))</x:f>
        <x:v>#NAME?</x:v>
      </x:c>
      <x:c r="F136" s="152" t="e">
        <x:f>IF(OR(E135="",E136=""),"",E136/E135-1)</x:f>
        <x:v>#NAME?</x:v>
      </x:c>
      <x:c r="G136" s="152" t="e">
        <x:f>IF(E136="","",E136/MAX(E$5:E136)-1)</x:f>
        <x:v>#NAME?</x:v>
      </x:c>
      <x:c r="H136" s="146" t="e">
        <x:f>IF(OR('实盘净值数据(iFinD公式)'!$A136="",'实盘净值数据(iFinD公式)'!$B136=""),"",分期持仓明细!$AD$19*SUMPRODUCT(分期持仓明细!$B$19:$AA$19,'实盘净值数据(iFinD公式)'!$B136:$AA136/'实盘净值数据(iFinD公式)'!$B$20:$AA$20)*(1-实盘持仓初始配置!$Z$6)^(('实盘净值数据(iFinD公式)'!$A136-'实盘净值数据(iFinD公式)'!$A$7)/365))</x:f>
        <x:v>#NAME?</x:v>
      </x:c>
      <x:c r="I136" s="152" t="e">
        <x:f>IF(OR(H135="",H136=""),"",H136/H135-1)</x:f>
        <x:v>#NAME?</x:v>
      </x:c>
      <x:c r="J136" s="152" t="e">
        <x:f>IF(H136="","",H136/MAX(H$5:H136)-1)</x:f>
        <x:v>#NAME?</x:v>
      </x:c>
      <x:c r="K136" s="146" t="e">
        <x:f>IF(OR('实盘净值数据(iFinD公式)'!$A136="",'实盘净值数据(iFinD公式)'!$B136=""),"",分期持仓明细!$AD$23*SUMPRODUCT(分期持仓明细!$B$23:$AA$23,'实盘净值数据(iFinD公式)'!$B136:$AA136/'实盘净值数据(iFinD公式)'!$B$65:$AA$65)*(1-实盘持仓初始配置!$Z$7)^(('实盘净值数据(iFinD公式)'!$A136-'实盘净值数据(iFinD公式)'!$A$8)/365))</x:f>
        <x:v>#NAME?</x:v>
      </x:c>
      <x:c r="L136" s="152" t="e">
        <x:f>IF(OR(K135="",K136=""),"",K136/K135-1)</x:f>
        <x:v>#NAME?</x:v>
      </x:c>
      <x:c r="M136" s="152" t="e">
        <x:f>IF(K136="","",K136/MAX(K$5:K136)-1)</x:f>
        <x:v>#NAME?</x:v>
      </x:c>
      <x:c r="N136" s="146" t="e">
        <x:f>IF(OR('实盘净值数据(iFinD公式)'!$A136="",'实盘净值数据(iFinD公式)'!$B136=""),"",分期持仓明细!$AD$24*SUMPRODUCT(分期持仓明细!$B$24:$AA$24,'实盘净值数据(iFinD公式)'!$B136:$AA136/'实盘净值数据(iFinD公式)'!$B$65:$AA$65)*(1-实盘持仓初始配置!$Z$8)^(('实盘净值数据(iFinD公式)'!$A136-'实盘净值数据(iFinD公式)'!$A$5)/365))</x:f>
        <x:v>#NAME?</x:v>
      </x:c>
      <x:c r="O136" s="152" t="e">
        <x:f>IF(OR(N135="",N136=""),"",N136/N135-1)</x:f>
        <x:v>#NAME?</x:v>
      </x:c>
      <x:c r="P136" s="152" t="e">
        <x:f>IF(N136="","",N136/MAX(N$5:N136)-1)</x:f>
        <x:v>#NAME?</x:v>
      </x:c>
      <x:c r="Q136" s="146" t="e">
        <x:f>IF(OR('实盘净值数据(iFinD公式)'!$A136="",'实盘净值数据(iFinD公式)'!$B136=""),"",分期持仓明细!$AD$25*SUMPRODUCT(分期持仓明细!$B$25:$AA$25,'实盘净值数据(iFinD公式)'!$B136:$AA136/'实盘净值数据(iFinD公式)'!$B$65:$AA$65)*(1-实盘持仓初始配置!$Z$9)^(('实盘净值数据(iFinD公式)'!$A136-'实盘净值数据(iFinD公式)'!$A$8)/365))</x:f>
        <x:v>#NAME?</x:v>
      </x:c>
      <x:c r="R136" s="152" t="e">
        <x:f>IF(OR(Q135="",Q136=""),"",Q136/Q135-1)</x:f>
        <x:v>#NAME?</x:v>
      </x:c>
      <x:c r="S136" s="152" t="e">
        <x:f>IF(Q136="","",Q136/MAX(Q$5:Q136)-1)</x:f>
        <x:v>#NAME?</x:v>
      </x:c>
    </x:row>
    <x:row r="137">
      <x:c r="A137" s="149" t="str">
        <x:f>IF('实盘净值数据(iFinD公式)'!A137="","",'实盘净值数据(iFinD公式)'!A137)</x:f>
      </x:c>
      <x:c r="B137" s="146" t="e">
        <x:f>IF(OR('实盘净值数据(iFinD公式)'!$A137="",'实盘净值数据(iFinD公式)'!$B137=""),"",分期持仓明细!$AD$17*SUMPRODUCT(分期持仓明细!$B$17:$AA$17,'实盘净值数据(iFinD公式)'!$B137:$AA137/'实盘净值数据(iFinD公式)'!$B$20:$AA$20)*(1-实盘持仓初始配置!$Z$4)^(('实盘净值数据(iFinD公式)'!$A137-'实盘净值数据(iFinD公式)'!$A$6)/365))</x:f>
        <x:v>#NAME?</x:v>
      </x:c>
      <x:c r="C137" s="152" t="e">
        <x:f>IF(OR(B136="",B137=""),"",B137/B136-1)</x:f>
        <x:v>#NAME?</x:v>
      </x:c>
      <x:c r="D137" s="152" t="e">
        <x:f>IF(B137="","",B137/MAX(B$5:B137)-1)</x:f>
        <x:v>#NAME?</x:v>
      </x:c>
      <x:c r="E137" s="146" t="e">
        <x:f>IF(OR('实盘净值数据(iFinD公式)'!$A137="",'实盘净值数据(iFinD公式)'!$B137=""),"",分期持仓明细!$AD$18*SUMPRODUCT(分期持仓明细!$B$18:$AA$18,'实盘净值数据(iFinD公式)'!$B137:$AA137/'实盘净值数据(iFinD公式)'!$B$20:$AA$20)*(1-实盘持仓初始配置!$Z$5)^(('实盘净值数据(iFinD公式)'!$A137-'实盘净值数据(iFinD公式)'!$A$5)/365))</x:f>
        <x:v>#NAME?</x:v>
      </x:c>
      <x:c r="F137" s="152" t="e">
        <x:f>IF(OR(E136="",E137=""),"",E137/E136-1)</x:f>
        <x:v>#NAME?</x:v>
      </x:c>
      <x:c r="G137" s="152" t="e">
        <x:f>IF(E137="","",E137/MAX(E$5:E137)-1)</x:f>
        <x:v>#NAME?</x:v>
      </x:c>
      <x:c r="H137" s="146" t="e">
        <x:f>IF(OR('实盘净值数据(iFinD公式)'!$A137="",'实盘净值数据(iFinD公式)'!$B137=""),"",分期持仓明细!$AD$19*SUMPRODUCT(分期持仓明细!$B$19:$AA$19,'实盘净值数据(iFinD公式)'!$B137:$AA137/'实盘净值数据(iFinD公式)'!$B$20:$AA$20)*(1-实盘持仓初始配置!$Z$6)^(('实盘净值数据(iFinD公式)'!$A137-'实盘净值数据(iFinD公式)'!$A$7)/365))</x:f>
        <x:v>#NAME?</x:v>
      </x:c>
      <x:c r="I137" s="152" t="e">
        <x:f>IF(OR(H136="",H137=""),"",H137/H136-1)</x:f>
        <x:v>#NAME?</x:v>
      </x:c>
      <x:c r="J137" s="152" t="e">
        <x:f>IF(H137="","",H137/MAX(H$5:H137)-1)</x:f>
        <x:v>#NAME?</x:v>
      </x:c>
      <x:c r="K137" s="146" t="e">
        <x:f>IF(OR('实盘净值数据(iFinD公式)'!$A137="",'实盘净值数据(iFinD公式)'!$B137=""),"",分期持仓明细!$AD$23*SUMPRODUCT(分期持仓明细!$B$23:$AA$23,'实盘净值数据(iFinD公式)'!$B137:$AA137/'实盘净值数据(iFinD公式)'!$B$65:$AA$65)*(1-实盘持仓初始配置!$Z$7)^(('实盘净值数据(iFinD公式)'!$A137-'实盘净值数据(iFinD公式)'!$A$8)/365))</x:f>
        <x:v>#NAME?</x:v>
      </x:c>
      <x:c r="L137" s="152" t="e">
        <x:f>IF(OR(K136="",K137=""),"",K137/K136-1)</x:f>
        <x:v>#NAME?</x:v>
      </x:c>
      <x:c r="M137" s="152" t="e">
        <x:f>IF(K137="","",K137/MAX(K$5:K137)-1)</x:f>
        <x:v>#NAME?</x:v>
      </x:c>
      <x:c r="N137" s="146" t="e">
        <x:f>IF(OR('实盘净值数据(iFinD公式)'!$A137="",'实盘净值数据(iFinD公式)'!$B137=""),"",分期持仓明细!$AD$24*SUMPRODUCT(分期持仓明细!$B$24:$AA$24,'实盘净值数据(iFinD公式)'!$B137:$AA137/'实盘净值数据(iFinD公式)'!$B$65:$AA$65)*(1-实盘持仓初始配置!$Z$8)^(('实盘净值数据(iFinD公式)'!$A137-'实盘净值数据(iFinD公式)'!$A$5)/365))</x:f>
        <x:v>#NAME?</x:v>
      </x:c>
      <x:c r="O137" s="152" t="e">
        <x:f>IF(OR(N136="",N137=""),"",N137/N136-1)</x:f>
        <x:v>#NAME?</x:v>
      </x:c>
      <x:c r="P137" s="152" t="e">
        <x:f>IF(N137="","",N137/MAX(N$5:N137)-1)</x:f>
        <x:v>#NAME?</x:v>
      </x:c>
      <x:c r="Q137" s="146" t="e">
        <x:f>IF(OR('实盘净值数据(iFinD公式)'!$A137="",'实盘净值数据(iFinD公式)'!$B137=""),"",分期持仓明细!$AD$25*SUMPRODUCT(分期持仓明细!$B$25:$AA$25,'实盘净值数据(iFinD公式)'!$B137:$AA137/'实盘净值数据(iFinD公式)'!$B$65:$AA$65)*(1-实盘持仓初始配置!$Z$9)^(('实盘净值数据(iFinD公式)'!$A137-'实盘净值数据(iFinD公式)'!$A$8)/365))</x:f>
        <x:v>#NAME?</x:v>
      </x:c>
      <x:c r="R137" s="152" t="e">
        <x:f>IF(OR(Q136="",Q137=""),"",Q137/Q136-1)</x:f>
        <x:v>#NAME?</x:v>
      </x:c>
      <x:c r="S137" s="152" t="e">
        <x:f>IF(Q137="","",Q137/MAX(Q$5:Q137)-1)</x:f>
        <x:v>#NAME?</x:v>
      </x:c>
    </x:row>
    <x:row r="138">
      <x:c r="A138" s="149" t="str">
        <x:f>IF('实盘净值数据(iFinD公式)'!A138="","",'实盘净值数据(iFinD公式)'!A138)</x:f>
      </x:c>
      <x:c r="B138" s="146" t="e">
        <x:f>IF(OR('实盘净值数据(iFinD公式)'!$A138="",'实盘净值数据(iFinD公式)'!$B138=""),"",分期持仓明细!$AD$17*SUMPRODUCT(分期持仓明细!$B$17:$AA$17,'实盘净值数据(iFinD公式)'!$B138:$AA138/'实盘净值数据(iFinD公式)'!$B$20:$AA$20)*(1-实盘持仓初始配置!$Z$4)^(('实盘净值数据(iFinD公式)'!$A138-'实盘净值数据(iFinD公式)'!$A$6)/365))</x:f>
        <x:v>#NAME?</x:v>
      </x:c>
      <x:c r="C138" s="152" t="e">
        <x:f>IF(OR(B137="",B138=""),"",B138/B137-1)</x:f>
        <x:v>#NAME?</x:v>
      </x:c>
      <x:c r="D138" s="152" t="e">
        <x:f>IF(B138="","",B138/MAX(B$5:B138)-1)</x:f>
        <x:v>#NAME?</x:v>
      </x:c>
      <x:c r="E138" s="146" t="e">
        <x:f>IF(OR('实盘净值数据(iFinD公式)'!$A138="",'实盘净值数据(iFinD公式)'!$B138=""),"",分期持仓明细!$AD$18*SUMPRODUCT(分期持仓明细!$B$18:$AA$18,'实盘净值数据(iFinD公式)'!$B138:$AA138/'实盘净值数据(iFinD公式)'!$B$20:$AA$20)*(1-实盘持仓初始配置!$Z$5)^(('实盘净值数据(iFinD公式)'!$A138-'实盘净值数据(iFinD公式)'!$A$5)/365))</x:f>
        <x:v>#NAME?</x:v>
      </x:c>
      <x:c r="F138" s="152" t="e">
        <x:f>IF(OR(E137="",E138=""),"",E138/E137-1)</x:f>
        <x:v>#NAME?</x:v>
      </x:c>
      <x:c r="G138" s="152" t="e">
        <x:f>IF(E138="","",E138/MAX(E$5:E138)-1)</x:f>
        <x:v>#NAME?</x:v>
      </x:c>
      <x:c r="H138" s="146" t="e">
        <x:f>IF(OR('实盘净值数据(iFinD公式)'!$A138="",'实盘净值数据(iFinD公式)'!$B138=""),"",分期持仓明细!$AD$19*SUMPRODUCT(分期持仓明细!$B$19:$AA$19,'实盘净值数据(iFinD公式)'!$B138:$AA138/'实盘净值数据(iFinD公式)'!$B$20:$AA$20)*(1-实盘持仓初始配置!$Z$6)^(('实盘净值数据(iFinD公式)'!$A138-'实盘净值数据(iFinD公式)'!$A$7)/365))</x:f>
        <x:v>#NAME?</x:v>
      </x:c>
      <x:c r="I138" s="152" t="e">
        <x:f>IF(OR(H137="",H138=""),"",H138/H137-1)</x:f>
        <x:v>#NAME?</x:v>
      </x:c>
      <x:c r="J138" s="152" t="e">
        <x:f>IF(H138="","",H138/MAX(H$5:H138)-1)</x:f>
        <x:v>#NAME?</x:v>
      </x:c>
      <x:c r="K138" s="146" t="e">
        <x:f>IF(OR('实盘净值数据(iFinD公式)'!$A138="",'实盘净值数据(iFinD公式)'!$B138=""),"",分期持仓明细!$AD$23*SUMPRODUCT(分期持仓明细!$B$23:$AA$23,'实盘净值数据(iFinD公式)'!$B138:$AA138/'实盘净值数据(iFinD公式)'!$B$65:$AA$65)*(1-实盘持仓初始配置!$Z$7)^(('实盘净值数据(iFinD公式)'!$A138-'实盘净值数据(iFinD公式)'!$A$8)/365))</x:f>
        <x:v>#NAME?</x:v>
      </x:c>
      <x:c r="L138" s="152" t="e">
        <x:f>IF(OR(K137="",K138=""),"",K138/K137-1)</x:f>
        <x:v>#NAME?</x:v>
      </x:c>
      <x:c r="M138" s="152" t="e">
        <x:f>IF(K138="","",K138/MAX(K$5:K138)-1)</x:f>
        <x:v>#NAME?</x:v>
      </x:c>
      <x:c r="N138" s="146" t="e">
        <x:f>IF(OR('实盘净值数据(iFinD公式)'!$A138="",'实盘净值数据(iFinD公式)'!$B138=""),"",分期持仓明细!$AD$24*SUMPRODUCT(分期持仓明细!$B$24:$AA$24,'实盘净值数据(iFinD公式)'!$B138:$AA138/'实盘净值数据(iFinD公式)'!$B$65:$AA$65)*(1-实盘持仓初始配置!$Z$8)^(('实盘净值数据(iFinD公式)'!$A138-'实盘净值数据(iFinD公式)'!$A$5)/365))</x:f>
        <x:v>#NAME?</x:v>
      </x:c>
      <x:c r="O138" s="152" t="e">
        <x:f>IF(OR(N137="",N138=""),"",N138/N137-1)</x:f>
        <x:v>#NAME?</x:v>
      </x:c>
      <x:c r="P138" s="152" t="e">
        <x:f>IF(N138="","",N138/MAX(N$5:N138)-1)</x:f>
        <x:v>#NAME?</x:v>
      </x:c>
      <x:c r="Q138" s="146" t="e">
        <x:f>IF(OR('实盘净值数据(iFinD公式)'!$A138="",'实盘净值数据(iFinD公式)'!$B138=""),"",分期持仓明细!$AD$25*SUMPRODUCT(分期持仓明细!$B$25:$AA$25,'实盘净值数据(iFinD公式)'!$B138:$AA138/'实盘净值数据(iFinD公式)'!$B$65:$AA$65)*(1-实盘持仓初始配置!$Z$9)^(('实盘净值数据(iFinD公式)'!$A138-'实盘净值数据(iFinD公式)'!$A$8)/365))</x:f>
        <x:v>#NAME?</x:v>
      </x:c>
      <x:c r="R138" s="152" t="e">
        <x:f>IF(OR(Q137="",Q138=""),"",Q138/Q137-1)</x:f>
        <x:v>#NAME?</x:v>
      </x:c>
      <x:c r="S138" s="152" t="e">
        <x:f>IF(Q138="","",Q138/MAX(Q$5:Q138)-1)</x:f>
        <x:v>#NAME?</x:v>
      </x:c>
    </x:row>
    <x:row r="139">
      <x:c r="A139" s="149" t="str">
        <x:f>IF('实盘净值数据(iFinD公式)'!A139="","",'实盘净值数据(iFinD公式)'!A139)</x:f>
      </x:c>
      <x:c r="B139" s="146" t="e">
        <x:f>IF(OR('实盘净值数据(iFinD公式)'!$A139="",'实盘净值数据(iFinD公式)'!$B139=""),"",分期持仓明细!$AD$17*SUMPRODUCT(分期持仓明细!$B$17:$AA$17,'实盘净值数据(iFinD公式)'!$B139:$AA139/'实盘净值数据(iFinD公式)'!$B$20:$AA$20)*(1-实盘持仓初始配置!$Z$4)^(('实盘净值数据(iFinD公式)'!$A139-'实盘净值数据(iFinD公式)'!$A$6)/365))</x:f>
        <x:v>#NAME?</x:v>
      </x:c>
      <x:c r="C139" s="152" t="e">
        <x:f>IF(OR(B138="",B139=""),"",B139/B138-1)</x:f>
        <x:v>#NAME?</x:v>
      </x:c>
      <x:c r="D139" s="152" t="e">
        <x:f>IF(B139="","",B139/MAX(B$5:B139)-1)</x:f>
        <x:v>#NAME?</x:v>
      </x:c>
      <x:c r="E139" s="146" t="e">
        <x:f>IF(OR('实盘净值数据(iFinD公式)'!$A139="",'实盘净值数据(iFinD公式)'!$B139=""),"",分期持仓明细!$AD$18*SUMPRODUCT(分期持仓明细!$B$18:$AA$18,'实盘净值数据(iFinD公式)'!$B139:$AA139/'实盘净值数据(iFinD公式)'!$B$20:$AA$20)*(1-实盘持仓初始配置!$Z$5)^(('实盘净值数据(iFinD公式)'!$A139-'实盘净值数据(iFinD公式)'!$A$5)/365))</x:f>
        <x:v>#NAME?</x:v>
      </x:c>
      <x:c r="F139" s="152" t="e">
        <x:f>IF(OR(E138="",E139=""),"",E139/E138-1)</x:f>
        <x:v>#NAME?</x:v>
      </x:c>
      <x:c r="G139" s="152" t="e">
        <x:f>IF(E139="","",E139/MAX(E$5:E139)-1)</x:f>
        <x:v>#NAME?</x:v>
      </x:c>
      <x:c r="H139" s="146" t="e">
        <x:f>IF(OR('实盘净值数据(iFinD公式)'!$A139="",'实盘净值数据(iFinD公式)'!$B139=""),"",分期持仓明细!$AD$19*SUMPRODUCT(分期持仓明细!$B$19:$AA$19,'实盘净值数据(iFinD公式)'!$B139:$AA139/'实盘净值数据(iFinD公式)'!$B$20:$AA$20)*(1-实盘持仓初始配置!$Z$6)^(('实盘净值数据(iFinD公式)'!$A139-'实盘净值数据(iFinD公式)'!$A$7)/365))</x:f>
        <x:v>#NAME?</x:v>
      </x:c>
      <x:c r="I139" s="152" t="e">
        <x:f>IF(OR(H138="",H139=""),"",H139/H138-1)</x:f>
        <x:v>#NAME?</x:v>
      </x:c>
      <x:c r="J139" s="152" t="e">
        <x:f>IF(H139="","",H139/MAX(H$5:H139)-1)</x:f>
        <x:v>#NAME?</x:v>
      </x:c>
      <x:c r="K139" s="146" t="e">
        <x:f>IF(OR('实盘净值数据(iFinD公式)'!$A139="",'实盘净值数据(iFinD公式)'!$B139=""),"",分期持仓明细!$AD$23*SUMPRODUCT(分期持仓明细!$B$23:$AA$23,'实盘净值数据(iFinD公式)'!$B139:$AA139/'实盘净值数据(iFinD公式)'!$B$65:$AA$65)*(1-实盘持仓初始配置!$Z$7)^(('实盘净值数据(iFinD公式)'!$A139-'实盘净值数据(iFinD公式)'!$A$8)/365))</x:f>
        <x:v>#NAME?</x:v>
      </x:c>
      <x:c r="L139" s="152" t="e">
        <x:f>IF(OR(K138="",K139=""),"",K139/K138-1)</x:f>
        <x:v>#NAME?</x:v>
      </x:c>
      <x:c r="M139" s="152" t="e">
        <x:f>IF(K139="","",K139/MAX(K$5:K139)-1)</x:f>
        <x:v>#NAME?</x:v>
      </x:c>
      <x:c r="N139" s="146" t="e">
        <x:f>IF(OR('实盘净值数据(iFinD公式)'!$A139="",'实盘净值数据(iFinD公式)'!$B139=""),"",分期持仓明细!$AD$24*SUMPRODUCT(分期持仓明细!$B$24:$AA$24,'实盘净值数据(iFinD公式)'!$B139:$AA139/'实盘净值数据(iFinD公式)'!$B$65:$AA$65)*(1-实盘持仓初始配置!$Z$8)^(('实盘净值数据(iFinD公式)'!$A139-'实盘净值数据(iFinD公式)'!$A$5)/365))</x:f>
        <x:v>#NAME?</x:v>
      </x:c>
      <x:c r="O139" s="152" t="e">
        <x:f>IF(OR(N138="",N139=""),"",N139/N138-1)</x:f>
        <x:v>#NAME?</x:v>
      </x:c>
      <x:c r="P139" s="152" t="e">
        <x:f>IF(N139="","",N139/MAX(N$5:N139)-1)</x:f>
        <x:v>#NAME?</x:v>
      </x:c>
      <x:c r="Q139" s="146" t="e">
        <x:f>IF(OR('实盘净值数据(iFinD公式)'!$A139="",'实盘净值数据(iFinD公式)'!$B139=""),"",分期持仓明细!$AD$25*SUMPRODUCT(分期持仓明细!$B$25:$AA$25,'实盘净值数据(iFinD公式)'!$B139:$AA139/'实盘净值数据(iFinD公式)'!$B$65:$AA$65)*(1-实盘持仓初始配置!$Z$9)^(('实盘净值数据(iFinD公式)'!$A139-'实盘净值数据(iFinD公式)'!$A$8)/365))</x:f>
        <x:v>#NAME?</x:v>
      </x:c>
      <x:c r="R139" s="152" t="e">
        <x:f>IF(OR(Q138="",Q139=""),"",Q139/Q138-1)</x:f>
        <x:v>#NAME?</x:v>
      </x:c>
      <x:c r="S139" s="152" t="e">
        <x:f>IF(Q139="","",Q139/MAX(Q$5:Q139)-1)</x:f>
        <x:v>#NAME?</x:v>
      </x:c>
    </x:row>
    <x:row r="140">
      <x:c r="A140" s="149" t="str">
        <x:f>IF('实盘净值数据(iFinD公式)'!A140="","",'实盘净值数据(iFinD公式)'!A140)</x:f>
      </x:c>
      <x:c r="B140" s="146" t="e">
        <x:f>IF(OR('实盘净值数据(iFinD公式)'!$A140="",'实盘净值数据(iFinD公式)'!$B140=""),"",分期持仓明细!$AD$17*SUMPRODUCT(分期持仓明细!$B$17:$AA$17,'实盘净值数据(iFinD公式)'!$B140:$AA140/'实盘净值数据(iFinD公式)'!$B$20:$AA$20)*(1-实盘持仓初始配置!$Z$4)^(('实盘净值数据(iFinD公式)'!$A140-'实盘净值数据(iFinD公式)'!$A$6)/365))</x:f>
        <x:v>#NAME?</x:v>
      </x:c>
      <x:c r="C140" s="152" t="e">
        <x:f>IF(OR(B139="",B140=""),"",B140/B139-1)</x:f>
        <x:v>#NAME?</x:v>
      </x:c>
      <x:c r="D140" s="152" t="e">
        <x:f>IF(B140="","",B140/MAX(B$5:B140)-1)</x:f>
        <x:v>#NAME?</x:v>
      </x:c>
      <x:c r="E140" s="146" t="e">
        <x:f>IF(OR('实盘净值数据(iFinD公式)'!$A140="",'实盘净值数据(iFinD公式)'!$B140=""),"",分期持仓明细!$AD$18*SUMPRODUCT(分期持仓明细!$B$18:$AA$18,'实盘净值数据(iFinD公式)'!$B140:$AA140/'实盘净值数据(iFinD公式)'!$B$20:$AA$20)*(1-实盘持仓初始配置!$Z$5)^(('实盘净值数据(iFinD公式)'!$A140-'实盘净值数据(iFinD公式)'!$A$5)/365))</x:f>
        <x:v>#NAME?</x:v>
      </x:c>
      <x:c r="F140" s="152" t="e">
        <x:f>IF(OR(E139="",E140=""),"",E140/E139-1)</x:f>
        <x:v>#NAME?</x:v>
      </x:c>
      <x:c r="G140" s="152" t="e">
        <x:f>IF(E140="","",E140/MAX(E$5:E140)-1)</x:f>
        <x:v>#NAME?</x:v>
      </x:c>
      <x:c r="H140" s="146" t="e">
        <x:f>IF(OR('实盘净值数据(iFinD公式)'!$A140="",'实盘净值数据(iFinD公式)'!$B140=""),"",分期持仓明细!$AD$19*SUMPRODUCT(分期持仓明细!$B$19:$AA$19,'实盘净值数据(iFinD公式)'!$B140:$AA140/'实盘净值数据(iFinD公式)'!$B$20:$AA$20)*(1-实盘持仓初始配置!$Z$6)^(('实盘净值数据(iFinD公式)'!$A140-'实盘净值数据(iFinD公式)'!$A$7)/365))</x:f>
        <x:v>#NAME?</x:v>
      </x:c>
      <x:c r="I140" s="152" t="e">
        <x:f>IF(OR(H139="",H140=""),"",H140/H139-1)</x:f>
        <x:v>#NAME?</x:v>
      </x:c>
      <x:c r="J140" s="152" t="e">
        <x:f>IF(H140="","",H140/MAX(H$5:H140)-1)</x:f>
        <x:v>#NAME?</x:v>
      </x:c>
      <x:c r="K140" s="146" t="e">
        <x:f>IF(OR('实盘净值数据(iFinD公式)'!$A140="",'实盘净值数据(iFinD公式)'!$B140=""),"",分期持仓明细!$AD$23*SUMPRODUCT(分期持仓明细!$B$23:$AA$23,'实盘净值数据(iFinD公式)'!$B140:$AA140/'实盘净值数据(iFinD公式)'!$B$65:$AA$65)*(1-实盘持仓初始配置!$Z$7)^(('实盘净值数据(iFinD公式)'!$A140-'实盘净值数据(iFinD公式)'!$A$8)/365))</x:f>
        <x:v>#NAME?</x:v>
      </x:c>
      <x:c r="L140" s="152" t="e">
        <x:f>IF(OR(K139="",K140=""),"",K140/K139-1)</x:f>
        <x:v>#NAME?</x:v>
      </x:c>
      <x:c r="M140" s="152" t="e">
        <x:f>IF(K140="","",K140/MAX(K$5:K140)-1)</x:f>
        <x:v>#NAME?</x:v>
      </x:c>
      <x:c r="N140" s="146" t="e">
        <x:f>IF(OR('实盘净值数据(iFinD公式)'!$A140="",'实盘净值数据(iFinD公式)'!$B140=""),"",分期持仓明细!$AD$24*SUMPRODUCT(分期持仓明细!$B$24:$AA$24,'实盘净值数据(iFinD公式)'!$B140:$AA140/'实盘净值数据(iFinD公式)'!$B$65:$AA$65)*(1-实盘持仓初始配置!$Z$8)^(('实盘净值数据(iFinD公式)'!$A140-'实盘净值数据(iFinD公式)'!$A$5)/365))</x:f>
        <x:v>#NAME?</x:v>
      </x:c>
      <x:c r="O140" s="152" t="e">
        <x:f>IF(OR(N139="",N140=""),"",N140/N139-1)</x:f>
        <x:v>#NAME?</x:v>
      </x:c>
      <x:c r="P140" s="152" t="e">
        <x:f>IF(N140="","",N140/MAX(N$5:N140)-1)</x:f>
        <x:v>#NAME?</x:v>
      </x:c>
      <x:c r="Q140" s="146" t="e">
        <x:f>IF(OR('实盘净值数据(iFinD公式)'!$A140="",'实盘净值数据(iFinD公式)'!$B140=""),"",分期持仓明细!$AD$25*SUMPRODUCT(分期持仓明细!$B$25:$AA$25,'实盘净值数据(iFinD公式)'!$B140:$AA140/'实盘净值数据(iFinD公式)'!$B$65:$AA$65)*(1-实盘持仓初始配置!$Z$9)^(('实盘净值数据(iFinD公式)'!$A140-'实盘净值数据(iFinD公式)'!$A$8)/365))</x:f>
        <x:v>#NAME?</x:v>
      </x:c>
      <x:c r="R140" s="152" t="e">
        <x:f>IF(OR(Q139="",Q140=""),"",Q140/Q139-1)</x:f>
        <x:v>#NAME?</x:v>
      </x:c>
      <x:c r="S140" s="152" t="e">
        <x:f>IF(Q140="","",Q140/MAX(Q$5:Q140)-1)</x:f>
        <x:v>#NAME?</x:v>
      </x:c>
    </x:row>
    <x:row r="141">
      <x:c r="A141" s="149" t="str">
        <x:f>IF('实盘净值数据(iFinD公式)'!A141="","",'实盘净值数据(iFinD公式)'!A141)</x:f>
      </x:c>
      <x:c r="B141" s="146" t="e">
        <x:f>IF(OR('实盘净值数据(iFinD公式)'!$A141="",'实盘净值数据(iFinD公式)'!$B141=""),"",分期持仓明细!$AD$17*SUMPRODUCT(分期持仓明细!$B$17:$AA$17,'实盘净值数据(iFinD公式)'!$B141:$AA141/'实盘净值数据(iFinD公式)'!$B$20:$AA$20)*(1-实盘持仓初始配置!$Z$4)^(('实盘净值数据(iFinD公式)'!$A141-'实盘净值数据(iFinD公式)'!$A$6)/365))</x:f>
        <x:v>#NAME?</x:v>
      </x:c>
      <x:c r="C141" s="152" t="e">
        <x:f>IF(OR(B140="",B141=""),"",B141/B140-1)</x:f>
        <x:v>#NAME?</x:v>
      </x:c>
      <x:c r="D141" s="152" t="e">
        <x:f>IF(B141="","",B141/MAX(B$5:B141)-1)</x:f>
        <x:v>#NAME?</x:v>
      </x:c>
      <x:c r="E141" s="146" t="e">
        <x:f>IF(OR('实盘净值数据(iFinD公式)'!$A141="",'实盘净值数据(iFinD公式)'!$B141=""),"",分期持仓明细!$AD$18*SUMPRODUCT(分期持仓明细!$B$18:$AA$18,'实盘净值数据(iFinD公式)'!$B141:$AA141/'实盘净值数据(iFinD公式)'!$B$20:$AA$20)*(1-实盘持仓初始配置!$Z$5)^(('实盘净值数据(iFinD公式)'!$A141-'实盘净值数据(iFinD公式)'!$A$5)/365))</x:f>
        <x:v>#NAME?</x:v>
      </x:c>
      <x:c r="F141" s="152" t="e">
        <x:f>IF(OR(E140="",E141=""),"",E141/E140-1)</x:f>
        <x:v>#NAME?</x:v>
      </x:c>
      <x:c r="G141" s="152" t="e">
        <x:f>IF(E141="","",E141/MAX(E$5:E141)-1)</x:f>
        <x:v>#NAME?</x:v>
      </x:c>
      <x:c r="H141" s="146" t="e">
        <x:f>IF(OR('实盘净值数据(iFinD公式)'!$A141="",'实盘净值数据(iFinD公式)'!$B141=""),"",分期持仓明细!$AD$19*SUMPRODUCT(分期持仓明细!$B$19:$AA$19,'实盘净值数据(iFinD公式)'!$B141:$AA141/'实盘净值数据(iFinD公式)'!$B$20:$AA$20)*(1-实盘持仓初始配置!$Z$6)^(('实盘净值数据(iFinD公式)'!$A141-'实盘净值数据(iFinD公式)'!$A$7)/365))</x:f>
        <x:v>#NAME?</x:v>
      </x:c>
      <x:c r="I141" s="152" t="e">
        <x:f>IF(OR(H140="",H141=""),"",H141/H140-1)</x:f>
        <x:v>#NAME?</x:v>
      </x:c>
      <x:c r="J141" s="152" t="e">
        <x:f>IF(H141="","",H141/MAX(H$5:H141)-1)</x:f>
        <x:v>#NAME?</x:v>
      </x:c>
      <x:c r="K141" s="146" t="e">
        <x:f>IF(OR('实盘净值数据(iFinD公式)'!$A141="",'实盘净值数据(iFinD公式)'!$B141=""),"",分期持仓明细!$AD$23*SUMPRODUCT(分期持仓明细!$B$23:$AA$23,'实盘净值数据(iFinD公式)'!$B141:$AA141/'实盘净值数据(iFinD公式)'!$B$65:$AA$65)*(1-实盘持仓初始配置!$Z$7)^(('实盘净值数据(iFinD公式)'!$A141-'实盘净值数据(iFinD公式)'!$A$8)/365))</x:f>
        <x:v>#NAME?</x:v>
      </x:c>
      <x:c r="L141" s="152" t="e">
        <x:f>IF(OR(K140="",K141=""),"",K141/K140-1)</x:f>
        <x:v>#NAME?</x:v>
      </x:c>
      <x:c r="M141" s="152" t="e">
        <x:f>IF(K141="","",K141/MAX(K$5:K141)-1)</x:f>
        <x:v>#NAME?</x:v>
      </x:c>
      <x:c r="N141" s="146" t="e">
        <x:f>IF(OR('实盘净值数据(iFinD公式)'!$A141="",'实盘净值数据(iFinD公式)'!$B141=""),"",分期持仓明细!$AD$24*SUMPRODUCT(分期持仓明细!$B$24:$AA$24,'实盘净值数据(iFinD公式)'!$B141:$AA141/'实盘净值数据(iFinD公式)'!$B$65:$AA$65)*(1-实盘持仓初始配置!$Z$8)^(('实盘净值数据(iFinD公式)'!$A141-'实盘净值数据(iFinD公式)'!$A$5)/365))</x:f>
        <x:v>#NAME?</x:v>
      </x:c>
      <x:c r="O141" s="152" t="e">
        <x:f>IF(OR(N140="",N141=""),"",N141/N140-1)</x:f>
        <x:v>#NAME?</x:v>
      </x:c>
      <x:c r="P141" s="152" t="e">
        <x:f>IF(N141="","",N141/MAX(N$5:N141)-1)</x:f>
        <x:v>#NAME?</x:v>
      </x:c>
      <x:c r="Q141" s="146" t="e">
        <x:f>IF(OR('实盘净值数据(iFinD公式)'!$A141="",'实盘净值数据(iFinD公式)'!$B141=""),"",分期持仓明细!$AD$25*SUMPRODUCT(分期持仓明细!$B$25:$AA$25,'实盘净值数据(iFinD公式)'!$B141:$AA141/'实盘净值数据(iFinD公式)'!$B$65:$AA$65)*(1-实盘持仓初始配置!$Z$9)^(('实盘净值数据(iFinD公式)'!$A141-'实盘净值数据(iFinD公式)'!$A$8)/365))</x:f>
        <x:v>#NAME?</x:v>
      </x:c>
      <x:c r="R141" s="152" t="e">
        <x:f>IF(OR(Q140="",Q141=""),"",Q141/Q140-1)</x:f>
        <x:v>#NAME?</x:v>
      </x:c>
      <x:c r="S141" s="152" t="e">
        <x:f>IF(Q141="","",Q141/MAX(Q$5:Q141)-1)</x:f>
        <x:v>#NAME?</x:v>
      </x:c>
    </x:row>
    <x:row r="142">
      <x:c r="A142" s="149" t="str">
        <x:f>IF('实盘净值数据(iFinD公式)'!A142="","",'实盘净值数据(iFinD公式)'!A142)</x:f>
      </x:c>
      <x:c r="B142" s="146" t="e">
        <x:f>IF(OR('实盘净值数据(iFinD公式)'!$A142="",'实盘净值数据(iFinD公式)'!$B142=""),"",分期持仓明细!$AD$17*SUMPRODUCT(分期持仓明细!$B$17:$AA$17,'实盘净值数据(iFinD公式)'!$B142:$AA142/'实盘净值数据(iFinD公式)'!$B$20:$AA$20)*(1-实盘持仓初始配置!$Z$4)^(('实盘净值数据(iFinD公式)'!$A142-'实盘净值数据(iFinD公式)'!$A$6)/365))</x:f>
        <x:v>#NAME?</x:v>
      </x:c>
      <x:c r="C142" s="152" t="e">
        <x:f>IF(OR(B141="",B142=""),"",B142/B141-1)</x:f>
        <x:v>#NAME?</x:v>
      </x:c>
      <x:c r="D142" s="152" t="e">
        <x:f>IF(B142="","",B142/MAX(B$5:B142)-1)</x:f>
        <x:v>#NAME?</x:v>
      </x:c>
      <x:c r="E142" s="146" t="e">
        <x:f>IF(OR('实盘净值数据(iFinD公式)'!$A142="",'实盘净值数据(iFinD公式)'!$B142=""),"",分期持仓明细!$AD$18*SUMPRODUCT(分期持仓明细!$B$18:$AA$18,'实盘净值数据(iFinD公式)'!$B142:$AA142/'实盘净值数据(iFinD公式)'!$B$20:$AA$20)*(1-实盘持仓初始配置!$Z$5)^(('实盘净值数据(iFinD公式)'!$A142-'实盘净值数据(iFinD公式)'!$A$5)/365))</x:f>
        <x:v>#NAME?</x:v>
      </x:c>
      <x:c r="F142" s="152" t="e">
        <x:f>IF(OR(E141="",E142=""),"",E142/E141-1)</x:f>
        <x:v>#NAME?</x:v>
      </x:c>
      <x:c r="G142" s="152" t="e">
        <x:f>IF(E142="","",E142/MAX(E$5:E142)-1)</x:f>
        <x:v>#NAME?</x:v>
      </x:c>
      <x:c r="H142" s="146" t="e">
        <x:f>IF(OR('实盘净值数据(iFinD公式)'!$A142="",'实盘净值数据(iFinD公式)'!$B142=""),"",分期持仓明细!$AD$19*SUMPRODUCT(分期持仓明细!$B$19:$AA$19,'实盘净值数据(iFinD公式)'!$B142:$AA142/'实盘净值数据(iFinD公式)'!$B$20:$AA$20)*(1-实盘持仓初始配置!$Z$6)^(('实盘净值数据(iFinD公式)'!$A142-'实盘净值数据(iFinD公式)'!$A$7)/365))</x:f>
        <x:v>#NAME?</x:v>
      </x:c>
      <x:c r="I142" s="152" t="e">
        <x:f>IF(OR(H141="",H142=""),"",H142/H141-1)</x:f>
        <x:v>#NAME?</x:v>
      </x:c>
      <x:c r="J142" s="152" t="e">
        <x:f>IF(H142="","",H142/MAX(H$5:H142)-1)</x:f>
        <x:v>#NAME?</x:v>
      </x:c>
      <x:c r="K142" s="146" t="e">
        <x:f>IF(OR('实盘净值数据(iFinD公式)'!$A142="",'实盘净值数据(iFinD公式)'!$B142=""),"",分期持仓明细!$AD$23*SUMPRODUCT(分期持仓明细!$B$23:$AA$23,'实盘净值数据(iFinD公式)'!$B142:$AA142/'实盘净值数据(iFinD公式)'!$B$65:$AA$65)*(1-实盘持仓初始配置!$Z$7)^(('实盘净值数据(iFinD公式)'!$A142-'实盘净值数据(iFinD公式)'!$A$8)/365))</x:f>
        <x:v>#NAME?</x:v>
      </x:c>
      <x:c r="L142" s="152" t="e">
        <x:f>IF(OR(K141="",K142=""),"",K142/K141-1)</x:f>
        <x:v>#NAME?</x:v>
      </x:c>
      <x:c r="M142" s="152" t="e">
        <x:f>IF(K142="","",K142/MAX(K$5:K142)-1)</x:f>
        <x:v>#NAME?</x:v>
      </x:c>
      <x:c r="N142" s="146" t="e">
        <x:f>IF(OR('实盘净值数据(iFinD公式)'!$A142="",'实盘净值数据(iFinD公式)'!$B142=""),"",分期持仓明细!$AD$24*SUMPRODUCT(分期持仓明细!$B$24:$AA$24,'实盘净值数据(iFinD公式)'!$B142:$AA142/'实盘净值数据(iFinD公式)'!$B$65:$AA$65)*(1-实盘持仓初始配置!$Z$8)^(('实盘净值数据(iFinD公式)'!$A142-'实盘净值数据(iFinD公式)'!$A$5)/365))</x:f>
        <x:v>#NAME?</x:v>
      </x:c>
      <x:c r="O142" s="152" t="e">
        <x:f>IF(OR(N141="",N142=""),"",N142/N141-1)</x:f>
        <x:v>#NAME?</x:v>
      </x:c>
      <x:c r="P142" s="152" t="e">
        <x:f>IF(N142="","",N142/MAX(N$5:N142)-1)</x:f>
        <x:v>#NAME?</x:v>
      </x:c>
      <x:c r="Q142" s="146" t="e">
        <x:f>IF(OR('实盘净值数据(iFinD公式)'!$A142="",'实盘净值数据(iFinD公式)'!$B142=""),"",分期持仓明细!$AD$25*SUMPRODUCT(分期持仓明细!$B$25:$AA$25,'实盘净值数据(iFinD公式)'!$B142:$AA142/'实盘净值数据(iFinD公式)'!$B$65:$AA$65)*(1-实盘持仓初始配置!$Z$9)^(('实盘净值数据(iFinD公式)'!$A142-'实盘净值数据(iFinD公式)'!$A$8)/365))</x:f>
        <x:v>#NAME?</x:v>
      </x:c>
      <x:c r="R142" s="152" t="e">
        <x:f>IF(OR(Q141="",Q142=""),"",Q142/Q141-1)</x:f>
        <x:v>#NAME?</x:v>
      </x:c>
      <x:c r="S142" s="152" t="e">
        <x:f>IF(Q142="","",Q142/MAX(Q$5:Q142)-1)</x:f>
        <x:v>#NAME?</x:v>
      </x:c>
    </x:row>
    <x:row r="143">
      <x:c r="A143" s="149" t="str">
        <x:f>IF('实盘净值数据(iFinD公式)'!A143="","",'实盘净值数据(iFinD公式)'!A143)</x:f>
      </x:c>
      <x:c r="B143" s="146" t="e">
        <x:f>IF(OR('实盘净值数据(iFinD公式)'!$A143="",'实盘净值数据(iFinD公式)'!$B143=""),"",分期持仓明细!$AD$17*SUMPRODUCT(分期持仓明细!$B$17:$AA$17,'实盘净值数据(iFinD公式)'!$B143:$AA143/'实盘净值数据(iFinD公式)'!$B$20:$AA$20)*(1-实盘持仓初始配置!$Z$4)^(('实盘净值数据(iFinD公式)'!$A143-'实盘净值数据(iFinD公式)'!$A$6)/365))</x:f>
        <x:v>#NAME?</x:v>
      </x:c>
      <x:c r="C143" s="152" t="e">
        <x:f>IF(OR(B142="",B143=""),"",B143/B142-1)</x:f>
        <x:v>#NAME?</x:v>
      </x:c>
      <x:c r="D143" s="152" t="e">
        <x:f>IF(B143="","",B143/MAX(B$5:B143)-1)</x:f>
        <x:v>#NAME?</x:v>
      </x:c>
      <x:c r="E143" s="146" t="e">
        <x:f>IF(OR('实盘净值数据(iFinD公式)'!$A143="",'实盘净值数据(iFinD公式)'!$B143=""),"",分期持仓明细!$AD$18*SUMPRODUCT(分期持仓明细!$B$18:$AA$18,'实盘净值数据(iFinD公式)'!$B143:$AA143/'实盘净值数据(iFinD公式)'!$B$20:$AA$20)*(1-实盘持仓初始配置!$Z$5)^(('实盘净值数据(iFinD公式)'!$A143-'实盘净值数据(iFinD公式)'!$A$5)/365))</x:f>
        <x:v>#NAME?</x:v>
      </x:c>
      <x:c r="F143" s="152" t="e">
        <x:f>IF(OR(E142="",E143=""),"",E143/E142-1)</x:f>
        <x:v>#NAME?</x:v>
      </x:c>
      <x:c r="G143" s="152" t="e">
        <x:f>IF(E143="","",E143/MAX(E$5:E143)-1)</x:f>
        <x:v>#NAME?</x:v>
      </x:c>
      <x:c r="H143" s="146" t="e">
        <x:f>IF(OR('实盘净值数据(iFinD公式)'!$A143="",'实盘净值数据(iFinD公式)'!$B143=""),"",分期持仓明细!$AD$19*SUMPRODUCT(分期持仓明细!$B$19:$AA$19,'实盘净值数据(iFinD公式)'!$B143:$AA143/'实盘净值数据(iFinD公式)'!$B$20:$AA$20)*(1-实盘持仓初始配置!$Z$6)^(('实盘净值数据(iFinD公式)'!$A143-'实盘净值数据(iFinD公式)'!$A$7)/365))</x:f>
        <x:v>#NAME?</x:v>
      </x:c>
      <x:c r="I143" s="152" t="e">
        <x:f>IF(OR(H142="",H143=""),"",H143/H142-1)</x:f>
        <x:v>#NAME?</x:v>
      </x:c>
      <x:c r="J143" s="152" t="e">
        <x:f>IF(H143="","",H143/MAX(H$5:H143)-1)</x:f>
        <x:v>#NAME?</x:v>
      </x:c>
      <x:c r="K143" s="146" t="e">
        <x:f>IF(OR('实盘净值数据(iFinD公式)'!$A143="",'实盘净值数据(iFinD公式)'!$B143=""),"",分期持仓明细!$AD$23*SUMPRODUCT(分期持仓明细!$B$23:$AA$23,'实盘净值数据(iFinD公式)'!$B143:$AA143/'实盘净值数据(iFinD公式)'!$B$65:$AA$65)*(1-实盘持仓初始配置!$Z$7)^(('实盘净值数据(iFinD公式)'!$A143-'实盘净值数据(iFinD公式)'!$A$8)/365))</x:f>
        <x:v>#NAME?</x:v>
      </x:c>
      <x:c r="L143" s="152" t="e">
        <x:f>IF(OR(K142="",K143=""),"",K143/K142-1)</x:f>
        <x:v>#NAME?</x:v>
      </x:c>
      <x:c r="M143" s="152" t="e">
        <x:f>IF(K143="","",K143/MAX(K$5:K143)-1)</x:f>
        <x:v>#NAME?</x:v>
      </x:c>
      <x:c r="N143" s="146" t="e">
        <x:f>IF(OR('实盘净值数据(iFinD公式)'!$A143="",'实盘净值数据(iFinD公式)'!$B143=""),"",分期持仓明细!$AD$24*SUMPRODUCT(分期持仓明细!$B$24:$AA$24,'实盘净值数据(iFinD公式)'!$B143:$AA143/'实盘净值数据(iFinD公式)'!$B$65:$AA$65)*(1-实盘持仓初始配置!$Z$8)^(('实盘净值数据(iFinD公式)'!$A143-'实盘净值数据(iFinD公式)'!$A$5)/365))</x:f>
        <x:v>#NAME?</x:v>
      </x:c>
      <x:c r="O143" s="152" t="e">
        <x:f>IF(OR(N142="",N143=""),"",N143/N142-1)</x:f>
        <x:v>#NAME?</x:v>
      </x:c>
      <x:c r="P143" s="152" t="e">
        <x:f>IF(N143="","",N143/MAX(N$5:N143)-1)</x:f>
        <x:v>#NAME?</x:v>
      </x:c>
      <x:c r="Q143" s="146" t="e">
        <x:f>IF(OR('实盘净值数据(iFinD公式)'!$A143="",'实盘净值数据(iFinD公式)'!$B143=""),"",分期持仓明细!$AD$25*SUMPRODUCT(分期持仓明细!$B$25:$AA$25,'实盘净值数据(iFinD公式)'!$B143:$AA143/'实盘净值数据(iFinD公式)'!$B$65:$AA$65)*(1-实盘持仓初始配置!$Z$9)^(('实盘净值数据(iFinD公式)'!$A143-'实盘净值数据(iFinD公式)'!$A$8)/365))</x:f>
        <x:v>#NAME?</x:v>
      </x:c>
      <x:c r="R143" s="152" t="e">
        <x:f>IF(OR(Q142="",Q143=""),"",Q143/Q142-1)</x:f>
        <x:v>#NAME?</x:v>
      </x:c>
      <x:c r="S143" s="152" t="e">
        <x:f>IF(Q143="","",Q143/MAX(Q$5:Q143)-1)</x:f>
        <x:v>#NAME?</x:v>
      </x:c>
    </x:row>
    <x:row r="144">
      <x:c r="A144" s="149" t="str">
        <x:f>IF('实盘净值数据(iFinD公式)'!A144="","",'实盘净值数据(iFinD公式)'!A144)</x:f>
      </x:c>
      <x:c r="B144" s="146" t="e">
        <x:f>IF(OR('实盘净值数据(iFinD公式)'!$A144="",'实盘净值数据(iFinD公式)'!$B144=""),"",分期持仓明细!$AD$17*SUMPRODUCT(分期持仓明细!$B$17:$AA$17,'实盘净值数据(iFinD公式)'!$B144:$AA144/'实盘净值数据(iFinD公式)'!$B$20:$AA$20)*(1-实盘持仓初始配置!$Z$4)^(('实盘净值数据(iFinD公式)'!$A144-'实盘净值数据(iFinD公式)'!$A$6)/365))</x:f>
        <x:v>#NAME?</x:v>
      </x:c>
      <x:c r="C144" s="152" t="e">
        <x:f>IF(OR(B143="",B144=""),"",B144/B143-1)</x:f>
        <x:v>#NAME?</x:v>
      </x:c>
      <x:c r="D144" s="152" t="e">
        <x:f>IF(B144="","",B144/MAX(B$5:B144)-1)</x:f>
        <x:v>#NAME?</x:v>
      </x:c>
      <x:c r="E144" s="146" t="e">
        <x:f>IF(OR('实盘净值数据(iFinD公式)'!$A144="",'实盘净值数据(iFinD公式)'!$B144=""),"",分期持仓明细!$AD$18*SUMPRODUCT(分期持仓明细!$B$18:$AA$18,'实盘净值数据(iFinD公式)'!$B144:$AA144/'实盘净值数据(iFinD公式)'!$B$20:$AA$20)*(1-实盘持仓初始配置!$Z$5)^(('实盘净值数据(iFinD公式)'!$A144-'实盘净值数据(iFinD公式)'!$A$5)/365))</x:f>
        <x:v>#NAME?</x:v>
      </x:c>
      <x:c r="F144" s="152" t="e">
        <x:f>IF(OR(E143="",E144=""),"",E144/E143-1)</x:f>
        <x:v>#NAME?</x:v>
      </x:c>
      <x:c r="G144" s="152" t="e">
        <x:f>IF(E144="","",E144/MAX(E$5:E144)-1)</x:f>
        <x:v>#NAME?</x:v>
      </x:c>
      <x:c r="H144" s="146" t="e">
        <x:f>IF(OR('实盘净值数据(iFinD公式)'!$A144="",'实盘净值数据(iFinD公式)'!$B144=""),"",分期持仓明细!$AD$19*SUMPRODUCT(分期持仓明细!$B$19:$AA$19,'实盘净值数据(iFinD公式)'!$B144:$AA144/'实盘净值数据(iFinD公式)'!$B$20:$AA$20)*(1-实盘持仓初始配置!$Z$6)^(('实盘净值数据(iFinD公式)'!$A144-'实盘净值数据(iFinD公式)'!$A$7)/365))</x:f>
        <x:v>#NAME?</x:v>
      </x:c>
      <x:c r="I144" s="152" t="e">
        <x:f>IF(OR(H143="",H144=""),"",H144/H143-1)</x:f>
        <x:v>#NAME?</x:v>
      </x:c>
      <x:c r="J144" s="152" t="e">
        <x:f>IF(H144="","",H144/MAX(H$5:H144)-1)</x:f>
        <x:v>#NAME?</x:v>
      </x:c>
      <x:c r="K144" s="146" t="e">
        <x:f>IF(OR('实盘净值数据(iFinD公式)'!$A144="",'实盘净值数据(iFinD公式)'!$B144=""),"",分期持仓明细!$AD$23*SUMPRODUCT(分期持仓明细!$B$23:$AA$23,'实盘净值数据(iFinD公式)'!$B144:$AA144/'实盘净值数据(iFinD公式)'!$B$65:$AA$65)*(1-实盘持仓初始配置!$Z$7)^(('实盘净值数据(iFinD公式)'!$A144-'实盘净值数据(iFinD公式)'!$A$8)/365))</x:f>
        <x:v>#NAME?</x:v>
      </x:c>
      <x:c r="L144" s="152" t="e">
        <x:f>IF(OR(K143="",K144=""),"",K144/K143-1)</x:f>
        <x:v>#NAME?</x:v>
      </x:c>
      <x:c r="M144" s="152" t="e">
        <x:f>IF(K144="","",K144/MAX(K$5:K144)-1)</x:f>
        <x:v>#NAME?</x:v>
      </x:c>
      <x:c r="N144" s="146" t="e">
        <x:f>IF(OR('实盘净值数据(iFinD公式)'!$A144="",'实盘净值数据(iFinD公式)'!$B144=""),"",分期持仓明细!$AD$24*SUMPRODUCT(分期持仓明细!$B$24:$AA$24,'实盘净值数据(iFinD公式)'!$B144:$AA144/'实盘净值数据(iFinD公式)'!$B$65:$AA$65)*(1-实盘持仓初始配置!$Z$8)^(('实盘净值数据(iFinD公式)'!$A144-'实盘净值数据(iFinD公式)'!$A$5)/365))</x:f>
        <x:v>#NAME?</x:v>
      </x:c>
      <x:c r="O144" s="152" t="e">
        <x:f>IF(OR(N143="",N144=""),"",N144/N143-1)</x:f>
        <x:v>#NAME?</x:v>
      </x:c>
      <x:c r="P144" s="152" t="e">
        <x:f>IF(N144="","",N144/MAX(N$5:N144)-1)</x:f>
        <x:v>#NAME?</x:v>
      </x:c>
      <x:c r="Q144" s="146" t="e">
        <x:f>IF(OR('实盘净值数据(iFinD公式)'!$A144="",'实盘净值数据(iFinD公式)'!$B144=""),"",分期持仓明细!$AD$25*SUMPRODUCT(分期持仓明细!$B$25:$AA$25,'实盘净值数据(iFinD公式)'!$B144:$AA144/'实盘净值数据(iFinD公式)'!$B$65:$AA$65)*(1-实盘持仓初始配置!$Z$9)^(('实盘净值数据(iFinD公式)'!$A144-'实盘净值数据(iFinD公式)'!$A$8)/365))</x:f>
        <x:v>#NAME?</x:v>
      </x:c>
      <x:c r="R144" s="152" t="e">
        <x:f>IF(OR(Q143="",Q144=""),"",Q144/Q143-1)</x:f>
        <x:v>#NAME?</x:v>
      </x:c>
      <x:c r="S144" s="152" t="e">
        <x:f>IF(Q144="","",Q144/MAX(Q$5:Q144)-1)</x:f>
        <x:v>#NAME?</x:v>
      </x:c>
    </x:row>
    <x:row r="145">
      <x:c r="A145" s="149" t="str">
        <x:f>IF('实盘净值数据(iFinD公式)'!A145="","",'实盘净值数据(iFinD公式)'!A145)</x:f>
      </x:c>
      <x:c r="B145" s="146" t="e">
        <x:f>IF(OR('实盘净值数据(iFinD公式)'!$A145="",'实盘净值数据(iFinD公式)'!$B145=""),"",分期持仓明细!$AD$17*SUMPRODUCT(分期持仓明细!$B$17:$AA$17,'实盘净值数据(iFinD公式)'!$B145:$AA145/'实盘净值数据(iFinD公式)'!$B$20:$AA$20)*(1-实盘持仓初始配置!$Z$4)^(('实盘净值数据(iFinD公式)'!$A145-'实盘净值数据(iFinD公式)'!$A$6)/365))</x:f>
        <x:v>#NAME?</x:v>
      </x:c>
      <x:c r="C145" s="152" t="e">
        <x:f>IF(OR(B144="",B145=""),"",B145/B144-1)</x:f>
        <x:v>#NAME?</x:v>
      </x:c>
      <x:c r="D145" s="152" t="e">
        <x:f>IF(B145="","",B145/MAX(B$5:B145)-1)</x:f>
        <x:v>#NAME?</x:v>
      </x:c>
      <x:c r="E145" s="146" t="e">
        <x:f>IF(OR('实盘净值数据(iFinD公式)'!$A145="",'实盘净值数据(iFinD公式)'!$B145=""),"",分期持仓明细!$AD$18*SUMPRODUCT(分期持仓明细!$B$18:$AA$18,'实盘净值数据(iFinD公式)'!$B145:$AA145/'实盘净值数据(iFinD公式)'!$B$20:$AA$20)*(1-实盘持仓初始配置!$Z$5)^(('实盘净值数据(iFinD公式)'!$A145-'实盘净值数据(iFinD公式)'!$A$5)/365))</x:f>
        <x:v>#NAME?</x:v>
      </x:c>
      <x:c r="F145" s="152" t="e">
        <x:f>IF(OR(E144="",E145=""),"",E145/E144-1)</x:f>
        <x:v>#NAME?</x:v>
      </x:c>
      <x:c r="G145" s="152" t="e">
        <x:f>IF(E145="","",E145/MAX(E$5:E145)-1)</x:f>
        <x:v>#NAME?</x:v>
      </x:c>
      <x:c r="H145" s="146" t="e">
        <x:f>IF(OR('实盘净值数据(iFinD公式)'!$A145="",'实盘净值数据(iFinD公式)'!$B145=""),"",分期持仓明细!$AD$19*SUMPRODUCT(分期持仓明细!$B$19:$AA$19,'实盘净值数据(iFinD公式)'!$B145:$AA145/'实盘净值数据(iFinD公式)'!$B$20:$AA$20)*(1-实盘持仓初始配置!$Z$6)^(('实盘净值数据(iFinD公式)'!$A145-'实盘净值数据(iFinD公式)'!$A$7)/365))</x:f>
        <x:v>#NAME?</x:v>
      </x:c>
      <x:c r="I145" s="152" t="e">
        <x:f>IF(OR(H144="",H145=""),"",H145/H144-1)</x:f>
        <x:v>#NAME?</x:v>
      </x:c>
      <x:c r="J145" s="152" t="e">
        <x:f>IF(H145="","",H145/MAX(H$5:H145)-1)</x:f>
        <x:v>#NAME?</x:v>
      </x:c>
      <x:c r="K145" s="146" t="e">
        <x:f>IF(OR('实盘净值数据(iFinD公式)'!$A145="",'实盘净值数据(iFinD公式)'!$B145=""),"",分期持仓明细!$AD$23*SUMPRODUCT(分期持仓明细!$B$23:$AA$23,'实盘净值数据(iFinD公式)'!$B145:$AA145/'实盘净值数据(iFinD公式)'!$B$65:$AA$65)*(1-实盘持仓初始配置!$Z$7)^(('实盘净值数据(iFinD公式)'!$A145-'实盘净值数据(iFinD公式)'!$A$8)/365))</x:f>
        <x:v>#NAME?</x:v>
      </x:c>
      <x:c r="L145" s="152" t="e">
        <x:f>IF(OR(K144="",K145=""),"",K145/K144-1)</x:f>
        <x:v>#NAME?</x:v>
      </x:c>
      <x:c r="M145" s="152" t="e">
        <x:f>IF(K145="","",K145/MAX(K$5:K145)-1)</x:f>
        <x:v>#NAME?</x:v>
      </x:c>
      <x:c r="N145" s="146" t="e">
        <x:f>IF(OR('实盘净值数据(iFinD公式)'!$A145="",'实盘净值数据(iFinD公式)'!$B145=""),"",分期持仓明细!$AD$24*SUMPRODUCT(分期持仓明细!$B$24:$AA$24,'实盘净值数据(iFinD公式)'!$B145:$AA145/'实盘净值数据(iFinD公式)'!$B$65:$AA$65)*(1-实盘持仓初始配置!$Z$8)^(('实盘净值数据(iFinD公式)'!$A145-'实盘净值数据(iFinD公式)'!$A$5)/365))</x:f>
        <x:v>#NAME?</x:v>
      </x:c>
      <x:c r="O145" s="152" t="e">
        <x:f>IF(OR(N144="",N145=""),"",N145/N144-1)</x:f>
        <x:v>#NAME?</x:v>
      </x:c>
      <x:c r="P145" s="152" t="e">
        <x:f>IF(N145="","",N145/MAX(N$5:N145)-1)</x:f>
        <x:v>#NAME?</x:v>
      </x:c>
      <x:c r="Q145" s="146" t="e">
        <x:f>IF(OR('实盘净值数据(iFinD公式)'!$A145="",'实盘净值数据(iFinD公式)'!$B145=""),"",分期持仓明细!$AD$25*SUMPRODUCT(分期持仓明细!$B$25:$AA$25,'实盘净值数据(iFinD公式)'!$B145:$AA145/'实盘净值数据(iFinD公式)'!$B$65:$AA$65)*(1-实盘持仓初始配置!$Z$9)^(('实盘净值数据(iFinD公式)'!$A145-'实盘净值数据(iFinD公式)'!$A$8)/365))</x:f>
        <x:v>#NAME?</x:v>
      </x:c>
      <x:c r="R145" s="152" t="e">
        <x:f>IF(OR(Q144="",Q145=""),"",Q145/Q144-1)</x:f>
        <x:v>#NAME?</x:v>
      </x:c>
      <x:c r="S145" s="152" t="e">
        <x:f>IF(Q145="","",Q145/MAX(Q$5:Q145)-1)</x:f>
        <x:v>#NAME?</x:v>
      </x:c>
    </x:row>
    <x:row r="146">
      <x:c r="A146" s="149" t="str">
        <x:f>IF('实盘净值数据(iFinD公式)'!A146="","",'实盘净值数据(iFinD公式)'!A146)</x:f>
      </x:c>
      <x:c r="B146" s="146" t="e">
        <x:f>IF(OR('实盘净值数据(iFinD公式)'!$A146="",'实盘净值数据(iFinD公式)'!$B146=""),"",分期持仓明细!$AD$17*SUMPRODUCT(分期持仓明细!$B$17:$AA$17,'实盘净值数据(iFinD公式)'!$B146:$AA146/'实盘净值数据(iFinD公式)'!$B$20:$AA$20)*(1-实盘持仓初始配置!$Z$4)^(('实盘净值数据(iFinD公式)'!$A146-'实盘净值数据(iFinD公式)'!$A$6)/365))</x:f>
        <x:v>#NAME?</x:v>
      </x:c>
      <x:c r="C146" s="152" t="e">
        <x:f>IF(OR(B145="",B146=""),"",B146/B145-1)</x:f>
        <x:v>#NAME?</x:v>
      </x:c>
      <x:c r="D146" s="152" t="e">
        <x:f>IF(B146="","",B146/MAX(B$5:B146)-1)</x:f>
        <x:v>#NAME?</x:v>
      </x:c>
      <x:c r="E146" s="146" t="e">
        <x:f>IF(OR('实盘净值数据(iFinD公式)'!$A146="",'实盘净值数据(iFinD公式)'!$B146=""),"",分期持仓明细!$AD$18*SUMPRODUCT(分期持仓明细!$B$18:$AA$18,'实盘净值数据(iFinD公式)'!$B146:$AA146/'实盘净值数据(iFinD公式)'!$B$20:$AA$20)*(1-实盘持仓初始配置!$Z$5)^(('实盘净值数据(iFinD公式)'!$A146-'实盘净值数据(iFinD公式)'!$A$5)/365))</x:f>
        <x:v>#NAME?</x:v>
      </x:c>
      <x:c r="F146" s="152" t="e">
        <x:f>IF(OR(E145="",E146=""),"",E146/E145-1)</x:f>
        <x:v>#NAME?</x:v>
      </x:c>
      <x:c r="G146" s="152" t="e">
        <x:f>IF(E146="","",E146/MAX(E$5:E146)-1)</x:f>
        <x:v>#NAME?</x:v>
      </x:c>
      <x:c r="H146" s="146" t="e">
        <x:f>IF(OR('实盘净值数据(iFinD公式)'!$A146="",'实盘净值数据(iFinD公式)'!$B146=""),"",分期持仓明细!$AD$19*SUMPRODUCT(分期持仓明细!$B$19:$AA$19,'实盘净值数据(iFinD公式)'!$B146:$AA146/'实盘净值数据(iFinD公式)'!$B$20:$AA$20)*(1-实盘持仓初始配置!$Z$6)^(('实盘净值数据(iFinD公式)'!$A146-'实盘净值数据(iFinD公式)'!$A$7)/365))</x:f>
        <x:v>#NAME?</x:v>
      </x:c>
      <x:c r="I146" s="152" t="e">
        <x:f>IF(OR(H145="",H146=""),"",H146/H145-1)</x:f>
        <x:v>#NAME?</x:v>
      </x:c>
      <x:c r="J146" s="152" t="e">
        <x:f>IF(H146="","",H146/MAX(H$5:H146)-1)</x:f>
        <x:v>#NAME?</x:v>
      </x:c>
      <x:c r="K146" s="146" t="e">
        <x:f>IF(OR('实盘净值数据(iFinD公式)'!$A146="",'实盘净值数据(iFinD公式)'!$B146=""),"",分期持仓明细!$AD$23*SUMPRODUCT(分期持仓明细!$B$23:$AA$23,'实盘净值数据(iFinD公式)'!$B146:$AA146/'实盘净值数据(iFinD公式)'!$B$65:$AA$65)*(1-实盘持仓初始配置!$Z$7)^(('实盘净值数据(iFinD公式)'!$A146-'实盘净值数据(iFinD公式)'!$A$8)/365))</x:f>
        <x:v>#NAME?</x:v>
      </x:c>
      <x:c r="L146" s="152" t="e">
        <x:f>IF(OR(K145="",K146=""),"",K146/K145-1)</x:f>
        <x:v>#NAME?</x:v>
      </x:c>
      <x:c r="M146" s="152" t="e">
        <x:f>IF(K146="","",K146/MAX(K$5:K146)-1)</x:f>
        <x:v>#NAME?</x:v>
      </x:c>
      <x:c r="N146" s="146" t="e">
        <x:f>IF(OR('实盘净值数据(iFinD公式)'!$A146="",'实盘净值数据(iFinD公式)'!$B146=""),"",分期持仓明细!$AD$24*SUMPRODUCT(分期持仓明细!$B$24:$AA$24,'实盘净值数据(iFinD公式)'!$B146:$AA146/'实盘净值数据(iFinD公式)'!$B$65:$AA$65)*(1-实盘持仓初始配置!$Z$8)^(('实盘净值数据(iFinD公式)'!$A146-'实盘净值数据(iFinD公式)'!$A$5)/365))</x:f>
        <x:v>#NAME?</x:v>
      </x:c>
      <x:c r="O146" s="152" t="e">
        <x:f>IF(OR(N145="",N146=""),"",N146/N145-1)</x:f>
        <x:v>#NAME?</x:v>
      </x:c>
      <x:c r="P146" s="152" t="e">
        <x:f>IF(N146="","",N146/MAX(N$5:N146)-1)</x:f>
        <x:v>#NAME?</x:v>
      </x:c>
      <x:c r="Q146" s="146" t="e">
        <x:f>IF(OR('实盘净值数据(iFinD公式)'!$A146="",'实盘净值数据(iFinD公式)'!$B146=""),"",分期持仓明细!$AD$25*SUMPRODUCT(分期持仓明细!$B$25:$AA$25,'实盘净值数据(iFinD公式)'!$B146:$AA146/'实盘净值数据(iFinD公式)'!$B$65:$AA$65)*(1-实盘持仓初始配置!$Z$9)^(('实盘净值数据(iFinD公式)'!$A146-'实盘净值数据(iFinD公式)'!$A$8)/365))</x:f>
        <x:v>#NAME?</x:v>
      </x:c>
      <x:c r="R146" s="152" t="e">
        <x:f>IF(OR(Q145="",Q146=""),"",Q146/Q145-1)</x:f>
        <x:v>#NAME?</x:v>
      </x:c>
      <x:c r="S146" s="152" t="e">
        <x:f>IF(Q146="","",Q146/MAX(Q$5:Q146)-1)</x:f>
        <x:v>#NAME?</x:v>
      </x:c>
    </x:row>
    <x:row r="147">
      <x:c r="A147" s="149" t="str">
        <x:f>IF('实盘净值数据(iFinD公式)'!A147="","",'实盘净值数据(iFinD公式)'!A147)</x:f>
      </x:c>
      <x:c r="B147" s="146" t="e">
        <x:f>IF(OR('实盘净值数据(iFinD公式)'!$A147="",'实盘净值数据(iFinD公式)'!$B147=""),"",分期持仓明细!$AD$17*SUMPRODUCT(分期持仓明细!$B$17:$AA$17,'实盘净值数据(iFinD公式)'!$B147:$AA147/'实盘净值数据(iFinD公式)'!$B$20:$AA$20)*(1-实盘持仓初始配置!$Z$4)^(('实盘净值数据(iFinD公式)'!$A147-'实盘净值数据(iFinD公式)'!$A$6)/365))</x:f>
        <x:v>#NAME?</x:v>
      </x:c>
      <x:c r="C147" s="152" t="e">
        <x:f>IF(OR(B146="",B147=""),"",B147/B146-1)</x:f>
        <x:v>#NAME?</x:v>
      </x:c>
      <x:c r="D147" s="152" t="e">
        <x:f>IF(B147="","",B147/MAX(B$5:B147)-1)</x:f>
        <x:v>#NAME?</x:v>
      </x:c>
      <x:c r="E147" s="146" t="e">
        <x:f>IF(OR('实盘净值数据(iFinD公式)'!$A147="",'实盘净值数据(iFinD公式)'!$B147=""),"",分期持仓明细!$AD$18*SUMPRODUCT(分期持仓明细!$B$18:$AA$18,'实盘净值数据(iFinD公式)'!$B147:$AA147/'实盘净值数据(iFinD公式)'!$B$20:$AA$20)*(1-实盘持仓初始配置!$Z$5)^(('实盘净值数据(iFinD公式)'!$A147-'实盘净值数据(iFinD公式)'!$A$5)/365))</x:f>
        <x:v>#NAME?</x:v>
      </x:c>
      <x:c r="F147" s="152" t="e">
        <x:f>IF(OR(E146="",E147=""),"",E147/E146-1)</x:f>
        <x:v>#NAME?</x:v>
      </x:c>
      <x:c r="G147" s="152" t="e">
        <x:f>IF(E147="","",E147/MAX(E$5:E147)-1)</x:f>
        <x:v>#NAME?</x:v>
      </x:c>
      <x:c r="H147" s="146" t="e">
        <x:f>IF(OR('实盘净值数据(iFinD公式)'!$A147="",'实盘净值数据(iFinD公式)'!$B147=""),"",分期持仓明细!$AD$19*SUMPRODUCT(分期持仓明细!$B$19:$AA$19,'实盘净值数据(iFinD公式)'!$B147:$AA147/'实盘净值数据(iFinD公式)'!$B$20:$AA$20)*(1-实盘持仓初始配置!$Z$6)^(('实盘净值数据(iFinD公式)'!$A147-'实盘净值数据(iFinD公式)'!$A$7)/365))</x:f>
        <x:v>#NAME?</x:v>
      </x:c>
      <x:c r="I147" s="152" t="e">
        <x:f>IF(OR(H146="",H147=""),"",H147/H146-1)</x:f>
        <x:v>#NAME?</x:v>
      </x:c>
      <x:c r="J147" s="152" t="e">
        <x:f>IF(H147="","",H147/MAX(H$5:H147)-1)</x:f>
        <x:v>#NAME?</x:v>
      </x:c>
      <x:c r="K147" s="146" t="e">
        <x:f>IF(OR('实盘净值数据(iFinD公式)'!$A147="",'实盘净值数据(iFinD公式)'!$B147=""),"",分期持仓明细!$AD$23*SUMPRODUCT(分期持仓明细!$B$23:$AA$23,'实盘净值数据(iFinD公式)'!$B147:$AA147/'实盘净值数据(iFinD公式)'!$B$65:$AA$65)*(1-实盘持仓初始配置!$Z$7)^(('实盘净值数据(iFinD公式)'!$A147-'实盘净值数据(iFinD公式)'!$A$8)/365))</x:f>
        <x:v>#NAME?</x:v>
      </x:c>
      <x:c r="L147" s="152" t="e">
        <x:f>IF(OR(K146="",K147=""),"",K147/K146-1)</x:f>
        <x:v>#NAME?</x:v>
      </x:c>
      <x:c r="M147" s="152" t="e">
        <x:f>IF(K147="","",K147/MAX(K$5:K147)-1)</x:f>
        <x:v>#NAME?</x:v>
      </x:c>
      <x:c r="N147" s="146" t="e">
        <x:f>IF(OR('实盘净值数据(iFinD公式)'!$A147="",'实盘净值数据(iFinD公式)'!$B147=""),"",分期持仓明细!$AD$24*SUMPRODUCT(分期持仓明细!$B$24:$AA$24,'实盘净值数据(iFinD公式)'!$B147:$AA147/'实盘净值数据(iFinD公式)'!$B$65:$AA$65)*(1-实盘持仓初始配置!$Z$8)^(('实盘净值数据(iFinD公式)'!$A147-'实盘净值数据(iFinD公式)'!$A$5)/365))</x:f>
        <x:v>#NAME?</x:v>
      </x:c>
      <x:c r="O147" s="152" t="e">
        <x:f>IF(OR(N146="",N147=""),"",N147/N146-1)</x:f>
        <x:v>#NAME?</x:v>
      </x:c>
      <x:c r="P147" s="152" t="e">
        <x:f>IF(N147="","",N147/MAX(N$5:N147)-1)</x:f>
        <x:v>#NAME?</x:v>
      </x:c>
      <x:c r="Q147" s="146" t="e">
        <x:f>IF(OR('实盘净值数据(iFinD公式)'!$A147="",'实盘净值数据(iFinD公式)'!$B147=""),"",分期持仓明细!$AD$25*SUMPRODUCT(分期持仓明细!$B$25:$AA$25,'实盘净值数据(iFinD公式)'!$B147:$AA147/'实盘净值数据(iFinD公式)'!$B$65:$AA$65)*(1-实盘持仓初始配置!$Z$9)^(('实盘净值数据(iFinD公式)'!$A147-'实盘净值数据(iFinD公式)'!$A$8)/365))</x:f>
        <x:v>#NAME?</x:v>
      </x:c>
      <x:c r="R147" s="152" t="e">
        <x:f>IF(OR(Q146="",Q147=""),"",Q147/Q146-1)</x:f>
        <x:v>#NAME?</x:v>
      </x:c>
      <x:c r="S147" s="152" t="e">
        <x:f>IF(Q147="","",Q147/MAX(Q$5:Q147)-1)</x:f>
        <x:v>#NAME?</x:v>
      </x:c>
    </x:row>
    <x:row r="148">
      <x:c r="A148" s="149" t="str">
        <x:f>IF('实盘净值数据(iFinD公式)'!A148="","",'实盘净值数据(iFinD公式)'!A148)</x:f>
      </x:c>
      <x:c r="B148" s="146" t="e">
        <x:f>IF(OR('实盘净值数据(iFinD公式)'!$A148="",'实盘净值数据(iFinD公式)'!$B148=""),"",分期持仓明细!$AD$17*SUMPRODUCT(分期持仓明细!$B$17:$AA$17,'实盘净值数据(iFinD公式)'!$B148:$AA148/'实盘净值数据(iFinD公式)'!$B$20:$AA$20)*(1-实盘持仓初始配置!$Z$4)^(('实盘净值数据(iFinD公式)'!$A148-'实盘净值数据(iFinD公式)'!$A$6)/365))</x:f>
        <x:v>#NAME?</x:v>
      </x:c>
      <x:c r="C148" s="152" t="e">
        <x:f>IF(OR(B147="",B148=""),"",B148/B147-1)</x:f>
        <x:v>#NAME?</x:v>
      </x:c>
      <x:c r="D148" s="152" t="e">
        <x:f>IF(B148="","",B148/MAX(B$5:B148)-1)</x:f>
        <x:v>#NAME?</x:v>
      </x:c>
      <x:c r="E148" s="146" t="e">
        <x:f>IF(OR('实盘净值数据(iFinD公式)'!$A148="",'实盘净值数据(iFinD公式)'!$B148=""),"",分期持仓明细!$AD$18*SUMPRODUCT(分期持仓明细!$B$18:$AA$18,'实盘净值数据(iFinD公式)'!$B148:$AA148/'实盘净值数据(iFinD公式)'!$B$20:$AA$20)*(1-实盘持仓初始配置!$Z$5)^(('实盘净值数据(iFinD公式)'!$A148-'实盘净值数据(iFinD公式)'!$A$5)/365))</x:f>
        <x:v>#NAME?</x:v>
      </x:c>
      <x:c r="F148" s="152" t="e">
        <x:f>IF(OR(E147="",E148=""),"",E148/E147-1)</x:f>
        <x:v>#NAME?</x:v>
      </x:c>
      <x:c r="G148" s="152" t="e">
        <x:f>IF(E148="","",E148/MAX(E$5:E148)-1)</x:f>
        <x:v>#NAME?</x:v>
      </x:c>
      <x:c r="H148" s="146" t="e">
        <x:f>IF(OR('实盘净值数据(iFinD公式)'!$A148="",'实盘净值数据(iFinD公式)'!$B148=""),"",分期持仓明细!$AD$19*SUMPRODUCT(分期持仓明细!$B$19:$AA$19,'实盘净值数据(iFinD公式)'!$B148:$AA148/'实盘净值数据(iFinD公式)'!$B$20:$AA$20)*(1-实盘持仓初始配置!$Z$6)^(('实盘净值数据(iFinD公式)'!$A148-'实盘净值数据(iFinD公式)'!$A$7)/365))</x:f>
        <x:v>#NAME?</x:v>
      </x:c>
      <x:c r="I148" s="152" t="e">
        <x:f>IF(OR(H147="",H148=""),"",H148/H147-1)</x:f>
        <x:v>#NAME?</x:v>
      </x:c>
      <x:c r="J148" s="152" t="e">
        <x:f>IF(H148="","",H148/MAX(H$5:H148)-1)</x:f>
        <x:v>#NAME?</x:v>
      </x:c>
      <x:c r="K148" s="146" t="e">
        <x:f>IF(OR('实盘净值数据(iFinD公式)'!$A148="",'实盘净值数据(iFinD公式)'!$B148=""),"",分期持仓明细!$AD$23*SUMPRODUCT(分期持仓明细!$B$23:$AA$23,'实盘净值数据(iFinD公式)'!$B148:$AA148/'实盘净值数据(iFinD公式)'!$B$65:$AA$65)*(1-实盘持仓初始配置!$Z$7)^(('实盘净值数据(iFinD公式)'!$A148-'实盘净值数据(iFinD公式)'!$A$8)/365))</x:f>
        <x:v>#NAME?</x:v>
      </x:c>
      <x:c r="L148" s="152" t="e">
        <x:f>IF(OR(K147="",K148=""),"",K148/K147-1)</x:f>
        <x:v>#NAME?</x:v>
      </x:c>
      <x:c r="M148" s="152" t="e">
        <x:f>IF(K148="","",K148/MAX(K$5:K148)-1)</x:f>
        <x:v>#NAME?</x:v>
      </x:c>
      <x:c r="N148" s="146" t="e">
        <x:f>IF(OR('实盘净值数据(iFinD公式)'!$A148="",'实盘净值数据(iFinD公式)'!$B148=""),"",分期持仓明细!$AD$24*SUMPRODUCT(分期持仓明细!$B$24:$AA$24,'实盘净值数据(iFinD公式)'!$B148:$AA148/'实盘净值数据(iFinD公式)'!$B$65:$AA$65)*(1-实盘持仓初始配置!$Z$8)^(('实盘净值数据(iFinD公式)'!$A148-'实盘净值数据(iFinD公式)'!$A$5)/365))</x:f>
        <x:v>#NAME?</x:v>
      </x:c>
      <x:c r="O148" s="152" t="e">
        <x:f>IF(OR(N147="",N148=""),"",N148/N147-1)</x:f>
        <x:v>#NAME?</x:v>
      </x:c>
      <x:c r="P148" s="152" t="e">
        <x:f>IF(N148="","",N148/MAX(N$5:N148)-1)</x:f>
        <x:v>#NAME?</x:v>
      </x:c>
      <x:c r="Q148" s="146" t="e">
        <x:f>IF(OR('实盘净值数据(iFinD公式)'!$A148="",'实盘净值数据(iFinD公式)'!$B148=""),"",分期持仓明细!$AD$25*SUMPRODUCT(分期持仓明细!$B$25:$AA$25,'实盘净值数据(iFinD公式)'!$B148:$AA148/'实盘净值数据(iFinD公式)'!$B$65:$AA$65)*(1-实盘持仓初始配置!$Z$9)^(('实盘净值数据(iFinD公式)'!$A148-'实盘净值数据(iFinD公式)'!$A$8)/365))</x:f>
        <x:v>#NAME?</x:v>
      </x:c>
      <x:c r="R148" s="152" t="e">
        <x:f>IF(OR(Q147="",Q148=""),"",Q148/Q147-1)</x:f>
        <x:v>#NAME?</x:v>
      </x:c>
      <x:c r="S148" s="152" t="e">
        <x:f>IF(Q148="","",Q148/MAX(Q$5:Q148)-1)</x:f>
        <x:v>#NAME?</x:v>
      </x:c>
    </x:row>
    <x:row r="149">
      <x:c r="A149" s="149" t="str">
        <x:f>IF('实盘净值数据(iFinD公式)'!A149="","",'实盘净值数据(iFinD公式)'!A149)</x:f>
      </x:c>
      <x:c r="B149" s="146" t="e">
        <x:f>IF(OR('实盘净值数据(iFinD公式)'!$A149="",'实盘净值数据(iFinD公式)'!$B149=""),"",分期持仓明细!$AD$17*SUMPRODUCT(分期持仓明细!$B$17:$AA$17,'实盘净值数据(iFinD公式)'!$B149:$AA149/'实盘净值数据(iFinD公式)'!$B$20:$AA$20)*(1-实盘持仓初始配置!$Z$4)^(('实盘净值数据(iFinD公式)'!$A149-'实盘净值数据(iFinD公式)'!$A$6)/365))</x:f>
        <x:v>#NAME?</x:v>
      </x:c>
      <x:c r="C149" s="152" t="e">
        <x:f>IF(OR(B148="",B149=""),"",B149/B148-1)</x:f>
        <x:v>#NAME?</x:v>
      </x:c>
      <x:c r="D149" s="152" t="e">
        <x:f>IF(B149="","",B149/MAX(B$5:B149)-1)</x:f>
        <x:v>#NAME?</x:v>
      </x:c>
      <x:c r="E149" s="146" t="e">
        <x:f>IF(OR('实盘净值数据(iFinD公式)'!$A149="",'实盘净值数据(iFinD公式)'!$B149=""),"",分期持仓明细!$AD$18*SUMPRODUCT(分期持仓明细!$B$18:$AA$18,'实盘净值数据(iFinD公式)'!$B149:$AA149/'实盘净值数据(iFinD公式)'!$B$20:$AA$20)*(1-实盘持仓初始配置!$Z$5)^(('实盘净值数据(iFinD公式)'!$A149-'实盘净值数据(iFinD公式)'!$A$5)/365))</x:f>
        <x:v>#NAME?</x:v>
      </x:c>
      <x:c r="F149" s="152" t="e">
        <x:f>IF(OR(E148="",E149=""),"",E149/E148-1)</x:f>
        <x:v>#NAME?</x:v>
      </x:c>
      <x:c r="G149" s="152" t="e">
        <x:f>IF(E149="","",E149/MAX(E$5:E149)-1)</x:f>
        <x:v>#NAME?</x:v>
      </x:c>
      <x:c r="H149" s="146" t="e">
        <x:f>IF(OR('实盘净值数据(iFinD公式)'!$A149="",'实盘净值数据(iFinD公式)'!$B149=""),"",分期持仓明细!$AD$19*SUMPRODUCT(分期持仓明细!$B$19:$AA$19,'实盘净值数据(iFinD公式)'!$B149:$AA149/'实盘净值数据(iFinD公式)'!$B$20:$AA$20)*(1-实盘持仓初始配置!$Z$6)^(('实盘净值数据(iFinD公式)'!$A149-'实盘净值数据(iFinD公式)'!$A$7)/365))</x:f>
        <x:v>#NAME?</x:v>
      </x:c>
      <x:c r="I149" s="152" t="e">
        <x:f>IF(OR(H148="",H149=""),"",H149/H148-1)</x:f>
        <x:v>#NAME?</x:v>
      </x:c>
      <x:c r="J149" s="152" t="e">
        <x:f>IF(H149="","",H149/MAX(H$5:H149)-1)</x:f>
        <x:v>#NAME?</x:v>
      </x:c>
      <x:c r="K149" s="146" t="e">
        <x:f>IF(OR('实盘净值数据(iFinD公式)'!$A149="",'实盘净值数据(iFinD公式)'!$B149=""),"",分期持仓明细!$AD$23*SUMPRODUCT(分期持仓明细!$B$23:$AA$23,'实盘净值数据(iFinD公式)'!$B149:$AA149/'实盘净值数据(iFinD公式)'!$B$65:$AA$65)*(1-实盘持仓初始配置!$Z$7)^(('实盘净值数据(iFinD公式)'!$A149-'实盘净值数据(iFinD公式)'!$A$8)/365))</x:f>
        <x:v>#NAME?</x:v>
      </x:c>
      <x:c r="L149" s="152" t="e">
        <x:f>IF(OR(K148="",K149=""),"",K149/K148-1)</x:f>
        <x:v>#NAME?</x:v>
      </x:c>
      <x:c r="M149" s="152" t="e">
        <x:f>IF(K149="","",K149/MAX(K$5:K149)-1)</x:f>
        <x:v>#NAME?</x:v>
      </x:c>
      <x:c r="N149" s="146" t="e">
        <x:f>IF(OR('实盘净值数据(iFinD公式)'!$A149="",'实盘净值数据(iFinD公式)'!$B149=""),"",分期持仓明细!$AD$24*SUMPRODUCT(分期持仓明细!$B$24:$AA$24,'实盘净值数据(iFinD公式)'!$B149:$AA149/'实盘净值数据(iFinD公式)'!$B$65:$AA$65)*(1-实盘持仓初始配置!$Z$8)^(('实盘净值数据(iFinD公式)'!$A149-'实盘净值数据(iFinD公式)'!$A$5)/365))</x:f>
        <x:v>#NAME?</x:v>
      </x:c>
      <x:c r="O149" s="152" t="e">
        <x:f>IF(OR(N148="",N149=""),"",N149/N148-1)</x:f>
        <x:v>#NAME?</x:v>
      </x:c>
      <x:c r="P149" s="152" t="e">
        <x:f>IF(N149="","",N149/MAX(N$5:N149)-1)</x:f>
        <x:v>#NAME?</x:v>
      </x:c>
      <x:c r="Q149" s="146" t="e">
        <x:f>IF(OR('实盘净值数据(iFinD公式)'!$A149="",'实盘净值数据(iFinD公式)'!$B149=""),"",分期持仓明细!$AD$25*SUMPRODUCT(分期持仓明细!$B$25:$AA$25,'实盘净值数据(iFinD公式)'!$B149:$AA149/'实盘净值数据(iFinD公式)'!$B$65:$AA$65)*(1-实盘持仓初始配置!$Z$9)^(('实盘净值数据(iFinD公式)'!$A149-'实盘净值数据(iFinD公式)'!$A$8)/365))</x:f>
        <x:v>#NAME?</x:v>
      </x:c>
      <x:c r="R149" s="152" t="e">
        <x:f>IF(OR(Q148="",Q149=""),"",Q149/Q148-1)</x:f>
        <x:v>#NAME?</x:v>
      </x:c>
      <x:c r="S149" s="152" t="e">
        <x:f>IF(Q149="","",Q149/MAX(Q$5:Q149)-1)</x:f>
        <x:v>#NAME?</x:v>
      </x:c>
    </x:row>
    <x:row r="150">
      <x:c r="A150" s="149" t="str">
        <x:f>IF('实盘净值数据(iFinD公式)'!A150="","",'实盘净值数据(iFinD公式)'!A150)</x:f>
      </x:c>
      <x:c r="B150" s="146" t="e">
        <x:f>IF(OR('实盘净值数据(iFinD公式)'!$A150="",'实盘净值数据(iFinD公式)'!$B150=""),"",分期持仓明细!$AD$17*SUMPRODUCT(分期持仓明细!$B$17:$AA$17,'实盘净值数据(iFinD公式)'!$B150:$AA150/'实盘净值数据(iFinD公式)'!$B$20:$AA$20)*(1-实盘持仓初始配置!$Z$4)^(('实盘净值数据(iFinD公式)'!$A150-'实盘净值数据(iFinD公式)'!$A$6)/365))</x:f>
        <x:v>#NAME?</x:v>
      </x:c>
      <x:c r="C150" s="152" t="e">
        <x:f>IF(OR(B149="",B150=""),"",B150/B149-1)</x:f>
        <x:v>#NAME?</x:v>
      </x:c>
      <x:c r="D150" s="152" t="e">
        <x:f>IF(B150="","",B150/MAX(B$5:B150)-1)</x:f>
        <x:v>#NAME?</x:v>
      </x:c>
      <x:c r="E150" s="146" t="e">
        <x:f>IF(OR('实盘净值数据(iFinD公式)'!$A150="",'实盘净值数据(iFinD公式)'!$B150=""),"",分期持仓明细!$AD$18*SUMPRODUCT(分期持仓明细!$B$18:$AA$18,'实盘净值数据(iFinD公式)'!$B150:$AA150/'实盘净值数据(iFinD公式)'!$B$20:$AA$20)*(1-实盘持仓初始配置!$Z$5)^(('实盘净值数据(iFinD公式)'!$A150-'实盘净值数据(iFinD公式)'!$A$5)/365))</x:f>
        <x:v>#NAME?</x:v>
      </x:c>
      <x:c r="F150" s="152" t="e">
        <x:f>IF(OR(E149="",E150=""),"",E150/E149-1)</x:f>
        <x:v>#NAME?</x:v>
      </x:c>
      <x:c r="G150" s="152" t="e">
        <x:f>IF(E150="","",E150/MAX(E$5:E150)-1)</x:f>
        <x:v>#NAME?</x:v>
      </x:c>
      <x:c r="H150" s="146" t="e">
        <x:f>IF(OR('实盘净值数据(iFinD公式)'!$A150="",'实盘净值数据(iFinD公式)'!$B150=""),"",分期持仓明细!$AD$19*SUMPRODUCT(分期持仓明细!$B$19:$AA$19,'实盘净值数据(iFinD公式)'!$B150:$AA150/'实盘净值数据(iFinD公式)'!$B$20:$AA$20)*(1-实盘持仓初始配置!$Z$6)^(('实盘净值数据(iFinD公式)'!$A150-'实盘净值数据(iFinD公式)'!$A$7)/365))</x:f>
        <x:v>#NAME?</x:v>
      </x:c>
      <x:c r="I150" s="152" t="e">
        <x:f>IF(OR(H149="",H150=""),"",H150/H149-1)</x:f>
        <x:v>#NAME?</x:v>
      </x:c>
      <x:c r="J150" s="152" t="e">
        <x:f>IF(H150="","",H150/MAX(H$5:H150)-1)</x:f>
        <x:v>#NAME?</x:v>
      </x:c>
      <x:c r="K150" s="146" t="e">
        <x:f>IF(OR('实盘净值数据(iFinD公式)'!$A150="",'实盘净值数据(iFinD公式)'!$B150=""),"",分期持仓明细!$AD$23*SUMPRODUCT(分期持仓明细!$B$23:$AA$23,'实盘净值数据(iFinD公式)'!$B150:$AA150/'实盘净值数据(iFinD公式)'!$B$65:$AA$65)*(1-实盘持仓初始配置!$Z$7)^(('实盘净值数据(iFinD公式)'!$A150-'实盘净值数据(iFinD公式)'!$A$8)/365))</x:f>
        <x:v>#NAME?</x:v>
      </x:c>
      <x:c r="L150" s="152" t="e">
        <x:f>IF(OR(K149="",K150=""),"",K150/K149-1)</x:f>
        <x:v>#NAME?</x:v>
      </x:c>
      <x:c r="M150" s="152" t="e">
        <x:f>IF(K150="","",K150/MAX(K$5:K150)-1)</x:f>
        <x:v>#NAME?</x:v>
      </x:c>
      <x:c r="N150" s="146" t="e">
        <x:f>IF(OR('实盘净值数据(iFinD公式)'!$A150="",'实盘净值数据(iFinD公式)'!$B150=""),"",分期持仓明细!$AD$24*SUMPRODUCT(分期持仓明细!$B$24:$AA$24,'实盘净值数据(iFinD公式)'!$B150:$AA150/'实盘净值数据(iFinD公式)'!$B$65:$AA$65)*(1-实盘持仓初始配置!$Z$8)^(('实盘净值数据(iFinD公式)'!$A150-'实盘净值数据(iFinD公式)'!$A$5)/365))</x:f>
        <x:v>#NAME?</x:v>
      </x:c>
      <x:c r="O150" s="152" t="e">
        <x:f>IF(OR(N149="",N150=""),"",N150/N149-1)</x:f>
        <x:v>#NAME?</x:v>
      </x:c>
      <x:c r="P150" s="152" t="e">
        <x:f>IF(N150="","",N150/MAX(N$5:N150)-1)</x:f>
        <x:v>#NAME?</x:v>
      </x:c>
      <x:c r="Q150" s="146" t="e">
        <x:f>IF(OR('实盘净值数据(iFinD公式)'!$A150="",'实盘净值数据(iFinD公式)'!$B150=""),"",分期持仓明细!$AD$25*SUMPRODUCT(分期持仓明细!$B$25:$AA$25,'实盘净值数据(iFinD公式)'!$B150:$AA150/'实盘净值数据(iFinD公式)'!$B$65:$AA$65)*(1-实盘持仓初始配置!$Z$9)^(('实盘净值数据(iFinD公式)'!$A150-'实盘净值数据(iFinD公式)'!$A$8)/365))</x:f>
        <x:v>#NAME?</x:v>
      </x:c>
      <x:c r="R150" s="152" t="e">
        <x:f>IF(OR(Q149="",Q150=""),"",Q150/Q149-1)</x:f>
        <x:v>#NAME?</x:v>
      </x:c>
      <x:c r="S150" s="152" t="e">
        <x:f>IF(Q150="","",Q150/MAX(Q$5:Q150)-1)</x:f>
        <x:v>#NAME?</x:v>
      </x:c>
    </x:row>
    <x:row r="151">
      <x:c r="A151" s="149" t="str">
        <x:f>IF('实盘净值数据(iFinD公式)'!A151="","",'实盘净值数据(iFinD公式)'!A151)</x:f>
      </x:c>
      <x:c r="B151" s="146" t="e">
        <x:f>IF(OR('实盘净值数据(iFinD公式)'!$A151="",'实盘净值数据(iFinD公式)'!$B151=""),"",分期持仓明细!$AD$17*SUMPRODUCT(分期持仓明细!$B$17:$AA$17,'实盘净值数据(iFinD公式)'!$B151:$AA151/'实盘净值数据(iFinD公式)'!$B$20:$AA$20)*(1-实盘持仓初始配置!$Z$4)^(('实盘净值数据(iFinD公式)'!$A151-'实盘净值数据(iFinD公式)'!$A$6)/365))</x:f>
        <x:v>#NAME?</x:v>
      </x:c>
      <x:c r="C151" s="152" t="e">
        <x:f>IF(OR(B150="",B151=""),"",B151/B150-1)</x:f>
        <x:v>#NAME?</x:v>
      </x:c>
      <x:c r="D151" s="152" t="e">
        <x:f>IF(B151="","",B151/MAX(B$5:B151)-1)</x:f>
        <x:v>#NAME?</x:v>
      </x:c>
      <x:c r="E151" s="146" t="e">
        <x:f>IF(OR('实盘净值数据(iFinD公式)'!$A151="",'实盘净值数据(iFinD公式)'!$B151=""),"",分期持仓明细!$AD$18*SUMPRODUCT(分期持仓明细!$B$18:$AA$18,'实盘净值数据(iFinD公式)'!$B151:$AA151/'实盘净值数据(iFinD公式)'!$B$20:$AA$20)*(1-实盘持仓初始配置!$Z$5)^(('实盘净值数据(iFinD公式)'!$A151-'实盘净值数据(iFinD公式)'!$A$5)/365))</x:f>
        <x:v>#NAME?</x:v>
      </x:c>
      <x:c r="F151" s="152" t="e">
        <x:f>IF(OR(E150="",E151=""),"",E151/E150-1)</x:f>
        <x:v>#NAME?</x:v>
      </x:c>
      <x:c r="G151" s="152" t="e">
        <x:f>IF(E151="","",E151/MAX(E$5:E151)-1)</x:f>
        <x:v>#NAME?</x:v>
      </x:c>
      <x:c r="H151" s="146" t="e">
        <x:f>IF(OR('实盘净值数据(iFinD公式)'!$A151="",'实盘净值数据(iFinD公式)'!$B151=""),"",分期持仓明细!$AD$19*SUMPRODUCT(分期持仓明细!$B$19:$AA$19,'实盘净值数据(iFinD公式)'!$B151:$AA151/'实盘净值数据(iFinD公式)'!$B$20:$AA$20)*(1-实盘持仓初始配置!$Z$6)^(('实盘净值数据(iFinD公式)'!$A151-'实盘净值数据(iFinD公式)'!$A$7)/365))</x:f>
        <x:v>#NAME?</x:v>
      </x:c>
      <x:c r="I151" s="152" t="e">
        <x:f>IF(OR(H150="",H151=""),"",H151/H150-1)</x:f>
        <x:v>#NAME?</x:v>
      </x:c>
      <x:c r="J151" s="152" t="e">
        <x:f>IF(H151="","",H151/MAX(H$5:H151)-1)</x:f>
        <x:v>#NAME?</x:v>
      </x:c>
      <x:c r="K151" s="146" t="e">
        <x:f>IF(OR('实盘净值数据(iFinD公式)'!$A151="",'实盘净值数据(iFinD公式)'!$B151=""),"",分期持仓明细!$AD$23*SUMPRODUCT(分期持仓明细!$B$23:$AA$23,'实盘净值数据(iFinD公式)'!$B151:$AA151/'实盘净值数据(iFinD公式)'!$B$65:$AA$65)*(1-实盘持仓初始配置!$Z$7)^(('实盘净值数据(iFinD公式)'!$A151-'实盘净值数据(iFinD公式)'!$A$8)/365))</x:f>
        <x:v>#NAME?</x:v>
      </x:c>
      <x:c r="L151" s="152" t="e">
        <x:f>IF(OR(K150="",K151=""),"",K151/K150-1)</x:f>
        <x:v>#NAME?</x:v>
      </x:c>
      <x:c r="M151" s="152" t="e">
        <x:f>IF(K151="","",K151/MAX(K$5:K151)-1)</x:f>
        <x:v>#NAME?</x:v>
      </x:c>
      <x:c r="N151" s="146" t="e">
        <x:f>IF(OR('实盘净值数据(iFinD公式)'!$A151="",'实盘净值数据(iFinD公式)'!$B151=""),"",分期持仓明细!$AD$24*SUMPRODUCT(分期持仓明细!$B$24:$AA$24,'实盘净值数据(iFinD公式)'!$B151:$AA151/'实盘净值数据(iFinD公式)'!$B$65:$AA$65)*(1-实盘持仓初始配置!$Z$8)^(('实盘净值数据(iFinD公式)'!$A151-'实盘净值数据(iFinD公式)'!$A$5)/365))</x:f>
        <x:v>#NAME?</x:v>
      </x:c>
      <x:c r="O151" s="152" t="e">
        <x:f>IF(OR(N150="",N151=""),"",N151/N150-1)</x:f>
        <x:v>#NAME?</x:v>
      </x:c>
      <x:c r="P151" s="152" t="e">
        <x:f>IF(N151="","",N151/MAX(N$5:N151)-1)</x:f>
        <x:v>#NAME?</x:v>
      </x:c>
      <x:c r="Q151" s="146" t="e">
        <x:f>IF(OR('实盘净值数据(iFinD公式)'!$A151="",'实盘净值数据(iFinD公式)'!$B151=""),"",分期持仓明细!$AD$25*SUMPRODUCT(分期持仓明细!$B$25:$AA$25,'实盘净值数据(iFinD公式)'!$B151:$AA151/'实盘净值数据(iFinD公式)'!$B$65:$AA$65)*(1-实盘持仓初始配置!$Z$9)^(('实盘净值数据(iFinD公式)'!$A151-'实盘净值数据(iFinD公式)'!$A$8)/365))</x:f>
        <x:v>#NAME?</x:v>
      </x:c>
      <x:c r="R151" s="152" t="e">
        <x:f>IF(OR(Q150="",Q151=""),"",Q151/Q150-1)</x:f>
        <x:v>#NAME?</x:v>
      </x:c>
      <x:c r="S151" s="152" t="e">
        <x:f>IF(Q151="","",Q151/MAX(Q$5:Q151)-1)</x:f>
        <x:v>#NAME?</x:v>
      </x:c>
    </x:row>
    <x:row r="152">
      <x:c r="A152" s="149" t="str">
        <x:f>IF('实盘净值数据(iFinD公式)'!A152="","",'实盘净值数据(iFinD公式)'!A152)</x:f>
      </x:c>
      <x:c r="B152" s="146" t="e">
        <x:f>IF(OR('实盘净值数据(iFinD公式)'!$A152="",'实盘净值数据(iFinD公式)'!$B152=""),"",分期持仓明细!$AD$17*SUMPRODUCT(分期持仓明细!$B$17:$AA$17,'实盘净值数据(iFinD公式)'!$B152:$AA152/'实盘净值数据(iFinD公式)'!$B$20:$AA$20)*(1-实盘持仓初始配置!$Z$4)^(('实盘净值数据(iFinD公式)'!$A152-'实盘净值数据(iFinD公式)'!$A$6)/365))</x:f>
        <x:v>#NAME?</x:v>
      </x:c>
      <x:c r="C152" s="152" t="e">
        <x:f>IF(OR(B151="",B152=""),"",B152/B151-1)</x:f>
        <x:v>#NAME?</x:v>
      </x:c>
      <x:c r="D152" s="152" t="e">
        <x:f>IF(B152="","",B152/MAX(B$5:B152)-1)</x:f>
        <x:v>#NAME?</x:v>
      </x:c>
      <x:c r="E152" s="146" t="e">
        <x:f>IF(OR('实盘净值数据(iFinD公式)'!$A152="",'实盘净值数据(iFinD公式)'!$B152=""),"",分期持仓明细!$AD$18*SUMPRODUCT(分期持仓明细!$B$18:$AA$18,'实盘净值数据(iFinD公式)'!$B152:$AA152/'实盘净值数据(iFinD公式)'!$B$20:$AA$20)*(1-实盘持仓初始配置!$Z$5)^(('实盘净值数据(iFinD公式)'!$A152-'实盘净值数据(iFinD公式)'!$A$5)/365))</x:f>
        <x:v>#NAME?</x:v>
      </x:c>
      <x:c r="F152" s="152" t="e">
        <x:f>IF(OR(E151="",E152=""),"",E152/E151-1)</x:f>
        <x:v>#NAME?</x:v>
      </x:c>
      <x:c r="G152" s="152" t="e">
        <x:f>IF(E152="","",E152/MAX(E$5:E152)-1)</x:f>
        <x:v>#NAME?</x:v>
      </x:c>
      <x:c r="H152" s="146" t="e">
        <x:f>IF(OR('实盘净值数据(iFinD公式)'!$A152="",'实盘净值数据(iFinD公式)'!$B152=""),"",分期持仓明细!$AD$19*SUMPRODUCT(分期持仓明细!$B$19:$AA$19,'实盘净值数据(iFinD公式)'!$B152:$AA152/'实盘净值数据(iFinD公式)'!$B$20:$AA$20)*(1-实盘持仓初始配置!$Z$6)^(('实盘净值数据(iFinD公式)'!$A152-'实盘净值数据(iFinD公式)'!$A$7)/365))</x:f>
        <x:v>#NAME?</x:v>
      </x:c>
      <x:c r="I152" s="152" t="e">
        <x:f>IF(OR(H151="",H152=""),"",H152/H151-1)</x:f>
        <x:v>#NAME?</x:v>
      </x:c>
      <x:c r="J152" s="152" t="e">
        <x:f>IF(H152="","",H152/MAX(H$5:H152)-1)</x:f>
        <x:v>#NAME?</x:v>
      </x:c>
      <x:c r="K152" s="146" t="e">
        <x:f>IF(OR('实盘净值数据(iFinD公式)'!$A152="",'实盘净值数据(iFinD公式)'!$B152=""),"",分期持仓明细!$AD$23*SUMPRODUCT(分期持仓明细!$B$23:$AA$23,'实盘净值数据(iFinD公式)'!$B152:$AA152/'实盘净值数据(iFinD公式)'!$B$65:$AA$65)*(1-实盘持仓初始配置!$Z$7)^(('实盘净值数据(iFinD公式)'!$A152-'实盘净值数据(iFinD公式)'!$A$8)/365))</x:f>
        <x:v>#NAME?</x:v>
      </x:c>
      <x:c r="L152" s="152" t="e">
        <x:f>IF(OR(K151="",K152=""),"",K152/K151-1)</x:f>
        <x:v>#NAME?</x:v>
      </x:c>
      <x:c r="M152" s="152" t="e">
        <x:f>IF(K152="","",K152/MAX(K$5:K152)-1)</x:f>
        <x:v>#NAME?</x:v>
      </x:c>
      <x:c r="N152" s="146" t="e">
        <x:f>IF(OR('实盘净值数据(iFinD公式)'!$A152="",'实盘净值数据(iFinD公式)'!$B152=""),"",分期持仓明细!$AD$24*SUMPRODUCT(分期持仓明细!$B$24:$AA$24,'实盘净值数据(iFinD公式)'!$B152:$AA152/'实盘净值数据(iFinD公式)'!$B$65:$AA$65)*(1-实盘持仓初始配置!$Z$8)^(('实盘净值数据(iFinD公式)'!$A152-'实盘净值数据(iFinD公式)'!$A$5)/365))</x:f>
        <x:v>#NAME?</x:v>
      </x:c>
      <x:c r="O152" s="152" t="e">
        <x:f>IF(OR(N151="",N152=""),"",N152/N151-1)</x:f>
        <x:v>#NAME?</x:v>
      </x:c>
      <x:c r="P152" s="152" t="e">
        <x:f>IF(N152="","",N152/MAX(N$5:N152)-1)</x:f>
        <x:v>#NAME?</x:v>
      </x:c>
      <x:c r="Q152" s="146" t="e">
        <x:f>IF(OR('实盘净值数据(iFinD公式)'!$A152="",'实盘净值数据(iFinD公式)'!$B152=""),"",分期持仓明细!$AD$25*SUMPRODUCT(分期持仓明细!$B$25:$AA$25,'实盘净值数据(iFinD公式)'!$B152:$AA152/'实盘净值数据(iFinD公式)'!$B$65:$AA$65)*(1-实盘持仓初始配置!$Z$9)^(('实盘净值数据(iFinD公式)'!$A152-'实盘净值数据(iFinD公式)'!$A$8)/365))</x:f>
        <x:v>#NAME?</x:v>
      </x:c>
      <x:c r="R152" s="152" t="e">
        <x:f>IF(OR(Q151="",Q152=""),"",Q152/Q151-1)</x:f>
        <x:v>#NAME?</x:v>
      </x:c>
      <x:c r="S152" s="152" t="e">
        <x:f>IF(Q152="","",Q152/MAX(Q$5:Q152)-1)</x:f>
        <x:v>#NAME?</x:v>
      </x:c>
    </x:row>
    <x:row r="153">
      <x:c r="A153" s="149" t="str">
        <x:f>IF('实盘净值数据(iFinD公式)'!A153="","",'实盘净值数据(iFinD公式)'!A153)</x:f>
      </x:c>
      <x:c r="B153" s="146" t="e">
        <x:f>IF(OR('实盘净值数据(iFinD公式)'!$A153="",'实盘净值数据(iFinD公式)'!$B153=""),"",分期持仓明细!$AD$17*SUMPRODUCT(分期持仓明细!$B$17:$AA$17,'实盘净值数据(iFinD公式)'!$B153:$AA153/'实盘净值数据(iFinD公式)'!$B$20:$AA$20)*(1-实盘持仓初始配置!$Z$4)^(('实盘净值数据(iFinD公式)'!$A153-'实盘净值数据(iFinD公式)'!$A$6)/365))</x:f>
        <x:v>#NAME?</x:v>
      </x:c>
      <x:c r="C153" s="152" t="e">
        <x:f>IF(OR(B152="",B153=""),"",B153/B152-1)</x:f>
        <x:v>#NAME?</x:v>
      </x:c>
      <x:c r="D153" s="152" t="e">
        <x:f>IF(B153="","",B153/MAX(B$5:B153)-1)</x:f>
        <x:v>#NAME?</x:v>
      </x:c>
      <x:c r="E153" s="146" t="e">
        <x:f>IF(OR('实盘净值数据(iFinD公式)'!$A153="",'实盘净值数据(iFinD公式)'!$B153=""),"",分期持仓明细!$AD$18*SUMPRODUCT(分期持仓明细!$B$18:$AA$18,'实盘净值数据(iFinD公式)'!$B153:$AA153/'实盘净值数据(iFinD公式)'!$B$20:$AA$20)*(1-实盘持仓初始配置!$Z$5)^(('实盘净值数据(iFinD公式)'!$A153-'实盘净值数据(iFinD公式)'!$A$5)/365))</x:f>
        <x:v>#NAME?</x:v>
      </x:c>
      <x:c r="F153" s="152" t="e">
        <x:f>IF(OR(E152="",E153=""),"",E153/E152-1)</x:f>
        <x:v>#NAME?</x:v>
      </x:c>
      <x:c r="G153" s="152" t="e">
        <x:f>IF(E153="","",E153/MAX(E$5:E153)-1)</x:f>
        <x:v>#NAME?</x:v>
      </x:c>
      <x:c r="H153" s="146" t="e">
        <x:f>IF(OR('实盘净值数据(iFinD公式)'!$A153="",'实盘净值数据(iFinD公式)'!$B153=""),"",分期持仓明细!$AD$19*SUMPRODUCT(分期持仓明细!$B$19:$AA$19,'实盘净值数据(iFinD公式)'!$B153:$AA153/'实盘净值数据(iFinD公式)'!$B$20:$AA$20)*(1-实盘持仓初始配置!$Z$6)^(('实盘净值数据(iFinD公式)'!$A153-'实盘净值数据(iFinD公式)'!$A$7)/365))</x:f>
        <x:v>#NAME?</x:v>
      </x:c>
      <x:c r="I153" s="152" t="e">
        <x:f>IF(OR(H152="",H153=""),"",H153/H152-1)</x:f>
        <x:v>#NAME?</x:v>
      </x:c>
      <x:c r="J153" s="152" t="e">
        <x:f>IF(H153="","",H153/MAX(H$5:H153)-1)</x:f>
        <x:v>#NAME?</x:v>
      </x:c>
      <x:c r="K153" s="146" t="e">
        <x:f>IF(OR('实盘净值数据(iFinD公式)'!$A153="",'实盘净值数据(iFinD公式)'!$B153=""),"",分期持仓明细!$AD$23*SUMPRODUCT(分期持仓明细!$B$23:$AA$23,'实盘净值数据(iFinD公式)'!$B153:$AA153/'实盘净值数据(iFinD公式)'!$B$65:$AA$65)*(1-实盘持仓初始配置!$Z$7)^(('实盘净值数据(iFinD公式)'!$A153-'实盘净值数据(iFinD公式)'!$A$8)/365))</x:f>
        <x:v>#NAME?</x:v>
      </x:c>
      <x:c r="L153" s="152" t="e">
        <x:f>IF(OR(K152="",K153=""),"",K153/K152-1)</x:f>
        <x:v>#NAME?</x:v>
      </x:c>
      <x:c r="M153" s="152" t="e">
        <x:f>IF(K153="","",K153/MAX(K$5:K153)-1)</x:f>
        <x:v>#NAME?</x:v>
      </x:c>
      <x:c r="N153" s="146" t="e">
        <x:f>IF(OR('实盘净值数据(iFinD公式)'!$A153="",'实盘净值数据(iFinD公式)'!$B153=""),"",分期持仓明细!$AD$24*SUMPRODUCT(分期持仓明细!$B$24:$AA$24,'实盘净值数据(iFinD公式)'!$B153:$AA153/'实盘净值数据(iFinD公式)'!$B$65:$AA$65)*(1-实盘持仓初始配置!$Z$8)^(('实盘净值数据(iFinD公式)'!$A153-'实盘净值数据(iFinD公式)'!$A$5)/365))</x:f>
        <x:v>#NAME?</x:v>
      </x:c>
      <x:c r="O153" s="152" t="e">
        <x:f>IF(OR(N152="",N153=""),"",N153/N152-1)</x:f>
        <x:v>#NAME?</x:v>
      </x:c>
      <x:c r="P153" s="152" t="e">
        <x:f>IF(N153="","",N153/MAX(N$5:N153)-1)</x:f>
        <x:v>#NAME?</x:v>
      </x:c>
      <x:c r="Q153" s="146" t="e">
        <x:f>IF(OR('实盘净值数据(iFinD公式)'!$A153="",'实盘净值数据(iFinD公式)'!$B153=""),"",分期持仓明细!$AD$25*SUMPRODUCT(分期持仓明细!$B$25:$AA$25,'实盘净值数据(iFinD公式)'!$B153:$AA153/'实盘净值数据(iFinD公式)'!$B$65:$AA$65)*(1-实盘持仓初始配置!$Z$9)^(('实盘净值数据(iFinD公式)'!$A153-'实盘净值数据(iFinD公式)'!$A$8)/365))</x:f>
        <x:v>#NAME?</x:v>
      </x:c>
      <x:c r="R153" s="152" t="e">
        <x:f>IF(OR(Q152="",Q153=""),"",Q153/Q152-1)</x:f>
        <x:v>#NAME?</x:v>
      </x:c>
      <x:c r="S153" s="152" t="e">
        <x:f>IF(Q153="","",Q153/MAX(Q$5:Q153)-1)</x:f>
        <x:v>#NAME?</x:v>
      </x:c>
    </x:row>
    <x:row r="154">
      <x:c r="A154" s="149" t="str">
        <x:f>IF('实盘净值数据(iFinD公式)'!A154="","",'实盘净值数据(iFinD公式)'!A154)</x:f>
      </x:c>
      <x:c r="B154" s="146" t="e">
        <x:f>IF(OR('实盘净值数据(iFinD公式)'!$A154="",'实盘净值数据(iFinD公式)'!$B154=""),"",分期持仓明细!$AD$17*SUMPRODUCT(分期持仓明细!$B$17:$AA$17,'实盘净值数据(iFinD公式)'!$B154:$AA154/'实盘净值数据(iFinD公式)'!$B$20:$AA$20)*(1-实盘持仓初始配置!$Z$4)^(('实盘净值数据(iFinD公式)'!$A154-'实盘净值数据(iFinD公式)'!$A$6)/365))</x:f>
        <x:v>#NAME?</x:v>
      </x:c>
      <x:c r="C154" s="152" t="e">
        <x:f>IF(OR(B153="",B154=""),"",B154/B153-1)</x:f>
        <x:v>#NAME?</x:v>
      </x:c>
      <x:c r="D154" s="152" t="e">
        <x:f>IF(B154="","",B154/MAX(B$5:B154)-1)</x:f>
        <x:v>#NAME?</x:v>
      </x:c>
      <x:c r="E154" s="146" t="e">
        <x:f>IF(OR('实盘净值数据(iFinD公式)'!$A154="",'实盘净值数据(iFinD公式)'!$B154=""),"",分期持仓明细!$AD$18*SUMPRODUCT(分期持仓明细!$B$18:$AA$18,'实盘净值数据(iFinD公式)'!$B154:$AA154/'实盘净值数据(iFinD公式)'!$B$20:$AA$20)*(1-实盘持仓初始配置!$Z$5)^(('实盘净值数据(iFinD公式)'!$A154-'实盘净值数据(iFinD公式)'!$A$5)/365))</x:f>
        <x:v>#NAME?</x:v>
      </x:c>
      <x:c r="F154" s="152" t="e">
        <x:f>IF(OR(E153="",E154=""),"",E154/E153-1)</x:f>
        <x:v>#NAME?</x:v>
      </x:c>
      <x:c r="G154" s="152" t="e">
        <x:f>IF(E154="","",E154/MAX(E$5:E154)-1)</x:f>
        <x:v>#NAME?</x:v>
      </x:c>
      <x:c r="H154" s="146" t="e">
        <x:f>IF(OR('实盘净值数据(iFinD公式)'!$A154="",'实盘净值数据(iFinD公式)'!$B154=""),"",分期持仓明细!$AD$19*SUMPRODUCT(分期持仓明细!$B$19:$AA$19,'实盘净值数据(iFinD公式)'!$B154:$AA154/'实盘净值数据(iFinD公式)'!$B$20:$AA$20)*(1-实盘持仓初始配置!$Z$6)^(('实盘净值数据(iFinD公式)'!$A154-'实盘净值数据(iFinD公式)'!$A$7)/365))</x:f>
        <x:v>#NAME?</x:v>
      </x:c>
      <x:c r="I154" s="152" t="e">
        <x:f>IF(OR(H153="",H154=""),"",H154/H153-1)</x:f>
        <x:v>#NAME?</x:v>
      </x:c>
      <x:c r="J154" s="152" t="e">
        <x:f>IF(H154="","",H154/MAX(H$5:H154)-1)</x:f>
        <x:v>#NAME?</x:v>
      </x:c>
      <x:c r="K154" s="146" t="e">
        <x:f>IF(OR('实盘净值数据(iFinD公式)'!$A154="",'实盘净值数据(iFinD公式)'!$B154=""),"",分期持仓明细!$AD$23*SUMPRODUCT(分期持仓明细!$B$23:$AA$23,'实盘净值数据(iFinD公式)'!$B154:$AA154/'实盘净值数据(iFinD公式)'!$B$65:$AA$65)*(1-实盘持仓初始配置!$Z$7)^(('实盘净值数据(iFinD公式)'!$A154-'实盘净值数据(iFinD公式)'!$A$8)/365))</x:f>
        <x:v>#NAME?</x:v>
      </x:c>
      <x:c r="L154" s="152" t="e">
        <x:f>IF(OR(K153="",K154=""),"",K154/K153-1)</x:f>
        <x:v>#NAME?</x:v>
      </x:c>
      <x:c r="M154" s="152" t="e">
        <x:f>IF(K154="","",K154/MAX(K$5:K154)-1)</x:f>
        <x:v>#NAME?</x:v>
      </x:c>
      <x:c r="N154" s="146" t="e">
        <x:f>IF(OR('实盘净值数据(iFinD公式)'!$A154="",'实盘净值数据(iFinD公式)'!$B154=""),"",分期持仓明细!$AD$24*SUMPRODUCT(分期持仓明细!$B$24:$AA$24,'实盘净值数据(iFinD公式)'!$B154:$AA154/'实盘净值数据(iFinD公式)'!$B$65:$AA$65)*(1-实盘持仓初始配置!$Z$8)^(('实盘净值数据(iFinD公式)'!$A154-'实盘净值数据(iFinD公式)'!$A$5)/365))</x:f>
        <x:v>#NAME?</x:v>
      </x:c>
      <x:c r="O154" s="152" t="e">
        <x:f>IF(OR(N153="",N154=""),"",N154/N153-1)</x:f>
        <x:v>#NAME?</x:v>
      </x:c>
      <x:c r="P154" s="152" t="e">
        <x:f>IF(N154="","",N154/MAX(N$5:N154)-1)</x:f>
        <x:v>#NAME?</x:v>
      </x:c>
      <x:c r="Q154" s="146" t="e">
        <x:f>IF(OR('实盘净值数据(iFinD公式)'!$A154="",'实盘净值数据(iFinD公式)'!$B154=""),"",分期持仓明细!$AD$25*SUMPRODUCT(分期持仓明细!$B$25:$AA$25,'实盘净值数据(iFinD公式)'!$B154:$AA154/'实盘净值数据(iFinD公式)'!$B$65:$AA$65)*(1-实盘持仓初始配置!$Z$9)^(('实盘净值数据(iFinD公式)'!$A154-'实盘净值数据(iFinD公式)'!$A$8)/365))</x:f>
        <x:v>#NAME?</x:v>
      </x:c>
      <x:c r="R154" s="152" t="e">
        <x:f>IF(OR(Q153="",Q154=""),"",Q154/Q153-1)</x:f>
        <x:v>#NAME?</x:v>
      </x:c>
      <x:c r="S154" s="152" t="e">
        <x:f>IF(Q154="","",Q154/MAX(Q$5:Q154)-1)</x:f>
        <x:v>#NAME?</x:v>
      </x:c>
    </x:row>
    <x:row r="155">
      <x:c r="A155" s="149" t="str">
        <x:f>IF('实盘净值数据(iFinD公式)'!A155="","",'实盘净值数据(iFinD公式)'!A155)</x:f>
      </x:c>
      <x:c r="B155" s="146" t="e">
        <x:f>IF(OR('实盘净值数据(iFinD公式)'!$A155="",'实盘净值数据(iFinD公式)'!$B155=""),"",分期持仓明细!$AD$17*SUMPRODUCT(分期持仓明细!$B$17:$AA$17,'实盘净值数据(iFinD公式)'!$B155:$AA155/'实盘净值数据(iFinD公式)'!$B$20:$AA$20)*(1-实盘持仓初始配置!$Z$4)^(('实盘净值数据(iFinD公式)'!$A155-'实盘净值数据(iFinD公式)'!$A$6)/365))</x:f>
        <x:v>#NAME?</x:v>
      </x:c>
      <x:c r="C155" s="152" t="e">
        <x:f>IF(OR(B154="",B155=""),"",B155/B154-1)</x:f>
        <x:v>#NAME?</x:v>
      </x:c>
      <x:c r="D155" s="152" t="e">
        <x:f>IF(B155="","",B155/MAX(B$5:B155)-1)</x:f>
        <x:v>#NAME?</x:v>
      </x:c>
      <x:c r="E155" s="146" t="e">
        <x:f>IF(OR('实盘净值数据(iFinD公式)'!$A155="",'实盘净值数据(iFinD公式)'!$B155=""),"",分期持仓明细!$AD$18*SUMPRODUCT(分期持仓明细!$B$18:$AA$18,'实盘净值数据(iFinD公式)'!$B155:$AA155/'实盘净值数据(iFinD公式)'!$B$20:$AA$20)*(1-实盘持仓初始配置!$Z$5)^(('实盘净值数据(iFinD公式)'!$A155-'实盘净值数据(iFinD公式)'!$A$5)/365))</x:f>
        <x:v>#NAME?</x:v>
      </x:c>
      <x:c r="F155" s="152" t="e">
        <x:f>IF(OR(E154="",E155=""),"",E155/E154-1)</x:f>
        <x:v>#NAME?</x:v>
      </x:c>
      <x:c r="G155" s="152" t="e">
        <x:f>IF(E155="","",E155/MAX(E$5:E155)-1)</x:f>
        <x:v>#NAME?</x:v>
      </x:c>
      <x:c r="H155" s="146" t="e">
        <x:f>IF(OR('实盘净值数据(iFinD公式)'!$A155="",'实盘净值数据(iFinD公式)'!$B155=""),"",分期持仓明细!$AD$19*SUMPRODUCT(分期持仓明细!$B$19:$AA$19,'实盘净值数据(iFinD公式)'!$B155:$AA155/'实盘净值数据(iFinD公式)'!$B$20:$AA$20)*(1-实盘持仓初始配置!$Z$6)^(('实盘净值数据(iFinD公式)'!$A155-'实盘净值数据(iFinD公式)'!$A$7)/365))</x:f>
        <x:v>#NAME?</x:v>
      </x:c>
      <x:c r="I155" s="152" t="e">
        <x:f>IF(OR(H154="",H155=""),"",H155/H154-1)</x:f>
        <x:v>#NAME?</x:v>
      </x:c>
      <x:c r="J155" s="152" t="e">
        <x:f>IF(H155="","",H155/MAX(H$5:H155)-1)</x:f>
        <x:v>#NAME?</x:v>
      </x:c>
      <x:c r="K155" s="146" t="e">
        <x:f>IF(OR('实盘净值数据(iFinD公式)'!$A155="",'实盘净值数据(iFinD公式)'!$B155=""),"",分期持仓明细!$AD$23*SUMPRODUCT(分期持仓明细!$B$23:$AA$23,'实盘净值数据(iFinD公式)'!$B155:$AA155/'实盘净值数据(iFinD公式)'!$B$65:$AA$65)*(1-实盘持仓初始配置!$Z$7)^(('实盘净值数据(iFinD公式)'!$A155-'实盘净值数据(iFinD公式)'!$A$8)/365))</x:f>
        <x:v>#NAME?</x:v>
      </x:c>
      <x:c r="L155" s="152" t="e">
        <x:f>IF(OR(K154="",K155=""),"",K155/K154-1)</x:f>
        <x:v>#NAME?</x:v>
      </x:c>
      <x:c r="M155" s="152" t="e">
        <x:f>IF(K155="","",K155/MAX(K$5:K155)-1)</x:f>
        <x:v>#NAME?</x:v>
      </x:c>
      <x:c r="N155" s="146" t="e">
        <x:f>IF(OR('实盘净值数据(iFinD公式)'!$A155="",'实盘净值数据(iFinD公式)'!$B155=""),"",分期持仓明细!$AD$24*SUMPRODUCT(分期持仓明细!$B$24:$AA$24,'实盘净值数据(iFinD公式)'!$B155:$AA155/'实盘净值数据(iFinD公式)'!$B$65:$AA$65)*(1-实盘持仓初始配置!$Z$8)^(('实盘净值数据(iFinD公式)'!$A155-'实盘净值数据(iFinD公式)'!$A$5)/365))</x:f>
        <x:v>#NAME?</x:v>
      </x:c>
      <x:c r="O155" s="152" t="e">
        <x:f>IF(OR(N154="",N155=""),"",N155/N154-1)</x:f>
        <x:v>#NAME?</x:v>
      </x:c>
      <x:c r="P155" s="152" t="e">
        <x:f>IF(N155="","",N155/MAX(N$5:N155)-1)</x:f>
        <x:v>#NAME?</x:v>
      </x:c>
      <x:c r="Q155" s="146" t="e">
        <x:f>IF(OR('实盘净值数据(iFinD公式)'!$A155="",'实盘净值数据(iFinD公式)'!$B155=""),"",分期持仓明细!$AD$25*SUMPRODUCT(分期持仓明细!$B$25:$AA$25,'实盘净值数据(iFinD公式)'!$B155:$AA155/'实盘净值数据(iFinD公式)'!$B$65:$AA$65)*(1-实盘持仓初始配置!$Z$9)^(('实盘净值数据(iFinD公式)'!$A155-'实盘净值数据(iFinD公式)'!$A$8)/365))</x:f>
        <x:v>#NAME?</x:v>
      </x:c>
      <x:c r="R155" s="152" t="e">
        <x:f>IF(OR(Q154="",Q155=""),"",Q155/Q154-1)</x:f>
        <x:v>#NAME?</x:v>
      </x:c>
      <x:c r="S155" s="152" t="e">
        <x:f>IF(Q155="","",Q155/MAX(Q$5:Q155)-1)</x:f>
        <x:v>#NAME?</x:v>
      </x:c>
    </x:row>
    <x:row r="156">
      <x:c r="A156" s="149" t="str">
        <x:f>IF('实盘净值数据(iFinD公式)'!A156="","",'实盘净值数据(iFinD公式)'!A156)</x:f>
      </x:c>
      <x:c r="B156" s="146" t="e">
        <x:f>IF(OR('实盘净值数据(iFinD公式)'!$A156="",'实盘净值数据(iFinD公式)'!$B156=""),"",分期持仓明细!$AD$17*SUMPRODUCT(分期持仓明细!$B$17:$AA$17,'实盘净值数据(iFinD公式)'!$B156:$AA156/'实盘净值数据(iFinD公式)'!$B$20:$AA$20)*(1-实盘持仓初始配置!$Z$4)^(('实盘净值数据(iFinD公式)'!$A156-'实盘净值数据(iFinD公式)'!$A$6)/365))</x:f>
        <x:v>#NAME?</x:v>
      </x:c>
      <x:c r="C156" s="152" t="e">
        <x:f>IF(OR(B155="",B156=""),"",B156/B155-1)</x:f>
        <x:v>#NAME?</x:v>
      </x:c>
      <x:c r="D156" s="152" t="e">
        <x:f>IF(B156="","",B156/MAX(B$5:B156)-1)</x:f>
        <x:v>#NAME?</x:v>
      </x:c>
      <x:c r="E156" s="146" t="e">
        <x:f>IF(OR('实盘净值数据(iFinD公式)'!$A156="",'实盘净值数据(iFinD公式)'!$B156=""),"",分期持仓明细!$AD$18*SUMPRODUCT(分期持仓明细!$B$18:$AA$18,'实盘净值数据(iFinD公式)'!$B156:$AA156/'实盘净值数据(iFinD公式)'!$B$20:$AA$20)*(1-实盘持仓初始配置!$Z$5)^(('实盘净值数据(iFinD公式)'!$A156-'实盘净值数据(iFinD公式)'!$A$5)/365))</x:f>
        <x:v>#NAME?</x:v>
      </x:c>
      <x:c r="F156" s="152" t="e">
        <x:f>IF(OR(E155="",E156=""),"",E156/E155-1)</x:f>
        <x:v>#NAME?</x:v>
      </x:c>
      <x:c r="G156" s="152" t="e">
        <x:f>IF(E156="","",E156/MAX(E$5:E156)-1)</x:f>
        <x:v>#NAME?</x:v>
      </x:c>
      <x:c r="H156" s="146" t="e">
        <x:f>IF(OR('实盘净值数据(iFinD公式)'!$A156="",'实盘净值数据(iFinD公式)'!$B156=""),"",分期持仓明细!$AD$19*SUMPRODUCT(分期持仓明细!$B$19:$AA$19,'实盘净值数据(iFinD公式)'!$B156:$AA156/'实盘净值数据(iFinD公式)'!$B$20:$AA$20)*(1-实盘持仓初始配置!$Z$6)^(('实盘净值数据(iFinD公式)'!$A156-'实盘净值数据(iFinD公式)'!$A$7)/365))</x:f>
        <x:v>#NAME?</x:v>
      </x:c>
      <x:c r="I156" s="152" t="e">
        <x:f>IF(OR(H155="",H156=""),"",H156/H155-1)</x:f>
        <x:v>#NAME?</x:v>
      </x:c>
      <x:c r="J156" s="152" t="e">
        <x:f>IF(H156="","",H156/MAX(H$5:H156)-1)</x:f>
        <x:v>#NAME?</x:v>
      </x:c>
      <x:c r="K156" s="146" t="e">
        <x:f>IF(OR('实盘净值数据(iFinD公式)'!$A156="",'实盘净值数据(iFinD公式)'!$B156=""),"",分期持仓明细!$AD$23*SUMPRODUCT(分期持仓明细!$B$23:$AA$23,'实盘净值数据(iFinD公式)'!$B156:$AA156/'实盘净值数据(iFinD公式)'!$B$65:$AA$65)*(1-实盘持仓初始配置!$Z$7)^(('实盘净值数据(iFinD公式)'!$A156-'实盘净值数据(iFinD公式)'!$A$8)/365))</x:f>
        <x:v>#NAME?</x:v>
      </x:c>
      <x:c r="L156" s="152" t="e">
        <x:f>IF(OR(K155="",K156=""),"",K156/K155-1)</x:f>
        <x:v>#NAME?</x:v>
      </x:c>
      <x:c r="M156" s="152" t="e">
        <x:f>IF(K156="","",K156/MAX(K$5:K156)-1)</x:f>
        <x:v>#NAME?</x:v>
      </x:c>
      <x:c r="N156" s="146" t="e">
        <x:f>IF(OR('实盘净值数据(iFinD公式)'!$A156="",'实盘净值数据(iFinD公式)'!$B156=""),"",分期持仓明细!$AD$24*SUMPRODUCT(分期持仓明细!$B$24:$AA$24,'实盘净值数据(iFinD公式)'!$B156:$AA156/'实盘净值数据(iFinD公式)'!$B$65:$AA$65)*(1-实盘持仓初始配置!$Z$8)^(('实盘净值数据(iFinD公式)'!$A156-'实盘净值数据(iFinD公式)'!$A$5)/365))</x:f>
        <x:v>#NAME?</x:v>
      </x:c>
      <x:c r="O156" s="152" t="e">
        <x:f>IF(OR(N155="",N156=""),"",N156/N155-1)</x:f>
        <x:v>#NAME?</x:v>
      </x:c>
      <x:c r="P156" s="152" t="e">
        <x:f>IF(N156="","",N156/MAX(N$5:N156)-1)</x:f>
        <x:v>#NAME?</x:v>
      </x:c>
      <x:c r="Q156" s="146" t="e">
        <x:f>IF(OR('实盘净值数据(iFinD公式)'!$A156="",'实盘净值数据(iFinD公式)'!$B156=""),"",分期持仓明细!$AD$25*SUMPRODUCT(分期持仓明细!$B$25:$AA$25,'实盘净值数据(iFinD公式)'!$B156:$AA156/'实盘净值数据(iFinD公式)'!$B$65:$AA$65)*(1-实盘持仓初始配置!$Z$9)^(('实盘净值数据(iFinD公式)'!$A156-'实盘净值数据(iFinD公式)'!$A$8)/365))</x:f>
        <x:v>#NAME?</x:v>
      </x:c>
      <x:c r="R156" s="152" t="e">
        <x:f>IF(OR(Q155="",Q156=""),"",Q156/Q155-1)</x:f>
        <x:v>#NAME?</x:v>
      </x:c>
      <x:c r="S156" s="152" t="e">
        <x:f>IF(Q156="","",Q156/MAX(Q$5:Q156)-1)</x:f>
        <x:v>#NAME?</x:v>
      </x:c>
    </x:row>
    <x:row r="157">
      <x:c r="A157" s="149" t="str">
        <x:f>IF('实盘净值数据(iFinD公式)'!A157="","",'实盘净值数据(iFinD公式)'!A157)</x:f>
      </x:c>
      <x:c r="B157" s="146" t="e">
        <x:f>IF(OR('实盘净值数据(iFinD公式)'!$A157="",'实盘净值数据(iFinD公式)'!$B157=""),"",分期持仓明细!$AD$17*SUMPRODUCT(分期持仓明细!$B$17:$AA$17,'实盘净值数据(iFinD公式)'!$B157:$AA157/'实盘净值数据(iFinD公式)'!$B$20:$AA$20)*(1-实盘持仓初始配置!$Z$4)^(('实盘净值数据(iFinD公式)'!$A157-'实盘净值数据(iFinD公式)'!$A$6)/365))</x:f>
        <x:v>#NAME?</x:v>
      </x:c>
      <x:c r="C157" s="152" t="e">
        <x:f>IF(OR(B156="",B157=""),"",B157/B156-1)</x:f>
        <x:v>#NAME?</x:v>
      </x:c>
      <x:c r="D157" s="152" t="e">
        <x:f>IF(B157="","",B157/MAX(B$5:B157)-1)</x:f>
        <x:v>#NAME?</x:v>
      </x:c>
      <x:c r="E157" s="146" t="e">
        <x:f>IF(OR('实盘净值数据(iFinD公式)'!$A157="",'实盘净值数据(iFinD公式)'!$B157=""),"",分期持仓明细!$AD$18*SUMPRODUCT(分期持仓明细!$B$18:$AA$18,'实盘净值数据(iFinD公式)'!$B157:$AA157/'实盘净值数据(iFinD公式)'!$B$20:$AA$20)*(1-实盘持仓初始配置!$Z$5)^(('实盘净值数据(iFinD公式)'!$A157-'实盘净值数据(iFinD公式)'!$A$5)/365))</x:f>
        <x:v>#NAME?</x:v>
      </x:c>
      <x:c r="F157" s="152" t="e">
        <x:f>IF(OR(E156="",E157=""),"",E157/E156-1)</x:f>
        <x:v>#NAME?</x:v>
      </x:c>
      <x:c r="G157" s="152" t="e">
        <x:f>IF(E157="","",E157/MAX(E$5:E157)-1)</x:f>
        <x:v>#NAME?</x:v>
      </x:c>
      <x:c r="H157" s="146" t="e">
        <x:f>IF(OR('实盘净值数据(iFinD公式)'!$A157="",'实盘净值数据(iFinD公式)'!$B157=""),"",分期持仓明细!$AD$19*SUMPRODUCT(分期持仓明细!$B$19:$AA$19,'实盘净值数据(iFinD公式)'!$B157:$AA157/'实盘净值数据(iFinD公式)'!$B$20:$AA$20)*(1-实盘持仓初始配置!$Z$6)^(('实盘净值数据(iFinD公式)'!$A157-'实盘净值数据(iFinD公式)'!$A$7)/365))</x:f>
        <x:v>#NAME?</x:v>
      </x:c>
      <x:c r="I157" s="152" t="e">
        <x:f>IF(OR(H156="",H157=""),"",H157/H156-1)</x:f>
        <x:v>#NAME?</x:v>
      </x:c>
      <x:c r="J157" s="152" t="e">
        <x:f>IF(H157="","",H157/MAX(H$5:H157)-1)</x:f>
        <x:v>#NAME?</x:v>
      </x:c>
      <x:c r="K157" s="146" t="e">
        <x:f>IF(OR('实盘净值数据(iFinD公式)'!$A157="",'实盘净值数据(iFinD公式)'!$B157=""),"",分期持仓明细!$AD$23*SUMPRODUCT(分期持仓明细!$B$23:$AA$23,'实盘净值数据(iFinD公式)'!$B157:$AA157/'实盘净值数据(iFinD公式)'!$B$65:$AA$65)*(1-实盘持仓初始配置!$Z$7)^(('实盘净值数据(iFinD公式)'!$A157-'实盘净值数据(iFinD公式)'!$A$8)/365))</x:f>
        <x:v>#NAME?</x:v>
      </x:c>
      <x:c r="L157" s="152" t="e">
        <x:f>IF(OR(K156="",K157=""),"",K157/K156-1)</x:f>
        <x:v>#NAME?</x:v>
      </x:c>
      <x:c r="M157" s="152" t="e">
        <x:f>IF(K157="","",K157/MAX(K$5:K157)-1)</x:f>
        <x:v>#NAME?</x:v>
      </x:c>
      <x:c r="N157" s="146" t="e">
        <x:f>IF(OR('实盘净值数据(iFinD公式)'!$A157="",'实盘净值数据(iFinD公式)'!$B157=""),"",分期持仓明细!$AD$24*SUMPRODUCT(分期持仓明细!$B$24:$AA$24,'实盘净值数据(iFinD公式)'!$B157:$AA157/'实盘净值数据(iFinD公式)'!$B$65:$AA$65)*(1-实盘持仓初始配置!$Z$8)^(('实盘净值数据(iFinD公式)'!$A157-'实盘净值数据(iFinD公式)'!$A$5)/365))</x:f>
        <x:v>#NAME?</x:v>
      </x:c>
      <x:c r="O157" s="152" t="e">
        <x:f>IF(OR(N156="",N157=""),"",N157/N156-1)</x:f>
        <x:v>#NAME?</x:v>
      </x:c>
      <x:c r="P157" s="152" t="e">
        <x:f>IF(N157="","",N157/MAX(N$5:N157)-1)</x:f>
        <x:v>#NAME?</x:v>
      </x:c>
      <x:c r="Q157" s="146" t="e">
        <x:f>IF(OR('实盘净值数据(iFinD公式)'!$A157="",'实盘净值数据(iFinD公式)'!$B157=""),"",分期持仓明细!$AD$25*SUMPRODUCT(分期持仓明细!$B$25:$AA$25,'实盘净值数据(iFinD公式)'!$B157:$AA157/'实盘净值数据(iFinD公式)'!$B$65:$AA$65)*(1-实盘持仓初始配置!$Z$9)^(('实盘净值数据(iFinD公式)'!$A157-'实盘净值数据(iFinD公式)'!$A$8)/365))</x:f>
        <x:v>#NAME?</x:v>
      </x:c>
      <x:c r="R157" s="152" t="e">
        <x:f>IF(OR(Q156="",Q157=""),"",Q157/Q156-1)</x:f>
        <x:v>#NAME?</x:v>
      </x:c>
      <x:c r="S157" s="152" t="e">
        <x:f>IF(Q157="","",Q157/MAX(Q$5:Q157)-1)</x:f>
        <x:v>#NAME?</x:v>
      </x:c>
    </x:row>
    <x:row r="158">
      <x:c r="A158" s="149" t="str">
        <x:f>IF('实盘净值数据(iFinD公式)'!A158="","",'实盘净值数据(iFinD公式)'!A158)</x:f>
      </x:c>
      <x:c r="B158" s="146" t="e">
        <x:f>IF(OR('实盘净值数据(iFinD公式)'!$A158="",'实盘净值数据(iFinD公式)'!$B158=""),"",分期持仓明细!$AD$17*SUMPRODUCT(分期持仓明细!$B$17:$AA$17,'实盘净值数据(iFinD公式)'!$B158:$AA158/'实盘净值数据(iFinD公式)'!$B$20:$AA$20)*(1-实盘持仓初始配置!$Z$4)^(('实盘净值数据(iFinD公式)'!$A158-'实盘净值数据(iFinD公式)'!$A$6)/365))</x:f>
        <x:v>#NAME?</x:v>
      </x:c>
      <x:c r="C158" s="152" t="e">
        <x:f>IF(OR(B157="",B158=""),"",B158/B157-1)</x:f>
        <x:v>#NAME?</x:v>
      </x:c>
      <x:c r="D158" s="152" t="e">
        <x:f>IF(B158="","",B158/MAX(B$5:B158)-1)</x:f>
        <x:v>#NAME?</x:v>
      </x:c>
      <x:c r="E158" s="146" t="e">
        <x:f>IF(OR('实盘净值数据(iFinD公式)'!$A158="",'实盘净值数据(iFinD公式)'!$B158=""),"",分期持仓明细!$AD$18*SUMPRODUCT(分期持仓明细!$B$18:$AA$18,'实盘净值数据(iFinD公式)'!$B158:$AA158/'实盘净值数据(iFinD公式)'!$B$20:$AA$20)*(1-实盘持仓初始配置!$Z$5)^(('实盘净值数据(iFinD公式)'!$A158-'实盘净值数据(iFinD公式)'!$A$5)/365))</x:f>
        <x:v>#NAME?</x:v>
      </x:c>
      <x:c r="F158" s="152" t="e">
        <x:f>IF(OR(E157="",E158=""),"",E158/E157-1)</x:f>
        <x:v>#NAME?</x:v>
      </x:c>
      <x:c r="G158" s="152" t="e">
        <x:f>IF(E158="","",E158/MAX(E$5:E158)-1)</x:f>
        <x:v>#NAME?</x:v>
      </x:c>
      <x:c r="H158" s="146" t="e">
        <x:f>IF(OR('实盘净值数据(iFinD公式)'!$A158="",'实盘净值数据(iFinD公式)'!$B158=""),"",分期持仓明细!$AD$19*SUMPRODUCT(分期持仓明细!$B$19:$AA$19,'实盘净值数据(iFinD公式)'!$B158:$AA158/'实盘净值数据(iFinD公式)'!$B$20:$AA$20)*(1-实盘持仓初始配置!$Z$6)^(('实盘净值数据(iFinD公式)'!$A158-'实盘净值数据(iFinD公式)'!$A$7)/365))</x:f>
        <x:v>#NAME?</x:v>
      </x:c>
      <x:c r="I158" s="152" t="e">
        <x:f>IF(OR(H157="",H158=""),"",H158/H157-1)</x:f>
        <x:v>#NAME?</x:v>
      </x:c>
      <x:c r="J158" s="152" t="e">
        <x:f>IF(H158="","",H158/MAX(H$5:H158)-1)</x:f>
        <x:v>#NAME?</x:v>
      </x:c>
      <x:c r="K158" s="146" t="e">
        <x:f>IF(OR('实盘净值数据(iFinD公式)'!$A158="",'实盘净值数据(iFinD公式)'!$B158=""),"",分期持仓明细!$AD$23*SUMPRODUCT(分期持仓明细!$B$23:$AA$23,'实盘净值数据(iFinD公式)'!$B158:$AA158/'实盘净值数据(iFinD公式)'!$B$65:$AA$65)*(1-实盘持仓初始配置!$Z$7)^(('实盘净值数据(iFinD公式)'!$A158-'实盘净值数据(iFinD公式)'!$A$8)/365))</x:f>
        <x:v>#NAME?</x:v>
      </x:c>
      <x:c r="L158" s="152" t="e">
        <x:f>IF(OR(K157="",K158=""),"",K158/K157-1)</x:f>
        <x:v>#NAME?</x:v>
      </x:c>
      <x:c r="M158" s="152" t="e">
        <x:f>IF(K158="","",K158/MAX(K$5:K158)-1)</x:f>
        <x:v>#NAME?</x:v>
      </x:c>
      <x:c r="N158" s="146" t="e">
        <x:f>IF(OR('实盘净值数据(iFinD公式)'!$A158="",'实盘净值数据(iFinD公式)'!$B158=""),"",分期持仓明细!$AD$24*SUMPRODUCT(分期持仓明细!$B$24:$AA$24,'实盘净值数据(iFinD公式)'!$B158:$AA158/'实盘净值数据(iFinD公式)'!$B$65:$AA$65)*(1-实盘持仓初始配置!$Z$8)^(('实盘净值数据(iFinD公式)'!$A158-'实盘净值数据(iFinD公式)'!$A$5)/365))</x:f>
        <x:v>#NAME?</x:v>
      </x:c>
      <x:c r="O158" s="152" t="e">
        <x:f>IF(OR(N157="",N158=""),"",N158/N157-1)</x:f>
        <x:v>#NAME?</x:v>
      </x:c>
      <x:c r="P158" s="152" t="e">
        <x:f>IF(N158="","",N158/MAX(N$5:N158)-1)</x:f>
        <x:v>#NAME?</x:v>
      </x:c>
      <x:c r="Q158" s="146" t="e">
        <x:f>IF(OR('实盘净值数据(iFinD公式)'!$A158="",'实盘净值数据(iFinD公式)'!$B158=""),"",分期持仓明细!$AD$25*SUMPRODUCT(分期持仓明细!$B$25:$AA$25,'实盘净值数据(iFinD公式)'!$B158:$AA158/'实盘净值数据(iFinD公式)'!$B$65:$AA$65)*(1-实盘持仓初始配置!$Z$9)^(('实盘净值数据(iFinD公式)'!$A158-'实盘净值数据(iFinD公式)'!$A$8)/365))</x:f>
        <x:v>#NAME?</x:v>
      </x:c>
      <x:c r="R158" s="152" t="e">
        <x:f>IF(OR(Q157="",Q158=""),"",Q158/Q157-1)</x:f>
        <x:v>#NAME?</x:v>
      </x:c>
      <x:c r="S158" s="152" t="e">
        <x:f>IF(Q158="","",Q158/MAX(Q$5:Q158)-1)</x:f>
        <x:v>#NAME?</x:v>
      </x:c>
    </x:row>
    <x:row r="159">
      <x:c r="A159" s="149" t="str">
        <x:f>IF('实盘净值数据(iFinD公式)'!A159="","",'实盘净值数据(iFinD公式)'!A159)</x:f>
      </x:c>
      <x:c r="B159" s="146" t="e">
        <x:f>IF(OR('实盘净值数据(iFinD公式)'!$A159="",'实盘净值数据(iFinD公式)'!$B159=""),"",分期持仓明细!$AD$17*SUMPRODUCT(分期持仓明细!$B$17:$AA$17,'实盘净值数据(iFinD公式)'!$B159:$AA159/'实盘净值数据(iFinD公式)'!$B$20:$AA$20)*(1-实盘持仓初始配置!$Z$4)^(('实盘净值数据(iFinD公式)'!$A159-'实盘净值数据(iFinD公式)'!$A$6)/365))</x:f>
        <x:v>#NAME?</x:v>
      </x:c>
      <x:c r="C159" s="152" t="e">
        <x:f>IF(OR(B158="",B159=""),"",B159/B158-1)</x:f>
        <x:v>#NAME?</x:v>
      </x:c>
      <x:c r="D159" s="152" t="e">
        <x:f>IF(B159="","",B159/MAX(B$5:B159)-1)</x:f>
        <x:v>#NAME?</x:v>
      </x:c>
      <x:c r="E159" s="146" t="e">
        <x:f>IF(OR('实盘净值数据(iFinD公式)'!$A159="",'实盘净值数据(iFinD公式)'!$B159=""),"",分期持仓明细!$AD$18*SUMPRODUCT(分期持仓明细!$B$18:$AA$18,'实盘净值数据(iFinD公式)'!$B159:$AA159/'实盘净值数据(iFinD公式)'!$B$20:$AA$20)*(1-实盘持仓初始配置!$Z$5)^(('实盘净值数据(iFinD公式)'!$A159-'实盘净值数据(iFinD公式)'!$A$5)/365))</x:f>
        <x:v>#NAME?</x:v>
      </x:c>
      <x:c r="F159" s="152" t="e">
        <x:f>IF(OR(E158="",E159=""),"",E159/E158-1)</x:f>
        <x:v>#NAME?</x:v>
      </x:c>
      <x:c r="G159" s="152" t="e">
        <x:f>IF(E159="","",E159/MAX(E$5:E159)-1)</x:f>
        <x:v>#NAME?</x:v>
      </x:c>
      <x:c r="H159" s="146" t="e">
        <x:f>IF(OR('实盘净值数据(iFinD公式)'!$A159="",'实盘净值数据(iFinD公式)'!$B159=""),"",分期持仓明细!$AD$19*SUMPRODUCT(分期持仓明细!$B$19:$AA$19,'实盘净值数据(iFinD公式)'!$B159:$AA159/'实盘净值数据(iFinD公式)'!$B$20:$AA$20)*(1-实盘持仓初始配置!$Z$6)^(('实盘净值数据(iFinD公式)'!$A159-'实盘净值数据(iFinD公式)'!$A$7)/365))</x:f>
        <x:v>#NAME?</x:v>
      </x:c>
      <x:c r="I159" s="152" t="e">
        <x:f>IF(OR(H158="",H159=""),"",H159/H158-1)</x:f>
        <x:v>#NAME?</x:v>
      </x:c>
      <x:c r="J159" s="152" t="e">
        <x:f>IF(H159="","",H159/MAX(H$5:H159)-1)</x:f>
        <x:v>#NAME?</x:v>
      </x:c>
      <x:c r="K159" s="146" t="e">
        <x:f>IF(OR('实盘净值数据(iFinD公式)'!$A159="",'实盘净值数据(iFinD公式)'!$B159=""),"",分期持仓明细!$AD$23*SUMPRODUCT(分期持仓明细!$B$23:$AA$23,'实盘净值数据(iFinD公式)'!$B159:$AA159/'实盘净值数据(iFinD公式)'!$B$65:$AA$65)*(1-实盘持仓初始配置!$Z$7)^(('实盘净值数据(iFinD公式)'!$A159-'实盘净值数据(iFinD公式)'!$A$8)/365))</x:f>
        <x:v>#NAME?</x:v>
      </x:c>
      <x:c r="L159" s="152" t="e">
        <x:f>IF(OR(K158="",K159=""),"",K159/K158-1)</x:f>
        <x:v>#NAME?</x:v>
      </x:c>
      <x:c r="M159" s="152" t="e">
        <x:f>IF(K159="","",K159/MAX(K$5:K159)-1)</x:f>
        <x:v>#NAME?</x:v>
      </x:c>
      <x:c r="N159" s="146" t="e">
        <x:f>IF(OR('实盘净值数据(iFinD公式)'!$A159="",'实盘净值数据(iFinD公式)'!$B159=""),"",分期持仓明细!$AD$24*SUMPRODUCT(分期持仓明细!$B$24:$AA$24,'实盘净值数据(iFinD公式)'!$B159:$AA159/'实盘净值数据(iFinD公式)'!$B$65:$AA$65)*(1-实盘持仓初始配置!$Z$8)^(('实盘净值数据(iFinD公式)'!$A159-'实盘净值数据(iFinD公式)'!$A$5)/365))</x:f>
        <x:v>#NAME?</x:v>
      </x:c>
      <x:c r="O159" s="152" t="e">
        <x:f>IF(OR(N158="",N159=""),"",N159/N158-1)</x:f>
        <x:v>#NAME?</x:v>
      </x:c>
      <x:c r="P159" s="152" t="e">
        <x:f>IF(N159="","",N159/MAX(N$5:N159)-1)</x:f>
        <x:v>#NAME?</x:v>
      </x:c>
      <x:c r="Q159" s="146" t="e">
        <x:f>IF(OR('实盘净值数据(iFinD公式)'!$A159="",'实盘净值数据(iFinD公式)'!$B159=""),"",分期持仓明细!$AD$25*SUMPRODUCT(分期持仓明细!$B$25:$AA$25,'实盘净值数据(iFinD公式)'!$B159:$AA159/'实盘净值数据(iFinD公式)'!$B$65:$AA$65)*(1-实盘持仓初始配置!$Z$9)^(('实盘净值数据(iFinD公式)'!$A159-'实盘净值数据(iFinD公式)'!$A$8)/365))</x:f>
        <x:v>#NAME?</x:v>
      </x:c>
      <x:c r="R159" s="152" t="e">
        <x:f>IF(OR(Q158="",Q159=""),"",Q159/Q158-1)</x:f>
        <x:v>#NAME?</x:v>
      </x:c>
      <x:c r="S159" s="152" t="e">
        <x:f>IF(Q159="","",Q159/MAX(Q$5:Q159)-1)</x:f>
        <x:v>#NAME?</x:v>
      </x:c>
    </x:row>
    <x:row r="160">
      <x:c r="A160" s="149" t="str">
        <x:f>IF('实盘净值数据(iFinD公式)'!A160="","",'实盘净值数据(iFinD公式)'!A160)</x:f>
      </x:c>
      <x:c r="B160" s="146" t="e">
        <x:f>IF(OR('实盘净值数据(iFinD公式)'!$A160="",'实盘净值数据(iFinD公式)'!$B160=""),"",分期持仓明细!$AD$17*SUMPRODUCT(分期持仓明细!$B$17:$AA$17,'实盘净值数据(iFinD公式)'!$B160:$AA160/'实盘净值数据(iFinD公式)'!$B$20:$AA$20)*(1-实盘持仓初始配置!$Z$4)^(('实盘净值数据(iFinD公式)'!$A160-'实盘净值数据(iFinD公式)'!$A$6)/365))</x:f>
        <x:v>#NAME?</x:v>
      </x:c>
      <x:c r="C160" s="152" t="e">
        <x:f>IF(OR(B159="",B160=""),"",B160/B159-1)</x:f>
        <x:v>#NAME?</x:v>
      </x:c>
      <x:c r="D160" s="152" t="e">
        <x:f>IF(B160="","",B160/MAX(B$5:B160)-1)</x:f>
        <x:v>#NAME?</x:v>
      </x:c>
      <x:c r="E160" s="146" t="e">
        <x:f>IF(OR('实盘净值数据(iFinD公式)'!$A160="",'实盘净值数据(iFinD公式)'!$B160=""),"",分期持仓明细!$AD$18*SUMPRODUCT(分期持仓明细!$B$18:$AA$18,'实盘净值数据(iFinD公式)'!$B160:$AA160/'实盘净值数据(iFinD公式)'!$B$20:$AA$20)*(1-实盘持仓初始配置!$Z$5)^(('实盘净值数据(iFinD公式)'!$A160-'实盘净值数据(iFinD公式)'!$A$5)/365))</x:f>
        <x:v>#NAME?</x:v>
      </x:c>
      <x:c r="F160" s="152" t="e">
        <x:f>IF(OR(E159="",E160=""),"",E160/E159-1)</x:f>
        <x:v>#NAME?</x:v>
      </x:c>
      <x:c r="G160" s="152" t="e">
        <x:f>IF(E160="","",E160/MAX(E$5:E160)-1)</x:f>
        <x:v>#NAME?</x:v>
      </x:c>
      <x:c r="H160" s="146" t="e">
        <x:f>IF(OR('实盘净值数据(iFinD公式)'!$A160="",'实盘净值数据(iFinD公式)'!$B160=""),"",分期持仓明细!$AD$19*SUMPRODUCT(分期持仓明细!$B$19:$AA$19,'实盘净值数据(iFinD公式)'!$B160:$AA160/'实盘净值数据(iFinD公式)'!$B$20:$AA$20)*(1-实盘持仓初始配置!$Z$6)^(('实盘净值数据(iFinD公式)'!$A160-'实盘净值数据(iFinD公式)'!$A$7)/365))</x:f>
        <x:v>#NAME?</x:v>
      </x:c>
      <x:c r="I160" s="152" t="e">
        <x:f>IF(OR(H159="",H160=""),"",H160/H159-1)</x:f>
        <x:v>#NAME?</x:v>
      </x:c>
      <x:c r="J160" s="152" t="e">
        <x:f>IF(H160="","",H160/MAX(H$5:H160)-1)</x:f>
        <x:v>#NAME?</x:v>
      </x:c>
      <x:c r="K160" s="146" t="e">
        <x:f>IF(OR('实盘净值数据(iFinD公式)'!$A160="",'实盘净值数据(iFinD公式)'!$B160=""),"",分期持仓明细!$AD$23*SUMPRODUCT(分期持仓明细!$B$23:$AA$23,'实盘净值数据(iFinD公式)'!$B160:$AA160/'实盘净值数据(iFinD公式)'!$B$65:$AA$65)*(1-实盘持仓初始配置!$Z$7)^(('实盘净值数据(iFinD公式)'!$A160-'实盘净值数据(iFinD公式)'!$A$8)/365))</x:f>
        <x:v>#NAME?</x:v>
      </x:c>
      <x:c r="L160" s="152" t="e">
        <x:f>IF(OR(K159="",K160=""),"",K160/K159-1)</x:f>
        <x:v>#NAME?</x:v>
      </x:c>
      <x:c r="M160" s="152" t="e">
        <x:f>IF(K160="","",K160/MAX(K$5:K160)-1)</x:f>
        <x:v>#NAME?</x:v>
      </x:c>
      <x:c r="N160" s="146" t="e">
        <x:f>IF(OR('实盘净值数据(iFinD公式)'!$A160="",'实盘净值数据(iFinD公式)'!$B160=""),"",分期持仓明细!$AD$24*SUMPRODUCT(分期持仓明细!$B$24:$AA$24,'实盘净值数据(iFinD公式)'!$B160:$AA160/'实盘净值数据(iFinD公式)'!$B$65:$AA$65)*(1-实盘持仓初始配置!$Z$8)^(('实盘净值数据(iFinD公式)'!$A160-'实盘净值数据(iFinD公式)'!$A$5)/365))</x:f>
        <x:v>#NAME?</x:v>
      </x:c>
      <x:c r="O160" s="152" t="e">
        <x:f>IF(OR(N159="",N160=""),"",N160/N159-1)</x:f>
        <x:v>#NAME?</x:v>
      </x:c>
      <x:c r="P160" s="152" t="e">
        <x:f>IF(N160="","",N160/MAX(N$5:N160)-1)</x:f>
        <x:v>#NAME?</x:v>
      </x:c>
      <x:c r="Q160" s="146" t="e">
        <x:f>IF(OR('实盘净值数据(iFinD公式)'!$A160="",'实盘净值数据(iFinD公式)'!$B160=""),"",分期持仓明细!$AD$25*SUMPRODUCT(分期持仓明细!$B$25:$AA$25,'实盘净值数据(iFinD公式)'!$B160:$AA160/'实盘净值数据(iFinD公式)'!$B$65:$AA$65)*(1-实盘持仓初始配置!$Z$9)^(('实盘净值数据(iFinD公式)'!$A160-'实盘净值数据(iFinD公式)'!$A$8)/365))</x:f>
        <x:v>#NAME?</x:v>
      </x:c>
      <x:c r="R160" s="152" t="e">
        <x:f>IF(OR(Q159="",Q160=""),"",Q160/Q159-1)</x:f>
        <x:v>#NAME?</x:v>
      </x:c>
      <x:c r="S160" s="152" t="e">
        <x:f>IF(Q160="","",Q160/MAX(Q$5:Q160)-1)</x:f>
        <x:v>#NAME?</x:v>
      </x:c>
    </x:row>
    <x:row r="161">
      <x:c r="A161" s="149" t="str">
        <x:f>IF('实盘净值数据(iFinD公式)'!A161="","",'实盘净值数据(iFinD公式)'!A161)</x:f>
      </x:c>
      <x:c r="B161" s="146" t="e">
        <x:f>IF(OR('实盘净值数据(iFinD公式)'!$A161="",'实盘净值数据(iFinD公式)'!$B161=""),"",分期持仓明细!$AD$17*SUMPRODUCT(分期持仓明细!$B$17:$AA$17,'实盘净值数据(iFinD公式)'!$B161:$AA161/'实盘净值数据(iFinD公式)'!$B$20:$AA$20)*(1-实盘持仓初始配置!$Z$4)^(('实盘净值数据(iFinD公式)'!$A161-'实盘净值数据(iFinD公式)'!$A$6)/365))</x:f>
        <x:v>#NAME?</x:v>
      </x:c>
      <x:c r="C161" s="152" t="e">
        <x:f>IF(OR(B160="",B161=""),"",B161/B160-1)</x:f>
        <x:v>#NAME?</x:v>
      </x:c>
      <x:c r="D161" s="152" t="e">
        <x:f>IF(B161="","",B161/MAX(B$5:B161)-1)</x:f>
        <x:v>#NAME?</x:v>
      </x:c>
      <x:c r="E161" s="146" t="e">
        <x:f>IF(OR('实盘净值数据(iFinD公式)'!$A161="",'实盘净值数据(iFinD公式)'!$B161=""),"",分期持仓明细!$AD$18*SUMPRODUCT(分期持仓明细!$B$18:$AA$18,'实盘净值数据(iFinD公式)'!$B161:$AA161/'实盘净值数据(iFinD公式)'!$B$20:$AA$20)*(1-实盘持仓初始配置!$Z$5)^(('实盘净值数据(iFinD公式)'!$A161-'实盘净值数据(iFinD公式)'!$A$5)/365))</x:f>
        <x:v>#NAME?</x:v>
      </x:c>
      <x:c r="F161" s="152" t="e">
        <x:f>IF(OR(E160="",E161=""),"",E161/E160-1)</x:f>
        <x:v>#NAME?</x:v>
      </x:c>
      <x:c r="G161" s="152" t="e">
        <x:f>IF(E161="","",E161/MAX(E$5:E161)-1)</x:f>
        <x:v>#NAME?</x:v>
      </x:c>
      <x:c r="H161" s="146" t="e">
        <x:f>IF(OR('实盘净值数据(iFinD公式)'!$A161="",'实盘净值数据(iFinD公式)'!$B161=""),"",分期持仓明细!$AD$19*SUMPRODUCT(分期持仓明细!$B$19:$AA$19,'实盘净值数据(iFinD公式)'!$B161:$AA161/'实盘净值数据(iFinD公式)'!$B$20:$AA$20)*(1-实盘持仓初始配置!$Z$6)^(('实盘净值数据(iFinD公式)'!$A161-'实盘净值数据(iFinD公式)'!$A$7)/365))</x:f>
        <x:v>#NAME?</x:v>
      </x:c>
      <x:c r="I161" s="152" t="e">
        <x:f>IF(OR(H160="",H161=""),"",H161/H160-1)</x:f>
        <x:v>#NAME?</x:v>
      </x:c>
      <x:c r="J161" s="152" t="e">
        <x:f>IF(H161="","",H161/MAX(H$5:H161)-1)</x:f>
        <x:v>#NAME?</x:v>
      </x:c>
      <x:c r="K161" s="146" t="e">
        <x:f>IF(OR('实盘净值数据(iFinD公式)'!$A161="",'实盘净值数据(iFinD公式)'!$B161=""),"",分期持仓明细!$AD$23*SUMPRODUCT(分期持仓明细!$B$23:$AA$23,'实盘净值数据(iFinD公式)'!$B161:$AA161/'实盘净值数据(iFinD公式)'!$B$65:$AA$65)*(1-实盘持仓初始配置!$Z$7)^(('实盘净值数据(iFinD公式)'!$A161-'实盘净值数据(iFinD公式)'!$A$8)/365))</x:f>
        <x:v>#NAME?</x:v>
      </x:c>
      <x:c r="L161" s="152" t="e">
        <x:f>IF(OR(K160="",K161=""),"",K161/K160-1)</x:f>
        <x:v>#NAME?</x:v>
      </x:c>
      <x:c r="M161" s="152" t="e">
        <x:f>IF(K161="","",K161/MAX(K$5:K161)-1)</x:f>
        <x:v>#NAME?</x:v>
      </x:c>
      <x:c r="N161" s="146" t="e">
        <x:f>IF(OR('实盘净值数据(iFinD公式)'!$A161="",'实盘净值数据(iFinD公式)'!$B161=""),"",分期持仓明细!$AD$24*SUMPRODUCT(分期持仓明细!$B$24:$AA$24,'实盘净值数据(iFinD公式)'!$B161:$AA161/'实盘净值数据(iFinD公式)'!$B$65:$AA$65)*(1-实盘持仓初始配置!$Z$8)^(('实盘净值数据(iFinD公式)'!$A161-'实盘净值数据(iFinD公式)'!$A$5)/365))</x:f>
        <x:v>#NAME?</x:v>
      </x:c>
      <x:c r="O161" s="152" t="e">
        <x:f>IF(OR(N160="",N161=""),"",N161/N160-1)</x:f>
        <x:v>#NAME?</x:v>
      </x:c>
      <x:c r="P161" s="152" t="e">
        <x:f>IF(N161="","",N161/MAX(N$5:N161)-1)</x:f>
        <x:v>#NAME?</x:v>
      </x:c>
      <x:c r="Q161" s="146" t="e">
        <x:f>IF(OR('实盘净值数据(iFinD公式)'!$A161="",'实盘净值数据(iFinD公式)'!$B161=""),"",分期持仓明细!$AD$25*SUMPRODUCT(分期持仓明细!$B$25:$AA$25,'实盘净值数据(iFinD公式)'!$B161:$AA161/'实盘净值数据(iFinD公式)'!$B$65:$AA$65)*(1-实盘持仓初始配置!$Z$9)^(('实盘净值数据(iFinD公式)'!$A161-'实盘净值数据(iFinD公式)'!$A$8)/365))</x:f>
        <x:v>#NAME?</x:v>
      </x:c>
      <x:c r="R161" s="152" t="e">
        <x:f>IF(OR(Q160="",Q161=""),"",Q161/Q160-1)</x:f>
        <x:v>#NAME?</x:v>
      </x:c>
      <x:c r="S161" s="152" t="e">
        <x:f>IF(Q161="","",Q161/MAX(Q$5:Q161)-1)</x:f>
        <x:v>#NAME?</x:v>
      </x:c>
    </x:row>
    <x:row r="162">
      <x:c r="A162" s="149" t="str">
        <x:f>IF('实盘净值数据(iFinD公式)'!A162="","",'实盘净值数据(iFinD公式)'!A162)</x:f>
      </x:c>
      <x:c r="B162" s="146" t="e">
        <x:f>IF(OR('实盘净值数据(iFinD公式)'!$A162="",'实盘净值数据(iFinD公式)'!$B162=""),"",分期持仓明细!$AD$17*SUMPRODUCT(分期持仓明细!$B$17:$AA$17,'实盘净值数据(iFinD公式)'!$B162:$AA162/'实盘净值数据(iFinD公式)'!$B$20:$AA$20)*(1-实盘持仓初始配置!$Z$4)^(('实盘净值数据(iFinD公式)'!$A162-'实盘净值数据(iFinD公式)'!$A$6)/365))</x:f>
        <x:v>#NAME?</x:v>
      </x:c>
      <x:c r="C162" s="152" t="e">
        <x:f>IF(OR(B161="",B162=""),"",B162/B161-1)</x:f>
        <x:v>#NAME?</x:v>
      </x:c>
      <x:c r="D162" s="152" t="e">
        <x:f>IF(B162="","",B162/MAX(B$5:B162)-1)</x:f>
        <x:v>#NAME?</x:v>
      </x:c>
      <x:c r="E162" s="146" t="e">
        <x:f>IF(OR('实盘净值数据(iFinD公式)'!$A162="",'实盘净值数据(iFinD公式)'!$B162=""),"",分期持仓明细!$AD$18*SUMPRODUCT(分期持仓明细!$B$18:$AA$18,'实盘净值数据(iFinD公式)'!$B162:$AA162/'实盘净值数据(iFinD公式)'!$B$20:$AA$20)*(1-实盘持仓初始配置!$Z$5)^(('实盘净值数据(iFinD公式)'!$A162-'实盘净值数据(iFinD公式)'!$A$5)/365))</x:f>
        <x:v>#NAME?</x:v>
      </x:c>
      <x:c r="F162" s="152" t="e">
        <x:f>IF(OR(E161="",E162=""),"",E162/E161-1)</x:f>
        <x:v>#NAME?</x:v>
      </x:c>
      <x:c r="G162" s="152" t="e">
        <x:f>IF(E162="","",E162/MAX(E$5:E162)-1)</x:f>
        <x:v>#NAME?</x:v>
      </x:c>
      <x:c r="H162" s="146" t="e">
        <x:f>IF(OR('实盘净值数据(iFinD公式)'!$A162="",'实盘净值数据(iFinD公式)'!$B162=""),"",分期持仓明细!$AD$19*SUMPRODUCT(分期持仓明细!$B$19:$AA$19,'实盘净值数据(iFinD公式)'!$B162:$AA162/'实盘净值数据(iFinD公式)'!$B$20:$AA$20)*(1-实盘持仓初始配置!$Z$6)^(('实盘净值数据(iFinD公式)'!$A162-'实盘净值数据(iFinD公式)'!$A$7)/365))</x:f>
        <x:v>#NAME?</x:v>
      </x:c>
      <x:c r="I162" s="152" t="e">
        <x:f>IF(OR(H161="",H162=""),"",H162/H161-1)</x:f>
        <x:v>#NAME?</x:v>
      </x:c>
      <x:c r="J162" s="152" t="e">
        <x:f>IF(H162="","",H162/MAX(H$5:H162)-1)</x:f>
        <x:v>#NAME?</x:v>
      </x:c>
      <x:c r="K162" s="146" t="e">
        <x:f>IF(OR('实盘净值数据(iFinD公式)'!$A162="",'实盘净值数据(iFinD公式)'!$B162=""),"",分期持仓明细!$AD$23*SUMPRODUCT(分期持仓明细!$B$23:$AA$23,'实盘净值数据(iFinD公式)'!$B162:$AA162/'实盘净值数据(iFinD公式)'!$B$65:$AA$65)*(1-实盘持仓初始配置!$Z$7)^(('实盘净值数据(iFinD公式)'!$A162-'实盘净值数据(iFinD公式)'!$A$8)/365))</x:f>
        <x:v>#NAME?</x:v>
      </x:c>
      <x:c r="L162" s="152" t="e">
        <x:f>IF(OR(K161="",K162=""),"",K162/K161-1)</x:f>
        <x:v>#NAME?</x:v>
      </x:c>
      <x:c r="M162" s="152" t="e">
        <x:f>IF(K162="","",K162/MAX(K$5:K162)-1)</x:f>
        <x:v>#NAME?</x:v>
      </x:c>
      <x:c r="N162" s="146" t="e">
        <x:f>IF(OR('实盘净值数据(iFinD公式)'!$A162="",'实盘净值数据(iFinD公式)'!$B162=""),"",分期持仓明细!$AD$24*SUMPRODUCT(分期持仓明细!$B$24:$AA$24,'实盘净值数据(iFinD公式)'!$B162:$AA162/'实盘净值数据(iFinD公式)'!$B$65:$AA$65)*(1-实盘持仓初始配置!$Z$8)^(('实盘净值数据(iFinD公式)'!$A162-'实盘净值数据(iFinD公式)'!$A$5)/365))</x:f>
        <x:v>#NAME?</x:v>
      </x:c>
      <x:c r="O162" s="152" t="e">
        <x:f>IF(OR(N161="",N162=""),"",N162/N161-1)</x:f>
        <x:v>#NAME?</x:v>
      </x:c>
      <x:c r="P162" s="152" t="e">
        <x:f>IF(N162="","",N162/MAX(N$5:N162)-1)</x:f>
        <x:v>#NAME?</x:v>
      </x:c>
      <x:c r="Q162" s="146" t="e">
        <x:f>IF(OR('实盘净值数据(iFinD公式)'!$A162="",'实盘净值数据(iFinD公式)'!$B162=""),"",分期持仓明细!$AD$25*SUMPRODUCT(分期持仓明细!$B$25:$AA$25,'实盘净值数据(iFinD公式)'!$B162:$AA162/'实盘净值数据(iFinD公式)'!$B$65:$AA$65)*(1-实盘持仓初始配置!$Z$9)^(('实盘净值数据(iFinD公式)'!$A162-'实盘净值数据(iFinD公式)'!$A$8)/365))</x:f>
        <x:v>#NAME?</x:v>
      </x:c>
      <x:c r="R162" s="152" t="e">
        <x:f>IF(OR(Q161="",Q162=""),"",Q162/Q161-1)</x:f>
        <x:v>#NAME?</x:v>
      </x:c>
      <x:c r="S162" s="152" t="e">
        <x:f>IF(Q162="","",Q162/MAX(Q$5:Q162)-1)</x:f>
        <x:v>#NAME?</x:v>
      </x:c>
    </x:row>
    <x:row r="163">
      <x:c r="A163" s="149" t="str">
        <x:f>IF('实盘净值数据(iFinD公式)'!A163="","",'实盘净值数据(iFinD公式)'!A163)</x:f>
      </x:c>
      <x:c r="B163" s="146" t="e">
        <x:f>IF(OR('实盘净值数据(iFinD公式)'!$A163="",'实盘净值数据(iFinD公式)'!$B163=""),"",分期持仓明细!$AD$17*SUMPRODUCT(分期持仓明细!$B$17:$AA$17,'实盘净值数据(iFinD公式)'!$B163:$AA163/'实盘净值数据(iFinD公式)'!$B$20:$AA$20)*(1-实盘持仓初始配置!$Z$4)^(('实盘净值数据(iFinD公式)'!$A163-'实盘净值数据(iFinD公式)'!$A$6)/365))</x:f>
        <x:v>#NAME?</x:v>
      </x:c>
      <x:c r="C163" s="152" t="e">
        <x:f>IF(OR(B162="",B163=""),"",B163/B162-1)</x:f>
        <x:v>#NAME?</x:v>
      </x:c>
      <x:c r="D163" s="152" t="e">
        <x:f>IF(B163="","",B163/MAX(B$5:B163)-1)</x:f>
        <x:v>#NAME?</x:v>
      </x:c>
      <x:c r="E163" s="146" t="e">
        <x:f>IF(OR('实盘净值数据(iFinD公式)'!$A163="",'实盘净值数据(iFinD公式)'!$B163=""),"",分期持仓明细!$AD$18*SUMPRODUCT(分期持仓明细!$B$18:$AA$18,'实盘净值数据(iFinD公式)'!$B163:$AA163/'实盘净值数据(iFinD公式)'!$B$20:$AA$20)*(1-实盘持仓初始配置!$Z$5)^(('实盘净值数据(iFinD公式)'!$A163-'实盘净值数据(iFinD公式)'!$A$5)/365))</x:f>
        <x:v>#NAME?</x:v>
      </x:c>
      <x:c r="F163" s="152" t="e">
        <x:f>IF(OR(E162="",E163=""),"",E163/E162-1)</x:f>
        <x:v>#NAME?</x:v>
      </x:c>
      <x:c r="G163" s="152" t="e">
        <x:f>IF(E163="","",E163/MAX(E$5:E163)-1)</x:f>
        <x:v>#NAME?</x:v>
      </x:c>
      <x:c r="H163" s="146" t="e">
        <x:f>IF(OR('实盘净值数据(iFinD公式)'!$A163="",'实盘净值数据(iFinD公式)'!$B163=""),"",分期持仓明细!$AD$19*SUMPRODUCT(分期持仓明细!$B$19:$AA$19,'实盘净值数据(iFinD公式)'!$B163:$AA163/'实盘净值数据(iFinD公式)'!$B$20:$AA$20)*(1-实盘持仓初始配置!$Z$6)^(('实盘净值数据(iFinD公式)'!$A163-'实盘净值数据(iFinD公式)'!$A$7)/365))</x:f>
        <x:v>#NAME?</x:v>
      </x:c>
      <x:c r="I163" s="152" t="e">
        <x:f>IF(OR(H162="",H163=""),"",H163/H162-1)</x:f>
        <x:v>#NAME?</x:v>
      </x:c>
      <x:c r="J163" s="152" t="e">
        <x:f>IF(H163="","",H163/MAX(H$5:H163)-1)</x:f>
        <x:v>#NAME?</x:v>
      </x:c>
      <x:c r="K163" s="146" t="e">
        <x:f>IF(OR('实盘净值数据(iFinD公式)'!$A163="",'实盘净值数据(iFinD公式)'!$B163=""),"",分期持仓明细!$AD$23*SUMPRODUCT(分期持仓明细!$B$23:$AA$23,'实盘净值数据(iFinD公式)'!$B163:$AA163/'实盘净值数据(iFinD公式)'!$B$65:$AA$65)*(1-实盘持仓初始配置!$Z$7)^(('实盘净值数据(iFinD公式)'!$A163-'实盘净值数据(iFinD公式)'!$A$8)/365))</x:f>
        <x:v>#NAME?</x:v>
      </x:c>
      <x:c r="L163" s="152" t="e">
        <x:f>IF(OR(K162="",K163=""),"",K163/K162-1)</x:f>
        <x:v>#NAME?</x:v>
      </x:c>
      <x:c r="M163" s="152" t="e">
        <x:f>IF(K163="","",K163/MAX(K$5:K163)-1)</x:f>
        <x:v>#NAME?</x:v>
      </x:c>
      <x:c r="N163" s="146" t="e">
        <x:f>IF(OR('实盘净值数据(iFinD公式)'!$A163="",'实盘净值数据(iFinD公式)'!$B163=""),"",分期持仓明细!$AD$24*SUMPRODUCT(分期持仓明细!$B$24:$AA$24,'实盘净值数据(iFinD公式)'!$B163:$AA163/'实盘净值数据(iFinD公式)'!$B$65:$AA$65)*(1-实盘持仓初始配置!$Z$8)^(('实盘净值数据(iFinD公式)'!$A163-'实盘净值数据(iFinD公式)'!$A$5)/365))</x:f>
        <x:v>#NAME?</x:v>
      </x:c>
      <x:c r="O163" s="152" t="e">
        <x:f>IF(OR(N162="",N163=""),"",N163/N162-1)</x:f>
        <x:v>#NAME?</x:v>
      </x:c>
      <x:c r="P163" s="152" t="e">
        <x:f>IF(N163="","",N163/MAX(N$5:N163)-1)</x:f>
        <x:v>#NAME?</x:v>
      </x:c>
      <x:c r="Q163" s="146" t="e">
        <x:f>IF(OR('实盘净值数据(iFinD公式)'!$A163="",'实盘净值数据(iFinD公式)'!$B163=""),"",分期持仓明细!$AD$25*SUMPRODUCT(分期持仓明细!$B$25:$AA$25,'实盘净值数据(iFinD公式)'!$B163:$AA163/'实盘净值数据(iFinD公式)'!$B$65:$AA$65)*(1-实盘持仓初始配置!$Z$9)^(('实盘净值数据(iFinD公式)'!$A163-'实盘净值数据(iFinD公式)'!$A$8)/365))</x:f>
        <x:v>#NAME?</x:v>
      </x:c>
      <x:c r="R163" s="152" t="e">
        <x:f>IF(OR(Q162="",Q163=""),"",Q163/Q162-1)</x:f>
        <x:v>#NAME?</x:v>
      </x:c>
      <x:c r="S163" s="152" t="e">
        <x:f>IF(Q163="","",Q163/MAX(Q$5:Q163)-1)</x:f>
        <x:v>#NAME?</x:v>
      </x:c>
    </x:row>
    <x:row r="164">
      <x:c r="A164" s="149" t="str">
        <x:f>IF('实盘净值数据(iFinD公式)'!A164="","",'实盘净值数据(iFinD公式)'!A164)</x:f>
      </x:c>
      <x:c r="B164" s="146" t="e">
        <x:f>IF(OR('实盘净值数据(iFinD公式)'!$A164="",'实盘净值数据(iFinD公式)'!$B164=""),"",分期持仓明细!$AD$17*SUMPRODUCT(分期持仓明细!$B$17:$AA$17,'实盘净值数据(iFinD公式)'!$B164:$AA164/'实盘净值数据(iFinD公式)'!$B$20:$AA$20)*(1-实盘持仓初始配置!$Z$4)^(('实盘净值数据(iFinD公式)'!$A164-'实盘净值数据(iFinD公式)'!$A$6)/365))</x:f>
        <x:v>#NAME?</x:v>
      </x:c>
      <x:c r="C164" s="152" t="e">
        <x:f>IF(OR(B163="",B164=""),"",B164/B163-1)</x:f>
        <x:v>#NAME?</x:v>
      </x:c>
      <x:c r="D164" s="152" t="e">
        <x:f>IF(B164="","",B164/MAX(B$5:B164)-1)</x:f>
        <x:v>#NAME?</x:v>
      </x:c>
      <x:c r="E164" s="146" t="e">
        <x:f>IF(OR('实盘净值数据(iFinD公式)'!$A164="",'实盘净值数据(iFinD公式)'!$B164=""),"",分期持仓明细!$AD$18*SUMPRODUCT(分期持仓明细!$B$18:$AA$18,'实盘净值数据(iFinD公式)'!$B164:$AA164/'实盘净值数据(iFinD公式)'!$B$20:$AA$20)*(1-实盘持仓初始配置!$Z$5)^(('实盘净值数据(iFinD公式)'!$A164-'实盘净值数据(iFinD公式)'!$A$5)/365))</x:f>
        <x:v>#NAME?</x:v>
      </x:c>
      <x:c r="F164" s="152" t="e">
        <x:f>IF(OR(E163="",E164=""),"",E164/E163-1)</x:f>
        <x:v>#NAME?</x:v>
      </x:c>
      <x:c r="G164" s="152" t="e">
        <x:f>IF(E164="","",E164/MAX(E$5:E164)-1)</x:f>
        <x:v>#NAME?</x:v>
      </x:c>
      <x:c r="H164" s="146" t="e">
        <x:f>IF(OR('实盘净值数据(iFinD公式)'!$A164="",'实盘净值数据(iFinD公式)'!$B164=""),"",分期持仓明细!$AD$19*SUMPRODUCT(分期持仓明细!$B$19:$AA$19,'实盘净值数据(iFinD公式)'!$B164:$AA164/'实盘净值数据(iFinD公式)'!$B$20:$AA$20)*(1-实盘持仓初始配置!$Z$6)^(('实盘净值数据(iFinD公式)'!$A164-'实盘净值数据(iFinD公式)'!$A$7)/365))</x:f>
        <x:v>#NAME?</x:v>
      </x:c>
      <x:c r="I164" s="152" t="e">
        <x:f>IF(OR(H163="",H164=""),"",H164/H163-1)</x:f>
        <x:v>#NAME?</x:v>
      </x:c>
      <x:c r="J164" s="152" t="e">
        <x:f>IF(H164="","",H164/MAX(H$5:H164)-1)</x:f>
        <x:v>#NAME?</x:v>
      </x:c>
      <x:c r="K164" s="146" t="e">
        <x:f>IF(OR('实盘净值数据(iFinD公式)'!$A164="",'实盘净值数据(iFinD公式)'!$B164=""),"",分期持仓明细!$AD$23*SUMPRODUCT(分期持仓明细!$B$23:$AA$23,'实盘净值数据(iFinD公式)'!$B164:$AA164/'实盘净值数据(iFinD公式)'!$B$65:$AA$65)*(1-实盘持仓初始配置!$Z$7)^(('实盘净值数据(iFinD公式)'!$A164-'实盘净值数据(iFinD公式)'!$A$8)/365))</x:f>
        <x:v>#NAME?</x:v>
      </x:c>
      <x:c r="L164" s="152" t="e">
        <x:f>IF(OR(K163="",K164=""),"",K164/K163-1)</x:f>
        <x:v>#NAME?</x:v>
      </x:c>
      <x:c r="M164" s="152" t="e">
        <x:f>IF(K164="","",K164/MAX(K$5:K164)-1)</x:f>
        <x:v>#NAME?</x:v>
      </x:c>
      <x:c r="N164" s="146" t="e">
        <x:f>IF(OR('实盘净值数据(iFinD公式)'!$A164="",'实盘净值数据(iFinD公式)'!$B164=""),"",分期持仓明细!$AD$24*SUMPRODUCT(分期持仓明细!$B$24:$AA$24,'实盘净值数据(iFinD公式)'!$B164:$AA164/'实盘净值数据(iFinD公式)'!$B$65:$AA$65)*(1-实盘持仓初始配置!$Z$8)^(('实盘净值数据(iFinD公式)'!$A164-'实盘净值数据(iFinD公式)'!$A$5)/365))</x:f>
        <x:v>#NAME?</x:v>
      </x:c>
      <x:c r="O164" s="152" t="e">
        <x:f>IF(OR(N163="",N164=""),"",N164/N163-1)</x:f>
        <x:v>#NAME?</x:v>
      </x:c>
      <x:c r="P164" s="152" t="e">
        <x:f>IF(N164="","",N164/MAX(N$5:N164)-1)</x:f>
        <x:v>#NAME?</x:v>
      </x:c>
      <x:c r="Q164" s="146" t="e">
        <x:f>IF(OR('实盘净值数据(iFinD公式)'!$A164="",'实盘净值数据(iFinD公式)'!$B164=""),"",分期持仓明细!$AD$25*SUMPRODUCT(分期持仓明细!$B$25:$AA$25,'实盘净值数据(iFinD公式)'!$B164:$AA164/'实盘净值数据(iFinD公式)'!$B$65:$AA$65)*(1-实盘持仓初始配置!$Z$9)^(('实盘净值数据(iFinD公式)'!$A164-'实盘净值数据(iFinD公式)'!$A$8)/365))</x:f>
        <x:v>#NAME?</x:v>
      </x:c>
      <x:c r="R164" s="152" t="e">
        <x:f>IF(OR(Q163="",Q164=""),"",Q164/Q163-1)</x:f>
        <x:v>#NAME?</x:v>
      </x:c>
      <x:c r="S164" s="152" t="e">
        <x:f>IF(Q164="","",Q164/MAX(Q$5:Q164)-1)</x:f>
        <x:v>#NAME?</x:v>
      </x:c>
    </x:row>
    <x:row r="165">
      <x:c r="A165" s="149" t="str">
        <x:f>IF('实盘净值数据(iFinD公式)'!A165="","",'实盘净值数据(iFinD公式)'!A165)</x:f>
      </x:c>
      <x:c r="B165" s="146" t="e">
        <x:f>IF(OR('实盘净值数据(iFinD公式)'!$A165="",'实盘净值数据(iFinD公式)'!$B165=""),"",分期持仓明细!$AD$17*SUMPRODUCT(分期持仓明细!$B$17:$AA$17,'实盘净值数据(iFinD公式)'!$B165:$AA165/'实盘净值数据(iFinD公式)'!$B$20:$AA$20)*(1-实盘持仓初始配置!$Z$4)^(('实盘净值数据(iFinD公式)'!$A165-'实盘净值数据(iFinD公式)'!$A$6)/365))</x:f>
        <x:v>#NAME?</x:v>
      </x:c>
      <x:c r="C165" s="152" t="e">
        <x:f>IF(OR(B164="",B165=""),"",B165/B164-1)</x:f>
        <x:v>#NAME?</x:v>
      </x:c>
      <x:c r="D165" s="152" t="e">
        <x:f>IF(B165="","",B165/MAX(B$5:B165)-1)</x:f>
        <x:v>#NAME?</x:v>
      </x:c>
      <x:c r="E165" s="146" t="e">
        <x:f>IF(OR('实盘净值数据(iFinD公式)'!$A165="",'实盘净值数据(iFinD公式)'!$B165=""),"",分期持仓明细!$AD$18*SUMPRODUCT(分期持仓明细!$B$18:$AA$18,'实盘净值数据(iFinD公式)'!$B165:$AA165/'实盘净值数据(iFinD公式)'!$B$20:$AA$20)*(1-实盘持仓初始配置!$Z$5)^(('实盘净值数据(iFinD公式)'!$A165-'实盘净值数据(iFinD公式)'!$A$5)/365))</x:f>
        <x:v>#NAME?</x:v>
      </x:c>
      <x:c r="F165" s="152" t="e">
        <x:f>IF(OR(E164="",E165=""),"",E165/E164-1)</x:f>
        <x:v>#NAME?</x:v>
      </x:c>
      <x:c r="G165" s="152" t="e">
        <x:f>IF(E165="","",E165/MAX(E$5:E165)-1)</x:f>
        <x:v>#NAME?</x:v>
      </x:c>
      <x:c r="H165" s="146" t="e">
        <x:f>IF(OR('实盘净值数据(iFinD公式)'!$A165="",'实盘净值数据(iFinD公式)'!$B165=""),"",分期持仓明细!$AD$19*SUMPRODUCT(分期持仓明细!$B$19:$AA$19,'实盘净值数据(iFinD公式)'!$B165:$AA165/'实盘净值数据(iFinD公式)'!$B$20:$AA$20)*(1-实盘持仓初始配置!$Z$6)^(('实盘净值数据(iFinD公式)'!$A165-'实盘净值数据(iFinD公式)'!$A$7)/365))</x:f>
        <x:v>#NAME?</x:v>
      </x:c>
      <x:c r="I165" s="152" t="e">
        <x:f>IF(OR(H164="",H165=""),"",H165/H164-1)</x:f>
        <x:v>#NAME?</x:v>
      </x:c>
      <x:c r="J165" s="152" t="e">
        <x:f>IF(H165="","",H165/MAX(H$5:H165)-1)</x:f>
        <x:v>#NAME?</x:v>
      </x:c>
      <x:c r="K165" s="146" t="e">
        <x:f>IF(OR('实盘净值数据(iFinD公式)'!$A165="",'实盘净值数据(iFinD公式)'!$B165=""),"",分期持仓明细!$AD$23*SUMPRODUCT(分期持仓明细!$B$23:$AA$23,'实盘净值数据(iFinD公式)'!$B165:$AA165/'实盘净值数据(iFinD公式)'!$B$65:$AA$65)*(1-实盘持仓初始配置!$Z$7)^(('实盘净值数据(iFinD公式)'!$A165-'实盘净值数据(iFinD公式)'!$A$8)/365))</x:f>
        <x:v>#NAME?</x:v>
      </x:c>
      <x:c r="L165" s="152" t="e">
        <x:f>IF(OR(K164="",K165=""),"",K165/K164-1)</x:f>
        <x:v>#NAME?</x:v>
      </x:c>
      <x:c r="M165" s="152" t="e">
        <x:f>IF(K165="","",K165/MAX(K$5:K165)-1)</x:f>
        <x:v>#NAME?</x:v>
      </x:c>
      <x:c r="N165" s="146" t="e">
        <x:f>IF(OR('实盘净值数据(iFinD公式)'!$A165="",'实盘净值数据(iFinD公式)'!$B165=""),"",分期持仓明细!$AD$24*SUMPRODUCT(分期持仓明细!$B$24:$AA$24,'实盘净值数据(iFinD公式)'!$B165:$AA165/'实盘净值数据(iFinD公式)'!$B$65:$AA$65)*(1-实盘持仓初始配置!$Z$8)^(('实盘净值数据(iFinD公式)'!$A165-'实盘净值数据(iFinD公式)'!$A$5)/365))</x:f>
        <x:v>#NAME?</x:v>
      </x:c>
      <x:c r="O165" s="152" t="e">
        <x:f>IF(OR(N164="",N165=""),"",N165/N164-1)</x:f>
        <x:v>#NAME?</x:v>
      </x:c>
      <x:c r="P165" s="152" t="e">
        <x:f>IF(N165="","",N165/MAX(N$5:N165)-1)</x:f>
        <x:v>#NAME?</x:v>
      </x:c>
      <x:c r="Q165" s="146" t="e">
        <x:f>IF(OR('实盘净值数据(iFinD公式)'!$A165="",'实盘净值数据(iFinD公式)'!$B165=""),"",分期持仓明细!$AD$25*SUMPRODUCT(分期持仓明细!$B$25:$AA$25,'实盘净值数据(iFinD公式)'!$B165:$AA165/'实盘净值数据(iFinD公式)'!$B$65:$AA$65)*(1-实盘持仓初始配置!$Z$9)^(('实盘净值数据(iFinD公式)'!$A165-'实盘净值数据(iFinD公式)'!$A$8)/365))</x:f>
        <x:v>#NAME?</x:v>
      </x:c>
      <x:c r="R165" s="152" t="e">
        <x:f>IF(OR(Q164="",Q165=""),"",Q165/Q164-1)</x:f>
        <x:v>#NAME?</x:v>
      </x:c>
      <x:c r="S165" s="152" t="e">
        <x:f>IF(Q165="","",Q165/MAX(Q$5:Q165)-1)</x:f>
        <x:v>#NAME?</x:v>
      </x:c>
    </x:row>
    <x:row r="166">
      <x:c r="A166" s="149" t="str">
        <x:f>IF('实盘净值数据(iFinD公式)'!A166="","",'实盘净值数据(iFinD公式)'!A166)</x:f>
      </x:c>
      <x:c r="B166" s="146" t="e">
        <x:f>IF(OR('实盘净值数据(iFinD公式)'!$A166="",'实盘净值数据(iFinD公式)'!$B166=""),"",分期持仓明细!$AD$17*SUMPRODUCT(分期持仓明细!$B$17:$AA$17,'实盘净值数据(iFinD公式)'!$B166:$AA166/'实盘净值数据(iFinD公式)'!$B$20:$AA$20)*(1-实盘持仓初始配置!$Z$4)^(('实盘净值数据(iFinD公式)'!$A166-'实盘净值数据(iFinD公式)'!$A$6)/365))</x:f>
        <x:v>#NAME?</x:v>
      </x:c>
      <x:c r="C166" s="152" t="e">
        <x:f>IF(OR(B165="",B166=""),"",B166/B165-1)</x:f>
        <x:v>#NAME?</x:v>
      </x:c>
      <x:c r="D166" s="152" t="e">
        <x:f>IF(B166="","",B166/MAX(B$5:B166)-1)</x:f>
        <x:v>#NAME?</x:v>
      </x:c>
      <x:c r="E166" s="146" t="e">
        <x:f>IF(OR('实盘净值数据(iFinD公式)'!$A166="",'实盘净值数据(iFinD公式)'!$B166=""),"",分期持仓明细!$AD$18*SUMPRODUCT(分期持仓明细!$B$18:$AA$18,'实盘净值数据(iFinD公式)'!$B166:$AA166/'实盘净值数据(iFinD公式)'!$B$20:$AA$20)*(1-实盘持仓初始配置!$Z$5)^(('实盘净值数据(iFinD公式)'!$A166-'实盘净值数据(iFinD公式)'!$A$5)/365))</x:f>
        <x:v>#NAME?</x:v>
      </x:c>
      <x:c r="F166" s="152" t="e">
        <x:f>IF(OR(E165="",E166=""),"",E166/E165-1)</x:f>
        <x:v>#NAME?</x:v>
      </x:c>
      <x:c r="G166" s="152" t="e">
        <x:f>IF(E166="","",E166/MAX(E$5:E166)-1)</x:f>
        <x:v>#NAME?</x:v>
      </x:c>
      <x:c r="H166" s="146" t="e">
        <x:f>IF(OR('实盘净值数据(iFinD公式)'!$A166="",'实盘净值数据(iFinD公式)'!$B166=""),"",分期持仓明细!$AD$19*SUMPRODUCT(分期持仓明细!$B$19:$AA$19,'实盘净值数据(iFinD公式)'!$B166:$AA166/'实盘净值数据(iFinD公式)'!$B$20:$AA$20)*(1-实盘持仓初始配置!$Z$6)^(('实盘净值数据(iFinD公式)'!$A166-'实盘净值数据(iFinD公式)'!$A$7)/365))</x:f>
        <x:v>#NAME?</x:v>
      </x:c>
      <x:c r="I166" s="152" t="e">
        <x:f>IF(OR(H165="",H166=""),"",H166/H165-1)</x:f>
        <x:v>#NAME?</x:v>
      </x:c>
      <x:c r="J166" s="152" t="e">
        <x:f>IF(H166="","",H166/MAX(H$5:H166)-1)</x:f>
        <x:v>#NAME?</x:v>
      </x:c>
      <x:c r="K166" s="146" t="e">
        <x:f>IF(OR('实盘净值数据(iFinD公式)'!$A166="",'实盘净值数据(iFinD公式)'!$B166=""),"",分期持仓明细!$AD$23*SUMPRODUCT(分期持仓明细!$B$23:$AA$23,'实盘净值数据(iFinD公式)'!$B166:$AA166/'实盘净值数据(iFinD公式)'!$B$65:$AA$65)*(1-实盘持仓初始配置!$Z$7)^(('实盘净值数据(iFinD公式)'!$A166-'实盘净值数据(iFinD公式)'!$A$8)/365))</x:f>
        <x:v>#NAME?</x:v>
      </x:c>
      <x:c r="L166" s="152" t="e">
        <x:f>IF(OR(K165="",K166=""),"",K166/K165-1)</x:f>
        <x:v>#NAME?</x:v>
      </x:c>
      <x:c r="M166" s="152" t="e">
        <x:f>IF(K166="","",K166/MAX(K$5:K166)-1)</x:f>
        <x:v>#NAME?</x:v>
      </x:c>
      <x:c r="N166" s="146" t="e">
        <x:f>IF(OR('实盘净值数据(iFinD公式)'!$A166="",'实盘净值数据(iFinD公式)'!$B166=""),"",分期持仓明细!$AD$24*SUMPRODUCT(分期持仓明细!$B$24:$AA$24,'实盘净值数据(iFinD公式)'!$B166:$AA166/'实盘净值数据(iFinD公式)'!$B$65:$AA$65)*(1-实盘持仓初始配置!$Z$8)^(('实盘净值数据(iFinD公式)'!$A166-'实盘净值数据(iFinD公式)'!$A$5)/365))</x:f>
        <x:v>#NAME?</x:v>
      </x:c>
      <x:c r="O166" s="152" t="e">
        <x:f>IF(OR(N165="",N166=""),"",N166/N165-1)</x:f>
        <x:v>#NAME?</x:v>
      </x:c>
      <x:c r="P166" s="152" t="e">
        <x:f>IF(N166="","",N166/MAX(N$5:N166)-1)</x:f>
        <x:v>#NAME?</x:v>
      </x:c>
      <x:c r="Q166" s="146" t="e">
        <x:f>IF(OR('实盘净值数据(iFinD公式)'!$A166="",'实盘净值数据(iFinD公式)'!$B166=""),"",分期持仓明细!$AD$25*SUMPRODUCT(分期持仓明细!$B$25:$AA$25,'实盘净值数据(iFinD公式)'!$B166:$AA166/'实盘净值数据(iFinD公式)'!$B$65:$AA$65)*(1-实盘持仓初始配置!$Z$9)^(('实盘净值数据(iFinD公式)'!$A166-'实盘净值数据(iFinD公式)'!$A$8)/365))</x:f>
        <x:v>#NAME?</x:v>
      </x:c>
      <x:c r="R166" s="152" t="e">
        <x:f>IF(OR(Q165="",Q166=""),"",Q166/Q165-1)</x:f>
        <x:v>#NAME?</x:v>
      </x:c>
      <x:c r="S166" s="152" t="e">
        <x:f>IF(Q166="","",Q166/MAX(Q$5:Q166)-1)</x:f>
        <x:v>#NAME?</x:v>
      </x:c>
    </x:row>
    <x:row r="167">
      <x:c r="A167" s="149" t="str">
        <x:f>IF('实盘净值数据(iFinD公式)'!A167="","",'实盘净值数据(iFinD公式)'!A167)</x:f>
      </x:c>
      <x:c r="B167" s="146" t="e">
        <x:f>IF(OR('实盘净值数据(iFinD公式)'!$A167="",'实盘净值数据(iFinD公式)'!$B167=""),"",分期持仓明细!$AD$17*SUMPRODUCT(分期持仓明细!$B$17:$AA$17,'实盘净值数据(iFinD公式)'!$B167:$AA167/'实盘净值数据(iFinD公式)'!$B$20:$AA$20)*(1-实盘持仓初始配置!$Z$4)^(('实盘净值数据(iFinD公式)'!$A167-'实盘净值数据(iFinD公式)'!$A$6)/365))</x:f>
        <x:v>#NAME?</x:v>
      </x:c>
      <x:c r="C167" s="152" t="e">
        <x:f>IF(OR(B166="",B167=""),"",B167/B166-1)</x:f>
        <x:v>#NAME?</x:v>
      </x:c>
      <x:c r="D167" s="152" t="e">
        <x:f>IF(B167="","",B167/MAX(B$5:B167)-1)</x:f>
        <x:v>#NAME?</x:v>
      </x:c>
      <x:c r="E167" s="146" t="e">
        <x:f>IF(OR('实盘净值数据(iFinD公式)'!$A167="",'实盘净值数据(iFinD公式)'!$B167=""),"",分期持仓明细!$AD$18*SUMPRODUCT(分期持仓明细!$B$18:$AA$18,'实盘净值数据(iFinD公式)'!$B167:$AA167/'实盘净值数据(iFinD公式)'!$B$20:$AA$20)*(1-实盘持仓初始配置!$Z$5)^(('实盘净值数据(iFinD公式)'!$A167-'实盘净值数据(iFinD公式)'!$A$5)/365))</x:f>
        <x:v>#NAME?</x:v>
      </x:c>
      <x:c r="F167" s="152" t="e">
        <x:f>IF(OR(E166="",E167=""),"",E167/E166-1)</x:f>
        <x:v>#NAME?</x:v>
      </x:c>
      <x:c r="G167" s="152" t="e">
        <x:f>IF(E167="","",E167/MAX(E$5:E167)-1)</x:f>
        <x:v>#NAME?</x:v>
      </x:c>
      <x:c r="H167" s="146" t="e">
        <x:f>IF(OR('实盘净值数据(iFinD公式)'!$A167="",'实盘净值数据(iFinD公式)'!$B167=""),"",分期持仓明细!$AD$19*SUMPRODUCT(分期持仓明细!$B$19:$AA$19,'实盘净值数据(iFinD公式)'!$B167:$AA167/'实盘净值数据(iFinD公式)'!$B$20:$AA$20)*(1-实盘持仓初始配置!$Z$6)^(('实盘净值数据(iFinD公式)'!$A167-'实盘净值数据(iFinD公式)'!$A$7)/365))</x:f>
        <x:v>#NAME?</x:v>
      </x:c>
      <x:c r="I167" s="152" t="e">
        <x:f>IF(OR(H166="",H167=""),"",H167/H166-1)</x:f>
        <x:v>#NAME?</x:v>
      </x:c>
      <x:c r="J167" s="152" t="e">
        <x:f>IF(H167="","",H167/MAX(H$5:H167)-1)</x:f>
        <x:v>#NAME?</x:v>
      </x:c>
      <x:c r="K167" s="146" t="e">
        <x:f>IF(OR('实盘净值数据(iFinD公式)'!$A167="",'实盘净值数据(iFinD公式)'!$B167=""),"",分期持仓明细!$AD$23*SUMPRODUCT(分期持仓明细!$B$23:$AA$23,'实盘净值数据(iFinD公式)'!$B167:$AA167/'实盘净值数据(iFinD公式)'!$B$65:$AA$65)*(1-实盘持仓初始配置!$Z$7)^(('实盘净值数据(iFinD公式)'!$A167-'实盘净值数据(iFinD公式)'!$A$8)/365))</x:f>
        <x:v>#NAME?</x:v>
      </x:c>
      <x:c r="L167" s="152" t="e">
        <x:f>IF(OR(K166="",K167=""),"",K167/K166-1)</x:f>
        <x:v>#NAME?</x:v>
      </x:c>
      <x:c r="M167" s="152" t="e">
        <x:f>IF(K167="","",K167/MAX(K$5:K167)-1)</x:f>
        <x:v>#NAME?</x:v>
      </x:c>
      <x:c r="N167" s="146" t="e">
        <x:f>IF(OR('实盘净值数据(iFinD公式)'!$A167="",'实盘净值数据(iFinD公式)'!$B167=""),"",分期持仓明细!$AD$24*SUMPRODUCT(分期持仓明细!$B$24:$AA$24,'实盘净值数据(iFinD公式)'!$B167:$AA167/'实盘净值数据(iFinD公式)'!$B$65:$AA$65)*(1-实盘持仓初始配置!$Z$8)^(('实盘净值数据(iFinD公式)'!$A167-'实盘净值数据(iFinD公式)'!$A$5)/365))</x:f>
        <x:v>#NAME?</x:v>
      </x:c>
      <x:c r="O167" s="152" t="e">
        <x:f>IF(OR(N166="",N167=""),"",N167/N166-1)</x:f>
        <x:v>#NAME?</x:v>
      </x:c>
      <x:c r="P167" s="152" t="e">
        <x:f>IF(N167="","",N167/MAX(N$5:N167)-1)</x:f>
        <x:v>#NAME?</x:v>
      </x:c>
      <x:c r="Q167" s="146" t="e">
        <x:f>IF(OR('实盘净值数据(iFinD公式)'!$A167="",'实盘净值数据(iFinD公式)'!$B167=""),"",分期持仓明细!$AD$25*SUMPRODUCT(分期持仓明细!$B$25:$AA$25,'实盘净值数据(iFinD公式)'!$B167:$AA167/'实盘净值数据(iFinD公式)'!$B$65:$AA$65)*(1-实盘持仓初始配置!$Z$9)^(('实盘净值数据(iFinD公式)'!$A167-'实盘净值数据(iFinD公式)'!$A$8)/365))</x:f>
        <x:v>#NAME?</x:v>
      </x:c>
      <x:c r="R167" s="152" t="e">
        <x:f>IF(OR(Q166="",Q167=""),"",Q167/Q166-1)</x:f>
        <x:v>#NAME?</x:v>
      </x:c>
      <x:c r="S167" s="152" t="e">
        <x:f>IF(Q167="","",Q167/MAX(Q$5:Q167)-1)</x:f>
        <x:v>#NAME?</x:v>
      </x:c>
    </x:row>
    <x:row r="168">
      <x:c r="A168" s="149" t="str">
        <x:f>IF('实盘净值数据(iFinD公式)'!A168="","",'实盘净值数据(iFinD公式)'!A168)</x:f>
      </x:c>
      <x:c r="B168" s="146" t="e">
        <x:f>IF(OR('实盘净值数据(iFinD公式)'!$A168="",'实盘净值数据(iFinD公式)'!$B168=""),"",分期持仓明细!$AD$17*SUMPRODUCT(分期持仓明细!$B$17:$AA$17,'实盘净值数据(iFinD公式)'!$B168:$AA168/'实盘净值数据(iFinD公式)'!$B$20:$AA$20)*(1-实盘持仓初始配置!$Z$4)^(('实盘净值数据(iFinD公式)'!$A168-'实盘净值数据(iFinD公式)'!$A$6)/365))</x:f>
        <x:v>#NAME?</x:v>
      </x:c>
      <x:c r="C168" s="152" t="e">
        <x:f>IF(OR(B167="",B168=""),"",B168/B167-1)</x:f>
        <x:v>#NAME?</x:v>
      </x:c>
      <x:c r="D168" s="152" t="e">
        <x:f>IF(B168="","",B168/MAX(B$5:B168)-1)</x:f>
        <x:v>#NAME?</x:v>
      </x:c>
      <x:c r="E168" s="146" t="e">
        <x:f>IF(OR('实盘净值数据(iFinD公式)'!$A168="",'实盘净值数据(iFinD公式)'!$B168=""),"",分期持仓明细!$AD$18*SUMPRODUCT(分期持仓明细!$B$18:$AA$18,'实盘净值数据(iFinD公式)'!$B168:$AA168/'实盘净值数据(iFinD公式)'!$B$20:$AA$20)*(1-实盘持仓初始配置!$Z$5)^(('实盘净值数据(iFinD公式)'!$A168-'实盘净值数据(iFinD公式)'!$A$5)/365))</x:f>
        <x:v>#NAME?</x:v>
      </x:c>
      <x:c r="F168" s="152" t="e">
        <x:f>IF(OR(E167="",E168=""),"",E168/E167-1)</x:f>
        <x:v>#NAME?</x:v>
      </x:c>
      <x:c r="G168" s="152" t="e">
        <x:f>IF(E168="","",E168/MAX(E$5:E168)-1)</x:f>
        <x:v>#NAME?</x:v>
      </x:c>
      <x:c r="H168" s="146" t="e">
        <x:f>IF(OR('实盘净值数据(iFinD公式)'!$A168="",'实盘净值数据(iFinD公式)'!$B168=""),"",分期持仓明细!$AD$19*SUMPRODUCT(分期持仓明细!$B$19:$AA$19,'实盘净值数据(iFinD公式)'!$B168:$AA168/'实盘净值数据(iFinD公式)'!$B$20:$AA$20)*(1-实盘持仓初始配置!$Z$6)^(('实盘净值数据(iFinD公式)'!$A168-'实盘净值数据(iFinD公式)'!$A$7)/365))</x:f>
        <x:v>#NAME?</x:v>
      </x:c>
      <x:c r="I168" s="152" t="e">
        <x:f>IF(OR(H167="",H168=""),"",H168/H167-1)</x:f>
        <x:v>#NAME?</x:v>
      </x:c>
      <x:c r="J168" s="152" t="e">
        <x:f>IF(H168="","",H168/MAX(H$5:H168)-1)</x:f>
        <x:v>#NAME?</x:v>
      </x:c>
      <x:c r="K168" s="146" t="e">
        <x:f>IF(OR('实盘净值数据(iFinD公式)'!$A168="",'实盘净值数据(iFinD公式)'!$B168=""),"",分期持仓明细!$AD$23*SUMPRODUCT(分期持仓明细!$B$23:$AA$23,'实盘净值数据(iFinD公式)'!$B168:$AA168/'实盘净值数据(iFinD公式)'!$B$65:$AA$65)*(1-实盘持仓初始配置!$Z$7)^(('实盘净值数据(iFinD公式)'!$A168-'实盘净值数据(iFinD公式)'!$A$8)/365))</x:f>
        <x:v>#NAME?</x:v>
      </x:c>
      <x:c r="L168" s="152" t="e">
        <x:f>IF(OR(K167="",K168=""),"",K168/K167-1)</x:f>
        <x:v>#NAME?</x:v>
      </x:c>
      <x:c r="M168" s="152" t="e">
        <x:f>IF(K168="","",K168/MAX(K$5:K168)-1)</x:f>
        <x:v>#NAME?</x:v>
      </x:c>
      <x:c r="N168" s="146" t="e">
        <x:f>IF(OR('实盘净值数据(iFinD公式)'!$A168="",'实盘净值数据(iFinD公式)'!$B168=""),"",分期持仓明细!$AD$24*SUMPRODUCT(分期持仓明细!$B$24:$AA$24,'实盘净值数据(iFinD公式)'!$B168:$AA168/'实盘净值数据(iFinD公式)'!$B$65:$AA$65)*(1-实盘持仓初始配置!$Z$8)^(('实盘净值数据(iFinD公式)'!$A168-'实盘净值数据(iFinD公式)'!$A$5)/365))</x:f>
        <x:v>#NAME?</x:v>
      </x:c>
      <x:c r="O168" s="152" t="e">
        <x:f>IF(OR(N167="",N168=""),"",N168/N167-1)</x:f>
        <x:v>#NAME?</x:v>
      </x:c>
      <x:c r="P168" s="152" t="e">
        <x:f>IF(N168="","",N168/MAX(N$5:N168)-1)</x:f>
        <x:v>#NAME?</x:v>
      </x:c>
      <x:c r="Q168" s="146" t="e">
        <x:f>IF(OR('实盘净值数据(iFinD公式)'!$A168="",'实盘净值数据(iFinD公式)'!$B168=""),"",分期持仓明细!$AD$25*SUMPRODUCT(分期持仓明细!$B$25:$AA$25,'实盘净值数据(iFinD公式)'!$B168:$AA168/'实盘净值数据(iFinD公式)'!$B$65:$AA$65)*(1-实盘持仓初始配置!$Z$9)^(('实盘净值数据(iFinD公式)'!$A168-'实盘净值数据(iFinD公式)'!$A$8)/365))</x:f>
        <x:v>#NAME?</x:v>
      </x:c>
      <x:c r="R168" s="152" t="e">
        <x:f>IF(OR(Q167="",Q168=""),"",Q168/Q167-1)</x:f>
        <x:v>#NAME?</x:v>
      </x:c>
      <x:c r="S168" s="152" t="e">
        <x:f>IF(Q168="","",Q168/MAX(Q$5:Q168)-1)</x:f>
        <x:v>#NAME?</x:v>
      </x:c>
    </x:row>
    <x:row r="169">
      <x:c r="A169" s="149" t="str">
        <x:f>IF('实盘净值数据(iFinD公式)'!A169="","",'实盘净值数据(iFinD公式)'!A169)</x:f>
      </x:c>
      <x:c r="B169" s="146" t="e">
        <x:f>IF(OR('实盘净值数据(iFinD公式)'!$A169="",'实盘净值数据(iFinD公式)'!$B169=""),"",分期持仓明细!$AD$17*SUMPRODUCT(分期持仓明细!$B$17:$AA$17,'实盘净值数据(iFinD公式)'!$B169:$AA169/'实盘净值数据(iFinD公式)'!$B$20:$AA$20)*(1-实盘持仓初始配置!$Z$4)^(('实盘净值数据(iFinD公式)'!$A169-'实盘净值数据(iFinD公式)'!$A$6)/365))</x:f>
        <x:v>#NAME?</x:v>
      </x:c>
      <x:c r="C169" s="152" t="e">
        <x:f>IF(OR(B168="",B169=""),"",B169/B168-1)</x:f>
        <x:v>#NAME?</x:v>
      </x:c>
      <x:c r="D169" s="152" t="e">
        <x:f>IF(B169="","",B169/MAX(B$5:B169)-1)</x:f>
        <x:v>#NAME?</x:v>
      </x:c>
      <x:c r="E169" s="146" t="e">
        <x:f>IF(OR('实盘净值数据(iFinD公式)'!$A169="",'实盘净值数据(iFinD公式)'!$B169=""),"",分期持仓明细!$AD$18*SUMPRODUCT(分期持仓明细!$B$18:$AA$18,'实盘净值数据(iFinD公式)'!$B169:$AA169/'实盘净值数据(iFinD公式)'!$B$20:$AA$20)*(1-实盘持仓初始配置!$Z$5)^(('实盘净值数据(iFinD公式)'!$A169-'实盘净值数据(iFinD公式)'!$A$5)/365))</x:f>
        <x:v>#NAME?</x:v>
      </x:c>
      <x:c r="F169" s="152" t="e">
        <x:f>IF(OR(E168="",E169=""),"",E169/E168-1)</x:f>
        <x:v>#NAME?</x:v>
      </x:c>
      <x:c r="G169" s="152" t="e">
        <x:f>IF(E169="","",E169/MAX(E$5:E169)-1)</x:f>
        <x:v>#NAME?</x:v>
      </x:c>
      <x:c r="H169" s="146" t="e">
        <x:f>IF(OR('实盘净值数据(iFinD公式)'!$A169="",'实盘净值数据(iFinD公式)'!$B169=""),"",分期持仓明细!$AD$19*SUMPRODUCT(分期持仓明细!$B$19:$AA$19,'实盘净值数据(iFinD公式)'!$B169:$AA169/'实盘净值数据(iFinD公式)'!$B$20:$AA$20)*(1-实盘持仓初始配置!$Z$6)^(('实盘净值数据(iFinD公式)'!$A169-'实盘净值数据(iFinD公式)'!$A$7)/365))</x:f>
        <x:v>#NAME?</x:v>
      </x:c>
      <x:c r="I169" s="152" t="e">
        <x:f>IF(OR(H168="",H169=""),"",H169/H168-1)</x:f>
        <x:v>#NAME?</x:v>
      </x:c>
      <x:c r="J169" s="152" t="e">
        <x:f>IF(H169="","",H169/MAX(H$5:H169)-1)</x:f>
        <x:v>#NAME?</x:v>
      </x:c>
      <x:c r="K169" s="146" t="e">
        <x:f>IF(OR('实盘净值数据(iFinD公式)'!$A169="",'实盘净值数据(iFinD公式)'!$B169=""),"",分期持仓明细!$AD$23*SUMPRODUCT(分期持仓明细!$B$23:$AA$23,'实盘净值数据(iFinD公式)'!$B169:$AA169/'实盘净值数据(iFinD公式)'!$B$65:$AA$65)*(1-实盘持仓初始配置!$Z$7)^(('实盘净值数据(iFinD公式)'!$A169-'实盘净值数据(iFinD公式)'!$A$8)/365))</x:f>
        <x:v>#NAME?</x:v>
      </x:c>
      <x:c r="L169" s="152" t="e">
        <x:f>IF(OR(K168="",K169=""),"",K169/K168-1)</x:f>
        <x:v>#NAME?</x:v>
      </x:c>
      <x:c r="M169" s="152" t="e">
        <x:f>IF(K169="","",K169/MAX(K$5:K169)-1)</x:f>
        <x:v>#NAME?</x:v>
      </x:c>
      <x:c r="N169" s="146" t="e">
        <x:f>IF(OR('实盘净值数据(iFinD公式)'!$A169="",'实盘净值数据(iFinD公式)'!$B169=""),"",分期持仓明细!$AD$24*SUMPRODUCT(分期持仓明细!$B$24:$AA$24,'实盘净值数据(iFinD公式)'!$B169:$AA169/'实盘净值数据(iFinD公式)'!$B$65:$AA$65)*(1-实盘持仓初始配置!$Z$8)^(('实盘净值数据(iFinD公式)'!$A169-'实盘净值数据(iFinD公式)'!$A$5)/365))</x:f>
        <x:v>#NAME?</x:v>
      </x:c>
      <x:c r="O169" s="152" t="e">
        <x:f>IF(OR(N168="",N169=""),"",N169/N168-1)</x:f>
        <x:v>#NAME?</x:v>
      </x:c>
      <x:c r="P169" s="152" t="e">
        <x:f>IF(N169="","",N169/MAX(N$5:N169)-1)</x:f>
        <x:v>#NAME?</x:v>
      </x:c>
      <x:c r="Q169" s="146" t="e">
        <x:f>IF(OR('实盘净值数据(iFinD公式)'!$A169="",'实盘净值数据(iFinD公式)'!$B169=""),"",分期持仓明细!$AD$25*SUMPRODUCT(分期持仓明细!$B$25:$AA$25,'实盘净值数据(iFinD公式)'!$B169:$AA169/'实盘净值数据(iFinD公式)'!$B$65:$AA$65)*(1-实盘持仓初始配置!$Z$9)^(('实盘净值数据(iFinD公式)'!$A169-'实盘净值数据(iFinD公式)'!$A$8)/365))</x:f>
        <x:v>#NAME?</x:v>
      </x:c>
      <x:c r="R169" s="152" t="e">
        <x:f>IF(OR(Q168="",Q169=""),"",Q169/Q168-1)</x:f>
        <x:v>#NAME?</x:v>
      </x:c>
      <x:c r="S169" s="152" t="e">
        <x:f>IF(Q169="","",Q169/MAX(Q$5:Q169)-1)</x:f>
        <x:v>#NAME?</x:v>
      </x:c>
    </x:row>
    <x:row r="170">
      <x:c r="A170" s="149" t="str">
        <x:f>IF('实盘净值数据(iFinD公式)'!A170="","",'实盘净值数据(iFinD公式)'!A170)</x:f>
      </x:c>
      <x:c r="B170" s="146" t="e">
        <x:f>IF(OR('实盘净值数据(iFinD公式)'!$A170="",'实盘净值数据(iFinD公式)'!$B170=""),"",分期持仓明细!$AD$17*SUMPRODUCT(分期持仓明细!$B$17:$AA$17,'实盘净值数据(iFinD公式)'!$B170:$AA170/'实盘净值数据(iFinD公式)'!$B$20:$AA$20)*(1-实盘持仓初始配置!$Z$4)^(('实盘净值数据(iFinD公式)'!$A170-'实盘净值数据(iFinD公式)'!$A$6)/365))</x:f>
        <x:v>#NAME?</x:v>
      </x:c>
      <x:c r="C170" s="152" t="e">
        <x:f>IF(OR(B169="",B170=""),"",B170/B169-1)</x:f>
        <x:v>#NAME?</x:v>
      </x:c>
      <x:c r="D170" s="152" t="e">
        <x:f>IF(B170="","",B170/MAX(B$5:B170)-1)</x:f>
        <x:v>#NAME?</x:v>
      </x:c>
      <x:c r="E170" s="146" t="e">
        <x:f>IF(OR('实盘净值数据(iFinD公式)'!$A170="",'实盘净值数据(iFinD公式)'!$B170=""),"",分期持仓明细!$AD$18*SUMPRODUCT(分期持仓明细!$B$18:$AA$18,'实盘净值数据(iFinD公式)'!$B170:$AA170/'实盘净值数据(iFinD公式)'!$B$20:$AA$20)*(1-实盘持仓初始配置!$Z$5)^(('实盘净值数据(iFinD公式)'!$A170-'实盘净值数据(iFinD公式)'!$A$5)/365))</x:f>
        <x:v>#NAME?</x:v>
      </x:c>
      <x:c r="F170" s="152" t="e">
        <x:f>IF(OR(E169="",E170=""),"",E170/E169-1)</x:f>
        <x:v>#NAME?</x:v>
      </x:c>
      <x:c r="G170" s="152" t="e">
        <x:f>IF(E170="","",E170/MAX(E$5:E170)-1)</x:f>
        <x:v>#NAME?</x:v>
      </x:c>
      <x:c r="H170" s="146" t="e">
        <x:f>IF(OR('实盘净值数据(iFinD公式)'!$A170="",'实盘净值数据(iFinD公式)'!$B170=""),"",分期持仓明细!$AD$19*SUMPRODUCT(分期持仓明细!$B$19:$AA$19,'实盘净值数据(iFinD公式)'!$B170:$AA170/'实盘净值数据(iFinD公式)'!$B$20:$AA$20)*(1-实盘持仓初始配置!$Z$6)^(('实盘净值数据(iFinD公式)'!$A170-'实盘净值数据(iFinD公式)'!$A$7)/365))</x:f>
        <x:v>#NAME?</x:v>
      </x:c>
      <x:c r="I170" s="152" t="e">
        <x:f>IF(OR(H169="",H170=""),"",H170/H169-1)</x:f>
        <x:v>#NAME?</x:v>
      </x:c>
      <x:c r="J170" s="152" t="e">
        <x:f>IF(H170="","",H170/MAX(H$5:H170)-1)</x:f>
        <x:v>#NAME?</x:v>
      </x:c>
      <x:c r="K170" s="146" t="e">
        <x:f>IF(OR('实盘净值数据(iFinD公式)'!$A170="",'实盘净值数据(iFinD公式)'!$B170=""),"",分期持仓明细!$AD$23*SUMPRODUCT(分期持仓明细!$B$23:$AA$23,'实盘净值数据(iFinD公式)'!$B170:$AA170/'实盘净值数据(iFinD公式)'!$B$65:$AA$65)*(1-实盘持仓初始配置!$Z$7)^(('实盘净值数据(iFinD公式)'!$A170-'实盘净值数据(iFinD公式)'!$A$8)/365))</x:f>
        <x:v>#NAME?</x:v>
      </x:c>
      <x:c r="L170" s="152" t="e">
        <x:f>IF(OR(K169="",K170=""),"",K170/K169-1)</x:f>
        <x:v>#NAME?</x:v>
      </x:c>
      <x:c r="M170" s="152" t="e">
        <x:f>IF(K170="","",K170/MAX(K$5:K170)-1)</x:f>
        <x:v>#NAME?</x:v>
      </x:c>
      <x:c r="N170" s="146" t="e">
        <x:f>IF(OR('实盘净值数据(iFinD公式)'!$A170="",'实盘净值数据(iFinD公式)'!$B170=""),"",分期持仓明细!$AD$24*SUMPRODUCT(分期持仓明细!$B$24:$AA$24,'实盘净值数据(iFinD公式)'!$B170:$AA170/'实盘净值数据(iFinD公式)'!$B$65:$AA$65)*(1-实盘持仓初始配置!$Z$8)^(('实盘净值数据(iFinD公式)'!$A170-'实盘净值数据(iFinD公式)'!$A$5)/365))</x:f>
        <x:v>#NAME?</x:v>
      </x:c>
      <x:c r="O170" s="152" t="e">
        <x:f>IF(OR(N169="",N170=""),"",N170/N169-1)</x:f>
        <x:v>#NAME?</x:v>
      </x:c>
      <x:c r="P170" s="152" t="e">
        <x:f>IF(N170="","",N170/MAX(N$5:N170)-1)</x:f>
        <x:v>#NAME?</x:v>
      </x:c>
      <x:c r="Q170" s="146" t="e">
        <x:f>IF(OR('实盘净值数据(iFinD公式)'!$A170="",'实盘净值数据(iFinD公式)'!$B170=""),"",分期持仓明细!$AD$25*SUMPRODUCT(分期持仓明细!$B$25:$AA$25,'实盘净值数据(iFinD公式)'!$B170:$AA170/'实盘净值数据(iFinD公式)'!$B$65:$AA$65)*(1-实盘持仓初始配置!$Z$9)^(('实盘净值数据(iFinD公式)'!$A170-'实盘净值数据(iFinD公式)'!$A$8)/365))</x:f>
        <x:v>#NAME?</x:v>
      </x:c>
      <x:c r="R170" s="152" t="e">
        <x:f>IF(OR(Q169="",Q170=""),"",Q170/Q169-1)</x:f>
        <x:v>#NAME?</x:v>
      </x:c>
      <x:c r="S170" s="152" t="e">
        <x:f>IF(Q170="","",Q170/MAX(Q$5:Q170)-1)</x:f>
        <x:v>#NAME?</x:v>
      </x:c>
    </x:row>
    <x:row r="171">
      <x:c r="A171" s="149" t="str">
        <x:f>IF('实盘净值数据(iFinD公式)'!A171="","",'实盘净值数据(iFinD公式)'!A171)</x:f>
      </x:c>
      <x:c r="B171" s="146" t="e">
        <x:f>IF(OR('实盘净值数据(iFinD公式)'!$A171="",'实盘净值数据(iFinD公式)'!$B171=""),"",分期持仓明细!$AD$17*SUMPRODUCT(分期持仓明细!$B$17:$AA$17,'实盘净值数据(iFinD公式)'!$B171:$AA171/'实盘净值数据(iFinD公式)'!$B$20:$AA$20)*(1-实盘持仓初始配置!$Z$4)^(('实盘净值数据(iFinD公式)'!$A171-'实盘净值数据(iFinD公式)'!$A$6)/365))</x:f>
        <x:v>#NAME?</x:v>
      </x:c>
      <x:c r="C171" s="152" t="e">
        <x:f>IF(OR(B170="",B171=""),"",B171/B170-1)</x:f>
        <x:v>#NAME?</x:v>
      </x:c>
      <x:c r="D171" s="152" t="e">
        <x:f>IF(B171="","",B171/MAX(B$5:B171)-1)</x:f>
        <x:v>#NAME?</x:v>
      </x:c>
      <x:c r="E171" s="146" t="e">
        <x:f>IF(OR('实盘净值数据(iFinD公式)'!$A171="",'实盘净值数据(iFinD公式)'!$B171=""),"",分期持仓明细!$AD$18*SUMPRODUCT(分期持仓明细!$B$18:$AA$18,'实盘净值数据(iFinD公式)'!$B171:$AA171/'实盘净值数据(iFinD公式)'!$B$20:$AA$20)*(1-实盘持仓初始配置!$Z$5)^(('实盘净值数据(iFinD公式)'!$A171-'实盘净值数据(iFinD公式)'!$A$5)/365))</x:f>
        <x:v>#NAME?</x:v>
      </x:c>
      <x:c r="F171" s="152" t="e">
        <x:f>IF(OR(E170="",E171=""),"",E171/E170-1)</x:f>
        <x:v>#NAME?</x:v>
      </x:c>
      <x:c r="G171" s="152" t="e">
        <x:f>IF(E171="","",E171/MAX(E$5:E171)-1)</x:f>
        <x:v>#NAME?</x:v>
      </x:c>
      <x:c r="H171" s="146" t="e">
        <x:f>IF(OR('实盘净值数据(iFinD公式)'!$A171="",'实盘净值数据(iFinD公式)'!$B171=""),"",分期持仓明细!$AD$19*SUMPRODUCT(分期持仓明细!$B$19:$AA$19,'实盘净值数据(iFinD公式)'!$B171:$AA171/'实盘净值数据(iFinD公式)'!$B$20:$AA$20)*(1-实盘持仓初始配置!$Z$6)^(('实盘净值数据(iFinD公式)'!$A171-'实盘净值数据(iFinD公式)'!$A$7)/365))</x:f>
        <x:v>#NAME?</x:v>
      </x:c>
      <x:c r="I171" s="152" t="e">
        <x:f>IF(OR(H170="",H171=""),"",H171/H170-1)</x:f>
        <x:v>#NAME?</x:v>
      </x:c>
      <x:c r="J171" s="152" t="e">
        <x:f>IF(H171="","",H171/MAX(H$5:H171)-1)</x:f>
        <x:v>#NAME?</x:v>
      </x:c>
      <x:c r="K171" s="146" t="e">
        <x:f>IF(OR('实盘净值数据(iFinD公式)'!$A171="",'实盘净值数据(iFinD公式)'!$B171=""),"",分期持仓明细!$AD$23*SUMPRODUCT(分期持仓明细!$B$23:$AA$23,'实盘净值数据(iFinD公式)'!$B171:$AA171/'实盘净值数据(iFinD公式)'!$B$65:$AA$65)*(1-实盘持仓初始配置!$Z$7)^(('实盘净值数据(iFinD公式)'!$A171-'实盘净值数据(iFinD公式)'!$A$8)/365))</x:f>
        <x:v>#NAME?</x:v>
      </x:c>
      <x:c r="L171" s="152" t="e">
        <x:f>IF(OR(K170="",K171=""),"",K171/K170-1)</x:f>
        <x:v>#NAME?</x:v>
      </x:c>
      <x:c r="M171" s="152" t="e">
        <x:f>IF(K171="","",K171/MAX(K$5:K171)-1)</x:f>
        <x:v>#NAME?</x:v>
      </x:c>
      <x:c r="N171" s="146" t="e">
        <x:f>IF(OR('实盘净值数据(iFinD公式)'!$A171="",'实盘净值数据(iFinD公式)'!$B171=""),"",分期持仓明细!$AD$24*SUMPRODUCT(分期持仓明细!$B$24:$AA$24,'实盘净值数据(iFinD公式)'!$B171:$AA171/'实盘净值数据(iFinD公式)'!$B$65:$AA$65)*(1-实盘持仓初始配置!$Z$8)^(('实盘净值数据(iFinD公式)'!$A171-'实盘净值数据(iFinD公式)'!$A$5)/365))</x:f>
        <x:v>#NAME?</x:v>
      </x:c>
      <x:c r="O171" s="152" t="e">
        <x:f>IF(OR(N170="",N171=""),"",N171/N170-1)</x:f>
        <x:v>#NAME?</x:v>
      </x:c>
      <x:c r="P171" s="152" t="e">
        <x:f>IF(N171="","",N171/MAX(N$5:N171)-1)</x:f>
        <x:v>#NAME?</x:v>
      </x:c>
      <x:c r="Q171" s="146" t="e">
        <x:f>IF(OR('实盘净值数据(iFinD公式)'!$A171="",'实盘净值数据(iFinD公式)'!$B171=""),"",分期持仓明细!$AD$25*SUMPRODUCT(分期持仓明细!$B$25:$AA$25,'实盘净值数据(iFinD公式)'!$B171:$AA171/'实盘净值数据(iFinD公式)'!$B$65:$AA$65)*(1-实盘持仓初始配置!$Z$9)^(('实盘净值数据(iFinD公式)'!$A171-'实盘净值数据(iFinD公式)'!$A$8)/365))</x:f>
        <x:v>#NAME?</x:v>
      </x:c>
      <x:c r="R171" s="152" t="e">
        <x:f>IF(OR(Q170="",Q171=""),"",Q171/Q170-1)</x:f>
        <x:v>#NAME?</x:v>
      </x:c>
      <x:c r="S171" s="152" t="e">
        <x:f>IF(Q171="","",Q171/MAX(Q$5:Q171)-1)</x:f>
        <x:v>#NAME?</x:v>
      </x:c>
    </x:row>
    <x:row r="172">
      <x:c r="A172" s="149" t="str">
        <x:f>IF('实盘净值数据(iFinD公式)'!A172="","",'实盘净值数据(iFinD公式)'!A172)</x:f>
      </x:c>
      <x:c r="B172" s="146" t="e">
        <x:f>IF(OR('实盘净值数据(iFinD公式)'!$A172="",'实盘净值数据(iFinD公式)'!$B172=""),"",分期持仓明细!$AD$17*SUMPRODUCT(分期持仓明细!$B$17:$AA$17,'实盘净值数据(iFinD公式)'!$B172:$AA172/'实盘净值数据(iFinD公式)'!$B$20:$AA$20)*(1-实盘持仓初始配置!$Z$4)^(('实盘净值数据(iFinD公式)'!$A172-'实盘净值数据(iFinD公式)'!$A$6)/365))</x:f>
        <x:v>#NAME?</x:v>
      </x:c>
      <x:c r="C172" s="152" t="e">
        <x:f>IF(OR(B171="",B172=""),"",B172/B171-1)</x:f>
        <x:v>#NAME?</x:v>
      </x:c>
      <x:c r="D172" s="152" t="e">
        <x:f>IF(B172="","",B172/MAX(B$5:B172)-1)</x:f>
        <x:v>#NAME?</x:v>
      </x:c>
      <x:c r="E172" s="146" t="e">
        <x:f>IF(OR('实盘净值数据(iFinD公式)'!$A172="",'实盘净值数据(iFinD公式)'!$B172=""),"",分期持仓明细!$AD$18*SUMPRODUCT(分期持仓明细!$B$18:$AA$18,'实盘净值数据(iFinD公式)'!$B172:$AA172/'实盘净值数据(iFinD公式)'!$B$20:$AA$20)*(1-实盘持仓初始配置!$Z$5)^(('实盘净值数据(iFinD公式)'!$A172-'实盘净值数据(iFinD公式)'!$A$5)/365))</x:f>
        <x:v>#NAME?</x:v>
      </x:c>
      <x:c r="F172" s="152" t="e">
        <x:f>IF(OR(E171="",E172=""),"",E172/E171-1)</x:f>
        <x:v>#NAME?</x:v>
      </x:c>
      <x:c r="G172" s="152" t="e">
        <x:f>IF(E172="","",E172/MAX(E$5:E172)-1)</x:f>
        <x:v>#NAME?</x:v>
      </x:c>
      <x:c r="H172" s="146" t="e">
        <x:f>IF(OR('实盘净值数据(iFinD公式)'!$A172="",'实盘净值数据(iFinD公式)'!$B172=""),"",分期持仓明细!$AD$19*SUMPRODUCT(分期持仓明细!$B$19:$AA$19,'实盘净值数据(iFinD公式)'!$B172:$AA172/'实盘净值数据(iFinD公式)'!$B$20:$AA$20)*(1-实盘持仓初始配置!$Z$6)^(('实盘净值数据(iFinD公式)'!$A172-'实盘净值数据(iFinD公式)'!$A$7)/365))</x:f>
        <x:v>#NAME?</x:v>
      </x:c>
      <x:c r="I172" s="152" t="e">
        <x:f>IF(OR(H171="",H172=""),"",H172/H171-1)</x:f>
        <x:v>#NAME?</x:v>
      </x:c>
      <x:c r="J172" s="152" t="e">
        <x:f>IF(H172="","",H172/MAX(H$5:H172)-1)</x:f>
        <x:v>#NAME?</x:v>
      </x:c>
      <x:c r="K172" s="146" t="e">
        <x:f>IF(OR('实盘净值数据(iFinD公式)'!$A172="",'实盘净值数据(iFinD公式)'!$B172=""),"",分期持仓明细!$AD$23*SUMPRODUCT(分期持仓明细!$B$23:$AA$23,'实盘净值数据(iFinD公式)'!$B172:$AA172/'实盘净值数据(iFinD公式)'!$B$65:$AA$65)*(1-实盘持仓初始配置!$Z$7)^(('实盘净值数据(iFinD公式)'!$A172-'实盘净值数据(iFinD公式)'!$A$8)/365))</x:f>
        <x:v>#NAME?</x:v>
      </x:c>
      <x:c r="L172" s="152" t="e">
        <x:f>IF(OR(K171="",K172=""),"",K172/K171-1)</x:f>
        <x:v>#NAME?</x:v>
      </x:c>
      <x:c r="M172" s="152" t="e">
        <x:f>IF(K172="","",K172/MAX(K$5:K172)-1)</x:f>
        <x:v>#NAME?</x:v>
      </x:c>
      <x:c r="N172" s="146" t="e">
        <x:f>IF(OR('实盘净值数据(iFinD公式)'!$A172="",'实盘净值数据(iFinD公式)'!$B172=""),"",分期持仓明细!$AD$24*SUMPRODUCT(分期持仓明细!$B$24:$AA$24,'实盘净值数据(iFinD公式)'!$B172:$AA172/'实盘净值数据(iFinD公式)'!$B$65:$AA$65)*(1-实盘持仓初始配置!$Z$8)^(('实盘净值数据(iFinD公式)'!$A172-'实盘净值数据(iFinD公式)'!$A$5)/365))</x:f>
        <x:v>#NAME?</x:v>
      </x:c>
      <x:c r="O172" s="152" t="e">
        <x:f>IF(OR(N171="",N172=""),"",N172/N171-1)</x:f>
        <x:v>#NAME?</x:v>
      </x:c>
      <x:c r="P172" s="152" t="e">
        <x:f>IF(N172="","",N172/MAX(N$5:N172)-1)</x:f>
        <x:v>#NAME?</x:v>
      </x:c>
      <x:c r="Q172" s="146" t="e">
        <x:f>IF(OR('实盘净值数据(iFinD公式)'!$A172="",'实盘净值数据(iFinD公式)'!$B172=""),"",分期持仓明细!$AD$25*SUMPRODUCT(分期持仓明细!$B$25:$AA$25,'实盘净值数据(iFinD公式)'!$B172:$AA172/'实盘净值数据(iFinD公式)'!$B$65:$AA$65)*(1-实盘持仓初始配置!$Z$9)^(('实盘净值数据(iFinD公式)'!$A172-'实盘净值数据(iFinD公式)'!$A$8)/365))</x:f>
        <x:v>#NAME?</x:v>
      </x:c>
      <x:c r="R172" s="152" t="e">
        <x:f>IF(OR(Q171="",Q172=""),"",Q172/Q171-1)</x:f>
        <x:v>#NAME?</x:v>
      </x:c>
      <x:c r="S172" s="152" t="e">
        <x:f>IF(Q172="","",Q172/MAX(Q$5:Q172)-1)</x:f>
        <x:v>#NAME?</x:v>
      </x:c>
    </x:row>
    <x:row r="173">
      <x:c r="A173" s="149" t="str">
        <x:f>IF('实盘净值数据(iFinD公式)'!A173="","",'实盘净值数据(iFinD公式)'!A173)</x:f>
      </x:c>
      <x:c r="B173" s="146" t="e">
        <x:f>IF(OR('实盘净值数据(iFinD公式)'!$A173="",'实盘净值数据(iFinD公式)'!$B173=""),"",分期持仓明细!$AD$17*SUMPRODUCT(分期持仓明细!$B$17:$AA$17,'实盘净值数据(iFinD公式)'!$B173:$AA173/'实盘净值数据(iFinD公式)'!$B$20:$AA$20)*(1-实盘持仓初始配置!$Z$4)^(('实盘净值数据(iFinD公式)'!$A173-'实盘净值数据(iFinD公式)'!$A$6)/365))</x:f>
        <x:v>#NAME?</x:v>
      </x:c>
      <x:c r="C173" s="152" t="e">
        <x:f>IF(OR(B172="",B173=""),"",B173/B172-1)</x:f>
        <x:v>#NAME?</x:v>
      </x:c>
      <x:c r="D173" s="152" t="e">
        <x:f>IF(B173="","",B173/MAX(B$5:B173)-1)</x:f>
        <x:v>#NAME?</x:v>
      </x:c>
      <x:c r="E173" s="146" t="e">
        <x:f>IF(OR('实盘净值数据(iFinD公式)'!$A173="",'实盘净值数据(iFinD公式)'!$B173=""),"",分期持仓明细!$AD$18*SUMPRODUCT(分期持仓明细!$B$18:$AA$18,'实盘净值数据(iFinD公式)'!$B173:$AA173/'实盘净值数据(iFinD公式)'!$B$20:$AA$20)*(1-实盘持仓初始配置!$Z$5)^(('实盘净值数据(iFinD公式)'!$A173-'实盘净值数据(iFinD公式)'!$A$5)/365))</x:f>
        <x:v>#NAME?</x:v>
      </x:c>
      <x:c r="F173" s="152" t="e">
        <x:f>IF(OR(E172="",E173=""),"",E173/E172-1)</x:f>
        <x:v>#NAME?</x:v>
      </x:c>
      <x:c r="G173" s="152" t="e">
        <x:f>IF(E173="","",E173/MAX(E$5:E173)-1)</x:f>
        <x:v>#NAME?</x:v>
      </x:c>
      <x:c r="H173" s="146" t="e">
        <x:f>IF(OR('实盘净值数据(iFinD公式)'!$A173="",'实盘净值数据(iFinD公式)'!$B173=""),"",分期持仓明细!$AD$19*SUMPRODUCT(分期持仓明细!$B$19:$AA$19,'实盘净值数据(iFinD公式)'!$B173:$AA173/'实盘净值数据(iFinD公式)'!$B$20:$AA$20)*(1-实盘持仓初始配置!$Z$6)^(('实盘净值数据(iFinD公式)'!$A173-'实盘净值数据(iFinD公式)'!$A$7)/365))</x:f>
        <x:v>#NAME?</x:v>
      </x:c>
      <x:c r="I173" s="152" t="e">
        <x:f>IF(OR(H172="",H173=""),"",H173/H172-1)</x:f>
        <x:v>#NAME?</x:v>
      </x:c>
      <x:c r="J173" s="152" t="e">
        <x:f>IF(H173="","",H173/MAX(H$5:H173)-1)</x:f>
        <x:v>#NAME?</x:v>
      </x:c>
      <x:c r="K173" s="146" t="e">
        <x:f>IF(OR('实盘净值数据(iFinD公式)'!$A173="",'实盘净值数据(iFinD公式)'!$B173=""),"",分期持仓明细!$AD$23*SUMPRODUCT(分期持仓明细!$B$23:$AA$23,'实盘净值数据(iFinD公式)'!$B173:$AA173/'实盘净值数据(iFinD公式)'!$B$65:$AA$65)*(1-实盘持仓初始配置!$Z$7)^(('实盘净值数据(iFinD公式)'!$A173-'实盘净值数据(iFinD公式)'!$A$8)/365))</x:f>
        <x:v>#NAME?</x:v>
      </x:c>
      <x:c r="L173" s="152" t="e">
        <x:f>IF(OR(K172="",K173=""),"",K173/K172-1)</x:f>
        <x:v>#NAME?</x:v>
      </x:c>
      <x:c r="M173" s="152" t="e">
        <x:f>IF(K173="","",K173/MAX(K$5:K173)-1)</x:f>
        <x:v>#NAME?</x:v>
      </x:c>
      <x:c r="N173" s="146" t="e">
        <x:f>IF(OR('实盘净值数据(iFinD公式)'!$A173="",'实盘净值数据(iFinD公式)'!$B173=""),"",分期持仓明细!$AD$24*SUMPRODUCT(分期持仓明细!$B$24:$AA$24,'实盘净值数据(iFinD公式)'!$B173:$AA173/'实盘净值数据(iFinD公式)'!$B$65:$AA$65)*(1-实盘持仓初始配置!$Z$8)^(('实盘净值数据(iFinD公式)'!$A173-'实盘净值数据(iFinD公式)'!$A$5)/365))</x:f>
        <x:v>#NAME?</x:v>
      </x:c>
      <x:c r="O173" s="152" t="e">
        <x:f>IF(OR(N172="",N173=""),"",N173/N172-1)</x:f>
        <x:v>#NAME?</x:v>
      </x:c>
      <x:c r="P173" s="152" t="e">
        <x:f>IF(N173="","",N173/MAX(N$5:N173)-1)</x:f>
        <x:v>#NAME?</x:v>
      </x:c>
      <x:c r="Q173" s="146" t="e">
        <x:f>IF(OR('实盘净值数据(iFinD公式)'!$A173="",'实盘净值数据(iFinD公式)'!$B173=""),"",分期持仓明细!$AD$25*SUMPRODUCT(分期持仓明细!$B$25:$AA$25,'实盘净值数据(iFinD公式)'!$B173:$AA173/'实盘净值数据(iFinD公式)'!$B$65:$AA$65)*(1-实盘持仓初始配置!$Z$9)^(('实盘净值数据(iFinD公式)'!$A173-'实盘净值数据(iFinD公式)'!$A$8)/365))</x:f>
        <x:v>#NAME?</x:v>
      </x:c>
      <x:c r="R173" s="152" t="e">
        <x:f>IF(OR(Q172="",Q173=""),"",Q173/Q172-1)</x:f>
        <x:v>#NAME?</x:v>
      </x:c>
      <x:c r="S173" s="152" t="e">
        <x:f>IF(Q173="","",Q173/MAX(Q$5:Q173)-1)</x:f>
        <x:v>#NAME?</x:v>
      </x:c>
    </x:row>
    <x:row r="174">
      <x:c r="A174" s="149" t="str">
        <x:f>IF('实盘净值数据(iFinD公式)'!A174="","",'实盘净值数据(iFinD公式)'!A174)</x:f>
      </x:c>
      <x:c r="B174" s="146" t="e">
        <x:f>IF(OR('实盘净值数据(iFinD公式)'!$A174="",'实盘净值数据(iFinD公式)'!$B174=""),"",分期持仓明细!$AD$17*SUMPRODUCT(分期持仓明细!$B$17:$AA$17,'实盘净值数据(iFinD公式)'!$B174:$AA174/'实盘净值数据(iFinD公式)'!$B$20:$AA$20)*(1-实盘持仓初始配置!$Z$4)^(('实盘净值数据(iFinD公式)'!$A174-'实盘净值数据(iFinD公式)'!$A$6)/365))</x:f>
        <x:v>#NAME?</x:v>
      </x:c>
      <x:c r="C174" s="152" t="e">
        <x:f>IF(OR(B173="",B174=""),"",B174/B173-1)</x:f>
        <x:v>#NAME?</x:v>
      </x:c>
      <x:c r="D174" s="152" t="e">
        <x:f>IF(B174="","",B174/MAX(B$5:B174)-1)</x:f>
        <x:v>#NAME?</x:v>
      </x:c>
      <x:c r="E174" s="146" t="e">
        <x:f>IF(OR('实盘净值数据(iFinD公式)'!$A174="",'实盘净值数据(iFinD公式)'!$B174=""),"",分期持仓明细!$AD$18*SUMPRODUCT(分期持仓明细!$B$18:$AA$18,'实盘净值数据(iFinD公式)'!$B174:$AA174/'实盘净值数据(iFinD公式)'!$B$20:$AA$20)*(1-实盘持仓初始配置!$Z$5)^(('实盘净值数据(iFinD公式)'!$A174-'实盘净值数据(iFinD公式)'!$A$5)/365))</x:f>
        <x:v>#NAME?</x:v>
      </x:c>
      <x:c r="F174" s="152" t="e">
        <x:f>IF(OR(E173="",E174=""),"",E174/E173-1)</x:f>
        <x:v>#NAME?</x:v>
      </x:c>
      <x:c r="G174" s="152" t="e">
        <x:f>IF(E174="","",E174/MAX(E$5:E174)-1)</x:f>
        <x:v>#NAME?</x:v>
      </x:c>
      <x:c r="H174" s="146" t="e">
        <x:f>IF(OR('实盘净值数据(iFinD公式)'!$A174="",'实盘净值数据(iFinD公式)'!$B174=""),"",分期持仓明细!$AD$19*SUMPRODUCT(分期持仓明细!$B$19:$AA$19,'实盘净值数据(iFinD公式)'!$B174:$AA174/'实盘净值数据(iFinD公式)'!$B$20:$AA$20)*(1-实盘持仓初始配置!$Z$6)^(('实盘净值数据(iFinD公式)'!$A174-'实盘净值数据(iFinD公式)'!$A$7)/365))</x:f>
        <x:v>#NAME?</x:v>
      </x:c>
      <x:c r="I174" s="152" t="e">
        <x:f>IF(OR(H173="",H174=""),"",H174/H173-1)</x:f>
        <x:v>#NAME?</x:v>
      </x:c>
      <x:c r="J174" s="152" t="e">
        <x:f>IF(H174="","",H174/MAX(H$5:H174)-1)</x:f>
        <x:v>#NAME?</x:v>
      </x:c>
      <x:c r="K174" s="146" t="e">
        <x:f>IF(OR('实盘净值数据(iFinD公式)'!$A174="",'实盘净值数据(iFinD公式)'!$B174=""),"",分期持仓明细!$AD$23*SUMPRODUCT(分期持仓明细!$B$23:$AA$23,'实盘净值数据(iFinD公式)'!$B174:$AA174/'实盘净值数据(iFinD公式)'!$B$65:$AA$65)*(1-实盘持仓初始配置!$Z$7)^(('实盘净值数据(iFinD公式)'!$A174-'实盘净值数据(iFinD公式)'!$A$8)/365))</x:f>
        <x:v>#NAME?</x:v>
      </x:c>
      <x:c r="L174" s="152" t="e">
        <x:f>IF(OR(K173="",K174=""),"",K174/K173-1)</x:f>
        <x:v>#NAME?</x:v>
      </x:c>
      <x:c r="M174" s="152" t="e">
        <x:f>IF(K174="","",K174/MAX(K$5:K174)-1)</x:f>
        <x:v>#NAME?</x:v>
      </x:c>
      <x:c r="N174" s="146" t="e">
        <x:f>IF(OR('实盘净值数据(iFinD公式)'!$A174="",'实盘净值数据(iFinD公式)'!$B174=""),"",分期持仓明细!$AD$24*SUMPRODUCT(分期持仓明细!$B$24:$AA$24,'实盘净值数据(iFinD公式)'!$B174:$AA174/'实盘净值数据(iFinD公式)'!$B$65:$AA$65)*(1-实盘持仓初始配置!$Z$8)^(('实盘净值数据(iFinD公式)'!$A174-'实盘净值数据(iFinD公式)'!$A$5)/365))</x:f>
        <x:v>#NAME?</x:v>
      </x:c>
      <x:c r="O174" s="152" t="e">
        <x:f>IF(OR(N173="",N174=""),"",N174/N173-1)</x:f>
        <x:v>#NAME?</x:v>
      </x:c>
      <x:c r="P174" s="152" t="e">
        <x:f>IF(N174="","",N174/MAX(N$5:N174)-1)</x:f>
        <x:v>#NAME?</x:v>
      </x:c>
      <x:c r="Q174" s="146" t="e">
        <x:f>IF(OR('实盘净值数据(iFinD公式)'!$A174="",'实盘净值数据(iFinD公式)'!$B174=""),"",分期持仓明细!$AD$25*SUMPRODUCT(分期持仓明细!$B$25:$AA$25,'实盘净值数据(iFinD公式)'!$B174:$AA174/'实盘净值数据(iFinD公式)'!$B$65:$AA$65)*(1-实盘持仓初始配置!$Z$9)^(('实盘净值数据(iFinD公式)'!$A174-'实盘净值数据(iFinD公式)'!$A$8)/365))</x:f>
        <x:v>#NAME?</x:v>
      </x:c>
      <x:c r="R174" s="152" t="e">
        <x:f>IF(OR(Q173="",Q174=""),"",Q174/Q173-1)</x:f>
        <x:v>#NAME?</x:v>
      </x:c>
      <x:c r="S174" s="152" t="e">
        <x:f>IF(Q174="","",Q174/MAX(Q$5:Q174)-1)</x:f>
        <x:v>#NAME?</x:v>
      </x:c>
    </x:row>
    <x:row r="175">
      <x:c r="A175" s="149" t="str">
        <x:f>IF('实盘净值数据(iFinD公式)'!A175="","",'实盘净值数据(iFinD公式)'!A175)</x:f>
      </x:c>
      <x:c r="B175" s="146" t="e">
        <x:f>IF(OR('实盘净值数据(iFinD公式)'!$A175="",'实盘净值数据(iFinD公式)'!$B175=""),"",分期持仓明细!$AD$17*SUMPRODUCT(分期持仓明细!$B$17:$AA$17,'实盘净值数据(iFinD公式)'!$B175:$AA175/'实盘净值数据(iFinD公式)'!$B$20:$AA$20)*(1-实盘持仓初始配置!$Z$4)^(('实盘净值数据(iFinD公式)'!$A175-'实盘净值数据(iFinD公式)'!$A$6)/365))</x:f>
        <x:v>#NAME?</x:v>
      </x:c>
      <x:c r="C175" s="152" t="e">
        <x:f>IF(OR(B174="",B175=""),"",B175/B174-1)</x:f>
        <x:v>#NAME?</x:v>
      </x:c>
      <x:c r="D175" s="152" t="e">
        <x:f>IF(B175="","",B175/MAX(B$5:B175)-1)</x:f>
        <x:v>#NAME?</x:v>
      </x:c>
      <x:c r="E175" s="146" t="e">
        <x:f>IF(OR('实盘净值数据(iFinD公式)'!$A175="",'实盘净值数据(iFinD公式)'!$B175=""),"",分期持仓明细!$AD$18*SUMPRODUCT(分期持仓明细!$B$18:$AA$18,'实盘净值数据(iFinD公式)'!$B175:$AA175/'实盘净值数据(iFinD公式)'!$B$20:$AA$20)*(1-实盘持仓初始配置!$Z$5)^(('实盘净值数据(iFinD公式)'!$A175-'实盘净值数据(iFinD公式)'!$A$5)/365))</x:f>
        <x:v>#NAME?</x:v>
      </x:c>
      <x:c r="F175" s="152" t="e">
        <x:f>IF(OR(E174="",E175=""),"",E175/E174-1)</x:f>
        <x:v>#NAME?</x:v>
      </x:c>
      <x:c r="G175" s="152" t="e">
        <x:f>IF(E175="","",E175/MAX(E$5:E175)-1)</x:f>
        <x:v>#NAME?</x:v>
      </x:c>
      <x:c r="H175" s="146" t="e">
        <x:f>IF(OR('实盘净值数据(iFinD公式)'!$A175="",'实盘净值数据(iFinD公式)'!$B175=""),"",分期持仓明细!$AD$19*SUMPRODUCT(分期持仓明细!$B$19:$AA$19,'实盘净值数据(iFinD公式)'!$B175:$AA175/'实盘净值数据(iFinD公式)'!$B$20:$AA$20)*(1-实盘持仓初始配置!$Z$6)^(('实盘净值数据(iFinD公式)'!$A175-'实盘净值数据(iFinD公式)'!$A$7)/365))</x:f>
        <x:v>#NAME?</x:v>
      </x:c>
      <x:c r="I175" s="152" t="e">
        <x:f>IF(OR(H174="",H175=""),"",H175/H174-1)</x:f>
        <x:v>#NAME?</x:v>
      </x:c>
      <x:c r="J175" s="152" t="e">
        <x:f>IF(H175="","",H175/MAX(H$5:H175)-1)</x:f>
        <x:v>#NAME?</x:v>
      </x:c>
      <x:c r="K175" s="146" t="e">
        <x:f>IF(OR('实盘净值数据(iFinD公式)'!$A175="",'实盘净值数据(iFinD公式)'!$B175=""),"",分期持仓明细!$AD$23*SUMPRODUCT(分期持仓明细!$B$23:$AA$23,'实盘净值数据(iFinD公式)'!$B175:$AA175/'实盘净值数据(iFinD公式)'!$B$65:$AA$65)*(1-实盘持仓初始配置!$Z$7)^(('实盘净值数据(iFinD公式)'!$A175-'实盘净值数据(iFinD公式)'!$A$8)/365))</x:f>
        <x:v>#NAME?</x:v>
      </x:c>
      <x:c r="L175" s="152" t="e">
        <x:f>IF(OR(K174="",K175=""),"",K175/K174-1)</x:f>
        <x:v>#NAME?</x:v>
      </x:c>
      <x:c r="M175" s="152" t="e">
        <x:f>IF(K175="","",K175/MAX(K$5:K175)-1)</x:f>
        <x:v>#NAME?</x:v>
      </x:c>
      <x:c r="N175" s="146" t="e">
        <x:f>IF(OR('实盘净值数据(iFinD公式)'!$A175="",'实盘净值数据(iFinD公式)'!$B175=""),"",分期持仓明细!$AD$24*SUMPRODUCT(分期持仓明细!$B$24:$AA$24,'实盘净值数据(iFinD公式)'!$B175:$AA175/'实盘净值数据(iFinD公式)'!$B$65:$AA$65)*(1-实盘持仓初始配置!$Z$8)^(('实盘净值数据(iFinD公式)'!$A175-'实盘净值数据(iFinD公式)'!$A$5)/365))</x:f>
        <x:v>#NAME?</x:v>
      </x:c>
      <x:c r="O175" s="152" t="e">
        <x:f>IF(OR(N174="",N175=""),"",N175/N174-1)</x:f>
        <x:v>#NAME?</x:v>
      </x:c>
      <x:c r="P175" s="152" t="e">
        <x:f>IF(N175="","",N175/MAX(N$5:N175)-1)</x:f>
        <x:v>#NAME?</x:v>
      </x:c>
      <x:c r="Q175" s="146" t="e">
        <x:f>IF(OR('实盘净值数据(iFinD公式)'!$A175="",'实盘净值数据(iFinD公式)'!$B175=""),"",分期持仓明细!$AD$25*SUMPRODUCT(分期持仓明细!$B$25:$AA$25,'实盘净值数据(iFinD公式)'!$B175:$AA175/'实盘净值数据(iFinD公式)'!$B$65:$AA$65)*(1-实盘持仓初始配置!$Z$9)^(('实盘净值数据(iFinD公式)'!$A175-'实盘净值数据(iFinD公式)'!$A$8)/365))</x:f>
        <x:v>#NAME?</x:v>
      </x:c>
      <x:c r="R175" s="152" t="e">
        <x:f>IF(OR(Q174="",Q175=""),"",Q175/Q174-1)</x:f>
        <x:v>#NAME?</x:v>
      </x:c>
      <x:c r="S175" s="152" t="e">
        <x:f>IF(Q175="","",Q175/MAX(Q$5:Q175)-1)</x:f>
        <x:v>#NAME?</x:v>
      </x:c>
    </x:row>
    <x:row r="176">
      <x:c r="A176" s="149" t="str">
        <x:f>IF('实盘净值数据(iFinD公式)'!A176="","",'实盘净值数据(iFinD公式)'!A176)</x:f>
      </x:c>
      <x:c r="B176" s="146" t="e">
        <x:f>IF(OR('实盘净值数据(iFinD公式)'!$A176="",'实盘净值数据(iFinD公式)'!$B176=""),"",分期持仓明细!$AD$17*SUMPRODUCT(分期持仓明细!$B$17:$AA$17,'实盘净值数据(iFinD公式)'!$B176:$AA176/'实盘净值数据(iFinD公式)'!$B$20:$AA$20)*(1-实盘持仓初始配置!$Z$4)^(('实盘净值数据(iFinD公式)'!$A176-'实盘净值数据(iFinD公式)'!$A$6)/365))</x:f>
        <x:v>#NAME?</x:v>
      </x:c>
      <x:c r="C176" s="152" t="e">
        <x:f>IF(OR(B175="",B176=""),"",B176/B175-1)</x:f>
        <x:v>#NAME?</x:v>
      </x:c>
      <x:c r="D176" s="152" t="e">
        <x:f>IF(B176="","",B176/MAX(B$5:B176)-1)</x:f>
        <x:v>#NAME?</x:v>
      </x:c>
      <x:c r="E176" s="146" t="e">
        <x:f>IF(OR('实盘净值数据(iFinD公式)'!$A176="",'实盘净值数据(iFinD公式)'!$B176=""),"",分期持仓明细!$AD$18*SUMPRODUCT(分期持仓明细!$B$18:$AA$18,'实盘净值数据(iFinD公式)'!$B176:$AA176/'实盘净值数据(iFinD公式)'!$B$20:$AA$20)*(1-实盘持仓初始配置!$Z$5)^(('实盘净值数据(iFinD公式)'!$A176-'实盘净值数据(iFinD公式)'!$A$5)/365))</x:f>
        <x:v>#NAME?</x:v>
      </x:c>
      <x:c r="F176" s="152" t="e">
        <x:f>IF(OR(E175="",E176=""),"",E176/E175-1)</x:f>
        <x:v>#NAME?</x:v>
      </x:c>
      <x:c r="G176" s="152" t="e">
        <x:f>IF(E176="","",E176/MAX(E$5:E176)-1)</x:f>
        <x:v>#NAME?</x:v>
      </x:c>
      <x:c r="H176" s="146" t="e">
        <x:f>IF(OR('实盘净值数据(iFinD公式)'!$A176="",'实盘净值数据(iFinD公式)'!$B176=""),"",分期持仓明细!$AD$19*SUMPRODUCT(分期持仓明细!$B$19:$AA$19,'实盘净值数据(iFinD公式)'!$B176:$AA176/'实盘净值数据(iFinD公式)'!$B$20:$AA$20)*(1-实盘持仓初始配置!$Z$6)^(('实盘净值数据(iFinD公式)'!$A176-'实盘净值数据(iFinD公式)'!$A$7)/365))</x:f>
        <x:v>#NAME?</x:v>
      </x:c>
      <x:c r="I176" s="152" t="e">
        <x:f>IF(OR(H175="",H176=""),"",H176/H175-1)</x:f>
        <x:v>#NAME?</x:v>
      </x:c>
      <x:c r="J176" s="152" t="e">
        <x:f>IF(H176="","",H176/MAX(H$5:H176)-1)</x:f>
        <x:v>#NAME?</x:v>
      </x:c>
      <x:c r="K176" s="146" t="e">
        <x:f>IF(OR('实盘净值数据(iFinD公式)'!$A176="",'实盘净值数据(iFinD公式)'!$B176=""),"",分期持仓明细!$AD$23*SUMPRODUCT(分期持仓明细!$B$23:$AA$23,'实盘净值数据(iFinD公式)'!$B176:$AA176/'实盘净值数据(iFinD公式)'!$B$65:$AA$65)*(1-实盘持仓初始配置!$Z$7)^(('实盘净值数据(iFinD公式)'!$A176-'实盘净值数据(iFinD公式)'!$A$8)/365))</x:f>
        <x:v>#NAME?</x:v>
      </x:c>
      <x:c r="L176" s="152" t="e">
        <x:f>IF(OR(K175="",K176=""),"",K176/K175-1)</x:f>
        <x:v>#NAME?</x:v>
      </x:c>
      <x:c r="M176" s="152" t="e">
        <x:f>IF(K176="","",K176/MAX(K$5:K176)-1)</x:f>
        <x:v>#NAME?</x:v>
      </x:c>
      <x:c r="N176" s="146" t="e">
        <x:f>IF(OR('实盘净值数据(iFinD公式)'!$A176="",'实盘净值数据(iFinD公式)'!$B176=""),"",分期持仓明细!$AD$24*SUMPRODUCT(分期持仓明细!$B$24:$AA$24,'实盘净值数据(iFinD公式)'!$B176:$AA176/'实盘净值数据(iFinD公式)'!$B$65:$AA$65)*(1-实盘持仓初始配置!$Z$8)^(('实盘净值数据(iFinD公式)'!$A176-'实盘净值数据(iFinD公式)'!$A$5)/365))</x:f>
        <x:v>#NAME?</x:v>
      </x:c>
      <x:c r="O176" s="152" t="e">
        <x:f>IF(OR(N175="",N176=""),"",N176/N175-1)</x:f>
        <x:v>#NAME?</x:v>
      </x:c>
      <x:c r="P176" s="152" t="e">
        <x:f>IF(N176="","",N176/MAX(N$5:N176)-1)</x:f>
        <x:v>#NAME?</x:v>
      </x:c>
      <x:c r="Q176" s="146" t="e">
        <x:f>IF(OR('实盘净值数据(iFinD公式)'!$A176="",'实盘净值数据(iFinD公式)'!$B176=""),"",分期持仓明细!$AD$25*SUMPRODUCT(分期持仓明细!$B$25:$AA$25,'实盘净值数据(iFinD公式)'!$B176:$AA176/'实盘净值数据(iFinD公式)'!$B$65:$AA$65)*(1-实盘持仓初始配置!$Z$9)^(('实盘净值数据(iFinD公式)'!$A176-'实盘净值数据(iFinD公式)'!$A$8)/365))</x:f>
        <x:v>#NAME?</x:v>
      </x:c>
      <x:c r="R176" s="152" t="e">
        <x:f>IF(OR(Q175="",Q176=""),"",Q176/Q175-1)</x:f>
        <x:v>#NAME?</x:v>
      </x:c>
      <x:c r="S176" s="152" t="e">
        <x:f>IF(Q176="","",Q176/MAX(Q$5:Q176)-1)</x:f>
        <x:v>#NAME?</x:v>
      </x:c>
    </x:row>
    <x:row r="177">
      <x:c r="A177" s="149" t="str">
        <x:f>IF('实盘净值数据(iFinD公式)'!A177="","",'实盘净值数据(iFinD公式)'!A177)</x:f>
      </x:c>
      <x:c r="B177" s="146" t="e">
        <x:f>IF(OR('实盘净值数据(iFinD公式)'!$A177="",'实盘净值数据(iFinD公式)'!$B177=""),"",分期持仓明细!$AD$17*SUMPRODUCT(分期持仓明细!$B$17:$AA$17,'实盘净值数据(iFinD公式)'!$B177:$AA177/'实盘净值数据(iFinD公式)'!$B$20:$AA$20)*(1-实盘持仓初始配置!$Z$4)^(('实盘净值数据(iFinD公式)'!$A177-'实盘净值数据(iFinD公式)'!$A$6)/365))</x:f>
        <x:v>#NAME?</x:v>
      </x:c>
      <x:c r="C177" s="152" t="e">
        <x:f>IF(OR(B176="",B177=""),"",B177/B176-1)</x:f>
        <x:v>#NAME?</x:v>
      </x:c>
      <x:c r="D177" s="152" t="e">
        <x:f>IF(B177="","",B177/MAX(B$5:B177)-1)</x:f>
        <x:v>#NAME?</x:v>
      </x:c>
      <x:c r="E177" s="146" t="e">
        <x:f>IF(OR('实盘净值数据(iFinD公式)'!$A177="",'实盘净值数据(iFinD公式)'!$B177=""),"",分期持仓明细!$AD$18*SUMPRODUCT(分期持仓明细!$B$18:$AA$18,'实盘净值数据(iFinD公式)'!$B177:$AA177/'实盘净值数据(iFinD公式)'!$B$20:$AA$20)*(1-实盘持仓初始配置!$Z$5)^(('实盘净值数据(iFinD公式)'!$A177-'实盘净值数据(iFinD公式)'!$A$5)/365))</x:f>
        <x:v>#NAME?</x:v>
      </x:c>
      <x:c r="F177" s="152" t="e">
        <x:f>IF(OR(E176="",E177=""),"",E177/E176-1)</x:f>
        <x:v>#NAME?</x:v>
      </x:c>
      <x:c r="G177" s="152" t="e">
        <x:f>IF(E177="","",E177/MAX(E$5:E177)-1)</x:f>
        <x:v>#NAME?</x:v>
      </x:c>
      <x:c r="H177" s="146" t="e">
        <x:f>IF(OR('实盘净值数据(iFinD公式)'!$A177="",'实盘净值数据(iFinD公式)'!$B177=""),"",分期持仓明细!$AD$19*SUMPRODUCT(分期持仓明细!$B$19:$AA$19,'实盘净值数据(iFinD公式)'!$B177:$AA177/'实盘净值数据(iFinD公式)'!$B$20:$AA$20)*(1-实盘持仓初始配置!$Z$6)^(('实盘净值数据(iFinD公式)'!$A177-'实盘净值数据(iFinD公式)'!$A$7)/365))</x:f>
        <x:v>#NAME?</x:v>
      </x:c>
      <x:c r="I177" s="152" t="e">
        <x:f>IF(OR(H176="",H177=""),"",H177/H176-1)</x:f>
        <x:v>#NAME?</x:v>
      </x:c>
      <x:c r="J177" s="152" t="e">
        <x:f>IF(H177="","",H177/MAX(H$5:H177)-1)</x:f>
        <x:v>#NAME?</x:v>
      </x:c>
      <x:c r="K177" s="146" t="e">
        <x:f>IF(OR('实盘净值数据(iFinD公式)'!$A177="",'实盘净值数据(iFinD公式)'!$B177=""),"",分期持仓明细!$AD$23*SUMPRODUCT(分期持仓明细!$B$23:$AA$23,'实盘净值数据(iFinD公式)'!$B177:$AA177/'实盘净值数据(iFinD公式)'!$B$65:$AA$65)*(1-实盘持仓初始配置!$Z$7)^(('实盘净值数据(iFinD公式)'!$A177-'实盘净值数据(iFinD公式)'!$A$8)/365))</x:f>
        <x:v>#NAME?</x:v>
      </x:c>
      <x:c r="L177" s="152" t="e">
        <x:f>IF(OR(K176="",K177=""),"",K177/K176-1)</x:f>
        <x:v>#NAME?</x:v>
      </x:c>
      <x:c r="M177" s="152" t="e">
        <x:f>IF(K177="","",K177/MAX(K$5:K177)-1)</x:f>
        <x:v>#NAME?</x:v>
      </x:c>
      <x:c r="N177" s="146" t="e">
        <x:f>IF(OR('实盘净值数据(iFinD公式)'!$A177="",'实盘净值数据(iFinD公式)'!$B177=""),"",分期持仓明细!$AD$24*SUMPRODUCT(分期持仓明细!$B$24:$AA$24,'实盘净值数据(iFinD公式)'!$B177:$AA177/'实盘净值数据(iFinD公式)'!$B$65:$AA$65)*(1-实盘持仓初始配置!$Z$8)^(('实盘净值数据(iFinD公式)'!$A177-'实盘净值数据(iFinD公式)'!$A$5)/365))</x:f>
        <x:v>#NAME?</x:v>
      </x:c>
      <x:c r="O177" s="152" t="e">
        <x:f>IF(OR(N176="",N177=""),"",N177/N176-1)</x:f>
        <x:v>#NAME?</x:v>
      </x:c>
      <x:c r="P177" s="152" t="e">
        <x:f>IF(N177="","",N177/MAX(N$5:N177)-1)</x:f>
        <x:v>#NAME?</x:v>
      </x:c>
      <x:c r="Q177" s="146" t="e">
        <x:f>IF(OR('实盘净值数据(iFinD公式)'!$A177="",'实盘净值数据(iFinD公式)'!$B177=""),"",分期持仓明细!$AD$25*SUMPRODUCT(分期持仓明细!$B$25:$AA$25,'实盘净值数据(iFinD公式)'!$B177:$AA177/'实盘净值数据(iFinD公式)'!$B$65:$AA$65)*(1-实盘持仓初始配置!$Z$9)^(('实盘净值数据(iFinD公式)'!$A177-'实盘净值数据(iFinD公式)'!$A$8)/365))</x:f>
        <x:v>#NAME?</x:v>
      </x:c>
      <x:c r="R177" s="152" t="e">
        <x:f>IF(OR(Q176="",Q177=""),"",Q177/Q176-1)</x:f>
        <x:v>#NAME?</x:v>
      </x:c>
      <x:c r="S177" s="152" t="e">
        <x:f>IF(Q177="","",Q177/MAX(Q$5:Q177)-1)</x:f>
        <x:v>#NAME?</x:v>
      </x:c>
    </x:row>
    <x:row r="178">
      <x:c r="A178" s="149" t="str">
        <x:f>IF('实盘净值数据(iFinD公式)'!A178="","",'实盘净值数据(iFinD公式)'!A178)</x:f>
      </x:c>
      <x:c r="B178" s="146" t="e">
        <x:f>IF(OR('实盘净值数据(iFinD公式)'!$A178="",'实盘净值数据(iFinD公式)'!$B178=""),"",分期持仓明细!$AD$17*SUMPRODUCT(分期持仓明细!$B$17:$AA$17,'实盘净值数据(iFinD公式)'!$B178:$AA178/'实盘净值数据(iFinD公式)'!$B$20:$AA$20)*(1-实盘持仓初始配置!$Z$4)^(('实盘净值数据(iFinD公式)'!$A178-'实盘净值数据(iFinD公式)'!$A$6)/365))</x:f>
        <x:v>#NAME?</x:v>
      </x:c>
      <x:c r="C178" s="152" t="e">
        <x:f>IF(OR(B177="",B178=""),"",B178/B177-1)</x:f>
        <x:v>#NAME?</x:v>
      </x:c>
      <x:c r="D178" s="152" t="e">
        <x:f>IF(B178="","",B178/MAX(B$5:B178)-1)</x:f>
        <x:v>#NAME?</x:v>
      </x:c>
      <x:c r="E178" s="146" t="e">
        <x:f>IF(OR('实盘净值数据(iFinD公式)'!$A178="",'实盘净值数据(iFinD公式)'!$B178=""),"",分期持仓明细!$AD$18*SUMPRODUCT(分期持仓明细!$B$18:$AA$18,'实盘净值数据(iFinD公式)'!$B178:$AA178/'实盘净值数据(iFinD公式)'!$B$20:$AA$20)*(1-实盘持仓初始配置!$Z$5)^(('实盘净值数据(iFinD公式)'!$A178-'实盘净值数据(iFinD公式)'!$A$5)/365))</x:f>
        <x:v>#NAME?</x:v>
      </x:c>
      <x:c r="F178" s="152" t="e">
        <x:f>IF(OR(E177="",E178=""),"",E178/E177-1)</x:f>
        <x:v>#NAME?</x:v>
      </x:c>
      <x:c r="G178" s="152" t="e">
        <x:f>IF(E178="","",E178/MAX(E$5:E178)-1)</x:f>
        <x:v>#NAME?</x:v>
      </x:c>
      <x:c r="H178" s="146" t="e">
        <x:f>IF(OR('实盘净值数据(iFinD公式)'!$A178="",'实盘净值数据(iFinD公式)'!$B178=""),"",分期持仓明细!$AD$19*SUMPRODUCT(分期持仓明细!$B$19:$AA$19,'实盘净值数据(iFinD公式)'!$B178:$AA178/'实盘净值数据(iFinD公式)'!$B$20:$AA$20)*(1-实盘持仓初始配置!$Z$6)^(('实盘净值数据(iFinD公式)'!$A178-'实盘净值数据(iFinD公式)'!$A$7)/365))</x:f>
        <x:v>#NAME?</x:v>
      </x:c>
      <x:c r="I178" s="152" t="e">
        <x:f>IF(OR(H177="",H178=""),"",H178/H177-1)</x:f>
        <x:v>#NAME?</x:v>
      </x:c>
      <x:c r="J178" s="152" t="e">
        <x:f>IF(H178="","",H178/MAX(H$5:H178)-1)</x:f>
        <x:v>#NAME?</x:v>
      </x:c>
      <x:c r="K178" s="146" t="e">
        <x:f>IF(OR('实盘净值数据(iFinD公式)'!$A178="",'实盘净值数据(iFinD公式)'!$B178=""),"",分期持仓明细!$AD$23*SUMPRODUCT(分期持仓明细!$B$23:$AA$23,'实盘净值数据(iFinD公式)'!$B178:$AA178/'实盘净值数据(iFinD公式)'!$B$65:$AA$65)*(1-实盘持仓初始配置!$Z$7)^(('实盘净值数据(iFinD公式)'!$A178-'实盘净值数据(iFinD公式)'!$A$8)/365))</x:f>
        <x:v>#NAME?</x:v>
      </x:c>
      <x:c r="L178" s="152" t="e">
        <x:f>IF(OR(K177="",K178=""),"",K178/K177-1)</x:f>
        <x:v>#NAME?</x:v>
      </x:c>
      <x:c r="M178" s="152" t="e">
        <x:f>IF(K178="","",K178/MAX(K$5:K178)-1)</x:f>
        <x:v>#NAME?</x:v>
      </x:c>
      <x:c r="N178" s="146" t="e">
        <x:f>IF(OR('实盘净值数据(iFinD公式)'!$A178="",'实盘净值数据(iFinD公式)'!$B178=""),"",分期持仓明细!$AD$24*SUMPRODUCT(分期持仓明细!$B$24:$AA$24,'实盘净值数据(iFinD公式)'!$B178:$AA178/'实盘净值数据(iFinD公式)'!$B$65:$AA$65)*(1-实盘持仓初始配置!$Z$8)^(('实盘净值数据(iFinD公式)'!$A178-'实盘净值数据(iFinD公式)'!$A$5)/365))</x:f>
        <x:v>#NAME?</x:v>
      </x:c>
      <x:c r="O178" s="152" t="e">
        <x:f>IF(OR(N177="",N178=""),"",N178/N177-1)</x:f>
        <x:v>#NAME?</x:v>
      </x:c>
      <x:c r="P178" s="152" t="e">
        <x:f>IF(N178="","",N178/MAX(N$5:N178)-1)</x:f>
        <x:v>#NAME?</x:v>
      </x:c>
      <x:c r="Q178" s="146" t="e">
        <x:f>IF(OR('实盘净值数据(iFinD公式)'!$A178="",'实盘净值数据(iFinD公式)'!$B178=""),"",分期持仓明细!$AD$25*SUMPRODUCT(分期持仓明细!$B$25:$AA$25,'实盘净值数据(iFinD公式)'!$B178:$AA178/'实盘净值数据(iFinD公式)'!$B$65:$AA$65)*(1-实盘持仓初始配置!$Z$9)^(('实盘净值数据(iFinD公式)'!$A178-'实盘净值数据(iFinD公式)'!$A$8)/365))</x:f>
        <x:v>#NAME?</x:v>
      </x:c>
      <x:c r="R178" s="152" t="e">
        <x:f>IF(OR(Q177="",Q178=""),"",Q178/Q177-1)</x:f>
        <x:v>#NAME?</x:v>
      </x:c>
      <x:c r="S178" s="152" t="e">
        <x:f>IF(Q178="","",Q178/MAX(Q$5:Q178)-1)</x:f>
        <x:v>#NAME?</x:v>
      </x:c>
    </x:row>
    <x:row r="179">
      <x:c r="A179" s="149" t="str">
        <x:f>IF('实盘净值数据(iFinD公式)'!A179="","",'实盘净值数据(iFinD公式)'!A179)</x:f>
      </x:c>
      <x:c r="B179" s="146" t="e">
        <x:f>IF(OR('实盘净值数据(iFinD公式)'!$A179="",'实盘净值数据(iFinD公式)'!$B179=""),"",分期持仓明细!$AD$17*SUMPRODUCT(分期持仓明细!$B$17:$AA$17,'实盘净值数据(iFinD公式)'!$B179:$AA179/'实盘净值数据(iFinD公式)'!$B$20:$AA$20)*(1-实盘持仓初始配置!$Z$4)^(('实盘净值数据(iFinD公式)'!$A179-'实盘净值数据(iFinD公式)'!$A$6)/365))</x:f>
        <x:v>#NAME?</x:v>
      </x:c>
      <x:c r="C179" s="152" t="e">
        <x:f>IF(OR(B178="",B179=""),"",B179/B178-1)</x:f>
        <x:v>#NAME?</x:v>
      </x:c>
      <x:c r="D179" s="152" t="e">
        <x:f>IF(B179="","",B179/MAX(B$5:B179)-1)</x:f>
        <x:v>#NAME?</x:v>
      </x:c>
      <x:c r="E179" s="146" t="e">
        <x:f>IF(OR('实盘净值数据(iFinD公式)'!$A179="",'实盘净值数据(iFinD公式)'!$B179=""),"",分期持仓明细!$AD$18*SUMPRODUCT(分期持仓明细!$B$18:$AA$18,'实盘净值数据(iFinD公式)'!$B179:$AA179/'实盘净值数据(iFinD公式)'!$B$20:$AA$20)*(1-实盘持仓初始配置!$Z$5)^(('实盘净值数据(iFinD公式)'!$A179-'实盘净值数据(iFinD公式)'!$A$5)/365))</x:f>
        <x:v>#NAME?</x:v>
      </x:c>
      <x:c r="F179" s="152" t="e">
        <x:f>IF(OR(E178="",E179=""),"",E179/E178-1)</x:f>
        <x:v>#NAME?</x:v>
      </x:c>
      <x:c r="G179" s="152" t="e">
        <x:f>IF(E179="","",E179/MAX(E$5:E179)-1)</x:f>
        <x:v>#NAME?</x:v>
      </x:c>
      <x:c r="H179" s="146" t="e">
        <x:f>IF(OR('实盘净值数据(iFinD公式)'!$A179="",'实盘净值数据(iFinD公式)'!$B179=""),"",分期持仓明细!$AD$19*SUMPRODUCT(分期持仓明细!$B$19:$AA$19,'实盘净值数据(iFinD公式)'!$B179:$AA179/'实盘净值数据(iFinD公式)'!$B$20:$AA$20)*(1-实盘持仓初始配置!$Z$6)^(('实盘净值数据(iFinD公式)'!$A179-'实盘净值数据(iFinD公式)'!$A$7)/365))</x:f>
        <x:v>#NAME?</x:v>
      </x:c>
      <x:c r="I179" s="152" t="e">
        <x:f>IF(OR(H178="",H179=""),"",H179/H178-1)</x:f>
        <x:v>#NAME?</x:v>
      </x:c>
      <x:c r="J179" s="152" t="e">
        <x:f>IF(H179="","",H179/MAX(H$5:H179)-1)</x:f>
        <x:v>#NAME?</x:v>
      </x:c>
      <x:c r="K179" s="146" t="e">
        <x:f>IF(OR('实盘净值数据(iFinD公式)'!$A179="",'实盘净值数据(iFinD公式)'!$B179=""),"",分期持仓明细!$AD$23*SUMPRODUCT(分期持仓明细!$B$23:$AA$23,'实盘净值数据(iFinD公式)'!$B179:$AA179/'实盘净值数据(iFinD公式)'!$B$65:$AA$65)*(1-实盘持仓初始配置!$Z$7)^(('实盘净值数据(iFinD公式)'!$A179-'实盘净值数据(iFinD公式)'!$A$8)/365))</x:f>
        <x:v>#NAME?</x:v>
      </x:c>
      <x:c r="L179" s="152" t="e">
        <x:f>IF(OR(K178="",K179=""),"",K179/K178-1)</x:f>
        <x:v>#NAME?</x:v>
      </x:c>
      <x:c r="M179" s="152" t="e">
        <x:f>IF(K179="","",K179/MAX(K$5:K179)-1)</x:f>
        <x:v>#NAME?</x:v>
      </x:c>
      <x:c r="N179" s="146" t="e">
        <x:f>IF(OR('实盘净值数据(iFinD公式)'!$A179="",'实盘净值数据(iFinD公式)'!$B179=""),"",分期持仓明细!$AD$24*SUMPRODUCT(分期持仓明细!$B$24:$AA$24,'实盘净值数据(iFinD公式)'!$B179:$AA179/'实盘净值数据(iFinD公式)'!$B$65:$AA$65)*(1-实盘持仓初始配置!$Z$8)^(('实盘净值数据(iFinD公式)'!$A179-'实盘净值数据(iFinD公式)'!$A$5)/365))</x:f>
        <x:v>#NAME?</x:v>
      </x:c>
      <x:c r="O179" s="152" t="e">
        <x:f>IF(OR(N178="",N179=""),"",N179/N178-1)</x:f>
        <x:v>#NAME?</x:v>
      </x:c>
      <x:c r="P179" s="152" t="e">
        <x:f>IF(N179="","",N179/MAX(N$5:N179)-1)</x:f>
        <x:v>#NAME?</x:v>
      </x:c>
      <x:c r="Q179" s="146" t="e">
        <x:f>IF(OR('实盘净值数据(iFinD公式)'!$A179="",'实盘净值数据(iFinD公式)'!$B179=""),"",分期持仓明细!$AD$25*SUMPRODUCT(分期持仓明细!$B$25:$AA$25,'实盘净值数据(iFinD公式)'!$B179:$AA179/'实盘净值数据(iFinD公式)'!$B$65:$AA$65)*(1-实盘持仓初始配置!$Z$9)^(('实盘净值数据(iFinD公式)'!$A179-'实盘净值数据(iFinD公式)'!$A$8)/365))</x:f>
        <x:v>#NAME?</x:v>
      </x:c>
      <x:c r="R179" s="152" t="e">
        <x:f>IF(OR(Q178="",Q179=""),"",Q179/Q178-1)</x:f>
        <x:v>#NAME?</x:v>
      </x:c>
      <x:c r="S179" s="152" t="e">
        <x:f>IF(Q179="","",Q179/MAX(Q$5:Q179)-1)</x:f>
        <x:v>#NAME?</x:v>
      </x:c>
    </x:row>
    <x:row r="180">
      <x:c r="A180" s="149" t="str">
        <x:f>IF('实盘净值数据(iFinD公式)'!A180="","",'实盘净值数据(iFinD公式)'!A180)</x:f>
      </x:c>
      <x:c r="B180" s="146" t="e">
        <x:f>IF(OR('实盘净值数据(iFinD公式)'!$A180="",'实盘净值数据(iFinD公式)'!$B180=""),"",分期持仓明细!$AD$17*SUMPRODUCT(分期持仓明细!$B$17:$AA$17,'实盘净值数据(iFinD公式)'!$B180:$AA180/'实盘净值数据(iFinD公式)'!$B$20:$AA$20)*(1-实盘持仓初始配置!$Z$4)^(('实盘净值数据(iFinD公式)'!$A180-'实盘净值数据(iFinD公式)'!$A$6)/365))</x:f>
        <x:v>#NAME?</x:v>
      </x:c>
      <x:c r="C180" s="152" t="e">
        <x:f>IF(OR(B179="",B180=""),"",B180/B179-1)</x:f>
        <x:v>#NAME?</x:v>
      </x:c>
      <x:c r="D180" s="152" t="e">
        <x:f>IF(B180="","",B180/MAX(B$5:B180)-1)</x:f>
        <x:v>#NAME?</x:v>
      </x:c>
      <x:c r="E180" s="146" t="e">
        <x:f>IF(OR('实盘净值数据(iFinD公式)'!$A180="",'实盘净值数据(iFinD公式)'!$B180=""),"",分期持仓明细!$AD$18*SUMPRODUCT(分期持仓明细!$B$18:$AA$18,'实盘净值数据(iFinD公式)'!$B180:$AA180/'实盘净值数据(iFinD公式)'!$B$20:$AA$20)*(1-实盘持仓初始配置!$Z$5)^(('实盘净值数据(iFinD公式)'!$A180-'实盘净值数据(iFinD公式)'!$A$5)/365))</x:f>
        <x:v>#NAME?</x:v>
      </x:c>
      <x:c r="F180" s="152" t="e">
        <x:f>IF(OR(E179="",E180=""),"",E180/E179-1)</x:f>
        <x:v>#NAME?</x:v>
      </x:c>
      <x:c r="G180" s="152" t="e">
        <x:f>IF(E180="","",E180/MAX(E$5:E180)-1)</x:f>
        <x:v>#NAME?</x:v>
      </x:c>
      <x:c r="H180" s="146" t="e">
        <x:f>IF(OR('实盘净值数据(iFinD公式)'!$A180="",'实盘净值数据(iFinD公式)'!$B180=""),"",分期持仓明细!$AD$19*SUMPRODUCT(分期持仓明细!$B$19:$AA$19,'实盘净值数据(iFinD公式)'!$B180:$AA180/'实盘净值数据(iFinD公式)'!$B$20:$AA$20)*(1-实盘持仓初始配置!$Z$6)^(('实盘净值数据(iFinD公式)'!$A180-'实盘净值数据(iFinD公式)'!$A$7)/365))</x:f>
        <x:v>#NAME?</x:v>
      </x:c>
      <x:c r="I180" s="152" t="e">
        <x:f>IF(OR(H179="",H180=""),"",H180/H179-1)</x:f>
        <x:v>#NAME?</x:v>
      </x:c>
      <x:c r="J180" s="152" t="e">
        <x:f>IF(H180="","",H180/MAX(H$5:H180)-1)</x:f>
        <x:v>#NAME?</x:v>
      </x:c>
      <x:c r="K180" s="146" t="e">
        <x:f>IF(OR('实盘净值数据(iFinD公式)'!$A180="",'实盘净值数据(iFinD公式)'!$B180=""),"",分期持仓明细!$AD$23*SUMPRODUCT(分期持仓明细!$B$23:$AA$23,'实盘净值数据(iFinD公式)'!$B180:$AA180/'实盘净值数据(iFinD公式)'!$B$65:$AA$65)*(1-实盘持仓初始配置!$Z$7)^(('实盘净值数据(iFinD公式)'!$A180-'实盘净值数据(iFinD公式)'!$A$8)/365))</x:f>
        <x:v>#NAME?</x:v>
      </x:c>
      <x:c r="L180" s="152" t="e">
        <x:f>IF(OR(K179="",K180=""),"",K180/K179-1)</x:f>
        <x:v>#NAME?</x:v>
      </x:c>
      <x:c r="M180" s="152" t="e">
        <x:f>IF(K180="","",K180/MAX(K$5:K180)-1)</x:f>
        <x:v>#NAME?</x:v>
      </x:c>
      <x:c r="N180" s="146" t="e">
        <x:f>IF(OR('实盘净值数据(iFinD公式)'!$A180="",'实盘净值数据(iFinD公式)'!$B180=""),"",分期持仓明细!$AD$24*SUMPRODUCT(分期持仓明细!$B$24:$AA$24,'实盘净值数据(iFinD公式)'!$B180:$AA180/'实盘净值数据(iFinD公式)'!$B$65:$AA$65)*(1-实盘持仓初始配置!$Z$8)^(('实盘净值数据(iFinD公式)'!$A180-'实盘净值数据(iFinD公式)'!$A$5)/365))</x:f>
        <x:v>#NAME?</x:v>
      </x:c>
      <x:c r="O180" s="152" t="e">
        <x:f>IF(OR(N179="",N180=""),"",N180/N179-1)</x:f>
        <x:v>#NAME?</x:v>
      </x:c>
      <x:c r="P180" s="152" t="e">
        <x:f>IF(N180="","",N180/MAX(N$5:N180)-1)</x:f>
        <x:v>#NAME?</x:v>
      </x:c>
      <x:c r="Q180" s="146" t="e">
        <x:f>IF(OR('实盘净值数据(iFinD公式)'!$A180="",'实盘净值数据(iFinD公式)'!$B180=""),"",分期持仓明细!$AD$25*SUMPRODUCT(分期持仓明细!$B$25:$AA$25,'实盘净值数据(iFinD公式)'!$B180:$AA180/'实盘净值数据(iFinD公式)'!$B$65:$AA$65)*(1-实盘持仓初始配置!$Z$9)^(('实盘净值数据(iFinD公式)'!$A180-'实盘净值数据(iFinD公式)'!$A$8)/365))</x:f>
        <x:v>#NAME?</x:v>
      </x:c>
      <x:c r="R180" s="152" t="e">
        <x:f>IF(OR(Q179="",Q180=""),"",Q180/Q179-1)</x:f>
        <x:v>#NAME?</x:v>
      </x:c>
      <x:c r="S180" s="152" t="e">
        <x:f>IF(Q180="","",Q180/MAX(Q$5:Q180)-1)</x:f>
        <x:v>#NAME?</x:v>
      </x:c>
    </x:row>
    <x:row r="181">
      <x:c r="A181" s="149" t="str">
        <x:f>IF('实盘净值数据(iFinD公式)'!A181="","",'实盘净值数据(iFinD公式)'!A181)</x:f>
      </x:c>
      <x:c r="B181" s="146" t="e">
        <x:f>IF(OR('实盘净值数据(iFinD公式)'!$A181="",'实盘净值数据(iFinD公式)'!$B181=""),"",分期持仓明细!$AD$17*SUMPRODUCT(分期持仓明细!$B$17:$AA$17,'实盘净值数据(iFinD公式)'!$B181:$AA181/'实盘净值数据(iFinD公式)'!$B$20:$AA$20)*(1-实盘持仓初始配置!$Z$4)^(('实盘净值数据(iFinD公式)'!$A181-'实盘净值数据(iFinD公式)'!$A$6)/365))</x:f>
        <x:v>#NAME?</x:v>
      </x:c>
      <x:c r="C181" s="152" t="e">
        <x:f>IF(OR(B180="",B181=""),"",B181/B180-1)</x:f>
        <x:v>#NAME?</x:v>
      </x:c>
      <x:c r="D181" s="152" t="e">
        <x:f>IF(B181="","",B181/MAX(B$5:B181)-1)</x:f>
        <x:v>#NAME?</x:v>
      </x:c>
      <x:c r="E181" s="146" t="e">
        <x:f>IF(OR('实盘净值数据(iFinD公式)'!$A181="",'实盘净值数据(iFinD公式)'!$B181=""),"",分期持仓明细!$AD$18*SUMPRODUCT(分期持仓明细!$B$18:$AA$18,'实盘净值数据(iFinD公式)'!$B181:$AA181/'实盘净值数据(iFinD公式)'!$B$20:$AA$20)*(1-实盘持仓初始配置!$Z$5)^(('实盘净值数据(iFinD公式)'!$A181-'实盘净值数据(iFinD公式)'!$A$5)/365))</x:f>
        <x:v>#NAME?</x:v>
      </x:c>
      <x:c r="F181" s="152" t="e">
        <x:f>IF(OR(E180="",E181=""),"",E181/E180-1)</x:f>
        <x:v>#NAME?</x:v>
      </x:c>
      <x:c r="G181" s="152" t="e">
        <x:f>IF(E181="","",E181/MAX(E$5:E181)-1)</x:f>
        <x:v>#NAME?</x:v>
      </x:c>
      <x:c r="H181" s="146" t="e">
        <x:f>IF(OR('实盘净值数据(iFinD公式)'!$A181="",'实盘净值数据(iFinD公式)'!$B181=""),"",分期持仓明细!$AD$19*SUMPRODUCT(分期持仓明细!$B$19:$AA$19,'实盘净值数据(iFinD公式)'!$B181:$AA181/'实盘净值数据(iFinD公式)'!$B$20:$AA$20)*(1-实盘持仓初始配置!$Z$6)^(('实盘净值数据(iFinD公式)'!$A181-'实盘净值数据(iFinD公式)'!$A$7)/365))</x:f>
        <x:v>#NAME?</x:v>
      </x:c>
      <x:c r="I181" s="152" t="e">
        <x:f>IF(OR(H180="",H181=""),"",H181/H180-1)</x:f>
        <x:v>#NAME?</x:v>
      </x:c>
      <x:c r="J181" s="152" t="e">
        <x:f>IF(H181="","",H181/MAX(H$5:H181)-1)</x:f>
        <x:v>#NAME?</x:v>
      </x:c>
      <x:c r="K181" s="146" t="e">
        <x:f>IF(OR('实盘净值数据(iFinD公式)'!$A181="",'实盘净值数据(iFinD公式)'!$B181=""),"",分期持仓明细!$AD$23*SUMPRODUCT(分期持仓明细!$B$23:$AA$23,'实盘净值数据(iFinD公式)'!$B181:$AA181/'实盘净值数据(iFinD公式)'!$B$65:$AA$65)*(1-实盘持仓初始配置!$Z$7)^(('实盘净值数据(iFinD公式)'!$A181-'实盘净值数据(iFinD公式)'!$A$8)/365))</x:f>
        <x:v>#NAME?</x:v>
      </x:c>
      <x:c r="L181" s="152" t="e">
        <x:f>IF(OR(K180="",K181=""),"",K181/K180-1)</x:f>
        <x:v>#NAME?</x:v>
      </x:c>
      <x:c r="M181" s="152" t="e">
        <x:f>IF(K181="","",K181/MAX(K$5:K181)-1)</x:f>
        <x:v>#NAME?</x:v>
      </x:c>
      <x:c r="N181" s="146" t="e">
        <x:f>IF(OR('实盘净值数据(iFinD公式)'!$A181="",'实盘净值数据(iFinD公式)'!$B181=""),"",分期持仓明细!$AD$24*SUMPRODUCT(分期持仓明细!$B$24:$AA$24,'实盘净值数据(iFinD公式)'!$B181:$AA181/'实盘净值数据(iFinD公式)'!$B$65:$AA$65)*(1-实盘持仓初始配置!$Z$8)^(('实盘净值数据(iFinD公式)'!$A181-'实盘净值数据(iFinD公式)'!$A$5)/365))</x:f>
        <x:v>#NAME?</x:v>
      </x:c>
      <x:c r="O181" s="152" t="e">
        <x:f>IF(OR(N180="",N181=""),"",N181/N180-1)</x:f>
        <x:v>#NAME?</x:v>
      </x:c>
      <x:c r="P181" s="152" t="e">
        <x:f>IF(N181="","",N181/MAX(N$5:N181)-1)</x:f>
        <x:v>#NAME?</x:v>
      </x:c>
      <x:c r="Q181" s="146" t="e">
        <x:f>IF(OR('实盘净值数据(iFinD公式)'!$A181="",'实盘净值数据(iFinD公式)'!$B181=""),"",分期持仓明细!$AD$25*SUMPRODUCT(分期持仓明细!$B$25:$AA$25,'实盘净值数据(iFinD公式)'!$B181:$AA181/'实盘净值数据(iFinD公式)'!$B$65:$AA$65)*(1-实盘持仓初始配置!$Z$9)^(('实盘净值数据(iFinD公式)'!$A181-'实盘净值数据(iFinD公式)'!$A$8)/365))</x:f>
        <x:v>#NAME?</x:v>
      </x:c>
      <x:c r="R181" s="152" t="e">
        <x:f>IF(OR(Q180="",Q181=""),"",Q181/Q180-1)</x:f>
        <x:v>#NAME?</x:v>
      </x:c>
      <x:c r="S181" s="152" t="e">
        <x:f>IF(Q181="","",Q181/MAX(Q$5:Q181)-1)</x:f>
        <x:v>#NAME?</x:v>
      </x:c>
    </x:row>
    <x:row r="182">
      <x:c r="A182" s="149" t="str">
        <x:f>IF('实盘净值数据(iFinD公式)'!A182="","",'实盘净值数据(iFinD公式)'!A182)</x:f>
      </x:c>
      <x:c r="B182" s="146" t="e">
        <x:f>IF(OR('实盘净值数据(iFinD公式)'!$A182="",'实盘净值数据(iFinD公式)'!$B182=""),"",分期持仓明细!$AD$17*SUMPRODUCT(分期持仓明细!$B$17:$AA$17,'实盘净值数据(iFinD公式)'!$B182:$AA182/'实盘净值数据(iFinD公式)'!$B$20:$AA$20)*(1-实盘持仓初始配置!$Z$4)^(('实盘净值数据(iFinD公式)'!$A182-'实盘净值数据(iFinD公式)'!$A$6)/365))</x:f>
        <x:v>#NAME?</x:v>
      </x:c>
      <x:c r="C182" s="152" t="e">
        <x:f>IF(OR(B181="",B182=""),"",B182/B181-1)</x:f>
        <x:v>#NAME?</x:v>
      </x:c>
      <x:c r="D182" s="152" t="e">
        <x:f>IF(B182="","",B182/MAX(B$5:B182)-1)</x:f>
        <x:v>#NAME?</x:v>
      </x:c>
      <x:c r="E182" s="146" t="e">
        <x:f>IF(OR('实盘净值数据(iFinD公式)'!$A182="",'实盘净值数据(iFinD公式)'!$B182=""),"",分期持仓明细!$AD$18*SUMPRODUCT(分期持仓明细!$B$18:$AA$18,'实盘净值数据(iFinD公式)'!$B182:$AA182/'实盘净值数据(iFinD公式)'!$B$20:$AA$20)*(1-实盘持仓初始配置!$Z$5)^(('实盘净值数据(iFinD公式)'!$A182-'实盘净值数据(iFinD公式)'!$A$5)/365))</x:f>
        <x:v>#NAME?</x:v>
      </x:c>
      <x:c r="F182" s="152" t="e">
        <x:f>IF(OR(E181="",E182=""),"",E182/E181-1)</x:f>
        <x:v>#NAME?</x:v>
      </x:c>
      <x:c r="G182" s="152" t="e">
        <x:f>IF(E182="","",E182/MAX(E$5:E182)-1)</x:f>
        <x:v>#NAME?</x:v>
      </x:c>
      <x:c r="H182" s="146" t="e">
        <x:f>IF(OR('实盘净值数据(iFinD公式)'!$A182="",'实盘净值数据(iFinD公式)'!$B182=""),"",分期持仓明细!$AD$19*SUMPRODUCT(分期持仓明细!$B$19:$AA$19,'实盘净值数据(iFinD公式)'!$B182:$AA182/'实盘净值数据(iFinD公式)'!$B$20:$AA$20)*(1-实盘持仓初始配置!$Z$6)^(('实盘净值数据(iFinD公式)'!$A182-'实盘净值数据(iFinD公式)'!$A$7)/365))</x:f>
        <x:v>#NAME?</x:v>
      </x:c>
      <x:c r="I182" s="152" t="e">
        <x:f>IF(OR(H181="",H182=""),"",H182/H181-1)</x:f>
        <x:v>#NAME?</x:v>
      </x:c>
      <x:c r="J182" s="152" t="e">
        <x:f>IF(H182="","",H182/MAX(H$5:H182)-1)</x:f>
        <x:v>#NAME?</x:v>
      </x:c>
      <x:c r="K182" s="146" t="e">
        <x:f>IF(OR('实盘净值数据(iFinD公式)'!$A182="",'实盘净值数据(iFinD公式)'!$B182=""),"",分期持仓明细!$AD$23*SUMPRODUCT(分期持仓明细!$B$23:$AA$23,'实盘净值数据(iFinD公式)'!$B182:$AA182/'实盘净值数据(iFinD公式)'!$B$65:$AA$65)*(1-实盘持仓初始配置!$Z$7)^(('实盘净值数据(iFinD公式)'!$A182-'实盘净值数据(iFinD公式)'!$A$8)/365))</x:f>
        <x:v>#NAME?</x:v>
      </x:c>
      <x:c r="L182" s="152" t="e">
        <x:f>IF(OR(K181="",K182=""),"",K182/K181-1)</x:f>
        <x:v>#NAME?</x:v>
      </x:c>
      <x:c r="M182" s="152" t="e">
        <x:f>IF(K182="","",K182/MAX(K$5:K182)-1)</x:f>
        <x:v>#NAME?</x:v>
      </x:c>
      <x:c r="N182" s="146" t="e">
        <x:f>IF(OR('实盘净值数据(iFinD公式)'!$A182="",'实盘净值数据(iFinD公式)'!$B182=""),"",分期持仓明细!$AD$24*SUMPRODUCT(分期持仓明细!$B$24:$AA$24,'实盘净值数据(iFinD公式)'!$B182:$AA182/'实盘净值数据(iFinD公式)'!$B$65:$AA$65)*(1-实盘持仓初始配置!$Z$8)^(('实盘净值数据(iFinD公式)'!$A182-'实盘净值数据(iFinD公式)'!$A$5)/365))</x:f>
        <x:v>#NAME?</x:v>
      </x:c>
      <x:c r="O182" s="152" t="e">
        <x:f>IF(OR(N181="",N182=""),"",N182/N181-1)</x:f>
        <x:v>#NAME?</x:v>
      </x:c>
      <x:c r="P182" s="152" t="e">
        <x:f>IF(N182="","",N182/MAX(N$5:N182)-1)</x:f>
        <x:v>#NAME?</x:v>
      </x:c>
      <x:c r="Q182" s="146" t="e">
        <x:f>IF(OR('实盘净值数据(iFinD公式)'!$A182="",'实盘净值数据(iFinD公式)'!$B182=""),"",分期持仓明细!$AD$25*SUMPRODUCT(分期持仓明细!$B$25:$AA$25,'实盘净值数据(iFinD公式)'!$B182:$AA182/'实盘净值数据(iFinD公式)'!$B$65:$AA$65)*(1-实盘持仓初始配置!$Z$9)^(('实盘净值数据(iFinD公式)'!$A182-'实盘净值数据(iFinD公式)'!$A$8)/365))</x:f>
        <x:v>#NAME?</x:v>
      </x:c>
      <x:c r="R182" s="152" t="e">
        <x:f>IF(OR(Q181="",Q182=""),"",Q182/Q181-1)</x:f>
        <x:v>#NAME?</x:v>
      </x:c>
      <x:c r="S182" s="152" t="e">
        <x:f>IF(Q182="","",Q182/MAX(Q$5:Q182)-1)</x:f>
        <x:v>#NAME?</x:v>
      </x:c>
    </x:row>
    <x:row r="183">
      <x:c r="A183" s="149" t="str">
        <x:f>IF('实盘净值数据(iFinD公式)'!A183="","",'实盘净值数据(iFinD公式)'!A183)</x:f>
      </x:c>
      <x:c r="B183" s="146" t="e">
        <x:f>IF(OR('实盘净值数据(iFinD公式)'!$A183="",'实盘净值数据(iFinD公式)'!$B183=""),"",分期持仓明细!$AD$17*SUMPRODUCT(分期持仓明细!$B$17:$AA$17,'实盘净值数据(iFinD公式)'!$B183:$AA183/'实盘净值数据(iFinD公式)'!$B$20:$AA$20)*(1-实盘持仓初始配置!$Z$4)^(('实盘净值数据(iFinD公式)'!$A183-'实盘净值数据(iFinD公式)'!$A$6)/365))</x:f>
        <x:v>#NAME?</x:v>
      </x:c>
      <x:c r="C183" s="152" t="e">
        <x:f>IF(OR(B182="",B183=""),"",B183/B182-1)</x:f>
        <x:v>#NAME?</x:v>
      </x:c>
      <x:c r="D183" s="152" t="e">
        <x:f>IF(B183="","",B183/MAX(B$5:B183)-1)</x:f>
        <x:v>#NAME?</x:v>
      </x:c>
      <x:c r="E183" s="146" t="e">
        <x:f>IF(OR('实盘净值数据(iFinD公式)'!$A183="",'实盘净值数据(iFinD公式)'!$B183=""),"",分期持仓明细!$AD$18*SUMPRODUCT(分期持仓明细!$B$18:$AA$18,'实盘净值数据(iFinD公式)'!$B183:$AA183/'实盘净值数据(iFinD公式)'!$B$20:$AA$20)*(1-实盘持仓初始配置!$Z$5)^(('实盘净值数据(iFinD公式)'!$A183-'实盘净值数据(iFinD公式)'!$A$5)/365))</x:f>
        <x:v>#NAME?</x:v>
      </x:c>
      <x:c r="F183" s="152" t="e">
        <x:f>IF(OR(E182="",E183=""),"",E183/E182-1)</x:f>
        <x:v>#NAME?</x:v>
      </x:c>
      <x:c r="G183" s="152" t="e">
        <x:f>IF(E183="","",E183/MAX(E$5:E183)-1)</x:f>
        <x:v>#NAME?</x:v>
      </x:c>
      <x:c r="H183" s="146" t="e">
        <x:f>IF(OR('实盘净值数据(iFinD公式)'!$A183="",'实盘净值数据(iFinD公式)'!$B183=""),"",分期持仓明细!$AD$19*SUMPRODUCT(分期持仓明细!$B$19:$AA$19,'实盘净值数据(iFinD公式)'!$B183:$AA183/'实盘净值数据(iFinD公式)'!$B$20:$AA$20)*(1-实盘持仓初始配置!$Z$6)^(('实盘净值数据(iFinD公式)'!$A183-'实盘净值数据(iFinD公式)'!$A$7)/365))</x:f>
        <x:v>#NAME?</x:v>
      </x:c>
      <x:c r="I183" s="152" t="e">
        <x:f>IF(OR(H182="",H183=""),"",H183/H182-1)</x:f>
        <x:v>#NAME?</x:v>
      </x:c>
      <x:c r="J183" s="152" t="e">
        <x:f>IF(H183="","",H183/MAX(H$5:H183)-1)</x:f>
        <x:v>#NAME?</x:v>
      </x:c>
      <x:c r="K183" s="146" t="e">
        <x:f>IF(OR('实盘净值数据(iFinD公式)'!$A183="",'实盘净值数据(iFinD公式)'!$B183=""),"",分期持仓明细!$AD$23*SUMPRODUCT(分期持仓明细!$B$23:$AA$23,'实盘净值数据(iFinD公式)'!$B183:$AA183/'实盘净值数据(iFinD公式)'!$B$65:$AA$65)*(1-实盘持仓初始配置!$Z$7)^(('实盘净值数据(iFinD公式)'!$A183-'实盘净值数据(iFinD公式)'!$A$8)/365))</x:f>
        <x:v>#NAME?</x:v>
      </x:c>
      <x:c r="L183" s="152" t="e">
        <x:f>IF(OR(K182="",K183=""),"",K183/K182-1)</x:f>
        <x:v>#NAME?</x:v>
      </x:c>
      <x:c r="M183" s="152" t="e">
        <x:f>IF(K183="","",K183/MAX(K$5:K183)-1)</x:f>
        <x:v>#NAME?</x:v>
      </x:c>
      <x:c r="N183" s="146" t="e">
        <x:f>IF(OR('实盘净值数据(iFinD公式)'!$A183="",'实盘净值数据(iFinD公式)'!$B183=""),"",分期持仓明细!$AD$24*SUMPRODUCT(分期持仓明细!$B$24:$AA$24,'实盘净值数据(iFinD公式)'!$B183:$AA183/'实盘净值数据(iFinD公式)'!$B$65:$AA$65)*(1-实盘持仓初始配置!$Z$8)^(('实盘净值数据(iFinD公式)'!$A183-'实盘净值数据(iFinD公式)'!$A$5)/365))</x:f>
        <x:v>#NAME?</x:v>
      </x:c>
      <x:c r="O183" s="152" t="e">
        <x:f>IF(OR(N182="",N183=""),"",N183/N182-1)</x:f>
        <x:v>#NAME?</x:v>
      </x:c>
      <x:c r="P183" s="152" t="e">
        <x:f>IF(N183="","",N183/MAX(N$5:N183)-1)</x:f>
        <x:v>#NAME?</x:v>
      </x:c>
      <x:c r="Q183" s="146" t="e">
        <x:f>IF(OR('实盘净值数据(iFinD公式)'!$A183="",'实盘净值数据(iFinD公式)'!$B183=""),"",分期持仓明细!$AD$25*SUMPRODUCT(分期持仓明细!$B$25:$AA$25,'实盘净值数据(iFinD公式)'!$B183:$AA183/'实盘净值数据(iFinD公式)'!$B$65:$AA$65)*(1-实盘持仓初始配置!$Z$9)^(('实盘净值数据(iFinD公式)'!$A183-'实盘净值数据(iFinD公式)'!$A$8)/365))</x:f>
        <x:v>#NAME?</x:v>
      </x:c>
      <x:c r="R183" s="152" t="e">
        <x:f>IF(OR(Q182="",Q183=""),"",Q183/Q182-1)</x:f>
        <x:v>#NAME?</x:v>
      </x:c>
      <x:c r="S183" s="152" t="e">
        <x:f>IF(Q183="","",Q183/MAX(Q$5:Q183)-1)</x:f>
        <x:v>#NAME?</x:v>
      </x:c>
    </x:row>
    <x:row r="184">
      <x:c r="A184" s="149" t="str">
        <x:f>IF('实盘净值数据(iFinD公式)'!A184="","",'实盘净值数据(iFinD公式)'!A184)</x:f>
      </x:c>
      <x:c r="B184" s="146" t="e">
        <x:f>IF(OR('实盘净值数据(iFinD公式)'!$A184="",'实盘净值数据(iFinD公式)'!$B184=""),"",分期持仓明细!$AD$17*SUMPRODUCT(分期持仓明细!$B$17:$AA$17,'实盘净值数据(iFinD公式)'!$B184:$AA184/'实盘净值数据(iFinD公式)'!$B$20:$AA$20)*(1-实盘持仓初始配置!$Z$4)^(('实盘净值数据(iFinD公式)'!$A184-'实盘净值数据(iFinD公式)'!$A$6)/365))</x:f>
        <x:v>#NAME?</x:v>
      </x:c>
      <x:c r="C184" s="152" t="e">
        <x:f>IF(OR(B183="",B184=""),"",B184/B183-1)</x:f>
        <x:v>#NAME?</x:v>
      </x:c>
      <x:c r="D184" s="152" t="e">
        <x:f>IF(B184="","",B184/MAX(B$5:B184)-1)</x:f>
        <x:v>#NAME?</x:v>
      </x:c>
      <x:c r="E184" s="146" t="e">
        <x:f>IF(OR('实盘净值数据(iFinD公式)'!$A184="",'实盘净值数据(iFinD公式)'!$B184=""),"",分期持仓明细!$AD$18*SUMPRODUCT(分期持仓明细!$B$18:$AA$18,'实盘净值数据(iFinD公式)'!$B184:$AA184/'实盘净值数据(iFinD公式)'!$B$20:$AA$20)*(1-实盘持仓初始配置!$Z$5)^(('实盘净值数据(iFinD公式)'!$A184-'实盘净值数据(iFinD公式)'!$A$5)/365))</x:f>
        <x:v>#NAME?</x:v>
      </x:c>
      <x:c r="F184" s="152" t="e">
        <x:f>IF(OR(E183="",E184=""),"",E184/E183-1)</x:f>
        <x:v>#NAME?</x:v>
      </x:c>
      <x:c r="G184" s="152" t="e">
        <x:f>IF(E184="","",E184/MAX(E$5:E184)-1)</x:f>
        <x:v>#NAME?</x:v>
      </x:c>
      <x:c r="H184" s="146" t="e">
        <x:f>IF(OR('实盘净值数据(iFinD公式)'!$A184="",'实盘净值数据(iFinD公式)'!$B184=""),"",分期持仓明细!$AD$19*SUMPRODUCT(分期持仓明细!$B$19:$AA$19,'实盘净值数据(iFinD公式)'!$B184:$AA184/'实盘净值数据(iFinD公式)'!$B$20:$AA$20)*(1-实盘持仓初始配置!$Z$6)^(('实盘净值数据(iFinD公式)'!$A184-'实盘净值数据(iFinD公式)'!$A$7)/365))</x:f>
        <x:v>#NAME?</x:v>
      </x:c>
      <x:c r="I184" s="152" t="e">
        <x:f>IF(OR(H183="",H184=""),"",H184/H183-1)</x:f>
        <x:v>#NAME?</x:v>
      </x:c>
      <x:c r="J184" s="152" t="e">
        <x:f>IF(H184="","",H184/MAX(H$5:H184)-1)</x:f>
        <x:v>#NAME?</x:v>
      </x:c>
      <x:c r="K184" s="146" t="e">
        <x:f>IF(OR('实盘净值数据(iFinD公式)'!$A184="",'实盘净值数据(iFinD公式)'!$B184=""),"",分期持仓明细!$AD$23*SUMPRODUCT(分期持仓明细!$B$23:$AA$23,'实盘净值数据(iFinD公式)'!$B184:$AA184/'实盘净值数据(iFinD公式)'!$B$65:$AA$65)*(1-实盘持仓初始配置!$Z$7)^(('实盘净值数据(iFinD公式)'!$A184-'实盘净值数据(iFinD公式)'!$A$8)/365))</x:f>
        <x:v>#NAME?</x:v>
      </x:c>
      <x:c r="L184" s="152" t="e">
        <x:f>IF(OR(K183="",K184=""),"",K184/K183-1)</x:f>
        <x:v>#NAME?</x:v>
      </x:c>
      <x:c r="M184" s="152" t="e">
        <x:f>IF(K184="","",K184/MAX(K$5:K184)-1)</x:f>
        <x:v>#NAME?</x:v>
      </x:c>
      <x:c r="N184" s="146" t="e">
        <x:f>IF(OR('实盘净值数据(iFinD公式)'!$A184="",'实盘净值数据(iFinD公式)'!$B184=""),"",分期持仓明细!$AD$24*SUMPRODUCT(分期持仓明细!$B$24:$AA$24,'实盘净值数据(iFinD公式)'!$B184:$AA184/'实盘净值数据(iFinD公式)'!$B$65:$AA$65)*(1-实盘持仓初始配置!$Z$8)^(('实盘净值数据(iFinD公式)'!$A184-'实盘净值数据(iFinD公式)'!$A$5)/365))</x:f>
        <x:v>#NAME?</x:v>
      </x:c>
      <x:c r="O184" s="152" t="e">
        <x:f>IF(OR(N183="",N184=""),"",N184/N183-1)</x:f>
        <x:v>#NAME?</x:v>
      </x:c>
      <x:c r="P184" s="152" t="e">
        <x:f>IF(N184="","",N184/MAX(N$5:N184)-1)</x:f>
        <x:v>#NAME?</x:v>
      </x:c>
      <x:c r="Q184" s="146" t="e">
        <x:f>IF(OR('实盘净值数据(iFinD公式)'!$A184="",'实盘净值数据(iFinD公式)'!$B184=""),"",分期持仓明细!$AD$25*SUMPRODUCT(分期持仓明细!$B$25:$AA$25,'实盘净值数据(iFinD公式)'!$B184:$AA184/'实盘净值数据(iFinD公式)'!$B$65:$AA$65)*(1-实盘持仓初始配置!$Z$9)^(('实盘净值数据(iFinD公式)'!$A184-'实盘净值数据(iFinD公式)'!$A$8)/365))</x:f>
        <x:v>#NAME?</x:v>
      </x:c>
      <x:c r="R184" s="152" t="e">
        <x:f>IF(OR(Q183="",Q184=""),"",Q184/Q183-1)</x:f>
        <x:v>#NAME?</x:v>
      </x:c>
      <x:c r="S184" s="152" t="e">
        <x:f>IF(Q184="","",Q184/MAX(Q$5:Q184)-1)</x:f>
        <x:v>#NAME?</x:v>
      </x:c>
    </x:row>
    <x:row r="185">
      <x:c r="A185" s="149" t="str">
        <x:f>IF('实盘净值数据(iFinD公式)'!A185="","",'实盘净值数据(iFinD公式)'!A185)</x:f>
      </x:c>
      <x:c r="B185" s="146" t="e">
        <x:f>IF(OR('实盘净值数据(iFinD公式)'!$A185="",'实盘净值数据(iFinD公式)'!$B185=""),"",分期持仓明细!$AD$17*SUMPRODUCT(分期持仓明细!$B$17:$AA$17,'实盘净值数据(iFinD公式)'!$B185:$AA185/'实盘净值数据(iFinD公式)'!$B$20:$AA$20)*(1-实盘持仓初始配置!$Z$4)^(('实盘净值数据(iFinD公式)'!$A185-'实盘净值数据(iFinD公式)'!$A$6)/365))</x:f>
        <x:v>#NAME?</x:v>
      </x:c>
      <x:c r="C185" s="152" t="e">
        <x:f>IF(OR(B184="",B185=""),"",B185/B184-1)</x:f>
        <x:v>#NAME?</x:v>
      </x:c>
      <x:c r="D185" s="152" t="e">
        <x:f>IF(B185="","",B185/MAX(B$5:B185)-1)</x:f>
        <x:v>#NAME?</x:v>
      </x:c>
      <x:c r="E185" s="146" t="e">
        <x:f>IF(OR('实盘净值数据(iFinD公式)'!$A185="",'实盘净值数据(iFinD公式)'!$B185=""),"",分期持仓明细!$AD$18*SUMPRODUCT(分期持仓明细!$B$18:$AA$18,'实盘净值数据(iFinD公式)'!$B185:$AA185/'实盘净值数据(iFinD公式)'!$B$20:$AA$20)*(1-实盘持仓初始配置!$Z$5)^(('实盘净值数据(iFinD公式)'!$A185-'实盘净值数据(iFinD公式)'!$A$5)/365))</x:f>
        <x:v>#NAME?</x:v>
      </x:c>
      <x:c r="F185" s="152" t="e">
        <x:f>IF(OR(E184="",E185=""),"",E185/E184-1)</x:f>
        <x:v>#NAME?</x:v>
      </x:c>
      <x:c r="G185" s="152" t="e">
        <x:f>IF(E185="","",E185/MAX(E$5:E185)-1)</x:f>
        <x:v>#NAME?</x:v>
      </x:c>
      <x:c r="H185" s="146" t="e">
        <x:f>IF(OR('实盘净值数据(iFinD公式)'!$A185="",'实盘净值数据(iFinD公式)'!$B185=""),"",分期持仓明细!$AD$19*SUMPRODUCT(分期持仓明细!$B$19:$AA$19,'实盘净值数据(iFinD公式)'!$B185:$AA185/'实盘净值数据(iFinD公式)'!$B$20:$AA$20)*(1-实盘持仓初始配置!$Z$6)^(('实盘净值数据(iFinD公式)'!$A185-'实盘净值数据(iFinD公式)'!$A$7)/365))</x:f>
        <x:v>#NAME?</x:v>
      </x:c>
      <x:c r="I185" s="152" t="e">
        <x:f>IF(OR(H184="",H185=""),"",H185/H184-1)</x:f>
        <x:v>#NAME?</x:v>
      </x:c>
      <x:c r="J185" s="152" t="e">
        <x:f>IF(H185="","",H185/MAX(H$5:H185)-1)</x:f>
        <x:v>#NAME?</x:v>
      </x:c>
      <x:c r="K185" s="146" t="e">
        <x:f>IF(OR('实盘净值数据(iFinD公式)'!$A185="",'实盘净值数据(iFinD公式)'!$B185=""),"",分期持仓明细!$AD$23*SUMPRODUCT(分期持仓明细!$B$23:$AA$23,'实盘净值数据(iFinD公式)'!$B185:$AA185/'实盘净值数据(iFinD公式)'!$B$65:$AA$65)*(1-实盘持仓初始配置!$Z$7)^(('实盘净值数据(iFinD公式)'!$A185-'实盘净值数据(iFinD公式)'!$A$8)/365))</x:f>
        <x:v>#NAME?</x:v>
      </x:c>
      <x:c r="L185" s="152" t="e">
        <x:f>IF(OR(K184="",K185=""),"",K185/K184-1)</x:f>
        <x:v>#NAME?</x:v>
      </x:c>
      <x:c r="M185" s="152" t="e">
        <x:f>IF(K185="","",K185/MAX(K$5:K185)-1)</x:f>
        <x:v>#NAME?</x:v>
      </x:c>
      <x:c r="N185" s="146" t="e">
        <x:f>IF(OR('实盘净值数据(iFinD公式)'!$A185="",'实盘净值数据(iFinD公式)'!$B185=""),"",分期持仓明细!$AD$24*SUMPRODUCT(分期持仓明细!$B$24:$AA$24,'实盘净值数据(iFinD公式)'!$B185:$AA185/'实盘净值数据(iFinD公式)'!$B$65:$AA$65)*(1-实盘持仓初始配置!$Z$8)^(('实盘净值数据(iFinD公式)'!$A185-'实盘净值数据(iFinD公式)'!$A$5)/365))</x:f>
        <x:v>#NAME?</x:v>
      </x:c>
      <x:c r="O185" s="152" t="e">
        <x:f>IF(OR(N184="",N185=""),"",N185/N184-1)</x:f>
        <x:v>#NAME?</x:v>
      </x:c>
      <x:c r="P185" s="152" t="e">
        <x:f>IF(N185="","",N185/MAX(N$5:N185)-1)</x:f>
        <x:v>#NAME?</x:v>
      </x:c>
      <x:c r="Q185" s="146" t="e">
        <x:f>IF(OR('实盘净值数据(iFinD公式)'!$A185="",'实盘净值数据(iFinD公式)'!$B185=""),"",分期持仓明细!$AD$25*SUMPRODUCT(分期持仓明细!$B$25:$AA$25,'实盘净值数据(iFinD公式)'!$B185:$AA185/'实盘净值数据(iFinD公式)'!$B$65:$AA$65)*(1-实盘持仓初始配置!$Z$9)^(('实盘净值数据(iFinD公式)'!$A185-'实盘净值数据(iFinD公式)'!$A$8)/365))</x:f>
        <x:v>#NAME?</x:v>
      </x:c>
      <x:c r="R185" s="152" t="e">
        <x:f>IF(OR(Q184="",Q185=""),"",Q185/Q184-1)</x:f>
        <x:v>#NAME?</x:v>
      </x:c>
      <x:c r="S185" s="152" t="e">
        <x:f>IF(Q185="","",Q185/MAX(Q$5:Q185)-1)</x:f>
        <x:v>#NAME?</x:v>
      </x:c>
    </x:row>
    <x:row r="186">
      <x:c r="A186" s="149" t="str">
        <x:f>IF('实盘净值数据(iFinD公式)'!A186="","",'实盘净值数据(iFinD公式)'!A186)</x:f>
      </x:c>
      <x:c r="B186" s="146" t="e">
        <x:f>IF(OR('实盘净值数据(iFinD公式)'!$A186="",'实盘净值数据(iFinD公式)'!$B186=""),"",分期持仓明细!$AD$17*SUMPRODUCT(分期持仓明细!$B$17:$AA$17,'实盘净值数据(iFinD公式)'!$B186:$AA186/'实盘净值数据(iFinD公式)'!$B$20:$AA$20)*(1-实盘持仓初始配置!$Z$4)^(('实盘净值数据(iFinD公式)'!$A186-'实盘净值数据(iFinD公式)'!$A$6)/365))</x:f>
        <x:v>#NAME?</x:v>
      </x:c>
      <x:c r="C186" s="152" t="e">
        <x:f>IF(OR(B185="",B186=""),"",B186/B185-1)</x:f>
        <x:v>#NAME?</x:v>
      </x:c>
      <x:c r="D186" s="152" t="e">
        <x:f>IF(B186="","",B186/MAX(B$5:B186)-1)</x:f>
        <x:v>#NAME?</x:v>
      </x:c>
      <x:c r="E186" s="146" t="e">
        <x:f>IF(OR('实盘净值数据(iFinD公式)'!$A186="",'实盘净值数据(iFinD公式)'!$B186=""),"",分期持仓明细!$AD$18*SUMPRODUCT(分期持仓明细!$B$18:$AA$18,'实盘净值数据(iFinD公式)'!$B186:$AA186/'实盘净值数据(iFinD公式)'!$B$20:$AA$20)*(1-实盘持仓初始配置!$Z$5)^(('实盘净值数据(iFinD公式)'!$A186-'实盘净值数据(iFinD公式)'!$A$5)/365))</x:f>
        <x:v>#NAME?</x:v>
      </x:c>
      <x:c r="F186" s="152" t="e">
        <x:f>IF(OR(E185="",E186=""),"",E186/E185-1)</x:f>
        <x:v>#NAME?</x:v>
      </x:c>
      <x:c r="G186" s="152" t="e">
        <x:f>IF(E186="","",E186/MAX(E$5:E186)-1)</x:f>
        <x:v>#NAME?</x:v>
      </x:c>
      <x:c r="H186" s="146" t="e">
        <x:f>IF(OR('实盘净值数据(iFinD公式)'!$A186="",'实盘净值数据(iFinD公式)'!$B186=""),"",分期持仓明细!$AD$19*SUMPRODUCT(分期持仓明细!$B$19:$AA$19,'实盘净值数据(iFinD公式)'!$B186:$AA186/'实盘净值数据(iFinD公式)'!$B$20:$AA$20)*(1-实盘持仓初始配置!$Z$6)^(('实盘净值数据(iFinD公式)'!$A186-'实盘净值数据(iFinD公式)'!$A$7)/365))</x:f>
        <x:v>#NAME?</x:v>
      </x:c>
      <x:c r="I186" s="152" t="e">
        <x:f>IF(OR(H185="",H186=""),"",H186/H185-1)</x:f>
        <x:v>#NAME?</x:v>
      </x:c>
      <x:c r="J186" s="152" t="e">
        <x:f>IF(H186="","",H186/MAX(H$5:H186)-1)</x:f>
        <x:v>#NAME?</x:v>
      </x:c>
      <x:c r="K186" s="146" t="e">
        <x:f>IF(OR('实盘净值数据(iFinD公式)'!$A186="",'实盘净值数据(iFinD公式)'!$B186=""),"",分期持仓明细!$AD$23*SUMPRODUCT(分期持仓明细!$B$23:$AA$23,'实盘净值数据(iFinD公式)'!$B186:$AA186/'实盘净值数据(iFinD公式)'!$B$65:$AA$65)*(1-实盘持仓初始配置!$Z$7)^(('实盘净值数据(iFinD公式)'!$A186-'实盘净值数据(iFinD公式)'!$A$8)/365))</x:f>
        <x:v>#NAME?</x:v>
      </x:c>
      <x:c r="L186" s="152" t="e">
        <x:f>IF(OR(K185="",K186=""),"",K186/K185-1)</x:f>
        <x:v>#NAME?</x:v>
      </x:c>
      <x:c r="M186" s="152" t="e">
        <x:f>IF(K186="","",K186/MAX(K$5:K186)-1)</x:f>
        <x:v>#NAME?</x:v>
      </x:c>
      <x:c r="N186" s="146" t="e">
        <x:f>IF(OR('实盘净值数据(iFinD公式)'!$A186="",'实盘净值数据(iFinD公式)'!$B186=""),"",分期持仓明细!$AD$24*SUMPRODUCT(分期持仓明细!$B$24:$AA$24,'实盘净值数据(iFinD公式)'!$B186:$AA186/'实盘净值数据(iFinD公式)'!$B$65:$AA$65)*(1-实盘持仓初始配置!$Z$8)^(('实盘净值数据(iFinD公式)'!$A186-'实盘净值数据(iFinD公式)'!$A$5)/365))</x:f>
        <x:v>#NAME?</x:v>
      </x:c>
      <x:c r="O186" s="152" t="e">
        <x:f>IF(OR(N185="",N186=""),"",N186/N185-1)</x:f>
        <x:v>#NAME?</x:v>
      </x:c>
      <x:c r="P186" s="152" t="e">
        <x:f>IF(N186="","",N186/MAX(N$5:N186)-1)</x:f>
        <x:v>#NAME?</x:v>
      </x:c>
      <x:c r="Q186" s="146" t="e">
        <x:f>IF(OR('实盘净值数据(iFinD公式)'!$A186="",'实盘净值数据(iFinD公式)'!$B186=""),"",分期持仓明细!$AD$25*SUMPRODUCT(分期持仓明细!$B$25:$AA$25,'实盘净值数据(iFinD公式)'!$B186:$AA186/'实盘净值数据(iFinD公式)'!$B$65:$AA$65)*(1-实盘持仓初始配置!$Z$9)^(('实盘净值数据(iFinD公式)'!$A186-'实盘净值数据(iFinD公式)'!$A$8)/365))</x:f>
        <x:v>#NAME?</x:v>
      </x:c>
      <x:c r="R186" s="152" t="e">
        <x:f>IF(OR(Q185="",Q186=""),"",Q186/Q185-1)</x:f>
        <x:v>#NAME?</x:v>
      </x:c>
      <x:c r="S186" s="152" t="e">
        <x:f>IF(Q186="","",Q186/MAX(Q$5:Q186)-1)</x:f>
        <x:v>#NAME?</x:v>
      </x:c>
    </x:row>
    <x:row r="187">
      <x:c r="A187" s="149" t="str">
        <x:f>IF('实盘净值数据(iFinD公式)'!A187="","",'实盘净值数据(iFinD公式)'!A187)</x:f>
      </x:c>
      <x:c r="B187" s="146" t="e">
        <x:f>IF(OR('实盘净值数据(iFinD公式)'!$A187="",'实盘净值数据(iFinD公式)'!$B187=""),"",分期持仓明细!$AD$17*SUMPRODUCT(分期持仓明细!$B$17:$AA$17,'实盘净值数据(iFinD公式)'!$B187:$AA187/'实盘净值数据(iFinD公式)'!$B$20:$AA$20)*(1-实盘持仓初始配置!$Z$4)^(('实盘净值数据(iFinD公式)'!$A187-'实盘净值数据(iFinD公式)'!$A$6)/365))</x:f>
        <x:v>#NAME?</x:v>
      </x:c>
      <x:c r="C187" s="152" t="e">
        <x:f>IF(OR(B186="",B187=""),"",B187/B186-1)</x:f>
        <x:v>#NAME?</x:v>
      </x:c>
      <x:c r="D187" s="152" t="e">
        <x:f>IF(B187="","",B187/MAX(B$5:B187)-1)</x:f>
        <x:v>#NAME?</x:v>
      </x:c>
      <x:c r="E187" s="146" t="e">
        <x:f>IF(OR('实盘净值数据(iFinD公式)'!$A187="",'实盘净值数据(iFinD公式)'!$B187=""),"",分期持仓明细!$AD$18*SUMPRODUCT(分期持仓明细!$B$18:$AA$18,'实盘净值数据(iFinD公式)'!$B187:$AA187/'实盘净值数据(iFinD公式)'!$B$20:$AA$20)*(1-实盘持仓初始配置!$Z$5)^(('实盘净值数据(iFinD公式)'!$A187-'实盘净值数据(iFinD公式)'!$A$5)/365))</x:f>
        <x:v>#NAME?</x:v>
      </x:c>
      <x:c r="F187" s="152" t="e">
        <x:f>IF(OR(E186="",E187=""),"",E187/E186-1)</x:f>
        <x:v>#NAME?</x:v>
      </x:c>
      <x:c r="G187" s="152" t="e">
        <x:f>IF(E187="","",E187/MAX(E$5:E187)-1)</x:f>
        <x:v>#NAME?</x:v>
      </x:c>
      <x:c r="H187" s="146" t="e">
        <x:f>IF(OR('实盘净值数据(iFinD公式)'!$A187="",'实盘净值数据(iFinD公式)'!$B187=""),"",分期持仓明细!$AD$19*SUMPRODUCT(分期持仓明细!$B$19:$AA$19,'实盘净值数据(iFinD公式)'!$B187:$AA187/'实盘净值数据(iFinD公式)'!$B$20:$AA$20)*(1-实盘持仓初始配置!$Z$6)^(('实盘净值数据(iFinD公式)'!$A187-'实盘净值数据(iFinD公式)'!$A$7)/365))</x:f>
        <x:v>#NAME?</x:v>
      </x:c>
      <x:c r="I187" s="152" t="e">
        <x:f>IF(OR(H186="",H187=""),"",H187/H186-1)</x:f>
        <x:v>#NAME?</x:v>
      </x:c>
      <x:c r="J187" s="152" t="e">
        <x:f>IF(H187="","",H187/MAX(H$5:H187)-1)</x:f>
        <x:v>#NAME?</x:v>
      </x:c>
      <x:c r="K187" s="146" t="e">
        <x:f>IF(OR('实盘净值数据(iFinD公式)'!$A187="",'实盘净值数据(iFinD公式)'!$B187=""),"",分期持仓明细!$AD$23*SUMPRODUCT(分期持仓明细!$B$23:$AA$23,'实盘净值数据(iFinD公式)'!$B187:$AA187/'实盘净值数据(iFinD公式)'!$B$65:$AA$65)*(1-实盘持仓初始配置!$Z$7)^(('实盘净值数据(iFinD公式)'!$A187-'实盘净值数据(iFinD公式)'!$A$8)/365))</x:f>
        <x:v>#NAME?</x:v>
      </x:c>
      <x:c r="L187" s="152" t="e">
        <x:f>IF(OR(K186="",K187=""),"",K187/K186-1)</x:f>
        <x:v>#NAME?</x:v>
      </x:c>
      <x:c r="M187" s="152" t="e">
        <x:f>IF(K187="","",K187/MAX(K$5:K187)-1)</x:f>
        <x:v>#NAME?</x:v>
      </x:c>
      <x:c r="N187" s="146" t="e">
        <x:f>IF(OR('实盘净值数据(iFinD公式)'!$A187="",'实盘净值数据(iFinD公式)'!$B187=""),"",分期持仓明细!$AD$24*SUMPRODUCT(分期持仓明细!$B$24:$AA$24,'实盘净值数据(iFinD公式)'!$B187:$AA187/'实盘净值数据(iFinD公式)'!$B$65:$AA$65)*(1-实盘持仓初始配置!$Z$8)^(('实盘净值数据(iFinD公式)'!$A187-'实盘净值数据(iFinD公式)'!$A$5)/365))</x:f>
        <x:v>#NAME?</x:v>
      </x:c>
      <x:c r="O187" s="152" t="e">
        <x:f>IF(OR(N186="",N187=""),"",N187/N186-1)</x:f>
        <x:v>#NAME?</x:v>
      </x:c>
      <x:c r="P187" s="152" t="e">
        <x:f>IF(N187="","",N187/MAX(N$5:N187)-1)</x:f>
        <x:v>#NAME?</x:v>
      </x:c>
      <x:c r="Q187" s="146" t="e">
        <x:f>IF(OR('实盘净值数据(iFinD公式)'!$A187="",'实盘净值数据(iFinD公式)'!$B187=""),"",分期持仓明细!$AD$25*SUMPRODUCT(分期持仓明细!$B$25:$AA$25,'实盘净值数据(iFinD公式)'!$B187:$AA187/'实盘净值数据(iFinD公式)'!$B$65:$AA$65)*(1-实盘持仓初始配置!$Z$9)^(('实盘净值数据(iFinD公式)'!$A187-'实盘净值数据(iFinD公式)'!$A$8)/365))</x:f>
        <x:v>#NAME?</x:v>
      </x:c>
      <x:c r="R187" s="152" t="e">
        <x:f>IF(OR(Q186="",Q187=""),"",Q187/Q186-1)</x:f>
        <x:v>#NAME?</x:v>
      </x:c>
      <x:c r="S187" s="152" t="e">
        <x:f>IF(Q187="","",Q187/MAX(Q$5:Q187)-1)</x:f>
        <x:v>#NAME?</x:v>
      </x:c>
    </x:row>
    <x:row r="188">
      <x:c r="A188" s="149" t="str">
        <x:f>IF('实盘净值数据(iFinD公式)'!A188="","",'实盘净值数据(iFinD公式)'!A188)</x:f>
      </x:c>
      <x:c r="B188" s="146" t="e">
        <x:f>IF(OR('实盘净值数据(iFinD公式)'!$A188="",'实盘净值数据(iFinD公式)'!$B188=""),"",分期持仓明细!$AD$17*SUMPRODUCT(分期持仓明细!$B$17:$AA$17,'实盘净值数据(iFinD公式)'!$B188:$AA188/'实盘净值数据(iFinD公式)'!$B$20:$AA$20)*(1-实盘持仓初始配置!$Z$4)^(('实盘净值数据(iFinD公式)'!$A188-'实盘净值数据(iFinD公式)'!$A$6)/365))</x:f>
        <x:v>#NAME?</x:v>
      </x:c>
      <x:c r="C188" s="152" t="e">
        <x:f>IF(OR(B187="",B188=""),"",B188/B187-1)</x:f>
        <x:v>#NAME?</x:v>
      </x:c>
      <x:c r="D188" s="152" t="e">
        <x:f>IF(B188="","",B188/MAX(B$5:B188)-1)</x:f>
        <x:v>#NAME?</x:v>
      </x:c>
      <x:c r="E188" s="146" t="e">
        <x:f>IF(OR('实盘净值数据(iFinD公式)'!$A188="",'实盘净值数据(iFinD公式)'!$B188=""),"",分期持仓明细!$AD$18*SUMPRODUCT(分期持仓明细!$B$18:$AA$18,'实盘净值数据(iFinD公式)'!$B188:$AA188/'实盘净值数据(iFinD公式)'!$B$20:$AA$20)*(1-实盘持仓初始配置!$Z$5)^(('实盘净值数据(iFinD公式)'!$A188-'实盘净值数据(iFinD公式)'!$A$5)/365))</x:f>
        <x:v>#NAME?</x:v>
      </x:c>
      <x:c r="F188" s="152" t="e">
        <x:f>IF(OR(E187="",E188=""),"",E188/E187-1)</x:f>
        <x:v>#NAME?</x:v>
      </x:c>
      <x:c r="G188" s="152" t="e">
        <x:f>IF(E188="","",E188/MAX(E$5:E188)-1)</x:f>
        <x:v>#NAME?</x:v>
      </x:c>
      <x:c r="H188" s="146" t="e">
        <x:f>IF(OR('实盘净值数据(iFinD公式)'!$A188="",'实盘净值数据(iFinD公式)'!$B188=""),"",分期持仓明细!$AD$19*SUMPRODUCT(分期持仓明细!$B$19:$AA$19,'实盘净值数据(iFinD公式)'!$B188:$AA188/'实盘净值数据(iFinD公式)'!$B$20:$AA$20)*(1-实盘持仓初始配置!$Z$6)^(('实盘净值数据(iFinD公式)'!$A188-'实盘净值数据(iFinD公式)'!$A$7)/365))</x:f>
        <x:v>#NAME?</x:v>
      </x:c>
      <x:c r="I188" s="152" t="e">
        <x:f>IF(OR(H187="",H188=""),"",H188/H187-1)</x:f>
        <x:v>#NAME?</x:v>
      </x:c>
      <x:c r="J188" s="152" t="e">
        <x:f>IF(H188="","",H188/MAX(H$5:H188)-1)</x:f>
        <x:v>#NAME?</x:v>
      </x:c>
      <x:c r="K188" s="146" t="e">
        <x:f>IF(OR('实盘净值数据(iFinD公式)'!$A188="",'实盘净值数据(iFinD公式)'!$B188=""),"",分期持仓明细!$AD$23*SUMPRODUCT(分期持仓明细!$B$23:$AA$23,'实盘净值数据(iFinD公式)'!$B188:$AA188/'实盘净值数据(iFinD公式)'!$B$65:$AA$65)*(1-实盘持仓初始配置!$Z$7)^(('实盘净值数据(iFinD公式)'!$A188-'实盘净值数据(iFinD公式)'!$A$8)/365))</x:f>
        <x:v>#NAME?</x:v>
      </x:c>
      <x:c r="L188" s="152" t="e">
        <x:f>IF(OR(K187="",K188=""),"",K188/K187-1)</x:f>
        <x:v>#NAME?</x:v>
      </x:c>
      <x:c r="M188" s="152" t="e">
        <x:f>IF(K188="","",K188/MAX(K$5:K188)-1)</x:f>
        <x:v>#NAME?</x:v>
      </x:c>
      <x:c r="N188" s="146" t="e">
        <x:f>IF(OR('实盘净值数据(iFinD公式)'!$A188="",'实盘净值数据(iFinD公式)'!$B188=""),"",分期持仓明细!$AD$24*SUMPRODUCT(分期持仓明细!$B$24:$AA$24,'实盘净值数据(iFinD公式)'!$B188:$AA188/'实盘净值数据(iFinD公式)'!$B$65:$AA$65)*(1-实盘持仓初始配置!$Z$8)^(('实盘净值数据(iFinD公式)'!$A188-'实盘净值数据(iFinD公式)'!$A$5)/365))</x:f>
        <x:v>#NAME?</x:v>
      </x:c>
      <x:c r="O188" s="152" t="e">
        <x:f>IF(OR(N187="",N188=""),"",N188/N187-1)</x:f>
        <x:v>#NAME?</x:v>
      </x:c>
      <x:c r="P188" s="152" t="e">
        <x:f>IF(N188="","",N188/MAX(N$5:N188)-1)</x:f>
        <x:v>#NAME?</x:v>
      </x:c>
      <x:c r="Q188" s="146" t="e">
        <x:f>IF(OR('实盘净值数据(iFinD公式)'!$A188="",'实盘净值数据(iFinD公式)'!$B188=""),"",分期持仓明细!$AD$25*SUMPRODUCT(分期持仓明细!$B$25:$AA$25,'实盘净值数据(iFinD公式)'!$B188:$AA188/'实盘净值数据(iFinD公式)'!$B$65:$AA$65)*(1-实盘持仓初始配置!$Z$9)^(('实盘净值数据(iFinD公式)'!$A188-'实盘净值数据(iFinD公式)'!$A$8)/365))</x:f>
        <x:v>#NAME?</x:v>
      </x:c>
      <x:c r="R188" s="152" t="e">
        <x:f>IF(OR(Q187="",Q188=""),"",Q188/Q187-1)</x:f>
        <x:v>#NAME?</x:v>
      </x:c>
      <x:c r="S188" s="152" t="e">
        <x:f>IF(Q188="","",Q188/MAX(Q$5:Q188)-1)</x:f>
        <x:v>#NAME?</x:v>
      </x:c>
    </x:row>
    <x:row r="189">
      <x:c r="A189" s="149" t="str">
        <x:f>IF('实盘净值数据(iFinD公式)'!A189="","",'实盘净值数据(iFinD公式)'!A189)</x:f>
      </x:c>
      <x:c r="B189" s="146" t="e">
        <x:f>IF(OR('实盘净值数据(iFinD公式)'!$A189="",'实盘净值数据(iFinD公式)'!$B189=""),"",分期持仓明细!$AD$17*SUMPRODUCT(分期持仓明细!$B$17:$AA$17,'实盘净值数据(iFinD公式)'!$B189:$AA189/'实盘净值数据(iFinD公式)'!$B$20:$AA$20)*(1-实盘持仓初始配置!$Z$4)^(('实盘净值数据(iFinD公式)'!$A189-'实盘净值数据(iFinD公式)'!$A$6)/365))</x:f>
        <x:v>#NAME?</x:v>
      </x:c>
      <x:c r="C189" s="152" t="e">
        <x:f>IF(OR(B188="",B189=""),"",B189/B188-1)</x:f>
        <x:v>#NAME?</x:v>
      </x:c>
      <x:c r="D189" s="152" t="e">
        <x:f>IF(B189="","",B189/MAX(B$5:B189)-1)</x:f>
        <x:v>#NAME?</x:v>
      </x:c>
      <x:c r="E189" s="146" t="e">
        <x:f>IF(OR('实盘净值数据(iFinD公式)'!$A189="",'实盘净值数据(iFinD公式)'!$B189=""),"",分期持仓明细!$AD$18*SUMPRODUCT(分期持仓明细!$B$18:$AA$18,'实盘净值数据(iFinD公式)'!$B189:$AA189/'实盘净值数据(iFinD公式)'!$B$20:$AA$20)*(1-实盘持仓初始配置!$Z$5)^(('实盘净值数据(iFinD公式)'!$A189-'实盘净值数据(iFinD公式)'!$A$5)/365))</x:f>
        <x:v>#NAME?</x:v>
      </x:c>
      <x:c r="F189" s="152" t="e">
        <x:f>IF(OR(E188="",E189=""),"",E189/E188-1)</x:f>
        <x:v>#NAME?</x:v>
      </x:c>
      <x:c r="G189" s="152" t="e">
        <x:f>IF(E189="","",E189/MAX(E$5:E189)-1)</x:f>
        <x:v>#NAME?</x:v>
      </x:c>
      <x:c r="H189" s="146" t="e">
        <x:f>IF(OR('实盘净值数据(iFinD公式)'!$A189="",'实盘净值数据(iFinD公式)'!$B189=""),"",分期持仓明细!$AD$19*SUMPRODUCT(分期持仓明细!$B$19:$AA$19,'实盘净值数据(iFinD公式)'!$B189:$AA189/'实盘净值数据(iFinD公式)'!$B$20:$AA$20)*(1-实盘持仓初始配置!$Z$6)^(('实盘净值数据(iFinD公式)'!$A189-'实盘净值数据(iFinD公式)'!$A$7)/365))</x:f>
        <x:v>#NAME?</x:v>
      </x:c>
      <x:c r="I189" s="152" t="e">
        <x:f>IF(OR(H188="",H189=""),"",H189/H188-1)</x:f>
        <x:v>#NAME?</x:v>
      </x:c>
      <x:c r="J189" s="152" t="e">
        <x:f>IF(H189="","",H189/MAX(H$5:H189)-1)</x:f>
        <x:v>#NAME?</x:v>
      </x:c>
      <x:c r="K189" s="146" t="e">
        <x:f>IF(OR('实盘净值数据(iFinD公式)'!$A189="",'实盘净值数据(iFinD公式)'!$B189=""),"",分期持仓明细!$AD$23*SUMPRODUCT(分期持仓明细!$B$23:$AA$23,'实盘净值数据(iFinD公式)'!$B189:$AA189/'实盘净值数据(iFinD公式)'!$B$65:$AA$65)*(1-实盘持仓初始配置!$Z$7)^(('实盘净值数据(iFinD公式)'!$A189-'实盘净值数据(iFinD公式)'!$A$8)/365))</x:f>
        <x:v>#NAME?</x:v>
      </x:c>
      <x:c r="L189" s="152" t="e">
        <x:f>IF(OR(K188="",K189=""),"",K189/K188-1)</x:f>
        <x:v>#NAME?</x:v>
      </x:c>
      <x:c r="M189" s="152" t="e">
        <x:f>IF(K189="","",K189/MAX(K$5:K189)-1)</x:f>
        <x:v>#NAME?</x:v>
      </x:c>
      <x:c r="N189" s="146" t="e">
        <x:f>IF(OR('实盘净值数据(iFinD公式)'!$A189="",'实盘净值数据(iFinD公式)'!$B189=""),"",分期持仓明细!$AD$24*SUMPRODUCT(分期持仓明细!$B$24:$AA$24,'实盘净值数据(iFinD公式)'!$B189:$AA189/'实盘净值数据(iFinD公式)'!$B$65:$AA$65)*(1-实盘持仓初始配置!$Z$8)^(('实盘净值数据(iFinD公式)'!$A189-'实盘净值数据(iFinD公式)'!$A$5)/365))</x:f>
        <x:v>#NAME?</x:v>
      </x:c>
      <x:c r="O189" s="152" t="e">
        <x:f>IF(OR(N188="",N189=""),"",N189/N188-1)</x:f>
        <x:v>#NAME?</x:v>
      </x:c>
      <x:c r="P189" s="152" t="e">
        <x:f>IF(N189="","",N189/MAX(N$5:N189)-1)</x:f>
        <x:v>#NAME?</x:v>
      </x:c>
      <x:c r="Q189" s="146" t="e">
        <x:f>IF(OR('实盘净值数据(iFinD公式)'!$A189="",'实盘净值数据(iFinD公式)'!$B189=""),"",分期持仓明细!$AD$25*SUMPRODUCT(分期持仓明细!$B$25:$AA$25,'实盘净值数据(iFinD公式)'!$B189:$AA189/'实盘净值数据(iFinD公式)'!$B$65:$AA$65)*(1-实盘持仓初始配置!$Z$9)^(('实盘净值数据(iFinD公式)'!$A189-'实盘净值数据(iFinD公式)'!$A$8)/365))</x:f>
        <x:v>#NAME?</x:v>
      </x:c>
      <x:c r="R189" s="152" t="e">
        <x:f>IF(OR(Q188="",Q189=""),"",Q189/Q188-1)</x:f>
        <x:v>#NAME?</x:v>
      </x:c>
      <x:c r="S189" s="152" t="e">
        <x:f>IF(Q189="","",Q189/MAX(Q$5:Q189)-1)</x:f>
        <x:v>#NAME?</x:v>
      </x:c>
    </x:row>
    <x:row r="190">
      <x:c r="A190" s="149" t="str">
        <x:f>IF('实盘净值数据(iFinD公式)'!A190="","",'实盘净值数据(iFinD公式)'!A190)</x:f>
      </x:c>
      <x:c r="B190" s="146" t="e">
        <x:f>IF(OR('实盘净值数据(iFinD公式)'!$A190="",'实盘净值数据(iFinD公式)'!$B190=""),"",分期持仓明细!$AD$17*SUMPRODUCT(分期持仓明细!$B$17:$AA$17,'实盘净值数据(iFinD公式)'!$B190:$AA190/'实盘净值数据(iFinD公式)'!$B$20:$AA$20)*(1-实盘持仓初始配置!$Z$4)^(('实盘净值数据(iFinD公式)'!$A190-'实盘净值数据(iFinD公式)'!$A$6)/365))</x:f>
        <x:v>#NAME?</x:v>
      </x:c>
      <x:c r="C190" s="152" t="e">
        <x:f>IF(OR(B189="",B190=""),"",B190/B189-1)</x:f>
        <x:v>#NAME?</x:v>
      </x:c>
      <x:c r="D190" s="152" t="e">
        <x:f>IF(B190="","",B190/MAX(B$5:B190)-1)</x:f>
        <x:v>#NAME?</x:v>
      </x:c>
      <x:c r="E190" s="146" t="e">
        <x:f>IF(OR('实盘净值数据(iFinD公式)'!$A190="",'实盘净值数据(iFinD公式)'!$B190=""),"",分期持仓明细!$AD$18*SUMPRODUCT(分期持仓明细!$B$18:$AA$18,'实盘净值数据(iFinD公式)'!$B190:$AA190/'实盘净值数据(iFinD公式)'!$B$20:$AA$20)*(1-实盘持仓初始配置!$Z$5)^(('实盘净值数据(iFinD公式)'!$A190-'实盘净值数据(iFinD公式)'!$A$5)/365))</x:f>
        <x:v>#NAME?</x:v>
      </x:c>
      <x:c r="F190" s="152" t="e">
        <x:f>IF(OR(E189="",E190=""),"",E190/E189-1)</x:f>
        <x:v>#NAME?</x:v>
      </x:c>
      <x:c r="G190" s="152" t="e">
        <x:f>IF(E190="","",E190/MAX(E$5:E190)-1)</x:f>
        <x:v>#NAME?</x:v>
      </x:c>
      <x:c r="H190" s="146" t="e">
        <x:f>IF(OR('实盘净值数据(iFinD公式)'!$A190="",'实盘净值数据(iFinD公式)'!$B190=""),"",分期持仓明细!$AD$19*SUMPRODUCT(分期持仓明细!$B$19:$AA$19,'实盘净值数据(iFinD公式)'!$B190:$AA190/'实盘净值数据(iFinD公式)'!$B$20:$AA$20)*(1-实盘持仓初始配置!$Z$6)^(('实盘净值数据(iFinD公式)'!$A190-'实盘净值数据(iFinD公式)'!$A$7)/365))</x:f>
        <x:v>#NAME?</x:v>
      </x:c>
      <x:c r="I190" s="152" t="e">
        <x:f>IF(OR(H189="",H190=""),"",H190/H189-1)</x:f>
        <x:v>#NAME?</x:v>
      </x:c>
      <x:c r="J190" s="152" t="e">
        <x:f>IF(H190="","",H190/MAX(H$5:H190)-1)</x:f>
        <x:v>#NAME?</x:v>
      </x:c>
      <x:c r="K190" s="146" t="e">
        <x:f>IF(OR('实盘净值数据(iFinD公式)'!$A190="",'实盘净值数据(iFinD公式)'!$B190=""),"",分期持仓明细!$AD$23*SUMPRODUCT(分期持仓明细!$B$23:$AA$23,'实盘净值数据(iFinD公式)'!$B190:$AA190/'实盘净值数据(iFinD公式)'!$B$65:$AA$65)*(1-实盘持仓初始配置!$Z$7)^(('实盘净值数据(iFinD公式)'!$A190-'实盘净值数据(iFinD公式)'!$A$8)/365))</x:f>
        <x:v>#NAME?</x:v>
      </x:c>
      <x:c r="L190" s="152" t="e">
        <x:f>IF(OR(K189="",K190=""),"",K190/K189-1)</x:f>
        <x:v>#NAME?</x:v>
      </x:c>
      <x:c r="M190" s="152" t="e">
        <x:f>IF(K190="","",K190/MAX(K$5:K190)-1)</x:f>
        <x:v>#NAME?</x:v>
      </x:c>
      <x:c r="N190" s="146" t="e">
        <x:f>IF(OR('实盘净值数据(iFinD公式)'!$A190="",'实盘净值数据(iFinD公式)'!$B190=""),"",分期持仓明细!$AD$24*SUMPRODUCT(分期持仓明细!$B$24:$AA$24,'实盘净值数据(iFinD公式)'!$B190:$AA190/'实盘净值数据(iFinD公式)'!$B$65:$AA$65)*(1-实盘持仓初始配置!$Z$8)^(('实盘净值数据(iFinD公式)'!$A190-'实盘净值数据(iFinD公式)'!$A$5)/365))</x:f>
        <x:v>#NAME?</x:v>
      </x:c>
      <x:c r="O190" s="152" t="e">
        <x:f>IF(OR(N189="",N190=""),"",N190/N189-1)</x:f>
        <x:v>#NAME?</x:v>
      </x:c>
      <x:c r="P190" s="152" t="e">
        <x:f>IF(N190="","",N190/MAX(N$5:N190)-1)</x:f>
        <x:v>#NAME?</x:v>
      </x:c>
      <x:c r="Q190" s="146" t="e">
        <x:f>IF(OR('实盘净值数据(iFinD公式)'!$A190="",'实盘净值数据(iFinD公式)'!$B190=""),"",分期持仓明细!$AD$25*SUMPRODUCT(分期持仓明细!$B$25:$AA$25,'实盘净值数据(iFinD公式)'!$B190:$AA190/'实盘净值数据(iFinD公式)'!$B$65:$AA$65)*(1-实盘持仓初始配置!$Z$9)^(('实盘净值数据(iFinD公式)'!$A190-'实盘净值数据(iFinD公式)'!$A$8)/365))</x:f>
        <x:v>#NAME?</x:v>
      </x:c>
      <x:c r="R190" s="152" t="e">
        <x:f>IF(OR(Q189="",Q190=""),"",Q190/Q189-1)</x:f>
        <x:v>#NAME?</x:v>
      </x:c>
      <x:c r="S190" s="152" t="e">
        <x:f>IF(Q190="","",Q190/MAX(Q$5:Q190)-1)</x:f>
        <x:v>#NAME?</x:v>
      </x:c>
    </x:row>
    <x:row r="191">
      <x:c r="A191" s="149" t="str">
        <x:f>IF('实盘净值数据(iFinD公式)'!A191="","",'实盘净值数据(iFinD公式)'!A191)</x:f>
      </x:c>
      <x:c r="B191" s="146" t="e">
        <x:f>IF(OR('实盘净值数据(iFinD公式)'!$A191="",'实盘净值数据(iFinD公式)'!$B191=""),"",分期持仓明细!$AD$17*SUMPRODUCT(分期持仓明细!$B$17:$AA$17,'实盘净值数据(iFinD公式)'!$B191:$AA191/'实盘净值数据(iFinD公式)'!$B$20:$AA$20)*(1-实盘持仓初始配置!$Z$4)^(('实盘净值数据(iFinD公式)'!$A191-'实盘净值数据(iFinD公式)'!$A$6)/365))</x:f>
        <x:v>#NAME?</x:v>
      </x:c>
      <x:c r="C191" s="152" t="e">
        <x:f>IF(OR(B190="",B191=""),"",B191/B190-1)</x:f>
        <x:v>#NAME?</x:v>
      </x:c>
      <x:c r="D191" s="152" t="e">
        <x:f>IF(B191="","",B191/MAX(B$5:B191)-1)</x:f>
        <x:v>#NAME?</x:v>
      </x:c>
      <x:c r="E191" s="146" t="e">
        <x:f>IF(OR('实盘净值数据(iFinD公式)'!$A191="",'实盘净值数据(iFinD公式)'!$B191=""),"",分期持仓明细!$AD$18*SUMPRODUCT(分期持仓明细!$B$18:$AA$18,'实盘净值数据(iFinD公式)'!$B191:$AA191/'实盘净值数据(iFinD公式)'!$B$20:$AA$20)*(1-实盘持仓初始配置!$Z$5)^(('实盘净值数据(iFinD公式)'!$A191-'实盘净值数据(iFinD公式)'!$A$5)/365))</x:f>
        <x:v>#NAME?</x:v>
      </x:c>
      <x:c r="F191" s="152" t="e">
        <x:f>IF(OR(E190="",E191=""),"",E191/E190-1)</x:f>
        <x:v>#NAME?</x:v>
      </x:c>
      <x:c r="G191" s="152" t="e">
        <x:f>IF(E191="","",E191/MAX(E$5:E191)-1)</x:f>
        <x:v>#NAME?</x:v>
      </x:c>
      <x:c r="H191" s="146" t="e">
        <x:f>IF(OR('实盘净值数据(iFinD公式)'!$A191="",'实盘净值数据(iFinD公式)'!$B191=""),"",分期持仓明细!$AD$19*SUMPRODUCT(分期持仓明细!$B$19:$AA$19,'实盘净值数据(iFinD公式)'!$B191:$AA191/'实盘净值数据(iFinD公式)'!$B$20:$AA$20)*(1-实盘持仓初始配置!$Z$6)^(('实盘净值数据(iFinD公式)'!$A191-'实盘净值数据(iFinD公式)'!$A$7)/365))</x:f>
        <x:v>#NAME?</x:v>
      </x:c>
      <x:c r="I191" s="152" t="e">
        <x:f>IF(OR(H190="",H191=""),"",H191/H190-1)</x:f>
        <x:v>#NAME?</x:v>
      </x:c>
      <x:c r="J191" s="152" t="e">
        <x:f>IF(H191="","",H191/MAX(H$5:H191)-1)</x:f>
        <x:v>#NAME?</x:v>
      </x:c>
      <x:c r="K191" s="146" t="e">
        <x:f>IF(OR('实盘净值数据(iFinD公式)'!$A191="",'实盘净值数据(iFinD公式)'!$B191=""),"",分期持仓明细!$AD$23*SUMPRODUCT(分期持仓明细!$B$23:$AA$23,'实盘净值数据(iFinD公式)'!$B191:$AA191/'实盘净值数据(iFinD公式)'!$B$65:$AA$65)*(1-实盘持仓初始配置!$Z$7)^(('实盘净值数据(iFinD公式)'!$A191-'实盘净值数据(iFinD公式)'!$A$8)/365))</x:f>
        <x:v>#NAME?</x:v>
      </x:c>
      <x:c r="L191" s="152" t="e">
        <x:f>IF(OR(K190="",K191=""),"",K191/K190-1)</x:f>
        <x:v>#NAME?</x:v>
      </x:c>
      <x:c r="M191" s="152" t="e">
        <x:f>IF(K191="","",K191/MAX(K$5:K191)-1)</x:f>
        <x:v>#NAME?</x:v>
      </x:c>
      <x:c r="N191" s="146" t="e">
        <x:f>IF(OR('实盘净值数据(iFinD公式)'!$A191="",'实盘净值数据(iFinD公式)'!$B191=""),"",分期持仓明细!$AD$24*SUMPRODUCT(分期持仓明细!$B$24:$AA$24,'实盘净值数据(iFinD公式)'!$B191:$AA191/'实盘净值数据(iFinD公式)'!$B$65:$AA$65)*(1-实盘持仓初始配置!$Z$8)^(('实盘净值数据(iFinD公式)'!$A191-'实盘净值数据(iFinD公式)'!$A$5)/365))</x:f>
        <x:v>#NAME?</x:v>
      </x:c>
      <x:c r="O191" s="152" t="e">
        <x:f>IF(OR(N190="",N191=""),"",N191/N190-1)</x:f>
        <x:v>#NAME?</x:v>
      </x:c>
      <x:c r="P191" s="152" t="e">
        <x:f>IF(N191="","",N191/MAX(N$5:N191)-1)</x:f>
        <x:v>#NAME?</x:v>
      </x:c>
      <x:c r="Q191" s="146" t="e">
        <x:f>IF(OR('实盘净值数据(iFinD公式)'!$A191="",'实盘净值数据(iFinD公式)'!$B191=""),"",分期持仓明细!$AD$25*SUMPRODUCT(分期持仓明细!$B$25:$AA$25,'实盘净值数据(iFinD公式)'!$B191:$AA191/'实盘净值数据(iFinD公式)'!$B$65:$AA$65)*(1-实盘持仓初始配置!$Z$9)^(('实盘净值数据(iFinD公式)'!$A191-'实盘净值数据(iFinD公式)'!$A$8)/365))</x:f>
        <x:v>#NAME?</x:v>
      </x:c>
      <x:c r="R191" s="152" t="e">
        <x:f>IF(OR(Q190="",Q191=""),"",Q191/Q190-1)</x:f>
        <x:v>#NAME?</x:v>
      </x:c>
      <x:c r="S191" s="152" t="e">
        <x:f>IF(Q191="","",Q191/MAX(Q$5:Q191)-1)</x:f>
        <x:v>#NAME?</x:v>
      </x:c>
    </x:row>
    <x:row r="192">
      <x:c r="A192" s="149" t="str">
        <x:f>IF('实盘净值数据(iFinD公式)'!A192="","",'实盘净值数据(iFinD公式)'!A192)</x:f>
      </x:c>
      <x:c r="B192" s="146" t="e">
        <x:f>IF(OR('实盘净值数据(iFinD公式)'!$A192="",'实盘净值数据(iFinD公式)'!$B192=""),"",分期持仓明细!$AD$17*SUMPRODUCT(分期持仓明细!$B$17:$AA$17,'实盘净值数据(iFinD公式)'!$B192:$AA192/'实盘净值数据(iFinD公式)'!$B$20:$AA$20)*(1-实盘持仓初始配置!$Z$4)^(('实盘净值数据(iFinD公式)'!$A192-'实盘净值数据(iFinD公式)'!$A$6)/365))</x:f>
        <x:v>#NAME?</x:v>
      </x:c>
      <x:c r="C192" s="152" t="e">
        <x:f>IF(OR(B191="",B192=""),"",B192/B191-1)</x:f>
        <x:v>#NAME?</x:v>
      </x:c>
      <x:c r="D192" s="152" t="e">
        <x:f>IF(B192="","",B192/MAX(B$5:B192)-1)</x:f>
        <x:v>#NAME?</x:v>
      </x:c>
      <x:c r="E192" s="146" t="e">
        <x:f>IF(OR('实盘净值数据(iFinD公式)'!$A192="",'实盘净值数据(iFinD公式)'!$B192=""),"",分期持仓明细!$AD$18*SUMPRODUCT(分期持仓明细!$B$18:$AA$18,'实盘净值数据(iFinD公式)'!$B192:$AA192/'实盘净值数据(iFinD公式)'!$B$20:$AA$20)*(1-实盘持仓初始配置!$Z$5)^(('实盘净值数据(iFinD公式)'!$A192-'实盘净值数据(iFinD公式)'!$A$5)/365))</x:f>
        <x:v>#NAME?</x:v>
      </x:c>
      <x:c r="F192" s="152" t="e">
        <x:f>IF(OR(E191="",E192=""),"",E192/E191-1)</x:f>
        <x:v>#NAME?</x:v>
      </x:c>
      <x:c r="G192" s="152" t="e">
        <x:f>IF(E192="","",E192/MAX(E$5:E192)-1)</x:f>
        <x:v>#NAME?</x:v>
      </x:c>
      <x:c r="H192" s="146" t="e">
        <x:f>IF(OR('实盘净值数据(iFinD公式)'!$A192="",'实盘净值数据(iFinD公式)'!$B192=""),"",分期持仓明细!$AD$19*SUMPRODUCT(分期持仓明细!$B$19:$AA$19,'实盘净值数据(iFinD公式)'!$B192:$AA192/'实盘净值数据(iFinD公式)'!$B$20:$AA$20)*(1-实盘持仓初始配置!$Z$6)^(('实盘净值数据(iFinD公式)'!$A192-'实盘净值数据(iFinD公式)'!$A$7)/365))</x:f>
        <x:v>#NAME?</x:v>
      </x:c>
      <x:c r="I192" s="152" t="e">
        <x:f>IF(OR(H191="",H192=""),"",H192/H191-1)</x:f>
        <x:v>#NAME?</x:v>
      </x:c>
      <x:c r="J192" s="152" t="e">
        <x:f>IF(H192="","",H192/MAX(H$5:H192)-1)</x:f>
        <x:v>#NAME?</x:v>
      </x:c>
      <x:c r="K192" s="146" t="e">
        <x:f>IF(OR('实盘净值数据(iFinD公式)'!$A192="",'实盘净值数据(iFinD公式)'!$B192=""),"",分期持仓明细!$AD$23*SUMPRODUCT(分期持仓明细!$B$23:$AA$23,'实盘净值数据(iFinD公式)'!$B192:$AA192/'实盘净值数据(iFinD公式)'!$B$65:$AA$65)*(1-实盘持仓初始配置!$Z$7)^(('实盘净值数据(iFinD公式)'!$A192-'实盘净值数据(iFinD公式)'!$A$8)/365))</x:f>
        <x:v>#NAME?</x:v>
      </x:c>
      <x:c r="L192" s="152" t="e">
        <x:f>IF(OR(K191="",K192=""),"",K192/K191-1)</x:f>
        <x:v>#NAME?</x:v>
      </x:c>
      <x:c r="M192" s="152" t="e">
        <x:f>IF(K192="","",K192/MAX(K$5:K192)-1)</x:f>
        <x:v>#NAME?</x:v>
      </x:c>
      <x:c r="N192" s="146" t="e">
        <x:f>IF(OR('实盘净值数据(iFinD公式)'!$A192="",'实盘净值数据(iFinD公式)'!$B192=""),"",分期持仓明细!$AD$24*SUMPRODUCT(分期持仓明细!$B$24:$AA$24,'实盘净值数据(iFinD公式)'!$B192:$AA192/'实盘净值数据(iFinD公式)'!$B$65:$AA$65)*(1-实盘持仓初始配置!$Z$8)^(('实盘净值数据(iFinD公式)'!$A192-'实盘净值数据(iFinD公式)'!$A$5)/365))</x:f>
        <x:v>#NAME?</x:v>
      </x:c>
      <x:c r="O192" s="152" t="e">
        <x:f>IF(OR(N191="",N192=""),"",N192/N191-1)</x:f>
        <x:v>#NAME?</x:v>
      </x:c>
      <x:c r="P192" s="152" t="e">
        <x:f>IF(N192="","",N192/MAX(N$5:N192)-1)</x:f>
        <x:v>#NAME?</x:v>
      </x:c>
      <x:c r="Q192" s="146" t="e">
        <x:f>IF(OR('实盘净值数据(iFinD公式)'!$A192="",'实盘净值数据(iFinD公式)'!$B192=""),"",分期持仓明细!$AD$25*SUMPRODUCT(分期持仓明细!$B$25:$AA$25,'实盘净值数据(iFinD公式)'!$B192:$AA192/'实盘净值数据(iFinD公式)'!$B$65:$AA$65)*(1-实盘持仓初始配置!$Z$9)^(('实盘净值数据(iFinD公式)'!$A192-'实盘净值数据(iFinD公式)'!$A$8)/365))</x:f>
        <x:v>#NAME?</x:v>
      </x:c>
      <x:c r="R192" s="152" t="e">
        <x:f>IF(OR(Q191="",Q192=""),"",Q192/Q191-1)</x:f>
        <x:v>#NAME?</x:v>
      </x:c>
      <x:c r="S192" s="152" t="e">
        <x:f>IF(Q192="","",Q192/MAX(Q$5:Q192)-1)</x:f>
        <x:v>#NAME?</x:v>
      </x:c>
    </x:row>
    <x:row r="193">
      <x:c r="A193" s="149" t="str">
        <x:f>IF('实盘净值数据(iFinD公式)'!A193="","",'实盘净值数据(iFinD公式)'!A193)</x:f>
      </x:c>
      <x:c r="B193" s="146" t="e">
        <x:f>IF(OR('实盘净值数据(iFinD公式)'!$A193="",'实盘净值数据(iFinD公式)'!$B193=""),"",分期持仓明细!$AD$17*SUMPRODUCT(分期持仓明细!$B$17:$AA$17,'实盘净值数据(iFinD公式)'!$B193:$AA193/'实盘净值数据(iFinD公式)'!$B$20:$AA$20)*(1-实盘持仓初始配置!$Z$4)^(('实盘净值数据(iFinD公式)'!$A193-'实盘净值数据(iFinD公式)'!$A$6)/365))</x:f>
        <x:v>#NAME?</x:v>
      </x:c>
      <x:c r="C193" s="152" t="e">
        <x:f>IF(OR(B192="",B193=""),"",B193/B192-1)</x:f>
        <x:v>#NAME?</x:v>
      </x:c>
      <x:c r="D193" s="152" t="e">
        <x:f>IF(B193="","",B193/MAX(B$5:B193)-1)</x:f>
        <x:v>#NAME?</x:v>
      </x:c>
      <x:c r="E193" s="146" t="e">
        <x:f>IF(OR('实盘净值数据(iFinD公式)'!$A193="",'实盘净值数据(iFinD公式)'!$B193=""),"",分期持仓明细!$AD$18*SUMPRODUCT(分期持仓明细!$B$18:$AA$18,'实盘净值数据(iFinD公式)'!$B193:$AA193/'实盘净值数据(iFinD公式)'!$B$20:$AA$20)*(1-实盘持仓初始配置!$Z$5)^(('实盘净值数据(iFinD公式)'!$A193-'实盘净值数据(iFinD公式)'!$A$5)/365))</x:f>
        <x:v>#NAME?</x:v>
      </x:c>
      <x:c r="F193" s="152" t="e">
        <x:f>IF(OR(E192="",E193=""),"",E193/E192-1)</x:f>
        <x:v>#NAME?</x:v>
      </x:c>
      <x:c r="G193" s="152" t="e">
        <x:f>IF(E193="","",E193/MAX(E$5:E193)-1)</x:f>
        <x:v>#NAME?</x:v>
      </x:c>
      <x:c r="H193" s="146" t="e">
        <x:f>IF(OR('实盘净值数据(iFinD公式)'!$A193="",'实盘净值数据(iFinD公式)'!$B193=""),"",分期持仓明细!$AD$19*SUMPRODUCT(分期持仓明细!$B$19:$AA$19,'实盘净值数据(iFinD公式)'!$B193:$AA193/'实盘净值数据(iFinD公式)'!$B$20:$AA$20)*(1-实盘持仓初始配置!$Z$6)^(('实盘净值数据(iFinD公式)'!$A193-'实盘净值数据(iFinD公式)'!$A$7)/365))</x:f>
        <x:v>#NAME?</x:v>
      </x:c>
      <x:c r="I193" s="152" t="e">
        <x:f>IF(OR(H192="",H193=""),"",H193/H192-1)</x:f>
        <x:v>#NAME?</x:v>
      </x:c>
      <x:c r="J193" s="152" t="e">
        <x:f>IF(H193="","",H193/MAX(H$5:H193)-1)</x:f>
        <x:v>#NAME?</x:v>
      </x:c>
      <x:c r="K193" s="146" t="e">
        <x:f>IF(OR('实盘净值数据(iFinD公式)'!$A193="",'实盘净值数据(iFinD公式)'!$B193=""),"",分期持仓明细!$AD$23*SUMPRODUCT(分期持仓明细!$B$23:$AA$23,'实盘净值数据(iFinD公式)'!$B193:$AA193/'实盘净值数据(iFinD公式)'!$B$65:$AA$65)*(1-实盘持仓初始配置!$Z$7)^(('实盘净值数据(iFinD公式)'!$A193-'实盘净值数据(iFinD公式)'!$A$8)/365))</x:f>
        <x:v>#NAME?</x:v>
      </x:c>
      <x:c r="L193" s="152" t="e">
        <x:f>IF(OR(K192="",K193=""),"",K193/K192-1)</x:f>
        <x:v>#NAME?</x:v>
      </x:c>
      <x:c r="M193" s="152" t="e">
        <x:f>IF(K193="","",K193/MAX(K$5:K193)-1)</x:f>
        <x:v>#NAME?</x:v>
      </x:c>
      <x:c r="N193" s="146" t="e">
        <x:f>IF(OR('实盘净值数据(iFinD公式)'!$A193="",'实盘净值数据(iFinD公式)'!$B193=""),"",分期持仓明细!$AD$24*SUMPRODUCT(分期持仓明细!$B$24:$AA$24,'实盘净值数据(iFinD公式)'!$B193:$AA193/'实盘净值数据(iFinD公式)'!$B$65:$AA$65)*(1-实盘持仓初始配置!$Z$8)^(('实盘净值数据(iFinD公式)'!$A193-'实盘净值数据(iFinD公式)'!$A$5)/365))</x:f>
        <x:v>#NAME?</x:v>
      </x:c>
      <x:c r="O193" s="152" t="e">
        <x:f>IF(OR(N192="",N193=""),"",N193/N192-1)</x:f>
        <x:v>#NAME?</x:v>
      </x:c>
      <x:c r="P193" s="152" t="e">
        <x:f>IF(N193="","",N193/MAX(N$5:N193)-1)</x:f>
        <x:v>#NAME?</x:v>
      </x:c>
      <x:c r="Q193" s="146" t="e">
        <x:f>IF(OR('实盘净值数据(iFinD公式)'!$A193="",'实盘净值数据(iFinD公式)'!$B193=""),"",分期持仓明细!$AD$25*SUMPRODUCT(分期持仓明细!$B$25:$AA$25,'实盘净值数据(iFinD公式)'!$B193:$AA193/'实盘净值数据(iFinD公式)'!$B$65:$AA$65)*(1-实盘持仓初始配置!$Z$9)^(('实盘净值数据(iFinD公式)'!$A193-'实盘净值数据(iFinD公式)'!$A$8)/365))</x:f>
        <x:v>#NAME?</x:v>
      </x:c>
      <x:c r="R193" s="152" t="e">
        <x:f>IF(OR(Q192="",Q193=""),"",Q193/Q192-1)</x:f>
        <x:v>#NAME?</x:v>
      </x:c>
      <x:c r="S193" s="152" t="e">
        <x:f>IF(Q193="","",Q193/MAX(Q$5:Q193)-1)</x:f>
        <x:v>#NAME?</x:v>
      </x:c>
    </x:row>
    <x:row r="194">
      <x:c r="A194" s="149" t="str">
        <x:f>IF('实盘净值数据(iFinD公式)'!A194="","",'实盘净值数据(iFinD公式)'!A194)</x:f>
      </x:c>
      <x:c r="B194" s="146" t="e">
        <x:f>IF(OR('实盘净值数据(iFinD公式)'!$A194="",'实盘净值数据(iFinD公式)'!$B194=""),"",分期持仓明细!$AD$17*SUMPRODUCT(分期持仓明细!$B$17:$AA$17,'实盘净值数据(iFinD公式)'!$B194:$AA194/'实盘净值数据(iFinD公式)'!$B$20:$AA$20)*(1-实盘持仓初始配置!$Z$4)^(('实盘净值数据(iFinD公式)'!$A194-'实盘净值数据(iFinD公式)'!$A$6)/365))</x:f>
        <x:v>#NAME?</x:v>
      </x:c>
      <x:c r="C194" s="152" t="e">
        <x:f>IF(OR(B193="",B194=""),"",B194/B193-1)</x:f>
        <x:v>#NAME?</x:v>
      </x:c>
      <x:c r="D194" s="152" t="e">
        <x:f>IF(B194="","",B194/MAX(B$5:B194)-1)</x:f>
        <x:v>#NAME?</x:v>
      </x:c>
      <x:c r="E194" s="146" t="e">
        <x:f>IF(OR('实盘净值数据(iFinD公式)'!$A194="",'实盘净值数据(iFinD公式)'!$B194=""),"",分期持仓明细!$AD$18*SUMPRODUCT(分期持仓明细!$B$18:$AA$18,'实盘净值数据(iFinD公式)'!$B194:$AA194/'实盘净值数据(iFinD公式)'!$B$20:$AA$20)*(1-实盘持仓初始配置!$Z$5)^(('实盘净值数据(iFinD公式)'!$A194-'实盘净值数据(iFinD公式)'!$A$5)/365))</x:f>
        <x:v>#NAME?</x:v>
      </x:c>
      <x:c r="F194" s="152" t="e">
        <x:f>IF(OR(E193="",E194=""),"",E194/E193-1)</x:f>
        <x:v>#NAME?</x:v>
      </x:c>
      <x:c r="G194" s="152" t="e">
        <x:f>IF(E194="","",E194/MAX(E$5:E194)-1)</x:f>
        <x:v>#NAME?</x:v>
      </x:c>
      <x:c r="H194" s="146" t="e">
        <x:f>IF(OR('实盘净值数据(iFinD公式)'!$A194="",'实盘净值数据(iFinD公式)'!$B194=""),"",分期持仓明细!$AD$19*SUMPRODUCT(分期持仓明细!$B$19:$AA$19,'实盘净值数据(iFinD公式)'!$B194:$AA194/'实盘净值数据(iFinD公式)'!$B$20:$AA$20)*(1-实盘持仓初始配置!$Z$6)^(('实盘净值数据(iFinD公式)'!$A194-'实盘净值数据(iFinD公式)'!$A$7)/365))</x:f>
        <x:v>#NAME?</x:v>
      </x:c>
      <x:c r="I194" s="152" t="e">
        <x:f>IF(OR(H193="",H194=""),"",H194/H193-1)</x:f>
        <x:v>#NAME?</x:v>
      </x:c>
      <x:c r="J194" s="152" t="e">
        <x:f>IF(H194="","",H194/MAX(H$5:H194)-1)</x:f>
        <x:v>#NAME?</x:v>
      </x:c>
      <x:c r="K194" s="146" t="e">
        <x:f>IF(OR('实盘净值数据(iFinD公式)'!$A194="",'实盘净值数据(iFinD公式)'!$B194=""),"",分期持仓明细!$AD$23*SUMPRODUCT(分期持仓明细!$B$23:$AA$23,'实盘净值数据(iFinD公式)'!$B194:$AA194/'实盘净值数据(iFinD公式)'!$B$65:$AA$65)*(1-实盘持仓初始配置!$Z$7)^(('实盘净值数据(iFinD公式)'!$A194-'实盘净值数据(iFinD公式)'!$A$8)/365))</x:f>
        <x:v>#NAME?</x:v>
      </x:c>
      <x:c r="L194" s="152" t="e">
        <x:f>IF(OR(K193="",K194=""),"",K194/K193-1)</x:f>
        <x:v>#NAME?</x:v>
      </x:c>
      <x:c r="M194" s="152" t="e">
        <x:f>IF(K194="","",K194/MAX(K$5:K194)-1)</x:f>
        <x:v>#NAME?</x:v>
      </x:c>
      <x:c r="N194" s="146" t="e">
        <x:f>IF(OR('实盘净值数据(iFinD公式)'!$A194="",'实盘净值数据(iFinD公式)'!$B194=""),"",分期持仓明细!$AD$24*SUMPRODUCT(分期持仓明细!$B$24:$AA$24,'实盘净值数据(iFinD公式)'!$B194:$AA194/'实盘净值数据(iFinD公式)'!$B$65:$AA$65)*(1-实盘持仓初始配置!$Z$8)^(('实盘净值数据(iFinD公式)'!$A194-'实盘净值数据(iFinD公式)'!$A$5)/365))</x:f>
        <x:v>#NAME?</x:v>
      </x:c>
      <x:c r="O194" s="152" t="e">
        <x:f>IF(OR(N193="",N194=""),"",N194/N193-1)</x:f>
        <x:v>#NAME?</x:v>
      </x:c>
      <x:c r="P194" s="152" t="e">
        <x:f>IF(N194="","",N194/MAX(N$5:N194)-1)</x:f>
        <x:v>#NAME?</x:v>
      </x:c>
      <x:c r="Q194" s="146" t="e">
        <x:f>IF(OR('实盘净值数据(iFinD公式)'!$A194="",'实盘净值数据(iFinD公式)'!$B194=""),"",分期持仓明细!$AD$25*SUMPRODUCT(分期持仓明细!$B$25:$AA$25,'实盘净值数据(iFinD公式)'!$B194:$AA194/'实盘净值数据(iFinD公式)'!$B$65:$AA$65)*(1-实盘持仓初始配置!$Z$9)^(('实盘净值数据(iFinD公式)'!$A194-'实盘净值数据(iFinD公式)'!$A$8)/365))</x:f>
        <x:v>#NAME?</x:v>
      </x:c>
      <x:c r="R194" s="152" t="e">
        <x:f>IF(OR(Q193="",Q194=""),"",Q194/Q193-1)</x:f>
        <x:v>#NAME?</x:v>
      </x:c>
      <x:c r="S194" s="152" t="e">
        <x:f>IF(Q194="","",Q194/MAX(Q$5:Q194)-1)</x:f>
        <x:v>#NAME?</x:v>
      </x:c>
    </x:row>
    <x:row r="195">
      <x:c r="A195" s="149" t="str">
        <x:f>IF('实盘净值数据(iFinD公式)'!A195="","",'实盘净值数据(iFinD公式)'!A195)</x:f>
      </x:c>
      <x:c r="B195" s="146" t="e">
        <x:f>IF(OR('实盘净值数据(iFinD公式)'!$A195="",'实盘净值数据(iFinD公式)'!$B195=""),"",分期持仓明细!$AD$17*SUMPRODUCT(分期持仓明细!$B$17:$AA$17,'实盘净值数据(iFinD公式)'!$B195:$AA195/'实盘净值数据(iFinD公式)'!$B$20:$AA$20)*(1-实盘持仓初始配置!$Z$4)^(('实盘净值数据(iFinD公式)'!$A195-'实盘净值数据(iFinD公式)'!$A$6)/365))</x:f>
        <x:v>#NAME?</x:v>
      </x:c>
      <x:c r="C195" s="152" t="e">
        <x:f>IF(OR(B194="",B195=""),"",B195/B194-1)</x:f>
        <x:v>#NAME?</x:v>
      </x:c>
      <x:c r="D195" s="152" t="e">
        <x:f>IF(B195="","",B195/MAX(B$5:B195)-1)</x:f>
        <x:v>#NAME?</x:v>
      </x:c>
      <x:c r="E195" s="146" t="e">
        <x:f>IF(OR('实盘净值数据(iFinD公式)'!$A195="",'实盘净值数据(iFinD公式)'!$B195=""),"",分期持仓明细!$AD$18*SUMPRODUCT(分期持仓明细!$B$18:$AA$18,'实盘净值数据(iFinD公式)'!$B195:$AA195/'实盘净值数据(iFinD公式)'!$B$20:$AA$20)*(1-实盘持仓初始配置!$Z$5)^(('实盘净值数据(iFinD公式)'!$A195-'实盘净值数据(iFinD公式)'!$A$5)/365))</x:f>
        <x:v>#NAME?</x:v>
      </x:c>
      <x:c r="F195" s="152" t="e">
        <x:f>IF(OR(E194="",E195=""),"",E195/E194-1)</x:f>
        <x:v>#NAME?</x:v>
      </x:c>
      <x:c r="G195" s="152" t="e">
        <x:f>IF(E195="","",E195/MAX(E$5:E195)-1)</x:f>
        <x:v>#NAME?</x:v>
      </x:c>
      <x:c r="H195" s="146" t="e">
        <x:f>IF(OR('实盘净值数据(iFinD公式)'!$A195="",'实盘净值数据(iFinD公式)'!$B195=""),"",分期持仓明细!$AD$19*SUMPRODUCT(分期持仓明细!$B$19:$AA$19,'实盘净值数据(iFinD公式)'!$B195:$AA195/'实盘净值数据(iFinD公式)'!$B$20:$AA$20)*(1-实盘持仓初始配置!$Z$6)^(('实盘净值数据(iFinD公式)'!$A195-'实盘净值数据(iFinD公式)'!$A$7)/365))</x:f>
        <x:v>#NAME?</x:v>
      </x:c>
      <x:c r="I195" s="152" t="e">
        <x:f>IF(OR(H194="",H195=""),"",H195/H194-1)</x:f>
        <x:v>#NAME?</x:v>
      </x:c>
      <x:c r="J195" s="152" t="e">
        <x:f>IF(H195="","",H195/MAX(H$5:H195)-1)</x:f>
        <x:v>#NAME?</x:v>
      </x:c>
      <x:c r="K195" s="146" t="e">
        <x:f>IF(OR('实盘净值数据(iFinD公式)'!$A195="",'实盘净值数据(iFinD公式)'!$B195=""),"",分期持仓明细!$AD$23*SUMPRODUCT(分期持仓明细!$B$23:$AA$23,'实盘净值数据(iFinD公式)'!$B195:$AA195/'实盘净值数据(iFinD公式)'!$B$65:$AA$65)*(1-实盘持仓初始配置!$Z$7)^(('实盘净值数据(iFinD公式)'!$A195-'实盘净值数据(iFinD公式)'!$A$8)/365))</x:f>
        <x:v>#NAME?</x:v>
      </x:c>
      <x:c r="L195" s="152" t="e">
        <x:f>IF(OR(K194="",K195=""),"",K195/K194-1)</x:f>
        <x:v>#NAME?</x:v>
      </x:c>
      <x:c r="M195" s="152" t="e">
        <x:f>IF(K195="","",K195/MAX(K$5:K195)-1)</x:f>
        <x:v>#NAME?</x:v>
      </x:c>
      <x:c r="N195" s="146" t="e">
        <x:f>IF(OR('实盘净值数据(iFinD公式)'!$A195="",'实盘净值数据(iFinD公式)'!$B195=""),"",分期持仓明细!$AD$24*SUMPRODUCT(分期持仓明细!$B$24:$AA$24,'实盘净值数据(iFinD公式)'!$B195:$AA195/'实盘净值数据(iFinD公式)'!$B$65:$AA$65)*(1-实盘持仓初始配置!$Z$8)^(('实盘净值数据(iFinD公式)'!$A195-'实盘净值数据(iFinD公式)'!$A$5)/365))</x:f>
        <x:v>#NAME?</x:v>
      </x:c>
      <x:c r="O195" s="152" t="e">
        <x:f>IF(OR(N194="",N195=""),"",N195/N194-1)</x:f>
        <x:v>#NAME?</x:v>
      </x:c>
      <x:c r="P195" s="152" t="e">
        <x:f>IF(N195="","",N195/MAX(N$5:N195)-1)</x:f>
        <x:v>#NAME?</x:v>
      </x:c>
      <x:c r="Q195" s="146" t="e">
        <x:f>IF(OR('实盘净值数据(iFinD公式)'!$A195="",'实盘净值数据(iFinD公式)'!$B195=""),"",分期持仓明细!$AD$25*SUMPRODUCT(分期持仓明细!$B$25:$AA$25,'实盘净值数据(iFinD公式)'!$B195:$AA195/'实盘净值数据(iFinD公式)'!$B$65:$AA$65)*(1-实盘持仓初始配置!$Z$9)^(('实盘净值数据(iFinD公式)'!$A195-'实盘净值数据(iFinD公式)'!$A$8)/365))</x:f>
        <x:v>#NAME?</x:v>
      </x:c>
      <x:c r="R195" s="152" t="e">
        <x:f>IF(OR(Q194="",Q195=""),"",Q195/Q194-1)</x:f>
        <x:v>#NAME?</x:v>
      </x:c>
      <x:c r="S195" s="152" t="e">
        <x:f>IF(Q195="","",Q195/MAX(Q$5:Q195)-1)</x:f>
        <x:v>#NAME?</x:v>
      </x:c>
    </x:row>
    <x:row r="196">
      <x:c r="A196" s="149" t="str">
        <x:f>IF('实盘净值数据(iFinD公式)'!A196="","",'实盘净值数据(iFinD公式)'!A196)</x:f>
      </x:c>
      <x:c r="B196" s="146" t="e">
        <x:f>IF(OR('实盘净值数据(iFinD公式)'!$A196="",'实盘净值数据(iFinD公式)'!$B196=""),"",分期持仓明细!$AD$17*SUMPRODUCT(分期持仓明细!$B$17:$AA$17,'实盘净值数据(iFinD公式)'!$B196:$AA196/'实盘净值数据(iFinD公式)'!$B$20:$AA$20)*(1-实盘持仓初始配置!$Z$4)^(('实盘净值数据(iFinD公式)'!$A196-'实盘净值数据(iFinD公式)'!$A$6)/365))</x:f>
        <x:v>#NAME?</x:v>
      </x:c>
      <x:c r="C196" s="152" t="e">
        <x:f>IF(OR(B195="",B196=""),"",B196/B195-1)</x:f>
        <x:v>#NAME?</x:v>
      </x:c>
      <x:c r="D196" s="152" t="e">
        <x:f>IF(B196="","",B196/MAX(B$5:B196)-1)</x:f>
        <x:v>#NAME?</x:v>
      </x:c>
      <x:c r="E196" s="146" t="e">
        <x:f>IF(OR('实盘净值数据(iFinD公式)'!$A196="",'实盘净值数据(iFinD公式)'!$B196=""),"",分期持仓明细!$AD$18*SUMPRODUCT(分期持仓明细!$B$18:$AA$18,'实盘净值数据(iFinD公式)'!$B196:$AA196/'实盘净值数据(iFinD公式)'!$B$20:$AA$20)*(1-实盘持仓初始配置!$Z$5)^(('实盘净值数据(iFinD公式)'!$A196-'实盘净值数据(iFinD公式)'!$A$5)/365))</x:f>
        <x:v>#NAME?</x:v>
      </x:c>
      <x:c r="F196" s="152" t="e">
        <x:f>IF(OR(E195="",E196=""),"",E196/E195-1)</x:f>
        <x:v>#NAME?</x:v>
      </x:c>
      <x:c r="G196" s="152" t="e">
        <x:f>IF(E196="","",E196/MAX(E$5:E196)-1)</x:f>
        <x:v>#NAME?</x:v>
      </x:c>
      <x:c r="H196" s="146" t="e">
        <x:f>IF(OR('实盘净值数据(iFinD公式)'!$A196="",'实盘净值数据(iFinD公式)'!$B196=""),"",分期持仓明细!$AD$19*SUMPRODUCT(分期持仓明细!$B$19:$AA$19,'实盘净值数据(iFinD公式)'!$B196:$AA196/'实盘净值数据(iFinD公式)'!$B$20:$AA$20)*(1-实盘持仓初始配置!$Z$6)^(('实盘净值数据(iFinD公式)'!$A196-'实盘净值数据(iFinD公式)'!$A$7)/365))</x:f>
        <x:v>#NAME?</x:v>
      </x:c>
      <x:c r="I196" s="152" t="e">
        <x:f>IF(OR(H195="",H196=""),"",H196/H195-1)</x:f>
        <x:v>#NAME?</x:v>
      </x:c>
      <x:c r="J196" s="152" t="e">
        <x:f>IF(H196="","",H196/MAX(H$5:H196)-1)</x:f>
        <x:v>#NAME?</x:v>
      </x:c>
      <x:c r="K196" s="146" t="e">
        <x:f>IF(OR('实盘净值数据(iFinD公式)'!$A196="",'实盘净值数据(iFinD公式)'!$B196=""),"",分期持仓明细!$AD$23*SUMPRODUCT(分期持仓明细!$B$23:$AA$23,'实盘净值数据(iFinD公式)'!$B196:$AA196/'实盘净值数据(iFinD公式)'!$B$65:$AA$65)*(1-实盘持仓初始配置!$Z$7)^(('实盘净值数据(iFinD公式)'!$A196-'实盘净值数据(iFinD公式)'!$A$8)/365))</x:f>
        <x:v>#NAME?</x:v>
      </x:c>
      <x:c r="L196" s="152" t="e">
        <x:f>IF(OR(K195="",K196=""),"",K196/K195-1)</x:f>
        <x:v>#NAME?</x:v>
      </x:c>
      <x:c r="M196" s="152" t="e">
        <x:f>IF(K196="","",K196/MAX(K$5:K196)-1)</x:f>
        <x:v>#NAME?</x:v>
      </x:c>
      <x:c r="N196" s="146" t="e">
        <x:f>IF(OR('实盘净值数据(iFinD公式)'!$A196="",'实盘净值数据(iFinD公式)'!$B196=""),"",分期持仓明细!$AD$24*SUMPRODUCT(分期持仓明细!$B$24:$AA$24,'实盘净值数据(iFinD公式)'!$B196:$AA196/'实盘净值数据(iFinD公式)'!$B$65:$AA$65)*(1-实盘持仓初始配置!$Z$8)^(('实盘净值数据(iFinD公式)'!$A196-'实盘净值数据(iFinD公式)'!$A$5)/365))</x:f>
        <x:v>#NAME?</x:v>
      </x:c>
      <x:c r="O196" s="152" t="e">
        <x:f>IF(OR(N195="",N196=""),"",N196/N195-1)</x:f>
        <x:v>#NAME?</x:v>
      </x:c>
      <x:c r="P196" s="152" t="e">
        <x:f>IF(N196="","",N196/MAX(N$5:N196)-1)</x:f>
        <x:v>#NAME?</x:v>
      </x:c>
      <x:c r="Q196" s="146" t="e">
        <x:f>IF(OR('实盘净值数据(iFinD公式)'!$A196="",'实盘净值数据(iFinD公式)'!$B196=""),"",分期持仓明细!$AD$25*SUMPRODUCT(分期持仓明细!$B$25:$AA$25,'实盘净值数据(iFinD公式)'!$B196:$AA196/'实盘净值数据(iFinD公式)'!$B$65:$AA$65)*(1-实盘持仓初始配置!$Z$9)^(('实盘净值数据(iFinD公式)'!$A196-'实盘净值数据(iFinD公式)'!$A$8)/365))</x:f>
        <x:v>#NAME?</x:v>
      </x:c>
      <x:c r="R196" s="152" t="e">
        <x:f>IF(OR(Q195="",Q196=""),"",Q196/Q195-1)</x:f>
        <x:v>#NAME?</x:v>
      </x:c>
      <x:c r="S196" s="152" t="e">
        <x:f>IF(Q196="","",Q196/MAX(Q$5:Q196)-1)</x:f>
        <x:v>#NAME?</x:v>
      </x:c>
    </x:row>
    <x:row r="197">
      <x:c r="A197" s="149" t="str">
        <x:f>IF('实盘净值数据(iFinD公式)'!A197="","",'实盘净值数据(iFinD公式)'!A197)</x:f>
      </x:c>
      <x:c r="B197" s="146" t="e">
        <x:f>IF(OR('实盘净值数据(iFinD公式)'!$A197="",'实盘净值数据(iFinD公式)'!$B197=""),"",分期持仓明细!$AD$17*SUMPRODUCT(分期持仓明细!$B$17:$AA$17,'实盘净值数据(iFinD公式)'!$B197:$AA197/'实盘净值数据(iFinD公式)'!$B$20:$AA$20)*(1-实盘持仓初始配置!$Z$4)^(('实盘净值数据(iFinD公式)'!$A197-'实盘净值数据(iFinD公式)'!$A$6)/365))</x:f>
        <x:v>#NAME?</x:v>
      </x:c>
      <x:c r="C197" s="152" t="e">
        <x:f>IF(OR(B196="",B197=""),"",B197/B196-1)</x:f>
        <x:v>#NAME?</x:v>
      </x:c>
      <x:c r="D197" s="152" t="e">
        <x:f>IF(B197="","",B197/MAX(B$5:B197)-1)</x:f>
        <x:v>#NAME?</x:v>
      </x:c>
      <x:c r="E197" s="146" t="e">
        <x:f>IF(OR('实盘净值数据(iFinD公式)'!$A197="",'实盘净值数据(iFinD公式)'!$B197=""),"",分期持仓明细!$AD$18*SUMPRODUCT(分期持仓明细!$B$18:$AA$18,'实盘净值数据(iFinD公式)'!$B197:$AA197/'实盘净值数据(iFinD公式)'!$B$20:$AA$20)*(1-实盘持仓初始配置!$Z$5)^(('实盘净值数据(iFinD公式)'!$A197-'实盘净值数据(iFinD公式)'!$A$5)/365))</x:f>
        <x:v>#NAME?</x:v>
      </x:c>
      <x:c r="F197" s="152" t="e">
        <x:f>IF(OR(E196="",E197=""),"",E197/E196-1)</x:f>
        <x:v>#NAME?</x:v>
      </x:c>
      <x:c r="G197" s="152" t="e">
        <x:f>IF(E197="","",E197/MAX(E$5:E197)-1)</x:f>
        <x:v>#NAME?</x:v>
      </x:c>
      <x:c r="H197" s="146" t="e">
        <x:f>IF(OR('实盘净值数据(iFinD公式)'!$A197="",'实盘净值数据(iFinD公式)'!$B197=""),"",分期持仓明细!$AD$19*SUMPRODUCT(分期持仓明细!$B$19:$AA$19,'实盘净值数据(iFinD公式)'!$B197:$AA197/'实盘净值数据(iFinD公式)'!$B$20:$AA$20)*(1-实盘持仓初始配置!$Z$6)^(('实盘净值数据(iFinD公式)'!$A197-'实盘净值数据(iFinD公式)'!$A$7)/365))</x:f>
        <x:v>#NAME?</x:v>
      </x:c>
      <x:c r="I197" s="152" t="e">
        <x:f>IF(OR(H196="",H197=""),"",H197/H196-1)</x:f>
        <x:v>#NAME?</x:v>
      </x:c>
      <x:c r="J197" s="152" t="e">
        <x:f>IF(H197="","",H197/MAX(H$5:H197)-1)</x:f>
        <x:v>#NAME?</x:v>
      </x:c>
      <x:c r="K197" s="146" t="e">
        <x:f>IF(OR('实盘净值数据(iFinD公式)'!$A197="",'实盘净值数据(iFinD公式)'!$B197=""),"",分期持仓明细!$AD$23*SUMPRODUCT(分期持仓明细!$B$23:$AA$23,'实盘净值数据(iFinD公式)'!$B197:$AA197/'实盘净值数据(iFinD公式)'!$B$65:$AA$65)*(1-实盘持仓初始配置!$Z$7)^(('实盘净值数据(iFinD公式)'!$A197-'实盘净值数据(iFinD公式)'!$A$8)/365))</x:f>
        <x:v>#NAME?</x:v>
      </x:c>
      <x:c r="L197" s="152" t="e">
        <x:f>IF(OR(K196="",K197=""),"",K197/K196-1)</x:f>
        <x:v>#NAME?</x:v>
      </x:c>
      <x:c r="M197" s="152" t="e">
        <x:f>IF(K197="","",K197/MAX(K$5:K197)-1)</x:f>
        <x:v>#NAME?</x:v>
      </x:c>
      <x:c r="N197" s="146" t="e">
        <x:f>IF(OR('实盘净值数据(iFinD公式)'!$A197="",'实盘净值数据(iFinD公式)'!$B197=""),"",分期持仓明细!$AD$24*SUMPRODUCT(分期持仓明细!$B$24:$AA$24,'实盘净值数据(iFinD公式)'!$B197:$AA197/'实盘净值数据(iFinD公式)'!$B$65:$AA$65)*(1-实盘持仓初始配置!$Z$8)^(('实盘净值数据(iFinD公式)'!$A197-'实盘净值数据(iFinD公式)'!$A$5)/365))</x:f>
        <x:v>#NAME?</x:v>
      </x:c>
      <x:c r="O197" s="152" t="e">
        <x:f>IF(OR(N196="",N197=""),"",N197/N196-1)</x:f>
        <x:v>#NAME?</x:v>
      </x:c>
      <x:c r="P197" s="152" t="e">
        <x:f>IF(N197="","",N197/MAX(N$5:N197)-1)</x:f>
        <x:v>#NAME?</x:v>
      </x:c>
      <x:c r="Q197" s="146" t="e">
        <x:f>IF(OR('实盘净值数据(iFinD公式)'!$A197="",'实盘净值数据(iFinD公式)'!$B197=""),"",分期持仓明细!$AD$25*SUMPRODUCT(分期持仓明细!$B$25:$AA$25,'实盘净值数据(iFinD公式)'!$B197:$AA197/'实盘净值数据(iFinD公式)'!$B$65:$AA$65)*(1-实盘持仓初始配置!$Z$9)^(('实盘净值数据(iFinD公式)'!$A197-'实盘净值数据(iFinD公式)'!$A$8)/365))</x:f>
        <x:v>#NAME?</x:v>
      </x:c>
      <x:c r="R197" s="152" t="e">
        <x:f>IF(OR(Q196="",Q197=""),"",Q197/Q196-1)</x:f>
        <x:v>#NAME?</x:v>
      </x:c>
      <x:c r="S197" s="152" t="e">
        <x:f>IF(Q197="","",Q197/MAX(Q$5:Q197)-1)</x:f>
        <x:v>#NAME?</x:v>
      </x:c>
    </x:row>
    <x:row r="198">
      <x:c r="A198" s="149" t="str">
        <x:f>IF('实盘净值数据(iFinD公式)'!A198="","",'实盘净值数据(iFinD公式)'!A198)</x:f>
      </x:c>
      <x:c r="B198" s="146" t="e">
        <x:f>IF(OR('实盘净值数据(iFinD公式)'!$A198="",'实盘净值数据(iFinD公式)'!$B198=""),"",分期持仓明细!$AD$17*SUMPRODUCT(分期持仓明细!$B$17:$AA$17,'实盘净值数据(iFinD公式)'!$B198:$AA198/'实盘净值数据(iFinD公式)'!$B$20:$AA$20)*(1-实盘持仓初始配置!$Z$4)^(('实盘净值数据(iFinD公式)'!$A198-'实盘净值数据(iFinD公式)'!$A$6)/365))</x:f>
        <x:v>#NAME?</x:v>
      </x:c>
      <x:c r="C198" s="152" t="e">
        <x:f>IF(OR(B197="",B198=""),"",B198/B197-1)</x:f>
        <x:v>#NAME?</x:v>
      </x:c>
      <x:c r="D198" s="152" t="e">
        <x:f>IF(B198="","",B198/MAX(B$5:B198)-1)</x:f>
        <x:v>#NAME?</x:v>
      </x:c>
      <x:c r="E198" s="146" t="e">
        <x:f>IF(OR('实盘净值数据(iFinD公式)'!$A198="",'实盘净值数据(iFinD公式)'!$B198=""),"",分期持仓明细!$AD$18*SUMPRODUCT(分期持仓明细!$B$18:$AA$18,'实盘净值数据(iFinD公式)'!$B198:$AA198/'实盘净值数据(iFinD公式)'!$B$20:$AA$20)*(1-实盘持仓初始配置!$Z$5)^(('实盘净值数据(iFinD公式)'!$A198-'实盘净值数据(iFinD公式)'!$A$5)/365))</x:f>
        <x:v>#NAME?</x:v>
      </x:c>
      <x:c r="F198" s="152" t="e">
        <x:f>IF(OR(E197="",E198=""),"",E198/E197-1)</x:f>
        <x:v>#NAME?</x:v>
      </x:c>
      <x:c r="G198" s="152" t="e">
        <x:f>IF(E198="","",E198/MAX(E$5:E198)-1)</x:f>
        <x:v>#NAME?</x:v>
      </x:c>
      <x:c r="H198" s="146" t="e">
        <x:f>IF(OR('实盘净值数据(iFinD公式)'!$A198="",'实盘净值数据(iFinD公式)'!$B198=""),"",分期持仓明细!$AD$19*SUMPRODUCT(分期持仓明细!$B$19:$AA$19,'实盘净值数据(iFinD公式)'!$B198:$AA198/'实盘净值数据(iFinD公式)'!$B$20:$AA$20)*(1-实盘持仓初始配置!$Z$6)^(('实盘净值数据(iFinD公式)'!$A198-'实盘净值数据(iFinD公式)'!$A$7)/365))</x:f>
        <x:v>#NAME?</x:v>
      </x:c>
      <x:c r="I198" s="152" t="e">
        <x:f>IF(OR(H197="",H198=""),"",H198/H197-1)</x:f>
        <x:v>#NAME?</x:v>
      </x:c>
      <x:c r="J198" s="152" t="e">
        <x:f>IF(H198="","",H198/MAX(H$5:H198)-1)</x:f>
        <x:v>#NAME?</x:v>
      </x:c>
      <x:c r="K198" s="146" t="e">
        <x:f>IF(OR('实盘净值数据(iFinD公式)'!$A198="",'实盘净值数据(iFinD公式)'!$B198=""),"",分期持仓明细!$AD$23*SUMPRODUCT(分期持仓明细!$B$23:$AA$23,'实盘净值数据(iFinD公式)'!$B198:$AA198/'实盘净值数据(iFinD公式)'!$B$65:$AA$65)*(1-实盘持仓初始配置!$Z$7)^(('实盘净值数据(iFinD公式)'!$A198-'实盘净值数据(iFinD公式)'!$A$8)/365))</x:f>
        <x:v>#NAME?</x:v>
      </x:c>
      <x:c r="L198" s="152" t="e">
        <x:f>IF(OR(K197="",K198=""),"",K198/K197-1)</x:f>
        <x:v>#NAME?</x:v>
      </x:c>
      <x:c r="M198" s="152" t="e">
        <x:f>IF(K198="","",K198/MAX(K$5:K198)-1)</x:f>
        <x:v>#NAME?</x:v>
      </x:c>
      <x:c r="N198" s="146" t="e">
        <x:f>IF(OR('实盘净值数据(iFinD公式)'!$A198="",'实盘净值数据(iFinD公式)'!$B198=""),"",分期持仓明细!$AD$24*SUMPRODUCT(分期持仓明细!$B$24:$AA$24,'实盘净值数据(iFinD公式)'!$B198:$AA198/'实盘净值数据(iFinD公式)'!$B$65:$AA$65)*(1-实盘持仓初始配置!$Z$8)^(('实盘净值数据(iFinD公式)'!$A198-'实盘净值数据(iFinD公式)'!$A$5)/365))</x:f>
        <x:v>#NAME?</x:v>
      </x:c>
      <x:c r="O198" s="152" t="e">
        <x:f>IF(OR(N197="",N198=""),"",N198/N197-1)</x:f>
        <x:v>#NAME?</x:v>
      </x:c>
      <x:c r="P198" s="152" t="e">
        <x:f>IF(N198="","",N198/MAX(N$5:N198)-1)</x:f>
        <x:v>#NAME?</x:v>
      </x:c>
      <x:c r="Q198" s="146" t="e">
        <x:f>IF(OR('实盘净值数据(iFinD公式)'!$A198="",'实盘净值数据(iFinD公式)'!$B198=""),"",分期持仓明细!$AD$25*SUMPRODUCT(分期持仓明细!$B$25:$AA$25,'实盘净值数据(iFinD公式)'!$B198:$AA198/'实盘净值数据(iFinD公式)'!$B$65:$AA$65)*(1-实盘持仓初始配置!$Z$9)^(('实盘净值数据(iFinD公式)'!$A198-'实盘净值数据(iFinD公式)'!$A$8)/365))</x:f>
        <x:v>#NAME?</x:v>
      </x:c>
      <x:c r="R198" s="152" t="e">
        <x:f>IF(OR(Q197="",Q198=""),"",Q198/Q197-1)</x:f>
        <x:v>#NAME?</x:v>
      </x:c>
      <x:c r="S198" s="152" t="e">
        <x:f>IF(Q198="","",Q198/MAX(Q$5:Q198)-1)</x:f>
        <x:v>#NAME?</x:v>
      </x:c>
    </x:row>
    <x:row r="199">
      <x:c r="A199" s="149" t="str">
        <x:f>IF('实盘净值数据(iFinD公式)'!A199="","",'实盘净值数据(iFinD公式)'!A199)</x:f>
      </x:c>
      <x:c r="B199" s="146" t="e">
        <x:f>IF(OR('实盘净值数据(iFinD公式)'!$A199="",'实盘净值数据(iFinD公式)'!$B199=""),"",分期持仓明细!$AD$17*SUMPRODUCT(分期持仓明细!$B$17:$AA$17,'实盘净值数据(iFinD公式)'!$B199:$AA199/'实盘净值数据(iFinD公式)'!$B$20:$AA$20)*(1-实盘持仓初始配置!$Z$4)^(('实盘净值数据(iFinD公式)'!$A199-'实盘净值数据(iFinD公式)'!$A$6)/365))</x:f>
        <x:v>#NAME?</x:v>
      </x:c>
      <x:c r="C199" s="152" t="e">
        <x:f>IF(OR(B198="",B199=""),"",B199/B198-1)</x:f>
        <x:v>#NAME?</x:v>
      </x:c>
      <x:c r="D199" s="152" t="e">
        <x:f>IF(B199="","",B199/MAX(B$5:B199)-1)</x:f>
        <x:v>#NAME?</x:v>
      </x:c>
      <x:c r="E199" s="146" t="e">
        <x:f>IF(OR('实盘净值数据(iFinD公式)'!$A199="",'实盘净值数据(iFinD公式)'!$B199=""),"",分期持仓明细!$AD$18*SUMPRODUCT(分期持仓明细!$B$18:$AA$18,'实盘净值数据(iFinD公式)'!$B199:$AA199/'实盘净值数据(iFinD公式)'!$B$20:$AA$20)*(1-实盘持仓初始配置!$Z$5)^(('实盘净值数据(iFinD公式)'!$A199-'实盘净值数据(iFinD公式)'!$A$5)/365))</x:f>
        <x:v>#NAME?</x:v>
      </x:c>
      <x:c r="F199" s="152" t="e">
        <x:f>IF(OR(E198="",E199=""),"",E199/E198-1)</x:f>
        <x:v>#NAME?</x:v>
      </x:c>
      <x:c r="G199" s="152" t="e">
        <x:f>IF(E199="","",E199/MAX(E$5:E199)-1)</x:f>
        <x:v>#NAME?</x:v>
      </x:c>
      <x:c r="H199" s="146" t="e">
        <x:f>IF(OR('实盘净值数据(iFinD公式)'!$A199="",'实盘净值数据(iFinD公式)'!$B199=""),"",分期持仓明细!$AD$19*SUMPRODUCT(分期持仓明细!$B$19:$AA$19,'实盘净值数据(iFinD公式)'!$B199:$AA199/'实盘净值数据(iFinD公式)'!$B$20:$AA$20)*(1-实盘持仓初始配置!$Z$6)^(('实盘净值数据(iFinD公式)'!$A199-'实盘净值数据(iFinD公式)'!$A$7)/365))</x:f>
        <x:v>#NAME?</x:v>
      </x:c>
      <x:c r="I199" s="152" t="e">
        <x:f>IF(OR(H198="",H199=""),"",H199/H198-1)</x:f>
        <x:v>#NAME?</x:v>
      </x:c>
      <x:c r="J199" s="152" t="e">
        <x:f>IF(H199="","",H199/MAX(H$5:H199)-1)</x:f>
        <x:v>#NAME?</x:v>
      </x:c>
      <x:c r="K199" s="146" t="e">
        <x:f>IF(OR('实盘净值数据(iFinD公式)'!$A199="",'实盘净值数据(iFinD公式)'!$B199=""),"",分期持仓明细!$AD$23*SUMPRODUCT(分期持仓明细!$B$23:$AA$23,'实盘净值数据(iFinD公式)'!$B199:$AA199/'实盘净值数据(iFinD公式)'!$B$65:$AA$65)*(1-实盘持仓初始配置!$Z$7)^(('实盘净值数据(iFinD公式)'!$A199-'实盘净值数据(iFinD公式)'!$A$8)/365))</x:f>
        <x:v>#NAME?</x:v>
      </x:c>
      <x:c r="L199" s="152" t="e">
        <x:f>IF(OR(K198="",K199=""),"",K199/K198-1)</x:f>
        <x:v>#NAME?</x:v>
      </x:c>
      <x:c r="M199" s="152" t="e">
        <x:f>IF(K199="","",K199/MAX(K$5:K199)-1)</x:f>
        <x:v>#NAME?</x:v>
      </x:c>
      <x:c r="N199" s="146" t="e">
        <x:f>IF(OR('实盘净值数据(iFinD公式)'!$A199="",'实盘净值数据(iFinD公式)'!$B199=""),"",分期持仓明细!$AD$24*SUMPRODUCT(分期持仓明细!$B$24:$AA$24,'实盘净值数据(iFinD公式)'!$B199:$AA199/'实盘净值数据(iFinD公式)'!$B$65:$AA$65)*(1-实盘持仓初始配置!$Z$8)^(('实盘净值数据(iFinD公式)'!$A199-'实盘净值数据(iFinD公式)'!$A$5)/365))</x:f>
        <x:v>#NAME?</x:v>
      </x:c>
      <x:c r="O199" s="152" t="e">
        <x:f>IF(OR(N198="",N199=""),"",N199/N198-1)</x:f>
        <x:v>#NAME?</x:v>
      </x:c>
      <x:c r="P199" s="152" t="e">
        <x:f>IF(N199="","",N199/MAX(N$5:N199)-1)</x:f>
        <x:v>#NAME?</x:v>
      </x:c>
      <x:c r="Q199" s="146" t="e">
        <x:f>IF(OR('实盘净值数据(iFinD公式)'!$A199="",'实盘净值数据(iFinD公式)'!$B199=""),"",分期持仓明细!$AD$25*SUMPRODUCT(分期持仓明细!$B$25:$AA$25,'实盘净值数据(iFinD公式)'!$B199:$AA199/'实盘净值数据(iFinD公式)'!$B$65:$AA$65)*(1-实盘持仓初始配置!$Z$9)^(('实盘净值数据(iFinD公式)'!$A199-'实盘净值数据(iFinD公式)'!$A$8)/365))</x:f>
        <x:v>#NAME?</x:v>
      </x:c>
      <x:c r="R199" s="152" t="e">
        <x:f>IF(OR(Q198="",Q199=""),"",Q199/Q198-1)</x:f>
        <x:v>#NAME?</x:v>
      </x:c>
      <x:c r="S199" s="152" t="e">
        <x:f>IF(Q199="","",Q199/MAX(Q$5:Q199)-1)</x:f>
        <x:v>#NAME?</x:v>
      </x:c>
    </x:row>
    <x:row r="200">
      <x:c r="A200" s="149" t="str">
        <x:f>IF('实盘净值数据(iFinD公式)'!A200="","",'实盘净值数据(iFinD公式)'!A200)</x:f>
      </x:c>
      <x:c r="B200" s="146" t="e">
        <x:f>IF(OR('实盘净值数据(iFinD公式)'!$A200="",'实盘净值数据(iFinD公式)'!$B200=""),"",分期持仓明细!$AD$17*SUMPRODUCT(分期持仓明细!$B$17:$AA$17,'实盘净值数据(iFinD公式)'!$B200:$AA200/'实盘净值数据(iFinD公式)'!$B$20:$AA$20)*(1-实盘持仓初始配置!$Z$4)^(('实盘净值数据(iFinD公式)'!$A200-'实盘净值数据(iFinD公式)'!$A$6)/365))</x:f>
        <x:v>#NAME?</x:v>
      </x:c>
      <x:c r="C200" s="152" t="e">
        <x:f>IF(OR(B199="",B200=""),"",B200/B199-1)</x:f>
        <x:v>#NAME?</x:v>
      </x:c>
      <x:c r="D200" s="152" t="e">
        <x:f>IF(B200="","",B200/MAX(B$5:B200)-1)</x:f>
        <x:v>#NAME?</x:v>
      </x:c>
      <x:c r="E200" s="146" t="e">
        <x:f>IF(OR('实盘净值数据(iFinD公式)'!$A200="",'实盘净值数据(iFinD公式)'!$B200=""),"",分期持仓明细!$AD$18*SUMPRODUCT(分期持仓明细!$B$18:$AA$18,'实盘净值数据(iFinD公式)'!$B200:$AA200/'实盘净值数据(iFinD公式)'!$B$20:$AA$20)*(1-实盘持仓初始配置!$Z$5)^(('实盘净值数据(iFinD公式)'!$A200-'实盘净值数据(iFinD公式)'!$A$5)/365))</x:f>
        <x:v>#NAME?</x:v>
      </x:c>
      <x:c r="F200" s="152" t="e">
        <x:f>IF(OR(E199="",E200=""),"",E200/E199-1)</x:f>
        <x:v>#NAME?</x:v>
      </x:c>
      <x:c r="G200" s="152" t="e">
        <x:f>IF(E200="","",E200/MAX(E$5:E200)-1)</x:f>
        <x:v>#NAME?</x:v>
      </x:c>
      <x:c r="H200" s="146" t="e">
        <x:f>IF(OR('实盘净值数据(iFinD公式)'!$A200="",'实盘净值数据(iFinD公式)'!$B200=""),"",分期持仓明细!$AD$19*SUMPRODUCT(分期持仓明细!$B$19:$AA$19,'实盘净值数据(iFinD公式)'!$B200:$AA200/'实盘净值数据(iFinD公式)'!$B$20:$AA$20)*(1-实盘持仓初始配置!$Z$6)^(('实盘净值数据(iFinD公式)'!$A200-'实盘净值数据(iFinD公式)'!$A$7)/365))</x:f>
        <x:v>#NAME?</x:v>
      </x:c>
      <x:c r="I200" s="152" t="e">
        <x:f>IF(OR(H199="",H200=""),"",H200/H199-1)</x:f>
        <x:v>#NAME?</x:v>
      </x:c>
      <x:c r="J200" s="152" t="e">
        <x:f>IF(H200="","",H200/MAX(H$5:H200)-1)</x:f>
        <x:v>#NAME?</x:v>
      </x:c>
      <x:c r="K200" s="146" t="e">
        <x:f>IF(OR('实盘净值数据(iFinD公式)'!$A200="",'实盘净值数据(iFinD公式)'!$B200=""),"",分期持仓明细!$AD$23*SUMPRODUCT(分期持仓明细!$B$23:$AA$23,'实盘净值数据(iFinD公式)'!$B200:$AA200/'实盘净值数据(iFinD公式)'!$B$65:$AA$65)*(1-实盘持仓初始配置!$Z$7)^(('实盘净值数据(iFinD公式)'!$A200-'实盘净值数据(iFinD公式)'!$A$8)/365))</x:f>
        <x:v>#NAME?</x:v>
      </x:c>
      <x:c r="L200" s="152" t="e">
        <x:f>IF(OR(K199="",K200=""),"",K200/K199-1)</x:f>
        <x:v>#NAME?</x:v>
      </x:c>
      <x:c r="M200" s="152" t="e">
        <x:f>IF(K200="","",K200/MAX(K$5:K200)-1)</x:f>
        <x:v>#NAME?</x:v>
      </x:c>
      <x:c r="N200" s="146" t="e">
        <x:f>IF(OR('实盘净值数据(iFinD公式)'!$A200="",'实盘净值数据(iFinD公式)'!$B200=""),"",分期持仓明细!$AD$24*SUMPRODUCT(分期持仓明细!$B$24:$AA$24,'实盘净值数据(iFinD公式)'!$B200:$AA200/'实盘净值数据(iFinD公式)'!$B$65:$AA$65)*(1-实盘持仓初始配置!$Z$8)^(('实盘净值数据(iFinD公式)'!$A200-'实盘净值数据(iFinD公式)'!$A$5)/365))</x:f>
        <x:v>#NAME?</x:v>
      </x:c>
      <x:c r="O200" s="152" t="e">
        <x:f>IF(OR(N199="",N200=""),"",N200/N199-1)</x:f>
        <x:v>#NAME?</x:v>
      </x:c>
      <x:c r="P200" s="152" t="e">
        <x:f>IF(N200="","",N200/MAX(N$5:N200)-1)</x:f>
        <x:v>#NAME?</x:v>
      </x:c>
      <x:c r="Q200" s="146" t="e">
        <x:f>IF(OR('实盘净值数据(iFinD公式)'!$A200="",'实盘净值数据(iFinD公式)'!$B200=""),"",分期持仓明细!$AD$25*SUMPRODUCT(分期持仓明细!$B$25:$AA$25,'实盘净值数据(iFinD公式)'!$B200:$AA200/'实盘净值数据(iFinD公式)'!$B$65:$AA$65)*(1-实盘持仓初始配置!$Z$9)^(('实盘净值数据(iFinD公式)'!$A200-'实盘净值数据(iFinD公式)'!$A$8)/365))</x:f>
        <x:v>#NAME?</x:v>
      </x:c>
      <x:c r="R200" s="152" t="e">
        <x:f>IF(OR(Q199="",Q200=""),"",Q200/Q199-1)</x:f>
        <x:v>#NAME?</x:v>
      </x:c>
      <x:c r="S200" s="152" t="e">
        <x:f>IF(Q200="","",Q200/MAX(Q$5:Q200)-1)</x:f>
        <x:v>#NAME?</x:v>
      </x:c>
    </x:row>
    <x:row r="201">
      <x:c r="A201" s="149" t="str">
        <x:f>IF('实盘净值数据(iFinD公式)'!A201="","",'实盘净值数据(iFinD公式)'!A201)</x:f>
      </x:c>
      <x:c r="B201" s="146" t="e">
        <x:f>IF(OR('实盘净值数据(iFinD公式)'!$A201="",'实盘净值数据(iFinD公式)'!$B201=""),"",分期持仓明细!$AD$17*SUMPRODUCT(分期持仓明细!$B$17:$AA$17,'实盘净值数据(iFinD公式)'!$B201:$AA201/'实盘净值数据(iFinD公式)'!$B$20:$AA$20)*(1-实盘持仓初始配置!$Z$4)^(('实盘净值数据(iFinD公式)'!$A201-'实盘净值数据(iFinD公式)'!$A$6)/365))</x:f>
        <x:v>#NAME?</x:v>
      </x:c>
      <x:c r="C201" s="152" t="e">
        <x:f>IF(OR(B200="",B201=""),"",B201/B200-1)</x:f>
        <x:v>#NAME?</x:v>
      </x:c>
      <x:c r="D201" s="152" t="e">
        <x:f>IF(B201="","",B201/MAX(B$5:B201)-1)</x:f>
        <x:v>#NAME?</x:v>
      </x:c>
      <x:c r="E201" s="146" t="e">
        <x:f>IF(OR('实盘净值数据(iFinD公式)'!$A201="",'实盘净值数据(iFinD公式)'!$B201=""),"",分期持仓明细!$AD$18*SUMPRODUCT(分期持仓明细!$B$18:$AA$18,'实盘净值数据(iFinD公式)'!$B201:$AA201/'实盘净值数据(iFinD公式)'!$B$20:$AA$20)*(1-实盘持仓初始配置!$Z$5)^(('实盘净值数据(iFinD公式)'!$A201-'实盘净值数据(iFinD公式)'!$A$5)/365))</x:f>
        <x:v>#NAME?</x:v>
      </x:c>
      <x:c r="F201" s="152" t="e">
        <x:f>IF(OR(E200="",E201=""),"",E201/E200-1)</x:f>
        <x:v>#NAME?</x:v>
      </x:c>
      <x:c r="G201" s="152" t="e">
        <x:f>IF(E201="","",E201/MAX(E$5:E201)-1)</x:f>
        <x:v>#NAME?</x:v>
      </x:c>
      <x:c r="H201" s="146" t="e">
        <x:f>IF(OR('实盘净值数据(iFinD公式)'!$A201="",'实盘净值数据(iFinD公式)'!$B201=""),"",分期持仓明细!$AD$19*SUMPRODUCT(分期持仓明细!$B$19:$AA$19,'实盘净值数据(iFinD公式)'!$B201:$AA201/'实盘净值数据(iFinD公式)'!$B$20:$AA$20)*(1-实盘持仓初始配置!$Z$6)^(('实盘净值数据(iFinD公式)'!$A201-'实盘净值数据(iFinD公式)'!$A$7)/365))</x:f>
        <x:v>#NAME?</x:v>
      </x:c>
      <x:c r="I201" s="152" t="e">
        <x:f>IF(OR(H200="",H201=""),"",H201/H200-1)</x:f>
        <x:v>#NAME?</x:v>
      </x:c>
      <x:c r="J201" s="152" t="e">
        <x:f>IF(H201="","",H201/MAX(H$5:H201)-1)</x:f>
        <x:v>#NAME?</x:v>
      </x:c>
      <x:c r="K201" s="146" t="e">
        <x:f>IF(OR('实盘净值数据(iFinD公式)'!$A201="",'实盘净值数据(iFinD公式)'!$B201=""),"",分期持仓明细!$AD$23*SUMPRODUCT(分期持仓明细!$B$23:$AA$23,'实盘净值数据(iFinD公式)'!$B201:$AA201/'实盘净值数据(iFinD公式)'!$B$65:$AA$65)*(1-实盘持仓初始配置!$Z$7)^(('实盘净值数据(iFinD公式)'!$A201-'实盘净值数据(iFinD公式)'!$A$8)/365))</x:f>
        <x:v>#NAME?</x:v>
      </x:c>
      <x:c r="L201" s="152" t="e">
        <x:f>IF(OR(K200="",K201=""),"",K201/K200-1)</x:f>
        <x:v>#NAME?</x:v>
      </x:c>
      <x:c r="M201" s="152" t="e">
        <x:f>IF(K201="","",K201/MAX(K$5:K201)-1)</x:f>
        <x:v>#NAME?</x:v>
      </x:c>
      <x:c r="N201" s="146" t="e">
        <x:f>IF(OR('实盘净值数据(iFinD公式)'!$A201="",'实盘净值数据(iFinD公式)'!$B201=""),"",分期持仓明细!$AD$24*SUMPRODUCT(分期持仓明细!$B$24:$AA$24,'实盘净值数据(iFinD公式)'!$B201:$AA201/'实盘净值数据(iFinD公式)'!$B$65:$AA$65)*(1-实盘持仓初始配置!$Z$8)^(('实盘净值数据(iFinD公式)'!$A201-'实盘净值数据(iFinD公式)'!$A$5)/365))</x:f>
        <x:v>#NAME?</x:v>
      </x:c>
      <x:c r="O201" s="152" t="e">
        <x:f>IF(OR(N200="",N201=""),"",N201/N200-1)</x:f>
        <x:v>#NAME?</x:v>
      </x:c>
      <x:c r="P201" s="152" t="e">
        <x:f>IF(N201="","",N201/MAX(N$5:N201)-1)</x:f>
        <x:v>#NAME?</x:v>
      </x:c>
      <x:c r="Q201" s="146" t="e">
        <x:f>IF(OR('实盘净值数据(iFinD公式)'!$A201="",'实盘净值数据(iFinD公式)'!$B201=""),"",分期持仓明细!$AD$25*SUMPRODUCT(分期持仓明细!$B$25:$AA$25,'实盘净值数据(iFinD公式)'!$B201:$AA201/'实盘净值数据(iFinD公式)'!$B$65:$AA$65)*(1-实盘持仓初始配置!$Z$9)^(('实盘净值数据(iFinD公式)'!$A201-'实盘净值数据(iFinD公式)'!$A$8)/365))</x:f>
        <x:v>#NAME?</x:v>
      </x:c>
      <x:c r="R201" s="152" t="e">
        <x:f>IF(OR(Q200="",Q201=""),"",Q201/Q200-1)</x:f>
        <x:v>#NAME?</x:v>
      </x:c>
      <x:c r="S201" s="152" t="e">
        <x:f>IF(Q201="","",Q201/MAX(Q$5:Q201)-1)</x:f>
        <x:v>#NAME?</x:v>
      </x:c>
    </x:row>
    <x:row r="202">
      <x:c r="A202" s="149" t="str">
        <x:f>IF('实盘净值数据(iFinD公式)'!A202="","",'实盘净值数据(iFinD公式)'!A202)</x:f>
      </x:c>
      <x:c r="B202" s="146" t="e">
        <x:f>IF(OR('实盘净值数据(iFinD公式)'!$A202="",'实盘净值数据(iFinD公式)'!$B202=""),"",分期持仓明细!$AD$17*SUMPRODUCT(分期持仓明细!$B$17:$AA$17,'实盘净值数据(iFinD公式)'!$B202:$AA202/'实盘净值数据(iFinD公式)'!$B$20:$AA$20)*(1-实盘持仓初始配置!$Z$4)^(('实盘净值数据(iFinD公式)'!$A202-'实盘净值数据(iFinD公式)'!$A$6)/365))</x:f>
        <x:v>#NAME?</x:v>
      </x:c>
      <x:c r="C202" s="152" t="e">
        <x:f>IF(OR(B201="",B202=""),"",B202/B201-1)</x:f>
        <x:v>#NAME?</x:v>
      </x:c>
      <x:c r="D202" s="152" t="e">
        <x:f>IF(B202="","",B202/MAX(B$5:B202)-1)</x:f>
        <x:v>#NAME?</x:v>
      </x:c>
      <x:c r="E202" s="146" t="e">
        <x:f>IF(OR('实盘净值数据(iFinD公式)'!$A202="",'实盘净值数据(iFinD公式)'!$B202=""),"",分期持仓明细!$AD$18*SUMPRODUCT(分期持仓明细!$B$18:$AA$18,'实盘净值数据(iFinD公式)'!$B202:$AA202/'实盘净值数据(iFinD公式)'!$B$20:$AA$20)*(1-实盘持仓初始配置!$Z$5)^(('实盘净值数据(iFinD公式)'!$A202-'实盘净值数据(iFinD公式)'!$A$5)/365))</x:f>
        <x:v>#NAME?</x:v>
      </x:c>
      <x:c r="F202" s="152" t="e">
        <x:f>IF(OR(E201="",E202=""),"",E202/E201-1)</x:f>
        <x:v>#NAME?</x:v>
      </x:c>
      <x:c r="G202" s="152" t="e">
        <x:f>IF(E202="","",E202/MAX(E$5:E202)-1)</x:f>
        <x:v>#NAME?</x:v>
      </x:c>
      <x:c r="H202" s="146" t="e">
        <x:f>IF(OR('实盘净值数据(iFinD公式)'!$A202="",'实盘净值数据(iFinD公式)'!$B202=""),"",分期持仓明细!$AD$19*SUMPRODUCT(分期持仓明细!$B$19:$AA$19,'实盘净值数据(iFinD公式)'!$B202:$AA202/'实盘净值数据(iFinD公式)'!$B$20:$AA$20)*(1-实盘持仓初始配置!$Z$6)^(('实盘净值数据(iFinD公式)'!$A202-'实盘净值数据(iFinD公式)'!$A$7)/365))</x:f>
        <x:v>#NAME?</x:v>
      </x:c>
      <x:c r="I202" s="152" t="e">
        <x:f>IF(OR(H201="",H202=""),"",H202/H201-1)</x:f>
        <x:v>#NAME?</x:v>
      </x:c>
      <x:c r="J202" s="152" t="e">
        <x:f>IF(H202="","",H202/MAX(H$5:H202)-1)</x:f>
        <x:v>#NAME?</x:v>
      </x:c>
      <x:c r="K202" s="146" t="e">
        <x:f>IF(OR('实盘净值数据(iFinD公式)'!$A202="",'实盘净值数据(iFinD公式)'!$B202=""),"",分期持仓明细!$AD$23*SUMPRODUCT(分期持仓明细!$B$23:$AA$23,'实盘净值数据(iFinD公式)'!$B202:$AA202/'实盘净值数据(iFinD公式)'!$B$65:$AA$65)*(1-实盘持仓初始配置!$Z$7)^(('实盘净值数据(iFinD公式)'!$A202-'实盘净值数据(iFinD公式)'!$A$8)/365))</x:f>
        <x:v>#NAME?</x:v>
      </x:c>
      <x:c r="L202" s="152" t="e">
        <x:f>IF(OR(K201="",K202=""),"",K202/K201-1)</x:f>
        <x:v>#NAME?</x:v>
      </x:c>
      <x:c r="M202" s="152" t="e">
        <x:f>IF(K202="","",K202/MAX(K$5:K202)-1)</x:f>
        <x:v>#NAME?</x:v>
      </x:c>
      <x:c r="N202" s="146" t="e">
        <x:f>IF(OR('实盘净值数据(iFinD公式)'!$A202="",'实盘净值数据(iFinD公式)'!$B202=""),"",分期持仓明细!$AD$24*SUMPRODUCT(分期持仓明细!$B$24:$AA$24,'实盘净值数据(iFinD公式)'!$B202:$AA202/'实盘净值数据(iFinD公式)'!$B$65:$AA$65)*(1-实盘持仓初始配置!$Z$8)^(('实盘净值数据(iFinD公式)'!$A202-'实盘净值数据(iFinD公式)'!$A$5)/365))</x:f>
        <x:v>#NAME?</x:v>
      </x:c>
      <x:c r="O202" s="152" t="e">
        <x:f>IF(OR(N201="",N202=""),"",N202/N201-1)</x:f>
        <x:v>#NAME?</x:v>
      </x:c>
      <x:c r="P202" s="152" t="e">
        <x:f>IF(N202="","",N202/MAX(N$5:N202)-1)</x:f>
        <x:v>#NAME?</x:v>
      </x:c>
      <x:c r="Q202" s="146" t="e">
        <x:f>IF(OR('实盘净值数据(iFinD公式)'!$A202="",'实盘净值数据(iFinD公式)'!$B202=""),"",分期持仓明细!$AD$25*SUMPRODUCT(分期持仓明细!$B$25:$AA$25,'实盘净值数据(iFinD公式)'!$B202:$AA202/'实盘净值数据(iFinD公式)'!$B$65:$AA$65)*(1-实盘持仓初始配置!$Z$9)^(('实盘净值数据(iFinD公式)'!$A202-'实盘净值数据(iFinD公式)'!$A$8)/365))</x:f>
        <x:v>#NAME?</x:v>
      </x:c>
      <x:c r="R202" s="152" t="e">
        <x:f>IF(OR(Q201="",Q202=""),"",Q202/Q201-1)</x:f>
        <x:v>#NAME?</x:v>
      </x:c>
      <x:c r="S202" s="152" t="e">
        <x:f>IF(Q202="","",Q202/MAX(Q$5:Q202)-1)</x:f>
        <x:v>#NAME?</x:v>
      </x:c>
    </x:row>
    <x:row r="203">
      <x:c r="A203" s="149" t="str">
        <x:f>IF('实盘净值数据(iFinD公式)'!A203="","",'实盘净值数据(iFinD公式)'!A203)</x:f>
      </x:c>
      <x:c r="B203" s="146" t="e">
        <x:f>IF(OR('实盘净值数据(iFinD公式)'!$A203="",'实盘净值数据(iFinD公式)'!$B203=""),"",分期持仓明细!$AD$17*SUMPRODUCT(分期持仓明细!$B$17:$AA$17,'实盘净值数据(iFinD公式)'!$B203:$AA203/'实盘净值数据(iFinD公式)'!$B$20:$AA$20)*(1-实盘持仓初始配置!$Z$4)^(('实盘净值数据(iFinD公式)'!$A203-'实盘净值数据(iFinD公式)'!$A$6)/365))</x:f>
        <x:v>#NAME?</x:v>
      </x:c>
      <x:c r="C203" s="152" t="e">
        <x:f>IF(OR(B202="",B203=""),"",B203/B202-1)</x:f>
        <x:v>#NAME?</x:v>
      </x:c>
      <x:c r="D203" s="152" t="e">
        <x:f>IF(B203="","",B203/MAX(B$5:B203)-1)</x:f>
        <x:v>#NAME?</x:v>
      </x:c>
      <x:c r="E203" s="146" t="e">
        <x:f>IF(OR('实盘净值数据(iFinD公式)'!$A203="",'实盘净值数据(iFinD公式)'!$B203=""),"",分期持仓明细!$AD$18*SUMPRODUCT(分期持仓明细!$B$18:$AA$18,'实盘净值数据(iFinD公式)'!$B203:$AA203/'实盘净值数据(iFinD公式)'!$B$20:$AA$20)*(1-实盘持仓初始配置!$Z$5)^(('实盘净值数据(iFinD公式)'!$A203-'实盘净值数据(iFinD公式)'!$A$5)/365))</x:f>
        <x:v>#NAME?</x:v>
      </x:c>
      <x:c r="F203" s="152" t="e">
        <x:f>IF(OR(E202="",E203=""),"",E203/E202-1)</x:f>
        <x:v>#NAME?</x:v>
      </x:c>
      <x:c r="G203" s="152" t="e">
        <x:f>IF(E203="","",E203/MAX(E$5:E203)-1)</x:f>
        <x:v>#NAME?</x:v>
      </x:c>
      <x:c r="H203" s="146" t="e">
        <x:f>IF(OR('实盘净值数据(iFinD公式)'!$A203="",'实盘净值数据(iFinD公式)'!$B203=""),"",分期持仓明细!$AD$19*SUMPRODUCT(分期持仓明细!$B$19:$AA$19,'实盘净值数据(iFinD公式)'!$B203:$AA203/'实盘净值数据(iFinD公式)'!$B$20:$AA$20)*(1-实盘持仓初始配置!$Z$6)^(('实盘净值数据(iFinD公式)'!$A203-'实盘净值数据(iFinD公式)'!$A$7)/365))</x:f>
        <x:v>#NAME?</x:v>
      </x:c>
      <x:c r="I203" s="152" t="e">
        <x:f>IF(OR(H202="",H203=""),"",H203/H202-1)</x:f>
        <x:v>#NAME?</x:v>
      </x:c>
      <x:c r="J203" s="152" t="e">
        <x:f>IF(H203="","",H203/MAX(H$5:H203)-1)</x:f>
        <x:v>#NAME?</x:v>
      </x:c>
      <x:c r="K203" s="146" t="e">
        <x:f>IF(OR('实盘净值数据(iFinD公式)'!$A203="",'实盘净值数据(iFinD公式)'!$B203=""),"",分期持仓明细!$AD$23*SUMPRODUCT(分期持仓明细!$B$23:$AA$23,'实盘净值数据(iFinD公式)'!$B203:$AA203/'实盘净值数据(iFinD公式)'!$B$65:$AA$65)*(1-实盘持仓初始配置!$Z$7)^(('实盘净值数据(iFinD公式)'!$A203-'实盘净值数据(iFinD公式)'!$A$8)/365))</x:f>
        <x:v>#NAME?</x:v>
      </x:c>
      <x:c r="L203" s="152" t="e">
        <x:f>IF(OR(K202="",K203=""),"",K203/K202-1)</x:f>
        <x:v>#NAME?</x:v>
      </x:c>
      <x:c r="M203" s="152" t="e">
        <x:f>IF(K203="","",K203/MAX(K$5:K203)-1)</x:f>
        <x:v>#NAME?</x:v>
      </x:c>
      <x:c r="N203" s="146" t="e">
        <x:f>IF(OR('实盘净值数据(iFinD公式)'!$A203="",'实盘净值数据(iFinD公式)'!$B203=""),"",分期持仓明细!$AD$24*SUMPRODUCT(分期持仓明细!$B$24:$AA$24,'实盘净值数据(iFinD公式)'!$B203:$AA203/'实盘净值数据(iFinD公式)'!$B$65:$AA$65)*(1-实盘持仓初始配置!$Z$8)^(('实盘净值数据(iFinD公式)'!$A203-'实盘净值数据(iFinD公式)'!$A$5)/365))</x:f>
        <x:v>#NAME?</x:v>
      </x:c>
      <x:c r="O203" s="152" t="e">
        <x:f>IF(OR(N202="",N203=""),"",N203/N202-1)</x:f>
        <x:v>#NAME?</x:v>
      </x:c>
      <x:c r="P203" s="152" t="e">
        <x:f>IF(N203="","",N203/MAX(N$5:N203)-1)</x:f>
        <x:v>#NAME?</x:v>
      </x:c>
      <x:c r="Q203" s="146" t="e">
        <x:f>IF(OR('实盘净值数据(iFinD公式)'!$A203="",'实盘净值数据(iFinD公式)'!$B203=""),"",分期持仓明细!$AD$25*SUMPRODUCT(分期持仓明细!$B$25:$AA$25,'实盘净值数据(iFinD公式)'!$B203:$AA203/'实盘净值数据(iFinD公式)'!$B$65:$AA$65)*(1-实盘持仓初始配置!$Z$9)^(('实盘净值数据(iFinD公式)'!$A203-'实盘净值数据(iFinD公式)'!$A$8)/365))</x:f>
        <x:v>#NAME?</x:v>
      </x:c>
      <x:c r="R203" s="152" t="e">
        <x:f>IF(OR(Q202="",Q203=""),"",Q203/Q202-1)</x:f>
        <x:v>#NAME?</x:v>
      </x:c>
      <x:c r="S203" s="152" t="e">
        <x:f>IF(Q203="","",Q203/MAX(Q$5:Q203)-1)</x:f>
        <x:v>#NAME?</x:v>
      </x:c>
    </x:row>
    <x:row r="204">
      <x:c r="A204" s="149" t="str">
        <x:f>IF('实盘净值数据(iFinD公式)'!A204="","",'实盘净值数据(iFinD公式)'!A204)</x:f>
      </x:c>
      <x:c r="B204" s="146" t="e">
        <x:f>IF(OR('实盘净值数据(iFinD公式)'!$A204="",'实盘净值数据(iFinD公式)'!$B204=""),"",分期持仓明细!$AD$17*SUMPRODUCT(分期持仓明细!$B$17:$AA$17,'实盘净值数据(iFinD公式)'!$B204:$AA204/'实盘净值数据(iFinD公式)'!$B$20:$AA$20)*(1-实盘持仓初始配置!$Z$4)^(('实盘净值数据(iFinD公式)'!$A204-'实盘净值数据(iFinD公式)'!$A$6)/365))</x:f>
        <x:v>#NAME?</x:v>
      </x:c>
      <x:c r="C204" s="152" t="e">
        <x:f>IF(OR(B203="",B204=""),"",B204/B203-1)</x:f>
        <x:v>#NAME?</x:v>
      </x:c>
      <x:c r="D204" s="152" t="e">
        <x:f>IF(B204="","",B204/MAX(B$5:B204)-1)</x:f>
        <x:v>#NAME?</x:v>
      </x:c>
      <x:c r="E204" s="146" t="e">
        <x:f>IF(OR('实盘净值数据(iFinD公式)'!$A204="",'实盘净值数据(iFinD公式)'!$B204=""),"",分期持仓明细!$AD$18*SUMPRODUCT(分期持仓明细!$B$18:$AA$18,'实盘净值数据(iFinD公式)'!$B204:$AA204/'实盘净值数据(iFinD公式)'!$B$20:$AA$20)*(1-实盘持仓初始配置!$Z$5)^(('实盘净值数据(iFinD公式)'!$A204-'实盘净值数据(iFinD公式)'!$A$5)/365))</x:f>
        <x:v>#NAME?</x:v>
      </x:c>
      <x:c r="F204" s="152" t="e">
        <x:f>IF(OR(E203="",E204=""),"",E204/E203-1)</x:f>
        <x:v>#NAME?</x:v>
      </x:c>
      <x:c r="G204" s="152" t="e">
        <x:f>IF(E204="","",E204/MAX(E$5:E204)-1)</x:f>
        <x:v>#NAME?</x:v>
      </x:c>
      <x:c r="H204" s="146" t="e">
        <x:f>IF(OR('实盘净值数据(iFinD公式)'!$A204="",'实盘净值数据(iFinD公式)'!$B204=""),"",分期持仓明细!$AD$19*SUMPRODUCT(分期持仓明细!$B$19:$AA$19,'实盘净值数据(iFinD公式)'!$B204:$AA204/'实盘净值数据(iFinD公式)'!$B$20:$AA$20)*(1-实盘持仓初始配置!$Z$6)^(('实盘净值数据(iFinD公式)'!$A204-'实盘净值数据(iFinD公式)'!$A$7)/365))</x:f>
        <x:v>#NAME?</x:v>
      </x:c>
      <x:c r="I204" s="152" t="e">
        <x:f>IF(OR(H203="",H204=""),"",H204/H203-1)</x:f>
        <x:v>#NAME?</x:v>
      </x:c>
      <x:c r="J204" s="152" t="e">
        <x:f>IF(H204="","",H204/MAX(H$5:H204)-1)</x:f>
        <x:v>#NAME?</x:v>
      </x:c>
      <x:c r="K204" s="146" t="e">
        <x:f>IF(OR('实盘净值数据(iFinD公式)'!$A204="",'实盘净值数据(iFinD公式)'!$B204=""),"",分期持仓明细!$AD$23*SUMPRODUCT(分期持仓明细!$B$23:$AA$23,'实盘净值数据(iFinD公式)'!$B204:$AA204/'实盘净值数据(iFinD公式)'!$B$65:$AA$65)*(1-实盘持仓初始配置!$Z$7)^(('实盘净值数据(iFinD公式)'!$A204-'实盘净值数据(iFinD公式)'!$A$8)/365))</x:f>
        <x:v>#NAME?</x:v>
      </x:c>
      <x:c r="L204" s="152" t="e">
        <x:f>IF(OR(K203="",K204=""),"",K204/K203-1)</x:f>
        <x:v>#NAME?</x:v>
      </x:c>
      <x:c r="M204" s="152" t="e">
        <x:f>IF(K204="","",K204/MAX(K$5:K204)-1)</x:f>
        <x:v>#NAME?</x:v>
      </x:c>
      <x:c r="N204" s="146" t="e">
        <x:f>IF(OR('实盘净值数据(iFinD公式)'!$A204="",'实盘净值数据(iFinD公式)'!$B204=""),"",分期持仓明细!$AD$24*SUMPRODUCT(分期持仓明细!$B$24:$AA$24,'实盘净值数据(iFinD公式)'!$B204:$AA204/'实盘净值数据(iFinD公式)'!$B$65:$AA$65)*(1-实盘持仓初始配置!$Z$8)^(('实盘净值数据(iFinD公式)'!$A204-'实盘净值数据(iFinD公式)'!$A$5)/365))</x:f>
        <x:v>#NAME?</x:v>
      </x:c>
      <x:c r="O204" s="152" t="e">
        <x:f>IF(OR(N203="",N204=""),"",N204/N203-1)</x:f>
        <x:v>#NAME?</x:v>
      </x:c>
      <x:c r="P204" s="152" t="e">
        <x:f>IF(N204="","",N204/MAX(N$5:N204)-1)</x:f>
        <x:v>#NAME?</x:v>
      </x:c>
      <x:c r="Q204" s="146" t="e">
        <x:f>IF(OR('实盘净值数据(iFinD公式)'!$A204="",'实盘净值数据(iFinD公式)'!$B204=""),"",分期持仓明细!$AD$25*SUMPRODUCT(分期持仓明细!$B$25:$AA$25,'实盘净值数据(iFinD公式)'!$B204:$AA204/'实盘净值数据(iFinD公式)'!$B$65:$AA$65)*(1-实盘持仓初始配置!$Z$9)^(('实盘净值数据(iFinD公式)'!$A204-'实盘净值数据(iFinD公式)'!$A$8)/365))</x:f>
        <x:v>#NAME?</x:v>
      </x:c>
      <x:c r="R204" s="152" t="e">
        <x:f>IF(OR(Q203="",Q204=""),"",Q204/Q203-1)</x:f>
        <x:v>#NAME?</x:v>
      </x:c>
      <x:c r="S204" s="152" t="e">
        <x:f>IF(Q204="","",Q204/MAX(Q$5:Q204)-1)</x:f>
        <x:v>#NAME?</x:v>
      </x:c>
    </x:row>
    <x:row r="205">
      <x:c r="A205" s="149" t="str">
        <x:f>IF('实盘净值数据(iFinD公式)'!A205="","",'实盘净值数据(iFinD公式)'!A205)</x:f>
      </x:c>
      <x:c r="B205" s="146" t="e">
        <x:f>IF(OR('实盘净值数据(iFinD公式)'!$A205="",'实盘净值数据(iFinD公式)'!$B205=""),"",分期持仓明细!$AD$17*SUMPRODUCT(分期持仓明细!$B$17:$AA$17,'实盘净值数据(iFinD公式)'!$B205:$AA205/'实盘净值数据(iFinD公式)'!$B$20:$AA$20)*(1-实盘持仓初始配置!$Z$4)^(('实盘净值数据(iFinD公式)'!$A205-'实盘净值数据(iFinD公式)'!$A$6)/365))</x:f>
        <x:v>#NAME?</x:v>
      </x:c>
      <x:c r="C205" s="152" t="e">
        <x:f>IF(OR(B204="",B205=""),"",B205/B204-1)</x:f>
        <x:v>#NAME?</x:v>
      </x:c>
      <x:c r="D205" s="152" t="e">
        <x:f>IF(B205="","",B205/MAX(B$5:B205)-1)</x:f>
        <x:v>#NAME?</x:v>
      </x:c>
      <x:c r="E205" s="146" t="e">
        <x:f>IF(OR('实盘净值数据(iFinD公式)'!$A205="",'实盘净值数据(iFinD公式)'!$B205=""),"",分期持仓明细!$AD$18*SUMPRODUCT(分期持仓明细!$B$18:$AA$18,'实盘净值数据(iFinD公式)'!$B205:$AA205/'实盘净值数据(iFinD公式)'!$B$20:$AA$20)*(1-实盘持仓初始配置!$Z$5)^(('实盘净值数据(iFinD公式)'!$A205-'实盘净值数据(iFinD公式)'!$A$5)/365))</x:f>
        <x:v>#NAME?</x:v>
      </x:c>
      <x:c r="F205" s="152" t="e">
        <x:f>IF(OR(E204="",E205=""),"",E205/E204-1)</x:f>
        <x:v>#NAME?</x:v>
      </x:c>
      <x:c r="G205" s="152" t="e">
        <x:f>IF(E205="","",E205/MAX(E$5:E205)-1)</x:f>
        <x:v>#NAME?</x:v>
      </x:c>
      <x:c r="H205" s="146" t="e">
        <x:f>IF(OR('实盘净值数据(iFinD公式)'!$A205="",'实盘净值数据(iFinD公式)'!$B205=""),"",分期持仓明细!$AD$19*SUMPRODUCT(分期持仓明细!$B$19:$AA$19,'实盘净值数据(iFinD公式)'!$B205:$AA205/'实盘净值数据(iFinD公式)'!$B$20:$AA$20)*(1-实盘持仓初始配置!$Z$6)^(('实盘净值数据(iFinD公式)'!$A205-'实盘净值数据(iFinD公式)'!$A$7)/365))</x:f>
        <x:v>#NAME?</x:v>
      </x:c>
      <x:c r="I205" s="152" t="e">
        <x:f>IF(OR(H204="",H205=""),"",H205/H204-1)</x:f>
        <x:v>#NAME?</x:v>
      </x:c>
      <x:c r="J205" s="152" t="e">
        <x:f>IF(H205="","",H205/MAX(H$5:H205)-1)</x:f>
        <x:v>#NAME?</x:v>
      </x:c>
      <x:c r="K205" s="146" t="e">
        <x:f>IF(OR('实盘净值数据(iFinD公式)'!$A205="",'实盘净值数据(iFinD公式)'!$B205=""),"",分期持仓明细!$AD$23*SUMPRODUCT(分期持仓明细!$B$23:$AA$23,'实盘净值数据(iFinD公式)'!$B205:$AA205/'实盘净值数据(iFinD公式)'!$B$65:$AA$65)*(1-实盘持仓初始配置!$Z$7)^(('实盘净值数据(iFinD公式)'!$A205-'实盘净值数据(iFinD公式)'!$A$8)/365))</x:f>
        <x:v>#NAME?</x:v>
      </x:c>
      <x:c r="L205" s="152" t="e">
        <x:f>IF(OR(K204="",K205=""),"",K205/K204-1)</x:f>
        <x:v>#NAME?</x:v>
      </x:c>
      <x:c r="M205" s="152" t="e">
        <x:f>IF(K205="","",K205/MAX(K$5:K205)-1)</x:f>
        <x:v>#NAME?</x:v>
      </x:c>
      <x:c r="N205" s="146" t="e">
        <x:f>IF(OR('实盘净值数据(iFinD公式)'!$A205="",'实盘净值数据(iFinD公式)'!$B205=""),"",分期持仓明细!$AD$24*SUMPRODUCT(分期持仓明细!$B$24:$AA$24,'实盘净值数据(iFinD公式)'!$B205:$AA205/'实盘净值数据(iFinD公式)'!$B$65:$AA$65)*(1-实盘持仓初始配置!$Z$8)^(('实盘净值数据(iFinD公式)'!$A205-'实盘净值数据(iFinD公式)'!$A$5)/365))</x:f>
        <x:v>#NAME?</x:v>
      </x:c>
      <x:c r="O205" s="152" t="e">
        <x:f>IF(OR(N204="",N205=""),"",N205/N204-1)</x:f>
        <x:v>#NAME?</x:v>
      </x:c>
      <x:c r="P205" s="152" t="e">
        <x:f>IF(N205="","",N205/MAX(N$5:N205)-1)</x:f>
        <x:v>#NAME?</x:v>
      </x:c>
      <x:c r="Q205" s="146" t="e">
        <x:f>IF(OR('实盘净值数据(iFinD公式)'!$A205="",'实盘净值数据(iFinD公式)'!$B205=""),"",分期持仓明细!$AD$25*SUMPRODUCT(分期持仓明细!$B$25:$AA$25,'实盘净值数据(iFinD公式)'!$B205:$AA205/'实盘净值数据(iFinD公式)'!$B$65:$AA$65)*(1-实盘持仓初始配置!$Z$9)^(('实盘净值数据(iFinD公式)'!$A205-'实盘净值数据(iFinD公式)'!$A$8)/365))</x:f>
        <x:v>#NAME?</x:v>
      </x:c>
      <x:c r="R205" s="152" t="e">
        <x:f>IF(OR(Q204="",Q205=""),"",Q205/Q204-1)</x:f>
        <x:v>#NAME?</x:v>
      </x:c>
      <x:c r="S205" s="152" t="e">
        <x:f>IF(Q205="","",Q205/MAX(Q$5:Q205)-1)</x:f>
        <x:v>#NAME?</x:v>
      </x:c>
    </x:row>
    <x:row r="206">
      <x:c r="A206" s="149" t="str">
        <x:f>IF('实盘净值数据(iFinD公式)'!A206="","",'实盘净值数据(iFinD公式)'!A206)</x:f>
      </x:c>
      <x:c r="B206" s="146" t="e">
        <x:f>IF(OR('实盘净值数据(iFinD公式)'!$A206="",'实盘净值数据(iFinD公式)'!$B206=""),"",分期持仓明细!$AD$17*SUMPRODUCT(分期持仓明细!$B$17:$AA$17,'实盘净值数据(iFinD公式)'!$B206:$AA206/'实盘净值数据(iFinD公式)'!$B$20:$AA$20)*(1-实盘持仓初始配置!$Z$4)^(('实盘净值数据(iFinD公式)'!$A206-'实盘净值数据(iFinD公式)'!$A$6)/365))</x:f>
        <x:v>#NAME?</x:v>
      </x:c>
      <x:c r="C206" s="152" t="e">
        <x:f>IF(OR(B205="",B206=""),"",B206/B205-1)</x:f>
        <x:v>#NAME?</x:v>
      </x:c>
      <x:c r="D206" s="152" t="e">
        <x:f>IF(B206="","",B206/MAX(B$5:B206)-1)</x:f>
        <x:v>#NAME?</x:v>
      </x:c>
      <x:c r="E206" s="146" t="e">
        <x:f>IF(OR('实盘净值数据(iFinD公式)'!$A206="",'实盘净值数据(iFinD公式)'!$B206=""),"",分期持仓明细!$AD$18*SUMPRODUCT(分期持仓明细!$B$18:$AA$18,'实盘净值数据(iFinD公式)'!$B206:$AA206/'实盘净值数据(iFinD公式)'!$B$20:$AA$20)*(1-实盘持仓初始配置!$Z$5)^(('实盘净值数据(iFinD公式)'!$A206-'实盘净值数据(iFinD公式)'!$A$5)/365))</x:f>
        <x:v>#NAME?</x:v>
      </x:c>
      <x:c r="F206" s="152" t="e">
        <x:f>IF(OR(E205="",E206=""),"",E206/E205-1)</x:f>
        <x:v>#NAME?</x:v>
      </x:c>
      <x:c r="G206" s="152" t="e">
        <x:f>IF(E206="","",E206/MAX(E$5:E206)-1)</x:f>
        <x:v>#NAME?</x:v>
      </x:c>
      <x:c r="H206" s="146" t="e">
        <x:f>IF(OR('实盘净值数据(iFinD公式)'!$A206="",'实盘净值数据(iFinD公式)'!$B206=""),"",分期持仓明细!$AD$19*SUMPRODUCT(分期持仓明细!$B$19:$AA$19,'实盘净值数据(iFinD公式)'!$B206:$AA206/'实盘净值数据(iFinD公式)'!$B$20:$AA$20)*(1-实盘持仓初始配置!$Z$6)^(('实盘净值数据(iFinD公式)'!$A206-'实盘净值数据(iFinD公式)'!$A$7)/365))</x:f>
        <x:v>#NAME?</x:v>
      </x:c>
      <x:c r="I206" s="152" t="e">
        <x:f>IF(OR(H205="",H206=""),"",H206/H205-1)</x:f>
        <x:v>#NAME?</x:v>
      </x:c>
      <x:c r="J206" s="152" t="e">
        <x:f>IF(H206="","",H206/MAX(H$5:H206)-1)</x:f>
        <x:v>#NAME?</x:v>
      </x:c>
      <x:c r="K206" s="146" t="e">
        <x:f>IF(OR('实盘净值数据(iFinD公式)'!$A206="",'实盘净值数据(iFinD公式)'!$B206=""),"",分期持仓明细!$AD$23*SUMPRODUCT(分期持仓明细!$B$23:$AA$23,'实盘净值数据(iFinD公式)'!$B206:$AA206/'实盘净值数据(iFinD公式)'!$B$65:$AA$65)*(1-实盘持仓初始配置!$Z$7)^(('实盘净值数据(iFinD公式)'!$A206-'实盘净值数据(iFinD公式)'!$A$8)/365))</x:f>
        <x:v>#NAME?</x:v>
      </x:c>
      <x:c r="L206" s="152" t="e">
        <x:f>IF(OR(K205="",K206=""),"",K206/K205-1)</x:f>
        <x:v>#NAME?</x:v>
      </x:c>
      <x:c r="M206" s="152" t="e">
        <x:f>IF(K206="","",K206/MAX(K$5:K206)-1)</x:f>
        <x:v>#NAME?</x:v>
      </x:c>
      <x:c r="N206" s="146" t="e">
        <x:f>IF(OR('实盘净值数据(iFinD公式)'!$A206="",'实盘净值数据(iFinD公式)'!$B206=""),"",分期持仓明细!$AD$24*SUMPRODUCT(分期持仓明细!$B$24:$AA$24,'实盘净值数据(iFinD公式)'!$B206:$AA206/'实盘净值数据(iFinD公式)'!$B$65:$AA$65)*(1-实盘持仓初始配置!$Z$8)^(('实盘净值数据(iFinD公式)'!$A206-'实盘净值数据(iFinD公式)'!$A$5)/365))</x:f>
        <x:v>#NAME?</x:v>
      </x:c>
      <x:c r="O206" s="152" t="e">
        <x:f>IF(OR(N205="",N206=""),"",N206/N205-1)</x:f>
        <x:v>#NAME?</x:v>
      </x:c>
      <x:c r="P206" s="152" t="e">
        <x:f>IF(N206="","",N206/MAX(N$5:N206)-1)</x:f>
        <x:v>#NAME?</x:v>
      </x:c>
      <x:c r="Q206" s="146" t="e">
        <x:f>IF(OR('实盘净值数据(iFinD公式)'!$A206="",'实盘净值数据(iFinD公式)'!$B206=""),"",分期持仓明细!$AD$25*SUMPRODUCT(分期持仓明细!$B$25:$AA$25,'实盘净值数据(iFinD公式)'!$B206:$AA206/'实盘净值数据(iFinD公式)'!$B$65:$AA$65)*(1-实盘持仓初始配置!$Z$9)^(('实盘净值数据(iFinD公式)'!$A206-'实盘净值数据(iFinD公式)'!$A$8)/365))</x:f>
        <x:v>#NAME?</x:v>
      </x:c>
      <x:c r="R206" s="152" t="e">
        <x:f>IF(OR(Q205="",Q206=""),"",Q206/Q205-1)</x:f>
        <x:v>#NAME?</x:v>
      </x:c>
      <x:c r="S206" s="152" t="e">
        <x:f>IF(Q206="","",Q206/MAX(Q$5:Q206)-1)</x:f>
        <x:v>#NAME?</x:v>
      </x:c>
    </x:row>
    <x:row r="207">
      <x:c r="A207" s="149" t="str">
        <x:f>IF('实盘净值数据(iFinD公式)'!A207="","",'实盘净值数据(iFinD公式)'!A207)</x:f>
      </x:c>
      <x:c r="B207" s="146" t="e">
        <x:f>IF(OR('实盘净值数据(iFinD公式)'!$A207="",'实盘净值数据(iFinD公式)'!$B207=""),"",分期持仓明细!$AD$17*SUMPRODUCT(分期持仓明细!$B$17:$AA$17,'实盘净值数据(iFinD公式)'!$B207:$AA207/'实盘净值数据(iFinD公式)'!$B$20:$AA$20)*(1-实盘持仓初始配置!$Z$4)^(('实盘净值数据(iFinD公式)'!$A207-'实盘净值数据(iFinD公式)'!$A$6)/365))</x:f>
        <x:v>#NAME?</x:v>
      </x:c>
      <x:c r="C207" s="152" t="e">
        <x:f>IF(OR(B206="",B207=""),"",B207/B206-1)</x:f>
        <x:v>#NAME?</x:v>
      </x:c>
      <x:c r="D207" s="152" t="e">
        <x:f>IF(B207="","",B207/MAX(B$5:B207)-1)</x:f>
        <x:v>#NAME?</x:v>
      </x:c>
      <x:c r="E207" s="146" t="e">
        <x:f>IF(OR('实盘净值数据(iFinD公式)'!$A207="",'实盘净值数据(iFinD公式)'!$B207=""),"",分期持仓明细!$AD$18*SUMPRODUCT(分期持仓明细!$B$18:$AA$18,'实盘净值数据(iFinD公式)'!$B207:$AA207/'实盘净值数据(iFinD公式)'!$B$20:$AA$20)*(1-实盘持仓初始配置!$Z$5)^(('实盘净值数据(iFinD公式)'!$A207-'实盘净值数据(iFinD公式)'!$A$5)/365))</x:f>
        <x:v>#NAME?</x:v>
      </x:c>
      <x:c r="F207" s="152" t="e">
        <x:f>IF(OR(E206="",E207=""),"",E207/E206-1)</x:f>
        <x:v>#NAME?</x:v>
      </x:c>
      <x:c r="G207" s="152" t="e">
        <x:f>IF(E207="","",E207/MAX(E$5:E207)-1)</x:f>
        <x:v>#NAME?</x:v>
      </x:c>
      <x:c r="H207" s="146" t="e">
        <x:f>IF(OR('实盘净值数据(iFinD公式)'!$A207="",'实盘净值数据(iFinD公式)'!$B207=""),"",分期持仓明细!$AD$19*SUMPRODUCT(分期持仓明细!$B$19:$AA$19,'实盘净值数据(iFinD公式)'!$B207:$AA207/'实盘净值数据(iFinD公式)'!$B$20:$AA$20)*(1-实盘持仓初始配置!$Z$6)^(('实盘净值数据(iFinD公式)'!$A207-'实盘净值数据(iFinD公式)'!$A$7)/365))</x:f>
        <x:v>#NAME?</x:v>
      </x:c>
      <x:c r="I207" s="152" t="e">
        <x:f>IF(OR(H206="",H207=""),"",H207/H206-1)</x:f>
        <x:v>#NAME?</x:v>
      </x:c>
      <x:c r="J207" s="152" t="e">
        <x:f>IF(H207="","",H207/MAX(H$5:H207)-1)</x:f>
        <x:v>#NAME?</x:v>
      </x:c>
      <x:c r="K207" s="146" t="e">
        <x:f>IF(OR('实盘净值数据(iFinD公式)'!$A207="",'实盘净值数据(iFinD公式)'!$B207=""),"",分期持仓明细!$AD$23*SUMPRODUCT(分期持仓明细!$B$23:$AA$23,'实盘净值数据(iFinD公式)'!$B207:$AA207/'实盘净值数据(iFinD公式)'!$B$65:$AA$65)*(1-实盘持仓初始配置!$Z$7)^(('实盘净值数据(iFinD公式)'!$A207-'实盘净值数据(iFinD公式)'!$A$8)/365))</x:f>
        <x:v>#NAME?</x:v>
      </x:c>
      <x:c r="L207" s="152" t="e">
        <x:f>IF(OR(K206="",K207=""),"",K207/K206-1)</x:f>
        <x:v>#NAME?</x:v>
      </x:c>
      <x:c r="M207" s="152" t="e">
        <x:f>IF(K207="","",K207/MAX(K$5:K207)-1)</x:f>
        <x:v>#NAME?</x:v>
      </x:c>
      <x:c r="N207" s="146" t="e">
        <x:f>IF(OR('实盘净值数据(iFinD公式)'!$A207="",'实盘净值数据(iFinD公式)'!$B207=""),"",分期持仓明细!$AD$24*SUMPRODUCT(分期持仓明细!$B$24:$AA$24,'实盘净值数据(iFinD公式)'!$B207:$AA207/'实盘净值数据(iFinD公式)'!$B$65:$AA$65)*(1-实盘持仓初始配置!$Z$8)^(('实盘净值数据(iFinD公式)'!$A207-'实盘净值数据(iFinD公式)'!$A$5)/365))</x:f>
        <x:v>#NAME?</x:v>
      </x:c>
      <x:c r="O207" s="152" t="e">
        <x:f>IF(OR(N206="",N207=""),"",N207/N206-1)</x:f>
        <x:v>#NAME?</x:v>
      </x:c>
      <x:c r="P207" s="152" t="e">
        <x:f>IF(N207="","",N207/MAX(N$5:N207)-1)</x:f>
        <x:v>#NAME?</x:v>
      </x:c>
      <x:c r="Q207" s="146" t="e">
        <x:f>IF(OR('实盘净值数据(iFinD公式)'!$A207="",'实盘净值数据(iFinD公式)'!$B207=""),"",分期持仓明细!$AD$25*SUMPRODUCT(分期持仓明细!$B$25:$AA$25,'实盘净值数据(iFinD公式)'!$B207:$AA207/'实盘净值数据(iFinD公式)'!$B$65:$AA$65)*(1-实盘持仓初始配置!$Z$9)^(('实盘净值数据(iFinD公式)'!$A207-'实盘净值数据(iFinD公式)'!$A$8)/365))</x:f>
        <x:v>#NAME?</x:v>
      </x:c>
      <x:c r="R207" s="152" t="e">
        <x:f>IF(OR(Q206="",Q207=""),"",Q207/Q206-1)</x:f>
        <x:v>#NAME?</x:v>
      </x:c>
      <x:c r="S207" s="152" t="e">
        <x:f>IF(Q207="","",Q207/MAX(Q$5:Q207)-1)</x:f>
        <x:v>#NAME?</x:v>
      </x:c>
    </x:row>
    <x:row r="208">
      <x:c r="A208" s="149" t="str">
        <x:f>IF('实盘净值数据(iFinD公式)'!A208="","",'实盘净值数据(iFinD公式)'!A208)</x:f>
      </x:c>
      <x:c r="B208" s="146" t="e">
        <x:f>IF(OR('实盘净值数据(iFinD公式)'!$A208="",'实盘净值数据(iFinD公式)'!$B208=""),"",分期持仓明细!$AD$17*SUMPRODUCT(分期持仓明细!$B$17:$AA$17,'实盘净值数据(iFinD公式)'!$B208:$AA208/'实盘净值数据(iFinD公式)'!$B$20:$AA$20)*(1-实盘持仓初始配置!$Z$4)^(('实盘净值数据(iFinD公式)'!$A208-'实盘净值数据(iFinD公式)'!$A$6)/365))</x:f>
        <x:v>#NAME?</x:v>
      </x:c>
      <x:c r="C208" s="152" t="e">
        <x:f>IF(OR(B207="",B208=""),"",B208/B207-1)</x:f>
        <x:v>#NAME?</x:v>
      </x:c>
      <x:c r="D208" s="152" t="e">
        <x:f>IF(B208="","",B208/MAX(B$5:B208)-1)</x:f>
        <x:v>#NAME?</x:v>
      </x:c>
      <x:c r="E208" s="146" t="e">
        <x:f>IF(OR('实盘净值数据(iFinD公式)'!$A208="",'实盘净值数据(iFinD公式)'!$B208=""),"",分期持仓明细!$AD$18*SUMPRODUCT(分期持仓明细!$B$18:$AA$18,'实盘净值数据(iFinD公式)'!$B208:$AA208/'实盘净值数据(iFinD公式)'!$B$20:$AA$20)*(1-实盘持仓初始配置!$Z$5)^(('实盘净值数据(iFinD公式)'!$A208-'实盘净值数据(iFinD公式)'!$A$5)/365))</x:f>
        <x:v>#NAME?</x:v>
      </x:c>
      <x:c r="F208" s="152" t="e">
        <x:f>IF(OR(E207="",E208=""),"",E208/E207-1)</x:f>
        <x:v>#NAME?</x:v>
      </x:c>
      <x:c r="G208" s="152" t="e">
        <x:f>IF(E208="","",E208/MAX(E$5:E208)-1)</x:f>
        <x:v>#NAME?</x:v>
      </x:c>
      <x:c r="H208" s="146" t="e">
        <x:f>IF(OR('实盘净值数据(iFinD公式)'!$A208="",'实盘净值数据(iFinD公式)'!$B208=""),"",分期持仓明细!$AD$19*SUMPRODUCT(分期持仓明细!$B$19:$AA$19,'实盘净值数据(iFinD公式)'!$B208:$AA208/'实盘净值数据(iFinD公式)'!$B$20:$AA$20)*(1-实盘持仓初始配置!$Z$6)^(('实盘净值数据(iFinD公式)'!$A208-'实盘净值数据(iFinD公式)'!$A$7)/365))</x:f>
        <x:v>#NAME?</x:v>
      </x:c>
      <x:c r="I208" s="152" t="e">
        <x:f>IF(OR(H207="",H208=""),"",H208/H207-1)</x:f>
        <x:v>#NAME?</x:v>
      </x:c>
      <x:c r="J208" s="152" t="e">
        <x:f>IF(H208="","",H208/MAX(H$5:H208)-1)</x:f>
        <x:v>#NAME?</x:v>
      </x:c>
      <x:c r="K208" s="146" t="e">
        <x:f>IF(OR('实盘净值数据(iFinD公式)'!$A208="",'实盘净值数据(iFinD公式)'!$B208=""),"",分期持仓明细!$AD$23*SUMPRODUCT(分期持仓明细!$B$23:$AA$23,'实盘净值数据(iFinD公式)'!$B208:$AA208/'实盘净值数据(iFinD公式)'!$B$65:$AA$65)*(1-实盘持仓初始配置!$Z$7)^(('实盘净值数据(iFinD公式)'!$A208-'实盘净值数据(iFinD公式)'!$A$8)/365))</x:f>
        <x:v>#NAME?</x:v>
      </x:c>
      <x:c r="L208" s="152" t="e">
        <x:f>IF(OR(K207="",K208=""),"",K208/K207-1)</x:f>
        <x:v>#NAME?</x:v>
      </x:c>
      <x:c r="M208" s="152" t="e">
        <x:f>IF(K208="","",K208/MAX(K$5:K208)-1)</x:f>
        <x:v>#NAME?</x:v>
      </x:c>
      <x:c r="N208" s="146" t="e">
        <x:f>IF(OR('实盘净值数据(iFinD公式)'!$A208="",'实盘净值数据(iFinD公式)'!$B208=""),"",分期持仓明细!$AD$24*SUMPRODUCT(分期持仓明细!$B$24:$AA$24,'实盘净值数据(iFinD公式)'!$B208:$AA208/'实盘净值数据(iFinD公式)'!$B$65:$AA$65)*(1-实盘持仓初始配置!$Z$8)^(('实盘净值数据(iFinD公式)'!$A208-'实盘净值数据(iFinD公式)'!$A$5)/365))</x:f>
        <x:v>#NAME?</x:v>
      </x:c>
      <x:c r="O208" s="152" t="e">
        <x:f>IF(OR(N207="",N208=""),"",N208/N207-1)</x:f>
        <x:v>#NAME?</x:v>
      </x:c>
      <x:c r="P208" s="152" t="e">
        <x:f>IF(N208="","",N208/MAX(N$5:N208)-1)</x:f>
        <x:v>#NAME?</x:v>
      </x:c>
      <x:c r="Q208" s="146" t="e">
        <x:f>IF(OR('实盘净值数据(iFinD公式)'!$A208="",'实盘净值数据(iFinD公式)'!$B208=""),"",分期持仓明细!$AD$25*SUMPRODUCT(分期持仓明细!$B$25:$AA$25,'实盘净值数据(iFinD公式)'!$B208:$AA208/'实盘净值数据(iFinD公式)'!$B$65:$AA$65)*(1-实盘持仓初始配置!$Z$9)^(('实盘净值数据(iFinD公式)'!$A208-'实盘净值数据(iFinD公式)'!$A$8)/365))</x:f>
        <x:v>#NAME?</x:v>
      </x:c>
      <x:c r="R208" s="152" t="e">
        <x:f>IF(OR(Q207="",Q208=""),"",Q208/Q207-1)</x:f>
        <x:v>#NAME?</x:v>
      </x:c>
      <x:c r="S208" s="152" t="e">
        <x:f>IF(Q208="","",Q208/MAX(Q$5:Q208)-1)</x:f>
        <x:v>#NAME?</x:v>
      </x:c>
    </x:row>
    <x:row r="209">
      <x:c r="A209" s="149" t="str">
        <x:f>IF('实盘净值数据(iFinD公式)'!A209="","",'实盘净值数据(iFinD公式)'!A209)</x:f>
      </x:c>
      <x:c r="B209" s="146" t="e">
        <x:f>IF(OR('实盘净值数据(iFinD公式)'!$A209="",'实盘净值数据(iFinD公式)'!$B209=""),"",分期持仓明细!$AD$17*SUMPRODUCT(分期持仓明细!$B$17:$AA$17,'实盘净值数据(iFinD公式)'!$B209:$AA209/'实盘净值数据(iFinD公式)'!$B$20:$AA$20)*(1-实盘持仓初始配置!$Z$4)^(('实盘净值数据(iFinD公式)'!$A209-'实盘净值数据(iFinD公式)'!$A$6)/365))</x:f>
        <x:v>#NAME?</x:v>
      </x:c>
      <x:c r="C209" s="152" t="e">
        <x:f>IF(OR(B208="",B209=""),"",B209/B208-1)</x:f>
        <x:v>#NAME?</x:v>
      </x:c>
      <x:c r="D209" s="152" t="e">
        <x:f>IF(B209="","",B209/MAX(B$5:B209)-1)</x:f>
        <x:v>#NAME?</x:v>
      </x:c>
      <x:c r="E209" s="146" t="e">
        <x:f>IF(OR('实盘净值数据(iFinD公式)'!$A209="",'实盘净值数据(iFinD公式)'!$B209=""),"",分期持仓明细!$AD$18*SUMPRODUCT(分期持仓明细!$B$18:$AA$18,'实盘净值数据(iFinD公式)'!$B209:$AA209/'实盘净值数据(iFinD公式)'!$B$20:$AA$20)*(1-实盘持仓初始配置!$Z$5)^(('实盘净值数据(iFinD公式)'!$A209-'实盘净值数据(iFinD公式)'!$A$5)/365))</x:f>
        <x:v>#NAME?</x:v>
      </x:c>
      <x:c r="F209" s="152" t="e">
        <x:f>IF(OR(E208="",E209=""),"",E209/E208-1)</x:f>
        <x:v>#NAME?</x:v>
      </x:c>
      <x:c r="G209" s="152" t="e">
        <x:f>IF(E209="","",E209/MAX(E$5:E209)-1)</x:f>
        <x:v>#NAME?</x:v>
      </x:c>
      <x:c r="H209" s="146" t="e">
        <x:f>IF(OR('实盘净值数据(iFinD公式)'!$A209="",'实盘净值数据(iFinD公式)'!$B209=""),"",分期持仓明细!$AD$19*SUMPRODUCT(分期持仓明细!$B$19:$AA$19,'实盘净值数据(iFinD公式)'!$B209:$AA209/'实盘净值数据(iFinD公式)'!$B$20:$AA$20)*(1-实盘持仓初始配置!$Z$6)^(('实盘净值数据(iFinD公式)'!$A209-'实盘净值数据(iFinD公式)'!$A$7)/365))</x:f>
        <x:v>#NAME?</x:v>
      </x:c>
      <x:c r="I209" s="152" t="e">
        <x:f>IF(OR(H208="",H209=""),"",H209/H208-1)</x:f>
        <x:v>#NAME?</x:v>
      </x:c>
      <x:c r="J209" s="152" t="e">
        <x:f>IF(H209="","",H209/MAX(H$5:H209)-1)</x:f>
        <x:v>#NAME?</x:v>
      </x:c>
      <x:c r="K209" s="146" t="e">
        <x:f>IF(OR('实盘净值数据(iFinD公式)'!$A209="",'实盘净值数据(iFinD公式)'!$B209=""),"",分期持仓明细!$AD$23*SUMPRODUCT(分期持仓明细!$B$23:$AA$23,'实盘净值数据(iFinD公式)'!$B209:$AA209/'实盘净值数据(iFinD公式)'!$B$65:$AA$65)*(1-实盘持仓初始配置!$Z$7)^(('实盘净值数据(iFinD公式)'!$A209-'实盘净值数据(iFinD公式)'!$A$8)/365))</x:f>
        <x:v>#NAME?</x:v>
      </x:c>
      <x:c r="L209" s="152" t="e">
        <x:f>IF(OR(K208="",K209=""),"",K209/K208-1)</x:f>
        <x:v>#NAME?</x:v>
      </x:c>
      <x:c r="M209" s="152" t="e">
        <x:f>IF(K209="","",K209/MAX(K$5:K209)-1)</x:f>
        <x:v>#NAME?</x:v>
      </x:c>
      <x:c r="N209" s="146" t="e">
        <x:f>IF(OR('实盘净值数据(iFinD公式)'!$A209="",'实盘净值数据(iFinD公式)'!$B209=""),"",分期持仓明细!$AD$24*SUMPRODUCT(分期持仓明细!$B$24:$AA$24,'实盘净值数据(iFinD公式)'!$B209:$AA209/'实盘净值数据(iFinD公式)'!$B$65:$AA$65)*(1-实盘持仓初始配置!$Z$8)^(('实盘净值数据(iFinD公式)'!$A209-'实盘净值数据(iFinD公式)'!$A$5)/365))</x:f>
        <x:v>#NAME?</x:v>
      </x:c>
      <x:c r="O209" s="152" t="e">
        <x:f>IF(OR(N208="",N209=""),"",N209/N208-1)</x:f>
        <x:v>#NAME?</x:v>
      </x:c>
      <x:c r="P209" s="152" t="e">
        <x:f>IF(N209="","",N209/MAX(N$5:N209)-1)</x:f>
        <x:v>#NAME?</x:v>
      </x:c>
      <x:c r="Q209" s="146" t="e">
        <x:f>IF(OR('实盘净值数据(iFinD公式)'!$A209="",'实盘净值数据(iFinD公式)'!$B209=""),"",分期持仓明细!$AD$25*SUMPRODUCT(分期持仓明细!$B$25:$AA$25,'实盘净值数据(iFinD公式)'!$B209:$AA209/'实盘净值数据(iFinD公式)'!$B$65:$AA$65)*(1-实盘持仓初始配置!$Z$9)^(('实盘净值数据(iFinD公式)'!$A209-'实盘净值数据(iFinD公式)'!$A$8)/365))</x:f>
        <x:v>#NAME?</x:v>
      </x:c>
      <x:c r="R209" s="152" t="e">
        <x:f>IF(OR(Q208="",Q209=""),"",Q209/Q208-1)</x:f>
        <x:v>#NAME?</x:v>
      </x:c>
      <x:c r="S209" s="152" t="e">
        <x:f>IF(Q209="","",Q209/MAX(Q$5:Q209)-1)</x:f>
        <x:v>#NAME?</x:v>
      </x:c>
    </x:row>
    <x:row r="210">
      <x:c r="A210" s="149" t="str">
        <x:f>IF('实盘净值数据(iFinD公式)'!A210="","",'实盘净值数据(iFinD公式)'!A210)</x:f>
      </x:c>
      <x:c r="B210" s="146" t="e">
        <x:f>IF(OR('实盘净值数据(iFinD公式)'!$A210="",'实盘净值数据(iFinD公式)'!$B210=""),"",分期持仓明细!$AD$17*SUMPRODUCT(分期持仓明细!$B$17:$AA$17,'实盘净值数据(iFinD公式)'!$B210:$AA210/'实盘净值数据(iFinD公式)'!$B$20:$AA$20)*(1-实盘持仓初始配置!$Z$4)^(('实盘净值数据(iFinD公式)'!$A210-'实盘净值数据(iFinD公式)'!$A$6)/365))</x:f>
        <x:v>#NAME?</x:v>
      </x:c>
      <x:c r="C210" s="152" t="e">
        <x:f>IF(OR(B209="",B210=""),"",B210/B209-1)</x:f>
        <x:v>#NAME?</x:v>
      </x:c>
      <x:c r="D210" s="152" t="e">
        <x:f>IF(B210="","",B210/MAX(B$5:B210)-1)</x:f>
        <x:v>#NAME?</x:v>
      </x:c>
      <x:c r="E210" s="146" t="e">
        <x:f>IF(OR('实盘净值数据(iFinD公式)'!$A210="",'实盘净值数据(iFinD公式)'!$B210=""),"",分期持仓明细!$AD$18*SUMPRODUCT(分期持仓明细!$B$18:$AA$18,'实盘净值数据(iFinD公式)'!$B210:$AA210/'实盘净值数据(iFinD公式)'!$B$20:$AA$20)*(1-实盘持仓初始配置!$Z$5)^(('实盘净值数据(iFinD公式)'!$A210-'实盘净值数据(iFinD公式)'!$A$5)/365))</x:f>
        <x:v>#NAME?</x:v>
      </x:c>
      <x:c r="F210" s="152" t="e">
        <x:f>IF(OR(E209="",E210=""),"",E210/E209-1)</x:f>
        <x:v>#NAME?</x:v>
      </x:c>
      <x:c r="G210" s="152" t="e">
        <x:f>IF(E210="","",E210/MAX(E$5:E210)-1)</x:f>
        <x:v>#NAME?</x:v>
      </x:c>
      <x:c r="H210" s="146" t="e">
        <x:f>IF(OR('实盘净值数据(iFinD公式)'!$A210="",'实盘净值数据(iFinD公式)'!$B210=""),"",分期持仓明细!$AD$19*SUMPRODUCT(分期持仓明细!$B$19:$AA$19,'实盘净值数据(iFinD公式)'!$B210:$AA210/'实盘净值数据(iFinD公式)'!$B$20:$AA$20)*(1-实盘持仓初始配置!$Z$6)^(('实盘净值数据(iFinD公式)'!$A210-'实盘净值数据(iFinD公式)'!$A$7)/365))</x:f>
        <x:v>#NAME?</x:v>
      </x:c>
      <x:c r="I210" s="152" t="e">
        <x:f>IF(OR(H209="",H210=""),"",H210/H209-1)</x:f>
        <x:v>#NAME?</x:v>
      </x:c>
      <x:c r="J210" s="152" t="e">
        <x:f>IF(H210="","",H210/MAX(H$5:H210)-1)</x:f>
        <x:v>#NAME?</x:v>
      </x:c>
      <x:c r="K210" s="146" t="e">
        <x:f>IF(OR('实盘净值数据(iFinD公式)'!$A210="",'实盘净值数据(iFinD公式)'!$B210=""),"",分期持仓明细!$AD$23*SUMPRODUCT(分期持仓明细!$B$23:$AA$23,'实盘净值数据(iFinD公式)'!$B210:$AA210/'实盘净值数据(iFinD公式)'!$B$65:$AA$65)*(1-实盘持仓初始配置!$Z$7)^(('实盘净值数据(iFinD公式)'!$A210-'实盘净值数据(iFinD公式)'!$A$8)/365))</x:f>
        <x:v>#NAME?</x:v>
      </x:c>
      <x:c r="L210" s="152" t="e">
        <x:f>IF(OR(K209="",K210=""),"",K210/K209-1)</x:f>
        <x:v>#NAME?</x:v>
      </x:c>
      <x:c r="M210" s="152" t="e">
        <x:f>IF(K210="","",K210/MAX(K$5:K210)-1)</x:f>
        <x:v>#NAME?</x:v>
      </x:c>
      <x:c r="N210" s="146" t="e">
        <x:f>IF(OR('实盘净值数据(iFinD公式)'!$A210="",'实盘净值数据(iFinD公式)'!$B210=""),"",分期持仓明细!$AD$24*SUMPRODUCT(分期持仓明细!$B$24:$AA$24,'实盘净值数据(iFinD公式)'!$B210:$AA210/'实盘净值数据(iFinD公式)'!$B$65:$AA$65)*(1-实盘持仓初始配置!$Z$8)^(('实盘净值数据(iFinD公式)'!$A210-'实盘净值数据(iFinD公式)'!$A$5)/365))</x:f>
        <x:v>#NAME?</x:v>
      </x:c>
      <x:c r="O210" s="152" t="e">
        <x:f>IF(OR(N209="",N210=""),"",N210/N209-1)</x:f>
        <x:v>#NAME?</x:v>
      </x:c>
      <x:c r="P210" s="152" t="e">
        <x:f>IF(N210="","",N210/MAX(N$5:N210)-1)</x:f>
        <x:v>#NAME?</x:v>
      </x:c>
      <x:c r="Q210" s="146" t="e">
        <x:f>IF(OR('实盘净值数据(iFinD公式)'!$A210="",'实盘净值数据(iFinD公式)'!$B210=""),"",分期持仓明细!$AD$25*SUMPRODUCT(分期持仓明细!$B$25:$AA$25,'实盘净值数据(iFinD公式)'!$B210:$AA210/'实盘净值数据(iFinD公式)'!$B$65:$AA$65)*(1-实盘持仓初始配置!$Z$9)^(('实盘净值数据(iFinD公式)'!$A210-'实盘净值数据(iFinD公式)'!$A$8)/365))</x:f>
        <x:v>#NAME?</x:v>
      </x:c>
      <x:c r="R210" s="152" t="e">
        <x:f>IF(OR(Q209="",Q210=""),"",Q210/Q209-1)</x:f>
        <x:v>#NAME?</x:v>
      </x:c>
      <x:c r="S210" s="152" t="e">
        <x:f>IF(Q210="","",Q210/MAX(Q$5:Q210)-1)</x:f>
        <x:v>#NAME?</x:v>
      </x:c>
    </x:row>
    <x:row r="211">
      <x:c r="A211" s="149" t="str">
        <x:f>IF('实盘净值数据(iFinD公式)'!A211="","",'实盘净值数据(iFinD公式)'!A211)</x:f>
      </x:c>
      <x:c r="B211" s="146" t="e">
        <x:f>IF(OR('实盘净值数据(iFinD公式)'!$A211="",'实盘净值数据(iFinD公式)'!$B211=""),"",分期持仓明细!$AD$17*SUMPRODUCT(分期持仓明细!$B$17:$AA$17,'实盘净值数据(iFinD公式)'!$B211:$AA211/'实盘净值数据(iFinD公式)'!$B$20:$AA$20)*(1-实盘持仓初始配置!$Z$4)^(('实盘净值数据(iFinD公式)'!$A211-'实盘净值数据(iFinD公式)'!$A$6)/365))</x:f>
        <x:v>#NAME?</x:v>
      </x:c>
      <x:c r="C211" s="152" t="e">
        <x:f>IF(OR(B210="",B211=""),"",B211/B210-1)</x:f>
        <x:v>#NAME?</x:v>
      </x:c>
      <x:c r="D211" s="152" t="e">
        <x:f>IF(B211="","",B211/MAX(B$5:B211)-1)</x:f>
        <x:v>#NAME?</x:v>
      </x:c>
      <x:c r="E211" s="146" t="e">
        <x:f>IF(OR('实盘净值数据(iFinD公式)'!$A211="",'实盘净值数据(iFinD公式)'!$B211=""),"",分期持仓明细!$AD$18*SUMPRODUCT(分期持仓明细!$B$18:$AA$18,'实盘净值数据(iFinD公式)'!$B211:$AA211/'实盘净值数据(iFinD公式)'!$B$20:$AA$20)*(1-实盘持仓初始配置!$Z$5)^(('实盘净值数据(iFinD公式)'!$A211-'实盘净值数据(iFinD公式)'!$A$5)/365))</x:f>
        <x:v>#NAME?</x:v>
      </x:c>
      <x:c r="F211" s="152" t="e">
        <x:f>IF(OR(E210="",E211=""),"",E211/E210-1)</x:f>
        <x:v>#NAME?</x:v>
      </x:c>
      <x:c r="G211" s="152" t="e">
        <x:f>IF(E211="","",E211/MAX(E$5:E211)-1)</x:f>
        <x:v>#NAME?</x:v>
      </x:c>
      <x:c r="H211" s="146" t="e">
        <x:f>IF(OR('实盘净值数据(iFinD公式)'!$A211="",'实盘净值数据(iFinD公式)'!$B211=""),"",分期持仓明细!$AD$19*SUMPRODUCT(分期持仓明细!$B$19:$AA$19,'实盘净值数据(iFinD公式)'!$B211:$AA211/'实盘净值数据(iFinD公式)'!$B$20:$AA$20)*(1-实盘持仓初始配置!$Z$6)^(('实盘净值数据(iFinD公式)'!$A211-'实盘净值数据(iFinD公式)'!$A$7)/365))</x:f>
        <x:v>#NAME?</x:v>
      </x:c>
      <x:c r="I211" s="152" t="e">
        <x:f>IF(OR(H210="",H211=""),"",H211/H210-1)</x:f>
        <x:v>#NAME?</x:v>
      </x:c>
      <x:c r="J211" s="152" t="e">
        <x:f>IF(H211="","",H211/MAX(H$5:H211)-1)</x:f>
        <x:v>#NAME?</x:v>
      </x:c>
      <x:c r="K211" s="146" t="e">
        <x:f>IF(OR('实盘净值数据(iFinD公式)'!$A211="",'实盘净值数据(iFinD公式)'!$B211=""),"",分期持仓明细!$AD$23*SUMPRODUCT(分期持仓明细!$B$23:$AA$23,'实盘净值数据(iFinD公式)'!$B211:$AA211/'实盘净值数据(iFinD公式)'!$B$65:$AA$65)*(1-实盘持仓初始配置!$Z$7)^(('实盘净值数据(iFinD公式)'!$A211-'实盘净值数据(iFinD公式)'!$A$8)/365))</x:f>
        <x:v>#NAME?</x:v>
      </x:c>
      <x:c r="L211" s="152" t="e">
        <x:f>IF(OR(K210="",K211=""),"",K211/K210-1)</x:f>
        <x:v>#NAME?</x:v>
      </x:c>
      <x:c r="M211" s="152" t="e">
        <x:f>IF(K211="","",K211/MAX(K$5:K211)-1)</x:f>
        <x:v>#NAME?</x:v>
      </x:c>
      <x:c r="N211" s="146" t="e">
        <x:f>IF(OR('实盘净值数据(iFinD公式)'!$A211="",'实盘净值数据(iFinD公式)'!$B211=""),"",分期持仓明细!$AD$24*SUMPRODUCT(分期持仓明细!$B$24:$AA$24,'实盘净值数据(iFinD公式)'!$B211:$AA211/'实盘净值数据(iFinD公式)'!$B$65:$AA$65)*(1-实盘持仓初始配置!$Z$8)^(('实盘净值数据(iFinD公式)'!$A211-'实盘净值数据(iFinD公式)'!$A$5)/365))</x:f>
        <x:v>#NAME?</x:v>
      </x:c>
      <x:c r="O211" s="152" t="e">
        <x:f>IF(OR(N210="",N211=""),"",N211/N210-1)</x:f>
        <x:v>#NAME?</x:v>
      </x:c>
      <x:c r="P211" s="152" t="e">
        <x:f>IF(N211="","",N211/MAX(N$5:N211)-1)</x:f>
        <x:v>#NAME?</x:v>
      </x:c>
      <x:c r="Q211" s="146" t="e">
        <x:f>IF(OR('实盘净值数据(iFinD公式)'!$A211="",'实盘净值数据(iFinD公式)'!$B211=""),"",分期持仓明细!$AD$25*SUMPRODUCT(分期持仓明细!$B$25:$AA$25,'实盘净值数据(iFinD公式)'!$B211:$AA211/'实盘净值数据(iFinD公式)'!$B$65:$AA$65)*(1-实盘持仓初始配置!$Z$9)^(('实盘净值数据(iFinD公式)'!$A211-'实盘净值数据(iFinD公式)'!$A$8)/365))</x:f>
        <x:v>#NAME?</x:v>
      </x:c>
      <x:c r="R211" s="152" t="e">
        <x:f>IF(OR(Q210="",Q211=""),"",Q211/Q210-1)</x:f>
        <x:v>#NAME?</x:v>
      </x:c>
      <x:c r="S211" s="152" t="e">
        <x:f>IF(Q211="","",Q211/MAX(Q$5:Q211)-1)</x:f>
        <x:v>#NAME?</x:v>
      </x:c>
    </x:row>
    <x:row r="212">
      <x:c r="A212" s="149" t="str">
        <x:f>IF('实盘净值数据(iFinD公式)'!A212="","",'实盘净值数据(iFinD公式)'!A212)</x:f>
      </x:c>
      <x:c r="B212" s="146" t="e">
        <x:f>IF(OR('实盘净值数据(iFinD公式)'!$A212="",'实盘净值数据(iFinD公式)'!$B212=""),"",分期持仓明细!$AD$17*SUMPRODUCT(分期持仓明细!$B$17:$AA$17,'实盘净值数据(iFinD公式)'!$B212:$AA212/'实盘净值数据(iFinD公式)'!$B$20:$AA$20)*(1-实盘持仓初始配置!$Z$4)^(('实盘净值数据(iFinD公式)'!$A212-'实盘净值数据(iFinD公式)'!$A$6)/365))</x:f>
        <x:v>#NAME?</x:v>
      </x:c>
      <x:c r="C212" s="152" t="e">
        <x:f>IF(OR(B211="",B212=""),"",B212/B211-1)</x:f>
        <x:v>#NAME?</x:v>
      </x:c>
      <x:c r="D212" s="152" t="e">
        <x:f>IF(B212="","",B212/MAX(B$5:B212)-1)</x:f>
        <x:v>#NAME?</x:v>
      </x:c>
      <x:c r="E212" s="146" t="e">
        <x:f>IF(OR('实盘净值数据(iFinD公式)'!$A212="",'实盘净值数据(iFinD公式)'!$B212=""),"",分期持仓明细!$AD$18*SUMPRODUCT(分期持仓明细!$B$18:$AA$18,'实盘净值数据(iFinD公式)'!$B212:$AA212/'实盘净值数据(iFinD公式)'!$B$20:$AA$20)*(1-实盘持仓初始配置!$Z$5)^(('实盘净值数据(iFinD公式)'!$A212-'实盘净值数据(iFinD公式)'!$A$5)/365))</x:f>
        <x:v>#NAME?</x:v>
      </x:c>
      <x:c r="F212" s="152" t="e">
        <x:f>IF(OR(E211="",E212=""),"",E212/E211-1)</x:f>
        <x:v>#NAME?</x:v>
      </x:c>
      <x:c r="G212" s="152" t="e">
        <x:f>IF(E212="","",E212/MAX(E$5:E212)-1)</x:f>
        <x:v>#NAME?</x:v>
      </x:c>
      <x:c r="H212" s="146" t="e">
        <x:f>IF(OR('实盘净值数据(iFinD公式)'!$A212="",'实盘净值数据(iFinD公式)'!$B212=""),"",分期持仓明细!$AD$19*SUMPRODUCT(分期持仓明细!$B$19:$AA$19,'实盘净值数据(iFinD公式)'!$B212:$AA212/'实盘净值数据(iFinD公式)'!$B$20:$AA$20)*(1-实盘持仓初始配置!$Z$6)^(('实盘净值数据(iFinD公式)'!$A212-'实盘净值数据(iFinD公式)'!$A$7)/365))</x:f>
        <x:v>#NAME?</x:v>
      </x:c>
      <x:c r="I212" s="152" t="e">
        <x:f>IF(OR(H211="",H212=""),"",H212/H211-1)</x:f>
        <x:v>#NAME?</x:v>
      </x:c>
      <x:c r="J212" s="152" t="e">
        <x:f>IF(H212="","",H212/MAX(H$5:H212)-1)</x:f>
        <x:v>#NAME?</x:v>
      </x:c>
      <x:c r="K212" s="146" t="e">
        <x:f>IF(OR('实盘净值数据(iFinD公式)'!$A212="",'实盘净值数据(iFinD公式)'!$B212=""),"",分期持仓明细!$AD$23*SUMPRODUCT(分期持仓明细!$B$23:$AA$23,'实盘净值数据(iFinD公式)'!$B212:$AA212/'实盘净值数据(iFinD公式)'!$B$65:$AA$65)*(1-实盘持仓初始配置!$Z$7)^(('实盘净值数据(iFinD公式)'!$A212-'实盘净值数据(iFinD公式)'!$A$8)/365))</x:f>
        <x:v>#NAME?</x:v>
      </x:c>
      <x:c r="L212" s="152" t="e">
        <x:f>IF(OR(K211="",K212=""),"",K212/K211-1)</x:f>
        <x:v>#NAME?</x:v>
      </x:c>
      <x:c r="M212" s="152" t="e">
        <x:f>IF(K212="","",K212/MAX(K$5:K212)-1)</x:f>
        <x:v>#NAME?</x:v>
      </x:c>
      <x:c r="N212" s="146" t="e">
        <x:f>IF(OR('实盘净值数据(iFinD公式)'!$A212="",'实盘净值数据(iFinD公式)'!$B212=""),"",分期持仓明细!$AD$24*SUMPRODUCT(分期持仓明细!$B$24:$AA$24,'实盘净值数据(iFinD公式)'!$B212:$AA212/'实盘净值数据(iFinD公式)'!$B$65:$AA$65)*(1-实盘持仓初始配置!$Z$8)^(('实盘净值数据(iFinD公式)'!$A212-'实盘净值数据(iFinD公式)'!$A$5)/365))</x:f>
        <x:v>#NAME?</x:v>
      </x:c>
      <x:c r="O212" s="152" t="e">
        <x:f>IF(OR(N211="",N212=""),"",N212/N211-1)</x:f>
        <x:v>#NAME?</x:v>
      </x:c>
      <x:c r="P212" s="152" t="e">
        <x:f>IF(N212="","",N212/MAX(N$5:N212)-1)</x:f>
        <x:v>#NAME?</x:v>
      </x:c>
      <x:c r="Q212" s="146" t="e">
        <x:f>IF(OR('实盘净值数据(iFinD公式)'!$A212="",'实盘净值数据(iFinD公式)'!$B212=""),"",分期持仓明细!$AD$25*SUMPRODUCT(分期持仓明细!$B$25:$AA$25,'实盘净值数据(iFinD公式)'!$B212:$AA212/'实盘净值数据(iFinD公式)'!$B$65:$AA$65)*(1-实盘持仓初始配置!$Z$9)^(('实盘净值数据(iFinD公式)'!$A212-'实盘净值数据(iFinD公式)'!$A$8)/365))</x:f>
        <x:v>#NAME?</x:v>
      </x:c>
      <x:c r="R212" s="152" t="e">
        <x:f>IF(OR(Q211="",Q212=""),"",Q212/Q211-1)</x:f>
        <x:v>#NAME?</x:v>
      </x:c>
      <x:c r="S212" s="152" t="e">
        <x:f>IF(Q212="","",Q212/MAX(Q$5:Q212)-1)</x:f>
        <x:v>#NAME?</x:v>
      </x:c>
    </x:row>
    <x:row r="213">
      <x:c r="A213" s="149" t="str">
        <x:f>IF('实盘净值数据(iFinD公式)'!A213="","",'实盘净值数据(iFinD公式)'!A213)</x:f>
      </x:c>
      <x:c r="B213" s="146" t="e">
        <x:f>IF(OR('实盘净值数据(iFinD公式)'!$A213="",'实盘净值数据(iFinD公式)'!$B213=""),"",分期持仓明细!$AD$17*SUMPRODUCT(分期持仓明细!$B$17:$AA$17,'实盘净值数据(iFinD公式)'!$B213:$AA213/'实盘净值数据(iFinD公式)'!$B$20:$AA$20)*(1-实盘持仓初始配置!$Z$4)^(('实盘净值数据(iFinD公式)'!$A213-'实盘净值数据(iFinD公式)'!$A$6)/365))</x:f>
        <x:v>#NAME?</x:v>
      </x:c>
      <x:c r="C213" s="152" t="e">
        <x:f>IF(OR(B212="",B213=""),"",B213/B212-1)</x:f>
        <x:v>#NAME?</x:v>
      </x:c>
      <x:c r="D213" s="152" t="e">
        <x:f>IF(B213="","",B213/MAX(B$5:B213)-1)</x:f>
        <x:v>#NAME?</x:v>
      </x:c>
      <x:c r="E213" s="146" t="e">
        <x:f>IF(OR('实盘净值数据(iFinD公式)'!$A213="",'实盘净值数据(iFinD公式)'!$B213=""),"",分期持仓明细!$AD$18*SUMPRODUCT(分期持仓明细!$B$18:$AA$18,'实盘净值数据(iFinD公式)'!$B213:$AA213/'实盘净值数据(iFinD公式)'!$B$20:$AA$20)*(1-实盘持仓初始配置!$Z$5)^(('实盘净值数据(iFinD公式)'!$A213-'实盘净值数据(iFinD公式)'!$A$5)/365))</x:f>
        <x:v>#NAME?</x:v>
      </x:c>
      <x:c r="F213" s="152" t="e">
        <x:f>IF(OR(E212="",E213=""),"",E213/E212-1)</x:f>
        <x:v>#NAME?</x:v>
      </x:c>
      <x:c r="G213" s="152" t="e">
        <x:f>IF(E213="","",E213/MAX(E$5:E213)-1)</x:f>
        <x:v>#NAME?</x:v>
      </x:c>
      <x:c r="H213" s="146" t="e">
        <x:f>IF(OR('实盘净值数据(iFinD公式)'!$A213="",'实盘净值数据(iFinD公式)'!$B213=""),"",分期持仓明细!$AD$19*SUMPRODUCT(分期持仓明细!$B$19:$AA$19,'实盘净值数据(iFinD公式)'!$B213:$AA213/'实盘净值数据(iFinD公式)'!$B$20:$AA$20)*(1-实盘持仓初始配置!$Z$6)^(('实盘净值数据(iFinD公式)'!$A213-'实盘净值数据(iFinD公式)'!$A$7)/365))</x:f>
        <x:v>#NAME?</x:v>
      </x:c>
      <x:c r="I213" s="152" t="e">
        <x:f>IF(OR(H212="",H213=""),"",H213/H212-1)</x:f>
        <x:v>#NAME?</x:v>
      </x:c>
      <x:c r="J213" s="152" t="e">
        <x:f>IF(H213="","",H213/MAX(H$5:H213)-1)</x:f>
        <x:v>#NAME?</x:v>
      </x:c>
      <x:c r="K213" s="146" t="e">
        <x:f>IF(OR('实盘净值数据(iFinD公式)'!$A213="",'实盘净值数据(iFinD公式)'!$B213=""),"",分期持仓明细!$AD$23*SUMPRODUCT(分期持仓明细!$B$23:$AA$23,'实盘净值数据(iFinD公式)'!$B213:$AA213/'实盘净值数据(iFinD公式)'!$B$65:$AA$65)*(1-实盘持仓初始配置!$Z$7)^(('实盘净值数据(iFinD公式)'!$A213-'实盘净值数据(iFinD公式)'!$A$8)/365))</x:f>
        <x:v>#NAME?</x:v>
      </x:c>
      <x:c r="L213" s="152" t="e">
        <x:f>IF(OR(K212="",K213=""),"",K213/K212-1)</x:f>
        <x:v>#NAME?</x:v>
      </x:c>
      <x:c r="M213" s="152" t="e">
        <x:f>IF(K213="","",K213/MAX(K$5:K213)-1)</x:f>
        <x:v>#NAME?</x:v>
      </x:c>
      <x:c r="N213" s="146" t="e">
        <x:f>IF(OR('实盘净值数据(iFinD公式)'!$A213="",'实盘净值数据(iFinD公式)'!$B213=""),"",分期持仓明细!$AD$24*SUMPRODUCT(分期持仓明细!$B$24:$AA$24,'实盘净值数据(iFinD公式)'!$B213:$AA213/'实盘净值数据(iFinD公式)'!$B$65:$AA$65)*(1-实盘持仓初始配置!$Z$8)^(('实盘净值数据(iFinD公式)'!$A213-'实盘净值数据(iFinD公式)'!$A$5)/365))</x:f>
        <x:v>#NAME?</x:v>
      </x:c>
      <x:c r="O213" s="152" t="e">
        <x:f>IF(OR(N212="",N213=""),"",N213/N212-1)</x:f>
        <x:v>#NAME?</x:v>
      </x:c>
      <x:c r="P213" s="152" t="e">
        <x:f>IF(N213="","",N213/MAX(N$5:N213)-1)</x:f>
        <x:v>#NAME?</x:v>
      </x:c>
      <x:c r="Q213" s="146" t="e">
        <x:f>IF(OR('实盘净值数据(iFinD公式)'!$A213="",'实盘净值数据(iFinD公式)'!$B213=""),"",分期持仓明细!$AD$25*SUMPRODUCT(分期持仓明细!$B$25:$AA$25,'实盘净值数据(iFinD公式)'!$B213:$AA213/'实盘净值数据(iFinD公式)'!$B$65:$AA$65)*(1-实盘持仓初始配置!$Z$9)^(('实盘净值数据(iFinD公式)'!$A213-'实盘净值数据(iFinD公式)'!$A$8)/365))</x:f>
        <x:v>#NAME?</x:v>
      </x:c>
      <x:c r="R213" s="152" t="e">
        <x:f>IF(OR(Q212="",Q213=""),"",Q213/Q212-1)</x:f>
        <x:v>#NAME?</x:v>
      </x:c>
      <x:c r="S213" s="152" t="e">
        <x:f>IF(Q213="","",Q213/MAX(Q$5:Q213)-1)</x:f>
        <x:v>#NAME?</x:v>
      </x:c>
    </x:row>
    <x:row r="214">
      <x:c r="A214" s="149" t="str">
        <x:f>IF('实盘净值数据(iFinD公式)'!A214="","",'实盘净值数据(iFinD公式)'!A214)</x:f>
      </x:c>
      <x:c r="B214" s="146" t="e">
        <x:f>IF(OR('实盘净值数据(iFinD公式)'!$A214="",'实盘净值数据(iFinD公式)'!$B214=""),"",分期持仓明细!$AD$17*SUMPRODUCT(分期持仓明细!$B$17:$AA$17,'实盘净值数据(iFinD公式)'!$B214:$AA214/'实盘净值数据(iFinD公式)'!$B$20:$AA$20)*(1-实盘持仓初始配置!$Z$4)^(('实盘净值数据(iFinD公式)'!$A214-'实盘净值数据(iFinD公式)'!$A$6)/365))</x:f>
        <x:v>#NAME?</x:v>
      </x:c>
      <x:c r="C214" s="152" t="e">
        <x:f>IF(OR(B213="",B214=""),"",B214/B213-1)</x:f>
        <x:v>#NAME?</x:v>
      </x:c>
      <x:c r="D214" s="152" t="e">
        <x:f>IF(B214="","",B214/MAX(B$5:B214)-1)</x:f>
        <x:v>#NAME?</x:v>
      </x:c>
      <x:c r="E214" s="146" t="e">
        <x:f>IF(OR('实盘净值数据(iFinD公式)'!$A214="",'实盘净值数据(iFinD公式)'!$B214=""),"",分期持仓明细!$AD$18*SUMPRODUCT(分期持仓明细!$B$18:$AA$18,'实盘净值数据(iFinD公式)'!$B214:$AA214/'实盘净值数据(iFinD公式)'!$B$20:$AA$20)*(1-实盘持仓初始配置!$Z$5)^(('实盘净值数据(iFinD公式)'!$A214-'实盘净值数据(iFinD公式)'!$A$5)/365))</x:f>
        <x:v>#NAME?</x:v>
      </x:c>
      <x:c r="F214" s="152" t="e">
        <x:f>IF(OR(E213="",E214=""),"",E214/E213-1)</x:f>
        <x:v>#NAME?</x:v>
      </x:c>
      <x:c r="G214" s="152" t="e">
        <x:f>IF(E214="","",E214/MAX(E$5:E214)-1)</x:f>
        <x:v>#NAME?</x:v>
      </x:c>
      <x:c r="H214" s="146" t="e">
        <x:f>IF(OR('实盘净值数据(iFinD公式)'!$A214="",'实盘净值数据(iFinD公式)'!$B214=""),"",分期持仓明细!$AD$19*SUMPRODUCT(分期持仓明细!$B$19:$AA$19,'实盘净值数据(iFinD公式)'!$B214:$AA214/'实盘净值数据(iFinD公式)'!$B$20:$AA$20)*(1-实盘持仓初始配置!$Z$6)^(('实盘净值数据(iFinD公式)'!$A214-'实盘净值数据(iFinD公式)'!$A$7)/365))</x:f>
        <x:v>#NAME?</x:v>
      </x:c>
      <x:c r="I214" s="152" t="e">
        <x:f>IF(OR(H213="",H214=""),"",H214/H213-1)</x:f>
        <x:v>#NAME?</x:v>
      </x:c>
      <x:c r="J214" s="152" t="e">
        <x:f>IF(H214="","",H214/MAX(H$5:H214)-1)</x:f>
        <x:v>#NAME?</x:v>
      </x:c>
      <x:c r="K214" s="146" t="e">
        <x:f>IF(OR('实盘净值数据(iFinD公式)'!$A214="",'实盘净值数据(iFinD公式)'!$B214=""),"",分期持仓明细!$AD$23*SUMPRODUCT(分期持仓明细!$B$23:$AA$23,'实盘净值数据(iFinD公式)'!$B214:$AA214/'实盘净值数据(iFinD公式)'!$B$65:$AA$65)*(1-实盘持仓初始配置!$Z$7)^(('实盘净值数据(iFinD公式)'!$A214-'实盘净值数据(iFinD公式)'!$A$8)/365))</x:f>
        <x:v>#NAME?</x:v>
      </x:c>
      <x:c r="L214" s="152" t="e">
        <x:f>IF(OR(K213="",K214=""),"",K214/K213-1)</x:f>
        <x:v>#NAME?</x:v>
      </x:c>
      <x:c r="M214" s="152" t="e">
        <x:f>IF(K214="","",K214/MAX(K$5:K214)-1)</x:f>
        <x:v>#NAME?</x:v>
      </x:c>
      <x:c r="N214" s="146" t="e">
        <x:f>IF(OR('实盘净值数据(iFinD公式)'!$A214="",'实盘净值数据(iFinD公式)'!$B214=""),"",分期持仓明细!$AD$24*SUMPRODUCT(分期持仓明细!$B$24:$AA$24,'实盘净值数据(iFinD公式)'!$B214:$AA214/'实盘净值数据(iFinD公式)'!$B$65:$AA$65)*(1-实盘持仓初始配置!$Z$8)^(('实盘净值数据(iFinD公式)'!$A214-'实盘净值数据(iFinD公式)'!$A$5)/365))</x:f>
        <x:v>#NAME?</x:v>
      </x:c>
      <x:c r="O214" s="152" t="e">
        <x:f>IF(OR(N213="",N214=""),"",N214/N213-1)</x:f>
        <x:v>#NAME?</x:v>
      </x:c>
      <x:c r="P214" s="152" t="e">
        <x:f>IF(N214="","",N214/MAX(N$5:N214)-1)</x:f>
        <x:v>#NAME?</x:v>
      </x:c>
      <x:c r="Q214" s="146" t="e">
        <x:f>IF(OR('实盘净值数据(iFinD公式)'!$A214="",'实盘净值数据(iFinD公式)'!$B214=""),"",分期持仓明细!$AD$25*SUMPRODUCT(分期持仓明细!$B$25:$AA$25,'实盘净值数据(iFinD公式)'!$B214:$AA214/'实盘净值数据(iFinD公式)'!$B$65:$AA$65)*(1-实盘持仓初始配置!$Z$9)^(('实盘净值数据(iFinD公式)'!$A214-'实盘净值数据(iFinD公式)'!$A$8)/365))</x:f>
        <x:v>#NAME?</x:v>
      </x:c>
      <x:c r="R214" s="152" t="e">
        <x:f>IF(OR(Q213="",Q214=""),"",Q214/Q213-1)</x:f>
        <x:v>#NAME?</x:v>
      </x:c>
      <x:c r="S214" s="152" t="e">
        <x:f>IF(Q214="","",Q214/MAX(Q$5:Q214)-1)</x:f>
        <x:v>#NAME?</x:v>
      </x:c>
    </x:row>
    <x:row r="215">
      <x:c r="A215" s="149" t="str">
        <x:f>IF('实盘净值数据(iFinD公式)'!A215="","",'实盘净值数据(iFinD公式)'!A215)</x:f>
      </x:c>
      <x:c r="B215" s="146" t="e">
        <x:f>IF(OR('实盘净值数据(iFinD公式)'!$A215="",'实盘净值数据(iFinD公式)'!$B215=""),"",分期持仓明细!$AD$17*SUMPRODUCT(分期持仓明细!$B$17:$AA$17,'实盘净值数据(iFinD公式)'!$B215:$AA215/'实盘净值数据(iFinD公式)'!$B$20:$AA$20)*(1-实盘持仓初始配置!$Z$4)^(('实盘净值数据(iFinD公式)'!$A215-'实盘净值数据(iFinD公式)'!$A$6)/365))</x:f>
        <x:v>#NAME?</x:v>
      </x:c>
      <x:c r="C215" s="152" t="e">
        <x:f>IF(OR(B214="",B215=""),"",B215/B214-1)</x:f>
        <x:v>#NAME?</x:v>
      </x:c>
      <x:c r="D215" s="152" t="e">
        <x:f>IF(B215="","",B215/MAX(B$5:B215)-1)</x:f>
        <x:v>#NAME?</x:v>
      </x:c>
      <x:c r="E215" s="146" t="e">
        <x:f>IF(OR('实盘净值数据(iFinD公式)'!$A215="",'实盘净值数据(iFinD公式)'!$B215=""),"",分期持仓明细!$AD$18*SUMPRODUCT(分期持仓明细!$B$18:$AA$18,'实盘净值数据(iFinD公式)'!$B215:$AA215/'实盘净值数据(iFinD公式)'!$B$20:$AA$20)*(1-实盘持仓初始配置!$Z$5)^(('实盘净值数据(iFinD公式)'!$A215-'实盘净值数据(iFinD公式)'!$A$5)/365))</x:f>
        <x:v>#NAME?</x:v>
      </x:c>
      <x:c r="F215" s="152" t="e">
        <x:f>IF(OR(E214="",E215=""),"",E215/E214-1)</x:f>
        <x:v>#NAME?</x:v>
      </x:c>
      <x:c r="G215" s="152" t="e">
        <x:f>IF(E215="","",E215/MAX(E$5:E215)-1)</x:f>
        <x:v>#NAME?</x:v>
      </x:c>
      <x:c r="H215" s="146" t="e">
        <x:f>IF(OR('实盘净值数据(iFinD公式)'!$A215="",'实盘净值数据(iFinD公式)'!$B215=""),"",分期持仓明细!$AD$19*SUMPRODUCT(分期持仓明细!$B$19:$AA$19,'实盘净值数据(iFinD公式)'!$B215:$AA215/'实盘净值数据(iFinD公式)'!$B$20:$AA$20)*(1-实盘持仓初始配置!$Z$6)^(('实盘净值数据(iFinD公式)'!$A215-'实盘净值数据(iFinD公式)'!$A$7)/365))</x:f>
        <x:v>#NAME?</x:v>
      </x:c>
      <x:c r="I215" s="152" t="e">
        <x:f>IF(OR(H214="",H215=""),"",H215/H214-1)</x:f>
        <x:v>#NAME?</x:v>
      </x:c>
      <x:c r="J215" s="152" t="e">
        <x:f>IF(H215="","",H215/MAX(H$5:H215)-1)</x:f>
        <x:v>#NAME?</x:v>
      </x:c>
      <x:c r="K215" s="146" t="e">
        <x:f>IF(OR('实盘净值数据(iFinD公式)'!$A215="",'实盘净值数据(iFinD公式)'!$B215=""),"",分期持仓明细!$AD$23*SUMPRODUCT(分期持仓明细!$B$23:$AA$23,'实盘净值数据(iFinD公式)'!$B215:$AA215/'实盘净值数据(iFinD公式)'!$B$65:$AA$65)*(1-实盘持仓初始配置!$Z$7)^(('实盘净值数据(iFinD公式)'!$A215-'实盘净值数据(iFinD公式)'!$A$8)/365))</x:f>
        <x:v>#NAME?</x:v>
      </x:c>
      <x:c r="L215" s="152" t="e">
        <x:f>IF(OR(K214="",K215=""),"",K215/K214-1)</x:f>
        <x:v>#NAME?</x:v>
      </x:c>
      <x:c r="M215" s="152" t="e">
        <x:f>IF(K215="","",K215/MAX(K$5:K215)-1)</x:f>
        <x:v>#NAME?</x:v>
      </x:c>
      <x:c r="N215" s="146" t="e">
        <x:f>IF(OR('实盘净值数据(iFinD公式)'!$A215="",'实盘净值数据(iFinD公式)'!$B215=""),"",分期持仓明细!$AD$24*SUMPRODUCT(分期持仓明细!$B$24:$AA$24,'实盘净值数据(iFinD公式)'!$B215:$AA215/'实盘净值数据(iFinD公式)'!$B$65:$AA$65)*(1-实盘持仓初始配置!$Z$8)^(('实盘净值数据(iFinD公式)'!$A215-'实盘净值数据(iFinD公式)'!$A$5)/365))</x:f>
        <x:v>#NAME?</x:v>
      </x:c>
      <x:c r="O215" s="152" t="e">
        <x:f>IF(OR(N214="",N215=""),"",N215/N214-1)</x:f>
        <x:v>#NAME?</x:v>
      </x:c>
      <x:c r="P215" s="152" t="e">
        <x:f>IF(N215="","",N215/MAX(N$5:N215)-1)</x:f>
        <x:v>#NAME?</x:v>
      </x:c>
      <x:c r="Q215" s="146" t="e">
        <x:f>IF(OR('实盘净值数据(iFinD公式)'!$A215="",'实盘净值数据(iFinD公式)'!$B215=""),"",分期持仓明细!$AD$25*SUMPRODUCT(分期持仓明细!$B$25:$AA$25,'实盘净值数据(iFinD公式)'!$B215:$AA215/'实盘净值数据(iFinD公式)'!$B$65:$AA$65)*(1-实盘持仓初始配置!$Z$9)^(('实盘净值数据(iFinD公式)'!$A215-'实盘净值数据(iFinD公式)'!$A$8)/365))</x:f>
        <x:v>#NAME?</x:v>
      </x:c>
      <x:c r="R215" s="152" t="e">
        <x:f>IF(OR(Q214="",Q215=""),"",Q215/Q214-1)</x:f>
        <x:v>#NAME?</x:v>
      </x:c>
      <x:c r="S215" s="152" t="e">
        <x:f>IF(Q215="","",Q215/MAX(Q$5:Q215)-1)</x:f>
        <x:v>#NAME?</x:v>
      </x:c>
    </x:row>
    <x:row r="216">
      <x:c r="A216" s="149" t="str">
        <x:f>IF('实盘净值数据(iFinD公式)'!A216="","",'实盘净值数据(iFinD公式)'!A216)</x:f>
      </x:c>
      <x:c r="B216" s="146" t="e">
        <x:f>IF(OR('实盘净值数据(iFinD公式)'!$A216="",'实盘净值数据(iFinD公式)'!$B216=""),"",分期持仓明细!$AD$17*SUMPRODUCT(分期持仓明细!$B$17:$AA$17,'实盘净值数据(iFinD公式)'!$B216:$AA216/'实盘净值数据(iFinD公式)'!$B$20:$AA$20)*(1-实盘持仓初始配置!$Z$4)^(('实盘净值数据(iFinD公式)'!$A216-'实盘净值数据(iFinD公式)'!$A$6)/365))</x:f>
        <x:v>#NAME?</x:v>
      </x:c>
      <x:c r="C216" s="152" t="e">
        <x:f>IF(OR(B215="",B216=""),"",B216/B215-1)</x:f>
        <x:v>#NAME?</x:v>
      </x:c>
      <x:c r="D216" s="152" t="e">
        <x:f>IF(B216="","",B216/MAX(B$5:B216)-1)</x:f>
        <x:v>#NAME?</x:v>
      </x:c>
      <x:c r="E216" s="146" t="e">
        <x:f>IF(OR('实盘净值数据(iFinD公式)'!$A216="",'实盘净值数据(iFinD公式)'!$B216=""),"",分期持仓明细!$AD$18*SUMPRODUCT(分期持仓明细!$B$18:$AA$18,'实盘净值数据(iFinD公式)'!$B216:$AA216/'实盘净值数据(iFinD公式)'!$B$20:$AA$20)*(1-实盘持仓初始配置!$Z$5)^(('实盘净值数据(iFinD公式)'!$A216-'实盘净值数据(iFinD公式)'!$A$5)/365))</x:f>
        <x:v>#NAME?</x:v>
      </x:c>
      <x:c r="F216" s="152" t="e">
        <x:f>IF(OR(E215="",E216=""),"",E216/E215-1)</x:f>
        <x:v>#NAME?</x:v>
      </x:c>
      <x:c r="G216" s="152" t="e">
        <x:f>IF(E216="","",E216/MAX(E$5:E216)-1)</x:f>
        <x:v>#NAME?</x:v>
      </x:c>
      <x:c r="H216" s="146" t="e">
        <x:f>IF(OR('实盘净值数据(iFinD公式)'!$A216="",'实盘净值数据(iFinD公式)'!$B216=""),"",分期持仓明细!$AD$19*SUMPRODUCT(分期持仓明细!$B$19:$AA$19,'实盘净值数据(iFinD公式)'!$B216:$AA216/'实盘净值数据(iFinD公式)'!$B$20:$AA$20)*(1-实盘持仓初始配置!$Z$6)^(('实盘净值数据(iFinD公式)'!$A216-'实盘净值数据(iFinD公式)'!$A$7)/365))</x:f>
        <x:v>#NAME?</x:v>
      </x:c>
      <x:c r="I216" s="152" t="e">
        <x:f>IF(OR(H215="",H216=""),"",H216/H215-1)</x:f>
        <x:v>#NAME?</x:v>
      </x:c>
      <x:c r="J216" s="152" t="e">
        <x:f>IF(H216="","",H216/MAX(H$5:H216)-1)</x:f>
        <x:v>#NAME?</x:v>
      </x:c>
      <x:c r="K216" s="146" t="e">
        <x:f>IF(OR('实盘净值数据(iFinD公式)'!$A216="",'实盘净值数据(iFinD公式)'!$B216=""),"",分期持仓明细!$AD$23*SUMPRODUCT(分期持仓明细!$B$23:$AA$23,'实盘净值数据(iFinD公式)'!$B216:$AA216/'实盘净值数据(iFinD公式)'!$B$65:$AA$65)*(1-实盘持仓初始配置!$Z$7)^(('实盘净值数据(iFinD公式)'!$A216-'实盘净值数据(iFinD公式)'!$A$8)/365))</x:f>
        <x:v>#NAME?</x:v>
      </x:c>
      <x:c r="L216" s="152" t="e">
        <x:f>IF(OR(K215="",K216=""),"",K216/K215-1)</x:f>
        <x:v>#NAME?</x:v>
      </x:c>
      <x:c r="M216" s="152" t="e">
        <x:f>IF(K216="","",K216/MAX(K$5:K216)-1)</x:f>
        <x:v>#NAME?</x:v>
      </x:c>
      <x:c r="N216" s="146" t="e">
        <x:f>IF(OR('实盘净值数据(iFinD公式)'!$A216="",'实盘净值数据(iFinD公式)'!$B216=""),"",分期持仓明细!$AD$24*SUMPRODUCT(分期持仓明细!$B$24:$AA$24,'实盘净值数据(iFinD公式)'!$B216:$AA216/'实盘净值数据(iFinD公式)'!$B$65:$AA$65)*(1-实盘持仓初始配置!$Z$8)^(('实盘净值数据(iFinD公式)'!$A216-'实盘净值数据(iFinD公式)'!$A$5)/365))</x:f>
        <x:v>#NAME?</x:v>
      </x:c>
      <x:c r="O216" s="152" t="e">
        <x:f>IF(OR(N215="",N216=""),"",N216/N215-1)</x:f>
        <x:v>#NAME?</x:v>
      </x:c>
      <x:c r="P216" s="152" t="e">
        <x:f>IF(N216="","",N216/MAX(N$5:N216)-1)</x:f>
        <x:v>#NAME?</x:v>
      </x:c>
      <x:c r="Q216" s="146" t="e">
        <x:f>IF(OR('实盘净值数据(iFinD公式)'!$A216="",'实盘净值数据(iFinD公式)'!$B216=""),"",分期持仓明细!$AD$25*SUMPRODUCT(分期持仓明细!$B$25:$AA$25,'实盘净值数据(iFinD公式)'!$B216:$AA216/'实盘净值数据(iFinD公式)'!$B$65:$AA$65)*(1-实盘持仓初始配置!$Z$9)^(('实盘净值数据(iFinD公式)'!$A216-'实盘净值数据(iFinD公式)'!$A$8)/365))</x:f>
        <x:v>#NAME?</x:v>
      </x:c>
      <x:c r="R216" s="152" t="e">
        <x:f>IF(OR(Q215="",Q216=""),"",Q216/Q215-1)</x:f>
        <x:v>#NAME?</x:v>
      </x:c>
      <x:c r="S216" s="152" t="e">
        <x:f>IF(Q216="","",Q216/MAX(Q$5:Q216)-1)</x:f>
        <x:v>#NAME?</x:v>
      </x:c>
    </x:row>
    <x:row r="217">
      <x:c r="A217" s="149" t="str">
        <x:f>IF('实盘净值数据(iFinD公式)'!A217="","",'实盘净值数据(iFinD公式)'!A217)</x:f>
      </x:c>
      <x:c r="B217" s="146" t="e">
        <x:f>IF(OR('实盘净值数据(iFinD公式)'!$A217="",'实盘净值数据(iFinD公式)'!$B217=""),"",分期持仓明细!$AD$17*SUMPRODUCT(分期持仓明细!$B$17:$AA$17,'实盘净值数据(iFinD公式)'!$B217:$AA217/'实盘净值数据(iFinD公式)'!$B$20:$AA$20)*(1-实盘持仓初始配置!$Z$4)^(('实盘净值数据(iFinD公式)'!$A217-'实盘净值数据(iFinD公式)'!$A$6)/365))</x:f>
        <x:v>#NAME?</x:v>
      </x:c>
      <x:c r="C217" s="152" t="e">
        <x:f>IF(OR(B216="",B217=""),"",B217/B216-1)</x:f>
        <x:v>#NAME?</x:v>
      </x:c>
      <x:c r="D217" s="152" t="e">
        <x:f>IF(B217="","",B217/MAX(B$5:B217)-1)</x:f>
        <x:v>#NAME?</x:v>
      </x:c>
      <x:c r="E217" s="146" t="e">
        <x:f>IF(OR('实盘净值数据(iFinD公式)'!$A217="",'实盘净值数据(iFinD公式)'!$B217=""),"",分期持仓明细!$AD$18*SUMPRODUCT(分期持仓明细!$B$18:$AA$18,'实盘净值数据(iFinD公式)'!$B217:$AA217/'实盘净值数据(iFinD公式)'!$B$20:$AA$20)*(1-实盘持仓初始配置!$Z$5)^(('实盘净值数据(iFinD公式)'!$A217-'实盘净值数据(iFinD公式)'!$A$5)/365))</x:f>
        <x:v>#NAME?</x:v>
      </x:c>
      <x:c r="F217" s="152" t="e">
        <x:f>IF(OR(E216="",E217=""),"",E217/E216-1)</x:f>
        <x:v>#NAME?</x:v>
      </x:c>
      <x:c r="G217" s="152" t="e">
        <x:f>IF(E217="","",E217/MAX(E$5:E217)-1)</x:f>
        <x:v>#NAME?</x:v>
      </x:c>
      <x:c r="H217" s="146" t="e">
        <x:f>IF(OR('实盘净值数据(iFinD公式)'!$A217="",'实盘净值数据(iFinD公式)'!$B217=""),"",分期持仓明细!$AD$19*SUMPRODUCT(分期持仓明细!$B$19:$AA$19,'实盘净值数据(iFinD公式)'!$B217:$AA217/'实盘净值数据(iFinD公式)'!$B$20:$AA$20)*(1-实盘持仓初始配置!$Z$6)^(('实盘净值数据(iFinD公式)'!$A217-'实盘净值数据(iFinD公式)'!$A$7)/365))</x:f>
        <x:v>#NAME?</x:v>
      </x:c>
      <x:c r="I217" s="152" t="e">
        <x:f>IF(OR(H216="",H217=""),"",H217/H216-1)</x:f>
        <x:v>#NAME?</x:v>
      </x:c>
      <x:c r="J217" s="152" t="e">
        <x:f>IF(H217="","",H217/MAX(H$5:H217)-1)</x:f>
        <x:v>#NAME?</x:v>
      </x:c>
      <x:c r="K217" s="146" t="e">
        <x:f>IF(OR('实盘净值数据(iFinD公式)'!$A217="",'实盘净值数据(iFinD公式)'!$B217=""),"",分期持仓明细!$AD$23*SUMPRODUCT(分期持仓明细!$B$23:$AA$23,'实盘净值数据(iFinD公式)'!$B217:$AA217/'实盘净值数据(iFinD公式)'!$B$65:$AA$65)*(1-实盘持仓初始配置!$Z$7)^(('实盘净值数据(iFinD公式)'!$A217-'实盘净值数据(iFinD公式)'!$A$8)/365))</x:f>
        <x:v>#NAME?</x:v>
      </x:c>
      <x:c r="L217" s="152" t="e">
        <x:f>IF(OR(K216="",K217=""),"",K217/K216-1)</x:f>
        <x:v>#NAME?</x:v>
      </x:c>
      <x:c r="M217" s="152" t="e">
        <x:f>IF(K217="","",K217/MAX(K$5:K217)-1)</x:f>
        <x:v>#NAME?</x:v>
      </x:c>
      <x:c r="N217" s="146" t="e">
        <x:f>IF(OR('实盘净值数据(iFinD公式)'!$A217="",'实盘净值数据(iFinD公式)'!$B217=""),"",分期持仓明细!$AD$24*SUMPRODUCT(分期持仓明细!$B$24:$AA$24,'实盘净值数据(iFinD公式)'!$B217:$AA217/'实盘净值数据(iFinD公式)'!$B$65:$AA$65)*(1-实盘持仓初始配置!$Z$8)^(('实盘净值数据(iFinD公式)'!$A217-'实盘净值数据(iFinD公式)'!$A$5)/365))</x:f>
        <x:v>#NAME?</x:v>
      </x:c>
      <x:c r="O217" s="152" t="e">
        <x:f>IF(OR(N216="",N217=""),"",N217/N216-1)</x:f>
        <x:v>#NAME?</x:v>
      </x:c>
      <x:c r="P217" s="152" t="e">
        <x:f>IF(N217="","",N217/MAX(N$5:N217)-1)</x:f>
        <x:v>#NAME?</x:v>
      </x:c>
      <x:c r="Q217" s="146" t="e">
        <x:f>IF(OR('实盘净值数据(iFinD公式)'!$A217="",'实盘净值数据(iFinD公式)'!$B217=""),"",分期持仓明细!$AD$25*SUMPRODUCT(分期持仓明细!$B$25:$AA$25,'实盘净值数据(iFinD公式)'!$B217:$AA217/'实盘净值数据(iFinD公式)'!$B$65:$AA$65)*(1-实盘持仓初始配置!$Z$9)^(('实盘净值数据(iFinD公式)'!$A217-'实盘净值数据(iFinD公式)'!$A$8)/365))</x:f>
        <x:v>#NAME?</x:v>
      </x:c>
      <x:c r="R217" s="152" t="e">
        <x:f>IF(OR(Q216="",Q217=""),"",Q217/Q216-1)</x:f>
        <x:v>#NAME?</x:v>
      </x:c>
      <x:c r="S217" s="152" t="e">
        <x:f>IF(Q217="","",Q217/MAX(Q$5:Q217)-1)</x:f>
        <x:v>#NAME?</x:v>
      </x:c>
    </x:row>
    <x:row r="218">
      <x:c r="A218" s="149" t="str">
        <x:f>IF('实盘净值数据(iFinD公式)'!A218="","",'实盘净值数据(iFinD公式)'!A218)</x:f>
      </x:c>
      <x:c r="B218" s="146" t="e">
        <x:f>IF(OR('实盘净值数据(iFinD公式)'!$A218="",'实盘净值数据(iFinD公式)'!$B218=""),"",分期持仓明细!$AD$17*SUMPRODUCT(分期持仓明细!$B$17:$AA$17,'实盘净值数据(iFinD公式)'!$B218:$AA218/'实盘净值数据(iFinD公式)'!$B$20:$AA$20)*(1-实盘持仓初始配置!$Z$4)^(('实盘净值数据(iFinD公式)'!$A218-'实盘净值数据(iFinD公式)'!$A$6)/365))</x:f>
        <x:v>#NAME?</x:v>
      </x:c>
      <x:c r="C218" s="152" t="e">
        <x:f>IF(OR(B217="",B218=""),"",B218/B217-1)</x:f>
        <x:v>#NAME?</x:v>
      </x:c>
      <x:c r="D218" s="152" t="e">
        <x:f>IF(B218="","",B218/MAX(B$5:B218)-1)</x:f>
        <x:v>#NAME?</x:v>
      </x:c>
      <x:c r="E218" s="146" t="e">
        <x:f>IF(OR('实盘净值数据(iFinD公式)'!$A218="",'实盘净值数据(iFinD公式)'!$B218=""),"",分期持仓明细!$AD$18*SUMPRODUCT(分期持仓明细!$B$18:$AA$18,'实盘净值数据(iFinD公式)'!$B218:$AA218/'实盘净值数据(iFinD公式)'!$B$20:$AA$20)*(1-实盘持仓初始配置!$Z$5)^(('实盘净值数据(iFinD公式)'!$A218-'实盘净值数据(iFinD公式)'!$A$5)/365))</x:f>
        <x:v>#NAME?</x:v>
      </x:c>
      <x:c r="F218" s="152" t="e">
        <x:f>IF(OR(E217="",E218=""),"",E218/E217-1)</x:f>
        <x:v>#NAME?</x:v>
      </x:c>
      <x:c r="G218" s="152" t="e">
        <x:f>IF(E218="","",E218/MAX(E$5:E218)-1)</x:f>
        <x:v>#NAME?</x:v>
      </x:c>
      <x:c r="H218" s="146" t="e">
        <x:f>IF(OR('实盘净值数据(iFinD公式)'!$A218="",'实盘净值数据(iFinD公式)'!$B218=""),"",分期持仓明细!$AD$19*SUMPRODUCT(分期持仓明细!$B$19:$AA$19,'实盘净值数据(iFinD公式)'!$B218:$AA218/'实盘净值数据(iFinD公式)'!$B$20:$AA$20)*(1-实盘持仓初始配置!$Z$6)^(('实盘净值数据(iFinD公式)'!$A218-'实盘净值数据(iFinD公式)'!$A$7)/365))</x:f>
        <x:v>#NAME?</x:v>
      </x:c>
      <x:c r="I218" s="152" t="e">
        <x:f>IF(OR(H217="",H218=""),"",H218/H217-1)</x:f>
        <x:v>#NAME?</x:v>
      </x:c>
      <x:c r="J218" s="152" t="e">
        <x:f>IF(H218="","",H218/MAX(H$5:H218)-1)</x:f>
        <x:v>#NAME?</x:v>
      </x:c>
      <x:c r="K218" s="146" t="e">
        <x:f>IF(OR('实盘净值数据(iFinD公式)'!$A218="",'实盘净值数据(iFinD公式)'!$B218=""),"",分期持仓明细!$AD$23*SUMPRODUCT(分期持仓明细!$B$23:$AA$23,'实盘净值数据(iFinD公式)'!$B218:$AA218/'实盘净值数据(iFinD公式)'!$B$65:$AA$65)*(1-实盘持仓初始配置!$Z$7)^(('实盘净值数据(iFinD公式)'!$A218-'实盘净值数据(iFinD公式)'!$A$8)/365))</x:f>
        <x:v>#NAME?</x:v>
      </x:c>
      <x:c r="L218" s="152" t="e">
        <x:f>IF(OR(K217="",K218=""),"",K218/K217-1)</x:f>
        <x:v>#NAME?</x:v>
      </x:c>
      <x:c r="M218" s="152" t="e">
        <x:f>IF(K218="","",K218/MAX(K$5:K218)-1)</x:f>
        <x:v>#NAME?</x:v>
      </x:c>
      <x:c r="N218" s="146" t="e">
        <x:f>IF(OR('实盘净值数据(iFinD公式)'!$A218="",'实盘净值数据(iFinD公式)'!$B218=""),"",分期持仓明细!$AD$24*SUMPRODUCT(分期持仓明细!$B$24:$AA$24,'实盘净值数据(iFinD公式)'!$B218:$AA218/'实盘净值数据(iFinD公式)'!$B$65:$AA$65)*(1-实盘持仓初始配置!$Z$8)^(('实盘净值数据(iFinD公式)'!$A218-'实盘净值数据(iFinD公式)'!$A$5)/365))</x:f>
        <x:v>#NAME?</x:v>
      </x:c>
      <x:c r="O218" s="152" t="e">
        <x:f>IF(OR(N217="",N218=""),"",N218/N217-1)</x:f>
        <x:v>#NAME?</x:v>
      </x:c>
      <x:c r="P218" s="152" t="e">
        <x:f>IF(N218="","",N218/MAX(N$5:N218)-1)</x:f>
        <x:v>#NAME?</x:v>
      </x:c>
      <x:c r="Q218" s="146" t="e">
        <x:f>IF(OR('实盘净值数据(iFinD公式)'!$A218="",'实盘净值数据(iFinD公式)'!$B218=""),"",分期持仓明细!$AD$25*SUMPRODUCT(分期持仓明细!$B$25:$AA$25,'实盘净值数据(iFinD公式)'!$B218:$AA218/'实盘净值数据(iFinD公式)'!$B$65:$AA$65)*(1-实盘持仓初始配置!$Z$9)^(('实盘净值数据(iFinD公式)'!$A218-'实盘净值数据(iFinD公式)'!$A$8)/365))</x:f>
        <x:v>#NAME?</x:v>
      </x:c>
      <x:c r="R218" s="152" t="e">
        <x:f>IF(OR(Q217="",Q218=""),"",Q218/Q217-1)</x:f>
        <x:v>#NAME?</x:v>
      </x:c>
      <x:c r="S218" s="152" t="e">
        <x:f>IF(Q218="","",Q218/MAX(Q$5:Q218)-1)</x:f>
        <x:v>#NAME?</x:v>
      </x:c>
    </x:row>
    <x:row r="219">
      <x:c r="A219" s="149" t="str">
        <x:f>IF('实盘净值数据(iFinD公式)'!A219="","",'实盘净值数据(iFinD公式)'!A219)</x:f>
      </x:c>
      <x:c r="B219" s="146" t="e">
        <x:f>IF(OR('实盘净值数据(iFinD公式)'!$A219="",'实盘净值数据(iFinD公式)'!$B219=""),"",分期持仓明细!$AD$17*SUMPRODUCT(分期持仓明细!$B$17:$AA$17,'实盘净值数据(iFinD公式)'!$B219:$AA219/'实盘净值数据(iFinD公式)'!$B$20:$AA$20)*(1-实盘持仓初始配置!$Z$4)^(('实盘净值数据(iFinD公式)'!$A219-'实盘净值数据(iFinD公式)'!$A$6)/365))</x:f>
        <x:v>#NAME?</x:v>
      </x:c>
      <x:c r="C219" s="152" t="e">
        <x:f>IF(OR(B218="",B219=""),"",B219/B218-1)</x:f>
        <x:v>#NAME?</x:v>
      </x:c>
      <x:c r="D219" s="152" t="e">
        <x:f>IF(B219="","",B219/MAX(B$5:B219)-1)</x:f>
        <x:v>#NAME?</x:v>
      </x:c>
      <x:c r="E219" s="146" t="e">
        <x:f>IF(OR('实盘净值数据(iFinD公式)'!$A219="",'实盘净值数据(iFinD公式)'!$B219=""),"",分期持仓明细!$AD$18*SUMPRODUCT(分期持仓明细!$B$18:$AA$18,'实盘净值数据(iFinD公式)'!$B219:$AA219/'实盘净值数据(iFinD公式)'!$B$20:$AA$20)*(1-实盘持仓初始配置!$Z$5)^(('实盘净值数据(iFinD公式)'!$A219-'实盘净值数据(iFinD公式)'!$A$5)/365))</x:f>
        <x:v>#NAME?</x:v>
      </x:c>
      <x:c r="F219" s="152" t="e">
        <x:f>IF(OR(E218="",E219=""),"",E219/E218-1)</x:f>
        <x:v>#NAME?</x:v>
      </x:c>
      <x:c r="G219" s="152" t="e">
        <x:f>IF(E219="","",E219/MAX(E$5:E219)-1)</x:f>
        <x:v>#NAME?</x:v>
      </x:c>
      <x:c r="H219" s="146" t="e">
        <x:f>IF(OR('实盘净值数据(iFinD公式)'!$A219="",'实盘净值数据(iFinD公式)'!$B219=""),"",分期持仓明细!$AD$19*SUMPRODUCT(分期持仓明细!$B$19:$AA$19,'实盘净值数据(iFinD公式)'!$B219:$AA219/'实盘净值数据(iFinD公式)'!$B$20:$AA$20)*(1-实盘持仓初始配置!$Z$6)^(('实盘净值数据(iFinD公式)'!$A219-'实盘净值数据(iFinD公式)'!$A$7)/365))</x:f>
        <x:v>#NAME?</x:v>
      </x:c>
      <x:c r="I219" s="152" t="e">
        <x:f>IF(OR(H218="",H219=""),"",H219/H218-1)</x:f>
        <x:v>#NAME?</x:v>
      </x:c>
      <x:c r="J219" s="152" t="e">
        <x:f>IF(H219="","",H219/MAX(H$5:H219)-1)</x:f>
        <x:v>#NAME?</x:v>
      </x:c>
      <x:c r="K219" s="146" t="e">
        <x:f>IF(OR('实盘净值数据(iFinD公式)'!$A219="",'实盘净值数据(iFinD公式)'!$B219=""),"",分期持仓明细!$AD$23*SUMPRODUCT(分期持仓明细!$B$23:$AA$23,'实盘净值数据(iFinD公式)'!$B219:$AA219/'实盘净值数据(iFinD公式)'!$B$65:$AA$65)*(1-实盘持仓初始配置!$Z$7)^(('实盘净值数据(iFinD公式)'!$A219-'实盘净值数据(iFinD公式)'!$A$8)/365))</x:f>
        <x:v>#NAME?</x:v>
      </x:c>
      <x:c r="L219" s="152" t="e">
        <x:f>IF(OR(K218="",K219=""),"",K219/K218-1)</x:f>
        <x:v>#NAME?</x:v>
      </x:c>
      <x:c r="M219" s="152" t="e">
        <x:f>IF(K219="","",K219/MAX(K$5:K219)-1)</x:f>
        <x:v>#NAME?</x:v>
      </x:c>
      <x:c r="N219" s="146" t="e">
        <x:f>IF(OR('实盘净值数据(iFinD公式)'!$A219="",'实盘净值数据(iFinD公式)'!$B219=""),"",分期持仓明细!$AD$24*SUMPRODUCT(分期持仓明细!$B$24:$AA$24,'实盘净值数据(iFinD公式)'!$B219:$AA219/'实盘净值数据(iFinD公式)'!$B$65:$AA$65)*(1-实盘持仓初始配置!$Z$8)^(('实盘净值数据(iFinD公式)'!$A219-'实盘净值数据(iFinD公式)'!$A$5)/365))</x:f>
        <x:v>#NAME?</x:v>
      </x:c>
      <x:c r="O219" s="152" t="e">
        <x:f>IF(OR(N218="",N219=""),"",N219/N218-1)</x:f>
        <x:v>#NAME?</x:v>
      </x:c>
      <x:c r="P219" s="152" t="e">
        <x:f>IF(N219="","",N219/MAX(N$5:N219)-1)</x:f>
        <x:v>#NAME?</x:v>
      </x:c>
      <x:c r="Q219" s="146" t="e">
        <x:f>IF(OR('实盘净值数据(iFinD公式)'!$A219="",'实盘净值数据(iFinD公式)'!$B219=""),"",分期持仓明细!$AD$25*SUMPRODUCT(分期持仓明细!$B$25:$AA$25,'实盘净值数据(iFinD公式)'!$B219:$AA219/'实盘净值数据(iFinD公式)'!$B$65:$AA$65)*(1-实盘持仓初始配置!$Z$9)^(('实盘净值数据(iFinD公式)'!$A219-'实盘净值数据(iFinD公式)'!$A$8)/365))</x:f>
        <x:v>#NAME?</x:v>
      </x:c>
      <x:c r="R219" s="152" t="e">
        <x:f>IF(OR(Q218="",Q219=""),"",Q219/Q218-1)</x:f>
        <x:v>#NAME?</x:v>
      </x:c>
      <x:c r="S219" s="152" t="e">
        <x:f>IF(Q219="","",Q219/MAX(Q$5:Q219)-1)</x:f>
        <x:v>#NAME?</x:v>
      </x:c>
    </x:row>
    <x:row r="220">
      <x:c r="A220" s="149" t="str">
        <x:f>IF('实盘净值数据(iFinD公式)'!A220="","",'实盘净值数据(iFinD公式)'!A220)</x:f>
      </x:c>
      <x:c r="B220" s="146" t="e">
        <x:f>IF(OR('实盘净值数据(iFinD公式)'!$A220="",'实盘净值数据(iFinD公式)'!$B220=""),"",分期持仓明细!$AD$17*SUMPRODUCT(分期持仓明细!$B$17:$AA$17,'实盘净值数据(iFinD公式)'!$B220:$AA220/'实盘净值数据(iFinD公式)'!$B$20:$AA$20)*(1-实盘持仓初始配置!$Z$4)^(('实盘净值数据(iFinD公式)'!$A220-'实盘净值数据(iFinD公式)'!$A$6)/365))</x:f>
        <x:v>#NAME?</x:v>
      </x:c>
      <x:c r="C220" s="152" t="e">
        <x:f>IF(OR(B219="",B220=""),"",B220/B219-1)</x:f>
        <x:v>#NAME?</x:v>
      </x:c>
      <x:c r="D220" s="152" t="e">
        <x:f>IF(B220="","",B220/MAX(B$5:B220)-1)</x:f>
        <x:v>#NAME?</x:v>
      </x:c>
      <x:c r="E220" s="146" t="e">
        <x:f>IF(OR('实盘净值数据(iFinD公式)'!$A220="",'实盘净值数据(iFinD公式)'!$B220=""),"",分期持仓明细!$AD$18*SUMPRODUCT(分期持仓明细!$B$18:$AA$18,'实盘净值数据(iFinD公式)'!$B220:$AA220/'实盘净值数据(iFinD公式)'!$B$20:$AA$20)*(1-实盘持仓初始配置!$Z$5)^(('实盘净值数据(iFinD公式)'!$A220-'实盘净值数据(iFinD公式)'!$A$5)/365))</x:f>
        <x:v>#NAME?</x:v>
      </x:c>
      <x:c r="F220" s="152" t="e">
        <x:f>IF(OR(E219="",E220=""),"",E220/E219-1)</x:f>
        <x:v>#NAME?</x:v>
      </x:c>
      <x:c r="G220" s="152" t="e">
        <x:f>IF(E220="","",E220/MAX(E$5:E220)-1)</x:f>
        <x:v>#NAME?</x:v>
      </x:c>
      <x:c r="H220" s="146" t="e">
        <x:f>IF(OR('实盘净值数据(iFinD公式)'!$A220="",'实盘净值数据(iFinD公式)'!$B220=""),"",分期持仓明细!$AD$19*SUMPRODUCT(分期持仓明细!$B$19:$AA$19,'实盘净值数据(iFinD公式)'!$B220:$AA220/'实盘净值数据(iFinD公式)'!$B$20:$AA$20)*(1-实盘持仓初始配置!$Z$6)^(('实盘净值数据(iFinD公式)'!$A220-'实盘净值数据(iFinD公式)'!$A$7)/365))</x:f>
        <x:v>#NAME?</x:v>
      </x:c>
      <x:c r="I220" s="152" t="e">
        <x:f>IF(OR(H219="",H220=""),"",H220/H219-1)</x:f>
        <x:v>#NAME?</x:v>
      </x:c>
      <x:c r="J220" s="152" t="e">
        <x:f>IF(H220="","",H220/MAX(H$5:H220)-1)</x:f>
        <x:v>#NAME?</x:v>
      </x:c>
      <x:c r="K220" s="146" t="e">
        <x:f>IF(OR('实盘净值数据(iFinD公式)'!$A220="",'实盘净值数据(iFinD公式)'!$B220=""),"",分期持仓明细!$AD$23*SUMPRODUCT(分期持仓明细!$B$23:$AA$23,'实盘净值数据(iFinD公式)'!$B220:$AA220/'实盘净值数据(iFinD公式)'!$B$65:$AA$65)*(1-实盘持仓初始配置!$Z$7)^(('实盘净值数据(iFinD公式)'!$A220-'实盘净值数据(iFinD公式)'!$A$8)/365))</x:f>
        <x:v>#NAME?</x:v>
      </x:c>
      <x:c r="L220" s="152" t="e">
        <x:f>IF(OR(K219="",K220=""),"",K220/K219-1)</x:f>
        <x:v>#NAME?</x:v>
      </x:c>
      <x:c r="M220" s="152" t="e">
        <x:f>IF(K220="","",K220/MAX(K$5:K220)-1)</x:f>
        <x:v>#NAME?</x:v>
      </x:c>
      <x:c r="N220" s="146" t="e">
        <x:f>IF(OR('实盘净值数据(iFinD公式)'!$A220="",'实盘净值数据(iFinD公式)'!$B220=""),"",分期持仓明细!$AD$24*SUMPRODUCT(分期持仓明细!$B$24:$AA$24,'实盘净值数据(iFinD公式)'!$B220:$AA220/'实盘净值数据(iFinD公式)'!$B$65:$AA$65)*(1-实盘持仓初始配置!$Z$8)^(('实盘净值数据(iFinD公式)'!$A220-'实盘净值数据(iFinD公式)'!$A$5)/365))</x:f>
        <x:v>#NAME?</x:v>
      </x:c>
      <x:c r="O220" s="152" t="e">
        <x:f>IF(OR(N219="",N220=""),"",N220/N219-1)</x:f>
        <x:v>#NAME?</x:v>
      </x:c>
      <x:c r="P220" s="152" t="e">
        <x:f>IF(N220="","",N220/MAX(N$5:N220)-1)</x:f>
        <x:v>#NAME?</x:v>
      </x:c>
      <x:c r="Q220" s="146" t="e">
        <x:f>IF(OR('实盘净值数据(iFinD公式)'!$A220="",'实盘净值数据(iFinD公式)'!$B220=""),"",分期持仓明细!$AD$25*SUMPRODUCT(分期持仓明细!$B$25:$AA$25,'实盘净值数据(iFinD公式)'!$B220:$AA220/'实盘净值数据(iFinD公式)'!$B$65:$AA$65)*(1-实盘持仓初始配置!$Z$9)^(('实盘净值数据(iFinD公式)'!$A220-'实盘净值数据(iFinD公式)'!$A$8)/365))</x:f>
        <x:v>#NAME?</x:v>
      </x:c>
      <x:c r="R220" s="152" t="e">
        <x:f>IF(OR(Q219="",Q220=""),"",Q220/Q219-1)</x:f>
        <x:v>#NAME?</x:v>
      </x:c>
      <x:c r="S220" s="152" t="e">
        <x:f>IF(Q220="","",Q220/MAX(Q$5:Q220)-1)</x:f>
        <x:v>#NAME?</x:v>
      </x:c>
    </x:row>
    <x:row r="221">
      <x:c r="A221" s="149" t="str">
        <x:f>IF('实盘净值数据(iFinD公式)'!A221="","",'实盘净值数据(iFinD公式)'!A221)</x:f>
      </x:c>
      <x:c r="B221" s="146" t="e">
        <x:f>IF(OR('实盘净值数据(iFinD公式)'!$A221="",'实盘净值数据(iFinD公式)'!$B221=""),"",分期持仓明细!$AD$17*SUMPRODUCT(分期持仓明细!$B$17:$AA$17,'实盘净值数据(iFinD公式)'!$B221:$AA221/'实盘净值数据(iFinD公式)'!$B$20:$AA$20)*(1-实盘持仓初始配置!$Z$4)^(('实盘净值数据(iFinD公式)'!$A221-'实盘净值数据(iFinD公式)'!$A$6)/365))</x:f>
        <x:v>#NAME?</x:v>
      </x:c>
      <x:c r="C221" s="152" t="e">
        <x:f>IF(OR(B220="",B221=""),"",B221/B220-1)</x:f>
        <x:v>#NAME?</x:v>
      </x:c>
      <x:c r="D221" s="152" t="e">
        <x:f>IF(B221="","",B221/MAX(B$5:B221)-1)</x:f>
        <x:v>#NAME?</x:v>
      </x:c>
      <x:c r="E221" s="146" t="e">
        <x:f>IF(OR('实盘净值数据(iFinD公式)'!$A221="",'实盘净值数据(iFinD公式)'!$B221=""),"",分期持仓明细!$AD$18*SUMPRODUCT(分期持仓明细!$B$18:$AA$18,'实盘净值数据(iFinD公式)'!$B221:$AA221/'实盘净值数据(iFinD公式)'!$B$20:$AA$20)*(1-实盘持仓初始配置!$Z$5)^(('实盘净值数据(iFinD公式)'!$A221-'实盘净值数据(iFinD公式)'!$A$5)/365))</x:f>
        <x:v>#NAME?</x:v>
      </x:c>
      <x:c r="F221" s="152" t="e">
        <x:f>IF(OR(E220="",E221=""),"",E221/E220-1)</x:f>
        <x:v>#NAME?</x:v>
      </x:c>
      <x:c r="G221" s="152" t="e">
        <x:f>IF(E221="","",E221/MAX(E$5:E221)-1)</x:f>
        <x:v>#NAME?</x:v>
      </x:c>
      <x:c r="H221" s="146" t="e">
        <x:f>IF(OR('实盘净值数据(iFinD公式)'!$A221="",'实盘净值数据(iFinD公式)'!$B221=""),"",分期持仓明细!$AD$19*SUMPRODUCT(分期持仓明细!$B$19:$AA$19,'实盘净值数据(iFinD公式)'!$B221:$AA221/'实盘净值数据(iFinD公式)'!$B$20:$AA$20)*(1-实盘持仓初始配置!$Z$6)^(('实盘净值数据(iFinD公式)'!$A221-'实盘净值数据(iFinD公式)'!$A$7)/365))</x:f>
        <x:v>#NAME?</x:v>
      </x:c>
      <x:c r="I221" s="152" t="e">
        <x:f>IF(OR(H220="",H221=""),"",H221/H220-1)</x:f>
        <x:v>#NAME?</x:v>
      </x:c>
      <x:c r="J221" s="152" t="e">
        <x:f>IF(H221="","",H221/MAX(H$5:H221)-1)</x:f>
        <x:v>#NAME?</x:v>
      </x:c>
      <x:c r="K221" s="146" t="e">
        <x:f>IF(OR('实盘净值数据(iFinD公式)'!$A221="",'实盘净值数据(iFinD公式)'!$B221=""),"",分期持仓明细!$AD$23*SUMPRODUCT(分期持仓明细!$B$23:$AA$23,'实盘净值数据(iFinD公式)'!$B221:$AA221/'实盘净值数据(iFinD公式)'!$B$65:$AA$65)*(1-实盘持仓初始配置!$Z$7)^(('实盘净值数据(iFinD公式)'!$A221-'实盘净值数据(iFinD公式)'!$A$8)/365))</x:f>
        <x:v>#NAME?</x:v>
      </x:c>
      <x:c r="L221" s="152" t="e">
        <x:f>IF(OR(K220="",K221=""),"",K221/K220-1)</x:f>
        <x:v>#NAME?</x:v>
      </x:c>
      <x:c r="M221" s="152" t="e">
        <x:f>IF(K221="","",K221/MAX(K$5:K221)-1)</x:f>
        <x:v>#NAME?</x:v>
      </x:c>
      <x:c r="N221" s="146" t="e">
        <x:f>IF(OR('实盘净值数据(iFinD公式)'!$A221="",'实盘净值数据(iFinD公式)'!$B221=""),"",分期持仓明细!$AD$24*SUMPRODUCT(分期持仓明细!$B$24:$AA$24,'实盘净值数据(iFinD公式)'!$B221:$AA221/'实盘净值数据(iFinD公式)'!$B$65:$AA$65)*(1-实盘持仓初始配置!$Z$8)^(('实盘净值数据(iFinD公式)'!$A221-'实盘净值数据(iFinD公式)'!$A$5)/365))</x:f>
        <x:v>#NAME?</x:v>
      </x:c>
      <x:c r="O221" s="152" t="e">
        <x:f>IF(OR(N220="",N221=""),"",N221/N220-1)</x:f>
        <x:v>#NAME?</x:v>
      </x:c>
      <x:c r="P221" s="152" t="e">
        <x:f>IF(N221="","",N221/MAX(N$5:N221)-1)</x:f>
        <x:v>#NAME?</x:v>
      </x:c>
      <x:c r="Q221" s="146" t="e">
        <x:f>IF(OR('实盘净值数据(iFinD公式)'!$A221="",'实盘净值数据(iFinD公式)'!$B221=""),"",分期持仓明细!$AD$25*SUMPRODUCT(分期持仓明细!$B$25:$AA$25,'实盘净值数据(iFinD公式)'!$B221:$AA221/'实盘净值数据(iFinD公式)'!$B$65:$AA$65)*(1-实盘持仓初始配置!$Z$9)^(('实盘净值数据(iFinD公式)'!$A221-'实盘净值数据(iFinD公式)'!$A$8)/365))</x:f>
        <x:v>#NAME?</x:v>
      </x:c>
      <x:c r="R221" s="152" t="e">
        <x:f>IF(OR(Q220="",Q221=""),"",Q221/Q220-1)</x:f>
        <x:v>#NAME?</x:v>
      </x:c>
      <x:c r="S221" s="152" t="e">
        <x:f>IF(Q221="","",Q221/MAX(Q$5:Q221)-1)</x:f>
        <x:v>#NAME?</x:v>
      </x:c>
    </x:row>
    <x:row r="222">
      <x:c r="A222" s="149" t="str">
        <x:f>IF('实盘净值数据(iFinD公式)'!A222="","",'实盘净值数据(iFinD公式)'!A222)</x:f>
      </x:c>
      <x:c r="B222" s="146" t="e">
        <x:f>IF(OR('实盘净值数据(iFinD公式)'!$A222="",'实盘净值数据(iFinD公式)'!$B222=""),"",分期持仓明细!$AD$17*SUMPRODUCT(分期持仓明细!$B$17:$AA$17,'实盘净值数据(iFinD公式)'!$B222:$AA222/'实盘净值数据(iFinD公式)'!$B$20:$AA$20)*(1-实盘持仓初始配置!$Z$4)^(('实盘净值数据(iFinD公式)'!$A222-'实盘净值数据(iFinD公式)'!$A$6)/365))</x:f>
        <x:v>#NAME?</x:v>
      </x:c>
      <x:c r="C222" s="152" t="e">
        <x:f>IF(OR(B221="",B222=""),"",B222/B221-1)</x:f>
        <x:v>#NAME?</x:v>
      </x:c>
      <x:c r="D222" s="152" t="e">
        <x:f>IF(B222="","",B222/MAX(B$5:B222)-1)</x:f>
        <x:v>#NAME?</x:v>
      </x:c>
      <x:c r="E222" s="146" t="e">
        <x:f>IF(OR('实盘净值数据(iFinD公式)'!$A222="",'实盘净值数据(iFinD公式)'!$B222=""),"",分期持仓明细!$AD$18*SUMPRODUCT(分期持仓明细!$B$18:$AA$18,'实盘净值数据(iFinD公式)'!$B222:$AA222/'实盘净值数据(iFinD公式)'!$B$20:$AA$20)*(1-实盘持仓初始配置!$Z$5)^(('实盘净值数据(iFinD公式)'!$A222-'实盘净值数据(iFinD公式)'!$A$5)/365))</x:f>
        <x:v>#NAME?</x:v>
      </x:c>
      <x:c r="F222" s="152" t="e">
        <x:f>IF(OR(E221="",E222=""),"",E222/E221-1)</x:f>
        <x:v>#NAME?</x:v>
      </x:c>
      <x:c r="G222" s="152" t="e">
        <x:f>IF(E222="","",E222/MAX(E$5:E222)-1)</x:f>
        <x:v>#NAME?</x:v>
      </x:c>
      <x:c r="H222" s="146" t="e">
        <x:f>IF(OR('实盘净值数据(iFinD公式)'!$A222="",'实盘净值数据(iFinD公式)'!$B222=""),"",分期持仓明细!$AD$19*SUMPRODUCT(分期持仓明细!$B$19:$AA$19,'实盘净值数据(iFinD公式)'!$B222:$AA222/'实盘净值数据(iFinD公式)'!$B$20:$AA$20)*(1-实盘持仓初始配置!$Z$6)^(('实盘净值数据(iFinD公式)'!$A222-'实盘净值数据(iFinD公式)'!$A$7)/365))</x:f>
        <x:v>#NAME?</x:v>
      </x:c>
      <x:c r="I222" s="152" t="e">
        <x:f>IF(OR(H221="",H222=""),"",H222/H221-1)</x:f>
        <x:v>#NAME?</x:v>
      </x:c>
      <x:c r="J222" s="152" t="e">
        <x:f>IF(H222="","",H222/MAX(H$5:H222)-1)</x:f>
        <x:v>#NAME?</x:v>
      </x:c>
      <x:c r="K222" s="146" t="e">
        <x:f>IF(OR('实盘净值数据(iFinD公式)'!$A222="",'实盘净值数据(iFinD公式)'!$B222=""),"",分期持仓明细!$AD$23*SUMPRODUCT(分期持仓明细!$B$23:$AA$23,'实盘净值数据(iFinD公式)'!$B222:$AA222/'实盘净值数据(iFinD公式)'!$B$65:$AA$65)*(1-实盘持仓初始配置!$Z$7)^(('实盘净值数据(iFinD公式)'!$A222-'实盘净值数据(iFinD公式)'!$A$8)/365))</x:f>
        <x:v>#NAME?</x:v>
      </x:c>
      <x:c r="L222" s="152" t="e">
        <x:f>IF(OR(K221="",K222=""),"",K222/K221-1)</x:f>
        <x:v>#NAME?</x:v>
      </x:c>
      <x:c r="M222" s="152" t="e">
        <x:f>IF(K222="","",K222/MAX(K$5:K222)-1)</x:f>
        <x:v>#NAME?</x:v>
      </x:c>
      <x:c r="N222" s="146" t="e">
        <x:f>IF(OR('实盘净值数据(iFinD公式)'!$A222="",'实盘净值数据(iFinD公式)'!$B222=""),"",分期持仓明细!$AD$24*SUMPRODUCT(分期持仓明细!$B$24:$AA$24,'实盘净值数据(iFinD公式)'!$B222:$AA222/'实盘净值数据(iFinD公式)'!$B$65:$AA$65)*(1-实盘持仓初始配置!$Z$8)^(('实盘净值数据(iFinD公式)'!$A222-'实盘净值数据(iFinD公式)'!$A$5)/365))</x:f>
        <x:v>#NAME?</x:v>
      </x:c>
      <x:c r="O222" s="152" t="e">
        <x:f>IF(OR(N221="",N222=""),"",N222/N221-1)</x:f>
        <x:v>#NAME?</x:v>
      </x:c>
      <x:c r="P222" s="152" t="e">
        <x:f>IF(N222="","",N222/MAX(N$5:N222)-1)</x:f>
        <x:v>#NAME?</x:v>
      </x:c>
      <x:c r="Q222" s="146" t="e">
        <x:f>IF(OR('实盘净值数据(iFinD公式)'!$A222="",'实盘净值数据(iFinD公式)'!$B222=""),"",分期持仓明细!$AD$25*SUMPRODUCT(分期持仓明细!$B$25:$AA$25,'实盘净值数据(iFinD公式)'!$B222:$AA222/'实盘净值数据(iFinD公式)'!$B$65:$AA$65)*(1-实盘持仓初始配置!$Z$9)^(('实盘净值数据(iFinD公式)'!$A222-'实盘净值数据(iFinD公式)'!$A$8)/365))</x:f>
        <x:v>#NAME?</x:v>
      </x:c>
      <x:c r="R222" s="152" t="e">
        <x:f>IF(OR(Q221="",Q222=""),"",Q222/Q221-1)</x:f>
        <x:v>#NAME?</x:v>
      </x:c>
      <x:c r="S222" s="152" t="e">
        <x:f>IF(Q222="","",Q222/MAX(Q$5:Q222)-1)</x:f>
        <x:v>#NAME?</x:v>
      </x:c>
    </x:row>
    <x:row r="223">
      <x:c r="A223" s="149" t="str">
        <x:f>IF('实盘净值数据(iFinD公式)'!A223="","",'实盘净值数据(iFinD公式)'!A223)</x:f>
      </x:c>
      <x:c r="B223" s="146" t="e">
        <x:f>IF(OR('实盘净值数据(iFinD公式)'!$A223="",'实盘净值数据(iFinD公式)'!$B223=""),"",分期持仓明细!$AD$17*SUMPRODUCT(分期持仓明细!$B$17:$AA$17,'实盘净值数据(iFinD公式)'!$B223:$AA223/'实盘净值数据(iFinD公式)'!$B$20:$AA$20)*(1-实盘持仓初始配置!$Z$4)^(('实盘净值数据(iFinD公式)'!$A223-'实盘净值数据(iFinD公式)'!$A$6)/365))</x:f>
        <x:v>#NAME?</x:v>
      </x:c>
      <x:c r="C223" s="152" t="e">
        <x:f>IF(OR(B222="",B223=""),"",B223/B222-1)</x:f>
        <x:v>#NAME?</x:v>
      </x:c>
      <x:c r="D223" s="152" t="e">
        <x:f>IF(B223="","",B223/MAX(B$5:B223)-1)</x:f>
        <x:v>#NAME?</x:v>
      </x:c>
      <x:c r="E223" s="146" t="e">
        <x:f>IF(OR('实盘净值数据(iFinD公式)'!$A223="",'实盘净值数据(iFinD公式)'!$B223=""),"",分期持仓明细!$AD$18*SUMPRODUCT(分期持仓明细!$B$18:$AA$18,'实盘净值数据(iFinD公式)'!$B223:$AA223/'实盘净值数据(iFinD公式)'!$B$20:$AA$20)*(1-实盘持仓初始配置!$Z$5)^(('实盘净值数据(iFinD公式)'!$A223-'实盘净值数据(iFinD公式)'!$A$5)/365))</x:f>
        <x:v>#NAME?</x:v>
      </x:c>
      <x:c r="F223" s="152" t="e">
        <x:f>IF(OR(E222="",E223=""),"",E223/E222-1)</x:f>
        <x:v>#NAME?</x:v>
      </x:c>
      <x:c r="G223" s="152" t="e">
        <x:f>IF(E223="","",E223/MAX(E$5:E223)-1)</x:f>
        <x:v>#NAME?</x:v>
      </x:c>
      <x:c r="H223" s="146" t="e">
        <x:f>IF(OR('实盘净值数据(iFinD公式)'!$A223="",'实盘净值数据(iFinD公式)'!$B223=""),"",分期持仓明细!$AD$19*SUMPRODUCT(分期持仓明细!$B$19:$AA$19,'实盘净值数据(iFinD公式)'!$B223:$AA223/'实盘净值数据(iFinD公式)'!$B$20:$AA$20)*(1-实盘持仓初始配置!$Z$6)^(('实盘净值数据(iFinD公式)'!$A223-'实盘净值数据(iFinD公式)'!$A$7)/365))</x:f>
        <x:v>#NAME?</x:v>
      </x:c>
      <x:c r="I223" s="152" t="e">
        <x:f>IF(OR(H222="",H223=""),"",H223/H222-1)</x:f>
        <x:v>#NAME?</x:v>
      </x:c>
      <x:c r="J223" s="152" t="e">
        <x:f>IF(H223="","",H223/MAX(H$5:H223)-1)</x:f>
        <x:v>#NAME?</x:v>
      </x:c>
      <x:c r="K223" s="146" t="e">
        <x:f>IF(OR('实盘净值数据(iFinD公式)'!$A223="",'实盘净值数据(iFinD公式)'!$B223=""),"",分期持仓明细!$AD$23*SUMPRODUCT(分期持仓明细!$B$23:$AA$23,'实盘净值数据(iFinD公式)'!$B223:$AA223/'实盘净值数据(iFinD公式)'!$B$65:$AA$65)*(1-实盘持仓初始配置!$Z$7)^(('实盘净值数据(iFinD公式)'!$A223-'实盘净值数据(iFinD公式)'!$A$8)/365))</x:f>
        <x:v>#NAME?</x:v>
      </x:c>
      <x:c r="L223" s="152" t="e">
        <x:f>IF(OR(K222="",K223=""),"",K223/K222-1)</x:f>
        <x:v>#NAME?</x:v>
      </x:c>
      <x:c r="M223" s="152" t="e">
        <x:f>IF(K223="","",K223/MAX(K$5:K223)-1)</x:f>
        <x:v>#NAME?</x:v>
      </x:c>
      <x:c r="N223" s="146" t="e">
        <x:f>IF(OR('实盘净值数据(iFinD公式)'!$A223="",'实盘净值数据(iFinD公式)'!$B223=""),"",分期持仓明细!$AD$24*SUMPRODUCT(分期持仓明细!$B$24:$AA$24,'实盘净值数据(iFinD公式)'!$B223:$AA223/'实盘净值数据(iFinD公式)'!$B$65:$AA$65)*(1-实盘持仓初始配置!$Z$8)^(('实盘净值数据(iFinD公式)'!$A223-'实盘净值数据(iFinD公式)'!$A$5)/365))</x:f>
        <x:v>#NAME?</x:v>
      </x:c>
      <x:c r="O223" s="152" t="e">
        <x:f>IF(OR(N222="",N223=""),"",N223/N222-1)</x:f>
        <x:v>#NAME?</x:v>
      </x:c>
      <x:c r="P223" s="152" t="e">
        <x:f>IF(N223="","",N223/MAX(N$5:N223)-1)</x:f>
        <x:v>#NAME?</x:v>
      </x:c>
      <x:c r="Q223" s="146" t="e">
        <x:f>IF(OR('实盘净值数据(iFinD公式)'!$A223="",'实盘净值数据(iFinD公式)'!$B223=""),"",分期持仓明细!$AD$25*SUMPRODUCT(分期持仓明细!$B$25:$AA$25,'实盘净值数据(iFinD公式)'!$B223:$AA223/'实盘净值数据(iFinD公式)'!$B$65:$AA$65)*(1-实盘持仓初始配置!$Z$9)^(('实盘净值数据(iFinD公式)'!$A223-'实盘净值数据(iFinD公式)'!$A$8)/365))</x:f>
        <x:v>#NAME?</x:v>
      </x:c>
      <x:c r="R223" s="152" t="e">
        <x:f>IF(OR(Q222="",Q223=""),"",Q223/Q222-1)</x:f>
        <x:v>#NAME?</x:v>
      </x:c>
      <x:c r="S223" s="152" t="e">
        <x:f>IF(Q223="","",Q223/MAX(Q$5:Q223)-1)</x:f>
        <x:v>#NAME?</x:v>
      </x:c>
    </x:row>
    <x:row r="224">
      <x:c r="A224" s="149" t="str">
        <x:f>IF('实盘净值数据(iFinD公式)'!A224="","",'实盘净值数据(iFinD公式)'!A224)</x:f>
      </x:c>
      <x:c r="B224" s="146" t="e">
        <x:f>IF(OR('实盘净值数据(iFinD公式)'!$A224="",'实盘净值数据(iFinD公式)'!$B224=""),"",分期持仓明细!$AD$17*SUMPRODUCT(分期持仓明细!$B$17:$AA$17,'实盘净值数据(iFinD公式)'!$B224:$AA224/'实盘净值数据(iFinD公式)'!$B$20:$AA$20)*(1-实盘持仓初始配置!$Z$4)^(('实盘净值数据(iFinD公式)'!$A224-'实盘净值数据(iFinD公式)'!$A$6)/365))</x:f>
        <x:v>#NAME?</x:v>
      </x:c>
      <x:c r="C224" s="152" t="e">
        <x:f>IF(OR(B223="",B224=""),"",B224/B223-1)</x:f>
        <x:v>#NAME?</x:v>
      </x:c>
      <x:c r="D224" s="152" t="e">
        <x:f>IF(B224="","",B224/MAX(B$5:B224)-1)</x:f>
        <x:v>#NAME?</x:v>
      </x:c>
      <x:c r="E224" s="146" t="e">
        <x:f>IF(OR('实盘净值数据(iFinD公式)'!$A224="",'实盘净值数据(iFinD公式)'!$B224=""),"",分期持仓明细!$AD$18*SUMPRODUCT(分期持仓明细!$B$18:$AA$18,'实盘净值数据(iFinD公式)'!$B224:$AA224/'实盘净值数据(iFinD公式)'!$B$20:$AA$20)*(1-实盘持仓初始配置!$Z$5)^(('实盘净值数据(iFinD公式)'!$A224-'实盘净值数据(iFinD公式)'!$A$5)/365))</x:f>
        <x:v>#NAME?</x:v>
      </x:c>
      <x:c r="F224" s="152" t="e">
        <x:f>IF(OR(E223="",E224=""),"",E224/E223-1)</x:f>
        <x:v>#NAME?</x:v>
      </x:c>
      <x:c r="G224" s="152" t="e">
        <x:f>IF(E224="","",E224/MAX(E$5:E224)-1)</x:f>
        <x:v>#NAME?</x:v>
      </x:c>
      <x:c r="H224" s="146" t="e">
        <x:f>IF(OR('实盘净值数据(iFinD公式)'!$A224="",'实盘净值数据(iFinD公式)'!$B224=""),"",分期持仓明细!$AD$19*SUMPRODUCT(分期持仓明细!$B$19:$AA$19,'实盘净值数据(iFinD公式)'!$B224:$AA224/'实盘净值数据(iFinD公式)'!$B$20:$AA$20)*(1-实盘持仓初始配置!$Z$6)^(('实盘净值数据(iFinD公式)'!$A224-'实盘净值数据(iFinD公式)'!$A$7)/365))</x:f>
        <x:v>#NAME?</x:v>
      </x:c>
      <x:c r="I224" s="152" t="e">
        <x:f>IF(OR(H223="",H224=""),"",H224/H223-1)</x:f>
        <x:v>#NAME?</x:v>
      </x:c>
      <x:c r="J224" s="152" t="e">
        <x:f>IF(H224="","",H224/MAX(H$5:H224)-1)</x:f>
        <x:v>#NAME?</x:v>
      </x:c>
      <x:c r="K224" s="146" t="e">
        <x:f>IF(OR('实盘净值数据(iFinD公式)'!$A224="",'实盘净值数据(iFinD公式)'!$B224=""),"",分期持仓明细!$AD$23*SUMPRODUCT(分期持仓明细!$B$23:$AA$23,'实盘净值数据(iFinD公式)'!$B224:$AA224/'实盘净值数据(iFinD公式)'!$B$65:$AA$65)*(1-实盘持仓初始配置!$Z$7)^(('实盘净值数据(iFinD公式)'!$A224-'实盘净值数据(iFinD公式)'!$A$8)/365))</x:f>
        <x:v>#NAME?</x:v>
      </x:c>
      <x:c r="L224" s="152" t="e">
        <x:f>IF(OR(K223="",K224=""),"",K224/K223-1)</x:f>
        <x:v>#NAME?</x:v>
      </x:c>
      <x:c r="M224" s="152" t="e">
        <x:f>IF(K224="","",K224/MAX(K$5:K224)-1)</x:f>
        <x:v>#NAME?</x:v>
      </x:c>
      <x:c r="N224" s="146" t="e">
        <x:f>IF(OR('实盘净值数据(iFinD公式)'!$A224="",'实盘净值数据(iFinD公式)'!$B224=""),"",分期持仓明细!$AD$24*SUMPRODUCT(分期持仓明细!$B$24:$AA$24,'实盘净值数据(iFinD公式)'!$B224:$AA224/'实盘净值数据(iFinD公式)'!$B$65:$AA$65)*(1-实盘持仓初始配置!$Z$8)^(('实盘净值数据(iFinD公式)'!$A224-'实盘净值数据(iFinD公式)'!$A$5)/365))</x:f>
        <x:v>#NAME?</x:v>
      </x:c>
      <x:c r="O224" s="152" t="e">
        <x:f>IF(OR(N223="",N224=""),"",N224/N223-1)</x:f>
        <x:v>#NAME?</x:v>
      </x:c>
      <x:c r="P224" s="152" t="e">
        <x:f>IF(N224="","",N224/MAX(N$5:N224)-1)</x:f>
        <x:v>#NAME?</x:v>
      </x:c>
      <x:c r="Q224" s="146" t="e">
        <x:f>IF(OR('实盘净值数据(iFinD公式)'!$A224="",'实盘净值数据(iFinD公式)'!$B224=""),"",分期持仓明细!$AD$25*SUMPRODUCT(分期持仓明细!$B$25:$AA$25,'实盘净值数据(iFinD公式)'!$B224:$AA224/'实盘净值数据(iFinD公式)'!$B$65:$AA$65)*(1-实盘持仓初始配置!$Z$9)^(('实盘净值数据(iFinD公式)'!$A224-'实盘净值数据(iFinD公式)'!$A$8)/365))</x:f>
        <x:v>#NAME?</x:v>
      </x:c>
      <x:c r="R224" s="152" t="e">
        <x:f>IF(OR(Q223="",Q224=""),"",Q224/Q223-1)</x:f>
        <x:v>#NAME?</x:v>
      </x:c>
      <x:c r="S224" s="152" t="e">
        <x:f>IF(Q224="","",Q224/MAX(Q$5:Q224)-1)</x:f>
        <x:v>#NAME?</x:v>
      </x:c>
    </x:row>
    <x:row r="225">
      <x:c r="A225" s="149" t="str">
        <x:f>IF('实盘净值数据(iFinD公式)'!A225="","",'实盘净值数据(iFinD公式)'!A225)</x:f>
      </x:c>
      <x:c r="B225" s="146" t="e">
        <x:f>IF(OR('实盘净值数据(iFinD公式)'!$A225="",'实盘净值数据(iFinD公式)'!$B225=""),"",分期持仓明细!$AD$17*SUMPRODUCT(分期持仓明细!$B$17:$AA$17,'实盘净值数据(iFinD公式)'!$B225:$AA225/'实盘净值数据(iFinD公式)'!$B$20:$AA$20)*(1-实盘持仓初始配置!$Z$4)^(('实盘净值数据(iFinD公式)'!$A225-'实盘净值数据(iFinD公式)'!$A$6)/365))</x:f>
        <x:v>#NAME?</x:v>
      </x:c>
      <x:c r="C225" s="152" t="e">
        <x:f>IF(OR(B224="",B225=""),"",B225/B224-1)</x:f>
        <x:v>#NAME?</x:v>
      </x:c>
      <x:c r="D225" s="152" t="e">
        <x:f>IF(B225="","",B225/MAX(B$5:B225)-1)</x:f>
        <x:v>#NAME?</x:v>
      </x:c>
      <x:c r="E225" s="146" t="e">
        <x:f>IF(OR('实盘净值数据(iFinD公式)'!$A225="",'实盘净值数据(iFinD公式)'!$B225=""),"",分期持仓明细!$AD$18*SUMPRODUCT(分期持仓明细!$B$18:$AA$18,'实盘净值数据(iFinD公式)'!$B225:$AA225/'实盘净值数据(iFinD公式)'!$B$20:$AA$20)*(1-实盘持仓初始配置!$Z$5)^(('实盘净值数据(iFinD公式)'!$A225-'实盘净值数据(iFinD公式)'!$A$5)/365))</x:f>
        <x:v>#NAME?</x:v>
      </x:c>
      <x:c r="F225" s="152" t="e">
        <x:f>IF(OR(E224="",E225=""),"",E225/E224-1)</x:f>
        <x:v>#NAME?</x:v>
      </x:c>
      <x:c r="G225" s="152" t="e">
        <x:f>IF(E225="","",E225/MAX(E$5:E225)-1)</x:f>
        <x:v>#NAME?</x:v>
      </x:c>
      <x:c r="H225" s="146" t="e">
        <x:f>IF(OR('实盘净值数据(iFinD公式)'!$A225="",'实盘净值数据(iFinD公式)'!$B225=""),"",分期持仓明细!$AD$19*SUMPRODUCT(分期持仓明细!$B$19:$AA$19,'实盘净值数据(iFinD公式)'!$B225:$AA225/'实盘净值数据(iFinD公式)'!$B$20:$AA$20)*(1-实盘持仓初始配置!$Z$6)^(('实盘净值数据(iFinD公式)'!$A225-'实盘净值数据(iFinD公式)'!$A$7)/365))</x:f>
        <x:v>#NAME?</x:v>
      </x:c>
      <x:c r="I225" s="152" t="e">
        <x:f>IF(OR(H224="",H225=""),"",H225/H224-1)</x:f>
        <x:v>#NAME?</x:v>
      </x:c>
      <x:c r="J225" s="152" t="e">
        <x:f>IF(H225="","",H225/MAX(H$5:H225)-1)</x:f>
        <x:v>#NAME?</x:v>
      </x:c>
      <x:c r="K225" s="146" t="e">
        <x:f>IF(OR('实盘净值数据(iFinD公式)'!$A225="",'实盘净值数据(iFinD公式)'!$B225=""),"",分期持仓明细!$AD$23*SUMPRODUCT(分期持仓明细!$B$23:$AA$23,'实盘净值数据(iFinD公式)'!$B225:$AA225/'实盘净值数据(iFinD公式)'!$B$65:$AA$65)*(1-实盘持仓初始配置!$Z$7)^(('实盘净值数据(iFinD公式)'!$A225-'实盘净值数据(iFinD公式)'!$A$8)/365))</x:f>
        <x:v>#NAME?</x:v>
      </x:c>
      <x:c r="L225" s="152" t="e">
        <x:f>IF(OR(K224="",K225=""),"",K225/K224-1)</x:f>
        <x:v>#NAME?</x:v>
      </x:c>
      <x:c r="M225" s="152" t="e">
        <x:f>IF(K225="","",K225/MAX(K$5:K225)-1)</x:f>
        <x:v>#NAME?</x:v>
      </x:c>
      <x:c r="N225" s="146" t="e">
        <x:f>IF(OR('实盘净值数据(iFinD公式)'!$A225="",'实盘净值数据(iFinD公式)'!$B225=""),"",分期持仓明细!$AD$24*SUMPRODUCT(分期持仓明细!$B$24:$AA$24,'实盘净值数据(iFinD公式)'!$B225:$AA225/'实盘净值数据(iFinD公式)'!$B$65:$AA$65)*(1-实盘持仓初始配置!$Z$8)^(('实盘净值数据(iFinD公式)'!$A225-'实盘净值数据(iFinD公式)'!$A$5)/365))</x:f>
        <x:v>#NAME?</x:v>
      </x:c>
      <x:c r="O225" s="152" t="e">
        <x:f>IF(OR(N224="",N225=""),"",N225/N224-1)</x:f>
        <x:v>#NAME?</x:v>
      </x:c>
      <x:c r="P225" s="152" t="e">
        <x:f>IF(N225="","",N225/MAX(N$5:N225)-1)</x:f>
        <x:v>#NAME?</x:v>
      </x:c>
      <x:c r="Q225" s="146" t="e">
        <x:f>IF(OR('实盘净值数据(iFinD公式)'!$A225="",'实盘净值数据(iFinD公式)'!$B225=""),"",分期持仓明细!$AD$25*SUMPRODUCT(分期持仓明细!$B$25:$AA$25,'实盘净值数据(iFinD公式)'!$B225:$AA225/'实盘净值数据(iFinD公式)'!$B$65:$AA$65)*(1-实盘持仓初始配置!$Z$9)^(('实盘净值数据(iFinD公式)'!$A225-'实盘净值数据(iFinD公式)'!$A$8)/365))</x:f>
        <x:v>#NAME?</x:v>
      </x:c>
      <x:c r="R225" s="152" t="e">
        <x:f>IF(OR(Q224="",Q225=""),"",Q225/Q224-1)</x:f>
        <x:v>#NAME?</x:v>
      </x:c>
      <x:c r="S225" s="152" t="e">
        <x:f>IF(Q225="","",Q225/MAX(Q$5:Q225)-1)</x:f>
        <x:v>#NAME?</x:v>
      </x:c>
    </x:row>
    <x:row r="226">
      <x:c r="A226" s="149" t="str">
        <x:f>IF('实盘净值数据(iFinD公式)'!A226="","",'实盘净值数据(iFinD公式)'!A226)</x:f>
      </x:c>
      <x:c r="B226" s="146" t="e">
        <x:f>IF(OR('实盘净值数据(iFinD公式)'!$A226="",'实盘净值数据(iFinD公式)'!$B226=""),"",分期持仓明细!$AD$17*SUMPRODUCT(分期持仓明细!$B$17:$AA$17,'实盘净值数据(iFinD公式)'!$B226:$AA226/'实盘净值数据(iFinD公式)'!$B$20:$AA$20)*(1-实盘持仓初始配置!$Z$4)^(('实盘净值数据(iFinD公式)'!$A226-'实盘净值数据(iFinD公式)'!$A$6)/365))</x:f>
        <x:v>#NAME?</x:v>
      </x:c>
      <x:c r="C226" s="152" t="e">
        <x:f>IF(OR(B225="",B226=""),"",B226/B225-1)</x:f>
        <x:v>#NAME?</x:v>
      </x:c>
      <x:c r="D226" s="152" t="e">
        <x:f>IF(B226="","",B226/MAX(B$5:B226)-1)</x:f>
        <x:v>#NAME?</x:v>
      </x:c>
      <x:c r="E226" s="146" t="e">
        <x:f>IF(OR('实盘净值数据(iFinD公式)'!$A226="",'实盘净值数据(iFinD公式)'!$B226=""),"",分期持仓明细!$AD$18*SUMPRODUCT(分期持仓明细!$B$18:$AA$18,'实盘净值数据(iFinD公式)'!$B226:$AA226/'实盘净值数据(iFinD公式)'!$B$20:$AA$20)*(1-实盘持仓初始配置!$Z$5)^(('实盘净值数据(iFinD公式)'!$A226-'实盘净值数据(iFinD公式)'!$A$5)/365))</x:f>
        <x:v>#NAME?</x:v>
      </x:c>
      <x:c r="F226" s="152" t="e">
        <x:f>IF(OR(E225="",E226=""),"",E226/E225-1)</x:f>
        <x:v>#NAME?</x:v>
      </x:c>
      <x:c r="G226" s="152" t="e">
        <x:f>IF(E226="","",E226/MAX(E$5:E226)-1)</x:f>
        <x:v>#NAME?</x:v>
      </x:c>
      <x:c r="H226" s="146" t="e">
        <x:f>IF(OR('实盘净值数据(iFinD公式)'!$A226="",'实盘净值数据(iFinD公式)'!$B226=""),"",分期持仓明细!$AD$19*SUMPRODUCT(分期持仓明细!$B$19:$AA$19,'实盘净值数据(iFinD公式)'!$B226:$AA226/'实盘净值数据(iFinD公式)'!$B$20:$AA$20)*(1-实盘持仓初始配置!$Z$6)^(('实盘净值数据(iFinD公式)'!$A226-'实盘净值数据(iFinD公式)'!$A$7)/365))</x:f>
        <x:v>#NAME?</x:v>
      </x:c>
      <x:c r="I226" s="152" t="e">
        <x:f>IF(OR(H225="",H226=""),"",H226/H225-1)</x:f>
        <x:v>#NAME?</x:v>
      </x:c>
      <x:c r="J226" s="152" t="e">
        <x:f>IF(H226="","",H226/MAX(H$5:H226)-1)</x:f>
        <x:v>#NAME?</x:v>
      </x:c>
      <x:c r="K226" s="146" t="e">
        <x:f>IF(OR('实盘净值数据(iFinD公式)'!$A226="",'实盘净值数据(iFinD公式)'!$B226=""),"",分期持仓明细!$AD$23*SUMPRODUCT(分期持仓明细!$B$23:$AA$23,'实盘净值数据(iFinD公式)'!$B226:$AA226/'实盘净值数据(iFinD公式)'!$B$65:$AA$65)*(1-实盘持仓初始配置!$Z$7)^(('实盘净值数据(iFinD公式)'!$A226-'实盘净值数据(iFinD公式)'!$A$8)/365))</x:f>
        <x:v>#NAME?</x:v>
      </x:c>
      <x:c r="L226" s="152" t="e">
        <x:f>IF(OR(K225="",K226=""),"",K226/K225-1)</x:f>
        <x:v>#NAME?</x:v>
      </x:c>
      <x:c r="M226" s="152" t="e">
        <x:f>IF(K226="","",K226/MAX(K$5:K226)-1)</x:f>
        <x:v>#NAME?</x:v>
      </x:c>
      <x:c r="N226" s="146" t="e">
        <x:f>IF(OR('实盘净值数据(iFinD公式)'!$A226="",'实盘净值数据(iFinD公式)'!$B226=""),"",分期持仓明细!$AD$24*SUMPRODUCT(分期持仓明细!$B$24:$AA$24,'实盘净值数据(iFinD公式)'!$B226:$AA226/'实盘净值数据(iFinD公式)'!$B$65:$AA$65)*(1-实盘持仓初始配置!$Z$8)^(('实盘净值数据(iFinD公式)'!$A226-'实盘净值数据(iFinD公式)'!$A$5)/365))</x:f>
        <x:v>#NAME?</x:v>
      </x:c>
      <x:c r="O226" s="152" t="e">
        <x:f>IF(OR(N225="",N226=""),"",N226/N225-1)</x:f>
        <x:v>#NAME?</x:v>
      </x:c>
      <x:c r="P226" s="152" t="e">
        <x:f>IF(N226="","",N226/MAX(N$5:N226)-1)</x:f>
        <x:v>#NAME?</x:v>
      </x:c>
      <x:c r="Q226" s="146" t="e">
        <x:f>IF(OR('实盘净值数据(iFinD公式)'!$A226="",'实盘净值数据(iFinD公式)'!$B226=""),"",分期持仓明细!$AD$25*SUMPRODUCT(分期持仓明细!$B$25:$AA$25,'实盘净值数据(iFinD公式)'!$B226:$AA226/'实盘净值数据(iFinD公式)'!$B$65:$AA$65)*(1-实盘持仓初始配置!$Z$9)^(('实盘净值数据(iFinD公式)'!$A226-'实盘净值数据(iFinD公式)'!$A$8)/365))</x:f>
        <x:v>#NAME?</x:v>
      </x:c>
      <x:c r="R226" s="152" t="e">
        <x:f>IF(OR(Q225="",Q226=""),"",Q226/Q225-1)</x:f>
        <x:v>#NAME?</x:v>
      </x:c>
      <x:c r="S226" s="152" t="e">
        <x:f>IF(Q226="","",Q226/MAX(Q$5:Q226)-1)</x:f>
        <x:v>#NAME?</x:v>
      </x:c>
    </x:row>
    <x:row r="227">
      <x:c r="A227" s="149" t="str">
        <x:f>IF('实盘净值数据(iFinD公式)'!A227="","",'实盘净值数据(iFinD公式)'!A227)</x:f>
      </x:c>
      <x:c r="B227" s="146" t="e">
        <x:f>IF(OR('实盘净值数据(iFinD公式)'!$A227="",'实盘净值数据(iFinD公式)'!$B227=""),"",分期持仓明细!$AD$17*SUMPRODUCT(分期持仓明细!$B$17:$AA$17,'实盘净值数据(iFinD公式)'!$B227:$AA227/'实盘净值数据(iFinD公式)'!$B$20:$AA$20)*(1-实盘持仓初始配置!$Z$4)^(('实盘净值数据(iFinD公式)'!$A227-'实盘净值数据(iFinD公式)'!$A$6)/365))</x:f>
        <x:v>#NAME?</x:v>
      </x:c>
      <x:c r="C227" s="152" t="e">
        <x:f>IF(OR(B226="",B227=""),"",B227/B226-1)</x:f>
        <x:v>#NAME?</x:v>
      </x:c>
      <x:c r="D227" s="152" t="e">
        <x:f>IF(B227="","",B227/MAX(B$5:B227)-1)</x:f>
        <x:v>#NAME?</x:v>
      </x:c>
      <x:c r="E227" s="146" t="e">
        <x:f>IF(OR('实盘净值数据(iFinD公式)'!$A227="",'实盘净值数据(iFinD公式)'!$B227=""),"",分期持仓明细!$AD$18*SUMPRODUCT(分期持仓明细!$B$18:$AA$18,'实盘净值数据(iFinD公式)'!$B227:$AA227/'实盘净值数据(iFinD公式)'!$B$20:$AA$20)*(1-实盘持仓初始配置!$Z$5)^(('实盘净值数据(iFinD公式)'!$A227-'实盘净值数据(iFinD公式)'!$A$5)/365))</x:f>
        <x:v>#NAME?</x:v>
      </x:c>
      <x:c r="F227" s="152" t="e">
        <x:f>IF(OR(E226="",E227=""),"",E227/E226-1)</x:f>
        <x:v>#NAME?</x:v>
      </x:c>
      <x:c r="G227" s="152" t="e">
        <x:f>IF(E227="","",E227/MAX(E$5:E227)-1)</x:f>
        <x:v>#NAME?</x:v>
      </x:c>
      <x:c r="H227" s="146" t="e">
        <x:f>IF(OR('实盘净值数据(iFinD公式)'!$A227="",'实盘净值数据(iFinD公式)'!$B227=""),"",分期持仓明细!$AD$19*SUMPRODUCT(分期持仓明细!$B$19:$AA$19,'实盘净值数据(iFinD公式)'!$B227:$AA227/'实盘净值数据(iFinD公式)'!$B$20:$AA$20)*(1-实盘持仓初始配置!$Z$6)^(('实盘净值数据(iFinD公式)'!$A227-'实盘净值数据(iFinD公式)'!$A$7)/365))</x:f>
        <x:v>#NAME?</x:v>
      </x:c>
      <x:c r="I227" s="152" t="e">
        <x:f>IF(OR(H226="",H227=""),"",H227/H226-1)</x:f>
        <x:v>#NAME?</x:v>
      </x:c>
      <x:c r="J227" s="152" t="e">
        <x:f>IF(H227="","",H227/MAX(H$5:H227)-1)</x:f>
        <x:v>#NAME?</x:v>
      </x:c>
      <x:c r="K227" s="146" t="e">
        <x:f>IF(OR('实盘净值数据(iFinD公式)'!$A227="",'实盘净值数据(iFinD公式)'!$B227=""),"",分期持仓明细!$AD$23*SUMPRODUCT(分期持仓明细!$B$23:$AA$23,'实盘净值数据(iFinD公式)'!$B227:$AA227/'实盘净值数据(iFinD公式)'!$B$65:$AA$65)*(1-实盘持仓初始配置!$Z$7)^(('实盘净值数据(iFinD公式)'!$A227-'实盘净值数据(iFinD公式)'!$A$8)/365))</x:f>
        <x:v>#NAME?</x:v>
      </x:c>
      <x:c r="L227" s="152" t="e">
        <x:f>IF(OR(K226="",K227=""),"",K227/K226-1)</x:f>
        <x:v>#NAME?</x:v>
      </x:c>
      <x:c r="M227" s="152" t="e">
        <x:f>IF(K227="","",K227/MAX(K$5:K227)-1)</x:f>
        <x:v>#NAME?</x:v>
      </x:c>
      <x:c r="N227" s="146" t="e">
        <x:f>IF(OR('实盘净值数据(iFinD公式)'!$A227="",'实盘净值数据(iFinD公式)'!$B227=""),"",分期持仓明细!$AD$24*SUMPRODUCT(分期持仓明细!$B$24:$AA$24,'实盘净值数据(iFinD公式)'!$B227:$AA227/'实盘净值数据(iFinD公式)'!$B$65:$AA$65)*(1-实盘持仓初始配置!$Z$8)^(('实盘净值数据(iFinD公式)'!$A227-'实盘净值数据(iFinD公式)'!$A$5)/365))</x:f>
        <x:v>#NAME?</x:v>
      </x:c>
      <x:c r="O227" s="152" t="e">
        <x:f>IF(OR(N226="",N227=""),"",N227/N226-1)</x:f>
        <x:v>#NAME?</x:v>
      </x:c>
      <x:c r="P227" s="152" t="e">
        <x:f>IF(N227="","",N227/MAX(N$5:N227)-1)</x:f>
        <x:v>#NAME?</x:v>
      </x:c>
      <x:c r="Q227" s="146" t="e">
        <x:f>IF(OR('实盘净值数据(iFinD公式)'!$A227="",'实盘净值数据(iFinD公式)'!$B227=""),"",分期持仓明细!$AD$25*SUMPRODUCT(分期持仓明细!$B$25:$AA$25,'实盘净值数据(iFinD公式)'!$B227:$AA227/'实盘净值数据(iFinD公式)'!$B$65:$AA$65)*(1-实盘持仓初始配置!$Z$9)^(('实盘净值数据(iFinD公式)'!$A227-'实盘净值数据(iFinD公式)'!$A$8)/365))</x:f>
        <x:v>#NAME?</x:v>
      </x:c>
      <x:c r="R227" s="152" t="e">
        <x:f>IF(OR(Q226="",Q227=""),"",Q227/Q226-1)</x:f>
        <x:v>#NAME?</x:v>
      </x:c>
      <x:c r="S227" s="152" t="e">
        <x:f>IF(Q227="","",Q227/MAX(Q$5:Q227)-1)</x:f>
        <x:v>#NAME?</x:v>
      </x:c>
    </x:row>
    <x:row r="228">
      <x:c r="A228" s="149" t="str">
        <x:f>IF('实盘净值数据(iFinD公式)'!A228="","",'实盘净值数据(iFinD公式)'!A228)</x:f>
      </x:c>
      <x:c r="B228" s="146" t="e">
        <x:f>IF(OR('实盘净值数据(iFinD公式)'!$A228="",'实盘净值数据(iFinD公式)'!$B228=""),"",分期持仓明细!$AD$17*SUMPRODUCT(分期持仓明细!$B$17:$AA$17,'实盘净值数据(iFinD公式)'!$B228:$AA228/'实盘净值数据(iFinD公式)'!$B$20:$AA$20)*(1-实盘持仓初始配置!$Z$4)^(('实盘净值数据(iFinD公式)'!$A228-'实盘净值数据(iFinD公式)'!$A$6)/365))</x:f>
        <x:v>#NAME?</x:v>
      </x:c>
      <x:c r="C228" s="152" t="e">
        <x:f>IF(OR(B227="",B228=""),"",B228/B227-1)</x:f>
        <x:v>#NAME?</x:v>
      </x:c>
      <x:c r="D228" s="152" t="e">
        <x:f>IF(B228="","",B228/MAX(B$5:B228)-1)</x:f>
        <x:v>#NAME?</x:v>
      </x:c>
      <x:c r="E228" s="146" t="e">
        <x:f>IF(OR('实盘净值数据(iFinD公式)'!$A228="",'实盘净值数据(iFinD公式)'!$B228=""),"",分期持仓明细!$AD$18*SUMPRODUCT(分期持仓明细!$B$18:$AA$18,'实盘净值数据(iFinD公式)'!$B228:$AA228/'实盘净值数据(iFinD公式)'!$B$20:$AA$20)*(1-实盘持仓初始配置!$Z$5)^(('实盘净值数据(iFinD公式)'!$A228-'实盘净值数据(iFinD公式)'!$A$5)/365))</x:f>
        <x:v>#NAME?</x:v>
      </x:c>
      <x:c r="F228" s="152" t="e">
        <x:f>IF(OR(E227="",E228=""),"",E228/E227-1)</x:f>
        <x:v>#NAME?</x:v>
      </x:c>
      <x:c r="G228" s="152" t="e">
        <x:f>IF(E228="","",E228/MAX(E$5:E228)-1)</x:f>
        <x:v>#NAME?</x:v>
      </x:c>
      <x:c r="H228" s="146" t="e">
        <x:f>IF(OR('实盘净值数据(iFinD公式)'!$A228="",'实盘净值数据(iFinD公式)'!$B228=""),"",分期持仓明细!$AD$19*SUMPRODUCT(分期持仓明细!$B$19:$AA$19,'实盘净值数据(iFinD公式)'!$B228:$AA228/'实盘净值数据(iFinD公式)'!$B$20:$AA$20)*(1-实盘持仓初始配置!$Z$6)^(('实盘净值数据(iFinD公式)'!$A228-'实盘净值数据(iFinD公式)'!$A$7)/365))</x:f>
        <x:v>#NAME?</x:v>
      </x:c>
      <x:c r="I228" s="152" t="e">
        <x:f>IF(OR(H227="",H228=""),"",H228/H227-1)</x:f>
        <x:v>#NAME?</x:v>
      </x:c>
      <x:c r="J228" s="152" t="e">
        <x:f>IF(H228="","",H228/MAX(H$5:H228)-1)</x:f>
        <x:v>#NAME?</x:v>
      </x:c>
      <x:c r="K228" s="146" t="e">
        <x:f>IF(OR('实盘净值数据(iFinD公式)'!$A228="",'实盘净值数据(iFinD公式)'!$B228=""),"",分期持仓明细!$AD$23*SUMPRODUCT(分期持仓明细!$B$23:$AA$23,'实盘净值数据(iFinD公式)'!$B228:$AA228/'实盘净值数据(iFinD公式)'!$B$65:$AA$65)*(1-实盘持仓初始配置!$Z$7)^(('实盘净值数据(iFinD公式)'!$A228-'实盘净值数据(iFinD公式)'!$A$8)/365))</x:f>
        <x:v>#NAME?</x:v>
      </x:c>
      <x:c r="L228" s="152" t="e">
        <x:f>IF(OR(K227="",K228=""),"",K228/K227-1)</x:f>
        <x:v>#NAME?</x:v>
      </x:c>
      <x:c r="M228" s="152" t="e">
        <x:f>IF(K228="","",K228/MAX(K$5:K228)-1)</x:f>
        <x:v>#NAME?</x:v>
      </x:c>
      <x:c r="N228" s="146" t="e">
        <x:f>IF(OR('实盘净值数据(iFinD公式)'!$A228="",'实盘净值数据(iFinD公式)'!$B228=""),"",分期持仓明细!$AD$24*SUMPRODUCT(分期持仓明细!$B$24:$AA$24,'实盘净值数据(iFinD公式)'!$B228:$AA228/'实盘净值数据(iFinD公式)'!$B$65:$AA$65)*(1-实盘持仓初始配置!$Z$8)^(('实盘净值数据(iFinD公式)'!$A228-'实盘净值数据(iFinD公式)'!$A$5)/365))</x:f>
        <x:v>#NAME?</x:v>
      </x:c>
      <x:c r="O228" s="152" t="e">
        <x:f>IF(OR(N227="",N228=""),"",N228/N227-1)</x:f>
        <x:v>#NAME?</x:v>
      </x:c>
      <x:c r="P228" s="152" t="e">
        <x:f>IF(N228="","",N228/MAX(N$5:N228)-1)</x:f>
        <x:v>#NAME?</x:v>
      </x:c>
      <x:c r="Q228" s="146" t="e">
        <x:f>IF(OR('实盘净值数据(iFinD公式)'!$A228="",'实盘净值数据(iFinD公式)'!$B228=""),"",分期持仓明细!$AD$25*SUMPRODUCT(分期持仓明细!$B$25:$AA$25,'实盘净值数据(iFinD公式)'!$B228:$AA228/'实盘净值数据(iFinD公式)'!$B$65:$AA$65)*(1-实盘持仓初始配置!$Z$9)^(('实盘净值数据(iFinD公式)'!$A228-'实盘净值数据(iFinD公式)'!$A$8)/365))</x:f>
        <x:v>#NAME?</x:v>
      </x:c>
      <x:c r="R228" s="152" t="e">
        <x:f>IF(OR(Q227="",Q228=""),"",Q228/Q227-1)</x:f>
        <x:v>#NAME?</x:v>
      </x:c>
      <x:c r="S228" s="152" t="e">
        <x:f>IF(Q228="","",Q228/MAX(Q$5:Q228)-1)</x:f>
        <x:v>#NAME?</x:v>
      </x:c>
    </x:row>
    <x:row r="229">
      <x:c r="A229" s="149" t="str">
        <x:f>IF('实盘净值数据(iFinD公式)'!A229="","",'实盘净值数据(iFinD公式)'!A229)</x:f>
      </x:c>
      <x:c r="B229" s="146" t="e">
        <x:f>IF(OR('实盘净值数据(iFinD公式)'!$A229="",'实盘净值数据(iFinD公式)'!$B229=""),"",分期持仓明细!$AD$17*SUMPRODUCT(分期持仓明细!$B$17:$AA$17,'实盘净值数据(iFinD公式)'!$B229:$AA229/'实盘净值数据(iFinD公式)'!$B$20:$AA$20)*(1-实盘持仓初始配置!$Z$4)^(('实盘净值数据(iFinD公式)'!$A229-'实盘净值数据(iFinD公式)'!$A$6)/365))</x:f>
        <x:v>#NAME?</x:v>
      </x:c>
      <x:c r="C229" s="152" t="e">
        <x:f>IF(OR(B228="",B229=""),"",B229/B228-1)</x:f>
        <x:v>#NAME?</x:v>
      </x:c>
      <x:c r="D229" s="152" t="e">
        <x:f>IF(B229="","",B229/MAX(B$5:B229)-1)</x:f>
        <x:v>#NAME?</x:v>
      </x:c>
      <x:c r="E229" s="146" t="e">
        <x:f>IF(OR('实盘净值数据(iFinD公式)'!$A229="",'实盘净值数据(iFinD公式)'!$B229=""),"",分期持仓明细!$AD$18*SUMPRODUCT(分期持仓明细!$B$18:$AA$18,'实盘净值数据(iFinD公式)'!$B229:$AA229/'实盘净值数据(iFinD公式)'!$B$20:$AA$20)*(1-实盘持仓初始配置!$Z$5)^(('实盘净值数据(iFinD公式)'!$A229-'实盘净值数据(iFinD公式)'!$A$5)/365))</x:f>
        <x:v>#NAME?</x:v>
      </x:c>
      <x:c r="F229" s="152" t="e">
        <x:f>IF(OR(E228="",E229=""),"",E229/E228-1)</x:f>
        <x:v>#NAME?</x:v>
      </x:c>
      <x:c r="G229" s="152" t="e">
        <x:f>IF(E229="","",E229/MAX(E$5:E229)-1)</x:f>
        <x:v>#NAME?</x:v>
      </x:c>
      <x:c r="H229" s="146" t="e">
        <x:f>IF(OR('实盘净值数据(iFinD公式)'!$A229="",'实盘净值数据(iFinD公式)'!$B229=""),"",分期持仓明细!$AD$19*SUMPRODUCT(分期持仓明细!$B$19:$AA$19,'实盘净值数据(iFinD公式)'!$B229:$AA229/'实盘净值数据(iFinD公式)'!$B$20:$AA$20)*(1-实盘持仓初始配置!$Z$6)^(('实盘净值数据(iFinD公式)'!$A229-'实盘净值数据(iFinD公式)'!$A$7)/365))</x:f>
        <x:v>#NAME?</x:v>
      </x:c>
      <x:c r="I229" s="152" t="e">
        <x:f>IF(OR(H228="",H229=""),"",H229/H228-1)</x:f>
        <x:v>#NAME?</x:v>
      </x:c>
      <x:c r="J229" s="152" t="e">
        <x:f>IF(H229="","",H229/MAX(H$5:H229)-1)</x:f>
        <x:v>#NAME?</x:v>
      </x:c>
      <x:c r="K229" s="146" t="e">
        <x:f>IF(OR('实盘净值数据(iFinD公式)'!$A229="",'实盘净值数据(iFinD公式)'!$B229=""),"",分期持仓明细!$AD$23*SUMPRODUCT(分期持仓明细!$B$23:$AA$23,'实盘净值数据(iFinD公式)'!$B229:$AA229/'实盘净值数据(iFinD公式)'!$B$65:$AA$65)*(1-实盘持仓初始配置!$Z$7)^(('实盘净值数据(iFinD公式)'!$A229-'实盘净值数据(iFinD公式)'!$A$8)/365))</x:f>
        <x:v>#NAME?</x:v>
      </x:c>
      <x:c r="L229" s="152" t="e">
        <x:f>IF(OR(K228="",K229=""),"",K229/K228-1)</x:f>
        <x:v>#NAME?</x:v>
      </x:c>
      <x:c r="M229" s="152" t="e">
        <x:f>IF(K229="","",K229/MAX(K$5:K229)-1)</x:f>
        <x:v>#NAME?</x:v>
      </x:c>
      <x:c r="N229" s="146" t="e">
        <x:f>IF(OR('实盘净值数据(iFinD公式)'!$A229="",'实盘净值数据(iFinD公式)'!$B229=""),"",分期持仓明细!$AD$24*SUMPRODUCT(分期持仓明细!$B$24:$AA$24,'实盘净值数据(iFinD公式)'!$B229:$AA229/'实盘净值数据(iFinD公式)'!$B$65:$AA$65)*(1-实盘持仓初始配置!$Z$8)^(('实盘净值数据(iFinD公式)'!$A229-'实盘净值数据(iFinD公式)'!$A$5)/365))</x:f>
        <x:v>#NAME?</x:v>
      </x:c>
      <x:c r="O229" s="152" t="e">
        <x:f>IF(OR(N228="",N229=""),"",N229/N228-1)</x:f>
        <x:v>#NAME?</x:v>
      </x:c>
      <x:c r="P229" s="152" t="e">
        <x:f>IF(N229="","",N229/MAX(N$5:N229)-1)</x:f>
        <x:v>#NAME?</x:v>
      </x:c>
      <x:c r="Q229" s="146" t="e">
        <x:f>IF(OR('实盘净值数据(iFinD公式)'!$A229="",'实盘净值数据(iFinD公式)'!$B229=""),"",分期持仓明细!$AD$25*SUMPRODUCT(分期持仓明细!$B$25:$AA$25,'实盘净值数据(iFinD公式)'!$B229:$AA229/'实盘净值数据(iFinD公式)'!$B$65:$AA$65)*(1-实盘持仓初始配置!$Z$9)^(('实盘净值数据(iFinD公式)'!$A229-'实盘净值数据(iFinD公式)'!$A$8)/365))</x:f>
        <x:v>#NAME?</x:v>
      </x:c>
      <x:c r="R229" s="152" t="e">
        <x:f>IF(OR(Q228="",Q229=""),"",Q229/Q228-1)</x:f>
        <x:v>#NAME?</x:v>
      </x:c>
      <x:c r="S229" s="152" t="e">
        <x:f>IF(Q229="","",Q229/MAX(Q$5:Q229)-1)</x:f>
        <x:v>#NAME?</x:v>
      </x:c>
    </x:row>
    <x:row r="230">
      <x:c r="A230" s="149" t="str">
        <x:f>IF('实盘净值数据(iFinD公式)'!A230="","",'实盘净值数据(iFinD公式)'!A230)</x:f>
      </x:c>
      <x:c r="B230" s="146" t="e">
        <x:f>IF(OR('实盘净值数据(iFinD公式)'!$A230="",'实盘净值数据(iFinD公式)'!$B230=""),"",分期持仓明细!$AD$17*SUMPRODUCT(分期持仓明细!$B$17:$AA$17,'实盘净值数据(iFinD公式)'!$B230:$AA230/'实盘净值数据(iFinD公式)'!$B$20:$AA$20)*(1-实盘持仓初始配置!$Z$4)^(('实盘净值数据(iFinD公式)'!$A230-'实盘净值数据(iFinD公式)'!$A$6)/365))</x:f>
        <x:v>#NAME?</x:v>
      </x:c>
      <x:c r="C230" s="152" t="e">
        <x:f>IF(OR(B229="",B230=""),"",B230/B229-1)</x:f>
        <x:v>#NAME?</x:v>
      </x:c>
      <x:c r="D230" s="152" t="e">
        <x:f>IF(B230="","",B230/MAX(B$5:B230)-1)</x:f>
        <x:v>#NAME?</x:v>
      </x:c>
      <x:c r="E230" s="146" t="e">
        <x:f>IF(OR('实盘净值数据(iFinD公式)'!$A230="",'实盘净值数据(iFinD公式)'!$B230=""),"",分期持仓明细!$AD$18*SUMPRODUCT(分期持仓明细!$B$18:$AA$18,'实盘净值数据(iFinD公式)'!$B230:$AA230/'实盘净值数据(iFinD公式)'!$B$20:$AA$20)*(1-实盘持仓初始配置!$Z$5)^(('实盘净值数据(iFinD公式)'!$A230-'实盘净值数据(iFinD公式)'!$A$5)/365))</x:f>
        <x:v>#NAME?</x:v>
      </x:c>
      <x:c r="F230" s="152" t="e">
        <x:f>IF(OR(E229="",E230=""),"",E230/E229-1)</x:f>
        <x:v>#NAME?</x:v>
      </x:c>
      <x:c r="G230" s="152" t="e">
        <x:f>IF(E230="","",E230/MAX(E$5:E230)-1)</x:f>
        <x:v>#NAME?</x:v>
      </x:c>
      <x:c r="H230" s="146" t="e">
        <x:f>IF(OR('实盘净值数据(iFinD公式)'!$A230="",'实盘净值数据(iFinD公式)'!$B230=""),"",分期持仓明细!$AD$19*SUMPRODUCT(分期持仓明细!$B$19:$AA$19,'实盘净值数据(iFinD公式)'!$B230:$AA230/'实盘净值数据(iFinD公式)'!$B$20:$AA$20)*(1-实盘持仓初始配置!$Z$6)^(('实盘净值数据(iFinD公式)'!$A230-'实盘净值数据(iFinD公式)'!$A$7)/365))</x:f>
        <x:v>#NAME?</x:v>
      </x:c>
      <x:c r="I230" s="152" t="e">
        <x:f>IF(OR(H229="",H230=""),"",H230/H229-1)</x:f>
        <x:v>#NAME?</x:v>
      </x:c>
      <x:c r="J230" s="152" t="e">
        <x:f>IF(H230="","",H230/MAX(H$5:H230)-1)</x:f>
        <x:v>#NAME?</x:v>
      </x:c>
      <x:c r="K230" s="146" t="e">
        <x:f>IF(OR('实盘净值数据(iFinD公式)'!$A230="",'实盘净值数据(iFinD公式)'!$B230=""),"",分期持仓明细!$AD$23*SUMPRODUCT(分期持仓明细!$B$23:$AA$23,'实盘净值数据(iFinD公式)'!$B230:$AA230/'实盘净值数据(iFinD公式)'!$B$65:$AA$65)*(1-实盘持仓初始配置!$Z$7)^(('实盘净值数据(iFinD公式)'!$A230-'实盘净值数据(iFinD公式)'!$A$8)/365))</x:f>
        <x:v>#NAME?</x:v>
      </x:c>
      <x:c r="L230" s="152" t="e">
        <x:f>IF(OR(K229="",K230=""),"",K230/K229-1)</x:f>
        <x:v>#NAME?</x:v>
      </x:c>
      <x:c r="M230" s="152" t="e">
        <x:f>IF(K230="","",K230/MAX(K$5:K230)-1)</x:f>
        <x:v>#NAME?</x:v>
      </x:c>
      <x:c r="N230" s="146" t="e">
        <x:f>IF(OR('实盘净值数据(iFinD公式)'!$A230="",'实盘净值数据(iFinD公式)'!$B230=""),"",分期持仓明细!$AD$24*SUMPRODUCT(分期持仓明细!$B$24:$AA$24,'实盘净值数据(iFinD公式)'!$B230:$AA230/'实盘净值数据(iFinD公式)'!$B$65:$AA$65)*(1-实盘持仓初始配置!$Z$8)^(('实盘净值数据(iFinD公式)'!$A230-'实盘净值数据(iFinD公式)'!$A$5)/365))</x:f>
        <x:v>#NAME?</x:v>
      </x:c>
      <x:c r="O230" s="152" t="e">
        <x:f>IF(OR(N229="",N230=""),"",N230/N229-1)</x:f>
        <x:v>#NAME?</x:v>
      </x:c>
      <x:c r="P230" s="152" t="e">
        <x:f>IF(N230="","",N230/MAX(N$5:N230)-1)</x:f>
        <x:v>#NAME?</x:v>
      </x:c>
      <x:c r="Q230" s="146" t="e">
        <x:f>IF(OR('实盘净值数据(iFinD公式)'!$A230="",'实盘净值数据(iFinD公式)'!$B230=""),"",分期持仓明细!$AD$25*SUMPRODUCT(分期持仓明细!$B$25:$AA$25,'实盘净值数据(iFinD公式)'!$B230:$AA230/'实盘净值数据(iFinD公式)'!$B$65:$AA$65)*(1-实盘持仓初始配置!$Z$9)^(('实盘净值数据(iFinD公式)'!$A230-'实盘净值数据(iFinD公式)'!$A$8)/365))</x:f>
        <x:v>#NAME?</x:v>
      </x:c>
      <x:c r="R230" s="152" t="e">
        <x:f>IF(OR(Q229="",Q230=""),"",Q230/Q229-1)</x:f>
        <x:v>#NAME?</x:v>
      </x:c>
      <x:c r="S230" s="152" t="e">
        <x:f>IF(Q230="","",Q230/MAX(Q$5:Q230)-1)</x:f>
        <x:v>#NAME?</x:v>
      </x:c>
    </x:row>
    <x:row r="231">
      <x:c r="A231" s="149" t="str">
        <x:f>IF('实盘净值数据(iFinD公式)'!A231="","",'实盘净值数据(iFinD公式)'!A231)</x:f>
      </x:c>
      <x:c r="B231" s="146" t="e">
        <x:f>IF(OR('实盘净值数据(iFinD公式)'!$A231="",'实盘净值数据(iFinD公式)'!$B231=""),"",分期持仓明细!$AD$17*SUMPRODUCT(分期持仓明细!$B$17:$AA$17,'实盘净值数据(iFinD公式)'!$B231:$AA231/'实盘净值数据(iFinD公式)'!$B$20:$AA$20)*(1-实盘持仓初始配置!$Z$4)^(('实盘净值数据(iFinD公式)'!$A231-'实盘净值数据(iFinD公式)'!$A$6)/365))</x:f>
        <x:v>#NAME?</x:v>
      </x:c>
      <x:c r="C231" s="152" t="e">
        <x:f>IF(OR(B230="",B231=""),"",B231/B230-1)</x:f>
        <x:v>#NAME?</x:v>
      </x:c>
      <x:c r="D231" s="152" t="e">
        <x:f>IF(B231="","",B231/MAX(B$5:B231)-1)</x:f>
        <x:v>#NAME?</x:v>
      </x:c>
      <x:c r="E231" s="146" t="e">
        <x:f>IF(OR('实盘净值数据(iFinD公式)'!$A231="",'实盘净值数据(iFinD公式)'!$B231=""),"",分期持仓明细!$AD$18*SUMPRODUCT(分期持仓明细!$B$18:$AA$18,'实盘净值数据(iFinD公式)'!$B231:$AA231/'实盘净值数据(iFinD公式)'!$B$20:$AA$20)*(1-实盘持仓初始配置!$Z$5)^(('实盘净值数据(iFinD公式)'!$A231-'实盘净值数据(iFinD公式)'!$A$5)/365))</x:f>
        <x:v>#NAME?</x:v>
      </x:c>
      <x:c r="F231" s="152" t="e">
        <x:f>IF(OR(E230="",E231=""),"",E231/E230-1)</x:f>
        <x:v>#NAME?</x:v>
      </x:c>
      <x:c r="G231" s="152" t="e">
        <x:f>IF(E231="","",E231/MAX(E$5:E231)-1)</x:f>
        <x:v>#NAME?</x:v>
      </x:c>
      <x:c r="H231" s="146" t="e">
        <x:f>IF(OR('实盘净值数据(iFinD公式)'!$A231="",'实盘净值数据(iFinD公式)'!$B231=""),"",分期持仓明细!$AD$19*SUMPRODUCT(分期持仓明细!$B$19:$AA$19,'实盘净值数据(iFinD公式)'!$B231:$AA231/'实盘净值数据(iFinD公式)'!$B$20:$AA$20)*(1-实盘持仓初始配置!$Z$6)^(('实盘净值数据(iFinD公式)'!$A231-'实盘净值数据(iFinD公式)'!$A$7)/365))</x:f>
        <x:v>#NAME?</x:v>
      </x:c>
      <x:c r="I231" s="152" t="e">
        <x:f>IF(OR(H230="",H231=""),"",H231/H230-1)</x:f>
        <x:v>#NAME?</x:v>
      </x:c>
      <x:c r="J231" s="152" t="e">
        <x:f>IF(H231="","",H231/MAX(H$5:H231)-1)</x:f>
        <x:v>#NAME?</x:v>
      </x:c>
      <x:c r="K231" s="146" t="e">
        <x:f>IF(OR('实盘净值数据(iFinD公式)'!$A231="",'实盘净值数据(iFinD公式)'!$B231=""),"",分期持仓明细!$AD$23*SUMPRODUCT(分期持仓明细!$B$23:$AA$23,'实盘净值数据(iFinD公式)'!$B231:$AA231/'实盘净值数据(iFinD公式)'!$B$65:$AA$65)*(1-实盘持仓初始配置!$Z$7)^(('实盘净值数据(iFinD公式)'!$A231-'实盘净值数据(iFinD公式)'!$A$8)/365))</x:f>
        <x:v>#NAME?</x:v>
      </x:c>
      <x:c r="L231" s="152" t="e">
        <x:f>IF(OR(K230="",K231=""),"",K231/K230-1)</x:f>
        <x:v>#NAME?</x:v>
      </x:c>
      <x:c r="M231" s="152" t="e">
        <x:f>IF(K231="","",K231/MAX(K$5:K231)-1)</x:f>
        <x:v>#NAME?</x:v>
      </x:c>
      <x:c r="N231" s="146" t="e">
        <x:f>IF(OR('实盘净值数据(iFinD公式)'!$A231="",'实盘净值数据(iFinD公式)'!$B231=""),"",分期持仓明细!$AD$24*SUMPRODUCT(分期持仓明细!$B$24:$AA$24,'实盘净值数据(iFinD公式)'!$B231:$AA231/'实盘净值数据(iFinD公式)'!$B$65:$AA$65)*(1-实盘持仓初始配置!$Z$8)^(('实盘净值数据(iFinD公式)'!$A231-'实盘净值数据(iFinD公式)'!$A$5)/365))</x:f>
        <x:v>#NAME?</x:v>
      </x:c>
      <x:c r="O231" s="152" t="e">
        <x:f>IF(OR(N230="",N231=""),"",N231/N230-1)</x:f>
        <x:v>#NAME?</x:v>
      </x:c>
      <x:c r="P231" s="152" t="e">
        <x:f>IF(N231="","",N231/MAX(N$5:N231)-1)</x:f>
        <x:v>#NAME?</x:v>
      </x:c>
      <x:c r="Q231" s="146" t="e">
        <x:f>IF(OR('实盘净值数据(iFinD公式)'!$A231="",'实盘净值数据(iFinD公式)'!$B231=""),"",分期持仓明细!$AD$25*SUMPRODUCT(分期持仓明细!$B$25:$AA$25,'实盘净值数据(iFinD公式)'!$B231:$AA231/'实盘净值数据(iFinD公式)'!$B$65:$AA$65)*(1-实盘持仓初始配置!$Z$9)^(('实盘净值数据(iFinD公式)'!$A231-'实盘净值数据(iFinD公式)'!$A$8)/365))</x:f>
        <x:v>#NAME?</x:v>
      </x:c>
      <x:c r="R231" s="152" t="e">
        <x:f>IF(OR(Q230="",Q231=""),"",Q231/Q230-1)</x:f>
        <x:v>#NAME?</x:v>
      </x:c>
      <x:c r="S231" s="152" t="e">
        <x:f>IF(Q231="","",Q231/MAX(Q$5:Q231)-1)</x:f>
        <x:v>#NAME?</x:v>
      </x:c>
    </x:row>
    <x:row r="232">
      <x:c r="A232" s="149" t="str">
        <x:f>IF('实盘净值数据(iFinD公式)'!A232="","",'实盘净值数据(iFinD公式)'!A232)</x:f>
      </x:c>
      <x:c r="B232" s="146" t="e">
        <x:f>IF(OR('实盘净值数据(iFinD公式)'!$A232="",'实盘净值数据(iFinD公式)'!$B232=""),"",分期持仓明细!$AD$17*SUMPRODUCT(分期持仓明细!$B$17:$AA$17,'实盘净值数据(iFinD公式)'!$B232:$AA232/'实盘净值数据(iFinD公式)'!$B$20:$AA$20)*(1-实盘持仓初始配置!$Z$4)^(('实盘净值数据(iFinD公式)'!$A232-'实盘净值数据(iFinD公式)'!$A$6)/365))</x:f>
        <x:v>#NAME?</x:v>
      </x:c>
      <x:c r="C232" s="152" t="e">
        <x:f>IF(OR(B231="",B232=""),"",B232/B231-1)</x:f>
        <x:v>#NAME?</x:v>
      </x:c>
      <x:c r="D232" s="152" t="e">
        <x:f>IF(B232="","",B232/MAX(B$5:B232)-1)</x:f>
        <x:v>#NAME?</x:v>
      </x:c>
      <x:c r="E232" s="146" t="e">
        <x:f>IF(OR('实盘净值数据(iFinD公式)'!$A232="",'实盘净值数据(iFinD公式)'!$B232=""),"",分期持仓明细!$AD$18*SUMPRODUCT(分期持仓明细!$B$18:$AA$18,'实盘净值数据(iFinD公式)'!$B232:$AA232/'实盘净值数据(iFinD公式)'!$B$20:$AA$20)*(1-实盘持仓初始配置!$Z$5)^(('实盘净值数据(iFinD公式)'!$A232-'实盘净值数据(iFinD公式)'!$A$5)/365))</x:f>
        <x:v>#NAME?</x:v>
      </x:c>
      <x:c r="F232" s="152" t="e">
        <x:f>IF(OR(E231="",E232=""),"",E232/E231-1)</x:f>
        <x:v>#NAME?</x:v>
      </x:c>
      <x:c r="G232" s="152" t="e">
        <x:f>IF(E232="","",E232/MAX(E$5:E232)-1)</x:f>
        <x:v>#NAME?</x:v>
      </x:c>
      <x:c r="H232" s="146" t="e">
        <x:f>IF(OR('实盘净值数据(iFinD公式)'!$A232="",'实盘净值数据(iFinD公式)'!$B232=""),"",分期持仓明细!$AD$19*SUMPRODUCT(分期持仓明细!$B$19:$AA$19,'实盘净值数据(iFinD公式)'!$B232:$AA232/'实盘净值数据(iFinD公式)'!$B$20:$AA$20)*(1-实盘持仓初始配置!$Z$6)^(('实盘净值数据(iFinD公式)'!$A232-'实盘净值数据(iFinD公式)'!$A$7)/365))</x:f>
        <x:v>#NAME?</x:v>
      </x:c>
      <x:c r="I232" s="152" t="e">
        <x:f>IF(OR(H231="",H232=""),"",H232/H231-1)</x:f>
        <x:v>#NAME?</x:v>
      </x:c>
      <x:c r="J232" s="152" t="e">
        <x:f>IF(H232="","",H232/MAX(H$5:H232)-1)</x:f>
        <x:v>#NAME?</x:v>
      </x:c>
      <x:c r="K232" s="146" t="e">
        <x:f>IF(OR('实盘净值数据(iFinD公式)'!$A232="",'实盘净值数据(iFinD公式)'!$B232=""),"",分期持仓明细!$AD$23*SUMPRODUCT(分期持仓明细!$B$23:$AA$23,'实盘净值数据(iFinD公式)'!$B232:$AA232/'实盘净值数据(iFinD公式)'!$B$65:$AA$65)*(1-实盘持仓初始配置!$Z$7)^(('实盘净值数据(iFinD公式)'!$A232-'实盘净值数据(iFinD公式)'!$A$8)/365))</x:f>
        <x:v>#NAME?</x:v>
      </x:c>
      <x:c r="L232" s="152" t="e">
        <x:f>IF(OR(K231="",K232=""),"",K232/K231-1)</x:f>
        <x:v>#NAME?</x:v>
      </x:c>
      <x:c r="M232" s="152" t="e">
        <x:f>IF(K232="","",K232/MAX(K$5:K232)-1)</x:f>
        <x:v>#NAME?</x:v>
      </x:c>
      <x:c r="N232" s="146" t="e">
        <x:f>IF(OR('实盘净值数据(iFinD公式)'!$A232="",'实盘净值数据(iFinD公式)'!$B232=""),"",分期持仓明细!$AD$24*SUMPRODUCT(分期持仓明细!$B$24:$AA$24,'实盘净值数据(iFinD公式)'!$B232:$AA232/'实盘净值数据(iFinD公式)'!$B$65:$AA$65)*(1-实盘持仓初始配置!$Z$8)^(('实盘净值数据(iFinD公式)'!$A232-'实盘净值数据(iFinD公式)'!$A$5)/365))</x:f>
        <x:v>#NAME?</x:v>
      </x:c>
      <x:c r="O232" s="152" t="e">
        <x:f>IF(OR(N231="",N232=""),"",N232/N231-1)</x:f>
        <x:v>#NAME?</x:v>
      </x:c>
      <x:c r="P232" s="152" t="e">
        <x:f>IF(N232="","",N232/MAX(N$5:N232)-1)</x:f>
        <x:v>#NAME?</x:v>
      </x:c>
      <x:c r="Q232" s="146" t="e">
        <x:f>IF(OR('实盘净值数据(iFinD公式)'!$A232="",'实盘净值数据(iFinD公式)'!$B232=""),"",分期持仓明细!$AD$25*SUMPRODUCT(分期持仓明细!$B$25:$AA$25,'实盘净值数据(iFinD公式)'!$B232:$AA232/'实盘净值数据(iFinD公式)'!$B$65:$AA$65)*(1-实盘持仓初始配置!$Z$9)^(('实盘净值数据(iFinD公式)'!$A232-'实盘净值数据(iFinD公式)'!$A$8)/365))</x:f>
        <x:v>#NAME?</x:v>
      </x:c>
      <x:c r="R232" s="152" t="e">
        <x:f>IF(OR(Q231="",Q232=""),"",Q232/Q231-1)</x:f>
        <x:v>#NAME?</x:v>
      </x:c>
      <x:c r="S232" s="152" t="e">
        <x:f>IF(Q232="","",Q232/MAX(Q$5:Q232)-1)</x:f>
        <x:v>#NAME?</x:v>
      </x:c>
    </x:row>
    <x:row r="233">
      <x:c r="A233" s="149" t="str">
        <x:f>IF('实盘净值数据(iFinD公式)'!A233="","",'实盘净值数据(iFinD公式)'!A233)</x:f>
      </x:c>
      <x:c r="B233" s="146" t="e">
        <x:f>IF(OR('实盘净值数据(iFinD公式)'!$A233="",'实盘净值数据(iFinD公式)'!$B233=""),"",分期持仓明细!$AD$17*SUMPRODUCT(分期持仓明细!$B$17:$AA$17,'实盘净值数据(iFinD公式)'!$B233:$AA233/'实盘净值数据(iFinD公式)'!$B$20:$AA$20)*(1-实盘持仓初始配置!$Z$4)^(('实盘净值数据(iFinD公式)'!$A233-'实盘净值数据(iFinD公式)'!$A$6)/365))</x:f>
        <x:v>#NAME?</x:v>
      </x:c>
      <x:c r="C233" s="152" t="e">
        <x:f>IF(OR(B232="",B233=""),"",B233/B232-1)</x:f>
        <x:v>#NAME?</x:v>
      </x:c>
      <x:c r="D233" s="152" t="e">
        <x:f>IF(B233="","",B233/MAX(B$5:B233)-1)</x:f>
        <x:v>#NAME?</x:v>
      </x:c>
      <x:c r="E233" s="146" t="e">
        <x:f>IF(OR('实盘净值数据(iFinD公式)'!$A233="",'实盘净值数据(iFinD公式)'!$B233=""),"",分期持仓明细!$AD$18*SUMPRODUCT(分期持仓明细!$B$18:$AA$18,'实盘净值数据(iFinD公式)'!$B233:$AA233/'实盘净值数据(iFinD公式)'!$B$20:$AA$20)*(1-实盘持仓初始配置!$Z$5)^(('实盘净值数据(iFinD公式)'!$A233-'实盘净值数据(iFinD公式)'!$A$5)/365))</x:f>
        <x:v>#NAME?</x:v>
      </x:c>
      <x:c r="F233" s="152" t="e">
        <x:f>IF(OR(E232="",E233=""),"",E233/E232-1)</x:f>
        <x:v>#NAME?</x:v>
      </x:c>
      <x:c r="G233" s="152" t="e">
        <x:f>IF(E233="","",E233/MAX(E$5:E233)-1)</x:f>
        <x:v>#NAME?</x:v>
      </x:c>
      <x:c r="H233" s="146" t="e">
        <x:f>IF(OR('实盘净值数据(iFinD公式)'!$A233="",'实盘净值数据(iFinD公式)'!$B233=""),"",分期持仓明细!$AD$19*SUMPRODUCT(分期持仓明细!$B$19:$AA$19,'实盘净值数据(iFinD公式)'!$B233:$AA233/'实盘净值数据(iFinD公式)'!$B$20:$AA$20)*(1-实盘持仓初始配置!$Z$6)^(('实盘净值数据(iFinD公式)'!$A233-'实盘净值数据(iFinD公式)'!$A$7)/365))</x:f>
        <x:v>#NAME?</x:v>
      </x:c>
      <x:c r="I233" s="152" t="e">
        <x:f>IF(OR(H232="",H233=""),"",H233/H232-1)</x:f>
        <x:v>#NAME?</x:v>
      </x:c>
      <x:c r="J233" s="152" t="e">
        <x:f>IF(H233="","",H233/MAX(H$5:H233)-1)</x:f>
        <x:v>#NAME?</x:v>
      </x:c>
      <x:c r="K233" s="146" t="e">
        <x:f>IF(OR('实盘净值数据(iFinD公式)'!$A233="",'实盘净值数据(iFinD公式)'!$B233=""),"",分期持仓明细!$AD$23*SUMPRODUCT(分期持仓明细!$B$23:$AA$23,'实盘净值数据(iFinD公式)'!$B233:$AA233/'实盘净值数据(iFinD公式)'!$B$65:$AA$65)*(1-实盘持仓初始配置!$Z$7)^(('实盘净值数据(iFinD公式)'!$A233-'实盘净值数据(iFinD公式)'!$A$8)/365))</x:f>
        <x:v>#NAME?</x:v>
      </x:c>
      <x:c r="L233" s="152" t="e">
        <x:f>IF(OR(K232="",K233=""),"",K233/K232-1)</x:f>
        <x:v>#NAME?</x:v>
      </x:c>
      <x:c r="M233" s="152" t="e">
        <x:f>IF(K233="","",K233/MAX(K$5:K233)-1)</x:f>
        <x:v>#NAME?</x:v>
      </x:c>
      <x:c r="N233" s="146" t="e">
        <x:f>IF(OR('实盘净值数据(iFinD公式)'!$A233="",'实盘净值数据(iFinD公式)'!$B233=""),"",分期持仓明细!$AD$24*SUMPRODUCT(分期持仓明细!$B$24:$AA$24,'实盘净值数据(iFinD公式)'!$B233:$AA233/'实盘净值数据(iFinD公式)'!$B$65:$AA$65)*(1-实盘持仓初始配置!$Z$8)^(('实盘净值数据(iFinD公式)'!$A233-'实盘净值数据(iFinD公式)'!$A$5)/365))</x:f>
        <x:v>#NAME?</x:v>
      </x:c>
      <x:c r="O233" s="152" t="e">
        <x:f>IF(OR(N232="",N233=""),"",N233/N232-1)</x:f>
        <x:v>#NAME?</x:v>
      </x:c>
      <x:c r="P233" s="152" t="e">
        <x:f>IF(N233="","",N233/MAX(N$5:N233)-1)</x:f>
        <x:v>#NAME?</x:v>
      </x:c>
      <x:c r="Q233" s="146" t="e">
        <x:f>IF(OR('实盘净值数据(iFinD公式)'!$A233="",'实盘净值数据(iFinD公式)'!$B233=""),"",分期持仓明细!$AD$25*SUMPRODUCT(分期持仓明细!$B$25:$AA$25,'实盘净值数据(iFinD公式)'!$B233:$AA233/'实盘净值数据(iFinD公式)'!$B$65:$AA$65)*(1-实盘持仓初始配置!$Z$9)^(('实盘净值数据(iFinD公式)'!$A233-'实盘净值数据(iFinD公式)'!$A$8)/365))</x:f>
        <x:v>#NAME?</x:v>
      </x:c>
      <x:c r="R233" s="152" t="e">
        <x:f>IF(OR(Q232="",Q233=""),"",Q233/Q232-1)</x:f>
        <x:v>#NAME?</x:v>
      </x:c>
      <x:c r="S233" s="152" t="e">
        <x:f>IF(Q233="","",Q233/MAX(Q$5:Q233)-1)</x:f>
        <x:v>#NAME?</x:v>
      </x:c>
    </x:row>
    <x:row r="234">
      <x:c r="A234" s="149" t="str">
        <x:f>IF('实盘净值数据(iFinD公式)'!A234="","",'实盘净值数据(iFinD公式)'!A234)</x:f>
      </x:c>
      <x:c r="B234" s="146" t="e">
        <x:f>IF(OR('实盘净值数据(iFinD公式)'!$A234="",'实盘净值数据(iFinD公式)'!$B234=""),"",分期持仓明细!$AD$17*SUMPRODUCT(分期持仓明细!$B$17:$AA$17,'实盘净值数据(iFinD公式)'!$B234:$AA234/'实盘净值数据(iFinD公式)'!$B$20:$AA$20)*(1-实盘持仓初始配置!$Z$4)^(('实盘净值数据(iFinD公式)'!$A234-'实盘净值数据(iFinD公式)'!$A$6)/365))</x:f>
        <x:v>#NAME?</x:v>
      </x:c>
      <x:c r="C234" s="152" t="e">
        <x:f>IF(OR(B233="",B234=""),"",B234/B233-1)</x:f>
        <x:v>#NAME?</x:v>
      </x:c>
      <x:c r="D234" s="152" t="e">
        <x:f>IF(B234="","",B234/MAX(B$5:B234)-1)</x:f>
        <x:v>#NAME?</x:v>
      </x:c>
      <x:c r="E234" s="146" t="e">
        <x:f>IF(OR('实盘净值数据(iFinD公式)'!$A234="",'实盘净值数据(iFinD公式)'!$B234=""),"",分期持仓明细!$AD$18*SUMPRODUCT(分期持仓明细!$B$18:$AA$18,'实盘净值数据(iFinD公式)'!$B234:$AA234/'实盘净值数据(iFinD公式)'!$B$20:$AA$20)*(1-实盘持仓初始配置!$Z$5)^(('实盘净值数据(iFinD公式)'!$A234-'实盘净值数据(iFinD公式)'!$A$5)/365))</x:f>
        <x:v>#NAME?</x:v>
      </x:c>
      <x:c r="F234" s="152" t="e">
        <x:f>IF(OR(E233="",E234=""),"",E234/E233-1)</x:f>
        <x:v>#NAME?</x:v>
      </x:c>
      <x:c r="G234" s="152" t="e">
        <x:f>IF(E234="","",E234/MAX(E$5:E234)-1)</x:f>
        <x:v>#NAME?</x:v>
      </x:c>
      <x:c r="H234" s="146" t="e">
        <x:f>IF(OR('实盘净值数据(iFinD公式)'!$A234="",'实盘净值数据(iFinD公式)'!$B234=""),"",分期持仓明细!$AD$19*SUMPRODUCT(分期持仓明细!$B$19:$AA$19,'实盘净值数据(iFinD公式)'!$B234:$AA234/'实盘净值数据(iFinD公式)'!$B$20:$AA$20)*(1-实盘持仓初始配置!$Z$6)^(('实盘净值数据(iFinD公式)'!$A234-'实盘净值数据(iFinD公式)'!$A$7)/365))</x:f>
        <x:v>#NAME?</x:v>
      </x:c>
      <x:c r="I234" s="152" t="e">
        <x:f>IF(OR(H233="",H234=""),"",H234/H233-1)</x:f>
        <x:v>#NAME?</x:v>
      </x:c>
      <x:c r="J234" s="152" t="e">
        <x:f>IF(H234="","",H234/MAX(H$5:H234)-1)</x:f>
        <x:v>#NAME?</x:v>
      </x:c>
      <x:c r="K234" s="146" t="e">
        <x:f>IF(OR('实盘净值数据(iFinD公式)'!$A234="",'实盘净值数据(iFinD公式)'!$B234=""),"",分期持仓明细!$AD$23*SUMPRODUCT(分期持仓明细!$B$23:$AA$23,'实盘净值数据(iFinD公式)'!$B234:$AA234/'实盘净值数据(iFinD公式)'!$B$65:$AA$65)*(1-实盘持仓初始配置!$Z$7)^(('实盘净值数据(iFinD公式)'!$A234-'实盘净值数据(iFinD公式)'!$A$8)/365))</x:f>
        <x:v>#NAME?</x:v>
      </x:c>
      <x:c r="L234" s="152" t="e">
        <x:f>IF(OR(K233="",K234=""),"",K234/K233-1)</x:f>
        <x:v>#NAME?</x:v>
      </x:c>
      <x:c r="M234" s="152" t="e">
        <x:f>IF(K234="","",K234/MAX(K$5:K234)-1)</x:f>
        <x:v>#NAME?</x:v>
      </x:c>
      <x:c r="N234" s="146" t="e">
        <x:f>IF(OR('实盘净值数据(iFinD公式)'!$A234="",'实盘净值数据(iFinD公式)'!$B234=""),"",分期持仓明细!$AD$24*SUMPRODUCT(分期持仓明细!$B$24:$AA$24,'实盘净值数据(iFinD公式)'!$B234:$AA234/'实盘净值数据(iFinD公式)'!$B$65:$AA$65)*(1-实盘持仓初始配置!$Z$8)^(('实盘净值数据(iFinD公式)'!$A234-'实盘净值数据(iFinD公式)'!$A$5)/365))</x:f>
        <x:v>#NAME?</x:v>
      </x:c>
      <x:c r="O234" s="152" t="e">
        <x:f>IF(OR(N233="",N234=""),"",N234/N233-1)</x:f>
        <x:v>#NAME?</x:v>
      </x:c>
      <x:c r="P234" s="152" t="e">
        <x:f>IF(N234="","",N234/MAX(N$5:N234)-1)</x:f>
        <x:v>#NAME?</x:v>
      </x:c>
      <x:c r="Q234" s="146" t="e">
        <x:f>IF(OR('实盘净值数据(iFinD公式)'!$A234="",'实盘净值数据(iFinD公式)'!$B234=""),"",分期持仓明细!$AD$25*SUMPRODUCT(分期持仓明细!$B$25:$AA$25,'实盘净值数据(iFinD公式)'!$B234:$AA234/'实盘净值数据(iFinD公式)'!$B$65:$AA$65)*(1-实盘持仓初始配置!$Z$9)^(('实盘净值数据(iFinD公式)'!$A234-'实盘净值数据(iFinD公式)'!$A$8)/365))</x:f>
        <x:v>#NAME?</x:v>
      </x:c>
      <x:c r="R234" s="152" t="e">
        <x:f>IF(OR(Q233="",Q234=""),"",Q234/Q233-1)</x:f>
        <x:v>#NAME?</x:v>
      </x:c>
      <x:c r="S234" s="152" t="e">
        <x:f>IF(Q234="","",Q234/MAX(Q$5:Q234)-1)</x:f>
        <x:v>#NAME?</x:v>
      </x:c>
    </x:row>
    <x:row r="235">
      <x:c r="A235" s="149" t="str">
        <x:f>IF('实盘净值数据(iFinD公式)'!A235="","",'实盘净值数据(iFinD公式)'!A235)</x:f>
      </x:c>
      <x:c r="B235" s="146" t="e">
        <x:f>IF(OR('实盘净值数据(iFinD公式)'!$A235="",'实盘净值数据(iFinD公式)'!$B235=""),"",分期持仓明细!$AD$17*SUMPRODUCT(分期持仓明细!$B$17:$AA$17,'实盘净值数据(iFinD公式)'!$B235:$AA235/'实盘净值数据(iFinD公式)'!$B$20:$AA$20)*(1-实盘持仓初始配置!$Z$4)^(('实盘净值数据(iFinD公式)'!$A235-'实盘净值数据(iFinD公式)'!$A$6)/365))</x:f>
        <x:v>#NAME?</x:v>
      </x:c>
      <x:c r="C235" s="152" t="e">
        <x:f>IF(OR(B234="",B235=""),"",B235/B234-1)</x:f>
        <x:v>#NAME?</x:v>
      </x:c>
      <x:c r="D235" s="152" t="e">
        <x:f>IF(B235="","",B235/MAX(B$5:B235)-1)</x:f>
        <x:v>#NAME?</x:v>
      </x:c>
      <x:c r="E235" s="146" t="e">
        <x:f>IF(OR('实盘净值数据(iFinD公式)'!$A235="",'实盘净值数据(iFinD公式)'!$B235=""),"",分期持仓明细!$AD$18*SUMPRODUCT(分期持仓明细!$B$18:$AA$18,'实盘净值数据(iFinD公式)'!$B235:$AA235/'实盘净值数据(iFinD公式)'!$B$20:$AA$20)*(1-实盘持仓初始配置!$Z$5)^(('实盘净值数据(iFinD公式)'!$A235-'实盘净值数据(iFinD公式)'!$A$5)/365))</x:f>
        <x:v>#NAME?</x:v>
      </x:c>
      <x:c r="F235" s="152" t="e">
        <x:f>IF(OR(E234="",E235=""),"",E235/E234-1)</x:f>
        <x:v>#NAME?</x:v>
      </x:c>
      <x:c r="G235" s="152" t="e">
        <x:f>IF(E235="","",E235/MAX(E$5:E235)-1)</x:f>
        <x:v>#NAME?</x:v>
      </x:c>
      <x:c r="H235" s="146" t="e">
        <x:f>IF(OR('实盘净值数据(iFinD公式)'!$A235="",'实盘净值数据(iFinD公式)'!$B235=""),"",分期持仓明细!$AD$19*SUMPRODUCT(分期持仓明细!$B$19:$AA$19,'实盘净值数据(iFinD公式)'!$B235:$AA235/'实盘净值数据(iFinD公式)'!$B$20:$AA$20)*(1-实盘持仓初始配置!$Z$6)^(('实盘净值数据(iFinD公式)'!$A235-'实盘净值数据(iFinD公式)'!$A$7)/365))</x:f>
        <x:v>#NAME?</x:v>
      </x:c>
      <x:c r="I235" s="152" t="e">
        <x:f>IF(OR(H234="",H235=""),"",H235/H234-1)</x:f>
        <x:v>#NAME?</x:v>
      </x:c>
      <x:c r="J235" s="152" t="e">
        <x:f>IF(H235="","",H235/MAX(H$5:H235)-1)</x:f>
        <x:v>#NAME?</x:v>
      </x:c>
      <x:c r="K235" s="146" t="e">
        <x:f>IF(OR('实盘净值数据(iFinD公式)'!$A235="",'实盘净值数据(iFinD公式)'!$B235=""),"",分期持仓明细!$AD$23*SUMPRODUCT(分期持仓明细!$B$23:$AA$23,'实盘净值数据(iFinD公式)'!$B235:$AA235/'实盘净值数据(iFinD公式)'!$B$65:$AA$65)*(1-实盘持仓初始配置!$Z$7)^(('实盘净值数据(iFinD公式)'!$A235-'实盘净值数据(iFinD公式)'!$A$8)/365))</x:f>
        <x:v>#NAME?</x:v>
      </x:c>
      <x:c r="L235" s="152" t="e">
        <x:f>IF(OR(K234="",K235=""),"",K235/K234-1)</x:f>
        <x:v>#NAME?</x:v>
      </x:c>
      <x:c r="M235" s="152" t="e">
        <x:f>IF(K235="","",K235/MAX(K$5:K235)-1)</x:f>
        <x:v>#NAME?</x:v>
      </x:c>
      <x:c r="N235" s="146" t="e">
        <x:f>IF(OR('实盘净值数据(iFinD公式)'!$A235="",'实盘净值数据(iFinD公式)'!$B235=""),"",分期持仓明细!$AD$24*SUMPRODUCT(分期持仓明细!$B$24:$AA$24,'实盘净值数据(iFinD公式)'!$B235:$AA235/'实盘净值数据(iFinD公式)'!$B$65:$AA$65)*(1-实盘持仓初始配置!$Z$8)^(('实盘净值数据(iFinD公式)'!$A235-'实盘净值数据(iFinD公式)'!$A$5)/365))</x:f>
        <x:v>#NAME?</x:v>
      </x:c>
      <x:c r="O235" s="152" t="e">
        <x:f>IF(OR(N234="",N235=""),"",N235/N234-1)</x:f>
        <x:v>#NAME?</x:v>
      </x:c>
      <x:c r="P235" s="152" t="e">
        <x:f>IF(N235="","",N235/MAX(N$5:N235)-1)</x:f>
        <x:v>#NAME?</x:v>
      </x:c>
      <x:c r="Q235" s="146" t="e">
        <x:f>IF(OR('实盘净值数据(iFinD公式)'!$A235="",'实盘净值数据(iFinD公式)'!$B235=""),"",分期持仓明细!$AD$25*SUMPRODUCT(分期持仓明细!$B$25:$AA$25,'实盘净值数据(iFinD公式)'!$B235:$AA235/'实盘净值数据(iFinD公式)'!$B$65:$AA$65)*(1-实盘持仓初始配置!$Z$9)^(('实盘净值数据(iFinD公式)'!$A235-'实盘净值数据(iFinD公式)'!$A$8)/365))</x:f>
        <x:v>#NAME?</x:v>
      </x:c>
      <x:c r="R235" s="152" t="e">
        <x:f>IF(OR(Q234="",Q235=""),"",Q235/Q234-1)</x:f>
        <x:v>#NAME?</x:v>
      </x:c>
      <x:c r="S235" s="152" t="e">
        <x:f>IF(Q235="","",Q235/MAX(Q$5:Q235)-1)</x:f>
        <x:v>#NAME?</x:v>
      </x:c>
    </x:row>
    <x:row r="236">
      <x:c r="A236" s="149" t="str">
        <x:f>IF('实盘净值数据(iFinD公式)'!A236="","",'实盘净值数据(iFinD公式)'!A236)</x:f>
      </x:c>
      <x:c r="B236" s="146" t="e">
        <x:f>IF(OR('实盘净值数据(iFinD公式)'!$A236="",'实盘净值数据(iFinD公式)'!$B236=""),"",分期持仓明细!$AD$17*SUMPRODUCT(分期持仓明细!$B$17:$AA$17,'实盘净值数据(iFinD公式)'!$B236:$AA236/'实盘净值数据(iFinD公式)'!$B$20:$AA$20)*(1-实盘持仓初始配置!$Z$4)^(('实盘净值数据(iFinD公式)'!$A236-'实盘净值数据(iFinD公式)'!$A$6)/365))</x:f>
        <x:v>#NAME?</x:v>
      </x:c>
      <x:c r="C236" s="152" t="e">
        <x:f>IF(OR(B235="",B236=""),"",B236/B235-1)</x:f>
        <x:v>#NAME?</x:v>
      </x:c>
      <x:c r="D236" s="152" t="e">
        <x:f>IF(B236="","",B236/MAX(B$5:B236)-1)</x:f>
        <x:v>#NAME?</x:v>
      </x:c>
      <x:c r="E236" s="146" t="e">
        <x:f>IF(OR('实盘净值数据(iFinD公式)'!$A236="",'实盘净值数据(iFinD公式)'!$B236=""),"",分期持仓明细!$AD$18*SUMPRODUCT(分期持仓明细!$B$18:$AA$18,'实盘净值数据(iFinD公式)'!$B236:$AA236/'实盘净值数据(iFinD公式)'!$B$20:$AA$20)*(1-实盘持仓初始配置!$Z$5)^(('实盘净值数据(iFinD公式)'!$A236-'实盘净值数据(iFinD公式)'!$A$5)/365))</x:f>
        <x:v>#NAME?</x:v>
      </x:c>
      <x:c r="F236" s="152" t="e">
        <x:f>IF(OR(E235="",E236=""),"",E236/E235-1)</x:f>
        <x:v>#NAME?</x:v>
      </x:c>
      <x:c r="G236" s="152" t="e">
        <x:f>IF(E236="","",E236/MAX(E$5:E236)-1)</x:f>
        <x:v>#NAME?</x:v>
      </x:c>
      <x:c r="H236" s="146" t="e">
        <x:f>IF(OR('实盘净值数据(iFinD公式)'!$A236="",'实盘净值数据(iFinD公式)'!$B236=""),"",分期持仓明细!$AD$19*SUMPRODUCT(分期持仓明细!$B$19:$AA$19,'实盘净值数据(iFinD公式)'!$B236:$AA236/'实盘净值数据(iFinD公式)'!$B$20:$AA$20)*(1-实盘持仓初始配置!$Z$6)^(('实盘净值数据(iFinD公式)'!$A236-'实盘净值数据(iFinD公式)'!$A$7)/365))</x:f>
        <x:v>#NAME?</x:v>
      </x:c>
      <x:c r="I236" s="152" t="e">
        <x:f>IF(OR(H235="",H236=""),"",H236/H235-1)</x:f>
        <x:v>#NAME?</x:v>
      </x:c>
      <x:c r="J236" s="152" t="e">
        <x:f>IF(H236="","",H236/MAX(H$5:H236)-1)</x:f>
        <x:v>#NAME?</x:v>
      </x:c>
      <x:c r="K236" s="146" t="e">
        <x:f>IF(OR('实盘净值数据(iFinD公式)'!$A236="",'实盘净值数据(iFinD公式)'!$B236=""),"",分期持仓明细!$AD$23*SUMPRODUCT(分期持仓明细!$B$23:$AA$23,'实盘净值数据(iFinD公式)'!$B236:$AA236/'实盘净值数据(iFinD公式)'!$B$65:$AA$65)*(1-实盘持仓初始配置!$Z$7)^(('实盘净值数据(iFinD公式)'!$A236-'实盘净值数据(iFinD公式)'!$A$8)/365))</x:f>
        <x:v>#NAME?</x:v>
      </x:c>
      <x:c r="L236" s="152" t="e">
        <x:f>IF(OR(K235="",K236=""),"",K236/K235-1)</x:f>
        <x:v>#NAME?</x:v>
      </x:c>
      <x:c r="M236" s="152" t="e">
        <x:f>IF(K236="","",K236/MAX(K$5:K236)-1)</x:f>
        <x:v>#NAME?</x:v>
      </x:c>
      <x:c r="N236" s="146" t="e">
        <x:f>IF(OR('实盘净值数据(iFinD公式)'!$A236="",'实盘净值数据(iFinD公式)'!$B236=""),"",分期持仓明细!$AD$24*SUMPRODUCT(分期持仓明细!$B$24:$AA$24,'实盘净值数据(iFinD公式)'!$B236:$AA236/'实盘净值数据(iFinD公式)'!$B$65:$AA$65)*(1-实盘持仓初始配置!$Z$8)^(('实盘净值数据(iFinD公式)'!$A236-'实盘净值数据(iFinD公式)'!$A$5)/365))</x:f>
        <x:v>#NAME?</x:v>
      </x:c>
      <x:c r="O236" s="152" t="e">
        <x:f>IF(OR(N235="",N236=""),"",N236/N235-1)</x:f>
        <x:v>#NAME?</x:v>
      </x:c>
      <x:c r="P236" s="152" t="e">
        <x:f>IF(N236="","",N236/MAX(N$5:N236)-1)</x:f>
        <x:v>#NAME?</x:v>
      </x:c>
      <x:c r="Q236" s="146" t="e">
        <x:f>IF(OR('实盘净值数据(iFinD公式)'!$A236="",'实盘净值数据(iFinD公式)'!$B236=""),"",分期持仓明细!$AD$25*SUMPRODUCT(分期持仓明细!$B$25:$AA$25,'实盘净值数据(iFinD公式)'!$B236:$AA236/'实盘净值数据(iFinD公式)'!$B$65:$AA$65)*(1-实盘持仓初始配置!$Z$9)^(('实盘净值数据(iFinD公式)'!$A236-'实盘净值数据(iFinD公式)'!$A$8)/365))</x:f>
        <x:v>#NAME?</x:v>
      </x:c>
      <x:c r="R236" s="152" t="e">
        <x:f>IF(OR(Q235="",Q236=""),"",Q236/Q235-1)</x:f>
        <x:v>#NAME?</x:v>
      </x:c>
      <x:c r="S236" s="152" t="e">
        <x:f>IF(Q236="","",Q236/MAX(Q$5:Q236)-1)</x:f>
        <x:v>#NAME?</x:v>
      </x:c>
    </x:row>
    <x:row r="237">
      <x:c r="A237" s="149" t="str">
        <x:f>IF('实盘净值数据(iFinD公式)'!A237="","",'实盘净值数据(iFinD公式)'!A237)</x:f>
      </x:c>
      <x:c r="B237" s="146" t="e">
        <x:f>IF(OR('实盘净值数据(iFinD公式)'!$A237="",'实盘净值数据(iFinD公式)'!$B237=""),"",分期持仓明细!$AD$17*SUMPRODUCT(分期持仓明细!$B$17:$AA$17,'实盘净值数据(iFinD公式)'!$B237:$AA237/'实盘净值数据(iFinD公式)'!$B$20:$AA$20)*(1-实盘持仓初始配置!$Z$4)^(('实盘净值数据(iFinD公式)'!$A237-'实盘净值数据(iFinD公式)'!$A$6)/365))</x:f>
        <x:v>#NAME?</x:v>
      </x:c>
      <x:c r="C237" s="152" t="e">
        <x:f>IF(OR(B236="",B237=""),"",B237/B236-1)</x:f>
        <x:v>#NAME?</x:v>
      </x:c>
      <x:c r="D237" s="152" t="e">
        <x:f>IF(B237="","",B237/MAX(B$5:B237)-1)</x:f>
        <x:v>#NAME?</x:v>
      </x:c>
      <x:c r="E237" s="146" t="e">
        <x:f>IF(OR('实盘净值数据(iFinD公式)'!$A237="",'实盘净值数据(iFinD公式)'!$B237=""),"",分期持仓明细!$AD$18*SUMPRODUCT(分期持仓明细!$B$18:$AA$18,'实盘净值数据(iFinD公式)'!$B237:$AA237/'实盘净值数据(iFinD公式)'!$B$20:$AA$20)*(1-实盘持仓初始配置!$Z$5)^(('实盘净值数据(iFinD公式)'!$A237-'实盘净值数据(iFinD公式)'!$A$5)/365))</x:f>
        <x:v>#NAME?</x:v>
      </x:c>
      <x:c r="F237" s="152" t="e">
        <x:f>IF(OR(E236="",E237=""),"",E237/E236-1)</x:f>
        <x:v>#NAME?</x:v>
      </x:c>
      <x:c r="G237" s="152" t="e">
        <x:f>IF(E237="","",E237/MAX(E$5:E237)-1)</x:f>
        <x:v>#NAME?</x:v>
      </x:c>
      <x:c r="H237" s="146" t="e">
        <x:f>IF(OR('实盘净值数据(iFinD公式)'!$A237="",'实盘净值数据(iFinD公式)'!$B237=""),"",分期持仓明细!$AD$19*SUMPRODUCT(分期持仓明细!$B$19:$AA$19,'实盘净值数据(iFinD公式)'!$B237:$AA237/'实盘净值数据(iFinD公式)'!$B$20:$AA$20)*(1-实盘持仓初始配置!$Z$6)^(('实盘净值数据(iFinD公式)'!$A237-'实盘净值数据(iFinD公式)'!$A$7)/365))</x:f>
        <x:v>#NAME?</x:v>
      </x:c>
      <x:c r="I237" s="152" t="e">
        <x:f>IF(OR(H236="",H237=""),"",H237/H236-1)</x:f>
        <x:v>#NAME?</x:v>
      </x:c>
      <x:c r="J237" s="152" t="e">
        <x:f>IF(H237="","",H237/MAX(H$5:H237)-1)</x:f>
        <x:v>#NAME?</x:v>
      </x:c>
      <x:c r="K237" s="146" t="e">
        <x:f>IF(OR('实盘净值数据(iFinD公式)'!$A237="",'实盘净值数据(iFinD公式)'!$B237=""),"",分期持仓明细!$AD$23*SUMPRODUCT(分期持仓明细!$B$23:$AA$23,'实盘净值数据(iFinD公式)'!$B237:$AA237/'实盘净值数据(iFinD公式)'!$B$65:$AA$65)*(1-实盘持仓初始配置!$Z$7)^(('实盘净值数据(iFinD公式)'!$A237-'实盘净值数据(iFinD公式)'!$A$8)/365))</x:f>
        <x:v>#NAME?</x:v>
      </x:c>
      <x:c r="L237" s="152" t="e">
        <x:f>IF(OR(K236="",K237=""),"",K237/K236-1)</x:f>
        <x:v>#NAME?</x:v>
      </x:c>
      <x:c r="M237" s="152" t="e">
        <x:f>IF(K237="","",K237/MAX(K$5:K237)-1)</x:f>
        <x:v>#NAME?</x:v>
      </x:c>
      <x:c r="N237" s="146" t="e">
        <x:f>IF(OR('实盘净值数据(iFinD公式)'!$A237="",'实盘净值数据(iFinD公式)'!$B237=""),"",分期持仓明细!$AD$24*SUMPRODUCT(分期持仓明细!$B$24:$AA$24,'实盘净值数据(iFinD公式)'!$B237:$AA237/'实盘净值数据(iFinD公式)'!$B$65:$AA$65)*(1-实盘持仓初始配置!$Z$8)^(('实盘净值数据(iFinD公式)'!$A237-'实盘净值数据(iFinD公式)'!$A$5)/365))</x:f>
        <x:v>#NAME?</x:v>
      </x:c>
      <x:c r="O237" s="152" t="e">
        <x:f>IF(OR(N236="",N237=""),"",N237/N236-1)</x:f>
        <x:v>#NAME?</x:v>
      </x:c>
      <x:c r="P237" s="152" t="e">
        <x:f>IF(N237="","",N237/MAX(N$5:N237)-1)</x:f>
        <x:v>#NAME?</x:v>
      </x:c>
      <x:c r="Q237" s="146" t="e">
        <x:f>IF(OR('实盘净值数据(iFinD公式)'!$A237="",'实盘净值数据(iFinD公式)'!$B237=""),"",分期持仓明细!$AD$25*SUMPRODUCT(分期持仓明细!$B$25:$AA$25,'实盘净值数据(iFinD公式)'!$B237:$AA237/'实盘净值数据(iFinD公式)'!$B$65:$AA$65)*(1-实盘持仓初始配置!$Z$9)^(('实盘净值数据(iFinD公式)'!$A237-'实盘净值数据(iFinD公式)'!$A$8)/365))</x:f>
        <x:v>#NAME?</x:v>
      </x:c>
      <x:c r="R237" s="152" t="e">
        <x:f>IF(OR(Q236="",Q237=""),"",Q237/Q236-1)</x:f>
        <x:v>#NAME?</x:v>
      </x:c>
      <x:c r="S237" s="152" t="e">
        <x:f>IF(Q237="","",Q237/MAX(Q$5:Q237)-1)</x:f>
        <x:v>#NAME?</x:v>
      </x:c>
    </x:row>
    <x:row r="238">
      <x:c r="A238" s="149" t="str">
        <x:f>IF('实盘净值数据(iFinD公式)'!A238="","",'实盘净值数据(iFinD公式)'!A238)</x:f>
      </x:c>
      <x:c r="B238" s="146" t="e">
        <x:f>IF(OR('实盘净值数据(iFinD公式)'!$A238="",'实盘净值数据(iFinD公式)'!$B238=""),"",分期持仓明细!$AD$17*SUMPRODUCT(分期持仓明细!$B$17:$AA$17,'实盘净值数据(iFinD公式)'!$B238:$AA238/'实盘净值数据(iFinD公式)'!$B$20:$AA$20)*(1-实盘持仓初始配置!$Z$4)^(('实盘净值数据(iFinD公式)'!$A238-'实盘净值数据(iFinD公式)'!$A$6)/365))</x:f>
        <x:v>#NAME?</x:v>
      </x:c>
      <x:c r="C238" s="152" t="e">
        <x:f>IF(OR(B237="",B238=""),"",B238/B237-1)</x:f>
        <x:v>#NAME?</x:v>
      </x:c>
      <x:c r="D238" s="152" t="e">
        <x:f>IF(B238="","",B238/MAX(B$5:B238)-1)</x:f>
        <x:v>#NAME?</x:v>
      </x:c>
      <x:c r="E238" s="146" t="e">
        <x:f>IF(OR('实盘净值数据(iFinD公式)'!$A238="",'实盘净值数据(iFinD公式)'!$B238=""),"",分期持仓明细!$AD$18*SUMPRODUCT(分期持仓明细!$B$18:$AA$18,'实盘净值数据(iFinD公式)'!$B238:$AA238/'实盘净值数据(iFinD公式)'!$B$20:$AA$20)*(1-实盘持仓初始配置!$Z$5)^(('实盘净值数据(iFinD公式)'!$A238-'实盘净值数据(iFinD公式)'!$A$5)/365))</x:f>
        <x:v>#NAME?</x:v>
      </x:c>
      <x:c r="F238" s="152" t="e">
        <x:f>IF(OR(E237="",E238=""),"",E238/E237-1)</x:f>
        <x:v>#NAME?</x:v>
      </x:c>
      <x:c r="G238" s="152" t="e">
        <x:f>IF(E238="","",E238/MAX(E$5:E238)-1)</x:f>
        <x:v>#NAME?</x:v>
      </x:c>
      <x:c r="H238" s="146" t="e">
        <x:f>IF(OR('实盘净值数据(iFinD公式)'!$A238="",'实盘净值数据(iFinD公式)'!$B238=""),"",分期持仓明细!$AD$19*SUMPRODUCT(分期持仓明细!$B$19:$AA$19,'实盘净值数据(iFinD公式)'!$B238:$AA238/'实盘净值数据(iFinD公式)'!$B$20:$AA$20)*(1-实盘持仓初始配置!$Z$6)^(('实盘净值数据(iFinD公式)'!$A238-'实盘净值数据(iFinD公式)'!$A$7)/365))</x:f>
        <x:v>#NAME?</x:v>
      </x:c>
      <x:c r="I238" s="152" t="e">
        <x:f>IF(OR(H237="",H238=""),"",H238/H237-1)</x:f>
        <x:v>#NAME?</x:v>
      </x:c>
      <x:c r="J238" s="152" t="e">
        <x:f>IF(H238="","",H238/MAX(H$5:H238)-1)</x:f>
        <x:v>#NAME?</x:v>
      </x:c>
      <x:c r="K238" s="146" t="e">
        <x:f>IF(OR('实盘净值数据(iFinD公式)'!$A238="",'实盘净值数据(iFinD公式)'!$B238=""),"",分期持仓明细!$AD$23*SUMPRODUCT(分期持仓明细!$B$23:$AA$23,'实盘净值数据(iFinD公式)'!$B238:$AA238/'实盘净值数据(iFinD公式)'!$B$65:$AA$65)*(1-实盘持仓初始配置!$Z$7)^(('实盘净值数据(iFinD公式)'!$A238-'实盘净值数据(iFinD公式)'!$A$8)/365))</x:f>
        <x:v>#NAME?</x:v>
      </x:c>
      <x:c r="L238" s="152" t="e">
        <x:f>IF(OR(K237="",K238=""),"",K238/K237-1)</x:f>
        <x:v>#NAME?</x:v>
      </x:c>
      <x:c r="M238" s="152" t="e">
        <x:f>IF(K238="","",K238/MAX(K$5:K238)-1)</x:f>
        <x:v>#NAME?</x:v>
      </x:c>
      <x:c r="N238" s="146" t="e">
        <x:f>IF(OR('实盘净值数据(iFinD公式)'!$A238="",'实盘净值数据(iFinD公式)'!$B238=""),"",分期持仓明细!$AD$24*SUMPRODUCT(分期持仓明细!$B$24:$AA$24,'实盘净值数据(iFinD公式)'!$B238:$AA238/'实盘净值数据(iFinD公式)'!$B$65:$AA$65)*(1-实盘持仓初始配置!$Z$8)^(('实盘净值数据(iFinD公式)'!$A238-'实盘净值数据(iFinD公式)'!$A$5)/365))</x:f>
        <x:v>#NAME?</x:v>
      </x:c>
      <x:c r="O238" s="152" t="e">
        <x:f>IF(OR(N237="",N238=""),"",N238/N237-1)</x:f>
        <x:v>#NAME?</x:v>
      </x:c>
      <x:c r="P238" s="152" t="e">
        <x:f>IF(N238="","",N238/MAX(N$5:N238)-1)</x:f>
        <x:v>#NAME?</x:v>
      </x:c>
      <x:c r="Q238" s="146" t="e">
        <x:f>IF(OR('实盘净值数据(iFinD公式)'!$A238="",'实盘净值数据(iFinD公式)'!$B238=""),"",分期持仓明细!$AD$25*SUMPRODUCT(分期持仓明细!$B$25:$AA$25,'实盘净值数据(iFinD公式)'!$B238:$AA238/'实盘净值数据(iFinD公式)'!$B$65:$AA$65)*(1-实盘持仓初始配置!$Z$9)^(('实盘净值数据(iFinD公式)'!$A238-'实盘净值数据(iFinD公式)'!$A$8)/365))</x:f>
        <x:v>#NAME?</x:v>
      </x:c>
      <x:c r="R238" s="152" t="e">
        <x:f>IF(OR(Q237="",Q238=""),"",Q238/Q237-1)</x:f>
        <x:v>#NAME?</x:v>
      </x:c>
      <x:c r="S238" s="152" t="e">
        <x:f>IF(Q238="","",Q238/MAX(Q$5:Q238)-1)</x:f>
        <x:v>#NAME?</x:v>
      </x:c>
    </x:row>
    <x:row r="239">
      <x:c r="A239" s="149" t="str">
        <x:f>IF('实盘净值数据(iFinD公式)'!A239="","",'实盘净值数据(iFinD公式)'!A239)</x:f>
      </x:c>
      <x:c r="B239" s="146" t="e">
        <x:f>IF(OR('实盘净值数据(iFinD公式)'!$A239="",'实盘净值数据(iFinD公式)'!$B239=""),"",分期持仓明细!$AD$17*SUMPRODUCT(分期持仓明细!$B$17:$AA$17,'实盘净值数据(iFinD公式)'!$B239:$AA239/'实盘净值数据(iFinD公式)'!$B$20:$AA$20)*(1-实盘持仓初始配置!$Z$4)^(('实盘净值数据(iFinD公式)'!$A239-'实盘净值数据(iFinD公式)'!$A$6)/365))</x:f>
        <x:v>#NAME?</x:v>
      </x:c>
      <x:c r="C239" s="152" t="e">
        <x:f>IF(OR(B238="",B239=""),"",B239/B238-1)</x:f>
        <x:v>#NAME?</x:v>
      </x:c>
      <x:c r="D239" s="152" t="e">
        <x:f>IF(B239="","",B239/MAX(B$5:B239)-1)</x:f>
        <x:v>#NAME?</x:v>
      </x:c>
      <x:c r="E239" s="146" t="e">
        <x:f>IF(OR('实盘净值数据(iFinD公式)'!$A239="",'实盘净值数据(iFinD公式)'!$B239=""),"",分期持仓明细!$AD$18*SUMPRODUCT(分期持仓明细!$B$18:$AA$18,'实盘净值数据(iFinD公式)'!$B239:$AA239/'实盘净值数据(iFinD公式)'!$B$20:$AA$20)*(1-实盘持仓初始配置!$Z$5)^(('实盘净值数据(iFinD公式)'!$A239-'实盘净值数据(iFinD公式)'!$A$5)/365))</x:f>
        <x:v>#NAME?</x:v>
      </x:c>
      <x:c r="F239" s="152" t="e">
        <x:f>IF(OR(E238="",E239=""),"",E239/E238-1)</x:f>
        <x:v>#NAME?</x:v>
      </x:c>
      <x:c r="G239" s="152" t="e">
        <x:f>IF(E239="","",E239/MAX(E$5:E239)-1)</x:f>
        <x:v>#NAME?</x:v>
      </x:c>
      <x:c r="H239" s="146" t="e">
        <x:f>IF(OR('实盘净值数据(iFinD公式)'!$A239="",'实盘净值数据(iFinD公式)'!$B239=""),"",分期持仓明细!$AD$19*SUMPRODUCT(分期持仓明细!$B$19:$AA$19,'实盘净值数据(iFinD公式)'!$B239:$AA239/'实盘净值数据(iFinD公式)'!$B$20:$AA$20)*(1-实盘持仓初始配置!$Z$6)^(('实盘净值数据(iFinD公式)'!$A239-'实盘净值数据(iFinD公式)'!$A$7)/365))</x:f>
        <x:v>#NAME?</x:v>
      </x:c>
      <x:c r="I239" s="152" t="e">
        <x:f>IF(OR(H238="",H239=""),"",H239/H238-1)</x:f>
        <x:v>#NAME?</x:v>
      </x:c>
      <x:c r="J239" s="152" t="e">
        <x:f>IF(H239="","",H239/MAX(H$5:H239)-1)</x:f>
        <x:v>#NAME?</x:v>
      </x:c>
      <x:c r="K239" s="146" t="e">
        <x:f>IF(OR('实盘净值数据(iFinD公式)'!$A239="",'实盘净值数据(iFinD公式)'!$B239=""),"",分期持仓明细!$AD$23*SUMPRODUCT(分期持仓明细!$B$23:$AA$23,'实盘净值数据(iFinD公式)'!$B239:$AA239/'实盘净值数据(iFinD公式)'!$B$65:$AA$65)*(1-实盘持仓初始配置!$Z$7)^(('实盘净值数据(iFinD公式)'!$A239-'实盘净值数据(iFinD公式)'!$A$8)/365))</x:f>
        <x:v>#NAME?</x:v>
      </x:c>
      <x:c r="L239" s="152" t="e">
        <x:f>IF(OR(K238="",K239=""),"",K239/K238-1)</x:f>
        <x:v>#NAME?</x:v>
      </x:c>
      <x:c r="M239" s="152" t="e">
        <x:f>IF(K239="","",K239/MAX(K$5:K239)-1)</x:f>
        <x:v>#NAME?</x:v>
      </x:c>
      <x:c r="N239" s="146" t="e">
        <x:f>IF(OR('实盘净值数据(iFinD公式)'!$A239="",'实盘净值数据(iFinD公式)'!$B239=""),"",分期持仓明细!$AD$24*SUMPRODUCT(分期持仓明细!$B$24:$AA$24,'实盘净值数据(iFinD公式)'!$B239:$AA239/'实盘净值数据(iFinD公式)'!$B$65:$AA$65)*(1-实盘持仓初始配置!$Z$8)^(('实盘净值数据(iFinD公式)'!$A239-'实盘净值数据(iFinD公式)'!$A$5)/365))</x:f>
        <x:v>#NAME?</x:v>
      </x:c>
      <x:c r="O239" s="152" t="e">
        <x:f>IF(OR(N238="",N239=""),"",N239/N238-1)</x:f>
        <x:v>#NAME?</x:v>
      </x:c>
      <x:c r="P239" s="152" t="e">
        <x:f>IF(N239="","",N239/MAX(N$5:N239)-1)</x:f>
        <x:v>#NAME?</x:v>
      </x:c>
      <x:c r="Q239" s="146" t="e">
        <x:f>IF(OR('实盘净值数据(iFinD公式)'!$A239="",'实盘净值数据(iFinD公式)'!$B239=""),"",分期持仓明细!$AD$25*SUMPRODUCT(分期持仓明细!$B$25:$AA$25,'实盘净值数据(iFinD公式)'!$B239:$AA239/'实盘净值数据(iFinD公式)'!$B$65:$AA$65)*(1-实盘持仓初始配置!$Z$9)^(('实盘净值数据(iFinD公式)'!$A239-'实盘净值数据(iFinD公式)'!$A$8)/365))</x:f>
        <x:v>#NAME?</x:v>
      </x:c>
      <x:c r="R239" s="152" t="e">
        <x:f>IF(OR(Q238="",Q239=""),"",Q239/Q238-1)</x:f>
        <x:v>#NAME?</x:v>
      </x:c>
      <x:c r="S239" s="152" t="e">
        <x:f>IF(Q239="","",Q239/MAX(Q$5:Q239)-1)</x:f>
        <x:v>#NAME?</x:v>
      </x:c>
    </x:row>
    <x:row r="240">
      <x:c r="A240" s="149" t="str">
        <x:f>IF('实盘净值数据(iFinD公式)'!A240="","",'实盘净值数据(iFinD公式)'!A240)</x:f>
      </x:c>
      <x:c r="B240" s="146" t="e">
        <x:f>IF(OR('实盘净值数据(iFinD公式)'!$A240="",'实盘净值数据(iFinD公式)'!$B240=""),"",分期持仓明细!$AD$17*SUMPRODUCT(分期持仓明细!$B$17:$AA$17,'实盘净值数据(iFinD公式)'!$B240:$AA240/'实盘净值数据(iFinD公式)'!$B$20:$AA$20)*(1-实盘持仓初始配置!$Z$4)^(('实盘净值数据(iFinD公式)'!$A240-'实盘净值数据(iFinD公式)'!$A$6)/365))</x:f>
        <x:v>#NAME?</x:v>
      </x:c>
      <x:c r="C240" s="152" t="e">
        <x:f>IF(OR(B239="",B240=""),"",B240/B239-1)</x:f>
        <x:v>#NAME?</x:v>
      </x:c>
      <x:c r="D240" s="152" t="e">
        <x:f>IF(B240="","",B240/MAX(B$5:B240)-1)</x:f>
        <x:v>#NAME?</x:v>
      </x:c>
      <x:c r="E240" s="146" t="e">
        <x:f>IF(OR('实盘净值数据(iFinD公式)'!$A240="",'实盘净值数据(iFinD公式)'!$B240=""),"",分期持仓明细!$AD$18*SUMPRODUCT(分期持仓明细!$B$18:$AA$18,'实盘净值数据(iFinD公式)'!$B240:$AA240/'实盘净值数据(iFinD公式)'!$B$20:$AA$20)*(1-实盘持仓初始配置!$Z$5)^(('实盘净值数据(iFinD公式)'!$A240-'实盘净值数据(iFinD公式)'!$A$5)/365))</x:f>
        <x:v>#NAME?</x:v>
      </x:c>
      <x:c r="F240" s="152" t="e">
        <x:f>IF(OR(E239="",E240=""),"",E240/E239-1)</x:f>
        <x:v>#NAME?</x:v>
      </x:c>
      <x:c r="G240" s="152" t="e">
        <x:f>IF(E240="","",E240/MAX(E$5:E240)-1)</x:f>
        <x:v>#NAME?</x:v>
      </x:c>
      <x:c r="H240" s="146" t="e">
        <x:f>IF(OR('实盘净值数据(iFinD公式)'!$A240="",'实盘净值数据(iFinD公式)'!$B240=""),"",分期持仓明细!$AD$19*SUMPRODUCT(分期持仓明细!$B$19:$AA$19,'实盘净值数据(iFinD公式)'!$B240:$AA240/'实盘净值数据(iFinD公式)'!$B$20:$AA$20)*(1-实盘持仓初始配置!$Z$6)^(('实盘净值数据(iFinD公式)'!$A240-'实盘净值数据(iFinD公式)'!$A$7)/365))</x:f>
        <x:v>#NAME?</x:v>
      </x:c>
      <x:c r="I240" s="152" t="e">
        <x:f>IF(OR(H239="",H240=""),"",H240/H239-1)</x:f>
        <x:v>#NAME?</x:v>
      </x:c>
      <x:c r="J240" s="152" t="e">
        <x:f>IF(H240="","",H240/MAX(H$5:H240)-1)</x:f>
        <x:v>#NAME?</x:v>
      </x:c>
      <x:c r="K240" s="146" t="e">
        <x:f>IF(OR('实盘净值数据(iFinD公式)'!$A240="",'实盘净值数据(iFinD公式)'!$B240=""),"",分期持仓明细!$AD$23*SUMPRODUCT(分期持仓明细!$B$23:$AA$23,'实盘净值数据(iFinD公式)'!$B240:$AA240/'实盘净值数据(iFinD公式)'!$B$65:$AA$65)*(1-实盘持仓初始配置!$Z$7)^(('实盘净值数据(iFinD公式)'!$A240-'实盘净值数据(iFinD公式)'!$A$8)/365))</x:f>
        <x:v>#NAME?</x:v>
      </x:c>
      <x:c r="L240" s="152" t="e">
        <x:f>IF(OR(K239="",K240=""),"",K240/K239-1)</x:f>
        <x:v>#NAME?</x:v>
      </x:c>
      <x:c r="M240" s="152" t="e">
        <x:f>IF(K240="","",K240/MAX(K$5:K240)-1)</x:f>
        <x:v>#NAME?</x:v>
      </x:c>
      <x:c r="N240" s="146" t="e">
        <x:f>IF(OR('实盘净值数据(iFinD公式)'!$A240="",'实盘净值数据(iFinD公式)'!$B240=""),"",分期持仓明细!$AD$24*SUMPRODUCT(分期持仓明细!$B$24:$AA$24,'实盘净值数据(iFinD公式)'!$B240:$AA240/'实盘净值数据(iFinD公式)'!$B$65:$AA$65)*(1-实盘持仓初始配置!$Z$8)^(('实盘净值数据(iFinD公式)'!$A240-'实盘净值数据(iFinD公式)'!$A$5)/365))</x:f>
        <x:v>#NAME?</x:v>
      </x:c>
      <x:c r="O240" s="152" t="e">
        <x:f>IF(OR(N239="",N240=""),"",N240/N239-1)</x:f>
        <x:v>#NAME?</x:v>
      </x:c>
      <x:c r="P240" s="152" t="e">
        <x:f>IF(N240="","",N240/MAX(N$5:N240)-1)</x:f>
        <x:v>#NAME?</x:v>
      </x:c>
      <x:c r="Q240" s="146" t="e">
        <x:f>IF(OR('实盘净值数据(iFinD公式)'!$A240="",'实盘净值数据(iFinD公式)'!$B240=""),"",分期持仓明细!$AD$25*SUMPRODUCT(分期持仓明细!$B$25:$AA$25,'实盘净值数据(iFinD公式)'!$B240:$AA240/'实盘净值数据(iFinD公式)'!$B$65:$AA$65)*(1-实盘持仓初始配置!$Z$9)^(('实盘净值数据(iFinD公式)'!$A240-'实盘净值数据(iFinD公式)'!$A$8)/365))</x:f>
        <x:v>#NAME?</x:v>
      </x:c>
      <x:c r="R240" s="152" t="e">
        <x:f>IF(OR(Q239="",Q240=""),"",Q240/Q239-1)</x:f>
        <x:v>#NAME?</x:v>
      </x:c>
      <x:c r="S240" s="152" t="e">
        <x:f>IF(Q240="","",Q240/MAX(Q$5:Q240)-1)</x:f>
        <x:v>#NAME?</x:v>
      </x:c>
    </x:row>
    <x:row r="241">
      <x:c r="A241" s="149" t="str">
        <x:f>IF('实盘净值数据(iFinD公式)'!A241="","",'实盘净值数据(iFinD公式)'!A241)</x:f>
      </x:c>
      <x:c r="B241" s="146" t="e">
        <x:f>IF(OR('实盘净值数据(iFinD公式)'!$A241="",'实盘净值数据(iFinD公式)'!$B241=""),"",分期持仓明细!$AD$17*SUMPRODUCT(分期持仓明细!$B$17:$AA$17,'实盘净值数据(iFinD公式)'!$B241:$AA241/'实盘净值数据(iFinD公式)'!$B$20:$AA$20)*(1-实盘持仓初始配置!$Z$4)^(('实盘净值数据(iFinD公式)'!$A241-'实盘净值数据(iFinD公式)'!$A$6)/365))</x:f>
        <x:v>#NAME?</x:v>
      </x:c>
      <x:c r="C241" s="152" t="e">
        <x:f>IF(OR(B240="",B241=""),"",B241/B240-1)</x:f>
        <x:v>#NAME?</x:v>
      </x:c>
      <x:c r="D241" s="152" t="e">
        <x:f>IF(B241="","",B241/MAX(B$5:B241)-1)</x:f>
        <x:v>#NAME?</x:v>
      </x:c>
      <x:c r="E241" s="146" t="e">
        <x:f>IF(OR('实盘净值数据(iFinD公式)'!$A241="",'实盘净值数据(iFinD公式)'!$B241=""),"",分期持仓明细!$AD$18*SUMPRODUCT(分期持仓明细!$B$18:$AA$18,'实盘净值数据(iFinD公式)'!$B241:$AA241/'实盘净值数据(iFinD公式)'!$B$20:$AA$20)*(1-实盘持仓初始配置!$Z$5)^(('实盘净值数据(iFinD公式)'!$A241-'实盘净值数据(iFinD公式)'!$A$5)/365))</x:f>
        <x:v>#NAME?</x:v>
      </x:c>
      <x:c r="F241" s="152" t="e">
        <x:f>IF(OR(E240="",E241=""),"",E241/E240-1)</x:f>
        <x:v>#NAME?</x:v>
      </x:c>
      <x:c r="G241" s="152" t="e">
        <x:f>IF(E241="","",E241/MAX(E$5:E241)-1)</x:f>
        <x:v>#NAME?</x:v>
      </x:c>
      <x:c r="H241" s="146" t="e">
        <x:f>IF(OR('实盘净值数据(iFinD公式)'!$A241="",'实盘净值数据(iFinD公式)'!$B241=""),"",分期持仓明细!$AD$19*SUMPRODUCT(分期持仓明细!$B$19:$AA$19,'实盘净值数据(iFinD公式)'!$B241:$AA241/'实盘净值数据(iFinD公式)'!$B$20:$AA$20)*(1-实盘持仓初始配置!$Z$6)^(('实盘净值数据(iFinD公式)'!$A241-'实盘净值数据(iFinD公式)'!$A$7)/365))</x:f>
        <x:v>#NAME?</x:v>
      </x:c>
      <x:c r="I241" s="152" t="e">
        <x:f>IF(OR(H240="",H241=""),"",H241/H240-1)</x:f>
        <x:v>#NAME?</x:v>
      </x:c>
      <x:c r="J241" s="152" t="e">
        <x:f>IF(H241="","",H241/MAX(H$5:H241)-1)</x:f>
        <x:v>#NAME?</x:v>
      </x:c>
      <x:c r="K241" s="146" t="e">
        <x:f>IF(OR('实盘净值数据(iFinD公式)'!$A241="",'实盘净值数据(iFinD公式)'!$B241=""),"",分期持仓明细!$AD$23*SUMPRODUCT(分期持仓明细!$B$23:$AA$23,'实盘净值数据(iFinD公式)'!$B241:$AA241/'实盘净值数据(iFinD公式)'!$B$65:$AA$65)*(1-实盘持仓初始配置!$Z$7)^(('实盘净值数据(iFinD公式)'!$A241-'实盘净值数据(iFinD公式)'!$A$8)/365))</x:f>
        <x:v>#NAME?</x:v>
      </x:c>
      <x:c r="L241" s="152" t="e">
        <x:f>IF(OR(K240="",K241=""),"",K241/K240-1)</x:f>
        <x:v>#NAME?</x:v>
      </x:c>
      <x:c r="M241" s="152" t="e">
        <x:f>IF(K241="","",K241/MAX(K$5:K241)-1)</x:f>
        <x:v>#NAME?</x:v>
      </x:c>
      <x:c r="N241" s="146" t="e">
        <x:f>IF(OR('实盘净值数据(iFinD公式)'!$A241="",'实盘净值数据(iFinD公式)'!$B241=""),"",分期持仓明细!$AD$24*SUMPRODUCT(分期持仓明细!$B$24:$AA$24,'实盘净值数据(iFinD公式)'!$B241:$AA241/'实盘净值数据(iFinD公式)'!$B$65:$AA$65)*(1-实盘持仓初始配置!$Z$8)^(('实盘净值数据(iFinD公式)'!$A241-'实盘净值数据(iFinD公式)'!$A$5)/365))</x:f>
        <x:v>#NAME?</x:v>
      </x:c>
      <x:c r="O241" s="152" t="e">
        <x:f>IF(OR(N240="",N241=""),"",N241/N240-1)</x:f>
        <x:v>#NAME?</x:v>
      </x:c>
      <x:c r="P241" s="152" t="e">
        <x:f>IF(N241="","",N241/MAX(N$5:N241)-1)</x:f>
        <x:v>#NAME?</x:v>
      </x:c>
      <x:c r="Q241" s="146" t="e">
        <x:f>IF(OR('实盘净值数据(iFinD公式)'!$A241="",'实盘净值数据(iFinD公式)'!$B241=""),"",分期持仓明细!$AD$25*SUMPRODUCT(分期持仓明细!$B$25:$AA$25,'实盘净值数据(iFinD公式)'!$B241:$AA241/'实盘净值数据(iFinD公式)'!$B$65:$AA$65)*(1-实盘持仓初始配置!$Z$9)^(('实盘净值数据(iFinD公式)'!$A241-'实盘净值数据(iFinD公式)'!$A$8)/365))</x:f>
        <x:v>#NAME?</x:v>
      </x:c>
      <x:c r="R241" s="152" t="e">
        <x:f>IF(OR(Q240="",Q241=""),"",Q241/Q240-1)</x:f>
        <x:v>#NAME?</x:v>
      </x:c>
      <x:c r="S241" s="152" t="e">
        <x:f>IF(Q241="","",Q241/MAX(Q$5:Q241)-1)</x:f>
        <x:v>#NAME?</x:v>
      </x:c>
    </x:row>
    <x:row r="242">
      <x:c r="A242" s="149" t="str">
        <x:f>IF('实盘净值数据(iFinD公式)'!A242="","",'实盘净值数据(iFinD公式)'!A242)</x:f>
      </x:c>
      <x:c r="B242" s="146" t="e">
        <x:f>IF(OR('实盘净值数据(iFinD公式)'!$A242="",'实盘净值数据(iFinD公式)'!$B242=""),"",分期持仓明细!$AD$17*SUMPRODUCT(分期持仓明细!$B$17:$AA$17,'实盘净值数据(iFinD公式)'!$B242:$AA242/'实盘净值数据(iFinD公式)'!$B$20:$AA$20)*(1-实盘持仓初始配置!$Z$4)^(('实盘净值数据(iFinD公式)'!$A242-'实盘净值数据(iFinD公式)'!$A$6)/365))</x:f>
        <x:v>#NAME?</x:v>
      </x:c>
      <x:c r="C242" s="152" t="e">
        <x:f>IF(OR(B241="",B242=""),"",B242/B241-1)</x:f>
        <x:v>#NAME?</x:v>
      </x:c>
      <x:c r="D242" s="152" t="e">
        <x:f>IF(B242="","",B242/MAX(B$5:B242)-1)</x:f>
        <x:v>#NAME?</x:v>
      </x:c>
      <x:c r="E242" s="146" t="e">
        <x:f>IF(OR('实盘净值数据(iFinD公式)'!$A242="",'实盘净值数据(iFinD公式)'!$B242=""),"",分期持仓明细!$AD$18*SUMPRODUCT(分期持仓明细!$B$18:$AA$18,'实盘净值数据(iFinD公式)'!$B242:$AA242/'实盘净值数据(iFinD公式)'!$B$20:$AA$20)*(1-实盘持仓初始配置!$Z$5)^(('实盘净值数据(iFinD公式)'!$A242-'实盘净值数据(iFinD公式)'!$A$5)/365))</x:f>
        <x:v>#NAME?</x:v>
      </x:c>
      <x:c r="F242" s="152" t="e">
        <x:f>IF(OR(E241="",E242=""),"",E242/E241-1)</x:f>
        <x:v>#NAME?</x:v>
      </x:c>
      <x:c r="G242" s="152" t="e">
        <x:f>IF(E242="","",E242/MAX(E$5:E242)-1)</x:f>
        <x:v>#NAME?</x:v>
      </x:c>
      <x:c r="H242" s="146" t="e">
        <x:f>IF(OR('实盘净值数据(iFinD公式)'!$A242="",'实盘净值数据(iFinD公式)'!$B242=""),"",分期持仓明细!$AD$19*SUMPRODUCT(分期持仓明细!$B$19:$AA$19,'实盘净值数据(iFinD公式)'!$B242:$AA242/'实盘净值数据(iFinD公式)'!$B$20:$AA$20)*(1-实盘持仓初始配置!$Z$6)^(('实盘净值数据(iFinD公式)'!$A242-'实盘净值数据(iFinD公式)'!$A$7)/365))</x:f>
        <x:v>#NAME?</x:v>
      </x:c>
      <x:c r="I242" s="152" t="e">
        <x:f>IF(OR(H241="",H242=""),"",H242/H241-1)</x:f>
        <x:v>#NAME?</x:v>
      </x:c>
      <x:c r="J242" s="152" t="e">
        <x:f>IF(H242="","",H242/MAX(H$5:H242)-1)</x:f>
        <x:v>#NAME?</x:v>
      </x:c>
      <x:c r="K242" s="146" t="e">
        <x:f>IF(OR('实盘净值数据(iFinD公式)'!$A242="",'实盘净值数据(iFinD公式)'!$B242=""),"",分期持仓明细!$AD$23*SUMPRODUCT(分期持仓明细!$B$23:$AA$23,'实盘净值数据(iFinD公式)'!$B242:$AA242/'实盘净值数据(iFinD公式)'!$B$65:$AA$65)*(1-实盘持仓初始配置!$Z$7)^(('实盘净值数据(iFinD公式)'!$A242-'实盘净值数据(iFinD公式)'!$A$8)/365))</x:f>
        <x:v>#NAME?</x:v>
      </x:c>
      <x:c r="L242" s="152" t="e">
        <x:f>IF(OR(K241="",K242=""),"",K242/K241-1)</x:f>
        <x:v>#NAME?</x:v>
      </x:c>
      <x:c r="M242" s="152" t="e">
        <x:f>IF(K242="","",K242/MAX(K$5:K242)-1)</x:f>
        <x:v>#NAME?</x:v>
      </x:c>
      <x:c r="N242" s="146" t="e">
        <x:f>IF(OR('实盘净值数据(iFinD公式)'!$A242="",'实盘净值数据(iFinD公式)'!$B242=""),"",分期持仓明细!$AD$24*SUMPRODUCT(分期持仓明细!$B$24:$AA$24,'实盘净值数据(iFinD公式)'!$B242:$AA242/'实盘净值数据(iFinD公式)'!$B$65:$AA$65)*(1-实盘持仓初始配置!$Z$8)^(('实盘净值数据(iFinD公式)'!$A242-'实盘净值数据(iFinD公式)'!$A$5)/365))</x:f>
        <x:v>#NAME?</x:v>
      </x:c>
      <x:c r="O242" s="152" t="e">
        <x:f>IF(OR(N241="",N242=""),"",N242/N241-1)</x:f>
        <x:v>#NAME?</x:v>
      </x:c>
      <x:c r="P242" s="152" t="e">
        <x:f>IF(N242="","",N242/MAX(N$5:N242)-1)</x:f>
        <x:v>#NAME?</x:v>
      </x:c>
      <x:c r="Q242" s="146" t="e">
        <x:f>IF(OR('实盘净值数据(iFinD公式)'!$A242="",'实盘净值数据(iFinD公式)'!$B242=""),"",分期持仓明细!$AD$25*SUMPRODUCT(分期持仓明细!$B$25:$AA$25,'实盘净值数据(iFinD公式)'!$B242:$AA242/'实盘净值数据(iFinD公式)'!$B$65:$AA$65)*(1-实盘持仓初始配置!$Z$9)^(('实盘净值数据(iFinD公式)'!$A242-'实盘净值数据(iFinD公式)'!$A$8)/365))</x:f>
        <x:v>#NAME?</x:v>
      </x:c>
      <x:c r="R242" s="152" t="e">
        <x:f>IF(OR(Q241="",Q242=""),"",Q242/Q241-1)</x:f>
        <x:v>#NAME?</x:v>
      </x:c>
      <x:c r="S242" s="152" t="e">
        <x:f>IF(Q242="","",Q242/MAX(Q$5:Q242)-1)</x:f>
        <x:v>#NAME?</x:v>
      </x:c>
    </x:row>
    <x:row r="243">
      <x:c r="A243" s="149" t="str">
        <x:f>IF('实盘净值数据(iFinD公式)'!A243="","",'实盘净值数据(iFinD公式)'!A243)</x:f>
      </x:c>
      <x:c r="B243" s="146" t="e">
        <x:f>IF(OR('实盘净值数据(iFinD公式)'!$A243="",'实盘净值数据(iFinD公式)'!$B243=""),"",分期持仓明细!$AD$17*SUMPRODUCT(分期持仓明细!$B$17:$AA$17,'实盘净值数据(iFinD公式)'!$B243:$AA243/'实盘净值数据(iFinD公式)'!$B$20:$AA$20)*(1-实盘持仓初始配置!$Z$4)^(('实盘净值数据(iFinD公式)'!$A243-'实盘净值数据(iFinD公式)'!$A$6)/365))</x:f>
        <x:v>#NAME?</x:v>
      </x:c>
      <x:c r="C243" s="152" t="e">
        <x:f>IF(OR(B242="",B243=""),"",B243/B242-1)</x:f>
        <x:v>#NAME?</x:v>
      </x:c>
      <x:c r="D243" s="152" t="e">
        <x:f>IF(B243="","",B243/MAX(B$5:B243)-1)</x:f>
        <x:v>#NAME?</x:v>
      </x:c>
      <x:c r="E243" s="146" t="e">
        <x:f>IF(OR('实盘净值数据(iFinD公式)'!$A243="",'实盘净值数据(iFinD公式)'!$B243=""),"",分期持仓明细!$AD$18*SUMPRODUCT(分期持仓明细!$B$18:$AA$18,'实盘净值数据(iFinD公式)'!$B243:$AA243/'实盘净值数据(iFinD公式)'!$B$20:$AA$20)*(1-实盘持仓初始配置!$Z$5)^(('实盘净值数据(iFinD公式)'!$A243-'实盘净值数据(iFinD公式)'!$A$5)/365))</x:f>
        <x:v>#NAME?</x:v>
      </x:c>
      <x:c r="F243" s="152" t="e">
        <x:f>IF(OR(E242="",E243=""),"",E243/E242-1)</x:f>
        <x:v>#NAME?</x:v>
      </x:c>
      <x:c r="G243" s="152" t="e">
        <x:f>IF(E243="","",E243/MAX(E$5:E243)-1)</x:f>
        <x:v>#NAME?</x:v>
      </x:c>
      <x:c r="H243" s="146" t="e">
        <x:f>IF(OR('实盘净值数据(iFinD公式)'!$A243="",'实盘净值数据(iFinD公式)'!$B243=""),"",分期持仓明细!$AD$19*SUMPRODUCT(分期持仓明细!$B$19:$AA$19,'实盘净值数据(iFinD公式)'!$B243:$AA243/'实盘净值数据(iFinD公式)'!$B$20:$AA$20)*(1-实盘持仓初始配置!$Z$6)^(('实盘净值数据(iFinD公式)'!$A243-'实盘净值数据(iFinD公式)'!$A$7)/365))</x:f>
        <x:v>#NAME?</x:v>
      </x:c>
      <x:c r="I243" s="152" t="e">
        <x:f>IF(OR(H242="",H243=""),"",H243/H242-1)</x:f>
        <x:v>#NAME?</x:v>
      </x:c>
      <x:c r="J243" s="152" t="e">
        <x:f>IF(H243="","",H243/MAX(H$5:H243)-1)</x:f>
        <x:v>#NAME?</x:v>
      </x:c>
      <x:c r="K243" s="146" t="e">
        <x:f>IF(OR('实盘净值数据(iFinD公式)'!$A243="",'实盘净值数据(iFinD公式)'!$B243=""),"",分期持仓明细!$AD$23*SUMPRODUCT(分期持仓明细!$B$23:$AA$23,'实盘净值数据(iFinD公式)'!$B243:$AA243/'实盘净值数据(iFinD公式)'!$B$65:$AA$65)*(1-实盘持仓初始配置!$Z$7)^(('实盘净值数据(iFinD公式)'!$A243-'实盘净值数据(iFinD公式)'!$A$8)/365))</x:f>
        <x:v>#NAME?</x:v>
      </x:c>
      <x:c r="L243" s="152" t="e">
        <x:f>IF(OR(K242="",K243=""),"",K243/K242-1)</x:f>
        <x:v>#NAME?</x:v>
      </x:c>
      <x:c r="M243" s="152" t="e">
        <x:f>IF(K243="","",K243/MAX(K$5:K243)-1)</x:f>
        <x:v>#NAME?</x:v>
      </x:c>
      <x:c r="N243" s="146" t="e">
        <x:f>IF(OR('实盘净值数据(iFinD公式)'!$A243="",'实盘净值数据(iFinD公式)'!$B243=""),"",分期持仓明细!$AD$24*SUMPRODUCT(分期持仓明细!$B$24:$AA$24,'实盘净值数据(iFinD公式)'!$B243:$AA243/'实盘净值数据(iFinD公式)'!$B$65:$AA$65)*(1-实盘持仓初始配置!$Z$8)^(('实盘净值数据(iFinD公式)'!$A243-'实盘净值数据(iFinD公式)'!$A$5)/365))</x:f>
        <x:v>#NAME?</x:v>
      </x:c>
      <x:c r="O243" s="152" t="e">
        <x:f>IF(OR(N242="",N243=""),"",N243/N242-1)</x:f>
        <x:v>#NAME?</x:v>
      </x:c>
      <x:c r="P243" s="152" t="e">
        <x:f>IF(N243="","",N243/MAX(N$5:N243)-1)</x:f>
        <x:v>#NAME?</x:v>
      </x:c>
      <x:c r="Q243" s="146" t="e">
        <x:f>IF(OR('实盘净值数据(iFinD公式)'!$A243="",'实盘净值数据(iFinD公式)'!$B243=""),"",分期持仓明细!$AD$25*SUMPRODUCT(分期持仓明细!$B$25:$AA$25,'实盘净值数据(iFinD公式)'!$B243:$AA243/'实盘净值数据(iFinD公式)'!$B$65:$AA$65)*(1-实盘持仓初始配置!$Z$9)^(('实盘净值数据(iFinD公式)'!$A243-'实盘净值数据(iFinD公式)'!$A$8)/365))</x:f>
        <x:v>#NAME?</x:v>
      </x:c>
      <x:c r="R243" s="152" t="e">
        <x:f>IF(OR(Q242="",Q243=""),"",Q243/Q242-1)</x:f>
        <x:v>#NAME?</x:v>
      </x:c>
      <x:c r="S243" s="152" t="e">
        <x:f>IF(Q243="","",Q243/MAX(Q$5:Q243)-1)</x:f>
        <x:v>#NAME?</x:v>
      </x:c>
    </x:row>
    <x:row r="244">
      <x:c r="A244" s="149" t="str">
        <x:f>IF('实盘净值数据(iFinD公式)'!A244="","",'实盘净值数据(iFinD公式)'!A244)</x:f>
      </x:c>
      <x:c r="B244" s="146" t="e">
        <x:f>IF(OR('实盘净值数据(iFinD公式)'!$A244="",'实盘净值数据(iFinD公式)'!$B244=""),"",分期持仓明细!$AD$17*SUMPRODUCT(分期持仓明细!$B$17:$AA$17,'实盘净值数据(iFinD公式)'!$B244:$AA244/'实盘净值数据(iFinD公式)'!$B$20:$AA$20)*(1-实盘持仓初始配置!$Z$4)^(('实盘净值数据(iFinD公式)'!$A244-'实盘净值数据(iFinD公式)'!$A$6)/365))</x:f>
        <x:v>#NAME?</x:v>
      </x:c>
      <x:c r="C244" s="152" t="e">
        <x:f>IF(OR(B243="",B244=""),"",B244/B243-1)</x:f>
        <x:v>#NAME?</x:v>
      </x:c>
      <x:c r="D244" s="152" t="e">
        <x:f>IF(B244="","",B244/MAX(B$5:B244)-1)</x:f>
        <x:v>#NAME?</x:v>
      </x:c>
      <x:c r="E244" s="146" t="e">
        <x:f>IF(OR('实盘净值数据(iFinD公式)'!$A244="",'实盘净值数据(iFinD公式)'!$B244=""),"",分期持仓明细!$AD$18*SUMPRODUCT(分期持仓明细!$B$18:$AA$18,'实盘净值数据(iFinD公式)'!$B244:$AA244/'实盘净值数据(iFinD公式)'!$B$20:$AA$20)*(1-实盘持仓初始配置!$Z$5)^(('实盘净值数据(iFinD公式)'!$A244-'实盘净值数据(iFinD公式)'!$A$5)/365))</x:f>
        <x:v>#NAME?</x:v>
      </x:c>
      <x:c r="F244" s="152" t="e">
        <x:f>IF(OR(E243="",E244=""),"",E244/E243-1)</x:f>
        <x:v>#NAME?</x:v>
      </x:c>
      <x:c r="G244" s="152" t="e">
        <x:f>IF(E244="","",E244/MAX(E$5:E244)-1)</x:f>
        <x:v>#NAME?</x:v>
      </x:c>
      <x:c r="H244" s="146" t="e">
        <x:f>IF(OR('实盘净值数据(iFinD公式)'!$A244="",'实盘净值数据(iFinD公式)'!$B244=""),"",分期持仓明细!$AD$19*SUMPRODUCT(分期持仓明细!$B$19:$AA$19,'实盘净值数据(iFinD公式)'!$B244:$AA244/'实盘净值数据(iFinD公式)'!$B$20:$AA$20)*(1-实盘持仓初始配置!$Z$6)^(('实盘净值数据(iFinD公式)'!$A244-'实盘净值数据(iFinD公式)'!$A$7)/365))</x:f>
        <x:v>#NAME?</x:v>
      </x:c>
      <x:c r="I244" s="152" t="e">
        <x:f>IF(OR(H243="",H244=""),"",H244/H243-1)</x:f>
        <x:v>#NAME?</x:v>
      </x:c>
      <x:c r="J244" s="152" t="e">
        <x:f>IF(H244="","",H244/MAX(H$5:H244)-1)</x:f>
        <x:v>#NAME?</x:v>
      </x:c>
      <x:c r="K244" s="146" t="e">
        <x:f>IF(OR('实盘净值数据(iFinD公式)'!$A244="",'实盘净值数据(iFinD公式)'!$B244=""),"",分期持仓明细!$AD$23*SUMPRODUCT(分期持仓明细!$B$23:$AA$23,'实盘净值数据(iFinD公式)'!$B244:$AA244/'实盘净值数据(iFinD公式)'!$B$65:$AA$65)*(1-实盘持仓初始配置!$Z$7)^(('实盘净值数据(iFinD公式)'!$A244-'实盘净值数据(iFinD公式)'!$A$8)/365))</x:f>
        <x:v>#NAME?</x:v>
      </x:c>
      <x:c r="L244" s="152" t="e">
        <x:f>IF(OR(K243="",K244=""),"",K244/K243-1)</x:f>
        <x:v>#NAME?</x:v>
      </x:c>
      <x:c r="M244" s="152" t="e">
        <x:f>IF(K244="","",K244/MAX(K$5:K244)-1)</x:f>
        <x:v>#NAME?</x:v>
      </x:c>
      <x:c r="N244" s="146" t="e">
        <x:f>IF(OR('实盘净值数据(iFinD公式)'!$A244="",'实盘净值数据(iFinD公式)'!$B244=""),"",分期持仓明细!$AD$24*SUMPRODUCT(分期持仓明细!$B$24:$AA$24,'实盘净值数据(iFinD公式)'!$B244:$AA244/'实盘净值数据(iFinD公式)'!$B$65:$AA$65)*(1-实盘持仓初始配置!$Z$8)^(('实盘净值数据(iFinD公式)'!$A244-'实盘净值数据(iFinD公式)'!$A$5)/365))</x:f>
        <x:v>#NAME?</x:v>
      </x:c>
      <x:c r="O244" s="152" t="e">
        <x:f>IF(OR(N243="",N244=""),"",N244/N243-1)</x:f>
        <x:v>#NAME?</x:v>
      </x:c>
      <x:c r="P244" s="152" t="e">
        <x:f>IF(N244="","",N244/MAX(N$5:N244)-1)</x:f>
        <x:v>#NAME?</x:v>
      </x:c>
      <x:c r="Q244" s="146" t="e">
        <x:f>IF(OR('实盘净值数据(iFinD公式)'!$A244="",'实盘净值数据(iFinD公式)'!$B244=""),"",分期持仓明细!$AD$25*SUMPRODUCT(分期持仓明细!$B$25:$AA$25,'实盘净值数据(iFinD公式)'!$B244:$AA244/'实盘净值数据(iFinD公式)'!$B$65:$AA$65)*(1-实盘持仓初始配置!$Z$9)^(('实盘净值数据(iFinD公式)'!$A244-'实盘净值数据(iFinD公式)'!$A$8)/365))</x:f>
        <x:v>#NAME?</x:v>
      </x:c>
      <x:c r="R244" s="152" t="e">
        <x:f>IF(OR(Q243="",Q244=""),"",Q244/Q243-1)</x:f>
        <x:v>#NAME?</x:v>
      </x:c>
      <x:c r="S244" s="152" t="e">
        <x:f>IF(Q244="","",Q244/MAX(Q$5:Q244)-1)</x:f>
        <x:v>#NAME?</x:v>
      </x:c>
    </x:row>
    <x:row r="245">
      <x:c r="A245" s="149" t="str">
        <x:f>IF('实盘净值数据(iFinD公式)'!A245="","",'实盘净值数据(iFinD公式)'!A245)</x:f>
      </x:c>
      <x:c r="B245" s="146" t="e">
        <x:f>IF(OR('实盘净值数据(iFinD公式)'!$A245="",'实盘净值数据(iFinD公式)'!$B245=""),"",分期持仓明细!$AD$17*SUMPRODUCT(分期持仓明细!$B$17:$AA$17,'实盘净值数据(iFinD公式)'!$B245:$AA245/'实盘净值数据(iFinD公式)'!$B$20:$AA$20)*(1-实盘持仓初始配置!$Z$4)^(('实盘净值数据(iFinD公式)'!$A245-'实盘净值数据(iFinD公式)'!$A$6)/365))</x:f>
        <x:v>#NAME?</x:v>
      </x:c>
      <x:c r="C245" s="152" t="e">
        <x:f>IF(OR(B244="",B245=""),"",B245/B244-1)</x:f>
        <x:v>#NAME?</x:v>
      </x:c>
      <x:c r="D245" s="152" t="e">
        <x:f>IF(B245="","",B245/MAX(B$5:B245)-1)</x:f>
        <x:v>#NAME?</x:v>
      </x:c>
      <x:c r="E245" s="146" t="e">
        <x:f>IF(OR('实盘净值数据(iFinD公式)'!$A245="",'实盘净值数据(iFinD公式)'!$B245=""),"",分期持仓明细!$AD$18*SUMPRODUCT(分期持仓明细!$B$18:$AA$18,'实盘净值数据(iFinD公式)'!$B245:$AA245/'实盘净值数据(iFinD公式)'!$B$20:$AA$20)*(1-实盘持仓初始配置!$Z$5)^(('实盘净值数据(iFinD公式)'!$A245-'实盘净值数据(iFinD公式)'!$A$5)/365))</x:f>
        <x:v>#NAME?</x:v>
      </x:c>
      <x:c r="F245" s="152" t="e">
        <x:f>IF(OR(E244="",E245=""),"",E245/E244-1)</x:f>
        <x:v>#NAME?</x:v>
      </x:c>
      <x:c r="G245" s="152" t="e">
        <x:f>IF(E245="","",E245/MAX(E$5:E245)-1)</x:f>
        <x:v>#NAME?</x:v>
      </x:c>
      <x:c r="H245" s="146" t="e">
        <x:f>IF(OR('实盘净值数据(iFinD公式)'!$A245="",'实盘净值数据(iFinD公式)'!$B245=""),"",分期持仓明细!$AD$19*SUMPRODUCT(分期持仓明细!$B$19:$AA$19,'实盘净值数据(iFinD公式)'!$B245:$AA245/'实盘净值数据(iFinD公式)'!$B$20:$AA$20)*(1-实盘持仓初始配置!$Z$6)^(('实盘净值数据(iFinD公式)'!$A245-'实盘净值数据(iFinD公式)'!$A$7)/365))</x:f>
        <x:v>#NAME?</x:v>
      </x:c>
      <x:c r="I245" s="152" t="e">
        <x:f>IF(OR(H244="",H245=""),"",H245/H244-1)</x:f>
        <x:v>#NAME?</x:v>
      </x:c>
      <x:c r="J245" s="152" t="e">
        <x:f>IF(H245="","",H245/MAX(H$5:H245)-1)</x:f>
        <x:v>#NAME?</x:v>
      </x:c>
      <x:c r="K245" s="146" t="e">
        <x:f>IF(OR('实盘净值数据(iFinD公式)'!$A245="",'实盘净值数据(iFinD公式)'!$B245=""),"",分期持仓明细!$AD$23*SUMPRODUCT(分期持仓明细!$B$23:$AA$23,'实盘净值数据(iFinD公式)'!$B245:$AA245/'实盘净值数据(iFinD公式)'!$B$65:$AA$65)*(1-实盘持仓初始配置!$Z$7)^(('实盘净值数据(iFinD公式)'!$A245-'实盘净值数据(iFinD公式)'!$A$8)/365))</x:f>
        <x:v>#NAME?</x:v>
      </x:c>
      <x:c r="L245" s="152" t="e">
        <x:f>IF(OR(K244="",K245=""),"",K245/K244-1)</x:f>
        <x:v>#NAME?</x:v>
      </x:c>
      <x:c r="M245" s="152" t="e">
        <x:f>IF(K245="","",K245/MAX(K$5:K245)-1)</x:f>
        <x:v>#NAME?</x:v>
      </x:c>
      <x:c r="N245" s="146" t="e">
        <x:f>IF(OR('实盘净值数据(iFinD公式)'!$A245="",'实盘净值数据(iFinD公式)'!$B245=""),"",分期持仓明细!$AD$24*SUMPRODUCT(分期持仓明细!$B$24:$AA$24,'实盘净值数据(iFinD公式)'!$B245:$AA245/'实盘净值数据(iFinD公式)'!$B$65:$AA$65)*(1-实盘持仓初始配置!$Z$8)^(('实盘净值数据(iFinD公式)'!$A245-'实盘净值数据(iFinD公式)'!$A$5)/365))</x:f>
        <x:v>#NAME?</x:v>
      </x:c>
      <x:c r="O245" s="152" t="e">
        <x:f>IF(OR(N244="",N245=""),"",N245/N244-1)</x:f>
        <x:v>#NAME?</x:v>
      </x:c>
      <x:c r="P245" s="152" t="e">
        <x:f>IF(N245="","",N245/MAX(N$5:N245)-1)</x:f>
        <x:v>#NAME?</x:v>
      </x:c>
      <x:c r="Q245" s="146" t="e">
        <x:f>IF(OR('实盘净值数据(iFinD公式)'!$A245="",'实盘净值数据(iFinD公式)'!$B245=""),"",分期持仓明细!$AD$25*SUMPRODUCT(分期持仓明细!$B$25:$AA$25,'实盘净值数据(iFinD公式)'!$B245:$AA245/'实盘净值数据(iFinD公式)'!$B$65:$AA$65)*(1-实盘持仓初始配置!$Z$9)^(('实盘净值数据(iFinD公式)'!$A245-'实盘净值数据(iFinD公式)'!$A$8)/365))</x:f>
        <x:v>#NAME?</x:v>
      </x:c>
      <x:c r="R245" s="152" t="e">
        <x:f>IF(OR(Q244="",Q245=""),"",Q245/Q244-1)</x:f>
        <x:v>#NAME?</x:v>
      </x:c>
      <x:c r="S245" s="152" t="e">
        <x:f>IF(Q245="","",Q245/MAX(Q$5:Q245)-1)</x:f>
        <x:v>#NAME?</x:v>
      </x:c>
    </x:row>
    <x:row r="246">
      <x:c r="A246" s="149" t="str">
        <x:f>IF('实盘净值数据(iFinD公式)'!A246="","",'实盘净值数据(iFinD公式)'!A246)</x:f>
      </x:c>
      <x:c r="B246" s="146" t="e">
        <x:f>IF(OR('实盘净值数据(iFinD公式)'!$A246="",'实盘净值数据(iFinD公式)'!$B246=""),"",分期持仓明细!$AD$17*SUMPRODUCT(分期持仓明细!$B$17:$AA$17,'实盘净值数据(iFinD公式)'!$B246:$AA246/'实盘净值数据(iFinD公式)'!$B$20:$AA$20)*(1-实盘持仓初始配置!$Z$4)^(('实盘净值数据(iFinD公式)'!$A246-'实盘净值数据(iFinD公式)'!$A$6)/365))</x:f>
        <x:v>#NAME?</x:v>
      </x:c>
      <x:c r="C246" s="152" t="e">
        <x:f>IF(OR(B245="",B246=""),"",B246/B245-1)</x:f>
        <x:v>#NAME?</x:v>
      </x:c>
      <x:c r="D246" s="152" t="e">
        <x:f>IF(B246="","",B246/MAX(B$5:B246)-1)</x:f>
        <x:v>#NAME?</x:v>
      </x:c>
      <x:c r="E246" s="146" t="e">
        <x:f>IF(OR('实盘净值数据(iFinD公式)'!$A246="",'实盘净值数据(iFinD公式)'!$B246=""),"",分期持仓明细!$AD$18*SUMPRODUCT(分期持仓明细!$B$18:$AA$18,'实盘净值数据(iFinD公式)'!$B246:$AA246/'实盘净值数据(iFinD公式)'!$B$20:$AA$20)*(1-实盘持仓初始配置!$Z$5)^(('实盘净值数据(iFinD公式)'!$A246-'实盘净值数据(iFinD公式)'!$A$5)/365))</x:f>
        <x:v>#NAME?</x:v>
      </x:c>
      <x:c r="F246" s="152" t="e">
        <x:f>IF(OR(E245="",E246=""),"",E246/E245-1)</x:f>
        <x:v>#NAME?</x:v>
      </x:c>
      <x:c r="G246" s="152" t="e">
        <x:f>IF(E246="","",E246/MAX(E$5:E246)-1)</x:f>
        <x:v>#NAME?</x:v>
      </x:c>
      <x:c r="H246" s="146" t="e">
        <x:f>IF(OR('实盘净值数据(iFinD公式)'!$A246="",'实盘净值数据(iFinD公式)'!$B246=""),"",分期持仓明细!$AD$19*SUMPRODUCT(分期持仓明细!$B$19:$AA$19,'实盘净值数据(iFinD公式)'!$B246:$AA246/'实盘净值数据(iFinD公式)'!$B$20:$AA$20)*(1-实盘持仓初始配置!$Z$6)^(('实盘净值数据(iFinD公式)'!$A246-'实盘净值数据(iFinD公式)'!$A$7)/365))</x:f>
        <x:v>#NAME?</x:v>
      </x:c>
      <x:c r="I246" s="152" t="e">
        <x:f>IF(OR(H245="",H246=""),"",H246/H245-1)</x:f>
        <x:v>#NAME?</x:v>
      </x:c>
      <x:c r="J246" s="152" t="e">
        <x:f>IF(H246="","",H246/MAX(H$5:H246)-1)</x:f>
        <x:v>#NAME?</x:v>
      </x:c>
      <x:c r="K246" s="146" t="e">
        <x:f>IF(OR('实盘净值数据(iFinD公式)'!$A246="",'实盘净值数据(iFinD公式)'!$B246=""),"",分期持仓明细!$AD$23*SUMPRODUCT(分期持仓明细!$B$23:$AA$23,'实盘净值数据(iFinD公式)'!$B246:$AA246/'实盘净值数据(iFinD公式)'!$B$65:$AA$65)*(1-实盘持仓初始配置!$Z$7)^(('实盘净值数据(iFinD公式)'!$A246-'实盘净值数据(iFinD公式)'!$A$8)/365))</x:f>
        <x:v>#NAME?</x:v>
      </x:c>
      <x:c r="L246" s="152" t="e">
        <x:f>IF(OR(K245="",K246=""),"",K246/K245-1)</x:f>
        <x:v>#NAME?</x:v>
      </x:c>
      <x:c r="M246" s="152" t="e">
        <x:f>IF(K246="","",K246/MAX(K$5:K246)-1)</x:f>
        <x:v>#NAME?</x:v>
      </x:c>
      <x:c r="N246" s="146" t="e">
        <x:f>IF(OR('实盘净值数据(iFinD公式)'!$A246="",'实盘净值数据(iFinD公式)'!$B246=""),"",分期持仓明细!$AD$24*SUMPRODUCT(分期持仓明细!$B$24:$AA$24,'实盘净值数据(iFinD公式)'!$B246:$AA246/'实盘净值数据(iFinD公式)'!$B$65:$AA$65)*(1-实盘持仓初始配置!$Z$8)^(('实盘净值数据(iFinD公式)'!$A246-'实盘净值数据(iFinD公式)'!$A$5)/365))</x:f>
        <x:v>#NAME?</x:v>
      </x:c>
      <x:c r="O246" s="152" t="e">
        <x:f>IF(OR(N245="",N246=""),"",N246/N245-1)</x:f>
        <x:v>#NAME?</x:v>
      </x:c>
      <x:c r="P246" s="152" t="e">
        <x:f>IF(N246="","",N246/MAX(N$5:N246)-1)</x:f>
        <x:v>#NAME?</x:v>
      </x:c>
      <x:c r="Q246" s="146" t="e">
        <x:f>IF(OR('实盘净值数据(iFinD公式)'!$A246="",'实盘净值数据(iFinD公式)'!$B246=""),"",分期持仓明细!$AD$25*SUMPRODUCT(分期持仓明细!$B$25:$AA$25,'实盘净值数据(iFinD公式)'!$B246:$AA246/'实盘净值数据(iFinD公式)'!$B$65:$AA$65)*(1-实盘持仓初始配置!$Z$9)^(('实盘净值数据(iFinD公式)'!$A246-'实盘净值数据(iFinD公式)'!$A$8)/365))</x:f>
        <x:v>#NAME?</x:v>
      </x:c>
      <x:c r="R246" s="152" t="e">
        <x:f>IF(OR(Q245="",Q246=""),"",Q246/Q245-1)</x:f>
        <x:v>#NAME?</x:v>
      </x:c>
      <x:c r="S246" s="152" t="e">
        <x:f>IF(Q246="","",Q246/MAX(Q$5:Q246)-1)</x:f>
        <x:v>#NAME?</x:v>
      </x:c>
    </x:row>
    <x:row r="247">
      <x:c r="A247" s="149" t="str">
        <x:f>IF('实盘净值数据(iFinD公式)'!A247="","",'实盘净值数据(iFinD公式)'!A247)</x:f>
      </x:c>
      <x:c r="B247" s="146" t="e">
        <x:f>IF(OR('实盘净值数据(iFinD公式)'!$A247="",'实盘净值数据(iFinD公式)'!$B247=""),"",分期持仓明细!$AD$17*SUMPRODUCT(分期持仓明细!$B$17:$AA$17,'实盘净值数据(iFinD公式)'!$B247:$AA247/'实盘净值数据(iFinD公式)'!$B$20:$AA$20)*(1-实盘持仓初始配置!$Z$4)^(('实盘净值数据(iFinD公式)'!$A247-'实盘净值数据(iFinD公式)'!$A$6)/365))</x:f>
        <x:v>#NAME?</x:v>
      </x:c>
      <x:c r="C247" s="152" t="e">
        <x:f>IF(OR(B246="",B247=""),"",B247/B246-1)</x:f>
        <x:v>#NAME?</x:v>
      </x:c>
      <x:c r="D247" s="152" t="e">
        <x:f>IF(B247="","",B247/MAX(B$5:B247)-1)</x:f>
        <x:v>#NAME?</x:v>
      </x:c>
      <x:c r="E247" s="146" t="e">
        <x:f>IF(OR('实盘净值数据(iFinD公式)'!$A247="",'实盘净值数据(iFinD公式)'!$B247=""),"",分期持仓明细!$AD$18*SUMPRODUCT(分期持仓明细!$B$18:$AA$18,'实盘净值数据(iFinD公式)'!$B247:$AA247/'实盘净值数据(iFinD公式)'!$B$20:$AA$20)*(1-实盘持仓初始配置!$Z$5)^(('实盘净值数据(iFinD公式)'!$A247-'实盘净值数据(iFinD公式)'!$A$5)/365))</x:f>
        <x:v>#NAME?</x:v>
      </x:c>
      <x:c r="F247" s="152" t="e">
        <x:f>IF(OR(E246="",E247=""),"",E247/E246-1)</x:f>
        <x:v>#NAME?</x:v>
      </x:c>
      <x:c r="G247" s="152" t="e">
        <x:f>IF(E247="","",E247/MAX(E$5:E247)-1)</x:f>
        <x:v>#NAME?</x:v>
      </x:c>
      <x:c r="H247" s="146" t="e">
        <x:f>IF(OR('实盘净值数据(iFinD公式)'!$A247="",'实盘净值数据(iFinD公式)'!$B247=""),"",分期持仓明细!$AD$19*SUMPRODUCT(分期持仓明细!$B$19:$AA$19,'实盘净值数据(iFinD公式)'!$B247:$AA247/'实盘净值数据(iFinD公式)'!$B$20:$AA$20)*(1-实盘持仓初始配置!$Z$6)^(('实盘净值数据(iFinD公式)'!$A247-'实盘净值数据(iFinD公式)'!$A$7)/365))</x:f>
        <x:v>#NAME?</x:v>
      </x:c>
      <x:c r="I247" s="152" t="e">
        <x:f>IF(OR(H246="",H247=""),"",H247/H246-1)</x:f>
        <x:v>#NAME?</x:v>
      </x:c>
      <x:c r="J247" s="152" t="e">
        <x:f>IF(H247="","",H247/MAX(H$5:H247)-1)</x:f>
        <x:v>#NAME?</x:v>
      </x:c>
      <x:c r="K247" s="146" t="e">
        <x:f>IF(OR('实盘净值数据(iFinD公式)'!$A247="",'实盘净值数据(iFinD公式)'!$B247=""),"",分期持仓明细!$AD$23*SUMPRODUCT(分期持仓明细!$B$23:$AA$23,'实盘净值数据(iFinD公式)'!$B247:$AA247/'实盘净值数据(iFinD公式)'!$B$65:$AA$65)*(1-实盘持仓初始配置!$Z$7)^(('实盘净值数据(iFinD公式)'!$A247-'实盘净值数据(iFinD公式)'!$A$8)/365))</x:f>
        <x:v>#NAME?</x:v>
      </x:c>
      <x:c r="L247" s="152" t="e">
        <x:f>IF(OR(K246="",K247=""),"",K247/K246-1)</x:f>
        <x:v>#NAME?</x:v>
      </x:c>
      <x:c r="M247" s="152" t="e">
        <x:f>IF(K247="","",K247/MAX(K$5:K247)-1)</x:f>
        <x:v>#NAME?</x:v>
      </x:c>
      <x:c r="N247" s="146" t="e">
        <x:f>IF(OR('实盘净值数据(iFinD公式)'!$A247="",'实盘净值数据(iFinD公式)'!$B247=""),"",分期持仓明细!$AD$24*SUMPRODUCT(分期持仓明细!$B$24:$AA$24,'实盘净值数据(iFinD公式)'!$B247:$AA247/'实盘净值数据(iFinD公式)'!$B$65:$AA$65)*(1-实盘持仓初始配置!$Z$8)^(('实盘净值数据(iFinD公式)'!$A247-'实盘净值数据(iFinD公式)'!$A$5)/365))</x:f>
        <x:v>#NAME?</x:v>
      </x:c>
      <x:c r="O247" s="152" t="e">
        <x:f>IF(OR(N246="",N247=""),"",N247/N246-1)</x:f>
        <x:v>#NAME?</x:v>
      </x:c>
      <x:c r="P247" s="152" t="e">
        <x:f>IF(N247="","",N247/MAX(N$5:N247)-1)</x:f>
        <x:v>#NAME?</x:v>
      </x:c>
      <x:c r="Q247" s="146" t="e">
        <x:f>IF(OR('实盘净值数据(iFinD公式)'!$A247="",'实盘净值数据(iFinD公式)'!$B247=""),"",分期持仓明细!$AD$25*SUMPRODUCT(分期持仓明细!$B$25:$AA$25,'实盘净值数据(iFinD公式)'!$B247:$AA247/'实盘净值数据(iFinD公式)'!$B$65:$AA$65)*(1-实盘持仓初始配置!$Z$9)^(('实盘净值数据(iFinD公式)'!$A247-'实盘净值数据(iFinD公式)'!$A$8)/365))</x:f>
        <x:v>#NAME?</x:v>
      </x:c>
      <x:c r="R247" s="152" t="e">
        <x:f>IF(OR(Q246="",Q247=""),"",Q247/Q246-1)</x:f>
        <x:v>#NAME?</x:v>
      </x:c>
      <x:c r="S247" s="152" t="e">
        <x:f>IF(Q247="","",Q247/MAX(Q$5:Q247)-1)</x:f>
        <x:v>#NAME?</x:v>
      </x:c>
    </x:row>
    <x:row r="248">
      <x:c r="A248" s="149" t="str">
        <x:f>IF('实盘净值数据(iFinD公式)'!A248="","",'实盘净值数据(iFinD公式)'!A248)</x:f>
      </x:c>
      <x:c r="B248" s="146" t="e">
        <x:f>IF(OR('实盘净值数据(iFinD公式)'!$A248="",'实盘净值数据(iFinD公式)'!$B248=""),"",分期持仓明细!$AD$17*SUMPRODUCT(分期持仓明细!$B$17:$AA$17,'实盘净值数据(iFinD公式)'!$B248:$AA248/'实盘净值数据(iFinD公式)'!$B$20:$AA$20)*(1-实盘持仓初始配置!$Z$4)^(('实盘净值数据(iFinD公式)'!$A248-'实盘净值数据(iFinD公式)'!$A$6)/365))</x:f>
        <x:v>#NAME?</x:v>
      </x:c>
      <x:c r="C248" s="152" t="e">
        <x:f>IF(OR(B247="",B248=""),"",B248/B247-1)</x:f>
        <x:v>#NAME?</x:v>
      </x:c>
      <x:c r="D248" s="152" t="e">
        <x:f>IF(B248="","",B248/MAX(B$5:B248)-1)</x:f>
        <x:v>#NAME?</x:v>
      </x:c>
      <x:c r="E248" s="146" t="e">
        <x:f>IF(OR('实盘净值数据(iFinD公式)'!$A248="",'实盘净值数据(iFinD公式)'!$B248=""),"",分期持仓明细!$AD$18*SUMPRODUCT(分期持仓明细!$B$18:$AA$18,'实盘净值数据(iFinD公式)'!$B248:$AA248/'实盘净值数据(iFinD公式)'!$B$20:$AA$20)*(1-实盘持仓初始配置!$Z$5)^(('实盘净值数据(iFinD公式)'!$A248-'实盘净值数据(iFinD公式)'!$A$5)/365))</x:f>
        <x:v>#NAME?</x:v>
      </x:c>
      <x:c r="F248" s="152" t="e">
        <x:f>IF(OR(E247="",E248=""),"",E248/E247-1)</x:f>
        <x:v>#NAME?</x:v>
      </x:c>
      <x:c r="G248" s="152" t="e">
        <x:f>IF(E248="","",E248/MAX(E$5:E248)-1)</x:f>
        <x:v>#NAME?</x:v>
      </x:c>
      <x:c r="H248" s="146" t="e">
        <x:f>IF(OR('实盘净值数据(iFinD公式)'!$A248="",'实盘净值数据(iFinD公式)'!$B248=""),"",分期持仓明细!$AD$19*SUMPRODUCT(分期持仓明细!$B$19:$AA$19,'实盘净值数据(iFinD公式)'!$B248:$AA248/'实盘净值数据(iFinD公式)'!$B$20:$AA$20)*(1-实盘持仓初始配置!$Z$6)^(('实盘净值数据(iFinD公式)'!$A248-'实盘净值数据(iFinD公式)'!$A$7)/365))</x:f>
        <x:v>#NAME?</x:v>
      </x:c>
      <x:c r="I248" s="152" t="e">
        <x:f>IF(OR(H247="",H248=""),"",H248/H247-1)</x:f>
        <x:v>#NAME?</x:v>
      </x:c>
      <x:c r="J248" s="152" t="e">
        <x:f>IF(H248="","",H248/MAX(H$5:H248)-1)</x:f>
        <x:v>#NAME?</x:v>
      </x:c>
      <x:c r="K248" s="146" t="e">
        <x:f>IF(OR('实盘净值数据(iFinD公式)'!$A248="",'实盘净值数据(iFinD公式)'!$B248=""),"",分期持仓明细!$AD$23*SUMPRODUCT(分期持仓明细!$B$23:$AA$23,'实盘净值数据(iFinD公式)'!$B248:$AA248/'实盘净值数据(iFinD公式)'!$B$65:$AA$65)*(1-实盘持仓初始配置!$Z$7)^(('实盘净值数据(iFinD公式)'!$A248-'实盘净值数据(iFinD公式)'!$A$8)/365))</x:f>
        <x:v>#NAME?</x:v>
      </x:c>
      <x:c r="L248" s="152" t="e">
        <x:f>IF(OR(K247="",K248=""),"",K248/K247-1)</x:f>
        <x:v>#NAME?</x:v>
      </x:c>
      <x:c r="M248" s="152" t="e">
        <x:f>IF(K248="","",K248/MAX(K$5:K248)-1)</x:f>
        <x:v>#NAME?</x:v>
      </x:c>
      <x:c r="N248" s="146" t="e">
        <x:f>IF(OR('实盘净值数据(iFinD公式)'!$A248="",'实盘净值数据(iFinD公式)'!$B248=""),"",分期持仓明细!$AD$24*SUMPRODUCT(分期持仓明细!$B$24:$AA$24,'实盘净值数据(iFinD公式)'!$B248:$AA248/'实盘净值数据(iFinD公式)'!$B$65:$AA$65)*(1-实盘持仓初始配置!$Z$8)^(('实盘净值数据(iFinD公式)'!$A248-'实盘净值数据(iFinD公式)'!$A$5)/365))</x:f>
        <x:v>#NAME?</x:v>
      </x:c>
      <x:c r="O248" s="152" t="e">
        <x:f>IF(OR(N247="",N248=""),"",N248/N247-1)</x:f>
        <x:v>#NAME?</x:v>
      </x:c>
      <x:c r="P248" s="152" t="e">
        <x:f>IF(N248="","",N248/MAX(N$5:N248)-1)</x:f>
        <x:v>#NAME?</x:v>
      </x:c>
      <x:c r="Q248" s="146" t="e">
        <x:f>IF(OR('实盘净值数据(iFinD公式)'!$A248="",'实盘净值数据(iFinD公式)'!$B248=""),"",分期持仓明细!$AD$25*SUMPRODUCT(分期持仓明细!$B$25:$AA$25,'实盘净值数据(iFinD公式)'!$B248:$AA248/'实盘净值数据(iFinD公式)'!$B$65:$AA$65)*(1-实盘持仓初始配置!$Z$9)^(('实盘净值数据(iFinD公式)'!$A248-'实盘净值数据(iFinD公式)'!$A$8)/365))</x:f>
        <x:v>#NAME?</x:v>
      </x:c>
      <x:c r="R248" s="152" t="e">
        <x:f>IF(OR(Q247="",Q248=""),"",Q248/Q247-1)</x:f>
        <x:v>#NAME?</x:v>
      </x:c>
      <x:c r="S248" s="152" t="e">
        <x:f>IF(Q248="","",Q248/MAX(Q$5:Q248)-1)</x:f>
        <x:v>#NAME?</x:v>
      </x:c>
    </x:row>
    <x:row r="249">
      <x:c r="A249" s="149" t="str">
        <x:f>IF('实盘净值数据(iFinD公式)'!A249="","",'实盘净值数据(iFinD公式)'!A249)</x:f>
      </x:c>
      <x:c r="B249" s="146" t="e">
        <x:f>IF(OR('实盘净值数据(iFinD公式)'!$A249="",'实盘净值数据(iFinD公式)'!$B249=""),"",分期持仓明细!$AD$17*SUMPRODUCT(分期持仓明细!$B$17:$AA$17,'实盘净值数据(iFinD公式)'!$B249:$AA249/'实盘净值数据(iFinD公式)'!$B$20:$AA$20)*(1-实盘持仓初始配置!$Z$4)^(('实盘净值数据(iFinD公式)'!$A249-'实盘净值数据(iFinD公式)'!$A$6)/365))</x:f>
        <x:v>#NAME?</x:v>
      </x:c>
      <x:c r="C249" s="152" t="e">
        <x:f>IF(OR(B248="",B249=""),"",B249/B248-1)</x:f>
        <x:v>#NAME?</x:v>
      </x:c>
      <x:c r="D249" s="152" t="e">
        <x:f>IF(B249="","",B249/MAX(B$5:B249)-1)</x:f>
        <x:v>#NAME?</x:v>
      </x:c>
      <x:c r="E249" s="146" t="e">
        <x:f>IF(OR('实盘净值数据(iFinD公式)'!$A249="",'实盘净值数据(iFinD公式)'!$B249=""),"",分期持仓明细!$AD$18*SUMPRODUCT(分期持仓明细!$B$18:$AA$18,'实盘净值数据(iFinD公式)'!$B249:$AA249/'实盘净值数据(iFinD公式)'!$B$20:$AA$20)*(1-实盘持仓初始配置!$Z$5)^(('实盘净值数据(iFinD公式)'!$A249-'实盘净值数据(iFinD公式)'!$A$5)/365))</x:f>
        <x:v>#NAME?</x:v>
      </x:c>
      <x:c r="F249" s="152" t="e">
        <x:f>IF(OR(E248="",E249=""),"",E249/E248-1)</x:f>
        <x:v>#NAME?</x:v>
      </x:c>
      <x:c r="G249" s="152" t="e">
        <x:f>IF(E249="","",E249/MAX(E$5:E249)-1)</x:f>
        <x:v>#NAME?</x:v>
      </x:c>
      <x:c r="H249" s="146" t="e">
        <x:f>IF(OR('实盘净值数据(iFinD公式)'!$A249="",'实盘净值数据(iFinD公式)'!$B249=""),"",分期持仓明细!$AD$19*SUMPRODUCT(分期持仓明细!$B$19:$AA$19,'实盘净值数据(iFinD公式)'!$B249:$AA249/'实盘净值数据(iFinD公式)'!$B$20:$AA$20)*(1-实盘持仓初始配置!$Z$6)^(('实盘净值数据(iFinD公式)'!$A249-'实盘净值数据(iFinD公式)'!$A$7)/365))</x:f>
        <x:v>#NAME?</x:v>
      </x:c>
      <x:c r="I249" s="152" t="e">
        <x:f>IF(OR(H248="",H249=""),"",H249/H248-1)</x:f>
        <x:v>#NAME?</x:v>
      </x:c>
      <x:c r="J249" s="152" t="e">
        <x:f>IF(H249="","",H249/MAX(H$5:H249)-1)</x:f>
        <x:v>#NAME?</x:v>
      </x:c>
      <x:c r="K249" s="146" t="e">
        <x:f>IF(OR('实盘净值数据(iFinD公式)'!$A249="",'实盘净值数据(iFinD公式)'!$B249=""),"",分期持仓明细!$AD$23*SUMPRODUCT(分期持仓明细!$B$23:$AA$23,'实盘净值数据(iFinD公式)'!$B249:$AA249/'实盘净值数据(iFinD公式)'!$B$65:$AA$65)*(1-实盘持仓初始配置!$Z$7)^(('实盘净值数据(iFinD公式)'!$A249-'实盘净值数据(iFinD公式)'!$A$8)/365))</x:f>
        <x:v>#NAME?</x:v>
      </x:c>
      <x:c r="L249" s="152" t="e">
        <x:f>IF(OR(K248="",K249=""),"",K249/K248-1)</x:f>
        <x:v>#NAME?</x:v>
      </x:c>
      <x:c r="M249" s="152" t="e">
        <x:f>IF(K249="","",K249/MAX(K$5:K249)-1)</x:f>
        <x:v>#NAME?</x:v>
      </x:c>
      <x:c r="N249" s="146" t="e">
        <x:f>IF(OR('实盘净值数据(iFinD公式)'!$A249="",'实盘净值数据(iFinD公式)'!$B249=""),"",分期持仓明细!$AD$24*SUMPRODUCT(分期持仓明细!$B$24:$AA$24,'实盘净值数据(iFinD公式)'!$B249:$AA249/'实盘净值数据(iFinD公式)'!$B$65:$AA$65)*(1-实盘持仓初始配置!$Z$8)^(('实盘净值数据(iFinD公式)'!$A249-'实盘净值数据(iFinD公式)'!$A$5)/365))</x:f>
        <x:v>#NAME?</x:v>
      </x:c>
      <x:c r="O249" s="152" t="e">
        <x:f>IF(OR(N248="",N249=""),"",N249/N248-1)</x:f>
        <x:v>#NAME?</x:v>
      </x:c>
      <x:c r="P249" s="152" t="e">
        <x:f>IF(N249="","",N249/MAX(N$5:N249)-1)</x:f>
        <x:v>#NAME?</x:v>
      </x:c>
      <x:c r="Q249" s="146" t="e">
        <x:f>IF(OR('实盘净值数据(iFinD公式)'!$A249="",'实盘净值数据(iFinD公式)'!$B249=""),"",分期持仓明细!$AD$25*SUMPRODUCT(分期持仓明细!$B$25:$AA$25,'实盘净值数据(iFinD公式)'!$B249:$AA249/'实盘净值数据(iFinD公式)'!$B$65:$AA$65)*(1-实盘持仓初始配置!$Z$9)^(('实盘净值数据(iFinD公式)'!$A249-'实盘净值数据(iFinD公式)'!$A$8)/365))</x:f>
        <x:v>#NAME?</x:v>
      </x:c>
      <x:c r="R249" s="152" t="e">
        <x:f>IF(OR(Q248="",Q249=""),"",Q249/Q248-1)</x:f>
        <x:v>#NAME?</x:v>
      </x:c>
      <x:c r="S249" s="152" t="e">
        <x:f>IF(Q249="","",Q249/MAX(Q$5:Q249)-1)</x:f>
        <x:v>#NAME?</x:v>
      </x:c>
    </x:row>
    <x:row r="250">
      <x:c r="A250" s="149" t="str">
        <x:f>IF('实盘净值数据(iFinD公式)'!A250="","",'实盘净值数据(iFinD公式)'!A250)</x:f>
      </x:c>
      <x:c r="B250" s="146" t="e">
        <x:f>IF(OR('实盘净值数据(iFinD公式)'!$A250="",'实盘净值数据(iFinD公式)'!$B250=""),"",分期持仓明细!$AD$17*SUMPRODUCT(分期持仓明细!$B$17:$AA$17,'实盘净值数据(iFinD公式)'!$B250:$AA250/'实盘净值数据(iFinD公式)'!$B$20:$AA$20)*(1-实盘持仓初始配置!$Z$4)^(('实盘净值数据(iFinD公式)'!$A250-'实盘净值数据(iFinD公式)'!$A$6)/365))</x:f>
        <x:v>#NAME?</x:v>
      </x:c>
      <x:c r="C250" s="152" t="e">
        <x:f>IF(OR(B249="",B250=""),"",B250/B249-1)</x:f>
        <x:v>#NAME?</x:v>
      </x:c>
      <x:c r="D250" s="152" t="e">
        <x:f>IF(B250="","",B250/MAX(B$5:B250)-1)</x:f>
        <x:v>#NAME?</x:v>
      </x:c>
      <x:c r="E250" s="146" t="e">
        <x:f>IF(OR('实盘净值数据(iFinD公式)'!$A250="",'实盘净值数据(iFinD公式)'!$B250=""),"",分期持仓明细!$AD$18*SUMPRODUCT(分期持仓明细!$B$18:$AA$18,'实盘净值数据(iFinD公式)'!$B250:$AA250/'实盘净值数据(iFinD公式)'!$B$20:$AA$20)*(1-实盘持仓初始配置!$Z$5)^(('实盘净值数据(iFinD公式)'!$A250-'实盘净值数据(iFinD公式)'!$A$5)/365))</x:f>
        <x:v>#NAME?</x:v>
      </x:c>
      <x:c r="F250" s="152" t="e">
        <x:f>IF(OR(E249="",E250=""),"",E250/E249-1)</x:f>
        <x:v>#NAME?</x:v>
      </x:c>
      <x:c r="G250" s="152" t="e">
        <x:f>IF(E250="","",E250/MAX(E$5:E250)-1)</x:f>
        <x:v>#NAME?</x:v>
      </x:c>
      <x:c r="H250" s="146" t="e">
        <x:f>IF(OR('实盘净值数据(iFinD公式)'!$A250="",'实盘净值数据(iFinD公式)'!$B250=""),"",分期持仓明细!$AD$19*SUMPRODUCT(分期持仓明细!$B$19:$AA$19,'实盘净值数据(iFinD公式)'!$B250:$AA250/'实盘净值数据(iFinD公式)'!$B$20:$AA$20)*(1-实盘持仓初始配置!$Z$6)^(('实盘净值数据(iFinD公式)'!$A250-'实盘净值数据(iFinD公式)'!$A$7)/365))</x:f>
        <x:v>#NAME?</x:v>
      </x:c>
      <x:c r="I250" s="152" t="e">
        <x:f>IF(OR(H249="",H250=""),"",H250/H249-1)</x:f>
        <x:v>#NAME?</x:v>
      </x:c>
      <x:c r="J250" s="152" t="e">
        <x:f>IF(H250="","",H250/MAX(H$5:H250)-1)</x:f>
        <x:v>#NAME?</x:v>
      </x:c>
      <x:c r="K250" s="146" t="e">
        <x:f>IF(OR('实盘净值数据(iFinD公式)'!$A250="",'实盘净值数据(iFinD公式)'!$B250=""),"",分期持仓明细!$AD$23*SUMPRODUCT(分期持仓明细!$B$23:$AA$23,'实盘净值数据(iFinD公式)'!$B250:$AA250/'实盘净值数据(iFinD公式)'!$B$65:$AA$65)*(1-实盘持仓初始配置!$Z$7)^(('实盘净值数据(iFinD公式)'!$A250-'实盘净值数据(iFinD公式)'!$A$8)/365))</x:f>
        <x:v>#NAME?</x:v>
      </x:c>
      <x:c r="L250" s="152" t="e">
        <x:f>IF(OR(K249="",K250=""),"",K250/K249-1)</x:f>
        <x:v>#NAME?</x:v>
      </x:c>
      <x:c r="M250" s="152" t="e">
        <x:f>IF(K250="","",K250/MAX(K$5:K250)-1)</x:f>
        <x:v>#NAME?</x:v>
      </x:c>
      <x:c r="N250" s="146" t="e">
        <x:f>IF(OR('实盘净值数据(iFinD公式)'!$A250="",'实盘净值数据(iFinD公式)'!$B250=""),"",分期持仓明细!$AD$24*SUMPRODUCT(分期持仓明细!$B$24:$AA$24,'实盘净值数据(iFinD公式)'!$B250:$AA250/'实盘净值数据(iFinD公式)'!$B$65:$AA$65)*(1-实盘持仓初始配置!$Z$8)^(('实盘净值数据(iFinD公式)'!$A250-'实盘净值数据(iFinD公式)'!$A$5)/365))</x:f>
        <x:v>#NAME?</x:v>
      </x:c>
      <x:c r="O250" s="152" t="e">
        <x:f>IF(OR(N249="",N250=""),"",N250/N249-1)</x:f>
        <x:v>#NAME?</x:v>
      </x:c>
      <x:c r="P250" s="152" t="e">
        <x:f>IF(N250="","",N250/MAX(N$5:N250)-1)</x:f>
        <x:v>#NAME?</x:v>
      </x:c>
      <x:c r="Q250" s="146" t="e">
        <x:f>IF(OR('实盘净值数据(iFinD公式)'!$A250="",'实盘净值数据(iFinD公式)'!$B250=""),"",分期持仓明细!$AD$25*SUMPRODUCT(分期持仓明细!$B$25:$AA$25,'实盘净值数据(iFinD公式)'!$B250:$AA250/'实盘净值数据(iFinD公式)'!$B$65:$AA$65)*(1-实盘持仓初始配置!$Z$9)^(('实盘净值数据(iFinD公式)'!$A250-'实盘净值数据(iFinD公式)'!$A$8)/365))</x:f>
        <x:v>#NAME?</x:v>
      </x:c>
      <x:c r="R250" s="152" t="e">
        <x:f>IF(OR(Q249="",Q250=""),"",Q250/Q249-1)</x:f>
        <x:v>#NAME?</x:v>
      </x:c>
      <x:c r="S250" s="152" t="e">
        <x:f>IF(Q250="","",Q250/MAX(Q$5:Q250)-1)</x:f>
        <x:v>#NAME?</x:v>
      </x:c>
    </x:row>
    <x:row r="251">
      <x:c r="A251" s="149" t="str">
        <x:f>IF('实盘净值数据(iFinD公式)'!A251="","",'实盘净值数据(iFinD公式)'!A251)</x:f>
      </x:c>
      <x:c r="B251" s="146" t="e">
        <x:f>IF(OR('实盘净值数据(iFinD公式)'!$A251="",'实盘净值数据(iFinD公式)'!$B251=""),"",分期持仓明细!$AD$17*SUMPRODUCT(分期持仓明细!$B$17:$AA$17,'实盘净值数据(iFinD公式)'!$B251:$AA251/'实盘净值数据(iFinD公式)'!$B$20:$AA$20)*(1-实盘持仓初始配置!$Z$4)^(('实盘净值数据(iFinD公式)'!$A251-'实盘净值数据(iFinD公式)'!$A$6)/365))</x:f>
        <x:v>#NAME?</x:v>
      </x:c>
      <x:c r="C251" s="152" t="e">
        <x:f>IF(OR(B250="",B251=""),"",B251/B250-1)</x:f>
        <x:v>#NAME?</x:v>
      </x:c>
      <x:c r="D251" s="152" t="e">
        <x:f>IF(B251="","",B251/MAX(B$5:B251)-1)</x:f>
        <x:v>#NAME?</x:v>
      </x:c>
      <x:c r="E251" s="146" t="e">
        <x:f>IF(OR('实盘净值数据(iFinD公式)'!$A251="",'实盘净值数据(iFinD公式)'!$B251=""),"",分期持仓明细!$AD$18*SUMPRODUCT(分期持仓明细!$B$18:$AA$18,'实盘净值数据(iFinD公式)'!$B251:$AA251/'实盘净值数据(iFinD公式)'!$B$20:$AA$20)*(1-实盘持仓初始配置!$Z$5)^(('实盘净值数据(iFinD公式)'!$A251-'实盘净值数据(iFinD公式)'!$A$5)/365))</x:f>
        <x:v>#NAME?</x:v>
      </x:c>
      <x:c r="F251" s="152" t="e">
        <x:f>IF(OR(E250="",E251=""),"",E251/E250-1)</x:f>
        <x:v>#NAME?</x:v>
      </x:c>
      <x:c r="G251" s="152" t="e">
        <x:f>IF(E251="","",E251/MAX(E$5:E251)-1)</x:f>
        <x:v>#NAME?</x:v>
      </x:c>
      <x:c r="H251" s="146" t="e">
        <x:f>IF(OR('实盘净值数据(iFinD公式)'!$A251="",'实盘净值数据(iFinD公式)'!$B251=""),"",分期持仓明细!$AD$19*SUMPRODUCT(分期持仓明细!$B$19:$AA$19,'实盘净值数据(iFinD公式)'!$B251:$AA251/'实盘净值数据(iFinD公式)'!$B$20:$AA$20)*(1-实盘持仓初始配置!$Z$6)^(('实盘净值数据(iFinD公式)'!$A251-'实盘净值数据(iFinD公式)'!$A$7)/365))</x:f>
        <x:v>#NAME?</x:v>
      </x:c>
      <x:c r="I251" s="152" t="e">
        <x:f>IF(OR(H250="",H251=""),"",H251/H250-1)</x:f>
        <x:v>#NAME?</x:v>
      </x:c>
      <x:c r="J251" s="152" t="e">
        <x:f>IF(H251="","",H251/MAX(H$5:H251)-1)</x:f>
        <x:v>#NAME?</x:v>
      </x:c>
      <x:c r="K251" s="146" t="e">
        <x:f>IF(OR('实盘净值数据(iFinD公式)'!$A251="",'实盘净值数据(iFinD公式)'!$B251=""),"",分期持仓明细!$AD$23*SUMPRODUCT(分期持仓明细!$B$23:$AA$23,'实盘净值数据(iFinD公式)'!$B251:$AA251/'实盘净值数据(iFinD公式)'!$B$65:$AA$65)*(1-实盘持仓初始配置!$Z$7)^(('实盘净值数据(iFinD公式)'!$A251-'实盘净值数据(iFinD公式)'!$A$8)/365))</x:f>
        <x:v>#NAME?</x:v>
      </x:c>
      <x:c r="L251" s="152" t="e">
        <x:f>IF(OR(K250="",K251=""),"",K251/K250-1)</x:f>
        <x:v>#NAME?</x:v>
      </x:c>
      <x:c r="M251" s="152" t="e">
        <x:f>IF(K251="","",K251/MAX(K$5:K251)-1)</x:f>
        <x:v>#NAME?</x:v>
      </x:c>
      <x:c r="N251" s="146" t="e">
        <x:f>IF(OR('实盘净值数据(iFinD公式)'!$A251="",'实盘净值数据(iFinD公式)'!$B251=""),"",分期持仓明细!$AD$24*SUMPRODUCT(分期持仓明细!$B$24:$AA$24,'实盘净值数据(iFinD公式)'!$B251:$AA251/'实盘净值数据(iFinD公式)'!$B$65:$AA$65)*(1-实盘持仓初始配置!$Z$8)^(('实盘净值数据(iFinD公式)'!$A251-'实盘净值数据(iFinD公式)'!$A$5)/365))</x:f>
        <x:v>#NAME?</x:v>
      </x:c>
      <x:c r="O251" s="152" t="e">
        <x:f>IF(OR(N250="",N251=""),"",N251/N250-1)</x:f>
        <x:v>#NAME?</x:v>
      </x:c>
      <x:c r="P251" s="152" t="e">
        <x:f>IF(N251="","",N251/MAX(N$5:N251)-1)</x:f>
        <x:v>#NAME?</x:v>
      </x:c>
      <x:c r="Q251" s="146" t="e">
        <x:f>IF(OR('实盘净值数据(iFinD公式)'!$A251="",'实盘净值数据(iFinD公式)'!$B251=""),"",分期持仓明细!$AD$25*SUMPRODUCT(分期持仓明细!$B$25:$AA$25,'实盘净值数据(iFinD公式)'!$B251:$AA251/'实盘净值数据(iFinD公式)'!$B$65:$AA$65)*(1-实盘持仓初始配置!$Z$9)^(('实盘净值数据(iFinD公式)'!$A251-'实盘净值数据(iFinD公式)'!$A$8)/365))</x:f>
        <x:v>#NAME?</x:v>
      </x:c>
      <x:c r="R251" s="152" t="e">
        <x:f>IF(OR(Q250="",Q251=""),"",Q251/Q250-1)</x:f>
        <x:v>#NAME?</x:v>
      </x:c>
      <x:c r="S251" s="152" t="e">
        <x:f>IF(Q251="","",Q251/MAX(Q$5:Q251)-1)</x:f>
        <x:v>#NAME?</x:v>
      </x:c>
    </x:row>
    <x:row r="252">
      <x:c r="A252" s="149" t="str">
        <x:f>IF('实盘净值数据(iFinD公式)'!A252="","",'实盘净值数据(iFinD公式)'!A252)</x:f>
      </x:c>
      <x:c r="B252" s="146" t="e">
        <x:f>IF(OR('实盘净值数据(iFinD公式)'!$A252="",'实盘净值数据(iFinD公式)'!$B252=""),"",分期持仓明细!$AD$17*SUMPRODUCT(分期持仓明细!$B$17:$AA$17,'实盘净值数据(iFinD公式)'!$B252:$AA252/'实盘净值数据(iFinD公式)'!$B$20:$AA$20)*(1-实盘持仓初始配置!$Z$4)^(('实盘净值数据(iFinD公式)'!$A252-'实盘净值数据(iFinD公式)'!$A$6)/365))</x:f>
        <x:v>#NAME?</x:v>
      </x:c>
      <x:c r="C252" s="152" t="e">
        <x:f>IF(OR(B251="",B252=""),"",B252/B251-1)</x:f>
        <x:v>#NAME?</x:v>
      </x:c>
      <x:c r="D252" s="152" t="e">
        <x:f>IF(B252="","",B252/MAX(B$5:B252)-1)</x:f>
        <x:v>#NAME?</x:v>
      </x:c>
      <x:c r="E252" s="146" t="e">
        <x:f>IF(OR('实盘净值数据(iFinD公式)'!$A252="",'实盘净值数据(iFinD公式)'!$B252=""),"",分期持仓明细!$AD$18*SUMPRODUCT(分期持仓明细!$B$18:$AA$18,'实盘净值数据(iFinD公式)'!$B252:$AA252/'实盘净值数据(iFinD公式)'!$B$20:$AA$20)*(1-实盘持仓初始配置!$Z$5)^(('实盘净值数据(iFinD公式)'!$A252-'实盘净值数据(iFinD公式)'!$A$5)/365))</x:f>
        <x:v>#NAME?</x:v>
      </x:c>
      <x:c r="F252" s="152" t="e">
        <x:f>IF(OR(E251="",E252=""),"",E252/E251-1)</x:f>
        <x:v>#NAME?</x:v>
      </x:c>
      <x:c r="G252" s="152" t="e">
        <x:f>IF(E252="","",E252/MAX(E$5:E252)-1)</x:f>
        <x:v>#NAME?</x:v>
      </x:c>
      <x:c r="H252" s="146" t="e">
        <x:f>IF(OR('实盘净值数据(iFinD公式)'!$A252="",'实盘净值数据(iFinD公式)'!$B252=""),"",分期持仓明细!$AD$19*SUMPRODUCT(分期持仓明细!$B$19:$AA$19,'实盘净值数据(iFinD公式)'!$B252:$AA252/'实盘净值数据(iFinD公式)'!$B$20:$AA$20)*(1-实盘持仓初始配置!$Z$6)^(('实盘净值数据(iFinD公式)'!$A252-'实盘净值数据(iFinD公式)'!$A$7)/365))</x:f>
        <x:v>#NAME?</x:v>
      </x:c>
      <x:c r="I252" s="152" t="e">
        <x:f>IF(OR(H251="",H252=""),"",H252/H251-1)</x:f>
        <x:v>#NAME?</x:v>
      </x:c>
      <x:c r="J252" s="152" t="e">
        <x:f>IF(H252="","",H252/MAX(H$5:H252)-1)</x:f>
        <x:v>#NAME?</x:v>
      </x:c>
      <x:c r="K252" s="146" t="e">
        <x:f>IF(OR('实盘净值数据(iFinD公式)'!$A252="",'实盘净值数据(iFinD公式)'!$B252=""),"",分期持仓明细!$AD$23*SUMPRODUCT(分期持仓明细!$B$23:$AA$23,'实盘净值数据(iFinD公式)'!$B252:$AA252/'实盘净值数据(iFinD公式)'!$B$65:$AA$65)*(1-实盘持仓初始配置!$Z$7)^(('实盘净值数据(iFinD公式)'!$A252-'实盘净值数据(iFinD公式)'!$A$8)/365))</x:f>
        <x:v>#NAME?</x:v>
      </x:c>
      <x:c r="L252" s="152" t="e">
        <x:f>IF(OR(K251="",K252=""),"",K252/K251-1)</x:f>
        <x:v>#NAME?</x:v>
      </x:c>
      <x:c r="M252" s="152" t="e">
        <x:f>IF(K252="","",K252/MAX(K$5:K252)-1)</x:f>
        <x:v>#NAME?</x:v>
      </x:c>
      <x:c r="N252" s="146" t="e">
        <x:f>IF(OR('实盘净值数据(iFinD公式)'!$A252="",'实盘净值数据(iFinD公式)'!$B252=""),"",分期持仓明细!$AD$24*SUMPRODUCT(分期持仓明细!$B$24:$AA$24,'实盘净值数据(iFinD公式)'!$B252:$AA252/'实盘净值数据(iFinD公式)'!$B$65:$AA$65)*(1-实盘持仓初始配置!$Z$8)^(('实盘净值数据(iFinD公式)'!$A252-'实盘净值数据(iFinD公式)'!$A$5)/365))</x:f>
        <x:v>#NAME?</x:v>
      </x:c>
      <x:c r="O252" s="152" t="e">
        <x:f>IF(OR(N251="",N252=""),"",N252/N251-1)</x:f>
        <x:v>#NAME?</x:v>
      </x:c>
      <x:c r="P252" s="152" t="e">
        <x:f>IF(N252="","",N252/MAX(N$5:N252)-1)</x:f>
        <x:v>#NAME?</x:v>
      </x:c>
      <x:c r="Q252" s="146" t="e">
        <x:f>IF(OR('实盘净值数据(iFinD公式)'!$A252="",'实盘净值数据(iFinD公式)'!$B252=""),"",分期持仓明细!$AD$25*SUMPRODUCT(分期持仓明细!$B$25:$AA$25,'实盘净值数据(iFinD公式)'!$B252:$AA252/'实盘净值数据(iFinD公式)'!$B$65:$AA$65)*(1-实盘持仓初始配置!$Z$9)^(('实盘净值数据(iFinD公式)'!$A252-'实盘净值数据(iFinD公式)'!$A$8)/365))</x:f>
        <x:v>#NAME?</x:v>
      </x:c>
      <x:c r="R252" s="152" t="e">
        <x:f>IF(OR(Q251="",Q252=""),"",Q252/Q251-1)</x:f>
        <x:v>#NAME?</x:v>
      </x:c>
      <x:c r="S252" s="152" t="e">
        <x:f>IF(Q252="","",Q252/MAX(Q$5:Q252)-1)</x:f>
        <x:v>#NAME?</x:v>
      </x:c>
    </x:row>
    <x:row r="253">
      <x:c r="A253" s="149" t="str">
        <x:f>IF('实盘净值数据(iFinD公式)'!A253="","",'实盘净值数据(iFinD公式)'!A253)</x:f>
      </x:c>
      <x:c r="B253" s="146" t="e">
        <x:f>IF(OR('实盘净值数据(iFinD公式)'!$A253="",'实盘净值数据(iFinD公式)'!$B253=""),"",分期持仓明细!$AD$17*SUMPRODUCT(分期持仓明细!$B$17:$AA$17,'实盘净值数据(iFinD公式)'!$B253:$AA253/'实盘净值数据(iFinD公式)'!$B$20:$AA$20)*(1-实盘持仓初始配置!$Z$4)^(('实盘净值数据(iFinD公式)'!$A253-'实盘净值数据(iFinD公式)'!$A$6)/365))</x:f>
        <x:v>#NAME?</x:v>
      </x:c>
      <x:c r="C253" s="152" t="e">
        <x:f>IF(OR(B252="",B253=""),"",B253/B252-1)</x:f>
        <x:v>#NAME?</x:v>
      </x:c>
      <x:c r="D253" s="152" t="e">
        <x:f>IF(B253="","",B253/MAX(B$5:B253)-1)</x:f>
        <x:v>#NAME?</x:v>
      </x:c>
      <x:c r="E253" s="146" t="e">
        <x:f>IF(OR('实盘净值数据(iFinD公式)'!$A253="",'实盘净值数据(iFinD公式)'!$B253=""),"",分期持仓明细!$AD$18*SUMPRODUCT(分期持仓明细!$B$18:$AA$18,'实盘净值数据(iFinD公式)'!$B253:$AA253/'实盘净值数据(iFinD公式)'!$B$20:$AA$20)*(1-实盘持仓初始配置!$Z$5)^(('实盘净值数据(iFinD公式)'!$A253-'实盘净值数据(iFinD公式)'!$A$5)/365))</x:f>
        <x:v>#NAME?</x:v>
      </x:c>
      <x:c r="F253" s="152" t="e">
        <x:f>IF(OR(E252="",E253=""),"",E253/E252-1)</x:f>
        <x:v>#NAME?</x:v>
      </x:c>
      <x:c r="G253" s="152" t="e">
        <x:f>IF(E253="","",E253/MAX(E$5:E253)-1)</x:f>
        <x:v>#NAME?</x:v>
      </x:c>
      <x:c r="H253" s="146" t="e">
        <x:f>IF(OR('实盘净值数据(iFinD公式)'!$A253="",'实盘净值数据(iFinD公式)'!$B253=""),"",分期持仓明细!$AD$19*SUMPRODUCT(分期持仓明细!$B$19:$AA$19,'实盘净值数据(iFinD公式)'!$B253:$AA253/'实盘净值数据(iFinD公式)'!$B$20:$AA$20)*(1-实盘持仓初始配置!$Z$6)^(('实盘净值数据(iFinD公式)'!$A253-'实盘净值数据(iFinD公式)'!$A$7)/365))</x:f>
        <x:v>#NAME?</x:v>
      </x:c>
      <x:c r="I253" s="152" t="e">
        <x:f>IF(OR(H252="",H253=""),"",H253/H252-1)</x:f>
        <x:v>#NAME?</x:v>
      </x:c>
      <x:c r="J253" s="152" t="e">
        <x:f>IF(H253="","",H253/MAX(H$5:H253)-1)</x:f>
        <x:v>#NAME?</x:v>
      </x:c>
      <x:c r="K253" s="146" t="e">
        <x:f>IF(OR('实盘净值数据(iFinD公式)'!$A253="",'实盘净值数据(iFinD公式)'!$B253=""),"",分期持仓明细!$AD$23*SUMPRODUCT(分期持仓明细!$B$23:$AA$23,'实盘净值数据(iFinD公式)'!$B253:$AA253/'实盘净值数据(iFinD公式)'!$B$65:$AA$65)*(1-实盘持仓初始配置!$Z$7)^(('实盘净值数据(iFinD公式)'!$A253-'实盘净值数据(iFinD公式)'!$A$8)/365))</x:f>
        <x:v>#NAME?</x:v>
      </x:c>
      <x:c r="L253" s="152" t="e">
        <x:f>IF(OR(K252="",K253=""),"",K253/K252-1)</x:f>
        <x:v>#NAME?</x:v>
      </x:c>
      <x:c r="M253" s="152" t="e">
        <x:f>IF(K253="","",K253/MAX(K$5:K253)-1)</x:f>
        <x:v>#NAME?</x:v>
      </x:c>
      <x:c r="N253" s="146" t="e">
        <x:f>IF(OR('实盘净值数据(iFinD公式)'!$A253="",'实盘净值数据(iFinD公式)'!$B253=""),"",分期持仓明细!$AD$24*SUMPRODUCT(分期持仓明细!$B$24:$AA$24,'实盘净值数据(iFinD公式)'!$B253:$AA253/'实盘净值数据(iFinD公式)'!$B$65:$AA$65)*(1-实盘持仓初始配置!$Z$8)^(('实盘净值数据(iFinD公式)'!$A253-'实盘净值数据(iFinD公式)'!$A$5)/365))</x:f>
        <x:v>#NAME?</x:v>
      </x:c>
      <x:c r="O253" s="152" t="e">
        <x:f>IF(OR(N252="",N253=""),"",N253/N252-1)</x:f>
        <x:v>#NAME?</x:v>
      </x:c>
      <x:c r="P253" s="152" t="e">
        <x:f>IF(N253="","",N253/MAX(N$5:N253)-1)</x:f>
        <x:v>#NAME?</x:v>
      </x:c>
      <x:c r="Q253" s="146" t="e">
        <x:f>IF(OR('实盘净值数据(iFinD公式)'!$A253="",'实盘净值数据(iFinD公式)'!$B253=""),"",分期持仓明细!$AD$25*SUMPRODUCT(分期持仓明细!$B$25:$AA$25,'实盘净值数据(iFinD公式)'!$B253:$AA253/'实盘净值数据(iFinD公式)'!$B$65:$AA$65)*(1-实盘持仓初始配置!$Z$9)^(('实盘净值数据(iFinD公式)'!$A253-'实盘净值数据(iFinD公式)'!$A$8)/365))</x:f>
        <x:v>#NAME?</x:v>
      </x:c>
      <x:c r="R253" s="152" t="e">
        <x:f>IF(OR(Q252="",Q253=""),"",Q253/Q252-1)</x:f>
        <x:v>#NAME?</x:v>
      </x:c>
      <x:c r="S253" s="152" t="e">
        <x:f>IF(Q253="","",Q253/MAX(Q$5:Q253)-1)</x:f>
        <x:v>#NAME?</x:v>
      </x:c>
    </x:row>
    <x:row r="254">
      <x:c r="A254" s="149" t="str">
        <x:f>IF('实盘净值数据(iFinD公式)'!A254="","",'实盘净值数据(iFinD公式)'!A254)</x:f>
      </x:c>
      <x:c r="B254" s="146" t="e">
        <x:f>IF(OR('实盘净值数据(iFinD公式)'!$A254="",'实盘净值数据(iFinD公式)'!$B254=""),"",分期持仓明细!$AD$17*SUMPRODUCT(分期持仓明细!$B$17:$AA$17,'实盘净值数据(iFinD公式)'!$B254:$AA254/'实盘净值数据(iFinD公式)'!$B$20:$AA$20)*(1-实盘持仓初始配置!$Z$4)^(('实盘净值数据(iFinD公式)'!$A254-'实盘净值数据(iFinD公式)'!$A$6)/365))</x:f>
        <x:v>#NAME?</x:v>
      </x:c>
      <x:c r="C254" s="152" t="e">
        <x:f>IF(OR(B253="",B254=""),"",B254/B253-1)</x:f>
        <x:v>#NAME?</x:v>
      </x:c>
      <x:c r="D254" s="152" t="e">
        <x:f>IF(B254="","",B254/MAX(B$5:B254)-1)</x:f>
        <x:v>#NAME?</x:v>
      </x:c>
      <x:c r="E254" s="146" t="e">
        <x:f>IF(OR('实盘净值数据(iFinD公式)'!$A254="",'实盘净值数据(iFinD公式)'!$B254=""),"",分期持仓明细!$AD$18*SUMPRODUCT(分期持仓明细!$B$18:$AA$18,'实盘净值数据(iFinD公式)'!$B254:$AA254/'实盘净值数据(iFinD公式)'!$B$20:$AA$20)*(1-实盘持仓初始配置!$Z$5)^(('实盘净值数据(iFinD公式)'!$A254-'实盘净值数据(iFinD公式)'!$A$5)/365))</x:f>
        <x:v>#NAME?</x:v>
      </x:c>
      <x:c r="F254" s="152" t="e">
        <x:f>IF(OR(E253="",E254=""),"",E254/E253-1)</x:f>
        <x:v>#NAME?</x:v>
      </x:c>
      <x:c r="G254" s="152" t="e">
        <x:f>IF(E254="","",E254/MAX(E$5:E254)-1)</x:f>
        <x:v>#NAME?</x:v>
      </x:c>
      <x:c r="H254" s="146" t="e">
        <x:f>IF(OR('实盘净值数据(iFinD公式)'!$A254="",'实盘净值数据(iFinD公式)'!$B254=""),"",分期持仓明细!$AD$19*SUMPRODUCT(分期持仓明细!$B$19:$AA$19,'实盘净值数据(iFinD公式)'!$B254:$AA254/'实盘净值数据(iFinD公式)'!$B$20:$AA$20)*(1-实盘持仓初始配置!$Z$6)^(('实盘净值数据(iFinD公式)'!$A254-'实盘净值数据(iFinD公式)'!$A$7)/365))</x:f>
        <x:v>#NAME?</x:v>
      </x:c>
      <x:c r="I254" s="152" t="e">
        <x:f>IF(OR(H253="",H254=""),"",H254/H253-1)</x:f>
        <x:v>#NAME?</x:v>
      </x:c>
      <x:c r="J254" s="152" t="e">
        <x:f>IF(H254="","",H254/MAX(H$5:H254)-1)</x:f>
        <x:v>#NAME?</x:v>
      </x:c>
      <x:c r="K254" s="146" t="e">
        <x:f>IF(OR('实盘净值数据(iFinD公式)'!$A254="",'实盘净值数据(iFinD公式)'!$B254=""),"",分期持仓明细!$AD$23*SUMPRODUCT(分期持仓明细!$B$23:$AA$23,'实盘净值数据(iFinD公式)'!$B254:$AA254/'实盘净值数据(iFinD公式)'!$B$65:$AA$65)*(1-实盘持仓初始配置!$Z$7)^(('实盘净值数据(iFinD公式)'!$A254-'实盘净值数据(iFinD公式)'!$A$8)/365))</x:f>
        <x:v>#NAME?</x:v>
      </x:c>
      <x:c r="L254" s="152" t="e">
        <x:f>IF(OR(K253="",K254=""),"",K254/K253-1)</x:f>
        <x:v>#NAME?</x:v>
      </x:c>
      <x:c r="M254" s="152" t="e">
        <x:f>IF(K254="","",K254/MAX(K$5:K254)-1)</x:f>
        <x:v>#NAME?</x:v>
      </x:c>
      <x:c r="N254" s="146" t="e">
        <x:f>IF(OR('实盘净值数据(iFinD公式)'!$A254="",'实盘净值数据(iFinD公式)'!$B254=""),"",分期持仓明细!$AD$24*SUMPRODUCT(分期持仓明细!$B$24:$AA$24,'实盘净值数据(iFinD公式)'!$B254:$AA254/'实盘净值数据(iFinD公式)'!$B$65:$AA$65)*(1-实盘持仓初始配置!$Z$8)^(('实盘净值数据(iFinD公式)'!$A254-'实盘净值数据(iFinD公式)'!$A$5)/365))</x:f>
        <x:v>#NAME?</x:v>
      </x:c>
      <x:c r="O254" s="152" t="e">
        <x:f>IF(OR(N253="",N254=""),"",N254/N253-1)</x:f>
        <x:v>#NAME?</x:v>
      </x:c>
      <x:c r="P254" s="152" t="e">
        <x:f>IF(N254="","",N254/MAX(N$5:N254)-1)</x:f>
        <x:v>#NAME?</x:v>
      </x:c>
      <x:c r="Q254" s="146" t="e">
        <x:f>IF(OR('实盘净值数据(iFinD公式)'!$A254="",'实盘净值数据(iFinD公式)'!$B254=""),"",分期持仓明细!$AD$25*SUMPRODUCT(分期持仓明细!$B$25:$AA$25,'实盘净值数据(iFinD公式)'!$B254:$AA254/'实盘净值数据(iFinD公式)'!$B$65:$AA$65)*(1-实盘持仓初始配置!$Z$9)^(('实盘净值数据(iFinD公式)'!$A254-'实盘净值数据(iFinD公式)'!$A$8)/365))</x:f>
        <x:v>#NAME?</x:v>
      </x:c>
      <x:c r="R254" s="152" t="e">
        <x:f>IF(OR(Q253="",Q254=""),"",Q254/Q253-1)</x:f>
        <x:v>#NAME?</x:v>
      </x:c>
      <x:c r="S254" s="152" t="e">
        <x:f>IF(Q254="","",Q254/MAX(Q$5:Q254)-1)</x:f>
        <x:v>#NAME?</x:v>
      </x:c>
    </x:row>
    <x:row r="255">
      <x:c r="A255" s="149" t="str">
        <x:f>IF('实盘净值数据(iFinD公式)'!A255="","",'实盘净值数据(iFinD公式)'!A255)</x:f>
      </x:c>
      <x:c r="B255" s="146" t="e">
        <x:f>IF(OR('实盘净值数据(iFinD公式)'!$A255="",'实盘净值数据(iFinD公式)'!$B255=""),"",分期持仓明细!$AD$17*SUMPRODUCT(分期持仓明细!$B$17:$AA$17,'实盘净值数据(iFinD公式)'!$B255:$AA255/'实盘净值数据(iFinD公式)'!$B$20:$AA$20)*(1-实盘持仓初始配置!$Z$4)^(('实盘净值数据(iFinD公式)'!$A255-'实盘净值数据(iFinD公式)'!$A$6)/365))</x:f>
        <x:v>#NAME?</x:v>
      </x:c>
      <x:c r="C255" s="152" t="e">
        <x:f>IF(OR(B254="",B255=""),"",B255/B254-1)</x:f>
        <x:v>#NAME?</x:v>
      </x:c>
      <x:c r="D255" s="152" t="e">
        <x:f>IF(B255="","",B255/MAX(B$5:B255)-1)</x:f>
        <x:v>#NAME?</x:v>
      </x:c>
      <x:c r="E255" s="146" t="e">
        <x:f>IF(OR('实盘净值数据(iFinD公式)'!$A255="",'实盘净值数据(iFinD公式)'!$B255=""),"",分期持仓明细!$AD$18*SUMPRODUCT(分期持仓明细!$B$18:$AA$18,'实盘净值数据(iFinD公式)'!$B255:$AA255/'实盘净值数据(iFinD公式)'!$B$20:$AA$20)*(1-实盘持仓初始配置!$Z$5)^(('实盘净值数据(iFinD公式)'!$A255-'实盘净值数据(iFinD公式)'!$A$5)/365))</x:f>
        <x:v>#NAME?</x:v>
      </x:c>
      <x:c r="F255" s="152" t="e">
        <x:f>IF(OR(E254="",E255=""),"",E255/E254-1)</x:f>
        <x:v>#NAME?</x:v>
      </x:c>
      <x:c r="G255" s="152" t="e">
        <x:f>IF(E255="","",E255/MAX(E$5:E255)-1)</x:f>
        <x:v>#NAME?</x:v>
      </x:c>
      <x:c r="H255" s="146" t="e">
        <x:f>IF(OR('实盘净值数据(iFinD公式)'!$A255="",'实盘净值数据(iFinD公式)'!$B255=""),"",分期持仓明细!$AD$19*SUMPRODUCT(分期持仓明细!$B$19:$AA$19,'实盘净值数据(iFinD公式)'!$B255:$AA255/'实盘净值数据(iFinD公式)'!$B$20:$AA$20)*(1-实盘持仓初始配置!$Z$6)^(('实盘净值数据(iFinD公式)'!$A255-'实盘净值数据(iFinD公式)'!$A$7)/365))</x:f>
        <x:v>#NAME?</x:v>
      </x:c>
      <x:c r="I255" s="152" t="e">
        <x:f>IF(OR(H254="",H255=""),"",H255/H254-1)</x:f>
        <x:v>#NAME?</x:v>
      </x:c>
      <x:c r="J255" s="152" t="e">
        <x:f>IF(H255="","",H255/MAX(H$5:H255)-1)</x:f>
        <x:v>#NAME?</x:v>
      </x:c>
      <x:c r="K255" s="146" t="e">
        <x:f>IF(OR('实盘净值数据(iFinD公式)'!$A255="",'实盘净值数据(iFinD公式)'!$B255=""),"",分期持仓明细!$AD$23*SUMPRODUCT(分期持仓明细!$B$23:$AA$23,'实盘净值数据(iFinD公式)'!$B255:$AA255/'实盘净值数据(iFinD公式)'!$B$65:$AA$65)*(1-实盘持仓初始配置!$Z$7)^(('实盘净值数据(iFinD公式)'!$A255-'实盘净值数据(iFinD公式)'!$A$8)/365))</x:f>
        <x:v>#NAME?</x:v>
      </x:c>
      <x:c r="L255" s="152" t="e">
        <x:f>IF(OR(K254="",K255=""),"",K255/K254-1)</x:f>
        <x:v>#NAME?</x:v>
      </x:c>
      <x:c r="M255" s="152" t="e">
        <x:f>IF(K255="","",K255/MAX(K$5:K255)-1)</x:f>
        <x:v>#NAME?</x:v>
      </x:c>
      <x:c r="N255" s="146" t="e">
        <x:f>IF(OR('实盘净值数据(iFinD公式)'!$A255="",'实盘净值数据(iFinD公式)'!$B255=""),"",分期持仓明细!$AD$24*SUMPRODUCT(分期持仓明细!$B$24:$AA$24,'实盘净值数据(iFinD公式)'!$B255:$AA255/'实盘净值数据(iFinD公式)'!$B$65:$AA$65)*(1-实盘持仓初始配置!$Z$8)^(('实盘净值数据(iFinD公式)'!$A255-'实盘净值数据(iFinD公式)'!$A$5)/365))</x:f>
        <x:v>#NAME?</x:v>
      </x:c>
      <x:c r="O255" s="152" t="e">
        <x:f>IF(OR(N254="",N255=""),"",N255/N254-1)</x:f>
        <x:v>#NAME?</x:v>
      </x:c>
      <x:c r="P255" s="152" t="e">
        <x:f>IF(N255="","",N255/MAX(N$5:N255)-1)</x:f>
        <x:v>#NAME?</x:v>
      </x:c>
      <x:c r="Q255" s="146" t="e">
        <x:f>IF(OR('实盘净值数据(iFinD公式)'!$A255="",'实盘净值数据(iFinD公式)'!$B255=""),"",分期持仓明细!$AD$25*SUMPRODUCT(分期持仓明细!$B$25:$AA$25,'实盘净值数据(iFinD公式)'!$B255:$AA255/'实盘净值数据(iFinD公式)'!$B$65:$AA$65)*(1-实盘持仓初始配置!$Z$9)^(('实盘净值数据(iFinD公式)'!$A255-'实盘净值数据(iFinD公式)'!$A$8)/365))</x:f>
        <x:v>#NAME?</x:v>
      </x:c>
      <x:c r="R255" s="152" t="e">
        <x:f>IF(OR(Q254="",Q255=""),"",Q255/Q254-1)</x:f>
        <x:v>#NAME?</x:v>
      </x:c>
      <x:c r="S255" s="152" t="e">
        <x:f>IF(Q255="","",Q255/MAX(Q$5:Q255)-1)</x:f>
        <x:v>#NAME?</x:v>
      </x:c>
    </x:row>
    <x:row r="256">
      <x:c r="A256" s="149" t="str">
        <x:f>IF('实盘净值数据(iFinD公式)'!A256="","",'实盘净值数据(iFinD公式)'!A256)</x:f>
      </x:c>
      <x:c r="B256" s="146" t="e">
        <x:f>IF(OR('实盘净值数据(iFinD公式)'!$A256="",'实盘净值数据(iFinD公式)'!$B256=""),"",分期持仓明细!$AD$17*SUMPRODUCT(分期持仓明细!$B$17:$AA$17,'实盘净值数据(iFinD公式)'!$B256:$AA256/'实盘净值数据(iFinD公式)'!$B$20:$AA$20)*(1-实盘持仓初始配置!$Z$4)^(('实盘净值数据(iFinD公式)'!$A256-'实盘净值数据(iFinD公式)'!$A$6)/365))</x:f>
        <x:v>#NAME?</x:v>
      </x:c>
      <x:c r="C256" s="152" t="e">
        <x:f>IF(OR(B255="",B256=""),"",B256/B255-1)</x:f>
        <x:v>#NAME?</x:v>
      </x:c>
      <x:c r="D256" s="152" t="e">
        <x:f>IF(B256="","",B256/MAX(B$5:B256)-1)</x:f>
        <x:v>#NAME?</x:v>
      </x:c>
      <x:c r="E256" s="146" t="e">
        <x:f>IF(OR('实盘净值数据(iFinD公式)'!$A256="",'实盘净值数据(iFinD公式)'!$B256=""),"",分期持仓明细!$AD$18*SUMPRODUCT(分期持仓明细!$B$18:$AA$18,'实盘净值数据(iFinD公式)'!$B256:$AA256/'实盘净值数据(iFinD公式)'!$B$20:$AA$20)*(1-实盘持仓初始配置!$Z$5)^(('实盘净值数据(iFinD公式)'!$A256-'实盘净值数据(iFinD公式)'!$A$5)/365))</x:f>
        <x:v>#NAME?</x:v>
      </x:c>
      <x:c r="F256" s="152" t="e">
        <x:f>IF(OR(E255="",E256=""),"",E256/E255-1)</x:f>
        <x:v>#NAME?</x:v>
      </x:c>
      <x:c r="G256" s="152" t="e">
        <x:f>IF(E256="","",E256/MAX(E$5:E256)-1)</x:f>
        <x:v>#NAME?</x:v>
      </x:c>
      <x:c r="H256" s="146" t="e">
        <x:f>IF(OR('实盘净值数据(iFinD公式)'!$A256="",'实盘净值数据(iFinD公式)'!$B256=""),"",分期持仓明细!$AD$19*SUMPRODUCT(分期持仓明细!$B$19:$AA$19,'实盘净值数据(iFinD公式)'!$B256:$AA256/'实盘净值数据(iFinD公式)'!$B$20:$AA$20)*(1-实盘持仓初始配置!$Z$6)^(('实盘净值数据(iFinD公式)'!$A256-'实盘净值数据(iFinD公式)'!$A$7)/365))</x:f>
        <x:v>#NAME?</x:v>
      </x:c>
      <x:c r="I256" s="152" t="e">
        <x:f>IF(OR(H255="",H256=""),"",H256/H255-1)</x:f>
        <x:v>#NAME?</x:v>
      </x:c>
      <x:c r="J256" s="152" t="e">
        <x:f>IF(H256="","",H256/MAX(H$5:H256)-1)</x:f>
        <x:v>#NAME?</x:v>
      </x:c>
      <x:c r="K256" s="146" t="e">
        <x:f>IF(OR('实盘净值数据(iFinD公式)'!$A256="",'实盘净值数据(iFinD公式)'!$B256=""),"",分期持仓明细!$AD$23*SUMPRODUCT(分期持仓明细!$B$23:$AA$23,'实盘净值数据(iFinD公式)'!$B256:$AA256/'实盘净值数据(iFinD公式)'!$B$65:$AA$65)*(1-实盘持仓初始配置!$Z$7)^(('实盘净值数据(iFinD公式)'!$A256-'实盘净值数据(iFinD公式)'!$A$8)/365))</x:f>
        <x:v>#NAME?</x:v>
      </x:c>
      <x:c r="L256" s="152" t="e">
        <x:f>IF(OR(K255="",K256=""),"",K256/K255-1)</x:f>
        <x:v>#NAME?</x:v>
      </x:c>
      <x:c r="M256" s="152" t="e">
        <x:f>IF(K256="","",K256/MAX(K$5:K256)-1)</x:f>
        <x:v>#NAME?</x:v>
      </x:c>
      <x:c r="N256" s="146" t="e">
        <x:f>IF(OR('实盘净值数据(iFinD公式)'!$A256="",'实盘净值数据(iFinD公式)'!$B256=""),"",分期持仓明细!$AD$24*SUMPRODUCT(分期持仓明细!$B$24:$AA$24,'实盘净值数据(iFinD公式)'!$B256:$AA256/'实盘净值数据(iFinD公式)'!$B$65:$AA$65)*(1-实盘持仓初始配置!$Z$8)^(('实盘净值数据(iFinD公式)'!$A256-'实盘净值数据(iFinD公式)'!$A$5)/365))</x:f>
        <x:v>#NAME?</x:v>
      </x:c>
      <x:c r="O256" s="152" t="e">
        <x:f>IF(OR(N255="",N256=""),"",N256/N255-1)</x:f>
        <x:v>#NAME?</x:v>
      </x:c>
      <x:c r="P256" s="152" t="e">
        <x:f>IF(N256="","",N256/MAX(N$5:N256)-1)</x:f>
        <x:v>#NAME?</x:v>
      </x:c>
      <x:c r="Q256" s="146" t="e">
        <x:f>IF(OR('实盘净值数据(iFinD公式)'!$A256="",'实盘净值数据(iFinD公式)'!$B256=""),"",分期持仓明细!$AD$25*SUMPRODUCT(分期持仓明细!$B$25:$AA$25,'实盘净值数据(iFinD公式)'!$B256:$AA256/'实盘净值数据(iFinD公式)'!$B$65:$AA$65)*(1-实盘持仓初始配置!$Z$9)^(('实盘净值数据(iFinD公式)'!$A256-'实盘净值数据(iFinD公式)'!$A$8)/365))</x:f>
        <x:v>#NAME?</x:v>
      </x:c>
      <x:c r="R256" s="152" t="e">
        <x:f>IF(OR(Q255="",Q256=""),"",Q256/Q255-1)</x:f>
        <x:v>#NAME?</x:v>
      </x:c>
      <x:c r="S256" s="152" t="e">
        <x:f>IF(Q256="","",Q256/MAX(Q$5:Q256)-1)</x:f>
        <x:v>#NAME?</x:v>
      </x:c>
    </x:row>
    <x:row r="257">
      <x:c r="A257" s="149" t="str">
        <x:f>IF('实盘净值数据(iFinD公式)'!A257="","",'实盘净值数据(iFinD公式)'!A257)</x:f>
      </x:c>
      <x:c r="B257" s="146" t="e">
        <x:f>IF(OR('实盘净值数据(iFinD公式)'!$A257="",'实盘净值数据(iFinD公式)'!$B257=""),"",分期持仓明细!$AD$17*SUMPRODUCT(分期持仓明细!$B$17:$AA$17,'实盘净值数据(iFinD公式)'!$B257:$AA257/'实盘净值数据(iFinD公式)'!$B$20:$AA$20)*(1-实盘持仓初始配置!$Z$4)^(('实盘净值数据(iFinD公式)'!$A257-'实盘净值数据(iFinD公式)'!$A$6)/365))</x:f>
        <x:v>#NAME?</x:v>
      </x:c>
      <x:c r="C257" s="152" t="e">
        <x:f>IF(OR(B256="",B257=""),"",B257/B256-1)</x:f>
        <x:v>#NAME?</x:v>
      </x:c>
      <x:c r="D257" s="152" t="e">
        <x:f>IF(B257="","",B257/MAX(B$5:B257)-1)</x:f>
        <x:v>#NAME?</x:v>
      </x:c>
      <x:c r="E257" s="146" t="e">
        <x:f>IF(OR('实盘净值数据(iFinD公式)'!$A257="",'实盘净值数据(iFinD公式)'!$B257=""),"",分期持仓明细!$AD$18*SUMPRODUCT(分期持仓明细!$B$18:$AA$18,'实盘净值数据(iFinD公式)'!$B257:$AA257/'实盘净值数据(iFinD公式)'!$B$20:$AA$20)*(1-实盘持仓初始配置!$Z$5)^(('实盘净值数据(iFinD公式)'!$A257-'实盘净值数据(iFinD公式)'!$A$5)/365))</x:f>
        <x:v>#NAME?</x:v>
      </x:c>
      <x:c r="F257" s="152" t="e">
        <x:f>IF(OR(E256="",E257=""),"",E257/E256-1)</x:f>
        <x:v>#NAME?</x:v>
      </x:c>
      <x:c r="G257" s="152" t="e">
        <x:f>IF(E257="","",E257/MAX(E$5:E257)-1)</x:f>
        <x:v>#NAME?</x:v>
      </x:c>
      <x:c r="H257" s="146" t="e">
        <x:f>IF(OR('实盘净值数据(iFinD公式)'!$A257="",'实盘净值数据(iFinD公式)'!$B257=""),"",分期持仓明细!$AD$19*SUMPRODUCT(分期持仓明细!$B$19:$AA$19,'实盘净值数据(iFinD公式)'!$B257:$AA257/'实盘净值数据(iFinD公式)'!$B$20:$AA$20)*(1-实盘持仓初始配置!$Z$6)^(('实盘净值数据(iFinD公式)'!$A257-'实盘净值数据(iFinD公式)'!$A$7)/365))</x:f>
        <x:v>#NAME?</x:v>
      </x:c>
      <x:c r="I257" s="152" t="e">
        <x:f>IF(OR(H256="",H257=""),"",H257/H256-1)</x:f>
        <x:v>#NAME?</x:v>
      </x:c>
      <x:c r="J257" s="152" t="e">
        <x:f>IF(H257="","",H257/MAX(H$5:H257)-1)</x:f>
        <x:v>#NAME?</x:v>
      </x:c>
      <x:c r="K257" s="146" t="e">
        <x:f>IF(OR('实盘净值数据(iFinD公式)'!$A257="",'实盘净值数据(iFinD公式)'!$B257=""),"",分期持仓明细!$AD$23*SUMPRODUCT(分期持仓明细!$B$23:$AA$23,'实盘净值数据(iFinD公式)'!$B257:$AA257/'实盘净值数据(iFinD公式)'!$B$65:$AA$65)*(1-实盘持仓初始配置!$Z$7)^(('实盘净值数据(iFinD公式)'!$A257-'实盘净值数据(iFinD公式)'!$A$8)/365))</x:f>
        <x:v>#NAME?</x:v>
      </x:c>
      <x:c r="L257" s="152" t="e">
        <x:f>IF(OR(K256="",K257=""),"",K257/K256-1)</x:f>
        <x:v>#NAME?</x:v>
      </x:c>
      <x:c r="M257" s="152" t="e">
        <x:f>IF(K257="","",K257/MAX(K$5:K257)-1)</x:f>
        <x:v>#NAME?</x:v>
      </x:c>
      <x:c r="N257" s="146" t="e">
        <x:f>IF(OR('实盘净值数据(iFinD公式)'!$A257="",'实盘净值数据(iFinD公式)'!$B257=""),"",分期持仓明细!$AD$24*SUMPRODUCT(分期持仓明细!$B$24:$AA$24,'实盘净值数据(iFinD公式)'!$B257:$AA257/'实盘净值数据(iFinD公式)'!$B$65:$AA$65)*(1-实盘持仓初始配置!$Z$8)^(('实盘净值数据(iFinD公式)'!$A257-'实盘净值数据(iFinD公式)'!$A$5)/365))</x:f>
        <x:v>#NAME?</x:v>
      </x:c>
      <x:c r="O257" s="152" t="e">
        <x:f>IF(OR(N256="",N257=""),"",N257/N256-1)</x:f>
        <x:v>#NAME?</x:v>
      </x:c>
      <x:c r="P257" s="152" t="e">
        <x:f>IF(N257="","",N257/MAX(N$5:N257)-1)</x:f>
        <x:v>#NAME?</x:v>
      </x:c>
      <x:c r="Q257" s="146" t="e">
        <x:f>IF(OR('实盘净值数据(iFinD公式)'!$A257="",'实盘净值数据(iFinD公式)'!$B257=""),"",分期持仓明细!$AD$25*SUMPRODUCT(分期持仓明细!$B$25:$AA$25,'实盘净值数据(iFinD公式)'!$B257:$AA257/'实盘净值数据(iFinD公式)'!$B$65:$AA$65)*(1-实盘持仓初始配置!$Z$9)^(('实盘净值数据(iFinD公式)'!$A257-'实盘净值数据(iFinD公式)'!$A$8)/365))</x:f>
        <x:v>#NAME?</x:v>
      </x:c>
      <x:c r="R257" s="152" t="e">
        <x:f>IF(OR(Q256="",Q257=""),"",Q257/Q256-1)</x:f>
        <x:v>#NAME?</x:v>
      </x:c>
      <x:c r="S257" s="152" t="e">
        <x:f>IF(Q257="","",Q257/MAX(Q$5:Q257)-1)</x:f>
        <x:v>#NAME?</x:v>
      </x:c>
    </x:row>
    <x:row r="258">
      <x:c r="A258" s="149" t="str">
        <x:f>IF('实盘净值数据(iFinD公式)'!A258="","",'实盘净值数据(iFinD公式)'!A258)</x:f>
      </x:c>
      <x:c r="B258" s="146" t="e">
        <x:f>IF(OR('实盘净值数据(iFinD公式)'!$A258="",'实盘净值数据(iFinD公式)'!$B258=""),"",分期持仓明细!$AD$17*SUMPRODUCT(分期持仓明细!$B$17:$AA$17,'实盘净值数据(iFinD公式)'!$B258:$AA258/'实盘净值数据(iFinD公式)'!$B$20:$AA$20)*(1-实盘持仓初始配置!$Z$4)^(('实盘净值数据(iFinD公式)'!$A258-'实盘净值数据(iFinD公式)'!$A$6)/365))</x:f>
        <x:v>#NAME?</x:v>
      </x:c>
      <x:c r="C258" s="152" t="e">
        <x:f>IF(OR(B257="",B258=""),"",B258/B257-1)</x:f>
        <x:v>#NAME?</x:v>
      </x:c>
      <x:c r="D258" s="152" t="e">
        <x:f>IF(B258="","",B258/MAX(B$5:B258)-1)</x:f>
        <x:v>#NAME?</x:v>
      </x:c>
      <x:c r="E258" s="146" t="e">
        <x:f>IF(OR('实盘净值数据(iFinD公式)'!$A258="",'实盘净值数据(iFinD公式)'!$B258=""),"",分期持仓明细!$AD$18*SUMPRODUCT(分期持仓明细!$B$18:$AA$18,'实盘净值数据(iFinD公式)'!$B258:$AA258/'实盘净值数据(iFinD公式)'!$B$20:$AA$20)*(1-实盘持仓初始配置!$Z$5)^(('实盘净值数据(iFinD公式)'!$A258-'实盘净值数据(iFinD公式)'!$A$5)/365))</x:f>
        <x:v>#NAME?</x:v>
      </x:c>
      <x:c r="F258" s="152" t="e">
        <x:f>IF(OR(E257="",E258=""),"",E258/E257-1)</x:f>
        <x:v>#NAME?</x:v>
      </x:c>
      <x:c r="G258" s="152" t="e">
        <x:f>IF(E258="","",E258/MAX(E$5:E258)-1)</x:f>
        <x:v>#NAME?</x:v>
      </x:c>
      <x:c r="H258" s="146" t="e">
        <x:f>IF(OR('实盘净值数据(iFinD公式)'!$A258="",'实盘净值数据(iFinD公式)'!$B258=""),"",分期持仓明细!$AD$19*SUMPRODUCT(分期持仓明细!$B$19:$AA$19,'实盘净值数据(iFinD公式)'!$B258:$AA258/'实盘净值数据(iFinD公式)'!$B$20:$AA$20)*(1-实盘持仓初始配置!$Z$6)^(('实盘净值数据(iFinD公式)'!$A258-'实盘净值数据(iFinD公式)'!$A$7)/365))</x:f>
        <x:v>#NAME?</x:v>
      </x:c>
      <x:c r="I258" s="152" t="e">
        <x:f>IF(OR(H257="",H258=""),"",H258/H257-1)</x:f>
        <x:v>#NAME?</x:v>
      </x:c>
      <x:c r="J258" s="152" t="e">
        <x:f>IF(H258="","",H258/MAX(H$5:H258)-1)</x:f>
        <x:v>#NAME?</x:v>
      </x:c>
      <x:c r="K258" s="146" t="e">
        <x:f>IF(OR('实盘净值数据(iFinD公式)'!$A258="",'实盘净值数据(iFinD公式)'!$B258=""),"",分期持仓明细!$AD$23*SUMPRODUCT(分期持仓明细!$B$23:$AA$23,'实盘净值数据(iFinD公式)'!$B258:$AA258/'实盘净值数据(iFinD公式)'!$B$65:$AA$65)*(1-实盘持仓初始配置!$Z$7)^(('实盘净值数据(iFinD公式)'!$A258-'实盘净值数据(iFinD公式)'!$A$8)/365))</x:f>
        <x:v>#NAME?</x:v>
      </x:c>
      <x:c r="L258" s="152" t="e">
        <x:f>IF(OR(K257="",K258=""),"",K258/K257-1)</x:f>
        <x:v>#NAME?</x:v>
      </x:c>
      <x:c r="M258" s="152" t="e">
        <x:f>IF(K258="","",K258/MAX(K$5:K258)-1)</x:f>
        <x:v>#NAME?</x:v>
      </x:c>
      <x:c r="N258" s="146" t="e">
        <x:f>IF(OR('实盘净值数据(iFinD公式)'!$A258="",'实盘净值数据(iFinD公式)'!$B258=""),"",分期持仓明细!$AD$24*SUMPRODUCT(分期持仓明细!$B$24:$AA$24,'实盘净值数据(iFinD公式)'!$B258:$AA258/'实盘净值数据(iFinD公式)'!$B$65:$AA$65)*(1-实盘持仓初始配置!$Z$8)^(('实盘净值数据(iFinD公式)'!$A258-'实盘净值数据(iFinD公式)'!$A$5)/365))</x:f>
        <x:v>#NAME?</x:v>
      </x:c>
      <x:c r="O258" s="152" t="e">
        <x:f>IF(OR(N257="",N258=""),"",N258/N257-1)</x:f>
        <x:v>#NAME?</x:v>
      </x:c>
      <x:c r="P258" s="152" t="e">
        <x:f>IF(N258="","",N258/MAX(N$5:N258)-1)</x:f>
        <x:v>#NAME?</x:v>
      </x:c>
      <x:c r="Q258" s="146" t="e">
        <x:f>IF(OR('实盘净值数据(iFinD公式)'!$A258="",'实盘净值数据(iFinD公式)'!$B258=""),"",分期持仓明细!$AD$25*SUMPRODUCT(分期持仓明细!$B$25:$AA$25,'实盘净值数据(iFinD公式)'!$B258:$AA258/'实盘净值数据(iFinD公式)'!$B$65:$AA$65)*(1-实盘持仓初始配置!$Z$9)^(('实盘净值数据(iFinD公式)'!$A258-'实盘净值数据(iFinD公式)'!$A$8)/365))</x:f>
        <x:v>#NAME?</x:v>
      </x:c>
      <x:c r="R258" s="152" t="e">
        <x:f>IF(OR(Q257="",Q258=""),"",Q258/Q257-1)</x:f>
        <x:v>#NAME?</x:v>
      </x:c>
      <x:c r="S258" s="152" t="e">
        <x:f>IF(Q258="","",Q258/MAX(Q$5:Q258)-1)</x:f>
        <x:v>#NAME?</x:v>
      </x:c>
    </x:row>
    <x:row r="259">
      <x:c r="A259" s="149" t="str">
        <x:f>IF('实盘净值数据(iFinD公式)'!A259="","",'实盘净值数据(iFinD公式)'!A259)</x:f>
      </x:c>
      <x:c r="B259" s="146" t="e">
        <x:f>IF(OR('实盘净值数据(iFinD公式)'!$A259="",'实盘净值数据(iFinD公式)'!$B259=""),"",分期持仓明细!$AD$17*SUMPRODUCT(分期持仓明细!$B$17:$AA$17,'实盘净值数据(iFinD公式)'!$B259:$AA259/'实盘净值数据(iFinD公式)'!$B$20:$AA$20)*(1-实盘持仓初始配置!$Z$4)^(('实盘净值数据(iFinD公式)'!$A259-'实盘净值数据(iFinD公式)'!$A$6)/365))</x:f>
        <x:v>#NAME?</x:v>
      </x:c>
      <x:c r="C259" s="152" t="e">
        <x:f>IF(OR(B258="",B259=""),"",B259/B258-1)</x:f>
        <x:v>#NAME?</x:v>
      </x:c>
      <x:c r="D259" s="152" t="e">
        <x:f>IF(B259="","",B259/MAX(B$5:B259)-1)</x:f>
        <x:v>#NAME?</x:v>
      </x:c>
      <x:c r="E259" s="146" t="e">
        <x:f>IF(OR('实盘净值数据(iFinD公式)'!$A259="",'实盘净值数据(iFinD公式)'!$B259=""),"",分期持仓明细!$AD$18*SUMPRODUCT(分期持仓明细!$B$18:$AA$18,'实盘净值数据(iFinD公式)'!$B259:$AA259/'实盘净值数据(iFinD公式)'!$B$20:$AA$20)*(1-实盘持仓初始配置!$Z$5)^(('实盘净值数据(iFinD公式)'!$A259-'实盘净值数据(iFinD公式)'!$A$5)/365))</x:f>
        <x:v>#NAME?</x:v>
      </x:c>
      <x:c r="F259" s="152" t="e">
        <x:f>IF(OR(E258="",E259=""),"",E259/E258-1)</x:f>
        <x:v>#NAME?</x:v>
      </x:c>
      <x:c r="G259" s="152" t="e">
        <x:f>IF(E259="","",E259/MAX(E$5:E259)-1)</x:f>
        <x:v>#NAME?</x:v>
      </x:c>
      <x:c r="H259" s="146" t="e">
        <x:f>IF(OR('实盘净值数据(iFinD公式)'!$A259="",'实盘净值数据(iFinD公式)'!$B259=""),"",分期持仓明细!$AD$19*SUMPRODUCT(分期持仓明细!$B$19:$AA$19,'实盘净值数据(iFinD公式)'!$B259:$AA259/'实盘净值数据(iFinD公式)'!$B$20:$AA$20)*(1-实盘持仓初始配置!$Z$6)^(('实盘净值数据(iFinD公式)'!$A259-'实盘净值数据(iFinD公式)'!$A$7)/365))</x:f>
        <x:v>#NAME?</x:v>
      </x:c>
      <x:c r="I259" s="152" t="e">
        <x:f>IF(OR(H258="",H259=""),"",H259/H258-1)</x:f>
        <x:v>#NAME?</x:v>
      </x:c>
      <x:c r="J259" s="152" t="e">
        <x:f>IF(H259="","",H259/MAX(H$5:H259)-1)</x:f>
        <x:v>#NAME?</x:v>
      </x:c>
      <x:c r="K259" s="146" t="e">
        <x:f>IF(OR('实盘净值数据(iFinD公式)'!$A259="",'实盘净值数据(iFinD公式)'!$B259=""),"",分期持仓明细!$AD$23*SUMPRODUCT(分期持仓明细!$B$23:$AA$23,'实盘净值数据(iFinD公式)'!$B259:$AA259/'实盘净值数据(iFinD公式)'!$B$65:$AA$65)*(1-实盘持仓初始配置!$Z$7)^(('实盘净值数据(iFinD公式)'!$A259-'实盘净值数据(iFinD公式)'!$A$8)/365))</x:f>
        <x:v>#NAME?</x:v>
      </x:c>
      <x:c r="L259" s="152" t="e">
        <x:f>IF(OR(K258="",K259=""),"",K259/K258-1)</x:f>
        <x:v>#NAME?</x:v>
      </x:c>
      <x:c r="M259" s="152" t="e">
        <x:f>IF(K259="","",K259/MAX(K$5:K259)-1)</x:f>
        <x:v>#NAME?</x:v>
      </x:c>
      <x:c r="N259" s="146" t="e">
        <x:f>IF(OR('实盘净值数据(iFinD公式)'!$A259="",'实盘净值数据(iFinD公式)'!$B259=""),"",分期持仓明细!$AD$24*SUMPRODUCT(分期持仓明细!$B$24:$AA$24,'实盘净值数据(iFinD公式)'!$B259:$AA259/'实盘净值数据(iFinD公式)'!$B$65:$AA$65)*(1-实盘持仓初始配置!$Z$8)^(('实盘净值数据(iFinD公式)'!$A259-'实盘净值数据(iFinD公式)'!$A$5)/365))</x:f>
        <x:v>#NAME?</x:v>
      </x:c>
      <x:c r="O259" s="152" t="e">
        <x:f>IF(OR(N258="",N259=""),"",N259/N258-1)</x:f>
        <x:v>#NAME?</x:v>
      </x:c>
      <x:c r="P259" s="152" t="e">
        <x:f>IF(N259="","",N259/MAX(N$5:N259)-1)</x:f>
        <x:v>#NAME?</x:v>
      </x:c>
      <x:c r="Q259" s="146" t="e">
        <x:f>IF(OR('实盘净值数据(iFinD公式)'!$A259="",'实盘净值数据(iFinD公式)'!$B259=""),"",分期持仓明细!$AD$25*SUMPRODUCT(分期持仓明细!$B$25:$AA$25,'实盘净值数据(iFinD公式)'!$B259:$AA259/'实盘净值数据(iFinD公式)'!$B$65:$AA$65)*(1-实盘持仓初始配置!$Z$9)^(('实盘净值数据(iFinD公式)'!$A259-'实盘净值数据(iFinD公式)'!$A$8)/365))</x:f>
        <x:v>#NAME?</x:v>
      </x:c>
      <x:c r="R259" s="152" t="e">
        <x:f>IF(OR(Q258="",Q259=""),"",Q259/Q258-1)</x:f>
        <x:v>#NAME?</x:v>
      </x:c>
      <x:c r="S259" s="152" t="e">
        <x:f>IF(Q259="","",Q259/MAX(Q$5:Q259)-1)</x:f>
        <x:v>#NAME?</x:v>
      </x:c>
    </x:row>
    <x:row r="260">
      <x:c r="A260" s="149" t="str">
        <x:f>IF('实盘净值数据(iFinD公式)'!A260="","",'实盘净值数据(iFinD公式)'!A260)</x:f>
      </x:c>
      <x:c r="B260" s="146" t="e">
        <x:f>IF(OR('实盘净值数据(iFinD公式)'!$A260="",'实盘净值数据(iFinD公式)'!$B260=""),"",分期持仓明细!$AD$17*SUMPRODUCT(分期持仓明细!$B$17:$AA$17,'实盘净值数据(iFinD公式)'!$B260:$AA260/'实盘净值数据(iFinD公式)'!$B$20:$AA$20)*(1-实盘持仓初始配置!$Z$4)^(('实盘净值数据(iFinD公式)'!$A260-'实盘净值数据(iFinD公式)'!$A$6)/365))</x:f>
        <x:v>#NAME?</x:v>
      </x:c>
      <x:c r="C260" s="152" t="e">
        <x:f>IF(OR(B259="",B260=""),"",B260/B259-1)</x:f>
        <x:v>#NAME?</x:v>
      </x:c>
      <x:c r="D260" s="152" t="e">
        <x:f>IF(B260="","",B260/MAX(B$5:B260)-1)</x:f>
        <x:v>#NAME?</x:v>
      </x:c>
      <x:c r="E260" s="146" t="e">
        <x:f>IF(OR('实盘净值数据(iFinD公式)'!$A260="",'实盘净值数据(iFinD公式)'!$B260=""),"",分期持仓明细!$AD$18*SUMPRODUCT(分期持仓明细!$B$18:$AA$18,'实盘净值数据(iFinD公式)'!$B260:$AA260/'实盘净值数据(iFinD公式)'!$B$20:$AA$20)*(1-实盘持仓初始配置!$Z$5)^(('实盘净值数据(iFinD公式)'!$A260-'实盘净值数据(iFinD公式)'!$A$5)/365))</x:f>
        <x:v>#NAME?</x:v>
      </x:c>
      <x:c r="F260" s="152" t="e">
        <x:f>IF(OR(E259="",E260=""),"",E260/E259-1)</x:f>
        <x:v>#NAME?</x:v>
      </x:c>
      <x:c r="G260" s="152" t="e">
        <x:f>IF(E260="","",E260/MAX(E$5:E260)-1)</x:f>
        <x:v>#NAME?</x:v>
      </x:c>
      <x:c r="H260" s="146" t="e">
        <x:f>IF(OR('实盘净值数据(iFinD公式)'!$A260="",'实盘净值数据(iFinD公式)'!$B260=""),"",分期持仓明细!$AD$19*SUMPRODUCT(分期持仓明细!$B$19:$AA$19,'实盘净值数据(iFinD公式)'!$B260:$AA260/'实盘净值数据(iFinD公式)'!$B$20:$AA$20)*(1-实盘持仓初始配置!$Z$6)^(('实盘净值数据(iFinD公式)'!$A260-'实盘净值数据(iFinD公式)'!$A$7)/365))</x:f>
        <x:v>#NAME?</x:v>
      </x:c>
      <x:c r="I260" s="152" t="e">
        <x:f>IF(OR(H259="",H260=""),"",H260/H259-1)</x:f>
        <x:v>#NAME?</x:v>
      </x:c>
      <x:c r="J260" s="152" t="e">
        <x:f>IF(H260="","",H260/MAX(H$5:H260)-1)</x:f>
        <x:v>#NAME?</x:v>
      </x:c>
      <x:c r="K260" s="146" t="e">
        <x:f>IF(OR('实盘净值数据(iFinD公式)'!$A260="",'实盘净值数据(iFinD公式)'!$B260=""),"",分期持仓明细!$AD$23*SUMPRODUCT(分期持仓明细!$B$23:$AA$23,'实盘净值数据(iFinD公式)'!$B260:$AA260/'实盘净值数据(iFinD公式)'!$B$65:$AA$65)*(1-实盘持仓初始配置!$Z$7)^(('实盘净值数据(iFinD公式)'!$A260-'实盘净值数据(iFinD公式)'!$A$8)/365))</x:f>
        <x:v>#NAME?</x:v>
      </x:c>
      <x:c r="L260" s="152" t="e">
        <x:f>IF(OR(K259="",K260=""),"",K260/K259-1)</x:f>
        <x:v>#NAME?</x:v>
      </x:c>
      <x:c r="M260" s="152" t="e">
        <x:f>IF(K260="","",K260/MAX(K$5:K260)-1)</x:f>
        <x:v>#NAME?</x:v>
      </x:c>
      <x:c r="N260" s="146" t="e">
        <x:f>IF(OR('实盘净值数据(iFinD公式)'!$A260="",'实盘净值数据(iFinD公式)'!$B260=""),"",分期持仓明细!$AD$24*SUMPRODUCT(分期持仓明细!$B$24:$AA$24,'实盘净值数据(iFinD公式)'!$B260:$AA260/'实盘净值数据(iFinD公式)'!$B$65:$AA$65)*(1-实盘持仓初始配置!$Z$8)^(('实盘净值数据(iFinD公式)'!$A260-'实盘净值数据(iFinD公式)'!$A$5)/365))</x:f>
        <x:v>#NAME?</x:v>
      </x:c>
      <x:c r="O260" s="152" t="e">
        <x:f>IF(OR(N259="",N260=""),"",N260/N259-1)</x:f>
        <x:v>#NAME?</x:v>
      </x:c>
      <x:c r="P260" s="152" t="e">
        <x:f>IF(N260="","",N260/MAX(N$5:N260)-1)</x:f>
        <x:v>#NAME?</x:v>
      </x:c>
      <x:c r="Q260" s="146" t="e">
        <x:f>IF(OR('实盘净值数据(iFinD公式)'!$A260="",'实盘净值数据(iFinD公式)'!$B260=""),"",分期持仓明细!$AD$25*SUMPRODUCT(分期持仓明细!$B$25:$AA$25,'实盘净值数据(iFinD公式)'!$B260:$AA260/'实盘净值数据(iFinD公式)'!$B$65:$AA$65)*(1-实盘持仓初始配置!$Z$9)^(('实盘净值数据(iFinD公式)'!$A260-'实盘净值数据(iFinD公式)'!$A$8)/365))</x:f>
        <x:v>#NAME?</x:v>
      </x:c>
      <x:c r="R260" s="152" t="e">
        <x:f>IF(OR(Q259="",Q260=""),"",Q260/Q259-1)</x:f>
        <x:v>#NAME?</x:v>
      </x:c>
      <x:c r="S260" s="152" t="e">
        <x:f>IF(Q260="","",Q260/MAX(Q$5:Q260)-1)</x:f>
        <x:v>#NAME?</x:v>
      </x:c>
    </x:row>
    <x:row r="261">
      <x:c r="A261" s="149" t="str">
        <x:f>IF('实盘净值数据(iFinD公式)'!A261="","",'实盘净值数据(iFinD公式)'!A261)</x:f>
      </x:c>
      <x:c r="B261" s="146" t="e">
        <x:f>IF(OR('实盘净值数据(iFinD公式)'!$A261="",'实盘净值数据(iFinD公式)'!$B261=""),"",分期持仓明细!$AD$17*SUMPRODUCT(分期持仓明细!$B$17:$AA$17,'实盘净值数据(iFinD公式)'!$B261:$AA261/'实盘净值数据(iFinD公式)'!$B$20:$AA$20)*(1-实盘持仓初始配置!$Z$4)^(('实盘净值数据(iFinD公式)'!$A261-'实盘净值数据(iFinD公式)'!$A$6)/365))</x:f>
        <x:v>#NAME?</x:v>
      </x:c>
      <x:c r="C261" s="152" t="e">
        <x:f>IF(OR(B260="",B261=""),"",B261/B260-1)</x:f>
        <x:v>#NAME?</x:v>
      </x:c>
      <x:c r="D261" s="152" t="e">
        <x:f>IF(B261="","",B261/MAX(B$5:B261)-1)</x:f>
        <x:v>#NAME?</x:v>
      </x:c>
      <x:c r="E261" s="146" t="e">
        <x:f>IF(OR('实盘净值数据(iFinD公式)'!$A261="",'实盘净值数据(iFinD公式)'!$B261=""),"",分期持仓明细!$AD$18*SUMPRODUCT(分期持仓明细!$B$18:$AA$18,'实盘净值数据(iFinD公式)'!$B261:$AA261/'实盘净值数据(iFinD公式)'!$B$20:$AA$20)*(1-实盘持仓初始配置!$Z$5)^(('实盘净值数据(iFinD公式)'!$A261-'实盘净值数据(iFinD公式)'!$A$5)/365))</x:f>
        <x:v>#NAME?</x:v>
      </x:c>
      <x:c r="F261" s="152" t="e">
        <x:f>IF(OR(E260="",E261=""),"",E261/E260-1)</x:f>
        <x:v>#NAME?</x:v>
      </x:c>
      <x:c r="G261" s="152" t="e">
        <x:f>IF(E261="","",E261/MAX(E$5:E261)-1)</x:f>
        <x:v>#NAME?</x:v>
      </x:c>
      <x:c r="H261" s="146" t="e">
        <x:f>IF(OR('实盘净值数据(iFinD公式)'!$A261="",'实盘净值数据(iFinD公式)'!$B261=""),"",分期持仓明细!$AD$19*SUMPRODUCT(分期持仓明细!$B$19:$AA$19,'实盘净值数据(iFinD公式)'!$B261:$AA261/'实盘净值数据(iFinD公式)'!$B$20:$AA$20)*(1-实盘持仓初始配置!$Z$6)^(('实盘净值数据(iFinD公式)'!$A261-'实盘净值数据(iFinD公式)'!$A$7)/365))</x:f>
        <x:v>#NAME?</x:v>
      </x:c>
      <x:c r="I261" s="152" t="e">
        <x:f>IF(OR(H260="",H261=""),"",H261/H260-1)</x:f>
        <x:v>#NAME?</x:v>
      </x:c>
      <x:c r="J261" s="152" t="e">
        <x:f>IF(H261="","",H261/MAX(H$5:H261)-1)</x:f>
        <x:v>#NAME?</x:v>
      </x:c>
      <x:c r="K261" s="146" t="e">
        <x:f>IF(OR('实盘净值数据(iFinD公式)'!$A261="",'实盘净值数据(iFinD公式)'!$B261=""),"",分期持仓明细!$AD$23*SUMPRODUCT(分期持仓明细!$B$23:$AA$23,'实盘净值数据(iFinD公式)'!$B261:$AA261/'实盘净值数据(iFinD公式)'!$B$65:$AA$65)*(1-实盘持仓初始配置!$Z$7)^(('实盘净值数据(iFinD公式)'!$A261-'实盘净值数据(iFinD公式)'!$A$8)/365))</x:f>
        <x:v>#NAME?</x:v>
      </x:c>
      <x:c r="L261" s="152" t="e">
        <x:f>IF(OR(K260="",K261=""),"",K261/K260-1)</x:f>
        <x:v>#NAME?</x:v>
      </x:c>
      <x:c r="M261" s="152" t="e">
        <x:f>IF(K261="","",K261/MAX(K$5:K261)-1)</x:f>
        <x:v>#NAME?</x:v>
      </x:c>
      <x:c r="N261" s="146" t="e">
        <x:f>IF(OR('实盘净值数据(iFinD公式)'!$A261="",'实盘净值数据(iFinD公式)'!$B261=""),"",分期持仓明细!$AD$24*SUMPRODUCT(分期持仓明细!$B$24:$AA$24,'实盘净值数据(iFinD公式)'!$B261:$AA261/'实盘净值数据(iFinD公式)'!$B$65:$AA$65)*(1-实盘持仓初始配置!$Z$8)^(('实盘净值数据(iFinD公式)'!$A261-'实盘净值数据(iFinD公式)'!$A$5)/365))</x:f>
        <x:v>#NAME?</x:v>
      </x:c>
      <x:c r="O261" s="152" t="e">
        <x:f>IF(OR(N260="",N261=""),"",N261/N260-1)</x:f>
        <x:v>#NAME?</x:v>
      </x:c>
      <x:c r="P261" s="152" t="e">
        <x:f>IF(N261="","",N261/MAX(N$5:N261)-1)</x:f>
        <x:v>#NAME?</x:v>
      </x:c>
      <x:c r="Q261" s="146" t="e">
        <x:f>IF(OR('实盘净值数据(iFinD公式)'!$A261="",'实盘净值数据(iFinD公式)'!$B261=""),"",分期持仓明细!$AD$25*SUMPRODUCT(分期持仓明细!$B$25:$AA$25,'实盘净值数据(iFinD公式)'!$B261:$AA261/'实盘净值数据(iFinD公式)'!$B$65:$AA$65)*(1-实盘持仓初始配置!$Z$9)^(('实盘净值数据(iFinD公式)'!$A261-'实盘净值数据(iFinD公式)'!$A$8)/365))</x:f>
        <x:v>#NAME?</x:v>
      </x:c>
      <x:c r="R261" s="152" t="e">
        <x:f>IF(OR(Q260="",Q261=""),"",Q261/Q260-1)</x:f>
        <x:v>#NAME?</x:v>
      </x:c>
      <x:c r="S261" s="152" t="e">
        <x:f>IF(Q261="","",Q261/MAX(Q$5:Q261)-1)</x:f>
        <x:v>#NAME?</x:v>
      </x:c>
    </x:row>
    <x:row r="262">
      <x:c r="A262" s="149" t="str">
        <x:f>IF('实盘净值数据(iFinD公式)'!A262="","",'实盘净值数据(iFinD公式)'!A262)</x:f>
      </x:c>
      <x:c r="B262" s="146" t="e">
        <x:f>IF(OR('实盘净值数据(iFinD公式)'!$A262="",'实盘净值数据(iFinD公式)'!$B262=""),"",分期持仓明细!$AD$17*SUMPRODUCT(分期持仓明细!$B$17:$AA$17,'实盘净值数据(iFinD公式)'!$B262:$AA262/'实盘净值数据(iFinD公式)'!$B$20:$AA$20)*(1-实盘持仓初始配置!$Z$4)^(('实盘净值数据(iFinD公式)'!$A262-'实盘净值数据(iFinD公式)'!$A$6)/365))</x:f>
        <x:v>#NAME?</x:v>
      </x:c>
      <x:c r="C262" s="152" t="e">
        <x:f>IF(OR(B261="",B262=""),"",B262/B261-1)</x:f>
        <x:v>#NAME?</x:v>
      </x:c>
      <x:c r="D262" s="152" t="e">
        <x:f>IF(B262="","",B262/MAX(B$5:B262)-1)</x:f>
        <x:v>#NAME?</x:v>
      </x:c>
      <x:c r="E262" s="146" t="e">
        <x:f>IF(OR('实盘净值数据(iFinD公式)'!$A262="",'实盘净值数据(iFinD公式)'!$B262=""),"",分期持仓明细!$AD$18*SUMPRODUCT(分期持仓明细!$B$18:$AA$18,'实盘净值数据(iFinD公式)'!$B262:$AA262/'实盘净值数据(iFinD公式)'!$B$20:$AA$20)*(1-实盘持仓初始配置!$Z$5)^(('实盘净值数据(iFinD公式)'!$A262-'实盘净值数据(iFinD公式)'!$A$5)/365))</x:f>
        <x:v>#NAME?</x:v>
      </x:c>
      <x:c r="F262" s="152" t="e">
        <x:f>IF(OR(E261="",E262=""),"",E262/E261-1)</x:f>
        <x:v>#NAME?</x:v>
      </x:c>
      <x:c r="G262" s="152" t="e">
        <x:f>IF(E262="","",E262/MAX(E$5:E262)-1)</x:f>
        <x:v>#NAME?</x:v>
      </x:c>
      <x:c r="H262" s="146" t="e">
        <x:f>IF(OR('实盘净值数据(iFinD公式)'!$A262="",'实盘净值数据(iFinD公式)'!$B262=""),"",分期持仓明细!$AD$19*SUMPRODUCT(分期持仓明细!$B$19:$AA$19,'实盘净值数据(iFinD公式)'!$B262:$AA262/'实盘净值数据(iFinD公式)'!$B$20:$AA$20)*(1-实盘持仓初始配置!$Z$6)^(('实盘净值数据(iFinD公式)'!$A262-'实盘净值数据(iFinD公式)'!$A$7)/365))</x:f>
        <x:v>#NAME?</x:v>
      </x:c>
      <x:c r="I262" s="152" t="e">
        <x:f>IF(OR(H261="",H262=""),"",H262/H261-1)</x:f>
        <x:v>#NAME?</x:v>
      </x:c>
      <x:c r="J262" s="152" t="e">
        <x:f>IF(H262="","",H262/MAX(H$5:H262)-1)</x:f>
        <x:v>#NAME?</x:v>
      </x:c>
      <x:c r="K262" s="146" t="e">
        <x:f>IF(OR('实盘净值数据(iFinD公式)'!$A262="",'实盘净值数据(iFinD公式)'!$B262=""),"",分期持仓明细!$AD$23*SUMPRODUCT(分期持仓明细!$B$23:$AA$23,'实盘净值数据(iFinD公式)'!$B262:$AA262/'实盘净值数据(iFinD公式)'!$B$65:$AA$65)*(1-实盘持仓初始配置!$Z$7)^(('实盘净值数据(iFinD公式)'!$A262-'实盘净值数据(iFinD公式)'!$A$8)/365))</x:f>
        <x:v>#NAME?</x:v>
      </x:c>
      <x:c r="L262" s="152" t="e">
        <x:f>IF(OR(K261="",K262=""),"",K262/K261-1)</x:f>
        <x:v>#NAME?</x:v>
      </x:c>
      <x:c r="M262" s="152" t="e">
        <x:f>IF(K262="","",K262/MAX(K$5:K262)-1)</x:f>
        <x:v>#NAME?</x:v>
      </x:c>
      <x:c r="N262" s="146" t="e">
        <x:f>IF(OR('实盘净值数据(iFinD公式)'!$A262="",'实盘净值数据(iFinD公式)'!$B262=""),"",分期持仓明细!$AD$24*SUMPRODUCT(分期持仓明细!$B$24:$AA$24,'实盘净值数据(iFinD公式)'!$B262:$AA262/'实盘净值数据(iFinD公式)'!$B$65:$AA$65)*(1-实盘持仓初始配置!$Z$8)^(('实盘净值数据(iFinD公式)'!$A262-'实盘净值数据(iFinD公式)'!$A$5)/365))</x:f>
        <x:v>#NAME?</x:v>
      </x:c>
      <x:c r="O262" s="152" t="e">
        <x:f>IF(OR(N261="",N262=""),"",N262/N261-1)</x:f>
        <x:v>#NAME?</x:v>
      </x:c>
      <x:c r="P262" s="152" t="e">
        <x:f>IF(N262="","",N262/MAX(N$5:N262)-1)</x:f>
        <x:v>#NAME?</x:v>
      </x:c>
      <x:c r="Q262" s="146" t="e">
        <x:f>IF(OR('实盘净值数据(iFinD公式)'!$A262="",'实盘净值数据(iFinD公式)'!$B262=""),"",分期持仓明细!$AD$25*SUMPRODUCT(分期持仓明细!$B$25:$AA$25,'实盘净值数据(iFinD公式)'!$B262:$AA262/'实盘净值数据(iFinD公式)'!$B$65:$AA$65)*(1-实盘持仓初始配置!$Z$9)^(('实盘净值数据(iFinD公式)'!$A262-'实盘净值数据(iFinD公式)'!$A$8)/365))</x:f>
        <x:v>#NAME?</x:v>
      </x:c>
      <x:c r="R262" s="152" t="e">
        <x:f>IF(OR(Q261="",Q262=""),"",Q262/Q261-1)</x:f>
        <x:v>#NAME?</x:v>
      </x:c>
      <x:c r="S262" s="152" t="e">
        <x:f>IF(Q262="","",Q262/MAX(Q$5:Q262)-1)</x:f>
        <x:v>#NAME?</x:v>
      </x:c>
    </x:row>
    <x:row r="263">
      <x:c r="A263" s="149" t="str">
        <x:f>IF('实盘净值数据(iFinD公式)'!A263="","",'实盘净值数据(iFinD公式)'!A263)</x:f>
      </x:c>
      <x:c r="B263" s="146" t="e">
        <x:f>IF(OR('实盘净值数据(iFinD公式)'!$A263="",'实盘净值数据(iFinD公式)'!$B263=""),"",分期持仓明细!$AD$17*SUMPRODUCT(分期持仓明细!$B$17:$AA$17,'实盘净值数据(iFinD公式)'!$B263:$AA263/'实盘净值数据(iFinD公式)'!$B$20:$AA$20)*(1-实盘持仓初始配置!$Z$4)^(('实盘净值数据(iFinD公式)'!$A263-'实盘净值数据(iFinD公式)'!$A$6)/365))</x:f>
        <x:v>#NAME?</x:v>
      </x:c>
      <x:c r="C263" s="152" t="e">
        <x:f>IF(OR(B262="",B263=""),"",B263/B262-1)</x:f>
        <x:v>#NAME?</x:v>
      </x:c>
      <x:c r="D263" s="152" t="e">
        <x:f>IF(B263="","",B263/MAX(B$5:B263)-1)</x:f>
        <x:v>#NAME?</x:v>
      </x:c>
      <x:c r="E263" s="146" t="e">
        <x:f>IF(OR('实盘净值数据(iFinD公式)'!$A263="",'实盘净值数据(iFinD公式)'!$B263=""),"",分期持仓明细!$AD$18*SUMPRODUCT(分期持仓明细!$B$18:$AA$18,'实盘净值数据(iFinD公式)'!$B263:$AA263/'实盘净值数据(iFinD公式)'!$B$20:$AA$20)*(1-实盘持仓初始配置!$Z$5)^(('实盘净值数据(iFinD公式)'!$A263-'实盘净值数据(iFinD公式)'!$A$5)/365))</x:f>
        <x:v>#NAME?</x:v>
      </x:c>
      <x:c r="F263" s="152" t="e">
        <x:f>IF(OR(E262="",E263=""),"",E263/E262-1)</x:f>
        <x:v>#NAME?</x:v>
      </x:c>
      <x:c r="G263" s="152" t="e">
        <x:f>IF(E263="","",E263/MAX(E$5:E263)-1)</x:f>
        <x:v>#NAME?</x:v>
      </x:c>
      <x:c r="H263" s="146" t="e">
        <x:f>IF(OR('实盘净值数据(iFinD公式)'!$A263="",'实盘净值数据(iFinD公式)'!$B263=""),"",分期持仓明细!$AD$19*SUMPRODUCT(分期持仓明细!$B$19:$AA$19,'实盘净值数据(iFinD公式)'!$B263:$AA263/'实盘净值数据(iFinD公式)'!$B$20:$AA$20)*(1-实盘持仓初始配置!$Z$6)^(('实盘净值数据(iFinD公式)'!$A263-'实盘净值数据(iFinD公式)'!$A$7)/365))</x:f>
        <x:v>#NAME?</x:v>
      </x:c>
      <x:c r="I263" s="152" t="e">
        <x:f>IF(OR(H262="",H263=""),"",H263/H262-1)</x:f>
        <x:v>#NAME?</x:v>
      </x:c>
      <x:c r="J263" s="152" t="e">
        <x:f>IF(H263="","",H263/MAX(H$5:H263)-1)</x:f>
        <x:v>#NAME?</x:v>
      </x:c>
      <x:c r="K263" s="146" t="e">
        <x:f>IF(OR('实盘净值数据(iFinD公式)'!$A263="",'实盘净值数据(iFinD公式)'!$B263=""),"",分期持仓明细!$AD$23*SUMPRODUCT(分期持仓明细!$B$23:$AA$23,'实盘净值数据(iFinD公式)'!$B263:$AA263/'实盘净值数据(iFinD公式)'!$B$65:$AA$65)*(1-实盘持仓初始配置!$Z$7)^(('实盘净值数据(iFinD公式)'!$A263-'实盘净值数据(iFinD公式)'!$A$8)/365))</x:f>
        <x:v>#NAME?</x:v>
      </x:c>
      <x:c r="L263" s="152" t="e">
        <x:f>IF(OR(K262="",K263=""),"",K263/K262-1)</x:f>
        <x:v>#NAME?</x:v>
      </x:c>
      <x:c r="M263" s="152" t="e">
        <x:f>IF(K263="","",K263/MAX(K$5:K263)-1)</x:f>
        <x:v>#NAME?</x:v>
      </x:c>
      <x:c r="N263" s="146" t="e">
        <x:f>IF(OR('实盘净值数据(iFinD公式)'!$A263="",'实盘净值数据(iFinD公式)'!$B263=""),"",分期持仓明细!$AD$24*SUMPRODUCT(分期持仓明细!$B$24:$AA$24,'实盘净值数据(iFinD公式)'!$B263:$AA263/'实盘净值数据(iFinD公式)'!$B$65:$AA$65)*(1-实盘持仓初始配置!$Z$8)^(('实盘净值数据(iFinD公式)'!$A263-'实盘净值数据(iFinD公式)'!$A$5)/365))</x:f>
        <x:v>#NAME?</x:v>
      </x:c>
      <x:c r="O263" s="152" t="e">
        <x:f>IF(OR(N262="",N263=""),"",N263/N262-1)</x:f>
        <x:v>#NAME?</x:v>
      </x:c>
      <x:c r="P263" s="152" t="e">
        <x:f>IF(N263="","",N263/MAX(N$5:N263)-1)</x:f>
        <x:v>#NAME?</x:v>
      </x:c>
      <x:c r="Q263" s="146" t="e">
        <x:f>IF(OR('实盘净值数据(iFinD公式)'!$A263="",'实盘净值数据(iFinD公式)'!$B263=""),"",分期持仓明细!$AD$25*SUMPRODUCT(分期持仓明细!$B$25:$AA$25,'实盘净值数据(iFinD公式)'!$B263:$AA263/'实盘净值数据(iFinD公式)'!$B$65:$AA$65)*(1-实盘持仓初始配置!$Z$9)^(('实盘净值数据(iFinD公式)'!$A263-'实盘净值数据(iFinD公式)'!$A$8)/365))</x:f>
        <x:v>#NAME?</x:v>
      </x:c>
      <x:c r="R263" s="152" t="e">
        <x:f>IF(OR(Q262="",Q263=""),"",Q263/Q262-1)</x:f>
        <x:v>#NAME?</x:v>
      </x:c>
      <x:c r="S263" s="152" t="e">
        <x:f>IF(Q263="","",Q263/MAX(Q$5:Q263)-1)</x:f>
        <x:v>#NAME?</x:v>
      </x:c>
    </x:row>
    <x:row r="264">
      <x:c r="A264" s="149" t="str">
        <x:f>IF('实盘净值数据(iFinD公式)'!A264="","",'实盘净值数据(iFinD公式)'!A264)</x:f>
      </x:c>
      <x:c r="B264" s="146" t="e">
        <x:f>IF(OR('实盘净值数据(iFinD公式)'!$A264="",'实盘净值数据(iFinD公式)'!$B264=""),"",分期持仓明细!$AD$17*SUMPRODUCT(分期持仓明细!$B$17:$AA$17,'实盘净值数据(iFinD公式)'!$B264:$AA264/'实盘净值数据(iFinD公式)'!$B$20:$AA$20)*(1-实盘持仓初始配置!$Z$4)^(('实盘净值数据(iFinD公式)'!$A264-'实盘净值数据(iFinD公式)'!$A$6)/365))</x:f>
        <x:v>#NAME?</x:v>
      </x:c>
      <x:c r="C264" s="152" t="e">
        <x:f>IF(OR(B263="",B264=""),"",B264/B263-1)</x:f>
        <x:v>#NAME?</x:v>
      </x:c>
      <x:c r="D264" s="152" t="e">
        <x:f>IF(B264="","",B264/MAX(B$5:B264)-1)</x:f>
        <x:v>#NAME?</x:v>
      </x:c>
      <x:c r="E264" s="146" t="e">
        <x:f>IF(OR('实盘净值数据(iFinD公式)'!$A264="",'实盘净值数据(iFinD公式)'!$B264=""),"",分期持仓明细!$AD$18*SUMPRODUCT(分期持仓明细!$B$18:$AA$18,'实盘净值数据(iFinD公式)'!$B264:$AA264/'实盘净值数据(iFinD公式)'!$B$20:$AA$20)*(1-实盘持仓初始配置!$Z$5)^(('实盘净值数据(iFinD公式)'!$A264-'实盘净值数据(iFinD公式)'!$A$5)/365))</x:f>
        <x:v>#NAME?</x:v>
      </x:c>
      <x:c r="F264" s="152" t="e">
        <x:f>IF(OR(E263="",E264=""),"",E264/E263-1)</x:f>
        <x:v>#NAME?</x:v>
      </x:c>
      <x:c r="G264" s="152" t="e">
        <x:f>IF(E264="","",E264/MAX(E$5:E264)-1)</x:f>
        <x:v>#NAME?</x:v>
      </x:c>
      <x:c r="H264" s="146" t="e">
        <x:f>IF(OR('实盘净值数据(iFinD公式)'!$A264="",'实盘净值数据(iFinD公式)'!$B264=""),"",分期持仓明细!$AD$19*SUMPRODUCT(分期持仓明细!$B$19:$AA$19,'实盘净值数据(iFinD公式)'!$B264:$AA264/'实盘净值数据(iFinD公式)'!$B$20:$AA$20)*(1-实盘持仓初始配置!$Z$6)^(('实盘净值数据(iFinD公式)'!$A264-'实盘净值数据(iFinD公式)'!$A$7)/365))</x:f>
        <x:v>#NAME?</x:v>
      </x:c>
      <x:c r="I264" s="152" t="e">
        <x:f>IF(OR(H263="",H264=""),"",H264/H263-1)</x:f>
        <x:v>#NAME?</x:v>
      </x:c>
      <x:c r="J264" s="152" t="e">
        <x:f>IF(H264="","",H264/MAX(H$5:H264)-1)</x:f>
        <x:v>#NAME?</x:v>
      </x:c>
      <x:c r="K264" s="146" t="e">
        <x:f>IF(OR('实盘净值数据(iFinD公式)'!$A264="",'实盘净值数据(iFinD公式)'!$B264=""),"",分期持仓明细!$AD$23*SUMPRODUCT(分期持仓明细!$B$23:$AA$23,'实盘净值数据(iFinD公式)'!$B264:$AA264/'实盘净值数据(iFinD公式)'!$B$65:$AA$65)*(1-实盘持仓初始配置!$Z$7)^(('实盘净值数据(iFinD公式)'!$A264-'实盘净值数据(iFinD公式)'!$A$8)/365))</x:f>
        <x:v>#NAME?</x:v>
      </x:c>
      <x:c r="L264" s="152" t="e">
        <x:f>IF(OR(K263="",K264=""),"",K264/K263-1)</x:f>
        <x:v>#NAME?</x:v>
      </x:c>
      <x:c r="M264" s="152" t="e">
        <x:f>IF(K264="","",K264/MAX(K$5:K264)-1)</x:f>
        <x:v>#NAME?</x:v>
      </x:c>
      <x:c r="N264" s="146" t="e">
        <x:f>IF(OR('实盘净值数据(iFinD公式)'!$A264="",'实盘净值数据(iFinD公式)'!$B264=""),"",分期持仓明细!$AD$24*SUMPRODUCT(分期持仓明细!$B$24:$AA$24,'实盘净值数据(iFinD公式)'!$B264:$AA264/'实盘净值数据(iFinD公式)'!$B$65:$AA$65)*(1-实盘持仓初始配置!$Z$8)^(('实盘净值数据(iFinD公式)'!$A264-'实盘净值数据(iFinD公式)'!$A$5)/365))</x:f>
        <x:v>#NAME?</x:v>
      </x:c>
      <x:c r="O264" s="152" t="e">
        <x:f>IF(OR(N263="",N264=""),"",N264/N263-1)</x:f>
        <x:v>#NAME?</x:v>
      </x:c>
      <x:c r="P264" s="152" t="e">
        <x:f>IF(N264="","",N264/MAX(N$5:N264)-1)</x:f>
        <x:v>#NAME?</x:v>
      </x:c>
      <x:c r="Q264" s="146" t="e">
        <x:f>IF(OR('实盘净值数据(iFinD公式)'!$A264="",'实盘净值数据(iFinD公式)'!$B264=""),"",分期持仓明细!$AD$25*SUMPRODUCT(分期持仓明细!$B$25:$AA$25,'实盘净值数据(iFinD公式)'!$B264:$AA264/'实盘净值数据(iFinD公式)'!$B$65:$AA$65)*(1-实盘持仓初始配置!$Z$9)^(('实盘净值数据(iFinD公式)'!$A264-'实盘净值数据(iFinD公式)'!$A$8)/365))</x:f>
        <x:v>#NAME?</x:v>
      </x:c>
      <x:c r="R264" s="152" t="e">
        <x:f>IF(OR(Q263="",Q264=""),"",Q264/Q263-1)</x:f>
        <x:v>#NAME?</x:v>
      </x:c>
      <x:c r="S264" s="152" t="e">
        <x:f>IF(Q264="","",Q264/MAX(Q$5:Q264)-1)</x:f>
        <x:v>#NAME?</x:v>
      </x:c>
    </x:row>
    <x:row r="265">
      <x:c r="A265" s="149" t="str">
        <x:f>IF('实盘净值数据(iFinD公式)'!A265="","",'实盘净值数据(iFinD公式)'!A265)</x:f>
      </x:c>
      <x:c r="B265" s="146" t="e">
        <x:f>IF(OR('实盘净值数据(iFinD公式)'!$A265="",'实盘净值数据(iFinD公式)'!$B265=""),"",分期持仓明细!$AD$17*SUMPRODUCT(分期持仓明细!$B$17:$AA$17,'实盘净值数据(iFinD公式)'!$B265:$AA265/'实盘净值数据(iFinD公式)'!$B$20:$AA$20)*(1-实盘持仓初始配置!$Z$4)^(('实盘净值数据(iFinD公式)'!$A265-'实盘净值数据(iFinD公式)'!$A$6)/365))</x:f>
        <x:v>#NAME?</x:v>
      </x:c>
      <x:c r="C265" s="152" t="e">
        <x:f>IF(OR(B264="",B265=""),"",B265/B264-1)</x:f>
        <x:v>#NAME?</x:v>
      </x:c>
      <x:c r="D265" s="152" t="e">
        <x:f>IF(B265="","",B265/MAX(B$5:B265)-1)</x:f>
        <x:v>#NAME?</x:v>
      </x:c>
      <x:c r="E265" s="146" t="e">
        <x:f>IF(OR('实盘净值数据(iFinD公式)'!$A265="",'实盘净值数据(iFinD公式)'!$B265=""),"",分期持仓明细!$AD$18*SUMPRODUCT(分期持仓明细!$B$18:$AA$18,'实盘净值数据(iFinD公式)'!$B265:$AA265/'实盘净值数据(iFinD公式)'!$B$20:$AA$20)*(1-实盘持仓初始配置!$Z$5)^(('实盘净值数据(iFinD公式)'!$A265-'实盘净值数据(iFinD公式)'!$A$5)/365))</x:f>
        <x:v>#NAME?</x:v>
      </x:c>
      <x:c r="F265" s="152" t="e">
        <x:f>IF(OR(E264="",E265=""),"",E265/E264-1)</x:f>
        <x:v>#NAME?</x:v>
      </x:c>
      <x:c r="G265" s="152" t="e">
        <x:f>IF(E265="","",E265/MAX(E$5:E265)-1)</x:f>
        <x:v>#NAME?</x:v>
      </x:c>
      <x:c r="H265" s="146" t="e">
        <x:f>IF(OR('实盘净值数据(iFinD公式)'!$A265="",'实盘净值数据(iFinD公式)'!$B265=""),"",分期持仓明细!$AD$19*SUMPRODUCT(分期持仓明细!$B$19:$AA$19,'实盘净值数据(iFinD公式)'!$B265:$AA265/'实盘净值数据(iFinD公式)'!$B$20:$AA$20)*(1-实盘持仓初始配置!$Z$6)^(('实盘净值数据(iFinD公式)'!$A265-'实盘净值数据(iFinD公式)'!$A$7)/365))</x:f>
        <x:v>#NAME?</x:v>
      </x:c>
      <x:c r="I265" s="152" t="e">
        <x:f>IF(OR(H264="",H265=""),"",H265/H264-1)</x:f>
        <x:v>#NAME?</x:v>
      </x:c>
      <x:c r="J265" s="152" t="e">
        <x:f>IF(H265="","",H265/MAX(H$5:H265)-1)</x:f>
        <x:v>#NAME?</x:v>
      </x:c>
      <x:c r="K265" s="146" t="e">
        <x:f>IF(OR('实盘净值数据(iFinD公式)'!$A265="",'实盘净值数据(iFinD公式)'!$B265=""),"",分期持仓明细!$AD$23*SUMPRODUCT(分期持仓明细!$B$23:$AA$23,'实盘净值数据(iFinD公式)'!$B265:$AA265/'实盘净值数据(iFinD公式)'!$B$65:$AA$65)*(1-实盘持仓初始配置!$Z$7)^(('实盘净值数据(iFinD公式)'!$A265-'实盘净值数据(iFinD公式)'!$A$8)/365))</x:f>
        <x:v>#NAME?</x:v>
      </x:c>
      <x:c r="L265" s="152" t="e">
        <x:f>IF(OR(K264="",K265=""),"",K265/K264-1)</x:f>
        <x:v>#NAME?</x:v>
      </x:c>
      <x:c r="M265" s="152" t="e">
        <x:f>IF(K265="","",K265/MAX(K$5:K265)-1)</x:f>
        <x:v>#NAME?</x:v>
      </x:c>
      <x:c r="N265" s="146" t="e">
        <x:f>IF(OR('实盘净值数据(iFinD公式)'!$A265="",'实盘净值数据(iFinD公式)'!$B265=""),"",分期持仓明细!$AD$24*SUMPRODUCT(分期持仓明细!$B$24:$AA$24,'实盘净值数据(iFinD公式)'!$B265:$AA265/'实盘净值数据(iFinD公式)'!$B$65:$AA$65)*(1-实盘持仓初始配置!$Z$8)^(('实盘净值数据(iFinD公式)'!$A265-'实盘净值数据(iFinD公式)'!$A$5)/365))</x:f>
        <x:v>#NAME?</x:v>
      </x:c>
      <x:c r="O265" s="152" t="e">
        <x:f>IF(OR(N264="",N265=""),"",N265/N264-1)</x:f>
        <x:v>#NAME?</x:v>
      </x:c>
      <x:c r="P265" s="152" t="e">
        <x:f>IF(N265="","",N265/MAX(N$5:N265)-1)</x:f>
        <x:v>#NAME?</x:v>
      </x:c>
      <x:c r="Q265" s="146" t="e">
        <x:f>IF(OR('实盘净值数据(iFinD公式)'!$A265="",'实盘净值数据(iFinD公式)'!$B265=""),"",分期持仓明细!$AD$25*SUMPRODUCT(分期持仓明细!$B$25:$AA$25,'实盘净值数据(iFinD公式)'!$B265:$AA265/'实盘净值数据(iFinD公式)'!$B$65:$AA$65)*(1-实盘持仓初始配置!$Z$9)^(('实盘净值数据(iFinD公式)'!$A265-'实盘净值数据(iFinD公式)'!$A$8)/365))</x:f>
        <x:v>#NAME?</x:v>
      </x:c>
      <x:c r="R265" s="152" t="e">
        <x:f>IF(OR(Q264="",Q265=""),"",Q265/Q264-1)</x:f>
        <x:v>#NAME?</x:v>
      </x:c>
      <x:c r="S265" s="152" t="e">
        <x:f>IF(Q265="","",Q265/MAX(Q$5:Q265)-1)</x:f>
        <x:v>#NAME?</x:v>
      </x:c>
    </x:row>
    <x:row r="266">
      <x:c r="A266" s="149" t="str">
        <x:f>IF('实盘净值数据(iFinD公式)'!A266="","",'实盘净值数据(iFinD公式)'!A266)</x:f>
      </x:c>
      <x:c r="B266" s="146" t="e">
        <x:f>IF(OR('实盘净值数据(iFinD公式)'!$A266="",'实盘净值数据(iFinD公式)'!$B266=""),"",分期持仓明细!$AD$17*SUMPRODUCT(分期持仓明细!$B$17:$AA$17,'实盘净值数据(iFinD公式)'!$B266:$AA266/'实盘净值数据(iFinD公式)'!$B$20:$AA$20)*(1-实盘持仓初始配置!$Z$4)^(('实盘净值数据(iFinD公式)'!$A266-'实盘净值数据(iFinD公式)'!$A$6)/365))</x:f>
        <x:v>#NAME?</x:v>
      </x:c>
      <x:c r="C266" s="152" t="e">
        <x:f>IF(OR(B265="",B266=""),"",B266/B265-1)</x:f>
        <x:v>#NAME?</x:v>
      </x:c>
      <x:c r="D266" s="152" t="e">
        <x:f>IF(B266="","",B266/MAX(B$5:B266)-1)</x:f>
        <x:v>#NAME?</x:v>
      </x:c>
      <x:c r="E266" s="146" t="e">
        <x:f>IF(OR('实盘净值数据(iFinD公式)'!$A266="",'实盘净值数据(iFinD公式)'!$B266=""),"",分期持仓明细!$AD$18*SUMPRODUCT(分期持仓明细!$B$18:$AA$18,'实盘净值数据(iFinD公式)'!$B266:$AA266/'实盘净值数据(iFinD公式)'!$B$20:$AA$20)*(1-实盘持仓初始配置!$Z$5)^(('实盘净值数据(iFinD公式)'!$A266-'实盘净值数据(iFinD公式)'!$A$5)/365))</x:f>
        <x:v>#NAME?</x:v>
      </x:c>
      <x:c r="F266" s="152" t="e">
        <x:f>IF(OR(E265="",E266=""),"",E266/E265-1)</x:f>
        <x:v>#NAME?</x:v>
      </x:c>
      <x:c r="G266" s="152" t="e">
        <x:f>IF(E266="","",E266/MAX(E$5:E266)-1)</x:f>
        <x:v>#NAME?</x:v>
      </x:c>
      <x:c r="H266" s="146" t="e">
        <x:f>IF(OR('实盘净值数据(iFinD公式)'!$A266="",'实盘净值数据(iFinD公式)'!$B266=""),"",分期持仓明细!$AD$19*SUMPRODUCT(分期持仓明细!$B$19:$AA$19,'实盘净值数据(iFinD公式)'!$B266:$AA266/'实盘净值数据(iFinD公式)'!$B$20:$AA$20)*(1-实盘持仓初始配置!$Z$6)^(('实盘净值数据(iFinD公式)'!$A266-'实盘净值数据(iFinD公式)'!$A$7)/365))</x:f>
        <x:v>#NAME?</x:v>
      </x:c>
      <x:c r="I266" s="152" t="e">
        <x:f>IF(OR(H265="",H266=""),"",H266/H265-1)</x:f>
        <x:v>#NAME?</x:v>
      </x:c>
      <x:c r="J266" s="152" t="e">
        <x:f>IF(H266="","",H266/MAX(H$5:H266)-1)</x:f>
        <x:v>#NAME?</x:v>
      </x:c>
      <x:c r="K266" s="146" t="e">
        <x:f>IF(OR('实盘净值数据(iFinD公式)'!$A266="",'实盘净值数据(iFinD公式)'!$B266=""),"",分期持仓明细!$AD$23*SUMPRODUCT(分期持仓明细!$B$23:$AA$23,'实盘净值数据(iFinD公式)'!$B266:$AA266/'实盘净值数据(iFinD公式)'!$B$65:$AA$65)*(1-实盘持仓初始配置!$Z$7)^(('实盘净值数据(iFinD公式)'!$A266-'实盘净值数据(iFinD公式)'!$A$8)/365))</x:f>
        <x:v>#NAME?</x:v>
      </x:c>
      <x:c r="L266" s="152" t="e">
        <x:f>IF(OR(K265="",K266=""),"",K266/K265-1)</x:f>
        <x:v>#NAME?</x:v>
      </x:c>
      <x:c r="M266" s="152" t="e">
        <x:f>IF(K266="","",K266/MAX(K$5:K266)-1)</x:f>
        <x:v>#NAME?</x:v>
      </x:c>
      <x:c r="N266" s="146" t="e">
        <x:f>IF(OR('实盘净值数据(iFinD公式)'!$A266="",'实盘净值数据(iFinD公式)'!$B266=""),"",分期持仓明细!$AD$24*SUMPRODUCT(分期持仓明细!$B$24:$AA$24,'实盘净值数据(iFinD公式)'!$B266:$AA266/'实盘净值数据(iFinD公式)'!$B$65:$AA$65)*(1-实盘持仓初始配置!$Z$8)^(('实盘净值数据(iFinD公式)'!$A266-'实盘净值数据(iFinD公式)'!$A$5)/365))</x:f>
        <x:v>#NAME?</x:v>
      </x:c>
      <x:c r="O266" s="152" t="e">
        <x:f>IF(OR(N265="",N266=""),"",N266/N265-1)</x:f>
        <x:v>#NAME?</x:v>
      </x:c>
      <x:c r="P266" s="152" t="e">
        <x:f>IF(N266="","",N266/MAX(N$5:N266)-1)</x:f>
        <x:v>#NAME?</x:v>
      </x:c>
      <x:c r="Q266" s="146" t="e">
        <x:f>IF(OR('实盘净值数据(iFinD公式)'!$A266="",'实盘净值数据(iFinD公式)'!$B266=""),"",分期持仓明细!$AD$25*SUMPRODUCT(分期持仓明细!$B$25:$AA$25,'实盘净值数据(iFinD公式)'!$B266:$AA266/'实盘净值数据(iFinD公式)'!$B$65:$AA$65)*(1-实盘持仓初始配置!$Z$9)^(('实盘净值数据(iFinD公式)'!$A266-'实盘净值数据(iFinD公式)'!$A$8)/365))</x:f>
        <x:v>#NAME?</x:v>
      </x:c>
      <x:c r="R266" s="152" t="e">
        <x:f>IF(OR(Q265="",Q266=""),"",Q266/Q265-1)</x:f>
        <x:v>#NAME?</x:v>
      </x:c>
      <x:c r="S266" s="152" t="e">
        <x:f>IF(Q266="","",Q266/MAX(Q$5:Q266)-1)</x:f>
        <x:v>#NAME?</x:v>
      </x:c>
    </x:row>
    <x:row r="267">
      <x:c r="A267" s="149" t="str">
        <x:f>IF('实盘净值数据(iFinD公式)'!A267="","",'实盘净值数据(iFinD公式)'!A267)</x:f>
      </x:c>
      <x:c r="B267" s="146" t="e">
        <x:f>IF(OR('实盘净值数据(iFinD公式)'!$A267="",'实盘净值数据(iFinD公式)'!$B267=""),"",分期持仓明细!$AD$17*SUMPRODUCT(分期持仓明细!$B$17:$AA$17,'实盘净值数据(iFinD公式)'!$B267:$AA267/'实盘净值数据(iFinD公式)'!$B$20:$AA$20)*(1-实盘持仓初始配置!$Z$4)^(('实盘净值数据(iFinD公式)'!$A267-'实盘净值数据(iFinD公式)'!$A$6)/365))</x:f>
        <x:v>#NAME?</x:v>
      </x:c>
      <x:c r="C267" s="152" t="e">
        <x:f>IF(OR(B266="",B267=""),"",B267/B266-1)</x:f>
        <x:v>#NAME?</x:v>
      </x:c>
      <x:c r="D267" s="152" t="e">
        <x:f>IF(B267="","",B267/MAX(B$5:B267)-1)</x:f>
        <x:v>#NAME?</x:v>
      </x:c>
      <x:c r="E267" s="146" t="e">
        <x:f>IF(OR('实盘净值数据(iFinD公式)'!$A267="",'实盘净值数据(iFinD公式)'!$B267=""),"",分期持仓明细!$AD$18*SUMPRODUCT(分期持仓明细!$B$18:$AA$18,'实盘净值数据(iFinD公式)'!$B267:$AA267/'实盘净值数据(iFinD公式)'!$B$20:$AA$20)*(1-实盘持仓初始配置!$Z$5)^(('实盘净值数据(iFinD公式)'!$A267-'实盘净值数据(iFinD公式)'!$A$5)/365))</x:f>
        <x:v>#NAME?</x:v>
      </x:c>
      <x:c r="F267" s="152" t="e">
        <x:f>IF(OR(E266="",E267=""),"",E267/E266-1)</x:f>
        <x:v>#NAME?</x:v>
      </x:c>
      <x:c r="G267" s="152" t="e">
        <x:f>IF(E267="","",E267/MAX(E$5:E267)-1)</x:f>
        <x:v>#NAME?</x:v>
      </x:c>
      <x:c r="H267" s="146" t="e">
        <x:f>IF(OR('实盘净值数据(iFinD公式)'!$A267="",'实盘净值数据(iFinD公式)'!$B267=""),"",分期持仓明细!$AD$19*SUMPRODUCT(分期持仓明细!$B$19:$AA$19,'实盘净值数据(iFinD公式)'!$B267:$AA267/'实盘净值数据(iFinD公式)'!$B$20:$AA$20)*(1-实盘持仓初始配置!$Z$6)^(('实盘净值数据(iFinD公式)'!$A267-'实盘净值数据(iFinD公式)'!$A$7)/365))</x:f>
        <x:v>#NAME?</x:v>
      </x:c>
      <x:c r="I267" s="152" t="e">
        <x:f>IF(OR(H266="",H267=""),"",H267/H266-1)</x:f>
        <x:v>#NAME?</x:v>
      </x:c>
      <x:c r="J267" s="152" t="e">
        <x:f>IF(H267="","",H267/MAX(H$5:H267)-1)</x:f>
        <x:v>#NAME?</x:v>
      </x:c>
      <x:c r="K267" s="146" t="e">
        <x:f>IF(OR('实盘净值数据(iFinD公式)'!$A267="",'实盘净值数据(iFinD公式)'!$B267=""),"",分期持仓明细!$AD$23*SUMPRODUCT(分期持仓明细!$B$23:$AA$23,'实盘净值数据(iFinD公式)'!$B267:$AA267/'实盘净值数据(iFinD公式)'!$B$65:$AA$65)*(1-实盘持仓初始配置!$Z$7)^(('实盘净值数据(iFinD公式)'!$A267-'实盘净值数据(iFinD公式)'!$A$8)/365))</x:f>
        <x:v>#NAME?</x:v>
      </x:c>
      <x:c r="L267" s="152" t="e">
        <x:f>IF(OR(K266="",K267=""),"",K267/K266-1)</x:f>
        <x:v>#NAME?</x:v>
      </x:c>
      <x:c r="M267" s="152" t="e">
        <x:f>IF(K267="","",K267/MAX(K$5:K267)-1)</x:f>
        <x:v>#NAME?</x:v>
      </x:c>
      <x:c r="N267" s="146" t="e">
        <x:f>IF(OR('实盘净值数据(iFinD公式)'!$A267="",'实盘净值数据(iFinD公式)'!$B267=""),"",分期持仓明细!$AD$24*SUMPRODUCT(分期持仓明细!$B$24:$AA$24,'实盘净值数据(iFinD公式)'!$B267:$AA267/'实盘净值数据(iFinD公式)'!$B$65:$AA$65)*(1-实盘持仓初始配置!$Z$8)^(('实盘净值数据(iFinD公式)'!$A267-'实盘净值数据(iFinD公式)'!$A$5)/365))</x:f>
        <x:v>#NAME?</x:v>
      </x:c>
      <x:c r="O267" s="152" t="e">
        <x:f>IF(OR(N266="",N267=""),"",N267/N266-1)</x:f>
        <x:v>#NAME?</x:v>
      </x:c>
      <x:c r="P267" s="152" t="e">
        <x:f>IF(N267="","",N267/MAX(N$5:N267)-1)</x:f>
        <x:v>#NAME?</x:v>
      </x:c>
      <x:c r="Q267" s="146" t="e">
        <x:f>IF(OR('实盘净值数据(iFinD公式)'!$A267="",'实盘净值数据(iFinD公式)'!$B267=""),"",分期持仓明细!$AD$25*SUMPRODUCT(分期持仓明细!$B$25:$AA$25,'实盘净值数据(iFinD公式)'!$B267:$AA267/'实盘净值数据(iFinD公式)'!$B$65:$AA$65)*(1-实盘持仓初始配置!$Z$9)^(('实盘净值数据(iFinD公式)'!$A267-'实盘净值数据(iFinD公式)'!$A$8)/365))</x:f>
        <x:v>#NAME?</x:v>
      </x:c>
      <x:c r="R267" s="152" t="e">
        <x:f>IF(OR(Q266="",Q267=""),"",Q267/Q266-1)</x:f>
        <x:v>#NAME?</x:v>
      </x:c>
      <x:c r="S267" s="152" t="e">
        <x:f>IF(Q267="","",Q267/MAX(Q$5:Q267)-1)</x:f>
        <x:v>#NAME?</x:v>
      </x:c>
    </x:row>
    <x:row r="268">
      <x:c r="A268" s="149" t="str">
        <x:f>IF('实盘净值数据(iFinD公式)'!A268="","",'实盘净值数据(iFinD公式)'!A268)</x:f>
      </x:c>
      <x:c r="B268" s="146" t="e">
        <x:f>IF(OR('实盘净值数据(iFinD公式)'!$A268="",'实盘净值数据(iFinD公式)'!$B268=""),"",分期持仓明细!$AD$17*SUMPRODUCT(分期持仓明细!$B$17:$AA$17,'实盘净值数据(iFinD公式)'!$B268:$AA268/'实盘净值数据(iFinD公式)'!$B$20:$AA$20)*(1-实盘持仓初始配置!$Z$4)^(('实盘净值数据(iFinD公式)'!$A268-'实盘净值数据(iFinD公式)'!$A$6)/365))</x:f>
        <x:v>#NAME?</x:v>
      </x:c>
      <x:c r="C268" s="152" t="e">
        <x:f>IF(OR(B267="",B268=""),"",B268/B267-1)</x:f>
        <x:v>#NAME?</x:v>
      </x:c>
      <x:c r="D268" s="152" t="e">
        <x:f>IF(B268="","",B268/MAX(B$5:B268)-1)</x:f>
        <x:v>#NAME?</x:v>
      </x:c>
      <x:c r="E268" s="146" t="e">
        <x:f>IF(OR('实盘净值数据(iFinD公式)'!$A268="",'实盘净值数据(iFinD公式)'!$B268=""),"",分期持仓明细!$AD$18*SUMPRODUCT(分期持仓明细!$B$18:$AA$18,'实盘净值数据(iFinD公式)'!$B268:$AA268/'实盘净值数据(iFinD公式)'!$B$20:$AA$20)*(1-实盘持仓初始配置!$Z$5)^(('实盘净值数据(iFinD公式)'!$A268-'实盘净值数据(iFinD公式)'!$A$5)/365))</x:f>
        <x:v>#NAME?</x:v>
      </x:c>
      <x:c r="F268" s="152" t="e">
        <x:f>IF(OR(E267="",E268=""),"",E268/E267-1)</x:f>
        <x:v>#NAME?</x:v>
      </x:c>
      <x:c r="G268" s="152" t="e">
        <x:f>IF(E268="","",E268/MAX(E$5:E268)-1)</x:f>
        <x:v>#NAME?</x:v>
      </x:c>
      <x:c r="H268" s="146" t="e">
        <x:f>IF(OR('实盘净值数据(iFinD公式)'!$A268="",'实盘净值数据(iFinD公式)'!$B268=""),"",分期持仓明细!$AD$19*SUMPRODUCT(分期持仓明细!$B$19:$AA$19,'实盘净值数据(iFinD公式)'!$B268:$AA268/'实盘净值数据(iFinD公式)'!$B$20:$AA$20)*(1-实盘持仓初始配置!$Z$6)^(('实盘净值数据(iFinD公式)'!$A268-'实盘净值数据(iFinD公式)'!$A$7)/365))</x:f>
        <x:v>#NAME?</x:v>
      </x:c>
      <x:c r="I268" s="152" t="e">
        <x:f>IF(OR(H267="",H268=""),"",H268/H267-1)</x:f>
        <x:v>#NAME?</x:v>
      </x:c>
      <x:c r="J268" s="152" t="e">
        <x:f>IF(H268="","",H268/MAX(H$5:H268)-1)</x:f>
        <x:v>#NAME?</x:v>
      </x:c>
      <x:c r="K268" s="146" t="e">
        <x:f>IF(OR('实盘净值数据(iFinD公式)'!$A268="",'实盘净值数据(iFinD公式)'!$B268=""),"",分期持仓明细!$AD$23*SUMPRODUCT(分期持仓明细!$B$23:$AA$23,'实盘净值数据(iFinD公式)'!$B268:$AA268/'实盘净值数据(iFinD公式)'!$B$65:$AA$65)*(1-实盘持仓初始配置!$Z$7)^(('实盘净值数据(iFinD公式)'!$A268-'实盘净值数据(iFinD公式)'!$A$8)/365))</x:f>
        <x:v>#NAME?</x:v>
      </x:c>
      <x:c r="L268" s="152" t="e">
        <x:f>IF(OR(K267="",K268=""),"",K268/K267-1)</x:f>
        <x:v>#NAME?</x:v>
      </x:c>
      <x:c r="M268" s="152" t="e">
        <x:f>IF(K268="","",K268/MAX(K$5:K268)-1)</x:f>
        <x:v>#NAME?</x:v>
      </x:c>
      <x:c r="N268" s="146" t="e">
        <x:f>IF(OR('实盘净值数据(iFinD公式)'!$A268="",'实盘净值数据(iFinD公式)'!$B268=""),"",分期持仓明细!$AD$24*SUMPRODUCT(分期持仓明细!$B$24:$AA$24,'实盘净值数据(iFinD公式)'!$B268:$AA268/'实盘净值数据(iFinD公式)'!$B$65:$AA$65)*(1-实盘持仓初始配置!$Z$8)^(('实盘净值数据(iFinD公式)'!$A268-'实盘净值数据(iFinD公式)'!$A$5)/365))</x:f>
        <x:v>#NAME?</x:v>
      </x:c>
      <x:c r="O268" s="152" t="e">
        <x:f>IF(OR(N267="",N268=""),"",N268/N267-1)</x:f>
        <x:v>#NAME?</x:v>
      </x:c>
      <x:c r="P268" s="152" t="e">
        <x:f>IF(N268="","",N268/MAX(N$5:N268)-1)</x:f>
        <x:v>#NAME?</x:v>
      </x:c>
      <x:c r="Q268" s="146" t="e">
        <x:f>IF(OR('实盘净值数据(iFinD公式)'!$A268="",'实盘净值数据(iFinD公式)'!$B268=""),"",分期持仓明细!$AD$25*SUMPRODUCT(分期持仓明细!$B$25:$AA$25,'实盘净值数据(iFinD公式)'!$B268:$AA268/'实盘净值数据(iFinD公式)'!$B$65:$AA$65)*(1-实盘持仓初始配置!$Z$9)^(('实盘净值数据(iFinD公式)'!$A268-'实盘净值数据(iFinD公式)'!$A$8)/365))</x:f>
        <x:v>#NAME?</x:v>
      </x:c>
      <x:c r="R268" s="152" t="e">
        <x:f>IF(OR(Q267="",Q268=""),"",Q268/Q267-1)</x:f>
        <x:v>#NAME?</x:v>
      </x:c>
      <x:c r="S268" s="152" t="e">
        <x:f>IF(Q268="","",Q268/MAX(Q$5:Q268)-1)</x:f>
        <x:v>#NAME?</x:v>
      </x:c>
    </x:row>
    <x:row r="269">
      <x:c r="A269" s="149" t="str">
        <x:f>IF('实盘净值数据(iFinD公式)'!A269="","",'实盘净值数据(iFinD公式)'!A269)</x:f>
      </x:c>
      <x:c r="B269" s="146" t="e">
        <x:f>IF(OR('实盘净值数据(iFinD公式)'!$A269="",'实盘净值数据(iFinD公式)'!$B269=""),"",分期持仓明细!$AD$17*SUMPRODUCT(分期持仓明细!$B$17:$AA$17,'实盘净值数据(iFinD公式)'!$B269:$AA269/'实盘净值数据(iFinD公式)'!$B$20:$AA$20)*(1-实盘持仓初始配置!$Z$4)^(('实盘净值数据(iFinD公式)'!$A269-'实盘净值数据(iFinD公式)'!$A$6)/365))</x:f>
        <x:v>#NAME?</x:v>
      </x:c>
      <x:c r="C269" s="152" t="e">
        <x:f>IF(OR(B268="",B269=""),"",B269/B268-1)</x:f>
        <x:v>#NAME?</x:v>
      </x:c>
      <x:c r="D269" s="152" t="e">
        <x:f>IF(B269="","",B269/MAX(B$5:B269)-1)</x:f>
        <x:v>#NAME?</x:v>
      </x:c>
      <x:c r="E269" s="146" t="e">
        <x:f>IF(OR('实盘净值数据(iFinD公式)'!$A269="",'实盘净值数据(iFinD公式)'!$B269=""),"",分期持仓明细!$AD$18*SUMPRODUCT(分期持仓明细!$B$18:$AA$18,'实盘净值数据(iFinD公式)'!$B269:$AA269/'实盘净值数据(iFinD公式)'!$B$20:$AA$20)*(1-实盘持仓初始配置!$Z$5)^(('实盘净值数据(iFinD公式)'!$A269-'实盘净值数据(iFinD公式)'!$A$5)/365))</x:f>
        <x:v>#NAME?</x:v>
      </x:c>
      <x:c r="F269" s="152" t="e">
        <x:f>IF(OR(E268="",E269=""),"",E269/E268-1)</x:f>
        <x:v>#NAME?</x:v>
      </x:c>
      <x:c r="G269" s="152" t="e">
        <x:f>IF(E269="","",E269/MAX(E$5:E269)-1)</x:f>
        <x:v>#NAME?</x:v>
      </x:c>
      <x:c r="H269" s="146" t="e">
        <x:f>IF(OR('实盘净值数据(iFinD公式)'!$A269="",'实盘净值数据(iFinD公式)'!$B269=""),"",分期持仓明细!$AD$19*SUMPRODUCT(分期持仓明细!$B$19:$AA$19,'实盘净值数据(iFinD公式)'!$B269:$AA269/'实盘净值数据(iFinD公式)'!$B$20:$AA$20)*(1-实盘持仓初始配置!$Z$6)^(('实盘净值数据(iFinD公式)'!$A269-'实盘净值数据(iFinD公式)'!$A$7)/365))</x:f>
        <x:v>#NAME?</x:v>
      </x:c>
      <x:c r="I269" s="152" t="e">
        <x:f>IF(OR(H268="",H269=""),"",H269/H268-1)</x:f>
        <x:v>#NAME?</x:v>
      </x:c>
      <x:c r="J269" s="152" t="e">
        <x:f>IF(H269="","",H269/MAX(H$5:H269)-1)</x:f>
        <x:v>#NAME?</x:v>
      </x:c>
      <x:c r="K269" s="146" t="e">
        <x:f>IF(OR('实盘净值数据(iFinD公式)'!$A269="",'实盘净值数据(iFinD公式)'!$B269=""),"",分期持仓明细!$AD$23*SUMPRODUCT(分期持仓明细!$B$23:$AA$23,'实盘净值数据(iFinD公式)'!$B269:$AA269/'实盘净值数据(iFinD公式)'!$B$65:$AA$65)*(1-实盘持仓初始配置!$Z$7)^(('实盘净值数据(iFinD公式)'!$A269-'实盘净值数据(iFinD公式)'!$A$8)/365))</x:f>
        <x:v>#NAME?</x:v>
      </x:c>
      <x:c r="L269" s="152" t="e">
        <x:f>IF(OR(K268="",K269=""),"",K269/K268-1)</x:f>
        <x:v>#NAME?</x:v>
      </x:c>
      <x:c r="M269" s="152" t="e">
        <x:f>IF(K269="","",K269/MAX(K$5:K269)-1)</x:f>
        <x:v>#NAME?</x:v>
      </x:c>
      <x:c r="N269" s="146" t="e">
        <x:f>IF(OR('实盘净值数据(iFinD公式)'!$A269="",'实盘净值数据(iFinD公式)'!$B269=""),"",分期持仓明细!$AD$24*SUMPRODUCT(分期持仓明细!$B$24:$AA$24,'实盘净值数据(iFinD公式)'!$B269:$AA269/'实盘净值数据(iFinD公式)'!$B$65:$AA$65)*(1-实盘持仓初始配置!$Z$8)^(('实盘净值数据(iFinD公式)'!$A269-'实盘净值数据(iFinD公式)'!$A$5)/365))</x:f>
        <x:v>#NAME?</x:v>
      </x:c>
      <x:c r="O269" s="152" t="e">
        <x:f>IF(OR(N268="",N269=""),"",N269/N268-1)</x:f>
        <x:v>#NAME?</x:v>
      </x:c>
      <x:c r="P269" s="152" t="e">
        <x:f>IF(N269="","",N269/MAX(N$5:N269)-1)</x:f>
        <x:v>#NAME?</x:v>
      </x:c>
      <x:c r="Q269" s="146" t="e">
        <x:f>IF(OR('实盘净值数据(iFinD公式)'!$A269="",'实盘净值数据(iFinD公式)'!$B269=""),"",分期持仓明细!$AD$25*SUMPRODUCT(分期持仓明细!$B$25:$AA$25,'实盘净值数据(iFinD公式)'!$B269:$AA269/'实盘净值数据(iFinD公式)'!$B$65:$AA$65)*(1-实盘持仓初始配置!$Z$9)^(('实盘净值数据(iFinD公式)'!$A269-'实盘净值数据(iFinD公式)'!$A$8)/365))</x:f>
        <x:v>#NAME?</x:v>
      </x:c>
      <x:c r="R269" s="152" t="e">
        <x:f>IF(OR(Q268="",Q269=""),"",Q269/Q268-1)</x:f>
        <x:v>#NAME?</x:v>
      </x:c>
      <x:c r="S269" s="152" t="e">
        <x:f>IF(Q269="","",Q269/MAX(Q$5:Q269)-1)</x:f>
        <x:v>#NAME?</x:v>
      </x:c>
    </x:row>
    <x:row r="270">
      <x:c r="A270" s="149" t="str">
        <x:f>IF('实盘净值数据(iFinD公式)'!A270="","",'实盘净值数据(iFinD公式)'!A270)</x:f>
      </x:c>
      <x:c r="B270" s="146" t="e">
        <x:f>IF(OR('实盘净值数据(iFinD公式)'!$A270="",'实盘净值数据(iFinD公式)'!$B270=""),"",分期持仓明细!$AD$17*SUMPRODUCT(分期持仓明细!$B$17:$AA$17,'实盘净值数据(iFinD公式)'!$B270:$AA270/'实盘净值数据(iFinD公式)'!$B$20:$AA$20)*(1-实盘持仓初始配置!$Z$4)^(('实盘净值数据(iFinD公式)'!$A270-'实盘净值数据(iFinD公式)'!$A$6)/365))</x:f>
        <x:v>#NAME?</x:v>
      </x:c>
      <x:c r="C270" s="152" t="e">
        <x:f>IF(OR(B269="",B270=""),"",B270/B269-1)</x:f>
        <x:v>#NAME?</x:v>
      </x:c>
      <x:c r="D270" s="152" t="e">
        <x:f>IF(B270="","",B270/MAX(B$5:B270)-1)</x:f>
        <x:v>#NAME?</x:v>
      </x:c>
      <x:c r="E270" s="146" t="e">
        <x:f>IF(OR('实盘净值数据(iFinD公式)'!$A270="",'实盘净值数据(iFinD公式)'!$B270=""),"",分期持仓明细!$AD$18*SUMPRODUCT(分期持仓明细!$B$18:$AA$18,'实盘净值数据(iFinD公式)'!$B270:$AA270/'实盘净值数据(iFinD公式)'!$B$20:$AA$20)*(1-实盘持仓初始配置!$Z$5)^(('实盘净值数据(iFinD公式)'!$A270-'实盘净值数据(iFinD公式)'!$A$5)/365))</x:f>
        <x:v>#NAME?</x:v>
      </x:c>
      <x:c r="F270" s="152" t="e">
        <x:f>IF(OR(E269="",E270=""),"",E270/E269-1)</x:f>
        <x:v>#NAME?</x:v>
      </x:c>
      <x:c r="G270" s="152" t="e">
        <x:f>IF(E270="","",E270/MAX(E$5:E270)-1)</x:f>
        <x:v>#NAME?</x:v>
      </x:c>
      <x:c r="H270" s="146" t="e">
        <x:f>IF(OR('实盘净值数据(iFinD公式)'!$A270="",'实盘净值数据(iFinD公式)'!$B270=""),"",分期持仓明细!$AD$19*SUMPRODUCT(分期持仓明细!$B$19:$AA$19,'实盘净值数据(iFinD公式)'!$B270:$AA270/'实盘净值数据(iFinD公式)'!$B$20:$AA$20)*(1-实盘持仓初始配置!$Z$6)^(('实盘净值数据(iFinD公式)'!$A270-'实盘净值数据(iFinD公式)'!$A$7)/365))</x:f>
        <x:v>#NAME?</x:v>
      </x:c>
      <x:c r="I270" s="152" t="e">
        <x:f>IF(OR(H269="",H270=""),"",H270/H269-1)</x:f>
        <x:v>#NAME?</x:v>
      </x:c>
      <x:c r="J270" s="152" t="e">
        <x:f>IF(H270="","",H270/MAX(H$5:H270)-1)</x:f>
        <x:v>#NAME?</x:v>
      </x:c>
      <x:c r="K270" s="146" t="e">
        <x:f>IF(OR('实盘净值数据(iFinD公式)'!$A270="",'实盘净值数据(iFinD公式)'!$B270=""),"",分期持仓明细!$AD$23*SUMPRODUCT(分期持仓明细!$B$23:$AA$23,'实盘净值数据(iFinD公式)'!$B270:$AA270/'实盘净值数据(iFinD公式)'!$B$65:$AA$65)*(1-实盘持仓初始配置!$Z$7)^(('实盘净值数据(iFinD公式)'!$A270-'实盘净值数据(iFinD公式)'!$A$8)/365))</x:f>
        <x:v>#NAME?</x:v>
      </x:c>
      <x:c r="L270" s="152" t="e">
        <x:f>IF(OR(K269="",K270=""),"",K270/K269-1)</x:f>
        <x:v>#NAME?</x:v>
      </x:c>
      <x:c r="M270" s="152" t="e">
        <x:f>IF(K270="","",K270/MAX(K$5:K270)-1)</x:f>
        <x:v>#NAME?</x:v>
      </x:c>
      <x:c r="N270" s="146" t="e">
        <x:f>IF(OR('实盘净值数据(iFinD公式)'!$A270="",'实盘净值数据(iFinD公式)'!$B270=""),"",分期持仓明细!$AD$24*SUMPRODUCT(分期持仓明细!$B$24:$AA$24,'实盘净值数据(iFinD公式)'!$B270:$AA270/'实盘净值数据(iFinD公式)'!$B$65:$AA$65)*(1-实盘持仓初始配置!$Z$8)^(('实盘净值数据(iFinD公式)'!$A270-'实盘净值数据(iFinD公式)'!$A$5)/365))</x:f>
        <x:v>#NAME?</x:v>
      </x:c>
      <x:c r="O270" s="152" t="e">
        <x:f>IF(OR(N269="",N270=""),"",N270/N269-1)</x:f>
        <x:v>#NAME?</x:v>
      </x:c>
      <x:c r="P270" s="152" t="e">
        <x:f>IF(N270="","",N270/MAX(N$5:N270)-1)</x:f>
        <x:v>#NAME?</x:v>
      </x:c>
      <x:c r="Q270" s="146" t="e">
        <x:f>IF(OR('实盘净值数据(iFinD公式)'!$A270="",'实盘净值数据(iFinD公式)'!$B270=""),"",分期持仓明细!$AD$25*SUMPRODUCT(分期持仓明细!$B$25:$AA$25,'实盘净值数据(iFinD公式)'!$B270:$AA270/'实盘净值数据(iFinD公式)'!$B$65:$AA$65)*(1-实盘持仓初始配置!$Z$9)^(('实盘净值数据(iFinD公式)'!$A270-'实盘净值数据(iFinD公式)'!$A$8)/365))</x:f>
        <x:v>#NAME?</x:v>
      </x:c>
      <x:c r="R270" s="152" t="e">
        <x:f>IF(OR(Q269="",Q270=""),"",Q270/Q269-1)</x:f>
        <x:v>#NAME?</x:v>
      </x:c>
      <x:c r="S270" s="152" t="e">
        <x:f>IF(Q270="","",Q270/MAX(Q$5:Q270)-1)</x:f>
        <x:v>#NAME?</x:v>
      </x:c>
    </x:row>
    <x:row r="271">
      <x:c r="A271" s="149" t="str">
        <x:f>IF('实盘净值数据(iFinD公式)'!A271="","",'实盘净值数据(iFinD公式)'!A271)</x:f>
      </x:c>
      <x:c r="B271" s="146" t="e">
        <x:f>IF(OR('实盘净值数据(iFinD公式)'!$A271="",'实盘净值数据(iFinD公式)'!$B271=""),"",分期持仓明细!$AD$17*SUMPRODUCT(分期持仓明细!$B$17:$AA$17,'实盘净值数据(iFinD公式)'!$B271:$AA271/'实盘净值数据(iFinD公式)'!$B$20:$AA$20)*(1-实盘持仓初始配置!$Z$4)^(('实盘净值数据(iFinD公式)'!$A271-'实盘净值数据(iFinD公式)'!$A$6)/365))</x:f>
        <x:v>#NAME?</x:v>
      </x:c>
      <x:c r="C271" s="152" t="e">
        <x:f>IF(OR(B270="",B271=""),"",B271/B270-1)</x:f>
        <x:v>#NAME?</x:v>
      </x:c>
      <x:c r="D271" s="152" t="e">
        <x:f>IF(B271="","",B271/MAX(B$5:B271)-1)</x:f>
        <x:v>#NAME?</x:v>
      </x:c>
      <x:c r="E271" s="146" t="e">
        <x:f>IF(OR('实盘净值数据(iFinD公式)'!$A271="",'实盘净值数据(iFinD公式)'!$B271=""),"",分期持仓明细!$AD$18*SUMPRODUCT(分期持仓明细!$B$18:$AA$18,'实盘净值数据(iFinD公式)'!$B271:$AA271/'实盘净值数据(iFinD公式)'!$B$20:$AA$20)*(1-实盘持仓初始配置!$Z$5)^(('实盘净值数据(iFinD公式)'!$A271-'实盘净值数据(iFinD公式)'!$A$5)/365))</x:f>
        <x:v>#NAME?</x:v>
      </x:c>
      <x:c r="F271" s="152" t="e">
        <x:f>IF(OR(E270="",E271=""),"",E271/E270-1)</x:f>
        <x:v>#NAME?</x:v>
      </x:c>
      <x:c r="G271" s="152" t="e">
        <x:f>IF(E271="","",E271/MAX(E$5:E271)-1)</x:f>
        <x:v>#NAME?</x:v>
      </x:c>
      <x:c r="H271" s="146" t="e">
        <x:f>IF(OR('实盘净值数据(iFinD公式)'!$A271="",'实盘净值数据(iFinD公式)'!$B271=""),"",分期持仓明细!$AD$19*SUMPRODUCT(分期持仓明细!$B$19:$AA$19,'实盘净值数据(iFinD公式)'!$B271:$AA271/'实盘净值数据(iFinD公式)'!$B$20:$AA$20)*(1-实盘持仓初始配置!$Z$6)^(('实盘净值数据(iFinD公式)'!$A271-'实盘净值数据(iFinD公式)'!$A$7)/365))</x:f>
        <x:v>#NAME?</x:v>
      </x:c>
      <x:c r="I271" s="152" t="e">
        <x:f>IF(OR(H270="",H271=""),"",H271/H270-1)</x:f>
        <x:v>#NAME?</x:v>
      </x:c>
      <x:c r="J271" s="152" t="e">
        <x:f>IF(H271="","",H271/MAX(H$5:H271)-1)</x:f>
        <x:v>#NAME?</x:v>
      </x:c>
      <x:c r="K271" s="146" t="e">
        <x:f>IF(OR('实盘净值数据(iFinD公式)'!$A271="",'实盘净值数据(iFinD公式)'!$B271=""),"",分期持仓明细!$AD$23*SUMPRODUCT(分期持仓明细!$B$23:$AA$23,'实盘净值数据(iFinD公式)'!$B271:$AA271/'实盘净值数据(iFinD公式)'!$B$65:$AA$65)*(1-实盘持仓初始配置!$Z$7)^(('实盘净值数据(iFinD公式)'!$A271-'实盘净值数据(iFinD公式)'!$A$8)/365))</x:f>
        <x:v>#NAME?</x:v>
      </x:c>
      <x:c r="L271" s="152" t="e">
        <x:f>IF(OR(K270="",K271=""),"",K271/K270-1)</x:f>
        <x:v>#NAME?</x:v>
      </x:c>
      <x:c r="M271" s="152" t="e">
        <x:f>IF(K271="","",K271/MAX(K$5:K271)-1)</x:f>
        <x:v>#NAME?</x:v>
      </x:c>
      <x:c r="N271" s="146" t="e">
        <x:f>IF(OR('实盘净值数据(iFinD公式)'!$A271="",'实盘净值数据(iFinD公式)'!$B271=""),"",分期持仓明细!$AD$24*SUMPRODUCT(分期持仓明细!$B$24:$AA$24,'实盘净值数据(iFinD公式)'!$B271:$AA271/'实盘净值数据(iFinD公式)'!$B$65:$AA$65)*(1-实盘持仓初始配置!$Z$8)^(('实盘净值数据(iFinD公式)'!$A271-'实盘净值数据(iFinD公式)'!$A$5)/365))</x:f>
        <x:v>#NAME?</x:v>
      </x:c>
      <x:c r="O271" s="152" t="e">
        <x:f>IF(OR(N270="",N271=""),"",N271/N270-1)</x:f>
        <x:v>#NAME?</x:v>
      </x:c>
      <x:c r="P271" s="152" t="e">
        <x:f>IF(N271="","",N271/MAX(N$5:N271)-1)</x:f>
        <x:v>#NAME?</x:v>
      </x:c>
      <x:c r="Q271" s="146" t="e">
        <x:f>IF(OR('实盘净值数据(iFinD公式)'!$A271="",'实盘净值数据(iFinD公式)'!$B271=""),"",分期持仓明细!$AD$25*SUMPRODUCT(分期持仓明细!$B$25:$AA$25,'实盘净值数据(iFinD公式)'!$B271:$AA271/'实盘净值数据(iFinD公式)'!$B$65:$AA$65)*(1-实盘持仓初始配置!$Z$9)^(('实盘净值数据(iFinD公式)'!$A271-'实盘净值数据(iFinD公式)'!$A$8)/365))</x:f>
        <x:v>#NAME?</x:v>
      </x:c>
      <x:c r="R271" s="152" t="e">
        <x:f>IF(OR(Q270="",Q271=""),"",Q271/Q270-1)</x:f>
        <x:v>#NAME?</x:v>
      </x:c>
      <x:c r="S271" s="152" t="e">
        <x:f>IF(Q271="","",Q271/MAX(Q$5:Q271)-1)</x:f>
        <x:v>#NAME?</x:v>
      </x:c>
    </x:row>
    <x:row r="272">
      <x:c r="A272" s="149" t="str">
        <x:f>IF('实盘净值数据(iFinD公式)'!A272="","",'实盘净值数据(iFinD公式)'!A272)</x:f>
      </x:c>
      <x:c r="B272" s="146" t="e">
        <x:f>IF(OR('实盘净值数据(iFinD公式)'!$A272="",'实盘净值数据(iFinD公式)'!$B272=""),"",分期持仓明细!$AD$17*SUMPRODUCT(分期持仓明细!$B$17:$AA$17,'实盘净值数据(iFinD公式)'!$B272:$AA272/'实盘净值数据(iFinD公式)'!$B$20:$AA$20)*(1-实盘持仓初始配置!$Z$4)^(('实盘净值数据(iFinD公式)'!$A272-'实盘净值数据(iFinD公式)'!$A$6)/365))</x:f>
        <x:v>#NAME?</x:v>
      </x:c>
      <x:c r="C272" s="152" t="e">
        <x:f>IF(OR(B271="",B272=""),"",B272/B271-1)</x:f>
        <x:v>#NAME?</x:v>
      </x:c>
      <x:c r="D272" s="152" t="e">
        <x:f>IF(B272="","",B272/MAX(B$5:B272)-1)</x:f>
        <x:v>#NAME?</x:v>
      </x:c>
      <x:c r="E272" s="146" t="e">
        <x:f>IF(OR('实盘净值数据(iFinD公式)'!$A272="",'实盘净值数据(iFinD公式)'!$B272=""),"",分期持仓明细!$AD$18*SUMPRODUCT(分期持仓明细!$B$18:$AA$18,'实盘净值数据(iFinD公式)'!$B272:$AA272/'实盘净值数据(iFinD公式)'!$B$20:$AA$20)*(1-实盘持仓初始配置!$Z$5)^(('实盘净值数据(iFinD公式)'!$A272-'实盘净值数据(iFinD公式)'!$A$5)/365))</x:f>
        <x:v>#NAME?</x:v>
      </x:c>
      <x:c r="F272" s="152" t="e">
        <x:f>IF(OR(E271="",E272=""),"",E272/E271-1)</x:f>
        <x:v>#NAME?</x:v>
      </x:c>
      <x:c r="G272" s="152" t="e">
        <x:f>IF(E272="","",E272/MAX(E$5:E272)-1)</x:f>
        <x:v>#NAME?</x:v>
      </x:c>
      <x:c r="H272" s="146" t="e">
        <x:f>IF(OR('实盘净值数据(iFinD公式)'!$A272="",'实盘净值数据(iFinD公式)'!$B272=""),"",分期持仓明细!$AD$19*SUMPRODUCT(分期持仓明细!$B$19:$AA$19,'实盘净值数据(iFinD公式)'!$B272:$AA272/'实盘净值数据(iFinD公式)'!$B$20:$AA$20)*(1-实盘持仓初始配置!$Z$6)^(('实盘净值数据(iFinD公式)'!$A272-'实盘净值数据(iFinD公式)'!$A$7)/365))</x:f>
        <x:v>#NAME?</x:v>
      </x:c>
      <x:c r="I272" s="152" t="e">
        <x:f>IF(OR(H271="",H272=""),"",H272/H271-1)</x:f>
        <x:v>#NAME?</x:v>
      </x:c>
      <x:c r="J272" s="152" t="e">
        <x:f>IF(H272="","",H272/MAX(H$5:H272)-1)</x:f>
        <x:v>#NAME?</x:v>
      </x:c>
      <x:c r="K272" s="146" t="e">
        <x:f>IF(OR('实盘净值数据(iFinD公式)'!$A272="",'实盘净值数据(iFinD公式)'!$B272=""),"",分期持仓明细!$AD$23*SUMPRODUCT(分期持仓明细!$B$23:$AA$23,'实盘净值数据(iFinD公式)'!$B272:$AA272/'实盘净值数据(iFinD公式)'!$B$65:$AA$65)*(1-实盘持仓初始配置!$Z$7)^(('实盘净值数据(iFinD公式)'!$A272-'实盘净值数据(iFinD公式)'!$A$8)/365))</x:f>
        <x:v>#NAME?</x:v>
      </x:c>
      <x:c r="L272" s="152" t="e">
        <x:f>IF(OR(K271="",K272=""),"",K272/K271-1)</x:f>
        <x:v>#NAME?</x:v>
      </x:c>
      <x:c r="M272" s="152" t="e">
        <x:f>IF(K272="","",K272/MAX(K$5:K272)-1)</x:f>
        <x:v>#NAME?</x:v>
      </x:c>
      <x:c r="N272" s="146" t="e">
        <x:f>IF(OR('实盘净值数据(iFinD公式)'!$A272="",'实盘净值数据(iFinD公式)'!$B272=""),"",分期持仓明细!$AD$24*SUMPRODUCT(分期持仓明细!$B$24:$AA$24,'实盘净值数据(iFinD公式)'!$B272:$AA272/'实盘净值数据(iFinD公式)'!$B$65:$AA$65)*(1-实盘持仓初始配置!$Z$8)^(('实盘净值数据(iFinD公式)'!$A272-'实盘净值数据(iFinD公式)'!$A$5)/365))</x:f>
        <x:v>#NAME?</x:v>
      </x:c>
      <x:c r="O272" s="152" t="e">
        <x:f>IF(OR(N271="",N272=""),"",N272/N271-1)</x:f>
        <x:v>#NAME?</x:v>
      </x:c>
      <x:c r="P272" s="152" t="e">
        <x:f>IF(N272="","",N272/MAX(N$5:N272)-1)</x:f>
        <x:v>#NAME?</x:v>
      </x:c>
      <x:c r="Q272" s="146" t="e">
        <x:f>IF(OR('实盘净值数据(iFinD公式)'!$A272="",'实盘净值数据(iFinD公式)'!$B272=""),"",分期持仓明细!$AD$25*SUMPRODUCT(分期持仓明细!$B$25:$AA$25,'实盘净值数据(iFinD公式)'!$B272:$AA272/'实盘净值数据(iFinD公式)'!$B$65:$AA$65)*(1-实盘持仓初始配置!$Z$9)^(('实盘净值数据(iFinD公式)'!$A272-'实盘净值数据(iFinD公式)'!$A$8)/365))</x:f>
        <x:v>#NAME?</x:v>
      </x:c>
      <x:c r="R272" s="152" t="e">
        <x:f>IF(OR(Q271="",Q272=""),"",Q272/Q271-1)</x:f>
        <x:v>#NAME?</x:v>
      </x:c>
      <x:c r="S272" s="152" t="e">
        <x:f>IF(Q272="","",Q272/MAX(Q$5:Q272)-1)</x:f>
        <x:v>#NAME?</x:v>
      </x:c>
    </x:row>
    <x:row r="273">
      <x:c r="A273" s="149" t="str">
        <x:f>IF('实盘净值数据(iFinD公式)'!A273="","",'实盘净值数据(iFinD公式)'!A273)</x:f>
      </x:c>
      <x:c r="B273" s="146" t="e">
        <x:f>IF(OR('实盘净值数据(iFinD公式)'!$A273="",'实盘净值数据(iFinD公式)'!$B273=""),"",分期持仓明细!$AD$17*SUMPRODUCT(分期持仓明细!$B$17:$AA$17,'实盘净值数据(iFinD公式)'!$B273:$AA273/'实盘净值数据(iFinD公式)'!$B$20:$AA$20)*(1-实盘持仓初始配置!$Z$4)^(('实盘净值数据(iFinD公式)'!$A273-'实盘净值数据(iFinD公式)'!$A$6)/365))</x:f>
        <x:v>#NAME?</x:v>
      </x:c>
      <x:c r="C273" s="152" t="e">
        <x:f>IF(OR(B272="",B273=""),"",B273/B272-1)</x:f>
        <x:v>#NAME?</x:v>
      </x:c>
      <x:c r="D273" s="152" t="e">
        <x:f>IF(B273="","",B273/MAX(B$5:B273)-1)</x:f>
        <x:v>#NAME?</x:v>
      </x:c>
      <x:c r="E273" s="146" t="e">
        <x:f>IF(OR('实盘净值数据(iFinD公式)'!$A273="",'实盘净值数据(iFinD公式)'!$B273=""),"",分期持仓明细!$AD$18*SUMPRODUCT(分期持仓明细!$B$18:$AA$18,'实盘净值数据(iFinD公式)'!$B273:$AA273/'实盘净值数据(iFinD公式)'!$B$20:$AA$20)*(1-实盘持仓初始配置!$Z$5)^(('实盘净值数据(iFinD公式)'!$A273-'实盘净值数据(iFinD公式)'!$A$5)/365))</x:f>
        <x:v>#NAME?</x:v>
      </x:c>
      <x:c r="F273" s="152" t="e">
        <x:f>IF(OR(E272="",E273=""),"",E273/E272-1)</x:f>
        <x:v>#NAME?</x:v>
      </x:c>
      <x:c r="G273" s="152" t="e">
        <x:f>IF(E273="","",E273/MAX(E$5:E273)-1)</x:f>
        <x:v>#NAME?</x:v>
      </x:c>
      <x:c r="H273" s="146" t="e">
        <x:f>IF(OR('实盘净值数据(iFinD公式)'!$A273="",'实盘净值数据(iFinD公式)'!$B273=""),"",分期持仓明细!$AD$19*SUMPRODUCT(分期持仓明细!$B$19:$AA$19,'实盘净值数据(iFinD公式)'!$B273:$AA273/'实盘净值数据(iFinD公式)'!$B$20:$AA$20)*(1-实盘持仓初始配置!$Z$6)^(('实盘净值数据(iFinD公式)'!$A273-'实盘净值数据(iFinD公式)'!$A$7)/365))</x:f>
        <x:v>#NAME?</x:v>
      </x:c>
      <x:c r="I273" s="152" t="e">
        <x:f>IF(OR(H272="",H273=""),"",H273/H272-1)</x:f>
        <x:v>#NAME?</x:v>
      </x:c>
      <x:c r="J273" s="152" t="e">
        <x:f>IF(H273="","",H273/MAX(H$5:H273)-1)</x:f>
        <x:v>#NAME?</x:v>
      </x:c>
      <x:c r="K273" s="146" t="e">
        <x:f>IF(OR('实盘净值数据(iFinD公式)'!$A273="",'实盘净值数据(iFinD公式)'!$B273=""),"",分期持仓明细!$AD$23*SUMPRODUCT(分期持仓明细!$B$23:$AA$23,'实盘净值数据(iFinD公式)'!$B273:$AA273/'实盘净值数据(iFinD公式)'!$B$65:$AA$65)*(1-实盘持仓初始配置!$Z$7)^(('实盘净值数据(iFinD公式)'!$A273-'实盘净值数据(iFinD公式)'!$A$8)/365))</x:f>
        <x:v>#NAME?</x:v>
      </x:c>
      <x:c r="L273" s="152" t="e">
        <x:f>IF(OR(K272="",K273=""),"",K273/K272-1)</x:f>
        <x:v>#NAME?</x:v>
      </x:c>
      <x:c r="M273" s="152" t="e">
        <x:f>IF(K273="","",K273/MAX(K$5:K273)-1)</x:f>
        <x:v>#NAME?</x:v>
      </x:c>
      <x:c r="N273" s="146" t="e">
        <x:f>IF(OR('实盘净值数据(iFinD公式)'!$A273="",'实盘净值数据(iFinD公式)'!$B273=""),"",分期持仓明细!$AD$24*SUMPRODUCT(分期持仓明细!$B$24:$AA$24,'实盘净值数据(iFinD公式)'!$B273:$AA273/'实盘净值数据(iFinD公式)'!$B$65:$AA$65)*(1-实盘持仓初始配置!$Z$8)^(('实盘净值数据(iFinD公式)'!$A273-'实盘净值数据(iFinD公式)'!$A$5)/365))</x:f>
        <x:v>#NAME?</x:v>
      </x:c>
      <x:c r="O273" s="152" t="e">
        <x:f>IF(OR(N272="",N273=""),"",N273/N272-1)</x:f>
        <x:v>#NAME?</x:v>
      </x:c>
      <x:c r="P273" s="152" t="e">
        <x:f>IF(N273="","",N273/MAX(N$5:N273)-1)</x:f>
        <x:v>#NAME?</x:v>
      </x:c>
      <x:c r="Q273" s="146" t="e">
        <x:f>IF(OR('实盘净值数据(iFinD公式)'!$A273="",'实盘净值数据(iFinD公式)'!$B273=""),"",分期持仓明细!$AD$25*SUMPRODUCT(分期持仓明细!$B$25:$AA$25,'实盘净值数据(iFinD公式)'!$B273:$AA273/'实盘净值数据(iFinD公式)'!$B$65:$AA$65)*(1-实盘持仓初始配置!$Z$9)^(('实盘净值数据(iFinD公式)'!$A273-'实盘净值数据(iFinD公式)'!$A$8)/365))</x:f>
        <x:v>#NAME?</x:v>
      </x:c>
      <x:c r="R273" s="152" t="e">
        <x:f>IF(OR(Q272="",Q273=""),"",Q273/Q272-1)</x:f>
        <x:v>#NAME?</x:v>
      </x:c>
      <x:c r="S273" s="152" t="e">
        <x:f>IF(Q273="","",Q273/MAX(Q$5:Q273)-1)</x:f>
        <x:v>#NAME?</x:v>
      </x:c>
    </x:row>
    <x:row r="274">
      <x:c r="A274" s="149" t="str">
        <x:f>IF('实盘净值数据(iFinD公式)'!A274="","",'实盘净值数据(iFinD公式)'!A274)</x:f>
      </x:c>
      <x:c r="B274" s="146" t="e">
        <x:f>IF(OR('实盘净值数据(iFinD公式)'!$A274="",'实盘净值数据(iFinD公式)'!$B274=""),"",分期持仓明细!$AD$17*SUMPRODUCT(分期持仓明细!$B$17:$AA$17,'实盘净值数据(iFinD公式)'!$B274:$AA274/'实盘净值数据(iFinD公式)'!$B$20:$AA$20)*(1-实盘持仓初始配置!$Z$4)^(('实盘净值数据(iFinD公式)'!$A274-'实盘净值数据(iFinD公式)'!$A$6)/365))</x:f>
        <x:v>#NAME?</x:v>
      </x:c>
      <x:c r="C274" s="152" t="e">
        <x:f>IF(OR(B273="",B274=""),"",B274/B273-1)</x:f>
        <x:v>#NAME?</x:v>
      </x:c>
      <x:c r="D274" s="152" t="e">
        <x:f>IF(B274="","",B274/MAX(B$5:B274)-1)</x:f>
        <x:v>#NAME?</x:v>
      </x:c>
      <x:c r="E274" s="146" t="e">
        <x:f>IF(OR('实盘净值数据(iFinD公式)'!$A274="",'实盘净值数据(iFinD公式)'!$B274=""),"",分期持仓明细!$AD$18*SUMPRODUCT(分期持仓明细!$B$18:$AA$18,'实盘净值数据(iFinD公式)'!$B274:$AA274/'实盘净值数据(iFinD公式)'!$B$20:$AA$20)*(1-实盘持仓初始配置!$Z$5)^(('实盘净值数据(iFinD公式)'!$A274-'实盘净值数据(iFinD公式)'!$A$5)/365))</x:f>
        <x:v>#NAME?</x:v>
      </x:c>
      <x:c r="F274" s="152" t="e">
        <x:f>IF(OR(E273="",E274=""),"",E274/E273-1)</x:f>
        <x:v>#NAME?</x:v>
      </x:c>
      <x:c r="G274" s="152" t="e">
        <x:f>IF(E274="","",E274/MAX(E$5:E274)-1)</x:f>
        <x:v>#NAME?</x:v>
      </x:c>
      <x:c r="H274" s="146" t="e">
        <x:f>IF(OR('实盘净值数据(iFinD公式)'!$A274="",'实盘净值数据(iFinD公式)'!$B274=""),"",分期持仓明细!$AD$19*SUMPRODUCT(分期持仓明细!$B$19:$AA$19,'实盘净值数据(iFinD公式)'!$B274:$AA274/'实盘净值数据(iFinD公式)'!$B$20:$AA$20)*(1-实盘持仓初始配置!$Z$6)^(('实盘净值数据(iFinD公式)'!$A274-'实盘净值数据(iFinD公式)'!$A$7)/365))</x:f>
        <x:v>#NAME?</x:v>
      </x:c>
      <x:c r="I274" s="152" t="e">
        <x:f>IF(OR(H273="",H274=""),"",H274/H273-1)</x:f>
        <x:v>#NAME?</x:v>
      </x:c>
      <x:c r="J274" s="152" t="e">
        <x:f>IF(H274="","",H274/MAX(H$5:H274)-1)</x:f>
        <x:v>#NAME?</x:v>
      </x:c>
      <x:c r="K274" s="146" t="e">
        <x:f>IF(OR('实盘净值数据(iFinD公式)'!$A274="",'实盘净值数据(iFinD公式)'!$B274=""),"",分期持仓明细!$AD$23*SUMPRODUCT(分期持仓明细!$B$23:$AA$23,'实盘净值数据(iFinD公式)'!$B274:$AA274/'实盘净值数据(iFinD公式)'!$B$65:$AA$65)*(1-实盘持仓初始配置!$Z$7)^(('实盘净值数据(iFinD公式)'!$A274-'实盘净值数据(iFinD公式)'!$A$8)/365))</x:f>
        <x:v>#NAME?</x:v>
      </x:c>
      <x:c r="L274" s="152" t="e">
        <x:f>IF(OR(K273="",K274=""),"",K274/K273-1)</x:f>
        <x:v>#NAME?</x:v>
      </x:c>
      <x:c r="M274" s="152" t="e">
        <x:f>IF(K274="","",K274/MAX(K$5:K274)-1)</x:f>
        <x:v>#NAME?</x:v>
      </x:c>
      <x:c r="N274" s="146" t="e">
        <x:f>IF(OR('实盘净值数据(iFinD公式)'!$A274="",'实盘净值数据(iFinD公式)'!$B274=""),"",分期持仓明细!$AD$24*SUMPRODUCT(分期持仓明细!$B$24:$AA$24,'实盘净值数据(iFinD公式)'!$B274:$AA274/'实盘净值数据(iFinD公式)'!$B$65:$AA$65)*(1-实盘持仓初始配置!$Z$8)^(('实盘净值数据(iFinD公式)'!$A274-'实盘净值数据(iFinD公式)'!$A$5)/365))</x:f>
        <x:v>#NAME?</x:v>
      </x:c>
      <x:c r="O274" s="152" t="e">
        <x:f>IF(OR(N273="",N274=""),"",N274/N273-1)</x:f>
        <x:v>#NAME?</x:v>
      </x:c>
      <x:c r="P274" s="152" t="e">
        <x:f>IF(N274="","",N274/MAX(N$5:N274)-1)</x:f>
        <x:v>#NAME?</x:v>
      </x:c>
      <x:c r="Q274" s="146" t="e">
        <x:f>IF(OR('实盘净值数据(iFinD公式)'!$A274="",'实盘净值数据(iFinD公式)'!$B274=""),"",分期持仓明细!$AD$25*SUMPRODUCT(分期持仓明细!$B$25:$AA$25,'实盘净值数据(iFinD公式)'!$B274:$AA274/'实盘净值数据(iFinD公式)'!$B$65:$AA$65)*(1-实盘持仓初始配置!$Z$9)^(('实盘净值数据(iFinD公式)'!$A274-'实盘净值数据(iFinD公式)'!$A$8)/365))</x:f>
        <x:v>#NAME?</x:v>
      </x:c>
      <x:c r="R274" s="152" t="e">
        <x:f>IF(OR(Q273="",Q274=""),"",Q274/Q273-1)</x:f>
        <x:v>#NAME?</x:v>
      </x:c>
      <x:c r="S274" s="152" t="e">
        <x:f>IF(Q274="","",Q274/MAX(Q$5:Q274)-1)</x:f>
        <x:v>#NAME?</x:v>
      </x:c>
    </x:row>
    <x:row r="275">
      <x:c r="A275" s="149" t="str">
        <x:f>IF('实盘净值数据(iFinD公式)'!A275="","",'实盘净值数据(iFinD公式)'!A275)</x:f>
      </x:c>
      <x:c r="B275" s="146" t="e">
        <x:f>IF(OR('实盘净值数据(iFinD公式)'!$A275="",'实盘净值数据(iFinD公式)'!$B275=""),"",分期持仓明细!$AD$17*SUMPRODUCT(分期持仓明细!$B$17:$AA$17,'实盘净值数据(iFinD公式)'!$B275:$AA275/'实盘净值数据(iFinD公式)'!$B$20:$AA$20)*(1-实盘持仓初始配置!$Z$4)^(('实盘净值数据(iFinD公式)'!$A275-'实盘净值数据(iFinD公式)'!$A$6)/365))</x:f>
        <x:v>#NAME?</x:v>
      </x:c>
      <x:c r="C275" s="152" t="e">
        <x:f>IF(OR(B274="",B275=""),"",B275/B274-1)</x:f>
        <x:v>#NAME?</x:v>
      </x:c>
      <x:c r="D275" s="152" t="e">
        <x:f>IF(B275="","",B275/MAX(B$5:B275)-1)</x:f>
        <x:v>#NAME?</x:v>
      </x:c>
      <x:c r="E275" s="146" t="e">
        <x:f>IF(OR('实盘净值数据(iFinD公式)'!$A275="",'实盘净值数据(iFinD公式)'!$B275=""),"",分期持仓明细!$AD$18*SUMPRODUCT(分期持仓明细!$B$18:$AA$18,'实盘净值数据(iFinD公式)'!$B275:$AA275/'实盘净值数据(iFinD公式)'!$B$20:$AA$20)*(1-实盘持仓初始配置!$Z$5)^(('实盘净值数据(iFinD公式)'!$A275-'实盘净值数据(iFinD公式)'!$A$5)/365))</x:f>
        <x:v>#NAME?</x:v>
      </x:c>
      <x:c r="F275" s="152" t="e">
        <x:f>IF(OR(E274="",E275=""),"",E275/E274-1)</x:f>
        <x:v>#NAME?</x:v>
      </x:c>
      <x:c r="G275" s="152" t="e">
        <x:f>IF(E275="","",E275/MAX(E$5:E275)-1)</x:f>
        <x:v>#NAME?</x:v>
      </x:c>
      <x:c r="H275" s="146" t="e">
        <x:f>IF(OR('实盘净值数据(iFinD公式)'!$A275="",'实盘净值数据(iFinD公式)'!$B275=""),"",分期持仓明细!$AD$19*SUMPRODUCT(分期持仓明细!$B$19:$AA$19,'实盘净值数据(iFinD公式)'!$B275:$AA275/'实盘净值数据(iFinD公式)'!$B$20:$AA$20)*(1-实盘持仓初始配置!$Z$6)^(('实盘净值数据(iFinD公式)'!$A275-'实盘净值数据(iFinD公式)'!$A$7)/365))</x:f>
        <x:v>#NAME?</x:v>
      </x:c>
      <x:c r="I275" s="152" t="e">
        <x:f>IF(OR(H274="",H275=""),"",H275/H274-1)</x:f>
        <x:v>#NAME?</x:v>
      </x:c>
      <x:c r="J275" s="152" t="e">
        <x:f>IF(H275="","",H275/MAX(H$5:H275)-1)</x:f>
        <x:v>#NAME?</x:v>
      </x:c>
      <x:c r="K275" s="146" t="e">
        <x:f>IF(OR('实盘净值数据(iFinD公式)'!$A275="",'实盘净值数据(iFinD公式)'!$B275=""),"",分期持仓明细!$AD$23*SUMPRODUCT(分期持仓明细!$B$23:$AA$23,'实盘净值数据(iFinD公式)'!$B275:$AA275/'实盘净值数据(iFinD公式)'!$B$65:$AA$65)*(1-实盘持仓初始配置!$Z$7)^(('实盘净值数据(iFinD公式)'!$A275-'实盘净值数据(iFinD公式)'!$A$8)/365))</x:f>
        <x:v>#NAME?</x:v>
      </x:c>
      <x:c r="L275" s="152" t="e">
        <x:f>IF(OR(K274="",K275=""),"",K275/K274-1)</x:f>
        <x:v>#NAME?</x:v>
      </x:c>
      <x:c r="M275" s="152" t="e">
        <x:f>IF(K275="","",K275/MAX(K$5:K275)-1)</x:f>
        <x:v>#NAME?</x:v>
      </x:c>
      <x:c r="N275" s="146" t="e">
        <x:f>IF(OR('实盘净值数据(iFinD公式)'!$A275="",'实盘净值数据(iFinD公式)'!$B275=""),"",分期持仓明细!$AD$24*SUMPRODUCT(分期持仓明细!$B$24:$AA$24,'实盘净值数据(iFinD公式)'!$B275:$AA275/'实盘净值数据(iFinD公式)'!$B$65:$AA$65)*(1-实盘持仓初始配置!$Z$8)^(('实盘净值数据(iFinD公式)'!$A275-'实盘净值数据(iFinD公式)'!$A$5)/365))</x:f>
        <x:v>#NAME?</x:v>
      </x:c>
      <x:c r="O275" s="152" t="e">
        <x:f>IF(OR(N274="",N275=""),"",N275/N274-1)</x:f>
        <x:v>#NAME?</x:v>
      </x:c>
      <x:c r="P275" s="152" t="e">
        <x:f>IF(N275="","",N275/MAX(N$5:N275)-1)</x:f>
        <x:v>#NAME?</x:v>
      </x:c>
      <x:c r="Q275" s="146" t="e">
        <x:f>IF(OR('实盘净值数据(iFinD公式)'!$A275="",'实盘净值数据(iFinD公式)'!$B275=""),"",分期持仓明细!$AD$25*SUMPRODUCT(分期持仓明细!$B$25:$AA$25,'实盘净值数据(iFinD公式)'!$B275:$AA275/'实盘净值数据(iFinD公式)'!$B$65:$AA$65)*(1-实盘持仓初始配置!$Z$9)^(('实盘净值数据(iFinD公式)'!$A275-'实盘净值数据(iFinD公式)'!$A$8)/365))</x:f>
        <x:v>#NAME?</x:v>
      </x:c>
      <x:c r="R275" s="152" t="e">
        <x:f>IF(OR(Q274="",Q275=""),"",Q275/Q274-1)</x:f>
        <x:v>#NAME?</x:v>
      </x:c>
      <x:c r="S275" s="152" t="e">
        <x:f>IF(Q275="","",Q275/MAX(Q$5:Q275)-1)</x:f>
        <x:v>#NAME?</x:v>
      </x:c>
    </x:row>
    <x:row r="276">
      <x:c r="A276" s="149" t="str">
        <x:f>IF('实盘净值数据(iFinD公式)'!A276="","",'实盘净值数据(iFinD公式)'!A276)</x:f>
      </x:c>
      <x:c r="B276" s="146" t="e">
        <x:f>IF(OR('实盘净值数据(iFinD公式)'!$A276="",'实盘净值数据(iFinD公式)'!$B276=""),"",分期持仓明细!$AD$17*SUMPRODUCT(分期持仓明细!$B$17:$AA$17,'实盘净值数据(iFinD公式)'!$B276:$AA276/'实盘净值数据(iFinD公式)'!$B$20:$AA$20)*(1-实盘持仓初始配置!$Z$4)^(('实盘净值数据(iFinD公式)'!$A276-'实盘净值数据(iFinD公式)'!$A$6)/365))</x:f>
        <x:v>#NAME?</x:v>
      </x:c>
      <x:c r="C276" s="152" t="e">
        <x:f>IF(OR(B275="",B276=""),"",B276/B275-1)</x:f>
        <x:v>#NAME?</x:v>
      </x:c>
      <x:c r="D276" s="152" t="e">
        <x:f>IF(B276="","",B276/MAX(B$5:B276)-1)</x:f>
        <x:v>#NAME?</x:v>
      </x:c>
      <x:c r="E276" s="146" t="e">
        <x:f>IF(OR('实盘净值数据(iFinD公式)'!$A276="",'实盘净值数据(iFinD公式)'!$B276=""),"",分期持仓明细!$AD$18*SUMPRODUCT(分期持仓明细!$B$18:$AA$18,'实盘净值数据(iFinD公式)'!$B276:$AA276/'实盘净值数据(iFinD公式)'!$B$20:$AA$20)*(1-实盘持仓初始配置!$Z$5)^(('实盘净值数据(iFinD公式)'!$A276-'实盘净值数据(iFinD公式)'!$A$5)/365))</x:f>
        <x:v>#NAME?</x:v>
      </x:c>
      <x:c r="F276" s="152" t="e">
        <x:f>IF(OR(E275="",E276=""),"",E276/E275-1)</x:f>
        <x:v>#NAME?</x:v>
      </x:c>
      <x:c r="G276" s="152" t="e">
        <x:f>IF(E276="","",E276/MAX(E$5:E276)-1)</x:f>
        <x:v>#NAME?</x:v>
      </x:c>
      <x:c r="H276" s="146" t="e">
        <x:f>IF(OR('实盘净值数据(iFinD公式)'!$A276="",'实盘净值数据(iFinD公式)'!$B276=""),"",分期持仓明细!$AD$19*SUMPRODUCT(分期持仓明细!$B$19:$AA$19,'实盘净值数据(iFinD公式)'!$B276:$AA276/'实盘净值数据(iFinD公式)'!$B$20:$AA$20)*(1-实盘持仓初始配置!$Z$6)^(('实盘净值数据(iFinD公式)'!$A276-'实盘净值数据(iFinD公式)'!$A$7)/365))</x:f>
        <x:v>#NAME?</x:v>
      </x:c>
      <x:c r="I276" s="152" t="e">
        <x:f>IF(OR(H275="",H276=""),"",H276/H275-1)</x:f>
        <x:v>#NAME?</x:v>
      </x:c>
      <x:c r="J276" s="152" t="e">
        <x:f>IF(H276="","",H276/MAX(H$5:H276)-1)</x:f>
        <x:v>#NAME?</x:v>
      </x:c>
      <x:c r="K276" s="146" t="e">
        <x:f>IF(OR('实盘净值数据(iFinD公式)'!$A276="",'实盘净值数据(iFinD公式)'!$B276=""),"",分期持仓明细!$AD$23*SUMPRODUCT(分期持仓明细!$B$23:$AA$23,'实盘净值数据(iFinD公式)'!$B276:$AA276/'实盘净值数据(iFinD公式)'!$B$65:$AA$65)*(1-实盘持仓初始配置!$Z$7)^(('实盘净值数据(iFinD公式)'!$A276-'实盘净值数据(iFinD公式)'!$A$8)/365))</x:f>
        <x:v>#NAME?</x:v>
      </x:c>
      <x:c r="L276" s="152" t="e">
        <x:f>IF(OR(K275="",K276=""),"",K276/K275-1)</x:f>
        <x:v>#NAME?</x:v>
      </x:c>
      <x:c r="M276" s="152" t="e">
        <x:f>IF(K276="","",K276/MAX(K$5:K276)-1)</x:f>
        <x:v>#NAME?</x:v>
      </x:c>
      <x:c r="N276" s="146" t="e">
        <x:f>IF(OR('实盘净值数据(iFinD公式)'!$A276="",'实盘净值数据(iFinD公式)'!$B276=""),"",分期持仓明细!$AD$24*SUMPRODUCT(分期持仓明细!$B$24:$AA$24,'实盘净值数据(iFinD公式)'!$B276:$AA276/'实盘净值数据(iFinD公式)'!$B$65:$AA$65)*(1-实盘持仓初始配置!$Z$8)^(('实盘净值数据(iFinD公式)'!$A276-'实盘净值数据(iFinD公式)'!$A$5)/365))</x:f>
        <x:v>#NAME?</x:v>
      </x:c>
      <x:c r="O276" s="152" t="e">
        <x:f>IF(OR(N275="",N276=""),"",N276/N275-1)</x:f>
        <x:v>#NAME?</x:v>
      </x:c>
      <x:c r="P276" s="152" t="e">
        <x:f>IF(N276="","",N276/MAX(N$5:N276)-1)</x:f>
        <x:v>#NAME?</x:v>
      </x:c>
      <x:c r="Q276" s="146" t="e">
        <x:f>IF(OR('实盘净值数据(iFinD公式)'!$A276="",'实盘净值数据(iFinD公式)'!$B276=""),"",分期持仓明细!$AD$25*SUMPRODUCT(分期持仓明细!$B$25:$AA$25,'实盘净值数据(iFinD公式)'!$B276:$AA276/'实盘净值数据(iFinD公式)'!$B$65:$AA$65)*(1-实盘持仓初始配置!$Z$9)^(('实盘净值数据(iFinD公式)'!$A276-'实盘净值数据(iFinD公式)'!$A$8)/365))</x:f>
        <x:v>#NAME?</x:v>
      </x:c>
      <x:c r="R276" s="152" t="e">
        <x:f>IF(OR(Q275="",Q276=""),"",Q276/Q275-1)</x:f>
        <x:v>#NAME?</x:v>
      </x:c>
      <x:c r="S276" s="152" t="e">
        <x:f>IF(Q276="","",Q276/MAX(Q$5:Q276)-1)</x:f>
        <x:v>#NAME?</x:v>
      </x:c>
    </x:row>
    <x:row r="277">
      <x:c r="A277" s="149" t="str">
        <x:f>IF('实盘净值数据(iFinD公式)'!A277="","",'实盘净值数据(iFinD公式)'!A277)</x:f>
      </x:c>
      <x:c r="B277" s="146" t="e">
        <x:f>IF(OR('实盘净值数据(iFinD公式)'!$A277="",'实盘净值数据(iFinD公式)'!$B277=""),"",分期持仓明细!$AD$17*SUMPRODUCT(分期持仓明细!$B$17:$AA$17,'实盘净值数据(iFinD公式)'!$B277:$AA277/'实盘净值数据(iFinD公式)'!$B$20:$AA$20)*(1-实盘持仓初始配置!$Z$4)^(('实盘净值数据(iFinD公式)'!$A277-'实盘净值数据(iFinD公式)'!$A$6)/365))</x:f>
        <x:v>#NAME?</x:v>
      </x:c>
      <x:c r="C277" s="152" t="e">
        <x:f>IF(OR(B276="",B277=""),"",B277/B276-1)</x:f>
        <x:v>#NAME?</x:v>
      </x:c>
      <x:c r="D277" s="152" t="e">
        <x:f>IF(B277="","",B277/MAX(B$5:B277)-1)</x:f>
        <x:v>#NAME?</x:v>
      </x:c>
      <x:c r="E277" s="146" t="e">
        <x:f>IF(OR('实盘净值数据(iFinD公式)'!$A277="",'实盘净值数据(iFinD公式)'!$B277=""),"",分期持仓明细!$AD$18*SUMPRODUCT(分期持仓明细!$B$18:$AA$18,'实盘净值数据(iFinD公式)'!$B277:$AA277/'实盘净值数据(iFinD公式)'!$B$20:$AA$20)*(1-实盘持仓初始配置!$Z$5)^(('实盘净值数据(iFinD公式)'!$A277-'实盘净值数据(iFinD公式)'!$A$5)/365))</x:f>
        <x:v>#NAME?</x:v>
      </x:c>
      <x:c r="F277" s="152" t="e">
        <x:f>IF(OR(E276="",E277=""),"",E277/E276-1)</x:f>
        <x:v>#NAME?</x:v>
      </x:c>
      <x:c r="G277" s="152" t="e">
        <x:f>IF(E277="","",E277/MAX(E$5:E277)-1)</x:f>
        <x:v>#NAME?</x:v>
      </x:c>
      <x:c r="H277" s="146" t="e">
        <x:f>IF(OR('实盘净值数据(iFinD公式)'!$A277="",'实盘净值数据(iFinD公式)'!$B277=""),"",分期持仓明细!$AD$19*SUMPRODUCT(分期持仓明细!$B$19:$AA$19,'实盘净值数据(iFinD公式)'!$B277:$AA277/'实盘净值数据(iFinD公式)'!$B$20:$AA$20)*(1-实盘持仓初始配置!$Z$6)^(('实盘净值数据(iFinD公式)'!$A277-'实盘净值数据(iFinD公式)'!$A$7)/365))</x:f>
        <x:v>#NAME?</x:v>
      </x:c>
      <x:c r="I277" s="152" t="e">
        <x:f>IF(OR(H276="",H277=""),"",H277/H276-1)</x:f>
        <x:v>#NAME?</x:v>
      </x:c>
      <x:c r="J277" s="152" t="e">
        <x:f>IF(H277="","",H277/MAX(H$5:H277)-1)</x:f>
        <x:v>#NAME?</x:v>
      </x:c>
      <x:c r="K277" s="146" t="e">
        <x:f>IF(OR('实盘净值数据(iFinD公式)'!$A277="",'实盘净值数据(iFinD公式)'!$B277=""),"",分期持仓明细!$AD$23*SUMPRODUCT(分期持仓明细!$B$23:$AA$23,'实盘净值数据(iFinD公式)'!$B277:$AA277/'实盘净值数据(iFinD公式)'!$B$65:$AA$65)*(1-实盘持仓初始配置!$Z$7)^(('实盘净值数据(iFinD公式)'!$A277-'实盘净值数据(iFinD公式)'!$A$8)/365))</x:f>
        <x:v>#NAME?</x:v>
      </x:c>
      <x:c r="L277" s="152" t="e">
        <x:f>IF(OR(K276="",K277=""),"",K277/K276-1)</x:f>
        <x:v>#NAME?</x:v>
      </x:c>
      <x:c r="M277" s="152" t="e">
        <x:f>IF(K277="","",K277/MAX(K$5:K277)-1)</x:f>
        <x:v>#NAME?</x:v>
      </x:c>
      <x:c r="N277" s="146" t="e">
        <x:f>IF(OR('实盘净值数据(iFinD公式)'!$A277="",'实盘净值数据(iFinD公式)'!$B277=""),"",分期持仓明细!$AD$24*SUMPRODUCT(分期持仓明细!$B$24:$AA$24,'实盘净值数据(iFinD公式)'!$B277:$AA277/'实盘净值数据(iFinD公式)'!$B$65:$AA$65)*(1-实盘持仓初始配置!$Z$8)^(('实盘净值数据(iFinD公式)'!$A277-'实盘净值数据(iFinD公式)'!$A$5)/365))</x:f>
        <x:v>#NAME?</x:v>
      </x:c>
      <x:c r="O277" s="152" t="e">
        <x:f>IF(OR(N276="",N277=""),"",N277/N276-1)</x:f>
        <x:v>#NAME?</x:v>
      </x:c>
      <x:c r="P277" s="152" t="e">
        <x:f>IF(N277="","",N277/MAX(N$5:N277)-1)</x:f>
        <x:v>#NAME?</x:v>
      </x:c>
      <x:c r="Q277" s="146" t="e">
        <x:f>IF(OR('实盘净值数据(iFinD公式)'!$A277="",'实盘净值数据(iFinD公式)'!$B277=""),"",分期持仓明细!$AD$25*SUMPRODUCT(分期持仓明细!$B$25:$AA$25,'实盘净值数据(iFinD公式)'!$B277:$AA277/'实盘净值数据(iFinD公式)'!$B$65:$AA$65)*(1-实盘持仓初始配置!$Z$9)^(('实盘净值数据(iFinD公式)'!$A277-'实盘净值数据(iFinD公式)'!$A$8)/365))</x:f>
        <x:v>#NAME?</x:v>
      </x:c>
      <x:c r="R277" s="152" t="e">
        <x:f>IF(OR(Q276="",Q277=""),"",Q277/Q276-1)</x:f>
        <x:v>#NAME?</x:v>
      </x:c>
      <x:c r="S277" s="152" t="e">
        <x:f>IF(Q277="","",Q277/MAX(Q$5:Q277)-1)</x:f>
        <x:v>#NAME?</x:v>
      </x:c>
    </x:row>
    <x:row r="278">
      <x:c r="A278" s="149" t="str">
        <x:f>IF('实盘净值数据(iFinD公式)'!A278="","",'实盘净值数据(iFinD公式)'!A278)</x:f>
      </x:c>
      <x:c r="B278" s="146" t="e">
        <x:f>IF(OR('实盘净值数据(iFinD公式)'!$A278="",'实盘净值数据(iFinD公式)'!$B278=""),"",分期持仓明细!$AD$17*SUMPRODUCT(分期持仓明细!$B$17:$AA$17,'实盘净值数据(iFinD公式)'!$B278:$AA278/'实盘净值数据(iFinD公式)'!$B$20:$AA$20)*(1-实盘持仓初始配置!$Z$4)^(('实盘净值数据(iFinD公式)'!$A278-'实盘净值数据(iFinD公式)'!$A$6)/365))</x:f>
        <x:v>#NAME?</x:v>
      </x:c>
      <x:c r="C278" s="152" t="e">
        <x:f>IF(OR(B277="",B278=""),"",B278/B277-1)</x:f>
        <x:v>#NAME?</x:v>
      </x:c>
      <x:c r="D278" s="152" t="e">
        <x:f>IF(B278="","",B278/MAX(B$5:B278)-1)</x:f>
        <x:v>#NAME?</x:v>
      </x:c>
      <x:c r="E278" s="146" t="e">
        <x:f>IF(OR('实盘净值数据(iFinD公式)'!$A278="",'实盘净值数据(iFinD公式)'!$B278=""),"",分期持仓明细!$AD$18*SUMPRODUCT(分期持仓明细!$B$18:$AA$18,'实盘净值数据(iFinD公式)'!$B278:$AA278/'实盘净值数据(iFinD公式)'!$B$20:$AA$20)*(1-实盘持仓初始配置!$Z$5)^(('实盘净值数据(iFinD公式)'!$A278-'实盘净值数据(iFinD公式)'!$A$5)/365))</x:f>
        <x:v>#NAME?</x:v>
      </x:c>
      <x:c r="F278" s="152" t="e">
        <x:f>IF(OR(E277="",E278=""),"",E278/E277-1)</x:f>
        <x:v>#NAME?</x:v>
      </x:c>
      <x:c r="G278" s="152" t="e">
        <x:f>IF(E278="","",E278/MAX(E$5:E278)-1)</x:f>
        <x:v>#NAME?</x:v>
      </x:c>
      <x:c r="H278" s="146" t="e">
        <x:f>IF(OR('实盘净值数据(iFinD公式)'!$A278="",'实盘净值数据(iFinD公式)'!$B278=""),"",分期持仓明细!$AD$19*SUMPRODUCT(分期持仓明细!$B$19:$AA$19,'实盘净值数据(iFinD公式)'!$B278:$AA278/'实盘净值数据(iFinD公式)'!$B$20:$AA$20)*(1-实盘持仓初始配置!$Z$6)^(('实盘净值数据(iFinD公式)'!$A278-'实盘净值数据(iFinD公式)'!$A$7)/365))</x:f>
        <x:v>#NAME?</x:v>
      </x:c>
      <x:c r="I278" s="152" t="e">
        <x:f>IF(OR(H277="",H278=""),"",H278/H277-1)</x:f>
        <x:v>#NAME?</x:v>
      </x:c>
      <x:c r="J278" s="152" t="e">
        <x:f>IF(H278="","",H278/MAX(H$5:H278)-1)</x:f>
        <x:v>#NAME?</x:v>
      </x:c>
      <x:c r="K278" s="146" t="e">
        <x:f>IF(OR('实盘净值数据(iFinD公式)'!$A278="",'实盘净值数据(iFinD公式)'!$B278=""),"",分期持仓明细!$AD$23*SUMPRODUCT(分期持仓明细!$B$23:$AA$23,'实盘净值数据(iFinD公式)'!$B278:$AA278/'实盘净值数据(iFinD公式)'!$B$65:$AA$65)*(1-实盘持仓初始配置!$Z$7)^(('实盘净值数据(iFinD公式)'!$A278-'实盘净值数据(iFinD公式)'!$A$8)/365))</x:f>
        <x:v>#NAME?</x:v>
      </x:c>
      <x:c r="L278" s="152" t="e">
        <x:f>IF(OR(K277="",K278=""),"",K278/K277-1)</x:f>
        <x:v>#NAME?</x:v>
      </x:c>
      <x:c r="M278" s="152" t="e">
        <x:f>IF(K278="","",K278/MAX(K$5:K278)-1)</x:f>
        <x:v>#NAME?</x:v>
      </x:c>
      <x:c r="N278" s="146" t="e">
        <x:f>IF(OR('实盘净值数据(iFinD公式)'!$A278="",'实盘净值数据(iFinD公式)'!$B278=""),"",分期持仓明细!$AD$24*SUMPRODUCT(分期持仓明细!$B$24:$AA$24,'实盘净值数据(iFinD公式)'!$B278:$AA278/'实盘净值数据(iFinD公式)'!$B$65:$AA$65)*(1-实盘持仓初始配置!$Z$8)^(('实盘净值数据(iFinD公式)'!$A278-'实盘净值数据(iFinD公式)'!$A$5)/365))</x:f>
        <x:v>#NAME?</x:v>
      </x:c>
      <x:c r="O278" s="152" t="e">
        <x:f>IF(OR(N277="",N278=""),"",N278/N277-1)</x:f>
        <x:v>#NAME?</x:v>
      </x:c>
      <x:c r="P278" s="152" t="e">
        <x:f>IF(N278="","",N278/MAX(N$5:N278)-1)</x:f>
        <x:v>#NAME?</x:v>
      </x:c>
      <x:c r="Q278" s="146" t="e">
        <x:f>IF(OR('实盘净值数据(iFinD公式)'!$A278="",'实盘净值数据(iFinD公式)'!$B278=""),"",分期持仓明细!$AD$25*SUMPRODUCT(分期持仓明细!$B$25:$AA$25,'实盘净值数据(iFinD公式)'!$B278:$AA278/'实盘净值数据(iFinD公式)'!$B$65:$AA$65)*(1-实盘持仓初始配置!$Z$9)^(('实盘净值数据(iFinD公式)'!$A278-'实盘净值数据(iFinD公式)'!$A$8)/365))</x:f>
        <x:v>#NAME?</x:v>
      </x:c>
      <x:c r="R278" s="152" t="e">
        <x:f>IF(OR(Q277="",Q278=""),"",Q278/Q277-1)</x:f>
        <x:v>#NAME?</x:v>
      </x:c>
      <x:c r="S278" s="152" t="e">
        <x:f>IF(Q278="","",Q278/MAX(Q$5:Q278)-1)</x:f>
        <x:v>#NAME?</x:v>
      </x:c>
    </x:row>
    <x:row r="279">
      <x:c r="A279" s="149" t="str">
        <x:f>IF('实盘净值数据(iFinD公式)'!A279="","",'实盘净值数据(iFinD公式)'!A279)</x:f>
      </x:c>
      <x:c r="B279" s="146" t="e">
        <x:f>IF(OR('实盘净值数据(iFinD公式)'!$A279="",'实盘净值数据(iFinD公式)'!$B279=""),"",分期持仓明细!$AD$17*SUMPRODUCT(分期持仓明细!$B$17:$AA$17,'实盘净值数据(iFinD公式)'!$B279:$AA279/'实盘净值数据(iFinD公式)'!$B$20:$AA$20)*(1-实盘持仓初始配置!$Z$4)^(('实盘净值数据(iFinD公式)'!$A279-'实盘净值数据(iFinD公式)'!$A$6)/365))</x:f>
        <x:v>#NAME?</x:v>
      </x:c>
      <x:c r="C279" s="152" t="e">
        <x:f>IF(OR(B278="",B279=""),"",B279/B278-1)</x:f>
        <x:v>#NAME?</x:v>
      </x:c>
      <x:c r="D279" s="152" t="e">
        <x:f>IF(B279="","",B279/MAX(B$5:B279)-1)</x:f>
        <x:v>#NAME?</x:v>
      </x:c>
      <x:c r="E279" s="146" t="e">
        <x:f>IF(OR('实盘净值数据(iFinD公式)'!$A279="",'实盘净值数据(iFinD公式)'!$B279=""),"",分期持仓明细!$AD$18*SUMPRODUCT(分期持仓明细!$B$18:$AA$18,'实盘净值数据(iFinD公式)'!$B279:$AA279/'实盘净值数据(iFinD公式)'!$B$20:$AA$20)*(1-实盘持仓初始配置!$Z$5)^(('实盘净值数据(iFinD公式)'!$A279-'实盘净值数据(iFinD公式)'!$A$5)/365))</x:f>
        <x:v>#NAME?</x:v>
      </x:c>
      <x:c r="F279" s="152" t="e">
        <x:f>IF(OR(E278="",E279=""),"",E279/E278-1)</x:f>
        <x:v>#NAME?</x:v>
      </x:c>
      <x:c r="G279" s="152" t="e">
        <x:f>IF(E279="","",E279/MAX(E$5:E279)-1)</x:f>
        <x:v>#NAME?</x:v>
      </x:c>
      <x:c r="H279" s="146" t="e">
        <x:f>IF(OR('实盘净值数据(iFinD公式)'!$A279="",'实盘净值数据(iFinD公式)'!$B279=""),"",分期持仓明细!$AD$19*SUMPRODUCT(分期持仓明细!$B$19:$AA$19,'实盘净值数据(iFinD公式)'!$B279:$AA279/'实盘净值数据(iFinD公式)'!$B$20:$AA$20)*(1-实盘持仓初始配置!$Z$6)^(('实盘净值数据(iFinD公式)'!$A279-'实盘净值数据(iFinD公式)'!$A$7)/365))</x:f>
        <x:v>#NAME?</x:v>
      </x:c>
      <x:c r="I279" s="152" t="e">
        <x:f>IF(OR(H278="",H279=""),"",H279/H278-1)</x:f>
        <x:v>#NAME?</x:v>
      </x:c>
      <x:c r="J279" s="152" t="e">
        <x:f>IF(H279="","",H279/MAX(H$5:H279)-1)</x:f>
        <x:v>#NAME?</x:v>
      </x:c>
      <x:c r="K279" s="146" t="e">
        <x:f>IF(OR('实盘净值数据(iFinD公式)'!$A279="",'实盘净值数据(iFinD公式)'!$B279=""),"",分期持仓明细!$AD$23*SUMPRODUCT(分期持仓明细!$B$23:$AA$23,'实盘净值数据(iFinD公式)'!$B279:$AA279/'实盘净值数据(iFinD公式)'!$B$65:$AA$65)*(1-实盘持仓初始配置!$Z$7)^(('实盘净值数据(iFinD公式)'!$A279-'实盘净值数据(iFinD公式)'!$A$8)/365))</x:f>
        <x:v>#NAME?</x:v>
      </x:c>
      <x:c r="L279" s="152" t="e">
        <x:f>IF(OR(K278="",K279=""),"",K279/K278-1)</x:f>
        <x:v>#NAME?</x:v>
      </x:c>
      <x:c r="M279" s="152" t="e">
        <x:f>IF(K279="","",K279/MAX(K$5:K279)-1)</x:f>
        <x:v>#NAME?</x:v>
      </x:c>
      <x:c r="N279" s="146" t="e">
        <x:f>IF(OR('实盘净值数据(iFinD公式)'!$A279="",'实盘净值数据(iFinD公式)'!$B279=""),"",分期持仓明细!$AD$24*SUMPRODUCT(分期持仓明细!$B$24:$AA$24,'实盘净值数据(iFinD公式)'!$B279:$AA279/'实盘净值数据(iFinD公式)'!$B$65:$AA$65)*(1-实盘持仓初始配置!$Z$8)^(('实盘净值数据(iFinD公式)'!$A279-'实盘净值数据(iFinD公式)'!$A$5)/365))</x:f>
        <x:v>#NAME?</x:v>
      </x:c>
      <x:c r="O279" s="152" t="e">
        <x:f>IF(OR(N278="",N279=""),"",N279/N278-1)</x:f>
        <x:v>#NAME?</x:v>
      </x:c>
      <x:c r="P279" s="152" t="e">
        <x:f>IF(N279="","",N279/MAX(N$5:N279)-1)</x:f>
        <x:v>#NAME?</x:v>
      </x:c>
      <x:c r="Q279" s="146" t="e">
        <x:f>IF(OR('实盘净值数据(iFinD公式)'!$A279="",'实盘净值数据(iFinD公式)'!$B279=""),"",分期持仓明细!$AD$25*SUMPRODUCT(分期持仓明细!$B$25:$AA$25,'实盘净值数据(iFinD公式)'!$B279:$AA279/'实盘净值数据(iFinD公式)'!$B$65:$AA$65)*(1-实盘持仓初始配置!$Z$9)^(('实盘净值数据(iFinD公式)'!$A279-'实盘净值数据(iFinD公式)'!$A$8)/365))</x:f>
        <x:v>#NAME?</x:v>
      </x:c>
      <x:c r="R279" s="152" t="e">
        <x:f>IF(OR(Q278="",Q279=""),"",Q279/Q278-1)</x:f>
        <x:v>#NAME?</x:v>
      </x:c>
      <x:c r="S279" s="152" t="e">
        <x:f>IF(Q279="","",Q279/MAX(Q$5:Q279)-1)</x:f>
        <x:v>#NAME?</x:v>
      </x:c>
    </x:row>
    <x:row r="280">
      <x:c r="A280" s="149" t="str">
        <x:f>IF('实盘净值数据(iFinD公式)'!A280="","",'实盘净值数据(iFinD公式)'!A280)</x:f>
      </x:c>
      <x:c r="B280" s="146" t="e">
        <x:f>IF(OR('实盘净值数据(iFinD公式)'!$A280="",'实盘净值数据(iFinD公式)'!$B280=""),"",分期持仓明细!$AD$17*SUMPRODUCT(分期持仓明细!$B$17:$AA$17,'实盘净值数据(iFinD公式)'!$B280:$AA280/'实盘净值数据(iFinD公式)'!$B$20:$AA$20)*(1-实盘持仓初始配置!$Z$4)^(('实盘净值数据(iFinD公式)'!$A280-'实盘净值数据(iFinD公式)'!$A$6)/365))</x:f>
        <x:v>#NAME?</x:v>
      </x:c>
      <x:c r="C280" s="152" t="e">
        <x:f>IF(OR(B279="",B280=""),"",B280/B279-1)</x:f>
        <x:v>#NAME?</x:v>
      </x:c>
      <x:c r="D280" s="152" t="e">
        <x:f>IF(B280="","",B280/MAX(B$5:B280)-1)</x:f>
        <x:v>#NAME?</x:v>
      </x:c>
      <x:c r="E280" s="146" t="e">
        <x:f>IF(OR('实盘净值数据(iFinD公式)'!$A280="",'实盘净值数据(iFinD公式)'!$B280=""),"",分期持仓明细!$AD$18*SUMPRODUCT(分期持仓明细!$B$18:$AA$18,'实盘净值数据(iFinD公式)'!$B280:$AA280/'实盘净值数据(iFinD公式)'!$B$20:$AA$20)*(1-实盘持仓初始配置!$Z$5)^(('实盘净值数据(iFinD公式)'!$A280-'实盘净值数据(iFinD公式)'!$A$5)/365))</x:f>
        <x:v>#NAME?</x:v>
      </x:c>
      <x:c r="F280" s="152" t="e">
        <x:f>IF(OR(E279="",E280=""),"",E280/E279-1)</x:f>
        <x:v>#NAME?</x:v>
      </x:c>
      <x:c r="G280" s="152" t="e">
        <x:f>IF(E280="","",E280/MAX(E$5:E280)-1)</x:f>
        <x:v>#NAME?</x:v>
      </x:c>
      <x:c r="H280" s="146" t="e">
        <x:f>IF(OR('实盘净值数据(iFinD公式)'!$A280="",'实盘净值数据(iFinD公式)'!$B280=""),"",分期持仓明细!$AD$19*SUMPRODUCT(分期持仓明细!$B$19:$AA$19,'实盘净值数据(iFinD公式)'!$B280:$AA280/'实盘净值数据(iFinD公式)'!$B$20:$AA$20)*(1-实盘持仓初始配置!$Z$6)^(('实盘净值数据(iFinD公式)'!$A280-'实盘净值数据(iFinD公式)'!$A$7)/365))</x:f>
        <x:v>#NAME?</x:v>
      </x:c>
      <x:c r="I280" s="152" t="e">
        <x:f>IF(OR(H279="",H280=""),"",H280/H279-1)</x:f>
        <x:v>#NAME?</x:v>
      </x:c>
      <x:c r="J280" s="152" t="e">
        <x:f>IF(H280="","",H280/MAX(H$5:H280)-1)</x:f>
        <x:v>#NAME?</x:v>
      </x:c>
      <x:c r="K280" s="146" t="e">
        <x:f>IF(OR('实盘净值数据(iFinD公式)'!$A280="",'实盘净值数据(iFinD公式)'!$B280=""),"",分期持仓明细!$AD$23*SUMPRODUCT(分期持仓明细!$B$23:$AA$23,'实盘净值数据(iFinD公式)'!$B280:$AA280/'实盘净值数据(iFinD公式)'!$B$65:$AA$65)*(1-实盘持仓初始配置!$Z$7)^(('实盘净值数据(iFinD公式)'!$A280-'实盘净值数据(iFinD公式)'!$A$8)/365))</x:f>
        <x:v>#NAME?</x:v>
      </x:c>
      <x:c r="L280" s="152" t="e">
        <x:f>IF(OR(K279="",K280=""),"",K280/K279-1)</x:f>
        <x:v>#NAME?</x:v>
      </x:c>
      <x:c r="M280" s="152" t="e">
        <x:f>IF(K280="","",K280/MAX(K$5:K280)-1)</x:f>
        <x:v>#NAME?</x:v>
      </x:c>
      <x:c r="N280" s="146" t="e">
        <x:f>IF(OR('实盘净值数据(iFinD公式)'!$A280="",'实盘净值数据(iFinD公式)'!$B280=""),"",分期持仓明细!$AD$24*SUMPRODUCT(分期持仓明细!$B$24:$AA$24,'实盘净值数据(iFinD公式)'!$B280:$AA280/'实盘净值数据(iFinD公式)'!$B$65:$AA$65)*(1-实盘持仓初始配置!$Z$8)^(('实盘净值数据(iFinD公式)'!$A280-'实盘净值数据(iFinD公式)'!$A$5)/365))</x:f>
        <x:v>#NAME?</x:v>
      </x:c>
      <x:c r="O280" s="152" t="e">
        <x:f>IF(OR(N279="",N280=""),"",N280/N279-1)</x:f>
        <x:v>#NAME?</x:v>
      </x:c>
      <x:c r="P280" s="152" t="e">
        <x:f>IF(N280="","",N280/MAX(N$5:N280)-1)</x:f>
        <x:v>#NAME?</x:v>
      </x:c>
      <x:c r="Q280" s="146" t="e">
        <x:f>IF(OR('实盘净值数据(iFinD公式)'!$A280="",'实盘净值数据(iFinD公式)'!$B280=""),"",分期持仓明细!$AD$25*SUMPRODUCT(分期持仓明细!$B$25:$AA$25,'实盘净值数据(iFinD公式)'!$B280:$AA280/'实盘净值数据(iFinD公式)'!$B$65:$AA$65)*(1-实盘持仓初始配置!$Z$9)^(('实盘净值数据(iFinD公式)'!$A280-'实盘净值数据(iFinD公式)'!$A$8)/365))</x:f>
        <x:v>#NAME?</x:v>
      </x:c>
      <x:c r="R280" s="152" t="e">
        <x:f>IF(OR(Q279="",Q280=""),"",Q280/Q279-1)</x:f>
        <x:v>#NAME?</x:v>
      </x:c>
      <x:c r="S280" s="152" t="e">
        <x:f>IF(Q280="","",Q280/MAX(Q$5:Q280)-1)</x:f>
        <x:v>#NAME?</x:v>
      </x:c>
    </x:row>
    <x:row r="281">
      <x:c r="A281" s="149" t="str">
        <x:f>IF('实盘净值数据(iFinD公式)'!A281="","",'实盘净值数据(iFinD公式)'!A281)</x:f>
      </x:c>
      <x:c r="B281" s="146" t="e">
        <x:f>IF(OR('实盘净值数据(iFinD公式)'!$A281="",'实盘净值数据(iFinD公式)'!$B281=""),"",分期持仓明细!$AD$17*SUMPRODUCT(分期持仓明细!$B$17:$AA$17,'实盘净值数据(iFinD公式)'!$B281:$AA281/'实盘净值数据(iFinD公式)'!$B$20:$AA$20)*(1-实盘持仓初始配置!$Z$4)^(('实盘净值数据(iFinD公式)'!$A281-'实盘净值数据(iFinD公式)'!$A$6)/365))</x:f>
        <x:v>#NAME?</x:v>
      </x:c>
      <x:c r="C281" s="152" t="e">
        <x:f>IF(OR(B280="",B281=""),"",B281/B280-1)</x:f>
        <x:v>#NAME?</x:v>
      </x:c>
      <x:c r="D281" s="152" t="e">
        <x:f>IF(B281="","",B281/MAX(B$5:B281)-1)</x:f>
        <x:v>#NAME?</x:v>
      </x:c>
      <x:c r="E281" s="146" t="e">
        <x:f>IF(OR('实盘净值数据(iFinD公式)'!$A281="",'实盘净值数据(iFinD公式)'!$B281=""),"",分期持仓明细!$AD$18*SUMPRODUCT(分期持仓明细!$B$18:$AA$18,'实盘净值数据(iFinD公式)'!$B281:$AA281/'实盘净值数据(iFinD公式)'!$B$20:$AA$20)*(1-实盘持仓初始配置!$Z$5)^(('实盘净值数据(iFinD公式)'!$A281-'实盘净值数据(iFinD公式)'!$A$5)/365))</x:f>
        <x:v>#NAME?</x:v>
      </x:c>
      <x:c r="F281" s="152" t="e">
        <x:f>IF(OR(E280="",E281=""),"",E281/E280-1)</x:f>
        <x:v>#NAME?</x:v>
      </x:c>
      <x:c r="G281" s="152" t="e">
        <x:f>IF(E281="","",E281/MAX(E$5:E281)-1)</x:f>
        <x:v>#NAME?</x:v>
      </x:c>
      <x:c r="H281" s="146" t="e">
        <x:f>IF(OR('实盘净值数据(iFinD公式)'!$A281="",'实盘净值数据(iFinD公式)'!$B281=""),"",分期持仓明细!$AD$19*SUMPRODUCT(分期持仓明细!$B$19:$AA$19,'实盘净值数据(iFinD公式)'!$B281:$AA281/'实盘净值数据(iFinD公式)'!$B$20:$AA$20)*(1-实盘持仓初始配置!$Z$6)^(('实盘净值数据(iFinD公式)'!$A281-'实盘净值数据(iFinD公式)'!$A$7)/365))</x:f>
        <x:v>#NAME?</x:v>
      </x:c>
      <x:c r="I281" s="152" t="e">
        <x:f>IF(OR(H280="",H281=""),"",H281/H280-1)</x:f>
        <x:v>#NAME?</x:v>
      </x:c>
      <x:c r="J281" s="152" t="e">
        <x:f>IF(H281="","",H281/MAX(H$5:H281)-1)</x:f>
        <x:v>#NAME?</x:v>
      </x:c>
      <x:c r="K281" s="146" t="e">
        <x:f>IF(OR('实盘净值数据(iFinD公式)'!$A281="",'实盘净值数据(iFinD公式)'!$B281=""),"",分期持仓明细!$AD$23*SUMPRODUCT(分期持仓明细!$B$23:$AA$23,'实盘净值数据(iFinD公式)'!$B281:$AA281/'实盘净值数据(iFinD公式)'!$B$65:$AA$65)*(1-实盘持仓初始配置!$Z$7)^(('实盘净值数据(iFinD公式)'!$A281-'实盘净值数据(iFinD公式)'!$A$8)/365))</x:f>
        <x:v>#NAME?</x:v>
      </x:c>
      <x:c r="L281" s="152" t="e">
        <x:f>IF(OR(K280="",K281=""),"",K281/K280-1)</x:f>
        <x:v>#NAME?</x:v>
      </x:c>
      <x:c r="M281" s="152" t="e">
        <x:f>IF(K281="","",K281/MAX(K$5:K281)-1)</x:f>
        <x:v>#NAME?</x:v>
      </x:c>
      <x:c r="N281" s="146" t="e">
        <x:f>IF(OR('实盘净值数据(iFinD公式)'!$A281="",'实盘净值数据(iFinD公式)'!$B281=""),"",分期持仓明细!$AD$24*SUMPRODUCT(分期持仓明细!$B$24:$AA$24,'实盘净值数据(iFinD公式)'!$B281:$AA281/'实盘净值数据(iFinD公式)'!$B$65:$AA$65)*(1-实盘持仓初始配置!$Z$8)^(('实盘净值数据(iFinD公式)'!$A281-'实盘净值数据(iFinD公式)'!$A$5)/365))</x:f>
        <x:v>#NAME?</x:v>
      </x:c>
      <x:c r="O281" s="152" t="e">
        <x:f>IF(OR(N280="",N281=""),"",N281/N280-1)</x:f>
        <x:v>#NAME?</x:v>
      </x:c>
      <x:c r="P281" s="152" t="e">
        <x:f>IF(N281="","",N281/MAX(N$5:N281)-1)</x:f>
        <x:v>#NAME?</x:v>
      </x:c>
      <x:c r="Q281" s="146" t="e">
        <x:f>IF(OR('实盘净值数据(iFinD公式)'!$A281="",'实盘净值数据(iFinD公式)'!$B281=""),"",分期持仓明细!$AD$25*SUMPRODUCT(分期持仓明细!$B$25:$AA$25,'实盘净值数据(iFinD公式)'!$B281:$AA281/'实盘净值数据(iFinD公式)'!$B$65:$AA$65)*(1-实盘持仓初始配置!$Z$9)^(('实盘净值数据(iFinD公式)'!$A281-'实盘净值数据(iFinD公式)'!$A$8)/365))</x:f>
        <x:v>#NAME?</x:v>
      </x:c>
      <x:c r="R281" s="152" t="e">
        <x:f>IF(OR(Q280="",Q281=""),"",Q281/Q280-1)</x:f>
        <x:v>#NAME?</x:v>
      </x:c>
      <x:c r="S281" s="152" t="e">
        <x:f>IF(Q281="","",Q281/MAX(Q$5:Q281)-1)</x:f>
        <x:v>#NAME?</x:v>
      </x:c>
    </x:row>
    <x:row r="282">
      <x:c r="A282" s="149" t="str">
        <x:f>IF('实盘净值数据(iFinD公式)'!A282="","",'实盘净值数据(iFinD公式)'!A282)</x:f>
      </x:c>
      <x:c r="B282" s="146" t="e">
        <x:f>IF(OR('实盘净值数据(iFinD公式)'!$A282="",'实盘净值数据(iFinD公式)'!$B282=""),"",分期持仓明细!$AD$17*SUMPRODUCT(分期持仓明细!$B$17:$AA$17,'实盘净值数据(iFinD公式)'!$B282:$AA282/'实盘净值数据(iFinD公式)'!$B$20:$AA$20)*(1-实盘持仓初始配置!$Z$4)^(('实盘净值数据(iFinD公式)'!$A282-'实盘净值数据(iFinD公式)'!$A$6)/365))</x:f>
        <x:v>#NAME?</x:v>
      </x:c>
      <x:c r="C282" s="152" t="e">
        <x:f>IF(OR(B281="",B282=""),"",B282/B281-1)</x:f>
        <x:v>#NAME?</x:v>
      </x:c>
      <x:c r="D282" s="152" t="e">
        <x:f>IF(B282="","",B282/MAX(B$5:B282)-1)</x:f>
        <x:v>#NAME?</x:v>
      </x:c>
      <x:c r="E282" s="146" t="e">
        <x:f>IF(OR('实盘净值数据(iFinD公式)'!$A282="",'实盘净值数据(iFinD公式)'!$B282=""),"",分期持仓明细!$AD$18*SUMPRODUCT(分期持仓明细!$B$18:$AA$18,'实盘净值数据(iFinD公式)'!$B282:$AA282/'实盘净值数据(iFinD公式)'!$B$20:$AA$20)*(1-实盘持仓初始配置!$Z$5)^(('实盘净值数据(iFinD公式)'!$A282-'实盘净值数据(iFinD公式)'!$A$5)/365))</x:f>
        <x:v>#NAME?</x:v>
      </x:c>
      <x:c r="F282" s="152" t="e">
        <x:f>IF(OR(E281="",E282=""),"",E282/E281-1)</x:f>
        <x:v>#NAME?</x:v>
      </x:c>
      <x:c r="G282" s="152" t="e">
        <x:f>IF(E282="","",E282/MAX(E$5:E282)-1)</x:f>
        <x:v>#NAME?</x:v>
      </x:c>
      <x:c r="H282" s="146" t="e">
        <x:f>IF(OR('实盘净值数据(iFinD公式)'!$A282="",'实盘净值数据(iFinD公式)'!$B282=""),"",分期持仓明细!$AD$19*SUMPRODUCT(分期持仓明细!$B$19:$AA$19,'实盘净值数据(iFinD公式)'!$B282:$AA282/'实盘净值数据(iFinD公式)'!$B$20:$AA$20)*(1-实盘持仓初始配置!$Z$6)^(('实盘净值数据(iFinD公式)'!$A282-'实盘净值数据(iFinD公式)'!$A$7)/365))</x:f>
        <x:v>#NAME?</x:v>
      </x:c>
      <x:c r="I282" s="152" t="e">
        <x:f>IF(OR(H281="",H282=""),"",H282/H281-1)</x:f>
        <x:v>#NAME?</x:v>
      </x:c>
      <x:c r="J282" s="152" t="e">
        <x:f>IF(H282="","",H282/MAX(H$5:H282)-1)</x:f>
        <x:v>#NAME?</x:v>
      </x:c>
      <x:c r="K282" s="146" t="e">
        <x:f>IF(OR('实盘净值数据(iFinD公式)'!$A282="",'实盘净值数据(iFinD公式)'!$B282=""),"",分期持仓明细!$AD$23*SUMPRODUCT(分期持仓明细!$B$23:$AA$23,'实盘净值数据(iFinD公式)'!$B282:$AA282/'实盘净值数据(iFinD公式)'!$B$65:$AA$65)*(1-实盘持仓初始配置!$Z$7)^(('实盘净值数据(iFinD公式)'!$A282-'实盘净值数据(iFinD公式)'!$A$8)/365))</x:f>
        <x:v>#NAME?</x:v>
      </x:c>
      <x:c r="L282" s="152" t="e">
        <x:f>IF(OR(K281="",K282=""),"",K282/K281-1)</x:f>
        <x:v>#NAME?</x:v>
      </x:c>
      <x:c r="M282" s="152" t="e">
        <x:f>IF(K282="","",K282/MAX(K$5:K282)-1)</x:f>
        <x:v>#NAME?</x:v>
      </x:c>
      <x:c r="N282" s="146" t="e">
        <x:f>IF(OR('实盘净值数据(iFinD公式)'!$A282="",'实盘净值数据(iFinD公式)'!$B282=""),"",分期持仓明细!$AD$24*SUMPRODUCT(分期持仓明细!$B$24:$AA$24,'实盘净值数据(iFinD公式)'!$B282:$AA282/'实盘净值数据(iFinD公式)'!$B$65:$AA$65)*(1-实盘持仓初始配置!$Z$8)^(('实盘净值数据(iFinD公式)'!$A282-'实盘净值数据(iFinD公式)'!$A$5)/365))</x:f>
        <x:v>#NAME?</x:v>
      </x:c>
      <x:c r="O282" s="152" t="e">
        <x:f>IF(OR(N281="",N282=""),"",N282/N281-1)</x:f>
        <x:v>#NAME?</x:v>
      </x:c>
      <x:c r="P282" s="152" t="e">
        <x:f>IF(N282="","",N282/MAX(N$5:N282)-1)</x:f>
        <x:v>#NAME?</x:v>
      </x:c>
      <x:c r="Q282" s="146" t="e">
        <x:f>IF(OR('实盘净值数据(iFinD公式)'!$A282="",'实盘净值数据(iFinD公式)'!$B282=""),"",分期持仓明细!$AD$25*SUMPRODUCT(分期持仓明细!$B$25:$AA$25,'实盘净值数据(iFinD公式)'!$B282:$AA282/'实盘净值数据(iFinD公式)'!$B$65:$AA$65)*(1-实盘持仓初始配置!$Z$9)^(('实盘净值数据(iFinD公式)'!$A282-'实盘净值数据(iFinD公式)'!$A$8)/365))</x:f>
        <x:v>#NAME?</x:v>
      </x:c>
      <x:c r="R282" s="152" t="e">
        <x:f>IF(OR(Q281="",Q282=""),"",Q282/Q281-1)</x:f>
        <x:v>#NAME?</x:v>
      </x:c>
      <x:c r="S282" s="152" t="e">
        <x:f>IF(Q282="","",Q282/MAX(Q$5:Q282)-1)</x:f>
        <x:v>#NAME?</x:v>
      </x:c>
    </x:row>
    <x:row r="283">
      <x:c r="A283" s="149" t="str">
        <x:f>IF('实盘净值数据(iFinD公式)'!A283="","",'实盘净值数据(iFinD公式)'!A283)</x:f>
      </x:c>
      <x:c r="B283" s="146" t="e">
        <x:f>IF(OR('实盘净值数据(iFinD公式)'!$A283="",'实盘净值数据(iFinD公式)'!$B283=""),"",分期持仓明细!$AD$17*SUMPRODUCT(分期持仓明细!$B$17:$AA$17,'实盘净值数据(iFinD公式)'!$B283:$AA283/'实盘净值数据(iFinD公式)'!$B$20:$AA$20)*(1-实盘持仓初始配置!$Z$4)^(('实盘净值数据(iFinD公式)'!$A283-'实盘净值数据(iFinD公式)'!$A$6)/365))</x:f>
        <x:v>#NAME?</x:v>
      </x:c>
      <x:c r="C283" s="152" t="e">
        <x:f>IF(OR(B282="",B283=""),"",B283/B282-1)</x:f>
        <x:v>#NAME?</x:v>
      </x:c>
      <x:c r="D283" s="152" t="e">
        <x:f>IF(B283="","",B283/MAX(B$5:B283)-1)</x:f>
        <x:v>#NAME?</x:v>
      </x:c>
      <x:c r="E283" s="146" t="e">
        <x:f>IF(OR('实盘净值数据(iFinD公式)'!$A283="",'实盘净值数据(iFinD公式)'!$B283=""),"",分期持仓明细!$AD$18*SUMPRODUCT(分期持仓明细!$B$18:$AA$18,'实盘净值数据(iFinD公式)'!$B283:$AA283/'实盘净值数据(iFinD公式)'!$B$20:$AA$20)*(1-实盘持仓初始配置!$Z$5)^(('实盘净值数据(iFinD公式)'!$A283-'实盘净值数据(iFinD公式)'!$A$5)/365))</x:f>
        <x:v>#NAME?</x:v>
      </x:c>
      <x:c r="F283" s="152" t="e">
        <x:f>IF(OR(E282="",E283=""),"",E283/E282-1)</x:f>
        <x:v>#NAME?</x:v>
      </x:c>
      <x:c r="G283" s="152" t="e">
        <x:f>IF(E283="","",E283/MAX(E$5:E283)-1)</x:f>
        <x:v>#NAME?</x:v>
      </x:c>
      <x:c r="H283" s="146" t="e">
        <x:f>IF(OR('实盘净值数据(iFinD公式)'!$A283="",'实盘净值数据(iFinD公式)'!$B283=""),"",分期持仓明细!$AD$19*SUMPRODUCT(分期持仓明细!$B$19:$AA$19,'实盘净值数据(iFinD公式)'!$B283:$AA283/'实盘净值数据(iFinD公式)'!$B$20:$AA$20)*(1-实盘持仓初始配置!$Z$6)^(('实盘净值数据(iFinD公式)'!$A283-'实盘净值数据(iFinD公式)'!$A$7)/365))</x:f>
        <x:v>#NAME?</x:v>
      </x:c>
      <x:c r="I283" s="152" t="e">
        <x:f>IF(OR(H282="",H283=""),"",H283/H282-1)</x:f>
        <x:v>#NAME?</x:v>
      </x:c>
      <x:c r="J283" s="152" t="e">
        <x:f>IF(H283="","",H283/MAX(H$5:H283)-1)</x:f>
        <x:v>#NAME?</x:v>
      </x:c>
      <x:c r="K283" s="146" t="e">
        <x:f>IF(OR('实盘净值数据(iFinD公式)'!$A283="",'实盘净值数据(iFinD公式)'!$B283=""),"",分期持仓明细!$AD$23*SUMPRODUCT(分期持仓明细!$B$23:$AA$23,'实盘净值数据(iFinD公式)'!$B283:$AA283/'实盘净值数据(iFinD公式)'!$B$65:$AA$65)*(1-实盘持仓初始配置!$Z$7)^(('实盘净值数据(iFinD公式)'!$A283-'实盘净值数据(iFinD公式)'!$A$8)/365))</x:f>
        <x:v>#NAME?</x:v>
      </x:c>
      <x:c r="L283" s="152" t="e">
        <x:f>IF(OR(K282="",K283=""),"",K283/K282-1)</x:f>
        <x:v>#NAME?</x:v>
      </x:c>
      <x:c r="M283" s="152" t="e">
        <x:f>IF(K283="","",K283/MAX(K$5:K283)-1)</x:f>
        <x:v>#NAME?</x:v>
      </x:c>
      <x:c r="N283" s="146" t="e">
        <x:f>IF(OR('实盘净值数据(iFinD公式)'!$A283="",'实盘净值数据(iFinD公式)'!$B283=""),"",分期持仓明细!$AD$24*SUMPRODUCT(分期持仓明细!$B$24:$AA$24,'实盘净值数据(iFinD公式)'!$B283:$AA283/'实盘净值数据(iFinD公式)'!$B$65:$AA$65)*(1-实盘持仓初始配置!$Z$8)^(('实盘净值数据(iFinD公式)'!$A283-'实盘净值数据(iFinD公式)'!$A$5)/365))</x:f>
        <x:v>#NAME?</x:v>
      </x:c>
      <x:c r="O283" s="152" t="e">
        <x:f>IF(OR(N282="",N283=""),"",N283/N282-1)</x:f>
        <x:v>#NAME?</x:v>
      </x:c>
      <x:c r="P283" s="152" t="e">
        <x:f>IF(N283="","",N283/MAX(N$5:N283)-1)</x:f>
        <x:v>#NAME?</x:v>
      </x:c>
      <x:c r="Q283" s="146" t="e">
        <x:f>IF(OR('实盘净值数据(iFinD公式)'!$A283="",'实盘净值数据(iFinD公式)'!$B283=""),"",分期持仓明细!$AD$25*SUMPRODUCT(分期持仓明细!$B$25:$AA$25,'实盘净值数据(iFinD公式)'!$B283:$AA283/'实盘净值数据(iFinD公式)'!$B$65:$AA$65)*(1-实盘持仓初始配置!$Z$9)^(('实盘净值数据(iFinD公式)'!$A283-'实盘净值数据(iFinD公式)'!$A$8)/365))</x:f>
        <x:v>#NAME?</x:v>
      </x:c>
      <x:c r="R283" s="152" t="e">
        <x:f>IF(OR(Q282="",Q283=""),"",Q283/Q282-1)</x:f>
        <x:v>#NAME?</x:v>
      </x:c>
      <x:c r="S283" s="152" t="e">
        <x:f>IF(Q283="","",Q283/MAX(Q$5:Q283)-1)</x:f>
        <x:v>#NAME?</x:v>
      </x:c>
    </x:row>
    <x:row r="284">
      <x:c r="A284" s="149" t="str">
        <x:f>IF('实盘净值数据(iFinD公式)'!A284="","",'实盘净值数据(iFinD公式)'!A284)</x:f>
      </x:c>
      <x:c r="B284" s="146" t="e">
        <x:f>IF(OR('实盘净值数据(iFinD公式)'!$A284="",'实盘净值数据(iFinD公式)'!$B284=""),"",分期持仓明细!$AD$17*SUMPRODUCT(分期持仓明细!$B$17:$AA$17,'实盘净值数据(iFinD公式)'!$B284:$AA284/'实盘净值数据(iFinD公式)'!$B$20:$AA$20)*(1-实盘持仓初始配置!$Z$4)^(('实盘净值数据(iFinD公式)'!$A284-'实盘净值数据(iFinD公式)'!$A$6)/365))</x:f>
        <x:v>#NAME?</x:v>
      </x:c>
      <x:c r="C284" s="152" t="e">
        <x:f>IF(OR(B283="",B284=""),"",B284/B283-1)</x:f>
        <x:v>#NAME?</x:v>
      </x:c>
      <x:c r="D284" s="152" t="e">
        <x:f>IF(B284="","",B284/MAX(B$5:B284)-1)</x:f>
        <x:v>#NAME?</x:v>
      </x:c>
      <x:c r="E284" s="146" t="e">
        <x:f>IF(OR('实盘净值数据(iFinD公式)'!$A284="",'实盘净值数据(iFinD公式)'!$B284=""),"",分期持仓明细!$AD$18*SUMPRODUCT(分期持仓明细!$B$18:$AA$18,'实盘净值数据(iFinD公式)'!$B284:$AA284/'实盘净值数据(iFinD公式)'!$B$20:$AA$20)*(1-实盘持仓初始配置!$Z$5)^(('实盘净值数据(iFinD公式)'!$A284-'实盘净值数据(iFinD公式)'!$A$5)/365))</x:f>
        <x:v>#NAME?</x:v>
      </x:c>
      <x:c r="F284" s="152" t="e">
        <x:f>IF(OR(E283="",E284=""),"",E284/E283-1)</x:f>
        <x:v>#NAME?</x:v>
      </x:c>
      <x:c r="G284" s="152" t="e">
        <x:f>IF(E284="","",E284/MAX(E$5:E284)-1)</x:f>
        <x:v>#NAME?</x:v>
      </x:c>
      <x:c r="H284" s="146" t="e">
        <x:f>IF(OR('实盘净值数据(iFinD公式)'!$A284="",'实盘净值数据(iFinD公式)'!$B284=""),"",分期持仓明细!$AD$19*SUMPRODUCT(分期持仓明细!$B$19:$AA$19,'实盘净值数据(iFinD公式)'!$B284:$AA284/'实盘净值数据(iFinD公式)'!$B$20:$AA$20)*(1-实盘持仓初始配置!$Z$6)^(('实盘净值数据(iFinD公式)'!$A284-'实盘净值数据(iFinD公式)'!$A$7)/365))</x:f>
        <x:v>#NAME?</x:v>
      </x:c>
      <x:c r="I284" s="152" t="e">
        <x:f>IF(OR(H283="",H284=""),"",H284/H283-1)</x:f>
        <x:v>#NAME?</x:v>
      </x:c>
      <x:c r="J284" s="152" t="e">
        <x:f>IF(H284="","",H284/MAX(H$5:H284)-1)</x:f>
        <x:v>#NAME?</x:v>
      </x:c>
      <x:c r="K284" s="146" t="e">
        <x:f>IF(OR('实盘净值数据(iFinD公式)'!$A284="",'实盘净值数据(iFinD公式)'!$B284=""),"",分期持仓明细!$AD$23*SUMPRODUCT(分期持仓明细!$B$23:$AA$23,'实盘净值数据(iFinD公式)'!$B284:$AA284/'实盘净值数据(iFinD公式)'!$B$65:$AA$65)*(1-实盘持仓初始配置!$Z$7)^(('实盘净值数据(iFinD公式)'!$A284-'实盘净值数据(iFinD公式)'!$A$8)/365))</x:f>
        <x:v>#NAME?</x:v>
      </x:c>
      <x:c r="L284" s="152" t="e">
        <x:f>IF(OR(K283="",K284=""),"",K284/K283-1)</x:f>
        <x:v>#NAME?</x:v>
      </x:c>
      <x:c r="M284" s="152" t="e">
        <x:f>IF(K284="","",K284/MAX(K$5:K284)-1)</x:f>
        <x:v>#NAME?</x:v>
      </x:c>
      <x:c r="N284" s="146" t="e">
        <x:f>IF(OR('实盘净值数据(iFinD公式)'!$A284="",'实盘净值数据(iFinD公式)'!$B284=""),"",分期持仓明细!$AD$24*SUMPRODUCT(分期持仓明细!$B$24:$AA$24,'实盘净值数据(iFinD公式)'!$B284:$AA284/'实盘净值数据(iFinD公式)'!$B$65:$AA$65)*(1-实盘持仓初始配置!$Z$8)^(('实盘净值数据(iFinD公式)'!$A284-'实盘净值数据(iFinD公式)'!$A$5)/365))</x:f>
        <x:v>#NAME?</x:v>
      </x:c>
      <x:c r="O284" s="152" t="e">
        <x:f>IF(OR(N283="",N284=""),"",N284/N283-1)</x:f>
        <x:v>#NAME?</x:v>
      </x:c>
      <x:c r="P284" s="152" t="e">
        <x:f>IF(N284="","",N284/MAX(N$5:N284)-1)</x:f>
        <x:v>#NAME?</x:v>
      </x:c>
      <x:c r="Q284" s="146" t="e">
        <x:f>IF(OR('实盘净值数据(iFinD公式)'!$A284="",'实盘净值数据(iFinD公式)'!$B284=""),"",分期持仓明细!$AD$25*SUMPRODUCT(分期持仓明细!$B$25:$AA$25,'实盘净值数据(iFinD公式)'!$B284:$AA284/'实盘净值数据(iFinD公式)'!$B$65:$AA$65)*(1-实盘持仓初始配置!$Z$9)^(('实盘净值数据(iFinD公式)'!$A284-'实盘净值数据(iFinD公式)'!$A$8)/365))</x:f>
        <x:v>#NAME?</x:v>
      </x:c>
      <x:c r="R284" s="152" t="e">
        <x:f>IF(OR(Q283="",Q284=""),"",Q284/Q283-1)</x:f>
        <x:v>#NAME?</x:v>
      </x:c>
      <x:c r="S284" s="152" t="e">
        <x:f>IF(Q284="","",Q284/MAX(Q$5:Q284)-1)</x:f>
        <x:v>#NAME?</x:v>
      </x:c>
    </x:row>
    <x:row r="285">
      <x:c r="A285" s="149" t="str">
        <x:f>IF('实盘净值数据(iFinD公式)'!A285="","",'实盘净值数据(iFinD公式)'!A285)</x:f>
      </x:c>
      <x:c r="B285" s="146" t="e">
        <x:f>IF(OR('实盘净值数据(iFinD公式)'!$A285="",'实盘净值数据(iFinD公式)'!$B285=""),"",分期持仓明细!$AD$17*SUMPRODUCT(分期持仓明细!$B$17:$AA$17,'实盘净值数据(iFinD公式)'!$B285:$AA285/'实盘净值数据(iFinD公式)'!$B$20:$AA$20)*(1-实盘持仓初始配置!$Z$4)^(('实盘净值数据(iFinD公式)'!$A285-'实盘净值数据(iFinD公式)'!$A$6)/365))</x:f>
        <x:v>#NAME?</x:v>
      </x:c>
      <x:c r="C285" s="152" t="e">
        <x:f>IF(OR(B284="",B285=""),"",B285/B284-1)</x:f>
        <x:v>#NAME?</x:v>
      </x:c>
      <x:c r="D285" s="152" t="e">
        <x:f>IF(B285="","",B285/MAX(B$5:B285)-1)</x:f>
        <x:v>#NAME?</x:v>
      </x:c>
      <x:c r="E285" s="146" t="e">
        <x:f>IF(OR('实盘净值数据(iFinD公式)'!$A285="",'实盘净值数据(iFinD公式)'!$B285=""),"",分期持仓明细!$AD$18*SUMPRODUCT(分期持仓明细!$B$18:$AA$18,'实盘净值数据(iFinD公式)'!$B285:$AA285/'实盘净值数据(iFinD公式)'!$B$20:$AA$20)*(1-实盘持仓初始配置!$Z$5)^(('实盘净值数据(iFinD公式)'!$A285-'实盘净值数据(iFinD公式)'!$A$5)/365))</x:f>
        <x:v>#NAME?</x:v>
      </x:c>
      <x:c r="F285" s="152" t="e">
        <x:f>IF(OR(E284="",E285=""),"",E285/E284-1)</x:f>
        <x:v>#NAME?</x:v>
      </x:c>
      <x:c r="G285" s="152" t="e">
        <x:f>IF(E285="","",E285/MAX(E$5:E285)-1)</x:f>
        <x:v>#NAME?</x:v>
      </x:c>
      <x:c r="H285" s="146" t="e">
        <x:f>IF(OR('实盘净值数据(iFinD公式)'!$A285="",'实盘净值数据(iFinD公式)'!$B285=""),"",分期持仓明细!$AD$19*SUMPRODUCT(分期持仓明细!$B$19:$AA$19,'实盘净值数据(iFinD公式)'!$B285:$AA285/'实盘净值数据(iFinD公式)'!$B$20:$AA$20)*(1-实盘持仓初始配置!$Z$6)^(('实盘净值数据(iFinD公式)'!$A285-'实盘净值数据(iFinD公式)'!$A$7)/365))</x:f>
        <x:v>#NAME?</x:v>
      </x:c>
      <x:c r="I285" s="152" t="e">
        <x:f>IF(OR(H284="",H285=""),"",H285/H284-1)</x:f>
        <x:v>#NAME?</x:v>
      </x:c>
      <x:c r="J285" s="152" t="e">
        <x:f>IF(H285="","",H285/MAX(H$5:H285)-1)</x:f>
        <x:v>#NAME?</x:v>
      </x:c>
      <x:c r="K285" s="146" t="e">
        <x:f>IF(OR('实盘净值数据(iFinD公式)'!$A285="",'实盘净值数据(iFinD公式)'!$B285=""),"",分期持仓明细!$AD$23*SUMPRODUCT(分期持仓明细!$B$23:$AA$23,'实盘净值数据(iFinD公式)'!$B285:$AA285/'实盘净值数据(iFinD公式)'!$B$65:$AA$65)*(1-实盘持仓初始配置!$Z$7)^(('实盘净值数据(iFinD公式)'!$A285-'实盘净值数据(iFinD公式)'!$A$8)/365))</x:f>
        <x:v>#NAME?</x:v>
      </x:c>
      <x:c r="L285" s="152" t="e">
        <x:f>IF(OR(K284="",K285=""),"",K285/K284-1)</x:f>
        <x:v>#NAME?</x:v>
      </x:c>
      <x:c r="M285" s="152" t="e">
        <x:f>IF(K285="","",K285/MAX(K$5:K285)-1)</x:f>
        <x:v>#NAME?</x:v>
      </x:c>
      <x:c r="N285" s="146" t="e">
        <x:f>IF(OR('实盘净值数据(iFinD公式)'!$A285="",'实盘净值数据(iFinD公式)'!$B285=""),"",分期持仓明细!$AD$24*SUMPRODUCT(分期持仓明细!$B$24:$AA$24,'实盘净值数据(iFinD公式)'!$B285:$AA285/'实盘净值数据(iFinD公式)'!$B$65:$AA$65)*(1-实盘持仓初始配置!$Z$8)^(('实盘净值数据(iFinD公式)'!$A285-'实盘净值数据(iFinD公式)'!$A$5)/365))</x:f>
        <x:v>#NAME?</x:v>
      </x:c>
      <x:c r="O285" s="152" t="e">
        <x:f>IF(OR(N284="",N285=""),"",N285/N284-1)</x:f>
        <x:v>#NAME?</x:v>
      </x:c>
      <x:c r="P285" s="152" t="e">
        <x:f>IF(N285="","",N285/MAX(N$5:N285)-1)</x:f>
        <x:v>#NAME?</x:v>
      </x:c>
      <x:c r="Q285" s="146" t="e">
        <x:f>IF(OR('实盘净值数据(iFinD公式)'!$A285="",'实盘净值数据(iFinD公式)'!$B285=""),"",分期持仓明细!$AD$25*SUMPRODUCT(分期持仓明细!$B$25:$AA$25,'实盘净值数据(iFinD公式)'!$B285:$AA285/'实盘净值数据(iFinD公式)'!$B$65:$AA$65)*(1-实盘持仓初始配置!$Z$9)^(('实盘净值数据(iFinD公式)'!$A285-'实盘净值数据(iFinD公式)'!$A$8)/365))</x:f>
        <x:v>#NAME?</x:v>
      </x:c>
      <x:c r="R285" s="152" t="e">
        <x:f>IF(OR(Q284="",Q285=""),"",Q285/Q284-1)</x:f>
        <x:v>#NAME?</x:v>
      </x:c>
      <x:c r="S285" s="152" t="e">
        <x:f>IF(Q285="","",Q285/MAX(Q$5:Q285)-1)</x:f>
        <x:v>#NAME?</x:v>
      </x:c>
    </x:row>
    <x:row r="286">
      <x:c r="A286" s="149" t="str">
        <x:f>IF('实盘净值数据(iFinD公式)'!A286="","",'实盘净值数据(iFinD公式)'!A286)</x:f>
      </x:c>
      <x:c r="B286" s="146" t="e">
        <x:f>IF(OR('实盘净值数据(iFinD公式)'!$A286="",'实盘净值数据(iFinD公式)'!$B286=""),"",分期持仓明细!$AD$17*SUMPRODUCT(分期持仓明细!$B$17:$AA$17,'实盘净值数据(iFinD公式)'!$B286:$AA286/'实盘净值数据(iFinD公式)'!$B$20:$AA$20)*(1-实盘持仓初始配置!$Z$4)^(('实盘净值数据(iFinD公式)'!$A286-'实盘净值数据(iFinD公式)'!$A$6)/365))</x:f>
        <x:v>#NAME?</x:v>
      </x:c>
      <x:c r="C286" s="152" t="e">
        <x:f>IF(OR(B285="",B286=""),"",B286/B285-1)</x:f>
        <x:v>#NAME?</x:v>
      </x:c>
      <x:c r="D286" s="152" t="e">
        <x:f>IF(B286="","",B286/MAX(B$5:B286)-1)</x:f>
        <x:v>#NAME?</x:v>
      </x:c>
      <x:c r="E286" s="146" t="e">
        <x:f>IF(OR('实盘净值数据(iFinD公式)'!$A286="",'实盘净值数据(iFinD公式)'!$B286=""),"",分期持仓明细!$AD$18*SUMPRODUCT(分期持仓明细!$B$18:$AA$18,'实盘净值数据(iFinD公式)'!$B286:$AA286/'实盘净值数据(iFinD公式)'!$B$20:$AA$20)*(1-实盘持仓初始配置!$Z$5)^(('实盘净值数据(iFinD公式)'!$A286-'实盘净值数据(iFinD公式)'!$A$5)/365))</x:f>
        <x:v>#NAME?</x:v>
      </x:c>
      <x:c r="F286" s="152" t="e">
        <x:f>IF(OR(E285="",E286=""),"",E286/E285-1)</x:f>
        <x:v>#NAME?</x:v>
      </x:c>
      <x:c r="G286" s="152" t="e">
        <x:f>IF(E286="","",E286/MAX(E$5:E286)-1)</x:f>
        <x:v>#NAME?</x:v>
      </x:c>
      <x:c r="H286" s="146" t="e">
        <x:f>IF(OR('实盘净值数据(iFinD公式)'!$A286="",'实盘净值数据(iFinD公式)'!$B286=""),"",分期持仓明细!$AD$19*SUMPRODUCT(分期持仓明细!$B$19:$AA$19,'实盘净值数据(iFinD公式)'!$B286:$AA286/'实盘净值数据(iFinD公式)'!$B$20:$AA$20)*(1-实盘持仓初始配置!$Z$6)^(('实盘净值数据(iFinD公式)'!$A286-'实盘净值数据(iFinD公式)'!$A$7)/365))</x:f>
        <x:v>#NAME?</x:v>
      </x:c>
      <x:c r="I286" s="152" t="e">
        <x:f>IF(OR(H285="",H286=""),"",H286/H285-1)</x:f>
        <x:v>#NAME?</x:v>
      </x:c>
      <x:c r="J286" s="152" t="e">
        <x:f>IF(H286="","",H286/MAX(H$5:H286)-1)</x:f>
        <x:v>#NAME?</x:v>
      </x:c>
      <x:c r="K286" s="146" t="e">
        <x:f>IF(OR('实盘净值数据(iFinD公式)'!$A286="",'实盘净值数据(iFinD公式)'!$B286=""),"",分期持仓明细!$AD$23*SUMPRODUCT(分期持仓明细!$B$23:$AA$23,'实盘净值数据(iFinD公式)'!$B286:$AA286/'实盘净值数据(iFinD公式)'!$B$65:$AA$65)*(1-实盘持仓初始配置!$Z$7)^(('实盘净值数据(iFinD公式)'!$A286-'实盘净值数据(iFinD公式)'!$A$8)/365))</x:f>
        <x:v>#NAME?</x:v>
      </x:c>
      <x:c r="L286" s="152" t="e">
        <x:f>IF(OR(K285="",K286=""),"",K286/K285-1)</x:f>
        <x:v>#NAME?</x:v>
      </x:c>
      <x:c r="M286" s="152" t="e">
        <x:f>IF(K286="","",K286/MAX(K$5:K286)-1)</x:f>
        <x:v>#NAME?</x:v>
      </x:c>
      <x:c r="N286" s="146" t="e">
        <x:f>IF(OR('实盘净值数据(iFinD公式)'!$A286="",'实盘净值数据(iFinD公式)'!$B286=""),"",分期持仓明细!$AD$24*SUMPRODUCT(分期持仓明细!$B$24:$AA$24,'实盘净值数据(iFinD公式)'!$B286:$AA286/'实盘净值数据(iFinD公式)'!$B$65:$AA$65)*(1-实盘持仓初始配置!$Z$8)^(('实盘净值数据(iFinD公式)'!$A286-'实盘净值数据(iFinD公式)'!$A$5)/365))</x:f>
        <x:v>#NAME?</x:v>
      </x:c>
      <x:c r="O286" s="152" t="e">
        <x:f>IF(OR(N285="",N286=""),"",N286/N285-1)</x:f>
        <x:v>#NAME?</x:v>
      </x:c>
      <x:c r="P286" s="152" t="e">
        <x:f>IF(N286="","",N286/MAX(N$5:N286)-1)</x:f>
        <x:v>#NAME?</x:v>
      </x:c>
      <x:c r="Q286" s="146" t="e">
        <x:f>IF(OR('实盘净值数据(iFinD公式)'!$A286="",'实盘净值数据(iFinD公式)'!$B286=""),"",分期持仓明细!$AD$25*SUMPRODUCT(分期持仓明细!$B$25:$AA$25,'实盘净值数据(iFinD公式)'!$B286:$AA286/'实盘净值数据(iFinD公式)'!$B$65:$AA$65)*(1-实盘持仓初始配置!$Z$9)^(('实盘净值数据(iFinD公式)'!$A286-'实盘净值数据(iFinD公式)'!$A$8)/365))</x:f>
        <x:v>#NAME?</x:v>
      </x:c>
      <x:c r="R286" s="152" t="e">
        <x:f>IF(OR(Q285="",Q286=""),"",Q286/Q285-1)</x:f>
        <x:v>#NAME?</x:v>
      </x:c>
      <x:c r="S286" s="152" t="e">
        <x:f>IF(Q286="","",Q286/MAX(Q$5:Q286)-1)</x:f>
        <x:v>#NAME?</x:v>
      </x:c>
    </x:row>
    <x:row r="287">
      <x:c r="A287" s="149" t="str">
        <x:f>IF('实盘净值数据(iFinD公式)'!A287="","",'实盘净值数据(iFinD公式)'!A287)</x:f>
      </x:c>
      <x:c r="B287" s="146" t="e">
        <x:f>IF(OR('实盘净值数据(iFinD公式)'!$A287="",'实盘净值数据(iFinD公式)'!$B287=""),"",分期持仓明细!$AD$17*SUMPRODUCT(分期持仓明细!$B$17:$AA$17,'实盘净值数据(iFinD公式)'!$B287:$AA287/'实盘净值数据(iFinD公式)'!$B$20:$AA$20)*(1-实盘持仓初始配置!$Z$4)^(('实盘净值数据(iFinD公式)'!$A287-'实盘净值数据(iFinD公式)'!$A$6)/365))</x:f>
        <x:v>#NAME?</x:v>
      </x:c>
      <x:c r="C287" s="152" t="e">
        <x:f>IF(OR(B286="",B287=""),"",B287/B286-1)</x:f>
        <x:v>#NAME?</x:v>
      </x:c>
      <x:c r="D287" s="152" t="e">
        <x:f>IF(B287="","",B287/MAX(B$5:B287)-1)</x:f>
        <x:v>#NAME?</x:v>
      </x:c>
      <x:c r="E287" s="146" t="e">
        <x:f>IF(OR('实盘净值数据(iFinD公式)'!$A287="",'实盘净值数据(iFinD公式)'!$B287=""),"",分期持仓明细!$AD$18*SUMPRODUCT(分期持仓明细!$B$18:$AA$18,'实盘净值数据(iFinD公式)'!$B287:$AA287/'实盘净值数据(iFinD公式)'!$B$20:$AA$20)*(1-实盘持仓初始配置!$Z$5)^(('实盘净值数据(iFinD公式)'!$A287-'实盘净值数据(iFinD公式)'!$A$5)/365))</x:f>
        <x:v>#NAME?</x:v>
      </x:c>
      <x:c r="F287" s="152" t="e">
        <x:f>IF(OR(E286="",E287=""),"",E287/E286-1)</x:f>
        <x:v>#NAME?</x:v>
      </x:c>
      <x:c r="G287" s="152" t="e">
        <x:f>IF(E287="","",E287/MAX(E$5:E287)-1)</x:f>
        <x:v>#NAME?</x:v>
      </x:c>
      <x:c r="H287" s="146" t="e">
        <x:f>IF(OR('实盘净值数据(iFinD公式)'!$A287="",'实盘净值数据(iFinD公式)'!$B287=""),"",分期持仓明细!$AD$19*SUMPRODUCT(分期持仓明细!$B$19:$AA$19,'实盘净值数据(iFinD公式)'!$B287:$AA287/'实盘净值数据(iFinD公式)'!$B$20:$AA$20)*(1-实盘持仓初始配置!$Z$6)^(('实盘净值数据(iFinD公式)'!$A287-'实盘净值数据(iFinD公式)'!$A$7)/365))</x:f>
        <x:v>#NAME?</x:v>
      </x:c>
      <x:c r="I287" s="152" t="e">
        <x:f>IF(OR(H286="",H287=""),"",H287/H286-1)</x:f>
        <x:v>#NAME?</x:v>
      </x:c>
      <x:c r="J287" s="152" t="e">
        <x:f>IF(H287="","",H287/MAX(H$5:H287)-1)</x:f>
        <x:v>#NAME?</x:v>
      </x:c>
      <x:c r="K287" s="146" t="e">
        <x:f>IF(OR('实盘净值数据(iFinD公式)'!$A287="",'实盘净值数据(iFinD公式)'!$B287=""),"",分期持仓明细!$AD$23*SUMPRODUCT(分期持仓明细!$B$23:$AA$23,'实盘净值数据(iFinD公式)'!$B287:$AA287/'实盘净值数据(iFinD公式)'!$B$65:$AA$65)*(1-实盘持仓初始配置!$Z$7)^(('实盘净值数据(iFinD公式)'!$A287-'实盘净值数据(iFinD公式)'!$A$8)/365))</x:f>
        <x:v>#NAME?</x:v>
      </x:c>
      <x:c r="L287" s="152" t="e">
        <x:f>IF(OR(K286="",K287=""),"",K287/K286-1)</x:f>
        <x:v>#NAME?</x:v>
      </x:c>
      <x:c r="M287" s="152" t="e">
        <x:f>IF(K287="","",K287/MAX(K$5:K287)-1)</x:f>
        <x:v>#NAME?</x:v>
      </x:c>
      <x:c r="N287" s="146" t="e">
        <x:f>IF(OR('实盘净值数据(iFinD公式)'!$A287="",'实盘净值数据(iFinD公式)'!$B287=""),"",分期持仓明细!$AD$24*SUMPRODUCT(分期持仓明细!$B$24:$AA$24,'实盘净值数据(iFinD公式)'!$B287:$AA287/'实盘净值数据(iFinD公式)'!$B$65:$AA$65)*(1-实盘持仓初始配置!$Z$8)^(('实盘净值数据(iFinD公式)'!$A287-'实盘净值数据(iFinD公式)'!$A$5)/365))</x:f>
        <x:v>#NAME?</x:v>
      </x:c>
      <x:c r="O287" s="152" t="e">
        <x:f>IF(OR(N286="",N287=""),"",N287/N286-1)</x:f>
        <x:v>#NAME?</x:v>
      </x:c>
      <x:c r="P287" s="152" t="e">
        <x:f>IF(N287="","",N287/MAX(N$5:N287)-1)</x:f>
        <x:v>#NAME?</x:v>
      </x:c>
      <x:c r="Q287" s="146" t="e">
        <x:f>IF(OR('实盘净值数据(iFinD公式)'!$A287="",'实盘净值数据(iFinD公式)'!$B287=""),"",分期持仓明细!$AD$25*SUMPRODUCT(分期持仓明细!$B$25:$AA$25,'实盘净值数据(iFinD公式)'!$B287:$AA287/'实盘净值数据(iFinD公式)'!$B$65:$AA$65)*(1-实盘持仓初始配置!$Z$9)^(('实盘净值数据(iFinD公式)'!$A287-'实盘净值数据(iFinD公式)'!$A$8)/365))</x:f>
        <x:v>#NAME?</x:v>
      </x:c>
      <x:c r="R287" s="152" t="e">
        <x:f>IF(OR(Q286="",Q287=""),"",Q287/Q286-1)</x:f>
        <x:v>#NAME?</x:v>
      </x:c>
      <x:c r="S287" s="152" t="e">
        <x:f>IF(Q287="","",Q287/MAX(Q$5:Q287)-1)</x:f>
        <x:v>#NAME?</x:v>
      </x:c>
    </x:row>
    <x:row r="288">
      <x:c r="A288" s="149" t="str">
        <x:f>IF('实盘净值数据(iFinD公式)'!A288="","",'实盘净值数据(iFinD公式)'!A288)</x:f>
      </x:c>
      <x:c r="B288" s="146" t="e">
        <x:f>IF(OR('实盘净值数据(iFinD公式)'!$A288="",'实盘净值数据(iFinD公式)'!$B288=""),"",分期持仓明细!$AD$17*SUMPRODUCT(分期持仓明细!$B$17:$AA$17,'实盘净值数据(iFinD公式)'!$B288:$AA288/'实盘净值数据(iFinD公式)'!$B$20:$AA$20)*(1-实盘持仓初始配置!$Z$4)^(('实盘净值数据(iFinD公式)'!$A288-'实盘净值数据(iFinD公式)'!$A$6)/365))</x:f>
        <x:v>#NAME?</x:v>
      </x:c>
      <x:c r="C288" s="152" t="e">
        <x:f>IF(OR(B287="",B288=""),"",B288/B287-1)</x:f>
        <x:v>#NAME?</x:v>
      </x:c>
      <x:c r="D288" s="152" t="e">
        <x:f>IF(B288="","",B288/MAX(B$5:B288)-1)</x:f>
        <x:v>#NAME?</x:v>
      </x:c>
      <x:c r="E288" s="146" t="e">
        <x:f>IF(OR('实盘净值数据(iFinD公式)'!$A288="",'实盘净值数据(iFinD公式)'!$B288=""),"",分期持仓明细!$AD$18*SUMPRODUCT(分期持仓明细!$B$18:$AA$18,'实盘净值数据(iFinD公式)'!$B288:$AA288/'实盘净值数据(iFinD公式)'!$B$20:$AA$20)*(1-实盘持仓初始配置!$Z$5)^(('实盘净值数据(iFinD公式)'!$A288-'实盘净值数据(iFinD公式)'!$A$5)/365))</x:f>
        <x:v>#NAME?</x:v>
      </x:c>
      <x:c r="F288" s="152" t="e">
        <x:f>IF(OR(E287="",E288=""),"",E288/E287-1)</x:f>
        <x:v>#NAME?</x:v>
      </x:c>
      <x:c r="G288" s="152" t="e">
        <x:f>IF(E288="","",E288/MAX(E$5:E288)-1)</x:f>
        <x:v>#NAME?</x:v>
      </x:c>
      <x:c r="H288" s="146" t="e">
        <x:f>IF(OR('实盘净值数据(iFinD公式)'!$A288="",'实盘净值数据(iFinD公式)'!$B288=""),"",分期持仓明细!$AD$19*SUMPRODUCT(分期持仓明细!$B$19:$AA$19,'实盘净值数据(iFinD公式)'!$B288:$AA288/'实盘净值数据(iFinD公式)'!$B$20:$AA$20)*(1-实盘持仓初始配置!$Z$6)^(('实盘净值数据(iFinD公式)'!$A288-'实盘净值数据(iFinD公式)'!$A$7)/365))</x:f>
        <x:v>#NAME?</x:v>
      </x:c>
      <x:c r="I288" s="152" t="e">
        <x:f>IF(OR(H287="",H288=""),"",H288/H287-1)</x:f>
        <x:v>#NAME?</x:v>
      </x:c>
      <x:c r="J288" s="152" t="e">
        <x:f>IF(H288="","",H288/MAX(H$5:H288)-1)</x:f>
        <x:v>#NAME?</x:v>
      </x:c>
      <x:c r="K288" s="146" t="e">
        <x:f>IF(OR('实盘净值数据(iFinD公式)'!$A288="",'实盘净值数据(iFinD公式)'!$B288=""),"",分期持仓明细!$AD$23*SUMPRODUCT(分期持仓明细!$B$23:$AA$23,'实盘净值数据(iFinD公式)'!$B288:$AA288/'实盘净值数据(iFinD公式)'!$B$65:$AA$65)*(1-实盘持仓初始配置!$Z$7)^(('实盘净值数据(iFinD公式)'!$A288-'实盘净值数据(iFinD公式)'!$A$8)/365))</x:f>
        <x:v>#NAME?</x:v>
      </x:c>
      <x:c r="L288" s="152" t="e">
        <x:f>IF(OR(K287="",K288=""),"",K288/K287-1)</x:f>
        <x:v>#NAME?</x:v>
      </x:c>
      <x:c r="M288" s="152" t="e">
        <x:f>IF(K288="","",K288/MAX(K$5:K288)-1)</x:f>
        <x:v>#NAME?</x:v>
      </x:c>
      <x:c r="N288" s="146" t="e">
        <x:f>IF(OR('实盘净值数据(iFinD公式)'!$A288="",'实盘净值数据(iFinD公式)'!$B288=""),"",分期持仓明细!$AD$24*SUMPRODUCT(分期持仓明细!$B$24:$AA$24,'实盘净值数据(iFinD公式)'!$B288:$AA288/'实盘净值数据(iFinD公式)'!$B$65:$AA$65)*(1-实盘持仓初始配置!$Z$8)^(('实盘净值数据(iFinD公式)'!$A288-'实盘净值数据(iFinD公式)'!$A$5)/365))</x:f>
        <x:v>#NAME?</x:v>
      </x:c>
      <x:c r="O288" s="152" t="e">
        <x:f>IF(OR(N287="",N288=""),"",N288/N287-1)</x:f>
        <x:v>#NAME?</x:v>
      </x:c>
      <x:c r="P288" s="152" t="e">
        <x:f>IF(N288="","",N288/MAX(N$5:N288)-1)</x:f>
        <x:v>#NAME?</x:v>
      </x:c>
      <x:c r="Q288" s="146" t="e">
        <x:f>IF(OR('实盘净值数据(iFinD公式)'!$A288="",'实盘净值数据(iFinD公式)'!$B288=""),"",分期持仓明细!$AD$25*SUMPRODUCT(分期持仓明细!$B$25:$AA$25,'实盘净值数据(iFinD公式)'!$B288:$AA288/'实盘净值数据(iFinD公式)'!$B$65:$AA$65)*(1-实盘持仓初始配置!$Z$9)^(('实盘净值数据(iFinD公式)'!$A288-'实盘净值数据(iFinD公式)'!$A$8)/365))</x:f>
        <x:v>#NAME?</x:v>
      </x:c>
      <x:c r="R288" s="152" t="e">
        <x:f>IF(OR(Q287="",Q288=""),"",Q288/Q287-1)</x:f>
        <x:v>#NAME?</x:v>
      </x:c>
      <x:c r="S288" s="152" t="e">
        <x:f>IF(Q288="","",Q288/MAX(Q$5:Q288)-1)</x:f>
        <x:v>#NAME?</x:v>
      </x:c>
    </x:row>
    <x:row r="289">
      <x:c r="A289" s="149" t="str">
        <x:f>IF('实盘净值数据(iFinD公式)'!A289="","",'实盘净值数据(iFinD公式)'!A289)</x:f>
      </x:c>
      <x:c r="B289" s="146" t="e">
        <x:f>IF(OR('实盘净值数据(iFinD公式)'!$A289="",'实盘净值数据(iFinD公式)'!$B289=""),"",分期持仓明细!$AD$17*SUMPRODUCT(分期持仓明细!$B$17:$AA$17,'实盘净值数据(iFinD公式)'!$B289:$AA289/'实盘净值数据(iFinD公式)'!$B$20:$AA$20)*(1-实盘持仓初始配置!$Z$4)^(('实盘净值数据(iFinD公式)'!$A289-'实盘净值数据(iFinD公式)'!$A$6)/365))</x:f>
        <x:v>#NAME?</x:v>
      </x:c>
      <x:c r="C289" s="152" t="e">
        <x:f>IF(OR(B288="",B289=""),"",B289/B288-1)</x:f>
        <x:v>#NAME?</x:v>
      </x:c>
      <x:c r="D289" s="152" t="e">
        <x:f>IF(B289="","",B289/MAX(B$5:B289)-1)</x:f>
        <x:v>#NAME?</x:v>
      </x:c>
      <x:c r="E289" s="146" t="e">
        <x:f>IF(OR('实盘净值数据(iFinD公式)'!$A289="",'实盘净值数据(iFinD公式)'!$B289=""),"",分期持仓明细!$AD$18*SUMPRODUCT(分期持仓明细!$B$18:$AA$18,'实盘净值数据(iFinD公式)'!$B289:$AA289/'实盘净值数据(iFinD公式)'!$B$20:$AA$20)*(1-实盘持仓初始配置!$Z$5)^(('实盘净值数据(iFinD公式)'!$A289-'实盘净值数据(iFinD公式)'!$A$5)/365))</x:f>
        <x:v>#NAME?</x:v>
      </x:c>
      <x:c r="F289" s="152" t="e">
        <x:f>IF(OR(E288="",E289=""),"",E289/E288-1)</x:f>
        <x:v>#NAME?</x:v>
      </x:c>
      <x:c r="G289" s="152" t="e">
        <x:f>IF(E289="","",E289/MAX(E$5:E289)-1)</x:f>
        <x:v>#NAME?</x:v>
      </x:c>
      <x:c r="H289" s="146" t="e">
        <x:f>IF(OR('实盘净值数据(iFinD公式)'!$A289="",'实盘净值数据(iFinD公式)'!$B289=""),"",分期持仓明细!$AD$19*SUMPRODUCT(分期持仓明细!$B$19:$AA$19,'实盘净值数据(iFinD公式)'!$B289:$AA289/'实盘净值数据(iFinD公式)'!$B$20:$AA$20)*(1-实盘持仓初始配置!$Z$6)^(('实盘净值数据(iFinD公式)'!$A289-'实盘净值数据(iFinD公式)'!$A$7)/365))</x:f>
        <x:v>#NAME?</x:v>
      </x:c>
      <x:c r="I289" s="152" t="e">
        <x:f>IF(OR(H288="",H289=""),"",H289/H288-1)</x:f>
        <x:v>#NAME?</x:v>
      </x:c>
      <x:c r="J289" s="152" t="e">
        <x:f>IF(H289="","",H289/MAX(H$5:H289)-1)</x:f>
        <x:v>#NAME?</x:v>
      </x:c>
      <x:c r="K289" s="146" t="e">
        <x:f>IF(OR('实盘净值数据(iFinD公式)'!$A289="",'实盘净值数据(iFinD公式)'!$B289=""),"",分期持仓明细!$AD$23*SUMPRODUCT(分期持仓明细!$B$23:$AA$23,'实盘净值数据(iFinD公式)'!$B289:$AA289/'实盘净值数据(iFinD公式)'!$B$65:$AA$65)*(1-实盘持仓初始配置!$Z$7)^(('实盘净值数据(iFinD公式)'!$A289-'实盘净值数据(iFinD公式)'!$A$8)/365))</x:f>
        <x:v>#NAME?</x:v>
      </x:c>
      <x:c r="L289" s="152" t="e">
        <x:f>IF(OR(K288="",K289=""),"",K289/K288-1)</x:f>
        <x:v>#NAME?</x:v>
      </x:c>
      <x:c r="M289" s="152" t="e">
        <x:f>IF(K289="","",K289/MAX(K$5:K289)-1)</x:f>
        <x:v>#NAME?</x:v>
      </x:c>
      <x:c r="N289" s="146" t="e">
        <x:f>IF(OR('实盘净值数据(iFinD公式)'!$A289="",'实盘净值数据(iFinD公式)'!$B289=""),"",分期持仓明细!$AD$24*SUMPRODUCT(分期持仓明细!$B$24:$AA$24,'实盘净值数据(iFinD公式)'!$B289:$AA289/'实盘净值数据(iFinD公式)'!$B$65:$AA$65)*(1-实盘持仓初始配置!$Z$8)^(('实盘净值数据(iFinD公式)'!$A289-'实盘净值数据(iFinD公式)'!$A$5)/365))</x:f>
        <x:v>#NAME?</x:v>
      </x:c>
      <x:c r="O289" s="152" t="e">
        <x:f>IF(OR(N288="",N289=""),"",N289/N288-1)</x:f>
        <x:v>#NAME?</x:v>
      </x:c>
      <x:c r="P289" s="152" t="e">
        <x:f>IF(N289="","",N289/MAX(N$5:N289)-1)</x:f>
        <x:v>#NAME?</x:v>
      </x:c>
      <x:c r="Q289" s="146" t="e">
        <x:f>IF(OR('实盘净值数据(iFinD公式)'!$A289="",'实盘净值数据(iFinD公式)'!$B289=""),"",分期持仓明细!$AD$25*SUMPRODUCT(分期持仓明细!$B$25:$AA$25,'实盘净值数据(iFinD公式)'!$B289:$AA289/'实盘净值数据(iFinD公式)'!$B$65:$AA$65)*(1-实盘持仓初始配置!$Z$9)^(('实盘净值数据(iFinD公式)'!$A289-'实盘净值数据(iFinD公式)'!$A$8)/365))</x:f>
        <x:v>#NAME?</x:v>
      </x:c>
      <x:c r="R289" s="152" t="e">
        <x:f>IF(OR(Q288="",Q289=""),"",Q289/Q288-1)</x:f>
        <x:v>#NAME?</x:v>
      </x:c>
      <x:c r="S289" s="152" t="e">
        <x:f>IF(Q289="","",Q289/MAX(Q$5:Q289)-1)</x:f>
        <x:v>#NAME?</x:v>
      </x:c>
    </x:row>
    <x:row r="290">
      <x:c r="A290" s="149" t="str">
        <x:f>IF('实盘净值数据(iFinD公式)'!A290="","",'实盘净值数据(iFinD公式)'!A290)</x:f>
      </x:c>
      <x:c r="B290" s="146" t="e">
        <x:f>IF(OR('实盘净值数据(iFinD公式)'!$A290="",'实盘净值数据(iFinD公式)'!$B290=""),"",分期持仓明细!$AD$17*SUMPRODUCT(分期持仓明细!$B$17:$AA$17,'实盘净值数据(iFinD公式)'!$B290:$AA290/'实盘净值数据(iFinD公式)'!$B$20:$AA$20)*(1-实盘持仓初始配置!$Z$4)^(('实盘净值数据(iFinD公式)'!$A290-'实盘净值数据(iFinD公式)'!$A$6)/365))</x:f>
        <x:v>#NAME?</x:v>
      </x:c>
      <x:c r="C290" s="152" t="e">
        <x:f>IF(OR(B289="",B290=""),"",B290/B289-1)</x:f>
        <x:v>#NAME?</x:v>
      </x:c>
      <x:c r="D290" s="152" t="e">
        <x:f>IF(B290="","",B290/MAX(B$5:B290)-1)</x:f>
        <x:v>#NAME?</x:v>
      </x:c>
      <x:c r="E290" s="146" t="e">
        <x:f>IF(OR('实盘净值数据(iFinD公式)'!$A290="",'实盘净值数据(iFinD公式)'!$B290=""),"",分期持仓明细!$AD$18*SUMPRODUCT(分期持仓明细!$B$18:$AA$18,'实盘净值数据(iFinD公式)'!$B290:$AA290/'实盘净值数据(iFinD公式)'!$B$20:$AA$20)*(1-实盘持仓初始配置!$Z$5)^(('实盘净值数据(iFinD公式)'!$A290-'实盘净值数据(iFinD公式)'!$A$5)/365))</x:f>
        <x:v>#NAME?</x:v>
      </x:c>
      <x:c r="F290" s="152" t="e">
        <x:f>IF(OR(E289="",E290=""),"",E290/E289-1)</x:f>
        <x:v>#NAME?</x:v>
      </x:c>
      <x:c r="G290" s="152" t="e">
        <x:f>IF(E290="","",E290/MAX(E$5:E290)-1)</x:f>
        <x:v>#NAME?</x:v>
      </x:c>
      <x:c r="H290" s="146" t="e">
        <x:f>IF(OR('实盘净值数据(iFinD公式)'!$A290="",'实盘净值数据(iFinD公式)'!$B290=""),"",分期持仓明细!$AD$19*SUMPRODUCT(分期持仓明细!$B$19:$AA$19,'实盘净值数据(iFinD公式)'!$B290:$AA290/'实盘净值数据(iFinD公式)'!$B$20:$AA$20)*(1-实盘持仓初始配置!$Z$6)^(('实盘净值数据(iFinD公式)'!$A290-'实盘净值数据(iFinD公式)'!$A$7)/365))</x:f>
        <x:v>#NAME?</x:v>
      </x:c>
      <x:c r="I290" s="152" t="e">
        <x:f>IF(OR(H289="",H290=""),"",H290/H289-1)</x:f>
        <x:v>#NAME?</x:v>
      </x:c>
      <x:c r="J290" s="152" t="e">
        <x:f>IF(H290="","",H290/MAX(H$5:H290)-1)</x:f>
        <x:v>#NAME?</x:v>
      </x:c>
      <x:c r="K290" s="146" t="e">
        <x:f>IF(OR('实盘净值数据(iFinD公式)'!$A290="",'实盘净值数据(iFinD公式)'!$B290=""),"",分期持仓明细!$AD$23*SUMPRODUCT(分期持仓明细!$B$23:$AA$23,'实盘净值数据(iFinD公式)'!$B290:$AA290/'实盘净值数据(iFinD公式)'!$B$65:$AA$65)*(1-实盘持仓初始配置!$Z$7)^(('实盘净值数据(iFinD公式)'!$A290-'实盘净值数据(iFinD公式)'!$A$8)/365))</x:f>
        <x:v>#NAME?</x:v>
      </x:c>
      <x:c r="L290" s="152" t="e">
        <x:f>IF(OR(K289="",K290=""),"",K290/K289-1)</x:f>
        <x:v>#NAME?</x:v>
      </x:c>
      <x:c r="M290" s="152" t="e">
        <x:f>IF(K290="","",K290/MAX(K$5:K290)-1)</x:f>
        <x:v>#NAME?</x:v>
      </x:c>
      <x:c r="N290" s="146" t="e">
        <x:f>IF(OR('实盘净值数据(iFinD公式)'!$A290="",'实盘净值数据(iFinD公式)'!$B290=""),"",分期持仓明细!$AD$24*SUMPRODUCT(分期持仓明细!$B$24:$AA$24,'实盘净值数据(iFinD公式)'!$B290:$AA290/'实盘净值数据(iFinD公式)'!$B$65:$AA$65)*(1-实盘持仓初始配置!$Z$8)^(('实盘净值数据(iFinD公式)'!$A290-'实盘净值数据(iFinD公式)'!$A$5)/365))</x:f>
        <x:v>#NAME?</x:v>
      </x:c>
      <x:c r="O290" s="152" t="e">
        <x:f>IF(OR(N289="",N290=""),"",N290/N289-1)</x:f>
        <x:v>#NAME?</x:v>
      </x:c>
      <x:c r="P290" s="152" t="e">
        <x:f>IF(N290="","",N290/MAX(N$5:N290)-1)</x:f>
        <x:v>#NAME?</x:v>
      </x:c>
      <x:c r="Q290" s="146" t="e">
        <x:f>IF(OR('实盘净值数据(iFinD公式)'!$A290="",'实盘净值数据(iFinD公式)'!$B290=""),"",分期持仓明细!$AD$25*SUMPRODUCT(分期持仓明细!$B$25:$AA$25,'实盘净值数据(iFinD公式)'!$B290:$AA290/'实盘净值数据(iFinD公式)'!$B$65:$AA$65)*(1-实盘持仓初始配置!$Z$9)^(('实盘净值数据(iFinD公式)'!$A290-'实盘净值数据(iFinD公式)'!$A$8)/365))</x:f>
        <x:v>#NAME?</x:v>
      </x:c>
      <x:c r="R290" s="152" t="e">
        <x:f>IF(OR(Q289="",Q290=""),"",Q290/Q289-1)</x:f>
        <x:v>#NAME?</x:v>
      </x:c>
      <x:c r="S290" s="152" t="e">
        <x:f>IF(Q290="","",Q290/MAX(Q$5:Q290)-1)</x:f>
        <x:v>#NAME?</x:v>
      </x:c>
    </x:row>
    <x:row r="291">
      <x:c r="A291" s="149" t="str">
        <x:f>IF('实盘净值数据(iFinD公式)'!A291="","",'实盘净值数据(iFinD公式)'!A291)</x:f>
      </x:c>
      <x:c r="B291" s="146" t="e">
        <x:f>IF(OR('实盘净值数据(iFinD公式)'!$A291="",'实盘净值数据(iFinD公式)'!$B291=""),"",分期持仓明细!$AD$17*SUMPRODUCT(分期持仓明细!$B$17:$AA$17,'实盘净值数据(iFinD公式)'!$B291:$AA291/'实盘净值数据(iFinD公式)'!$B$20:$AA$20)*(1-实盘持仓初始配置!$Z$4)^(('实盘净值数据(iFinD公式)'!$A291-'实盘净值数据(iFinD公式)'!$A$6)/365))</x:f>
        <x:v>#NAME?</x:v>
      </x:c>
      <x:c r="C291" s="152" t="e">
        <x:f>IF(OR(B290="",B291=""),"",B291/B290-1)</x:f>
        <x:v>#NAME?</x:v>
      </x:c>
      <x:c r="D291" s="152" t="e">
        <x:f>IF(B291="","",B291/MAX(B$5:B291)-1)</x:f>
        <x:v>#NAME?</x:v>
      </x:c>
      <x:c r="E291" s="146" t="e">
        <x:f>IF(OR('实盘净值数据(iFinD公式)'!$A291="",'实盘净值数据(iFinD公式)'!$B291=""),"",分期持仓明细!$AD$18*SUMPRODUCT(分期持仓明细!$B$18:$AA$18,'实盘净值数据(iFinD公式)'!$B291:$AA291/'实盘净值数据(iFinD公式)'!$B$20:$AA$20)*(1-实盘持仓初始配置!$Z$5)^(('实盘净值数据(iFinD公式)'!$A291-'实盘净值数据(iFinD公式)'!$A$5)/365))</x:f>
        <x:v>#NAME?</x:v>
      </x:c>
      <x:c r="F291" s="152" t="e">
        <x:f>IF(OR(E290="",E291=""),"",E291/E290-1)</x:f>
        <x:v>#NAME?</x:v>
      </x:c>
      <x:c r="G291" s="152" t="e">
        <x:f>IF(E291="","",E291/MAX(E$5:E291)-1)</x:f>
        <x:v>#NAME?</x:v>
      </x:c>
      <x:c r="H291" s="146" t="e">
        <x:f>IF(OR('实盘净值数据(iFinD公式)'!$A291="",'实盘净值数据(iFinD公式)'!$B291=""),"",分期持仓明细!$AD$19*SUMPRODUCT(分期持仓明细!$B$19:$AA$19,'实盘净值数据(iFinD公式)'!$B291:$AA291/'实盘净值数据(iFinD公式)'!$B$20:$AA$20)*(1-实盘持仓初始配置!$Z$6)^(('实盘净值数据(iFinD公式)'!$A291-'实盘净值数据(iFinD公式)'!$A$7)/365))</x:f>
        <x:v>#NAME?</x:v>
      </x:c>
      <x:c r="I291" s="152" t="e">
        <x:f>IF(OR(H290="",H291=""),"",H291/H290-1)</x:f>
        <x:v>#NAME?</x:v>
      </x:c>
      <x:c r="J291" s="152" t="e">
        <x:f>IF(H291="","",H291/MAX(H$5:H291)-1)</x:f>
        <x:v>#NAME?</x:v>
      </x:c>
      <x:c r="K291" s="146" t="e">
        <x:f>IF(OR('实盘净值数据(iFinD公式)'!$A291="",'实盘净值数据(iFinD公式)'!$B291=""),"",分期持仓明细!$AD$23*SUMPRODUCT(分期持仓明细!$B$23:$AA$23,'实盘净值数据(iFinD公式)'!$B291:$AA291/'实盘净值数据(iFinD公式)'!$B$65:$AA$65)*(1-实盘持仓初始配置!$Z$7)^(('实盘净值数据(iFinD公式)'!$A291-'实盘净值数据(iFinD公式)'!$A$8)/365))</x:f>
        <x:v>#NAME?</x:v>
      </x:c>
      <x:c r="L291" s="152" t="e">
        <x:f>IF(OR(K290="",K291=""),"",K291/K290-1)</x:f>
        <x:v>#NAME?</x:v>
      </x:c>
      <x:c r="M291" s="152" t="e">
        <x:f>IF(K291="","",K291/MAX(K$5:K291)-1)</x:f>
        <x:v>#NAME?</x:v>
      </x:c>
      <x:c r="N291" s="146" t="e">
        <x:f>IF(OR('实盘净值数据(iFinD公式)'!$A291="",'实盘净值数据(iFinD公式)'!$B291=""),"",分期持仓明细!$AD$24*SUMPRODUCT(分期持仓明细!$B$24:$AA$24,'实盘净值数据(iFinD公式)'!$B291:$AA291/'实盘净值数据(iFinD公式)'!$B$65:$AA$65)*(1-实盘持仓初始配置!$Z$8)^(('实盘净值数据(iFinD公式)'!$A291-'实盘净值数据(iFinD公式)'!$A$5)/365))</x:f>
        <x:v>#NAME?</x:v>
      </x:c>
      <x:c r="O291" s="152" t="e">
        <x:f>IF(OR(N290="",N291=""),"",N291/N290-1)</x:f>
        <x:v>#NAME?</x:v>
      </x:c>
      <x:c r="P291" s="152" t="e">
        <x:f>IF(N291="","",N291/MAX(N$5:N291)-1)</x:f>
        <x:v>#NAME?</x:v>
      </x:c>
      <x:c r="Q291" s="146" t="e">
        <x:f>IF(OR('实盘净值数据(iFinD公式)'!$A291="",'实盘净值数据(iFinD公式)'!$B291=""),"",分期持仓明细!$AD$25*SUMPRODUCT(分期持仓明细!$B$25:$AA$25,'实盘净值数据(iFinD公式)'!$B291:$AA291/'实盘净值数据(iFinD公式)'!$B$65:$AA$65)*(1-实盘持仓初始配置!$Z$9)^(('实盘净值数据(iFinD公式)'!$A291-'实盘净值数据(iFinD公式)'!$A$8)/365))</x:f>
        <x:v>#NAME?</x:v>
      </x:c>
      <x:c r="R291" s="152" t="e">
        <x:f>IF(OR(Q290="",Q291=""),"",Q291/Q290-1)</x:f>
        <x:v>#NAME?</x:v>
      </x:c>
      <x:c r="S291" s="152" t="e">
        <x:f>IF(Q291="","",Q291/MAX(Q$5:Q291)-1)</x:f>
        <x:v>#NAME?</x:v>
      </x:c>
    </x:row>
    <x:row r="292">
      <x:c r="A292" s="149" t="str">
        <x:f>IF('实盘净值数据(iFinD公式)'!A292="","",'实盘净值数据(iFinD公式)'!A292)</x:f>
      </x:c>
      <x:c r="B292" s="146" t="e">
        <x:f>IF(OR('实盘净值数据(iFinD公式)'!$A292="",'实盘净值数据(iFinD公式)'!$B292=""),"",分期持仓明细!$AD$17*SUMPRODUCT(分期持仓明细!$B$17:$AA$17,'实盘净值数据(iFinD公式)'!$B292:$AA292/'实盘净值数据(iFinD公式)'!$B$20:$AA$20)*(1-实盘持仓初始配置!$Z$4)^(('实盘净值数据(iFinD公式)'!$A292-'实盘净值数据(iFinD公式)'!$A$6)/365))</x:f>
        <x:v>#NAME?</x:v>
      </x:c>
      <x:c r="C292" s="152" t="e">
        <x:f>IF(OR(B291="",B292=""),"",B292/B291-1)</x:f>
        <x:v>#NAME?</x:v>
      </x:c>
      <x:c r="D292" s="152" t="e">
        <x:f>IF(B292="","",B292/MAX(B$5:B292)-1)</x:f>
        <x:v>#NAME?</x:v>
      </x:c>
      <x:c r="E292" s="146" t="e">
        <x:f>IF(OR('实盘净值数据(iFinD公式)'!$A292="",'实盘净值数据(iFinD公式)'!$B292=""),"",分期持仓明细!$AD$18*SUMPRODUCT(分期持仓明细!$B$18:$AA$18,'实盘净值数据(iFinD公式)'!$B292:$AA292/'实盘净值数据(iFinD公式)'!$B$20:$AA$20)*(1-实盘持仓初始配置!$Z$5)^(('实盘净值数据(iFinD公式)'!$A292-'实盘净值数据(iFinD公式)'!$A$5)/365))</x:f>
        <x:v>#NAME?</x:v>
      </x:c>
      <x:c r="F292" s="152" t="e">
        <x:f>IF(OR(E291="",E292=""),"",E292/E291-1)</x:f>
        <x:v>#NAME?</x:v>
      </x:c>
      <x:c r="G292" s="152" t="e">
        <x:f>IF(E292="","",E292/MAX(E$5:E292)-1)</x:f>
        <x:v>#NAME?</x:v>
      </x:c>
      <x:c r="H292" s="146" t="e">
        <x:f>IF(OR('实盘净值数据(iFinD公式)'!$A292="",'实盘净值数据(iFinD公式)'!$B292=""),"",分期持仓明细!$AD$19*SUMPRODUCT(分期持仓明细!$B$19:$AA$19,'实盘净值数据(iFinD公式)'!$B292:$AA292/'实盘净值数据(iFinD公式)'!$B$20:$AA$20)*(1-实盘持仓初始配置!$Z$6)^(('实盘净值数据(iFinD公式)'!$A292-'实盘净值数据(iFinD公式)'!$A$7)/365))</x:f>
        <x:v>#NAME?</x:v>
      </x:c>
      <x:c r="I292" s="152" t="e">
        <x:f>IF(OR(H291="",H292=""),"",H292/H291-1)</x:f>
        <x:v>#NAME?</x:v>
      </x:c>
      <x:c r="J292" s="152" t="e">
        <x:f>IF(H292="","",H292/MAX(H$5:H292)-1)</x:f>
        <x:v>#NAME?</x:v>
      </x:c>
      <x:c r="K292" s="146" t="e">
        <x:f>IF(OR('实盘净值数据(iFinD公式)'!$A292="",'实盘净值数据(iFinD公式)'!$B292=""),"",分期持仓明细!$AD$23*SUMPRODUCT(分期持仓明细!$B$23:$AA$23,'实盘净值数据(iFinD公式)'!$B292:$AA292/'实盘净值数据(iFinD公式)'!$B$65:$AA$65)*(1-实盘持仓初始配置!$Z$7)^(('实盘净值数据(iFinD公式)'!$A292-'实盘净值数据(iFinD公式)'!$A$8)/365))</x:f>
        <x:v>#NAME?</x:v>
      </x:c>
      <x:c r="L292" s="152" t="e">
        <x:f>IF(OR(K291="",K292=""),"",K292/K291-1)</x:f>
        <x:v>#NAME?</x:v>
      </x:c>
      <x:c r="M292" s="152" t="e">
        <x:f>IF(K292="","",K292/MAX(K$5:K292)-1)</x:f>
        <x:v>#NAME?</x:v>
      </x:c>
      <x:c r="N292" s="146" t="e">
        <x:f>IF(OR('实盘净值数据(iFinD公式)'!$A292="",'实盘净值数据(iFinD公式)'!$B292=""),"",分期持仓明细!$AD$24*SUMPRODUCT(分期持仓明细!$B$24:$AA$24,'实盘净值数据(iFinD公式)'!$B292:$AA292/'实盘净值数据(iFinD公式)'!$B$65:$AA$65)*(1-实盘持仓初始配置!$Z$8)^(('实盘净值数据(iFinD公式)'!$A292-'实盘净值数据(iFinD公式)'!$A$5)/365))</x:f>
        <x:v>#NAME?</x:v>
      </x:c>
      <x:c r="O292" s="152" t="e">
        <x:f>IF(OR(N291="",N292=""),"",N292/N291-1)</x:f>
        <x:v>#NAME?</x:v>
      </x:c>
      <x:c r="P292" s="152" t="e">
        <x:f>IF(N292="","",N292/MAX(N$5:N292)-1)</x:f>
        <x:v>#NAME?</x:v>
      </x:c>
      <x:c r="Q292" s="146" t="e">
        <x:f>IF(OR('实盘净值数据(iFinD公式)'!$A292="",'实盘净值数据(iFinD公式)'!$B292=""),"",分期持仓明细!$AD$25*SUMPRODUCT(分期持仓明细!$B$25:$AA$25,'实盘净值数据(iFinD公式)'!$B292:$AA292/'实盘净值数据(iFinD公式)'!$B$65:$AA$65)*(1-实盘持仓初始配置!$Z$9)^(('实盘净值数据(iFinD公式)'!$A292-'实盘净值数据(iFinD公式)'!$A$8)/365))</x:f>
        <x:v>#NAME?</x:v>
      </x:c>
      <x:c r="R292" s="152" t="e">
        <x:f>IF(OR(Q291="",Q292=""),"",Q292/Q291-1)</x:f>
        <x:v>#NAME?</x:v>
      </x:c>
      <x:c r="S292" s="152" t="e">
        <x:f>IF(Q292="","",Q292/MAX(Q$5:Q292)-1)</x:f>
        <x:v>#NAME?</x:v>
      </x:c>
    </x:row>
    <x:row r="293">
      <x:c r="A293" s="149" t="str">
        <x:f>IF('实盘净值数据(iFinD公式)'!A293="","",'实盘净值数据(iFinD公式)'!A293)</x:f>
      </x:c>
      <x:c r="B293" s="146" t="e">
        <x:f>IF(OR('实盘净值数据(iFinD公式)'!$A293="",'实盘净值数据(iFinD公式)'!$B293=""),"",分期持仓明细!$AD$17*SUMPRODUCT(分期持仓明细!$B$17:$AA$17,'实盘净值数据(iFinD公式)'!$B293:$AA293/'实盘净值数据(iFinD公式)'!$B$20:$AA$20)*(1-实盘持仓初始配置!$Z$4)^(('实盘净值数据(iFinD公式)'!$A293-'实盘净值数据(iFinD公式)'!$A$6)/365))</x:f>
        <x:v>#NAME?</x:v>
      </x:c>
      <x:c r="C293" s="152" t="e">
        <x:f>IF(OR(B292="",B293=""),"",B293/B292-1)</x:f>
        <x:v>#NAME?</x:v>
      </x:c>
      <x:c r="D293" s="152" t="e">
        <x:f>IF(B293="","",B293/MAX(B$5:B293)-1)</x:f>
        <x:v>#NAME?</x:v>
      </x:c>
      <x:c r="E293" s="146" t="e">
        <x:f>IF(OR('实盘净值数据(iFinD公式)'!$A293="",'实盘净值数据(iFinD公式)'!$B293=""),"",分期持仓明细!$AD$18*SUMPRODUCT(分期持仓明细!$B$18:$AA$18,'实盘净值数据(iFinD公式)'!$B293:$AA293/'实盘净值数据(iFinD公式)'!$B$20:$AA$20)*(1-实盘持仓初始配置!$Z$5)^(('实盘净值数据(iFinD公式)'!$A293-'实盘净值数据(iFinD公式)'!$A$5)/365))</x:f>
        <x:v>#NAME?</x:v>
      </x:c>
      <x:c r="F293" s="152" t="e">
        <x:f>IF(OR(E292="",E293=""),"",E293/E292-1)</x:f>
        <x:v>#NAME?</x:v>
      </x:c>
      <x:c r="G293" s="152" t="e">
        <x:f>IF(E293="","",E293/MAX(E$5:E293)-1)</x:f>
        <x:v>#NAME?</x:v>
      </x:c>
      <x:c r="H293" s="146" t="e">
        <x:f>IF(OR('实盘净值数据(iFinD公式)'!$A293="",'实盘净值数据(iFinD公式)'!$B293=""),"",分期持仓明细!$AD$19*SUMPRODUCT(分期持仓明细!$B$19:$AA$19,'实盘净值数据(iFinD公式)'!$B293:$AA293/'实盘净值数据(iFinD公式)'!$B$20:$AA$20)*(1-实盘持仓初始配置!$Z$6)^(('实盘净值数据(iFinD公式)'!$A293-'实盘净值数据(iFinD公式)'!$A$7)/365))</x:f>
        <x:v>#NAME?</x:v>
      </x:c>
      <x:c r="I293" s="152" t="e">
        <x:f>IF(OR(H292="",H293=""),"",H293/H292-1)</x:f>
        <x:v>#NAME?</x:v>
      </x:c>
      <x:c r="J293" s="152" t="e">
        <x:f>IF(H293="","",H293/MAX(H$5:H293)-1)</x:f>
        <x:v>#NAME?</x:v>
      </x:c>
      <x:c r="K293" s="146" t="e">
        <x:f>IF(OR('实盘净值数据(iFinD公式)'!$A293="",'实盘净值数据(iFinD公式)'!$B293=""),"",分期持仓明细!$AD$23*SUMPRODUCT(分期持仓明细!$B$23:$AA$23,'实盘净值数据(iFinD公式)'!$B293:$AA293/'实盘净值数据(iFinD公式)'!$B$65:$AA$65)*(1-实盘持仓初始配置!$Z$7)^(('实盘净值数据(iFinD公式)'!$A293-'实盘净值数据(iFinD公式)'!$A$8)/365))</x:f>
        <x:v>#NAME?</x:v>
      </x:c>
      <x:c r="L293" s="152" t="e">
        <x:f>IF(OR(K292="",K293=""),"",K293/K292-1)</x:f>
        <x:v>#NAME?</x:v>
      </x:c>
      <x:c r="M293" s="152" t="e">
        <x:f>IF(K293="","",K293/MAX(K$5:K293)-1)</x:f>
        <x:v>#NAME?</x:v>
      </x:c>
      <x:c r="N293" s="146" t="e">
        <x:f>IF(OR('实盘净值数据(iFinD公式)'!$A293="",'实盘净值数据(iFinD公式)'!$B293=""),"",分期持仓明细!$AD$24*SUMPRODUCT(分期持仓明细!$B$24:$AA$24,'实盘净值数据(iFinD公式)'!$B293:$AA293/'实盘净值数据(iFinD公式)'!$B$65:$AA$65)*(1-实盘持仓初始配置!$Z$8)^(('实盘净值数据(iFinD公式)'!$A293-'实盘净值数据(iFinD公式)'!$A$5)/365))</x:f>
        <x:v>#NAME?</x:v>
      </x:c>
      <x:c r="O293" s="152" t="e">
        <x:f>IF(OR(N292="",N293=""),"",N293/N292-1)</x:f>
        <x:v>#NAME?</x:v>
      </x:c>
      <x:c r="P293" s="152" t="e">
        <x:f>IF(N293="","",N293/MAX(N$5:N293)-1)</x:f>
        <x:v>#NAME?</x:v>
      </x:c>
      <x:c r="Q293" s="146" t="e">
        <x:f>IF(OR('实盘净值数据(iFinD公式)'!$A293="",'实盘净值数据(iFinD公式)'!$B293=""),"",分期持仓明细!$AD$25*SUMPRODUCT(分期持仓明细!$B$25:$AA$25,'实盘净值数据(iFinD公式)'!$B293:$AA293/'实盘净值数据(iFinD公式)'!$B$65:$AA$65)*(1-实盘持仓初始配置!$Z$9)^(('实盘净值数据(iFinD公式)'!$A293-'实盘净值数据(iFinD公式)'!$A$8)/365))</x:f>
        <x:v>#NAME?</x:v>
      </x:c>
      <x:c r="R293" s="152" t="e">
        <x:f>IF(OR(Q292="",Q293=""),"",Q293/Q292-1)</x:f>
        <x:v>#NAME?</x:v>
      </x:c>
      <x:c r="S293" s="152" t="e">
        <x:f>IF(Q293="","",Q293/MAX(Q$5:Q293)-1)</x:f>
        <x:v>#NAME?</x:v>
      </x:c>
    </x:row>
    <x:row r="294">
      <x:c r="A294" s="149" t="str">
        <x:f>IF('实盘净值数据(iFinD公式)'!A294="","",'实盘净值数据(iFinD公式)'!A294)</x:f>
      </x:c>
      <x:c r="B294" s="146" t="e">
        <x:f>IF(OR('实盘净值数据(iFinD公式)'!$A294="",'实盘净值数据(iFinD公式)'!$B294=""),"",分期持仓明细!$AD$17*SUMPRODUCT(分期持仓明细!$B$17:$AA$17,'实盘净值数据(iFinD公式)'!$B294:$AA294/'实盘净值数据(iFinD公式)'!$B$20:$AA$20)*(1-实盘持仓初始配置!$Z$4)^(('实盘净值数据(iFinD公式)'!$A294-'实盘净值数据(iFinD公式)'!$A$6)/365))</x:f>
        <x:v>#NAME?</x:v>
      </x:c>
      <x:c r="C294" s="152" t="e">
        <x:f>IF(OR(B293="",B294=""),"",B294/B293-1)</x:f>
        <x:v>#NAME?</x:v>
      </x:c>
      <x:c r="D294" s="152" t="e">
        <x:f>IF(B294="","",B294/MAX(B$5:B294)-1)</x:f>
        <x:v>#NAME?</x:v>
      </x:c>
      <x:c r="E294" s="146" t="e">
        <x:f>IF(OR('实盘净值数据(iFinD公式)'!$A294="",'实盘净值数据(iFinD公式)'!$B294=""),"",分期持仓明细!$AD$18*SUMPRODUCT(分期持仓明细!$B$18:$AA$18,'实盘净值数据(iFinD公式)'!$B294:$AA294/'实盘净值数据(iFinD公式)'!$B$20:$AA$20)*(1-实盘持仓初始配置!$Z$5)^(('实盘净值数据(iFinD公式)'!$A294-'实盘净值数据(iFinD公式)'!$A$5)/365))</x:f>
        <x:v>#NAME?</x:v>
      </x:c>
      <x:c r="F294" s="152" t="e">
        <x:f>IF(OR(E293="",E294=""),"",E294/E293-1)</x:f>
        <x:v>#NAME?</x:v>
      </x:c>
      <x:c r="G294" s="152" t="e">
        <x:f>IF(E294="","",E294/MAX(E$5:E294)-1)</x:f>
        <x:v>#NAME?</x:v>
      </x:c>
      <x:c r="H294" s="146" t="e">
        <x:f>IF(OR('实盘净值数据(iFinD公式)'!$A294="",'实盘净值数据(iFinD公式)'!$B294=""),"",分期持仓明细!$AD$19*SUMPRODUCT(分期持仓明细!$B$19:$AA$19,'实盘净值数据(iFinD公式)'!$B294:$AA294/'实盘净值数据(iFinD公式)'!$B$20:$AA$20)*(1-实盘持仓初始配置!$Z$6)^(('实盘净值数据(iFinD公式)'!$A294-'实盘净值数据(iFinD公式)'!$A$7)/365))</x:f>
        <x:v>#NAME?</x:v>
      </x:c>
      <x:c r="I294" s="152" t="e">
        <x:f>IF(OR(H293="",H294=""),"",H294/H293-1)</x:f>
        <x:v>#NAME?</x:v>
      </x:c>
      <x:c r="J294" s="152" t="e">
        <x:f>IF(H294="","",H294/MAX(H$5:H294)-1)</x:f>
        <x:v>#NAME?</x:v>
      </x:c>
      <x:c r="K294" s="146" t="e">
        <x:f>IF(OR('实盘净值数据(iFinD公式)'!$A294="",'实盘净值数据(iFinD公式)'!$B294=""),"",分期持仓明细!$AD$23*SUMPRODUCT(分期持仓明细!$B$23:$AA$23,'实盘净值数据(iFinD公式)'!$B294:$AA294/'实盘净值数据(iFinD公式)'!$B$65:$AA$65)*(1-实盘持仓初始配置!$Z$7)^(('实盘净值数据(iFinD公式)'!$A294-'实盘净值数据(iFinD公式)'!$A$8)/365))</x:f>
        <x:v>#NAME?</x:v>
      </x:c>
      <x:c r="L294" s="152" t="e">
        <x:f>IF(OR(K293="",K294=""),"",K294/K293-1)</x:f>
        <x:v>#NAME?</x:v>
      </x:c>
      <x:c r="M294" s="152" t="e">
        <x:f>IF(K294="","",K294/MAX(K$5:K294)-1)</x:f>
        <x:v>#NAME?</x:v>
      </x:c>
      <x:c r="N294" s="146" t="e">
        <x:f>IF(OR('实盘净值数据(iFinD公式)'!$A294="",'实盘净值数据(iFinD公式)'!$B294=""),"",分期持仓明细!$AD$24*SUMPRODUCT(分期持仓明细!$B$24:$AA$24,'实盘净值数据(iFinD公式)'!$B294:$AA294/'实盘净值数据(iFinD公式)'!$B$65:$AA$65)*(1-实盘持仓初始配置!$Z$8)^(('实盘净值数据(iFinD公式)'!$A294-'实盘净值数据(iFinD公式)'!$A$5)/365))</x:f>
        <x:v>#NAME?</x:v>
      </x:c>
      <x:c r="O294" s="152" t="e">
        <x:f>IF(OR(N293="",N294=""),"",N294/N293-1)</x:f>
        <x:v>#NAME?</x:v>
      </x:c>
      <x:c r="P294" s="152" t="e">
        <x:f>IF(N294="","",N294/MAX(N$5:N294)-1)</x:f>
        <x:v>#NAME?</x:v>
      </x:c>
      <x:c r="Q294" s="146" t="e">
        <x:f>IF(OR('实盘净值数据(iFinD公式)'!$A294="",'实盘净值数据(iFinD公式)'!$B294=""),"",分期持仓明细!$AD$25*SUMPRODUCT(分期持仓明细!$B$25:$AA$25,'实盘净值数据(iFinD公式)'!$B294:$AA294/'实盘净值数据(iFinD公式)'!$B$65:$AA$65)*(1-实盘持仓初始配置!$Z$9)^(('实盘净值数据(iFinD公式)'!$A294-'实盘净值数据(iFinD公式)'!$A$8)/365))</x:f>
        <x:v>#NAME?</x:v>
      </x:c>
      <x:c r="R294" s="152" t="e">
        <x:f>IF(OR(Q293="",Q294=""),"",Q294/Q293-1)</x:f>
        <x:v>#NAME?</x:v>
      </x:c>
      <x:c r="S294" s="152" t="e">
        <x:f>IF(Q294="","",Q294/MAX(Q$5:Q294)-1)</x:f>
        <x:v>#NAME?</x:v>
      </x:c>
    </x:row>
    <x:row r="295">
      <x:c r="A295" s="149" t="str">
        <x:f>IF('实盘净值数据(iFinD公式)'!A295="","",'实盘净值数据(iFinD公式)'!A295)</x:f>
      </x:c>
      <x:c r="B295" s="146" t="e">
        <x:f>IF(OR('实盘净值数据(iFinD公式)'!$A295="",'实盘净值数据(iFinD公式)'!$B295=""),"",分期持仓明细!$AD$17*SUMPRODUCT(分期持仓明细!$B$17:$AA$17,'实盘净值数据(iFinD公式)'!$B295:$AA295/'实盘净值数据(iFinD公式)'!$B$20:$AA$20)*(1-实盘持仓初始配置!$Z$4)^(('实盘净值数据(iFinD公式)'!$A295-'实盘净值数据(iFinD公式)'!$A$6)/365))</x:f>
        <x:v>#NAME?</x:v>
      </x:c>
      <x:c r="C295" s="152" t="e">
        <x:f>IF(OR(B294="",B295=""),"",B295/B294-1)</x:f>
        <x:v>#NAME?</x:v>
      </x:c>
      <x:c r="D295" s="152" t="e">
        <x:f>IF(B295="","",B295/MAX(B$5:B295)-1)</x:f>
        <x:v>#NAME?</x:v>
      </x:c>
      <x:c r="E295" s="146" t="e">
        <x:f>IF(OR('实盘净值数据(iFinD公式)'!$A295="",'实盘净值数据(iFinD公式)'!$B295=""),"",分期持仓明细!$AD$18*SUMPRODUCT(分期持仓明细!$B$18:$AA$18,'实盘净值数据(iFinD公式)'!$B295:$AA295/'实盘净值数据(iFinD公式)'!$B$20:$AA$20)*(1-实盘持仓初始配置!$Z$5)^(('实盘净值数据(iFinD公式)'!$A295-'实盘净值数据(iFinD公式)'!$A$5)/365))</x:f>
        <x:v>#NAME?</x:v>
      </x:c>
      <x:c r="F295" s="152" t="e">
        <x:f>IF(OR(E294="",E295=""),"",E295/E294-1)</x:f>
        <x:v>#NAME?</x:v>
      </x:c>
      <x:c r="G295" s="152" t="e">
        <x:f>IF(E295="","",E295/MAX(E$5:E295)-1)</x:f>
        <x:v>#NAME?</x:v>
      </x:c>
      <x:c r="H295" s="146" t="e">
        <x:f>IF(OR('实盘净值数据(iFinD公式)'!$A295="",'实盘净值数据(iFinD公式)'!$B295=""),"",分期持仓明细!$AD$19*SUMPRODUCT(分期持仓明细!$B$19:$AA$19,'实盘净值数据(iFinD公式)'!$B295:$AA295/'实盘净值数据(iFinD公式)'!$B$20:$AA$20)*(1-实盘持仓初始配置!$Z$6)^(('实盘净值数据(iFinD公式)'!$A295-'实盘净值数据(iFinD公式)'!$A$7)/365))</x:f>
        <x:v>#NAME?</x:v>
      </x:c>
      <x:c r="I295" s="152" t="e">
        <x:f>IF(OR(H294="",H295=""),"",H295/H294-1)</x:f>
        <x:v>#NAME?</x:v>
      </x:c>
      <x:c r="J295" s="152" t="e">
        <x:f>IF(H295="","",H295/MAX(H$5:H295)-1)</x:f>
        <x:v>#NAME?</x:v>
      </x:c>
      <x:c r="K295" s="146" t="e">
        <x:f>IF(OR('实盘净值数据(iFinD公式)'!$A295="",'实盘净值数据(iFinD公式)'!$B295=""),"",分期持仓明细!$AD$23*SUMPRODUCT(分期持仓明细!$B$23:$AA$23,'实盘净值数据(iFinD公式)'!$B295:$AA295/'实盘净值数据(iFinD公式)'!$B$65:$AA$65)*(1-实盘持仓初始配置!$Z$7)^(('实盘净值数据(iFinD公式)'!$A295-'实盘净值数据(iFinD公式)'!$A$8)/365))</x:f>
        <x:v>#NAME?</x:v>
      </x:c>
      <x:c r="L295" s="152" t="e">
        <x:f>IF(OR(K294="",K295=""),"",K295/K294-1)</x:f>
        <x:v>#NAME?</x:v>
      </x:c>
      <x:c r="M295" s="152" t="e">
        <x:f>IF(K295="","",K295/MAX(K$5:K295)-1)</x:f>
        <x:v>#NAME?</x:v>
      </x:c>
      <x:c r="N295" s="146" t="e">
        <x:f>IF(OR('实盘净值数据(iFinD公式)'!$A295="",'实盘净值数据(iFinD公式)'!$B295=""),"",分期持仓明细!$AD$24*SUMPRODUCT(分期持仓明细!$B$24:$AA$24,'实盘净值数据(iFinD公式)'!$B295:$AA295/'实盘净值数据(iFinD公式)'!$B$65:$AA$65)*(1-实盘持仓初始配置!$Z$8)^(('实盘净值数据(iFinD公式)'!$A295-'实盘净值数据(iFinD公式)'!$A$5)/365))</x:f>
        <x:v>#NAME?</x:v>
      </x:c>
      <x:c r="O295" s="152" t="e">
        <x:f>IF(OR(N294="",N295=""),"",N295/N294-1)</x:f>
        <x:v>#NAME?</x:v>
      </x:c>
      <x:c r="P295" s="152" t="e">
        <x:f>IF(N295="","",N295/MAX(N$5:N295)-1)</x:f>
        <x:v>#NAME?</x:v>
      </x:c>
      <x:c r="Q295" s="146" t="e">
        <x:f>IF(OR('实盘净值数据(iFinD公式)'!$A295="",'实盘净值数据(iFinD公式)'!$B295=""),"",分期持仓明细!$AD$25*SUMPRODUCT(分期持仓明细!$B$25:$AA$25,'实盘净值数据(iFinD公式)'!$B295:$AA295/'实盘净值数据(iFinD公式)'!$B$65:$AA$65)*(1-实盘持仓初始配置!$Z$9)^(('实盘净值数据(iFinD公式)'!$A295-'实盘净值数据(iFinD公式)'!$A$8)/365))</x:f>
        <x:v>#NAME?</x:v>
      </x:c>
      <x:c r="R295" s="152" t="e">
        <x:f>IF(OR(Q294="",Q295=""),"",Q295/Q294-1)</x:f>
        <x:v>#NAME?</x:v>
      </x:c>
      <x:c r="S295" s="152" t="e">
        <x:f>IF(Q295="","",Q295/MAX(Q$5:Q295)-1)</x:f>
        <x:v>#NAME?</x:v>
      </x:c>
    </x:row>
    <x:row r="296">
      <x:c r="A296" s="149" t="str">
        <x:f>IF('实盘净值数据(iFinD公式)'!A296="","",'实盘净值数据(iFinD公式)'!A296)</x:f>
      </x:c>
      <x:c r="B296" s="146" t="e">
        <x:f>IF(OR('实盘净值数据(iFinD公式)'!$A296="",'实盘净值数据(iFinD公式)'!$B296=""),"",分期持仓明细!$AD$17*SUMPRODUCT(分期持仓明细!$B$17:$AA$17,'实盘净值数据(iFinD公式)'!$B296:$AA296/'实盘净值数据(iFinD公式)'!$B$20:$AA$20)*(1-实盘持仓初始配置!$Z$4)^(('实盘净值数据(iFinD公式)'!$A296-'实盘净值数据(iFinD公式)'!$A$6)/365))</x:f>
        <x:v>#NAME?</x:v>
      </x:c>
      <x:c r="C296" s="152" t="e">
        <x:f>IF(OR(B295="",B296=""),"",B296/B295-1)</x:f>
        <x:v>#NAME?</x:v>
      </x:c>
      <x:c r="D296" s="152" t="e">
        <x:f>IF(B296="","",B296/MAX(B$5:B296)-1)</x:f>
        <x:v>#NAME?</x:v>
      </x:c>
      <x:c r="E296" s="146" t="e">
        <x:f>IF(OR('实盘净值数据(iFinD公式)'!$A296="",'实盘净值数据(iFinD公式)'!$B296=""),"",分期持仓明细!$AD$18*SUMPRODUCT(分期持仓明细!$B$18:$AA$18,'实盘净值数据(iFinD公式)'!$B296:$AA296/'实盘净值数据(iFinD公式)'!$B$20:$AA$20)*(1-实盘持仓初始配置!$Z$5)^(('实盘净值数据(iFinD公式)'!$A296-'实盘净值数据(iFinD公式)'!$A$5)/365))</x:f>
        <x:v>#NAME?</x:v>
      </x:c>
      <x:c r="F296" s="152" t="e">
        <x:f>IF(OR(E295="",E296=""),"",E296/E295-1)</x:f>
        <x:v>#NAME?</x:v>
      </x:c>
      <x:c r="G296" s="152" t="e">
        <x:f>IF(E296="","",E296/MAX(E$5:E296)-1)</x:f>
        <x:v>#NAME?</x:v>
      </x:c>
      <x:c r="H296" s="146" t="e">
        <x:f>IF(OR('实盘净值数据(iFinD公式)'!$A296="",'实盘净值数据(iFinD公式)'!$B296=""),"",分期持仓明细!$AD$19*SUMPRODUCT(分期持仓明细!$B$19:$AA$19,'实盘净值数据(iFinD公式)'!$B296:$AA296/'实盘净值数据(iFinD公式)'!$B$20:$AA$20)*(1-实盘持仓初始配置!$Z$6)^(('实盘净值数据(iFinD公式)'!$A296-'实盘净值数据(iFinD公式)'!$A$7)/365))</x:f>
        <x:v>#NAME?</x:v>
      </x:c>
      <x:c r="I296" s="152" t="e">
        <x:f>IF(OR(H295="",H296=""),"",H296/H295-1)</x:f>
        <x:v>#NAME?</x:v>
      </x:c>
      <x:c r="J296" s="152" t="e">
        <x:f>IF(H296="","",H296/MAX(H$5:H296)-1)</x:f>
        <x:v>#NAME?</x:v>
      </x:c>
      <x:c r="K296" s="146" t="e">
        <x:f>IF(OR('实盘净值数据(iFinD公式)'!$A296="",'实盘净值数据(iFinD公式)'!$B296=""),"",分期持仓明细!$AD$23*SUMPRODUCT(分期持仓明细!$B$23:$AA$23,'实盘净值数据(iFinD公式)'!$B296:$AA296/'实盘净值数据(iFinD公式)'!$B$65:$AA$65)*(1-实盘持仓初始配置!$Z$7)^(('实盘净值数据(iFinD公式)'!$A296-'实盘净值数据(iFinD公式)'!$A$8)/365))</x:f>
        <x:v>#NAME?</x:v>
      </x:c>
      <x:c r="L296" s="152" t="e">
        <x:f>IF(OR(K295="",K296=""),"",K296/K295-1)</x:f>
        <x:v>#NAME?</x:v>
      </x:c>
      <x:c r="M296" s="152" t="e">
        <x:f>IF(K296="","",K296/MAX(K$5:K296)-1)</x:f>
        <x:v>#NAME?</x:v>
      </x:c>
      <x:c r="N296" s="146" t="e">
        <x:f>IF(OR('实盘净值数据(iFinD公式)'!$A296="",'实盘净值数据(iFinD公式)'!$B296=""),"",分期持仓明细!$AD$24*SUMPRODUCT(分期持仓明细!$B$24:$AA$24,'实盘净值数据(iFinD公式)'!$B296:$AA296/'实盘净值数据(iFinD公式)'!$B$65:$AA$65)*(1-实盘持仓初始配置!$Z$8)^(('实盘净值数据(iFinD公式)'!$A296-'实盘净值数据(iFinD公式)'!$A$5)/365))</x:f>
        <x:v>#NAME?</x:v>
      </x:c>
      <x:c r="O296" s="152" t="e">
        <x:f>IF(OR(N295="",N296=""),"",N296/N295-1)</x:f>
        <x:v>#NAME?</x:v>
      </x:c>
      <x:c r="P296" s="152" t="e">
        <x:f>IF(N296="","",N296/MAX(N$5:N296)-1)</x:f>
        <x:v>#NAME?</x:v>
      </x:c>
      <x:c r="Q296" s="146" t="e">
        <x:f>IF(OR('实盘净值数据(iFinD公式)'!$A296="",'实盘净值数据(iFinD公式)'!$B296=""),"",分期持仓明细!$AD$25*SUMPRODUCT(分期持仓明细!$B$25:$AA$25,'实盘净值数据(iFinD公式)'!$B296:$AA296/'实盘净值数据(iFinD公式)'!$B$65:$AA$65)*(1-实盘持仓初始配置!$Z$9)^(('实盘净值数据(iFinD公式)'!$A296-'实盘净值数据(iFinD公式)'!$A$8)/365))</x:f>
        <x:v>#NAME?</x:v>
      </x:c>
      <x:c r="R296" s="152" t="e">
        <x:f>IF(OR(Q295="",Q296=""),"",Q296/Q295-1)</x:f>
        <x:v>#NAME?</x:v>
      </x:c>
      <x:c r="S296" s="152" t="e">
        <x:f>IF(Q296="","",Q296/MAX(Q$5:Q296)-1)</x:f>
        <x:v>#NAME?</x:v>
      </x:c>
    </x:row>
    <x:row r="297">
      <x:c r="A297" s="149" t="str">
        <x:f>IF('实盘净值数据(iFinD公式)'!A297="","",'实盘净值数据(iFinD公式)'!A297)</x:f>
      </x:c>
      <x:c r="B297" s="146" t="e">
        <x:f>IF(OR('实盘净值数据(iFinD公式)'!$A297="",'实盘净值数据(iFinD公式)'!$B297=""),"",分期持仓明细!$AD$17*SUMPRODUCT(分期持仓明细!$B$17:$AA$17,'实盘净值数据(iFinD公式)'!$B297:$AA297/'实盘净值数据(iFinD公式)'!$B$20:$AA$20)*(1-实盘持仓初始配置!$Z$4)^(('实盘净值数据(iFinD公式)'!$A297-'实盘净值数据(iFinD公式)'!$A$6)/365))</x:f>
        <x:v>#NAME?</x:v>
      </x:c>
      <x:c r="C297" s="152" t="e">
        <x:f>IF(OR(B296="",B297=""),"",B297/B296-1)</x:f>
        <x:v>#NAME?</x:v>
      </x:c>
      <x:c r="D297" s="152" t="e">
        <x:f>IF(B297="","",B297/MAX(B$5:B297)-1)</x:f>
        <x:v>#NAME?</x:v>
      </x:c>
      <x:c r="E297" s="146" t="e">
        <x:f>IF(OR('实盘净值数据(iFinD公式)'!$A297="",'实盘净值数据(iFinD公式)'!$B297=""),"",分期持仓明细!$AD$18*SUMPRODUCT(分期持仓明细!$B$18:$AA$18,'实盘净值数据(iFinD公式)'!$B297:$AA297/'实盘净值数据(iFinD公式)'!$B$20:$AA$20)*(1-实盘持仓初始配置!$Z$5)^(('实盘净值数据(iFinD公式)'!$A297-'实盘净值数据(iFinD公式)'!$A$5)/365))</x:f>
        <x:v>#NAME?</x:v>
      </x:c>
      <x:c r="F297" s="152" t="e">
        <x:f>IF(OR(E296="",E297=""),"",E297/E296-1)</x:f>
        <x:v>#NAME?</x:v>
      </x:c>
      <x:c r="G297" s="152" t="e">
        <x:f>IF(E297="","",E297/MAX(E$5:E297)-1)</x:f>
        <x:v>#NAME?</x:v>
      </x:c>
      <x:c r="H297" s="146" t="e">
        <x:f>IF(OR('实盘净值数据(iFinD公式)'!$A297="",'实盘净值数据(iFinD公式)'!$B297=""),"",分期持仓明细!$AD$19*SUMPRODUCT(分期持仓明细!$B$19:$AA$19,'实盘净值数据(iFinD公式)'!$B297:$AA297/'实盘净值数据(iFinD公式)'!$B$20:$AA$20)*(1-实盘持仓初始配置!$Z$6)^(('实盘净值数据(iFinD公式)'!$A297-'实盘净值数据(iFinD公式)'!$A$7)/365))</x:f>
        <x:v>#NAME?</x:v>
      </x:c>
      <x:c r="I297" s="152" t="e">
        <x:f>IF(OR(H296="",H297=""),"",H297/H296-1)</x:f>
        <x:v>#NAME?</x:v>
      </x:c>
      <x:c r="J297" s="152" t="e">
        <x:f>IF(H297="","",H297/MAX(H$5:H297)-1)</x:f>
        <x:v>#NAME?</x:v>
      </x:c>
      <x:c r="K297" s="146" t="e">
        <x:f>IF(OR('实盘净值数据(iFinD公式)'!$A297="",'实盘净值数据(iFinD公式)'!$B297=""),"",分期持仓明细!$AD$23*SUMPRODUCT(分期持仓明细!$B$23:$AA$23,'实盘净值数据(iFinD公式)'!$B297:$AA297/'实盘净值数据(iFinD公式)'!$B$65:$AA$65)*(1-实盘持仓初始配置!$Z$7)^(('实盘净值数据(iFinD公式)'!$A297-'实盘净值数据(iFinD公式)'!$A$8)/365))</x:f>
        <x:v>#NAME?</x:v>
      </x:c>
      <x:c r="L297" s="152" t="e">
        <x:f>IF(OR(K296="",K297=""),"",K297/K296-1)</x:f>
        <x:v>#NAME?</x:v>
      </x:c>
      <x:c r="M297" s="152" t="e">
        <x:f>IF(K297="","",K297/MAX(K$5:K297)-1)</x:f>
        <x:v>#NAME?</x:v>
      </x:c>
      <x:c r="N297" s="146" t="e">
        <x:f>IF(OR('实盘净值数据(iFinD公式)'!$A297="",'实盘净值数据(iFinD公式)'!$B297=""),"",分期持仓明细!$AD$24*SUMPRODUCT(分期持仓明细!$B$24:$AA$24,'实盘净值数据(iFinD公式)'!$B297:$AA297/'实盘净值数据(iFinD公式)'!$B$65:$AA$65)*(1-实盘持仓初始配置!$Z$8)^(('实盘净值数据(iFinD公式)'!$A297-'实盘净值数据(iFinD公式)'!$A$5)/365))</x:f>
        <x:v>#NAME?</x:v>
      </x:c>
      <x:c r="O297" s="152" t="e">
        <x:f>IF(OR(N296="",N297=""),"",N297/N296-1)</x:f>
        <x:v>#NAME?</x:v>
      </x:c>
      <x:c r="P297" s="152" t="e">
        <x:f>IF(N297="","",N297/MAX(N$5:N297)-1)</x:f>
        <x:v>#NAME?</x:v>
      </x:c>
      <x:c r="Q297" s="146" t="e">
        <x:f>IF(OR('实盘净值数据(iFinD公式)'!$A297="",'实盘净值数据(iFinD公式)'!$B297=""),"",分期持仓明细!$AD$25*SUMPRODUCT(分期持仓明细!$B$25:$AA$25,'实盘净值数据(iFinD公式)'!$B297:$AA297/'实盘净值数据(iFinD公式)'!$B$65:$AA$65)*(1-实盘持仓初始配置!$Z$9)^(('实盘净值数据(iFinD公式)'!$A297-'实盘净值数据(iFinD公式)'!$A$8)/365))</x:f>
        <x:v>#NAME?</x:v>
      </x:c>
      <x:c r="R297" s="152" t="e">
        <x:f>IF(OR(Q296="",Q297=""),"",Q297/Q296-1)</x:f>
        <x:v>#NAME?</x:v>
      </x:c>
      <x:c r="S297" s="152" t="e">
        <x:f>IF(Q297="","",Q297/MAX(Q$5:Q297)-1)</x:f>
        <x:v>#NAME?</x:v>
      </x:c>
    </x:row>
    <x:row r="298">
      <x:c r="A298" s="149" t="str">
        <x:f>IF('实盘净值数据(iFinD公式)'!A298="","",'实盘净值数据(iFinD公式)'!A298)</x:f>
      </x:c>
      <x:c r="B298" s="146" t="e">
        <x:f>IF(OR('实盘净值数据(iFinD公式)'!$A298="",'实盘净值数据(iFinD公式)'!$B298=""),"",分期持仓明细!$AD$17*SUMPRODUCT(分期持仓明细!$B$17:$AA$17,'实盘净值数据(iFinD公式)'!$B298:$AA298/'实盘净值数据(iFinD公式)'!$B$20:$AA$20)*(1-实盘持仓初始配置!$Z$4)^(('实盘净值数据(iFinD公式)'!$A298-'实盘净值数据(iFinD公式)'!$A$6)/365))</x:f>
        <x:v>#NAME?</x:v>
      </x:c>
      <x:c r="C298" s="152" t="e">
        <x:f>IF(OR(B297="",B298=""),"",B298/B297-1)</x:f>
        <x:v>#NAME?</x:v>
      </x:c>
      <x:c r="D298" s="152" t="e">
        <x:f>IF(B298="","",B298/MAX(B$5:B298)-1)</x:f>
        <x:v>#NAME?</x:v>
      </x:c>
      <x:c r="E298" s="146" t="e">
        <x:f>IF(OR('实盘净值数据(iFinD公式)'!$A298="",'实盘净值数据(iFinD公式)'!$B298=""),"",分期持仓明细!$AD$18*SUMPRODUCT(分期持仓明细!$B$18:$AA$18,'实盘净值数据(iFinD公式)'!$B298:$AA298/'实盘净值数据(iFinD公式)'!$B$20:$AA$20)*(1-实盘持仓初始配置!$Z$5)^(('实盘净值数据(iFinD公式)'!$A298-'实盘净值数据(iFinD公式)'!$A$5)/365))</x:f>
        <x:v>#NAME?</x:v>
      </x:c>
      <x:c r="F298" s="152" t="e">
        <x:f>IF(OR(E297="",E298=""),"",E298/E297-1)</x:f>
        <x:v>#NAME?</x:v>
      </x:c>
      <x:c r="G298" s="152" t="e">
        <x:f>IF(E298="","",E298/MAX(E$5:E298)-1)</x:f>
        <x:v>#NAME?</x:v>
      </x:c>
      <x:c r="H298" s="146" t="e">
        <x:f>IF(OR('实盘净值数据(iFinD公式)'!$A298="",'实盘净值数据(iFinD公式)'!$B298=""),"",分期持仓明细!$AD$19*SUMPRODUCT(分期持仓明细!$B$19:$AA$19,'实盘净值数据(iFinD公式)'!$B298:$AA298/'实盘净值数据(iFinD公式)'!$B$20:$AA$20)*(1-实盘持仓初始配置!$Z$6)^(('实盘净值数据(iFinD公式)'!$A298-'实盘净值数据(iFinD公式)'!$A$7)/365))</x:f>
        <x:v>#NAME?</x:v>
      </x:c>
      <x:c r="I298" s="152" t="e">
        <x:f>IF(OR(H297="",H298=""),"",H298/H297-1)</x:f>
        <x:v>#NAME?</x:v>
      </x:c>
      <x:c r="J298" s="152" t="e">
        <x:f>IF(H298="","",H298/MAX(H$5:H298)-1)</x:f>
        <x:v>#NAME?</x:v>
      </x:c>
      <x:c r="K298" s="146" t="e">
        <x:f>IF(OR('实盘净值数据(iFinD公式)'!$A298="",'实盘净值数据(iFinD公式)'!$B298=""),"",分期持仓明细!$AD$23*SUMPRODUCT(分期持仓明细!$B$23:$AA$23,'实盘净值数据(iFinD公式)'!$B298:$AA298/'实盘净值数据(iFinD公式)'!$B$65:$AA$65)*(1-实盘持仓初始配置!$Z$7)^(('实盘净值数据(iFinD公式)'!$A298-'实盘净值数据(iFinD公式)'!$A$8)/365))</x:f>
        <x:v>#NAME?</x:v>
      </x:c>
      <x:c r="L298" s="152" t="e">
        <x:f>IF(OR(K297="",K298=""),"",K298/K297-1)</x:f>
        <x:v>#NAME?</x:v>
      </x:c>
      <x:c r="M298" s="152" t="e">
        <x:f>IF(K298="","",K298/MAX(K$5:K298)-1)</x:f>
        <x:v>#NAME?</x:v>
      </x:c>
      <x:c r="N298" s="146" t="e">
        <x:f>IF(OR('实盘净值数据(iFinD公式)'!$A298="",'实盘净值数据(iFinD公式)'!$B298=""),"",分期持仓明细!$AD$24*SUMPRODUCT(分期持仓明细!$B$24:$AA$24,'实盘净值数据(iFinD公式)'!$B298:$AA298/'实盘净值数据(iFinD公式)'!$B$65:$AA$65)*(1-实盘持仓初始配置!$Z$8)^(('实盘净值数据(iFinD公式)'!$A298-'实盘净值数据(iFinD公式)'!$A$5)/365))</x:f>
        <x:v>#NAME?</x:v>
      </x:c>
      <x:c r="O298" s="152" t="e">
        <x:f>IF(OR(N297="",N298=""),"",N298/N297-1)</x:f>
        <x:v>#NAME?</x:v>
      </x:c>
      <x:c r="P298" s="152" t="e">
        <x:f>IF(N298="","",N298/MAX(N$5:N298)-1)</x:f>
        <x:v>#NAME?</x:v>
      </x:c>
      <x:c r="Q298" s="146" t="e">
        <x:f>IF(OR('实盘净值数据(iFinD公式)'!$A298="",'实盘净值数据(iFinD公式)'!$B298=""),"",分期持仓明细!$AD$25*SUMPRODUCT(分期持仓明细!$B$25:$AA$25,'实盘净值数据(iFinD公式)'!$B298:$AA298/'实盘净值数据(iFinD公式)'!$B$65:$AA$65)*(1-实盘持仓初始配置!$Z$9)^(('实盘净值数据(iFinD公式)'!$A298-'实盘净值数据(iFinD公式)'!$A$8)/365))</x:f>
        <x:v>#NAME?</x:v>
      </x:c>
      <x:c r="R298" s="152" t="e">
        <x:f>IF(OR(Q297="",Q298=""),"",Q298/Q297-1)</x:f>
        <x:v>#NAME?</x:v>
      </x:c>
      <x:c r="S298" s="152" t="e">
        <x:f>IF(Q298="","",Q298/MAX(Q$5:Q298)-1)</x:f>
        <x:v>#NAME?</x:v>
      </x:c>
    </x:row>
    <x:row r="299">
      <x:c r="A299" s="149" t="str">
        <x:f>IF('实盘净值数据(iFinD公式)'!A299="","",'实盘净值数据(iFinD公式)'!A299)</x:f>
      </x:c>
      <x:c r="B299" s="146" t="e">
        <x:f>IF(OR('实盘净值数据(iFinD公式)'!$A299="",'实盘净值数据(iFinD公式)'!$B299=""),"",分期持仓明细!$AD$17*SUMPRODUCT(分期持仓明细!$B$17:$AA$17,'实盘净值数据(iFinD公式)'!$B299:$AA299/'实盘净值数据(iFinD公式)'!$B$20:$AA$20)*(1-实盘持仓初始配置!$Z$4)^(('实盘净值数据(iFinD公式)'!$A299-'实盘净值数据(iFinD公式)'!$A$6)/365))</x:f>
        <x:v>#NAME?</x:v>
      </x:c>
      <x:c r="C299" s="152" t="e">
        <x:f>IF(OR(B298="",B299=""),"",B299/B298-1)</x:f>
        <x:v>#NAME?</x:v>
      </x:c>
      <x:c r="D299" s="152" t="e">
        <x:f>IF(B299="","",B299/MAX(B$5:B299)-1)</x:f>
        <x:v>#NAME?</x:v>
      </x:c>
      <x:c r="E299" s="146" t="e">
        <x:f>IF(OR('实盘净值数据(iFinD公式)'!$A299="",'实盘净值数据(iFinD公式)'!$B299=""),"",分期持仓明细!$AD$18*SUMPRODUCT(分期持仓明细!$B$18:$AA$18,'实盘净值数据(iFinD公式)'!$B299:$AA299/'实盘净值数据(iFinD公式)'!$B$20:$AA$20)*(1-实盘持仓初始配置!$Z$5)^(('实盘净值数据(iFinD公式)'!$A299-'实盘净值数据(iFinD公式)'!$A$5)/365))</x:f>
        <x:v>#NAME?</x:v>
      </x:c>
      <x:c r="F299" s="152" t="e">
        <x:f>IF(OR(E298="",E299=""),"",E299/E298-1)</x:f>
        <x:v>#NAME?</x:v>
      </x:c>
      <x:c r="G299" s="152" t="e">
        <x:f>IF(E299="","",E299/MAX(E$5:E299)-1)</x:f>
        <x:v>#NAME?</x:v>
      </x:c>
      <x:c r="H299" s="146" t="e">
        <x:f>IF(OR('实盘净值数据(iFinD公式)'!$A299="",'实盘净值数据(iFinD公式)'!$B299=""),"",分期持仓明细!$AD$19*SUMPRODUCT(分期持仓明细!$B$19:$AA$19,'实盘净值数据(iFinD公式)'!$B299:$AA299/'实盘净值数据(iFinD公式)'!$B$20:$AA$20)*(1-实盘持仓初始配置!$Z$6)^(('实盘净值数据(iFinD公式)'!$A299-'实盘净值数据(iFinD公式)'!$A$7)/365))</x:f>
        <x:v>#NAME?</x:v>
      </x:c>
      <x:c r="I299" s="152" t="e">
        <x:f>IF(OR(H298="",H299=""),"",H299/H298-1)</x:f>
        <x:v>#NAME?</x:v>
      </x:c>
      <x:c r="J299" s="152" t="e">
        <x:f>IF(H299="","",H299/MAX(H$5:H299)-1)</x:f>
        <x:v>#NAME?</x:v>
      </x:c>
      <x:c r="K299" s="146" t="e">
        <x:f>IF(OR('实盘净值数据(iFinD公式)'!$A299="",'实盘净值数据(iFinD公式)'!$B299=""),"",分期持仓明细!$AD$23*SUMPRODUCT(分期持仓明细!$B$23:$AA$23,'实盘净值数据(iFinD公式)'!$B299:$AA299/'实盘净值数据(iFinD公式)'!$B$65:$AA$65)*(1-实盘持仓初始配置!$Z$7)^(('实盘净值数据(iFinD公式)'!$A299-'实盘净值数据(iFinD公式)'!$A$8)/365))</x:f>
        <x:v>#NAME?</x:v>
      </x:c>
      <x:c r="L299" s="152" t="e">
        <x:f>IF(OR(K298="",K299=""),"",K299/K298-1)</x:f>
        <x:v>#NAME?</x:v>
      </x:c>
      <x:c r="M299" s="152" t="e">
        <x:f>IF(K299="","",K299/MAX(K$5:K299)-1)</x:f>
        <x:v>#NAME?</x:v>
      </x:c>
      <x:c r="N299" s="146" t="e">
        <x:f>IF(OR('实盘净值数据(iFinD公式)'!$A299="",'实盘净值数据(iFinD公式)'!$B299=""),"",分期持仓明细!$AD$24*SUMPRODUCT(分期持仓明细!$B$24:$AA$24,'实盘净值数据(iFinD公式)'!$B299:$AA299/'实盘净值数据(iFinD公式)'!$B$65:$AA$65)*(1-实盘持仓初始配置!$Z$8)^(('实盘净值数据(iFinD公式)'!$A299-'实盘净值数据(iFinD公式)'!$A$5)/365))</x:f>
        <x:v>#NAME?</x:v>
      </x:c>
      <x:c r="O299" s="152" t="e">
        <x:f>IF(OR(N298="",N299=""),"",N299/N298-1)</x:f>
        <x:v>#NAME?</x:v>
      </x:c>
      <x:c r="P299" s="152" t="e">
        <x:f>IF(N299="","",N299/MAX(N$5:N299)-1)</x:f>
        <x:v>#NAME?</x:v>
      </x:c>
      <x:c r="Q299" s="146" t="e">
        <x:f>IF(OR('实盘净值数据(iFinD公式)'!$A299="",'实盘净值数据(iFinD公式)'!$B299=""),"",分期持仓明细!$AD$25*SUMPRODUCT(分期持仓明细!$B$25:$AA$25,'实盘净值数据(iFinD公式)'!$B299:$AA299/'实盘净值数据(iFinD公式)'!$B$65:$AA$65)*(1-实盘持仓初始配置!$Z$9)^(('实盘净值数据(iFinD公式)'!$A299-'实盘净值数据(iFinD公式)'!$A$8)/365))</x:f>
        <x:v>#NAME?</x:v>
      </x:c>
      <x:c r="R299" s="152" t="e">
        <x:f>IF(OR(Q298="",Q299=""),"",Q299/Q298-1)</x:f>
        <x:v>#NAME?</x:v>
      </x:c>
      <x:c r="S299" s="152" t="e">
        <x:f>IF(Q299="","",Q299/MAX(Q$5:Q299)-1)</x:f>
        <x:v>#NAME?</x:v>
      </x:c>
    </x:row>
    <x:row r="300">
      <x:c r="A300" s="149" t="str">
        <x:f>IF('实盘净值数据(iFinD公式)'!A300="","",'实盘净值数据(iFinD公式)'!A300)</x:f>
      </x:c>
      <x:c r="B300" s="146" t="e">
        <x:f>IF(OR('实盘净值数据(iFinD公式)'!$A300="",'实盘净值数据(iFinD公式)'!$B300=""),"",分期持仓明细!$AD$17*SUMPRODUCT(分期持仓明细!$B$17:$AA$17,'实盘净值数据(iFinD公式)'!$B300:$AA300/'实盘净值数据(iFinD公式)'!$B$20:$AA$20)*(1-实盘持仓初始配置!$Z$4)^(('实盘净值数据(iFinD公式)'!$A300-'实盘净值数据(iFinD公式)'!$A$6)/365))</x:f>
        <x:v>#NAME?</x:v>
      </x:c>
      <x:c r="C300" s="152" t="e">
        <x:f>IF(OR(B299="",B300=""),"",B300/B299-1)</x:f>
        <x:v>#NAME?</x:v>
      </x:c>
      <x:c r="D300" s="152" t="e">
        <x:f>IF(B300="","",B300/MAX(B$5:B300)-1)</x:f>
        <x:v>#NAME?</x:v>
      </x:c>
      <x:c r="E300" s="146" t="e">
        <x:f>IF(OR('实盘净值数据(iFinD公式)'!$A300="",'实盘净值数据(iFinD公式)'!$B300=""),"",分期持仓明细!$AD$18*SUMPRODUCT(分期持仓明细!$B$18:$AA$18,'实盘净值数据(iFinD公式)'!$B300:$AA300/'实盘净值数据(iFinD公式)'!$B$20:$AA$20)*(1-实盘持仓初始配置!$Z$5)^(('实盘净值数据(iFinD公式)'!$A300-'实盘净值数据(iFinD公式)'!$A$5)/365))</x:f>
        <x:v>#NAME?</x:v>
      </x:c>
      <x:c r="F300" s="152" t="e">
        <x:f>IF(OR(E299="",E300=""),"",E300/E299-1)</x:f>
        <x:v>#NAME?</x:v>
      </x:c>
      <x:c r="G300" s="152" t="e">
        <x:f>IF(E300="","",E300/MAX(E$5:E300)-1)</x:f>
        <x:v>#NAME?</x:v>
      </x:c>
      <x:c r="H300" s="146" t="e">
        <x:f>IF(OR('实盘净值数据(iFinD公式)'!$A300="",'实盘净值数据(iFinD公式)'!$B300=""),"",分期持仓明细!$AD$19*SUMPRODUCT(分期持仓明细!$B$19:$AA$19,'实盘净值数据(iFinD公式)'!$B300:$AA300/'实盘净值数据(iFinD公式)'!$B$20:$AA$20)*(1-实盘持仓初始配置!$Z$6)^(('实盘净值数据(iFinD公式)'!$A300-'实盘净值数据(iFinD公式)'!$A$7)/365))</x:f>
        <x:v>#NAME?</x:v>
      </x:c>
      <x:c r="I300" s="152" t="e">
        <x:f>IF(OR(H299="",H300=""),"",H300/H299-1)</x:f>
        <x:v>#NAME?</x:v>
      </x:c>
      <x:c r="J300" s="152" t="e">
        <x:f>IF(H300="","",H300/MAX(H$5:H300)-1)</x:f>
        <x:v>#NAME?</x:v>
      </x:c>
      <x:c r="K300" s="146" t="e">
        <x:f>IF(OR('实盘净值数据(iFinD公式)'!$A300="",'实盘净值数据(iFinD公式)'!$B300=""),"",分期持仓明细!$AD$23*SUMPRODUCT(分期持仓明细!$B$23:$AA$23,'实盘净值数据(iFinD公式)'!$B300:$AA300/'实盘净值数据(iFinD公式)'!$B$65:$AA$65)*(1-实盘持仓初始配置!$Z$7)^(('实盘净值数据(iFinD公式)'!$A300-'实盘净值数据(iFinD公式)'!$A$8)/365))</x:f>
        <x:v>#NAME?</x:v>
      </x:c>
      <x:c r="L300" s="152" t="e">
        <x:f>IF(OR(K299="",K300=""),"",K300/K299-1)</x:f>
        <x:v>#NAME?</x:v>
      </x:c>
      <x:c r="M300" s="152" t="e">
        <x:f>IF(K300="","",K300/MAX(K$5:K300)-1)</x:f>
        <x:v>#NAME?</x:v>
      </x:c>
      <x:c r="N300" s="146" t="e">
        <x:f>IF(OR('实盘净值数据(iFinD公式)'!$A300="",'实盘净值数据(iFinD公式)'!$B300=""),"",分期持仓明细!$AD$24*SUMPRODUCT(分期持仓明细!$B$24:$AA$24,'实盘净值数据(iFinD公式)'!$B300:$AA300/'实盘净值数据(iFinD公式)'!$B$65:$AA$65)*(1-实盘持仓初始配置!$Z$8)^(('实盘净值数据(iFinD公式)'!$A300-'实盘净值数据(iFinD公式)'!$A$5)/365))</x:f>
        <x:v>#NAME?</x:v>
      </x:c>
      <x:c r="O300" s="152" t="e">
        <x:f>IF(OR(N299="",N300=""),"",N300/N299-1)</x:f>
        <x:v>#NAME?</x:v>
      </x:c>
      <x:c r="P300" s="152" t="e">
        <x:f>IF(N300="","",N300/MAX(N$5:N300)-1)</x:f>
        <x:v>#NAME?</x:v>
      </x:c>
      <x:c r="Q300" s="146" t="e">
        <x:f>IF(OR('实盘净值数据(iFinD公式)'!$A300="",'实盘净值数据(iFinD公式)'!$B300=""),"",分期持仓明细!$AD$25*SUMPRODUCT(分期持仓明细!$B$25:$AA$25,'实盘净值数据(iFinD公式)'!$B300:$AA300/'实盘净值数据(iFinD公式)'!$B$65:$AA$65)*(1-实盘持仓初始配置!$Z$9)^(('实盘净值数据(iFinD公式)'!$A300-'实盘净值数据(iFinD公式)'!$A$8)/365))</x:f>
        <x:v>#NAME?</x:v>
      </x:c>
      <x:c r="R300" s="152" t="e">
        <x:f>IF(OR(Q299="",Q300=""),"",Q300/Q299-1)</x:f>
        <x:v>#NAME?</x:v>
      </x:c>
      <x:c r="S300" s="152" t="e">
        <x:f>IF(Q300="","",Q300/MAX(Q$5:Q300)-1)</x:f>
        <x:v>#NAME?</x:v>
      </x:c>
    </x:row>
    <x:row r="301">
      <x:c r="A301" s="149" t="str">
        <x:f>IF('实盘净值数据(iFinD公式)'!A301="","",'实盘净值数据(iFinD公式)'!A301)</x:f>
      </x:c>
      <x:c r="B301" s="146" t="e">
        <x:f>IF(OR('实盘净值数据(iFinD公式)'!$A301="",'实盘净值数据(iFinD公式)'!$B301=""),"",分期持仓明细!$AD$17*SUMPRODUCT(分期持仓明细!$B$17:$AA$17,'实盘净值数据(iFinD公式)'!$B301:$AA301/'实盘净值数据(iFinD公式)'!$B$20:$AA$20)*(1-实盘持仓初始配置!$Z$4)^(('实盘净值数据(iFinD公式)'!$A301-'实盘净值数据(iFinD公式)'!$A$6)/365))</x:f>
        <x:v>#NAME?</x:v>
      </x:c>
      <x:c r="C301" s="152" t="e">
        <x:f>IF(OR(B300="",B301=""),"",B301/B300-1)</x:f>
        <x:v>#NAME?</x:v>
      </x:c>
      <x:c r="D301" s="152" t="e">
        <x:f>IF(B301="","",B301/MAX(B$5:B301)-1)</x:f>
        <x:v>#NAME?</x:v>
      </x:c>
      <x:c r="E301" s="146" t="e">
        <x:f>IF(OR('实盘净值数据(iFinD公式)'!$A301="",'实盘净值数据(iFinD公式)'!$B301=""),"",分期持仓明细!$AD$18*SUMPRODUCT(分期持仓明细!$B$18:$AA$18,'实盘净值数据(iFinD公式)'!$B301:$AA301/'实盘净值数据(iFinD公式)'!$B$20:$AA$20)*(1-实盘持仓初始配置!$Z$5)^(('实盘净值数据(iFinD公式)'!$A301-'实盘净值数据(iFinD公式)'!$A$5)/365))</x:f>
        <x:v>#NAME?</x:v>
      </x:c>
      <x:c r="F301" s="152" t="e">
        <x:f>IF(OR(E300="",E301=""),"",E301/E300-1)</x:f>
        <x:v>#NAME?</x:v>
      </x:c>
      <x:c r="G301" s="152" t="e">
        <x:f>IF(E301="","",E301/MAX(E$5:E301)-1)</x:f>
        <x:v>#NAME?</x:v>
      </x:c>
      <x:c r="H301" s="146" t="e">
        <x:f>IF(OR('实盘净值数据(iFinD公式)'!$A301="",'实盘净值数据(iFinD公式)'!$B301=""),"",分期持仓明细!$AD$19*SUMPRODUCT(分期持仓明细!$B$19:$AA$19,'实盘净值数据(iFinD公式)'!$B301:$AA301/'实盘净值数据(iFinD公式)'!$B$20:$AA$20)*(1-实盘持仓初始配置!$Z$6)^(('实盘净值数据(iFinD公式)'!$A301-'实盘净值数据(iFinD公式)'!$A$7)/365))</x:f>
        <x:v>#NAME?</x:v>
      </x:c>
      <x:c r="I301" s="152" t="e">
        <x:f>IF(OR(H300="",H301=""),"",H301/H300-1)</x:f>
        <x:v>#NAME?</x:v>
      </x:c>
      <x:c r="J301" s="152" t="e">
        <x:f>IF(H301="","",H301/MAX(H$5:H301)-1)</x:f>
        <x:v>#NAME?</x:v>
      </x:c>
      <x:c r="K301" s="146" t="e">
        <x:f>IF(OR('实盘净值数据(iFinD公式)'!$A301="",'实盘净值数据(iFinD公式)'!$B301=""),"",分期持仓明细!$AD$23*SUMPRODUCT(分期持仓明细!$B$23:$AA$23,'实盘净值数据(iFinD公式)'!$B301:$AA301/'实盘净值数据(iFinD公式)'!$B$65:$AA$65)*(1-实盘持仓初始配置!$Z$7)^(('实盘净值数据(iFinD公式)'!$A301-'实盘净值数据(iFinD公式)'!$A$8)/365))</x:f>
        <x:v>#NAME?</x:v>
      </x:c>
      <x:c r="L301" s="152" t="e">
        <x:f>IF(OR(K300="",K301=""),"",K301/K300-1)</x:f>
        <x:v>#NAME?</x:v>
      </x:c>
      <x:c r="M301" s="152" t="e">
        <x:f>IF(K301="","",K301/MAX(K$5:K301)-1)</x:f>
        <x:v>#NAME?</x:v>
      </x:c>
      <x:c r="N301" s="146" t="e">
        <x:f>IF(OR('实盘净值数据(iFinD公式)'!$A301="",'实盘净值数据(iFinD公式)'!$B301=""),"",分期持仓明细!$AD$24*SUMPRODUCT(分期持仓明细!$B$24:$AA$24,'实盘净值数据(iFinD公式)'!$B301:$AA301/'实盘净值数据(iFinD公式)'!$B$65:$AA$65)*(1-实盘持仓初始配置!$Z$8)^(('实盘净值数据(iFinD公式)'!$A301-'实盘净值数据(iFinD公式)'!$A$5)/365))</x:f>
        <x:v>#NAME?</x:v>
      </x:c>
      <x:c r="O301" s="152" t="e">
        <x:f>IF(OR(N300="",N301=""),"",N301/N300-1)</x:f>
        <x:v>#NAME?</x:v>
      </x:c>
      <x:c r="P301" s="152" t="e">
        <x:f>IF(N301="","",N301/MAX(N$5:N301)-1)</x:f>
        <x:v>#NAME?</x:v>
      </x:c>
      <x:c r="Q301" s="146" t="e">
        <x:f>IF(OR('实盘净值数据(iFinD公式)'!$A301="",'实盘净值数据(iFinD公式)'!$B301=""),"",分期持仓明细!$AD$25*SUMPRODUCT(分期持仓明细!$B$25:$AA$25,'实盘净值数据(iFinD公式)'!$B301:$AA301/'实盘净值数据(iFinD公式)'!$B$65:$AA$65)*(1-实盘持仓初始配置!$Z$9)^(('实盘净值数据(iFinD公式)'!$A301-'实盘净值数据(iFinD公式)'!$A$8)/365))</x:f>
        <x:v>#NAME?</x:v>
      </x:c>
      <x:c r="R301" s="152" t="e">
        <x:f>IF(OR(Q300="",Q301=""),"",Q301/Q300-1)</x:f>
        <x:v>#NAME?</x:v>
      </x:c>
      <x:c r="S301" s="152" t="e">
        <x:f>IF(Q301="","",Q301/MAX(Q$5:Q301)-1)</x:f>
        <x:v>#NAME?</x:v>
      </x:c>
    </x:row>
    <x:row r="302">
      <x:c r="A302" s="149" t="str">
        <x:f>IF('实盘净值数据(iFinD公式)'!A302="","",'实盘净值数据(iFinD公式)'!A302)</x:f>
      </x:c>
      <x:c r="B302" s="146" t="e">
        <x:f>IF(OR('实盘净值数据(iFinD公式)'!$A302="",'实盘净值数据(iFinD公式)'!$B302=""),"",分期持仓明细!$AD$17*SUMPRODUCT(分期持仓明细!$B$17:$AA$17,'实盘净值数据(iFinD公式)'!$B302:$AA302/'实盘净值数据(iFinD公式)'!$B$20:$AA$20)*(1-实盘持仓初始配置!$Z$4)^(('实盘净值数据(iFinD公式)'!$A302-'实盘净值数据(iFinD公式)'!$A$6)/365))</x:f>
        <x:v>#NAME?</x:v>
      </x:c>
      <x:c r="C302" s="152" t="e">
        <x:f>IF(OR(B301="",B302=""),"",B302/B301-1)</x:f>
        <x:v>#NAME?</x:v>
      </x:c>
      <x:c r="D302" s="152" t="e">
        <x:f>IF(B302="","",B302/MAX(B$5:B302)-1)</x:f>
        <x:v>#NAME?</x:v>
      </x:c>
      <x:c r="E302" s="146" t="e">
        <x:f>IF(OR('实盘净值数据(iFinD公式)'!$A302="",'实盘净值数据(iFinD公式)'!$B302=""),"",分期持仓明细!$AD$18*SUMPRODUCT(分期持仓明细!$B$18:$AA$18,'实盘净值数据(iFinD公式)'!$B302:$AA302/'实盘净值数据(iFinD公式)'!$B$20:$AA$20)*(1-实盘持仓初始配置!$Z$5)^(('实盘净值数据(iFinD公式)'!$A302-'实盘净值数据(iFinD公式)'!$A$5)/365))</x:f>
        <x:v>#NAME?</x:v>
      </x:c>
      <x:c r="F302" s="152" t="e">
        <x:f>IF(OR(E301="",E302=""),"",E302/E301-1)</x:f>
        <x:v>#NAME?</x:v>
      </x:c>
      <x:c r="G302" s="152" t="e">
        <x:f>IF(E302="","",E302/MAX(E$5:E302)-1)</x:f>
        <x:v>#NAME?</x:v>
      </x:c>
      <x:c r="H302" s="146" t="e">
        <x:f>IF(OR('实盘净值数据(iFinD公式)'!$A302="",'实盘净值数据(iFinD公式)'!$B302=""),"",分期持仓明细!$AD$19*SUMPRODUCT(分期持仓明细!$B$19:$AA$19,'实盘净值数据(iFinD公式)'!$B302:$AA302/'实盘净值数据(iFinD公式)'!$B$20:$AA$20)*(1-实盘持仓初始配置!$Z$6)^(('实盘净值数据(iFinD公式)'!$A302-'实盘净值数据(iFinD公式)'!$A$7)/365))</x:f>
        <x:v>#NAME?</x:v>
      </x:c>
      <x:c r="I302" s="152" t="e">
        <x:f>IF(OR(H301="",H302=""),"",H302/H301-1)</x:f>
        <x:v>#NAME?</x:v>
      </x:c>
      <x:c r="J302" s="152" t="e">
        <x:f>IF(H302="","",H302/MAX(H$5:H302)-1)</x:f>
        <x:v>#NAME?</x:v>
      </x:c>
      <x:c r="K302" s="146" t="e">
        <x:f>IF(OR('实盘净值数据(iFinD公式)'!$A302="",'实盘净值数据(iFinD公式)'!$B302=""),"",分期持仓明细!$AD$23*SUMPRODUCT(分期持仓明细!$B$23:$AA$23,'实盘净值数据(iFinD公式)'!$B302:$AA302/'实盘净值数据(iFinD公式)'!$B$65:$AA$65)*(1-实盘持仓初始配置!$Z$7)^(('实盘净值数据(iFinD公式)'!$A302-'实盘净值数据(iFinD公式)'!$A$8)/365))</x:f>
        <x:v>#NAME?</x:v>
      </x:c>
      <x:c r="L302" s="152" t="e">
        <x:f>IF(OR(K301="",K302=""),"",K302/K301-1)</x:f>
        <x:v>#NAME?</x:v>
      </x:c>
      <x:c r="M302" s="152" t="e">
        <x:f>IF(K302="","",K302/MAX(K$5:K302)-1)</x:f>
        <x:v>#NAME?</x:v>
      </x:c>
      <x:c r="N302" s="146" t="e">
        <x:f>IF(OR('实盘净值数据(iFinD公式)'!$A302="",'实盘净值数据(iFinD公式)'!$B302=""),"",分期持仓明细!$AD$24*SUMPRODUCT(分期持仓明细!$B$24:$AA$24,'实盘净值数据(iFinD公式)'!$B302:$AA302/'实盘净值数据(iFinD公式)'!$B$65:$AA$65)*(1-实盘持仓初始配置!$Z$8)^(('实盘净值数据(iFinD公式)'!$A302-'实盘净值数据(iFinD公式)'!$A$5)/365))</x:f>
        <x:v>#NAME?</x:v>
      </x:c>
      <x:c r="O302" s="152" t="e">
        <x:f>IF(OR(N301="",N302=""),"",N302/N301-1)</x:f>
        <x:v>#NAME?</x:v>
      </x:c>
      <x:c r="P302" s="152" t="e">
        <x:f>IF(N302="","",N302/MAX(N$5:N302)-1)</x:f>
        <x:v>#NAME?</x:v>
      </x:c>
      <x:c r="Q302" s="146" t="e">
        <x:f>IF(OR('实盘净值数据(iFinD公式)'!$A302="",'实盘净值数据(iFinD公式)'!$B302=""),"",分期持仓明细!$AD$25*SUMPRODUCT(分期持仓明细!$B$25:$AA$25,'实盘净值数据(iFinD公式)'!$B302:$AA302/'实盘净值数据(iFinD公式)'!$B$65:$AA$65)*(1-实盘持仓初始配置!$Z$9)^(('实盘净值数据(iFinD公式)'!$A302-'实盘净值数据(iFinD公式)'!$A$8)/365))</x:f>
        <x:v>#NAME?</x:v>
      </x:c>
      <x:c r="R302" s="152" t="e">
        <x:f>IF(OR(Q301="",Q302=""),"",Q302/Q301-1)</x:f>
        <x:v>#NAME?</x:v>
      </x:c>
      <x:c r="S302" s="152" t="e">
        <x:f>IF(Q302="","",Q302/MAX(Q$5:Q302)-1)</x:f>
        <x:v>#NAME?</x:v>
      </x:c>
    </x:row>
    <x:row r="303">
      <x:c r="A303" s="149" t="str">
        <x:f>IF('实盘净值数据(iFinD公式)'!A303="","",'实盘净值数据(iFinD公式)'!A303)</x:f>
      </x:c>
      <x:c r="B303" s="146" t="e">
        <x:f>IF(OR('实盘净值数据(iFinD公式)'!$A303="",'实盘净值数据(iFinD公式)'!$B303=""),"",分期持仓明细!$AD$17*SUMPRODUCT(分期持仓明细!$B$17:$AA$17,'实盘净值数据(iFinD公式)'!$B303:$AA303/'实盘净值数据(iFinD公式)'!$B$20:$AA$20)*(1-实盘持仓初始配置!$Z$4)^(('实盘净值数据(iFinD公式)'!$A303-'实盘净值数据(iFinD公式)'!$A$6)/365))</x:f>
        <x:v>#NAME?</x:v>
      </x:c>
      <x:c r="C303" s="152" t="e">
        <x:f>IF(OR(B302="",B303=""),"",B303/B302-1)</x:f>
        <x:v>#NAME?</x:v>
      </x:c>
      <x:c r="D303" s="152" t="e">
        <x:f>IF(B303="","",B303/MAX(B$5:B303)-1)</x:f>
        <x:v>#NAME?</x:v>
      </x:c>
      <x:c r="E303" s="146" t="e">
        <x:f>IF(OR('实盘净值数据(iFinD公式)'!$A303="",'实盘净值数据(iFinD公式)'!$B303=""),"",分期持仓明细!$AD$18*SUMPRODUCT(分期持仓明细!$B$18:$AA$18,'实盘净值数据(iFinD公式)'!$B303:$AA303/'实盘净值数据(iFinD公式)'!$B$20:$AA$20)*(1-实盘持仓初始配置!$Z$5)^(('实盘净值数据(iFinD公式)'!$A303-'实盘净值数据(iFinD公式)'!$A$5)/365))</x:f>
        <x:v>#NAME?</x:v>
      </x:c>
      <x:c r="F303" s="152" t="e">
        <x:f>IF(OR(E302="",E303=""),"",E303/E302-1)</x:f>
        <x:v>#NAME?</x:v>
      </x:c>
      <x:c r="G303" s="152" t="e">
        <x:f>IF(E303="","",E303/MAX(E$5:E303)-1)</x:f>
        <x:v>#NAME?</x:v>
      </x:c>
      <x:c r="H303" s="146" t="e">
        <x:f>IF(OR('实盘净值数据(iFinD公式)'!$A303="",'实盘净值数据(iFinD公式)'!$B303=""),"",分期持仓明细!$AD$19*SUMPRODUCT(分期持仓明细!$B$19:$AA$19,'实盘净值数据(iFinD公式)'!$B303:$AA303/'实盘净值数据(iFinD公式)'!$B$20:$AA$20)*(1-实盘持仓初始配置!$Z$6)^(('实盘净值数据(iFinD公式)'!$A303-'实盘净值数据(iFinD公式)'!$A$7)/365))</x:f>
        <x:v>#NAME?</x:v>
      </x:c>
      <x:c r="I303" s="152" t="e">
        <x:f>IF(OR(H302="",H303=""),"",H303/H302-1)</x:f>
        <x:v>#NAME?</x:v>
      </x:c>
      <x:c r="J303" s="152" t="e">
        <x:f>IF(H303="","",H303/MAX(H$5:H303)-1)</x:f>
        <x:v>#NAME?</x:v>
      </x:c>
      <x:c r="K303" s="146" t="e">
        <x:f>IF(OR('实盘净值数据(iFinD公式)'!$A303="",'实盘净值数据(iFinD公式)'!$B303=""),"",分期持仓明细!$AD$23*SUMPRODUCT(分期持仓明细!$B$23:$AA$23,'实盘净值数据(iFinD公式)'!$B303:$AA303/'实盘净值数据(iFinD公式)'!$B$65:$AA$65)*(1-实盘持仓初始配置!$Z$7)^(('实盘净值数据(iFinD公式)'!$A303-'实盘净值数据(iFinD公式)'!$A$8)/365))</x:f>
        <x:v>#NAME?</x:v>
      </x:c>
      <x:c r="L303" s="152" t="e">
        <x:f>IF(OR(K302="",K303=""),"",K303/K302-1)</x:f>
        <x:v>#NAME?</x:v>
      </x:c>
      <x:c r="M303" s="152" t="e">
        <x:f>IF(K303="","",K303/MAX(K$5:K303)-1)</x:f>
        <x:v>#NAME?</x:v>
      </x:c>
      <x:c r="N303" s="146" t="e">
        <x:f>IF(OR('实盘净值数据(iFinD公式)'!$A303="",'实盘净值数据(iFinD公式)'!$B303=""),"",分期持仓明细!$AD$24*SUMPRODUCT(分期持仓明细!$B$24:$AA$24,'实盘净值数据(iFinD公式)'!$B303:$AA303/'实盘净值数据(iFinD公式)'!$B$65:$AA$65)*(1-实盘持仓初始配置!$Z$8)^(('实盘净值数据(iFinD公式)'!$A303-'实盘净值数据(iFinD公式)'!$A$5)/365))</x:f>
        <x:v>#NAME?</x:v>
      </x:c>
      <x:c r="O303" s="152" t="e">
        <x:f>IF(OR(N302="",N303=""),"",N303/N302-1)</x:f>
        <x:v>#NAME?</x:v>
      </x:c>
      <x:c r="P303" s="152" t="e">
        <x:f>IF(N303="","",N303/MAX(N$5:N303)-1)</x:f>
        <x:v>#NAME?</x:v>
      </x:c>
      <x:c r="Q303" s="146" t="e">
        <x:f>IF(OR('实盘净值数据(iFinD公式)'!$A303="",'实盘净值数据(iFinD公式)'!$B303=""),"",分期持仓明细!$AD$25*SUMPRODUCT(分期持仓明细!$B$25:$AA$25,'实盘净值数据(iFinD公式)'!$B303:$AA303/'实盘净值数据(iFinD公式)'!$B$65:$AA$65)*(1-实盘持仓初始配置!$Z$9)^(('实盘净值数据(iFinD公式)'!$A303-'实盘净值数据(iFinD公式)'!$A$8)/365))</x:f>
        <x:v>#NAME?</x:v>
      </x:c>
      <x:c r="R303" s="152" t="e">
        <x:f>IF(OR(Q302="",Q303=""),"",Q303/Q302-1)</x:f>
        <x:v>#NAME?</x:v>
      </x:c>
      <x:c r="S303" s="152" t="e">
        <x:f>IF(Q303="","",Q303/MAX(Q$5:Q303)-1)</x:f>
        <x:v>#NAME?</x:v>
      </x:c>
    </x:row>
    <x:row r="304">
      <x:c r="A304" s="149" t="str">
        <x:f>IF('实盘净值数据(iFinD公式)'!A304="","",'实盘净值数据(iFinD公式)'!A304)</x:f>
      </x:c>
      <x:c r="B304" s="146" t="e">
        <x:f>IF(OR('实盘净值数据(iFinD公式)'!$A304="",'实盘净值数据(iFinD公式)'!$B304=""),"",分期持仓明细!$AD$17*SUMPRODUCT(分期持仓明细!$B$17:$AA$17,'实盘净值数据(iFinD公式)'!$B304:$AA304/'实盘净值数据(iFinD公式)'!$B$20:$AA$20)*(1-实盘持仓初始配置!$Z$4)^(('实盘净值数据(iFinD公式)'!$A304-'实盘净值数据(iFinD公式)'!$A$6)/365))</x:f>
        <x:v>#NAME?</x:v>
      </x:c>
      <x:c r="C304" s="152" t="e">
        <x:f>IF(OR(B303="",B304=""),"",B304/B303-1)</x:f>
        <x:v>#NAME?</x:v>
      </x:c>
      <x:c r="D304" s="152" t="e">
        <x:f>IF(B304="","",B304/MAX(B$5:B304)-1)</x:f>
        <x:v>#NAME?</x:v>
      </x:c>
      <x:c r="E304" s="146" t="e">
        <x:f>IF(OR('实盘净值数据(iFinD公式)'!$A304="",'实盘净值数据(iFinD公式)'!$B304=""),"",分期持仓明细!$AD$18*SUMPRODUCT(分期持仓明细!$B$18:$AA$18,'实盘净值数据(iFinD公式)'!$B304:$AA304/'实盘净值数据(iFinD公式)'!$B$20:$AA$20)*(1-实盘持仓初始配置!$Z$5)^(('实盘净值数据(iFinD公式)'!$A304-'实盘净值数据(iFinD公式)'!$A$5)/365))</x:f>
        <x:v>#NAME?</x:v>
      </x:c>
      <x:c r="F304" s="152" t="e">
        <x:f>IF(OR(E303="",E304=""),"",E304/E303-1)</x:f>
        <x:v>#NAME?</x:v>
      </x:c>
      <x:c r="G304" s="152" t="e">
        <x:f>IF(E304="","",E304/MAX(E$5:E304)-1)</x:f>
        <x:v>#NAME?</x:v>
      </x:c>
      <x:c r="H304" s="146" t="e">
        <x:f>IF(OR('实盘净值数据(iFinD公式)'!$A304="",'实盘净值数据(iFinD公式)'!$B304=""),"",分期持仓明细!$AD$19*SUMPRODUCT(分期持仓明细!$B$19:$AA$19,'实盘净值数据(iFinD公式)'!$B304:$AA304/'实盘净值数据(iFinD公式)'!$B$20:$AA$20)*(1-实盘持仓初始配置!$Z$6)^(('实盘净值数据(iFinD公式)'!$A304-'实盘净值数据(iFinD公式)'!$A$7)/365))</x:f>
        <x:v>#NAME?</x:v>
      </x:c>
      <x:c r="I304" s="152" t="e">
        <x:f>IF(OR(H303="",H304=""),"",H304/H303-1)</x:f>
        <x:v>#NAME?</x:v>
      </x:c>
      <x:c r="J304" s="152" t="e">
        <x:f>IF(H304="","",H304/MAX(H$5:H304)-1)</x:f>
        <x:v>#NAME?</x:v>
      </x:c>
      <x:c r="K304" s="146" t="e">
        <x:f>IF(OR('实盘净值数据(iFinD公式)'!$A304="",'实盘净值数据(iFinD公式)'!$B304=""),"",分期持仓明细!$AD$23*SUMPRODUCT(分期持仓明细!$B$23:$AA$23,'实盘净值数据(iFinD公式)'!$B304:$AA304/'实盘净值数据(iFinD公式)'!$B$65:$AA$65)*(1-实盘持仓初始配置!$Z$7)^(('实盘净值数据(iFinD公式)'!$A304-'实盘净值数据(iFinD公式)'!$A$8)/365))</x:f>
        <x:v>#NAME?</x:v>
      </x:c>
      <x:c r="L304" s="152" t="e">
        <x:f>IF(OR(K303="",K304=""),"",K304/K303-1)</x:f>
        <x:v>#NAME?</x:v>
      </x:c>
      <x:c r="M304" s="152" t="e">
        <x:f>IF(K304="","",K304/MAX(K$5:K304)-1)</x:f>
        <x:v>#NAME?</x:v>
      </x:c>
      <x:c r="N304" s="146" t="e">
        <x:f>IF(OR('实盘净值数据(iFinD公式)'!$A304="",'实盘净值数据(iFinD公式)'!$B304=""),"",分期持仓明细!$AD$24*SUMPRODUCT(分期持仓明细!$B$24:$AA$24,'实盘净值数据(iFinD公式)'!$B304:$AA304/'实盘净值数据(iFinD公式)'!$B$65:$AA$65)*(1-实盘持仓初始配置!$Z$8)^(('实盘净值数据(iFinD公式)'!$A304-'实盘净值数据(iFinD公式)'!$A$5)/365))</x:f>
        <x:v>#NAME?</x:v>
      </x:c>
      <x:c r="O304" s="152" t="e">
        <x:f>IF(OR(N303="",N304=""),"",N304/N303-1)</x:f>
        <x:v>#NAME?</x:v>
      </x:c>
      <x:c r="P304" s="152" t="e">
        <x:f>IF(N304="","",N304/MAX(N$5:N304)-1)</x:f>
        <x:v>#NAME?</x:v>
      </x:c>
      <x:c r="Q304" s="146" t="e">
        <x:f>IF(OR('实盘净值数据(iFinD公式)'!$A304="",'实盘净值数据(iFinD公式)'!$B304=""),"",分期持仓明细!$AD$25*SUMPRODUCT(分期持仓明细!$B$25:$AA$25,'实盘净值数据(iFinD公式)'!$B304:$AA304/'实盘净值数据(iFinD公式)'!$B$65:$AA$65)*(1-实盘持仓初始配置!$Z$9)^(('实盘净值数据(iFinD公式)'!$A304-'实盘净值数据(iFinD公式)'!$A$8)/365))</x:f>
        <x:v>#NAME?</x:v>
      </x:c>
      <x:c r="R304" s="152" t="e">
        <x:f>IF(OR(Q303="",Q304=""),"",Q304/Q303-1)</x:f>
        <x:v>#NAME?</x:v>
      </x:c>
      <x:c r="S304" s="152" t="e">
        <x:f>IF(Q304="","",Q304/MAX(Q$5:Q304)-1)</x:f>
        <x:v>#NAME?</x:v>
      </x:c>
    </x:row>
    <x:row r="305">
      <x:c r="A305" s="149" t="str">
        <x:f>IF('实盘净值数据(iFinD公式)'!A305="","",'实盘净值数据(iFinD公式)'!A305)</x:f>
      </x:c>
      <x:c r="B305" s="146" t="e">
        <x:f>IF(OR('实盘净值数据(iFinD公式)'!$A305="",'实盘净值数据(iFinD公式)'!$B305=""),"",分期持仓明细!$AD$17*SUMPRODUCT(分期持仓明细!$B$17:$AA$17,'实盘净值数据(iFinD公式)'!$B305:$AA305/'实盘净值数据(iFinD公式)'!$B$20:$AA$20)*(1-实盘持仓初始配置!$Z$4)^(('实盘净值数据(iFinD公式)'!$A305-'实盘净值数据(iFinD公式)'!$A$6)/365))</x:f>
        <x:v>#NAME?</x:v>
      </x:c>
      <x:c r="C305" s="152" t="e">
        <x:f>IF(OR(B304="",B305=""),"",B305/B304-1)</x:f>
        <x:v>#NAME?</x:v>
      </x:c>
      <x:c r="D305" s="152" t="e">
        <x:f>IF(B305="","",B305/MAX(B$5:B305)-1)</x:f>
        <x:v>#NAME?</x:v>
      </x:c>
      <x:c r="E305" s="146" t="e">
        <x:f>IF(OR('实盘净值数据(iFinD公式)'!$A305="",'实盘净值数据(iFinD公式)'!$B305=""),"",分期持仓明细!$AD$18*SUMPRODUCT(分期持仓明细!$B$18:$AA$18,'实盘净值数据(iFinD公式)'!$B305:$AA305/'实盘净值数据(iFinD公式)'!$B$20:$AA$20)*(1-实盘持仓初始配置!$Z$5)^(('实盘净值数据(iFinD公式)'!$A305-'实盘净值数据(iFinD公式)'!$A$5)/365))</x:f>
        <x:v>#NAME?</x:v>
      </x:c>
      <x:c r="F305" s="152" t="e">
        <x:f>IF(OR(E304="",E305=""),"",E305/E304-1)</x:f>
        <x:v>#NAME?</x:v>
      </x:c>
      <x:c r="G305" s="152" t="e">
        <x:f>IF(E305="","",E305/MAX(E$5:E305)-1)</x:f>
        <x:v>#NAME?</x:v>
      </x:c>
      <x:c r="H305" s="146" t="e">
        <x:f>IF(OR('实盘净值数据(iFinD公式)'!$A305="",'实盘净值数据(iFinD公式)'!$B305=""),"",分期持仓明细!$AD$19*SUMPRODUCT(分期持仓明细!$B$19:$AA$19,'实盘净值数据(iFinD公式)'!$B305:$AA305/'实盘净值数据(iFinD公式)'!$B$20:$AA$20)*(1-实盘持仓初始配置!$Z$6)^(('实盘净值数据(iFinD公式)'!$A305-'实盘净值数据(iFinD公式)'!$A$7)/365))</x:f>
        <x:v>#NAME?</x:v>
      </x:c>
      <x:c r="I305" s="152" t="e">
        <x:f>IF(OR(H304="",H305=""),"",H305/H304-1)</x:f>
        <x:v>#NAME?</x:v>
      </x:c>
      <x:c r="J305" s="152" t="e">
        <x:f>IF(H305="","",H305/MAX(H$5:H305)-1)</x:f>
        <x:v>#NAME?</x:v>
      </x:c>
      <x:c r="K305" s="146" t="e">
        <x:f>IF(OR('实盘净值数据(iFinD公式)'!$A305="",'实盘净值数据(iFinD公式)'!$B305=""),"",分期持仓明细!$AD$23*SUMPRODUCT(分期持仓明细!$B$23:$AA$23,'实盘净值数据(iFinD公式)'!$B305:$AA305/'实盘净值数据(iFinD公式)'!$B$65:$AA$65)*(1-实盘持仓初始配置!$Z$7)^(('实盘净值数据(iFinD公式)'!$A305-'实盘净值数据(iFinD公式)'!$A$8)/365))</x:f>
        <x:v>#NAME?</x:v>
      </x:c>
      <x:c r="L305" s="152" t="e">
        <x:f>IF(OR(K304="",K305=""),"",K305/K304-1)</x:f>
        <x:v>#NAME?</x:v>
      </x:c>
      <x:c r="M305" s="152" t="e">
        <x:f>IF(K305="","",K305/MAX(K$5:K305)-1)</x:f>
        <x:v>#NAME?</x:v>
      </x:c>
      <x:c r="N305" s="146" t="e">
        <x:f>IF(OR('实盘净值数据(iFinD公式)'!$A305="",'实盘净值数据(iFinD公式)'!$B305=""),"",分期持仓明细!$AD$24*SUMPRODUCT(分期持仓明细!$B$24:$AA$24,'实盘净值数据(iFinD公式)'!$B305:$AA305/'实盘净值数据(iFinD公式)'!$B$65:$AA$65)*(1-实盘持仓初始配置!$Z$8)^(('实盘净值数据(iFinD公式)'!$A305-'实盘净值数据(iFinD公式)'!$A$5)/365))</x:f>
        <x:v>#NAME?</x:v>
      </x:c>
      <x:c r="O305" s="152" t="e">
        <x:f>IF(OR(N304="",N305=""),"",N305/N304-1)</x:f>
        <x:v>#NAME?</x:v>
      </x:c>
      <x:c r="P305" s="152" t="e">
        <x:f>IF(N305="","",N305/MAX(N$5:N305)-1)</x:f>
        <x:v>#NAME?</x:v>
      </x:c>
      <x:c r="Q305" s="146" t="e">
        <x:f>IF(OR('实盘净值数据(iFinD公式)'!$A305="",'实盘净值数据(iFinD公式)'!$B305=""),"",分期持仓明细!$AD$25*SUMPRODUCT(分期持仓明细!$B$25:$AA$25,'实盘净值数据(iFinD公式)'!$B305:$AA305/'实盘净值数据(iFinD公式)'!$B$65:$AA$65)*(1-实盘持仓初始配置!$Z$9)^(('实盘净值数据(iFinD公式)'!$A305-'实盘净值数据(iFinD公式)'!$A$8)/365))</x:f>
        <x:v>#NAME?</x:v>
      </x:c>
      <x:c r="R305" s="152" t="e">
        <x:f>IF(OR(Q304="",Q305=""),"",Q305/Q304-1)</x:f>
        <x:v>#NAME?</x:v>
      </x:c>
      <x:c r="S305" s="152" t="e">
        <x:f>IF(Q305="","",Q305/MAX(Q$5:Q305)-1)</x:f>
        <x:v>#NAME?</x:v>
      </x:c>
    </x:row>
    <x:row r="306">
      <x:c r="A306" s="149" t="str">
        <x:f>IF('实盘净值数据(iFinD公式)'!A306="","",'实盘净值数据(iFinD公式)'!A306)</x:f>
      </x:c>
      <x:c r="B306" s="146" t="e">
        <x:f>IF(OR('实盘净值数据(iFinD公式)'!$A306="",'实盘净值数据(iFinD公式)'!$B306=""),"",分期持仓明细!$AD$17*SUMPRODUCT(分期持仓明细!$B$17:$AA$17,'实盘净值数据(iFinD公式)'!$B306:$AA306/'实盘净值数据(iFinD公式)'!$B$20:$AA$20)*(1-实盘持仓初始配置!$Z$4)^(('实盘净值数据(iFinD公式)'!$A306-'实盘净值数据(iFinD公式)'!$A$6)/365))</x:f>
        <x:v>#NAME?</x:v>
      </x:c>
      <x:c r="C306" s="152" t="e">
        <x:f>IF(OR(B305="",B306=""),"",B306/B305-1)</x:f>
        <x:v>#NAME?</x:v>
      </x:c>
      <x:c r="D306" s="152" t="e">
        <x:f>IF(B306="","",B306/MAX(B$5:B306)-1)</x:f>
        <x:v>#NAME?</x:v>
      </x:c>
      <x:c r="E306" s="146" t="e">
        <x:f>IF(OR('实盘净值数据(iFinD公式)'!$A306="",'实盘净值数据(iFinD公式)'!$B306=""),"",分期持仓明细!$AD$18*SUMPRODUCT(分期持仓明细!$B$18:$AA$18,'实盘净值数据(iFinD公式)'!$B306:$AA306/'实盘净值数据(iFinD公式)'!$B$20:$AA$20)*(1-实盘持仓初始配置!$Z$5)^(('实盘净值数据(iFinD公式)'!$A306-'实盘净值数据(iFinD公式)'!$A$5)/365))</x:f>
        <x:v>#NAME?</x:v>
      </x:c>
      <x:c r="F306" s="152" t="e">
        <x:f>IF(OR(E305="",E306=""),"",E306/E305-1)</x:f>
        <x:v>#NAME?</x:v>
      </x:c>
      <x:c r="G306" s="152" t="e">
        <x:f>IF(E306="","",E306/MAX(E$5:E306)-1)</x:f>
        <x:v>#NAME?</x:v>
      </x:c>
      <x:c r="H306" s="146" t="e">
        <x:f>IF(OR('实盘净值数据(iFinD公式)'!$A306="",'实盘净值数据(iFinD公式)'!$B306=""),"",分期持仓明细!$AD$19*SUMPRODUCT(分期持仓明细!$B$19:$AA$19,'实盘净值数据(iFinD公式)'!$B306:$AA306/'实盘净值数据(iFinD公式)'!$B$20:$AA$20)*(1-实盘持仓初始配置!$Z$6)^(('实盘净值数据(iFinD公式)'!$A306-'实盘净值数据(iFinD公式)'!$A$7)/365))</x:f>
        <x:v>#NAME?</x:v>
      </x:c>
      <x:c r="I306" s="152" t="e">
        <x:f>IF(OR(H305="",H306=""),"",H306/H305-1)</x:f>
        <x:v>#NAME?</x:v>
      </x:c>
      <x:c r="J306" s="152" t="e">
        <x:f>IF(H306="","",H306/MAX(H$5:H306)-1)</x:f>
        <x:v>#NAME?</x:v>
      </x:c>
      <x:c r="K306" s="146" t="e">
        <x:f>IF(OR('实盘净值数据(iFinD公式)'!$A306="",'实盘净值数据(iFinD公式)'!$B306=""),"",分期持仓明细!$AD$23*SUMPRODUCT(分期持仓明细!$B$23:$AA$23,'实盘净值数据(iFinD公式)'!$B306:$AA306/'实盘净值数据(iFinD公式)'!$B$65:$AA$65)*(1-实盘持仓初始配置!$Z$7)^(('实盘净值数据(iFinD公式)'!$A306-'实盘净值数据(iFinD公式)'!$A$8)/365))</x:f>
        <x:v>#NAME?</x:v>
      </x:c>
      <x:c r="L306" s="152" t="e">
        <x:f>IF(OR(K305="",K306=""),"",K306/K305-1)</x:f>
        <x:v>#NAME?</x:v>
      </x:c>
      <x:c r="M306" s="152" t="e">
        <x:f>IF(K306="","",K306/MAX(K$5:K306)-1)</x:f>
        <x:v>#NAME?</x:v>
      </x:c>
      <x:c r="N306" s="146" t="e">
        <x:f>IF(OR('实盘净值数据(iFinD公式)'!$A306="",'实盘净值数据(iFinD公式)'!$B306=""),"",分期持仓明细!$AD$24*SUMPRODUCT(分期持仓明细!$B$24:$AA$24,'实盘净值数据(iFinD公式)'!$B306:$AA306/'实盘净值数据(iFinD公式)'!$B$65:$AA$65)*(1-实盘持仓初始配置!$Z$8)^(('实盘净值数据(iFinD公式)'!$A306-'实盘净值数据(iFinD公式)'!$A$5)/365))</x:f>
        <x:v>#NAME?</x:v>
      </x:c>
      <x:c r="O306" s="152" t="e">
        <x:f>IF(OR(N305="",N306=""),"",N306/N305-1)</x:f>
        <x:v>#NAME?</x:v>
      </x:c>
      <x:c r="P306" s="152" t="e">
        <x:f>IF(N306="","",N306/MAX(N$5:N306)-1)</x:f>
        <x:v>#NAME?</x:v>
      </x:c>
      <x:c r="Q306" s="146" t="e">
        <x:f>IF(OR('实盘净值数据(iFinD公式)'!$A306="",'实盘净值数据(iFinD公式)'!$B306=""),"",分期持仓明细!$AD$25*SUMPRODUCT(分期持仓明细!$B$25:$AA$25,'实盘净值数据(iFinD公式)'!$B306:$AA306/'实盘净值数据(iFinD公式)'!$B$65:$AA$65)*(1-实盘持仓初始配置!$Z$9)^(('实盘净值数据(iFinD公式)'!$A306-'实盘净值数据(iFinD公式)'!$A$8)/365))</x:f>
        <x:v>#NAME?</x:v>
      </x:c>
      <x:c r="R306" s="152" t="e">
        <x:f>IF(OR(Q305="",Q306=""),"",Q306/Q305-1)</x:f>
        <x:v>#NAME?</x:v>
      </x:c>
      <x:c r="S306" s="152" t="e">
        <x:f>IF(Q306="","",Q306/MAX(Q$5:Q306)-1)</x:f>
        <x:v>#NAME?</x:v>
      </x:c>
    </x:row>
    <x:row r="307">
      <x:c r="A307" s="149" t="str">
        <x:f>IF('实盘净值数据(iFinD公式)'!A307="","",'实盘净值数据(iFinD公式)'!A307)</x:f>
      </x:c>
      <x:c r="B307" s="146" t="e">
        <x:f>IF(OR('实盘净值数据(iFinD公式)'!$A307="",'实盘净值数据(iFinD公式)'!$B307=""),"",分期持仓明细!$AD$17*SUMPRODUCT(分期持仓明细!$B$17:$AA$17,'实盘净值数据(iFinD公式)'!$B307:$AA307/'实盘净值数据(iFinD公式)'!$B$20:$AA$20)*(1-实盘持仓初始配置!$Z$4)^(('实盘净值数据(iFinD公式)'!$A307-'实盘净值数据(iFinD公式)'!$A$6)/365))</x:f>
        <x:v>#NAME?</x:v>
      </x:c>
      <x:c r="C307" s="152" t="e">
        <x:f>IF(OR(B306="",B307=""),"",B307/B306-1)</x:f>
        <x:v>#NAME?</x:v>
      </x:c>
      <x:c r="D307" s="152" t="e">
        <x:f>IF(B307="","",B307/MAX(B$5:B307)-1)</x:f>
        <x:v>#NAME?</x:v>
      </x:c>
      <x:c r="E307" s="146" t="e">
        <x:f>IF(OR('实盘净值数据(iFinD公式)'!$A307="",'实盘净值数据(iFinD公式)'!$B307=""),"",分期持仓明细!$AD$18*SUMPRODUCT(分期持仓明细!$B$18:$AA$18,'实盘净值数据(iFinD公式)'!$B307:$AA307/'实盘净值数据(iFinD公式)'!$B$20:$AA$20)*(1-实盘持仓初始配置!$Z$5)^(('实盘净值数据(iFinD公式)'!$A307-'实盘净值数据(iFinD公式)'!$A$5)/365))</x:f>
        <x:v>#NAME?</x:v>
      </x:c>
      <x:c r="F307" s="152" t="e">
        <x:f>IF(OR(E306="",E307=""),"",E307/E306-1)</x:f>
        <x:v>#NAME?</x:v>
      </x:c>
      <x:c r="G307" s="152" t="e">
        <x:f>IF(E307="","",E307/MAX(E$5:E307)-1)</x:f>
        <x:v>#NAME?</x:v>
      </x:c>
      <x:c r="H307" s="146" t="e">
        <x:f>IF(OR('实盘净值数据(iFinD公式)'!$A307="",'实盘净值数据(iFinD公式)'!$B307=""),"",分期持仓明细!$AD$19*SUMPRODUCT(分期持仓明细!$B$19:$AA$19,'实盘净值数据(iFinD公式)'!$B307:$AA307/'实盘净值数据(iFinD公式)'!$B$20:$AA$20)*(1-实盘持仓初始配置!$Z$6)^(('实盘净值数据(iFinD公式)'!$A307-'实盘净值数据(iFinD公式)'!$A$7)/365))</x:f>
        <x:v>#NAME?</x:v>
      </x:c>
      <x:c r="I307" s="152" t="e">
        <x:f>IF(OR(H306="",H307=""),"",H307/H306-1)</x:f>
        <x:v>#NAME?</x:v>
      </x:c>
      <x:c r="J307" s="152" t="e">
        <x:f>IF(H307="","",H307/MAX(H$5:H307)-1)</x:f>
        <x:v>#NAME?</x:v>
      </x:c>
      <x:c r="K307" s="146" t="e">
        <x:f>IF(OR('实盘净值数据(iFinD公式)'!$A307="",'实盘净值数据(iFinD公式)'!$B307=""),"",分期持仓明细!$AD$23*SUMPRODUCT(分期持仓明细!$B$23:$AA$23,'实盘净值数据(iFinD公式)'!$B307:$AA307/'实盘净值数据(iFinD公式)'!$B$65:$AA$65)*(1-实盘持仓初始配置!$Z$7)^(('实盘净值数据(iFinD公式)'!$A307-'实盘净值数据(iFinD公式)'!$A$8)/365))</x:f>
        <x:v>#NAME?</x:v>
      </x:c>
      <x:c r="L307" s="152" t="e">
        <x:f>IF(OR(K306="",K307=""),"",K307/K306-1)</x:f>
        <x:v>#NAME?</x:v>
      </x:c>
      <x:c r="M307" s="152" t="e">
        <x:f>IF(K307="","",K307/MAX(K$5:K307)-1)</x:f>
        <x:v>#NAME?</x:v>
      </x:c>
      <x:c r="N307" s="146" t="e">
        <x:f>IF(OR('实盘净值数据(iFinD公式)'!$A307="",'实盘净值数据(iFinD公式)'!$B307=""),"",分期持仓明细!$AD$24*SUMPRODUCT(分期持仓明细!$B$24:$AA$24,'实盘净值数据(iFinD公式)'!$B307:$AA307/'实盘净值数据(iFinD公式)'!$B$65:$AA$65)*(1-实盘持仓初始配置!$Z$8)^(('实盘净值数据(iFinD公式)'!$A307-'实盘净值数据(iFinD公式)'!$A$5)/365))</x:f>
        <x:v>#NAME?</x:v>
      </x:c>
      <x:c r="O307" s="152" t="e">
        <x:f>IF(OR(N306="",N307=""),"",N307/N306-1)</x:f>
        <x:v>#NAME?</x:v>
      </x:c>
      <x:c r="P307" s="152" t="e">
        <x:f>IF(N307="","",N307/MAX(N$5:N307)-1)</x:f>
        <x:v>#NAME?</x:v>
      </x:c>
      <x:c r="Q307" s="146" t="e">
        <x:f>IF(OR('实盘净值数据(iFinD公式)'!$A307="",'实盘净值数据(iFinD公式)'!$B307=""),"",分期持仓明细!$AD$25*SUMPRODUCT(分期持仓明细!$B$25:$AA$25,'实盘净值数据(iFinD公式)'!$B307:$AA307/'实盘净值数据(iFinD公式)'!$B$65:$AA$65)*(1-实盘持仓初始配置!$Z$9)^(('实盘净值数据(iFinD公式)'!$A307-'实盘净值数据(iFinD公式)'!$A$8)/365))</x:f>
        <x:v>#NAME?</x:v>
      </x:c>
      <x:c r="R307" s="152" t="e">
        <x:f>IF(OR(Q306="",Q307=""),"",Q307/Q306-1)</x:f>
        <x:v>#NAME?</x:v>
      </x:c>
      <x:c r="S307" s="152" t="e">
        <x:f>IF(Q307="","",Q307/MAX(Q$5:Q307)-1)</x:f>
        <x:v>#NAME?</x:v>
      </x:c>
    </x:row>
    <x:row r="308">
      <x:c r="A308" s="149" t="str">
        <x:f>IF('实盘净值数据(iFinD公式)'!A308="","",'实盘净值数据(iFinD公式)'!A308)</x:f>
      </x:c>
      <x:c r="B308" s="146" t="e">
        <x:f>IF(OR('实盘净值数据(iFinD公式)'!$A308="",'实盘净值数据(iFinD公式)'!$B308=""),"",分期持仓明细!$AD$17*SUMPRODUCT(分期持仓明细!$B$17:$AA$17,'实盘净值数据(iFinD公式)'!$B308:$AA308/'实盘净值数据(iFinD公式)'!$B$20:$AA$20)*(1-实盘持仓初始配置!$Z$4)^(('实盘净值数据(iFinD公式)'!$A308-'实盘净值数据(iFinD公式)'!$A$6)/365))</x:f>
        <x:v>#NAME?</x:v>
      </x:c>
      <x:c r="C308" s="152" t="e">
        <x:f>IF(OR(B307="",B308=""),"",B308/B307-1)</x:f>
        <x:v>#NAME?</x:v>
      </x:c>
      <x:c r="D308" s="152" t="e">
        <x:f>IF(B308="","",B308/MAX(B$5:B308)-1)</x:f>
        <x:v>#NAME?</x:v>
      </x:c>
      <x:c r="E308" s="146" t="e">
        <x:f>IF(OR('实盘净值数据(iFinD公式)'!$A308="",'实盘净值数据(iFinD公式)'!$B308=""),"",分期持仓明细!$AD$18*SUMPRODUCT(分期持仓明细!$B$18:$AA$18,'实盘净值数据(iFinD公式)'!$B308:$AA308/'实盘净值数据(iFinD公式)'!$B$20:$AA$20)*(1-实盘持仓初始配置!$Z$5)^(('实盘净值数据(iFinD公式)'!$A308-'实盘净值数据(iFinD公式)'!$A$5)/365))</x:f>
        <x:v>#NAME?</x:v>
      </x:c>
      <x:c r="F308" s="152" t="e">
        <x:f>IF(OR(E307="",E308=""),"",E308/E307-1)</x:f>
        <x:v>#NAME?</x:v>
      </x:c>
      <x:c r="G308" s="152" t="e">
        <x:f>IF(E308="","",E308/MAX(E$5:E308)-1)</x:f>
        <x:v>#NAME?</x:v>
      </x:c>
      <x:c r="H308" s="146" t="e">
        <x:f>IF(OR('实盘净值数据(iFinD公式)'!$A308="",'实盘净值数据(iFinD公式)'!$B308=""),"",分期持仓明细!$AD$19*SUMPRODUCT(分期持仓明细!$B$19:$AA$19,'实盘净值数据(iFinD公式)'!$B308:$AA308/'实盘净值数据(iFinD公式)'!$B$20:$AA$20)*(1-实盘持仓初始配置!$Z$6)^(('实盘净值数据(iFinD公式)'!$A308-'实盘净值数据(iFinD公式)'!$A$7)/365))</x:f>
        <x:v>#NAME?</x:v>
      </x:c>
      <x:c r="I308" s="152" t="e">
        <x:f>IF(OR(H307="",H308=""),"",H308/H307-1)</x:f>
        <x:v>#NAME?</x:v>
      </x:c>
      <x:c r="J308" s="152" t="e">
        <x:f>IF(H308="","",H308/MAX(H$5:H308)-1)</x:f>
        <x:v>#NAME?</x:v>
      </x:c>
      <x:c r="K308" s="146" t="e">
        <x:f>IF(OR('实盘净值数据(iFinD公式)'!$A308="",'实盘净值数据(iFinD公式)'!$B308=""),"",分期持仓明细!$AD$23*SUMPRODUCT(分期持仓明细!$B$23:$AA$23,'实盘净值数据(iFinD公式)'!$B308:$AA308/'实盘净值数据(iFinD公式)'!$B$65:$AA$65)*(1-实盘持仓初始配置!$Z$7)^(('实盘净值数据(iFinD公式)'!$A308-'实盘净值数据(iFinD公式)'!$A$8)/365))</x:f>
        <x:v>#NAME?</x:v>
      </x:c>
      <x:c r="L308" s="152" t="e">
        <x:f>IF(OR(K307="",K308=""),"",K308/K307-1)</x:f>
        <x:v>#NAME?</x:v>
      </x:c>
      <x:c r="M308" s="152" t="e">
        <x:f>IF(K308="","",K308/MAX(K$5:K308)-1)</x:f>
        <x:v>#NAME?</x:v>
      </x:c>
      <x:c r="N308" s="146" t="e">
        <x:f>IF(OR('实盘净值数据(iFinD公式)'!$A308="",'实盘净值数据(iFinD公式)'!$B308=""),"",分期持仓明细!$AD$24*SUMPRODUCT(分期持仓明细!$B$24:$AA$24,'实盘净值数据(iFinD公式)'!$B308:$AA308/'实盘净值数据(iFinD公式)'!$B$65:$AA$65)*(1-实盘持仓初始配置!$Z$8)^(('实盘净值数据(iFinD公式)'!$A308-'实盘净值数据(iFinD公式)'!$A$5)/365))</x:f>
        <x:v>#NAME?</x:v>
      </x:c>
      <x:c r="O308" s="152" t="e">
        <x:f>IF(OR(N307="",N308=""),"",N308/N307-1)</x:f>
        <x:v>#NAME?</x:v>
      </x:c>
      <x:c r="P308" s="152" t="e">
        <x:f>IF(N308="","",N308/MAX(N$5:N308)-1)</x:f>
        <x:v>#NAME?</x:v>
      </x:c>
      <x:c r="Q308" s="146" t="e">
        <x:f>IF(OR('实盘净值数据(iFinD公式)'!$A308="",'实盘净值数据(iFinD公式)'!$B308=""),"",分期持仓明细!$AD$25*SUMPRODUCT(分期持仓明细!$B$25:$AA$25,'实盘净值数据(iFinD公式)'!$B308:$AA308/'实盘净值数据(iFinD公式)'!$B$65:$AA$65)*(1-实盘持仓初始配置!$Z$9)^(('实盘净值数据(iFinD公式)'!$A308-'实盘净值数据(iFinD公式)'!$A$8)/365))</x:f>
        <x:v>#NAME?</x:v>
      </x:c>
      <x:c r="R308" s="152" t="e">
        <x:f>IF(OR(Q307="",Q308=""),"",Q308/Q307-1)</x:f>
        <x:v>#NAME?</x:v>
      </x:c>
      <x:c r="S308" s="152" t="e">
        <x:f>IF(Q308="","",Q308/MAX(Q$5:Q308)-1)</x:f>
        <x:v>#NAME?</x:v>
      </x:c>
    </x:row>
    <x:row r="309">
      <x:c r="A309" s="149" t="str">
        <x:f>IF('实盘净值数据(iFinD公式)'!A309="","",'实盘净值数据(iFinD公式)'!A309)</x:f>
      </x:c>
      <x:c r="B309" s="146" t="e">
        <x:f>IF(OR('实盘净值数据(iFinD公式)'!$A309="",'实盘净值数据(iFinD公式)'!$B309=""),"",分期持仓明细!$AD$17*SUMPRODUCT(分期持仓明细!$B$17:$AA$17,'实盘净值数据(iFinD公式)'!$B309:$AA309/'实盘净值数据(iFinD公式)'!$B$20:$AA$20)*(1-实盘持仓初始配置!$Z$4)^(('实盘净值数据(iFinD公式)'!$A309-'实盘净值数据(iFinD公式)'!$A$6)/365))</x:f>
        <x:v>#NAME?</x:v>
      </x:c>
      <x:c r="C309" s="152" t="e">
        <x:f>IF(OR(B308="",B309=""),"",B309/B308-1)</x:f>
        <x:v>#NAME?</x:v>
      </x:c>
      <x:c r="D309" s="152" t="e">
        <x:f>IF(B309="","",B309/MAX(B$5:B309)-1)</x:f>
        <x:v>#NAME?</x:v>
      </x:c>
      <x:c r="E309" s="146" t="e">
        <x:f>IF(OR('实盘净值数据(iFinD公式)'!$A309="",'实盘净值数据(iFinD公式)'!$B309=""),"",分期持仓明细!$AD$18*SUMPRODUCT(分期持仓明细!$B$18:$AA$18,'实盘净值数据(iFinD公式)'!$B309:$AA309/'实盘净值数据(iFinD公式)'!$B$20:$AA$20)*(1-实盘持仓初始配置!$Z$5)^(('实盘净值数据(iFinD公式)'!$A309-'实盘净值数据(iFinD公式)'!$A$5)/365))</x:f>
        <x:v>#NAME?</x:v>
      </x:c>
      <x:c r="F309" s="152" t="e">
        <x:f>IF(OR(E308="",E309=""),"",E309/E308-1)</x:f>
        <x:v>#NAME?</x:v>
      </x:c>
      <x:c r="G309" s="152" t="e">
        <x:f>IF(E309="","",E309/MAX(E$5:E309)-1)</x:f>
        <x:v>#NAME?</x:v>
      </x:c>
      <x:c r="H309" s="146" t="e">
        <x:f>IF(OR('实盘净值数据(iFinD公式)'!$A309="",'实盘净值数据(iFinD公式)'!$B309=""),"",分期持仓明细!$AD$19*SUMPRODUCT(分期持仓明细!$B$19:$AA$19,'实盘净值数据(iFinD公式)'!$B309:$AA309/'实盘净值数据(iFinD公式)'!$B$20:$AA$20)*(1-实盘持仓初始配置!$Z$6)^(('实盘净值数据(iFinD公式)'!$A309-'实盘净值数据(iFinD公式)'!$A$7)/365))</x:f>
        <x:v>#NAME?</x:v>
      </x:c>
      <x:c r="I309" s="152" t="e">
        <x:f>IF(OR(H308="",H309=""),"",H309/H308-1)</x:f>
        <x:v>#NAME?</x:v>
      </x:c>
      <x:c r="J309" s="152" t="e">
        <x:f>IF(H309="","",H309/MAX(H$5:H309)-1)</x:f>
        <x:v>#NAME?</x:v>
      </x:c>
      <x:c r="K309" s="146" t="e">
        <x:f>IF(OR('实盘净值数据(iFinD公式)'!$A309="",'实盘净值数据(iFinD公式)'!$B309=""),"",分期持仓明细!$AD$23*SUMPRODUCT(分期持仓明细!$B$23:$AA$23,'实盘净值数据(iFinD公式)'!$B309:$AA309/'实盘净值数据(iFinD公式)'!$B$65:$AA$65)*(1-实盘持仓初始配置!$Z$7)^(('实盘净值数据(iFinD公式)'!$A309-'实盘净值数据(iFinD公式)'!$A$8)/365))</x:f>
        <x:v>#NAME?</x:v>
      </x:c>
      <x:c r="L309" s="152" t="e">
        <x:f>IF(OR(K308="",K309=""),"",K309/K308-1)</x:f>
        <x:v>#NAME?</x:v>
      </x:c>
      <x:c r="M309" s="152" t="e">
        <x:f>IF(K309="","",K309/MAX(K$5:K309)-1)</x:f>
        <x:v>#NAME?</x:v>
      </x:c>
      <x:c r="N309" s="146" t="e">
        <x:f>IF(OR('实盘净值数据(iFinD公式)'!$A309="",'实盘净值数据(iFinD公式)'!$B309=""),"",分期持仓明细!$AD$24*SUMPRODUCT(分期持仓明细!$B$24:$AA$24,'实盘净值数据(iFinD公式)'!$B309:$AA309/'实盘净值数据(iFinD公式)'!$B$65:$AA$65)*(1-实盘持仓初始配置!$Z$8)^(('实盘净值数据(iFinD公式)'!$A309-'实盘净值数据(iFinD公式)'!$A$5)/365))</x:f>
        <x:v>#NAME?</x:v>
      </x:c>
      <x:c r="O309" s="152" t="e">
        <x:f>IF(OR(N308="",N309=""),"",N309/N308-1)</x:f>
        <x:v>#NAME?</x:v>
      </x:c>
      <x:c r="P309" s="152" t="e">
        <x:f>IF(N309="","",N309/MAX(N$5:N309)-1)</x:f>
        <x:v>#NAME?</x:v>
      </x:c>
      <x:c r="Q309" s="146" t="e">
        <x:f>IF(OR('实盘净值数据(iFinD公式)'!$A309="",'实盘净值数据(iFinD公式)'!$B309=""),"",分期持仓明细!$AD$25*SUMPRODUCT(分期持仓明细!$B$25:$AA$25,'实盘净值数据(iFinD公式)'!$B309:$AA309/'实盘净值数据(iFinD公式)'!$B$65:$AA$65)*(1-实盘持仓初始配置!$Z$9)^(('实盘净值数据(iFinD公式)'!$A309-'实盘净值数据(iFinD公式)'!$A$8)/365))</x:f>
        <x:v>#NAME?</x:v>
      </x:c>
      <x:c r="R309" s="152" t="e">
        <x:f>IF(OR(Q308="",Q309=""),"",Q309/Q308-1)</x:f>
        <x:v>#NAME?</x:v>
      </x:c>
      <x:c r="S309" s="152" t="e">
        <x:f>IF(Q309="","",Q309/MAX(Q$5:Q309)-1)</x:f>
        <x:v>#NAME?</x:v>
      </x:c>
    </x:row>
    <x:row r="310">
      <x:c r="A310" s="149" t="str">
        <x:f>IF('实盘净值数据(iFinD公式)'!A310="","",'实盘净值数据(iFinD公式)'!A310)</x:f>
      </x:c>
      <x:c r="B310" s="146" t="e">
        <x:f>IF(OR('实盘净值数据(iFinD公式)'!$A310="",'实盘净值数据(iFinD公式)'!$B310=""),"",分期持仓明细!$AD$17*SUMPRODUCT(分期持仓明细!$B$17:$AA$17,'实盘净值数据(iFinD公式)'!$B310:$AA310/'实盘净值数据(iFinD公式)'!$B$20:$AA$20)*(1-实盘持仓初始配置!$Z$4)^(('实盘净值数据(iFinD公式)'!$A310-'实盘净值数据(iFinD公式)'!$A$6)/365))</x:f>
        <x:v>#NAME?</x:v>
      </x:c>
      <x:c r="C310" s="152" t="e">
        <x:f>IF(OR(B309="",B310=""),"",B310/B309-1)</x:f>
        <x:v>#NAME?</x:v>
      </x:c>
      <x:c r="D310" s="152" t="e">
        <x:f>IF(B310="","",B310/MAX(B$5:B310)-1)</x:f>
        <x:v>#NAME?</x:v>
      </x:c>
      <x:c r="E310" s="146" t="e">
        <x:f>IF(OR('实盘净值数据(iFinD公式)'!$A310="",'实盘净值数据(iFinD公式)'!$B310=""),"",分期持仓明细!$AD$18*SUMPRODUCT(分期持仓明细!$B$18:$AA$18,'实盘净值数据(iFinD公式)'!$B310:$AA310/'实盘净值数据(iFinD公式)'!$B$20:$AA$20)*(1-实盘持仓初始配置!$Z$5)^(('实盘净值数据(iFinD公式)'!$A310-'实盘净值数据(iFinD公式)'!$A$5)/365))</x:f>
        <x:v>#NAME?</x:v>
      </x:c>
      <x:c r="F310" s="152" t="e">
        <x:f>IF(OR(E309="",E310=""),"",E310/E309-1)</x:f>
        <x:v>#NAME?</x:v>
      </x:c>
      <x:c r="G310" s="152" t="e">
        <x:f>IF(E310="","",E310/MAX(E$5:E310)-1)</x:f>
        <x:v>#NAME?</x:v>
      </x:c>
      <x:c r="H310" s="146" t="e">
        <x:f>IF(OR('实盘净值数据(iFinD公式)'!$A310="",'实盘净值数据(iFinD公式)'!$B310=""),"",分期持仓明细!$AD$19*SUMPRODUCT(分期持仓明细!$B$19:$AA$19,'实盘净值数据(iFinD公式)'!$B310:$AA310/'实盘净值数据(iFinD公式)'!$B$20:$AA$20)*(1-实盘持仓初始配置!$Z$6)^(('实盘净值数据(iFinD公式)'!$A310-'实盘净值数据(iFinD公式)'!$A$7)/365))</x:f>
        <x:v>#NAME?</x:v>
      </x:c>
      <x:c r="I310" s="152" t="e">
        <x:f>IF(OR(H309="",H310=""),"",H310/H309-1)</x:f>
        <x:v>#NAME?</x:v>
      </x:c>
      <x:c r="J310" s="152" t="e">
        <x:f>IF(H310="","",H310/MAX(H$5:H310)-1)</x:f>
        <x:v>#NAME?</x:v>
      </x:c>
      <x:c r="K310" s="146" t="e">
        <x:f>IF(OR('实盘净值数据(iFinD公式)'!$A310="",'实盘净值数据(iFinD公式)'!$B310=""),"",分期持仓明细!$AD$23*SUMPRODUCT(分期持仓明细!$B$23:$AA$23,'实盘净值数据(iFinD公式)'!$B310:$AA310/'实盘净值数据(iFinD公式)'!$B$65:$AA$65)*(1-实盘持仓初始配置!$Z$7)^(('实盘净值数据(iFinD公式)'!$A310-'实盘净值数据(iFinD公式)'!$A$8)/365))</x:f>
        <x:v>#NAME?</x:v>
      </x:c>
      <x:c r="L310" s="152" t="e">
        <x:f>IF(OR(K309="",K310=""),"",K310/K309-1)</x:f>
        <x:v>#NAME?</x:v>
      </x:c>
      <x:c r="M310" s="152" t="e">
        <x:f>IF(K310="","",K310/MAX(K$5:K310)-1)</x:f>
        <x:v>#NAME?</x:v>
      </x:c>
      <x:c r="N310" s="146" t="e">
        <x:f>IF(OR('实盘净值数据(iFinD公式)'!$A310="",'实盘净值数据(iFinD公式)'!$B310=""),"",分期持仓明细!$AD$24*SUMPRODUCT(分期持仓明细!$B$24:$AA$24,'实盘净值数据(iFinD公式)'!$B310:$AA310/'实盘净值数据(iFinD公式)'!$B$65:$AA$65)*(1-实盘持仓初始配置!$Z$8)^(('实盘净值数据(iFinD公式)'!$A310-'实盘净值数据(iFinD公式)'!$A$5)/365))</x:f>
        <x:v>#NAME?</x:v>
      </x:c>
      <x:c r="O310" s="152" t="e">
        <x:f>IF(OR(N309="",N310=""),"",N310/N309-1)</x:f>
        <x:v>#NAME?</x:v>
      </x:c>
      <x:c r="P310" s="152" t="e">
        <x:f>IF(N310="","",N310/MAX(N$5:N310)-1)</x:f>
        <x:v>#NAME?</x:v>
      </x:c>
      <x:c r="Q310" s="146" t="e">
        <x:f>IF(OR('实盘净值数据(iFinD公式)'!$A310="",'实盘净值数据(iFinD公式)'!$B310=""),"",分期持仓明细!$AD$25*SUMPRODUCT(分期持仓明细!$B$25:$AA$25,'实盘净值数据(iFinD公式)'!$B310:$AA310/'实盘净值数据(iFinD公式)'!$B$65:$AA$65)*(1-实盘持仓初始配置!$Z$9)^(('实盘净值数据(iFinD公式)'!$A310-'实盘净值数据(iFinD公式)'!$A$8)/365))</x:f>
        <x:v>#NAME?</x:v>
      </x:c>
      <x:c r="R310" s="152" t="e">
        <x:f>IF(OR(Q309="",Q310=""),"",Q310/Q309-1)</x:f>
        <x:v>#NAME?</x:v>
      </x:c>
      <x:c r="S310" s="152" t="e">
        <x:f>IF(Q310="","",Q310/MAX(Q$5:Q310)-1)</x:f>
        <x:v>#NAME?</x:v>
      </x:c>
    </x:row>
    <x:row r="311">
      <x:c r="A311" s="149" t="str">
        <x:f>IF('实盘净值数据(iFinD公式)'!A311="","",'实盘净值数据(iFinD公式)'!A311)</x:f>
      </x:c>
      <x:c r="B311" s="146" t="e">
        <x:f>IF(OR('实盘净值数据(iFinD公式)'!$A311="",'实盘净值数据(iFinD公式)'!$B311=""),"",分期持仓明细!$AD$17*SUMPRODUCT(分期持仓明细!$B$17:$AA$17,'实盘净值数据(iFinD公式)'!$B311:$AA311/'实盘净值数据(iFinD公式)'!$B$20:$AA$20)*(1-实盘持仓初始配置!$Z$4)^(('实盘净值数据(iFinD公式)'!$A311-'实盘净值数据(iFinD公式)'!$A$6)/365))</x:f>
        <x:v>#NAME?</x:v>
      </x:c>
      <x:c r="C311" s="152" t="e">
        <x:f>IF(OR(B310="",B311=""),"",B311/B310-1)</x:f>
        <x:v>#NAME?</x:v>
      </x:c>
      <x:c r="D311" s="152" t="e">
        <x:f>IF(B311="","",B311/MAX(B$5:B311)-1)</x:f>
        <x:v>#NAME?</x:v>
      </x:c>
      <x:c r="E311" s="146" t="e">
        <x:f>IF(OR('实盘净值数据(iFinD公式)'!$A311="",'实盘净值数据(iFinD公式)'!$B311=""),"",分期持仓明细!$AD$18*SUMPRODUCT(分期持仓明细!$B$18:$AA$18,'实盘净值数据(iFinD公式)'!$B311:$AA311/'实盘净值数据(iFinD公式)'!$B$20:$AA$20)*(1-实盘持仓初始配置!$Z$5)^(('实盘净值数据(iFinD公式)'!$A311-'实盘净值数据(iFinD公式)'!$A$5)/365))</x:f>
        <x:v>#NAME?</x:v>
      </x:c>
      <x:c r="F311" s="152" t="e">
        <x:f>IF(OR(E310="",E311=""),"",E311/E310-1)</x:f>
        <x:v>#NAME?</x:v>
      </x:c>
      <x:c r="G311" s="152" t="e">
        <x:f>IF(E311="","",E311/MAX(E$5:E311)-1)</x:f>
        <x:v>#NAME?</x:v>
      </x:c>
      <x:c r="H311" s="146" t="e">
        <x:f>IF(OR('实盘净值数据(iFinD公式)'!$A311="",'实盘净值数据(iFinD公式)'!$B311=""),"",分期持仓明细!$AD$19*SUMPRODUCT(分期持仓明细!$B$19:$AA$19,'实盘净值数据(iFinD公式)'!$B311:$AA311/'实盘净值数据(iFinD公式)'!$B$20:$AA$20)*(1-实盘持仓初始配置!$Z$6)^(('实盘净值数据(iFinD公式)'!$A311-'实盘净值数据(iFinD公式)'!$A$7)/365))</x:f>
        <x:v>#NAME?</x:v>
      </x:c>
      <x:c r="I311" s="152" t="e">
        <x:f>IF(OR(H310="",H311=""),"",H311/H310-1)</x:f>
        <x:v>#NAME?</x:v>
      </x:c>
      <x:c r="J311" s="152" t="e">
        <x:f>IF(H311="","",H311/MAX(H$5:H311)-1)</x:f>
        <x:v>#NAME?</x:v>
      </x:c>
      <x:c r="K311" s="146" t="e">
        <x:f>IF(OR('实盘净值数据(iFinD公式)'!$A311="",'实盘净值数据(iFinD公式)'!$B311=""),"",分期持仓明细!$AD$23*SUMPRODUCT(分期持仓明细!$B$23:$AA$23,'实盘净值数据(iFinD公式)'!$B311:$AA311/'实盘净值数据(iFinD公式)'!$B$65:$AA$65)*(1-实盘持仓初始配置!$Z$7)^(('实盘净值数据(iFinD公式)'!$A311-'实盘净值数据(iFinD公式)'!$A$8)/365))</x:f>
        <x:v>#NAME?</x:v>
      </x:c>
      <x:c r="L311" s="152" t="e">
        <x:f>IF(OR(K310="",K311=""),"",K311/K310-1)</x:f>
        <x:v>#NAME?</x:v>
      </x:c>
      <x:c r="M311" s="152" t="e">
        <x:f>IF(K311="","",K311/MAX(K$5:K311)-1)</x:f>
        <x:v>#NAME?</x:v>
      </x:c>
      <x:c r="N311" s="146" t="e">
        <x:f>IF(OR('实盘净值数据(iFinD公式)'!$A311="",'实盘净值数据(iFinD公式)'!$B311=""),"",分期持仓明细!$AD$24*SUMPRODUCT(分期持仓明细!$B$24:$AA$24,'实盘净值数据(iFinD公式)'!$B311:$AA311/'实盘净值数据(iFinD公式)'!$B$65:$AA$65)*(1-实盘持仓初始配置!$Z$8)^(('实盘净值数据(iFinD公式)'!$A311-'实盘净值数据(iFinD公式)'!$A$5)/365))</x:f>
        <x:v>#NAME?</x:v>
      </x:c>
      <x:c r="O311" s="152" t="e">
        <x:f>IF(OR(N310="",N311=""),"",N311/N310-1)</x:f>
        <x:v>#NAME?</x:v>
      </x:c>
      <x:c r="P311" s="152" t="e">
        <x:f>IF(N311="","",N311/MAX(N$5:N311)-1)</x:f>
        <x:v>#NAME?</x:v>
      </x:c>
      <x:c r="Q311" s="146" t="e">
        <x:f>IF(OR('实盘净值数据(iFinD公式)'!$A311="",'实盘净值数据(iFinD公式)'!$B311=""),"",分期持仓明细!$AD$25*SUMPRODUCT(分期持仓明细!$B$25:$AA$25,'实盘净值数据(iFinD公式)'!$B311:$AA311/'实盘净值数据(iFinD公式)'!$B$65:$AA$65)*(1-实盘持仓初始配置!$Z$9)^(('实盘净值数据(iFinD公式)'!$A311-'实盘净值数据(iFinD公式)'!$A$8)/365))</x:f>
        <x:v>#NAME?</x:v>
      </x:c>
      <x:c r="R311" s="152" t="e">
        <x:f>IF(OR(Q310="",Q311=""),"",Q311/Q310-1)</x:f>
        <x:v>#NAME?</x:v>
      </x:c>
      <x:c r="S311" s="152" t="e">
        <x:f>IF(Q311="","",Q311/MAX(Q$5:Q311)-1)</x:f>
        <x:v>#NAME?</x:v>
      </x:c>
    </x:row>
    <x:row r="312">
      <x:c r="A312" s="149" t="str">
        <x:f>IF('实盘净值数据(iFinD公式)'!A312="","",'实盘净值数据(iFinD公式)'!A312)</x:f>
      </x:c>
      <x:c r="B312" s="146" t="e">
        <x:f>IF(OR('实盘净值数据(iFinD公式)'!$A312="",'实盘净值数据(iFinD公式)'!$B312=""),"",分期持仓明细!$AD$17*SUMPRODUCT(分期持仓明细!$B$17:$AA$17,'实盘净值数据(iFinD公式)'!$B312:$AA312/'实盘净值数据(iFinD公式)'!$B$20:$AA$20)*(1-实盘持仓初始配置!$Z$4)^(('实盘净值数据(iFinD公式)'!$A312-'实盘净值数据(iFinD公式)'!$A$6)/365))</x:f>
        <x:v>#NAME?</x:v>
      </x:c>
      <x:c r="C312" s="152" t="e">
        <x:f>IF(OR(B311="",B312=""),"",B312/B311-1)</x:f>
        <x:v>#NAME?</x:v>
      </x:c>
      <x:c r="D312" s="152" t="e">
        <x:f>IF(B312="","",B312/MAX(B$5:B312)-1)</x:f>
        <x:v>#NAME?</x:v>
      </x:c>
      <x:c r="E312" s="146" t="e">
        <x:f>IF(OR('实盘净值数据(iFinD公式)'!$A312="",'实盘净值数据(iFinD公式)'!$B312=""),"",分期持仓明细!$AD$18*SUMPRODUCT(分期持仓明细!$B$18:$AA$18,'实盘净值数据(iFinD公式)'!$B312:$AA312/'实盘净值数据(iFinD公式)'!$B$20:$AA$20)*(1-实盘持仓初始配置!$Z$5)^(('实盘净值数据(iFinD公式)'!$A312-'实盘净值数据(iFinD公式)'!$A$5)/365))</x:f>
        <x:v>#NAME?</x:v>
      </x:c>
      <x:c r="F312" s="152" t="e">
        <x:f>IF(OR(E311="",E312=""),"",E312/E311-1)</x:f>
        <x:v>#NAME?</x:v>
      </x:c>
      <x:c r="G312" s="152" t="e">
        <x:f>IF(E312="","",E312/MAX(E$5:E312)-1)</x:f>
        <x:v>#NAME?</x:v>
      </x:c>
      <x:c r="H312" s="146" t="e">
        <x:f>IF(OR('实盘净值数据(iFinD公式)'!$A312="",'实盘净值数据(iFinD公式)'!$B312=""),"",分期持仓明细!$AD$19*SUMPRODUCT(分期持仓明细!$B$19:$AA$19,'实盘净值数据(iFinD公式)'!$B312:$AA312/'实盘净值数据(iFinD公式)'!$B$20:$AA$20)*(1-实盘持仓初始配置!$Z$6)^(('实盘净值数据(iFinD公式)'!$A312-'实盘净值数据(iFinD公式)'!$A$7)/365))</x:f>
        <x:v>#NAME?</x:v>
      </x:c>
      <x:c r="I312" s="152" t="e">
        <x:f>IF(OR(H311="",H312=""),"",H312/H311-1)</x:f>
        <x:v>#NAME?</x:v>
      </x:c>
      <x:c r="J312" s="152" t="e">
        <x:f>IF(H312="","",H312/MAX(H$5:H312)-1)</x:f>
        <x:v>#NAME?</x:v>
      </x:c>
      <x:c r="K312" s="146" t="e">
        <x:f>IF(OR('实盘净值数据(iFinD公式)'!$A312="",'实盘净值数据(iFinD公式)'!$B312=""),"",分期持仓明细!$AD$23*SUMPRODUCT(分期持仓明细!$B$23:$AA$23,'实盘净值数据(iFinD公式)'!$B312:$AA312/'实盘净值数据(iFinD公式)'!$B$65:$AA$65)*(1-实盘持仓初始配置!$Z$7)^(('实盘净值数据(iFinD公式)'!$A312-'实盘净值数据(iFinD公式)'!$A$8)/365))</x:f>
        <x:v>#NAME?</x:v>
      </x:c>
      <x:c r="L312" s="152" t="e">
        <x:f>IF(OR(K311="",K312=""),"",K312/K311-1)</x:f>
        <x:v>#NAME?</x:v>
      </x:c>
      <x:c r="M312" s="152" t="e">
        <x:f>IF(K312="","",K312/MAX(K$5:K312)-1)</x:f>
        <x:v>#NAME?</x:v>
      </x:c>
      <x:c r="N312" s="146" t="e">
        <x:f>IF(OR('实盘净值数据(iFinD公式)'!$A312="",'实盘净值数据(iFinD公式)'!$B312=""),"",分期持仓明细!$AD$24*SUMPRODUCT(分期持仓明细!$B$24:$AA$24,'实盘净值数据(iFinD公式)'!$B312:$AA312/'实盘净值数据(iFinD公式)'!$B$65:$AA$65)*(1-实盘持仓初始配置!$Z$8)^(('实盘净值数据(iFinD公式)'!$A312-'实盘净值数据(iFinD公式)'!$A$5)/365))</x:f>
        <x:v>#NAME?</x:v>
      </x:c>
      <x:c r="O312" s="152" t="e">
        <x:f>IF(OR(N311="",N312=""),"",N312/N311-1)</x:f>
        <x:v>#NAME?</x:v>
      </x:c>
      <x:c r="P312" s="152" t="e">
        <x:f>IF(N312="","",N312/MAX(N$5:N312)-1)</x:f>
        <x:v>#NAME?</x:v>
      </x:c>
      <x:c r="Q312" s="146" t="e">
        <x:f>IF(OR('实盘净值数据(iFinD公式)'!$A312="",'实盘净值数据(iFinD公式)'!$B312=""),"",分期持仓明细!$AD$25*SUMPRODUCT(分期持仓明细!$B$25:$AA$25,'实盘净值数据(iFinD公式)'!$B312:$AA312/'实盘净值数据(iFinD公式)'!$B$65:$AA$65)*(1-实盘持仓初始配置!$Z$9)^(('实盘净值数据(iFinD公式)'!$A312-'实盘净值数据(iFinD公式)'!$A$8)/365))</x:f>
        <x:v>#NAME?</x:v>
      </x:c>
      <x:c r="R312" s="152" t="e">
        <x:f>IF(OR(Q311="",Q312=""),"",Q312/Q311-1)</x:f>
        <x:v>#NAME?</x:v>
      </x:c>
      <x:c r="S312" s="152" t="e">
        <x:f>IF(Q312="","",Q312/MAX(Q$5:Q312)-1)</x:f>
        <x:v>#NAME?</x:v>
      </x:c>
    </x:row>
    <x:row r="313">
      <x:c r="A313" s="149" t="str">
        <x:f>IF('实盘净值数据(iFinD公式)'!A313="","",'实盘净值数据(iFinD公式)'!A313)</x:f>
      </x:c>
      <x:c r="B313" s="146" t="e">
        <x:f>IF(OR('实盘净值数据(iFinD公式)'!$A313="",'实盘净值数据(iFinD公式)'!$B313=""),"",分期持仓明细!$AD$17*SUMPRODUCT(分期持仓明细!$B$17:$AA$17,'实盘净值数据(iFinD公式)'!$B313:$AA313/'实盘净值数据(iFinD公式)'!$B$20:$AA$20)*(1-实盘持仓初始配置!$Z$4)^(('实盘净值数据(iFinD公式)'!$A313-'实盘净值数据(iFinD公式)'!$A$6)/365))</x:f>
        <x:v>#NAME?</x:v>
      </x:c>
      <x:c r="C313" s="152" t="e">
        <x:f>IF(OR(B312="",B313=""),"",B313/B312-1)</x:f>
        <x:v>#NAME?</x:v>
      </x:c>
      <x:c r="D313" s="152" t="e">
        <x:f>IF(B313="","",B313/MAX(B$5:B313)-1)</x:f>
        <x:v>#NAME?</x:v>
      </x:c>
      <x:c r="E313" s="146" t="e">
        <x:f>IF(OR('实盘净值数据(iFinD公式)'!$A313="",'实盘净值数据(iFinD公式)'!$B313=""),"",分期持仓明细!$AD$18*SUMPRODUCT(分期持仓明细!$B$18:$AA$18,'实盘净值数据(iFinD公式)'!$B313:$AA313/'实盘净值数据(iFinD公式)'!$B$20:$AA$20)*(1-实盘持仓初始配置!$Z$5)^(('实盘净值数据(iFinD公式)'!$A313-'实盘净值数据(iFinD公式)'!$A$5)/365))</x:f>
        <x:v>#NAME?</x:v>
      </x:c>
      <x:c r="F313" s="152" t="e">
        <x:f>IF(OR(E312="",E313=""),"",E313/E312-1)</x:f>
        <x:v>#NAME?</x:v>
      </x:c>
      <x:c r="G313" s="152" t="e">
        <x:f>IF(E313="","",E313/MAX(E$5:E313)-1)</x:f>
        <x:v>#NAME?</x:v>
      </x:c>
      <x:c r="H313" s="146" t="e">
        <x:f>IF(OR('实盘净值数据(iFinD公式)'!$A313="",'实盘净值数据(iFinD公式)'!$B313=""),"",分期持仓明细!$AD$19*SUMPRODUCT(分期持仓明细!$B$19:$AA$19,'实盘净值数据(iFinD公式)'!$B313:$AA313/'实盘净值数据(iFinD公式)'!$B$20:$AA$20)*(1-实盘持仓初始配置!$Z$6)^(('实盘净值数据(iFinD公式)'!$A313-'实盘净值数据(iFinD公式)'!$A$7)/365))</x:f>
        <x:v>#NAME?</x:v>
      </x:c>
      <x:c r="I313" s="152" t="e">
        <x:f>IF(OR(H312="",H313=""),"",H313/H312-1)</x:f>
        <x:v>#NAME?</x:v>
      </x:c>
      <x:c r="J313" s="152" t="e">
        <x:f>IF(H313="","",H313/MAX(H$5:H313)-1)</x:f>
        <x:v>#NAME?</x:v>
      </x:c>
      <x:c r="K313" s="146" t="e">
        <x:f>IF(OR('实盘净值数据(iFinD公式)'!$A313="",'实盘净值数据(iFinD公式)'!$B313=""),"",分期持仓明细!$AD$23*SUMPRODUCT(分期持仓明细!$B$23:$AA$23,'实盘净值数据(iFinD公式)'!$B313:$AA313/'实盘净值数据(iFinD公式)'!$B$65:$AA$65)*(1-实盘持仓初始配置!$Z$7)^(('实盘净值数据(iFinD公式)'!$A313-'实盘净值数据(iFinD公式)'!$A$8)/365))</x:f>
        <x:v>#NAME?</x:v>
      </x:c>
      <x:c r="L313" s="152" t="e">
        <x:f>IF(OR(K312="",K313=""),"",K313/K312-1)</x:f>
        <x:v>#NAME?</x:v>
      </x:c>
      <x:c r="M313" s="152" t="e">
        <x:f>IF(K313="","",K313/MAX(K$5:K313)-1)</x:f>
        <x:v>#NAME?</x:v>
      </x:c>
      <x:c r="N313" s="146" t="e">
        <x:f>IF(OR('实盘净值数据(iFinD公式)'!$A313="",'实盘净值数据(iFinD公式)'!$B313=""),"",分期持仓明细!$AD$24*SUMPRODUCT(分期持仓明细!$B$24:$AA$24,'实盘净值数据(iFinD公式)'!$B313:$AA313/'实盘净值数据(iFinD公式)'!$B$65:$AA$65)*(1-实盘持仓初始配置!$Z$8)^(('实盘净值数据(iFinD公式)'!$A313-'实盘净值数据(iFinD公式)'!$A$5)/365))</x:f>
        <x:v>#NAME?</x:v>
      </x:c>
      <x:c r="O313" s="152" t="e">
        <x:f>IF(OR(N312="",N313=""),"",N313/N312-1)</x:f>
        <x:v>#NAME?</x:v>
      </x:c>
      <x:c r="P313" s="152" t="e">
        <x:f>IF(N313="","",N313/MAX(N$5:N313)-1)</x:f>
        <x:v>#NAME?</x:v>
      </x:c>
      <x:c r="Q313" s="146" t="e">
        <x:f>IF(OR('实盘净值数据(iFinD公式)'!$A313="",'实盘净值数据(iFinD公式)'!$B313=""),"",分期持仓明细!$AD$25*SUMPRODUCT(分期持仓明细!$B$25:$AA$25,'实盘净值数据(iFinD公式)'!$B313:$AA313/'实盘净值数据(iFinD公式)'!$B$65:$AA$65)*(1-实盘持仓初始配置!$Z$9)^(('实盘净值数据(iFinD公式)'!$A313-'实盘净值数据(iFinD公式)'!$A$8)/365))</x:f>
        <x:v>#NAME?</x:v>
      </x:c>
      <x:c r="R313" s="152" t="e">
        <x:f>IF(OR(Q312="",Q313=""),"",Q313/Q312-1)</x:f>
        <x:v>#NAME?</x:v>
      </x:c>
      <x:c r="S313" s="152" t="e">
        <x:f>IF(Q313="","",Q313/MAX(Q$5:Q313)-1)</x:f>
        <x:v>#NAME?</x:v>
      </x:c>
    </x:row>
    <x:row r="314">
      <x:c r="A314" s="149" t="str">
        <x:f>IF('实盘净值数据(iFinD公式)'!A314="","",'实盘净值数据(iFinD公式)'!A314)</x:f>
      </x:c>
      <x:c r="B314" s="146" t="e">
        <x:f>IF(OR('实盘净值数据(iFinD公式)'!$A314="",'实盘净值数据(iFinD公式)'!$B314=""),"",分期持仓明细!$AD$17*SUMPRODUCT(分期持仓明细!$B$17:$AA$17,'实盘净值数据(iFinD公式)'!$B314:$AA314/'实盘净值数据(iFinD公式)'!$B$20:$AA$20)*(1-实盘持仓初始配置!$Z$4)^(('实盘净值数据(iFinD公式)'!$A314-'实盘净值数据(iFinD公式)'!$A$6)/365))</x:f>
        <x:v>#NAME?</x:v>
      </x:c>
      <x:c r="C314" s="152" t="e">
        <x:f>IF(OR(B313="",B314=""),"",B314/B313-1)</x:f>
        <x:v>#NAME?</x:v>
      </x:c>
      <x:c r="D314" s="152" t="e">
        <x:f>IF(B314="","",B314/MAX(B$5:B314)-1)</x:f>
        <x:v>#NAME?</x:v>
      </x:c>
      <x:c r="E314" s="146" t="e">
        <x:f>IF(OR('实盘净值数据(iFinD公式)'!$A314="",'实盘净值数据(iFinD公式)'!$B314=""),"",分期持仓明细!$AD$18*SUMPRODUCT(分期持仓明细!$B$18:$AA$18,'实盘净值数据(iFinD公式)'!$B314:$AA314/'实盘净值数据(iFinD公式)'!$B$20:$AA$20)*(1-实盘持仓初始配置!$Z$5)^(('实盘净值数据(iFinD公式)'!$A314-'实盘净值数据(iFinD公式)'!$A$5)/365))</x:f>
        <x:v>#NAME?</x:v>
      </x:c>
      <x:c r="F314" s="152" t="e">
        <x:f>IF(OR(E313="",E314=""),"",E314/E313-1)</x:f>
        <x:v>#NAME?</x:v>
      </x:c>
      <x:c r="G314" s="152" t="e">
        <x:f>IF(E314="","",E314/MAX(E$5:E314)-1)</x:f>
        <x:v>#NAME?</x:v>
      </x:c>
      <x:c r="H314" s="146" t="e">
        <x:f>IF(OR('实盘净值数据(iFinD公式)'!$A314="",'实盘净值数据(iFinD公式)'!$B314=""),"",分期持仓明细!$AD$19*SUMPRODUCT(分期持仓明细!$B$19:$AA$19,'实盘净值数据(iFinD公式)'!$B314:$AA314/'实盘净值数据(iFinD公式)'!$B$20:$AA$20)*(1-实盘持仓初始配置!$Z$6)^(('实盘净值数据(iFinD公式)'!$A314-'实盘净值数据(iFinD公式)'!$A$7)/365))</x:f>
        <x:v>#NAME?</x:v>
      </x:c>
      <x:c r="I314" s="152" t="e">
        <x:f>IF(OR(H313="",H314=""),"",H314/H313-1)</x:f>
        <x:v>#NAME?</x:v>
      </x:c>
      <x:c r="J314" s="152" t="e">
        <x:f>IF(H314="","",H314/MAX(H$5:H314)-1)</x:f>
        <x:v>#NAME?</x:v>
      </x:c>
      <x:c r="K314" s="146" t="e">
        <x:f>IF(OR('实盘净值数据(iFinD公式)'!$A314="",'实盘净值数据(iFinD公式)'!$B314=""),"",分期持仓明细!$AD$23*SUMPRODUCT(分期持仓明细!$B$23:$AA$23,'实盘净值数据(iFinD公式)'!$B314:$AA314/'实盘净值数据(iFinD公式)'!$B$65:$AA$65)*(1-实盘持仓初始配置!$Z$7)^(('实盘净值数据(iFinD公式)'!$A314-'实盘净值数据(iFinD公式)'!$A$8)/365))</x:f>
        <x:v>#NAME?</x:v>
      </x:c>
      <x:c r="L314" s="152" t="e">
        <x:f>IF(OR(K313="",K314=""),"",K314/K313-1)</x:f>
        <x:v>#NAME?</x:v>
      </x:c>
      <x:c r="M314" s="152" t="e">
        <x:f>IF(K314="","",K314/MAX(K$5:K314)-1)</x:f>
        <x:v>#NAME?</x:v>
      </x:c>
      <x:c r="N314" s="146" t="e">
        <x:f>IF(OR('实盘净值数据(iFinD公式)'!$A314="",'实盘净值数据(iFinD公式)'!$B314=""),"",分期持仓明细!$AD$24*SUMPRODUCT(分期持仓明细!$B$24:$AA$24,'实盘净值数据(iFinD公式)'!$B314:$AA314/'实盘净值数据(iFinD公式)'!$B$65:$AA$65)*(1-实盘持仓初始配置!$Z$8)^(('实盘净值数据(iFinD公式)'!$A314-'实盘净值数据(iFinD公式)'!$A$5)/365))</x:f>
        <x:v>#NAME?</x:v>
      </x:c>
      <x:c r="O314" s="152" t="e">
        <x:f>IF(OR(N313="",N314=""),"",N314/N313-1)</x:f>
        <x:v>#NAME?</x:v>
      </x:c>
      <x:c r="P314" s="152" t="e">
        <x:f>IF(N314="","",N314/MAX(N$5:N314)-1)</x:f>
        <x:v>#NAME?</x:v>
      </x:c>
      <x:c r="Q314" s="146" t="e">
        <x:f>IF(OR('实盘净值数据(iFinD公式)'!$A314="",'实盘净值数据(iFinD公式)'!$B314=""),"",分期持仓明细!$AD$25*SUMPRODUCT(分期持仓明细!$B$25:$AA$25,'实盘净值数据(iFinD公式)'!$B314:$AA314/'实盘净值数据(iFinD公式)'!$B$65:$AA$65)*(1-实盘持仓初始配置!$Z$9)^(('实盘净值数据(iFinD公式)'!$A314-'实盘净值数据(iFinD公式)'!$A$8)/365))</x:f>
        <x:v>#NAME?</x:v>
      </x:c>
      <x:c r="R314" s="152" t="e">
        <x:f>IF(OR(Q313="",Q314=""),"",Q314/Q313-1)</x:f>
        <x:v>#NAME?</x:v>
      </x:c>
      <x:c r="S314" s="152" t="e">
        <x:f>IF(Q314="","",Q314/MAX(Q$5:Q314)-1)</x:f>
        <x:v>#NAME?</x:v>
      </x:c>
    </x:row>
    <x:row r="315">
      <x:c r="A315" s="149" t="str">
        <x:f>IF('实盘净值数据(iFinD公式)'!A315="","",'实盘净值数据(iFinD公式)'!A315)</x:f>
      </x:c>
      <x:c r="B315" s="146" t="e">
        <x:f>IF(OR('实盘净值数据(iFinD公式)'!$A315="",'实盘净值数据(iFinD公式)'!$B315=""),"",分期持仓明细!$AD$17*SUMPRODUCT(分期持仓明细!$B$17:$AA$17,'实盘净值数据(iFinD公式)'!$B315:$AA315/'实盘净值数据(iFinD公式)'!$B$20:$AA$20)*(1-实盘持仓初始配置!$Z$4)^(('实盘净值数据(iFinD公式)'!$A315-'实盘净值数据(iFinD公式)'!$A$6)/365))</x:f>
        <x:v>#NAME?</x:v>
      </x:c>
      <x:c r="C315" s="152" t="e">
        <x:f>IF(OR(B314="",B315=""),"",B315/B314-1)</x:f>
        <x:v>#NAME?</x:v>
      </x:c>
      <x:c r="D315" s="152" t="e">
        <x:f>IF(B315="","",B315/MAX(B$5:B315)-1)</x:f>
        <x:v>#NAME?</x:v>
      </x:c>
      <x:c r="E315" s="146" t="e">
        <x:f>IF(OR('实盘净值数据(iFinD公式)'!$A315="",'实盘净值数据(iFinD公式)'!$B315=""),"",分期持仓明细!$AD$18*SUMPRODUCT(分期持仓明细!$B$18:$AA$18,'实盘净值数据(iFinD公式)'!$B315:$AA315/'实盘净值数据(iFinD公式)'!$B$20:$AA$20)*(1-实盘持仓初始配置!$Z$5)^(('实盘净值数据(iFinD公式)'!$A315-'实盘净值数据(iFinD公式)'!$A$5)/365))</x:f>
        <x:v>#NAME?</x:v>
      </x:c>
      <x:c r="F315" s="152" t="e">
        <x:f>IF(OR(E314="",E315=""),"",E315/E314-1)</x:f>
        <x:v>#NAME?</x:v>
      </x:c>
      <x:c r="G315" s="152" t="e">
        <x:f>IF(E315="","",E315/MAX(E$5:E315)-1)</x:f>
        <x:v>#NAME?</x:v>
      </x:c>
      <x:c r="H315" s="146" t="e">
        <x:f>IF(OR('实盘净值数据(iFinD公式)'!$A315="",'实盘净值数据(iFinD公式)'!$B315=""),"",分期持仓明细!$AD$19*SUMPRODUCT(分期持仓明细!$B$19:$AA$19,'实盘净值数据(iFinD公式)'!$B315:$AA315/'实盘净值数据(iFinD公式)'!$B$20:$AA$20)*(1-实盘持仓初始配置!$Z$6)^(('实盘净值数据(iFinD公式)'!$A315-'实盘净值数据(iFinD公式)'!$A$7)/365))</x:f>
        <x:v>#NAME?</x:v>
      </x:c>
      <x:c r="I315" s="152" t="e">
        <x:f>IF(OR(H314="",H315=""),"",H315/H314-1)</x:f>
        <x:v>#NAME?</x:v>
      </x:c>
      <x:c r="J315" s="152" t="e">
        <x:f>IF(H315="","",H315/MAX(H$5:H315)-1)</x:f>
        <x:v>#NAME?</x:v>
      </x:c>
      <x:c r="K315" s="146" t="e">
        <x:f>IF(OR('实盘净值数据(iFinD公式)'!$A315="",'实盘净值数据(iFinD公式)'!$B315=""),"",分期持仓明细!$AD$23*SUMPRODUCT(分期持仓明细!$B$23:$AA$23,'实盘净值数据(iFinD公式)'!$B315:$AA315/'实盘净值数据(iFinD公式)'!$B$65:$AA$65)*(1-实盘持仓初始配置!$Z$7)^(('实盘净值数据(iFinD公式)'!$A315-'实盘净值数据(iFinD公式)'!$A$8)/365))</x:f>
        <x:v>#NAME?</x:v>
      </x:c>
      <x:c r="L315" s="152" t="e">
        <x:f>IF(OR(K314="",K315=""),"",K315/K314-1)</x:f>
        <x:v>#NAME?</x:v>
      </x:c>
      <x:c r="M315" s="152" t="e">
        <x:f>IF(K315="","",K315/MAX(K$5:K315)-1)</x:f>
        <x:v>#NAME?</x:v>
      </x:c>
      <x:c r="N315" s="146" t="e">
        <x:f>IF(OR('实盘净值数据(iFinD公式)'!$A315="",'实盘净值数据(iFinD公式)'!$B315=""),"",分期持仓明细!$AD$24*SUMPRODUCT(分期持仓明细!$B$24:$AA$24,'实盘净值数据(iFinD公式)'!$B315:$AA315/'实盘净值数据(iFinD公式)'!$B$65:$AA$65)*(1-实盘持仓初始配置!$Z$8)^(('实盘净值数据(iFinD公式)'!$A315-'实盘净值数据(iFinD公式)'!$A$5)/365))</x:f>
        <x:v>#NAME?</x:v>
      </x:c>
      <x:c r="O315" s="152" t="e">
        <x:f>IF(OR(N314="",N315=""),"",N315/N314-1)</x:f>
        <x:v>#NAME?</x:v>
      </x:c>
      <x:c r="P315" s="152" t="e">
        <x:f>IF(N315="","",N315/MAX(N$5:N315)-1)</x:f>
        <x:v>#NAME?</x:v>
      </x:c>
      <x:c r="Q315" s="146" t="e">
        <x:f>IF(OR('实盘净值数据(iFinD公式)'!$A315="",'实盘净值数据(iFinD公式)'!$B315=""),"",分期持仓明细!$AD$25*SUMPRODUCT(分期持仓明细!$B$25:$AA$25,'实盘净值数据(iFinD公式)'!$B315:$AA315/'实盘净值数据(iFinD公式)'!$B$65:$AA$65)*(1-实盘持仓初始配置!$Z$9)^(('实盘净值数据(iFinD公式)'!$A315-'实盘净值数据(iFinD公式)'!$A$8)/365))</x:f>
        <x:v>#NAME?</x:v>
      </x:c>
      <x:c r="R315" s="152" t="e">
        <x:f>IF(OR(Q314="",Q315=""),"",Q315/Q314-1)</x:f>
        <x:v>#NAME?</x:v>
      </x:c>
      <x:c r="S315" s="152" t="e">
        <x:f>IF(Q315="","",Q315/MAX(Q$5:Q315)-1)</x:f>
        <x:v>#NAME?</x:v>
      </x:c>
    </x:row>
    <x:row r="316">
      <x:c r="A316" s="149" t="str">
        <x:f>IF('实盘净值数据(iFinD公式)'!A316="","",'实盘净值数据(iFinD公式)'!A316)</x:f>
      </x:c>
      <x:c r="B316" s="146" t="e">
        <x:f>IF(OR('实盘净值数据(iFinD公式)'!$A316="",'实盘净值数据(iFinD公式)'!$B316=""),"",分期持仓明细!$AD$17*SUMPRODUCT(分期持仓明细!$B$17:$AA$17,'实盘净值数据(iFinD公式)'!$B316:$AA316/'实盘净值数据(iFinD公式)'!$B$20:$AA$20)*(1-实盘持仓初始配置!$Z$4)^(('实盘净值数据(iFinD公式)'!$A316-'实盘净值数据(iFinD公式)'!$A$6)/365))</x:f>
        <x:v>#NAME?</x:v>
      </x:c>
      <x:c r="C316" s="152" t="e">
        <x:f>IF(OR(B315="",B316=""),"",B316/B315-1)</x:f>
        <x:v>#NAME?</x:v>
      </x:c>
      <x:c r="D316" s="152" t="e">
        <x:f>IF(B316="","",B316/MAX(B$5:B316)-1)</x:f>
        <x:v>#NAME?</x:v>
      </x:c>
      <x:c r="E316" s="146" t="e">
        <x:f>IF(OR('实盘净值数据(iFinD公式)'!$A316="",'实盘净值数据(iFinD公式)'!$B316=""),"",分期持仓明细!$AD$18*SUMPRODUCT(分期持仓明细!$B$18:$AA$18,'实盘净值数据(iFinD公式)'!$B316:$AA316/'实盘净值数据(iFinD公式)'!$B$20:$AA$20)*(1-实盘持仓初始配置!$Z$5)^(('实盘净值数据(iFinD公式)'!$A316-'实盘净值数据(iFinD公式)'!$A$5)/365))</x:f>
        <x:v>#NAME?</x:v>
      </x:c>
      <x:c r="F316" s="152" t="e">
        <x:f>IF(OR(E315="",E316=""),"",E316/E315-1)</x:f>
        <x:v>#NAME?</x:v>
      </x:c>
      <x:c r="G316" s="152" t="e">
        <x:f>IF(E316="","",E316/MAX(E$5:E316)-1)</x:f>
        <x:v>#NAME?</x:v>
      </x:c>
      <x:c r="H316" s="146" t="e">
        <x:f>IF(OR('实盘净值数据(iFinD公式)'!$A316="",'实盘净值数据(iFinD公式)'!$B316=""),"",分期持仓明细!$AD$19*SUMPRODUCT(分期持仓明细!$B$19:$AA$19,'实盘净值数据(iFinD公式)'!$B316:$AA316/'实盘净值数据(iFinD公式)'!$B$20:$AA$20)*(1-实盘持仓初始配置!$Z$6)^(('实盘净值数据(iFinD公式)'!$A316-'实盘净值数据(iFinD公式)'!$A$7)/365))</x:f>
        <x:v>#NAME?</x:v>
      </x:c>
      <x:c r="I316" s="152" t="e">
        <x:f>IF(OR(H315="",H316=""),"",H316/H315-1)</x:f>
        <x:v>#NAME?</x:v>
      </x:c>
      <x:c r="J316" s="152" t="e">
        <x:f>IF(H316="","",H316/MAX(H$5:H316)-1)</x:f>
        <x:v>#NAME?</x:v>
      </x:c>
      <x:c r="K316" s="146" t="e">
        <x:f>IF(OR('实盘净值数据(iFinD公式)'!$A316="",'实盘净值数据(iFinD公式)'!$B316=""),"",分期持仓明细!$AD$23*SUMPRODUCT(分期持仓明细!$B$23:$AA$23,'实盘净值数据(iFinD公式)'!$B316:$AA316/'实盘净值数据(iFinD公式)'!$B$65:$AA$65)*(1-实盘持仓初始配置!$Z$7)^(('实盘净值数据(iFinD公式)'!$A316-'实盘净值数据(iFinD公式)'!$A$8)/365))</x:f>
        <x:v>#NAME?</x:v>
      </x:c>
      <x:c r="L316" s="152" t="e">
        <x:f>IF(OR(K315="",K316=""),"",K316/K315-1)</x:f>
        <x:v>#NAME?</x:v>
      </x:c>
      <x:c r="M316" s="152" t="e">
        <x:f>IF(K316="","",K316/MAX(K$5:K316)-1)</x:f>
        <x:v>#NAME?</x:v>
      </x:c>
      <x:c r="N316" s="146" t="e">
        <x:f>IF(OR('实盘净值数据(iFinD公式)'!$A316="",'实盘净值数据(iFinD公式)'!$B316=""),"",分期持仓明细!$AD$24*SUMPRODUCT(分期持仓明细!$B$24:$AA$24,'实盘净值数据(iFinD公式)'!$B316:$AA316/'实盘净值数据(iFinD公式)'!$B$65:$AA$65)*(1-实盘持仓初始配置!$Z$8)^(('实盘净值数据(iFinD公式)'!$A316-'实盘净值数据(iFinD公式)'!$A$5)/365))</x:f>
        <x:v>#NAME?</x:v>
      </x:c>
      <x:c r="O316" s="152" t="e">
        <x:f>IF(OR(N315="",N316=""),"",N316/N315-1)</x:f>
        <x:v>#NAME?</x:v>
      </x:c>
      <x:c r="P316" s="152" t="e">
        <x:f>IF(N316="","",N316/MAX(N$5:N316)-1)</x:f>
        <x:v>#NAME?</x:v>
      </x:c>
      <x:c r="Q316" s="146" t="e">
        <x:f>IF(OR('实盘净值数据(iFinD公式)'!$A316="",'实盘净值数据(iFinD公式)'!$B316=""),"",分期持仓明细!$AD$25*SUMPRODUCT(分期持仓明细!$B$25:$AA$25,'实盘净值数据(iFinD公式)'!$B316:$AA316/'实盘净值数据(iFinD公式)'!$B$65:$AA$65)*(1-实盘持仓初始配置!$Z$9)^(('实盘净值数据(iFinD公式)'!$A316-'实盘净值数据(iFinD公式)'!$A$8)/365))</x:f>
        <x:v>#NAME?</x:v>
      </x:c>
      <x:c r="R316" s="152" t="e">
        <x:f>IF(OR(Q315="",Q316=""),"",Q316/Q315-1)</x:f>
        <x:v>#NAME?</x:v>
      </x:c>
      <x:c r="S316" s="152" t="e">
        <x:f>IF(Q316="","",Q316/MAX(Q$5:Q316)-1)</x:f>
        <x:v>#NAME?</x:v>
      </x:c>
    </x:row>
    <x:row r="317">
      <x:c r="A317" s="149" t="str">
        <x:f>IF('实盘净值数据(iFinD公式)'!A317="","",'实盘净值数据(iFinD公式)'!A317)</x:f>
      </x:c>
      <x:c r="B317" s="146" t="e">
        <x:f>IF(OR('实盘净值数据(iFinD公式)'!$A317="",'实盘净值数据(iFinD公式)'!$B317=""),"",分期持仓明细!$AD$17*SUMPRODUCT(分期持仓明细!$B$17:$AA$17,'实盘净值数据(iFinD公式)'!$B317:$AA317/'实盘净值数据(iFinD公式)'!$B$20:$AA$20)*(1-实盘持仓初始配置!$Z$4)^(('实盘净值数据(iFinD公式)'!$A317-'实盘净值数据(iFinD公式)'!$A$6)/365))</x:f>
        <x:v>#NAME?</x:v>
      </x:c>
      <x:c r="C317" s="152" t="e">
        <x:f>IF(OR(B316="",B317=""),"",B317/B316-1)</x:f>
        <x:v>#NAME?</x:v>
      </x:c>
      <x:c r="D317" s="152" t="e">
        <x:f>IF(B317="","",B317/MAX(B$5:B317)-1)</x:f>
        <x:v>#NAME?</x:v>
      </x:c>
      <x:c r="E317" s="146" t="e">
        <x:f>IF(OR('实盘净值数据(iFinD公式)'!$A317="",'实盘净值数据(iFinD公式)'!$B317=""),"",分期持仓明细!$AD$18*SUMPRODUCT(分期持仓明细!$B$18:$AA$18,'实盘净值数据(iFinD公式)'!$B317:$AA317/'实盘净值数据(iFinD公式)'!$B$20:$AA$20)*(1-实盘持仓初始配置!$Z$5)^(('实盘净值数据(iFinD公式)'!$A317-'实盘净值数据(iFinD公式)'!$A$5)/365))</x:f>
        <x:v>#NAME?</x:v>
      </x:c>
      <x:c r="F317" s="152" t="e">
        <x:f>IF(OR(E316="",E317=""),"",E317/E316-1)</x:f>
        <x:v>#NAME?</x:v>
      </x:c>
      <x:c r="G317" s="152" t="e">
        <x:f>IF(E317="","",E317/MAX(E$5:E317)-1)</x:f>
        <x:v>#NAME?</x:v>
      </x:c>
      <x:c r="H317" s="146" t="e">
        <x:f>IF(OR('实盘净值数据(iFinD公式)'!$A317="",'实盘净值数据(iFinD公式)'!$B317=""),"",分期持仓明细!$AD$19*SUMPRODUCT(分期持仓明细!$B$19:$AA$19,'实盘净值数据(iFinD公式)'!$B317:$AA317/'实盘净值数据(iFinD公式)'!$B$20:$AA$20)*(1-实盘持仓初始配置!$Z$6)^(('实盘净值数据(iFinD公式)'!$A317-'实盘净值数据(iFinD公式)'!$A$7)/365))</x:f>
        <x:v>#NAME?</x:v>
      </x:c>
      <x:c r="I317" s="152" t="e">
        <x:f>IF(OR(H316="",H317=""),"",H317/H316-1)</x:f>
        <x:v>#NAME?</x:v>
      </x:c>
      <x:c r="J317" s="152" t="e">
        <x:f>IF(H317="","",H317/MAX(H$5:H317)-1)</x:f>
        <x:v>#NAME?</x:v>
      </x:c>
      <x:c r="K317" s="146" t="e">
        <x:f>IF(OR('实盘净值数据(iFinD公式)'!$A317="",'实盘净值数据(iFinD公式)'!$B317=""),"",分期持仓明细!$AD$23*SUMPRODUCT(分期持仓明细!$B$23:$AA$23,'实盘净值数据(iFinD公式)'!$B317:$AA317/'实盘净值数据(iFinD公式)'!$B$65:$AA$65)*(1-实盘持仓初始配置!$Z$7)^(('实盘净值数据(iFinD公式)'!$A317-'实盘净值数据(iFinD公式)'!$A$8)/365))</x:f>
        <x:v>#NAME?</x:v>
      </x:c>
      <x:c r="L317" s="152" t="e">
        <x:f>IF(OR(K316="",K317=""),"",K317/K316-1)</x:f>
        <x:v>#NAME?</x:v>
      </x:c>
      <x:c r="M317" s="152" t="e">
        <x:f>IF(K317="","",K317/MAX(K$5:K317)-1)</x:f>
        <x:v>#NAME?</x:v>
      </x:c>
      <x:c r="N317" s="146" t="e">
        <x:f>IF(OR('实盘净值数据(iFinD公式)'!$A317="",'实盘净值数据(iFinD公式)'!$B317=""),"",分期持仓明细!$AD$24*SUMPRODUCT(分期持仓明细!$B$24:$AA$24,'实盘净值数据(iFinD公式)'!$B317:$AA317/'实盘净值数据(iFinD公式)'!$B$65:$AA$65)*(1-实盘持仓初始配置!$Z$8)^(('实盘净值数据(iFinD公式)'!$A317-'实盘净值数据(iFinD公式)'!$A$5)/365))</x:f>
        <x:v>#NAME?</x:v>
      </x:c>
      <x:c r="O317" s="152" t="e">
        <x:f>IF(OR(N316="",N317=""),"",N317/N316-1)</x:f>
        <x:v>#NAME?</x:v>
      </x:c>
      <x:c r="P317" s="152" t="e">
        <x:f>IF(N317="","",N317/MAX(N$5:N317)-1)</x:f>
        <x:v>#NAME?</x:v>
      </x:c>
      <x:c r="Q317" s="146" t="e">
        <x:f>IF(OR('实盘净值数据(iFinD公式)'!$A317="",'实盘净值数据(iFinD公式)'!$B317=""),"",分期持仓明细!$AD$25*SUMPRODUCT(分期持仓明细!$B$25:$AA$25,'实盘净值数据(iFinD公式)'!$B317:$AA317/'实盘净值数据(iFinD公式)'!$B$65:$AA$65)*(1-实盘持仓初始配置!$Z$9)^(('实盘净值数据(iFinD公式)'!$A317-'实盘净值数据(iFinD公式)'!$A$8)/365))</x:f>
        <x:v>#NAME?</x:v>
      </x:c>
      <x:c r="R317" s="152" t="e">
        <x:f>IF(OR(Q316="",Q317=""),"",Q317/Q316-1)</x:f>
        <x:v>#NAME?</x:v>
      </x:c>
      <x:c r="S317" s="152" t="e">
        <x:f>IF(Q317="","",Q317/MAX(Q$5:Q317)-1)</x:f>
        <x:v>#NAME?</x:v>
      </x:c>
    </x:row>
    <x:row r="318">
      <x:c r="A318" s="149" t="str">
        <x:f>IF('实盘净值数据(iFinD公式)'!A318="","",'实盘净值数据(iFinD公式)'!A318)</x:f>
      </x:c>
      <x:c r="B318" s="146" t="e">
        <x:f>IF(OR('实盘净值数据(iFinD公式)'!$A318="",'实盘净值数据(iFinD公式)'!$B318=""),"",分期持仓明细!$AD$17*SUMPRODUCT(分期持仓明细!$B$17:$AA$17,'实盘净值数据(iFinD公式)'!$B318:$AA318/'实盘净值数据(iFinD公式)'!$B$20:$AA$20)*(1-实盘持仓初始配置!$Z$4)^(('实盘净值数据(iFinD公式)'!$A318-'实盘净值数据(iFinD公式)'!$A$6)/365))</x:f>
        <x:v>#NAME?</x:v>
      </x:c>
      <x:c r="C318" s="152" t="e">
        <x:f>IF(OR(B317="",B318=""),"",B318/B317-1)</x:f>
        <x:v>#NAME?</x:v>
      </x:c>
      <x:c r="D318" s="152" t="e">
        <x:f>IF(B318="","",B318/MAX(B$5:B318)-1)</x:f>
        <x:v>#NAME?</x:v>
      </x:c>
      <x:c r="E318" s="146" t="e">
        <x:f>IF(OR('实盘净值数据(iFinD公式)'!$A318="",'实盘净值数据(iFinD公式)'!$B318=""),"",分期持仓明细!$AD$18*SUMPRODUCT(分期持仓明细!$B$18:$AA$18,'实盘净值数据(iFinD公式)'!$B318:$AA318/'实盘净值数据(iFinD公式)'!$B$20:$AA$20)*(1-实盘持仓初始配置!$Z$5)^(('实盘净值数据(iFinD公式)'!$A318-'实盘净值数据(iFinD公式)'!$A$5)/365))</x:f>
        <x:v>#NAME?</x:v>
      </x:c>
      <x:c r="F318" s="152" t="e">
        <x:f>IF(OR(E317="",E318=""),"",E318/E317-1)</x:f>
        <x:v>#NAME?</x:v>
      </x:c>
      <x:c r="G318" s="152" t="e">
        <x:f>IF(E318="","",E318/MAX(E$5:E318)-1)</x:f>
        <x:v>#NAME?</x:v>
      </x:c>
      <x:c r="H318" s="146" t="e">
        <x:f>IF(OR('实盘净值数据(iFinD公式)'!$A318="",'实盘净值数据(iFinD公式)'!$B318=""),"",分期持仓明细!$AD$19*SUMPRODUCT(分期持仓明细!$B$19:$AA$19,'实盘净值数据(iFinD公式)'!$B318:$AA318/'实盘净值数据(iFinD公式)'!$B$20:$AA$20)*(1-实盘持仓初始配置!$Z$6)^(('实盘净值数据(iFinD公式)'!$A318-'实盘净值数据(iFinD公式)'!$A$7)/365))</x:f>
        <x:v>#NAME?</x:v>
      </x:c>
      <x:c r="I318" s="152" t="e">
        <x:f>IF(OR(H317="",H318=""),"",H318/H317-1)</x:f>
        <x:v>#NAME?</x:v>
      </x:c>
      <x:c r="J318" s="152" t="e">
        <x:f>IF(H318="","",H318/MAX(H$5:H318)-1)</x:f>
        <x:v>#NAME?</x:v>
      </x:c>
      <x:c r="K318" s="146" t="e">
        <x:f>IF(OR('实盘净值数据(iFinD公式)'!$A318="",'实盘净值数据(iFinD公式)'!$B318=""),"",分期持仓明细!$AD$23*SUMPRODUCT(分期持仓明细!$B$23:$AA$23,'实盘净值数据(iFinD公式)'!$B318:$AA318/'实盘净值数据(iFinD公式)'!$B$65:$AA$65)*(1-实盘持仓初始配置!$Z$7)^(('实盘净值数据(iFinD公式)'!$A318-'实盘净值数据(iFinD公式)'!$A$8)/365))</x:f>
        <x:v>#NAME?</x:v>
      </x:c>
      <x:c r="L318" s="152" t="e">
        <x:f>IF(OR(K317="",K318=""),"",K318/K317-1)</x:f>
        <x:v>#NAME?</x:v>
      </x:c>
      <x:c r="M318" s="152" t="e">
        <x:f>IF(K318="","",K318/MAX(K$5:K318)-1)</x:f>
        <x:v>#NAME?</x:v>
      </x:c>
      <x:c r="N318" s="146" t="e">
        <x:f>IF(OR('实盘净值数据(iFinD公式)'!$A318="",'实盘净值数据(iFinD公式)'!$B318=""),"",分期持仓明细!$AD$24*SUMPRODUCT(分期持仓明细!$B$24:$AA$24,'实盘净值数据(iFinD公式)'!$B318:$AA318/'实盘净值数据(iFinD公式)'!$B$65:$AA$65)*(1-实盘持仓初始配置!$Z$8)^(('实盘净值数据(iFinD公式)'!$A318-'实盘净值数据(iFinD公式)'!$A$5)/365))</x:f>
        <x:v>#NAME?</x:v>
      </x:c>
      <x:c r="O318" s="152" t="e">
        <x:f>IF(OR(N317="",N318=""),"",N318/N317-1)</x:f>
        <x:v>#NAME?</x:v>
      </x:c>
      <x:c r="P318" s="152" t="e">
        <x:f>IF(N318="","",N318/MAX(N$5:N318)-1)</x:f>
        <x:v>#NAME?</x:v>
      </x:c>
      <x:c r="Q318" s="146" t="e">
        <x:f>IF(OR('实盘净值数据(iFinD公式)'!$A318="",'实盘净值数据(iFinD公式)'!$B318=""),"",分期持仓明细!$AD$25*SUMPRODUCT(分期持仓明细!$B$25:$AA$25,'实盘净值数据(iFinD公式)'!$B318:$AA318/'实盘净值数据(iFinD公式)'!$B$65:$AA$65)*(1-实盘持仓初始配置!$Z$9)^(('实盘净值数据(iFinD公式)'!$A318-'实盘净值数据(iFinD公式)'!$A$8)/365))</x:f>
        <x:v>#NAME?</x:v>
      </x:c>
      <x:c r="R318" s="152" t="e">
        <x:f>IF(OR(Q317="",Q318=""),"",Q318/Q317-1)</x:f>
        <x:v>#NAME?</x:v>
      </x:c>
      <x:c r="S318" s="152" t="e">
        <x:f>IF(Q318="","",Q318/MAX(Q$5:Q318)-1)</x:f>
        <x:v>#NAME?</x:v>
      </x:c>
    </x:row>
    <x:row r="319">
      <x:c r="A319" s="149" t="str">
        <x:f>IF('实盘净值数据(iFinD公式)'!A319="","",'实盘净值数据(iFinD公式)'!A319)</x:f>
      </x:c>
      <x:c r="B319" s="146" t="e">
        <x:f>IF(OR('实盘净值数据(iFinD公式)'!$A319="",'实盘净值数据(iFinD公式)'!$B319=""),"",分期持仓明细!$AD$17*SUMPRODUCT(分期持仓明细!$B$17:$AA$17,'实盘净值数据(iFinD公式)'!$B319:$AA319/'实盘净值数据(iFinD公式)'!$B$20:$AA$20)*(1-实盘持仓初始配置!$Z$4)^(('实盘净值数据(iFinD公式)'!$A319-'实盘净值数据(iFinD公式)'!$A$6)/365))</x:f>
        <x:v>#NAME?</x:v>
      </x:c>
      <x:c r="C319" s="152" t="e">
        <x:f>IF(OR(B318="",B319=""),"",B319/B318-1)</x:f>
        <x:v>#NAME?</x:v>
      </x:c>
      <x:c r="D319" s="152" t="e">
        <x:f>IF(B319="","",B319/MAX(B$5:B319)-1)</x:f>
        <x:v>#NAME?</x:v>
      </x:c>
      <x:c r="E319" s="146" t="e">
        <x:f>IF(OR('实盘净值数据(iFinD公式)'!$A319="",'实盘净值数据(iFinD公式)'!$B319=""),"",分期持仓明细!$AD$18*SUMPRODUCT(分期持仓明细!$B$18:$AA$18,'实盘净值数据(iFinD公式)'!$B319:$AA319/'实盘净值数据(iFinD公式)'!$B$20:$AA$20)*(1-实盘持仓初始配置!$Z$5)^(('实盘净值数据(iFinD公式)'!$A319-'实盘净值数据(iFinD公式)'!$A$5)/365))</x:f>
        <x:v>#NAME?</x:v>
      </x:c>
      <x:c r="F319" s="152" t="e">
        <x:f>IF(OR(E318="",E319=""),"",E319/E318-1)</x:f>
        <x:v>#NAME?</x:v>
      </x:c>
      <x:c r="G319" s="152" t="e">
        <x:f>IF(E319="","",E319/MAX(E$5:E319)-1)</x:f>
        <x:v>#NAME?</x:v>
      </x:c>
      <x:c r="H319" s="146" t="e">
        <x:f>IF(OR('实盘净值数据(iFinD公式)'!$A319="",'实盘净值数据(iFinD公式)'!$B319=""),"",分期持仓明细!$AD$19*SUMPRODUCT(分期持仓明细!$B$19:$AA$19,'实盘净值数据(iFinD公式)'!$B319:$AA319/'实盘净值数据(iFinD公式)'!$B$20:$AA$20)*(1-实盘持仓初始配置!$Z$6)^(('实盘净值数据(iFinD公式)'!$A319-'实盘净值数据(iFinD公式)'!$A$7)/365))</x:f>
        <x:v>#NAME?</x:v>
      </x:c>
      <x:c r="I319" s="152" t="e">
        <x:f>IF(OR(H318="",H319=""),"",H319/H318-1)</x:f>
        <x:v>#NAME?</x:v>
      </x:c>
      <x:c r="J319" s="152" t="e">
        <x:f>IF(H319="","",H319/MAX(H$5:H319)-1)</x:f>
        <x:v>#NAME?</x:v>
      </x:c>
      <x:c r="K319" s="146" t="e">
        <x:f>IF(OR('实盘净值数据(iFinD公式)'!$A319="",'实盘净值数据(iFinD公式)'!$B319=""),"",分期持仓明细!$AD$23*SUMPRODUCT(分期持仓明细!$B$23:$AA$23,'实盘净值数据(iFinD公式)'!$B319:$AA319/'实盘净值数据(iFinD公式)'!$B$65:$AA$65)*(1-实盘持仓初始配置!$Z$7)^(('实盘净值数据(iFinD公式)'!$A319-'实盘净值数据(iFinD公式)'!$A$8)/365))</x:f>
        <x:v>#NAME?</x:v>
      </x:c>
      <x:c r="L319" s="152" t="e">
        <x:f>IF(OR(K318="",K319=""),"",K319/K318-1)</x:f>
        <x:v>#NAME?</x:v>
      </x:c>
      <x:c r="M319" s="152" t="e">
        <x:f>IF(K319="","",K319/MAX(K$5:K319)-1)</x:f>
        <x:v>#NAME?</x:v>
      </x:c>
      <x:c r="N319" s="146" t="e">
        <x:f>IF(OR('实盘净值数据(iFinD公式)'!$A319="",'实盘净值数据(iFinD公式)'!$B319=""),"",分期持仓明细!$AD$24*SUMPRODUCT(分期持仓明细!$B$24:$AA$24,'实盘净值数据(iFinD公式)'!$B319:$AA319/'实盘净值数据(iFinD公式)'!$B$65:$AA$65)*(1-实盘持仓初始配置!$Z$8)^(('实盘净值数据(iFinD公式)'!$A319-'实盘净值数据(iFinD公式)'!$A$5)/365))</x:f>
        <x:v>#NAME?</x:v>
      </x:c>
      <x:c r="O319" s="152" t="e">
        <x:f>IF(OR(N318="",N319=""),"",N319/N318-1)</x:f>
        <x:v>#NAME?</x:v>
      </x:c>
      <x:c r="P319" s="152" t="e">
        <x:f>IF(N319="","",N319/MAX(N$5:N319)-1)</x:f>
        <x:v>#NAME?</x:v>
      </x:c>
      <x:c r="Q319" s="146" t="e">
        <x:f>IF(OR('实盘净值数据(iFinD公式)'!$A319="",'实盘净值数据(iFinD公式)'!$B319=""),"",分期持仓明细!$AD$25*SUMPRODUCT(分期持仓明细!$B$25:$AA$25,'实盘净值数据(iFinD公式)'!$B319:$AA319/'实盘净值数据(iFinD公式)'!$B$65:$AA$65)*(1-实盘持仓初始配置!$Z$9)^(('实盘净值数据(iFinD公式)'!$A319-'实盘净值数据(iFinD公式)'!$A$8)/365))</x:f>
        <x:v>#NAME?</x:v>
      </x:c>
      <x:c r="R319" s="152" t="e">
        <x:f>IF(OR(Q318="",Q319=""),"",Q319/Q318-1)</x:f>
        <x:v>#NAME?</x:v>
      </x:c>
      <x:c r="S319" s="152" t="e">
        <x:f>IF(Q319="","",Q319/MAX(Q$5:Q319)-1)</x:f>
        <x:v>#NAME?</x:v>
      </x:c>
    </x:row>
    <x:row r="320">
      <x:c r="A320" s="149" t="str">
        <x:f>IF('实盘净值数据(iFinD公式)'!A320="","",'实盘净值数据(iFinD公式)'!A320)</x:f>
      </x:c>
      <x:c r="B320" s="146" t="e">
        <x:f>IF(OR('实盘净值数据(iFinD公式)'!$A320="",'实盘净值数据(iFinD公式)'!$B320=""),"",分期持仓明细!$AD$17*SUMPRODUCT(分期持仓明细!$B$17:$AA$17,'实盘净值数据(iFinD公式)'!$B320:$AA320/'实盘净值数据(iFinD公式)'!$B$20:$AA$20)*(1-实盘持仓初始配置!$Z$4)^(('实盘净值数据(iFinD公式)'!$A320-'实盘净值数据(iFinD公式)'!$A$6)/365))</x:f>
        <x:v>#NAME?</x:v>
      </x:c>
      <x:c r="C320" s="152" t="e">
        <x:f>IF(OR(B319="",B320=""),"",B320/B319-1)</x:f>
        <x:v>#NAME?</x:v>
      </x:c>
      <x:c r="D320" s="152" t="e">
        <x:f>IF(B320="","",B320/MAX(B$5:B320)-1)</x:f>
        <x:v>#NAME?</x:v>
      </x:c>
      <x:c r="E320" s="146" t="e">
        <x:f>IF(OR('实盘净值数据(iFinD公式)'!$A320="",'实盘净值数据(iFinD公式)'!$B320=""),"",分期持仓明细!$AD$18*SUMPRODUCT(分期持仓明细!$B$18:$AA$18,'实盘净值数据(iFinD公式)'!$B320:$AA320/'实盘净值数据(iFinD公式)'!$B$20:$AA$20)*(1-实盘持仓初始配置!$Z$5)^(('实盘净值数据(iFinD公式)'!$A320-'实盘净值数据(iFinD公式)'!$A$5)/365))</x:f>
        <x:v>#NAME?</x:v>
      </x:c>
      <x:c r="F320" s="152" t="e">
        <x:f>IF(OR(E319="",E320=""),"",E320/E319-1)</x:f>
        <x:v>#NAME?</x:v>
      </x:c>
      <x:c r="G320" s="152" t="e">
        <x:f>IF(E320="","",E320/MAX(E$5:E320)-1)</x:f>
        <x:v>#NAME?</x:v>
      </x:c>
      <x:c r="H320" s="146" t="e">
        <x:f>IF(OR('实盘净值数据(iFinD公式)'!$A320="",'实盘净值数据(iFinD公式)'!$B320=""),"",分期持仓明细!$AD$19*SUMPRODUCT(分期持仓明细!$B$19:$AA$19,'实盘净值数据(iFinD公式)'!$B320:$AA320/'实盘净值数据(iFinD公式)'!$B$20:$AA$20)*(1-实盘持仓初始配置!$Z$6)^(('实盘净值数据(iFinD公式)'!$A320-'实盘净值数据(iFinD公式)'!$A$7)/365))</x:f>
        <x:v>#NAME?</x:v>
      </x:c>
      <x:c r="I320" s="152" t="e">
        <x:f>IF(OR(H319="",H320=""),"",H320/H319-1)</x:f>
        <x:v>#NAME?</x:v>
      </x:c>
      <x:c r="J320" s="152" t="e">
        <x:f>IF(H320="","",H320/MAX(H$5:H320)-1)</x:f>
        <x:v>#NAME?</x:v>
      </x:c>
      <x:c r="K320" s="146" t="e">
        <x:f>IF(OR('实盘净值数据(iFinD公式)'!$A320="",'实盘净值数据(iFinD公式)'!$B320=""),"",分期持仓明细!$AD$23*SUMPRODUCT(分期持仓明细!$B$23:$AA$23,'实盘净值数据(iFinD公式)'!$B320:$AA320/'实盘净值数据(iFinD公式)'!$B$65:$AA$65)*(1-实盘持仓初始配置!$Z$7)^(('实盘净值数据(iFinD公式)'!$A320-'实盘净值数据(iFinD公式)'!$A$8)/365))</x:f>
        <x:v>#NAME?</x:v>
      </x:c>
      <x:c r="L320" s="152" t="e">
        <x:f>IF(OR(K319="",K320=""),"",K320/K319-1)</x:f>
        <x:v>#NAME?</x:v>
      </x:c>
      <x:c r="M320" s="152" t="e">
        <x:f>IF(K320="","",K320/MAX(K$5:K320)-1)</x:f>
        <x:v>#NAME?</x:v>
      </x:c>
      <x:c r="N320" s="146" t="e">
        <x:f>IF(OR('实盘净值数据(iFinD公式)'!$A320="",'实盘净值数据(iFinD公式)'!$B320=""),"",分期持仓明细!$AD$24*SUMPRODUCT(分期持仓明细!$B$24:$AA$24,'实盘净值数据(iFinD公式)'!$B320:$AA320/'实盘净值数据(iFinD公式)'!$B$65:$AA$65)*(1-实盘持仓初始配置!$Z$8)^(('实盘净值数据(iFinD公式)'!$A320-'实盘净值数据(iFinD公式)'!$A$5)/365))</x:f>
        <x:v>#NAME?</x:v>
      </x:c>
      <x:c r="O320" s="152" t="e">
        <x:f>IF(OR(N319="",N320=""),"",N320/N319-1)</x:f>
        <x:v>#NAME?</x:v>
      </x:c>
      <x:c r="P320" s="152" t="e">
        <x:f>IF(N320="","",N320/MAX(N$5:N320)-1)</x:f>
        <x:v>#NAME?</x:v>
      </x:c>
      <x:c r="Q320" s="146" t="e">
        <x:f>IF(OR('实盘净值数据(iFinD公式)'!$A320="",'实盘净值数据(iFinD公式)'!$B320=""),"",分期持仓明细!$AD$25*SUMPRODUCT(分期持仓明细!$B$25:$AA$25,'实盘净值数据(iFinD公式)'!$B320:$AA320/'实盘净值数据(iFinD公式)'!$B$65:$AA$65)*(1-实盘持仓初始配置!$Z$9)^(('实盘净值数据(iFinD公式)'!$A320-'实盘净值数据(iFinD公式)'!$A$8)/365))</x:f>
        <x:v>#NAME?</x:v>
      </x:c>
      <x:c r="R320" s="152" t="e">
        <x:f>IF(OR(Q319="",Q320=""),"",Q320/Q319-1)</x:f>
        <x:v>#NAME?</x:v>
      </x:c>
      <x:c r="S320" s="152" t="e">
        <x:f>IF(Q320="","",Q320/MAX(Q$5:Q320)-1)</x:f>
        <x:v>#NAME?</x:v>
      </x:c>
    </x:row>
    <x:row r="321">
      <x:c r="A321" s="149" t="str">
        <x:f>IF('实盘净值数据(iFinD公式)'!A321="","",'实盘净值数据(iFinD公式)'!A321)</x:f>
      </x:c>
      <x:c r="B321" s="146" t="e">
        <x:f>IF(OR('实盘净值数据(iFinD公式)'!$A321="",'实盘净值数据(iFinD公式)'!$B321=""),"",分期持仓明细!$AD$17*SUMPRODUCT(分期持仓明细!$B$17:$AA$17,'实盘净值数据(iFinD公式)'!$B321:$AA321/'实盘净值数据(iFinD公式)'!$B$20:$AA$20)*(1-实盘持仓初始配置!$Z$4)^(('实盘净值数据(iFinD公式)'!$A321-'实盘净值数据(iFinD公式)'!$A$6)/365))</x:f>
        <x:v>#NAME?</x:v>
      </x:c>
      <x:c r="C321" s="152" t="e">
        <x:f>IF(OR(B320="",B321=""),"",B321/B320-1)</x:f>
        <x:v>#NAME?</x:v>
      </x:c>
      <x:c r="D321" s="152" t="e">
        <x:f>IF(B321="","",B321/MAX(B$5:B321)-1)</x:f>
        <x:v>#NAME?</x:v>
      </x:c>
      <x:c r="E321" s="146" t="e">
        <x:f>IF(OR('实盘净值数据(iFinD公式)'!$A321="",'实盘净值数据(iFinD公式)'!$B321=""),"",分期持仓明细!$AD$18*SUMPRODUCT(分期持仓明细!$B$18:$AA$18,'实盘净值数据(iFinD公式)'!$B321:$AA321/'实盘净值数据(iFinD公式)'!$B$20:$AA$20)*(1-实盘持仓初始配置!$Z$5)^(('实盘净值数据(iFinD公式)'!$A321-'实盘净值数据(iFinD公式)'!$A$5)/365))</x:f>
        <x:v>#NAME?</x:v>
      </x:c>
      <x:c r="F321" s="152" t="e">
        <x:f>IF(OR(E320="",E321=""),"",E321/E320-1)</x:f>
        <x:v>#NAME?</x:v>
      </x:c>
      <x:c r="G321" s="152" t="e">
        <x:f>IF(E321="","",E321/MAX(E$5:E321)-1)</x:f>
        <x:v>#NAME?</x:v>
      </x:c>
      <x:c r="H321" s="146" t="e">
        <x:f>IF(OR('实盘净值数据(iFinD公式)'!$A321="",'实盘净值数据(iFinD公式)'!$B321=""),"",分期持仓明细!$AD$19*SUMPRODUCT(分期持仓明细!$B$19:$AA$19,'实盘净值数据(iFinD公式)'!$B321:$AA321/'实盘净值数据(iFinD公式)'!$B$20:$AA$20)*(1-实盘持仓初始配置!$Z$6)^(('实盘净值数据(iFinD公式)'!$A321-'实盘净值数据(iFinD公式)'!$A$7)/365))</x:f>
        <x:v>#NAME?</x:v>
      </x:c>
      <x:c r="I321" s="152" t="e">
        <x:f>IF(OR(H320="",H321=""),"",H321/H320-1)</x:f>
        <x:v>#NAME?</x:v>
      </x:c>
      <x:c r="J321" s="152" t="e">
        <x:f>IF(H321="","",H321/MAX(H$5:H321)-1)</x:f>
        <x:v>#NAME?</x:v>
      </x:c>
      <x:c r="K321" s="146" t="e">
        <x:f>IF(OR('实盘净值数据(iFinD公式)'!$A321="",'实盘净值数据(iFinD公式)'!$B321=""),"",分期持仓明细!$AD$23*SUMPRODUCT(分期持仓明细!$B$23:$AA$23,'实盘净值数据(iFinD公式)'!$B321:$AA321/'实盘净值数据(iFinD公式)'!$B$65:$AA$65)*(1-实盘持仓初始配置!$Z$7)^(('实盘净值数据(iFinD公式)'!$A321-'实盘净值数据(iFinD公式)'!$A$8)/365))</x:f>
        <x:v>#NAME?</x:v>
      </x:c>
      <x:c r="L321" s="152" t="e">
        <x:f>IF(OR(K320="",K321=""),"",K321/K320-1)</x:f>
        <x:v>#NAME?</x:v>
      </x:c>
      <x:c r="M321" s="152" t="e">
        <x:f>IF(K321="","",K321/MAX(K$5:K321)-1)</x:f>
        <x:v>#NAME?</x:v>
      </x:c>
      <x:c r="N321" s="146" t="e">
        <x:f>IF(OR('实盘净值数据(iFinD公式)'!$A321="",'实盘净值数据(iFinD公式)'!$B321=""),"",分期持仓明细!$AD$24*SUMPRODUCT(分期持仓明细!$B$24:$AA$24,'实盘净值数据(iFinD公式)'!$B321:$AA321/'实盘净值数据(iFinD公式)'!$B$65:$AA$65)*(1-实盘持仓初始配置!$Z$8)^(('实盘净值数据(iFinD公式)'!$A321-'实盘净值数据(iFinD公式)'!$A$5)/365))</x:f>
        <x:v>#NAME?</x:v>
      </x:c>
      <x:c r="O321" s="152" t="e">
        <x:f>IF(OR(N320="",N321=""),"",N321/N320-1)</x:f>
        <x:v>#NAME?</x:v>
      </x:c>
      <x:c r="P321" s="152" t="e">
        <x:f>IF(N321="","",N321/MAX(N$5:N321)-1)</x:f>
        <x:v>#NAME?</x:v>
      </x:c>
      <x:c r="Q321" s="146" t="e">
        <x:f>IF(OR('实盘净值数据(iFinD公式)'!$A321="",'实盘净值数据(iFinD公式)'!$B321=""),"",分期持仓明细!$AD$25*SUMPRODUCT(分期持仓明细!$B$25:$AA$25,'实盘净值数据(iFinD公式)'!$B321:$AA321/'实盘净值数据(iFinD公式)'!$B$65:$AA$65)*(1-实盘持仓初始配置!$Z$9)^(('实盘净值数据(iFinD公式)'!$A321-'实盘净值数据(iFinD公式)'!$A$8)/365))</x:f>
        <x:v>#NAME?</x:v>
      </x:c>
      <x:c r="R321" s="152" t="e">
        <x:f>IF(OR(Q320="",Q321=""),"",Q321/Q320-1)</x:f>
        <x:v>#NAME?</x:v>
      </x:c>
      <x:c r="S321" s="152" t="e">
        <x:f>IF(Q321="","",Q321/MAX(Q$5:Q321)-1)</x:f>
        <x:v>#NAME?</x:v>
      </x:c>
    </x:row>
    <x:row r="322">
      <x:c r="A322" s="149" t="str">
        <x:f>IF('实盘净值数据(iFinD公式)'!A322="","",'实盘净值数据(iFinD公式)'!A322)</x:f>
      </x:c>
      <x:c r="B322" s="146" t="e">
        <x:f>IF(OR('实盘净值数据(iFinD公式)'!$A322="",'实盘净值数据(iFinD公式)'!$B322=""),"",分期持仓明细!$AD$17*SUMPRODUCT(分期持仓明细!$B$17:$AA$17,'实盘净值数据(iFinD公式)'!$B322:$AA322/'实盘净值数据(iFinD公式)'!$B$20:$AA$20)*(1-实盘持仓初始配置!$Z$4)^(('实盘净值数据(iFinD公式)'!$A322-'实盘净值数据(iFinD公式)'!$A$6)/365))</x:f>
        <x:v>#NAME?</x:v>
      </x:c>
      <x:c r="C322" s="152" t="e">
        <x:f>IF(OR(B321="",B322=""),"",B322/B321-1)</x:f>
        <x:v>#NAME?</x:v>
      </x:c>
      <x:c r="D322" s="152" t="e">
        <x:f>IF(B322="","",B322/MAX(B$5:B322)-1)</x:f>
        <x:v>#NAME?</x:v>
      </x:c>
      <x:c r="E322" s="146" t="e">
        <x:f>IF(OR('实盘净值数据(iFinD公式)'!$A322="",'实盘净值数据(iFinD公式)'!$B322=""),"",分期持仓明细!$AD$18*SUMPRODUCT(分期持仓明细!$B$18:$AA$18,'实盘净值数据(iFinD公式)'!$B322:$AA322/'实盘净值数据(iFinD公式)'!$B$20:$AA$20)*(1-实盘持仓初始配置!$Z$5)^(('实盘净值数据(iFinD公式)'!$A322-'实盘净值数据(iFinD公式)'!$A$5)/365))</x:f>
        <x:v>#NAME?</x:v>
      </x:c>
      <x:c r="F322" s="152" t="e">
        <x:f>IF(OR(E321="",E322=""),"",E322/E321-1)</x:f>
        <x:v>#NAME?</x:v>
      </x:c>
      <x:c r="G322" s="152" t="e">
        <x:f>IF(E322="","",E322/MAX(E$5:E322)-1)</x:f>
        <x:v>#NAME?</x:v>
      </x:c>
      <x:c r="H322" s="146" t="e">
        <x:f>IF(OR('实盘净值数据(iFinD公式)'!$A322="",'实盘净值数据(iFinD公式)'!$B322=""),"",分期持仓明细!$AD$19*SUMPRODUCT(分期持仓明细!$B$19:$AA$19,'实盘净值数据(iFinD公式)'!$B322:$AA322/'实盘净值数据(iFinD公式)'!$B$20:$AA$20)*(1-实盘持仓初始配置!$Z$6)^(('实盘净值数据(iFinD公式)'!$A322-'实盘净值数据(iFinD公式)'!$A$7)/365))</x:f>
        <x:v>#NAME?</x:v>
      </x:c>
      <x:c r="I322" s="152" t="e">
        <x:f>IF(OR(H321="",H322=""),"",H322/H321-1)</x:f>
        <x:v>#NAME?</x:v>
      </x:c>
      <x:c r="J322" s="152" t="e">
        <x:f>IF(H322="","",H322/MAX(H$5:H322)-1)</x:f>
        <x:v>#NAME?</x:v>
      </x:c>
      <x:c r="K322" s="146" t="e">
        <x:f>IF(OR('实盘净值数据(iFinD公式)'!$A322="",'实盘净值数据(iFinD公式)'!$B322=""),"",分期持仓明细!$AD$23*SUMPRODUCT(分期持仓明细!$B$23:$AA$23,'实盘净值数据(iFinD公式)'!$B322:$AA322/'实盘净值数据(iFinD公式)'!$B$65:$AA$65)*(1-实盘持仓初始配置!$Z$7)^(('实盘净值数据(iFinD公式)'!$A322-'实盘净值数据(iFinD公式)'!$A$8)/365))</x:f>
        <x:v>#NAME?</x:v>
      </x:c>
      <x:c r="L322" s="152" t="e">
        <x:f>IF(OR(K321="",K322=""),"",K322/K321-1)</x:f>
        <x:v>#NAME?</x:v>
      </x:c>
      <x:c r="M322" s="152" t="e">
        <x:f>IF(K322="","",K322/MAX(K$5:K322)-1)</x:f>
        <x:v>#NAME?</x:v>
      </x:c>
      <x:c r="N322" s="146" t="e">
        <x:f>IF(OR('实盘净值数据(iFinD公式)'!$A322="",'实盘净值数据(iFinD公式)'!$B322=""),"",分期持仓明细!$AD$24*SUMPRODUCT(分期持仓明细!$B$24:$AA$24,'实盘净值数据(iFinD公式)'!$B322:$AA322/'实盘净值数据(iFinD公式)'!$B$65:$AA$65)*(1-实盘持仓初始配置!$Z$8)^(('实盘净值数据(iFinD公式)'!$A322-'实盘净值数据(iFinD公式)'!$A$5)/365))</x:f>
        <x:v>#NAME?</x:v>
      </x:c>
      <x:c r="O322" s="152" t="e">
        <x:f>IF(OR(N321="",N322=""),"",N322/N321-1)</x:f>
        <x:v>#NAME?</x:v>
      </x:c>
      <x:c r="P322" s="152" t="e">
        <x:f>IF(N322="","",N322/MAX(N$5:N322)-1)</x:f>
        <x:v>#NAME?</x:v>
      </x:c>
      <x:c r="Q322" s="146" t="e">
        <x:f>IF(OR('实盘净值数据(iFinD公式)'!$A322="",'实盘净值数据(iFinD公式)'!$B322=""),"",分期持仓明细!$AD$25*SUMPRODUCT(分期持仓明细!$B$25:$AA$25,'实盘净值数据(iFinD公式)'!$B322:$AA322/'实盘净值数据(iFinD公式)'!$B$65:$AA$65)*(1-实盘持仓初始配置!$Z$9)^(('实盘净值数据(iFinD公式)'!$A322-'实盘净值数据(iFinD公式)'!$A$8)/365))</x:f>
        <x:v>#NAME?</x:v>
      </x:c>
      <x:c r="R322" s="152" t="e">
        <x:f>IF(OR(Q321="",Q322=""),"",Q322/Q321-1)</x:f>
        <x:v>#NAME?</x:v>
      </x:c>
      <x:c r="S322" s="152" t="e">
        <x:f>IF(Q322="","",Q322/MAX(Q$5:Q322)-1)</x:f>
        <x:v>#NAME?</x:v>
      </x:c>
    </x:row>
    <x:row r="323">
      <x:c r="A323" s="149" t="str">
        <x:f>IF('实盘净值数据(iFinD公式)'!A323="","",'实盘净值数据(iFinD公式)'!A323)</x:f>
      </x:c>
      <x:c r="B323" s="146" t="e">
        <x:f>IF(OR('实盘净值数据(iFinD公式)'!$A323="",'实盘净值数据(iFinD公式)'!$B323=""),"",分期持仓明细!$AD$17*SUMPRODUCT(分期持仓明细!$B$17:$AA$17,'实盘净值数据(iFinD公式)'!$B323:$AA323/'实盘净值数据(iFinD公式)'!$B$20:$AA$20)*(1-实盘持仓初始配置!$Z$4)^(('实盘净值数据(iFinD公式)'!$A323-'实盘净值数据(iFinD公式)'!$A$6)/365))</x:f>
        <x:v>#NAME?</x:v>
      </x:c>
      <x:c r="C323" s="152" t="e">
        <x:f>IF(OR(B322="",B323=""),"",B323/B322-1)</x:f>
        <x:v>#NAME?</x:v>
      </x:c>
      <x:c r="D323" s="152" t="e">
        <x:f>IF(B323="","",B323/MAX(B$5:B323)-1)</x:f>
        <x:v>#NAME?</x:v>
      </x:c>
      <x:c r="E323" s="146" t="e">
        <x:f>IF(OR('实盘净值数据(iFinD公式)'!$A323="",'实盘净值数据(iFinD公式)'!$B323=""),"",分期持仓明细!$AD$18*SUMPRODUCT(分期持仓明细!$B$18:$AA$18,'实盘净值数据(iFinD公式)'!$B323:$AA323/'实盘净值数据(iFinD公式)'!$B$20:$AA$20)*(1-实盘持仓初始配置!$Z$5)^(('实盘净值数据(iFinD公式)'!$A323-'实盘净值数据(iFinD公式)'!$A$5)/365))</x:f>
        <x:v>#NAME?</x:v>
      </x:c>
      <x:c r="F323" s="152" t="e">
        <x:f>IF(OR(E322="",E323=""),"",E323/E322-1)</x:f>
        <x:v>#NAME?</x:v>
      </x:c>
      <x:c r="G323" s="152" t="e">
        <x:f>IF(E323="","",E323/MAX(E$5:E323)-1)</x:f>
        <x:v>#NAME?</x:v>
      </x:c>
      <x:c r="H323" s="146" t="e">
        <x:f>IF(OR('实盘净值数据(iFinD公式)'!$A323="",'实盘净值数据(iFinD公式)'!$B323=""),"",分期持仓明细!$AD$19*SUMPRODUCT(分期持仓明细!$B$19:$AA$19,'实盘净值数据(iFinD公式)'!$B323:$AA323/'实盘净值数据(iFinD公式)'!$B$20:$AA$20)*(1-实盘持仓初始配置!$Z$6)^(('实盘净值数据(iFinD公式)'!$A323-'实盘净值数据(iFinD公式)'!$A$7)/365))</x:f>
        <x:v>#NAME?</x:v>
      </x:c>
      <x:c r="I323" s="152" t="e">
        <x:f>IF(OR(H322="",H323=""),"",H323/H322-1)</x:f>
        <x:v>#NAME?</x:v>
      </x:c>
      <x:c r="J323" s="152" t="e">
        <x:f>IF(H323="","",H323/MAX(H$5:H323)-1)</x:f>
        <x:v>#NAME?</x:v>
      </x:c>
      <x:c r="K323" s="146" t="e">
        <x:f>IF(OR('实盘净值数据(iFinD公式)'!$A323="",'实盘净值数据(iFinD公式)'!$B323=""),"",分期持仓明细!$AD$23*SUMPRODUCT(分期持仓明细!$B$23:$AA$23,'实盘净值数据(iFinD公式)'!$B323:$AA323/'实盘净值数据(iFinD公式)'!$B$65:$AA$65)*(1-实盘持仓初始配置!$Z$7)^(('实盘净值数据(iFinD公式)'!$A323-'实盘净值数据(iFinD公式)'!$A$8)/365))</x:f>
        <x:v>#NAME?</x:v>
      </x:c>
      <x:c r="L323" s="152" t="e">
        <x:f>IF(OR(K322="",K323=""),"",K323/K322-1)</x:f>
        <x:v>#NAME?</x:v>
      </x:c>
      <x:c r="M323" s="152" t="e">
        <x:f>IF(K323="","",K323/MAX(K$5:K323)-1)</x:f>
        <x:v>#NAME?</x:v>
      </x:c>
      <x:c r="N323" s="146" t="e">
        <x:f>IF(OR('实盘净值数据(iFinD公式)'!$A323="",'实盘净值数据(iFinD公式)'!$B323=""),"",分期持仓明细!$AD$24*SUMPRODUCT(分期持仓明细!$B$24:$AA$24,'实盘净值数据(iFinD公式)'!$B323:$AA323/'实盘净值数据(iFinD公式)'!$B$65:$AA$65)*(1-实盘持仓初始配置!$Z$8)^(('实盘净值数据(iFinD公式)'!$A323-'实盘净值数据(iFinD公式)'!$A$5)/365))</x:f>
        <x:v>#NAME?</x:v>
      </x:c>
      <x:c r="O323" s="152" t="e">
        <x:f>IF(OR(N322="",N323=""),"",N323/N322-1)</x:f>
        <x:v>#NAME?</x:v>
      </x:c>
      <x:c r="P323" s="152" t="e">
        <x:f>IF(N323="","",N323/MAX(N$5:N323)-1)</x:f>
        <x:v>#NAME?</x:v>
      </x:c>
      <x:c r="Q323" s="146" t="e">
        <x:f>IF(OR('实盘净值数据(iFinD公式)'!$A323="",'实盘净值数据(iFinD公式)'!$B323=""),"",分期持仓明细!$AD$25*SUMPRODUCT(分期持仓明细!$B$25:$AA$25,'实盘净值数据(iFinD公式)'!$B323:$AA323/'实盘净值数据(iFinD公式)'!$B$65:$AA$65)*(1-实盘持仓初始配置!$Z$9)^(('实盘净值数据(iFinD公式)'!$A323-'实盘净值数据(iFinD公式)'!$A$8)/365))</x:f>
        <x:v>#NAME?</x:v>
      </x:c>
      <x:c r="R323" s="152" t="e">
        <x:f>IF(OR(Q322="",Q323=""),"",Q323/Q322-1)</x:f>
        <x:v>#NAME?</x:v>
      </x:c>
      <x:c r="S323" s="152" t="e">
        <x:f>IF(Q323="","",Q323/MAX(Q$5:Q323)-1)</x:f>
        <x:v>#NAME?</x:v>
      </x:c>
    </x:row>
    <x:row r="324">
      <x:c r="A324" s="149" t="str">
        <x:f>IF('实盘净值数据(iFinD公式)'!A324="","",'实盘净值数据(iFinD公式)'!A324)</x:f>
      </x:c>
      <x:c r="B324" s="146" t="e">
        <x:f>IF(OR('实盘净值数据(iFinD公式)'!$A324="",'实盘净值数据(iFinD公式)'!$B324=""),"",分期持仓明细!$AD$17*SUMPRODUCT(分期持仓明细!$B$17:$AA$17,'实盘净值数据(iFinD公式)'!$B324:$AA324/'实盘净值数据(iFinD公式)'!$B$20:$AA$20)*(1-实盘持仓初始配置!$Z$4)^(('实盘净值数据(iFinD公式)'!$A324-'实盘净值数据(iFinD公式)'!$A$6)/365))</x:f>
        <x:v>#NAME?</x:v>
      </x:c>
      <x:c r="C324" s="152" t="e">
        <x:f>IF(OR(B323="",B324=""),"",B324/B323-1)</x:f>
        <x:v>#NAME?</x:v>
      </x:c>
      <x:c r="D324" s="152" t="e">
        <x:f>IF(B324="","",B324/MAX(B$5:B324)-1)</x:f>
        <x:v>#NAME?</x:v>
      </x:c>
      <x:c r="E324" s="146" t="e">
        <x:f>IF(OR('实盘净值数据(iFinD公式)'!$A324="",'实盘净值数据(iFinD公式)'!$B324=""),"",分期持仓明细!$AD$18*SUMPRODUCT(分期持仓明细!$B$18:$AA$18,'实盘净值数据(iFinD公式)'!$B324:$AA324/'实盘净值数据(iFinD公式)'!$B$20:$AA$20)*(1-实盘持仓初始配置!$Z$5)^(('实盘净值数据(iFinD公式)'!$A324-'实盘净值数据(iFinD公式)'!$A$5)/365))</x:f>
        <x:v>#NAME?</x:v>
      </x:c>
      <x:c r="F324" s="152" t="e">
        <x:f>IF(OR(E323="",E324=""),"",E324/E323-1)</x:f>
        <x:v>#NAME?</x:v>
      </x:c>
      <x:c r="G324" s="152" t="e">
        <x:f>IF(E324="","",E324/MAX(E$5:E324)-1)</x:f>
        <x:v>#NAME?</x:v>
      </x:c>
      <x:c r="H324" s="146" t="e">
        <x:f>IF(OR('实盘净值数据(iFinD公式)'!$A324="",'实盘净值数据(iFinD公式)'!$B324=""),"",分期持仓明细!$AD$19*SUMPRODUCT(分期持仓明细!$B$19:$AA$19,'实盘净值数据(iFinD公式)'!$B324:$AA324/'实盘净值数据(iFinD公式)'!$B$20:$AA$20)*(1-实盘持仓初始配置!$Z$6)^(('实盘净值数据(iFinD公式)'!$A324-'实盘净值数据(iFinD公式)'!$A$7)/365))</x:f>
        <x:v>#NAME?</x:v>
      </x:c>
      <x:c r="I324" s="152" t="e">
        <x:f>IF(OR(H323="",H324=""),"",H324/H323-1)</x:f>
        <x:v>#NAME?</x:v>
      </x:c>
      <x:c r="J324" s="152" t="e">
        <x:f>IF(H324="","",H324/MAX(H$5:H324)-1)</x:f>
        <x:v>#NAME?</x:v>
      </x:c>
      <x:c r="K324" s="146" t="e">
        <x:f>IF(OR('实盘净值数据(iFinD公式)'!$A324="",'实盘净值数据(iFinD公式)'!$B324=""),"",分期持仓明细!$AD$23*SUMPRODUCT(分期持仓明细!$B$23:$AA$23,'实盘净值数据(iFinD公式)'!$B324:$AA324/'实盘净值数据(iFinD公式)'!$B$65:$AA$65)*(1-实盘持仓初始配置!$Z$7)^(('实盘净值数据(iFinD公式)'!$A324-'实盘净值数据(iFinD公式)'!$A$8)/365))</x:f>
        <x:v>#NAME?</x:v>
      </x:c>
      <x:c r="L324" s="152" t="e">
        <x:f>IF(OR(K323="",K324=""),"",K324/K323-1)</x:f>
        <x:v>#NAME?</x:v>
      </x:c>
      <x:c r="M324" s="152" t="e">
        <x:f>IF(K324="","",K324/MAX(K$5:K324)-1)</x:f>
        <x:v>#NAME?</x:v>
      </x:c>
      <x:c r="N324" s="146" t="e">
        <x:f>IF(OR('实盘净值数据(iFinD公式)'!$A324="",'实盘净值数据(iFinD公式)'!$B324=""),"",分期持仓明细!$AD$24*SUMPRODUCT(分期持仓明细!$B$24:$AA$24,'实盘净值数据(iFinD公式)'!$B324:$AA324/'实盘净值数据(iFinD公式)'!$B$65:$AA$65)*(1-实盘持仓初始配置!$Z$8)^(('实盘净值数据(iFinD公式)'!$A324-'实盘净值数据(iFinD公式)'!$A$5)/365))</x:f>
        <x:v>#NAME?</x:v>
      </x:c>
      <x:c r="O324" s="152" t="e">
        <x:f>IF(OR(N323="",N324=""),"",N324/N323-1)</x:f>
        <x:v>#NAME?</x:v>
      </x:c>
      <x:c r="P324" s="152" t="e">
        <x:f>IF(N324="","",N324/MAX(N$5:N324)-1)</x:f>
        <x:v>#NAME?</x:v>
      </x:c>
      <x:c r="Q324" s="146" t="e">
        <x:f>IF(OR('实盘净值数据(iFinD公式)'!$A324="",'实盘净值数据(iFinD公式)'!$B324=""),"",分期持仓明细!$AD$25*SUMPRODUCT(分期持仓明细!$B$25:$AA$25,'实盘净值数据(iFinD公式)'!$B324:$AA324/'实盘净值数据(iFinD公式)'!$B$65:$AA$65)*(1-实盘持仓初始配置!$Z$9)^(('实盘净值数据(iFinD公式)'!$A324-'实盘净值数据(iFinD公式)'!$A$8)/365))</x:f>
        <x:v>#NAME?</x:v>
      </x:c>
      <x:c r="R324" s="152" t="e">
        <x:f>IF(OR(Q323="",Q324=""),"",Q324/Q323-1)</x:f>
        <x:v>#NAME?</x:v>
      </x:c>
      <x:c r="S324" s="152" t="e">
        <x:f>IF(Q324="","",Q324/MAX(Q$5:Q324)-1)</x:f>
        <x:v>#NAME?</x:v>
      </x:c>
    </x:row>
    <x:row r="325">
      <x:c r="A325" s="149" t="str">
        <x:f>IF('实盘净值数据(iFinD公式)'!A325="","",'实盘净值数据(iFinD公式)'!A325)</x:f>
      </x:c>
      <x:c r="B325" s="146" t="e">
        <x:f>IF(OR('实盘净值数据(iFinD公式)'!$A325="",'实盘净值数据(iFinD公式)'!$B325=""),"",分期持仓明细!$AD$17*SUMPRODUCT(分期持仓明细!$B$17:$AA$17,'实盘净值数据(iFinD公式)'!$B325:$AA325/'实盘净值数据(iFinD公式)'!$B$20:$AA$20)*(1-实盘持仓初始配置!$Z$4)^(('实盘净值数据(iFinD公式)'!$A325-'实盘净值数据(iFinD公式)'!$A$6)/365))</x:f>
        <x:v>#NAME?</x:v>
      </x:c>
      <x:c r="C325" s="152" t="e">
        <x:f>IF(OR(B324="",B325=""),"",B325/B324-1)</x:f>
        <x:v>#NAME?</x:v>
      </x:c>
      <x:c r="D325" s="152" t="e">
        <x:f>IF(B325="","",B325/MAX(B$5:B325)-1)</x:f>
        <x:v>#NAME?</x:v>
      </x:c>
      <x:c r="E325" s="146" t="e">
        <x:f>IF(OR('实盘净值数据(iFinD公式)'!$A325="",'实盘净值数据(iFinD公式)'!$B325=""),"",分期持仓明细!$AD$18*SUMPRODUCT(分期持仓明细!$B$18:$AA$18,'实盘净值数据(iFinD公式)'!$B325:$AA325/'实盘净值数据(iFinD公式)'!$B$20:$AA$20)*(1-实盘持仓初始配置!$Z$5)^(('实盘净值数据(iFinD公式)'!$A325-'实盘净值数据(iFinD公式)'!$A$5)/365))</x:f>
        <x:v>#NAME?</x:v>
      </x:c>
      <x:c r="F325" s="152" t="e">
        <x:f>IF(OR(E324="",E325=""),"",E325/E324-1)</x:f>
        <x:v>#NAME?</x:v>
      </x:c>
      <x:c r="G325" s="152" t="e">
        <x:f>IF(E325="","",E325/MAX(E$5:E325)-1)</x:f>
        <x:v>#NAME?</x:v>
      </x:c>
      <x:c r="H325" s="146" t="e">
        <x:f>IF(OR('实盘净值数据(iFinD公式)'!$A325="",'实盘净值数据(iFinD公式)'!$B325=""),"",分期持仓明细!$AD$19*SUMPRODUCT(分期持仓明细!$B$19:$AA$19,'实盘净值数据(iFinD公式)'!$B325:$AA325/'实盘净值数据(iFinD公式)'!$B$20:$AA$20)*(1-实盘持仓初始配置!$Z$6)^(('实盘净值数据(iFinD公式)'!$A325-'实盘净值数据(iFinD公式)'!$A$7)/365))</x:f>
        <x:v>#NAME?</x:v>
      </x:c>
      <x:c r="I325" s="152" t="e">
        <x:f>IF(OR(H324="",H325=""),"",H325/H324-1)</x:f>
        <x:v>#NAME?</x:v>
      </x:c>
      <x:c r="J325" s="152" t="e">
        <x:f>IF(H325="","",H325/MAX(H$5:H325)-1)</x:f>
        <x:v>#NAME?</x:v>
      </x:c>
      <x:c r="K325" s="146" t="e">
        <x:f>IF(OR('实盘净值数据(iFinD公式)'!$A325="",'实盘净值数据(iFinD公式)'!$B325=""),"",分期持仓明细!$AD$23*SUMPRODUCT(分期持仓明细!$B$23:$AA$23,'实盘净值数据(iFinD公式)'!$B325:$AA325/'实盘净值数据(iFinD公式)'!$B$65:$AA$65)*(1-实盘持仓初始配置!$Z$7)^(('实盘净值数据(iFinD公式)'!$A325-'实盘净值数据(iFinD公式)'!$A$8)/365))</x:f>
        <x:v>#NAME?</x:v>
      </x:c>
      <x:c r="L325" s="152" t="e">
        <x:f>IF(OR(K324="",K325=""),"",K325/K324-1)</x:f>
        <x:v>#NAME?</x:v>
      </x:c>
      <x:c r="M325" s="152" t="e">
        <x:f>IF(K325="","",K325/MAX(K$5:K325)-1)</x:f>
        <x:v>#NAME?</x:v>
      </x:c>
      <x:c r="N325" s="146" t="e">
        <x:f>IF(OR('实盘净值数据(iFinD公式)'!$A325="",'实盘净值数据(iFinD公式)'!$B325=""),"",分期持仓明细!$AD$24*SUMPRODUCT(分期持仓明细!$B$24:$AA$24,'实盘净值数据(iFinD公式)'!$B325:$AA325/'实盘净值数据(iFinD公式)'!$B$65:$AA$65)*(1-实盘持仓初始配置!$Z$8)^(('实盘净值数据(iFinD公式)'!$A325-'实盘净值数据(iFinD公式)'!$A$5)/365))</x:f>
        <x:v>#NAME?</x:v>
      </x:c>
      <x:c r="O325" s="152" t="e">
        <x:f>IF(OR(N324="",N325=""),"",N325/N324-1)</x:f>
        <x:v>#NAME?</x:v>
      </x:c>
      <x:c r="P325" s="152" t="e">
        <x:f>IF(N325="","",N325/MAX(N$5:N325)-1)</x:f>
        <x:v>#NAME?</x:v>
      </x:c>
      <x:c r="Q325" s="146" t="e">
        <x:f>IF(OR('实盘净值数据(iFinD公式)'!$A325="",'实盘净值数据(iFinD公式)'!$B325=""),"",分期持仓明细!$AD$25*SUMPRODUCT(分期持仓明细!$B$25:$AA$25,'实盘净值数据(iFinD公式)'!$B325:$AA325/'实盘净值数据(iFinD公式)'!$B$65:$AA$65)*(1-实盘持仓初始配置!$Z$9)^(('实盘净值数据(iFinD公式)'!$A325-'实盘净值数据(iFinD公式)'!$A$8)/365))</x:f>
        <x:v>#NAME?</x:v>
      </x:c>
      <x:c r="R325" s="152" t="e">
        <x:f>IF(OR(Q324="",Q325=""),"",Q325/Q324-1)</x:f>
        <x:v>#NAME?</x:v>
      </x:c>
      <x:c r="S325" s="152" t="e">
        <x:f>IF(Q325="","",Q325/MAX(Q$5:Q325)-1)</x:f>
        <x:v>#NAME?</x:v>
      </x:c>
    </x:row>
    <x:row r="326">
      <x:c r="A326" s="149" t="str">
        <x:f>IF('实盘净值数据(iFinD公式)'!A326="","",'实盘净值数据(iFinD公式)'!A326)</x:f>
      </x:c>
      <x:c r="B326" s="146" t="e">
        <x:f>IF(OR('实盘净值数据(iFinD公式)'!$A326="",'实盘净值数据(iFinD公式)'!$B326=""),"",分期持仓明细!$AD$17*SUMPRODUCT(分期持仓明细!$B$17:$AA$17,'实盘净值数据(iFinD公式)'!$B326:$AA326/'实盘净值数据(iFinD公式)'!$B$20:$AA$20)*(1-实盘持仓初始配置!$Z$4)^(('实盘净值数据(iFinD公式)'!$A326-'实盘净值数据(iFinD公式)'!$A$6)/365))</x:f>
        <x:v>#NAME?</x:v>
      </x:c>
      <x:c r="C326" s="152" t="e">
        <x:f>IF(OR(B325="",B326=""),"",B326/B325-1)</x:f>
        <x:v>#NAME?</x:v>
      </x:c>
      <x:c r="D326" s="152" t="e">
        <x:f>IF(B326="","",B326/MAX(B$5:B326)-1)</x:f>
        <x:v>#NAME?</x:v>
      </x:c>
      <x:c r="E326" s="146" t="e">
        <x:f>IF(OR('实盘净值数据(iFinD公式)'!$A326="",'实盘净值数据(iFinD公式)'!$B326=""),"",分期持仓明细!$AD$18*SUMPRODUCT(分期持仓明细!$B$18:$AA$18,'实盘净值数据(iFinD公式)'!$B326:$AA326/'实盘净值数据(iFinD公式)'!$B$20:$AA$20)*(1-实盘持仓初始配置!$Z$5)^(('实盘净值数据(iFinD公式)'!$A326-'实盘净值数据(iFinD公式)'!$A$5)/365))</x:f>
        <x:v>#NAME?</x:v>
      </x:c>
      <x:c r="F326" s="152" t="e">
        <x:f>IF(OR(E325="",E326=""),"",E326/E325-1)</x:f>
        <x:v>#NAME?</x:v>
      </x:c>
      <x:c r="G326" s="152" t="e">
        <x:f>IF(E326="","",E326/MAX(E$5:E326)-1)</x:f>
        <x:v>#NAME?</x:v>
      </x:c>
      <x:c r="H326" s="146" t="e">
        <x:f>IF(OR('实盘净值数据(iFinD公式)'!$A326="",'实盘净值数据(iFinD公式)'!$B326=""),"",分期持仓明细!$AD$19*SUMPRODUCT(分期持仓明细!$B$19:$AA$19,'实盘净值数据(iFinD公式)'!$B326:$AA326/'实盘净值数据(iFinD公式)'!$B$20:$AA$20)*(1-实盘持仓初始配置!$Z$6)^(('实盘净值数据(iFinD公式)'!$A326-'实盘净值数据(iFinD公式)'!$A$7)/365))</x:f>
        <x:v>#NAME?</x:v>
      </x:c>
      <x:c r="I326" s="152" t="e">
        <x:f>IF(OR(H325="",H326=""),"",H326/H325-1)</x:f>
        <x:v>#NAME?</x:v>
      </x:c>
      <x:c r="J326" s="152" t="e">
        <x:f>IF(H326="","",H326/MAX(H$5:H326)-1)</x:f>
        <x:v>#NAME?</x:v>
      </x:c>
      <x:c r="K326" s="146" t="e">
        <x:f>IF(OR('实盘净值数据(iFinD公式)'!$A326="",'实盘净值数据(iFinD公式)'!$B326=""),"",分期持仓明细!$AD$23*SUMPRODUCT(分期持仓明细!$B$23:$AA$23,'实盘净值数据(iFinD公式)'!$B326:$AA326/'实盘净值数据(iFinD公式)'!$B$65:$AA$65)*(1-实盘持仓初始配置!$Z$7)^(('实盘净值数据(iFinD公式)'!$A326-'实盘净值数据(iFinD公式)'!$A$8)/365))</x:f>
        <x:v>#NAME?</x:v>
      </x:c>
      <x:c r="L326" s="152" t="e">
        <x:f>IF(OR(K325="",K326=""),"",K326/K325-1)</x:f>
        <x:v>#NAME?</x:v>
      </x:c>
      <x:c r="M326" s="152" t="e">
        <x:f>IF(K326="","",K326/MAX(K$5:K326)-1)</x:f>
        <x:v>#NAME?</x:v>
      </x:c>
      <x:c r="N326" s="146" t="e">
        <x:f>IF(OR('实盘净值数据(iFinD公式)'!$A326="",'实盘净值数据(iFinD公式)'!$B326=""),"",分期持仓明细!$AD$24*SUMPRODUCT(分期持仓明细!$B$24:$AA$24,'实盘净值数据(iFinD公式)'!$B326:$AA326/'实盘净值数据(iFinD公式)'!$B$65:$AA$65)*(1-实盘持仓初始配置!$Z$8)^(('实盘净值数据(iFinD公式)'!$A326-'实盘净值数据(iFinD公式)'!$A$5)/365))</x:f>
        <x:v>#NAME?</x:v>
      </x:c>
      <x:c r="O326" s="152" t="e">
        <x:f>IF(OR(N325="",N326=""),"",N326/N325-1)</x:f>
        <x:v>#NAME?</x:v>
      </x:c>
      <x:c r="P326" s="152" t="e">
        <x:f>IF(N326="","",N326/MAX(N$5:N326)-1)</x:f>
        <x:v>#NAME?</x:v>
      </x:c>
      <x:c r="Q326" s="146" t="e">
        <x:f>IF(OR('实盘净值数据(iFinD公式)'!$A326="",'实盘净值数据(iFinD公式)'!$B326=""),"",分期持仓明细!$AD$25*SUMPRODUCT(分期持仓明细!$B$25:$AA$25,'实盘净值数据(iFinD公式)'!$B326:$AA326/'实盘净值数据(iFinD公式)'!$B$65:$AA$65)*(1-实盘持仓初始配置!$Z$9)^(('实盘净值数据(iFinD公式)'!$A326-'实盘净值数据(iFinD公式)'!$A$8)/365))</x:f>
        <x:v>#NAME?</x:v>
      </x:c>
      <x:c r="R326" s="152" t="e">
        <x:f>IF(OR(Q325="",Q326=""),"",Q326/Q325-1)</x:f>
        <x:v>#NAME?</x:v>
      </x:c>
      <x:c r="S326" s="152" t="e">
        <x:f>IF(Q326="","",Q326/MAX(Q$5:Q326)-1)</x:f>
        <x:v>#NAME?</x:v>
      </x:c>
    </x:row>
    <x:row r="327">
      <x:c r="A327" s="149" t="str">
        <x:f>IF('实盘净值数据(iFinD公式)'!A327="","",'实盘净值数据(iFinD公式)'!A327)</x:f>
      </x:c>
      <x:c r="B327" s="146" t="e">
        <x:f>IF(OR('实盘净值数据(iFinD公式)'!$A327="",'实盘净值数据(iFinD公式)'!$B327=""),"",分期持仓明细!$AD$17*SUMPRODUCT(分期持仓明细!$B$17:$AA$17,'实盘净值数据(iFinD公式)'!$B327:$AA327/'实盘净值数据(iFinD公式)'!$B$20:$AA$20)*(1-实盘持仓初始配置!$Z$4)^(('实盘净值数据(iFinD公式)'!$A327-'实盘净值数据(iFinD公式)'!$A$6)/365))</x:f>
        <x:v>#NAME?</x:v>
      </x:c>
      <x:c r="C327" s="152" t="e">
        <x:f>IF(OR(B326="",B327=""),"",B327/B326-1)</x:f>
        <x:v>#NAME?</x:v>
      </x:c>
      <x:c r="D327" s="152" t="e">
        <x:f>IF(B327="","",B327/MAX(B$5:B327)-1)</x:f>
        <x:v>#NAME?</x:v>
      </x:c>
      <x:c r="E327" s="146" t="e">
        <x:f>IF(OR('实盘净值数据(iFinD公式)'!$A327="",'实盘净值数据(iFinD公式)'!$B327=""),"",分期持仓明细!$AD$18*SUMPRODUCT(分期持仓明细!$B$18:$AA$18,'实盘净值数据(iFinD公式)'!$B327:$AA327/'实盘净值数据(iFinD公式)'!$B$20:$AA$20)*(1-实盘持仓初始配置!$Z$5)^(('实盘净值数据(iFinD公式)'!$A327-'实盘净值数据(iFinD公式)'!$A$5)/365))</x:f>
        <x:v>#NAME?</x:v>
      </x:c>
      <x:c r="F327" s="152" t="e">
        <x:f>IF(OR(E326="",E327=""),"",E327/E326-1)</x:f>
        <x:v>#NAME?</x:v>
      </x:c>
      <x:c r="G327" s="152" t="e">
        <x:f>IF(E327="","",E327/MAX(E$5:E327)-1)</x:f>
        <x:v>#NAME?</x:v>
      </x:c>
      <x:c r="H327" s="146" t="e">
        <x:f>IF(OR('实盘净值数据(iFinD公式)'!$A327="",'实盘净值数据(iFinD公式)'!$B327=""),"",分期持仓明细!$AD$19*SUMPRODUCT(分期持仓明细!$B$19:$AA$19,'实盘净值数据(iFinD公式)'!$B327:$AA327/'实盘净值数据(iFinD公式)'!$B$20:$AA$20)*(1-实盘持仓初始配置!$Z$6)^(('实盘净值数据(iFinD公式)'!$A327-'实盘净值数据(iFinD公式)'!$A$7)/365))</x:f>
        <x:v>#NAME?</x:v>
      </x:c>
      <x:c r="I327" s="152" t="e">
        <x:f>IF(OR(H326="",H327=""),"",H327/H326-1)</x:f>
        <x:v>#NAME?</x:v>
      </x:c>
      <x:c r="J327" s="152" t="e">
        <x:f>IF(H327="","",H327/MAX(H$5:H327)-1)</x:f>
        <x:v>#NAME?</x:v>
      </x:c>
      <x:c r="K327" s="146" t="e">
        <x:f>IF(OR('实盘净值数据(iFinD公式)'!$A327="",'实盘净值数据(iFinD公式)'!$B327=""),"",分期持仓明细!$AD$23*SUMPRODUCT(分期持仓明细!$B$23:$AA$23,'实盘净值数据(iFinD公式)'!$B327:$AA327/'实盘净值数据(iFinD公式)'!$B$65:$AA$65)*(1-实盘持仓初始配置!$Z$7)^(('实盘净值数据(iFinD公式)'!$A327-'实盘净值数据(iFinD公式)'!$A$8)/365))</x:f>
        <x:v>#NAME?</x:v>
      </x:c>
      <x:c r="L327" s="152" t="e">
        <x:f>IF(OR(K326="",K327=""),"",K327/K326-1)</x:f>
        <x:v>#NAME?</x:v>
      </x:c>
      <x:c r="M327" s="152" t="e">
        <x:f>IF(K327="","",K327/MAX(K$5:K327)-1)</x:f>
        <x:v>#NAME?</x:v>
      </x:c>
      <x:c r="N327" s="146" t="e">
        <x:f>IF(OR('实盘净值数据(iFinD公式)'!$A327="",'实盘净值数据(iFinD公式)'!$B327=""),"",分期持仓明细!$AD$24*SUMPRODUCT(分期持仓明细!$B$24:$AA$24,'实盘净值数据(iFinD公式)'!$B327:$AA327/'实盘净值数据(iFinD公式)'!$B$65:$AA$65)*(1-实盘持仓初始配置!$Z$8)^(('实盘净值数据(iFinD公式)'!$A327-'实盘净值数据(iFinD公式)'!$A$5)/365))</x:f>
        <x:v>#NAME?</x:v>
      </x:c>
      <x:c r="O327" s="152" t="e">
        <x:f>IF(OR(N326="",N327=""),"",N327/N326-1)</x:f>
        <x:v>#NAME?</x:v>
      </x:c>
      <x:c r="P327" s="152" t="e">
        <x:f>IF(N327="","",N327/MAX(N$5:N327)-1)</x:f>
        <x:v>#NAME?</x:v>
      </x:c>
      <x:c r="Q327" s="146" t="e">
        <x:f>IF(OR('实盘净值数据(iFinD公式)'!$A327="",'实盘净值数据(iFinD公式)'!$B327=""),"",分期持仓明细!$AD$25*SUMPRODUCT(分期持仓明细!$B$25:$AA$25,'实盘净值数据(iFinD公式)'!$B327:$AA327/'实盘净值数据(iFinD公式)'!$B$65:$AA$65)*(1-实盘持仓初始配置!$Z$9)^(('实盘净值数据(iFinD公式)'!$A327-'实盘净值数据(iFinD公式)'!$A$8)/365))</x:f>
        <x:v>#NAME?</x:v>
      </x:c>
      <x:c r="R327" s="152" t="e">
        <x:f>IF(OR(Q326="",Q327=""),"",Q327/Q326-1)</x:f>
        <x:v>#NAME?</x:v>
      </x:c>
      <x:c r="S327" s="152" t="e">
        <x:f>IF(Q327="","",Q327/MAX(Q$5:Q327)-1)</x:f>
        <x:v>#NAME?</x:v>
      </x:c>
    </x:row>
    <x:row r="328">
      <x:c r="A328" s="149" t="str">
        <x:f>IF('实盘净值数据(iFinD公式)'!A328="","",'实盘净值数据(iFinD公式)'!A328)</x:f>
      </x:c>
      <x:c r="B328" s="146" t="e">
        <x:f>IF(OR('实盘净值数据(iFinD公式)'!$A328="",'实盘净值数据(iFinD公式)'!$B328=""),"",分期持仓明细!$AD$17*SUMPRODUCT(分期持仓明细!$B$17:$AA$17,'实盘净值数据(iFinD公式)'!$B328:$AA328/'实盘净值数据(iFinD公式)'!$B$20:$AA$20)*(1-实盘持仓初始配置!$Z$4)^(('实盘净值数据(iFinD公式)'!$A328-'实盘净值数据(iFinD公式)'!$A$6)/365))</x:f>
        <x:v>#NAME?</x:v>
      </x:c>
      <x:c r="C328" s="152" t="e">
        <x:f>IF(OR(B327="",B328=""),"",B328/B327-1)</x:f>
        <x:v>#NAME?</x:v>
      </x:c>
      <x:c r="D328" s="152" t="e">
        <x:f>IF(B328="","",B328/MAX(B$5:B328)-1)</x:f>
        <x:v>#NAME?</x:v>
      </x:c>
      <x:c r="E328" s="146" t="e">
        <x:f>IF(OR('实盘净值数据(iFinD公式)'!$A328="",'实盘净值数据(iFinD公式)'!$B328=""),"",分期持仓明细!$AD$18*SUMPRODUCT(分期持仓明细!$B$18:$AA$18,'实盘净值数据(iFinD公式)'!$B328:$AA328/'实盘净值数据(iFinD公式)'!$B$20:$AA$20)*(1-实盘持仓初始配置!$Z$5)^(('实盘净值数据(iFinD公式)'!$A328-'实盘净值数据(iFinD公式)'!$A$5)/365))</x:f>
        <x:v>#NAME?</x:v>
      </x:c>
      <x:c r="F328" s="152" t="e">
        <x:f>IF(OR(E327="",E328=""),"",E328/E327-1)</x:f>
        <x:v>#NAME?</x:v>
      </x:c>
      <x:c r="G328" s="152" t="e">
        <x:f>IF(E328="","",E328/MAX(E$5:E328)-1)</x:f>
        <x:v>#NAME?</x:v>
      </x:c>
      <x:c r="H328" s="146" t="e">
        <x:f>IF(OR('实盘净值数据(iFinD公式)'!$A328="",'实盘净值数据(iFinD公式)'!$B328=""),"",分期持仓明细!$AD$19*SUMPRODUCT(分期持仓明细!$B$19:$AA$19,'实盘净值数据(iFinD公式)'!$B328:$AA328/'实盘净值数据(iFinD公式)'!$B$20:$AA$20)*(1-实盘持仓初始配置!$Z$6)^(('实盘净值数据(iFinD公式)'!$A328-'实盘净值数据(iFinD公式)'!$A$7)/365))</x:f>
        <x:v>#NAME?</x:v>
      </x:c>
      <x:c r="I328" s="152" t="e">
        <x:f>IF(OR(H327="",H328=""),"",H328/H327-1)</x:f>
        <x:v>#NAME?</x:v>
      </x:c>
      <x:c r="J328" s="152" t="e">
        <x:f>IF(H328="","",H328/MAX(H$5:H328)-1)</x:f>
        <x:v>#NAME?</x:v>
      </x:c>
      <x:c r="K328" s="146" t="e">
        <x:f>IF(OR('实盘净值数据(iFinD公式)'!$A328="",'实盘净值数据(iFinD公式)'!$B328=""),"",分期持仓明细!$AD$23*SUMPRODUCT(分期持仓明细!$B$23:$AA$23,'实盘净值数据(iFinD公式)'!$B328:$AA328/'实盘净值数据(iFinD公式)'!$B$65:$AA$65)*(1-实盘持仓初始配置!$Z$7)^(('实盘净值数据(iFinD公式)'!$A328-'实盘净值数据(iFinD公式)'!$A$8)/365))</x:f>
        <x:v>#NAME?</x:v>
      </x:c>
      <x:c r="L328" s="152" t="e">
        <x:f>IF(OR(K327="",K328=""),"",K328/K327-1)</x:f>
        <x:v>#NAME?</x:v>
      </x:c>
      <x:c r="M328" s="152" t="e">
        <x:f>IF(K328="","",K328/MAX(K$5:K328)-1)</x:f>
        <x:v>#NAME?</x:v>
      </x:c>
      <x:c r="N328" s="146" t="e">
        <x:f>IF(OR('实盘净值数据(iFinD公式)'!$A328="",'实盘净值数据(iFinD公式)'!$B328=""),"",分期持仓明细!$AD$24*SUMPRODUCT(分期持仓明细!$B$24:$AA$24,'实盘净值数据(iFinD公式)'!$B328:$AA328/'实盘净值数据(iFinD公式)'!$B$65:$AA$65)*(1-实盘持仓初始配置!$Z$8)^(('实盘净值数据(iFinD公式)'!$A328-'实盘净值数据(iFinD公式)'!$A$5)/365))</x:f>
        <x:v>#NAME?</x:v>
      </x:c>
      <x:c r="O328" s="152" t="e">
        <x:f>IF(OR(N327="",N328=""),"",N328/N327-1)</x:f>
        <x:v>#NAME?</x:v>
      </x:c>
      <x:c r="P328" s="152" t="e">
        <x:f>IF(N328="","",N328/MAX(N$5:N328)-1)</x:f>
        <x:v>#NAME?</x:v>
      </x:c>
      <x:c r="Q328" s="146" t="e">
        <x:f>IF(OR('实盘净值数据(iFinD公式)'!$A328="",'实盘净值数据(iFinD公式)'!$B328=""),"",分期持仓明细!$AD$25*SUMPRODUCT(分期持仓明细!$B$25:$AA$25,'实盘净值数据(iFinD公式)'!$B328:$AA328/'实盘净值数据(iFinD公式)'!$B$65:$AA$65)*(1-实盘持仓初始配置!$Z$9)^(('实盘净值数据(iFinD公式)'!$A328-'实盘净值数据(iFinD公式)'!$A$8)/365))</x:f>
        <x:v>#NAME?</x:v>
      </x:c>
      <x:c r="R328" s="152" t="e">
        <x:f>IF(OR(Q327="",Q328=""),"",Q328/Q327-1)</x:f>
        <x:v>#NAME?</x:v>
      </x:c>
      <x:c r="S328" s="152" t="e">
        <x:f>IF(Q328="","",Q328/MAX(Q$5:Q328)-1)</x:f>
        <x:v>#NAME?</x:v>
      </x:c>
    </x:row>
    <x:row r="329">
      <x:c r="A329" s="149" t="str">
        <x:f>IF('实盘净值数据(iFinD公式)'!A329="","",'实盘净值数据(iFinD公式)'!A329)</x:f>
      </x:c>
      <x:c r="B329" s="146" t="e">
        <x:f>IF(OR('实盘净值数据(iFinD公式)'!$A329="",'实盘净值数据(iFinD公式)'!$B329=""),"",分期持仓明细!$AD$17*SUMPRODUCT(分期持仓明细!$B$17:$AA$17,'实盘净值数据(iFinD公式)'!$B329:$AA329/'实盘净值数据(iFinD公式)'!$B$20:$AA$20)*(1-实盘持仓初始配置!$Z$4)^(('实盘净值数据(iFinD公式)'!$A329-'实盘净值数据(iFinD公式)'!$A$6)/365))</x:f>
        <x:v>#NAME?</x:v>
      </x:c>
      <x:c r="C329" s="152" t="e">
        <x:f>IF(OR(B328="",B329=""),"",B329/B328-1)</x:f>
        <x:v>#NAME?</x:v>
      </x:c>
      <x:c r="D329" s="152" t="e">
        <x:f>IF(B329="","",B329/MAX(B$5:B329)-1)</x:f>
        <x:v>#NAME?</x:v>
      </x:c>
      <x:c r="E329" s="146" t="e">
        <x:f>IF(OR('实盘净值数据(iFinD公式)'!$A329="",'实盘净值数据(iFinD公式)'!$B329=""),"",分期持仓明细!$AD$18*SUMPRODUCT(分期持仓明细!$B$18:$AA$18,'实盘净值数据(iFinD公式)'!$B329:$AA329/'实盘净值数据(iFinD公式)'!$B$20:$AA$20)*(1-实盘持仓初始配置!$Z$5)^(('实盘净值数据(iFinD公式)'!$A329-'实盘净值数据(iFinD公式)'!$A$5)/365))</x:f>
        <x:v>#NAME?</x:v>
      </x:c>
      <x:c r="F329" s="152" t="e">
        <x:f>IF(OR(E328="",E329=""),"",E329/E328-1)</x:f>
        <x:v>#NAME?</x:v>
      </x:c>
      <x:c r="G329" s="152" t="e">
        <x:f>IF(E329="","",E329/MAX(E$5:E329)-1)</x:f>
        <x:v>#NAME?</x:v>
      </x:c>
      <x:c r="H329" s="146" t="e">
        <x:f>IF(OR('实盘净值数据(iFinD公式)'!$A329="",'实盘净值数据(iFinD公式)'!$B329=""),"",分期持仓明细!$AD$19*SUMPRODUCT(分期持仓明细!$B$19:$AA$19,'实盘净值数据(iFinD公式)'!$B329:$AA329/'实盘净值数据(iFinD公式)'!$B$20:$AA$20)*(1-实盘持仓初始配置!$Z$6)^(('实盘净值数据(iFinD公式)'!$A329-'实盘净值数据(iFinD公式)'!$A$7)/365))</x:f>
        <x:v>#NAME?</x:v>
      </x:c>
      <x:c r="I329" s="152" t="e">
        <x:f>IF(OR(H328="",H329=""),"",H329/H328-1)</x:f>
        <x:v>#NAME?</x:v>
      </x:c>
      <x:c r="J329" s="152" t="e">
        <x:f>IF(H329="","",H329/MAX(H$5:H329)-1)</x:f>
        <x:v>#NAME?</x:v>
      </x:c>
      <x:c r="K329" s="146" t="e">
        <x:f>IF(OR('实盘净值数据(iFinD公式)'!$A329="",'实盘净值数据(iFinD公式)'!$B329=""),"",分期持仓明细!$AD$23*SUMPRODUCT(分期持仓明细!$B$23:$AA$23,'实盘净值数据(iFinD公式)'!$B329:$AA329/'实盘净值数据(iFinD公式)'!$B$65:$AA$65)*(1-实盘持仓初始配置!$Z$7)^(('实盘净值数据(iFinD公式)'!$A329-'实盘净值数据(iFinD公式)'!$A$8)/365))</x:f>
        <x:v>#NAME?</x:v>
      </x:c>
      <x:c r="L329" s="152" t="e">
        <x:f>IF(OR(K328="",K329=""),"",K329/K328-1)</x:f>
        <x:v>#NAME?</x:v>
      </x:c>
      <x:c r="M329" s="152" t="e">
        <x:f>IF(K329="","",K329/MAX(K$5:K329)-1)</x:f>
        <x:v>#NAME?</x:v>
      </x:c>
      <x:c r="N329" s="146" t="e">
        <x:f>IF(OR('实盘净值数据(iFinD公式)'!$A329="",'实盘净值数据(iFinD公式)'!$B329=""),"",分期持仓明细!$AD$24*SUMPRODUCT(分期持仓明细!$B$24:$AA$24,'实盘净值数据(iFinD公式)'!$B329:$AA329/'实盘净值数据(iFinD公式)'!$B$65:$AA$65)*(1-实盘持仓初始配置!$Z$8)^(('实盘净值数据(iFinD公式)'!$A329-'实盘净值数据(iFinD公式)'!$A$5)/365))</x:f>
        <x:v>#NAME?</x:v>
      </x:c>
      <x:c r="O329" s="152" t="e">
        <x:f>IF(OR(N328="",N329=""),"",N329/N328-1)</x:f>
        <x:v>#NAME?</x:v>
      </x:c>
      <x:c r="P329" s="152" t="e">
        <x:f>IF(N329="","",N329/MAX(N$5:N329)-1)</x:f>
        <x:v>#NAME?</x:v>
      </x:c>
      <x:c r="Q329" s="146" t="e">
        <x:f>IF(OR('实盘净值数据(iFinD公式)'!$A329="",'实盘净值数据(iFinD公式)'!$B329=""),"",分期持仓明细!$AD$25*SUMPRODUCT(分期持仓明细!$B$25:$AA$25,'实盘净值数据(iFinD公式)'!$B329:$AA329/'实盘净值数据(iFinD公式)'!$B$65:$AA$65)*(1-实盘持仓初始配置!$Z$9)^(('实盘净值数据(iFinD公式)'!$A329-'实盘净值数据(iFinD公式)'!$A$8)/365))</x:f>
        <x:v>#NAME?</x:v>
      </x:c>
      <x:c r="R329" s="152" t="e">
        <x:f>IF(OR(Q328="",Q329=""),"",Q329/Q328-1)</x:f>
        <x:v>#NAME?</x:v>
      </x:c>
      <x:c r="S329" s="152" t="e">
        <x:f>IF(Q329="","",Q329/MAX(Q$5:Q329)-1)</x:f>
        <x:v>#NAME?</x:v>
      </x:c>
    </x:row>
    <x:row r="330">
      <x:c r="A330" s="149" t="str">
        <x:f>IF('实盘净值数据(iFinD公式)'!A330="","",'实盘净值数据(iFinD公式)'!A330)</x:f>
      </x:c>
      <x:c r="B330" s="146" t="e">
        <x:f>IF(OR('实盘净值数据(iFinD公式)'!$A330="",'实盘净值数据(iFinD公式)'!$B330=""),"",分期持仓明细!$AD$17*SUMPRODUCT(分期持仓明细!$B$17:$AA$17,'实盘净值数据(iFinD公式)'!$B330:$AA330/'实盘净值数据(iFinD公式)'!$B$20:$AA$20)*(1-实盘持仓初始配置!$Z$4)^(('实盘净值数据(iFinD公式)'!$A330-'实盘净值数据(iFinD公式)'!$A$6)/365))</x:f>
        <x:v>#NAME?</x:v>
      </x:c>
      <x:c r="C330" s="152" t="e">
        <x:f>IF(OR(B329="",B330=""),"",B330/B329-1)</x:f>
        <x:v>#NAME?</x:v>
      </x:c>
      <x:c r="D330" s="152" t="e">
        <x:f>IF(B330="","",B330/MAX(B$5:B330)-1)</x:f>
        <x:v>#NAME?</x:v>
      </x:c>
      <x:c r="E330" s="146" t="e">
        <x:f>IF(OR('实盘净值数据(iFinD公式)'!$A330="",'实盘净值数据(iFinD公式)'!$B330=""),"",分期持仓明细!$AD$18*SUMPRODUCT(分期持仓明细!$B$18:$AA$18,'实盘净值数据(iFinD公式)'!$B330:$AA330/'实盘净值数据(iFinD公式)'!$B$20:$AA$20)*(1-实盘持仓初始配置!$Z$5)^(('实盘净值数据(iFinD公式)'!$A330-'实盘净值数据(iFinD公式)'!$A$5)/365))</x:f>
        <x:v>#NAME?</x:v>
      </x:c>
      <x:c r="F330" s="152" t="e">
        <x:f>IF(OR(E329="",E330=""),"",E330/E329-1)</x:f>
        <x:v>#NAME?</x:v>
      </x:c>
      <x:c r="G330" s="152" t="e">
        <x:f>IF(E330="","",E330/MAX(E$5:E330)-1)</x:f>
        <x:v>#NAME?</x:v>
      </x:c>
      <x:c r="H330" s="146" t="e">
        <x:f>IF(OR('实盘净值数据(iFinD公式)'!$A330="",'实盘净值数据(iFinD公式)'!$B330=""),"",分期持仓明细!$AD$19*SUMPRODUCT(分期持仓明细!$B$19:$AA$19,'实盘净值数据(iFinD公式)'!$B330:$AA330/'实盘净值数据(iFinD公式)'!$B$20:$AA$20)*(1-实盘持仓初始配置!$Z$6)^(('实盘净值数据(iFinD公式)'!$A330-'实盘净值数据(iFinD公式)'!$A$7)/365))</x:f>
        <x:v>#NAME?</x:v>
      </x:c>
      <x:c r="I330" s="152" t="e">
        <x:f>IF(OR(H329="",H330=""),"",H330/H329-1)</x:f>
        <x:v>#NAME?</x:v>
      </x:c>
      <x:c r="J330" s="152" t="e">
        <x:f>IF(H330="","",H330/MAX(H$5:H330)-1)</x:f>
        <x:v>#NAME?</x:v>
      </x:c>
      <x:c r="K330" s="146" t="e">
        <x:f>IF(OR('实盘净值数据(iFinD公式)'!$A330="",'实盘净值数据(iFinD公式)'!$B330=""),"",分期持仓明细!$AD$23*SUMPRODUCT(分期持仓明细!$B$23:$AA$23,'实盘净值数据(iFinD公式)'!$B330:$AA330/'实盘净值数据(iFinD公式)'!$B$65:$AA$65)*(1-实盘持仓初始配置!$Z$7)^(('实盘净值数据(iFinD公式)'!$A330-'实盘净值数据(iFinD公式)'!$A$8)/365))</x:f>
        <x:v>#NAME?</x:v>
      </x:c>
      <x:c r="L330" s="152" t="e">
        <x:f>IF(OR(K329="",K330=""),"",K330/K329-1)</x:f>
        <x:v>#NAME?</x:v>
      </x:c>
      <x:c r="M330" s="152" t="e">
        <x:f>IF(K330="","",K330/MAX(K$5:K330)-1)</x:f>
        <x:v>#NAME?</x:v>
      </x:c>
      <x:c r="N330" s="146" t="e">
        <x:f>IF(OR('实盘净值数据(iFinD公式)'!$A330="",'实盘净值数据(iFinD公式)'!$B330=""),"",分期持仓明细!$AD$24*SUMPRODUCT(分期持仓明细!$B$24:$AA$24,'实盘净值数据(iFinD公式)'!$B330:$AA330/'实盘净值数据(iFinD公式)'!$B$65:$AA$65)*(1-实盘持仓初始配置!$Z$8)^(('实盘净值数据(iFinD公式)'!$A330-'实盘净值数据(iFinD公式)'!$A$5)/365))</x:f>
        <x:v>#NAME?</x:v>
      </x:c>
      <x:c r="O330" s="152" t="e">
        <x:f>IF(OR(N329="",N330=""),"",N330/N329-1)</x:f>
        <x:v>#NAME?</x:v>
      </x:c>
      <x:c r="P330" s="152" t="e">
        <x:f>IF(N330="","",N330/MAX(N$5:N330)-1)</x:f>
        <x:v>#NAME?</x:v>
      </x:c>
      <x:c r="Q330" s="146" t="e">
        <x:f>IF(OR('实盘净值数据(iFinD公式)'!$A330="",'实盘净值数据(iFinD公式)'!$B330=""),"",分期持仓明细!$AD$25*SUMPRODUCT(分期持仓明细!$B$25:$AA$25,'实盘净值数据(iFinD公式)'!$B330:$AA330/'实盘净值数据(iFinD公式)'!$B$65:$AA$65)*(1-实盘持仓初始配置!$Z$9)^(('实盘净值数据(iFinD公式)'!$A330-'实盘净值数据(iFinD公式)'!$A$8)/365))</x:f>
        <x:v>#NAME?</x:v>
      </x:c>
      <x:c r="R330" s="152" t="e">
        <x:f>IF(OR(Q329="",Q330=""),"",Q330/Q329-1)</x:f>
        <x:v>#NAME?</x:v>
      </x:c>
      <x:c r="S330" s="152" t="e">
        <x:f>IF(Q330="","",Q330/MAX(Q$5:Q330)-1)</x:f>
        <x:v>#NAME?</x:v>
      </x:c>
    </x:row>
    <x:row r="331">
      <x:c r="A331" s="149" t="str">
        <x:f>IF('实盘净值数据(iFinD公式)'!A331="","",'实盘净值数据(iFinD公式)'!A331)</x:f>
      </x:c>
      <x:c r="B331" s="146" t="e">
        <x:f>IF(OR('实盘净值数据(iFinD公式)'!$A331="",'实盘净值数据(iFinD公式)'!$B331=""),"",分期持仓明细!$AD$17*SUMPRODUCT(分期持仓明细!$B$17:$AA$17,'实盘净值数据(iFinD公式)'!$B331:$AA331/'实盘净值数据(iFinD公式)'!$B$20:$AA$20)*(1-实盘持仓初始配置!$Z$4)^(('实盘净值数据(iFinD公式)'!$A331-'实盘净值数据(iFinD公式)'!$A$6)/365))</x:f>
        <x:v>#NAME?</x:v>
      </x:c>
      <x:c r="C331" s="152" t="e">
        <x:f>IF(OR(B330="",B331=""),"",B331/B330-1)</x:f>
        <x:v>#NAME?</x:v>
      </x:c>
      <x:c r="D331" s="152" t="e">
        <x:f>IF(B331="","",B331/MAX(B$5:B331)-1)</x:f>
        <x:v>#NAME?</x:v>
      </x:c>
      <x:c r="E331" s="146" t="e">
        <x:f>IF(OR('实盘净值数据(iFinD公式)'!$A331="",'实盘净值数据(iFinD公式)'!$B331=""),"",分期持仓明细!$AD$18*SUMPRODUCT(分期持仓明细!$B$18:$AA$18,'实盘净值数据(iFinD公式)'!$B331:$AA331/'实盘净值数据(iFinD公式)'!$B$20:$AA$20)*(1-实盘持仓初始配置!$Z$5)^(('实盘净值数据(iFinD公式)'!$A331-'实盘净值数据(iFinD公式)'!$A$5)/365))</x:f>
        <x:v>#NAME?</x:v>
      </x:c>
      <x:c r="F331" s="152" t="e">
        <x:f>IF(OR(E330="",E331=""),"",E331/E330-1)</x:f>
        <x:v>#NAME?</x:v>
      </x:c>
      <x:c r="G331" s="152" t="e">
        <x:f>IF(E331="","",E331/MAX(E$5:E331)-1)</x:f>
        <x:v>#NAME?</x:v>
      </x:c>
      <x:c r="H331" s="146" t="e">
        <x:f>IF(OR('实盘净值数据(iFinD公式)'!$A331="",'实盘净值数据(iFinD公式)'!$B331=""),"",分期持仓明细!$AD$19*SUMPRODUCT(分期持仓明细!$B$19:$AA$19,'实盘净值数据(iFinD公式)'!$B331:$AA331/'实盘净值数据(iFinD公式)'!$B$20:$AA$20)*(1-实盘持仓初始配置!$Z$6)^(('实盘净值数据(iFinD公式)'!$A331-'实盘净值数据(iFinD公式)'!$A$7)/365))</x:f>
        <x:v>#NAME?</x:v>
      </x:c>
      <x:c r="I331" s="152" t="e">
        <x:f>IF(OR(H330="",H331=""),"",H331/H330-1)</x:f>
        <x:v>#NAME?</x:v>
      </x:c>
      <x:c r="J331" s="152" t="e">
        <x:f>IF(H331="","",H331/MAX(H$5:H331)-1)</x:f>
        <x:v>#NAME?</x:v>
      </x:c>
      <x:c r="K331" s="146" t="e">
        <x:f>IF(OR('实盘净值数据(iFinD公式)'!$A331="",'实盘净值数据(iFinD公式)'!$B331=""),"",分期持仓明细!$AD$23*SUMPRODUCT(分期持仓明细!$B$23:$AA$23,'实盘净值数据(iFinD公式)'!$B331:$AA331/'实盘净值数据(iFinD公式)'!$B$65:$AA$65)*(1-实盘持仓初始配置!$Z$7)^(('实盘净值数据(iFinD公式)'!$A331-'实盘净值数据(iFinD公式)'!$A$8)/365))</x:f>
        <x:v>#NAME?</x:v>
      </x:c>
      <x:c r="L331" s="152" t="e">
        <x:f>IF(OR(K330="",K331=""),"",K331/K330-1)</x:f>
        <x:v>#NAME?</x:v>
      </x:c>
      <x:c r="M331" s="152" t="e">
        <x:f>IF(K331="","",K331/MAX(K$5:K331)-1)</x:f>
        <x:v>#NAME?</x:v>
      </x:c>
      <x:c r="N331" s="146" t="e">
        <x:f>IF(OR('实盘净值数据(iFinD公式)'!$A331="",'实盘净值数据(iFinD公式)'!$B331=""),"",分期持仓明细!$AD$24*SUMPRODUCT(分期持仓明细!$B$24:$AA$24,'实盘净值数据(iFinD公式)'!$B331:$AA331/'实盘净值数据(iFinD公式)'!$B$65:$AA$65)*(1-实盘持仓初始配置!$Z$8)^(('实盘净值数据(iFinD公式)'!$A331-'实盘净值数据(iFinD公式)'!$A$5)/365))</x:f>
        <x:v>#NAME?</x:v>
      </x:c>
      <x:c r="O331" s="152" t="e">
        <x:f>IF(OR(N330="",N331=""),"",N331/N330-1)</x:f>
        <x:v>#NAME?</x:v>
      </x:c>
      <x:c r="P331" s="152" t="e">
        <x:f>IF(N331="","",N331/MAX(N$5:N331)-1)</x:f>
        <x:v>#NAME?</x:v>
      </x:c>
      <x:c r="Q331" s="146" t="e">
        <x:f>IF(OR('实盘净值数据(iFinD公式)'!$A331="",'实盘净值数据(iFinD公式)'!$B331=""),"",分期持仓明细!$AD$25*SUMPRODUCT(分期持仓明细!$B$25:$AA$25,'实盘净值数据(iFinD公式)'!$B331:$AA331/'实盘净值数据(iFinD公式)'!$B$65:$AA$65)*(1-实盘持仓初始配置!$Z$9)^(('实盘净值数据(iFinD公式)'!$A331-'实盘净值数据(iFinD公式)'!$A$8)/365))</x:f>
        <x:v>#NAME?</x:v>
      </x:c>
      <x:c r="R331" s="152" t="e">
        <x:f>IF(OR(Q330="",Q331=""),"",Q331/Q330-1)</x:f>
        <x:v>#NAME?</x:v>
      </x:c>
      <x:c r="S331" s="152" t="e">
        <x:f>IF(Q331="","",Q331/MAX(Q$5:Q331)-1)</x:f>
        <x:v>#NAME?</x:v>
      </x:c>
    </x:row>
    <x:row r="332">
      <x:c r="A332" s="149" t="str">
        <x:f>IF('实盘净值数据(iFinD公式)'!A332="","",'实盘净值数据(iFinD公式)'!A332)</x:f>
      </x:c>
      <x:c r="B332" s="146" t="e">
        <x:f>IF(OR('实盘净值数据(iFinD公式)'!$A332="",'实盘净值数据(iFinD公式)'!$B332=""),"",分期持仓明细!$AD$17*SUMPRODUCT(分期持仓明细!$B$17:$AA$17,'实盘净值数据(iFinD公式)'!$B332:$AA332/'实盘净值数据(iFinD公式)'!$B$20:$AA$20)*(1-实盘持仓初始配置!$Z$4)^(('实盘净值数据(iFinD公式)'!$A332-'实盘净值数据(iFinD公式)'!$A$6)/365))</x:f>
        <x:v>#NAME?</x:v>
      </x:c>
      <x:c r="C332" s="152" t="e">
        <x:f>IF(OR(B331="",B332=""),"",B332/B331-1)</x:f>
        <x:v>#NAME?</x:v>
      </x:c>
      <x:c r="D332" s="152" t="e">
        <x:f>IF(B332="","",B332/MAX(B$5:B332)-1)</x:f>
        <x:v>#NAME?</x:v>
      </x:c>
      <x:c r="E332" s="146" t="e">
        <x:f>IF(OR('实盘净值数据(iFinD公式)'!$A332="",'实盘净值数据(iFinD公式)'!$B332=""),"",分期持仓明细!$AD$18*SUMPRODUCT(分期持仓明细!$B$18:$AA$18,'实盘净值数据(iFinD公式)'!$B332:$AA332/'实盘净值数据(iFinD公式)'!$B$20:$AA$20)*(1-实盘持仓初始配置!$Z$5)^(('实盘净值数据(iFinD公式)'!$A332-'实盘净值数据(iFinD公式)'!$A$5)/365))</x:f>
        <x:v>#NAME?</x:v>
      </x:c>
      <x:c r="F332" s="152" t="e">
        <x:f>IF(OR(E331="",E332=""),"",E332/E331-1)</x:f>
        <x:v>#NAME?</x:v>
      </x:c>
      <x:c r="G332" s="152" t="e">
        <x:f>IF(E332="","",E332/MAX(E$5:E332)-1)</x:f>
        <x:v>#NAME?</x:v>
      </x:c>
      <x:c r="H332" s="146" t="e">
        <x:f>IF(OR('实盘净值数据(iFinD公式)'!$A332="",'实盘净值数据(iFinD公式)'!$B332=""),"",分期持仓明细!$AD$19*SUMPRODUCT(分期持仓明细!$B$19:$AA$19,'实盘净值数据(iFinD公式)'!$B332:$AA332/'实盘净值数据(iFinD公式)'!$B$20:$AA$20)*(1-实盘持仓初始配置!$Z$6)^(('实盘净值数据(iFinD公式)'!$A332-'实盘净值数据(iFinD公式)'!$A$7)/365))</x:f>
        <x:v>#NAME?</x:v>
      </x:c>
      <x:c r="I332" s="152" t="e">
        <x:f>IF(OR(H331="",H332=""),"",H332/H331-1)</x:f>
        <x:v>#NAME?</x:v>
      </x:c>
      <x:c r="J332" s="152" t="e">
        <x:f>IF(H332="","",H332/MAX(H$5:H332)-1)</x:f>
        <x:v>#NAME?</x:v>
      </x:c>
      <x:c r="K332" s="146" t="e">
        <x:f>IF(OR('实盘净值数据(iFinD公式)'!$A332="",'实盘净值数据(iFinD公式)'!$B332=""),"",分期持仓明细!$AD$23*SUMPRODUCT(分期持仓明细!$B$23:$AA$23,'实盘净值数据(iFinD公式)'!$B332:$AA332/'实盘净值数据(iFinD公式)'!$B$65:$AA$65)*(1-实盘持仓初始配置!$Z$7)^(('实盘净值数据(iFinD公式)'!$A332-'实盘净值数据(iFinD公式)'!$A$8)/365))</x:f>
        <x:v>#NAME?</x:v>
      </x:c>
      <x:c r="L332" s="152" t="e">
        <x:f>IF(OR(K331="",K332=""),"",K332/K331-1)</x:f>
        <x:v>#NAME?</x:v>
      </x:c>
      <x:c r="M332" s="152" t="e">
        <x:f>IF(K332="","",K332/MAX(K$5:K332)-1)</x:f>
        <x:v>#NAME?</x:v>
      </x:c>
      <x:c r="N332" s="146" t="e">
        <x:f>IF(OR('实盘净值数据(iFinD公式)'!$A332="",'实盘净值数据(iFinD公式)'!$B332=""),"",分期持仓明细!$AD$24*SUMPRODUCT(分期持仓明细!$B$24:$AA$24,'实盘净值数据(iFinD公式)'!$B332:$AA332/'实盘净值数据(iFinD公式)'!$B$65:$AA$65)*(1-实盘持仓初始配置!$Z$8)^(('实盘净值数据(iFinD公式)'!$A332-'实盘净值数据(iFinD公式)'!$A$5)/365))</x:f>
        <x:v>#NAME?</x:v>
      </x:c>
      <x:c r="O332" s="152" t="e">
        <x:f>IF(OR(N331="",N332=""),"",N332/N331-1)</x:f>
        <x:v>#NAME?</x:v>
      </x:c>
      <x:c r="P332" s="152" t="e">
        <x:f>IF(N332="","",N332/MAX(N$5:N332)-1)</x:f>
        <x:v>#NAME?</x:v>
      </x:c>
      <x:c r="Q332" s="146" t="e">
        <x:f>IF(OR('实盘净值数据(iFinD公式)'!$A332="",'实盘净值数据(iFinD公式)'!$B332=""),"",分期持仓明细!$AD$25*SUMPRODUCT(分期持仓明细!$B$25:$AA$25,'实盘净值数据(iFinD公式)'!$B332:$AA332/'实盘净值数据(iFinD公式)'!$B$65:$AA$65)*(1-实盘持仓初始配置!$Z$9)^(('实盘净值数据(iFinD公式)'!$A332-'实盘净值数据(iFinD公式)'!$A$8)/365))</x:f>
        <x:v>#NAME?</x:v>
      </x:c>
      <x:c r="R332" s="152" t="e">
        <x:f>IF(OR(Q331="",Q332=""),"",Q332/Q331-1)</x:f>
        <x:v>#NAME?</x:v>
      </x:c>
      <x:c r="S332" s="152" t="e">
        <x:f>IF(Q332="","",Q332/MAX(Q$5:Q332)-1)</x:f>
        <x:v>#NAME?</x:v>
      </x:c>
    </x:row>
    <x:row r="333">
      <x:c r="A333" s="149" t="str">
        <x:f>IF('实盘净值数据(iFinD公式)'!A333="","",'实盘净值数据(iFinD公式)'!A333)</x:f>
      </x:c>
      <x:c r="B333" s="146" t="e">
        <x:f>IF(OR('实盘净值数据(iFinD公式)'!$A333="",'实盘净值数据(iFinD公式)'!$B333=""),"",分期持仓明细!$AD$17*SUMPRODUCT(分期持仓明细!$B$17:$AA$17,'实盘净值数据(iFinD公式)'!$B333:$AA333/'实盘净值数据(iFinD公式)'!$B$20:$AA$20)*(1-实盘持仓初始配置!$Z$4)^(('实盘净值数据(iFinD公式)'!$A333-'实盘净值数据(iFinD公式)'!$A$6)/365))</x:f>
        <x:v>#NAME?</x:v>
      </x:c>
      <x:c r="C333" s="152" t="e">
        <x:f>IF(OR(B332="",B333=""),"",B333/B332-1)</x:f>
        <x:v>#NAME?</x:v>
      </x:c>
      <x:c r="D333" s="152" t="e">
        <x:f>IF(B333="","",B333/MAX(B$5:B333)-1)</x:f>
        <x:v>#NAME?</x:v>
      </x:c>
      <x:c r="E333" s="146" t="e">
        <x:f>IF(OR('实盘净值数据(iFinD公式)'!$A333="",'实盘净值数据(iFinD公式)'!$B333=""),"",分期持仓明细!$AD$18*SUMPRODUCT(分期持仓明细!$B$18:$AA$18,'实盘净值数据(iFinD公式)'!$B333:$AA333/'实盘净值数据(iFinD公式)'!$B$20:$AA$20)*(1-实盘持仓初始配置!$Z$5)^(('实盘净值数据(iFinD公式)'!$A333-'实盘净值数据(iFinD公式)'!$A$5)/365))</x:f>
        <x:v>#NAME?</x:v>
      </x:c>
      <x:c r="F333" s="152" t="e">
        <x:f>IF(OR(E332="",E333=""),"",E333/E332-1)</x:f>
        <x:v>#NAME?</x:v>
      </x:c>
      <x:c r="G333" s="152" t="e">
        <x:f>IF(E333="","",E333/MAX(E$5:E333)-1)</x:f>
        <x:v>#NAME?</x:v>
      </x:c>
      <x:c r="H333" s="146" t="e">
        <x:f>IF(OR('实盘净值数据(iFinD公式)'!$A333="",'实盘净值数据(iFinD公式)'!$B333=""),"",分期持仓明细!$AD$19*SUMPRODUCT(分期持仓明细!$B$19:$AA$19,'实盘净值数据(iFinD公式)'!$B333:$AA333/'实盘净值数据(iFinD公式)'!$B$20:$AA$20)*(1-实盘持仓初始配置!$Z$6)^(('实盘净值数据(iFinD公式)'!$A333-'实盘净值数据(iFinD公式)'!$A$7)/365))</x:f>
        <x:v>#NAME?</x:v>
      </x:c>
      <x:c r="I333" s="152" t="e">
        <x:f>IF(OR(H332="",H333=""),"",H333/H332-1)</x:f>
        <x:v>#NAME?</x:v>
      </x:c>
      <x:c r="J333" s="152" t="e">
        <x:f>IF(H333="","",H333/MAX(H$5:H333)-1)</x:f>
        <x:v>#NAME?</x:v>
      </x:c>
      <x:c r="K333" s="146" t="e">
        <x:f>IF(OR('实盘净值数据(iFinD公式)'!$A333="",'实盘净值数据(iFinD公式)'!$B333=""),"",分期持仓明细!$AD$23*SUMPRODUCT(分期持仓明细!$B$23:$AA$23,'实盘净值数据(iFinD公式)'!$B333:$AA333/'实盘净值数据(iFinD公式)'!$B$65:$AA$65)*(1-实盘持仓初始配置!$Z$7)^(('实盘净值数据(iFinD公式)'!$A333-'实盘净值数据(iFinD公式)'!$A$8)/365))</x:f>
        <x:v>#NAME?</x:v>
      </x:c>
      <x:c r="L333" s="152" t="e">
        <x:f>IF(OR(K332="",K333=""),"",K333/K332-1)</x:f>
        <x:v>#NAME?</x:v>
      </x:c>
      <x:c r="M333" s="152" t="e">
        <x:f>IF(K333="","",K333/MAX(K$5:K333)-1)</x:f>
        <x:v>#NAME?</x:v>
      </x:c>
      <x:c r="N333" s="146" t="e">
        <x:f>IF(OR('实盘净值数据(iFinD公式)'!$A333="",'实盘净值数据(iFinD公式)'!$B333=""),"",分期持仓明细!$AD$24*SUMPRODUCT(分期持仓明细!$B$24:$AA$24,'实盘净值数据(iFinD公式)'!$B333:$AA333/'实盘净值数据(iFinD公式)'!$B$65:$AA$65)*(1-实盘持仓初始配置!$Z$8)^(('实盘净值数据(iFinD公式)'!$A333-'实盘净值数据(iFinD公式)'!$A$5)/365))</x:f>
        <x:v>#NAME?</x:v>
      </x:c>
      <x:c r="O333" s="152" t="e">
        <x:f>IF(OR(N332="",N333=""),"",N333/N332-1)</x:f>
        <x:v>#NAME?</x:v>
      </x:c>
      <x:c r="P333" s="152" t="e">
        <x:f>IF(N333="","",N333/MAX(N$5:N333)-1)</x:f>
        <x:v>#NAME?</x:v>
      </x:c>
      <x:c r="Q333" s="146" t="e">
        <x:f>IF(OR('实盘净值数据(iFinD公式)'!$A333="",'实盘净值数据(iFinD公式)'!$B333=""),"",分期持仓明细!$AD$25*SUMPRODUCT(分期持仓明细!$B$25:$AA$25,'实盘净值数据(iFinD公式)'!$B333:$AA333/'实盘净值数据(iFinD公式)'!$B$65:$AA$65)*(1-实盘持仓初始配置!$Z$9)^(('实盘净值数据(iFinD公式)'!$A333-'实盘净值数据(iFinD公式)'!$A$8)/365))</x:f>
        <x:v>#NAME?</x:v>
      </x:c>
      <x:c r="R333" s="152" t="e">
        <x:f>IF(OR(Q332="",Q333=""),"",Q333/Q332-1)</x:f>
        <x:v>#NAME?</x:v>
      </x:c>
      <x:c r="S333" s="152" t="e">
        <x:f>IF(Q333="","",Q333/MAX(Q$5:Q333)-1)</x:f>
        <x:v>#NAME?</x:v>
      </x:c>
    </x:row>
    <x:row r="334">
      <x:c r="A334" s="149" t="str">
        <x:f>IF('实盘净值数据(iFinD公式)'!A334="","",'实盘净值数据(iFinD公式)'!A334)</x:f>
      </x:c>
      <x:c r="B334" s="146" t="e">
        <x:f>IF(OR('实盘净值数据(iFinD公式)'!$A334="",'实盘净值数据(iFinD公式)'!$B334=""),"",分期持仓明细!$AD$17*SUMPRODUCT(分期持仓明细!$B$17:$AA$17,'实盘净值数据(iFinD公式)'!$B334:$AA334/'实盘净值数据(iFinD公式)'!$B$20:$AA$20)*(1-实盘持仓初始配置!$Z$4)^(('实盘净值数据(iFinD公式)'!$A334-'实盘净值数据(iFinD公式)'!$A$6)/365))</x:f>
        <x:v>#NAME?</x:v>
      </x:c>
      <x:c r="C334" s="152" t="e">
        <x:f>IF(OR(B333="",B334=""),"",B334/B333-1)</x:f>
        <x:v>#NAME?</x:v>
      </x:c>
      <x:c r="D334" s="152" t="e">
        <x:f>IF(B334="","",B334/MAX(B$5:B334)-1)</x:f>
        <x:v>#NAME?</x:v>
      </x:c>
      <x:c r="E334" s="146" t="e">
        <x:f>IF(OR('实盘净值数据(iFinD公式)'!$A334="",'实盘净值数据(iFinD公式)'!$B334=""),"",分期持仓明细!$AD$18*SUMPRODUCT(分期持仓明细!$B$18:$AA$18,'实盘净值数据(iFinD公式)'!$B334:$AA334/'实盘净值数据(iFinD公式)'!$B$20:$AA$20)*(1-实盘持仓初始配置!$Z$5)^(('实盘净值数据(iFinD公式)'!$A334-'实盘净值数据(iFinD公式)'!$A$5)/365))</x:f>
        <x:v>#NAME?</x:v>
      </x:c>
      <x:c r="F334" s="152" t="e">
        <x:f>IF(OR(E333="",E334=""),"",E334/E333-1)</x:f>
        <x:v>#NAME?</x:v>
      </x:c>
      <x:c r="G334" s="152" t="e">
        <x:f>IF(E334="","",E334/MAX(E$5:E334)-1)</x:f>
        <x:v>#NAME?</x:v>
      </x:c>
      <x:c r="H334" s="146" t="e">
        <x:f>IF(OR('实盘净值数据(iFinD公式)'!$A334="",'实盘净值数据(iFinD公式)'!$B334=""),"",分期持仓明细!$AD$19*SUMPRODUCT(分期持仓明细!$B$19:$AA$19,'实盘净值数据(iFinD公式)'!$B334:$AA334/'实盘净值数据(iFinD公式)'!$B$20:$AA$20)*(1-实盘持仓初始配置!$Z$6)^(('实盘净值数据(iFinD公式)'!$A334-'实盘净值数据(iFinD公式)'!$A$7)/365))</x:f>
        <x:v>#NAME?</x:v>
      </x:c>
      <x:c r="I334" s="152" t="e">
        <x:f>IF(OR(H333="",H334=""),"",H334/H333-1)</x:f>
        <x:v>#NAME?</x:v>
      </x:c>
      <x:c r="J334" s="152" t="e">
        <x:f>IF(H334="","",H334/MAX(H$5:H334)-1)</x:f>
        <x:v>#NAME?</x:v>
      </x:c>
      <x:c r="K334" s="146" t="e">
        <x:f>IF(OR('实盘净值数据(iFinD公式)'!$A334="",'实盘净值数据(iFinD公式)'!$B334=""),"",分期持仓明细!$AD$23*SUMPRODUCT(分期持仓明细!$B$23:$AA$23,'实盘净值数据(iFinD公式)'!$B334:$AA334/'实盘净值数据(iFinD公式)'!$B$65:$AA$65)*(1-实盘持仓初始配置!$Z$7)^(('实盘净值数据(iFinD公式)'!$A334-'实盘净值数据(iFinD公式)'!$A$8)/365))</x:f>
        <x:v>#NAME?</x:v>
      </x:c>
      <x:c r="L334" s="152" t="e">
        <x:f>IF(OR(K333="",K334=""),"",K334/K333-1)</x:f>
        <x:v>#NAME?</x:v>
      </x:c>
      <x:c r="M334" s="152" t="e">
        <x:f>IF(K334="","",K334/MAX(K$5:K334)-1)</x:f>
        <x:v>#NAME?</x:v>
      </x:c>
      <x:c r="N334" s="146" t="e">
        <x:f>IF(OR('实盘净值数据(iFinD公式)'!$A334="",'实盘净值数据(iFinD公式)'!$B334=""),"",分期持仓明细!$AD$24*SUMPRODUCT(分期持仓明细!$B$24:$AA$24,'实盘净值数据(iFinD公式)'!$B334:$AA334/'实盘净值数据(iFinD公式)'!$B$65:$AA$65)*(1-实盘持仓初始配置!$Z$8)^(('实盘净值数据(iFinD公式)'!$A334-'实盘净值数据(iFinD公式)'!$A$5)/365))</x:f>
        <x:v>#NAME?</x:v>
      </x:c>
      <x:c r="O334" s="152" t="e">
        <x:f>IF(OR(N333="",N334=""),"",N334/N333-1)</x:f>
        <x:v>#NAME?</x:v>
      </x:c>
      <x:c r="P334" s="152" t="e">
        <x:f>IF(N334="","",N334/MAX(N$5:N334)-1)</x:f>
        <x:v>#NAME?</x:v>
      </x:c>
      <x:c r="Q334" s="146" t="e">
        <x:f>IF(OR('实盘净值数据(iFinD公式)'!$A334="",'实盘净值数据(iFinD公式)'!$B334=""),"",分期持仓明细!$AD$25*SUMPRODUCT(分期持仓明细!$B$25:$AA$25,'实盘净值数据(iFinD公式)'!$B334:$AA334/'实盘净值数据(iFinD公式)'!$B$65:$AA$65)*(1-实盘持仓初始配置!$Z$9)^(('实盘净值数据(iFinD公式)'!$A334-'实盘净值数据(iFinD公式)'!$A$8)/365))</x:f>
        <x:v>#NAME?</x:v>
      </x:c>
      <x:c r="R334" s="152" t="e">
        <x:f>IF(OR(Q333="",Q334=""),"",Q334/Q333-1)</x:f>
        <x:v>#NAME?</x:v>
      </x:c>
      <x:c r="S334" s="152" t="e">
        <x:f>IF(Q334="","",Q334/MAX(Q$5:Q334)-1)</x:f>
        <x:v>#NAME?</x:v>
      </x:c>
    </x:row>
    <x:row r="335">
      <x:c r="A335" s="149" t="str">
        <x:f>IF('实盘净值数据(iFinD公式)'!A335="","",'实盘净值数据(iFinD公式)'!A335)</x:f>
      </x:c>
      <x:c r="B335" s="146" t="e">
        <x:f>IF(OR('实盘净值数据(iFinD公式)'!$A335="",'实盘净值数据(iFinD公式)'!$B335=""),"",分期持仓明细!$AD$17*SUMPRODUCT(分期持仓明细!$B$17:$AA$17,'实盘净值数据(iFinD公式)'!$B335:$AA335/'实盘净值数据(iFinD公式)'!$B$20:$AA$20)*(1-实盘持仓初始配置!$Z$4)^(('实盘净值数据(iFinD公式)'!$A335-'实盘净值数据(iFinD公式)'!$A$6)/365))</x:f>
        <x:v>#NAME?</x:v>
      </x:c>
      <x:c r="C335" s="152" t="e">
        <x:f>IF(OR(B334="",B335=""),"",B335/B334-1)</x:f>
        <x:v>#NAME?</x:v>
      </x:c>
      <x:c r="D335" s="152" t="e">
        <x:f>IF(B335="","",B335/MAX(B$5:B335)-1)</x:f>
        <x:v>#NAME?</x:v>
      </x:c>
      <x:c r="E335" s="146" t="e">
        <x:f>IF(OR('实盘净值数据(iFinD公式)'!$A335="",'实盘净值数据(iFinD公式)'!$B335=""),"",分期持仓明细!$AD$18*SUMPRODUCT(分期持仓明细!$B$18:$AA$18,'实盘净值数据(iFinD公式)'!$B335:$AA335/'实盘净值数据(iFinD公式)'!$B$20:$AA$20)*(1-实盘持仓初始配置!$Z$5)^(('实盘净值数据(iFinD公式)'!$A335-'实盘净值数据(iFinD公式)'!$A$5)/365))</x:f>
        <x:v>#NAME?</x:v>
      </x:c>
      <x:c r="F335" s="152" t="e">
        <x:f>IF(OR(E334="",E335=""),"",E335/E334-1)</x:f>
        <x:v>#NAME?</x:v>
      </x:c>
      <x:c r="G335" s="152" t="e">
        <x:f>IF(E335="","",E335/MAX(E$5:E335)-1)</x:f>
        <x:v>#NAME?</x:v>
      </x:c>
      <x:c r="H335" s="146" t="e">
        <x:f>IF(OR('实盘净值数据(iFinD公式)'!$A335="",'实盘净值数据(iFinD公式)'!$B335=""),"",分期持仓明细!$AD$19*SUMPRODUCT(分期持仓明细!$B$19:$AA$19,'实盘净值数据(iFinD公式)'!$B335:$AA335/'实盘净值数据(iFinD公式)'!$B$20:$AA$20)*(1-实盘持仓初始配置!$Z$6)^(('实盘净值数据(iFinD公式)'!$A335-'实盘净值数据(iFinD公式)'!$A$7)/365))</x:f>
        <x:v>#NAME?</x:v>
      </x:c>
      <x:c r="I335" s="152" t="e">
        <x:f>IF(OR(H334="",H335=""),"",H335/H334-1)</x:f>
        <x:v>#NAME?</x:v>
      </x:c>
      <x:c r="J335" s="152" t="e">
        <x:f>IF(H335="","",H335/MAX(H$5:H335)-1)</x:f>
        <x:v>#NAME?</x:v>
      </x:c>
      <x:c r="K335" s="146" t="e">
        <x:f>IF(OR('实盘净值数据(iFinD公式)'!$A335="",'实盘净值数据(iFinD公式)'!$B335=""),"",分期持仓明细!$AD$23*SUMPRODUCT(分期持仓明细!$B$23:$AA$23,'实盘净值数据(iFinD公式)'!$B335:$AA335/'实盘净值数据(iFinD公式)'!$B$65:$AA$65)*(1-实盘持仓初始配置!$Z$7)^(('实盘净值数据(iFinD公式)'!$A335-'实盘净值数据(iFinD公式)'!$A$8)/365))</x:f>
        <x:v>#NAME?</x:v>
      </x:c>
      <x:c r="L335" s="152" t="e">
        <x:f>IF(OR(K334="",K335=""),"",K335/K334-1)</x:f>
        <x:v>#NAME?</x:v>
      </x:c>
      <x:c r="M335" s="152" t="e">
        <x:f>IF(K335="","",K335/MAX(K$5:K335)-1)</x:f>
        <x:v>#NAME?</x:v>
      </x:c>
      <x:c r="N335" s="146" t="e">
        <x:f>IF(OR('实盘净值数据(iFinD公式)'!$A335="",'实盘净值数据(iFinD公式)'!$B335=""),"",分期持仓明细!$AD$24*SUMPRODUCT(分期持仓明细!$B$24:$AA$24,'实盘净值数据(iFinD公式)'!$B335:$AA335/'实盘净值数据(iFinD公式)'!$B$65:$AA$65)*(1-实盘持仓初始配置!$Z$8)^(('实盘净值数据(iFinD公式)'!$A335-'实盘净值数据(iFinD公式)'!$A$5)/365))</x:f>
        <x:v>#NAME?</x:v>
      </x:c>
      <x:c r="O335" s="152" t="e">
        <x:f>IF(OR(N334="",N335=""),"",N335/N334-1)</x:f>
        <x:v>#NAME?</x:v>
      </x:c>
      <x:c r="P335" s="152" t="e">
        <x:f>IF(N335="","",N335/MAX(N$5:N335)-1)</x:f>
        <x:v>#NAME?</x:v>
      </x:c>
      <x:c r="Q335" s="146" t="e">
        <x:f>IF(OR('实盘净值数据(iFinD公式)'!$A335="",'实盘净值数据(iFinD公式)'!$B335=""),"",分期持仓明细!$AD$25*SUMPRODUCT(分期持仓明细!$B$25:$AA$25,'实盘净值数据(iFinD公式)'!$B335:$AA335/'实盘净值数据(iFinD公式)'!$B$65:$AA$65)*(1-实盘持仓初始配置!$Z$9)^(('实盘净值数据(iFinD公式)'!$A335-'实盘净值数据(iFinD公式)'!$A$8)/365))</x:f>
        <x:v>#NAME?</x:v>
      </x:c>
      <x:c r="R335" s="152" t="e">
        <x:f>IF(OR(Q334="",Q335=""),"",Q335/Q334-1)</x:f>
        <x:v>#NAME?</x:v>
      </x:c>
      <x:c r="S335" s="152" t="e">
        <x:f>IF(Q335="","",Q335/MAX(Q$5:Q335)-1)</x:f>
        <x:v>#NAME?</x:v>
      </x:c>
    </x:row>
    <x:row r="336">
      <x:c r="A336" s="149" t="str">
        <x:f>IF('实盘净值数据(iFinD公式)'!A336="","",'实盘净值数据(iFinD公式)'!A336)</x:f>
      </x:c>
      <x:c r="B336" s="146" t="e">
        <x:f>IF(OR('实盘净值数据(iFinD公式)'!$A336="",'实盘净值数据(iFinD公式)'!$B336=""),"",分期持仓明细!$AD$17*SUMPRODUCT(分期持仓明细!$B$17:$AA$17,'实盘净值数据(iFinD公式)'!$B336:$AA336/'实盘净值数据(iFinD公式)'!$B$20:$AA$20)*(1-实盘持仓初始配置!$Z$4)^(('实盘净值数据(iFinD公式)'!$A336-'实盘净值数据(iFinD公式)'!$A$6)/365))</x:f>
        <x:v>#NAME?</x:v>
      </x:c>
      <x:c r="C336" s="152" t="e">
        <x:f>IF(OR(B335="",B336=""),"",B336/B335-1)</x:f>
        <x:v>#NAME?</x:v>
      </x:c>
      <x:c r="D336" s="152" t="e">
        <x:f>IF(B336="","",B336/MAX(B$5:B336)-1)</x:f>
        <x:v>#NAME?</x:v>
      </x:c>
      <x:c r="E336" s="146" t="e">
        <x:f>IF(OR('实盘净值数据(iFinD公式)'!$A336="",'实盘净值数据(iFinD公式)'!$B336=""),"",分期持仓明细!$AD$18*SUMPRODUCT(分期持仓明细!$B$18:$AA$18,'实盘净值数据(iFinD公式)'!$B336:$AA336/'实盘净值数据(iFinD公式)'!$B$20:$AA$20)*(1-实盘持仓初始配置!$Z$5)^(('实盘净值数据(iFinD公式)'!$A336-'实盘净值数据(iFinD公式)'!$A$5)/365))</x:f>
        <x:v>#NAME?</x:v>
      </x:c>
      <x:c r="F336" s="152" t="e">
        <x:f>IF(OR(E335="",E336=""),"",E336/E335-1)</x:f>
        <x:v>#NAME?</x:v>
      </x:c>
      <x:c r="G336" s="152" t="e">
        <x:f>IF(E336="","",E336/MAX(E$5:E336)-1)</x:f>
        <x:v>#NAME?</x:v>
      </x:c>
      <x:c r="H336" s="146" t="e">
        <x:f>IF(OR('实盘净值数据(iFinD公式)'!$A336="",'实盘净值数据(iFinD公式)'!$B336=""),"",分期持仓明细!$AD$19*SUMPRODUCT(分期持仓明细!$B$19:$AA$19,'实盘净值数据(iFinD公式)'!$B336:$AA336/'实盘净值数据(iFinD公式)'!$B$20:$AA$20)*(1-实盘持仓初始配置!$Z$6)^(('实盘净值数据(iFinD公式)'!$A336-'实盘净值数据(iFinD公式)'!$A$7)/365))</x:f>
        <x:v>#NAME?</x:v>
      </x:c>
      <x:c r="I336" s="152" t="e">
        <x:f>IF(OR(H335="",H336=""),"",H336/H335-1)</x:f>
        <x:v>#NAME?</x:v>
      </x:c>
      <x:c r="J336" s="152" t="e">
        <x:f>IF(H336="","",H336/MAX(H$5:H336)-1)</x:f>
        <x:v>#NAME?</x:v>
      </x:c>
      <x:c r="K336" s="146" t="e">
        <x:f>IF(OR('实盘净值数据(iFinD公式)'!$A336="",'实盘净值数据(iFinD公式)'!$B336=""),"",分期持仓明细!$AD$23*SUMPRODUCT(分期持仓明细!$B$23:$AA$23,'实盘净值数据(iFinD公式)'!$B336:$AA336/'实盘净值数据(iFinD公式)'!$B$65:$AA$65)*(1-实盘持仓初始配置!$Z$7)^(('实盘净值数据(iFinD公式)'!$A336-'实盘净值数据(iFinD公式)'!$A$8)/365))</x:f>
        <x:v>#NAME?</x:v>
      </x:c>
      <x:c r="L336" s="152" t="e">
        <x:f>IF(OR(K335="",K336=""),"",K336/K335-1)</x:f>
        <x:v>#NAME?</x:v>
      </x:c>
      <x:c r="M336" s="152" t="e">
        <x:f>IF(K336="","",K336/MAX(K$5:K336)-1)</x:f>
        <x:v>#NAME?</x:v>
      </x:c>
      <x:c r="N336" s="146" t="e">
        <x:f>IF(OR('实盘净值数据(iFinD公式)'!$A336="",'实盘净值数据(iFinD公式)'!$B336=""),"",分期持仓明细!$AD$24*SUMPRODUCT(分期持仓明细!$B$24:$AA$24,'实盘净值数据(iFinD公式)'!$B336:$AA336/'实盘净值数据(iFinD公式)'!$B$65:$AA$65)*(1-实盘持仓初始配置!$Z$8)^(('实盘净值数据(iFinD公式)'!$A336-'实盘净值数据(iFinD公式)'!$A$5)/365))</x:f>
        <x:v>#NAME?</x:v>
      </x:c>
      <x:c r="O336" s="152" t="e">
        <x:f>IF(OR(N335="",N336=""),"",N336/N335-1)</x:f>
        <x:v>#NAME?</x:v>
      </x:c>
      <x:c r="P336" s="152" t="e">
        <x:f>IF(N336="","",N336/MAX(N$5:N336)-1)</x:f>
        <x:v>#NAME?</x:v>
      </x:c>
      <x:c r="Q336" s="146" t="e">
        <x:f>IF(OR('实盘净值数据(iFinD公式)'!$A336="",'实盘净值数据(iFinD公式)'!$B336=""),"",分期持仓明细!$AD$25*SUMPRODUCT(分期持仓明细!$B$25:$AA$25,'实盘净值数据(iFinD公式)'!$B336:$AA336/'实盘净值数据(iFinD公式)'!$B$65:$AA$65)*(1-实盘持仓初始配置!$Z$9)^(('实盘净值数据(iFinD公式)'!$A336-'实盘净值数据(iFinD公式)'!$A$8)/365))</x:f>
        <x:v>#NAME?</x:v>
      </x:c>
      <x:c r="R336" s="152" t="e">
        <x:f>IF(OR(Q335="",Q336=""),"",Q336/Q335-1)</x:f>
        <x:v>#NAME?</x:v>
      </x:c>
      <x:c r="S336" s="152" t="e">
        <x:f>IF(Q336="","",Q336/MAX(Q$5:Q336)-1)</x:f>
        <x:v>#NAME?</x:v>
      </x:c>
    </x:row>
    <x:row r="337">
      <x:c r="A337" s="149" t="str">
        <x:f>IF('实盘净值数据(iFinD公式)'!A337="","",'实盘净值数据(iFinD公式)'!A337)</x:f>
      </x:c>
      <x:c r="B337" s="146" t="e">
        <x:f>IF(OR('实盘净值数据(iFinD公式)'!$A337="",'实盘净值数据(iFinD公式)'!$B337=""),"",分期持仓明细!$AD$17*SUMPRODUCT(分期持仓明细!$B$17:$AA$17,'实盘净值数据(iFinD公式)'!$B337:$AA337/'实盘净值数据(iFinD公式)'!$B$20:$AA$20)*(1-实盘持仓初始配置!$Z$4)^(('实盘净值数据(iFinD公式)'!$A337-'实盘净值数据(iFinD公式)'!$A$6)/365))</x:f>
        <x:v>#NAME?</x:v>
      </x:c>
      <x:c r="C337" s="152" t="e">
        <x:f>IF(OR(B336="",B337=""),"",B337/B336-1)</x:f>
        <x:v>#NAME?</x:v>
      </x:c>
      <x:c r="D337" s="152" t="e">
        <x:f>IF(B337="","",B337/MAX(B$5:B337)-1)</x:f>
        <x:v>#NAME?</x:v>
      </x:c>
      <x:c r="E337" s="146" t="e">
        <x:f>IF(OR('实盘净值数据(iFinD公式)'!$A337="",'实盘净值数据(iFinD公式)'!$B337=""),"",分期持仓明细!$AD$18*SUMPRODUCT(分期持仓明细!$B$18:$AA$18,'实盘净值数据(iFinD公式)'!$B337:$AA337/'实盘净值数据(iFinD公式)'!$B$20:$AA$20)*(1-实盘持仓初始配置!$Z$5)^(('实盘净值数据(iFinD公式)'!$A337-'实盘净值数据(iFinD公式)'!$A$5)/365))</x:f>
        <x:v>#NAME?</x:v>
      </x:c>
      <x:c r="F337" s="152" t="e">
        <x:f>IF(OR(E336="",E337=""),"",E337/E336-1)</x:f>
        <x:v>#NAME?</x:v>
      </x:c>
      <x:c r="G337" s="152" t="e">
        <x:f>IF(E337="","",E337/MAX(E$5:E337)-1)</x:f>
        <x:v>#NAME?</x:v>
      </x:c>
      <x:c r="H337" s="146" t="e">
        <x:f>IF(OR('实盘净值数据(iFinD公式)'!$A337="",'实盘净值数据(iFinD公式)'!$B337=""),"",分期持仓明细!$AD$19*SUMPRODUCT(分期持仓明细!$B$19:$AA$19,'实盘净值数据(iFinD公式)'!$B337:$AA337/'实盘净值数据(iFinD公式)'!$B$20:$AA$20)*(1-实盘持仓初始配置!$Z$6)^(('实盘净值数据(iFinD公式)'!$A337-'实盘净值数据(iFinD公式)'!$A$7)/365))</x:f>
        <x:v>#NAME?</x:v>
      </x:c>
      <x:c r="I337" s="152" t="e">
        <x:f>IF(OR(H336="",H337=""),"",H337/H336-1)</x:f>
        <x:v>#NAME?</x:v>
      </x:c>
      <x:c r="J337" s="152" t="e">
        <x:f>IF(H337="","",H337/MAX(H$5:H337)-1)</x:f>
        <x:v>#NAME?</x:v>
      </x:c>
      <x:c r="K337" s="146" t="e">
        <x:f>IF(OR('实盘净值数据(iFinD公式)'!$A337="",'实盘净值数据(iFinD公式)'!$B337=""),"",分期持仓明细!$AD$23*SUMPRODUCT(分期持仓明细!$B$23:$AA$23,'实盘净值数据(iFinD公式)'!$B337:$AA337/'实盘净值数据(iFinD公式)'!$B$65:$AA$65)*(1-实盘持仓初始配置!$Z$7)^(('实盘净值数据(iFinD公式)'!$A337-'实盘净值数据(iFinD公式)'!$A$8)/365))</x:f>
        <x:v>#NAME?</x:v>
      </x:c>
      <x:c r="L337" s="152" t="e">
        <x:f>IF(OR(K336="",K337=""),"",K337/K336-1)</x:f>
        <x:v>#NAME?</x:v>
      </x:c>
      <x:c r="M337" s="152" t="e">
        <x:f>IF(K337="","",K337/MAX(K$5:K337)-1)</x:f>
        <x:v>#NAME?</x:v>
      </x:c>
      <x:c r="N337" s="146" t="e">
        <x:f>IF(OR('实盘净值数据(iFinD公式)'!$A337="",'实盘净值数据(iFinD公式)'!$B337=""),"",分期持仓明细!$AD$24*SUMPRODUCT(分期持仓明细!$B$24:$AA$24,'实盘净值数据(iFinD公式)'!$B337:$AA337/'实盘净值数据(iFinD公式)'!$B$65:$AA$65)*(1-实盘持仓初始配置!$Z$8)^(('实盘净值数据(iFinD公式)'!$A337-'实盘净值数据(iFinD公式)'!$A$5)/365))</x:f>
        <x:v>#NAME?</x:v>
      </x:c>
      <x:c r="O337" s="152" t="e">
        <x:f>IF(OR(N336="",N337=""),"",N337/N336-1)</x:f>
        <x:v>#NAME?</x:v>
      </x:c>
      <x:c r="P337" s="152" t="e">
        <x:f>IF(N337="","",N337/MAX(N$5:N337)-1)</x:f>
        <x:v>#NAME?</x:v>
      </x:c>
      <x:c r="Q337" s="146" t="e">
        <x:f>IF(OR('实盘净值数据(iFinD公式)'!$A337="",'实盘净值数据(iFinD公式)'!$B337=""),"",分期持仓明细!$AD$25*SUMPRODUCT(分期持仓明细!$B$25:$AA$25,'实盘净值数据(iFinD公式)'!$B337:$AA337/'实盘净值数据(iFinD公式)'!$B$65:$AA$65)*(1-实盘持仓初始配置!$Z$9)^(('实盘净值数据(iFinD公式)'!$A337-'实盘净值数据(iFinD公式)'!$A$8)/365))</x:f>
        <x:v>#NAME?</x:v>
      </x:c>
      <x:c r="R337" s="152" t="e">
        <x:f>IF(OR(Q336="",Q337=""),"",Q337/Q336-1)</x:f>
        <x:v>#NAME?</x:v>
      </x:c>
      <x:c r="S337" s="152" t="e">
        <x:f>IF(Q337="","",Q337/MAX(Q$5:Q337)-1)</x:f>
        <x:v>#NAME?</x:v>
      </x:c>
    </x:row>
    <x:row r="338">
      <x:c r="A338" s="149" t="str">
        <x:f>IF('实盘净值数据(iFinD公式)'!A338="","",'实盘净值数据(iFinD公式)'!A338)</x:f>
      </x:c>
      <x:c r="B338" s="146" t="e">
        <x:f>IF(OR('实盘净值数据(iFinD公式)'!$A338="",'实盘净值数据(iFinD公式)'!$B338=""),"",分期持仓明细!$AD$17*SUMPRODUCT(分期持仓明细!$B$17:$AA$17,'实盘净值数据(iFinD公式)'!$B338:$AA338/'实盘净值数据(iFinD公式)'!$B$20:$AA$20)*(1-实盘持仓初始配置!$Z$4)^(('实盘净值数据(iFinD公式)'!$A338-'实盘净值数据(iFinD公式)'!$A$6)/365))</x:f>
        <x:v>#NAME?</x:v>
      </x:c>
      <x:c r="C338" s="152" t="e">
        <x:f>IF(OR(B337="",B338=""),"",B338/B337-1)</x:f>
        <x:v>#NAME?</x:v>
      </x:c>
      <x:c r="D338" s="152" t="e">
        <x:f>IF(B338="","",B338/MAX(B$5:B338)-1)</x:f>
        <x:v>#NAME?</x:v>
      </x:c>
      <x:c r="E338" s="146" t="e">
        <x:f>IF(OR('实盘净值数据(iFinD公式)'!$A338="",'实盘净值数据(iFinD公式)'!$B338=""),"",分期持仓明细!$AD$18*SUMPRODUCT(分期持仓明细!$B$18:$AA$18,'实盘净值数据(iFinD公式)'!$B338:$AA338/'实盘净值数据(iFinD公式)'!$B$20:$AA$20)*(1-实盘持仓初始配置!$Z$5)^(('实盘净值数据(iFinD公式)'!$A338-'实盘净值数据(iFinD公式)'!$A$5)/365))</x:f>
        <x:v>#NAME?</x:v>
      </x:c>
      <x:c r="F338" s="152" t="e">
        <x:f>IF(OR(E337="",E338=""),"",E338/E337-1)</x:f>
        <x:v>#NAME?</x:v>
      </x:c>
      <x:c r="G338" s="152" t="e">
        <x:f>IF(E338="","",E338/MAX(E$5:E338)-1)</x:f>
        <x:v>#NAME?</x:v>
      </x:c>
      <x:c r="H338" s="146" t="e">
        <x:f>IF(OR('实盘净值数据(iFinD公式)'!$A338="",'实盘净值数据(iFinD公式)'!$B338=""),"",分期持仓明细!$AD$19*SUMPRODUCT(分期持仓明细!$B$19:$AA$19,'实盘净值数据(iFinD公式)'!$B338:$AA338/'实盘净值数据(iFinD公式)'!$B$20:$AA$20)*(1-实盘持仓初始配置!$Z$6)^(('实盘净值数据(iFinD公式)'!$A338-'实盘净值数据(iFinD公式)'!$A$7)/365))</x:f>
        <x:v>#NAME?</x:v>
      </x:c>
      <x:c r="I338" s="152" t="e">
        <x:f>IF(OR(H337="",H338=""),"",H338/H337-1)</x:f>
        <x:v>#NAME?</x:v>
      </x:c>
      <x:c r="J338" s="152" t="e">
        <x:f>IF(H338="","",H338/MAX(H$5:H338)-1)</x:f>
        <x:v>#NAME?</x:v>
      </x:c>
      <x:c r="K338" s="146" t="e">
        <x:f>IF(OR('实盘净值数据(iFinD公式)'!$A338="",'实盘净值数据(iFinD公式)'!$B338=""),"",分期持仓明细!$AD$23*SUMPRODUCT(分期持仓明细!$B$23:$AA$23,'实盘净值数据(iFinD公式)'!$B338:$AA338/'实盘净值数据(iFinD公式)'!$B$65:$AA$65)*(1-实盘持仓初始配置!$Z$7)^(('实盘净值数据(iFinD公式)'!$A338-'实盘净值数据(iFinD公式)'!$A$8)/365))</x:f>
        <x:v>#NAME?</x:v>
      </x:c>
      <x:c r="L338" s="152" t="e">
        <x:f>IF(OR(K337="",K338=""),"",K338/K337-1)</x:f>
        <x:v>#NAME?</x:v>
      </x:c>
      <x:c r="M338" s="152" t="e">
        <x:f>IF(K338="","",K338/MAX(K$5:K338)-1)</x:f>
        <x:v>#NAME?</x:v>
      </x:c>
      <x:c r="N338" s="146" t="e">
        <x:f>IF(OR('实盘净值数据(iFinD公式)'!$A338="",'实盘净值数据(iFinD公式)'!$B338=""),"",分期持仓明细!$AD$24*SUMPRODUCT(分期持仓明细!$B$24:$AA$24,'实盘净值数据(iFinD公式)'!$B338:$AA338/'实盘净值数据(iFinD公式)'!$B$65:$AA$65)*(1-实盘持仓初始配置!$Z$8)^(('实盘净值数据(iFinD公式)'!$A338-'实盘净值数据(iFinD公式)'!$A$5)/365))</x:f>
        <x:v>#NAME?</x:v>
      </x:c>
      <x:c r="O338" s="152" t="e">
        <x:f>IF(OR(N337="",N338=""),"",N338/N337-1)</x:f>
        <x:v>#NAME?</x:v>
      </x:c>
      <x:c r="P338" s="152" t="e">
        <x:f>IF(N338="","",N338/MAX(N$5:N338)-1)</x:f>
        <x:v>#NAME?</x:v>
      </x:c>
      <x:c r="Q338" s="146" t="e">
        <x:f>IF(OR('实盘净值数据(iFinD公式)'!$A338="",'实盘净值数据(iFinD公式)'!$B338=""),"",分期持仓明细!$AD$25*SUMPRODUCT(分期持仓明细!$B$25:$AA$25,'实盘净值数据(iFinD公式)'!$B338:$AA338/'实盘净值数据(iFinD公式)'!$B$65:$AA$65)*(1-实盘持仓初始配置!$Z$9)^(('实盘净值数据(iFinD公式)'!$A338-'实盘净值数据(iFinD公式)'!$A$8)/365))</x:f>
        <x:v>#NAME?</x:v>
      </x:c>
      <x:c r="R338" s="152" t="e">
        <x:f>IF(OR(Q337="",Q338=""),"",Q338/Q337-1)</x:f>
        <x:v>#NAME?</x:v>
      </x:c>
      <x:c r="S338" s="152" t="e">
        <x:f>IF(Q338="","",Q338/MAX(Q$5:Q338)-1)</x:f>
        <x:v>#NAME?</x:v>
      </x:c>
    </x:row>
    <x:row r="339">
      <x:c r="A339" s="149" t="str">
        <x:f>IF('实盘净值数据(iFinD公式)'!A339="","",'实盘净值数据(iFinD公式)'!A339)</x:f>
      </x:c>
      <x:c r="B339" s="146" t="e">
        <x:f>IF(OR('实盘净值数据(iFinD公式)'!$A339="",'实盘净值数据(iFinD公式)'!$B339=""),"",分期持仓明细!$AD$17*SUMPRODUCT(分期持仓明细!$B$17:$AA$17,'实盘净值数据(iFinD公式)'!$B339:$AA339/'实盘净值数据(iFinD公式)'!$B$20:$AA$20)*(1-实盘持仓初始配置!$Z$4)^(('实盘净值数据(iFinD公式)'!$A339-'实盘净值数据(iFinD公式)'!$A$6)/365))</x:f>
        <x:v>#NAME?</x:v>
      </x:c>
      <x:c r="C339" s="152" t="e">
        <x:f>IF(OR(B338="",B339=""),"",B339/B338-1)</x:f>
        <x:v>#NAME?</x:v>
      </x:c>
      <x:c r="D339" s="152" t="e">
        <x:f>IF(B339="","",B339/MAX(B$5:B339)-1)</x:f>
        <x:v>#NAME?</x:v>
      </x:c>
      <x:c r="E339" s="146" t="e">
        <x:f>IF(OR('实盘净值数据(iFinD公式)'!$A339="",'实盘净值数据(iFinD公式)'!$B339=""),"",分期持仓明细!$AD$18*SUMPRODUCT(分期持仓明细!$B$18:$AA$18,'实盘净值数据(iFinD公式)'!$B339:$AA339/'实盘净值数据(iFinD公式)'!$B$20:$AA$20)*(1-实盘持仓初始配置!$Z$5)^(('实盘净值数据(iFinD公式)'!$A339-'实盘净值数据(iFinD公式)'!$A$5)/365))</x:f>
        <x:v>#NAME?</x:v>
      </x:c>
      <x:c r="F339" s="152" t="e">
        <x:f>IF(OR(E338="",E339=""),"",E339/E338-1)</x:f>
        <x:v>#NAME?</x:v>
      </x:c>
      <x:c r="G339" s="152" t="e">
        <x:f>IF(E339="","",E339/MAX(E$5:E339)-1)</x:f>
        <x:v>#NAME?</x:v>
      </x:c>
      <x:c r="H339" s="146" t="e">
        <x:f>IF(OR('实盘净值数据(iFinD公式)'!$A339="",'实盘净值数据(iFinD公式)'!$B339=""),"",分期持仓明细!$AD$19*SUMPRODUCT(分期持仓明细!$B$19:$AA$19,'实盘净值数据(iFinD公式)'!$B339:$AA339/'实盘净值数据(iFinD公式)'!$B$20:$AA$20)*(1-实盘持仓初始配置!$Z$6)^(('实盘净值数据(iFinD公式)'!$A339-'实盘净值数据(iFinD公式)'!$A$7)/365))</x:f>
        <x:v>#NAME?</x:v>
      </x:c>
      <x:c r="I339" s="152" t="e">
        <x:f>IF(OR(H338="",H339=""),"",H339/H338-1)</x:f>
        <x:v>#NAME?</x:v>
      </x:c>
      <x:c r="J339" s="152" t="e">
        <x:f>IF(H339="","",H339/MAX(H$5:H339)-1)</x:f>
        <x:v>#NAME?</x:v>
      </x:c>
      <x:c r="K339" s="146" t="e">
        <x:f>IF(OR('实盘净值数据(iFinD公式)'!$A339="",'实盘净值数据(iFinD公式)'!$B339=""),"",分期持仓明细!$AD$23*SUMPRODUCT(分期持仓明细!$B$23:$AA$23,'实盘净值数据(iFinD公式)'!$B339:$AA339/'实盘净值数据(iFinD公式)'!$B$65:$AA$65)*(1-实盘持仓初始配置!$Z$7)^(('实盘净值数据(iFinD公式)'!$A339-'实盘净值数据(iFinD公式)'!$A$8)/365))</x:f>
        <x:v>#NAME?</x:v>
      </x:c>
      <x:c r="L339" s="152" t="e">
        <x:f>IF(OR(K338="",K339=""),"",K339/K338-1)</x:f>
        <x:v>#NAME?</x:v>
      </x:c>
      <x:c r="M339" s="152" t="e">
        <x:f>IF(K339="","",K339/MAX(K$5:K339)-1)</x:f>
        <x:v>#NAME?</x:v>
      </x:c>
      <x:c r="N339" s="146" t="e">
        <x:f>IF(OR('实盘净值数据(iFinD公式)'!$A339="",'实盘净值数据(iFinD公式)'!$B339=""),"",分期持仓明细!$AD$24*SUMPRODUCT(分期持仓明细!$B$24:$AA$24,'实盘净值数据(iFinD公式)'!$B339:$AA339/'实盘净值数据(iFinD公式)'!$B$65:$AA$65)*(1-实盘持仓初始配置!$Z$8)^(('实盘净值数据(iFinD公式)'!$A339-'实盘净值数据(iFinD公式)'!$A$5)/365))</x:f>
        <x:v>#NAME?</x:v>
      </x:c>
      <x:c r="O339" s="152" t="e">
        <x:f>IF(OR(N338="",N339=""),"",N339/N338-1)</x:f>
        <x:v>#NAME?</x:v>
      </x:c>
      <x:c r="P339" s="152" t="e">
        <x:f>IF(N339="","",N339/MAX(N$5:N339)-1)</x:f>
        <x:v>#NAME?</x:v>
      </x:c>
      <x:c r="Q339" s="146" t="e">
        <x:f>IF(OR('实盘净值数据(iFinD公式)'!$A339="",'实盘净值数据(iFinD公式)'!$B339=""),"",分期持仓明细!$AD$25*SUMPRODUCT(分期持仓明细!$B$25:$AA$25,'实盘净值数据(iFinD公式)'!$B339:$AA339/'实盘净值数据(iFinD公式)'!$B$65:$AA$65)*(1-实盘持仓初始配置!$Z$9)^(('实盘净值数据(iFinD公式)'!$A339-'实盘净值数据(iFinD公式)'!$A$8)/365))</x:f>
        <x:v>#NAME?</x:v>
      </x:c>
      <x:c r="R339" s="152" t="e">
        <x:f>IF(OR(Q338="",Q339=""),"",Q339/Q338-1)</x:f>
        <x:v>#NAME?</x:v>
      </x:c>
      <x:c r="S339" s="152" t="e">
        <x:f>IF(Q339="","",Q339/MAX(Q$5:Q339)-1)</x:f>
        <x:v>#NAME?</x:v>
      </x:c>
    </x:row>
    <x:row r="340">
      <x:c r="A340" s="149" t="str">
        <x:f>IF('实盘净值数据(iFinD公式)'!A340="","",'实盘净值数据(iFinD公式)'!A340)</x:f>
      </x:c>
      <x:c r="B340" s="146" t="e">
        <x:f>IF(OR('实盘净值数据(iFinD公式)'!$A340="",'实盘净值数据(iFinD公式)'!$B340=""),"",分期持仓明细!$AD$17*SUMPRODUCT(分期持仓明细!$B$17:$AA$17,'实盘净值数据(iFinD公式)'!$B340:$AA340/'实盘净值数据(iFinD公式)'!$B$20:$AA$20)*(1-实盘持仓初始配置!$Z$4)^(('实盘净值数据(iFinD公式)'!$A340-'实盘净值数据(iFinD公式)'!$A$6)/365))</x:f>
        <x:v>#NAME?</x:v>
      </x:c>
      <x:c r="C340" s="152" t="e">
        <x:f>IF(OR(B339="",B340=""),"",B340/B339-1)</x:f>
        <x:v>#NAME?</x:v>
      </x:c>
      <x:c r="D340" s="152" t="e">
        <x:f>IF(B340="","",B340/MAX(B$5:B340)-1)</x:f>
        <x:v>#NAME?</x:v>
      </x:c>
      <x:c r="E340" s="146" t="e">
        <x:f>IF(OR('实盘净值数据(iFinD公式)'!$A340="",'实盘净值数据(iFinD公式)'!$B340=""),"",分期持仓明细!$AD$18*SUMPRODUCT(分期持仓明细!$B$18:$AA$18,'实盘净值数据(iFinD公式)'!$B340:$AA340/'实盘净值数据(iFinD公式)'!$B$20:$AA$20)*(1-实盘持仓初始配置!$Z$5)^(('实盘净值数据(iFinD公式)'!$A340-'实盘净值数据(iFinD公式)'!$A$5)/365))</x:f>
        <x:v>#NAME?</x:v>
      </x:c>
      <x:c r="F340" s="152" t="e">
        <x:f>IF(OR(E339="",E340=""),"",E340/E339-1)</x:f>
        <x:v>#NAME?</x:v>
      </x:c>
      <x:c r="G340" s="152" t="e">
        <x:f>IF(E340="","",E340/MAX(E$5:E340)-1)</x:f>
        <x:v>#NAME?</x:v>
      </x:c>
      <x:c r="H340" s="146" t="e">
        <x:f>IF(OR('实盘净值数据(iFinD公式)'!$A340="",'实盘净值数据(iFinD公式)'!$B340=""),"",分期持仓明细!$AD$19*SUMPRODUCT(分期持仓明细!$B$19:$AA$19,'实盘净值数据(iFinD公式)'!$B340:$AA340/'实盘净值数据(iFinD公式)'!$B$20:$AA$20)*(1-实盘持仓初始配置!$Z$6)^(('实盘净值数据(iFinD公式)'!$A340-'实盘净值数据(iFinD公式)'!$A$7)/365))</x:f>
        <x:v>#NAME?</x:v>
      </x:c>
      <x:c r="I340" s="152" t="e">
        <x:f>IF(OR(H339="",H340=""),"",H340/H339-1)</x:f>
        <x:v>#NAME?</x:v>
      </x:c>
      <x:c r="J340" s="152" t="e">
        <x:f>IF(H340="","",H340/MAX(H$5:H340)-1)</x:f>
        <x:v>#NAME?</x:v>
      </x:c>
      <x:c r="K340" s="146" t="e">
        <x:f>IF(OR('实盘净值数据(iFinD公式)'!$A340="",'实盘净值数据(iFinD公式)'!$B340=""),"",分期持仓明细!$AD$23*SUMPRODUCT(分期持仓明细!$B$23:$AA$23,'实盘净值数据(iFinD公式)'!$B340:$AA340/'实盘净值数据(iFinD公式)'!$B$65:$AA$65)*(1-实盘持仓初始配置!$Z$7)^(('实盘净值数据(iFinD公式)'!$A340-'实盘净值数据(iFinD公式)'!$A$8)/365))</x:f>
        <x:v>#NAME?</x:v>
      </x:c>
      <x:c r="L340" s="152" t="e">
        <x:f>IF(OR(K339="",K340=""),"",K340/K339-1)</x:f>
        <x:v>#NAME?</x:v>
      </x:c>
      <x:c r="M340" s="152" t="e">
        <x:f>IF(K340="","",K340/MAX(K$5:K340)-1)</x:f>
        <x:v>#NAME?</x:v>
      </x:c>
      <x:c r="N340" s="146" t="e">
        <x:f>IF(OR('实盘净值数据(iFinD公式)'!$A340="",'实盘净值数据(iFinD公式)'!$B340=""),"",分期持仓明细!$AD$24*SUMPRODUCT(分期持仓明细!$B$24:$AA$24,'实盘净值数据(iFinD公式)'!$B340:$AA340/'实盘净值数据(iFinD公式)'!$B$65:$AA$65)*(1-实盘持仓初始配置!$Z$8)^(('实盘净值数据(iFinD公式)'!$A340-'实盘净值数据(iFinD公式)'!$A$5)/365))</x:f>
        <x:v>#NAME?</x:v>
      </x:c>
      <x:c r="O340" s="152" t="e">
        <x:f>IF(OR(N339="",N340=""),"",N340/N339-1)</x:f>
        <x:v>#NAME?</x:v>
      </x:c>
      <x:c r="P340" s="152" t="e">
        <x:f>IF(N340="","",N340/MAX(N$5:N340)-1)</x:f>
        <x:v>#NAME?</x:v>
      </x:c>
      <x:c r="Q340" s="146" t="e">
        <x:f>IF(OR('实盘净值数据(iFinD公式)'!$A340="",'实盘净值数据(iFinD公式)'!$B340=""),"",分期持仓明细!$AD$25*SUMPRODUCT(分期持仓明细!$B$25:$AA$25,'实盘净值数据(iFinD公式)'!$B340:$AA340/'实盘净值数据(iFinD公式)'!$B$65:$AA$65)*(1-实盘持仓初始配置!$Z$9)^(('实盘净值数据(iFinD公式)'!$A340-'实盘净值数据(iFinD公式)'!$A$8)/365))</x:f>
        <x:v>#NAME?</x:v>
      </x:c>
      <x:c r="R340" s="152" t="e">
        <x:f>IF(OR(Q339="",Q340=""),"",Q340/Q339-1)</x:f>
        <x:v>#NAME?</x:v>
      </x:c>
      <x:c r="S340" s="152" t="e">
        <x:f>IF(Q340="","",Q340/MAX(Q$5:Q340)-1)</x:f>
        <x:v>#NAME?</x:v>
      </x:c>
    </x:row>
    <x:row r="341">
      <x:c r="A341" s="149" t="str">
        <x:f>IF('实盘净值数据(iFinD公式)'!A341="","",'实盘净值数据(iFinD公式)'!A341)</x:f>
      </x:c>
      <x:c r="B341" s="146" t="e">
        <x:f>IF(OR('实盘净值数据(iFinD公式)'!$A341="",'实盘净值数据(iFinD公式)'!$B341=""),"",分期持仓明细!$AD$17*SUMPRODUCT(分期持仓明细!$B$17:$AA$17,'实盘净值数据(iFinD公式)'!$B341:$AA341/'实盘净值数据(iFinD公式)'!$B$20:$AA$20)*(1-实盘持仓初始配置!$Z$4)^(('实盘净值数据(iFinD公式)'!$A341-'实盘净值数据(iFinD公式)'!$A$6)/365))</x:f>
        <x:v>#NAME?</x:v>
      </x:c>
      <x:c r="C341" s="152" t="e">
        <x:f>IF(OR(B340="",B341=""),"",B341/B340-1)</x:f>
        <x:v>#NAME?</x:v>
      </x:c>
      <x:c r="D341" s="152" t="e">
        <x:f>IF(B341="","",B341/MAX(B$5:B341)-1)</x:f>
        <x:v>#NAME?</x:v>
      </x:c>
      <x:c r="E341" s="146" t="e">
        <x:f>IF(OR('实盘净值数据(iFinD公式)'!$A341="",'实盘净值数据(iFinD公式)'!$B341=""),"",分期持仓明细!$AD$18*SUMPRODUCT(分期持仓明细!$B$18:$AA$18,'实盘净值数据(iFinD公式)'!$B341:$AA341/'实盘净值数据(iFinD公式)'!$B$20:$AA$20)*(1-实盘持仓初始配置!$Z$5)^(('实盘净值数据(iFinD公式)'!$A341-'实盘净值数据(iFinD公式)'!$A$5)/365))</x:f>
        <x:v>#NAME?</x:v>
      </x:c>
      <x:c r="F341" s="152" t="e">
        <x:f>IF(OR(E340="",E341=""),"",E341/E340-1)</x:f>
        <x:v>#NAME?</x:v>
      </x:c>
      <x:c r="G341" s="152" t="e">
        <x:f>IF(E341="","",E341/MAX(E$5:E341)-1)</x:f>
        <x:v>#NAME?</x:v>
      </x:c>
      <x:c r="H341" s="146" t="e">
        <x:f>IF(OR('实盘净值数据(iFinD公式)'!$A341="",'实盘净值数据(iFinD公式)'!$B341=""),"",分期持仓明细!$AD$19*SUMPRODUCT(分期持仓明细!$B$19:$AA$19,'实盘净值数据(iFinD公式)'!$B341:$AA341/'实盘净值数据(iFinD公式)'!$B$20:$AA$20)*(1-实盘持仓初始配置!$Z$6)^(('实盘净值数据(iFinD公式)'!$A341-'实盘净值数据(iFinD公式)'!$A$7)/365))</x:f>
        <x:v>#NAME?</x:v>
      </x:c>
      <x:c r="I341" s="152" t="e">
        <x:f>IF(OR(H340="",H341=""),"",H341/H340-1)</x:f>
        <x:v>#NAME?</x:v>
      </x:c>
      <x:c r="J341" s="152" t="e">
        <x:f>IF(H341="","",H341/MAX(H$5:H341)-1)</x:f>
        <x:v>#NAME?</x:v>
      </x:c>
      <x:c r="K341" s="146" t="e">
        <x:f>IF(OR('实盘净值数据(iFinD公式)'!$A341="",'实盘净值数据(iFinD公式)'!$B341=""),"",分期持仓明细!$AD$23*SUMPRODUCT(分期持仓明细!$B$23:$AA$23,'实盘净值数据(iFinD公式)'!$B341:$AA341/'实盘净值数据(iFinD公式)'!$B$65:$AA$65)*(1-实盘持仓初始配置!$Z$7)^(('实盘净值数据(iFinD公式)'!$A341-'实盘净值数据(iFinD公式)'!$A$8)/365))</x:f>
        <x:v>#NAME?</x:v>
      </x:c>
      <x:c r="L341" s="152" t="e">
        <x:f>IF(OR(K340="",K341=""),"",K341/K340-1)</x:f>
        <x:v>#NAME?</x:v>
      </x:c>
      <x:c r="M341" s="152" t="e">
        <x:f>IF(K341="","",K341/MAX(K$5:K341)-1)</x:f>
        <x:v>#NAME?</x:v>
      </x:c>
      <x:c r="N341" s="146" t="e">
        <x:f>IF(OR('实盘净值数据(iFinD公式)'!$A341="",'实盘净值数据(iFinD公式)'!$B341=""),"",分期持仓明细!$AD$24*SUMPRODUCT(分期持仓明细!$B$24:$AA$24,'实盘净值数据(iFinD公式)'!$B341:$AA341/'实盘净值数据(iFinD公式)'!$B$65:$AA$65)*(1-实盘持仓初始配置!$Z$8)^(('实盘净值数据(iFinD公式)'!$A341-'实盘净值数据(iFinD公式)'!$A$5)/365))</x:f>
        <x:v>#NAME?</x:v>
      </x:c>
      <x:c r="O341" s="152" t="e">
        <x:f>IF(OR(N340="",N341=""),"",N341/N340-1)</x:f>
        <x:v>#NAME?</x:v>
      </x:c>
      <x:c r="P341" s="152" t="e">
        <x:f>IF(N341="","",N341/MAX(N$5:N341)-1)</x:f>
        <x:v>#NAME?</x:v>
      </x:c>
      <x:c r="Q341" s="146" t="e">
        <x:f>IF(OR('实盘净值数据(iFinD公式)'!$A341="",'实盘净值数据(iFinD公式)'!$B341=""),"",分期持仓明细!$AD$25*SUMPRODUCT(分期持仓明细!$B$25:$AA$25,'实盘净值数据(iFinD公式)'!$B341:$AA341/'实盘净值数据(iFinD公式)'!$B$65:$AA$65)*(1-实盘持仓初始配置!$Z$9)^(('实盘净值数据(iFinD公式)'!$A341-'实盘净值数据(iFinD公式)'!$A$8)/365))</x:f>
        <x:v>#NAME?</x:v>
      </x:c>
      <x:c r="R341" s="152" t="e">
        <x:f>IF(OR(Q340="",Q341=""),"",Q341/Q340-1)</x:f>
        <x:v>#NAME?</x:v>
      </x:c>
      <x:c r="S341" s="152" t="e">
        <x:f>IF(Q341="","",Q341/MAX(Q$5:Q341)-1)</x:f>
        <x:v>#NAME?</x:v>
      </x:c>
    </x:row>
    <x:row r="342">
      <x:c r="A342" s="149" t="str">
        <x:f>IF('实盘净值数据(iFinD公式)'!A342="","",'实盘净值数据(iFinD公式)'!A342)</x:f>
      </x:c>
      <x:c r="B342" s="146" t="e">
        <x:f>IF(OR('实盘净值数据(iFinD公式)'!$A342="",'实盘净值数据(iFinD公式)'!$B342=""),"",分期持仓明细!$AD$17*SUMPRODUCT(分期持仓明细!$B$17:$AA$17,'实盘净值数据(iFinD公式)'!$B342:$AA342/'实盘净值数据(iFinD公式)'!$B$20:$AA$20)*(1-实盘持仓初始配置!$Z$4)^(('实盘净值数据(iFinD公式)'!$A342-'实盘净值数据(iFinD公式)'!$A$6)/365))</x:f>
        <x:v>#NAME?</x:v>
      </x:c>
      <x:c r="C342" s="152" t="e">
        <x:f>IF(OR(B341="",B342=""),"",B342/B341-1)</x:f>
        <x:v>#NAME?</x:v>
      </x:c>
      <x:c r="D342" s="152" t="e">
        <x:f>IF(B342="","",B342/MAX(B$5:B342)-1)</x:f>
        <x:v>#NAME?</x:v>
      </x:c>
      <x:c r="E342" s="146" t="e">
        <x:f>IF(OR('实盘净值数据(iFinD公式)'!$A342="",'实盘净值数据(iFinD公式)'!$B342=""),"",分期持仓明细!$AD$18*SUMPRODUCT(分期持仓明细!$B$18:$AA$18,'实盘净值数据(iFinD公式)'!$B342:$AA342/'实盘净值数据(iFinD公式)'!$B$20:$AA$20)*(1-实盘持仓初始配置!$Z$5)^(('实盘净值数据(iFinD公式)'!$A342-'实盘净值数据(iFinD公式)'!$A$5)/365))</x:f>
        <x:v>#NAME?</x:v>
      </x:c>
      <x:c r="F342" s="152" t="e">
        <x:f>IF(OR(E341="",E342=""),"",E342/E341-1)</x:f>
        <x:v>#NAME?</x:v>
      </x:c>
      <x:c r="G342" s="152" t="e">
        <x:f>IF(E342="","",E342/MAX(E$5:E342)-1)</x:f>
        <x:v>#NAME?</x:v>
      </x:c>
      <x:c r="H342" s="146" t="e">
        <x:f>IF(OR('实盘净值数据(iFinD公式)'!$A342="",'实盘净值数据(iFinD公式)'!$B342=""),"",分期持仓明细!$AD$19*SUMPRODUCT(分期持仓明细!$B$19:$AA$19,'实盘净值数据(iFinD公式)'!$B342:$AA342/'实盘净值数据(iFinD公式)'!$B$20:$AA$20)*(1-实盘持仓初始配置!$Z$6)^(('实盘净值数据(iFinD公式)'!$A342-'实盘净值数据(iFinD公式)'!$A$7)/365))</x:f>
        <x:v>#NAME?</x:v>
      </x:c>
      <x:c r="I342" s="152" t="e">
        <x:f>IF(OR(H341="",H342=""),"",H342/H341-1)</x:f>
        <x:v>#NAME?</x:v>
      </x:c>
      <x:c r="J342" s="152" t="e">
        <x:f>IF(H342="","",H342/MAX(H$5:H342)-1)</x:f>
        <x:v>#NAME?</x:v>
      </x:c>
      <x:c r="K342" s="146" t="e">
        <x:f>IF(OR('实盘净值数据(iFinD公式)'!$A342="",'实盘净值数据(iFinD公式)'!$B342=""),"",分期持仓明细!$AD$23*SUMPRODUCT(分期持仓明细!$B$23:$AA$23,'实盘净值数据(iFinD公式)'!$B342:$AA342/'实盘净值数据(iFinD公式)'!$B$65:$AA$65)*(1-实盘持仓初始配置!$Z$7)^(('实盘净值数据(iFinD公式)'!$A342-'实盘净值数据(iFinD公式)'!$A$8)/365))</x:f>
        <x:v>#NAME?</x:v>
      </x:c>
      <x:c r="L342" s="152" t="e">
        <x:f>IF(OR(K341="",K342=""),"",K342/K341-1)</x:f>
        <x:v>#NAME?</x:v>
      </x:c>
      <x:c r="M342" s="152" t="e">
        <x:f>IF(K342="","",K342/MAX(K$5:K342)-1)</x:f>
        <x:v>#NAME?</x:v>
      </x:c>
      <x:c r="N342" s="146" t="e">
        <x:f>IF(OR('实盘净值数据(iFinD公式)'!$A342="",'实盘净值数据(iFinD公式)'!$B342=""),"",分期持仓明细!$AD$24*SUMPRODUCT(分期持仓明细!$B$24:$AA$24,'实盘净值数据(iFinD公式)'!$B342:$AA342/'实盘净值数据(iFinD公式)'!$B$65:$AA$65)*(1-实盘持仓初始配置!$Z$8)^(('实盘净值数据(iFinD公式)'!$A342-'实盘净值数据(iFinD公式)'!$A$5)/365))</x:f>
        <x:v>#NAME?</x:v>
      </x:c>
      <x:c r="O342" s="152" t="e">
        <x:f>IF(OR(N341="",N342=""),"",N342/N341-1)</x:f>
        <x:v>#NAME?</x:v>
      </x:c>
      <x:c r="P342" s="152" t="e">
        <x:f>IF(N342="","",N342/MAX(N$5:N342)-1)</x:f>
        <x:v>#NAME?</x:v>
      </x:c>
      <x:c r="Q342" s="146" t="e">
        <x:f>IF(OR('实盘净值数据(iFinD公式)'!$A342="",'实盘净值数据(iFinD公式)'!$B342=""),"",分期持仓明细!$AD$25*SUMPRODUCT(分期持仓明细!$B$25:$AA$25,'实盘净值数据(iFinD公式)'!$B342:$AA342/'实盘净值数据(iFinD公式)'!$B$65:$AA$65)*(1-实盘持仓初始配置!$Z$9)^(('实盘净值数据(iFinD公式)'!$A342-'实盘净值数据(iFinD公式)'!$A$8)/365))</x:f>
        <x:v>#NAME?</x:v>
      </x:c>
      <x:c r="R342" s="152" t="e">
        <x:f>IF(OR(Q341="",Q342=""),"",Q342/Q341-1)</x:f>
        <x:v>#NAME?</x:v>
      </x:c>
      <x:c r="S342" s="152" t="e">
        <x:f>IF(Q342="","",Q342/MAX(Q$5:Q342)-1)</x:f>
        <x:v>#NAME?</x:v>
      </x:c>
    </x:row>
    <x:row r="343">
      <x:c r="A343" s="149" t="str">
        <x:f>IF('实盘净值数据(iFinD公式)'!A343="","",'实盘净值数据(iFinD公式)'!A343)</x:f>
      </x:c>
      <x:c r="B343" s="146" t="e">
        <x:f>IF(OR('实盘净值数据(iFinD公式)'!$A343="",'实盘净值数据(iFinD公式)'!$B343=""),"",分期持仓明细!$AD$17*SUMPRODUCT(分期持仓明细!$B$17:$AA$17,'实盘净值数据(iFinD公式)'!$B343:$AA343/'实盘净值数据(iFinD公式)'!$B$20:$AA$20)*(1-实盘持仓初始配置!$Z$4)^(('实盘净值数据(iFinD公式)'!$A343-'实盘净值数据(iFinD公式)'!$A$6)/365))</x:f>
        <x:v>#NAME?</x:v>
      </x:c>
      <x:c r="C343" s="152" t="e">
        <x:f>IF(OR(B342="",B343=""),"",B343/B342-1)</x:f>
        <x:v>#NAME?</x:v>
      </x:c>
      <x:c r="D343" s="152" t="e">
        <x:f>IF(B343="","",B343/MAX(B$5:B343)-1)</x:f>
        <x:v>#NAME?</x:v>
      </x:c>
      <x:c r="E343" s="146" t="e">
        <x:f>IF(OR('实盘净值数据(iFinD公式)'!$A343="",'实盘净值数据(iFinD公式)'!$B343=""),"",分期持仓明细!$AD$18*SUMPRODUCT(分期持仓明细!$B$18:$AA$18,'实盘净值数据(iFinD公式)'!$B343:$AA343/'实盘净值数据(iFinD公式)'!$B$20:$AA$20)*(1-实盘持仓初始配置!$Z$5)^(('实盘净值数据(iFinD公式)'!$A343-'实盘净值数据(iFinD公式)'!$A$5)/365))</x:f>
        <x:v>#NAME?</x:v>
      </x:c>
      <x:c r="F343" s="152" t="e">
        <x:f>IF(OR(E342="",E343=""),"",E343/E342-1)</x:f>
        <x:v>#NAME?</x:v>
      </x:c>
      <x:c r="G343" s="152" t="e">
        <x:f>IF(E343="","",E343/MAX(E$5:E343)-1)</x:f>
        <x:v>#NAME?</x:v>
      </x:c>
      <x:c r="H343" s="146" t="e">
        <x:f>IF(OR('实盘净值数据(iFinD公式)'!$A343="",'实盘净值数据(iFinD公式)'!$B343=""),"",分期持仓明细!$AD$19*SUMPRODUCT(分期持仓明细!$B$19:$AA$19,'实盘净值数据(iFinD公式)'!$B343:$AA343/'实盘净值数据(iFinD公式)'!$B$20:$AA$20)*(1-实盘持仓初始配置!$Z$6)^(('实盘净值数据(iFinD公式)'!$A343-'实盘净值数据(iFinD公式)'!$A$7)/365))</x:f>
        <x:v>#NAME?</x:v>
      </x:c>
      <x:c r="I343" s="152" t="e">
        <x:f>IF(OR(H342="",H343=""),"",H343/H342-1)</x:f>
        <x:v>#NAME?</x:v>
      </x:c>
      <x:c r="J343" s="152" t="e">
        <x:f>IF(H343="","",H343/MAX(H$5:H343)-1)</x:f>
        <x:v>#NAME?</x:v>
      </x:c>
      <x:c r="K343" s="146" t="e">
        <x:f>IF(OR('实盘净值数据(iFinD公式)'!$A343="",'实盘净值数据(iFinD公式)'!$B343=""),"",分期持仓明细!$AD$23*SUMPRODUCT(分期持仓明细!$B$23:$AA$23,'实盘净值数据(iFinD公式)'!$B343:$AA343/'实盘净值数据(iFinD公式)'!$B$65:$AA$65)*(1-实盘持仓初始配置!$Z$7)^(('实盘净值数据(iFinD公式)'!$A343-'实盘净值数据(iFinD公式)'!$A$8)/365))</x:f>
        <x:v>#NAME?</x:v>
      </x:c>
      <x:c r="L343" s="152" t="e">
        <x:f>IF(OR(K342="",K343=""),"",K343/K342-1)</x:f>
        <x:v>#NAME?</x:v>
      </x:c>
      <x:c r="M343" s="152" t="e">
        <x:f>IF(K343="","",K343/MAX(K$5:K343)-1)</x:f>
        <x:v>#NAME?</x:v>
      </x:c>
      <x:c r="N343" s="146" t="e">
        <x:f>IF(OR('实盘净值数据(iFinD公式)'!$A343="",'实盘净值数据(iFinD公式)'!$B343=""),"",分期持仓明细!$AD$24*SUMPRODUCT(分期持仓明细!$B$24:$AA$24,'实盘净值数据(iFinD公式)'!$B343:$AA343/'实盘净值数据(iFinD公式)'!$B$65:$AA$65)*(1-实盘持仓初始配置!$Z$8)^(('实盘净值数据(iFinD公式)'!$A343-'实盘净值数据(iFinD公式)'!$A$5)/365))</x:f>
        <x:v>#NAME?</x:v>
      </x:c>
      <x:c r="O343" s="152" t="e">
        <x:f>IF(OR(N342="",N343=""),"",N343/N342-1)</x:f>
        <x:v>#NAME?</x:v>
      </x:c>
      <x:c r="P343" s="152" t="e">
        <x:f>IF(N343="","",N343/MAX(N$5:N343)-1)</x:f>
        <x:v>#NAME?</x:v>
      </x:c>
      <x:c r="Q343" s="146" t="e">
        <x:f>IF(OR('实盘净值数据(iFinD公式)'!$A343="",'实盘净值数据(iFinD公式)'!$B343=""),"",分期持仓明细!$AD$25*SUMPRODUCT(分期持仓明细!$B$25:$AA$25,'实盘净值数据(iFinD公式)'!$B343:$AA343/'实盘净值数据(iFinD公式)'!$B$65:$AA$65)*(1-实盘持仓初始配置!$Z$9)^(('实盘净值数据(iFinD公式)'!$A343-'实盘净值数据(iFinD公式)'!$A$8)/365))</x:f>
        <x:v>#NAME?</x:v>
      </x:c>
      <x:c r="R343" s="152" t="e">
        <x:f>IF(OR(Q342="",Q343=""),"",Q343/Q342-1)</x:f>
        <x:v>#NAME?</x:v>
      </x:c>
      <x:c r="S343" s="152" t="e">
        <x:f>IF(Q343="","",Q343/MAX(Q$5:Q343)-1)</x:f>
        <x:v>#NAME?</x:v>
      </x:c>
    </x:row>
    <x:row r="344">
      <x:c r="A344" s="149" t="str">
        <x:f>IF('实盘净值数据(iFinD公式)'!A344="","",'实盘净值数据(iFinD公式)'!A344)</x:f>
      </x:c>
      <x:c r="B344" s="146" t="e">
        <x:f>IF(OR('实盘净值数据(iFinD公式)'!$A344="",'实盘净值数据(iFinD公式)'!$B344=""),"",分期持仓明细!$AD$17*SUMPRODUCT(分期持仓明细!$B$17:$AA$17,'实盘净值数据(iFinD公式)'!$B344:$AA344/'实盘净值数据(iFinD公式)'!$B$20:$AA$20)*(1-实盘持仓初始配置!$Z$4)^(('实盘净值数据(iFinD公式)'!$A344-'实盘净值数据(iFinD公式)'!$A$6)/365))</x:f>
        <x:v>#NAME?</x:v>
      </x:c>
      <x:c r="C344" s="152" t="e">
        <x:f>IF(OR(B343="",B344=""),"",B344/B343-1)</x:f>
        <x:v>#NAME?</x:v>
      </x:c>
      <x:c r="D344" s="152" t="e">
        <x:f>IF(B344="","",B344/MAX(B$5:B344)-1)</x:f>
        <x:v>#NAME?</x:v>
      </x:c>
      <x:c r="E344" s="146" t="e">
        <x:f>IF(OR('实盘净值数据(iFinD公式)'!$A344="",'实盘净值数据(iFinD公式)'!$B344=""),"",分期持仓明细!$AD$18*SUMPRODUCT(分期持仓明细!$B$18:$AA$18,'实盘净值数据(iFinD公式)'!$B344:$AA344/'实盘净值数据(iFinD公式)'!$B$20:$AA$20)*(1-实盘持仓初始配置!$Z$5)^(('实盘净值数据(iFinD公式)'!$A344-'实盘净值数据(iFinD公式)'!$A$5)/365))</x:f>
        <x:v>#NAME?</x:v>
      </x:c>
      <x:c r="F344" s="152" t="e">
        <x:f>IF(OR(E343="",E344=""),"",E344/E343-1)</x:f>
        <x:v>#NAME?</x:v>
      </x:c>
      <x:c r="G344" s="152" t="e">
        <x:f>IF(E344="","",E344/MAX(E$5:E344)-1)</x:f>
        <x:v>#NAME?</x:v>
      </x:c>
      <x:c r="H344" s="146" t="e">
        <x:f>IF(OR('实盘净值数据(iFinD公式)'!$A344="",'实盘净值数据(iFinD公式)'!$B344=""),"",分期持仓明细!$AD$19*SUMPRODUCT(分期持仓明细!$B$19:$AA$19,'实盘净值数据(iFinD公式)'!$B344:$AA344/'实盘净值数据(iFinD公式)'!$B$20:$AA$20)*(1-实盘持仓初始配置!$Z$6)^(('实盘净值数据(iFinD公式)'!$A344-'实盘净值数据(iFinD公式)'!$A$7)/365))</x:f>
        <x:v>#NAME?</x:v>
      </x:c>
      <x:c r="I344" s="152" t="e">
        <x:f>IF(OR(H343="",H344=""),"",H344/H343-1)</x:f>
        <x:v>#NAME?</x:v>
      </x:c>
      <x:c r="J344" s="152" t="e">
        <x:f>IF(H344="","",H344/MAX(H$5:H344)-1)</x:f>
        <x:v>#NAME?</x:v>
      </x:c>
      <x:c r="K344" s="146" t="e">
        <x:f>IF(OR('实盘净值数据(iFinD公式)'!$A344="",'实盘净值数据(iFinD公式)'!$B344=""),"",分期持仓明细!$AD$23*SUMPRODUCT(分期持仓明细!$B$23:$AA$23,'实盘净值数据(iFinD公式)'!$B344:$AA344/'实盘净值数据(iFinD公式)'!$B$65:$AA$65)*(1-实盘持仓初始配置!$Z$7)^(('实盘净值数据(iFinD公式)'!$A344-'实盘净值数据(iFinD公式)'!$A$8)/365))</x:f>
        <x:v>#NAME?</x:v>
      </x:c>
      <x:c r="L344" s="152" t="e">
        <x:f>IF(OR(K343="",K344=""),"",K344/K343-1)</x:f>
        <x:v>#NAME?</x:v>
      </x:c>
      <x:c r="M344" s="152" t="e">
        <x:f>IF(K344="","",K344/MAX(K$5:K344)-1)</x:f>
        <x:v>#NAME?</x:v>
      </x:c>
      <x:c r="N344" s="146" t="e">
        <x:f>IF(OR('实盘净值数据(iFinD公式)'!$A344="",'实盘净值数据(iFinD公式)'!$B344=""),"",分期持仓明细!$AD$24*SUMPRODUCT(分期持仓明细!$B$24:$AA$24,'实盘净值数据(iFinD公式)'!$B344:$AA344/'实盘净值数据(iFinD公式)'!$B$65:$AA$65)*(1-实盘持仓初始配置!$Z$8)^(('实盘净值数据(iFinD公式)'!$A344-'实盘净值数据(iFinD公式)'!$A$5)/365))</x:f>
        <x:v>#NAME?</x:v>
      </x:c>
      <x:c r="O344" s="152" t="e">
        <x:f>IF(OR(N343="",N344=""),"",N344/N343-1)</x:f>
        <x:v>#NAME?</x:v>
      </x:c>
      <x:c r="P344" s="152" t="e">
        <x:f>IF(N344="","",N344/MAX(N$5:N344)-1)</x:f>
        <x:v>#NAME?</x:v>
      </x:c>
      <x:c r="Q344" s="146" t="e">
        <x:f>IF(OR('实盘净值数据(iFinD公式)'!$A344="",'实盘净值数据(iFinD公式)'!$B344=""),"",分期持仓明细!$AD$25*SUMPRODUCT(分期持仓明细!$B$25:$AA$25,'实盘净值数据(iFinD公式)'!$B344:$AA344/'实盘净值数据(iFinD公式)'!$B$65:$AA$65)*(1-实盘持仓初始配置!$Z$9)^(('实盘净值数据(iFinD公式)'!$A344-'实盘净值数据(iFinD公式)'!$A$8)/365))</x:f>
        <x:v>#NAME?</x:v>
      </x:c>
      <x:c r="R344" s="152" t="e">
        <x:f>IF(OR(Q343="",Q344=""),"",Q344/Q343-1)</x:f>
        <x:v>#NAME?</x:v>
      </x:c>
      <x:c r="S344" s="152" t="e">
        <x:f>IF(Q344="","",Q344/MAX(Q$5:Q344)-1)</x:f>
        <x:v>#NAME?</x:v>
      </x:c>
    </x:row>
    <x:row r="345">
      <x:c r="A345" s="149" t="str">
        <x:f>IF('实盘净值数据(iFinD公式)'!A345="","",'实盘净值数据(iFinD公式)'!A345)</x:f>
      </x:c>
      <x:c r="B345" s="146" t="e">
        <x:f>IF(OR('实盘净值数据(iFinD公式)'!$A345="",'实盘净值数据(iFinD公式)'!$B345=""),"",分期持仓明细!$AD$17*SUMPRODUCT(分期持仓明细!$B$17:$AA$17,'实盘净值数据(iFinD公式)'!$B345:$AA345/'实盘净值数据(iFinD公式)'!$B$20:$AA$20)*(1-实盘持仓初始配置!$Z$4)^(('实盘净值数据(iFinD公式)'!$A345-'实盘净值数据(iFinD公式)'!$A$6)/365))</x:f>
        <x:v>#NAME?</x:v>
      </x:c>
      <x:c r="C345" s="152" t="e">
        <x:f>IF(OR(B344="",B345=""),"",B345/B344-1)</x:f>
        <x:v>#NAME?</x:v>
      </x:c>
      <x:c r="D345" s="152" t="e">
        <x:f>IF(B345="","",B345/MAX(B$5:B345)-1)</x:f>
        <x:v>#NAME?</x:v>
      </x:c>
      <x:c r="E345" s="146" t="e">
        <x:f>IF(OR('实盘净值数据(iFinD公式)'!$A345="",'实盘净值数据(iFinD公式)'!$B345=""),"",分期持仓明细!$AD$18*SUMPRODUCT(分期持仓明细!$B$18:$AA$18,'实盘净值数据(iFinD公式)'!$B345:$AA345/'实盘净值数据(iFinD公式)'!$B$20:$AA$20)*(1-实盘持仓初始配置!$Z$5)^(('实盘净值数据(iFinD公式)'!$A345-'实盘净值数据(iFinD公式)'!$A$5)/365))</x:f>
        <x:v>#NAME?</x:v>
      </x:c>
      <x:c r="F345" s="152" t="e">
        <x:f>IF(OR(E344="",E345=""),"",E345/E344-1)</x:f>
        <x:v>#NAME?</x:v>
      </x:c>
      <x:c r="G345" s="152" t="e">
        <x:f>IF(E345="","",E345/MAX(E$5:E345)-1)</x:f>
        <x:v>#NAME?</x:v>
      </x:c>
      <x:c r="H345" s="146" t="e">
        <x:f>IF(OR('实盘净值数据(iFinD公式)'!$A345="",'实盘净值数据(iFinD公式)'!$B345=""),"",分期持仓明细!$AD$19*SUMPRODUCT(分期持仓明细!$B$19:$AA$19,'实盘净值数据(iFinD公式)'!$B345:$AA345/'实盘净值数据(iFinD公式)'!$B$20:$AA$20)*(1-实盘持仓初始配置!$Z$6)^(('实盘净值数据(iFinD公式)'!$A345-'实盘净值数据(iFinD公式)'!$A$7)/365))</x:f>
        <x:v>#NAME?</x:v>
      </x:c>
      <x:c r="I345" s="152" t="e">
        <x:f>IF(OR(H344="",H345=""),"",H345/H344-1)</x:f>
        <x:v>#NAME?</x:v>
      </x:c>
      <x:c r="J345" s="152" t="e">
        <x:f>IF(H345="","",H345/MAX(H$5:H345)-1)</x:f>
        <x:v>#NAME?</x:v>
      </x:c>
      <x:c r="K345" s="146" t="e">
        <x:f>IF(OR('实盘净值数据(iFinD公式)'!$A345="",'实盘净值数据(iFinD公式)'!$B345=""),"",分期持仓明细!$AD$23*SUMPRODUCT(分期持仓明细!$B$23:$AA$23,'实盘净值数据(iFinD公式)'!$B345:$AA345/'实盘净值数据(iFinD公式)'!$B$65:$AA$65)*(1-实盘持仓初始配置!$Z$7)^(('实盘净值数据(iFinD公式)'!$A345-'实盘净值数据(iFinD公式)'!$A$8)/365))</x:f>
        <x:v>#NAME?</x:v>
      </x:c>
      <x:c r="L345" s="152" t="e">
        <x:f>IF(OR(K344="",K345=""),"",K345/K344-1)</x:f>
        <x:v>#NAME?</x:v>
      </x:c>
      <x:c r="M345" s="152" t="e">
        <x:f>IF(K345="","",K345/MAX(K$5:K345)-1)</x:f>
        <x:v>#NAME?</x:v>
      </x:c>
      <x:c r="N345" s="146" t="e">
        <x:f>IF(OR('实盘净值数据(iFinD公式)'!$A345="",'实盘净值数据(iFinD公式)'!$B345=""),"",分期持仓明细!$AD$24*SUMPRODUCT(分期持仓明细!$B$24:$AA$24,'实盘净值数据(iFinD公式)'!$B345:$AA345/'实盘净值数据(iFinD公式)'!$B$65:$AA$65)*(1-实盘持仓初始配置!$Z$8)^(('实盘净值数据(iFinD公式)'!$A345-'实盘净值数据(iFinD公式)'!$A$5)/365))</x:f>
        <x:v>#NAME?</x:v>
      </x:c>
      <x:c r="O345" s="152" t="e">
        <x:f>IF(OR(N344="",N345=""),"",N345/N344-1)</x:f>
        <x:v>#NAME?</x:v>
      </x:c>
      <x:c r="P345" s="152" t="e">
        <x:f>IF(N345="","",N345/MAX(N$5:N345)-1)</x:f>
        <x:v>#NAME?</x:v>
      </x:c>
      <x:c r="Q345" s="146" t="e">
        <x:f>IF(OR('实盘净值数据(iFinD公式)'!$A345="",'实盘净值数据(iFinD公式)'!$B345=""),"",分期持仓明细!$AD$25*SUMPRODUCT(分期持仓明细!$B$25:$AA$25,'实盘净值数据(iFinD公式)'!$B345:$AA345/'实盘净值数据(iFinD公式)'!$B$65:$AA$65)*(1-实盘持仓初始配置!$Z$9)^(('实盘净值数据(iFinD公式)'!$A345-'实盘净值数据(iFinD公式)'!$A$8)/365))</x:f>
        <x:v>#NAME?</x:v>
      </x:c>
      <x:c r="R345" s="152" t="e">
        <x:f>IF(OR(Q344="",Q345=""),"",Q345/Q344-1)</x:f>
        <x:v>#NAME?</x:v>
      </x:c>
      <x:c r="S345" s="152" t="e">
        <x:f>IF(Q345="","",Q345/MAX(Q$5:Q345)-1)</x:f>
        <x:v>#NAME?</x:v>
      </x:c>
    </x:row>
    <x:row r="346">
      <x:c r="A346" s="149" t="str">
        <x:f>IF('实盘净值数据(iFinD公式)'!A346="","",'实盘净值数据(iFinD公式)'!A346)</x:f>
      </x:c>
      <x:c r="B346" s="146" t="e">
        <x:f>IF(OR('实盘净值数据(iFinD公式)'!$A346="",'实盘净值数据(iFinD公式)'!$B346=""),"",分期持仓明细!$AD$17*SUMPRODUCT(分期持仓明细!$B$17:$AA$17,'实盘净值数据(iFinD公式)'!$B346:$AA346/'实盘净值数据(iFinD公式)'!$B$20:$AA$20)*(1-实盘持仓初始配置!$Z$4)^(('实盘净值数据(iFinD公式)'!$A346-'实盘净值数据(iFinD公式)'!$A$6)/365))</x:f>
        <x:v>#NAME?</x:v>
      </x:c>
      <x:c r="C346" s="152" t="e">
        <x:f>IF(OR(B345="",B346=""),"",B346/B345-1)</x:f>
        <x:v>#NAME?</x:v>
      </x:c>
      <x:c r="D346" s="152" t="e">
        <x:f>IF(B346="","",B346/MAX(B$5:B346)-1)</x:f>
        <x:v>#NAME?</x:v>
      </x:c>
      <x:c r="E346" s="146" t="e">
        <x:f>IF(OR('实盘净值数据(iFinD公式)'!$A346="",'实盘净值数据(iFinD公式)'!$B346=""),"",分期持仓明细!$AD$18*SUMPRODUCT(分期持仓明细!$B$18:$AA$18,'实盘净值数据(iFinD公式)'!$B346:$AA346/'实盘净值数据(iFinD公式)'!$B$20:$AA$20)*(1-实盘持仓初始配置!$Z$5)^(('实盘净值数据(iFinD公式)'!$A346-'实盘净值数据(iFinD公式)'!$A$5)/365))</x:f>
        <x:v>#NAME?</x:v>
      </x:c>
      <x:c r="F346" s="152" t="e">
        <x:f>IF(OR(E345="",E346=""),"",E346/E345-1)</x:f>
        <x:v>#NAME?</x:v>
      </x:c>
      <x:c r="G346" s="152" t="e">
        <x:f>IF(E346="","",E346/MAX(E$5:E346)-1)</x:f>
        <x:v>#NAME?</x:v>
      </x:c>
      <x:c r="H346" s="146" t="e">
        <x:f>IF(OR('实盘净值数据(iFinD公式)'!$A346="",'实盘净值数据(iFinD公式)'!$B346=""),"",分期持仓明细!$AD$19*SUMPRODUCT(分期持仓明细!$B$19:$AA$19,'实盘净值数据(iFinD公式)'!$B346:$AA346/'实盘净值数据(iFinD公式)'!$B$20:$AA$20)*(1-实盘持仓初始配置!$Z$6)^(('实盘净值数据(iFinD公式)'!$A346-'实盘净值数据(iFinD公式)'!$A$7)/365))</x:f>
        <x:v>#NAME?</x:v>
      </x:c>
      <x:c r="I346" s="152" t="e">
        <x:f>IF(OR(H345="",H346=""),"",H346/H345-1)</x:f>
        <x:v>#NAME?</x:v>
      </x:c>
      <x:c r="J346" s="152" t="e">
        <x:f>IF(H346="","",H346/MAX(H$5:H346)-1)</x:f>
        <x:v>#NAME?</x:v>
      </x:c>
      <x:c r="K346" s="146" t="e">
        <x:f>IF(OR('实盘净值数据(iFinD公式)'!$A346="",'实盘净值数据(iFinD公式)'!$B346=""),"",分期持仓明细!$AD$23*SUMPRODUCT(分期持仓明细!$B$23:$AA$23,'实盘净值数据(iFinD公式)'!$B346:$AA346/'实盘净值数据(iFinD公式)'!$B$65:$AA$65)*(1-实盘持仓初始配置!$Z$7)^(('实盘净值数据(iFinD公式)'!$A346-'实盘净值数据(iFinD公式)'!$A$8)/365))</x:f>
        <x:v>#NAME?</x:v>
      </x:c>
      <x:c r="L346" s="152" t="e">
        <x:f>IF(OR(K345="",K346=""),"",K346/K345-1)</x:f>
        <x:v>#NAME?</x:v>
      </x:c>
      <x:c r="M346" s="152" t="e">
        <x:f>IF(K346="","",K346/MAX(K$5:K346)-1)</x:f>
        <x:v>#NAME?</x:v>
      </x:c>
      <x:c r="N346" s="146" t="e">
        <x:f>IF(OR('实盘净值数据(iFinD公式)'!$A346="",'实盘净值数据(iFinD公式)'!$B346=""),"",分期持仓明细!$AD$24*SUMPRODUCT(分期持仓明细!$B$24:$AA$24,'实盘净值数据(iFinD公式)'!$B346:$AA346/'实盘净值数据(iFinD公式)'!$B$65:$AA$65)*(1-实盘持仓初始配置!$Z$8)^(('实盘净值数据(iFinD公式)'!$A346-'实盘净值数据(iFinD公式)'!$A$5)/365))</x:f>
        <x:v>#NAME?</x:v>
      </x:c>
      <x:c r="O346" s="152" t="e">
        <x:f>IF(OR(N345="",N346=""),"",N346/N345-1)</x:f>
        <x:v>#NAME?</x:v>
      </x:c>
      <x:c r="P346" s="152" t="e">
        <x:f>IF(N346="","",N346/MAX(N$5:N346)-1)</x:f>
        <x:v>#NAME?</x:v>
      </x:c>
      <x:c r="Q346" s="146" t="e">
        <x:f>IF(OR('实盘净值数据(iFinD公式)'!$A346="",'实盘净值数据(iFinD公式)'!$B346=""),"",分期持仓明细!$AD$25*SUMPRODUCT(分期持仓明细!$B$25:$AA$25,'实盘净值数据(iFinD公式)'!$B346:$AA346/'实盘净值数据(iFinD公式)'!$B$65:$AA$65)*(1-实盘持仓初始配置!$Z$9)^(('实盘净值数据(iFinD公式)'!$A346-'实盘净值数据(iFinD公式)'!$A$8)/365))</x:f>
        <x:v>#NAME?</x:v>
      </x:c>
      <x:c r="R346" s="152" t="e">
        <x:f>IF(OR(Q345="",Q346=""),"",Q346/Q345-1)</x:f>
        <x:v>#NAME?</x:v>
      </x:c>
      <x:c r="S346" s="152" t="e">
        <x:f>IF(Q346="","",Q346/MAX(Q$5:Q346)-1)</x:f>
        <x:v>#NAME?</x:v>
      </x:c>
    </x:row>
    <x:row r="347">
      <x:c r="A347" s="149" t="str">
        <x:f>IF('实盘净值数据(iFinD公式)'!A347="","",'实盘净值数据(iFinD公式)'!A347)</x:f>
      </x:c>
      <x:c r="B347" s="146" t="e">
        <x:f>IF(OR('实盘净值数据(iFinD公式)'!$A347="",'实盘净值数据(iFinD公式)'!$B347=""),"",分期持仓明细!$AD$17*SUMPRODUCT(分期持仓明细!$B$17:$AA$17,'实盘净值数据(iFinD公式)'!$B347:$AA347/'实盘净值数据(iFinD公式)'!$B$20:$AA$20)*(1-实盘持仓初始配置!$Z$4)^(('实盘净值数据(iFinD公式)'!$A347-'实盘净值数据(iFinD公式)'!$A$6)/365))</x:f>
        <x:v>#NAME?</x:v>
      </x:c>
      <x:c r="C347" s="152" t="e">
        <x:f>IF(OR(B346="",B347=""),"",B347/B346-1)</x:f>
        <x:v>#NAME?</x:v>
      </x:c>
      <x:c r="D347" s="152" t="e">
        <x:f>IF(B347="","",B347/MAX(B$5:B347)-1)</x:f>
        <x:v>#NAME?</x:v>
      </x:c>
      <x:c r="E347" s="146" t="e">
        <x:f>IF(OR('实盘净值数据(iFinD公式)'!$A347="",'实盘净值数据(iFinD公式)'!$B347=""),"",分期持仓明细!$AD$18*SUMPRODUCT(分期持仓明细!$B$18:$AA$18,'实盘净值数据(iFinD公式)'!$B347:$AA347/'实盘净值数据(iFinD公式)'!$B$20:$AA$20)*(1-实盘持仓初始配置!$Z$5)^(('实盘净值数据(iFinD公式)'!$A347-'实盘净值数据(iFinD公式)'!$A$5)/365))</x:f>
        <x:v>#NAME?</x:v>
      </x:c>
      <x:c r="F347" s="152" t="e">
        <x:f>IF(OR(E346="",E347=""),"",E347/E346-1)</x:f>
        <x:v>#NAME?</x:v>
      </x:c>
      <x:c r="G347" s="152" t="e">
        <x:f>IF(E347="","",E347/MAX(E$5:E347)-1)</x:f>
        <x:v>#NAME?</x:v>
      </x:c>
      <x:c r="H347" s="146" t="e">
        <x:f>IF(OR('实盘净值数据(iFinD公式)'!$A347="",'实盘净值数据(iFinD公式)'!$B347=""),"",分期持仓明细!$AD$19*SUMPRODUCT(分期持仓明细!$B$19:$AA$19,'实盘净值数据(iFinD公式)'!$B347:$AA347/'实盘净值数据(iFinD公式)'!$B$20:$AA$20)*(1-实盘持仓初始配置!$Z$6)^(('实盘净值数据(iFinD公式)'!$A347-'实盘净值数据(iFinD公式)'!$A$7)/365))</x:f>
        <x:v>#NAME?</x:v>
      </x:c>
      <x:c r="I347" s="152" t="e">
        <x:f>IF(OR(H346="",H347=""),"",H347/H346-1)</x:f>
        <x:v>#NAME?</x:v>
      </x:c>
      <x:c r="J347" s="152" t="e">
        <x:f>IF(H347="","",H347/MAX(H$5:H347)-1)</x:f>
        <x:v>#NAME?</x:v>
      </x:c>
      <x:c r="K347" s="146" t="e">
        <x:f>IF(OR('实盘净值数据(iFinD公式)'!$A347="",'实盘净值数据(iFinD公式)'!$B347=""),"",分期持仓明细!$AD$23*SUMPRODUCT(分期持仓明细!$B$23:$AA$23,'实盘净值数据(iFinD公式)'!$B347:$AA347/'实盘净值数据(iFinD公式)'!$B$65:$AA$65)*(1-实盘持仓初始配置!$Z$7)^(('实盘净值数据(iFinD公式)'!$A347-'实盘净值数据(iFinD公式)'!$A$8)/365))</x:f>
        <x:v>#NAME?</x:v>
      </x:c>
      <x:c r="L347" s="152" t="e">
        <x:f>IF(OR(K346="",K347=""),"",K347/K346-1)</x:f>
        <x:v>#NAME?</x:v>
      </x:c>
      <x:c r="M347" s="152" t="e">
        <x:f>IF(K347="","",K347/MAX(K$5:K347)-1)</x:f>
        <x:v>#NAME?</x:v>
      </x:c>
      <x:c r="N347" s="146" t="e">
        <x:f>IF(OR('实盘净值数据(iFinD公式)'!$A347="",'实盘净值数据(iFinD公式)'!$B347=""),"",分期持仓明细!$AD$24*SUMPRODUCT(分期持仓明细!$B$24:$AA$24,'实盘净值数据(iFinD公式)'!$B347:$AA347/'实盘净值数据(iFinD公式)'!$B$65:$AA$65)*(1-实盘持仓初始配置!$Z$8)^(('实盘净值数据(iFinD公式)'!$A347-'实盘净值数据(iFinD公式)'!$A$5)/365))</x:f>
        <x:v>#NAME?</x:v>
      </x:c>
      <x:c r="O347" s="152" t="e">
        <x:f>IF(OR(N346="",N347=""),"",N347/N346-1)</x:f>
        <x:v>#NAME?</x:v>
      </x:c>
      <x:c r="P347" s="152" t="e">
        <x:f>IF(N347="","",N347/MAX(N$5:N347)-1)</x:f>
        <x:v>#NAME?</x:v>
      </x:c>
      <x:c r="Q347" s="146" t="e">
        <x:f>IF(OR('实盘净值数据(iFinD公式)'!$A347="",'实盘净值数据(iFinD公式)'!$B347=""),"",分期持仓明细!$AD$25*SUMPRODUCT(分期持仓明细!$B$25:$AA$25,'实盘净值数据(iFinD公式)'!$B347:$AA347/'实盘净值数据(iFinD公式)'!$B$65:$AA$65)*(1-实盘持仓初始配置!$Z$9)^(('实盘净值数据(iFinD公式)'!$A347-'实盘净值数据(iFinD公式)'!$A$8)/365))</x:f>
        <x:v>#NAME?</x:v>
      </x:c>
      <x:c r="R347" s="152" t="e">
        <x:f>IF(OR(Q346="",Q347=""),"",Q347/Q346-1)</x:f>
        <x:v>#NAME?</x:v>
      </x:c>
      <x:c r="S347" s="152" t="e">
        <x:f>IF(Q347="","",Q347/MAX(Q$5:Q347)-1)</x:f>
        <x:v>#NAME?</x:v>
      </x:c>
    </x:row>
    <x:row r="348">
      <x:c r="A348" s="149" t="str">
        <x:f>IF('实盘净值数据(iFinD公式)'!A348="","",'实盘净值数据(iFinD公式)'!A348)</x:f>
      </x:c>
      <x:c r="B348" s="146" t="e">
        <x:f>IF(OR('实盘净值数据(iFinD公式)'!$A348="",'实盘净值数据(iFinD公式)'!$B348=""),"",分期持仓明细!$AD$17*SUMPRODUCT(分期持仓明细!$B$17:$AA$17,'实盘净值数据(iFinD公式)'!$B348:$AA348/'实盘净值数据(iFinD公式)'!$B$20:$AA$20)*(1-实盘持仓初始配置!$Z$4)^(('实盘净值数据(iFinD公式)'!$A348-'实盘净值数据(iFinD公式)'!$A$6)/365))</x:f>
        <x:v>#NAME?</x:v>
      </x:c>
      <x:c r="C348" s="152" t="e">
        <x:f>IF(OR(B347="",B348=""),"",B348/B347-1)</x:f>
        <x:v>#NAME?</x:v>
      </x:c>
      <x:c r="D348" s="152" t="e">
        <x:f>IF(B348="","",B348/MAX(B$5:B348)-1)</x:f>
        <x:v>#NAME?</x:v>
      </x:c>
      <x:c r="E348" s="146" t="e">
        <x:f>IF(OR('实盘净值数据(iFinD公式)'!$A348="",'实盘净值数据(iFinD公式)'!$B348=""),"",分期持仓明细!$AD$18*SUMPRODUCT(分期持仓明细!$B$18:$AA$18,'实盘净值数据(iFinD公式)'!$B348:$AA348/'实盘净值数据(iFinD公式)'!$B$20:$AA$20)*(1-实盘持仓初始配置!$Z$5)^(('实盘净值数据(iFinD公式)'!$A348-'实盘净值数据(iFinD公式)'!$A$5)/365))</x:f>
        <x:v>#NAME?</x:v>
      </x:c>
      <x:c r="F348" s="152" t="e">
        <x:f>IF(OR(E347="",E348=""),"",E348/E347-1)</x:f>
        <x:v>#NAME?</x:v>
      </x:c>
      <x:c r="G348" s="152" t="e">
        <x:f>IF(E348="","",E348/MAX(E$5:E348)-1)</x:f>
        <x:v>#NAME?</x:v>
      </x:c>
      <x:c r="H348" s="146" t="e">
        <x:f>IF(OR('实盘净值数据(iFinD公式)'!$A348="",'实盘净值数据(iFinD公式)'!$B348=""),"",分期持仓明细!$AD$19*SUMPRODUCT(分期持仓明细!$B$19:$AA$19,'实盘净值数据(iFinD公式)'!$B348:$AA348/'实盘净值数据(iFinD公式)'!$B$20:$AA$20)*(1-实盘持仓初始配置!$Z$6)^(('实盘净值数据(iFinD公式)'!$A348-'实盘净值数据(iFinD公式)'!$A$7)/365))</x:f>
        <x:v>#NAME?</x:v>
      </x:c>
      <x:c r="I348" s="152" t="e">
        <x:f>IF(OR(H347="",H348=""),"",H348/H347-1)</x:f>
        <x:v>#NAME?</x:v>
      </x:c>
      <x:c r="J348" s="152" t="e">
        <x:f>IF(H348="","",H348/MAX(H$5:H348)-1)</x:f>
        <x:v>#NAME?</x:v>
      </x:c>
      <x:c r="K348" s="146" t="e">
        <x:f>IF(OR('实盘净值数据(iFinD公式)'!$A348="",'实盘净值数据(iFinD公式)'!$B348=""),"",分期持仓明细!$AD$23*SUMPRODUCT(分期持仓明细!$B$23:$AA$23,'实盘净值数据(iFinD公式)'!$B348:$AA348/'实盘净值数据(iFinD公式)'!$B$65:$AA$65)*(1-实盘持仓初始配置!$Z$7)^(('实盘净值数据(iFinD公式)'!$A348-'实盘净值数据(iFinD公式)'!$A$8)/365))</x:f>
        <x:v>#NAME?</x:v>
      </x:c>
      <x:c r="L348" s="152" t="e">
        <x:f>IF(OR(K347="",K348=""),"",K348/K347-1)</x:f>
        <x:v>#NAME?</x:v>
      </x:c>
      <x:c r="M348" s="152" t="e">
        <x:f>IF(K348="","",K348/MAX(K$5:K348)-1)</x:f>
        <x:v>#NAME?</x:v>
      </x:c>
      <x:c r="N348" s="146" t="e">
        <x:f>IF(OR('实盘净值数据(iFinD公式)'!$A348="",'实盘净值数据(iFinD公式)'!$B348=""),"",分期持仓明细!$AD$24*SUMPRODUCT(分期持仓明细!$B$24:$AA$24,'实盘净值数据(iFinD公式)'!$B348:$AA348/'实盘净值数据(iFinD公式)'!$B$65:$AA$65)*(1-实盘持仓初始配置!$Z$8)^(('实盘净值数据(iFinD公式)'!$A348-'实盘净值数据(iFinD公式)'!$A$5)/365))</x:f>
        <x:v>#NAME?</x:v>
      </x:c>
      <x:c r="O348" s="152" t="e">
        <x:f>IF(OR(N347="",N348=""),"",N348/N347-1)</x:f>
        <x:v>#NAME?</x:v>
      </x:c>
      <x:c r="P348" s="152" t="e">
        <x:f>IF(N348="","",N348/MAX(N$5:N348)-1)</x:f>
        <x:v>#NAME?</x:v>
      </x:c>
      <x:c r="Q348" s="146" t="e">
        <x:f>IF(OR('实盘净值数据(iFinD公式)'!$A348="",'实盘净值数据(iFinD公式)'!$B348=""),"",分期持仓明细!$AD$25*SUMPRODUCT(分期持仓明细!$B$25:$AA$25,'实盘净值数据(iFinD公式)'!$B348:$AA348/'实盘净值数据(iFinD公式)'!$B$65:$AA$65)*(1-实盘持仓初始配置!$Z$9)^(('实盘净值数据(iFinD公式)'!$A348-'实盘净值数据(iFinD公式)'!$A$8)/365))</x:f>
        <x:v>#NAME?</x:v>
      </x:c>
      <x:c r="R348" s="152" t="e">
        <x:f>IF(OR(Q347="",Q348=""),"",Q348/Q347-1)</x:f>
        <x:v>#NAME?</x:v>
      </x:c>
      <x:c r="S348" s="152" t="e">
        <x:f>IF(Q348="","",Q348/MAX(Q$5:Q348)-1)</x:f>
        <x:v>#NAME?</x:v>
      </x:c>
    </x:row>
    <x:row r="349">
      <x:c r="A349" s="149" t="str">
        <x:f>IF('实盘净值数据(iFinD公式)'!A349="","",'实盘净值数据(iFinD公式)'!A349)</x:f>
      </x:c>
      <x:c r="B349" s="146" t="e">
        <x:f>IF(OR('实盘净值数据(iFinD公式)'!$A349="",'实盘净值数据(iFinD公式)'!$B349=""),"",分期持仓明细!$AD$17*SUMPRODUCT(分期持仓明细!$B$17:$AA$17,'实盘净值数据(iFinD公式)'!$B349:$AA349/'实盘净值数据(iFinD公式)'!$B$20:$AA$20)*(1-实盘持仓初始配置!$Z$4)^(('实盘净值数据(iFinD公式)'!$A349-'实盘净值数据(iFinD公式)'!$A$6)/365))</x:f>
        <x:v>#NAME?</x:v>
      </x:c>
      <x:c r="C349" s="152" t="e">
        <x:f>IF(OR(B348="",B349=""),"",B349/B348-1)</x:f>
        <x:v>#NAME?</x:v>
      </x:c>
      <x:c r="D349" s="152" t="e">
        <x:f>IF(B349="","",B349/MAX(B$5:B349)-1)</x:f>
        <x:v>#NAME?</x:v>
      </x:c>
      <x:c r="E349" s="146" t="e">
        <x:f>IF(OR('实盘净值数据(iFinD公式)'!$A349="",'实盘净值数据(iFinD公式)'!$B349=""),"",分期持仓明细!$AD$18*SUMPRODUCT(分期持仓明细!$B$18:$AA$18,'实盘净值数据(iFinD公式)'!$B349:$AA349/'实盘净值数据(iFinD公式)'!$B$20:$AA$20)*(1-实盘持仓初始配置!$Z$5)^(('实盘净值数据(iFinD公式)'!$A349-'实盘净值数据(iFinD公式)'!$A$5)/365))</x:f>
        <x:v>#NAME?</x:v>
      </x:c>
      <x:c r="F349" s="152" t="e">
        <x:f>IF(OR(E348="",E349=""),"",E349/E348-1)</x:f>
        <x:v>#NAME?</x:v>
      </x:c>
      <x:c r="G349" s="152" t="e">
        <x:f>IF(E349="","",E349/MAX(E$5:E349)-1)</x:f>
        <x:v>#NAME?</x:v>
      </x:c>
      <x:c r="H349" s="146" t="e">
        <x:f>IF(OR('实盘净值数据(iFinD公式)'!$A349="",'实盘净值数据(iFinD公式)'!$B349=""),"",分期持仓明细!$AD$19*SUMPRODUCT(分期持仓明细!$B$19:$AA$19,'实盘净值数据(iFinD公式)'!$B349:$AA349/'实盘净值数据(iFinD公式)'!$B$20:$AA$20)*(1-实盘持仓初始配置!$Z$6)^(('实盘净值数据(iFinD公式)'!$A349-'实盘净值数据(iFinD公式)'!$A$7)/365))</x:f>
        <x:v>#NAME?</x:v>
      </x:c>
      <x:c r="I349" s="152" t="e">
        <x:f>IF(OR(H348="",H349=""),"",H349/H348-1)</x:f>
        <x:v>#NAME?</x:v>
      </x:c>
      <x:c r="J349" s="152" t="e">
        <x:f>IF(H349="","",H349/MAX(H$5:H349)-1)</x:f>
        <x:v>#NAME?</x:v>
      </x:c>
      <x:c r="K349" s="146" t="e">
        <x:f>IF(OR('实盘净值数据(iFinD公式)'!$A349="",'实盘净值数据(iFinD公式)'!$B349=""),"",分期持仓明细!$AD$23*SUMPRODUCT(分期持仓明细!$B$23:$AA$23,'实盘净值数据(iFinD公式)'!$B349:$AA349/'实盘净值数据(iFinD公式)'!$B$65:$AA$65)*(1-实盘持仓初始配置!$Z$7)^(('实盘净值数据(iFinD公式)'!$A349-'实盘净值数据(iFinD公式)'!$A$8)/365))</x:f>
        <x:v>#NAME?</x:v>
      </x:c>
      <x:c r="L349" s="152" t="e">
        <x:f>IF(OR(K348="",K349=""),"",K349/K348-1)</x:f>
        <x:v>#NAME?</x:v>
      </x:c>
      <x:c r="M349" s="152" t="e">
        <x:f>IF(K349="","",K349/MAX(K$5:K349)-1)</x:f>
        <x:v>#NAME?</x:v>
      </x:c>
      <x:c r="N349" s="146" t="e">
        <x:f>IF(OR('实盘净值数据(iFinD公式)'!$A349="",'实盘净值数据(iFinD公式)'!$B349=""),"",分期持仓明细!$AD$24*SUMPRODUCT(分期持仓明细!$B$24:$AA$24,'实盘净值数据(iFinD公式)'!$B349:$AA349/'实盘净值数据(iFinD公式)'!$B$65:$AA$65)*(1-实盘持仓初始配置!$Z$8)^(('实盘净值数据(iFinD公式)'!$A349-'实盘净值数据(iFinD公式)'!$A$5)/365))</x:f>
        <x:v>#NAME?</x:v>
      </x:c>
      <x:c r="O349" s="152" t="e">
        <x:f>IF(OR(N348="",N349=""),"",N349/N348-1)</x:f>
        <x:v>#NAME?</x:v>
      </x:c>
      <x:c r="P349" s="152" t="e">
        <x:f>IF(N349="","",N349/MAX(N$5:N349)-1)</x:f>
        <x:v>#NAME?</x:v>
      </x:c>
      <x:c r="Q349" s="146" t="e">
        <x:f>IF(OR('实盘净值数据(iFinD公式)'!$A349="",'实盘净值数据(iFinD公式)'!$B349=""),"",分期持仓明细!$AD$25*SUMPRODUCT(分期持仓明细!$B$25:$AA$25,'实盘净值数据(iFinD公式)'!$B349:$AA349/'实盘净值数据(iFinD公式)'!$B$65:$AA$65)*(1-实盘持仓初始配置!$Z$9)^(('实盘净值数据(iFinD公式)'!$A349-'实盘净值数据(iFinD公式)'!$A$8)/365))</x:f>
        <x:v>#NAME?</x:v>
      </x:c>
      <x:c r="R349" s="152" t="e">
        <x:f>IF(OR(Q348="",Q349=""),"",Q349/Q348-1)</x:f>
        <x:v>#NAME?</x:v>
      </x:c>
      <x:c r="S349" s="152" t="e">
        <x:f>IF(Q349="","",Q349/MAX(Q$5:Q349)-1)</x:f>
        <x:v>#NAME?</x:v>
      </x:c>
    </x:row>
    <x:row r="350">
      <x:c r="A350" s="149" t="str">
        <x:f>IF('实盘净值数据(iFinD公式)'!A350="","",'实盘净值数据(iFinD公式)'!A350)</x:f>
      </x:c>
      <x:c r="B350" s="146" t="e">
        <x:f>IF(OR('实盘净值数据(iFinD公式)'!$A350="",'实盘净值数据(iFinD公式)'!$B350=""),"",分期持仓明细!$AD$17*SUMPRODUCT(分期持仓明细!$B$17:$AA$17,'实盘净值数据(iFinD公式)'!$B350:$AA350/'实盘净值数据(iFinD公式)'!$B$20:$AA$20)*(1-实盘持仓初始配置!$Z$4)^(('实盘净值数据(iFinD公式)'!$A350-'实盘净值数据(iFinD公式)'!$A$6)/365))</x:f>
        <x:v>#NAME?</x:v>
      </x:c>
      <x:c r="C350" s="152" t="e">
        <x:f>IF(OR(B349="",B350=""),"",B350/B349-1)</x:f>
        <x:v>#NAME?</x:v>
      </x:c>
      <x:c r="D350" s="152" t="e">
        <x:f>IF(B350="","",B350/MAX(B$5:B350)-1)</x:f>
        <x:v>#NAME?</x:v>
      </x:c>
      <x:c r="E350" s="146" t="e">
        <x:f>IF(OR('实盘净值数据(iFinD公式)'!$A350="",'实盘净值数据(iFinD公式)'!$B350=""),"",分期持仓明细!$AD$18*SUMPRODUCT(分期持仓明细!$B$18:$AA$18,'实盘净值数据(iFinD公式)'!$B350:$AA350/'实盘净值数据(iFinD公式)'!$B$20:$AA$20)*(1-实盘持仓初始配置!$Z$5)^(('实盘净值数据(iFinD公式)'!$A350-'实盘净值数据(iFinD公式)'!$A$5)/365))</x:f>
        <x:v>#NAME?</x:v>
      </x:c>
      <x:c r="F350" s="152" t="e">
        <x:f>IF(OR(E349="",E350=""),"",E350/E349-1)</x:f>
        <x:v>#NAME?</x:v>
      </x:c>
      <x:c r="G350" s="152" t="e">
        <x:f>IF(E350="","",E350/MAX(E$5:E350)-1)</x:f>
        <x:v>#NAME?</x:v>
      </x:c>
      <x:c r="H350" s="146" t="e">
        <x:f>IF(OR('实盘净值数据(iFinD公式)'!$A350="",'实盘净值数据(iFinD公式)'!$B350=""),"",分期持仓明细!$AD$19*SUMPRODUCT(分期持仓明细!$B$19:$AA$19,'实盘净值数据(iFinD公式)'!$B350:$AA350/'实盘净值数据(iFinD公式)'!$B$20:$AA$20)*(1-实盘持仓初始配置!$Z$6)^(('实盘净值数据(iFinD公式)'!$A350-'实盘净值数据(iFinD公式)'!$A$7)/365))</x:f>
        <x:v>#NAME?</x:v>
      </x:c>
      <x:c r="I350" s="152" t="e">
        <x:f>IF(OR(H349="",H350=""),"",H350/H349-1)</x:f>
        <x:v>#NAME?</x:v>
      </x:c>
      <x:c r="J350" s="152" t="e">
        <x:f>IF(H350="","",H350/MAX(H$5:H350)-1)</x:f>
        <x:v>#NAME?</x:v>
      </x:c>
      <x:c r="K350" s="146" t="e">
        <x:f>IF(OR('实盘净值数据(iFinD公式)'!$A350="",'实盘净值数据(iFinD公式)'!$B350=""),"",分期持仓明细!$AD$23*SUMPRODUCT(分期持仓明细!$B$23:$AA$23,'实盘净值数据(iFinD公式)'!$B350:$AA350/'实盘净值数据(iFinD公式)'!$B$65:$AA$65)*(1-实盘持仓初始配置!$Z$7)^(('实盘净值数据(iFinD公式)'!$A350-'实盘净值数据(iFinD公式)'!$A$8)/365))</x:f>
        <x:v>#NAME?</x:v>
      </x:c>
      <x:c r="L350" s="152" t="e">
        <x:f>IF(OR(K349="",K350=""),"",K350/K349-1)</x:f>
        <x:v>#NAME?</x:v>
      </x:c>
      <x:c r="M350" s="152" t="e">
        <x:f>IF(K350="","",K350/MAX(K$5:K350)-1)</x:f>
        <x:v>#NAME?</x:v>
      </x:c>
      <x:c r="N350" s="146" t="e">
        <x:f>IF(OR('实盘净值数据(iFinD公式)'!$A350="",'实盘净值数据(iFinD公式)'!$B350=""),"",分期持仓明细!$AD$24*SUMPRODUCT(分期持仓明细!$B$24:$AA$24,'实盘净值数据(iFinD公式)'!$B350:$AA350/'实盘净值数据(iFinD公式)'!$B$65:$AA$65)*(1-实盘持仓初始配置!$Z$8)^(('实盘净值数据(iFinD公式)'!$A350-'实盘净值数据(iFinD公式)'!$A$5)/365))</x:f>
        <x:v>#NAME?</x:v>
      </x:c>
      <x:c r="O350" s="152" t="e">
        <x:f>IF(OR(N349="",N350=""),"",N350/N349-1)</x:f>
        <x:v>#NAME?</x:v>
      </x:c>
      <x:c r="P350" s="152" t="e">
        <x:f>IF(N350="","",N350/MAX(N$5:N350)-1)</x:f>
        <x:v>#NAME?</x:v>
      </x:c>
      <x:c r="Q350" s="146" t="e">
        <x:f>IF(OR('实盘净值数据(iFinD公式)'!$A350="",'实盘净值数据(iFinD公式)'!$B350=""),"",分期持仓明细!$AD$25*SUMPRODUCT(分期持仓明细!$B$25:$AA$25,'实盘净值数据(iFinD公式)'!$B350:$AA350/'实盘净值数据(iFinD公式)'!$B$65:$AA$65)*(1-实盘持仓初始配置!$Z$9)^(('实盘净值数据(iFinD公式)'!$A350-'实盘净值数据(iFinD公式)'!$A$8)/365))</x:f>
        <x:v>#NAME?</x:v>
      </x:c>
      <x:c r="R350" s="152" t="e">
        <x:f>IF(OR(Q349="",Q350=""),"",Q350/Q349-1)</x:f>
        <x:v>#NAME?</x:v>
      </x:c>
      <x:c r="S350" s="152" t="e">
        <x:f>IF(Q350="","",Q350/MAX(Q$5:Q350)-1)</x:f>
        <x:v>#NAME?</x:v>
      </x:c>
    </x:row>
    <x:row r="351">
      <x:c r="A351" s="149" t="str">
        <x:f>IF('实盘净值数据(iFinD公式)'!A351="","",'实盘净值数据(iFinD公式)'!A351)</x:f>
      </x:c>
      <x:c r="B351" s="146" t="e">
        <x:f>IF(OR('实盘净值数据(iFinD公式)'!$A351="",'实盘净值数据(iFinD公式)'!$B351=""),"",分期持仓明细!$AD$17*SUMPRODUCT(分期持仓明细!$B$17:$AA$17,'实盘净值数据(iFinD公式)'!$B351:$AA351/'实盘净值数据(iFinD公式)'!$B$20:$AA$20)*(1-实盘持仓初始配置!$Z$4)^(('实盘净值数据(iFinD公式)'!$A351-'实盘净值数据(iFinD公式)'!$A$6)/365))</x:f>
        <x:v>#NAME?</x:v>
      </x:c>
      <x:c r="C351" s="152" t="e">
        <x:f>IF(OR(B350="",B351=""),"",B351/B350-1)</x:f>
        <x:v>#NAME?</x:v>
      </x:c>
      <x:c r="D351" s="152" t="e">
        <x:f>IF(B351="","",B351/MAX(B$5:B351)-1)</x:f>
        <x:v>#NAME?</x:v>
      </x:c>
      <x:c r="E351" s="146" t="e">
        <x:f>IF(OR('实盘净值数据(iFinD公式)'!$A351="",'实盘净值数据(iFinD公式)'!$B351=""),"",分期持仓明细!$AD$18*SUMPRODUCT(分期持仓明细!$B$18:$AA$18,'实盘净值数据(iFinD公式)'!$B351:$AA351/'实盘净值数据(iFinD公式)'!$B$20:$AA$20)*(1-实盘持仓初始配置!$Z$5)^(('实盘净值数据(iFinD公式)'!$A351-'实盘净值数据(iFinD公式)'!$A$5)/365))</x:f>
        <x:v>#NAME?</x:v>
      </x:c>
      <x:c r="F351" s="152" t="e">
        <x:f>IF(OR(E350="",E351=""),"",E351/E350-1)</x:f>
        <x:v>#NAME?</x:v>
      </x:c>
      <x:c r="G351" s="152" t="e">
        <x:f>IF(E351="","",E351/MAX(E$5:E351)-1)</x:f>
        <x:v>#NAME?</x:v>
      </x:c>
      <x:c r="H351" s="146" t="e">
        <x:f>IF(OR('实盘净值数据(iFinD公式)'!$A351="",'实盘净值数据(iFinD公式)'!$B351=""),"",分期持仓明细!$AD$19*SUMPRODUCT(分期持仓明细!$B$19:$AA$19,'实盘净值数据(iFinD公式)'!$B351:$AA351/'实盘净值数据(iFinD公式)'!$B$20:$AA$20)*(1-实盘持仓初始配置!$Z$6)^(('实盘净值数据(iFinD公式)'!$A351-'实盘净值数据(iFinD公式)'!$A$7)/365))</x:f>
        <x:v>#NAME?</x:v>
      </x:c>
      <x:c r="I351" s="152" t="e">
        <x:f>IF(OR(H350="",H351=""),"",H351/H350-1)</x:f>
        <x:v>#NAME?</x:v>
      </x:c>
      <x:c r="J351" s="152" t="e">
        <x:f>IF(H351="","",H351/MAX(H$5:H351)-1)</x:f>
        <x:v>#NAME?</x:v>
      </x:c>
      <x:c r="K351" s="146" t="e">
        <x:f>IF(OR('实盘净值数据(iFinD公式)'!$A351="",'实盘净值数据(iFinD公式)'!$B351=""),"",分期持仓明细!$AD$23*SUMPRODUCT(分期持仓明细!$B$23:$AA$23,'实盘净值数据(iFinD公式)'!$B351:$AA351/'实盘净值数据(iFinD公式)'!$B$65:$AA$65)*(1-实盘持仓初始配置!$Z$7)^(('实盘净值数据(iFinD公式)'!$A351-'实盘净值数据(iFinD公式)'!$A$8)/365))</x:f>
        <x:v>#NAME?</x:v>
      </x:c>
      <x:c r="L351" s="152" t="e">
        <x:f>IF(OR(K350="",K351=""),"",K351/K350-1)</x:f>
        <x:v>#NAME?</x:v>
      </x:c>
      <x:c r="M351" s="152" t="e">
        <x:f>IF(K351="","",K351/MAX(K$5:K351)-1)</x:f>
        <x:v>#NAME?</x:v>
      </x:c>
      <x:c r="N351" s="146" t="e">
        <x:f>IF(OR('实盘净值数据(iFinD公式)'!$A351="",'实盘净值数据(iFinD公式)'!$B351=""),"",分期持仓明细!$AD$24*SUMPRODUCT(分期持仓明细!$B$24:$AA$24,'实盘净值数据(iFinD公式)'!$B351:$AA351/'实盘净值数据(iFinD公式)'!$B$65:$AA$65)*(1-实盘持仓初始配置!$Z$8)^(('实盘净值数据(iFinD公式)'!$A351-'实盘净值数据(iFinD公式)'!$A$5)/365))</x:f>
        <x:v>#NAME?</x:v>
      </x:c>
      <x:c r="O351" s="152" t="e">
        <x:f>IF(OR(N350="",N351=""),"",N351/N350-1)</x:f>
        <x:v>#NAME?</x:v>
      </x:c>
      <x:c r="P351" s="152" t="e">
        <x:f>IF(N351="","",N351/MAX(N$5:N351)-1)</x:f>
        <x:v>#NAME?</x:v>
      </x:c>
      <x:c r="Q351" s="146" t="e">
        <x:f>IF(OR('实盘净值数据(iFinD公式)'!$A351="",'实盘净值数据(iFinD公式)'!$B351=""),"",分期持仓明细!$AD$25*SUMPRODUCT(分期持仓明细!$B$25:$AA$25,'实盘净值数据(iFinD公式)'!$B351:$AA351/'实盘净值数据(iFinD公式)'!$B$65:$AA$65)*(1-实盘持仓初始配置!$Z$9)^(('实盘净值数据(iFinD公式)'!$A351-'实盘净值数据(iFinD公式)'!$A$8)/365))</x:f>
        <x:v>#NAME?</x:v>
      </x:c>
      <x:c r="R351" s="152" t="e">
        <x:f>IF(OR(Q350="",Q351=""),"",Q351/Q350-1)</x:f>
        <x:v>#NAME?</x:v>
      </x:c>
      <x:c r="S351" s="152" t="e">
        <x:f>IF(Q351="","",Q351/MAX(Q$5:Q351)-1)</x:f>
        <x:v>#NAME?</x:v>
      </x:c>
    </x:row>
    <x:row r="352">
      <x:c r="A352" s="149" t="str">
        <x:f>IF('实盘净值数据(iFinD公式)'!A352="","",'实盘净值数据(iFinD公式)'!A352)</x:f>
      </x:c>
      <x:c r="B352" s="146" t="e">
        <x:f>IF(OR('实盘净值数据(iFinD公式)'!$A352="",'实盘净值数据(iFinD公式)'!$B352=""),"",分期持仓明细!$AD$17*SUMPRODUCT(分期持仓明细!$B$17:$AA$17,'实盘净值数据(iFinD公式)'!$B352:$AA352/'实盘净值数据(iFinD公式)'!$B$20:$AA$20)*(1-实盘持仓初始配置!$Z$4)^(('实盘净值数据(iFinD公式)'!$A352-'实盘净值数据(iFinD公式)'!$A$6)/365))</x:f>
        <x:v>#NAME?</x:v>
      </x:c>
      <x:c r="C352" s="152" t="e">
        <x:f>IF(OR(B351="",B352=""),"",B352/B351-1)</x:f>
        <x:v>#NAME?</x:v>
      </x:c>
      <x:c r="D352" s="152" t="e">
        <x:f>IF(B352="","",B352/MAX(B$5:B352)-1)</x:f>
        <x:v>#NAME?</x:v>
      </x:c>
      <x:c r="E352" s="146" t="e">
        <x:f>IF(OR('实盘净值数据(iFinD公式)'!$A352="",'实盘净值数据(iFinD公式)'!$B352=""),"",分期持仓明细!$AD$18*SUMPRODUCT(分期持仓明细!$B$18:$AA$18,'实盘净值数据(iFinD公式)'!$B352:$AA352/'实盘净值数据(iFinD公式)'!$B$20:$AA$20)*(1-实盘持仓初始配置!$Z$5)^(('实盘净值数据(iFinD公式)'!$A352-'实盘净值数据(iFinD公式)'!$A$5)/365))</x:f>
        <x:v>#NAME?</x:v>
      </x:c>
      <x:c r="F352" s="152" t="e">
        <x:f>IF(OR(E351="",E352=""),"",E352/E351-1)</x:f>
        <x:v>#NAME?</x:v>
      </x:c>
      <x:c r="G352" s="152" t="e">
        <x:f>IF(E352="","",E352/MAX(E$5:E352)-1)</x:f>
        <x:v>#NAME?</x:v>
      </x:c>
      <x:c r="H352" s="146" t="e">
        <x:f>IF(OR('实盘净值数据(iFinD公式)'!$A352="",'实盘净值数据(iFinD公式)'!$B352=""),"",分期持仓明细!$AD$19*SUMPRODUCT(分期持仓明细!$B$19:$AA$19,'实盘净值数据(iFinD公式)'!$B352:$AA352/'实盘净值数据(iFinD公式)'!$B$20:$AA$20)*(1-实盘持仓初始配置!$Z$6)^(('实盘净值数据(iFinD公式)'!$A352-'实盘净值数据(iFinD公式)'!$A$7)/365))</x:f>
        <x:v>#NAME?</x:v>
      </x:c>
      <x:c r="I352" s="152" t="e">
        <x:f>IF(OR(H351="",H352=""),"",H352/H351-1)</x:f>
        <x:v>#NAME?</x:v>
      </x:c>
      <x:c r="J352" s="152" t="e">
        <x:f>IF(H352="","",H352/MAX(H$5:H352)-1)</x:f>
        <x:v>#NAME?</x:v>
      </x:c>
      <x:c r="K352" s="146" t="e">
        <x:f>IF(OR('实盘净值数据(iFinD公式)'!$A352="",'实盘净值数据(iFinD公式)'!$B352=""),"",分期持仓明细!$AD$23*SUMPRODUCT(分期持仓明细!$B$23:$AA$23,'实盘净值数据(iFinD公式)'!$B352:$AA352/'实盘净值数据(iFinD公式)'!$B$65:$AA$65)*(1-实盘持仓初始配置!$Z$7)^(('实盘净值数据(iFinD公式)'!$A352-'实盘净值数据(iFinD公式)'!$A$8)/365))</x:f>
        <x:v>#NAME?</x:v>
      </x:c>
      <x:c r="L352" s="152" t="e">
        <x:f>IF(OR(K351="",K352=""),"",K352/K351-1)</x:f>
        <x:v>#NAME?</x:v>
      </x:c>
      <x:c r="M352" s="152" t="e">
        <x:f>IF(K352="","",K352/MAX(K$5:K352)-1)</x:f>
        <x:v>#NAME?</x:v>
      </x:c>
      <x:c r="N352" s="146" t="e">
        <x:f>IF(OR('实盘净值数据(iFinD公式)'!$A352="",'实盘净值数据(iFinD公式)'!$B352=""),"",分期持仓明细!$AD$24*SUMPRODUCT(分期持仓明细!$B$24:$AA$24,'实盘净值数据(iFinD公式)'!$B352:$AA352/'实盘净值数据(iFinD公式)'!$B$65:$AA$65)*(1-实盘持仓初始配置!$Z$8)^(('实盘净值数据(iFinD公式)'!$A352-'实盘净值数据(iFinD公式)'!$A$5)/365))</x:f>
        <x:v>#NAME?</x:v>
      </x:c>
      <x:c r="O352" s="152" t="e">
        <x:f>IF(OR(N351="",N352=""),"",N352/N351-1)</x:f>
        <x:v>#NAME?</x:v>
      </x:c>
      <x:c r="P352" s="152" t="e">
        <x:f>IF(N352="","",N352/MAX(N$5:N352)-1)</x:f>
        <x:v>#NAME?</x:v>
      </x:c>
      <x:c r="Q352" s="146" t="e">
        <x:f>IF(OR('实盘净值数据(iFinD公式)'!$A352="",'实盘净值数据(iFinD公式)'!$B352=""),"",分期持仓明细!$AD$25*SUMPRODUCT(分期持仓明细!$B$25:$AA$25,'实盘净值数据(iFinD公式)'!$B352:$AA352/'实盘净值数据(iFinD公式)'!$B$65:$AA$65)*(1-实盘持仓初始配置!$Z$9)^(('实盘净值数据(iFinD公式)'!$A352-'实盘净值数据(iFinD公式)'!$A$8)/365))</x:f>
        <x:v>#NAME?</x:v>
      </x:c>
      <x:c r="R352" s="152" t="e">
        <x:f>IF(OR(Q351="",Q352=""),"",Q352/Q351-1)</x:f>
        <x:v>#NAME?</x:v>
      </x:c>
      <x:c r="S352" s="152" t="e">
        <x:f>IF(Q352="","",Q352/MAX(Q$5:Q352)-1)</x:f>
        <x:v>#NAME?</x:v>
      </x:c>
    </x:row>
    <x:row r="353">
      <x:c r="A353" s="149" t="str">
        <x:f>IF('实盘净值数据(iFinD公式)'!A353="","",'实盘净值数据(iFinD公式)'!A353)</x:f>
      </x:c>
      <x:c r="B353" s="146" t="e">
        <x:f>IF(OR('实盘净值数据(iFinD公式)'!$A353="",'实盘净值数据(iFinD公式)'!$B353=""),"",分期持仓明细!$AD$17*SUMPRODUCT(分期持仓明细!$B$17:$AA$17,'实盘净值数据(iFinD公式)'!$B353:$AA353/'实盘净值数据(iFinD公式)'!$B$20:$AA$20)*(1-实盘持仓初始配置!$Z$4)^(('实盘净值数据(iFinD公式)'!$A353-'实盘净值数据(iFinD公式)'!$A$6)/365))</x:f>
        <x:v>#NAME?</x:v>
      </x:c>
      <x:c r="C353" s="152" t="e">
        <x:f>IF(OR(B352="",B353=""),"",B353/B352-1)</x:f>
        <x:v>#NAME?</x:v>
      </x:c>
      <x:c r="D353" s="152" t="e">
        <x:f>IF(B353="","",B353/MAX(B$5:B353)-1)</x:f>
        <x:v>#NAME?</x:v>
      </x:c>
      <x:c r="E353" s="146" t="e">
        <x:f>IF(OR('实盘净值数据(iFinD公式)'!$A353="",'实盘净值数据(iFinD公式)'!$B353=""),"",分期持仓明细!$AD$18*SUMPRODUCT(分期持仓明细!$B$18:$AA$18,'实盘净值数据(iFinD公式)'!$B353:$AA353/'实盘净值数据(iFinD公式)'!$B$20:$AA$20)*(1-实盘持仓初始配置!$Z$5)^(('实盘净值数据(iFinD公式)'!$A353-'实盘净值数据(iFinD公式)'!$A$5)/365))</x:f>
        <x:v>#NAME?</x:v>
      </x:c>
      <x:c r="F353" s="152" t="e">
        <x:f>IF(OR(E352="",E353=""),"",E353/E352-1)</x:f>
        <x:v>#NAME?</x:v>
      </x:c>
      <x:c r="G353" s="152" t="e">
        <x:f>IF(E353="","",E353/MAX(E$5:E353)-1)</x:f>
        <x:v>#NAME?</x:v>
      </x:c>
      <x:c r="H353" s="146" t="e">
        <x:f>IF(OR('实盘净值数据(iFinD公式)'!$A353="",'实盘净值数据(iFinD公式)'!$B353=""),"",分期持仓明细!$AD$19*SUMPRODUCT(分期持仓明细!$B$19:$AA$19,'实盘净值数据(iFinD公式)'!$B353:$AA353/'实盘净值数据(iFinD公式)'!$B$20:$AA$20)*(1-实盘持仓初始配置!$Z$6)^(('实盘净值数据(iFinD公式)'!$A353-'实盘净值数据(iFinD公式)'!$A$7)/365))</x:f>
        <x:v>#NAME?</x:v>
      </x:c>
      <x:c r="I353" s="152" t="e">
        <x:f>IF(OR(H352="",H353=""),"",H353/H352-1)</x:f>
        <x:v>#NAME?</x:v>
      </x:c>
      <x:c r="J353" s="152" t="e">
        <x:f>IF(H353="","",H353/MAX(H$5:H353)-1)</x:f>
        <x:v>#NAME?</x:v>
      </x:c>
      <x:c r="K353" s="146" t="e">
        <x:f>IF(OR('实盘净值数据(iFinD公式)'!$A353="",'实盘净值数据(iFinD公式)'!$B353=""),"",分期持仓明细!$AD$23*SUMPRODUCT(分期持仓明细!$B$23:$AA$23,'实盘净值数据(iFinD公式)'!$B353:$AA353/'实盘净值数据(iFinD公式)'!$B$65:$AA$65)*(1-实盘持仓初始配置!$Z$7)^(('实盘净值数据(iFinD公式)'!$A353-'实盘净值数据(iFinD公式)'!$A$8)/365))</x:f>
        <x:v>#NAME?</x:v>
      </x:c>
      <x:c r="L353" s="152" t="e">
        <x:f>IF(OR(K352="",K353=""),"",K353/K352-1)</x:f>
        <x:v>#NAME?</x:v>
      </x:c>
      <x:c r="M353" s="152" t="e">
        <x:f>IF(K353="","",K353/MAX(K$5:K353)-1)</x:f>
        <x:v>#NAME?</x:v>
      </x:c>
      <x:c r="N353" s="146" t="e">
        <x:f>IF(OR('实盘净值数据(iFinD公式)'!$A353="",'实盘净值数据(iFinD公式)'!$B353=""),"",分期持仓明细!$AD$24*SUMPRODUCT(分期持仓明细!$B$24:$AA$24,'实盘净值数据(iFinD公式)'!$B353:$AA353/'实盘净值数据(iFinD公式)'!$B$65:$AA$65)*(1-实盘持仓初始配置!$Z$8)^(('实盘净值数据(iFinD公式)'!$A353-'实盘净值数据(iFinD公式)'!$A$5)/365))</x:f>
        <x:v>#NAME?</x:v>
      </x:c>
      <x:c r="O353" s="152" t="e">
        <x:f>IF(OR(N352="",N353=""),"",N353/N352-1)</x:f>
        <x:v>#NAME?</x:v>
      </x:c>
      <x:c r="P353" s="152" t="e">
        <x:f>IF(N353="","",N353/MAX(N$5:N353)-1)</x:f>
        <x:v>#NAME?</x:v>
      </x:c>
      <x:c r="Q353" s="146" t="e">
        <x:f>IF(OR('实盘净值数据(iFinD公式)'!$A353="",'实盘净值数据(iFinD公式)'!$B353=""),"",分期持仓明细!$AD$25*SUMPRODUCT(分期持仓明细!$B$25:$AA$25,'实盘净值数据(iFinD公式)'!$B353:$AA353/'实盘净值数据(iFinD公式)'!$B$65:$AA$65)*(1-实盘持仓初始配置!$Z$9)^(('实盘净值数据(iFinD公式)'!$A353-'实盘净值数据(iFinD公式)'!$A$8)/365))</x:f>
        <x:v>#NAME?</x:v>
      </x:c>
      <x:c r="R353" s="152" t="e">
        <x:f>IF(OR(Q352="",Q353=""),"",Q353/Q352-1)</x:f>
        <x:v>#NAME?</x:v>
      </x:c>
      <x:c r="S353" s="152" t="e">
        <x:f>IF(Q353="","",Q353/MAX(Q$5:Q353)-1)</x:f>
        <x:v>#NAME?</x:v>
      </x:c>
    </x:row>
    <x:row r="354">
      <x:c r="A354" s="149" t="str">
        <x:f>IF('实盘净值数据(iFinD公式)'!A354="","",'实盘净值数据(iFinD公式)'!A354)</x:f>
      </x:c>
      <x:c r="B354" s="146" t="e">
        <x:f>IF(OR('实盘净值数据(iFinD公式)'!$A354="",'实盘净值数据(iFinD公式)'!$B354=""),"",分期持仓明细!$AD$17*SUMPRODUCT(分期持仓明细!$B$17:$AA$17,'实盘净值数据(iFinD公式)'!$B354:$AA354/'实盘净值数据(iFinD公式)'!$B$20:$AA$20)*(1-实盘持仓初始配置!$Z$4)^(('实盘净值数据(iFinD公式)'!$A354-'实盘净值数据(iFinD公式)'!$A$6)/365))</x:f>
        <x:v>#NAME?</x:v>
      </x:c>
      <x:c r="C354" s="152" t="e">
        <x:f>IF(OR(B353="",B354=""),"",B354/B353-1)</x:f>
        <x:v>#NAME?</x:v>
      </x:c>
      <x:c r="D354" s="152" t="e">
        <x:f>IF(B354="","",B354/MAX(B$5:B354)-1)</x:f>
        <x:v>#NAME?</x:v>
      </x:c>
      <x:c r="E354" s="146" t="e">
        <x:f>IF(OR('实盘净值数据(iFinD公式)'!$A354="",'实盘净值数据(iFinD公式)'!$B354=""),"",分期持仓明细!$AD$18*SUMPRODUCT(分期持仓明细!$B$18:$AA$18,'实盘净值数据(iFinD公式)'!$B354:$AA354/'实盘净值数据(iFinD公式)'!$B$20:$AA$20)*(1-实盘持仓初始配置!$Z$5)^(('实盘净值数据(iFinD公式)'!$A354-'实盘净值数据(iFinD公式)'!$A$5)/365))</x:f>
        <x:v>#NAME?</x:v>
      </x:c>
      <x:c r="F354" s="152" t="e">
        <x:f>IF(OR(E353="",E354=""),"",E354/E353-1)</x:f>
        <x:v>#NAME?</x:v>
      </x:c>
      <x:c r="G354" s="152" t="e">
        <x:f>IF(E354="","",E354/MAX(E$5:E354)-1)</x:f>
        <x:v>#NAME?</x:v>
      </x:c>
      <x:c r="H354" s="146" t="e">
        <x:f>IF(OR('实盘净值数据(iFinD公式)'!$A354="",'实盘净值数据(iFinD公式)'!$B354=""),"",分期持仓明细!$AD$19*SUMPRODUCT(分期持仓明细!$B$19:$AA$19,'实盘净值数据(iFinD公式)'!$B354:$AA354/'实盘净值数据(iFinD公式)'!$B$20:$AA$20)*(1-实盘持仓初始配置!$Z$6)^(('实盘净值数据(iFinD公式)'!$A354-'实盘净值数据(iFinD公式)'!$A$7)/365))</x:f>
        <x:v>#NAME?</x:v>
      </x:c>
      <x:c r="I354" s="152" t="e">
        <x:f>IF(OR(H353="",H354=""),"",H354/H353-1)</x:f>
        <x:v>#NAME?</x:v>
      </x:c>
      <x:c r="J354" s="152" t="e">
        <x:f>IF(H354="","",H354/MAX(H$5:H354)-1)</x:f>
        <x:v>#NAME?</x:v>
      </x:c>
      <x:c r="K354" s="146" t="e">
        <x:f>IF(OR('实盘净值数据(iFinD公式)'!$A354="",'实盘净值数据(iFinD公式)'!$B354=""),"",分期持仓明细!$AD$23*SUMPRODUCT(分期持仓明细!$B$23:$AA$23,'实盘净值数据(iFinD公式)'!$B354:$AA354/'实盘净值数据(iFinD公式)'!$B$65:$AA$65)*(1-实盘持仓初始配置!$Z$7)^(('实盘净值数据(iFinD公式)'!$A354-'实盘净值数据(iFinD公式)'!$A$8)/365))</x:f>
        <x:v>#NAME?</x:v>
      </x:c>
      <x:c r="L354" s="152" t="e">
        <x:f>IF(OR(K353="",K354=""),"",K354/K353-1)</x:f>
        <x:v>#NAME?</x:v>
      </x:c>
      <x:c r="M354" s="152" t="e">
        <x:f>IF(K354="","",K354/MAX(K$5:K354)-1)</x:f>
        <x:v>#NAME?</x:v>
      </x:c>
      <x:c r="N354" s="146" t="e">
        <x:f>IF(OR('实盘净值数据(iFinD公式)'!$A354="",'实盘净值数据(iFinD公式)'!$B354=""),"",分期持仓明细!$AD$24*SUMPRODUCT(分期持仓明细!$B$24:$AA$24,'实盘净值数据(iFinD公式)'!$B354:$AA354/'实盘净值数据(iFinD公式)'!$B$65:$AA$65)*(1-实盘持仓初始配置!$Z$8)^(('实盘净值数据(iFinD公式)'!$A354-'实盘净值数据(iFinD公式)'!$A$5)/365))</x:f>
        <x:v>#NAME?</x:v>
      </x:c>
      <x:c r="O354" s="152" t="e">
        <x:f>IF(OR(N353="",N354=""),"",N354/N353-1)</x:f>
        <x:v>#NAME?</x:v>
      </x:c>
      <x:c r="P354" s="152" t="e">
        <x:f>IF(N354="","",N354/MAX(N$5:N354)-1)</x:f>
        <x:v>#NAME?</x:v>
      </x:c>
      <x:c r="Q354" s="146" t="e">
        <x:f>IF(OR('实盘净值数据(iFinD公式)'!$A354="",'实盘净值数据(iFinD公式)'!$B354=""),"",分期持仓明细!$AD$25*SUMPRODUCT(分期持仓明细!$B$25:$AA$25,'实盘净值数据(iFinD公式)'!$B354:$AA354/'实盘净值数据(iFinD公式)'!$B$65:$AA$65)*(1-实盘持仓初始配置!$Z$9)^(('实盘净值数据(iFinD公式)'!$A354-'实盘净值数据(iFinD公式)'!$A$8)/365))</x:f>
        <x:v>#NAME?</x:v>
      </x:c>
      <x:c r="R354" s="152" t="e">
        <x:f>IF(OR(Q353="",Q354=""),"",Q354/Q353-1)</x:f>
        <x:v>#NAME?</x:v>
      </x:c>
      <x:c r="S354" s="152" t="e">
        <x:f>IF(Q354="","",Q354/MAX(Q$5:Q354)-1)</x:f>
        <x:v>#NAME?</x:v>
      </x:c>
    </x:row>
    <x:row r="355">
      <x:c r="A355" s="149" t="str">
        <x:f>IF('实盘净值数据(iFinD公式)'!A355="","",'实盘净值数据(iFinD公式)'!A355)</x:f>
      </x:c>
      <x:c r="B355" s="146" t="e">
        <x:f>IF(OR('实盘净值数据(iFinD公式)'!$A355="",'实盘净值数据(iFinD公式)'!$B355=""),"",分期持仓明细!$AD$17*SUMPRODUCT(分期持仓明细!$B$17:$AA$17,'实盘净值数据(iFinD公式)'!$B355:$AA355/'实盘净值数据(iFinD公式)'!$B$20:$AA$20)*(1-实盘持仓初始配置!$Z$4)^(('实盘净值数据(iFinD公式)'!$A355-'实盘净值数据(iFinD公式)'!$A$6)/365))</x:f>
        <x:v>#NAME?</x:v>
      </x:c>
      <x:c r="C355" s="152" t="e">
        <x:f>IF(OR(B354="",B355=""),"",B355/B354-1)</x:f>
        <x:v>#NAME?</x:v>
      </x:c>
      <x:c r="D355" s="152" t="e">
        <x:f>IF(B355="","",B355/MAX(B$5:B355)-1)</x:f>
        <x:v>#NAME?</x:v>
      </x:c>
      <x:c r="E355" s="146" t="e">
        <x:f>IF(OR('实盘净值数据(iFinD公式)'!$A355="",'实盘净值数据(iFinD公式)'!$B355=""),"",分期持仓明细!$AD$18*SUMPRODUCT(分期持仓明细!$B$18:$AA$18,'实盘净值数据(iFinD公式)'!$B355:$AA355/'实盘净值数据(iFinD公式)'!$B$20:$AA$20)*(1-实盘持仓初始配置!$Z$5)^(('实盘净值数据(iFinD公式)'!$A355-'实盘净值数据(iFinD公式)'!$A$5)/365))</x:f>
        <x:v>#NAME?</x:v>
      </x:c>
      <x:c r="F355" s="152" t="e">
        <x:f>IF(OR(E354="",E355=""),"",E355/E354-1)</x:f>
        <x:v>#NAME?</x:v>
      </x:c>
      <x:c r="G355" s="152" t="e">
        <x:f>IF(E355="","",E355/MAX(E$5:E355)-1)</x:f>
        <x:v>#NAME?</x:v>
      </x:c>
      <x:c r="H355" s="146" t="e">
        <x:f>IF(OR('实盘净值数据(iFinD公式)'!$A355="",'实盘净值数据(iFinD公式)'!$B355=""),"",分期持仓明细!$AD$19*SUMPRODUCT(分期持仓明细!$B$19:$AA$19,'实盘净值数据(iFinD公式)'!$B355:$AA355/'实盘净值数据(iFinD公式)'!$B$20:$AA$20)*(1-实盘持仓初始配置!$Z$6)^(('实盘净值数据(iFinD公式)'!$A355-'实盘净值数据(iFinD公式)'!$A$7)/365))</x:f>
        <x:v>#NAME?</x:v>
      </x:c>
      <x:c r="I355" s="152" t="e">
        <x:f>IF(OR(H354="",H355=""),"",H355/H354-1)</x:f>
        <x:v>#NAME?</x:v>
      </x:c>
      <x:c r="J355" s="152" t="e">
        <x:f>IF(H355="","",H355/MAX(H$5:H355)-1)</x:f>
        <x:v>#NAME?</x:v>
      </x:c>
      <x:c r="K355" s="146" t="e">
        <x:f>IF(OR('实盘净值数据(iFinD公式)'!$A355="",'实盘净值数据(iFinD公式)'!$B355=""),"",分期持仓明细!$AD$23*SUMPRODUCT(分期持仓明细!$B$23:$AA$23,'实盘净值数据(iFinD公式)'!$B355:$AA355/'实盘净值数据(iFinD公式)'!$B$65:$AA$65)*(1-实盘持仓初始配置!$Z$7)^(('实盘净值数据(iFinD公式)'!$A355-'实盘净值数据(iFinD公式)'!$A$8)/365))</x:f>
        <x:v>#NAME?</x:v>
      </x:c>
      <x:c r="L355" s="152" t="e">
        <x:f>IF(OR(K354="",K355=""),"",K355/K354-1)</x:f>
        <x:v>#NAME?</x:v>
      </x:c>
      <x:c r="M355" s="152" t="e">
        <x:f>IF(K355="","",K355/MAX(K$5:K355)-1)</x:f>
        <x:v>#NAME?</x:v>
      </x:c>
      <x:c r="N355" s="146" t="e">
        <x:f>IF(OR('实盘净值数据(iFinD公式)'!$A355="",'实盘净值数据(iFinD公式)'!$B355=""),"",分期持仓明细!$AD$24*SUMPRODUCT(分期持仓明细!$B$24:$AA$24,'实盘净值数据(iFinD公式)'!$B355:$AA355/'实盘净值数据(iFinD公式)'!$B$65:$AA$65)*(1-实盘持仓初始配置!$Z$8)^(('实盘净值数据(iFinD公式)'!$A355-'实盘净值数据(iFinD公式)'!$A$5)/365))</x:f>
        <x:v>#NAME?</x:v>
      </x:c>
      <x:c r="O355" s="152" t="e">
        <x:f>IF(OR(N354="",N355=""),"",N355/N354-1)</x:f>
        <x:v>#NAME?</x:v>
      </x:c>
      <x:c r="P355" s="152" t="e">
        <x:f>IF(N355="","",N355/MAX(N$5:N355)-1)</x:f>
        <x:v>#NAME?</x:v>
      </x:c>
      <x:c r="Q355" s="146" t="e">
        <x:f>IF(OR('实盘净值数据(iFinD公式)'!$A355="",'实盘净值数据(iFinD公式)'!$B355=""),"",分期持仓明细!$AD$25*SUMPRODUCT(分期持仓明细!$B$25:$AA$25,'实盘净值数据(iFinD公式)'!$B355:$AA355/'实盘净值数据(iFinD公式)'!$B$65:$AA$65)*(1-实盘持仓初始配置!$Z$9)^(('实盘净值数据(iFinD公式)'!$A355-'实盘净值数据(iFinD公式)'!$A$8)/365))</x:f>
        <x:v>#NAME?</x:v>
      </x:c>
      <x:c r="R355" s="152" t="e">
        <x:f>IF(OR(Q354="",Q355=""),"",Q355/Q354-1)</x:f>
        <x:v>#NAME?</x:v>
      </x:c>
      <x:c r="S355" s="152" t="e">
        <x:f>IF(Q355="","",Q355/MAX(Q$5:Q355)-1)</x:f>
        <x:v>#NAME?</x:v>
      </x:c>
    </x:row>
    <x:row r="356">
      <x:c r="A356" s="149" t="str">
        <x:f>IF('实盘净值数据(iFinD公式)'!A356="","",'实盘净值数据(iFinD公式)'!A356)</x:f>
      </x:c>
      <x:c r="B356" s="146" t="e">
        <x:f>IF(OR('实盘净值数据(iFinD公式)'!$A356="",'实盘净值数据(iFinD公式)'!$B356=""),"",分期持仓明细!$AD$17*SUMPRODUCT(分期持仓明细!$B$17:$AA$17,'实盘净值数据(iFinD公式)'!$B356:$AA356/'实盘净值数据(iFinD公式)'!$B$20:$AA$20)*(1-实盘持仓初始配置!$Z$4)^(('实盘净值数据(iFinD公式)'!$A356-'实盘净值数据(iFinD公式)'!$A$6)/365))</x:f>
        <x:v>#NAME?</x:v>
      </x:c>
      <x:c r="C356" s="152" t="e">
        <x:f>IF(OR(B355="",B356=""),"",B356/B355-1)</x:f>
        <x:v>#NAME?</x:v>
      </x:c>
      <x:c r="D356" s="152" t="e">
        <x:f>IF(B356="","",B356/MAX(B$5:B356)-1)</x:f>
        <x:v>#NAME?</x:v>
      </x:c>
      <x:c r="E356" s="146" t="e">
        <x:f>IF(OR('实盘净值数据(iFinD公式)'!$A356="",'实盘净值数据(iFinD公式)'!$B356=""),"",分期持仓明细!$AD$18*SUMPRODUCT(分期持仓明细!$B$18:$AA$18,'实盘净值数据(iFinD公式)'!$B356:$AA356/'实盘净值数据(iFinD公式)'!$B$20:$AA$20)*(1-实盘持仓初始配置!$Z$5)^(('实盘净值数据(iFinD公式)'!$A356-'实盘净值数据(iFinD公式)'!$A$5)/365))</x:f>
        <x:v>#NAME?</x:v>
      </x:c>
      <x:c r="F356" s="152" t="e">
        <x:f>IF(OR(E355="",E356=""),"",E356/E355-1)</x:f>
        <x:v>#NAME?</x:v>
      </x:c>
      <x:c r="G356" s="152" t="e">
        <x:f>IF(E356="","",E356/MAX(E$5:E356)-1)</x:f>
        <x:v>#NAME?</x:v>
      </x:c>
      <x:c r="H356" s="146" t="e">
        <x:f>IF(OR('实盘净值数据(iFinD公式)'!$A356="",'实盘净值数据(iFinD公式)'!$B356=""),"",分期持仓明细!$AD$19*SUMPRODUCT(分期持仓明细!$B$19:$AA$19,'实盘净值数据(iFinD公式)'!$B356:$AA356/'实盘净值数据(iFinD公式)'!$B$20:$AA$20)*(1-实盘持仓初始配置!$Z$6)^(('实盘净值数据(iFinD公式)'!$A356-'实盘净值数据(iFinD公式)'!$A$7)/365))</x:f>
        <x:v>#NAME?</x:v>
      </x:c>
      <x:c r="I356" s="152" t="e">
        <x:f>IF(OR(H355="",H356=""),"",H356/H355-1)</x:f>
        <x:v>#NAME?</x:v>
      </x:c>
      <x:c r="J356" s="152" t="e">
        <x:f>IF(H356="","",H356/MAX(H$5:H356)-1)</x:f>
        <x:v>#NAME?</x:v>
      </x:c>
      <x:c r="K356" s="146" t="e">
        <x:f>IF(OR('实盘净值数据(iFinD公式)'!$A356="",'实盘净值数据(iFinD公式)'!$B356=""),"",分期持仓明细!$AD$23*SUMPRODUCT(分期持仓明细!$B$23:$AA$23,'实盘净值数据(iFinD公式)'!$B356:$AA356/'实盘净值数据(iFinD公式)'!$B$65:$AA$65)*(1-实盘持仓初始配置!$Z$7)^(('实盘净值数据(iFinD公式)'!$A356-'实盘净值数据(iFinD公式)'!$A$8)/365))</x:f>
        <x:v>#NAME?</x:v>
      </x:c>
      <x:c r="L356" s="152" t="e">
        <x:f>IF(OR(K355="",K356=""),"",K356/K355-1)</x:f>
        <x:v>#NAME?</x:v>
      </x:c>
      <x:c r="M356" s="152" t="e">
        <x:f>IF(K356="","",K356/MAX(K$5:K356)-1)</x:f>
        <x:v>#NAME?</x:v>
      </x:c>
      <x:c r="N356" s="146" t="e">
        <x:f>IF(OR('实盘净值数据(iFinD公式)'!$A356="",'实盘净值数据(iFinD公式)'!$B356=""),"",分期持仓明细!$AD$24*SUMPRODUCT(分期持仓明细!$B$24:$AA$24,'实盘净值数据(iFinD公式)'!$B356:$AA356/'实盘净值数据(iFinD公式)'!$B$65:$AA$65)*(1-实盘持仓初始配置!$Z$8)^(('实盘净值数据(iFinD公式)'!$A356-'实盘净值数据(iFinD公式)'!$A$5)/365))</x:f>
        <x:v>#NAME?</x:v>
      </x:c>
      <x:c r="O356" s="152" t="e">
        <x:f>IF(OR(N355="",N356=""),"",N356/N355-1)</x:f>
        <x:v>#NAME?</x:v>
      </x:c>
      <x:c r="P356" s="152" t="e">
        <x:f>IF(N356="","",N356/MAX(N$5:N356)-1)</x:f>
        <x:v>#NAME?</x:v>
      </x:c>
      <x:c r="Q356" s="146" t="e">
        <x:f>IF(OR('实盘净值数据(iFinD公式)'!$A356="",'实盘净值数据(iFinD公式)'!$B356=""),"",分期持仓明细!$AD$25*SUMPRODUCT(分期持仓明细!$B$25:$AA$25,'实盘净值数据(iFinD公式)'!$B356:$AA356/'实盘净值数据(iFinD公式)'!$B$65:$AA$65)*(1-实盘持仓初始配置!$Z$9)^(('实盘净值数据(iFinD公式)'!$A356-'实盘净值数据(iFinD公式)'!$A$8)/365))</x:f>
        <x:v>#NAME?</x:v>
      </x:c>
      <x:c r="R356" s="152" t="e">
        <x:f>IF(OR(Q355="",Q356=""),"",Q356/Q355-1)</x:f>
        <x:v>#NAME?</x:v>
      </x:c>
      <x:c r="S356" s="152" t="e">
        <x:f>IF(Q356="","",Q356/MAX(Q$5:Q356)-1)</x:f>
        <x:v>#NAME?</x:v>
      </x:c>
    </x:row>
    <x:row r="357">
      <x:c r="A357" s="149" t="str">
        <x:f>IF('实盘净值数据(iFinD公式)'!A357="","",'实盘净值数据(iFinD公式)'!A357)</x:f>
      </x:c>
      <x:c r="B357" s="146" t="e">
        <x:f>IF(OR('实盘净值数据(iFinD公式)'!$A357="",'实盘净值数据(iFinD公式)'!$B357=""),"",分期持仓明细!$AD$17*SUMPRODUCT(分期持仓明细!$B$17:$AA$17,'实盘净值数据(iFinD公式)'!$B357:$AA357/'实盘净值数据(iFinD公式)'!$B$20:$AA$20)*(1-实盘持仓初始配置!$Z$4)^(('实盘净值数据(iFinD公式)'!$A357-'实盘净值数据(iFinD公式)'!$A$6)/365))</x:f>
        <x:v>#NAME?</x:v>
      </x:c>
      <x:c r="C357" s="152" t="e">
        <x:f>IF(OR(B356="",B357=""),"",B357/B356-1)</x:f>
        <x:v>#NAME?</x:v>
      </x:c>
      <x:c r="D357" s="152" t="e">
        <x:f>IF(B357="","",B357/MAX(B$5:B357)-1)</x:f>
        <x:v>#NAME?</x:v>
      </x:c>
      <x:c r="E357" s="146" t="e">
        <x:f>IF(OR('实盘净值数据(iFinD公式)'!$A357="",'实盘净值数据(iFinD公式)'!$B357=""),"",分期持仓明细!$AD$18*SUMPRODUCT(分期持仓明细!$B$18:$AA$18,'实盘净值数据(iFinD公式)'!$B357:$AA357/'实盘净值数据(iFinD公式)'!$B$20:$AA$20)*(1-实盘持仓初始配置!$Z$5)^(('实盘净值数据(iFinD公式)'!$A357-'实盘净值数据(iFinD公式)'!$A$5)/365))</x:f>
        <x:v>#NAME?</x:v>
      </x:c>
      <x:c r="F357" s="152" t="e">
        <x:f>IF(OR(E356="",E357=""),"",E357/E356-1)</x:f>
        <x:v>#NAME?</x:v>
      </x:c>
      <x:c r="G357" s="152" t="e">
        <x:f>IF(E357="","",E357/MAX(E$5:E357)-1)</x:f>
        <x:v>#NAME?</x:v>
      </x:c>
      <x:c r="H357" s="146" t="e">
        <x:f>IF(OR('实盘净值数据(iFinD公式)'!$A357="",'实盘净值数据(iFinD公式)'!$B357=""),"",分期持仓明细!$AD$19*SUMPRODUCT(分期持仓明细!$B$19:$AA$19,'实盘净值数据(iFinD公式)'!$B357:$AA357/'实盘净值数据(iFinD公式)'!$B$20:$AA$20)*(1-实盘持仓初始配置!$Z$6)^(('实盘净值数据(iFinD公式)'!$A357-'实盘净值数据(iFinD公式)'!$A$7)/365))</x:f>
        <x:v>#NAME?</x:v>
      </x:c>
      <x:c r="I357" s="152" t="e">
        <x:f>IF(OR(H356="",H357=""),"",H357/H356-1)</x:f>
        <x:v>#NAME?</x:v>
      </x:c>
      <x:c r="J357" s="152" t="e">
        <x:f>IF(H357="","",H357/MAX(H$5:H357)-1)</x:f>
        <x:v>#NAME?</x:v>
      </x:c>
      <x:c r="K357" s="146" t="e">
        <x:f>IF(OR('实盘净值数据(iFinD公式)'!$A357="",'实盘净值数据(iFinD公式)'!$B357=""),"",分期持仓明细!$AD$23*SUMPRODUCT(分期持仓明细!$B$23:$AA$23,'实盘净值数据(iFinD公式)'!$B357:$AA357/'实盘净值数据(iFinD公式)'!$B$65:$AA$65)*(1-实盘持仓初始配置!$Z$7)^(('实盘净值数据(iFinD公式)'!$A357-'实盘净值数据(iFinD公式)'!$A$8)/365))</x:f>
        <x:v>#NAME?</x:v>
      </x:c>
      <x:c r="L357" s="152" t="e">
        <x:f>IF(OR(K356="",K357=""),"",K357/K356-1)</x:f>
        <x:v>#NAME?</x:v>
      </x:c>
      <x:c r="M357" s="152" t="e">
        <x:f>IF(K357="","",K357/MAX(K$5:K357)-1)</x:f>
        <x:v>#NAME?</x:v>
      </x:c>
      <x:c r="N357" s="146" t="e">
        <x:f>IF(OR('实盘净值数据(iFinD公式)'!$A357="",'实盘净值数据(iFinD公式)'!$B357=""),"",分期持仓明细!$AD$24*SUMPRODUCT(分期持仓明细!$B$24:$AA$24,'实盘净值数据(iFinD公式)'!$B357:$AA357/'实盘净值数据(iFinD公式)'!$B$65:$AA$65)*(1-实盘持仓初始配置!$Z$8)^(('实盘净值数据(iFinD公式)'!$A357-'实盘净值数据(iFinD公式)'!$A$5)/365))</x:f>
        <x:v>#NAME?</x:v>
      </x:c>
      <x:c r="O357" s="152" t="e">
        <x:f>IF(OR(N356="",N357=""),"",N357/N356-1)</x:f>
        <x:v>#NAME?</x:v>
      </x:c>
      <x:c r="P357" s="152" t="e">
        <x:f>IF(N357="","",N357/MAX(N$5:N357)-1)</x:f>
        <x:v>#NAME?</x:v>
      </x:c>
      <x:c r="Q357" s="146" t="e">
        <x:f>IF(OR('实盘净值数据(iFinD公式)'!$A357="",'实盘净值数据(iFinD公式)'!$B357=""),"",分期持仓明细!$AD$25*SUMPRODUCT(分期持仓明细!$B$25:$AA$25,'实盘净值数据(iFinD公式)'!$B357:$AA357/'实盘净值数据(iFinD公式)'!$B$65:$AA$65)*(1-实盘持仓初始配置!$Z$9)^(('实盘净值数据(iFinD公式)'!$A357-'实盘净值数据(iFinD公式)'!$A$8)/365))</x:f>
        <x:v>#NAME?</x:v>
      </x:c>
      <x:c r="R357" s="152" t="e">
        <x:f>IF(OR(Q356="",Q357=""),"",Q357/Q356-1)</x:f>
        <x:v>#NAME?</x:v>
      </x:c>
      <x:c r="S357" s="152" t="e">
        <x:f>IF(Q357="","",Q357/MAX(Q$5:Q357)-1)</x:f>
        <x:v>#NAME?</x:v>
      </x:c>
    </x:row>
    <x:row r="358">
      <x:c r="A358" s="149" t="str">
        <x:f>IF('实盘净值数据(iFinD公式)'!A358="","",'实盘净值数据(iFinD公式)'!A358)</x:f>
      </x:c>
      <x:c r="B358" s="146" t="e">
        <x:f>IF(OR('实盘净值数据(iFinD公式)'!$A358="",'实盘净值数据(iFinD公式)'!$B358=""),"",分期持仓明细!$AD$17*SUMPRODUCT(分期持仓明细!$B$17:$AA$17,'实盘净值数据(iFinD公式)'!$B358:$AA358/'实盘净值数据(iFinD公式)'!$B$20:$AA$20)*(1-实盘持仓初始配置!$Z$4)^(('实盘净值数据(iFinD公式)'!$A358-'实盘净值数据(iFinD公式)'!$A$6)/365))</x:f>
        <x:v>#NAME?</x:v>
      </x:c>
      <x:c r="C358" s="152" t="e">
        <x:f>IF(OR(B357="",B358=""),"",B358/B357-1)</x:f>
        <x:v>#NAME?</x:v>
      </x:c>
      <x:c r="D358" s="152" t="e">
        <x:f>IF(B358="","",B358/MAX(B$5:B358)-1)</x:f>
        <x:v>#NAME?</x:v>
      </x:c>
      <x:c r="E358" s="146" t="e">
        <x:f>IF(OR('实盘净值数据(iFinD公式)'!$A358="",'实盘净值数据(iFinD公式)'!$B358=""),"",分期持仓明细!$AD$18*SUMPRODUCT(分期持仓明细!$B$18:$AA$18,'实盘净值数据(iFinD公式)'!$B358:$AA358/'实盘净值数据(iFinD公式)'!$B$20:$AA$20)*(1-实盘持仓初始配置!$Z$5)^(('实盘净值数据(iFinD公式)'!$A358-'实盘净值数据(iFinD公式)'!$A$5)/365))</x:f>
        <x:v>#NAME?</x:v>
      </x:c>
      <x:c r="F358" s="152" t="e">
        <x:f>IF(OR(E357="",E358=""),"",E358/E357-1)</x:f>
        <x:v>#NAME?</x:v>
      </x:c>
      <x:c r="G358" s="152" t="e">
        <x:f>IF(E358="","",E358/MAX(E$5:E358)-1)</x:f>
        <x:v>#NAME?</x:v>
      </x:c>
      <x:c r="H358" s="146" t="e">
        <x:f>IF(OR('实盘净值数据(iFinD公式)'!$A358="",'实盘净值数据(iFinD公式)'!$B358=""),"",分期持仓明细!$AD$19*SUMPRODUCT(分期持仓明细!$B$19:$AA$19,'实盘净值数据(iFinD公式)'!$B358:$AA358/'实盘净值数据(iFinD公式)'!$B$20:$AA$20)*(1-实盘持仓初始配置!$Z$6)^(('实盘净值数据(iFinD公式)'!$A358-'实盘净值数据(iFinD公式)'!$A$7)/365))</x:f>
        <x:v>#NAME?</x:v>
      </x:c>
      <x:c r="I358" s="152" t="e">
        <x:f>IF(OR(H357="",H358=""),"",H358/H357-1)</x:f>
        <x:v>#NAME?</x:v>
      </x:c>
      <x:c r="J358" s="152" t="e">
        <x:f>IF(H358="","",H358/MAX(H$5:H358)-1)</x:f>
        <x:v>#NAME?</x:v>
      </x:c>
      <x:c r="K358" s="146" t="e">
        <x:f>IF(OR('实盘净值数据(iFinD公式)'!$A358="",'实盘净值数据(iFinD公式)'!$B358=""),"",分期持仓明细!$AD$23*SUMPRODUCT(分期持仓明细!$B$23:$AA$23,'实盘净值数据(iFinD公式)'!$B358:$AA358/'实盘净值数据(iFinD公式)'!$B$65:$AA$65)*(1-实盘持仓初始配置!$Z$7)^(('实盘净值数据(iFinD公式)'!$A358-'实盘净值数据(iFinD公式)'!$A$8)/365))</x:f>
        <x:v>#NAME?</x:v>
      </x:c>
      <x:c r="L358" s="152" t="e">
        <x:f>IF(OR(K357="",K358=""),"",K358/K357-1)</x:f>
        <x:v>#NAME?</x:v>
      </x:c>
      <x:c r="M358" s="152" t="e">
        <x:f>IF(K358="","",K358/MAX(K$5:K358)-1)</x:f>
        <x:v>#NAME?</x:v>
      </x:c>
      <x:c r="N358" s="146" t="e">
        <x:f>IF(OR('实盘净值数据(iFinD公式)'!$A358="",'实盘净值数据(iFinD公式)'!$B358=""),"",分期持仓明细!$AD$24*SUMPRODUCT(分期持仓明细!$B$24:$AA$24,'实盘净值数据(iFinD公式)'!$B358:$AA358/'实盘净值数据(iFinD公式)'!$B$65:$AA$65)*(1-实盘持仓初始配置!$Z$8)^(('实盘净值数据(iFinD公式)'!$A358-'实盘净值数据(iFinD公式)'!$A$5)/365))</x:f>
        <x:v>#NAME?</x:v>
      </x:c>
      <x:c r="O358" s="152" t="e">
        <x:f>IF(OR(N357="",N358=""),"",N358/N357-1)</x:f>
        <x:v>#NAME?</x:v>
      </x:c>
      <x:c r="P358" s="152" t="e">
        <x:f>IF(N358="","",N358/MAX(N$5:N358)-1)</x:f>
        <x:v>#NAME?</x:v>
      </x:c>
      <x:c r="Q358" s="146" t="e">
        <x:f>IF(OR('实盘净值数据(iFinD公式)'!$A358="",'实盘净值数据(iFinD公式)'!$B358=""),"",分期持仓明细!$AD$25*SUMPRODUCT(分期持仓明细!$B$25:$AA$25,'实盘净值数据(iFinD公式)'!$B358:$AA358/'实盘净值数据(iFinD公式)'!$B$65:$AA$65)*(1-实盘持仓初始配置!$Z$9)^(('实盘净值数据(iFinD公式)'!$A358-'实盘净值数据(iFinD公式)'!$A$8)/365))</x:f>
        <x:v>#NAME?</x:v>
      </x:c>
      <x:c r="R358" s="152" t="e">
        <x:f>IF(OR(Q357="",Q358=""),"",Q358/Q357-1)</x:f>
        <x:v>#NAME?</x:v>
      </x:c>
      <x:c r="S358" s="152" t="e">
        <x:f>IF(Q358="","",Q358/MAX(Q$5:Q358)-1)</x:f>
        <x:v>#NAME?</x:v>
      </x:c>
    </x:row>
    <x:row r="359">
      <x:c r="A359" s="149" t="str">
        <x:f>IF('实盘净值数据(iFinD公式)'!A359="","",'实盘净值数据(iFinD公式)'!A359)</x:f>
      </x:c>
      <x:c r="B359" s="146" t="e">
        <x:f>IF(OR('实盘净值数据(iFinD公式)'!$A359="",'实盘净值数据(iFinD公式)'!$B359=""),"",分期持仓明细!$AD$17*SUMPRODUCT(分期持仓明细!$B$17:$AA$17,'实盘净值数据(iFinD公式)'!$B359:$AA359/'实盘净值数据(iFinD公式)'!$B$20:$AA$20)*(1-实盘持仓初始配置!$Z$4)^(('实盘净值数据(iFinD公式)'!$A359-'实盘净值数据(iFinD公式)'!$A$6)/365))</x:f>
        <x:v>#NAME?</x:v>
      </x:c>
      <x:c r="C359" s="152" t="e">
        <x:f>IF(OR(B358="",B359=""),"",B359/B358-1)</x:f>
        <x:v>#NAME?</x:v>
      </x:c>
      <x:c r="D359" s="152" t="e">
        <x:f>IF(B359="","",B359/MAX(B$5:B359)-1)</x:f>
        <x:v>#NAME?</x:v>
      </x:c>
      <x:c r="E359" s="146" t="e">
        <x:f>IF(OR('实盘净值数据(iFinD公式)'!$A359="",'实盘净值数据(iFinD公式)'!$B359=""),"",分期持仓明细!$AD$18*SUMPRODUCT(分期持仓明细!$B$18:$AA$18,'实盘净值数据(iFinD公式)'!$B359:$AA359/'实盘净值数据(iFinD公式)'!$B$20:$AA$20)*(1-实盘持仓初始配置!$Z$5)^(('实盘净值数据(iFinD公式)'!$A359-'实盘净值数据(iFinD公式)'!$A$5)/365))</x:f>
        <x:v>#NAME?</x:v>
      </x:c>
      <x:c r="F359" s="152" t="e">
        <x:f>IF(OR(E358="",E359=""),"",E359/E358-1)</x:f>
        <x:v>#NAME?</x:v>
      </x:c>
      <x:c r="G359" s="152" t="e">
        <x:f>IF(E359="","",E359/MAX(E$5:E359)-1)</x:f>
        <x:v>#NAME?</x:v>
      </x:c>
      <x:c r="H359" s="146" t="e">
        <x:f>IF(OR('实盘净值数据(iFinD公式)'!$A359="",'实盘净值数据(iFinD公式)'!$B359=""),"",分期持仓明细!$AD$19*SUMPRODUCT(分期持仓明细!$B$19:$AA$19,'实盘净值数据(iFinD公式)'!$B359:$AA359/'实盘净值数据(iFinD公式)'!$B$20:$AA$20)*(1-实盘持仓初始配置!$Z$6)^(('实盘净值数据(iFinD公式)'!$A359-'实盘净值数据(iFinD公式)'!$A$7)/365))</x:f>
        <x:v>#NAME?</x:v>
      </x:c>
      <x:c r="I359" s="152" t="e">
        <x:f>IF(OR(H358="",H359=""),"",H359/H358-1)</x:f>
        <x:v>#NAME?</x:v>
      </x:c>
      <x:c r="J359" s="152" t="e">
        <x:f>IF(H359="","",H359/MAX(H$5:H359)-1)</x:f>
        <x:v>#NAME?</x:v>
      </x:c>
      <x:c r="K359" s="146" t="e">
        <x:f>IF(OR('实盘净值数据(iFinD公式)'!$A359="",'实盘净值数据(iFinD公式)'!$B359=""),"",分期持仓明细!$AD$23*SUMPRODUCT(分期持仓明细!$B$23:$AA$23,'实盘净值数据(iFinD公式)'!$B359:$AA359/'实盘净值数据(iFinD公式)'!$B$65:$AA$65)*(1-实盘持仓初始配置!$Z$7)^(('实盘净值数据(iFinD公式)'!$A359-'实盘净值数据(iFinD公式)'!$A$8)/365))</x:f>
        <x:v>#NAME?</x:v>
      </x:c>
      <x:c r="L359" s="152" t="e">
        <x:f>IF(OR(K358="",K359=""),"",K359/K358-1)</x:f>
        <x:v>#NAME?</x:v>
      </x:c>
      <x:c r="M359" s="152" t="e">
        <x:f>IF(K359="","",K359/MAX(K$5:K359)-1)</x:f>
        <x:v>#NAME?</x:v>
      </x:c>
      <x:c r="N359" s="146" t="e">
        <x:f>IF(OR('实盘净值数据(iFinD公式)'!$A359="",'实盘净值数据(iFinD公式)'!$B359=""),"",分期持仓明细!$AD$24*SUMPRODUCT(分期持仓明细!$B$24:$AA$24,'实盘净值数据(iFinD公式)'!$B359:$AA359/'实盘净值数据(iFinD公式)'!$B$65:$AA$65)*(1-实盘持仓初始配置!$Z$8)^(('实盘净值数据(iFinD公式)'!$A359-'实盘净值数据(iFinD公式)'!$A$5)/365))</x:f>
        <x:v>#NAME?</x:v>
      </x:c>
      <x:c r="O359" s="152" t="e">
        <x:f>IF(OR(N358="",N359=""),"",N359/N358-1)</x:f>
        <x:v>#NAME?</x:v>
      </x:c>
      <x:c r="P359" s="152" t="e">
        <x:f>IF(N359="","",N359/MAX(N$5:N359)-1)</x:f>
        <x:v>#NAME?</x:v>
      </x:c>
      <x:c r="Q359" s="146" t="e">
        <x:f>IF(OR('实盘净值数据(iFinD公式)'!$A359="",'实盘净值数据(iFinD公式)'!$B359=""),"",分期持仓明细!$AD$25*SUMPRODUCT(分期持仓明细!$B$25:$AA$25,'实盘净值数据(iFinD公式)'!$B359:$AA359/'实盘净值数据(iFinD公式)'!$B$65:$AA$65)*(1-实盘持仓初始配置!$Z$9)^(('实盘净值数据(iFinD公式)'!$A359-'实盘净值数据(iFinD公式)'!$A$8)/365))</x:f>
        <x:v>#NAME?</x:v>
      </x:c>
      <x:c r="R359" s="152" t="e">
        <x:f>IF(OR(Q358="",Q359=""),"",Q359/Q358-1)</x:f>
        <x:v>#NAME?</x:v>
      </x:c>
      <x:c r="S359" s="152" t="e">
        <x:f>IF(Q359="","",Q359/MAX(Q$5:Q359)-1)</x:f>
        <x:v>#NAME?</x:v>
      </x:c>
    </x:row>
    <x:row r="360">
      <x:c r="A360" s="149" t="str">
        <x:f>IF('实盘净值数据(iFinD公式)'!A360="","",'实盘净值数据(iFinD公式)'!A360)</x:f>
      </x:c>
      <x:c r="B360" s="146" t="e">
        <x:f>IF(OR('实盘净值数据(iFinD公式)'!$A360="",'实盘净值数据(iFinD公式)'!$B360=""),"",分期持仓明细!$AD$17*SUMPRODUCT(分期持仓明细!$B$17:$AA$17,'实盘净值数据(iFinD公式)'!$B360:$AA360/'实盘净值数据(iFinD公式)'!$B$20:$AA$20)*(1-实盘持仓初始配置!$Z$4)^(('实盘净值数据(iFinD公式)'!$A360-'实盘净值数据(iFinD公式)'!$A$6)/365))</x:f>
        <x:v>#NAME?</x:v>
      </x:c>
      <x:c r="C360" s="152" t="e">
        <x:f>IF(OR(B359="",B360=""),"",B360/B359-1)</x:f>
        <x:v>#NAME?</x:v>
      </x:c>
      <x:c r="D360" s="152" t="e">
        <x:f>IF(B360="","",B360/MAX(B$5:B360)-1)</x:f>
        <x:v>#NAME?</x:v>
      </x:c>
      <x:c r="E360" s="146" t="e">
        <x:f>IF(OR('实盘净值数据(iFinD公式)'!$A360="",'实盘净值数据(iFinD公式)'!$B360=""),"",分期持仓明细!$AD$18*SUMPRODUCT(分期持仓明细!$B$18:$AA$18,'实盘净值数据(iFinD公式)'!$B360:$AA360/'实盘净值数据(iFinD公式)'!$B$20:$AA$20)*(1-实盘持仓初始配置!$Z$5)^(('实盘净值数据(iFinD公式)'!$A360-'实盘净值数据(iFinD公式)'!$A$5)/365))</x:f>
        <x:v>#NAME?</x:v>
      </x:c>
      <x:c r="F360" s="152" t="e">
        <x:f>IF(OR(E359="",E360=""),"",E360/E359-1)</x:f>
        <x:v>#NAME?</x:v>
      </x:c>
      <x:c r="G360" s="152" t="e">
        <x:f>IF(E360="","",E360/MAX(E$5:E360)-1)</x:f>
        <x:v>#NAME?</x:v>
      </x:c>
      <x:c r="H360" s="146" t="e">
        <x:f>IF(OR('实盘净值数据(iFinD公式)'!$A360="",'实盘净值数据(iFinD公式)'!$B360=""),"",分期持仓明细!$AD$19*SUMPRODUCT(分期持仓明细!$B$19:$AA$19,'实盘净值数据(iFinD公式)'!$B360:$AA360/'实盘净值数据(iFinD公式)'!$B$20:$AA$20)*(1-实盘持仓初始配置!$Z$6)^(('实盘净值数据(iFinD公式)'!$A360-'实盘净值数据(iFinD公式)'!$A$7)/365))</x:f>
        <x:v>#NAME?</x:v>
      </x:c>
      <x:c r="I360" s="152" t="e">
        <x:f>IF(OR(H359="",H360=""),"",H360/H359-1)</x:f>
        <x:v>#NAME?</x:v>
      </x:c>
      <x:c r="J360" s="152" t="e">
        <x:f>IF(H360="","",H360/MAX(H$5:H360)-1)</x:f>
        <x:v>#NAME?</x:v>
      </x:c>
      <x:c r="K360" s="146" t="e">
        <x:f>IF(OR('实盘净值数据(iFinD公式)'!$A360="",'实盘净值数据(iFinD公式)'!$B360=""),"",分期持仓明细!$AD$23*SUMPRODUCT(分期持仓明细!$B$23:$AA$23,'实盘净值数据(iFinD公式)'!$B360:$AA360/'实盘净值数据(iFinD公式)'!$B$65:$AA$65)*(1-实盘持仓初始配置!$Z$7)^(('实盘净值数据(iFinD公式)'!$A360-'实盘净值数据(iFinD公式)'!$A$8)/365))</x:f>
        <x:v>#NAME?</x:v>
      </x:c>
      <x:c r="L360" s="152" t="e">
        <x:f>IF(OR(K359="",K360=""),"",K360/K359-1)</x:f>
        <x:v>#NAME?</x:v>
      </x:c>
      <x:c r="M360" s="152" t="e">
        <x:f>IF(K360="","",K360/MAX(K$5:K360)-1)</x:f>
        <x:v>#NAME?</x:v>
      </x:c>
      <x:c r="N360" s="146" t="e">
        <x:f>IF(OR('实盘净值数据(iFinD公式)'!$A360="",'实盘净值数据(iFinD公式)'!$B360=""),"",分期持仓明细!$AD$24*SUMPRODUCT(分期持仓明细!$B$24:$AA$24,'实盘净值数据(iFinD公式)'!$B360:$AA360/'实盘净值数据(iFinD公式)'!$B$65:$AA$65)*(1-实盘持仓初始配置!$Z$8)^(('实盘净值数据(iFinD公式)'!$A360-'实盘净值数据(iFinD公式)'!$A$5)/365))</x:f>
        <x:v>#NAME?</x:v>
      </x:c>
      <x:c r="O360" s="152" t="e">
        <x:f>IF(OR(N359="",N360=""),"",N360/N359-1)</x:f>
        <x:v>#NAME?</x:v>
      </x:c>
      <x:c r="P360" s="152" t="e">
        <x:f>IF(N360="","",N360/MAX(N$5:N360)-1)</x:f>
        <x:v>#NAME?</x:v>
      </x:c>
      <x:c r="Q360" s="146" t="e">
        <x:f>IF(OR('实盘净值数据(iFinD公式)'!$A360="",'实盘净值数据(iFinD公式)'!$B360=""),"",分期持仓明细!$AD$25*SUMPRODUCT(分期持仓明细!$B$25:$AA$25,'实盘净值数据(iFinD公式)'!$B360:$AA360/'实盘净值数据(iFinD公式)'!$B$65:$AA$65)*(1-实盘持仓初始配置!$Z$9)^(('实盘净值数据(iFinD公式)'!$A360-'实盘净值数据(iFinD公式)'!$A$8)/365))</x:f>
        <x:v>#NAME?</x:v>
      </x:c>
      <x:c r="R360" s="152" t="e">
        <x:f>IF(OR(Q359="",Q360=""),"",Q360/Q359-1)</x:f>
        <x:v>#NAME?</x:v>
      </x:c>
      <x:c r="S360" s="152" t="e">
        <x:f>IF(Q360="","",Q360/MAX(Q$5:Q360)-1)</x:f>
        <x:v>#NAME?</x:v>
      </x:c>
    </x:row>
    <x:row r="361">
      <x:c r="A361" s="149" t="str">
        <x:f>IF('实盘净值数据(iFinD公式)'!A361="","",'实盘净值数据(iFinD公式)'!A361)</x:f>
      </x:c>
      <x:c r="B361" s="146" t="e">
        <x:f>IF(OR('实盘净值数据(iFinD公式)'!$A361="",'实盘净值数据(iFinD公式)'!$B361=""),"",分期持仓明细!$AD$17*SUMPRODUCT(分期持仓明细!$B$17:$AA$17,'实盘净值数据(iFinD公式)'!$B361:$AA361/'实盘净值数据(iFinD公式)'!$B$20:$AA$20)*(1-实盘持仓初始配置!$Z$4)^(('实盘净值数据(iFinD公式)'!$A361-'实盘净值数据(iFinD公式)'!$A$6)/365))</x:f>
        <x:v>#NAME?</x:v>
      </x:c>
      <x:c r="C361" s="152" t="e">
        <x:f>IF(OR(B360="",B361=""),"",B361/B360-1)</x:f>
        <x:v>#NAME?</x:v>
      </x:c>
      <x:c r="D361" s="152" t="e">
        <x:f>IF(B361="","",B361/MAX(B$5:B361)-1)</x:f>
        <x:v>#NAME?</x:v>
      </x:c>
      <x:c r="E361" s="146" t="e">
        <x:f>IF(OR('实盘净值数据(iFinD公式)'!$A361="",'实盘净值数据(iFinD公式)'!$B361=""),"",分期持仓明细!$AD$18*SUMPRODUCT(分期持仓明细!$B$18:$AA$18,'实盘净值数据(iFinD公式)'!$B361:$AA361/'实盘净值数据(iFinD公式)'!$B$20:$AA$20)*(1-实盘持仓初始配置!$Z$5)^(('实盘净值数据(iFinD公式)'!$A361-'实盘净值数据(iFinD公式)'!$A$5)/365))</x:f>
        <x:v>#NAME?</x:v>
      </x:c>
      <x:c r="F361" s="152" t="e">
        <x:f>IF(OR(E360="",E361=""),"",E361/E360-1)</x:f>
        <x:v>#NAME?</x:v>
      </x:c>
      <x:c r="G361" s="152" t="e">
        <x:f>IF(E361="","",E361/MAX(E$5:E361)-1)</x:f>
        <x:v>#NAME?</x:v>
      </x:c>
      <x:c r="H361" s="146" t="e">
        <x:f>IF(OR('实盘净值数据(iFinD公式)'!$A361="",'实盘净值数据(iFinD公式)'!$B361=""),"",分期持仓明细!$AD$19*SUMPRODUCT(分期持仓明细!$B$19:$AA$19,'实盘净值数据(iFinD公式)'!$B361:$AA361/'实盘净值数据(iFinD公式)'!$B$20:$AA$20)*(1-实盘持仓初始配置!$Z$6)^(('实盘净值数据(iFinD公式)'!$A361-'实盘净值数据(iFinD公式)'!$A$7)/365))</x:f>
        <x:v>#NAME?</x:v>
      </x:c>
      <x:c r="I361" s="152" t="e">
        <x:f>IF(OR(H360="",H361=""),"",H361/H360-1)</x:f>
        <x:v>#NAME?</x:v>
      </x:c>
      <x:c r="J361" s="152" t="e">
        <x:f>IF(H361="","",H361/MAX(H$5:H361)-1)</x:f>
        <x:v>#NAME?</x:v>
      </x:c>
      <x:c r="K361" s="146" t="e">
        <x:f>IF(OR('实盘净值数据(iFinD公式)'!$A361="",'实盘净值数据(iFinD公式)'!$B361=""),"",分期持仓明细!$AD$23*SUMPRODUCT(分期持仓明细!$B$23:$AA$23,'实盘净值数据(iFinD公式)'!$B361:$AA361/'实盘净值数据(iFinD公式)'!$B$65:$AA$65)*(1-实盘持仓初始配置!$Z$7)^(('实盘净值数据(iFinD公式)'!$A361-'实盘净值数据(iFinD公式)'!$A$8)/365))</x:f>
        <x:v>#NAME?</x:v>
      </x:c>
      <x:c r="L361" s="152" t="e">
        <x:f>IF(OR(K360="",K361=""),"",K361/K360-1)</x:f>
        <x:v>#NAME?</x:v>
      </x:c>
      <x:c r="M361" s="152" t="e">
        <x:f>IF(K361="","",K361/MAX(K$5:K361)-1)</x:f>
        <x:v>#NAME?</x:v>
      </x:c>
      <x:c r="N361" s="146" t="e">
        <x:f>IF(OR('实盘净值数据(iFinD公式)'!$A361="",'实盘净值数据(iFinD公式)'!$B361=""),"",分期持仓明细!$AD$24*SUMPRODUCT(分期持仓明细!$B$24:$AA$24,'实盘净值数据(iFinD公式)'!$B361:$AA361/'实盘净值数据(iFinD公式)'!$B$65:$AA$65)*(1-实盘持仓初始配置!$Z$8)^(('实盘净值数据(iFinD公式)'!$A361-'实盘净值数据(iFinD公式)'!$A$5)/365))</x:f>
        <x:v>#NAME?</x:v>
      </x:c>
      <x:c r="O361" s="152" t="e">
        <x:f>IF(OR(N360="",N361=""),"",N361/N360-1)</x:f>
        <x:v>#NAME?</x:v>
      </x:c>
      <x:c r="P361" s="152" t="e">
        <x:f>IF(N361="","",N361/MAX(N$5:N361)-1)</x:f>
        <x:v>#NAME?</x:v>
      </x:c>
      <x:c r="Q361" s="146" t="e">
        <x:f>IF(OR('实盘净值数据(iFinD公式)'!$A361="",'实盘净值数据(iFinD公式)'!$B361=""),"",分期持仓明细!$AD$25*SUMPRODUCT(分期持仓明细!$B$25:$AA$25,'实盘净值数据(iFinD公式)'!$B361:$AA361/'实盘净值数据(iFinD公式)'!$B$65:$AA$65)*(1-实盘持仓初始配置!$Z$9)^(('实盘净值数据(iFinD公式)'!$A361-'实盘净值数据(iFinD公式)'!$A$8)/365))</x:f>
        <x:v>#NAME?</x:v>
      </x:c>
      <x:c r="R361" s="152" t="e">
        <x:f>IF(OR(Q360="",Q361=""),"",Q361/Q360-1)</x:f>
        <x:v>#NAME?</x:v>
      </x:c>
      <x:c r="S361" s="152" t="e">
        <x:f>IF(Q361="","",Q361/MAX(Q$5:Q361)-1)</x:f>
        <x:v>#NAME?</x:v>
      </x:c>
    </x:row>
    <x:row r="362">
      <x:c r="A362" s="149" t="str">
        <x:f>IF('实盘净值数据(iFinD公式)'!A362="","",'实盘净值数据(iFinD公式)'!A362)</x:f>
      </x:c>
      <x:c r="B362" s="146" t="e">
        <x:f>IF(OR('实盘净值数据(iFinD公式)'!$A362="",'实盘净值数据(iFinD公式)'!$B362=""),"",分期持仓明细!$AD$17*SUMPRODUCT(分期持仓明细!$B$17:$AA$17,'实盘净值数据(iFinD公式)'!$B362:$AA362/'实盘净值数据(iFinD公式)'!$B$20:$AA$20)*(1-实盘持仓初始配置!$Z$4)^(('实盘净值数据(iFinD公式)'!$A362-'实盘净值数据(iFinD公式)'!$A$6)/365))</x:f>
        <x:v>#NAME?</x:v>
      </x:c>
      <x:c r="C362" s="152" t="e">
        <x:f>IF(OR(B361="",B362=""),"",B362/B361-1)</x:f>
        <x:v>#NAME?</x:v>
      </x:c>
      <x:c r="D362" s="152" t="e">
        <x:f>IF(B362="","",B362/MAX(B$5:B362)-1)</x:f>
        <x:v>#NAME?</x:v>
      </x:c>
      <x:c r="E362" s="146" t="e">
        <x:f>IF(OR('实盘净值数据(iFinD公式)'!$A362="",'实盘净值数据(iFinD公式)'!$B362=""),"",分期持仓明细!$AD$18*SUMPRODUCT(分期持仓明细!$B$18:$AA$18,'实盘净值数据(iFinD公式)'!$B362:$AA362/'实盘净值数据(iFinD公式)'!$B$20:$AA$20)*(1-实盘持仓初始配置!$Z$5)^(('实盘净值数据(iFinD公式)'!$A362-'实盘净值数据(iFinD公式)'!$A$5)/365))</x:f>
        <x:v>#NAME?</x:v>
      </x:c>
      <x:c r="F362" s="152" t="e">
        <x:f>IF(OR(E361="",E362=""),"",E362/E361-1)</x:f>
        <x:v>#NAME?</x:v>
      </x:c>
      <x:c r="G362" s="152" t="e">
        <x:f>IF(E362="","",E362/MAX(E$5:E362)-1)</x:f>
        <x:v>#NAME?</x:v>
      </x:c>
      <x:c r="H362" s="146" t="e">
        <x:f>IF(OR('实盘净值数据(iFinD公式)'!$A362="",'实盘净值数据(iFinD公式)'!$B362=""),"",分期持仓明细!$AD$19*SUMPRODUCT(分期持仓明细!$B$19:$AA$19,'实盘净值数据(iFinD公式)'!$B362:$AA362/'实盘净值数据(iFinD公式)'!$B$20:$AA$20)*(1-实盘持仓初始配置!$Z$6)^(('实盘净值数据(iFinD公式)'!$A362-'实盘净值数据(iFinD公式)'!$A$7)/365))</x:f>
        <x:v>#NAME?</x:v>
      </x:c>
      <x:c r="I362" s="152" t="e">
        <x:f>IF(OR(H361="",H362=""),"",H362/H361-1)</x:f>
        <x:v>#NAME?</x:v>
      </x:c>
      <x:c r="J362" s="152" t="e">
        <x:f>IF(H362="","",H362/MAX(H$5:H362)-1)</x:f>
        <x:v>#NAME?</x:v>
      </x:c>
      <x:c r="K362" s="146" t="e">
        <x:f>IF(OR('实盘净值数据(iFinD公式)'!$A362="",'实盘净值数据(iFinD公式)'!$B362=""),"",分期持仓明细!$AD$23*SUMPRODUCT(分期持仓明细!$B$23:$AA$23,'实盘净值数据(iFinD公式)'!$B362:$AA362/'实盘净值数据(iFinD公式)'!$B$65:$AA$65)*(1-实盘持仓初始配置!$Z$7)^(('实盘净值数据(iFinD公式)'!$A362-'实盘净值数据(iFinD公式)'!$A$8)/365))</x:f>
        <x:v>#NAME?</x:v>
      </x:c>
      <x:c r="L362" s="152" t="e">
        <x:f>IF(OR(K361="",K362=""),"",K362/K361-1)</x:f>
        <x:v>#NAME?</x:v>
      </x:c>
      <x:c r="M362" s="152" t="e">
        <x:f>IF(K362="","",K362/MAX(K$5:K362)-1)</x:f>
        <x:v>#NAME?</x:v>
      </x:c>
      <x:c r="N362" s="146" t="e">
        <x:f>IF(OR('实盘净值数据(iFinD公式)'!$A362="",'实盘净值数据(iFinD公式)'!$B362=""),"",分期持仓明细!$AD$24*SUMPRODUCT(分期持仓明细!$B$24:$AA$24,'实盘净值数据(iFinD公式)'!$B362:$AA362/'实盘净值数据(iFinD公式)'!$B$65:$AA$65)*(1-实盘持仓初始配置!$Z$8)^(('实盘净值数据(iFinD公式)'!$A362-'实盘净值数据(iFinD公式)'!$A$5)/365))</x:f>
        <x:v>#NAME?</x:v>
      </x:c>
      <x:c r="O362" s="152" t="e">
        <x:f>IF(OR(N361="",N362=""),"",N362/N361-1)</x:f>
        <x:v>#NAME?</x:v>
      </x:c>
      <x:c r="P362" s="152" t="e">
        <x:f>IF(N362="","",N362/MAX(N$5:N362)-1)</x:f>
        <x:v>#NAME?</x:v>
      </x:c>
      <x:c r="Q362" s="146" t="e">
        <x:f>IF(OR('实盘净值数据(iFinD公式)'!$A362="",'实盘净值数据(iFinD公式)'!$B362=""),"",分期持仓明细!$AD$25*SUMPRODUCT(分期持仓明细!$B$25:$AA$25,'实盘净值数据(iFinD公式)'!$B362:$AA362/'实盘净值数据(iFinD公式)'!$B$65:$AA$65)*(1-实盘持仓初始配置!$Z$9)^(('实盘净值数据(iFinD公式)'!$A362-'实盘净值数据(iFinD公式)'!$A$8)/365))</x:f>
        <x:v>#NAME?</x:v>
      </x:c>
      <x:c r="R362" s="152" t="e">
        <x:f>IF(OR(Q361="",Q362=""),"",Q362/Q361-1)</x:f>
        <x:v>#NAME?</x:v>
      </x:c>
      <x:c r="S362" s="152" t="e">
        <x:f>IF(Q362="","",Q362/MAX(Q$5:Q362)-1)</x:f>
        <x:v>#NAME?</x:v>
      </x:c>
    </x:row>
    <x:row r="363">
      <x:c r="A363" s="149" t="str">
        <x:f>IF('实盘净值数据(iFinD公式)'!A363="","",'实盘净值数据(iFinD公式)'!A363)</x:f>
      </x:c>
      <x:c r="B363" s="146" t="e">
        <x:f>IF(OR('实盘净值数据(iFinD公式)'!$A363="",'实盘净值数据(iFinD公式)'!$B363=""),"",分期持仓明细!$AD$17*SUMPRODUCT(分期持仓明细!$B$17:$AA$17,'实盘净值数据(iFinD公式)'!$B363:$AA363/'实盘净值数据(iFinD公式)'!$B$20:$AA$20)*(1-实盘持仓初始配置!$Z$4)^(('实盘净值数据(iFinD公式)'!$A363-'实盘净值数据(iFinD公式)'!$A$6)/365))</x:f>
        <x:v>#NAME?</x:v>
      </x:c>
      <x:c r="C363" s="152" t="e">
        <x:f>IF(OR(B362="",B363=""),"",B363/B362-1)</x:f>
        <x:v>#NAME?</x:v>
      </x:c>
      <x:c r="D363" s="152" t="e">
        <x:f>IF(B363="","",B363/MAX(B$5:B363)-1)</x:f>
        <x:v>#NAME?</x:v>
      </x:c>
      <x:c r="E363" s="146" t="e">
        <x:f>IF(OR('实盘净值数据(iFinD公式)'!$A363="",'实盘净值数据(iFinD公式)'!$B363=""),"",分期持仓明细!$AD$18*SUMPRODUCT(分期持仓明细!$B$18:$AA$18,'实盘净值数据(iFinD公式)'!$B363:$AA363/'实盘净值数据(iFinD公式)'!$B$20:$AA$20)*(1-实盘持仓初始配置!$Z$5)^(('实盘净值数据(iFinD公式)'!$A363-'实盘净值数据(iFinD公式)'!$A$5)/365))</x:f>
        <x:v>#NAME?</x:v>
      </x:c>
      <x:c r="F363" s="152" t="e">
        <x:f>IF(OR(E362="",E363=""),"",E363/E362-1)</x:f>
        <x:v>#NAME?</x:v>
      </x:c>
      <x:c r="G363" s="152" t="e">
        <x:f>IF(E363="","",E363/MAX(E$5:E363)-1)</x:f>
        <x:v>#NAME?</x:v>
      </x:c>
      <x:c r="H363" s="146" t="e">
        <x:f>IF(OR('实盘净值数据(iFinD公式)'!$A363="",'实盘净值数据(iFinD公式)'!$B363=""),"",分期持仓明细!$AD$19*SUMPRODUCT(分期持仓明细!$B$19:$AA$19,'实盘净值数据(iFinD公式)'!$B363:$AA363/'实盘净值数据(iFinD公式)'!$B$20:$AA$20)*(1-实盘持仓初始配置!$Z$6)^(('实盘净值数据(iFinD公式)'!$A363-'实盘净值数据(iFinD公式)'!$A$7)/365))</x:f>
        <x:v>#NAME?</x:v>
      </x:c>
      <x:c r="I363" s="152" t="e">
        <x:f>IF(OR(H362="",H363=""),"",H363/H362-1)</x:f>
        <x:v>#NAME?</x:v>
      </x:c>
      <x:c r="J363" s="152" t="e">
        <x:f>IF(H363="","",H363/MAX(H$5:H363)-1)</x:f>
        <x:v>#NAME?</x:v>
      </x:c>
      <x:c r="K363" s="146" t="e">
        <x:f>IF(OR('实盘净值数据(iFinD公式)'!$A363="",'实盘净值数据(iFinD公式)'!$B363=""),"",分期持仓明细!$AD$23*SUMPRODUCT(分期持仓明细!$B$23:$AA$23,'实盘净值数据(iFinD公式)'!$B363:$AA363/'实盘净值数据(iFinD公式)'!$B$65:$AA$65)*(1-实盘持仓初始配置!$Z$7)^(('实盘净值数据(iFinD公式)'!$A363-'实盘净值数据(iFinD公式)'!$A$8)/365))</x:f>
        <x:v>#NAME?</x:v>
      </x:c>
      <x:c r="L363" s="152" t="e">
        <x:f>IF(OR(K362="",K363=""),"",K363/K362-1)</x:f>
        <x:v>#NAME?</x:v>
      </x:c>
      <x:c r="M363" s="152" t="e">
        <x:f>IF(K363="","",K363/MAX(K$5:K363)-1)</x:f>
        <x:v>#NAME?</x:v>
      </x:c>
      <x:c r="N363" s="146" t="e">
        <x:f>IF(OR('实盘净值数据(iFinD公式)'!$A363="",'实盘净值数据(iFinD公式)'!$B363=""),"",分期持仓明细!$AD$24*SUMPRODUCT(分期持仓明细!$B$24:$AA$24,'实盘净值数据(iFinD公式)'!$B363:$AA363/'实盘净值数据(iFinD公式)'!$B$65:$AA$65)*(1-实盘持仓初始配置!$Z$8)^(('实盘净值数据(iFinD公式)'!$A363-'实盘净值数据(iFinD公式)'!$A$5)/365))</x:f>
        <x:v>#NAME?</x:v>
      </x:c>
      <x:c r="O363" s="152" t="e">
        <x:f>IF(OR(N362="",N363=""),"",N363/N362-1)</x:f>
        <x:v>#NAME?</x:v>
      </x:c>
      <x:c r="P363" s="152" t="e">
        <x:f>IF(N363="","",N363/MAX(N$5:N363)-1)</x:f>
        <x:v>#NAME?</x:v>
      </x:c>
      <x:c r="Q363" s="146" t="e">
        <x:f>IF(OR('实盘净值数据(iFinD公式)'!$A363="",'实盘净值数据(iFinD公式)'!$B363=""),"",分期持仓明细!$AD$25*SUMPRODUCT(分期持仓明细!$B$25:$AA$25,'实盘净值数据(iFinD公式)'!$B363:$AA363/'实盘净值数据(iFinD公式)'!$B$65:$AA$65)*(1-实盘持仓初始配置!$Z$9)^(('实盘净值数据(iFinD公式)'!$A363-'实盘净值数据(iFinD公式)'!$A$8)/365))</x:f>
        <x:v>#NAME?</x:v>
      </x:c>
      <x:c r="R363" s="152" t="e">
        <x:f>IF(OR(Q362="",Q363=""),"",Q363/Q362-1)</x:f>
        <x:v>#NAME?</x:v>
      </x:c>
      <x:c r="S363" s="152" t="e">
        <x:f>IF(Q363="","",Q363/MAX(Q$5:Q363)-1)</x:f>
        <x:v>#NAME?</x:v>
      </x:c>
    </x:row>
    <x:row r="364">
      <x:c r="A364" s="149" t="str">
        <x:f>IF('实盘净值数据(iFinD公式)'!A364="","",'实盘净值数据(iFinD公式)'!A364)</x:f>
      </x:c>
      <x:c r="B364" s="146" t="e">
        <x:f>IF(OR('实盘净值数据(iFinD公式)'!$A364="",'实盘净值数据(iFinD公式)'!$B364=""),"",分期持仓明细!$AD$17*SUMPRODUCT(分期持仓明细!$B$17:$AA$17,'实盘净值数据(iFinD公式)'!$B364:$AA364/'实盘净值数据(iFinD公式)'!$B$20:$AA$20)*(1-实盘持仓初始配置!$Z$4)^(('实盘净值数据(iFinD公式)'!$A364-'实盘净值数据(iFinD公式)'!$A$6)/365))</x:f>
        <x:v>#NAME?</x:v>
      </x:c>
      <x:c r="C364" s="152" t="e">
        <x:f>IF(OR(B363="",B364=""),"",B364/B363-1)</x:f>
        <x:v>#NAME?</x:v>
      </x:c>
      <x:c r="D364" s="152" t="e">
        <x:f>IF(B364="","",B364/MAX(B$5:B364)-1)</x:f>
        <x:v>#NAME?</x:v>
      </x:c>
      <x:c r="E364" s="146" t="e">
        <x:f>IF(OR('实盘净值数据(iFinD公式)'!$A364="",'实盘净值数据(iFinD公式)'!$B364=""),"",分期持仓明细!$AD$18*SUMPRODUCT(分期持仓明细!$B$18:$AA$18,'实盘净值数据(iFinD公式)'!$B364:$AA364/'实盘净值数据(iFinD公式)'!$B$20:$AA$20)*(1-实盘持仓初始配置!$Z$5)^(('实盘净值数据(iFinD公式)'!$A364-'实盘净值数据(iFinD公式)'!$A$5)/365))</x:f>
        <x:v>#NAME?</x:v>
      </x:c>
      <x:c r="F364" s="152" t="e">
        <x:f>IF(OR(E363="",E364=""),"",E364/E363-1)</x:f>
        <x:v>#NAME?</x:v>
      </x:c>
      <x:c r="G364" s="152" t="e">
        <x:f>IF(E364="","",E364/MAX(E$5:E364)-1)</x:f>
        <x:v>#NAME?</x:v>
      </x:c>
      <x:c r="H364" s="146" t="e">
        <x:f>IF(OR('实盘净值数据(iFinD公式)'!$A364="",'实盘净值数据(iFinD公式)'!$B364=""),"",分期持仓明细!$AD$19*SUMPRODUCT(分期持仓明细!$B$19:$AA$19,'实盘净值数据(iFinD公式)'!$B364:$AA364/'实盘净值数据(iFinD公式)'!$B$20:$AA$20)*(1-实盘持仓初始配置!$Z$6)^(('实盘净值数据(iFinD公式)'!$A364-'实盘净值数据(iFinD公式)'!$A$7)/365))</x:f>
        <x:v>#NAME?</x:v>
      </x:c>
      <x:c r="I364" s="152" t="e">
        <x:f>IF(OR(H363="",H364=""),"",H364/H363-1)</x:f>
        <x:v>#NAME?</x:v>
      </x:c>
      <x:c r="J364" s="152" t="e">
        <x:f>IF(H364="","",H364/MAX(H$5:H364)-1)</x:f>
        <x:v>#NAME?</x:v>
      </x:c>
      <x:c r="K364" s="146" t="e">
        <x:f>IF(OR('实盘净值数据(iFinD公式)'!$A364="",'实盘净值数据(iFinD公式)'!$B364=""),"",分期持仓明细!$AD$23*SUMPRODUCT(分期持仓明细!$B$23:$AA$23,'实盘净值数据(iFinD公式)'!$B364:$AA364/'实盘净值数据(iFinD公式)'!$B$65:$AA$65)*(1-实盘持仓初始配置!$Z$7)^(('实盘净值数据(iFinD公式)'!$A364-'实盘净值数据(iFinD公式)'!$A$8)/365))</x:f>
        <x:v>#NAME?</x:v>
      </x:c>
      <x:c r="L364" s="152" t="e">
        <x:f>IF(OR(K363="",K364=""),"",K364/K363-1)</x:f>
        <x:v>#NAME?</x:v>
      </x:c>
      <x:c r="M364" s="152" t="e">
        <x:f>IF(K364="","",K364/MAX(K$5:K364)-1)</x:f>
        <x:v>#NAME?</x:v>
      </x:c>
      <x:c r="N364" s="146" t="e">
        <x:f>IF(OR('实盘净值数据(iFinD公式)'!$A364="",'实盘净值数据(iFinD公式)'!$B364=""),"",分期持仓明细!$AD$24*SUMPRODUCT(分期持仓明细!$B$24:$AA$24,'实盘净值数据(iFinD公式)'!$B364:$AA364/'实盘净值数据(iFinD公式)'!$B$65:$AA$65)*(1-实盘持仓初始配置!$Z$8)^(('实盘净值数据(iFinD公式)'!$A364-'实盘净值数据(iFinD公式)'!$A$5)/365))</x:f>
        <x:v>#NAME?</x:v>
      </x:c>
      <x:c r="O364" s="152" t="e">
        <x:f>IF(OR(N363="",N364=""),"",N364/N363-1)</x:f>
        <x:v>#NAME?</x:v>
      </x:c>
      <x:c r="P364" s="152" t="e">
        <x:f>IF(N364="","",N364/MAX(N$5:N364)-1)</x:f>
        <x:v>#NAME?</x:v>
      </x:c>
      <x:c r="Q364" s="146" t="e">
        <x:f>IF(OR('实盘净值数据(iFinD公式)'!$A364="",'实盘净值数据(iFinD公式)'!$B364=""),"",分期持仓明细!$AD$25*SUMPRODUCT(分期持仓明细!$B$25:$AA$25,'实盘净值数据(iFinD公式)'!$B364:$AA364/'实盘净值数据(iFinD公式)'!$B$65:$AA$65)*(1-实盘持仓初始配置!$Z$9)^(('实盘净值数据(iFinD公式)'!$A364-'实盘净值数据(iFinD公式)'!$A$8)/365))</x:f>
        <x:v>#NAME?</x:v>
      </x:c>
      <x:c r="R364" s="152" t="e">
        <x:f>IF(OR(Q363="",Q364=""),"",Q364/Q363-1)</x:f>
        <x:v>#NAME?</x:v>
      </x:c>
      <x:c r="S364" s="152" t="e">
        <x:f>IF(Q364="","",Q364/MAX(Q$5:Q364)-1)</x:f>
        <x:v>#NAME?</x:v>
      </x:c>
    </x:row>
    <x:row r="365">
      <x:c r="A365" s="149" t="str">
        <x:f>IF('实盘净值数据(iFinD公式)'!A365="","",'实盘净值数据(iFinD公式)'!A365)</x:f>
      </x:c>
      <x:c r="B365" s="146" t="e">
        <x:f>IF(OR('实盘净值数据(iFinD公式)'!$A365="",'实盘净值数据(iFinD公式)'!$B365=""),"",分期持仓明细!$AD$17*SUMPRODUCT(分期持仓明细!$B$17:$AA$17,'实盘净值数据(iFinD公式)'!$B365:$AA365/'实盘净值数据(iFinD公式)'!$B$20:$AA$20)*(1-实盘持仓初始配置!$Z$4)^(('实盘净值数据(iFinD公式)'!$A365-'实盘净值数据(iFinD公式)'!$A$6)/365))</x:f>
        <x:v>#NAME?</x:v>
      </x:c>
      <x:c r="C365" s="152" t="e">
        <x:f>IF(OR(B364="",B365=""),"",B365/B364-1)</x:f>
        <x:v>#NAME?</x:v>
      </x:c>
      <x:c r="D365" s="152" t="e">
        <x:f>IF(B365="","",B365/MAX(B$5:B365)-1)</x:f>
        <x:v>#NAME?</x:v>
      </x:c>
      <x:c r="E365" s="146" t="e">
        <x:f>IF(OR('实盘净值数据(iFinD公式)'!$A365="",'实盘净值数据(iFinD公式)'!$B365=""),"",分期持仓明细!$AD$18*SUMPRODUCT(分期持仓明细!$B$18:$AA$18,'实盘净值数据(iFinD公式)'!$B365:$AA365/'实盘净值数据(iFinD公式)'!$B$20:$AA$20)*(1-实盘持仓初始配置!$Z$5)^(('实盘净值数据(iFinD公式)'!$A365-'实盘净值数据(iFinD公式)'!$A$5)/365))</x:f>
        <x:v>#NAME?</x:v>
      </x:c>
      <x:c r="F365" s="152" t="e">
        <x:f>IF(OR(E364="",E365=""),"",E365/E364-1)</x:f>
        <x:v>#NAME?</x:v>
      </x:c>
      <x:c r="G365" s="152" t="e">
        <x:f>IF(E365="","",E365/MAX(E$5:E365)-1)</x:f>
        <x:v>#NAME?</x:v>
      </x:c>
      <x:c r="H365" s="146" t="e">
        <x:f>IF(OR('实盘净值数据(iFinD公式)'!$A365="",'实盘净值数据(iFinD公式)'!$B365=""),"",分期持仓明细!$AD$19*SUMPRODUCT(分期持仓明细!$B$19:$AA$19,'实盘净值数据(iFinD公式)'!$B365:$AA365/'实盘净值数据(iFinD公式)'!$B$20:$AA$20)*(1-实盘持仓初始配置!$Z$6)^(('实盘净值数据(iFinD公式)'!$A365-'实盘净值数据(iFinD公式)'!$A$7)/365))</x:f>
        <x:v>#NAME?</x:v>
      </x:c>
      <x:c r="I365" s="152" t="e">
        <x:f>IF(OR(H364="",H365=""),"",H365/H364-1)</x:f>
        <x:v>#NAME?</x:v>
      </x:c>
      <x:c r="J365" s="152" t="e">
        <x:f>IF(H365="","",H365/MAX(H$5:H365)-1)</x:f>
        <x:v>#NAME?</x:v>
      </x:c>
      <x:c r="K365" s="146" t="e">
        <x:f>IF(OR('实盘净值数据(iFinD公式)'!$A365="",'实盘净值数据(iFinD公式)'!$B365=""),"",分期持仓明细!$AD$23*SUMPRODUCT(分期持仓明细!$B$23:$AA$23,'实盘净值数据(iFinD公式)'!$B365:$AA365/'实盘净值数据(iFinD公式)'!$B$65:$AA$65)*(1-实盘持仓初始配置!$Z$7)^(('实盘净值数据(iFinD公式)'!$A365-'实盘净值数据(iFinD公式)'!$A$8)/365))</x:f>
        <x:v>#NAME?</x:v>
      </x:c>
      <x:c r="L365" s="152" t="e">
        <x:f>IF(OR(K364="",K365=""),"",K365/K364-1)</x:f>
        <x:v>#NAME?</x:v>
      </x:c>
      <x:c r="M365" s="152" t="e">
        <x:f>IF(K365="","",K365/MAX(K$5:K365)-1)</x:f>
        <x:v>#NAME?</x:v>
      </x:c>
      <x:c r="N365" s="146" t="e">
        <x:f>IF(OR('实盘净值数据(iFinD公式)'!$A365="",'实盘净值数据(iFinD公式)'!$B365=""),"",分期持仓明细!$AD$24*SUMPRODUCT(分期持仓明细!$B$24:$AA$24,'实盘净值数据(iFinD公式)'!$B365:$AA365/'实盘净值数据(iFinD公式)'!$B$65:$AA$65)*(1-实盘持仓初始配置!$Z$8)^(('实盘净值数据(iFinD公式)'!$A365-'实盘净值数据(iFinD公式)'!$A$5)/365))</x:f>
        <x:v>#NAME?</x:v>
      </x:c>
      <x:c r="O365" s="152" t="e">
        <x:f>IF(OR(N364="",N365=""),"",N365/N364-1)</x:f>
        <x:v>#NAME?</x:v>
      </x:c>
      <x:c r="P365" s="152" t="e">
        <x:f>IF(N365="","",N365/MAX(N$5:N365)-1)</x:f>
        <x:v>#NAME?</x:v>
      </x:c>
      <x:c r="Q365" s="146" t="e">
        <x:f>IF(OR('实盘净值数据(iFinD公式)'!$A365="",'实盘净值数据(iFinD公式)'!$B365=""),"",分期持仓明细!$AD$25*SUMPRODUCT(分期持仓明细!$B$25:$AA$25,'实盘净值数据(iFinD公式)'!$B365:$AA365/'实盘净值数据(iFinD公式)'!$B$65:$AA$65)*(1-实盘持仓初始配置!$Z$9)^(('实盘净值数据(iFinD公式)'!$A365-'实盘净值数据(iFinD公式)'!$A$8)/365))</x:f>
        <x:v>#NAME?</x:v>
      </x:c>
      <x:c r="R365" s="152" t="e">
        <x:f>IF(OR(Q364="",Q365=""),"",Q365/Q364-1)</x:f>
        <x:v>#NAME?</x:v>
      </x:c>
      <x:c r="S365" s="152" t="e">
        <x:f>IF(Q365="","",Q365/MAX(Q$5:Q365)-1)</x:f>
        <x:v>#NAME?</x:v>
      </x:c>
    </x:row>
    <x:row r="366">
      <x:c r="A366" s="149" t="str">
        <x:f>IF('实盘净值数据(iFinD公式)'!A366="","",'实盘净值数据(iFinD公式)'!A366)</x:f>
      </x:c>
      <x:c r="B366" s="146" t="e">
        <x:f>IF(OR('实盘净值数据(iFinD公式)'!$A366="",'实盘净值数据(iFinD公式)'!$B366=""),"",分期持仓明细!$AD$17*SUMPRODUCT(分期持仓明细!$B$17:$AA$17,'实盘净值数据(iFinD公式)'!$B366:$AA366/'实盘净值数据(iFinD公式)'!$B$20:$AA$20)*(1-实盘持仓初始配置!$Z$4)^(('实盘净值数据(iFinD公式)'!$A366-'实盘净值数据(iFinD公式)'!$A$6)/365))</x:f>
        <x:v>#NAME?</x:v>
      </x:c>
      <x:c r="C366" s="152" t="e">
        <x:f>IF(OR(B365="",B366=""),"",B366/B365-1)</x:f>
        <x:v>#NAME?</x:v>
      </x:c>
      <x:c r="D366" s="152" t="e">
        <x:f>IF(B366="","",B366/MAX(B$5:B366)-1)</x:f>
        <x:v>#NAME?</x:v>
      </x:c>
      <x:c r="E366" s="146" t="e">
        <x:f>IF(OR('实盘净值数据(iFinD公式)'!$A366="",'实盘净值数据(iFinD公式)'!$B366=""),"",分期持仓明细!$AD$18*SUMPRODUCT(分期持仓明细!$B$18:$AA$18,'实盘净值数据(iFinD公式)'!$B366:$AA366/'实盘净值数据(iFinD公式)'!$B$20:$AA$20)*(1-实盘持仓初始配置!$Z$5)^(('实盘净值数据(iFinD公式)'!$A366-'实盘净值数据(iFinD公式)'!$A$5)/365))</x:f>
        <x:v>#NAME?</x:v>
      </x:c>
      <x:c r="F366" s="152" t="e">
        <x:f>IF(OR(E365="",E366=""),"",E366/E365-1)</x:f>
        <x:v>#NAME?</x:v>
      </x:c>
      <x:c r="G366" s="152" t="e">
        <x:f>IF(E366="","",E366/MAX(E$5:E366)-1)</x:f>
        <x:v>#NAME?</x:v>
      </x:c>
      <x:c r="H366" s="146" t="e">
        <x:f>IF(OR('实盘净值数据(iFinD公式)'!$A366="",'实盘净值数据(iFinD公式)'!$B366=""),"",分期持仓明细!$AD$19*SUMPRODUCT(分期持仓明细!$B$19:$AA$19,'实盘净值数据(iFinD公式)'!$B366:$AA366/'实盘净值数据(iFinD公式)'!$B$20:$AA$20)*(1-实盘持仓初始配置!$Z$6)^(('实盘净值数据(iFinD公式)'!$A366-'实盘净值数据(iFinD公式)'!$A$7)/365))</x:f>
        <x:v>#NAME?</x:v>
      </x:c>
      <x:c r="I366" s="152" t="e">
        <x:f>IF(OR(H365="",H366=""),"",H366/H365-1)</x:f>
        <x:v>#NAME?</x:v>
      </x:c>
      <x:c r="J366" s="152" t="e">
        <x:f>IF(H366="","",H366/MAX(H$5:H366)-1)</x:f>
        <x:v>#NAME?</x:v>
      </x:c>
      <x:c r="K366" s="146" t="e">
        <x:f>IF(OR('实盘净值数据(iFinD公式)'!$A366="",'实盘净值数据(iFinD公式)'!$B366=""),"",分期持仓明细!$AD$23*SUMPRODUCT(分期持仓明细!$B$23:$AA$23,'实盘净值数据(iFinD公式)'!$B366:$AA366/'实盘净值数据(iFinD公式)'!$B$65:$AA$65)*(1-实盘持仓初始配置!$Z$7)^(('实盘净值数据(iFinD公式)'!$A366-'实盘净值数据(iFinD公式)'!$A$8)/365))</x:f>
        <x:v>#NAME?</x:v>
      </x:c>
      <x:c r="L366" s="152" t="e">
        <x:f>IF(OR(K365="",K366=""),"",K366/K365-1)</x:f>
        <x:v>#NAME?</x:v>
      </x:c>
      <x:c r="M366" s="152" t="e">
        <x:f>IF(K366="","",K366/MAX(K$5:K366)-1)</x:f>
        <x:v>#NAME?</x:v>
      </x:c>
      <x:c r="N366" s="146" t="e">
        <x:f>IF(OR('实盘净值数据(iFinD公式)'!$A366="",'实盘净值数据(iFinD公式)'!$B366=""),"",分期持仓明细!$AD$24*SUMPRODUCT(分期持仓明细!$B$24:$AA$24,'实盘净值数据(iFinD公式)'!$B366:$AA366/'实盘净值数据(iFinD公式)'!$B$65:$AA$65)*(1-实盘持仓初始配置!$Z$8)^(('实盘净值数据(iFinD公式)'!$A366-'实盘净值数据(iFinD公式)'!$A$5)/365))</x:f>
        <x:v>#NAME?</x:v>
      </x:c>
      <x:c r="O366" s="152" t="e">
        <x:f>IF(OR(N365="",N366=""),"",N366/N365-1)</x:f>
        <x:v>#NAME?</x:v>
      </x:c>
      <x:c r="P366" s="152" t="e">
        <x:f>IF(N366="","",N366/MAX(N$5:N366)-1)</x:f>
        <x:v>#NAME?</x:v>
      </x:c>
      <x:c r="Q366" s="146" t="e">
        <x:f>IF(OR('实盘净值数据(iFinD公式)'!$A366="",'实盘净值数据(iFinD公式)'!$B366=""),"",分期持仓明细!$AD$25*SUMPRODUCT(分期持仓明细!$B$25:$AA$25,'实盘净值数据(iFinD公式)'!$B366:$AA366/'实盘净值数据(iFinD公式)'!$B$65:$AA$65)*(1-实盘持仓初始配置!$Z$9)^(('实盘净值数据(iFinD公式)'!$A366-'实盘净值数据(iFinD公式)'!$A$8)/365))</x:f>
        <x:v>#NAME?</x:v>
      </x:c>
      <x:c r="R366" s="152" t="e">
        <x:f>IF(OR(Q365="",Q366=""),"",Q366/Q365-1)</x:f>
        <x:v>#NAME?</x:v>
      </x:c>
      <x:c r="S366" s="152" t="e">
        <x:f>IF(Q366="","",Q366/MAX(Q$5:Q366)-1)</x:f>
        <x:v>#NAME?</x:v>
      </x:c>
    </x:row>
    <x:row r="367">
      <x:c r="A367" s="149" t="str">
        <x:f>IF('实盘净值数据(iFinD公式)'!A367="","",'实盘净值数据(iFinD公式)'!A367)</x:f>
      </x:c>
      <x:c r="B367" s="146" t="e">
        <x:f>IF(OR('实盘净值数据(iFinD公式)'!$A367="",'实盘净值数据(iFinD公式)'!$B367=""),"",分期持仓明细!$AD$17*SUMPRODUCT(分期持仓明细!$B$17:$AA$17,'实盘净值数据(iFinD公式)'!$B367:$AA367/'实盘净值数据(iFinD公式)'!$B$20:$AA$20)*(1-实盘持仓初始配置!$Z$4)^(('实盘净值数据(iFinD公式)'!$A367-'实盘净值数据(iFinD公式)'!$A$6)/365))</x:f>
        <x:v>#NAME?</x:v>
      </x:c>
      <x:c r="C367" s="152" t="e">
        <x:f>IF(OR(B366="",B367=""),"",B367/B366-1)</x:f>
        <x:v>#NAME?</x:v>
      </x:c>
      <x:c r="D367" s="152" t="e">
        <x:f>IF(B367="","",B367/MAX(B$5:B367)-1)</x:f>
        <x:v>#NAME?</x:v>
      </x:c>
      <x:c r="E367" s="146" t="e">
        <x:f>IF(OR('实盘净值数据(iFinD公式)'!$A367="",'实盘净值数据(iFinD公式)'!$B367=""),"",分期持仓明细!$AD$18*SUMPRODUCT(分期持仓明细!$B$18:$AA$18,'实盘净值数据(iFinD公式)'!$B367:$AA367/'实盘净值数据(iFinD公式)'!$B$20:$AA$20)*(1-实盘持仓初始配置!$Z$5)^(('实盘净值数据(iFinD公式)'!$A367-'实盘净值数据(iFinD公式)'!$A$5)/365))</x:f>
        <x:v>#NAME?</x:v>
      </x:c>
      <x:c r="F367" s="152" t="e">
        <x:f>IF(OR(E366="",E367=""),"",E367/E366-1)</x:f>
        <x:v>#NAME?</x:v>
      </x:c>
      <x:c r="G367" s="152" t="e">
        <x:f>IF(E367="","",E367/MAX(E$5:E367)-1)</x:f>
        <x:v>#NAME?</x:v>
      </x:c>
      <x:c r="H367" s="146" t="e">
        <x:f>IF(OR('实盘净值数据(iFinD公式)'!$A367="",'实盘净值数据(iFinD公式)'!$B367=""),"",分期持仓明细!$AD$19*SUMPRODUCT(分期持仓明细!$B$19:$AA$19,'实盘净值数据(iFinD公式)'!$B367:$AA367/'实盘净值数据(iFinD公式)'!$B$20:$AA$20)*(1-实盘持仓初始配置!$Z$6)^(('实盘净值数据(iFinD公式)'!$A367-'实盘净值数据(iFinD公式)'!$A$7)/365))</x:f>
        <x:v>#NAME?</x:v>
      </x:c>
      <x:c r="I367" s="152" t="e">
        <x:f>IF(OR(H366="",H367=""),"",H367/H366-1)</x:f>
        <x:v>#NAME?</x:v>
      </x:c>
      <x:c r="J367" s="152" t="e">
        <x:f>IF(H367="","",H367/MAX(H$5:H367)-1)</x:f>
        <x:v>#NAME?</x:v>
      </x:c>
      <x:c r="K367" s="146" t="e">
        <x:f>IF(OR('实盘净值数据(iFinD公式)'!$A367="",'实盘净值数据(iFinD公式)'!$B367=""),"",分期持仓明细!$AD$23*SUMPRODUCT(分期持仓明细!$B$23:$AA$23,'实盘净值数据(iFinD公式)'!$B367:$AA367/'实盘净值数据(iFinD公式)'!$B$65:$AA$65)*(1-实盘持仓初始配置!$Z$7)^(('实盘净值数据(iFinD公式)'!$A367-'实盘净值数据(iFinD公式)'!$A$8)/365))</x:f>
        <x:v>#NAME?</x:v>
      </x:c>
      <x:c r="L367" s="152" t="e">
        <x:f>IF(OR(K366="",K367=""),"",K367/K366-1)</x:f>
        <x:v>#NAME?</x:v>
      </x:c>
      <x:c r="M367" s="152" t="e">
        <x:f>IF(K367="","",K367/MAX(K$5:K367)-1)</x:f>
        <x:v>#NAME?</x:v>
      </x:c>
      <x:c r="N367" s="146" t="e">
        <x:f>IF(OR('实盘净值数据(iFinD公式)'!$A367="",'实盘净值数据(iFinD公式)'!$B367=""),"",分期持仓明细!$AD$24*SUMPRODUCT(分期持仓明细!$B$24:$AA$24,'实盘净值数据(iFinD公式)'!$B367:$AA367/'实盘净值数据(iFinD公式)'!$B$65:$AA$65)*(1-实盘持仓初始配置!$Z$8)^(('实盘净值数据(iFinD公式)'!$A367-'实盘净值数据(iFinD公式)'!$A$5)/365))</x:f>
        <x:v>#NAME?</x:v>
      </x:c>
      <x:c r="O367" s="152" t="e">
        <x:f>IF(OR(N366="",N367=""),"",N367/N366-1)</x:f>
        <x:v>#NAME?</x:v>
      </x:c>
      <x:c r="P367" s="152" t="e">
        <x:f>IF(N367="","",N367/MAX(N$5:N367)-1)</x:f>
        <x:v>#NAME?</x:v>
      </x:c>
      <x:c r="Q367" s="146" t="e">
        <x:f>IF(OR('实盘净值数据(iFinD公式)'!$A367="",'实盘净值数据(iFinD公式)'!$B367=""),"",分期持仓明细!$AD$25*SUMPRODUCT(分期持仓明细!$B$25:$AA$25,'实盘净值数据(iFinD公式)'!$B367:$AA367/'实盘净值数据(iFinD公式)'!$B$65:$AA$65)*(1-实盘持仓初始配置!$Z$9)^(('实盘净值数据(iFinD公式)'!$A367-'实盘净值数据(iFinD公式)'!$A$8)/365))</x:f>
        <x:v>#NAME?</x:v>
      </x:c>
      <x:c r="R367" s="152" t="e">
        <x:f>IF(OR(Q366="",Q367=""),"",Q367/Q366-1)</x:f>
        <x:v>#NAME?</x:v>
      </x:c>
      <x:c r="S367" s="152" t="e">
        <x:f>IF(Q367="","",Q367/MAX(Q$5:Q367)-1)</x:f>
        <x:v>#NAME?</x:v>
      </x:c>
    </x:row>
    <x:row r="368">
      <x:c r="A368" s="149" t="str">
        <x:f>IF('实盘净值数据(iFinD公式)'!A368="","",'实盘净值数据(iFinD公式)'!A368)</x:f>
      </x:c>
      <x:c r="B368" s="146" t="e">
        <x:f>IF(OR('实盘净值数据(iFinD公式)'!$A368="",'实盘净值数据(iFinD公式)'!$B368=""),"",分期持仓明细!$AD$17*SUMPRODUCT(分期持仓明细!$B$17:$AA$17,'实盘净值数据(iFinD公式)'!$B368:$AA368/'实盘净值数据(iFinD公式)'!$B$20:$AA$20)*(1-实盘持仓初始配置!$Z$4)^(('实盘净值数据(iFinD公式)'!$A368-'实盘净值数据(iFinD公式)'!$A$6)/365))</x:f>
        <x:v>#NAME?</x:v>
      </x:c>
      <x:c r="C368" s="152" t="e">
        <x:f>IF(OR(B367="",B368=""),"",B368/B367-1)</x:f>
        <x:v>#NAME?</x:v>
      </x:c>
      <x:c r="D368" s="152" t="e">
        <x:f>IF(B368="","",B368/MAX(B$5:B368)-1)</x:f>
        <x:v>#NAME?</x:v>
      </x:c>
      <x:c r="E368" s="146" t="e">
        <x:f>IF(OR('实盘净值数据(iFinD公式)'!$A368="",'实盘净值数据(iFinD公式)'!$B368=""),"",分期持仓明细!$AD$18*SUMPRODUCT(分期持仓明细!$B$18:$AA$18,'实盘净值数据(iFinD公式)'!$B368:$AA368/'实盘净值数据(iFinD公式)'!$B$20:$AA$20)*(1-实盘持仓初始配置!$Z$5)^(('实盘净值数据(iFinD公式)'!$A368-'实盘净值数据(iFinD公式)'!$A$5)/365))</x:f>
        <x:v>#NAME?</x:v>
      </x:c>
      <x:c r="F368" s="152" t="e">
        <x:f>IF(OR(E367="",E368=""),"",E368/E367-1)</x:f>
        <x:v>#NAME?</x:v>
      </x:c>
      <x:c r="G368" s="152" t="e">
        <x:f>IF(E368="","",E368/MAX(E$5:E368)-1)</x:f>
        <x:v>#NAME?</x:v>
      </x:c>
      <x:c r="H368" s="146" t="e">
        <x:f>IF(OR('实盘净值数据(iFinD公式)'!$A368="",'实盘净值数据(iFinD公式)'!$B368=""),"",分期持仓明细!$AD$19*SUMPRODUCT(分期持仓明细!$B$19:$AA$19,'实盘净值数据(iFinD公式)'!$B368:$AA368/'实盘净值数据(iFinD公式)'!$B$20:$AA$20)*(1-实盘持仓初始配置!$Z$6)^(('实盘净值数据(iFinD公式)'!$A368-'实盘净值数据(iFinD公式)'!$A$7)/365))</x:f>
        <x:v>#NAME?</x:v>
      </x:c>
      <x:c r="I368" s="152" t="e">
        <x:f>IF(OR(H367="",H368=""),"",H368/H367-1)</x:f>
        <x:v>#NAME?</x:v>
      </x:c>
      <x:c r="J368" s="152" t="e">
        <x:f>IF(H368="","",H368/MAX(H$5:H368)-1)</x:f>
        <x:v>#NAME?</x:v>
      </x:c>
      <x:c r="K368" s="146" t="e">
        <x:f>IF(OR('实盘净值数据(iFinD公式)'!$A368="",'实盘净值数据(iFinD公式)'!$B368=""),"",分期持仓明细!$AD$23*SUMPRODUCT(分期持仓明细!$B$23:$AA$23,'实盘净值数据(iFinD公式)'!$B368:$AA368/'实盘净值数据(iFinD公式)'!$B$65:$AA$65)*(1-实盘持仓初始配置!$Z$7)^(('实盘净值数据(iFinD公式)'!$A368-'实盘净值数据(iFinD公式)'!$A$8)/365))</x:f>
        <x:v>#NAME?</x:v>
      </x:c>
      <x:c r="L368" s="152" t="e">
        <x:f>IF(OR(K367="",K368=""),"",K368/K367-1)</x:f>
        <x:v>#NAME?</x:v>
      </x:c>
      <x:c r="M368" s="152" t="e">
        <x:f>IF(K368="","",K368/MAX(K$5:K368)-1)</x:f>
        <x:v>#NAME?</x:v>
      </x:c>
      <x:c r="N368" s="146" t="e">
        <x:f>IF(OR('实盘净值数据(iFinD公式)'!$A368="",'实盘净值数据(iFinD公式)'!$B368=""),"",分期持仓明细!$AD$24*SUMPRODUCT(分期持仓明细!$B$24:$AA$24,'实盘净值数据(iFinD公式)'!$B368:$AA368/'实盘净值数据(iFinD公式)'!$B$65:$AA$65)*(1-实盘持仓初始配置!$Z$8)^(('实盘净值数据(iFinD公式)'!$A368-'实盘净值数据(iFinD公式)'!$A$5)/365))</x:f>
        <x:v>#NAME?</x:v>
      </x:c>
      <x:c r="O368" s="152" t="e">
        <x:f>IF(OR(N367="",N368=""),"",N368/N367-1)</x:f>
        <x:v>#NAME?</x:v>
      </x:c>
      <x:c r="P368" s="152" t="e">
        <x:f>IF(N368="","",N368/MAX(N$5:N368)-1)</x:f>
        <x:v>#NAME?</x:v>
      </x:c>
      <x:c r="Q368" s="146" t="e">
        <x:f>IF(OR('实盘净值数据(iFinD公式)'!$A368="",'实盘净值数据(iFinD公式)'!$B368=""),"",分期持仓明细!$AD$25*SUMPRODUCT(分期持仓明细!$B$25:$AA$25,'实盘净值数据(iFinD公式)'!$B368:$AA368/'实盘净值数据(iFinD公式)'!$B$65:$AA$65)*(1-实盘持仓初始配置!$Z$9)^(('实盘净值数据(iFinD公式)'!$A368-'实盘净值数据(iFinD公式)'!$A$8)/365))</x:f>
        <x:v>#NAME?</x:v>
      </x:c>
      <x:c r="R368" s="152" t="e">
        <x:f>IF(OR(Q367="",Q368=""),"",Q368/Q367-1)</x:f>
        <x:v>#NAME?</x:v>
      </x:c>
      <x:c r="S368" s="152" t="e">
        <x:f>IF(Q368="","",Q368/MAX(Q$5:Q368)-1)</x:f>
        <x:v>#NAME?</x:v>
      </x:c>
    </x:row>
    <x:row r="369">
      <x:c r="A369" s="149" t="str">
        <x:f>IF('实盘净值数据(iFinD公式)'!A369="","",'实盘净值数据(iFinD公式)'!A369)</x:f>
      </x:c>
      <x:c r="B369" s="146" t="e">
        <x:f>IF(OR('实盘净值数据(iFinD公式)'!$A369="",'实盘净值数据(iFinD公式)'!$B369=""),"",分期持仓明细!$AD$17*SUMPRODUCT(分期持仓明细!$B$17:$AA$17,'实盘净值数据(iFinD公式)'!$B369:$AA369/'实盘净值数据(iFinD公式)'!$B$20:$AA$20)*(1-实盘持仓初始配置!$Z$4)^(('实盘净值数据(iFinD公式)'!$A369-'实盘净值数据(iFinD公式)'!$A$6)/365))</x:f>
        <x:v>#NAME?</x:v>
      </x:c>
      <x:c r="C369" s="152" t="e">
        <x:f>IF(OR(B368="",B369=""),"",B369/B368-1)</x:f>
        <x:v>#NAME?</x:v>
      </x:c>
      <x:c r="D369" s="152" t="e">
        <x:f>IF(B369="","",B369/MAX(B$5:B369)-1)</x:f>
        <x:v>#NAME?</x:v>
      </x:c>
      <x:c r="E369" s="146" t="e">
        <x:f>IF(OR('实盘净值数据(iFinD公式)'!$A369="",'实盘净值数据(iFinD公式)'!$B369=""),"",分期持仓明细!$AD$18*SUMPRODUCT(分期持仓明细!$B$18:$AA$18,'实盘净值数据(iFinD公式)'!$B369:$AA369/'实盘净值数据(iFinD公式)'!$B$20:$AA$20)*(1-实盘持仓初始配置!$Z$5)^(('实盘净值数据(iFinD公式)'!$A369-'实盘净值数据(iFinD公式)'!$A$5)/365))</x:f>
        <x:v>#NAME?</x:v>
      </x:c>
      <x:c r="F369" s="152" t="e">
        <x:f>IF(OR(E368="",E369=""),"",E369/E368-1)</x:f>
        <x:v>#NAME?</x:v>
      </x:c>
      <x:c r="G369" s="152" t="e">
        <x:f>IF(E369="","",E369/MAX(E$5:E369)-1)</x:f>
        <x:v>#NAME?</x:v>
      </x:c>
      <x:c r="H369" s="146" t="e">
        <x:f>IF(OR('实盘净值数据(iFinD公式)'!$A369="",'实盘净值数据(iFinD公式)'!$B369=""),"",分期持仓明细!$AD$19*SUMPRODUCT(分期持仓明细!$B$19:$AA$19,'实盘净值数据(iFinD公式)'!$B369:$AA369/'实盘净值数据(iFinD公式)'!$B$20:$AA$20)*(1-实盘持仓初始配置!$Z$6)^(('实盘净值数据(iFinD公式)'!$A369-'实盘净值数据(iFinD公式)'!$A$7)/365))</x:f>
        <x:v>#NAME?</x:v>
      </x:c>
      <x:c r="I369" s="152" t="e">
        <x:f>IF(OR(H368="",H369=""),"",H369/H368-1)</x:f>
        <x:v>#NAME?</x:v>
      </x:c>
      <x:c r="J369" s="152" t="e">
        <x:f>IF(H369="","",H369/MAX(H$5:H369)-1)</x:f>
        <x:v>#NAME?</x:v>
      </x:c>
      <x:c r="K369" s="146" t="e">
        <x:f>IF(OR('实盘净值数据(iFinD公式)'!$A369="",'实盘净值数据(iFinD公式)'!$B369=""),"",分期持仓明细!$AD$23*SUMPRODUCT(分期持仓明细!$B$23:$AA$23,'实盘净值数据(iFinD公式)'!$B369:$AA369/'实盘净值数据(iFinD公式)'!$B$65:$AA$65)*(1-实盘持仓初始配置!$Z$7)^(('实盘净值数据(iFinD公式)'!$A369-'实盘净值数据(iFinD公式)'!$A$8)/365))</x:f>
        <x:v>#NAME?</x:v>
      </x:c>
      <x:c r="L369" s="152" t="e">
        <x:f>IF(OR(K368="",K369=""),"",K369/K368-1)</x:f>
        <x:v>#NAME?</x:v>
      </x:c>
      <x:c r="M369" s="152" t="e">
        <x:f>IF(K369="","",K369/MAX(K$5:K369)-1)</x:f>
        <x:v>#NAME?</x:v>
      </x:c>
      <x:c r="N369" s="146" t="e">
        <x:f>IF(OR('实盘净值数据(iFinD公式)'!$A369="",'实盘净值数据(iFinD公式)'!$B369=""),"",分期持仓明细!$AD$24*SUMPRODUCT(分期持仓明细!$B$24:$AA$24,'实盘净值数据(iFinD公式)'!$B369:$AA369/'实盘净值数据(iFinD公式)'!$B$65:$AA$65)*(1-实盘持仓初始配置!$Z$8)^(('实盘净值数据(iFinD公式)'!$A369-'实盘净值数据(iFinD公式)'!$A$5)/365))</x:f>
        <x:v>#NAME?</x:v>
      </x:c>
      <x:c r="O369" s="152" t="e">
        <x:f>IF(OR(N368="",N369=""),"",N369/N368-1)</x:f>
        <x:v>#NAME?</x:v>
      </x:c>
      <x:c r="P369" s="152" t="e">
        <x:f>IF(N369="","",N369/MAX(N$5:N369)-1)</x:f>
        <x:v>#NAME?</x:v>
      </x:c>
      <x:c r="Q369" s="146" t="e">
        <x:f>IF(OR('实盘净值数据(iFinD公式)'!$A369="",'实盘净值数据(iFinD公式)'!$B369=""),"",分期持仓明细!$AD$25*SUMPRODUCT(分期持仓明细!$B$25:$AA$25,'实盘净值数据(iFinD公式)'!$B369:$AA369/'实盘净值数据(iFinD公式)'!$B$65:$AA$65)*(1-实盘持仓初始配置!$Z$9)^(('实盘净值数据(iFinD公式)'!$A369-'实盘净值数据(iFinD公式)'!$A$8)/365))</x:f>
        <x:v>#NAME?</x:v>
      </x:c>
      <x:c r="R369" s="152" t="e">
        <x:f>IF(OR(Q368="",Q369=""),"",Q369/Q368-1)</x:f>
        <x:v>#NAME?</x:v>
      </x:c>
      <x:c r="S369" s="152" t="e">
        <x:f>IF(Q369="","",Q369/MAX(Q$5:Q369)-1)</x:f>
        <x:v>#NAME?</x:v>
      </x:c>
    </x:row>
    <x:row r="370">
      <x:c r="A370" s="149" t="str">
        <x:f>IF('实盘净值数据(iFinD公式)'!A370="","",'实盘净值数据(iFinD公式)'!A370)</x:f>
      </x:c>
      <x:c r="B370" s="146" t="e">
        <x:f>IF(OR('实盘净值数据(iFinD公式)'!$A370="",'实盘净值数据(iFinD公式)'!$B370=""),"",分期持仓明细!$AD$17*SUMPRODUCT(分期持仓明细!$B$17:$AA$17,'实盘净值数据(iFinD公式)'!$B370:$AA370/'实盘净值数据(iFinD公式)'!$B$20:$AA$20)*(1-实盘持仓初始配置!$Z$4)^(('实盘净值数据(iFinD公式)'!$A370-'实盘净值数据(iFinD公式)'!$A$6)/365))</x:f>
        <x:v>#NAME?</x:v>
      </x:c>
      <x:c r="C370" s="152" t="e">
        <x:f>IF(OR(B369="",B370=""),"",B370/B369-1)</x:f>
        <x:v>#NAME?</x:v>
      </x:c>
      <x:c r="D370" s="152" t="e">
        <x:f>IF(B370="","",B370/MAX(B$5:B370)-1)</x:f>
        <x:v>#NAME?</x:v>
      </x:c>
      <x:c r="E370" s="146" t="e">
        <x:f>IF(OR('实盘净值数据(iFinD公式)'!$A370="",'实盘净值数据(iFinD公式)'!$B370=""),"",分期持仓明细!$AD$18*SUMPRODUCT(分期持仓明细!$B$18:$AA$18,'实盘净值数据(iFinD公式)'!$B370:$AA370/'实盘净值数据(iFinD公式)'!$B$20:$AA$20)*(1-实盘持仓初始配置!$Z$5)^(('实盘净值数据(iFinD公式)'!$A370-'实盘净值数据(iFinD公式)'!$A$5)/365))</x:f>
        <x:v>#NAME?</x:v>
      </x:c>
      <x:c r="F370" s="152" t="e">
        <x:f>IF(OR(E369="",E370=""),"",E370/E369-1)</x:f>
        <x:v>#NAME?</x:v>
      </x:c>
      <x:c r="G370" s="152" t="e">
        <x:f>IF(E370="","",E370/MAX(E$5:E370)-1)</x:f>
        <x:v>#NAME?</x:v>
      </x:c>
      <x:c r="H370" s="146" t="e">
        <x:f>IF(OR('实盘净值数据(iFinD公式)'!$A370="",'实盘净值数据(iFinD公式)'!$B370=""),"",分期持仓明细!$AD$19*SUMPRODUCT(分期持仓明细!$B$19:$AA$19,'实盘净值数据(iFinD公式)'!$B370:$AA370/'实盘净值数据(iFinD公式)'!$B$20:$AA$20)*(1-实盘持仓初始配置!$Z$6)^(('实盘净值数据(iFinD公式)'!$A370-'实盘净值数据(iFinD公式)'!$A$7)/365))</x:f>
        <x:v>#NAME?</x:v>
      </x:c>
      <x:c r="I370" s="152" t="e">
        <x:f>IF(OR(H369="",H370=""),"",H370/H369-1)</x:f>
        <x:v>#NAME?</x:v>
      </x:c>
      <x:c r="J370" s="152" t="e">
        <x:f>IF(H370="","",H370/MAX(H$5:H370)-1)</x:f>
        <x:v>#NAME?</x:v>
      </x:c>
      <x:c r="K370" s="146" t="e">
        <x:f>IF(OR('实盘净值数据(iFinD公式)'!$A370="",'实盘净值数据(iFinD公式)'!$B370=""),"",分期持仓明细!$AD$23*SUMPRODUCT(分期持仓明细!$B$23:$AA$23,'实盘净值数据(iFinD公式)'!$B370:$AA370/'实盘净值数据(iFinD公式)'!$B$65:$AA$65)*(1-实盘持仓初始配置!$Z$7)^(('实盘净值数据(iFinD公式)'!$A370-'实盘净值数据(iFinD公式)'!$A$8)/365))</x:f>
        <x:v>#NAME?</x:v>
      </x:c>
      <x:c r="L370" s="152" t="e">
        <x:f>IF(OR(K369="",K370=""),"",K370/K369-1)</x:f>
        <x:v>#NAME?</x:v>
      </x:c>
      <x:c r="M370" s="152" t="e">
        <x:f>IF(K370="","",K370/MAX(K$5:K370)-1)</x:f>
        <x:v>#NAME?</x:v>
      </x:c>
      <x:c r="N370" s="146" t="e">
        <x:f>IF(OR('实盘净值数据(iFinD公式)'!$A370="",'实盘净值数据(iFinD公式)'!$B370=""),"",分期持仓明细!$AD$24*SUMPRODUCT(分期持仓明细!$B$24:$AA$24,'实盘净值数据(iFinD公式)'!$B370:$AA370/'实盘净值数据(iFinD公式)'!$B$65:$AA$65)*(1-实盘持仓初始配置!$Z$8)^(('实盘净值数据(iFinD公式)'!$A370-'实盘净值数据(iFinD公式)'!$A$5)/365))</x:f>
        <x:v>#NAME?</x:v>
      </x:c>
      <x:c r="O370" s="152" t="e">
        <x:f>IF(OR(N369="",N370=""),"",N370/N369-1)</x:f>
        <x:v>#NAME?</x:v>
      </x:c>
      <x:c r="P370" s="152" t="e">
        <x:f>IF(N370="","",N370/MAX(N$5:N370)-1)</x:f>
        <x:v>#NAME?</x:v>
      </x:c>
      <x:c r="Q370" s="146" t="e">
        <x:f>IF(OR('实盘净值数据(iFinD公式)'!$A370="",'实盘净值数据(iFinD公式)'!$B370=""),"",分期持仓明细!$AD$25*SUMPRODUCT(分期持仓明细!$B$25:$AA$25,'实盘净值数据(iFinD公式)'!$B370:$AA370/'实盘净值数据(iFinD公式)'!$B$65:$AA$65)*(1-实盘持仓初始配置!$Z$9)^(('实盘净值数据(iFinD公式)'!$A370-'实盘净值数据(iFinD公式)'!$A$8)/365))</x:f>
        <x:v>#NAME?</x:v>
      </x:c>
      <x:c r="R370" s="152" t="e">
        <x:f>IF(OR(Q369="",Q370=""),"",Q370/Q369-1)</x:f>
        <x:v>#NAME?</x:v>
      </x:c>
      <x:c r="S370" s="152" t="e">
        <x:f>IF(Q370="","",Q370/MAX(Q$5:Q370)-1)</x:f>
        <x:v>#NAME?</x:v>
      </x:c>
    </x:row>
    <x:row r="371">
      <x:c r="A371" s="149" t="str">
        <x:f>IF('实盘净值数据(iFinD公式)'!A371="","",'实盘净值数据(iFinD公式)'!A371)</x:f>
      </x:c>
      <x:c r="B371" s="146" t="e">
        <x:f>IF(OR('实盘净值数据(iFinD公式)'!$A371="",'实盘净值数据(iFinD公式)'!$B371=""),"",分期持仓明细!$AD$17*SUMPRODUCT(分期持仓明细!$B$17:$AA$17,'实盘净值数据(iFinD公式)'!$B371:$AA371/'实盘净值数据(iFinD公式)'!$B$20:$AA$20)*(1-实盘持仓初始配置!$Z$4)^(('实盘净值数据(iFinD公式)'!$A371-'实盘净值数据(iFinD公式)'!$A$6)/365))</x:f>
        <x:v>#NAME?</x:v>
      </x:c>
      <x:c r="C371" s="152" t="e">
        <x:f>IF(OR(B370="",B371=""),"",B371/B370-1)</x:f>
        <x:v>#NAME?</x:v>
      </x:c>
      <x:c r="D371" s="152" t="e">
        <x:f>IF(B371="","",B371/MAX(B$5:B371)-1)</x:f>
        <x:v>#NAME?</x:v>
      </x:c>
      <x:c r="E371" s="146" t="e">
        <x:f>IF(OR('实盘净值数据(iFinD公式)'!$A371="",'实盘净值数据(iFinD公式)'!$B371=""),"",分期持仓明细!$AD$18*SUMPRODUCT(分期持仓明细!$B$18:$AA$18,'实盘净值数据(iFinD公式)'!$B371:$AA371/'实盘净值数据(iFinD公式)'!$B$20:$AA$20)*(1-实盘持仓初始配置!$Z$5)^(('实盘净值数据(iFinD公式)'!$A371-'实盘净值数据(iFinD公式)'!$A$5)/365))</x:f>
        <x:v>#NAME?</x:v>
      </x:c>
      <x:c r="F371" s="152" t="e">
        <x:f>IF(OR(E370="",E371=""),"",E371/E370-1)</x:f>
        <x:v>#NAME?</x:v>
      </x:c>
      <x:c r="G371" s="152" t="e">
        <x:f>IF(E371="","",E371/MAX(E$5:E371)-1)</x:f>
        <x:v>#NAME?</x:v>
      </x:c>
      <x:c r="H371" s="146" t="e">
        <x:f>IF(OR('实盘净值数据(iFinD公式)'!$A371="",'实盘净值数据(iFinD公式)'!$B371=""),"",分期持仓明细!$AD$19*SUMPRODUCT(分期持仓明细!$B$19:$AA$19,'实盘净值数据(iFinD公式)'!$B371:$AA371/'实盘净值数据(iFinD公式)'!$B$20:$AA$20)*(1-实盘持仓初始配置!$Z$6)^(('实盘净值数据(iFinD公式)'!$A371-'实盘净值数据(iFinD公式)'!$A$7)/365))</x:f>
        <x:v>#NAME?</x:v>
      </x:c>
      <x:c r="I371" s="152" t="e">
        <x:f>IF(OR(H370="",H371=""),"",H371/H370-1)</x:f>
        <x:v>#NAME?</x:v>
      </x:c>
      <x:c r="J371" s="152" t="e">
        <x:f>IF(H371="","",H371/MAX(H$5:H371)-1)</x:f>
        <x:v>#NAME?</x:v>
      </x:c>
      <x:c r="K371" s="146" t="e">
        <x:f>IF(OR('实盘净值数据(iFinD公式)'!$A371="",'实盘净值数据(iFinD公式)'!$B371=""),"",分期持仓明细!$AD$23*SUMPRODUCT(分期持仓明细!$B$23:$AA$23,'实盘净值数据(iFinD公式)'!$B371:$AA371/'实盘净值数据(iFinD公式)'!$B$65:$AA$65)*(1-实盘持仓初始配置!$Z$7)^(('实盘净值数据(iFinD公式)'!$A371-'实盘净值数据(iFinD公式)'!$A$8)/365))</x:f>
        <x:v>#NAME?</x:v>
      </x:c>
      <x:c r="L371" s="152" t="e">
        <x:f>IF(OR(K370="",K371=""),"",K371/K370-1)</x:f>
        <x:v>#NAME?</x:v>
      </x:c>
      <x:c r="M371" s="152" t="e">
        <x:f>IF(K371="","",K371/MAX(K$5:K371)-1)</x:f>
        <x:v>#NAME?</x:v>
      </x:c>
      <x:c r="N371" s="146" t="e">
        <x:f>IF(OR('实盘净值数据(iFinD公式)'!$A371="",'实盘净值数据(iFinD公式)'!$B371=""),"",分期持仓明细!$AD$24*SUMPRODUCT(分期持仓明细!$B$24:$AA$24,'实盘净值数据(iFinD公式)'!$B371:$AA371/'实盘净值数据(iFinD公式)'!$B$65:$AA$65)*(1-实盘持仓初始配置!$Z$8)^(('实盘净值数据(iFinD公式)'!$A371-'实盘净值数据(iFinD公式)'!$A$5)/365))</x:f>
        <x:v>#NAME?</x:v>
      </x:c>
      <x:c r="O371" s="152" t="e">
        <x:f>IF(OR(N370="",N371=""),"",N371/N370-1)</x:f>
        <x:v>#NAME?</x:v>
      </x:c>
      <x:c r="P371" s="152" t="e">
        <x:f>IF(N371="","",N371/MAX(N$5:N371)-1)</x:f>
        <x:v>#NAME?</x:v>
      </x:c>
      <x:c r="Q371" s="146" t="e">
        <x:f>IF(OR('实盘净值数据(iFinD公式)'!$A371="",'实盘净值数据(iFinD公式)'!$B371=""),"",分期持仓明细!$AD$25*SUMPRODUCT(分期持仓明细!$B$25:$AA$25,'实盘净值数据(iFinD公式)'!$B371:$AA371/'实盘净值数据(iFinD公式)'!$B$65:$AA$65)*(1-实盘持仓初始配置!$Z$9)^(('实盘净值数据(iFinD公式)'!$A371-'实盘净值数据(iFinD公式)'!$A$8)/365))</x:f>
        <x:v>#NAME?</x:v>
      </x:c>
      <x:c r="R371" s="152" t="e">
        <x:f>IF(OR(Q370="",Q371=""),"",Q371/Q370-1)</x:f>
        <x:v>#NAME?</x:v>
      </x:c>
      <x:c r="S371" s="152" t="e">
        <x:f>IF(Q371="","",Q371/MAX(Q$5:Q371)-1)</x:f>
        <x:v>#NAME?</x:v>
      </x:c>
    </x:row>
    <x:row r="372">
      <x:c r="A372" s="149" t="str">
        <x:f>IF('实盘净值数据(iFinD公式)'!A372="","",'实盘净值数据(iFinD公式)'!A372)</x:f>
      </x:c>
      <x:c r="B372" s="146" t="e">
        <x:f>IF(OR('实盘净值数据(iFinD公式)'!$A372="",'实盘净值数据(iFinD公式)'!$B372=""),"",分期持仓明细!$AD$17*SUMPRODUCT(分期持仓明细!$B$17:$AA$17,'实盘净值数据(iFinD公式)'!$B372:$AA372/'实盘净值数据(iFinD公式)'!$B$20:$AA$20)*(1-实盘持仓初始配置!$Z$4)^(('实盘净值数据(iFinD公式)'!$A372-'实盘净值数据(iFinD公式)'!$A$6)/365))</x:f>
        <x:v>#NAME?</x:v>
      </x:c>
      <x:c r="C372" s="152" t="e">
        <x:f>IF(OR(B371="",B372=""),"",B372/B371-1)</x:f>
        <x:v>#NAME?</x:v>
      </x:c>
      <x:c r="D372" s="152" t="e">
        <x:f>IF(B372="","",B372/MAX(B$5:B372)-1)</x:f>
        <x:v>#NAME?</x:v>
      </x:c>
      <x:c r="E372" s="146" t="e">
        <x:f>IF(OR('实盘净值数据(iFinD公式)'!$A372="",'实盘净值数据(iFinD公式)'!$B372=""),"",分期持仓明细!$AD$18*SUMPRODUCT(分期持仓明细!$B$18:$AA$18,'实盘净值数据(iFinD公式)'!$B372:$AA372/'实盘净值数据(iFinD公式)'!$B$20:$AA$20)*(1-实盘持仓初始配置!$Z$5)^(('实盘净值数据(iFinD公式)'!$A372-'实盘净值数据(iFinD公式)'!$A$5)/365))</x:f>
        <x:v>#NAME?</x:v>
      </x:c>
      <x:c r="F372" s="152" t="e">
        <x:f>IF(OR(E371="",E372=""),"",E372/E371-1)</x:f>
        <x:v>#NAME?</x:v>
      </x:c>
      <x:c r="G372" s="152" t="e">
        <x:f>IF(E372="","",E372/MAX(E$5:E372)-1)</x:f>
        <x:v>#NAME?</x:v>
      </x:c>
      <x:c r="H372" s="146" t="e">
        <x:f>IF(OR('实盘净值数据(iFinD公式)'!$A372="",'实盘净值数据(iFinD公式)'!$B372=""),"",分期持仓明细!$AD$19*SUMPRODUCT(分期持仓明细!$B$19:$AA$19,'实盘净值数据(iFinD公式)'!$B372:$AA372/'实盘净值数据(iFinD公式)'!$B$20:$AA$20)*(1-实盘持仓初始配置!$Z$6)^(('实盘净值数据(iFinD公式)'!$A372-'实盘净值数据(iFinD公式)'!$A$7)/365))</x:f>
        <x:v>#NAME?</x:v>
      </x:c>
      <x:c r="I372" s="152" t="e">
        <x:f>IF(OR(H371="",H372=""),"",H372/H371-1)</x:f>
        <x:v>#NAME?</x:v>
      </x:c>
      <x:c r="J372" s="152" t="e">
        <x:f>IF(H372="","",H372/MAX(H$5:H372)-1)</x:f>
        <x:v>#NAME?</x:v>
      </x:c>
      <x:c r="K372" s="146" t="e">
        <x:f>IF(OR('实盘净值数据(iFinD公式)'!$A372="",'实盘净值数据(iFinD公式)'!$B372=""),"",分期持仓明细!$AD$23*SUMPRODUCT(分期持仓明细!$B$23:$AA$23,'实盘净值数据(iFinD公式)'!$B372:$AA372/'实盘净值数据(iFinD公式)'!$B$65:$AA$65)*(1-实盘持仓初始配置!$Z$7)^(('实盘净值数据(iFinD公式)'!$A372-'实盘净值数据(iFinD公式)'!$A$8)/365))</x:f>
        <x:v>#NAME?</x:v>
      </x:c>
      <x:c r="L372" s="152" t="e">
        <x:f>IF(OR(K371="",K372=""),"",K372/K371-1)</x:f>
        <x:v>#NAME?</x:v>
      </x:c>
      <x:c r="M372" s="152" t="e">
        <x:f>IF(K372="","",K372/MAX(K$5:K372)-1)</x:f>
        <x:v>#NAME?</x:v>
      </x:c>
      <x:c r="N372" s="146" t="e">
        <x:f>IF(OR('实盘净值数据(iFinD公式)'!$A372="",'实盘净值数据(iFinD公式)'!$B372=""),"",分期持仓明细!$AD$24*SUMPRODUCT(分期持仓明细!$B$24:$AA$24,'实盘净值数据(iFinD公式)'!$B372:$AA372/'实盘净值数据(iFinD公式)'!$B$65:$AA$65)*(1-实盘持仓初始配置!$Z$8)^(('实盘净值数据(iFinD公式)'!$A372-'实盘净值数据(iFinD公式)'!$A$5)/365))</x:f>
        <x:v>#NAME?</x:v>
      </x:c>
      <x:c r="O372" s="152" t="e">
        <x:f>IF(OR(N371="",N372=""),"",N372/N371-1)</x:f>
        <x:v>#NAME?</x:v>
      </x:c>
      <x:c r="P372" s="152" t="e">
        <x:f>IF(N372="","",N372/MAX(N$5:N372)-1)</x:f>
        <x:v>#NAME?</x:v>
      </x:c>
      <x:c r="Q372" s="146" t="e">
        <x:f>IF(OR('实盘净值数据(iFinD公式)'!$A372="",'实盘净值数据(iFinD公式)'!$B372=""),"",分期持仓明细!$AD$25*SUMPRODUCT(分期持仓明细!$B$25:$AA$25,'实盘净值数据(iFinD公式)'!$B372:$AA372/'实盘净值数据(iFinD公式)'!$B$65:$AA$65)*(1-实盘持仓初始配置!$Z$9)^(('实盘净值数据(iFinD公式)'!$A372-'实盘净值数据(iFinD公式)'!$A$8)/365))</x:f>
        <x:v>#NAME?</x:v>
      </x:c>
      <x:c r="R372" s="152" t="e">
        <x:f>IF(OR(Q371="",Q372=""),"",Q372/Q371-1)</x:f>
        <x:v>#NAME?</x:v>
      </x:c>
      <x:c r="S372" s="152" t="e">
        <x:f>IF(Q372="","",Q372/MAX(Q$5:Q372)-1)</x:f>
        <x:v>#NAME?</x:v>
      </x:c>
    </x:row>
    <x:row r="373">
      <x:c r="A373" s="149" t="str">
        <x:f>IF('实盘净值数据(iFinD公式)'!A373="","",'实盘净值数据(iFinD公式)'!A373)</x:f>
      </x:c>
      <x:c r="B373" s="146" t="e">
        <x:f>IF(OR('实盘净值数据(iFinD公式)'!$A373="",'实盘净值数据(iFinD公式)'!$B373=""),"",分期持仓明细!$AD$17*SUMPRODUCT(分期持仓明细!$B$17:$AA$17,'实盘净值数据(iFinD公式)'!$B373:$AA373/'实盘净值数据(iFinD公式)'!$B$20:$AA$20)*(1-实盘持仓初始配置!$Z$4)^(('实盘净值数据(iFinD公式)'!$A373-'实盘净值数据(iFinD公式)'!$A$6)/365))</x:f>
        <x:v>#NAME?</x:v>
      </x:c>
      <x:c r="C373" s="152" t="e">
        <x:f>IF(OR(B372="",B373=""),"",B373/B372-1)</x:f>
        <x:v>#NAME?</x:v>
      </x:c>
      <x:c r="D373" s="152" t="e">
        <x:f>IF(B373="","",B373/MAX(B$5:B373)-1)</x:f>
        <x:v>#NAME?</x:v>
      </x:c>
      <x:c r="E373" s="146" t="e">
        <x:f>IF(OR('实盘净值数据(iFinD公式)'!$A373="",'实盘净值数据(iFinD公式)'!$B373=""),"",分期持仓明细!$AD$18*SUMPRODUCT(分期持仓明细!$B$18:$AA$18,'实盘净值数据(iFinD公式)'!$B373:$AA373/'实盘净值数据(iFinD公式)'!$B$20:$AA$20)*(1-实盘持仓初始配置!$Z$5)^(('实盘净值数据(iFinD公式)'!$A373-'实盘净值数据(iFinD公式)'!$A$5)/365))</x:f>
        <x:v>#NAME?</x:v>
      </x:c>
      <x:c r="F373" s="152" t="e">
        <x:f>IF(OR(E372="",E373=""),"",E373/E372-1)</x:f>
        <x:v>#NAME?</x:v>
      </x:c>
      <x:c r="G373" s="152" t="e">
        <x:f>IF(E373="","",E373/MAX(E$5:E373)-1)</x:f>
        <x:v>#NAME?</x:v>
      </x:c>
      <x:c r="H373" s="146" t="e">
        <x:f>IF(OR('实盘净值数据(iFinD公式)'!$A373="",'实盘净值数据(iFinD公式)'!$B373=""),"",分期持仓明细!$AD$19*SUMPRODUCT(分期持仓明细!$B$19:$AA$19,'实盘净值数据(iFinD公式)'!$B373:$AA373/'实盘净值数据(iFinD公式)'!$B$20:$AA$20)*(1-实盘持仓初始配置!$Z$6)^(('实盘净值数据(iFinD公式)'!$A373-'实盘净值数据(iFinD公式)'!$A$7)/365))</x:f>
        <x:v>#NAME?</x:v>
      </x:c>
      <x:c r="I373" s="152" t="e">
        <x:f>IF(OR(H372="",H373=""),"",H373/H372-1)</x:f>
        <x:v>#NAME?</x:v>
      </x:c>
      <x:c r="J373" s="152" t="e">
        <x:f>IF(H373="","",H373/MAX(H$5:H373)-1)</x:f>
        <x:v>#NAME?</x:v>
      </x:c>
      <x:c r="K373" s="146" t="e">
        <x:f>IF(OR('实盘净值数据(iFinD公式)'!$A373="",'实盘净值数据(iFinD公式)'!$B373=""),"",分期持仓明细!$AD$23*SUMPRODUCT(分期持仓明细!$B$23:$AA$23,'实盘净值数据(iFinD公式)'!$B373:$AA373/'实盘净值数据(iFinD公式)'!$B$65:$AA$65)*(1-实盘持仓初始配置!$Z$7)^(('实盘净值数据(iFinD公式)'!$A373-'实盘净值数据(iFinD公式)'!$A$8)/365))</x:f>
        <x:v>#NAME?</x:v>
      </x:c>
      <x:c r="L373" s="152" t="e">
        <x:f>IF(OR(K372="",K373=""),"",K373/K372-1)</x:f>
        <x:v>#NAME?</x:v>
      </x:c>
      <x:c r="M373" s="152" t="e">
        <x:f>IF(K373="","",K373/MAX(K$5:K373)-1)</x:f>
        <x:v>#NAME?</x:v>
      </x:c>
      <x:c r="N373" s="146" t="e">
        <x:f>IF(OR('实盘净值数据(iFinD公式)'!$A373="",'实盘净值数据(iFinD公式)'!$B373=""),"",分期持仓明细!$AD$24*SUMPRODUCT(分期持仓明细!$B$24:$AA$24,'实盘净值数据(iFinD公式)'!$B373:$AA373/'实盘净值数据(iFinD公式)'!$B$65:$AA$65)*(1-实盘持仓初始配置!$Z$8)^(('实盘净值数据(iFinD公式)'!$A373-'实盘净值数据(iFinD公式)'!$A$5)/365))</x:f>
        <x:v>#NAME?</x:v>
      </x:c>
      <x:c r="O373" s="152" t="e">
        <x:f>IF(OR(N372="",N373=""),"",N373/N372-1)</x:f>
        <x:v>#NAME?</x:v>
      </x:c>
      <x:c r="P373" s="152" t="e">
        <x:f>IF(N373="","",N373/MAX(N$5:N373)-1)</x:f>
        <x:v>#NAME?</x:v>
      </x:c>
      <x:c r="Q373" s="146" t="e">
        <x:f>IF(OR('实盘净值数据(iFinD公式)'!$A373="",'实盘净值数据(iFinD公式)'!$B373=""),"",分期持仓明细!$AD$25*SUMPRODUCT(分期持仓明细!$B$25:$AA$25,'实盘净值数据(iFinD公式)'!$B373:$AA373/'实盘净值数据(iFinD公式)'!$B$65:$AA$65)*(1-实盘持仓初始配置!$Z$9)^(('实盘净值数据(iFinD公式)'!$A373-'实盘净值数据(iFinD公式)'!$A$8)/365))</x:f>
        <x:v>#NAME?</x:v>
      </x:c>
      <x:c r="R373" s="152" t="e">
        <x:f>IF(OR(Q372="",Q373=""),"",Q373/Q372-1)</x:f>
        <x:v>#NAME?</x:v>
      </x:c>
      <x:c r="S373" s="152" t="e">
        <x:f>IF(Q373="","",Q373/MAX(Q$5:Q373)-1)</x:f>
        <x:v>#NAME?</x:v>
      </x:c>
    </x:row>
    <x:row r="374">
      <x:c r="A374" s="149" t="str">
        <x:f>IF('实盘净值数据(iFinD公式)'!A374="","",'实盘净值数据(iFinD公式)'!A374)</x:f>
      </x:c>
      <x:c r="B374" s="146" t="e">
        <x:f>IF(OR('实盘净值数据(iFinD公式)'!$A374="",'实盘净值数据(iFinD公式)'!$B374=""),"",分期持仓明细!$AD$17*SUMPRODUCT(分期持仓明细!$B$17:$AA$17,'实盘净值数据(iFinD公式)'!$B374:$AA374/'实盘净值数据(iFinD公式)'!$B$20:$AA$20)*(1-实盘持仓初始配置!$Z$4)^(('实盘净值数据(iFinD公式)'!$A374-'实盘净值数据(iFinD公式)'!$A$6)/365))</x:f>
        <x:v>#NAME?</x:v>
      </x:c>
      <x:c r="C374" s="152" t="e">
        <x:f>IF(OR(B373="",B374=""),"",B374/B373-1)</x:f>
        <x:v>#NAME?</x:v>
      </x:c>
      <x:c r="D374" s="152" t="e">
        <x:f>IF(B374="","",B374/MAX(B$5:B374)-1)</x:f>
        <x:v>#NAME?</x:v>
      </x:c>
      <x:c r="E374" s="146" t="e">
        <x:f>IF(OR('实盘净值数据(iFinD公式)'!$A374="",'实盘净值数据(iFinD公式)'!$B374=""),"",分期持仓明细!$AD$18*SUMPRODUCT(分期持仓明细!$B$18:$AA$18,'实盘净值数据(iFinD公式)'!$B374:$AA374/'实盘净值数据(iFinD公式)'!$B$20:$AA$20)*(1-实盘持仓初始配置!$Z$5)^(('实盘净值数据(iFinD公式)'!$A374-'实盘净值数据(iFinD公式)'!$A$5)/365))</x:f>
        <x:v>#NAME?</x:v>
      </x:c>
      <x:c r="F374" s="152" t="e">
        <x:f>IF(OR(E373="",E374=""),"",E374/E373-1)</x:f>
        <x:v>#NAME?</x:v>
      </x:c>
      <x:c r="G374" s="152" t="e">
        <x:f>IF(E374="","",E374/MAX(E$5:E374)-1)</x:f>
        <x:v>#NAME?</x:v>
      </x:c>
      <x:c r="H374" s="146" t="e">
        <x:f>IF(OR('实盘净值数据(iFinD公式)'!$A374="",'实盘净值数据(iFinD公式)'!$B374=""),"",分期持仓明细!$AD$19*SUMPRODUCT(分期持仓明细!$B$19:$AA$19,'实盘净值数据(iFinD公式)'!$B374:$AA374/'实盘净值数据(iFinD公式)'!$B$20:$AA$20)*(1-实盘持仓初始配置!$Z$6)^(('实盘净值数据(iFinD公式)'!$A374-'实盘净值数据(iFinD公式)'!$A$7)/365))</x:f>
        <x:v>#NAME?</x:v>
      </x:c>
      <x:c r="I374" s="152" t="e">
        <x:f>IF(OR(H373="",H374=""),"",H374/H373-1)</x:f>
        <x:v>#NAME?</x:v>
      </x:c>
      <x:c r="J374" s="152" t="e">
        <x:f>IF(H374="","",H374/MAX(H$5:H374)-1)</x:f>
        <x:v>#NAME?</x:v>
      </x:c>
      <x:c r="K374" s="146" t="e">
        <x:f>IF(OR('实盘净值数据(iFinD公式)'!$A374="",'实盘净值数据(iFinD公式)'!$B374=""),"",分期持仓明细!$AD$23*SUMPRODUCT(分期持仓明细!$B$23:$AA$23,'实盘净值数据(iFinD公式)'!$B374:$AA374/'实盘净值数据(iFinD公式)'!$B$65:$AA$65)*(1-实盘持仓初始配置!$Z$7)^(('实盘净值数据(iFinD公式)'!$A374-'实盘净值数据(iFinD公式)'!$A$8)/365))</x:f>
        <x:v>#NAME?</x:v>
      </x:c>
      <x:c r="L374" s="152" t="e">
        <x:f>IF(OR(K373="",K374=""),"",K374/K373-1)</x:f>
        <x:v>#NAME?</x:v>
      </x:c>
      <x:c r="M374" s="152" t="e">
        <x:f>IF(K374="","",K374/MAX(K$5:K374)-1)</x:f>
        <x:v>#NAME?</x:v>
      </x:c>
      <x:c r="N374" s="146" t="e">
        <x:f>IF(OR('实盘净值数据(iFinD公式)'!$A374="",'实盘净值数据(iFinD公式)'!$B374=""),"",分期持仓明细!$AD$24*SUMPRODUCT(分期持仓明细!$B$24:$AA$24,'实盘净值数据(iFinD公式)'!$B374:$AA374/'实盘净值数据(iFinD公式)'!$B$65:$AA$65)*(1-实盘持仓初始配置!$Z$8)^(('实盘净值数据(iFinD公式)'!$A374-'实盘净值数据(iFinD公式)'!$A$5)/365))</x:f>
        <x:v>#NAME?</x:v>
      </x:c>
      <x:c r="O374" s="152" t="e">
        <x:f>IF(OR(N373="",N374=""),"",N374/N373-1)</x:f>
        <x:v>#NAME?</x:v>
      </x:c>
      <x:c r="P374" s="152" t="e">
        <x:f>IF(N374="","",N374/MAX(N$5:N374)-1)</x:f>
        <x:v>#NAME?</x:v>
      </x:c>
      <x:c r="Q374" s="146" t="e">
        <x:f>IF(OR('实盘净值数据(iFinD公式)'!$A374="",'实盘净值数据(iFinD公式)'!$B374=""),"",分期持仓明细!$AD$25*SUMPRODUCT(分期持仓明细!$B$25:$AA$25,'实盘净值数据(iFinD公式)'!$B374:$AA374/'实盘净值数据(iFinD公式)'!$B$65:$AA$65)*(1-实盘持仓初始配置!$Z$9)^(('实盘净值数据(iFinD公式)'!$A374-'实盘净值数据(iFinD公式)'!$A$8)/365))</x:f>
        <x:v>#NAME?</x:v>
      </x:c>
      <x:c r="R374" s="152" t="e">
        <x:f>IF(OR(Q373="",Q374=""),"",Q374/Q373-1)</x:f>
        <x:v>#NAME?</x:v>
      </x:c>
      <x:c r="S374" s="152" t="e">
        <x:f>IF(Q374="","",Q374/MAX(Q$5:Q374)-1)</x:f>
        <x:v>#NAME?</x:v>
      </x:c>
    </x:row>
    <x:row r="375">
      <x:c r="A375" s="149" t="str">
        <x:f>IF('实盘净值数据(iFinD公式)'!A375="","",'实盘净值数据(iFinD公式)'!A375)</x:f>
      </x:c>
      <x:c r="B375" s="146" t="e">
        <x:f>IF(OR('实盘净值数据(iFinD公式)'!$A375="",'实盘净值数据(iFinD公式)'!$B375=""),"",分期持仓明细!$AD$17*SUMPRODUCT(分期持仓明细!$B$17:$AA$17,'实盘净值数据(iFinD公式)'!$B375:$AA375/'实盘净值数据(iFinD公式)'!$B$20:$AA$20)*(1-实盘持仓初始配置!$Z$4)^(('实盘净值数据(iFinD公式)'!$A375-'实盘净值数据(iFinD公式)'!$A$6)/365))</x:f>
        <x:v>#NAME?</x:v>
      </x:c>
      <x:c r="C375" s="152" t="e">
        <x:f>IF(OR(B374="",B375=""),"",B375/B374-1)</x:f>
        <x:v>#NAME?</x:v>
      </x:c>
      <x:c r="D375" s="152" t="e">
        <x:f>IF(B375="","",B375/MAX(B$5:B375)-1)</x:f>
        <x:v>#NAME?</x:v>
      </x:c>
      <x:c r="E375" s="146" t="e">
        <x:f>IF(OR('实盘净值数据(iFinD公式)'!$A375="",'实盘净值数据(iFinD公式)'!$B375=""),"",分期持仓明细!$AD$18*SUMPRODUCT(分期持仓明细!$B$18:$AA$18,'实盘净值数据(iFinD公式)'!$B375:$AA375/'实盘净值数据(iFinD公式)'!$B$20:$AA$20)*(1-实盘持仓初始配置!$Z$5)^(('实盘净值数据(iFinD公式)'!$A375-'实盘净值数据(iFinD公式)'!$A$5)/365))</x:f>
        <x:v>#NAME?</x:v>
      </x:c>
      <x:c r="F375" s="152" t="e">
        <x:f>IF(OR(E374="",E375=""),"",E375/E374-1)</x:f>
        <x:v>#NAME?</x:v>
      </x:c>
      <x:c r="G375" s="152" t="e">
        <x:f>IF(E375="","",E375/MAX(E$5:E375)-1)</x:f>
        <x:v>#NAME?</x:v>
      </x:c>
      <x:c r="H375" s="146" t="e">
        <x:f>IF(OR('实盘净值数据(iFinD公式)'!$A375="",'实盘净值数据(iFinD公式)'!$B375=""),"",分期持仓明细!$AD$19*SUMPRODUCT(分期持仓明细!$B$19:$AA$19,'实盘净值数据(iFinD公式)'!$B375:$AA375/'实盘净值数据(iFinD公式)'!$B$20:$AA$20)*(1-实盘持仓初始配置!$Z$6)^(('实盘净值数据(iFinD公式)'!$A375-'实盘净值数据(iFinD公式)'!$A$7)/365))</x:f>
        <x:v>#NAME?</x:v>
      </x:c>
      <x:c r="I375" s="152" t="e">
        <x:f>IF(OR(H374="",H375=""),"",H375/H374-1)</x:f>
        <x:v>#NAME?</x:v>
      </x:c>
      <x:c r="J375" s="152" t="e">
        <x:f>IF(H375="","",H375/MAX(H$5:H375)-1)</x:f>
        <x:v>#NAME?</x:v>
      </x:c>
      <x:c r="K375" s="146" t="e">
        <x:f>IF(OR('实盘净值数据(iFinD公式)'!$A375="",'实盘净值数据(iFinD公式)'!$B375=""),"",分期持仓明细!$AD$23*SUMPRODUCT(分期持仓明细!$B$23:$AA$23,'实盘净值数据(iFinD公式)'!$B375:$AA375/'实盘净值数据(iFinD公式)'!$B$65:$AA$65)*(1-实盘持仓初始配置!$Z$7)^(('实盘净值数据(iFinD公式)'!$A375-'实盘净值数据(iFinD公式)'!$A$8)/365))</x:f>
        <x:v>#NAME?</x:v>
      </x:c>
      <x:c r="L375" s="152" t="e">
        <x:f>IF(OR(K374="",K375=""),"",K375/K374-1)</x:f>
        <x:v>#NAME?</x:v>
      </x:c>
      <x:c r="M375" s="152" t="e">
        <x:f>IF(K375="","",K375/MAX(K$5:K375)-1)</x:f>
        <x:v>#NAME?</x:v>
      </x:c>
      <x:c r="N375" s="146" t="e">
        <x:f>IF(OR('实盘净值数据(iFinD公式)'!$A375="",'实盘净值数据(iFinD公式)'!$B375=""),"",分期持仓明细!$AD$24*SUMPRODUCT(分期持仓明细!$B$24:$AA$24,'实盘净值数据(iFinD公式)'!$B375:$AA375/'实盘净值数据(iFinD公式)'!$B$65:$AA$65)*(1-实盘持仓初始配置!$Z$8)^(('实盘净值数据(iFinD公式)'!$A375-'实盘净值数据(iFinD公式)'!$A$5)/365))</x:f>
        <x:v>#NAME?</x:v>
      </x:c>
      <x:c r="O375" s="152" t="e">
        <x:f>IF(OR(N374="",N375=""),"",N375/N374-1)</x:f>
        <x:v>#NAME?</x:v>
      </x:c>
      <x:c r="P375" s="152" t="e">
        <x:f>IF(N375="","",N375/MAX(N$5:N375)-1)</x:f>
        <x:v>#NAME?</x:v>
      </x:c>
      <x:c r="Q375" s="146" t="e">
        <x:f>IF(OR('实盘净值数据(iFinD公式)'!$A375="",'实盘净值数据(iFinD公式)'!$B375=""),"",分期持仓明细!$AD$25*SUMPRODUCT(分期持仓明细!$B$25:$AA$25,'实盘净值数据(iFinD公式)'!$B375:$AA375/'实盘净值数据(iFinD公式)'!$B$65:$AA$65)*(1-实盘持仓初始配置!$Z$9)^(('实盘净值数据(iFinD公式)'!$A375-'实盘净值数据(iFinD公式)'!$A$8)/365))</x:f>
        <x:v>#NAME?</x:v>
      </x:c>
      <x:c r="R375" s="152" t="e">
        <x:f>IF(OR(Q374="",Q375=""),"",Q375/Q374-1)</x:f>
        <x:v>#NAME?</x:v>
      </x:c>
      <x:c r="S375" s="152" t="e">
        <x:f>IF(Q375="","",Q375/MAX(Q$5:Q375)-1)</x:f>
        <x:v>#NAME?</x:v>
      </x:c>
    </x:row>
    <x:row r="376">
      <x:c r="A376" s="149" t="str">
        <x:f>IF('实盘净值数据(iFinD公式)'!A376="","",'实盘净值数据(iFinD公式)'!A376)</x:f>
      </x:c>
      <x:c r="B376" s="146" t="e">
        <x:f>IF(OR('实盘净值数据(iFinD公式)'!$A376="",'实盘净值数据(iFinD公式)'!$B376=""),"",分期持仓明细!$AD$17*SUMPRODUCT(分期持仓明细!$B$17:$AA$17,'实盘净值数据(iFinD公式)'!$B376:$AA376/'实盘净值数据(iFinD公式)'!$B$20:$AA$20)*(1-实盘持仓初始配置!$Z$4)^(('实盘净值数据(iFinD公式)'!$A376-'实盘净值数据(iFinD公式)'!$A$6)/365))</x:f>
        <x:v>#NAME?</x:v>
      </x:c>
      <x:c r="C376" s="152" t="e">
        <x:f>IF(OR(B375="",B376=""),"",B376/B375-1)</x:f>
        <x:v>#NAME?</x:v>
      </x:c>
      <x:c r="D376" s="152" t="e">
        <x:f>IF(B376="","",B376/MAX(B$5:B376)-1)</x:f>
        <x:v>#NAME?</x:v>
      </x:c>
      <x:c r="E376" s="146" t="e">
        <x:f>IF(OR('实盘净值数据(iFinD公式)'!$A376="",'实盘净值数据(iFinD公式)'!$B376=""),"",分期持仓明细!$AD$18*SUMPRODUCT(分期持仓明细!$B$18:$AA$18,'实盘净值数据(iFinD公式)'!$B376:$AA376/'实盘净值数据(iFinD公式)'!$B$20:$AA$20)*(1-实盘持仓初始配置!$Z$5)^(('实盘净值数据(iFinD公式)'!$A376-'实盘净值数据(iFinD公式)'!$A$5)/365))</x:f>
        <x:v>#NAME?</x:v>
      </x:c>
      <x:c r="F376" s="152" t="e">
        <x:f>IF(OR(E375="",E376=""),"",E376/E375-1)</x:f>
        <x:v>#NAME?</x:v>
      </x:c>
      <x:c r="G376" s="152" t="e">
        <x:f>IF(E376="","",E376/MAX(E$5:E376)-1)</x:f>
        <x:v>#NAME?</x:v>
      </x:c>
      <x:c r="H376" s="146" t="e">
        <x:f>IF(OR('实盘净值数据(iFinD公式)'!$A376="",'实盘净值数据(iFinD公式)'!$B376=""),"",分期持仓明细!$AD$19*SUMPRODUCT(分期持仓明细!$B$19:$AA$19,'实盘净值数据(iFinD公式)'!$B376:$AA376/'实盘净值数据(iFinD公式)'!$B$20:$AA$20)*(1-实盘持仓初始配置!$Z$6)^(('实盘净值数据(iFinD公式)'!$A376-'实盘净值数据(iFinD公式)'!$A$7)/365))</x:f>
        <x:v>#NAME?</x:v>
      </x:c>
      <x:c r="I376" s="152" t="e">
        <x:f>IF(OR(H375="",H376=""),"",H376/H375-1)</x:f>
        <x:v>#NAME?</x:v>
      </x:c>
      <x:c r="J376" s="152" t="e">
        <x:f>IF(H376="","",H376/MAX(H$5:H376)-1)</x:f>
        <x:v>#NAME?</x:v>
      </x:c>
      <x:c r="K376" s="146" t="e">
        <x:f>IF(OR('实盘净值数据(iFinD公式)'!$A376="",'实盘净值数据(iFinD公式)'!$B376=""),"",分期持仓明细!$AD$23*SUMPRODUCT(分期持仓明细!$B$23:$AA$23,'实盘净值数据(iFinD公式)'!$B376:$AA376/'实盘净值数据(iFinD公式)'!$B$65:$AA$65)*(1-实盘持仓初始配置!$Z$7)^(('实盘净值数据(iFinD公式)'!$A376-'实盘净值数据(iFinD公式)'!$A$8)/365))</x:f>
        <x:v>#NAME?</x:v>
      </x:c>
      <x:c r="L376" s="152" t="e">
        <x:f>IF(OR(K375="",K376=""),"",K376/K375-1)</x:f>
        <x:v>#NAME?</x:v>
      </x:c>
      <x:c r="M376" s="152" t="e">
        <x:f>IF(K376="","",K376/MAX(K$5:K376)-1)</x:f>
        <x:v>#NAME?</x:v>
      </x:c>
      <x:c r="N376" s="146" t="e">
        <x:f>IF(OR('实盘净值数据(iFinD公式)'!$A376="",'实盘净值数据(iFinD公式)'!$B376=""),"",分期持仓明细!$AD$24*SUMPRODUCT(分期持仓明细!$B$24:$AA$24,'实盘净值数据(iFinD公式)'!$B376:$AA376/'实盘净值数据(iFinD公式)'!$B$65:$AA$65)*(1-实盘持仓初始配置!$Z$8)^(('实盘净值数据(iFinD公式)'!$A376-'实盘净值数据(iFinD公式)'!$A$5)/365))</x:f>
        <x:v>#NAME?</x:v>
      </x:c>
      <x:c r="O376" s="152" t="e">
        <x:f>IF(OR(N375="",N376=""),"",N376/N375-1)</x:f>
        <x:v>#NAME?</x:v>
      </x:c>
      <x:c r="P376" s="152" t="e">
        <x:f>IF(N376="","",N376/MAX(N$5:N376)-1)</x:f>
        <x:v>#NAME?</x:v>
      </x:c>
      <x:c r="Q376" s="146" t="e">
        <x:f>IF(OR('实盘净值数据(iFinD公式)'!$A376="",'实盘净值数据(iFinD公式)'!$B376=""),"",分期持仓明细!$AD$25*SUMPRODUCT(分期持仓明细!$B$25:$AA$25,'实盘净值数据(iFinD公式)'!$B376:$AA376/'实盘净值数据(iFinD公式)'!$B$65:$AA$65)*(1-实盘持仓初始配置!$Z$9)^(('实盘净值数据(iFinD公式)'!$A376-'实盘净值数据(iFinD公式)'!$A$8)/365))</x:f>
        <x:v>#NAME?</x:v>
      </x:c>
      <x:c r="R376" s="152" t="e">
        <x:f>IF(OR(Q375="",Q376=""),"",Q376/Q375-1)</x:f>
        <x:v>#NAME?</x:v>
      </x:c>
      <x:c r="S376" s="152" t="e">
        <x:f>IF(Q376="","",Q376/MAX(Q$5:Q376)-1)</x:f>
        <x:v>#NAME?</x:v>
      </x:c>
    </x:row>
    <x:row r="377">
      <x:c r="A377" s="149" t="str">
        <x:f>IF('实盘净值数据(iFinD公式)'!A377="","",'实盘净值数据(iFinD公式)'!A377)</x:f>
      </x:c>
      <x:c r="B377" s="146" t="e">
        <x:f>IF(OR('实盘净值数据(iFinD公式)'!$A377="",'实盘净值数据(iFinD公式)'!$B377=""),"",分期持仓明细!$AD$17*SUMPRODUCT(分期持仓明细!$B$17:$AA$17,'实盘净值数据(iFinD公式)'!$B377:$AA377/'实盘净值数据(iFinD公式)'!$B$20:$AA$20)*(1-实盘持仓初始配置!$Z$4)^(('实盘净值数据(iFinD公式)'!$A377-'实盘净值数据(iFinD公式)'!$A$6)/365))</x:f>
        <x:v>#NAME?</x:v>
      </x:c>
      <x:c r="C377" s="152" t="e">
        <x:f>IF(OR(B376="",B377=""),"",B377/B376-1)</x:f>
        <x:v>#NAME?</x:v>
      </x:c>
      <x:c r="D377" s="152" t="e">
        <x:f>IF(B377="","",B377/MAX(B$5:B377)-1)</x:f>
        <x:v>#NAME?</x:v>
      </x:c>
      <x:c r="E377" s="146" t="e">
        <x:f>IF(OR('实盘净值数据(iFinD公式)'!$A377="",'实盘净值数据(iFinD公式)'!$B377=""),"",分期持仓明细!$AD$18*SUMPRODUCT(分期持仓明细!$B$18:$AA$18,'实盘净值数据(iFinD公式)'!$B377:$AA377/'实盘净值数据(iFinD公式)'!$B$20:$AA$20)*(1-实盘持仓初始配置!$Z$5)^(('实盘净值数据(iFinD公式)'!$A377-'实盘净值数据(iFinD公式)'!$A$5)/365))</x:f>
        <x:v>#NAME?</x:v>
      </x:c>
      <x:c r="F377" s="152" t="e">
        <x:f>IF(OR(E376="",E377=""),"",E377/E376-1)</x:f>
        <x:v>#NAME?</x:v>
      </x:c>
      <x:c r="G377" s="152" t="e">
        <x:f>IF(E377="","",E377/MAX(E$5:E377)-1)</x:f>
        <x:v>#NAME?</x:v>
      </x:c>
      <x:c r="H377" s="146" t="e">
        <x:f>IF(OR('实盘净值数据(iFinD公式)'!$A377="",'实盘净值数据(iFinD公式)'!$B377=""),"",分期持仓明细!$AD$19*SUMPRODUCT(分期持仓明细!$B$19:$AA$19,'实盘净值数据(iFinD公式)'!$B377:$AA377/'实盘净值数据(iFinD公式)'!$B$20:$AA$20)*(1-实盘持仓初始配置!$Z$6)^(('实盘净值数据(iFinD公式)'!$A377-'实盘净值数据(iFinD公式)'!$A$7)/365))</x:f>
        <x:v>#NAME?</x:v>
      </x:c>
      <x:c r="I377" s="152" t="e">
        <x:f>IF(OR(H376="",H377=""),"",H377/H376-1)</x:f>
        <x:v>#NAME?</x:v>
      </x:c>
      <x:c r="J377" s="152" t="e">
        <x:f>IF(H377="","",H377/MAX(H$5:H377)-1)</x:f>
        <x:v>#NAME?</x:v>
      </x:c>
      <x:c r="K377" s="146" t="e">
        <x:f>IF(OR('实盘净值数据(iFinD公式)'!$A377="",'实盘净值数据(iFinD公式)'!$B377=""),"",分期持仓明细!$AD$23*SUMPRODUCT(分期持仓明细!$B$23:$AA$23,'实盘净值数据(iFinD公式)'!$B377:$AA377/'实盘净值数据(iFinD公式)'!$B$65:$AA$65)*(1-实盘持仓初始配置!$Z$7)^(('实盘净值数据(iFinD公式)'!$A377-'实盘净值数据(iFinD公式)'!$A$8)/365))</x:f>
        <x:v>#NAME?</x:v>
      </x:c>
      <x:c r="L377" s="152" t="e">
        <x:f>IF(OR(K376="",K377=""),"",K377/K376-1)</x:f>
        <x:v>#NAME?</x:v>
      </x:c>
      <x:c r="M377" s="152" t="e">
        <x:f>IF(K377="","",K377/MAX(K$5:K377)-1)</x:f>
        <x:v>#NAME?</x:v>
      </x:c>
      <x:c r="N377" s="146" t="e">
        <x:f>IF(OR('实盘净值数据(iFinD公式)'!$A377="",'实盘净值数据(iFinD公式)'!$B377=""),"",分期持仓明细!$AD$24*SUMPRODUCT(分期持仓明细!$B$24:$AA$24,'实盘净值数据(iFinD公式)'!$B377:$AA377/'实盘净值数据(iFinD公式)'!$B$65:$AA$65)*(1-实盘持仓初始配置!$Z$8)^(('实盘净值数据(iFinD公式)'!$A377-'实盘净值数据(iFinD公式)'!$A$5)/365))</x:f>
        <x:v>#NAME?</x:v>
      </x:c>
      <x:c r="O377" s="152" t="e">
        <x:f>IF(OR(N376="",N377=""),"",N377/N376-1)</x:f>
        <x:v>#NAME?</x:v>
      </x:c>
      <x:c r="P377" s="152" t="e">
        <x:f>IF(N377="","",N377/MAX(N$5:N377)-1)</x:f>
        <x:v>#NAME?</x:v>
      </x:c>
      <x:c r="Q377" s="146" t="e">
        <x:f>IF(OR('实盘净值数据(iFinD公式)'!$A377="",'实盘净值数据(iFinD公式)'!$B377=""),"",分期持仓明细!$AD$25*SUMPRODUCT(分期持仓明细!$B$25:$AA$25,'实盘净值数据(iFinD公式)'!$B377:$AA377/'实盘净值数据(iFinD公式)'!$B$65:$AA$65)*(1-实盘持仓初始配置!$Z$9)^(('实盘净值数据(iFinD公式)'!$A377-'实盘净值数据(iFinD公式)'!$A$8)/365))</x:f>
        <x:v>#NAME?</x:v>
      </x:c>
      <x:c r="R377" s="152" t="e">
        <x:f>IF(OR(Q376="",Q377=""),"",Q377/Q376-1)</x:f>
        <x:v>#NAME?</x:v>
      </x:c>
      <x:c r="S377" s="152" t="e">
        <x:f>IF(Q377="","",Q377/MAX(Q$5:Q377)-1)</x:f>
        <x:v>#NAME?</x:v>
      </x:c>
    </x:row>
    <x:row r="378">
      <x:c r="A378" s="149" t="str">
        <x:f>IF('实盘净值数据(iFinD公式)'!A378="","",'实盘净值数据(iFinD公式)'!A378)</x:f>
      </x:c>
      <x:c r="B378" s="146" t="e">
        <x:f>IF(OR('实盘净值数据(iFinD公式)'!$A378="",'实盘净值数据(iFinD公式)'!$B378=""),"",分期持仓明细!$AD$17*SUMPRODUCT(分期持仓明细!$B$17:$AA$17,'实盘净值数据(iFinD公式)'!$B378:$AA378/'实盘净值数据(iFinD公式)'!$B$20:$AA$20)*(1-实盘持仓初始配置!$Z$4)^(('实盘净值数据(iFinD公式)'!$A378-'实盘净值数据(iFinD公式)'!$A$6)/365))</x:f>
        <x:v>#NAME?</x:v>
      </x:c>
      <x:c r="C378" s="152" t="e">
        <x:f>IF(OR(B377="",B378=""),"",B378/B377-1)</x:f>
        <x:v>#NAME?</x:v>
      </x:c>
      <x:c r="D378" s="152" t="e">
        <x:f>IF(B378="","",B378/MAX(B$5:B378)-1)</x:f>
        <x:v>#NAME?</x:v>
      </x:c>
      <x:c r="E378" s="146" t="e">
        <x:f>IF(OR('实盘净值数据(iFinD公式)'!$A378="",'实盘净值数据(iFinD公式)'!$B378=""),"",分期持仓明细!$AD$18*SUMPRODUCT(分期持仓明细!$B$18:$AA$18,'实盘净值数据(iFinD公式)'!$B378:$AA378/'实盘净值数据(iFinD公式)'!$B$20:$AA$20)*(1-实盘持仓初始配置!$Z$5)^(('实盘净值数据(iFinD公式)'!$A378-'实盘净值数据(iFinD公式)'!$A$5)/365))</x:f>
        <x:v>#NAME?</x:v>
      </x:c>
      <x:c r="F378" s="152" t="e">
        <x:f>IF(OR(E377="",E378=""),"",E378/E377-1)</x:f>
        <x:v>#NAME?</x:v>
      </x:c>
      <x:c r="G378" s="152" t="e">
        <x:f>IF(E378="","",E378/MAX(E$5:E378)-1)</x:f>
        <x:v>#NAME?</x:v>
      </x:c>
      <x:c r="H378" s="146" t="e">
        <x:f>IF(OR('实盘净值数据(iFinD公式)'!$A378="",'实盘净值数据(iFinD公式)'!$B378=""),"",分期持仓明细!$AD$19*SUMPRODUCT(分期持仓明细!$B$19:$AA$19,'实盘净值数据(iFinD公式)'!$B378:$AA378/'实盘净值数据(iFinD公式)'!$B$20:$AA$20)*(1-实盘持仓初始配置!$Z$6)^(('实盘净值数据(iFinD公式)'!$A378-'实盘净值数据(iFinD公式)'!$A$7)/365))</x:f>
        <x:v>#NAME?</x:v>
      </x:c>
      <x:c r="I378" s="152" t="e">
        <x:f>IF(OR(H377="",H378=""),"",H378/H377-1)</x:f>
        <x:v>#NAME?</x:v>
      </x:c>
      <x:c r="J378" s="152" t="e">
        <x:f>IF(H378="","",H378/MAX(H$5:H378)-1)</x:f>
        <x:v>#NAME?</x:v>
      </x:c>
      <x:c r="K378" s="146" t="e">
        <x:f>IF(OR('实盘净值数据(iFinD公式)'!$A378="",'实盘净值数据(iFinD公式)'!$B378=""),"",分期持仓明细!$AD$23*SUMPRODUCT(分期持仓明细!$B$23:$AA$23,'实盘净值数据(iFinD公式)'!$B378:$AA378/'实盘净值数据(iFinD公式)'!$B$65:$AA$65)*(1-实盘持仓初始配置!$Z$7)^(('实盘净值数据(iFinD公式)'!$A378-'实盘净值数据(iFinD公式)'!$A$8)/365))</x:f>
        <x:v>#NAME?</x:v>
      </x:c>
      <x:c r="L378" s="152" t="e">
        <x:f>IF(OR(K377="",K378=""),"",K378/K377-1)</x:f>
        <x:v>#NAME?</x:v>
      </x:c>
      <x:c r="M378" s="152" t="e">
        <x:f>IF(K378="","",K378/MAX(K$5:K378)-1)</x:f>
        <x:v>#NAME?</x:v>
      </x:c>
      <x:c r="N378" s="146" t="e">
        <x:f>IF(OR('实盘净值数据(iFinD公式)'!$A378="",'实盘净值数据(iFinD公式)'!$B378=""),"",分期持仓明细!$AD$24*SUMPRODUCT(分期持仓明细!$B$24:$AA$24,'实盘净值数据(iFinD公式)'!$B378:$AA378/'实盘净值数据(iFinD公式)'!$B$65:$AA$65)*(1-实盘持仓初始配置!$Z$8)^(('实盘净值数据(iFinD公式)'!$A378-'实盘净值数据(iFinD公式)'!$A$5)/365))</x:f>
        <x:v>#NAME?</x:v>
      </x:c>
      <x:c r="O378" s="152" t="e">
        <x:f>IF(OR(N377="",N378=""),"",N378/N377-1)</x:f>
        <x:v>#NAME?</x:v>
      </x:c>
      <x:c r="P378" s="152" t="e">
        <x:f>IF(N378="","",N378/MAX(N$5:N378)-1)</x:f>
        <x:v>#NAME?</x:v>
      </x:c>
      <x:c r="Q378" s="146" t="e">
        <x:f>IF(OR('实盘净值数据(iFinD公式)'!$A378="",'实盘净值数据(iFinD公式)'!$B378=""),"",分期持仓明细!$AD$25*SUMPRODUCT(分期持仓明细!$B$25:$AA$25,'实盘净值数据(iFinD公式)'!$B378:$AA378/'实盘净值数据(iFinD公式)'!$B$65:$AA$65)*(1-实盘持仓初始配置!$Z$9)^(('实盘净值数据(iFinD公式)'!$A378-'实盘净值数据(iFinD公式)'!$A$8)/365))</x:f>
        <x:v>#NAME?</x:v>
      </x:c>
      <x:c r="R378" s="152" t="e">
        <x:f>IF(OR(Q377="",Q378=""),"",Q378/Q377-1)</x:f>
        <x:v>#NAME?</x:v>
      </x:c>
      <x:c r="S378" s="152" t="e">
        <x:f>IF(Q378="","",Q378/MAX(Q$5:Q378)-1)</x:f>
        <x:v>#NAME?</x:v>
      </x:c>
    </x:row>
    <x:row r="379">
      <x:c r="A379" s="149" t="str">
        <x:f>IF('实盘净值数据(iFinD公式)'!A379="","",'实盘净值数据(iFinD公式)'!A379)</x:f>
      </x:c>
      <x:c r="B379" s="146" t="e">
        <x:f>IF(OR('实盘净值数据(iFinD公式)'!$A379="",'实盘净值数据(iFinD公式)'!$B379=""),"",分期持仓明细!$AD$17*SUMPRODUCT(分期持仓明细!$B$17:$AA$17,'实盘净值数据(iFinD公式)'!$B379:$AA379/'实盘净值数据(iFinD公式)'!$B$20:$AA$20)*(1-实盘持仓初始配置!$Z$4)^(('实盘净值数据(iFinD公式)'!$A379-'实盘净值数据(iFinD公式)'!$A$6)/365))</x:f>
        <x:v>#NAME?</x:v>
      </x:c>
      <x:c r="C379" s="152" t="e">
        <x:f>IF(OR(B378="",B379=""),"",B379/B378-1)</x:f>
        <x:v>#NAME?</x:v>
      </x:c>
      <x:c r="D379" s="152" t="e">
        <x:f>IF(B379="","",B379/MAX(B$5:B379)-1)</x:f>
        <x:v>#NAME?</x:v>
      </x:c>
      <x:c r="E379" s="146" t="e">
        <x:f>IF(OR('实盘净值数据(iFinD公式)'!$A379="",'实盘净值数据(iFinD公式)'!$B379=""),"",分期持仓明细!$AD$18*SUMPRODUCT(分期持仓明细!$B$18:$AA$18,'实盘净值数据(iFinD公式)'!$B379:$AA379/'实盘净值数据(iFinD公式)'!$B$20:$AA$20)*(1-实盘持仓初始配置!$Z$5)^(('实盘净值数据(iFinD公式)'!$A379-'实盘净值数据(iFinD公式)'!$A$5)/365))</x:f>
        <x:v>#NAME?</x:v>
      </x:c>
      <x:c r="F379" s="152" t="e">
        <x:f>IF(OR(E378="",E379=""),"",E379/E378-1)</x:f>
        <x:v>#NAME?</x:v>
      </x:c>
      <x:c r="G379" s="152" t="e">
        <x:f>IF(E379="","",E379/MAX(E$5:E379)-1)</x:f>
        <x:v>#NAME?</x:v>
      </x:c>
      <x:c r="H379" s="146" t="e">
        <x:f>IF(OR('实盘净值数据(iFinD公式)'!$A379="",'实盘净值数据(iFinD公式)'!$B379=""),"",分期持仓明细!$AD$19*SUMPRODUCT(分期持仓明细!$B$19:$AA$19,'实盘净值数据(iFinD公式)'!$B379:$AA379/'实盘净值数据(iFinD公式)'!$B$20:$AA$20)*(1-实盘持仓初始配置!$Z$6)^(('实盘净值数据(iFinD公式)'!$A379-'实盘净值数据(iFinD公式)'!$A$7)/365))</x:f>
        <x:v>#NAME?</x:v>
      </x:c>
      <x:c r="I379" s="152" t="e">
        <x:f>IF(OR(H378="",H379=""),"",H379/H378-1)</x:f>
        <x:v>#NAME?</x:v>
      </x:c>
      <x:c r="J379" s="152" t="e">
        <x:f>IF(H379="","",H379/MAX(H$5:H379)-1)</x:f>
        <x:v>#NAME?</x:v>
      </x:c>
      <x:c r="K379" s="146" t="e">
        <x:f>IF(OR('实盘净值数据(iFinD公式)'!$A379="",'实盘净值数据(iFinD公式)'!$B379=""),"",分期持仓明细!$AD$23*SUMPRODUCT(分期持仓明细!$B$23:$AA$23,'实盘净值数据(iFinD公式)'!$B379:$AA379/'实盘净值数据(iFinD公式)'!$B$65:$AA$65)*(1-实盘持仓初始配置!$Z$7)^(('实盘净值数据(iFinD公式)'!$A379-'实盘净值数据(iFinD公式)'!$A$8)/365))</x:f>
        <x:v>#NAME?</x:v>
      </x:c>
      <x:c r="L379" s="152" t="e">
        <x:f>IF(OR(K378="",K379=""),"",K379/K378-1)</x:f>
        <x:v>#NAME?</x:v>
      </x:c>
      <x:c r="M379" s="152" t="e">
        <x:f>IF(K379="","",K379/MAX(K$5:K379)-1)</x:f>
        <x:v>#NAME?</x:v>
      </x:c>
      <x:c r="N379" s="146" t="e">
        <x:f>IF(OR('实盘净值数据(iFinD公式)'!$A379="",'实盘净值数据(iFinD公式)'!$B379=""),"",分期持仓明细!$AD$24*SUMPRODUCT(分期持仓明细!$B$24:$AA$24,'实盘净值数据(iFinD公式)'!$B379:$AA379/'实盘净值数据(iFinD公式)'!$B$65:$AA$65)*(1-实盘持仓初始配置!$Z$8)^(('实盘净值数据(iFinD公式)'!$A379-'实盘净值数据(iFinD公式)'!$A$5)/365))</x:f>
        <x:v>#NAME?</x:v>
      </x:c>
      <x:c r="O379" s="152" t="e">
        <x:f>IF(OR(N378="",N379=""),"",N379/N378-1)</x:f>
        <x:v>#NAME?</x:v>
      </x:c>
      <x:c r="P379" s="152" t="e">
        <x:f>IF(N379="","",N379/MAX(N$5:N379)-1)</x:f>
        <x:v>#NAME?</x:v>
      </x:c>
      <x:c r="Q379" s="146" t="e">
        <x:f>IF(OR('实盘净值数据(iFinD公式)'!$A379="",'实盘净值数据(iFinD公式)'!$B379=""),"",分期持仓明细!$AD$25*SUMPRODUCT(分期持仓明细!$B$25:$AA$25,'实盘净值数据(iFinD公式)'!$B379:$AA379/'实盘净值数据(iFinD公式)'!$B$65:$AA$65)*(1-实盘持仓初始配置!$Z$9)^(('实盘净值数据(iFinD公式)'!$A379-'实盘净值数据(iFinD公式)'!$A$8)/365))</x:f>
        <x:v>#NAME?</x:v>
      </x:c>
      <x:c r="R379" s="152" t="e">
        <x:f>IF(OR(Q378="",Q379=""),"",Q379/Q378-1)</x:f>
        <x:v>#NAME?</x:v>
      </x:c>
      <x:c r="S379" s="152" t="e">
        <x:f>IF(Q379="","",Q379/MAX(Q$5:Q379)-1)</x:f>
        <x:v>#NAME?</x:v>
      </x:c>
    </x:row>
    <x:row r="380">
      <x:c r="A380" s="149" t="str">
        <x:f>IF('实盘净值数据(iFinD公式)'!A380="","",'实盘净值数据(iFinD公式)'!A380)</x:f>
      </x:c>
      <x:c r="B380" s="146" t="e">
        <x:f>IF(OR('实盘净值数据(iFinD公式)'!$A380="",'实盘净值数据(iFinD公式)'!$B380=""),"",分期持仓明细!$AD$17*SUMPRODUCT(分期持仓明细!$B$17:$AA$17,'实盘净值数据(iFinD公式)'!$B380:$AA380/'实盘净值数据(iFinD公式)'!$B$20:$AA$20)*(1-实盘持仓初始配置!$Z$4)^(('实盘净值数据(iFinD公式)'!$A380-'实盘净值数据(iFinD公式)'!$A$6)/365))</x:f>
        <x:v>#NAME?</x:v>
      </x:c>
      <x:c r="C380" s="152" t="e">
        <x:f>IF(OR(B379="",B380=""),"",B380/B379-1)</x:f>
        <x:v>#NAME?</x:v>
      </x:c>
      <x:c r="D380" s="152" t="e">
        <x:f>IF(B380="","",B380/MAX(B$5:B380)-1)</x:f>
        <x:v>#NAME?</x:v>
      </x:c>
      <x:c r="E380" s="146" t="e">
        <x:f>IF(OR('实盘净值数据(iFinD公式)'!$A380="",'实盘净值数据(iFinD公式)'!$B380=""),"",分期持仓明细!$AD$18*SUMPRODUCT(分期持仓明细!$B$18:$AA$18,'实盘净值数据(iFinD公式)'!$B380:$AA380/'实盘净值数据(iFinD公式)'!$B$20:$AA$20)*(1-实盘持仓初始配置!$Z$5)^(('实盘净值数据(iFinD公式)'!$A380-'实盘净值数据(iFinD公式)'!$A$5)/365))</x:f>
        <x:v>#NAME?</x:v>
      </x:c>
      <x:c r="F380" s="152" t="e">
        <x:f>IF(OR(E379="",E380=""),"",E380/E379-1)</x:f>
        <x:v>#NAME?</x:v>
      </x:c>
      <x:c r="G380" s="152" t="e">
        <x:f>IF(E380="","",E380/MAX(E$5:E380)-1)</x:f>
        <x:v>#NAME?</x:v>
      </x:c>
      <x:c r="H380" s="146" t="e">
        <x:f>IF(OR('实盘净值数据(iFinD公式)'!$A380="",'实盘净值数据(iFinD公式)'!$B380=""),"",分期持仓明细!$AD$19*SUMPRODUCT(分期持仓明细!$B$19:$AA$19,'实盘净值数据(iFinD公式)'!$B380:$AA380/'实盘净值数据(iFinD公式)'!$B$20:$AA$20)*(1-实盘持仓初始配置!$Z$6)^(('实盘净值数据(iFinD公式)'!$A380-'实盘净值数据(iFinD公式)'!$A$7)/365))</x:f>
        <x:v>#NAME?</x:v>
      </x:c>
      <x:c r="I380" s="152" t="e">
        <x:f>IF(OR(H379="",H380=""),"",H380/H379-1)</x:f>
        <x:v>#NAME?</x:v>
      </x:c>
      <x:c r="J380" s="152" t="e">
        <x:f>IF(H380="","",H380/MAX(H$5:H380)-1)</x:f>
        <x:v>#NAME?</x:v>
      </x:c>
      <x:c r="K380" s="146" t="e">
        <x:f>IF(OR('实盘净值数据(iFinD公式)'!$A380="",'实盘净值数据(iFinD公式)'!$B380=""),"",分期持仓明细!$AD$23*SUMPRODUCT(分期持仓明细!$B$23:$AA$23,'实盘净值数据(iFinD公式)'!$B380:$AA380/'实盘净值数据(iFinD公式)'!$B$65:$AA$65)*(1-实盘持仓初始配置!$Z$7)^(('实盘净值数据(iFinD公式)'!$A380-'实盘净值数据(iFinD公式)'!$A$8)/365))</x:f>
        <x:v>#NAME?</x:v>
      </x:c>
      <x:c r="L380" s="152" t="e">
        <x:f>IF(OR(K379="",K380=""),"",K380/K379-1)</x:f>
        <x:v>#NAME?</x:v>
      </x:c>
      <x:c r="M380" s="152" t="e">
        <x:f>IF(K380="","",K380/MAX(K$5:K380)-1)</x:f>
        <x:v>#NAME?</x:v>
      </x:c>
      <x:c r="N380" s="146" t="e">
        <x:f>IF(OR('实盘净值数据(iFinD公式)'!$A380="",'实盘净值数据(iFinD公式)'!$B380=""),"",分期持仓明细!$AD$24*SUMPRODUCT(分期持仓明细!$B$24:$AA$24,'实盘净值数据(iFinD公式)'!$B380:$AA380/'实盘净值数据(iFinD公式)'!$B$65:$AA$65)*(1-实盘持仓初始配置!$Z$8)^(('实盘净值数据(iFinD公式)'!$A380-'实盘净值数据(iFinD公式)'!$A$5)/365))</x:f>
        <x:v>#NAME?</x:v>
      </x:c>
      <x:c r="O380" s="152" t="e">
        <x:f>IF(OR(N379="",N380=""),"",N380/N379-1)</x:f>
        <x:v>#NAME?</x:v>
      </x:c>
      <x:c r="P380" s="152" t="e">
        <x:f>IF(N380="","",N380/MAX(N$5:N380)-1)</x:f>
        <x:v>#NAME?</x:v>
      </x:c>
      <x:c r="Q380" s="146" t="e">
        <x:f>IF(OR('实盘净值数据(iFinD公式)'!$A380="",'实盘净值数据(iFinD公式)'!$B380=""),"",分期持仓明细!$AD$25*SUMPRODUCT(分期持仓明细!$B$25:$AA$25,'实盘净值数据(iFinD公式)'!$B380:$AA380/'实盘净值数据(iFinD公式)'!$B$65:$AA$65)*(1-实盘持仓初始配置!$Z$9)^(('实盘净值数据(iFinD公式)'!$A380-'实盘净值数据(iFinD公式)'!$A$8)/365))</x:f>
        <x:v>#NAME?</x:v>
      </x:c>
      <x:c r="R380" s="152" t="e">
        <x:f>IF(OR(Q379="",Q380=""),"",Q380/Q379-1)</x:f>
        <x:v>#NAME?</x:v>
      </x:c>
      <x:c r="S380" s="152" t="e">
        <x:f>IF(Q380="","",Q380/MAX(Q$5:Q380)-1)</x:f>
        <x:v>#NAME?</x:v>
      </x:c>
    </x:row>
    <x:row r="381">
      <x:c r="A381" s="149" t="str">
        <x:f>IF('实盘净值数据(iFinD公式)'!A381="","",'实盘净值数据(iFinD公式)'!A381)</x:f>
      </x:c>
      <x:c r="B381" s="146" t="e">
        <x:f>IF(OR('实盘净值数据(iFinD公式)'!$A381="",'实盘净值数据(iFinD公式)'!$B381=""),"",分期持仓明细!$AD$17*SUMPRODUCT(分期持仓明细!$B$17:$AA$17,'实盘净值数据(iFinD公式)'!$B381:$AA381/'实盘净值数据(iFinD公式)'!$B$20:$AA$20)*(1-实盘持仓初始配置!$Z$4)^(('实盘净值数据(iFinD公式)'!$A381-'实盘净值数据(iFinD公式)'!$A$6)/365))</x:f>
        <x:v>#NAME?</x:v>
      </x:c>
      <x:c r="C381" s="152" t="e">
        <x:f>IF(OR(B380="",B381=""),"",B381/B380-1)</x:f>
        <x:v>#NAME?</x:v>
      </x:c>
      <x:c r="D381" s="152" t="e">
        <x:f>IF(B381="","",B381/MAX(B$5:B381)-1)</x:f>
        <x:v>#NAME?</x:v>
      </x:c>
      <x:c r="E381" s="146" t="e">
        <x:f>IF(OR('实盘净值数据(iFinD公式)'!$A381="",'实盘净值数据(iFinD公式)'!$B381=""),"",分期持仓明细!$AD$18*SUMPRODUCT(分期持仓明细!$B$18:$AA$18,'实盘净值数据(iFinD公式)'!$B381:$AA381/'实盘净值数据(iFinD公式)'!$B$20:$AA$20)*(1-实盘持仓初始配置!$Z$5)^(('实盘净值数据(iFinD公式)'!$A381-'实盘净值数据(iFinD公式)'!$A$5)/365))</x:f>
        <x:v>#NAME?</x:v>
      </x:c>
      <x:c r="F381" s="152" t="e">
        <x:f>IF(OR(E380="",E381=""),"",E381/E380-1)</x:f>
        <x:v>#NAME?</x:v>
      </x:c>
      <x:c r="G381" s="152" t="e">
        <x:f>IF(E381="","",E381/MAX(E$5:E381)-1)</x:f>
        <x:v>#NAME?</x:v>
      </x:c>
      <x:c r="H381" s="146" t="e">
        <x:f>IF(OR('实盘净值数据(iFinD公式)'!$A381="",'实盘净值数据(iFinD公式)'!$B381=""),"",分期持仓明细!$AD$19*SUMPRODUCT(分期持仓明细!$B$19:$AA$19,'实盘净值数据(iFinD公式)'!$B381:$AA381/'实盘净值数据(iFinD公式)'!$B$20:$AA$20)*(1-实盘持仓初始配置!$Z$6)^(('实盘净值数据(iFinD公式)'!$A381-'实盘净值数据(iFinD公式)'!$A$7)/365))</x:f>
        <x:v>#NAME?</x:v>
      </x:c>
      <x:c r="I381" s="152" t="e">
        <x:f>IF(OR(H380="",H381=""),"",H381/H380-1)</x:f>
        <x:v>#NAME?</x:v>
      </x:c>
      <x:c r="J381" s="152" t="e">
        <x:f>IF(H381="","",H381/MAX(H$5:H381)-1)</x:f>
        <x:v>#NAME?</x:v>
      </x:c>
      <x:c r="K381" s="146" t="e">
        <x:f>IF(OR('实盘净值数据(iFinD公式)'!$A381="",'实盘净值数据(iFinD公式)'!$B381=""),"",分期持仓明细!$AD$23*SUMPRODUCT(分期持仓明细!$B$23:$AA$23,'实盘净值数据(iFinD公式)'!$B381:$AA381/'实盘净值数据(iFinD公式)'!$B$65:$AA$65)*(1-实盘持仓初始配置!$Z$7)^(('实盘净值数据(iFinD公式)'!$A381-'实盘净值数据(iFinD公式)'!$A$8)/365))</x:f>
        <x:v>#NAME?</x:v>
      </x:c>
      <x:c r="L381" s="152" t="e">
        <x:f>IF(OR(K380="",K381=""),"",K381/K380-1)</x:f>
        <x:v>#NAME?</x:v>
      </x:c>
      <x:c r="M381" s="152" t="e">
        <x:f>IF(K381="","",K381/MAX(K$5:K381)-1)</x:f>
        <x:v>#NAME?</x:v>
      </x:c>
      <x:c r="N381" s="146" t="e">
        <x:f>IF(OR('实盘净值数据(iFinD公式)'!$A381="",'实盘净值数据(iFinD公式)'!$B381=""),"",分期持仓明细!$AD$24*SUMPRODUCT(分期持仓明细!$B$24:$AA$24,'实盘净值数据(iFinD公式)'!$B381:$AA381/'实盘净值数据(iFinD公式)'!$B$65:$AA$65)*(1-实盘持仓初始配置!$Z$8)^(('实盘净值数据(iFinD公式)'!$A381-'实盘净值数据(iFinD公式)'!$A$5)/365))</x:f>
        <x:v>#NAME?</x:v>
      </x:c>
      <x:c r="O381" s="152" t="e">
        <x:f>IF(OR(N380="",N381=""),"",N381/N380-1)</x:f>
        <x:v>#NAME?</x:v>
      </x:c>
      <x:c r="P381" s="152" t="e">
        <x:f>IF(N381="","",N381/MAX(N$5:N381)-1)</x:f>
        <x:v>#NAME?</x:v>
      </x:c>
      <x:c r="Q381" s="146" t="e">
        <x:f>IF(OR('实盘净值数据(iFinD公式)'!$A381="",'实盘净值数据(iFinD公式)'!$B381=""),"",分期持仓明细!$AD$25*SUMPRODUCT(分期持仓明细!$B$25:$AA$25,'实盘净值数据(iFinD公式)'!$B381:$AA381/'实盘净值数据(iFinD公式)'!$B$65:$AA$65)*(1-实盘持仓初始配置!$Z$9)^(('实盘净值数据(iFinD公式)'!$A381-'实盘净值数据(iFinD公式)'!$A$8)/365))</x:f>
        <x:v>#NAME?</x:v>
      </x:c>
      <x:c r="R381" s="152" t="e">
        <x:f>IF(OR(Q380="",Q381=""),"",Q381/Q380-1)</x:f>
        <x:v>#NAME?</x:v>
      </x:c>
      <x:c r="S381" s="152" t="e">
        <x:f>IF(Q381="","",Q381/MAX(Q$5:Q381)-1)</x:f>
        <x:v>#NAME?</x:v>
      </x:c>
    </x:row>
    <x:row r="382">
      <x:c r="A382" s="149" t="str">
        <x:f>IF('实盘净值数据(iFinD公式)'!A382="","",'实盘净值数据(iFinD公式)'!A382)</x:f>
      </x:c>
      <x:c r="B382" s="146" t="e">
        <x:f>IF(OR('实盘净值数据(iFinD公式)'!$A382="",'实盘净值数据(iFinD公式)'!$B382=""),"",分期持仓明细!$AD$17*SUMPRODUCT(分期持仓明细!$B$17:$AA$17,'实盘净值数据(iFinD公式)'!$B382:$AA382/'实盘净值数据(iFinD公式)'!$B$20:$AA$20)*(1-实盘持仓初始配置!$Z$4)^(('实盘净值数据(iFinD公式)'!$A382-'实盘净值数据(iFinD公式)'!$A$6)/365))</x:f>
        <x:v>#NAME?</x:v>
      </x:c>
      <x:c r="C382" s="152" t="e">
        <x:f>IF(OR(B381="",B382=""),"",B382/B381-1)</x:f>
        <x:v>#NAME?</x:v>
      </x:c>
      <x:c r="D382" s="152" t="e">
        <x:f>IF(B382="","",B382/MAX(B$5:B382)-1)</x:f>
        <x:v>#NAME?</x:v>
      </x:c>
      <x:c r="E382" s="146" t="e">
        <x:f>IF(OR('实盘净值数据(iFinD公式)'!$A382="",'实盘净值数据(iFinD公式)'!$B382=""),"",分期持仓明细!$AD$18*SUMPRODUCT(分期持仓明细!$B$18:$AA$18,'实盘净值数据(iFinD公式)'!$B382:$AA382/'实盘净值数据(iFinD公式)'!$B$20:$AA$20)*(1-实盘持仓初始配置!$Z$5)^(('实盘净值数据(iFinD公式)'!$A382-'实盘净值数据(iFinD公式)'!$A$5)/365))</x:f>
        <x:v>#NAME?</x:v>
      </x:c>
      <x:c r="F382" s="152" t="e">
        <x:f>IF(OR(E381="",E382=""),"",E382/E381-1)</x:f>
        <x:v>#NAME?</x:v>
      </x:c>
      <x:c r="G382" s="152" t="e">
        <x:f>IF(E382="","",E382/MAX(E$5:E382)-1)</x:f>
        <x:v>#NAME?</x:v>
      </x:c>
      <x:c r="H382" s="146" t="e">
        <x:f>IF(OR('实盘净值数据(iFinD公式)'!$A382="",'实盘净值数据(iFinD公式)'!$B382=""),"",分期持仓明细!$AD$19*SUMPRODUCT(分期持仓明细!$B$19:$AA$19,'实盘净值数据(iFinD公式)'!$B382:$AA382/'实盘净值数据(iFinD公式)'!$B$20:$AA$20)*(1-实盘持仓初始配置!$Z$6)^(('实盘净值数据(iFinD公式)'!$A382-'实盘净值数据(iFinD公式)'!$A$7)/365))</x:f>
        <x:v>#NAME?</x:v>
      </x:c>
      <x:c r="I382" s="152" t="e">
        <x:f>IF(OR(H381="",H382=""),"",H382/H381-1)</x:f>
        <x:v>#NAME?</x:v>
      </x:c>
      <x:c r="J382" s="152" t="e">
        <x:f>IF(H382="","",H382/MAX(H$5:H382)-1)</x:f>
        <x:v>#NAME?</x:v>
      </x:c>
      <x:c r="K382" s="146" t="e">
        <x:f>IF(OR('实盘净值数据(iFinD公式)'!$A382="",'实盘净值数据(iFinD公式)'!$B382=""),"",分期持仓明细!$AD$23*SUMPRODUCT(分期持仓明细!$B$23:$AA$23,'实盘净值数据(iFinD公式)'!$B382:$AA382/'实盘净值数据(iFinD公式)'!$B$65:$AA$65)*(1-实盘持仓初始配置!$Z$7)^(('实盘净值数据(iFinD公式)'!$A382-'实盘净值数据(iFinD公式)'!$A$8)/365))</x:f>
        <x:v>#NAME?</x:v>
      </x:c>
      <x:c r="L382" s="152" t="e">
        <x:f>IF(OR(K381="",K382=""),"",K382/K381-1)</x:f>
        <x:v>#NAME?</x:v>
      </x:c>
      <x:c r="M382" s="152" t="e">
        <x:f>IF(K382="","",K382/MAX(K$5:K382)-1)</x:f>
        <x:v>#NAME?</x:v>
      </x:c>
      <x:c r="N382" s="146" t="e">
        <x:f>IF(OR('实盘净值数据(iFinD公式)'!$A382="",'实盘净值数据(iFinD公式)'!$B382=""),"",分期持仓明细!$AD$24*SUMPRODUCT(分期持仓明细!$B$24:$AA$24,'实盘净值数据(iFinD公式)'!$B382:$AA382/'实盘净值数据(iFinD公式)'!$B$65:$AA$65)*(1-实盘持仓初始配置!$Z$8)^(('实盘净值数据(iFinD公式)'!$A382-'实盘净值数据(iFinD公式)'!$A$5)/365))</x:f>
        <x:v>#NAME?</x:v>
      </x:c>
      <x:c r="O382" s="152" t="e">
        <x:f>IF(OR(N381="",N382=""),"",N382/N381-1)</x:f>
        <x:v>#NAME?</x:v>
      </x:c>
      <x:c r="P382" s="152" t="e">
        <x:f>IF(N382="","",N382/MAX(N$5:N382)-1)</x:f>
        <x:v>#NAME?</x:v>
      </x:c>
      <x:c r="Q382" s="146" t="e">
        <x:f>IF(OR('实盘净值数据(iFinD公式)'!$A382="",'实盘净值数据(iFinD公式)'!$B382=""),"",分期持仓明细!$AD$25*SUMPRODUCT(分期持仓明细!$B$25:$AA$25,'实盘净值数据(iFinD公式)'!$B382:$AA382/'实盘净值数据(iFinD公式)'!$B$65:$AA$65)*(1-实盘持仓初始配置!$Z$9)^(('实盘净值数据(iFinD公式)'!$A382-'实盘净值数据(iFinD公式)'!$A$8)/365))</x:f>
        <x:v>#NAME?</x:v>
      </x:c>
      <x:c r="R382" s="152" t="e">
        <x:f>IF(OR(Q381="",Q382=""),"",Q382/Q381-1)</x:f>
        <x:v>#NAME?</x:v>
      </x:c>
      <x:c r="S382" s="152" t="e">
        <x:f>IF(Q382="","",Q382/MAX(Q$5:Q382)-1)</x:f>
        <x:v>#NAME?</x:v>
      </x:c>
    </x:row>
    <x:row r="383">
      <x:c r="A383" s="149" t="str">
        <x:f>IF('实盘净值数据(iFinD公式)'!A383="","",'实盘净值数据(iFinD公式)'!A383)</x:f>
      </x:c>
      <x:c r="B383" s="146" t="e">
        <x:f>IF(OR('实盘净值数据(iFinD公式)'!$A383="",'实盘净值数据(iFinD公式)'!$B383=""),"",分期持仓明细!$AD$17*SUMPRODUCT(分期持仓明细!$B$17:$AA$17,'实盘净值数据(iFinD公式)'!$B383:$AA383/'实盘净值数据(iFinD公式)'!$B$20:$AA$20)*(1-实盘持仓初始配置!$Z$4)^(('实盘净值数据(iFinD公式)'!$A383-'实盘净值数据(iFinD公式)'!$A$6)/365))</x:f>
        <x:v>#NAME?</x:v>
      </x:c>
      <x:c r="C383" s="152" t="e">
        <x:f>IF(OR(B382="",B383=""),"",B383/B382-1)</x:f>
        <x:v>#NAME?</x:v>
      </x:c>
      <x:c r="D383" s="152" t="e">
        <x:f>IF(B383="","",B383/MAX(B$5:B383)-1)</x:f>
        <x:v>#NAME?</x:v>
      </x:c>
      <x:c r="E383" s="146" t="e">
        <x:f>IF(OR('实盘净值数据(iFinD公式)'!$A383="",'实盘净值数据(iFinD公式)'!$B383=""),"",分期持仓明细!$AD$18*SUMPRODUCT(分期持仓明细!$B$18:$AA$18,'实盘净值数据(iFinD公式)'!$B383:$AA383/'实盘净值数据(iFinD公式)'!$B$20:$AA$20)*(1-实盘持仓初始配置!$Z$5)^(('实盘净值数据(iFinD公式)'!$A383-'实盘净值数据(iFinD公式)'!$A$5)/365))</x:f>
        <x:v>#NAME?</x:v>
      </x:c>
      <x:c r="F383" s="152" t="e">
        <x:f>IF(OR(E382="",E383=""),"",E383/E382-1)</x:f>
        <x:v>#NAME?</x:v>
      </x:c>
      <x:c r="G383" s="152" t="e">
        <x:f>IF(E383="","",E383/MAX(E$5:E383)-1)</x:f>
        <x:v>#NAME?</x:v>
      </x:c>
      <x:c r="H383" s="146" t="e">
        <x:f>IF(OR('实盘净值数据(iFinD公式)'!$A383="",'实盘净值数据(iFinD公式)'!$B383=""),"",分期持仓明细!$AD$19*SUMPRODUCT(分期持仓明细!$B$19:$AA$19,'实盘净值数据(iFinD公式)'!$B383:$AA383/'实盘净值数据(iFinD公式)'!$B$20:$AA$20)*(1-实盘持仓初始配置!$Z$6)^(('实盘净值数据(iFinD公式)'!$A383-'实盘净值数据(iFinD公式)'!$A$7)/365))</x:f>
        <x:v>#NAME?</x:v>
      </x:c>
      <x:c r="I383" s="152" t="e">
        <x:f>IF(OR(H382="",H383=""),"",H383/H382-1)</x:f>
        <x:v>#NAME?</x:v>
      </x:c>
      <x:c r="J383" s="152" t="e">
        <x:f>IF(H383="","",H383/MAX(H$5:H383)-1)</x:f>
        <x:v>#NAME?</x:v>
      </x:c>
      <x:c r="K383" s="146" t="e">
        <x:f>IF(OR('实盘净值数据(iFinD公式)'!$A383="",'实盘净值数据(iFinD公式)'!$B383=""),"",分期持仓明细!$AD$23*SUMPRODUCT(分期持仓明细!$B$23:$AA$23,'实盘净值数据(iFinD公式)'!$B383:$AA383/'实盘净值数据(iFinD公式)'!$B$65:$AA$65)*(1-实盘持仓初始配置!$Z$7)^(('实盘净值数据(iFinD公式)'!$A383-'实盘净值数据(iFinD公式)'!$A$8)/365))</x:f>
        <x:v>#NAME?</x:v>
      </x:c>
      <x:c r="L383" s="152" t="e">
        <x:f>IF(OR(K382="",K383=""),"",K383/K382-1)</x:f>
        <x:v>#NAME?</x:v>
      </x:c>
      <x:c r="M383" s="152" t="e">
        <x:f>IF(K383="","",K383/MAX(K$5:K383)-1)</x:f>
        <x:v>#NAME?</x:v>
      </x:c>
      <x:c r="N383" s="146" t="e">
        <x:f>IF(OR('实盘净值数据(iFinD公式)'!$A383="",'实盘净值数据(iFinD公式)'!$B383=""),"",分期持仓明细!$AD$24*SUMPRODUCT(分期持仓明细!$B$24:$AA$24,'实盘净值数据(iFinD公式)'!$B383:$AA383/'实盘净值数据(iFinD公式)'!$B$65:$AA$65)*(1-实盘持仓初始配置!$Z$8)^(('实盘净值数据(iFinD公式)'!$A383-'实盘净值数据(iFinD公式)'!$A$5)/365))</x:f>
        <x:v>#NAME?</x:v>
      </x:c>
      <x:c r="O383" s="152" t="e">
        <x:f>IF(OR(N382="",N383=""),"",N383/N382-1)</x:f>
        <x:v>#NAME?</x:v>
      </x:c>
      <x:c r="P383" s="152" t="e">
        <x:f>IF(N383="","",N383/MAX(N$5:N383)-1)</x:f>
        <x:v>#NAME?</x:v>
      </x:c>
      <x:c r="Q383" s="146" t="e">
        <x:f>IF(OR('实盘净值数据(iFinD公式)'!$A383="",'实盘净值数据(iFinD公式)'!$B383=""),"",分期持仓明细!$AD$25*SUMPRODUCT(分期持仓明细!$B$25:$AA$25,'实盘净值数据(iFinD公式)'!$B383:$AA383/'实盘净值数据(iFinD公式)'!$B$65:$AA$65)*(1-实盘持仓初始配置!$Z$9)^(('实盘净值数据(iFinD公式)'!$A383-'实盘净值数据(iFinD公式)'!$A$8)/365))</x:f>
        <x:v>#NAME?</x:v>
      </x:c>
      <x:c r="R383" s="152" t="e">
        <x:f>IF(OR(Q382="",Q383=""),"",Q383/Q382-1)</x:f>
        <x:v>#NAME?</x:v>
      </x:c>
      <x:c r="S383" s="152" t="e">
        <x:f>IF(Q383="","",Q383/MAX(Q$5:Q383)-1)</x:f>
        <x:v>#NAME?</x:v>
      </x:c>
    </x:row>
    <x:row r="384">
      <x:c r="A384" s="149" t="str">
        <x:f>IF('实盘净值数据(iFinD公式)'!A384="","",'实盘净值数据(iFinD公式)'!A384)</x:f>
      </x:c>
      <x:c r="B384" s="146" t="e">
        <x:f>IF(OR('实盘净值数据(iFinD公式)'!$A384="",'实盘净值数据(iFinD公式)'!$B384=""),"",分期持仓明细!$AD$17*SUMPRODUCT(分期持仓明细!$B$17:$AA$17,'实盘净值数据(iFinD公式)'!$B384:$AA384/'实盘净值数据(iFinD公式)'!$B$20:$AA$20)*(1-实盘持仓初始配置!$Z$4)^(('实盘净值数据(iFinD公式)'!$A384-'实盘净值数据(iFinD公式)'!$A$6)/365))</x:f>
        <x:v>#NAME?</x:v>
      </x:c>
      <x:c r="C384" s="152" t="e">
        <x:f>IF(OR(B383="",B384=""),"",B384/B383-1)</x:f>
        <x:v>#NAME?</x:v>
      </x:c>
      <x:c r="D384" s="152" t="e">
        <x:f>IF(B384="","",B384/MAX(B$5:B384)-1)</x:f>
        <x:v>#NAME?</x:v>
      </x:c>
      <x:c r="E384" s="146" t="e">
        <x:f>IF(OR('实盘净值数据(iFinD公式)'!$A384="",'实盘净值数据(iFinD公式)'!$B384=""),"",分期持仓明细!$AD$18*SUMPRODUCT(分期持仓明细!$B$18:$AA$18,'实盘净值数据(iFinD公式)'!$B384:$AA384/'实盘净值数据(iFinD公式)'!$B$20:$AA$20)*(1-实盘持仓初始配置!$Z$5)^(('实盘净值数据(iFinD公式)'!$A384-'实盘净值数据(iFinD公式)'!$A$5)/365))</x:f>
        <x:v>#NAME?</x:v>
      </x:c>
      <x:c r="F384" s="152" t="e">
        <x:f>IF(OR(E383="",E384=""),"",E384/E383-1)</x:f>
        <x:v>#NAME?</x:v>
      </x:c>
      <x:c r="G384" s="152" t="e">
        <x:f>IF(E384="","",E384/MAX(E$5:E384)-1)</x:f>
        <x:v>#NAME?</x:v>
      </x:c>
      <x:c r="H384" s="146" t="e">
        <x:f>IF(OR('实盘净值数据(iFinD公式)'!$A384="",'实盘净值数据(iFinD公式)'!$B384=""),"",分期持仓明细!$AD$19*SUMPRODUCT(分期持仓明细!$B$19:$AA$19,'实盘净值数据(iFinD公式)'!$B384:$AA384/'实盘净值数据(iFinD公式)'!$B$20:$AA$20)*(1-实盘持仓初始配置!$Z$6)^(('实盘净值数据(iFinD公式)'!$A384-'实盘净值数据(iFinD公式)'!$A$7)/365))</x:f>
        <x:v>#NAME?</x:v>
      </x:c>
      <x:c r="I384" s="152" t="e">
        <x:f>IF(OR(H383="",H384=""),"",H384/H383-1)</x:f>
        <x:v>#NAME?</x:v>
      </x:c>
      <x:c r="J384" s="152" t="e">
        <x:f>IF(H384="","",H384/MAX(H$5:H384)-1)</x:f>
        <x:v>#NAME?</x:v>
      </x:c>
      <x:c r="K384" s="146" t="e">
        <x:f>IF(OR('实盘净值数据(iFinD公式)'!$A384="",'实盘净值数据(iFinD公式)'!$B384=""),"",分期持仓明细!$AD$23*SUMPRODUCT(分期持仓明细!$B$23:$AA$23,'实盘净值数据(iFinD公式)'!$B384:$AA384/'实盘净值数据(iFinD公式)'!$B$65:$AA$65)*(1-实盘持仓初始配置!$Z$7)^(('实盘净值数据(iFinD公式)'!$A384-'实盘净值数据(iFinD公式)'!$A$8)/365))</x:f>
        <x:v>#NAME?</x:v>
      </x:c>
      <x:c r="L384" s="152" t="e">
        <x:f>IF(OR(K383="",K384=""),"",K384/K383-1)</x:f>
        <x:v>#NAME?</x:v>
      </x:c>
      <x:c r="M384" s="152" t="e">
        <x:f>IF(K384="","",K384/MAX(K$5:K384)-1)</x:f>
        <x:v>#NAME?</x:v>
      </x:c>
      <x:c r="N384" s="146" t="e">
        <x:f>IF(OR('实盘净值数据(iFinD公式)'!$A384="",'实盘净值数据(iFinD公式)'!$B384=""),"",分期持仓明细!$AD$24*SUMPRODUCT(分期持仓明细!$B$24:$AA$24,'实盘净值数据(iFinD公式)'!$B384:$AA384/'实盘净值数据(iFinD公式)'!$B$65:$AA$65)*(1-实盘持仓初始配置!$Z$8)^(('实盘净值数据(iFinD公式)'!$A384-'实盘净值数据(iFinD公式)'!$A$5)/365))</x:f>
        <x:v>#NAME?</x:v>
      </x:c>
      <x:c r="O384" s="152" t="e">
        <x:f>IF(OR(N383="",N384=""),"",N384/N383-1)</x:f>
        <x:v>#NAME?</x:v>
      </x:c>
      <x:c r="P384" s="152" t="e">
        <x:f>IF(N384="","",N384/MAX(N$5:N384)-1)</x:f>
        <x:v>#NAME?</x:v>
      </x:c>
      <x:c r="Q384" s="146" t="e">
        <x:f>IF(OR('实盘净值数据(iFinD公式)'!$A384="",'实盘净值数据(iFinD公式)'!$B384=""),"",分期持仓明细!$AD$25*SUMPRODUCT(分期持仓明细!$B$25:$AA$25,'实盘净值数据(iFinD公式)'!$B384:$AA384/'实盘净值数据(iFinD公式)'!$B$65:$AA$65)*(1-实盘持仓初始配置!$Z$9)^(('实盘净值数据(iFinD公式)'!$A384-'实盘净值数据(iFinD公式)'!$A$8)/365))</x:f>
        <x:v>#NAME?</x:v>
      </x:c>
      <x:c r="R384" s="152" t="e">
        <x:f>IF(OR(Q383="",Q384=""),"",Q384/Q383-1)</x:f>
        <x:v>#NAME?</x:v>
      </x:c>
      <x:c r="S384" s="152" t="e">
        <x:f>IF(Q384="","",Q384/MAX(Q$5:Q384)-1)</x:f>
        <x:v>#NAME?</x:v>
      </x:c>
    </x:row>
    <x:row r="385">
      <x:c r="A385" s="149" t="str">
        <x:f>IF('实盘净值数据(iFinD公式)'!A385="","",'实盘净值数据(iFinD公式)'!A385)</x:f>
      </x:c>
      <x:c r="B385" s="146" t="e">
        <x:f>IF(OR('实盘净值数据(iFinD公式)'!$A385="",'实盘净值数据(iFinD公式)'!$B385=""),"",分期持仓明细!$AD$17*SUMPRODUCT(分期持仓明细!$B$17:$AA$17,'实盘净值数据(iFinD公式)'!$B385:$AA385/'实盘净值数据(iFinD公式)'!$B$20:$AA$20)*(1-实盘持仓初始配置!$Z$4)^(('实盘净值数据(iFinD公式)'!$A385-'实盘净值数据(iFinD公式)'!$A$6)/365))</x:f>
        <x:v>#NAME?</x:v>
      </x:c>
      <x:c r="C385" s="152" t="e">
        <x:f>IF(OR(B384="",B385=""),"",B385/B384-1)</x:f>
        <x:v>#NAME?</x:v>
      </x:c>
      <x:c r="D385" s="152" t="e">
        <x:f>IF(B385="","",B385/MAX(B$5:B385)-1)</x:f>
        <x:v>#NAME?</x:v>
      </x:c>
      <x:c r="E385" s="146" t="e">
        <x:f>IF(OR('实盘净值数据(iFinD公式)'!$A385="",'实盘净值数据(iFinD公式)'!$B385=""),"",分期持仓明细!$AD$18*SUMPRODUCT(分期持仓明细!$B$18:$AA$18,'实盘净值数据(iFinD公式)'!$B385:$AA385/'实盘净值数据(iFinD公式)'!$B$20:$AA$20)*(1-实盘持仓初始配置!$Z$5)^(('实盘净值数据(iFinD公式)'!$A385-'实盘净值数据(iFinD公式)'!$A$5)/365))</x:f>
        <x:v>#NAME?</x:v>
      </x:c>
      <x:c r="F385" s="152" t="e">
        <x:f>IF(OR(E384="",E385=""),"",E385/E384-1)</x:f>
        <x:v>#NAME?</x:v>
      </x:c>
      <x:c r="G385" s="152" t="e">
        <x:f>IF(E385="","",E385/MAX(E$5:E385)-1)</x:f>
        <x:v>#NAME?</x:v>
      </x:c>
      <x:c r="H385" s="146" t="e">
        <x:f>IF(OR('实盘净值数据(iFinD公式)'!$A385="",'实盘净值数据(iFinD公式)'!$B385=""),"",分期持仓明细!$AD$19*SUMPRODUCT(分期持仓明细!$B$19:$AA$19,'实盘净值数据(iFinD公式)'!$B385:$AA385/'实盘净值数据(iFinD公式)'!$B$20:$AA$20)*(1-实盘持仓初始配置!$Z$6)^(('实盘净值数据(iFinD公式)'!$A385-'实盘净值数据(iFinD公式)'!$A$7)/365))</x:f>
        <x:v>#NAME?</x:v>
      </x:c>
      <x:c r="I385" s="152" t="e">
        <x:f>IF(OR(H384="",H385=""),"",H385/H384-1)</x:f>
        <x:v>#NAME?</x:v>
      </x:c>
      <x:c r="J385" s="152" t="e">
        <x:f>IF(H385="","",H385/MAX(H$5:H385)-1)</x:f>
        <x:v>#NAME?</x:v>
      </x:c>
      <x:c r="K385" s="146" t="e">
        <x:f>IF(OR('实盘净值数据(iFinD公式)'!$A385="",'实盘净值数据(iFinD公式)'!$B385=""),"",分期持仓明细!$AD$23*SUMPRODUCT(分期持仓明细!$B$23:$AA$23,'实盘净值数据(iFinD公式)'!$B385:$AA385/'实盘净值数据(iFinD公式)'!$B$65:$AA$65)*(1-实盘持仓初始配置!$Z$7)^(('实盘净值数据(iFinD公式)'!$A385-'实盘净值数据(iFinD公式)'!$A$8)/365))</x:f>
        <x:v>#NAME?</x:v>
      </x:c>
      <x:c r="L385" s="152" t="e">
        <x:f>IF(OR(K384="",K385=""),"",K385/K384-1)</x:f>
        <x:v>#NAME?</x:v>
      </x:c>
      <x:c r="M385" s="152" t="e">
        <x:f>IF(K385="","",K385/MAX(K$5:K385)-1)</x:f>
        <x:v>#NAME?</x:v>
      </x:c>
      <x:c r="N385" s="146" t="e">
        <x:f>IF(OR('实盘净值数据(iFinD公式)'!$A385="",'实盘净值数据(iFinD公式)'!$B385=""),"",分期持仓明细!$AD$24*SUMPRODUCT(分期持仓明细!$B$24:$AA$24,'实盘净值数据(iFinD公式)'!$B385:$AA385/'实盘净值数据(iFinD公式)'!$B$65:$AA$65)*(1-实盘持仓初始配置!$Z$8)^(('实盘净值数据(iFinD公式)'!$A385-'实盘净值数据(iFinD公式)'!$A$5)/365))</x:f>
        <x:v>#NAME?</x:v>
      </x:c>
      <x:c r="O385" s="152" t="e">
        <x:f>IF(OR(N384="",N385=""),"",N385/N384-1)</x:f>
        <x:v>#NAME?</x:v>
      </x:c>
      <x:c r="P385" s="152" t="e">
        <x:f>IF(N385="","",N385/MAX(N$5:N385)-1)</x:f>
        <x:v>#NAME?</x:v>
      </x:c>
      <x:c r="Q385" s="146" t="e">
        <x:f>IF(OR('实盘净值数据(iFinD公式)'!$A385="",'实盘净值数据(iFinD公式)'!$B385=""),"",分期持仓明细!$AD$25*SUMPRODUCT(分期持仓明细!$B$25:$AA$25,'实盘净值数据(iFinD公式)'!$B385:$AA385/'实盘净值数据(iFinD公式)'!$B$65:$AA$65)*(1-实盘持仓初始配置!$Z$9)^(('实盘净值数据(iFinD公式)'!$A385-'实盘净值数据(iFinD公式)'!$A$8)/365))</x:f>
        <x:v>#NAME?</x:v>
      </x:c>
      <x:c r="R385" s="152" t="e">
        <x:f>IF(OR(Q384="",Q385=""),"",Q385/Q384-1)</x:f>
        <x:v>#NAME?</x:v>
      </x:c>
      <x:c r="S385" s="152" t="e">
        <x:f>IF(Q385="","",Q385/MAX(Q$5:Q385)-1)</x:f>
        <x:v>#NAME?</x:v>
      </x:c>
    </x:row>
    <x:row r="386">
      <x:c r="A386" s="149" t="str">
        <x:f>IF('实盘净值数据(iFinD公式)'!A386="","",'实盘净值数据(iFinD公式)'!A386)</x:f>
      </x:c>
      <x:c r="B386" s="146" t="e">
        <x:f>IF(OR('实盘净值数据(iFinD公式)'!$A386="",'实盘净值数据(iFinD公式)'!$B386=""),"",分期持仓明细!$AD$17*SUMPRODUCT(分期持仓明细!$B$17:$AA$17,'实盘净值数据(iFinD公式)'!$B386:$AA386/'实盘净值数据(iFinD公式)'!$B$20:$AA$20)*(1-实盘持仓初始配置!$Z$4)^(('实盘净值数据(iFinD公式)'!$A386-'实盘净值数据(iFinD公式)'!$A$6)/365))</x:f>
        <x:v>#NAME?</x:v>
      </x:c>
      <x:c r="C386" s="152" t="e">
        <x:f>IF(OR(B385="",B386=""),"",B386/B385-1)</x:f>
        <x:v>#NAME?</x:v>
      </x:c>
      <x:c r="D386" s="152" t="e">
        <x:f>IF(B386="","",B386/MAX(B$5:B386)-1)</x:f>
        <x:v>#NAME?</x:v>
      </x:c>
      <x:c r="E386" s="146" t="e">
        <x:f>IF(OR('实盘净值数据(iFinD公式)'!$A386="",'实盘净值数据(iFinD公式)'!$B386=""),"",分期持仓明细!$AD$18*SUMPRODUCT(分期持仓明细!$B$18:$AA$18,'实盘净值数据(iFinD公式)'!$B386:$AA386/'实盘净值数据(iFinD公式)'!$B$20:$AA$20)*(1-实盘持仓初始配置!$Z$5)^(('实盘净值数据(iFinD公式)'!$A386-'实盘净值数据(iFinD公式)'!$A$5)/365))</x:f>
        <x:v>#NAME?</x:v>
      </x:c>
      <x:c r="F386" s="152" t="e">
        <x:f>IF(OR(E385="",E386=""),"",E386/E385-1)</x:f>
        <x:v>#NAME?</x:v>
      </x:c>
      <x:c r="G386" s="152" t="e">
        <x:f>IF(E386="","",E386/MAX(E$5:E386)-1)</x:f>
        <x:v>#NAME?</x:v>
      </x:c>
      <x:c r="H386" s="146" t="e">
        <x:f>IF(OR('实盘净值数据(iFinD公式)'!$A386="",'实盘净值数据(iFinD公式)'!$B386=""),"",分期持仓明细!$AD$19*SUMPRODUCT(分期持仓明细!$B$19:$AA$19,'实盘净值数据(iFinD公式)'!$B386:$AA386/'实盘净值数据(iFinD公式)'!$B$20:$AA$20)*(1-实盘持仓初始配置!$Z$6)^(('实盘净值数据(iFinD公式)'!$A386-'实盘净值数据(iFinD公式)'!$A$7)/365))</x:f>
        <x:v>#NAME?</x:v>
      </x:c>
      <x:c r="I386" s="152" t="e">
        <x:f>IF(OR(H385="",H386=""),"",H386/H385-1)</x:f>
        <x:v>#NAME?</x:v>
      </x:c>
      <x:c r="J386" s="152" t="e">
        <x:f>IF(H386="","",H386/MAX(H$5:H386)-1)</x:f>
        <x:v>#NAME?</x:v>
      </x:c>
      <x:c r="K386" s="146" t="e">
        <x:f>IF(OR('实盘净值数据(iFinD公式)'!$A386="",'实盘净值数据(iFinD公式)'!$B386=""),"",分期持仓明细!$AD$23*SUMPRODUCT(分期持仓明细!$B$23:$AA$23,'实盘净值数据(iFinD公式)'!$B386:$AA386/'实盘净值数据(iFinD公式)'!$B$65:$AA$65)*(1-实盘持仓初始配置!$Z$7)^(('实盘净值数据(iFinD公式)'!$A386-'实盘净值数据(iFinD公式)'!$A$8)/365))</x:f>
        <x:v>#NAME?</x:v>
      </x:c>
      <x:c r="L386" s="152" t="e">
        <x:f>IF(OR(K385="",K386=""),"",K386/K385-1)</x:f>
        <x:v>#NAME?</x:v>
      </x:c>
      <x:c r="M386" s="152" t="e">
        <x:f>IF(K386="","",K386/MAX(K$5:K386)-1)</x:f>
        <x:v>#NAME?</x:v>
      </x:c>
      <x:c r="N386" s="146" t="e">
        <x:f>IF(OR('实盘净值数据(iFinD公式)'!$A386="",'实盘净值数据(iFinD公式)'!$B386=""),"",分期持仓明细!$AD$24*SUMPRODUCT(分期持仓明细!$B$24:$AA$24,'实盘净值数据(iFinD公式)'!$B386:$AA386/'实盘净值数据(iFinD公式)'!$B$65:$AA$65)*(1-实盘持仓初始配置!$Z$8)^(('实盘净值数据(iFinD公式)'!$A386-'实盘净值数据(iFinD公式)'!$A$5)/365))</x:f>
        <x:v>#NAME?</x:v>
      </x:c>
      <x:c r="O386" s="152" t="e">
        <x:f>IF(OR(N385="",N386=""),"",N386/N385-1)</x:f>
        <x:v>#NAME?</x:v>
      </x:c>
      <x:c r="P386" s="152" t="e">
        <x:f>IF(N386="","",N386/MAX(N$5:N386)-1)</x:f>
        <x:v>#NAME?</x:v>
      </x:c>
      <x:c r="Q386" s="146" t="e">
        <x:f>IF(OR('实盘净值数据(iFinD公式)'!$A386="",'实盘净值数据(iFinD公式)'!$B386=""),"",分期持仓明细!$AD$25*SUMPRODUCT(分期持仓明细!$B$25:$AA$25,'实盘净值数据(iFinD公式)'!$B386:$AA386/'实盘净值数据(iFinD公式)'!$B$65:$AA$65)*(1-实盘持仓初始配置!$Z$9)^(('实盘净值数据(iFinD公式)'!$A386-'实盘净值数据(iFinD公式)'!$A$8)/365))</x:f>
        <x:v>#NAME?</x:v>
      </x:c>
      <x:c r="R386" s="152" t="e">
        <x:f>IF(OR(Q385="",Q386=""),"",Q386/Q385-1)</x:f>
        <x:v>#NAME?</x:v>
      </x:c>
      <x:c r="S386" s="152" t="e">
        <x:f>IF(Q386="","",Q386/MAX(Q$5:Q386)-1)</x:f>
        <x:v>#NAME?</x:v>
      </x:c>
    </x:row>
    <x:row r="387">
      <x:c r="A387" s="149" t="str">
        <x:f>IF('实盘净值数据(iFinD公式)'!A387="","",'实盘净值数据(iFinD公式)'!A387)</x:f>
      </x:c>
      <x:c r="B387" s="146" t="e">
        <x:f>IF(OR('实盘净值数据(iFinD公式)'!$A387="",'实盘净值数据(iFinD公式)'!$B387=""),"",分期持仓明细!$AD$17*SUMPRODUCT(分期持仓明细!$B$17:$AA$17,'实盘净值数据(iFinD公式)'!$B387:$AA387/'实盘净值数据(iFinD公式)'!$B$20:$AA$20)*(1-实盘持仓初始配置!$Z$4)^(('实盘净值数据(iFinD公式)'!$A387-'实盘净值数据(iFinD公式)'!$A$6)/365))</x:f>
        <x:v>#NAME?</x:v>
      </x:c>
      <x:c r="C387" s="152" t="e">
        <x:f>IF(OR(B386="",B387=""),"",B387/B386-1)</x:f>
        <x:v>#NAME?</x:v>
      </x:c>
      <x:c r="D387" s="152" t="e">
        <x:f>IF(B387="","",B387/MAX(B$5:B387)-1)</x:f>
        <x:v>#NAME?</x:v>
      </x:c>
      <x:c r="E387" s="146" t="e">
        <x:f>IF(OR('实盘净值数据(iFinD公式)'!$A387="",'实盘净值数据(iFinD公式)'!$B387=""),"",分期持仓明细!$AD$18*SUMPRODUCT(分期持仓明细!$B$18:$AA$18,'实盘净值数据(iFinD公式)'!$B387:$AA387/'实盘净值数据(iFinD公式)'!$B$20:$AA$20)*(1-实盘持仓初始配置!$Z$5)^(('实盘净值数据(iFinD公式)'!$A387-'实盘净值数据(iFinD公式)'!$A$5)/365))</x:f>
        <x:v>#NAME?</x:v>
      </x:c>
      <x:c r="F387" s="152" t="e">
        <x:f>IF(OR(E386="",E387=""),"",E387/E386-1)</x:f>
        <x:v>#NAME?</x:v>
      </x:c>
      <x:c r="G387" s="152" t="e">
        <x:f>IF(E387="","",E387/MAX(E$5:E387)-1)</x:f>
        <x:v>#NAME?</x:v>
      </x:c>
      <x:c r="H387" s="146" t="e">
        <x:f>IF(OR('实盘净值数据(iFinD公式)'!$A387="",'实盘净值数据(iFinD公式)'!$B387=""),"",分期持仓明细!$AD$19*SUMPRODUCT(分期持仓明细!$B$19:$AA$19,'实盘净值数据(iFinD公式)'!$B387:$AA387/'实盘净值数据(iFinD公式)'!$B$20:$AA$20)*(1-实盘持仓初始配置!$Z$6)^(('实盘净值数据(iFinD公式)'!$A387-'实盘净值数据(iFinD公式)'!$A$7)/365))</x:f>
        <x:v>#NAME?</x:v>
      </x:c>
      <x:c r="I387" s="152" t="e">
        <x:f>IF(OR(H386="",H387=""),"",H387/H386-1)</x:f>
        <x:v>#NAME?</x:v>
      </x:c>
      <x:c r="J387" s="152" t="e">
        <x:f>IF(H387="","",H387/MAX(H$5:H387)-1)</x:f>
        <x:v>#NAME?</x:v>
      </x:c>
      <x:c r="K387" s="146" t="e">
        <x:f>IF(OR('实盘净值数据(iFinD公式)'!$A387="",'实盘净值数据(iFinD公式)'!$B387=""),"",分期持仓明细!$AD$23*SUMPRODUCT(分期持仓明细!$B$23:$AA$23,'实盘净值数据(iFinD公式)'!$B387:$AA387/'实盘净值数据(iFinD公式)'!$B$65:$AA$65)*(1-实盘持仓初始配置!$Z$7)^(('实盘净值数据(iFinD公式)'!$A387-'实盘净值数据(iFinD公式)'!$A$8)/365))</x:f>
        <x:v>#NAME?</x:v>
      </x:c>
      <x:c r="L387" s="152" t="e">
        <x:f>IF(OR(K386="",K387=""),"",K387/K386-1)</x:f>
        <x:v>#NAME?</x:v>
      </x:c>
      <x:c r="M387" s="152" t="e">
        <x:f>IF(K387="","",K387/MAX(K$5:K387)-1)</x:f>
        <x:v>#NAME?</x:v>
      </x:c>
      <x:c r="N387" s="146" t="e">
        <x:f>IF(OR('实盘净值数据(iFinD公式)'!$A387="",'实盘净值数据(iFinD公式)'!$B387=""),"",分期持仓明细!$AD$24*SUMPRODUCT(分期持仓明细!$B$24:$AA$24,'实盘净值数据(iFinD公式)'!$B387:$AA387/'实盘净值数据(iFinD公式)'!$B$65:$AA$65)*(1-实盘持仓初始配置!$Z$8)^(('实盘净值数据(iFinD公式)'!$A387-'实盘净值数据(iFinD公式)'!$A$5)/365))</x:f>
        <x:v>#NAME?</x:v>
      </x:c>
      <x:c r="O387" s="152" t="e">
        <x:f>IF(OR(N386="",N387=""),"",N387/N386-1)</x:f>
        <x:v>#NAME?</x:v>
      </x:c>
      <x:c r="P387" s="152" t="e">
        <x:f>IF(N387="","",N387/MAX(N$5:N387)-1)</x:f>
        <x:v>#NAME?</x:v>
      </x:c>
      <x:c r="Q387" s="146" t="e">
        <x:f>IF(OR('实盘净值数据(iFinD公式)'!$A387="",'实盘净值数据(iFinD公式)'!$B387=""),"",分期持仓明细!$AD$25*SUMPRODUCT(分期持仓明细!$B$25:$AA$25,'实盘净值数据(iFinD公式)'!$B387:$AA387/'实盘净值数据(iFinD公式)'!$B$65:$AA$65)*(1-实盘持仓初始配置!$Z$9)^(('实盘净值数据(iFinD公式)'!$A387-'实盘净值数据(iFinD公式)'!$A$8)/365))</x:f>
        <x:v>#NAME?</x:v>
      </x:c>
      <x:c r="R387" s="152" t="e">
        <x:f>IF(OR(Q386="",Q387=""),"",Q387/Q386-1)</x:f>
        <x:v>#NAME?</x:v>
      </x:c>
      <x:c r="S387" s="152" t="e">
        <x:f>IF(Q387="","",Q387/MAX(Q$5:Q387)-1)</x:f>
        <x:v>#NAME?</x:v>
      </x:c>
    </x:row>
    <x:row r="388">
      <x:c r="A388" s="149" t="str">
        <x:f>IF('实盘净值数据(iFinD公式)'!A388="","",'实盘净值数据(iFinD公式)'!A388)</x:f>
      </x:c>
      <x:c r="B388" s="146" t="e">
        <x:f>IF(OR('实盘净值数据(iFinD公式)'!$A388="",'实盘净值数据(iFinD公式)'!$B388=""),"",分期持仓明细!$AD$17*SUMPRODUCT(分期持仓明细!$B$17:$AA$17,'实盘净值数据(iFinD公式)'!$B388:$AA388/'实盘净值数据(iFinD公式)'!$B$20:$AA$20)*(1-实盘持仓初始配置!$Z$4)^(('实盘净值数据(iFinD公式)'!$A388-'实盘净值数据(iFinD公式)'!$A$6)/365))</x:f>
        <x:v>#NAME?</x:v>
      </x:c>
      <x:c r="C388" s="152" t="e">
        <x:f>IF(OR(B387="",B388=""),"",B388/B387-1)</x:f>
        <x:v>#NAME?</x:v>
      </x:c>
      <x:c r="D388" s="152" t="e">
        <x:f>IF(B388="","",B388/MAX(B$5:B388)-1)</x:f>
        <x:v>#NAME?</x:v>
      </x:c>
      <x:c r="E388" s="146" t="e">
        <x:f>IF(OR('实盘净值数据(iFinD公式)'!$A388="",'实盘净值数据(iFinD公式)'!$B388=""),"",分期持仓明细!$AD$18*SUMPRODUCT(分期持仓明细!$B$18:$AA$18,'实盘净值数据(iFinD公式)'!$B388:$AA388/'实盘净值数据(iFinD公式)'!$B$20:$AA$20)*(1-实盘持仓初始配置!$Z$5)^(('实盘净值数据(iFinD公式)'!$A388-'实盘净值数据(iFinD公式)'!$A$5)/365))</x:f>
        <x:v>#NAME?</x:v>
      </x:c>
      <x:c r="F388" s="152" t="e">
        <x:f>IF(OR(E387="",E388=""),"",E388/E387-1)</x:f>
        <x:v>#NAME?</x:v>
      </x:c>
      <x:c r="G388" s="152" t="e">
        <x:f>IF(E388="","",E388/MAX(E$5:E388)-1)</x:f>
        <x:v>#NAME?</x:v>
      </x:c>
      <x:c r="H388" s="146" t="e">
        <x:f>IF(OR('实盘净值数据(iFinD公式)'!$A388="",'实盘净值数据(iFinD公式)'!$B388=""),"",分期持仓明细!$AD$19*SUMPRODUCT(分期持仓明细!$B$19:$AA$19,'实盘净值数据(iFinD公式)'!$B388:$AA388/'实盘净值数据(iFinD公式)'!$B$20:$AA$20)*(1-实盘持仓初始配置!$Z$6)^(('实盘净值数据(iFinD公式)'!$A388-'实盘净值数据(iFinD公式)'!$A$7)/365))</x:f>
        <x:v>#NAME?</x:v>
      </x:c>
      <x:c r="I388" s="152" t="e">
        <x:f>IF(OR(H387="",H388=""),"",H388/H387-1)</x:f>
        <x:v>#NAME?</x:v>
      </x:c>
      <x:c r="J388" s="152" t="e">
        <x:f>IF(H388="","",H388/MAX(H$5:H388)-1)</x:f>
        <x:v>#NAME?</x:v>
      </x:c>
      <x:c r="K388" s="146" t="e">
        <x:f>IF(OR('实盘净值数据(iFinD公式)'!$A388="",'实盘净值数据(iFinD公式)'!$B388=""),"",分期持仓明细!$AD$23*SUMPRODUCT(分期持仓明细!$B$23:$AA$23,'实盘净值数据(iFinD公式)'!$B388:$AA388/'实盘净值数据(iFinD公式)'!$B$65:$AA$65)*(1-实盘持仓初始配置!$Z$7)^(('实盘净值数据(iFinD公式)'!$A388-'实盘净值数据(iFinD公式)'!$A$8)/365))</x:f>
        <x:v>#NAME?</x:v>
      </x:c>
      <x:c r="L388" s="152" t="e">
        <x:f>IF(OR(K387="",K388=""),"",K388/K387-1)</x:f>
        <x:v>#NAME?</x:v>
      </x:c>
      <x:c r="M388" s="152" t="e">
        <x:f>IF(K388="","",K388/MAX(K$5:K388)-1)</x:f>
        <x:v>#NAME?</x:v>
      </x:c>
      <x:c r="N388" s="146" t="e">
        <x:f>IF(OR('实盘净值数据(iFinD公式)'!$A388="",'实盘净值数据(iFinD公式)'!$B388=""),"",分期持仓明细!$AD$24*SUMPRODUCT(分期持仓明细!$B$24:$AA$24,'实盘净值数据(iFinD公式)'!$B388:$AA388/'实盘净值数据(iFinD公式)'!$B$65:$AA$65)*(1-实盘持仓初始配置!$Z$8)^(('实盘净值数据(iFinD公式)'!$A388-'实盘净值数据(iFinD公式)'!$A$5)/365))</x:f>
        <x:v>#NAME?</x:v>
      </x:c>
      <x:c r="O388" s="152" t="e">
        <x:f>IF(OR(N387="",N388=""),"",N388/N387-1)</x:f>
        <x:v>#NAME?</x:v>
      </x:c>
      <x:c r="P388" s="152" t="e">
        <x:f>IF(N388="","",N388/MAX(N$5:N388)-1)</x:f>
        <x:v>#NAME?</x:v>
      </x:c>
      <x:c r="Q388" s="146" t="e">
        <x:f>IF(OR('实盘净值数据(iFinD公式)'!$A388="",'实盘净值数据(iFinD公式)'!$B388=""),"",分期持仓明细!$AD$25*SUMPRODUCT(分期持仓明细!$B$25:$AA$25,'实盘净值数据(iFinD公式)'!$B388:$AA388/'实盘净值数据(iFinD公式)'!$B$65:$AA$65)*(1-实盘持仓初始配置!$Z$9)^(('实盘净值数据(iFinD公式)'!$A388-'实盘净值数据(iFinD公式)'!$A$8)/365))</x:f>
        <x:v>#NAME?</x:v>
      </x:c>
      <x:c r="R388" s="152" t="e">
        <x:f>IF(OR(Q387="",Q388=""),"",Q388/Q387-1)</x:f>
        <x:v>#NAME?</x:v>
      </x:c>
      <x:c r="S388" s="152" t="e">
        <x:f>IF(Q388="","",Q388/MAX(Q$5:Q388)-1)</x:f>
        <x:v>#NAME?</x:v>
      </x:c>
    </x:row>
    <x:row r="389">
      <x:c r="A389" s="149" t="str">
        <x:f>IF('实盘净值数据(iFinD公式)'!A389="","",'实盘净值数据(iFinD公式)'!A389)</x:f>
      </x:c>
      <x:c r="B389" s="146" t="e">
        <x:f>IF(OR('实盘净值数据(iFinD公式)'!$A389="",'实盘净值数据(iFinD公式)'!$B389=""),"",分期持仓明细!$AD$17*SUMPRODUCT(分期持仓明细!$B$17:$AA$17,'实盘净值数据(iFinD公式)'!$B389:$AA389/'实盘净值数据(iFinD公式)'!$B$20:$AA$20)*(1-实盘持仓初始配置!$Z$4)^(('实盘净值数据(iFinD公式)'!$A389-'实盘净值数据(iFinD公式)'!$A$6)/365))</x:f>
        <x:v>#NAME?</x:v>
      </x:c>
      <x:c r="C389" s="152" t="e">
        <x:f>IF(OR(B388="",B389=""),"",B389/B388-1)</x:f>
        <x:v>#NAME?</x:v>
      </x:c>
      <x:c r="D389" s="152" t="e">
        <x:f>IF(B389="","",B389/MAX(B$5:B389)-1)</x:f>
        <x:v>#NAME?</x:v>
      </x:c>
      <x:c r="E389" s="146" t="e">
        <x:f>IF(OR('实盘净值数据(iFinD公式)'!$A389="",'实盘净值数据(iFinD公式)'!$B389=""),"",分期持仓明细!$AD$18*SUMPRODUCT(分期持仓明细!$B$18:$AA$18,'实盘净值数据(iFinD公式)'!$B389:$AA389/'实盘净值数据(iFinD公式)'!$B$20:$AA$20)*(1-实盘持仓初始配置!$Z$5)^(('实盘净值数据(iFinD公式)'!$A389-'实盘净值数据(iFinD公式)'!$A$5)/365))</x:f>
        <x:v>#NAME?</x:v>
      </x:c>
      <x:c r="F389" s="152" t="e">
        <x:f>IF(OR(E388="",E389=""),"",E389/E388-1)</x:f>
        <x:v>#NAME?</x:v>
      </x:c>
      <x:c r="G389" s="152" t="e">
        <x:f>IF(E389="","",E389/MAX(E$5:E389)-1)</x:f>
        <x:v>#NAME?</x:v>
      </x:c>
      <x:c r="H389" s="146" t="e">
        <x:f>IF(OR('实盘净值数据(iFinD公式)'!$A389="",'实盘净值数据(iFinD公式)'!$B389=""),"",分期持仓明细!$AD$19*SUMPRODUCT(分期持仓明细!$B$19:$AA$19,'实盘净值数据(iFinD公式)'!$B389:$AA389/'实盘净值数据(iFinD公式)'!$B$20:$AA$20)*(1-实盘持仓初始配置!$Z$6)^(('实盘净值数据(iFinD公式)'!$A389-'实盘净值数据(iFinD公式)'!$A$7)/365))</x:f>
        <x:v>#NAME?</x:v>
      </x:c>
      <x:c r="I389" s="152" t="e">
        <x:f>IF(OR(H388="",H389=""),"",H389/H388-1)</x:f>
        <x:v>#NAME?</x:v>
      </x:c>
      <x:c r="J389" s="152" t="e">
        <x:f>IF(H389="","",H389/MAX(H$5:H389)-1)</x:f>
        <x:v>#NAME?</x:v>
      </x:c>
      <x:c r="K389" s="146" t="e">
        <x:f>IF(OR('实盘净值数据(iFinD公式)'!$A389="",'实盘净值数据(iFinD公式)'!$B389=""),"",分期持仓明细!$AD$23*SUMPRODUCT(分期持仓明细!$B$23:$AA$23,'实盘净值数据(iFinD公式)'!$B389:$AA389/'实盘净值数据(iFinD公式)'!$B$65:$AA$65)*(1-实盘持仓初始配置!$Z$7)^(('实盘净值数据(iFinD公式)'!$A389-'实盘净值数据(iFinD公式)'!$A$8)/365))</x:f>
        <x:v>#NAME?</x:v>
      </x:c>
      <x:c r="L389" s="152" t="e">
        <x:f>IF(OR(K388="",K389=""),"",K389/K388-1)</x:f>
        <x:v>#NAME?</x:v>
      </x:c>
      <x:c r="M389" s="152" t="e">
        <x:f>IF(K389="","",K389/MAX(K$5:K389)-1)</x:f>
        <x:v>#NAME?</x:v>
      </x:c>
      <x:c r="N389" s="146" t="e">
        <x:f>IF(OR('实盘净值数据(iFinD公式)'!$A389="",'实盘净值数据(iFinD公式)'!$B389=""),"",分期持仓明细!$AD$24*SUMPRODUCT(分期持仓明细!$B$24:$AA$24,'实盘净值数据(iFinD公式)'!$B389:$AA389/'实盘净值数据(iFinD公式)'!$B$65:$AA$65)*(1-实盘持仓初始配置!$Z$8)^(('实盘净值数据(iFinD公式)'!$A389-'实盘净值数据(iFinD公式)'!$A$5)/365))</x:f>
        <x:v>#NAME?</x:v>
      </x:c>
      <x:c r="O389" s="152" t="e">
        <x:f>IF(OR(N388="",N389=""),"",N389/N388-1)</x:f>
        <x:v>#NAME?</x:v>
      </x:c>
      <x:c r="P389" s="152" t="e">
        <x:f>IF(N389="","",N389/MAX(N$5:N389)-1)</x:f>
        <x:v>#NAME?</x:v>
      </x:c>
      <x:c r="Q389" s="146" t="e">
        <x:f>IF(OR('实盘净值数据(iFinD公式)'!$A389="",'实盘净值数据(iFinD公式)'!$B389=""),"",分期持仓明细!$AD$25*SUMPRODUCT(分期持仓明细!$B$25:$AA$25,'实盘净值数据(iFinD公式)'!$B389:$AA389/'实盘净值数据(iFinD公式)'!$B$65:$AA$65)*(1-实盘持仓初始配置!$Z$9)^(('实盘净值数据(iFinD公式)'!$A389-'实盘净值数据(iFinD公式)'!$A$8)/365))</x:f>
        <x:v>#NAME?</x:v>
      </x:c>
      <x:c r="R389" s="152" t="e">
        <x:f>IF(OR(Q388="",Q389=""),"",Q389/Q388-1)</x:f>
        <x:v>#NAME?</x:v>
      </x:c>
      <x:c r="S389" s="152" t="e">
        <x:f>IF(Q389="","",Q389/MAX(Q$5:Q389)-1)</x:f>
        <x:v>#NAME?</x:v>
      </x:c>
    </x:row>
    <x:row r="390">
      <x:c r="A390" s="149" t="str">
        <x:f>IF('实盘净值数据(iFinD公式)'!A390="","",'实盘净值数据(iFinD公式)'!A390)</x:f>
      </x:c>
      <x:c r="B390" s="146" t="e">
        <x:f>IF(OR('实盘净值数据(iFinD公式)'!$A390="",'实盘净值数据(iFinD公式)'!$B390=""),"",分期持仓明细!$AD$17*SUMPRODUCT(分期持仓明细!$B$17:$AA$17,'实盘净值数据(iFinD公式)'!$B390:$AA390/'实盘净值数据(iFinD公式)'!$B$20:$AA$20)*(1-实盘持仓初始配置!$Z$4)^(('实盘净值数据(iFinD公式)'!$A390-'实盘净值数据(iFinD公式)'!$A$6)/365))</x:f>
        <x:v>#NAME?</x:v>
      </x:c>
      <x:c r="C390" s="152" t="e">
        <x:f>IF(OR(B389="",B390=""),"",B390/B389-1)</x:f>
        <x:v>#NAME?</x:v>
      </x:c>
      <x:c r="D390" s="152" t="e">
        <x:f>IF(B390="","",B390/MAX(B$5:B390)-1)</x:f>
        <x:v>#NAME?</x:v>
      </x:c>
      <x:c r="E390" s="146" t="e">
        <x:f>IF(OR('实盘净值数据(iFinD公式)'!$A390="",'实盘净值数据(iFinD公式)'!$B390=""),"",分期持仓明细!$AD$18*SUMPRODUCT(分期持仓明细!$B$18:$AA$18,'实盘净值数据(iFinD公式)'!$B390:$AA390/'实盘净值数据(iFinD公式)'!$B$20:$AA$20)*(1-实盘持仓初始配置!$Z$5)^(('实盘净值数据(iFinD公式)'!$A390-'实盘净值数据(iFinD公式)'!$A$5)/365))</x:f>
        <x:v>#NAME?</x:v>
      </x:c>
      <x:c r="F390" s="152" t="e">
        <x:f>IF(OR(E389="",E390=""),"",E390/E389-1)</x:f>
        <x:v>#NAME?</x:v>
      </x:c>
      <x:c r="G390" s="152" t="e">
        <x:f>IF(E390="","",E390/MAX(E$5:E390)-1)</x:f>
        <x:v>#NAME?</x:v>
      </x:c>
      <x:c r="H390" s="146" t="e">
        <x:f>IF(OR('实盘净值数据(iFinD公式)'!$A390="",'实盘净值数据(iFinD公式)'!$B390=""),"",分期持仓明细!$AD$19*SUMPRODUCT(分期持仓明细!$B$19:$AA$19,'实盘净值数据(iFinD公式)'!$B390:$AA390/'实盘净值数据(iFinD公式)'!$B$20:$AA$20)*(1-实盘持仓初始配置!$Z$6)^(('实盘净值数据(iFinD公式)'!$A390-'实盘净值数据(iFinD公式)'!$A$7)/365))</x:f>
        <x:v>#NAME?</x:v>
      </x:c>
      <x:c r="I390" s="152" t="e">
        <x:f>IF(OR(H389="",H390=""),"",H390/H389-1)</x:f>
        <x:v>#NAME?</x:v>
      </x:c>
      <x:c r="J390" s="152" t="e">
        <x:f>IF(H390="","",H390/MAX(H$5:H390)-1)</x:f>
        <x:v>#NAME?</x:v>
      </x:c>
      <x:c r="K390" s="146" t="e">
        <x:f>IF(OR('实盘净值数据(iFinD公式)'!$A390="",'实盘净值数据(iFinD公式)'!$B390=""),"",分期持仓明细!$AD$23*SUMPRODUCT(分期持仓明细!$B$23:$AA$23,'实盘净值数据(iFinD公式)'!$B390:$AA390/'实盘净值数据(iFinD公式)'!$B$65:$AA$65)*(1-实盘持仓初始配置!$Z$7)^(('实盘净值数据(iFinD公式)'!$A390-'实盘净值数据(iFinD公式)'!$A$8)/365))</x:f>
        <x:v>#NAME?</x:v>
      </x:c>
      <x:c r="L390" s="152" t="e">
        <x:f>IF(OR(K389="",K390=""),"",K390/K389-1)</x:f>
        <x:v>#NAME?</x:v>
      </x:c>
      <x:c r="M390" s="152" t="e">
        <x:f>IF(K390="","",K390/MAX(K$5:K390)-1)</x:f>
        <x:v>#NAME?</x:v>
      </x:c>
      <x:c r="N390" s="146" t="e">
        <x:f>IF(OR('实盘净值数据(iFinD公式)'!$A390="",'实盘净值数据(iFinD公式)'!$B390=""),"",分期持仓明细!$AD$24*SUMPRODUCT(分期持仓明细!$B$24:$AA$24,'实盘净值数据(iFinD公式)'!$B390:$AA390/'实盘净值数据(iFinD公式)'!$B$65:$AA$65)*(1-实盘持仓初始配置!$Z$8)^(('实盘净值数据(iFinD公式)'!$A390-'实盘净值数据(iFinD公式)'!$A$5)/365))</x:f>
        <x:v>#NAME?</x:v>
      </x:c>
      <x:c r="O390" s="152" t="e">
        <x:f>IF(OR(N389="",N390=""),"",N390/N389-1)</x:f>
        <x:v>#NAME?</x:v>
      </x:c>
      <x:c r="P390" s="152" t="e">
        <x:f>IF(N390="","",N390/MAX(N$5:N390)-1)</x:f>
        <x:v>#NAME?</x:v>
      </x:c>
      <x:c r="Q390" s="146" t="e">
        <x:f>IF(OR('实盘净值数据(iFinD公式)'!$A390="",'实盘净值数据(iFinD公式)'!$B390=""),"",分期持仓明细!$AD$25*SUMPRODUCT(分期持仓明细!$B$25:$AA$25,'实盘净值数据(iFinD公式)'!$B390:$AA390/'实盘净值数据(iFinD公式)'!$B$65:$AA$65)*(1-实盘持仓初始配置!$Z$9)^(('实盘净值数据(iFinD公式)'!$A390-'实盘净值数据(iFinD公式)'!$A$8)/365))</x:f>
        <x:v>#NAME?</x:v>
      </x:c>
      <x:c r="R390" s="152" t="e">
        <x:f>IF(OR(Q389="",Q390=""),"",Q390/Q389-1)</x:f>
        <x:v>#NAME?</x:v>
      </x:c>
      <x:c r="S390" s="152" t="e">
        <x:f>IF(Q390="","",Q390/MAX(Q$5:Q390)-1)</x:f>
        <x:v>#NAME?</x:v>
      </x:c>
    </x:row>
    <x:row r="391">
      <x:c r="A391" s="149" t="str">
        <x:f>IF('实盘净值数据(iFinD公式)'!A391="","",'实盘净值数据(iFinD公式)'!A391)</x:f>
      </x:c>
      <x:c r="B391" s="146" t="e">
        <x:f>IF(OR('实盘净值数据(iFinD公式)'!$A391="",'实盘净值数据(iFinD公式)'!$B391=""),"",分期持仓明细!$AD$17*SUMPRODUCT(分期持仓明细!$B$17:$AA$17,'实盘净值数据(iFinD公式)'!$B391:$AA391/'实盘净值数据(iFinD公式)'!$B$20:$AA$20)*(1-实盘持仓初始配置!$Z$4)^(('实盘净值数据(iFinD公式)'!$A391-'实盘净值数据(iFinD公式)'!$A$6)/365))</x:f>
        <x:v>#NAME?</x:v>
      </x:c>
      <x:c r="C391" s="152" t="e">
        <x:f>IF(OR(B390="",B391=""),"",B391/B390-1)</x:f>
        <x:v>#NAME?</x:v>
      </x:c>
      <x:c r="D391" s="152" t="e">
        <x:f>IF(B391="","",B391/MAX(B$5:B391)-1)</x:f>
        <x:v>#NAME?</x:v>
      </x:c>
      <x:c r="E391" s="146" t="e">
        <x:f>IF(OR('实盘净值数据(iFinD公式)'!$A391="",'实盘净值数据(iFinD公式)'!$B391=""),"",分期持仓明细!$AD$18*SUMPRODUCT(分期持仓明细!$B$18:$AA$18,'实盘净值数据(iFinD公式)'!$B391:$AA391/'实盘净值数据(iFinD公式)'!$B$20:$AA$20)*(1-实盘持仓初始配置!$Z$5)^(('实盘净值数据(iFinD公式)'!$A391-'实盘净值数据(iFinD公式)'!$A$5)/365))</x:f>
        <x:v>#NAME?</x:v>
      </x:c>
      <x:c r="F391" s="152" t="e">
        <x:f>IF(OR(E390="",E391=""),"",E391/E390-1)</x:f>
        <x:v>#NAME?</x:v>
      </x:c>
      <x:c r="G391" s="152" t="e">
        <x:f>IF(E391="","",E391/MAX(E$5:E391)-1)</x:f>
        <x:v>#NAME?</x:v>
      </x:c>
      <x:c r="H391" s="146" t="e">
        <x:f>IF(OR('实盘净值数据(iFinD公式)'!$A391="",'实盘净值数据(iFinD公式)'!$B391=""),"",分期持仓明细!$AD$19*SUMPRODUCT(分期持仓明细!$B$19:$AA$19,'实盘净值数据(iFinD公式)'!$B391:$AA391/'实盘净值数据(iFinD公式)'!$B$20:$AA$20)*(1-实盘持仓初始配置!$Z$6)^(('实盘净值数据(iFinD公式)'!$A391-'实盘净值数据(iFinD公式)'!$A$7)/365))</x:f>
        <x:v>#NAME?</x:v>
      </x:c>
      <x:c r="I391" s="152" t="e">
        <x:f>IF(OR(H390="",H391=""),"",H391/H390-1)</x:f>
        <x:v>#NAME?</x:v>
      </x:c>
      <x:c r="J391" s="152" t="e">
        <x:f>IF(H391="","",H391/MAX(H$5:H391)-1)</x:f>
        <x:v>#NAME?</x:v>
      </x:c>
      <x:c r="K391" s="146" t="e">
        <x:f>IF(OR('实盘净值数据(iFinD公式)'!$A391="",'实盘净值数据(iFinD公式)'!$B391=""),"",分期持仓明细!$AD$23*SUMPRODUCT(分期持仓明细!$B$23:$AA$23,'实盘净值数据(iFinD公式)'!$B391:$AA391/'实盘净值数据(iFinD公式)'!$B$65:$AA$65)*(1-实盘持仓初始配置!$Z$7)^(('实盘净值数据(iFinD公式)'!$A391-'实盘净值数据(iFinD公式)'!$A$8)/365))</x:f>
        <x:v>#NAME?</x:v>
      </x:c>
      <x:c r="L391" s="152" t="e">
        <x:f>IF(OR(K390="",K391=""),"",K391/K390-1)</x:f>
        <x:v>#NAME?</x:v>
      </x:c>
      <x:c r="M391" s="152" t="e">
        <x:f>IF(K391="","",K391/MAX(K$5:K391)-1)</x:f>
        <x:v>#NAME?</x:v>
      </x:c>
      <x:c r="N391" s="146" t="e">
        <x:f>IF(OR('实盘净值数据(iFinD公式)'!$A391="",'实盘净值数据(iFinD公式)'!$B391=""),"",分期持仓明细!$AD$24*SUMPRODUCT(分期持仓明细!$B$24:$AA$24,'实盘净值数据(iFinD公式)'!$B391:$AA391/'实盘净值数据(iFinD公式)'!$B$65:$AA$65)*(1-实盘持仓初始配置!$Z$8)^(('实盘净值数据(iFinD公式)'!$A391-'实盘净值数据(iFinD公式)'!$A$5)/365))</x:f>
        <x:v>#NAME?</x:v>
      </x:c>
      <x:c r="O391" s="152" t="e">
        <x:f>IF(OR(N390="",N391=""),"",N391/N390-1)</x:f>
        <x:v>#NAME?</x:v>
      </x:c>
      <x:c r="P391" s="152" t="e">
        <x:f>IF(N391="","",N391/MAX(N$5:N391)-1)</x:f>
        <x:v>#NAME?</x:v>
      </x:c>
      <x:c r="Q391" s="146" t="e">
        <x:f>IF(OR('实盘净值数据(iFinD公式)'!$A391="",'实盘净值数据(iFinD公式)'!$B391=""),"",分期持仓明细!$AD$25*SUMPRODUCT(分期持仓明细!$B$25:$AA$25,'实盘净值数据(iFinD公式)'!$B391:$AA391/'实盘净值数据(iFinD公式)'!$B$65:$AA$65)*(1-实盘持仓初始配置!$Z$9)^(('实盘净值数据(iFinD公式)'!$A391-'实盘净值数据(iFinD公式)'!$A$8)/365))</x:f>
        <x:v>#NAME?</x:v>
      </x:c>
      <x:c r="R391" s="152" t="e">
        <x:f>IF(OR(Q390="",Q391=""),"",Q391/Q390-1)</x:f>
        <x:v>#NAME?</x:v>
      </x:c>
      <x:c r="S391" s="152" t="e">
        <x:f>IF(Q391="","",Q391/MAX(Q$5:Q391)-1)</x:f>
        <x:v>#NAME?</x:v>
      </x:c>
    </x:row>
    <x:row r="392">
      <x:c r="A392" s="149" t="str">
        <x:f>IF('实盘净值数据(iFinD公式)'!A392="","",'实盘净值数据(iFinD公式)'!A392)</x:f>
      </x:c>
      <x:c r="B392" s="146" t="e">
        <x:f>IF(OR('实盘净值数据(iFinD公式)'!$A392="",'实盘净值数据(iFinD公式)'!$B392=""),"",分期持仓明细!$AD$17*SUMPRODUCT(分期持仓明细!$B$17:$AA$17,'实盘净值数据(iFinD公式)'!$B392:$AA392/'实盘净值数据(iFinD公式)'!$B$20:$AA$20)*(1-实盘持仓初始配置!$Z$4)^(('实盘净值数据(iFinD公式)'!$A392-'实盘净值数据(iFinD公式)'!$A$6)/365))</x:f>
        <x:v>#NAME?</x:v>
      </x:c>
      <x:c r="C392" s="152" t="e">
        <x:f>IF(OR(B391="",B392=""),"",B392/B391-1)</x:f>
        <x:v>#NAME?</x:v>
      </x:c>
      <x:c r="D392" s="152" t="e">
        <x:f>IF(B392="","",B392/MAX(B$5:B392)-1)</x:f>
        <x:v>#NAME?</x:v>
      </x:c>
      <x:c r="E392" s="146" t="e">
        <x:f>IF(OR('实盘净值数据(iFinD公式)'!$A392="",'实盘净值数据(iFinD公式)'!$B392=""),"",分期持仓明细!$AD$18*SUMPRODUCT(分期持仓明细!$B$18:$AA$18,'实盘净值数据(iFinD公式)'!$B392:$AA392/'实盘净值数据(iFinD公式)'!$B$20:$AA$20)*(1-实盘持仓初始配置!$Z$5)^(('实盘净值数据(iFinD公式)'!$A392-'实盘净值数据(iFinD公式)'!$A$5)/365))</x:f>
        <x:v>#NAME?</x:v>
      </x:c>
      <x:c r="F392" s="152" t="e">
        <x:f>IF(OR(E391="",E392=""),"",E392/E391-1)</x:f>
        <x:v>#NAME?</x:v>
      </x:c>
      <x:c r="G392" s="152" t="e">
        <x:f>IF(E392="","",E392/MAX(E$5:E392)-1)</x:f>
        <x:v>#NAME?</x:v>
      </x:c>
      <x:c r="H392" s="146" t="e">
        <x:f>IF(OR('实盘净值数据(iFinD公式)'!$A392="",'实盘净值数据(iFinD公式)'!$B392=""),"",分期持仓明细!$AD$19*SUMPRODUCT(分期持仓明细!$B$19:$AA$19,'实盘净值数据(iFinD公式)'!$B392:$AA392/'实盘净值数据(iFinD公式)'!$B$20:$AA$20)*(1-实盘持仓初始配置!$Z$6)^(('实盘净值数据(iFinD公式)'!$A392-'实盘净值数据(iFinD公式)'!$A$7)/365))</x:f>
        <x:v>#NAME?</x:v>
      </x:c>
      <x:c r="I392" s="152" t="e">
        <x:f>IF(OR(H391="",H392=""),"",H392/H391-1)</x:f>
        <x:v>#NAME?</x:v>
      </x:c>
      <x:c r="J392" s="152" t="e">
        <x:f>IF(H392="","",H392/MAX(H$5:H392)-1)</x:f>
        <x:v>#NAME?</x:v>
      </x:c>
      <x:c r="K392" s="146" t="e">
        <x:f>IF(OR('实盘净值数据(iFinD公式)'!$A392="",'实盘净值数据(iFinD公式)'!$B392=""),"",分期持仓明细!$AD$23*SUMPRODUCT(分期持仓明细!$B$23:$AA$23,'实盘净值数据(iFinD公式)'!$B392:$AA392/'实盘净值数据(iFinD公式)'!$B$65:$AA$65)*(1-实盘持仓初始配置!$Z$7)^(('实盘净值数据(iFinD公式)'!$A392-'实盘净值数据(iFinD公式)'!$A$8)/365))</x:f>
        <x:v>#NAME?</x:v>
      </x:c>
      <x:c r="L392" s="152" t="e">
        <x:f>IF(OR(K391="",K392=""),"",K392/K391-1)</x:f>
        <x:v>#NAME?</x:v>
      </x:c>
      <x:c r="M392" s="152" t="e">
        <x:f>IF(K392="","",K392/MAX(K$5:K392)-1)</x:f>
        <x:v>#NAME?</x:v>
      </x:c>
      <x:c r="N392" s="146" t="e">
        <x:f>IF(OR('实盘净值数据(iFinD公式)'!$A392="",'实盘净值数据(iFinD公式)'!$B392=""),"",分期持仓明细!$AD$24*SUMPRODUCT(分期持仓明细!$B$24:$AA$24,'实盘净值数据(iFinD公式)'!$B392:$AA392/'实盘净值数据(iFinD公式)'!$B$65:$AA$65)*(1-实盘持仓初始配置!$Z$8)^(('实盘净值数据(iFinD公式)'!$A392-'实盘净值数据(iFinD公式)'!$A$5)/365))</x:f>
        <x:v>#NAME?</x:v>
      </x:c>
      <x:c r="O392" s="152" t="e">
        <x:f>IF(OR(N391="",N392=""),"",N392/N391-1)</x:f>
        <x:v>#NAME?</x:v>
      </x:c>
      <x:c r="P392" s="152" t="e">
        <x:f>IF(N392="","",N392/MAX(N$5:N392)-1)</x:f>
        <x:v>#NAME?</x:v>
      </x:c>
      <x:c r="Q392" s="146" t="e">
        <x:f>IF(OR('实盘净值数据(iFinD公式)'!$A392="",'实盘净值数据(iFinD公式)'!$B392=""),"",分期持仓明细!$AD$25*SUMPRODUCT(分期持仓明细!$B$25:$AA$25,'实盘净值数据(iFinD公式)'!$B392:$AA392/'实盘净值数据(iFinD公式)'!$B$65:$AA$65)*(1-实盘持仓初始配置!$Z$9)^(('实盘净值数据(iFinD公式)'!$A392-'实盘净值数据(iFinD公式)'!$A$8)/365))</x:f>
        <x:v>#NAME?</x:v>
      </x:c>
      <x:c r="R392" s="152" t="e">
        <x:f>IF(OR(Q391="",Q392=""),"",Q392/Q391-1)</x:f>
        <x:v>#NAME?</x:v>
      </x:c>
      <x:c r="S392" s="152" t="e">
        <x:f>IF(Q392="","",Q392/MAX(Q$5:Q392)-1)</x:f>
        <x:v>#NAME?</x:v>
      </x:c>
    </x:row>
    <x:row r="393">
      <x:c r="A393" s="149" t="str">
        <x:f>IF('实盘净值数据(iFinD公式)'!A393="","",'实盘净值数据(iFinD公式)'!A393)</x:f>
      </x:c>
      <x:c r="B393" s="146" t="e">
        <x:f>IF(OR('实盘净值数据(iFinD公式)'!$A393="",'实盘净值数据(iFinD公式)'!$B393=""),"",分期持仓明细!$AD$17*SUMPRODUCT(分期持仓明细!$B$17:$AA$17,'实盘净值数据(iFinD公式)'!$B393:$AA393/'实盘净值数据(iFinD公式)'!$B$20:$AA$20)*(1-实盘持仓初始配置!$Z$4)^(('实盘净值数据(iFinD公式)'!$A393-'实盘净值数据(iFinD公式)'!$A$6)/365))</x:f>
        <x:v>#NAME?</x:v>
      </x:c>
      <x:c r="C393" s="152" t="e">
        <x:f>IF(OR(B392="",B393=""),"",B393/B392-1)</x:f>
        <x:v>#NAME?</x:v>
      </x:c>
      <x:c r="D393" s="152" t="e">
        <x:f>IF(B393="","",B393/MAX(B$5:B393)-1)</x:f>
        <x:v>#NAME?</x:v>
      </x:c>
      <x:c r="E393" s="146" t="e">
        <x:f>IF(OR('实盘净值数据(iFinD公式)'!$A393="",'实盘净值数据(iFinD公式)'!$B393=""),"",分期持仓明细!$AD$18*SUMPRODUCT(分期持仓明细!$B$18:$AA$18,'实盘净值数据(iFinD公式)'!$B393:$AA393/'实盘净值数据(iFinD公式)'!$B$20:$AA$20)*(1-实盘持仓初始配置!$Z$5)^(('实盘净值数据(iFinD公式)'!$A393-'实盘净值数据(iFinD公式)'!$A$5)/365))</x:f>
        <x:v>#NAME?</x:v>
      </x:c>
      <x:c r="F393" s="152" t="e">
        <x:f>IF(OR(E392="",E393=""),"",E393/E392-1)</x:f>
        <x:v>#NAME?</x:v>
      </x:c>
      <x:c r="G393" s="152" t="e">
        <x:f>IF(E393="","",E393/MAX(E$5:E393)-1)</x:f>
        <x:v>#NAME?</x:v>
      </x:c>
      <x:c r="H393" s="146" t="e">
        <x:f>IF(OR('实盘净值数据(iFinD公式)'!$A393="",'实盘净值数据(iFinD公式)'!$B393=""),"",分期持仓明细!$AD$19*SUMPRODUCT(分期持仓明细!$B$19:$AA$19,'实盘净值数据(iFinD公式)'!$B393:$AA393/'实盘净值数据(iFinD公式)'!$B$20:$AA$20)*(1-实盘持仓初始配置!$Z$6)^(('实盘净值数据(iFinD公式)'!$A393-'实盘净值数据(iFinD公式)'!$A$7)/365))</x:f>
        <x:v>#NAME?</x:v>
      </x:c>
      <x:c r="I393" s="152" t="e">
        <x:f>IF(OR(H392="",H393=""),"",H393/H392-1)</x:f>
        <x:v>#NAME?</x:v>
      </x:c>
      <x:c r="J393" s="152" t="e">
        <x:f>IF(H393="","",H393/MAX(H$5:H393)-1)</x:f>
        <x:v>#NAME?</x:v>
      </x:c>
      <x:c r="K393" s="146" t="e">
        <x:f>IF(OR('实盘净值数据(iFinD公式)'!$A393="",'实盘净值数据(iFinD公式)'!$B393=""),"",分期持仓明细!$AD$23*SUMPRODUCT(分期持仓明细!$B$23:$AA$23,'实盘净值数据(iFinD公式)'!$B393:$AA393/'实盘净值数据(iFinD公式)'!$B$65:$AA$65)*(1-实盘持仓初始配置!$Z$7)^(('实盘净值数据(iFinD公式)'!$A393-'实盘净值数据(iFinD公式)'!$A$8)/365))</x:f>
        <x:v>#NAME?</x:v>
      </x:c>
      <x:c r="L393" s="152" t="e">
        <x:f>IF(OR(K392="",K393=""),"",K393/K392-1)</x:f>
        <x:v>#NAME?</x:v>
      </x:c>
      <x:c r="M393" s="152" t="e">
        <x:f>IF(K393="","",K393/MAX(K$5:K393)-1)</x:f>
        <x:v>#NAME?</x:v>
      </x:c>
      <x:c r="N393" s="146" t="e">
        <x:f>IF(OR('实盘净值数据(iFinD公式)'!$A393="",'实盘净值数据(iFinD公式)'!$B393=""),"",分期持仓明细!$AD$24*SUMPRODUCT(分期持仓明细!$B$24:$AA$24,'实盘净值数据(iFinD公式)'!$B393:$AA393/'实盘净值数据(iFinD公式)'!$B$65:$AA$65)*(1-实盘持仓初始配置!$Z$8)^(('实盘净值数据(iFinD公式)'!$A393-'实盘净值数据(iFinD公式)'!$A$5)/365))</x:f>
        <x:v>#NAME?</x:v>
      </x:c>
      <x:c r="O393" s="152" t="e">
        <x:f>IF(OR(N392="",N393=""),"",N393/N392-1)</x:f>
        <x:v>#NAME?</x:v>
      </x:c>
      <x:c r="P393" s="152" t="e">
        <x:f>IF(N393="","",N393/MAX(N$5:N393)-1)</x:f>
        <x:v>#NAME?</x:v>
      </x:c>
      <x:c r="Q393" s="146" t="e">
        <x:f>IF(OR('实盘净值数据(iFinD公式)'!$A393="",'实盘净值数据(iFinD公式)'!$B393=""),"",分期持仓明细!$AD$25*SUMPRODUCT(分期持仓明细!$B$25:$AA$25,'实盘净值数据(iFinD公式)'!$B393:$AA393/'实盘净值数据(iFinD公式)'!$B$65:$AA$65)*(1-实盘持仓初始配置!$Z$9)^(('实盘净值数据(iFinD公式)'!$A393-'实盘净值数据(iFinD公式)'!$A$8)/365))</x:f>
        <x:v>#NAME?</x:v>
      </x:c>
      <x:c r="R393" s="152" t="e">
        <x:f>IF(OR(Q392="",Q393=""),"",Q393/Q392-1)</x:f>
        <x:v>#NAME?</x:v>
      </x:c>
      <x:c r="S393" s="152" t="e">
        <x:f>IF(Q393="","",Q393/MAX(Q$5:Q393)-1)</x:f>
        <x:v>#NAME?</x:v>
      </x:c>
    </x:row>
    <x:row r="394">
      <x:c r="A394" s="149" t="str">
        <x:f>IF('实盘净值数据(iFinD公式)'!A394="","",'实盘净值数据(iFinD公式)'!A394)</x:f>
      </x:c>
      <x:c r="B394" s="146" t="e">
        <x:f>IF(OR('实盘净值数据(iFinD公式)'!$A394="",'实盘净值数据(iFinD公式)'!$B394=""),"",分期持仓明细!$AD$17*SUMPRODUCT(分期持仓明细!$B$17:$AA$17,'实盘净值数据(iFinD公式)'!$B394:$AA394/'实盘净值数据(iFinD公式)'!$B$20:$AA$20)*(1-实盘持仓初始配置!$Z$4)^(('实盘净值数据(iFinD公式)'!$A394-'实盘净值数据(iFinD公式)'!$A$6)/365))</x:f>
        <x:v>#NAME?</x:v>
      </x:c>
      <x:c r="C394" s="152" t="e">
        <x:f>IF(OR(B393="",B394=""),"",B394/B393-1)</x:f>
        <x:v>#NAME?</x:v>
      </x:c>
      <x:c r="D394" s="152" t="e">
        <x:f>IF(B394="","",B394/MAX(B$5:B394)-1)</x:f>
        <x:v>#NAME?</x:v>
      </x:c>
      <x:c r="E394" s="146" t="e">
        <x:f>IF(OR('实盘净值数据(iFinD公式)'!$A394="",'实盘净值数据(iFinD公式)'!$B394=""),"",分期持仓明细!$AD$18*SUMPRODUCT(分期持仓明细!$B$18:$AA$18,'实盘净值数据(iFinD公式)'!$B394:$AA394/'实盘净值数据(iFinD公式)'!$B$20:$AA$20)*(1-实盘持仓初始配置!$Z$5)^(('实盘净值数据(iFinD公式)'!$A394-'实盘净值数据(iFinD公式)'!$A$5)/365))</x:f>
        <x:v>#NAME?</x:v>
      </x:c>
      <x:c r="F394" s="152" t="e">
        <x:f>IF(OR(E393="",E394=""),"",E394/E393-1)</x:f>
        <x:v>#NAME?</x:v>
      </x:c>
      <x:c r="G394" s="152" t="e">
        <x:f>IF(E394="","",E394/MAX(E$5:E394)-1)</x:f>
        <x:v>#NAME?</x:v>
      </x:c>
      <x:c r="H394" s="146" t="e">
        <x:f>IF(OR('实盘净值数据(iFinD公式)'!$A394="",'实盘净值数据(iFinD公式)'!$B394=""),"",分期持仓明细!$AD$19*SUMPRODUCT(分期持仓明细!$B$19:$AA$19,'实盘净值数据(iFinD公式)'!$B394:$AA394/'实盘净值数据(iFinD公式)'!$B$20:$AA$20)*(1-实盘持仓初始配置!$Z$6)^(('实盘净值数据(iFinD公式)'!$A394-'实盘净值数据(iFinD公式)'!$A$7)/365))</x:f>
        <x:v>#NAME?</x:v>
      </x:c>
      <x:c r="I394" s="152" t="e">
        <x:f>IF(OR(H393="",H394=""),"",H394/H393-1)</x:f>
        <x:v>#NAME?</x:v>
      </x:c>
      <x:c r="J394" s="152" t="e">
        <x:f>IF(H394="","",H394/MAX(H$5:H394)-1)</x:f>
        <x:v>#NAME?</x:v>
      </x:c>
      <x:c r="K394" s="146" t="e">
        <x:f>IF(OR('实盘净值数据(iFinD公式)'!$A394="",'实盘净值数据(iFinD公式)'!$B394=""),"",分期持仓明细!$AD$23*SUMPRODUCT(分期持仓明细!$B$23:$AA$23,'实盘净值数据(iFinD公式)'!$B394:$AA394/'实盘净值数据(iFinD公式)'!$B$65:$AA$65)*(1-实盘持仓初始配置!$Z$7)^(('实盘净值数据(iFinD公式)'!$A394-'实盘净值数据(iFinD公式)'!$A$8)/365))</x:f>
        <x:v>#NAME?</x:v>
      </x:c>
      <x:c r="L394" s="152" t="e">
        <x:f>IF(OR(K393="",K394=""),"",K394/K393-1)</x:f>
        <x:v>#NAME?</x:v>
      </x:c>
      <x:c r="M394" s="152" t="e">
        <x:f>IF(K394="","",K394/MAX(K$5:K394)-1)</x:f>
        <x:v>#NAME?</x:v>
      </x:c>
      <x:c r="N394" s="146" t="e">
        <x:f>IF(OR('实盘净值数据(iFinD公式)'!$A394="",'实盘净值数据(iFinD公式)'!$B394=""),"",分期持仓明细!$AD$24*SUMPRODUCT(分期持仓明细!$B$24:$AA$24,'实盘净值数据(iFinD公式)'!$B394:$AA394/'实盘净值数据(iFinD公式)'!$B$65:$AA$65)*(1-实盘持仓初始配置!$Z$8)^(('实盘净值数据(iFinD公式)'!$A394-'实盘净值数据(iFinD公式)'!$A$5)/365))</x:f>
        <x:v>#NAME?</x:v>
      </x:c>
      <x:c r="O394" s="152" t="e">
        <x:f>IF(OR(N393="",N394=""),"",N394/N393-1)</x:f>
        <x:v>#NAME?</x:v>
      </x:c>
      <x:c r="P394" s="152" t="e">
        <x:f>IF(N394="","",N394/MAX(N$5:N394)-1)</x:f>
        <x:v>#NAME?</x:v>
      </x:c>
      <x:c r="Q394" s="146" t="e">
        <x:f>IF(OR('实盘净值数据(iFinD公式)'!$A394="",'实盘净值数据(iFinD公式)'!$B394=""),"",分期持仓明细!$AD$25*SUMPRODUCT(分期持仓明细!$B$25:$AA$25,'实盘净值数据(iFinD公式)'!$B394:$AA394/'实盘净值数据(iFinD公式)'!$B$65:$AA$65)*(1-实盘持仓初始配置!$Z$9)^(('实盘净值数据(iFinD公式)'!$A394-'实盘净值数据(iFinD公式)'!$A$8)/365))</x:f>
        <x:v>#NAME?</x:v>
      </x:c>
      <x:c r="R394" s="152" t="e">
        <x:f>IF(OR(Q393="",Q394=""),"",Q394/Q393-1)</x:f>
        <x:v>#NAME?</x:v>
      </x:c>
      <x:c r="S394" s="152" t="e">
        <x:f>IF(Q394="","",Q394/MAX(Q$5:Q394)-1)</x:f>
        <x:v>#NAME?</x:v>
      </x:c>
    </x:row>
    <x:row r="395">
      <x:c r="A395" s="149" t="str">
        <x:f>IF('实盘净值数据(iFinD公式)'!A395="","",'实盘净值数据(iFinD公式)'!A395)</x:f>
      </x:c>
      <x:c r="B395" s="146" t="e">
        <x:f>IF(OR('实盘净值数据(iFinD公式)'!$A395="",'实盘净值数据(iFinD公式)'!$B395=""),"",分期持仓明细!$AD$17*SUMPRODUCT(分期持仓明细!$B$17:$AA$17,'实盘净值数据(iFinD公式)'!$B395:$AA395/'实盘净值数据(iFinD公式)'!$B$20:$AA$20)*(1-实盘持仓初始配置!$Z$4)^(('实盘净值数据(iFinD公式)'!$A395-'实盘净值数据(iFinD公式)'!$A$6)/365))</x:f>
        <x:v>#NAME?</x:v>
      </x:c>
      <x:c r="C395" s="152" t="e">
        <x:f>IF(OR(B394="",B395=""),"",B395/B394-1)</x:f>
        <x:v>#NAME?</x:v>
      </x:c>
      <x:c r="D395" s="152" t="e">
        <x:f>IF(B395="","",B395/MAX(B$5:B395)-1)</x:f>
        <x:v>#NAME?</x:v>
      </x:c>
      <x:c r="E395" s="146" t="e">
        <x:f>IF(OR('实盘净值数据(iFinD公式)'!$A395="",'实盘净值数据(iFinD公式)'!$B395=""),"",分期持仓明细!$AD$18*SUMPRODUCT(分期持仓明细!$B$18:$AA$18,'实盘净值数据(iFinD公式)'!$B395:$AA395/'实盘净值数据(iFinD公式)'!$B$20:$AA$20)*(1-实盘持仓初始配置!$Z$5)^(('实盘净值数据(iFinD公式)'!$A395-'实盘净值数据(iFinD公式)'!$A$5)/365))</x:f>
        <x:v>#NAME?</x:v>
      </x:c>
      <x:c r="F395" s="152" t="e">
        <x:f>IF(OR(E394="",E395=""),"",E395/E394-1)</x:f>
        <x:v>#NAME?</x:v>
      </x:c>
      <x:c r="G395" s="152" t="e">
        <x:f>IF(E395="","",E395/MAX(E$5:E395)-1)</x:f>
        <x:v>#NAME?</x:v>
      </x:c>
      <x:c r="H395" s="146" t="e">
        <x:f>IF(OR('实盘净值数据(iFinD公式)'!$A395="",'实盘净值数据(iFinD公式)'!$B395=""),"",分期持仓明细!$AD$19*SUMPRODUCT(分期持仓明细!$B$19:$AA$19,'实盘净值数据(iFinD公式)'!$B395:$AA395/'实盘净值数据(iFinD公式)'!$B$20:$AA$20)*(1-实盘持仓初始配置!$Z$6)^(('实盘净值数据(iFinD公式)'!$A395-'实盘净值数据(iFinD公式)'!$A$7)/365))</x:f>
        <x:v>#NAME?</x:v>
      </x:c>
      <x:c r="I395" s="152" t="e">
        <x:f>IF(OR(H394="",H395=""),"",H395/H394-1)</x:f>
        <x:v>#NAME?</x:v>
      </x:c>
      <x:c r="J395" s="152" t="e">
        <x:f>IF(H395="","",H395/MAX(H$5:H395)-1)</x:f>
        <x:v>#NAME?</x:v>
      </x:c>
      <x:c r="K395" s="146" t="e">
        <x:f>IF(OR('实盘净值数据(iFinD公式)'!$A395="",'实盘净值数据(iFinD公式)'!$B395=""),"",分期持仓明细!$AD$23*SUMPRODUCT(分期持仓明细!$B$23:$AA$23,'实盘净值数据(iFinD公式)'!$B395:$AA395/'实盘净值数据(iFinD公式)'!$B$65:$AA$65)*(1-实盘持仓初始配置!$Z$7)^(('实盘净值数据(iFinD公式)'!$A395-'实盘净值数据(iFinD公式)'!$A$8)/365))</x:f>
        <x:v>#NAME?</x:v>
      </x:c>
      <x:c r="L395" s="152" t="e">
        <x:f>IF(OR(K394="",K395=""),"",K395/K394-1)</x:f>
        <x:v>#NAME?</x:v>
      </x:c>
      <x:c r="M395" s="152" t="e">
        <x:f>IF(K395="","",K395/MAX(K$5:K395)-1)</x:f>
        <x:v>#NAME?</x:v>
      </x:c>
      <x:c r="N395" s="146" t="e">
        <x:f>IF(OR('实盘净值数据(iFinD公式)'!$A395="",'实盘净值数据(iFinD公式)'!$B395=""),"",分期持仓明细!$AD$24*SUMPRODUCT(分期持仓明细!$B$24:$AA$24,'实盘净值数据(iFinD公式)'!$B395:$AA395/'实盘净值数据(iFinD公式)'!$B$65:$AA$65)*(1-实盘持仓初始配置!$Z$8)^(('实盘净值数据(iFinD公式)'!$A395-'实盘净值数据(iFinD公式)'!$A$5)/365))</x:f>
        <x:v>#NAME?</x:v>
      </x:c>
      <x:c r="O395" s="152" t="e">
        <x:f>IF(OR(N394="",N395=""),"",N395/N394-1)</x:f>
        <x:v>#NAME?</x:v>
      </x:c>
      <x:c r="P395" s="152" t="e">
        <x:f>IF(N395="","",N395/MAX(N$5:N395)-1)</x:f>
        <x:v>#NAME?</x:v>
      </x:c>
      <x:c r="Q395" s="146" t="e">
        <x:f>IF(OR('实盘净值数据(iFinD公式)'!$A395="",'实盘净值数据(iFinD公式)'!$B395=""),"",分期持仓明细!$AD$25*SUMPRODUCT(分期持仓明细!$B$25:$AA$25,'实盘净值数据(iFinD公式)'!$B395:$AA395/'实盘净值数据(iFinD公式)'!$B$65:$AA$65)*(1-实盘持仓初始配置!$Z$9)^(('实盘净值数据(iFinD公式)'!$A395-'实盘净值数据(iFinD公式)'!$A$8)/365))</x:f>
        <x:v>#NAME?</x:v>
      </x:c>
      <x:c r="R395" s="152" t="e">
        <x:f>IF(OR(Q394="",Q395=""),"",Q395/Q394-1)</x:f>
        <x:v>#NAME?</x:v>
      </x:c>
      <x:c r="S395" s="152" t="e">
        <x:f>IF(Q395="","",Q395/MAX(Q$5:Q395)-1)</x:f>
        <x:v>#NAME?</x:v>
      </x:c>
    </x:row>
    <x:row r="396">
      <x:c r="A396" s="149" t="str">
        <x:f>IF('实盘净值数据(iFinD公式)'!A396="","",'实盘净值数据(iFinD公式)'!A396)</x:f>
      </x:c>
      <x:c r="B396" s="146" t="e">
        <x:f>IF(OR('实盘净值数据(iFinD公式)'!$A396="",'实盘净值数据(iFinD公式)'!$B396=""),"",分期持仓明细!$AD$17*SUMPRODUCT(分期持仓明细!$B$17:$AA$17,'实盘净值数据(iFinD公式)'!$B396:$AA396/'实盘净值数据(iFinD公式)'!$B$20:$AA$20)*(1-实盘持仓初始配置!$Z$4)^(('实盘净值数据(iFinD公式)'!$A396-'实盘净值数据(iFinD公式)'!$A$6)/365))</x:f>
        <x:v>#NAME?</x:v>
      </x:c>
      <x:c r="C396" s="152" t="e">
        <x:f>IF(OR(B395="",B396=""),"",B396/B395-1)</x:f>
        <x:v>#NAME?</x:v>
      </x:c>
      <x:c r="D396" s="152" t="e">
        <x:f>IF(B396="","",B396/MAX(B$5:B396)-1)</x:f>
        <x:v>#NAME?</x:v>
      </x:c>
      <x:c r="E396" s="146" t="e">
        <x:f>IF(OR('实盘净值数据(iFinD公式)'!$A396="",'实盘净值数据(iFinD公式)'!$B396=""),"",分期持仓明细!$AD$18*SUMPRODUCT(分期持仓明细!$B$18:$AA$18,'实盘净值数据(iFinD公式)'!$B396:$AA396/'实盘净值数据(iFinD公式)'!$B$20:$AA$20)*(1-实盘持仓初始配置!$Z$5)^(('实盘净值数据(iFinD公式)'!$A396-'实盘净值数据(iFinD公式)'!$A$5)/365))</x:f>
        <x:v>#NAME?</x:v>
      </x:c>
      <x:c r="F396" s="152" t="e">
        <x:f>IF(OR(E395="",E396=""),"",E396/E395-1)</x:f>
        <x:v>#NAME?</x:v>
      </x:c>
      <x:c r="G396" s="152" t="e">
        <x:f>IF(E396="","",E396/MAX(E$5:E396)-1)</x:f>
        <x:v>#NAME?</x:v>
      </x:c>
      <x:c r="H396" s="146" t="e">
        <x:f>IF(OR('实盘净值数据(iFinD公式)'!$A396="",'实盘净值数据(iFinD公式)'!$B396=""),"",分期持仓明细!$AD$19*SUMPRODUCT(分期持仓明细!$B$19:$AA$19,'实盘净值数据(iFinD公式)'!$B396:$AA396/'实盘净值数据(iFinD公式)'!$B$20:$AA$20)*(1-实盘持仓初始配置!$Z$6)^(('实盘净值数据(iFinD公式)'!$A396-'实盘净值数据(iFinD公式)'!$A$7)/365))</x:f>
        <x:v>#NAME?</x:v>
      </x:c>
      <x:c r="I396" s="152" t="e">
        <x:f>IF(OR(H395="",H396=""),"",H396/H395-1)</x:f>
        <x:v>#NAME?</x:v>
      </x:c>
      <x:c r="J396" s="152" t="e">
        <x:f>IF(H396="","",H396/MAX(H$5:H396)-1)</x:f>
        <x:v>#NAME?</x:v>
      </x:c>
      <x:c r="K396" s="146" t="e">
        <x:f>IF(OR('实盘净值数据(iFinD公式)'!$A396="",'实盘净值数据(iFinD公式)'!$B396=""),"",分期持仓明细!$AD$23*SUMPRODUCT(分期持仓明细!$B$23:$AA$23,'实盘净值数据(iFinD公式)'!$B396:$AA396/'实盘净值数据(iFinD公式)'!$B$65:$AA$65)*(1-实盘持仓初始配置!$Z$7)^(('实盘净值数据(iFinD公式)'!$A396-'实盘净值数据(iFinD公式)'!$A$8)/365))</x:f>
        <x:v>#NAME?</x:v>
      </x:c>
      <x:c r="L396" s="152" t="e">
        <x:f>IF(OR(K395="",K396=""),"",K396/K395-1)</x:f>
        <x:v>#NAME?</x:v>
      </x:c>
      <x:c r="M396" s="152" t="e">
        <x:f>IF(K396="","",K396/MAX(K$5:K396)-1)</x:f>
        <x:v>#NAME?</x:v>
      </x:c>
      <x:c r="N396" s="146" t="e">
        <x:f>IF(OR('实盘净值数据(iFinD公式)'!$A396="",'实盘净值数据(iFinD公式)'!$B396=""),"",分期持仓明细!$AD$24*SUMPRODUCT(分期持仓明细!$B$24:$AA$24,'实盘净值数据(iFinD公式)'!$B396:$AA396/'实盘净值数据(iFinD公式)'!$B$65:$AA$65)*(1-实盘持仓初始配置!$Z$8)^(('实盘净值数据(iFinD公式)'!$A396-'实盘净值数据(iFinD公式)'!$A$5)/365))</x:f>
        <x:v>#NAME?</x:v>
      </x:c>
      <x:c r="O396" s="152" t="e">
        <x:f>IF(OR(N395="",N396=""),"",N396/N395-1)</x:f>
        <x:v>#NAME?</x:v>
      </x:c>
      <x:c r="P396" s="152" t="e">
        <x:f>IF(N396="","",N396/MAX(N$5:N396)-1)</x:f>
        <x:v>#NAME?</x:v>
      </x:c>
      <x:c r="Q396" s="146" t="e">
        <x:f>IF(OR('实盘净值数据(iFinD公式)'!$A396="",'实盘净值数据(iFinD公式)'!$B396=""),"",分期持仓明细!$AD$25*SUMPRODUCT(分期持仓明细!$B$25:$AA$25,'实盘净值数据(iFinD公式)'!$B396:$AA396/'实盘净值数据(iFinD公式)'!$B$65:$AA$65)*(1-实盘持仓初始配置!$Z$9)^(('实盘净值数据(iFinD公式)'!$A396-'实盘净值数据(iFinD公式)'!$A$8)/365))</x:f>
        <x:v>#NAME?</x:v>
      </x:c>
      <x:c r="R396" s="152" t="e">
        <x:f>IF(OR(Q395="",Q396=""),"",Q396/Q395-1)</x:f>
        <x:v>#NAME?</x:v>
      </x:c>
      <x:c r="S396" s="152" t="e">
        <x:f>IF(Q396="","",Q396/MAX(Q$5:Q396)-1)</x:f>
        <x:v>#NAME?</x:v>
      </x:c>
    </x:row>
    <x:row r="397">
      <x:c r="A397" s="149" t="str">
        <x:f>IF('实盘净值数据(iFinD公式)'!A397="","",'实盘净值数据(iFinD公式)'!A397)</x:f>
      </x:c>
      <x:c r="B397" s="146" t="e">
        <x:f>IF(OR('实盘净值数据(iFinD公式)'!$A397="",'实盘净值数据(iFinD公式)'!$B397=""),"",分期持仓明细!$AD$17*SUMPRODUCT(分期持仓明细!$B$17:$AA$17,'实盘净值数据(iFinD公式)'!$B397:$AA397/'实盘净值数据(iFinD公式)'!$B$20:$AA$20)*(1-实盘持仓初始配置!$Z$4)^(('实盘净值数据(iFinD公式)'!$A397-'实盘净值数据(iFinD公式)'!$A$6)/365))</x:f>
        <x:v>#NAME?</x:v>
      </x:c>
      <x:c r="C397" s="152" t="e">
        <x:f>IF(OR(B396="",B397=""),"",B397/B396-1)</x:f>
        <x:v>#NAME?</x:v>
      </x:c>
      <x:c r="D397" s="152" t="e">
        <x:f>IF(B397="","",B397/MAX(B$5:B397)-1)</x:f>
        <x:v>#NAME?</x:v>
      </x:c>
      <x:c r="E397" s="146" t="e">
        <x:f>IF(OR('实盘净值数据(iFinD公式)'!$A397="",'实盘净值数据(iFinD公式)'!$B397=""),"",分期持仓明细!$AD$18*SUMPRODUCT(分期持仓明细!$B$18:$AA$18,'实盘净值数据(iFinD公式)'!$B397:$AA397/'实盘净值数据(iFinD公式)'!$B$20:$AA$20)*(1-实盘持仓初始配置!$Z$5)^(('实盘净值数据(iFinD公式)'!$A397-'实盘净值数据(iFinD公式)'!$A$5)/365))</x:f>
        <x:v>#NAME?</x:v>
      </x:c>
      <x:c r="F397" s="152" t="e">
        <x:f>IF(OR(E396="",E397=""),"",E397/E396-1)</x:f>
        <x:v>#NAME?</x:v>
      </x:c>
      <x:c r="G397" s="152" t="e">
        <x:f>IF(E397="","",E397/MAX(E$5:E397)-1)</x:f>
        <x:v>#NAME?</x:v>
      </x:c>
      <x:c r="H397" s="146" t="e">
        <x:f>IF(OR('实盘净值数据(iFinD公式)'!$A397="",'实盘净值数据(iFinD公式)'!$B397=""),"",分期持仓明细!$AD$19*SUMPRODUCT(分期持仓明细!$B$19:$AA$19,'实盘净值数据(iFinD公式)'!$B397:$AA397/'实盘净值数据(iFinD公式)'!$B$20:$AA$20)*(1-实盘持仓初始配置!$Z$6)^(('实盘净值数据(iFinD公式)'!$A397-'实盘净值数据(iFinD公式)'!$A$7)/365))</x:f>
        <x:v>#NAME?</x:v>
      </x:c>
      <x:c r="I397" s="152" t="e">
        <x:f>IF(OR(H396="",H397=""),"",H397/H396-1)</x:f>
        <x:v>#NAME?</x:v>
      </x:c>
      <x:c r="J397" s="152" t="e">
        <x:f>IF(H397="","",H397/MAX(H$5:H397)-1)</x:f>
        <x:v>#NAME?</x:v>
      </x:c>
      <x:c r="K397" s="146" t="e">
        <x:f>IF(OR('实盘净值数据(iFinD公式)'!$A397="",'实盘净值数据(iFinD公式)'!$B397=""),"",分期持仓明细!$AD$23*SUMPRODUCT(分期持仓明细!$B$23:$AA$23,'实盘净值数据(iFinD公式)'!$B397:$AA397/'实盘净值数据(iFinD公式)'!$B$65:$AA$65)*(1-实盘持仓初始配置!$Z$7)^(('实盘净值数据(iFinD公式)'!$A397-'实盘净值数据(iFinD公式)'!$A$8)/365))</x:f>
        <x:v>#NAME?</x:v>
      </x:c>
      <x:c r="L397" s="152" t="e">
        <x:f>IF(OR(K396="",K397=""),"",K397/K396-1)</x:f>
        <x:v>#NAME?</x:v>
      </x:c>
      <x:c r="M397" s="152" t="e">
        <x:f>IF(K397="","",K397/MAX(K$5:K397)-1)</x:f>
        <x:v>#NAME?</x:v>
      </x:c>
      <x:c r="N397" s="146" t="e">
        <x:f>IF(OR('实盘净值数据(iFinD公式)'!$A397="",'实盘净值数据(iFinD公式)'!$B397=""),"",分期持仓明细!$AD$24*SUMPRODUCT(分期持仓明细!$B$24:$AA$24,'实盘净值数据(iFinD公式)'!$B397:$AA397/'实盘净值数据(iFinD公式)'!$B$65:$AA$65)*(1-实盘持仓初始配置!$Z$8)^(('实盘净值数据(iFinD公式)'!$A397-'实盘净值数据(iFinD公式)'!$A$5)/365))</x:f>
        <x:v>#NAME?</x:v>
      </x:c>
      <x:c r="O397" s="152" t="e">
        <x:f>IF(OR(N396="",N397=""),"",N397/N396-1)</x:f>
        <x:v>#NAME?</x:v>
      </x:c>
      <x:c r="P397" s="152" t="e">
        <x:f>IF(N397="","",N397/MAX(N$5:N397)-1)</x:f>
        <x:v>#NAME?</x:v>
      </x:c>
      <x:c r="Q397" s="146" t="e">
        <x:f>IF(OR('实盘净值数据(iFinD公式)'!$A397="",'实盘净值数据(iFinD公式)'!$B397=""),"",分期持仓明细!$AD$25*SUMPRODUCT(分期持仓明细!$B$25:$AA$25,'实盘净值数据(iFinD公式)'!$B397:$AA397/'实盘净值数据(iFinD公式)'!$B$65:$AA$65)*(1-实盘持仓初始配置!$Z$9)^(('实盘净值数据(iFinD公式)'!$A397-'实盘净值数据(iFinD公式)'!$A$8)/365))</x:f>
        <x:v>#NAME?</x:v>
      </x:c>
      <x:c r="R397" s="152" t="e">
        <x:f>IF(OR(Q396="",Q397=""),"",Q397/Q396-1)</x:f>
        <x:v>#NAME?</x:v>
      </x:c>
      <x:c r="S397" s="152" t="e">
        <x:f>IF(Q397="","",Q397/MAX(Q$5:Q397)-1)</x:f>
        <x:v>#NAME?</x:v>
      </x:c>
    </x:row>
    <x:row r="398">
      <x:c r="A398" s="149" t="str">
        <x:f>IF('实盘净值数据(iFinD公式)'!A398="","",'实盘净值数据(iFinD公式)'!A398)</x:f>
      </x:c>
      <x:c r="B398" s="146" t="e">
        <x:f>IF(OR('实盘净值数据(iFinD公式)'!$A398="",'实盘净值数据(iFinD公式)'!$B398=""),"",分期持仓明细!$AD$17*SUMPRODUCT(分期持仓明细!$B$17:$AA$17,'实盘净值数据(iFinD公式)'!$B398:$AA398/'实盘净值数据(iFinD公式)'!$B$20:$AA$20)*(1-实盘持仓初始配置!$Z$4)^(('实盘净值数据(iFinD公式)'!$A398-'实盘净值数据(iFinD公式)'!$A$6)/365))</x:f>
        <x:v>#NAME?</x:v>
      </x:c>
      <x:c r="C398" s="152" t="e">
        <x:f>IF(OR(B397="",B398=""),"",B398/B397-1)</x:f>
        <x:v>#NAME?</x:v>
      </x:c>
      <x:c r="D398" s="152" t="e">
        <x:f>IF(B398="","",B398/MAX(B$5:B398)-1)</x:f>
        <x:v>#NAME?</x:v>
      </x:c>
      <x:c r="E398" s="146" t="e">
        <x:f>IF(OR('实盘净值数据(iFinD公式)'!$A398="",'实盘净值数据(iFinD公式)'!$B398=""),"",分期持仓明细!$AD$18*SUMPRODUCT(分期持仓明细!$B$18:$AA$18,'实盘净值数据(iFinD公式)'!$B398:$AA398/'实盘净值数据(iFinD公式)'!$B$20:$AA$20)*(1-实盘持仓初始配置!$Z$5)^(('实盘净值数据(iFinD公式)'!$A398-'实盘净值数据(iFinD公式)'!$A$5)/365))</x:f>
        <x:v>#NAME?</x:v>
      </x:c>
      <x:c r="F398" s="152" t="e">
        <x:f>IF(OR(E397="",E398=""),"",E398/E397-1)</x:f>
        <x:v>#NAME?</x:v>
      </x:c>
      <x:c r="G398" s="152" t="e">
        <x:f>IF(E398="","",E398/MAX(E$5:E398)-1)</x:f>
        <x:v>#NAME?</x:v>
      </x:c>
      <x:c r="H398" s="146" t="e">
        <x:f>IF(OR('实盘净值数据(iFinD公式)'!$A398="",'实盘净值数据(iFinD公式)'!$B398=""),"",分期持仓明细!$AD$19*SUMPRODUCT(分期持仓明细!$B$19:$AA$19,'实盘净值数据(iFinD公式)'!$B398:$AA398/'实盘净值数据(iFinD公式)'!$B$20:$AA$20)*(1-实盘持仓初始配置!$Z$6)^(('实盘净值数据(iFinD公式)'!$A398-'实盘净值数据(iFinD公式)'!$A$7)/365))</x:f>
        <x:v>#NAME?</x:v>
      </x:c>
      <x:c r="I398" s="152" t="e">
        <x:f>IF(OR(H397="",H398=""),"",H398/H397-1)</x:f>
        <x:v>#NAME?</x:v>
      </x:c>
      <x:c r="J398" s="152" t="e">
        <x:f>IF(H398="","",H398/MAX(H$5:H398)-1)</x:f>
        <x:v>#NAME?</x:v>
      </x:c>
      <x:c r="K398" s="146" t="e">
        <x:f>IF(OR('实盘净值数据(iFinD公式)'!$A398="",'实盘净值数据(iFinD公式)'!$B398=""),"",分期持仓明细!$AD$23*SUMPRODUCT(分期持仓明细!$B$23:$AA$23,'实盘净值数据(iFinD公式)'!$B398:$AA398/'实盘净值数据(iFinD公式)'!$B$65:$AA$65)*(1-实盘持仓初始配置!$Z$7)^(('实盘净值数据(iFinD公式)'!$A398-'实盘净值数据(iFinD公式)'!$A$8)/365))</x:f>
        <x:v>#NAME?</x:v>
      </x:c>
      <x:c r="L398" s="152" t="e">
        <x:f>IF(OR(K397="",K398=""),"",K398/K397-1)</x:f>
        <x:v>#NAME?</x:v>
      </x:c>
      <x:c r="M398" s="152" t="e">
        <x:f>IF(K398="","",K398/MAX(K$5:K398)-1)</x:f>
        <x:v>#NAME?</x:v>
      </x:c>
      <x:c r="N398" s="146" t="e">
        <x:f>IF(OR('实盘净值数据(iFinD公式)'!$A398="",'实盘净值数据(iFinD公式)'!$B398=""),"",分期持仓明细!$AD$24*SUMPRODUCT(分期持仓明细!$B$24:$AA$24,'实盘净值数据(iFinD公式)'!$B398:$AA398/'实盘净值数据(iFinD公式)'!$B$65:$AA$65)*(1-实盘持仓初始配置!$Z$8)^(('实盘净值数据(iFinD公式)'!$A398-'实盘净值数据(iFinD公式)'!$A$5)/365))</x:f>
        <x:v>#NAME?</x:v>
      </x:c>
      <x:c r="O398" s="152" t="e">
        <x:f>IF(OR(N397="",N398=""),"",N398/N397-1)</x:f>
        <x:v>#NAME?</x:v>
      </x:c>
      <x:c r="P398" s="152" t="e">
        <x:f>IF(N398="","",N398/MAX(N$5:N398)-1)</x:f>
        <x:v>#NAME?</x:v>
      </x:c>
      <x:c r="Q398" s="146" t="e">
        <x:f>IF(OR('实盘净值数据(iFinD公式)'!$A398="",'实盘净值数据(iFinD公式)'!$B398=""),"",分期持仓明细!$AD$25*SUMPRODUCT(分期持仓明细!$B$25:$AA$25,'实盘净值数据(iFinD公式)'!$B398:$AA398/'实盘净值数据(iFinD公式)'!$B$65:$AA$65)*(1-实盘持仓初始配置!$Z$9)^(('实盘净值数据(iFinD公式)'!$A398-'实盘净值数据(iFinD公式)'!$A$8)/365))</x:f>
        <x:v>#NAME?</x:v>
      </x:c>
      <x:c r="R398" s="152" t="e">
        <x:f>IF(OR(Q397="",Q398=""),"",Q398/Q397-1)</x:f>
        <x:v>#NAME?</x:v>
      </x:c>
      <x:c r="S398" s="152" t="e">
        <x:f>IF(Q398="","",Q398/MAX(Q$5:Q398)-1)</x:f>
        <x:v>#NAME?</x:v>
      </x:c>
    </x:row>
    <x:row r="399">
      <x:c r="A399" s="149" t="str">
        <x:f>IF('实盘净值数据(iFinD公式)'!A399="","",'实盘净值数据(iFinD公式)'!A399)</x:f>
      </x:c>
      <x:c r="B399" s="146" t="e">
        <x:f>IF(OR('实盘净值数据(iFinD公式)'!$A399="",'实盘净值数据(iFinD公式)'!$B399=""),"",分期持仓明细!$AD$17*SUMPRODUCT(分期持仓明细!$B$17:$AA$17,'实盘净值数据(iFinD公式)'!$B399:$AA399/'实盘净值数据(iFinD公式)'!$B$20:$AA$20)*(1-实盘持仓初始配置!$Z$4)^(('实盘净值数据(iFinD公式)'!$A399-'实盘净值数据(iFinD公式)'!$A$6)/365))</x:f>
        <x:v>#NAME?</x:v>
      </x:c>
      <x:c r="C399" s="152" t="e">
        <x:f>IF(OR(B398="",B399=""),"",B399/B398-1)</x:f>
        <x:v>#NAME?</x:v>
      </x:c>
      <x:c r="D399" s="152" t="e">
        <x:f>IF(B399="","",B399/MAX(B$5:B399)-1)</x:f>
        <x:v>#NAME?</x:v>
      </x:c>
      <x:c r="E399" s="146" t="e">
        <x:f>IF(OR('实盘净值数据(iFinD公式)'!$A399="",'实盘净值数据(iFinD公式)'!$B399=""),"",分期持仓明细!$AD$18*SUMPRODUCT(分期持仓明细!$B$18:$AA$18,'实盘净值数据(iFinD公式)'!$B399:$AA399/'实盘净值数据(iFinD公式)'!$B$20:$AA$20)*(1-实盘持仓初始配置!$Z$5)^(('实盘净值数据(iFinD公式)'!$A399-'实盘净值数据(iFinD公式)'!$A$5)/365))</x:f>
        <x:v>#NAME?</x:v>
      </x:c>
      <x:c r="F399" s="152" t="e">
        <x:f>IF(OR(E398="",E399=""),"",E399/E398-1)</x:f>
        <x:v>#NAME?</x:v>
      </x:c>
      <x:c r="G399" s="152" t="e">
        <x:f>IF(E399="","",E399/MAX(E$5:E399)-1)</x:f>
        <x:v>#NAME?</x:v>
      </x:c>
      <x:c r="H399" s="146" t="e">
        <x:f>IF(OR('实盘净值数据(iFinD公式)'!$A399="",'实盘净值数据(iFinD公式)'!$B399=""),"",分期持仓明细!$AD$19*SUMPRODUCT(分期持仓明细!$B$19:$AA$19,'实盘净值数据(iFinD公式)'!$B399:$AA399/'实盘净值数据(iFinD公式)'!$B$20:$AA$20)*(1-实盘持仓初始配置!$Z$6)^(('实盘净值数据(iFinD公式)'!$A399-'实盘净值数据(iFinD公式)'!$A$7)/365))</x:f>
        <x:v>#NAME?</x:v>
      </x:c>
      <x:c r="I399" s="152" t="e">
        <x:f>IF(OR(H398="",H399=""),"",H399/H398-1)</x:f>
        <x:v>#NAME?</x:v>
      </x:c>
      <x:c r="J399" s="152" t="e">
        <x:f>IF(H399="","",H399/MAX(H$5:H399)-1)</x:f>
        <x:v>#NAME?</x:v>
      </x:c>
      <x:c r="K399" s="146" t="e">
        <x:f>IF(OR('实盘净值数据(iFinD公式)'!$A399="",'实盘净值数据(iFinD公式)'!$B399=""),"",分期持仓明细!$AD$23*SUMPRODUCT(分期持仓明细!$B$23:$AA$23,'实盘净值数据(iFinD公式)'!$B399:$AA399/'实盘净值数据(iFinD公式)'!$B$65:$AA$65)*(1-实盘持仓初始配置!$Z$7)^(('实盘净值数据(iFinD公式)'!$A399-'实盘净值数据(iFinD公式)'!$A$8)/365))</x:f>
        <x:v>#NAME?</x:v>
      </x:c>
      <x:c r="L399" s="152" t="e">
        <x:f>IF(OR(K398="",K399=""),"",K399/K398-1)</x:f>
        <x:v>#NAME?</x:v>
      </x:c>
      <x:c r="M399" s="152" t="e">
        <x:f>IF(K399="","",K399/MAX(K$5:K399)-1)</x:f>
        <x:v>#NAME?</x:v>
      </x:c>
      <x:c r="N399" s="146" t="e">
        <x:f>IF(OR('实盘净值数据(iFinD公式)'!$A399="",'实盘净值数据(iFinD公式)'!$B399=""),"",分期持仓明细!$AD$24*SUMPRODUCT(分期持仓明细!$B$24:$AA$24,'实盘净值数据(iFinD公式)'!$B399:$AA399/'实盘净值数据(iFinD公式)'!$B$65:$AA$65)*(1-实盘持仓初始配置!$Z$8)^(('实盘净值数据(iFinD公式)'!$A399-'实盘净值数据(iFinD公式)'!$A$5)/365))</x:f>
        <x:v>#NAME?</x:v>
      </x:c>
      <x:c r="O399" s="152" t="e">
        <x:f>IF(OR(N398="",N399=""),"",N399/N398-1)</x:f>
        <x:v>#NAME?</x:v>
      </x:c>
      <x:c r="P399" s="152" t="e">
        <x:f>IF(N399="","",N399/MAX(N$5:N399)-1)</x:f>
        <x:v>#NAME?</x:v>
      </x:c>
      <x:c r="Q399" s="146" t="e">
        <x:f>IF(OR('实盘净值数据(iFinD公式)'!$A399="",'实盘净值数据(iFinD公式)'!$B399=""),"",分期持仓明细!$AD$25*SUMPRODUCT(分期持仓明细!$B$25:$AA$25,'实盘净值数据(iFinD公式)'!$B399:$AA399/'实盘净值数据(iFinD公式)'!$B$65:$AA$65)*(1-实盘持仓初始配置!$Z$9)^(('实盘净值数据(iFinD公式)'!$A399-'实盘净值数据(iFinD公式)'!$A$8)/365))</x:f>
        <x:v>#NAME?</x:v>
      </x:c>
      <x:c r="R399" s="152" t="e">
        <x:f>IF(OR(Q398="",Q399=""),"",Q399/Q398-1)</x:f>
        <x:v>#NAME?</x:v>
      </x:c>
      <x:c r="S399" s="152" t="e">
        <x:f>IF(Q399="","",Q399/MAX(Q$5:Q399)-1)</x:f>
        <x:v>#NAME?</x:v>
      </x:c>
    </x:row>
    <x:row r="400">
      <x:c r="A400" s="149" t="str">
        <x:f>IF('实盘净值数据(iFinD公式)'!A400="","",'实盘净值数据(iFinD公式)'!A400)</x:f>
      </x:c>
      <x:c r="B400" s="146" t="e">
        <x:f>IF(OR('实盘净值数据(iFinD公式)'!$A400="",'实盘净值数据(iFinD公式)'!$B400=""),"",分期持仓明细!$AD$17*SUMPRODUCT(分期持仓明细!$B$17:$AA$17,'实盘净值数据(iFinD公式)'!$B400:$AA400/'实盘净值数据(iFinD公式)'!$B$20:$AA$20)*(1-实盘持仓初始配置!$Z$4)^(('实盘净值数据(iFinD公式)'!$A400-'实盘净值数据(iFinD公式)'!$A$6)/365))</x:f>
        <x:v>#NAME?</x:v>
      </x:c>
      <x:c r="C400" s="152" t="e">
        <x:f>IF(OR(B399="",B400=""),"",B400/B399-1)</x:f>
        <x:v>#NAME?</x:v>
      </x:c>
      <x:c r="D400" s="152" t="e">
        <x:f>IF(B400="","",B400/MAX(B$5:B400)-1)</x:f>
        <x:v>#NAME?</x:v>
      </x:c>
      <x:c r="E400" s="146" t="e">
        <x:f>IF(OR('实盘净值数据(iFinD公式)'!$A400="",'实盘净值数据(iFinD公式)'!$B400=""),"",分期持仓明细!$AD$18*SUMPRODUCT(分期持仓明细!$B$18:$AA$18,'实盘净值数据(iFinD公式)'!$B400:$AA400/'实盘净值数据(iFinD公式)'!$B$20:$AA$20)*(1-实盘持仓初始配置!$Z$5)^(('实盘净值数据(iFinD公式)'!$A400-'实盘净值数据(iFinD公式)'!$A$5)/365))</x:f>
        <x:v>#NAME?</x:v>
      </x:c>
      <x:c r="F400" s="152" t="e">
        <x:f>IF(OR(E399="",E400=""),"",E400/E399-1)</x:f>
        <x:v>#NAME?</x:v>
      </x:c>
      <x:c r="G400" s="152" t="e">
        <x:f>IF(E400="","",E400/MAX(E$5:E400)-1)</x:f>
        <x:v>#NAME?</x:v>
      </x:c>
      <x:c r="H400" s="146" t="e">
        <x:f>IF(OR('实盘净值数据(iFinD公式)'!$A400="",'实盘净值数据(iFinD公式)'!$B400=""),"",分期持仓明细!$AD$19*SUMPRODUCT(分期持仓明细!$B$19:$AA$19,'实盘净值数据(iFinD公式)'!$B400:$AA400/'实盘净值数据(iFinD公式)'!$B$20:$AA$20)*(1-实盘持仓初始配置!$Z$6)^(('实盘净值数据(iFinD公式)'!$A400-'实盘净值数据(iFinD公式)'!$A$7)/365))</x:f>
        <x:v>#NAME?</x:v>
      </x:c>
      <x:c r="I400" s="152" t="e">
        <x:f>IF(OR(H399="",H400=""),"",H400/H399-1)</x:f>
        <x:v>#NAME?</x:v>
      </x:c>
      <x:c r="J400" s="152" t="e">
        <x:f>IF(H400="","",H400/MAX(H$5:H400)-1)</x:f>
        <x:v>#NAME?</x:v>
      </x:c>
      <x:c r="K400" s="146" t="e">
        <x:f>IF(OR('实盘净值数据(iFinD公式)'!$A400="",'实盘净值数据(iFinD公式)'!$B400=""),"",分期持仓明细!$AD$23*SUMPRODUCT(分期持仓明细!$B$23:$AA$23,'实盘净值数据(iFinD公式)'!$B400:$AA400/'实盘净值数据(iFinD公式)'!$B$65:$AA$65)*(1-实盘持仓初始配置!$Z$7)^(('实盘净值数据(iFinD公式)'!$A400-'实盘净值数据(iFinD公式)'!$A$8)/365))</x:f>
        <x:v>#NAME?</x:v>
      </x:c>
      <x:c r="L400" s="152" t="e">
        <x:f>IF(OR(K399="",K400=""),"",K400/K399-1)</x:f>
        <x:v>#NAME?</x:v>
      </x:c>
      <x:c r="M400" s="152" t="e">
        <x:f>IF(K400="","",K400/MAX(K$5:K400)-1)</x:f>
        <x:v>#NAME?</x:v>
      </x:c>
      <x:c r="N400" s="146" t="e">
        <x:f>IF(OR('实盘净值数据(iFinD公式)'!$A400="",'实盘净值数据(iFinD公式)'!$B400=""),"",分期持仓明细!$AD$24*SUMPRODUCT(分期持仓明细!$B$24:$AA$24,'实盘净值数据(iFinD公式)'!$B400:$AA400/'实盘净值数据(iFinD公式)'!$B$65:$AA$65)*(1-实盘持仓初始配置!$Z$8)^(('实盘净值数据(iFinD公式)'!$A400-'实盘净值数据(iFinD公式)'!$A$5)/365))</x:f>
        <x:v>#NAME?</x:v>
      </x:c>
      <x:c r="O400" s="152" t="e">
        <x:f>IF(OR(N399="",N400=""),"",N400/N399-1)</x:f>
        <x:v>#NAME?</x:v>
      </x:c>
      <x:c r="P400" s="152" t="e">
        <x:f>IF(N400="","",N400/MAX(N$5:N400)-1)</x:f>
        <x:v>#NAME?</x:v>
      </x:c>
      <x:c r="Q400" s="146" t="e">
        <x:f>IF(OR('实盘净值数据(iFinD公式)'!$A400="",'实盘净值数据(iFinD公式)'!$B400=""),"",分期持仓明细!$AD$25*SUMPRODUCT(分期持仓明细!$B$25:$AA$25,'实盘净值数据(iFinD公式)'!$B400:$AA400/'实盘净值数据(iFinD公式)'!$B$65:$AA$65)*(1-实盘持仓初始配置!$Z$9)^(('实盘净值数据(iFinD公式)'!$A400-'实盘净值数据(iFinD公式)'!$A$8)/365))</x:f>
        <x:v>#NAME?</x:v>
      </x:c>
      <x:c r="R400" s="152" t="e">
        <x:f>IF(OR(Q399="",Q400=""),"",Q400/Q399-1)</x:f>
        <x:v>#NAME?</x:v>
      </x:c>
      <x:c r="S400" s="152" t="e">
        <x:f>IF(Q400="","",Q400/MAX(Q$5:Q400)-1)</x:f>
        <x:v>#NAME?</x:v>
      </x:c>
    </x:row>
    <x:row r="401">
      <x:c r="A401" s="149" t="str">
        <x:f>IF('实盘净值数据(iFinD公式)'!A401="","",'实盘净值数据(iFinD公式)'!A401)</x:f>
      </x:c>
      <x:c r="B401" s="146" t="e">
        <x:f>IF(OR('实盘净值数据(iFinD公式)'!$A401="",'实盘净值数据(iFinD公式)'!$B401=""),"",分期持仓明细!$AD$17*SUMPRODUCT(分期持仓明细!$B$17:$AA$17,'实盘净值数据(iFinD公式)'!$B401:$AA401/'实盘净值数据(iFinD公式)'!$B$20:$AA$20)*(1-实盘持仓初始配置!$Z$4)^(('实盘净值数据(iFinD公式)'!$A401-'实盘净值数据(iFinD公式)'!$A$6)/365))</x:f>
        <x:v>#NAME?</x:v>
      </x:c>
      <x:c r="C401" s="152" t="e">
        <x:f>IF(OR(B400="",B401=""),"",B401/B400-1)</x:f>
        <x:v>#NAME?</x:v>
      </x:c>
      <x:c r="D401" s="152" t="e">
        <x:f>IF(B401="","",B401/MAX(B$5:B401)-1)</x:f>
        <x:v>#NAME?</x:v>
      </x:c>
      <x:c r="E401" s="146" t="e">
        <x:f>IF(OR('实盘净值数据(iFinD公式)'!$A401="",'实盘净值数据(iFinD公式)'!$B401=""),"",分期持仓明细!$AD$18*SUMPRODUCT(分期持仓明细!$B$18:$AA$18,'实盘净值数据(iFinD公式)'!$B401:$AA401/'实盘净值数据(iFinD公式)'!$B$20:$AA$20)*(1-实盘持仓初始配置!$Z$5)^(('实盘净值数据(iFinD公式)'!$A401-'实盘净值数据(iFinD公式)'!$A$5)/365))</x:f>
        <x:v>#NAME?</x:v>
      </x:c>
      <x:c r="F401" s="152" t="e">
        <x:f>IF(OR(E400="",E401=""),"",E401/E400-1)</x:f>
        <x:v>#NAME?</x:v>
      </x:c>
      <x:c r="G401" s="152" t="e">
        <x:f>IF(E401="","",E401/MAX(E$5:E401)-1)</x:f>
        <x:v>#NAME?</x:v>
      </x:c>
      <x:c r="H401" s="146" t="e">
        <x:f>IF(OR('实盘净值数据(iFinD公式)'!$A401="",'实盘净值数据(iFinD公式)'!$B401=""),"",分期持仓明细!$AD$19*SUMPRODUCT(分期持仓明细!$B$19:$AA$19,'实盘净值数据(iFinD公式)'!$B401:$AA401/'实盘净值数据(iFinD公式)'!$B$20:$AA$20)*(1-实盘持仓初始配置!$Z$6)^(('实盘净值数据(iFinD公式)'!$A401-'实盘净值数据(iFinD公式)'!$A$7)/365))</x:f>
        <x:v>#NAME?</x:v>
      </x:c>
      <x:c r="I401" s="152" t="e">
        <x:f>IF(OR(H400="",H401=""),"",H401/H400-1)</x:f>
        <x:v>#NAME?</x:v>
      </x:c>
      <x:c r="J401" s="152" t="e">
        <x:f>IF(H401="","",H401/MAX(H$5:H401)-1)</x:f>
        <x:v>#NAME?</x:v>
      </x:c>
      <x:c r="K401" s="146" t="e">
        <x:f>IF(OR('实盘净值数据(iFinD公式)'!$A401="",'实盘净值数据(iFinD公式)'!$B401=""),"",分期持仓明细!$AD$23*SUMPRODUCT(分期持仓明细!$B$23:$AA$23,'实盘净值数据(iFinD公式)'!$B401:$AA401/'实盘净值数据(iFinD公式)'!$B$65:$AA$65)*(1-实盘持仓初始配置!$Z$7)^(('实盘净值数据(iFinD公式)'!$A401-'实盘净值数据(iFinD公式)'!$A$8)/365))</x:f>
        <x:v>#NAME?</x:v>
      </x:c>
      <x:c r="L401" s="152" t="e">
        <x:f>IF(OR(K400="",K401=""),"",K401/K400-1)</x:f>
        <x:v>#NAME?</x:v>
      </x:c>
      <x:c r="M401" s="152" t="e">
        <x:f>IF(K401="","",K401/MAX(K$5:K401)-1)</x:f>
        <x:v>#NAME?</x:v>
      </x:c>
      <x:c r="N401" s="146" t="e">
        <x:f>IF(OR('实盘净值数据(iFinD公式)'!$A401="",'实盘净值数据(iFinD公式)'!$B401=""),"",分期持仓明细!$AD$24*SUMPRODUCT(分期持仓明细!$B$24:$AA$24,'实盘净值数据(iFinD公式)'!$B401:$AA401/'实盘净值数据(iFinD公式)'!$B$65:$AA$65)*(1-实盘持仓初始配置!$Z$8)^(('实盘净值数据(iFinD公式)'!$A401-'实盘净值数据(iFinD公式)'!$A$5)/365))</x:f>
        <x:v>#NAME?</x:v>
      </x:c>
      <x:c r="O401" s="152" t="e">
        <x:f>IF(OR(N400="",N401=""),"",N401/N400-1)</x:f>
        <x:v>#NAME?</x:v>
      </x:c>
      <x:c r="P401" s="152" t="e">
        <x:f>IF(N401="","",N401/MAX(N$5:N401)-1)</x:f>
        <x:v>#NAME?</x:v>
      </x:c>
      <x:c r="Q401" s="146" t="e">
        <x:f>IF(OR('实盘净值数据(iFinD公式)'!$A401="",'实盘净值数据(iFinD公式)'!$B401=""),"",分期持仓明细!$AD$25*SUMPRODUCT(分期持仓明细!$B$25:$AA$25,'实盘净值数据(iFinD公式)'!$B401:$AA401/'实盘净值数据(iFinD公式)'!$B$65:$AA$65)*(1-实盘持仓初始配置!$Z$9)^(('实盘净值数据(iFinD公式)'!$A401-'实盘净值数据(iFinD公式)'!$A$8)/365))</x:f>
        <x:v>#NAME?</x:v>
      </x:c>
      <x:c r="R401" s="152" t="e">
        <x:f>IF(OR(Q400="",Q401=""),"",Q401/Q400-1)</x:f>
        <x:v>#NAME?</x:v>
      </x:c>
      <x:c r="S401" s="152" t="e">
        <x:f>IF(Q401="","",Q401/MAX(Q$5:Q401)-1)</x:f>
        <x:v>#NAME?</x:v>
      </x:c>
    </x:row>
    <x:row r="402">
      <x:c r="A402" s="149" t="str">
        <x:f>IF('实盘净值数据(iFinD公式)'!A402="","",'实盘净值数据(iFinD公式)'!A402)</x:f>
      </x:c>
      <x:c r="B402" s="146" t="e">
        <x:f>IF(OR('实盘净值数据(iFinD公式)'!$A402="",'实盘净值数据(iFinD公式)'!$B402=""),"",分期持仓明细!$AD$17*SUMPRODUCT(分期持仓明细!$B$17:$AA$17,'实盘净值数据(iFinD公式)'!$B402:$AA402/'实盘净值数据(iFinD公式)'!$B$20:$AA$20)*(1-实盘持仓初始配置!$Z$4)^(('实盘净值数据(iFinD公式)'!$A402-'实盘净值数据(iFinD公式)'!$A$6)/365))</x:f>
        <x:v>#NAME?</x:v>
      </x:c>
      <x:c r="C402" s="152" t="e">
        <x:f>IF(OR(B401="",B402=""),"",B402/B401-1)</x:f>
        <x:v>#NAME?</x:v>
      </x:c>
      <x:c r="D402" s="152" t="e">
        <x:f>IF(B402="","",B402/MAX(B$5:B402)-1)</x:f>
        <x:v>#NAME?</x:v>
      </x:c>
      <x:c r="E402" s="146" t="e">
        <x:f>IF(OR('实盘净值数据(iFinD公式)'!$A402="",'实盘净值数据(iFinD公式)'!$B402=""),"",分期持仓明细!$AD$18*SUMPRODUCT(分期持仓明细!$B$18:$AA$18,'实盘净值数据(iFinD公式)'!$B402:$AA402/'实盘净值数据(iFinD公式)'!$B$20:$AA$20)*(1-实盘持仓初始配置!$Z$5)^(('实盘净值数据(iFinD公式)'!$A402-'实盘净值数据(iFinD公式)'!$A$5)/365))</x:f>
        <x:v>#NAME?</x:v>
      </x:c>
      <x:c r="F402" s="152" t="e">
        <x:f>IF(OR(E401="",E402=""),"",E402/E401-1)</x:f>
        <x:v>#NAME?</x:v>
      </x:c>
      <x:c r="G402" s="152" t="e">
        <x:f>IF(E402="","",E402/MAX(E$5:E402)-1)</x:f>
        <x:v>#NAME?</x:v>
      </x:c>
      <x:c r="H402" s="146" t="e">
        <x:f>IF(OR('实盘净值数据(iFinD公式)'!$A402="",'实盘净值数据(iFinD公式)'!$B402=""),"",分期持仓明细!$AD$19*SUMPRODUCT(分期持仓明细!$B$19:$AA$19,'实盘净值数据(iFinD公式)'!$B402:$AA402/'实盘净值数据(iFinD公式)'!$B$20:$AA$20)*(1-实盘持仓初始配置!$Z$6)^(('实盘净值数据(iFinD公式)'!$A402-'实盘净值数据(iFinD公式)'!$A$7)/365))</x:f>
        <x:v>#NAME?</x:v>
      </x:c>
      <x:c r="I402" s="152" t="e">
        <x:f>IF(OR(H401="",H402=""),"",H402/H401-1)</x:f>
        <x:v>#NAME?</x:v>
      </x:c>
      <x:c r="J402" s="152" t="e">
        <x:f>IF(H402="","",H402/MAX(H$5:H402)-1)</x:f>
        <x:v>#NAME?</x:v>
      </x:c>
      <x:c r="K402" s="146" t="e">
        <x:f>IF(OR('实盘净值数据(iFinD公式)'!$A402="",'实盘净值数据(iFinD公式)'!$B402=""),"",分期持仓明细!$AD$23*SUMPRODUCT(分期持仓明细!$B$23:$AA$23,'实盘净值数据(iFinD公式)'!$B402:$AA402/'实盘净值数据(iFinD公式)'!$B$65:$AA$65)*(1-实盘持仓初始配置!$Z$7)^(('实盘净值数据(iFinD公式)'!$A402-'实盘净值数据(iFinD公式)'!$A$8)/365))</x:f>
        <x:v>#NAME?</x:v>
      </x:c>
      <x:c r="L402" s="152" t="e">
        <x:f>IF(OR(K401="",K402=""),"",K402/K401-1)</x:f>
        <x:v>#NAME?</x:v>
      </x:c>
      <x:c r="M402" s="152" t="e">
        <x:f>IF(K402="","",K402/MAX(K$5:K402)-1)</x:f>
        <x:v>#NAME?</x:v>
      </x:c>
      <x:c r="N402" s="146" t="e">
        <x:f>IF(OR('实盘净值数据(iFinD公式)'!$A402="",'实盘净值数据(iFinD公式)'!$B402=""),"",分期持仓明细!$AD$24*SUMPRODUCT(分期持仓明细!$B$24:$AA$24,'实盘净值数据(iFinD公式)'!$B402:$AA402/'实盘净值数据(iFinD公式)'!$B$65:$AA$65)*(1-实盘持仓初始配置!$Z$8)^(('实盘净值数据(iFinD公式)'!$A402-'实盘净值数据(iFinD公式)'!$A$5)/365))</x:f>
        <x:v>#NAME?</x:v>
      </x:c>
      <x:c r="O402" s="152" t="e">
        <x:f>IF(OR(N401="",N402=""),"",N402/N401-1)</x:f>
        <x:v>#NAME?</x:v>
      </x:c>
      <x:c r="P402" s="152" t="e">
        <x:f>IF(N402="","",N402/MAX(N$5:N402)-1)</x:f>
        <x:v>#NAME?</x:v>
      </x:c>
      <x:c r="Q402" s="146" t="e">
        <x:f>IF(OR('实盘净值数据(iFinD公式)'!$A402="",'实盘净值数据(iFinD公式)'!$B402=""),"",分期持仓明细!$AD$25*SUMPRODUCT(分期持仓明细!$B$25:$AA$25,'实盘净值数据(iFinD公式)'!$B402:$AA402/'实盘净值数据(iFinD公式)'!$B$65:$AA$65)*(1-实盘持仓初始配置!$Z$9)^(('实盘净值数据(iFinD公式)'!$A402-'实盘净值数据(iFinD公式)'!$A$8)/365))</x:f>
        <x:v>#NAME?</x:v>
      </x:c>
      <x:c r="R402" s="152" t="e">
        <x:f>IF(OR(Q401="",Q402=""),"",Q402/Q401-1)</x:f>
        <x:v>#NAME?</x:v>
      </x:c>
      <x:c r="S402" s="152" t="e">
        <x:f>IF(Q402="","",Q402/MAX(Q$5:Q402)-1)</x:f>
        <x:v>#NAME?</x:v>
      </x:c>
    </x:row>
    <x:row r="403">
      <x:c r="A403" s="149" t="str">
        <x:f>IF('实盘净值数据(iFinD公式)'!A403="","",'实盘净值数据(iFinD公式)'!A403)</x:f>
      </x:c>
      <x:c r="B403" s="146" t="e">
        <x:f>IF(OR('实盘净值数据(iFinD公式)'!$A403="",'实盘净值数据(iFinD公式)'!$B403=""),"",分期持仓明细!$AD$17*SUMPRODUCT(分期持仓明细!$B$17:$AA$17,'实盘净值数据(iFinD公式)'!$B403:$AA403/'实盘净值数据(iFinD公式)'!$B$20:$AA$20)*(1-实盘持仓初始配置!$Z$4)^(('实盘净值数据(iFinD公式)'!$A403-'实盘净值数据(iFinD公式)'!$A$6)/365))</x:f>
        <x:v>#NAME?</x:v>
      </x:c>
      <x:c r="C403" s="152" t="e">
        <x:f>IF(OR(B402="",B403=""),"",B403/B402-1)</x:f>
        <x:v>#NAME?</x:v>
      </x:c>
      <x:c r="D403" s="152" t="e">
        <x:f>IF(B403="","",B403/MAX(B$5:B403)-1)</x:f>
        <x:v>#NAME?</x:v>
      </x:c>
      <x:c r="E403" s="146" t="e">
        <x:f>IF(OR('实盘净值数据(iFinD公式)'!$A403="",'实盘净值数据(iFinD公式)'!$B403=""),"",分期持仓明细!$AD$18*SUMPRODUCT(分期持仓明细!$B$18:$AA$18,'实盘净值数据(iFinD公式)'!$B403:$AA403/'实盘净值数据(iFinD公式)'!$B$20:$AA$20)*(1-实盘持仓初始配置!$Z$5)^(('实盘净值数据(iFinD公式)'!$A403-'实盘净值数据(iFinD公式)'!$A$5)/365))</x:f>
        <x:v>#NAME?</x:v>
      </x:c>
      <x:c r="F403" s="152" t="e">
        <x:f>IF(OR(E402="",E403=""),"",E403/E402-1)</x:f>
        <x:v>#NAME?</x:v>
      </x:c>
      <x:c r="G403" s="152" t="e">
        <x:f>IF(E403="","",E403/MAX(E$5:E403)-1)</x:f>
        <x:v>#NAME?</x:v>
      </x:c>
      <x:c r="H403" s="146" t="e">
        <x:f>IF(OR('实盘净值数据(iFinD公式)'!$A403="",'实盘净值数据(iFinD公式)'!$B403=""),"",分期持仓明细!$AD$19*SUMPRODUCT(分期持仓明细!$B$19:$AA$19,'实盘净值数据(iFinD公式)'!$B403:$AA403/'实盘净值数据(iFinD公式)'!$B$20:$AA$20)*(1-实盘持仓初始配置!$Z$6)^(('实盘净值数据(iFinD公式)'!$A403-'实盘净值数据(iFinD公式)'!$A$7)/365))</x:f>
        <x:v>#NAME?</x:v>
      </x:c>
      <x:c r="I403" s="152" t="e">
        <x:f>IF(OR(H402="",H403=""),"",H403/H402-1)</x:f>
        <x:v>#NAME?</x:v>
      </x:c>
      <x:c r="J403" s="152" t="e">
        <x:f>IF(H403="","",H403/MAX(H$5:H403)-1)</x:f>
        <x:v>#NAME?</x:v>
      </x:c>
      <x:c r="K403" s="146" t="e">
        <x:f>IF(OR('实盘净值数据(iFinD公式)'!$A403="",'实盘净值数据(iFinD公式)'!$B403=""),"",分期持仓明细!$AD$23*SUMPRODUCT(分期持仓明细!$B$23:$AA$23,'实盘净值数据(iFinD公式)'!$B403:$AA403/'实盘净值数据(iFinD公式)'!$B$65:$AA$65)*(1-实盘持仓初始配置!$Z$7)^(('实盘净值数据(iFinD公式)'!$A403-'实盘净值数据(iFinD公式)'!$A$8)/365))</x:f>
        <x:v>#NAME?</x:v>
      </x:c>
      <x:c r="L403" s="152" t="e">
        <x:f>IF(OR(K402="",K403=""),"",K403/K402-1)</x:f>
        <x:v>#NAME?</x:v>
      </x:c>
      <x:c r="M403" s="152" t="e">
        <x:f>IF(K403="","",K403/MAX(K$5:K403)-1)</x:f>
        <x:v>#NAME?</x:v>
      </x:c>
      <x:c r="N403" s="146" t="e">
        <x:f>IF(OR('实盘净值数据(iFinD公式)'!$A403="",'实盘净值数据(iFinD公式)'!$B403=""),"",分期持仓明细!$AD$24*SUMPRODUCT(分期持仓明细!$B$24:$AA$24,'实盘净值数据(iFinD公式)'!$B403:$AA403/'实盘净值数据(iFinD公式)'!$B$65:$AA$65)*(1-实盘持仓初始配置!$Z$8)^(('实盘净值数据(iFinD公式)'!$A403-'实盘净值数据(iFinD公式)'!$A$5)/365))</x:f>
        <x:v>#NAME?</x:v>
      </x:c>
      <x:c r="O403" s="152" t="e">
        <x:f>IF(OR(N402="",N403=""),"",N403/N402-1)</x:f>
        <x:v>#NAME?</x:v>
      </x:c>
      <x:c r="P403" s="152" t="e">
        <x:f>IF(N403="","",N403/MAX(N$5:N403)-1)</x:f>
        <x:v>#NAME?</x:v>
      </x:c>
      <x:c r="Q403" s="146" t="e">
        <x:f>IF(OR('实盘净值数据(iFinD公式)'!$A403="",'实盘净值数据(iFinD公式)'!$B403=""),"",分期持仓明细!$AD$25*SUMPRODUCT(分期持仓明细!$B$25:$AA$25,'实盘净值数据(iFinD公式)'!$B403:$AA403/'实盘净值数据(iFinD公式)'!$B$65:$AA$65)*(1-实盘持仓初始配置!$Z$9)^(('实盘净值数据(iFinD公式)'!$A403-'实盘净值数据(iFinD公式)'!$A$8)/365))</x:f>
        <x:v>#NAME?</x:v>
      </x:c>
      <x:c r="R403" s="152" t="e">
        <x:f>IF(OR(Q402="",Q403=""),"",Q403/Q402-1)</x:f>
        <x:v>#NAME?</x:v>
      </x:c>
      <x:c r="S403" s="152" t="e">
        <x:f>IF(Q403="","",Q403/MAX(Q$5:Q403)-1)</x:f>
        <x:v>#NAME?</x:v>
      </x:c>
    </x:row>
    <x:row r="404">
      <x:c r="A404" s="149" t="str">
        <x:f>IF('实盘净值数据(iFinD公式)'!A404="","",'实盘净值数据(iFinD公式)'!A404)</x:f>
      </x:c>
      <x:c r="B404" s="146" t="e">
        <x:f>IF(OR('实盘净值数据(iFinD公式)'!$A404="",'实盘净值数据(iFinD公式)'!$B404=""),"",分期持仓明细!$AD$17*SUMPRODUCT(分期持仓明细!$B$17:$AA$17,'实盘净值数据(iFinD公式)'!$B404:$AA404/'实盘净值数据(iFinD公式)'!$B$20:$AA$20)*(1-实盘持仓初始配置!$Z$4)^(('实盘净值数据(iFinD公式)'!$A404-'实盘净值数据(iFinD公式)'!$A$6)/365))</x:f>
        <x:v>#NAME?</x:v>
      </x:c>
      <x:c r="C404" s="152" t="e">
        <x:f>IF(OR(B403="",B404=""),"",B404/B403-1)</x:f>
        <x:v>#NAME?</x:v>
      </x:c>
      <x:c r="D404" s="152" t="e">
        <x:f>IF(B404="","",B404/MAX(B$5:B404)-1)</x:f>
        <x:v>#NAME?</x:v>
      </x:c>
      <x:c r="E404" s="146" t="e">
        <x:f>IF(OR('实盘净值数据(iFinD公式)'!$A404="",'实盘净值数据(iFinD公式)'!$B404=""),"",分期持仓明细!$AD$18*SUMPRODUCT(分期持仓明细!$B$18:$AA$18,'实盘净值数据(iFinD公式)'!$B404:$AA404/'实盘净值数据(iFinD公式)'!$B$20:$AA$20)*(1-实盘持仓初始配置!$Z$5)^(('实盘净值数据(iFinD公式)'!$A404-'实盘净值数据(iFinD公式)'!$A$5)/365))</x:f>
        <x:v>#NAME?</x:v>
      </x:c>
      <x:c r="F404" s="152" t="e">
        <x:f>IF(OR(E403="",E404=""),"",E404/E403-1)</x:f>
        <x:v>#NAME?</x:v>
      </x:c>
      <x:c r="G404" s="152" t="e">
        <x:f>IF(E404="","",E404/MAX(E$5:E404)-1)</x:f>
        <x:v>#NAME?</x:v>
      </x:c>
      <x:c r="H404" s="146" t="e">
        <x:f>IF(OR('实盘净值数据(iFinD公式)'!$A404="",'实盘净值数据(iFinD公式)'!$B404=""),"",分期持仓明细!$AD$19*SUMPRODUCT(分期持仓明细!$B$19:$AA$19,'实盘净值数据(iFinD公式)'!$B404:$AA404/'实盘净值数据(iFinD公式)'!$B$20:$AA$20)*(1-实盘持仓初始配置!$Z$6)^(('实盘净值数据(iFinD公式)'!$A404-'实盘净值数据(iFinD公式)'!$A$7)/365))</x:f>
        <x:v>#NAME?</x:v>
      </x:c>
      <x:c r="I404" s="152" t="e">
        <x:f>IF(OR(H403="",H404=""),"",H404/H403-1)</x:f>
        <x:v>#NAME?</x:v>
      </x:c>
      <x:c r="J404" s="152" t="e">
        <x:f>IF(H404="","",H404/MAX(H$5:H404)-1)</x:f>
        <x:v>#NAME?</x:v>
      </x:c>
      <x:c r="K404" s="146" t="e">
        <x:f>IF(OR('实盘净值数据(iFinD公式)'!$A404="",'实盘净值数据(iFinD公式)'!$B404=""),"",分期持仓明细!$AD$23*SUMPRODUCT(分期持仓明细!$B$23:$AA$23,'实盘净值数据(iFinD公式)'!$B404:$AA404/'实盘净值数据(iFinD公式)'!$B$65:$AA$65)*(1-实盘持仓初始配置!$Z$7)^(('实盘净值数据(iFinD公式)'!$A404-'实盘净值数据(iFinD公式)'!$A$8)/365))</x:f>
        <x:v>#NAME?</x:v>
      </x:c>
      <x:c r="L404" s="152" t="e">
        <x:f>IF(OR(K403="",K404=""),"",K404/K403-1)</x:f>
        <x:v>#NAME?</x:v>
      </x:c>
      <x:c r="M404" s="152" t="e">
        <x:f>IF(K404="","",K404/MAX(K$5:K404)-1)</x:f>
        <x:v>#NAME?</x:v>
      </x:c>
      <x:c r="N404" s="146" t="e">
        <x:f>IF(OR('实盘净值数据(iFinD公式)'!$A404="",'实盘净值数据(iFinD公式)'!$B404=""),"",分期持仓明细!$AD$24*SUMPRODUCT(分期持仓明细!$B$24:$AA$24,'实盘净值数据(iFinD公式)'!$B404:$AA404/'实盘净值数据(iFinD公式)'!$B$65:$AA$65)*(1-实盘持仓初始配置!$Z$8)^(('实盘净值数据(iFinD公式)'!$A404-'实盘净值数据(iFinD公式)'!$A$5)/365))</x:f>
        <x:v>#NAME?</x:v>
      </x:c>
      <x:c r="O404" s="152" t="e">
        <x:f>IF(OR(N403="",N404=""),"",N404/N403-1)</x:f>
        <x:v>#NAME?</x:v>
      </x:c>
      <x:c r="P404" s="152" t="e">
        <x:f>IF(N404="","",N404/MAX(N$5:N404)-1)</x:f>
        <x:v>#NAME?</x:v>
      </x:c>
      <x:c r="Q404" s="146" t="e">
        <x:f>IF(OR('实盘净值数据(iFinD公式)'!$A404="",'实盘净值数据(iFinD公式)'!$B404=""),"",分期持仓明细!$AD$25*SUMPRODUCT(分期持仓明细!$B$25:$AA$25,'实盘净值数据(iFinD公式)'!$B404:$AA404/'实盘净值数据(iFinD公式)'!$B$65:$AA$65)*(1-实盘持仓初始配置!$Z$9)^(('实盘净值数据(iFinD公式)'!$A404-'实盘净值数据(iFinD公式)'!$A$8)/365))</x:f>
        <x:v>#NAME?</x:v>
      </x:c>
      <x:c r="R404" s="152" t="e">
        <x:f>IF(OR(Q403="",Q404=""),"",Q404/Q403-1)</x:f>
        <x:v>#NAME?</x:v>
      </x:c>
      <x:c r="S404" s="152" t="e">
        <x:f>IF(Q404="","",Q404/MAX(Q$5:Q404)-1)</x:f>
        <x:v>#NAME?</x:v>
      </x:c>
    </x:row>
    <x:row r="405">
      <x:c r="A405" s="149" t="str">
        <x:f>IF('实盘净值数据(iFinD公式)'!A405="","",'实盘净值数据(iFinD公式)'!A405)</x:f>
      </x:c>
      <x:c r="B405" s="146" t="e">
        <x:f>IF(OR('实盘净值数据(iFinD公式)'!$A405="",'实盘净值数据(iFinD公式)'!$B405=""),"",分期持仓明细!$AD$17*SUMPRODUCT(分期持仓明细!$B$17:$AA$17,'实盘净值数据(iFinD公式)'!$B405:$AA405/'实盘净值数据(iFinD公式)'!$B$20:$AA$20)*(1-实盘持仓初始配置!$Z$4)^(('实盘净值数据(iFinD公式)'!$A405-'实盘净值数据(iFinD公式)'!$A$6)/365))</x:f>
        <x:v>#NAME?</x:v>
      </x:c>
      <x:c r="C405" s="152" t="e">
        <x:f>IF(OR(B404="",B405=""),"",B405/B404-1)</x:f>
        <x:v>#NAME?</x:v>
      </x:c>
      <x:c r="D405" s="152" t="e">
        <x:f>IF(B405="","",B405/MAX(B$5:B405)-1)</x:f>
        <x:v>#NAME?</x:v>
      </x:c>
      <x:c r="E405" s="146" t="e">
        <x:f>IF(OR('实盘净值数据(iFinD公式)'!$A405="",'实盘净值数据(iFinD公式)'!$B405=""),"",分期持仓明细!$AD$18*SUMPRODUCT(分期持仓明细!$B$18:$AA$18,'实盘净值数据(iFinD公式)'!$B405:$AA405/'实盘净值数据(iFinD公式)'!$B$20:$AA$20)*(1-实盘持仓初始配置!$Z$5)^(('实盘净值数据(iFinD公式)'!$A405-'实盘净值数据(iFinD公式)'!$A$5)/365))</x:f>
        <x:v>#NAME?</x:v>
      </x:c>
      <x:c r="F405" s="152" t="e">
        <x:f>IF(OR(E404="",E405=""),"",E405/E404-1)</x:f>
        <x:v>#NAME?</x:v>
      </x:c>
      <x:c r="G405" s="152" t="e">
        <x:f>IF(E405="","",E405/MAX(E$5:E405)-1)</x:f>
        <x:v>#NAME?</x:v>
      </x:c>
      <x:c r="H405" s="146" t="e">
        <x:f>IF(OR('实盘净值数据(iFinD公式)'!$A405="",'实盘净值数据(iFinD公式)'!$B405=""),"",分期持仓明细!$AD$19*SUMPRODUCT(分期持仓明细!$B$19:$AA$19,'实盘净值数据(iFinD公式)'!$B405:$AA405/'实盘净值数据(iFinD公式)'!$B$20:$AA$20)*(1-实盘持仓初始配置!$Z$6)^(('实盘净值数据(iFinD公式)'!$A405-'实盘净值数据(iFinD公式)'!$A$7)/365))</x:f>
        <x:v>#NAME?</x:v>
      </x:c>
      <x:c r="I405" s="152" t="e">
        <x:f>IF(OR(H404="",H405=""),"",H405/H404-1)</x:f>
        <x:v>#NAME?</x:v>
      </x:c>
      <x:c r="J405" s="152" t="e">
        <x:f>IF(H405="","",H405/MAX(H$5:H405)-1)</x:f>
        <x:v>#NAME?</x:v>
      </x:c>
      <x:c r="K405" s="146" t="e">
        <x:f>IF(OR('实盘净值数据(iFinD公式)'!$A405="",'实盘净值数据(iFinD公式)'!$B405=""),"",分期持仓明细!$AD$23*SUMPRODUCT(分期持仓明细!$B$23:$AA$23,'实盘净值数据(iFinD公式)'!$B405:$AA405/'实盘净值数据(iFinD公式)'!$B$65:$AA$65)*(1-实盘持仓初始配置!$Z$7)^(('实盘净值数据(iFinD公式)'!$A405-'实盘净值数据(iFinD公式)'!$A$8)/365))</x:f>
        <x:v>#NAME?</x:v>
      </x:c>
      <x:c r="L405" s="152" t="e">
        <x:f>IF(OR(K404="",K405=""),"",K405/K404-1)</x:f>
        <x:v>#NAME?</x:v>
      </x:c>
      <x:c r="M405" s="152" t="e">
        <x:f>IF(K405="","",K405/MAX(K$5:K405)-1)</x:f>
        <x:v>#NAME?</x:v>
      </x:c>
      <x:c r="N405" s="146" t="e">
        <x:f>IF(OR('实盘净值数据(iFinD公式)'!$A405="",'实盘净值数据(iFinD公式)'!$B405=""),"",分期持仓明细!$AD$24*SUMPRODUCT(分期持仓明细!$B$24:$AA$24,'实盘净值数据(iFinD公式)'!$B405:$AA405/'实盘净值数据(iFinD公式)'!$B$65:$AA$65)*(1-实盘持仓初始配置!$Z$8)^(('实盘净值数据(iFinD公式)'!$A405-'实盘净值数据(iFinD公式)'!$A$5)/365))</x:f>
        <x:v>#NAME?</x:v>
      </x:c>
      <x:c r="O405" s="152" t="e">
        <x:f>IF(OR(N404="",N405=""),"",N405/N404-1)</x:f>
        <x:v>#NAME?</x:v>
      </x:c>
      <x:c r="P405" s="152" t="e">
        <x:f>IF(N405="","",N405/MAX(N$5:N405)-1)</x:f>
        <x:v>#NAME?</x:v>
      </x:c>
      <x:c r="Q405" s="146" t="e">
        <x:f>IF(OR('实盘净值数据(iFinD公式)'!$A405="",'实盘净值数据(iFinD公式)'!$B405=""),"",分期持仓明细!$AD$25*SUMPRODUCT(分期持仓明细!$B$25:$AA$25,'实盘净值数据(iFinD公式)'!$B405:$AA405/'实盘净值数据(iFinD公式)'!$B$65:$AA$65)*(1-实盘持仓初始配置!$Z$9)^(('实盘净值数据(iFinD公式)'!$A405-'实盘净值数据(iFinD公式)'!$A$8)/365))</x:f>
        <x:v>#NAME?</x:v>
      </x:c>
      <x:c r="R405" s="152" t="e">
        <x:f>IF(OR(Q404="",Q405=""),"",Q405/Q404-1)</x:f>
        <x:v>#NAME?</x:v>
      </x:c>
      <x:c r="S405" s="152" t="e">
        <x:f>IF(Q405="","",Q405/MAX(Q$5:Q405)-1)</x:f>
        <x:v>#NAME?</x:v>
      </x:c>
    </x:row>
    <x:row r="406">
      <x:c r="A406" s="149" t="str">
        <x:f>IF('实盘净值数据(iFinD公式)'!A406="","",'实盘净值数据(iFinD公式)'!A406)</x:f>
      </x:c>
      <x:c r="B406" s="146" t="e">
        <x:f>IF(OR('实盘净值数据(iFinD公式)'!$A406="",'实盘净值数据(iFinD公式)'!$B406=""),"",分期持仓明细!$AD$17*SUMPRODUCT(分期持仓明细!$B$17:$AA$17,'实盘净值数据(iFinD公式)'!$B406:$AA406/'实盘净值数据(iFinD公式)'!$B$20:$AA$20)*(1-实盘持仓初始配置!$Z$4)^(('实盘净值数据(iFinD公式)'!$A406-'实盘净值数据(iFinD公式)'!$A$6)/365))</x:f>
        <x:v>#NAME?</x:v>
      </x:c>
      <x:c r="C406" s="152" t="e">
        <x:f>IF(OR(B405="",B406=""),"",B406/B405-1)</x:f>
        <x:v>#NAME?</x:v>
      </x:c>
      <x:c r="D406" s="152" t="e">
        <x:f>IF(B406="","",B406/MAX(B$5:B406)-1)</x:f>
        <x:v>#NAME?</x:v>
      </x:c>
      <x:c r="E406" s="146" t="e">
        <x:f>IF(OR('实盘净值数据(iFinD公式)'!$A406="",'实盘净值数据(iFinD公式)'!$B406=""),"",分期持仓明细!$AD$18*SUMPRODUCT(分期持仓明细!$B$18:$AA$18,'实盘净值数据(iFinD公式)'!$B406:$AA406/'实盘净值数据(iFinD公式)'!$B$20:$AA$20)*(1-实盘持仓初始配置!$Z$5)^(('实盘净值数据(iFinD公式)'!$A406-'实盘净值数据(iFinD公式)'!$A$5)/365))</x:f>
        <x:v>#NAME?</x:v>
      </x:c>
      <x:c r="F406" s="152" t="e">
        <x:f>IF(OR(E405="",E406=""),"",E406/E405-1)</x:f>
        <x:v>#NAME?</x:v>
      </x:c>
      <x:c r="G406" s="152" t="e">
        <x:f>IF(E406="","",E406/MAX(E$5:E406)-1)</x:f>
        <x:v>#NAME?</x:v>
      </x:c>
      <x:c r="H406" s="146" t="e">
        <x:f>IF(OR('实盘净值数据(iFinD公式)'!$A406="",'实盘净值数据(iFinD公式)'!$B406=""),"",分期持仓明细!$AD$19*SUMPRODUCT(分期持仓明细!$B$19:$AA$19,'实盘净值数据(iFinD公式)'!$B406:$AA406/'实盘净值数据(iFinD公式)'!$B$20:$AA$20)*(1-实盘持仓初始配置!$Z$6)^(('实盘净值数据(iFinD公式)'!$A406-'实盘净值数据(iFinD公式)'!$A$7)/365))</x:f>
        <x:v>#NAME?</x:v>
      </x:c>
      <x:c r="I406" s="152" t="e">
        <x:f>IF(OR(H405="",H406=""),"",H406/H405-1)</x:f>
        <x:v>#NAME?</x:v>
      </x:c>
      <x:c r="J406" s="152" t="e">
        <x:f>IF(H406="","",H406/MAX(H$5:H406)-1)</x:f>
        <x:v>#NAME?</x:v>
      </x:c>
      <x:c r="K406" s="146" t="e">
        <x:f>IF(OR('实盘净值数据(iFinD公式)'!$A406="",'实盘净值数据(iFinD公式)'!$B406=""),"",分期持仓明细!$AD$23*SUMPRODUCT(分期持仓明细!$B$23:$AA$23,'实盘净值数据(iFinD公式)'!$B406:$AA406/'实盘净值数据(iFinD公式)'!$B$65:$AA$65)*(1-实盘持仓初始配置!$Z$7)^(('实盘净值数据(iFinD公式)'!$A406-'实盘净值数据(iFinD公式)'!$A$8)/365))</x:f>
        <x:v>#NAME?</x:v>
      </x:c>
      <x:c r="L406" s="152" t="e">
        <x:f>IF(OR(K405="",K406=""),"",K406/K405-1)</x:f>
        <x:v>#NAME?</x:v>
      </x:c>
      <x:c r="M406" s="152" t="e">
        <x:f>IF(K406="","",K406/MAX(K$5:K406)-1)</x:f>
        <x:v>#NAME?</x:v>
      </x:c>
      <x:c r="N406" s="146" t="e">
        <x:f>IF(OR('实盘净值数据(iFinD公式)'!$A406="",'实盘净值数据(iFinD公式)'!$B406=""),"",分期持仓明细!$AD$24*SUMPRODUCT(分期持仓明细!$B$24:$AA$24,'实盘净值数据(iFinD公式)'!$B406:$AA406/'实盘净值数据(iFinD公式)'!$B$65:$AA$65)*(1-实盘持仓初始配置!$Z$8)^(('实盘净值数据(iFinD公式)'!$A406-'实盘净值数据(iFinD公式)'!$A$5)/365))</x:f>
        <x:v>#NAME?</x:v>
      </x:c>
      <x:c r="O406" s="152" t="e">
        <x:f>IF(OR(N405="",N406=""),"",N406/N405-1)</x:f>
        <x:v>#NAME?</x:v>
      </x:c>
      <x:c r="P406" s="152" t="e">
        <x:f>IF(N406="","",N406/MAX(N$5:N406)-1)</x:f>
        <x:v>#NAME?</x:v>
      </x:c>
      <x:c r="Q406" s="146" t="e">
        <x:f>IF(OR('实盘净值数据(iFinD公式)'!$A406="",'实盘净值数据(iFinD公式)'!$B406=""),"",分期持仓明细!$AD$25*SUMPRODUCT(分期持仓明细!$B$25:$AA$25,'实盘净值数据(iFinD公式)'!$B406:$AA406/'实盘净值数据(iFinD公式)'!$B$65:$AA$65)*(1-实盘持仓初始配置!$Z$9)^(('实盘净值数据(iFinD公式)'!$A406-'实盘净值数据(iFinD公式)'!$A$8)/365))</x:f>
        <x:v>#NAME?</x:v>
      </x:c>
      <x:c r="R406" s="152" t="e">
        <x:f>IF(OR(Q405="",Q406=""),"",Q406/Q405-1)</x:f>
        <x:v>#NAME?</x:v>
      </x:c>
      <x:c r="S406" s="152" t="e">
        <x:f>IF(Q406="","",Q406/MAX(Q$5:Q406)-1)</x:f>
        <x:v>#NAME?</x:v>
      </x:c>
    </x:row>
    <x:row r="407">
      <x:c r="A407" s="149" t="str">
        <x:f>IF('实盘净值数据(iFinD公式)'!A407="","",'实盘净值数据(iFinD公式)'!A407)</x:f>
      </x:c>
      <x:c r="B407" s="146" t="e">
        <x:f>IF(OR('实盘净值数据(iFinD公式)'!$A407="",'实盘净值数据(iFinD公式)'!$B407=""),"",分期持仓明细!$AD$17*SUMPRODUCT(分期持仓明细!$B$17:$AA$17,'实盘净值数据(iFinD公式)'!$B407:$AA407/'实盘净值数据(iFinD公式)'!$B$20:$AA$20)*(1-实盘持仓初始配置!$Z$4)^(('实盘净值数据(iFinD公式)'!$A407-'实盘净值数据(iFinD公式)'!$A$6)/365))</x:f>
        <x:v>#NAME?</x:v>
      </x:c>
      <x:c r="C407" s="152" t="e">
        <x:f>IF(OR(B406="",B407=""),"",B407/B406-1)</x:f>
        <x:v>#NAME?</x:v>
      </x:c>
      <x:c r="D407" s="152" t="e">
        <x:f>IF(B407="","",B407/MAX(B$5:B407)-1)</x:f>
        <x:v>#NAME?</x:v>
      </x:c>
      <x:c r="E407" s="146" t="e">
        <x:f>IF(OR('实盘净值数据(iFinD公式)'!$A407="",'实盘净值数据(iFinD公式)'!$B407=""),"",分期持仓明细!$AD$18*SUMPRODUCT(分期持仓明细!$B$18:$AA$18,'实盘净值数据(iFinD公式)'!$B407:$AA407/'实盘净值数据(iFinD公式)'!$B$20:$AA$20)*(1-实盘持仓初始配置!$Z$5)^(('实盘净值数据(iFinD公式)'!$A407-'实盘净值数据(iFinD公式)'!$A$5)/365))</x:f>
        <x:v>#NAME?</x:v>
      </x:c>
      <x:c r="F407" s="152" t="e">
        <x:f>IF(OR(E406="",E407=""),"",E407/E406-1)</x:f>
        <x:v>#NAME?</x:v>
      </x:c>
      <x:c r="G407" s="152" t="e">
        <x:f>IF(E407="","",E407/MAX(E$5:E407)-1)</x:f>
        <x:v>#NAME?</x:v>
      </x:c>
      <x:c r="H407" s="146" t="e">
        <x:f>IF(OR('实盘净值数据(iFinD公式)'!$A407="",'实盘净值数据(iFinD公式)'!$B407=""),"",分期持仓明细!$AD$19*SUMPRODUCT(分期持仓明细!$B$19:$AA$19,'实盘净值数据(iFinD公式)'!$B407:$AA407/'实盘净值数据(iFinD公式)'!$B$20:$AA$20)*(1-实盘持仓初始配置!$Z$6)^(('实盘净值数据(iFinD公式)'!$A407-'实盘净值数据(iFinD公式)'!$A$7)/365))</x:f>
        <x:v>#NAME?</x:v>
      </x:c>
      <x:c r="I407" s="152" t="e">
        <x:f>IF(OR(H406="",H407=""),"",H407/H406-1)</x:f>
        <x:v>#NAME?</x:v>
      </x:c>
      <x:c r="J407" s="152" t="e">
        <x:f>IF(H407="","",H407/MAX(H$5:H407)-1)</x:f>
        <x:v>#NAME?</x:v>
      </x:c>
      <x:c r="K407" s="146" t="e">
        <x:f>IF(OR('实盘净值数据(iFinD公式)'!$A407="",'实盘净值数据(iFinD公式)'!$B407=""),"",分期持仓明细!$AD$23*SUMPRODUCT(分期持仓明细!$B$23:$AA$23,'实盘净值数据(iFinD公式)'!$B407:$AA407/'实盘净值数据(iFinD公式)'!$B$65:$AA$65)*(1-实盘持仓初始配置!$Z$7)^(('实盘净值数据(iFinD公式)'!$A407-'实盘净值数据(iFinD公式)'!$A$8)/365))</x:f>
        <x:v>#NAME?</x:v>
      </x:c>
      <x:c r="L407" s="152" t="e">
        <x:f>IF(OR(K406="",K407=""),"",K407/K406-1)</x:f>
        <x:v>#NAME?</x:v>
      </x:c>
      <x:c r="M407" s="152" t="e">
        <x:f>IF(K407="","",K407/MAX(K$5:K407)-1)</x:f>
        <x:v>#NAME?</x:v>
      </x:c>
      <x:c r="N407" s="146" t="e">
        <x:f>IF(OR('实盘净值数据(iFinD公式)'!$A407="",'实盘净值数据(iFinD公式)'!$B407=""),"",分期持仓明细!$AD$24*SUMPRODUCT(分期持仓明细!$B$24:$AA$24,'实盘净值数据(iFinD公式)'!$B407:$AA407/'实盘净值数据(iFinD公式)'!$B$65:$AA$65)*(1-实盘持仓初始配置!$Z$8)^(('实盘净值数据(iFinD公式)'!$A407-'实盘净值数据(iFinD公式)'!$A$5)/365))</x:f>
        <x:v>#NAME?</x:v>
      </x:c>
      <x:c r="O407" s="152" t="e">
        <x:f>IF(OR(N406="",N407=""),"",N407/N406-1)</x:f>
        <x:v>#NAME?</x:v>
      </x:c>
      <x:c r="P407" s="152" t="e">
        <x:f>IF(N407="","",N407/MAX(N$5:N407)-1)</x:f>
        <x:v>#NAME?</x:v>
      </x:c>
      <x:c r="Q407" s="146" t="e">
        <x:f>IF(OR('实盘净值数据(iFinD公式)'!$A407="",'实盘净值数据(iFinD公式)'!$B407=""),"",分期持仓明细!$AD$25*SUMPRODUCT(分期持仓明细!$B$25:$AA$25,'实盘净值数据(iFinD公式)'!$B407:$AA407/'实盘净值数据(iFinD公式)'!$B$65:$AA$65)*(1-实盘持仓初始配置!$Z$9)^(('实盘净值数据(iFinD公式)'!$A407-'实盘净值数据(iFinD公式)'!$A$8)/365))</x:f>
        <x:v>#NAME?</x:v>
      </x:c>
      <x:c r="R407" s="152" t="e">
        <x:f>IF(OR(Q406="",Q407=""),"",Q407/Q406-1)</x:f>
        <x:v>#NAME?</x:v>
      </x:c>
      <x:c r="S407" s="152" t="e">
        <x:f>IF(Q407="","",Q407/MAX(Q$5:Q407)-1)</x:f>
        <x:v>#NAME?</x:v>
      </x:c>
    </x:row>
    <x:row r="408">
      <x:c r="A408" s="149" t="str">
        <x:f>IF('实盘净值数据(iFinD公式)'!A408="","",'实盘净值数据(iFinD公式)'!A408)</x:f>
      </x:c>
      <x:c r="B408" s="146" t="e">
        <x:f>IF(OR('实盘净值数据(iFinD公式)'!$A408="",'实盘净值数据(iFinD公式)'!$B408=""),"",分期持仓明细!$AD$17*SUMPRODUCT(分期持仓明细!$B$17:$AA$17,'实盘净值数据(iFinD公式)'!$B408:$AA408/'实盘净值数据(iFinD公式)'!$B$20:$AA$20)*(1-实盘持仓初始配置!$Z$4)^(('实盘净值数据(iFinD公式)'!$A408-'实盘净值数据(iFinD公式)'!$A$6)/365))</x:f>
        <x:v>#NAME?</x:v>
      </x:c>
      <x:c r="C408" s="152" t="e">
        <x:f>IF(OR(B407="",B408=""),"",B408/B407-1)</x:f>
        <x:v>#NAME?</x:v>
      </x:c>
      <x:c r="D408" s="152" t="e">
        <x:f>IF(B408="","",B408/MAX(B$5:B408)-1)</x:f>
        <x:v>#NAME?</x:v>
      </x:c>
      <x:c r="E408" s="146" t="e">
        <x:f>IF(OR('实盘净值数据(iFinD公式)'!$A408="",'实盘净值数据(iFinD公式)'!$B408=""),"",分期持仓明细!$AD$18*SUMPRODUCT(分期持仓明细!$B$18:$AA$18,'实盘净值数据(iFinD公式)'!$B408:$AA408/'实盘净值数据(iFinD公式)'!$B$20:$AA$20)*(1-实盘持仓初始配置!$Z$5)^(('实盘净值数据(iFinD公式)'!$A408-'实盘净值数据(iFinD公式)'!$A$5)/365))</x:f>
        <x:v>#NAME?</x:v>
      </x:c>
      <x:c r="F408" s="152" t="e">
        <x:f>IF(OR(E407="",E408=""),"",E408/E407-1)</x:f>
        <x:v>#NAME?</x:v>
      </x:c>
      <x:c r="G408" s="152" t="e">
        <x:f>IF(E408="","",E408/MAX(E$5:E408)-1)</x:f>
        <x:v>#NAME?</x:v>
      </x:c>
      <x:c r="H408" s="146" t="e">
        <x:f>IF(OR('实盘净值数据(iFinD公式)'!$A408="",'实盘净值数据(iFinD公式)'!$B408=""),"",分期持仓明细!$AD$19*SUMPRODUCT(分期持仓明细!$B$19:$AA$19,'实盘净值数据(iFinD公式)'!$B408:$AA408/'实盘净值数据(iFinD公式)'!$B$20:$AA$20)*(1-实盘持仓初始配置!$Z$6)^(('实盘净值数据(iFinD公式)'!$A408-'实盘净值数据(iFinD公式)'!$A$7)/365))</x:f>
        <x:v>#NAME?</x:v>
      </x:c>
      <x:c r="I408" s="152" t="e">
        <x:f>IF(OR(H407="",H408=""),"",H408/H407-1)</x:f>
        <x:v>#NAME?</x:v>
      </x:c>
      <x:c r="J408" s="152" t="e">
        <x:f>IF(H408="","",H408/MAX(H$5:H408)-1)</x:f>
        <x:v>#NAME?</x:v>
      </x:c>
      <x:c r="K408" s="146" t="e">
        <x:f>IF(OR('实盘净值数据(iFinD公式)'!$A408="",'实盘净值数据(iFinD公式)'!$B408=""),"",分期持仓明细!$AD$23*SUMPRODUCT(分期持仓明细!$B$23:$AA$23,'实盘净值数据(iFinD公式)'!$B408:$AA408/'实盘净值数据(iFinD公式)'!$B$65:$AA$65)*(1-实盘持仓初始配置!$Z$7)^(('实盘净值数据(iFinD公式)'!$A408-'实盘净值数据(iFinD公式)'!$A$8)/365))</x:f>
        <x:v>#NAME?</x:v>
      </x:c>
      <x:c r="L408" s="152" t="e">
        <x:f>IF(OR(K407="",K408=""),"",K408/K407-1)</x:f>
        <x:v>#NAME?</x:v>
      </x:c>
      <x:c r="M408" s="152" t="e">
        <x:f>IF(K408="","",K408/MAX(K$5:K408)-1)</x:f>
        <x:v>#NAME?</x:v>
      </x:c>
      <x:c r="N408" s="146" t="e">
        <x:f>IF(OR('实盘净值数据(iFinD公式)'!$A408="",'实盘净值数据(iFinD公式)'!$B408=""),"",分期持仓明细!$AD$24*SUMPRODUCT(分期持仓明细!$B$24:$AA$24,'实盘净值数据(iFinD公式)'!$B408:$AA408/'实盘净值数据(iFinD公式)'!$B$65:$AA$65)*(1-实盘持仓初始配置!$Z$8)^(('实盘净值数据(iFinD公式)'!$A408-'实盘净值数据(iFinD公式)'!$A$5)/365))</x:f>
        <x:v>#NAME?</x:v>
      </x:c>
      <x:c r="O408" s="152" t="e">
        <x:f>IF(OR(N407="",N408=""),"",N408/N407-1)</x:f>
        <x:v>#NAME?</x:v>
      </x:c>
      <x:c r="P408" s="152" t="e">
        <x:f>IF(N408="","",N408/MAX(N$5:N408)-1)</x:f>
        <x:v>#NAME?</x:v>
      </x:c>
      <x:c r="Q408" s="146" t="e">
        <x:f>IF(OR('实盘净值数据(iFinD公式)'!$A408="",'实盘净值数据(iFinD公式)'!$B408=""),"",分期持仓明细!$AD$25*SUMPRODUCT(分期持仓明细!$B$25:$AA$25,'实盘净值数据(iFinD公式)'!$B408:$AA408/'实盘净值数据(iFinD公式)'!$B$65:$AA$65)*(1-实盘持仓初始配置!$Z$9)^(('实盘净值数据(iFinD公式)'!$A408-'实盘净值数据(iFinD公式)'!$A$8)/365))</x:f>
        <x:v>#NAME?</x:v>
      </x:c>
      <x:c r="R408" s="152" t="e">
        <x:f>IF(OR(Q407="",Q408=""),"",Q408/Q407-1)</x:f>
        <x:v>#NAME?</x:v>
      </x:c>
      <x:c r="S408" s="152" t="e">
        <x:f>IF(Q408="","",Q408/MAX(Q$5:Q408)-1)</x:f>
        <x:v>#NAME?</x:v>
      </x:c>
    </x:row>
    <x:row r="409">
      <x:c r="A409" s="149" t="str">
        <x:f>IF('实盘净值数据(iFinD公式)'!A409="","",'实盘净值数据(iFinD公式)'!A409)</x:f>
      </x:c>
      <x:c r="B409" s="146" t="e">
        <x:f>IF(OR('实盘净值数据(iFinD公式)'!$A409="",'实盘净值数据(iFinD公式)'!$B409=""),"",分期持仓明细!$AD$17*SUMPRODUCT(分期持仓明细!$B$17:$AA$17,'实盘净值数据(iFinD公式)'!$B409:$AA409/'实盘净值数据(iFinD公式)'!$B$20:$AA$20)*(1-实盘持仓初始配置!$Z$4)^(('实盘净值数据(iFinD公式)'!$A409-'实盘净值数据(iFinD公式)'!$A$6)/365))</x:f>
        <x:v>#NAME?</x:v>
      </x:c>
      <x:c r="C409" s="152" t="e">
        <x:f>IF(OR(B408="",B409=""),"",B409/B408-1)</x:f>
        <x:v>#NAME?</x:v>
      </x:c>
      <x:c r="D409" s="152" t="e">
        <x:f>IF(B409="","",B409/MAX(B$5:B409)-1)</x:f>
        <x:v>#NAME?</x:v>
      </x:c>
      <x:c r="E409" s="146" t="e">
        <x:f>IF(OR('实盘净值数据(iFinD公式)'!$A409="",'实盘净值数据(iFinD公式)'!$B409=""),"",分期持仓明细!$AD$18*SUMPRODUCT(分期持仓明细!$B$18:$AA$18,'实盘净值数据(iFinD公式)'!$B409:$AA409/'实盘净值数据(iFinD公式)'!$B$20:$AA$20)*(1-实盘持仓初始配置!$Z$5)^(('实盘净值数据(iFinD公式)'!$A409-'实盘净值数据(iFinD公式)'!$A$5)/365))</x:f>
        <x:v>#NAME?</x:v>
      </x:c>
      <x:c r="F409" s="152" t="e">
        <x:f>IF(OR(E408="",E409=""),"",E409/E408-1)</x:f>
        <x:v>#NAME?</x:v>
      </x:c>
      <x:c r="G409" s="152" t="e">
        <x:f>IF(E409="","",E409/MAX(E$5:E409)-1)</x:f>
        <x:v>#NAME?</x:v>
      </x:c>
      <x:c r="H409" s="146" t="e">
        <x:f>IF(OR('实盘净值数据(iFinD公式)'!$A409="",'实盘净值数据(iFinD公式)'!$B409=""),"",分期持仓明细!$AD$19*SUMPRODUCT(分期持仓明细!$B$19:$AA$19,'实盘净值数据(iFinD公式)'!$B409:$AA409/'实盘净值数据(iFinD公式)'!$B$20:$AA$20)*(1-实盘持仓初始配置!$Z$6)^(('实盘净值数据(iFinD公式)'!$A409-'实盘净值数据(iFinD公式)'!$A$7)/365))</x:f>
        <x:v>#NAME?</x:v>
      </x:c>
      <x:c r="I409" s="152" t="e">
        <x:f>IF(OR(H408="",H409=""),"",H409/H408-1)</x:f>
        <x:v>#NAME?</x:v>
      </x:c>
      <x:c r="J409" s="152" t="e">
        <x:f>IF(H409="","",H409/MAX(H$5:H409)-1)</x:f>
        <x:v>#NAME?</x:v>
      </x:c>
      <x:c r="K409" s="146" t="e">
        <x:f>IF(OR('实盘净值数据(iFinD公式)'!$A409="",'实盘净值数据(iFinD公式)'!$B409=""),"",分期持仓明细!$AD$23*SUMPRODUCT(分期持仓明细!$B$23:$AA$23,'实盘净值数据(iFinD公式)'!$B409:$AA409/'实盘净值数据(iFinD公式)'!$B$65:$AA$65)*(1-实盘持仓初始配置!$Z$7)^(('实盘净值数据(iFinD公式)'!$A409-'实盘净值数据(iFinD公式)'!$A$8)/365))</x:f>
        <x:v>#NAME?</x:v>
      </x:c>
      <x:c r="L409" s="152" t="e">
        <x:f>IF(OR(K408="",K409=""),"",K409/K408-1)</x:f>
        <x:v>#NAME?</x:v>
      </x:c>
      <x:c r="M409" s="152" t="e">
        <x:f>IF(K409="","",K409/MAX(K$5:K409)-1)</x:f>
        <x:v>#NAME?</x:v>
      </x:c>
      <x:c r="N409" s="146" t="e">
        <x:f>IF(OR('实盘净值数据(iFinD公式)'!$A409="",'实盘净值数据(iFinD公式)'!$B409=""),"",分期持仓明细!$AD$24*SUMPRODUCT(分期持仓明细!$B$24:$AA$24,'实盘净值数据(iFinD公式)'!$B409:$AA409/'实盘净值数据(iFinD公式)'!$B$65:$AA$65)*(1-实盘持仓初始配置!$Z$8)^(('实盘净值数据(iFinD公式)'!$A409-'实盘净值数据(iFinD公式)'!$A$5)/365))</x:f>
        <x:v>#NAME?</x:v>
      </x:c>
      <x:c r="O409" s="152" t="e">
        <x:f>IF(OR(N408="",N409=""),"",N409/N408-1)</x:f>
        <x:v>#NAME?</x:v>
      </x:c>
      <x:c r="P409" s="152" t="e">
        <x:f>IF(N409="","",N409/MAX(N$5:N409)-1)</x:f>
        <x:v>#NAME?</x:v>
      </x:c>
      <x:c r="Q409" s="146" t="e">
        <x:f>IF(OR('实盘净值数据(iFinD公式)'!$A409="",'实盘净值数据(iFinD公式)'!$B409=""),"",分期持仓明细!$AD$25*SUMPRODUCT(分期持仓明细!$B$25:$AA$25,'实盘净值数据(iFinD公式)'!$B409:$AA409/'实盘净值数据(iFinD公式)'!$B$65:$AA$65)*(1-实盘持仓初始配置!$Z$9)^(('实盘净值数据(iFinD公式)'!$A409-'实盘净值数据(iFinD公式)'!$A$8)/365))</x:f>
        <x:v>#NAME?</x:v>
      </x:c>
      <x:c r="R409" s="152" t="e">
        <x:f>IF(OR(Q408="",Q409=""),"",Q409/Q408-1)</x:f>
        <x:v>#NAME?</x:v>
      </x:c>
      <x:c r="S409" s="152" t="e">
        <x:f>IF(Q409="","",Q409/MAX(Q$5:Q409)-1)</x:f>
        <x:v>#NAME?</x:v>
      </x:c>
    </x:row>
    <x:row r="410">
      <x:c r="A410" s="149" t="str">
        <x:f>IF('实盘净值数据(iFinD公式)'!A410="","",'实盘净值数据(iFinD公式)'!A410)</x:f>
      </x:c>
      <x:c r="B410" s="146" t="e">
        <x:f>IF(OR('实盘净值数据(iFinD公式)'!$A410="",'实盘净值数据(iFinD公式)'!$B410=""),"",分期持仓明细!$AD$17*SUMPRODUCT(分期持仓明细!$B$17:$AA$17,'实盘净值数据(iFinD公式)'!$B410:$AA410/'实盘净值数据(iFinD公式)'!$B$20:$AA$20)*(1-实盘持仓初始配置!$Z$4)^(('实盘净值数据(iFinD公式)'!$A410-'实盘净值数据(iFinD公式)'!$A$6)/365))</x:f>
        <x:v>#NAME?</x:v>
      </x:c>
      <x:c r="C410" s="152" t="e">
        <x:f>IF(OR(B409="",B410=""),"",B410/B409-1)</x:f>
        <x:v>#NAME?</x:v>
      </x:c>
      <x:c r="D410" s="152" t="e">
        <x:f>IF(B410="","",B410/MAX(B$5:B410)-1)</x:f>
        <x:v>#NAME?</x:v>
      </x:c>
      <x:c r="E410" s="146" t="e">
        <x:f>IF(OR('实盘净值数据(iFinD公式)'!$A410="",'实盘净值数据(iFinD公式)'!$B410=""),"",分期持仓明细!$AD$18*SUMPRODUCT(分期持仓明细!$B$18:$AA$18,'实盘净值数据(iFinD公式)'!$B410:$AA410/'实盘净值数据(iFinD公式)'!$B$20:$AA$20)*(1-实盘持仓初始配置!$Z$5)^(('实盘净值数据(iFinD公式)'!$A410-'实盘净值数据(iFinD公式)'!$A$5)/365))</x:f>
        <x:v>#NAME?</x:v>
      </x:c>
      <x:c r="F410" s="152" t="e">
        <x:f>IF(OR(E409="",E410=""),"",E410/E409-1)</x:f>
        <x:v>#NAME?</x:v>
      </x:c>
      <x:c r="G410" s="152" t="e">
        <x:f>IF(E410="","",E410/MAX(E$5:E410)-1)</x:f>
        <x:v>#NAME?</x:v>
      </x:c>
      <x:c r="H410" s="146" t="e">
        <x:f>IF(OR('实盘净值数据(iFinD公式)'!$A410="",'实盘净值数据(iFinD公式)'!$B410=""),"",分期持仓明细!$AD$19*SUMPRODUCT(分期持仓明细!$B$19:$AA$19,'实盘净值数据(iFinD公式)'!$B410:$AA410/'实盘净值数据(iFinD公式)'!$B$20:$AA$20)*(1-实盘持仓初始配置!$Z$6)^(('实盘净值数据(iFinD公式)'!$A410-'实盘净值数据(iFinD公式)'!$A$7)/365))</x:f>
        <x:v>#NAME?</x:v>
      </x:c>
      <x:c r="I410" s="152" t="e">
        <x:f>IF(OR(H409="",H410=""),"",H410/H409-1)</x:f>
        <x:v>#NAME?</x:v>
      </x:c>
      <x:c r="J410" s="152" t="e">
        <x:f>IF(H410="","",H410/MAX(H$5:H410)-1)</x:f>
        <x:v>#NAME?</x:v>
      </x:c>
      <x:c r="K410" s="146" t="e">
        <x:f>IF(OR('实盘净值数据(iFinD公式)'!$A410="",'实盘净值数据(iFinD公式)'!$B410=""),"",分期持仓明细!$AD$23*SUMPRODUCT(分期持仓明细!$B$23:$AA$23,'实盘净值数据(iFinD公式)'!$B410:$AA410/'实盘净值数据(iFinD公式)'!$B$65:$AA$65)*(1-实盘持仓初始配置!$Z$7)^(('实盘净值数据(iFinD公式)'!$A410-'实盘净值数据(iFinD公式)'!$A$8)/365))</x:f>
        <x:v>#NAME?</x:v>
      </x:c>
      <x:c r="L410" s="152" t="e">
        <x:f>IF(OR(K409="",K410=""),"",K410/K409-1)</x:f>
        <x:v>#NAME?</x:v>
      </x:c>
      <x:c r="M410" s="152" t="e">
        <x:f>IF(K410="","",K410/MAX(K$5:K410)-1)</x:f>
        <x:v>#NAME?</x:v>
      </x:c>
      <x:c r="N410" s="146" t="e">
        <x:f>IF(OR('实盘净值数据(iFinD公式)'!$A410="",'实盘净值数据(iFinD公式)'!$B410=""),"",分期持仓明细!$AD$24*SUMPRODUCT(分期持仓明细!$B$24:$AA$24,'实盘净值数据(iFinD公式)'!$B410:$AA410/'实盘净值数据(iFinD公式)'!$B$65:$AA$65)*(1-实盘持仓初始配置!$Z$8)^(('实盘净值数据(iFinD公式)'!$A410-'实盘净值数据(iFinD公式)'!$A$5)/365))</x:f>
        <x:v>#NAME?</x:v>
      </x:c>
      <x:c r="O410" s="152" t="e">
        <x:f>IF(OR(N409="",N410=""),"",N410/N409-1)</x:f>
        <x:v>#NAME?</x:v>
      </x:c>
      <x:c r="P410" s="152" t="e">
        <x:f>IF(N410="","",N410/MAX(N$5:N410)-1)</x:f>
        <x:v>#NAME?</x:v>
      </x:c>
      <x:c r="Q410" s="146" t="e">
        <x:f>IF(OR('实盘净值数据(iFinD公式)'!$A410="",'实盘净值数据(iFinD公式)'!$B410=""),"",分期持仓明细!$AD$25*SUMPRODUCT(分期持仓明细!$B$25:$AA$25,'实盘净值数据(iFinD公式)'!$B410:$AA410/'实盘净值数据(iFinD公式)'!$B$65:$AA$65)*(1-实盘持仓初始配置!$Z$9)^(('实盘净值数据(iFinD公式)'!$A410-'实盘净值数据(iFinD公式)'!$A$8)/365))</x:f>
        <x:v>#NAME?</x:v>
      </x:c>
      <x:c r="R410" s="152" t="e">
        <x:f>IF(OR(Q409="",Q410=""),"",Q410/Q409-1)</x:f>
        <x:v>#NAME?</x:v>
      </x:c>
      <x:c r="S410" s="152" t="e">
        <x:f>IF(Q410="","",Q410/MAX(Q$5:Q410)-1)</x:f>
        <x:v>#NAME?</x:v>
      </x:c>
    </x:row>
    <x:row r="411">
      <x:c r="A411" s="149" t="str">
        <x:f>IF('实盘净值数据(iFinD公式)'!A411="","",'实盘净值数据(iFinD公式)'!A411)</x:f>
      </x:c>
      <x:c r="B411" s="146" t="e">
        <x:f>IF(OR('实盘净值数据(iFinD公式)'!$A411="",'实盘净值数据(iFinD公式)'!$B411=""),"",分期持仓明细!$AD$17*SUMPRODUCT(分期持仓明细!$B$17:$AA$17,'实盘净值数据(iFinD公式)'!$B411:$AA411/'实盘净值数据(iFinD公式)'!$B$20:$AA$20)*(1-实盘持仓初始配置!$Z$4)^(('实盘净值数据(iFinD公式)'!$A411-'实盘净值数据(iFinD公式)'!$A$6)/365))</x:f>
        <x:v>#NAME?</x:v>
      </x:c>
      <x:c r="C411" s="152" t="e">
        <x:f>IF(OR(B410="",B411=""),"",B411/B410-1)</x:f>
        <x:v>#NAME?</x:v>
      </x:c>
      <x:c r="D411" s="152" t="e">
        <x:f>IF(B411="","",B411/MAX(B$5:B411)-1)</x:f>
        <x:v>#NAME?</x:v>
      </x:c>
      <x:c r="E411" s="146" t="e">
        <x:f>IF(OR('实盘净值数据(iFinD公式)'!$A411="",'实盘净值数据(iFinD公式)'!$B411=""),"",分期持仓明细!$AD$18*SUMPRODUCT(分期持仓明细!$B$18:$AA$18,'实盘净值数据(iFinD公式)'!$B411:$AA411/'实盘净值数据(iFinD公式)'!$B$20:$AA$20)*(1-实盘持仓初始配置!$Z$5)^(('实盘净值数据(iFinD公式)'!$A411-'实盘净值数据(iFinD公式)'!$A$5)/365))</x:f>
        <x:v>#NAME?</x:v>
      </x:c>
      <x:c r="F411" s="152" t="e">
        <x:f>IF(OR(E410="",E411=""),"",E411/E410-1)</x:f>
        <x:v>#NAME?</x:v>
      </x:c>
      <x:c r="G411" s="152" t="e">
        <x:f>IF(E411="","",E411/MAX(E$5:E411)-1)</x:f>
        <x:v>#NAME?</x:v>
      </x:c>
      <x:c r="H411" s="146" t="e">
        <x:f>IF(OR('实盘净值数据(iFinD公式)'!$A411="",'实盘净值数据(iFinD公式)'!$B411=""),"",分期持仓明细!$AD$19*SUMPRODUCT(分期持仓明细!$B$19:$AA$19,'实盘净值数据(iFinD公式)'!$B411:$AA411/'实盘净值数据(iFinD公式)'!$B$20:$AA$20)*(1-实盘持仓初始配置!$Z$6)^(('实盘净值数据(iFinD公式)'!$A411-'实盘净值数据(iFinD公式)'!$A$7)/365))</x:f>
        <x:v>#NAME?</x:v>
      </x:c>
      <x:c r="I411" s="152" t="e">
        <x:f>IF(OR(H410="",H411=""),"",H411/H410-1)</x:f>
        <x:v>#NAME?</x:v>
      </x:c>
      <x:c r="J411" s="152" t="e">
        <x:f>IF(H411="","",H411/MAX(H$5:H411)-1)</x:f>
        <x:v>#NAME?</x:v>
      </x:c>
      <x:c r="K411" s="146" t="e">
        <x:f>IF(OR('实盘净值数据(iFinD公式)'!$A411="",'实盘净值数据(iFinD公式)'!$B411=""),"",分期持仓明细!$AD$23*SUMPRODUCT(分期持仓明细!$B$23:$AA$23,'实盘净值数据(iFinD公式)'!$B411:$AA411/'实盘净值数据(iFinD公式)'!$B$65:$AA$65)*(1-实盘持仓初始配置!$Z$7)^(('实盘净值数据(iFinD公式)'!$A411-'实盘净值数据(iFinD公式)'!$A$8)/365))</x:f>
        <x:v>#NAME?</x:v>
      </x:c>
      <x:c r="L411" s="152" t="e">
        <x:f>IF(OR(K410="",K411=""),"",K411/K410-1)</x:f>
        <x:v>#NAME?</x:v>
      </x:c>
      <x:c r="M411" s="152" t="e">
        <x:f>IF(K411="","",K411/MAX(K$5:K411)-1)</x:f>
        <x:v>#NAME?</x:v>
      </x:c>
      <x:c r="N411" s="146" t="e">
        <x:f>IF(OR('实盘净值数据(iFinD公式)'!$A411="",'实盘净值数据(iFinD公式)'!$B411=""),"",分期持仓明细!$AD$24*SUMPRODUCT(分期持仓明细!$B$24:$AA$24,'实盘净值数据(iFinD公式)'!$B411:$AA411/'实盘净值数据(iFinD公式)'!$B$65:$AA$65)*(1-实盘持仓初始配置!$Z$8)^(('实盘净值数据(iFinD公式)'!$A411-'实盘净值数据(iFinD公式)'!$A$5)/365))</x:f>
        <x:v>#NAME?</x:v>
      </x:c>
      <x:c r="O411" s="152" t="e">
        <x:f>IF(OR(N410="",N411=""),"",N411/N410-1)</x:f>
        <x:v>#NAME?</x:v>
      </x:c>
      <x:c r="P411" s="152" t="e">
        <x:f>IF(N411="","",N411/MAX(N$5:N411)-1)</x:f>
        <x:v>#NAME?</x:v>
      </x:c>
      <x:c r="Q411" s="146" t="e">
        <x:f>IF(OR('实盘净值数据(iFinD公式)'!$A411="",'实盘净值数据(iFinD公式)'!$B411=""),"",分期持仓明细!$AD$25*SUMPRODUCT(分期持仓明细!$B$25:$AA$25,'实盘净值数据(iFinD公式)'!$B411:$AA411/'实盘净值数据(iFinD公式)'!$B$65:$AA$65)*(1-实盘持仓初始配置!$Z$9)^(('实盘净值数据(iFinD公式)'!$A411-'实盘净值数据(iFinD公式)'!$A$8)/365))</x:f>
        <x:v>#NAME?</x:v>
      </x:c>
      <x:c r="R411" s="152" t="e">
        <x:f>IF(OR(Q410="",Q411=""),"",Q411/Q410-1)</x:f>
        <x:v>#NAME?</x:v>
      </x:c>
      <x:c r="S411" s="152" t="e">
        <x:f>IF(Q411="","",Q411/MAX(Q$5:Q411)-1)</x:f>
        <x:v>#NAME?</x:v>
      </x:c>
    </x:row>
    <x:row r="412">
      <x:c r="A412" s="149" t="str">
        <x:f>IF('实盘净值数据(iFinD公式)'!A412="","",'实盘净值数据(iFinD公式)'!A412)</x:f>
      </x:c>
      <x:c r="B412" s="146" t="e">
        <x:f>IF(OR('实盘净值数据(iFinD公式)'!$A412="",'实盘净值数据(iFinD公式)'!$B412=""),"",分期持仓明细!$AD$17*SUMPRODUCT(分期持仓明细!$B$17:$AA$17,'实盘净值数据(iFinD公式)'!$B412:$AA412/'实盘净值数据(iFinD公式)'!$B$20:$AA$20)*(1-实盘持仓初始配置!$Z$4)^(('实盘净值数据(iFinD公式)'!$A412-'实盘净值数据(iFinD公式)'!$A$6)/365))</x:f>
        <x:v>#NAME?</x:v>
      </x:c>
      <x:c r="C412" s="152" t="e">
        <x:f>IF(OR(B411="",B412=""),"",B412/B411-1)</x:f>
        <x:v>#NAME?</x:v>
      </x:c>
      <x:c r="D412" s="152" t="e">
        <x:f>IF(B412="","",B412/MAX(B$5:B412)-1)</x:f>
        <x:v>#NAME?</x:v>
      </x:c>
      <x:c r="E412" s="146" t="e">
        <x:f>IF(OR('实盘净值数据(iFinD公式)'!$A412="",'实盘净值数据(iFinD公式)'!$B412=""),"",分期持仓明细!$AD$18*SUMPRODUCT(分期持仓明细!$B$18:$AA$18,'实盘净值数据(iFinD公式)'!$B412:$AA412/'实盘净值数据(iFinD公式)'!$B$20:$AA$20)*(1-实盘持仓初始配置!$Z$5)^(('实盘净值数据(iFinD公式)'!$A412-'实盘净值数据(iFinD公式)'!$A$5)/365))</x:f>
        <x:v>#NAME?</x:v>
      </x:c>
      <x:c r="F412" s="152" t="e">
        <x:f>IF(OR(E411="",E412=""),"",E412/E411-1)</x:f>
        <x:v>#NAME?</x:v>
      </x:c>
      <x:c r="G412" s="152" t="e">
        <x:f>IF(E412="","",E412/MAX(E$5:E412)-1)</x:f>
        <x:v>#NAME?</x:v>
      </x:c>
      <x:c r="H412" s="146" t="e">
        <x:f>IF(OR('实盘净值数据(iFinD公式)'!$A412="",'实盘净值数据(iFinD公式)'!$B412=""),"",分期持仓明细!$AD$19*SUMPRODUCT(分期持仓明细!$B$19:$AA$19,'实盘净值数据(iFinD公式)'!$B412:$AA412/'实盘净值数据(iFinD公式)'!$B$20:$AA$20)*(1-实盘持仓初始配置!$Z$6)^(('实盘净值数据(iFinD公式)'!$A412-'实盘净值数据(iFinD公式)'!$A$7)/365))</x:f>
        <x:v>#NAME?</x:v>
      </x:c>
      <x:c r="I412" s="152" t="e">
        <x:f>IF(OR(H411="",H412=""),"",H412/H411-1)</x:f>
        <x:v>#NAME?</x:v>
      </x:c>
      <x:c r="J412" s="152" t="e">
        <x:f>IF(H412="","",H412/MAX(H$5:H412)-1)</x:f>
        <x:v>#NAME?</x:v>
      </x:c>
      <x:c r="K412" s="146" t="e">
        <x:f>IF(OR('实盘净值数据(iFinD公式)'!$A412="",'实盘净值数据(iFinD公式)'!$B412=""),"",分期持仓明细!$AD$23*SUMPRODUCT(分期持仓明细!$B$23:$AA$23,'实盘净值数据(iFinD公式)'!$B412:$AA412/'实盘净值数据(iFinD公式)'!$B$65:$AA$65)*(1-实盘持仓初始配置!$Z$7)^(('实盘净值数据(iFinD公式)'!$A412-'实盘净值数据(iFinD公式)'!$A$8)/365))</x:f>
        <x:v>#NAME?</x:v>
      </x:c>
      <x:c r="L412" s="152" t="e">
        <x:f>IF(OR(K411="",K412=""),"",K412/K411-1)</x:f>
        <x:v>#NAME?</x:v>
      </x:c>
      <x:c r="M412" s="152" t="e">
        <x:f>IF(K412="","",K412/MAX(K$5:K412)-1)</x:f>
        <x:v>#NAME?</x:v>
      </x:c>
      <x:c r="N412" s="146" t="e">
        <x:f>IF(OR('实盘净值数据(iFinD公式)'!$A412="",'实盘净值数据(iFinD公式)'!$B412=""),"",分期持仓明细!$AD$24*SUMPRODUCT(分期持仓明细!$B$24:$AA$24,'实盘净值数据(iFinD公式)'!$B412:$AA412/'实盘净值数据(iFinD公式)'!$B$65:$AA$65)*(1-实盘持仓初始配置!$Z$8)^(('实盘净值数据(iFinD公式)'!$A412-'实盘净值数据(iFinD公式)'!$A$5)/365))</x:f>
        <x:v>#NAME?</x:v>
      </x:c>
      <x:c r="O412" s="152" t="e">
        <x:f>IF(OR(N411="",N412=""),"",N412/N411-1)</x:f>
        <x:v>#NAME?</x:v>
      </x:c>
      <x:c r="P412" s="152" t="e">
        <x:f>IF(N412="","",N412/MAX(N$5:N412)-1)</x:f>
        <x:v>#NAME?</x:v>
      </x:c>
      <x:c r="Q412" s="146" t="e">
        <x:f>IF(OR('实盘净值数据(iFinD公式)'!$A412="",'实盘净值数据(iFinD公式)'!$B412=""),"",分期持仓明细!$AD$25*SUMPRODUCT(分期持仓明细!$B$25:$AA$25,'实盘净值数据(iFinD公式)'!$B412:$AA412/'实盘净值数据(iFinD公式)'!$B$65:$AA$65)*(1-实盘持仓初始配置!$Z$9)^(('实盘净值数据(iFinD公式)'!$A412-'实盘净值数据(iFinD公式)'!$A$8)/365))</x:f>
        <x:v>#NAME?</x:v>
      </x:c>
      <x:c r="R412" s="152" t="e">
        <x:f>IF(OR(Q411="",Q412=""),"",Q412/Q411-1)</x:f>
        <x:v>#NAME?</x:v>
      </x:c>
      <x:c r="S412" s="152" t="e">
        <x:f>IF(Q412="","",Q412/MAX(Q$5:Q412)-1)</x:f>
        <x:v>#NAME?</x:v>
      </x:c>
    </x:row>
    <x:row r="413">
      <x:c r="A413" s="149" t="str">
        <x:f>IF('实盘净值数据(iFinD公式)'!A413="","",'实盘净值数据(iFinD公式)'!A413)</x:f>
      </x:c>
      <x:c r="B413" s="146" t="e">
        <x:f>IF(OR('实盘净值数据(iFinD公式)'!$A413="",'实盘净值数据(iFinD公式)'!$B413=""),"",分期持仓明细!$AD$17*SUMPRODUCT(分期持仓明细!$B$17:$AA$17,'实盘净值数据(iFinD公式)'!$B413:$AA413/'实盘净值数据(iFinD公式)'!$B$20:$AA$20)*(1-实盘持仓初始配置!$Z$4)^(('实盘净值数据(iFinD公式)'!$A413-'实盘净值数据(iFinD公式)'!$A$6)/365))</x:f>
        <x:v>#NAME?</x:v>
      </x:c>
      <x:c r="C413" s="152" t="e">
        <x:f>IF(OR(B412="",B413=""),"",B413/B412-1)</x:f>
        <x:v>#NAME?</x:v>
      </x:c>
      <x:c r="D413" s="152" t="e">
        <x:f>IF(B413="","",B413/MAX(B$5:B413)-1)</x:f>
        <x:v>#NAME?</x:v>
      </x:c>
      <x:c r="E413" s="146" t="e">
        <x:f>IF(OR('实盘净值数据(iFinD公式)'!$A413="",'实盘净值数据(iFinD公式)'!$B413=""),"",分期持仓明细!$AD$18*SUMPRODUCT(分期持仓明细!$B$18:$AA$18,'实盘净值数据(iFinD公式)'!$B413:$AA413/'实盘净值数据(iFinD公式)'!$B$20:$AA$20)*(1-实盘持仓初始配置!$Z$5)^(('实盘净值数据(iFinD公式)'!$A413-'实盘净值数据(iFinD公式)'!$A$5)/365))</x:f>
        <x:v>#NAME?</x:v>
      </x:c>
      <x:c r="F413" s="152" t="e">
        <x:f>IF(OR(E412="",E413=""),"",E413/E412-1)</x:f>
        <x:v>#NAME?</x:v>
      </x:c>
      <x:c r="G413" s="152" t="e">
        <x:f>IF(E413="","",E413/MAX(E$5:E413)-1)</x:f>
        <x:v>#NAME?</x:v>
      </x:c>
      <x:c r="H413" s="146" t="e">
        <x:f>IF(OR('实盘净值数据(iFinD公式)'!$A413="",'实盘净值数据(iFinD公式)'!$B413=""),"",分期持仓明细!$AD$19*SUMPRODUCT(分期持仓明细!$B$19:$AA$19,'实盘净值数据(iFinD公式)'!$B413:$AA413/'实盘净值数据(iFinD公式)'!$B$20:$AA$20)*(1-实盘持仓初始配置!$Z$6)^(('实盘净值数据(iFinD公式)'!$A413-'实盘净值数据(iFinD公式)'!$A$7)/365))</x:f>
        <x:v>#NAME?</x:v>
      </x:c>
      <x:c r="I413" s="152" t="e">
        <x:f>IF(OR(H412="",H413=""),"",H413/H412-1)</x:f>
        <x:v>#NAME?</x:v>
      </x:c>
      <x:c r="J413" s="152" t="e">
        <x:f>IF(H413="","",H413/MAX(H$5:H413)-1)</x:f>
        <x:v>#NAME?</x:v>
      </x:c>
      <x:c r="K413" s="146" t="e">
        <x:f>IF(OR('实盘净值数据(iFinD公式)'!$A413="",'实盘净值数据(iFinD公式)'!$B413=""),"",分期持仓明细!$AD$23*SUMPRODUCT(分期持仓明细!$B$23:$AA$23,'实盘净值数据(iFinD公式)'!$B413:$AA413/'实盘净值数据(iFinD公式)'!$B$65:$AA$65)*(1-实盘持仓初始配置!$Z$7)^(('实盘净值数据(iFinD公式)'!$A413-'实盘净值数据(iFinD公式)'!$A$8)/365))</x:f>
        <x:v>#NAME?</x:v>
      </x:c>
      <x:c r="L413" s="152" t="e">
        <x:f>IF(OR(K412="",K413=""),"",K413/K412-1)</x:f>
        <x:v>#NAME?</x:v>
      </x:c>
      <x:c r="M413" s="152" t="e">
        <x:f>IF(K413="","",K413/MAX(K$5:K413)-1)</x:f>
        <x:v>#NAME?</x:v>
      </x:c>
      <x:c r="N413" s="146" t="e">
        <x:f>IF(OR('实盘净值数据(iFinD公式)'!$A413="",'实盘净值数据(iFinD公式)'!$B413=""),"",分期持仓明细!$AD$24*SUMPRODUCT(分期持仓明细!$B$24:$AA$24,'实盘净值数据(iFinD公式)'!$B413:$AA413/'实盘净值数据(iFinD公式)'!$B$65:$AA$65)*(1-实盘持仓初始配置!$Z$8)^(('实盘净值数据(iFinD公式)'!$A413-'实盘净值数据(iFinD公式)'!$A$5)/365))</x:f>
        <x:v>#NAME?</x:v>
      </x:c>
      <x:c r="O413" s="152" t="e">
        <x:f>IF(OR(N412="",N413=""),"",N413/N412-1)</x:f>
        <x:v>#NAME?</x:v>
      </x:c>
      <x:c r="P413" s="152" t="e">
        <x:f>IF(N413="","",N413/MAX(N$5:N413)-1)</x:f>
        <x:v>#NAME?</x:v>
      </x:c>
      <x:c r="Q413" s="146" t="e">
        <x:f>IF(OR('实盘净值数据(iFinD公式)'!$A413="",'实盘净值数据(iFinD公式)'!$B413=""),"",分期持仓明细!$AD$25*SUMPRODUCT(分期持仓明细!$B$25:$AA$25,'实盘净值数据(iFinD公式)'!$B413:$AA413/'实盘净值数据(iFinD公式)'!$B$65:$AA$65)*(1-实盘持仓初始配置!$Z$9)^(('实盘净值数据(iFinD公式)'!$A413-'实盘净值数据(iFinD公式)'!$A$8)/365))</x:f>
        <x:v>#NAME?</x:v>
      </x:c>
      <x:c r="R413" s="152" t="e">
        <x:f>IF(OR(Q412="",Q413=""),"",Q413/Q412-1)</x:f>
        <x:v>#NAME?</x:v>
      </x:c>
      <x:c r="S413" s="152" t="e">
        <x:f>IF(Q413="","",Q413/MAX(Q$5:Q413)-1)</x:f>
        <x:v>#NAME?</x:v>
      </x:c>
    </x:row>
    <x:row r="414">
      <x:c r="A414" s="149" t="str">
        <x:f>IF('实盘净值数据(iFinD公式)'!A414="","",'实盘净值数据(iFinD公式)'!A414)</x:f>
      </x:c>
      <x:c r="B414" s="146" t="e">
        <x:f>IF(OR('实盘净值数据(iFinD公式)'!$A414="",'实盘净值数据(iFinD公式)'!$B414=""),"",分期持仓明细!$AD$17*SUMPRODUCT(分期持仓明细!$B$17:$AA$17,'实盘净值数据(iFinD公式)'!$B414:$AA414/'实盘净值数据(iFinD公式)'!$B$20:$AA$20)*(1-实盘持仓初始配置!$Z$4)^(('实盘净值数据(iFinD公式)'!$A414-'实盘净值数据(iFinD公式)'!$A$6)/365))</x:f>
        <x:v>#NAME?</x:v>
      </x:c>
      <x:c r="C414" s="152" t="e">
        <x:f>IF(OR(B413="",B414=""),"",B414/B413-1)</x:f>
        <x:v>#NAME?</x:v>
      </x:c>
      <x:c r="D414" s="152" t="e">
        <x:f>IF(B414="","",B414/MAX(B$5:B414)-1)</x:f>
        <x:v>#NAME?</x:v>
      </x:c>
      <x:c r="E414" s="146" t="e">
        <x:f>IF(OR('实盘净值数据(iFinD公式)'!$A414="",'实盘净值数据(iFinD公式)'!$B414=""),"",分期持仓明细!$AD$18*SUMPRODUCT(分期持仓明细!$B$18:$AA$18,'实盘净值数据(iFinD公式)'!$B414:$AA414/'实盘净值数据(iFinD公式)'!$B$20:$AA$20)*(1-实盘持仓初始配置!$Z$5)^(('实盘净值数据(iFinD公式)'!$A414-'实盘净值数据(iFinD公式)'!$A$5)/365))</x:f>
        <x:v>#NAME?</x:v>
      </x:c>
      <x:c r="F414" s="152" t="e">
        <x:f>IF(OR(E413="",E414=""),"",E414/E413-1)</x:f>
        <x:v>#NAME?</x:v>
      </x:c>
      <x:c r="G414" s="152" t="e">
        <x:f>IF(E414="","",E414/MAX(E$5:E414)-1)</x:f>
        <x:v>#NAME?</x:v>
      </x:c>
      <x:c r="H414" s="146" t="e">
        <x:f>IF(OR('实盘净值数据(iFinD公式)'!$A414="",'实盘净值数据(iFinD公式)'!$B414=""),"",分期持仓明细!$AD$19*SUMPRODUCT(分期持仓明细!$B$19:$AA$19,'实盘净值数据(iFinD公式)'!$B414:$AA414/'实盘净值数据(iFinD公式)'!$B$20:$AA$20)*(1-实盘持仓初始配置!$Z$6)^(('实盘净值数据(iFinD公式)'!$A414-'实盘净值数据(iFinD公式)'!$A$7)/365))</x:f>
        <x:v>#NAME?</x:v>
      </x:c>
      <x:c r="I414" s="152" t="e">
        <x:f>IF(OR(H413="",H414=""),"",H414/H413-1)</x:f>
        <x:v>#NAME?</x:v>
      </x:c>
      <x:c r="J414" s="152" t="e">
        <x:f>IF(H414="","",H414/MAX(H$5:H414)-1)</x:f>
        <x:v>#NAME?</x:v>
      </x:c>
      <x:c r="K414" s="146" t="e">
        <x:f>IF(OR('实盘净值数据(iFinD公式)'!$A414="",'实盘净值数据(iFinD公式)'!$B414=""),"",分期持仓明细!$AD$23*SUMPRODUCT(分期持仓明细!$B$23:$AA$23,'实盘净值数据(iFinD公式)'!$B414:$AA414/'实盘净值数据(iFinD公式)'!$B$65:$AA$65)*(1-实盘持仓初始配置!$Z$7)^(('实盘净值数据(iFinD公式)'!$A414-'实盘净值数据(iFinD公式)'!$A$8)/365))</x:f>
        <x:v>#NAME?</x:v>
      </x:c>
      <x:c r="L414" s="152" t="e">
        <x:f>IF(OR(K413="",K414=""),"",K414/K413-1)</x:f>
        <x:v>#NAME?</x:v>
      </x:c>
      <x:c r="M414" s="152" t="e">
        <x:f>IF(K414="","",K414/MAX(K$5:K414)-1)</x:f>
        <x:v>#NAME?</x:v>
      </x:c>
      <x:c r="N414" s="146" t="e">
        <x:f>IF(OR('实盘净值数据(iFinD公式)'!$A414="",'实盘净值数据(iFinD公式)'!$B414=""),"",分期持仓明细!$AD$24*SUMPRODUCT(分期持仓明细!$B$24:$AA$24,'实盘净值数据(iFinD公式)'!$B414:$AA414/'实盘净值数据(iFinD公式)'!$B$65:$AA$65)*(1-实盘持仓初始配置!$Z$8)^(('实盘净值数据(iFinD公式)'!$A414-'实盘净值数据(iFinD公式)'!$A$5)/365))</x:f>
        <x:v>#NAME?</x:v>
      </x:c>
      <x:c r="O414" s="152" t="e">
        <x:f>IF(OR(N413="",N414=""),"",N414/N413-1)</x:f>
        <x:v>#NAME?</x:v>
      </x:c>
      <x:c r="P414" s="152" t="e">
        <x:f>IF(N414="","",N414/MAX(N$5:N414)-1)</x:f>
        <x:v>#NAME?</x:v>
      </x:c>
      <x:c r="Q414" s="146" t="e">
        <x:f>IF(OR('实盘净值数据(iFinD公式)'!$A414="",'实盘净值数据(iFinD公式)'!$B414=""),"",分期持仓明细!$AD$25*SUMPRODUCT(分期持仓明细!$B$25:$AA$25,'实盘净值数据(iFinD公式)'!$B414:$AA414/'实盘净值数据(iFinD公式)'!$B$65:$AA$65)*(1-实盘持仓初始配置!$Z$9)^(('实盘净值数据(iFinD公式)'!$A414-'实盘净值数据(iFinD公式)'!$A$8)/365))</x:f>
        <x:v>#NAME?</x:v>
      </x:c>
      <x:c r="R414" s="152" t="e">
        <x:f>IF(OR(Q413="",Q414=""),"",Q414/Q413-1)</x:f>
        <x:v>#NAME?</x:v>
      </x:c>
      <x:c r="S414" s="152" t="e">
        <x:f>IF(Q414="","",Q414/MAX(Q$5:Q414)-1)</x:f>
        <x:v>#NAME?</x:v>
      </x:c>
    </x:row>
    <x:row r="415">
      <x:c r="A415" s="149" t="str">
        <x:f>IF('实盘净值数据(iFinD公式)'!A415="","",'实盘净值数据(iFinD公式)'!A415)</x:f>
      </x:c>
      <x:c r="B415" s="146" t="e">
        <x:f>IF(OR('实盘净值数据(iFinD公式)'!$A415="",'实盘净值数据(iFinD公式)'!$B415=""),"",分期持仓明细!$AD$17*SUMPRODUCT(分期持仓明细!$B$17:$AA$17,'实盘净值数据(iFinD公式)'!$B415:$AA415/'实盘净值数据(iFinD公式)'!$B$20:$AA$20)*(1-实盘持仓初始配置!$Z$4)^(('实盘净值数据(iFinD公式)'!$A415-'实盘净值数据(iFinD公式)'!$A$6)/365))</x:f>
        <x:v>#NAME?</x:v>
      </x:c>
      <x:c r="C415" s="152" t="e">
        <x:f>IF(OR(B414="",B415=""),"",B415/B414-1)</x:f>
        <x:v>#NAME?</x:v>
      </x:c>
      <x:c r="D415" s="152" t="e">
        <x:f>IF(B415="","",B415/MAX(B$5:B415)-1)</x:f>
        <x:v>#NAME?</x:v>
      </x:c>
      <x:c r="E415" s="146" t="e">
        <x:f>IF(OR('实盘净值数据(iFinD公式)'!$A415="",'实盘净值数据(iFinD公式)'!$B415=""),"",分期持仓明细!$AD$18*SUMPRODUCT(分期持仓明细!$B$18:$AA$18,'实盘净值数据(iFinD公式)'!$B415:$AA415/'实盘净值数据(iFinD公式)'!$B$20:$AA$20)*(1-实盘持仓初始配置!$Z$5)^(('实盘净值数据(iFinD公式)'!$A415-'实盘净值数据(iFinD公式)'!$A$5)/365))</x:f>
        <x:v>#NAME?</x:v>
      </x:c>
      <x:c r="F415" s="152" t="e">
        <x:f>IF(OR(E414="",E415=""),"",E415/E414-1)</x:f>
        <x:v>#NAME?</x:v>
      </x:c>
      <x:c r="G415" s="152" t="e">
        <x:f>IF(E415="","",E415/MAX(E$5:E415)-1)</x:f>
        <x:v>#NAME?</x:v>
      </x:c>
      <x:c r="H415" s="146" t="e">
        <x:f>IF(OR('实盘净值数据(iFinD公式)'!$A415="",'实盘净值数据(iFinD公式)'!$B415=""),"",分期持仓明细!$AD$19*SUMPRODUCT(分期持仓明细!$B$19:$AA$19,'实盘净值数据(iFinD公式)'!$B415:$AA415/'实盘净值数据(iFinD公式)'!$B$20:$AA$20)*(1-实盘持仓初始配置!$Z$6)^(('实盘净值数据(iFinD公式)'!$A415-'实盘净值数据(iFinD公式)'!$A$7)/365))</x:f>
        <x:v>#NAME?</x:v>
      </x:c>
      <x:c r="I415" s="152" t="e">
        <x:f>IF(OR(H414="",H415=""),"",H415/H414-1)</x:f>
        <x:v>#NAME?</x:v>
      </x:c>
      <x:c r="J415" s="152" t="e">
        <x:f>IF(H415="","",H415/MAX(H$5:H415)-1)</x:f>
        <x:v>#NAME?</x:v>
      </x:c>
      <x:c r="K415" s="146" t="e">
        <x:f>IF(OR('实盘净值数据(iFinD公式)'!$A415="",'实盘净值数据(iFinD公式)'!$B415=""),"",分期持仓明细!$AD$23*SUMPRODUCT(分期持仓明细!$B$23:$AA$23,'实盘净值数据(iFinD公式)'!$B415:$AA415/'实盘净值数据(iFinD公式)'!$B$65:$AA$65)*(1-实盘持仓初始配置!$Z$7)^(('实盘净值数据(iFinD公式)'!$A415-'实盘净值数据(iFinD公式)'!$A$8)/365))</x:f>
        <x:v>#NAME?</x:v>
      </x:c>
      <x:c r="L415" s="152" t="e">
        <x:f>IF(OR(K414="",K415=""),"",K415/K414-1)</x:f>
        <x:v>#NAME?</x:v>
      </x:c>
      <x:c r="M415" s="152" t="e">
        <x:f>IF(K415="","",K415/MAX(K$5:K415)-1)</x:f>
        <x:v>#NAME?</x:v>
      </x:c>
      <x:c r="N415" s="146" t="e">
        <x:f>IF(OR('实盘净值数据(iFinD公式)'!$A415="",'实盘净值数据(iFinD公式)'!$B415=""),"",分期持仓明细!$AD$24*SUMPRODUCT(分期持仓明细!$B$24:$AA$24,'实盘净值数据(iFinD公式)'!$B415:$AA415/'实盘净值数据(iFinD公式)'!$B$65:$AA$65)*(1-实盘持仓初始配置!$Z$8)^(('实盘净值数据(iFinD公式)'!$A415-'实盘净值数据(iFinD公式)'!$A$5)/365))</x:f>
        <x:v>#NAME?</x:v>
      </x:c>
      <x:c r="O415" s="152" t="e">
        <x:f>IF(OR(N414="",N415=""),"",N415/N414-1)</x:f>
        <x:v>#NAME?</x:v>
      </x:c>
      <x:c r="P415" s="152" t="e">
        <x:f>IF(N415="","",N415/MAX(N$5:N415)-1)</x:f>
        <x:v>#NAME?</x:v>
      </x:c>
      <x:c r="Q415" s="146" t="e">
        <x:f>IF(OR('实盘净值数据(iFinD公式)'!$A415="",'实盘净值数据(iFinD公式)'!$B415=""),"",分期持仓明细!$AD$25*SUMPRODUCT(分期持仓明细!$B$25:$AA$25,'实盘净值数据(iFinD公式)'!$B415:$AA415/'实盘净值数据(iFinD公式)'!$B$65:$AA$65)*(1-实盘持仓初始配置!$Z$9)^(('实盘净值数据(iFinD公式)'!$A415-'实盘净值数据(iFinD公式)'!$A$8)/365))</x:f>
        <x:v>#NAME?</x:v>
      </x:c>
      <x:c r="R415" s="152" t="e">
        <x:f>IF(OR(Q414="",Q415=""),"",Q415/Q414-1)</x:f>
        <x:v>#NAME?</x:v>
      </x:c>
      <x:c r="S415" s="152" t="e">
        <x:f>IF(Q415="","",Q415/MAX(Q$5:Q415)-1)</x:f>
        <x:v>#NAME?</x:v>
      </x:c>
    </x:row>
    <x:row r="416">
      <x:c r="A416" s="149" t="str">
        <x:f>IF('实盘净值数据(iFinD公式)'!A416="","",'实盘净值数据(iFinD公式)'!A416)</x:f>
      </x:c>
      <x:c r="B416" s="146" t="e">
        <x:f>IF(OR('实盘净值数据(iFinD公式)'!$A416="",'实盘净值数据(iFinD公式)'!$B416=""),"",分期持仓明细!$AD$17*SUMPRODUCT(分期持仓明细!$B$17:$AA$17,'实盘净值数据(iFinD公式)'!$B416:$AA416/'实盘净值数据(iFinD公式)'!$B$20:$AA$20)*(1-实盘持仓初始配置!$Z$4)^(('实盘净值数据(iFinD公式)'!$A416-'实盘净值数据(iFinD公式)'!$A$6)/365))</x:f>
        <x:v>#NAME?</x:v>
      </x:c>
      <x:c r="C416" s="152" t="e">
        <x:f>IF(OR(B415="",B416=""),"",B416/B415-1)</x:f>
        <x:v>#NAME?</x:v>
      </x:c>
      <x:c r="D416" s="152" t="e">
        <x:f>IF(B416="","",B416/MAX(B$5:B416)-1)</x:f>
        <x:v>#NAME?</x:v>
      </x:c>
      <x:c r="E416" s="146" t="e">
        <x:f>IF(OR('实盘净值数据(iFinD公式)'!$A416="",'实盘净值数据(iFinD公式)'!$B416=""),"",分期持仓明细!$AD$18*SUMPRODUCT(分期持仓明细!$B$18:$AA$18,'实盘净值数据(iFinD公式)'!$B416:$AA416/'实盘净值数据(iFinD公式)'!$B$20:$AA$20)*(1-实盘持仓初始配置!$Z$5)^(('实盘净值数据(iFinD公式)'!$A416-'实盘净值数据(iFinD公式)'!$A$5)/365))</x:f>
        <x:v>#NAME?</x:v>
      </x:c>
      <x:c r="F416" s="152" t="e">
        <x:f>IF(OR(E415="",E416=""),"",E416/E415-1)</x:f>
        <x:v>#NAME?</x:v>
      </x:c>
      <x:c r="G416" s="152" t="e">
        <x:f>IF(E416="","",E416/MAX(E$5:E416)-1)</x:f>
        <x:v>#NAME?</x:v>
      </x:c>
      <x:c r="H416" s="146" t="e">
        <x:f>IF(OR('实盘净值数据(iFinD公式)'!$A416="",'实盘净值数据(iFinD公式)'!$B416=""),"",分期持仓明细!$AD$19*SUMPRODUCT(分期持仓明细!$B$19:$AA$19,'实盘净值数据(iFinD公式)'!$B416:$AA416/'实盘净值数据(iFinD公式)'!$B$20:$AA$20)*(1-实盘持仓初始配置!$Z$6)^(('实盘净值数据(iFinD公式)'!$A416-'实盘净值数据(iFinD公式)'!$A$7)/365))</x:f>
        <x:v>#NAME?</x:v>
      </x:c>
      <x:c r="I416" s="152" t="e">
        <x:f>IF(OR(H415="",H416=""),"",H416/H415-1)</x:f>
        <x:v>#NAME?</x:v>
      </x:c>
      <x:c r="J416" s="152" t="e">
        <x:f>IF(H416="","",H416/MAX(H$5:H416)-1)</x:f>
        <x:v>#NAME?</x:v>
      </x:c>
      <x:c r="K416" s="146" t="e">
        <x:f>IF(OR('实盘净值数据(iFinD公式)'!$A416="",'实盘净值数据(iFinD公式)'!$B416=""),"",分期持仓明细!$AD$23*SUMPRODUCT(分期持仓明细!$B$23:$AA$23,'实盘净值数据(iFinD公式)'!$B416:$AA416/'实盘净值数据(iFinD公式)'!$B$65:$AA$65)*(1-实盘持仓初始配置!$Z$7)^(('实盘净值数据(iFinD公式)'!$A416-'实盘净值数据(iFinD公式)'!$A$8)/365))</x:f>
        <x:v>#NAME?</x:v>
      </x:c>
      <x:c r="L416" s="152" t="e">
        <x:f>IF(OR(K415="",K416=""),"",K416/K415-1)</x:f>
        <x:v>#NAME?</x:v>
      </x:c>
      <x:c r="M416" s="152" t="e">
        <x:f>IF(K416="","",K416/MAX(K$5:K416)-1)</x:f>
        <x:v>#NAME?</x:v>
      </x:c>
      <x:c r="N416" s="146" t="e">
        <x:f>IF(OR('实盘净值数据(iFinD公式)'!$A416="",'实盘净值数据(iFinD公式)'!$B416=""),"",分期持仓明细!$AD$24*SUMPRODUCT(分期持仓明细!$B$24:$AA$24,'实盘净值数据(iFinD公式)'!$B416:$AA416/'实盘净值数据(iFinD公式)'!$B$65:$AA$65)*(1-实盘持仓初始配置!$Z$8)^(('实盘净值数据(iFinD公式)'!$A416-'实盘净值数据(iFinD公式)'!$A$5)/365))</x:f>
        <x:v>#NAME?</x:v>
      </x:c>
      <x:c r="O416" s="152" t="e">
        <x:f>IF(OR(N415="",N416=""),"",N416/N415-1)</x:f>
        <x:v>#NAME?</x:v>
      </x:c>
      <x:c r="P416" s="152" t="e">
        <x:f>IF(N416="","",N416/MAX(N$5:N416)-1)</x:f>
        <x:v>#NAME?</x:v>
      </x:c>
      <x:c r="Q416" s="146" t="e">
        <x:f>IF(OR('实盘净值数据(iFinD公式)'!$A416="",'实盘净值数据(iFinD公式)'!$B416=""),"",分期持仓明细!$AD$25*SUMPRODUCT(分期持仓明细!$B$25:$AA$25,'实盘净值数据(iFinD公式)'!$B416:$AA416/'实盘净值数据(iFinD公式)'!$B$65:$AA$65)*(1-实盘持仓初始配置!$Z$9)^(('实盘净值数据(iFinD公式)'!$A416-'实盘净值数据(iFinD公式)'!$A$8)/365))</x:f>
        <x:v>#NAME?</x:v>
      </x:c>
      <x:c r="R416" s="152" t="e">
        <x:f>IF(OR(Q415="",Q416=""),"",Q416/Q415-1)</x:f>
        <x:v>#NAME?</x:v>
      </x:c>
      <x:c r="S416" s="152" t="e">
        <x:f>IF(Q416="","",Q416/MAX(Q$5:Q416)-1)</x:f>
        <x:v>#NAME?</x:v>
      </x:c>
    </x:row>
    <x:row r="417">
      <x:c r="A417" s="149" t="str">
        <x:f>IF('实盘净值数据(iFinD公式)'!A417="","",'实盘净值数据(iFinD公式)'!A417)</x:f>
      </x:c>
      <x:c r="B417" s="146" t="e">
        <x:f>IF(OR('实盘净值数据(iFinD公式)'!$A417="",'实盘净值数据(iFinD公式)'!$B417=""),"",分期持仓明细!$AD$17*SUMPRODUCT(分期持仓明细!$B$17:$AA$17,'实盘净值数据(iFinD公式)'!$B417:$AA417/'实盘净值数据(iFinD公式)'!$B$20:$AA$20)*(1-实盘持仓初始配置!$Z$4)^(('实盘净值数据(iFinD公式)'!$A417-'实盘净值数据(iFinD公式)'!$A$6)/365))</x:f>
        <x:v>#NAME?</x:v>
      </x:c>
      <x:c r="C417" s="152" t="e">
        <x:f>IF(OR(B416="",B417=""),"",B417/B416-1)</x:f>
        <x:v>#NAME?</x:v>
      </x:c>
      <x:c r="D417" s="152" t="e">
        <x:f>IF(B417="","",B417/MAX(B$5:B417)-1)</x:f>
        <x:v>#NAME?</x:v>
      </x:c>
      <x:c r="E417" s="146" t="e">
        <x:f>IF(OR('实盘净值数据(iFinD公式)'!$A417="",'实盘净值数据(iFinD公式)'!$B417=""),"",分期持仓明细!$AD$18*SUMPRODUCT(分期持仓明细!$B$18:$AA$18,'实盘净值数据(iFinD公式)'!$B417:$AA417/'实盘净值数据(iFinD公式)'!$B$20:$AA$20)*(1-实盘持仓初始配置!$Z$5)^(('实盘净值数据(iFinD公式)'!$A417-'实盘净值数据(iFinD公式)'!$A$5)/365))</x:f>
        <x:v>#NAME?</x:v>
      </x:c>
      <x:c r="F417" s="152" t="e">
        <x:f>IF(OR(E416="",E417=""),"",E417/E416-1)</x:f>
        <x:v>#NAME?</x:v>
      </x:c>
      <x:c r="G417" s="152" t="e">
        <x:f>IF(E417="","",E417/MAX(E$5:E417)-1)</x:f>
        <x:v>#NAME?</x:v>
      </x:c>
      <x:c r="H417" s="146" t="e">
        <x:f>IF(OR('实盘净值数据(iFinD公式)'!$A417="",'实盘净值数据(iFinD公式)'!$B417=""),"",分期持仓明细!$AD$19*SUMPRODUCT(分期持仓明细!$B$19:$AA$19,'实盘净值数据(iFinD公式)'!$B417:$AA417/'实盘净值数据(iFinD公式)'!$B$20:$AA$20)*(1-实盘持仓初始配置!$Z$6)^(('实盘净值数据(iFinD公式)'!$A417-'实盘净值数据(iFinD公式)'!$A$7)/365))</x:f>
        <x:v>#NAME?</x:v>
      </x:c>
      <x:c r="I417" s="152" t="e">
        <x:f>IF(OR(H416="",H417=""),"",H417/H416-1)</x:f>
        <x:v>#NAME?</x:v>
      </x:c>
      <x:c r="J417" s="152" t="e">
        <x:f>IF(H417="","",H417/MAX(H$5:H417)-1)</x:f>
        <x:v>#NAME?</x:v>
      </x:c>
      <x:c r="K417" s="146" t="e">
        <x:f>IF(OR('实盘净值数据(iFinD公式)'!$A417="",'实盘净值数据(iFinD公式)'!$B417=""),"",分期持仓明细!$AD$23*SUMPRODUCT(分期持仓明细!$B$23:$AA$23,'实盘净值数据(iFinD公式)'!$B417:$AA417/'实盘净值数据(iFinD公式)'!$B$65:$AA$65)*(1-实盘持仓初始配置!$Z$7)^(('实盘净值数据(iFinD公式)'!$A417-'实盘净值数据(iFinD公式)'!$A$8)/365))</x:f>
        <x:v>#NAME?</x:v>
      </x:c>
      <x:c r="L417" s="152" t="e">
        <x:f>IF(OR(K416="",K417=""),"",K417/K416-1)</x:f>
        <x:v>#NAME?</x:v>
      </x:c>
      <x:c r="M417" s="152" t="e">
        <x:f>IF(K417="","",K417/MAX(K$5:K417)-1)</x:f>
        <x:v>#NAME?</x:v>
      </x:c>
      <x:c r="N417" s="146" t="e">
        <x:f>IF(OR('实盘净值数据(iFinD公式)'!$A417="",'实盘净值数据(iFinD公式)'!$B417=""),"",分期持仓明细!$AD$24*SUMPRODUCT(分期持仓明细!$B$24:$AA$24,'实盘净值数据(iFinD公式)'!$B417:$AA417/'实盘净值数据(iFinD公式)'!$B$65:$AA$65)*(1-实盘持仓初始配置!$Z$8)^(('实盘净值数据(iFinD公式)'!$A417-'实盘净值数据(iFinD公式)'!$A$5)/365))</x:f>
        <x:v>#NAME?</x:v>
      </x:c>
      <x:c r="O417" s="152" t="e">
        <x:f>IF(OR(N416="",N417=""),"",N417/N416-1)</x:f>
        <x:v>#NAME?</x:v>
      </x:c>
      <x:c r="P417" s="152" t="e">
        <x:f>IF(N417="","",N417/MAX(N$5:N417)-1)</x:f>
        <x:v>#NAME?</x:v>
      </x:c>
      <x:c r="Q417" s="146" t="e">
        <x:f>IF(OR('实盘净值数据(iFinD公式)'!$A417="",'实盘净值数据(iFinD公式)'!$B417=""),"",分期持仓明细!$AD$25*SUMPRODUCT(分期持仓明细!$B$25:$AA$25,'实盘净值数据(iFinD公式)'!$B417:$AA417/'实盘净值数据(iFinD公式)'!$B$65:$AA$65)*(1-实盘持仓初始配置!$Z$9)^(('实盘净值数据(iFinD公式)'!$A417-'实盘净值数据(iFinD公式)'!$A$8)/365))</x:f>
        <x:v>#NAME?</x:v>
      </x:c>
      <x:c r="R417" s="152" t="e">
        <x:f>IF(OR(Q416="",Q417=""),"",Q417/Q416-1)</x:f>
        <x:v>#NAME?</x:v>
      </x:c>
      <x:c r="S417" s="152" t="e">
        <x:f>IF(Q417="","",Q417/MAX(Q$5:Q417)-1)</x:f>
        <x:v>#NAME?</x:v>
      </x:c>
    </x:row>
    <x:row r="418">
      <x:c r="A418" s="149" t="str">
        <x:f>IF('实盘净值数据(iFinD公式)'!A418="","",'实盘净值数据(iFinD公式)'!A418)</x:f>
      </x:c>
      <x:c r="B418" s="146" t="e">
        <x:f>IF(OR('实盘净值数据(iFinD公式)'!$A418="",'实盘净值数据(iFinD公式)'!$B418=""),"",分期持仓明细!$AD$17*SUMPRODUCT(分期持仓明细!$B$17:$AA$17,'实盘净值数据(iFinD公式)'!$B418:$AA418/'实盘净值数据(iFinD公式)'!$B$20:$AA$20)*(1-实盘持仓初始配置!$Z$4)^(('实盘净值数据(iFinD公式)'!$A418-'实盘净值数据(iFinD公式)'!$A$6)/365))</x:f>
        <x:v>#NAME?</x:v>
      </x:c>
      <x:c r="C418" s="152" t="e">
        <x:f>IF(OR(B417="",B418=""),"",B418/B417-1)</x:f>
        <x:v>#NAME?</x:v>
      </x:c>
      <x:c r="D418" s="152" t="e">
        <x:f>IF(B418="","",B418/MAX(B$5:B418)-1)</x:f>
        <x:v>#NAME?</x:v>
      </x:c>
      <x:c r="E418" s="146" t="e">
        <x:f>IF(OR('实盘净值数据(iFinD公式)'!$A418="",'实盘净值数据(iFinD公式)'!$B418=""),"",分期持仓明细!$AD$18*SUMPRODUCT(分期持仓明细!$B$18:$AA$18,'实盘净值数据(iFinD公式)'!$B418:$AA418/'实盘净值数据(iFinD公式)'!$B$20:$AA$20)*(1-实盘持仓初始配置!$Z$5)^(('实盘净值数据(iFinD公式)'!$A418-'实盘净值数据(iFinD公式)'!$A$5)/365))</x:f>
        <x:v>#NAME?</x:v>
      </x:c>
      <x:c r="F418" s="152" t="e">
        <x:f>IF(OR(E417="",E418=""),"",E418/E417-1)</x:f>
        <x:v>#NAME?</x:v>
      </x:c>
      <x:c r="G418" s="152" t="e">
        <x:f>IF(E418="","",E418/MAX(E$5:E418)-1)</x:f>
        <x:v>#NAME?</x:v>
      </x:c>
      <x:c r="H418" s="146" t="e">
        <x:f>IF(OR('实盘净值数据(iFinD公式)'!$A418="",'实盘净值数据(iFinD公式)'!$B418=""),"",分期持仓明细!$AD$19*SUMPRODUCT(分期持仓明细!$B$19:$AA$19,'实盘净值数据(iFinD公式)'!$B418:$AA418/'实盘净值数据(iFinD公式)'!$B$20:$AA$20)*(1-实盘持仓初始配置!$Z$6)^(('实盘净值数据(iFinD公式)'!$A418-'实盘净值数据(iFinD公式)'!$A$7)/365))</x:f>
        <x:v>#NAME?</x:v>
      </x:c>
      <x:c r="I418" s="152" t="e">
        <x:f>IF(OR(H417="",H418=""),"",H418/H417-1)</x:f>
        <x:v>#NAME?</x:v>
      </x:c>
      <x:c r="J418" s="152" t="e">
        <x:f>IF(H418="","",H418/MAX(H$5:H418)-1)</x:f>
        <x:v>#NAME?</x:v>
      </x:c>
      <x:c r="K418" s="146" t="e">
        <x:f>IF(OR('实盘净值数据(iFinD公式)'!$A418="",'实盘净值数据(iFinD公式)'!$B418=""),"",分期持仓明细!$AD$23*SUMPRODUCT(分期持仓明细!$B$23:$AA$23,'实盘净值数据(iFinD公式)'!$B418:$AA418/'实盘净值数据(iFinD公式)'!$B$65:$AA$65)*(1-实盘持仓初始配置!$Z$7)^(('实盘净值数据(iFinD公式)'!$A418-'实盘净值数据(iFinD公式)'!$A$8)/365))</x:f>
        <x:v>#NAME?</x:v>
      </x:c>
      <x:c r="L418" s="152" t="e">
        <x:f>IF(OR(K417="",K418=""),"",K418/K417-1)</x:f>
        <x:v>#NAME?</x:v>
      </x:c>
      <x:c r="M418" s="152" t="e">
        <x:f>IF(K418="","",K418/MAX(K$5:K418)-1)</x:f>
        <x:v>#NAME?</x:v>
      </x:c>
      <x:c r="N418" s="146" t="e">
        <x:f>IF(OR('实盘净值数据(iFinD公式)'!$A418="",'实盘净值数据(iFinD公式)'!$B418=""),"",分期持仓明细!$AD$24*SUMPRODUCT(分期持仓明细!$B$24:$AA$24,'实盘净值数据(iFinD公式)'!$B418:$AA418/'实盘净值数据(iFinD公式)'!$B$65:$AA$65)*(1-实盘持仓初始配置!$Z$8)^(('实盘净值数据(iFinD公式)'!$A418-'实盘净值数据(iFinD公式)'!$A$5)/365))</x:f>
        <x:v>#NAME?</x:v>
      </x:c>
      <x:c r="O418" s="152" t="e">
        <x:f>IF(OR(N417="",N418=""),"",N418/N417-1)</x:f>
        <x:v>#NAME?</x:v>
      </x:c>
      <x:c r="P418" s="152" t="e">
        <x:f>IF(N418="","",N418/MAX(N$5:N418)-1)</x:f>
        <x:v>#NAME?</x:v>
      </x:c>
      <x:c r="Q418" s="146" t="e">
        <x:f>IF(OR('实盘净值数据(iFinD公式)'!$A418="",'实盘净值数据(iFinD公式)'!$B418=""),"",分期持仓明细!$AD$25*SUMPRODUCT(分期持仓明细!$B$25:$AA$25,'实盘净值数据(iFinD公式)'!$B418:$AA418/'实盘净值数据(iFinD公式)'!$B$65:$AA$65)*(1-实盘持仓初始配置!$Z$9)^(('实盘净值数据(iFinD公式)'!$A418-'实盘净值数据(iFinD公式)'!$A$8)/365))</x:f>
        <x:v>#NAME?</x:v>
      </x:c>
      <x:c r="R418" s="152" t="e">
        <x:f>IF(OR(Q417="",Q418=""),"",Q418/Q417-1)</x:f>
        <x:v>#NAME?</x:v>
      </x:c>
      <x:c r="S418" s="152" t="e">
        <x:f>IF(Q418="","",Q418/MAX(Q$5:Q418)-1)</x:f>
        <x:v>#NAME?</x:v>
      </x:c>
    </x:row>
    <x:row r="419">
      <x:c r="A419" s="149" t="str">
        <x:f>IF('实盘净值数据(iFinD公式)'!A419="","",'实盘净值数据(iFinD公式)'!A419)</x:f>
      </x:c>
      <x:c r="B419" s="146" t="e">
        <x:f>IF(OR('实盘净值数据(iFinD公式)'!$A419="",'实盘净值数据(iFinD公式)'!$B419=""),"",分期持仓明细!$AD$17*SUMPRODUCT(分期持仓明细!$B$17:$AA$17,'实盘净值数据(iFinD公式)'!$B419:$AA419/'实盘净值数据(iFinD公式)'!$B$20:$AA$20)*(1-实盘持仓初始配置!$Z$4)^(('实盘净值数据(iFinD公式)'!$A419-'实盘净值数据(iFinD公式)'!$A$6)/365))</x:f>
        <x:v>#NAME?</x:v>
      </x:c>
      <x:c r="C419" s="152" t="e">
        <x:f>IF(OR(B418="",B419=""),"",B419/B418-1)</x:f>
        <x:v>#NAME?</x:v>
      </x:c>
      <x:c r="D419" s="152" t="e">
        <x:f>IF(B419="","",B419/MAX(B$5:B419)-1)</x:f>
        <x:v>#NAME?</x:v>
      </x:c>
      <x:c r="E419" s="146" t="e">
        <x:f>IF(OR('实盘净值数据(iFinD公式)'!$A419="",'实盘净值数据(iFinD公式)'!$B419=""),"",分期持仓明细!$AD$18*SUMPRODUCT(分期持仓明细!$B$18:$AA$18,'实盘净值数据(iFinD公式)'!$B419:$AA419/'实盘净值数据(iFinD公式)'!$B$20:$AA$20)*(1-实盘持仓初始配置!$Z$5)^(('实盘净值数据(iFinD公式)'!$A419-'实盘净值数据(iFinD公式)'!$A$5)/365))</x:f>
        <x:v>#NAME?</x:v>
      </x:c>
      <x:c r="F419" s="152" t="e">
        <x:f>IF(OR(E418="",E419=""),"",E419/E418-1)</x:f>
        <x:v>#NAME?</x:v>
      </x:c>
      <x:c r="G419" s="152" t="e">
        <x:f>IF(E419="","",E419/MAX(E$5:E419)-1)</x:f>
        <x:v>#NAME?</x:v>
      </x:c>
      <x:c r="H419" s="146" t="e">
        <x:f>IF(OR('实盘净值数据(iFinD公式)'!$A419="",'实盘净值数据(iFinD公式)'!$B419=""),"",分期持仓明细!$AD$19*SUMPRODUCT(分期持仓明细!$B$19:$AA$19,'实盘净值数据(iFinD公式)'!$B419:$AA419/'实盘净值数据(iFinD公式)'!$B$20:$AA$20)*(1-实盘持仓初始配置!$Z$6)^(('实盘净值数据(iFinD公式)'!$A419-'实盘净值数据(iFinD公式)'!$A$7)/365))</x:f>
        <x:v>#NAME?</x:v>
      </x:c>
      <x:c r="I419" s="152" t="e">
        <x:f>IF(OR(H418="",H419=""),"",H419/H418-1)</x:f>
        <x:v>#NAME?</x:v>
      </x:c>
      <x:c r="J419" s="152" t="e">
        <x:f>IF(H419="","",H419/MAX(H$5:H419)-1)</x:f>
        <x:v>#NAME?</x:v>
      </x:c>
      <x:c r="K419" s="146" t="e">
        <x:f>IF(OR('实盘净值数据(iFinD公式)'!$A419="",'实盘净值数据(iFinD公式)'!$B419=""),"",分期持仓明细!$AD$23*SUMPRODUCT(分期持仓明细!$B$23:$AA$23,'实盘净值数据(iFinD公式)'!$B419:$AA419/'实盘净值数据(iFinD公式)'!$B$65:$AA$65)*(1-实盘持仓初始配置!$Z$7)^(('实盘净值数据(iFinD公式)'!$A419-'实盘净值数据(iFinD公式)'!$A$8)/365))</x:f>
        <x:v>#NAME?</x:v>
      </x:c>
      <x:c r="L419" s="152" t="e">
        <x:f>IF(OR(K418="",K419=""),"",K419/K418-1)</x:f>
        <x:v>#NAME?</x:v>
      </x:c>
      <x:c r="M419" s="152" t="e">
        <x:f>IF(K419="","",K419/MAX(K$5:K419)-1)</x:f>
        <x:v>#NAME?</x:v>
      </x:c>
      <x:c r="N419" s="146" t="e">
        <x:f>IF(OR('实盘净值数据(iFinD公式)'!$A419="",'实盘净值数据(iFinD公式)'!$B419=""),"",分期持仓明细!$AD$24*SUMPRODUCT(分期持仓明细!$B$24:$AA$24,'实盘净值数据(iFinD公式)'!$B419:$AA419/'实盘净值数据(iFinD公式)'!$B$65:$AA$65)*(1-实盘持仓初始配置!$Z$8)^(('实盘净值数据(iFinD公式)'!$A419-'实盘净值数据(iFinD公式)'!$A$5)/365))</x:f>
        <x:v>#NAME?</x:v>
      </x:c>
      <x:c r="O419" s="152" t="e">
        <x:f>IF(OR(N418="",N419=""),"",N419/N418-1)</x:f>
        <x:v>#NAME?</x:v>
      </x:c>
      <x:c r="P419" s="152" t="e">
        <x:f>IF(N419="","",N419/MAX(N$5:N419)-1)</x:f>
        <x:v>#NAME?</x:v>
      </x:c>
      <x:c r="Q419" s="146" t="e">
        <x:f>IF(OR('实盘净值数据(iFinD公式)'!$A419="",'实盘净值数据(iFinD公式)'!$B419=""),"",分期持仓明细!$AD$25*SUMPRODUCT(分期持仓明细!$B$25:$AA$25,'实盘净值数据(iFinD公式)'!$B419:$AA419/'实盘净值数据(iFinD公式)'!$B$65:$AA$65)*(1-实盘持仓初始配置!$Z$9)^(('实盘净值数据(iFinD公式)'!$A419-'实盘净值数据(iFinD公式)'!$A$8)/365))</x:f>
        <x:v>#NAME?</x:v>
      </x:c>
      <x:c r="R419" s="152" t="e">
        <x:f>IF(OR(Q418="",Q419=""),"",Q419/Q418-1)</x:f>
        <x:v>#NAME?</x:v>
      </x:c>
      <x:c r="S419" s="152" t="e">
        <x:f>IF(Q419="","",Q419/MAX(Q$5:Q419)-1)</x:f>
        <x:v>#NAME?</x:v>
      </x:c>
    </x:row>
    <x:row r="420">
      <x:c r="A420" s="149" t="str">
        <x:f>IF('实盘净值数据(iFinD公式)'!A420="","",'实盘净值数据(iFinD公式)'!A420)</x:f>
      </x:c>
      <x:c r="B420" s="146" t="e">
        <x:f>IF(OR('实盘净值数据(iFinD公式)'!$A420="",'实盘净值数据(iFinD公式)'!$B420=""),"",分期持仓明细!$AD$17*SUMPRODUCT(分期持仓明细!$B$17:$AA$17,'实盘净值数据(iFinD公式)'!$B420:$AA420/'实盘净值数据(iFinD公式)'!$B$20:$AA$20)*(1-实盘持仓初始配置!$Z$4)^(('实盘净值数据(iFinD公式)'!$A420-'实盘净值数据(iFinD公式)'!$A$6)/365))</x:f>
        <x:v>#NAME?</x:v>
      </x:c>
      <x:c r="C420" s="152" t="e">
        <x:f>IF(OR(B419="",B420=""),"",B420/B419-1)</x:f>
        <x:v>#NAME?</x:v>
      </x:c>
      <x:c r="D420" s="152" t="e">
        <x:f>IF(B420="","",B420/MAX(B$5:B420)-1)</x:f>
        <x:v>#NAME?</x:v>
      </x:c>
      <x:c r="E420" s="146" t="e">
        <x:f>IF(OR('实盘净值数据(iFinD公式)'!$A420="",'实盘净值数据(iFinD公式)'!$B420=""),"",分期持仓明细!$AD$18*SUMPRODUCT(分期持仓明细!$B$18:$AA$18,'实盘净值数据(iFinD公式)'!$B420:$AA420/'实盘净值数据(iFinD公式)'!$B$20:$AA$20)*(1-实盘持仓初始配置!$Z$5)^(('实盘净值数据(iFinD公式)'!$A420-'实盘净值数据(iFinD公式)'!$A$5)/365))</x:f>
        <x:v>#NAME?</x:v>
      </x:c>
      <x:c r="F420" s="152" t="e">
        <x:f>IF(OR(E419="",E420=""),"",E420/E419-1)</x:f>
        <x:v>#NAME?</x:v>
      </x:c>
      <x:c r="G420" s="152" t="e">
        <x:f>IF(E420="","",E420/MAX(E$5:E420)-1)</x:f>
        <x:v>#NAME?</x:v>
      </x:c>
      <x:c r="H420" s="146" t="e">
        <x:f>IF(OR('实盘净值数据(iFinD公式)'!$A420="",'实盘净值数据(iFinD公式)'!$B420=""),"",分期持仓明细!$AD$19*SUMPRODUCT(分期持仓明细!$B$19:$AA$19,'实盘净值数据(iFinD公式)'!$B420:$AA420/'实盘净值数据(iFinD公式)'!$B$20:$AA$20)*(1-实盘持仓初始配置!$Z$6)^(('实盘净值数据(iFinD公式)'!$A420-'实盘净值数据(iFinD公式)'!$A$7)/365))</x:f>
        <x:v>#NAME?</x:v>
      </x:c>
      <x:c r="I420" s="152" t="e">
        <x:f>IF(OR(H419="",H420=""),"",H420/H419-1)</x:f>
        <x:v>#NAME?</x:v>
      </x:c>
      <x:c r="J420" s="152" t="e">
        <x:f>IF(H420="","",H420/MAX(H$5:H420)-1)</x:f>
        <x:v>#NAME?</x:v>
      </x:c>
      <x:c r="K420" s="146" t="e">
        <x:f>IF(OR('实盘净值数据(iFinD公式)'!$A420="",'实盘净值数据(iFinD公式)'!$B420=""),"",分期持仓明细!$AD$23*SUMPRODUCT(分期持仓明细!$B$23:$AA$23,'实盘净值数据(iFinD公式)'!$B420:$AA420/'实盘净值数据(iFinD公式)'!$B$65:$AA$65)*(1-实盘持仓初始配置!$Z$7)^(('实盘净值数据(iFinD公式)'!$A420-'实盘净值数据(iFinD公式)'!$A$8)/365))</x:f>
        <x:v>#NAME?</x:v>
      </x:c>
      <x:c r="L420" s="152" t="e">
        <x:f>IF(OR(K419="",K420=""),"",K420/K419-1)</x:f>
        <x:v>#NAME?</x:v>
      </x:c>
      <x:c r="M420" s="152" t="e">
        <x:f>IF(K420="","",K420/MAX(K$5:K420)-1)</x:f>
        <x:v>#NAME?</x:v>
      </x:c>
      <x:c r="N420" s="146" t="e">
        <x:f>IF(OR('实盘净值数据(iFinD公式)'!$A420="",'实盘净值数据(iFinD公式)'!$B420=""),"",分期持仓明细!$AD$24*SUMPRODUCT(分期持仓明细!$B$24:$AA$24,'实盘净值数据(iFinD公式)'!$B420:$AA420/'实盘净值数据(iFinD公式)'!$B$65:$AA$65)*(1-实盘持仓初始配置!$Z$8)^(('实盘净值数据(iFinD公式)'!$A420-'实盘净值数据(iFinD公式)'!$A$5)/365))</x:f>
        <x:v>#NAME?</x:v>
      </x:c>
      <x:c r="O420" s="152" t="e">
        <x:f>IF(OR(N419="",N420=""),"",N420/N419-1)</x:f>
        <x:v>#NAME?</x:v>
      </x:c>
      <x:c r="P420" s="152" t="e">
        <x:f>IF(N420="","",N420/MAX(N$5:N420)-1)</x:f>
        <x:v>#NAME?</x:v>
      </x:c>
      <x:c r="Q420" s="146" t="e">
        <x:f>IF(OR('实盘净值数据(iFinD公式)'!$A420="",'实盘净值数据(iFinD公式)'!$B420=""),"",分期持仓明细!$AD$25*SUMPRODUCT(分期持仓明细!$B$25:$AA$25,'实盘净值数据(iFinD公式)'!$B420:$AA420/'实盘净值数据(iFinD公式)'!$B$65:$AA$65)*(1-实盘持仓初始配置!$Z$9)^(('实盘净值数据(iFinD公式)'!$A420-'实盘净值数据(iFinD公式)'!$A$8)/365))</x:f>
        <x:v>#NAME?</x:v>
      </x:c>
      <x:c r="R420" s="152" t="e">
        <x:f>IF(OR(Q419="",Q420=""),"",Q420/Q419-1)</x:f>
        <x:v>#NAME?</x:v>
      </x:c>
      <x:c r="S420" s="152" t="e">
        <x:f>IF(Q420="","",Q420/MAX(Q$5:Q420)-1)</x:f>
        <x:v>#NAME?</x:v>
      </x:c>
    </x:row>
    <x:row r="421">
      <x:c r="A421" s="149" t="str">
        <x:f>IF('实盘净值数据(iFinD公式)'!A421="","",'实盘净值数据(iFinD公式)'!A421)</x:f>
      </x:c>
      <x:c r="B421" s="146" t="e">
        <x:f>IF(OR('实盘净值数据(iFinD公式)'!$A421="",'实盘净值数据(iFinD公式)'!$B421=""),"",分期持仓明细!$AD$17*SUMPRODUCT(分期持仓明细!$B$17:$AA$17,'实盘净值数据(iFinD公式)'!$B421:$AA421/'实盘净值数据(iFinD公式)'!$B$20:$AA$20)*(1-实盘持仓初始配置!$Z$4)^(('实盘净值数据(iFinD公式)'!$A421-'实盘净值数据(iFinD公式)'!$A$6)/365))</x:f>
        <x:v>#NAME?</x:v>
      </x:c>
      <x:c r="C421" s="152" t="e">
        <x:f>IF(OR(B420="",B421=""),"",B421/B420-1)</x:f>
        <x:v>#NAME?</x:v>
      </x:c>
      <x:c r="D421" s="152" t="e">
        <x:f>IF(B421="","",B421/MAX(B$5:B421)-1)</x:f>
        <x:v>#NAME?</x:v>
      </x:c>
      <x:c r="E421" s="146" t="e">
        <x:f>IF(OR('实盘净值数据(iFinD公式)'!$A421="",'实盘净值数据(iFinD公式)'!$B421=""),"",分期持仓明细!$AD$18*SUMPRODUCT(分期持仓明细!$B$18:$AA$18,'实盘净值数据(iFinD公式)'!$B421:$AA421/'实盘净值数据(iFinD公式)'!$B$20:$AA$20)*(1-实盘持仓初始配置!$Z$5)^(('实盘净值数据(iFinD公式)'!$A421-'实盘净值数据(iFinD公式)'!$A$5)/365))</x:f>
        <x:v>#NAME?</x:v>
      </x:c>
      <x:c r="F421" s="152" t="e">
        <x:f>IF(OR(E420="",E421=""),"",E421/E420-1)</x:f>
        <x:v>#NAME?</x:v>
      </x:c>
      <x:c r="G421" s="152" t="e">
        <x:f>IF(E421="","",E421/MAX(E$5:E421)-1)</x:f>
        <x:v>#NAME?</x:v>
      </x:c>
      <x:c r="H421" s="146" t="e">
        <x:f>IF(OR('实盘净值数据(iFinD公式)'!$A421="",'实盘净值数据(iFinD公式)'!$B421=""),"",分期持仓明细!$AD$19*SUMPRODUCT(分期持仓明细!$B$19:$AA$19,'实盘净值数据(iFinD公式)'!$B421:$AA421/'实盘净值数据(iFinD公式)'!$B$20:$AA$20)*(1-实盘持仓初始配置!$Z$6)^(('实盘净值数据(iFinD公式)'!$A421-'实盘净值数据(iFinD公式)'!$A$7)/365))</x:f>
        <x:v>#NAME?</x:v>
      </x:c>
      <x:c r="I421" s="152" t="e">
        <x:f>IF(OR(H420="",H421=""),"",H421/H420-1)</x:f>
        <x:v>#NAME?</x:v>
      </x:c>
      <x:c r="J421" s="152" t="e">
        <x:f>IF(H421="","",H421/MAX(H$5:H421)-1)</x:f>
        <x:v>#NAME?</x:v>
      </x:c>
      <x:c r="K421" s="146" t="e">
        <x:f>IF(OR('实盘净值数据(iFinD公式)'!$A421="",'实盘净值数据(iFinD公式)'!$B421=""),"",分期持仓明细!$AD$23*SUMPRODUCT(分期持仓明细!$B$23:$AA$23,'实盘净值数据(iFinD公式)'!$B421:$AA421/'实盘净值数据(iFinD公式)'!$B$65:$AA$65)*(1-实盘持仓初始配置!$Z$7)^(('实盘净值数据(iFinD公式)'!$A421-'实盘净值数据(iFinD公式)'!$A$8)/365))</x:f>
        <x:v>#NAME?</x:v>
      </x:c>
      <x:c r="L421" s="152" t="e">
        <x:f>IF(OR(K420="",K421=""),"",K421/K420-1)</x:f>
        <x:v>#NAME?</x:v>
      </x:c>
      <x:c r="M421" s="152" t="e">
        <x:f>IF(K421="","",K421/MAX(K$5:K421)-1)</x:f>
        <x:v>#NAME?</x:v>
      </x:c>
      <x:c r="N421" s="146" t="e">
        <x:f>IF(OR('实盘净值数据(iFinD公式)'!$A421="",'实盘净值数据(iFinD公式)'!$B421=""),"",分期持仓明细!$AD$24*SUMPRODUCT(分期持仓明细!$B$24:$AA$24,'实盘净值数据(iFinD公式)'!$B421:$AA421/'实盘净值数据(iFinD公式)'!$B$65:$AA$65)*(1-实盘持仓初始配置!$Z$8)^(('实盘净值数据(iFinD公式)'!$A421-'实盘净值数据(iFinD公式)'!$A$5)/365))</x:f>
        <x:v>#NAME?</x:v>
      </x:c>
      <x:c r="O421" s="152" t="e">
        <x:f>IF(OR(N420="",N421=""),"",N421/N420-1)</x:f>
        <x:v>#NAME?</x:v>
      </x:c>
      <x:c r="P421" s="152" t="e">
        <x:f>IF(N421="","",N421/MAX(N$5:N421)-1)</x:f>
        <x:v>#NAME?</x:v>
      </x:c>
      <x:c r="Q421" s="146" t="e">
        <x:f>IF(OR('实盘净值数据(iFinD公式)'!$A421="",'实盘净值数据(iFinD公式)'!$B421=""),"",分期持仓明细!$AD$25*SUMPRODUCT(分期持仓明细!$B$25:$AA$25,'实盘净值数据(iFinD公式)'!$B421:$AA421/'实盘净值数据(iFinD公式)'!$B$65:$AA$65)*(1-实盘持仓初始配置!$Z$9)^(('实盘净值数据(iFinD公式)'!$A421-'实盘净值数据(iFinD公式)'!$A$8)/365))</x:f>
        <x:v>#NAME?</x:v>
      </x:c>
      <x:c r="R421" s="152" t="e">
        <x:f>IF(OR(Q420="",Q421=""),"",Q421/Q420-1)</x:f>
        <x:v>#NAME?</x:v>
      </x:c>
      <x:c r="S421" s="152" t="e">
        <x:f>IF(Q421="","",Q421/MAX(Q$5:Q421)-1)</x:f>
        <x:v>#NAME?</x:v>
      </x:c>
    </x:row>
    <x:row r="422">
      <x:c r="A422" s="149" t="str">
        <x:f>IF('实盘净值数据(iFinD公式)'!A422="","",'实盘净值数据(iFinD公式)'!A422)</x:f>
      </x:c>
      <x:c r="B422" s="146" t="e">
        <x:f>IF(OR('实盘净值数据(iFinD公式)'!$A422="",'实盘净值数据(iFinD公式)'!$B422=""),"",分期持仓明细!$AD$17*SUMPRODUCT(分期持仓明细!$B$17:$AA$17,'实盘净值数据(iFinD公式)'!$B422:$AA422/'实盘净值数据(iFinD公式)'!$B$20:$AA$20)*(1-实盘持仓初始配置!$Z$4)^(('实盘净值数据(iFinD公式)'!$A422-'实盘净值数据(iFinD公式)'!$A$6)/365))</x:f>
        <x:v>#NAME?</x:v>
      </x:c>
      <x:c r="C422" s="152" t="e">
        <x:f>IF(OR(B421="",B422=""),"",B422/B421-1)</x:f>
        <x:v>#NAME?</x:v>
      </x:c>
      <x:c r="D422" s="152" t="e">
        <x:f>IF(B422="","",B422/MAX(B$5:B422)-1)</x:f>
        <x:v>#NAME?</x:v>
      </x:c>
      <x:c r="E422" s="146" t="e">
        <x:f>IF(OR('实盘净值数据(iFinD公式)'!$A422="",'实盘净值数据(iFinD公式)'!$B422=""),"",分期持仓明细!$AD$18*SUMPRODUCT(分期持仓明细!$B$18:$AA$18,'实盘净值数据(iFinD公式)'!$B422:$AA422/'实盘净值数据(iFinD公式)'!$B$20:$AA$20)*(1-实盘持仓初始配置!$Z$5)^(('实盘净值数据(iFinD公式)'!$A422-'实盘净值数据(iFinD公式)'!$A$5)/365))</x:f>
        <x:v>#NAME?</x:v>
      </x:c>
      <x:c r="F422" s="152" t="e">
        <x:f>IF(OR(E421="",E422=""),"",E422/E421-1)</x:f>
        <x:v>#NAME?</x:v>
      </x:c>
      <x:c r="G422" s="152" t="e">
        <x:f>IF(E422="","",E422/MAX(E$5:E422)-1)</x:f>
        <x:v>#NAME?</x:v>
      </x:c>
      <x:c r="H422" s="146" t="e">
        <x:f>IF(OR('实盘净值数据(iFinD公式)'!$A422="",'实盘净值数据(iFinD公式)'!$B422=""),"",分期持仓明细!$AD$19*SUMPRODUCT(分期持仓明细!$B$19:$AA$19,'实盘净值数据(iFinD公式)'!$B422:$AA422/'实盘净值数据(iFinD公式)'!$B$20:$AA$20)*(1-实盘持仓初始配置!$Z$6)^(('实盘净值数据(iFinD公式)'!$A422-'实盘净值数据(iFinD公式)'!$A$7)/365))</x:f>
        <x:v>#NAME?</x:v>
      </x:c>
      <x:c r="I422" s="152" t="e">
        <x:f>IF(OR(H421="",H422=""),"",H422/H421-1)</x:f>
        <x:v>#NAME?</x:v>
      </x:c>
      <x:c r="J422" s="152" t="e">
        <x:f>IF(H422="","",H422/MAX(H$5:H422)-1)</x:f>
        <x:v>#NAME?</x:v>
      </x:c>
      <x:c r="K422" s="146" t="e">
        <x:f>IF(OR('实盘净值数据(iFinD公式)'!$A422="",'实盘净值数据(iFinD公式)'!$B422=""),"",分期持仓明细!$AD$23*SUMPRODUCT(分期持仓明细!$B$23:$AA$23,'实盘净值数据(iFinD公式)'!$B422:$AA422/'实盘净值数据(iFinD公式)'!$B$65:$AA$65)*(1-实盘持仓初始配置!$Z$7)^(('实盘净值数据(iFinD公式)'!$A422-'实盘净值数据(iFinD公式)'!$A$8)/365))</x:f>
        <x:v>#NAME?</x:v>
      </x:c>
      <x:c r="L422" s="152" t="e">
        <x:f>IF(OR(K421="",K422=""),"",K422/K421-1)</x:f>
        <x:v>#NAME?</x:v>
      </x:c>
      <x:c r="M422" s="152" t="e">
        <x:f>IF(K422="","",K422/MAX(K$5:K422)-1)</x:f>
        <x:v>#NAME?</x:v>
      </x:c>
      <x:c r="N422" s="146" t="e">
        <x:f>IF(OR('实盘净值数据(iFinD公式)'!$A422="",'实盘净值数据(iFinD公式)'!$B422=""),"",分期持仓明细!$AD$24*SUMPRODUCT(分期持仓明细!$B$24:$AA$24,'实盘净值数据(iFinD公式)'!$B422:$AA422/'实盘净值数据(iFinD公式)'!$B$65:$AA$65)*(1-实盘持仓初始配置!$Z$8)^(('实盘净值数据(iFinD公式)'!$A422-'实盘净值数据(iFinD公式)'!$A$5)/365))</x:f>
        <x:v>#NAME?</x:v>
      </x:c>
      <x:c r="O422" s="152" t="e">
        <x:f>IF(OR(N421="",N422=""),"",N422/N421-1)</x:f>
        <x:v>#NAME?</x:v>
      </x:c>
      <x:c r="P422" s="152" t="e">
        <x:f>IF(N422="","",N422/MAX(N$5:N422)-1)</x:f>
        <x:v>#NAME?</x:v>
      </x:c>
      <x:c r="Q422" s="146" t="e">
        <x:f>IF(OR('实盘净值数据(iFinD公式)'!$A422="",'实盘净值数据(iFinD公式)'!$B422=""),"",分期持仓明细!$AD$25*SUMPRODUCT(分期持仓明细!$B$25:$AA$25,'实盘净值数据(iFinD公式)'!$B422:$AA422/'实盘净值数据(iFinD公式)'!$B$65:$AA$65)*(1-实盘持仓初始配置!$Z$9)^(('实盘净值数据(iFinD公式)'!$A422-'实盘净值数据(iFinD公式)'!$A$8)/365))</x:f>
        <x:v>#NAME?</x:v>
      </x:c>
      <x:c r="R422" s="152" t="e">
        <x:f>IF(OR(Q421="",Q422=""),"",Q422/Q421-1)</x:f>
        <x:v>#NAME?</x:v>
      </x:c>
      <x:c r="S422" s="152" t="e">
        <x:f>IF(Q422="","",Q422/MAX(Q$5:Q422)-1)</x:f>
        <x:v>#NAME?</x:v>
      </x:c>
    </x:row>
    <x:row r="423">
      <x:c r="A423" s="149" t="str">
        <x:f>IF('实盘净值数据(iFinD公式)'!A423="","",'实盘净值数据(iFinD公式)'!A423)</x:f>
      </x:c>
      <x:c r="B423" s="146" t="e">
        <x:f>IF(OR('实盘净值数据(iFinD公式)'!$A423="",'实盘净值数据(iFinD公式)'!$B423=""),"",分期持仓明细!$AD$17*SUMPRODUCT(分期持仓明细!$B$17:$AA$17,'实盘净值数据(iFinD公式)'!$B423:$AA423/'实盘净值数据(iFinD公式)'!$B$20:$AA$20)*(1-实盘持仓初始配置!$Z$4)^(('实盘净值数据(iFinD公式)'!$A423-'实盘净值数据(iFinD公式)'!$A$6)/365))</x:f>
        <x:v>#NAME?</x:v>
      </x:c>
      <x:c r="C423" s="152" t="e">
        <x:f>IF(OR(B422="",B423=""),"",B423/B422-1)</x:f>
        <x:v>#NAME?</x:v>
      </x:c>
      <x:c r="D423" s="152" t="e">
        <x:f>IF(B423="","",B423/MAX(B$5:B423)-1)</x:f>
        <x:v>#NAME?</x:v>
      </x:c>
      <x:c r="E423" s="146" t="e">
        <x:f>IF(OR('实盘净值数据(iFinD公式)'!$A423="",'实盘净值数据(iFinD公式)'!$B423=""),"",分期持仓明细!$AD$18*SUMPRODUCT(分期持仓明细!$B$18:$AA$18,'实盘净值数据(iFinD公式)'!$B423:$AA423/'实盘净值数据(iFinD公式)'!$B$20:$AA$20)*(1-实盘持仓初始配置!$Z$5)^(('实盘净值数据(iFinD公式)'!$A423-'实盘净值数据(iFinD公式)'!$A$5)/365))</x:f>
        <x:v>#NAME?</x:v>
      </x:c>
      <x:c r="F423" s="152" t="e">
        <x:f>IF(OR(E422="",E423=""),"",E423/E422-1)</x:f>
        <x:v>#NAME?</x:v>
      </x:c>
      <x:c r="G423" s="152" t="e">
        <x:f>IF(E423="","",E423/MAX(E$5:E423)-1)</x:f>
        <x:v>#NAME?</x:v>
      </x:c>
      <x:c r="H423" s="146" t="e">
        <x:f>IF(OR('实盘净值数据(iFinD公式)'!$A423="",'实盘净值数据(iFinD公式)'!$B423=""),"",分期持仓明细!$AD$19*SUMPRODUCT(分期持仓明细!$B$19:$AA$19,'实盘净值数据(iFinD公式)'!$B423:$AA423/'实盘净值数据(iFinD公式)'!$B$20:$AA$20)*(1-实盘持仓初始配置!$Z$6)^(('实盘净值数据(iFinD公式)'!$A423-'实盘净值数据(iFinD公式)'!$A$7)/365))</x:f>
        <x:v>#NAME?</x:v>
      </x:c>
      <x:c r="I423" s="152" t="e">
        <x:f>IF(OR(H422="",H423=""),"",H423/H422-1)</x:f>
        <x:v>#NAME?</x:v>
      </x:c>
      <x:c r="J423" s="152" t="e">
        <x:f>IF(H423="","",H423/MAX(H$5:H423)-1)</x:f>
        <x:v>#NAME?</x:v>
      </x:c>
      <x:c r="K423" s="146" t="e">
        <x:f>IF(OR('实盘净值数据(iFinD公式)'!$A423="",'实盘净值数据(iFinD公式)'!$B423=""),"",分期持仓明细!$AD$23*SUMPRODUCT(分期持仓明细!$B$23:$AA$23,'实盘净值数据(iFinD公式)'!$B423:$AA423/'实盘净值数据(iFinD公式)'!$B$65:$AA$65)*(1-实盘持仓初始配置!$Z$7)^(('实盘净值数据(iFinD公式)'!$A423-'实盘净值数据(iFinD公式)'!$A$8)/365))</x:f>
        <x:v>#NAME?</x:v>
      </x:c>
      <x:c r="L423" s="152" t="e">
        <x:f>IF(OR(K422="",K423=""),"",K423/K422-1)</x:f>
        <x:v>#NAME?</x:v>
      </x:c>
      <x:c r="M423" s="152" t="e">
        <x:f>IF(K423="","",K423/MAX(K$5:K423)-1)</x:f>
        <x:v>#NAME?</x:v>
      </x:c>
      <x:c r="N423" s="146" t="e">
        <x:f>IF(OR('实盘净值数据(iFinD公式)'!$A423="",'实盘净值数据(iFinD公式)'!$B423=""),"",分期持仓明细!$AD$24*SUMPRODUCT(分期持仓明细!$B$24:$AA$24,'实盘净值数据(iFinD公式)'!$B423:$AA423/'实盘净值数据(iFinD公式)'!$B$65:$AA$65)*(1-实盘持仓初始配置!$Z$8)^(('实盘净值数据(iFinD公式)'!$A423-'实盘净值数据(iFinD公式)'!$A$5)/365))</x:f>
        <x:v>#NAME?</x:v>
      </x:c>
      <x:c r="O423" s="152" t="e">
        <x:f>IF(OR(N422="",N423=""),"",N423/N422-1)</x:f>
        <x:v>#NAME?</x:v>
      </x:c>
      <x:c r="P423" s="152" t="e">
        <x:f>IF(N423="","",N423/MAX(N$5:N423)-1)</x:f>
        <x:v>#NAME?</x:v>
      </x:c>
      <x:c r="Q423" s="146" t="e">
        <x:f>IF(OR('实盘净值数据(iFinD公式)'!$A423="",'实盘净值数据(iFinD公式)'!$B423=""),"",分期持仓明细!$AD$25*SUMPRODUCT(分期持仓明细!$B$25:$AA$25,'实盘净值数据(iFinD公式)'!$B423:$AA423/'实盘净值数据(iFinD公式)'!$B$65:$AA$65)*(1-实盘持仓初始配置!$Z$9)^(('实盘净值数据(iFinD公式)'!$A423-'实盘净值数据(iFinD公式)'!$A$8)/365))</x:f>
        <x:v>#NAME?</x:v>
      </x:c>
      <x:c r="R423" s="152" t="e">
        <x:f>IF(OR(Q422="",Q423=""),"",Q423/Q422-1)</x:f>
        <x:v>#NAME?</x:v>
      </x:c>
      <x:c r="S423" s="152" t="e">
        <x:f>IF(Q423="","",Q423/MAX(Q$5:Q423)-1)</x:f>
        <x:v>#NAME?</x:v>
      </x:c>
    </x:row>
    <x:row r="424">
      <x:c r="A424" s="149" t="str">
        <x:f>IF('实盘净值数据(iFinD公式)'!A424="","",'实盘净值数据(iFinD公式)'!A424)</x:f>
      </x:c>
      <x:c r="B424" s="146" t="e">
        <x:f>IF(OR('实盘净值数据(iFinD公式)'!$A424="",'实盘净值数据(iFinD公式)'!$B424=""),"",分期持仓明细!$AD$17*SUMPRODUCT(分期持仓明细!$B$17:$AA$17,'实盘净值数据(iFinD公式)'!$B424:$AA424/'实盘净值数据(iFinD公式)'!$B$20:$AA$20)*(1-实盘持仓初始配置!$Z$4)^(('实盘净值数据(iFinD公式)'!$A424-'实盘净值数据(iFinD公式)'!$A$6)/365))</x:f>
        <x:v>#NAME?</x:v>
      </x:c>
      <x:c r="C424" s="152" t="e">
        <x:f>IF(OR(B423="",B424=""),"",B424/B423-1)</x:f>
        <x:v>#NAME?</x:v>
      </x:c>
      <x:c r="D424" s="152" t="e">
        <x:f>IF(B424="","",B424/MAX(B$5:B424)-1)</x:f>
        <x:v>#NAME?</x:v>
      </x:c>
      <x:c r="E424" s="146" t="e">
        <x:f>IF(OR('实盘净值数据(iFinD公式)'!$A424="",'实盘净值数据(iFinD公式)'!$B424=""),"",分期持仓明细!$AD$18*SUMPRODUCT(分期持仓明细!$B$18:$AA$18,'实盘净值数据(iFinD公式)'!$B424:$AA424/'实盘净值数据(iFinD公式)'!$B$20:$AA$20)*(1-实盘持仓初始配置!$Z$5)^(('实盘净值数据(iFinD公式)'!$A424-'实盘净值数据(iFinD公式)'!$A$5)/365))</x:f>
        <x:v>#NAME?</x:v>
      </x:c>
      <x:c r="F424" s="152" t="e">
        <x:f>IF(OR(E423="",E424=""),"",E424/E423-1)</x:f>
        <x:v>#NAME?</x:v>
      </x:c>
      <x:c r="G424" s="152" t="e">
        <x:f>IF(E424="","",E424/MAX(E$5:E424)-1)</x:f>
        <x:v>#NAME?</x:v>
      </x:c>
      <x:c r="H424" s="146" t="e">
        <x:f>IF(OR('实盘净值数据(iFinD公式)'!$A424="",'实盘净值数据(iFinD公式)'!$B424=""),"",分期持仓明细!$AD$19*SUMPRODUCT(分期持仓明细!$B$19:$AA$19,'实盘净值数据(iFinD公式)'!$B424:$AA424/'实盘净值数据(iFinD公式)'!$B$20:$AA$20)*(1-实盘持仓初始配置!$Z$6)^(('实盘净值数据(iFinD公式)'!$A424-'实盘净值数据(iFinD公式)'!$A$7)/365))</x:f>
        <x:v>#NAME?</x:v>
      </x:c>
      <x:c r="I424" s="152" t="e">
        <x:f>IF(OR(H423="",H424=""),"",H424/H423-1)</x:f>
        <x:v>#NAME?</x:v>
      </x:c>
      <x:c r="J424" s="152" t="e">
        <x:f>IF(H424="","",H424/MAX(H$5:H424)-1)</x:f>
        <x:v>#NAME?</x:v>
      </x:c>
      <x:c r="K424" s="146" t="e">
        <x:f>IF(OR('实盘净值数据(iFinD公式)'!$A424="",'实盘净值数据(iFinD公式)'!$B424=""),"",分期持仓明细!$AD$23*SUMPRODUCT(分期持仓明细!$B$23:$AA$23,'实盘净值数据(iFinD公式)'!$B424:$AA424/'实盘净值数据(iFinD公式)'!$B$65:$AA$65)*(1-实盘持仓初始配置!$Z$7)^(('实盘净值数据(iFinD公式)'!$A424-'实盘净值数据(iFinD公式)'!$A$8)/365))</x:f>
        <x:v>#NAME?</x:v>
      </x:c>
      <x:c r="L424" s="152" t="e">
        <x:f>IF(OR(K423="",K424=""),"",K424/K423-1)</x:f>
        <x:v>#NAME?</x:v>
      </x:c>
      <x:c r="M424" s="152" t="e">
        <x:f>IF(K424="","",K424/MAX(K$5:K424)-1)</x:f>
        <x:v>#NAME?</x:v>
      </x:c>
      <x:c r="N424" s="146" t="e">
        <x:f>IF(OR('实盘净值数据(iFinD公式)'!$A424="",'实盘净值数据(iFinD公式)'!$B424=""),"",分期持仓明细!$AD$24*SUMPRODUCT(分期持仓明细!$B$24:$AA$24,'实盘净值数据(iFinD公式)'!$B424:$AA424/'实盘净值数据(iFinD公式)'!$B$65:$AA$65)*(1-实盘持仓初始配置!$Z$8)^(('实盘净值数据(iFinD公式)'!$A424-'实盘净值数据(iFinD公式)'!$A$5)/365))</x:f>
        <x:v>#NAME?</x:v>
      </x:c>
      <x:c r="O424" s="152" t="e">
        <x:f>IF(OR(N423="",N424=""),"",N424/N423-1)</x:f>
        <x:v>#NAME?</x:v>
      </x:c>
      <x:c r="P424" s="152" t="e">
        <x:f>IF(N424="","",N424/MAX(N$5:N424)-1)</x:f>
        <x:v>#NAME?</x:v>
      </x:c>
      <x:c r="Q424" s="146" t="e">
        <x:f>IF(OR('实盘净值数据(iFinD公式)'!$A424="",'实盘净值数据(iFinD公式)'!$B424=""),"",分期持仓明细!$AD$25*SUMPRODUCT(分期持仓明细!$B$25:$AA$25,'实盘净值数据(iFinD公式)'!$B424:$AA424/'实盘净值数据(iFinD公式)'!$B$65:$AA$65)*(1-实盘持仓初始配置!$Z$9)^(('实盘净值数据(iFinD公式)'!$A424-'实盘净值数据(iFinD公式)'!$A$8)/365))</x:f>
        <x:v>#NAME?</x:v>
      </x:c>
      <x:c r="R424" s="152" t="e">
        <x:f>IF(OR(Q423="",Q424=""),"",Q424/Q423-1)</x:f>
        <x:v>#NAME?</x:v>
      </x:c>
      <x:c r="S424" s="152" t="e">
        <x:f>IF(Q424="","",Q424/MAX(Q$5:Q424)-1)</x:f>
        <x:v>#NAME?</x:v>
      </x:c>
    </x:row>
    <x:row r="425">
      <x:c r="A425" s="149" t="str">
        <x:f>IF('实盘净值数据(iFinD公式)'!A425="","",'实盘净值数据(iFinD公式)'!A425)</x:f>
      </x:c>
      <x:c r="B425" s="146" t="e">
        <x:f>IF(OR('实盘净值数据(iFinD公式)'!$A425="",'实盘净值数据(iFinD公式)'!$B425=""),"",分期持仓明细!$AD$17*SUMPRODUCT(分期持仓明细!$B$17:$AA$17,'实盘净值数据(iFinD公式)'!$B425:$AA425/'实盘净值数据(iFinD公式)'!$B$20:$AA$20)*(1-实盘持仓初始配置!$Z$4)^(('实盘净值数据(iFinD公式)'!$A425-'实盘净值数据(iFinD公式)'!$A$6)/365))</x:f>
        <x:v>#NAME?</x:v>
      </x:c>
      <x:c r="C425" s="152" t="e">
        <x:f>IF(OR(B424="",B425=""),"",B425/B424-1)</x:f>
        <x:v>#NAME?</x:v>
      </x:c>
      <x:c r="D425" s="152" t="e">
        <x:f>IF(B425="","",B425/MAX(B$5:B425)-1)</x:f>
        <x:v>#NAME?</x:v>
      </x:c>
      <x:c r="E425" s="146" t="e">
        <x:f>IF(OR('实盘净值数据(iFinD公式)'!$A425="",'实盘净值数据(iFinD公式)'!$B425=""),"",分期持仓明细!$AD$18*SUMPRODUCT(分期持仓明细!$B$18:$AA$18,'实盘净值数据(iFinD公式)'!$B425:$AA425/'实盘净值数据(iFinD公式)'!$B$20:$AA$20)*(1-实盘持仓初始配置!$Z$5)^(('实盘净值数据(iFinD公式)'!$A425-'实盘净值数据(iFinD公式)'!$A$5)/365))</x:f>
        <x:v>#NAME?</x:v>
      </x:c>
      <x:c r="F425" s="152" t="e">
        <x:f>IF(OR(E424="",E425=""),"",E425/E424-1)</x:f>
        <x:v>#NAME?</x:v>
      </x:c>
      <x:c r="G425" s="152" t="e">
        <x:f>IF(E425="","",E425/MAX(E$5:E425)-1)</x:f>
        <x:v>#NAME?</x:v>
      </x:c>
      <x:c r="H425" s="146" t="e">
        <x:f>IF(OR('实盘净值数据(iFinD公式)'!$A425="",'实盘净值数据(iFinD公式)'!$B425=""),"",分期持仓明细!$AD$19*SUMPRODUCT(分期持仓明细!$B$19:$AA$19,'实盘净值数据(iFinD公式)'!$B425:$AA425/'实盘净值数据(iFinD公式)'!$B$20:$AA$20)*(1-实盘持仓初始配置!$Z$6)^(('实盘净值数据(iFinD公式)'!$A425-'实盘净值数据(iFinD公式)'!$A$7)/365))</x:f>
        <x:v>#NAME?</x:v>
      </x:c>
      <x:c r="I425" s="152" t="e">
        <x:f>IF(OR(H424="",H425=""),"",H425/H424-1)</x:f>
        <x:v>#NAME?</x:v>
      </x:c>
      <x:c r="J425" s="152" t="e">
        <x:f>IF(H425="","",H425/MAX(H$5:H425)-1)</x:f>
        <x:v>#NAME?</x:v>
      </x:c>
      <x:c r="K425" s="146" t="e">
        <x:f>IF(OR('实盘净值数据(iFinD公式)'!$A425="",'实盘净值数据(iFinD公式)'!$B425=""),"",分期持仓明细!$AD$23*SUMPRODUCT(分期持仓明细!$B$23:$AA$23,'实盘净值数据(iFinD公式)'!$B425:$AA425/'实盘净值数据(iFinD公式)'!$B$65:$AA$65)*(1-实盘持仓初始配置!$Z$7)^(('实盘净值数据(iFinD公式)'!$A425-'实盘净值数据(iFinD公式)'!$A$8)/365))</x:f>
        <x:v>#NAME?</x:v>
      </x:c>
      <x:c r="L425" s="152" t="e">
        <x:f>IF(OR(K424="",K425=""),"",K425/K424-1)</x:f>
        <x:v>#NAME?</x:v>
      </x:c>
      <x:c r="M425" s="152" t="e">
        <x:f>IF(K425="","",K425/MAX(K$5:K425)-1)</x:f>
        <x:v>#NAME?</x:v>
      </x:c>
      <x:c r="N425" s="146" t="e">
        <x:f>IF(OR('实盘净值数据(iFinD公式)'!$A425="",'实盘净值数据(iFinD公式)'!$B425=""),"",分期持仓明细!$AD$24*SUMPRODUCT(分期持仓明细!$B$24:$AA$24,'实盘净值数据(iFinD公式)'!$B425:$AA425/'实盘净值数据(iFinD公式)'!$B$65:$AA$65)*(1-实盘持仓初始配置!$Z$8)^(('实盘净值数据(iFinD公式)'!$A425-'实盘净值数据(iFinD公式)'!$A$5)/365))</x:f>
        <x:v>#NAME?</x:v>
      </x:c>
      <x:c r="O425" s="152" t="e">
        <x:f>IF(OR(N424="",N425=""),"",N425/N424-1)</x:f>
        <x:v>#NAME?</x:v>
      </x:c>
      <x:c r="P425" s="152" t="e">
        <x:f>IF(N425="","",N425/MAX(N$5:N425)-1)</x:f>
        <x:v>#NAME?</x:v>
      </x:c>
      <x:c r="Q425" s="146" t="e">
        <x:f>IF(OR('实盘净值数据(iFinD公式)'!$A425="",'实盘净值数据(iFinD公式)'!$B425=""),"",分期持仓明细!$AD$25*SUMPRODUCT(分期持仓明细!$B$25:$AA$25,'实盘净值数据(iFinD公式)'!$B425:$AA425/'实盘净值数据(iFinD公式)'!$B$65:$AA$65)*(1-实盘持仓初始配置!$Z$9)^(('实盘净值数据(iFinD公式)'!$A425-'实盘净值数据(iFinD公式)'!$A$8)/365))</x:f>
        <x:v>#NAME?</x:v>
      </x:c>
      <x:c r="R425" s="152" t="e">
        <x:f>IF(OR(Q424="",Q425=""),"",Q425/Q424-1)</x:f>
        <x:v>#NAME?</x:v>
      </x:c>
      <x:c r="S425" s="152" t="e">
        <x:f>IF(Q425="","",Q425/MAX(Q$5:Q425)-1)</x:f>
        <x:v>#NAME?</x:v>
      </x:c>
    </x:row>
    <x:row r="426">
      <x:c r="A426" s="149" t="str">
        <x:f>IF('实盘净值数据(iFinD公式)'!A426="","",'实盘净值数据(iFinD公式)'!A426)</x:f>
      </x:c>
      <x:c r="B426" s="146" t="e">
        <x:f>IF(OR('实盘净值数据(iFinD公式)'!$A426="",'实盘净值数据(iFinD公式)'!$B426=""),"",分期持仓明细!$AD$17*SUMPRODUCT(分期持仓明细!$B$17:$AA$17,'实盘净值数据(iFinD公式)'!$B426:$AA426/'实盘净值数据(iFinD公式)'!$B$20:$AA$20)*(1-实盘持仓初始配置!$Z$4)^(('实盘净值数据(iFinD公式)'!$A426-'实盘净值数据(iFinD公式)'!$A$6)/365))</x:f>
        <x:v>#NAME?</x:v>
      </x:c>
      <x:c r="C426" s="152" t="e">
        <x:f>IF(OR(B425="",B426=""),"",B426/B425-1)</x:f>
        <x:v>#NAME?</x:v>
      </x:c>
      <x:c r="D426" s="152" t="e">
        <x:f>IF(B426="","",B426/MAX(B$5:B426)-1)</x:f>
        <x:v>#NAME?</x:v>
      </x:c>
      <x:c r="E426" s="146" t="e">
        <x:f>IF(OR('实盘净值数据(iFinD公式)'!$A426="",'实盘净值数据(iFinD公式)'!$B426=""),"",分期持仓明细!$AD$18*SUMPRODUCT(分期持仓明细!$B$18:$AA$18,'实盘净值数据(iFinD公式)'!$B426:$AA426/'实盘净值数据(iFinD公式)'!$B$20:$AA$20)*(1-实盘持仓初始配置!$Z$5)^(('实盘净值数据(iFinD公式)'!$A426-'实盘净值数据(iFinD公式)'!$A$5)/365))</x:f>
        <x:v>#NAME?</x:v>
      </x:c>
      <x:c r="F426" s="152" t="e">
        <x:f>IF(OR(E425="",E426=""),"",E426/E425-1)</x:f>
        <x:v>#NAME?</x:v>
      </x:c>
      <x:c r="G426" s="152" t="e">
        <x:f>IF(E426="","",E426/MAX(E$5:E426)-1)</x:f>
        <x:v>#NAME?</x:v>
      </x:c>
      <x:c r="H426" s="146" t="e">
        <x:f>IF(OR('实盘净值数据(iFinD公式)'!$A426="",'实盘净值数据(iFinD公式)'!$B426=""),"",分期持仓明细!$AD$19*SUMPRODUCT(分期持仓明细!$B$19:$AA$19,'实盘净值数据(iFinD公式)'!$B426:$AA426/'实盘净值数据(iFinD公式)'!$B$20:$AA$20)*(1-实盘持仓初始配置!$Z$6)^(('实盘净值数据(iFinD公式)'!$A426-'实盘净值数据(iFinD公式)'!$A$7)/365))</x:f>
        <x:v>#NAME?</x:v>
      </x:c>
      <x:c r="I426" s="152" t="e">
        <x:f>IF(OR(H425="",H426=""),"",H426/H425-1)</x:f>
        <x:v>#NAME?</x:v>
      </x:c>
      <x:c r="J426" s="152" t="e">
        <x:f>IF(H426="","",H426/MAX(H$5:H426)-1)</x:f>
        <x:v>#NAME?</x:v>
      </x:c>
      <x:c r="K426" s="146" t="e">
        <x:f>IF(OR('实盘净值数据(iFinD公式)'!$A426="",'实盘净值数据(iFinD公式)'!$B426=""),"",分期持仓明细!$AD$23*SUMPRODUCT(分期持仓明细!$B$23:$AA$23,'实盘净值数据(iFinD公式)'!$B426:$AA426/'实盘净值数据(iFinD公式)'!$B$65:$AA$65)*(1-实盘持仓初始配置!$Z$7)^(('实盘净值数据(iFinD公式)'!$A426-'实盘净值数据(iFinD公式)'!$A$8)/365))</x:f>
        <x:v>#NAME?</x:v>
      </x:c>
      <x:c r="L426" s="152" t="e">
        <x:f>IF(OR(K425="",K426=""),"",K426/K425-1)</x:f>
        <x:v>#NAME?</x:v>
      </x:c>
      <x:c r="M426" s="152" t="e">
        <x:f>IF(K426="","",K426/MAX(K$5:K426)-1)</x:f>
        <x:v>#NAME?</x:v>
      </x:c>
      <x:c r="N426" s="146" t="e">
        <x:f>IF(OR('实盘净值数据(iFinD公式)'!$A426="",'实盘净值数据(iFinD公式)'!$B426=""),"",分期持仓明细!$AD$24*SUMPRODUCT(分期持仓明细!$B$24:$AA$24,'实盘净值数据(iFinD公式)'!$B426:$AA426/'实盘净值数据(iFinD公式)'!$B$65:$AA$65)*(1-实盘持仓初始配置!$Z$8)^(('实盘净值数据(iFinD公式)'!$A426-'实盘净值数据(iFinD公式)'!$A$5)/365))</x:f>
        <x:v>#NAME?</x:v>
      </x:c>
      <x:c r="O426" s="152" t="e">
        <x:f>IF(OR(N425="",N426=""),"",N426/N425-1)</x:f>
        <x:v>#NAME?</x:v>
      </x:c>
      <x:c r="P426" s="152" t="e">
        <x:f>IF(N426="","",N426/MAX(N$5:N426)-1)</x:f>
        <x:v>#NAME?</x:v>
      </x:c>
      <x:c r="Q426" s="146" t="e">
        <x:f>IF(OR('实盘净值数据(iFinD公式)'!$A426="",'实盘净值数据(iFinD公式)'!$B426=""),"",分期持仓明细!$AD$25*SUMPRODUCT(分期持仓明细!$B$25:$AA$25,'实盘净值数据(iFinD公式)'!$B426:$AA426/'实盘净值数据(iFinD公式)'!$B$65:$AA$65)*(1-实盘持仓初始配置!$Z$9)^(('实盘净值数据(iFinD公式)'!$A426-'实盘净值数据(iFinD公式)'!$A$8)/365))</x:f>
        <x:v>#NAME?</x:v>
      </x:c>
      <x:c r="R426" s="152" t="e">
        <x:f>IF(OR(Q425="",Q426=""),"",Q426/Q425-1)</x:f>
        <x:v>#NAME?</x:v>
      </x:c>
      <x:c r="S426" s="152" t="e">
        <x:f>IF(Q426="","",Q426/MAX(Q$5:Q426)-1)</x:f>
        <x:v>#NAME?</x:v>
      </x:c>
    </x:row>
    <x:row r="427">
      <x:c r="A427" s="149" t="str">
        <x:f>IF('实盘净值数据(iFinD公式)'!A427="","",'实盘净值数据(iFinD公式)'!A427)</x:f>
      </x:c>
      <x:c r="B427" s="146" t="e">
        <x:f>IF(OR('实盘净值数据(iFinD公式)'!$A427="",'实盘净值数据(iFinD公式)'!$B427=""),"",分期持仓明细!$AD$17*SUMPRODUCT(分期持仓明细!$B$17:$AA$17,'实盘净值数据(iFinD公式)'!$B427:$AA427/'实盘净值数据(iFinD公式)'!$B$20:$AA$20)*(1-实盘持仓初始配置!$Z$4)^(('实盘净值数据(iFinD公式)'!$A427-'实盘净值数据(iFinD公式)'!$A$6)/365))</x:f>
        <x:v>#NAME?</x:v>
      </x:c>
      <x:c r="C427" s="152" t="e">
        <x:f>IF(OR(B426="",B427=""),"",B427/B426-1)</x:f>
        <x:v>#NAME?</x:v>
      </x:c>
      <x:c r="D427" s="152" t="e">
        <x:f>IF(B427="","",B427/MAX(B$5:B427)-1)</x:f>
        <x:v>#NAME?</x:v>
      </x:c>
      <x:c r="E427" s="146" t="e">
        <x:f>IF(OR('实盘净值数据(iFinD公式)'!$A427="",'实盘净值数据(iFinD公式)'!$B427=""),"",分期持仓明细!$AD$18*SUMPRODUCT(分期持仓明细!$B$18:$AA$18,'实盘净值数据(iFinD公式)'!$B427:$AA427/'实盘净值数据(iFinD公式)'!$B$20:$AA$20)*(1-实盘持仓初始配置!$Z$5)^(('实盘净值数据(iFinD公式)'!$A427-'实盘净值数据(iFinD公式)'!$A$5)/365))</x:f>
        <x:v>#NAME?</x:v>
      </x:c>
      <x:c r="F427" s="152" t="e">
        <x:f>IF(OR(E426="",E427=""),"",E427/E426-1)</x:f>
        <x:v>#NAME?</x:v>
      </x:c>
      <x:c r="G427" s="152" t="e">
        <x:f>IF(E427="","",E427/MAX(E$5:E427)-1)</x:f>
        <x:v>#NAME?</x:v>
      </x:c>
      <x:c r="H427" s="146" t="e">
        <x:f>IF(OR('实盘净值数据(iFinD公式)'!$A427="",'实盘净值数据(iFinD公式)'!$B427=""),"",分期持仓明细!$AD$19*SUMPRODUCT(分期持仓明细!$B$19:$AA$19,'实盘净值数据(iFinD公式)'!$B427:$AA427/'实盘净值数据(iFinD公式)'!$B$20:$AA$20)*(1-实盘持仓初始配置!$Z$6)^(('实盘净值数据(iFinD公式)'!$A427-'实盘净值数据(iFinD公式)'!$A$7)/365))</x:f>
        <x:v>#NAME?</x:v>
      </x:c>
      <x:c r="I427" s="152" t="e">
        <x:f>IF(OR(H426="",H427=""),"",H427/H426-1)</x:f>
        <x:v>#NAME?</x:v>
      </x:c>
      <x:c r="J427" s="152" t="e">
        <x:f>IF(H427="","",H427/MAX(H$5:H427)-1)</x:f>
        <x:v>#NAME?</x:v>
      </x:c>
      <x:c r="K427" s="146" t="e">
        <x:f>IF(OR('实盘净值数据(iFinD公式)'!$A427="",'实盘净值数据(iFinD公式)'!$B427=""),"",分期持仓明细!$AD$23*SUMPRODUCT(分期持仓明细!$B$23:$AA$23,'实盘净值数据(iFinD公式)'!$B427:$AA427/'实盘净值数据(iFinD公式)'!$B$65:$AA$65)*(1-实盘持仓初始配置!$Z$7)^(('实盘净值数据(iFinD公式)'!$A427-'实盘净值数据(iFinD公式)'!$A$8)/365))</x:f>
        <x:v>#NAME?</x:v>
      </x:c>
      <x:c r="L427" s="152" t="e">
        <x:f>IF(OR(K426="",K427=""),"",K427/K426-1)</x:f>
        <x:v>#NAME?</x:v>
      </x:c>
      <x:c r="M427" s="152" t="e">
        <x:f>IF(K427="","",K427/MAX(K$5:K427)-1)</x:f>
        <x:v>#NAME?</x:v>
      </x:c>
      <x:c r="N427" s="146" t="e">
        <x:f>IF(OR('实盘净值数据(iFinD公式)'!$A427="",'实盘净值数据(iFinD公式)'!$B427=""),"",分期持仓明细!$AD$24*SUMPRODUCT(分期持仓明细!$B$24:$AA$24,'实盘净值数据(iFinD公式)'!$B427:$AA427/'实盘净值数据(iFinD公式)'!$B$65:$AA$65)*(1-实盘持仓初始配置!$Z$8)^(('实盘净值数据(iFinD公式)'!$A427-'实盘净值数据(iFinD公式)'!$A$5)/365))</x:f>
        <x:v>#NAME?</x:v>
      </x:c>
      <x:c r="O427" s="152" t="e">
        <x:f>IF(OR(N426="",N427=""),"",N427/N426-1)</x:f>
        <x:v>#NAME?</x:v>
      </x:c>
      <x:c r="P427" s="152" t="e">
        <x:f>IF(N427="","",N427/MAX(N$5:N427)-1)</x:f>
        <x:v>#NAME?</x:v>
      </x:c>
      <x:c r="Q427" s="146" t="e">
        <x:f>IF(OR('实盘净值数据(iFinD公式)'!$A427="",'实盘净值数据(iFinD公式)'!$B427=""),"",分期持仓明细!$AD$25*SUMPRODUCT(分期持仓明细!$B$25:$AA$25,'实盘净值数据(iFinD公式)'!$B427:$AA427/'实盘净值数据(iFinD公式)'!$B$65:$AA$65)*(1-实盘持仓初始配置!$Z$9)^(('实盘净值数据(iFinD公式)'!$A427-'实盘净值数据(iFinD公式)'!$A$8)/365))</x:f>
        <x:v>#NAME?</x:v>
      </x:c>
      <x:c r="R427" s="152" t="e">
        <x:f>IF(OR(Q426="",Q427=""),"",Q427/Q426-1)</x:f>
        <x:v>#NAME?</x:v>
      </x:c>
      <x:c r="S427" s="152" t="e">
        <x:f>IF(Q427="","",Q427/MAX(Q$5:Q427)-1)</x:f>
        <x:v>#NAME?</x:v>
      </x:c>
    </x:row>
    <x:row r="428">
      <x:c r="A428" s="149" t="str">
        <x:f>IF('实盘净值数据(iFinD公式)'!A428="","",'实盘净值数据(iFinD公式)'!A428)</x:f>
      </x:c>
      <x:c r="B428" s="146" t="e">
        <x:f>IF(OR('实盘净值数据(iFinD公式)'!$A428="",'实盘净值数据(iFinD公式)'!$B428=""),"",分期持仓明细!$AD$17*SUMPRODUCT(分期持仓明细!$B$17:$AA$17,'实盘净值数据(iFinD公式)'!$B428:$AA428/'实盘净值数据(iFinD公式)'!$B$20:$AA$20)*(1-实盘持仓初始配置!$Z$4)^(('实盘净值数据(iFinD公式)'!$A428-'实盘净值数据(iFinD公式)'!$A$6)/365))</x:f>
        <x:v>#NAME?</x:v>
      </x:c>
      <x:c r="C428" s="152" t="e">
        <x:f>IF(OR(B427="",B428=""),"",B428/B427-1)</x:f>
        <x:v>#NAME?</x:v>
      </x:c>
      <x:c r="D428" s="152" t="e">
        <x:f>IF(B428="","",B428/MAX(B$5:B428)-1)</x:f>
        <x:v>#NAME?</x:v>
      </x:c>
      <x:c r="E428" s="146" t="e">
        <x:f>IF(OR('实盘净值数据(iFinD公式)'!$A428="",'实盘净值数据(iFinD公式)'!$B428=""),"",分期持仓明细!$AD$18*SUMPRODUCT(分期持仓明细!$B$18:$AA$18,'实盘净值数据(iFinD公式)'!$B428:$AA428/'实盘净值数据(iFinD公式)'!$B$20:$AA$20)*(1-实盘持仓初始配置!$Z$5)^(('实盘净值数据(iFinD公式)'!$A428-'实盘净值数据(iFinD公式)'!$A$5)/365))</x:f>
        <x:v>#NAME?</x:v>
      </x:c>
      <x:c r="F428" s="152" t="e">
        <x:f>IF(OR(E427="",E428=""),"",E428/E427-1)</x:f>
        <x:v>#NAME?</x:v>
      </x:c>
      <x:c r="G428" s="152" t="e">
        <x:f>IF(E428="","",E428/MAX(E$5:E428)-1)</x:f>
        <x:v>#NAME?</x:v>
      </x:c>
      <x:c r="H428" s="146" t="e">
        <x:f>IF(OR('实盘净值数据(iFinD公式)'!$A428="",'实盘净值数据(iFinD公式)'!$B428=""),"",分期持仓明细!$AD$19*SUMPRODUCT(分期持仓明细!$B$19:$AA$19,'实盘净值数据(iFinD公式)'!$B428:$AA428/'实盘净值数据(iFinD公式)'!$B$20:$AA$20)*(1-实盘持仓初始配置!$Z$6)^(('实盘净值数据(iFinD公式)'!$A428-'实盘净值数据(iFinD公式)'!$A$7)/365))</x:f>
        <x:v>#NAME?</x:v>
      </x:c>
      <x:c r="I428" s="152" t="e">
        <x:f>IF(OR(H427="",H428=""),"",H428/H427-1)</x:f>
        <x:v>#NAME?</x:v>
      </x:c>
      <x:c r="J428" s="152" t="e">
        <x:f>IF(H428="","",H428/MAX(H$5:H428)-1)</x:f>
        <x:v>#NAME?</x:v>
      </x:c>
      <x:c r="K428" s="146" t="e">
        <x:f>IF(OR('实盘净值数据(iFinD公式)'!$A428="",'实盘净值数据(iFinD公式)'!$B428=""),"",分期持仓明细!$AD$23*SUMPRODUCT(分期持仓明细!$B$23:$AA$23,'实盘净值数据(iFinD公式)'!$B428:$AA428/'实盘净值数据(iFinD公式)'!$B$65:$AA$65)*(1-实盘持仓初始配置!$Z$7)^(('实盘净值数据(iFinD公式)'!$A428-'实盘净值数据(iFinD公式)'!$A$8)/365))</x:f>
        <x:v>#NAME?</x:v>
      </x:c>
      <x:c r="L428" s="152" t="e">
        <x:f>IF(OR(K427="",K428=""),"",K428/K427-1)</x:f>
        <x:v>#NAME?</x:v>
      </x:c>
      <x:c r="M428" s="152" t="e">
        <x:f>IF(K428="","",K428/MAX(K$5:K428)-1)</x:f>
        <x:v>#NAME?</x:v>
      </x:c>
      <x:c r="N428" s="146" t="e">
        <x:f>IF(OR('实盘净值数据(iFinD公式)'!$A428="",'实盘净值数据(iFinD公式)'!$B428=""),"",分期持仓明细!$AD$24*SUMPRODUCT(分期持仓明细!$B$24:$AA$24,'实盘净值数据(iFinD公式)'!$B428:$AA428/'实盘净值数据(iFinD公式)'!$B$65:$AA$65)*(1-实盘持仓初始配置!$Z$8)^(('实盘净值数据(iFinD公式)'!$A428-'实盘净值数据(iFinD公式)'!$A$5)/365))</x:f>
        <x:v>#NAME?</x:v>
      </x:c>
      <x:c r="O428" s="152" t="e">
        <x:f>IF(OR(N427="",N428=""),"",N428/N427-1)</x:f>
        <x:v>#NAME?</x:v>
      </x:c>
      <x:c r="P428" s="152" t="e">
        <x:f>IF(N428="","",N428/MAX(N$5:N428)-1)</x:f>
        <x:v>#NAME?</x:v>
      </x:c>
      <x:c r="Q428" s="146" t="e">
        <x:f>IF(OR('实盘净值数据(iFinD公式)'!$A428="",'实盘净值数据(iFinD公式)'!$B428=""),"",分期持仓明细!$AD$25*SUMPRODUCT(分期持仓明细!$B$25:$AA$25,'实盘净值数据(iFinD公式)'!$B428:$AA428/'实盘净值数据(iFinD公式)'!$B$65:$AA$65)*(1-实盘持仓初始配置!$Z$9)^(('实盘净值数据(iFinD公式)'!$A428-'实盘净值数据(iFinD公式)'!$A$8)/365))</x:f>
        <x:v>#NAME?</x:v>
      </x:c>
      <x:c r="R428" s="152" t="e">
        <x:f>IF(OR(Q427="",Q428=""),"",Q428/Q427-1)</x:f>
        <x:v>#NAME?</x:v>
      </x:c>
      <x:c r="S428" s="152" t="e">
        <x:f>IF(Q428="","",Q428/MAX(Q$5:Q428)-1)</x:f>
        <x:v>#NAME?</x:v>
      </x:c>
    </x:row>
    <x:row r="429">
      <x:c r="A429" s="149" t="str">
        <x:f>IF('实盘净值数据(iFinD公式)'!A429="","",'实盘净值数据(iFinD公式)'!A429)</x:f>
      </x:c>
      <x:c r="B429" s="146" t="e">
        <x:f>IF(OR('实盘净值数据(iFinD公式)'!$A429="",'实盘净值数据(iFinD公式)'!$B429=""),"",分期持仓明细!$AD$17*SUMPRODUCT(分期持仓明细!$B$17:$AA$17,'实盘净值数据(iFinD公式)'!$B429:$AA429/'实盘净值数据(iFinD公式)'!$B$20:$AA$20)*(1-实盘持仓初始配置!$Z$4)^(('实盘净值数据(iFinD公式)'!$A429-'实盘净值数据(iFinD公式)'!$A$6)/365))</x:f>
        <x:v>#NAME?</x:v>
      </x:c>
      <x:c r="C429" s="152" t="e">
        <x:f>IF(OR(B428="",B429=""),"",B429/B428-1)</x:f>
        <x:v>#NAME?</x:v>
      </x:c>
      <x:c r="D429" s="152" t="e">
        <x:f>IF(B429="","",B429/MAX(B$5:B429)-1)</x:f>
        <x:v>#NAME?</x:v>
      </x:c>
      <x:c r="E429" s="146" t="e">
        <x:f>IF(OR('实盘净值数据(iFinD公式)'!$A429="",'实盘净值数据(iFinD公式)'!$B429=""),"",分期持仓明细!$AD$18*SUMPRODUCT(分期持仓明细!$B$18:$AA$18,'实盘净值数据(iFinD公式)'!$B429:$AA429/'实盘净值数据(iFinD公式)'!$B$20:$AA$20)*(1-实盘持仓初始配置!$Z$5)^(('实盘净值数据(iFinD公式)'!$A429-'实盘净值数据(iFinD公式)'!$A$5)/365))</x:f>
        <x:v>#NAME?</x:v>
      </x:c>
      <x:c r="F429" s="152" t="e">
        <x:f>IF(OR(E428="",E429=""),"",E429/E428-1)</x:f>
        <x:v>#NAME?</x:v>
      </x:c>
      <x:c r="G429" s="152" t="e">
        <x:f>IF(E429="","",E429/MAX(E$5:E429)-1)</x:f>
        <x:v>#NAME?</x:v>
      </x:c>
      <x:c r="H429" s="146" t="e">
        <x:f>IF(OR('实盘净值数据(iFinD公式)'!$A429="",'实盘净值数据(iFinD公式)'!$B429=""),"",分期持仓明细!$AD$19*SUMPRODUCT(分期持仓明细!$B$19:$AA$19,'实盘净值数据(iFinD公式)'!$B429:$AA429/'实盘净值数据(iFinD公式)'!$B$20:$AA$20)*(1-实盘持仓初始配置!$Z$6)^(('实盘净值数据(iFinD公式)'!$A429-'实盘净值数据(iFinD公式)'!$A$7)/365))</x:f>
        <x:v>#NAME?</x:v>
      </x:c>
      <x:c r="I429" s="152" t="e">
        <x:f>IF(OR(H428="",H429=""),"",H429/H428-1)</x:f>
        <x:v>#NAME?</x:v>
      </x:c>
      <x:c r="J429" s="152" t="e">
        <x:f>IF(H429="","",H429/MAX(H$5:H429)-1)</x:f>
        <x:v>#NAME?</x:v>
      </x:c>
      <x:c r="K429" s="146" t="e">
        <x:f>IF(OR('实盘净值数据(iFinD公式)'!$A429="",'实盘净值数据(iFinD公式)'!$B429=""),"",分期持仓明细!$AD$23*SUMPRODUCT(分期持仓明细!$B$23:$AA$23,'实盘净值数据(iFinD公式)'!$B429:$AA429/'实盘净值数据(iFinD公式)'!$B$65:$AA$65)*(1-实盘持仓初始配置!$Z$7)^(('实盘净值数据(iFinD公式)'!$A429-'实盘净值数据(iFinD公式)'!$A$8)/365))</x:f>
        <x:v>#NAME?</x:v>
      </x:c>
      <x:c r="L429" s="152" t="e">
        <x:f>IF(OR(K428="",K429=""),"",K429/K428-1)</x:f>
        <x:v>#NAME?</x:v>
      </x:c>
      <x:c r="M429" s="152" t="e">
        <x:f>IF(K429="","",K429/MAX(K$5:K429)-1)</x:f>
        <x:v>#NAME?</x:v>
      </x:c>
      <x:c r="N429" s="146" t="e">
        <x:f>IF(OR('实盘净值数据(iFinD公式)'!$A429="",'实盘净值数据(iFinD公式)'!$B429=""),"",分期持仓明细!$AD$24*SUMPRODUCT(分期持仓明细!$B$24:$AA$24,'实盘净值数据(iFinD公式)'!$B429:$AA429/'实盘净值数据(iFinD公式)'!$B$65:$AA$65)*(1-实盘持仓初始配置!$Z$8)^(('实盘净值数据(iFinD公式)'!$A429-'实盘净值数据(iFinD公式)'!$A$5)/365))</x:f>
        <x:v>#NAME?</x:v>
      </x:c>
      <x:c r="O429" s="152" t="e">
        <x:f>IF(OR(N428="",N429=""),"",N429/N428-1)</x:f>
        <x:v>#NAME?</x:v>
      </x:c>
      <x:c r="P429" s="152" t="e">
        <x:f>IF(N429="","",N429/MAX(N$5:N429)-1)</x:f>
        <x:v>#NAME?</x:v>
      </x:c>
      <x:c r="Q429" s="146" t="e">
        <x:f>IF(OR('实盘净值数据(iFinD公式)'!$A429="",'实盘净值数据(iFinD公式)'!$B429=""),"",分期持仓明细!$AD$25*SUMPRODUCT(分期持仓明细!$B$25:$AA$25,'实盘净值数据(iFinD公式)'!$B429:$AA429/'实盘净值数据(iFinD公式)'!$B$65:$AA$65)*(1-实盘持仓初始配置!$Z$9)^(('实盘净值数据(iFinD公式)'!$A429-'实盘净值数据(iFinD公式)'!$A$8)/365))</x:f>
        <x:v>#NAME?</x:v>
      </x:c>
      <x:c r="R429" s="152" t="e">
        <x:f>IF(OR(Q428="",Q429=""),"",Q429/Q428-1)</x:f>
        <x:v>#NAME?</x:v>
      </x:c>
      <x:c r="S429" s="152" t="e">
        <x:f>IF(Q429="","",Q429/MAX(Q$5:Q429)-1)</x:f>
        <x:v>#NAME?</x:v>
      </x:c>
    </x:row>
    <x:row r="430">
      <x:c r="A430" s="149" t="str">
        <x:f>IF('实盘净值数据(iFinD公式)'!A430="","",'实盘净值数据(iFinD公式)'!A430)</x:f>
      </x:c>
      <x:c r="B430" s="146" t="e">
        <x:f>IF(OR('实盘净值数据(iFinD公式)'!$A430="",'实盘净值数据(iFinD公式)'!$B430=""),"",分期持仓明细!$AD$17*SUMPRODUCT(分期持仓明细!$B$17:$AA$17,'实盘净值数据(iFinD公式)'!$B430:$AA430/'实盘净值数据(iFinD公式)'!$B$20:$AA$20)*(1-实盘持仓初始配置!$Z$4)^(('实盘净值数据(iFinD公式)'!$A430-'实盘净值数据(iFinD公式)'!$A$6)/365))</x:f>
        <x:v>#NAME?</x:v>
      </x:c>
      <x:c r="C430" s="152" t="e">
        <x:f>IF(OR(B429="",B430=""),"",B430/B429-1)</x:f>
        <x:v>#NAME?</x:v>
      </x:c>
      <x:c r="D430" s="152" t="e">
        <x:f>IF(B430="","",B430/MAX(B$5:B430)-1)</x:f>
        <x:v>#NAME?</x:v>
      </x:c>
      <x:c r="E430" s="146" t="e">
        <x:f>IF(OR('实盘净值数据(iFinD公式)'!$A430="",'实盘净值数据(iFinD公式)'!$B430=""),"",分期持仓明细!$AD$18*SUMPRODUCT(分期持仓明细!$B$18:$AA$18,'实盘净值数据(iFinD公式)'!$B430:$AA430/'实盘净值数据(iFinD公式)'!$B$20:$AA$20)*(1-实盘持仓初始配置!$Z$5)^(('实盘净值数据(iFinD公式)'!$A430-'实盘净值数据(iFinD公式)'!$A$5)/365))</x:f>
        <x:v>#NAME?</x:v>
      </x:c>
      <x:c r="F430" s="152" t="e">
        <x:f>IF(OR(E429="",E430=""),"",E430/E429-1)</x:f>
        <x:v>#NAME?</x:v>
      </x:c>
      <x:c r="G430" s="152" t="e">
        <x:f>IF(E430="","",E430/MAX(E$5:E430)-1)</x:f>
        <x:v>#NAME?</x:v>
      </x:c>
      <x:c r="H430" s="146" t="e">
        <x:f>IF(OR('实盘净值数据(iFinD公式)'!$A430="",'实盘净值数据(iFinD公式)'!$B430=""),"",分期持仓明细!$AD$19*SUMPRODUCT(分期持仓明细!$B$19:$AA$19,'实盘净值数据(iFinD公式)'!$B430:$AA430/'实盘净值数据(iFinD公式)'!$B$20:$AA$20)*(1-实盘持仓初始配置!$Z$6)^(('实盘净值数据(iFinD公式)'!$A430-'实盘净值数据(iFinD公式)'!$A$7)/365))</x:f>
        <x:v>#NAME?</x:v>
      </x:c>
      <x:c r="I430" s="152" t="e">
        <x:f>IF(OR(H429="",H430=""),"",H430/H429-1)</x:f>
        <x:v>#NAME?</x:v>
      </x:c>
      <x:c r="J430" s="152" t="e">
        <x:f>IF(H430="","",H430/MAX(H$5:H430)-1)</x:f>
        <x:v>#NAME?</x:v>
      </x:c>
      <x:c r="K430" s="146" t="e">
        <x:f>IF(OR('实盘净值数据(iFinD公式)'!$A430="",'实盘净值数据(iFinD公式)'!$B430=""),"",分期持仓明细!$AD$23*SUMPRODUCT(分期持仓明细!$B$23:$AA$23,'实盘净值数据(iFinD公式)'!$B430:$AA430/'实盘净值数据(iFinD公式)'!$B$65:$AA$65)*(1-实盘持仓初始配置!$Z$7)^(('实盘净值数据(iFinD公式)'!$A430-'实盘净值数据(iFinD公式)'!$A$8)/365))</x:f>
        <x:v>#NAME?</x:v>
      </x:c>
      <x:c r="L430" s="152" t="e">
        <x:f>IF(OR(K429="",K430=""),"",K430/K429-1)</x:f>
        <x:v>#NAME?</x:v>
      </x:c>
      <x:c r="M430" s="152" t="e">
        <x:f>IF(K430="","",K430/MAX(K$5:K430)-1)</x:f>
        <x:v>#NAME?</x:v>
      </x:c>
      <x:c r="N430" s="146" t="e">
        <x:f>IF(OR('实盘净值数据(iFinD公式)'!$A430="",'实盘净值数据(iFinD公式)'!$B430=""),"",分期持仓明细!$AD$24*SUMPRODUCT(分期持仓明细!$B$24:$AA$24,'实盘净值数据(iFinD公式)'!$B430:$AA430/'实盘净值数据(iFinD公式)'!$B$65:$AA$65)*(1-实盘持仓初始配置!$Z$8)^(('实盘净值数据(iFinD公式)'!$A430-'实盘净值数据(iFinD公式)'!$A$5)/365))</x:f>
        <x:v>#NAME?</x:v>
      </x:c>
      <x:c r="O430" s="152" t="e">
        <x:f>IF(OR(N429="",N430=""),"",N430/N429-1)</x:f>
        <x:v>#NAME?</x:v>
      </x:c>
      <x:c r="P430" s="152" t="e">
        <x:f>IF(N430="","",N430/MAX(N$5:N430)-1)</x:f>
        <x:v>#NAME?</x:v>
      </x:c>
      <x:c r="Q430" s="146" t="e">
        <x:f>IF(OR('实盘净值数据(iFinD公式)'!$A430="",'实盘净值数据(iFinD公式)'!$B430=""),"",分期持仓明细!$AD$25*SUMPRODUCT(分期持仓明细!$B$25:$AA$25,'实盘净值数据(iFinD公式)'!$B430:$AA430/'实盘净值数据(iFinD公式)'!$B$65:$AA$65)*(1-实盘持仓初始配置!$Z$9)^(('实盘净值数据(iFinD公式)'!$A430-'实盘净值数据(iFinD公式)'!$A$8)/365))</x:f>
        <x:v>#NAME?</x:v>
      </x:c>
      <x:c r="R430" s="152" t="e">
        <x:f>IF(OR(Q429="",Q430=""),"",Q430/Q429-1)</x:f>
        <x:v>#NAME?</x:v>
      </x:c>
      <x:c r="S430" s="152" t="e">
        <x:f>IF(Q430="","",Q430/MAX(Q$5:Q430)-1)</x:f>
        <x:v>#NAME?</x:v>
      </x:c>
    </x:row>
    <x:row r="431">
      <x:c r="A431" s="149" t="str">
        <x:f>IF('实盘净值数据(iFinD公式)'!A431="","",'实盘净值数据(iFinD公式)'!A431)</x:f>
      </x:c>
      <x:c r="B431" s="146" t="e">
        <x:f>IF(OR('实盘净值数据(iFinD公式)'!$A431="",'实盘净值数据(iFinD公式)'!$B431=""),"",分期持仓明细!$AD$17*SUMPRODUCT(分期持仓明细!$B$17:$AA$17,'实盘净值数据(iFinD公式)'!$B431:$AA431/'实盘净值数据(iFinD公式)'!$B$20:$AA$20)*(1-实盘持仓初始配置!$Z$4)^(('实盘净值数据(iFinD公式)'!$A431-'实盘净值数据(iFinD公式)'!$A$6)/365))</x:f>
        <x:v>#NAME?</x:v>
      </x:c>
      <x:c r="C431" s="152" t="e">
        <x:f>IF(OR(B430="",B431=""),"",B431/B430-1)</x:f>
        <x:v>#NAME?</x:v>
      </x:c>
      <x:c r="D431" s="152" t="e">
        <x:f>IF(B431="","",B431/MAX(B$5:B431)-1)</x:f>
        <x:v>#NAME?</x:v>
      </x:c>
      <x:c r="E431" s="146" t="e">
        <x:f>IF(OR('实盘净值数据(iFinD公式)'!$A431="",'实盘净值数据(iFinD公式)'!$B431=""),"",分期持仓明细!$AD$18*SUMPRODUCT(分期持仓明细!$B$18:$AA$18,'实盘净值数据(iFinD公式)'!$B431:$AA431/'实盘净值数据(iFinD公式)'!$B$20:$AA$20)*(1-实盘持仓初始配置!$Z$5)^(('实盘净值数据(iFinD公式)'!$A431-'实盘净值数据(iFinD公式)'!$A$5)/365))</x:f>
        <x:v>#NAME?</x:v>
      </x:c>
      <x:c r="F431" s="152" t="e">
        <x:f>IF(OR(E430="",E431=""),"",E431/E430-1)</x:f>
        <x:v>#NAME?</x:v>
      </x:c>
      <x:c r="G431" s="152" t="e">
        <x:f>IF(E431="","",E431/MAX(E$5:E431)-1)</x:f>
        <x:v>#NAME?</x:v>
      </x:c>
      <x:c r="H431" s="146" t="e">
        <x:f>IF(OR('实盘净值数据(iFinD公式)'!$A431="",'实盘净值数据(iFinD公式)'!$B431=""),"",分期持仓明细!$AD$19*SUMPRODUCT(分期持仓明细!$B$19:$AA$19,'实盘净值数据(iFinD公式)'!$B431:$AA431/'实盘净值数据(iFinD公式)'!$B$20:$AA$20)*(1-实盘持仓初始配置!$Z$6)^(('实盘净值数据(iFinD公式)'!$A431-'实盘净值数据(iFinD公式)'!$A$7)/365))</x:f>
        <x:v>#NAME?</x:v>
      </x:c>
      <x:c r="I431" s="152" t="e">
        <x:f>IF(OR(H430="",H431=""),"",H431/H430-1)</x:f>
        <x:v>#NAME?</x:v>
      </x:c>
      <x:c r="J431" s="152" t="e">
        <x:f>IF(H431="","",H431/MAX(H$5:H431)-1)</x:f>
        <x:v>#NAME?</x:v>
      </x:c>
      <x:c r="K431" s="146" t="e">
        <x:f>IF(OR('实盘净值数据(iFinD公式)'!$A431="",'实盘净值数据(iFinD公式)'!$B431=""),"",分期持仓明细!$AD$23*SUMPRODUCT(分期持仓明细!$B$23:$AA$23,'实盘净值数据(iFinD公式)'!$B431:$AA431/'实盘净值数据(iFinD公式)'!$B$65:$AA$65)*(1-实盘持仓初始配置!$Z$7)^(('实盘净值数据(iFinD公式)'!$A431-'实盘净值数据(iFinD公式)'!$A$8)/365))</x:f>
        <x:v>#NAME?</x:v>
      </x:c>
      <x:c r="L431" s="152" t="e">
        <x:f>IF(OR(K430="",K431=""),"",K431/K430-1)</x:f>
        <x:v>#NAME?</x:v>
      </x:c>
      <x:c r="M431" s="152" t="e">
        <x:f>IF(K431="","",K431/MAX(K$5:K431)-1)</x:f>
        <x:v>#NAME?</x:v>
      </x:c>
      <x:c r="N431" s="146" t="e">
        <x:f>IF(OR('实盘净值数据(iFinD公式)'!$A431="",'实盘净值数据(iFinD公式)'!$B431=""),"",分期持仓明细!$AD$24*SUMPRODUCT(分期持仓明细!$B$24:$AA$24,'实盘净值数据(iFinD公式)'!$B431:$AA431/'实盘净值数据(iFinD公式)'!$B$65:$AA$65)*(1-实盘持仓初始配置!$Z$8)^(('实盘净值数据(iFinD公式)'!$A431-'实盘净值数据(iFinD公式)'!$A$5)/365))</x:f>
        <x:v>#NAME?</x:v>
      </x:c>
      <x:c r="O431" s="152" t="e">
        <x:f>IF(OR(N430="",N431=""),"",N431/N430-1)</x:f>
        <x:v>#NAME?</x:v>
      </x:c>
      <x:c r="P431" s="152" t="e">
        <x:f>IF(N431="","",N431/MAX(N$5:N431)-1)</x:f>
        <x:v>#NAME?</x:v>
      </x:c>
      <x:c r="Q431" s="146" t="e">
        <x:f>IF(OR('实盘净值数据(iFinD公式)'!$A431="",'实盘净值数据(iFinD公式)'!$B431=""),"",分期持仓明细!$AD$25*SUMPRODUCT(分期持仓明细!$B$25:$AA$25,'实盘净值数据(iFinD公式)'!$B431:$AA431/'实盘净值数据(iFinD公式)'!$B$65:$AA$65)*(1-实盘持仓初始配置!$Z$9)^(('实盘净值数据(iFinD公式)'!$A431-'实盘净值数据(iFinD公式)'!$A$8)/365))</x:f>
        <x:v>#NAME?</x:v>
      </x:c>
      <x:c r="R431" s="152" t="e">
        <x:f>IF(OR(Q430="",Q431=""),"",Q431/Q430-1)</x:f>
        <x:v>#NAME?</x:v>
      </x:c>
      <x:c r="S431" s="152" t="e">
        <x:f>IF(Q431="","",Q431/MAX(Q$5:Q431)-1)</x:f>
        <x:v>#NAME?</x:v>
      </x:c>
    </x:row>
    <x:row r="432">
      <x:c r="A432" s="149" t="str">
        <x:f>IF('实盘净值数据(iFinD公式)'!A432="","",'实盘净值数据(iFinD公式)'!A432)</x:f>
      </x:c>
      <x:c r="B432" s="146" t="e">
        <x:f>IF(OR('实盘净值数据(iFinD公式)'!$A432="",'实盘净值数据(iFinD公式)'!$B432=""),"",分期持仓明细!$AD$17*SUMPRODUCT(分期持仓明细!$B$17:$AA$17,'实盘净值数据(iFinD公式)'!$B432:$AA432/'实盘净值数据(iFinD公式)'!$B$20:$AA$20)*(1-实盘持仓初始配置!$Z$4)^(('实盘净值数据(iFinD公式)'!$A432-'实盘净值数据(iFinD公式)'!$A$6)/365))</x:f>
        <x:v>#NAME?</x:v>
      </x:c>
      <x:c r="C432" s="152" t="e">
        <x:f>IF(OR(B431="",B432=""),"",B432/B431-1)</x:f>
        <x:v>#NAME?</x:v>
      </x:c>
      <x:c r="D432" s="152" t="e">
        <x:f>IF(B432="","",B432/MAX(B$5:B432)-1)</x:f>
        <x:v>#NAME?</x:v>
      </x:c>
      <x:c r="E432" s="146" t="e">
        <x:f>IF(OR('实盘净值数据(iFinD公式)'!$A432="",'实盘净值数据(iFinD公式)'!$B432=""),"",分期持仓明细!$AD$18*SUMPRODUCT(分期持仓明细!$B$18:$AA$18,'实盘净值数据(iFinD公式)'!$B432:$AA432/'实盘净值数据(iFinD公式)'!$B$20:$AA$20)*(1-实盘持仓初始配置!$Z$5)^(('实盘净值数据(iFinD公式)'!$A432-'实盘净值数据(iFinD公式)'!$A$5)/365))</x:f>
        <x:v>#NAME?</x:v>
      </x:c>
      <x:c r="F432" s="152" t="e">
        <x:f>IF(OR(E431="",E432=""),"",E432/E431-1)</x:f>
        <x:v>#NAME?</x:v>
      </x:c>
      <x:c r="G432" s="152" t="e">
        <x:f>IF(E432="","",E432/MAX(E$5:E432)-1)</x:f>
        <x:v>#NAME?</x:v>
      </x:c>
      <x:c r="H432" s="146" t="e">
        <x:f>IF(OR('实盘净值数据(iFinD公式)'!$A432="",'实盘净值数据(iFinD公式)'!$B432=""),"",分期持仓明细!$AD$19*SUMPRODUCT(分期持仓明细!$B$19:$AA$19,'实盘净值数据(iFinD公式)'!$B432:$AA432/'实盘净值数据(iFinD公式)'!$B$20:$AA$20)*(1-实盘持仓初始配置!$Z$6)^(('实盘净值数据(iFinD公式)'!$A432-'实盘净值数据(iFinD公式)'!$A$7)/365))</x:f>
        <x:v>#NAME?</x:v>
      </x:c>
      <x:c r="I432" s="152" t="e">
        <x:f>IF(OR(H431="",H432=""),"",H432/H431-1)</x:f>
        <x:v>#NAME?</x:v>
      </x:c>
      <x:c r="J432" s="152" t="e">
        <x:f>IF(H432="","",H432/MAX(H$5:H432)-1)</x:f>
        <x:v>#NAME?</x:v>
      </x:c>
      <x:c r="K432" s="146" t="e">
        <x:f>IF(OR('实盘净值数据(iFinD公式)'!$A432="",'实盘净值数据(iFinD公式)'!$B432=""),"",分期持仓明细!$AD$23*SUMPRODUCT(分期持仓明细!$B$23:$AA$23,'实盘净值数据(iFinD公式)'!$B432:$AA432/'实盘净值数据(iFinD公式)'!$B$65:$AA$65)*(1-实盘持仓初始配置!$Z$7)^(('实盘净值数据(iFinD公式)'!$A432-'实盘净值数据(iFinD公式)'!$A$8)/365))</x:f>
        <x:v>#NAME?</x:v>
      </x:c>
      <x:c r="L432" s="152" t="e">
        <x:f>IF(OR(K431="",K432=""),"",K432/K431-1)</x:f>
        <x:v>#NAME?</x:v>
      </x:c>
      <x:c r="M432" s="152" t="e">
        <x:f>IF(K432="","",K432/MAX(K$5:K432)-1)</x:f>
        <x:v>#NAME?</x:v>
      </x:c>
      <x:c r="N432" s="146" t="e">
        <x:f>IF(OR('实盘净值数据(iFinD公式)'!$A432="",'实盘净值数据(iFinD公式)'!$B432=""),"",分期持仓明细!$AD$24*SUMPRODUCT(分期持仓明细!$B$24:$AA$24,'实盘净值数据(iFinD公式)'!$B432:$AA432/'实盘净值数据(iFinD公式)'!$B$65:$AA$65)*(1-实盘持仓初始配置!$Z$8)^(('实盘净值数据(iFinD公式)'!$A432-'实盘净值数据(iFinD公式)'!$A$5)/365))</x:f>
        <x:v>#NAME?</x:v>
      </x:c>
      <x:c r="O432" s="152" t="e">
        <x:f>IF(OR(N431="",N432=""),"",N432/N431-1)</x:f>
        <x:v>#NAME?</x:v>
      </x:c>
      <x:c r="P432" s="152" t="e">
        <x:f>IF(N432="","",N432/MAX(N$5:N432)-1)</x:f>
        <x:v>#NAME?</x:v>
      </x:c>
      <x:c r="Q432" s="146" t="e">
        <x:f>IF(OR('实盘净值数据(iFinD公式)'!$A432="",'实盘净值数据(iFinD公式)'!$B432=""),"",分期持仓明细!$AD$25*SUMPRODUCT(分期持仓明细!$B$25:$AA$25,'实盘净值数据(iFinD公式)'!$B432:$AA432/'实盘净值数据(iFinD公式)'!$B$65:$AA$65)*(1-实盘持仓初始配置!$Z$9)^(('实盘净值数据(iFinD公式)'!$A432-'实盘净值数据(iFinD公式)'!$A$8)/365))</x:f>
        <x:v>#NAME?</x:v>
      </x:c>
      <x:c r="R432" s="152" t="e">
        <x:f>IF(OR(Q431="",Q432=""),"",Q432/Q431-1)</x:f>
        <x:v>#NAME?</x:v>
      </x:c>
      <x:c r="S432" s="152" t="e">
        <x:f>IF(Q432="","",Q432/MAX(Q$5:Q432)-1)</x:f>
        <x:v>#NAME?</x:v>
      </x:c>
    </x:row>
    <x:row r="433">
      <x:c r="A433" s="149" t="str">
        <x:f>IF('实盘净值数据(iFinD公式)'!A433="","",'实盘净值数据(iFinD公式)'!A433)</x:f>
      </x:c>
      <x:c r="B433" s="146" t="e">
        <x:f>IF(OR('实盘净值数据(iFinD公式)'!$A433="",'实盘净值数据(iFinD公式)'!$B433=""),"",分期持仓明细!$AD$17*SUMPRODUCT(分期持仓明细!$B$17:$AA$17,'实盘净值数据(iFinD公式)'!$B433:$AA433/'实盘净值数据(iFinD公式)'!$B$20:$AA$20)*(1-实盘持仓初始配置!$Z$4)^(('实盘净值数据(iFinD公式)'!$A433-'实盘净值数据(iFinD公式)'!$A$6)/365))</x:f>
        <x:v>#NAME?</x:v>
      </x:c>
      <x:c r="C433" s="152" t="e">
        <x:f>IF(OR(B432="",B433=""),"",B433/B432-1)</x:f>
        <x:v>#NAME?</x:v>
      </x:c>
      <x:c r="D433" s="152" t="e">
        <x:f>IF(B433="","",B433/MAX(B$5:B433)-1)</x:f>
        <x:v>#NAME?</x:v>
      </x:c>
      <x:c r="E433" s="146" t="e">
        <x:f>IF(OR('实盘净值数据(iFinD公式)'!$A433="",'实盘净值数据(iFinD公式)'!$B433=""),"",分期持仓明细!$AD$18*SUMPRODUCT(分期持仓明细!$B$18:$AA$18,'实盘净值数据(iFinD公式)'!$B433:$AA433/'实盘净值数据(iFinD公式)'!$B$20:$AA$20)*(1-实盘持仓初始配置!$Z$5)^(('实盘净值数据(iFinD公式)'!$A433-'实盘净值数据(iFinD公式)'!$A$5)/365))</x:f>
        <x:v>#NAME?</x:v>
      </x:c>
      <x:c r="F433" s="152" t="e">
        <x:f>IF(OR(E432="",E433=""),"",E433/E432-1)</x:f>
        <x:v>#NAME?</x:v>
      </x:c>
      <x:c r="G433" s="152" t="e">
        <x:f>IF(E433="","",E433/MAX(E$5:E433)-1)</x:f>
        <x:v>#NAME?</x:v>
      </x:c>
      <x:c r="H433" s="146" t="e">
        <x:f>IF(OR('实盘净值数据(iFinD公式)'!$A433="",'实盘净值数据(iFinD公式)'!$B433=""),"",分期持仓明细!$AD$19*SUMPRODUCT(分期持仓明细!$B$19:$AA$19,'实盘净值数据(iFinD公式)'!$B433:$AA433/'实盘净值数据(iFinD公式)'!$B$20:$AA$20)*(1-实盘持仓初始配置!$Z$6)^(('实盘净值数据(iFinD公式)'!$A433-'实盘净值数据(iFinD公式)'!$A$7)/365))</x:f>
        <x:v>#NAME?</x:v>
      </x:c>
      <x:c r="I433" s="152" t="e">
        <x:f>IF(OR(H432="",H433=""),"",H433/H432-1)</x:f>
        <x:v>#NAME?</x:v>
      </x:c>
      <x:c r="J433" s="152" t="e">
        <x:f>IF(H433="","",H433/MAX(H$5:H433)-1)</x:f>
        <x:v>#NAME?</x:v>
      </x:c>
      <x:c r="K433" s="146" t="e">
        <x:f>IF(OR('实盘净值数据(iFinD公式)'!$A433="",'实盘净值数据(iFinD公式)'!$B433=""),"",分期持仓明细!$AD$23*SUMPRODUCT(分期持仓明细!$B$23:$AA$23,'实盘净值数据(iFinD公式)'!$B433:$AA433/'实盘净值数据(iFinD公式)'!$B$65:$AA$65)*(1-实盘持仓初始配置!$Z$7)^(('实盘净值数据(iFinD公式)'!$A433-'实盘净值数据(iFinD公式)'!$A$8)/365))</x:f>
        <x:v>#NAME?</x:v>
      </x:c>
      <x:c r="L433" s="152" t="e">
        <x:f>IF(OR(K432="",K433=""),"",K433/K432-1)</x:f>
        <x:v>#NAME?</x:v>
      </x:c>
      <x:c r="M433" s="152" t="e">
        <x:f>IF(K433="","",K433/MAX(K$5:K433)-1)</x:f>
        <x:v>#NAME?</x:v>
      </x:c>
      <x:c r="N433" s="146" t="e">
        <x:f>IF(OR('实盘净值数据(iFinD公式)'!$A433="",'实盘净值数据(iFinD公式)'!$B433=""),"",分期持仓明细!$AD$24*SUMPRODUCT(分期持仓明细!$B$24:$AA$24,'实盘净值数据(iFinD公式)'!$B433:$AA433/'实盘净值数据(iFinD公式)'!$B$65:$AA$65)*(1-实盘持仓初始配置!$Z$8)^(('实盘净值数据(iFinD公式)'!$A433-'实盘净值数据(iFinD公式)'!$A$5)/365))</x:f>
        <x:v>#NAME?</x:v>
      </x:c>
      <x:c r="O433" s="152" t="e">
        <x:f>IF(OR(N432="",N433=""),"",N433/N432-1)</x:f>
        <x:v>#NAME?</x:v>
      </x:c>
      <x:c r="P433" s="152" t="e">
        <x:f>IF(N433="","",N433/MAX(N$5:N433)-1)</x:f>
        <x:v>#NAME?</x:v>
      </x:c>
      <x:c r="Q433" s="146" t="e">
        <x:f>IF(OR('实盘净值数据(iFinD公式)'!$A433="",'实盘净值数据(iFinD公式)'!$B433=""),"",分期持仓明细!$AD$25*SUMPRODUCT(分期持仓明细!$B$25:$AA$25,'实盘净值数据(iFinD公式)'!$B433:$AA433/'实盘净值数据(iFinD公式)'!$B$65:$AA$65)*(1-实盘持仓初始配置!$Z$9)^(('实盘净值数据(iFinD公式)'!$A433-'实盘净值数据(iFinD公式)'!$A$8)/365))</x:f>
        <x:v>#NAME?</x:v>
      </x:c>
      <x:c r="R433" s="152" t="e">
        <x:f>IF(OR(Q432="",Q433=""),"",Q433/Q432-1)</x:f>
        <x:v>#NAME?</x:v>
      </x:c>
      <x:c r="S433" s="152" t="e">
        <x:f>IF(Q433="","",Q433/MAX(Q$5:Q433)-1)</x:f>
        <x:v>#NAME?</x:v>
      </x:c>
    </x:row>
    <x:row r="434">
      <x:c r="A434" s="149" t="str">
        <x:f>IF('实盘净值数据(iFinD公式)'!A434="","",'实盘净值数据(iFinD公式)'!A434)</x:f>
      </x:c>
      <x:c r="B434" s="146" t="e">
        <x:f>IF(OR('实盘净值数据(iFinD公式)'!$A434="",'实盘净值数据(iFinD公式)'!$B434=""),"",分期持仓明细!$AD$17*SUMPRODUCT(分期持仓明细!$B$17:$AA$17,'实盘净值数据(iFinD公式)'!$B434:$AA434/'实盘净值数据(iFinD公式)'!$B$20:$AA$20)*(1-实盘持仓初始配置!$Z$4)^(('实盘净值数据(iFinD公式)'!$A434-'实盘净值数据(iFinD公式)'!$A$6)/365))</x:f>
        <x:v>#NAME?</x:v>
      </x:c>
      <x:c r="C434" s="152" t="e">
        <x:f>IF(OR(B433="",B434=""),"",B434/B433-1)</x:f>
        <x:v>#NAME?</x:v>
      </x:c>
      <x:c r="D434" s="152" t="e">
        <x:f>IF(B434="","",B434/MAX(B$5:B434)-1)</x:f>
        <x:v>#NAME?</x:v>
      </x:c>
      <x:c r="E434" s="146" t="e">
        <x:f>IF(OR('实盘净值数据(iFinD公式)'!$A434="",'实盘净值数据(iFinD公式)'!$B434=""),"",分期持仓明细!$AD$18*SUMPRODUCT(分期持仓明细!$B$18:$AA$18,'实盘净值数据(iFinD公式)'!$B434:$AA434/'实盘净值数据(iFinD公式)'!$B$20:$AA$20)*(1-实盘持仓初始配置!$Z$5)^(('实盘净值数据(iFinD公式)'!$A434-'实盘净值数据(iFinD公式)'!$A$5)/365))</x:f>
        <x:v>#NAME?</x:v>
      </x:c>
      <x:c r="F434" s="152" t="e">
        <x:f>IF(OR(E433="",E434=""),"",E434/E433-1)</x:f>
        <x:v>#NAME?</x:v>
      </x:c>
      <x:c r="G434" s="152" t="e">
        <x:f>IF(E434="","",E434/MAX(E$5:E434)-1)</x:f>
        <x:v>#NAME?</x:v>
      </x:c>
      <x:c r="H434" s="146" t="e">
        <x:f>IF(OR('实盘净值数据(iFinD公式)'!$A434="",'实盘净值数据(iFinD公式)'!$B434=""),"",分期持仓明细!$AD$19*SUMPRODUCT(分期持仓明细!$B$19:$AA$19,'实盘净值数据(iFinD公式)'!$B434:$AA434/'实盘净值数据(iFinD公式)'!$B$20:$AA$20)*(1-实盘持仓初始配置!$Z$6)^(('实盘净值数据(iFinD公式)'!$A434-'实盘净值数据(iFinD公式)'!$A$7)/365))</x:f>
        <x:v>#NAME?</x:v>
      </x:c>
      <x:c r="I434" s="152" t="e">
        <x:f>IF(OR(H433="",H434=""),"",H434/H433-1)</x:f>
        <x:v>#NAME?</x:v>
      </x:c>
      <x:c r="J434" s="152" t="e">
        <x:f>IF(H434="","",H434/MAX(H$5:H434)-1)</x:f>
        <x:v>#NAME?</x:v>
      </x:c>
      <x:c r="K434" s="146" t="e">
        <x:f>IF(OR('实盘净值数据(iFinD公式)'!$A434="",'实盘净值数据(iFinD公式)'!$B434=""),"",分期持仓明细!$AD$23*SUMPRODUCT(分期持仓明细!$B$23:$AA$23,'实盘净值数据(iFinD公式)'!$B434:$AA434/'实盘净值数据(iFinD公式)'!$B$65:$AA$65)*(1-实盘持仓初始配置!$Z$7)^(('实盘净值数据(iFinD公式)'!$A434-'实盘净值数据(iFinD公式)'!$A$8)/365))</x:f>
        <x:v>#NAME?</x:v>
      </x:c>
      <x:c r="L434" s="152" t="e">
        <x:f>IF(OR(K433="",K434=""),"",K434/K433-1)</x:f>
        <x:v>#NAME?</x:v>
      </x:c>
      <x:c r="M434" s="152" t="e">
        <x:f>IF(K434="","",K434/MAX(K$5:K434)-1)</x:f>
        <x:v>#NAME?</x:v>
      </x:c>
      <x:c r="N434" s="146" t="e">
        <x:f>IF(OR('实盘净值数据(iFinD公式)'!$A434="",'实盘净值数据(iFinD公式)'!$B434=""),"",分期持仓明细!$AD$24*SUMPRODUCT(分期持仓明细!$B$24:$AA$24,'实盘净值数据(iFinD公式)'!$B434:$AA434/'实盘净值数据(iFinD公式)'!$B$65:$AA$65)*(1-实盘持仓初始配置!$Z$8)^(('实盘净值数据(iFinD公式)'!$A434-'实盘净值数据(iFinD公式)'!$A$5)/365))</x:f>
        <x:v>#NAME?</x:v>
      </x:c>
      <x:c r="O434" s="152" t="e">
        <x:f>IF(OR(N433="",N434=""),"",N434/N433-1)</x:f>
        <x:v>#NAME?</x:v>
      </x:c>
      <x:c r="P434" s="152" t="e">
        <x:f>IF(N434="","",N434/MAX(N$5:N434)-1)</x:f>
        <x:v>#NAME?</x:v>
      </x:c>
      <x:c r="Q434" s="146" t="e">
        <x:f>IF(OR('实盘净值数据(iFinD公式)'!$A434="",'实盘净值数据(iFinD公式)'!$B434=""),"",分期持仓明细!$AD$25*SUMPRODUCT(分期持仓明细!$B$25:$AA$25,'实盘净值数据(iFinD公式)'!$B434:$AA434/'实盘净值数据(iFinD公式)'!$B$65:$AA$65)*(1-实盘持仓初始配置!$Z$9)^(('实盘净值数据(iFinD公式)'!$A434-'实盘净值数据(iFinD公式)'!$A$8)/365))</x:f>
        <x:v>#NAME?</x:v>
      </x:c>
      <x:c r="R434" s="152" t="e">
        <x:f>IF(OR(Q433="",Q434=""),"",Q434/Q433-1)</x:f>
        <x:v>#NAME?</x:v>
      </x:c>
      <x:c r="S434" s="152" t="e">
        <x:f>IF(Q434="","",Q434/MAX(Q$5:Q434)-1)</x:f>
        <x:v>#NAME?</x:v>
      </x:c>
    </x:row>
    <x:row r="435">
      <x:c r="A435" s="149" t="str">
        <x:f>IF('实盘净值数据(iFinD公式)'!A435="","",'实盘净值数据(iFinD公式)'!A435)</x:f>
      </x:c>
      <x:c r="B435" s="146" t="e">
        <x:f>IF(OR('实盘净值数据(iFinD公式)'!$A435="",'实盘净值数据(iFinD公式)'!$B435=""),"",分期持仓明细!$AD$17*SUMPRODUCT(分期持仓明细!$B$17:$AA$17,'实盘净值数据(iFinD公式)'!$B435:$AA435/'实盘净值数据(iFinD公式)'!$B$20:$AA$20)*(1-实盘持仓初始配置!$Z$4)^(('实盘净值数据(iFinD公式)'!$A435-'实盘净值数据(iFinD公式)'!$A$6)/365))</x:f>
        <x:v>#NAME?</x:v>
      </x:c>
      <x:c r="C435" s="152" t="e">
        <x:f>IF(OR(B434="",B435=""),"",B435/B434-1)</x:f>
        <x:v>#NAME?</x:v>
      </x:c>
      <x:c r="D435" s="152" t="e">
        <x:f>IF(B435="","",B435/MAX(B$5:B435)-1)</x:f>
        <x:v>#NAME?</x:v>
      </x:c>
      <x:c r="E435" s="146" t="e">
        <x:f>IF(OR('实盘净值数据(iFinD公式)'!$A435="",'实盘净值数据(iFinD公式)'!$B435=""),"",分期持仓明细!$AD$18*SUMPRODUCT(分期持仓明细!$B$18:$AA$18,'实盘净值数据(iFinD公式)'!$B435:$AA435/'实盘净值数据(iFinD公式)'!$B$20:$AA$20)*(1-实盘持仓初始配置!$Z$5)^(('实盘净值数据(iFinD公式)'!$A435-'实盘净值数据(iFinD公式)'!$A$5)/365))</x:f>
        <x:v>#NAME?</x:v>
      </x:c>
      <x:c r="F435" s="152" t="e">
        <x:f>IF(OR(E434="",E435=""),"",E435/E434-1)</x:f>
        <x:v>#NAME?</x:v>
      </x:c>
      <x:c r="G435" s="152" t="e">
        <x:f>IF(E435="","",E435/MAX(E$5:E435)-1)</x:f>
        <x:v>#NAME?</x:v>
      </x:c>
      <x:c r="H435" s="146" t="e">
        <x:f>IF(OR('实盘净值数据(iFinD公式)'!$A435="",'实盘净值数据(iFinD公式)'!$B435=""),"",分期持仓明细!$AD$19*SUMPRODUCT(分期持仓明细!$B$19:$AA$19,'实盘净值数据(iFinD公式)'!$B435:$AA435/'实盘净值数据(iFinD公式)'!$B$20:$AA$20)*(1-实盘持仓初始配置!$Z$6)^(('实盘净值数据(iFinD公式)'!$A435-'实盘净值数据(iFinD公式)'!$A$7)/365))</x:f>
        <x:v>#NAME?</x:v>
      </x:c>
      <x:c r="I435" s="152" t="e">
        <x:f>IF(OR(H434="",H435=""),"",H435/H434-1)</x:f>
        <x:v>#NAME?</x:v>
      </x:c>
      <x:c r="J435" s="152" t="e">
        <x:f>IF(H435="","",H435/MAX(H$5:H435)-1)</x:f>
        <x:v>#NAME?</x:v>
      </x:c>
      <x:c r="K435" s="146" t="e">
        <x:f>IF(OR('实盘净值数据(iFinD公式)'!$A435="",'实盘净值数据(iFinD公式)'!$B435=""),"",分期持仓明细!$AD$23*SUMPRODUCT(分期持仓明细!$B$23:$AA$23,'实盘净值数据(iFinD公式)'!$B435:$AA435/'实盘净值数据(iFinD公式)'!$B$65:$AA$65)*(1-实盘持仓初始配置!$Z$7)^(('实盘净值数据(iFinD公式)'!$A435-'实盘净值数据(iFinD公式)'!$A$8)/365))</x:f>
        <x:v>#NAME?</x:v>
      </x:c>
      <x:c r="L435" s="152" t="e">
        <x:f>IF(OR(K434="",K435=""),"",K435/K434-1)</x:f>
        <x:v>#NAME?</x:v>
      </x:c>
      <x:c r="M435" s="152" t="e">
        <x:f>IF(K435="","",K435/MAX(K$5:K435)-1)</x:f>
        <x:v>#NAME?</x:v>
      </x:c>
      <x:c r="N435" s="146" t="e">
        <x:f>IF(OR('实盘净值数据(iFinD公式)'!$A435="",'实盘净值数据(iFinD公式)'!$B435=""),"",分期持仓明细!$AD$24*SUMPRODUCT(分期持仓明细!$B$24:$AA$24,'实盘净值数据(iFinD公式)'!$B435:$AA435/'实盘净值数据(iFinD公式)'!$B$65:$AA$65)*(1-实盘持仓初始配置!$Z$8)^(('实盘净值数据(iFinD公式)'!$A435-'实盘净值数据(iFinD公式)'!$A$5)/365))</x:f>
        <x:v>#NAME?</x:v>
      </x:c>
      <x:c r="O435" s="152" t="e">
        <x:f>IF(OR(N434="",N435=""),"",N435/N434-1)</x:f>
        <x:v>#NAME?</x:v>
      </x:c>
      <x:c r="P435" s="152" t="e">
        <x:f>IF(N435="","",N435/MAX(N$5:N435)-1)</x:f>
        <x:v>#NAME?</x:v>
      </x:c>
      <x:c r="Q435" s="146" t="e">
        <x:f>IF(OR('实盘净值数据(iFinD公式)'!$A435="",'实盘净值数据(iFinD公式)'!$B435=""),"",分期持仓明细!$AD$25*SUMPRODUCT(分期持仓明细!$B$25:$AA$25,'实盘净值数据(iFinD公式)'!$B435:$AA435/'实盘净值数据(iFinD公式)'!$B$65:$AA$65)*(1-实盘持仓初始配置!$Z$9)^(('实盘净值数据(iFinD公式)'!$A435-'实盘净值数据(iFinD公式)'!$A$8)/365))</x:f>
        <x:v>#NAME?</x:v>
      </x:c>
      <x:c r="R435" s="152" t="e">
        <x:f>IF(OR(Q434="",Q435=""),"",Q435/Q434-1)</x:f>
        <x:v>#NAME?</x:v>
      </x:c>
      <x:c r="S435" s="152" t="e">
        <x:f>IF(Q435="","",Q435/MAX(Q$5:Q435)-1)</x:f>
        <x:v>#NAME?</x:v>
      </x:c>
    </x:row>
    <x:row r="436">
      <x:c r="A436" s="149" t="str">
        <x:f>IF('实盘净值数据(iFinD公式)'!A436="","",'实盘净值数据(iFinD公式)'!A436)</x:f>
      </x:c>
      <x:c r="B436" s="146" t="e">
        <x:f>IF(OR('实盘净值数据(iFinD公式)'!$A436="",'实盘净值数据(iFinD公式)'!$B436=""),"",分期持仓明细!$AD$17*SUMPRODUCT(分期持仓明细!$B$17:$AA$17,'实盘净值数据(iFinD公式)'!$B436:$AA436/'实盘净值数据(iFinD公式)'!$B$20:$AA$20)*(1-实盘持仓初始配置!$Z$4)^(('实盘净值数据(iFinD公式)'!$A436-'实盘净值数据(iFinD公式)'!$A$6)/365))</x:f>
        <x:v>#NAME?</x:v>
      </x:c>
      <x:c r="C436" s="152" t="e">
        <x:f>IF(OR(B435="",B436=""),"",B436/B435-1)</x:f>
        <x:v>#NAME?</x:v>
      </x:c>
      <x:c r="D436" s="152" t="e">
        <x:f>IF(B436="","",B436/MAX(B$5:B436)-1)</x:f>
        <x:v>#NAME?</x:v>
      </x:c>
      <x:c r="E436" s="146" t="e">
        <x:f>IF(OR('实盘净值数据(iFinD公式)'!$A436="",'实盘净值数据(iFinD公式)'!$B436=""),"",分期持仓明细!$AD$18*SUMPRODUCT(分期持仓明细!$B$18:$AA$18,'实盘净值数据(iFinD公式)'!$B436:$AA436/'实盘净值数据(iFinD公式)'!$B$20:$AA$20)*(1-实盘持仓初始配置!$Z$5)^(('实盘净值数据(iFinD公式)'!$A436-'实盘净值数据(iFinD公式)'!$A$5)/365))</x:f>
        <x:v>#NAME?</x:v>
      </x:c>
      <x:c r="F436" s="152" t="e">
        <x:f>IF(OR(E435="",E436=""),"",E436/E435-1)</x:f>
        <x:v>#NAME?</x:v>
      </x:c>
      <x:c r="G436" s="152" t="e">
        <x:f>IF(E436="","",E436/MAX(E$5:E436)-1)</x:f>
        <x:v>#NAME?</x:v>
      </x:c>
      <x:c r="H436" s="146" t="e">
        <x:f>IF(OR('实盘净值数据(iFinD公式)'!$A436="",'实盘净值数据(iFinD公式)'!$B436=""),"",分期持仓明细!$AD$19*SUMPRODUCT(分期持仓明细!$B$19:$AA$19,'实盘净值数据(iFinD公式)'!$B436:$AA436/'实盘净值数据(iFinD公式)'!$B$20:$AA$20)*(1-实盘持仓初始配置!$Z$6)^(('实盘净值数据(iFinD公式)'!$A436-'实盘净值数据(iFinD公式)'!$A$7)/365))</x:f>
        <x:v>#NAME?</x:v>
      </x:c>
      <x:c r="I436" s="152" t="e">
        <x:f>IF(OR(H435="",H436=""),"",H436/H435-1)</x:f>
        <x:v>#NAME?</x:v>
      </x:c>
      <x:c r="J436" s="152" t="e">
        <x:f>IF(H436="","",H436/MAX(H$5:H436)-1)</x:f>
        <x:v>#NAME?</x:v>
      </x:c>
      <x:c r="K436" s="146" t="e">
        <x:f>IF(OR('实盘净值数据(iFinD公式)'!$A436="",'实盘净值数据(iFinD公式)'!$B436=""),"",分期持仓明细!$AD$23*SUMPRODUCT(分期持仓明细!$B$23:$AA$23,'实盘净值数据(iFinD公式)'!$B436:$AA436/'实盘净值数据(iFinD公式)'!$B$65:$AA$65)*(1-实盘持仓初始配置!$Z$7)^(('实盘净值数据(iFinD公式)'!$A436-'实盘净值数据(iFinD公式)'!$A$8)/365))</x:f>
        <x:v>#NAME?</x:v>
      </x:c>
      <x:c r="L436" s="152" t="e">
        <x:f>IF(OR(K435="",K436=""),"",K436/K435-1)</x:f>
        <x:v>#NAME?</x:v>
      </x:c>
      <x:c r="M436" s="152" t="e">
        <x:f>IF(K436="","",K436/MAX(K$5:K436)-1)</x:f>
        <x:v>#NAME?</x:v>
      </x:c>
      <x:c r="N436" s="146" t="e">
        <x:f>IF(OR('实盘净值数据(iFinD公式)'!$A436="",'实盘净值数据(iFinD公式)'!$B436=""),"",分期持仓明细!$AD$24*SUMPRODUCT(分期持仓明细!$B$24:$AA$24,'实盘净值数据(iFinD公式)'!$B436:$AA436/'实盘净值数据(iFinD公式)'!$B$65:$AA$65)*(1-实盘持仓初始配置!$Z$8)^(('实盘净值数据(iFinD公式)'!$A436-'实盘净值数据(iFinD公式)'!$A$5)/365))</x:f>
        <x:v>#NAME?</x:v>
      </x:c>
      <x:c r="O436" s="152" t="e">
        <x:f>IF(OR(N435="",N436=""),"",N436/N435-1)</x:f>
        <x:v>#NAME?</x:v>
      </x:c>
      <x:c r="P436" s="152" t="e">
        <x:f>IF(N436="","",N436/MAX(N$5:N436)-1)</x:f>
        <x:v>#NAME?</x:v>
      </x:c>
      <x:c r="Q436" s="146" t="e">
        <x:f>IF(OR('实盘净值数据(iFinD公式)'!$A436="",'实盘净值数据(iFinD公式)'!$B436=""),"",分期持仓明细!$AD$25*SUMPRODUCT(分期持仓明细!$B$25:$AA$25,'实盘净值数据(iFinD公式)'!$B436:$AA436/'实盘净值数据(iFinD公式)'!$B$65:$AA$65)*(1-实盘持仓初始配置!$Z$9)^(('实盘净值数据(iFinD公式)'!$A436-'实盘净值数据(iFinD公式)'!$A$8)/365))</x:f>
        <x:v>#NAME?</x:v>
      </x:c>
      <x:c r="R436" s="152" t="e">
        <x:f>IF(OR(Q435="",Q436=""),"",Q436/Q435-1)</x:f>
        <x:v>#NAME?</x:v>
      </x:c>
      <x:c r="S436" s="152" t="e">
        <x:f>IF(Q436="","",Q436/MAX(Q$5:Q436)-1)</x:f>
        <x:v>#NAME?</x:v>
      </x:c>
    </x:row>
    <x:row r="437">
      <x:c r="A437" s="149" t="str">
        <x:f>IF('实盘净值数据(iFinD公式)'!A437="","",'实盘净值数据(iFinD公式)'!A437)</x:f>
      </x:c>
      <x:c r="B437" s="146" t="e">
        <x:f>IF(OR('实盘净值数据(iFinD公式)'!$A437="",'实盘净值数据(iFinD公式)'!$B437=""),"",分期持仓明细!$AD$17*SUMPRODUCT(分期持仓明细!$B$17:$AA$17,'实盘净值数据(iFinD公式)'!$B437:$AA437/'实盘净值数据(iFinD公式)'!$B$20:$AA$20)*(1-实盘持仓初始配置!$Z$4)^(('实盘净值数据(iFinD公式)'!$A437-'实盘净值数据(iFinD公式)'!$A$6)/365))</x:f>
        <x:v>#NAME?</x:v>
      </x:c>
      <x:c r="C437" s="152" t="e">
        <x:f>IF(OR(B436="",B437=""),"",B437/B436-1)</x:f>
        <x:v>#NAME?</x:v>
      </x:c>
      <x:c r="D437" s="152" t="e">
        <x:f>IF(B437="","",B437/MAX(B$5:B437)-1)</x:f>
        <x:v>#NAME?</x:v>
      </x:c>
      <x:c r="E437" s="146" t="e">
        <x:f>IF(OR('实盘净值数据(iFinD公式)'!$A437="",'实盘净值数据(iFinD公式)'!$B437=""),"",分期持仓明细!$AD$18*SUMPRODUCT(分期持仓明细!$B$18:$AA$18,'实盘净值数据(iFinD公式)'!$B437:$AA437/'实盘净值数据(iFinD公式)'!$B$20:$AA$20)*(1-实盘持仓初始配置!$Z$5)^(('实盘净值数据(iFinD公式)'!$A437-'实盘净值数据(iFinD公式)'!$A$5)/365))</x:f>
        <x:v>#NAME?</x:v>
      </x:c>
      <x:c r="F437" s="152" t="e">
        <x:f>IF(OR(E436="",E437=""),"",E437/E436-1)</x:f>
        <x:v>#NAME?</x:v>
      </x:c>
      <x:c r="G437" s="152" t="e">
        <x:f>IF(E437="","",E437/MAX(E$5:E437)-1)</x:f>
        <x:v>#NAME?</x:v>
      </x:c>
      <x:c r="H437" s="146" t="e">
        <x:f>IF(OR('实盘净值数据(iFinD公式)'!$A437="",'实盘净值数据(iFinD公式)'!$B437=""),"",分期持仓明细!$AD$19*SUMPRODUCT(分期持仓明细!$B$19:$AA$19,'实盘净值数据(iFinD公式)'!$B437:$AA437/'实盘净值数据(iFinD公式)'!$B$20:$AA$20)*(1-实盘持仓初始配置!$Z$6)^(('实盘净值数据(iFinD公式)'!$A437-'实盘净值数据(iFinD公式)'!$A$7)/365))</x:f>
        <x:v>#NAME?</x:v>
      </x:c>
      <x:c r="I437" s="152" t="e">
        <x:f>IF(OR(H436="",H437=""),"",H437/H436-1)</x:f>
        <x:v>#NAME?</x:v>
      </x:c>
      <x:c r="J437" s="152" t="e">
        <x:f>IF(H437="","",H437/MAX(H$5:H437)-1)</x:f>
        <x:v>#NAME?</x:v>
      </x:c>
      <x:c r="K437" s="146" t="e">
        <x:f>IF(OR('实盘净值数据(iFinD公式)'!$A437="",'实盘净值数据(iFinD公式)'!$B437=""),"",分期持仓明细!$AD$23*SUMPRODUCT(分期持仓明细!$B$23:$AA$23,'实盘净值数据(iFinD公式)'!$B437:$AA437/'实盘净值数据(iFinD公式)'!$B$65:$AA$65)*(1-实盘持仓初始配置!$Z$7)^(('实盘净值数据(iFinD公式)'!$A437-'实盘净值数据(iFinD公式)'!$A$8)/365))</x:f>
        <x:v>#NAME?</x:v>
      </x:c>
      <x:c r="L437" s="152" t="e">
        <x:f>IF(OR(K436="",K437=""),"",K437/K436-1)</x:f>
        <x:v>#NAME?</x:v>
      </x:c>
      <x:c r="M437" s="152" t="e">
        <x:f>IF(K437="","",K437/MAX(K$5:K437)-1)</x:f>
        <x:v>#NAME?</x:v>
      </x:c>
      <x:c r="N437" s="146" t="e">
        <x:f>IF(OR('实盘净值数据(iFinD公式)'!$A437="",'实盘净值数据(iFinD公式)'!$B437=""),"",分期持仓明细!$AD$24*SUMPRODUCT(分期持仓明细!$B$24:$AA$24,'实盘净值数据(iFinD公式)'!$B437:$AA437/'实盘净值数据(iFinD公式)'!$B$65:$AA$65)*(1-实盘持仓初始配置!$Z$8)^(('实盘净值数据(iFinD公式)'!$A437-'实盘净值数据(iFinD公式)'!$A$5)/365))</x:f>
        <x:v>#NAME?</x:v>
      </x:c>
      <x:c r="O437" s="152" t="e">
        <x:f>IF(OR(N436="",N437=""),"",N437/N436-1)</x:f>
        <x:v>#NAME?</x:v>
      </x:c>
      <x:c r="P437" s="152" t="e">
        <x:f>IF(N437="","",N437/MAX(N$5:N437)-1)</x:f>
        <x:v>#NAME?</x:v>
      </x:c>
      <x:c r="Q437" s="146" t="e">
        <x:f>IF(OR('实盘净值数据(iFinD公式)'!$A437="",'实盘净值数据(iFinD公式)'!$B437=""),"",分期持仓明细!$AD$25*SUMPRODUCT(分期持仓明细!$B$25:$AA$25,'实盘净值数据(iFinD公式)'!$B437:$AA437/'实盘净值数据(iFinD公式)'!$B$65:$AA$65)*(1-实盘持仓初始配置!$Z$9)^(('实盘净值数据(iFinD公式)'!$A437-'实盘净值数据(iFinD公式)'!$A$8)/365))</x:f>
        <x:v>#NAME?</x:v>
      </x:c>
      <x:c r="R437" s="152" t="e">
        <x:f>IF(OR(Q436="",Q437=""),"",Q437/Q436-1)</x:f>
        <x:v>#NAME?</x:v>
      </x:c>
      <x:c r="S437" s="152" t="e">
        <x:f>IF(Q437="","",Q437/MAX(Q$5:Q437)-1)</x:f>
        <x:v>#NAME?</x:v>
      </x:c>
    </x:row>
    <x:row r="438">
      <x:c r="A438" s="149" t="str">
        <x:f>IF('实盘净值数据(iFinD公式)'!A438="","",'实盘净值数据(iFinD公式)'!A438)</x:f>
      </x:c>
      <x:c r="B438" s="146" t="e">
        <x:f>IF(OR('实盘净值数据(iFinD公式)'!$A438="",'实盘净值数据(iFinD公式)'!$B438=""),"",分期持仓明细!$AD$17*SUMPRODUCT(分期持仓明细!$B$17:$AA$17,'实盘净值数据(iFinD公式)'!$B438:$AA438/'实盘净值数据(iFinD公式)'!$B$20:$AA$20)*(1-实盘持仓初始配置!$Z$4)^(('实盘净值数据(iFinD公式)'!$A438-'实盘净值数据(iFinD公式)'!$A$6)/365))</x:f>
        <x:v>#NAME?</x:v>
      </x:c>
      <x:c r="C438" s="152" t="e">
        <x:f>IF(OR(B437="",B438=""),"",B438/B437-1)</x:f>
        <x:v>#NAME?</x:v>
      </x:c>
      <x:c r="D438" s="152" t="e">
        <x:f>IF(B438="","",B438/MAX(B$5:B438)-1)</x:f>
        <x:v>#NAME?</x:v>
      </x:c>
      <x:c r="E438" s="146" t="e">
        <x:f>IF(OR('实盘净值数据(iFinD公式)'!$A438="",'实盘净值数据(iFinD公式)'!$B438=""),"",分期持仓明细!$AD$18*SUMPRODUCT(分期持仓明细!$B$18:$AA$18,'实盘净值数据(iFinD公式)'!$B438:$AA438/'实盘净值数据(iFinD公式)'!$B$20:$AA$20)*(1-实盘持仓初始配置!$Z$5)^(('实盘净值数据(iFinD公式)'!$A438-'实盘净值数据(iFinD公式)'!$A$5)/365))</x:f>
        <x:v>#NAME?</x:v>
      </x:c>
      <x:c r="F438" s="152" t="e">
        <x:f>IF(OR(E437="",E438=""),"",E438/E437-1)</x:f>
        <x:v>#NAME?</x:v>
      </x:c>
      <x:c r="G438" s="152" t="e">
        <x:f>IF(E438="","",E438/MAX(E$5:E438)-1)</x:f>
        <x:v>#NAME?</x:v>
      </x:c>
      <x:c r="H438" s="146" t="e">
        <x:f>IF(OR('实盘净值数据(iFinD公式)'!$A438="",'实盘净值数据(iFinD公式)'!$B438=""),"",分期持仓明细!$AD$19*SUMPRODUCT(分期持仓明细!$B$19:$AA$19,'实盘净值数据(iFinD公式)'!$B438:$AA438/'实盘净值数据(iFinD公式)'!$B$20:$AA$20)*(1-实盘持仓初始配置!$Z$6)^(('实盘净值数据(iFinD公式)'!$A438-'实盘净值数据(iFinD公式)'!$A$7)/365))</x:f>
        <x:v>#NAME?</x:v>
      </x:c>
      <x:c r="I438" s="152" t="e">
        <x:f>IF(OR(H437="",H438=""),"",H438/H437-1)</x:f>
        <x:v>#NAME?</x:v>
      </x:c>
      <x:c r="J438" s="152" t="e">
        <x:f>IF(H438="","",H438/MAX(H$5:H438)-1)</x:f>
        <x:v>#NAME?</x:v>
      </x:c>
      <x:c r="K438" s="146" t="e">
        <x:f>IF(OR('实盘净值数据(iFinD公式)'!$A438="",'实盘净值数据(iFinD公式)'!$B438=""),"",分期持仓明细!$AD$23*SUMPRODUCT(分期持仓明细!$B$23:$AA$23,'实盘净值数据(iFinD公式)'!$B438:$AA438/'实盘净值数据(iFinD公式)'!$B$65:$AA$65)*(1-实盘持仓初始配置!$Z$7)^(('实盘净值数据(iFinD公式)'!$A438-'实盘净值数据(iFinD公式)'!$A$8)/365))</x:f>
        <x:v>#NAME?</x:v>
      </x:c>
      <x:c r="L438" s="152" t="e">
        <x:f>IF(OR(K437="",K438=""),"",K438/K437-1)</x:f>
        <x:v>#NAME?</x:v>
      </x:c>
      <x:c r="M438" s="152" t="e">
        <x:f>IF(K438="","",K438/MAX(K$5:K438)-1)</x:f>
        <x:v>#NAME?</x:v>
      </x:c>
      <x:c r="N438" s="146" t="e">
        <x:f>IF(OR('实盘净值数据(iFinD公式)'!$A438="",'实盘净值数据(iFinD公式)'!$B438=""),"",分期持仓明细!$AD$24*SUMPRODUCT(分期持仓明细!$B$24:$AA$24,'实盘净值数据(iFinD公式)'!$B438:$AA438/'实盘净值数据(iFinD公式)'!$B$65:$AA$65)*(1-实盘持仓初始配置!$Z$8)^(('实盘净值数据(iFinD公式)'!$A438-'实盘净值数据(iFinD公式)'!$A$5)/365))</x:f>
        <x:v>#NAME?</x:v>
      </x:c>
      <x:c r="O438" s="152" t="e">
        <x:f>IF(OR(N437="",N438=""),"",N438/N437-1)</x:f>
        <x:v>#NAME?</x:v>
      </x:c>
      <x:c r="P438" s="152" t="e">
        <x:f>IF(N438="","",N438/MAX(N$5:N438)-1)</x:f>
        <x:v>#NAME?</x:v>
      </x:c>
      <x:c r="Q438" s="146" t="e">
        <x:f>IF(OR('实盘净值数据(iFinD公式)'!$A438="",'实盘净值数据(iFinD公式)'!$B438=""),"",分期持仓明细!$AD$25*SUMPRODUCT(分期持仓明细!$B$25:$AA$25,'实盘净值数据(iFinD公式)'!$B438:$AA438/'实盘净值数据(iFinD公式)'!$B$65:$AA$65)*(1-实盘持仓初始配置!$Z$9)^(('实盘净值数据(iFinD公式)'!$A438-'实盘净值数据(iFinD公式)'!$A$8)/365))</x:f>
        <x:v>#NAME?</x:v>
      </x:c>
      <x:c r="R438" s="152" t="e">
        <x:f>IF(OR(Q437="",Q438=""),"",Q438/Q437-1)</x:f>
        <x:v>#NAME?</x:v>
      </x:c>
      <x:c r="S438" s="152" t="e">
        <x:f>IF(Q438="","",Q438/MAX(Q$5:Q438)-1)</x:f>
        <x:v>#NAME?</x:v>
      </x:c>
    </x:row>
    <x:row r="439">
      <x:c r="A439" s="149" t="str">
        <x:f>IF('实盘净值数据(iFinD公式)'!A439="","",'实盘净值数据(iFinD公式)'!A439)</x:f>
      </x:c>
      <x:c r="B439" s="146" t="e">
        <x:f>IF(OR('实盘净值数据(iFinD公式)'!$A439="",'实盘净值数据(iFinD公式)'!$B439=""),"",分期持仓明细!$AD$17*SUMPRODUCT(分期持仓明细!$B$17:$AA$17,'实盘净值数据(iFinD公式)'!$B439:$AA439/'实盘净值数据(iFinD公式)'!$B$20:$AA$20)*(1-实盘持仓初始配置!$Z$4)^(('实盘净值数据(iFinD公式)'!$A439-'实盘净值数据(iFinD公式)'!$A$6)/365))</x:f>
        <x:v>#NAME?</x:v>
      </x:c>
      <x:c r="C439" s="152" t="e">
        <x:f>IF(OR(B438="",B439=""),"",B439/B438-1)</x:f>
        <x:v>#NAME?</x:v>
      </x:c>
      <x:c r="D439" s="152" t="e">
        <x:f>IF(B439="","",B439/MAX(B$5:B439)-1)</x:f>
        <x:v>#NAME?</x:v>
      </x:c>
      <x:c r="E439" s="146" t="e">
        <x:f>IF(OR('实盘净值数据(iFinD公式)'!$A439="",'实盘净值数据(iFinD公式)'!$B439=""),"",分期持仓明细!$AD$18*SUMPRODUCT(分期持仓明细!$B$18:$AA$18,'实盘净值数据(iFinD公式)'!$B439:$AA439/'实盘净值数据(iFinD公式)'!$B$20:$AA$20)*(1-实盘持仓初始配置!$Z$5)^(('实盘净值数据(iFinD公式)'!$A439-'实盘净值数据(iFinD公式)'!$A$5)/365))</x:f>
        <x:v>#NAME?</x:v>
      </x:c>
      <x:c r="F439" s="152" t="e">
        <x:f>IF(OR(E438="",E439=""),"",E439/E438-1)</x:f>
        <x:v>#NAME?</x:v>
      </x:c>
      <x:c r="G439" s="152" t="e">
        <x:f>IF(E439="","",E439/MAX(E$5:E439)-1)</x:f>
        <x:v>#NAME?</x:v>
      </x:c>
      <x:c r="H439" s="146" t="e">
        <x:f>IF(OR('实盘净值数据(iFinD公式)'!$A439="",'实盘净值数据(iFinD公式)'!$B439=""),"",分期持仓明细!$AD$19*SUMPRODUCT(分期持仓明细!$B$19:$AA$19,'实盘净值数据(iFinD公式)'!$B439:$AA439/'实盘净值数据(iFinD公式)'!$B$20:$AA$20)*(1-实盘持仓初始配置!$Z$6)^(('实盘净值数据(iFinD公式)'!$A439-'实盘净值数据(iFinD公式)'!$A$7)/365))</x:f>
        <x:v>#NAME?</x:v>
      </x:c>
      <x:c r="I439" s="152" t="e">
        <x:f>IF(OR(H438="",H439=""),"",H439/H438-1)</x:f>
        <x:v>#NAME?</x:v>
      </x:c>
      <x:c r="J439" s="152" t="e">
        <x:f>IF(H439="","",H439/MAX(H$5:H439)-1)</x:f>
        <x:v>#NAME?</x:v>
      </x:c>
      <x:c r="K439" s="146" t="e">
        <x:f>IF(OR('实盘净值数据(iFinD公式)'!$A439="",'实盘净值数据(iFinD公式)'!$B439=""),"",分期持仓明细!$AD$23*SUMPRODUCT(分期持仓明细!$B$23:$AA$23,'实盘净值数据(iFinD公式)'!$B439:$AA439/'实盘净值数据(iFinD公式)'!$B$65:$AA$65)*(1-实盘持仓初始配置!$Z$7)^(('实盘净值数据(iFinD公式)'!$A439-'实盘净值数据(iFinD公式)'!$A$8)/365))</x:f>
        <x:v>#NAME?</x:v>
      </x:c>
      <x:c r="L439" s="152" t="e">
        <x:f>IF(OR(K438="",K439=""),"",K439/K438-1)</x:f>
        <x:v>#NAME?</x:v>
      </x:c>
      <x:c r="M439" s="152" t="e">
        <x:f>IF(K439="","",K439/MAX(K$5:K439)-1)</x:f>
        <x:v>#NAME?</x:v>
      </x:c>
      <x:c r="N439" s="146" t="e">
        <x:f>IF(OR('实盘净值数据(iFinD公式)'!$A439="",'实盘净值数据(iFinD公式)'!$B439=""),"",分期持仓明细!$AD$24*SUMPRODUCT(分期持仓明细!$B$24:$AA$24,'实盘净值数据(iFinD公式)'!$B439:$AA439/'实盘净值数据(iFinD公式)'!$B$65:$AA$65)*(1-实盘持仓初始配置!$Z$8)^(('实盘净值数据(iFinD公式)'!$A439-'实盘净值数据(iFinD公式)'!$A$5)/365))</x:f>
        <x:v>#NAME?</x:v>
      </x:c>
      <x:c r="O439" s="152" t="e">
        <x:f>IF(OR(N438="",N439=""),"",N439/N438-1)</x:f>
        <x:v>#NAME?</x:v>
      </x:c>
      <x:c r="P439" s="152" t="e">
        <x:f>IF(N439="","",N439/MAX(N$5:N439)-1)</x:f>
        <x:v>#NAME?</x:v>
      </x:c>
      <x:c r="Q439" s="146" t="e">
        <x:f>IF(OR('实盘净值数据(iFinD公式)'!$A439="",'实盘净值数据(iFinD公式)'!$B439=""),"",分期持仓明细!$AD$25*SUMPRODUCT(分期持仓明细!$B$25:$AA$25,'实盘净值数据(iFinD公式)'!$B439:$AA439/'实盘净值数据(iFinD公式)'!$B$65:$AA$65)*(1-实盘持仓初始配置!$Z$9)^(('实盘净值数据(iFinD公式)'!$A439-'实盘净值数据(iFinD公式)'!$A$8)/365))</x:f>
        <x:v>#NAME?</x:v>
      </x:c>
      <x:c r="R439" s="152" t="e">
        <x:f>IF(OR(Q438="",Q439=""),"",Q439/Q438-1)</x:f>
        <x:v>#NAME?</x:v>
      </x:c>
      <x:c r="S439" s="152" t="e">
        <x:f>IF(Q439="","",Q439/MAX(Q$5:Q439)-1)</x:f>
        <x:v>#NAME?</x:v>
      </x:c>
    </x:row>
    <x:row r="440">
      <x:c r="A440" s="149" t="str">
        <x:f>IF('实盘净值数据(iFinD公式)'!A440="","",'实盘净值数据(iFinD公式)'!A440)</x:f>
      </x:c>
      <x:c r="B440" s="146" t="e">
        <x:f>IF(OR('实盘净值数据(iFinD公式)'!$A440="",'实盘净值数据(iFinD公式)'!$B440=""),"",分期持仓明细!$AD$17*SUMPRODUCT(分期持仓明细!$B$17:$AA$17,'实盘净值数据(iFinD公式)'!$B440:$AA440/'实盘净值数据(iFinD公式)'!$B$20:$AA$20)*(1-实盘持仓初始配置!$Z$4)^(('实盘净值数据(iFinD公式)'!$A440-'实盘净值数据(iFinD公式)'!$A$6)/365))</x:f>
        <x:v>#NAME?</x:v>
      </x:c>
      <x:c r="C440" s="152" t="e">
        <x:f>IF(OR(B439="",B440=""),"",B440/B439-1)</x:f>
        <x:v>#NAME?</x:v>
      </x:c>
      <x:c r="D440" s="152" t="e">
        <x:f>IF(B440="","",B440/MAX(B$5:B440)-1)</x:f>
        <x:v>#NAME?</x:v>
      </x:c>
      <x:c r="E440" s="146" t="e">
        <x:f>IF(OR('实盘净值数据(iFinD公式)'!$A440="",'实盘净值数据(iFinD公式)'!$B440=""),"",分期持仓明细!$AD$18*SUMPRODUCT(分期持仓明细!$B$18:$AA$18,'实盘净值数据(iFinD公式)'!$B440:$AA440/'实盘净值数据(iFinD公式)'!$B$20:$AA$20)*(1-实盘持仓初始配置!$Z$5)^(('实盘净值数据(iFinD公式)'!$A440-'实盘净值数据(iFinD公式)'!$A$5)/365))</x:f>
        <x:v>#NAME?</x:v>
      </x:c>
      <x:c r="F440" s="152" t="e">
        <x:f>IF(OR(E439="",E440=""),"",E440/E439-1)</x:f>
        <x:v>#NAME?</x:v>
      </x:c>
      <x:c r="G440" s="152" t="e">
        <x:f>IF(E440="","",E440/MAX(E$5:E440)-1)</x:f>
        <x:v>#NAME?</x:v>
      </x:c>
      <x:c r="H440" s="146" t="e">
        <x:f>IF(OR('实盘净值数据(iFinD公式)'!$A440="",'实盘净值数据(iFinD公式)'!$B440=""),"",分期持仓明细!$AD$19*SUMPRODUCT(分期持仓明细!$B$19:$AA$19,'实盘净值数据(iFinD公式)'!$B440:$AA440/'实盘净值数据(iFinD公式)'!$B$20:$AA$20)*(1-实盘持仓初始配置!$Z$6)^(('实盘净值数据(iFinD公式)'!$A440-'实盘净值数据(iFinD公式)'!$A$7)/365))</x:f>
        <x:v>#NAME?</x:v>
      </x:c>
      <x:c r="I440" s="152" t="e">
        <x:f>IF(OR(H439="",H440=""),"",H440/H439-1)</x:f>
        <x:v>#NAME?</x:v>
      </x:c>
      <x:c r="J440" s="152" t="e">
        <x:f>IF(H440="","",H440/MAX(H$5:H440)-1)</x:f>
        <x:v>#NAME?</x:v>
      </x:c>
      <x:c r="K440" s="146" t="e">
        <x:f>IF(OR('实盘净值数据(iFinD公式)'!$A440="",'实盘净值数据(iFinD公式)'!$B440=""),"",分期持仓明细!$AD$23*SUMPRODUCT(分期持仓明细!$B$23:$AA$23,'实盘净值数据(iFinD公式)'!$B440:$AA440/'实盘净值数据(iFinD公式)'!$B$65:$AA$65)*(1-实盘持仓初始配置!$Z$7)^(('实盘净值数据(iFinD公式)'!$A440-'实盘净值数据(iFinD公式)'!$A$8)/365))</x:f>
        <x:v>#NAME?</x:v>
      </x:c>
      <x:c r="L440" s="152" t="e">
        <x:f>IF(OR(K439="",K440=""),"",K440/K439-1)</x:f>
        <x:v>#NAME?</x:v>
      </x:c>
      <x:c r="M440" s="152" t="e">
        <x:f>IF(K440="","",K440/MAX(K$5:K440)-1)</x:f>
        <x:v>#NAME?</x:v>
      </x:c>
      <x:c r="N440" s="146" t="e">
        <x:f>IF(OR('实盘净值数据(iFinD公式)'!$A440="",'实盘净值数据(iFinD公式)'!$B440=""),"",分期持仓明细!$AD$24*SUMPRODUCT(分期持仓明细!$B$24:$AA$24,'实盘净值数据(iFinD公式)'!$B440:$AA440/'实盘净值数据(iFinD公式)'!$B$65:$AA$65)*(1-实盘持仓初始配置!$Z$8)^(('实盘净值数据(iFinD公式)'!$A440-'实盘净值数据(iFinD公式)'!$A$5)/365))</x:f>
        <x:v>#NAME?</x:v>
      </x:c>
      <x:c r="O440" s="152" t="e">
        <x:f>IF(OR(N439="",N440=""),"",N440/N439-1)</x:f>
        <x:v>#NAME?</x:v>
      </x:c>
      <x:c r="P440" s="152" t="e">
        <x:f>IF(N440="","",N440/MAX(N$5:N440)-1)</x:f>
        <x:v>#NAME?</x:v>
      </x:c>
      <x:c r="Q440" s="146" t="e">
        <x:f>IF(OR('实盘净值数据(iFinD公式)'!$A440="",'实盘净值数据(iFinD公式)'!$B440=""),"",分期持仓明细!$AD$25*SUMPRODUCT(分期持仓明细!$B$25:$AA$25,'实盘净值数据(iFinD公式)'!$B440:$AA440/'实盘净值数据(iFinD公式)'!$B$65:$AA$65)*(1-实盘持仓初始配置!$Z$9)^(('实盘净值数据(iFinD公式)'!$A440-'实盘净值数据(iFinD公式)'!$A$8)/365))</x:f>
        <x:v>#NAME?</x:v>
      </x:c>
      <x:c r="R440" s="152" t="e">
        <x:f>IF(OR(Q439="",Q440=""),"",Q440/Q439-1)</x:f>
        <x:v>#NAME?</x:v>
      </x:c>
      <x:c r="S440" s="152" t="e">
        <x:f>IF(Q440="","",Q440/MAX(Q$5:Q440)-1)</x:f>
        <x:v>#NAME?</x:v>
      </x:c>
    </x:row>
    <x:row r="441">
      <x:c r="A441" s="149" t="str">
        <x:f>IF('实盘净值数据(iFinD公式)'!A441="","",'实盘净值数据(iFinD公式)'!A441)</x:f>
      </x:c>
      <x:c r="B441" s="146" t="e">
        <x:f>IF(OR('实盘净值数据(iFinD公式)'!$A441="",'实盘净值数据(iFinD公式)'!$B441=""),"",分期持仓明细!$AD$17*SUMPRODUCT(分期持仓明细!$B$17:$AA$17,'实盘净值数据(iFinD公式)'!$B441:$AA441/'实盘净值数据(iFinD公式)'!$B$20:$AA$20)*(1-实盘持仓初始配置!$Z$4)^(('实盘净值数据(iFinD公式)'!$A441-'实盘净值数据(iFinD公式)'!$A$6)/365))</x:f>
        <x:v>#NAME?</x:v>
      </x:c>
      <x:c r="C441" s="152" t="e">
        <x:f>IF(OR(B440="",B441=""),"",B441/B440-1)</x:f>
        <x:v>#NAME?</x:v>
      </x:c>
      <x:c r="D441" s="152" t="e">
        <x:f>IF(B441="","",B441/MAX(B$5:B441)-1)</x:f>
        <x:v>#NAME?</x:v>
      </x:c>
      <x:c r="E441" s="146" t="e">
        <x:f>IF(OR('实盘净值数据(iFinD公式)'!$A441="",'实盘净值数据(iFinD公式)'!$B441=""),"",分期持仓明细!$AD$18*SUMPRODUCT(分期持仓明细!$B$18:$AA$18,'实盘净值数据(iFinD公式)'!$B441:$AA441/'实盘净值数据(iFinD公式)'!$B$20:$AA$20)*(1-实盘持仓初始配置!$Z$5)^(('实盘净值数据(iFinD公式)'!$A441-'实盘净值数据(iFinD公式)'!$A$5)/365))</x:f>
        <x:v>#NAME?</x:v>
      </x:c>
      <x:c r="F441" s="152" t="e">
        <x:f>IF(OR(E440="",E441=""),"",E441/E440-1)</x:f>
        <x:v>#NAME?</x:v>
      </x:c>
      <x:c r="G441" s="152" t="e">
        <x:f>IF(E441="","",E441/MAX(E$5:E441)-1)</x:f>
        <x:v>#NAME?</x:v>
      </x:c>
      <x:c r="H441" s="146" t="e">
        <x:f>IF(OR('实盘净值数据(iFinD公式)'!$A441="",'实盘净值数据(iFinD公式)'!$B441=""),"",分期持仓明细!$AD$19*SUMPRODUCT(分期持仓明细!$B$19:$AA$19,'实盘净值数据(iFinD公式)'!$B441:$AA441/'实盘净值数据(iFinD公式)'!$B$20:$AA$20)*(1-实盘持仓初始配置!$Z$6)^(('实盘净值数据(iFinD公式)'!$A441-'实盘净值数据(iFinD公式)'!$A$7)/365))</x:f>
        <x:v>#NAME?</x:v>
      </x:c>
      <x:c r="I441" s="152" t="e">
        <x:f>IF(OR(H440="",H441=""),"",H441/H440-1)</x:f>
        <x:v>#NAME?</x:v>
      </x:c>
      <x:c r="J441" s="152" t="e">
        <x:f>IF(H441="","",H441/MAX(H$5:H441)-1)</x:f>
        <x:v>#NAME?</x:v>
      </x:c>
      <x:c r="K441" s="146" t="e">
        <x:f>IF(OR('实盘净值数据(iFinD公式)'!$A441="",'实盘净值数据(iFinD公式)'!$B441=""),"",分期持仓明细!$AD$23*SUMPRODUCT(分期持仓明细!$B$23:$AA$23,'实盘净值数据(iFinD公式)'!$B441:$AA441/'实盘净值数据(iFinD公式)'!$B$65:$AA$65)*(1-实盘持仓初始配置!$Z$7)^(('实盘净值数据(iFinD公式)'!$A441-'实盘净值数据(iFinD公式)'!$A$8)/365))</x:f>
        <x:v>#NAME?</x:v>
      </x:c>
      <x:c r="L441" s="152" t="e">
        <x:f>IF(OR(K440="",K441=""),"",K441/K440-1)</x:f>
        <x:v>#NAME?</x:v>
      </x:c>
      <x:c r="M441" s="152" t="e">
        <x:f>IF(K441="","",K441/MAX(K$5:K441)-1)</x:f>
        <x:v>#NAME?</x:v>
      </x:c>
      <x:c r="N441" s="146" t="e">
        <x:f>IF(OR('实盘净值数据(iFinD公式)'!$A441="",'实盘净值数据(iFinD公式)'!$B441=""),"",分期持仓明细!$AD$24*SUMPRODUCT(分期持仓明细!$B$24:$AA$24,'实盘净值数据(iFinD公式)'!$B441:$AA441/'实盘净值数据(iFinD公式)'!$B$65:$AA$65)*(1-实盘持仓初始配置!$Z$8)^(('实盘净值数据(iFinD公式)'!$A441-'实盘净值数据(iFinD公式)'!$A$5)/365))</x:f>
        <x:v>#NAME?</x:v>
      </x:c>
      <x:c r="O441" s="152" t="e">
        <x:f>IF(OR(N440="",N441=""),"",N441/N440-1)</x:f>
        <x:v>#NAME?</x:v>
      </x:c>
      <x:c r="P441" s="152" t="e">
        <x:f>IF(N441="","",N441/MAX(N$5:N441)-1)</x:f>
        <x:v>#NAME?</x:v>
      </x:c>
      <x:c r="Q441" s="146" t="e">
        <x:f>IF(OR('实盘净值数据(iFinD公式)'!$A441="",'实盘净值数据(iFinD公式)'!$B441=""),"",分期持仓明细!$AD$25*SUMPRODUCT(分期持仓明细!$B$25:$AA$25,'实盘净值数据(iFinD公式)'!$B441:$AA441/'实盘净值数据(iFinD公式)'!$B$65:$AA$65)*(1-实盘持仓初始配置!$Z$9)^(('实盘净值数据(iFinD公式)'!$A441-'实盘净值数据(iFinD公式)'!$A$8)/365))</x:f>
        <x:v>#NAME?</x:v>
      </x:c>
      <x:c r="R441" s="152" t="e">
        <x:f>IF(OR(Q440="",Q441=""),"",Q441/Q440-1)</x:f>
        <x:v>#NAME?</x:v>
      </x:c>
      <x:c r="S441" s="152" t="e">
        <x:f>IF(Q441="","",Q441/MAX(Q$5:Q441)-1)</x:f>
        <x:v>#NAME?</x:v>
      </x:c>
    </x:row>
    <x:row r="442">
      <x:c r="A442" s="149" t="str">
        <x:f>IF('实盘净值数据(iFinD公式)'!A442="","",'实盘净值数据(iFinD公式)'!A442)</x:f>
      </x:c>
      <x:c r="B442" s="146" t="e">
        <x:f>IF(OR('实盘净值数据(iFinD公式)'!$A442="",'实盘净值数据(iFinD公式)'!$B442=""),"",分期持仓明细!$AD$17*SUMPRODUCT(分期持仓明细!$B$17:$AA$17,'实盘净值数据(iFinD公式)'!$B442:$AA442/'实盘净值数据(iFinD公式)'!$B$20:$AA$20)*(1-实盘持仓初始配置!$Z$4)^(('实盘净值数据(iFinD公式)'!$A442-'实盘净值数据(iFinD公式)'!$A$6)/365))</x:f>
        <x:v>#NAME?</x:v>
      </x:c>
      <x:c r="C442" s="152" t="e">
        <x:f>IF(OR(B441="",B442=""),"",B442/B441-1)</x:f>
        <x:v>#NAME?</x:v>
      </x:c>
      <x:c r="D442" s="152" t="e">
        <x:f>IF(B442="","",B442/MAX(B$5:B442)-1)</x:f>
        <x:v>#NAME?</x:v>
      </x:c>
      <x:c r="E442" s="146" t="e">
        <x:f>IF(OR('实盘净值数据(iFinD公式)'!$A442="",'实盘净值数据(iFinD公式)'!$B442=""),"",分期持仓明细!$AD$18*SUMPRODUCT(分期持仓明细!$B$18:$AA$18,'实盘净值数据(iFinD公式)'!$B442:$AA442/'实盘净值数据(iFinD公式)'!$B$20:$AA$20)*(1-实盘持仓初始配置!$Z$5)^(('实盘净值数据(iFinD公式)'!$A442-'实盘净值数据(iFinD公式)'!$A$5)/365))</x:f>
        <x:v>#NAME?</x:v>
      </x:c>
      <x:c r="F442" s="152" t="e">
        <x:f>IF(OR(E441="",E442=""),"",E442/E441-1)</x:f>
        <x:v>#NAME?</x:v>
      </x:c>
      <x:c r="G442" s="152" t="e">
        <x:f>IF(E442="","",E442/MAX(E$5:E442)-1)</x:f>
        <x:v>#NAME?</x:v>
      </x:c>
      <x:c r="H442" s="146" t="e">
        <x:f>IF(OR('实盘净值数据(iFinD公式)'!$A442="",'实盘净值数据(iFinD公式)'!$B442=""),"",分期持仓明细!$AD$19*SUMPRODUCT(分期持仓明细!$B$19:$AA$19,'实盘净值数据(iFinD公式)'!$B442:$AA442/'实盘净值数据(iFinD公式)'!$B$20:$AA$20)*(1-实盘持仓初始配置!$Z$6)^(('实盘净值数据(iFinD公式)'!$A442-'实盘净值数据(iFinD公式)'!$A$7)/365))</x:f>
        <x:v>#NAME?</x:v>
      </x:c>
      <x:c r="I442" s="152" t="e">
        <x:f>IF(OR(H441="",H442=""),"",H442/H441-1)</x:f>
        <x:v>#NAME?</x:v>
      </x:c>
      <x:c r="J442" s="152" t="e">
        <x:f>IF(H442="","",H442/MAX(H$5:H442)-1)</x:f>
        <x:v>#NAME?</x:v>
      </x:c>
      <x:c r="K442" s="146" t="e">
        <x:f>IF(OR('实盘净值数据(iFinD公式)'!$A442="",'实盘净值数据(iFinD公式)'!$B442=""),"",分期持仓明细!$AD$23*SUMPRODUCT(分期持仓明细!$B$23:$AA$23,'实盘净值数据(iFinD公式)'!$B442:$AA442/'实盘净值数据(iFinD公式)'!$B$65:$AA$65)*(1-实盘持仓初始配置!$Z$7)^(('实盘净值数据(iFinD公式)'!$A442-'实盘净值数据(iFinD公式)'!$A$8)/365))</x:f>
        <x:v>#NAME?</x:v>
      </x:c>
      <x:c r="L442" s="152" t="e">
        <x:f>IF(OR(K441="",K442=""),"",K442/K441-1)</x:f>
        <x:v>#NAME?</x:v>
      </x:c>
      <x:c r="M442" s="152" t="e">
        <x:f>IF(K442="","",K442/MAX(K$5:K442)-1)</x:f>
        <x:v>#NAME?</x:v>
      </x:c>
      <x:c r="N442" s="146" t="e">
        <x:f>IF(OR('实盘净值数据(iFinD公式)'!$A442="",'实盘净值数据(iFinD公式)'!$B442=""),"",分期持仓明细!$AD$24*SUMPRODUCT(分期持仓明细!$B$24:$AA$24,'实盘净值数据(iFinD公式)'!$B442:$AA442/'实盘净值数据(iFinD公式)'!$B$65:$AA$65)*(1-实盘持仓初始配置!$Z$8)^(('实盘净值数据(iFinD公式)'!$A442-'实盘净值数据(iFinD公式)'!$A$5)/365))</x:f>
        <x:v>#NAME?</x:v>
      </x:c>
      <x:c r="O442" s="152" t="e">
        <x:f>IF(OR(N441="",N442=""),"",N442/N441-1)</x:f>
        <x:v>#NAME?</x:v>
      </x:c>
      <x:c r="P442" s="152" t="e">
        <x:f>IF(N442="","",N442/MAX(N$5:N442)-1)</x:f>
        <x:v>#NAME?</x:v>
      </x:c>
      <x:c r="Q442" s="146" t="e">
        <x:f>IF(OR('实盘净值数据(iFinD公式)'!$A442="",'实盘净值数据(iFinD公式)'!$B442=""),"",分期持仓明细!$AD$25*SUMPRODUCT(分期持仓明细!$B$25:$AA$25,'实盘净值数据(iFinD公式)'!$B442:$AA442/'实盘净值数据(iFinD公式)'!$B$65:$AA$65)*(1-实盘持仓初始配置!$Z$9)^(('实盘净值数据(iFinD公式)'!$A442-'实盘净值数据(iFinD公式)'!$A$8)/365))</x:f>
        <x:v>#NAME?</x:v>
      </x:c>
      <x:c r="R442" s="152" t="e">
        <x:f>IF(OR(Q441="",Q442=""),"",Q442/Q441-1)</x:f>
        <x:v>#NAME?</x:v>
      </x:c>
      <x:c r="S442" s="152" t="e">
        <x:f>IF(Q442="","",Q442/MAX(Q$5:Q442)-1)</x:f>
        <x:v>#NAME?</x:v>
      </x:c>
    </x:row>
    <x:row r="443">
      <x:c r="A443" s="149" t="str">
        <x:f>IF('实盘净值数据(iFinD公式)'!A443="","",'实盘净值数据(iFinD公式)'!A443)</x:f>
      </x:c>
      <x:c r="B443" s="146" t="e">
        <x:f>IF(OR('实盘净值数据(iFinD公式)'!$A443="",'实盘净值数据(iFinD公式)'!$B443=""),"",分期持仓明细!$AD$17*SUMPRODUCT(分期持仓明细!$B$17:$AA$17,'实盘净值数据(iFinD公式)'!$B443:$AA443/'实盘净值数据(iFinD公式)'!$B$20:$AA$20)*(1-实盘持仓初始配置!$Z$4)^(('实盘净值数据(iFinD公式)'!$A443-'实盘净值数据(iFinD公式)'!$A$6)/365))</x:f>
        <x:v>#NAME?</x:v>
      </x:c>
      <x:c r="C443" s="152" t="e">
        <x:f>IF(OR(B442="",B443=""),"",B443/B442-1)</x:f>
        <x:v>#NAME?</x:v>
      </x:c>
      <x:c r="D443" s="152" t="e">
        <x:f>IF(B443="","",B443/MAX(B$5:B443)-1)</x:f>
        <x:v>#NAME?</x:v>
      </x:c>
      <x:c r="E443" s="146" t="e">
        <x:f>IF(OR('实盘净值数据(iFinD公式)'!$A443="",'实盘净值数据(iFinD公式)'!$B443=""),"",分期持仓明细!$AD$18*SUMPRODUCT(分期持仓明细!$B$18:$AA$18,'实盘净值数据(iFinD公式)'!$B443:$AA443/'实盘净值数据(iFinD公式)'!$B$20:$AA$20)*(1-实盘持仓初始配置!$Z$5)^(('实盘净值数据(iFinD公式)'!$A443-'实盘净值数据(iFinD公式)'!$A$5)/365))</x:f>
        <x:v>#NAME?</x:v>
      </x:c>
      <x:c r="F443" s="152" t="e">
        <x:f>IF(OR(E442="",E443=""),"",E443/E442-1)</x:f>
        <x:v>#NAME?</x:v>
      </x:c>
      <x:c r="G443" s="152" t="e">
        <x:f>IF(E443="","",E443/MAX(E$5:E443)-1)</x:f>
        <x:v>#NAME?</x:v>
      </x:c>
      <x:c r="H443" s="146" t="e">
        <x:f>IF(OR('实盘净值数据(iFinD公式)'!$A443="",'实盘净值数据(iFinD公式)'!$B443=""),"",分期持仓明细!$AD$19*SUMPRODUCT(分期持仓明细!$B$19:$AA$19,'实盘净值数据(iFinD公式)'!$B443:$AA443/'实盘净值数据(iFinD公式)'!$B$20:$AA$20)*(1-实盘持仓初始配置!$Z$6)^(('实盘净值数据(iFinD公式)'!$A443-'实盘净值数据(iFinD公式)'!$A$7)/365))</x:f>
        <x:v>#NAME?</x:v>
      </x:c>
      <x:c r="I443" s="152" t="e">
        <x:f>IF(OR(H442="",H443=""),"",H443/H442-1)</x:f>
        <x:v>#NAME?</x:v>
      </x:c>
      <x:c r="J443" s="152" t="e">
        <x:f>IF(H443="","",H443/MAX(H$5:H443)-1)</x:f>
        <x:v>#NAME?</x:v>
      </x:c>
      <x:c r="K443" s="146" t="e">
        <x:f>IF(OR('实盘净值数据(iFinD公式)'!$A443="",'实盘净值数据(iFinD公式)'!$B443=""),"",分期持仓明细!$AD$23*SUMPRODUCT(分期持仓明细!$B$23:$AA$23,'实盘净值数据(iFinD公式)'!$B443:$AA443/'实盘净值数据(iFinD公式)'!$B$65:$AA$65)*(1-实盘持仓初始配置!$Z$7)^(('实盘净值数据(iFinD公式)'!$A443-'实盘净值数据(iFinD公式)'!$A$8)/365))</x:f>
        <x:v>#NAME?</x:v>
      </x:c>
      <x:c r="L443" s="152" t="e">
        <x:f>IF(OR(K442="",K443=""),"",K443/K442-1)</x:f>
        <x:v>#NAME?</x:v>
      </x:c>
      <x:c r="M443" s="152" t="e">
        <x:f>IF(K443="","",K443/MAX(K$5:K443)-1)</x:f>
        <x:v>#NAME?</x:v>
      </x:c>
      <x:c r="N443" s="146" t="e">
        <x:f>IF(OR('实盘净值数据(iFinD公式)'!$A443="",'实盘净值数据(iFinD公式)'!$B443=""),"",分期持仓明细!$AD$24*SUMPRODUCT(分期持仓明细!$B$24:$AA$24,'实盘净值数据(iFinD公式)'!$B443:$AA443/'实盘净值数据(iFinD公式)'!$B$65:$AA$65)*(1-实盘持仓初始配置!$Z$8)^(('实盘净值数据(iFinD公式)'!$A443-'实盘净值数据(iFinD公式)'!$A$5)/365))</x:f>
        <x:v>#NAME?</x:v>
      </x:c>
      <x:c r="O443" s="152" t="e">
        <x:f>IF(OR(N442="",N443=""),"",N443/N442-1)</x:f>
        <x:v>#NAME?</x:v>
      </x:c>
      <x:c r="P443" s="152" t="e">
        <x:f>IF(N443="","",N443/MAX(N$5:N443)-1)</x:f>
        <x:v>#NAME?</x:v>
      </x:c>
      <x:c r="Q443" s="146" t="e">
        <x:f>IF(OR('实盘净值数据(iFinD公式)'!$A443="",'实盘净值数据(iFinD公式)'!$B443=""),"",分期持仓明细!$AD$25*SUMPRODUCT(分期持仓明细!$B$25:$AA$25,'实盘净值数据(iFinD公式)'!$B443:$AA443/'实盘净值数据(iFinD公式)'!$B$65:$AA$65)*(1-实盘持仓初始配置!$Z$9)^(('实盘净值数据(iFinD公式)'!$A443-'实盘净值数据(iFinD公式)'!$A$8)/365))</x:f>
        <x:v>#NAME?</x:v>
      </x:c>
      <x:c r="R443" s="152" t="e">
        <x:f>IF(OR(Q442="",Q443=""),"",Q443/Q442-1)</x:f>
        <x:v>#NAME?</x:v>
      </x:c>
      <x:c r="S443" s="152" t="e">
        <x:f>IF(Q443="","",Q443/MAX(Q$5:Q443)-1)</x:f>
        <x:v>#NAME?</x:v>
      </x:c>
    </x:row>
    <x:row r="444">
      <x:c r="A444" s="149" t="str">
        <x:f>IF('实盘净值数据(iFinD公式)'!A444="","",'实盘净值数据(iFinD公式)'!A444)</x:f>
      </x:c>
      <x:c r="B444" s="146" t="e">
        <x:f>IF(OR('实盘净值数据(iFinD公式)'!$A444="",'实盘净值数据(iFinD公式)'!$B444=""),"",分期持仓明细!$AD$17*SUMPRODUCT(分期持仓明细!$B$17:$AA$17,'实盘净值数据(iFinD公式)'!$B444:$AA444/'实盘净值数据(iFinD公式)'!$B$20:$AA$20)*(1-实盘持仓初始配置!$Z$4)^(('实盘净值数据(iFinD公式)'!$A444-'实盘净值数据(iFinD公式)'!$A$6)/365))</x:f>
        <x:v>#NAME?</x:v>
      </x:c>
      <x:c r="C444" s="152" t="e">
        <x:f>IF(OR(B443="",B444=""),"",B444/B443-1)</x:f>
        <x:v>#NAME?</x:v>
      </x:c>
      <x:c r="D444" s="152" t="e">
        <x:f>IF(B444="","",B444/MAX(B$5:B444)-1)</x:f>
        <x:v>#NAME?</x:v>
      </x:c>
      <x:c r="E444" s="146" t="e">
        <x:f>IF(OR('实盘净值数据(iFinD公式)'!$A444="",'实盘净值数据(iFinD公式)'!$B444=""),"",分期持仓明细!$AD$18*SUMPRODUCT(分期持仓明细!$B$18:$AA$18,'实盘净值数据(iFinD公式)'!$B444:$AA444/'实盘净值数据(iFinD公式)'!$B$20:$AA$20)*(1-实盘持仓初始配置!$Z$5)^(('实盘净值数据(iFinD公式)'!$A444-'实盘净值数据(iFinD公式)'!$A$5)/365))</x:f>
        <x:v>#NAME?</x:v>
      </x:c>
      <x:c r="F444" s="152" t="e">
        <x:f>IF(OR(E443="",E444=""),"",E444/E443-1)</x:f>
        <x:v>#NAME?</x:v>
      </x:c>
      <x:c r="G444" s="152" t="e">
        <x:f>IF(E444="","",E444/MAX(E$5:E444)-1)</x:f>
        <x:v>#NAME?</x:v>
      </x:c>
      <x:c r="H444" s="146" t="e">
        <x:f>IF(OR('实盘净值数据(iFinD公式)'!$A444="",'实盘净值数据(iFinD公式)'!$B444=""),"",分期持仓明细!$AD$19*SUMPRODUCT(分期持仓明细!$B$19:$AA$19,'实盘净值数据(iFinD公式)'!$B444:$AA444/'实盘净值数据(iFinD公式)'!$B$20:$AA$20)*(1-实盘持仓初始配置!$Z$6)^(('实盘净值数据(iFinD公式)'!$A444-'实盘净值数据(iFinD公式)'!$A$7)/365))</x:f>
        <x:v>#NAME?</x:v>
      </x:c>
      <x:c r="I444" s="152" t="e">
        <x:f>IF(OR(H443="",H444=""),"",H444/H443-1)</x:f>
        <x:v>#NAME?</x:v>
      </x:c>
      <x:c r="J444" s="152" t="e">
        <x:f>IF(H444="","",H444/MAX(H$5:H444)-1)</x:f>
        <x:v>#NAME?</x:v>
      </x:c>
      <x:c r="K444" s="146" t="e">
        <x:f>IF(OR('实盘净值数据(iFinD公式)'!$A444="",'实盘净值数据(iFinD公式)'!$B444=""),"",分期持仓明细!$AD$23*SUMPRODUCT(分期持仓明细!$B$23:$AA$23,'实盘净值数据(iFinD公式)'!$B444:$AA444/'实盘净值数据(iFinD公式)'!$B$65:$AA$65)*(1-实盘持仓初始配置!$Z$7)^(('实盘净值数据(iFinD公式)'!$A444-'实盘净值数据(iFinD公式)'!$A$8)/365))</x:f>
        <x:v>#NAME?</x:v>
      </x:c>
      <x:c r="L444" s="152" t="e">
        <x:f>IF(OR(K443="",K444=""),"",K444/K443-1)</x:f>
        <x:v>#NAME?</x:v>
      </x:c>
      <x:c r="M444" s="152" t="e">
        <x:f>IF(K444="","",K444/MAX(K$5:K444)-1)</x:f>
        <x:v>#NAME?</x:v>
      </x:c>
      <x:c r="N444" s="146" t="e">
        <x:f>IF(OR('实盘净值数据(iFinD公式)'!$A444="",'实盘净值数据(iFinD公式)'!$B444=""),"",分期持仓明细!$AD$24*SUMPRODUCT(分期持仓明细!$B$24:$AA$24,'实盘净值数据(iFinD公式)'!$B444:$AA444/'实盘净值数据(iFinD公式)'!$B$65:$AA$65)*(1-实盘持仓初始配置!$Z$8)^(('实盘净值数据(iFinD公式)'!$A444-'实盘净值数据(iFinD公式)'!$A$5)/365))</x:f>
        <x:v>#NAME?</x:v>
      </x:c>
      <x:c r="O444" s="152" t="e">
        <x:f>IF(OR(N443="",N444=""),"",N444/N443-1)</x:f>
        <x:v>#NAME?</x:v>
      </x:c>
      <x:c r="P444" s="152" t="e">
        <x:f>IF(N444="","",N444/MAX(N$5:N444)-1)</x:f>
        <x:v>#NAME?</x:v>
      </x:c>
      <x:c r="Q444" s="146" t="e">
        <x:f>IF(OR('实盘净值数据(iFinD公式)'!$A444="",'实盘净值数据(iFinD公式)'!$B444=""),"",分期持仓明细!$AD$25*SUMPRODUCT(分期持仓明细!$B$25:$AA$25,'实盘净值数据(iFinD公式)'!$B444:$AA444/'实盘净值数据(iFinD公式)'!$B$65:$AA$65)*(1-实盘持仓初始配置!$Z$9)^(('实盘净值数据(iFinD公式)'!$A444-'实盘净值数据(iFinD公式)'!$A$8)/365))</x:f>
        <x:v>#NAME?</x:v>
      </x:c>
      <x:c r="R444" s="152" t="e">
        <x:f>IF(OR(Q443="",Q444=""),"",Q444/Q443-1)</x:f>
        <x:v>#NAME?</x:v>
      </x:c>
      <x:c r="S444" s="152" t="e">
        <x:f>IF(Q444="","",Q444/MAX(Q$5:Q444)-1)</x:f>
        <x:v>#NAME?</x:v>
      </x:c>
    </x:row>
    <x:row r="445">
      <x:c r="A445" s="149" t="str">
        <x:f>IF('实盘净值数据(iFinD公式)'!A445="","",'实盘净值数据(iFinD公式)'!A445)</x:f>
      </x:c>
      <x:c r="B445" s="146" t="e">
        <x:f>IF(OR('实盘净值数据(iFinD公式)'!$A445="",'实盘净值数据(iFinD公式)'!$B445=""),"",分期持仓明细!$AD$17*SUMPRODUCT(分期持仓明细!$B$17:$AA$17,'实盘净值数据(iFinD公式)'!$B445:$AA445/'实盘净值数据(iFinD公式)'!$B$20:$AA$20)*(1-实盘持仓初始配置!$Z$4)^(('实盘净值数据(iFinD公式)'!$A445-'实盘净值数据(iFinD公式)'!$A$6)/365))</x:f>
        <x:v>#NAME?</x:v>
      </x:c>
      <x:c r="C445" s="152" t="e">
        <x:f>IF(OR(B444="",B445=""),"",B445/B444-1)</x:f>
        <x:v>#NAME?</x:v>
      </x:c>
      <x:c r="D445" s="152" t="e">
        <x:f>IF(B445="","",B445/MAX(B$5:B445)-1)</x:f>
        <x:v>#NAME?</x:v>
      </x:c>
      <x:c r="E445" s="146" t="e">
        <x:f>IF(OR('实盘净值数据(iFinD公式)'!$A445="",'实盘净值数据(iFinD公式)'!$B445=""),"",分期持仓明细!$AD$18*SUMPRODUCT(分期持仓明细!$B$18:$AA$18,'实盘净值数据(iFinD公式)'!$B445:$AA445/'实盘净值数据(iFinD公式)'!$B$20:$AA$20)*(1-实盘持仓初始配置!$Z$5)^(('实盘净值数据(iFinD公式)'!$A445-'实盘净值数据(iFinD公式)'!$A$5)/365))</x:f>
        <x:v>#NAME?</x:v>
      </x:c>
      <x:c r="F445" s="152" t="e">
        <x:f>IF(OR(E444="",E445=""),"",E445/E444-1)</x:f>
        <x:v>#NAME?</x:v>
      </x:c>
      <x:c r="G445" s="152" t="e">
        <x:f>IF(E445="","",E445/MAX(E$5:E445)-1)</x:f>
        <x:v>#NAME?</x:v>
      </x:c>
      <x:c r="H445" s="146" t="e">
        <x:f>IF(OR('实盘净值数据(iFinD公式)'!$A445="",'实盘净值数据(iFinD公式)'!$B445=""),"",分期持仓明细!$AD$19*SUMPRODUCT(分期持仓明细!$B$19:$AA$19,'实盘净值数据(iFinD公式)'!$B445:$AA445/'实盘净值数据(iFinD公式)'!$B$20:$AA$20)*(1-实盘持仓初始配置!$Z$6)^(('实盘净值数据(iFinD公式)'!$A445-'实盘净值数据(iFinD公式)'!$A$7)/365))</x:f>
        <x:v>#NAME?</x:v>
      </x:c>
      <x:c r="I445" s="152" t="e">
        <x:f>IF(OR(H444="",H445=""),"",H445/H444-1)</x:f>
        <x:v>#NAME?</x:v>
      </x:c>
      <x:c r="J445" s="152" t="e">
        <x:f>IF(H445="","",H445/MAX(H$5:H445)-1)</x:f>
        <x:v>#NAME?</x:v>
      </x:c>
      <x:c r="K445" s="146" t="e">
        <x:f>IF(OR('实盘净值数据(iFinD公式)'!$A445="",'实盘净值数据(iFinD公式)'!$B445=""),"",分期持仓明细!$AD$23*SUMPRODUCT(分期持仓明细!$B$23:$AA$23,'实盘净值数据(iFinD公式)'!$B445:$AA445/'实盘净值数据(iFinD公式)'!$B$65:$AA$65)*(1-实盘持仓初始配置!$Z$7)^(('实盘净值数据(iFinD公式)'!$A445-'实盘净值数据(iFinD公式)'!$A$8)/365))</x:f>
        <x:v>#NAME?</x:v>
      </x:c>
      <x:c r="L445" s="152" t="e">
        <x:f>IF(OR(K444="",K445=""),"",K445/K444-1)</x:f>
        <x:v>#NAME?</x:v>
      </x:c>
      <x:c r="M445" s="152" t="e">
        <x:f>IF(K445="","",K445/MAX(K$5:K445)-1)</x:f>
        <x:v>#NAME?</x:v>
      </x:c>
      <x:c r="N445" s="146" t="e">
        <x:f>IF(OR('实盘净值数据(iFinD公式)'!$A445="",'实盘净值数据(iFinD公式)'!$B445=""),"",分期持仓明细!$AD$24*SUMPRODUCT(分期持仓明细!$B$24:$AA$24,'实盘净值数据(iFinD公式)'!$B445:$AA445/'实盘净值数据(iFinD公式)'!$B$65:$AA$65)*(1-实盘持仓初始配置!$Z$8)^(('实盘净值数据(iFinD公式)'!$A445-'实盘净值数据(iFinD公式)'!$A$5)/365))</x:f>
        <x:v>#NAME?</x:v>
      </x:c>
      <x:c r="O445" s="152" t="e">
        <x:f>IF(OR(N444="",N445=""),"",N445/N444-1)</x:f>
        <x:v>#NAME?</x:v>
      </x:c>
      <x:c r="P445" s="152" t="e">
        <x:f>IF(N445="","",N445/MAX(N$5:N445)-1)</x:f>
        <x:v>#NAME?</x:v>
      </x:c>
      <x:c r="Q445" s="146" t="e">
        <x:f>IF(OR('实盘净值数据(iFinD公式)'!$A445="",'实盘净值数据(iFinD公式)'!$B445=""),"",分期持仓明细!$AD$25*SUMPRODUCT(分期持仓明细!$B$25:$AA$25,'实盘净值数据(iFinD公式)'!$B445:$AA445/'实盘净值数据(iFinD公式)'!$B$65:$AA$65)*(1-实盘持仓初始配置!$Z$9)^(('实盘净值数据(iFinD公式)'!$A445-'实盘净值数据(iFinD公式)'!$A$8)/365))</x:f>
        <x:v>#NAME?</x:v>
      </x:c>
      <x:c r="R445" s="152" t="e">
        <x:f>IF(OR(Q444="",Q445=""),"",Q445/Q444-1)</x:f>
        <x:v>#NAME?</x:v>
      </x:c>
      <x:c r="S445" s="152" t="e">
        <x:f>IF(Q445="","",Q445/MAX(Q$5:Q445)-1)</x:f>
        <x:v>#NAME?</x:v>
      </x:c>
    </x:row>
    <x:row r="446">
      <x:c r="A446" s="149" t="str">
        <x:f>IF('实盘净值数据(iFinD公式)'!A446="","",'实盘净值数据(iFinD公式)'!A446)</x:f>
      </x:c>
      <x:c r="B446" s="146" t="e">
        <x:f>IF(OR('实盘净值数据(iFinD公式)'!$A446="",'实盘净值数据(iFinD公式)'!$B446=""),"",分期持仓明细!$AD$17*SUMPRODUCT(分期持仓明细!$B$17:$AA$17,'实盘净值数据(iFinD公式)'!$B446:$AA446/'实盘净值数据(iFinD公式)'!$B$20:$AA$20)*(1-实盘持仓初始配置!$Z$4)^(('实盘净值数据(iFinD公式)'!$A446-'实盘净值数据(iFinD公式)'!$A$6)/365))</x:f>
        <x:v>#NAME?</x:v>
      </x:c>
      <x:c r="C446" s="152" t="e">
        <x:f>IF(OR(B445="",B446=""),"",B446/B445-1)</x:f>
        <x:v>#NAME?</x:v>
      </x:c>
      <x:c r="D446" s="152" t="e">
        <x:f>IF(B446="","",B446/MAX(B$5:B446)-1)</x:f>
        <x:v>#NAME?</x:v>
      </x:c>
      <x:c r="E446" s="146" t="e">
        <x:f>IF(OR('实盘净值数据(iFinD公式)'!$A446="",'实盘净值数据(iFinD公式)'!$B446=""),"",分期持仓明细!$AD$18*SUMPRODUCT(分期持仓明细!$B$18:$AA$18,'实盘净值数据(iFinD公式)'!$B446:$AA446/'实盘净值数据(iFinD公式)'!$B$20:$AA$20)*(1-实盘持仓初始配置!$Z$5)^(('实盘净值数据(iFinD公式)'!$A446-'实盘净值数据(iFinD公式)'!$A$5)/365))</x:f>
        <x:v>#NAME?</x:v>
      </x:c>
      <x:c r="F446" s="152" t="e">
        <x:f>IF(OR(E445="",E446=""),"",E446/E445-1)</x:f>
        <x:v>#NAME?</x:v>
      </x:c>
      <x:c r="G446" s="152" t="e">
        <x:f>IF(E446="","",E446/MAX(E$5:E446)-1)</x:f>
        <x:v>#NAME?</x:v>
      </x:c>
      <x:c r="H446" s="146" t="e">
        <x:f>IF(OR('实盘净值数据(iFinD公式)'!$A446="",'实盘净值数据(iFinD公式)'!$B446=""),"",分期持仓明细!$AD$19*SUMPRODUCT(分期持仓明细!$B$19:$AA$19,'实盘净值数据(iFinD公式)'!$B446:$AA446/'实盘净值数据(iFinD公式)'!$B$20:$AA$20)*(1-实盘持仓初始配置!$Z$6)^(('实盘净值数据(iFinD公式)'!$A446-'实盘净值数据(iFinD公式)'!$A$7)/365))</x:f>
        <x:v>#NAME?</x:v>
      </x:c>
      <x:c r="I446" s="152" t="e">
        <x:f>IF(OR(H445="",H446=""),"",H446/H445-1)</x:f>
        <x:v>#NAME?</x:v>
      </x:c>
      <x:c r="J446" s="152" t="e">
        <x:f>IF(H446="","",H446/MAX(H$5:H446)-1)</x:f>
        <x:v>#NAME?</x:v>
      </x:c>
      <x:c r="K446" s="146" t="e">
        <x:f>IF(OR('实盘净值数据(iFinD公式)'!$A446="",'实盘净值数据(iFinD公式)'!$B446=""),"",分期持仓明细!$AD$23*SUMPRODUCT(分期持仓明细!$B$23:$AA$23,'实盘净值数据(iFinD公式)'!$B446:$AA446/'实盘净值数据(iFinD公式)'!$B$65:$AA$65)*(1-实盘持仓初始配置!$Z$7)^(('实盘净值数据(iFinD公式)'!$A446-'实盘净值数据(iFinD公式)'!$A$8)/365))</x:f>
        <x:v>#NAME?</x:v>
      </x:c>
      <x:c r="L446" s="152" t="e">
        <x:f>IF(OR(K445="",K446=""),"",K446/K445-1)</x:f>
        <x:v>#NAME?</x:v>
      </x:c>
      <x:c r="M446" s="152" t="e">
        <x:f>IF(K446="","",K446/MAX(K$5:K446)-1)</x:f>
        <x:v>#NAME?</x:v>
      </x:c>
      <x:c r="N446" s="146" t="e">
        <x:f>IF(OR('实盘净值数据(iFinD公式)'!$A446="",'实盘净值数据(iFinD公式)'!$B446=""),"",分期持仓明细!$AD$24*SUMPRODUCT(分期持仓明细!$B$24:$AA$24,'实盘净值数据(iFinD公式)'!$B446:$AA446/'实盘净值数据(iFinD公式)'!$B$65:$AA$65)*(1-实盘持仓初始配置!$Z$8)^(('实盘净值数据(iFinD公式)'!$A446-'实盘净值数据(iFinD公式)'!$A$5)/365))</x:f>
        <x:v>#NAME?</x:v>
      </x:c>
      <x:c r="O446" s="152" t="e">
        <x:f>IF(OR(N445="",N446=""),"",N446/N445-1)</x:f>
        <x:v>#NAME?</x:v>
      </x:c>
      <x:c r="P446" s="152" t="e">
        <x:f>IF(N446="","",N446/MAX(N$5:N446)-1)</x:f>
        <x:v>#NAME?</x:v>
      </x:c>
      <x:c r="Q446" s="146" t="e">
        <x:f>IF(OR('实盘净值数据(iFinD公式)'!$A446="",'实盘净值数据(iFinD公式)'!$B446=""),"",分期持仓明细!$AD$25*SUMPRODUCT(分期持仓明细!$B$25:$AA$25,'实盘净值数据(iFinD公式)'!$B446:$AA446/'实盘净值数据(iFinD公式)'!$B$65:$AA$65)*(1-实盘持仓初始配置!$Z$9)^(('实盘净值数据(iFinD公式)'!$A446-'实盘净值数据(iFinD公式)'!$A$8)/365))</x:f>
        <x:v>#NAME?</x:v>
      </x:c>
      <x:c r="R446" s="152" t="e">
        <x:f>IF(OR(Q445="",Q446=""),"",Q446/Q445-1)</x:f>
        <x:v>#NAME?</x:v>
      </x:c>
      <x:c r="S446" s="152" t="e">
        <x:f>IF(Q446="","",Q446/MAX(Q$5:Q446)-1)</x:f>
        <x:v>#NAME?</x:v>
      </x:c>
    </x:row>
    <x:row r="447">
      <x:c r="A447" s="149" t="str">
        <x:f>IF('实盘净值数据(iFinD公式)'!A447="","",'实盘净值数据(iFinD公式)'!A447)</x:f>
      </x:c>
      <x:c r="B447" s="146" t="e">
        <x:f>IF(OR('实盘净值数据(iFinD公式)'!$A447="",'实盘净值数据(iFinD公式)'!$B447=""),"",分期持仓明细!$AD$17*SUMPRODUCT(分期持仓明细!$B$17:$AA$17,'实盘净值数据(iFinD公式)'!$B447:$AA447/'实盘净值数据(iFinD公式)'!$B$20:$AA$20)*(1-实盘持仓初始配置!$Z$4)^(('实盘净值数据(iFinD公式)'!$A447-'实盘净值数据(iFinD公式)'!$A$6)/365))</x:f>
        <x:v>#NAME?</x:v>
      </x:c>
      <x:c r="C447" s="152" t="e">
        <x:f>IF(OR(B446="",B447=""),"",B447/B446-1)</x:f>
        <x:v>#NAME?</x:v>
      </x:c>
      <x:c r="D447" s="152" t="e">
        <x:f>IF(B447="","",B447/MAX(B$5:B447)-1)</x:f>
        <x:v>#NAME?</x:v>
      </x:c>
      <x:c r="E447" s="146" t="e">
        <x:f>IF(OR('实盘净值数据(iFinD公式)'!$A447="",'实盘净值数据(iFinD公式)'!$B447=""),"",分期持仓明细!$AD$18*SUMPRODUCT(分期持仓明细!$B$18:$AA$18,'实盘净值数据(iFinD公式)'!$B447:$AA447/'实盘净值数据(iFinD公式)'!$B$20:$AA$20)*(1-实盘持仓初始配置!$Z$5)^(('实盘净值数据(iFinD公式)'!$A447-'实盘净值数据(iFinD公式)'!$A$5)/365))</x:f>
        <x:v>#NAME?</x:v>
      </x:c>
      <x:c r="F447" s="152" t="e">
        <x:f>IF(OR(E446="",E447=""),"",E447/E446-1)</x:f>
        <x:v>#NAME?</x:v>
      </x:c>
      <x:c r="G447" s="152" t="e">
        <x:f>IF(E447="","",E447/MAX(E$5:E447)-1)</x:f>
        <x:v>#NAME?</x:v>
      </x:c>
      <x:c r="H447" s="146" t="e">
        <x:f>IF(OR('实盘净值数据(iFinD公式)'!$A447="",'实盘净值数据(iFinD公式)'!$B447=""),"",分期持仓明细!$AD$19*SUMPRODUCT(分期持仓明细!$B$19:$AA$19,'实盘净值数据(iFinD公式)'!$B447:$AA447/'实盘净值数据(iFinD公式)'!$B$20:$AA$20)*(1-实盘持仓初始配置!$Z$6)^(('实盘净值数据(iFinD公式)'!$A447-'实盘净值数据(iFinD公式)'!$A$7)/365))</x:f>
        <x:v>#NAME?</x:v>
      </x:c>
      <x:c r="I447" s="152" t="e">
        <x:f>IF(OR(H446="",H447=""),"",H447/H446-1)</x:f>
        <x:v>#NAME?</x:v>
      </x:c>
      <x:c r="J447" s="152" t="e">
        <x:f>IF(H447="","",H447/MAX(H$5:H447)-1)</x:f>
        <x:v>#NAME?</x:v>
      </x:c>
      <x:c r="K447" s="146" t="e">
        <x:f>IF(OR('实盘净值数据(iFinD公式)'!$A447="",'实盘净值数据(iFinD公式)'!$B447=""),"",分期持仓明细!$AD$23*SUMPRODUCT(分期持仓明细!$B$23:$AA$23,'实盘净值数据(iFinD公式)'!$B447:$AA447/'实盘净值数据(iFinD公式)'!$B$65:$AA$65)*(1-实盘持仓初始配置!$Z$7)^(('实盘净值数据(iFinD公式)'!$A447-'实盘净值数据(iFinD公式)'!$A$8)/365))</x:f>
        <x:v>#NAME?</x:v>
      </x:c>
      <x:c r="L447" s="152" t="e">
        <x:f>IF(OR(K446="",K447=""),"",K447/K446-1)</x:f>
        <x:v>#NAME?</x:v>
      </x:c>
      <x:c r="M447" s="152" t="e">
        <x:f>IF(K447="","",K447/MAX(K$5:K447)-1)</x:f>
        <x:v>#NAME?</x:v>
      </x:c>
      <x:c r="N447" s="146" t="e">
        <x:f>IF(OR('实盘净值数据(iFinD公式)'!$A447="",'实盘净值数据(iFinD公式)'!$B447=""),"",分期持仓明细!$AD$24*SUMPRODUCT(分期持仓明细!$B$24:$AA$24,'实盘净值数据(iFinD公式)'!$B447:$AA447/'实盘净值数据(iFinD公式)'!$B$65:$AA$65)*(1-实盘持仓初始配置!$Z$8)^(('实盘净值数据(iFinD公式)'!$A447-'实盘净值数据(iFinD公式)'!$A$5)/365))</x:f>
        <x:v>#NAME?</x:v>
      </x:c>
      <x:c r="O447" s="152" t="e">
        <x:f>IF(OR(N446="",N447=""),"",N447/N446-1)</x:f>
        <x:v>#NAME?</x:v>
      </x:c>
      <x:c r="P447" s="152" t="e">
        <x:f>IF(N447="","",N447/MAX(N$5:N447)-1)</x:f>
        <x:v>#NAME?</x:v>
      </x:c>
      <x:c r="Q447" s="146" t="e">
        <x:f>IF(OR('实盘净值数据(iFinD公式)'!$A447="",'实盘净值数据(iFinD公式)'!$B447=""),"",分期持仓明细!$AD$25*SUMPRODUCT(分期持仓明细!$B$25:$AA$25,'实盘净值数据(iFinD公式)'!$B447:$AA447/'实盘净值数据(iFinD公式)'!$B$65:$AA$65)*(1-实盘持仓初始配置!$Z$9)^(('实盘净值数据(iFinD公式)'!$A447-'实盘净值数据(iFinD公式)'!$A$8)/365))</x:f>
        <x:v>#NAME?</x:v>
      </x:c>
      <x:c r="R447" s="152" t="e">
        <x:f>IF(OR(Q446="",Q447=""),"",Q447/Q446-1)</x:f>
        <x:v>#NAME?</x:v>
      </x:c>
      <x:c r="S447" s="152" t="e">
        <x:f>IF(Q447="","",Q447/MAX(Q$5:Q447)-1)</x:f>
        <x:v>#NAME?</x:v>
      </x:c>
    </x:row>
    <x:row r="448">
      <x:c r="A448" s="149" t="str">
        <x:f>IF('实盘净值数据(iFinD公式)'!A448="","",'实盘净值数据(iFinD公式)'!A448)</x:f>
      </x:c>
      <x:c r="B448" s="146" t="e">
        <x:f>IF(OR('实盘净值数据(iFinD公式)'!$A448="",'实盘净值数据(iFinD公式)'!$B448=""),"",分期持仓明细!$AD$17*SUMPRODUCT(分期持仓明细!$B$17:$AA$17,'实盘净值数据(iFinD公式)'!$B448:$AA448/'实盘净值数据(iFinD公式)'!$B$20:$AA$20)*(1-实盘持仓初始配置!$Z$4)^(('实盘净值数据(iFinD公式)'!$A448-'实盘净值数据(iFinD公式)'!$A$6)/365))</x:f>
        <x:v>#NAME?</x:v>
      </x:c>
      <x:c r="C448" s="152" t="e">
        <x:f>IF(OR(B447="",B448=""),"",B448/B447-1)</x:f>
        <x:v>#NAME?</x:v>
      </x:c>
      <x:c r="D448" s="152" t="e">
        <x:f>IF(B448="","",B448/MAX(B$5:B448)-1)</x:f>
        <x:v>#NAME?</x:v>
      </x:c>
      <x:c r="E448" s="146" t="e">
        <x:f>IF(OR('实盘净值数据(iFinD公式)'!$A448="",'实盘净值数据(iFinD公式)'!$B448=""),"",分期持仓明细!$AD$18*SUMPRODUCT(分期持仓明细!$B$18:$AA$18,'实盘净值数据(iFinD公式)'!$B448:$AA448/'实盘净值数据(iFinD公式)'!$B$20:$AA$20)*(1-实盘持仓初始配置!$Z$5)^(('实盘净值数据(iFinD公式)'!$A448-'实盘净值数据(iFinD公式)'!$A$5)/365))</x:f>
        <x:v>#NAME?</x:v>
      </x:c>
      <x:c r="F448" s="152" t="e">
        <x:f>IF(OR(E447="",E448=""),"",E448/E447-1)</x:f>
        <x:v>#NAME?</x:v>
      </x:c>
      <x:c r="G448" s="152" t="e">
        <x:f>IF(E448="","",E448/MAX(E$5:E448)-1)</x:f>
        <x:v>#NAME?</x:v>
      </x:c>
      <x:c r="H448" s="146" t="e">
        <x:f>IF(OR('实盘净值数据(iFinD公式)'!$A448="",'实盘净值数据(iFinD公式)'!$B448=""),"",分期持仓明细!$AD$19*SUMPRODUCT(分期持仓明细!$B$19:$AA$19,'实盘净值数据(iFinD公式)'!$B448:$AA448/'实盘净值数据(iFinD公式)'!$B$20:$AA$20)*(1-实盘持仓初始配置!$Z$6)^(('实盘净值数据(iFinD公式)'!$A448-'实盘净值数据(iFinD公式)'!$A$7)/365))</x:f>
        <x:v>#NAME?</x:v>
      </x:c>
      <x:c r="I448" s="152" t="e">
        <x:f>IF(OR(H447="",H448=""),"",H448/H447-1)</x:f>
        <x:v>#NAME?</x:v>
      </x:c>
      <x:c r="J448" s="152" t="e">
        <x:f>IF(H448="","",H448/MAX(H$5:H448)-1)</x:f>
        <x:v>#NAME?</x:v>
      </x:c>
      <x:c r="K448" s="146" t="e">
        <x:f>IF(OR('实盘净值数据(iFinD公式)'!$A448="",'实盘净值数据(iFinD公式)'!$B448=""),"",分期持仓明细!$AD$23*SUMPRODUCT(分期持仓明细!$B$23:$AA$23,'实盘净值数据(iFinD公式)'!$B448:$AA448/'实盘净值数据(iFinD公式)'!$B$65:$AA$65)*(1-实盘持仓初始配置!$Z$7)^(('实盘净值数据(iFinD公式)'!$A448-'实盘净值数据(iFinD公式)'!$A$8)/365))</x:f>
        <x:v>#NAME?</x:v>
      </x:c>
      <x:c r="L448" s="152" t="e">
        <x:f>IF(OR(K447="",K448=""),"",K448/K447-1)</x:f>
        <x:v>#NAME?</x:v>
      </x:c>
      <x:c r="M448" s="152" t="e">
        <x:f>IF(K448="","",K448/MAX(K$5:K448)-1)</x:f>
        <x:v>#NAME?</x:v>
      </x:c>
      <x:c r="N448" s="146" t="e">
        <x:f>IF(OR('实盘净值数据(iFinD公式)'!$A448="",'实盘净值数据(iFinD公式)'!$B448=""),"",分期持仓明细!$AD$24*SUMPRODUCT(分期持仓明细!$B$24:$AA$24,'实盘净值数据(iFinD公式)'!$B448:$AA448/'实盘净值数据(iFinD公式)'!$B$65:$AA$65)*(1-实盘持仓初始配置!$Z$8)^(('实盘净值数据(iFinD公式)'!$A448-'实盘净值数据(iFinD公式)'!$A$5)/365))</x:f>
        <x:v>#NAME?</x:v>
      </x:c>
      <x:c r="O448" s="152" t="e">
        <x:f>IF(OR(N447="",N448=""),"",N448/N447-1)</x:f>
        <x:v>#NAME?</x:v>
      </x:c>
      <x:c r="P448" s="152" t="e">
        <x:f>IF(N448="","",N448/MAX(N$5:N448)-1)</x:f>
        <x:v>#NAME?</x:v>
      </x:c>
      <x:c r="Q448" s="146" t="e">
        <x:f>IF(OR('实盘净值数据(iFinD公式)'!$A448="",'实盘净值数据(iFinD公式)'!$B448=""),"",分期持仓明细!$AD$25*SUMPRODUCT(分期持仓明细!$B$25:$AA$25,'实盘净值数据(iFinD公式)'!$B448:$AA448/'实盘净值数据(iFinD公式)'!$B$65:$AA$65)*(1-实盘持仓初始配置!$Z$9)^(('实盘净值数据(iFinD公式)'!$A448-'实盘净值数据(iFinD公式)'!$A$8)/365))</x:f>
        <x:v>#NAME?</x:v>
      </x:c>
      <x:c r="R448" s="152" t="e">
        <x:f>IF(OR(Q447="",Q448=""),"",Q448/Q447-1)</x:f>
        <x:v>#NAME?</x:v>
      </x:c>
      <x:c r="S448" s="152" t="e">
        <x:f>IF(Q448="","",Q448/MAX(Q$5:Q448)-1)</x:f>
        <x:v>#NAME?</x:v>
      </x:c>
    </x:row>
    <x:row r="449">
      <x:c r="A449" s="149" t="str">
        <x:f>IF('实盘净值数据(iFinD公式)'!A449="","",'实盘净值数据(iFinD公式)'!A449)</x:f>
      </x:c>
      <x:c r="B449" s="146" t="e">
        <x:f>IF(OR('实盘净值数据(iFinD公式)'!$A449="",'实盘净值数据(iFinD公式)'!$B449=""),"",分期持仓明细!$AD$17*SUMPRODUCT(分期持仓明细!$B$17:$AA$17,'实盘净值数据(iFinD公式)'!$B449:$AA449/'实盘净值数据(iFinD公式)'!$B$20:$AA$20)*(1-实盘持仓初始配置!$Z$4)^(('实盘净值数据(iFinD公式)'!$A449-'实盘净值数据(iFinD公式)'!$A$6)/365))</x:f>
        <x:v>#NAME?</x:v>
      </x:c>
      <x:c r="C449" s="152" t="e">
        <x:f>IF(OR(B448="",B449=""),"",B449/B448-1)</x:f>
        <x:v>#NAME?</x:v>
      </x:c>
      <x:c r="D449" s="152" t="e">
        <x:f>IF(B449="","",B449/MAX(B$5:B449)-1)</x:f>
        <x:v>#NAME?</x:v>
      </x:c>
      <x:c r="E449" s="146" t="e">
        <x:f>IF(OR('实盘净值数据(iFinD公式)'!$A449="",'实盘净值数据(iFinD公式)'!$B449=""),"",分期持仓明细!$AD$18*SUMPRODUCT(分期持仓明细!$B$18:$AA$18,'实盘净值数据(iFinD公式)'!$B449:$AA449/'实盘净值数据(iFinD公式)'!$B$20:$AA$20)*(1-实盘持仓初始配置!$Z$5)^(('实盘净值数据(iFinD公式)'!$A449-'实盘净值数据(iFinD公式)'!$A$5)/365))</x:f>
        <x:v>#NAME?</x:v>
      </x:c>
      <x:c r="F449" s="152" t="e">
        <x:f>IF(OR(E448="",E449=""),"",E449/E448-1)</x:f>
        <x:v>#NAME?</x:v>
      </x:c>
      <x:c r="G449" s="152" t="e">
        <x:f>IF(E449="","",E449/MAX(E$5:E449)-1)</x:f>
        <x:v>#NAME?</x:v>
      </x:c>
      <x:c r="H449" s="146" t="e">
        <x:f>IF(OR('实盘净值数据(iFinD公式)'!$A449="",'实盘净值数据(iFinD公式)'!$B449=""),"",分期持仓明细!$AD$19*SUMPRODUCT(分期持仓明细!$B$19:$AA$19,'实盘净值数据(iFinD公式)'!$B449:$AA449/'实盘净值数据(iFinD公式)'!$B$20:$AA$20)*(1-实盘持仓初始配置!$Z$6)^(('实盘净值数据(iFinD公式)'!$A449-'实盘净值数据(iFinD公式)'!$A$7)/365))</x:f>
        <x:v>#NAME?</x:v>
      </x:c>
      <x:c r="I449" s="152" t="e">
        <x:f>IF(OR(H448="",H449=""),"",H449/H448-1)</x:f>
        <x:v>#NAME?</x:v>
      </x:c>
      <x:c r="J449" s="152" t="e">
        <x:f>IF(H449="","",H449/MAX(H$5:H449)-1)</x:f>
        <x:v>#NAME?</x:v>
      </x:c>
      <x:c r="K449" s="146" t="e">
        <x:f>IF(OR('实盘净值数据(iFinD公式)'!$A449="",'实盘净值数据(iFinD公式)'!$B449=""),"",分期持仓明细!$AD$23*SUMPRODUCT(分期持仓明细!$B$23:$AA$23,'实盘净值数据(iFinD公式)'!$B449:$AA449/'实盘净值数据(iFinD公式)'!$B$65:$AA$65)*(1-实盘持仓初始配置!$Z$7)^(('实盘净值数据(iFinD公式)'!$A449-'实盘净值数据(iFinD公式)'!$A$8)/365))</x:f>
        <x:v>#NAME?</x:v>
      </x:c>
      <x:c r="L449" s="152" t="e">
        <x:f>IF(OR(K448="",K449=""),"",K449/K448-1)</x:f>
        <x:v>#NAME?</x:v>
      </x:c>
      <x:c r="M449" s="152" t="e">
        <x:f>IF(K449="","",K449/MAX(K$5:K449)-1)</x:f>
        <x:v>#NAME?</x:v>
      </x:c>
      <x:c r="N449" s="146" t="e">
        <x:f>IF(OR('实盘净值数据(iFinD公式)'!$A449="",'实盘净值数据(iFinD公式)'!$B449=""),"",分期持仓明细!$AD$24*SUMPRODUCT(分期持仓明细!$B$24:$AA$24,'实盘净值数据(iFinD公式)'!$B449:$AA449/'实盘净值数据(iFinD公式)'!$B$65:$AA$65)*(1-实盘持仓初始配置!$Z$8)^(('实盘净值数据(iFinD公式)'!$A449-'实盘净值数据(iFinD公式)'!$A$5)/365))</x:f>
        <x:v>#NAME?</x:v>
      </x:c>
      <x:c r="O449" s="152" t="e">
        <x:f>IF(OR(N448="",N449=""),"",N449/N448-1)</x:f>
        <x:v>#NAME?</x:v>
      </x:c>
      <x:c r="P449" s="152" t="e">
        <x:f>IF(N449="","",N449/MAX(N$5:N449)-1)</x:f>
        <x:v>#NAME?</x:v>
      </x:c>
      <x:c r="Q449" s="146" t="e">
        <x:f>IF(OR('实盘净值数据(iFinD公式)'!$A449="",'实盘净值数据(iFinD公式)'!$B449=""),"",分期持仓明细!$AD$25*SUMPRODUCT(分期持仓明细!$B$25:$AA$25,'实盘净值数据(iFinD公式)'!$B449:$AA449/'实盘净值数据(iFinD公式)'!$B$65:$AA$65)*(1-实盘持仓初始配置!$Z$9)^(('实盘净值数据(iFinD公式)'!$A449-'实盘净值数据(iFinD公式)'!$A$8)/365))</x:f>
        <x:v>#NAME?</x:v>
      </x:c>
      <x:c r="R449" s="152" t="e">
        <x:f>IF(OR(Q448="",Q449=""),"",Q449/Q448-1)</x:f>
        <x:v>#NAME?</x:v>
      </x:c>
      <x:c r="S449" s="152" t="e">
        <x:f>IF(Q449="","",Q449/MAX(Q$5:Q449)-1)</x:f>
        <x:v>#NAME?</x:v>
      </x:c>
    </x:row>
    <x:row r="450">
      <x:c r="A450" s="149" t="str">
        <x:f>IF('实盘净值数据(iFinD公式)'!A450="","",'实盘净值数据(iFinD公式)'!A450)</x:f>
      </x:c>
      <x:c r="B450" s="146" t="e">
        <x:f>IF(OR('实盘净值数据(iFinD公式)'!$A450="",'实盘净值数据(iFinD公式)'!$B450=""),"",分期持仓明细!$AD$17*SUMPRODUCT(分期持仓明细!$B$17:$AA$17,'实盘净值数据(iFinD公式)'!$B450:$AA450/'实盘净值数据(iFinD公式)'!$B$20:$AA$20)*(1-实盘持仓初始配置!$Z$4)^(('实盘净值数据(iFinD公式)'!$A450-'实盘净值数据(iFinD公式)'!$A$6)/365))</x:f>
        <x:v>#NAME?</x:v>
      </x:c>
      <x:c r="C450" s="152" t="e">
        <x:f>IF(OR(B449="",B450=""),"",B450/B449-1)</x:f>
        <x:v>#NAME?</x:v>
      </x:c>
      <x:c r="D450" s="152" t="e">
        <x:f>IF(B450="","",B450/MAX(B$5:B450)-1)</x:f>
        <x:v>#NAME?</x:v>
      </x:c>
      <x:c r="E450" s="146" t="e">
        <x:f>IF(OR('实盘净值数据(iFinD公式)'!$A450="",'实盘净值数据(iFinD公式)'!$B450=""),"",分期持仓明细!$AD$18*SUMPRODUCT(分期持仓明细!$B$18:$AA$18,'实盘净值数据(iFinD公式)'!$B450:$AA450/'实盘净值数据(iFinD公式)'!$B$20:$AA$20)*(1-实盘持仓初始配置!$Z$5)^(('实盘净值数据(iFinD公式)'!$A450-'实盘净值数据(iFinD公式)'!$A$5)/365))</x:f>
        <x:v>#NAME?</x:v>
      </x:c>
      <x:c r="F450" s="152" t="e">
        <x:f>IF(OR(E449="",E450=""),"",E450/E449-1)</x:f>
        <x:v>#NAME?</x:v>
      </x:c>
      <x:c r="G450" s="152" t="e">
        <x:f>IF(E450="","",E450/MAX(E$5:E450)-1)</x:f>
        <x:v>#NAME?</x:v>
      </x:c>
      <x:c r="H450" s="146" t="e">
        <x:f>IF(OR('实盘净值数据(iFinD公式)'!$A450="",'实盘净值数据(iFinD公式)'!$B450=""),"",分期持仓明细!$AD$19*SUMPRODUCT(分期持仓明细!$B$19:$AA$19,'实盘净值数据(iFinD公式)'!$B450:$AA450/'实盘净值数据(iFinD公式)'!$B$20:$AA$20)*(1-实盘持仓初始配置!$Z$6)^(('实盘净值数据(iFinD公式)'!$A450-'实盘净值数据(iFinD公式)'!$A$7)/365))</x:f>
        <x:v>#NAME?</x:v>
      </x:c>
      <x:c r="I450" s="152" t="e">
        <x:f>IF(OR(H449="",H450=""),"",H450/H449-1)</x:f>
        <x:v>#NAME?</x:v>
      </x:c>
      <x:c r="J450" s="152" t="e">
        <x:f>IF(H450="","",H450/MAX(H$5:H450)-1)</x:f>
        <x:v>#NAME?</x:v>
      </x:c>
      <x:c r="K450" s="146" t="e">
        <x:f>IF(OR('实盘净值数据(iFinD公式)'!$A450="",'实盘净值数据(iFinD公式)'!$B450=""),"",分期持仓明细!$AD$23*SUMPRODUCT(分期持仓明细!$B$23:$AA$23,'实盘净值数据(iFinD公式)'!$B450:$AA450/'实盘净值数据(iFinD公式)'!$B$65:$AA$65)*(1-实盘持仓初始配置!$Z$7)^(('实盘净值数据(iFinD公式)'!$A450-'实盘净值数据(iFinD公式)'!$A$8)/365))</x:f>
        <x:v>#NAME?</x:v>
      </x:c>
      <x:c r="L450" s="152" t="e">
        <x:f>IF(OR(K449="",K450=""),"",K450/K449-1)</x:f>
        <x:v>#NAME?</x:v>
      </x:c>
      <x:c r="M450" s="152" t="e">
        <x:f>IF(K450="","",K450/MAX(K$5:K450)-1)</x:f>
        <x:v>#NAME?</x:v>
      </x:c>
      <x:c r="N450" s="146" t="e">
        <x:f>IF(OR('实盘净值数据(iFinD公式)'!$A450="",'实盘净值数据(iFinD公式)'!$B450=""),"",分期持仓明细!$AD$24*SUMPRODUCT(分期持仓明细!$B$24:$AA$24,'实盘净值数据(iFinD公式)'!$B450:$AA450/'实盘净值数据(iFinD公式)'!$B$65:$AA$65)*(1-实盘持仓初始配置!$Z$8)^(('实盘净值数据(iFinD公式)'!$A450-'实盘净值数据(iFinD公式)'!$A$5)/365))</x:f>
        <x:v>#NAME?</x:v>
      </x:c>
      <x:c r="O450" s="152" t="e">
        <x:f>IF(OR(N449="",N450=""),"",N450/N449-1)</x:f>
        <x:v>#NAME?</x:v>
      </x:c>
      <x:c r="P450" s="152" t="e">
        <x:f>IF(N450="","",N450/MAX(N$5:N450)-1)</x:f>
        <x:v>#NAME?</x:v>
      </x:c>
      <x:c r="Q450" s="146" t="e">
        <x:f>IF(OR('实盘净值数据(iFinD公式)'!$A450="",'实盘净值数据(iFinD公式)'!$B450=""),"",分期持仓明细!$AD$25*SUMPRODUCT(分期持仓明细!$B$25:$AA$25,'实盘净值数据(iFinD公式)'!$B450:$AA450/'实盘净值数据(iFinD公式)'!$B$65:$AA$65)*(1-实盘持仓初始配置!$Z$9)^(('实盘净值数据(iFinD公式)'!$A450-'实盘净值数据(iFinD公式)'!$A$8)/365))</x:f>
        <x:v>#NAME?</x:v>
      </x:c>
      <x:c r="R450" s="152" t="e">
        <x:f>IF(OR(Q449="",Q450=""),"",Q450/Q449-1)</x:f>
        <x:v>#NAME?</x:v>
      </x:c>
      <x:c r="S450" s="152" t="e">
        <x:f>IF(Q450="","",Q450/MAX(Q$5:Q450)-1)</x:f>
        <x:v>#NAME?</x:v>
      </x:c>
    </x:row>
    <x:row r="451">
      <x:c r="A451" s="149" t="str">
        <x:f>IF('实盘净值数据(iFinD公式)'!A451="","",'实盘净值数据(iFinD公式)'!A451)</x:f>
      </x:c>
      <x:c r="B451" s="146" t="e">
        <x:f>IF(OR('实盘净值数据(iFinD公式)'!$A451="",'实盘净值数据(iFinD公式)'!$B451=""),"",分期持仓明细!$AD$17*SUMPRODUCT(分期持仓明细!$B$17:$AA$17,'实盘净值数据(iFinD公式)'!$B451:$AA451/'实盘净值数据(iFinD公式)'!$B$20:$AA$20)*(1-实盘持仓初始配置!$Z$4)^(('实盘净值数据(iFinD公式)'!$A451-'实盘净值数据(iFinD公式)'!$A$6)/365))</x:f>
        <x:v>#NAME?</x:v>
      </x:c>
      <x:c r="C451" s="152" t="e">
        <x:f>IF(OR(B450="",B451=""),"",B451/B450-1)</x:f>
        <x:v>#NAME?</x:v>
      </x:c>
      <x:c r="D451" s="152" t="e">
        <x:f>IF(B451="","",B451/MAX(B$5:B451)-1)</x:f>
        <x:v>#NAME?</x:v>
      </x:c>
      <x:c r="E451" s="146" t="e">
        <x:f>IF(OR('实盘净值数据(iFinD公式)'!$A451="",'实盘净值数据(iFinD公式)'!$B451=""),"",分期持仓明细!$AD$18*SUMPRODUCT(分期持仓明细!$B$18:$AA$18,'实盘净值数据(iFinD公式)'!$B451:$AA451/'实盘净值数据(iFinD公式)'!$B$20:$AA$20)*(1-实盘持仓初始配置!$Z$5)^(('实盘净值数据(iFinD公式)'!$A451-'实盘净值数据(iFinD公式)'!$A$5)/365))</x:f>
        <x:v>#NAME?</x:v>
      </x:c>
      <x:c r="F451" s="152" t="e">
        <x:f>IF(OR(E450="",E451=""),"",E451/E450-1)</x:f>
        <x:v>#NAME?</x:v>
      </x:c>
      <x:c r="G451" s="152" t="e">
        <x:f>IF(E451="","",E451/MAX(E$5:E451)-1)</x:f>
        <x:v>#NAME?</x:v>
      </x:c>
      <x:c r="H451" s="146" t="e">
        <x:f>IF(OR('实盘净值数据(iFinD公式)'!$A451="",'实盘净值数据(iFinD公式)'!$B451=""),"",分期持仓明细!$AD$19*SUMPRODUCT(分期持仓明细!$B$19:$AA$19,'实盘净值数据(iFinD公式)'!$B451:$AA451/'实盘净值数据(iFinD公式)'!$B$20:$AA$20)*(1-实盘持仓初始配置!$Z$6)^(('实盘净值数据(iFinD公式)'!$A451-'实盘净值数据(iFinD公式)'!$A$7)/365))</x:f>
        <x:v>#NAME?</x:v>
      </x:c>
      <x:c r="I451" s="152" t="e">
        <x:f>IF(OR(H450="",H451=""),"",H451/H450-1)</x:f>
        <x:v>#NAME?</x:v>
      </x:c>
      <x:c r="J451" s="152" t="e">
        <x:f>IF(H451="","",H451/MAX(H$5:H451)-1)</x:f>
        <x:v>#NAME?</x:v>
      </x:c>
      <x:c r="K451" s="146" t="e">
        <x:f>IF(OR('实盘净值数据(iFinD公式)'!$A451="",'实盘净值数据(iFinD公式)'!$B451=""),"",分期持仓明细!$AD$23*SUMPRODUCT(分期持仓明细!$B$23:$AA$23,'实盘净值数据(iFinD公式)'!$B451:$AA451/'实盘净值数据(iFinD公式)'!$B$65:$AA$65)*(1-实盘持仓初始配置!$Z$7)^(('实盘净值数据(iFinD公式)'!$A451-'实盘净值数据(iFinD公式)'!$A$8)/365))</x:f>
        <x:v>#NAME?</x:v>
      </x:c>
      <x:c r="L451" s="152" t="e">
        <x:f>IF(OR(K450="",K451=""),"",K451/K450-1)</x:f>
        <x:v>#NAME?</x:v>
      </x:c>
      <x:c r="M451" s="152" t="e">
        <x:f>IF(K451="","",K451/MAX(K$5:K451)-1)</x:f>
        <x:v>#NAME?</x:v>
      </x:c>
      <x:c r="N451" s="146" t="e">
        <x:f>IF(OR('实盘净值数据(iFinD公式)'!$A451="",'实盘净值数据(iFinD公式)'!$B451=""),"",分期持仓明细!$AD$24*SUMPRODUCT(分期持仓明细!$B$24:$AA$24,'实盘净值数据(iFinD公式)'!$B451:$AA451/'实盘净值数据(iFinD公式)'!$B$65:$AA$65)*(1-实盘持仓初始配置!$Z$8)^(('实盘净值数据(iFinD公式)'!$A451-'实盘净值数据(iFinD公式)'!$A$5)/365))</x:f>
        <x:v>#NAME?</x:v>
      </x:c>
      <x:c r="O451" s="152" t="e">
        <x:f>IF(OR(N450="",N451=""),"",N451/N450-1)</x:f>
        <x:v>#NAME?</x:v>
      </x:c>
      <x:c r="P451" s="152" t="e">
        <x:f>IF(N451="","",N451/MAX(N$5:N451)-1)</x:f>
        <x:v>#NAME?</x:v>
      </x:c>
      <x:c r="Q451" s="146" t="e">
        <x:f>IF(OR('实盘净值数据(iFinD公式)'!$A451="",'实盘净值数据(iFinD公式)'!$B451=""),"",分期持仓明细!$AD$25*SUMPRODUCT(分期持仓明细!$B$25:$AA$25,'实盘净值数据(iFinD公式)'!$B451:$AA451/'实盘净值数据(iFinD公式)'!$B$65:$AA$65)*(1-实盘持仓初始配置!$Z$9)^(('实盘净值数据(iFinD公式)'!$A451-'实盘净值数据(iFinD公式)'!$A$8)/365))</x:f>
        <x:v>#NAME?</x:v>
      </x:c>
      <x:c r="R451" s="152" t="e">
        <x:f>IF(OR(Q450="",Q451=""),"",Q451/Q450-1)</x:f>
        <x:v>#NAME?</x:v>
      </x:c>
      <x:c r="S451" s="152" t="e">
        <x:f>IF(Q451="","",Q451/MAX(Q$5:Q451)-1)</x:f>
        <x:v>#NAME?</x:v>
      </x:c>
    </x:row>
    <x:row r="452">
      <x:c r="A452" s="149" t="str">
        <x:f>IF('实盘净值数据(iFinD公式)'!A452="","",'实盘净值数据(iFinD公式)'!A452)</x:f>
      </x:c>
      <x:c r="B452" s="146" t="e">
        <x:f>IF(OR('实盘净值数据(iFinD公式)'!$A452="",'实盘净值数据(iFinD公式)'!$B452=""),"",分期持仓明细!$AD$17*SUMPRODUCT(分期持仓明细!$B$17:$AA$17,'实盘净值数据(iFinD公式)'!$B452:$AA452/'实盘净值数据(iFinD公式)'!$B$20:$AA$20)*(1-实盘持仓初始配置!$Z$4)^(('实盘净值数据(iFinD公式)'!$A452-'实盘净值数据(iFinD公式)'!$A$6)/365))</x:f>
        <x:v>#NAME?</x:v>
      </x:c>
      <x:c r="C452" s="152" t="e">
        <x:f>IF(OR(B451="",B452=""),"",B452/B451-1)</x:f>
        <x:v>#NAME?</x:v>
      </x:c>
      <x:c r="D452" s="152" t="e">
        <x:f>IF(B452="","",B452/MAX(B$5:B452)-1)</x:f>
        <x:v>#NAME?</x:v>
      </x:c>
      <x:c r="E452" s="146" t="e">
        <x:f>IF(OR('实盘净值数据(iFinD公式)'!$A452="",'实盘净值数据(iFinD公式)'!$B452=""),"",分期持仓明细!$AD$18*SUMPRODUCT(分期持仓明细!$B$18:$AA$18,'实盘净值数据(iFinD公式)'!$B452:$AA452/'实盘净值数据(iFinD公式)'!$B$20:$AA$20)*(1-实盘持仓初始配置!$Z$5)^(('实盘净值数据(iFinD公式)'!$A452-'实盘净值数据(iFinD公式)'!$A$5)/365))</x:f>
        <x:v>#NAME?</x:v>
      </x:c>
      <x:c r="F452" s="152" t="e">
        <x:f>IF(OR(E451="",E452=""),"",E452/E451-1)</x:f>
        <x:v>#NAME?</x:v>
      </x:c>
      <x:c r="G452" s="152" t="e">
        <x:f>IF(E452="","",E452/MAX(E$5:E452)-1)</x:f>
        <x:v>#NAME?</x:v>
      </x:c>
      <x:c r="H452" s="146" t="e">
        <x:f>IF(OR('实盘净值数据(iFinD公式)'!$A452="",'实盘净值数据(iFinD公式)'!$B452=""),"",分期持仓明细!$AD$19*SUMPRODUCT(分期持仓明细!$B$19:$AA$19,'实盘净值数据(iFinD公式)'!$B452:$AA452/'实盘净值数据(iFinD公式)'!$B$20:$AA$20)*(1-实盘持仓初始配置!$Z$6)^(('实盘净值数据(iFinD公式)'!$A452-'实盘净值数据(iFinD公式)'!$A$7)/365))</x:f>
        <x:v>#NAME?</x:v>
      </x:c>
      <x:c r="I452" s="152" t="e">
        <x:f>IF(OR(H451="",H452=""),"",H452/H451-1)</x:f>
        <x:v>#NAME?</x:v>
      </x:c>
      <x:c r="J452" s="152" t="e">
        <x:f>IF(H452="","",H452/MAX(H$5:H452)-1)</x:f>
        <x:v>#NAME?</x:v>
      </x:c>
      <x:c r="K452" s="146" t="e">
        <x:f>IF(OR('实盘净值数据(iFinD公式)'!$A452="",'实盘净值数据(iFinD公式)'!$B452=""),"",分期持仓明细!$AD$23*SUMPRODUCT(分期持仓明细!$B$23:$AA$23,'实盘净值数据(iFinD公式)'!$B452:$AA452/'实盘净值数据(iFinD公式)'!$B$65:$AA$65)*(1-实盘持仓初始配置!$Z$7)^(('实盘净值数据(iFinD公式)'!$A452-'实盘净值数据(iFinD公式)'!$A$8)/365))</x:f>
        <x:v>#NAME?</x:v>
      </x:c>
      <x:c r="L452" s="152" t="e">
        <x:f>IF(OR(K451="",K452=""),"",K452/K451-1)</x:f>
        <x:v>#NAME?</x:v>
      </x:c>
      <x:c r="M452" s="152" t="e">
        <x:f>IF(K452="","",K452/MAX(K$5:K452)-1)</x:f>
        <x:v>#NAME?</x:v>
      </x:c>
      <x:c r="N452" s="146" t="e">
        <x:f>IF(OR('实盘净值数据(iFinD公式)'!$A452="",'实盘净值数据(iFinD公式)'!$B452=""),"",分期持仓明细!$AD$24*SUMPRODUCT(分期持仓明细!$B$24:$AA$24,'实盘净值数据(iFinD公式)'!$B452:$AA452/'实盘净值数据(iFinD公式)'!$B$65:$AA$65)*(1-实盘持仓初始配置!$Z$8)^(('实盘净值数据(iFinD公式)'!$A452-'实盘净值数据(iFinD公式)'!$A$5)/365))</x:f>
        <x:v>#NAME?</x:v>
      </x:c>
      <x:c r="O452" s="152" t="e">
        <x:f>IF(OR(N451="",N452=""),"",N452/N451-1)</x:f>
        <x:v>#NAME?</x:v>
      </x:c>
      <x:c r="P452" s="152" t="e">
        <x:f>IF(N452="","",N452/MAX(N$5:N452)-1)</x:f>
        <x:v>#NAME?</x:v>
      </x:c>
      <x:c r="Q452" s="146" t="e">
        <x:f>IF(OR('实盘净值数据(iFinD公式)'!$A452="",'实盘净值数据(iFinD公式)'!$B452=""),"",分期持仓明细!$AD$25*SUMPRODUCT(分期持仓明细!$B$25:$AA$25,'实盘净值数据(iFinD公式)'!$B452:$AA452/'实盘净值数据(iFinD公式)'!$B$65:$AA$65)*(1-实盘持仓初始配置!$Z$9)^(('实盘净值数据(iFinD公式)'!$A452-'实盘净值数据(iFinD公式)'!$A$8)/365))</x:f>
        <x:v>#NAME?</x:v>
      </x:c>
      <x:c r="R452" s="152" t="e">
        <x:f>IF(OR(Q451="",Q452=""),"",Q452/Q451-1)</x:f>
        <x:v>#NAME?</x:v>
      </x:c>
      <x:c r="S452" s="152" t="e">
        <x:f>IF(Q452="","",Q452/MAX(Q$5:Q452)-1)</x:f>
        <x:v>#NAME?</x:v>
      </x:c>
    </x:row>
    <x:row r="453">
      <x:c r="A453" s="149" t="str">
        <x:f>IF('实盘净值数据(iFinD公式)'!A453="","",'实盘净值数据(iFinD公式)'!A453)</x:f>
      </x:c>
      <x:c r="B453" s="146" t="e">
        <x:f>IF(OR('实盘净值数据(iFinD公式)'!$A453="",'实盘净值数据(iFinD公式)'!$B453=""),"",分期持仓明细!$AD$17*SUMPRODUCT(分期持仓明细!$B$17:$AA$17,'实盘净值数据(iFinD公式)'!$B453:$AA453/'实盘净值数据(iFinD公式)'!$B$20:$AA$20)*(1-实盘持仓初始配置!$Z$4)^(('实盘净值数据(iFinD公式)'!$A453-'实盘净值数据(iFinD公式)'!$A$6)/365))</x:f>
        <x:v>#NAME?</x:v>
      </x:c>
      <x:c r="C453" s="152" t="e">
        <x:f>IF(OR(B452="",B453=""),"",B453/B452-1)</x:f>
        <x:v>#NAME?</x:v>
      </x:c>
      <x:c r="D453" s="152" t="e">
        <x:f>IF(B453="","",B453/MAX(B$5:B453)-1)</x:f>
        <x:v>#NAME?</x:v>
      </x:c>
      <x:c r="E453" s="146" t="e">
        <x:f>IF(OR('实盘净值数据(iFinD公式)'!$A453="",'实盘净值数据(iFinD公式)'!$B453=""),"",分期持仓明细!$AD$18*SUMPRODUCT(分期持仓明细!$B$18:$AA$18,'实盘净值数据(iFinD公式)'!$B453:$AA453/'实盘净值数据(iFinD公式)'!$B$20:$AA$20)*(1-实盘持仓初始配置!$Z$5)^(('实盘净值数据(iFinD公式)'!$A453-'实盘净值数据(iFinD公式)'!$A$5)/365))</x:f>
        <x:v>#NAME?</x:v>
      </x:c>
      <x:c r="F453" s="152" t="e">
        <x:f>IF(OR(E452="",E453=""),"",E453/E452-1)</x:f>
        <x:v>#NAME?</x:v>
      </x:c>
      <x:c r="G453" s="152" t="e">
        <x:f>IF(E453="","",E453/MAX(E$5:E453)-1)</x:f>
        <x:v>#NAME?</x:v>
      </x:c>
      <x:c r="H453" s="146" t="e">
        <x:f>IF(OR('实盘净值数据(iFinD公式)'!$A453="",'实盘净值数据(iFinD公式)'!$B453=""),"",分期持仓明细!$AD$19*SUMPRODUCT(分期持仓明细!$B$19:$AA$19,'实盘净值数据(iFinD公式)'!$B453:$AA453/'实盘净值数据(iFinD公式)'!$B$20:$AA$20)*(1-实盘持仓初始配置!$Z$6)^(('实盘净值数据(iFinD公式)'!$A453-'实盘净值数据(iFinD公式)'!$A$7)/365))</x:f>
        <x:v>#NAME?</x:v>
      </x:c>
      <x:c r="I453" s="152" t="e">
        <x:f>IF(OR(H452="",H453=""),"",H453/H452-1)</x:f>
        <x:v>#NAME?</x:v>
      </x:c>
      <x:c r="J453" s="152" t="e">
        <x:f>IF(H453="","",H453/MAX(H$5:H453)-1)</x:f>
        <x:v>#NAME?</x:v>
      </x:c>
      <x:c r="K453" s="146" t="e">
        <x:f>IF(OR('实盘净值数据(iFinD公式)'!$A453="",'实盘净值数据(iFinD公式)'!$B453=""),"",分期持仓明细!$AD$23*SUMPRODUCT(分期持仓明细!$B$23:$AA$23,'实盘净值数据(iFinD公式)'!$B453:$AA453/'实盘净值数据(iFinD公式)'!$B$65:$AA$65)*(1-实盘持仓初始配置!$Z$7)^(('实盘净值数据(iFinD公式)'!$A453-'实盘净值数据(iFinD公式)'!$A$8)/365))</x:f>
        <x:v>#NAME?</x:v>
      </x:c>
      <x:c r="L453" s="152" t="e">
        <x:f>IF(OR(K452="",K453=""),"",K453/K452-1)</x:f>
        <x:v>#NAME?</x:v>
      </x:c>
      <x:c r="M453" s="152" t="e">
        <x:f>IF(K453="","",K453/MAX(K$5:K453)-1)</x:f>
        <x:v>#NAME?</x:v>
      </x:c>
      <x:c r="N453" s="146" t="e">
        <x:f>IF(OR('实盘净值数据(iFinD公式)'!$A453="",'实盘净值数据(iFinD公式)'!$B453=""),"",分期持仓明细!$AD$24*SUMPRODUCT(分期持仓明细!$B$24:$AA$24,'实盘净值数据(iFinD公式)'!$B453:$AA453/'实盘净值数据(iFinD公式)'!$B$65:$AA$65)*(1-实盘持仓初始配置!$Z$8)^(('实盘净值数据(iFinD公式)'!$A453-'实盘净值数据(iFinD公式)'!$A$5)/365))</x:f>
        <x:v>#NAME?</x:v>
      </x:c>
      <x:c r="O453" s="152" t="e">
        <x:f>IF(OR(N452="",N453=""),"",N453/N452-1)</x:f>
        <x:v>#NAME?</x:v>
      </x:c>
      <x:c r="P453" s="152" t="e">
        <x:f>IF(N453="","",N453/MAX(N$5:N453)-1)</x:f>
        <x:v>#NAME?</x:v>
      </x:c>
      <x:c r="Q453" s="146" t="e">
        <x:f>IF(OR('实盘净值数据(iFinD公式)'!$A453="",'实盘净值数据(iFinD公式)'!$B453=""),"",分期持仓明细!$AD$25*SUMPRODUCT(分期持仓明细!$B$25:$AA$25,'实盘净值数据(iFinD公式)'!$B453:$AA453/'实盘净值数据(iFinD公式)'!$B$65:$AA$65)*(1-实盘持仓初始配置!$Z$9)^(('实盘净值数据(iFinD公式)'!$A453-'实盘净值数据(iFinD公式)'!$A$8)/365))</x:f>
        <x:v>#NAME?</x:v>
      </x:c>
      <x:c r="R453" s="152" t="e">
        <x:f>IF(OR(Q452="",Q453=""),"",Q453/Q452-1)</x:f>
        <x:v>#NAME?</x:v>
      </x:c>
      <x:c r="S453" s="152" t="e">
        <x:f>IF(Q453="","",Q453/MAX(Q$5:Q453)-1)</x:f>
        <x:v>#NAME?</x:v>
      </x:c>
    </x:row>
    <x:row r="454">
      <x:c r="A454" s="149" t="str">
        <x:f>IF('实盘净值数据(iFinD公式)'!A454="","",'实盘净值数据(iFinD公式)'!A454)</x:f>
      </x:c>
      <x:c r="B454" s="146" t="e">
        <x:f>IF(OR('实盘净值数据(iFinD公式)'!$A454="",'实盘净值数据(iFinD公式)'!$B454=""),"",分期持仓明细!$AD$17*SUMPRODUCT(分期持仓明细!$B$17:$AA$17,'实盘净值数据(iFinD公式)'!$B454:$AA454/'实盘净值数据(iFinD公式)'!$B$20:$AA$20)*(1-实盘持仓初始配置!$Z$4)^(('实盘净值数据(iFinD公式)'!$A454-'实盘净值数据(iFinD公式)'!$A$6)/365))</x:f>
        <x:v>#NAME?</x:v>
      </x:c>
      <x:c r="C454" s="152" t="e">
        <x:f>IF(OR(B453="",B454=""),"",B454/B453-1)</x:f>
        <x:v>#NAME?</x:v>
      </x:c>
      <x:c r="D454" s="152" t="e">
        <x:f>IF(B454="","",B454/MAX(B$5:B454)-1)</x:f>
        <x:v>#NAME?</x:v>
      </x:c>
      <x:c r="E454" s="146" t="e">
        <x:f>IF(OR('实盘净值数据(iFinD公式)'!$A454="",'实盘净值数据(iFinD公式)'!$B454=""),"",分期持仓明细!$AD$18*SUMPRODUCT(分期持仓明细!$B$18:$AA$18,'实盘净值数据(iFinD公式)'!$B454:$AA454/'实盘净值数据(iFinD公式)'!$B$20:$AA$20)*(1-实盘持仓初始配置!$Z$5)^(('实盘净值数据(iFinD公式)'!$A454-'实盘净值数据(iFinD公式)'!$A$5)/365))</x:f>
        <x:v>#NAME?</x:v>
      </x:c>
      <x:c r="F454" s="152" t="e">
        <x:f>IF(OR(E453="",E454=""),"",E454/E453-1)</x:f>
        <x:v>#NAME?</x:v>
      </x:c>
      <x:c r="G454" s="152" t="e">
        <x:f>IF(E454="","",E454/MAX(E$5:E454)-1)</x:f>
        <x:v>#NAME?</x:v>
      </x:c>
      <x:c r="H454" s="146" t="e">
        <x:f>IF(OR('实盘净值数据(iFinD公式)'!$A454="",'实盘净值数据(iFinD公式)'!$B454=""),"",分期持仓明细!$AD$19*SUMPRODUCT(分期持仓明细!$B$19:$AA$19,'实盘净值数据(iFinD公式)'!$B454:$AA454/'实盘净值数据(iFinD公式)'!$B$20:$AA$20)*(1-实盘持仓初始配置!$Z$6)^(('实盘净值数据(iFinD公式)'!$A454-'实盘净值数据(iFinD公式)'!$A$7)/365))</x:f>
        <x:v>#NAME?</x:v>
      </x:c>
      <x:c r="I454" s="152" t="e">
        <x:f>IF(OR(H453="",H454=""),"",H454/H453-1)</x:f>
        <x:v>#NAME?</x:v>
      </x:c>
      <x:c r="J454" s="152" t="e">
        <x:f>IF(H454="","",H454/MAX(H$5:H454)-1)</x:f>
        <x:v>#NAME?</x:v>
      </x:c>
      <x:c r="K454" s="146" t="e">
        <x:f>IF(OR('实盘净值数据(iFinD公式)'!$A454="",'实盘净值数据(iFinD公式)'!$B454=""),"",分期持仓明细!$AD$23*SUMPRODUCT(分期持仓明细!$B$23:$AA$23,'实盘净值数据(iFinD公式)'!$B454:$AA454/'实盘净值数据(iFinD公式)'!$B$65:$AA$65)*(1-实盘持仓初始配置!$Z$7)^(('实盘净值数据(iFinD公式)'!$A454-'实盘净值数据(iFinD公式)'!$A$8)/365))</x:f>
        <x:v>#NAME?</x:v>
      </x:c>
      <x:c r="L454" s="152" t="e">
        <x:f>IF(OR(K453="",K454=""),"",K454/K453-1)</x:f>
        <x:v>#NAME?</x:v>
      </x:c>
      <x:c r="M454" s="152" t="e">
        <x:f>IF(K454="","",K454/MAX(K$5:K454)-1)</x:f>
        <x:v>#NAME?</x:v>
      </x:c>
      <x:c r="N454" s="146" t="e">
        <x:f>IF(OR('实盘净值数据(iFinD公式)'!$A454="",'实盘净值数据(iFinD公式)'!$B454=""),"",分期持仓明细!$AD$24*SUMPRODUCT(分期持仓明细!$B$24:$AA$24,'实盘净值数据(iFinD公式)'!$B454:$AA454/'实盘净值数据(iFinD公式)'!$B$65:$AA$65)*(1-实盘持仓初始配置!$Z$8)^(('实盘净值数据(iFinD公式)'!$A454-'实盘净值数据(iFinD公式)'!$A$5)/365))</x:f>
        <x:v>#NAME?</x:v>
      </x:c>
      <x:c r="O454" s="152" t="e">
        <x:f>IF(OR(N453="",N454=""),"",N454/N453-1)</x:f>
        <x:v>#NAME?</x:v>
      </x:c>
      <x:c r="P454" s="152" t="e">
        <x:f>IF(N454="","",N454/MAX(N$5:N454)-1)</x:f>
        <x:v>#NAME?</x:v>
      </x:c>
      <x:c r="Q454" s="146" t="e">
        <x:f>IF(OR('实盘净值数据(iFinD公式)'!$A454="",'实盘净值数据(iFinD公式)'!$B454=""),"",分期持仓明细!$AD$25*SUMPRODUCT(分期持仓明细!$B$25:$AA$25,'实盘净值数据(iFinD公式)'!$B454:$AA454/'实盘净值数据(iFinD公式)'!$B$65:$AA$65)*(1-实盘持仓初始配置!$Z$9)^(('实盘净值数据(iFinD公式)'!$A454-'实盘净值数据(iFinD公式)'!$A$8)/365))</x:f>
        <x:v>#NAME?</x:v>
      </x:c>
      <x:c r="R454" s="152" t="e">
        <x:f>IF(OR(Q453="",Q454=""),"",Q454/Q453-1)</x:f>
        <x:v>#NAME?</x:v>
      </x:c>
      <x:c r="S454" s="152" t="e">
        <x:f>IF(Q454="","",Q454/MAX(Q$5:Q454)-1)</x:f>
        <x:v>#NAME?</x:v>
      </x:c>
    </x:row>
    <x:row r="455">
      <x:c r="A455" s="149" t="str">
        <x:f>IF('实盘净值数据(iFinD公式)'!A455="","",'实盘净值数据(iFinD公式)'!A455)</x:f>
      </x:c>
      <x:c r="B455" s="146" t="e">
        <x:f>IF(OR('实盘净值数据(iFinD公式)'!$A455="",'实盘净值数据(iFinD公式)'!$B455=""),"",分期持仓明细!$AD$17*SUMPRODUCT(分期持仓明细!$B$17:$AA$17,'实盘净值数据(iFinD公式)'!$B455:$AA455/'实盘净值数据(iFinD公式)'!$B$20:$AA$20)*(1-实盘持仓初始配置!$Z$4)^(('实盘净值数据(iFinD公式)'!$A455-'实盘净值数据(iFinD公式)'!$A$6)/365))</x:f>
        <x:v>#NAME?</x:v>
      </x:c>
      <x:c r="C455" s="152" t="e">
        <x:f>IF(OR(B454="",B455=""),"",B455/B454-1)</x:f>
        <x:v>#NAME?</x:v>
      </x:c>
      <x:c r="D455" s="152" t="e">
        <x:f>IF(B455="","",B455/MAX(B$5:B455)-1)</x:f>
        <x:v>#NAME?</x:v>
      </x:c>
      <x:c r="E455" s="146" t="e">
        <x:f>IF(OR('实盘净值数据(iFinD公式)'!$A455="",'实盘净值数据(iFinD公式)'!$B455=""),"",分期持仓明细!$AD$18*SUMPRODUCT(分期持仓明细!$B$18:$AA$18,'实盘净值数据(iFinD公式)'!$B455:$AA455/'实盘净值数据(iFinD公式)'!$B$20:$AA$20)*(1-实盘持仓初始配置!$Z$5)^(('实盘净值数据(iFinD公式)'!$A455-'实盘净值数据(iFinD公式)'!$A$5)/365))</x:f>
        <x:v>#NAME?</x:v>
      </x:c>
      <x:c r="F455" s="152" t="e">
        <x:f>IF(OR(E454="",E455=""),"",E455/E454-1)</x:f>
        <x:v>#NAME?</x:v>
      </x:c>
      <x:c r="G455" s="152" t="e">
        <x:f>IF(E455="","",E455/MAX(E$5:E455)-1)</x:f>
        <x:v>#NAME?</x:v>
      </x:c>
      <x:c r="H455" s="146" t="e">
        <x:f>IF(OR('实盘净值数据(iFinD公式)'!$A455="",'实盘净值数据(iFinD公式)'!$B455=""),"",分期持仓明细!$AD$19*SUMPRODUCT(分期持仓明细!$B$19:$AA$19,'实盘净值数据(iFinD公式)'!$B455:$AA455/'实盘净值数据(iFinD公式)'!$B$20:$AA$20)*(1-实盘持仓初始配置!$Z$6)^(('实盘净值数据(iFinD公式)'!$A455-'实盘净值数据(iFinD公式)'!$A$7)/365))</x:f>
        <x:v>#NAME?</x:v>
      </x:c>
      <x:c r="I455" s="152" t="e">
        <x:f>IF(OR(H454="",H455=""),"",H455/H454-1)</x:f>
        <x:v>#NAME?</x:v>
      </x:c>
      <x:c r="J455" s="152" t="e">
        <x:f>IF(H455="","",H455/MAX(H$5:H455)-1)</x:f>
        <x:v>#NAME?</x:v>
      </x:c>
      <x:c r="K455" s="146" t="e">
        <x:f>IF(OR('实盘净值数据(iFinD公式)'!$A455="",'实盘净值数据(iFinD公式)'!$B455=""),"",分期持仓明细!$AD$23*SUMPRODUCT(分期持仓明细!$B$23:$AA$23,'实盘净值数据(iFinD公式)'!$B455:$AA455/'实盘净值数据(iFinD公式)'!$B$65:$AA$65)*(1-实盘持仓初始配置!$Z$7)^(('实盘净值数据(iFinD公式)'!$A455-'实盘净值数据(iFinD公式)'!$A$8)/365))</x:f>
        <x:v>#NAME?</x:v>
      </x:c>
      <x:c r="L455" s="152" t="e">
        <x:f>IF(OR(K454="",K455=""),"",K455/K454-1)</x:f>
        <x:v>#NAME?</x:v>
      </x:c>
      <x:c r="M455" s="152" t="e">
        <x:f>IF(K455="","",K455/MAX(K$5:K455)-1)</x:f>
        <x:v>#NAME?</x:v>
      </x:c>
      <x:c r="N455" s="146" t="e">
        <x:f>IF(OR('实盘净值数据(iFinD公式)'!$A455="",'实盘净值数据(iFinD公式)'!$B455=""),"",分期持仓明细!$AD$24*SUMPRODUCT(分期持仓明细!$B$24:$AA$24,'实盘净值数据(iFinD公式)'!$B455:$AA455/'实盘净值数据(iFinD公式)'!$B$65:$AA$65)*(1-实盘持仓初始配置!$Z$8)^(('实盘净值数据(iFinD公式)'!$A455-'实盘净值数据(iFinD公式)'!$A$5)/365))</x:f>
        <x:v>#NAME?</x:v>
      </x:c>
      <x:c r="O455" s="152" t="e">
        <x:f>IF(OR(N454="",N455=""),"",N455/N454-1)</x:f>
        <x:v>#NAME?</x:v>
      </x:c>
      <x:c r="P455" s="152" t="e">
        <x:f>IF(N455="","",N455/MAX(N$5:N455)-1)</x:f>
        <x:v>#NAME?</x:v>
      </x:c>
      <x:c r="Q455" s="146" t="e">
        <x:f>IF(OR('实盘净值数据(iFinD公式)'!$A455="",'实盘净值数据(iFinD公式)'!$B455=""),"",分期持仓明细!$AD$25*SUMPRODUCT(分期持仓明细!$B$25:$AA$25,'实盘净值数据(iFinD公式)'!$B455:$AA455/'实盘净值数据(iFinD公式)'!$B$65:$AA$65)*(1-实盘持仓初始配置!$Z$9)^(('实盘净值数据(iFinD公式)'!$A455-'实盘净值数据(iFinD公式)'!$A$8)/365))</x:f>
        <x:v>#NAME?</x:v>
      </x:c>
      <x:c r="R455" s="152" t="e">
        <x:f>IF(OR(Q454="",Q455=""),"",Q455/Q454-1)</x:f>
        <x:v>#NAME?</x:v>
      </x:c>
      <x:c r="S455" s="152" t="e">
        <x:f>IF(Q455="","",Q455/MAX(Q$5:Q455)-1)</x:f>
        <x:v>#NAME?</x:v>
      </x:c>
    </x:row>
    <x:row r="456">
      <x:c r="A456" s="149" t="str">
        <x:f>IF('实盘净值数据(iFinD公式)'!A456="","",'实盘净值数据(iFinD公式)'!A456)</x:f>
      </x:c>
      <x:c r="B456" s="146" t="e">
        <x:f>IF(OR('实盘净值数据(iFinD公式)'!$A456="",'实盘净值数据(iFinD公式)'!$B456=""),"",分期持仓明细!$AD$17*SUMPRODUCT(分期持仓明细!$B$17:$AA$17,'实盘净值数据(iFinD公式)'!$B456:$AA456/'实盘净值数据(iFinD公式)'!$B$20:$AA$20)*(1-实盘持仓初始配置!$Z$4)^(('实盘净值数据(iFinD公式)'!$A456-'实盘净值数据(iFinD公式)'!$A$6)/365))</x:f>
        <x:v>#NAME?</x:v>
      </x:c>
      <x:c r="C456" s="152" t="e">
        <x:f>IF(OR(B455="",B456=""),"",B456/B455-1)</x:f>
        <x:v>#NAME?</x:v>
      </x:c>
      <x:c r="D456" s="152" t="e">
        <x:f>IF(B456="","",B456/MAX(B$5:B456)-1)</x:f>
        <x:v>#NAME?</x:v>
      </x:c>
      <x:c r="E456" s="146" t="e">
        <x:f>IF(OR('实盘净值数据(iFinD公式)'!$A456="",'实盘净值数据(iFinD公式)'!$B456=""),"",分期持仓明细!$AD$18*SUMPRODUCT(分期持仓明细!$B$18:$AA$18,'实盘净值数据(iFinD公式)'!$B456:$AA456/'实盘净值数据(iFinD公式)'!$B$20:$AA$20)*(1-实盘持仓初始配置!$Z$5)^(('实盘净值数据(iFinD公式)'!$A456-'实盘净值数据(iFinD公式)'!$A$5)/365))</x:f>
        <x:v>#NAME?</x:v>
      </x:c>
      <x:c r="F456" s="152" t="e">
        <x:f>IF(OR(E455="",E456=""),"",E456/E455-1)</x:f>
        <x:v>#NAME?</x:v>
      </x:c>
      <x:c r="G456" s="152" t="e">
        <x:f>IF(E456="","",E456/MAX(E$5:E456)-1)</x:f>
        <x:v>#NAME?</x:v>
      </x:c>
      <x:c r="H456" s="146" t="e">
        <x:f>IF(OR('实盘净值数据(iFinD公式)'!$A456="",'实盘净值数据(iFinD公式)'!$B456=""),"",分期持仓明细!$AD$19*SUMPRODUCT(分期持仓明细!$B$19:$AA$19,'实盘净值数据(iFinD公式)'!$B456:$AA456/'实盘净值数据(iFinD公式)'!$B$20:$AA$20)*(1-实盘持仓初始配置!$Z$6)^(('实盘净值数据(iFinD公式)'!$A456-'实盘净值数据(iFinD公式)'!$A$7)/365))</x:f>
        <x:v>#NAME?</x:v>
      </x:c>
      <x:c r="I456" s="152" t="e">
        <x:f>IF(OR(H455="",H456=""),"",H456/H455-1)</x:f>
        <x:v>#NAME?</x:v>
      </x:c>
      <x:c r="J456" s="152" t="e">
        <x:f>IF(H456="","",H456/MAX(H$5:H456)-1)</x:f>
        <x:v>#NAME?</x:v>
      </x:c>
      <x:c r="K456" s="146" t="e">
        <x:f>IF(OR('实盘净值数据(iFinD公式)'!$A456="",'实盘净值数据(iFinD公式)'!$B456=""),"",分期持仓明细!$AD$23*SUMPRODUCT(分期持仓明细!$B$23:$AA$23,'实盘净值数据(iFinD公式)'!$B456:$AA456/'实盘净值数据(iFinD公式)'!$B$65:$AA$65)*(1-实盘持仓初始配置!$Z$7)^(('实盘净值数据(iFinD公式)'!$A456-'实盘净值数据(iFinD公式)'!$A$8)/365))</x:f>
        <x:v>#NAME?</x:v>
      </x:c>
      <x:c r="L456" s="152" t="e">
        <x:f>IF(OR(K455="",K456=""),"",K456/K455-1)</x:f>
        <x:v>#NAME?</x:v>
      </x:c>
      <x:c r="M456" s="152" t="e">
        <x:f>IF(K456="","",K456/MAX(K$5:K456)-1)</x:f>
        <x:v>#NAME?</x:v>
      </x:c>
      <x:c r="N456" s="146" t="e">
        <x:f>IF(OR('实盘净值数据(iFinD公式)'!$A456="",'实盘净值数据(iFinD公式)'!$B456=""),"",分期持仓明细!$AD$24*SUMPRODUCT(分期持仓明细!$B$24:$AA$24,'实盘净值数据(iFinD公式)'!$B456:$AA456/'实盘净值数据(iFinD公式)'!$B$65:$AA$65)*(1-实盘持仓初始配置!$Z$8)^(('实盘净值数据(iFinD公式)'!$A456-'实盘净值数据(iFinD公式)'!$A$5)/365))</x:f>
        <x:v>#NAME?</x:v>
      </x:c>
      <x:c r="O456" s="152" t="e">
        <x:f>IF(OR(N455="",N456=""),"",N456/N455-1)</x:f>
        <x:v>#NAME?</x:v>
      </x:c>
      <x:c r="P456" s="152" t="e">
        <x:f>IF(N456="","",N456/MAX(N$5:N456)-1)</x:f>
        <x:v>#NAME?</x:v>
      </x:c>
      <x:c r="Q456" s="146" t="e">
        <x:f>IF(OR('实盘净值数据(iFinD公式)'!$A456="",'实盘净值数据(iFinD公式)'!$B456=""),"",分期持仓明细!$AD$25*SUMPRODUCT(分期持仓明细!$B$25:$AA$25,'实盘净值数据(iFinD公式)'!$B456:$AA456/'实盘净值数据(iFinD公式)'!$B$65:$AA$65)*(1-实盘持仓初始配置!$Z$9)^(('实盘净值数据(iFinD公式)'!$A456-'实盘净值数据(iFinD公式)'!$A$8)/365))</x:f>
        <x:v>#NAME?</x:v>
      </x:c>
      <x:c r="R456" s="152" t="e">
        <x:f>IF(OR(Q455="",Q456=""),"",Q456/Q455-1)</x:f>
        <x:v>#NAME?</x:v>
      </x:c>
      <x:c r="S456" s="152" t="e">
        <x:f>IF(Q456="","",Q456/MAX(Q$5:Q456)-1)</x:f>
        <x:v>#NAME?</x:v>
      </x:c>
    </x:row>
    <x:row r="457">
      <x:c r="A457" s="149" t="str">
        <x:f>IF('实盘净值数据(iFinD公式)'!A457="","",'实盘净值数据(iFinD公式)'!A457)</x:f>
      </x:c>
      <x:c r="B457" s="146" t="e">
        <x:f>IF(OR('实盘净值数据(iFinD公式)'!$A457="",'实盘净值数据(iFinD公式)'!$B457=""),"",分期持仓明细!$AD$17*SUMPRODUCT(分期持仓明细!$B$17:$AA$17,'实盘净值数据(iFinD公式)'!$B457:$AA457/'实盘净值数据(iFinD公式)'!$B$20:$AA$20)*(1-实盘持仓初始配置!$Z$4)^(('实盘净值数据(iFinD公式)'!$A457-'实盘净值数据(iFinD公式)'!$A$6)/365))</x:f>
        <x:v>#NAME?</x:v>
      </x:c>
      <x:c r="C457" s="152" t="e">
        <x:f>IF(OR(B456="",B457=""),"",B457/B456-1)</x:f>
        <x:v>#NAME?</x:v>
      </x:c>
      <x:c r="D457" s="152" t="e">
        <x:f>IF(B457="","",B457/MAX(B$5:B457)-1)</x:f>
        <x:v>#NAME?</x:v>
      </x:c>
      <x:c r="E457" s="146" t="e">
        <x:f>IF(OR('实盘净值数据(iFinD公式)'!$A457="",'实盘净值数据(iFinD公式)'!$B457=""),"",分期持仓明细!$AD$18*SUMPRODUCT(分期持仓明细!$B$18:$AA$18,'实盘净值数据(iFinD公式)'!$B457:$AA457/'实盘净值数据(iFinD公式)'!$B$20:$AA$20)*(1-实盘持仓初始配置!$Z$5)^(('实盘净值数据(iFinD公式)'!$A457-'实盘净值数据(iFinD公式)'!$A$5)/365))</x:f>
        <x:v>#NAME?</x:v>
      </x:c>
      <x:c r="F457" s="152" t="e">
        <x:f>IF(OR(E456="",E457=""),"",E457/E456-1)</x:f>
        <x:v>#NAME?</x:v>
      </x:c>
      <x:c r="G457" s="152" t="e">
        <x:f>IF(E457="","",E457/MAX(E$5:E457)-1)</x:f>
        <x:v>#NAME?</x:v>
      </x:c>
      <x:c r="H457" s="146" t="e">
        <x:f>IF(OR('实盘净值数据(iFinD公式)'!$A457="",'实盘净值数据(iFinD公式)'!$B457=""),"",分期持仓明细!$AD$19*SUMPRODUCT(分期持仓明细!$B$19:$AA$19,'实盘净值数据(iFinD公式)'!$B457:$AA457/'实盘净值数据(iFinD公式)'!$B$20:$AA$20)*(1-实盘持仓初始配置!$Z$6)^(('实盘净值数据(iFinD公式)'!$A457-'实盘净值数据(iFinD公式)'!$A$7)/365))</x:f>
        <x:v>#NAME?</x:v>
      </x:c>
      <x:c r="I457" s="152" t="e">
        <x:f>IF(OR(H456="",H457=""),"",H457/H456-1)</x:f>
        <x:v>#NAME?</x:v>
      </x:c>
      <x:c r="J457" s="152" t="e">
        <x:f>IF(H457="","",H457/MAX(H$5:H457)-1)</x:f>
        <x:v>#NAME?</x:v>
      </x:c>
      <x:c r="K457" s="146" t="e">
        <x:f>IF(OR('实盘净值数据(iFinD公式)'!$A457="",'实盘净值数据(iFinD公式)'!$B457=""),"",分期持仓明细!$AD$23*SUMPRODUCT(分期持仓明细!$B$23:$AA$23,'实盘净值数据(iFinD公式)'!$B457:$AA457/'实盘净值数据(iFinD公式)'!$B$65:$AA$65)*(1-实盘持仓初始配置!$Z$7)^(('实盘净值数据(iFinD公式)'!$A457-'实盘净值数据(iFinD公式)'!$A$8)/365))</x:f>
        <x:v>#NAME?</x:v>
      </x:c>
      <x:c r="L457" s="152" t="e">
        <x:f>IF(OR(K456="",K457=""),"",K457/K456-1)</x:f>
        <x:v>#NAME?</x:v>
      </x:c>
      <x:c r="M457" s="152" t="e">
        <x:f>IF(K457="","",K457/MAX(K$5:K457)-1)</x:f>
        <x:v>#NAME?</x:v>
      </x:c>
      <x:c r="N457" s="146" t="e">
        <x:f>IF(OR('实盘净值数据(iFinD公式)'!$A457="",'实盘净值数据(iFinD公式)'!$B457=""),"",分期持仓明细!$AD$24*SUMPRODUCT(分期持仓明细!$B$24:$AA$24,'实盘净值数据(iFinD公式)'!$B457:$AA457/'实盘净值数据(iFinD公式)'!$B$65:$AA$65)*(1-实盘持仓初始配置!$Z$8)^(('实盘净值数据(iFinD公式)'!$A457-'实盘净值数据(iFinD公式)'!$A$5)/365))</x:f>
        <x:v>#NAME?</x:v>
      </x:c>
      <x:c r="O457" s="152" t="e">
        <x:f>IF(OR(N456="",N457=""),"",N457/N456-1)</x:f>
        <x:v>#NAME?</x:v>
      </x:c>
      <x:c r="P457" s="152" t="e">
        <x:f>IF(N457="","",N457/MAX(N$5:N457)-1)</x:f>
        <x:v>#NAME?</x:v>
      </x:c>
      <x:c r="Q457" s="146" t="e">
        <x:f>IF(OR('实盘净值数据(iFinD公式)'!$A457="",'实盘净值数据(iFinD公式)'!$B457=""),"",分期持仓明细!$AD$25*SUMPRODUCT(分期持仓明细!$B$25:$AA$25,'实盘净值数据(iFinD公式)'!$B457:$AA457/'实盘净值数据(iFinD公式)'!$B$65:$AA$65)*(1-实盘持仓初始配置!$Z$9)^(('实盘净值数据(iFinD公式)'!$A457-'实盘净值数据(iFinD公式)'!$A$8)/365))</x:f>
        <x:v>#NAME?</x:v>
      </x:c>
      <x:c r="R457" s="152" t="e">
        <x:f>IF(OR(Q456="",Q457=""),"",Q457/Q456-1)</x:f>
        <x:v>#NAME?</x:v>
      </x:c>
      <x:c r="S457" s="152" t="e">
        <x:f>IF(Q457="","",Q457/MAX(Q$5:Q457)-1)</x:f>
        <x:v>#NAME?</x:v>
      </x:c>
    </x:row>
    <x:row r="458">
      <x:c r="A458" s="149" t="str">
        <x:f>IF('实盘净值数据(iFinD公式)'!A458="","",'实盘净值数据(iFinD公式)'!A458)</x:f>
      </x:c>
      <x:c r="B458" s="146" t="e">
        <x:f>IF(OR('实盘净值数据(iFinD公式)'!$A458="",'实盘净值数据(iFinD公式)'!$B458=""),"",分期持仓明细!$AD$17*SUMPRODUCT(分期持仓明细!$B$17:$AA$17,'实盘净值数据(iFinD公式)'!$B458:$AA458/'实盘净值数据(iFinD公式)'!$B$20:$AA$20)*(1-实盘持仓初始配置!$Z$4)^(('实盘净值数据(iFinD公式)'!$A458-'实盘净值数据(iFinD公式)'!$A$6)/365))</x:f>
        <x:v>#NAME?</x:v>
      </x:c>
      <x:c r="C458" s="152" t="e">
        <x:f>IF(OR(B457="",B458=""),"",B458/B457-1)</x:f>
        <x:v>#NAME?</x:v>
      </x:c>
      <x:c r="D458" s="152" t="e">
        <x:f>IF(B458="","",B458/MAX(B$5:B458)-1)</x:f>
        <x:v>#NAME?</x:v>
      </x:c>
      <x:c r="E458" s="146" t="e">
        <x:f>IF(OR('实盘净值数据(iFinD公式)'!$A458="",'实盘净值数据(iFinD公式)'!$B458=""),"",分期持仓明细!$AD$18*SUMPRODUCT(分期持仓明细!$B$18:$AA$18,'实盘净值数据(iFinD公式)'!$B458:$AA458/'实盘净值数据(iFinD公式)'!$B$20:$AA$20)*(1-实盘持仓初始配置!$Z$5)^(('实盘净值数据(iFinD公式)'!$A458-'实盘净值数据(iFinD公式)'!$A$5)/365))</x:f>
        <x:v>#NAME?</x:v>
      </x:c>
      <x:c r="F458" s="152" t="e">
        <x:f>IF(OR(E457="",E458=""),"",E458/E457-1)</x:f>
        <x:v>#NAME?</x:v>
      </x:c>
      <x:c r="G458" s="152" t="e">
        <x:f>IF(E458="","",E458/MAX(E$5:E458)-1)</x:f>
        <x:v>#NAME?</x:v>
      </x:c>
      <x:c r="H458" s="146" t="e">
        <x:f>IF(OR('实盘净值数据(iFinD公式)'!$A458="",'实盘净值数据(iFinD公式)'!$B458=""),"",分期持仓明细!$AD$19*SUMPRODUCT(分期持仓明细!$B$19:$AA$19,'实盘净值数据(iFinD公式)'!$B458:$AA458/'实盘净值数据(iFinD公式)'!$B$20:$AA$20)*(1-实盘持仓初始配置!$Z$6)^(('实盘净值数据(iFinD公式)'!$A458-'实盘净值数据(iFinD公式)'!$A$7)/365))</x:f>
        <x:v>#NAME?</x:v>
      </x:c>
      <x:c r="I458" s="152" t="e">
        <x:f>IF(OR(H457="",H458=""),"",H458/H457-1)</x:f>
        <x:v>#NAME?</x:v>
      </x:c>
      <x:c r="J458" s="152" t="e">
        <x:f>IF(H458="","",H458/MAX(H$5:H458)-1)</x:f>
        <x:v>#NAME?</x:v>
      </x:c>
      <x:c r="K458" s="146" t="e">
        <x:f>IF(OR('实盘净值数据(iFinD公式)'!$A458="",'实盘净值数据(iFinD公式)'!$B458=""),"",分期持仓明细!$AD$23*SUMPRODUCT(分期持仓明细!$B$23:$AA$23,'实盘净值数据(iFinD公式)'!$B458:$AA458/'实盘净值数据(iFinD公式)'!$B$65:$AA$65)*(1-实盘持仓初始配置!$Z$7)^(('实盘净值数据(iFinD公式)'!$A458-'实盘净值数据(iFinD公式)'!$A$8)/365))</x:f>
        <x:v>#NAME?</x:v>
      </x:c>
      <x:c r="L458" s="152" t="e">
        <x:f>IF(OR(K457="",K458=""),"",K458/K457-1)</x:f>
        <x:v>#NAME?</x:v>
      </x:c>
      <x:c r="M458" s="152" t="e">
        <x:f>IF(K458="","",K458/MAX(K$5:K458)-1)</x:f>
        <x:v>#NAME?</x:v>
      </x:c>
      <x:c r="N458" s="146" t="e">
        <x:f>IF(OR('实盘净值数据(iFinD公式)'!$A458="",'实盘净值数据(iFinD公式)'!$B458=""),"",分期持仓明细!$AD$24*SUMPRODUCT(分期持仓明细!$B$24:$AA$24,'实盘净值数据(iFinD公式)'!$B458:$AA458/'实盘净值数据(iFinD公式)'!$B$65:$AA$65)*(1-实盘持仓初始配置!$Z$8)^(('实盘净值数据(iFinD公式)'!$A458-'实盘净值数据(iFinD公式)'!$A$5)/365))</x:f>
        <x:v>#NAME?</x:v>
      </x:c>
      <x:c r="O458" s="152" t="e">
        <x:f>IF(OR(N457="",N458=""),"",N458/N457-1)</x:f>
        <x:v>#NAME?</x:v>
      </x:c>
      <x:c r="P458" s="152" t="e">
        <x:f>IF(N458="","",N458/MAX(N$5:N458)-1)</x:f>
        <x:v>#NAME?</x:v>
      </x:c>
      <x:c r="Q458" s="146" t="e">
        <x:f>IF(OR('实盘净值数据(iFinD公式)'!$A458="",'实盘净值数据(iFinD公式)'!$B458=""),"",分期持仓明细!$AD$25*SUMPRODUCT(分期持仓明细!$B$25:$AA$25,'实盘净值数据(iFinD公式)'!$B458:$AA458/'实盘净值数据(iFinD公式)'!$B$65:$AA$65)*(1-实盘持仓初始配置!$Z$9)^(('实盘净值数据(iFinD公式)'!$A458-'实盘净值数据(iFinD公式)'!$A$8)/365))</x:f>
        <x:v>#NAME?</x:v>
      </x:c>
      <x:c r="R458" s="152" t="e">
        <x:f>IF(OR(Q457="",Q458=""),"",Q458/Q457-1)</x:f>
        <x:v>#NAME?</x:v>
      </x:c>
      <x:c r="S458" s="152" t="e">
        <x:f>IF(Q458="","",Q458/MAX(Q$5:Q458)-1)</x:f>
        <x:v>#NAME?</x:v>
      </x:c>
    </x:row>
    <x:row r="459">
      <x:c r="A459" s="149" t="str">
        <x:f>IF('实盘净值数据(iFinD公式)'!A459="","",'实盘净值数据(iFinD公式)'!A459)</x:f>
      </x:c>
      <x:c r="B459" s="146" t="e">
        <x:f>IF(OR('实盘净值数据(iFinD公式)'!$A459="",'实盘净值数据(iFinD公式)'!$B459=""),"",分期持仓明细!$AD$17*SUMPRODUCT(分期持仓明细!$B$17:$AA$17,'实盘净值数据(iFinD公式)'!$B459:$AA459/'实盘净值数据(iFinD公式)'!$B$20:$AA$20)*(1-实盘持仓初始配置!$Z$4)^(('实盘净值数据(iFinD公式)'!$A459-'实盘净值数据(iFinD公式)'!$A$6)/365))</x:f>
        <x:v>#NAME?</x:v>
      </x:c>
      <x:c r="C459" s="152" t="e">
        <x:f>IF(OR(B458="",B459=""),"",B459/B458-1)</x:f>
        <x:v>#NAME?</x:v>
      </x:c>
      <x:c r="D459" s="152" t="e">
        <x:f>IF(B459="","",B459/MAX(B$5:B459)-1)</x:f>
        <x:v>#NAME?</x:v>
      </x:c>
      <x:c r="E459" s="146" t="e">
        <x:f>IF(OR('实盘净值数据(iFinD公式)'!$A459="",'实盘净值数据(iFinD公式)'!$B459=""),"",分期持仓明细!$AD$18*SUMPRODUCT(分期持仓明细!$B$18:$AA$18,'实盘净值数据(iFinD公式)'!$B459:$AA459/'实盘净值数据(iFinD公式)'!$B$20:$AA$20)*(1-实盘持仓初始配置!$Z$5)^(('实盘净值数据(iFinD公式)'!$A459-'实盘净值数据(iFinD公式)'!$A$5)/365))</x:f>
        <x:v>#NAME?</x:v>
      </x:c>
      <x:c r="F459" s="152" t="e">
        <x:f>IF(OR(E458="",E459=""),"",E459/E458-1)</x:f>
        <x:v>#NAME?</x:v>
      </x:c>
      <x:c r="G459" s="152" t="e">
        <x:f>IF(E459="","",E459/MAX(E$5:E459)-1)</x:f>
        <x:v>#NAME?</x:v>
      </x:c>
      <x:c r="H459" s="146" t="e">
        <x:f>IF(OR('实盘净值数据(iFinD公式)'!$A459="",'实盘净值数据(iFinD公式)'!$B459=""),"",分期持仓明细!$AD$19*SUMPRODUCT(分期持仓明细!$B$19:$AA$19,'实盘净值数据(iFinD公式)'!$B459:$AA459/'实盘净值数据(iFinD公式)'!$B$20:$AA$20)*(1-实盘持仓初始配置!$Z$6)^(('实盘净值数据(iFinD公式)'!$A459-'实盘净值数据(iFinD公式)'!$A$7)/365))</x:f>
        <x:v>#NAME?</x:v>
      </x:c>
      <x:c r="I459" s="152" t="e">
        <x:f>IF(OR(H458="",H459=""),"",H459/H458-1)</x:f>
        <x:v>#NAME?</x:v>
      </x:c>
      <x:c r="J459" s="152" t="e">
        <x:f>IF(H459="","",H459/MAX(H$5:H459)-1)</x:f>
        <x:v>#NAME?</x:v>
      </x:c>
      <x:c r="K459" s="146" t="e">
        <x:f>IF(OR('实盘净值数据(iFinD公式)'!$A459="",'实盘净值数据(iFinD公式)'!$B459=""),"",分期持仓明细!$AD$23*SUMPRODUCT(分期持仓明细!$B$23:$AA$23,'实盘净值数据(iFinD公式)'!$B459:$AA459/'实盘净值数据(iFinD公式)'!$B$65:$AA$65)*(1-实盘持仓初始配置!$Z$7)^(('实盘净值数据(iFinD公式)'!$A459-'实盘净值数据(iFinD公式)'!$A$8)/365))</x:f>
        <x:v>#NAME?</x:v>
      </x:c>
      <x:c r="L459" s="152" t="e">
        <x:f>IF(OR(K458="",K459=""),"",K459/K458-1)</x:f>
        <x:v>#NAME?</x:v>
      </x:c>
      <x:c r="M459" s="152" t="e">
        <x:f>IF(K459="","",K459/MAX(K$5:K459)-1)</x:f>
        <x:v>#NAME?</x:v>
      </x:c>
      <x:c r="N459" s="146" t="e">
        <x:f>IF(OR('实盘净值数据(iFinD公式)'!$A459="",'实盘净值数据(iFinD公式)'!$B459=""),"",分期持仓明细!$AD$24*SUMPRODUCT(分期持仓明细!$B$24:$AA$24,'实盘净值数据(iFinD公式)'!$B459:$AA459/'实盘净值数据(iFinD公式)'!$B$65:$AA$65)*(1-实盘持仓初始配置!$Z$8)^(('实盘净值数据(iFinD公式)'!$A459-'实盘净值数据(iFinD公式)'!$A$5)/365))</x:f>
        <x:v>#NAME?</x:v>
      </x:c>
      <x:c r="O459" s="152" t="e">
        <x:f>IF(OR(N458="",N459=""),"",N459/N458-1)</x:f>
        <x:v>#NAME?</x:v>
      </x:c>
      <x:c r="P459" s="152" t="e">
        <x:f>IF(N459="","",N459/MAX(N$5:N459)-1)</x:f>
        <x:v>#NAME?</x:v>
      </x:c>
      <x:c r="Q459" s="146" t="e">
        <x:f>IF(OR('实盘净值数据(iFinD公式)'!$A459="",'实盘净值数据(iFinD公式)'!$B459=""),"",分期持仓明细!$AD$25*SUMPRODUCT(分期持仓明细!$B$25:$AA$25,'实盘净值数据(iFinD公式)'!$B459:$AA459/'实盘净值数据(iFinD公式)'!$B$65:$AA$65)*(1-实盘持仓初始配置!$Z$9)^(('实盘净值数据(iFinD公式)'!$A459-'实盘净值数据(iFinD公式)'!$A$8)/365))</x:f>
        <x:v>#NAME?</x:v>
      </x:c>
      <x:c r="R459" s="152" t="e">
        <x:f>IF(OR(Q458="",Q459=""),"",Q459/Q458-1)</x:f>
        <x:v>#NAME?</x:v>
      </x:c>
      <x:c r="S459" s="152" t="e">
        <x:f>IF(Q459="","",Q459/MAX(Q$5:Q459)-1)</x:f>
        <x:v>#NAME?</x:v>
      </x:c>
    </x:row>
    <x:row r="460">
      <x:c r="A460" s="149" t="str">
        <x:f>IF('实盘净值数据(iFinD公式)'!A460="","",'实盘净值数据(iFinD公式)'!A460)</x:f>
      </x:c>
      <x:c r="B460" s="146" t="e">
        <x:f>IF(OR('实盘净值数据(iFinD公式)'!$A460="",'实盘净值数据(iFinD公式)'!$B460=""),"",分期持仓明细!$AD$17*SUMPRODUCT(分期持仓明细!$B$17:$AA$17,'实盘净值数据(iFinD公式)'!$B460:$AA460/'实盘净值数据(iFinD公式)'!$B$20:$AA$20)*(1-实盘持仓初始配置!$Z$4)^(('实盘净值数据(iFinD公式)'!$A460-'实盘净值数据(iFinD公式)'!$A$6)/365))</x:f>
        <x:v>#NAME?</x:v>
      </x:c>
      <x:c r="C460" s="152" t="e">
        <x:f>IF(OR(B459="",B460=""),"",B460/B459-1)</x:f>
        <x:v>#NAME?</x:v>
      </x:c>
      <x:c r="D460" s="152" t="e">
        <x:f>IF(B460="","",B460/MAX(B$5:B460)-1)</x:f>
        <x:v>#NAME?</x:v>
      </x:c>
      <x:c r="E460" s="146" t="e">
        <x:f>IF(OR('实盘净值数据(iFinD公式)'!$A460="",'实盘净值数据(iFinD公式)'!$B460=""),"",分期持仓明细!$AD$18*SUMPRODUCT(分期持仓明细!$B$18:$AA$18,'实盘净值数据(iFinD公式)'!$B460:$AA460/'实盘净值数据(iFinD公式)'!$B$20:$AA$20)*(1-实盘持仓初始配置!$Z$5)^(('实盘净值数据(iFinD公式)'!$A460-'实盘净值数据(iFinD公式)'!$A$5)/365))</x:f>
        <x:v>#NAME?</x:v>
      </x:c>
      <x:c r="F460" s="152" t="e">
        <x:f>IF(OR(E459="",E460=""),"",E460/E459-1)</x:f>
        <x:v>#NAME?</x:v>
      </x:c>
      <x:c r="G460" s="152" t="e">
        <x:f>IF(E460="","",E460/MAX(E$5:E460)-1)</x:f>
        <x:v>#NAME?</x:v>
      </x:c>
      <x:c r="H460" s="146" t="e">
        <x:f>IF(OR('实盘净值数据(iFinD公式)'!$A460="",'实盘净值数据(iFinD公式)'!$B460=""),"",分期持仓明细!$AD$19*SUMPRODUCT(分期持仓明细!$B$19:$AA$19,'实盘净值数据(iFinD公式)'!$B460:$AA460/'实盘净值数据(iFinD公式)'!$B$20:$AA$20)*(1-实盘持仓初始配置!$Z$6)^(('实盘净值数据(iFinD公式)'!$A460-'实盘净值数据(iFinD公式)'!$A$7)/365))</x:f>
        <x:v>#NAME?</x:v>
      </x:c>
      <x:c r="I460" s="152" t="e">
        <x:f>IF(OR(H459="",H460=""),"",H460/H459-1)</x:f>
        <x:v>#NAME?</x:v>
      </x:c>
      <x:c r="J460" s="152" t="e">
        <x:f>IF(H460="","",H460/MAX(H$5:H460)-1)</x:f>
        <x:v>#NAME?</x:v>
      </x:c>
      <x:c r="K460" s="146" t="e">
        <x:f>IF(OR('实盘净值数据(iFinD公式)'!$A460="",'实盘净值数据(iFinD公式)'!$B460=""),"",分期持仓明细!$AD$23*SUMPRODUCT(分期持仓明细!$B$23:$AA$23,'实盘净值数据(iFinD公式)'!$B460:$AA460/'实盘净值数据(iFinD公式)'!$B$65:$AA$65)*(1-实盘持仓初始配置!$Z$7)^(('实盘净值数据(iFinD公式)'!$A460-'实盘净值数据(iFinD公式)'!$A$8)/365))</x:f>
        <x:v>#NAME?</x:v>
      </x:c>
      <x:c r="L460" s="152" t="e">
        <x:f>IF(OR(K459="",K460=""),"",K460/K459-1)</x:f>
        <x:v>#NAME?</x:v>
      </x:c>
      <x:c r="M460" s="152" t="e">
        <x:f>IF(K460="","",K460/MAX(K$5:K460)-1)</x:f>
        <x:v>#NAME?</x:v>
      </x:c>
      <x:c r="N460" s="146" t="e">
        <x:f>IF(OR('实盘净值数据(iFinD公式)'!$A460="",'实盘净值数据(iFinD公式)'!$B460=""),"",分期持仓明细!$AD$24*SUMPRODUCT(分期持仓明细!$B$24:$AA$24,'实盘净值数据(iFinD公式)'!$B460:$AA460/'实盘净值数据(iFinD公式)'!$B$65:$AA$65)*(1-实盘持仓初始配置!$Z$8)^(('实盘净值数据(iFinD公式)'!$A460-'实盘净值数据(iFinD公式)'!$A$5)/365))</x:f>
        <x:v>#NAME?</x:v>
      </x:c>
      <x:c r="O460" s="152" t="e">
        <x:f>IF(OR(N459="",N460=""),"",N460/N459-1)</x:f>
        <x:v>#NAME?</x:v>
      </x:c>
      <x:c r="P460" s="152" t="e">
        <x:f>IF(N460="","",N460/MAX(N$5:N460)-1)</x:f>
        <x:v>#NAME?</x:v>
      </x:c>
      <x:c r="Q460" s="146" t="e">
        <x:f>IF(OR('实盘净值数据(iFinD公式)'!$A460="",'实盘净值数据(iFinD公式)'!$B460=""),"",分期持仓明细!$AD$25*SUMPRODUCT(分期持仓明细!$B$25:$AA$25,'实盘净值数据(iFinD公式)'!$B460:$AA460/'实盘净值数据(iFinD公式)'!$B$65:$AA$65)*(1-实盘持仓初始配置!$Z$9)^(('实盘净值数据(iFinD公式)'!$A460-'实盘净值数据(iFinD公式)'!$A$8)/365))</x:f>
        <x:v>#NAME?</x:v>
      </x:c>
      <x:c r="R460" s="152" t="e">
        <x:f>IF(OR(Q459="",Q460=""),"",Q460/Q459-1)</x:f>
        <x:v>#NAME?</x:v>
      </x:c>
      <x:c r="S460" s="152" t="e">
        <x:f>IF(Q460="","",Q460/MAX(Q$5:Q460)-1)</x:f>
        <x:v>#NAME?</x:v>
      </x:c>
    </x:row>
    <x:row r="461">
      <x:c r="A461" s="149" t="str">
        <x:f>IF('实盘净值数据(iFinD公式)'!A461="","",'实盘净值数据(iFinD公式)'!A461)</x:f>
      </x:c>
      <x:c r="B461" s="146" t="e">
        <x:f>IF(OR('实盘净值数据(iFinD公式)'!$A461="",'实盘净值数据(iFinD公式)'!$B461=""),"",分期持仓明细!$AD$17*SUMPRODUCT(分期持仓明细!$B$17:$AA$17,'实盘净值数据(iFinD公式)'!$B461:$AA461/'实盘净值数据(iFinD公式)'!$B$20:$AA$20)*(1-实盘持仓初始配置!$Z$4)^(('实盘净值数据(iFinD公式)'!$A461-'实盘净值数据(iFinD公式)'!$A$6)/365))</x:f>
        <x:v>#NAME?</x:v>
      </x:c>
      <x:c r="C461" s="152" t="e">
        <x:f>IF(OR(B460="",B461=""),"",B461/B460-1)</x:f>
        <x:v>#NAME?</x:v>
      </x:c>
      <x:c r="D461" s="152" t="e">
        <x:f>IF(B461="","",B461/MAX(B$5:B461)-1)</x:f>
        <x:v>#NAME?</x:v>
      </x:c>
      <x:c r="E461" s="146" t="e">
        <x:f>IF(OR('实盘净值数据(iFinD公式)'!$A461="",'实盘净值数据(iFinD公式)'!$B461=""),"",分期持仓明细!$AD$18*SUMPRODUCT(分期持仓明细!$B$18:$AA$18,'实盘净值数据(iFinD公式)'!$B461:$AA461/'实盘净值数据(iFinD公式)'!$B$20:$AA$20)*(1-实盘持仓初始配置!$Z$5)^(('实盘净值数据(iFinD公式)'!$A461-'实盘净值数据(iFinD公式)'!$A$5)/365))</x:f>
        <x:v>#NAME?</x:v>
      </x:c>
      <x:c r="F461" s="152" t="e">
        <x:f>IF(OR(E460="",E461=""),"",E461/E460-1)</x:f>
        <x:v>#NAME?</x:v>
      </x:c>
      <x:c r="G461" s="152" t="e">
        <x:f>IF(E461="","",E461/MAX(E$5:E461)-1)</x:f>
        <x:v>#NAME?</x:v>
      </x:c>
      <x:c r="H461" s="146" t="e">
        <x:f>IF(OR('实盘净值数据(iFinD公式)'!$A461="",'实盘净值数据(iFinD公式)'!$B461=""),"",分期持仓明细!$AD$19*SUMPRODUCT(分期持仓明细!$B$19:$AA$19,'实盘净值数据(iFinD公式)'!$B461:$AA461/'实盘净值数据(iFinD公式)'!$B$20:$AA$20)*(1-实盘持仓初始配置!$Z$6)^(('实盘净值数据(iFinD公式)'!$A461-'实盘净值数据(iFinD公式)'!$A$7)/365))</x:f>
        <x:v>#NAME?</x:v>
      </x:c>
      <x:c r="I461" s="152" t="e">
        <x:f>IF(OR(H460="",H461=""),"",H461/H460-1)</x:f>
        <x:v>#NAME?</x:v>
      </x:c>
      <x:c r="J461" s="152" t="e">
        <x:f>IF(H461="","",H461/MAX(H$5:H461)-1)</x:f>
        <x:v>#NAME?</x:v>
      </x:c>
      <x:c r="K461" s="146" t="e">
        <x:f>IF(OR('实盘净值数据(iFinD公式)'!$A461="",'实盘净值数据(iFinD公式)'!$B461=""),"",分期持仓明细!$AD$23*SUMPRODUCT(分期持仓明细!$B$23:$AA$23,'实盘净值数据(iFinD公式)'!$B461:$AA461/'实盘净值数据(iFinD公式)'!$B$65:$AA$65)*(1-实盘持仓初始配置!$Z$7)^(('实盘净值数据(iFinD公式)'!$A461-'实盘净值数据(iFinD公式)'!$A$8)/365))</x:f>
        <x:v>#NAME?</x:v>
      </x:c>
      <x:c r="L461" s="152" t="e">
        <x:f>IF(OR(K460="",K461=""),"",K461/K460-1)</x:f>
        <x:v>#NAME?</x:v>
      </x:c>
      <x:c r="M461" s="152" t="e">
        <x:f>IF(K461="","",K461/MAX(K$5:K461)-1)</x:f>
        <x:v>#NAME?</x:v>
      </x:c>
      <x:c r="N461" s="146" t="e">
        <x:f>IF(OR('实盘净值数据(iFinD公式)'!$A461="",'实盘净值数据(iFinD公式)'!$B461=""),"",分期持仓明细!$AD$24*SUMPRODUCT(分期持仓明细!$B$24:$AA$24,'实盘净值数据(iFinD公式)'!$B461:$AA461/'实盘净值数据(iFinD公式)'!$B$65:$AA$65)*(1-实盘持仓初始配置!$Z$8)^(('实盘净值数据(iFinD公式)'!$A461-'实盘净值数据(iFinD公式)'!$A$5)/365))</x:f>
        <x:v>#NAME?</x:v>
      </x:c>
      <x:c r="O461" s="152" t="e">
        <x:f>IF(OR(N460="",N461=""),"",N461/N460-1)</x:f>
        <x:v>#NAME?</x:v>
      </x:c>
      <x:c r="P461" s="152" t="e">
        <x:f>IF(N461="","",N461/MAX(N$5:N461)-1)</x:f>
        <x:v>#NAME?</x:v>
      </x:c>
      <x:c r="Q461" s="146" t="e">
        <x:f>IF(OR('实盘净值数据(iFinD公式)'!$A461="",'实盘净值数据(iFinD公式)'!$B461=""),"",分期持仓明细!$AD$25*SUMPRODUCT(分期持仓明细!$B$25:$AA$25,'实盘净值数据(iFinD公式)'!$B461:$AA461/'实盘净值数据(iFinD公式)'!$B$65:$AA$65)*(1-实盘持仓初始配置!$Z$9)^(('实盘净值数据(iFinD公式)'!$A461-'实盘净值数据(iFinD公式)'!$A$8)/365))</x:f>
        <x:v>#NAME?</x:v>
      </x:c>
      <x:c r="R461" s="152" t="e">
        <x:f>IF(OR(Q460="",Q461=""),"",Q461/Q460-1)</x:f>
        <x:v>#NAME?</x:v>
      </x:c>
      <x:c r="S461" s="152" t="e">
        <x:f>IF(Q461="","",Q461/MAX(Q$5:Q461)-1)</x:f>
        <x:v>#NAME?</x:v>
      </x:c>
    </x:row>
    <x:row r="462">
      <x:c r="A462" s="149" t="str">
        <x:f>IF('实盘净值数据(iFinD公式)'!A462="","",'实盘净值数据(iFinD公式)'!A462)</x:f>
      </x:c>
      <x:c r="B462" s="146" t="e">
        <x:f>IF(OR('实盘净值数据(iFinD公式)'!$A462="",'实盘净值数据(iFinD公式)'!$B462=""),"",分期持仓明细!$AD$17*SUMPRODUCT(分期持仓明细!$B$17:$AA$17,'实盘净值数据(iFinD公式)'!$B462:$AA462/'实盘净值数据(iFinD公式)'!$B$20:$AA$20)*(1-实盘持仓初始配置!$Z$4)^(('实盘净值数据(iFinD公式)'!$A462-'实盘净值数据(iFinD公式)'!$A$6)/365))</x:f>
        <x:v>#NAME?</x:v>
      </x:c>
      <x:c r="C462" s="152" t="e">
        <x:f>IF(OR(B461="",B462=""),"",B462/B461-1)</x:f>
        <x:v>#NAME?</x:v>
      </x:c>
      <x:c r="D462" s="152" t="e">
        <x:f>IF(B462="","",B462/MAX(B$5:B462)-1)</x:f>
        <x:v>#NAME?</x:v>
      </x:c>
      <x:c r="E462" s="146" t="e">
        <x:f>IF(OR('实盘净值数据(iFinD公式)'!$A462="",'实盘净值数据(iFinD公式)'!$B462=""),"",分期持仓明细!$AD$18*SUMPRODUCT(分期持仓明细!$B$18:$AA$18,'实盘净值数据(iFinD公式)'!$B462:$AA462/'实盘净值数据(iFinD公式)'!$B$20:$AA$20)*(1-实盘持仓初始配置!$Z$5)^(('实盘净值数据(iFinD公式)'!$A462-'实盘净值数据(iFinD公式)'!$A$5)/365))</x:f>
        <x:v>#NAME?</x:v>
      </x:c>
      <x:c r="F462" s="152" t="e">
        <x:f>IF(OR(E461="",E462=""),"",E462/E461-1)</x:f>
        <x:v>#NAME?</x:v>
      </x:c>
      <x:c r="G462" s="152" t="e">
        <x:f>IF(E462="","",E462/MAX(E$5:E462)-1)</x:f>
        <x:v>#NAME?</x:v>
      </x:c>
      <x:c r="H462" s="146" t="e">
        <x:f>IF(OR('实盘净值数据(iFinD公式)'!$A462="",'实盘净值数据(iFinD公式)'!$B462=""),"",分期持仓明细!$AD$19*SUMPRODUCT(分期持仓明细!$B$19:$AA$19,'实盘净值数据(iFinD公式)'!$B462:$AA462/'实盘净值数据(iFinD公式)'!$B$20:$AA$20)*(1-实盘持仓初始配置!$Z$6)^(('实盘净值数据(iFinD公式)'!$A462-'实盘净值数据(iFinD公式)'!$A$7)/365))</x:f>
        <x:v>#NAME?</x:v>
      </x:c>
      <x:c r="I462" s="152" t="e">
        <x:f>IF(OR(H461="",H462=""),"",H462/H461-1)</x:f>
        <x:v>#NAME?</x:v>
      </x:c>
      <x:c r="J462" s="152" t="e">
        <x:f>IF(H462="","",H462/MAX(H$5:H462)-1)</x:f>
        <x:v>#NAME?</x:v>
      </x:c>
      <x:c r="K462" s="146" t="e">
        <x:f>IF(OR('实盘净值数据(iFinD公式)'!$A462="",'实盘净值数据(iFinD公式)'!$B462=""),"",分期持仓明细!$AD$23*SUMPRODUCT(分期持仓明细!$B$23:$AA$23,'实盘净值数据(iFinD公式)'!$B462:$AA462/'实盘净值数据(iFinD公式)'!$B$65:$AA$65)*(1-实盘持仓初始配置!$Z$7)^(('实盘净值数据(iFinD公式)'!$A462-'实盘净值数据(iFinD公式)'!$A$8)/365))</x:f>
        <x:v>#NAME?</x:v>
      </x:c>
      <x:c r="L462" s="152" t="e">
        <x:f>IF(OR(K461="",K462=""),"",K462/K461-1)</x:f>
        <x:v>#NAME?</x:v>
      </x:c>
      <x:c r="M462" s="152" t="e">
        <x:f>IF(K462="","",K462/MAX(K$5:K462)-1)</x:f>
        <x:v>#NAME?</x:v>
      </x:c>
      <x:c r="N462" s="146" t="e">
        <x:f>IF(OR('实盘净值数据(iFinD公式)'!$A462="",'实盘净值数据(iFinD公式)'!$B462=""),"",分期持仓明细!$AD$24*SUMPRODUCT(分期持仓明细!$B$24:$AA$24,'实盘净值数据(iFinD公式)'!$B462:$AA462/'实盘净值数据(iFinD公式)'!$B$65:$AA$65)*(1-实盘持仓初始配置!$Z$8)^(('实盘净值数据(iFinD公式)'!$A462-'实盘净值数据(iFinD公式)'!$A$5)/365))</x:f>
        <x:v>#NAME?</x:v>
      </x:c>
      <x:c r="O462" s="152" t="e">
        <x:f>IF(OR(N461="",N462=""),"",N462/N461-1)</x:f>
        <x:v>#NAME?</x:v>
      </x:c>
      <x:c r="P462" s="152" t="e">
        <x:f>IF(N462="","",N462/MAX(N$5:N462)-1)</x:f>
        <x:v>#NAME?</x:v>
      </x:c>
      <x:c r="Q462" s="146" t="e">
        <x:f>IF(OR('实盘净值数据(iFinD公式)'!$A462="",'实盘净值数据(iFinD公式)'!$B462=""),"",分期持仓明细!$AD$25*SUMPRODUCT(分期持仓明细!$B$25:$AA$25,'实盘净值数据(iFinD公式)'!$B462:$AA462/'实盘净值数据(iFinD公式)'!$B$65:$AA$65)*(1-实盘持仓初始配置!$Z$9)^(('实盘净值数据(iFinD公式)'!$A462-'实盘净值数据(iFinD公式)'!$A$8)/365))</x:f>
        <x:v>#NAME?</x:v>
      </x:c>
      <x:c r="R462" s="152" t="e">
        <x:f>IF(OR(Q461="",Q462=""),"",Q462/Q461-1)</x:f>
        <x:v>#NAME?</x:v>
      </x:c>
      <x:c r="S462" s="152" t="e">
        <x:f>IF(Q462="","",Q462/MAX(Q$5:Q462)-1)</x:f>
        <x:v>#NAME?</x:v>
      </x:c>
    </x:row>
    <x:row r="463">
      <x:c r="A463" s="149" t="str">
        <x:f>IF('实盘净值数据(iFinD公式)'!A463="","",'实盘净值数据(iFinD公式)'!A463)</x:f>
      </x:c>
      <x:c r="B463" s="146" t="e">
        <x:f>IF(OR('实盘净值数据(iFinD公式)'!$A463="",'实盘净值数据(iFinD公式)'!$B463=""),"",分期持仓明细!$AD$17*SUMPRODUCT(分期持仓明细!$B$17:$AA$17,'实盘净值数据(iFinD公式)'!$B463:$AA463/'实盘净值数据(iFinD公式)'!$B$20:$AA$20)*(1-实盘持仓初始配置!$Z$4)^(('实盘净值数据(iFinD公式)'!$A463-'实盘净值数据(iFinD公式)'!$A$6)/365))</x:f>
        <x:v>#NAME?</x:v>
      </x:c>
      <x:c r="C463" s="152" t="e">
        <x:f>IF(OR(B462="",B463=""),"",B463/B462-1)</x:f>
        <x:v>#NAME?</x:v>
      </x:c>
      <x:c r="D463" s="152" t="e">
        <x:f>IF(B463="","",B463/MAX(B$5:B463)-1)</x:f>
        <x:v>#NAME?</x:v>
      </x:c>
      <x:c r="E463" s="146" t="e">
        <x:f>IF(OR('实盘净值数据(iFinD公式)'!$A463="",'实盘净值数据(iFinD公式)'!$B463=""),"",分期持仓明细!$AD$18*SUMPRODUCT(分期持仓明细!$B$18:$AA$18,'实盘净值数据(iFinD公式)'!$B463:$AA463/'实盘净值数据(iFinD公式)'!$B$20:$AA$20)*(1-实盘持仓初始配置!$Z$5)^(('实盘净值数据(iFinD公式)'!$A463-'实盘净值数据(iFinD公式)'!$A$5)/365))</x:f>
        <x:v>#NAME?</x:v>
      </x:c>
      <x:c r="F463" s="152" t="e">
        <x:f>IF(OR(E462="",E463=""),"",E463/E462-1)</x:f>
        <x:v>#NAME?</x:v>
      </x:c>
      <x:c r="G463" s="152" t="e">
        <x:f>IF(E463="","",E463/MAX(E$5:E463)-1)</x:f>
        <x:v>#NAME?</x:v>
      </x:c>
      <x:c r="H463" s="146" t="e">
        <x:f>IF(OR('实盘净值数据(iFinD公式)'!$A463="",'实盘净值数据(iFinD公式)'!$B463=""),"",分期持仓明细!$AD$19*SUMPRODUCT(分期持仓明细!$B$19:$AA$19,'实盘净值数据(iFinD公式)'!$B463:$AA463/'实盘净值数据(iFinD公式)'!$B$20:$AA$20)*(1-实盘持仓初始配置!$Z$6)^(('实盘净值数据(iFinD公式)'!$A463-'实盘净值数据(iFinD公式)'!$A$7)/365))</x:f>
        <x:v>#NAME?</x:v>
      </x:c>
      <x:c r="I463" s="152" t="e">
        <x:f>IF(OR(H462="",H463=""),"",H463/H462-1)</x:f>
        <x:v>#NAME?</x:v>
      </x:c>
      <x:c r="J463" s="152" t="e">
        <x:f>IF(H463="","",H463/MAX(H$5:H463)-1)</x:f>
        <x:v>#NAME?</x:v>
      </x:c>
      <x:c r="K463" s="146" t="e">
        <x:f>IF(OR('实盘净值数据(iFinD公式)'!$A463="",'实盘净值数据(iFinD公式)'!$B463=""),"",分期持仓明细!$AD$23*SUMPRODUCT(分期持仓明细!$B$23:$AA$23,'实盘净值数据(iFinD公式)'!$B463:$AA463/'实盘净值数据(iFinD公式)'!$B$65:$AA$65)*(1-实盘持仓初始配置!$Z$7)^(('实盘净值数据(iFinD公式)'!$A463-'实盘净值数据(iFinD公式)'!$A$8)/365))</x:f>
        <x:v>#NAME?</x:v>
      </x:c>
      <x:c r="L463" s="152" t="e">
        <x:f>IF(OR(K462="",K463=""),"",K463/K462-1)</x:f>
        <x:v>#NAME?</x:v>
      </x:c>
      <x:c r="M463" s="152" t="e">
        <x:f>IF(K463="","",K463/MAX(K$5:K463)-1)</x:f>
        <x:v>#NAME?</x:v>
      </x:c>
      <x:c r="N463" s="146" t="e">
        <x:f>IF(OR('实盘净值数据(iFinD公式)'!$A463="",'实盘净值数据(iFinD公式)'!$B463=""),"",分期持仓明细!$AD$24*SUMPRODUCT(分期持仓明细!$B$24:$AA$24,'实盘净值数据(iFinD公式)'!$B463:$AA463/'实盘净值数据(iFinD公式)'!$B$65:$AA$65)*(1-实盘持仓初始配置!$Z$8)^(('实盘净值数据(iFinD公式)'!$A463-'实盘净值数据(iFinD公式)'!$A$5)/365))</x:f>
        <x:v>#NAME?</x:v>
      </x:c>
      <x:c r="O463" s="152" t="e">
        <x:f>IF(OR(N462="",N463=""),"",N463/N462-1)</x:f>
        <x:v>#NAME?</x:v>
      </x:c>
      <x:c r="P463" s="152" t="e">
        <x:f>IF(N463="","",N463/MAX(N$5:N463)-1)</x:f>
        <x:v>#NAME?</x:v>
      </x:c>
      <x:c r="Q463" s="146" t="e">
        <x:f>IF(OR('实盘净值数据(iFinD公式)'!$A463="",'实盘净值数据(iFinD公式)'!$B463=""),"",分期持仓明细!$AD$25*SUMPRODUCT(分期持仓明细!$B$25:$AA$25,'实盘净值数据(iFinD公式)'!$B463:$AA463/'实盘净值数据(iFinD公式)'!$B$65:$AA$65)*(1-实盘持仓初始配置!$Z$9)^(('实盘净值数据(iFinD公式)'!$A463-'实盘净值数据(iFinD公式)'!$A$8)/365))</x:f>
        <x:v>#NAME?</x:v>
      </x:c>
      <x:c r="R463" s="152" t="e">
        <x:f>IF(OR(Q462="",Q463=""),"",Q463/Q462-1)</x:f>
        <x:v>#NAME?</x:v>
      </x:c>
      <x:c r="S463" s="152" t="e">
        <x:f>IF(Q463="","",Q463/MAX(Q$5:Q463)-1)</x:f>
        <x:v>#NAME?</x:v>
      </x:c>
    </x:row>
    <x:row r="464">
      <x:c r="A464" s="149" t="str">
        <x:f>IF('实盘净值数据(iFinD公式)'!A464="","",'实盘净值数据(iFinD公式)'!A464)</x:f>
      </x:c>
      <x:c r="B464" s="146" t="e">
        <x:f>IF(OR('实盘净值数据(iFinD公式)'!$A464="",'实盘净值数据(iFinD公式)'!$B464=""),"",分期持仓明细!$AD$17*SUMPRODUCT(分期持仓明细!$B$17:$AA$17,'实盘净值数据(iFinD公式)'!$B464:$AA464/'实盘净值数据(iFinD公式)'!$B$20:$AA$20)*(1-实盘持仓初始配置!$Z$4)^(('实盘净值数据(iFinD公式)'!$A464-'实盘净值数据(iFinD公式)'!$A$6)/365))</x:f>
        <x:v>#NAME?</x:v>
      </x:c>
      <x:c r="C464" s="152" t="e">
        <x:f>IF(OR(B463="",B464=""),"",B464/B463-1)</x:f>
        <x:v>#NAME?</x:v>
      </x:c>
      <x:c r="D464" s="152" t="e">
        <x:f>IF(B464="","",B464/MAX(B$5:B464)-1)</x:f>
        <x:v>#NAME?</x:v>
      </x:c>
      <x:c r="E464" s="146" t="e">
        <x:f>IF(OR('实盘净值数据(iFinD公式)'!$A464="",'实盘净值数据(iFinD公式)'!$B464=""),"",分期持仓明细!$AD$18*SUMPRODUCT(分期持仓明细!$B$18:$AA$18,'实盘净值数据(iFinD公式)'!$B464:$AA464/'实盘净值数据(iFinD公式)'!$B$20:$AA$20)*(1-实盘持仓初始配置!$Z$5)^(('实盘净值数据(iFinD公式)'!$A464-'实盘净值数据(iFinD公式)'!$A$5)/365))</x:f>
        <x:v>#NAME?</x:v>
      </x:c>
      <x:c r="F464" s="152" t="e">
        <x:f>IF(OR(E463="",E464=""),"",E464/E463-1)</x:f>
        <x:v>#NAME?</x:v>
      </x:c>
      <x:c r="G464" s="152" t="e">
        <x:f>IF(E464="","",E464/MAX(E$5:E464)-1)</x:f>
        <x:v>#NAME?</x:v>
      </x:c>
      <x:c r="H464" s="146" t="e">
        <x:f>IF(OR('实盘净值数据(iFinD公式)'!$A464="",'实盘净值数据(iFinD公式)'!$B464=""),"",分期持仓明细!$AD$19*SUMPRODUCT(分期持仓明细!$B$19:$AA$19,'实盘净值数据(iFinD公式)'!$B464:$AA464/'实盘净值数据(iFinD公式)'!$B$20:$AA$20)*(1-实盘持仓初始配置!$Z$6)^(('实盘净值数据(iFinD公式)'!$A464-'实盘净值数据(iFinD公式)'!$A$7)/365))</x:f>
        <x:v>#NAME?</x:v>
      </x:c>
      <x:c r="I464" s="152" t="e">
        <x:f>IF(OR(H463="",H464=""),"",H464/H463-1)</x:f>
        <x:v>#NAME?</x:v>
      </x:c>
      <x:c r="J464" s="152" t="e">
        <x:f>IF(H464="","",H464/MAX(H$5:H464)-1)</x:f>
        <x:v>#NAME?</x:v>
      </x:c>
      <x:c r="K464" s="146" t="e">
        <x:f>IF(OR('实盘净值数据(iFinD公式)'!$A464="",'实盘净值数据(iFinD公式)'!$B464=""),"",分期持仓明细!$AD$23*SUMPRODUCT(分期持仓明细!$B$23:$AA$23,'实盘净值数据(iFinD公式)'!$B464:$AA464/'实盘净值数据(iFinD公式)'!$B$65:$AA$65)*(1-实盘持仓初始配置!$Z$7)^(('实盘净值数据(iFinD公式)'!$A464-'实盘净值数据(iFinD公式)'!$A$8)/365))</x:f>
        <x:v>#NAME?</x:v>
      </x:c>
      <x:c r="L464" s="152" t="e">
        <x:f>IF(OR(K463="",K464=""),"",K464/K463-1)</x:f>
        <x:v>#NAME?</x:v>
      </x:c>
      <x:c r="M464" s="152" t="e">
        <x:f>IF(K464="","",K464/MAX(K$5:K464)-1)</x:f>
        <x:v>#NAME?</x:v>
      </x:c>
      <x:c r="N464" s="146" t="e">
        <x:f>IF(OR('实盘净值数据(iFinD公式)'!$A464="",'实盘净值数据(iFinD公式)'!$B464=""),"",分期持仓明细!$AD$24*SUMPRODUCT(分期持仓明细!$B$24:$AA$24,'实盘净值数据(iFinD公式)'!$B464:$AA464/'实盘净值数据(iFinD公式)'!$B$65:$AA$65)*(1-实盘持仓初始配置!$Z$8)^(('实盘净值数据(iFinD公式)'!$A464-'实盘净值数据(iFinD公式)'!$A$5)/365))</x:f>
        <x:v>#NAME?</x:v>
      </x:c>
      <x:c r="O464" s="152" t="e">
        <x:f>IF(OR(N463="",N464=""),"",N464/N463-1)</x:f>
        <x:v>#NAME?</x:v>
      </x:c>
      <x:c r="P464" s="152" t="e">
        <x:f>IF(N464="","",N464/MAX(N$5:N464)-1)</x:f>
        <x:v>#NAME?</x:v>
      </x:c>
      <x:c r="Q464" s="146" t="e">
        <x:f>IF(OR('实盘净值数据(iFinD公式)'!$A464="",'实盘净值数据(iFinD公式)'!$B464=""),"",分期持仓明细!$AD$25*SUMPRODUCT(分期持仓明细!$B$25:$AA$25,'实盘净值数据(iFinD公式)'!$B464:$AA464/'实盘净值数据(iFinD公式)'!$B$65:$AA$65)*(1-实盘持仓初始配置!$Z$9)^(('实盘净值数据(iFinD公式)'!$A464-'实盘净值数据(iFinD公式)'!$A$8)/365))</x:f>
        <x:v>#NAME?</x:v>
      </x:c>
      <x:c r="R464" s="152" t="e">
        <x:f>IF(OR(Q463="",Q464=""),"",Q464/Q463-1)</x:f>
        <x:v>#NAME?</x:v>
      </x:c>
      <x:c r="S464" s="152" t="e">
        <x:f>IF(Q464="","",Q464/MAX(Q$5:Q464)-1)</x:f>
        <x:v>#NAME?</x:v>
      </x:c>
    </x:row>
    <x:row r="465">
      <x:c r="A465" s="149" t="str">
        <x:f>IF('实盘净值数据(iFinD公式)'!A465="","",'实盘净值数据(iFinD公式)'!A465)</x:f>
      </x:c>
      <x:c r="B465" s="146" t="e">
        <x:f>IF(OR('实盘净值数据(iFinD公式)'!$A465="",'实盘净值数据(iFinD公式)'!$B465=""),"",分期持仓明细!$AD$17*SUMPRODUCT(分期持仓明细!$B$17:$AA$17,'实盘净值数据(iFinD公式)'!$B465:$AA465/'实盘净值数据(iFinD公式)'!$B$20:$AA$20)*(1-实盘持仓初始配置!$Z$4)^(('实盘净值数据(iFinD公式)'!$A465-'实盘净值数据(iFinD公式)'!$A$6)/365))</x:f>
        <x:v>#NAME?</x:v>
      </x:c>
      <x:c r="C465" s="152" t="e">
        <x:f>IF(OR(B464="",B465=""),"",B465/B464-1)</x:f>
        <x:v>#NAME?</x:v>
      </x:c>
      <x:c r="D465" s="152" t="e">
        <x:f>IF(B465="","",B465/MAX(B$5:B465)-1)</x:f>
        <x:v>#NAME?</x:v>
      </x:c>
      <x:c r="E465" s="146" t="e">
        <x:f>IF(OR('实盘净值数据(iFinD公式)'!$A465="",'实盘净值数据(iFinD公式)'!$B465=""),"",分期持仓明细!$AD$18*SUMPRODUCT(分期持仓明细!$B$18:$AA$18,'实盘净值数据(iFinD公式)'!$B465:$AA465/'实盘净值数据(iFinD公式)'!$B$20:$AA$20)*(1-实盘持仓初始配置!$Z$5)^(('实盘净值数据(iFinD公式)'!$A465-'实盘净值数据(iFinD公式)'!$A$5)/365))</x:f>
        <x:v>#NAME?</x:v>
      </x:c>
      <x:c r="F465" s="152" t="e">
        <x:f>IF(OR(E464="",E465=""),"",E465/E464-1)</x:f>
        <x:v>#NAME?</x:v>
      </x:c>
      <x:c r="G465" s="152" t="e">
        <x:f>IF(E465="","",E465/MAX(E$5:E465)-1)</x:f>
        <x:v>#NAME?</x:v>
      </x:c>
      <x:c r="H465" s="146" t="e">
        <x:f>IF(OR('实盘净值数据(iFinD公式)'!$A465="",'实盘净值数据(iFinD公式)'!$B465=""),"",分期持仓明细!$AD$19*SUMPRODUCT(分期持仓明细!$B$19:$AA$19,'实盘净值数据(iFinD公式)'!$B465:$AA465/'实盘净值数据(iFinD公式)'!$B$20:$AA$20)*(1-实盘持仓初始配置!$Z$6)^(('实盘净值数据(iFinD公式)'!$A465-'实盘净值数据(iFinD公式)'!$A$7)/365))</x:f>
        <x:v>#NAME?</x:v>
      </x:c>
      <x:c r="I465" s="152" t="e">
        <x:f>IF(OR(H464="",H465=""),"",H465/H464-1)</x:f>
        <x:v>#NAME?</x:v>
      </x:c>
      <x:c r="J465" s="152" t="e">
        <x:f>IF(H465="","",H465/MAX(H$5:H465)-1)</x:f>
        <x:v>#NAME?</x:v>
      </x:c>
      <x:c r="K465" s="146" t="e">
        <x:f>IF(OR('实盘净值数据(iFinD公式)'!$A465="",'实盘净值数据(iFinD公式)'!$B465=""),"",分期持仓明细!$AD$23*SUMPRODUCT(分期持仓明细!$B$23:$AA$23,'实盘净值数据(iFinD公式)'!$B465:$AA465/'实盘净值数据(iFinD公式)'!$B$65:$AA$65)*(1-实盘持仓初始配置!$Z$7)^(('实盘净值数据(iFinD公式)'!$A465-'实盘净值数据(iFinD公式)'!$A$8)/365))</x:f>
        <x:v>#NAME?</x:v>
      </x:c>
      <x:c r="L465" s="152" t="e">
        <x:f>IF(OR(K464="",K465=""),"",K465/K464-1)</x:f>
        <x:v>#NAME?</x:v>
      </x:c>
      <x:c r="M465" s="152" t="e">
        <x:f>IF(K465="","",K465/MAX(K$5:K465)-1)</x:f>
        <x:v>#NAME?</x:v>
      </x:c>
      <x:c r="N465" s="146" t="e">
        <x:f>IF(OR('实盘净值数据(iFinD公式)'!$A465="",'实盘净值数据(iFinD公式)'!$B465=""),"",分期持仓明细!$AD$24*SUMPRODUCT(分期持仓明细!$B$24:$AA$24,'实盘净值数据(iFinD公式)'!$B465:$AA465/'实盘净值数据(iFinD公式)'!$B$65:$AA$65)*(1-实盘持仓初始配置!$Z$8)^(('实盘净值数据(iFinD公式)'!$A465-'实盘净值数据(iFinD公式)'!$A$5)/365))</x:f>
        <x:v>#NAME?</x:v>
      </x:c>
      <x:c r="O465" s="152" t="e">
        <x:f>IF(OR(N464="",N465=""),"",N465/N464-1)</x:f>
        <x:v>#NAME?</x:v>
      </x:c>
      <x:c r="P465" s="152" t="e">
        <x:f>IF(N465="","",N465/MAX(N$5:N465)-1)</x:f>
        <x:v>#NAME?</x:v>
      </x:c>
      <x:c r="Q465" s="146" t="e">
        <x:f>IF(OR('实盘净值数据(iFinD公式)'!$A465="",'实盘净值数据(iFinD公式)'!$B465=""),"",分期持仓明细!$AD$25*SUMPRODUCT(分期持仓明细!$B$25:$AA$25,'实盘净值数据(iFinD公式)'!$B465:$AA465/'实盘净值数据(iFinD公式)'!$B$65:$AA$65)*(1-实盘持仓初始配置!$Z$9)^(('实盘净值数据(iFinD公式)'!$A465-'实盘净值数据(iFinD公式)'!$A$8)/365))</x:f>
        <x:v>#NAME?</x:v>
      </x:c>
      <x:c r="R465" s="152" t="e">
        <x:f>IF(OR(Q464="",Q465=""),"",Q465/Q464-1)</x:f>
        <x:v>#NAME?</x:v>
      </x:c>
      <x:c r="S465" s="152" t="e">
        <x:f>IF(Q465="","",Q465/MAX(Q$5:Q465)-1)</x:f>
        <x:v>#NAME?</x:v>
      </x:c>
    </x:row>
    <x:row r="466">
      <x:c r="A466" s="149" t="str">
        <x:f>IF('实盘净值数据(iFinD公式)'!A466="","",'实盘净值数据(iFinD公式)'!A466)</x:f>
      </x:c>
      <x:c r="B466" s="146" t="e">
        <x:f>IF(OR('实盘净值数据(iFinD公式)'!$A466="",'实盘净值数据(iFinD公式)'!$B466=""),"",分期持仓明细!$AD$17*SUMPRODUCT(分期持仓明细!$B$17:$AA$17,'实盘净值数据(iFinD公式)'!$B466:$AA466/'实盘净值数据(iFinD公式)'!$B$20:$AA$20)*(1-实盘持仓初始配置!$Z$4)^(('实盘净值数据(iFinD公式)'!$A466-'实盘净值数据(iFinD公式)'!$A$6)/365))</x:f>
        <x:v>#NAME?</x:v>
      </x:c>
      <x:c r="C466" s="152" t="e">
        <x:f>IF(OR(B465="",B466=""),"",B466/B465-1)</x:f>
        <x:v>#NAME?</x:v>
      </x:c>
      <x:c r="D466" s="152" t="e">
        <x:f>IF(B466="","",B466/MAX(B$5:B466)-1)</x:f>
        <x:v>#NAME?</x:v>
      </x:c>
      <x:c r="E466" s="146" t="e">
        <x:f>IF(OR('实盘净值数据(iFinD公式)'!$A466="",'实盘净值数据(iFinD公式)'!$B466=""),"",分期持仓明细!$AD$18*SUMPRODUCT(分期持仓明细!$B$18:$AA$18,'实盘净值数据(iFinD公式)'!$B466:$AA466/'实盘净值数据(iFinD公式)'!$B$20:$AA$20)*(1-实盘持仓初始配置!$Z$5)^(('实盘净值数据(iFinD公式)'!$A466-'实盘净值数据(iFinD公式)'!$A$5)/365))</x:f>
        <x:v>#NAME?</x:v>
      </x:c>
      <x:c r="F466" s="152" t="e">
        <x:f>IF(OR(E465="",E466=""),"",E466/E465-1)</x:f>
        <x:v>#NAME?</x:v>
      </x:c>
      <x:c r="G466" s="152" t="e">
        <x:f>IF(E466="","",E466/MAX(E$5:E466)-1)</x:f>
        <x:v>#NAME?</x:v>
      </x:c>
      <x:c r="H466" s="146" t="e">
        <x:f>IF(OR('实盘净值数据(iFinD公式)'!$A466="",'实盘净值数据(iFinD公式)'!$B466=""),"",分期持仓明细!$AD$19*SUMPRODUCT(分期持仓明细!$B$19:$AA$19,'实盘净值数据(iFinD公式)'!$B466:$AA466/'实盘净值数据(iFinD公式)'!$B$20:$AA$20)*(1-实盘持仓初始配置!$Z$6)^(('实盘净值数据(iFinD公式)'!$A466-'实盘净值数据(iFinD公式)'!$A$7)/365))</x:f>
        <x:v>#NAME?</x:v>
      </x:c>
      <x:c r="I466" s="152" t="e">
        <x:f>IF(OR(H465="",H466=""),"",H466/H465-1)</x:f>
        <x:v>#NAME?</x:v>
      </x:c>
      <x:c r="J466" s="152" t="e">
        <x:f>IF(H466="","",H466/MAX(H$5:H466)-1)</x:f>
        <x:v>#NAME?</x:v>
      </x:c>
      <x:c r="K466" s="146" t="e">
        <x:f>IF(OR('实盘净值数据(iFinD公式)'!$A466="",'实盘净值数据(iFinD公式)'!$B466=""),"",分期持仓明细!$AD$23*SUMPRODUCT(分期持仓明细!$B$23:$AA$23,'实盘净值数据(iFinD公式)'!$B466:$AA466/'实盘净值数据(iFinD公式)'!$B$65:$AA$65)*(1-实盘持仓初始配置!$Z$7)^(('实盘净值数据(iFinD公式)'!$A466-'实盘净值数据(iFinD公式)'!$A$8)/365))</x:f>
        <x:v>#NAME?</x:v>
      </x:c>
      <x:c r="L466" s="152" t="e">
        <x:f>IF(OR(K465="",K466=""),"",K466/K465-1)</x:f>
        <x:v>#NAME?</x:v>
      </x:c>
      <x:c r="M466" s="152" t="e">
        <x:f>IF(K466="","",K466/MAX(K$5:K466)-1)</x:f>
        <x:v>#NAME?</x:v>
      </x:c>
      <x:c r="N466" s="146" t="e">
        <x:f>IF(OR('实盘净值数据(iFinD公式)'!$A466="",'实盘净值数据(iFinD公式)'!$B466=""),"",分期持仓明细!$AD$24*SUMPRODUCT(分期持仓明细!$B$24:$AA$24,'实盘净值数据(iFinD公式)'!$B466:$AA466/'实盘净值数据(iFinD公式)'!$B$65:$AA$65)*(1-实盘持仓初始配置!$Z$8)^(('实盘净值数据(iFinD公式)'!$A466-'实盘净值数据(iFinD公式)'!$A$5)/365))</x:f>
        <x:v>#NAME?</x:v>
      </x:c>
      <x:c r="O466" s="152" t="e">
        <x:f>IF(OR(N465="",N466=""),"",N466/N465-1)</x:f>
        <x:v>#NAME?</x:v>
      </x:c>
      <x:c r="P466" s="152" t="e">
        <x:f>IF(N466="","",N466/MAX(N$5:N466)-1)</x:f>
        <x:v>#NAME?</x:v>
      </x:c>
      <x:c r="Q466" s="146" t="e">
        <x:f>IF(OR('实盘净值数据(iFinD公式)'!$A466="",'实盘净值数据(iFinD公式)'!$B466=""),"",分期持仓明细!$AD$25*SUMPRODUCT(分期持仓明细!$B$25:$AA$25,'实盘净值数据(iFinD公式)'!$B466:$AA466/'实盘净值数据(iFinD公式)'!$B$65:$AA$65)*(1-实盘持仓初始配置!$Z$9)^(('实盘净值数据(iFinD公式)'!$A466-'实盘净值数据(iFinD公式)'!$A$8)/365))</x:f>
        <x:v>#NAME?</x:v>
      </x:c>
      <x:c r="R466" s="152" t="e">
        <x:f>IF(OR(Q465="",Q466=""),"",Q466/Q465-1)</x:f>
        <x:v>#NAME?</x:v>
      </x:c>
      <x:c r="S466" s="152" t="e">
        <x:f>IF(Q466="","",Q466/MAX(Q$5:Q466)-1)</x:f>
        <x:v>#NAME?</x:v>
      </x:c>
    </x:row>
    <x:row r="467">
      <x:c r="A467" s="149" t="str">
        <x:f>IF('实盘净值数据(iFinD公式)'!A467="","",'实盘净值数据(iFinD公式)'!A467)</x:f>
      </x:c>
      <x:c r="B467" s="146" t="e">
        <x:f>IF(OR('实盘净值数据(iFinD公式)'!$A467="",'实盘净值数据(iFinD公式)'!$B467=""),"",分期持仓明细!$AD$17*SUMPRODUCT(分期持仓明细!$B$17:$AA$17,'实盘净值数据(iFinD公式)'!$B467:$AA467/'实盘净值数据(iFinD公式)'!$B$20:$AA$20)*(1-实盘持仓初始配置!$Z$4)^(('实盘净值数据(iFinD公式)'!$A467-'实盘净值数据(iFinD公式)'!$A$6)/365))</x:f>
        <x:v>#NAME?</x:v>
      </x:c>
      <x:c r="C467" s="152" t="e">
        <x:f>IF(OR(B466="",B467=""),"",B467/B466-1)</x:f>
        <x:v>#NAME?</x:v>
      </x:c>
      <x:c r="D467" s="152" t="e">
        <x:f>IF(B467="","",B467/MAX(B$5:B467)-1)</x:f>
        <x:v>#NAME?</x:v>
      </x:c>
      <x:c r="E467" s="146" t="e">
        <x:f>IF(OR('实盘净值数据(iFinD公式)'!$A467="",'实盘净值数据(iFinD公式)'!$B467=""),"",分期持仓明细!$AD$18*SUMPRODUCT(分期持仓明细!$B$18:$AA$18,'实盘净值数据(iFinD公式)'!$B467:$AA467/'实盘净值数据(iFinD公式)'!$B$20:$AA$20)*(1-实盘持仓初始配置!$Z$5)^(('实盘净值数据(iFinD公式)'!$A467-'实盘净值数据(iFinD公式)'!$A$5)/365))</x:f>
        <x:v>#NAME?</x:v>
      </x:c>
      <x:c r="F467" s="152" t="e">
        <x:f>IF(OR(E466="",E467=""),"",E467/E466-1)</x:f>
        <x:v>#NAME?</x:v>
      </x:c>
      <x:c r="G467" s="152" t="e">
        <x:f>IF(E467="","",E467/MAX(E$5:E467)-1)</x:f>
        <x:v>#NAME?</x:v>
      </x:c>
      <x:c r="H467" s="146" t="e">
        <x:f>IF(OR('实盘净值数据(iFinD公式)'!$A467="",'实盘净值数据(iFinD公式)'!$B467=""),"",分期持仓明细!$AD$19*SUMPRODUCT(分期持仓明细!$B$19:$AA$19,'实盘净值数据(iFinD公式)'!$B467:$AA467/'实盘净值数据(iFinD公式)'!$B$20:$AA$20)*(1-实盘持仓初始配置!$Z$6)^(('实盘净值数据(iFinD公式)'!$A467-'实盘净值数据(iFinD公式)'!$A$7)/365))</x:f>
        <x:v>#NAME?</x:v>
      </x:c>
      <x:c r="I467" s="152" t="e">
        <x:f>IF(OR(H466="",H467=""),"",H467/H466-1)</x:f>
        <x:v>#NAME?</x:v>
      </x:c>
      <x:c r="J467" s="152" t="e">
        <x:f>IF(H467="","",H467/MAX(H$5:H467)-1)</x:f>
        <x:v>#NAME?</x:v>
      </x:c>
      <x:c r="K467" s="146" t="e">
        <x:f>IF(OR('实盘净值数据(iFinD公式)'!$A467="",'实盘净值数据(iFinD公式)'!$B467=""),"",分期持仓明细!$AD$23*SUMPRODUCT(分期持仓明细!$B$23:$AA$23,'实盘净值数据(iFinD公式)'!$B467:$AA467/'实盘净值数据(iFinD公式)'!$B$65:$AA$65)*(1-实盘持仓初始配置!$Z$7)^(('实盘净值数据(iFinD公式)'!$A467-'实盘净值数据(iFinD公式)'!$A$8)/365))</x:f>
        <x:v>#NAME?</x:v>
      </x:c>
      <x:c r="L467" s="152" t="e">
        <x:f>IF(OR(K466="",K467=""),"",K467/K466-1)</x:f>
        <x:v>#NAME?</x:v>
      </x:c>
      <x:c r="M467" s="152" t="e">
        <x:f>IF(K467="","",K467/MAX(K$5:K467)-1)</x:f>
        <x:v>#NAME?</x:v>
      </x:c>
      <x:c r="N467" s="146" t="e">
        <x:f>IF(OR('实盘净值数据(iFinD公式)'!$A467="",'实盘净值数据(iFinD公式)'!$B467=""),"",分期持仓明细!$AD$24*SUMPRODUCT(分期持仓明细!$B$24:$AA$24,'实盘净值数据(iFinD公式)'!$B467:$AA467/'实盘净值数据(iFinD公式)'!$B$65:$AA$65)*(1-实盘持仓初始配置!$Z$8)^(('实盘净值数据(iFinD公式)'!$A467-'实盘净值数据(iFinD公式)'!$A$5)/365))</x:f>
        <x:v>#NAME?</x:v>
      </x:c>
      <x:c r="O467" s="152" t="e">
        <x:f>IF(OR(N466="",N467=""),"",N467/N466-1)</x:f>
        <x:v>#NAME?</x:v>
      </x:c>
      <x:c r="P467" s="152" t="e">
        <x:f>IF(N467="","",N467/MAX(N$5:N467)-1)</x:f>
        <x:v>#NAME?</x:v>
      </x:c>
      <x:c r="Q467" s="146" t="e">
        <x:f>IF(OR('实盘净值数据(iFinD公式)'!$A467="",'实盘净值数据(iFinD公式)'!$B467=""),"",分期持仓明细!$AD$25*SUMPRODUCT(分期持仓明细!$B$25:$AA$25,'实盘净值数据(iFinD公式)'!$B467:$AA467/'实盘净值数据(iFinD公式)'!$B$65:$AA$65)*(1-实盘持仓初始配置!$Z$9)^(('实盘净值数据(iFinD公式)'!$A467-'实盘净值数据(iFinD公式)'!$A$8)/365))</x:f>
        <x:v>#NAME?</x:v>
      </x:c>
      <x:c r="R467" s="152" t="e">
        <x:f>IF(OR(Q466="",Q467=""),"",Q467/Q466-1)</x:f>
        <x:v>#NAME?</x:v>
      </x:c>
      <x:c r="S467" s="152" t="e">
        <x:f>IF(Q467="","",Q467/MAX(Q$5:Q467)-1)</x:f>
        <x:v>#NAME?</x:v>
      </x:c>
    </x:row>
    <x:row r="468">
      <x:c r="A468" s="149" t="str">
        <x:f>IF('实盘净值数据(iFinD公式)'!A468="","",'实盘净值数据(iFinD公式)'!A468)</x:f>
      </x:c>
      <x:c r="B468" s="146" t="e">
        <x:f>IF(OR('实盘净值数据(iFinD公式)'!$A468="",'实盘净值数据(iFinD公式)'!$B468=""),"",分期持仓明细!$AD$17*SUMPRODUCT(分期持仓明细!$B$17:$AA$17,'实盘净值数据(iFinD公式)'!$B468:$AA468/'实盘净值数据(iFinD公式)'!$B$20:$AA$20)*(1-实盘持仓初始配置!$Z$4)^(('实盘净值数据(iFinD公式)'!$A468-'实盘净值数据(iFinD公式)'!$A$6)/365))</x:f>
        <x:v>#NAME?</x:v>
      </x:c>
      <x:c r="C468" s="152" t="e">
        <x:f>IF(OR(B467="",B468=""),"",B468/B467-1)</x:f>
        <x:v>#NAME?</x:v>
      </x:c>
      <x:c r="D468" s="152" t="e">
        <x:f>IF(B468="","",B468/MAX(B$5:B468)-1)</x:f>
        <x:v>#NAME?</x:v>
      </x:c>
      <x:c r="E468" s="146" t="e">
        <x:f>IF(OR('实盘净值数据(iFinD公式)'!$A468="",'实盘净值数据(iFinD公式)'!$B468=""),"",分期持仓明细!$AD$18*SUMPRODUCT(分期持仓明细!$B$18:$AA$18,'实盘净值数据(iFinD公式)'!$B468:$AA468/'实盘净值数据(iFinD公式)'!$B$20:$AA$20)*(1-实盘持仓初始配置!$Z$5)^(('实盘净值数据(iFinD公式)'!$A468-'实盘净值数据(iFinD公式)'!$A$5)/365))</x:f>
        <x:v>#NAME?</x:v>
      </x:c>
      <x:c r="F468" s="152" t="e">
        <x:f>IF(OR(E467="",E468=""),"",E468/E467-1)</x:f>
        <x:v>#NAME?</x:v>
      </x:c>
      <x:c r="G468" s="152" t="e">
        <x:f>IF(E468="","",E468/MAX(E$5:E468)-1)</x:f>
        <x:v>#NAME?</x:v>
      </x:c>
      <x:c r="H468" s="146" t="e">
        <x:f>IF(OR('实盘净值数据(iFinD公式)'!$A468="",'实盘净值数据(iFinD公式)'!$B468=""),"",分期持仓明细!$AD$19*SUMPRODUCT(分期持仓明细!$B$19:$AA$19,'实盘净值数据(iFinD公式)'!$B468:$AA468/'实盘净值数据(iFinD公式)'!$B$20:$AA$20)*(1-实盘持仓初始配置!$Z$6)^(('实盘净值数据(iFinD公式)'!$A468-'实盘净值数据(iFinD公式)'!$A$7)/365))</x:f>
        <x:v>#NAME?</x:v>
      </x:c>
      <x:c r="I468" s="152" t="e">
        <x:f>IF(OR(H467="",H468=""),"",H468/H467-1)</x:f>
        <x:v>#NAME?</x:v>
      </x:c>
      <x:c r="J468" s="152" t="e">
        <x:f>IF(H468="","",H468/MAX(H$5:H468)-1)</x:f>
        <x:v>#NAME?</x:v>
      </x:c>
      <x:c r="K468" s="146" t="e">
        <x:f>IF(OR('实盘净值数据(iFinD公式)'!$A468="",'实盘净值数据(iFinD公式)'!$B468=""),"",分期持仓明细!$AD$23*SUMPRODUCT(分期持仓明细!$B$23:$AA$23,'实盘净值数据(iFinD公式)'!$B468:$AA468/'实盘净值数据(iFinD公式)'!$B$65:$AA$65)*(1-实盘持仓初始配置!$Z$7)^(('实盘净值数据(iFinD公式)'!$A468-'实盘净值数据(iFinD公式)'!$A$8)/365))</x:f>
        <x:v>#NAME?</x:v>
      </x:c>
      <x:c r="L468" s="152" t="e">
        <x:f>IF(OR(K467="",K468=""),"",K468/K467-1)</x:f>
        <x:v>#NAME?</x:v>
      </x:c>
      <x:c r="M468" s="152" t="e">
        <x:f>IF(K468="","",K468/MAX(K$5:K468)-1)</x:f>
        <x:v>#NAME?</x:v>
      </x:c>
      <x:c r="N468" s="146" t="e">
        <x:f>IF(OR('实盘净值数据(iFinD公式)'!$A468="",'实盘净值数据(iFinD公式)'!$B468=""),"",分期持仓明细!$AD$24*SUMPRODUCT(分期持仓明细!$B$24:$AA$24,'实盘净值数据(iFinD公式)'!$B468:$AA468/'实盘净值数据(iFinD公式)'!$B$65:$AA$65)*(1-实盘持仓初始配置!$Z$8)^(('实盘净值数据(iFinD公式)'!$A468-'实盘净值数据(iFinD公式)'!$A$5)/365))</x:f>
        <x:v>#NAME?</x:v>
      </x:c>
      <x:c r="O468" s="152" t="e">
        <x:f>IF(OR(N467="",N468=""),"",N468/N467-1)</x:f>
        <x:v>#NAME?</x:v>
      </x:c>
      <x:c r="P468" s="152" t="e">
        <x:f>IF(N468="","",N468/MAX(N$5:N468)-1)</x:f>
        <x:v>#NAME?</x:v>
      </x:c>
      <x:c r="Q468" s="146" t="e">
        <x:f>IF(OR('实盘净值数据(iFinD公式)'!$A468="",'实盘净值数据(iFinD公式)'!$B468=""),"",分期持仓明细!$AD$25*SUMPRODUCT(分期持仓明细!$B$25:$AA$25,'实盘净值数据(iFinD公式)'!$B468:$AA468/'实盘净值数据(iFinD公式)'!$B$65:$AA$65)*(1-实盘持仓初始配置!$Z$9)^(('实盘净值数据(iFinD公式)'!$A468-'实盘净值数据(iFinD公式)'!$A$8)/365))</x:f>
        <x:v>#NAME?</x:v>
      </x:c>
      <x:c r="R468" s="152" t="e">
        <x:f>IF(OR(Q467="",Q468=""),"",Q468/Q467-1)</x:f>
        <x:v>#NAME?</x:v>
      </x:c>
      <x:c r="S468" s="152" t="e">
        <x:f>IF(Q468="","",Q468/MAX(Q$5:Q468)-1)</x:f>
        <x:v>#NAME?</x:v>
      </x:c>
    </x:row>
    <x:row r="469">
      <x:c r="A469" s="149" t="str">
        <x:f>IF('实盘净值数据(iFinD公式)'!A469="","",'实盘净值数据(iFinD公式)'!A469)</x:f>
      </x:c>
      <x:c r="B469" s="146" t="e">
        <x:f>IF(OR('实盘净值数据(iFinD公式)'!$A469="",'实盘净值数据(iFinD公式)'!$B469=""),"",分期持仓明细!$AD$17*SUMPRODUCT(分期持仓明细!$B$17:$AA$17,'实盘净值数据(iFinD公式)'!$B469:$AA469/'实盘净值数据(iFinD公式)'!$B$20:$AA$20)*(1-实盘持仓初始配置!$Z$4)^(('实盘净值数据(iFinD公式)'!$A469-'实盘净值数据(iFinD公式)'!$A$6)/365))</x:f>
        <x:v>#NAME?</x:v>
      </x:c>
      <x:c r="C469" s="152" t="e">
        <x:f>IF(OR(B468="",B469=""),"",B469/B468-1)</x:f>
        <x:v>#NAME?</x:v>
      </x:c>
      <x:c r="D469" s="152" t="e">
        <x:f>IF(B469="","",B469/MAX(B$5:B469)-1)</x:f>
        <x:v>#NAME?</x:v>
      </x:c>
      <x:c r="E469" s="146" t="e">
        <x:f>IF(OR('实盘净值数据(iFinD公式)'!$A469="",'实盘净值数据(iFinD公式)'!$B469=""),"",分期持仓明细!$AD$18*SUMPRODUCT(分期持仓明细!$B$18:$AA$18,'实盘净值数据(iFinD公式)'!$B469:$AA469/'实盘净值数据(iFinD公式)'!$B$20:$AA$20)*(1-实盘持仓初始配置!$Z$5)^(('实盘净值数据(iFinD公式)'!$A469-'实盘净值数据(iFinD公式)'!$A$5)/365))</x:f>
        <x:v>#NAME?</x:v>
      </x:c>
      <x:c r="F469" s="152" t="e">
        <x:f>IF(OR(E468="",E469=""),"",E469/E468-1)</x:f>
        <x:v>#NAME?</x:v>
      </x:c>
      <x:c r="G469" s="152" t="e">
        <x:f>IF(E469="","",E469/MAX(E$5:E469)-1)</x:f>
        <x:v>#NAME?</x:v>
      </x:c>
      <x:c r="H469" s="146" t="e">
        <x:f>IF(OR('实盘净值数据(iFinD公式)'!$A469="",'实盘净值数据(iFinD公式)'!$B469=""),"",分期持仓明细!$AD$19*SUMPRODUCT(分期持仓明细!$B$19:$AA$19,'实盘净值数据(iFinD公式)'!$B469:$AA469/'实盘净值数据(iFinD公式)'!$B$20:$AA$20)*(1-实盘持仓初始配置!$Z$6)^(('实盘净值数据(iFinD公式)'!$A469-'实盘净值数据(iFinD公式)'!$A$7)/365))</x:f>
        <x:v>#NAME?</x:v>
      </x:c>
      <x:c r="I469" s="152" t="e">
        <x:f>IF(OR(H468="",H469=""),"",H469/H468-1)</x:f>
        <x:v>#NAME?</x:v>
      </x:c>
      <x:c r="J469" s="152" t="e">
        <x:f>IF(H469="","",H469/MAX(H$5:H469)-1)</x:f>
        <x:v>#NAME?</x:v>
      </x:c>
      <x:c r="K469" s="146" t="e">
        <x:f>IF(OR('实盘净值数据(iFinD公式)'!$A469="",'实盘净值数据(iFinD公式)'!$B469=""),"",分期持仓明细!$AD$23*SUMPRODUCT(分期持仓明细!$B$23:$AA$23,'实盘净值数据(iFinD公式)'!$B469:$AA469/'实盘净值数据(iFinD公式)'!$B$65:$AA$65)*(1-实盘持仓初始配置!$Z$7)^(('实盘净值数据(iFinD公式)'!$A469-'实盘净值数据(iFinD公式)'!$A$8)/365))</x:f>
        <x:v>#NAME?</x:v>
      </x:c>
      <x:c r="L469" s="152" t="e">
        <x:f>IF(OR(K468="",K469=""),"",K469/K468-1)</x:f>
        <x:v>#NAME?</x:v>
      </x:c>
      <x:c r="M469" s="152" t="e">
        <x:f>IF(K469="","",K469/MAX(K$5:K469)-1)</x:f>
        <x:v>#NAME?</x:v>
      </x:c>
      <x:c r="N469" s="146" t="e">
        <x:f>IF(OR('实盘净值数据(iFinD公式)'!$A469="",'实盘净值数据(iFinD公式)'!$B469=""),"",分期持仓明细!$AD$24*SUMPRODUCT(分期持仓明细!$B$24:$AA$24,'实盘净值数据(iFinD公式)'!$B469:$AA469/'实盘净值数据(iFinD公式)'!$B$65:$AA$65)*(1-实盘持仓初始配置!$Z$8)^(('实盘净值数据(iFinD公式)'!$A469-'实盘净值数据(iFinD公式)'!$A$5)/365))</x:f>
        <x:v>#NAME?</x:v>
      </x:c>
      <x:c r="O469" s="152" t="e">
        <x:f>IF(OR(N468="",N469=""),"",N469/N468-1)</x:f>
        <x:v>#NAME?</x:v>
      </x:c>
      <x:c r="P469" s="152" t="e">
        <x:f>IF(N469="","",N469/MAX(N$5:N469)-1)</x:f>
        <x:v>#NAME?</x:v>
      </x:c>
      <x:c r="Q469" s="146" t="e">
        <x:f>IF(OR('实盘净值数据(iFinD公式)'!$A469="",'实盘净值数据(iFinD公式)'!$B469=""),"",分期持仓明细!$AD$25*SUMPRODUCT(分期持仓明细!$B$25:$AA$25,'实盘净值数据(iFinD公式)'!$B469:$AA469/'实盘净值数据(iFinD公式)'!$B$65:$AA$65)*(1-实盘持仓初始配置!$Z$9)^(('实盘净值数据(iFinD公式)'!$A469-'实盘净值数据(iFinD公式)'!$A$8)/365))</x:f>
        <x:v>#NAME?</x:v>
      </x:c>
      <x:c r="R469" s="152" t="e">
        <x:f>IF(OR(Q468="",Q469=""),"",Q469/Q468-1)</x:f>
        <x:v>#NAME?</x:v>
      </x:c>
      <x:c r="S469" s="152" t="e">
        <x:f>IF(Q469="","",Q469/MAX(Q$5:Q469)-1)</x:f>
        <x:v>#NAME?</x:v>
      </x:c>
    </x:row>
    <x:row r="470">
      <x:c r="A470" s="149" t="str">
        <x:f>IF('实盘净值数据(iFinD公式)'!A470="","",'实盘净值数据(iFinD公式)'!A470)</x:f>
      </x:c>
      <x:c r="B470" s="146" t="e">
        <x:f>IF(OR('实盘净值数据(iFinD公式)'!$A470="",'实盘净值数据(iFinD公式)'!$B470=""),"",分期持仓明细!$AD$17*SUMPRODUCT(分期持仓明细!$B$17:$AA$17,'实盘净值数据(iFinD公式)'!$B470:$AA470/'实盘净值数据(iFinD公式)'!$B$20:$AA$20)*(1-实盘持仓初始配置!$Z$4)^(('实盘净值数据(iFinD公式)'!$A470-'实盘净值数据(iFinD公式)'!$A$6)/365))</x:f>
        <x:v>#NAME?</x:v>
      </x:c>
      <x:c r="C470" s="152" t="e">
        <x:f>IF(OR(B469="",B470=""),"",B470/B469-1)</x:f>
        <x:v>#NAME?</x:v>
      </x:c>
      <x:c r="D470" s="152" t="e">
        <x:f>IF(B470="","",B470/MAX(B$5:B470)-1)</x:f>
        <x:v>#NAME?</x:v>
      </x:c>
      <x:c r="E470" s="146" t="e">
        <x:f>IF(OR('实盘净值数据(iFinD公式)'!$A470="",'实盘净值数据(iFinD公式)'!$B470=""),"",分期持仓明细!$AD$18*SUMPRODUCT(分期持仓明细!$B$18:$AA$18,'实盘净值数据(iFinD公式)'!$B470:$AA470/'实盘净值数据(iFinD公式)'!$B$20:$AA$20)*(1-实盘持仓初始配置!$Z$5)^(('实盘净值数据(iFinD公式)'!$A470-'实盘净值数据(iFinD公式)'!$A$5)/365))</x:f>
        <x:v>#NAME?</x:v>
      </x:c>
      <x:c r="F470" s="152" t="e">
        <x:f>IF(OR(E469="",E470=""),"",E470/E469-1)</x:f>
        <x:v>#NAME?</x:v>
      </x:c>
      <x:c r="G470" s="152" t="e">
        <x:f>IF(E470="","",E470/MAX(E$5:E470)-1)</x:f>
        <x:v>#NAME?</x:v>
      </x:c>
      <x:c r="H470" s="146" t="e">
        <x:f>IF(OR('实盘净值数据(iFinD公式)'!$A470="",'实盘净值数据(iFinD公式)'!$B470=""),"",分期持仓明细!$AD$19*SUMPRODUCT(分期持仓明细!$B$19:$AA$19,'实盘净值数据(iFinD公式)'!$B470:$AA470/'实盘净值数据(iFinD公式)'!$B$20:$AA$20)*(1-实盘持仓初始配置!$Z$6)^(('实盘净值数据(iFinD公式)'!$A470-'实盘净值数据(iFinD公式)'!$A$7)/365))</x:f>
        <x:v>#NAME?</x:v>
      </x:c>
      <x:c r="I470" s="152" t="e">
        <x:f>IF(OR(H469="",H470=""),"",H470/H469-1)</x:f>
        <x:v>#NAME?</x:v>
      </x:c>
      <x:c r="J470" s="152" t="e">
        <x:f>IF(H470="","",H470/MAX(H$5:H470)-1)</x:f>
        <x:v>#NAME?</x:v>
      </x:c>
      <x:c r="K470" s="146" t="e">
        <x:f>IF(OR('实盘净值数据(iFinD公式)'!$A470="",'实盘净值数据(iFinD公式)'!$B470=""),"",分期持仓明细!$AD$23*SUMPRODUCT(分期持仓明细!$B$23:$AA$23,'实盘净值数据(iFinD公式)'!$B470:$AA470/'实盘净值数据(iFinD公式)'!$B$65:$AA$65)*(1-实盘持仓初始配置!$Z$7)^(('实盘净值数据(iFinD公式)'!$A470-'实盘净值数据(iFinD公式)'!$A$8)/365))</x:f>
        <x:v>#NAME?</x:v>
      </x:c>
      <x:c r="L470" s="152" t="e">
        <x:f>IF(OR(K469="",K470=""),"",K470/K469-1)</x:f>
        <x:v>#NAME?</x:v>
      </x:c>
      <x:c r="M470" s="152" t="e">
        <x:f>IF(K470="","",K470/MAX(K$5:K470)-1)</x:f>
        <x:v>#NAME?</x:v>
      </x:c>
      <x:c r="N470" s="146" t="e">
        <x:f>IF(OR('实盘净值数据(iFinD公式)'!$A470="",'实盘净值数据(iFinD公式)'!$B470=""),"",分期持仓明细!$AD$24*SUMPRODUCT(分期持仓明细!$B$24:$AA$24,'实盘净值数据(iFinD公式)'!$B470:$AA470/'实盘净值数据(iFinD公式)'!$B$65:$AA$65)*(1-实盘持仓初始配置!$Z$8)^(('实盘净值数据(iFinD公式)'!$A470-'实盘净值数据(iFinD公式)'!$A$5)/365))</x:f>
        <x:v>#NAME?</x:v>
      </x:c>
      <x:c r="O470" s="152" t="e">
        <x:f>IF(OR(N469="",N470=""),"",N470/N469-1)</x:f>
        <x:v>#NAME?</x:v>
      </x:c>
      <x:c r="P470" s="152" t="e">
        <x:f>IF(N470="","",N470/MAX(N$5:N470)-1)</x:f>
        <x:v>#NAME?</x:v>
      </x:c>
      <x:c r="Q470" s="146" t="e">
        <x:f>IF(OR('实盘净值数据(iFinD公式)'!$A470="",'实盘净值数据(iFinD公式)'!$B470=""),"",分期持仓明细!$AD$25*SUMPRODUCT(分期持仓明细!$B$25:$AA$25,'实盘净值数据(iFinD公式)'!$B470:$AA470/'实盘净值数据(iFinD公式)'!$B$65:$AA$65)*(1-实盘持仓初始配置!$Z$9)^(('实盘净值数据(iFinD公式)'!$A470-'实盘净值数据(iFinD公式)'!$A$8)/365))</x:f>
        <x:v>#NAME?</x:v>
      </x:c>
      <x:c r="R470" s="152" t="e">
        <x:f>IF(OR(Q469="",Q470=""),"",Q470/Q469-1)</x:f>
        <x:v>#NAME?</x:v>
      </x:c>
      <x:c r="S470" s="152" t="e">
        <x:f>IF(Q470="","",Q470/MAX(Q$5:Q470)-1)</x:f>
        <x:v>#NAME?</x:v>
      </x:c>
    </x:row>
    <x:row r="471">
      <x:c r="A471" s="149" t="str">
        <x:f>IF('实盘净值数据(iFinD公式)'!A471="","",'实盘净值数据(iFinD公式)'!A471)</x:f>
      </x:c>
      <x:c r="B471" s="146" t="e">
        <x:f>IF(OR('实盘净值数据(iFinD公式)'!$A471="",'实盘净值数据(iFinD公式)'!$B471=""),"",分期持仓明细!$AD$17*SUMPRODUCT(分期持仓明细!$B$17:$AA$17,'实盘净值数据(iFinD公式)'!$B471:$AA471/'实盘净值数据(iFinD公式)'!$B$20:$AA$20)*(1-实盘持仓初始配置!$Z$4)^(('实盘净值数据(iFinD公式)'!$A471-'实盘净值数据(iFinD公式)'!$A$6)/365))</x:f>
        <x:v>#NAME?</x:v>
      </x:c>
      <x:c r="C471" s="152" t="e">
        <x:f>IF(OR(B470="",B471=""),"",B471/B470-1)</x:f>
        <x:v>#NAME?</x:v>
      </x:c>
      <x:c r="D471" s="152" t="e">
        <x:f>IF(B471="","",B471/MAX(B$5:B471)-1)</x:f>
        <x:v>#NAME?</x:v>
      </x:c>
      <x:c r="E471" s="146" t="e">
        <x:f>IF(OR('实盘净值数据(iFinD公式)'!$A471="",'实盘净值数据(iFinD公式)'!$B471=""),"",分期持仓明细!$AD$18*SUMPRODUCT(分期持仓明细!$B$18:$AA$18,'实盘净值数据(iFinD公式)'!$B471:$AA471/'实盘净值数据(iFinD公式)'!$B$20:$AA$20)*(1-实盘持仓初始配置!$Z$5)^(('实盘净值数据(iFinD公式)'!$A471-'实盘净值数据(iFinD公式)'!$A$5)/365))</x:f>
        <x:v>#NAME?</x:v>
      </x:c>
      <x:c r="F471" s="152" t="e">
        <x:f>IF(OR(E470="",E471=""),"",E471/E470-1)</x:f>
        <x:v>#NAME?</x:v>
      </x:c>
      <x:c r="G471" s="152" t="e">
        <x:f>IF(E471="","",E471/MAX(E$5:E471)-1)</x:f>
        <x:v>#NAME?</x:v>
      </x:c>
      <x:c r="H471" s="146" t="e">
        <x:f>IF(OR('实盘净值数据(iFinD公式)'!$A471="",'实盘净值数据(iFinD公式)'!$B471=""),"",分期持仓明细!$AD$19*SUMPRODUCT(分期持仓明细!$B$19:$AA$19,'实盘净值数据(iFinD公式)'!$B471:$AA471/'实盘净值数据(iFinD公式)'!$B$20:$AA$20)*(1-实盘持仓初始配置!$Z$6)^(('实盘净值数据(iFinD公式)'!$A471-'实盘净值数据(iFinD公式)'!$A$7)/365))</x:f>
        <x:v>#NAME?</x:v>
      </x:c>
      <x:c r="I471" s="152" t="e">
        <x:f>IF(OR(H470="",H471=""),"",H471/H470-1)</x:f>
        <x:v>#NAME?</x:v>
      </x:c>
      <x:c r="J471" s="152" t="e">
        <x:f>IF(H471="","",H471/MAX(H$5:H471)-1)</x:f>
        <x:v>#NAME?</x:v>
      </x:c>
      <x:c r="K471" s="146" t="e">
        <x:f>IF(OR('实盘净值数据(iFinD公式)'!$A471="",'实盘净值数据(iFinD公式)'!$B471=""),"",分期持仓明细!$AD$23*SUMPRODUCT(分期持仓明细!$B$23:$AA$23,'实盘净值数据(iFinD公式)'!$B471:$AA471/'实盘净值数据(iFinD公式)'!$B$65:$AA$65)*(1-实盘持仓初始配置!$Z$7)^(('实盘净值数据(iFinD公式)'!$A471-'实盘净值数据(iFinD公式)'!$A$8)/365))</x:f>
        <x:v>#NAME?</x:v>
      </x:c>
      <x:c r="L471" s="152" t="e">
        <x:f>IF(OR(K470="",K471=""),"",K471/K470-1)</x:f>
        <x:v>#NAME?</x:v>
      </x:c>
      <x:c r="M471" s="152" t="e">
        <x:f>IF(K471="","",K471/MAX(K$5:K471)-1)</x:f>
        <x:v>#NAME?</x:v>
      </x:c>
      <x:c r="N471" s="146" t="e">
        <x:f>IF(OR('实盘净值数据(iFinD公式)'!$A471="",'实盘净值数据(iFinD公式)'!$B471=""),"",分期持仓明细!$AD$24*SUMPRODUCT(分期持仓明细!$B$24:$AA$24,'实盘净值数据(iFinD公式)'!$B471:$AA471/'实盘净值数据(iFinD公式)'!$B$65:$AA$65)*(1-实盘持仓初始配置!$Z$8)^(('实盘净值数据(iFinD公式)'!$A471-'实盘净值数据(iFinD公式)'!$A$5)/365))</x:f>
        <x:v>#NAME?</x:v>
      </x:c>
      <x:c r="O471" s="152" t="e">
        <x:f>IF(OR(N470="",N471=""),"",N471/N470-1)</x:f>
        <x:v>#NAME?</x:v>
      </x:c>
      <x:c r="P471" s="152" t="e">
        <x:f>IF(N471="","",N471/MAX(N$5:N471)-1)</x:f>
        <x:v>#NAME?</x:v>
      </x:c>
      <x:c r="Q471" s="146" t="e">
        <x:f>IF(OR('实盘净值数据(iFinD公式)'!$A471="",'实盘净值数据(iFinD公式)'!$B471=""),"",分期持仓明细!$AD$25*SUMPRODUCT(分期持仓明细!$B$25:$AA$25,'实盘净值数据(iFinD公式)'!$B471:$AA471/'实盘净值数据(iFinD公式)'!$B$65:$AA$65)*(1-实盘持仓初始配置!$Z$9)^(('实盘净值数据(iFinD公式)'!$A471-'实盘净值数据(iFinD公式)'!$A$8)/365))</x:f>
        <x:v>#NAME?</x:v>
      </x:c>
      <x:c r="R471" s="152" t="e">
        <x:f>IF(OR(Q470="",Q471=""),"",Q471/Q470-1)</x:f>
        <x:v>#NAME?</x:v>
      </x:c>
      <x:c r="S471" s="152" t="e">
        <x:f>IF(Q471="","",Q471/MAX(Q$5:Q471)-1)</x:f>
        <x:v>#NAME?</x:v>
      </x:c>
    </x:row>
    <x:row r="472">
      <x:c r="A472" s="149" t="str">
        <x:f>IF('实盘净值数据(iFinD公式)'!A472="","",'实盘净值数据(iFinD公式)'!A472)</x:f>
      </x:c>
      <x:c r="B472" s="146" t="e">
        <x:f>IF(OR('实盘净值数据(iFinD公式)'!$A472="",'实盘净值数据(iFinD公式)'!$B472=""),"",分期持仓明细!$AD$17*SUMPRODUCT(分期持仓明细!$B$17:$AA$17,'实盘净值数据(iFinD公式)'!$B472:$AA472/'实盘净值数据(iFinD公式)'!$B$20:$AA$20)*(1-实盘持仓初始配置!$Z$4)^(('实盘净值数据(iFinD公式)'!$A472-'实盘净值数据(iFinD公式)'!$A$6)/365))</x:f>
        <x:v>#NAME?</x:v>
      </x:c>
      <x:c r="C472" s="152" t="e">
        <x:f>IF(OR(B471="",B472=""),"",B472/B471-1)</x:f>
        <x:v>#NAME?</x:v>
      </x:c>
      <x:c r="D472" s="152" t="e">
        <x:f>IF(B472="","",B472/MAX(B$5:B472)-1)</x:f>
        <x:v>#NAME?</x:v>
      </x:c>
      <x:c r="E472" s="146" t="e">
        <x:f>IF(OR('实盘净值数据(iFinD公式)'!$A472="",'实盘净值数据(iFinD公式)'!$B472=""),"",分期持仓明细!$AD$18*SUMPRODUCT(分期持仓明细!$B$18:$AA$18,'实盘净值数据(iFinD公式)'!$B472:$AA472/'实盘净值数据(iFinD公式)'!$B$20:$AA$20)*(1-实盘持仓初始配置!$Z$5)^(('实盘净值数据(iFinD公式)'!$A472-'实盘净值数据(iFinD公式)'!$A$5)/365))</x:f>
        <x:v>#NAME?</x:v>
      </x:c>
      <x:c r="F472" s="152" t="e">
        <x:f>IF(OR(E471="",E472=""),"",E472/E471-1)</x:f>
        <x:v>#NAME?</x:v>
      </x:c>
      <x:c r="G472" s="152" t="e">
        <x:f>IF(E472="","",E472/MAX(E$5:E472)-1)</x:f>
        <x:v>#NAME?</x:v>
      </x:c>
      <x:c r="H472" s="146" t="e">
        <x:f>IF(OR('实盘净值数据(iFinD公式)'!$A472="",'实盘净值数据(iFinD公式)'!$B472=""),"",分期持仓明细!$AD$19*SUMPRODUCT(分期持仓明细!$B$19:$AA$19,'实盘净值数据(iFinD公式)'!$B472:$AA472/'实盘净值数据(iFinD公式)'!$B$20:$AA$20)*(1-实盘持仓初始配置!$Z$6)^(('实盘净值数据(iFinD公式)'!$A472-'实盘净值数据(iFinD公式)'!$A$7)/365))</x:f>
        <x:v>#NAME?</x:v>
      </x:c>
      <x:c r="I472" s="152" t="e">
        <x:f>IF(OR(H471="",H472=""),"",H472/H471-1)</x:f>
        <x:v>#NAME?</x:v>
      </x:c>
      <x:c r="J472" s="152" t="e">
        <x:f>IF(H472="","",H472/MAX(H$5:H472)-1)</x:f>
        <x:v>#NAME?</x:v>
      </x:c>
      <x:c r="K472" s="146" t="e">
        <x:f>IF(OR('实盘净值数据(iFinD公式)'!$A472="",'实盘净值数据(iFinD公式)'!$B472=""),"",分期持仓明细!$AD$23*SUMPRODUCT(分期持仓明细!$B$23:$AA$23,'实盘净值数据(iFinD公式)'!$B472:$AA472/'实盘净值数据(iFinD公式)'!$B$65:$AA$65)*(1-实盘持仓初始配置!$Z$7)^(('实盘净值数据(iFinD公式)'!$A472-'实盘净值数据(iFinD公式)'!$A$8)/365))</x:f>
        <x:v>#NAME?</x:v>
      </x:c>
      <x:c r="L472" s="152" t="e">
        <x:f>IF(OR(K471="",K472=""),"",K472/K471-1)</x:f>
        <x:v>#NAME?</x:v>
      </x:c>
      <x:c r="M472" s="152" t="e">
        <x:f>IF(K472="","",K472/MAX(K$5:K472)-1)</x:f>
        <x:v>#NAME?</x:v>
      </x:c>
      <x:c r="N472" s="146" t="e">
        <x:f>IF(OR('实盘净值数据(iFinD公式)'!$A472="",'实盘净值数据(iFinD公式)'!$B472=""),"",分期持仓明细!$AD$24*SUMPRODUCT(分期持仓明细!$B$24:$AA$24,'实盘净值数据(iFinD公式)'!$B472:$AA472/'实盘净值数据(iFinD公式)'!$B$65:$AA$65)*(1-实盘持仓初始配置!$Z$8)^(('实盘净值数据(iFinD公式)'!$A472-'实盘净值数据(iFinD公式)'!$A$5)/365))</x:f>
        <x:v>#NAME?</x:v>
      </x:c>
      <x:c r="O472" s="152" t="e">
        <x:f>IF(OR(N471="",N472=""),"",N472/N471-1)</x:f>
        <x:v>#NAME?</x:v>
      </x:c>
      <x:c r="P472" s="152" t="e">
        <x:f>IF(N472="","",N472/MAX(N$5:N472)-1)</x:f>
        <x:v>#NAME?</x:v>
      </x:c>
      <x:c r="Q472" s="146" t="e">
        <x:f>IF(OR('实盘净值数据(iFinD公式)'!$A472="",'实盘净值数据(iFinD公式)'!$B472=""),"",分期持仓明细!$AD$25*SUMPRODUCT(分期持仓明细!$B$25:$AA$25,'实盘净值数据(iFinD公式)'!$B472:$AA472/'实盘净值数据(iFinD公式)'!$B$65:$AA$65)*(1-实盘持仓初始配置!$Z$9)^(('实盘净值数据(iFinD公式)'!$A472-'实盘净值数据(iFinD公式)'!$A$8)/365))</x:f>
        <x:v>#NAME?</x:v>
      </x:c>
      <x:c r="R472" s="152" t="e">
        <x:f>IF(OR(Q471="",Q472=""),"",Q472/Q471-1)</x:f>
        <x:v>#NAME?</x:v>
      </x:c>
      <x:c r="S472" s="152" t="e">
        <x:f>IF(Q472="","",Q472/MAX(Q$5:Q472)-1)</x:f>
        <x:v>#NAME?</x:v>
      </x:c>
    </x:row>
    <x:row r="473">
      <x:c r="A473" s="149" t="str">
        <x:f>IF('实盘净值数据(iFinD公式)'!A473="","",'实盘净值数据(iFinD公式)'!A473)</x:f>
      </x:c>
      <x:c r="B473" s="146" t="e">
        <x:f>IF(OR('实盘净值数据(iFinD公式)'!$A473="",'实盘净值数据(iFinD公式)'!$B473=""),"",分期持仓明细!$AD$17*SUMPRODUCT(分期持仓明细!$B$17:$AA$17,'实盘净值数据(iFinD公式)'!$B473:$AA473/'实盘净值数据(iFinD公式)'!$B$20:$AA$20)*(1-实盘持仓初始配置!$Z$4)^(('实盘净值数据(iFinD公式)'!$A473-'实盘净值数据(iFinD公式)'!$A$6)/365))</x:f>
        <x:v>#NAME?</x:v>
      </x:c>
      <x:c r="C473" s="152" t="e">
        <x:f>IF(OR(B472="",B473=""),"",B473/B472-1)</x:f>
        <x:v>#NAME?</x:v>
      </x:c>
      <x:c r="D473" s="152" t="e">
        <x:f>IF(B473="","",B473/MAX(B$5:B473)-1)</x:f>
        <x:v>#NAME?</x:v>
      </x:c>
      <x:c r="E473" s="146" t="e">
        <x:f>IF(OR('实盘净值数据(iFinD公式)'!$A473="",'实盘净值数据(iFinD公式)'!$B473=""),"",分期持仓明细!$AD$18*SUMPRODUCT(分期持仓明细!$B$18:$AA$18,'实盘净值数据(iFinD公式)'!$B473:$AA473/'实盘净值数据(iFinD公式)'!$B$20:$AA$20)*(1-实盘持仓初始配置!$Z$5)^(('实盘净值数据(iFinD公式)'!$A473-'实盘净值数据(iFinD公式)'!$A$5)/365))</x:f>
        <x:v>#NAME?</x:v>
      </x:c>
      <x:c r="F473" s="152" t="e">
        <x:f>IF(OR(E472="",E473=""),"",E473/E472-1)</x:f>
        <x:v>#NAME?</x:v>
      </x:c>
      <x:c r="G473" s="152" t="e">
        <x:f>IF(E473="","",E473/MAX(E$5:E473)-1)</x:f>
        <x:v>#NAME?</x:v>
      </x:c>
      <x:c r="H473" s="146" t="e">
        <x:f>IF(OR('实盘净值数据(iFinD公式)'!$A473="",'实盘净值数据(iFinD公式)'!$B473=""),"",分期持仓明细!$AD$19*SUMPRODUCT(分期持仓明细!$B$19:$AA$19,'实盘净值数据(iFinD公式)'!$B473:$AA473/'实盘净值数据(iFinD公式)'!$B$20:$AA$20)*(1-实盘持仓初始配置!$Z$6)^(('实盘净值数据(iFinD公式)'!$A473-'实盘净值数据(iFinD公式)'!$A$7)/365))</x:f>
        <x:v>#NAME?</x:v>
      </x:c>
      <x:c r="I473" s="152" t="e">
        <x:f>IF(OR(H472="",H473=""),"",H473/H472-1)</x:f>
        <x:v>#NAME?</x:v>
      </x:c>
      <x:c r="J473" s="152" t="e">
        <x:f>IF(H473="","",H473/MAX(H$5:H473)-1)</x:f>
        <x:v>#NAME?</x:v>
      </x:c>
      <x:c r="K473" s="146" t="e">
        <x:f>IF(OR('实盘净值数据(iFinD公式)'!$A473="",'实盘净值数据(iFinD公式)'!$B473=""),"",分期持仓明细!$AD$23*SUMPRODUCT(分期持仓明细!$B$23:$AA$23,'实盘净值数据(iFinD公式)'!$B473:$AA473/'实盘净值数据(iFinD公式)'!$B$65:$AA$65)*(1-实盘持仓初始配置!$Z$7)^(('实盘净值数据(iFinD公式)'!$A473-'实盘净值数据(iFinD公式)'!$A$8)/365))</x:f>
        <x:v>#NAME?</x:v>
      </x:c>
      <x:c r="L473" s="152" t="e">
        <x:f>IF(OR(K472="",K473=""),"",K473/K472-1)</x:f>
        <x:v>#NAME?</x:v>
      </x:c>
      <x:c r="M473" s="152" t="e">
        <x:f>IF(K473="","",K473/MAX(K$5:K473)-1)</x:f>
        <x:v>#NAME?</x:v>
      </x:c>
      <x:c r="N473" s="146" t="e">
        <x:f>IF(OR('实盘净值数据(iFinD公式)'!$A473="",'实盘净值数据(iFinD公式)'!$B473=""),"",分期持仓明细!$AD$24*SUMPRODUCT(分期持仓明细!$B$24:$AA$24,'实盘净值数据(iFinD公式)'!$B473:$AA473/'实盘净值数据(iFinD公式)'!$B$65:$AA$65)*(1-实盘持仓初始配置!$Z$8)^(('实盘净值数据(iFinD公式)'!$A473-'实盘净值数据(iFinD公式)'!$A$5)/365))</x:f>
        <x:v>#NAME?</x:v>
      </x:c>
      <x:c r="O473" s="152" t="e">
        <x:f>IF(OR(N472="",N473=""),"",N473/N472-1)</x:f>
        <x:v>#NAME?</x:v>
      </x:c>
      <x:c r="P473" s="152" t="e">
        <x:f>IF(N473="","",N473/MAX(N$5:N473)-1)</x:f>
        <x:v>#NAME?</x:v>
      </x:c>
      <x:c r="Q473" s="146" t="e">
        <x:f>IF(OR('实盘净值数据(iFinD公式)'!$A473="",'实盘净值数据(iFinD公式)'!$B473=""),"",分期持仓明细!$AD$25*SUMPRODUCT(分期持仓明细!$B$25:$AA$25,'实盘净值数据(iFinD公式)'!$B473:$AA473/'实盘净值数据(iFinD公式)'!$B$65:$AA$65)*(1-实盘持仓初始配置!$Z$9)^(('实盘净值数据(iFinD公式)'!$A473-'实盘净值数据(iFinD公式)'!$A$8)/365))</x:f>
        <x:v>#NAME?</x:v>
      </x:c>
      <x:c r="R473" s="152" t="e">
        <x:f>IF(OR(Q472="",Q473=""),"",Q473/Q472-1)</x:f>
        <x:v>#NAME?</x:v>
      </x:c>
      <x:c r="S473" s="152" t="e">
        <x:f>IF(Q473="","",Q473/MAX(Q$5:Q473)-1)</x:f>
        <x:v>#NAME?</x:v>
      </x:c>
    </x:row>
    <x:row r="474">
      <x:c r="A474" s="149" t="str">
        <x:f>IF('实盘净值数据(iFinD公式)'!A474="","",'实盘净值数据(iFinD公式)'!A474)</x:f>
      </x:c>
      <x:c r="B474" s="146" t="e">
        <x:f>IF(OR('实盘净值数据(iFinD公式)'!$A474="",'实盘净值数据(iFinD公式)'!$B474=""),"",分期持仓明细!$AD$17*SUMPRODUCT(分期持仓明细!$B$17:$AA$17,'实盘净值数据(iFinD公式)'!$B474:$AA474/'实盘净值数据(iFinD公式)'!$B$20:$AA$20)*(1-实盘持仓初始配置!$Z$4)^(('实盘净值数据(iFinD公式)'!$A474-'实盘净值数据(iFinD公式)'!$A$6)/365))</x:f>
        <x:v>#NAME?</x:v>
      </x:c>
      <x:c r="C474" s="152" t="e">
        <x:f>IF(OR(B473="",B474=""),"",B474/B473-1)</x:f>
        <x:v>#NAME?</x:v>
      </x:c>
      <x:c r="D474" s="152" t="e">
        <x:f>IF(B474="","",B474/MAX(B$5:B474)-1)</x:f>
        <x:v>#NAME?</x:v>
      </x:c>
      <x:c r="E474" s="146" t="e">
        <x:f>IF(OR('实盘净值数据(iFinD公式)'!$A474="",'实盘净值数据(iFinD公式)'!$B474=""),"",分期持仓明细!$AD$18*SUMPRODUCT(分期持仓明细!$B$18:$AA$18,'实盘净值数据(iFinD公式)'!$B474:$AA474/'实盘净值数据(iFinD公式)'!$B$20:$AA$20)*(1-实盘持仓初始配置!$Z$5)^(('实盘净值数据(iFinD公式)'!$A474-'实盘净值数据(iFinD公式)'!$A$5)/365))</x:f>
        <x:v>#NAME?</x:v>
      </x:c>
      <x:c r="F474" s="152" t="e">
        <x:f>IF(OR(E473="",E474=""),"",E474/E473-1)</x:f>
        <x:v>#NAME?</x:v>
      </x:c>
      <x:c r="G474" s="152" t="e">
        <x:f>IF(E474="","",E474/MAX(E$5:E474)-1)</x:f>
        <x:v>#NAME?</x:v>
      </x:c>
      <x:c r="H474" s="146" t="e">
        <x:f>IF(OR('实盘净值数据(iFinD公式)'!$A474="",'实盘净值数据(iFinD公式)'!$B474=""),"",分期持仓明细!$AD$19*SUMPRODUCT(分期持仓明细!$B$19:$AA$19,'实盘净值数据(iFinD公式)'!$B474:$AA474/'实盘净值数据(iFinD公式)'!$B$20:$AA$20)*(1-实盘持仓初始配置!$Z$6)^(('实盘净值数据(iFinD公式)'!$A474-'实盘净值数据(iFinD公式)'!$A$7)/365))</x:f>
        <x:v>#NAME?</x:v>
      </x:c>
      <x:c r="I474" s="152" t="e">
        <x:f>IF(OR(H473="",H474=""),"",H474/H473-1)</x:f>
        <x:v>#NAME?</x:v>
      </x:c>
      <x:c r="J474" s="152" t="e">
        <x:f>IF(H474="","",H474/MAX(H$5:H474)-1)</x:f>
        <x:v>#NAME?</x:v>
      </x:c>
      <x:c r="K474" s="146" t="e">
        <x:f>IF(OR('实盘净值数据(iFinD公式)'!$A474="",'实盘净值数据(iFinD公式)'!$B474=""),"",分期持仓明细!$AD$23*SUMPRODUCT(分期持仓明细!$B$23:$AA$23,'实盘净值数据(iFinD公式)'!$B474:$AA474/'实盘净值数据(iFinD公式)'!$B$65:$AA$65)*(1-实盘持仓初始配置!$Z$7)^(('实盘净值数据(iFinD公式)'!$A474-'实盘净值数据(iFinD公式)'!$A$8)/365))</x:f>
        <x:v>#NAME?</x:v>
      </x:c>
      <x:c r="L474" s="152" t="e">
        <x:f>IF(OR(K473="",K474=""),"",K474/K473-1)</x:f>
        <x:v>#NAME?</x:v>
      </x:c>
      <x:c r="M474" s="152" t="e">
        <x:f>IF(K474="","",K474/MAX(K$5:K474)-1)</x:f>
        <x:v>#NAME?</x:v>
      </x:c>
      <x:c r="N474" s="146" t="e">
        <x:f>IF(OR('实盘净值数据(iFinD公式)'!$A474="",'实盘净值数据(iFinD公式)'!$B474=""),"",分期持仓明细!$AD$24*SUMPRODUCT(分期持仓明细!$B$24:$AA$24,'实盘净值数据(iFinD公式)'!$B474:$AA474/'实盘净值数据(iFinD公式)'!$B$65:$AA$65)*(1-实盘持仓初始配置!$Z$8)^(('实盘净值数据(iFinD公式)'!$A474-'实盘净值数据(iFinD公式)'!$A$5)/365))</x:f>
        <x:v>#NAME?</x:v>
      </x:c>
      <x:c r="O474" s="152" t="e">
        <x:f>IF(OR(N473="",N474=""),"",N474/N473-1)</x:f>
        <x:v>#NAME?</x:v>
      </x:c>
      <x:c r="P474" s="152" t="e">
        <x:f>IF(N474="","",N474/MAX(N$5:N474)-1)</x:f>
        <x:v>#NAME?</x:v>
      </x:c>
      <x:c r="Q474" s="146" t="e">
        <x:f>IF(OR('实盘净值数据(iFinD公式)'!$A474="",'实盘净值数据(iFinD公式)'!$B474=""),"",分期持仓明细!$AD$25*SUMPRODUCT(分期持仓明细!$B$25:$AA$25,'实盘净值数据(iFinD公式)'!$B474:$AA474/'实盘净值数据(iFinD公式)'!$B$65:$AA$65)*(1-实盘持仓初始配置!$Z$9)^(('实盘净值数据(iFinD公式)'!$A474-'实盘净值数据(iFinD公式)'!$A$8)/365))</x:f>
        <x:v>#NAME?</x:v>
      </x:c>
      <x:c r="R474" s="152" t="e">
        <x:f>IF(OR(Q473="",Q474=""),"",Q474/Q473-1)</x:f>
        <x:v>#NAME?</x:v>
      </x:c>
      <x:c r="S474" s="152" t="e">
        <x:f>IF(Q474="","",Q474/MAX(Q$5:Q474)-1)</x:f>
        <x:v>#NAME?</x:v>
      </x:c>
    </x:row>
    <x:row r="475">
      <x:c r="A475" s="149" t="str">
        <x:f>IF('实盘净值数据(iFinD公式)'!A475="","",'实盘净值数据(iFinD公式)'!A475)</x:f>
      </x:c>
      <x:c r="B475" s="146" t="e">
        <x:f>IF(OR('实盘净值数据(iFinD公式)'!$A475="",'实盘净值数据(iFinD公式)'!$B475=""),"",分期持仓明细!$AD$17*SUMPRODUCT(分期持仓明细!$B$17:$AA$17,'实盘净值数据(iFinD公式)'!$B475:$AA475/'实盘净值数据(iFinD公式)'!$B$20:$AA$20)*(1-实盘持仓初始配置!$Z$4)^(('实盘净值数据(iFinD公式)'!$A475-'实盘净值数据(iFinD公式)'!$A$6)/365))</x:f>
        <x:v>#NAME?</x:v>
      </x:c>
      <x:c r="C475" s="152" t="e">
        <x:f>IF(OR(B474="",B475=""),"",B475/B474-1)</x:f>
        <x:v>#NAME?</x:v>
      </x:c>
      <x:c r="D475" s="152" t="e">
        <x:f>IF(B475="","",B475/MAX(B$5:B475)-1)</x:f>
        <x:v>#NAME?</x:v>
      </x:c>
      <x:c r="E475" s="146" t="e">
        <x:f>IF(OR('实盘净值数据(iFinD公式)'!$A475="",'实盘净值数据(iFinD公式)'!$B475=""),"",分期持仓明细!$AD$18*SUMPRODUCT(分期持仓明细!$B$18:$AA$18,'实盘净值数据(iFinD公式)'!$B475:$AA475/'实盘净值数据(iFinD公式)'!$B$20:$AA$20)*(1-实盘持仓初始配置!$Z$5)^(('实盘净值数据(iFinD公式)'!$A475-'实盘净值数据(iFinD公式)'!$A$5)/365))</x:f>
        <x:v>#NAME?</x:v>
      </x:c>
      <x:c r="F475" s="152" t="e">
        <x:f>IF(OR(E474="",E475=""),"",E475/E474-1)</x:f>
        <x:v>#NAME?</x:v>
      </x:c>
      <x:c r="G475" s="152" t="e">
        <x:f>IF(E475="","",E475/MAX(E$5:E475)-1)</x:f>
        <x:v>#NAME?</x:v>
      </x:c>
      <x:c r="H475" s="146" t="e">
        <x:f>IF(OR('实盘净值数据(iFinD公式)'!$A475="",'实盘净值数据(iFinD公式)'!$B475=""),"",分期持仓明细!$AD$19*SUMPRODUCT(分期持仓明细!$B$19:$AA$19,'实盘净值数据(iFinD公式)'!$B475:$AA475/'实盘净值数据(iFinD公式)'!$B$20:$AA$20)*(1-实盘持仓初始配置!$Z$6)^(('实盘净值数据(iFinD公式)'!$A475-'实盘净值数据(iFinD公式)'!$A$7)/365))</x:f>
        <x:v>#NAME?</x:v>
      </x:c>
      <x:c r="I475" s="152" t="e">
        <x:f>IF(OR(H474="",H475=""),"",H475/H474-1)</x:f>
        <x:v>#NAME?</x:v>
      </x:c>
      <x:c r="J475" s="152" t="e">
        <x:f>IF(H475="","",H475/MAX(H$5:H475)-1)</x:f>
        <x:v>#NAME?</x:v>
      </x:c>
      <x:c r="K475" s="146" t="e">
        <x:f>IF(OR('实盘净值数据(iFinD公式)'!$A475="",'实盘净值数据(iFinD公式)'!$B475=""),"",分期持仓明细!$AD$23*SUMPRODUCT(分期持仓明细!$B$23:$AA$23,'实盘净值数据(iFinD公式)'!$B475:$AA475/'实盘净值数据(iFinD公式)'!$B$65:$AA$65)*(1-实盘持仓初始配置!$Z$7)^(('实盘净值数据(iFinD公式)'!$A475-'实盘净值数据(iFinD公式)'!$A$8)/365))</x:f>
        <x:v>#NAME?</x:v>
      </x:c>
      <x:c r="L475" s="152" t="e">
        <x:f>IF(OR(K474="",K475=""),"",K475/K474-1)</x:f>
        <x:v>#NAME?</x:v>
      </x:c>
      <x:c r="M475" s="152" t="e">
        <x:f>IF(K475="","",K475/MAX(K$5:K475)-1)</x:f>
        <x:v>#NAME?</x:v>
      </x:c>
      <x:c r="N475" s="146" t="e">
        <x:f>IF(OR('实盘净值数据(iFinD公式)'!$A475="",'实盘净值数据(iFinD公式)'!$B475=""),"",分期持仓明细!$AD$24*SUMPRODUCT(分期持仓明细!$B$24:$AA$24,'实盘净值数据(iFinD公式)'!$B475:$AA475/'实盘净值数据(iFinD公式)'!$B$65:$AA$65)*(1-实盘持仓初始配置!$Z$8)^(('实盘净值数据(iFinD公式)'!$A475-'实盘净值数据(iFinD公式)'!$A$5)/365))</x:f>
        <x:v>#NAME?</x:v>
      </x:c>
      <x:c r="O475" s="152" t="e">
        <x:f>IF(OR(N474="",N475=""),"",N475/N474-1)</x:f>
        <x:v>#NAME?</x:v>
      </x:c>
      <x:c r="P475" s="152" t="e">
        <x:f>IF(N475="","",N475/MAX(N$5:N475)-1)</x:f>
        <x:v>#NAME?</x:v>
      </x:c>
      <x:c r="Q475" s="146" t="e">
        <x:f>IF(OR('实盘净值数据(iFinD公式)'!$A475="",'实盘净值数据(iFinD公式)'!$B475=""),"",分期持仓明细!$AD$25*SUMPRODUCT(分期持仓明细!$B$25:$AA$25,'实盘净值数据(iFinD公式)'!$B475:$AA475/'实盘净值数据(iFinD公式)'!$B$65:$AA$65)*(1-实盘持仓初始配置!$Z$9)^(('实盘净值数据(iFinD公式)'!$A475-'实盘净值数据(iFinD公式)'!$A$8)/365))</x:f>
        <x:v>#NAME?</x:v>
      </x:c>
      <x:c r="R475" s="152" t="e">
        <x:f>IF(OR(Q474="",Q475=""),"",Q475/Q474-1)</x:f>
        <x:v>#NAME?</x:v>
      </x:c>
      <x:c r="S475" s="152" t="e">
        <x:f>IF(Q475="","",Q475/MAX(Q$5:Q475)-1)</x:f>
        <x:v>#NAME?</x:v>
      </x:c>
    </x:row>
    <x:row r="476">
      <x:c r="A476" s="149" t="str">
        <x:f>IF('实盘净值数据(iFinD公式)'!A476="","",'实盘净值数据(iFinD公式)'!A476)</x:f>
      </x:c>
      <x:c r="B476" s="146" t="e">
        <x:f>IF(OR('实盘净值数据(iFinD公式)'!$A476="",'实盘净值数据(iFinD公式)'!$B476=""),"",分期持仓明细!$AD$17*SUMPRODUCT(分期持仓明细!$B$17:$AA$17,'实盘净值数据(iFinD公式)'!$B476:$AA476/'实盘净值数据(iFinD公式)'!$B$20:$AA$20)*(1-实盘持仓初始配置!$Z$4)^(('实盘净值数据(iFinD公式)'!$A476-'实盘净值数据(iFinD公式)'!$A$6)/365))</x:f>
        <x:v>#NAME?</x:v>
      </x:c>
      <x:c r="C476" s="152" t="e">
        <x:f>IF(OR(B475="",B476=""),"",B476/B475-1)</x:f>
        <x:v>#NAME?</x:v>
      </x:c>
      <x:c r="D476" s="152" t="e">
        <x:f>IF(B476="","",B476/MAX(B$5:B476)-1)</x:f>
        <x:v>#NAME?</x:v>
      </x:c>
      <x:c r="E476" s="146" t="e">
        <x:f>IF(OR('实盘净值数据(iFinD公式)'!$A476="",'实盘净值数据(iFinD公式)'!$B476=""),"",分期持仓明细!$AD$18*SUMPRODUCT(分期持仓明细!$B$18:$AA$18,'实盘净值数据(iFinD公式)'!$B476:$AA476/'实盘净值数据(iFinD公式)'!$B$20:$AA$20)*(1-实盘持仓初始配置!$Z$5)^(('实盘净值数据(iFinD公式)'!$A476-'实盘净值数据(iFinD公式)'!$A$5)/365))</x:f>
        <x:v>#NAME?</x:v>
      </x:c>
      <x:c r="F476" s="152" t="e">
        <x:f>IF(OR(E475="",E476=""),"",E476/E475-1)</x:f>
        <x:v>#NAME?</x:v>
      </x:c>
      <x:c r="G476" s="152" t="e">
        <x:f>IF(E476="","",E476/MAX(E$5:E476)-1)</x:f>
        <x:v>#NAME?</x:v>
      </x:c>
      <x:c r="H476" s="146" t="e">
        <x:f>IF(OR('实盘净值数据(iFinD公式)'!$A476="",'实盘净值数据(iFinD公式)'!$B476=""),"",分期持仓明细!$AD$19*SUMPRODUCT(分期持仓明细!$B$19:$AA$19,'实盘净值数据(iFinD公式)'!$B476:$AA476/'实盘净值数据(iFinD公式)'!$B$20:$AA$20)*(1-实盘持仓初始配置!$Z$6)^(('实盘净值数据(iFinD公式)'!$A476-'实盘净值数据(iFinD公式)'!$A$7)/365))</x:f>
        <x:v>#NAME?</x:v>
      </x:c>
      <x:c r="I476" s="152" t="e">
        <x:f>IF(OR(H475="",H476=""),"",H476/H475-1)</x:f>
        <x:v>#NAME?</x:v>
      </x:c>
      <x:c r="J476" s="152" t="e">
        <x:f>IF(H476="","",H476/MAX(H$5:H476)-1)</x:f>
        <x:v>#NAME?</x:v>
      </x:c>
      <x:c r="K476" s="146" t="e">
        <x:f>IF(OR('实盘净值数据(iFinD公式)'!$A476="",'实盘净值数据(iFinD公式)'!$B476=""),"",分期持仓明细!$AD$23*SUMPRODUCT(分期持仓明细!$B$23:$AA$23,'实盘净值数据(iFinD公式)'!$B476:$AA476/'实盘净值数据(iFinD公式)'!$B$65:$AA$65)*(1-实盘持仓初始配置!$Z$7)^(('实盘净值数据(iFinD公式)'!$A476-'实盘净值数据(iFinD公式)'!$A$8)/365))</x:f>
        <x:v>#NAME?</x:v>
      </x:c>
      <x:c r="L476" s="152" t="e">
        <x:f>IF(OR(K475="",K476=""),"",K476/K475-1)</x:f>
        <x:v>#NAME?</x:v>
      </x:c>
      <x:c r="M476" s="152" t="e">
        <x:f>IF(K476="","",K476/MAX(K$5:K476)-1)</x:f>
        <x:v>#NAME?</x:v>
      </x:c>
      <x:c r="N476" s="146" t="e">
        <x:f>IF(OR('实盘净值数据(iFinD公式)'!$A476="",'实盘净值数据(iFinD公式)'!$B476=""),"",分期持仓明细!$AD$24*SUMPRODUCT(分期持仓明细!$B$24:$AA$24,'实盘净值数据(iFinD公式)'!$B476:$AA476/'实盘净值数据(iFinD公式)'!$B$65:$AA$65)*(1-实盘持仓初始配置!$Z$8)^(('实盘净值数据(iFinD公式)'!$A476-'实盘净值数据(iFinD公式)'!$A$5)/365))</x:f>
        <x:v>#NAME?</x:v>
      </x:c>
      <x:c r="O476" s="152" t="e">
        <x:f>IF(OR(N475="",N476=""),"",N476/N475-1)</x:f>
        <x:v>#NAME?</x:v>
      </x:c>
      <x:c r="P476" s="152" t="e">
        <x:f>IF(N476="","",N476/MAX(N$5:N476)-1)</x:f>
        <x:v>#NAME?</x:v>
      </x:c>
      <x:c r="Q476" s="146" t="e">
        <x:f>IF(OR('实盘净值数据(iFinD公式)'!$A476="",'实盘净值数据(iFinD公式)'!$B476=""),"",分期持仓明细!$AD$25*SUMPRODUCT(分期持仓明细!$B$25:$AA$25,'实盘净值数据(iFinD公式)'!$B476:$AA476/'实盘净值数据(iFinD公式)'!$B$65:$AA$65)*(1-实盘持仓初始配置!$Z$9)^(('实盘净值数据(iFinD公式)'!$A476-'实盘净值数据(iFinD公式)'!$A$8)/365))</x:f>
        <x:v>#NAME?</x:v>
      </x:c>
      <x:c r="R476" s="152" t="e">
        <x:f>IF(OR(Q475="",Q476=""),"",Q476/Q475-1)</x:f>
        <x:v>#NAME?</x:v>
      </x:c>
      <x:c r="S476" s="152" t="e">
        <x:f>IF(Q476="","",Q476/MAX(Q$5:Q476)-1)</x:f>
        <x:v>#NAME?</x:v>
      </x:c>
    </x:row>
    <x:row r="477">
      <x:c r="A477" s="149" t="str">
        <x:f>IF('实盘净值数据(iFinD公式)'!A477="","",'实盘净值数据(iFinD公式)'!A477)</x:f>
      </x:c>
      <x:c r="B477" s="146" t="e">
        <x:f>IF(OR('实盘净值数据(iFinD公式)'!$A477="",'实盘净值数据(iFinD公式)'!$B477=""),"",分期持仓明细!$AD$17*SUMPRODUCT(分期持仓明细!$B$17:$AA$17,'实盘净值数据(iFinD公式)'!$B477:$AA477/'实盘净值数据(iFinD公式)'!$B$20:$AA$20)*(1-实盘持仓初始配置!$Z$4)^(('实盘净值数据(iFinD公式)'!$A477-'实盘净值数据(iFinD公式)'!$A$6)/365))</x:f>
        <x:v>#NAME?</x:v>
      </x:c>
      <x:c r="C477" s="152" t="e">
        <x:f>IF(OR(B476="",B477=""),"",B477/B476-1)</x:f>
        <x:v>#NAME?</x:v>
      </x:c>
      <x:c r="D477" s="152" t="e">
        <x:f>IF(B477="","",B477/MAX(B$5:B477)-1)</x:f>
        <x:v>#NAME?</x:v>
      </x:c>
      <x:c r="E477" s="146" t="e">
        <x:f>IF(OR('实盘净值数据(iFinD公式)'!$A477="",'实盘净值数据(iFinD公式)'!$B477=""),"",分期持仓明细!$AD$18*SUMPRODUCT(分期持仓明细!$B$18:$AA$18,'实盘净值数据(iFinD公式)'!$B477:$AA477/'实盘净值数据(iFinD公式)'!$B$20:$AA$20)*(1-实盘持仓初始配置!$Z$5)^(('实盘净值数据(iFinD公式)'!$A477-'实盘净值数据(iFinD公式)'!$A$5)/365))</x:f>
        <x:v>#NAME?</x:v>
      </x:c>
      <x:c r="F477" s="152" t="e">
        <x:f>IF(OR(E476="",E477=""),"",E477/E476-1)</x:f>
        <x:v>#NAME?</x:v>
      </x:c>
      <x:c r="G477" s="152" t="e">
        <x:f>IF(E477="","",E477/MAX(E$5:E477)-1)</x:f>
        <x:v>#NAME?</x:v>
      </x:c>
      <x:c r="H477" s="146" t="e">
        <x:f>IF(OR('实盘净值数据(iFinD公式)'!$A477="",'实盘净值数据(iFinD公式)'!$B477=""),"",分期持仓明细!$AD$19*SUMPRODUCT(分期持仓明细!$B$19:$AA$19,'实盘净值数据(iFinD公式)'!$B477:$AA477/'实盘净值数据(iFinD公式)'!$B$20:$AA$20)*(1-实盘持仓初始配置!$Z$6)^(('实盘净值数据(iFinD公式)'!$A477-'实盘净值数据(iFinD公式)'!$A$7)/365))</x:f>
        <x:v>#NAME?</x:v>
      </x:c>
      <x:c r="I477" s="152" t="e">
        <x:f>IF(OR(H476="",H477=""),"",H477/H476-1)</x:f>
        <x:v>#NAME?</x:v>
      </x:c>
      <x:c r="J477" s="152" t="e">
        <x:f>IF(H477="","",H477/MAX(H$5:H477)-1)</x:f>
        <x:v>#NAME?</x:v>
      </x:c>
      <x:c r="K477" s="146" t="e">
        <x:f>IF(OR('实盘净值数据(iFinD公式)'!$A477="",'实盘净值数据(iFinD公式)'!$B477=""),"",分期持仓明细!$AD$23*SUMPRODUCT(分期持仓明细!$B$23:$AA$23,'实盘净值数据(iFinD公式)'!$B477:$AA477/'实盘净值数据(iFinD公式)'!$B$65:$AA$65)*(1-实盘持仓初始配置!$Z$7)^(('实盘净值数据(iFinD公式)'!$A477-'实盘净值数据(iFinD公式)'!$A$8)/365))</x:f>
        <x:v>#NAME?</x:v>
      </x:c>
      <x:c r="L477" s="152" t="e">
        <x:f>IF(OR(K476="",K477=""),"",K477/K476-1)</x:f>
        <x:v>#NAME?</x:v>
      </x:c>
      <x:c r="M477" s="152" t="e">
        <x:f>IF(K477="","",K477/MAX(K$5:K477)-1)</x:f>
        <x:v>#NAME?</x:v>
      </x:c>
      <x:c r="N477" s="146" t="e">
        <x:f>IF(OR('实盘净值数据(iFinD公式)'!$A477="",'实盘净值数据(iFinD公式)'!$B477=""),"",分期持仓明细!$AD$24*SUMPRODUCT(分期持仓明细!$B$24:$AA$24,'实盘净值数据(iFinD公式)'!$B477:$AA477/'实盘净值数据(iFinD公式)'!$B$65:$AA$65)*(1-实盘持仓初始配置!$Z$8)^(('实盘净值数据(iFinD公式)'!$A477-'实盘净值数据(iFinD公式)'!$A$5)/365))</x:f>
        <x:v>#NAME?</x:v>
      </x:c>
      <x:c r="O477" s="152" t="e">
        <x:f>IF(OR(N476="",N477=""),"",N477/N476-1)</x:f>
        <x:v>#NAME?</x:v>
      </x:c>
      <x:c r="P477" s="152" t="e">
        <x:f>IF(N477="","",N477/MAX(N$5:N477)-1)</x:f>
        <x:v>#NAME?</x:v>
      </x:c>
      <x:c r="Q477" s="146" t="e">
        <x:f>IF(OR('实盘净值数据(iFinD公式)'!$A477="",'实盘净值数据(iFinD公式)'!$B477=""),"",分期持仓明细!$AD$25*SUMPRODUCT(分期持仓明细!$B$25:$AA$25,'实盘净值数据(iFinD公式)'!$B477:$AA477/'实盘净值数据(iFinD公式)'!$B$65:$AA$65)*(1-实盘持仓初始配置!$Z$9)^(('实盘净值数据(iFinD公式)'!$A477-'实盘净值数据(iFinD公式)'!$A$8)/365))</x:f>
        <x:v>#NAME?</x:v>
      </x:c>
      <x:c r="R477" s="152" t="e">
        <x:f>IF(OR(Q476="",Q477=""),"",Q477/Q476-1)</x:f>
        <x:v>#NAME?</x:v>
      </x:c>
      <x:c r="S477" s="152" t="e">
        <x:f>IF(Q477="","",Q477/MAX(Q$5:Q477)-1)</x:f>
        <x:v>#NAME?</x:v>
      </x:c>
    </x:row>
    <x:row r="478">
      <x:c r="A478" s="149" t="str">
        <x:f>IF('实盘净值数据(iFinD公式)'!A478="","",'实盘净值数据(iFinD公式)'!A478)</x:f>
      </x:c>
      <x:c r="B478" s="146" t="e">
        <x:f>IF(OR('实盘净值数据(iFinD公式)'!$A478="",'实盘净值数据(iFinD公式)'!$B478=""),"",分期持仓明细!$AD$17*SUMPRODUCT(分期持仓明细!$B$17:$AA$17,'实盘净值数据(iFinD公式)'!$B478:$AA478/'实盘净值数据(iFinD公式)'!$B$20:$AA$20)*(1-实盘持仓初始配置!$Z$4)^(('实盘净值数据(iFinD公式)'!$A478-'实盘净值数据(iFinD公式)'!$A$6)/365))</x:f>
        <x:v>#NAME?</x:v>
      </x:c>
      <x:c r="C478" s="152" t="e">
        <x:f>IF(OR(B477="",B478=""),"",B478/B477-1)</x:f>
        <x:v>#NAME?</x:v>
      </x:c>
      <x:c r="D478" s="152" t="e">
        <x:f>IF(B478="","",B478/MAX(B$5:B478)-1)</x:f>
        <x:v>#NAME?</x:v>
      </x:c>
      <x:c r="E478" s="146" t="e">
        <x:f>IF(OR('实盘净值数据(iFinD公式)'!$A478="",'实盘净值数据(iFinD公式)'!$B478=""),"",分期持仓明细!$AD$18*SUMPRODUCT(分期持仓明细!$B$18:$AA$18,'实盘净值数据(iFinD公式)'!$B478:$AA478/'实盘净值数据(iFinD公式)'!$B$20:$AA$20)*(1-实盘持仓初始配置!$Z$5)^(('实盘净值数据(iFinD公式)'!$A478-'实盘净值数据(iFinD公式)'!$A$5)/365))</x:f>
        <x:v>#NAME?</x:v>
      </x:c>
      <x:c r="F478" s="152" t="e">
        <x:f>IF(OR(E477="",E478=""),"",E478/E477-1)</x:f>
        <x:v>#NAME?</x:v>
      </x:c>
      <x:c r="G478" s="152" t="e">
        <x:f>IF(E478="","",E478/MAX(E$5:E478)-1)</x:f>
        <x:v>#NAME?</x:v>
      </x:c>
      <x:c r="H478" s="146" t="e">
        <x:f>IF(OR('实盘净值数据(iFinD公式)'!$A478="",'实盘净值数据(iFinD公式)'!$B478=""),"",分期持仓明细!$AD$19*SUMPRODUCT(分期持仓明细!$B$19:$AA$19,'实盘净值数据(iFinD公式)'!$B478:$AA478/'实盘净值数据(iFinD公式)'!$B$20:$AA$20)*(1-实盘持仓初始配置!$Z$6)^(('实盘净值数据(iFinD公式)'!$A478-'实盘净值数据(iFinD公式)'!$A$7)/365))</x:f>
        <x:v>#NAME?</x:v>
      </x:c>
      <x:c r="I478" s="152" t="e">
        <x:f>IF(OR(H477="",H478=""),"",H478/H477-1)</x:f>
        <x:v>#NAME?</x:v>
      </x:c>
      <x:c r="J478" s="152" t="e">
        <x:f>IF(H478="","",H478/MAX(H$5:H478)-1)</x:f>
        <x:v>#NAME?</x:v>
      </x:c>
      <x:c r="K478" s="146" t="e">
        <x:f>IF(OR('实盘净值数据(iFinD公式)'!$A478="",'实盘净值数据(iFinD公式)'!$B478=""),"",分期持仓明细!$AD$23*SUMPRODUCT(分期持仓明细!$B$23:$AA$23,'实盘净值数据(iFinD公式)'!$B478:$AA478/'实盘净值数据(iFinD公式)'!$B$65:$AA$65)*(1-实盘持仓初始配置!$Z$7)^(('实盘净值数据(iFinD公式)'!$A478-'实盘净值数据(iFinD公式)'!$A$8)/365))</x:f>
        <x:v>#NAME?</x:v>
      </x:c>
      <x:c r="L478" s="152" t="e">
        <x:f>IF(OR(K477="",K478=""),"",K478/K477-1)</x:f>
        <x:v>#NAME?</x:v>
      </x:c>
      <x:c r="M478" s="152" t="e">
        <x:f>IF(K478="","",K478/MAX(K$5:K478)-1)</x:f>
        <x:v>#NAME?</x:v>
      </x:c>
      <x:c r="N478" s="146" t="e">
        <x:f>IF(OR('实盘净值数据(iFinD公式)'!$A478="",'实盘净值数据(iFinD公式)'!$B478=""),"",分期持仓明细!$AD$24*SUMPRODUCT(分期持仓明细!$B$24:$AA$24,'实盘净值数据(iFinD公式)'!$B478:$AA478/'实盘净值数据(iFinD公式)'!$B$65:$AA$65)*(1-实盘持仓初始配置!$Z$8)^(('实盘净值数据(iFinD公式)'!$A478-'实盘净值数据(iFinD公式)'!$A$5)/365))</x:f>
        <x:v>#NAME?</x:v>
      </x:c>
      <x:c r="O478" s="152" t="e">
        <x:f>IF(OR(N477="",N478=""),"",N478/N477-1)</x:f>
        <x:v>#NAME?</x:v>
      </x:c>
      <x:c r="P478" s="152" t="e">
        <x:f>IF(N478="","",N478/MAX(N$5:N478)-1)</x:f>
        <x:v>#NAME?</x:v>
      </x:c>
      <x:c r="Q478" s="146" t="e">
        <x:f>IF(OR('实盘净值数据(iFinD公式)'!$A478="",'实盘净值数据(iFinD公式)'!$B478=""),"",分期持仓明细!$AD$25*SUMPRODUCT(分期持仓明细!$B$25:$AA$25,'实盘净值数据(iFinD公式)'!$B478:$AA478/'实盘净值数据(iFinD公式)'!$B$65:$AA$65)*(1-实盘持仓初始配置!$Z$9)^(('实盘净值数据(iFinD公式)'!$A478-'实盘净值数据(iFinD公式)'!$A$8)/365))</x:f>
        <x:v>#NAME?</x:v>
      </x:c>
      <x:c r="R478" s="152" t="e">
        <x:f>IF(OR(Q477="",Q478=""),"",Q478/Q477-1)</x:f>
        <x:v>#NAME?</x:v>
      </x:c>
      <x:c r="S478" s="152" t="e">
        <x:f>IF(Q478="","",Q478/MAX(Q$5:Q478)-1)</x:f>
        <x:v>#NAME?</x:v>
      </x:c>
    </x:row>
    <x:row r="479">
      <x:c r="A479" s="149" t="str">
        <x:f>IF('实盘净值数据(iFinD公式)'!A479="","",'实盘净值数据(iFinD公式)'!A479)</x:f>
      </x:c>
      <x:c r="B479" s="146" t="e">
        <x:f>IF(OR('实盘净值数据(iFinD公式)'!$A479="",'实盘净值数据(iFinD公式)'!$B479=""),"",分期持仓明细!$AD$17*SUMPRODUCT(分期持仓明细!$B$17:$AA$17,'实盘净值数据(iFinD公式)'!$B479:$AA479/'实盘净值数据(iFinD公式)'!$B$20:$AA$20)*(1-实盘持仓初始配置!$Z$4)^(('实盘净值数据(iFinD公式)'!$A479-'实盘净值数据(iFinD公式)'!$A$6)/365))</x:f>
        <x:v>#NAME?</x:v>
      </x:c>
      <x:c r="C479" s="152" t="e">
        <x:f>IF(OR(B478="",B479=""),"",B479/B478-1)</x:f>
        <x:v>#NAME?</x:v>
      </x:c>
      <x:c r="D479" s="152" t="e">
        <x:f>IF(B479="","",B479/MAX(B$5:B479)-1)</x:f>
        <x:v>#NAME?</x:v>
      </x:c>
      <x:c r="E479" s="146" t="e">
        <x:f>IF(OR('实盘净值数据(iFinD公式)'!$A479="",'实盘净值数据(iFinD公式)'!$B479=""),"",分期持仓明细!$AD$18*SUMPRODUCT(分期持仓明细!$B$18:$AA$18,'实盘净值数据(iFinD公式)'!$B479:$AA479/'实盘净值数据(iFinD公式)'!$B$20:$AA$20)*(1-实盘持仓初始配置!$Z$5)^(('实盘净值数据(iFinD公式)'!$A479-'实盘净值数据(iFinD公式)'!$A$5)/365))</x:f>
        <x:v>#NAME?</x:v>
      </x:c>
      <x:c r="F479" s="152" t="e">
        <x:f>IF(OR(E478="",E479=""),"",E479/E478-1)</x:f>
        <x:v>#NAME?</x:v>
      </x:c>
      <x:c r="G479" s="152" t="e">
        <x:f>IF(E479="","",E479/MAX(E$5:E479)-1)</x:f>
        <x:v>#NAME?</x:v>
      </x:c>
      <x:c r="H479" s="146" t="e">
        <x:f>IF(OR('实盘净值数据(iFinD公式)'!$A479="",'实盘净值数据(iFinD公式)'!$B479=""),"",分期持仓明细!$AD$19*SUMPRODUCT(分期持仓明细!$B$19:$AA$19,'实盘净值数据(iFinD公式)'!$B479:$AA479/'实盘净值数据(iFinD公式)'!$B$20:$AA$20)*(1-实盘持仓初始配置!$Z$6)^(('实盘净值数据(iFinD公式)'!$A479-'实盘净值数据(iFinD公式)'!$A$7)/365))</x:f>
        <x:v>#NAME?</x:v>
      </x:c>
      <x:c r="I479" s="152" t="e">
        <x:f>IF(OR(H478="",H479=""),"",H479/H478-1)</x:f>
        <x:v>#NAME?</x:v>
      </x:c>
      <x:c r="J479" s="152" t="e">
        <x:f>IF(H479="","",H479/MAX(H$5:H479)-1)</x:f>
        <x:v>#NAME?</x:v>
      </x:c>
      <x:c r="K479" s="146" t="e">
        <x:f>IF(OR('实盘净值数据(iFinD公式)'!$A479="",'实盘净值数据(iFinD公式)'!$B479=""),"",分期持仓明细!$AD$23*SUMPRODUCT(分期持仓明细!$B$23:$AA$23,'实盘净值数据(iFinD公式)'!$B479:$AA479/'实盘净值数据(iFinD公式)'!$B$65:$AA$65)*(1-实盘持仓初始配置!$Z$7)^(('实盘净值数据(iFinD公式)'!$A479-'实盘净值数据(iFinD公式)'!$A$8)/365))</x:f>
        <x:v>#NAME?</x:v>
      </x:c>
      <x:c r="L479" s="152" t="e">
        <x:f>IF(OR(K478="",K479=""),"",K479/K478-1)</x:f>
        <x:v>#NAME?</x:v>
      </x:c>
      <x:c r="M479" s="152" t="e">
        <x:f>IF(K479="","",K479/MAX(K$5:K479)-1)</x:f>
        <x:v>#NAME?</x:v>
      </x:c>
      <x:c r="N479" s="146" t="e">
        <x:f>IF(OR('实盘净值数据(iFinD公式)'!$A479="",'实盘净值数据(iFinD公式)'!$B479=""),"",分期持仓明细!$AD$24*SUMPRODUCT(分期持仓明细!$B$24:$AA$24,'实盘净值数据(iFinD公式)'!$B479:$AA479/'实盘净值数据(iFinD公式)'!$B$65:$AA$65)*(1-实盘持仓初始配置!$Z$8)^(('实盘净值数据(iFinD公式)'!$A479-'实盘净值数据(iFinD公式)'!$A$5)/365))</x:f>
        <x:v>#NAME?</x:v>
      </x:c>
      <x:c r="O479" s="152" t="e">
        <x:f>IF(OR(N478="",N479=""),"",N479/N478-1)</x:f>
        <x:v>#NAME?</x:v>
      </x:c>
      <x:c r="P479" s="152" t="e">
        <x:f>IF(N479="","",N479/MAX(N$5:N479)-1)</x:f>
        <x:v>#NAME?</x:v>
      </x:c>
      <x:c r="Q479" s="146" t="e">
        <x:f>IF(OR('实盘净值数据(iFinD公式)'!$A479="",'实盘净值数据(iFinD公式)'!$B479=""),"",分期持仓明细!$AD$25*SUMPRODUCT(分期持仓明细!$B$25:$AA$25,'实盘净值数据(iFinD公式)'!$B479:$AA479/'实盘净值数据(iFinD公式)'!$B$65:$AA$65)*(1-实盘持仓初始配置!$Z$9)^(('实盘净值数据(iFinD公式)'!$A479-'实盘净值数据(iFinD公式)'!$A$8)/365))</x:f>
        <x:v>#NAME?</x:v>
      </x:c>
      <x:c r="R479" s="152" t="e">
        <x:f>IF(OR(Q478="",Q479=""),"",Q479/Q478-1)</x:f>
        <x:v>#NAME?</x:v>
      </x:c>
      <x:c r="S479" s="152" t="e">
        <x:f>IF(Q479="","",Q479/MAX(Q$5:Q479)-1)</x:f>
        <x:v>#NAME?</x:v>
      </x:c>
    </x:row>
    <x:row r="480">
      <x:c r="A480" s="149" t="str">
        <x:f>IF('实盘净值数据(iFinD公式)'!A480="","",'实盘净值数据(iFinD公式)'!A480)</x:f>
      </x:c>
      <x:c r="B480" s="146" t="e">
        <x:f>IF(OR('实盘净值数据(iFinD公式)'!$A480="",'实盘净值数据(iFinD公式)'!$B480=""),"",分期持仓明细!$AD$17*SUMPRODUCT(分期持仓明细!$B$17:$AA$17,'实盘净值数据(iFinD公式)'!$B480:$AA480/'实盘净值数据(iFinD公式)'!$B$20:$AA$20)*(1-实盘持仓初始配置!$Z$4)^(('实盘净值数据(iFinD公式)'!$A480-'实盘净值数据(iFinD公式)'!$A$6)/365))</x:f>
        <x:v>#NAME?</x:v>
      </x:c>
      <x:c r="C480" s="152" t="e">
        <x:f>IF(OR(B479="",B480=""),"",B480/B479-1)</x:f>
        <x:v>#NAME?</x:v>
      </x:c>
      <x:c r="D480" s="152" t="e">
        <x:f>IF(B480="","",B480/MAX(B$5:B480)-1)</x:f>
        <x:v>#NAME?</x:v>
      </x:c>
      <x:c r="E480" s="146" t="e">
        <x:f>IF(OR('实盘净值数据(iFinD公式)'!$A480="",'实盘净值数据(iFinD公式)'!$B480=""),"",分期持仓明细!$AD$18*SUMPRODUCT(分期持仓明细!$B$18:$AA$18,'实盘净值数据(iFinD公式)'!$B480:$AA480/'实盘净值数据(iFinD公式)'!$B$20:$AA$20)*(1-实盘持仓初始配置!$Z$5)^(('实盘净值数据(iFinD公式)'!$A480-'实盘净值数据(iFinD公式)'!$A$5)/365))</x:f>
        <x:v>#NAME?</x:v>
      </x:c>
      <x:c r="F480" s="152" t="e">
        <x:f>IF(OR(E479="",E480=""),"",E480/E479-1)</x:f>
        <x:v>#NAME?</x:v>
      </x:c>
      <x:c r="G480" s="152" t="e">
        <x:f>IF(E480="","",E480/MAX(E$5:E480)-1)</x:f>
        <x:v>#NAME?</x:v>
      </x:c>
      <x:c r="H480" s="146" t="e">
        <x:f>IF(OR('实盘净值数据(iFinD公式)'!$A480="",'实盘净值数据(iFinD公式)'!$B480=""),"",分期持仓明细!$AD$19*SUMPRODUCT(分期持仓明细!$B$19:$AA$19,'实盘净值数据(iFinD公式)'!$B480:$AA480/'实盘净值数据(iFinD公式)'!$B$20:$AA$20)*(1-实盘持仓初始配置!$Z$6)^(('实盘净值数据(iFinD公式)'!$A480-'实盘净值数据(iFinD公式)'!$A$7)/365))</x:f>
        <x:v>#NAME?</x:v>
      </x:c>
      <x:c r="I480" s="152" t="e">
        <x:f>IF(OR(H479="",H480=""),"",H480/H479-1)</x:f>
        <x:v>#NAME?</x:v>
      </x:c>
      <x:c r="J480" s="152" t="e">
        <x:f>IF(H480="","",H480/MAX(H$5:H480)-1)</x:f>
        <x:v>#NAME?</x:v>
      </x:c>
      <x:c r="K480" s="146" t="e">
        <x:f>IF(OR('实盘净值数据(iFinD公式)'!$A480="",'实盘净值数据(iFinD公式)'!$B480=""),"",分期持仓明细!$AD$23*SUMPRODUCT(分期持仓明细!$B$23:$AA$23,'实盘净值数据(iFinD公式)'!$B480:$AA480/'实盘净值数据(iFinD公式)'!$B$65:$AA$65)*(1-实盘持仓初始配置!$Z$7)^(('实盘净值数据(iFinD公式)'!$A480-'实盘净值数据(iFinD公式)'!$A$8)/365))</x:f>
        <x:v>#NAME?</x:v>
      </x:c>
      <x:c r="L480" s="152" t="e">
        <x:f>IF(OR(K479="",K480=""),"",K480/K479-1)</x:f>
        <x:v>#NAME?</x:v>
      </x:c>
      <x:c r="M480" s="152" t="e">
        <x:f>IF(K480="","",K480/MAX(K$5:K480)-1)</x:f>
        <x:v>#NAME?</x:v>
      </x:c>
      <x:c r="N480" s="146" t="e">
        <x:f>IF(OR('实盘净值数据(iFinD公式)'!$A480="",'实盘净值数据(iFinD公式)'!$B480=""),"",分期持仓明细!$AD$24*SUMPRODUCT(分期持仓明细!$B$24:$AA$24,'实盘净值数据(iFinD公式)'!$B480:$AA480/'实盘净值数据(iFinD公式)'!$B$65:$AA$65)*(1-实盘持仓初始配置!$Z$8)^(('实盘净值数据(iFinD公式)'!$A480-'实盘净值数据(iFinD公式)'!$A$5)/365))</x:f>
        <x:v>#NAME?</x:v>
      </x:c>
      <x:c r="O480" s="152" t="e">
        <x:f>IF(OR(N479="",N480=""),"",N480/N479-1)</x:f>
        <x:v>#NAME?</x:v>
      </x:c>
      <x:c r="P480" s="152" t="e">
        <x:f>IF(N480="","",N480/MAX(N$5:N480)-1)</x:f>
        <x:v>#NAME?</x:v>
      </x:c>
      <x:c r="Q480" s="146" t="e">
        <x:f>IF(OR('实盘净值数据(iFinD公式)'!$A480="",'实盘净值数据(iFinD公式)'!$B480=""),"",分期持仓明细!$AD$25*SUMPRODUCT(分期持仓明细!$B$25:$AA$25,'实盘净值数据(iFinD公式)'!$B480:$AA480/'实盘净值数据(iFinD公式)'!$B$65:$AA$65)*(1-实盘持仓初始配置!$Z$9)^(('实盘净值数据(iFinD公式)'!$A480-'实盘净值数据(iFinD公式)'!$A$8)/365))</x:f>
        <x:v>#NAME?</x:v>
      </x:c>
      <x:c r="R480" s="152" t="e">
        <x:f>IF(OR(Q479="",Q480=""),"",Q480/Q479-1)</x:f>
        <x:v>#NAME?</x:v>
      </x:c>
      <x:c r="S480" s="152" t="e">
        <x:f>IF(Q480="","",Q480/MAX(Q$5:Q480)-1)</x:f>
        <x:v>#NAME?</x:v>
      </x:c>
    </x:row>
    <x:row r="481">
      <x:c r="A481" s="149" t="str">
        <x:f>IF('实盘净值数据(iFinD公式)'!A481="","",'实盘净值数据(iFinD公式)'!A481)</x:f>
      </x:c>
      <x:c r="B481" s="146" t="e">
        <x:f>IF(OR('实盘净值数据(iFinD公式)'!$A481="",'实盘净值数据(iFinD公式)'!$B481=""),"",分期持仓明细!$AD$17*SUMPRODUCT(分期持仓明细!$B$17:$AA$17,'实盘净值数据(iFinD公式)'!$B481:$AA481/'实盘净值数据(iFinD公式)'!$B$20:$AA$20)*(1-实盘持仓初始配置!$Z$4)^(('实盘净值数据(iFinD公式)'!$A481-'实盘净值数据(iFinD公式)'!$A$6)/365))</x:f>
        <x:v>#NAME?</x:v>
      </x:c>
      <x:c r="C481" s="152" t="e">
        <x:f>IF(OR(B480="",B481=""),"",B481/B480-1)</x:f>
        <x:v>#NAME?</x:v>
      </x:c>
      <x:c r="D481" s="152" t="e">
        <x:f>IF(B481="","",B481/MAX(B$5:B481)-1)</x:f>
        <x:v>#NAME?</x:v>
      </x:c>
      <x:c r="E481" s="146" t="e">
        <x:f>IF(OR('实盘净值数据(iFinD公式)'!$A481="",'实盘净值数据(iFinD公式)'!$B481=""),"",分期持仓明细!$AD$18*SUMPRODUCT(分期持仓明细!$B$18:$AA$18,'实盘净值数据(iFinD公式)'!$B481:$AA481/'实盘净值数据(iFinD公式)'!$B$20:$AA$20)*(1-实盘持仓初始配置!$Z$5)^(('实盘净值数据(iFinD公式)'!$A481-'实盘净值数据(iFinD公式)'!$A$5)/365))</x:f>
        <x:v>#NAME?</x:v>
      </x:c>
      <x:c r="F481" s="152" t="e">
        <x:f>IF(OR(E480="",E481=""),"",E481/E480-1)</x:f>
        <x:v>#NAME?</x:v>
      </x:c>
      <x:c r="G481" s="152" t="e">
        <x:f>IF(E481="","",E481/MAX(E$5:E481)-1)</x:f>
        <x:v>#NAME?</x:v>
      </x:c>
      <x:c r="H481" s="146" t="e">
        <x:f>IF(OR('实盘净值数据(iFinD公式)'!$A481="",'实盘净值数据(iFinD公式)'!$B481=""),"",分期持仓明细!$AD$19*SUMPRODUCT(分期持仓明细!$B$19:$AA$19,'实盘净值数据(iFinD公式)'!$B481:$AA481/'实盘净值数据(iFinD公式)'!$B$20:$AA$20)*(1-实盘持仓初始配置!$Z$6)^(('实盘净值数据(iFinD公式)'!$A481-'实盘净值数据(iFinD公式)'!$A$7)/365))</x:f>
        <x:v>#NAME?</x:v>
      </x:c>
      <x:c r="I481" s="152" t="e">
        <x:f>IF(OR(H480="",H481=""),"",H481/H480-1)</x:f>
        <x:v>#NAME?</x:v>
      </x:c>
      <x:c r="J481" s="152" t="e">
        <x:f>IF(H481="","",H481/MAX(H$5:H481)-1)</x:f>
        <x:v>#NAME?</x:v>
      </x:c>
      <x:c r="K481" s="146" t="e">
        <x:f>IF(OR('实盘净值数据(iFinD公式)'!$A481="",'实盘净值数据(iFinD公式)'!$B481=""),"",分期持仓明细!$AD$23*SUMPRODUCT(分期持仓明细!$B$23:$AA$23,'实盘净值数据(iFinD公式)'!$B481:$AA481/'实盘净值数据(iFinD公式)'!$B$65:$AA$65)*(1-实盘持仓初始配置!$Z$7)^(('实盘净值数据(iFinD公式)'!$A481-'实盘净值数据(iFinD公式)'!$A$8)/365))</x:f>
        <x:v>#NAME?</x:v>
      </x:c>
      <x:c r="L481" s="152" t="e">
        <x:f>IF(OR(K480="",K481=""),"",K481/K480-1)</x:f>
        <x:v>#NAME?</x:v>
      </x:c>
      <x:c r="M481" s="152" t="e">
        <x:f>IF(K481="","",K481/MAX(K$5:K481)-1)</x:f>
        <x:v>#NAME?</x:v>
      </x:c>
      <x:c r="N481" s="146" t="e">
        <x:f>IF(OR('实盘净值数据(iFinD公式)'!$A481="",'实盘净值数据(iFinD公式)'!$B481=""),"",分期持仓明细!$AD$24*SUMPRODUCT(分期持仓明细!$B$24:$AA$24,'实盘净值数据(iFinD公式)'!$B481:$AA481/'实盘净值数据(iFinD公式)'!$B$65:$AA$65)*(1-实盘持仓初始配置!$Z$8)^(('实盘净值数据(iFinD公式)'!$A481-'实盘净值数据(iFinD公式)'!$A$5)/365))</x:f>
        <x:v>#NAME?</x:v>
      </x:c>
      <x:c r="O481" s="152" t="e">
        <x:f>IF(OR(N480="",N481=""),"",N481/N480-1)</x:f>
        <x:v>#NAME?</x:v>
      </x:c>
      <x:c r="P481" s="152" t="e">
        <x:f>IF(N481="","",N481/MAX(N$5:N481)-1)</x:f>
        <x:v>#NAME?</x:v>
      </x:c>
      <x:c r="Q481" s="146" t="e">
        <x:f>IF(OR('实盘净值数据(iFinD公式)'!$A481="",'实盘净值数据(iFinD公式)'!$B481=""),"",分期持仓明细!$AD$25*SUMPRODUCT(分期持仓明细!$B$25:$AA$25,'实盘净值数据(iFinD公式)'!$B481:$AA481/'实盘净值数据(iFinD公式)'!$B$65:$AA$65)*(1-实盘持仓初始配置!$Z$9)^(('实盘净值数据(iFinD公式)'!$A481-'实盘净值数据(iFinD公式)'!$A$8)/365))</x:f>
        <x:v>#NAME?</x:v>
      </x:c>
      <x:c r="R481" s="152" t="e">
        <x:f>IF(OR(Q480="",Q481=""),"",Q481/Q480-1)</x:f>
        <x:v>#NAME?</x:v>
      </x:c>
      <x:c r="S481" s="152" t="e">
        <x:f>IF(Q481="","",Q481/MAX(Q$5:Q481)-1)</x:f>
        <x:v>#NAME?</x:v>
      </x:c>
    </x:row>
    <x:row r="482">
      <x:c r="A482" s="149" t="str">
        <x:f>IF('实盘净值数据(iFinD公式)'!A482="","",'实盘净值数据(iFinD公式)'!A482)</x:f>
      </x:c>
      <x:c r="B482" s="146" t="e">
        <x:f>IF(OR('实盘净值数据(iFinD公式)'!$A482="",'实盘净值数据(iFinD公式)'!$B482=""),"",分期持仓明细!$AD$17*SUMPRODUCT(分期持仓明细!$B$17:$AA$17,'实盘净值数据(iFinD公式)'!$B482:$AA482/'实盘净值数据(iFinD公式)'!$B$20:$AA$20)*(1-实盘持仓初始配置!$Z$4)^(('实盘净值数据(iFinD公式)'!$A482-'实盘净值数据(iFinD公式)'!$A$6)/365))</x:f>
        <x:v>#NAME?</x:v>
      </x:c>
      <x:c r="C482" s="152" t="e">
        <x:f>IF(OR(B481="",B482=""),"",B482/B481-1)</x:f>
        <x:v>#NAME?</x:v>
      </x:c>
      <x:c r="D482" s="152" t="e">
        <x:f>IF(B482="","",B482/MAX(B$5:B482)-1)</x:f>
        <x:v>#NAME?</x:v>
      </x:c>
      <x:c r="E482" s="146" t="e">
        <x:f>IF(OR('实盘净值数据(iFinD公式)'!$A482="",'实盘净值数据(iFinD公式)'!$B482=""),"",分期持仓明细!$AD$18*SUMPRODUCT(分期持仓明细!$B$18:$AA$18,'实盘净值数据(iFinD公式)'!$B482:$AA482/'实盘净值数据(iFinD公式)'!$B$20:$AA$20)*(1-实盘持仓初始配置!$Z$5)^(('实盘净值数据(iFinD公式)'!$A482-'实盘净值数据(iFinD公式)'!$A$5)/365))</x:f>
        <x:v>#NAME?</x:v>
      </x:c>
      <x:c r="F482" s="152" t="e">
        <x:f>IF(OR(E481="",E482=""),"",E482/E481-1)</x:f>
        <x:v>#NAME?</x:v>
      </x:c>
      <x:c r="G482" s="152" t="e">
        <x:f>IF(E482="","",E482/MAX(E$5:E482)-1)</x:f>
        <x:v>#NAME?</x:v>
      </x:c>
      <x:c r="H482" s="146" t="e">
        <x:f>IF(OR('实盘净值数据(iFinD公式)'!$A482="",'实盘净值数据(iFinD公式)'!$B482=""),"",分期持仓明细!$AD$19*SUMPRODUCT(分期持仓明细!$B$19:$AA$19,'实盘净值数据(iFinD公式)'!$B482:$AA482/'实盘净值数据(iFinD公式)'!$B$20:$AA$20)*(1-实盘持仓初始配置!$Z$6)^(('实盘净值数据(iFinD公式)'!$A482-'实盘净值数据(iFinD公式)'!$A$7)/365))</x:f>
        <x:v>#NAME?</x:v>
      </x:c>
      <x:c r="I482" s="152" t="e">
        <x:f>IF(OR(H481="",H482=""),"",H482/H481-1)</x:f>
        <x:v>#NAME?</x:v>
      </x:c>
      <x:c r="J482" s="152" t="e">
        <x:f>IF(H482="","",H482/MAX(H$5:H482)-1)</x:f>
        <x:v>#NAME?</x:v>
      </x:c>
      <x:c r="K482" s="146" t="e">
        <x:f>IF(OR('实盘净值数据(iFinD公式)'!$A482="",'实盘净值数据(iFinD公式)'!$B482=""),"",分期持仓明细!$AD$23*SUMPRODUCT(分期持仓明细!$B$23:$AA$23,'实盘净值数据(iFinD公式)'!$B482:$AA482/'实盘净值数据(iFinD公式)'!$B$65:$AA$65)*(1-实盘持仓初始配置!$Z$7)^(('实盘净值数据(iFinD公式)'!$A482-'实盘净值数据(iFinD公式)'!$A$8)/365))</x:f>
        <x:v>#NAME?</x:v>
      </x:c>
      <x:c r="L482" s="152" t="e">
        <x:f>IF(OR(K481="",K482=""),"",K482/K481-1)</x:f>
        <x:v>#NAME?</x:v>
      </x:c>
      <x:c r="M482" s="152" t="e">
        <x:f>IF(K482="","",K482/MAX(K$5:K482)-1)</x:f>
        <x:v>#NAME?</x:v>
      </x:c>
      <x:c r="N482" s="146" t="e">
        <x:f>IF(OR('实盘净值数据(iFinD公式)'!$A482="",'实盘净值数据(iFinD公式)'!$B482=""),"",分期持仓明细!$AD$24*SUMPRODUCT(分期持仓明细!$B$24:$AA$24,'实盘净值数据(iFinD公式)'!$B482:$AA482/'实盘净值数据(iFinD公式)'!$B$65:$AA$65)*(1-实盘持仓初始配置!$Z$8)^(('实盘净值数据(iFinD公式)'!$A482-'实盘净值数据(iFinD公式)'!$A$5)/365))</x:f>
        <x:v>#NAME?</x:v>
      </x:c>
      <x:c r="O482" s="152" t="e">
        <x:f>IF(OR(N481="",N482=""),"",N482/N481-1)</x:f>
        <x:v>#NAME?</x:v>
      </x:c>
      <x:c r="P482" s="152" t="e">
        <x:f>IF(N482="","",N482/MAX(N$5:N482)-1)</x:f>
        <x:v>#NAME?</x:v>
      </x:c>
      <x:c r="Q482" s="146" t="e">
        <x:f>IF(OR('实盘净值数据(iFinD公式)'!$A482="",'实盘净值数据(iFinD公式)'!$B482=""),"",分期持仓明细!$AD$25*SUMPRODUCT(分期持仓明细!$B$25:$AA$25,'实盘净值数据(iFinD公式)'!$B482:$AA482/'实盘净值数据(iFinD公式)'!$B$65:$AA$65)*(1-实盘持仓初始配置!$Z$9)^(('实盘净值数据(iFinD公式)'!$A482-'实盘净值数据(iFinD公式)'!$A$8)/365))</x:f>
        <x:v>#NAME?</x:v>
      </x:c>
      <x:c r="R482" s="152" t="e">
        <x:f>IF(OR(Q481="",Q482=""),"",Q482/Q481-1)</x:f>
        <x:v>#NAME?</x:v>
      </x:c>
      <x:c r="S482" s="152" t="e">
        <x:f>IF(Q482="","",Q482/MAX(Q$5:Q482)-1)</x:f>
        <x:v>#NAME?</x:v>
      </x:c>
    </x:row>
    <x:row r="483">
      <x:c r="A483" s="149" t="str">
        <x:f>IF('实盘净值数据(iFinD公式)'!A483="","",'实盘净值数据(iFinD公式)'!A483)</x:f>
      </x:c>
      <x:c r="B483" s="146" t="e">
        <x:f>IF(OR('实盘净值数据(iFinD公式)'!$A483="",'实盘净值数据(iFinD公式)'!$B483=""),"",分期持仓明细!$AD$17*SUMPRODUCT(分期持仓明细!$B$17:$AA$17,'实盘净值数据(iFinD公式)'!$B483:$AA483/'实盘净值数据(iFinD公式)'!$B$20:$AA$20)*(1-实盘持仓初始配置!$Z$4)^(('实盘净值数据(iFinD公式)'!$A483-'实盘净值数据(iFinD公式)'!$A$6)/365))</x:f>
        <x:v>#NAME?</x:v>
      </x:c>
      <x:c r="C483" s="152" t="e">
        <x:f>IF(OR(B482="",B483=""),"",B483/B482-1)</x:f>
        <x:v>#NAME?</x:v>
      </x:c>
      <x:c r="D483" s="152" t="e">
        <x:f>IF(B483="","",B483/MAX(B$5:B483)-1)</x:f>
        <x:v>#NAME?</x:v>
      </x:c>
      <x:c r="E483" s="146" t="e">
        <x:f>IF(OR('实盘净值数据(iFinD公式)'!$A483="",'实盘净值数据(iFinD公式)'!$B483=""),"",分期持仓明细!$AD$18*SUMPRODUCT(分期持仓明细!$B$18:$AA$18,'实盘净值数据(iFinD公式)'!$B483:$AA483/'实盘净值数据(iFinD公式)'!$B$20:$AA$20)*(1-实盘持仓初始配置!$Z$5)^(('实盘净值数据(iFinD公式)'!$A483-'实盘净值数据(iFinD公式)'!$A$5)/365))</x:f>
        <x:v>#NAME?</x:v>
      </x:c>
      <x:c r="F483" s="152" t="e">
        <x:f>IF(OR(E482="",E483=""),"",E483/E482-1)</x:f>
        <x:v>#NAME?</x:v>
      </x:c>
      <x:c r="G483" s="152" t="e">
        <x:f>IF(E483="","",E483/MAX(E$5:E483)-1)</x:f>
        <x:v>#NAME?</x:v>
      </x:c>
      <x:c r="H483" s="146" t="e">
        <x:f>IF(OR('实盘净值数据(iFinD公式)'!$A483="",'实盘净值数据(iFinD公式)'!$B483=""),"",分期持仓明细!$AD$19*SUMPRODUCT(分期持仓明细!$B$19:$AA$19,'实盘净值数据(iFinD公式)'!$B483:$AA483/'实盘净值数据(iFinD公式)'!$B$20:$AA$20)*(1-实盘持仓初始配置!$Z$6)^(('实盘净值数据(iFinD公式)'!$A483-'实盘净值数据(iFinD公式)'!$A$7)/365))</x:f>
        <x:v>#NAME?</x:v>
      </x:c>
      <x:c r="I483" s="152" t="e">
        <x:f>IF(OR(H482="",H483=""),"",H483/H482-1)</x:f>
        <x:v>#NAME?</x:v>
      </x:c>
      <x:c r="J483" s="152" t="e">
        <x:f>IF(H483="","",H483/MAX(H$5:H483)-1)</x:f>
        <x:v>#NAME?</x:v>
      </x:c>
      <x:c r="K483" s="146" t="e">
        <x:f>IF(OR('实盘净值数据(iFinD公式)'!$A483="",'实盘净值数据(iFinD公式)'!$B483=""),"",分期持仓明细!$AD$23*SUMPRODUCT(分期持仓明细!$B$23:$AA$23,'实盘净值数据(iFinD公式)'!$B483:$AA483/'实盘净值数据(iFinD公式)'!$B$65:$AA$65)*(1-实盘持仓初始配置!$Z$7)^(('实盘净值数据(iFinD公式)'!$A483-'实盘净值数据(iFinD公式)'!$A$8)/365))</x:f>
        <x:v>#NAME?</x:v>
      </x:c>
      <x:c r="L483" s="152" t="e">
        <x:f>IF(OR(K482="",K483=""),"",K483/K482-1)</x:f>
        <x:v>#NAME?</x:v>
      </x:c>
      <x:c r="M483" s="152" t="e">
        <x:f>IF(K483="","",K483/MAX(K$5:K483)-1)</x:f>
        <x:v>#NAME?</x:v>
      </x:c>
      <x:c r="N483" s="146" t="e">
        <x:f>IF(OR('实盘净值数据(iFinD公式)'!$A483="",'实盘净值数据(iFinD公式)'!$B483=""),"",分期持仓明细!$AD$24*SUMPRODUCT(分期持仓明细!$B$24:$AA$24,'实盘净值数据(iFinD公式)'!$B483:$AA483/'实盘净值数据(iFinD公式)'!$B$65:$AA$65)*(1-实盘持仓初始配置!$Z$8)^(('实盘净值数据(iFinD公式)'!$A483-'实盘净值数据(iFinD公式)'!$A$5)/365))</x:f>
        <x:v>#NAME?</x:v>
      </x:c>
      <x:c r="O483" s="152" t="e">
        <x:f>IF(OR(N482="",N483=""),"",N483/N482-1)</x:f>
        <x:v>#NAME?</x:v>
      </x:c>
      <x:c r="P483" s="152" t="e">
        <x:f>IF(N483="","",N483/MAX(N$5:N483)-1)</x:f>
        <x:v>#NAME?</x:v>
      </x:c>
      <x:c r="Q483" s="146" t="e">
        <x:f>IF(OR('实盘净值数据(iFinD公式)'!$A483="",'实盘净值数据(iFinD公式)'!$B483=""),"",分期持仓明细!$AD$25*SUMPRODUCT(分期持仓明细!$B$25:$AA$25,'实盘净值数据(iFinD公式)'!$B483:$AA483/'实盘净值数据(iFinD公式)'!$B$65:$AA$65)*(1-实盘持仓初始配置!$Z$9)^(('实盘净值数据(iFinD公式)'!$A483-'实盘净值数据(iFinD公式)'!$A$8)/365))</x:f>
        <x:v>#NAME?</x:v>
      </x:c>
      <x:c r="R483" s="152" t="e">
        <x:f>IF(OR(Q482="",Q483=""),"",Q483/Q482-1)</x:f>
        <x:v>#NAME?</x:v>
      </x:c>
      <x:c r="S483" s="152" t="e">
        <x:f>IF(Q483="","",Q483/MAX(Q$5:Q483)-1)</x:f>
        <x:v>#NAME?</x:v>
      </x:c>
    </x:row>
    <x:row r="484">
      <x:c r="A484" s="149" t="str">
        <x:f>IF('实盘净值数据(iFinD公式)'!A484="","",'实盘净值数据(iFinD公式)'!A484)</x:f>
      </x:c>
      <x:c r="B484" s="146" t="e">
        <x:f>IF(OR('实盘净值数据(iFinD公式)'!$A484="",'实盘净值数据(iFinD公式)'!$B484=""),"",分期持仓明细!$AD$17*SUMPRODUCT(分期持仓明细!$B$17:$AA$17,'实盘净值数据(iFinD公式)'!$B484:$AA484/'实盘净值数据(iFinD公式)'!$B$20:$AA$20)*(1-实盘持仓初始配置!$Z$4)^(('实盘净值数据(iFinD公式)'!$A484-'实盘净值数据(iFinD公式)'!$A$6)/365))</x:f>
        <x:v>#NAME?</x:v>
      </x:c>
      <x:c r="C484" s="152" t="e">
        <x:f>IF(OR(B483="",B484=""),"",B484/B483-1)</x:f>
        <x:v>#NAME?</x:v>
      </x:c>
      <x:c r="D484" s="152" t="e">
        <x:f>IF(B484="","",B484/MAX(B$5:B484)-1)</x:f>
        <x:v>#NAME?</x:v>
      </x:c>
      <x:c r="E484" s="146" t="e">
        <x:f>IF(OR('实盘净值数据(iFinD公式)'!$A484="",'实盘净值数据(iFinD公式)'!$B484=""),"",分期持仓明细!$AD$18*SUMPRODUCT(分期持仓明细!$B$18:$AA$18,'实盘净值数据(iFinD公式)'!$B484:$AA484/'实盘净值数据(iFinD公式)'!$B$20:$AA$20)*(1-实盘持仓初始配置!$Z$5)^(('实盘净值数据(iFinD公式)'!$A484-'实盘净值数据(iFinD公式)'!$A$5)/365))</x:f>
        <x:v>#NAME?</x:v>
      </x:c>
      <x:c r="F484" s="152" t="e">
        <x:f>IF(OR(E483="",E484=""),"",E484/E483-1)</x:f>
        <x:v>#NAME?</x:v>
      </x:c>
      <x:c r="G484" s="152" t="e">
        <x:f>IF(E484="","",E484/MAX(E$5:E484)-1)</x:f>
        <x:v>#NAME?</x:v>
      </x:c>
      <x:c r="H484" s="146" t="e">
        <x:f>IF(OR('实盘净值数据(iFinD公式)'!$A484="",'实盘净值数据(iFinD公式)'!$B484=""),"",分期持仓明细!$AD$19*SUMPRODUCT(分期持仓明细!$B$19:$AA$19,'实盘净值数据(iFinD公式)'!$B484:$AA484/'实盘净值数据(iFinD公式)'!$B$20:$AA$20)*(1-实盘持仓初始配置!$Z$6)^(('实盘净值数据(iFinD公式)'!$A484-'实盘净值数据(iFinD公式)'!$A$7)/365))</x:f>
        <x:v>#NAME?</x:v>
      </x:c>
      <x:c r="I484" s="152" t="e">
        <x:f>IF(OR(H483="",H484=""),"",H484/H483-1)</x:f>
        <x:v>#NAME?</x:v>
      </x:c>
      <x:c r="J484" s="152" t="e">
        <x:f>IF(H484="","",H484/MAX(H$5:H484)-1)</x:f>
        <x:v>#NAME?</x:v>
      </x:c>
      <x:c r="K484" s="146" t="e">
        <x:f>IF(OR('实盘净值数据(iFinD公式)'!$A484="",'实盘净值数据(iFinD公式)'!$B484=""),"",分期持仓明细!$AD$23*SUMPRODUCT(分期持仓明细!$B$23:$AA$23,'实盘净值数据(iFinD公式)'!$B484:$AA484/'实盘净值数据(iFinD公式)'!$B$65:$AA$65)*(1-实盘持仓初始配置!$Z$7)^(('实盘净值数据(iFinD公式)'!$A484-'实盘净值数据(iFinD公式)'!$A$8)/365))</x:f>
        <x:v>#NAME?</x:v>
      </x:c>
      <x:c r="L484" s="152" t="e">
        <x:f>IF(OR(K483="",K484=""),"",K484/K483-1)</x:f>
        <x:v>#NAME?</x:v>
      </x:c>
      <x:c r="M484" s="152" t="e">
        <x:f>IF(K484="","",K484/MAX(K$5:K484)-1)</x:f>
        <x:v>#NAME?</x:v>
      </x:c>
      <x:c r="N484" s="146" t="e">
        <x:f>IF(OR('实盘净值数据(iFinD公式)'!$A484="",'实盘净值数据(iFinD公式)'!$B484=""),"",分期持仓明细!$AD$24*SUMPRODUCT(分期持仓明细!$B$24:$AA$24,'实盘净值数据(iFinD公式)'!$B484:$AA484/'实盘净值数据(iFinD公式)'!$B$65:$AA$65)*(1-实盘持仓初始配置!$Z$8)^(('实盘净值数据(iFinD公式)'!$A484-'实盘净值数据(iFinD公式)'!$A$5)/365))</x:f>
        <x:v>#NAME?</x:v>
      </x:c>
      <x:c r="O484" s="152" t="e">
        <x:f>IF(OR(N483="",N484=""),"",N484/N483-1)</x:f>
        <x:v>#NAME?</x:v>
      </x:c>
      <x:c r="P484" s="152" t="e">
        <x:f>IF(N484="","",N484/MAX(N$5:N484)-1)</x:f>
        <x:v>#NAME?</x:v>
      </x:c>
      <x:c r="Q484" s="146" t="e">
        <x:f>IF(OR('实盘净值数据(iFinD公式)'!$A484="",'实盘净值数据(iFinD公式)'!$B484=""),"",分期持仓明细!$AD$25*SUMPRODUCT(分期持仓明细!$B$25:$AA$25,'实盘净值数据(iFinD公式)'!$B484:$AA484/'实盘净值数据(iFinD公式)'!$B$65:$AA$65)*(1-实盘持仓初始配置!$Z$9)^(('实盘净值数据(iFinD公式)'!$A484-'实盘净值数据(iFinD公式)'!$A$8)/365))</x:f>
        <x:v>#NAME?</x:v>
      </x:c>
      <x:c r="R484" s="152" t="e">
        <x:f>IF(OR(Q483="",Q484=""),"",Q484/Q483-1)</x:f>
        <x:v>#NAME?</x:v>
      </x:c>
      <x:c r="S484" s="152" t="e">
        <x:f>IF(Q484="","",Q484/MAX(Q$5:Q484)-1)</x:f>
        <x:v>#NAME?</x:v>
      </x:c>
    </x:row>
    <x:row r="485">
      <x:c r="A485" s="149" t="str">
        <x:f>IF('实盘净值数据(iFinD公式)'!A485="","",'实盘净值数据(iFinD公式)'!A485)</x:f>
      </x:c>
      <x:c r="B485" s="146" t="e">
        <x:f>IF(OR('实盘净值数据(iFinD公式)'!$A485="",'实盘净值数据(iFinD公式)'!$B485=""),"",分期持仓明细!$AD$17*SUMPRODUCT(分期持仓明细!$B$17:$AA$17,'实盘净值数据(iFinD公式)'!$B485:$AA485/'实盘净值数据(iFinD公式)'!$B$20:$AA$20)*(1-实盘持仓初始配置!$Z$4)^(('实盘净值数据(iFinD公式)'!$A485-'实盘净值数据(iFinD公式)'!$A$6)/365))</x:f>
        <x:v>#NAME?</x:v>
      </x:c>
      <x:c r="C485" s="152" t="e">
        <x:f>IF(OR(B484="",B485=""),"",B485/B484-1)</x:f>
        <x:v>#NAME?</x:v>
      </x:c>
      <x:c r="D485" s="152" t="e">
        <x:f>IF(B485="","",B485/MAX(B$5:B485)-1)</x:f>
        <x:v>#NAME?</x:v>
      </x:c>
      <x:c r="E485" s="146" t="e">
        <x:f>IF(OR('实盘净值数据(iFinD公式)'!$A485="",'实盘净值数据(iFinD公式)'!$B485=""),"",分期持仓明细!$AD$18*SUMPRODUCT(分期持仓明细!$B$18:$AA$18,'实盘净值数据(iFinD公式)'!$B485:$AA485/'实盘净值数据(iFinD公式)'!$B$20:$AA$20)*(1-实盘持仓初始配置!$Z$5)^(('实盘净值数据(iFinD公式)'!$A485-'实盘净值数据(iFinD公式)'!$A$5)/365))</x:f>
        <x:v>#NAME?</x:v>
      </x:c>
      <x:c r="F485" s="152" t="e">
        <x:f>IF(OR(E484="",E485=""),"",E485/E484-1)</x:f>
        <x:v>#NAME?</x:v>
      </x:c>
      <x:c r="G485" s="152" t="e">
        <x:f>IF(E485="","",E485/MAX(E$5:E485)-1)</x:f>
        <x:v>#NAME?</x:v>
      </x:c>
      <x:c r="H485" s="146" t="e">
        <x:f>IF(OR('实盘净值数据(iFinD公式)'!$A485="",'实盘净值数据(iFinD公式)'!$B485=""),"",分期持仓明细!$AD$19*SUMPRODUCT(分期持仓明细!$B$19:$AA$19,'实盘净值数据(iFinD公式)'!$B485:$AA485/'实盘净值数据(iFinD公式)'!$B$20:$AA$20)*(1-实盘持仓初始配置!$Z$6)^(('实盘净值数据(iFinD公式)'!$A485-'实盘净值数据(iFinD公式)'!$A$7)/365))</x:f>
        <x:v>#NAME?</x:v>
      </x:c>
      <x:c r="I485" s="152" t="e">
        <x:f>IF(OR(H484="",H485=""),"",H485/H484-1)</x:f>
        <x:v>#NAME?</x:v>
      </x:c>
      <x:c r="J485" s="152" t="e">
        <x:f>IF(H485="","",H485/MAX(H$5:H485)-1)</x:f>
        <x:v>#NAME?</x:v>
      </x:c>
      <x:c r="K485" s="146" t="e">
        <x:f>IF(OR('实盘净值数据(iFinD公式)'!$A485="",'实盘净值数据(iFinD公式)'!$B485=""),"",分期持仓明细!$AD$23*SUMPRODUCT(分期持仓明细!$B$23:$AA$23,'实盘净值数据(iFinD公式)'!$B485:$AA485/'实盘净值数据(iFinD公式)'!$B$65:$AA$65)*(1-实盘持仓初始配置!$Z$7)^(('实盘净值数据(iFinD公式)'!$A485-'实盘净值数据(iFinD公式)'!$A$8)/365))</x:f>
        <x:v>#NAME?</x:v>
      </x:c>
      <x:c r="L485" s="152" t="e">
        <x:f>IF(OR(K484="",K485=""),"",K485/K484-1)</x:f>
        <x:v>#NAME?</x:v>
      </x:c>
      <x:c r="M485" s="152" t="e">
        <x:f>IF(K485="","",K485/MAX(K$5:K485)-1)</x:f>
        <x:v>#NAME?</x:v>
      </x:c>
      <x:c r="N485" s="146" t="e">
        <x:f>IF(OR('实盘净值数据(iFinD公式)'!$A485="",'实盘净值数据(iFinD公式)'!$B485=""),"",分期持仓明细!$AD$24*SUMPRODUCT(分期持仓明细!$B$24:$AA$24,'实盘净值数据(iFinD公式)'!$B485:$AA485/'实盘净值数据(iFinD公式)'!$B$65:$AA$65)*(1-实盘持仓初始配置!$Z$8)^(('实盘净值数据(iFinD公式)'!$A485-'实盘净值数据(iFinD公式)'!$A$5)/365))</x:f>
        <x:v>#NAME?</x:v>
      </x:c>
      <x:c r="O485" s="152" t="e">
        <x:f>IF(OR(N484="",N485=""),"",N485/N484-1)</x:f>
        <x:v>#NAME?</x:v>
      </x:c>
      <x:c r="P485" s="152" t="e">
        <x:f>IF(N485="","",N485/MAX(N$5:N485)-1)</x:f>
        <x:v>#NAME?</x:v>
      </x:c>
      <x:c r="Q485" s="146" t="e">
        <x:f>IF(OR('实盘净值数据(iFinD公式)'!$A485="",'实盘净值数据(iFinD公式)'!$B485=""),"",分期持仓明细!$AD$25*SUMPRODUCT(分期持仓明细!$B$25:$AA$25,'实盘净值数据(iFinD公式)'!$B485:$AA485/'实盘净值数据(iFinD公式)'!$B$65:$AA$65)*(1-实盘持仓初始配置!$Z$9)^(('实盘净值数据(iFinD公式)'!$A485-'实盘净值数据(iFinD公式)'!$A$8)/365))</x:f>
        <x:v>#NAME?</x:v>
      </x:c>
      <x:c r="R485" s="152" t="e">
        <x:f>IF(OR(Q484="",Q485=""),"",Q485/Q484-1)</x:f>
        <x:v>#NAME?</x:v>
      </x:c>
      <x:c r="S485" s="152" t="e">
        <x:f>IF(Q485="","",Q485/MAX(Q$5:Q485)-1)</x:f>
        <x:v>#NAME?</x:v>
      </x:c>
    </x:row>
    <x:row r="486">
      <x:c r="A486" s="149" t="str">
        <x:f>IF('实盘净值数据(iFinD公式)'!A486="","",'实盘净值数据(iFinD公式)'!A486)</x:f>
      </x:c>
      <x:c r="B486" s="146" t="e">
        <x:f>IF(OR('实盘净值数据(iFinD公式)'!$A486="",'实盘净值数据(iFinD公式)'!$B486=""),"",分期持仓明细!$AD$17*SUMPRODUCT(分期持仓明细!$B$17:$AA$17,'实盘净值数据(iFinD公式)'!$B486:$AA486/'实盘净值数据(iFinD公式)'!$B$20:$AA$20)*(1-实盘持仓初始配置!$Z$4)^(('实盘净值数据(iFinD公式)'!$A486-'实盘净值数据(iFinD公式)'!$A$6)/365))</x:f>
        <x:v>#NAME?</x:v>
      </x:c>
      <x:c r="C486" s="152" t="e">
        <x:f>IF(OR(B485="",B486=""),"",B486/B485-1)</x:f>
        <x:v>#NAME?</x:v>
      </x:c>
      <x:c r="D486" s="152" t="e">
        <x:f>IF(B486="","",B486/MAX(B$5:B486)-1)</x:f>
        <x:v>#NAME?</x:v>
      </x:c>
      <x:c r="E486" s="146" t="e">
        <x:f>IF(OR('实盘净值数据(iFinD公式)'!$A486="",'实盘净值数据(iFinD公式)'!$B486=""),"",分期持仓明细!$AD$18*SUMPRODUCT(分期持仓明细!$B$18:$AA$18,'实盘净值数据(iFinD公式)'!$B486:$AA486/'实盘净值数据(iFinD公式)'!$B$20:$AA$20)*(1-实盘持仓初始配置!$Z$5)^(('实盘净值数据(iFinD公式)'!$A486-'实盘净值数据(iFinD公式)'!$A$5)/365))</x:f>
        <x:v>#NAME?</x:v>
      </x:c>
      <x:c r="F486" s="152" t="e">
        <x:f>IF(OR(E485="",E486=""),"",E486/E485-1)</x:f>
        <x:v>#NAME?</x:v>
      </x:c>
      <x:c r="G486" s="152" t="e">
        <x:f>IF(E486="","",E486/MAX(E$5:E486)-1)</x:f>
        <x:v>#NAME?</x:v>
      </x:c>
      <x:c r="H486" s="146" t="e">
        <x:f>IF(OR('实盘净值数据(iFinD公式)'!$A486="",'实盘净值数据(iFinD公式)'!$B486=""),"",分期持仓明细!$AD$19*SUMPRODUCT(分期持仓明细!$B$19:$AA$19,'实盘净值数据(iFinD公式)'!$B486:$AA486/'实盘净值数据(iFinD公式)'!$B$20:$AA$20)*(1-实盘持仓初始配置!$Z$6)^(('实盘净值数据(iFinD公式)'!$A486-'实盘净值数据(iFinD公式)'!$A$7)/365))</x:f>
        <x:v>#NAME?</x:v>
      </x:c>
      <x:c r="I486" s="152" t="e">
        <x:f>IF(OR(H485="",H486=""),"",H486/H485-1)</x:f>
        <x:v>#NAME?</x:v>
      </x:c>
      <x:c r="J486" s="152" t="e">
        <x:f>IF(H486="","",H486/MAX(H$5:H486)-1)</x:f>
        <x:v>#NAME?</x:v>
      </x:c>
      <x:c r="K486" s="146" t="e">
        <x:f>IF(OR('实盘净值数据(iFinD公式)'!$A486="",'实盘净值数据(iFinD公式)'!$B486=""),"",分期持仓明细!$AD$23*SUMPRODUCT(分期持仓明细!$B$23:$AA$23,'实盘净值数据(iFinD公式)'!$B486:$AA486/'实盘净值数据(iFinD公式)'!$B$65:$AA$65)*(1-实盘持仓初始配置!$Z$7)^(('实盘净值数据(iFinD公式)'!$A486-'实盘净值数据(iFinD公式)'!$A$8)/365))</x:f>
        <x:v>#NAME?</x:v>
      </x:c>
      <x:c r="L486" s="152" t="e">
        <x:f>IF(OR(K485="",K486=""),"",K486/K485-1)</x:f>
        <x:v>#NAME?</x:v>
      </x:c>
      <x:c r="M486" s="152" t="e">
        <x:f>IF(K486="","",K486/MAX(K$5:K486)-1)</x:f>
        <x:v>#NAME?</x:v>
      </x:c>
      <x:c r="N486" s="146" t="e">
        <x:f>IF(OR('实盘净值数据(iFinD公式)'!$A486="",'实盘净值数据(iFinD公式)'!$B486=""),"",分期持仓明细!$AD$24*SUMPRODUCT(分期持仓明细!$B$24:$AA$24,'实盘净值数据(iFinD公式)'!$B486:$AA486/'实盘净值数据(iFinD公式)'!$B$65:$AA$65)*(1-实盘持仓初始配置!$Z$8)^(('实盘净值数据(iFinD公式)'!$A486-'实盘净值数据(iFinD公式)'!$A$5)/365))</x:f>
        <x:v>#NAME?</x:v>
      </x:c>
      <x:c r="O486" s="152" t="e">
        <x:f>IF(OR(N485="",N486=""),"",N486/N485-1)</x:f>
        <x:v>#NAME?</x:v>
      </x:c>
      <x:c r="P486" s="152" t="e">
        <x:f>IF(N486="","",N486/MAX(N$5:N486)-1)</x:f>
        <x:v>#NAME?</x:v>
      </x:c>
      <x:c r="Q486" s="146" t="e">
        <x:f>IF(OR('实盘净值数据(iFinD公式)'!$A486="",'实盘净值数据(iFinD公式)'!$B486=""),"",分期持仓明细!$AD$25*SUMPRODUCT(分期持仓明细!$B$25:$AA$25,'实盘净值数据(iFinD公式)'!$B486:$AA486/'实盘净值数据(iFinD公式)'!$B$65:$AA$65)*(1-实盘持仓初始配置!$Z$9)^(('实盘净值数据(iFinD公式)'!$A486-'实盘净值数据(iFinD公式)'!$A$8)/365))</x:f>
        <x:v>#NAME?</x:v>
      </x:c>
      <x:c r="R486" s="152" t="e">
        <x:f>IF(OR(Q485="",Q486=""),"",Q486/Q485-1)</x:f>
        <x:v>#NAME?</x:v>
      </x:c>
      <x:c r="S486" s="152" t="e">
        <x:f>IF(Q486="","",Q486/MAX(Q$5:Q486)-1)</x:f>
        <x:v>#NAME?</x:v>
      </x:c>
    </x:row>
    <x:row r="487">
      <x:c r="A487" s="149" t="str">
        <x:f>IF('实盘净值数据(iFinD公式)'!A487="","",'实盘净值数据(iFinD公式)'!A487)</x:f>
      </x:c>
      <x:c r="B487" s="146" t="e">
        <x:f>IF(OR('实盘净值数据(iFinD公式)'!$A487="",'实盘净值数据(iFinD公式)'!$B487=""),"",分期持仓明细!$AD$17*SUMPRODUCT(分期持仓明细!$B$17:$AA$17,'实盘净值数据(iFinD公式)'!$B487:$AA487/'实盘净值数据(iFinD公式)'!$B$20:$AA$20)*(1-实盘持仓初始配置!$Z$4)^(('实盘净值数据(iFinD公式)'!$A487-'实盘净值数据(iFinD公式)'!$A$6)/365))</x:f>
        <x:v>#NAME?</x:v>
      </x:c>
      <x:c r="C487" s="152" t="e">
        <x:f>IF(OR(B486="",B487=""),"",B487/B486-1)</x:f>
        <x:v>#NAME?</x:v>
      </x:c>
      <x:c r="D487" s="152" t="e">
        <x:f>IF(B487="","",B487/MAX(B$5:B487)-1)</x:f>
        <x:v>#NAME?</x:v>
      </x:c>
      <x:c r="E487" s="146" t="e">
        <x:f>IF(OR('实盘净值数据(iFinD公式)'!$A487="",'实盘净值数据(iFinD公式)'!$B487=""),"",分期持仓明细!$AD$18*SUMPRODUCT(分期持仓明细!$B$18:$AA$18,'实盘净值数据(iFinD公式)'!$B487:$AA487/'实盘净值数据(iFinD公式)'!$B$20:$AA$20)*(1-实盘持仓初始配置!$Z$5)^(('实盘净值数据(iFinD公式)'!$A487-'实盘净值数据(iFinD公式)'!$A$5)/365))</x:f>
        <x:v>#NAME?</x:v>
      </x:c>
      <x:c r="F487" s="152" t="e">
        <x:f>IF(OR(E486="",E487=""),"",E487/E486-1)</x:f>
        <x:v>#NAME?</x:v>
      </x:c>
      <x:c r="G487" s="152" t="e">
        <x:f>IF(E487="","",E487/MAX(E$5:E487)-1)</x:f>
        <x:v>#NAME?</x:v>
      </x:c>
      <x:c r="H487" s="146" t="e">
        <x:f>IF(OR('实盘净值数据(iFinD公式)'!$A487="",'实盘净值数据(iFinD公式)'!$B487=""),"",分期持仓明细!$AD$19*SUMPRODUCT(分期持仓明细!$B$19:$AA$19,'实盘净值数据(iFinD公式)'!$B487:$AA487/'实盘净值数据(iFinD公式)'!$B$20:$AA$20)*(1-实盘持仓初始配置!$Z$6)^(('实盘净值数据(iFinD公式)'!$A487-'实盘净值数据(iFinD公式)'!$A$7)/365))</x:f>
        <x:v>#NAME?</x:v>
      </x:c>
      <x:c r="I487" s="152" t="e">
        <x:f>IF(OR(H486="",H487=""),"",H487/H486-1)</x:f>
        <x:v>#NAME?</x:v>
      </x:c>
      <x:c r="J487" s="152" t="e">
        <x:f>IF(H487="","",H487/MAX(H$5:H487)-1)</x:f>
        <x:v>#NAME?</x:v>
      </x:c>
      <x:c r="K487" s="146" t="e">
        <x:f>IF(OR('实盘净值数据(iFinD公式)'!$A487="",'实盘净值数据(iFinD公式)'!$B487=""),"",分期持仓明细!$AD$23*SUMPRODUCT(分期持仓明细!$B$23:$AA$23,'实盘净值数据(iFinD公式)'!$B487:$AA487/'实盘净值数据(iFinD公式)'!$B$65:$AA$65)*(1-实盘持仓初始配置!$Z$7)^(('实盘净值数据(iFinD公式)'!$A487-'实盘净值数据(iFinD公式)'!$A$8)/365))</x:f>
        <x:v>#NAME?</x:v>
      </x:c>
      <x:c r="L487" s="152" t="e">
        <x:f>IF(OR(K486="",K487=""),"",K487/K486-1)</x:f>
        <x:v>#NAME?</x:v>
      </x:c>
      <x:c r="M487" s="152" t="e">
        <x:f>IF(K487="","",K487/MAX(K$5:K487)-1)</x:f>
        <x:v>#NAME?</x:v>
      </x:c>
      <x:c r="N487" s="146" t="e">
        <x:f>IF(OR('实盘净值数据(iFinD公式)'!$A487="",'实盘净值数据(iFinD公式)'!$B487=""),"",分期持仓明细!$AD$24*SUMPRODUCT(分期持仓明细!$B$24:$AA$24,'实盘净值数据(iFinD公式)'!$B487:$AA487/'实盘净值数据(iFinD公式)'!$B$65:$AA$65)*(1-实盘持仓初始配置!$Z$8)^(('实盘净值数据(iFinD公式)'!$A487-'实盘净值数据(iFinD公式)'!$A$5)/365))</x:f>
        <x:v>#NAME?</x:v>
      </x:c>
      <x:c r="O487" s="152" t="e">
        <x:f>IF(OR(N486="",N487=""),"",N487/N486-1)</x:f>
        <x:v>#NAME?</x:v>
      </x:c>
      <x:c r="P487" s="152" t="e">
        <x:f>IF(N487="","",N487/MAX(N$5:N487)-1)</x:f>
        <x:v>#NAME?</x:v>
      </x:c>
      <x:c r="Q487" s="146" t="e">
        <x:f>IF(OR('实盘净值数据(iFinD公式)'!$A487="",'实盘净值数据(iFinD公式)'!$B487=""),"",分期持仓明细!$AD$25*SUMPRODUCT(分期持仓明细!$B$25:$AA$25,'实盘净值数据(iFinD公式)'!$B487:$AA487/'实盘净值数据(iFinD公式)'!$B$65:$AA$65)*(1-实盘持仓初始配置!$Z$9)^(('实盘净值数据(iFinD公式)'!$A487-'实盘净值数据(iFinD公式)'!$A$8)/365))</x:f>
        <x:v>#NAME?</x:v>
      </x:c>
      <x:c r="R487" s="152" t="e">
        <x:f>IF(OR(Q486="",Q487=""),"",Q487/Q486-1)</x:f>
        <x:v>#NAME?</x:v>
      </x:c>
      <x:c r="S487" s="152" t="e">
        <x:f>IF(Q487="","",Q487/MAX(Q$5:Q487)-1)</x:f>
        <x:v>#NAME?</x:v>
      </x:c>
    </x:row>
    <x:row r="488">
      <x:c r="A488" s="149" t="str">
        <x:f>IF('实盘净值数据(iFinD公式)'!A488="","",'实盘净值数据(iFinD公式)'!A488)</x:f>
      </x:c>
      <x:c r="B488" s="146" t="e">
        <x:f>IF(OR('实盘净值数据(iFinD公式)'!$A488="",'实盘净值数据(iFinD公式)'!$B488=""),"",分期持仓明细!$AD$17*SUMPRODUCT(分期持仓明细!$B$17:$AA$17,'实盘净值数据(iFinD公式)'!$B488:$AA488/'实盘净值数据(iFinD公式)'!$B$20:$AA$20)*(1-实盘持仓初始配置!$Z$4)^(('实盘净值数据(iFinD公式)'!$A488-'实盘净值数据(iFinD公式)'!$A$6)/365))</x:f>
        <x:v>#NAME?</x:v>
      </x:c>
      <x:c r="C488" s="152" t="e">
        <x:f>IF(OR(B487="",B488=""),"",B488/B487-1)</x:f>
        <x:v>#NAME?</x:v>
      </x:c>
      <x:c r="D488" s="152" t="e">
        <x:f>IF(B488="","",B488/MAX(B$5:B488)-1)</x:f>
        <x:v>#NAME?</x:v>
      </x:c>
      <x:c r="E488" s="146" t="e">
        <x:f>IF(OR('实盘净值数据(iFinD公式)'!$A488="",'实盘净值数据(iFinD公式)'!$B488=""),"",分期持仓明细!$AD$18*SUMPRODUCT(分期持仓明细!$B$18:$AA$18,'实盘净值数据(iFinD公式)'!$B488:$AA488/'实盘净值数据(iFinD公式)'!$B$20:$AA$20)*(1-实盘持仓初始配置!$Z$5)^(('实盘净值数据(iFinD公式)'!$A488-'实盘净值数据(iFinD公式)'!$A$5)/365))</x:f>
        <x:v>#NAME?</x:v>
      </x:c>
      <x:c r="F488" s="152" t="e">
        <x:f>IF(OR(E487="",E488=""),"",E488/E487-1)</x:f>
        <x:v>#NAME?</x:v>
      </x:c>
      <x:c r="G488" s="152" t="e">
        <x:f>IF(E488="","",E488/MAX(E$5:E488)-1)</x:f>
        <x:v>#NAME?</x:v>
      </x:c>
      <x:c r="H488" s="146" t="e">
        <x:f>IF(OR('实盘净值数据(iFinD公式)'!$A488="",'实盘净值数据(iFinD公式)'!$B488=""),"",分期持仓明细!$AD$19*SUMPRODUCT(分期持仓明细!$B$19:$AA$19,'实盘净值数据(iFinD公式)'!$B488:$AA488/'实盘净值数据(iFinD公式)'!$B$20:$AA$20)*(1-实盘持仓初始配置!$Z$6)^(('实盘净值数据(iFinD公式)'!$A488-'实盘净值数据(iFinD公式)'!$A$7)/365))</x:f>
        <x:v>#NAME?</x:v>
      </x:c>
      <x:c r="I488" s="152" t="e">
        <x:f>IF(OR(H487="",H488=""),"",H488/H487-1)</x:f>
        <x:v>#NAME?</x:v>
      </x:c>
      <x:c r="J488" s="152" t="e">
        <x:f>IF(H488="","",H488/MAX(H$5:H488)-1)</x:f>
        <x:v>#NAME?</x:v>
      </x:c>
      <x:c r="K488" s="146" t="e">
        <x:f>IF(OR('实盘净值数据(iFinD公式)'!$A488="",'实盘净值数据(iFinD公式)'!$B488=""),"",分期持仓明细!$AD$23*SUMPRODUCT(分期持仓明细!$B$23:$AA$23,'实盘净值数据(iFinD公式)'!$B488:$AA488/'实盘净值数据(iFinD公式)'!$B$65:$AA$65)*(1-实盘持仓初始配置!$Z$7)^(('实盘净值数据(iFinD公式)'!$A488-'实盘净值数据(iFinD公式)'!$A$8)/365))</x:f>
        <x:v>#NAME?</x:v>
      </x:c>
      <x:c r="L488" s="152" t="e">
        <x:f>IF(OR(K487="",K488=""),"",K488/K487-1)</x:f>
        <x:v>#NAME?</x:v>
      </x:c>
      <x:c r="M488" s="152" t="e">
        <x:f>IF(K488="","",K488/MAX(K$5:K488)-1)</x:f>
        <x:v>#NAME?</x:v>
      </x:c>
      <x:c r="N488" s="146" t="e">
        <x:f>IF(OR('实盘净值数据(iFinD公式)'!$A488="",'实盘净值数据(iFinD公式)'!$B488=""),"",分期持仓明细!$AD$24*SUMPRODUCT(分期持仓明细!$B$24:$AA$24,'实盘净值数据(iFinD公式)'!$B488:$AA488/'实盘净值数据(iFinD公式)'!$B$65:$AA$65)*(1-实盘持仓初始配置!$Z$8)^(('实盘净值数据(iFinD公式)'!$A488-'实盘净值数据(iFinD公式)'!$A$5)/365))</x:f>
        <x:v>#NAME?</x:v>
      </x:c>
      <x:c r="O488" s="152" t="e">
        <x:f>IF(OR(N487="",N488=""),"",N488/N487-1)</x:f>
        <x:v>#NAME?</x:v>
      </x:c>
      <x:c r="P488" s="152" t="e">
        <x:f>IF(N488="","",N488/MAX(N$5:N488)-1)</x:f>
        <x:v>#NAME?</x:v>
      </x:c>
      <x:c r="Q488" s="146" t="e">
        <x:f>IF(OR('实盘净值数据(iFinD公式)'!$A488="",'实盘净值数据(iFinD公式)'!$B488=""),"",分期持仓明细!$AD$25*SUMPRODUCT(分期持仓明细!$B$25:$AA$25,'实盘净值数据(iFinD公式)'!$B488:$AA488/'实盘净值数据(iFinD公式)'!$B$65:$AA$65)*(1-实盘持仓初始配置!$Z$9)^(('实盘净值数据(iFinD公式)'!$A488-'实盘净值数据(iFinD公式)'!$A$8)/365))</x:f>
        <x:v>#NAME?</x:v>
      </x:c>
      <x:c r="R488" s="152" t="e">
        <x:f>IF(OR(Q487="",Q488=""),"",Q488/Q487-1)</x:f>
        <x:v>#NAME?</x:v>
      </x:c>
      <x:c r="S488" s="152" t="e">
        <x:f>IF(Q488="","",Q488/MAX(Q$5:Q488)-1)</x:f>
        <x:v>#NAME?</x:v>
      </x:c>
    </x:row>
    <x:row r="489">
      <x:c r="A489" s="149" t="str">
        <x:f>IF('实盘净值数据(iFinD公式)'!A489="","",'实盘净值数据(iFinD公式)'!A489)</x:f>
      </x:c>
      <x:c r="B489" s="146" t="e">
        <x:f>IF(OR('实盘净值数据(iFinD公式)'!$A489="",'实盘净值数据(iFinD公式)'!$B489=""),"",分期持仓明细!$AD$17*SUMPRODUCT(分期持仓明细!$B$17:$AA$17,'实盘净值数据(iFinD公式)'!$B489:$AA489/'实盘净值数据(iFinD公式)'!$B$20:$AA$20)*(1-实盘持仓初始配置!$Z$4)^(('实盘净值数据(iFinD公式)'!$A489-'实盘净值数据(iFinD公式)'!$A$6)/365))</x:f>
        <x:v>#NAME?</x:v>
      </x:c>
      <x:c r="C489" s="152" t="e">
        <x:f>IF(OR(B488="",B489=""),"",B489/B488-1)</x:f>
        <x:v>#NAME?</x:v>
      </x:c>
      <x:c r="D489" s="152" t="e">
        <x:f>IF(B489="","",B489/MAX(B$5:B489)-1)</x:f>
        <x:v>#NAME?</x:v>
      </x:c>
      <x:c r="E489" s="146" t="e">
        <x:f>IF(OR('实盘净值数据(iFinD公式)'!$A489="",'实盘净值数据(iFinD公式)'!$B489=""),"",分期持仓明细!$AD$18*SUMPRODUCT(分期持仓明细!$B$18:$AA$18,'实盘净值数据(iFinD公式)'!$B489:$AA489/'实盘净值数据(iFinD公式)'!$B$20:$AA$20)*(1-实盘持仓初始配置!$Z$5)^(('实盘净值数据(iFinD公式)'!$A489-'实盘净值数据(iFinD公式)'!$A$5)/365))</x:f>
        <x:v>#NAME?</x:v>
      </x:c>
      <x:c r="F489" s="152" t="e">
        <x:f>IF(OR(E488="",E489=""),"",E489/E488-1)</x:f>
        <x:v>#NAME?</x:v>
      </x:c>
      <x:c r="G489" s="152" t="e">
        <x:f>IF(E489="","",E489/MAX(E$5:E489)-1)</x:f>
        <x:v>#NAME?</x:v>
      </x:c>
      <x:c r="H489" s="146" t="e">
        <x:f>IF(OR('实盘净值数据(iFinD公式)'!$A489="",'实盘净值数据(iFinD公式)'!$B489=""),"",分期持仓明细!$AD$19*SUMPRODUCT(分期持仓明细!$B$19:$AA$19,'实盘净值数据(iFinD公式)'!$B489:$AA489/'实盘净值数据(iFinD公式)'!$B$20:$AA$20)*(1-实盘持仓初始配置!$Z$6)^(('实盘净值数据(iFinD公式)'!$A489-'实盘净值数据(iFinD公式)'!$A$7)/365))</x:f>
        <x:v>#NAME?</x:v>
      </x:c>
      <x:c r="I489" s="152" t="e">
        <x:f>IF(OR(H488="",H489=""),"",H489/H488-1)</x:f>
        <x:v>#NAME?</x:v>
      </x:c>
      <x:c r="J489" s="152" t="e">
        <x:f>IF(H489="","",H489/MAX(H$5:H489)-1)</x:f>
        <x:v>#NAME?</x:v>
      </x:c>
      <x:c r="K489" s="146" t="e">
        <x:f>IF(OR('实盘净值数据(iFinD公式)'!$A489="",'实盘净值数据(iFinD公式)'!$B489=""),"",分期持仓明细!$AD$23*SUMPRODUCT(分期持仓明细!$B$23:$AA$23,'实盘净值数据(iFinD公式)'!$B489:$AA489/'实盘净值数据(iFinD公式)'!$B$65:$AA$65)*(1-实盘持仓初始配置!$Z$7)^(('实盘净值数据(iFinD公式)'!$A489-'实盘净值数据(iFinD公式)'!$A$8)/365))</x:f>
        <x:v>#NAME?</x:v>
      </x:c>
      <x:c r="L489" s="152" t="e">
        <x:f>IF(OR(K488="",K489=""),"",K489/K488-1)</x:f>
        <x:v>#NAME?</x:v>
      </x:c>
      <x:c r="M489" s="152" t="e">
        <x:f>IF(K489="","",K489/MAX(K$5:K489)-1)</x:f>
        <x:v>#NAME?</x:v>
      </x:c>
      <x:c r="N489" s="146" t="e">
        <x:f>IF(OR('实盘净值数据(iFinD公式)'!$A489="",'实盘净值数据(iFinD公式)'!$B489=""),"",分期持仓明细!$AD$24*SUMPRODUCT(分期持仓明细!$B$24:$AA$24,'实盘净值数据(iFinD公式)'!$B489:$AA489/'实盘净值数据(iFinD公式)'!$B$65:$AA$65)*(1-实盘持仓初始配置!$Z$8)^(('实盘净值数据(iFinD公式)'!$A489-'实盘净值数据(iFinD公式)'!$A$5)/365))</x:f>
        <x:v>#NAME?</x:v>
      </x:c>
      <x:c r="O489" s="152" t="e">
        <x:f>IF(OR(N488="",N489=""),"",N489/N488-1)</x:f>
        <x:v>#NAME?</x:v>
      </x:c>
      <x:c r="P489" s="152" t="e">
        <x:f>IF(N489="","",N489/MAX(N$5:N489)-1)</x:f>
        <x:v>#NAME?</x:v>
      </x:c>
      <x:c r="Q489" s="146" t="e">
        <x:f>IF(OR('实盘净值数据(iFinD公式)'!$A489="",'实盘净值数据(iFinD公式)'!$B489=""),"",分期持仓明细!$AD$25*SUMPRODUCT(分期持仓明细!$B$25:$AA$25,'实盘净值数据(iFinD公式)'!$B489:$AA489/'实盘净值数据(iFinD公式)'!$B$65:$AA$65)*(1-实盘持仓初始配置!$Z$9)^(('实盘净值数据(iFinD公式)'!$A489-'实盘净值数据(iFinD公式)'!$A$8)/365))</x:f>
        <x:v>#NAME?</x:v>
      </x:c>
      <x:c r="R489" s="152" t="e">
        <x:f>IF(OR(Q488="",Q489=""),"",Q489/Q488-1)</x:f>
        <x:v>#NAME?</x:v>
      </x:c>
      <x:c r="S489" s="152" t="e">
        <x:f>IF(Q489="","",Q489/MAX(Q$5:Q489)-1)</x:f>
        <x:v>#NAME?</x:v>
      </x:c>
    </x:row>
    <x:row r="490">
      <x:c r="A490" s="149" t="str">
        <x:f>IF('实盘净值数据(iFinD公式)'!A490="","",'实盘净值数据(iFinD公式)'!A490)</x:f>
      </x:c>
      <x:c r="B490" s="146" t="e">
        <x:f>IF(OR('实盘净值数据(iFinD公式)'!$A490="",'实盘净值数据(iFinD公式)'!$B490=""),"",分期持仓明细!$AD$17*SUMPRODUCT(分期持仓明细!$B$17:$AA$17,'实盘净值数据(iFinD公式)'!$B490:$AA490/'实盘净值数据(iFinD公式)'!$B$20:$AA$20)*(1-实盘持仓初始配置!$Z$4)^(('实盘净值数据(iFinD公式)'!$A490-'实盘净值数据(iFinD公式)'!$A$6)/365))</x:f>
        <x:v>#NAME?</x:v>
      </x:c>
      <x:c r="C490" s="152" t="e">
        <x:f>IF(OR(B489="",B490=""),"",B490/B489-1)</x:f>
        <x:v>#NAME?</x:v>
      </x:c>
      <x:c r="D490" s="152" t="e">
        <x:f>IF(B490="","",B490/MAX(B$5:B490)-1)</x:f>
        <x:v>#NAME?</x:v>
      </x:c>
      <x:c r="E490" s="146" t="e">
        <x:f>IF(OR('实盘净值数据(iFinD公式)'!$A490="",'实盘净值数据(iFinD公式)'!$B490=""),"",分期持仓明细!$AD$18*SUMPRODUCT(分期持仓明细!$B$18:$AA$18,'实盘净值数据(iFinD公式)'!$B490:$AA490/'实盘净值数据(iFinD公式)'!$B$20:$AA$20)*(1-实盘持仓初始配置!$Z$5)^(('实盘净值数据(iFinD公式)'!$A490-'实盘净值数据(iFinD公式)'!$A$5)/365))</x:f>
        <x:v>#NAME?</x:v>
      </x:c>
      <x:c r="F490" s="152" t="e">
        <x:f>IF(OR(E489="",E490=""),"",E490/E489-1)</x:f>
        <x:v>#NAME?</x:v>
      </x:c>
      <x:c r="G490" s="152" t="e">
        <x:f>IF(E490="","",E490/MAX(E$5:E490)-1)</x:f>
        <x:v>#NAME?</x:v>
      </x:c>
      <x:c r="H490" s="146" t="e">
        <x:f>IF(OR('实盘净值数据(iFinD公式)'!$A490="",'实盘净值数据(iFinD公式)'!$B490=""),"",分期持仓明细!$AD$19*SUMPRODUCT(分期持仓明细!$B$19:$AA$19,'实盘净值数据(iFinD公式)'!$B490:$AA490/'实盘净值数据(iFinD公式)'!$B$20:$AA$20)*(1-实盘持仓初始配置!$Z$6)^(('实盘净值数据(iFinD公式)'!$A490-'实盘净值数据(iFinD公式)'!$A$7)/365))</x:f>
        <x:v>#NAME?</x:v>
      </x:c>
      <x:c r="I490" s="152" t="e">
        <x:f>IF(OR(H489="",H490=""),"",H490/H489-1)</x:f>
        <x:v>#NAME?</x:v>
      </x:c>
      <x:c r="J490" s="152" t="e">
        <x:f>IF(H490="","",H490/MAX(H$5:H490)-1)</x:f>
        <x:v>#NAME?</x:v>
      </x:c>
      <x:c r="K490" s="146" t="e">
        <x:f>IF(OR('实盘净值数据(iFinD公式)'!$A490="",'实盘净值数据(iFinD公式)'!$B490=""),"",分期持仓明细!$AD$23*SUMPRODUCT(分期持仓明细!$B$23:$AA$23,'实盘净值数据(iFinD公式)'!$B490:$AA490/'实盘净值数据(iFinD公式)'!$B$65:$AA$65)*(1-实盘持仓初始配置!$Z$7)^(('实盘净值数据(iFinD公式)'!$A490-'实盘净值数据(iFinD公式)'!$A$8)/365))</x:f>
        <x:v>#NAME?</x:v>
      </x:c>
      <x:c r="L490" s="152" t="e">
        <x:f>IF(OR(K489="",K490=""),"",K490/K489-1)</x:f>
        <x:v>#NAME?</x:v>
      </x:c>
      <x:c r="M490" s="152" t="e">
        <x:f>IF(K490="","",K490/MAX(K$5:K490)-1)</x:f>
        <x:v>#NAME?</x:v>
      </x:c>
      <x:c r="N490" s="146" t="e">
        <x:f>IF(OR('实盘净值数据(iFinD公式)'!$A490="",'实盘净值数据(iFinD公式)'!$B490=""),"",分期持仓明细!$AD$24*SUMPRODUCT(分期持仓明细!$B$24:$AA$24,'实盘净值数据(iFinD公式)'!$B490:$AA490/'实盘净值数据(iFinD公式)'!$B$65:$AA$65)*(1-实盘持仓初始配置!$Z$8)^(('实盘净值数据(iFinD公式)'!$A490-'实盘净值数据(iFinD公式)'!$A$5)/365))</x:f>
        <x:v>#NAME?</x:v>
      </x:c>
      <x:c r="O490" s="152" t="e">
        <x:f>IF(OR(N489="",N490=""),"",N490/N489-1)</x:f>
        <x:v>#NAME?</x:v>
      </x:c>
      <x:c r="P490" s="152" t="e">
        <x:f>IF(N490="","",N490/MAX(N$5:N490)-1)</x:f>
        <x:v>#NAME?</x:v>
      </x:c>
      <x:c r="Q490" s="146" t="e">
        <x:f>IF(OR('实盘净值数据(iFinD公式)'!$A490="",'实盘净值数据(iFinD公式)'!$B490=""),"",分期持仓明细!$AD$25*SUMPRODUCT(分期持仓明细!$B$25:$AA$25,'实盘净值数据(iFinD公式)'!$B490:$AA490/'实盘净值数据(iFinD公式)'!$B$65:$AA$65)*(1-实盘持仓初始配置!$Z$9)^(('实盘净值数据(iFinD公式)'!$A490-'实盘净值数据(iFinD公式)'!$A$8)/365))</x:f>
        <x:v>#NAME?</x:v>
      </x:c>
      <x:c r="R490" s="152" t="e">
        <x:f>IF(OR(Q489="",Q490=""),"",Q490/Q489-1)</x:f>
        <x:v>#NAME?</x:v>
      </x:c>
      <x:c r="S490" s="152" t="e">
        <x:f>IF(Q490="","",Q490/MAX(Q$5:Q490)-1)</x:f>
        <x:v>#NAME?</x:v>
      </x:c>
    </x:row>
    <x:row r="491">
      <x:c r="A491" s="149" t="str">
        <x:f>IF('实盘净值数据(iFinD公式)'!A491="","",'实盘净值数据(iFinD公式)'!A491)</x:f>
      </x:c>
      <x:c r="B491" s="146" t="e">
        <x:f>IF(OR('实盘净值数据(iFinD公式)'!$A491="",'实盘净值数据(iFinD公式)'!$B491=""),"",分期持仓明细!$AD$17*SUMPRODUCT(分期持仓明细!$B$17:$AA$17,'实盘净值数据(iFinD公式)'!$B491:$AA491/'实盘净值数据(iFinD公式)'!$B$20:$AA$20)*(1-实盘持仓初始配置!$Z$4)^(('实盘净值数据(iFinD公式)'!$A491-'实盘净值数据(iFinD公式)'!$A$6)/365))</x:f>
        <x:v>#NAME?</x:v>
      </x:c>
      <x:c r="C491" s="152" t="e">
        <x:f>IF(OR(B490="",B491=""),"",B491/B490-1)</x:f>
        <x:v>#NAME?</x:v>
      </x:c>
      <x:c r="D491" s="152" t="e">
        <x:f>IF(B491="","",B491/MAX(B$5:B491)-1)</x:f>
        <x:v>#NAME?</x:v>
      </x:c>
      <x:c r="E491" s="146" t="e">
        <x:f>IF(OR('实盘净值数据(iFinD公式)'!$A491="",'实盘净值数据(iFinD公式)'!$B491=""),"",分期持仓明细!$AD$18*SUMPRODUCT(分期持仓明细!$B$18:$AA$18,'实盘净值数据(iFinD公式)'!$B491:$AA491/'实盘净值数据(iFinD公式)'!$B$20:$AA$20)*(1-实盘持仓初始配置!$Z$5)^(('实盘净值数据(iFinD公式)'!$A491-'实盘净值数据(iFinD公式)'!$A$5)/365))</x:f>
        <x:v>#NAME?</x:v>
      </x:c>
      <x:c r="F491" s="152" t="e">
        <x:f>IF(OR(E490="",E491=""),"",E491/E490-1)</x:f>
        <x:v>#NAME?</x:v>
      </x:c>
      <x:c r="G491" s="152" t="e">
        <x:f>IF(E491="","",E491/MAX(E$5:E491)-1)</x:f>
        <x:v>#NAME?</x:v>
      </x:c>
      <x:c r="H491" s="146" t="e">
        <x:f>IF(OR('实盘净值数据(iFinD公式)'!$A491="",'实盘净值数据(iFinD公式)'!$B491=""),"",分期持仓明细!$AD$19*SUMPRODUCT(分期持仓明细!$B$19:$AA$19,'实盘净值数据(iFinD公式)'!$B491:$AA491/'实盘净值数据(iFinD公式)'!$B$20:$AA$20)*(1-实盘持仓初始配置!$Z$6)^(('实盘净值数据(iFinD公式)'!$A491-'实盘净值数据(iFinD公式)'!$A$7)/365))</x:f>
        <x:v>#NAME?</x:v>
      </x:c>
      <x:c r="I491" s="152" t="e">
        <x:f>IF(OR(H490="",H491=""),"",H491/H490-1)</x:f>
        <x:v>#NAME?</x:v>
      </x:c>
      <x:c r="J491" s="152" t="e">
        <x:f>IF(H491="","",H491/MAX(H$5:H491)-1)</x:f>
        <x:v>#NAME?</x:v>
      </x:c>
      <x:c r="K491" s="146" t="e">
        <x:f>IF(OR('实盘净值数据(iFinD公式)'!$A491="",'实盘净值数据(iFinD公式)'!$B491=""),"",分期持仓明细!$AD$23*SUMPRODUCT(分期持仓明细!$B$23:$AA$23,'实盘净值数据(iFinD公式)'!$B491:$AA491/'实盘净值数据(iFinD公式)'!$B$65:$AA$65)*(1-实盘持仓初始配置!$Z$7)^(('实盘净值数据(iFinD公式)'!$A491-'实盘净值数据(iFinD公式)'!$A$8)/365))</x:f>
        <x:v>#NAME?</x:v>
      </x:c>
      <x:c r="L491" s="152" t="e">
        <x:f>IF(OR(K490="",K491=""),"",K491/K490-1)</x:f>
        <x:v>#NAME?</x:v>
      </x:c>
      <x:c r="M491" s="152" t="e">
        <x:f>IF(K491="","",K491/MAX(K$5:K491)-1)</x:f>
        <x:v>#NAME?</x:v>
      </x:c>
      <x:c r="N491" s="146" t="e">
        <x:f>IF(OR('实盘净值数据(iFinD公式)'!$A491="",'实盘净值数据(iFinD公式)'!$B491=""),"",分期持仓明细!$AD$24*SUMPRODUCT(分期持仓明细!$B$24:$AA$24,'实盘净值数据(iFinD公式)'!$B491:$AA491/'实盘净值数据(iFinD公式)'!$B$65:$AA$65)*(1-实盘持仓初始配置!$Z$8)^(('实盘净值数据(iFinD公式)'!$A491-'实盘净值数据(iFinD公式)'!$A$5)/365))</x:f>
        <x:v>#NAME?</x:v>
      </x:c>
      <x:c r="O491" s="152" t="e">
        <x:f>IF(OR(N490="",N491=""),"",N491/N490-1)</x:f>
        <x:v>#NAME?</x:v>
      </x:c>
      <x:c r="P491" s="152" t="e">
        <x:f>IF(N491="","",N491/MAX(N$5:N491)-1)</x:f>
        <x:v>#NAME?</x:v>
      </x:c>
      <x:c r="Q491" s="146" t="e">
        <x:f>IF(OR('实盘净值数据(iFinD公式)'!$A491="",'实盘净值数据(iFinD公式)'!$B491=""),"",分期持仓明细!$AD$25*SUMPRODUCT(分期持仓明细!$B$25:$AA$25,'实盘净值数据(iFinD公式)'!$B491:$AA491/'实盘净值数据(iFinD公式)'!$B$65:$AA$65)*(1-实盘持仓初始配置!$Z$9)^(('实盘净值数据(iFinD公式)'!$A491-'实盘净值数据(iFinD公式)'!$A$8)/365))</x:f>
        <x:v>#NAME?</x:v>
      </x:c>
      <x:c r="R491" s="152" t="e">
        <x:f>IF(OR(Q490="",Q491=""),"",Q491/Q490-1)</x:f>
        <x:v>#NAME?</x:v>
      </x:c>
      <x:c r="S491" s="152" t="e">
        <x:f>IF(Q491="","",Q491/MAX(Q$5:Q491)-1)</x:f>
        <x:v>#NAME?</x:v>
      </x:c>
    </x:row>
    <x:row r="492">
      <x:c r="A492" s="149" t="str">
        <x:f>IF('实盘净值数据(iFinD公式)'!A492="","",'实盘净值数据(iFinD公式)'!A492)</x:f>
      </x:c>
      <x:c r="B492" s="146" t="e">
        <x:f>IF(OR('实盘净值数据(iFinD公式)'!$A492="",'实盘净值数据(iFinD公式)'!$B492=""),"",分期持仓明细!$AD$17*SUMPRODUCT(分期持仓明细!$B$17:$AA$17,'实盘净值数据(iFinD公式)'!$B492:$AA492/'实盘净值数据(iFinD公式)'!$B$20:$AA$20)*(1-实盘持仓初始配置!$Z$4)^(('实盘净值数据(iFinD公式)'!$A492-'实盘净值数据(iFinD公式)'!$A$6)/365))</x:f>
        <x:v>#NAME?</x:v>
      </x:c>
      <x:c r="C492" s="152" t="e">
        <x:f>IF(OR(B491="",B492=""),"",B492/B491-1)</x:f>
        <x:v>#NAME?</x:v>
      </x:c>
      <x:c r="D492" s="152" t="e">
        <x:f>IF(B492="","",B492/MAX(B$5:B492)-1)</x:f>
        <x:v>#NAME?</x:v>
      </x:c>
      <x:c r="E492" s="146" t="e">
        <x:f>IF(OR('实盘净值数据(iFinD公式)'!$A492="",'实盘净值数据(iFinD公式)'!$B492=""),"",分期持仓明细!$AD$18*SUMPRODUCT(分期持仓明细!$B$18:$AA$18,'实盘净值数据(iFinD公式)'!$B492:$AA492/'实盘净值数据(iFinD公式)'!$B$20:$AA$20)*(1-实盘持仓初始配置!$Z$5)^(('实盘净值数据(iFinD公式)'!$A492-'实盘净值数据(iFinD公式)'!$A$5)/365))</x:f>
        <x:v>#NAME?</x:v>
      </x:c>
      <x:c r="F492" s="152" t="e">
        <x:f>IF(OR(E491="",E492=""),"",E492/E491-1)</x:f>
        <x:v>#NAME?</x:v>
      </x:c>
      <x:c r="G492" s="152" t="e">
        <x:f>IF(E492="","",E492/MAX(E$5:E492)-1)</x:f>
        <x:v>#NAME?</x:v>
      </x:c>
      <x:c r="H492" s="146" t="e">
        <x:f>IF(OR('实盘净值数据(iFinD公式)'!$A492="",'实盘净值数据(iFinD公式)'!$B492=""),"",分期持仓明细!$AD$19*SUMPRODUCT(分期持仓明细!$B$19:$AA$19,'实盘净值数据(iFinD公式)'!$B492:$AA492/'实盘净值数据(iFinD公式)'!$B$20:$AA$20)*(1-实盘持仓初始配置!$Z$6)^(('实盘净值数据(iFinD公式)'!$A492-'实盘净值数据(iFinD公式)'!$A$7)/365))</x:f>
        <x:v>#NAME?</x:v>
      </x:c>
      <x:c r="I492" s="152" t="e">
        <x:f>IF(OR(H491="",H492=""),"",H492/H491-1)</x:f>
        <x:v>#NAME?</x:v>
      </x:c>
      <x:c r="J492" s="152" t="e">
        <x:f>IF(H492="","",H492/MAX(H$5:H492)-1)</x:f>
        <x:v>#NAME?</x:v>
      </x:c>
      <x:c r="K492" s="146" t="e">
        <x:f>IF(OR('实盘净值数据(iFinD公式)'!$A492="",'实盘净值数据(iFinD公式)'!$B492=""),"",分期持仓明细!$AD$23*SUMPRODUCT(分期持仓明细!$B$23:$AA$23,'实盘净值数据(iFinD公式)'!$B492:$AA492/'实盘净值数据(iFinD公式)'!$B$65:$AA$65)*(1-实盘持仓初始配置!$Z$7)^(('实盘净值数据(iFinD公式)'!$A492-'实盘净值数据(iFinD公式)'!$A$8)/365))</x:f>
        <x:v>#NAME?</x:v>
      </x:c>
      <x:c r="L492" s="152" t="e">
        <x:f>IF(OR(K491="",K492=""),"",K492/K491-1)</x:f>
        <x:v>#NAME?</x:v>
      </x:c>
      <x:c r="M492" s="152" t="e">
        <x:f>IF(K492="","",K492/MAX(K$5:K492)-1)</x:f>
        <x:v>#NAME?</x:v>
      </x:c>
      <x:c r="N492" s="146" t="e">
        <x:f>IF(OR('实盘净值数据(iFinD公式)'!$A492="",'实盘净值数据(iFinD公式)'!$B492=""),"",分期持仓明细!$AD$24*SUMPRODUCT(分期持仓明细!$B$24:$AA$24,'实盘净值数据(iFinD公式)'!$B492:$AA492/'实盘净值数据(iFinD公式)'!$B$65:$AA$65)*(1-实盘持仓初始配置!$Z$8)^(('实盘净值数据(iFinD公式)'!$A492-'实盘净值数据(iFinD公式)'!$A$5)/365))</x:f>
        <x:v>#NAME?</x:v>
      </x:c>
      <x:c r="O492" s="152" t="e">
        <x:f>IF(OR(N491="",N492=""),"",N492/N491-1)</x:f>
        <x:v>#NAME?</x:v>
      </x:c>
      <x:c r="P492" s="152" t="e">
        <x:f>IF(N492="","",N492/MAX(N$5:N492)-1)</x:f>
        <x:v>#NAME?</x:v>
      </x:c>
      <x:c r="Q492" s="146" t="e">
        <x:f>IF(OR('实盘净值数据(iFinD公式)'!$A492="",'实盘净值数据(iFinD公式)'!$B492=""),"",分期持仓明细!$AD$25*SUMPRODUCT(分期持仓明细!$B$25:$AA$25,'实盘净值数据(iFinD公式)'!$B492:$AA492/'实盘净值数据(iFinD公式)'!$B$65:$AA$65)*(1-实盘持仓初始配置!$Z$9)^(('实盘净值数据(iFinD公式)'!$A492-'实盘净值数据(iFinD公式)'!$A$8)/365))</x:f>
        <x:v>#NAME?</x:v>
      </x:c>
      <x:c r="R492" s="152" t="e">
        <x:f>IF(OR(Q491="",Q492=""),"",Q492/Q491-1)</x:f>
        <x:v>#NAME?</x:v>
      </x:c>
      <x:c r="S492" s="152" t="e">
        <x:f>IF(Q492="","",Q492/MAX(Q$5:Q492)-1)</x:f>
        <x:v>#NAME?</x:v>
      </x:c>
    </x:row>
    <x:row r="493">
      <x:c r="A493" s="149" t="str">
        <x:f>IF('实盘净值数据(iFinD公式)'!A493="","",'实盘净值数据(iFinD公式)'!A493)</x:f>
      </x:c>
      <x:c r="B493" s="146" t="e">
        <x:f>IF(OR('实盘净值数据(iFinD公式)'!$A493="",'实盘净值数据(iFinD公式)'!$B493=""),"",分期持仓明细!$AD$17*SUMPRODUCT(分期持仓明细!$B$17:$AA$17,'实盘净值数据(iFinD公式)'!$B493:$AA493/'实盘净值数据(iFinD公式)'!$B$20:$AA$20)*(1-实盘持仓初始配置!$Z$4)^(('实盘净值数据(iFinD公式)'!$A493-'实盘净值数据(iFinD公式)'!$A$6)/365))</x:f>
        <x:v>#NAME?</x:v>
      </x:c>
      <x:c r="C493" s="152" t="e">
        <x:f>IF(OR(B492="",B493=""),"",B493/B492-1)</x:f>
        <x:v>#NAME?</x:v>
      </x:c>
      <x:c r="D493" s="152" t="e">
        <x:f>IF(B493="","",B493/MAX(B$5:B493)-1)</x:f>
        <x:v>#NAME?</x:v>
      </x:c>
      <x:c r="E493" s="146" t="e">
        <x:f>IF(OR('实盘净值数据(iFinD公式)'!$A493="",'实盘净值数据(iFinD公式)'!$B493=""),"",分期持仓明细!$AD$18*SUMPRODUCT(分期持仓明细!$B$18:$AA$18,'实盘净值数据(iFinD公式)'!$B493:$AA493/'实盘净值数据(iFinD公式)'!$B$20:$AA$20)*(1-实盘持仓初始配置!$Z$5)^(('实盘净值数据(iFinD公式)'!$A493-'实盘净值数据(iFinD公式)'!$A$5)/365))</x:f>
        <x:v>#NAME?</x:v>
      </x:c>
      <x:c r="F493" s="152" t="e">
        <x:f>IF(OR(E492="",E493=""),"",E493/E492-1)</x:f>
        <x:v>#NAME?</x:v>
      </x:c>
      <x:c r="G493" s="152" t="e">
        <x:f>IF(E493="","",E493/MAX(E$5:E493)-1)</x:f>
        <x:v>#NAME?</x:v>
      </x:c>
      <x:c r="H493" s="146" t="e">
        <x:f>IF(OR('实盘净值数据(iFinD公式)'!$A493="",'实盘净值数据(iFinD公式)'!$B493=""),"",分期持仓明细!$AD$19*SUMPRODUCT(分期持仓明细!$B$19:$AA$19,'实盘净值数据(iFinD公式)'!$B493:$AA493/'实盘净值数据(iFinD公式)'!$B$20:$AA$20)*(1-实盘持仓初始配置!$Z$6)^(('实盘净值数据(iFinD公式)'!$A493-'实盘净值数据(iFinD公式)'!$A$7)/365))</x:f>
        <x:v>#NAME?</x:v>
      </x:c>
      <x:c r="I493" s="152" t="e">
        <x:f>IF(OR(H492="",H493=""),"",H493/H492-1)</x:f>
        <x:v>#NAME?</x:v>
      </x:c>
      <x:c r="J493" s="152" t="e">
        <x:f>IF(H493="","",H493/MAX(H$5:H493)-1)</x:f>
        <x:v>#NAME?</x:v>
      </x:c>
      <x:c r="K493" s="146" t="e">
        <x:f>IF(OR('实盘净值数据(iFinD公式)'!$A493="",'实盘净值数据(iFinD公式)'!$B493=""),"",分期持仓明细!$AD$23*SUMPRODUCT(分期持仓明细!$B$23:$AA$23,'实盘净值数据(iFinD公式)'!$B493:$AA493/'实盘净值数据(iFinD公式)'!$B$65:$AA$65)*(1-实盘持仓初始配置!$Z$7)^(('实盘净值数据(iFinD公式)'!$A493-'实盘净值数据(iFinD公式)'!$A$8)/365))</x:f>
        <x:v>#NAME?</x:v>
      </x:c>
      <x:c r="L493" s="152" t="e">
        <x:f>IF(OR(K492="",K493=""),"",K493/K492-1)</x:f>
        <x:v>#NAME?</x:v>
      </x:c>
      <x:c r="M493" s="152" t="e">
        <x:f>IF(K493="","",K493/MAX(K$5:K493)-1)</x:f>
        <x:v>#NAME?</x:v>
      </x:c>
      <x:c r="N493" s="146" t="e">
        <x:f>IF(OR('实盘净值数据(iFinD公式)'!$A493="",'实盘净值数据(iFinD公式)'!$B493=""),"",分期持仓明细!$AD$24*SUMPRODUCT(分期持仓明细!$B$24:$AA$24,'实盘净值数据(iFinD公式)'!$B493:$AA493/'实盘净值数据(iFinD公式)'!$B$65:$AA$65)*(1-实盘持仓初始配置!$Z$8)^(('实盘净值数据(iFinD公式)'!$A493-'实盘净值数据(iFinD公式)'!$A$5)/365))</x:f>
        <x:v>#NAME?</x:v>
      </x:c>
      <x:c r="O493" s="152" t="e">
        <x:f>IF(OR(N492="",N493=""),"",N493/N492-1)</x:f>
        <x:v>#NAME?</x:v>
      </x:c>
      <x:c r="P493" s="152" t="e">
        <x:f>IF(N493="","",N493/MAX(N$5:N493)-1)</x:f>
        <x:v>#NAME?</x:v>
      </x:c>
      <x:c r="Q493" s="146" t="e">
        <x:f>IF(OR('实盘净值数据(iFinD公式)'!$A493="",'实盘净值数据(iFinD公式)'!$B493=""),"",分期持仓明细!$AD$25*SUMPRODUCT(分期持仓明细!$B$25:$AA$25,'实盘净值数据(iFinD公式)'!$B493:$AA493/'实盘净值数据(iFinD公式)'!$B$65:$AA$65)*(1-实盘持仓初始配置!$Z$9)^(('实盘净值数据(iFinD公式)'!$A493-'实盘净值数据(iFinD公式)'!$A$8)/365))</x:f>
        <x:v>#NAME?</x:v>
      </x:c>
      <x:c r="R493" s="152" t="e">
        <x:f>IF(OR(Q492="",Q493=""),"",Q493/Q492-1)</x:f>
        <x:v>#NAME?</x:v>
      </x:c>
      <x:c r="S493" s="152" t="e">
        <x:f>IF(Q493="","",Q493/MAX(Q$5:Q493)-1)</x:f>
        <x:v>#NAME?</x:v>
      </x:c>
    </x:row>
    <x:row r="494">
      <x:c r="A494" s="149" t="str">
        <x:f>IF('实盘净值数据(iFinD公式)'!A494="","",'实盘净值数据(iFinD公式)'!A494)</x:f>
      </x:c>
      <x:c r="B494" s="146" t="e">
        <x:f>IF(OR('实盘净值数据(iFinD公式)'!$A494="",'实盘净值数据(iFinD公式)'!$B494=""),"",分期持仓明细!$AD$17*SUMPRODUCT(分期持仓明细!$B$17:$AA$17,'实盘净值数据(iFinD公式)'!$B494:$AA494/'实盘净值数据(iFinD公式)'!$B$20:$AA$20)*(1-实盘持仓初始配置!$Z$4)^(('实盘净值数据(iFinD公式)'!$A494-'实盘净值数据(iFinD公式)'!$A$6)/365))</x:f>
        <x:v>#NAME?</x:v>
      </x:c>
      <x:c r="C494" s="152" t="e">
        <x:f>IF(OR(B493="",B494=""),"",B494/B493-1)</x:f>
        <x:v>#NAME?</x:v>
      </x:c>
      <x:c r="D494" s="152" t="e">
        <x:f>IF(B494="","",B494/MAX(B$5:B494)-1)</x:f>
        <x:v>#NAME?</x:v>
      </x:c>
      <x:c r="E494" s="146" t="e">
        <x:f>IF(OR('实盘净值数据(iFinD公式)'!$A494="",'实盘净值数据(iFinD公式)'!$B494=""),"",分期持仓明细!$AD$18*SUMPRODUCT(分期持仓明细!$B$18:$AA$18,'实盘净值数据(iFinD公式)'!$B494:$AA494/'实盘净值数据(iFinD公式)'!$B$20:$AA$20)*(1-实盘持仓初始配置!$Z$5)^(('实盘净值数据(iFinD公式)'!$A494-'实盘净值数据(iFinD公式)'!$A$5)/365))</x:f>
        <x:v>#NAME?</x:v>
      </x:c>
      <x:c r="F494" s="152" t="e">
        <x:f>IF(OR(E493="",E494=""),"",E494/E493-1)</x:f>
        <x:v>#NAME?</x:v>
      </x:c>
      <x:c r="G494" s="152" t="e">
        <x:f>IF(E494="","",E494/MAX(E$5:E494)-1)</x:f>
        <x:v>#NAME?</x:v>
      </x:c>
      <x:c r="H494" s="146" t="e">
        <x:f>IF(OR('实盘净值数据(iFinD公式)'!$A494="",'实盘净值数据(iFinD公式)'!$B494=""),"",分期持仓明细!$AD$19*SUMPRODUCT(分期持仓明细!$B$19:$AA$19,'实盘净值数据(iFinD公式)'!$B494:$AA494/'实盘净值数据(iFinD公式)'!$B$20:$AA$20)*(1-实盘持仓初始配置!$Z$6)^(('实盘净值数据(iFinD公式)'!$A494-'实盘净值数据(iFinD公式)'!$A$7)/365))</x:f>
        <x:v>#NAME?</x:v>
      </x:c>
      <x:c r="I494" s="152" t="e">
        <x:f>IF(OR(H493="",H494=""),"",H494/H493-1)</x:f>
        <x:v>#NAME?</x:v>
      </x:c>
      <x:c r="J494" s="152" t="e">
        <x:f>IF(H494="","",H494/MAX(H$5:H494)-1)</x:f>
        <x:v>#NAME?</x:v>
      </x:c>
      <x:c r="K494" s="146" t="e">
        <x:f>IF(OR('实盘净值数据(iFinD公式)'!$A494="",'实盘净值数据(iFinD公式)'!$B494=""),"",分期持仓明细!$AD$23*SUMPRODUCT(分期持仓明细!$B$23:$AA$23,'实盘净值数据(iFinD公式)'!$B494:$AA494/'实盘净值数据(iFinD公式)'!$B$65:$AA$65)*(1-实盘持仓初始配置!$Z$7)^(('实盘净值数据(iFinD公式)'!$A494-'实盘净值数据(iFinD公式)'!$A$8)/365))</x:f>
        <x:v>#NAME?</x:v>
      </x:c>
      <x:c r="L494" s="152" t="e">
        <x:f>IF(OR(K493="",K494=""),"",K494/K493-1)</x:f>
        <x:v>#NAME?</x:v>
      </x:c>
      <x:c r="M494" s="152" t="e">
        <x:f>IF(K494="","",K494/MAX(K$5:K494)-1)</x:f>
        <x:v>#NAME?</x:v>
      </x:c>
      <x:c r="N494" s="146" t="e">
        <x:f>IF(OR('实盘净值数据(iFinD公式)'!$A494="",'实盘净值数据(iFinD公式)'!$B494=""),"",分期持仓明细!$AD$24*SUMPRODUCT(分期持仓明细!$B$24:$AA$24,'实盘净值数据(iFinD公式)'!$B494:$AA494/'实盘净值数据(iFinD公式)'!$B$65:$AA$65)*(1-实盘持仓初始配置!$Z$8)^(('实盘净值数据(iFinD公式)'!$A494-'实盘净值数据(iFinD公式)'!$A$5)/365))</x:f>
        <x:v>#NAME?</x:v>
      </x:c>
      <x:c r="O494" s="152" t="e">
        <x:f>IF(OR(N493="",N494=""),"",N494/N493-1)</x:f>
        <x:v>#NAME?</x:v>
      </x:c>
      <x:c r="P494" s="152" t="e">
        <x:f>IF(N494="","",N494/MAX(N$5:N494)-1)</x:f>
        <x:v>#NAME?</x:v>
      </x:c>
      <x:c r="Q494" s="146" t="e">
        <x:f>IF(OR('实盘净值数据(iFinD公式)'!$A494="",'实盘净值数据(iFinD公式)'!$B494=""),"",分期持仓明细!$AD$25*SUMPRODUCT(分期持仓明细!$B$25:$AA$25,'实盘净值数据(iFinD公式)'!$B494:$AA494/'实盘净值数据(iFinD公式)'!$B$65:$AA$65)*(1-实盘持仓初始配置!$Z$9)^(('实盘净值数据(iFinD公式)'!$A494-'实盘净值数据(iFinD公式)'!$A$8)/365))</x:f>
        <x:v>#NAME?</x:v>
      </x:c>
      <x:c r="R494" s="152" t="e">
        <x:f>IF(OR(Q493="",Q494=""),"",Q494/Q493-1)</x:f>
        <x:v>#NAME?</x:v>
      </x:c>
      <x:c r="S494" s="152" t="e">
        <x:f>IF(Q494="","",Q494/MAX(Q$5:Q494)-1)</x:f>
        <x:v>#NAME?</x:v>
      </x:c>
    </x:row>
    <x:row r="495">
      <x:c r="A495" s="149" t="str">
        <x:f>IF('实盘净值数据(iFinD公式)'!A495="","",'实盘净值数据(iFinD公式)'!A495)</x:f>
      </x:c>
      <x:c r="B495" s="146" t="e">
        <x:f>IF(OR('实盘净值数据(iFinD公式)'!$A495="",'实盘净值数据(iFinD公式)'!$B495=""),"",分期持仓明细!$AD$17*SUMPRODUCT(分期持仓明细!$B$17:$AA$17,'实盘净值数据(iFinD公式)'!$B495:$AA495/'实盘净值数据(iFinD公式)'!$B$20:$AA$20)*(1-实盘持仓初始配置!$Z$4)^(('实盘净值数据(iFinD公式)'!$A495-'实盘净值数据(iFinD公式)'!$A$6)/365))</x:f>
        <x:v>#NAME?</x:v>
      </x:c>
      <x:c r="C495" s="152" t="e">
        <x:f>IF(OR(B494="",B495=""),"",B495/B494-1)</x:f>
        <x:v>#NAME?</x:v>
      </x:c>
      <x:c r="D495" s="152" t="e">
        <x:f>IF(B495="","",B495/MAX(B$5:B495)-1)</x:f>
        <x:v>#NAME?</x:v>
      </x:c>
      <x:c r="E495" s="146" t="e">
        <x:f>IF(OR('实盘净值数据(iFinD公式)'!$A495="",'实盘净值数据(iFinD公式)'!$B495=""),"",分期持仓明细!$AD$18*SUMPRODUCT(分期持仓明细!$B$18:$AA$18,'实盘净值数据(iFinD公式)'!$B495:$AA495/'实盘净值数据(iFinD公式)'!$B$20:$AA$20)*(1-实盘持仓初始配置!$Z$5)^(('实盘净值数据(iFinD公式)'!$A495-'实盘净值数据(iFinD公式)'!$A$5)/365))</x:f>
        <x:v>#NAME?</x:v>
      </x:c>
      <x:c r="F495" s="152" t="e">
        <x:f>IF(OR(E494="",E495=""),"",E495/E494-1)</x:f>
        <x:v>#NAME?</x:v>
      </x:c>
      <x:c r="G495" s="152" t="e">
        <x:f>IF(E495="","",E495/MAX(E$5:E495)-1)</x:f>
        <x:v>#NAME?</x:v>
      </x:c>
      <x:c r="H495" s="146" t="e">
        <x:f>IF(OR('实盘净值数据(iFinD公式)'!$A495="",'实盘净值数据(iFinD公式)'!$B495=""),"",分期持仓明细!$AD$19*SUMPRODUCT(分期持仓明细!$B$19:$AA$19,'实盘净值数据(iFinD公式)'!$B495:$AA495/'实盘净值数据(iFinD公式)'!$B$20:$AA$20)*(1-实盘持仓初始配置!$Z$6)^(('实盘净值数据(iFinD公式)'!$A495-'实盘净值数据(iFinD公式)'!$A$7)/365))</x:f>
        <x:v>#NAME?</x:v>
      </x:c>
      <x:c r="I495" s="152" t="e">
        <x:f>IF(OR(H494="",H495=""),"",H495/H494-1)</x:f>
        <x:v>#NAME?</x:v>
      </x:c>
      <x:c r="J495" s="152" t="e">
        <x:f>IF(H495="","",H495/MAX(H$5:H495)-1)</x:f>
        <x:v>#NAME?</x:v>
      </x:c>
      <x:c r="K495" s="146" t="e">
        <x:f>IF(OR('实盘净值数据(iFinD公式)'!$A495="",'实盘净值数据(iFinD公式)'!$B495=""),"",分期持仓明细!$AD$23*SUMPRODUCT(分期持仓明细!$B$23:$AA$23,'实盘净值数据(iFinD公式)'!$B495:$AA495/'实盘净值数据(iFinD公式)'!$B$65:$AA$65)*(1-实盘持仓初始配置!$Z$7)^(('实盘净值数据(iFinD公式)'!$A495-'实盘净值数据(iFinD公式)'!$A$8)/365))</x:f>
        <x:v>#NAME?</x:v>
      </x:c>
      <x:c r="L495" s="152" t="e">
        <x:f>IF(OR(K494="",K495=""),"",K495/K494-1)</x:f>
        <x:v>#NAME?</x:v>
      </x:c>
      <x:c r="M495" s="152" t="e">
        <x:f>IF(K495="","",K495/MAX(K$5:K495)-1)</x:f>
        <x:v>#NAME?</x:v>
      </x:c>
      <x:c r="N495" s="146" t="e">
        <x:f>IF(OR('实盘净值数据(iFinD公式)'!$A495="",'实盘净值数据(iFinD公式)'!$B495=""),"",分期持仓明细!$AD$24*SUMPRODUCT(分期持仓明细!$B$24:$AA$24,'实盘净值数据(iFinD公式)'!$B495:$AA495/'实盘净值数据(iFinD公式)'!$B$65:$AA$65)*(1-实盘持仓初始配置!$Z$8)^(('实盘净值数据(iFinD公式)'!$A495-'实盘净值数据(iFinD公式)'!$A$5)/365))</x:f>
        <x:v>#NAME?</x:v>
      </x:c>
      <x:c r="O495" s="152" t="e">
        <x:f>IF(OR(N494="",N495=""),"",N495/N494-1)</x:f>
        <x:v>#NAME?</x:v>
      </x:c>
      <x:c r="P495" s="152" t="e">
        <x:f>IF(N495="","",N495/MAX(N$5:N495)-1)</x:f>
        <x:v>#NAME?</x:v>
      </x:c>
      <x:c r="Q495" s="146" t="e">
        <x:f>IF(OR('实盘净值数据(iFinD公式)'!$A495="",'实盘净值数据(iFinD公式)'!$B495=""),"",分期持仓明细!$AD$25*SUMPRODUCT(分期持仓明细!$B$25:$AA$25,'实盘净值数据(iFinD公式)'!$B495:$AA495/'实盘净值数据(iFinD公式)'!$B$65:$AA$65)*(1-实盘持仓初始配置!$Z$9)^(('实盘净值数据(iFinD公式)'!$A495-'实盘净值数据(iFinD公式)'!$A$8)/365))</x:f>
        <x:v>#NAME?</x:v>
      </x:c>
      <x:c r="R495" s="152" t="e">
        <x:f>IF(OR(Q494="",Q495=""),"",Q495/Q494-1)</x:f>
        <x:v>#NAME?</x:v>
      </x:c>
      <x:c r="S495" s="152" t="e">
        <x:f>IF(Q495="","",Q495/MAX(Q$5:Q495)-1)</x:f>
        <x:v>#NAME?</x:v>
      </x:c>
    </x:row>
    <x:row r="496">
      <x:c r="A496" s="149" t="str">
        <x:f>IF('实盘净值数据(iFinD公式)'!A496="","",'实盘净值数据(iFinD公式)'!A496)</x:f>
      </x:c>
      <x:c r="B496" s="146" t="e">
        <x:f>IF(OR('实盘净值数据(iFinD公式)'!$A496="",'实盘净值数据(iFinD公式)'!$B496=""),"",分期持仓明细!$AD$17*SUMPRODUCT(分期持仓明细!$B$17:$AA$17,'实盘净值数据(iFinD公式)'!$B496:$AA496/'实盘净值数据(iFinD公式)'!$B$20:$AA$20)*(1-实盘持仓初始配置!$Z$4)^(('实盘净值数据(iFinD公式)'!$A496-'实盘净值数据(iFinD公式)'!$A$6)/365))</x:f>
        <x:v>#NAME?</x:v>
      </x:c>
      <x:c r="C496" s="152" t="e">
        <x:f>IF(OR(B495="",B496=""),"",B496/B495-1)</x:f>
        <x:v>#NAME?</x:v>
      </x:c>
      <x:c r="D496" s="152" t="e">
        <x:f>IF(B496="","",B496/MAX(B$5:B496)-1)</x:f>
        <x:v>#NAME?</x:v>
      </x:c>
      <x:c r="E496" s="146" t="e">
        <x:f>IF(OR('实盘净值数据(iFinD公式)'!$A496="",'实盘净值数据(iFinD公式)'!$B496=""),"",分期持仓明细!$AD$18*SUMPRODUCT(分期持仓明细!$B$18:$AA$18,'实盘净值数据(iFinD公式)'!$B496:$AA496/'实盘净值数据(iFinD公式)'!$B$20:$AA$20)*(1-实盘持仓初始配置!$Z$5)^(('实盘净值数据(iFinD公式)'!$A496-'实盘净值数据(iFinD公式)'!$A$5)/365))</x:f>
        <x:v>#NAME?</x:v>
      </x:c>
      <x:c r="F496" s="152" t="e">
        <x:f>IF(OR(E495="",E496=""),"",E496/E495-1)</x:f>
        <x:v>#NAME?</x:v>
      </x:c>
      <x:c r="G496" s="152" t="e">
        <x:f>IF(E496="","",E496/MAX(E$5:E496)-1)</x:f>
        <x:v>#NAME?</x:v>
      </x:c>
      <x:c r="H496" s="146" t="e">
        <x:f>IF(OR('实盘净值数据(iFinD公式)'!$A496="",'实盘净值数据(iFinD公式)'!$B496=""),"",分期持仓明细!$AD$19*SUMPRODUCT(分期持仓明细!$B$19:$AA$19,'实盘净值数据(iFinD公式)'!$B496:$AA496/'实盘净值数据(iFinD公式)'!$B$20:$AA$20)*(1-实盘持仓初始配置!$Z$6)^(('实盘净值数据(iFinD公式)'!$A496-'实盘净值数据(iFinD公式)'!$A$7)/365))</x:f>
        <x:v>#NAME?</x:v>
      </x:c>
      <x:c r="I496" s="152" t="e">
        <x:f>IF(OR(H495="",H496=""),"",H496/H495-1)</x:f>
        <x:v>#NAME?</x:v>
      </x:c>
      <x:c r="J496" s="152" t="e">
        <x:f>IF(H496="","",H496/MAX(H$5:H496)-1)</x:f>
        <x:v>#NAME?</x:v>
      </x:c>
      <x:c r="K496" s="146" t="e">
        <x:f>IF(OR('实盘净值数据(iFinD公式)'!$A496="",'实盘净值数据(iFinD公式)'!$B496=""),"",分期持仓明细!$AD$23*SUMPRODUCT(分期持仓明细!$B$23:$AA$23,'实盘净值数据(iFinD公式)'!$B496:$AA496/'实盘净值数据(iFinD公式)'!$B$65:$AA$65)*(1-实盘持仓初始配置!$Z$7)^(('实盘净值数据(iFinD公式)'!$A496-'实盘净值数据(iFinD公式)'!$A$8)/365))</x:f>
        <x:v>#NAME?</x:v>
      </x:c>
      <x:c r="L496" s="152" t="e">
        <x:f>IF(OR(K495="",K496=""),"",K496/K495-1)</x:f>
        <x:v>#NAME?</x:v>
      </x:c>
      <x:c r="M496" s="152" t="e">
        <x:f>IF(K496="","",K496/MAX(K$5:K496)-1)</x:f>
        <x:v>#NAME?</x:v>
      </x:c>
      <x:c r="N496" s="146" t="e">
        <x:f>IF(OR('实盘净值数据(iFinD公式)'!$A496="",'实盘净值数据(iFinD公式)'!$B496=""),"",分期持仓明细!$AD$24*SUMPRODUCT(分期持仓明细!$B$24:$AA$24,'实盘净值数据(iFinD公式)'!$B496:$AA496/'实盘净值数据(iFinD公式)'!$B$65:$AA$65)*(1-实盘持仓初始配置!$Z$8)^(('实盘净值数据(iFinD公式)'!$A496-'实盘净值数据(iFinD公式)'!$A$5)/365))</x:f>
        <x:v>#NAME?</x:v>
      </x:c>
      <x:c r="O496" s="152" t="e">
        <x:f>IF(OR(N495="",N496=""),"",N496/N495-1)</x:f>
        <x:v>#NAME?</x:v>
      </x:c>
      <x:c r="P496" s="152" t="e">
        <x:f>IF(N496="","",N496/MAX(N$5:N496)-1)</x:f>
        <x:v>#NAME?</x:v>
      </x:c>
      <x:c r="Q496" s="146" t="e">
        <x:f>IF(OR('实盘净值数据(iFinD公式)'!$A496="",'实盘净值数据(iFinD公式)'!$B496=""),"",分期持仓明细!$AD$25*SUMPRODUCT(分期持仓明细!$B$25:$AA$25,'实盘净值数据(iFinD公式)'!$B496:$AA496/'实盘净值数据(iFinD公式)'!$B$65:$AA$65)*(1-实盘持仓初始配置!$Z$9)^(('实盘净值数据(iFinD公式)'!$A496-'实盘净值数据(iFinD公式)'!$A$8)/365))</x:f>
        <x:v>#NAME?</x:v>
      </x:c>
      <x:c r="R496" s="152" t="e">
        <x:f>IF(OR(Q495="",Q496=""),"",Q496/Q495-1)</x:f>
        <x:v>#NAME?</x:v>
      </x:c>
      <x:c r="S496" s="152" t="e">
        <x:f>IF(Q496="","",Q496/MAX(Q$5:Q496)-1)</x:f>
        <x:v>#NAME?</x:v>
      </x:c>
    </x:row>
    <x:row r="497">
      <x:c r="A497" s="149" t="str">
        <x:f>IF('实盘净值数据(iFinD公式)'!A497="","",'实盘净值数据(iFinD公式)'!A497)</x:f>
      </x:c>
      <x:c r="B497" s="146" t="e">
        <x:f>IF(OR('实盘净值数据(iFinD公式)'!$A497="",'实盘净值数据(iFinD公式)'!$B497=""),"",分期持仓明细!$AD$17*SUMPRODUCT(分期持仓明细!$B$17:$AA$17,'实盘净值数据(iFinD公式)'!$B497:$AA497/'实盘净值数据(iFinD公式)'!$B$20:$AA$20)*(1-实盘持仓初始配置!$Z$4)^(('实盘净值数据(iFinD公式)'!$A497-'实盘净值数据(iFinD公式)'!$A$6)/365))</x:f>
        <x:v>#NAME?</x:v>
      </x:c>
      <x:c r="C497" s="152" t="e">
        <x:f>IF(OR(B496="",B497=""),"",B497/B496-1)</x:f>
        <x:v>#NAME?</x:v>
      </x:c>
      <x:c r="D497" s="152" t="e">
        <x:f>IF(B497="","",B497/MAX(B$5:B497)-1)</x:f>
        <x:v>#NAME?</x:v>
      </x:c>
      <x:c r="E497" s="146" t="e">
        <x:f>IF(OR('实盘净值数据(iFinD公式)'!$A497="",'实盘净值数据(iFinD公式)'!$B497=""),"",分期持仓明细!$AD$18*SUMPRODUCT(分期持仓明细!$B$18:$AA$18,'实盘净值数据(iFinD公式)'!$B497:$AA497/'实盘净值数据(iFinD公式)'!$B$20:$AA$20)*(1-实盘持仓初始配置!$Z$5)^(('实盘净值数据(iFinD公式)'!$A497-'实盘净值数据(iFinD公式)'!$A$5)/365))</x:f>
        <x:v>#NAME?</x:v>
      </x:c>
      <x:c r="F497" s="152" t="e">
        <x:f>IF(OR(E496="",E497=""),"",E497/E496-1)</x:f>
        <x:v>#NAME?</x:v>
      </x:c>
      <x:c r="G497" s="152" t="e">
        <x:f>IF(E497="","",E497/MAX(E$5:E497)-1)</x:f>
        <x:v>#NAME?</x:v>
      </x:c>
      <x:c r="H497" s="146" t="e">
        <x:f>IF(OR('实盘净值数据(iFinD公式)'!$A497="",'实盘净值数据(iFinD公式)'!$B497=""),"",分期持仓明细!$AD$19*SUMPRODUCT(分期持仓明细!$B$19:$AA$19,'实盘净值数据(iFinD公式)'!$B497:$AA497/'实盘净值数据(iFinD公式)'!$B$20:$AA$20)*(1-实盘持仓初始配置!$Z$6)^(('实盘净值数据(iFinD公式)'!$A497-'实盘净值数据(iFinD公式)'!$A$7)/365))</x:f>
        <x:v>#NAME?</x:v>
      </x:c>
      <x:c r="I497" s="152" t="e">
        <x:f>IF(OR(H496="",H497=""),"",H497/H496-1)</x:f>
        <x:v>#NAME?</x:v>
      </x:c>
      <x:c r="J497" s="152" t="e">
        <x:f>IF(H497="","",H497/MAX(H$5:H497)-1)</x:f>
        <x:v>#NAME?</x:v>
      </x:c>
      <x:c r="K497" s="146" t="e">
        <x:f>IF(OR('实盘净值数据(iFinD公式)'!$A497="",'实盘净值数据(iFinD公式)'!$B497=""),"",分期持仓明细!$AD$23*SUMPRODUCT(分期持仓明细!$B$23:$AA$23,'实盘净值数据(iFinD公式)'!$B497:$AA497/'实盘净值数据(iFinD公式)'!$B$65:$AA$65)*(1-实盘持仓初始配置!$Z$7)^(('实盘净值数据(iFinD公式)'!$A497-'实盘净值数据(iFinD公式)'!$A$8)/365))</x:f>
        <x:v>#NAME?</x:v>
      </x:c>
      <x:c r="L497" s="152" t="e">
        <x:f>IF(OR(K496="",K497=""),"",K497/K496-1)</x:f>
        <x:v>#NAME?</x:v>
      </x:c>
      <x:c r="M497" s="152" t="e">
        <x:f>IF(K497="","",K497/MAX(K$5:K497)-1)</x:f>
        <x:v>#NAME?</x:v>
      </x:c>
      <x:c r="N497" s="146" t="e">
        <x:f>IF(OR('实盘净值数据(iFinD公式)'!$A497="",'实盘净值数据(iFinD公式)'!$B497=""),"",分期持仓明细!$AD$24*SUMPRODUCT(分期持仓明细!$B$24:$AA$24,'实盘净值数据(iFinD公式)'!$B497:$AA497/'实盘净值数据(iFinD公式)'!$B$65:$AA$65)*(1-实盘持仓初始配置!$Z$8)^(('实盘净值数据(iFinD公式)'!$A497-'实盘净值数据(iFinD公式)'!$A$5)/365))</x:f>
        <x:v>#NAME?</x:v>
      </x:c>
      <x:c r="O497" s="152" t="e">
        <x:f>IF(OR(N496="",N497=""),"",N497/N496-1)</x:f>
        <x:v>#NAME?</x:v>
      </x:c>
      <x:c r="P497" s="152" t="e">
        <x:f>IF(N497="","",N497/MAX(N$5:N497)-1)</x:f>
        <x:v>#NAME?</x:v>
      </x:c>
      <x:c r="Q497" s="146" t="e">
        <x:f>IF(OR('实盘净值数据(iFinD公式)'!$A497="",'实盘净值数据(iFinD公式)'!$B497=""),"",分期持仓明细!$AD$25*SUMPRODUCT(分期持仓明细!$B$25:$AA$25,'实盘净值数据(iFinD公式)'!$B497:$AA497/'实盘净值数据(iFinD公式)'!$B$65:$AA$65)*(1-实盘持仓初始配置!$Z$9)^(('实盘净值数据(iFinD公式)'!$A497-'实盘净值数据(iFinD公式)'!$A$8)/365))</x:f>
        <x:v>#NAME?</x:v>
      </x:c>
      <x:c r="R497" s="152" t="e">
        <x:f>IF(OR(Q496="",Q497=""),"",Q497/Q496-1)</x:f>
        <x:v>#NAME?</x:v>
      </x:c>
      <x:c r="S497" s="152" t="e">
        <x:f>IF(Q497="","",Q497/MAX(Q$5:Q497)-1)</x:f>
        <x:v>#NAME?</x:v>
      </x:c>
    </x:row>
    <x:row r="498">
      <x:c r="A498" s="149" t="str">
        <x:f>IF('实盘净值数据(iFinD公式)'!A498="","",'实盘净值数据(iFinD公式)'!A498)</x:f>
      </x:c>
      <x:c r="B498" s="146" t="e">
        <x:f>IF(OR('实盘净值数据(iFinD公式)'!$A498="",'实盘净值数据(iFinD公式)'!$B498=""),"",分期持仓明细!$AD$17*SUMPRODUCT(分期持仓明细!$B$17:$AA$17,'实盘净值数据(iFinD公式)'!$B498:$AA498/'实盘净值数据(iFinD公式)'!$B$20:$AA$20)*(1-实盘持仓初始配置!$Z$4)^(('实盘净值数据(iFinD公式)'!$A498-'实盘净值数据(iFinD公式)'!$A$6)/365))</x:f>
        <x:v>#NAME?</x:v>
      </x:c>
      <x:c r="C498" s="152" t="e">
        <x:f>IF(OR(B497="",B498=""),"",B498/B497-1)</x:f>
        <x:v>#NAME?</x:v>
      </x:c>
      <x:c r="D498" s="152" t="e">
        <x:f>IF(B498="","",B498/MAX(B$5:B498)-1)</x:f>
        <x:v>#NAME?</x:v>
      </x:c>
      <x:c r="E498" s="146" t="e">
        <x:f>IF(OR('实盘净值数据(iFinD公式)'!$A498="",'实盘净值数据(iFinD公式)'!$B498=""),"",分期持仓明细!$AD$18*SUMPRODUCT(分期持仓明细!$B$18:$AA$18,'实盘净值数据(iFinD公式)'!$B498:$AA498/'实盘净值数据(iFinD公式)'!$B$20:$AA$20)*(1-实盘持仓初始配置!$Z$5)^(('实盘净值数据(iFinD公式)'!$A498-'实盘净值数据(iFinD公式)'!$A$5)/365))</x:f>
        <x:v>#NAME?</x:v>
      </x:c>
      <x:c r="F498" s="152" t="e">
        <x:f>IF(OR(E497="",E498=""),"",E498/E497-1)</x:f>
        <x:v>#NAME?</x:v>
      </x:c>
      <x:c r="G498" s="152" t="e">
        <x:f>IF(E498="","",E498/MAX(E$5:E498)-1)</x:f>
        <x:v>#NAME?</x:v>
      </x:c>
      <x:c r="H498" s="146" t="e">
        <x:f>IF(OR('实盘净值数据(iFinD公式)'!$A498="",'实盘净值数据(iFinD公式)'!$B498=""),"",分期持仓明细!$AD$19*SUMPRODUCT(分期持仓明细!$B$19:$AA$19,'实盘净值数据(iFinD公式)'!$B498:$AA498/'实盘净值数据(iFinD公式)'!$B$20:$AA$20)*(1-实盘持仓初始配置!$Z$6)^(('实盘净值数据(iFinD公式)'!$A498-'实盘净值数据(iFinD公式)'!$A$7)/365))</x:f>
        <x:v>#NAME?</x:v>
      </x:c>
      <x:c r="I498" s="152" t="e">
        <x:f>IF(OR(H497="",H498=""),"",H498/H497-1)</x:f>
        <x:v>#NAME?</x:v>
      </x:c>
      <x:c r="J498" s="152" t="e">
        <x:f>IF(H498="","",H498/MAX(H$5:H498)-1)</x:f>
        <x:v>#NAME?</x:v>
      </x:c>
      <x:c r="K498" s="146" t="e">
        <x:f>IF(OR('实盘净值数据(iFinD公式)'!$A498="",'实盘净值数据(iFinD公式)'!$B498=""),"",分期持仓明细!$AD$23*SUMPRODUCT(分期持仓明细!$B$23:$AA$23,'实盘净值数据(iFinD公式)'!$B498:$AA498/'实盘净值数据(iFinD公式)'!$B$65:$AA$65)*(1-实盘持仓初始配置!$Z$7)^(('实盘净值数据(iFinD公式)'!$A498-'实盘净值数据(iFinD公式)'!$A$8)/365))</x:f>
        <x:v>#NAME?</x:v>
      </x:c>
      <x:c r="L498" s="152" t="e">
        <x:f>IF(OR(K497="",K498=""),"",K498/K497-1)</x:f>
        <x:v>#NAME?</x:v>
      </x:c>
      <x:c r="M498" s="152" t="e">
        <x:f>IF(K498="","",K498/MAX(K$5:K498)-1)</x:f>
        <x:v>#NAME?</x:v>
      </x:c>
      <x:c r="N498" s="146" t="e">
        <x:f>IF(OR('实盘净值数据(iFinD公式)'!$A498="",'实盘净值数据(iFinD公式)'!$B498=""),"",分期持仓明细!$AD$24*SUMPRODUCT(分期持仓明细!$B$24:$AA$24,'实盘净值数据(iFinD公式)'!$B498:$AA498/'实盘净值数据(iFinD公式)'!$B$65:$AA$65)*(1-实盘持仓初始配置!$Z$8)^(('实盘净值数据(iFinD公式)'!$A498-'实盘净值数据(iFinD公式)'!$A$5)/365))</x:f>
        <x:v>#NAME?</x:v>
      </x:c>
      <x:c r="O498" s="152" t="e">
        <x:f>IF(OR(N497="",N498=""),"",N498/N497-1)</x:f>
        <x:v>#NAME?</x:v>
      </x:c>
      <x:c r="P498" s="152" t="e">
        <x:f>IF(N498="","",N498/MAX(N$5:N498)-1)</x:f>
        <x:v>#NAME?</x:v>
      </x:c>
      <x:c r="Q498" s="146" t="e">
        <x:f>IF(OR('实盘净值数据(iFinD公式)'!$A498="",'实盘净值数据(iFinD公式)'!$B498=""),"",分期持仓明细!$AD$25*SUMPRODUCT(分期持仓明细!$B$25:$AA$25,'实盘净值数据(iFinD公式)'!$B498:$AA498/'实盘净值数据(iFinD公式)'!$B$65:$AA$65)*(1-实盘持仓初始配置!$Z$9)^(('实盘净值数据(iFinD公式)'!$A498-'实盘净值数据(iFinD公式)'!$A$8)/365))</x:f>
        <x:v>#NAME?</x:v>
      </x:c>
      <x:c r="R498" s="152" t="e">
        <x:f>IF(OR(Q497="",Q498=""),"",Q498/Q497-1)</x:f>
        <x:v>#NAME?</x:v>
      </x:c>
      <x:c r="S498" s="152" t="e">
        <x:f>IF(Q498="","",Q498/MAX(Q$5:Q498)-1)</x:f>
        <x:v>#NAME?</x:v>
      </x:c>
    </x:row>
    <x:row r="499">
      <x:c r="A499" s="149" t="str">
        <x:f>IF('实盘净值数据(iFinD公式)'!A499="","",'实盘净值数据(iFinD公式)'!A499)</x:f>
      </x:c>
      <x:c r="B499" s="146" t="e">
        <x:f>IF(OR('实盘净值数据(iFinD公式)'!$A499="",'实盘净值数据(iFinD公式)'!$B499=""),"",分期持仓明细!$AD$17*SUMPRODUCT(分期持仓明细!$B$17:$AA$17,'实盘净值数据(iFinD公式)'!$B499:$AA499/'实盘净值数据(iFinD公式)'!$B$20:$AA$20)*(1-实盘持仓初始配置!$Z$4)^(('实盘净值数据(iFinD公式)'!$A499-'实盘净值数据(iFinD公式)'!$A$6)/365))</x:f>
        <x:v>#NAME?</x:v>
      </x:c>
      <x:c r="C499" s="152" t="e">
        <x:f>IF(OR(B498="",B499=""),"",B499/B498-1)</x:f>
        <x:v>#NAME?</x:v>
      </x:c>
      <x:c r="D499" s="152" t="e">
        <x:f>IF(B499="","",B499/MAX(B$5:B499)-1)</x:f>
        <x:v>#NAME?</x:v>
      </x:c>
      <x:c r="E499" s="146" t="e">
        <x:f>IF(OR('实盘净值数据(iFinD公式)'!$A499="",'实盘净值数据(iFinD公式)'!$B499=""),"",分期持仓明细!$AD$18*SUMPRODUCT(分期持仓明细!$B$18:$AA$18,'实盘净值数据(iFinD公式)'!$B499:$AA499/'实盘净值数据(iFinD公式)'!$B$20:$AA$20)*(1-实盘持仓初始配置!$Z$5)^(('实盘净值数据(iFinD公式)'!$A499-'实盘净值数据(iFinD公式)'!$A$5)/365))</x:f>
        <x:v>#NAME?</x:v>
      </x:c>
      <x:c r="F499" s="152" t="e">
        <x:f>IF(OR(E498="",E499=""),"",E499/E498-1)</x:f>
        <x:v>#NAME?</x:v>
      </x:c>
      <x:c r="G499" s="152" t="e">
        <x:f>IF(E499="","",E499/MAX(E$5:E499)-1)</x:f>
        <x:v>#NAME?</x:v>
      </x:c>
      <x:c r="H499" s="146" t="e">
        <x:f>IF(OR('实盘净值数据(iFinD公式)'!$A499="",'实盘净值数据(iFinD公式)'!$B499=""),"",分期持仓明细!$AD$19*SUMPRODUCT(分期持仓明细!$B$19:$AA$19,'实盘净值数据(iFinD公式)'!$B499:$AA499/'实盘净值数据(iFinD公式)'!$B$20:$AA$20)*(1-实盘持仓初始配置!$Z$6)^(('实盘净值数据(iFinD公式)'!$A499-'实盘净值数据(iFinD公式)'!$A$7)/365))</x:f>
        <x:v>#NAME?</x:v>
      </x:c>
      <x:c r="I499" s="152" t="e">
        <x:f>IF(OR(H498="",H499=""),"",H499/H498-1)</x:f>
        <x:v>#NAME?</x:v>
      </x:c>
      <x:c r="J499" s="152" t="e">
        <x:f>IF(H499="","",H499/MAX(H$5:H499)-1)</x:f>
        <x:v>#NAME?</x:v>
      </x:c>
      <x:c r="K499" s="146" t="e">
        <x:f>IF(OR('实盘净值数据(iFinD公式)'!$A499="",'实盘净值数据(iFinD公式)'!$B499=""),"",分期持仓明细!$AD$23*SUMPRODUCT(分期持仓明细!$B$23:$AA$23,'实盘净值数据(iFinD公式)'!$B499:$AA499/'实盘净值数据(iFinD公式)'!$B$65:$AA$65)*(1-实盘持仓初始配置!$Z$7)^(('实盘净值数据(iFinD公式)'!$A499-'实盘净值数据(iFinD公式)'!$A$8)/365))</x:f>
        <x:v>#NAME?</x:v>
      </x:c>
      <x:c r="L499" s="152" t="e">
        <x:f>IF(OR(K498="",K499=""),"",K499/K498-1)</x:f>
        <x:v>#NAME?</x:v>
      </x:c>
      <x:c r="M499" s="152" t="e">
        <x:f>IF(K499="","",K499/MAX(K$5:K499)-1)</x:f>
        <x:v>#NAME?</x:v>
      </x:c>
      <x:c r="N499" s="146" t="e">
        <x:f>IF(OR('实盘净值数据(iFinD公式)'!$A499="",'实盘净值数据(iFinD公式)'!$B499=""),"",分期持仓明细!$AD$24*SUMPRODUCT(分期持仓明细!$B$24:$AA$24,'实盘净值数据(iFinD公式)'!$B499:$AA499/'实盘净值数据(iFinD公式)'!$B$65:$AA$65)*(1-实盘持仓初始配置!$Z$8)^(('实盘净值数据(iFinD公式)'!$A499-'实盘净值数据(iFinD公式)'!$A$5)/365))</x:f>
        <x:v>#NAME?</x:v>
      </x:c>
      <x:c r="O499" s="152" t="e">
        <x:f>IF(OR(N498="",N499=""),"",N499/N498-1)</x:f>
        <x:v>#NAME?</x:v>
      </x:c>
      <x:c r="P499" s="152" t="e">
        <x:f>IF(N499="","",N499/MAX(N$5:N499)-1)</x:f>
        <x:v>#NAME?</x:v>
      </x:c>
      <x:c r="Q499" s="146" t="e">
        <x:f>IF(OR('实盘净值数据(iFinD公式)'!$A499="",'实盘净值数据(iFinD公式)'!$B499=""),"",分期持仓明细!$AD$25*SUMPRODUCT(分期持仓明细!$B$25:$AA$25,'实盘净值数据(iFinD公式)'!$B499:$AA499/'实盘净值数据(iFinD公式)'!$B$65:$AA$65)*(1-实盘持仓初始配置!$Z$9)^(('实盘净值数据(iFinD公式)'!$A499-'实盘净值数据(iFinD公式)'!$A$8)/365))</x:f>
        <x:v>#NAME?</x:v>
      </x:c>
      <x:c r="R499" s="152" t="e">
        <x:f>IF(OR(Q498="",Q499=""),"",Q499/Q498-1)</x:f>
        <x:v>#NAME?</x:v>
      </x:c>
      <x:c r="S499" s="152" t="e">
        <x:f>IF(Q499="","",Q499/MAX(Q$5:Q499)-1)</x:f>
        <x:v>#NAME?</x:v>
      </x:c>
    </x:row>
    <x:row r="500">
      <x:c r="A500" s="149" t="str">
        <x:f>IF('实盘净值数据(iFinD公式)'!A500="","",'实盘净值数据(iFinD公式)'!A500)</x:f>
      </x:c>
      <x:c r="B500" s="146" t="e">
        <x:f>IF(OR('实盘净值数据(iFinD公式)'!$A500="",'实盘净值数据(iFinD公式)'!$B500=""),"",分期持仓明细!$AD$17*SUMPRODUCT(分期持仓明细!$B$17:$AA$17,'实盘净值数据(iFinD公式)'!$B500:$AA500/'实盘净值数据(iFinD公式)'!$B$20:$AA$20)*(1-实盘持仓初始配置!$Z$4)^(('实盘净值数据(iFinD公式)'!$A500-'实盘净值数据(iFinD公式)'!$A$6)/365))</x:f>
        <x:v>#NAME?</x:v>
      </x:c>
      <x:c r="C500" s="152" t="e">
        <x:f>IF(OR(B499="",B500=""),"",B500/B499-1)</x:f>
        <x:v>#NAME?</x:v>
      </x:c>
      <x:c r="D500" s="152" t="e">
        <x:f>IF(B500="","",B500/MAX(B$5:B500)-1)</x:f>
        <x:v>#NAME?</x:v>
      </x:c>
      <x:c r="E500" s="146" t="e">
        <x:f>IF(OR('实盘净值数据(iFinD公式)'!$A500="",'实盘净值数据(iFinD公式)'!$B500=""),"",分期持仓明细!$AD$18*SUMPRODUCT(分期持仓明细!$B$18:$AA$18,'实盘净值数据(iFinD公式)'!$B500:$AA500/'实盘净值数据(iFinD公式)'!$B$20:$AA$20)*(1-实盘持仓初始配置!$Z$5)^(('实盘净值数据(iFinD公式)'!$A500-'实盘净值数据(iFinD公式)'!$A$5)/365))</x:f>
        <x:v>#NAME?</x:v>
      </x:c>
      <x:c r="F500" s="152" t="e">
        <x:f>IF(OR(E499="",E500=""),"",E500/E499-1)</x:f>
        <x:v>#NAME?</x:v>
      </x:c>
      <x:c r="G500" s="152" t="e">
        <x:f>IF(E500="","",E500/MAX(E$5:E500)-1)</x:f>
        <x:v>#NAME?</x:v>
      </x:c>
      <x:c r="H500" s="146" t="e">
        <x:f>IF(OR('实盘净值数据(iFinD公式)'!$A500="",'实盘净值数据(iFinD公式)'!$B500=""),"",分期持仓明细!$AD$19*SUMPRODUCT(分期持仓明细!$B$19:$AA$19,'实盘净值数据(iFinD公式)'!$B500:$AA500/'实盘净值数据(iFinD公式)'!$B$20:$AA$20)*(1-实盘持仓初始配置!$Z$6)^(('实盘净值数据(iFinD公式)'!$A500-'实盘净值数据(iFinD公式)'!$A$7)/365))</x:f>
        <x:v>#NAME?</x:v>
      </x:c>
      <x:c r="I500" s="152" t="e">
        <x:f>IF(OR(H499="",H500=""),"",H500/H499-1)</x:f>
        <x:v>#NAME?</x:v>
      </x:c>
      <x:c r="J500" s="152" t="e">
        <x:f>IF(H500="","",H500/MAX(H$5:H500)-1)</x:f>
        <x:v>#NAME?</x:v>
      </x:c>
      <x:c r="K500" s="146" t="e">
        <x:f>IF(OR('实盘净值数据(iFinD公式)'!$A500="",'实盘净值数据(iFinD公式)'!$B500=""),"",分期持仓明细!$AD$23*SUMPRODUCT(分期持仓明细!$B$23:$AA$23,'实盘净值数据(iFinD公式)'!$B500:$AA500/'实盘净值数据(iFinD公式)'!$B$65:$AA$65)*(1-实盘持仓初始配置!$Z$7)^(('实盘净值数据(iFinD公式)'!$A500-'实盘净值数据(iFinD公式)'!$A$8)/365))</x:f>
        <x:v>#NAME?</x:v>
      </x:c>
      <x:c r="L500" s="152" t="e">
        <x:f>IF(OR(K499="",K500=""),"",K500/K499-1)</x:f>
        <x:v>#NAME?</x:v>
      </x:c>
      <x:c r="M500" s="152" t="e">
        <x:f>IF(K500="","",K500/MAX(K$5:K500)-1)</x:f>
        <x:v>#NAME?</x:v>
      </x:c>
      <x:c r="N500" s="146" t="e">
        <x:f>IF(OR('实盘净值数据(iFinD公式)'!$A500="",'实盘净值数据(iFinD公式)'!$B500=""),"",分期持仓明细!$AD$24*SUMPRODUCT(分期持仓明细!$B$24:$AA$24,'实盘净值数据(iFinD公式)'!$B500:$AA500/'实盘净值数据(iFinD公式)'!$B$65:$AA$65)*(1-实盘持仓初始配置!$Z$8)^(('实盘净值数据(iFinD公式)'!$A500-'实盘净值数据(iFinD公式)'!$A$5)/365))</x:f>
        <x:v>#NAME?</x:v>
      </x:c>
      <x:c r="O500" s="152" t="e">
        <x:f>IF(OR(N499="",N500=""),"",N500/N499-1)</x:f>
        <x:v>#NAME?</x:v>
      </x:c>
      <x:c r="P500" s="152" t="e">
        <x:f>IF(N500="","",N500/MAX(N$5:N500)-1)</x:f>
        <x:v>#NAME?</x:v>
      </x:c>
      <x:c r="Q500" s="146" t="e">
        <x:f>IF(OR('实盘净值数据(iFinD公式)'!$A500="",'实盘净值数据(iFinD公式)'!$B500=""),"",分期持仓明细!$AD$25*SUMPRODUCT(分期持仓明细!$B$25:$AA$25,'实盘净值数据(iFinD公式)'!$B500:$AA500/'实盘净值数据(iFinD公式)'!$B$65:$AA$65)*(1-实盘持仓初始配置!$Z$9)^(('实盘净值数据(iFinD公式)'!$A500-'实盘净值数据(iFinD公式)'!$A$8)/365))</x:f>
        <x:v>#NAME?</x:v>
      </x:c>
      <x:c r="R500" s="152" t="e">
        <x:f>IF(OR(Q499="",Q500=""),"",Q500/Q499-1)</x:f>
        <x:v>#NAME?</x:v>
      </x:c>
      <x:c r="S500" s="152" t="e">
        <x:f>IF(Q500="","",Q500/MAX(Q$5:Q500)-1)</x:f>
        <x:v>#NAME?</x:v>
      </x:c>
    </x:row>
    <x:row r="501">
      <x:c r="A501" s="149" t="str">
        <x:f>IF('实盘净值数据(iFinD公式)'!A501="","",'实盘净值数据(iFinD公式)'!A501)</x:f>
      </x:c>
      <x:c r="B501" s="146" t="e">
        <x:f>IF(OR('实盘净值数据(iFinD公式)'!$A501="",'实盘净值数据(iFinD公式)'!$B501=""),"",分期持仓明细!$AD$17*SUMPRODUCT(分期持仓明细!$B$17:$AA$17,'实盘净值数据(iFinD公式)'!$B501:$AA501/'实盘净值数据(iFinD公式)'!$B$20:$AA$20)*(1-实盘持仓初始配置!$Z$4)^(('实盘净值数据(iFinD公式)'!$A501-'实盘净值数据(iFinD公式)'!$A$6)/365))</x:f>
        <x:v>#NAME?</x:v>
      </x:c>
      <x:c r="C501" s="152" t="e">
        <x:f>IF(OR(B500="",B501=""),"",B501/B500-1)</x:f>
        <x:v>#NAME?</x:v>
      </x:c>
      <x:c r="D501" s="152" t="e">
        <x:f>IF(B501="","",B501/MAX(B$5:B501)-1)</x:f>
        <x:v>#NAME?</x:v>
      </x:c>
      <x:c r="E501" s="146" t="e">
        <x:f>IF(OR('实盘净值数据(iFinD公式)'!$A501="",'实盘净值数据(iFinD公式)'!$B501=""),"",分期持仓明细!$AD$18*SUMPRODUCT(分期持仓明细!$B$18:$AA$18,'实盘净值数据(iFinD公式)'!$B501:$AA501/'实盘净值数据(iFinD公式)'!$B$20:$AA$20)*(1-实盘持仓初始配置!$Z$5)^(('实盘净值数据(iFinD公式)'!$A501-'实盘净值数据(iFinD公式)'!$A$5)/365))</x:f>
        <x:v>#NAME?</x:v>
      </x:c>
      <x:c r="F501" s="152" t="e">
        <x:f>IF(OR(E500="",E501=""),"",E501/E500-1)</x:f>
        <x:v>#NAME?</x:v>
      </x:c>
      <x:c r="G501" s="152" t="e">
        <x:f>IF(E501="","",E501/MAX(E$5:E501)-1)</x:f>
        <x:v>#NAME?</x:v>
      </x:c>
      <x:c r="H501" s="146" t="e">
        <x:f>IF(OR('实盘净值数据(iFinD公式)'!$A501="",'实盘净值数据(iFinD公式)'!$B501=""),"",分期持仓明细!$AD$19*SUMPRODUCT(分期持仓明细!$B$19:$AA$19,'实盘净值数据(iFinD公式)'!$B501:$AA501/'实盘净值数据(iFinD公式)'!$B$20:$AA$20)*(1-实盘持仓初始配置!$Z$6)^(('实盘净值数据(iFinD公式)'!$A501-'实盘净值数据(iFinD公式)'!$A$7)/365))</x:f>
        <x:v>#NAME?</x:v>
      </x:c>
      <x:c r="I501" s="152" t="e">
        <x:f>IF(OR(H500="",H501=""),"",H501/H500-1)</x:f>
        <x:v>#NAME?</x:v>
      </x:c>
      <x:c r="J501" s="152" t="e">
        <x:f>IF(H501="","",H501/MAX(H$5:H501)-1)</x:f>
        <x:v>#NAME?</x:v>
      </x:c>
      <x:c r="K501" s="146" t="e">
        <x:f>IF(OR('实盘净值数据(iFinD公式)'!$A501="",'实盘净值数据(iFinD公式)'!$B501=""),"",分期持仓明细!$AD$23*SUMPRODUCT(分期持仓明细!$B$23:$AA$23,'实盘净值数据(iFinD公式)'!$B501:$AA501/'实盘净值数据(iFinD公式)'!$B$65:$AA$65)*(1-实盘持仓初始配置!$Z$7)^(('实盘净值数据(iFinD公式)'!$A501-'实盘净值数据(iFinD公式)'!$A$8)/365))</x:f>
        <x:v>#NAME?</x:v>
      </x:c>
      <x:c r="L501" s="152" t="e">
        <x:f>IF(OR(K500="",K501=""),"",K501/K500-1)</x:f>
        <x:v>#NAME?</x:v>
      </x:c>
      <x:c r="M501" s="152" t="e">
        <x:f>IF(K501="","",K501/MAX(K$5:K501)-1)</x:f>
        <x:v>#NAME?</x:v>
      </x:c>
      <x:c r="N501" s="146" t="e">
        <x:f>IF(OR('实盘净值数据(iFinD公式)'!$A501="",'实盘净值数据(iFinD公式)'!$B501=""),"",分期持仓明细!$AD$24*SUMPRODUCT(分期持仓明细!$B$24:$AA$24,'实盘净值数据(iFinD公式)'!$B501:$AA501/'实盘净值数据(iFinD公式)'!$B$65:$AA$65)*(1-实盘持仓初始配置!$Z$8)^(('实盘净值数据(iFinD公式)'!$A501-'实盘净值数据(iFinD公式)'!$A$5)/365))</x:f>
        <x:v>#NAME?</x:v>
      </x:c>
      <x:c r="O501" s="152" t="e">
        <x:f>IF(OR(N500="",N501=""),"",N501/N500-1)</x:f>
        <x:v>#NAME?</x:v>
      </x:c>
      <x:c r="P501" s="152" t="e">
        <x:f>IF(N501="","",N501/MAX(N$5:N501)-1)</x:f>
        <x:v>#NAME?</x:v>
      </x:c>
      <x:c r="Q501" s="146" t="e">
        <x:f>IF(OR('实盘净值数据(iFinD公式)'!$A501="",'实盘净值数据(iFinD公式)'!$B501=""),"",分期持仓明细!$AD$25*SUMPRODUCT(分期持仓明细!$B$25:$AA$25,'实盘净值数据(iFinD公式)'!$B501:$AA501/'实盘净值数据(iFinD公式)'!$B$65:$AA$65)*(1-实盘持仓初始配置!$Z$9)^(('实盘净值数据(iFinD公式)'!$A501-'实盘净值数据(iFinD公式)'!$A$8)/365))</x:f>
        <x:v>#NAME?</x:v>
      </x:c>
      <x:c r="R501" s="152" t="e">
        <x:f>IF(OR(Q500="",Q501=""),"",Q501/Q500-1)</x:f>
        <x:v>#NAME?</x:v>
      </x:c>
      <x:c r="S501" s="152" t="e">
        <x:f>IF(Q501="","",Q501/MAX(Q$5:Q501)-1)</x:f>
        <x:v>#NAME?</x:v>
      </x:c>
    </x:row>
    <x:row r="502">
      <x:c r="A502" s="149" t="str">
        <x:f>IF('实盘净值数据(iFinD公式)'!A502="","",'实盘净值数据(iFinD公式)'!A502)</x:f>
      </x:c>
      <x:c r="B502" s="146" t="e">
        <x:f>IF(OR('实盘净值数据(iFinD公式)'!$A502="",'实盘净值数据(iFinD公式)'!$B502=""),"",分期持仓明细!$AD$17*SUMPRODUCT(分期持仓明细!$B$17:$AA$17,'实盘净值数据(iFinD公式)'!$B502:$AA502/'实盘净值数据(iFinD公式)'!$B$20:$AA$20)*(1-实盘持仓初始配置!$Z$4)^(('实盘净值数据(iFinD公式)'!$A502-'实盘净值数据(iFinD公式)'!$A$6)/365))</x:f>
        <x:v>#NAME?</x:v>
      </x:c>
      <x:c r="C502" s="152" t="e">
        <x:f>IF(OR(B501="",B502=""),"",B502/B501-1)</x:f>
        <x:v>#NAME?</x:v>
      </x:c>
      <x:c r="D502" s="152" t="e">
        <x:f>IF(B502="","",B502/MAX(B$5:B502)-1)</x:f>
        <x:v>#NAME?</x:v>
      </x:c>
      <x:c r="E502" s="146" t="e">
        <x:f>IF(OR('实盘净值数据(iFinD公式)'!$A502="",'实盘净值数据(iFinD公式)'!$B502=""),"",分期持仓明细!$AD$18*SUMPRODUCT(分期持仓明细!$B$18:$AA$18,'实盘净值数据(iFinD公式)'!$B502:$AA502/'实盘净值数据(iFinD公式)'!$B$20:$AA$20)*(1-实盘持仓初始配置!$Z$5)^(('实盘净值数据(iFinD公式)'!$A502-'实盘净值数据(iFinD公式)'!$A$5)/365))</x:f>
        <x:v>#NAME?</x:v>
      </x:c>
      <x:c r="F502" s="152" t="e">
        <x:f>IF(OR(E501="",E502=""),"",E502/E501-1)</x:f>
        <x:v>#NAME?</x:v>
      </x:c>
      <x:c r="G502" s="152" t="e">
        <x:f>IF(E502="","",E502/MAX(E$5:E502)-1)</x:f>
        <x:v>#NAME?</x:v>
      </x:c>
      <x:c r="H502" s="146" t="e">
        <x:f>IF(OR('实盘净值数据(iFinD公式)'!$A502="",'实盘净值数据(iFinD公式)'!$B502=""),"",分期持仓明细!$AD$19*SUMPRODUCT(分期持仓明细!$B$19:$AA$19,'实盘净值数据(iFinD公式)'!$B502:$AA502/'实盘净值数据(iFinD公式)'!$B$20:$AA$20)*(1-实盘持仓初始配置!$Z$6)^(('实盘净值数据(iFinD公式)'!$A502-'实盘净值数据(iFinD公式)'!$A$7)/365))</x:f>
        <x:v>#NAME?</x:v>
      </x:c>
      <x:c r="I502" s="152" t="e">
        <x:f>IF(OR(H501="",H502=""),"",H502/H501-1)</x:f>
        <x:v>#NAME?</x:v>
      </x:c>
      <x:c r="J502" s="152" t="e">
        <x:f>IF(H502="","",H502/MAX(H$5:H502)-1)</x:f>
        <x:v>#NAME?</x:v>
      </x:c>
      <x:c r="K502" s="146" t="e">
        <x:f>IF(OR('实盘净值数据(iFinD公式)'!$A502="",'实盘净值数据(iFinD公式)'!$B502=""),"",分期持仓明细!$AD$23*SUMPRODUCT(分期持仓明细!$B$23:$AA$23,'实盘净值数据(iFinD公式)'!$B502:$AA502/'实盘净值数据(iFinD公式)'!$B$65:$AA$65)*(1-实盘持仓初始配置!$Z$7)^(('实盘净值数据(iFinD公式)'!$A502-'实盘净值数据(iFinD公式)'!$A$8)/365))</x:f>
        <x:v>#NAME?</x:v>
      </x:c>
      <x:c r="L502" s="152" t="e">
        <x:f>IF(OR(K501="",K502=""),"",K502/K501-1)</x:f>
        <x:v>#NAME?</x:v>
      </x:c>
      <x:c r="M502" s="152" t="e">
        <x:f>IF(K502="","",K502/MAX(K$5:K502)-1)</x:f>
        <x:v>#NAME?</x:v>
      </x:c>
      <x:c r="N502" s="146" t="e">
        <x:f>IF(OR('实盘净值数据(iFinD公式)'!$A502="",'实盘净值数据(iFinD公式)'!$B502=""),"",分期持仓明细!$AD$24*SUMPRODUCT(分期持仓明细!$B$24:$AA$24,'实盘净值数据(iFinD公式)'!$B502:$AA502/'实盘净值数据(iFinD公式)'!$B$65:$AA$65)*(1-实盘持仓初始配置!$Z$8)^(('实盘净值数据(iFinD公式)'!$A502-'实盘净值数据(iFinD公式)'!$A$5)/365))</x:f>
        <x:v>#NAME?</x:v>
      </x:c>
      <x:c r="O502" s="152" t="e">
        <x:f>IF(OR(N501="",N502=""),"",N502/N501-1)</x:f>
        <x:v>#NAME?</x:v>
      </x:c>
      <x:c r="P502" s="152" t="e">
        <x:f>IF(N502="","",N502/MAX(N$5:N502)-1)</x:f>
        <x:v>#NAME?</x:v>
      </x:c>
      <x:c r="Q502" s="146" t="e">
        <x:f>IF(OR('实盘净值数据(iFinD公式)'!$A502="",'实盘净值数据(iFinD公式)'!$B502=""),"",分期持仓明细!$AD$25*SUMPRODUCT(分期持仓明细!$B$25:$AA$25,'实盘净值数据(iFinD公式)'!$B502:$AA502/'实盘净值数据(iFinD公式)'!$B$65:$AA$65)*(1-实盘持仓初始配置!$Z$9)^(('实盘净值数据(iFinD公式)'!$A502-'实盘净值数据(iFinD公式)'!$A$8)/365))</x:f>
        <x:v>#NAME?</x:v>
      </x:c>
      <x:c r="R502" s="152" t="e">
        <x:f>IF(OR(Q501="",Q502=""),"",Q502/Q501-1)</x:f>
        <x:v>#NAME?</x:v>
      </x:c>
      <x:c r="S502" s="152" t="e">
        <x:f>IF(Q502="","",Q502/MAX(Q$5:Q502)-1)</x:f>
        <x:v>#NAME?</x:v>
      </x:c>
    </x:row>
    <x:row r="503">
      <x:c r="A503" s="149" t="str">
        <x:f>IF('实盘净值数据(iFinD公式)'!A503="","",'实盘净值数据(iFinD公式)'!A503)</x:f>
      </x:c>
      <x:c r="B503" s="146" t="e">
        <x:f>IF(OR('实盘净值数据(iFinD公式)'!$A503="",'实盘净值数据(iFinD公式)'!$B503=""),"",分期持仓明细!$AD$17*SUMPRODUCT(分期持仓明细!$B$17:$AA$17,'实盘净值数据(iFinD公式)'!$B503:$AA503/'实盘净值数据(iFinD公式)'!$B$20:$AA$20)*(1-实盘持仓初始配置!$Z$4)^(('实盘净值数据(iFinD公式)'!$A503-'实盘净值数据(iFinD公式)'!$A$6)/365))</x:f>
        <x:v>#NAME?</x:v>
      </x:c>
      <x:c r="C503" s="152" t="e">
        <x:f>IF(OR(B502="",B503=""),"",B503/B502-1)</x:f>
        <x:v>#NAME?</x:v>
      </x:c>
      <x:c r="D503" s="152" t="e">
        <x:f>IF(B503="","",B503/MAX(B$5:B503)-1)</x:f>
        <x:v>#NAME?</x:v>
      </x:c>
      <x:c r="E503" s="146" t="e">
        <x:f>IF(OR('实盘净值数据(iFinD公式)'!$A503="",'实盘净值数据(iFinD公式)'!$B503=""),"",分期持仓明细!$AD$18*SUMPRODUCT(分期持仓明细!$B$18:$AA$18,'实盘净值数据(iFinD公式)'!$B503:$AA503/'实盘净值数据(iFinD公式)'!$B$20:$AA$20)*(1-实盘持仓初始配置!$Z$5)^(('实盘净值数据(iFinD公式)'!$A503-'实盘净值数据(iFinD公式)'!$A$5)/365))</x:f>
        <x:v>#NAME?</x:v>
      </x:c>
      <x:c r="F503" s="152" t="e">
        <x:f>IF(OR(E502="",E503=""),"",E503/E502-1)</x:f>
        <x:v>#NAME?</x:v>
      </x:c>
      <x:c r="G503" s="152" t="e">
        <x:f>IF(E503="","",E503/MAX(E$5:E503)-1)</x:f>
        <x:v>#NAME?</x:v>
      </x:c>
      <x:c r="H503" s="146" t="e">
        <x:f>IF(OR('实盘净值数据(iFinD公式)'!$A503="",'实盘净值数据(iFinD公式)'!$B503=""),"",分期持仓明细!$AD$19*SUMPRODUCT(分期持仓明细!$B$19:$AA$19,'实盘净值数据(iFinD公式)'!$B503:$AA503/'实盘净值数据(iFinD公式)'!$B$20:$AA$20)*(1-实盘持仓初始配置!$Z$6)^(('实盘净值数据(iFinD公式)'!$A503-'实盘净值数据(iFinD公式)'!$A$7)/365))</x:f>
        <x:v>#NAME?</x:v>
      </x:c>
      <x:c r="I503" s="152" t="e">
        <x:f>IF(OR(H502="",H503=""),"",H503/H502-1)</x:f>
        <x:v>#NAME?</x:v>
      </x:c>
      <x:c r="J503" s="152" t="e">
        <x:f>IF(H503="","",H503/MAX(H$5:H503)-1)</x:f>
        <x:v>#NAME?</x:v>
      </x:c>
      <x:c r="K503" s="146" t="e">
        <x:f>IF(OR('实盘净值数据(iFinD公式)'!$A503="",'实盘净值数据(iFinD公式)'!$B503=""),"",分期持仓明细!$AD$23*SUMPRODUCT(分期持仓明细!$B$23:$AA$23,'实盘净值数据(iFinD公式)'!$B503:$AA503/'实盘净值数据(iFinD公式)'!$B$65:$AA$65)*(1-实盘持仓初始配置!$Z$7)^(('实盘净值数据(iFinD公式)'!$A503-'实盘净值数据(iFinD公式)'!$A$8)/365))</x:f>
        <x:v>#NAME?</x:v>
      </x:c>
      <x:c r="L503" s="152" t="e">
        <x:f>IF(OR(K502="",K503=""),"",K503/K502-1)</x:f>
        <x:v>#NAME?</x:v>
      </x:c>
      <x:c r="M503" s="152" t="e">
        <x:f>IF(K503="","",K503/MAX(K$5:K503)-1)</x:f>
        <x:v>#NAME?</x:v>
      </x:c>
      <x:c r="N503" s="146" t="e">
        <x:f>IF(OR('实盘净值数据(iFinD公式)'!$A503="",'实盘净值数据(iFinD公式)'!$B503=""),"",分期持仓明细!$AD$24*SUMPRODUCT(分期持仓明细!$B$24:$AA$24,'实盘净值数据(iFinD公式)'!$B503:$AA503/'实盘净值数据(iFinD公式)'!$B$65:$AA$65)*(1-实盘持仓初始配置!$Z$8)^(('实盘净值数据(iFinD公式)'!$A503-'实盘净值数据(iFinD公式)'!$A$5)/365))</x:f>
        <x:v>#NAME?</x:v>
      </x:c>
      <x:c r="O503" s="152" t="e">
        <x:f>IF(OR(N502="",N503=""),"",N503/N502-1)</x:f>
        <x:v>#NAME?</x:v>
      </x:c>
      <x:c r="P503" s="152" t="e">
        <x:f>IF(N503="","",N503/MAX(N$5:N503)-1)</x:f>
        <x:v>#NAME?</x:v>
      </x:c>
      <x:c r="Q503" s="146" t="e">
        <x:f>IF(OR('实盘净值数据(iFinD公式)'!$A503="",'实盘净值数据(iFinD公式)'!$B503=""),"",分期持仓明细!$AD$25*SUMPRODUCT(分期持仓明细!$B$25:$AA$25,'实盘净值数据(iFinD公式)'!$B503:$AA503/'实盘净值数据(iFinD公式)'!$B$65:$AA$65)*(1-实盘持仓初始配置!$Z$9)^(('实盘净值数据(iFinD公式)'!$A503-'实盘净值数据(iFinD公式)'!$A$8)/365))</x:f>
        <x:v>#NAME?</x:v>
      </x:c>
      <x:c r="R503" s="152" t="e">
        <x:f>IF(OR(Q502="",Q503=""),"",Q503/Q502-1)</x:f>
        <x:v>#NAME?</x:v>
      </x:c>
      <x:c r="S503" s="152" t="e">
        <x:f>IF(Q503="","",Q503/MAX(Q$5:Q503)-1)</x:f>
        <x:v>#NAME?</x:v>
      </x:c>
    </x:row>
    <x:row r="504">
      <x:c r="A504" s="149" t="str">
        <x:f>IF('实盘净值数据(iFinD公式)'!A504="","",'实盘净值数据(iFinD公式)'!A504)</x:f>
      </x:c>
      <x:c r="B504" s="146" t="e">
        <x:f>IF(OR('实盘净值数据(iFinD公式)'!$A504="",'实盘净值数据(iFinD公式)'!$B504=""),"",分期持仓明细!$AD$17*SUMPRODUCT(分期持仓明细!$B$17:$AA$17,'实盘净值数据(iFinD公式)'!$B504:$AA504/'实盘净值数据(iFinD公式)'!$B$20:$AA$20)*(1-实盘持仓初始配置!$Z$4)^(('实盘净值数据(iFinD公式)'!$A504-'实盘净值数据(iFinD公式)'!$A$6)/365))</x:f>
        <x:v>#NAME?</x:v>
      </x:c>
      <x:c r="C504" s="152" t="e">
        <x:f>IF(OR(B503="",B504=""),"",B504/B503-1)</x:f>
        <x:v>#NAME?</x:v>
      </x:c>
      <x:c r="D504" s="152" t="e">
        <x:f>IF(B504="","",B504/MAX(B$5:B504)-1)</x:f>
        <x:v>#NAME?</x:v>
      </x:c>
      <x:c r="E504" s="146" t="e">
        <x:f>IF(OR('实盘净值数据(iFinD公式)'!$A504="",'实盘净值数据(iFinD公式)'!$B504=""),"",分期持仓明细!$AD$18*SUMPRODUCT(分期持仓明细!$B$18:$AA$18,'实盘净值数据(iFinD公式)'!$B504:$AA504/'实盘净值数据(iFinD公式)'!$B$20:$AA$20)*(1-实盘持仓初始配置!$Z$5)^(('实盘净值数据(iFinD公式)'!$A504-'实盘净值数据(iFinD公式)'!$A$5)/365))</x:f>
        <x:v>#NAME?</x:v>
      </x:c>
      <x:c r="F504" s="152" t="e">
        <x:f>IF(OR(E503="",E504=""),"",E504/E503-1)</x:f>
        <x:v>#NAME?</x:v>
      </x:c>
      <x:c r="G504" s="152" t="e">
        <x:f>IF(E504="","",E504/MAX(E$5:E504)-1)</x:f>
        <x:v>#NAME?</x:v>
      </x:c>
      <x:c r="H504" s="146" t="e">
        <x:f>IF(OR('实盘净值数据(iFinD公式)'!$A504="",'实盘净值数据(iFinD公式)'!$B504=""),"",分期持仓明细!$AD$19*SUMPRODUCT(分期持仓明细!$B$19:$AA$19,'实盘净值数据(iFinD公式)'!$B504:$AA504/'实盘净值数据(iFinD公式)'!$B$20:$AA$20)*(1-实盘持仓初始配置!$Z$6)^(('实盘净值数据(iFinD公式)'!$A504-'实盘净值数据(iFinD公式)'!$A$7)/365))</x:f>
        <x:v>#NAME?</x:v>
      </x:c>
      <x:c r="I504" s="152" t="e">
        <x:f>IF(OR(H503="",H504=""),"",H504/H503-1)</x:f>
        <x:v>#NAME?</x:v>
      </x:c>
      <x:c r="J504" s="152" t="e">
        <x:f>IF(H504="","",H504/MAX(H$5:H504)-1)</x:f>
        <x:v>#NAME?</x:v>
      </x:c>
      <x:c r="K504" s="146" t="e">
        <x:f>IF(OR('实盘净值数据(iFinD公式)'!$A504="",'实盘净值数据(iFinD公式)'!$B504=""),"",分期持仓明细!$AD$23*SUMPRODUCT(分期持仓明细!$B$23:$AA$23,'实盘净值数据(iFinD公式)'!$B504:$AA504/'实盘净值数据(iFinD公式)'!$B$65:$AA$65)*(1-实盘持仓初始配置!$Z$7)^(('实盘净值数据(iFinD公式)'!$A504-'实盘净值数据(iFinD公式)'!$A$8)/365))</x:f>
        <x:v>#NAME?</x:v>
      </x:c>
      <x:c r="L504" s="152" t="e">
        <x:f>IF(OR(K503="",K504=""),"",K504/K503-1)</x:f>
        <x:v>#NAME?</x:v>
      </x:c>
      <x:c r="M504" s="152" t="e">
        <x:f>IF(K504="","",K504/MAX(K$5:K504)-1)</x:f>
        <x:v>#NAME?</x:v>
      </x:c>
      <x:c r="N504" s="146" t="e">
        <x:f>IF(OR('实盘净值数据(iFinD公式)'!$A504="",'实盘净值数据(iFinD公式)'!$B504=""),"",分期持仓明细!$AD$24*SUMPRODUCT(分期持仓明细!$B$24:$AA$24,'实盘净值数据(iFinD公式)'!$B504:$AA504/'实盘净值数据(iFinD公式)'!$B$65:$AA$65)*(1-实盘持仓初始配置!$Z$8)^(('实盘净值数据(iFinD公式)'!$A504-'实盘净值数据(iFinD公式)'!$A$5)/365))</x:f>
        <x:v>#NAME?</x:v>
      </x:c>
      <x:c r="O504" s="152" t="e">
        <x:f>IF(OR(N503="",N504=""),"",N504/N503-1)</x:f>
        <x:v>#NAME?</x:v>
      </x:c>
      <x:c r="P504" s="152" t="e">
        <x:f>IF(N504="","",N504/MAX(N$5:N504)-1)</x:f>
        <x:v>#NAME?</x:v>
      </x:c>
      <x:c r="Q504" s="146" t="e">
        <x:f>IF(OR('实盘净值数据(iFinD公式)'!$A504="",'实盘净值数据(iFinD公式)'!$B504=""),"",分期持仓明细!$AD$25*SUMPRODUCT(分期持仓明细!$B$25:$AA$25,'实盘净值数据(iFinD公式)'!$B504:$AA504/'实盘净值数据(iFinD公式)'!$B$65:$AA$65)*(1-实盘持仓初始配置!$Z$9)^(('实盘净值数据(iFinD公式)'!$A504-'实盘净值数据(iFinD公式)'!$A$8)/365))</x:f>
        <x:v>#NAME?</x:v>
      </x:c>
      <x:c r="R504" s="152" t="e">
        <x:f>IF(OR(Q503="",Q504=""),"",Q504/Q503-1)</x:f>
        <x:v>#NAME?</x:v>
      </x:c>
      <x:c r="S504" s="152" t="e">
        <x:f>IF(Q504="","",Q504/MAX(Q$5:Q504)-1)</x:f>
        <x:v>#NAME?</x:v>
      </x:c>
    </x:row>
    <x:row r="505">
      <x:c r="A505" s="149" t="str">
        <x:f>IF('实盘净值数据(iFinD公式)'!A505="","",'实盘净值数据(iFinD公式)'!A505)</x:f>
      </x:c>
      <x:c r="B505" s="146" t="e">
        <x:f>IF(OR('实盘净值数据(iFinD公式)'!$A505="",'实盘净值数据(iFinD公式)'!$B505=""),"",分期持仓明细!$AD$17*SUMPRODUCT(分期持仓明细!$B$17:$AA$17,'实盘净值数据(iFinD公式)'!$B505:$AA505/'实盘净值数据(iFinD公式)'!$B$20:$AA$20)*(1-实盘持仓初始配置!$Z$4)^(('实盘净值数据(iFinD公式)'!$A505-'实盘净值数据(iFinD公式)'!$A$6)/365))</x:f>
        <x:v>#NAME?</x:v>
      </x:c>
      <x:c r="C505" s="152" t="e">
        <x:f>IF(OR(B504="",B505=""),"",B505/B504-1)</x:f>
        <x:v>#NAME?</x:v>
      </x:c>
      <x:c r="D505" s="152" t="e">
        <x:f>IF(B505="","",B505/MAX(B$5:B505)-1)</x:f>
        <x:v>#NAME?</x:v>
      </x:c>
      <x:c r="E505" s="146" t="e">
        <x:f>IF(OR('实盘净值数据(iFinD公式)'!$A505="",'实盘净值数据(iFinD公式)'!$B505=""),"",分期持仓明细!$AD$18*SUMPRODUCT(分期持仓明细!$B$18:$AA$18,'实盘净值数据(iFinD公式)'!$B505:$AA505/'实盘净值数据(iFinD公式)'!$B$20:$AA$20)*(1-实盘持仓初始配置!$Z$5)^(('实盘净值数据(iFinD公式)'!$A505-'实盘净值数据(iFinD公式)'!$A$5)/365))</x:f>
        <x:v>#NAME?</x:v>
      </x:c>
      <x:c r="F505" s="152" t="e">
        <x:f>IF(OR(E504="",E505=""),"",E505/E504-1)</x:f>
        <x:v>#NAME?</x:v>
      </x:c>
      <x:c r="G505" s="152" t="e">
        <x:f>IF(E505="","",E505/MAX(E$5:E505)-1)</x:f>
        <x:v>#NAME?</x:v>
      </x:c>
      <x:c r="H505" s="146" t="e">
        <x:f>IF(OR('实盘净值数据(iFinD公式)'!$A505="",'实盘净值数据(iFinD公式)'!$B505=""),"",分期持仓明细!$AD$19*SUMPRODUCT(分期持仓明细!$B$19:$AA$19,'实盘净值数据(iFinD公式)'!$B505:$AA505/'实盘净值数据(iFinD公式)'!$B$20:$AA$20)*(1-实盘持仓初始配置!$Z$6)^(('实盘净值数据(iFinD公式)'!$A505-'实盘净值数据(iFinD公式)'!$A$7)/365))</x:f>
        <x:v>#NAME?</x:v>
      </x:c>
      <x:c r="I505" s="152" t="e">
        <x:f>IF(OR(H504="",H505=""),"",H505/H504-1)</x:f>
        <x:v>#NAME?</x:v>
      </x:c>
      <x:c r="J505" s="152" t="e">
        <x:f>IF(H505="","",H505/MAX(H$5:H505)-1)</x:f>
        <x:v>#NAME?</x:v>
      </x:c>
      <x:c r="K505" s="146" t="e">
        <x:f>IF(OR('实盘净值数据(iFinD公式)'!$A505="",'实盘净值数据(iFinD公式)'!$B505=""),"",分期持仓明细!$AD$23*SUMPRODUCT(分期持仓明细!$B$23:$AA$23,'实盘净值数据(iFinD公式)'!$B505:$AA505/'实盘净值数据(iFinD公式)'!$B$65:$AA$65)*(1-实盘持仓初始配置!$Z$7)^(('实盘净值数据(iFinD公式)'!$A505-'实盘净值数据(iFinD公式)'!$A$8)/365))</x:f>
        <x:v>#NAME?</x:v>
      </x:c>
      <x:c r="L505" s="152" t="e">
        <x:f>IF(OR(K504="",K505=""),"",K505/K504-1)</x:f>
        <x:v>#NAME?</x:v>
      </x:c>
      <x:c r="M505" s="152" t="e">
        <x:f>IF(K505="","",K505/MAX(K$5:K505)-1)</x:f>
        <x:v>#NAME?</x:v>
      </x:c>
      <x:c r="N505" s="146" t="e">
        <x:f>IF(OR('实盘净值数据(iFinD公式)'!$A505="",'实盘净值数据(iFinD公式)'!$B505=""),"",分期持仓明细!$AD$24*SUMPRODUCT(分期持仓明细!$B$24:$AA$24,'实盘净值数据(iFinD公式)'!$B505:$AA505/'实盘净值数据(iFinD公式)'!$B$65:$AA$65)*(1-实盘持仓初始配置!$Z$8)^(('实盘净值数据(iFinD公式)'!$A505-'实盘净值数据(iFinD公式)'!$A$5)/365))</x:f>
        <x:v>#NAME?</x:v>
      </x:c>
      <x:c r="O505" s="152" t="e">
        <x:f>IF(OR(N504="",N505=""),"",N505/N504-1)</x:f>
        <x:v>#NAME?</x:v>
      </x:c>
      <x:c r="P505" s="152" t="e">
        <x:f>IF(N505="","",N505/MAX(N$5:N505)-1)</x:f>
        <x:v>#NAME?</x:v>
      </x:c>
      <x:c r="Q505" s="146" t="e">
        <x:f>IF(OR('实盘净值数据(iFinD公式)'!$A505="",'实盘净值数据(iFinD公式)'!$B505=""),"",分期持仓明细!$AD$25*SUMPRODUCT(分期持仓明细!$B$25:$AA$25,'实盘净值数据(iFinD公式)'!$B505:$AA505/'实盘净值数据(iFinD公式)'!$B$65:$AA$65)*(1-实盘持仓初始配置!$Z$9)^(('实盘净值数据(iFinD公式)'!$A505-'实盘净值数据(iFinD公式)'!$A$8)/365))</x:f>
        <x:v>#NAME?</x:v>
      </x:c>
      <x:c r="R505" s="152" t="e">
        <x:f>IF(OR(Q504="",Q505=""),"",Q505/Q504-1)</x:f>
        <x:v>#NAME?</x:v>
      </x:c>
      <x:c r="S505" s="152" t="e">
        <x:f>IF(Q505="","",Q505/MAX(Q$5:Q505)-1)</x:f>
        <x:v>#NAME?</x:v>
      </x:c>
    </x:row>
    <x:row r="506">
      <x:c r="A506" s="149" t="str">
        <x:f>IF('实盘净值数据(iFinD公式)'!A506="","",'实盘净值数据(iFinD公式)'!A506)</x:f>
      </x:c>
      <x:c r="B506" s="146" t="e">
        <x:f>IF(OR('实盘净值数据(iFinD公式)'!$A506="",'实盘净值数据(iFinD公式)'!$B506=""),"",分期持仓明细!$AD$17*SUMPRODUCT(分期持仓明细!$B$17:$AA$17,'实盘净值数据(iFinD公式)'!$B506:$AA506/'实盘净值数据(iFinD公式)'!$B$20:$AA$20)*(1-实盘持仓初始配置!$Z$4)^(('实盘净值数据(iFinD公式)'!$A506-'实盘净值数据(iFinD公式)'!$A$6)/365))</x:f>
        <x:v>#NAME?</x:v>
      </x:c>
      <x:c r="C506" s="152" t="e">
        <x:f>IF(OR(B505="",B506=""),"",B506/B505-1)</x:f>
        <x:v>#NAME?</x:v>
      </x:c>
      <x:c r="D506" s="152" t="e">
        <x:f>IF(B506="","",B506/MAX(B$5:B506)-1)</x:f>
        <x:v>#NAME?</x:v>
      </x:c>
      <x:c r="E506" s="146" t="e">
        <x:f>IF(OR('实盘净值数据(iFinD公式)'!$A506="",'实盘净值数据(iFinD公式)'!$B506=""),"",分期持仓明细!$AD$18*SUMPRODUCT(分期持仓明细!$B$18:$AA$18,'实盘净值数据(iFinD公式)'!$B506:$AA506/'实盘净值数据(iFinD公式)'!$B$20:$AA$20)*(1-实盘持仓初始配置!$Z$5)^(('实盘净值数据(iFinD公式)'!$A506-'实盘净值数据(iFinD公式)'!$A$5)/365))</x:f>
        <x:v>#NAME?</x:v>
      </x:c>
      <x:c r="F506" s="152" t="e">
        <x:f>IF(OR(E505="",E506=""),"",E506/E505-1)</x:f>
        <x:v>#NAME?</x:v>
      </x:c>
      <x:c r="G506" s="152" t="e">
        <x:f>IF(E506="","",E506/MAX(E$5:E506)-1)</x:f>
        <x:v>#NAME?</x:v>
      </x:c>
      <x:c r="H506" s="146" t="e">
        <x:f>IF(OR('实盘净值数据(iFinD公式)'!$A506="",'实盘净值数据(iFinD公式)'!$B506=""),"",分期持仓明细!$AD$19*SUMPRODUCT(分期持仓明细!$B$19:$AA$19,'实盘净值数据(iFinD公式)'!$B506:$AA506/'实盘净值数据(iFinD公式)'!$B$20:$AA$20)*(1-实盘持仓初始配置!$Z$6)^(('实盘净值数据(iFinD公式)'!$A506-'实盘净值数据(iFinD公式)'!$A$7)/365))</x:f>
        <x:v>#NAME?</x:v>
      </x:c>
      <x:c r="I506" s="152" t="e">
        <x:f>IF(OR(H505="",H506=""),"",H506/H505-1)</x:f>
        <x:v>#NAME?</x:v>
      </x:c>
      <x:c r="J506" s="152" t="e">
        <x:f>IF(H506="","",H506/MAX(H$5:H506)-1)</x:f>
        <x:v>#NAME?</x:v>
      </x:c>
      <x:c r="K506" s="146" t="e">
        <x:f>IF(OR('实盘净值数据(iFinD公式)'!$A506="",'实盘净值数据(iFinD公式)'!$B506=""),"",分期持仓明细!$AD$23*SUMPRODUCT(分期持仓明细!$B$23:$AA$23,'实盘净值数据(iFinD公式)'!$B506:$AA506/'实盘净值数据(iFinD公式)'!$B$65:$AA$65)*(1-实盘持仓初始配置!$Z$7)^(('实盘净值数据(iFinD公式)'!$A506-'实盘净值数据(iFinD公式)'!$A$8)/365))</x:f>
        <x:v>#NAME?</x:v>
      </x:c>
      <x:c r="L506" s="152" t="e">
        <x:f>IF(OR(K505="",K506=""),"",K506/K505-1)</x:f>
        <x:v>#NAME?</x:v>
      </x:c>
      <x:c r="M506" s="152" t="e">
        <x:f>IF(K506="","",K506/MAX(K$5:K506)-1)</x:f>
        <x:v>#NAME?</x:v>
      </x:c>
      <x:c r="N506" s="146" t="e">
        <x:f>IF(OR('实盘净值数据(iFinD公式)'!$A506="",'实盘净值数据(iFinD公式)'!$B506=""),"",分期持仓明细!$AD$24*SUMPRODUCT(分期持仓明细!$B$24:$AA$24,'实盘净值数据(iFinD公式)'!$B506:$AA506/'实盘净值数据(iFinD公式)'!$B$65:$AA$65)*(1-实盘持仓初始配置!$Z$8)^(('实盘净值数据(iFinD公式)'!$A506-'实盘净值数据(iFinD公式)'!$A$5)/365))</x:f>
        <x:v>#NAME?</x:v>
      </x:c>
      <x:c r="O506" s="152" t="e">
        <x:f>IF(OR(N505="",N506=""),"",N506/N505-1)</x:f>
        <x:v>#NAME?</x:v>
      </x:c>
      <x:c r="P506" s="152" t="e">
        <x:f>IF(N506="","",N506/MAX(N$5:N506)-1)</x:f>
        <x:v>#NAME?</x:v>
      </x:c>
      <x:c r="Q506" s="146" t="e">
        <x:f>IF(OR('实盘净值数据(iFinD公式)'!$A506="",'实盘净值数据(iFinD公式)'!$B506=""),"",分期持仓明细!$AD$25*SUMPRODUCT(分期持仓明细!$B$25:$AA$25,'实盘净值数据(iFinD公式)'!$B506:$AA506/'实盘净值数据(iFinD公式)'!$B$65:$AA$65)*(1-实盘持仓初始配置!$Z$9)^(('实盘净值数据(iFinD公式)'!$A506-'实盘净值数据(iFinD公式)'!$A$8)/365))</x:f>
        <x:v>#NAME?</x:v>
      </x:c>
      <x:c r="R506" s="152" t="e">
        <x:f>IF(OR(Q505="",Q506=""),"",Q506/Q505-1)</x:f>
        <x:v>#NAME?</x:v>
      </x:c>
      <x:c r="S506" s="152" t="e">
        <x:f>IF(Q506="","",Q506/MAX(Q$5:Q506)-1)</x:f>
        <x:v>#NAME?</x:v>
      </x:c>
    </x:row>
    <x:row r="507">
      <x:c r="A507" s="149" t="str">
        <x:f>IF('实盘净值数据(iFinD公式)'!A507="","",'实盘净值数据(iFinD公式)'!A507)</x:f>
      </x:c>
      <x:c r="B507" s="146" t="e">
        <x:f>IF(OR('实盘净值数据(iFinD公式)'!$A507="",'实盘净值数据(iFinD公式)'!$B507=""),"",分期持仓明细!$AD$17*SUMPRODUCT(分期持仓明细!$B$17:$AA$17,'实盘净值数据(iFinD公式)'!$B507:$AA507/'实盘净值数据(iFinD公式)'!$B$20:$AA$20)*(1-实盘持仓初始配置!$Z$4)^(('实盘净值数据(iFinD公式)'!$A507-'实盘净值数据(iFinD公式)'!$A$6)/365))</x:f>
        <x:v>#NAME?</x:v>
      </x:c>
      <x:c r="C507" s="152" t="e">
        <x:f>IF(OR(B506="",B507=""),"",B507/B506-1)</x:f>
        <x:v>#NAME?</x:v>
      </x:c>
      <x:c r="D507" s="152" t="e">
        <x:f>IF(B507="","",B507/MAX(B$5:B507)-1)</x:f>
        <x:v>#NAME?</x:v>
      </x:c>
      <x:c r="E507" s="146" t="e">
        <x:f>IF(OR('实盘净值数据(iFinD公式)'!$A507="",'实盘净值数据(iFinD公式)'!$B507=""),"",分期持仓明细!$AD$18*SUMPRODUCT(分期持仓明细!$B$18:$AA$18,'实盘净值数据(iFinD公式)'!$B507:$AA507/'实盘净值数据(iFinD公式)'!$B$20:$AA$20)*(1-实盘持仓初始配置!$Z$5)^(('实盘净值数据(iFinD公式)'!$A507-'实盘净值数据(iFinD公式)'!$A$5)/365))</x:f>
        <x:v>#NAME?</x:v>
      </x:c>
      <x:c r="F507" s="152" t="e">
        <x:f>IF(OR(E506="",E507=""),"",E507/E506-1)</x:f>
        <x:v>#NAME?</x:v>
      </x:c>
      <x:c r="G507" s="152" t="e">
        <x:f>IF(E507="","",E507/MAX(E$5:E507)-1)</x:f>
        <x:v>#NAME?</x:v>
      </x:c>
      <x:c r="H507" s="146" t="e">
        <x:f>IF(OR('实盘净值数据(iFinD公式)'!$A507="",'实盘净值数据(iFinD公式)'!$B507=""),"",分期持仓明细!$AD$19*SUMPRODUCT(分期持仓明细!$B$19:$AA$19,'实盘净值数据(iFinD公式)'!$B507:$AA507/'实盘净值数据(iFinD公式)'!$B$20:$AA$20)*(1-实盘持仓初始配置!$Z$6)^(('实盘净值数据(iFinD公式)'!$A507-'实盘净值数据(iFinD公式)'!$A$7)/365))</x:f>
        <x:v>#NAME?</x:v>
      </x:c>
      <x:c r="I507" s="152" t="e">
        <x:f>IF(OR(H506="",H507=""),"",H507/H506-1)</x:f>
        <x:v>#NAME?</x:v>
      </x:c>
      <x:c r="J507" s="152" t="e">
        <x:f>IF(H507="","",H507/MAX(H$5:H507)-1)</x:f>
        <x:v>#NAME?</x:v>
      </x:c>
      <x:c r="K507" s="146" t="e">
        <x:f>IF(OR('实盘净值数据(iFinD公式)'!$A507="",'实盘净值数据(iFinD公式)'!$B507=""),"",分期持仓明细!$AD$23*SUMPRODUCT(分期持仓明细!$B$23:$AA$23,'实盘净值数据(iFinD公式)'!$B507:$AA507/'实盘净值数据(iFinD公式)'!$B$65:$AA$65)*(1-实盘持仓初始配置!$Z$7)^(('实盘净值数据(iFinD公式)'!$A507-'实盘净值数据(iFinD公式)'!$A$8)/365))</x:f>
        <x:v>#NAME?</x:v>
      </x:c>
      <x:c r="L507" s="152" t="e">
        <x:f>IF(OR(K506="",K507=""),"",K507/K506-1)</x:f>
        <x:v>#NAME?</x:v>
      </x:c>
      <x:c r="M507" s="152" t="e">
        <x:f>IF(K507="","",K507/MAX(K$5:K507)-1)</x:f>
        <x:v>#NAME?</x:v>
      </x:c>
      <x:c r="N507" s="146" t="e">
        <x:f>IF(OR('实盘净值数据(iFinD公式)'!$A507="",'实盘净值数据(iFinD公式)'!$B507=""),"",分期持仓明细!$AD$24*SUMPRODUCT(分期持仓明细!$B$24:$AA$24,'实盘净值数据(iFinD公式)'!$B507:$AA507/'实盘净值数据(iFinD公式)'!$B$65:$AA$65)*(1-实盘持仓初始配置!$Z$8)^(('实盘净值数据(iFinD公式)'!$A507-'实盘净值数据(iFinD公式)'!$A$5)/365))</x:f>
        <x:v>#NAME?</x:v>
      </x:c>
      <x:c r="O507" s="152" t="e">
        <x:f>IF(OR(N506="",N507=""),"",N507/N506-1)</x:f>
        <x:v>#NAME?</x:v>
      </x:c>
      <x:c r="P507" s="152" t="e">
        <x:f>IF(N507="","",N507/MAX(N$5:N507)-1)</x:f>
        <x:v>#NAME?</x:v>
      </x:c>
      <x:c r="Q507" s="146" t="e">
        <x:f>IF(OR('实盘净值数据(iFinD公式)'!$A507="",'实盘净值数据(iFinD公式)'!$B507=""),"",分期持仓明细!$AD$25*SUMPRODUCT(分期持仓明细!$B$25:$AA$25,'实盘净值数据(iFinD公式)'!$B507:$AA507/'实盘净值数据(iFinD公式)'!$B$65:$AA$65)*(1-实盘持仓初始配置!$Z$9)^(('实盘净值数据(iFinD公式)'!$A507-'实盘净值数据(iFinD公式)'!$A$8)/365))</x:f>
        <x:v>#NAME?</x:v>
      </x:c>
      <x:c r="R507" s="152" t="e">
        <x:f>IF(OR(Q506="",Q507=""),"",Q507/Q506-1)</x:f>
        <x:v>#NAME?</x:v>
      </x:c>
      <x:c r="S507" s="152" t="e">
        <x:f>IF(Q507="","",Q507/MAX(Q$5:Q507)-1)</x:f>
        <x:v>#NAME?</x:v>
      </x:c>
    </x:row>
    <x:row r="508">
      <x:c r="A508" s="149" t="str">
        <x:f>IF('实盘净值数据(iFinD公式)'!A508="","",'实盘净值数据(iFinD公式)'!A508)</x:f>
      </x:c>
      <x:c r="B508" s="146" t="e">
        <x:f>IF(OR('实盘净值数据(iFinD公式)'!$A508="",'实盘净值数据(iFinD公式)'!$B508=""),"",分期持仓明细!$AD$17*SUMPRODUCT(分期持仓明细!$B$17:$AA$17,'实盘净值数据(iFinD公式)'!$B508:$AA508/'实盘净值数据(iFinD公式)'!$B$20:$AA$20)*(1-实盘持仓初始配置!$Z$4)^(('实盘净值数据(iFinD公式)'!$A508-'实盘净值数据(iFinD公式)'!$A$6)/365))</x:f>
        <x:v>#NAME?</x:v>
      </x:c>
      <x:c r="C508" s="152" t="e">
        <x:f>IF(OR(B507="",B508=""),"",B508/B507-1)</x:f>
        <x:v>#NAME?</x:v>
      </x:c>
      <x:c r="D508" s="152" t="e">
        <x:f>IF(B508="","",B508/MAX(B$5:B508)-1)</x:f>
        <x:v>#NAME?</x:v>
      </x:c>
      <x:c r="E508" s="146" t="e">
        <x:f>IF(OR('实盘净值数据(iFinD公式)'!$A508="",'实盘净值数据(iFinD公式)'!$B508=""),"",分期持仓明细!$AD$18*SUMPRODUCT(分期持仓明细!$B$18:$AA$18,'实盘净值数据(iFinD公式)'!$B508:$AA508/'实盘净值数据(iFinD公式)'!$B$20:$AA$20)*(1-实盘持仓初始配置!$Z$5)^(('实盘净值数据(iFinD公式)'!$A508-'实盘净值数据(iFinD公式)'!$A$5)/365))</x:f>
        <x:v>#NAME?</x:v>
      </x:c>
      <x:c r="F508" s="152" t="e">
        <x:f>IF(OR(E507="",E508=""),"",E508/E507-1)</x:f>
        <x:v>#NAME?</x:v>
      </x:c>
      <x:c r="G508" s="152" t="e">
        <x:f>IF(E508="","",E508/MAX(E$5:E508)-1)</x:f>
        <x:v>#NAME?</x:v>
      </x:c>
      <x:c r="H508" s="146" t="e">
        <x:f>IF(OR('实盘净值数据(iFinD公式)'!$A508="",'实盘净值数据(iFinD公式)'!$B508=""),"",分期持仓明细!$AD$19*SUMPRODUCT(分期持仓明细!$B$19:$AA$19,'实盘净值数据(iFinD公式)'!$B508:$AA508/'实盘净值数据(iFinD公式)'!$B$20:$AA$20)*(1-实盘持仓初始配置!$Z$6)^(('实盘净值数据(iFinD公式)'!$A508-'实盘净值数据(iFinD公式)'!$A$7)/365))</x:f>
        <x:v>#NAME?</x:v>
      </x:c>
      <x:c r="I508" s="152" t="e">
        <x:f>IF(OR(H507="",H508=""),"",H508/H507-1)</x:f>
        <x:v>#NAME?</x:v>
      </x:c>
      <x:c r="J508" s="152" t="e">
        <x:f>IF(H508="","",H508/MAX(H$5:H508)-1)</x:f>
        <x:v>#NAME?</x:v>
      </x:c>
      <x:c r="K508" s="146" t="e">
        <x:f>IF(OR('实盘净值数据(iFinD公式)'!$A508="",'实盘净值数据(iFinD公式)'!$B508=""),"",分期持仓明细!$AD$23*SUMPRODUCT(分期持仓明细!$B$23:$AA$23,'实盘净值数据(iFinD公式)'!$B508:$AA508/'实盘净值数据(iFinD公式)'!$B$65:$AA$65)*(1-实盘持仓初始配置!$Z$7)^(('实盘净值数据(iFinD公式)'!$A508-'实盘净值数据(iFinD公式)'!$A$8)/365))</x:f>
        <x:v>#NAME?</x:v>
      </x:c>
      <x:c r="L508" s="152" t="e">
        <x:f>IF(OR(K507="",K508=""),"",K508/K507-1)</x:f>
        <x:v>#NAME?</x:v>
      </x:c>
      <x:c r="M508" s="152" t="e">
        <x:f>IF(K508="","",K508/MAX(K$5:K508)-1)</x:f>
        <x:v>#NAME?</x:v>
      </x:c>
      <x:c r="N508" s="146" t="e">
        <x:f>IF(OR('实盘净值数据(iFinD公式)'!$A508="",'实盘净值数据(iFinD公式)'!$B508=""),"",分期持仓明细!$AD$24*SUMPRODUCT(分期持仓明细!$B$24:$AA$24,'实盘净值数据(iFinD公式)'!$B508:$AA508/'实盘净值数据(iFinD公式)'!$B$65:$AA$65)*(1-实盘持仓初始配置!$Z$8)^(('实盘净值数据(iFinD公式)'!$A508-'实盘净值数据(iFinD公式)'!$A$5)/365))</x:f>
        <x:v>#NAME?</x:v>
      </x:c>
      <x:c r="O508" s="152" t="e">
        <x:f>IF(OR(N507="",N508=""),"",N508/N507-1)</x:f>
        <x:v>#NAME?</x:v>
      </x:c>
      <x:c r="P508" s="152" t="e">
        <x:f>IF(N508="","",N508/MAX(N$5:N508)-1)</x:f>
        <x:v>#NAME?</x:v>
      </x:c>
      <x:c r="Q508" s="146" t="e">
        <x:f>IF(OR('实盘净值数据(iFinD公式)'!$A508="",'实盘净值数据(iFinD公式)'!$B508=""),"",分期持仓明细!$AD$25*SUMPRODUCT(分期持仓明细!$B$25:$AA$25,'实盘净值数据(iFinD公式)'!$B508:$AA508/'实盘净值数据(iFinD公式)'!$B$65:$AA$65)*(1-实盘持仓初始配置!$Z$9)^(('实盘净值数据(iFinD公式)'!$A508-'实盘净值数据(iFinD公式)'!$A$8)/365))</x:f>
        <x:v>#NAME?</x:v>
      </x:c>
      <x:c r="R508" s="152" t="e">
        <x:f>IF(OR(Q507="",Q508=""),"",Q508/Q507-1)</x:f>
        <x:v>#NAME?</x:v>
      </x:c>
      <x:c r="S508" s="152" t="e">
        <x:f>IF(Q508="","",Q508/MAX(Q$5:Q508)-1)</x:f>
        <x:v>#NAME?</x:v>
      </x:c>
    </x:row>
    <x:row r="509">
      <x:c r="A509" s="149" t="str">
        <x:f>IF('实盘净值数据(iFinD公式)'!A509="","",'实盘净值数据(iFinD公式)'!A509)</x:f>
      </x:c>
      <x:c r="B509" s="146" t="e">
        <x:f>IF(OR('实盘净值数据(iFinD公式)'!$A509="",'实盘净值数据(iFinD公式)'!$B509=""),"",分期持仓明细!$AD$17*SUMPRODUCT(分期持仓明细!$B$17:$AA$17,'实盘净值数据(iFinD公式)'!$B509:$AA509/'实盘净值数据(iFinD公式)'!$B$20:$AA$20)*(1-实盘持仓初始配置!$Z$4)^(('实盘净值数据(iFinD公式)'!$A509-'实盘净值数据(iFinD公式)'!$A$6)/365))</x:f>
        <x:v>#NAME?</x:v>
      </x:c>
      <x:c r="C509" s="152" t="e">
        <x:f>IF(OR(B508="",B509=""),"",B509/B508-1)</x:f>
        <x:v>#NAME?</x:v>
      </x:c>
      <x:c r="D509" s="152" t="e">
        <x:f>IF(B509="","",B509/MAX(B$5:B509)-1)</x:f>
        <x:v>#NAME?</x:v>
      </x:c>
      <x:c r="E509" s="146" t="e">
        <x:f>IF(OR('实盘净值数据(iFinD公式)'!$A509="",'实盘净值数据(iFinD公式)'!$B509=""),"",分期持仓明细!$AD$18*SUMPRODUCT(分期持仓明细!$B$18:$AA$18,'实盘净值数据(iFinD公式)'!$B509:$AA509/'实盘净值数据(iFinD公式)'!$B$20:$AA$20)*(1-实盘持仓初始配置!$Z$5)^(('实盘净值数据(iFinD公式)'!$A509-'实盘净值数据(iFinD公式)'!$A$5)/365))</x:f>
        <x:v>#NAME?</x:v>
      </x:c>
      <x:c r="F509" s="152" t="e">
        <x:f>IF(OR(E508="",E509=""),"",E509/E508-1)</x:f>
        <x:v>#NAME?</x:v>
      </x:c>
      <x:c r="G509" s="152" t="e">
        <x:f>IF(E509="","",E509/MAX(E$5:E509)-1)</x:f>
        <x:v>#NAME?</x:v>
      </x:c>
      <x:c r="H509" s="146" t="e">
        <x:f>IF(OR('实盘净值数据(iFinD公式)'!$A509="",'实盘净值数据(iFinD公式)'!$B509=""),"",分期持仓明细!$AD$19*SUMPRODUCT(分期持仓明细!$B$19:$AA$19,'实盘净值数据(iFinD公式)'!$B509:$AA509/'实盘净值数据(iFinD公式)'!$B$20:$AA$20)*(1-实盘持仓初始配置!$Z$6)^(('实盘净值数据(iFinD公式)'!$A509-'实盘净值数据(iFinD公式)'!$A$7)/365))</x:f>
        <x:v>#NAME?</x:v>
      </x:c>
      <x:c r="I509" s="152" t="e">
        <x:f>IF(OR(H508="",H509=""),"",H509/H508-1)</x:f>
        <x:v>#NAME?</x:v>
      </x:c>
      <x:c r="J509" s="152" t="e">
        <x:f>IF(H509="","",H509/MAX(H$5:H509)-1)</x:f>
        <x:v>#NAME?</x:v>
      </x:c>
      <x:c r="K509" s="146" t="e">
        <x:f>IF(OR('实盘净值数据(iFinD公式)'!$A509="",'实盘净值数据(iFinD公式)'!$B509=""),"",分期持仓明细!$AD$23*SUMPRODUCT(分期持仓明细!$B$23:$AA$23,'实盘净值数据(iFinD公式)'!$B509:$AA509/'实盘净值数据(iFinD公式)'!$B$65:$AA$65)*(1-实盘持仓初始配置!$Z$7)^(('实盘净值数据(iFinD公式)'!$A509-'实盘净值数据(iFinD公式)'!$A$8)/365))</x:f>
        <x:v>#NAME?</x:v>
      </x:c>
      <x:c r="L509" s="152" t="e">
        <x:f>IF(OR(K508="",K509=""),"",K509/K508-1)</x:f>
        <x:v>#NAME?</x:v>
      </x:c>
      <x:c r="M509" s="152" t="e">
        <x:f>IF(K509="","",K509/MAX(K$5:K509)-1)</x:f>
        <x:v>#NAME?</x:v>
      </x:c>
      <x:c r="N509" s="146" t="e">
        <x:f>IF(OR('实盘净值数据(iFinD公式)'!$A509="",'实盘净值数据(iFinD公式)'!$B509=""),"",分期持仓明细!$AD$24*SUMPRODUCT(分期持仓明细!$B$24:$AA$24,'实盘净值数据(iFinD公式)'!$B509:$AA509/'实盘净值数据(iFinD公式)'!$B$65:$AA$65)*(1-实盘持仓初始配置!$Z$8)^(('实盘净值数据(iFinD公式)'!$A509-'实盘净值数据(iFinD公式)'!$A$5)/365))</x:f>
        <x:v>#NAME?</x:v>
      </x:c>
      <x:c r="O509" s="152" t="e">
        <x:f>IF(OR(N508="",N509=""),"",N509/N508-1)</x:f>
        <x:v>#NAME?</x:v>
      </x:c>
      <x:c r="P509" s="152" t="e">
        <x:f>IF(N509="","",N509/MAX(N$5:N509)-1)</x:f>
        <x:v>#NAME?</x:v>
      </x:c>
      <x:c r="Q509" s="146" t="e">
        <x:f>IF(OR('实盘净值数据(iFinD公式)'!$A509="",'实盘净值数据(iFinD公式)'!$B509=""),"",分期持仓明细!$AD$25*SUMPRODUCT(分期持仓明细!$B$25:$AA$25,'实盘净值数据(iFinD公式)'!$B509:$AA509/'实盘净值数据(iFinD公式)'!$B$65:$AA$65)*(1-实盘持仓初始配置!$Z$9)^(('实盘净值数据(iFinD公式)'!$A509-'实盘净值数据(iFinD公式)'!$A$8)/365))</x:f>
        <x:v>#NAME?</x:v>
      </x:c>
      <x:c r="R509" s="152" t="e">
        <x:f>IF(OR(Q508="",Q509=""),"",Q509/Q508-1)</x:f>
        <x:v>#NAME?</x:v>
      </x:c>
      <x:c r="S509" s="152" t="e">
        <x:f>IF(Q509="","",Q509/MAX(Q$5:Q509)-1)</x:f>
        <x:v>#NAME?</x:v>
      </x:c>
    </x:row>
    <x:row r="510">
      <x:c r="A510" s="149" t="str">
        <x:f>IF('实盘净值数据(iFinD公式)'!A510="","",'实盘净值数据(iFinD公式)'!A510)</x:f>
      </x:c>
      <x:c r="B510" s="146" t="e">
        <x:f>IF(OR('实盘净值数据(iFinD公式)'!$A510="",'实盘净值数据(iFinD公式)'!$B510=""),"",分期持仓明细!$AD$17*SUMPRODUCT(分期持仓明细!$B$17:$AA$17,'实盘净值数据(iFinD公式)'!$B510:$AA510/'实盘净值数据(iFinD公式)'!$B$20:$AA$20)*(1-实盘持仓初始配置!$Z$4)^(('实盘净值数据(iFinD公式)'!$A510-'实盘净值数据(iFinD公式)'!$A$6)/365))</x:f>
        <x:v>#NAME?</x:v>
      </x:c>
      <x:c r="C510" s="152" t="e">
        <x:f>IF(OR(B509="",B510=""),"",B510/B509-1)</x:f>
        <x:v>#NAME?</x:v>
      </x:c>
      <x:c r="D510" s="152" t="e">
        <x:f>IF(B510="","",B510/MAX(B$5:B510)-1)</x:f>
        <x:v>#NAME?</x:v>
      </x:c>
      <x:c r="E510" s="146" t="e">
        <x:f>IF(OR('实盘净值数据(iFinD公式)'!$A510="",'实盘净值数据(iFinD公式)'!$B510=""),"",分期持仓明细!$AD$18*SUMPRODUCT(分期持仓明细!$B$18:$AA$18,'实盘净值数据(iFinD公式)'!$B510:$AA510/'实盘净值数据(iFinD公式)'!$B$20:$AA$20)*(1-实盘持仓初始配置!$Z$5)^(('实盘净值数据(iFinD公式)'!$A510-'实盘净值数据(iFinD公式)'!$A$5)/365))</x:f>
        <x:v>#NAME?</x:v>
      </x:c>
      <x:c r="F510" s="152" t="e">
        <x:f>IF(OR(E509="",E510=""),"",E510/E509-1)</x:f>
        <x:v>#NAME?</x:v>
      </x:c>
      <x:c r="G510" s="152" t="e">
        <x:f>IF(E510="","",E510/MAX(E$5:E510)-1)</x:f>
        <x:v>#NAME?</x:v>
      </x:c>
      <x:c r="H510" s="146" t="e">
        <x:f>IF(OR('实盘净值数据(iFinD公式)'!$A510="",'实盘净值数据(iFinD公式)'!$B510=""),"",分期持仓明细!$AD$19*SUMPRODUCT(分期持仓明细!$B$19:$AA$19,'实盘净值数据(iFinD公式)'!$B510:$AA510/'实盘净值数据(iFinD公式)'!$B$20:$AA$20)*(1-实盘持仓初始配置!$Z$6)^(('实盘净值数据(iFinD公式)'!$A510-'实盘净值数据(iFinD公式)'!$A$7)/365))</x:f>
        <x:v>#NAME?</x:v>
      </x:c>
      <x:c r="I510" s="152" t="e">
        <x:f>IF(OR(H509="",H510=""),"",H510/H509-1)</x:f>
        <x:v>#NAME?</x:v>
      </x:c>
      <x:c r="J510" s="152" t="e">
        <x:f>IF(H510="","",H510/MAX(H$5:H510)-1)</x:f>
        <x:v>#NAME?</x:v>
      </x:c>
      <x:c r="K510" s="146" t="e">
        <x:f>IF(OR('实盘净值数据(iFinD公式)'!$A510="",'实盘净值数据(iFinD公式)'!$B510=""),"",分期持仓明细!$AD$23*SUMPRODUCT(分期持仓明细!$B$23:$AA$23,'实盘净值数据(iFinD公式)'!$B510:$AA510/'实盘净值数据(iFinD公式)'!$B$65:$AA$65)*(1-实盘持仓初始配置!$Z$7)^(('实盘净值数据(iFinD公式)'!$A510-'实盘净值数据(iFinD公式)'!$A$8)/365))</x:f>
        <x:v>#NAME?</x:v>
      </x:c>
      <x:c r="L510" s="152" t="e">
        <x:f>IF(OR(K509="",K510=""),"",K510/K509-1)</x:f>
        <x:v>#NAME?</x:v>
      </x:c>
      <x:c r="M510" s="152" t="e">
        <x:f>IF(K510="","",K510/MAX(K$5:K510)-1)</x:f>
        <x:v>#NAME?</x:v>
      </x:c>
      <x:c r="N510" s="146" t="e">
        <x:f>IF(OR('实盘净值数据(iFinD公式)'!$A510="",'实盘净值数据(iFinD公式)'!$B510=""),"",分期持仓明细!$AD$24*SUMPRODUCT(分期持仓明细!$B$24:$AA$24,'实盘净值数据(iFinD公式)'!$B510:$AA510/'实盘净值数据(iFinD公式)'!$B$65:$AA$65)*(1-实盘持仓初始配置!$Z$8)^(('实盘净值数据(iFinD公式)'!$A510-'实盘净值数据(iFinD公式)'!$A$5)/365))</x:f>
        <x:v>#NAME?</x:v>
      </x:c>
      <x:c r="O510" s="152" t="e">
        <x:f>IF(OR(N509="",N510=""),"",N510/N509-1)</x:f>
        <x:v>#NAME?</x:v>
      </x:c>
      <x:c r="P510" s="152" t="e">
        <x:f>IF(N510="","",N510/MAX(N$5:N510)-1)</x:f>
        <x:v>#NAME?</x:v>
      </x:c>
      <x:c r="Q510" s="146" t="e">
        <x:f>IF(OR('实盘净值数据(iFinD公式)'!$A510="",'实盘净值数据(iFinD公式)'!$B510=""),"",分期持仓明细!$AD$25*SUMPRODUCT(分期持仓明细!$B$25:$AA$25,'实盘净值数据(iFinD公式)'!$B510:$AA510/'实盘净值数据(iFinD公式)'!$B$65:$AA$65)*(1-实盘持仓初始配置!$Z$9)^(('实盘净值数据(iFinD公式)'!$A510-'实盘净值数据(iFinD公式)'!$A$8)/365))</x:f>
        <x:v>#NAME?</x:v>
      </x:c>
      <x:c r="R510" s="152" t="e">
        <x:f>IF(OR(Q509="",Q510=""),"",Q510/Q509-1)</x:f>
        <x:v>#NAME?</x:v>
      </x:c>
      <x:c r="S510" s="152" t="e">
        <x:f>IF(Q510="","",Q510/MAX(Q$5:Q510)-1)</x:f>
        <x:v>#NAME?</x:v>
      </x:c>
    </x:row>
    <x:row r="511">
      <x:c r="A511" s="149" t="str">
        <x:f>IF('实盘净值数据(iFinD公式)'!A511="","",'实盘净值数据(iFinD公式)'!A511)</x:f>
      </x:c>
      <x:c r="B511" s="146" t="e">
        <x:f>IF(OR('实盘净值数据(iFinD公式)'!$A511="",'实盘净值数据(iFinD公式)'!$B511=""),"",分期持仓明细!$AD$17*SUMPRODUCT(分期持仓明细!$B$17:$AA$17,'实盘净值数据(iFinD公式)'!$B511:$AA511/'实盘净值数据(iFinD公式)'!$B$20:$AA$20)*(1-实盘持仓初始配置!$Z$4)^(('实盘净值数据(iFinD公式)'!$A511-'实盘净值数据(iFinD公式)'!$A$6)/365))</x:f>
        <x:v>#NAME?</x:v>
      </x:c>
      <x:c r="C511" s="152" t="e">
        <x:f>IF(OR(B510="",B511=""),"",B511/B510-1)</x:f>
        <x:v>#NAME?</x:v>
      </x:c>
      <x:c r="D511" s="152" t="e">
        <x:f>IF(B511="","",B511/MAX(B$5:B511)-1)</x:f>
        <x:v>#NAME?</x:v>
      </x:c>
      <x:c r="E511" s="146" t="e">
        <x:f>IF(OR('实盘净值数据(iFinD公式)'!$A511="",'实盘净值数据(iFinD公式)'!$B511=""),"",分期持仓明细!$AD$18*SUMPRODUCT(分期持仓明细!$B$18:$AA$18,'实盘净值数据(iFinD公式)'!$B511:$AA511/'实盘净值数据(iFinD公式)'!$B$20:$AA$20)*(1-实盘持仓初始配置!$Z$5)^(('实盘净值数据(iFinD公式)'!$A511-'实盘净值数据(iFinD公式)'!$A$5)/365))</x:f>
        <x:v>#NAME?</x:v>
      </x:c>
      <x:c r="F511" s="152" t="e">
        <x:f>IF(OR(E510="",E511=""),"",E511/E510-1)</x:f>
        <x:v>#NAME?</x:v>
      </x:c>
      <x:c r="G511" s="152" t="e">
        <x:f>IF(E511="","",E511/MAX(E$5:E511)-1)</x:f>
        <x:v>#NAME?</x:v>
      </x:c>
      <x:c r="H511" s="146" t="e">
        <x:f>IF(OR('实盘净值数据(iFinD公式)'!$A511="",'实盘净值数据(iFinD公式)'!$B511=""),"",分期持仓明细!$AD$19*SUMPRODUCT(分期持仓明细!$B$19:$AA$19,'实盘净值数据(iFinD公式)'!$B511:$AA511/'实盘净值数据(iFinD公式)'!$B$20:$AA$20)*(1-实盘持仓初始配置!$Z$6)^(('实盘净值数据(iFinD公式)'!$A511-'实盘净值数据(iFinD公式)'!$A$7)/365))</x:f>
        <x:v>#NAME?</x:v>
      </x:c>
      <x:c r="I511" s="152" t="e">
        <x:f>IF(OR(H510="",H511=""),"",H511/H510-1)</x:f>
        <x:v>#NAME?</x:v>
      </x:c>
      <x:c r="J511" s="152" t="e">
        <x:f>IF(H511="","",H511/MAX(H$5:H511)-1)</x:f>
        <x:v>#NAME?</x:v>
      </x:c>
      <x:c r="K511" s="146" t="e">
        <x:f>IF(OR('实盘净值数据(iFinD公式)'!$A511="",'实盘净值数据(iFinD公式)'!$B511=""),"",分期持仓明细!$AD$23*SUMPRODUCT(分期持仓明细!$B$23:$AA$23,'实盘净值数据(iFinD公式)'!$B511:$AA511/'实盘净值数据(iFinD公式)'!$B$65:$AA$65)*(1-实盘持仓初始配置!$Z$7)^(('实盘净值数据(iFinD公式)'!$A511-'实盘净值数据(iFinD公式)'!$A$8)/365))</x:f>
        <x:v>#NAME?</x:v>
      </x:c>
      <x:c r="L511" s="152" t="e">
        <x:f>IF(OR(K510="",K511=""),"",K511/K510-1)</x:f>
        <x:v>#NAME?</x:v>
      </x:c>
      <x:c r="M511" s="152" t="e">
        <x:f>IF(K511="","",K511/MAX(K$5:K511)-1)</x:f>
        <x:v>#NAME?</x:v>
      </x:c>
      <x:c r="N511" s="146" t="e">
        <x:f>IF(OR('实盘净值数据(iFinD公式)'!$A511="",'实盘净值数据(iFinD公式)'!$B511=""),"",分期持仓明细!$AD$24*SUMPRODUCT(分期持仓明细!$B$24:$AA$24,'实盘净值数据(iFinD公式)'!$B511:$AA511/'实盘净值数据(iFinD公式)'!$B$65:$AA$65)*(1-实盘持仓初始配置!$Z$8)^(('实盘净值数据(iFinD公式)'!$A511-'实盘净值数据(iFinD公式)'!$A$5)/365))</x:f>
        <x:v>#NAME?</x:v>
      </x:c>
      <x:c r="O511" s="152" t="e">
        <x:f>IF(OR(N510="",N511=""),"",N511/N510-1)</x:f>
        <x:v>#NAME?</x:v>
      </x:c>
      <x:c r="P511" s="152" t="e">
        <x:f>IF(N511="","",N511/MAX(N$5:N511)-1)</x:f>
        <x:v>#NAME?</x:v>
      </x:c>
      <x:c r="Q511" s="146" t="e">
        <x:f>IF(OR('实盘净值数据(iFinD公式)'!$A511="",'实盘净值数据(iFinD公式)'!$B511=""),"",分期持仓明细!$AD$25*SUMPRODUCT(分期持仓明细!$B$25:$AA$25,'实盘净值数据(iFinD公式)'!$B511:$AA511/'实盘净值数据(iFinD公式)'!$B$65:$AA$65)*(1-实盘持仓初始配置!$Z$9)^(('实盘净值数据(iFinD公式)'!$A511-'实盘净值数据(iFinD公式)'!$A$8)/365))</x:f>
        <x:v>#NAME?</x:v>
      </x:c>
      <x:c r="R511" s="152" t="e">
        <x:f>IF(OR(Q510="",Q511=""),"",Q511/Q510-1)</x:f>
        <x:v>#NAME?</x:v>
      </x:c>
      <x:c r="S511" s="152" t="e">
        <x:f>IF(Q511="","",Q511/MAX(Q$5:Q511)-1)</x:f>
        <x:v>#NAME?</x:v>
      </x:c>
    </x:row>
    <x:row r="512">
      <x:c r="A512" s="149" t="str">
        <x:f>IF('实盘净值数据(iFinD公式)'!A512="","",'实盘净值数据(iFinD公式)'!A512)</x:f>
      </x:c>
      <x:c r="B512" s="146" t="e">
        <x:f>IF(OR('实盘净值数据(iFinD公式)'!$A512="",'实盘净值数据(iFinD公式)'!$B512=""),"",分期持仓明细!$AD$17*SUMPRODUCT(分期持仓明细!$B$17:$AA$17,'实盘净值数据(iFinD公式)'!$B512:$AA512/'实盘净值数据(iFinD公式)'!$B$20:$AA$20)*(1-实盘持仓初始配置!$Z$4)^(('实盘净值数据(iFinD公式)'!$A512-'实盘净值数据(iFinD公式)'!$A$6)/365))</x:f>
        <x:v>#NAME?</x:v>
      </x:c>
      <x:c r="C512" s="152" t="e">
        <x:f>IF(OR(B511="",B512=""),"",B512/B511-1)</x:f>
        <x:v>#NAME?</x:v>
      </x:c>
      <x:c r="D512" s="152" t="e">
        <x:f>IF(B512="","",B512/MAX(B$5:B512)-1)</x:f>
        <x:v>#NAME?</x:v>
      </x:c>
      <x:c r="E512" s="146" t="e">
        <x:f>IF(OR('实盘净值数据(iFinD公式)'!$A512="",'实盘净值数据(iFinD公式)'!$B512=""),"",分期持仓明细!$AD$18*SUMPRODUCT(分期持仓明细!$B$18:$AA$18,'实盘净值数据(iFinD公式)'!$B512:$AA512/'实盘净值数据(iFinD公式)'!$B$20:$AA$20)*(1-实盘持仓初始配置!$Z$5)^(('实盘净值数据(iFinD公式)'!$A512-'实盘净值数据(iFinD公式)'!$A$5)/365))</x:f>
        <x:v>#NAME?</x:v>
      </x:c>
      <x:c r="F512" s="152" t="e">
        <x:f>IF(OR(E511="",E512=""),"",E512/E511-1)</x:f>
        <x:v>#NAME?</x:v>
      </x:c>
      <x:c r="G512" s="152" t="e">
        <x:f>IF(E512="","",E512/MAX(E$5:E512)-1)</x:f>
        <x:v>#NAME?</x:v>
      </x:c>
      <x:c r="H512" s="146" t="e">
        <x:f>IF(OR('实盘净值数据(iFinD公式)'!$A512="",'实盘净值数据(iFinD公式)'!$B512=""),"",分期持仓明细!$AD$19*SUMPRODUCT(分期持仓明细!$B$19:$AA$19,'实盘净值数据(iFinD公式)'!$B512:$AA512/'实盘净值数据(iFinD公式)'!$B$20:$AA$20)*(1-实盘持仓初始配置!$Z$6)^(('实盘净值数据(iFinD公式)'!$A512-'实盘净值数据(iFinD公式)'!$A$7)/365))</x:f>
        <x:v>#NAME?</x:v>
      </x:c>
      <x:c r="I512" s="152" t="e">
        <x:f>IF(OR(H511="",H512=""),"",H512/H511-1)</x:f>
        <x:v>#NAME?</x:v>
      </x:c>
      <x:c r="J512" s="152" t="e">
        <x:f>IF(H512="","",H512/MAX(H$5:H512)-1)</x:f>
        <x:v>#NAME?</x:v>
      </x:c>
      <x:c r="K512" s="146" t="e">
        <x:f>IF(OR('实盘净值数据(iFinD公式)'!$A512="",'实盘净值数据(iFinD公式)'!$B512=""),"",分期持仓明细!$AD$23*SUMPRODUCT(分期持仓明细!$B$23:$AA$23,'实盘净值数据(iFinD公式)'!$B512:$AA512/'实盘净值数据(iFinD公式)'!$B$65:$AA$65)*(1-实盘持仓初始配置!$Z$7)^(('实盘净值数据(iFinD公式)'!$A512-'实盘净值数据(iFinD公式)'!$A$8)/365))</x:f>
        <x:v>#NAME?</x:v>
      </x:c>
      <x:c r="L512" s="152" t="e">
        <x:f>IF(OR(K511="",K512=""),"",K512/K511-1)</x:f>
        <x:v>#NAME?</x:v>
      </x:c>
      <x:c r="M512" s="152" t="e">
        <x:f>IF(K512="","",K512/MAX(K$5:K512)-1)</x:f>
        <x:v>#NAME?</x:v>
      </x:c>
      <x:c r="N512" s="146" t="e">
        <x:f>IF(OR('实盘净值数据(iFinD公式)'!$A512="",'实盘净值数据(iFinD公式)'!$B512=""),"",分期持仓明细!$AD$24*SUMPRODUCT(分期持仓明细!$B$24:$AA$24,'实盘净值数据(iFinD公式)'!$B512:$AA512/'实盘净值数据(iFinD公式)'!$B$65:$AA$65)*(1-实盘持仓初始配置!$Z$8)^(('实盘净值数据(iFinD公式)'!$A512-'实盘净值数据(iFinD公式)'!$A$5)/365))</x:f>
        <x:v>#NAME?</x:v>
      </x:c>
      <x:c r="O512" s="152" t="e">
        <x:f>IF(OR(N511="",N512=""),"",N512/N511-1)</x:f>
        <x:v>#NAME?</x:v>
      </x:c>
      <x:c r="P512" s="152" t="e">
        <x:f>IF(N512="","",N512/MAX(N$5:N512)-1)</x:f>
        <x:v>#NAME?</x:v>
      </x:c>
      <x:c r="Q512" s="146" t="e">
        <x:f>IF(OR('实盘净值数据(iFinD公式)'!$A512="",'实盘净值数据(iFinD公式)'!$B512=""),"",分期持仓明细!$AD$25*SUMPRODUCT(分期持仓明细!$B$25:$AA$25,'实盘净值数据(iFinD公式)'!$B512:$AA512/'实盘净值数据(iFinD公式)'!$B$65:$AA$65)*(1-实盘持仓初始配置!$Z$9)^(('实盘净值数据(iFinD公式)'!$A512-'实盘净值数据(iFinD公式)'!$A$8)/365))</x:f>
        <x:v>#NAME?</x:v>
      </x:c>
      <x:c r="R512" s="152" t="e">
        <x:f>IF(OR(Q511="",Q512=""),"",Q512/Q511-1)</x:f>
        <x:v>#NAME?</x:v>
      </x:c>
      <x:c r="S512" s="152" t="e">
        <x:f>IF(Q512="","",Q512/MAX(Q$5:Q512)-1)</x:f>
        <x:v>#NAME?</x:v>
      </x:c>
    </x:row>
    <x:row r="513">
      <x:c r="A513" s="149" t="str">
        <x:f>IF('实盘净值数据(iFinD公式)'!A513="","",'实盘净值数据(iFinD公式)'!A513)</x:f>
      </x:c>
      <x:c r="B513" s="146" t="e">
        <x:f>IF(OR('实盘净值数据(iFinD公式)'!$A513="",'实盘净值数据(iFinD公式)'!$B513=""),"",分期持仓明细!$AD$17*SUMPRODUCT(分期持仓明细!$B$17:$AA$17,'实盘净值数据(iFinD公式)'!$B513:$AA513/'实盘净值数据(iFinD公式)'!$B$20:$AA$20)*(1-实盘持仓初始配置!$Z$4)^(('实盘净值数据(iFinD公式)'!$A513-'实盘净值数据(iFinD公式)'!$A$6)/365))</x:f>
        <x:v>#NAME?</x:v>
      </x:c>
      <x:c r="C513" s="152" t="e">
        <x:f>IF(OR(B512="",B513=""),"",B513/B512-1)</x:f>
        <x:v>#NAME?</x:v>
      </x:c>
      <x:c r="D513" s="152" t="e">
        <x:f>IF(B513="","",B513/MAX(B$5:B513)-1)</x:f>
        <x:v>#NAME?</x:v>
      </x:c>
      <x:c r="E513" s="146" t="e">
        <x:f>IF(OR('实盘净值数据(iFinD公式)'!$A513="",'实盘净值数据(iFinD公式)'!$B513=""),"",分期持仓明细!$AD$18*SUMPRODUCT(分期持仓明细!$B$18:$AA$18,'实盘净值数据(iFinD公式)'!$B513:$AA513/'实盘净值数据(iFinD公式)'!$B$20:$AA$20)*(1-实盘持仓初始配置!$Z$5)^(('实盘净值数据(iFinD公式)'!$A513-'实盘净值数据(iFinD公式)'!$A$5)/365))</x:f>
        <x:v>#NAME?</x:v>
      </x:c>
      <x:c r="F513" s="152" t="e">
        <x:f>IF(OR(E512="",E513=""),"",E513/E512-1)</x:f>
        <x:v>#NAME?</x:v>
      </x:c>
      <x:c r="G513" s="152" t="e">
        <x:f>IF(E513="","",E513/MAX(E$5:E513)-1)</x:f>
        <x:v>#NAME?</x:v>
      </x:c>
      <x:c r="H513" s="146" t="e">
        <x:f>IF(OR('实盘净值数据(iFinD公式)'!$A513="",'实盘净值数据(iFinD公式)'!$B513=""),"",分期持仓明细!$AD$19*SUMPRODUCT(分期持仓明细!$B$19:$AA$19,'实盘净值数据(iFinD公式)'!$B513:$AA513/'实盘净值数据(iFinD公式)'!$B$20:$AA$20)*(1-实盘持仓初始配置!$Z$6)^(('实盘净值数据(iFinD公式)'!$A513-'实盘净值数据(iFinD公式)'!$A$7)/365))</x:f>
        <x:v>#NAME?</x:v>
      </x:c>
      <x:c r="I513" s="152" t="e">
        <x:f>IF(OR(H512="",H513=""),"",H513/H512-1)</x:f>
        <x:v>#NAME?</x:v>
      </x:c>
      <x:c r="J513" s="152" t="e">
        <x:f>IF(H513="","",H513/MAX(H$5:H513)-1)</x:f>
        <x:v>#NAME?</x:v>
      </x:c>
      <x:c r="K513" s="146" t="e">
        <x:f>IF(OR('实盘净值数据(iFinD公式)'!$A513="",'实盘净值数据(iFinD公式)'!$B513=""),"",分期持仓明细!$AD$23*SUMPRODUCT(分期持仓明细!$B$23:$AA$23,'实盘净值数据(iFinD公式)'!$B513:$AA513/'实盘净值数据(iFinD公式)'!$B$65:$AA$65)*(1-实盘持仓初始配置!$Z$7)^(('实盘净值数据(iFinD公式)'!$A513-'实盘净值数据(iFinD公式)'!$A$8)/365))</x:f>
        <x:v>#NAME?</x:v>
      </x:c>
      <x:c r="L513" s="152" t="e">
        <x:f>IF(OR(K512="",K513=""),"",K513/K512-1)</x:f>
        <x:v>#NAME?</x:v>
      </x:c>
      <x:c r="M513" s="152" t="e">
        <x:f>IF(K513="","",K513/MAX(K$5:K513)-1)</x:f>
        <x:v>#NAME?</x:v>
      </x:c>
      <x:c r="N513" s="146" t="e">
        <x:f>IF(OR('实盘净值数据(iFinD公式)'!$A513="",'实盘净值数据(iFinD公式)'!$B513=""),"",分期持仓明细!$AD$24*SUMPRODUCT(分期持仓明细!$B$24:$AA$24,'实盘净值数据(iFinD公式)'!$B513:$AA513/'实盘净值数据(iFinD公式)'!$B$65:$AA$65)*(1-实盘持仓初始配置!$Z$8)^(('实盘净值数据(iFinD公式)'!$A513-'实盘净值数据(iFinD公式)'!$A$5)/365))</x:f>
        <x:v>#NAME?</x:v>
      </x:c>
      <x:c r="O513" s="152" t="e">
        <x:f>IF(OR(N512="",N513=""),"",N513/N512-1)</x:f>
        <x:v>#NAME?</x:v>
      </x:c>
      <x:c r="P513" s="152" t="e">
        <x:f>IF(N513="","",N513/MAX(N$5:N513)-1)</x:f>
        <x:v>#NAME?</x:v>
      </x:c>
      <x:c r="Q513" s="146" t="e">
        <x:f>IF(OR('实盘净值数据(iFinD公式)'!$A513="",'实盘净值数据(iFinD公式)'!$B513=""),"",分期持仓明细!$AD$25*SUMPRODUCT(分期持仓明细!$B$25:$AA$25,'实盘净值数据(iFinD公式)'!$B513:$AA513/'实盘净值数据(iFinD公式)'!$B$65:$AA$65)*(1-实盘持仓初始配置!$Z$9)^(('实盘净值数据(iFinD公式)'!$A513-'实盘净值数据(iFinD公式)'!$A$8)/365))</x:f>
        <x:v>#NAME?</x:v>
      </x:c>
      <x:c r="R513" s="152" t="e">
        <x:f>IF(OR(Q512="",Q513=""),"",Q513/Q512-1)</x:f>
        <x:v>#NAME?</x:v>
      </x:c>
      <x:c r="S513" s="152" t="e">
        <x:f>IF(Q513="","",Q513/MAX(Q$5:Q513)-1)</x:f>
        <x:v>#NAME?</x:v>
      </x:c>
    </x:row>
    <x:row r="514">
      <x:c r="A514" s="149" t="str">
        <x:f>IF('实盘净值数据(iFinD公式)'!A514="","",'实盘净值数据(iFinD公式)'!A514)</x:f>
      </x:c>
      <x:c r="B514" s="146" t="e">
        <x:f>IF(OR('实盘净值数据(iFinD公式)'!$A514="",'实盘净值数据(iFinD公式)'!$B514=""),"",分期持仓明细!$AD$17*SUMPRODUCT(分期持仓明细!$B$17:$AA$17,'实盘净值数据(iFinD公式)'!$B514:$AA514/'实盘净值数据(iFinD公式)'!$B$20:$AA$20)*(1-实盘持仓初始配置!$Z$4)^(('实盘净值数据(iFinD公式)'!$A514-'实盘净值数据(iFinD公式)'!$A$6)/365))</x:f>
        <x:v>#NAME?</x:v>
      </x:c>
      <x:c r="C514" s="152" t="e">
        <x:f>IF(OR(B513="",B514=""),"",B514/B513-1)</x:f>
        <x:v>#NAME?</x:v>
      </x:c>
      <x:c r="D514" s="152" t="e">
        <x:f>IF(B514="","",B514/MAX(B$5:B514)-1)</x:f>
        <x:v>#NAME?</x:v>
      </x:c>
      <x:c r="E514" s="146" t="e">
        <x:f>IF(OR('实盘净值数据(iFinD公式)'!$A514="",'实盘净值数据(iFinD公式)'!$B514=""),"",分期持仓明细!$AD$18*SUMPRODUCT(分期持仓明细!$B$18:$AA$18,'实盘净值数据(iFinD公式)'!$B514:$AA514/'实盘净值数据(iFinD公式)'!$B$20:$AA$20)*(1-实盘持仓初始配置!$Z$5)^(('实盘净值数据(iFinD公式)'!$A514-'实盘净值数据(iFinD公式)'!$A$5)/365))</x:f>
        <x:v>#NAME?</x:v>
      </x:c>
      <x:c r="F514" s="152" t="e">
        <x:f>IF(OR(E513="",E514=""),"",E514/E513-1)</x:f>
        <x:v>#NAME?</x:v>
      </x:c>
      <x:c r="G514" s="152" t="e">
        <x:f>IF(E514="","",E514/MAX(E$5:E514)-1)</x:f>
        <x:v>#NAME?</x:v>
      </x:c>
      <x:c r="H514" s="146" t="e">
        <x:f>IF(OR('实盘净值数据(iFinD公式)'!$A514="",'实盘净值数据(iFinD公式)'!$B514=""),"",分期持仓明细!$AD$19*SUMPRODUCT(分期持仓明细!$B$19:$AA$19,'实盘净值数据(iFinD公式)'!$B514:$AA514/'实盘净值数据(iFinD公式)'!$B$20:$AA$20)*(1-实盘持仓初始配置!$Z$6)^(('实盘净值数据(iFinD公式)'!$A514-'实盘净值数据(iFinD公式)'!$A$7)/365))</x:f>
        <x:v>#NAME?</x:v>
      </x:c>
      <x:c r="I514" s="152" t="e">
        <x:f>IF(OR(H513="",H514=""),"",H514/H513-1)</x:f>
        <x:v>#NAME?</x:v>
      </x:c>
      <x:c r="J514" s="152" t="e">
        <x:f>IF(H514="","",H514/MAX(H$5:H514)-1)</x:f>
        <x:v>#NAME?</x:v>
      </x:c>
      <x:c r="K514" s="146" t="e">
        <x:f>IF(OR('实盘净值数据(iFinD公式)'!$A514="",'实盘净值数据(iFinD公式)'!$B514=""),"",分期持仓明细!$AD$23*SUMPRODUCT(分期持仓明细!$B$23:$AA$23,'实盘净值数据(iFinD公式)'!$B514:$AA514/'实盘净值数据(iFinD公式)'!$B$65:$AA$65)*(1-实盘持仓初始配置!$Z$7)^(('实盘净值数据(iFinD公式)'!$A514-'实盘净值数据(iFinD公式)'!$A$8)/365))</x:f>
        <x:v>#NAME?</x:v>
      </x:c>
      <x:c r="L514" s="152" t="e">
        <x:f>IF(OR(K513="",K514=""),"",K514/K513-1)</x:f>
        <x:v>#NAME?</x:v>
      </x:c>
      <x:c r="M514" s="152" t="e">
        <x:f>IF(K514="","",K514/MAX(K$5:K514)-1)</x:f>
        <x:v>#NAME?</x:v>
      </x:c>
      <x:c r="N514" s="146" t="e">
        <x:f>IF(OR('实盘净值数据(iFinD公式)'!$A514="",'实盘净值数据(iFinD公式)'!$B514=""),"",分期持仓明细!$AD$24*SUMPRODUCT(分期持仓明细!$B$24:$AA$24,'实盘净值数据(iFinD公式)'!$B514:$AA514/'实盘净值数据(iFinD公式)'!$B$65:$AA$65)*(1-实盘持仓初始配置!$Z$8)^(('实盘净值数据(iFinD公式)'!$A514-'实盘净值数据(iFinD公式)'!$A$5)/365))</x:f>
        <x:v>#NAME?</x:v>
      </x:c>
      <x:c r="O514" s="152" t="e">
        <x:f>IF(OR(N513="",N514=""),"",N514/N513-1)</x:f>
        <x:v>#NAME?</x:v>
      </x:c>
      <x:c r="P514" s="152" t="e">
        <x:f>IF(N514="","",N514/MAX(N$5:N514)-1)</x:f>
        <x:v>#NAME?</x:v>
      </x:c>
      <x:c r="Q514" s="146" t="e">
        <x:f>IF(OR('实盘净值数据(iFinD公式)'!$A514="",'实盘净值数据(iFinD公式)'!$B514=""),"",分期持仓明细!$AD$25*SUMPRODUCT(分期持仓明细!$B$25:$AA$25,'实盘净值数据(iFinD公式)'!$B514:$AA514/'实盘净值数据(iFinD公式)'!$B$65:$AA$65)*(1-实盘持仓初始配置!$Z$9)^(('实盘净值数据(iFinD公式)'!$A514-'实盘净值数据(iFinD公式)'!$A$8)/365))</x:f>
        <x:v>#NAME?</x:v>
      </x:c>
      <x:c r="R514" s="152" t="e">
        <x:f>IF(OR(Q513="",Q514=""),"",Q514/Q513-1)</x:f>
        <x:v>#NAME?</x:v>
      </x:c>
      <x:c r="S514" s="152" t="e">
        <x:f>IF(Q514="","",Q514/MAX(Q$5:Q514)-1)</x:f>
        <x:v>#NAME?</x:v>
      </x:c>
    </x:row>
    <x:row r="515">
      <x:c r="A515" s="149" t="str">
        <x:f>IF('实盘净值数据(iFinD公式)'!A515="","",'实盘净值数据(iFinD公式)'!A515)</x:f>
      </x:c>
      <x:c r="B515" s="146" t="e">
        <x:f>IF(OR('实盘净值数据(iFinD公式)'!$A515="",'实盘净值数据(iFinD公式)'!$B515=""),"",分期持仓明细!$AD$17*SUMPRODUCT(分期持仓明细!$B$17:$AA$17,'实盘净值数据(iFinD公式)'!$B515:$AA515/'实盘净值数据(iFinD公式)'!$B$20:$AA$20)*(1-实盘持仓初始配置!$Z$4)^(('实盘净值数据(iFinD公式)'!$A515-'实盘净值数据(iFinD公式)'!$A$6)/365))</x:f>
        <x:v>#NAME?</x:v>
      </x:c>
      <x:c r="C515" s="152" t="e">
        <x:f>IF(OR(B514="",B515=""),"",B515/B514-1)</x:f>
        <x:v>#NAME?</x:v>
      </x:c>
      <x:c r="D515" s="152" t="e">
        <x:f>IF(B515="","",B515/MAX(B$5:B515)-1)</x:f>
        <x:v>#NAME?</x:v>
      </x:c>
      <x:c r="E515" s="146" t="e">
        <x:f>IF(OR('实盘净值数据(iFinD公式)'!$A515="",'实盘净值数据(iFinD公式)'!$B515=""),"",分期持仓明细!$AD$18*SUMPRODUCT(分期持仓明细!$B$18:$AA$18,'实盘净值数据(iFinD公式)'!$B515:$AA515/'实盘净值数据(iFinD公式)'!$B$20:$AA$20)*(1-实盘持仓初始配置!$Z$5)^(('实盘净值数据(iFinD公式)'!$A515-'实盘净值数据(iFinD公式)'!$A$5)/365))</x:f>
        <x:v>#NAME?</x:v>
      </x:c>
      <x:c r="F515" s="152" t="e">
        <x:f>IF(OR(E514="",E515=""),"",E515/E514-1)</x:f>
        <x:v>#NAME?</x:v>
      </x:c>
      <x:c r="G515" s="152" t="e">
        <x:f>IF(E515="","",E515/MAX(E$5:E515)-1)</x:f>
        <x:v>#NAME?</x:v>
      </x:c>
      <x:c r="H515" s="146" t="e">
        <x:f>IF(OR('实盘净值数据(iFinD公式)'!$A515="",'实盘净值数据(iFinD公式)'!$B515=""),"",分期持仓明细!$AD$19*SUMPRODUCT(分期持仓明细!$B$19:$AA$19,'实盘净值数据(iFinD公式)'!$B515:$AA515/'实盘净值数据(iFinD公式)'!$B$20:$AA$20)*(1-实盘持仓初始配置!$Z$6)^(('实盘净值数据(iFinD公式)'!$A515-'实盘净值数据(iFinD公式)'!$A$7)/365))</x:f>
        <x:v>#NAME?</x:v>
      </x:c>
      <x:c r="I515" s="152" t="e">
        <x:f>IF(OR(H514="",H515=""),"",H515/H514-1)</x:f>
        <x:v>#NAME?</x:v>
      </x:c>
      <x:c r="J515" s="152" t="e">
        <x:f>IF(H515="","",H515/MAX(H$5:H515)-1)</x:f>
        <x:v>#NAME?</x:v>
      </x:c>
      <x:c r="K515" s="146" t="e">
        <x:f>IF(OR('实盘净值数据(iFinD公式)'!$A515="",'实盘净值数据(iFinD公式)'!$B515=""),"",分期持仓明细!$AD$23*SUMPRODUCT(分期持仓明细!$B$23:$AA$23,'实盘净值数据(iFinD公式)'!$B515:$AA515/'实盘净值数据(iFinD公式)'!$B$65:$AA$65)*(1-实盘持仓初始配置!$Z$7)^(('实盘净值数据(iFinD公式)'!$A515-'实盘净值数据(iFinD公式)'!$A$8)/365))</x:f>
        <x:v>#NAME?</x:v>
      </x:c>
      <x:c r="L515" s="152" t="e">
        <x:f>IF(OR(K514="",K515=""),"",K515/K514-1)</x:f>
        <x:v>#NAME?</x:v>
      </x:c>
      <x:c r="M515" s="152" t="e">
        <x:f>IF(K515="","",K515/MAX(K$5:K515)-1)</x:f>
        <x:v>#NAME?</x:v>
      </x:c>
      <x:c r="N515" s="146" t="e">
        <x:f>IF(OR('实盘净值数据(iFinD公式)'!$A515="",'实盘净值数据(iFinD公式)'!$B515=""),"",分期持仓明细!$AD$24*SUMPRODUCT(分期持仓明细!$B$24:$AA$24,'实盘净值数据(iFinD公式)'!$B515:$AA515/'实盘净值数据(iFinD公式)'!$B$65:$AA$65)*(1-实盘持仓初始配置!$Z$8)^(('实盘净值数据(iFinD公式)'!$A515-'实盘净值数据(iFinD公式)'!$A$5)/365))</x:f>
        <x:v>#NAME?</x:v>
      </x:c>
      <x:c r="O515" s="152" t="e">
        <x:f>IF(OR(N514="",N515=""),"",N515/N514-1)</x:f>
        <x:v>#NAME?</x:v>
      </x:c>
      <x:c r="P515" s="152" t="e">
        <x:f>IF(N515="","",N515/MAX(N$5:N515)-1)</x:f>
        <x:v>#NAME?</x:v>
      </x:c>
      <x:c r="Q515" s="146" t="e">
        <x:f>IF(OR('实盘净值数据(iFinD公式)'!$A515="",'实盘净值数据(iFinD公式)'!$B515=""),"",分期持仓明细!$AD$25*SUMPRODUCT(分期持仓明细!$B$25:$AA$25,'实盘净值数据(iFinD公式)'!$B515:$AA515/'实盘净值数据(iFinD公式)'!$B$65:$AA$65)*(1-实盘持仓初始配置!$Z$9)^(('实盘净值数据(iFinD公式)'!$A515-'实盘净值数据(iFinD公式)'!$A$8)/365))</x:f>
        <x:v>#NAME?</x:v>
      </x:c>
      <x:c r="R515" s="152" t="e">
        <x:f>IF(OR(Q514="",Q515=""),"",Q515/Q514-1)</x:f>
        <x:v>#NAME?</x:v>
      </x:c>
      <x:c r="S515" s="152" t="e">
        <x:f>IF(Q515="","",Q515/MAX(Q$5:Q515)-1)</x:f>
        <x:v>#NAME?</x:v>
      </x:c>
    </x:row>
    <x:row r="516">
      <x:c r="A516" s="149" t="str">
        <x:f>IF('实盘净值数据(iFinD公式)'!A516="","",'实盘净值数据(iFinD公式)'!A516)</x:f>
      </x:c>
      <x:c r="B516" s="146" t="e">
        <x:f>IF(OR('实盘净值数据(iFinD公式)'!$A516="",'实盘净值数据(iFinD公式)'!$B516=""),"",分期持仓明细!$AD$17*SUMPRODUCT(分期持仓明细!$B$17:$AA$17,'实盘净值数据(iFinD公式)'!$B516:$AA516/'实盘净值数据(iFinD公式)'!$B$20:$AA$20)*(1-实盘持仓初始配置!$Z$4)^(('实盘净值数据(iFinD公式)'!$A516-'实盘净值数据(iFinD公式)'!$A$6)/365))</x:f>
        <x:v>#NAME?</x:v>
      </x:c>
      <x:c r="C516" s="152" t="e">
        <x:f>IF(OR(B515="",B516=""),"",B516/B515-1)</x:f>
        <x:v>#NAME?</x:v>
      </x:c>
      <x:c r="D516" s="152" t="e">
        <x:f>IF(B516="","",B516/MAX(B$5:B516)-1)</x:f>
        <x:v>#NAME?</x:v>
      </x:c>
      <x:c r="E516" s="146" t="e">
        <x:f>IF(OR('实盘净值数据(iFinD公式)'!$A516="",'实盘净值数据(iFinD公式)'!$B516=""),"",分期持仓明细!$AD$18*SUMPRODUCT(分期持仓明细!$B$18:$AA$18,'实盘净值数据(iFinD公式)'!$B516:$AA516/'实盘净值数据(iFinD公式)'!$B$20:$AA$20)*(1-实盘持仓初始配置!$Z$5)^(('实盘净值数据(iFinD公式)'!$A516-'实盘净值数据(iFinD公式)'!$A$5)/365))</x:f>
        <x:v>#NAME?</x:v>
      </x:c>
      <x:c r="F516" s="152" t="e">
        <x:f>IF(OR(E515="",E516=""),"",E516/E515-1)</x:f>
        <x:v>#NAME?</x:v>
      </x:c>
      <x:c r="G516" s="152" t="e">
        <x:f>IF(E516="","",E516/MAX(E$5:E516)-1)</x:f>
        <x:v>#NAME?</x:v>
      </x:c>
      <x:c r="H516" s="146" t="e">
        <x:f>IF(OR('实盘净值数据(iFinD公式)'!$A516="",'实盘净值数据(iFinD公式)'!$B516=""),"",分期持仓明细!$AD$19*SUMPRODUCT(分期持仓明细!$B$19:$AA$19,'实盘净值数据(iFinD公式)'!$B516:$AA516/'实盘净值数据(iFinD公式)'!$B$20:$AA$20)*(1-实盘持仓初始配置!$Z$6)^(('实盘净值数据(iFinD公式)'!$A516-'实盘净值数据(iFinD公式)'!$A$7)/365))</x:f>
        <x:v>#NAME?</x:v>
      </x:c>
      <x:c r="I516" s="152" t="e">
        <x:f>IF(OR(H515="",H516=""),"",H516/H515-1)</x:f>
        <x:v>#NAME?</x:v>
      </x:c>
      <x:c r="J516" s="152" t="e">
        <x:f>IF(H516="","",H516/MAX(H$5:H516)-1)</x:f>
        <x:v>#NAME?</x:v>
      </x:c>
      <x:c r="K516" s="146" t="e">
        <x:f>IF(OR('实盘净值数据(iFinD公式)'!$A516="",'实盘净值数据(iFinD公式)'!$B516=""),"",分期持仓明细!$AD$23*SUMPRODUCT(分期持仓明细!$B$23:$AA$23,'实盘净值数据(iFinD公式)'!$B516:$AA516/'实盘净值数据(iFinD公式)'!$B$65:$AA$65)*(1-实盘持仓初始配置!$Z$7)^(('实盘净值数据(iFinD公式)'!$A516-'实盘净值数据(iFinD公式)'!$A$8)/365))</x:f>
        <x:v>#NAME?</x:v>
      </x:c>
      <x:c r="L516" s="152" t="e">
        <x:f>IF(OR(K515="",K516=""),"",K516/K515-1)</x:f>
        <x:v>#NAME?</x:v>
      </x:c>
      <x:c r="M516" s="152" t="e">
        <x:f>IF(K516="","",K516/MAX(K$5:K516)-1)</x:f>
        <x:v>#NAME?</x:v>
      </x:c>
      <x:c r="N516" s="146" t="e">
        <x:f>IF(OR('实盘净值数据(iFinD公式)'!$A516="",'实盘净值数据(iFinD公式)'!$B516=""),"",分期持仓明细!$AD$24*SUMPRODUCT(分期持仓明细!$B$24:$AA$24,'实盘净值数据(iFinD公式)'!$B516:$AA516/'实盘净值数据(iFinD公式)'!$B$65:$AA$65)*(1-实盘持仓初始配置!$Z$8)^(('实盘净值数据(iFinD公式)'!$A516-'实盘净值数据(iFinD公式)'!$A$5)/365))</x:f>
        <x:v>#NAME?</x:v>
      </x:c>
      <x:c r="O516" s="152" t="e">
        <x:f>IF(OR(N515="",N516=""),"",N516/N515-1)</x:f>
        <x:v>#NAME?</x:v>
      </x:c>
      <x:c r="P516" s="152" t="e">
        <x:f>IF(N516="","",N516/MAX(N$5:N516)-1)</x:f>
        <x:v>#NAME?</x:v>
      </x:c>
      <x:c r="Q516" s="146" t="e">
        <x:f>IF(OR('实盘净值数据(iFinD公式)'!$A516="",'实盘净值数据(iFinD公式)'!$B516=""),"",分期持仓明细!$AD$25*SUMPRODUCT(分期持仓明细!$B$25:$AA$25,'实盘净值数据(iFinD公式)'!$B516:$AA516/'实盘净值数据(iFinD公式)'!$B$65:$AA$65)*(1-实盘持仓初始配置!$Z$9)^(('实盘净值数据(iFinD公式)'!$A516-'实盘净值数据(iFinD公式)'!$A$8)/365))</x:f>
        <x:v>#NAME?</x:v>
      </x:c>
      <x:c r="R516" s="152" t="e">
        <x:f>IF(OR(Q515="",Q516=""),"",Q516/Q515-1)</x:f>
        <x:v>#NAME?</x:v>
      </x:c>
      <x:c r="S516" s="152" t="e">
        <x:f>IF(Q516="","",Q516/MAX(Q$5:Q516)-1)</x:f>
        <x:v>#NAME?</x:v>
      </x:c>
    </x:row>
    <x:row r="517">
      <x:c r="A517" s="149" t="str">
        <x:f>IF('实盘净值数据(iFinD公式)'!A517="","",'实盘净值数据(iFinD公式)'!A517)</x:f>
      </x:c>
      <x:c r="B517" s="146" t="e">
        <x:f>IF(OR('实盘净值数据(iFinD公式)'!$A517="",'实盘净值数据(iFinD公式)'!$B517=""),"",分期持仓明细!$AD$17*SUMPRODUCT(分期持仓明细!$B$17:$AA$17,'实盘净值数据(iFinD公式)'!$B517:$AA517/'实盘净值数据(iFinD公式)'!$B$20:$AA$20)*(1-实盘持仓初始配置!$Z$4)^(('实盘净值数据(iFinD公式)'!$A517-'实盘净值数据(iFinD公式)'!$A$6)/365))</x:f>
        <x:v>#NAME?</x:v>
      </x:c>
      <x:c r="C517" s="152" t="e">
        <x:f>IF(OR(B516="",B517=""),"",B517/B516-1)</x:f>
        <x:v>#NAME?</x:v>
      </x:c>
      <x:c r="D517" s="152" t="e">
        <x:f>IF(B517="","",B517/MAX(B$5:B517)-1)</x:f>
        <x:v>#NAME?</x:v>
      </x:c>
      <x:c r="E517" s="146" t="e">
        <x:f>IF(OR('实盘净值数据(iFinD公式)'!$A517="",'实盘净值数据(iFinD公式)'!$B517=""),"",分期持仓明细!$AD$18*SUMPRODUCT(分期持仓明细!$B$18:$AA$18,'实盘净值数据(iFinD公式)'!$B517:$AA517/'实盘净值数据(iFinD公式)'!$B$20:$AA$20)*(1-实盘持仓初始配置!$Z$5)^(('实盘净值数据(iFinD公式)'!$A517-'实盘净值数据(iFinD公式)'!$A$5)/365))</x:f>
        <x:v>#NAME?</x:v>
      </x:c>
      <x:c r="F517" s="152" t="e">
        <x:f>IF(OR(E516="",E517=""),"",E517/E516-1)</x:f>
        <x:v>#NAME?</x:v>
      </x:c>
      <x:c r="G517" s="152" t="e">
        <x:f>IF(E517="","",E517/MAX(E$5:E517)-1)</x:f>
        <x:v>#NAME?</x:v>
      </x:c>
      <x:c r="H517" s="146" t="e">
        <x:f>IF(OR('实盘净值数据(iFinD公式)'!$A517="",'实盘净值数据(iFinD公式)'!$B517=""),"",分期持仓明细!$AD$19*SUMPRODUCT(分期持仓明细!$B$19:$AA$19,'实盘净值数据(iFinD公式)'!$B517:$AA517/'实盘净值数据(iFinD公式)'!$B$20:$AA$20)*(1-实盘持仓初始配置!$Z$6)^(('实盘净值数据(iFinD公式)'!$A517-'实盘净值数据(iFinD公式)'!$A$7)/365))</x:f>
        <x:v>#NAME?</x:v>
      </x:c>
      <x:c r="I517" s="152" t="e">
        <x:f>IF(OR(H516="",H517=""),"",H517/H516-1)</x:f>
        <x:v>#NAME?</x:v>
      </x:c>
      <x:c r="J517" s="152" t="e">
        <x:f>IF(H517="","",H517/MAX(H$5:H517)-1)</x:f>
        <x:v>#NAME?</x:v>
      </x:c>
      <x:c r="K517" s="146" t="e">
        <x:f>IF(OR('实盘净值数据(iFinD公式)'!$A517="",'实盘净值数据(iFinD公式)'!$B517=""),"",分期持仓明细!$AD$23*SUMPRODUCT(分期持仓明细!$B$23:$AA$23,'实盘净值数据(iFinD公式)'!$B517:$AA517/'实盘净值数据(iFinD公式)'!$B$65:$AA$65)*(1-实盘持仓初始配置!$Z$7)^(('实盘净值数据(iFinD公式)'!$A517-'实盘净值数据(iFinD公式)'!$A$8)/365))</x:f>
        <x:v>#NAME?</x:v>
      </x:c>
      <x:c r="L517" s="152" t="e">
        <x:f>IF(OR(K516="",K517=""),"",K517/K516-1)</x:f>
        <x:v>#NAME?</x:v>
      </x:c>
      <x:c r="M517" s="152" t="e">
        <x:f>IF(K517="","",K517/MAX(K$5:K517)-1)</x:f>
        <x:v>#NAME?</x:v>
      </x:c>
      <x:c r="N517" s="146" t="e">
        <x:f>IF(OR('实盘净值数据(iFinD公式)'!$A517="",'实盘净值数据(iFinD公式)'!$B517=""),"",分期持仓明细!$AD$24*SUMPRODUCT(分期持仓明细!$B$24:$AA$24,'实盘净值数据(iFinD公式)'!$B517:$AA517/'实盘净值数据(iFinD公式)'!$B$65:$AA$65)*(1-实盘持仓初始配置!$Z$8)^(('实盘净值数据(iFinD公式)'!$A517-'实盘净值数据(iFinD公式)'!$A$5)/365))</x:f>
        <x:v>#NAME?</x:v>
      </x:c>
      <x:c r="O517" s="152" t="e">
        <x:f>IF(OR(N516="",N517=""),"",N517/N516-1)</x:f>
        <x:v>#NAME?</x:v>
      </x:c>
      <x:c r="P517" s="152" t="e">
        <x:f>IF(N517="","",N517/MAX(N$5:N517)-1)</x:f>
        <x:v>#NAME?</x:v>
      </x:c>
      <x:c r="Q517" s="146" t="e">
        <x:f>IF(OR('实盘净值数据(iFinD公式)'!$A517="",'实盘净值数据(iFinD公式)'!$B517=""),"",分期持仓明细!$AD$25*SUMPRODUCT(分期持仓明细!$B$25:$AA$25,'实盘净值数据(iFinD公式)'!$B517:$AA517/'实盘净值数据(iFinD公式)'!$B$65:$AA$65)*(1-实盘持仓初始配置!$Z$9)^(('实盘净值数据(iFinD公式)'!$A517-'实盘净值数据(iFinD公式)'!$A$8)/365))</x:f>
        <x:v>#NAME?</x:v>
      </x:c>
      <x:c r="R517" s="152" t="e">
        <x:f>IF(OR(Q516="",Q517=""),"",Q517/Q516-1)</x:f>
        <x:v>#NAME?</x:v>
      </x:c>
      <x:c r="S517" s="152" t="e">
        <x:f>IF(Q517="","",Q517/MAX(Q$5:Q517)-1)</x:f>
        <x:v>#NAME?</x:v>
      </x:c>
    </x:row>
    <x:row r="518">
      <x:c r="A518" s="149" t="str">
        <x:f>IF('实盘净值数据(iFinD公式)'!A518="","",'实盘净值数据(iFinD公式)'!A518)</x:f>
      </x:c>
      <x:c r="B518" s="146" t="e">
        <x:f>IF(OR('实盘净值数据(iFinD公式)'!$A518="",'实盘净值数据(iFinD公式)'!$B518=""),"",分期持仓明细!$AD$17*SUMPRODUCT(分期持仓明细!$B$17:$AA$17,'实盘净值数据(iFinD公式)'!$B518:$AA518/'实盘净值数据(iFinD公式)'!$B$20:$AA$20)*(1-实盘持仓初始配置!$Z$4)^(('实盘净值数据(iFinD公式)'!$A518-'实盘净值数据(iFinD公式)'!$A$6)/365))</x:f>
        <x:v>#NAME?</x:v>
      </x:c>
      <x:c r="C518" s="152" t="e">
        <x:f>IF(OR(B517="",B518=""),"",B518/B517-1)</x:f>
        <x:v>#NAME?</x:v>
      </x:c>
      <x:c r="D518" s="152" t="e">
        <x:f>IF(B518="","",B518/MAX(B$5:B518)-1)</x:f>
        <x:v>#NAME?</x:v>
      </x:c>
      <x:c r="E518" s="146" t="e">
        <x:f>IF(OR('实盘净值数据(iFinD公式)'!$A518="",'实盘净值数据(iFinD公式)'!$B518=""),"",分期持仓明细!$AD$18*SUMPRODUCT(分期持仓明细!$B$18:$AA$18,'实盘净值数据(iFinD公式)'!$B518:$AA518/'实盘净值数据(iFinD公式)'!$B$20:$AA$20)*(1-实盘持仓初始配置!$Z$5)^(('实盘净值数据(iFinD公式)'!$A518-'实盘净值数据(iFinD公式)'!$A$5)/365))</x:f>
        <x:v>#NAME?</x:v>
      </x:c>
      <x:c r="F518" s="152" t="e">
        <x:f>IF(OR(E517="",E518=""),"",E518/E517-1)</x:f>
        <x:v>#NAME?</x:v>
      </x:c>
      <x:c r="G518" s="152" t="e">
        <x:f>IF(E518="","",E518/MAX(E$5:E518)-1)</x:f>
        <x:v>#NAME?</x:v>
      </x:c>
      <x:c r="H518" s="146" t="e">
        <x:f>IF(OR('实盘净值数据(iFinD公式)'!$A518="",'实盘净值数据(iFinD公式)'!$B518=""),"",分期持仓明细!$AD$19*SUMPRODUCT(分期持仓明细!$B$19:$AA$19,'实盘净值数据(iFinD公式)'!$B518:$AA518/'实盘净值数据(iFinD公式)'!$B$20:$AA$20)*(1-实盘持仓初始配置!$Z$6)^(('实盘净值数据(iFinD公式)'!$A518-'实盘净值数据(iFinD公式)'!$A$7)/365))</x:f>
        <x:v>#NAME?</x:v>
      </x:c>
      <x:c r="I518" s="152" t="e">
        <x:f>IF(OR(H517="",H518=""),"",H518/H517-1)</x:f>
        <x:v>#NAME?</x:v>
      </x:c>
      <x:c r="J518" s="152" t="e">
        <x:f>IF(H518="","",H518/MAX(H$5:H518)-1)</x:f>
        <x:v>#NAME?</x:v>
      </x:c>
      <x:c r="K518" s="146" t="e">
        <x:f>IF(OR('实盘净值数据(iFinD公式)'!$A518="",'实盘净值数据(iFinD公式)'!$B518=""),"",分期持仓明细!$AD$23*SUMPRODUCT(分期持仓明细!$B$23:$AA$23,'实盘净值数据(iFinD公式)'!$B518:$AA518/'实盘净值数据(iFinD公式)'!$B$65:$AA$65)*(1-实盘持仓初始配置!$Z$7)^(('实盘净值数据(iFinD公式)'!$A518-'实盘净值数据(iFinD公式)'!$A$8)/365))</x:f>
        <x:v>#NAME?</x:v>
      </x:c>
      <x:c r="L518" s="152" t="e">
        <x:f>IF(OR(K517="",K518=""),"",K518/K517-1)</x:f>
        <x:v>#NAME?</x:v>
      </x:c>
      <x:c r="M518" s="152" t="e">
        <x:f>IF(K518="","",K518/MAX(K$5:K518)-1)</x:f>
        <x:v>#NAME?</x:v>
      </x:c>
      <x:c r="N518" s="146" t="e">
        <x:f>IF(OR('实盘净值数据(iFinD公式)'!$A518="",'实盘净值数据(iFinD公式)'!$B518=""),"",分期持仓明细!$AD$24*SUMPRODUCT(分期持仓明细!$B$24:$AA$24,'实盘净值数据(iFinD公式)'!$B518:$AA518/'实盘净值数据(iFinD公式)'!$B$65:$AA$65)*(1-实盘持仓初始配置!$Z$8)^(('实盘净值数据(iFinD公式)'!$A518-'实盘净值数据(iFinD公式)'!$A$5)/365))</x:f>
        <x:v>#NAME?</x:v>
      </x:c>
      <x:c r="O518" s="152" t="e">
        <x:f>IF(OR(N517="",N518=""),"",N518/N517-1)</x:f>
        <x:v>#NAME?</x:v>
      </x:c>
      <x:c r="P518" s="152" t="e">
        <x:f>IF(N518="","",N518/MAX(N$5:N518)-1)</x:f>
        <x:v>#NAME?</x:v>
      </x:c>
      <x:c r="Q518" s="146" t="e">
        <x:f>IF(OR('实盘净值数据(iFinD公式)'!$A518="",'实盘净值数据(iFinD公式)'!$B518=""),"",分期持仓明细!$AD$25*SUMPRODUCT(分期持仓明细!$B$25:$AA$25,'实盘净值数据(iFinD公式)'!$B518:$AA518/'实盘净值数据(iFinD公式)'!$B$65:$AA$65)*(1-实盘持仓初始配置!$Z$9)^(('实盘净值数据(iFinD公式)'!$A518-'实盘净值数据(iFinD公式)'!$A$8)/365))</x:f>
        <x:v>#NAME?</x:v>
      </x:c>
      <x:c r="R518" s="152" t="e">
        <x:f>IF(OR(Q517="",Q518=""),"",Q518/Q517-1)</x:f>
        <x:v>#NAME?</x:v>
      </x:c>
      <x:c r="S518" s="152" t="e">
        <x:f>IF(Q518="","",Q518/MAX(Q$5:Q518)-1)</x:f>
        <x:v>#NAME?</x:v>
      </x:c>
    </x:row>
    <x:row r="519">
      <x:c r="A519" s="149" t="str">
        <x:f>IF('实盘净值数据(iFinD公式)'!A519="","",'实盘净值数据(iFinD公式)'!A519)</x:f>
      </x:c>
      <x:c r="B519" s="146" t="e">
        <x:f>IF(OR('实盘净值数据(iFinD公式)'!$A519="",'实盘净值数据(iFinD公式)'!$B519=""),"",分期持仓明细!$AD$17*SUMPRODUCT(分期持仓明细!$B$17:$AA$17,'实盘净值数据(iFinD公式)'!$B519:$AA519/'实盘净值数据(iFinD公式)'!$B$20:$AA$20)*(1-实盘持仓初始配置!$Z$4)^(('实盘净值数据(iFinD公式)'!$A519-'实盘净值数据(iFinD公式)'!$A$6)/365))</x:f>
        <x:v>#NAME?</x:v>
      </x:c>
      <x:c r="C519" s="152" t="e">
        <x:f>IF(OR(B518="",B519=""),"",B519/B518-1)</x:f>
        <x:v>#NAME?</x:v>
      </x:c>
      <x:c r="D519" s="152" t="e">
        <x:f>IF(B519="","",B519/MAX(B$5:B519)-1)</x:f>
        <x:v>#NAME?</x:v>
      </x:c>
      <x:c r="E519" s="146" t="e">
        <x:f>IF(OR('实盘净值数据(iFinD公式)'!$A519="",'实盘净值数据(iFinD公式)'!$B519=""),"",分期持仓明细!$AD$18*SUMPRODUCT(分期持仓明细!$B$18:$AA$18,'实盘净值数据(iFinD公式)'!$B519:$AA519/'实盘净值数据(iFinD公式)'!$B$20:$AA$20)*(1-实盘持仓初始配置!$Z$5)^(('实盘净值数据(iFinD公式)'!$A519-'实盘净值数据(iFinD公式)'!$A$5)/365))</x:f>
        <x:v>#NAME?</x:v>
      </x:c>
      <x:c r="F519" s="152" t="e">
        <x:f>IF(OR(E518="",E519=""),"",E519/E518-1)</x:f>
        <x:v>#NAME?</x:v>
      </x:c>
      <x:c r="G519" s="152" t="e">
        <x:f>IF(E519="","",E519/MAX(E$5:E519)-1)</x:f>
        <x:v>#NAME?</x:v>
      </x:c>
      <x:c r="H519" s="146" t="e">
        <x:f>IF(OR('实盘净值数据(iFinD公式)'!$A519="",'实盘净值数据(iFinD公式)'!$B519=""),"",分期持仓明细!$AD$19*SUMPRODUCT(分期持仓明细!$B$19:$AA$19,'实盘净值数据(iFinD公式)'!$B519:$AA519/'实盘净值数据(iFinD公式)'!$B$20:$AA$20)*(1-实盘持仓初始配置!$Z$6)^(('实盘净值数据(iFinD公式)'!$A519-'实盘净值数据(iFinD公式)'!$A$7)/365))</x:f>
        <x:v>#NAME?</x:v>
      </x:c>
      <x:c r="I519" s="152" t="e">
        <x:f>IF(OR(H518="",H519=""),"",H519/H518-1)</x:f>
        <x:v>#NAME?</x:v>
      </x:c>
      <x:c r="J519" s="152" t="e">
        <x:f>IF(H519="","",H519/MAX(H$5:H519)-1)</x:f>
        <x:v>#NAME?</x:v>
      </x:c>
      <x:c r="K519" s="146" t="e">
        <x:f>IF(OR('实盘净值数据(iFinD公式)'!$A519="",'实盘净值数据(iFinD公式)'!$B519=""),"",分期持仓明细!$AD$23*SUMPRODUCT(分期持仓明细!$B$23:$AA$23,'实盘净值数据(iFinD公式)'!$B519:$AA519/'实盘净值数据(iFinD公式)'!$B$65:$AA$65)*(1-实盘持仓初始配置!$Z$7)^(('实盘净值数据(iFinD公式)'!$A519-'实盘净值数据(iFinD公式)'!$A$8)/365))</x:f>
        <x:v>#NAME?</x:v>
      </x:c>
      <x:c r="L519" s="152" t="e">
        <x:f>IF(OR(K518="",K519=""),"",K519/K518-1)</x:f>
        <x:v>#NAME?</x:v>
      </x:c>
      <x:c r="M519" s="152" t="e">
        <x:f>IF(K519="","",K519/MAX(K$5:K519)-1)</x:f>
        <x:v>#NAME?</x:v>
      </x:c>
      <x:c r="N519" s="146" t="e">
        <x:f>IF(OR('实盘净值数据(iFinD公式)'!$A519="",'实盘净值数据(iFinD公式)'!$B519=""),"",分期持仓明细!$AD$24*SUMPRODUCT(分期持仓明细!$B$24:$AA$24,'实盘净值数据(iFinD公式)'!$B519:$AA519/'实盘净值数据(iFinD公式)'!$B$65:$AA$65)*(1-实盘持仓初始配置!$Z$8)^(('实盘净值数据(iFinD公式)'!$A519-'实盘净值数据(iFinD公式)'!$A$5)/365))</x:f>
        <x:v>#NAME?</x:v>
      </x:c>
      <x:c r="O519" s="152" t="e">
        <x:f>IF(OR(N518="",N519=""),"",N519/N518-1)</x:f>
        <x:v>#NAME?</x:v>
      </x:c>
      <x:c r="P519" s="152" t="e">
        <x:f>IF(N519="","",N519/MAX(N$5:N519)-1)</x:f>
        <x:v>#NAME?</x:v>
      </x:c>
      <x:c r="Q519" s="146" t="e">
        <x:f>IF(OR('实盘净值数据(iFinD公式)'!$A519="",'实盘净值数据(iFinD公式)'!$B519=""),"",分期持仓明细!$AD$25*SUMPRODUCT(分期持仓明细!$B$25:$AA$25,'实盘净值数据(iFinD公式)'!$B519:$AA519/'实盘净值数据(iFinD公式)'!$B$65:$AA$65)*(1-实盘持仓初始配置!$Z$9)^(('实盘净值数据(iFinD公式)'!$A519-'实盘净值数据(iFinD公式)'!$A$8)/365))</x:f>
        <x:v>#NAME?</x:v>
      </x:c>
      <x:c r="R519" s="152" t="e">
        <x:f>IF(OR(Q518="",Q519=""),"",Q519/Q518-1)</x:f>
        <x:v>#NAME?</x:v>
      </x:c>
      <x:c r="S519" s="152" t="e">
        <x:f>IF(Q519="","",Q519/MAX(Q$5:Q519)-1)</x:f>
        <x:v>#NAME?</x:v>
      </x:c>
    </x:row>
    <x:row r="520">
      <x:c r="A520" s="149" t="str">
        <x:f>IF('实盘净值数据(iFinD公式)'!A520="","",'实盘净值数据(iFinD公式)'!A520)</x:f>
      </x:c>
      <x:c r="B520" s="146" t="e">
        <x:f>IF(OR('实盘净值数据(iFinD公式)'!$A520="",'实盘净值数据(iFinD公式)'!$B520=""),"",分期持仓明细!$AD$17*SUMPRODUCT(分期持仓明细!$B$17:$AA$17,'实盘净值数据(iFinD公式)'!$B520:$AA520/'实盘净值数据(iFinD公式)'!$B$20:$AA$20)*(1-实盘持仓初始配置!$Z$4)^(('实盘净值数据(iFinD公式)'!$A520-'实盘净值数据(iFinD公式)'!$A$6)/365))</x:f>
        <x:v>#NAME?</x:v>
      </x:c>
      <x:c r="C520" s="152" t="e">
        <x:f>IF(OR(B519="",B520=""),"",B520/B519-1)</x:f>
        <x:v>#NAME?</x:v>
      </x:c>
      <x:c r="D520" s="152" t="e">
        <x:f>IF(B520="","",B520/MAX(B$5:B520)-1)</x:f>
        <x:v>#NAME?</x:v>
      </x:c>
      <x:c r="E520" s="146" t="e">
        <x:f>IF(OR('实盘净值数据(iFinD公式)'!$A520="",'实盘净值数据(iFinD公式)'!$B520=""),"",分期持仓明细!$AD$18*SUMPRODUCT(分期持仓明细!$B$18:$AA$18,'实盘净值数据(iFinD公式)'!$B520:$AA520/'实盘净值数据(iFinD公式)'!$B$20:$AA$20)*(1-实盘持仓初始配置!$Z$5)^(('实盘净值数据(iFinD公式)'!$A520-'实盘净值数据(iFinD公式)'!$A$5)/365))</x:f>
        <x:v>#NAME?</x:v>
      </x:c>
      <x:c r="F520" s="152" t="e">
        <x:f>IF(OR(E519="",E520=""),"",E520/E519-1)</x:f>
        <x:v>#NAME?</x:v>
      </x:c>
      <x:c r="G520" s="152" t="e">
        <x:f>IF(E520="","",E520/MAX(E$5:E520)-1)</x:f>
        <x:v>#NAME?</x:v>
      </x:c>
      <x:c r="H520" s="146" t="e">
        <x:f>IF(OR('实盘净值数据(iFinD公式)'!$A520="",'实盘净值数据(iFinD公式)'!$B520=""),"",分期持仓明细!$AD$19*SUMPRODUCT(分期持仓明细!$B$19:$AA$19,'实盘净值数据(iFinD公式)'!$B520:$AA520/'实盘净值数据(iFinD公式)'!$B$20:$AA$20)*(1-实盘持仓初始配置!$Z$6)^(('实盘净值数据(iFinD公式)'!$A520-'实盘净值数据(iFinD公式)'!$A$7)/365))</x:f>
        <x:v>#NAME?</x:v>
      </x:c>
      <x:c r="I520" s="152" t="e">
        <x:f>IF(OR(H519="",H520=""),"",H520/H519-1)</x:f>
        <x:v>#NAME?</x:v>
      </x:c>
      <x:c r="J520" s="152" t="e">
        <x:f>IF(H520="","",H520/MAX(H$5:H520)-1)</x:f>
        <x:v>#NAME?</x:v>
      </x:c>
      <x:c r="K520" s="146" t="e">
        <x:f>IF(OR('实盘净值数据(iFinD公式)'!$A520="",'实盘净值数据(iFinD公式)'!$B520=""),"",分期持仓明细!$AD$23*SUMPRODUCT(分期持仓明细!$B$23:$AA$23,'实盘净值数据(iFinD公式)'!$B520:$AA520/'实盘净值数据(iFinD公式)'!$B$65:$AA$65)*(1-实盘持仓初始配置!$Z$7)^(('实盘净值数据(iFinD公式)'!$A520-'实盘净值数据(iFinD公式)'!$A$8)/365))</x:f>
        <x:v>#NAME?</x:v>
      </x:c>
      <x:c r="L520" s="152" t="e">
        <x:f>IF(OR(K519="",K520=""),"",K520/K519-1)</x:f>
        <x:v>#NAME?</x:v>
      </x:c>
      <x:c r="M520" s="152" t="e">
        <x:f>IF(K520="","",K520/MAX(K$5:K520)-1)</x:f>
        <x:v>#NAME?</x:v>
      </x:c>
      <x:c r="N520" s="146" t="e">
        <x:f>IF(OR('实盘净值数据(iFinD公式)'!$A520="",'实盘净值数据(iFinD公式)'!$B520=""),"",分期持仓明细!$AD$24*SUMPRODUCT(分期持仓明细!$B$24:$AA$24,'实盘净值数据(iFinD公式)'!$B520:$AA520/'实盘净值数据(iFinD公式)'!$B$65:$AA$65)*(1-实盘持仓初始配置!$Z$8)^(('实盘净值数据(iFinD公式)'!$A520-'实盘净值数据(iFinD公式)'!$A$5)/365))</x:f>
        <x:v>#NAME?</x:v>
      </x:c>
      <x:c r="O520" s="152" t="e">
        <x:f>IF(OR(N519="",N520=""),"",N520/N519-1)</x:f>
        <x:v>#NAME?</x:v>
      </x:c>
      <x:c r="P520" s="152" t="e">
        <x:f>IF(N520="","",N520/MAX(N$5:N520)-1)</x:f>
        <x:v>#NAME?</x:v>
      </x:c>
      <x:c r="Q520" s="146" t="e">
        <x:f>IF(OR('实盘净值数据(iFinD公式)'!$A520="",'实盘净值数据(iFinD公式)'!$B520=""),"",分期持仓明细!$AD$25*SUMPRODUCT(分期持仓明细!$B$25:$AA$25,'实盘净值数据(iFinD公式)'!$B520:$AA520/'实盘净值数据(iFinD公式)'!$B$65:$AA$65)*(1-实盘持仓初始配置!$Z$9)^(('实盘净值数据(iFinD公式)'!$A520-'实盘净值数据(iFinD公式)'!$A$8)/365))</x:f>
        <x:v>#NAME?</x:v>
      </x:c>
      <x:c r="R520" s="152" t="e">
        <x:f>IF(OR(Q519="",Q520=""),"",Q520/Q519-1)</x:f>
        <x:v>#NAME?</x:v>
      </x:c>
      <x:c r="S520" s="152" t="e">
        <x:f>IF(Q520="","",Q520/MAX(Q$5:Q520)-1)</x:f>
        <x:v>#NAME?</x:v>
      </x:c>
    </x:row>
    <x:row r="521">
      <x:c r="A521" s="149" t="str">
        <x:f>IF('实盘净值数据(iFinD公式)'!A521="","",'实盘净值数据(iFinD公式)'!A521)</x:f>
      </x:c>
      <x:c r="B521" s="146" t="e">
        <x:f>IF(OR('实盘净值数据(iFinD公式)'!$A521="",'实盘净值数据(iFinD公式)'!$B521=""),"",分期持仓明细!$AD$17*SUMPRODUCT(分期持仓明细!$B$17:$AA$17,'实盘净值数据(iFinD公式)'!$B521:$AA521/'实盘净值数据(iFinD公式)'!$B$20:$AA$20)*(1-实盘持仓初始配置!$Z$4)^(('实盘净值数据(iFinD公式)'!$A521-'实盘净值数据(iFinD公式)'!$A$6)/365))</x:f>
        <x:v>#NAME?</x:v>
      </x:c>
      <x:c r="C521" s="152" t="e">
        <x:f>IF(OR(B520="",B521=""),"",B521/B520-1)</x:f>
        <x:v>#NAME?</x:v>
      </x:c>
      <x:c r="D521" s="152" t="e">
        <x:f>IF(B521="","",B521/MAX(B$5:B521)-1)</x:f>
        <x:v>#NAME?</x:v>
      </x:c>
      <x:c r="E521" s="146" t="e">
        <x:f>IF(OR('实盘净值数据(iFinD公式)'!$A521="",'实盘净值数据(iFinD公式)'!$B521=""),"",分期持仓明细!$AD$18*SUMPRODUCT(分期持仓明细!$B$18:$AA$18,'实盘净值数据(iFinD公式)'!$B521:$AA521/'实盘净值数据(iFinD公式)'!$B$20:$AA$20)*(1-实盘持仓初始配置!$Z$5)^(('实盘净值数据(iFinD公式)'!$A521-'实盘净值数据(iFinD公式)'!$A$5)/365))</x:f>
        <x:v>#NAME?</x:v>
      </x:c>
      <x:c r="F521" s="152" t="e">
        <x:f>IF(OR(E520="",E521=""),"",E521/E520-1)</x:f>
        <x:v>#NAME?</x:v>
      </x:c>
      <x:c r="G521" s="152" t="e">
        <x:f>IF(E521="","",E521/MAX(E$5:E521)-1)</x:f>
        <x:v>#NAME?</x:v>
      </x:c>
      <x:c r="H521" s="146" t="e">
        <x:f>IF(OR('实盘净值数据(iFinD公式)'!$A521="",'实盘净值数据(iFinD公式)'!$B521=""),"",分期持仓明细!$AD$19*SUMPRODUCT(分期持仓明细!$B$19:$AA$19,'实盘净值数据(iFinD公式)'!$B521:$AA521/'实盘净值数据(iFinD公式)'!$B$20:$AA$20)*(1-实盘持仓初始配置!$Z$6)^(('实盘净值数据(iFinD公式)'!$A521-'实盘净值数据(iFinD公式)'!$A$7)/365))</x:f>
        <x:v>#NAME?</x:v>
      </x:c>
      <x:c r="I521" s="152" t="e">
        <x:f>IF(OR(H520="",H521=""),"",H521/H520-1)</x:f>
        <x:v>#NAME?</x:v>
      </x:c>
      <x:c r="J521" s="152" t="e">
        <x:f>IF(H521="","",H521/MAX(H$5:H521)-1)</x:f>
        <x:v>#NAME?</x:v>
      </x:c>
      <x:c r="K521" s="146" t="e">
        <x:f>IF(OR('实盘净值数据(iFinD公式)'!$A521="",'实盘净值数据(iFinD公式)'!$B521=""),"",分期持仓明细!$AD$23*SUMPRODUCT(分期持仓明细!$B$23:$AA$23,'实盘净值数据(iFinD公式)'!$B521:$AA521/'实盘净值数据(iFinD公式)'!$B$65:$AA$65)*(1-实盘持仓初始配置!$Z$7)^(('实盘净值数据(iFinD公式)'!$A521-'实盘净值数据(iFinD公式)'!$A$8)/365))</x:f>
        <x:v>#NAME?</x:v>
      </x:c>
      <x:c r="L521" s="152" t="e">
        <x:f>IF(OR(K520="",K521=""),"",K521/K520-1)</x:f>
        <x:v>#NAME?</x:v>
      </x:c>
      <x:c r="M521" s="152" t="e">
        <x:f>IF(K521="","",K521/MAX(K$5:K521)-1)</x:f>
        <x:v>#NAME?</x:v>
      </x:c>
      <x:c r="N521" s="146" t="e">
        <x:f>IF(OR('实盘净值数据(iFinD公式)'!$A521="",'实盘净值数据(iFinD公式)'!$B521=""),"",分期持仓明细!$AD$24*SUMPRODUCT(分期持仓明细!$B$24:$AA$24,'实盘净值数据(iFinD公式)'!$B521:$AA521/'实盘净值数据(iFinD公式)'!$B$65:$AA$65)*(1-实盘持仓初始配置!$Z$8)^(('实盘净值数据(iFinD公式)'!$A521-'实盘净值数据(iFinD公式)'!$A$5)/365))</x:f>
        <x:v>#NAME?</x:v>
      </x:c>
      <x:c r="O521" s="152" t="e">
        <x:f>IF(OR(N520="",N521=""),"",N521/N520-1)</x:f>
        <x:v>#NAME?</x:v>
      </x:c>
      <x:c r="P521" s="152" t="e">
        <x:f>IF(N521="","",N521/MAX(N$5:N521)-1)</x:f>
        <x:v>#NAME?</x:v>
      </x:c>
      <x:c r="Q521" s="146" t="e">
        <x:f>IF(OR('实盘净值数据(iFinD公式)'!$A521="",'实盘净值数据(iFinD公式)'!$B521=""),"",分期持仓明细!$AD$25*SUMPRODUCT(分期持仓明细!$B$25:$AA$25,'实盘净值数据(iFinD公式)'!$B521:$AA521/'实盘净值数据(iFinD公式)'!$B$65:$AA$65)*(1-实盘持仓初始配置!$Z$9)^(('实盘净值数据(iFinD公式)'!$A521-'实盘净值数据(iFinD公式)'!$A$8)/365))</x:f>
        <x:v>#NAME?</x:v>
      </x:c>
      <x:c r="R521" s="152" t="e">
        <x:f>IF(OR(Q520="",Q521=""),"",Q521/Q520-1)</x:f>
        <x:v>#NAME?</x:v>
      </x:c>
      <x:c r="S521" s="152" t="e">
        <x:f>IF(Q521="","",Q521/MAX(Q$5:Q521)-1)</x:f>
        <x:v>#NAME?</x:v>
      </x:c>
    </x:row>
    <x:row r="522">
      <x:c r="A522" s="149" t="str">
        <x:f>IF('实盘净值数据(iFinD公式)'!A522="","",'实盘净值数据(iFinD公式)'!A522)</x:f>
      </x:c>
      <x:c r="B522" s="146" t="e">
        <x:f>IF(OR('实盘净值数据(iFinD公式)'!$A522="",'实盘净值数据(iFinD公式)'!$B522=""),"",分期持仓明细!$AD$17*SUMPRODUCT(分期持仓明细!$B$17:$AA$17,'实盘净值数据(iFinD公式)'!$B522:$AA522/'实盘净值数据(iFinD公式)'!$B$20:$AA$20)*(1-实盘持仓初始配置!$Z$4)^(('实盘净值数据(iFinD公式)'!$A522-'实盘净值数据(iFinD公式)'!$A$6)/365))</x:f>
        <x:v>#NAME?</x:v>
      </x:c>
      <x:c r="C522" s="152" t="e">
        <x:f>IF(OR(B521="",B522=""),"",B522/B521-1)</x:f>
        <x:v>#NAME?</x:v>
      </x:c>
      <x:c r="D522" s="152" t="e">
        <x:f>IF(B522="","",B522/MAX(B$5:B522)-1)</x:f>
        <x:v>#NAME?</x:v>
      </x:c>
      <x:c r="E522" s="146" t="e">
        <x:f>IF(OR('实盘净值数据(iFinD公式)'!$A522="",'实盘净值数据(iFinD公式)'!$B522=""),"",分期持仓明细!$AD$18*SUMPRODUCT(分期持仓明细!$B$18:$AA$18,'实盘净值数据(iFinD公式)'!$B522:$AA522/'实盘净值数据(iFinD公式)'!$B$20:$AA$20)*(1-实盘持仓初始配置!$Z$5)^(('实盘净值数据(iFinD公式)'!$A522-'实盘净值数据(iFinD公式)'!$A$5)/365))</x:f>
        <x:v>#NAME?</x:v>
      </x:c>
      <x:c r="F522" s="152" t="e">
        <x:f>IF(OR(E521="",E522=""),"",E522/E521-1)</x:f>
        <x:v>#NAME?</x:v>
      </x:c>
      <x:c r="G522" s="152" t="e">
        <x:f>IF(E522="","",E522/MAX(E$5:E522)-1)</x:f>
        <x:v>#NAME?</x:v>
      </x:c>
      <x:c r="H522" s="146" t="e">
        <x:f>IF(OR('实盘净值数据(iFinD公式)'!$A522="",'实盘净值数据(iFinD公式)'!$B522=""),"",分期持仓明细!$AD$19*SUMPRODUCT(分期持仓明细!$B$19:$AA$19,'实盘净值数据(iFinD公式)'!$B522:$AA522/'实盘净值数据(iFinD公式)'!$B$20:$AA$20)*(1-实盘持仓初始配置!$Z$6)^(('实盘净值数据(iFinD公式)'!$A522-'实盘净值数据(iFinD公式)'!$A$7)/365))</x:f>
        <x:v>#NAME?</x:v>
      </x:c>
      <x:c r="I522" s="152" t="e">
        <x:f>IF(OR(H521="",H522=""),"",H522/H521-1)</x:f>
        <x:v>#NAME?</x:v>
      </x:c>
      <x:c r="J522" s="152" t="e">
        <x:f>IF(H522="","",H522/MAX(H$5:H522)-1)</x:f>
        <x:v>#NAME?</x:v>
      </x:c>
      <x:c r="K522" s="146" t="e">
        <x:f>IF(OR('实盘净值数据(iFinD公式)'!$A522="",'实盘净值数据(iFinD公式)'!$B522=""),"",分期持仓明细!$AD$23*SUMPRODUCT(分期持仓明细!$B$23:$AA$23,'实盘净值数据(iFinD公式)'!$B522:$AA522/'实盘净值数据(iFinD公式)'!$B$65:$AA$65)*(1-实盘持仓初始配置!$Z$7)^(('实盘净值数据(iFinD公式)'!$A522-'实盘净值数据(iFinD公式)'!$A$8)/365))</x:f>
        <x:v>#NAME?</x:v>
      </x:c>
      <x:c r="L522" s="152" t="e">
        <x:f>IF(OR(K521="",K522=""),"",K522/K521-1)</x:f>
        <x:v>#NAME?</x:v>
      </x:c>
      <x:c r="M522" s="152" t="e">
        <x:f>IF(K522="","",K522/MAX(K$5:K522)-1)</x:f>
        <x:v>#NAME?</x:v>
      </x:c>
      <x:c r="N522" s="146" t="e">
        <x:f>IF(OR('实盘净值数据(iFinD公式)'!$A522="",'实盘净值数据(iFinD公式)'!$B522=""),"",分期持仓明细!$AD$24*SUMPRODUCT(分期持仓明细!$B$24:$AA$24,'实盘净值数据(iFinD公式)'!$B522:$AA522/'实盘净值数据(iFinD公式)'!$B$65:$AA$65)*(1-实盘持仓初始配置!$Z$8)^(('实盘净值数据(iFinD公式)'!$A522-'实盘净值数据(iFinD公式)'!$A$5)/365))</x:f>
        <x:v>#NAME?</x:v>
      </x:c>
      <x:c r="O522" s="152" t="e">
        <x:f>IF(OR(N521="",N522=""),"",N522/N521-1)</x:f>
        <x:v>#NAME?</x:v>
      </x:c>
      <x:c r="P522" s="152" t="e">
        <x:f>IF(N522="","",N522/MAX(N$5:N522)-1)</x:f>
        <x:v>#NAME?</x:v>
      </x:c>
      <x:c r="Q522" s="146" t="e">
        <x:f>IF(OR('实盘净值数据(iFinD公式)'!$A522="",'实盘净值数据(iFinD公式)'!$B522=""),"",分期持仓明细!$AD$25*SUMPRODUCT(分期持仓明细!$B$25:$AA$25,'实盘净值数据(iFinD公式)'!$B522:$AA522/'实盘净值数据(iFinD公式)'!$B$65:$AA$65)*(1-实盘持仓初始配置!$Z$9)^(('实盘净值数据(iFinD公式)'!$A522-'实盘净值数据(iFinD公式)'!$A$8)/365))</x:f>
        <x:v>#NAME?</x:v>
      </x:c>
      <x:c r="R522" s="152" t="e">
        <x:f>IF(OR(Q521="",Q522=""),"",Q522/Q521-1)</x:f>
        <x:v>#NAME?</x:v>
      </x:c>
      <x:c r="S522" s="152" t="e">
        <x:f>IF(Q522="","",Q522/MAX(Q$5:Q522)-1)</x:f>
        <x:v>#NAME?</x:v>
      </x:c>
    </x:row>
    <x:row r="523">
      <x:c r="A523" s="149" t="str">
        <x:f>IF('实盘净值数据(iFinD公式)'!A523="","",'实盘净值数据(iFinD公式)'!A523)</x:f>
      </x:c>
      <x:c r="B523" s="146" t="e">
        <x:f>IF(OR('实盘净值数据(iFinD公式)'!$A523="",'实盘净值数据(iFinD公式)'!$B523=""),"",分期持仓明细!$AD$17*SUMPRODUCT(分期持仓明细!$B$17:$AA$17,'实盘净值数据(iFinD公式)'!$B523:$AA523/'实盘净值数据(iFinD公式)'!$B$20:$AA$20)*(1-实盘持仓初始配置!$Z$4)^(('实盘净值数据(iFinD公式)'!$A523-'实盘净值数据(iFinD公式)'!$A$6)/365))</x:f>
        <x:v>#NAME?</x:v>
      </x:c>
      <x:c r="C523" s="152" t="e">
        <x:f>IF(OR(B522="",B523=""),"",B523/B522-1)</x:f>
        <x:v>#NAME?</x:v>
      </x:c>
      <x:c r="D523" s="152" t="e">
        <x:f>IF(B523="","",B523/MAX(B$5:B523)-1)</x:f>
        <x:v>#NAME?</x:v>
      </x:c>
      <x:c r="E523" s="146" t="e">
        <x:f>IF(OR('实盘净值数据(iFinD公式)'!$A523="",'实盘净值数据(iFinD公式)'!$B523=""),"",分期持仓明细!$AD$18*SUMPRODUCT(分期持仓明细!$B$18:$AA$18,'实盘净值数据(iFinD公式)'!$B523:$AA523/'实盘净值数据(iFinD公式)'!$B$20:$AA$20)*(1-实盘持仓初始配置!$Z$5)^(('实盘净值数据(iFinD公式)'!$A523-'实盘净值数据(iFinD公式)'!$A$5)/365))</x:f>
        <x:v>#NAME?</x:v>
      </x:c>
      <x:c r="F523" s="152" t="e">
        <x:f>IF(OR(E522="",E523=""),"",E523/E522-1)</x:f>
        <x:v>#NAME?</x:v>
      </x:c>
      <x:c r="G523" s="152" t="e">
        <x:f>IF(E523="","",E523/MAX(E$5:E523)-1)</x:f>
        <x:v>#NAME?</x:v>
      </x:c>
      <x:c r="H523" s="146" t="e">
        <x:f>IF(OR('实盘净值数据(iFinD公式)'!$A523="",'实盘净值数据(iFinD公式)'!$B523=""),"",分期持仓明细!$AD$19*SUMPRODUCT(分期持仓明细!$B$19:$AA$19,'实盘净值数据(iFinD公式)'!$B523:$AA523/'实盘净值数据(iFinD公式)'!$B$20:$AA$20)*(1-实盘持仓初始配置!$Z$6)^(('实盘净值数据(iFinD公式)'!$A523-'实盘净值数据(iFinD公式)'!$A$7)/365))</x:f>
        <x:v>#NAME?</x:v>
      </x:c>
      <x:c r="I523" s="152" t="e">
        <x:f>IF(OR(H522="",H523=""),"",H523/H522-1)</x:f>
        <x:v>#NAME?</x:v>
      </x:c>
      <x:c r="J523" s="152" t="e">
        <x:f>IF(H523="","",H523/MAX(H$5:H523)-1)</x:f>
        <x:v>#NAME?</x:v>
      </x:c>
      <x:c r="K523" s="146" t="e">
        <x:f>IF(OR('实盘净值数据(iFinD公式)'!$A523="",'实盘净值数据(iFinD公式)'!$B523=""),"",分期持仓明细!$AD$23*SUMPRODUCT(分期持仓明细!$B$23:$AA$23,'实盘净值数据(iFinD公式)'!$B523:$AA523/'实盘净值数据(iFinD公式)'!$B$65:$AA$65)*(1-实盘持仓初始配置!$Z$7)^(('实盘净值数据(iFinD公式)'!$A523-'实盘净值数据(iFinD公式)'!$A$8)/365))</x:f>
        <x:v>#NAME?</x:v>
      </x:c>
      <x:c r="L523" s="152" t="e">
        <x:f>IF(OR(K522="",K523=""),"",K523/K522-1)</x:f>
        <x:v>#NAME?</x:v>
      </x:c>
      <x:c r="M523" s="152" t="e">
        <x:f>IF(K523="","",K523/MAX(K$5:K523)-1)</x:f>
        <x:v>#NAME?</x:v>
      </x:c>
      <x:c r="N523" s="146" t="e">
        <x:f>IF(OR('实盘净值数据(iFinD公式)'!$A523="",'实盘净值数据(iFinD公式)'!$B523=""),"",分期持仓明细!$AD$24*SUMPRODUCT(分期持仓明细!$B$24:$AA$24,'实盘净值数据(iFinD公式)'!$B523:$AA523/'实盘净值数据(iFinD公式)'!$B$65:$AA$65)*(1-实盘持仓初始配置!$Z$8)^(('实盘净值数据(iFinD公式)'!$A523-'实盘净值数据(iFinD公式)'!$A$5)/365))</x:f>
        <x:v>#NAME?</x:v>
      </x:c>
      <x:c r="O523" s="152" t="e">
        <x:f>IF(OR(N522="",N523=""),"",N523/N522-1)</x:f>
        <x:v>#NAME?</x:v>
      </x:c>
      <x:c r="P523" s="152" t="e">
        <x:f>IF(N523="","",N523/MAX(N$5:N523)-1)</x:f>
        <x:v>#NAME?</x:v>
      </x:c>
      <x:c r="Q523" s="146" t="e">
        <x:f>IF(OR('实盘净值数据(iFinD公式)'!$A523="",'实盘净值数据(iFinD公式)'!$B523=""),"",分期持仓明细!$AD$25*SUMPRODUCT(分期持仓明细!$B$25:$AA$25,'实盘净值数据(iFinD公式)'!$B523:$AA523/'实盘净值数据(iFinD公式)'!$B$65:$AA$65)*(1-实盘持仓初始配置!$Z$9)^(('实盘净值数据(iFinD公式)'!$A523-'实盘净值数据(iFinD公式)'!$A$8)/365))</x:f>
        <x:v>#NAME?</x:v>
      </x:c>
      <x:c r="R523" s="152" t="e">
        <x:f>IF(OR(Q522="",Q523=""),"",Q523/Q522-1)</x:f>
        <x:v>#NAME?</x:v>
      </x:c>
      <x:c r="S523" s="152" t="e">
        <x:f>IF(Q523="","",Q523/MAX(Q$5:Q523)-1)</x:f>
        <x:v>#NAME?</x:v>
      </x:c>
    </x:row>
    <x:row r="524">
      <x:c r="A524" s="149" t="str">
        <x:f>IF('实盘净值数据(iFinD公式)'!A524="","",'实盘净值数据(iFinD公式)'!A524)</x:f>
      </x:c>
      <x:c r="B524" s="146" t="e">
        <x:f>IF(OR('实盘净值数据(iFinD公式)'!$A524="",'实盘净值数据(iFinD公式)'!$B524=""),"",分期持仓明细!$AD$17*SUMPRODUCT(分期持仓明细!$B$17:$AA$17,'实盘净值数据(iFinD公式)'!$B524:$AA524/'实盘净值数据(iFinD公式)'!$B$20:$AA$20)*(1-实盘持仓初始配置!$Z$4)^(('实盘净值数据(iFinD公式)'!$A524-'实盘净值数据(iFinD公式)'!$A$6)/365))</x:f>
        <x:v>#NAME?</x:v>
      </x:c>
      <x:c r="C524" s="152" t="e">
        <x:f>IF(OR(B523="",B524=""),"",B524/B523-1)</x:f>
        <x:v>#NAME?</x:v>
      </x:c>
      <x:c r="D524" s="152" t="e">
        <x:f>IF(B524="","",B524/MAX(B$5:B524)-1)</x:f>
        <x:v>#NAME?</x:v>
      </x:c>
      <x:c r="E524" s="146" t="e">
        <x:f>IF(OR('实盘净值数据(iFinD公式)'!$A524="",'实盘净值数据(iFinD公式)'!$B524=""),"",分期持仓明细!$AD$18*SUMPRODUCT(分期持仓明细!$B$18:$AA$18,'实盘净值数据(iFinD公式)'!$B524:$AA524/'实盘净值数据(iFinD公式)'!$B$20:$AA$20)*(1-实盘持仓初始配置!$Z$5)^(('实盘净值数据(iFinD公式)'!$A524-'实盘净值数据(iFinD公式)'!$A$5)/365))</x:f>
        <x:v>#NAME?</x:v>
      </x:c>
      <x:c r="F524" s="152" t="e">
        <x:f>IF(OR(E523="",E524=""),"",E524/E523-1)</x:f>
        <x:v>#NAME?</x:v>
      </x:c>
      <x:c r="G524" s="152" t="e">
        <x:f>IF(E524="","",E524/MAX(E$5:E524)-1)</x:f>
        <x:v>#NAME?</x:v>
      </x:c>
      <x:c r="H524" s="146" t="e">
        <x:f>IF(OR('实盘净值数据(iFinD公式)'!$A524="",'实盘净值数据(iFinD公式)'!$B524=""),"",分期持仓明细!$AD$19*SUMPRODUCT(分期持仓明细!$B$19:$AA$19,'实盘净值数据(iFinD公式)'!$B524:$AA524/'实盘净值数据(iFinD公式)'!$B$20:$AA$20)*(1-实盘持仓初始配置!$Z$6)^(('实盘净值数据(iFinD公式)'!$A524-'实盘净值数据(iFinD公式)'!$A$7)/365))</x:f>
        <x:v>#NAME?</x:v>
      </x:c>
      <x:c r="I524" s="152" t="e">
        <x:f>IF(OR(H523="",H524=""),"",H524/H523-1)</x:f>
        <x:v>#NAME?</x:v>
      </x:c>
      <x:c r="J524" s="152" t="e">
        <x:f>IF(H524="","",H524/MAX(H$5:H524)-1)</x:f>
        <x:v>#NAME?</x:v>
      </x:c>
      <x:c r="K524" s="146" t="e">
        <x:f>IF(OR('实盘净值数据(iFinD公式)'!$A524="",'实盘净值数据(iFinD公式)'!$B524=""),"",分期持仓明细!$AD$23*SUMPRODUCT(分期持仓明细!$B$23:$AA$23,'实盘净值数据(iFinD公式)'!$B524:$AA524/'实盘净值数据(iFinD公式)'!$B$65:$AA$65)*(1-实盘持仓初始配置!$Z$7)^(('实盘净值数据(iFinD公式)'!$A524-'实盘净值数据(iFinD公式)'!$A$8)/365))</x:f>
        <x:v>#NAME?</x:v>
      </x:c>
      <x:c r="L524" s="152" t="e">
        <x:f>IF(OR(K523="",K524=""),"",K524/K523-1)</x:f>
        <x:v>#NAME?</x:v>
      </x:c>
      <x:c r="M524" s="152" t="e">
        <x:f>IF(K524="","",K524/MAX(K$5:K524)-1)</x:f>
        <x:v>#NAME?</x:v>
      </x:c>
      <x:c r="N524" s="146" t="e">
        <x:f>IF(OR('实盘净值数据(iFinD公式)'!$A524="",'实盘净值数据(iFinD公式)'!$B524=""),"",分期持仓明细!$AD$24*SUMPRODUCT(分期持仓明细!$B$24:$AA$24,'实盘净值数据(iFinD公式)'!$B524:$AA524/'实盘净值数据(iFinD公式)'!$B$65:$AA$65)*(1-实盘持仓初始配置!$Z$8)^(('实盘净值数据(iFinD公式)'!$A524-'实盘净值数据(iFinD公式)'!$A$5)/365))</x:f>
        <x:v>#NAME?</x:v>
      </x:c>
      <x:c r="O524" s="152" t="e">
        <x:f>IF(OR(N523="",N524=""),"",N524/N523-1)</x:f>
        <x:v>#NAME?</x:v>
      </x:c>
      <x:c r="P524" s="152" t="e">
        <x:f>IF(N524="","",N524/MAX(N$5:N524)-1)</x:f>
        <x:v>#NAME?</x:v>
      </x:c>
      <x:c r="Q524" s="146" t="e">
        <x:f>IF(OR('实盘净值数据(iFinD公式)'!$A524="",'实盘净值数据(iFinD公式)'!$B524=""),"",分期持仓明细!$AD$25*SUMPRODUCT(分期持仓明细!$B$25:$AA$25,'实盘净值数据(iFinD公式)'!$B524:$AA524/'实盘净值数据(iFinD公式)'!$B$65:$AA$65)*(1-实盘持仓初始配置!$Z$9)^(('实盘净值数据(iFinD公式)'!$A524-'实盘净值数据(iFinD公式)'!$A$8)/365))</x:f>
        <x:v>#NAME?</x:v>
      </x:c>
      <x:c r="R524" s="152" t="e">
        <x:f>IF(OR(Q523="",Q524=""),"",Q524/Q523-1)</x:f>
        <x:v>#NAME?</x:v>
      </x:c>
      <x:c r="S524" s="152" t="e">
        <x:f>IF(Q524="","",Q524/MAX(Q$5:Q524)-1)</x:f>
        <x:v>#NAME?</x:v>
      </x:c>
    </x:row>
    <x:row r="525">
      <x:c r="A525" s="149" t="str">
        <x:f>IF('实盘净值数据(iFinD公式)'!A525="","",'实盘净值数据(iFinD公式)'!A525)</x:f>
      </x:c>
      <x:c r="B525" s="146" t="e">
        <x:f>IF(OR('实盘净值数据(iFinD公式)'!$A525="",'实盘净值数据(iFinD公式)'!$B525=""),"",分期持仓明细!$AD$17*SUMPRODUCT(分期持仓明细!$B$17:$AA$17,'实盘净值数据(iFinD公式)'!$B525:$AA525/'实盘净值数据(iFinD公式)'!$B$20:$AA$20)*(1-实盘持仓初始配置!$Z$4)^(('实盘净值数据(iFinD公式)'!$A525-'实盘净值数据(iFinD公式)'!$A$6)/365))</x:f>
        <x:v>#NAME?</x:v>
      </x:c>
      <x:c r="C525" s="152" t="e">
        <x:f>IF(OR(B524="",B525=""),"",B525/B524-1)</x:f>
        <x:v>#NAME?</x:v>
      </x:c>
      <x:c r="D525" s="152" t="e">
        <x:f>IF(B525="","",B525/MAX(B$5:B525)-1)</x:f>
        <x:v>#NAME?</x:v>
      </x:c>
      <x:c r="E525" s="146" t="e">
        <x:f>IF(OR('实盘净值数据(iFinD公式)'!$A525="",'实盘净值数据(iFinD公式)'!$B525=""),"",分期持仓明细!$AD$18*SUMPRODUCT(分期持仓明细!$B$18:$AA$18,'实盘净值数据(iFinD公式)'!$B525:$AA525/'实盘净值数据(iFinD公式)'!$B$20:$AA$20)*(1-实盘持仓初始配置!$Z$5)^(('实盘净值数据(iFinD公式)'!$A525-'实盘净值数据(iFinD公式)'!$A$5)/365))</x:f>
        <x:v>#NAME?</x:v>
      </x:c>
      <x:c r="F525" s="152" t="e">
        <x:f>IF(OR(E524="",E525=""),"",E525/E524-1)</x:f>
        <x:v>#NAME?</x:v>
      </x:c>
      <x:c r="G525" s="152" t="e">
        <x:f>IF(E525="","",E525/MAX(E$5:E525)-1)</x:f>
        <x:v>#NAME?</x:v>
      </x:c>
      <x:c r="H525" s="146" t="e">
        <x:f>IF(OR('实盘净值数据(iFinD公式)'!$A525="",'实盘净值数据(iFinD公式)'!$B525=""),"",分期持仓明细!$AD$19*SUMPRODUCT(分期持仓明细!$B$19:$AA$19,'实盘净值数据(iFinD公式)'!$B525:$AA525/'实盘净值数据(iFinD公式)'!$B$20:$AA$20)*(1-实盘持仓初始配置!$Z$6)^(('实盘净值数据(iFinD公式)'!$A525-'实盘净值数据(iFinD公式)'!$A$7)/365))</x:f>
        <x:v>#NAME?</x:v>
      </x:c>
      <x:c r="I525" s="152" t="e">
        <x:f>IF(OR(H524="",H525=""),"",H525/H524-1)</x:f>
        <x:v>#NAME?</x:v>
      </x:c>
      <x:c r="J525" s="152" t="e">
        <x:f>IF(H525="","",H525/MAX(H$5:H525)-1)</x:f>
        <x:v>#NAME?</x:v>
      </x:c>
      <x:c r="K525" s="146" t="e">
        <x:f>IF(OR('实盘净值数据(iFinD公式)'!$A525="",'实盘净值数据(iFinD公式)'!$B525=""),"",分期持仓明细!$AD$23*SUMPRODUCT(分期持仓明细!$B$23:$AA$23,'实盘净值数据(iFinD公式)'!$B525:$AA525/'实盘净值数据(iFinD公式)'!$B$65:$AA$65)*(1-实盘持仓初始配置!$Z$7)^(('实盘净值数据(iFinD公式)'!$A525-'实盘净值数据(iFinD公式)'!$A$8)/365))</x:f>
        <x:v>#NAME?</x:v>
      </x:c>
      <x:c r="L525" s="152" t="e">
        <x:f>IF(OR(K524="",K525=""),"",K525/K524-1)</x:f>
        <x:v>#NAME?</x:v>
      </x:c>
      <x:c r="M525" s="152" t="e">
        <x:f>IF(K525="","",K525/MAX(K$5:K525)-1)</x:f>
        <x:v>#NAME?</x:v>
      </x:c>
      <x:c r="N525" s="146" t="e">
        <x:f>IF(OR('实盘净值数据(iFinD公式)'!$A525="",'实盘净值数据(iFinD公式)'!$B525=""),"",分期持仓明细!$AD$24*SUMPRODUCT(分期持仓明细!$B$24:$AA$24,'实盘净值数据(iFinD公式)'!$B525:$AA525/'实盘净值数据(iFinD公式)'!$B$65:$AA$65)*(1-实盘持仓初始配置!$Z$8)^(('实盘净值数据(iFinD公式)'!$A525-'实盘净值数据(iFinD公式)'!$A$5)/365))</x:f>
        <x:v>#NAME?</x:v>
      </x:c>
      <x:c r="O525" s="152" t="e">
        <x:f>IF(OR(N524="",N525=""),"",N525/N524-1)</x:f>
        <x:v>#NAME?</x:v>
      </x:c>
      <x:c r="P525" s="152" t="e">
        <x:f>IF(N525="","",N525/MAX(N$5:N525)-1)</x:f>
        <x:v>#NAME?</x:v>
      </x:c>
      <x:c r="Q525" s="146" t="e">
        <x:f>IF(OR('实盘净值数据(iFinD公式)'!$A525="",'实盘净值数据(iFinD公式)'!$B525=""),"",分期持仓明细!$AD$25*SUMPRODUCT(分期持仓明细!$B$25:$AA$25,'实盘净值数据(iFinD公式)'!$B525:$AA525/'实盘净值数据(iFinD公式)'!$B$65:$AA$65)*(1-实盘持仓初始配置!$Z$9)^(('实盘净值数据(iFinD公式)'!$A525-'实盘净值数据(iFinD公式)'!$A$8)/365))</x:f>
        <x:v>#NAME?</x:v>
      </x:c>
      <x:c r="R525" s="152" t="e">
        <x:f>IF(OR(Q524="",Q525=""),"",Q525/Q524-1)</x:f>
        <x:v>#NAME?</x:v>
      </x:c>
      <x:c r="S525" s="152" t="e">
        <x:f>IF(Q525="","",Q525/MAX(Q$5:Q525)-1)</x:f>
        <x:v>#NAME?</x:v>
      </x:c>
    </x:row>
    <x:row r="526">
      <x:c r="A526" s="149" t="str">
        <x:f>IF('实盘净值数据(iFinD公式)'!A526="","",'实盘净值数据(iFinD公式)'!A526)</x:f>
      </x:c>
      <x:c r="B526" s="146" t="e">
        <x:f>IF(OR('实盘净值数据(iFinD公式)'!$A526="",'实盘净值数据(iFinD公式)'!$B526=""),"",分期持仓明细!$AD$17*SUMPRODUCT(分期持仓明细!$B$17:$AA$17,'实盘净值数据(iFinD公式)'!$B526:$AA526/'实盘净值数据(iFinD公式)'!$B$20:$AA$20)*(1-实盘持仓初始配置!$Z$4)^(('实盘净值数据(iFinD公式)'!$A526-'实盘净值数据(iFinD公式)'!$A$6)/365))</x:f>
        <x:v>#NAME?</x:v>
      </x:c>
      <x:c r="C526" s="152" t="e">
        <x:f>IF(OR(B525="",B526=""),"",B526/B525-1)</x:f>
        <x:v>#NAME?</x:v>
      </x:c>
      <x:c r="D526" s="152" t="e">
        <x:f>IF(B526="","",B526/MAX(B$5:B526)-1)</x:f>
        <x:v>#NAME?</x:v>
      </x:c>
      <x:c r="E526" s="146" t="e">
        <x:f>IF(OR('实盘净值数据(iFinD公式)'!$A526="",'实盘净值数据(iFinD公式)'!$B526=""),"",分期持仓明细!$AD$18*SUMPRODUCT(分期持仓明细!$B$18:$AA$18,'实盘净值数据(iFinD公式)'!$B526:$AA526/'实盘净值数据(iFinD公式)'!$B$20:$AA$20)*(1-实盘持仓初始配置!$Z$5)^(('实盘净值数据(iFinD公式)'!$A526-'实盘净值数据(iFinD公式)'!$A$5)/365))</x:f>
        <x:v>#NAME?</x:v>
      </x:c>
      <x:c r="F526" s="152" t="e">
        <x:f>IF(OR(E525="",E526=""),"",E526/E525-1)</x:f>
        <x:v>#NAME?</x:v>
      </x:c>
      <x:c r="G526" s="152" t="e">
        <x:f>IF(E526="","",E526/MAX(E$5:E526)-1)</x:f>
        <x:v>#NAME?</x:v>
      </x:c>
      <x:c r="H526" s="146" t="e">
        <x:f>IF(OR('实盘净值数据(iFinD公式)'!$A526="",'实盘净值数据(iFinD公式)'!$B526=""),"",分期持仓明细!$AD$19*SUMPRODUCT(分期持仓明细!$B$19:$AA$19,'实盘净值数据(iFinD公式)'!$B526:$AA526/'实盘净值数据(iFinD公式)'!$B$20:$AA$20)*(1-实盘持仓初始配置!$Z$6)^(('实盘净值数据(iFinD公式)'!$A526-'实盘净值数据(iFinD公式)'!$A$7)/365))</x:f>
        <x:v>#NAME?</x:v>
      </x:c>
      <x:c r="I526" s="152" t="e">
        <x:f>IF(OR(H525="",H526=""),"",H526/H525-1)</x:f>
        <x:v>#NAME?</x:v>
      </x:c>
      <x:c r="J526" s="152" t="e">
        <x:f>IF(H526="","",H526/MAX(H$5:H526)-1)</x:f>
        <x:v>#NAME?</x:v>
      </x:c>
      <x:c r="K526" s="146" t="e">
        <x:f>IF(OR('实盘净值数据(iFinD公式)'!$A526="",'实盘净值数据(iFinD公式)'!$B526=""),"",分期持仓明细!$AD$23*SUMPRODUCT(分期持仓明细!$B$23:$AA$23,'实盘净值数据(iFinD公式)'!$B526:$AA526/'实盘净值数据(iFinD公式)'!$B$65:$AA$65)*(1-实盘持仓初始配置!$Z$7)^(('实盘净值数据(iFinD公式)'!$A526-'实盘净值数据(iFinD公式)'!$A$8)/365))</x:f>
        <x:v>#NAME?</x:v>
      </x:c>
      <x:c r="L526" s="152" t="e">
        <x:f>IF(OR(K525="",K526=""),"",K526/K525-1)</x:f>
        <x:v>#NAME?</x:v>
      </x:c>
      <x:c r="M526" s="152" t="e">
        <x:f>IF(K526="","",K526/MAX(K$5:K526)-1)</x:f>
        <x:v>#NAME?</x:v>
      </x:c>
      <x:c r="N526" s="146" t="e">
        <x:f>IF(OR('实盘净值数据(iFinD公式)'!$A526="",'实盘净值数据(iFinD公式)'!$B526=""),"",分期持仓明细!$AD$24*SUMPRODUCT(分期持仓明细!$B$24:$AA$24,'实盘净值数据(iFinD公式)'!$B526:$AA526/'实盘净值数据(iFinD公式)'!$B$65:$AA$65)*(1-实盘持仓初始配置!$Z$8)^(('实盘净值数据(iFinD公式)'!$A526-'实盘净值数据(iFinD公式)'!$A$5)/365))</x:f>
        <x:v>#NAME?</x:v>
      </x:c>
      <x:c r="O526" s="152" t="e">
        <x:f>IF(OR(N525="",N526=""),"",N526/N525-1)</x:f>
        <x:v>#NAME?</x:v>
      </x:c>
      <x:c r="P526" s="152" t="e">
        <x:f>IF(N526="","",N526/MAX(N$5:N526)-1)</x:f>
        <x:v>#NAME?</x:v>
      </x:c>
      <x:c r="Q526" s="146" t="e">
        <x:f>IF(OR('实盘净值数据(iFinD公式)'!$A526="",'实盘净值数据(iFinD公式)'!$B526=""),"",分期持仓明细!$AD$25*SUMPRODUCT(分期持仓明细!$B$25:$AA$25,'实盘净值数据(iFinD公式)'!$B526:$AA526/'实盘净值数据(iFinD公式)'!$B$65:$AA$65)*(1-实盘持仓初始配置!$Z$9)^(('实盘净值数据(iFinD公式)'!$A526-'实盘净值数据(iFinD公式)'!$A$8)/365))</x:f>
        <x:v>#NAME?</x:v>
      </x:c>
      <x:c r="R526" s="152" t="e">
        <x:f>IF(OR(Q525="",Q526=""),"",Q526/Q525-1)</x:f>
        <x:v>#NAME?</x:v>
      </x:c>
      <x:c r="S526" s="152" t="e">
        <x:f>IF(Q526="","",Q526/MAX(Q$5:Q526)-1)</x:f>
        <x:v>#NAME?</x:v>
      </x:c>
    </x:row>
    <x:row r="527">
      <x:c r="A527" s="149" t="str">
        <x:f>IF('实盘净值数据(iFinD公式)'!A527="","",'实盘净值数据(iFinD公式)'!A527)</x:f>
      </x:c>
      <x:c r="B527" s="146" t="e">
        <x:f>IF(OR('实盘净值数据(iFinD公式)'!$A527="",'实盘净值数据(iFinD公式)'!$B527=""),"",分期持仓明细!$AD$17*SUMPRODUCT(分期持仓明细!$B$17:$AA$17,'实盘净值数据(iFinD公式)'!$B527:$AA527/'实盘净值数据(iFinD公式)'!$B$20:$AA$20)*(1-实盘持仓初始配置!$Z$4)^(('实盘净值数据(iFinD公式)'!$A527-'实盘净值数据(iFinD公式)'!$A$6)/365))</x:f>
        <x:v>#NAME?</x:v>
      </x:c>
      <x:c r="C527" s="152" t="e">
        <x:f>IF(OR(B526="",B527=""),"",B527/B526-1)</x:f>
        <x:v>#NAME?</x:v>
      </x:c>
      <x:c r="D527" s="152" t="e">
        <x:f>IF(B527="","",B527/MAX(B$5:B527)-1)</x:f>
        <x:v>#NAME?</x:v>
      </x:c>
      <x:c r="E527" s="146" t="e">
        <x:f>IF(OR('实盘净值数据(iFinD公式)'!$A527="",'实盘净值数据(iFinD公式)'!$B527=""),"",分期持仓明细!$AD$18*SUMPRODUCT(分期持仓明细!$B$18:$AA$18,'实盘净值数据(iFinD公式)'!$B527:$AA527/'实盘净值数据(iFinD公式)'!$B$20:$AA$20)*(1-实盘持仓初始配置!$Z$5)^(('实盘净值数据(iFinD公式)'!$A527-'实盘净值数据(iFinD公式)'!$A$5)/365))</x:f>
        <x:v>#NAME?</x:v>
      </x:c>
      <x:c r="F527" s="152" t="e">
        <x:f>IF(OR(E526="",E527=""),"",E527/E526-1)</x:f>
        <x:v>#NAME?</x:v>
      </x:c>
      <x:c r="G527" s="152" t="e">
        <x:f>IF(E527="","",E527/MAX(E$5:E527)-1)</x:f>
        <x:v>#NAME?</x:v>
      </x:c>
      <x:c r="H527" s="146" t="e">
        <x:f>IF(OR('实盘净值数据(iFinD公式)'!$A527="",'实盘净值数据(iFinD公式)'!$B527=""),"",分期持仓明细!$AD$19*SUMPRODUCT(分期持仓明细!$B$19:$AA$19,'实盘净值数据(iFinD公式)'!$B527:$AA527/'实盘净值数据(iFinD公式)'!$B$20:$AA$20)*(1-实盘持仓初始配置!$Z$6)^(('实盘净值数据(iFinD公式)'!$A527-'实盘净值数据(iFinD公式)'!$A$7)/365))</x:f>
        <x:v>#NAME?</x:v>
      </x:c>
      <x:c r="I527" s="152" t="e">
        <x:f>IF(OR(H526="",H527=""),"",H527/H526-1)</x:f>
        <x:v>#NAME?</x:v>
      </x:c>
      <x:c r="J527" s="152" t="e">
        <x:f>IF(H527="","",H527/MAX(H$5:H527)-1)</x:f>
        <x:v>#NAME?</x:v>
      </x:c>
      <x:c r="K527" s="146" t="e">
        <x:f>IF(OR('实盘净值数据(iFinD公式)'!$A527="",'实盘净值数据(iFinD公式)'!$B527=""),"",分期持仓明细!$AD$23*SUMPRODUCT(分期持仓明细!$B$23:$AA$23,'实盘净值数据(iFinD公式)'!$B527:$AA527/'实盘净值数据(iFinD公式)'!$B$65:$AA$65)*(1-实盘持仓初始配置!$Z$7)^(('实盘净值数据(iFinD公式)'!$A527-'实盘净值数据(iFinD公式)'!$A$8)/365))</x:f>
        <x:v>#NAME?</x:v>
      </x:c>
      <x:c r="L527" s="152" t="e">
        <x:f>IF(OR(K526="",K527=""),"",K527/K526-1)</x:f>
        <x:v>#NAME?</x:v>
      </x:c>
      <x:c r="M527" s="152" t="e">
        <x:f>IF(K527="","",K527/MAX(K$5:K527)-1)</x:f>
        <x:v>#NAME?</x:v>
      </x:c>
      <x:c r="N527" s="146" t="e">
        <x:f>IF(OR('实盘净值数据(iFinD公式)'!$A527="",'实盘净值数据(iFinD公式)'!$B527=""),"",分期持仓明细!$AD$24*SUMPRODUCT(分期持仓明细!$B$24:$AA$24,'实盘净值数据(iFinD公式)'!$B527:$AA527/'实盘净值数据(iFinD公式)'!$B$65:$AA$65)*(1-实盘持仓初始配置!$Z$8)^(('实盘净值数据(iFinD公式)'!$A527-'实盘净值数据(iFinD公式)'!$A$5)/365))</x:f>
        <x:v>#NAME?</x:v>
      </x:c>
      <x:c r="O527" s="152" t="e">
        <x:f>IF(OR(N526="",N527=""),"",N527/N526-1)</x:f>
        <x:v>#NAME?</x:v>
      </x:c>
      <x:c r="P527" s="152" t="e">
        <x:f>IF(N527="","",N527/MAX(N$5:N527)-1)</x:f>
        <x:v>#NAME?</x:v>
      </x:c>
      <x:c r="Q527" s="146" t="e">
        <x:f>IF(OR('实盘净值数据(iFinD公式)'!$A527="",'实盘净值数据(iFinD公式)'!$B527=""),"",分期持仓明细!$AD$25*SUMPRODUCT(分期持仓明细!$B$25:$AA$25,'实盘净值数据(iFinD公式)'!$B527:$AA527/'实盘净值数据(iFinD公式)'!$B$65:$AA$65)*(1-实盘持仓初始配置!$Z$9)^(('实盘净值数据(iFinD公式)'!$A527-'实盘净值数据(iFinD公式)'!$A$8)/365))</x:f>
        <x:v>#NAME?</x:v>
      </x:c>
      <x:c r="R527" s="152" t="e">
        <x:f>IF(OR(Q526="",Q527=""),"",Q527/Q526-1)</x:f>
        <x:v>#NAME?</x:v>
      </x:c>
      <x:c r="S527" s="152" t="e">
        <x:f>IF(Q527="","",Q527/MAX(Q$5:Q527)-1)</x:f>
        <x:v>#NAME?</x:v>
      </x:c>
    </x:row>
    <x:row r="528">
      <x:c r="A528" s="149" t="str">
        <x:f>IF('实盘净值数据(iFinD公式)'!A528="","",'实盘净值数据(iFinD公式)'!A528)</x:f>
      </x:c>
      <x:c r="B528" s="146" t="e">
        <x:f>IF(OR('实盘净值数据(iFinD公式)'!$A528="",'实盘净值数据(iFinD公式)'!$B528=""),"",分期持仓明细!$AD$17*SUMPRODUCT(分期持仓明细!$B$17:$AA$17,'实盘净值数据(iFinD公式)'!$B528:$AA528/'实盘净值数据(iFinD公式)'!$B$20:$AA$20)*(1-实盘持仓初始配置!$Z$4)^(('实盘净值数据(iFinD公式)'!$A528-'实盘净值数据(iFinD公式)'!$A$6)/365))</x:f>
        <x:v>#NAME?</x:v>
      </x:c>
      <x:c r="C528" s="152" t="e">
        <x:f>IF(OR(B527="",B528=""),"",B528/B527-1)</x:f>
        <x:v>#NAME?</x:v>
      </x:c>
      <x:c r="D528" s="152" t="e">
        <x:f>IF(B528="","",B528/MAX(B$5:B528)-1)</x:f>
        <x:v>#NAME?</x:v>
      </x:c>
      <x:c r="E528" s="146" t="e">
        <x:f>IF(OR('实盘净值数据(iFinD公式)'!$A528="",'实盘净值数据(iFinD公式)'!$B528=""),"",分期持仓明细!$AD$18*SUMPRODUCT(分期持仓明细!$B$18:$AA$18,'实盘净值数据(iFinD公式)'!$B528:$AA528/'实盘净值数据(iFinD公式)'!$B$20:$AA$20)*(1-实盘持仓初始配置!$Z$5)^(('实盘净值数据(iFinD公式)'!$A528-'实盘净值数据(iFinD公式)'!$A$5)/365))</x:f>
        <x:v>#NAME?</x:v>
      </x:c>
      <x:c r="F528" s="152" t="e">
        <x:f>IF(OR(E527="",E528=""),"",E528/E527-1)</x:f>
        <x:v>#NAME?</x:v>
      </x:c>
      <x:c r="G528" s="152" t="e">
        <x:f>IF(E528="","",E528/MAX(E$5:E528)-1)</x:f>
        <x:v>#NAME?</x:v>
      </x:c>
      <x:c r="H528" s="146" t="e">
        <x:f>IF(OR('实盘净值数据(iFinD公式)'!$A528="",'实盘净值数据(iFinD公式)'!$B528=""),"",分期持仓明细!$AD$19*SUMPRODUCT(分期持仓明细!$B$19:$AA$19,'实盘净值数据(iFinD公式)'!$B528:$AA528/'实盘净值数据(iFinD公式)'!$B$20:$AA$20)*(1-实盘持仓初始配置!$Z$6)^(('实盘净值数据(iFinD公式)'!$A528-'实盘净值数据(iFinD公式)'!$A$7)/365))</x:f>
        <x:v>#NAME?</x:v>
      </x:c>
      <x:c r="I528" s="152" t="e">
        <x:f>IF(OR(H527="",H528=""),"",H528/H527-1)</x:f>
        <x:v>#NAME?</x:v>
      </x:c>
      <x:c r="J528" s="152" t="e">
        <x:f>IF(H528="","",H528/MAX(H$5:H528)-1)</x:f>
        <x:v>#NAME?</x:v>
      </x:c>
      <x:c r="K528" s="146" t="e">
        <x:f>IF(OR('实盘净值数据(iFinD公式)'!$A528="",'实盘净值数据(iFinD公式)'!$B528=""),"",分期持仓明细!$AD$23*SUMPRODUCT(分期持仓明细!$B$23:$AA$23,'实盘净值数据(iFinD公式)'!$B528:$AA528/'实盘净值数据(iFinD公式)'!$B$65:$AA$65)*(1-实盘持仓初始配置!$Z$7)^(('实盘净值数据(iFinD公式)'!$A528-'实盘净值数据(iFinD公式)'!$A$8)/365))</x:f>
        <x:v>#NAME?</x:v>
      </x:c>
      <x:c r="L528" s="152" t="e">
        <x:f>IF(OR(K527="",K528=""),"",K528/K527-1)</x:f>
        <x:v>#NAME?</x:v>
      </x:c>
      <x:c r="M528" s="152" t="e">
        <x:f>IF(K528="","",K528/MAX(K$5:K528)-1)</x:f>
        <x:v>#NAME?</x:v>
      </x:c>
      <x:c r="N528" s="146" t="e">
        <x:f>IF(OR('实盘净值数据(iFinD公式)'!$A528="",'实盘净值数据(iFinD公式)'!$B528=""),"",分期持仓明细!$AD$24*SUMPRODUCT(分期持仓明细!$B$24:$AA$24,'实盘净值数据(iFinD公式)'!$B528:$AA528/'实盘净值数据(iFinD公式)'!$B$65:$AA$65)*(1-实盘持仓初始配置!$Z$8)^(('实盘净值数据(iFinD公式)'!$A528-'实盘净值数据(iFinD公式)'!$A$5)/365))</x:f>
        <x:v>#NAME?</x:v>
      </x:c>
      <x:c r="O528" s="152" t="e">
        <x:f>IF(OR(N527="",N528=""),"",N528/N527-1)</x:f>
        <x:v>#NAME?</x:v>
      </x:c>
      <x:c r="P528" s="152" t="e">
        <x:f>IF(N528="","",N528/MAX(N$5:N528)-1)</x:f>
        <x:v>#NAME?</x:v>
      </x:c>
      <x:c r="Q528" s="146" t="e">
        <x:f>IF(OR('实盘净值数据(iFinD公式)'!$A528="",'实盘净值数据(iFinD公式)'!$B528=""),"",分期持仓明细!$AD$25*SUMPRODUCT(分期持仓明细!$B$25:$AA$25,'实盘净值数据(iFinD公式)'!$B528:$AA528/'实盘净值数据(iFinD公式)'!$B$65:$AA$65)*(1-实盘持仓初始配置!$Z$9)^(('实盘净值数据(iFinD公式)'!$A528-'实盘净值数据(iFinD公式)'!$A$8)/365))</x:f>
        <x:v>#NAME?</x:v>
      </x:c>
      <x:c r="R528" s="152" t="e">
        <x:f>IF(OR(Q527="",Q528=""),"",Q528/Q527-1)</x:f>
        <x:v>#NAME?</x:v>
      </x:c>
      <x:c r="S528" s="152" t="e">
        <x:f>IF(Q528="","",Q528/MAX(Q$5:Q528)-1)</x:f>
        <x:v>#NAME?</x:v>
      </x:c>
    </x:row>
    <x:row r="529">
      <x:c r="A529" s="149" t="str">
        <x:f>IF('实盘净值数据(iFinD公式)'!A529="","",'实盘净值数据(iFinD公式)'!A529)</x:f>
      </x:c>
      <x:c r="B529" s="146" t="e">
        <x:f>IF(OR('实盘净值数据(iFinD公式)'!$A529="",'实盘净值数据(iFinD公式)'!$B529=""),"",分期持仓明细!$AD$17*SUMPRODUCT(分期持仓明细!$B$17:$AA$17,'实盘净值数据(iFinD公式)'!$B529:$AA529/'实盘净值数据(iFinD公式)'!$B$20:$AA$20)*(1-实盘持仓初始配置!$Z$4)^(('实盘净值数据(iFinD公式)'!$A529-'实盘净值数据(iFinD公式)'!$A$6)/365))</x:f>
        <x:v>#NAME?</x:v>
      </x:c>
      <x:c r="C529" s="152" t="e">
        <x:f>IF(OR(B528="",B529=""),"",B529/B528-1)</x:f>
        <x:v>#NAME?</x:v>
      </x:c>
      <x:c r="D529" s="152" t="e">
        <x:f>IF(B529="","",B529/MAX(B$5:B529)-1)</x:f>
        <x:v>#NAME?</x:v>
      </x:c>
      <x:c r="E529" s="146" t="e">
        <x:f>IF(OR('实盘净值数据(iFinD公式)'!$A529="",'实盘净值数据(iFinD公式)'!$B529=""),"",分期持仓明细!$AD$18*SUMPRODUCT(分期持仓明细!$B$18:$AA$18,'实盘净值数据(iFinD公式)'!$B529:$AA529/'实盘净值数据(iFinD公式)'!$B$20:$AA$20)*(1-实盘持仓初始配置!$Z$5)^(('实盘净值数据(iFinD公式)'!$A529-'实盘净值数据(iFinD公式)'!$A$5)/365))</x:f>
        <x:v>#NAME?</x:v>
      </x:c>
      <x:c r="F529" s="152" t="e">
        <x:f>IF(OR(E528="",E529=""),"",E529/E528-1)</x:f>
        <x:v>#NAME?</x:v>
      </x:c>
      <x:c r="G529" s="152" t="e">
        <x:f>IF(E529="","",E529/MAX(E$5:E529)-1)</x:f>
        <x:v>#NAME?</x:v>
      </x:c>
      <x:c r="H529" s="146" t="e">
        <x:f>IF(OR('实盘净值数据(iFinD公式)'!$A529="",'实盘净值数据(iFinD公式)'!$B529=""),"",分期持仓明细!$AD$19*SUMPRODUCT(分期持仓明细!$B$19:$AA$19,'实盘净值数据(iFinD公式)'!$B529:$AA529/'实盘净值数据(iFinD公式)'!$B$20:$AA$20)*(1-实盘持仓初始配置!$Z$6)^(('实盘净值数据(iFinD公式)'!$A529-'实盘净值数据(iFinD公式)'!$A$7)/365))</x:f>
        <x:v>#NAME?</x:v>
      </x:c>
      <x:c r="I529" s="152" t="e">
        <x:f>IF(OR(H528="",H529=""),"",H529/H528-1)</x:f>
        <x:v>#NAME?</x:v>
      </x:c>
      <x:c r="J529" s="152" t="e">
        <x:f>IF(H529="","",H529/MAX(H$5:H529)-1)</x:f>
        <x:v>#NAME?</x:v>
      </x:c>
      <x:c r="K529" s="146" t="e">
        <x:f>IF(OR('实盘净值数据(iFinD公式)'!$A529="",'实盘净值数据(iFinD公式)'!$B529=""),"",分期持仓明细!$AD$23*SUMPRODUCT(分期持仓明细!$B$23:$AA$23,'实盘净值数据(iFinD公式)'!$B529:$AA529/'实盘净值数据(iFinD公式)'!$B$65:$AA$65)*(1-实盘持仓初始配置!$Z$7)^(('实盘净值数据(iFinD公式)'!$A529-'实盘净值数据(iFinD公式)'!$A$8)/365))</x:f>
        <x:v>#NAME?</x:v>
      </x:c>
      <x:c r="L529" s="152" t="e">
        <x:f>IF(OR(K528="",K529=""),"",K529/K528-1)</x:f>
        <x:v>#NAME?</x:v>
      </x:c>
      <x:c r="M529" s="152" t="e">
        <x:f>IF(K529="","",K529/MAX(K$5:K529)-1)</x:f>
        <x:v>#NAME?</x:v>
      </x:c>
      <x:c r="N529" s="146" t="e">
        <x:f>IF(OR('实盘净值数据(iFinD公式)'!$A529="",'实盘净值数据(iFinD公式)'!$B529=""),"",分期持仓明细!$AD$24*SUMPRODUCT(分期持仓明细!$B$24:$AA$24,'实盘净值数据(iFinD公式)'!$B529:$AA529/'实盘净值数据(iFinD公式)'!$B$65:$AA$65)*(1-实盘持仓初始配置!$Z$8)^(('实盘净值数据(iFinD公式)'!$A529-'实盘净值数据(iFinD公式)'!$A$5)/365))</x:f>
        <x:v>#NAME?</x:v>
      </x:c>
      <x:c r="O529" s="152" t="e">
        <x:f>IF(OR(N528="",N529=""),"",N529/N528-1)</x:f>
        <x:v>#NAME?</x:v>
      </x:c>
      <x:c r="P529" s="152" t="e">
        <x:f>IF(N529="","",N529/MAX(N$5:N529)-1)</x:f>
        <x:v>#NAME?</x:v>
      </x:c>
      <x:c r="Q529" s="146" t="e">
        <x:f>IF(OR('实盘净值数据(iFinD公式)'!$A529="",'实盘净值数据(iFinD公式)'!$B529=""),"",分期持仓明细!$AD$25*SUMPRODUCT(分期持仓明细!$B$25:$AA$25,'实盘净值数据(iFinD公式)'!$B529:$AA529/'实盘净值数据(iFinD公式)'!$B$65:$AA$65)*(1-实盘持仓初始配置!$Z$9)^(('实盘净值数据(iFinD公式)'!$A529-'实盘净值数据(iFinD公式)'!$A$8)/365))</x:f>
        <x:v>#NAME?</x:v>
      </x:c>
      <x:c r="R529" s="152" t="e">
        <x:f>IF(OR(Q528="",Q529=""),"",Q529/Q528-1)</x:f>
        <x:v>#NAME?</x:v>
      </x:c>
      <x:c r="S529" s="152" t="e">
        <x:f>IF(Q529="","",Q529/MAX(Q$5:Q529)-1)</x:f>
        <x:v>#NAME?</x:v>
      </x:c>
    </x:row>
    <x:row r="530">
      <x:c r="A530" s="149" t="str">
        <x:f>IF('实盘净值数据(iFinD公式)'!A530="","",'实盘净值数据(iFinD公式)'!A530)</x:f>
      </x:c>
      <x:c r="B530" s="146" t="e">
        <x:f>IF(OR('实盘净值数据(iFinD公式)'!$A530="",'实盘净值数据(iFinD公式)'!$B530=""),"",分期持仓明细!$AD$17*SUMPRODUCT(分期持仓明细!$B$17:$AA$17,'实盘净值数据(iFinD公式)'!$B530:$AA530/'实盘净值数据(iFinD公式)'!$B$20:$AA$20)*(1-实盘持仓初始配置!$Z$4)^(('实盘净值数据(iFinD公式)'!$A530-'实盘净值数据(iFinD公式)'!$A$6)/365))</x:f>
        <x:v>#NAME?</x:v>
      </x:c>
      <x:c r="C530" s="152" t="e">
        <x:f>IF(OR(B529="",B530=""),"",B530/B529-1)</x:f>
        <x:v>#NAME?</x:v>
      </x:c>
      <x:c r="D530" s="152" t="e">
        <x:f>IF(B530="","",B530/MAX(B$5:B530)-1)</x:f>
        <x:v>#NAME?</x:v>
      </x:c>
      <x:c r="E530" s="146" t="e">
        <x:f>IF(OR('实盘净值数据(iFinD公式)'!$A530="",'实盘净值数据(iFinD公式)'!$B530=""),"",分期持仓明细!$AD$18*SUMPRODUCT(分期持仓明细!$B$18:$AA$18,'实盘净值数据(iFinD公式)'!$B530:$AA530/'实盘净值数据(iFinD公式)'!$B$20:$AA$20)*(1-实盘持仓初始配置!$Z$5)^(('实盘净值数据(iFinD公式)'!$A530-'实盘净值数据(iFinD公式)'!$A$5)/365))</x:f>
        <x:v>#NAME?</x:v>
      </x:c>
      <x:c r="F530" s="152" t="e">
        <x:f>IF(OR(E529="",E530=""),"",E530/E529-1)</x:f>
        <x:v>#NAME?</x:v>
      </x:c>
      <x:c r="G530" s="152" t="e">
        <x:f>IF(E530="","",E530/MAX(E$5:E530)-1)</x:f>
        <x:v>#NAME?</x:v>
      </x:c>
      <x:c r="H530" s="146" t="e">
        <x:f>IF(OR('实盘净值数据(iFinD公式)'!$A530="",'实盘净值数据(iFinD公式)'!$B530=""),"",分期持仓明细!$AD$19*SUMPRODUCT(分期持仓明细!$B$19:$AA$19,'实盘净值数据(iFinD公式)'!$B530:$AA530/'实盘净值数据(iFinD公式)'!$B$20:$AA$20)*(1-实盘持仓初始配置!$Z$6)^(('实盘净值数据(iFinD公式)'!$A530-'实盘净值数据(iFinD公式)'!$A$7)/365))</x:f>
        <x:v>#NAME?</x:v>
      </x:c>
      <x:c r="I530" s="152" t="e">
        <x:f>IF(OR(H529="",H530=""),"",H530/H529-1)</x:f>
        <x:v>#NAME?</x:v>
      </x:c>
      <x:c r="J530" s="152" t="e">
        <x:f>IF(H530="","",H530/MAX(H$5:H530)-1)</x:f>
        <x:v>#NAME?</x:v>
      </x:c>
      <x:c r="K530" s="146" t="e">
        <x:f>IF(OR('实盘净值数据(iFinD公式)'!$A530="",'实盘净值数据(iFinD公式)'!$B530=""),"",分期持仓明细!$AD$23*SUMPRODUCT(分期持仓明细!$B$23:$AA$23,'实盘净值数据(iFinD公式)'!$B530:$AA530/'实盘净值数据(iFinD公式)'!$B$65:$AA$65)*(1-实盘持仓初始配置!$Z$7)^(('实盘净值数据(iFinD公式)'!$A530-'实盘净值数据(iFinD公式)'!$A$8)/365))</x:f>
        <x:v>#NAME?</x:v>
      </x:c>
      <x:c r="L530" s="152" t="e">
        <x:f>IF(OR(K529="",K530=""),"",K530/K529-1)</x:f>
        <x:v>#NAME?</x:v>
      </x:c>
      <x:c r="M530" s="152" t="e">
        <x:f>IF(K530="","",K530/MAX(K$5:K530)-1)</x:f>
        <x:v>#NAME?</x:v>
      </x:c>
      <x:c r="N530" s="146" t="e">
        <x:f>IF(OR('实盘净值数据(iFinD公式)'!$A530="",'实盘净值数据(iFinD公式)'!$B530=""),"",分期持仓明细!$AD$24*SUMPRODUCT(分期持仓明细!$B$24:$AA$24,'实盘净值数据(iFinD公式)'!$B530:$AA530/'实盘净值数据(iFinD公式)'!$B$65:$AA$65)*(1-实盘持仓初始配置!$Z$8)^(('实盘净值数据(iFinD公式)'!$A530-'实盘净值数据(iFinD公式)'!$A$5)/365))</x:f>
        <x:v>#NAME?</x:v>
      </x:c>
      <x:c r="O530" s="152" t="e">
        <x:f>IF(OR(N529="",N530=""),"",N530/N529-1)</x:f>
        <x:v>#NAME?</x:v>
      </x:c>
      <x:c r="P530" s="152" t="e">
        <x:f>IF(N530="","",N530/MAX(N$5:N530)-1)</x:f>
        <x:v>#NAME?</x:v>
      </x:c>
      <x:c r="Q530" s="146" t="e">
        <x:f>IF(OR('实盘净值数据(iFinD公式)'!$A530="",'实盘净值数据(iFinD公式)'!$B530=""),"",分期持仓明细!$AD$25*SUMPRODUCT(分期持仓明细!$B$25:$AA$25,'实盘净值数据(iFinD公式)'!$B530:$AA530/'实盘净值数据(iFinD公式)'!$B$65:$AA$65)*(1-实盘持仓初始配置!$Z$9)^(('实盘净值数据(iFinD公式)'!$A530-'实盘净值数据(iFinD公式)'!$A$8)/365))</x:f>
        <x:v>#NAME?</x:v>
      </x:c>
      <x:c r="R530" s="152" t="e">
        <x:f>IF(OR(Q529="",Q530=""),"",Q530/Q529-1)</x:f>
        <x:v>#NAME?</x:v>
      </x:c>
      <x:c r="S530" s="152" t="e">
        <x:f>IF(Q530="","",Q530/MAX(Q$5:Q530)-1)</x:f>
        <x:v>#NAME?</x:v>
      </x:c>
    </x:row>
    <x:row r="531">
      <x:c r="A531" s="149" t="str">
        <x:f>IF('实盘净值数据(iFinD公式)'!A531="","",'实盘净值数据(iFinD公式)'!A531)</x:f>
      </x:c>
      <x:c r="B531" s="146" t="e">
        <x:f>IF(OR('实盘净值数据(iFinD公式)'!$A531="",'实盘净值数据(iFinD公式)'!$B531=""),"",分期持仓明细!$AD$17*SUMPRODUCT(分期持仓明细!$B$17:$AA$17,'实盘净值数据(iFinD公式)'!$B531:$AA531/'实盘净值数据(iFinD公式)'!$B$20:$AA$20)*(1-实盘持仓初始配置!$Z$4)^(('实盘净值数据(iFinD公式)'!$A531-'实盘净值数据(iFinD公式)'!$A$6)/365))</x:f>
        <x:v>#NAME?</x:v>
      </x:c>
      <x:c r="C531" s="152" t="e">
        <x:f>IF(OR(B530="",B531=""),"",B531/B530-1)</x:f>
        <x:v>#NAME?</x:v>
      </x:c>
      <x:c r="D531" s="152" t="e">
        <x:f>IF(B531="","",B531/MAX(B$5:B531)-1)</x:f>
        <x:v>#NAME?</x:v>
      </x:c>
      <x:c r="E531" s="146" t="e">
        <x:f>IF(OR('实盘净值数据(iFinD公式)'!$A531="",'实盘净值数据(iFinD公式)'!$B531=""),"",分期持仓明细!$AD$18*SUMPRODUCT(分期持仓明细!$B$18:$AA$18,'实盘净值数据(iFinD公式)'!$B531:$AA531/'实盘净值数据(iFinD公式)'!$B$20:$AA$20)*(1-实盘持仓初始配置!$Z$5)^(('实盘净值数据(iFinD公式)'!$A531-'实盘净值数据(iFinD公式)'!$A$5)/365))</x:f>
        <x:v>#NAME?</x:v>
      </x:c>
      <x:c r="F531" s="152" t="e">
        <x:f>IF(OR(E530="",E531=""),"",E531/E530-1)</x:f>
        <x:v>#NAME?</x:v>
      </x:c>
      <x:c r="G531" s="152" t="e">
        <x:f>IF(E531="","",E531/MAX(E$5:E531)-1)</x:f>
        <x:v>#NAME?</x:v>
      </x:c>
      <x:c r="H531" s="146" t="e">
        <x:f>IF(OR('实盘净值数据(iFinD公式)'!$A531="",'实盘净值数据(iFinD公式)'!$B531=""),"",分期持仓明细!$AD$19*SUMPRODUCT(分期持仓明细!$B$19:$AA$19,'实盘净值数据(iFinD公式)'!$B531:$AA531/'实盘净值数据(iFinD公式)'!$B$20:$AA$20)*(1-实盘持仓初始配置!$Z$6)^(('实盘净值数据(iFinD公式)'!$A531-'实盘净值数据(iFinD公式)'!$A$7)/365))</x:f>
        <x:v>#NAME?</x:v>
      </x:c>
      <x:c r="I531" s="152" t="e">
        <x:f>IF(OR(H530="",H531=""),"",H531/H530-1)</x:f>
        <x:v>#NAME?</x:v>
      </x:c>
      <x:c r="J531" s="152" t="e">
        <x:f>IF(H531="","",H531/MAX(H$5:H531)-1)</x:f>
        <x:v>#NAME?</x:v>
      </x:c>
      <x:c r="K531" s="146" t="e">
        <x:f>IF(OR('实盘净值数据(iFinD公式)'!$A531="",'实盘净值数据(iFinD公式)'!$B531=""),"",分期持仓明细!$AD$23*SUMPRODUCT(分期持仓明细!$B$23:$AA$23,'实盘净值数据(iFinD公式)'!$B531:$AA531/'实盘净值数据(iFinD公式)'!$B$65:$AA$65)*(1-实盘持仓初始配置!$Z$7)^(('实盘净值数据(iFinD公式)'!$A531-'实盘净值数据(iFinD公式)'!$A$8)/365))</x:f>
        <x:v>#NAME?</x:v>
      </x:c>
      <x:c r="L531" s="152" t="e">
        <x:f>IF(OR(K530="",K531=""),"",K531/K530-1)</x:f>
        <x:v>#NAME?</x:v>
      </x:c>
      <x:c r="M531" s="152" t="e">
        <x:f>IF(K531="","",K531/MAX(K$5:K531)-1)</x:f>
        <x:v>#NAME?</x:v>
      </x:c>
      <x:c r="N531" s="146" t="e">
        <x:f>IF(OR('实盘净值数据(iFinD公式)'!$A531="",'实盘净值数据(iFinD公式)'!$B531=""),"",分期持仓明细!$AD$24*SUMPRODUCT(分期持仓明细!$B$24:$AA$24,'实盘净值数据(iFinD公式)'!$B531:$AA531/'实盘净值数据(iFinD公式)'!$B$65:$AA$65)*(1-实盘持仓初始配置!$Z$8)^(('实盘净值数据(iFinD公式)'!$A531-'实盘净值数据(iFinD公式)'!$A$5)/365))</x:f>
        <x:v>#NAME?</x:v>
      </x:c>
      <x:c r="O531" s="152" t="e">
        <x:f>IF(OR(N530="",N531=""),"",N531/N530-1)</x:f>
        <x:v>#NAME?</x:v>
      </x:c>
      <x:c r="P531" s="152" t="e">
        <x:f>IF(N531="","",N531/MAX(N$5:N531)-1)</x:f>
        <x:v>#NAME?</x:v>
      </x:c>
      <x:c r="Q531" s="146" t="e">
        <x:f>IF(OR('实盘净值数据(iFinD公式)'!$A531="",'实盘净值数据(iFinD公式)'!$B531=""),"",分期持仓明细!$AD$25*SUMPRODUCT(分期持仓明细!$B$25:$AA$25,'实盘净值数据(iFinD公式)'!$B531:$AA531/'实盘净值数据(iFinD公式)'!$B$65:$AA$65)*(1-实盘持仓初始配置!$Z$9)^(('实盘净值数据(iFinD公式)'!$A531-'实盘净值数据(iFinD公式)'!$A$8)/365))</x:f>
        <x:v>#NAME?</x:v>
      </x:c>
      <x:c r="R531" s="152" t="e">
        <x:f>IF(OR(Q530="",Q531=""),"",Q531/Q530-1)</x:f>
        <x:v>#NAME?</x:v>
      </x:c>
      <x:c r="S531" s="152" t="e">
        <x:f>IF(Q531="","",Q531/MAX(Q$5:Q531)-1)</x:f>
        <x:v>#NAME?</x:v>
      </x:c>
    </x:row>
    <x:row r="532">
      <x:c r="A532" s="149" t="str">
        <x:f>IF('实盘净值数据(iFinD公式)'!A532="","",'实盘净值数据(iFinD公式)'!A532)</x:f>
      </x:c>
      <x:c r="B532" s="146" t="e">
        <x:f>IF(OR('实盘净值数据(iFinD公式)'!$A532="",'实盘净值数据(iFinD公式)'!$B532=""),"",分期持仓明细!$AD$17*SUMPRODUCT(分期持仓明细!$B$17:$AA$17,'实盘净值数据(iFinD公式)'!$B532:$AA532/'实盘净值数据(iFinD公式)'!$B$20:$AA$20)*(1-实盘持仓初始配置!$Z$4)^(('实盘净值数据(iFinD公式)'!$A532-'实盘净值数据(iFinD公式)'!$A$6)/365))</x:f>
        <x:v>#NAME?</x:v>
      </x:c>
      <x:c r="C532" s="152" t="e">
        <x:f>IF(OR(B531="",B532=""),"",B532/B531-1)</x:f>
        <x:v>#NAME?</x:v>
      </x:c>
      <x:c r="D532" s="152" t="e">
        <x:f>IF(B532="","",B532/MAX(B$5:B532)-1)</x:f>
        <x:v>#NAME?</x:v>
      </x:c>
      <x:c r="E532" s="146" t="e">
        <x:f>IF(OR('实盘净值数据(iFinD公式)'!$A532="",'实盘净值数据(iFinD公式)'!$B532=""),"",分期持仓明细!$AD$18*SUMPRODUCT(分期持仓明细!$B$18:$AA$18,'实盘净值数据(iFinD公式)'!$B532:$AA532/'实盘净值数据(iFinD公式)'!$B$20:$AA$20)*(1-实盘持仓初始配置!$Z$5)^(('实盘净值数据(iFinD公式)'!$A532-'实盘净值数据(iFinD公式)'!$A$5)/365))</x:f>
        <x:v>#NAME?</x:v>
      </x:c>
      <x:c r="F532" s="152" t="e">
        <x:f>IF(OR(E531="",E532=""),"",E532/E531-1)</x:f>
        <x:v>#NAME?</x:v>
      </x:c>
      <x:c r="G532" s="152" t="e">
        <x:f>IF(E532="","",E532/MAX(E$5:E532)-1)</x:f>
        <x:v>#NAME?</x:v>
      </x:c>
      <x:c r="H532" s="146" t="e">
        <x:f>IF(OR('实盘净值数据(iFinD公式)'!$A532="",'实盘净值数据(iFinD公式)'!$B532=""),"",分期持仓明细!$AD$19*SUMPRODUCT(分期持仓明细!$B$19:$AA$19,'实盘净值数据(iFinD公式)'!$B532:$AA532/'实盘净值数据(iFinD公式)'!$B$20:$AA$20)*(1-实盘持仓初始配置!$Z$6)^(('实盘净值数据(iFinD公式)'!$A532-'实盘净值数据(iFinD公式)'!$A$7)/365))</x:f>
        <x:v>#NAME?</x:v>
      </x:c>
      <x:c r="I532" s="152" t="e">
        <x:f>IF(OR(H531="",H532=""),"",H532/H531-1)</x:f>
        <x:v>#NAME?</x:v>
      </x:c>
      <x:c r="J532" s="152" t="e">
        <x:f>IF(H532="","",H532/MAX(H$5:H532)-1)</x:f>
        <x:v>#NAME?</x:v>
      </x:c>
      <x:c r="K532" s="146" t="e">
        <x:f>IF(OR('实盘净值数据(iFinD公式)'!$A532="",'实盘净值数据(iFinD公式)'!$B532=""),"",分期持仓明细!$AD$23*SUMPRODUCT(分期持仓明细!$B$23:$AA$23,'实盘净值数据(iFinD公式)'!$B532:$AA532/'实盘净值数据(iFinD公式)'!$B$65:$AA$65)*(1-实盘持仓初始配置!$Z$7)^(('实盘净值数据(iFinD公式)'!$A532-'实盘净值数据(iFinD公式)'!$A$8)/365))</x:f>
        <x:v>#NAME?</x:v>
      </x:c>
      <x:c r="L532" s="152" t="e">
        <x:f>IF(OR(K531="",K532=""),"",K532/K531-1)</x:f>
        <x:v>#NAME?</x:v>
      </x:c>
      <x:c r="M532" s="152" t="e">
        <x:f>IF(K532="","",K532/MAX(K$5:K532)-1)</x:f>
        <x:v>#NAME?</x:v>
      </x:c>
      <x:c r="N532" s="146" t="e">
        <x:f>IF(OR('实盘净值数据(iFinD公式)'!$A532="",'实盘净值数据(iFinD公式)'!$B532=""),"",分期持仓明细!$AD$24*SUMPRODUCT(分期持仓明细!$B$24:$AA$24,'实盘净值数据(iFinD公式)'!$B532:$AA532/'实盘净值数据(iFinD公式)'!$B$65:$AA$65)*(1-实盘持仓初始配置!$Z$8)^(('实盘净值数据(iFinD公式)'!$A532-'实盘净值数据(iFinD公式)'!$A$5)/365))</x:f>
        <x:v>#NAME?</x:v>
      </x:c>
      <x:c r="O532" s="152" t="e">
        <x:f>IF(OR(N531="",N532=""),"",N532/N531-1)</x:f>
        <x:v>#NAME?</x:v>
      </x:c>
      <x:c r="P532" s="152" t="e">
        <x:f>IF(N532="","",N532/MAX(N$5:N532)-1)</x:f>
        <x:v>#NAME?</x:v>
      </x:c>
      <x:c r="Q532" s="146" t="e">
        <x:f>IF(OR('实盘净值数据(iFinD公式)'!$A532="",'实盘净值数据(iFinD公式)'!$B532=""),"",分期持仓明细!$AD$25*SUMPRODUCT(分期持仓明细!$B$25:$AA$25,'实盘净值数据(iFinD公式)'!$B532:$AA532/'实盘净值数据(iFinD公式)'!$B$65:$AA$65)*(1-实盘持仓初始配置!$Z$9)^(('实盘净值数据(iFinD公式)'!$A532-'实盘净值数据(iFinD公式)'!$A$8)/365))</x:f>
        <x:v>#NAME?</x:v>
      </x:c>
      <x:c r="R532" s="152" t="e">
        <x:f>IF(OR(Q531="",Q532=""),"",Q532/Q531-1)</x:f>
        <x:v>#NAME?</x:v>
      </x:c>
      <x:c r="S532" s="152" t="e">
        <x:f>IF(Q532="","",Q532/MAX(Q$5:Q532)-1)</x:f>
        <x:v>#NAME?</x:v>
      </x:c>
    </x:row>
    <x:row r="533">
      <x:c r="A533" s="149" t="str">
        <x:f>IF('实盘净值数据(iFinD公式)'!A533="","",'实盘净值数据(iFinD公式)'!A533)</x:f>
      </x:c>
      <x:c r="B533" s="146" t="e">
        <x:f>IF(OR('实盘净值数据(iFinD公式)'!$A533="",'实盘净值数据(iFinD公式)'!$B533=""),"",分期持仓明细!$AD$17*SUMPRODUCT(分期持仓明细!$B$17:$AA$17,'实盘净值数据(iFinD公式)'!$B533:$AA533/'实盘净值数据(iFinD公式)'!$B$20:$AA$20)*(1-实盘持仓初始配置!$Z$4)^(('实盘净值数据(iFinD公式)'!$A533-'实盘净值数据(iFinD公式)'!$A$6)/365))</x:f>
        <x:v>#NAME?</x:v>
      </x:c>
      <x:c r="C533" s="152" t="e">
        <x:f>IF(OR(B532="",B533=""),"",B533/B532-1)</x:f>
        <x:v>#NAME?</x:v>
      </x:c>
      <x:c r="D533" s="152" t="e">
        <x:f>IF(B533="","",B533/MAX(B$5:B533)-1)</x:f>
        <x:v>#NAME?</x:v>
      </x:c>
      <x:c r="E533" s="146" t="e">
        <x:f>IF(OR('实盘净值数据(iFinD公式)'!$A533="",'实盘净值数据(iFinD公式)'!$B533=""),"",分期持仓明细!$AD$18*SUMPRODUCT(分期持仓明细!$B$18:$AA$18,'实盘净值数据(iFinD公式)'!$B533:$AA533/'实盘净值数据(iFinD公式)'!$B$20:$AA$20)*(1-实盘持仓初始配置!$Z$5)^(('实盘净值数据(iFinD公式)'!$A533-'实盘净值数据(iFinD公式)'!$A$5)/365))</x:f>
        <x:v>#NAME?</x:v>
      </x:c>
      <x:c r="F533" s="152" t="e">
        <x:f>IF(OR(E532="",E533=""),"",E533/E532-1)</x:f>
        <x:v>#NAME?</x:v>
      </x:c>
      <x:c r="G533" s="152" t="e">
        <x:f>IF(E533="","",E533/MAX(E$5:E533)-1)</x:f>
        <x:v>#NAME?</x:v>
      </x:c>
      <x:c r="H533" s="146" t="e">
        <x:f>IF(OR('实盘净值数据(iFinD公式)'!$A533="",'实盘净值数据(iFinD公式)'!$B533=""),"",分期持仓明细!$AD$19*SUMPRODUCT(分期持仓明细!$B$19:$AA$19,'实盘净值数据(iFinD公式)'!$B533:$AA533/'实盘净值数据(iFinD公式)'!$B$20:$AA$20)*(1-实盘持仓初始配置!$Z$6)^(('实盘净值数据(iFinD公式)'!$A533-'实盘净值数据(iFinD公式)'!$A$7)/365))</x:f>
        <x:v>#NAME?</x:v>
      </x:c>
      <x:c r="I533" s="152" t="e">
        <x:f>IF(OR(H532="",H533=""),"",H533/H532-1)</x:f>
        <x:v>#NAME?</x:v>
      </x:c>
      <x:c r="J533" s="152" t="e">
        <x:f>IF(H533="","",H533/MAX(H$5:H533)-1)</x:f>
        <x:v>#NAME?</x:v>
      </x:c>
      <x:c r="K533" s="146" t="e">
        <x:f>IF(OR('实盘净值数据(iFinD公式)'!$A533="",'实盘净值数据(iFinD公式)'!$B533=""),"",分期持仓明细!$AD$23*SUMPRODUCT(分期持仓明细!$B$23:$AA$23,'实盘净值数据(iFinD公式)'!$B533:$AA533/'实盘净值数据(iFinD公式)'!$B$65:$AA$65)*(1-实盘持仓初始配置!$Z$7)^(('实盘净值数据(iFinD公式)'!$A533-'实盘净值数据(iFinD公式)'!$A$8)/365))</x:f>
        <x:v>#NAME?</x:v>
      </x:c>
      <x:c r="L533" s="152" t="e">
        <x:f>IF(OR(K532="",K533=""),"",K533/K532-1)</x:f>
        <x:v>#NAME?</x:v>
      </x:c>
      <x:c r="M533" s="152" t="e">
        <x:f>IF(K533="","",K533/MAX(K$5:K533)-1)</x:f>
        <x:v>#NAME?</x:v>
      </x:c>
      <x:c r="N533" s="146" t="e">
        <x:f>IF(OR('实盘净值数据(iFinD公式)'!$A533="",'实盘净值数据(iFinD公式)'!$B533=""),"",分期持仓明细!$AD$24*SUMPRODUCT(分期持仓明细!$B$24:$AA$24,'实盘净值数据(iFinD公式)'!$B533:$AA533/'实盘净值数据(iFinD公式)'!$B$65:$AA$65)*(1-实盘持仓初始配置!$Z$8)^(('实盘净值数据(iFinD公式)'!$A533-'实盘净值数据(iFinD公式)'!$A$5)/365))</x:f>
        <x:v>#NAME?</x:v>
      </x:c>
      <x:c r="O533" s="152" t="e">
        <x:f>IF(OR(N532="",N533=""),"",N533/N532-1)</x:f>
        <x:v>#NAME?</x:v>
      </x:c>
      <x:c r="P533" s="152" t="e">
        <x:f>IF(N533="","",N533/MAX(N$5:N533)-1)</x:f>
        <x:v>#NAME?</x:v>
      </x:c>
      <x:c r="Q533" s="146" t="e">
        <x:f>IF(OR('实盘净值数据(iFinD公式)'!$A533="",'实盘净值数据(iFinD公式)'!$B533=""),"",分期持仓明细!$AD$25*SUMPRODUCT(分期持仓明细!$B$25:$AA$25,'实盘净值数据(iFinD公式)'!$B533:$AA533/'实盘净值数据(iFinD公式)'!$B$65:$AA$65)*(1-实盘持仓初始配置!$Z$9)^(('实盘净值数据(iFinD公式)'!$A533-'实盘净值数据(iFinD公式)'!$A$8)/365))</x:f>
        <x:v>#NAME?</x:v>
      </x:c>
      <x:c r="R533" s="152" t="e">
        <x:f>IF(OR(Q532="",Q533=""),"",Q533/Q532-1)</x:f>
        <x:v>#NAME?</x:v>
      </x:c>
      <x:c r="S533" s="152" t="e">
        <x:f>IF(Q533="","",Q533/MAX(Q$5:Q533)-1)</x:f>
        <x:v>#NAME?</x:v>
      </x:c>
    </x:row>
    <x:row r="534">
      <x:c r="A534" s="149" t="str">
        <x:f>IF('实盘净值数据(iFinD公式)'!A534="","",'实盘净值数据(iFinD公式)'!A534)</x:f>
      </x:c>
      <x:c r="B534" s="146" t="e">
        <x:f>IF(OR('实盘净值数据(iFinD公式)'!$A534="",'实盘净值数据(iFinD公式)'!$B534=""),"",分期持仓明细!$AD$17*SUMPRODUCT(分期持仓明细!$B$17:$AA$17,'实盘净值数据(iFinD公式)'!$B534:$AA534/'实盘净值数据(iFinD公式)'!$B$20:$AA$20)*(1-实盘持仓初始配置!$Z$4)^(('实盘净值数据(iFinD公式)'!$A534-'实盘净值数据(iFinD公式)'!$A$6)/365))</x:f>
        <x:v>#NAME?</x:v>
      </x:c>
      <x:c r="C534" s="152" t="e">
        <x:f>IF(OR(B533="",B534=""),"",B534/B533-1)</x:f>
        <x:v>#NAME?</x:v>
      </x:c>
      <x:c r="D534" s="152" t="e">
        <x:f>IF(B534="","",B534/MAX(B$5:B534)-1)</x:f>
        <x:v>#NAME?</x:v>
      </x:c>
      <x:c r="E534" s="146" t="e">
        <x:f>IF(OR('实盘净值数据(iFinD公式)'!$A534="",'实盘净值数据(iFinD公式)'!$B534=""),"",分期持仓明细!$AD$18*SUMPRODUCT(分期持仓明细!$B$18:$AA$18,'实盘净值数据(iFinD公式)'!$B534:$AA534/'实盘净值数据(iFinD公式)'!$B$20:$AA$20)*(1-实盘持仓初始配置!$Z$5)^(('实盘净值数据(iFinD公式)'!$A534-'实盘净值数据(iFinD公式)'!$A$5)/365))</x:f>
        <x:v>#NAME?</x:v>
      </x:c>
      <x:c r="F534" s="152" t="e">
        <x:f>IF(OR(E533="",E534=""),"",E534/E533-1)</x:f>
        <x:v>#NAME?</x:v>
      </x:c>
      <x:c r="G534" s="152" t="e">
        <x:f>IF(E534="","",E534/MAX(E$5:E534)-1)</x:f>
        <x:v>#NAME?</x:v>
      </x:c>
      <x:c r="H534" s="146" t="e">
        <x:f>IF(OR('实盘净值数据(iFinD公式)'!$A534="",'实盘净值数据(iFinD公式)'!$B534=""),"",分期持仓明细!$AD$19*SUMPRODUCT(分期持仓明细!$B$19:$AA$19,'实盘净值数据(iFinD公式)'!$B534:$AA534/'实盘净值数据(iFinD公式)'!$B$20:$AA$20)*(1-实盘持仓初始配置!$Z$6)^(('实盘净值数据(iFinD公式)'!$A534-'实盘净值数据(iFinD公式)'!$A$7)/365))</x:f>
        <x:v>#NAME?</x:v>
      </x:c>
      <x:c r="I534" s="152" t="e">
        <x:f>IF(OR(H533="",H534=""),"",H534/H533-1)</x:f>
        <x:v>#NAME?</x:v>
      </x:c>
      <x:c r="J534" s="152" t="e">
        <x:f>IF(H534="","",H534/MAX(H$5:H534)-1)</x:f>
        <x:v>#NAME?</x:v>
      </x:c>
      <x:c r="K534" s="146" t="e">
        <x:f>IF(OR('实盘净值数据(iFinD公式)'!$A534="",'实盘净值数据(iFinD公式)'!$B534=""),"",分期持仓明细!$AD$23*SUMPRODUCT(分期持仓明细!$B$23:$AA$23,'实盘净值数据(iFinD公式)'!$B534:$AA534/'实盘净值数据(iFinD公式)'!$B$65:$AA$65)*(1-实盘持仓初始配置!$Z$7)^(('实盘净值数据(iFinD公式)'!$A534-'实盘净值数据(iFinD公式)'!$A$8)/365))</x:f>
        <x:v>#NAME?</x:v>
      </x:c>
      <x:c r="L534" s="152" t="e">
        <x:f>IF(OR(K533="",K534=""),"",K534/K533-1)</x:f>
        <x:v>#NAME?</x:v>
      </x:c>
      <x:c r="M534" s="152" t="e">
        <x:f>IF(K534="","",K534/MAX(K$5:K534)-1)</x:f>
        <x:v>#NAME?</x:v>
      </x:c>
      <x:c r="N534" s="146" t="e">
        <x:f>IF(OR('实盘净值数据(iFinD公式)'!$A534="",'实盘净值数据(iFinD公式)'!$B534=""),"",分期持仓明细!$AD$24*SUMPRODUCT(分期持仓明细!$B$24:$AA$24,'实盘净值数据(iFinD公式)'!$B534:$AA534/'实盘净值数据(iFinD公式)'!$B$65:$AA$65)*(1-实盘持仓初始配置!$Z$8)^(('实盘净值数据(iFinD公式)'!$A534-'实盘净值数据(iFinD公式)'!$A$5)/365))</x:f>
        <x:v>#NAME?</x:v>
      </x:c>
      <x:c r="O534" s="152" t="e">
        <x:f>IF(OR(N533="",N534=""),"",N534/N533-1)</x:f>
        <x:v>#NAME?</x:v>
      </x:c>
      <x:c r="P534" s="152" t="e">
        <x:f>IF(N534="","",N534/MAX(N$5:N534)-1)</x:f>
        <x:v>#NAME?</x:v>
      </x:c>
      <x:c r="Q534" s="146" t="e">
        <x:f>IF(OR('实盘净值数据(iFinD公式)'!$A534="",'实盘净值数据(iFinD公式)'!$B534=""),"",分期持仓明细!$AD$25*SUMPRODUCT(分期持仓明细!$B$25:$AA$25,'实盘净值数据(iFinD公式)'!$B534:$AA534/'实盘净值数据(iFinD公式)'!$B$65:$AA$65)*(1-实盘持仓初始配置!$Z$9)^(('实盘净值数据(iFinD公式)'!$A534-'实盘净值数据(iFinD公式)'!$A$8)/365))</x:f>
        <x:v>#NAME?</x:v>
      </x:c>
      <x:c r="R534" s="152" t="e">
        <x:f>IF(OR(Q533="",Q534=""),"",Q534/Q533-1)</x:f>
        <x:v>#NAME?</x:v>
      </x:c>
      <x:c r="S534" s="152" t="e">
        <x:f>IF(Q534="","",Q534/MAX(Q$5:Q534)-1)</x:f>
        <x:v>#NAME?</x:v>
      </x:c>
    </x:row>
    <x:row r="535">
      <x:c r="A535" s="149" t="str">
        <x:f>IF('实盘净值数据(iFinD公式)'!A535="","",'实盘净值数据(iFinD公式)'!A535)</x:f>
      </x:c>
      <x:c r="B535" s="146" t="e">
        <x:f>IF(OR('实盘净值数据(iFinD公式)'!$A535="",'实盘净值数据(iFinD公式)'!$B535=""),"",分期持仓明细!$AD$17*SUMPRODUCT(分期持仓明细!$B$17:$AA$17,'实盘净值数据(iFinD公式)'!$B535:$AA535/'实盘净值数据(iFinD公式)'!$B$20:$AA$20)*(1-实盘持仓初始配置!$Z$4)^(('实盘净值数据(iFinD公式)'!$A535-'实盘净值数据(iFinD公式)'!$A$6)/365))</x:f>
        <x:v>#NAME?</x:v>
      </x:c>
      <x:c r="C535" s="152" t="e">
        <x:f>IF(OR(B534="",B535=""),"",B535/B534-1)</x:f>
        <x:v>#NAME?</x:v>
      </x:c>
      <x:c r="D535" s="152" t="e">
        <x:f>IF(B535="","",B535/MAX(B$5:B535)-1)</x:f>
        <x:v>#NAME?</x:v>
      </x:c>
      <x:c r="E535" s="146" t="e">
        <x:f>IF(OR('实盘净值数据(iFinD公式)'!$A535="",'实盘净值数据(iFinD公式)'!$B535=""),"",分期持仓明细!$AD$18*SUMPRODUCT(分期持仓明细!$B$18:$AA$18,'实盘净值数据(iFinD公式)'!$B535:$AA535/'实盘净值数据(iFinD公式)'!$B$20:$AA$20)*(1-实盘持仓初始配置!$Z$5)^(('实盘净值数据(iFinD公式)'!$A535-'实盘净值数据(iFinD公式)'!$A$5)/365))</x:f>
        <x:v>#NAME?</x:v>
      </x:c>
      <x:c r="F535" s="152" t="e">
        <x:f>IF(OR(E534="",E535=""),"",E535/E534-1)</x:f>
        <x:v>#NAME?</x:v>
      </x:c>
      <x:c r="G535" s="152" t="e">
        <x:f>IF(E535="","",E535/MAX(E$5:E535)-1)</x:f>
        <x:v>#NAME?</x:v>
      </x:c>
      <x:c r="H535" s="146" t="e">
        <x:f>IF(OR('实盘净值数据(iFinD公式)'!$A535="",'实盘净值数据(iFinD公式)'!$B535=""),"",分期持仓明细!$AD$19*SUMPRODUCT(分期持仓明细!$B$19:$AA$19,'实盘净值数据(iFinD公式)'!$B535:$AA535/'实盘净值数据(iFinD公式)'!$B$20:$AA$20)*(1-实盘持仓初始配置!$Z$6)^(('实盘净值数据(iFinD公式)'!$A535-'实盘净值数据(iFinD公式)'!$A$7)/365))</x:f>
        <x:v>#NAME?</x:v>
      </x:c>
      <x:c r="I535" s="152" t="e">
        <x:f>IF(OR(H534="",H535=""),"",H535/H534-1)</x:f>
        <x:v>#NAME?</x:v>
      </x:c>
      <x:c r="J535" s="152" t="e">
        <x:f>IF(H535="","",H535/MAX(H$5:H535)-1)</x:f>
        <x:v>#NAME?</x:v>
      </x:c>
      <x:c r="K535" s="146" t="e">
        <x:f>IF(OR('实盘净值数据(iFinD公式)'!$A535="",'实盘净值数据(iFinD公式)'!$B535=""),"",分期持仓明细!$AD$23*SUMPRODUCT(分期持仓明细!$B$23:$AA$23,'实盘净值数据(iFinD公式)'!$B535:$AA535/'实盘净值数据(iFinD公式)'!$B$65:$AA$65)*(1-实盘持仓初始配置!$Z$7)^(('实盘净值数据(iFinD公式)'!$A535-'实盘净值数据(iFinD公式)'!$A$8)/365))</x:f>
        <x:v>#NAME?</x:v>
      </x:c>
      <x:c r="L535" s="152" t="e">
        <x:f>IF(OR(K534="",K535=""),"",K535/K534-1)</x:f>
        <x:v>#NAME?</x:v>
      </x:c>
      <x:c r="M535" s="152" t="e">
        <x:f>IF(K535="","",K535/MAX(K$5:K535)-1)</x:f>
        <x:v>#NAME?</x:v>
      </x:c>
      <x:c r="N535" s="146" t="e">
        <x:f>IF(OR('实盘净值数据(iFinD公式)'!$A535="",'实盘净值数据(iFinD公式)'!$B535=""),"",分期持仓明细!$AD$24*SUMPRODUCT(分期持仓明细!$B$24:$AA$24,'实盘净值数据(iFinD公式)'!$B535:$AA535/'实盘净值数据(iFinD公式)'!$B$65:$AA$65)*(1-实盘持仓初始配置!$Z$8)^(('实盘净值数据(iFinD公式)'!$A535-'实盘净值数据(iFinD公式)'!$A$5)/365))</x:f>
        <x:v>#NAME?</x:v>
      </x:c>
      <x:c r="O535" s="152" t="e">
        <x:f>IF(OR(N534="",N535=""),"",N535/N534-1)</x:f>
        <x:v>#NAME?</x:v>
      </x:c>
      <x:c r="P535" s="152" t="e">
        <x:f>IF(N535="","",N535/MAX(N$5:N535)-1)</x:f>
        <x:v>#NAME?</x:v>
      </x:c>
      <x:c r="Q535" s="146" t="e">
        <x:f>IF(OR('实盘净值数据(iFinD公式)'!$A535="",'实盘净值数据(iFinD公式)'!$B535=""),"",分期持仓明细!$AD$25*SUMPRODUCT(分期持仓明细!$B$25:$AA$25,'实盘净值数据(iFinD公式)'!$B535:$AA535/'实盘净值数据(iFinD公式)'!$B$65:$AA$65)*(1-实盘持仓初始配置!$Z$9)^(('实盘净值数据(iFinD公式)'!$A535-'实盘净值数据(iFinD公式)'!$A$8)/365))</x:f>
        <x:v>#NAME?</x:v>
      </x:c>
      <x:c r="R535" s="152" t="e">
        <x:f>IF(OR(Q534="",Q535=""),"",Q535/Q534-1)</x:f>
        <x:v>#NAME?</x:v>
      </x:c>
      <x:c r="S535" s="152" t="e">
        <x:f>IF(Q535="","",Q535/MAX(Q$5:Q535)-1)</x:f>
        <x:v>#NAME?</x:v>
      </x:c>
    </x:row>
    <x:row r="536">
      <x:c r="A536" s="149" t="str">
        <x:f>IF('实盘净值数据(iFinD公式)'!A536="","",'实盘净值数据(iFinD公式)'!A536)</x:f>
      </x:c>
      <x:c r="B536" s="146" t="e">
        <x:f>IF(OR('实盘净值数据(iFinD公式)'!$A536="",'实盘净值数据(iFinD公式)'!$B536=""),"",分期持仓明细!$AD$17*SUMPRODUCT(分期持仓明细!$B$17:$AA$17,'实盘净值数据(iFinD公式)'!$B536:$AA536/'实盘净值数据(iFinD公式)'!$B$20:$AA$20)*(1-实盘持仓初始配置!$Z$4)^(('实盘净值数据(iFinD公式)'!$A536-'实盘净值数据(iFinD公式)'!$A$6)/365))</x:f>
        <x:v>#NAME?</x:v>
      </x:c>
      <x:c r="C536" s="152" t="e">
        <x:f>IF(OR(B535="",B536=""),"",B536/B535-1)</x:f>
        <x:v>#NAME?</x:v>
      </x:c>
      <x:c r="D536" s="152" t="e">
        <x:f>IF(B536="","",B536/MAX(B$5:B536)-1)</x:f>
        <x:v>#NAME?</x:v>
      </x:c>
      <x:c r="E536" s="146" t="e">
        <x:f>IF(OR('实盘净值数据(iFinD公式)'!$A536="",'实盘净值数据(iFinD公式)'!$B536=""),"",分期持仓明细!$AD$18*SUMPRODUCT(分期持仓明细!$B$18:$AA$18,'实盘净值数据(iFinD公式)'!$B536:$AA536/'实盘净值数据(iFinD公式)'!$B$20:$AA$20)*(1-实盘持仓初始配置!$Z$5)^(('实盘净值数据(iFinD公式)'!$A536-'实盘净值数据(iFinD公式)'!$A$5)/365))</x:f>
        <x:v>#NAME?</x:v>
      </x:c>
      <x:c r="F536" s="152" t="e">
        <x:f>IF(OR(E535="",E536=""),"",E536/E535-1)</x:f>
        <x:v>#NAME?</x:v>
      </x:c>
      <x:c r="G536" s="152" t="e">
        <x:f>IF(E536="","",E536/MAX(E$5:E536)-1)</x:f>
        <x:v>#NAME?</x:v>
      </x:c>
      <x:c r="H536" s="146" t="e">
        <x:f>IF(OR('实盘净值数据(iFinD公式)'!$A536="",'实盘净值数据(iFinD公式)'!$B536=""),"",分期持仓明细!$AD$19*SUMPRODUCT(分期持仓明细!$B$19:$AA$19,'实盘净值数据(iFinD公式)'!$B536:$AA536/'实盘净值数据(iFinD公式)'!$B$20:$AA$20)*(1-实盘持仓初始配置!$Z$6)^(('实盘净值数据(iFinD公式)'!$A536-'实盘净值数据(iFinD公式)'!$A$7)/365))</x:f>
        <x:v>#NAME?</x:v>
      </x:c>
      <x:c r="I536" s="152" t="e">
        <x:f>IF(OR(H535="",H536=""),"",H536/H535-1)</x:f>
        <x:v>#NAME?</x:v>
      </x:c>
      <x:c r="J536" s="152" t="e">
        <x:f>IF(H536="","",H536/MAX(H$5:H536)-1)</x:f>
        <x:v>#NAME?</x:v>
      </x:c>
      <x:c r="K536" s="146" t="e">
        <x:f>IF(OR('实盘净值数据(iFinD公式)'!$A536="",'实盘净值数据(iFinD公式)'!$B536=""),"",分期持仓明细!$AD$23*SUMPRODUCT(分期持仓明细!$B$23:$AA$23,'实盘净值数据(iFinD公式)'!$B536:$AA536/'实盘净值数据(iFinD公式)'!$B$65:$AA$65)*(1-实盘持仓初始配置!$Z$7)^(('实盘净值数据(iFinD公式)'!$A536-'实盘净值数据(iFinD公式)'!$A$8)/365))</x:f>
        <x:v>#NAME?</x:v>
      </x:c>
      <x:c r="L536" s="152" t="e">
        <x:f>IF(OR(K535="",K536=""),"",K536/K535-1)</x:f>
        <x:v>#NAME?</x:v>
      </x:c>
      <x:c r="M536" s="152" t="e">
        <x:f>IF(K536="","",K536/MAX(K$5:K536)-1)</x:f>
        <x:v>#NAME?</x:v>
      </x:c>
      <x:c r="N536" s="146" t="e">
        <x:f>IF(OR('实盘净值数据(iFinD公式)'!$A536="",'实盘净值数据(iFinD公式)'!$B536=""),"",分期持仓明细!$AD$24*SUMPRODUCT(分期持仓明细!$B$24:$AA$24,'实盘净值数据(iFinD公式)'!$B536:$AA536/'实盘净值数据(iFinD公式)'!$B$65:$AA$65)*(1-实盘持仓初始配置!$Z$8)^(('实盘净值数据(iFinD公式)'!$A536-'实盘净值数据(iFinD公式)'!$A$5)/365))</x:f>
        <x:v>#NAME?</x:v>
      </x:c>
      <x:c r="O536" s="152" t="e">
        <x:f>IF(OR(N535="",N536=""),"",N536/N535-1)</x:f>
        <x:v>#NAME?</x:v>
      </x:c>
      <x:c r="P536" s="152" t="e">
        <x:f>IF(N536="","",N536/MAX(N$5:N536)-1)</x:f>
        <x:v>#NAME?</x:v>
      </x:c>
      <x:c r="Q536" s="146" t="e">
        <x:f>IF(OR('实盘净值数据(iFinD公式)'!$A536="",'实盘净值数据(iFinD公式)'!$B536=""),"",分期持仓明细!$AD$25*SUMPRODUCT(分期持仓明细!$B$25:$AA$25,'实盘净值数据(iFinD公式)'!$B536:$AA536/'实盘净值数据(iFinD公式)'!$B$65:$AA$65)*(1-实盘持仓初始配置!$Z$9)^(('实盘净值数据(iFinD公式)'!$A536-'实盘净值数据(iFinD公式)'!$A$8)/365))</x:f>
        <x:v>#NAME?</x:v>
      </x:c>
      <x:c r="R536" s="152" t="e">
        <x:f>IF(OR(Q535="",Q536=""),"",Q536/Q535-1)</x:f>
        <x:v>#NAME?</x:v>
      </x:c>
      <x:c r="S536" s="152" t="e">
        <x:f>IF(Q536="","",Q536/MAX(Q$5:Q536)-1)</x:f>
        <x:v>#NAME?</x:v>
      </x:c>
    </x:row>
    <x:row r="537">
      <x:c r="A537" s="149" t="str">
        <x:f>IF('实盘净值数据(iFinD公式)'!A537="","",'实盘净值数据(iFinD公式)'!A537)</x:f>
      </x:c>
      <x:c r="B537" s="146" t="e">
        <x:f>IF(OR('实盘净值数据(iFinD公式)'!$A537="",'实盘净值数据(iFinD公式)'!$B537=""),"",分期持仓明细!$AD$17*SUMPRODUCT(分期持仓明细!$B$17:$AA$17,'实盘净值数据(iFinD公式)'!$B537:$AA537/'实盘净值数据(iFinD公式)'!$B$20:$AA$20)*(1-实盘持仓初始配置!$Z$4)^(('实盘净值数据(iFinD公式)'!$A537-'实盘净值数据(iFinD公式)'!$A$6)/365))</x:f>
        <x:v>#NAME?</x:v>
      </x:c>
      <x:c r="C537" s="152" t="e">
        <x:f>IF(OR(B536="",B537=""),"",B537/B536-1)</x:f>
        <x:v>#NAME?</x:v>
      </x:c>
      <x:c r="D537" s="152" t="e">
        <x:f>IF(B537="","",B537/MAX(B$5:B537)-1)</x:f>
        <x:v>#NAME?</x:v>
      </x:c>
      <x:c r="E537" s="146" t="e">
        <x:f>IF(OR('实盘净值数据(iFinD公式)'!$A537="",'实盘净值数据(iFinD公式)'!$B537=""),"",分期持仓明细!$AD$18*SUMPRODUCT(分期持仓明细!$B$18:$AA$18,'实盘净值数据(iFinD公式)'!$B537:$AA537/'实盘净值数据(iFinD公式)'!$B$20:$AA$20)*(1-实盘持仓初始配置!$Z$5)^(('实盘净值数据(iFinD公式)'!$A537-'实盘净值数据(iFinD公式)'!$A$5)/365))</x:f>
        <x:v>#NAME?</x:v>
      </x:c>
      <x:c r="F537" s="152" t="e">
        <x:f>IF(OR(E536="",E537=""),"",E537/E536-1)</x:f>
        <x:v>#NAME?</x:v>
      </x:c>
      <x:c r="G537" s="152" t="e">
        <x:f>IF(E537="","",E537/MAX(E$5:E537)-1)</x:f>
        <x:v>#NAME?</x:v>
      </x:c>
      <x:c r="H537" s="146" t="e">
        <x:f>IF(OR('实盘净值数据(iFinD公式)'!$A537="",'实盘净值数据(iFinD公式)'!$B537=""),"",分期持仓明细!$AD$19*SUMPRODUCT(分期持仓明细!$B$19:$AA$19,'实盘净值数据(iFinD公式)'!$B537:$AA537/'实盘净值数据(iFinD公式)'!$B$20:$AA$20)*(1-实盘持仓初始配置!$Z$6)^(('实盘净值数据(iFinD公式)'!$A537-'实盘净值数据(iFinD公式)'!$A$7)/365))</x:f>
        <x:v>#NAME?</x:v>
      </x:c>
      <x:c r="I537" s="152" t="e">
        <x:f>IF(OR(H536="",H537=""),"",H537/H536-1)</x:f>
        <x:v>#NAME?</x:v>
      </x:c>
      <x:c r="J537" s="152" t="e">
        <x:f>IF(H537="","",H537/MAX(H$5:H537)-1)</x:f>
        <x:v>#NAME?</x:v>
      </x:c>
      <x:c r="K537" s="146" t="e">
        <x:f>IF(OR('实盘净值数据(iFinD公式)'!$A537="",'实盘净值数据(iFinD公式)'!$B537=""),"",分期持仓明细!$AD$23*SUMPRODUCT(分期持仓明细!$B$23:$AA$23,'实盘净值数据(iFinD公式)'!$B537:$AA537/'实盘净值数据(iFinD公式)'!$B$65:$AA$65)*(1-实盘持仓初始配置!$Z$7)^(('实盘净值数据(iFinD公式)'!$A537-'实盘净值数据(iFinD公式)'!$A$8)/365))</x:f>
        <x:v>#NAME?</x:v>
      </x:c>
      <x:c r="L537" s="152" t="e">
        <x:f>IF(OR(K536="",K537=""),"",K537/K536-1)</x:f>
        <x:v>#NAME?</x:v>
      </x:c>
      <x:c r="M537" s="152" t="e">
        <x:f>IF(K537="","",K537/MAX(K$5:K537)-1)</x:f>
        <x:v>#NAME?</x:v>
      </x:c>
      <x:c r="N537" s="146" t="e">
        <x:f>IF(OR('实盘净值数据(iFinD公式)'!$A537="",'实盘净值数据(iFinD公式)'!$B537=""),"",分期持仓明细!$AD$24*SUMPRODUCT(分期持仓明细!$B$24:$AA$24,'实盘净值数据(iFinD公式)'!$B537:$AA537/'实盘净值数据(iFinD公式)'!$B$65:$AA$65)*(1-实盘持仓初始配置!$Z$8)^(('实盘净值数据(iFinD公式)'!$A537-'实盘净值数据(iFinD公式)'!$A$5)/365))</x:f>
        <x:v>#NAME?</x:v>
      </x:c>
      <x:c r="O537" s="152" t="e">
        <x:f>IF(OR(N536="",N537=""),"",N537/N536-1)</x:f>
        <x:v>#NAME?</x:v>
      </x:c>
      <x:c r="P537" s="152" t="e">
        <x:f>IF(N537="","",N537/MAX(N$5:N537)-1)</x:f>
        <x:v>#NAME?</x:v>
      </x:c>
      <x:c r="Q537" s="146" t="e">
        <x:f>IF(OR('实盘净值数据(iFinD公式)'!$A537="",'实盘净值数据(iFinD公式)'!$B537=""),"",分期持仓明细!$AD$25*SUMPRODUCT(分期持仓明细!$B$25:$AA$25,'实盘净值数据(iFinD公式)'!$B537:$AA537/'实盘净值数据(iFinD公式)'!$B$65:$AA$65)*(1-实盘持仓初始配置!$Z$9)^(('实盘净值数据(iFinD公式)'!$A537-'实盘净值数据(iFinD公式)'!$A$8)/365))</x:f>
        <x:v>#NAME?</x:v>
      </x:c>
      <x:c r="R537" s="152" t="e">
        <x:f>IF(OR(Q536="",Q537=""),"",Q537/Q536-1)</x:f>
        <x:v>#NAME?</x:v>
      </x:c>
      <x:c r="S537" s="152" t="e">
        <x:f>IF(Q537="","",Q537/MAX(Q$5:Q537)-1)</x:f>
        <x:v>#NAME?</x:v>
      </x:c>
    </x:row>
    <x:row r="538">
      <x:c r="A538" s="149" t="str">
        <x:f>IF('实盘净值数据(iFinD公式)'!A538="","",'实盘净值数据(iFinD公式)'!A538)</x:f>
      </x:c>
      <x:c r="B538" s="146" t="e">
        <x:f>IF(OR('实盘净值数据(iFinD公式)'!$A538="",'实盘净值数据(iFinD公式)'!$B538=""),"",分期持仓明细!$AD$17*SUMPRODUCT(分期持仓明细!$B$17:$AA$17,'实盘净值数据(iFinD公式)'!$B538:$AA538/'实盘净值数据(iFinD公式)'!$B$20:$AA$20)*(1-实盘持仓初始配置!$Z$4)^(('实盘净值数据(iFinD公式)'!$A538-'实盘净值数据(iFinD公式)'!$A$6)/365))</x:f>
        <x:v>#NAME?</x:v>
      </x:c>
      <x:c r="C538" s="152" t="e">
        <x:f>IF(OR(B537="",B538=""),"",B538/B537-1)</x:f>
        <x:v>#NAME?</x:v>
      </x:c>
      <x:c r="D538" s="152" t="e">
        <x:f>IF(B538="","",B538/MAX(B$5:B538)-1)</x:f>
        <x:v>#NAME?</x:v>
      </x:c>
      <x:c r="E538" s="146" t="e">
        <x:f>IF(OR('实盘净值数据(iFinD公式)'!$A538="",'实盘净值数据(iFinD公式)'!$B538=""),"",分期持仓明细!$AD$18*SUMPRODUCT(分期持仓明细!$B$18:$AA$18,'实盘净值数据(iFinD公式)'!$B538:$AA538/'实盘净值数据(iFinD公式)'!$B$20:$AA$20)*(1-实盘持仓初始配置!$Z$5)^(('实盘净值数据(iFinD公式)'!$A538-'实盘净值数据(iFinD公式)'!$A$5)/365))</x:f>
        <x:v>#NAME?</x:v>
      </x:c>
      <x:c r="F538" s="152" t="e">
        <x:f>IF(OR(E537="",E538=""),"",E538/E537-1)</x:f>
        <x:v>#NAME?</x:v>
      </x:c>
      <x:c r="G538" s="152" t="e">
        <x:f>IF(E538="","",E538/MAX(E$5:E538)-1)</x:f>
        <x:v>#NAME?</x:v>
      </x:c>
      <x:c r="H538" s="146" t="e">
        <x:f>IF(OR('实盘净值数据(iFinD公式)'!$A538="",'实盘净值数据(iFinD公式)'!$B538=""),"",分期持仓明细!$AD$19*SUMPRODUCT(分期持仓明细!$B$19:$AA$19,'实盘净值数据(iFinD公式)'!$B538:$AA538/'实盘净值数据(iFinD公式)'!$B$20:$AA$20)*(1-实盘持仓初始配置!$Z$6)^(('实盘净值数据(iFinD公式)'!$A538-'实盘净值数据(iFinD公式)'!$A$7)/365))</x:f>
        <x:v>#NAME?</x:v>
      </x:c>
      <x:c r="I538" s="152" t="e">
        <x:f>IF(OR(H537="",H538=""),"",H538/H537-1)</x:f>
        <x:v>#NAME?</x:v>
      </x:c>
      <x:c r="J538" s="152" t="e">
        <x:f>IF(H538="","",H538/MAX(H$5:H538)-1)</x:f>
        <x:v>#NAME?</x:v>
      </x:c>
      <x:c r="K538" s="146" t="e">
        <x:f>IF(OR('实盘净值数据(iFinD公式)'!$A538="",'实盘净值数据(iFinD公式)'!$B538=""),"",分期持仓明细!$AD$23*SUMPRODUCT(分期持仓明细!$B$23:$AA$23,'实盘净值数据(iFinD公式)'!$B538:$AA538/'实盘净值数据(iFinD公式)'!$B$65:$AA$65)*(1-实盘持仓初始配置!$Z$7)^(('实盘净值数据(iFinD公式)'!$A538-'实盘净值数据(iFinD公式)'!$A$8)/365))</x:f>
        <x:v>#NAME?</x:v>
      </x:c>
      <x:c r="L538" s="152" t="e">
        <x:f>IF(OR(K537="",K538=""),"",K538/K537-1)</x:f>
        <x:v>#NAME?</x:v>
      </x:c>
      <x:c r="M538" s="152" t="e">
        <x:f>IF(K538="","",K538/MAX(K$5:K538)-1)</x:f>
        <x:v>#NAME?</x:v>
      </x:c>
      <x:c r="N538" s="146" t="e">
        <x:f>IF(OR('实盘净值数据(iFinD公式)'!$A538="",'实盘净值数据(iFinD公式)'!$B538=""),"",分期持仓明细!$AD$24*SUMPRODUCT(分期持仓明细!$B$24:$AA$24,'实盘净值数据(iFinD公式)'!$B538:$AA538/'实盘净值数据(iFinD公式)'!$B$65:$AA$65)*(1-实盘持仓初始配置!$Z$8)^(('实盘净值数据(iFinD公式)'!$A538-'实盘净值数据(iFinD公式)'!$A$5)/365))</x:f>
        <x:v>#NAME?</x:v>
      </x:c>
      <x:c r="O538" s="152" t="e">
        <x:f>IF(OR(N537="",N538=""),"",N538/N537-1)</x:f>
        <x:v>#NAME?</x:v>
      </x:c>
      <x:c r="P538" s="152" t="e">
        <x:f>IF(N538="","",N538/MAX(N$5:N538)-1)</x:f>
        <x:v>#NAME?</x:v>
      </x:c>
      <x:c r="Q538" s="146" t="e">
        <x:f>IF(OR('实盘净值数据(iFinD公式)'!$A538="",'实盘净值数据(iFinD公式)'!$B538=""),"",分期持仓明细!$AD$25*SUMPRODUCT(分期持仓明细!$B$25:$AA$25,'实盘净值数据(iFinD公式)'!$B538:$AA538/'实盘净值数据(iFinD公式)'!$B$65:$AA$65)*(1-实盘持仓初始配置!$Z$9)^(('实盘净值数据(iFinD公式)'!$A538-'实盘净值数据(iFinD公式)'!$A$8)/365))</x:f>
        <x:v>#NAME?</x:v>
      </x:c>
      <x:c r="R538" s="152" t="e">
        <x:f>IF(OR(Q537="",Q538=""),"",Q538/Q537-1)</x:f>
        <x:v>#NAME?</x:v>
      </x:c>
      <x:c r="S538" s="152" t="e">
        <x:f>IF(Q538="","",Q538/MAX(Q$5:Q538)-1)</x:f>
        <x:v>#NAME?</x:v>
      </x:c>
    </x:row>
    <x:row r="539">
      <x:c r="A539" s="149" t="str">
        <x:f>IF('实盘净值数据(iFinD公式)'!A539="","",'实盘净值数据(iFinD公式)'!A539)</x:f>
      </x:c>
      <x:c r="B539" s="146" t="e">
        <x:f>IF(OR('实盘净值数据(iFinD公式)'!$A539="",'实盘净值数据(iFinD公式)'!$B539=""),"",分期持仓明细!$AD$17*SUMPRODUCT(分期持仓明细!$B$17:$AA$17,'实盘净值数据(iFinD公式)'!$B539:$AA539/'实盘净值数据(iFinD公式)'!$B$20:$AA$20)*(1-实盘持仓初始配置!$Z$4)^(('实盘净值数据(iFinD公式)'!$A539-'实盘净值数据(iFinD公式)'!$A$6)/365))</x:f>
        <x:v>#NAME?</x:v>
      </x:c>
      <x:c r="C539" s="152" t="e">
        <x:f>IF(OR(B538="",B539=""),"",B539/B538-1)</x:f>
        <x:v>#NAME?</x:v>
      </x:c>
      <x:c r="D539" s="152" t="e">
        <x:f>IF(B539="","",B539/MAX(B$5:B539)-1)</x:f>
        <x:v>#NAME?</x:v>
      </x:c>
      <x:c r="E539" s="146" t="e">
        <x:f>IF(OR('实盘净值数据(iFinD公式)'!$A539="",'实盘净值数据(iFinD公式)'!$B539=""),"",分期持仓明细!$AD$18*SUMPRODUCT(分期持仓明细!$B$18:$AA$18,'实盘净值数据(iFinD公式)'!$B539:$AA539/'实盘净值数据(iFinD公式)'!$B$20:$AA$20)*(1-实盘持仓初始配置!$Z$5)^(('实盘净值数据(iFinD公式)'!$A539-'实盘净值数据(iFinD公式)'!$A$5)/365))</x:f>
        <x:v>#NAME?</x:v>
      </x:c>
      <x:c r="F539" s="152" t="e">
        <x:f>IF(OR(E538="",E539=""),"",E539/E538-1)</x:f>
        <x:v>#NAME?</x:v>
      </x:c>
      <x:c r="G539" s="152" t="e">
        <x:f>IF(E539="","",E539/MAX(E$5:E539)-1)</x:f>
        <x:v>#NAME?</x:v>
      </x:c>
      <x:c r="H539" s="146" t="e">
        <x:f>IF(OR('实盘净值数据(iFinD公式)'!$A539="",'实盘净值数据(iFinD公式)'!$B539=""),"",分期持仓明细!$AD$19*SUMPRODUCT(分期持仓明细!$B$19:$AA$19,'实盘净值数据(iFinD公式)'!$B539:$AA539/'实盘净值数据(iFinD公式)'!$B$20:$AA$20)*(1-实盘持仓初始配置!$Z$6)^(('实盘净值数据(iFinD公式)'!$A539-'实盘净值数据(iFinD公式)'!$A$7)/365))</x:f>
        <x:v>#NAME?</x:v>
      </x:c>
      <x:c r="I539" s="152" t="e">
        <x:f>IF(OR(H538="",H539=""),"",H539/H538-1)</x:f>
        <x:v>#NAME?</x:v>
      </x:c>
      <x:c r="J539" s="152" t="e">
        <x:f>IF(H539="","",H539/MAX(H$5:H539)-1)</x:f>
        <x:v>#NAME?</x:v>
      </x:c>
      <x:c r="K539" s="146" t="e">
        <x:f>IF(OR('实盘净值数据(iFinD公式)'!$A539="",'实盘净值数据(iFinD公式)'!$B539=""),"",分期持仓明细!$AD$23*SUMPRODUCT(分期持仓明细!$B$23:$AA$23,'实盘净值数据(iFinD公式)'!$B539:$AA539/'实盘净值数据(iFinD公式)'!$B$65:$AA$65)*(1-实盘持仓初始配置!$Z$7)^(('实盘净值数据(iFinD公式)'!$A539-'实盘净值数据(iFinD公式)'!$A$8)/365))</x:f>
        <x:v>#NAME?</x:v>
      </x:c>
      <x:c r="L539" s="152" t="e">
        <x:f>IF(OR(K538="",K539=""),"",K539/K538-1)</x:f>
        <x:v>#NAME?</x:v>
      </x:c>
      <x:c r="M539" s="152" t="e">
        <x:f>IF(K539="","",K539/MAX(K$5:K539)-1)</x:f>
        <x:v>#NAME?</x:v>
      </x:c>
      <x:c r="N539" s="146" t="e">
        <x:f>IF(OR('实盘净值数据(iFinD公式)'!$A539="",'实盘净值数据(iFinD公式)'!$B539=""),"",分期持仓明细!$AD$24*SUMPRODUCT(分期持仓明细!$B$24:$AA$24,'实盘净值数据(iFinD公式)'!$B539:$AA539/'实盘净值数据(iFinD公式)'!$B$65:$AA$65)*(1-实盘持仓初始配置!$Z$8)^(('实盘净值数据(iFinD公式)'!$A539-'实盘净值数据(iFinD公式)'!$A$5)/365))</x:f>
        <x:v>#NAME?</x:v>
      </x:c>
      <x:c r="O539" s="152" t="e">
        <x:f>IF(OR(N538="",N539=""),"",N539/N538-1)</x:f>
        <x:v>#NAME?</x:v>
      </x:c>
      <x:c r="P539" s="152" t="e">
        <x:f>IF(N539="","",N539/MAX(N$5:N539)-1)</x:f>
        <x:v>#NAME?</x:v>
      </x:c>
      <x:c r="Q539" s="146" t="e">
        <x:f>IF(OR('实盘净值数据(iFinD公式)'!$A539="",'实盘净值数据(iFinD公式)'!$B539=""),"",分期持仓明细!$AD$25*SUMPRODUCT(分期持仓明细!$B$25:$AA$25,'实盘净值数据(iFinD公式)'!$B539:$AA539/'实盘净值数据(iFinD公式)'!$B$65:$AA$65)*(1-实盘持仓初始配置!$Z$9)^(('实盘净值数据(iFinD公式)'!$A539-'实盘净值数据(iFinD公式)'!$A$8)/365))</x:f>
        <x:v>#NAME?</x:v>
      </x:c>
      <x:c r="R539" s="152" t="e">
        <x:f>IF(OR(Q538="",Q539=""),"",Q539/Q538-1)</x:f>
        <x:v>#NAME?</x:v>
      </x:c>
      <x:c r="S539" s="152" t="e">
        <x:f>IF(Q539="","",Q539/MAX(Q$5:Q539)-1)</x:f>
        <x:v>#NAME?</x:v>
      </x:c>
    </x:row>
    <x:row r="540">
      <x:c r="A540" s="149" t="str">
        <x:f>IF('实盘净值数据(iFinD公式)'!A540="","",'实盘净值数据(iFinD公式)'!A540)</x:f>
      </x:c>
      <x:c r="B540" s="146" t="e">
        <x:f>IF(OR('实盘净值数据(iFinD公式)'!$A540="",'实盘净值数据(iFinD公式)'!$B540=""),"",分期持仓明细!$AD$17*SUMPRODUCT(分期持仓明细!$B$17:$AA$17,'实盘净值数据(iFinD公式)'!$B540:$AA540/'实盘净值数据(iFinD公式)'!$B$20:$AA$20)*(1-实盘持仓初始配置!$Z$4)^(('实盘净值数据(iFinD公式)'!$A540-'实盘净值数据(iFinD公式)'!$A$6)/365))</x:f>
        <x:v>#NAME?</x:v>
      </x:c>
      <x:c r="C540" s="152" t="e">
        <x:f>IF(OR(B539="",B540=""),"",B540/B539-1)</x:f>
        <x:v>#NAME?</x:v>
      </x:c>
      <x:c r="D540" s="152" t="e">
        <x:f>IF(B540="","",B540/MAX(B$5:B540)-1)</x:f>
        <x:v>#NAME?</x:v>
      </x:c>
      <x:c r="E540" s="146" t="e">
        <x:f>IF(OR('实盘净值数据(iFinD公式)'!$A540="",'实盘净值数据(iFinD公式)'!$B540=""),"",分期持仓明细!$AD$18*SUMPRODUCT(分期持仓明细!$B$18:$AA$18,'实盘净值数据(iFinD公式)'!$B540:$AA540/'实盘净值数据(iFinD公式)'!$B$20:$AA$20)*(1-实盘持仓初始配置!$Z$5)^(('实盘净值数据(iFinD公式)'!$A540-'实盘净值数据(iFinD公式)'!$A$5)/365))</x:f>
        <x:v>#NAME?</x:v>
      </x:c>
      <x:c r="F540" s="152" t="e">
        <x:f>IF(OR(E539="",E540=""),"",E540/E539-1)</x:f>
        <x:v>#NAME?</x:v>
      </x:c>
      <x:c r="G540" s="152" t="e">
        <x:f>IF(E540="","",E540/MAX(E$5:E540)-1)</x:f>
        <x:v>#NAME?</x:v>
      </x:c>
      <x:c r="H540" s="146" t="e">
        <x:f>IF(OR('实盘净值数据(iFinD公式)'!$A540="",'实盘净值数据(iFinD公式)'!$B540=""),"",分期持仓明细!$AD$19*SUMPRODUCT(分期持仓明细!$B$19:$AA$19,'实盘净值数据(iFinD公式)'!$B540:$AA540/'实盘净值数据(iFinD公式)'!$B$20:$AA$20)*(1-实盘持仓初始配置!$Z$6)^(('实盘净值数据(iFinD公式)'!$A540-'实盘净值数据(iFinD公式)'!$A$7)/365))</x:f>
        <x:v>#NAME?</x:v>
      </x:c>
      <x:c r="I540" s="152" t="e">
        <x:f>IF(OR(H539="",H540=""),"",H540/H539-1)</x:f>
        <x:v>#NAME?</x:v>
      </x:c>
      <x:c r="J540" s="152" t="e">
        <x:f>IF(H540="","",H540/MAX(H$5:H540)-1)</x:f>
        <x:v>#NAME?</x:v>
      </x:c>
      <x:c r="K540" s="146" t="e">
        <x:f>IF(OR('实盘净值数据(iFinD公式)'!$A540="",'实盘净值数据(iFinD公式)'!$B540=""),"",分期持仓明细!$AD$23*SUMPRODUCT(分期持仓明细!$B$23:$AA$23,'实盘净值数据(iFinD公式)'!$B540:$AA540/'实盘净值数据(iFinD公式)'!$B$65:$AA$65)*(1-实盘持仓初始配置!$Z$7)^(('实盘净值数据(iFinD公式)'!$A540-'实盘净值数据(iFinD公式)'!$A$8)/365))</x:f>
        <x:v>#NAME?</x:v>
      </x:c>
      <x:c r="L540" s="152" t="e">
        <x:f>IF(OR(K539="",K540=""),"",K540/K539-1)</x:f>
        <x:v>#NAME?</x:v>
      </x:c>
      <x:c r="M540" s="152" t="e">
        <x:f>IF(K540="","",K540/MAX(K$5:K540)-1)</x:f>
        <x:v>#NAME?</x:v>
      </x:c>
      <x:c r="N540" s="146" t="e">
        <x:f>IF(OR('实盘净值数据(iFinD公式)'!$A540="",'实盘净值数据(iFinD公式)'!$B540=""),"",分期持仓明细!$AD$24*SUMPRODUCT(分期持仓明细!$B$24:$AA$24,'实盘净值数据(iFinD公式)'!$B540:$AA540/'实盘净值数据(iFinD公式)'!$B$65:$AA$65)*(1-实盘持仓初始配置!$Z$8)^(('实盘净值数据(iFinD公式)'!$A540-'实盘净值数据(iFinD公式)'!$A$5)/365))</x:f>
        <x:v>#NAME?</x:v>
      </x:c>
      <x:c r="O540" s="152" t="e">
        <x:f>IF(OR(N539="",N540=""),"",N540/N539-1)</x:f>
        <x:v>#NAME?</x:v>
      </x:c>
      <x:c r="P540" s="152" t="e">
        <x:f>IF(N540="","",N540/MAX(N$5:N540)-1)</x:f>
        <x:v>#NAME?</x:v>
      </x:c>
      <x:c r="Q540" s="146" t="e">
        <x:f>IF(OR('实盘净值数据(iFinD公式)'!$A540="",'实盘净值数据(iFinD公式)'!$B540=""),"",分期持仓明细!$AD$25*SUMPRODUCT(分期持仓明细!$B$25:$AA$25,'实盘净值数据(iFinD公式)'!$B540:$AA540/'实盘净值数据(iFinD公式)'!$B$65:$AA$65)*(1-实盘持仓初始配置!$Z$9)^(('实盘净值数据(iFinD公式)'!$A540-'实盘净值数据(iFinD公式)'!$A$8)/365))</x:f>
        <x:v>#NAME?</x:v>
      </x:c>
      <x:c r="R540" s="152" t="e">
        <x:f>IF(OR(Q539="",Q540=""),"",Q540/Q539-1)</x:f>
        <x:v>#NAME?</x:v>
      </x:c>
      <x:c r="S540" s="152" t="e">
        <x:f>IF(Q540="","",Q540/MAX(Q$5:Q540)-1)</x:f>
        <x:v>#NAME?</x:v>
      </x:c>
    </x:row>
    <x:row r="541">
      <x:c r="A541" s="149" t="str">
        <x:f>IF('实盘净值数据(iFinD公式)'!A541="","",'实盘净值数据(iFinD公式)'!A541)</x:f>
      </x:c>
      <x:c r="B541" s="146" t="e">
        <x:f>IF(OR('实盘净值数据(iFinD公式)'!$A541="",'实盘净值数据(iFinD公式)'!$B541=""),"",分期持仓明细!$AD$17*SUMPRODUCT(分期持仓明细!$B$17:$AA$17,'实盘净值数据(iFinD公式)'!$B541:$AA541/'实盘净值数据(iFinD公式)'!$B$20:$AA$20)*(1-实盘持仓初始配置!$Z$4)^(('实盘净值数据(iFinD公式)'!$A541-'实盘净值数据(iFinD公式)'!$A$6)/365))</x:f>
        <x:v>#NAME?</x:v>
      </x:c>
      <x:c r="C541" s="152" t="e">
        <x:f>IF(OR(B540="",B541=""),"",B541/B540-1)</x:f>
        <x:v>#NAME?</x:v>
      </x:c>
      <x:c r="D541" s="152" t="e">
        <x:f>IF(B541="","",B541/MAX(B$5:B541)-1)</x:f>
        <x:v>#NAME?</x:v>
      </x:c>
      <x:c r="E541" s="146" t="e">
        <x:f>IF(OR('实盘净值数据(iFinD公式)'!$A541="",'实盘净值数据(iFinD公式)'!$B541=""),"",分期持仓明细!$AD$18*SUMPRODUCT(分期持仓明细!$B$18:$AA$18,'实盘净值数据(iFinD公式)'!$B541:$AA541/'实盘净值数据(iFinD公式)'!$B$20:$AA$20)*(1-实盘持仓初始配置!$Z$5)^(('实盘净值数据(iFinD公式)'!$A541-'实盘净值数据(iFinD公式)'!$A$5)/365))</x:f>
        <x:v>#NAME?</x:v>
      </x:c>
      <x:c r="F541" s="152" t="e">
        <x:f>IF(OR(E540="",E541=""),"",E541/E540-1)</x:f>
        <x:v>#NAME?</x:v>
      </x:c>
      <x:c r="G541" s="152" t="e">
        <x:f>IF(E541="","",E541/MAX(E$5:E541)-1)</x:f>
        <x:v>#NAME?</x:v>
      </x:c>
      <x:c r="H541" s="146" t="e">
        <x:f>IF(OR('实盘净值数据(iFinD公式)'!$A541="",'实盘净值数据(iFinD公式)'!$B541=""),"",分期持仓明细!$AD$19*SUMPRODUCT(分期持仓明细!$B$19:$AA$19,'实盘净值数据(iFinD公式)'!$B541:$AA541/'实盘净值数据(iFinD公式)'!$B$20:$AA$20)*(1-实盘持仓初始配置!$Z$6)^(('实盘净值数据(iFinD公式)'!$A541-'实盘净值数据(iFinD公式)'!$A$7)/365))</x:f>
        <x:v>#NAME?</x:v>
      </x:c>
      <x:c r="I541" s="152" t="e">
        <x:f>IF(OR(H540="",H541=""),"",H541/H540-1)</x:f>
        <x:v>#NAME?</x:v>
      </x:c>
      <x:c r="J541" s="152" t="e">
        <x:f>IF(H541="","",H541/MAX(H$5:H541)-1)</x:f>
        <x:v>#NAME?</x:v>
      </x:c>
      <x:c r="K541" s="146" t="e">
        <x:f>IF(OR('实盘净值数据(iFinD公式)'!$A541="",'实盘净值数据(iFinD公式)'!$B541=""),"",分期持仓明细!$AD$23*SUMPRODUCT(分期持仓明细!$B$23:$AA$23,'实盘净值数据(iFinD公式)'!$B541:$AA541/'实盘净值数据(iFinD公式)'!$B$65:$AA$65)*(1-实盘持仓初始配置!$Z$7)^(('实盘净值数据(iFinD公式)'!$A541-'实盘净值数据(iFinD公式)'!$A$8)/365))</x:f>
        <x:v>#NAME?</x:v>
      </x:c>
      <x:c r="L541" s="152" t="e">
        <x:f>IF(OR(K540="",K541=""),"",K541/K540-1)</x:f>
        <x:v>#NAME?</x:v>
      </x:c>
      <x:c r="M541" s="152" t="e">
        <x:f>IF(K541="","",K541/MAX(K$5:K541)-1)</x:f>
        <x:v>#NAME?</x:v>
      </x:c>
      <x:c r="N541" s="146" t="e">
        <x:f>IF(OR('实盘净值数据(iFinD公式)'!$A541="",'实盘净值数据(iFinD公式)'!$B541=""),"",分期持仓明细!$AD$24*SUMPRODUCT(分期持仓明细!$B$24:$AA$24,'实盘净值数据(iFinD公式)'!$B541:$AA541/'实盘净值数据(iFinD公式)'!$B$65:$AA$65)*(1-实盘持仓初始配置!$Z$8)^(('实盘净值数据(iFinD公式)'!$A541-'实盘净值数据(iFinD公式)'!$A$5)/365))</x:f>
        <x:v>#NAME?</x:v>
      </x:c>
      <x:c r="O541" s="152" t="e">
        <x:f>IF(OR(N540="",N541=""),"",N541/N540-1)</x:f>
        <x:v>#NAME?</x:v>
      </x:c>
      <x:c r="P541" s="152" t="e">
        <x:f>IF(N541="","",N541/MAX(N$5:N541)-1)</x:f>
        <x:v>#NAME?</x:v>
      </x:c>
      <x:c r="Q541" s="146" t="e">
        <x:f>IF(OR('实盘净值数据(iFinD公式)'!$A541="",'实盘净值数据(iFinD公式)'!$B541=""),"",分期持仓明细!$AD$25*SUMPRODUCT(分期持仓明细!$B$25:$AA$25,'实盘净值数据(iFinD公式)'!$B541:$AA541/'实盘净值数据(iFinD公式)'!$B$65:$AA$65)*(1-实盘持仓初始配置!$Z$9)^(('实盘净值数据(iFinD公式)'!$A541-'实盘净值数据(iFinD公式)'!$A$8)/365))</x:f>
        <x:v>#NAME?</x:v>
      </x:c>
      <x:c r="R541" s="152" t="e">
        <x:f>IF(OR(Q540="",Q541=""),"",Q541/Q540-1)</x:f>
        <x:v>#NAME?</x:v>
      </x:c>
      <x:c r="S541" s="152" t="e">
        <x:f>IF(Q541="","",Q541/MAX(Q$5:Q541)-1)</x:f>
        <x:v>#NAME?</x:v>
      </x:c>
    </x:row>
    <x:row r="542">
      <x:c r="A542" s="149" t="str">
        <x:f>IF('实盘净值数据(iFinD公式)'!A542="","",'实盘净值数据(iFinD公式)'!A542)</x:f>
      </x:c>
      <x:c r="B542" s="146" t="e">
        <x:f>IF(OR('实盘净值数据(iFinD公式)'!$A542="",'实盘净值数据(iFinD公式)'!$B542=""),"",分期持仓明细!$AD$17*SUMPRODUCT(分期持仓明细!$B$17:$AA$17,'实盘净值数据(iFinD公式)'!$B542:$AA542/'实盘净值数据(iFinD公式)'!$B$20:$AA$20)*(1-实盘持仓初始配置!$Z$4)^(('实盘净值数据(iFinD公式)'!$A542-'实盘净值数据(iFinD公式)'!$A$6)/365))</x:f>
        <x:v>#NAME?</x:v>
      </x:c>
      <x:c r="C542" s="152" t="e">
        <x:f>IF(OR(B541="",B542=""),"",B542/B541-1)</x:f>
        <x:v>#NAME?</x:v>
      </x:c>
      <x:c r="D542" s="152" t="e">
        <x:f>IF(B542="","",B542/MAX(B$5:B542)-1)</x:f>
        <x:v>#NAME?</x:v>
      </x:c>
      <x:c r="E542" s="146" t="e">
        <x:f>IF(OR('实盘净值数据(iFinD公式)'!$A542="",'实盘净值数据(iFinD公式)'!$B542=""),"",分期持仓明细!$AD$18*SUMPRODUCT(分期持仓明细!$B$18:$AA$18,'实盘净值数据(iFinD公式)'!$B542:$AA542/'实盘净值数据(iFinD公式)'!$B$20:$AA$20)*(1-实盘持仓初始配置!$Z$5)^(('实盘净值数据(iFinD公式)'!$A542-'实盘净值数据(iFinD公式)'!$A$5)/365))</x:f>
        <x:v>#NAME?</x:v>
      </x:c>
      <x:c r="F542" s="152" t="e">
        <x:f>IF(OR(E541="",E542=""),"",E542/E541-1)</x:f>
        <x:v>#NAME?</x:v>
      </x:c>
      <x:c r="G542" s="152" t="e">
        <x:f>IF(E542="","",E542/MAX(E$5:E542)-1)</x:f>
        <x:v>#NAME?</x:v>
      </x:c>
      <x:c r="H542" s="146" t="e">
        <x:f>IF(OR('实盘净值数据(iFinD公式)'!$A542="",'实盘净值数据(iFinD公式)'!$B542=""),"",分期持仓明细!$AD$19*SUMPRODUCT(分期持仓明细!$B$19:$AA$19,'实盘净值数据(iFinD公式)'!$B542:$AA542/'实盘净值数据(iFinD公式)'!$B$20:$AA$20)*(1-实盘持仓初始配置!$Z$6)^(('实盘净值数据(iFinD公式)'!$A542-'实盘净值数据(iFinD公式)'!$A$7)/365))</x:f>
        <x:v>#NAME?</x:v>
      </x:c>
      <x:c r="I542" s="152" t="e">
        <x:f>IF(OR(H541="",H542=""),"",H542/H541-1)</x:f>
        <x:v>#NAME?</x:v>
      </x:c>
      <x:c r="J542" s="152" t="e">
        <x:f>IF(H542="","",H542/MAX(H$5:H542)-1)</x:f>
        <x:v>#NAME?</x:v>
      </x:c>
      <x:c r="K542" s="146" t="e">
        <x:f>IF(OR('实盘净值数据(iFinD公式)'!$A542="",'实盘净值数据(iFinD公式)'!$B542=""),"",分期持仓明细!$AD$23*SUMPRODUCT(分期持仓明细!$B$23:$AA$23,'实盘净值数据(iFinD公式)'!$B542:$AA542/'实盘净值数据(iFinD公式)'!$B$65:$AA$65)*(1-实盘持仓初始配置!$Z$7)^(('实盘净值数据(iFinD公式)'!$A542-'实盘净值数据(iFinD公式)'!$A$8)/365))</x:f>
        <x:v>#NAME?</x:v>
      </x:c>
      <x:c r="L542" s="152" t="e">
        <x:f>IF(OR(K541="",K542=""),"",K542/K541-1)</x:f>
        <x:v>#NAME?</x:v>
      </x:c>
      <x:c r="M542" s="152" t="e">
        <x:f>IF(K542="","",K542/MAX(K$5:K542)-1)</x:f>
        <x:v>#NAME?</x:v>
      </x:c>
      <x:c r="N542" s="146" t="e">
        <x:f>IF(OR('实盘净值数据(iFinD公式)'!$A542="",'实盘净值数据(iFinD公式)'!$B542=""),"",分期持仓明细!$AD$24*SUMPRODUCT(分期持仓明细!$B$24:$AA$24,'实盘净值数据(iFinD公式)'!$B542:$AA542/'实盘净值数据(iFinD公式)'!$B$65:$AA$65)*(1-实盘持仓初始配置!$Z$8)^(('实盘净值数据(iFinD公式)'!$A542-'实盘净值数据(iFinD公式)'!$A$5)/365))</x:f>
        <x:v>#NAME?</x:v>
      </x:c>
      <x:c r="O542" s="152" t="e">
        <x:f>IF(OR(N541="",N542=""),"",N542/N541-1)</x:f>
        <x:v>#NAME?</x:v>
      </x:c>
      <x:c r="P542" s="152" t="e">
        <x:f>IF(N542="","",N542/MAX(N$5:N542)-1)</x:f>
        <x:v>#NAME?</x:v>
      </x:c>
      <x:c r="Q542" s="146" t="e">
        <x:f>IF(OR('实盘净值数据(iFinD公式)'!$A542="",'实盘净值数据(iFinD公式)'!$B542=""),"",分期持仓明细!$AD$25*SUMPRODUCT(分期持仓明细!$B$25:$AA$25,'实盘净值数据(iFinD公式)'!$B542:$AA542/'实盘净值数据(iFinD公式)'!$B$65:$AA$65)*(1-实盘持仓初始配置!$Z$9)^(('实盘净值数据(iFinD公式)'!$A542-'实盘净值数据(iFinD公式)'!$A$8)/365))</x:f>
        <x:v>#NAME?</x:v>
      </x:c>
      <x:c r="R542" s="152" t="e">
        <x:f>IF(OR(Q541="",Q542=""),"",Q542/Q541-1)</x:f>
        <x:v>#NAME?</x:v>
      </x:c>
      <x:c r="S542" s="152" t="e">
        <x:f>IF(Q542="","",Q542/MAX(Q$5:Q542)-1)</x:f>
        <x:v>#NAME?</x:v>
      </x:c>
    </x:row>
    <x:row r="543">
      <x:c r="A543" s="149" t="str">
        <x:f>IF('实盘净值数据(iFinD公式)'!A543="","",'实盘净值数据(iFinD公式)'!A543)</x:f>
      </x:c>
      <x:c r="B543" s="146" t="e">
        <x:f>IF(OR('实盘净值数据(iFinD公式)'!$A543="",'实盘净值数据(iFinD公式)'!$B543=""),"",分期持仓明细!$AD$17*SUMPRODUCT(分期持仓明细!$B$17:$AA$17,'实盘净值数据(iFinD公式)'!$B543:$AA543/'实盘净值数据(iFinD公式)'!$B$20:$AA$20)*(1-实盘持仓初始配置!$Z$4)^(('实盘净值数据(iFinD公式)'!$A543-'实盘净值数据(iFinD公式)'!$A$6)/365))</x:f>
        <x:v>#NAME?</x:v>
      </x:c>
      <x:c r="C543" s="152" t="e">
        <x:f>IF(OR(B542="",B543=""),"",B543/B542-1)</x:f>
        <x:v>#NAME?</x:v>
      </x:c>
      <x:c r="D543" s="152" t="e">
        <x:f>IF(B543="","",B543/MAX(B$5:B543)-1)</x:f>
        <x:v>#NAME?</x:v>
      </x:c>
      <x:c r="E543" s="146" t="e">
        <x:f>IF(OR('实盘净值数据(iFinD公式)'!$A543="",'实盘净值数据(iFinD公式)'!$B543=""),"",分期持仓明细!$AD$18*SUMPRODUCT(分期持仓明细!$B$18:$AA$18,'实盘净值数据(iFinD公式)'!$B543:$AA543/'实盘净值数据(iFinD公式)'!$B$20:$AA$20)*(1-实盘持仓初始配置!$Z$5)^(('实盘净值数据(iFinD公式)'!$A543-'实盘净值数据(iFinD公式)'!$A$5)/365))</x:f>
        <x:v>#NAME?</x:v>
      </x:c>
      <x:c r="F543" s="152" t="e">
        <x:f>IF(OR(E542="",E543=""),"",E543/E542-1)</x:f>
        <x:v>#NAME?</x:v>
      </x:c>
      <x:c r="G543" s="152" t="e">
        <x:f>IF(E543="","",E543/MAX(E$5:E543)-1)</x:f>
        <x:v>#NAME?</x:v>
      </x:c>
      <x:c r="H543" s="146" t="e">
        <x:f>IF(OR('实盘净值数据(iFinD公式)'!$A543="",'实盘净值数据(iFinD公式)'!$B543=""),"",分期持仓明细!$AD$19*SUMPRODUCT(分期持仓明细!$B$19:$AA$19,'实盘净值数据(iFinD公式)'!$B543:$AA543/'实盘净值数据(iFinD公式)'!$B$20:$AA$20)*(1-实盘持仓初始配置!$Z$6)^(('实盘净值数据(iFinD公式)'!$A543-'实盘净值数据(iFinD公式)'!$A$7)/365))</x:f>
        <x:v>#NAME?</x:v>
      </x:c>
      <x:c r="I543" s="152" t="e">
        <x:f>IF(OR(H542="",H543=""),"",H543/H542-1)</x:f>
        <x:v>#NAME?</x:v>
      </x:c>
      <x:c r="J543" s="152" t="e">
        <x:f>IF(H543="","",H543/MAX(H$5:H543)-1)</x:f>
        <x:v>#NAME?</x:v>
      </x:c>
      <x:c r="K543" s="146" t="e">
        <x:f>IF(OR('实盘净值数据(iFinD公式)'!$A543="",'实盘净值数据(iFinD公式)'!$B543=""),"",分期持仓明细!$AD$23*SUMPRODUCT(分期持仓明细!$B$23:$AA$23,'实盘净值数据(iFinD公式)'!$B543:$AA543/'实盘净值数据(iFinD公式)'!$B$65:$AA$65)*(1-实盘持仓初始配置!$Z$7)^(('实盘净值数据(iFinD公式)'!$A543-'实盘净值数据(iFinD公式)'!$A$8)/365))</x:f>
        <x:v>#NAME?</x:v>
      </x:c>
      <x:c r="L543" s="152" t="e">
        <x:f>IF(OR(K542="",K543=""),"",K543/K542-1)</x:f>
        <x:v>#NAME?</x:v>
      </x:c>
      <x:c r="M543" s="152" t="e">
        <x:f>IF(K543="","",K543/MAX(K$5:K543)-1)</x:f>
        <x:v>#NAME?</x:v>
      </x:c>
      <x:c r="N543" s="146" t="e">
        <x:f>IF(OR('实盘净值数据(iFinD公式)'!$A543="",'实盘净值数据(iFinD公式)'!$B543=""),"",分期持仓明细!$AD$24*SUMPRODUCT(分期持仓明细!$B$24:$AA$24,'实盘净值数据(iFinD公式)'!$B543:$AA543/'实盘净值数据(iFinD公式)'!$B$65:$AA$65)*(1-实盘持仓初始配置!$Z$8)^(('实盘净值数据(iFinD公式)'!$A543-'实盘净值数据(iFinD公式)'!$A$5)/365))</x:f>
        <x:v>#NAME?</x:v>
      </x:c>
      <x:c r="O543" s="152" t="e">
        <x:f>IF(OR(N542="",N543=""),"",N543/N542-1)</x:f>
        <x:v>#NAME?</x:v>
      </x:c>
      <x:c r="P543" s="152" t="e">
        <x:f>IF(N543="","",N543/MAX(N$5:N543)-1)</x:f>
        <x:v>#NAME?</x:v>
      </x:c>
      <x:c r="Q543" s="146" t="e">
        <x:f>IF(OR('实盘净值数据(iFinD公式)'!$A543="",'实盘净值数据(iFinD公式)'!$B543=""),"",分期持仓明细!$AD$25*SUMPRODUCT(分期持仓明细!$B$25:$AA$25,'实盘净值数据(iFinD公式)'!$B543:$AA543/'实盘净值数据(iFinD公式)'!$B$65:$AA$65)*(1-实盘持仓初始配置!$Z$9)^(('实盘净值数据(iFinD公式)'!$A543-'实盘净值数据(iFinD公式)'!$A$8)/365))</x:f>
        <x:v>#NAME?</x:v>
      </x:c>
      <x:c r="R543" s="152" t="e">
        <x:f>IF(OR(Q542="",Q543=""),"",Q543/Q542-1)</x:f>
        <x:v>#NAME?</x:v>
      </x:c>
      <x:c r="S543" s="152" t="e">
        <x:f>IF(Q543="","",Q543/MAX(Q$5:Q543)-1)</x:f>
        <x:v>#NAME?</x:v>
      </x:c>
    </x:row>
    <x:row r="544">
      <x:c r="A544" s="149" t="str">
        <x:f>IF('实盘净值数据(iFinD公式)'!A544="","",'实盘净值数据(iFinD公式)'!A544)</x:f>
      </x:c>
      <x:c r="B544" s="146" t="e">
        <x:f>IF(OR('实盘净值数据(iFinD公式)'!$A544="",'实盘净值数据(iFinD公式)'!$B544=""),"",分期持仓明细!$AD$17*SUMPRODUCT(分期持仓明细!$B$17:$AA$17,'实盘净值数据(iFinD公式)'!$B544:$AA544/'实盘净值数据(iFinD公式)'!$B$20:$AA$20)*(1-实盘持仓初始配置!$Z$4)^(('实盘净值数据(iFinD公式)'!$A544-'实盘净值数据(iFinD公式)'!$A$6)/365))</x:f>
        <x:v>#NAME?</x:v>
      </x:c>
      <x:c r="C544" s="152" t="e">
        <x:f>IF(OR(B543="",B544=""),"",B544/B543-1)</x:f>
        <x:v>#NAME?</x:v>
      </x:c>
      <x:c r="D544" s="152" t="e">
        <x:f>IF(B544="","",B544/MAX(B$5:B544)-1)</x:f>
        <x:v>#NAME?</x:v>
      </x:c>
      <x:c r="E544" s="146" t="e">
        <x:f>IF(OR('实盘净值数据(iFinD公式)'!$A544="",'实盘净值数据(iFinD公式)'!$B544=""),"",分期持仓明细!$AD$18*SUMPRODUCT(分期持仓明细!$B$18:$AA$18,'实盘净值数据(iFinD公式)'!$B544:$AA544/'实盘净值数据(iFinD公式)'!$B$20:$AA$20)*(1-实盘持仓初始配置!$Z$5)^(('实盘净值数据(iFinD公式)'!$A544-'实盘净值数据(iFinD公式)'!$A$5)/365))</x:f>
        <x:v>#NAME?</x:v>
      </x:c>
      <x:c r="F544" s="152" t="e">
        <x:f>IF(OR(E543="",E544=""),"",E544/E543-1)</x:f>
        <x:v>#NAME?</x:v>
      </x:c>
      <x:c r="G544" s="152" t="e">
        <x:f>IF(E544="","",E544/MAX(E$5:E544)-1)</x:f>
        <x:v>#NAME?</x:v>
      </x:c>
      <x:c r="H544" s="146" t="e">
        <x:f>IF(OR('实盘净值数据(iFinD公式)'!$A544="",'实盘净值数据(iFinD公式)'!$B544=""),"",分期持仓明细!$AD$19*SUMPRODUCT(分期持仓明细!$B$19:$AA$19,'实盘净值数据(iFinD公式)'!$B544:$AA544/'实盘净值数据(iFinD公式)'!$B$20:$AA$20)*(1-实盘持仓初始配置!$Z$6)^(('实盘净值数据(iFinD公式)'!$A544-'实盘净值数据(iFinD公式)'!$A$7)/365))</x:f>
        <x:v>#NAME?</x:v>
      </x:c>
      <x:c r="I544" s="152" t="e">
        <x:f>IF(OR(H543="",H544=""),"",H544/H543-1)</x:f>
        <x:v>#NAME?</x:v>
      </x:c>
      <x:c r="J544" s="152" t="e">
        <x:f>IF(H544="","",H544/MAX(H$5:H544)-1)</x:f>
        <x:v>#NAME?</x:v>
      </x:c>
      <x:c r="K544" s="146" t="e">
        <x:f>IF(OR('实盘净值数据(iFinD公式)'!$A544="",'实盘净值数据(iFinD公式)'!$B544=""),"",分期持仓明细!$AD$23*SUMPRODUCT(分期持仓明细!$B$23:$AA$23,'实盘净值数据(iFinD公式)'!$B544:$AA544/'实盘净值数据(iFinD公式)'!$B$65:$AA$65)*(1-实盘持仓初始配置!$Z$7)^(('实盘净值数据(iFinD公式)'!$A544-'实盘净值数据(iFinD公式)'!$A$8)/365))</x:f>
        <x:v>#NAME?</x:v>
      </x:c>
      <x:c r="L544" s="152" t="e">
        <x:f>IF(OR(K543="",K544=""),"",K544/K543-1)</x:f>
        <x:v>#NAME?</x:v>
      </x:c>
      <x:c r="M544" s="152" t="e">
        <x:f>IF(K544="","",K544/MAX(K$5:K544)-1)</x:f>
        <x:v>#NAME?</x:v>
      </x:c>
      <x:c r="N544" s="146" t="e">
        <x:f>IF(OR('实盘净值数据(iFinD公式)'!$A544="",'实盘净值数据(iFinD公式)'!$B544=""),"",分期持仓明细!$AD$24*SUMPRODUCT(分期持仓明细!$B$24:$AA$24,'实盘净值数据(iFinD公式)'!$B544:$AA544/'实盘净值数据(iFinD公式)'!$B$65:$AA$65)*(1-实盘持仓初始配置!$Z$8)^(('实盘净值数据(iFinD公式)'!$A544-'实盘净值数据(iFinD公式)'!$A$5)/365))</x:f>
        <x:v>#NAME?</x:v>
      </x:c>
      <x:c r="O544" s="152" t="e">
        <x:f>IF(OR(N543="",N544=""),"",N544/N543-1)</x:f>
        <x:v>#NAME?</x:v>
      </x:c>
      <x:c r="P544" s="152" t="e">
        <x:f>IF(N544="","",N544/MAX(N$5:N544)-1)</x:f>
        <x:v>#NAME?</x:v>
      </x:c>
      <x:c r="Q544" s="146" t="e">
        <x:f>IF(OR('实盘净值数据(iFinD公式)'!$A544="",'实盘净值数据(iFinD公式)'!$B544=""),"",分期持仓明细!$AD$25*SUMPRODUCT(分期持仓明细!$B$25:$AA$25,'实盘净值数据(iFinD公式)'!$B544:$AA544/'实盘净值数据(iFinD公式)'!$B$65:$AA$65)*(1-实盘持仓初始配置!$Z$9)^(('实盘净值数据(iFinD公式)'!$A544-'实盘净值数据(iFinD公式)'!$A$8)/365))</x:f>
        <x:v>#NAME?</x:v>
      </x:c>
      <x:c r="R544" s="152" t="e">
        <x:f>IF(OR(Q543="",Q544=""),"",Q544/Q543-1)</x:f>
        <x:v>#NAME?</x:v>
      </x:c>
      <x:c r="S544" s="152" t="e">
        <x:f>IF(Q544="","",Q544/MAX(Q$5:Q544)-1)</x:f>
        <x:v>#NAME?</x:v>
      </x:c>
    </x:row>
    <x:row r="545">
      <x:c r="A545" s="149" t="str">
        <x:f>IF('实盘净值数据(iFinD公式)'!A545="","",'实盘净值数据(iFinD公式)'!A545)</x:f>
      </x:c>
      <x:c r="B545" s="146" t="e">
        <x:f>IF(OR('实盘净值数据(iFinD公式)'!$A545="",'实盘净值数据(iFinD公式)'!$B545=""),"",分期持仓明细!$AD$17*SUMPRODUCT(分期持仓明细!$B$17:$AA$17,'实盘净值数据(iFinD公式)'!$B545:$AA545/'实盘净值数据(iFinD公式)'!$B$20:$AA$20)*(1-实盘持仓初始配置!$Z$4)^(('实盘净值数据(iFinD公式)'!$A545-'实盘净值数据(iFinD公式)'!$A$6)/365))</x:f>
        <x:v>#NAME?</x:v>
      </x:c>
      <x:c r="C545" s="152" t="e">
        <x:f>IF(OR(B544="",B545=""),"",B545/B544-1)</x:f>
        <x:v>#NAME?</x:v>
      </x:c>
      <x:c r="D545" s="152" t="e">
        <x:f>IF(B545="","",B545/MAX(B$5:B545)-1)</x:f>
        <x:v>#NAME?</x:v>
      </x:c>
      <x:c r="E545" s="146" t="e">
        <x:f>IF(OR('实盘净值数据(iFinD公式)'!$A545="",'实盘净值数据(iFinD公式)'!$B545=""),"",分期持仓明细!$AD$18*SUMPRODUCT(分期持仓明细!$B$18:$AA$18,'实盘净值数据(iFinD公式)'!$B545:$AA545/'实盘净值数据(iFinD公式)'!$B$20:$AA$20)*(1-实盘持仓初始配置!$Z$5)^(('实盘净值数据(iFinD公式)'!$A545-'实盘净值数据(iFinD公式)'!$A$5)/365))</x:f>
        <x:v>#NAME?</x:v>
      </x:c>
      <x:c r="F545" s="152" t="e">
        <x:f>IF(OR(E544="",E545=""),"",E545/E544-1)</x:f>
        <x:v>#NAME?</x:v>
      </x:c>
      <x:c r="G545" s="152" t="e">
        <x:f>IF(E545="","",E545/MAX(E$5:E545)-1)</x:f>
        <x:v>#NAME?</x:v>
      </x:c>
      <x:c r="H545" s="146" t="e">
        <x:f>IF(OR('实盘净值数据(iFinD公式)'!$A545="",'实盘净值数据(iFinD公式)'!$B545=""),"",分期持仓明细!$AD$19*SUMPRODUCT(分期持仓明细!$B$19:$AA$19,'实盘净值数据(iFinD公式)'!$B545:$AA545/'实盘净值数据(iFinD公式)'!$B$20:$AA$20)*(1-实盘持仓初始配置!$Z$6)^(('实盘净值数据(iFinD公式)'!$A545-'实盘净值数据(iFinD公式)'!$A$7)/365))</x:f>
        <x:v>#NAME?</x:v>
      </x:c>
      <x:c r="I545" s="152" t="e">
        <x:f>IF(OR(H544="",H545=""),"",H545/H544-1)</x:f>
        <x:v>#NAME?</x:v>
      </x:c>
      <x:c r="J545" s="152" t="e">
        <x:f>IF(H545="","",H545/MAX(H$5:H545)-1)</x:f>
        <x:v>#NAME?</x:v>
      </x:c>
      <x:c r="K545" s="146" t="e">
        <x:f>IF(OR('实盘净值数据(iFinD公式)'!$A545="",'实盘净值数据(iFinD公式)'!$B545=""),"",分期持仓明细!$AD$23*SUMPRODUCT(分期持仓明细!$B$23:$AA$23,'实盘净值数据(iFinD公式)'!$B545:$AA545/'实盘净值数据(iFinD公式)'!$B$65:$AA$65)*(1-实盘持仓初始配置!$Z$7)^(('实盘净值数据(iFinD公式)'!$A545-'实盘净值数据(iFinD公式)'!$A$8)/365))</x:f>
        <x:v>#NAME?</x:v>
      </x:c>
      <x:c r="L545" s="152" t="e">
        <x:f>IF(OR(K544="",K545=""),"",K545/K544-1)</x:f>
        <x:v>#NAME?</x:v>
      </x:c>
      <x:c r="M545" s="152" t="e">
        <x:f>IF(K545="","",K545/MAX(K$5:K545)-1)</x:f>
        <x:v>#NAME?</x:v>
      </x:c>
      <x:c r="N545" s="146" t="e">
        <x:f>IF(OR('实盘净值数据(iFinD公式)'!$A545="",'实盘净值数据(iFinD公式)'!$B545=""),"",分期持仓明细!$AD$24*SUMPRODUCT(分期持仓明细!$B$24:$AA$24,'实盘净值数据(iFinD公式)'!$B545:$AA545/'实盘净值数据(iFinD公式)'!$B$65:$AA$65)*(1-实盘持仓初始配置!$Z$8)^(('实盘净值数据(iFinD公式)'!$A545-'实盘净值数据(iFinD公式)'!$A$5)/365))</x:f>
        <x:v>#NAME?</x:v>
      </x:c>
      <x:c r="O545" s="152" t="e">
        <x:f>IF(OR(N544="",N545=""),"",N545/N544-1)</x:f>
        <x:v>#NAME?</x:v>
      </x:c>
      <x:c r="P545" s="152" t="e">
        <x:f>IF(N545="","",N545/MAX(N$5:N545)-1)</x:f>
        <x:v>#NAME?</x:v>
      </x:c>
      <x:c r="Q545" s="146" t="e">
        <x:f>IF(OR('实盘净值数据(iFinD公式)'!$A545="",'实盘净值数据(iFinD公式)'!$B545=""),"",分期持仓明细!$AD$25*SUMPRODUCT(分期持仓明细!$B$25:$AA$25,'实盘净值数据(iFinD公式)'!$B545:$AA545/'实盘净值数据(iFinD公式)'!$B$65:$AA$65)*(1-实盘持仓初始配置!$Z$9)^(('实盘净值数据(iFinD公式)'!$A545-'实盘净值数据(iFinD公式)'!$A$8)/365))</x:f>
        <x:v>#NAME?</x:v>
      </x:c>
      <x:c r="R545" s="152" t="e">
        <x:f>IF(OR(Q544="",Q545=""),"",Q545/Q544-1)</x:f>
        <x:v>#NAME?</x:v>
      </x:c>
      <x:c r="S545" s="152" t="e">
        <x:f>IF(Q545="","",Q545/MAX(Q$5:Q545)-1)</x:f>
        <x:v>#NAME?</x:v>
      </x:c>
    </x:row>
    <x:row r="546">
      <x:c r="A546" s="149" t="str">
        <x:f>IF('实盘净值数据(iFinD公式)'!A546="","",'实盘净值数据(iFinD公式)'!A546)</x:f>
      </x:c>
      <x:c r="B546" s="146" t="e">
        <x:f>IF(OR('实盘净值数据(iFinD公式)'!$A546="",'实盘净值数据(iFinD公式)'!$B546=""),"",分期持仓明细!$AD$17*SUMPRODUCT(分期持仓明细!$B$17:$AA$17,'实盘净值数据(iFinD公式)'!$B546:$AA546/'实盘净值数据(iFinD公式)'!$B$20:$AA$20)*(1-实盘持仓初始配置!$Z$4)^(('实盘净值数据(iFinD公式)'!$A546-'实盘净值数据(iFinD公式)'!$A$6)/365))</x:f>
        <x:v>#NAME?</x:v>
      </x:c>
      <x:c r="C546" s="152" t="e">
        <x:f>IF(OR(B545="",B546=""),"",B546/B545-1)</x:f>
        <x:v>#NAME?</x:v>
      </x:c>
      <x:c r="D546" s="152" t="e">
        <x:f>IF(B546="","",B546/MAX(B$5:B546)-1)</x:f>
        <x:v>#NAME?</x:v>
      </x:c>
      <x:c r="E546" s="146" t="e">
        <x:f>IF(OR('实盘净值数据(iFinD公式)'!$A546="",'实盘净值数据(iFinD公式)'!$B546=""),"",分期持仓明细!$AD$18*SUMPRODUCT(分期持仓明细!$B$18:$AA$18,'实盘净值数据(iFinD公式)'!$B546:$AA546/'实盘净值数据(iFinD公式)'!$B$20:$AA$20)*(1-实盘持仓初始配置!$Z$5)^(('实盘净值数据(iFinD公式)'!$A546-'实盘净值数据(iFinD公式)'!$A$5)/365))</x:f>
        <x:v>#NAME?</x:v>
      </x:c>
      <x:c r="F546" s="152" t="e">
        <x:f>IF(OR(E545="",E546=""),"",E546/E545-1)</x:f>
        <x:v>#NAME?</x:v>
      </x:c>
      <x:c r="G546" s="152" t="e">
        <x:f>IF(E546="","",E546/MAX(E$5:E546)-1)</x:f>
        <x:v>#NAME?</x:v>
      </x:c>
      <x:c r="H546" s="146" t="e">
        <x:f>IF(OR('实盘净值数据(iFinD公式)'!$A546="",'实盘净值数据(iFinD公式)'!$B546=""),"",分期持仓明细!$AD$19*SUMPRODUCT(分期持仓明细!$B$19:$AA$19,'实盘净值数据(iFinD公式)'!$B546:$AA546/'实盘净值数据(iFinD公式)'!$B$20:$AA$20)*(1-实盘持仓初始配置!$Z$6)^(('实盘净值数据(iFinD公式)'!$A546-'实盘净值数据(iFinD公式)'!$A$7)/365))</x:f>
        <x:v>#NAME?</x:v>
      </x:c>
      <x:c r="I546" s="152" t="e">
        <x:f>IF(OR(H545="",H546=""),"",H546/H545-1)</x:f>
        <x:v>#NAME?</x:v>
      </x:c>
      <x:c r="J546" s="152" t="e">
        <x:f>IF(H546="","",H546/MAX(H$5:H546)-1)</x:f>
        <x:v>#NAME?</x:v>
      </x:c>
      <x:c r="K546" s="146" t="e">
        <x:f>IF(OR('实盘净值数据(iFinD公式)'!$A546="",'实盘净值数据(iFinD公式)'!$B546=""),"",分期持仓明细!$AD$23*SUMPRODUCT(分期持仓明细!$B$23:$AA$23,'实盘净值数据(iFinD公式)'!$B546:$AA546/'实盘净值数据(iFinD公式)'!$B$65:$AA$65)*(1-实盘持仓初始配置!$Z$7)^(('实盘净值数据(iFinD公式)'!$A546-'实盘净值数据(iFinD公式)'!$A$8)/365))</x:f>
        <x:v>#NAME?</x:v>
      </x:c>
      <x:c r="L546" s="152" t="e">
        <x:f>IF(OR(K545="",K546=""),"",K546/K545-1)</x:f>
        <x:v>#NAME?</x:v>
      </x:c>
      <x:c r="M546" s="152" t="e">
        <x:f>IF(K546="","",K546/MAX(K$5:K546)-1)</x:f>
        <x:v>#NAME?</x:v>
      </x:c>
      <x:c r="N546" s="146" t="e">
        <x:f>IF(OR('实盘净值数据(iFinD公式)'!$A546="",'实盘净值数据(iFinD公式)'!$B546=""),"",分期持仓明细!$AD$24*SUMPRODUCT(分期持仓明细!$B$24:$AA$24,'实盘净值数据(iFinD公式)'!$B546:$AA546/'实盘净值数据(iFinD公式)'!$B$65:$AA$65)*(1-实盘持仓初始配置!$Z$8)^(('实盘净值数据(iFinD公式)'!$A546-'实盘净值数据(iFinD公式)'!$A$5)/365))</x:f>
        <x:v>#NAME?</x:v>
      </x:c>
      <x:c r="O546" s="152" t="e">
        <x:f>IF(OR(N545="",N546=""),"",N546/N545-1)</x:f>
        <x:v>#NAME?</x:v>
      </x:c>
      <x:c r="P546" s="152" t="e">
        <x:f>IF(N546="","",N546/MAX(N$5:N546)-1)</x:f>
        <x:v>#NAME?</x:v>
      </x:c>
      <x:c r="Q546" s="146" t="e">
        <x:f>IF(OR('实盘净值数据(iFinD公式)'!$A546="",'实盘净值数据(iFinD公式)'!$B546=""),"",分期持仓明细!$AD$25*SUMPRODUCT(分期持仓明细!$B$25:$AA$25,'实盘净值数据(iFinD公式)'!$B546:$AA546/'实盘净值数据(iFinD公式)'!$B$65:$AA$65)*(1-实盘持仓初始配置!$Z$9)^(('实盘净值数据(iFinD公式)'!$A546-'实盘净值数据(iFinD公式)'!$A$8)/365))</x:f>
        <x:v>#NAME?</x:v>
      </x:c>
      <x:c r="R546" s="152" t="e">
        <x:f>IF(OR(Q545="",Q546=""),"",Q546/Q545-1)</x:f>
        <x:v>#NAME?</x:v>
      </x:c>
      <x:c r="S546" s="152" t="e">
        <x:f>IF(Q546="","",Q546/MAX(Q$5:Q546)-1)</x:f>
        <x:v>#NAME?</x:v>
      </x:c>
    </x:row>
    <x:row r="547">
      <x:c r="A547" s="149" t="str">
        <x:f>IF('实盘净值数据(iFinD公式)'!A547="","",'实盘净值数据(iFinD公式)'!A547)</x:f>
      </x:c>
      <x:c r="B547" s="146" t="e">
        <x:f>IF(OR('实盘净值数据(iFinD公式)'!$A547="",'实盘净值数据(iFinD公式)'!$B547=""),"",分期持仓明细!$AD$17*SUMPRODUCT(分期持仓明细!$B$17:$AA$17,'实盘净值数据(iFinD公式)'!$B547:$AA547/'实盘净值数据(iFinD公式)'!$B$20:$AA$20)*(1-实盘持仓初始配置!$Z$4)^(('实盘净值数据(iFinD公式)'!$A547-'实盘净值数据(iFinD公式)'!$A$6)/365))</x:f>
        <x:v>#NAME?</x:v>
      </x:c>
      <x:c r="C547" s="152" t="e">
        <x:f>IF(OR(B546="",B547=""),"",B547/B546-1)</x:f>
        <x:v>#NAME?</x:v>
      </x:c>
      <x:c r="D547" s="152" t="e">
        <x:f>IF(B547="","",B547/MAX(B$5:B547)-1)</x:f>
        <x:v>#NAME?</x:v>
      </x:c>
      <x:c r="E547" s="146" t="e">
        <x:f>IF(OR('实盘净值数据(iFinD公式)'!$A547="",'实盘净值数据(iFinD公式)'!$B547=""),"",分期持仓明细!$AD$18*SUMPRODUCT(分期持仓明细!$B$18:$AA$18,'实盘净值数据(iFinD公式)'!$B547:$AA547/'实盘净值数据(iFinD公式)'!$B$20:$AA$20)*(1-实盘持仓初始配置!$Z$5)^(('实盘净值数据(iFinD公式)'!$A547-'实盘净值数据(iFinD公式)'!$A$5)/365))</x:f>
        <x:v>#NAME?</x:v>
      </x:c>
      <x:c r="F547" s="152" t="e">
        <x:f>IF(OR(E546="",E547=""),"",E547/E546-1)</x:f>
        <x:v>#NAME?</x:v>
      </x:c>
      <x:c r="G547" s="152" t="e">
        <x:f>IF(E547="","",E547/MAX(E$5:E547)-1)</x:f>
        <x:v>#NAME?</x:v>
      </x:c>
      <x:c r="H547" s="146" t="e">
        <x:f>IF(OR('实盘净值数据(iFinD公式)'!$A547="",'实盘净值数据(iFinD公式)'!$B547=""),"",分期持仓明细!$AD$19*SUMPRODUCT(分期持仓明细!$B$19:$AA$19,'实盘净值数据(iFinD公式)'!$B547:$AA547/'实盘净值数据(iFinD公式)'!$B$20:$AA$20)*(1-实盘持仓初始配置!$Z$6)^(('实盘净值数据(iFinD公式)'!$A547-'实盘净值数据(iFinD公式)'!$A$7)/365))</x:f>
        <x:v>#NAME?</x:v>
      </x:c>
      <x:c r="I547" s="152" t="e">
        <x:f>IF(OR(H546="",H547=""),"",H547/H546-1)</x:f>
        <x:v>#NAME?</x:v>
      </x:c>
      <x:c r="J547" s="152" t="e">
        <x:f>IF(H547="","",H547/MAX(H$5:H547)-1)</x:f>
        <x:v>#NAME?</x:v>
      </x:c>
      <x:c r="K547" s="146" t="e">
        <x:f>IF(OR('实盘净值数据(iFinD公式)'!$A547="",'实盘净值数据(iFinD公式)'!$B547=""),"",分期持仓明细!$AD$23*SUMPRODUCT(分期持仓明细!$B$23:$AA$23,'实盘净值数据(iFinD公式)'!$B547:$AA547/'实盘净值数据(iFinD公式)'!$B$65:$AA$65)*(1-实盘持仓初始配置!$Z$7)^(('实盘净值数据(iFinD公式)'!$A547-'实盘净值数据(iFinD公式)'!$A$8)/365))</x:f>
        <x:v>#NAME?</x:v>
      </x:c>
      <x:c r="L547" s="152" t="e">
        <x:f>IF(OR(K546="",K547=""),"",K547/K546-1)</x:f>
        <x:v>#NAME?</x:v>
      </x:c>
      <x:c r="M547" s="152" t="e">
        <x:f>IF(K547="","",K547/MAX(K$5:K547)-1)</x:f>
        <x:v>#NAME?</x:v>
      </x:c>
      <x:c r="N547" s="146" t="e">
        <x:f>IF(OR('实盘净值数据(iFinD公式)'!$A547="",'实盘净值数据(iFinD公式)'!$B547=""),"",分期持仓明细!$AD$24*SUMPRODUCT(分期持仓明细!$B$24:$AA$24,'实盘净值数据(iFinD公式)'!$B547:$AA547/'实盘净值数据(iFinD公式)'!$B$65:$AA$65)*(1-实盘持仓初始配置!$Z$8)^(('实盘净值数据(iFinD公式)'!$A547-'实盘净值数据(iFinD公式)'!$A$5)/365))</x:f>
        <x:v>#NAME?</x:v>
      </x:c>
      <x:c r="O547" s="152" t="e">
        <x:f>IF(OR(N546="",N547=""),"",N547/N546-1)</x:f>
        <x:v>#NAME?</x:v>
      </x:c>
      <x:c r="P547" s="152" t="e">
        <x:f>IF(N547="","",N547/MAX(N$5:N547)-1)</x:f>
        <x:v>#NAME?</x:v>
      </x:c>
      <x:c r="Q547" s="146" t="e">
        <x:f>IF(OR('实盘净值数据(iFinD公式)'!$A547="",'实盘净值数据(iFinD公式)'!$B547=""),"",分期持仓明细!$AD$25*SUMPRODUCT(分期持仓明细!$B$25:$AA$25,'实盘净值数据(iFinD公式)'!$B547:$AA547/'实盘净值数据(iFinD公式)'!$B$65:$AA$65)*(1-实盘持仓初始配置!$Z$9)^(('实盘净值数据(iFinD公式)'!$A547-'实盘净值数据(iFinD公式)'!$A$8)/365))</x:f>
        <x:v>#NAME?</x:v>
      </x:c>
      <x:c r="R547" s="152" t="e">
        <x:f>IF(OR(Q546="",Q547=""),"",Q547/Q546-1)</x:f>
        <x:v>#NAME?</x:v>
      </x:c>
      <x:c r="S547" s="152" t="e">
        <x:f>IF(Q547="","",Q547/MAX(Q$5:Q547)-1)</x:f>
        <x:v>#NAME?</x:v>
      </x:c>
    </x:row>
    <x:row r="548">
      <x:c r="A548" s="149" t="str">
        <x:f>IF('实盘净值数据(iFinD公式)'!A548="","",'实盘净值数据(iFinD公式)'!A548)</x:f>
      </x:c>
      <x:c r="B548" s="146" t="e">
        <x:f>IF(OR('实盘净值数据(iFinD公式)'!$A548="",'实盘净值数据(iFinD公式)'!$B548=""),"",分期持仓明细!$AD$17*SUMPRODUCT(分期持仓明细!$B$17:$AA$17,'实盘净值数据(iFinD公式)'!$B548:$AA548/'实盘净值数据(iFinD公式)'!$B$20:$AA$20)*(1-实盘持仓初始配置!$Z$4)^(('实盘净值数据(iFinD公式)'!$A548-'实盘净值数据(iFinD公式)'!$A$6)/365))</x:f>
        <x:v>#NAME?</x:v>
      </x:c>
      <x:c r="C548" s="152" t="e">
        <x:f>IF(OR(B547="",B548=""),"",B548/B547-1)</x:f>
        <x:v>#NAME?</x:v>
      </x:c>
      <x:c r="D548" s="152" t="e">
        <x:f>IF(B548="","",B548/MAX(B$5:B548)-1)</x:f>
        <x:v>#NAME?</x:v>
      </x:c>
      <x:c r="E548" s="146" t="e">
        <x:f>IF(OR('实盘净值数据(iFinD公式)'!$A548="",'实盘净值数据(iFinD公式)'!$B548=""),"",分期持仓明细!$AD$18*SUMPRODUCT(分期持仓明细!$B$18:$AA$18,'实盘净值数据(iFinD公式)'!$B548:$AA548/'实盘净值数据(iFinD公式)'!$B$20:$AA$20)*(1-实盘持仓初始配置!$Z$5)^(('实盘净值数据(iFinD公式)'!$A548-'实盘净值数据(iFinD公式)'!$A$5)/365))</x:f>
        <x:v>#NAME?</x:v>
      </x:c>
      <x:c r="F548" s="152" t="e">
        <x:f>IF(OR(E547="",E548=""),"",E548/E547-1)</x:f>
        <x:v>#NAME?</x:v>
      </x:c>
      <x:c r="G548" s="152" t="e">
        <x:f>IF(E548="","",E548/MAX(E$5:E548)-1)</x:f>
        <x:v>#NAME?</x:v>
      </x:c>
      <x:c r="H548" s="146" t="e">
        <x:f>IF(OR('实盘净值数据(iFinD公式)'!$A548="",'实盘净值数据(iFinD公式)'!$B548=""),"",分期持仓明细!$AD$19*SUMPRODUCT(分期持仓明细!$B$19:$AA$19,'实盘净值数据(iFinD公式)'!$B548:$AA548/'实盘净值数据(iFinD公式)'!$B$20:$AA$20)*(1-实盘持仓初始配置!$Z$6)^(('实盘净值数据(iFinD公式)'!$A548-'实盘净值数据(iFinD公式)'!$A$7)/365))</x:f>
        <x:v>#NAME?</x:v>
      </x:c>
      <x:c r="I548" s="152" t="e">
        <x:f>IF(OR(H547="",H548=""),"",H548/H547-1)</x:f>
        <x:v>#NAME?</x:v>
      </x:c>
      <x:c r="J548" s="152" t="e">
        <x:f>IF(H548="","",H548/MAX(H$5:H548)-1)</x:f>
        <x:v>#NAME?</x:v>
      </x:c>
      <x:c r="K548" s="146" t="e">
        <x:f>IF(OR('实盘净值数据(iFinD公式)'!$A548="",'实盘净值数据(iFinD公式)'!$B548=""),"",分期持仓明细!$AD$23*SUMPRODUCT(分期持仓明细!$B$23:$AA$23,'实盘净值数据(iFinD公式)'!$B548:$AA548/'实盘净值数据(iFinD公式)'!$B$65:$AA$65)*(1-实盘持仓初始配置!$Z$7)^(('实盘净值数据(iFinD公式)'!$A548-'实盘净值数据(iFinD公式)'!$A$8)/365))</x:f>
        <x:v>#NAME?</x:v>
      </x:c>
      <x:c r="L548" s="152" t="e">
        <x:f>IF(OR(K547="",K548=""),"",K548/K547-1)</x:f>
        <x:v>#NAME?</x:v>
      </x:c>
      <x:c r="M548" s="152" t="e">
        <x:f>IF(K548="","",K548/MAX(K$5:K548)-1)</x:f>
        <x:v>#NAME?</x:v>
      </x:c>
      <x:c r="N548" s="146" t="e">
        <x:f>IF(OR('实盘净值数据(iFinD公式)'!$A548="",'实盘净值数据(iFinD公式)'!$B548=""),"",分期持仓明细!$AD$24*SUMPRODUCT(分期持仓明细!$B$24:$AA$24,'实盘净值数据(iFinD公式)'!$B548:$AA548/'实盘净值数据(iFinD公式)'!$B$65:$AA$65)*(1-实盘持仓初始配置!$Z$8)^(('实盘净值数据(iFinD公式)'!$A548-'实盘净值数据(iFinD公式)'!$A$5)/365))</x:f>
        <x:v>#NAME?</x:v>
      </x:c>
      <x:c r="O548" s="152" t="e">
        <x:f>IF(OR(N547="",N548=""),"",N548/N547-1)</x:f>
        <x:v>#NAME?</x:v>
      </x:c>
      <x:c r="P548" s="152" t="e">
        <x:f>IF(N548="","",N548/MAX(N$5:N548)-1)</x:f>
        <x:v>#NAME?</x:v>
      </x:c>
      <x:c r="Q548" s="146" t="e">
        <x:f>IF(OR('实盘净值数据(iFinD公式)'!$A548="",'实盘净值数据(iFinD公式)'!$B548=""),"",分期持仓明细!$AD$25*SUMPRODUCT(分期持仓明细!$B$25:$AA$25,'实盘净值数据(iFinD公式)'!$B548:$AA548/'实盘净值数据(iFinD公式)'!$B$65:$AA$65)*(1-实盘持仓初始配置!$Z$9)^(('实盘净值数据(iFinD公式)'!$A548-'实盘净值数据(iFinD公式)'!$A$8)/365))</x:f>
        <x:v>#NAME?</x:v>
      </x:c>
      <x:c r="R548" s="152" t="e">
        <x:f>IF(OR(Q547="",Q548=""),"",Q548/Q547-1)</x:f>
        <x:v>#NAME?</x:v>
      </x:c>
      <x:c r="S548" s="152" t="e">
        <x:f>IF(Q548="","",Q548/MAX(Q$5:Q548)-1)</x:f>
        <x:v>#NAME?</x:v>
      </x:c>
    </x:row>
    <x:row r="549">
      <x:c r="A549" s="149" t="str">
        <x:f>IF('实盘净值数据(iFinD公式)'!A549="","",'实盘净值数据(iFinD公式)'!A549)</x:f>
      </x:c>
      <x:c r="B549" s="146" t="e">
        <x:f>IF(OR('实盘净值数据(iFinD公式)'!$A549="",'实盘净值数据(iFinD公式)'!$B549=""),"",分期持仓明细!$AD$17*SUMPRODUCT(分期持仓明细!$B$17:$AA$17,'实盘净值数据(iFinD公式)'!$B549:$AA549/'实盘净值数据(iFinD公式)'!$B$20:$AA$20)*(1-实盘持仓初始配置!$Z$4)^(('实盘净值数据(iFinD公式)'!$A549-'实盘净值数据(iFinD公式)'!$A$6)/365))</x:f>
        <x:v>#NAME?</x:v>
      </x:c>
      <x:c r="C549" s="152" t="e">
        <x:f>IF(OR(B548="",B549=""),"",B549/B548-1)</x:f>
        <x:v>#NAME?</x:v>
      </x:c>
      <x:c r="D549" s="152" t="e">
        <x:f>IF(B549="","",B549/MAX(B$5:B549)-1)</x:f>
        <x:v>#NAME?</x:v>
      </x:c>
      <x:c r="E549" s="146" t="e">
        <x:f>IF(OR('实盘净值数据(iFinD公式)'!$A549="",'实盘净值数据(iFinD公式)'!$B549=""),"",分期持仓明细!$AD$18*SUMPRODUCT(分期持仓明细!$B$18:$AA$18,'实盘净值数据(iFinD公式)'!$B549:$AA549/'实盘净值数据(iFinD公式)'!$B$20:$AA$20)*(1-实盘持仓初始配置!$Z$5)^(('实盘净值数据(iFinD公式)'!$A549-'实盘净值数据(iFinD公式)'!$A$5)/365))</x:f>
        <x:v>#NAME?</x:v>
      </x:c>
      <x:c r="F549" s="152" t="e">
        <x:f>IF(OR(E548="",E549=""),"",E549/E548-1)</x:f>
        <x:v>#NAME?</x:v>
      </x:c>
      <x:c r="G549" s="152" t="e">
        <x:f>IF(E549="","",E549/MAX(E$5:E549)-1)</x:f>
        <x:v>#NAME?</x:v>
      </x:c>
      <x:c r="H549" s="146" t="e">
        <x:f>IF(OR('实盘净值数据(iFinD公式)'!$A549="",'实盘净值数据(iFinD公式)'!$B549=""),"",分期持仓明细!$AD$19*SUMPRODUCT(分期持仓明细!$B$19:$AA$19,'实盘净值数据(iFinD公式)'!$B549:$AA549/'实盘净值数据(iFinD公式)'!$B$20:$AA$20)*(1-实盘持仓初始配置!$Z$6)^(('实盘净值数据(iFinD公式)'!$A549-'实盘净值数据(iFinD公式)'!$A$7)/365))</x:f>
        <x:v>#NAME?</x:v>
      </x:c>
      <x:c r="I549" s="152" t="e">
        <x:f>IF(OR(H548="",H549=""),"",H549/H548-1)</x:f>
        <x:v>#NAME?</x:v>
      </x:c>
      <x:c r="J549" s="152" t="e">
        <x:f>IF(H549="","",H549/MAX(H$5:H549)-1)</x:f>
        <x:v>#NAME?</x:v>
      </x:c>
      <x:c r="K549" s="146" t="e">
        <x:f>IF(OR('实盘净值数据(iFinD公式)'!$A549="",'实盘净值数据(iFinD公式)'!$B549=""),"",分期持仓明细!$AD$23*SUMPRODUCT(分期持仓明细!$B$23:$AA$23,'实盘净值数据(iFinD公式)'!$B549:$AA549/'实盘净值数据(iFinD公式)'!$B$65:$AA$65)*(1-实盘持仓初始配置!$Z$7)^(('实盘净值数据(iFinD公式)'!$A549-'实盘净值数据(iFinD公式)'!$A$8)/365))</x:f>
        <x:v>#NAME?</x:v>
      </x:c>
      <x:c r="L549" s="152" t="e">
        <x:f>IF(OR(K548="",K549=""),"",K549/K548-1)</x:f>
        <x:v>#NAME?</x:v>
      </x:c>
      <x:c r="M549" s="152" t="e">
        <x:f>IF(K549="","",K549/MAX(K$5:K549)-1)</x:f>
        <x:v>#NAME?</x:v>
      </x:c>
      <x:c r="N549" s="146" t="e">
        <x:f>IF(OR('实盘净值数据(iFinD公式)'!$A549="",'实盘净值数据(iFinD公式)'!$B549=""),"",分期持仓明细!$AD$24*SUMPRODUCT(分期持仓明细!$B$24:$AA$24,'实盘净值数据(iFinD公式)'!$B549:$AA549/'实盘净值数据(iFinD公式)'!$B$65:$AA$65)*(1-实盘持仓初始配置!$Z$8)^(('实盘净值数据(iFinD公式)'!$A549-'实盘净值数据(iFinD公式)'!$A$5)/365))</x:f>
        <x:v>#NAME?</x:v>
      </x:c>
      <x:c r="O549" s="152" t="e">
        <x:f>IF(OR(N548="",N549=""),"",N549/N548-1)</x:f>
        <x:v>#NAME?</x:v>
      </x:c>
      <x:c r="P549" s="152" t="e">
        <x:f>IF(N549="","",N549/MAX(N$5:N549)-1)</x:f>
        <x:v>#NAME?</x:v>
      </x:c>
      <x:c r="Q549" s="146" t="e">
        <x:f>IF(OR('实盘净值数据(iFinD公式)'!$A549="",'实盘净值数据(iFinD公式)'!$B549=""),"",分期持仓明细!$AD$25*SUMPRODUCT(分期持仓明细!$B$25:$AA$25,'实盘净值数据(iFinD公式)'!$B549:$AA549/'实盘净值数据(iFinD公式)'!$B$65:$AA$65)*(1-实盘持仓初始配置!$Z$9)^(('实盘净值数据(iFinD公式)'!$A549-'实盘净值数据(iFinD公式)'!$A$8)/365))</x:f>
        <x:v>#NAME?</x:v>
      </x:c>
      <x:c r="R549" s="152" t="e">
        <x:f>IF(OR(Q548="",Q549=""),"",Q549/Q548-1)</x:f>
        <x:v>#NAME?</x:v>
      </x:c>
      <x:c r="S549" s="152" t="e">
        <x:f>IF(Q549="","",Q549/MAX(Q$5:Q549)-1)</x:f>
        <x:v>#NAME?</x:v>
      </x:c>
    </x:row>
    <x:row r="550">
      <x:c r="A550" s="149" t="str">
        <x:f>IF('实盘净值数据(iFinD公式)'!A550="","",'实盘净值数据(iFinD公式)'!A550)</x:f>
      </x:c>
      <x:c r="B550" s="146" t="e">
        <x:f>IF(OR('实盘净值数据(iFinD公式)'!$A550="",'实盘净值数据(iFinD公式)'!$B550=""),"",分期持仓明细!$AD$17*SUMPRODUCT(分期持仓明细!$B$17:$AA$17,'实盘净值数据(iFinD公式)'!$B550:$AA550/'实盘净值数据(iFinD公式)'!$B$20:$AA$20)*(1-实盘持仓初始配置!$Z$4)^(('实盘净值数据(iFinD公式)'!$A550-'实盘净值数据(iFinD公式)'!$A$6)/365))</x:f>
        <x:v>#NAME?</x:v>
      </x:c>
      <x:c r="C550" s="152" t="e">
        <x:f>IF(OR(B549="",B550=""),"",B550/B549-1)</x:f>
        <x:v>#NAME?</x:v>
      </x:c>
      <x:c r="D550" s="152" t="e">
        <x:f>IF(B550="","",B550/MAX(B$5:B550)-1)</x:f>
        <x:v>#NAME?</x:v>
      </x:c>
      <x:c r="E550" s="146" t="e">
        <x:f>IF(OR('实盘净值数据(iFinD公式)'!$A550="",'实盘净值数据(iFinD公式)'!$B550=""),"",分期持仓明细!$AD$18*SUMPRODUCT(分期持仓明细!$B$18:$AA$18,'实盘净值数据(iFinD公式)'!$B550:$AA550/'实盘净值数据(iFinD公式)'!$B$20:$AA$20)*(1-实盘持仓初始配置!$Z$5)^(('实盘净值数据(iFinD公式)'!$A550-'实盘净值数据(iFinD公式)'!$A$5)/365))</x:f>
        <x:v>#NAME?</x:v>
      </x:c>
      <x:c r="F550" s="152" t="e">
        <x:f>IF(OR(E549="",E550=""),"",E550/E549-1)</x:f>
        <x:v>#NAME?</x:v>
      </x:c>
      <x:c r="G550" s="152" t="e">
        <x:f>IF(E550="","",E550/MAX(E$5:E550)-1)</x:f>
        <x:v>#NAME?</x:v>
      </x:c>
      <x:c r="H550" s="146" t="e">
        <x:f>IF(OR('实盘净值数据(iFinD公式)'!$A550="",'实盘净值数据(iFinD公式)'!$B550=""),"",分期持仓明细!$AD$19*SUMPRODUCT(分期持仓明细!$B$19:$AA$19,'实盘净值数据(iFinD公式)'!$B550:$AA550/'实盘净值数据(iFinD公式)'!$B$20:$AA$20)*(1-实盘持仓初始配置!$Z$6)^(('实盘净值数据(iFinD公式)'!$A550-'实盘净值数据(iFinD公式)'!$A$7)/365))</x:f>
        <x:v>#NAME?</x:v>
      </x:c>
      <x:c r="I550" s="152" t="e">
        <x:f>IF(OR(H549="",H550=""),"",H550/H549-1)</x:f>
        <x:v>#NAME?</x:v>
      </x:c>
      <x:c r="J550" s="152" t="e">
        <x:f>IF(H550="","",H550/MAX(H$5:H550)-1)</x:f>
        <x:v>#NAME?</x:v>
      </x:c>
      <x:c r="K550" s="146" t="e">
        <x:f>IF(OR('实盘净值数据(iFinD公式)'!$A550="",'实盘净值数据(iFinD公式)'!$B550=""),"",分期持仓明细!$AD$23*SUMPRODUCT(分期持仓明细!$B$23:$AA$23,'实盘净值数据(iFinD公式)'!$B550:$AA550/'实盘净值数据(iFinD公式)'!$B$65:$AA$65)*(1-实盘持仓初始配置!$Z$7)^(('实盘净值数据(iFinD公式)'!$A550-'实盘净值数据(iFinD公式)'!$A$8)/365))</x:f>
        <x:v>#NAME?</x:v>
      </x:c>
      <x:c r="L550" s="152" t="e">
        <x:f>IF(OR(K549="",K550=""),"",K550/K549-1)</x:f>
        <x:v>#NAME?</x:v>
      </x:c>
      <x:c r="M550" s="152" t="e">
        <x:f>IF(K550="","",K550/MAX(K$5:K550)-1)</x:f>
        <x:v>#NAME?</x:v>
      </x:c>
      <x:c r="N550" s="146" t="e">
        <x:f>IF(OR('实盘净值数据(iFinD公式)'!$A550="",'实盘净值数据(iFinD公式)'!$B550=""),"",分期持仓明细!$AD$24*SUMPRODUCT(分期持仓明细!$B$24:$AA$24,'实盘净值数据(iFinD公式)'!$B550:$AA550/'实盘净值数据(iFinD公式)'!$B$65:$AA$65)*(1-实盘持仓初始配置!$Z$8)^(('实盘净值数据(iFinD公式)'!$A550-'实盘净值数据(iFinD公式)'!$A$5)/365))</x:f>
        <x:v>#NAME?</x:v>
      </x:c>
      <x:c r="O550" s="152" t="e">
        <x:f>IF(OR(N549="",N550=""),"",N550/N549-1)</x:f>
        <x:v>#NAME?</x:v>
      </x:c>
      <x:c r="P550" s="152" t="e">
        <x:f>IF(N550="","",N550/MAX(N$5:N550)-1)</x:f>
        <x:v>#NAME?</x:v>
      </x:c>
      <x:c r="Q550" s="146" t="e">
        <x:f>IF(OR('实盘净值数据(iFinD公式)'!$A550="",'实盘净值数据(iFinD公式)'!$B550=""),"",分期持仓明细!$AD$25*SUMPRODUCT(分期持仓明细!$B$25:$AA$25,'实盘净值数据(iFinD公式)'!$B550:$AA550/'实盘净值数据(iFinD公式)'!$B$65:$AA$65)*(1-实盘持仓初始配置!$Z$9)^(('实盘净值数据(iFinD公式)'!$A550-'实盘净值数据(iFinD公式)'!$A$8)/365))</x:f>
        <x:v>#NAME?</x:v>
      </x:c>
      <x:c r="R550" s="152" t="e">
        <x:f>IF(OR(Q549="",Q550=""),"",Q550/Q549-1)</x:f>
        <x:v>#NAME?</x:v>
      </x:c>
      <x:c r="S550" s="152" t="e">
        <x:f>IF(Q550="","",Q550/MAX(Q$5:Q550)-1)</x:f>
        <x:v>#NAME?</x:v>
      </x:c>
    </x:row>
    <x:row r="551">
      <x:c r="A551" s="149" t="str">
        <x:f>IF('实盘净值数据(iFinD公式)'!A551="","",'实盘净值数据(iFinD公式)'!A551)</x:f>
      </x:c>
      <x:c r="B551" s="146" t="e">
        <x:f>IF(OR('实盘净值数据(iFinD公式)'!$A551="",'实盘净值数据(iFinD公式)'!$B551=""),"",分期持仓明细!$AD$17*SUMPRODUCT(分期持仓明细!$B$17:$AA$17,'实盘净值数据(iFinD公式)'!$B551:$AA551/'实盘净值数据(iFinD公式)'!$B$20:$AA$20)*(1-实盘持仓初始配置!$Z$4)^(('实盘净值数据(iFinD公式)'!$A551-'实盘净值数据(iFinD公式)'!$A$6)/365))</x:f>
        <x:v>#NAME?</x:v>
      </x:c>
      <x:c r="C551" s="152" t="e">
        <x:f>IF(OR(B550="",B551=""),"",B551/B550-1)</x:f>
        <x:v>#NAME?</x:v>
      </x:c>
      <x:c r="D551" s="152" t="e">
        <x:f>IF(B551="","",B551/MAX(B$5:B551)-1)</x:f>
        <x:v>#NAME?</x:v>
      </x:c>
      <x:c r="E551" s="146" t="e">
        <x:f>IF(OR('实盘净值数据(iFinD公式)'!$A551="",'实盘净值数据(iFinD公式)'!$B551=""),"",分期持仓明细!$AD$18*SUMPRODUCT(分期持仓明细!$B$18:$AA$18,'实盘净值数据(iFinD公式)'!$B551:$AA551/'实盘净值数据(iFinD公式)'!$B$20:$AA$20)*(1-实盘持仓初始配置!$Z$5)^(('实盘净值数据(iFinD公式)'!$A551-'实盘净值数据(iFinD公式)'!$A$5)/365))</x:f>
        <x:v>#NAME?</x:v>
      </x:c>
      <x:c r="F551" s="152" t="e">
        <x:f>IF(OR(E550="",E551=""),"",E551/E550-1)</x:f>
        <x:v>#NAME?</x:v>
      </x:c>
      <x:c r="G551" s="152" t="e">
        <x:f>IF(E551="","",E551/MAX(E$5:E551)-1)</x:f>
        <x:v>#NAME?</x:v>
      </x:c>
      <x:c r="H551" s="146" t="e">
        <x:f>IF(OR('实盘净值数据(iFinD公式)'!$A551="",'实盘净值数据(iFinD公式)'!$B551=""),"",分期持仓明细!$AD$19*SUMPRODUCT(分期持仓明细!$B$19:$AA$19,'实盘净值数据(iFinD公式)'!$B551:$AA551/'实盘净值数据(iFinD公式)'!$B$20:$AA$20)*(1-实盘持仓初始配置!$Z$6)^(('实盘净值数据(iFinD公式)'!$A551-'实盘净值数据(iFinD公式)'!$A$7)/365))</x:f>
        <x:v>#NAME?</x:v>
      </x:c>
      <x:c r="I551" s="152" t="e">
        <x:f>IF(OR(H550="",H551=""),"",H551/H550-1)</x:f>
        <x:v>#NAME?</x:v>
      </x:c>
      <x:c r="J551" s="152" t="e">
        <x:f>IF(H551="","",H551/MAX(H$5:H551)-1)</x:f>
        <x:v>#NAME?</x:v>
      </x:c>
      <x:c r="K551" s="146" t="e">
        <x:f>IF(OR('实盘净值数据(iFinD公式)'!$A551="",'实盘净值数据(iFinD公式)'!$B551=""),"",分期持仓明细!$AD$23*SUMPRODUCT(分期持仓明细!$B$23:$AA$23,'实盘净值数据(iFinD公式)'!$B551:$AA551/'实盘净值数据(iFinD公式)'!$B$65:$AA$65)*(1-实盘持仓初始配置!$Z$7)^(('实盘净值数据(iFinD公式)'!$A551-'实盘净值数据(iFinD公式)'!$A$8)/365))</x:f>
        <x:v>#NAME?</x:v>
      </x:c>
      <x:c r="L551" s="152" t="e">
        <x:f>IF(OR(K550="",K551=""),"",K551/K550-1)</x:f>
        <x:v>#NAME?</x:v>
      </x:c>
      <x:c r="M551" s="152" t="e">
        <x:f>IF(K551="","",K551/MAX(K$5:K551)-1)</x:f>
        <x:v>#NAME?</x:v>
      </x:c>
      <x:c r="N551" s="146" t="e">
        <x:f>IF(OR('实盘净值数据(iFinD公式)'!$A551="",'实盘净值数据(iFinD公式)'!$B551=""),"",分期持仓明细!$AD$24*SUMPRODUCT(分期持仓明细!$B$24:$AA$24,'实盘净值数据(iFinD公式)'!$B551:$AA551/'实盘净值数据(iFinD公式)'!$B$65:$AA$65)*(1-实盘持仓初始配置!$Z$8)^(('实盘净值数据(iFinD公式)'!$A551-'实盘净值数据(iFinD公式)'!$A$5)/365))</x:f>
        <x:v>#NAME?</x:v>
      </x:c>
      <x:c r="O551" s="152" t="e">
        <x:f>IF(OR(N550="",N551=""),"",N551/N550-1)</x:f>
        <x:v>#NAME?</x:v>
      </x:c>
      <x:c r="P551" s="152" t="e">
        <x:f>IF(N551="","",N551/MAX(N$5:N551)-1)</x:f>
        <x:v>#NAME?</x:v>
      </x:c>
      <x:c r="Q551" s="146" t="e">
        <x:f>IF(OR('实盘净值数据(iFinD公式)'!$A551="",'实盘净值数据(iFinD公式)'!$B551=""),"",分期持仓明细!$AD$25*SUMPRODUCT(分期持仓明细!$B$25:$AA$25,'实盘净值数据(iFinD公式)'!$B551:$AA551/'实盘净值数据(iFinD公式)'!$B$65:$AA$65)*(1-实盘持仓初始配置!$Z$9)^(('实盘净值数据(iFinD公式)'!$A551-'实盘净值数据(iFinD公式)'!$A$8)/365))</x:f>
        <x:v>#NAME?</x:v>
      </x:c>
      <x:c r="R551" s="152" t="e">
        <x:f>IF(OR(Q550="",Q551=""),"",Q551/Q550-1)</x:f>
        <x:v>#NAME?</x:v>
      </x:c>
      <x:c r="S551" s="152" t="e">
        <x:f>IF(Q551="","",Q551/MAX(Q$5:Q551)-1)</x:f>
        <x:v>#NAME?</x:v>
      </x:c>
    </x:row>
    <x:row r="552">
      <x:c r="A552" s="149" t="str">
        <x:f>IF('实盘净值数据(iFinD公式)'!A552="","",'实盘净值数据(iFinD公式)'!A552)</x:f>
      </x:c>
      <x:c r="B552" s="146" t="e">
        <x:f>IF(OR('实盘净值数据(iFinD公式)'!$A552="",'实盘净值数据(iFinD公式)'!$B552=""),"",分期持仓明细!$AD$17*SUMPRODUCT(分期持仓明细!$B$17:$AA$17,'实盘净值数据(iFinD公式)'!$B552:$AA552/'实盘净值数据(iFinD公式)'!$B$20:$AA$20)*(1-实盘持仓初始配置!$Z$4)^(('实盘净值数据(iFinD公式)'!$A552-'实盘净值数据(iFinD公式)'!$A$6)/365))</x:f>
        <x:v>#NAME?</x:v>
      </x:c>
      <x:c r="C552" s="152" t="e">
        <x:f>IF(OR(B551="",B552=""),"",B552/B551-1)</x:f>
        <x:v>#NAME?</x:v>
      </x:c>
      <x:c r="D552" s="152" t="e">
        <x:f>IF(B552="","",B552/MAX(B$5:B552)-1)</x:f>
        <x:v>#NAME?</x:v>
      </x:c>
      <x:c r="E552" s="146" t="e">
        <x:f>IF(OR('实盘净值数据(iFinD公式)'!$A552="",'实盘净值数据(iFinD公式)'!$B552=""),"",分期持仓明细!$AD$18*SUMPRODUCT(分期持仓明细!$B$18:$AA$18,'实盘净值数据(iFinD公式)'!$B552:$AA552/'实盘净值数据(iFinD公式)'!$B$20:$AA$20)*(1-实盘持仓初始配置!$Z$5)^(('实盘净值数据(iFinD公式)'!$A552-'实盘净值数据(iFinD公式)'!$A$5)/365))</x:f>
        <x:v>#NAME?</x:v>
      </x:c>
      <x:c r="F552" s="152" t="e">
        <x:f>IF(OR(E551="",E552=""),"",E552/E551-1)</x:f>
        <x:v>#NAME?</x:v>
      </x:c>
      <x:c r="G552" s="152" t="e">
        <x:f>IF(E552="","",E552/MAX(E$5:E552)-1)</x:f>
        <x:v>#NAME?</x:v>
      </x:c>
      <x:c r="H552" s="146" t="e">
        <x:f>IF(OR('实盘净值数据(iFinD公式)'!$A552="",'实盘净值数据(iFinD公式)'!$B552=""),"",分期持仓明细!$AD$19*SUMPRODUCT(分期持仓明细!$B$19:$AA$19,'实盘净值数据(iFinD公式)'!$B552:$AA552/'实盘净值数据(iFinD公式)'!$B$20:$AA$20)*(1-实盘持仓初始配置!$Z$6)^(('实盘净值数据(iFinD公式)'!$A552-'实盘净值数据(iFinD公式)'!$A$7)/365))</x:f>
        <x:v>#NAME?</x:v>
      </x:c>
      <x:c r="I552" s="152" t="e">
        <x:f>IF(OR(H551="",H552=""),"",H552/H551-1)</x:f>
        <x:v>#NAME?</x:v>
      </x:c>
      <x:c r="J552" s="152" t="e">
        <x:f>IF(H552="","",H552/MAX(H$5:H552)-1)</x:f>
        <x:v>#NAME?</x:v>
      </x:c>
      <x:c r="K552" s="146" t="e">
        <x:f>IF(OR('实盘净值数据(iFinD公式)'!$A552="",'实盘净值数据(iFinD公式)'!$B552=""),"",分期持仓明细!$AD$23*SUMPRODUCT(分期持仓明细!$B$23:$AA$23,'实盘净值数据(iFinD公式)'!$B552:$AA552/'实盘净值数据(iFinD公式)'!$B$65:$AA$65)*(1-实盘持仓初始配置!$Z$7)^(('实盘净值数据(iFinD公式)'!$A552-'实盘净值数据(iFinD公式)'!$A$8)/365))</x:f>
        <x:v>#NAME?</x:v>
      </x:c>
      <x:c r="L552" s="152" t="e">
        <x:f>IF(OR(K551="",K552=""),"",K552/K551-1)</x:f>
        <x:v>#NAME?</x:v>
      </x:c>
      <x:c r="M552" s="152" t="e">
        <x:f>IF(K552="","",K552/MAX(K$5:K552)-1)</x:f>
        <x:v>#NAME?</x:v>
      </x:c>
      <x:c r="N552" s="146" t="e">
        <x:f>IF(OR('实盘净值数据(iFinD公式)'!$A552="",'实盘净值数据(iFinD公式)'!$B552=""),"",分期持仓明细!$AD$24*SUMPRODUCT(分期持仓明细!$B$24:$AA$24,'实盘净值数据(iFinD公式)'!$B552:$AA552/'实盘净值数据(iFinD公式)'!$B$65:$AA$65)*(1-实盘持仓初始配置!$Z$8)^(('实盘净值数据(iFinD公式)'!$A552-'实盘净值数据(iFinD公式)'!$A$5)/365))</x:f>
        <x:v>#NAME?</x:v>
      </x:c>
      <x:c r="O552" s="152" t="e">
        <x:f>IF(OR(N551="",N552=""),"",N552/N551-1)</x:f>
        <x:v>#NAME?</x:v>
      </x:c>
      <x:c r="P552" s="152" t="e">
        <x:f>IF(N552="","",N552/MAX(N$5:N552)-1)</x:f>
        <x:v>#NAME?</x:v>
      </x:c>
      <x:c r="Q552" s="146" t="e">
        <x:f>IF(OR('实盘净值数据(iFinD公式)'!$A552="",'实盘净值数据(iFinD公式)'!$B552=""),"",分期持仓明细!$AD$25*SUMPRODUCT(分期持仓明细!$B$25:$AA$25,'实盘净值数据(iFinD公式)'!$B552:$AA552/'实盘净值数据(iFinD公式)'!$B$65:$AA$65)*(1-实盘持仓初始配置!$Z$9)^(('实盘净值数据(iFinD公式)'!$A552-'实盘净值数据(iFinD公式)'!$A$8)/365))</x:f>
        <x:v>#NAME?</x:v>
      </x:c>
      <x:c r="R552" s="152" t="e">
        <x:f>IF(OR(Q551="",Q552=""),"",Q552/Q551-1)</x:f>
        <x:v>#NAME?</x:v>
      </x:c>
      <x:c r="S552" s="152" t="e">
        <x:f>IF(Q552="","",Q552/MAX(Q$5:Q552)-1)</x:f>
        <x:v>#NAME?</x:v>
      </x:c>
    </x:row>
    <x:row r="553">
      <x:c r="A553" s="149" t="str">
        <x:f>IF('实盘净值数据(iFinD公式)'!A553="","",'实盘净值数据(iFinD公式)'!A553)</x:f>
      </x:c>
      <x:c r="B553" s="146" t="e">
        <x:f>IF(OR('实盘净值数据(iFinD公式)'!$A553="",'实盘净值数据(iFinD公式)'!$B553=""),"",分期持仓明细!$AD$17*SUMPRODUCT(分期持仓明细!$B$17:$AA$17,'实盘净值数据(iFinD公式)'!$B553:$AA553/'实盘净值数据(iFinD公式)'!$B$20:$AA$20)*(1-实盘持仓初始配置!$Z$4)^(('实盘净值数据(iFinD公式)'!$A553-'实盘净值数据(iFinD公式)'!$A$6)/365))</x:f>
        <x:v>#NAME?</x:v>
      </x:c>
      <x:c r="C553" s="152" t="e">
        <x:f>IF(OR(B552="",B553=""),"",B553/B552-1)</x:f>
        <x:v>#NAME?</x:v>
      </x:c>
      <x:c r="D553" s="152" t="e">
        <x:f>IF(B553="","",B553/MAX(B$5:B553)-1)</x:f>
        <x:v>#NAME?</x:v>
      </x:c>
      <x:c r="E553" s="146" t="e">
        <x:f>IF(OR('实盘净值数据(iFinD公式)'!$A553="",'实盘净值数据(iFinD公式)'!$B553=""),"",分期持仓明细!$AD$18*SUMPRODUCT(分期持仓明细!$B$18:$AA$18,'实盘净值数据(iFinD公式)'!$B553:$AA553/'实盘净值数据(iFinD公式)'!$B$20:$AA$20)*(1-实盘持仓初始配置!$Z$5)^(('实盘净值数据(iFinD公式)'!$A553-'实盘净值数据(iFinD公式)'!$A$5)/365))</x:f>
        <x:v>#NAME?</x:v>
      </x:c>
      <x:c r="F553" s="152" t="e">
        <x:f>IF(OR(E552="",E553=""),"",E553/E552-1)</x:f>
        <x:v>#NAME?</x:v>
      </x:c>
      <x:c r="G553" s="152" t="e">
        <x:f>IF(E553="","",E553/MAX(E$5:E553)-1)</x:f>
        <x:v>#NAME?</x:v>
      </x:c>
      <x:c r="H553" s="146" t="e">
        <x:f>IF(OR('实盘净值数据(iFinD公式)'!$A553="",'实盘净值数据(iFinD公式)'!$B553=""),"",分期持仓明细!$AD$19*SUMPRODUCT(分期持仓明细!$B$19:$AA$19,'实盘净值数据(iFinD公式)'!$B553:$AA553/'实盘净值数据(iFinD公式)'!$B$20:$AA$20)*(1-实盘持仓初始配置!$Z$6)^(('实盘净值数据(iFinD公式)'!$A553-'实盘净值数据(iFinD公式)'!$A$7)/365))</x:f>
        <x:v>#NAME?</x:v>
      </x:c>
      <x:c r="I553" s="152" t="e">
        <x:f>IF(OR(H552="",H553=""),"",H553/H552-1)</x:f>
        <x:v>#NAME?</x:v>
      </x:c>
      <x:c r="J553" s="152" t="e">
        <x:f>IF(H553="","",H553/MAX(H$5:H553)-1)</x:f>
        <x:v>#NAME?</x:v>
      </x:c>
      <x:c r="K553" s="146" t="e">
        <x:f>IF(OR('实盘净值数据(iFinD公式)'!$A553="",'实盘净值数据(iFinD公式)'!$B553=""),"",分期持仓明细!$AD$23*SUMPRODUCT(分期持仓明细!$B$23:$AA$23,'实盘净值数据(iFinD公式)'!$B553:$AA553/'实盘净值数据(iFinD公式)'!$B$65:$AA$65)*(1-实盘持仓初始配置!$Z$7)^(('实盘净值数据(iFinD公式)'!$A553-'实盘净值数据(iFinD公式)'!$A$8)/365))</x:f>
        <x:v>#NAME?</x:v>
      </x:c>
      <x:c r="L553" s="152" t="e">
        <x:f>IF(OR(K552="",K553=""),"",K553/K552-1)</x:f>
        <x:v>#NAME?</x:v>
      </x:c>
      <x:c r="M553" s="152" t="e">
        <x:f>IF(K553="","",K553/MAX(K$5:K553)-1)</x:f>
        <x:v>#NAME?</x:v>
      </x:c>
      <x:c r="N553" s="146" t="e">
        <x:f>IF(OR('实盘净值数据(iFinD公式)'!$A553="",'实盘净值数据(iFinD公式)'!$B553=""),"",分期持仓明细!$AD$24*SUMPRODUCT(分期持仓明细!$B$24:$AA$24,'实盘净值数据(iFinD公式)'!$B553:$AA553/'实盘净值数据(iFinD公式)'!$B$65:$AA$65)*(1-实盘持仓初始配置!$Z$8)^(('实盘净值数据(iFinD公式)'!$A553-'实盘净值数据(iFinD公式)'!$A$5)/365))</x:f>
        <x:v>#NAME?</x:v>
      </x:c>
      <x:c r="O553" s="152" t="e">
        <x:f>IF(OR(N552="",N553=""),"",N553/N552-1)</x:f>
        <x:v>#NAME?</x:v>
      </x:c>
      <x:c r="P553" s="152" t="e">
        <x:f>IF(N553="","",N553/MAX(N$5:N553)-1)</x:f>
        <x:v>#NAME?</x:v>
      </x:c>
      <x:c r="Q553" s="146" t="e">
        <x:f>IF(OR('实盘净值数据(iFinD公式)'!$A553="",'实盘净值数据(iFinD公式)'!$B553=""),"",分期持仓明细!$AD$25*SUMPRODUCT(分期持仓明细!$B$25:$AA$25,'实盘净值数据(iFinD公式)'!$B553:$AA553/'实盘净值数据(iFinD公式)'!$B$65:$AA$65)*(1-实盘持仓初始配置!$Z$9)^(('实盘净值数据(iFinD公式)'!$A553-'实盘净值数据(iFinD公式)'!$A$8)/365))</x:f>
        <x:v>#NAME?</x:v>
      </x:c>
      <x:c r="R553" s="152" t="e">
        <x:f>IF(OR(Q552="",Q553=""),"",Q553/Q552-1)</x:f>
        <x:v>#NAME?</x:v>
      </x:c>
      <x:c r="S553" s="152" t="e">
        <x:f>IF(Q553="","",Q553/MAX(Q$5:Q553)-1)</x:f>
        <x:v>#NAME?</x:v>
      </x:c>
    </x:row>
    <x:row r="554">
      <x:c r="A554" s="149" t="str">
        <x:f>IF('实盘净值数据(iFinD公式)'!A554="","",'实盘净值数据(iFinD公式)'!A554)</x:f>
      </x:c>
      <x:c r="B554" s="146" t="e">
        <x:f>IF(OR('实盘净值数据(iFinD公式)'!$A554="",'实盘净值数据(iFinD公式)'!$B554=""),"",分期持仓明细!$AD$17*SUMPRODUCT(分期持仓明细!$B$17:$AA$17,'实盘净值数据(iFinD公式)'!$B554:$AA554/'实盘净值数据(iFinD公式)'!$B$20:$AA$20)*(1-实盘持仓初始配置!$Z$4)^(('实盘净值数据(iFinD公式)'!$A554-'实盘净值数据(iFinD公式)'!$A$6)/365))</x:f>
        <x:v>#NAME?</x:v>
      </x:c>
      <x:c r="C554" s="152" t="e">
        <x:f>IF(OR(B553="",B554=""),"",B554/B553-1)</x:f>
        <x:v>#NAME?</x:v>
      </x:c>
      <x:c r="D554" s="152" t="e">
        <x:f>IF(B554="","",B554/MAX(B$5:B554)-1)</x:f>
        <x:v>#NAME?</x:v>
      </x:c>
      <x:c r="E554" s="146" t="e">
        <x:f>IF(OR('实盘净值数据(iFinD公式)'!$A554="",'实盘净值数据(iFinD公式)'!$B554=""),"",分期持仓明细!$AD$18*SUMPRODUCT(分期持仓明细!$B$18:$AA$18,'实盘净值数据(iFinD公式)'!$B554:$AA554/'实盘净值数据(iFinD公式)'!$B$20:$AA$20)*(1-实盘持仓初始配置!$Z$5)^(('实盘净值数据(iFinD公式)'!$A554-'实盘净值数据(iFinD公式)'!$A$5)/365))</x:f>
        <x:v>#NAME?</x:v>
      </x:c>
      <x:c r="F554" s="152" t="e">
        <x:f>IF(OR(E553="",E554=""),"",E554/E553-1)</x:f>
        <x:v>#NAME?</x:v>
      </x:c>
      <x:c r="G554" s="152" t="e">
        <x:f>IF(E554="","",E554/MAX(E$5:E554)-1)</x:f>
        <x:v>#NAME?</x:v>
      </x:c>
      <x:c r="H554" s="146" t="e">
        <x:f>IF(OR('实盘净值数据(iFinD公式)'!$A554="",'实盘净值数据(iFinD公式)'!$B554=""),"",分期持仓明细!$AD$19*SUMPRODUCT(分期持仓明细!$B$19:$AA$19,'实盘净值数据(iFinD公式)'!$B554:$AA554/'实盘净值数据(iFinD公式)'!$B$20:$AA$20)*(1-实盘持仓初始配置!$Z$6)^(('实盘净值数据(iFinD公式)'!$A554-'实盘净值数据(iFinD公式)'!$A$7)/365))</x:f>
        <x:v>#NAME?</x:v>
      </x:c>
      <x:c r="I554" s="152" t="e">
        <x:f>IF(OR(H553="",H554=""),"",H554/H553-1)</x:f>
        <x:v>#NAME?</x:v>
      </x:c>
      <x:c r="J554" s="152" t="e">
        <x:f>IF(H554="","",H554/MAX(H$5:H554)-1)</x:f>
        <x:v>#NAME?</x:v>
      </x:c>
      <x:c r="K554" s="146" t="e">
        <x:f>IF(OR('实盘净值数据(iFinD公式)'!$A554="",'实盘净值数据(iFinD公式)'!$B554=""),"",分期持仓明细!$AD$23*SUMPRODUCT(分期持仓明细!$B$23:$AA$23,'实盘净值数据(iFinD公式)'!$B554:$AA554/'实盘净值数据(iFinD公式)'!$B$65:$AA$65)*(1-实盘持仓初始配置!$Z$7)^(('实盘净值数据(iFinD公式)'!$A554-'实盘净值数据(iFinD公式)'!$A$8)/365))</x:f>
        <x:v>#NAME?</x:v>
      </x:c>
      <x:c r="L554" s="152" t="e">
        <x:f>IF(OR(K553="",K554=""),"",K554/K553-1)</x:f>
        <x:v>#NAME?</x:v>
      </x:c>
      <x:c r="M554" s="152" t="e">
        <x:f>IF(K554="","",K554/MAX(K$5:K554)-1)</x:f>
        <x:v>#NAME?</x:v>
      </x:c>
      <x:c r="N554" s="146" t="e">
        <x:f>IF(OR('实盘净值数据(iFinD公式)'!$A554="",'实盘净值数据(iFinD公式)'!$B554=""),"",分期持仓明细!$AD$24*SUMPRODUCT(分期持仓明细!$B$24:$AA$24,'实盘净值数据(iFinD公式)'!$B554:$AA554/'实盘净值数据(iFinD公式)'!$B$65:$AA$65)*(1-实盘持仓初始配置!$Z$8)^(('实盘净值数据(iFinD公式)'!$A554-'实盘净值数据(iFinD公式)'!$A$5)/365))</x:f>
        <x:v>#NAME?</x:v>
      </x:c>
      <x:c r="O554" s="152" t="e">
        <x:f>IF(OR(N553="",N554=""),"",N554/N553-1)</x:f>
        <x:v>#NAME?</x:v>
      </x:c>
      <x:c r="P554" s="152" t="e">
        <x:f>IF(N554="","",N554/MAX(N$5:N554)-1)</x:f>
        <x:v>#NAME?</x:v>
      </x:c>
      <x:c r="Q554" s="146" t="e">
        <x:f>IF(OR('实盘净值数据(iFinD公式)'!$A554="",'实盘净值数据(iFinD公式)'!$B554=""),"",分期持仓明细!$AD$25*SUMPRODUCT(分期持仓明细!$B$25:$AA$25,'实盘净值数据(iFinD公式)'!$B554:$AA554/'实盘净值数据(iFinD公式)'!$B$65:$AA$65)*(1-实盘持仓初始配置!$Z$9)^(('实盘净值数据(iFinD公式)'!$A554-'实盘净值数据(iFinD公式)'!$A$8)/365))</x:f>
        <x:v>#NAME?</x:v>
      </x:c>
      <x:c r="R554" s="152" t="e">
        <x:f>IF(OR(Q553="",Q554=""),"",Q554/Q553-1)</x:f>
        <x:v>#NAME?</x:v>
      </x:c>
      <x:c r="S554" s="152" t="e">
        <x:f>IF(Q554="","",Q554/MAX(Q$5:Q554)-1)</x:f>
        <x:v>#NAME?</x:v>
      </x:c>
    </x:row>
    <x:row r="555">
      <x:c r="A555" s="149" t="str">
        <x:f>IF('实盘净值数据(iFinD公式)'!A555="","",'实盘净值数据(iFinD公式)'!A555)</x:f>
      </x:c>
      <x:c r="B555" s="146" t="e">
        <x:f>IF(OR('实盘净值数据(iFinD公式)'!$A555="",'实盘净值数据(iFinD公式)'!$B555=""),"",分期持仓明细!$AD$17*SUMPRODUCT(分期持仓明细!$B$17:$AA$17,'实盘净值数据(iFinD公式)'!$B555:$AA555/'实盘净值数据(iFinD公式)'!$B$20:$AA$20)*(1-实盘持仓初始配置!$Z$4)^(('实盘净值数据(iFinD公式)'!$A555-'实盘净值数据(iFinD公式)'!$A$6)/365))</x:f>
        <x:v>#NAME?</x:v>
      </x:c>
      <x:c r="C555" s="152" t="e">
        <x:f>IF(OR(B554="",B555=""),"",B555/B554-1)</x:f>
        <x:v>#NAME?</x:v>
      </x:c>
      <x:c r="D555" s="152" t="e">
        <x:f>IF(B555="","",B555/MAX(B$5:B555)-1)</x:f>
        <x:v>#NAME?</x:v>
      </x:c>
      <x:c r="E555" s="146" t="e">
        <x:f>IF(OR('实盘净值数据(iFinD公式)'!$A555="",'实盘净值数据(iFinD公式)'!$B555=""),"",分期持仓明细!$AD$18*SUMPRODUCT(分期持仓明细!$B$18:$AA$18,'实盘净值数据(iFinD公式)'!$B555:$AA555/'实盘净值数据(iFinD公式)'!$B$20:$AA$20)*(1-实盘持仓初始配置!$Z$5)^(('实盘净值数据(iFinD公式)'!$A555-'实盘净值数据(iFinD公式)'!$A$5)/365))</x:f>
        <x:v>#NAME?</x:v>
      </x:c>
      <x:c r="F555" s="152" t="e">
        <x:f>IF(OR(E554="",E555=""),"",E555/E554-1)</x:f>
        <x:v>#NAME?</x:v>
      </x:c>
      <x:c r="G555" s="152" t="e">
        <x:f>IF(E555="","",E555/MAX(E$5:E555)-1)</x:f>
        <x:v>#NAME?</x:v>
      </x:c>
      <x:c r="H555" s="146" t="e">
        <x:f>IF(OR('实盘净值数据(iFinD公式)'!$A555="",'实盘净值数据(iFinD公式)'!$B555=""),"",分期持仓明细!$AD$19*SUMPRODUCT(分期持仓明细!$B$19:$AA$19,'实盘净值数据(iFinD公式)'!$B555:$AA555/'实盘净值数据(iFinD公式)'!$B$20:$AA$20)*(1-实盘持仓初始配置!$Z$6)^(('实盘净值数据(iFinD公式)'!$A555-'实盘净值数据(iFinD公式)'!$A$7)/365))</x:f>
        <x:v>#NAME?</x:v>
      </x:c>
      <x:c r="I555" s="152" t="e">
        <x:f>IF(OR(H554="",H555=""),"",H555/H554-1)</x:f>
        <x:v>#NAME?</x:v>
      </x:c>
      <x:c r="J555" s="152" t="e">
        <x:f>IF(H555="","",H555/MAX(H$5:H555)-1)</x:f>
        <x:v>#NAME?</x:v>
      </x:c>
      <x:c r="K555" s="146" t="e">
        <x:f>IF(OR('实盘净值数据(iFinD公式)'!$A555="",'实盘净值数据(iFinD公式)'!$B555=""),"",分期持仓明细!$AD$23*SUMPRODUCT(分期持仓明细!$B$23:$AA$23,'实盘净值数据(iFinD公式)'!$B555:$AA555/'实盘净值数据(iFinD公式)'!$B$65:$AA$65)*(1-实盘持仓初始配置!$Z$7)^(('实盘净值数据(iFinD公式)'!$A555-'实盘净值数据(iFinD公式)'!$A$8)/365))</x:f>
        <x:v>#NAME?</x:v>
      </x:c>
      <x:c r="L555" s="152" t="e">
        <x:f>IF(OR(K554="",K555=""),"",K555/K554-1)</x:f>
        <x:v>#NAME?</x:v>
      </x:c>
      <x:c r="M555" s="152" t="e">
        <x:f>IF(K555="","",K555/MAX(K$5:K555)-1)</x:f>
        <x:v>#NAME?</x:v>
      </x:c>
      <x:c r="N555" s="146" t="e">
        <x:f>IF(OR('实盘净值数据(iFinD公式)'!$A555="",'实盘净值数据(iFinD公式)'!$B555=""),"",分期持仓明细!$AD$24*SUMPRODUCT(分期持仓明细!$B$24:$AA$24,'实盘净值数据(iFinD公式)'!$B555:$AA555/'实盘净值数据(iFinD公式)'!$B$65:$AA$65)*(1-实盘持仓初始配置!$Z$8)^(('实盘净值数据(iFinD公式)'!$A555-'实盘净值数据(iFinD公式)'!$A$5)/365))</x:f>
        <x:v>#NAME?</x:v>
      </x:c>
      <x:c r="O555" s="152" t="e">
        <x:f>IF(OR(N554="",N555=""),"",N555/N554-1)</x:f>
        <x:v>#NAME?</x:v>
      </x:c>
      <x:c r="P555" s="152" t="e">
        <x:f>IF(N555="","",N555/MAX(N$5:N555)-1)</x:f>
        <x:v>#NAME?</x:v>
      </x:c>
      <x:c r="Q555" s="146" t="e">
        <x:f>IF(OR('实盘净值数据(iFinD公式)'!$A555="",'实盘净值数据(iFinD公式)'!$B555=""),"",分期持仓明细!$AD$25*SUMPRODUCT(分期持仓明细!$B$25:$AA$25,'实盘净值数据(iFinD公式)'!$B555:$AA555/'实盘净值数据(iFinD公式)'!$B$65:$AA$65)*(1-实盘持仓初始配置!$Z$9)^(('实盘净值数据(iFinD公式)'!$A555-'实盘净值数据(iFinD公式)'!$A$8)/365))</x:f>
        <x:v>#NAME?</x:v>
      </x:c>
      <x:c r="R555" s="152" t="e">
        <x:f>IF(OR(Q554="",Q555=""),"",Q555/Q554-1)</x:f>
        <x:v>#NAME?</x:v>
      </x:c>
      <x:c r="S555" s="152" t="e">
        <x:f>IF(Q555="","",Q555/MAX(Q$5:Q555)-1)</x:f>
        <x:v>#NAME?</x:v>
      </x:c>
    </x:row>
    <x:row r="556">
      <x:c r="A556" s="149" t="str">
        <x:f>IF('实盘净值数据(iFinD公式)'!A556="","",'实盘净值数据(iFinD公式)'!A556)</x:f>
      </x:c>
      <x:c r="B556" s="146" t="e">
        <x:f>IF(OR('实盘净值数据(iFinD公式)'!$A556="",'实盘净值数据(iFinD公式)'!$B556=""),"",分期持仓明细!$AD$17*SUMPRODUCT(分期持仓明细!$B$17:$AA$17,'实盘净值数据(iFinD公式)'!$B556:$AA556/'实盘净值数据(iFinD公式)'!$B$20:$AA$20)*(1-实盘持仓初始配置!$Z$4)^(('实盘净值数据(iFinD公式)'!$A556-'实盘净值数据(iFinD公式)'!$A$6)/365))</x:f>
        <x:v>#NAME?</x:v>
      </x:c>
      <x:c r="C556" s="152" t="e">
        <x:f>IF(OR(B555="",B556=""),"",B556/B555-1)</x:f>
        <x:v>#NAME?</x:v>
      </x:c>
      <x:c r="D556" s="152" t="e">
        <x:f>IF(B556="","",B556/MAX(B$5:B556)-1)</x:f>
        <x:v>#NAME?</x:v>
      </x:c>
      <x:c r="E556" s="146" t="e">
        <x:f>IF(OR('实盘净值数据(iFinD公式)'!$A556="",'实盘净值数据(iFinD公式)'!$B556=""),"",分期持仓明细!$AD$18*SUMPRODUCT(分期持仓明细!$B$18:$AA$18,'实盘净值数据(iFinD公式)'!$B556:$AA556/'实盘净值数据(iFinD公式)'!$B$20:$AA$20)*(1-实盘持仓初始配置!$Z$5)^(('实盘净值数据(iFinD公式)'!$A556-'实盘净值数据(iFinD公式)'!$A$5)/365))</x:f>
        <x:v>#NAME?</x:v>
      </x:c>
      <x:c r="F556" s="152" t="e">
        <x:f>IF(OR(E555="",E556=""),"",E556/E555-1)</x:f>
        <x:v>#NAME?</x:v>
      </x:c>
      <x:c r="G556" s="152" t="e">
        <x:f>IF(E556="","",E556/MAX(E$5:E556)-1)</x:f>
        <x:v>#NAME?</x:v>
      </x:c>
      <x:c r="H556" s="146" t="e">
        <x:f>IF(OR('实盘净值数据(iFinD公式)'!$A556="",'实盘净值数据(iFinD公式)'!$B556=""),"",分期持仓明细!$AD$19*SUMPRODUCT(分期持仓明细!$B$19:$AA$19,'实盘净值数据(iFinD公式)'!$B556:$AA556/'实盘净值数据(iFinD公式)'!$B$20:$AA$20)*(1-实盘持仓初始配置!$Z$6)^(('实盘净值数据(iFinD公式)'!$A556-'实盘净值数据(iFinD公式)'!$A$7)/365))</x:f>
        <x:v>#NAME?</x:v>
      </x:c>
      <x:c r="I556" s="152" t="e">
        <x:f>IF(OR(H555="",H556=""),"",H556/H555-1)</x:f>
        <x:v>#NAME?</x:v>
      </x:c>
      <x:c r="J556" s="152" t="e">
        <x:f>IF(H556="","",H556/MAX(H$5:H556)-1)</x:f>
        <x:v>#NAME?</x:v>
      </x:c>
      <x:c r="K556" s="146" t="e">
        <x:f>IF(OR('实盘净值数据(iFinD公式)'!$A556="",'实盘净值数据(iFinD公式)'!$B556=""),"",分期持仓明细!$AD$23*SUMPRODUCT(分期持仓明细!$B$23:$AA$23,'实盘净值数据(iFinD公式)'!$B556:$AA556/'实盘净值数据(iFinD公式)'!$B$65:$AA$65)*(1-实盘持仓初始配置!$Z$7)^(('实盘净值数据(iFinD公式)'!$A556-'实盘净值数据(iFinD公式)'!$A$8)/365))</x:f>
        <x:v>#NAME?</x:v>
      </x:c>
      <x:c r="L556" s="152" t="e">
        <x:f>IF(OR(K555="",K556=""),"",K556/K555-1)</x:f>
        <x:v>#NAME?</x:v>
      </x:c>
      <x:c r="M556" s="152" t="e">
        <x:f>IF(K556="","",K556/MAX(K$5:K556)-1)</x:f>
        <x:v>#NAME?</x:v>
      </x:c>
      <x:c r="N556" s="146" t="e">
        <x:f>IF(OR('实盘净值数据(iFinD公式)'!$A556="",'实盘净值数据(iFinD公式)'!$B556=""),"",分期持仓明细!$AD$24*SUMPRODUCT(分期持仓明细!$B$24:$AA$24,'实盘净值数据(iFinD公式)'!$B556:$AA556/'实盘净值数据(iFinD公式)'!$B$65:$AA$65)*(1-实盘持仓初始配置!$Z$8)^(('实盘净值数据(iFinD公式)'!$A556-'实盘净值数据(iFinD公式)'!$A$5)/365))</x:f>
        <x:v>#NAME?</x:v>
      </x:c>
      <x:c r="O556" s="152" t="e">
        <x:f>IF(OR(N555="",N556=""),"",N556/N555-1)</x:f>
        <x:v>#NAME?</x:v>
      </x:c>
      <x:c r="P556" s="152" t="e">
        <x:f>IF(N556="","",N556/MAX(N$5:N556)-1)</x:f>
        <x:v>#NAME?</x:v>
      </x:c>
      <x:c r="Q556" s="146" t="e">
        <x:f>IF(OR('实盘净值数据(iFinD公式)'!$A556="",'实盘净值数据(iFinD公式)'!$B556=""),"",分期持仓明细!$AD$25*SUMPRODUCT(分期持仓明细!$B$25:$AA$25,'实盘净值数据(iFinD公式)'!$B556:$AA556/'实盘净值数据(iFinD公式)'!$B$65:$AA$65)*(1-实盘持仓初始配置!$Z$9)^(('实盘净值数据(iFinD公式)'!$A556-'实盘净值数据(iFinD公式)'!$A$8)/365))</x:f>
        <x:v>#NAME?</x:v>
      </x:c>
      <x:c r="R556" s="152" t="e">
        <x:f>IF(OR(Q555="",Q556=""),"",Q556/Q555-1)</x:f>
        <x:v>#NAME?</x:v>
      </x:c>
      <x:c r="S556" s="152" t="e">
        <x:f>IF(Q556="","",Q556/MAX(Q$5:Q556)-1)</x:f>
        <x:v>#NAME?</x:v>
      </x:c>
    </x:row>
    <x:row r="557">
      <x:c r="A557" s="149" t="str">
        <x:f>IF('实盘净值数据(iFinD公式)'!A557="","",'实盘净值数据(iFinD公式)'!A557)</x:f>
      </x:c>
      <x:c r="B557" s="146" t="e">
        <x:f>IF(OR('实盘净值数据(iFinD公式)'!$A557="",'实盘净值数据(iFinD公式)'!$B557=""),"",分期持仓明细!$AD$17*SUMPRODUCT(分期持仓明细!$B$17:$AA$17,'实盘净值数据(iFinD公式)'!$B557:$AA557/'实盘净值数据(iFinD公式)'!$B$20:$AA$20)*(1-实盘持仓初始配置!$Z$4)^(('实盘净值数据(iFinD公式)'!$A557-'实盘净值数据(iFinD公式)'!$A$6)/365))</x:f>
        <x:v>#NAME?</x:v>
      </x:c>
      <x:c r="C557" s="152" t="e">
        <x:f>IF(OR(B556="",B557=""),"",B557/B556-1)</x:f>
        <x:v>#NAME?</x:v>
      </x:c>
      <x:c r="D557" s="152" t="e">
        <x:f>IF(B557="","",B557/MAX(B$5:B557)-1)</x:f>
        <x:v>#NAME?</x:v>
      </x:c>
      <x:c r="E557" s="146" t="e">
        <x:f>IF(OR('实盘净值数据(iFinD公式)'!$A557="",'实盘净值数据(iFinD公式)'!$B557=""),"",分期持仓明细!$AD$18*SUMPRODUCT(分期持仓明细!$B$18:$AA$18,'实盘净值数据(iFinD公式)'!$B557:$AA557/'实盘净值数据(iFinD公式)'!$B$20:$AA$20)*(1-实盘持仓初始配置!$Z$5)^(('实盘净值数据(iFinD公式)'!$A557-'实盘净值数据(iFinD公式)'!$A$5)/365))</x:f>
        <x:v>#NAME?</x:v>
      </x:c>
      <x:c r="F557" s="152" t="e">
        <x:f>IF(OR(E556="",E557=""),"",E557/E556-1)</x:f>
        <x:v>#NAME?</x:v>
      </x:c>
      <x:c r="G557" s="152" t="e">
        <x:f>IF(E557="","",E557/MAX(E$5:E557)-1)</x:f>
        <x:v>#NAME?</x:v>
      </x:c>
      <x:c r="H557" s="146" t="e">
        <x:f>IF(OR('实盘净值数据(iFinD公式)'!$A557="",'实盘净值数据(iFinD公式)'!$B557=""),"",分期持仓明细!$AD$19*SUMPRODUCT(分期持仓明细!$B$19:$AA$19,'实盘净值数据(iFinD公式)'!$B557:$AA557/'实盘净值数据(iFinD公式)'!$B$20:$AA$20)*(1-实盘持仓初始配置!$Z$6)^(('实盘净值数据(iFinD公式)'!$A557-'实盘净值数据(iFinD公式)'!$A$7)/365))</x:f>
        <x:v>#NAME?</x:v>
      </x:c>
      <x:c r="I557" s="152" t="e">
        <x:f>IF(OR(H556="",H557=""),"",H557/H556-1)</x:f>
        <x:v>#NAME?</x:v>
      </x:c>
      <x:c r="J557" s="152" t="e">
        <x:f>IF(H557="","",H557/MAX(H$5:H557)-1)</x:f>
        <x:v>#NAME?</x:v>
      </x:c>
      <x:c r="K557" s="146" t="e">
        <x:f>IF(OR('实盘净值数据(iFinD公式)'!$A557="",'实盘净值数据(iFinD公式)'!$B557=""),"",分期持仓明细!$AD$23*SUMPRODUCT(分期持仓明细!$B$23:$AA$23,'实盘净值数据(iFinD公式)'!$B557:$AA557/'实盘净值数据(iFinD公式)'!$B$65:$AA$65)*(1-实盘持仓初始配置!$Z$7)^(('实盘净值数据(iFinD公式)'!$A557-'实盘净值数据(iFinD公式)'!$A$8)/365))</x:f>
        <x:v>#NAME?</x:v>
      </x:c>
      <x:c r="L557" s="152" t="e">
        <x:f>IF(OR(K556="",K557=""),"",K557/K556-1)</x:f>
        <x:v>#NAME?</x:v>
      </x:c>
      <x:c r="M557" s="152" t="e">
        <x:f>IF(K557="","",K557/MAX(K$5:K557)-1)</x:f>
        <x:v>#NAME?</x:v>
      </x:c>
      <x:c r="N557" s="146" t="e">
        <x:f>IF(OR('实盘净值数据(iFinD公式)'!$A557="",'实盘净值数据(iFinD公式)'!$B557=""),"",分期持仓明细!$AD$24*SUMPRODUCT(分期持仓明细!$B$24:$AA$24,'实盘净值数据(iFinD公式)'!$B557:$AA557/'实盘净值数据(iFinD公式)'!$B$65:$AA$65)*(1-实盘持仓初始配置!$Z$8)^(('实盘净值数据(iFinD公式)'!$A557-'实盘净值数据(iFinD公式)'!$A$5)/365))</x:f>
        <x:v>#NAME?</x:v>
      </x:c>
      <x:c r="O557" s="152" t="e">
        <x:f>IF(OR(N556="",N557=""),"",N557/N556-1)</x:f>
        <x:v>#NAME?</x:v>
      </x:c>
      <x:c r="P557" s="152" t="e">
        <x:f>IF(N557="","",N557/MAX(N$5:N557)-1)</x:f>
        <x:v>#NAME?</x:v>
      </x:c>
      <x:c r="Q557" s="146" t="e">
        <x:f>IF(OR('实盘净值数据(iFinD公式)'!$A557="",'实盘净值数据(iFinD公式)'!$B557=""),"",分期持仓明细!$AD$25*SUMPRODUCT(分期持仓明细!$B$25:$AA$25,'实盘净值数据(iFinD公式)'!$B557:$AA557/'实盘净值数据(iFinD公式)'!$B$65:$AA$65)*(1-实盘持仓初始配置!$Z$9)^(('实盘净值数据(iFinD公式)'!$A557-'实盘净值数据(iFinD公式)'!$A$8)/365))</x:f>
        <x:v>#NAME?</x:v>
      </x:c>
      <x:c r="R557" s="152" t="e">
        <x:f>IF(OR(Q556="",Q557=""),"",Q557/Q556-1)</x:f>
        <x:v>#NAME?</x:v>
      </x:c>
      <x:c r="S557" s="152" t="e">
        <x:f>IF(Q557="","",Q557/MAX(Q$5:Q557)-1)</x:f>
        <x:v>#NAME?</x:v>
      </x:c>
    </x:row>
    <x:row r="558">
      <x:c r="A558" s="149" t="str">
        <x:f>IF('实盘净值数据(iFinD公式)'!A558="","",'实盘净值数据(iFinD公式)'!A558)</x:f>
      </x:c>
      <x:c r="B558" s="146" t="e">
        <x:f>IF(OR('实盘净值数据(iFinD公式)'!$A558="",'实盘净值数据(iFinD公式)'!$B558=""),"",分期持仓明细!$AD$17*SUMPRODUCT(分期持仓明细!$B$17:$AA$17,'实盘净值数据(iFinD公式)'!$B558:$AA558/'实盘净值数据(iFinD公式)'!$B$20:$AA$20)*(1-实盘持仓初始配置!$Z$4)^(('实盘净值数据(iFinD公式)'!$A558-'实盘净值数据(iFinD公式)'!$A$6)/365))</x:f>
        <x:v>#NAME?</x:v>
      </x:c>
      <x:c r="C558" s="152" t="e">
        <x:f>IF(OR(B557="",B558=""),"",B558/B557-1)</x:f>
        <x:v>#NAME?</x:v>
      </x:c>
      <x:c r="D558" s="152" t="e">
        <x:f>IF(B558="","",B558/MAX(B$5:B558)-1)</x:f>
        <x:v>#NAME?</x:v>
      </x:c>
      <x:c r="E558" s="146" t="e">
        <x:f>IF(OR('实盘净值数据(iFinD公式)'!$A558="",'实盘净值数据(iFinD公式)'!$B558=""),"",分期持仓明细!$AD$18*SUMPRODUCT(分期持仓明细!$B$18:$AA$18,'实盘净值数据(iFinD公式)'!$B558:$AA558/'实盘净值数据(iFinD公式)'!$B$20:$AA$20)*(1-实盘持仓初始配置!$Z$5)^(('实盘净值数据(iFinD公式)'!$A558-'实盘净值数据(iFinD公式)'!$A$5)/365))</x:f>
        <x:v>#NAME?</x:v>
      </x:c>
      <x:c r="F558" s="152" t="e">
        <x:f>IF(OR(E557="",E558=""),"",E558/E557-1)</x:f>
        <x:v>#NAME?</x:v>
      </x:c>
      <x:c r="G558" s="152" t="e">
        <x:f>IF(E558="","",E558/MAX(E$5:E558)-1)</x:f>
        <x:v>#NAME?</x:v>
      </x:c>
      <x:c r="H558" s="146" t="e">
        <x:f>IF(OR('实盘净值数据(iFinD公式)'!$A558="",'实盘净值数据(iFinD公式)'!$B558=""),"",分期持仓明细!$AD$19*SUMPRODUCT(分期持仓明细!$B$19:$AA$19,'实盘净值数据(iFinD公式)'!$B558:$AA558/'实盘净值数据(iFinD公式)'!$B$20:$AA$20)*(1-实盘持仓初始配置!$Z$6)^(('实盘净值数据(iFinD公式)'!$A558-'实盘净值数据(iFinD公式)'!$A$7)/365))</x:f>
        <x:v>#NAME?</x:v>
      </x:c>
      <x:c r="I558" s="152" t="e">
        <x:f>IF(OR(H557="",H558=""),"",H558/H557-1)</x:f>
        <x:v>#NAME?</x:v>
      </x:c>
      <x:c r="J558" s="152" t="e">
        <x:f>IF(H558="","",H558/MAX(H$5:H558)-1)</x:f>
        <x:v>#NAME?</x:v>
      </x:c>
      <x:c r="K558" s="146" t="e">
        <x:f>IF(OR('实盘净值数据(iFinD公式)'!$A558="",'实盘净值数据(iFinD公式)'!$B558=""),"",分期持仓明细!$AD$23*SUMPRODUCT(分期持仓明细!$B$23:$AA$23,'实盘净值数据(iFinD公式)'!$B558:$AA558/'实盘净值数据(iFinD公式)'!$B$65:$AA$65)*(1-实盘持仓初始配置!$Z$7)^(('实盘净值数据(iFinD公式)'!$A558-'实盘净值数据(iFinD公式)'!$A$8)/365))</x:f>
        <x:v>#NAME?</x:v>
      </x:c>
      <x:c r="L558" s="152" t="e">
        <x:f>IF(OR(K557="",K558=""),"",K558/K557-1)</x:f>
        <x:v>#NAME?</x:v>
      </x:c>
      <x:c r="M558" s="152" t="e">
        <x:f>IF(K558="","",K558/MAX(K$5:K558)-1)</x:f>
        <x:v>#NAME?</x:v>
      </x:c>
      <x:c r="N558" s="146" t="e">
        <x:f>IF(OR('实盘净值数据(iFinD公式)'!$A558="",'实盘净值数据(iFinD公式)'!$B558=""),"",分期持仓明细!$AD$24*SUMPRODUCT(分期持仓明细!$B$24:$AA$24,'实盘净值数据(iFinD公式)'!$B558:$AA558/'实盘净值数据(iFinD公式)'!$B$65:$AA$65)*(1-实盘持仓初始配置!$Z$8)^(('实盘净值数据(iFinD公式)'!$A558-'实盘净值数据(iFinD公式)'!$A$5)/365))</x:f>
        <x:v>#NAME?</x:v>
      </x:c>
      <x:c r="O558" s="152" t="e">
        <x:f>IF(OR(N557="",N558=""),"",N558/N557-1)</x:f>
        <x:v>#NAME?</x:v>
      </x:c>
      <x:c r="P558" s="152" t="e">
        <x:f>IF(N558="","",N558/MAX(N$5:N558)-1)</x:f>
        <x:v>#NAME?</x:v>
      </x:c>
      <x:c r="Q558" s="146" t="e">
        <x:f>IF(OR('实盘净值数据(iFinD公式)'!$A558="",'实盘净值数据(iFinD公式)'!$B558=""),"",分期持仓明细!$AD$25*SUMPRODUCT(分期持仓明细!$B$25:$AA$25,'实盘净值数据(iFinD公式)'!$B558:$AA558/'实盘净值数据(iFinD公式)'!$B$65:$AA$65)*(1-实盘持仓初始配置!$Z$9)^(('实盘净值数据(iFinD公式)'!$A558-'实盘净值数据(iFinD公式)'!$A$8)/365))</x:f>
        <x:v>#NAME?</x:v>
      </x:c>
      <x:c r="R558" s="152" t="e">
        <x:f>IF(OR(Q557="",Q558=""),"",Q558/Q557-1)</x:f>
        <x:v>#NAME?</x:v>
      </x:c>
      <x:c r="S558" s="152" t="e">
        <x:f>IF(Q558="","",Q558/MAX(Q$5:Q558)-1)</x:f>
        <x:v>#NAME?</x:v>
      </x:c>
    </x:row>
    <x:row r="559">
      <x:c r="A559" s="149" t="str">
        <x:f>IF('实盘净值数据(iFinD公式)'!A559="","",'实盘净值数据(iFinD公式)'!A559)</x:f>
      </x:c>
      <x:c r="B559" s="146" t="e">
        <x:f>IF(OR('实盘净值数据(iFinD公式)'!$A559="",'实盘净值数据(iFinD公式)'!$B559=""),"",分期持仓明细!$AD$17*SUMPRODUCT(分期持仓明细!$B$17:$AA$17,'实盘净值数据(iFinD公式)'!$B559:$AA559/'实盘净值数据(iFinD公式)'!$B$20:$AA$20)*(1-实盘持仓初始配置!$Z$4)^(('实盘净值数据(iFinD公式)'!$A559-'实盘净值数据(iFinD公式)'!$A$6)/365))</x:f>
        <x:v>#NAME?</x:v>
      </x:c>
      <x:c r="C559" s="152" t="e">
        <x:f>IF(OR(B558="",B559=""),"",B559/B558-1)</x:f>
        <x:v>#NAME?</x:v>
      </x:c>
      <x:c r="D559" s="152" t="e">
        <x:f>IF(B559="","",B559/MAX(B$5:B559)-1)</x:f>
        <x:v>#NAME?</x:v>
      </x:c>
      <x:c r="E559" s="146" t="e">
        <x:f>IF(OR('实盘净值数据(iFinD公式)'!$A559="",'实盘净值数据(iFinD公式)'!$B559=""),"",分期持仓明细!$AD$18*SUMPRODUCT(分期持仓明细!$B$18:$AA$18,'实盘净值数据(iFinD公式)'!$B559:$AA559/'实盘净值数据(iFinD公式)'!$B$20:$AA$20)*(1-实盘持仓初始配置!$Z$5)^(('实盘净值数据(iFinD公式)'!$A559-'实盘净值数据(iFinD公式)'!$A$5)/365))</x:f>
        <x:v>#NAME?</x:v>
      </x:c>
      <x:c r="F559" s="152" t="e">
        <x:f>IF(OR(E558="",E559=""),"",E559/E558-1)</x:f>
        <x:v>#NAME?</x:v>
      </x:c>
      <x:c r="G559" s="152" t="e">
        <x:f>IF(E559="","",E559/MAX(E$5:E559)-1)</x:f>
        <x:v>#NAME?</x:v>
      </x:c>
      <x:c r="H559" s="146" t="e">
        <x:f>IF(OR('实盘净值数据(iFinD公式)'!$A559="",'实盘净值数据(iFinD公式)'!$B559=""),"",分期持仓明细!$AD$19*SUMPRODUCT(分期持仓明细!$B$19:$AA$19,'实盘净值数据(iFinD公式)'!$B559:$AA559/'实盘净值数据(iFinD公式)'!$B$20:$AA$20)*(1-实盘持仓初始配置!$Z$6)^(('实盘净值数据(iFinD公式)'!$A559-'实盘净值数据(iFinD公式)'!$A$7)/365))</x:f>
        <x:v>#NAME?</x:v>
      </x:c>
      <x:c r="I559" s="152" t="e">
        <x:f>IF(OR(H558="",H559=""),"",H559/H558-1)</x:f>
        <x:v>#NAME?</x:v>
      </x:c>
      <x:c r="J559" s="152" t="e">
        <x:f>IF(H559="","",H559/MAX(H$5:H559)-1)</x:f>
        <x:v>#NAME?</x:v>
      </x:c>
      <x:c r="K559" s="146" t="e">
        <x:f>IF(OR('实盘净值数据(iFinD公式)'!$A559="",'实盘净值数据(iFinD公式)'!$B559=""),"",分期持仓明细!$AD$23*SUMPRODUCT(分期持仓明细!$B$23:$AA$23,'实盘净值数据(iFinD公式)'!$B559:$AA559/'实盘净值数据(iFinD公式)'!$B$65:$AA$65)*(1-实盘持仓初始配置!$Z$7)^(('实盘净值数据(iFinD公式)'!$A559-'实盘净值数据(iFinD公式)'!$A$8)/365))</x:f>
        <x:v>#NAME?</x:v>
      </x:c>
      <x:c r="L559" s="152" t="e">
        <x:f>IF(OR(K558="",K559=""),"",K559/K558-1)</x:f>
        <x:v>#NAME?</x:v>
      </x:c>
      <x:c r="M559" s="152" t="e">
        <x:f>IF(K559="","",K559/MAX(K$5:K559)-1)</x:f>
        <x:v>#NAME?</x:v>
      </x:c>
      <x:c r="N559" s="146" t="e">
        <x:f>IF(OR('实盘净值数据(iFinD公式)'!$A559="",'实盘净值数据(iFinD公式)'!$B559=""),"",分期持仓明细!$AD$24*SUMPRODUCT(分期持仓明细!$B$24:$AA$24,'实盘净值数据(iFinD公式)'!$B559:$AA559/'实盘净值数据(iFinD公式)'!$B$65:$AA$65)*(1-实盘持仓初始配置!$Z$8)^(('实盘净值数据(iFinD公式)'!$A559-'实盘净值数据(iFinD公式)'!$A$5)/365))</x:f>
        <x:v>#NAME?</x:v>
      </x:c>
      <x:c r="O559" s="152" t="e">
        <x:f>IF(OR(N558="",N559=""),"",N559/N558-1)</x:f>
        <x:v>#NAME?</x:v>
      </x:c>
      <x:c r="P559" s="152" t="e">
        <x:f>IF(N559="","",N559/MAX(N$5:N559)-1)</x:f>
        <x:v>#NAME?</x:v>
      </x:c>
      <x:c r="Q559" s="146" t="e">
        <x:f>IF(OR('实盘净值数据(iFinD公式)'!$A559="",'实盘净值数据(iFinD公式)'!$B559=""),"",分期持仓明细!$AD$25*SUMPRODUCT(分期持仓明细!$B$25:$AA$25,'实盘净值数据(iFinD公式)'!$B559:$AA559/'实盘净值数据(iFinD公式)'!$B$65:$AA$65)*(1-实盘持仓初始配置!$Z$9)^(('实盘净值数据(iFinD公式)'!$A559-'实盘净值数据(iFinD公式)'!$A$8)/365))</x:f>
        <x:v>#NAME?</x:v>
      </x:c>
      <x:c r="R559" s="152" t="e">
        <x:f>IF(OR(Q558="",Q559=""),"",Q559/Q558-1)</x:f>
        <x:v>#NAME?</x:v>
      </x:c>
      <x:c r="S559" s="152" t="e">
        <x:f>IF(Q559="","",Q559/MAX(Q$5:Q559)-1)</x:f>
        <x:v>#NAME?</x:v>
      </x:c>
    </x:row>
    <x:row r="560">
      <x:c r="A560" s="149" t="str">
        <x:f>IF('实盘净值数据(iFinD公式)'!A560="","",'实盘净值数据(iFinD公式)'!A560)</x:f>
      </x:c>
      <x:c r="B560" s="146" t="e">
        <x:f>IF(OR('实盘净值数据(iFinD公式)'!$A560="",'实盘净值数据(iFinD公式)'!$B560=""),"",分期持仓明细!$AD$17*SUMPRODUCT(分期持仓明细!$B$17:$AA$17,'实盘净值数据(iFinD公式)'!$B560:$AA560/'实盘净值数据(iFinD公式)'!$B$20:$AA$20)*(1-实盘持仓初始配置!$Z$4)^(('实盘净值数据(iFinD公式)'!$A560-'实盘净值数据(iFinD公式)'!$A$6)/365))</x:f>
        <x:v>#NAME?</x:v>
      </x:c>
      <x:c r="C560" s="152" t="e">
        <x:f>IF(OR(B559="",B560=""),"",B560/B559-1)</x:f>
        <x:v>#NAME?</x:v>
      </x:c>
      <x:c r="D560" s="152" t="e">
        <x:f>IF(B560="","",B560/MAX(B$5:B560)-1)</x:f>
        <x:v>#NAME?</x:v>
      </x:c>
      <x:c r="E560" s="146" t="e">
        <x:f>IF(OR('实盘净值数据(iFinD公式)'!$A560="",'实盘净值数据(iFinD公式)'!$B560=""),"",分期持仓明细!$AD$18*SUMPRODUCT(分期持仓明细!$B$18:$AA$18,'实盘净值数据(iFinD公式)'!$B560:$AA560/'实盘净值数据(iFinD公式)'!$B$20:$AA$20)*(1-实盘持仓初始配置!$Z$5)^(('实盘净值数据(iFinD公式)'!$A560-'实盘净值数据(iFinD公式)'!$A$5)/365))</x:f>
        <x:v>#NAME?</x:v>
      </x:c>
      <x:c r="F560" s="152" t="e">
        <x:f>IF(OR(E559="",E560=""),"",E560/E559-1)</x:f>
        <x:v>#NAME?</x:v>
      </x:c>
      <x:c r="G560" s="152" t="e">
        <x:f>IF(E560="","",E560/MAX(E$5:E560)-1)</x:f>
        <x:v>#NAME?</x:v>
      </x:c>
      <x:c r="H560" s="146" t="e">
        <x:f>IF(OR('实盘净值数据(iFinD公式)'!$A560="",'实盘净值数据(iFinD公式)'!$B560=""),"",分期持仓明细!$AD$19*SUMPRODUCT(分期持仓明细!$B$19:$AA$19,'实盘净值数据(iFinD公式)'!$B560:$AA560/'实盘净值数据(iFinD公式)'!$B$20:$AA$20)*(1-实盘持仓初始配置!$Z$6)^(('实盘净值数据(iFinD公式)'!$A560-'实盘净值数据(iFinD公式)'!$A$7)/365))</x:f>
        <x:v>#NAME?</x:v>
      </x:c>
      <x:c r="I560" s="152" t="e">
        <x:f>IF(OR(H559="",H560=""),"",H560/H559-1)</x:f>
        <x:v>#NAME?</x:v>
      </x:c>
      <x:c r="J560" s="152" t="e">
        <x:f>IF(H560="","",H560/MAX(H$5:H560)-1)</x:f>
        <x:v>#NAME?</x:v>
      </x:c>
      <x:c r="K560" s="146" t="e">
        <x:f>IF(OR('实盘净值数据(iFinD公式)'!$A560="",'实盘净值数据(iFinD公式)'!$B560=""),"",分期持仓明细!$AD$23*SUMPRODUCT(分期持仓明细!$B$23:$AA$23,'实盘净值数据(iFinD公式)'!$B560:$AA560/'实盘净值数据(iFinD公式)'!$B$65:$AA$65)*(1-实盘持仓初始配置!$Z$7)^(('实盘净值数据(iFinD公式)'!$A560-'实盘净值数据(iFinD公式)'!$A$8)/365))</x:f>
        <x:v>#NAME?</x:v>
      </x:c>
      <x:c r="L560" s="152" t="e">
        <x:f>IF(OR(K559="",K560=""),"",K560/K559-1)</x:f>
        <x:v>#NAME?</x:v>
      </x:c>
      <x:c r="M560" s="152" t="e">
        <x:f>IF(K560="","",K560/MAX(K$5:K560)-1)</x:f>
        <x:v>#NAME?</x:v>
      </x:c>
      <x:c r="N560" s="146" t="e">
        <x:f>IF(OR('实盘净值数据(iFinD公式)'!$A560="",'实盘净值数据(iFinD公式)'!$B560=""),"",分期持仓明细!$AD$24*SUMPRODUCT(分期持仓明细!$B$24:$AA$24,'实盘净值数据(iFinD公式)'!$B560:$AA560/'实盘净值数据(iFinD公式)'!$B$65:$AA$65)*(1-实盘持仓初始配置!$Z$8)^(('实盘净值数据(iFinD公式)'!$A560-'实盘净值数据(iFinD公式)'!$A$5)/365))</x:f>
        <x:v>#NAME?</x:v>
      </x:c>
      <x:c r="O560" s="152" t="e">
        <x:f>IF(OR(N559="",N560=""),"",N560/N559-1)</x:f>
        <x:v>#NAME?</x:v>
      </x:c>
      <x:c r="P560" s="152" t="e">
        <x:f>IF(N560="","",N560/MAX(N$5:N560)-1)</x:f>
        <x:v>#NAME?</x:v>
      </x:c>
      <x:c r="Q560" s="146" t="e">
        <x:f>IF(OR('实盘净值数据(iFinD公式)'!$A560="",'实盘净值数据(iFinD公式)'!$B560=""),"",分期持仓明细!$AD$25*SUMPRODUCT(分期持仓明细!$B$25:$AA$25,'实盘净值数据(iFinD公式)'!$B560:$AA560/'实盘净值数据(iFinD公式)'!$B$65:$AA$65)*(1-实盘持仓初始配置!$Z$9)^(('实盘净值数据(iFinD公式)'!$A560-'实盘净值数据(iFinD公式)'!$A$8)/365))</x:f>
        <x:v>#NAME?</x:v>
      </x:c>
      <x:c r="R560" s="152" t="e">
        <x:f>IF(OR(Q559="",Q560=""),"",Q560/Q559-1)</x:f>
        <x:v>#NAME?</x:v>
      </x:c>
      <x:c r="S560" s="152" t="e">
        <x:f>IF(Q560="","",Q560/MAX(Q$5:Q560)-1)</x:f>
        <x:v>#NAME?</x:v>
      </x:c>
    </x:row>
    <x:row r="561">
      <x:c r="A561" s="149" t="str">
        <x:f>IF('实盘净值数据(iFinD公式)'!A561="","",'实盘净值数据(iFinD公式)'!A561)</x:f>
      </x:c>
      <x:c r="B561" s="146" t="e">
        <x:f>IF(OR('实盘净值数据(iFinD公式)'!$A561="",'实盘净值数据(iFinD公式)'!$B561=""),"",分期持仓明细!$AD$17*SUMPRODUCT(分期持仓明细!$B$17:$AA$17,'实盘净值数据(iFinD公式)'!$B561:$AA561/'实盘净值数据(iFinD公式)'!$B$20:$AA$20)*(1-实盘持仓初始配置!$Z$4)^(('实盘净值数据(iFinD公式)'!$A561-'实盘净值数据(iFinD公式)'!$A$6)/365))</x:f>
        <x:v>#NAME?</x:v>
      </x:c>
      <x:c r="C561" s="152" t="e">
        <x:f>IF(OR(B560="",B561=""),"",B561/B560-1)</x:f>
        <x:v>#NAME?</x:v>
      </x:c>
      <x:c r="D561" s="152" t="e">
        <x:f>IF(B561="","",B561/MAX(B$5:B561)-1)</x:f>
        <x:v>#NAME?</x:v>
      </x:c>
      <x:c r="E561" s="146" t="e">
        <x:f>IF(OR('实盘净值数据(iFinD公式)'!$A561="",'实盘净值数据(iFinD公式)'!$B561=""),"",分期持仓明细!$AD$18*SUMPRODUCT(分期持仓明细!$B$18:$AA$18,'实盘净值数据(iFinD公式)'!$B561:$AA561/'实盘净值数据(iFinD公式)'!$B$20:$AA$20)*(1-实盘持仓初始配置!$Z$5)^(('实盘净值数据(iFinD公式)'!$A561-'实盘净值数据(iFinD公式)'!$A$5)/365))</x:f>
        <x:v>#NAME?</x:v>
      </x:c>
      <x:c r="F561" s="152" t="e">
        <x:f>IF(OR(E560="",E561=""),"",E561/E560-1)</x:f>
        <x:v>#NAME?</x:v>
      </x:c>
      <x:c r="G561" s="152" t="e">
        <x:f>IF(E561="","",E561/MAX(E$5:E561)-1)</x:f>
        <x:v>#NAME?</x:v>
      </x:c>
      <x:c r="H561" s="146" t="e">
        <x:f>IF(OR('实盘净值数据(iFinD公式)'!$A561="",'实盘净值数据(iFinD公式)'!$B561=""),"",分期持仓明细!$AD$19*SUMPRODUCT(分期持仓明细!$B$19:$AA$19,'实盘净值数据(iFinD公式)'!$B561:$AA561/'实盘净值数据(iFinD公式)'!$B$20:$AA$20)*(1-实盘持仓初始配置!$Z$6)^(('实盘净值数据(iFinD公式)'!$A561-'实盘净值数据(iFinD公式)'!$A$7)/365))</x:f>
        <x:v>#NAME?</x:v>
      </x:c>
      <x:c r="I561" s="152" t="e">
        <x:f>IF(OR(H560="",H561=""),"",H561/H560-1)</x:f>
        <x:v>#NAME?</x:v>
      </x:c>
      <x:c r="J561" s="152" t="e">
        <x:f>IF(H561="","",H561/MAX(H$5:H561)-1)</x:f>
        <x:v>#NAME?</x:v>
      </x:c>
      <x:c r="K561" s="146" t="e">
        <x:f>IF(OR('实盘净值数据(iFinD公式)'!$A561="",'实盘净值数据(iFinD公式)'!$B561=""),"",分期持仓明细!$AD$23*SUMPRODUCT(分期持仓明细!$B$23:$AA$23,'实盘净值数据(iFinD公式)'!$B561:$AA561/'实盘净值数据(iFinD公式)'!$B$65:$AA$65)*(1-实盘持仓初始配置!$Z$7)^(('实盘净值数据(iFinD公式)'!$A561-'实盘净值数据(iFinD公式)'!$A$8)/365))</x:f>
        <x:v>#NAME?</x:v>
      </x:c>
      <x:c r="L561" s="152" t="e">
        <x:f>IF(OR(K560="",K561=""),"",K561/K560-1)</x:f>
        <x:v>#NAME?</x:v>
      </x:c>
      <x:c r="M561" s="152" t="e">
        <x:f>IF(K561="","",K561/MAX(K$5:K561)-1)</x:f>
        <x:v>#NAME?</x:v>
      </x:c>
      <x:c r="N561" s="146" t="e">
        <x:f>IF(OR('实盘净值数据(iFinD公式)'!$A561="",'实盘净值数据(iFinD公式)'!$B561=""),"",分期持仓明细!$AD$24*SUMPRODUCT(分期持仓明细!$B$24:$AA$24,'实盘净值数据(iFinD公式)'!$B561:$AA561/'实盘净值数据(iFinD公式)'!$B$65:$AA$65)*(1-实盘持仓初始配置!$Z$8)^(('实盘净值数据(iFinD公式)'!$A561-'实盘净值数据(iFinD公式)'!$A$5)/365))</x:f>
        <x:v>#NAME?</x:v>
      </x:c>
      <x:c r="O561" s="152" t="e">
        <x:f>IF(OR(N560="",N561=""),"",N561/N560-1)</x:f>
        <x:v>#NAME?</x:v>
      </x:c>
      <x:c r="P561" s="152" t="e">
        <x:f>IF(N561="","",N561/MAX(N$5:N561)-1)</x:f>
        <x:v>#NAME?</x:v>
      </x:c>
      <x:c r="Q561" s="146" t="e">
        <x:f>IF(OR('实盘净值数据(iFinD公式)'!$A561="",'实盘净值数据(iFinD公式)'!$B561=""),"",分期持仓明细!$AD$25*SUMPRODUCT(分期持仓明细!$B$25:$AA$25,'实盘净值数据(iFinD公式)'!$B561:$AA561/'实盘净值数据(iFinD公式)'!$B$65:$AA$65)*(1-实盘持仓初始配置!$Z$9)^(('实盘净值数据(iFinD公式)'!$A561-'实盘净值数据(iFinD公式)'!$A$8)/365))</x:f>
        <x:v>#NAME?</x:v>
      </x:c>
      <x:c r="R561" s="152" t="e">
        <x:f>IF(OR(Q560="",Q561=""),"",Q561/Q560-1)</x:f>
        <x:v>#NAME?</x:v>
      </x:c>
      <x:c r="S561" s="152" t="e">
        <x:f>IF(Q561="","",Q561/MAX(Q$5:Q561)-1)</x:f>
        <x:v>#NAME?</x:v>
      </x:c>
    </x:row>
    <x:row r="562">
      <x:c r="A562" s="149" t="str">
        <x:f>IF('实盘净值数据(iFinD公式)'!A562="","",'实盘净值数据(iFinD公式)'!A562)</x:f>
      </x:c>
      <x:c r="B562" s="146" t="e">
        <x:f>IF(OR('实盘净值数据(iFinD公式)'!$A562="",'实盘净值数据(iFinD公式)'!$B562=""),"",分期持仓明细!$AD$17*SUMPRODUCT(分期持仓明细!$B$17:$AA$17,'实盘净值数据(iFinD公式)'!$B562:$AA562/'实盘净值数据(iFinD公式)'!$B$20:$AA$20)*(1-实盘持仓初始配置!$Z$4)^(('实盘净值数据(iFinD公式)'!$A562-'实盘净值数据(iFinD公式)'!$A$6)/365))</x:f>
        <x:v>#NAME?</x:v>
      </x:c>
      <x:c r="C562" s="152" t="e">
        <x:f>IF(OR(B561="",B562=""),"",B562/B561-1)</x:f>
        <x:v>#NAME?</x:v>
      </x:c>
      <x:c r="D562" s="152" t="e">
        <x:f>IF(B562="","",B562/MAX(B$5:B562)-1)</x:f>
        <x:v>#NAME?</x:v>
      </x:c>
      <x:c r="E562" s="146" t="e">
        <x:f>IF(OR('实盘净值数据(iFinD公式)'!$A562="",'实盘净值数据(iFinD公式)'!$B562=""),"",分期持仓明细!$AD$18*SUMPRODUCT(分期持仓明细!$B$18:$AA$18,'实盘净值数据(iFinD公式)'!$B562:$AA562/'实盘净值数据(iFinD公式)'!$B$20:$AA$20)*(1-实盘持仓初始配置!$Z$5)^(('实盘净值数据(iFinD公式)'!$A562-'实盘净值数据(iFinD公式)'!$A$5)/365))</x:f>
        <x:v>#NAME?</x:v>
      </x:c>
      <x:c r="F562" s="152" t="e">
        <x:f>IF(OR(E561="",E562=""),"",E562/E561-1)</x:f>
        <x:v>#NAME?</x:v>
      </x:c>
      <x:c r="G562" s="152" t="e">
        <x:f>IF(E562="","",E562/MAX(E$5:E562)-1)</x:f>
        <x:v>#NAME?</x:v>
      </x:c>
      <x:c r="H562" s="146" t="e">
        <x:f>IF(OR('实盘净值数据(iFinD公式)'!$A562="",'实盘净值数据(iFinD公式)'!$B562=""),"",分期持仓明细!$AD$19*SUMPRODUCT(分期持仓明细!$B$19:$AA$19,'实盘净值数据(iFinD公式)'!$B562:$AA562/'实盘净值数据(iFinD公式)'!$B$20:$AA$20)*(1-实盘持仓初始配置!$Z$6)^(('实盘净值数据(iFinD公式)'!$A562-'实盘净值数据(iFinD公式)'!$A$7)/365))</x:f>
        <x:v>#NAME?</x:v>
      </x:c>
      <x:c r="I562" s="152" t="e">
        <x:f>IF(OR(H561="",H562=""),"",H562/H561-1)</x:f>
        <x:v>#NAME?</x:v>
      </x:c>
      <x:c r="J562" s="152" t="e">
        <x:f>IF(H562="","",H562/MAX(H$5:H562)-1)</x:f>
        <x:v>#NAME?</x:v>
      </x:c>
      <x:c r="K562" s="146" t="e">
        <x:f>IF(OR('实盘净值数据(iFinD公式)'!$A562="",'实盘净值数据(iFinD公式)'!$B562=""),"",分期持仓明细!$AD$23*SUMPRODUCT(分期持仓明细!$B$23:$AA$23,'实盘净值数据(iFinD公式)'!$B562:$AA562/'实盘净值数据(iFinD公式)'!$B$65:$AA$65)*(1-实盘持仓初始配置!$Z$7)^(('实盘净值数据(iFinD公式)'!$A562-'实盘净值数据(iFinD公式)'!$A$8)/365))</x:f>
        <x:v>#NAME?</x:v>
      </x:c>
      <x:c r="L562" s="152" t="e">
        <x:f>IF(OR(K561="",K562=""),"",K562/K561-1)</x:f>
        <x:v>#NAME?</x:v>
      </x:c>
      <x:c r="M562" s="152" t="e">
        <x:f>IF(K562="","",K562/MAX(K$5:K562)-1)</x:f>
        <x:v>#NAME?</x:v>
      </x:c>
      <x:c r="N562" s="146" t="e">
        <x:f>IF(OR('实盘净值数据(iFinD公式)'!$A562="",'实盘净值数据(iFinD公式)'!$B562=""),"",分期持仓明细!$AD$24*SUMPRODUCT(分期持仓明细!$B$24:$AA$24,'实盘净值数据(iFinD公式)'!$B562:$AA562/'实盘净值数据(iFinD公式)'!$B$65:$AA$65)*(1-实盘持仓初始配置!$Z$8)^(('实盘净值数据(iFinD公式)'!$A562-'实盘净值数据(iFinD公式)'!$A$5)/365))</x:f>
        <x:v>#NAME?</x:v>
      </x:c>
      <x:c r="O562" s="152" t="e">
        <x:f>IF(OR(N561="",N562=""),"",N562/N561-1)</x:f>
        <x:v>#NAME?</x:v>
      </x:c>
      <x:c r="P562" s="152" t="e">
        <x:f>IF(N562="","",N562/MAX(N$5:N562)-1)</x:f>
        <x:v>#NAME?</x:v>
      </x:c>
      <x:c r="Q562" s="146" t="e">
        <x:f>IF(OR('实盘净值数据(iFinD公式)'!$A562="",'实盘净值数据(iFinD公式)'!$B562=""),"",分期持仓明细!$AD$25*SUMPRODUCT(分期持仓明细!$B$25:$AA$25,'实盘净值数据(iFinD公式)'!$B562:$AA562/'实盘净值数据(iFinD公式)'!$B$65:$AA$65)*(1-实盘持仓初始配置!$Z$9)^(('实盘净值数据(iFinD公式)'!$A562-'实盘净值数据(iFinD公式)'!$A$8)/365))</x:f>
        <x:v>#NAME?</x:v>
      </x:c>
      <x:c r="R562" s="152" t="e">
        <x:f>IF(OR(Q561="",Q562=""),"",Q562/Q561-1)</x:f>
        <x:v>#NAME?</x:v>
      </x:c>
      <x:c r="S562" s="152" t="e">
        <x:f>IF(Q562="","",Q562/MAX(Q$5:Q562)-1)</x:f>
        <x:v>#NAME?</x:v>
      </x:c>
    </x:row>
    <x:row r="563">
      <x:c r="A563" s="149" t="str">
        <x:f>IF('实盘净值数据(iFinD公式)'!A563="","",'实盘净值数据(iFinD公式)'!A563)</x:f>
      </x:c>
      <x:c r="B563" s="146" t="e">
        <x:f>IF(OR('实盘净值数据(iFinD公式)'!$A563="",'实盘净值数据(iFinD公式)'!$B563=""),"",分期持仓明细!$AD$17*SUMPRODUCT(分期持仓明细!$B$17:$AA$17,'实盘净值数据(iFinD公式)'!$B563:$AA563/'实盘净值数据(iFinD公式)'!$B$20:$AA$20)*(1-实盘持仓初始配置!$Z$4)^(('实盘净值数据(iFinD公式)'!$A563-'实盘净值数据(iFinD公式)'!$A$6)/365))</x:f>
        <x:v>#NAME?</x:v>
      </x:c>
      <x:c r="C563" s="152" t="e">
        <x:f>IF(OR(B562="",B563=""),"",B563/B562-1)</x:f>
        <x:v>#NAME?</x:v>
      </x:c>
      <x:c r="D563" s="152" t="e">
        <x:f>IF(B563="","",B563/MAX(B$5:B563)-1)</x:f>
        <x:v>#NAME?</x:v>
      </x:c>
      <x:c r="E563" s="146" t="e">
        <x:f>IF(OR('实盘净值数据(iFinD公式)'!$A563="",'实盘净值数据(iFinD公式)'!$B563=""),"",分期持仓明细!$AD$18*SUMPRODUCT(分期持仓明细!$B$18:$AA$18,'实盘净值数据(iFinD公式)'!$B563:$AA563/'实盘净值数据(iFinD公式)'!$B$20:$AA$20)*(1-实盘持仓初始配置!$Z$5)^(('实盘净值数据(iFinD公式)'!$A563-'实盘净值数据(iFinD公式)'!$A$5)/365))</x:f>
        <x:v>#NAME?</x:v>
      </x:c>
      <x:c r="F563" s="152" t="e">
        <x:f>IF(OR(E562="",E563=""),"",E563/E562-1)</x:f>
        <x:v>#NAME?</x:v>
      </x:c>
      <x:c r="G563" s="152" t="e">
        <x:f>IF(E563="","",E563/MAX(E$5:E563)-1)</x:f>
        <x:v>#NAME?</x:v>
      </x:c>
      <x:c r="H563" s="146" t="e">
        <x:f>IF(OR('实盘净值数据(iFinD公式)'!$A563="",'实盘净值数据(iFinD公式)'!$B563=""),"",分期持仓明细!$AD$19*SUMPRODUCT(分期持仓明细!$B$19:$AA$19,'实盘净值数据(iFinD公式)'!$B563:$AA563/'实盘净值数据(iFinD公式)'!$B$20:$AA$20)*(1-实盘持仓初始配置!$Z$6)^(('实盘净值数据(iFinD公式)'!$A563-'实盘净值数据(iFinD公式)'!$A$7)/365))</x:f>
        <x:v>#NAME?</x:v>
      </x:c>
      <x:c r="I563" s="152" t="e">
        <x:f>IF(OR(H562="",H563=""),"",H563/H562-1)</x:f>
        <x:v>#NAME?</x:v>
      </x:c>
      <x:c r="J563" s="152" t="e">
        <x:f>IF(H563="","",H563/MAX(H$5:H563)-1)</x:f>
        <x:v>#NAME?</x:v>
      </x:c>
      <x:c r="K563" s="146" t="e">
        <x:f>IF(OR('实盘净值数据(iFinD公式)'!$A563="",'实盘净值数据(iFinD公式)'!$B563=""),"",分期持仓明细!$AD$23*SUMPRODUCT(分期持仓明细!$B$23:$AA$23,'实盘净值数据(iFinD公式)'!$B563:$AA563/'实盘净值数据(iFinD公式)'!$B$65:$AA$65)*(1-实盘持仓初始配置!$Z$7)^(('实盘净值数据(iFinD公式)'!$A563-'实盘净值数据(iFinD公式)'!$A$8)/365))</x:f>
        <x:v>#NAME?</x:v>
      </x:c>
      <x:c r="L563" s="152" t="e">
        <x:f>IF(OR(K562="",K563=""),"",K563/K562-1)</x:f>
        <x:v>#NAME?</x:v>
      </x:c>
      <x:c r="M563" s="152" t="e">
        <x:f>IF(K563="","",K563/MAX(K$5:K563)-1)</x:f>
        <x:v>#NAME?</x:v>
      </x:c>
      <x:c r="N563" s="146" t="e">
        <x:f>IF(OR('实盘净值数据(iFinD公式)'!$A563="",'实盘净值数据(iFinD公式)'!$B563=""),"",分期持仓明细!$AD$24*SUMPRODUCT(分期持仓明细!$B$24:$AA$24,'实盘净值数据(iFinD公式)'!$B563:$AA563/'实盘净值数据(iFinD公式)'!$B$65:$AA$65)*(1-实盘持仓初始配置!$Z$8)^(('实盘净值数据(iFinD公式)'!$A563-'实盘净值数据(iFinD公式)'!$A$5)/365))</x:f>
        <x:v>#NAME?</x:v>
      </x:c>
      <x:c r="O563" s="152" t="e">
        <x:f>IF(OR(N562="",N563=""),"",N563/N562-1)</x:f>
        <x:v>#NAME?</x:v>
      </x:c>
      <x:c r="P563" s="152" t="e">
        <x:f>IF(N563="","",N563/MAX(N$5:N563)-1)</x:f>
        <x:v>#NAME?</x:v>
      </x:c>
      <x:c r="Q563" s="146" t="e">
        <x:f>IF(OR('实盘净值数据(iFinD公式)'!$A563="",'实盘净值数据(iFinD公式)'!$B563=""),"",分期持仓明细!$AD$25*SUMPRODUCT(分期持仓明细!$B$25:$AA$25,'实盘净值数据(iFinD公式)'!$B563:$AA563/'实盘净值数据(iFinD公式)'!$B$65:$AA$65)*(1-实盘持仓初始配置!$Z$9)^(('实盘净值数据(iFinD公式)'!$A563-'实盘净值数据(iFinD公式)'!$A$8)/365))</x:f>
        <x:v>#NAME?</x:v>
      </x:c>
      <x:c r="R563" s="152" t="e">
        <x:f>IF(OR(Q562="",Q563=""),"",Q563/Q562-1)</x:f>
        <x:v>#NAME?</x:v>
      </x:c>
      <x:c r="S563" s="152" t="e">
        <x:f>IF(Q563="","",Q563/MAX(Q$5:Q563)-1)</x:f>
        <x:v>#NAME?</x:v>
      </x:c>
    </x:row>
    <x:row r="564">
      <x:c r="A564" s="149" t="str">
        <x:f>IF('实盘净值数据(iFinD公式)'!A564="","",'实盘净值数据(iFinD公式)'!A564)</x:f>
      </x:c>
      <x:c r="B564" s="146" t="e">
        <x:f>IF(OR('实盘净值数据(iFinD公式)'!$A564="",'实盘净值数据(iFinD公式)'!$B564=""),"",分期持仓明细!$AD$17*SUMPRODUCT(分期持仓明细!$B$17:$AA$17,'实盘净值数据(iFinD公式)'!$B564:$AA564/'实盘净值数据(iFinD公式)'!$B$20:$AA$20)*(1-实盘持仓初始配置!$Z$4)^(('实盘净值数据(iFinD公式)'!$A564-'实盘净值数据(iFinD公式)'!$A$6)/365))</x:f>
        <x:v>#NAME?</x:v>
      </x:c>
      <x:c r="C564" s="152" t="e">
        <x:f>IF(OR(B563="",B564=""),"",B564/B563-1)</x:f>
        <x:v>#NAME?</x:v>
      </x:c>
      <x:c r="D564" s="152" t="e">
        <x:f>IF(B564="","",B564/MAX(B$5:B564)-1)</x:f>
        <x:v>#NAME?</x:v>
      </x:c>
      <x:c r="E564" s="146" t="e">
        <x:f>IF(OR('实盘净值数据(iFinD公式)'!$A564="",'实盘净值数据(iFinD公式)'!$B564=""),"",分期持仓明细!$AD$18*SUMPRODUCT(分期持仓明细!$B$18:$AA$18,'实盘净值数据(iFinD公式)'!$B564:$AA564/'实盘净值数据(iFinD公式)'!$B$20:$AA$20)*(1-实盘持仓初始配置!$Z$5)^(('实盘净值数据(iFinD公式)'!$A564-'实盘净值数据(iFinD公式)'!$A$5)/365))</x:f>
        <x:v>#NAME?</x:v>
      </x:c>
      <x:c r="F564" s="152" t="e">
        <x:f>IF(OR(E563="",E564=""),"",E564/E563-1)</x:f>
        <x:v>#NAME?</x:v>
      </x:c>
      <x:c r="G564" s="152" t="e">
        <x:f>IF(E564="","",E564/MAX(E$5:E564)-1)</x:f>
        <x:v>#NAME?</x:v>
      </x:c>
      <x:c r="H564" s="146" t="e">
        <x:f>IF(OR('实盘净值数据(iFinD公式)'!$A564="",'实盘净值数据(iFinD公式)'!$B564=""),"",分期持仓明细!$AD$19*SUMPRODUCT(分期持仓明细!$B$19:$AA$19,'实盘净值数据(iFinD公式)'!$B564:$AA564/'实盘净值数据(iFinD公式)'!$B$20:$AA$20)*(1-实盘持仓初始配置!$Z$6)^(('实盘净值数据(iFinD公式)'!$A564-'实盘净值数据(iFinD公式)'!$A$7)/365))</x:f>
        <x:v>#NAME?</x:v>
      </x:c>
      <x:c r="I564" s="152" t="e">
        <x:f>IF(OR(H563="",H564=""),"",H564/H563-1)</x:f>
        <x:v>#NAME?</x:v>
      </x:c>
      <x:c r="J564" s="152" t="e">
        <x:f>IF(H564="","",H564/MAX(H$5:H564)-1)</x:f>
        <x:v>#NAME?</x:v>
      </x:c>
      <x:c r="K564" s="146" t="e">
        <x:f>IF(OR('实盘净值数据(iFinD公式)'!$A564="",'实盘净值数据(iFinD公式)'!$B564=""),"",分期持仓明细!$AD$23*SUMPRODUCT(分期持仓明细!$B$23:$AA$23,'实盘净值数据(iFinD公式)'!$B564:$AA564/'实盘净值数据(iFinD公式)'!$B$65:$AA$65)*(1-实盘持仓初始配置!$Z$7)^(('实盘净值数据(iFinD公式)'!$A564-'实盘净值数据(iFinD公式)'!$A$8)/365))</x:f>
        <x:v>#NAME?</x:v>
      </x:c>
      <x:c r="L564" s="152" t="e">
        <x:f>IF(OR(K563="",K564=""),"",K564/K563-1)</x:f>
        <x:v>#NAME?</x:v>
      </x:c>
      <x:c r="M564" s="152" t="e">
        <x:f>IF(K564="","",K564/MAX(K$5:K564)-1)</x:f>
        <x:v>#NAME?</x:v>
      </x:c>
      <x:c r="N564" s="146" t="e">
        <x:f>IF(OR('实盘净值数据(iFinD公式)'!$A564="",'实盘净值数据(iFinD公式)'!$B564=""),"",分期持仓明细!$AD$24*SUMPRODUCT(分期持仓明细!$B$24:$AA$24,'实盘净值数据(iFinD公式)'!$B564:$AA564/'实盘净值数据(iFinD公式)'!$B$65:$AA$65)*(1-实盘持仓初始配置!$Z$8)^(('实盘净值数据(iFinD公式)'!$A564-'实盘净值数据(iFinD公式)'!$A$5)/365))</x:f>
        <x:v>#NAME?</x:v>
      </x:c>
      <x:c r="O564" s="152" t="e">
        <x:f>IF(OR(N563="",N564=""),"",N564/N563-1)</x:f>
        <x:v>#NAME?</x:v>
      </x:c>
      <x:c r="P564" s="152" t="e">
        <x:f>IF(N564="","",N564/MAX(N$5:N564)-1)</x:f>
        <x:v>#NAME?</x:v>
      </x:c>
      <x:c r="Q564" s="146" t="e">
        <x:f>IF(OR('实盘净值数据(iFinD公式)'!$A564="",'实盘净值数据(iFinD公式)'!$B564=""),"",分期持仓明细!$AD$25*SUMPRODUCT(分期持仓明细!$B$25:$AA$25,'实盘净值数据(iFinD公式)'!$B564:$AA564/'实盘净值数据(iFinD公式)'!$B$65:$AA$65)*(1-实盘持仓初始配置!$Z$9)^(('实盘净值数据(iFinD公式)'!$A564-'实盘净值数据(iFinD公式)'!$A$8)/365))</x:f>
        <x:v>#NAME?</x:v>
      </x:c>
      <x:c r="R564" s="152" t="e">
        <x:f>IF(OR(Q563="",Q564=""),"",Q564/Q563-1)</x:f>
        <x:v>#NAME?</x:v>
      </x:c>
      <x:c r="S564" s="152" t="e">
        <x:f>IF(Q564="","",Q564/MAX(Q$5:Q564)-1)</x:f>
        <x:v>#NAME?</x:v>
      </x:c>
    </x:row>
    <x:row r="565">
      <x:c r="A565" s="149" t="str">
        <x:f>IF('实盘净值数据(iFinD公式)'!A565="","",'实盘净值数据(iFinD公式)'!A565)</x:f>
      </x:c>
      <x:c r="B565" s="146" t="e">
        <x:f>IF(OR('实盘净值数据(iFinD公式)'!$A565="",'实盘净值数据(iFinD公式)'!$B565=""),"",分期持仓明细!$AD$17*SUMPRODUCT(分期持仓明细!$B$17:$AA$17,'实盘净值数据(iFinD公式)'!$B565:$AA565/'实盘净值数据(iFinD公式)'!$B$20:$AA$20)*(1-实盘持仓初始配置!$Z$4)^(('实盘净值数据(iFinD公式)'!$A565-'实盘净值数据(iFinD公式)'!$A$6)/365))</x:f>
        <x:v>#NAME?</x:v>
      </x:c>
      <x:c r="C565" s="152" t="e">
        <x:f>IF(OR(B564="",B565=""),"",B565/B564-1)</x:f>
        <x:v>#NAME?</x:v>
      </x:c>
      <x:c r="D565" s="152" t="e">
        <x:f>IF(B565="","",B565/MAX(B$5:B565)-1)</x:f>
        <x:v>#NAME?</x:v>
      </x:c>
      <x:c r="E565" s="146" t="e">
        <x:f>IF(OR('实盘净值数据(iFinD公式)'!$A565="",'实盘净值数据(iFinD公式)'!$B565=""),"",分期持仓明细!$AD$18*SUMPRODUCT(分期持仓明细!$B$18:$AA$18,'实盘净值数据(iFinD公式)'!$B565:$AA565/'实盘净值数据(iFinD公式)'!$B$20:$AA$20)*(1-实盘持仓初始配置!$Z$5)^(('实盘净值数据(iFinD公式)'!$A565-'实盘净值数据(iFinD公式)'!$A$5)/365))</x:f>
        <x:v>#NAME?</x:v>
      </x:c>
      <x:c r="F565" s="152" t="e">
        <x:f>IF(OR(E564="",E565=""),"",E565/E564-1)</x:f>
        <x:v>#NAME?</x:v>
      </x:c>
      <x:c r="G565" s="152" t="e">
        <x:f>IF(E565="","",E565/MAX(E$5:E565)-1)</x:f>
        <x:v>#NAME?</x:v>
      </x:c>
      <x:c r="H565" s="146" t="e">
        <x:f>IF(OR('实盘净值数据(iFinD公式)'!$A565="",'实盘净值数据(iFinD公式)'!$B565=""),"",分期持仓明细!$AD$19*SUMPRODUCT(分期持仓明细!$B$19:$AA$19,'实盘净值数据(iFinD公式)'!$B565:$AA565/'实盘净值数据(iFinD公式)'!$B$20:$AA$20)*(1-实盘持仓初始配置!$Z$6)^(('实盘净值数据(iFinD公式)'!$A565-'实盘净值数据(iFinD公式)'!$A$7)/365))</x:f>
        <x:v>#NAME?</x:v>
      </x:c>
      <x:c r="I565" s="152" t="e">
        <x:f>IF(OR(H564="",H565=""),"",H565/H564-1)</x:f>
        <x:v>#NAME?</x:v>
      </x:c>
      <x:c r="J565" s="152" t="e">
        <x:f>IF(H565="","",H565/MAX(H$5:H565)-1)</x:f>
        <x:v>#NAME?</x:v>
      </x:c>
      <x:c r="K565" s="146" t="e">
        <x:f>IF(OR('实盘净值数据(iFinD公式)'!$A565="",'实盘净值数据(iFinD公式)'!$B565=""),"",分期持仓明细!$AD$23*SUMPRODUCT(分期持仓明细!$B$23:$AA$23,'实盘净值数据(iFinD公式)'!$B565:$AA565/'实盘净值数据(iFinD公式)'!$B$65:$AA$65)*(1-实盘持仓初始配置!$Z$7)^(('实盘净值数据(iFinD公式)'!$A565-'实盘净值数据(iFinD公式)'!$A$8)/365))</x:f>
        <x:v>#NAME?</x:v>
      </x:c>
      <x:c r="L565" s="152" t="e">
        <x:f>IF(OR(K564="",K565=""),"",K565/K564-1)</x:f>
        <x:v>#NAME?</x:v>
      </x:c>
      <x:c r="M565" s="152" t="e">
        <x:f>IF(K565="","",K565/MAX(K$5:K565)-1)</x:f>
        <x:v>#NAME?</x:v>
      </x:c>
      <x:c r="N565" s="146" t="e">
        <x:f>IF(OR('实盘净值数据(iFinD公式)'!$A565="",'实盘净值数据(iFinD公式)'!$B565=""),"",分期持仓明细!$AD$24*SUMPRODUCT(分期持仓明细!$B$24:$AA$24,'实盘净值数据(iFinD公式)'!$B565:$AA565/'实盘净值数据(iFinD公式)'!$B$65:$AA$65)*(1-实盘持仓初始配置!$Z$8)^(('实盘净值数据(iFinD公式)'!$A565-'实盘净值数据(iFinD公式)'!$A$5)/365))</x:f>
        <x:v>#NAME?</x:v>
      </x:c>
      <x:c r="O565" s="152" t="e">
        <x:f>IF(OR(N564="",N565=""),"",N565/N564-1)</x:f>
        <x:v>#NAME?</x:v>
      </x:c>
      <x:c r="P565" s="152" t="e">
        <x:f>IF(N565="","",N565/MAX(N$5:N565)-1)</x:f>
        <x:v>#NAME?</x:v>
      </x:c>
      <x:c r="Q565" s="146" t="e">
        <x:f>IF(OR('实盘净值数据(iFinD公式)'!$A565="",'实盘净值数据(iFinD公式)'!$B565=""),"",分期持仓明细!$AD$25*SUMPRODUCT(分期持仓明细!$B$25:$AA$25,'实盘净值数据(iFinD公式)'!$B565:$AA565/'实盘净值数据(iFinD公式)'!$B$65:$AA$65)*(1-实盘持仓初始配置!$Z$9)^(('实盘净值数据(iFinD公式)'!$A565-'实盘净值数据(iFinD公式)'!$A$8)/365))</x:f>
        <x:v>#NAME?</x:v>
      </x:c>
      <x:c r="R565" s="152" t="e">
        <x:f>IF(OR(Q564="",Q565=""),"",Q565/Q564-1)</x:f>
        <x:v>#NAME?</x:v>
      </x:c>
      <x:c r="S565" s="152" t="e">
        <x:f>IF(Q565="","",Q565/MAX(Q$5:Q565)-1)</x:f>
        <x:v>#NAME?</x:v>
      </x:c>
    </x:row>
    <x:row r="566">
      <x:c r="A566" s="149" t="str">
        <x:f>IF('实盘净值数据(iFinD公式)'!A566="","",'实盘净值数据(iFinD公式)'!A566)</x:f>
      </x:c>
      <x:c r="B566" s="146" t="e">
        <x:f>IF(OR('实盘净值数据(iFinD公式)'!$A566="",'实盘净值数据(iFinD公式)'!$B566=""),"",分期持仓明细!$AD$17*SUMPRODUCT(分期持仓明细!$B$17:$AA$17,'实盘净值数据(iFinD公式)'!$B566:$AA566/'实盘净值数据(iFinD公式)'!$B$20:$AA$20)*(1-实盘持仓初始配置!$Z$4)^(('实盘净值数据(iFinD公式)'!$A566-'实盘净值数据(iFinD公式)'!$A$6)/365))</x:f>
        <x:v>#NAME?</x:v>
      </x:c>
      <x:c r="C566" s="152" t="e">
        <x:f>IF(OR(B565="",B566=""),"",B566/B565-1)</x:f>
        <x:v>#NAME?</x:v>
      </x:c>
      <x:c r="D566" s="152" t="e">
        <x:f>IF(B566="","",B566/MAX(B$5:B566)-1)</x:f>
        <x:v>#NAME?</x:v>
      </x:c>
      <x:c r="E566" s="146" t="e">
        <x:f>IF(OR('实盘净值数据(iFinD公式)'!$A566="",'实盘净值数据(iFinD公式)'!$B566=""),"",分期持仓明细!$AD$18*SUMPRODUCT(分期持仓明细!$B$18:$AA$18,'实盘净值数据(iFinD公式)'!$B566:$AA566/'实盘净值数据(iFinD公式)'!$B$20:$AA$20)*(1-实盘持仓初始配置!$Z$5)^(('实盘净值数据(iFinD公式)'!$A566-'实盘净值数据(iFinD公式)'!$A$5)/365))</x:f>
        <x:v>#NAME?</x:v>
      </x:c>
      <x:c r="F566" s="152" t="e">
        <x:f>IF(OR(E565="",E566=""),"",E566/E565-1)</x:f>
        <x:v>#NAME?</x:v>
      </x:c>
      <x:c r="G566" s="152" t="e">
        <x:f>IF(E566="","",E566/MAX(E$5:E566)-1)</x:f>
        <x:v>#NAME?</x:v>
      </x:c>
      <x:c r="H566" s="146" t="e">
        <x:f>IF(OR('实盘净值数据(iFinD公式)'!$A566="",'实盘净值数据(iFinD公式)'!$B566=""),"",分期持仓明细!$AD$19*SUMPRODUCT(分期持仓明细!$B$19:$AA$19,'实盘净值数据(iFinD公式)'!$B566:$AA566/'实盘净值数据(iFinD公式)'!$B$20:$AA$20)*(1-实盘持仓初始配置!$Z$6)^(('实盘净值数据(iFinD公式)'!$A566-'实盘净值数据(iFinD公式)'!$A$7)/365))</x:f>
        <x:v>#NAME?</x:v>
      </x:c>
      <x:c r="I566" s="152" t="e">
        <x:f>IF(OR(H565="",H566=""),"",H566/H565-1)</x:f>
        <x:v>#NAME?</x:v>
      </x:c>
      <x:c r="J566" s="152" t="e">
        <x:f>IF(H566="","",H566/MAX(H$5:H566)-1)</x:f>
        <x:v>#NAME?</x:v>
      </x:c>
      <x:c r="K566" s="146" t="e">
        <x:f>IF(OR('实盘净值数据(iFinD公式)'!$A566="",'实盘净值数据(iFinD公式)'!$B566=""),"",分期持仓明细!$AD$23*SUMPRODUCT(分期持仓明细!$B$23:$AA$23,'实盘净值数据(iFinD公式)'!$B566:$AA566/'实盘净值数据(iFinD公式)'!$B$65:$AA$65)*(1-实盘持仓初始配置!$Z$7)^(('实盘净值数据(iFinD公式)'!$A566-'实盘净值数据(iFinD公式)'!$A$8)/365))</x:f>
        <x:v>#NAME?</x:v>
      </x:c>
      <x:c r="L566" s="152" t="e">
        <x:f>IF(OR(K565="",K566=""),"",K566/K565-1)</x:f>
        <x:v>#NAME?</x:v>
      </x:c>
      <x:c r="M566" s="152" t="e">
        <x:f>IF(K566="","",K566/MAX(K$5:K566)-1)</x:f>
        <x:v>#NAME?</x:v>
      </x:c>
      <x:c r="N566" s="146" t="e">
        <x:f>IF(OR('实盘净值数据(iFinD公式)'!$A566="",'实盘净值数据(iFinD公式)'!$B566=""),"",分期持仓明细!$AD$24*SUMPRODUCT(分期持仓明细!$B$24:$AA$24,'实盘净值数据(iFinD公式)'!$B566:$AA566/'实盘净值数据(iFinD公式)'!$B$65:$AA$65)*(1-实盘持仓初始配置!$Z$8)^(('实盘净值数据(iFinD公式)'!$A566-'实盘净值数据(iFinD公式)'!$A$5)/365))</x:f>
        <x:v>#NAME?</x:v>
      </x:c>
      <x:c r="O566" s="152" t="e">
        <x:f>IF(OR(N565="",N566=""),"",N566/N565-1)</x:f>
        <x:v>#NAME?</x:v>
      </x:c>
      <x:c r="P566" s="152" t="e">
        <x:f>IF(N566="","",N566/MAX(N$5:N566)-1)</x:f>
        <x:v>#NAME?</x:v>
      </x:c>
      <x:c r="Q566" s="146" t="e">
        <x:f>IF(OR('实盘净值数据(iFinD公式)'!$A566="",'实盘净值数据(iFinD公式)'!$B566=""),"",分期持仓明细!$AD$25*SUMPRODUCT(分期持仓明细!$B$25:$AA$25,'实盘净值数据(iFinD公式)'!$B566:$AA566/'实盘净值数据(iFinD公式)'!$B$65:$AA$65)*(1-实盘持仓初始配置!$Z$9)^(('实盘净值数据(iFinD公式)'!$A566-'实盘净值数据(iFinD公式)'!$A$8)/365))</x:f>
        <x:v>#NAME?</x:v>
      </x:c>
      <x:c r="R566" s="152" t="e">
        <x:f>IF(OR(Q565="",Q566=""),"",Q566/Q565-1)</x:f>
        <x:v>#NAME?</x:v>
      </x:c>
      <x:c r="S566" s="152" t="e">
        <x:f>IF(Q566="","",Q566/MAX(Q$5:Q566)-1)</x:f>
        <x:v>#NAME?</x:v>
      </x:c>
    </x:row>
    <x:row r="567">
      <x:c r="A567" s="149" t="str">
        <x:f>IF('实盘净值数据(iFinD公式)'!A567="","",'实盘净值数据(iFinD公式)'!A567)</x:f>
      </x:c>
      <x:c r="B567" s="146" t="e">
        <x:f>IF(OR('实盘净值数据(iFinD公式)'!$A567="",'实盘净值数据(iFinD公式)'!$B567=""),"",分期持仓明细!$AD$17*SUMPRODUCT(分期持仓明细!$B$17:$AA$17,'实盘净值数据(iFinD公式)'!$B567:$AA567/'实盘净值数据(iFinD公式)'!$B$20:$AA$20)*(1-实盘持仓初始配置!$Z$4)^(('实盘净值数据(iFinD公式)'!$A567-'实盘净值数据(iFinD公式)'!$A$6)/365))</x:f>
        <x:v>#NAME?</x:v>
      </x:c>
      <x:c r="C567" s="152" t="e">
        <x:f>IF(OR(B566="",B567=""),"",B567/B566-1)</x:f>
        <x:v>#NAME?</x:v>
      </x:c>
      <x:c r="D567" s="152" t="e">
        <x:f>IF(B567="","",B567/MAX(B$5:B567)-1)</x:f>
        <x:v>#NAME?</x:v>
      </x:c>
      <x:c r="E567" s="146" t="e">
        <x:f>IF(OR('实盘净值数据(iFinD公式)'!$A567="",'实盘净值数据(iFinD公式)'!$B567=""),"",分期持仓明细!$AD$18*SUMPRODUCT(分期持仓明细!$B$18:$AA$18,'实盘净值数据(iFinD公式)'!$B567:$AA567/'实盘净值数据(iFinD公式)'!$B$20:$AA$20)*(1-实盘持仓初始配置!$Z$5)^(('实盘净值数据(iFinD公式)'!$A567-'实盘净值数据(iFinD公式)'!$A$5)/365))</x:f>
        <x:v>#NAME?</x:v>
      </x:c>
      <x:c r="F567" s="152" t="e">
        <x:f>IF(OR(E566="",E567=""),"",E567/E566-1)</x:f>
        <x:v>#NAME?</x:v>
      </x:c>
      <x:c r="G567" s="152" t="e">
        <x:f>IF(E567="","",E567/MAX(E$5:E567)-1)</x:f>
        <x:v>#NAME?</x:v>
      </x:c>
      <x:c r="H567" s="146" t="e">
        <x:f>IF(OR('实盘净值数据(iFinD公式)'!$A567="",'实盘净值数据(iFinD公式)'!$B567=""),"",分期持仓明细!$AD$19*SUMPRODUCT(分期持仓明细!$B$19:$AA$19,'实盘净值数据(iFinD公式)'!$B567:$AA567/'实盘净值数据(iFinD公式)'!$B$20:$AA$20)*(1-实盘持仓初始配置!$Z$6)^(('实盘净值数据(iFinD公式)'!$A567-'实盘净值数据(iFinD公式)'!$A$7)/365))</x:f>
        <x:v>#NAME?</x:v>
      </x:c>
      <x:c r="I567" s="152" t="e">
        <x:f>IF(OR(H566="",H567=""),"",H567/H566-1)</x:f>
        <x:v>#NAME?</x:v>
      </x:c>
      <x:c r="J567" s="152" t="e">
        <x:f>IF(H567="","",H567/MAX(H$5:H567)-1)</x:f>
        <x:v>#NAME?</x:v>
      </x:c>
      <x:c r="K567" s="146" t="e">
        <x:f>IF(OR('实盘净值数据(iFinD公式)'!$A567="",'实盘净值数据(iFinD公式)'!$B567=""),"",分期持仓明细!$AD$23*SUMPRODUCT(分期持仓明细!$B$23:$AA$23,'实盘净值数据(iFinD公式)'!$B567:$AA567/'实盘净值数据(iFinD公式)'!$B$65:$AA$65)*(1-实盘持仓初始配置!$Z$7)^(('实盘净值数据(iFinD公式)'!$A567-'实盘净值数据(iFinD公式)'!$A$8)/365))</x:f>
        <x:v>#NAME?</x:v>
      </x:c>
      <x:c r="L567" s="152" t="e">
        <x:f>IF(OR(K566="",K567=""),"",K567/K566-1)</x:f>
        <x:v>#NAME?</x:v>
      </x:c>
      <x:c r="M567" s="152" t="e">
        <x:f>IF(K567="","",K567/MAX(K$5:K567)-1)</x:f>
        <x:v>#NAME?</x:v>
      </x:c>
      <x:c r="N567" s="146" t="e">
        <x:f>IF(OR('实盘净值数据(iFinD公式)'!$A567="",'实盘净值数据(iFinD公式)'!$B567=""),"",分期持仓明细!$AD$24*SUMPRODUCT(分期持仓明细!$B$24:$AA$24,'实盘净值数据(iFinD公式)'!$B567:$AA567/'实盘净值数据(iFinD公式)'!$B$65:$AA$65)*(1-实盘持仓初始配置!$Z$8)^(('实盘净值数据(iFinD公式)'!$A567-'实盘净值数据(iFinD公式)'!$A$5)/365))</x:f>
        <x:v>#NAME?</x:v>
      </x:c>
      <x:c r="O567" s="152" t="e">
        <x:f>IF(OR(N566="",N567=""),"",N567/N566-1)</x:f>
        <x:v>#NAME?</x:v>
      </x:c>
      <x:c r="P567" s="152" t="e">
        <x:f>IF(N567="","",N567/MAX(N$5:N567)-1)</x:f>
        <x:v>#NAME?</x:v>
      </x:c>
      <x:c r="Q567" s="146" t="e">
        <x:f>IF(OR('实盘净值数据(iFinD公式)'!$A567="",'实盘净值数据(iFinD公式)'!$B567=""),"",分期持仓明细!$AD$25*SUMPRODUCT(分期持仓明细!$B$25:$AA$25,'实盘净值数据(iFinD公式)'!$B567:$AA567/'实盘净值数据(iFinD公式)'!$B$65:$AA$65)*(1-实盘持仓初始配置!$Z$9)^(('实盘净值数据(iFinD公式)'!$A567-'实盘净值数据(iFinD公式)'!$A$8)/365))</x:f>
        <x:v>#NAME?</x:v>
      </x:c>
      <x:c r="R567" s="152" t="e">
        <x:f>IF(OR(Q566="",Q567=""),"",Q567/Q566-1)</x:f>
        <x:v>#NAME?</x:v>
      </x:c>
      <x:c r="S567" s="152" t="e">
        <x:f>IF(Q567="","",Q567/MAX(Q$5:Q567)-1)</x:f>
        <x:v>#NAME?</x:v>
      </x:c>
    </x:row>
    <x:row r="568">
      <x:c r="A568" s="149" t="str">
        <x:f>IF('实盘净值数据(iFinD公式)'!A568="","",'实盘净值数据(iFinD公式)'!A568)</x:f>
      </x:c>
      <x:c r="B568" s="146" t="e">
        <x:f>IF(OR('实盘净值数据(iFinD公式)'!$A568="",'实盘净值数据(iFinD公式)'!$B568=""),"",分期持仓明细!$AD$17*SUMPRODUCT(分期持仓明细!$B$17:$AA$17,'实盘净值数据(iFinD公式)'!$B568:$AA568/'实盘净值数据(iFinD公式)'!$B$20:$AA$20)*(1-实盘持仓初始配置!$Z$4)^(('实盘净值数据(iFinD公式)'!$A568-'实盘净值数据(iFinD公式)'!$A$6)/365))</x:f>
        <x:v>#NAME?</x:v>
      </x:c>
      <x:c r="C568" s="152" t="e">
        <x:f>IF(OR(B567="",B568=""),"",B568/B567-1)</x:f>
        <x:v>#NAME?</x:v>
      </x:c>
      <x:c r="D568" s="152" t="e">
        <x:f>IF(B568="","",B568/MAX(B$5:B568)-1)</x:f>
        <x:v>#NAME?</x:v>
      </x:c>
      <x:c r="E568" s="146" t="e">
        <x:f>IF(OR('实盘净值数据(iFinD公式)'!$A568="",'实盘净值数据(iFinD公式)'!$B568=""),"",分期持仓明细!$AD$18*SUMPRODUCT(分期持仓明细!$B$18:$AA$18,'实盘净值数据(iFinD公式)'!$B568:$AA568/'实盘净值数据(iFinD公式)'!$B$20:$AA$20)*(1-实盘持仓初始配置!$Z$5)^(('实盘净值数据(iFinD公式)'!$A568-'实盘净值数据(iFinD公式)'!$A$5)/365))</x:f>
        <x:v>#NAME?</x:v>
      </x:c>
      <x:c r="F568" s="152" t="e">
        <x:f>IF(OR(E567="",E568=""),"",E568/E567-1)</x:f>
        <x:v>#NAME?</x:v>
      </x:c>
      <x:c r="G568" s="152" t="e">
        <x:f>IF(E568="","",E568/MAX(E$5:E568)-1)</x:f>
        <x:v>#NAME?</x:v>
      </x:c>
      <x:c r="H568" s="146" t="e">
        <x:f>IF(OR('实盘净值数据(iFinD公式)'!$A568="",'实盘净值数据(iFinD公式)'!$B568=""),"",分期持仓明细!$AD$19*SUMPRODUCT(分期持仓明细!$B$19:$AA$19,'实盘净值数据(iFinD公式)'!$B568:$AA568/'实盘净值数据(iFinD公式)'!$B$20:$AA$20)*(1-实盘持仓初始配置!$Z$6)^(('实盘净值数据(iFinD公式)'!$A568-'实盘净值数据(iFinD公式)'!$A$7)/365))</x:f>
        <x:v>#NAME?</x:v>
      </x:c>
      <x:c r="I568" s="152" t="e">
        <x:f>IF(OR(H567="",H568=""),"",H568/H567-1)</x:f>
        <x:v>#NAME?</x:v>
      </x:c>
      <x:c r="J568" s="152" t="e">
        <x:f>IF(H568="","",H568/MAX(H$5:H568)-1)</x:f>
        <x:v>#NAME?</x:v>
      </x:c>
      <x:c r="K568" s="146" t="e">
        <x:f>IF(OR('实盘净值数据(iFinD公式)'!$A568="",'实盘净值数据(iFinD公式)'!$B568=""),"",分期持仓明细!$AD$23*SUMPRODUCT(分期持仓明细!$B$23:$AA$23,'实盘净值数据(iFinD公式)'!$B568:$AA568/'实盘净值数据(iFinD公式)'!$B$65:$AA$65)*(1-实盘持仓初始配置!$Z$7)^(('实盘净值数据(iFinD公式)'!$A568-'实盘净值数据(iFinD公式)'!$A$8)/365))</x:f>
        <x:v>#NAME?</x:v>
      </x:c>
      <x:c r="L568" s="152" t="e">
        <x:f>IF(OR(K567="",K568=""),"",K568/K567-1)</x:f>
        <x:v>#NAME?</x:v>
      </x:c>
      <x:c r="M568" s="152" t="e">
        <x:f>IF(K568="","",K568/MAX(K$5:K568)-1)</x:f>
        <x:v>#NAME?</x:v>
      </x:c>
      <x:c r="N568" s="146" t="e">
        <x:f>IF(OR('实盘净值数据(iFinD公式)'!$A568="",'实盘净值数据(iFinD公式)'!$B568=""),"",分期持仓明细!$AD$24*SUMPRODUCT(分期持仓明细!$B$24:$AA$24,'实盘净值数据(iFinD公式)'!$B568:$AA568/'实盘净值数据(iFinD公式)'!$B$65:$AA$65)*(1-实盘持仓初始配置!$Z$8)^(('实盘净值数据(iFinD公式)'!$A568-'实盘净值数据(iFinD公式)'!$A$5)/365))</x:f>
        <x:v>#NAME?</x:v>
      </x:c>
      <x:c r="O568" s="152" t="e">
        <x:f>IF(OR(N567="",N568=""),"",N568/N567-1)</x:f>
        <x:v>#NAME?</x:v>
      </x:c>
      <x:c r="P568" s="152" t="e">
        <x:f>IF(N568="","",N568/MAX(N$5:N568)-1)</x:f>
        <x:v>#NAME?</x:v>
      </x:c>
      <x:c r="Q568" s="146" t="e">
        <x:f>IF(OR('实盘净值数据(iFinD公式)'!$A568="",'实盘净值数据(iFinD公式)'!$B568=""),"",分期持仓明细!$AD$25*SUMPRODUCT(分期持仓明细!$B$25:$AA$25,'实盘净值数据(iFinD公式)'!$B568:$AA568/'实盘净值数据(iFinD公式)'!$B$65:$AA$65)*(1-实盘持仓初始配置!$Z$9)^(('实盘净值数据(iFinD公式)'!$A568-'实盘净值数据(iFinD公式)'!$A$8)/365))</x:f>
        <x:v>#NAME?</x:v>
      </x:c>
      <x:c r="R568" s="152" t="e">
        <x:f>IF(OR(Q567="",Q568=""),"",Q568/Q567-1)</x:f>
        <x:v>#NAME?</x:v>
      </x:c>
      <x:c r="S568" s="152" t="e">
        <x:f>IF(Q568="","",Q568/MAX(Q$5:Q568)-1)</x:f>
        <x:v>#NAME?</x:v>
      </x:c>
    </x:row>
    <x:row r="569">
      <x:c r="A569" s="149" t="str">
        <x:f>IF('实盘净值数据(iFinD公式)'!A569="","",'实盘净值数据(iFinD公式)'!A569)</x:f>
      </x:c>
      <x:c r="B569" s="146" t="e">
        <x:f>IF(OR('实盘净值数据(iFinD公式)'!$A569="",'实盘净值数据(iFinD公式)'!$B569=""),"",分期持仓明细!$AD$17*SUMPRODUCT(分期持仓明细!$B$17:$AA$17,'实盘净值数据(iFinD公式)'!$B569:$AA569/'实盘净值数据(iFinD公式)'!$B$20:$AA$20)*(1-实盘持仓初始配置!$Z$4)^(('实盘净值数据(iFinD公式)'!$A569-'实盘净值数据(iFinD公式)'!$A$6)/365))</x:f>
        <x:v>#NAME?</x:v>
      </x:c>
      <x:c r="C569" s="152" t="e">
        <x:f>IF(OR(B568="",B569=""),"",B569/B568-1)</x:f>
        <x:v>#NAME?</x:v>
      </x:c>
      <x:c r="D569" s="152" t="e">
        <x:f>IF(B569="","",B569/MAX(B$5:B569)-1)</x:f>
        <x:v>#NAME?</x:v>
      </x:c>
      <x:c r="E569" s="146" t="e">
        <x:f>IF(OR('实盘净值数据(iFinD公式)'!$A569="",'实盘净值数据(iFinD公式)'!$B569=""),"",分期持仓明细!$AD$18*SUMPRODUCT(分期持仓明细!$B$18:$AA$18,'实盘净值数据(iFinD公式)'!$B569:$AA569/'实盘净值数据(iFinD公式)'!$B$20:$AA$20)*(1-实盘持仓初始配置!$Z$5)^(('实盘净值数据(iFinD公式)'!$A569-'实盘净值数据(iFinD公式)'!$A$5)/365))</x:f>
        <x:v>#NAME?</x:v>
      </x:c>
      <x:c r="F569" s="152" t="e">
        <x:f>IF(OR(E568="",E569=""),"",E569/E568-1)</x:f>
        <x:v>#NAME?</x:v>
      </x:c>
      <x:c r="G569" s="152" t="e">
        <x:f>IF(E569="","",E569/MAX(E$5:E569)-1)</x:f>
        <x:v>#NAME?</x:v>
      </x:c>
      <x:c r="H569" s="146" t="e">
        <x:f>IF(OR('实盘净值数据(iFinD公式)'!$A569="",'实盘净值数据(iFinD公式)'!$B569=""),"",分期持仓明细!$AD$19*SUMPRODUCT(分期持仓明细!$B$19:$AA$19,'实盘净值数据(iFinD公式)'!$B569:$AA569/'实盘净值数据(iFinD公式)'!$B$20:$AA$20)*(1-实盘持仓初始配置!$Z$6)^(('实盘净值数据(iFinD公式)'!$A569-'实盘净值数据(iFinD公式)'!$A$7)/365))</x:f>
        <x:v>#NAME?</x:v>
      </x:c>
      <x:c r="I569" s="152" t="e">
        <x:f>IF(OR(H568="",H569=""),"",H569/H568-1)</x:f>
        <x:v>#NAME?</x:v>
      </x:c>
      <x:c r="J569" s="152" t="e">
        <x:f>IF(H569="","",H569/MAX(H$5:H569)-1)</x:f>
        <x:v>#NAME?</x:v>
      </x:c>
      <x:c r="K569" s="146" t="e">
        <x:f>IF(OR('实盘净值数据(iFinD公式)'!$A569="",'实盘净值数据(iFinD公式)'!$B569=""),"",分期持仓明细!$AD$23*SUMPRODUCT(分期持仓明细!$B$23:$AA$23,'实盘净值数据(iFinD公式)'!$B569:$AA569/'实盘净值数据(iFinD公式)'!$B$65:$AA$65)*(1-实盘持仓初始配置!$Z$7)^(('实盘净值数据(iFinD公式)'!$A569-'实盘净值数据(iFinD公式)'!$A$8)/365))</x:f>
        <x:v>#NAME?</x:v>
      </x:c>
      <x:c r="L569" s="152" t="e">
        <x:f>IF(OR(K568="",K569=""),"",K569/K568-1)</x:f>
        <x:v>#NAME?</x:v>
      </x:c>
      <x:c r="M569" s="152" t="e">
        <x:f>IF(K569="","",K569/MAX(K$5:K569)-1)</x:f>
        <x:v>#NAME?</x:v>
      </x:c>
      <x:c r="N569" s="146" t="e">
        <x:f>IF(OR('实盘净值数据(iFinD公式)'!$A569="",'实盘净值数据(iFinD公式)'!$B569=""),"",分期持仓明细!$AD$24*SUMPRODUCT(分期持仓明细!$B$24:$AA$24,'实盘净值数据(iFinD公式)'!$B569:$AA569/'实盘净值数据(iFinD公式)'!$B$65:$AA$65)*(1-实盘持仓初始配置!$Z$8)^(('实盘净值数据(iFinD公式)'!$A569-'实盘净值数据(iFinD公式)'!$A$5)/365))</x:f>
        <x:v>#NAME?</x:v>
      </x:c>
      <x:c r="O569" s="152" t="e">
        <x:f>IF(OR(N568="",N569=""),"",N569/N568-1)</x:f>
        <x:v>#NAME?</x:v>
      </x:c>
      <x:c r="P569" s="152" t="e">
        <x:f>IF(N569="","",N569/MAX(N$5:N569)-1)</x:f>
        <x:v>#NAME?</x:v>
      </x:c>
      <x:c r="Q569" s="146" t="e">
        <x:f>IF(OR('实盘净值数据(iFinD公式)'!$A569="",'实盘净值数据(iFinD公式)'!$B569=""),"",分期持仓明细!$AD$25*SUMPRODUCT(分期持仓明细!$B$25:$AA$25,'实盘净值数据(iFinD公式)'!$B569:$AA569/'实盘净值数据(iFinD公式)'!$B$65:$AA$65)*(1-实盘持仓初始配置!$Z$9)^(('实盘净值数据(iFinD公式)'!$A569-'实盘净值数据(iFinD公式)'!$A$8)/365))</x:f>
        <x:v>#NAME?</x:v>
      </x:c>
      <x:c r="R569" s="152" t="e">
        <x:f>IF(OR(Q568="",Q569=""),"",Q569/Q568-1)</x:f>
        <x:v>#NAME?</x:v>
      </x:c>
      <x:c r="S569" s="152" t="e">
        <x:f>IF(Q569="","",Q569/MAX(Q$5:Q569)-1)</x:f>
        <x:v>#NAME?</x:v>
      </x:c>
    </x:row>
    <x:row r="570">
      <x:c r="A570" s="149" t="str">
        <x:f>IF('实盘净值数据(iFinD公式)'!A570="","",'实盘净值数据(iFinD公式)'!A570)</x:f>
      </x:c>
      <x:c r="B570" s="146" t="e">
        <x:f>IF(OR('实盘净值数据(iFinD公式)'!$A570="",'实盘净值数据(iFinD公式)'!$B570=""),"",分期持仓明细!$AD$17*SUMPRODUCT(分期持仓明细!$B$17:$AA$17,'实盘净值数据(iFinD公式)'!$B570:$AA570/'实盘净值数据(iFinD公式)'!$B$20:$AA$20)*(1-实盘持仓初始配置!$Z$4)^(('实盘净值数据(iFinD公式)'!$A570-'实盘净值数据(iFinD公式)'!$A$6)/365))</x:f>
        <x:v>#NAME?</x:v>
      </x:c>
      <x:c r="C570" s="152" t="e">
        <x:f>IF(OR(B569="",B570=""),"",B570/B569-1)</x:f>
        <x:v>#NAME?</x:v>
      </x:c>
      <x:c r="D570" s="152" t="e">
        <x:f>IF(B570="","",B570/MAX(B$5:B570)-1)</x:f>
        <x:v>#NAME?</x:v>
      </x:c>
      <x:c r="E570" s="146" t="e">
        <x:f>IF(OR('实盘净值数据(iFinD公式)'!$A570="",'实盘净值数据(iFinD公式)'!$B570=""),"",分期持仓明细!$AD$18*SUMPRODUCT(分期持仓明细!$B$18:$AA$18,'实盘净值数据(iFinD公式)'!$B570:$AA570/'实盘净值数据(iFinD公式)'!$B$20:$AA$20)*(1-实盘持仓初始配置!$Z$5)^(('实盘净值数据(iFinD公式)'!$A570-'实盘净值数据(iFinD公式)'!$A$5)/365))</x:f>
        <x:v>#NAME?</x:v>
      </x:c>
      <x:c r="F570" s="152" t="e">
        <x:f>IF(OR(E569="",E570=""),"",E570/E569-1)</x:f>
        <x:v>#NAME?</x:v>
      </x:c>
      <x:c r="G570" s="152" t="e">
        <x:f>IF(E570="","",E570/MAX(E$5:E570)-1)</x:f>
        <x:v>#NAME?</x:v>
      </x:c>
      <x:c r="H570" s="146" t="e">
        <x:f>IF(OR('实盘净值数据(iFinD公式)'!$A570="",'实盘净值数据(iFinD公式)'!$B570=""),"",分期持仓明细!$AD$19*SUMPRODUCT(分期持仓明细!$B$19:$AA$19,'实盘净值数据(iFinD公式)'!$B570:$AA570/'实盘净值数据(iFinD公式)'!$B$20:$AA$20)*(1-实盘持仓初始配置!$Z$6)^(('实盘净值数据(iFinD公式)'!$A570-'实盘净值数据(iFinD公式)'!$A$7)/365))</x:f>
        <x:v>#NAME?</x:v>
      </x:c>
      <x:c r="I570" s="152" t="e">
        <x:f>IF(OR(H569="",H570=""),"",H570/H569-1)</x:f>
        <x:v>#NAME?</x:v>
      </x:c>
      <x:c r="J570" s="152" t="e">
        <x:f>IF(H570="","",H570/MAX(H$5:H570)-1)</x:f>
        <x:v>#NAME?</x:v>
      </x:c>
      <x:c r="K570" s="146" t="e">
        <x:f>IF(OR('实盘净值数据(iFinD公式)'!$A570="",'实盘净值数据(iFinD公式)'!$B570=""),"",分期持仓明细!$AD$23*SUMPRODUCT(分期持仓明细!$B$23:$AA$23,'实盘净值数据(iFinD公式)'!$B570:$AA570/'实盘净值数据(iFinD公式)'!$B$65:$AA$65)*(1-实盘持仓初始配置!$Z$7)^(('实盘净值数据(iFinD公式)'!$A570-'实盘净值数据(iFinD公式)'!$A$8)/365))</x:f>
        <x:v>#NAME?</x:v>
      </x:c>
      <x:c r="L570" s="152" t="e">
        <x:f>IF(OR(K569="",K570=""),"",K570/K569-1)</x:f>
        <x:v>#NAME?</x:v>
      </x:c>
      <x:c r="M570" s="152" t="e">
        <x:f>IF(K570="","",K570/MAX(K$5:K570)-1)</x:f>
        <x:v>#NAME?</x:v>
      </x:c>
      <x:c r="N570" s="146" t="e">
        <x:f>IF(OR('实盘净值数据(iFinD公式)'!$A570="",'实盘净值数据(iFinD公式)'!$B570=""),"",分期持仓明细!$AD$24*SUMPRODUCT(分期持仓明细!$B$24:$AA$24,'实盘净值数据(iFinD公式)'!$B570:$AA570/'实盘净值数据(iFinD公式)'!$B$65:$AA$65)*(1-实盘持仓初始配置!$Z$8)^(('实盘净值数据(iFinD公式)'!$A570-'实盘净值数据(iFinD公式)'!$A$5)/365))</x:f>
        <x:v>#NAME?</x:v>
      </x:c>
      <x:c r="O570" s="152" t="e">
        <x:f>IF(OR(N569="",N570=""),"",N570/N569-1)</x:f>
        <x:v>#NAME?</x:v>
      </x:c>
      <x:c r="P570" s="152" t="e">
        <x:f>IF(N570="","",N570/MAX(N$5:N570)-1)</x:f>
        <x:v>#NAME?</x:v>
      </x:c>
      <x:c r="Q570" s="146" t="e">
        <x:f>IF(OR('实盘净值数据(iFinD公式)'!$A570="",'实盘净值数据(iFinD公式)'!$B570=""),"",分期持仓明细!$AD$25*SUMPRODUCT(分期持仓明细!$B$25:$AA$25,'实盘净值数据(iFinD公式)'!$B570:$AA570/'实盘净值数据(iFinD公式)'!$B$65:$AA$65)*(1-实盘持仓初始配置!$Z$9)^(('实盘净值数据(iFinD公式)'!$A570-'实盘净值数据(iFinD公式)'!$A$8)/365))</x:f>
        <x:v>#NAME?</x:v>
      </x:c>
      <x:c r="R570" s="152" t="e">
        <x:f>IF(OR(Q569="",Q570=""),"",Q570/Q569-1)</x:f>
        <x:v>#NAME?</x:v>
      </x:c>
      <x:c r="S570" s="152" t="e">
        <x:f>IF(Q570="","",Q570/MAX(Q$5:Q570)-1)</x:f>
        <x:v>#NAME?</x:v>
      </x:c>
    </x:row>
    <x:row r="571">
      <x:c r="A571" s="149" t="str">
        <x:f>IF('实盘净值数据(iFinD公式)'!A571="","",'实盘净值数据(iFinD公式)'!A571)</x:f>
      </x:c>
      <x:c r="B571" s="146" t="e">
        <x:f>IF(OR('实盘净值数据(iFinD公式)'!$A571="",'实盘净值数据(iFinD公式)'!$B571=""),"",分期持仓明细!$AD$17*SUMPRODUCT(分期持仓明细!$B$17:$AA$17,'实盘净值数据(iFinD公式)'!$B571:$AA571/'实盘净值数据(iFinD公式)'!$B$20:$AA$20)*(1-实盘持仓初始配置!$Z$4)^(('实盘净值数据(iFinD公式)'!$A571-'实盘净值数据(iFinD公式)'!$A$6)/365))</x:f>
        <x:v>#NAME?</x:v>
      </x:c>
      <x:c r="C571" s="152" t="e">
        <x:f>IF(OR(B570="",B571=""),"",B571/B570-1)</x:f>
        <x:v>#NAME?</x:v>
      </x:c>
      <x:c r="D571" s="152" t="e">
        <x:f>IF(B571="","",B571/MAX(B$5:B571)-1)</x:f>
        <x:v>#NAME?</x:v>
      </x:c>
      <x:c r="E571" s="146" t="e">
        <x:f>IF(OR('实盘净值数据(iFinD公式)'!$A571="",'实盘净值数据(iFinD公式)'!$B571=""),"",分期持仓明细!$AD$18*SUMPRODUCT(分期持仓明细!$B$18:$AA$18,'实盘净值数据(iFinD公式)'!$B571:$AA571/'实盘净值数据(iFinD公式)'!$B$20:$AA$20)*(1-实盘持仓初始配置!$Z$5)^(('实盘净值数据(iFinD公式)'!$A571-'实盘净值数据(iFinD公式)'!$A$5)/365))</x:f>
        <x:v>#NAME?</x:v>
      </x:c>
      <x:c r="F571" s="152" t="e">
        <x:f>IF(OR(E570="",E571=""),"",E571/E570-1)</x:f>
        <x:v>#NAME?</x:v>
      </x:c>
      <x:c r="G571" s="152" t="e">
        <x:f>IF(E571="","",E571/MAX(E$5:E571)-1)</x:f>
        <x:v>#NAME?</x:v>
      </x:c>
      <x:c r="H571" s="146" t="e">
        <x:f>IF(OR('实盘净值数据(iFinD公式)'!$A571="",'实盘净值数据(iFinD公式)'!$B571=""),"",分期持仓明细!$AD$19*SUMPRODUCT(分期持仓明细!$B$19:$AA$19,'实盘净值数据(iFinD公式)'!$B571:$AA571/'实盘净值数据(iFinD公式)'!$B$20:$AA$20)*(1-实盘持仓初始配置!$Z$6)^(('实盘净值数据(iFinD公式)'!$A571-'实盘净值数据(iFinD公式)'!$A$7)/365))</x:f>
        <x:v>#NAME?</x:v>
      </x:c>
      <x:c r="I571" s="152" t="e">
        <x:f>IF(OR(H570="",H571=""),"",H571/H570-1)</x:f>
        <x:v>#NAME?</x:v>
      </x:c>
      <x:c r="J571" s="152" t="e">
        <x:f>IF(H571="","",H571/MAX(H$5:H571)-1)</x:f>
        <x:v>#NAME?</x:v>
      </x:c>
      <x:c r="K571" s="146" t="e">
        <x:f>IF(OR('实盘净值数据(iFinD公式)'!$A571="",'实盘净值数据(iFinD公式)'!$B571=""),"",分期持仓明细!$AD$23*SUMPRODUCT(分期持仓明细!$B$23:$AA$23,'实盘净值数据(iFinD公式)'!$B571:$AA571/'实盘净值数据(iFinD公式)'!$B$65:$AA$65)*(1-实盘持仓初始配置!$Z$7)^(('实盘净值数据(iFinD公式)'!$A571-'实盘净值数据(iFinD公式)'!$A$8)/365))</x:f>
        <x:v>#NAME?</x:v>
      </x:c>
      <x:c r="L571" s="152" t="e">
        <x:f>IF(OR(K570="",K571=""),"",K571/K570-1)</x:f>
        <x:v>#NAME?</x:v>
      </x:c>
      <x:c r="M571" s="152" t="e">
        <x:f>IF(K571="","",K571/MAX(K$5:K571)-1)</x:f>
        <x:v>#NAME?</x:v>
      </x:c>
      <x:c r="N571" s="146" t="e">
        <x:f>IF(OR('实盘净值数据(iFinD公式)'!$A571="",'实盘净值数据(iFinD公式)'!$B571=""),"",分期持仓明细!$AD$24*SUMPRODUCT(分期持仓明细!$B$24:$AA$24,'实盘净值数据(iFinD公式)'!$B571:$AA571/'实盘净值数据(iFinD公式)'!$B$65:$AA$65)*(1-实盘持仓初始配置!$Z$8)^(('实盘净值数据(iFinD公式)'!$A571-'实盘净值数据(iFinD公式)'!$A$5)/365))</x:f>
        <x:v>#NAME?</x:v>
      </x:c>
      <x:c r="O571" s="152" t="e">
        <x:f>IF(OR(N570="",N571=""),"",N571/N570-1)</x:f>
        <x:v>#NAME?</x:v>
      </x:c>
      <x:c r="P571" s="152" t="e">
        <x:f>IF(N571="","",N571/MAX(N$5:N571)-1)</x:f>
        <x:v>#NAME?</x:v>
      </x:c>
      <x:c r="Q571" s="146" t="e">
        <x:f>IF(OR('实盘净值数据(iFinD公式)'!$A571="",'实盘净值数据(iFinD公式)'!$B571=""),"",分期持仓明细!$AD$25*SUMPRODUCT(分期持仓明细!$B$25:$AA$25,'实盘净值数据(iFinD公式)'!$B571:$AA571/'实盘净值数据(iFinD公式)'!$B$65:$AA$65)*(1-实盘持仓初始配置!$Z$9)^(('实盘净值数据(iFinD公式)'!$A571-'实盘净值数据(iFinD公式)'!$A$8)/365))</x:f>
        <x:v>#NAME?</x:v>
      </x:c>
      <x:c r="R571" s="152" t="e">
        <x:f>IF(OR(Q570="",Q571=""),"",Q571/Q570-1)</x:f>
        <x:v>#NAME?</x:v>
      </x:c>
      <x:c r="S571" s="152" t="e">
        <x:f>IF(Q571="","",Q571/MAX(Q$5:Q571)-1)</x:f>
        <x:v>#NAME?</x:v>
      </x:c>
    </x:row>
    <x:row r="572">
      <x:c r="A572" s="149" t="str">
        <x:f>IF('实盘净值数据(iFinD公式)'!A572="","",'实盘净值数据(iFinD公式)'!A572)</x:f>
      </x:c>
      <x:c r="B572" s="146" t="e">
        <x:f>IF(OR('实盘净值数据(iFinD公式)'!$A572="",'实盘净值数据(iFinD公式)'!$B572=""),"",分期持仓明细!$AD$17*SUMPRODUCT(分期持仓明细!$B$17:$AA$17,'实盘净值数据(iFinD公式)'!$B572:$AA572/'实盘净值数据(iFinD公式)'!$B$20:$AA$20)*(1-实盘持仓初始配置!$Z$4)^(('实盘净值数据(iFinD公式)'!$A572-'实盘净值数据(iFinD公式)'!$A$6)/365))</x:f>
        <x:v>#NAME?</x:v>
      </x:c>
      <x:c r="C572" s="152" t="e">
        <x:f>IF(OR(B571="",B572=""),"",B572/B571-1)</x:f>
        <x:v>#NAME?</x:v>
      </x:c>
      <x:c r="D572" s="152" t="e">
        <x:f>IF(B572="","",B572/MAX(B$5:B572)-1)</x:f>
        <x:v>#NAME?</x:v>
      </x:c>
      <x:c r="E572" s="146" t="e">
        <x:f>IF(OR('实盘净值数据(iFinD公式)'!$A572="",'实盘净值数据(iFinD公式)'!$B572=""),"",分期持仓明细!$AD$18*SUMPRODUCT(分期持仓明细!$B$18:$AA$18,'实盘净值数据(iFinD公式)'!$B572:$AA572/'实盘净值数据(iFinD公式)'!$B$20:$AA$20)*(1-实盘持仓初始配置!$Z$5)^(('实盘净值数据(iFinD公式)'!$A572-'实盘净值数据(iFinD公式)'!$A$5)/365))</x:f>
        <x:v>#NAME?</x:v>
      </x:c>
      <x:c r="F572" s="152" t="e">
        <x:f>IF(OR(E571="",E572=""),"",E572/E571-1)</x:f>
        <x:v>#NAME?</x:v>
      </x:c>
      <x:c r="G572" s="152" t="e">
        <x:f>IF(E572="","",E572/MAX(E$5:E572)-1)</x:f>
        <x:v>#NAME?</x:v>
      </x:c>
      <x:c r="H572" s="146" t="e">
        <x:f>IF(OR('实盘净值数据(iFinD公式)'!$A572="",'实盘净值数据(iFinD公式)'!$B572=""),"",分期持仓明细!$AD$19*SUMPRODUCT(分期持仓明细!$B$19:$AA$19,'实盘净值数据(iFinD公式)'!$B572:$AA572/'实盘净值数据(iFinD公式)'!$B$20:$AA$20)*(1-实盘持仓初始配置!$Z$6)^(('实盘净值数据(iFinD公式)'!$A572-'实盘净值数据(iFinD公式)'!$A$7)/365))</x:f>
        <x:v>#NAME?</x:v>
      </x:c>
      <x:c r="I572" s="152" t="e">
        <x:f>IF(OR(H571="",H572=""),"",H572/H571-1)</x:f>
        <x:v>#NAME?</x:v>
      </x:c>
      <x:c r="J572" s="152" t="e">
        <x:f>IF(H572="","",H572/MAX(H$5:H572)-1)</x:f>
        <x:v>#NAME?</x:v>
      </x:c>
      <x:c r="K572" s="146" t="e">
        <x:f>IF(OR('实盘净值数据(iFinD公式)'!$A572="",'实盘净值数据(iFinD公式)'!$B572=""),"",分期持仓明细!$AD$23*SUMPRODUCT(分期持仓明细!$B$23:$AA$23,'实盘净值数据(iFinD公式)'!$B572:$AA572/'实盘净值数据(iFinD公式)'!$B$65:$AA$65)*(1-实盘持仓初始配置!$Z$7)^(('实盘净值数据(iFinD公式)'!$A572-'实盘净值数据(iFinD公式)'!$A$8)/365))</x:f>
        <x:v>#NAME?</x:v>
      </x:c>
      <x:c r="L572" s="152" t="e">
        <x:f>IF(OR(K571="",K572=""),"",K572/K571-1)</x:f>
        <x:v>#NAME?</x:v>
      </x:c>
      <x:c r="M572" s="152" t="e">
        <x:f>IF(K572="","",K572/MAX(K$5:K572)-1)</x:f>
        <x:v>#NAME?</x:v>
      </x:c>
      <x:c r="N572" s="146" t="e">
        <x:f>IF(OR('实盘净值数据(iFinD公式)'!$A572="",'实盘净值数据(iFinD公式)'!$B572=""),"",分期持仓明细!$AD$24*SUMPRODUCT(分期持仓明细!$B$24:$AA$24,'实盘净值数据(iFinD公式)'!$B572:$AA572/'实盘净值数据(iFinD公式)'!$B$65:$AA$65)*(1-实盘持仓初始配置!$Z$8)^(('实盘净值数据(iFinD公式)'!$A572-'实盘净值数据(iFinD公式)'!$A$5)/365))</x:f>
        <x:v>#NAME?</x:v>
      </x:c>
      <x:c r="O572" s="152" t="e">
        <x:f>IF(OR(N571="",N572=""),"",N572/N571-1)</x:f>
        <x:v>#NAME?</x:v>
      </x:c>
      <x:c r="P572" s="152" t="e">
        <x:f>IF(N572="","",N572/MAX(N$5:N572)-1)</x:f>
        <x:v>#NAME?</x:v>
      </x:c>
      <x:c r="Q572" s="146" t="e">
        <x:f>IF(OR('实盘净值数据(iFinD公式)'!$A572="",'实盘净值数据(iFinD公式)'!$B572=""),"",分期持仓明细!$AD$25*SUMPRODUCT(分期持仓明细!$B$25:$AA$25,'实盘净值数据(iFinD公式)'!$B572:$AA572/'实盘净值数据(iFinD公式)'!$B$65:$AA$65)*(1-实盘持仓初始配置!$Z$9)^(('实盘净值数据(iFinD公式)'!$A572-'实盘净值数据(iFinD公式)'!$A$8)/365))</x:f>
        <x:v>#NAME?</x:v>
      </x:c>
      <x:c r="R572" s="152" t="e">
        <x:f>IF(OR(Q571="",Q572=""),"",Q572/Q571-1)</x:f>
        <x:v>#NAME?</x:v>
      </x:c>
      <x:c r="S572" s="152" t="e">
        <x:f>IF(Q572="","",Q572/MAX(Q$5:Q572)-1)</x:f>
        <x:v>#NAME?</x:v>
      </x:c>
    </x:row>
    <x:row r="573">
      <x:c r="A573" s="149" t="str">
        <x:f>IF('实盘净值数据(iFinD公式)'!A573="","",'实盘净值数据(iFinD公式)'!A573)</x:f>
      </x:c>
      <x:c r="B573" s="146" t="e">
        <x:f>IF(OR('实盘净值数据(iFinD公式)'!$A573="",'实盘净值数据(iFinD公式)'!$B573=""),"",分期持仓明细!$AD$17*SUMPRODUCT(分期持仓明细!$B$17:$AA$17,'实盘净值数据(iFinD公式)'!$B573:$AA573/'实盘净值数据(iFinD公式)'!$B$20:$AA$20)*(1-实盘持仓初始配置!$Z$4)^(('实盘净值数据(iFinD公式)'!$A573-'实盘净值数据(iFinD公式)'!$A$6)/365))</x:f>
        <x:v>#NAME?</x:v>
      </x:c>
      <x:c r="C573" s="152" t="e">
        <x:f>IF(OR(B572="",B573=""),"",B573/B572-1)</x:f>
        <x:v>#NAME?</x:v>
      </x:c>
      <x:c r="D573" s="152" t="e">
        <x:f>IF(B573="","",B573/MAX(B$5:B573)-1)</x:f>
        <x:v>#NAME?</x:v>
      </x:c>
      <x:c r="E573" s="146" t="e">
        <x:f>IF(OR('实盘净值数据(iFinD公式)'!$A573="",'实盘净值数据(iFinD公式)'!$B573=""),"",分期持仓明细!$AD$18*SUMPRODUCT(分期持仓明细!$B$18:$AA$18,'实盘净值数据(iFinD公式)'!$B573:$AA573/'实盘净值数据(iFinD公式)'!$B$20:$AA$20)*(1-实盘持仓初始配置!$Z$5)^(('实盘净值数据(iFinD公式)'!$A573-'实盘净值数据(iFinD公式)'!$A$5)/365))</x:f>
        <x:v>#NAME?</x:v>
      </x:c>
      <x:c r="F573" s="152" t="e">
        <x:f>IF(OR(E572="",E573=""),"",E573/E572-1)</x:f>
        <x:v>#NAME?</x:v>
      </x:c>
      <x:c r="G573" s="152" t="e">
        <x:f>IF(E573="","",E573/MAX(E$5:E573)-1)</x:f>
        <x:v>#NAME?</x:v>
      </x:c>
      <x:c r="H573" s="146" t="e">
        <x:f>IF(OR('实盘净值数据(iFinD公式)'!$A573="",'实盘净值数据(iFinD公式)'!$B573=""),"",分期持仓明细!$AD$19*SUMPRODUCT(分期持仓明细!$B$19:$AA$19,'实盘净值数据(iFinD公式)'!$B573:$AA573/'实盘净值数据(iFinD公式)'!$B$20:$AA$20)*(1-实盘持仓初始配置!$Z$6)^(('实盘净值数据(iFinD公式)'!$A573-'实盘净值数据(iFinD公式)'!$A$7)/365))</x:f>
        <x:v>#NAME?</x:v>
      </x:c>
      <x:c r="I573" s="152" t="e">
        <x:f>IF(OR(H572="",H573=""),"",H573/H572-1)</x:f>
        <x:v>#NAME?</x:v>
      </x:c>
      <x:c r="J573" s="152" t="e">
        <x:f>IF(H573="","",H573/MAX(H$5:H573)-1)</x:f>
        <x:v>#NAME?</x:v>
      </x:c>
      <x:c r="K573" s="146" t="e">
        <x:f>IF(OR('实盘净值数据(iFinD公式)'!$A573="",'实盘净值数据(iFinD公式)'!$B573=""),"",分期持仓明细!$AD$23*SUMPRODUCT(分期持仓明细!$B$23:$AA$23,'实盘净值数据(iFinD公式)'!$B573:$AA573/'实盘净值数据(iFinD公式)'!$B$65:$AA$65)*(1-实盘持仓初始配置!$Z$7)^(('实盘净值数据(iFinD公式)'!$A573-'实盘净值数据(iFinD公式)'!$A$8)/365))</x:f>
        <x:v>#NAME?</x:v>
      </x:c>
      <x:c r="L573" s="152" t="e">
        <x:f>IF(OR(K572="",K573=""),"",K573/K572-1)</x:f>
        <x:v>#NAME?</x:v>
      </x:c>
      <x:c r="M573" s="152" t="e">
        <x:f>IF(K573="","",K573/MAX(K$5:K573)-1)</x:f>
        <x:v>#NAME?</x:v>
      </x:c>
      <x:c r="N573" s="146" t="e">
        <x:f>IF(OR('实盘净值数据(iFinD公式)'!$A573="",'实盘净值数据(iFinD公式)'!$B573=""),"",分期持仓明细!$AD$24*SUMPRODUCT(分期持仓明细!$B$24:$AA$24,'实盘净值数据(iFinD公式)'!$B573:$AA573/'实盘净值数据(iFinD公式)'!$B$65:$AA$65)*(1-实盘持仓初始配置!$Z$8)^(('实盘净值数据(iFinD公式)'!$A573-'实盘净值数据(iFinD公式)'!$A$5)/365))</x:f>
        <x:v>#NAME?</x:v>
      </x:c>
      <x:c r="O573" s="152" t="e">
        <x:f>IF(OR(N572="",N573=""),"",N573/N572-1)</x:f>
        <x:v>#NAME?</x:v>
      </x:c>
      <x:c r="P573" s="152" t="e">
        <x:f>IF(N573="","",N573/MAX(N$5:N573)-1)</x:f>
        <x:v>#NAME?</x:v>
      </x:c>
      <x:c r="Q573" s="146" t="e">
        <x:f>IF(OR('实盘净值数据(iFinD公式)'!$A573="",'实盘净值数据(iFinD公式)'!$B573=""),"",分期持仓明细!$AD$25*SUMPRODUCT(分期持仓明细!$B$25:$AA$25,'实盘净值数据(iFinD公式)'!$B573:$AA573/'实盘净值数据(iFinD公式)'!$B$65:$AA$65)*(1-实盘持仓初始配置!$Z$9)^(('实盘净值数据(iFinD公式)'!$A573-'实盘净值数据(iFinD公式)'!$A$8)/365))</x:f>
        <x:v>#NAME?</x:v>
      </x:c>
      <x:c r="R573" s="152" t="e">
        <x:f>IF(OR(Q572="",Q573=""),"",Q573/Q572-1)</x:f>
        <x:v>#NAME?</x:v>
      </x:c>
      <x:c r="S573" s="152" t="e">
        <x:f>IF(Q573="","",Q573/MAX(Q$5:Q573)-1)</x:f>
        <x:v>#NAME?</x:v>
      </x:c>
    </x:row>
    <x:row r="574">
      <x:c r="A574" s="149" t="str">
        <x:f>IF('实盘净值数据(iFinD公式)'!A574="","",'实盘净值数据(iFinD公式)'!A574)</x:f>
      </x:c>
      <x:c r="B574" s="146" t="e">
        <x:f>IF(OR('实盘净值数据(iFinD公式)'!$A574="",'实盘净值数据(iFinD公式)'!$B574=""),"",分期持仓明细!$AD$17*SUMPRODUCT(分期持仓明细!$B$17:$AA$17,'实盘净值数据(iFinD公式)'!$B574:$AA574/'实盘净值数据(iFinD公式)'!$B$20:$AA$20)*(1-实盘持仓初始配置!$Z$4)^(('实盘净值数据(iFinD公式)'!$A574-'实盘净值数据(iFinD公式)'!$A$6)/365))</x:f>
        <x:v>#NAME?</x:v>
      </x:c>
      <x:c r="C574" s="152" t="e">
        <x:f>IF(OR(B573="",B574=""),"",B574/B573-1)</x:f>
        <x:v>#NAME?</x:v>
      </x:c>
      <x:c r="D574" s="152" t="e">
        <x:f>IF(B574="","",B574/MAX(B$5:B574)-1)</x:f>
        <x:v>#NAME?</x:v>
      </x:c>
      <x:c r="E574" s="146" t="e">
        <x:f>IF(OR('实盘净值数据(iFinD公式)'!$A574="",'实盘净值数据(iFinD公式)'!$B574=""),"",分期持仓明细!$AD$18*SUMPRODUCT(分期持仓明细!$B$18:$AA$18,'实盘净值数据(iFinD公式)'!$B574:$AA574/'实盘净值数据(iFinD公式)'!$B$20:$AA$20)*(1-实盘持仓初始配置!$Z$5)^(('实盘净值数据(iFinD公式)'!$A574-'实盘净值数据(iFinD公式)'!$A$5)/365))</x:f>
        <x:v>#NAME?</x:v>
      </x:c>
      <x:c r="F574" s="152" t="e">
        <x:f>IF(OR(E573="",E574=""),"",E574/E573-1)</x:f>
        <x:v>#NAME?</x:v>
      </x:c>
      <x:c r="G574" s="152" t="e">
        <x:f>IF(E574="","",E574/MAX(E$5:E574)-1)</x:f>
        <x:v>#NAME?</x:v>
      </x:c>
      <x:c r="H574" s="146" t="e">
        <x:f>IF(OR('实盘净值数据(iFinD公式)'!$A574="",'实盘净值数据(iFinD公式)'!$B574=""),"",分期持仓明细!$AD$19*SUMPRODUCT(分期持仓明细!$B$19:$AA$19,'实盘净值数据(iFinD公式)'!$B574:$AA574/'实盘净值数据(iFinD公式)'!$B$20:$AA$20)*(1-实盘持仓初始配置!$Z$6)^(('实盘净值数据(iFinD公式)'!$A574-'实盘净值数据(iFinD公式)'!$A$7)/365))</x:f>
        <x:v>#NAME?</x:v>
      </x:c>
      <x:c r="I574" s="152" t="e">
        <x:f>IF(OR(H573="",H574=""),"",H574/H573-1)</x:f>
        <x:v>#NAME?</x:v>
      </x:c>
      <x:c r="J574" s="152" t="e">
        <x:f>IF(H574="","",H574/MAX(H$5:H574)-1)</x:f>
        <x:v>#NAME?</x:v>
      </x:c>
      <x:c r="K574" s="146" t="e">
        <x:f>IF(OR('实盘净值数据(iFinD公式)'!$A574="",'实盘净值数据(iFinD公式)'!$B574=""),"",分期持仓明细!$AD$23*SUMPRODUCT(分期持仓明细!$B$23:$AA$23,'实盘净值数据(iFinD公式)'!$B574:$AA574/'实盘净值数据(iFinD公式)'!$B$65:$AA$65)*(1-实盘持仓初始配置!$Z$7)^(('实盘净值数据(iFinD公式)'!$A574-'实盘净值数据(iFinD公式)'!$A$8)/365))</x:f>
        <x:v>#NAME?</x:v>
      </x:c>
      <x:c r="L574" s="152" t="e">
        <x:f>IF(OR(K573="",K574=""),"",K574/K573-1)</x:f>
        <x:v>#NAME?</x:v>
      </x:c>
      <x:c r="M574" s="152" t="e">
        <x:f>IF(K574="","",K574/MAX(K$5:K574)-1)</x:f>
        <x:v>#NAME?</x:v>
      </x:c>
      <x:c r="N574" s="146" t="e">
        <x:f>IF(OR('实盘净值数据(iFinD公式)'!$A574="",'实盘净值数据(iFinD公式)'!$B574=""),"",分期持仓明细!$AD$24*SUMPRODUCT(分期持仓明细!$B$24:$AA$24,'实盘净值数据(iFinD公式)'!$B574:$AA574/'实盘净值数据(iFinD公式)'!$B$65:$AA$65)*(1-实盘持仓初始配置!$Z$8)^(('实盘净值数据(iFinD公式)'!$A574-'实盘净值数据(iFinD公式)'!$A$5)/365))</x:f>
        <x:v>#NAME?</x:v>
      </x:c>
      <x:c r="O574" s="152" t="e">
        <x:f>IF(OR(N573="",N574=""),"",N574/N573-1)</x:f>
        <x:v>#NAME?</x:v>
      </x:c>
      <x:c r="P574" s="152" t="e">
        <x:f>IF(N574="","",N574/MAX(N$5:N574)-1)</x:f>
        <x:v>#NAME?</x:v>
      </x:c>
      <x:c r="Q574" s="146" t="e">
        <x:f>IF(OR('实盘净值数据(iFinD公式)'!$A574="",'实盘净值数据(iFinD公式)'!$B574=""),"",分期持仓明细!$AD$25*SUMPRODUCT(分期持仓明细!$B$25:$AA$25,'实盘净值数据(iFinD公式)'!$B574:$AA574/'实盘净值数据(iFinD公式)'!$B$65:$AA$65)*(1-实盘持仓初始配置!$Z$9)^(('实盘净值数据(iFinD公式)'!$A574-'实盘净值数据(iFinD公式)'!$A$8)/365))</x:f>
        <x:v>#NAME?</x:v>
      </x:c>
      <x:c r="R574" s="152" t="e">
        <x:f>IF(OR(Q573="",Q574=""),"",Q574/Q573-1)</x:f>
        <x:v>#NAME?</x:v>
      </x:c>
      <x:c r="S574" s="152" t="e">
        <x:f>IF(Q574="","",Q574/MAX(Q$5:Q574)-1)</x:f>
        <x:v>#NAME?</x:v>
      </x:c>
    </x:row>
    <x:row r="575">
      <x:c r="A575" s="149" t="str">
        <x:f>IF('实盘净值数据(iFinD公式)'!A575="","",'实盘净值数据(iFinD公式)'!A575)</x:f>
      </x:c>
      <x:c r="B575" s="146" t="e">
        <x:f>IF(OR('实盘净值数据(iFinD公式)'!$A575="",'实盘净值数据(iFinD公式)'!$B575=""),"",分期持仓明细!$AD$17*SUMPRODUCT(分期持仓明细!$B$17:$AA$17,'实盘净值数据(iFinD公式)'!$B575:$AA575/'实盘净值数据(iFinD公式)'!$B$20:$AA$20)*(1-实盘持仓初始配置!$Z$4)^(('实盘净值数据(iFinD公式)'!$A575-'实盘净值数据(iFinD公式)'!$A$6)/365))</x:f>
        <x:v>#NAME?</x:v>
      </x:c>
      <x:c r="C575" s="152" t="e">
        <x:f>IF(OR(B574="",B575=""),"",B575/B574-1)</x:f>
        <x:v>#NAME?</x:v>
      </x:c>
      <x:c r="D575" s="152" t="e">
        <x:f>IF(B575="","",B575/MAX(B$5:B575)-1)</x:f>
        <x:v>#NAME?</x:v>
      </x:c>
      <x:c r="E575" s="146" t="e">
        <x:f>IF(OR('实盘净值数据(iFinD公式)'!$A575="",'实盘净值数据(iFinD公式)'!$B575=""),"",分期持仓明细!$AD$18*SUMPRODUCT(分期持仓明细!$B$18:$AA$18,'实盘净值数据(iFinD公式)'!$B575:$AA575/'实盘净值数据(iFinD公式)'!$B$20:$AA$20)*(1-实盘持仓初始配置!$Z$5)^(('实盘净值数据(iFinD公式)'!$A575-'实盘净值数据(iFinD公式)'!$A$5)/365))</x:f>
        <x:v>#NAME?</x:v>
      </x:c>
      <x:c r="F575" s="152" t="e">
        <x:f>IF(OR(E574="",E575=""),"",E575/E574-1)</x:f>
        <x:v>#NAME?</x:v>
      </x:c>
      <x:c r="G575" s="152" t="e">
        <x:f>IF(E575="","",E575/MAX(E$5:E575)-1)</x:f>
        <x:v>#NAME?</x:v>
      </x:c>
      <x:c r="H575" s="146" t="e">
        <x:f>IF(OR('实盘净值数据(iFinD公式)'!$A575="",'实盘净值数据(iFinD公式)'!$B575=""),"",分期持仓明细!$AD$19*SUMPRODUCT(分期持仓明细!$B$19:$AA$19,'实盘净值数据(iFinD公式)'!$B575:$AA575/'实盘净值数据(iFinD公式)'!$B$20:$AA$20)*(1-实盘持仓初始配置!$Z$6)^(('实盘净值数据(iFinD公式)'!$A575-'实盘净值数据(iFinD公式)'!$A$7)/365))</x:f>
        <x:v>#NAME?</x:v>
      </x:c>
      <x:c r="I575" s="152" t="e">
        <x:f>IF(OR(H574="",H575=""),"",H575/H574-1)</x:f>
        <x:v>#NAME?</x:v>
      </x:c>
      <x:c r="J575" s="152" t="e">
        <x:f>IF(H575="","",H575/MAX(H$5:H575)-1)</x:f>
        <x:v>#NAME?</x:v>
      </x:c>
      <x:c r="K575" s="146" t="e">
        <x:f>IF(OR('实盘净值数据(iFinD公式)'!$A575="",'实盘净值数据(iFinD公式)'!$B575=""),"",分期持仓明细!$AD$23*SUMPRODUCT(分期持仓明细!$B$23:$AA$23,'实盘净值数据(iFinD公式)'!$B575:$AA575/'实盘净值数据(iFinD公式)'!$B$65:$AA$65)*(1-实盘持仓初始配置!$Z$7)^(('实盘净值数据(iFinD公式)'!$A575-'实盘净值数据(iFinD公式)'!$A$8)/365))</x:f>
        <x:v>#NAME?</x:v>
      </x:c>
      <x:c r="L575" s="152" t="e">
        <x:f>IF(OR(K574="",K575=""),"",K575/K574-1)</x:f>
        <x:v>#NAME?</x:v>
      </x:c>
      <x:c r="M575" s="152" t="e">
        <x:f>IF(K575="","",K575/MAX(K$5:K575)-1)</x:f>
        <x:v>#NAME?</x:v>
      </x:c>
      <x:c r="N575" s="146" t="e">
        <x:f>IF(OR('实盘净值数据(iFinD公式)'!$A575="",'实盘净值数据(iFinD公式)'!$B575=""),"",分期持仓明细!$AD$24*SUMPRODUCT(分期持仓明细!$B$24:$AA$24,'实盘净值数据(iFinD公式)'!$B575:$AA575/'实盘净值数据(iFinD公式)'!$B$65:$AA$65)*(1-实盘持仓初始配置!$Z$8)^(('实盘净值数据(iFinD公式)'!$A575-'实盘净值数据(iFinD公式)'!$A$5)/365))</x:f>
        <x:v>#NAME?</x:v>
      </x:c>
      <x:c r="O575" s="152" t="e">
        <x:f>IF(OR(N574="",N575=""),"",N575/N574-1)</x:f>
        <x:v>#NAME?</x:v>
      </x:c>
      <x:c r="P575" s="152" t="e">
        <x:f>IF(N575="","",N575/MAX(N$5:N575)-1)</x:f>
        <x:v>#NAME?</x:v>
      </x:c>
      <x:c r="Q575" s="146" t="e">
        <x:f>IF(OR('实盘净值数据(iFinD公式)'!$A575="",'实盘净值数据(iFinD公式)'!$B575=""),"",分期持仓明细!$AD$25*SUMPRODUCT(分期持仓明细!$B$25:$AA$25,'实盘净值数据(iFinD公式)'!$B575:$AA575/'实盘净值数据(iFinD公式)'!$B$65:$AA$65)*(1-实盘持仓初始配置!$Z$9)^(('实盘净值数据(iFinD公式)'!$A575-'实盘净值数据(iFinD公式)'!$A$8)/365))</x:f>
        <x:v>#NAME?</x:v>
      </x:c>
      <x:c r="R575" s="152" t="e">
        <x:f>IF(OR(Q574="",Q575=""),"",Q575/Q574-1)</x:f>
        <x:v>#NAME?</x:v>
      </x:c>
      <x:c r="S575" s="152" t="e">
        <x:f>IF(Q575="","",Q575/MAX(Q$5:Q575)-1)</x:f>
        <x:v>#NAME?</x:v>
      </x:c>
    </x:row>
    <x:row r="576">
      <x:c r="A576" s="149" t="str">
        <x:f>IF('实盘净值数据(iFinD公式)'!A576="","",'实盘净值数据(iFinD公式)'!A576)</x:f>
      </x:c>
      <x:c r="B576" s="146" t="e">
        <x:f>IF(OR('实盘净值数据(iFinD公式)'!$A576="",'实盘净值数据(iFinD公式)'!$B576=""),"",分期持仓明细!$AD$17*SUMPRODUCT(分期持仓明细!$B$17:$AA$17,'实盘净值数据(iFinD公式)'!$B576:$AA576/'实盘净值数据(iFinD公式)'!$B$20:$AA$20)*(1-实盘持仓初始配置!$Z$4)^(('实盘净值数据(iFinD公式)'!$A576-'实盘净值数据(iFinD公式)'!$A$6)/365))</x:f>
        <x:v>#NAME?</x:v>
      </x:c>
      <x:c r="C576" s="152" t="e">
        <x:f>IF(OR(B575="",B576=""),"",B576/B575-1)</x:f>
        <x:v>#NAME?</x:v>
      </x:c>
      <x:c r="D576" s="152" t="e">
        <x:f>IF(B576="","",B576/MAX(B$5:B576)-1)</x:f>
        <x:v>#NAME?</x:v>
      </x:c>
      <x:c r="E576" s="146" t="e">
        <x:f>IF(OR('实盘净值数据(iFinD公式)'!$A576="",'实盘净值数据(iFinD公式)'!$B576=""),"",分期持仓明细!$AD$18*SUMPRODUCT(分期持仓明细!$B$18:$AA$18,'实盘净值数据(iFinD公式)'!$B576:$AA576/'实盘净值数据(iFinD公式)'!$B$20:$AA$20)*(1-实盘持仓初始配置!$Z$5)^(('实盘净值数据(iFinD公式)'!$A576-'实盘净值数据(iFinD公式)'!$A$5)/365))</x:f>
        <x:v>#NAME?</x:v>
      </x:c>
      <x:c r="F576" s="152" t="e">
        <x:f>IF(OR(E575="",E576=""),"",E576/E575-1)</x:f>
        <x:v>#NAME?</x:v>
      </x:c>
      <x:c r="G576" s="152" t="e">
        <x:f>IF(E576="","",E576/MAX(E$5:E576)-1)</x:f>
        <x:v>#NAME?</x:v>
      </x:c>
      <x:c r="H576" s="146" t="e">
        <x:f>IF(OR('实盘净值数据(iFinD公式)'!$A576="",'实盘净值数据(iFinD公式)'!$B576=""),"",分期持仓明细!$AD$19*SUMPRODUCT(分期持仓明细!$B$19:$AA$19,'实盘净值数据(iFinD公式)'!$B576:$AA576/'实盘净值数据(iFinD公式)'!$B$20:$AA$20)*(1-实盘持仓初始配置!$Z$6)^(('实盘净值数据(iFinD公式)'!$A576-'实盘净值数据(iFinD公式)'!$A$7)/365))</x:f>
        <x:v>#NAME?</x:v>
      </x:c>
      <x:c r="I576" s="152" t="e">
        <x:f>IF(OR(H575="",H576=""),"",H576/H575-1)</x:f>
        <x:v>#NAME?</x:v>
      </x:c>
      <x:c r="J576" s="152" t="e">
        <x:f>IF(H576="","",H576/MAX(H$5:H576)-1)</x:f>
        <x:v>#NAME?</x:v>
      </x:c>
      <x:c r="K576" s="146" t="e">
        <x:f>IF(OR('实盘净值数据(iFinD公式)'!$A576="",'实盘净值数据(iFinD公式)'!$B576=""),"",分期持仓明细!$AD$23*SUMPRODUCT(分期持仓明细!$B$23:$AA$23,'实盘净值数据(iFinD公式)'!$B576:$AA576/'实盘净值数据(iFinD公式)'!$B$65:$AA$65)*(1-实盘持仓初始配置!$Z$7)^(('实盘净值数据(iFinD公式)'!$A576-'实盘净值数据(iFinD公式)'!$A$8)/365))</x:f>
        <x:v>#NAME?</x:v>
      </x:c>
      <x:c r="L576" s="152" t="e">
        <x:f>IF(OR(K575="",K576=""),"",K576/K575-1)</x:f>
        <x:v>#NAME?</x:v>
      </x:c>
      <x:c r="M576" s="152" t="e">
        <x:f>IF(K576="","",K576/MAX(K$5:K576)-1)</x:f>
        <x:v>#NAME?</x:v>
      </x:c>
      <x:c r="N576" s="146" t="e">
        <x:f>IF(OR('实盘净值数据(iFinD公式)'!$A576="",'实盘净值数据(iFinD公式)'!$B576=""),"",分期持仓明细!$AD$24*SUMPRODUCT(分期持仓明细!$B$24:$AA$24,'实盘净值数据(iFinD公式)'!$B576:$AA576/'实盘净值数据(iFinD公式)'!$B$65:$AA$65)*(1-实盘持仓初始配置!$Z$8)^(('实盘净值数据(iFinD公式)'!$A576-'实盘净值数据(iFinD公式)'!$A$5)/365))</x:f>
        <x:v>#NAME?</x:v>
      </x:c>
      <x:c r="O576" s="152" t="e">
        <x:f>IF(OR(N575="",N576=""),"",N576/N575-1)</x:f>
        <x:v>#NAME?</x:v>
      </x:c>
      <x:c r="P576" s="152" t="e">
        <x:f>IF(N576="","",N576/MAX(N$5:N576)-1)</x:f>
        <x:v>#NAME?</x:v>
      </x:c>
      <x:c r="Q576" s="146" t="e">
        <x:f>IF(OR('实盘净值数据(iFinD公式)'!$A576="",'实盘净值数据(iFinD公式)'!$B576=""),"",分期持仓明细!$AD$25*SUMPRODUCT(分期持仓明细!$B$25:$AA$25,'实盘净值数据(iFinD公式)'!$B576:$AA576/'实盘净值数据(iFinD公式)'!$B$65:$AA$65)*(1-实盘持仓初始配置!$Z$9)^(('实盘净值数据(iFinD公式)'!$A576-'实盘净值数据(iFinD公式)'!$A$8)/365))</x:f>
        <x:v>#NAME?</x:v>
      </x:c>
      <x:c r="R576" s="152" t="e">
        <x:f>IF(OR(Q575="",Q576=""),"",Q576/Q575-1)</x:f>
        <x:v>#NAME?</x:v>
      </x:c>
      <x:c r="S576" s="152" t="e">
        <x:f>IF(Q576="","",Q576/MAX(Q$5:Q576)-1)</x:f>
        <x:v>#NAME?</x:v>
      </x:c>
    </x:row>
    <x:row r="577">
      <x:c r="A577" s="149" t="str">
        <x:f>IF('实盘净值数据(iFinD公式)'!A577="","",'实盘净值数据(iFinD公式)'!A577)</x:f>
      </x:c>
      <x:c r="B577" s="146" t="e">
        <x:f>IF(OR('实盘净值数据(iFinD公式)'!$A577="",'实盘净值数据(iFinD公式)'!$B577=""),"",分期持仓明细!$AD$17*SUMPRODUCT(分期持仓明细!$B$17:$AA$17,'实盘净值数据(iFinD公式)'!$B577:$AA577/'实盘净值数据(iFinD公式)'!$B$20:$AA$20)*(1-实盘持仓初始配置!$Z$4)^(('实盘净值数据(iFinD公式)'!$A577-'实盘净值数据(iFinD公式)'!$A$6)/365))</x:f>
        <x:v>#NAME?</x:v>
      </x:c>
      <x:c r="C577" s="152" t="e">
        <x:f>IF(OR(B576="",B577=""),"",B577/B576-1)</x:f>
        <x:v>#NAME?</x:v>
      </x:c>
      <x:c r="D577" s="152" t="e">
        <x:f>IF(B577="","",B577/MAX(B$5:B577)-1)</x:f>
        <x:v>#NAME?</x:v>
      </x:c>
      <x:c r="E577" s="146" t="e">
        <x:f>IF(OR('实盘净值数据(iFinD公式)'!$A577="",'实盘净值数据(iFinD公式)'!$B577=""),"",分期持仓明细!$AD$18*SUMPRODUCT(分期持仓明细!$B$18:$AA$18,'实盘净值数据(iFinD公式)'!$B577:$AA577/'实盘净值数据(iFinD公式)'!$B$20:$AA$20)*(1-实盘持仓初始配置!$Z$5)^(('实盘净值数据(iFinD公式)'!$A577-'实盘净值数据(iFinD公式)'!$A$5)/365))</x:f>
        <x:v>#NAME?</x:v>
      </x:c>
      <x:c r="F577" s="152" t="e">
        <x:f>IF(OR(E576="",E577=""),"",E577/E576-1)</x:f>
        <x:v>#NAME?</x:v>
      </x:c>
      <x:c r="G577" s="152" t="e">
        <x:f>IF(E577="","",E577/MAX(E$5:E577)-1)</x:f>
        <x:v>#NAME?</x:v>
      </x:c>
      <x:c r="H577" s="146" t="e">
        <x:f>IF(OR('实盘净值数据(iFinD公式)'!$A577="",'实盘净值数据(iFinD公式)'!$B577=""),"",分期持仓明细!$AD$19*SUMPRODUCT(分期持仓明细!$B$19:$AA$19,'实盘净值数据(iFinD公式)'!$B577:$AA577/'实盘净值数据(iFinD公式)'!$B$20:$AA$20)*(1-实盘持仓初始配置!$Z$6)^(('实盘净值数据(iFinD公式)'!$A577-'实盘净值数据(iFinD公式)'!$A$7)/365))</x:f>
        <x:v>#NAME?</x:v>
      </x:c>
      <x:c r="I577" s="152" t="e">
        <x:f>IF(OR(H576="",H577=""),"",H577/H576-1)</x:f>
        <x:v>#NAME?</x:v>
      </x:c>
      <x:c r="J577" s="152" t="e">
        <x:f>IF(H577="","",H577/MAX(H$5:H577)-1)</x:f>
        <x:v>#NAME?</x:v>
      </x:c>
      <x:c r="K577" s="146" t="e">
        <x:f>IF(OR('实盘净值数据(iFinD公式)'!$A577="",'实盘净值数据(iFinD公式)'!$B577=""),"",分期持仓明细!$AD$23*SUMPRODUCT(分期持仓明细!$B$23:$AA$23,'实盘净值数据(iFinD公式)'!$B577:$AA577/'实盘净值数据(iFinD公式)'!$B$65:$AA$65)*(1-实盘持仓初始配置!$Z$7)^(('实盘净值数据(iFinD公式)'!$A577-'实盘净值数据(iFinD公式)'!$A$8)/365))</x:f>
        <x:v>#NAME?</x:v>
      </x:c>
      <x:c r="L577" s="152" t="e">
        <x:f>IF(OR(K576="",K577=""),"",K577/K576-1)</x:f>
        <x:v>#NAME?</x:v>
      </x:c>
      <x:c r="M577" s="152" t="e">
        <x:f>IF(K577="","",K577/MAX(K$5:K577)-1)</x:f>
        <x:v>#NAME?</x:v>
      </x:c>
      <x:c r="N577" s="146" t="e">
        <x:f>IF(OR('实盘净值数据(iFinD公式)'!$A577="",'实盘净值数据(iFinD公式)'!$B577=""),"",分期持仓明细!$AD$24*SUMPRODUCT(分期持仓明细!$B$24:$AA$24,'实盘净值数据(iFinD公式)'!$B577:$AA577/'实盘净值数据(iFinD公式)'!$B$65:$AA$65)*(1-实盘持仓初始配置!$Z$8)^(('实盘净值数据(iFinD公式)'!$A577-'实盘净值数据(iFinD公式)'!$A$5)/365))</x:f>
        <x:v>#NAME?</x:v>
      </x:c>
      <x:c r="O577" s="152" t="e">
        <x:f>IF(OR(N576="",N577=""),"",N577/N576-1)</x:f>
        <x:v>#NAME?</x:v>
      </x:c>
      <x:c r="P577" s="152" t="e">
        <x:f>IF(N577="","",N577/MAX(N$5:N577)-1)</x:f>
        <x:v>#NAME?</x:v>
      </x:c>
      <x:c r="Q577" s="146" t="e">
        <x:f>IF(OR('实盘净值数据(iFinD公式)'!$A577="",'实盘净值数据(iFinD公式)'!$B577=""),"",分期持仓明细!$AD$25*SUMPRODUCT(分期持仓明细!$B$25:$AA$25,'实盘净值数据(iFinD公式)'!$B577:$AA577/'实盘净值数据(iFinD公式)'!$B$65:$AA$65)*(1-实盘持仓初始配置!$Z$9)^(('实盘净值数据(iFinD公式)'!$A577-'实盘净值数据(iFinD公式)'!$A$8)/365))</x:f>
        <x:v>#NAME?</x:v>
      </x:c>
      <x:c r="R577" s="152" t="e">
        <x:f>IF(OR(Q576="",Q577=""),"",Q577/Q576-1)</x:f>
        <x:v>#NAME?</x:v>
      </x:c>
      <x:c r="S577" s="152" t="e">
        <x:f>IF(Q577="","",Q577/MAX(Q$5:Q577)-1)</x:f>
        <x:v>#NAME?</x:v>
      </x:c>
    </x:row>
    <x:row r="578">
      <x:c r="A578" s="149" t="str">
        <x:f>IF('实盘净值数据(iFinD公式)'!A578="","",'实盘净值数据(iFinD公式)'!A578)</x:f>
      </x:c>
      <x:c r="B578" s="146" t="e">
        <x:f>IF(OR('实盘净值数据(iFinD公式)'!$A578="",'实盘净值数据(iFinD公式)'!$B578=""),"",分期持仓明细!$AD$17*SUMPRODUCT(分期持仓明细!$B$17:$AA$17,'实盘净值数据(iFinD公式)'!$B578:$AA578/'实盘净值数据(iFinD公式)'!$B$20:$AA$20)*(1-实盘持仓初始配置!$Z$4)^(('实盘净值数据(iFinD公式)'!$A578-'实盘净值数据(iFinD公式)'!$A$6)/365))</x:f>
        <x:v>#NAME?</x:v>
      </x:c>
      <x:c r="C578" s="152" t="e">
        <x:f>IF(OR(B577="",B578=""),"",B578/B577-1)</x:f>
        <x:v>#NAME?</x:v>
      </x:c>
      <x:c r="D578" s="152" t="e">
        <x:f>IF(B578="","",B578/MAX(B$5:B578)-1)</x:f>
        <x:v>#NAME?</x:v>
      </x:c>
      <x:c r="E578" s="146" t="e">
        <x:f>IF(OR('实盘净值数据(iFinD公式)'!$A578="",'实盘净值数据(iFinD公式)'!$B578=""),"",分期持仓明细!$AD$18*SUMPRODUCT(分期持仓明细!$B$18:$AA$18,'实盘净值数据(iFinD公式)'!$B578:$AA578/'实盘净值数据(iFinD公式)'!$B$20:$AA$20)*(1-实盘持仓初始配置!$Z$5)^(('实盘净值数据(iFinD公式)'!$A578-'实盘净值数据(iFinD公式)'!$A$5)/365))</x:f>
        <x:v>#NAME?</x:v>
      </x:c>
      <x:c r="F578" s="152" t="e">
        <x:f>IF(OR(E577="",E578=""),"",E578/E577-1)</x:f>
        <x:v>#NAME?</x:v>
      </x:c>
      <x:c r="G578" s="152" t="e">
        <x:f>IF(E578="","",E578/MAX(E$5:E578)-1)</x:f>
        <x:v>#NAME?</x:v>
      </x:c>
      <x:c r="H578" s="146" t="e">
        <x:f>IF(OR('实盘净值数据(iFinD公式)'!$A578="",'实盘净值数据(iFinD公式)'!$B578=""),"",分期持仓明细!$AD$19*SUMPRODUCT(分期持仓明细!$B$19:$AA$19,'实盘净值数据(iFinD公式)'!$B578:$AA578/'实盘净值数据(iFinD公式)'!$B$20:$AA$20)*(1-实盘持仓初始配置!$Z$6)^(('实盘净值数据(iFinD公式)'!$A578-'实盘净值数据(iFinD公式)'!$A$7)/365))</x:f>
        <x:v>#NAME?</x:v>
      </x:c>
      <x:c r="I578" s="152" t="e">
        <x:f>IF(OR(H577="",H578=""),"",H578/H577-1)</x:f>
        <x:v>#NAME?</x:v>
      </x:c>
      <x:c r="J578" s="152" t="e">
        <x:f>IF(H578="","",H578/MAX(H$5:H578)-1)</x:f>
        <x:v>#NAME?</x:v>
      </x:c>
      <x:c r="K578" s="146" t="e">
        <x:f>IF(OR('实盘净值数据(iFinD公式)'!$A578="",'实盘净值数据(iFinD公式)'!$B578=""),"",分期持仓明细!$AD$23*SUMPRODUCT(分期持仓明细!$B$23:$AA$23,'实盘净值数据(iFinD公式)'!$B578:$AA578/'实盘净值数据(iFinD公式)'!$B$65:$AA$65)*(1-实盘持仓初始配置!$Z$7)^(('实盘净值数据(iFinD公式)'!$A578-'实盘净值数据(iFinD公式)'!$A$8)/365))</x:f>
        <x:v>#NAME?</x:v>
      </x:c>
      <x:c r="L578" s="152" t="e">
        <x:f>IF(OR(K577="",K578=""),"",K578/K577-1)</x:f>
        <x:v>#NAME?</x:v>
      </x:c>
      <x:c r="M578" s="152" t="e">
        <x:f>IF(K578="","",K578/MAX(K$5:K578)-1)</x:f>
        <x:v>#NAME?</x:v>
      </x:c>
      <x:c r="N578" s="146" t="e">
        <x:f>IF(OR('实盘净值数据(iFinD公式)'!$A578="",'实盘净值数据(iFinD公式)'!$B578=""),"",分期持仓明细!$AD$24*SUMPRODUCT(分期持仓明细!$B$24:$AA$24,'实盘净值数据(iFinD公式)'!$B578:$AA578/'实盘净值数据(iFinD公式)'!$B$65:$AA$65)*(1-实盘持仓初始配置!$Z$8)^(('实盘净值数据(iFinD公式)'!$A578-'实盘净值数据(iFinD公式)'!$A$5)/365))</x:f>
        <x:v>#NAME?</x:v>
      </x:c>
      <x:c r="O578" s="152" t="e">
        <x:f>IF(OR(N577="",N578=""),"",N578/N577-1)</x:f>
        <x:v>#NAME?</x:v>
      </x:c>
      <x:c r="P578" s="152" t="e">
        <x:f>IF(N578="","",N578/MAX(N$5:N578)-1)</x:f>
        <x:v>#NAME?</x:v>
      </x:c>
      <x:c r="Q578" s="146" t="e">
        <x:f>IF(OR('实盘净值数据(iFinD公式)'!$A578="",'实盘净值数据(iFinD公式)'!$B578=""),"",分期持仓明细!$AD$25*SUMPRODUCT(分期持仓明细!$B$25:$AA$25,'实盘净值数据(iFinD公式)'!$B578:$AA578/'实盘净值数据(iFinD公式)'!$B$65:$AA$65)*(1-实盘持仓初始配置!$Z$9)^(('实盘净值数据(iFinD公式)'!$A578-'实盘净值数据(iFinD公式)'!$A$8)/365))</x:f>
        <x:v>#NAME?</x:v>
      </x:c>
      <x:c r="R578" s="152" t="e">
        <x:f>IF(OR(Q577="",Q578=""),"",Q578/Q577-1)</x:f>
        <x:v>#NAME?</x:v>
      </x:c>
      <x:c r="S578" s="152" t="e">
        <x:f>IF(Q578="","",Q578/MAX(Q$5:Q578)-1)</x:f>
        <x:v>#NAME?</x:v>
      </x:c>
    </x:row>
    <x:row r="579">
      <x:c r="A579" s="149" t="str">
        <x:f>IF('实盘净值数据(iFinD公式)'!A579="","",'实盘净值数据(iFinD公式)'!A579)</x:f>
      </x:c>
      <x:c r="B579" s="146" t="e">
        <x:f>IF(OR('实盘净值数据(iFinD公式)'!$A579="",'实盘净值数据(iFinD公式)'!$B579=""),"",分期持仓明细!$AD$17*SUMPRODUCT(分期持仓明细!$B$17:$AA$17,'实盘净值数据(iFinD公式)'!$B579:$AA579/'实盘净值数据(iFinD公式)'!$B$20:$AA$20)*(1-实盘持仓初始配置!$Z$4)^(('实盘净值数据(iFinD公式)'!$A579-'实盘净值数据(iFinD公式)'!$A$6)/365))</x:f>
        <x:v>#NAME?</x:v>
      </x:c>
      <x:c r="C579" s="152" t="e">
        <x:f>IF(OR(B578="",B579=""),"",B579/B578-1)</x:f>
        <x:v>#NAME?</x:v>
      </x:c>
      <x:c r="D579" s="152" t="e">
        <x:f>IF(B579="","",B579/MAX(B$5:B579)-1)</x:f>
        <x:v>#NAME?</x:v>
      </x:c>
      <x:c r="E579" s="146" t="e">
        <x:f>IF(OR('实盘净值数据(iFinD公式)'!$A579="",'实盘净值数据(iFinD公式)'!$B579=""),"",分期持仓明细!$AD$18*SUMPRODUCT(分期持仓明细!$B$18:$AA$18,'实盘净值数据(iFinD公式)'!$B579:$AA579/'实盘净值数据(iFinD公式)'!$B$20:$AA$20)*(1-实盘持仓初始配置!$Z$5)^(('实盘净值数据(iFinD公式)'!$A579-'实盘净值数据(iFinD公式)'!$A$5)/365))</x:f>
        <x:v>#NAME?</x:v>
      </x:c>
      <x:c r="F579" s="152" t="e">
        <x:f>IF(OR(E578="",E579=""),"",E579/E578-1)</x:f>
        <x:v>#NAME?</x:v>
      </x:c>
      <x:c r="G579" s="152" t="e">
        <x:f>IF(E579="","",E579/MAX(E$5:E579)-1)</x:f>
        <x:v>#NAME?</x:v>
      </x:c>
      <x:c r="H579" s="146" t="e">
        <x:f>IF(OR('实盘净值数据(iFinD公式)'!$A579="",'实盘净值数据(iFinD公式)'!$B579=""),"",分期持仓明细!$AD$19*SUMPRODUCT(分期持仓明细!$B$19:$AA$19,'实盘净值数据(iFinD公式)'!$B579:$AA579/'实盘净值数据(iFinD公式)'!$B$20:$AA$20)*(1-实盘持仓初始配置!$Z$6)^(('实盘净值数据(iFinD公式)'!$A579-'实盘净值数据(iFinD公式)'!$A$7)/365))</x:f>
        <x:v>#NAME?</x:v>
      </x:c>
      <x:c r="I579" s="152" t="e">
        <x:f>IF(OR(H578="",H579=""),"",H579/H578-1)</x:f>
        <x:v>#NAME?</x:v>
      </x:c>
      <x:c r="J579" s="152" t="e">
        <x:f>IF(H579="","",H579/MAX(H$5:H579)-1)</x:f>
        <x:v>#NAME?</x:v>
      </x:c>
      <x:c r="K579" s="146" t="e">
        <x:f>IF(OR('实盘净值数据(iFinD公式)'!$A579="",'实盘净值数据(iFinD公式)'!$B579=""),"",分期持仓明细!$AD$23*SUMPRODUCT(分期持仓明细!$B$23:$AA$23,'实盘净值数据(iFinD公式)'!$B579:$AA579/'实盘净值数据(iFinD公式)'!$B$65:$AA$65)*(1-实盘持仓初始配置!$Z$7)^(('实盘净值数据(iFinD公式)'!$A579-'实盘净值数据(iFinD公式)'!$A$8)/365))</x:f>
        <x:v>#NAME?</x:v>
      </x:c>
      <x:c r="L579" s="152" t="e">
        <x:f>IF(OR(K578="",K579=""),"",K579/K578-1)</x:f>
        <x:v>#NAME?</x:v>
      </x:c>
      <x:c r="M579" s="152" t="e">
        <x:f>IF(K579="","",K579/MAX(K$5:K579)-1)</x:f>
        <x:v>#NAME?</x:v>
      </x:c>
      <x:c r="N579" s="146" t="e">
        <x:f>IF(OR('实盘净值数据(iFinD公式)'!$A579="",'实盘净值数据(iFinD公式)'!$B579=""),"",分期持仓明细!$AD$24*SUMPRODUCT(分期持仓明细!$B$24:$AA$24,'实盘净值数据(iFinD公式)'!$B579:$AA579/'实盘净值数据(iFinD公式)'!$B$65:$AA$65)*(1-实盘持仓初始配置!$Z$8)^(('实盘净值数据(iFinD公式)'!$A579-'实盘净值数据(iFinD公式)'!$A$5)/365))</x:f>
        <x:v>#NAME?</x:v>
      </x:c>
      <x:c r="O579" s="152" t="e">
        <x:f>IF(OR(N578="",N579=""),"",N579/N578-1)</x:f>
        <x:v>#NAME?</x:v>
      </x:c>
      <x:c r="P579" s="152" t="e">
        <x:f>IF(N579="","",N579/MAX(N$5:N579)-1)</x:f>
        <x:v>#NAME?</x:v>
      </x:c>
      <x:c r="Q579" s="146" t="e">
        <x:f>IF(OR('实盘净值数据(iFinD公式)'!$A579="",'实盘净值数据(iFinD公式)'!$B579=""),"",分期持仓明细!$AD$25*SUMPRODUCT(分期持仓明细!$B$25:$AA$25,'实盘净值数据(iFinD公式)'!$B579:$AA579/'实盘净值数据(iFinD公式)'!$B$65:$AA$65)*(1-实盘持仓初始配置!$Z$9)^(('实盘净值数据(iFinD公式)'!$A579-'实盘净值数据(iFinD公式)'!$A$8)/365))</x:f>
        <x:v>#NAME?</x:v>
      </x:c>
      <x:c r="R579" s="152" t="e">
        <x:f>IF(OR(Q578="",Q579=""),"",Q579/Q578-1)</x:f>
        <x:v>#NAME?</x:v>
      </x:c>
      <x:c r="S579" s="152" t="e">
        <x:f>IF(Q579="","",Q579/MAX(Q$5:Q579)-1)</x:f>
        <x:v>#NAME?</x:v>
      </x:c>
    </x:row>
    <x:row r="580">
      <x:c r="A580" s="149" t="str">
        <x:f>IF('实盘净值数据(iFinD公式)'!A580="","",'实盘净值数据(iFinD公式)'!A580)</x:f>
      </x:c>
      <x:c r="B580" s="146" t="e">
        <x:f>IF(OR('实盘净值数据(iFinD公式)'!$A580="",'实盘净值数据(iFinD公式)'!$B580=""),"",分期持仓明细!$AD$17*SUMPRODUCT(分期持仓明细!$B$17:$AA$17,'实盘净值数据(iFinD公式)'!$B580:$AA580/'实盘净值数据(iFinD公式)'!$B$20:$AA$20)*(1-实盘持仓初始配置!$Z$4)^(('实盘净值数据(iFinD公式)'!$A580-'实盘净值数据(iFinD公式)'!$A$6)/365))</x:f>
        <x:v>#NAME?</x:v>
      </x:c>
      <x:c r="C580" s="152" t="e">
        <x:f>IF(OR(B579="",B580=""),"",B580/B579-1)</x:f>
        <x:v>#NAME?</x:v>
      </x:c>
      <x:c r="D580" s="152" t="e">
        <x:f>IF(B580="","",B580/MAX(B$5:B580)-1)</x:f>
        <x:v>#NAME?</x:v>
      </x:c>
      <x:c r="E580" s="146" t="e">
        <x:f>IF(OR('实盘净值数据(iFinD公式)'!$A580="",'实盘净值数据(iFinD公式)'!$B580=""),"",分期持仓明细!$AD$18*SUMPRODUCT(分期持仓明细!$B$18:$AA$18,'实盘净值数据(iFinD公式)'!$B580:$AA580/'实盘净值数据(iFinD公式)'!$B$20:$AA$20)*(1-实盘持仓初始配置!$Z$5)^(('实盘净值数据(iFinD公式)'!$A580-'实盘净值数据(iFinD公式)'!$A$5)/365))</x:f>
        <x:v>#NAME?</x:v>
      </x:c>
      <x:c r="F580" s="152" t="e">
        <x:f>IF(OR(E579="",E580=""),"",E580/E579-1)</x:f>
        <x:v>#NAME?</x:v>
      </x:c>
      <x:c r="G580" s="152" t="e">
        <x:f>IF(E580="","",E580/MAX(E$5:E580)-1)</x:f>
        <x:v>#NAME?</x:v>
      </x:c>
      <x:c r="H580" s="146" t="e">
        <x:f>IF(OR('实盘净值数据(iFinD公式)'!$A580="",'实盘净值数据(iFinD公式)'!$B580=""),"",分期持仓明细!$AD$19*SUMPRODUCT(分期持仓明细!$B$19:$AA$19,'实盘净值数据(iFinD公式)'!$B580:$AA580/'实盘净值数据(iFinD公式)'!$B$20:$AA$20)*(1-实盘持仓初始配置!$Z$6)^(('实盘净值数据(iFinD公式)'!$A580-'实盘净值数据(iFinD公式)'!$A$7)/365))</x:f>
        <x:v>#NAME?</x:v>
      </x:c>
      <x:c r="I580" s="152" t="e">
        <x:f>IF(OR(H579="",H580=""),"",H580/H579-1)</x:f>
        <x:v>#NAME?</x:v>
      </x:c>
      <x:c r="J580" s="152" t="e">
        <x:f>IF(H580="","",H580/MAX(H$5:H580)-1)</x:f>
        <x:v>#NAME?</x:v>
      </x:c>
      <x:c r="K580" s="146" t="e">
        <x:f>IF(OR('实盘净值数据(iFinD公式)'!$A580="",'实盘净值数据(iFinD公式)'!$B580=""),"",分期持仓明细!$AD$23*SUMPRODUCT(分期持仓明细!$B$23:$AA$23,'实盘净值数据(iFinD公式)'!$B580:$AA580/'实盘净值数据(iFinD公式)'!$B$65:$AA$65)*(1-实盘持仓初始配置!$Z$7)^(('实盘净值数据(iFinD公式)'!$A580-'实盘净值数据(iFinD公式)'!$A$8)/365))</x:f>
        <x:v>#NAME?</x:v>
      </x:c>
      <x:c r="L580" s="152" t="e">
        <x:f>IF(OR(K579="",K580=""),"",K580/K579-1)</x:f>
        <x:v>#NAME?</x:v>
      </x:c>
      <x:c r="M580" s="152" t="e">
        <x:f>IF(K580="","",K580/MAX(K$5:K580)-1)</x:f>
        <x:v>#NAME?</x:v>
      </x:c>
      <x:c r="N580" s="146" t="e">
        <x:f>IF(OR('实盘净值数据(iFinD公式)'!$A580="",'实盘净值数据(iFinD公式)'!$B580=""),"",分期持仓明细!$AD$24*SUMPRODUCT(分期持仓明细!$B$24:$AA$24,'实盘净值数据(iFinD公式)'!$B580:$AA580/'实盘净值数据(iFinD公式)'!$B$65:$AA$65)*(1-实盘持仓初始配置!$Z$8)^(('实盘净值数据(iFinD公式)'!$A580-'实盘净值数据(iFinD公式)'!$A$5)/365))</x:f>
        <x:v>#NAME?</x:v>
      </x:c>
      <x:c r="O580" s="152" t="e">
        <x:f>IF(OR(N579="",N580=""),"",N580/N579-1)</x:f>
        <x:v>#NAME?</x:v>
      </x:c>
      <x:c r="P580" s="152" t="e">
        <x:f>IF(N580="","",N580/MAX(N$5:N580)-1)</x:f>
        <x:v>#NAME?</x:v>
      </x:c>
      <x:c r="Q580" s="146" t="e">
        <x:f>IF(OR('实盘净值数据(iFinD公式)'!$A580="",'实盘净值数据(iFinD公式)'!$B580=""),"",分期持仓明细!$AD$25*SUMPRODUCT(分期持仓明细!$B$25:$AA$25,'实盘净值数据(iFinD公式)'!$B580:$AA580/'实盘净值数据(iFinD公式)'!$B$65:$AA$65)*(1-实盘持仓初始配置!$Z$9)^(('实盘净值数据(iFinD公式)'!$A580-'实盘净值数据(iFinD公式)'!$A$8)/365))</x:f>
        <x:v>#NAME?</x:v>
      </x:c>
      <x:c r="R580" s="152" t="e">
        <x:f>IF(OR(Q579="",Q580=""),"",Q580/Q579-1)</x:f>
        <x:v>#NAME?</x:v>
      </x:c>
      <x:c r="S580" s="152" t="e">
        <x:f>IF(Q580="","",Q580/MAX(Q$5:Q580)-1)</x:f>
        <x:v>#NAME?</x:v>
      </x:c>
    </x:row>
    <x:row r="581">
      <x:c r="A581" s="149" t="str">
        <x:f>IF('实盘净值数据(iFinD公式)'!A581="","",'实盘净值数据(iFinD公式)'!A581)</x:f>
      </x:c>
      <x:c r="B581" s="146" t="e">
        <x:f>IF(OR('实盘净值数据(iFinD公式)'!$A581="",'实盘净值数据(iFinD公式)'!$B581=""),"",分期持仓明细!$AD$17*SUMPRODUCT(分期持仓明细!$B$17:$AA$17,'实盘净值数据(iFinD公式)'!$B581:$AA581/'实盘净值数据(iFinD公式)'!$B$20:$AA$20)*(1-实盘持仓初始配置!$Z$4)^(('实盘净值数据(iFinD公式)'!$A581-'实盘净值数据(iFinD公式)'!$A$6)/365))</x:f>
        <x:v>#NAME?</x:v>
      </x:c>
      <x:c r="C581" s="152" t="e">
        <x:f>IF(OR(B580="",B581=""),"",B581/B580-1)</x:f>
        <x:v>#NAME?</x:v>
      </x:c>
      <x:c r="D581" s="152" t="e">
        <x:f>IF(B581="","",B581/MAX(B$5:B581)-1)</x:f>
        <x:v>#NAME?</x:v>
      </x:c>
      <x:c r="E581" s="146" t="e">
        <x:f>IF(OR('实盘净值数据(iFinD公式)'!$A581="",'实盘净值数据(iFinD公式)'!$B581=""),"",分期持仓明细!$AD$18*SUMPRODUCT(分期持仓明细!$B$18:$AA$18,'实盘净值数据(iFinD公式)'!$B581:$AA581/'实盘净值数据(iFinD公式)'!$B$20:$AA$20)*(1-实盘持仓初始配置!$Z$5)^(('实盘净值数据(iFinD公式)'!$A581-'实盘净值数据(iFinD公式)'!$A$5)/365))</x:f>
        <x:v>#NAME?</x:v>
      </x:c>
      <x:c r="F581" s="152" t="e">
        <x:f>IF(OR(E580="",E581=""),"",E581/E580-1)</x:f>
        <x:v>#NAME?</x:v>
      </x:c>
      <x:c r="G581" s="152" t="e">
        <x:f>IF(E581="","",E581/MAX(E$5:E581)-1)</x:f>
        <x:v>#NAME?</x:v>
      </x:c>
      <x:c r="H581" s="146" t="e">
        <x:f>IF(OR('实盘净值数据(iFinD公式)'!$A581="",'实盘净值数据(iFinD公式)'!$B581=""),"",分期持仓明细!$AD$19*SUMPRODUCT(分期持仓明细!$B$19:$AA$19,'实盘净值数据(iFinD公式)'!$B581:$AA581/'实盘净值数据(iFinD公式)'!$B$20:$AA$20)*(1-实盘持仓初始配置!$Z$6)^(('实盘净值数据(iFinD公式)'!$A581-'实盘净值数据(iFinD公式)'!$A$7)/365))</x:f>
        <x:v>#NAME?</x:v>
      </x:c>
      <x:c r="I581" s="152" t="e">
        <x:f>IF(OR(H580="",H581=""),"",H581/H580-1)</x:f>
        <x:v>#NAME?</x:v>
      </x:c>
      <x:c r="J581" s="152" t="e">
        <x:f>IF(H581="","",H581/MAX(H$5:H581)-1)</x:f>
        <x:v>#NAME?</x:v>
      </x:c>
      <x:c r="K581" s="146" t="e">
        <x:f>IF(OR('实盘净值数据(iFinD公式)'!$A581="",'实盘净值数据(iFinD公式)'!$B581=""),"",分期持仓明细!$AD$23*SUMPRODUCT(分期持仓明细!$B$23:$AA$23,'实盘净值数据(iFinD公式)'!$B581:$AA581/'实盘净值数据(iFinD公式)'!$B$65:$AA$65)*(1-实盘持仓初始配置!$Z$7)^(('实盘净值数据(iFinD公式)'!$A581-'实盘净值数据(iFinD公式)'!$A$8)/365))</x:f>
        <x:v>#NAME?</x:v>
      </x:c>
      <x:c r="L581" s="152" t="e">
        <x:f>IF(OR(K580="",K581=""),"",K581/K580-1)</x:f>
        <x:v>#NAME?</x:v>
      </x:c>
      <x:c r="M581" s="152" t="e">
        <x:f>IF(K581="","",K581/MAX(K$5:K581)-1)</x:f>
        <x:v>#NAME?</x:v>
      </x:c>
      <x:c r="N581" s="146" t="e">
        <x:f>IF(OR('实盘净值数据(iFinD公式)'!$A581="",'实盘净值数据(iFinD公式)'!$B581=""),"",分期持仓明细!$AD$24*SUMPRODUCT(分期持仓明细!$B$24:$AA$24,'实盘净值数据(iFinD公式)'!$B581:$AA581/'实盘净值数据(iFinD公式)'!$B$65:$AA$65)*(1-实盘持仓初始配置!$Z$8)^(('实盘净值数据(iFinD公式)'!$A581-'实盘净值数据(iFinD公式)'!$A$5)/365))</x:f>
        <x:v>#NAME?</x:v>
      </x:c>
      <x:c r="O581" s="152" t="e">
        <x:f>IF(OR(N580="",N581=""),"",N581/N580-1)</x:f>
        <x:v>#NAME?</x:v>
      </x:c>
      <x:c r="P581" s="152" t="e">
        <x:f>IF(N581="","",N581/MAX(N$5:N581)-1)</x:f>
        <x:v>#NAME?</x:v>
      </x:c>
      <x:c r="Q581" s="146" t="e">
        <x:f>IF(OR('实盘净值数据(iFinD公式)'!$A581="",'实盘净值数据(iFinD公式)'!$B581=""),"",分期持仓明细!$AD$25*SUMPRODUCT(分期持仓明细!$B$25:$AA$25,'实盘净值数据(iFinD公式)'!$B581:$AA581/'实盘净值数据(iFinD公式)'!$B$65:$AA$65)*(1-实盘持仓初始配置!$Z$9)^(('实盘净值数据(iFinD公式)'!$A581-'实盘净值数据(iFinD公式)'!$A$8)/365))</x:f>
        <x:v>#NAME?</x:v>
      </x:c>
      <x:c r="R581" s="152" t="e">
        <x:f>IF(OR(Q580="",Q581=""),"",Q581/Q580-1)</x:f>
        <x:v>#NAME?</x:v>
      </x:c>
      <x:c r="S581" s="152" t="e">
        <x:f>IF(Q581="","",Q581/MAX(Q$5:Q581)-1)</x:f>
        <x:v>#NAME?</x:v>
      </x:c>
    </x:row>
    <x:row r="582">
      <x:c r="A582" s="149" t="str">
        <x:f>IF('实盘净值数据(iFinD公式)'!A582="","",'实盘净值数据(iFinD公式)'!A582)</x:f>
      </x:c>
      <x:c r="B582" s="146" t="e">
        <x:f>IF(OR('实盘净值数据(iFinD公式)'!$A582="",'实盘净值数据(iFinD公式)'!$B582=""),"",分期持仓明细!$AD$17*SUMPRODUCT(分期持仓明细!$B$17:$AA$17,'实盘净值数据(iFinD公式)'!$B582:$AA582/'实盘净值数据(iFinD公式)'!$B$20:$AA$20)*(1-实盘持仓初始配置!$Z$4)^(('实盘净值数据(iFinD公式)'!$A582-'实盘净值数据(iFinD公式)'!$A$6)/365))</x:f>
        <x:v>#NAME?</x:v>
      </x:c>
      <x:c r="C582" s="152" t="e">
        <x:f>IF(OR(B581="",B582=""),"",B582/B581-1)</x:f>
        <x:v>#NAME?</x:v>
      </x:c>
      <x:c r="D582" s="152" t="e">
        <x:f>IF(B582="","",B582/MAX(B$5:B582)-1)</x:f>
        <x:v>#NAME?</x:v>
      </x:c>
      <x:c r="E582" s="146" t="e">
        <x:f>IF(OR('实盘净值数据(iFinD公式)'!$A582="",'实盘净值数据(iFinD公式)'!$B582=""),"",分期持仓明细!$AD$18*SUMPRODUCT(分期持仓明细!$B$18:$AA$18,'实盘净值数据(iFinD公式)'!$B582:$AA582/'实盘净值数据(iFinD公式)'!$B$20:$AA$20)*(1-实盘持仓初始配置!$Z$5)^(('实盘净值数据(iFinD公式)'!$A582-'实盘净值数据(iFinD公式)'!$A$5)/365))</x:f>
        <x:v>#NAME?</x:v>
      </x:c>
      <x:c r="F582" s="152" t="e">
        <x:f>IF(OR(E581="",E582=""),"",E582/E581-1)</x:f>
        <x:v>#NAME?</x:v>
      </x:c>
      <x:c r="G582" s="152" t="e">
        <x:f>IF(E582="","",E582/MAX(E$5:E582)-1)</x:f>
        <x:v>#NAME?</x:v>
      </x:c>
      <x:c r="H582" s="146" t="e">
        <x:f>IF(OR('实盘净值数据(iFinD公式)'!$A582="",'实盘净值数据(iFinD公式)'!$B582=""),"",分期持仓明细!$AD$19*SUMPRODUCT(分期持仓明细!$B$19:$AA$19,'实盘净值数据(iFinD公式)'!$B582:$AA582/'实盘净值数据(iFinD公式)'!$B$20:$AA$20)*(1-实盘持仓初始配置!$Z$6)^(('实盘净值数据(iFinD公式)'!$A582-'实盘净值数据(iFinD公式)'!$A$7)/365))</x:f>
        <x:v>#NAME?</x:v>
      </x:c>
      <x:c r="I582" s="152" t="e">
        <x:f>IF(OR(H581="",H582=""),"",H582/H581-1)</x:f>
        <x:v>#NAME?</x:v>
      </x:c>
      <x:c r="J582" s="152" t="e">
        <x:f>IF(H582="","",H582/MAX(H$5:H582)-1)</x:f>
        <x:v>#NAME?</x:v>
      </x:c>
      <x:c r="K582" s="146" t="e">
        <x:f>IF(OR('实盘净值数据(iFinD公式)'!$A582="",'实盘净值数据(iFinD公式)'!$B582=""),"",分期持仓明细!$AD$23*SUMPRODUCT(分期持仓明细!$B$23:$AA$23,'实盘净值数据(iFinD公式)'!$B582:$AA582/'实盘净值数据(iFinD公式)'!$B$65:$AA$65)*(1-实盘持仓初始配置!$Z$7)^(('实盘净值数据(iFinD公式)'!$A582-'实盘净值数据(iFinD公式)'!$A$8)/365))</x:f>
        <x:v>#NAME?</x:v>
      </x:c>
      <x:c r="L582" s="152" t="e">
        <x:f>IF(OR(K581="",K582=""),"",K582/K581-1)</x:f>
        <x:v>#NAME?</x:v>
      </x:c>
      <x:c r="M582" s="152" t="e">
        <x:f>IF(K582="","",K582/MAX(K$5:K582)-1)</x:f>
        <x:v>#NAME?</x:v>
      </x:c>
      <x:c r="N582" s="146" t="e">
        <x:f>IF(OR('实盘净值数据(iFinD公式)'!$A582="",'实盘净值数据(iFinD公式)'!$B582=""),"",分期持仓明细!$AD$24*SUMPRODUCT(分期持仓明细!$B$24:$AA$24,'实盘净值数据(iFinD公式)'!$B582:$AA582/'实盘净值数据(iFinD公式)'!$B$65:$AA$65)*(1-实盘持仓初始配置!$Z$8)^(('实盘净值数据(iFinD公式)'!$A582-'实盘净值数据(iFinD公式)'!$A$5)/365))</x:f>
        <x:v>#NAME?</x:v>
      </x:c>
      <x:c r="O582" s="152" t="e">
        <x:f>IF(OR(N581="",N582=""),"",N582/N581-1)</x:f>
        <x:v>#NAME?</x:v>
      </x:c>
      <x:c r="P582" s="152" t="e">
        <x:f>IF(N582="","",N582/MAX(N$5:N582)-1)</x:f>
        <x:v>#NAME?</x:v>
      </x:c>
      <x:c r="Q582" s="146" t="e">
        <x:f>IF(OR('实盘净值数据(iFinD公式)'!$A582="",'实盘净值数据(iFinD公式)'!$B582=""),"",分期持仓明细!$AD$25*SUMPRODUCT(分期持仓明细!$B$25:$AA$25,'实盘净值数据(iFinD公式)'!$B582:$AA582/'实盘净值数据(iFinD公式)'!$B$65:$AA$65)*(1-实盘持仓初始配置!$Z$9)^(('实盘净值数据(iFinD公式)'!$A582-'实盘净值数据(iFinD公式)'!$A$8)/365))</x:f>
        <x:v>#NAME?</x:v>
      </x:c>
      <x:c r="R582" s="152" t="e">
        <x:f>IF(OR(Q581="",Q582=""),"",Q582/Q581-1)</x:f>
        <x:v>#NAME?</x:v>
      </x:c>
      <x:c r="S582" s="152" t="e">
        <x:f>IF(Q582="","",Q582/MAX(Q$5:Q582)-1)</x:f>
        <x:v>#NAME?</x:v>
      </x:c>
    </x:row>
    <x:row r="583">
      <x:c r="A583" s="149" t="str">
        <x:f>IF('实盘净值数据(iFinD公式)'!A583="","",'实盘净值数据(iFinD公式)'!A583)</x:f>
      </x:c>
      <x:c r="B583" s="146" t="e">
        <x:f>IF(OR('实盘净值数据(iFinD公式)'!$A583="",'实盘净值数据(iFinD公式)'!$B583=""),"",分期持仓明细!$AD$17*SUMPRODUCT(分期持仓明细!$B$17:$AA$17,'实盘净值数据(iFinD公式)'!$B583:$AA583/'实盘净值数据(iFinD公式)'!$B$20:$AA$20)*(1-实盘持仓初始配置!$Z$4)^(('实盘净值数据(iFinD公式)'!$A583-'实盘净值数据(iFinD公式)'!$A$6)/365))</x:f>
        <x:v>#NAME?</x:v>
      </x:c>
      <x:c r="C583" s="152" t="e">
        <x:f>IF(OR(B582="",B583=""),"",B583/B582-1)</x:f>
        <x:v>#NAME?</x:v>
      </x:c>
      <x:c r="D583" s="152" t="e">
        <x:f>IF(B583="","",B583/MAX(B$5:B583)-1)</x:f>
        <x:v>#NAME?</x:v>
      </x:c>
      <x:c r="E583" s="146" t="e">
        <x:f>IF(OR('实盘净值数据(iFinD公式)'!$A583="",'实盘净值数据(iFinD公式)'!$B583=""),"",分期持仓明细!$AD$18*SUMPRODUCT(分期持仓明细!$B$18:$AA$18,'实盘净值数据(iFinD公式)'!$B583:$AA583/'实盘净值数据(iFinD公式)'!$B$20:$AA$20)*(1-实盘持仓初始配置!$Z$5)^(('实盘净值数据(iFinD公式)'!$A583-'实盘净值数据(iFinD公式)'!$A$5)/365))</x:f>
        <x:v>#NAME?</x:v>
      </x:c>
      <x:c r="F583" s="152" t="e">
        <x:f>IF(OR(E582="",E583=""),"",E583/E582-1)</x:f>
        <x:v>#NAME?</x:v>
      </x:c>
      <x:c r="G583" s="152" t="e">
        <x:f>IF(E583="","",E583/MAX(E$5:E583)-1)</x:f>
        <x:v>#NAME?</x:v>
      </x:c>
      <x:c r="H583" s="146" t="e">
        <x:f>IF(OR('实盘净值数据(iFinD公式)'!$A583="",'实盘净值数据(iFinD公式)'!$B583=""),"",分期持仓明细!$AD$19*SUMPRODUCT(分期持仓明细!$B$19:$AA$19,'实盘净值数据(iFinD公式)'!$B583:$AA583/'实盘净值数据(iFinD公式)'!$B$20:$AA$20)*(1-实盘持仓初始配置!$Z$6)^(('实盘净值数据(iFinD公式)'!$A583-'实盘净值数据(iFinD公式)'!$A$7)/365))</x:f>
        <x:v>#NAME?</x:v>
      </x:c>
      <x:c r="I583" s="152" t="e">
        <x:f>IF(OR(H582="",H583=""),"",H583/H582-1)</x:f>
        <x:v>#NAME?</x:v>
      </x:c>
      <x:c r="J583" s="152" t="e">
        <x:f>IF(H583="","",H583/MAX(H$5:H583)-1)</x:f>
        <x:v>#NAME?</x:v>
      </x:c>
      <x:c r="K583" s="146" t="e">
        <x:f>IF(OR('实盘净值数据(iFinD公式)'!$A583="",'实盘净值数据(iFinD公式)'!$B583=""),"",分期持仓明细!$AD$23*SUMPRODUCT(分期持仓明细!$B$23:$AA$23,'实盘净值数据(iFinD公式)'!$B583:$AA583/'实盘净值数据(iFinD公式)'!$B$65:$AA$65)*(1-实盘持仓初始配置!$Z$7)^(('实盘净值数据(iFinD公式)'!$A583-'实盘净值数据(iFinD公式)'!$A$8)/365))</x:f>
        <x:v>#NAME?</x:v>
      </x:c>
      <x:c r="L583" s="152" t="e">
        <x:f>IF(OR(K582="",K583=""),"",K583/K582-1)</x:f>
        <x:v>#NAME?</x:v>
      </x:c>
      <x:c r="M583" s="152" t="e">
        <x:f>IF(K583="","",K583/MAX(K$5:K583)-1)</x:f>
        <x:v>#NAME?</x:v>
      </x:c>
      <x:c r="N583" s="146" t="e">
        <x:f>IF(OR('实盘净值数据(iFinD公式)'!$A583="",'实盘净值数据(iFinD公式)'!$B583=""),"",分期持仓明细!$AD$24*SUMPRODUCT(分期持仓明细!$B$24:$AA$24,'实盘净值数据(iFinD公式)'!$B583:$AA583/'实盘净值数据(iFinD公式)'!$B$65:$AA$65)*(1-实盘持仓初始配置!$Z$8)^(('实盘净值数据(iFinD公式)'!$A583-'实盘净值数据(iFinD公式)'!$A$5)/365))</x:f>
        <x:v>#NAME?</x:v>
      </x:c>
      <x:c r="O583" s="152" t="e">
        <x:f>IF(OR(N582="",N583=""),"",N583/N582-1)</x:f>
        <x:v>#NAME?</x:v>
      </x:c>
      <x:c r="P583" s="152" t="e">
        <x:f>IF(N583="","",N583/MAX(N$5:N583)-1)</x:f>
        <x:v>#NAME?</x:v>
      </x:c>
      <x:c r="Q583" s="146" t="e">
        <x:f>IF(OR('实盘净值数据(iFinD公式)'!$A583="",'实盘净值数据(iFinD公式)'!$B583=""),"",分期持仓明细!$AD$25*SUMPRODUCT(分期持仓明细!$B$25:$AA$25,'实盘净值数据(iFinD公式)'!$B583:$AA583/'实盘净值数据(iFinD公式)'!$B$65:$AA$65)*(1-实盘持仓初始配置!$Z$9)^(('实盘净值数据(iFinD公式)'!$A583-'实盘净值数据(iFinD公式)'!$A$8)/365))</x:f>
        <x:v>#NAME?</x:v>
      </x:c>
      <x:c r="R583" s="152" t="e">
        <x:f>IF(OR(Q582="",Q583=""),"",Q583/Q582-1)</x:f>
        <x:v>#NAME?</x:v>
      </x:c>
      <x:c r="S583" s="152" t="e">
        <x:f>IF(Q583="","",Q583/MAX(Q$5:Q583)-1)</x:f>
        <x:v>#NAME?</x:v>
      </x:c>
    </x:row>
    <x:row r="584">
      <x:c r="A584" s="149" t="str">
        <x:f>IF('实盘净值数据(iFinD公式)'!A584="","",'实盘净值数据(iFinD公式)'!A584)</x:f>
      </x:c>
      <x:c r="B584" s="146" t="e">
        <x:f>IF(OR('实盘净值数据(iFinD公式)'!$A584="",'实盘净值数据(iFinD公式)'!$B584=""),"",分期持仓明细!$AD$17*SUMPRODUCT(分期持仓明细!$B$17:$AA$17,'实盘净值数据(iFinD公式)'!$B584:$AA584/'实盘净值数据(iFinD公式)'!$B$20:$AA$20)*(1-实盘持仓初始配置!$Z$4)^(('实盘净值数据(iFinD公式)'!$A584-'实盘净值数据(iFinD公式)'!$A$6)/365))</x:f>
        <x:v>#NAME?</x:v>
      </x:c>
      <x:c r="C584" s="152" t="e">
        <x:f>IF(OR(B583="",B584=""),"",B584/B583-1)</x:f>
        <x:v>#NAME?</x:v>
      </x:c>
      <x:c r="D584" s="152" t="e">
        <x:f>IF(B584="","",B584/MAX(B$5:B584)-1)</x:f>
        <x:v>#NAME?</x:v>
      </x:c>
      <x:c r="E584" s="146" t="e">
        <x:f>IF(OR('实盘净值数据(iFinD公式)'!$A584="",'实盘净值数据(iFinD公式)'!$B584=""),"",分期持仓明细!$AD$18*SUMPRODUCT(分期持仓明细!$B$18:$AA$18,'实盘净值数据(iFinD公式)'!$B584:$AA584/'实盘净值数据(iFinD公式)'!$B$20:$AA$20)*(1-实盘持仓初始配置!$Z$5)^(('实盘净值数据(iFinD公式)'!$A584-'实盘净值数据(iFinD公式)'!$A$5)/365))</x:f>
        <x:v>#NAME?</x:v>
      </x:c>
      <x:c r="F584" s="152" t="e">
        <x:f>IF(OR(E583="",E584=""),"",E584/E583-1)</x:f>
        <x:v>#NAME?</x:v>
      </x:c>
      <x:c r="G584" s="152" t="e">
        <x:f>IF(E584="","",E584/MAX(E$5:E584)-1)</x:f>
        <x:v>#NAME?</x:v>
      </x:c>
      <x:c r="H584" s="146" t="e">
        <x:f>IF(OR('实盘净值数据(iFinD公式)'!$A584="",'实盘净值数据(iFinD公式)'!$B584=""),"",分期持仓明细!$AD$19*SUMPRODUCT(分期持仓明细!$B$19:$AA$19,'实盘净值数据(iFinD公式)'!$B584:$AA584/'实盘净值数据(iFinD公式)'!$B$20:$AA$20)*(1-实盘持仓初始配置!$Z$6)^(('实盘净值数据(iFinD公式)'!$A584-'实盘净值数据(iFinD公式)'!$A$7)/365))</x:f>
        <x:v>#NAME?</x:v>
      </x:c>
      <x:c r="I584" s="152" t="e">
        <x:f>IF(OR(H583="",H584=""),"",H584/H583-1)</x:f>
        <x:v>#NAME?</x:v>
      </x:c>
      <x:c r="J584" s="152" t="e">
        <x:f>IF(H584="","",H584/MAX(H$5:H584)-1)</x:f>
        <x:v>#NAME?</x:v>
      </x:c>
      <x:c r="K584" s="146" t="e">
        <x:f>IF(OR('实盘净值数据(iFinD公式)'!$A584="",'实盘净值数据(iFinD公式)'!$B584=""),"",分期持仓明细!$AD$23*SUMPRODUCT(分期持仓明细!$B$23:$AA$23,'实盘净值数据(iFinD公式)'!$B584:$AA584/'实盘净值数据(iFinD公式)'!$B$65:$AA$65)*(1-实盘持仓初始配置!$Z$7)^(('实盘净值数据(iFinD公式)'!$A584-'实盘净值数据(iFinD公式)'!$A$8)/365))</x:f>
        <x:v>#NAME?</x:v>
      </x:c>
      <x:c r="L584" s="152" t="e">
        <x:f>IF(OR(K583="",K584=""),"",K584/K583-1)</x:f>
        <x:v>#NAME?</x:v>
      </x:c>
      <x:c r="M584" s="152" t="e">
        <x:f>IF(K584="","",K584/MAX(K$5:K584)-1)</x:f>
        <x:v>#NAME?</x:v>
      </x:c>
      <x:c r="N584" s="146" t="e">
        <x:f>IF(OR('实盘净值数据(iFinD公式)'!$A584="",'实盘净值数据(iFinD公式)'!$B584=""),"",分期持仓明细!$AD$24*SUMPRODUCT(分期持仓明细!$B$24:$AA$24,'实盘净值数据(iFinD公式)'!$B584:$AA584/'实盘净值数据(iFinD公式)'!$B$65:$AA$65)*(1-实盘持仓初始配置!$Z$8)^(('实盘净值数据(iFinD公式)'!$A584-'实盘净值数据(iFinD公式)'!$A$5)/365))</x:f>
        <x:v>#NAME?</x:v>
      </x:c>
      <x:c r="O584" s="152" t="e">
        <x:f>IF(OR(N583="",N584=""),"",N584/N583-1)</x:f>
        <x:v>#NAME?</x:v>
      </x:c>
      <x:c r="P584" s="152" t="e">
        <x:f>IF(N584="","",N584/MAX(N$5:N584)-1)</x:f>
        <x:v>#NAME?</x:v>
      </x:c>
      <x:c r="Q584" s="146" t="e">
        <x:f>IF(OR('实盘净值数据(iFinD公式)'!$A584="",'实盘净值数据(iFinD公式)'!$B584=""),"",分期持仓明细!$AD$25*SUMPRODUCT(分期持仓明细!$B$25:$AA$25,'实盘净值数据(iFinD公式)'!$B584:$AA584/'实盘净值数据(iFinD公式)'!$B$65:$AA$65)*(1-实盘持仓初始配置!$Z$9)^(('实盘净值数据(iFinD公式)'!$A584-'实盘净值数据(iFinD公式)'!$A$8)/365))</x:f>
        <x:v>#NAME?</x:v>
      </x:c>
      <x:c r="R584" s="152" t="e">
        <x:f>IF(OR(Q583="",Q584=""),"",Q584/Q583-1)</x:f>
        <x:v>#NAME?</x:v>
      </x:c>
      <x:c r="S584" s="152" t="e">
        <x:f>IF(Q584="","",Q584/MAX(Q$5:Q584)-1)</x:f>
        <x:v>#NAME?</x:v>
      </x:c>
    </x:row>
    <x:row r="585">
      <x:c r="A585" s="149" t="str">
        <x:f>IF('实盘净值数据(iFinD公式)'!A585="","",'实盘净值数据(iFinD公式)'!A585)</x:f>
      </x:c>
      <x:c r="B585" s="146" t="e">
        <x:f>IF(OR('实盘净值数据(iFinD公式)'!$A585="",'实盘净值数据(iFinD公式)'!$B585=""),"",分期持仓明细!$AD$17*SUMPRODUCT(分期持仓明细!$B$17:$AA$17,'实盘净值数据(iFinD公式)'!$B585:$AA585/'实盘净值数据(iFinD公式)'!$B$20:$AA$20)*(1-实盘持仓初始配置!$Z$4)^(('实盘净值数据(iFinD公式)'!$A585-'实盘净值数据(iFinD公式)'!$A$6)/365))</x:f>
        <x:v>#NAME?</x:v>
      </x:c>
      <x:c r="C585" s="152" t="e">
        <x:f>IF(OR(B584="",B585=""),"",B585/B584-1)</x:f>
        <x:v>#NAME?</x:v>
      </x:c>
      <x:c r="D585" s="152" t="e">
        <x:f>IF(B585="","",B585/MAX(B$5:B585)-1)</x:f>
        <x:v>#NAME?</x:v>
      </x:c>
      <x:c r="E585" s="146" t="e">
        <x:f>IF(OR('实盘净值数据(iFinD公式)'!$A585="",'实盘净值数据(iFinD公式)'!$B585=""),"",分期持仓明细!$AD$18*SUMPRODUCT(分期持仓明细!$B$18:$AA$18,'实盘净值数据(iFinD公式)'!$B585:$AA585/'实盘净值数据(iFinD公式)'!$B$20:$AA$20)*(1-实盘持仓初始配置!$Z$5)^(('实盘净值数据(iFinD公式)'!$A585-'实盘净值数据(iFinD公式)'!$A$5)/365))</x:f>
        <x:v>#NAME?</x:v>
      </x:c>
      <x:c r="F585" s="152" t="e">
        <x:f>IF(OR(E584="",E585=""),"",E585/E584-1)</x:f>
        <x:v>#NAME?</x:v>
      </x:c>
      <x:c r="G585" s="152" t="e">
        <x:f>IF(E585="","",E585/MAX(E$5:E585)-1)</x:f>
        <x:v>#NAME?</x:v>
      </x:c>
      <x:c r="H585" s="146" t="e">
        <x:f>IF(OR('实盘净值数据(iFinD公式)'!$A585="",'实盘净值数据(iFinD公式)'!$B585=""),"",分期持仓明细!$AD$19*SUMPRODUCT(分期持仓明细!$B$19:$AA$19,'实盘净值数据(iFinD公式)'!$B585:$AA585/'实盘净值数据(iFinD公式)'!$B$20:$AA$20)*(1-实盘持仓初始配置!$Z$6)^(('实盘净值数据(iFinD公式)'!$A585-'实盘净值数据(iFinD公式)'!$A$7)/365))</x:f>
        <x:v>#NAME?</x:v>
      </x:c>
      <x:c r="I585" s="152" t="e">
        <x:f>IF(OR(H584="",H585=""),"",H585/H584-1)</x:f>
        <x:v>#NAME?</x:v>
      </x:c>
      <x:c r="J585" s="152" t="e">
        <x:f>IF(H585="","",H585/MAX(H$5:H585)-1)</x:f>
        <x:v>#NAME?</x:v>
      </x:c>
      <x:c r="K585" s="146" t="e">
        <x:f>IF(OR('实盘净值数据(iFinD公式)'!$A585="",'实盘净值数据(iFinD公式)'!$B585=""),"",分期持仓明细!$AD$23*SUMPRODUCT(分期持仓明细!$B$23:$AA$23,'实盘净值数据(iFinD公式)'!$B585:$AA585/'实盘净值数据(iFinD公式)'!$B$65:$AA$65)*(1-实盘持仓初始配置!$Z$7)^(('实盘净值数据(iFinD公式)'!$A585-'实盘净值数据(iFinD公式)'!$A$8)/365))</x:f>
        <x:v>#NAME?</x:v>
      </x:c>
      <x:c r="L585" s="152" t="e">
        <x:f>IF(OR(K584="",K585=""),"",K585/K584-1)</x:f>
        <x:v>#NAME?</x:v>
      </x:c>
      <x:c r="M585" s="152" t="e">
        <x:f>IF(K585="","",K585/MAX(K$5:K585)-1)</x:f>
        <x:v>#NAME?</x:v>
      </x:c>
      <x:c r="N585" s="146" t="e">
        <x:f>IF(OR('实盘净值数据(iFinD公式)'!$A585="",'实盘净值数据(iFinD公式)'!$B585=""),"",分期持仓明细!$AD$24*SUMPRODUCT(分期持仓明细!$B$24:$AA$24,'实盘净值数据(iFinD公式)'!$B585:$AA585/'实盘净值数据(iFinD公式)'!$B$65:$AA$65)*(1-实盘持仓初始配置!$Z$8)^(('实盘净值数据(iFinD公式)'!$A585-'实盘净值数据(iFinD公式)'!$A$5)/365))</x:f>
        <x:v>#NAME?</x:v>
      </x:c>
      <x:c r="O585" s="152" t="e">
        <x:f>IF(OR(N584="",N585=""),"",N585/N584-1)</x:f>
        <x:v>#NAME?</x:v>
      </x:c>
      <x:c r="P585" s="152" t="e">
        <x:f>IF(N585="","",N585/MAX(N$5:N585)-1)</x:f>
        <x:v>#NAME?</x:v>
      </x:c>
      <x:c r="Q585" s="146" t="e">
        <x:f>IF(OR('实盘净值数据(iFinD公式)'!$A585="",'实盘净值数据(iFinD公式)'!$B585=""),"",分期持仓明细!$AD$25*SUMPRODUCT(分期持仓明细!$B$25:$AA$25,'实盘净值数据(iFinD公式)'!$B585:$AA585/'实盘净值数据(iFinD公式)'!$B$65:$AA$65)*(1-实盘持仓初始配置!$Z$9)^(('实盘净值数据(iFinD公式)'!$A585-'实盘净值数据(iFinD公式)'!$A$8)/365))</x:f>
        <x:v>#NAME?</x:v>
      </x:c>
      <x:c r="R585" s="152" t="e">
        <x:f>IF(OR(Q584="",Q585=""),"",Q585/Q584-1)</x:f>
        <x:v>#NAME?</x:v>
      </x:c>
      <x:c r="S585" s="152" t="e">
        <x:f>IF(Q585="","",Q585/MAX(Q$5:Q585)-1)</x:f>
        <x:v>#NAME?</x:v>
      </x:c>
    </x:row>
    <x:row r="586">
      <x:c r="A586" s="149" t="str">
        <x:f>IF('实盘净值数据(iFinD公式)'!A586="","",'实盘净值数据(iFinD公式)'!A586)</x:f>
      </x:c>
      <x:c r="B586" s="146" t="e">
        <x:f>IF(OR('实盘净值数据(iFinD公式)'!$A586="",'实盘净值数据(iFinD公式)'!$B586=""),"",分期持仓明细!$AD$17*SUMPRODUCT(分期持仓明细!$B$17:$AA$17,'实盘净值数据(iFinD公式)'!$B586:$AA586/'实盘净值数据(iFinD公式)'!$B$20:$AA$20)*(1-实盘持仓初始配置!$Z$4)^(('实盘净值数据(iFinD公式)'!$A586-'实盘净值数据(iFinD公式)'!$A$6)/365))</x:f>
        <x:v>#NAME?</x:v>
      </x:c>
      <x:c r="C586" s="152" t="e">
        <x:f>IF(OR(B585="",B586=""),"",B586/B585-1)</x:f>
        <x:v>#NAME?</x:v>
      </x:c>
      <x:c r="D586" s="152" t="e">
        <x:f>IF(B586="","",B586/MAX(B$5:B586)-1)</x:f>
        <x:v>#NAME?</x:v>
      </x:c>
      <x:c r="E586" s="146" t="e">
        <x:f>IF(OR('实盘净值数据(iFinD公式)'!$A586="",'实盘净值数据(iFinD公式)'!$B586=""),"",分期持仓明细!$AD$18*SUMPRODUCT(分期持仓明细!$B$18:$AA$18,'实盘净值数据(iFinD公式)'!$B586:$AA586/'实盘净值数据(iFinD公式)'!$B$20:$AA$20)*(1-实盘持仓初始配置!$Z$5)^(('实盘净值数据(iFinD公式)'!$A586-'实盘净值数据(iFinD公式)'!$A$5)/365))</x:f>
        <x:v>#NAME?</x:v>
      </x:c>
      <x:c r="F586" s="152" t="e">
        <x:f>IF(OR(E585="",E586=""),"",E586/E585-1)</x:f>
        <x:v>#NAME?</x:v>
      </x:c>
      <x:c r="G586" s="152" t="e">
        <x:f>IF(E586="","",E586/MAX(E$5:E586)-1)</x:f>
        <x:v>#NAME?</x:v>
      </x:c>
      <x:c r="H586" s="146" t="e">
        <x:f>IF(OR('实盘净值数据(iFinD公式)'!$A586="",'实盘净值数据(iFinD公式)'!$B586=""),"",分期持仓明细!$AD$19*SUMPRODUCT(分期持仓明细!$B$19:$AA$19,'实盘净值数据(iFinD公式)'!$B586:$AA586/'实盘净值数据(iFinD公式)'!$B$20:$AA$20)*(1-实盘持仓初始配置!$Z$6)^(('实盘净值数据(iFinD公式)'!$A586-'实盘净值数据(iFinD公式)'!$A$7)/365))</x:f>
        <x:v>#NAME?</x:v>
      </x:c>
      <x:c r="I586" s="152" t="e">
        <x:f>IF(OR(H585="",H586=""),"",H586/H585-1)</x:f>
        <x:v>#NAME?</x:v>
      </x:c>
      <x:c r="J586" s="152" t="e">
        <x:f>IF(H586="","",H586/MAX(H$5:H586)-1)</x:f>
        <x:v>#NAME?</x:v>
      </x:c>
      <x:c r="K586" s="146" t="e">
        <x:f>IF(OR('实盘净值数据(iFinD公式)'!$A586="",'实盘净值数据(iFinD公式)'!$B586=""),"",分期持仓明细!$AD$23*SUMPRODUCT(分期持仓明细!$B$23:$AA$23,'实盘净值数据(iFinD公式)'!$B586:$AA586/'实盘净值数据(iFinD公式)'!$B$65:$AA$65)*(1-实盘持仓初始配置!$Z$7)^(('实盘净值数据(iFinD公式)'!$A586-'实盘净值数据(iFinD公式)'!$A$8)/365))</x:f>
        <x:v>#NAME?</x:v>
      </x:c>
      <x:c r="L586" s="152" t="e">
        <x:f>IF(OR(K585="",K586=""),"",K586/K585-1)</x:f>
        <x:v>#NAME?</x:v>
      </x:c>
      <x:c r="M586" s="152" t="e">
        <x:f>IF(K586="","",K586/MAX(K$5:K586)-1)</x:f>
        <x:v>#NAME?</x:v>
      </x:c>
      <x:c r="N586" s="146" t="e">
        <x:f>IF(OR('实盘净值数据(iFinD公式)'!$A586="",'实盘净值数据(iFinD公式)'!$B586=""),"",分期持仓明细!$AD$24*SUMPRODUCT(分期持仓明细!$B$24:$AA$24,'实盘净值数据(iFinD公式)'!$B586:$AA586/'实盘净值数据(iFinD公式)'!$B$65:$AA$65)*(1-实盘持仓初始配置!$Z$8)^(('实盘净值数据(iFinD公式)'!$A586-'实盘净值数据(iFinD公式)'!$A$5)/365))</x:f>
        <x:v>#NAME?</x:v>
      </x:c>
      <x:c r="O586" s="152" t="e">
        <x:f>IF(OR(N585="",N586=""),"",N586/N585-1)</x:f>
        <x:v>#NAME?</x:v>
      </x:c>
      <x:c r="P586" s="152" t="e">
        <x:f>IF(N586="","",N586/MAX(N$5:N586)-1)</x:f>
        <x:v>#NAME?</x:v>
      </x:c>
      <x:c r="Q586" s="146" t="e">
        <x:f>IF(OR('实盘净值数据(iFinD公式)'!$A586="",'实盘净值数据(iFinD公式)'!$B586=""),"",分期持仓明细!$AD$25*SUMPRODUCT(分期持仓明细!$B$25:$AA$25,'实盘净值数据(iFinD公式)'!$B586:$AA586/'实盘净值数据(iFinD公式)'!$B$65:$AA$65)*(1-实盘持仓初始配置!$Z$9)^(('实盘净值数据(iFinD公式)'!$A586-'实盘净值数据(iFinD公式)'!$A$8)/365))</x:f>
        <x:v>#NAME?</x:v>
      </x:c>
      <x:c r="R586" s="152" t="e">
        <x:f>IF(OR(Q585="",Q586=""),"",Q586/Q585-1)</x:f>
        <x:v>#NAME?</x:v>
      </x:c>
      <x:c r="S586" s="152" t="e">
        <x:f>IF(Q586="","",Q586/MAX(Q$5:Q586)-1)</x:f>
        <x:v>#NAME?</x:v>
      </x:c>
    </x:row>
    <x:row r="587">
      <x:c r="A587" s="149" t="str">
        <x:f>IF('实盘净值数据(iFinD公式)'!A587="","",'实盘净值数据(iFinD公式)'!A587)</x:f>
      </x:c>
      <x:c r="B587" s="146" t="e">
        <x:f>IF(OR('实盘净值数据(iFinD公式)'!$A587="",'实盘净值数据(iFinD公式)'!$B587=""),"",分期持仓明细!$AD$17*SUMPRODUCT(分期持仓明细!$B$17:$AA$17,'实盘净值数据(iFinD公式)'!$B587:$AA587/'实盘净值数据(iFinD公式)'!$B$20:$AA$20)*(1-实盘持仓初始配置!$Z$4)^(('实盘净值数据(iFinD公式)'!$A587-'实盘净值数据(iFinD公式)'!$A$6)/365))</x:f>
        <x:v>#NAME?</x:v>
      </x:c>
      <x:c r="C587" s="152" t="e">
        <x:f>IF(OR(B586="",B587=""),"",B587/B586-1)</x:f>
        <x:v>#NAME?</x:v>
      </x:c>
      <x:c r="D587" s="152" t="e">
        <x:f>IF(B587="","",B587/MAX(B$5:B587)-1)</x:f>
        <x:v>#NAME?</x:v>
      </x:c>
      <x:c r="E587" s="146" t="e">
        <x:f>IF(OR('实盘净值数据(iFinD公式)'!$A587="",'实盘净值数据(iFinD公式)'!$B587=""),"",分期持仓明细!$AD$18*SUMPRODUCT(分期持仓明细!$B$18:$AA$18,'实盘净值数据(iFinD公式)'!$B587:$AA587/'实盘净值数据(iFinD公式)'!$B$20:$AA$20)*(1-实盘持仓初始配置!$Z$5)^(('实盘净值数据(iFinD公式)'!$A587-'实盘净值数据(iFinD公式)'!$A$5)/365))</x:f>
        <x:v>#NAME?</x:v>
      </x:c>
      <x:c r="F587" s="152" t="e">
        <x:f>IF(OR(E586="",E587=""),"",E587/E586-1)</x:f>
        <x:v>#NAME?</x:v>
      </x:c>
      <x:c r="G587" s="152" t="e">
        <x:f>IF(E587="","",E587/MAX(E$5:E587)-1)</x:f>
        <x:v>#NAME?</x:v>
      </x:c>
      <x:c r="H587" s="146" t="e">
        <x:f>IF(OR('实盘净值数据(iFinD公式)'!$A587="",'实盘净值数据(iFinD公式)'!$B587=""),"",分期持仓明细!$AD$19*SUMPRODUCT(分期持仓明细!$B$19:$AA$19,'实盘净值数据(iFinD公式)'!$B587:$AA587/'实盘净值数据(iFinD公式)'!$B$20:$AA$20)*(1-实盘持仓初始配置!$Z$6)^(('实盘净值数据(iFinD公式)'!$A587-'实盘净值数据(iFinD公式)'!$A$7)/365))</x:f>
        <x:v>#NAME?</x:v>
      </x:c>
      <x:c r="I587" s="152" t="e">
        <x:f>IF(OR(H586="",H587=""),"",H587/H586-1)</x:f>
        <x:v>#NAME?</x:v>
      </x:c>
      <x:c r="J587" s="152" t="e">
        <x:f>IF(H587="","",H587/MAX(H$5:H587)-1)</x:f>
        <x:v>#NAME?</x:v>
      </x:c>
      <x:c r="K587" s="146" t="e">
        <x:f>IF(OR('实盘净值数据(iFinD公式)'!$A587="",'实盘净值数据(iFinD公式)'!$B587=""),"",分期持仓明细!$AD$23*SUMPRODUCT(分期持仓明细!$B$23:$AA$23,'实盘净值数据(iFinD公式)'!$B587:$AA587/'实盘净值数据(iFinD公式)'!$B$65:$AA$65)*(1-实盘持仓初始配置!$Z$7)^(('实盘净值数据(iFinD公式)'!$A587-'实盘净值数据(iFinD公式)'!$A$8)/365))</x:f>
        <x:v>#NAME?</x:v>
      </x:c>
      <x:c r="L587" s="152" t="e">
        <x:f>IF(OR(K586="",K587=""),"",K587/K586-1)</x:f>
        <x:v>#NAME?</x:v>
      </x:c>
      <x:c r="M587" s="152" t="e">
        <x:f>IF(K587="","",K587/MAX(K$5:K587)-1)</x:f>
        <x:v>#NAME?</x:v>
      </x:c>
      <x:c r="N587" s="146" t="e">
        <x:f>IF(OR('实盘净值数据(iFinD公式)'!$A587="",'实盘净值数据(iFinD公式)'!$B587=""),"",分期持仓明细!$AD$24*SUMPRODUCT(分期持仓明细!$B$24:$AA$24,'实盘净值数据(iFinD公式)'!$B587:$AA587/'实盘净值数据(iFinD公式)'!$B$65:$AA$65)*(1-实盘持仓初始配置!$Z$8)^(('实盘净值数据(iFinD公式)'!$A587-'实盘净值数据(iFinD公式)'!$A$5)/365))</x:f>
        <x:v>#NAME?</x:v>
      </x:c>
      <x:c r="O587" s="152" t="e">
        <x:f>IF(OR(N586="",N587=""),"",N587/N586-1)</x:f>
        <x:v>#NAME?</x:v>
      </x:c>
      <x:c r="P587" s="152" t="e">
        <x:f>IF(N587="","",N587/MAX(N$5:N587)-1)</x:f>
        <x:v>#NAME?</x:v>
      </x:c>
      <x:c r="Q587" s="146" t="e">
        <x:f>IF(OR('实盘净值数据(iFinD公式)'!$A587="",'实盘净值数据(iFinD公式)'!$B587=""),"",分期持仓明细!$AD$25*SUMPRODUCT(分期持仓明细!$B$25:$AA$25,'实盘净值数据(iFinD公式)'!$B587:$AA587/'实盘净值数据(iFinD公式)'!$B$65:$AA$65)*(1-实盘持仓初始配置!$Z$9)^(('实盘净值数据(iFinD公式)'!$A587-'实盘净值数据(iFinD公式)'!$A$8)/365))</x:f>
        <x:v>#NAME?</x:v>
      </x:c>
      <x:c r="R587" s="152" t="e">
        <x:f>IF(OR(Q586="",Q587=""),"",Q587/Q586-1)</x:f>
        <x:v>#NAME?</x:v>
      </x:c>
      <x:c r="S587" s="152" t="e">
        <x:f>IF(Q587="","",Q587/MAX(Q$5:Q587)-1)</x:f>
        <x:v>#NAME?</x:v>
      </x:c>
    </x:row>
    <x:row r="588">
      <x:c r="A588" s="149" t="str">
        <x:f>IF('实盘净值数据(iFinD公式)'!A588="","",'实盘净值数据(iFinD公式)'!A588)</x:f>
      </x:c>
      <x:c r="B588" s="146" t="e">
        <x:f>IF(OR('实盘净值数据(iFinD公式)'!$A588="",'实盘净值数据(iFinD公式)'!$B588=""),"",分期持仓明细!$AD$17*SUMPRODUCT(分期持仓明细!$B$17:$AA$17,'实盘净值数据(iFinD公式)'!$B588:$AA588/'实盘净值数据(iFinD公式)'!$B$20:$AA$20)*(1-实盘持仓初始配置!$Z$4)^(('实盘净值数据(iFinD公式)'!$A588-'实盘净值数据(iFinD公式)'!$A$6)/365))</x:f>
        <x:v>#NAME?</x:v>
      </x:c>
      <x:c r="C588" s="152" t="e">
        <x:f>IF(OR(B587="",B588=""),"",B588/B587-1)</x:f>
        <x:v>#NAME?</x:v>
      </x:c>
      <x:c r="D588" s="152" t="e">
        <x:f>IF(B588="","",B588/MAX(B$5:B588)-1)</x:f>
        <x:v>#NAME?</x:v>
      </x:c>
      <x:c r="E588" s="146" t="e">
        <x:f>IF(OR('实盘净值数据(iFinD公式)'!$A588="",'实盘净值数据(iFinD公式)'!$B588=""),"",分期持仓明细!$AD$18*SUMPRODUCT(分期持仓明细!$B$18:$AA$18,'实盘净值数据(iFinD公式)'!$B588:$AA588/'实盘净值数据(iFinD公式)'!$B$20:$AA$20)*(1-实盘持仓初始配置!$Z$5)^(('实盘净值数据(iFinD公式)'!$A588-'实盘净值数据(iFinD公式)'!$A$5)/365))</x:f>
        <x:v>#NAME?</x:v>
      </x:c>
      <x:c r="F588" s="152" t="e">
        <x:f>IF(OR(E587="",E588=""),"",E588/E587-1)</x:f>
        <x:v>#NAME?</x:v>
      </x:c>
      <x:c r="G588" s="152" t="e">
        <x:f>IF(E588="","",E588/MAX(E$5:E588)-1)</x:f>
        <x:v>#NAME?</x:v>
      </x:c>
      <x:c r="H588" s="146" t="e">
        <x:f>IF(OR('实盘净值数据(iFinD公式)'!$A588="",'实盘净值数据(iFinD公式)'!$B588=""),"",分期持仓明细!$AD$19*SUMPRODUCT(分期持仓明细!$B$19:$AA$19,'实盘净值数据(iFinD公式)'!$B588:$AA588/'实盘净值数据(iFinD公式)'!$B$20:$AA$20)*(1-实盘持仓初始配置!$Z$6)^(('实盘净值数据(iFinD公式)'!$A588-'实盘净值数据(iFinD公式)'!$A$7)/365))</x:f>
        <x:v>#NAME?</x:v>
      </x:c>
      <x:c r="I588" s="152" t="e">
        <x:f>IF(OR(H587="",H588=""),"",H588/H587-1)</x:f>
        <x:v>#NAME?</x:v>
      </x:c>
      <x:c r="J588" s="152" t="e">
        <x:f>IF(H588="","",H588/MAX(H$5:H588)-1)</x:f>
        <x:v>#NAME?</x:v>
      </x:c>
      <x:c r="K588" s="146" t="e">
        <x:f>IF(OR('实盘净值数据(iFinD公式)'!$A588="",'实盘净值数据(iFinD公式)'!$B588=""),"",分期持仓明细!$AD$23*SUMPRODUCT(分期持仓明细!$B$23:$AA$23,'实盘净值数据(iFinD公式)'!$B588:$AA588/'实盘净值数据(iFinD公式)'!$B$65:$AA$65)*(1-实盘持仓初始配置!$Z$7)^(('实盘净值数据(iFinD公式)'!$A588-'实盘净值数据(iFinD公式)'!$A$8)/365))</x:f>
        <x:v>#NAME?</x:v>
      </x:c>
      <x:c r="L588" s="152" t="e">
        <x:f>IF(OR(K587="",K588=""),"",K588/K587-1)</x:f>
        <x:v>#NAME?</x:v>
      </x:c>
      <x:c r="M588" s="152" t="e">
        <x:f>IF(K588="","",K588/MAX(K$5:K588)-1)</x:f>
        <x:v>#NAME?</x:v>
      </x:c>
      <x:c r="N588" s="146" t="e">
        <x:f>IF(OR('实盘净值数据(iFinD公式)'!$A588="",'实盘净值数据(iFinD公式)'!$B588=""),"",分期持仓明细!$AD$24*SUMPRODUCT(分期持仓明细!$B$24:$AA$24,'实盘净值数据(iFinD公式)'!$B588:$AA588/'实盘净值数据(iFinD公式)'!$B$65:$AA$65)*(1-实盘持仓初始配置!$Z$8)^(('实盘净值数据(iFinD公式)'!$A588-'实盘净值数据(iFinD公式)'!$A$5)/365))</x:f>
        <x:v>#NAME?</x:v>
      </x:c>
      <x:c r="O588" s="152" t="e">
        <x:f>IF(OR(N587="",N588=""),"",N588/N587-1)</x:f>
        <x:v>#NAME?</x:v>
      </x:c>
      <x:c r="P588" s="152" t="e">
        <x:f>IF(N588="","",N588/MAX(N$5:N588)-1)</x:f>
        <x:v>#NAME?</x:v>
      </x:c>
      <x:c r="Q588" s="146" t="e">
        <x:f>IF(OR('实盘净值数据(iFinD公式)'!$A588="",'实盘净值数据(iFinD公式)'!$B588=""),"",分期持仓明细!$AD$25*SUMPRODUCT(分期持仓明细!$B$25:$AA$25,'实盘净值数据(iFinD公式)'!$B588:$AA588/'实盘净值数据(iFinD公式)'!$B$65:$AA$65)*(1-实盘持仓初始配置!$Z$9)^(('实盘净值数据(iFinD公式)'!$A588-'实盘净值数据(iFinD公式)'!$A$8)/365))</x:f>
        <x:v>#NAME?</x:v>
      </x:c>
      <x:c r="R588" s="152" t="e">
        <x:f>IF(OR(Q587="",Q588=""),"",Q588/Q587-1)</x:f>
        <x:v>#NAME?</x:v>
      </x:c>
      <x:c r="S588" s="152" t="e">
        <x:f>IF(Q588="","",Q588/MAX(Q$5:Q588)-1)</x:f>
        <x:v>#NAME?</x:v>
      </x:c>
    </x:row>
    <x:row r="589">
      <x:c r="A589" s="149" t="str">
        <x:f>IF('实盘净值数据(iFinD公式)'!A589="","",'实盘净值数据(iFinD公式)'!A589)</x:f>
      </x:c>
      <x:c r="B589" s="146" t="e">
        <x:f>IF(OR('实盘净值数据(iFinD公式)'!$A589="",'实盘净值数据(iFinD公式)'!$B589=""),"",分期持仓明细!$AD$17*SUMPRODUCT(分期持仓明细!$B$17:$AA$17,'实盘净值数据(iFinD公式)'!$B589:$AA589/'实盘净值数据(iFinD公式)'!$B$20:$AA$20)*(1-实盘持仓初始配置!$Z$4)^(('实盘净值数据(iFinD公式)'!$A589-'实盘净值数据(iFinD公式)'!$A$6)/365))</x:f>
        <x:v>#NAME?</x:v>
      </x:c>
      <x:c r="C589" s="152" t="e">
        <x:f>IF(OR(B588="",B589=""),"",B589/B588-1)</x:f>
        <x:v>#NAME?</x:v>
      </x:c>
      <x:c r="D589" s="152" t="e">
        <x:f>IF(B589="","",B589/MAX(B$5:B589)-1)</x:f>
        <x:v>#NAME?</x:v>
      </x:c>
      <x:c r="E589" s="146" t="e">
        <x:f>IF(OR('实盘净值数据(iFinD公式)'!$A589="",'实盘净值数据(iFinD公式)'!$B589=""),"",分期持仓明细!$AD$18*SUMPRODUCT(分期持仓明细!$B$18:$AA$18,'实盘净值数据(iFinD公式)'!$B589:$AA589/'实盘净值数据(iFinD公式)'!$B$20:$AA$20)*(1-实盘持仓初始配置!$Z$5)^(('实盘净值数据(iFinD公式)'!$A589-'实盘净值数据(iFinD公式)'!$A$5)/365))</x:f>
        <x:v>#NAME?</x:v>
      </x:c>
      <x:c r="F589" s="152" t="e">
        <x:f>IF(OR(E588="",E589=""),"",E589/E588-1)</x:f>
        <x:v>#NAME?</x:v>
      </x:c>
      <x:c r="G589" s="152" t="e">
        <x:f>IF(E589="","",E589/MAX(E$5:E589)-1)</x:f>
        <x:v>#NAME?</x:v>
      </x:c>
      <x:c r="H589" s="146" t="e">
        <x:f>IF(OR('实盘净值数据(iFinD公式)'!$A589="",'实盘净值数据(iFinD公式)'!$B589=""),"",分期持仓明细!$AD$19*SUMPRODUCT(分期持仓明细!$B$19:$AA$19,'实盘净值数据(iFinD公式)'!$B589:$AA589/'实盘净值数据(iFinD公式)'!$B$20:$AA$20)*(1-实盘持仓初始配置!$Z$6)^(('实盘净值数据(iFinD公式)'!$A589-'实盘净值数据(iFinD公式)'!$A$7)/365))</x:f>
        <x:v>#NAME?</x:v>
      </x:c>
      <x:c r="I589" s="152" t="e">
        <x:f>IF(OR(H588="",H589=""),"",H589/H588-1)</x:f>
        <x:v>#NAME?</x:v>
      </x:c>
      <x:c r="J589" s="152" t="e">
        <x:f>IF(H589="","",H589/MAX(H$5:H589)-1)</x:f>
        <x:v>#NAME?</x:v>
      </x:c>
      <x:c r="K589" s="146" t="e">
        <x:f>IF(OR('实盘净值数据(iFinD公式)'!$A589="",'实盘净值数据(iFinD公式)'!$B589=""),"",分期持仓明细!$AD$23*SUMPRODUCT(分期持仓明细!$B$23:$AA$23,'实盘净值数据(iFinD公式)'!$B589:$AA589/'实盘净值数据(iFinD公式)'!$B$65:$AA$65)*(1-实盘持仓初始配置!$Z$7)^(('实盘净值数据(iFinD公式)'!$A589-'实盘净值数据(iFinD公式)'!$A$8)/365))</x:f>
        <x:v>#NAME?</x:v>
      </x:c>
      <x:c r="L589" s="152" t="e">
        <x:f>IF(OR(K588="",K589=""),"",K589/K588-1)</x:f>
        <x:v>#NAME?</x:v>
      </x:c>
      <x:c r="M589" s="152" t="e">
        <x:f>IF(K589="","",K589/MAX(K$5:K589)-1)</x:f>
        <x:v>#NAME?</x:v>
      </x:c>
      <x:c r="N589" s="146" t="e">
        <x:f>IF(OR('实盘净值数据(iFinD公式)'!$A589="",'实盘净值数据(iFinD公式)'!$B589=""),"",分期持仓明细!$AD$24*SUMPRODUCT(分期持仓明细!$B$24:$AA$24,'实盘净值数据(iFinD公式)'!$B589:$AA589/'实盘净值数据(iFinD公式)'!$B$65:$AA$65)*(1-实盘持仓初始配置!$Z$8)^(('实盘净值数据(iFinD公式)'!$A589-'实盘净值数据(iFinD公式)'!$A$5)/365))</x:f>
        <x:v>#NAME?</x:v>
      </x:c>
      <x:c r="O589" s="152" t="e">
        <x:f>IF(OR(N588="",N589=""),"",N589/N588-1)</x:f>
        <x:v>#NAME?</x:v>
      </x:c>
      <x:c r="P589" s="152" t="e">
        <x:f>IF(N589="","",N589/MAX(N$5:N589)-1)</x:f>
        <x:v>#NAME?</x:v>
      </x:c>
      <x:c r="Q589" s="146" t="e">
        <x:f>IF(OR('实盘净值数据(iFinD公式)'!$A589="",'实盘净值数据(iFinD公式)'!$B589=""),"",分期持仓明细!$AD$25*SUMPRODUCT(分期持仓明细!$B$25:$AA$25,'实盘净值数据(iFinD公式)'!$B589:$AA589/'实盘净值数据(iFinD公式)'!$B$65:$AA$65)*(1-实盘持仓初始配置!$Z$9)^(('实盘净值数据(iFinD公式)'!$A589-'实盘净值数据(iFinD公式)'!$A$8)/365))</x:f>
        <x:v>#NAME?</x:v>
      </x:c>
      <x:c r="R589" s="152" t="e">
        <x:f>IF(OR(Q588="",Q589=""),"",Q589/Q588-1)</x:f>
        <x:v>#NAME?</x:v>
      </x:c>
      <x:c r="S589" s="152" t="e">
        <x:f>IF(Q589="","",Q589/MAX(Q$5:Q589)-1)</x:f>
        <x:v>#NAME?</x:v>
      </x:c>
    </x:row>
    <x:row r="590">
      <x:c r="A590" s="149" t="str">
        <x:f>IF('实盘净值数据(iFinD公式)'!A590="","",'实盘净值数据(iFinD公式)'!A590)</x:f>
      </x:c>
      <x:c r="B590" s="146" t="e">
        <x:f>IF(OR('实盘净值数据(iFinD公式)'!$A590="",'实盘净值数据(iFinD公式)'!$B590=""),"",分期持仓明细!$AD$17*SUMPRODUCT(分期持仓明细!$B$17:$AA$17,'实盘净值数据(iFinD公式)'!$B590:$AA590/'实盘净值数据(iFinD公式)'!$B$20:$AA$20)*(1-实盘持仓初始配置!$Z$4)^(('实盘净值数据(iFinD公式)'!$A590-'实盘净值数据(iFinD公式)'!$A$6)/365))</x:f>
        <x:v>#NAME?</x:v>
      </x:c>
      <x:c r="C590" s="152" t="e">
        <x:f>IF(OR(B589="",B590=""),"",B590/B589-1)</x:f>
        <x:v>#NAME?</x:v>
      </x:c>
      <x:c r="D590" s="152" t="e">
        <x:f>IF(B590="","",B590/MAX(B$5:B590)-1)</x:f>
        <x:v>#NAME?</x:v>
      </x:c>
      <x:c r="E590" s="146" t="e">
        <x:f>IF(OR('实盘净值数据(iFinD公式)'!$A590="",'实盘净值数据(iFinD公式)'!$B590=""),"",分期持仓明细!$AD$18*SUMPRODUCT(分期持仓明细!$B$18:$AA$18,'实盘净值数据(iFinD公式)'!$B590:$AA590/'实盘净值数据(iFinD公式)'!$B$20:$AA$20)*(1-实盘持仓初始配置!$Z$5)^(('实盘净值数据(iFinD公式)'!$A590-'实盘净值数据(iFinD公式)'!$A$5)/365))</x:f>
        <x:v>#NAME?</x:v>
      </x:c>
      <x:c r="F590" s="152" t="e">
        <x:f>IF(OR(E589="",E590=""),"",E590/E589-1)</x:f>
        <x:v>#NAME?</x:v>
      </x:c>
      <x:c r="G590" s="152" t="e">
        <x:f>IF(E590="","",E590/MAX(E$5:E590)-1)</x:f>
        <x:v>#NAME?</x:v>
      </x:c>
      <x:c r="H590" s="146" t="e">
        <x:f>IF(OR('实盘净值数据(iFinD公式)'!$A590="",'实盘净值数据(iFinD公式)'!$B590=""),"",分期持仓明细!$AD$19*SUMPRODUCT(分期持仓明细!$B$19:$AA$19,'实盘净值数据(iFinD公式)'!$B590:$AA590/'实盘净值数据(iFinD公式)'!$B$20:$AA$20)*(1-实盘持仓初始配置!$Z$6)^(('实盘净值数据(iFinD公式)'!$A590-'实盘净值数据(iFinD公式)'!$A$7)/365))</x:f>
        <x:v>#NAME?</x:v>
      </x:c>
      <x:c r="I590" s="152" t="e">
        <x:f>IF(OR(H589="",H590=""),"",H590/H589-1)</x:f>
        <x:v>#NAME?</x:v>
      </x:c>
      <x:c r="J590" s="152" t="e">
        <x:f>IF(H590="","",H590/MAX(H$5:H590)-1)</x:f>
        <x:v>#NAME?</x:v>
      </x:c>
      <x:c r="K590" s="146" t="e">
        <x:f>IF(OR('实盘净值数据(iFinD公式)'!$A590="",'实盘净值数据(iFinD公式)'!$B590=""),"",分期持仓明细!$AD$23*SUMPRODUCT(分期持仓明细!$B$23:$AA$23,'实盘净值数据(iFinD公式)'!$B590:$AA590/'实盘净值数据(iFinD公式)'!$B$65:$AA$65)*(1-实盘持仓初始配置!$Z$7)^(('实盘净值数据(iFinD公式)'!$A590-'实盘净值数据(iFinD公式)'!$A$8)/365))</x:f>
        <x:v>#NAME?</x:v>
      </x:c>
      <x:c r="L590" s="152" t="e">
        <x:f>IF(OR(K589="",K590=""),"",K590/K589-1)</x:f>
        <x:v>#NAME?</x:v>
      </x:c>
      <x:c r="M590" s="152" t="e">
        <x:f>IF(K590="","",K590/MAX(K$5:K590)-1)</x:f>
        <x:v>#NAME?</x:v>
      </x:c>
      <x:c r="N590" s="146" t="e">
        <x:f>IF(OR('实盘净值数据(iFinD公式)'!$A590="",'实盘净值数据(iFinD公式)'!$B590=""),"",分期持仓明细!$AD$24*SUMPRODUCT(分期持仓明细!$B$24:$AA$24,'实盘净值数据(iFinD公式)'!$B590:$AA590/'实盘净值数据(iFinD公式)'!$B$65:$AA$65)*(1-实盘持仓初始配置!$Z$8)^(('实盘净值数据(iFinD公式)'!$A590-'实盘净值数据(iFinD公式)'!$A$5)/365))</x:f>
        <x:v>#NAME?</x:v>
      </x:c>
      <x:c r="O590" s="152" t="e">
        <x:f>IF(OR(N589="",N590=""),"",N590/N589-1)</x:f>
        <x:v>#NAME?</x:v>
      </x:c>
      <x:c r="P590" s="152" t="e">
        <x:f>IF(N590="","",N590/MAX(N$5:N590)-1)</x:f>
        <x:v>#NAME?</x:v>
      </x:c>
      <x:c r="Q590" s="146" t="e">
        <x:f>IF(OR('实盘净值数据(iFinD公式)'!$A590="",'实盘净值数据(iFinD公式)'!$B590=""),"",分期持仓明细!$AD$25*SUMPRODUCT(分期持仓明细!$B$25:$AA$25,'实盘净值数据(iFinD公式)'!$B590:$AA590/'实盘净值数据(iFinD公式)'!$B$65:$AA$65)*(1-实盘持仓初始配置!$Z$9)^(('实盘净值数据(iFinD公式)'!$A590-'实盘净值数据(iFinD公式)'!$A$8)/365))</x:f>
        <x:v>#NAME?</x:v>
      </x:c>
      <x:c r="R590" s="152" t="e">
        <x:f>IF(OR(Q589="",Q590=""),"",Q590/Q589-1)</x:f>
        <x:v>#NAME?</x:v>
      </x:c>
      <x:c r="S590" s="152" t="e">
        <x:f>IF(Q590="","",Q590/MAX(Q$5:Q590)-1)</x:f>
        <x:v>#NAME?</x:v>
      </x:c>
    </x:row>
    <x:row r="591">
      <x:c r="A591" s="149" t="str">
        <x:f>IF('实盘净值数据(iFinD公式)'!A591="","",'实盘净值数据(iFinD公式)'!A591)</x:f>
      </x:c>
      <x:c r="B591" s="146" t="e">
        <x:f>IF(OR('实盘净值数据(iFinD公式)'!$A591="",'实盘净值数据(iFinD公式)'!$B591=""),"",分期持仓明细!$AD$17*SUMPRODUCT(分期持仓明细!$B$17:$AA$17,'实盘净值数据(iFinD公式)'!$B591:$AA591/'实盘净值数据(iFinD公式)'!$B$20:$AA$20)*(1-实盘持仓初始配置!$Z$4)^(('实盘净值数据(iFinD公式)'!$A591-'实盘净值数据(iFinD公式)'!$A$6)/365))</x:f>
        <x:v>#NAME?</x:v>
      </x:c>
      <x:c r="C591" s="152" t="e">
        <x:f>IF(OR(B590="",B591=""),"",B591/B590-1)</x:f>
        <x:v>#NAME?</x:v>
      </x:c>
      <x:c r="D591" s="152" t="e">
        <x:f>IF(B591="","",B591/MAX(B$5:B591)-1)</x:f>
        <x:v>#NAME?</x:v>
      </x:c>
      <x:c r="E591" s="146" t="e">
        <x:f>IF(OR('实盘净值数据(iFinD公式)'!$A591="",'实盘净值数据(iFinD公式)'!$B591=""),"",分期持仓明细!$AD$18*SUMPRODUCT(分期持仓明细!$B$18:$AA$18,'实盘净值数据(iFinD公式)'!$B591:$AA591/'实盘净值数据(iFinD公式)'!$B$20:$AA$20)*(1-实盘持仓初始配置!$Z$5)^(('实盘净值数据(iFinD公式)'!$A591-'实盘净值数据(iFinD公式)'!$A$5)/365))</x:f>
        <x:v>#NAME?</x:v>
      </x:c>
      <x:c r="F591" s="152" t="e">
        <x:f>IF(OR(E590="",E591=""),"",E591/E590-1)</x:f>
        <x:v>#NAME?</x:v>
      </x:c>
      <x:c r="G591" s="152" t="e">
        <x:f>IF(E591="","",E591/MAX(E$5:E591)-1)</x:f>
        <x:v>#NAME?</x:v>
      </x:c>
      <x:c r="H591" s="146" t="e">
        <x:f>IF(OR('实盘净值数据(iFinD公式)'!$A591="",'实盘净值数据(iFinD公式)'!$B591=""),"",分期持仓明细!$AD$19*SUMPRODUCT(分期持仓明细!$B$19:$AA$19,'实盘净值数据(iFinD公式)'!$B591:$AA591/'实盘净值数据(iFinD公式)'!$B$20:$AA$20)*(1-实盘持仓初始配置!$Z$6)^(('实盘净值数据(iFinD公式)'!$A591-'实盘净值数据(iFinD公式)'!$A$7)/365))</x:f>
        <x:v>#NAME?</x:v>
      </x:c>
      <x:c r="I591" s="152" t="e">
        <x:f>IF(OR(H590="",H591=""),"",H591/H590-1)</x:f>
        <x:v>#NAME?</x:v>
      </x:c>
      <x:c r="J591" s="152" t="e">
        <x:f>IF(H591="","",H591/MAX(H$5:H591)-1)</x:f>
        <x:v>#NAME?</x:v>
      </x:c>
      <x:c r="K591" s="146" t="e">
        <x:f>IF(OR('实盘净值数据(iFinD公式)'!$A591="",'实盘净值数据(iFinD公式)'!$B591=""),"",分期持仓明细!$AD$23*SUMPRODUCT(分期持仓明细!$B$23:$AA$23,'实盘净值数据(iFinD公式)'!$B591:$AA591/'实盘净值数据(iFinD公式)'!$B$65:$AA$65)*(1-实盘持仓初始配置!$Z$7)^(('实盘净值数据(iFinD公式)'!$A591-'实盘净值数据(iFinD公式)'!$A$8)/365))</x:f>
        <x:v>#NAME?</x:v>
      </x:c>
      <x:c r="L591" s="152" t="e">
        <x:f>IF(OR(K590="",K591=""),"",K591/K590-1)</x:f>
        <x:v>#NAME?</x:v>
      </x:c>
      <x:c r="M591" s="152" t="e">
        <x:f>IF(K591="","",K591/MAX(K$5:K591)-1)</x:f>
        <x:v>#NAME?</x:v>
      </x:c>
      <x:c r="N591" s="146" t="e">
        <x:f>IF(OR('实盘净值数据(iFinD公式)'!$A591="",'实盘净值数据(iFinD公式)'!$B591=""),"",分期持仓明细!$AD$24*SUMPRODUCT(分期持仓明细!$B$24:$AA$24,'实盘净值数据(iFinD公式)'!$B591:$AA591/'实盘净值数据(iFinD公式)'!$B$65:$AA$65)*(1-实盘持仓初始配置!$Z$8)^(('实盘净值数据(iFinD公式)'!$A591-'实盘净值数据(iFinD公式)'!$A$5)/365))</x:f>
        <x:v>#NAME?</x:v>
      </x:c>
      <x:c r="O591" s="152" t="e">
        <x:f>IF(OR(N590="",N591=""),"",N591/N590-1)</x:f>
        <x:v>#NAME?</x:v>
      </x:c>
      <x:c r="P591" s="152" t="e">
        <x:f>IF(N591="","",N591/MAX(N$5:N591)-1)</x:f>
        <x:v>#NAME?</x:v>
      </x:c>
      <x:c r="Q591" s="146" t="e">
        <x:f>IF(OR('实盘净值数据(iFinD公式)'!$A591="",'实盘净值数据(iFinD公式)'!$B591=""),"",分期持仓明细!$AD$25*SUMPRODUCT(分期持仓明细!$B$25:$AA$25,'实盘净值数据(iFinD公式)'!$B591:$AA591/'实盘净值数据(iFinD公式)'!$B$65:$AA$65)*(1-实盘持仓初始配置!$Z$9)^(('实盘净值数据(iFinD公式)'!$A591-'实盘净值数据(iFinD公式)'!$A$8)/365))</x:f>
        <x:v>#NAME?</x:v>
      </x:c>
      <x:c r="R591" s="152" t="e">
        <x:f>IF(OR(Q590="",Q591=""),"",Q591/Q590-1)</x:f>
        <x:v>#NAME?</x:v>
      </x:c>
      <x:c r="S591" s="152" t="e">
        <x:f>IF(Q591="","",Q591/MAX(Q$5:Q591)-1)</x:f>
        <x:v>#NAME?</x:v>
      </x:c>
    </x:row>
    <x:row r="592">
      <x:c r="A592" s="149" t="str">
        <x:f>IF('实盘净值数据(iFinD公式)'!A592="","",'实盘净值数据(iFinD公式)'!A592)</x:f>
      </x:c>
      <x:c r="B592" s="146" t="e">
        <x:f>IF(OR('实盘净值数据(iFinD公式)'!$A592="",'实盘净值数据(iFinD公式)'!$B592=""),"",分期持仓明细!$AD$17*SUMPRODUCT(分期持仓明细!$B$17:$AA$17,'实盘净值数据(iFinD公式)'!$B592:$AA592/'实盘净值数据(iFinD公式)'!$B$20:$AA$20)*(1-实盘持仓初始配置!$Z$4)^(('实盘净值数据(iFinD公式)'!$A592-'实盘净值数据(iFinD公式)'!$A$6)/365))</x:f>
        <x:v>#NAME?</x:v>
      </x:c>
      <x:c r="C592" s="152" t="e">
        <x:f>IF(OR(B591="",B592=""),"",B592/B591-1)</x:f>
        <x:v>#NAME?</x:v>
      </x:c>
      <x:c r="D592" s="152" t="e">
        <x:f>IF(B592="","",B592/MAX(B$5:B592)-1)</x:f>
        <x:v>#NAME?</x:v>
      </x:c>
      <x:c r="E592" s="146" t="e">
        <x:f>IF(OR('实盘净值数据(iFinD公式)'!$A592="",'实盘净值数据(iFinD公式)'!$B592=""),"",分期持仓明细!$AD$18*SUMPRODUCT(分期持仓明细!$B$18:$AA$18,'实盘净值数据(iFinD公式)'!$B592:$AA592/'实盘净值数据(iFinD公式)'!$B$20:$AA$20)*(1-实盘持仓初始配置!$Z$5)^(('实盘净值数据(iFinD公式)'!$A592-'实盘净值数据(iFinD公式)'!$A$5)/365))</x:f>
        <x:v>#NAME?</x:v>
      </x:c>
      <x:c r="F592" s="152" t="e">
        <x:f>IF(OR(E591="",E592=""),"",E592/E591-1)</x:f>
        <x:v>#NAME?</x:v>
      </x:c>
      <x:c r="G592" s="152" t="e">
        <x:f>IF(E592="","",E592/MAX(E$5:E592)-1)</x:f>
        <x:v>#NAME?</x:v>
      </x:c>
      <x:c r="H592" s="146" t="e">
        <x:f>IF(OR('实盘净值数据(iFinD公式)'!$A592="",'实盘净值数据(iFinD公式)'!$B592=""),"",分期持仓明细!$AD$19*SUMPRODUCT(分期持仓明细!$B$19:$AA$19,'实盘净值数据(iFinD公式)'!$B592:$AA592/'实盘净值数据(iFinD公式)'!$B$20:$AA$20)*(1-实盘持仓初始配置!$Z$6)^(('实盘净值数据(iFinD公式)'!$A592-'实盘净值数据(iFinD公式)'!$A$7)/365))</x:f>
        <x:v>#NAME?</x:v>
      </x:c>
      <x:c r="I592" s="152" t="e">
        <x:f>IF(OR(H591="",H592=""),"",H592/H591-1)</x:f>
        <x:v>#NAME?</x:v>
      </x:c>
      <x:c r="J592" s="152" t="e">
        <x:f>IF(H592="","",H592/MAX(H$5:H592)-1)</x:f>
        <x:v>#NAME?</x:v>
      </x:c>
      <x:c r="K592" s="146" t="e">
        <x:f>IF(OR('实盘净值数据(iFinD公式)'!$A592="",'实盘净值数据(iFinD公式)'!$B592=""),"",分期持仓明细!$AD$23*SUMPRODUCT(分期持仓明细!$B$23:$AA$23,'实盘净值数据(iFinD公式)'!$B592:$AA592/'实盘净值数据(iFinD公式)'!$B$65:$AA$65)*(1-实盘持仓初始配置!$Z$7)^(('实盘净值数据(iFinD公式)'!$A592-'实盘净值数据(iFinD公式)'!$A$8)/365))</x:f>
        <x:v>#NAME?</x:v>
      </x:c>
      <x:c r="L592" s="152" t="e">
        <x:f>IF(OR(K591="",K592=""),"",K592/K591-1)</x:f>
        <x:v>#NAME?</x:v>
      </x:c>
      <x:c r="M592" s="152" t="e">
        <x:f>IF(K592="","",K592/MAX(K$5:K592)-1)</x:f>
        <x:v>#NAME?</x:v>
      </x:c>
      <x:c r="N592" s="146" t="e">
        <x:f>IF(OR('实盘净值数据(iFinD公式)'!$A592="",'实盘净值数据(iFinD公式)'!$B592=""),"",分期持仓明细!$AD$24*SUMPRODUCT(分期持仓明细!$B$24:$AA$24,'实盘净值数据(iFinD公式)'!$B592:$AA592/'实盘净值数据(iFinD公式)'!$B$65:$AA$65)*(1-实盘持仓初始配置!$Z$8)^(('实盘净值数据(iFinD公式)'!$A592-'实盘净值数据(iFinD公式)'!$A$5)/365))</x:f>
        <x:v>#NAME?</x:v>
      </x:c>
      <x:c r="O592" s="152" t="e">
        <x:f>IF(OR(N591="",N592=""),"",N592/N591-1)</x:f>
        <x:v>#NAME?</x:v>
      </x:c>
      <x:c r="P592" s="152" t="e">
        <x:f>IF(N592="","",N592/MAX(N$5:N592)-1)</x:f>
        <x:v>#NAME?</x:v>
      </x:c>
      <x:c r="Q592" s="146" t="e">
        <x:f>IF(OR('实盘净值数据(iFinD公式)'!$A592="",'实盘净值数据(iFinD公式)'!$B592=""),"",分期持仓明细!$AD$25*SUMPRODUCT(分期持仓明细!$B$25:$AA$25,'实盘净值数据(iFinD公式)'!$B592:$AA592/'实盘净值数据(iFinD公式)'!$B$65:$AA$65)*(1-实盘持仓初始配置!$Z$9)^(('实盘净值数据(iFinD公式)'!$A592-'实盘净值数据(iFinD公式)'!$A$8)/365))</x:f>
        <x:v>#NAME?</x:v>
      </x:c>
      <x:c r="R592" s="152" t="e">
        <x:f>IF(OR(Q591="",Q592=""),"",Q592/Q591-1)</x:f>
        <x:v>#NAME?</x:v>
      </x:c>
      <x:c r="S592" s="152" t="e">
        <x:f>IF(Q592="","",Q592/MAX(Q$5:Q592)-1)</x:f>
        <x:v>#NAME?</x:v>
      </x:c>
    </x:row>
    <x:row r="593">
      <x:c r="A593" s="149" t="str">
        <x:f>IF('实盘净值数据(iFinD公式)'!A593="","",'实盘净值数据(iFinD公式)'!A593)</x:f>
      </x:c>
      <x:c r="B593" s="146" t="e">
        <x:f>IF(OR('实盘净值数据(iFinD公式)'!$A593="",'实盘净值数据(iFinD公式)'!$B593=""),"",分期持仓明细!$AD$17*SUMPRODUCT(分期持仓明细!$B$17:$AA$17,'实盘净值数据(iFinD公式)'!$B593:$AA593/'实盘净值数据(iFinD公式)'!$B$20:$AA$20)*(1-实盘持仓初始配置!$Z$4)^(('实盘净值数据(iFinD公式)'!$A593-'实盘净值数据(iFinD公式)'!$A$6)/365))</x:f>
        <x:v>#NAME?</x:v>
      </x:c>
      <x:c r="C593" s="152" t="e">
        <x:f>IF(OR(B592="",B593=""),"",B593/B592-1)</x:f>
        <x:v>#NAME?</x:v>
      </x:c>
      <x:c r="D593" s="152" t="e">
        <x:f>IF(B593="","",B593/MAX(B$5:B593)-1)</x:f>
        <x:v>#NAME?</x:v>
      </x:c>
      <x:c r="E593" s="146" t="e">
        <x:f>IF(OR('实盘净值数据(iFinD公式)'!$A593="",'实盘净值数据(iFinD公式)'!$B593=""),"",分期持仓明细!$AD$18*SUMPRODUCT(分期持仓明细!$B$18:$AA$18,'实盘净值数据(iFinD公式)'!$B593:$AA593/'实盘净值数据(iFinD公式)'!$B$20:$AA$20)*(1-实盘持仓初始配置!$Z$5)^(('实盘净值数据(iFinD公式)'!$A593-'实盘净值数据(iFinD公式)'!$A$5)/365))</x:f>
        <x:v>#NAME?</x:v>
      </x:c>
      <x:c r="F593" s="152" t="e">
        <x:f>IF(OR(E592="",E593=""),"",E593/E592-1)</x:f>
        <x:v>#NAME?</x:v>
      </x:c>
      <x:c r="G593" s="152" t="e">
        <x:f>IF(E593="","",E593/MAX(E$5:E593)-1)</x:f>
        <x:v>#NAME?</x:v>
      </x:c>
      <x:c r="H593" s="146" t="e">
        <x:f>IF(OR('实盘净值数据(iFinD公式)'!$A593="",'实盘净值数据(iFinD公式)'!$B593=""),"",分期持仓明细!$AD$19*SUMPRODUCT(分期持仓明细!$B$19:$AA$19,'实盘净值数据(iFinD公式)'!$B593:$AA593/'实盘净值数据(iFinD公式)'!$B$20:$AA$20)*(1-实盘持仓初始配置!$Z$6)^(('实盘净值数据(iFinD公式)'!$A593-'实盘净值数据(iFinD公式)'!$A$7)/365))</x:f>
        <x:v>#NAME?</x:v>
      </x:c>
      <x:c r="I593" s="152" t="e">
        <x:f>IF(OR(H592="",H593=""),"",H593/H592-1)</x:f>
        <x:v>#NAME?</x:v>
      </x:c>
      <x:c r="J593" s="152" t="e">
        <x:f>IF(H593="","",H593/MAX(H$5:H593)-1)</x:f>
        <x:v>#NAME?</x:v>
      </x:c>
      <x:c r="K593" s="146" t="e">
        <x:f>IF(OR('实盘净值数据(iFinD公式)'!$A593="",'实盘净值数据(iFinD公式)'!$B593=""),"",分期持仓明细!$AD$23*SUMPRODUCT(分期持仓明细!$B$23:$AA$23,'实盘净值数据(iFinD公式)'!$B593:$AA593/'实盘净值数据(iFinD公式)'!$B$65:$AA$65)*(1-实盘持仓初始配置!$Z$7)^(('实盘净值数据(iFinD公式)'!$A593-'实盘净值数据(iFinD公式)'!$A$8)/365))</x:f>
        <x:v>#NAME?</x:v>
      </x:c>
      <x:c r="L593" s="152" t="e">
        <x:f>IF(OR(K592="",K593=""),"",K593/K592-1)</x:f>
        <x:v>#NAME?</x:v>
      </x:c>
      <x:c r="M593" s="152" t="e">
        <x:f>IF(K593="","",K593/MAX(K$5:K593)-1)</x:f>
        <x:v>#NAME?</x:v>
      </x:c>
      <x:c r="N593" s="146" t="e">
        <x:f>IF(OR('实盘净值数据(iFinD公式)'!$A593="",'实盘净值数据(iFinD公式)'!$B593=""),"",分期持仓明细!$AD$24*SUMPRODUCT(分期持仓明细!$B$24:$AA$24,'实盘净值数据(iFinD公式)'!$B593:$AA593/'实盘净值数据(iFinD公式)'!$B$65:$AA$65)*(1-实盘持仓初始配置!$Z$8)^(('实盘净值数据(iFinD公式)'!$A593-'实盘净值数据(iFinD公式)'!$A$5)/365))</x:f>
        <x:v>#NAME?</x:v>
      </x:c>
      <x:c r="O593" s="152" t="e">
        <x:f>IF(OR(N592="",N593=""),"",N593/N592-1)</x:f>
        <x:v>#NAME?</x:v>
      </x:c>
      <x:c r="P593" s="152" t="e">
        <x:f>IF(N593="","",N593/MAX(N$5:N593)-1)</x:f>
        <x:v>#NAME?</x:v>
      </x:c>
      <x:c r="Q593" s="146" t="e">
        <x:f>IF(OR('实盘净值数据(iFinD公式)'!$A593="",'实盘净值数据(iFinD公式)'!$B593=""),"",分期持仓明细!$AD$25*SUMPRODUCT(分期持仓明细!$B$25:$AA$25,'实盘净值数据(iFinD公式)'!$B593:$AA593/'实盘净值数据(iFinD公式)'!$B$65:$AA$65)*(1-实盘持仓初始配置!$Z$9)^(('实盘净值数据(iFinD公式)'!$A593-'实盘净值数据(iFinD公式)'!$A$8)/365))</x:f>
        <x:v>#NAME?</x:v>
      </x:c>
      <x:c r="R593" s="152" t="e">
        <x:f>IF(OR(Q592="",Q593=""),"",Q593/Q592-1)</x:f>
        <x:v>#NAME?</x:v>
      </x:c>
      <x:c r="S593" s="152" t="e">
        <x:f>IF(Q593="","",Q593/MAX(Q$5:Q593)-1)</x:f>
        <x:v>#NAME?</x:v>
      </x:c>
    </x:row>
    <x:row r="594">
      <x:c r="A594" s="149" t="str">
        <x:f>IF('实盘净值数据(iFinD公式)'!A594="","",'实盘净值数据(iFinD公式)'!A594)</x:f>
      </x:c>
      <x:c r="B594" s="146" t="e">
        <x:f>IF(OR('实盘净值数据(iFinD公式)'!$A594="",'实盘净值数据(iFinD公式)'!$B594=""),"",分期持仓明细!$AD$17*SUMPRODUCT(分期持仓明细!$B$17:$AA$17,'实盘净值数据(iFinD公式)'!$B594:$AA594/'实盘净值数据(iFinD公式)'!$B$20:$AA$20)*(1-实盘持仓初始配置!$Z$4)^(('实盘净值数据(iFinD公式)'!$A594-'实盘净值数据(iFinD公式)'!$A$6)/365))</x:f>
        <x:v>#NAME?</x:v>
      </x:c>
      <x:c r="C594" s="152" t="e">
        <x:f>IF(OR(B593="",B594=""),"",B594/B593-1)</x:f>
        <x:v>#NAME?</x:v>
      </x:c>
      <x:c r="D594" s="152" t="e">
        <x:f>IF(B594="","",B594/MAX(B$5:B594)-1)</x:f>
        <x:v>#NAME?</x:v>
      </x:c>
      <x:c r="E594" s="146" t="e">
        <x:f>IF(OR('实盘净值数据(iFinD公式)'!$A594="",'实盘净值数据(iFinD公式)'!$B594=""),"",分期持仓明细!$AD$18*SUMPRODUCT(分期持仓明细!$B$18:$AA$18,'实盘净值数据(iFinD公式)'!$B594:$AA594/'实盘净值数据(iFinD公式)'!$B$20:$AA$20)*(1-实盘持仓初始配置!$Z$5)^(('实盘净值数据(iFinD公式)'!$A594-'实盘净值数据(iFinD公式)'!$A$5)/365))</x:f>
        <x:v>#NAME?</x:v>
      </x:c>
      <x:c r="F594" s="152" t="e">
        <x:f>IF(OR(E593="",E594=""),"",E594/E593-1)</x:f>
        <x:v>#NAME?</x:v>
      </x:c>
      <x:c r="G594" s="152" t="e">
        <x:f>IF(E594="","",E594/MAX(E$5:E594)-1)</x:f>
        <x:v>#NAME?</x:v>
      </x:c>
      <x:c r="H594" s="146" t="e">
        <x:f>IF(OR('实盘净值数据(iFinD公式)'!$A594="",'实盘净值数据(iFinD公式)'!$B594=""),"",分期持仓明细!$AD$19*SUMPRODUCT(分期持仓明细!$B$19:$AA$19,'实盘净值数据(iFinD公式)'!$B594:$AA594/'实盘净值数据(iFinD公式)'!$B$20:$AA$20)*(1-实盘持仓初始配置!$Z$6)^(('实盘净值数据(iFinD公式)'!$A594-'实盘净值数据(iFinD公式)'!$A$7)/365))</x:f>
        <x:v>#NAME?</x:v>
      </x:c>
      <x:c r="I594" s="152" t="e">
        <x:f>IF(OR(H593="",H594=""),"",H594/H593-1)</x:f>
        <x:v>#NAME?</x:v>
      </x:c>
      <x:c r="J594" s="152" t="e">
        <x:f>IF(H594="","",H594/MAX(H$5:H594)-1)</x:f>
        <x:v>#NAME?</x:v>
      </x:c>
      <x:c r="K594" s="146" t="e">
        <x:f>IF(OR('实盘净值数据(iFinD公式)'!$A594="",'实盘净值数据(iFinD公式)'!$B594=""),"",分期持仓明细!$AD$23*SUMPRODUCT(分期持仓明细!$B$23:$AA$23,'实盘净值数据(iFinD公式)'!$B594:$AA594/'实盘净值数据(iFinD公式)'!$B$65:$AA$65)*(1-实盘持仓初始配置!$Z$7)^(('实盘净值数据(iFinD公式)'!$A594-'实盘净值数据(iFinD公式)'!$A$8)/365))</x:f>
        <x:v>#NAME?</x:v>
      </x:c>
      <x:c r="L594" s="152" t="e">
        <x:f>IF(OR(K593="",K594=""),"",K594/K593-1)</x:f>
        <x:v>#NAME?</x:v>
      </x:c>
      <x:c r="M594" s="152" t="e">
        <x:f>IF(K594="","",K594/MAX(K$5:K594)-1)</x:f>
        <x:v>#NAME?</x:v>
      </x:c>
      <x:c r="N594" s="146" t="e">
        <x:f>IF(OR('实盘净值数据(iFinD公式)'!$A594="",'实盘净值数据(iFinD公式)'!$B594=""),"",分期持仓明细!$AD$24*SUMPRODUCT(分期持仓明细!$B$24:$AA$24,'实盘净值数据(iFinD公式)'!$B594:$AA594/'实盘净值数据(iFinD公式)'!$B$65:$AA$65)*(1-实盘持仓初始配置!$Z$8)^(('实盘净值数据(iFinD公式)'!$A594-'实盘净值数据(iFinD公式)'!$A$5)/365))</x:f>
        <x:v>#NAME?</x:v>
      </x:c>
      <x:c r="O594" s="152" t="e">
        <x:f>IF(OR(N593="",N594=""),"",N594/N593-1)</x:f>
        <x:v>#NAME?</x:v>
      </x:c>
      <x:c r="P594" s="152" t="e">
        <x:f>IF(N594="","",N594/MAX(N$5:N594)-1)</x:f>
        <x:v>#NAME?</x:v>
      </x:c>
      <x:c r="Q594" s="146" t="e">
        <x:f>IF(OR('实盘净值数据(iFinD公式)'!$A594="",'实盘净值数据(iFinD公式)'!$B594=""),"",分期持仓明细!$AD$25*SUMPRODUCT(分期持仓明细!$B$25:$AA$25,'实盘净值数据(iFinD公式)'!$B594:$AA594/'实盘净值数据(iFinD公式)'!$B$65:$AA$65)*(1-实盘持仓初始配置!$Z$9)^(('实盘净值数据(iFinD公式)'!$A594-'实盘净值数据(iFinD公式)'!$A$8)/365))</x:f>
        <x:v>#NAME?</x:v>
      </x:c>
      <x:c r="R594" s="152" t="e">
        <x:f>IF(OR(Q593="",Q594=""),"",Q594/Q593-1)</x:f>
        <x:v>#NAME?</x:v>
      </x:c>
      <x:c r="S594" s="152" t="e">
        <x:f>IF(Q594="","",Q594/MAX(Q$5:Q594)-1)</x:f>
        <x:v>#NAME?</x:v>
      </x:c>
    </x:row>
    <x:row r="595">
      <x:c r="A595" s="149" t="str">
        <x:f>IF('实盘净值数据(iFinD公式)'!A595="","",'实盘净值数据(iFinD公式)'!A595)</x:f>
      </x:c>
      <x:c r="B595" s="146" t="e">
        <x:f>IF(OR('实盘净值数据(iFinD公式)'!$A595="",'实盘净值数据(iFinD公式)'!$B595=""),"",分期持仓明细!$AD$17*SUMPRODUCT(分期持仓明细!$B$17:$AA$17,'实盘净值数据(iFinD公式)'!$B595:$AA595/'实盘净值数据(iFinD公式)'!$B$20:$AA$20)*(1-实盘持仓初始配置!$Z$4)^(('实盘净值数据(iFinD公式)'!$A595-'实盘净值数据(iFinD公式)'!$A$6)/365))</x:f>
        <x:v>#NAME?</x:v>
      </x:c>
      <x:c r="C595" s="152" t="e">
        <x:f>IF(OR(B594="",B595=""),"",B595/B594-1)</x:f>
        <x:v>#NAME?</x:v>
      </x:c>
      <x:c r="D595" s="152" t="e">
        <x:f>IF(B595="","",B595/MAX(B$5:B595)-1)</x:f>
        <x:v>#NAME?</x:v>
      </x:c>
      <x:c r="E595" s="146" t="e">
        <x:f>IF(OR('实盘净值数据(iFinD公式)'!$A595="",'实盘净值数据(iFinD公式)'!$B595=""),"",分期持仓明细!$AD$18*SUMPRODUCT(分期持仓明细!$B$18:$AA$18,'实盘净值数据(iFinD公式)'!$B595:$AA595/'实盘净值数据(iFinD公式)'!$B$20:$AA$20)*(1-实盘持仓初始配置!$Z$5)^(('实盘净值数据(iFinD公式)'!$A595-'实盘净值数据(iFinD公式)'!$A$5)/365))</x:f>
        <x:v>#NAME?</x:v>
      </x:c>
      <x:c r="F595" s="152" t="e">
        <x:f>IF(OR(E594="",E595=""),"",E595/E594-1)</x:f>
        <x:v>#NAME?</x:v>
      </x:c>
      <x:c r="G595" s="152" t="e">
        <x:f>IF(E595="","",E595/MAX(E$5:E595)-1)</x:f>
        <x:v>#NAME?</x:v>
      </x:c>
      <x:c r="H595" s="146" t="e">
        <x:f>IF(OR('实盘净值数据(iFinD公式)'!$A595="",'实盘净值数据(iFinD公式)'!$B595=""),"",分期持仓明细!$AD$19*SUMPRODUCT(分期持仓明细!$B$19:$AA$19,'实盘净值数据(iFinD公式)'!$B595:$AA595/'实盘净值数据(iFinD公式)'!$B$20:$AA$20)*(1-实盘持仓初始配置!$Z$6)^(('实盘净值数据(iFinD公式)'!$A595-'实盘净值数据(iFinD公式)'!$A$7)/365))</x:f>
        <x:v>#NAME?</x:v>
      </x:c>
      <x:c r="I595" s="152" t="e">
        <x:f>IF(OR(H594="",H595=""),"",H595/H594-1)</x:f>
        <x:v>#NAME?</x:v>
      </x:c>
      <x:c r="J595" s="152" t="e">
        <x:f>IF(H595="","",H595/MAX(H$5:H595)-1)</x:f>
        <x:v>#NAME?</x:v>
      </x:c>
      <x:c r="K595" s="146" t="e">
        <x:f>IF(OR('实盘净值数据(iFinD公式)'!$A595="",'实盘净值数据(iFinD公式)'!$B595=""),"",分期持仓明细!$AD$23*SUMPRODUCT(分期持仓明细!$B$23:$AA$23,'实盘净值数据(iFinD公式)'!$B595:$AA595/'实盘净值数据(iFinD公式)'!$B$65:$AA$65)*(1-实盘持仓初始配置!$Z$7)^(('实盘净值数据(iFinD公式)'!$A595-'实盘净值数据(iFinD公式)'!$A$8)/365))</x:f>
        <x:v>#NAME?</x:v>
      </x:c>
      <x:c r="L595" s="152" t="e">
        <x:f>IF(OR(K594="",K595=""),"",K595/K594-1)</x:f>
        <x:v>#NAME?</x:v>
      </x:c>
      <x:c r="M595" s="152" t="e">
        <x:f>IF(K595="","",K595/MAX(K$5:K595)-1)</x:f>
        <x:v>#NAME?</x:v>
      </x:c>
      <x:c r="N595" s="146" t="e">
        <x:f>IF(OR('实盘净值数据(iFinD公式)'!$A595="",'实盘净值数据(iFinD公式)'!$B595=""),"",分期持仓明细!$AD$24*SUMPRODUCT(分期持仓明细!$B$24:$AA$24,'实盘净值数据(iFinD公式)'!$B595:$AA595/'实盘净值数据(iFinD公式)'!$B$65:$AA$65)*(1-实盘持仓初始配置!$Z$8)^(('实盘净值数据(iFinD公式)'!$A595-'实盘净值数据(iFinD公式)'!$A$5)/365))</x:f>
        <x:v>#NAME?</x:v>
      </x:c>
      <x:c r="O595" s="152" t="e">
        <x:f>IF(OR(N594="",N595=""),"",N595/N594-1)</x:f>
        <x:v>#NAME?</x:v>
      </x:c>
      <x:c r="P595" s="152" t="e">
        <x:f>IF(N595="","",N595/MAX(N$5:N595)-1)</x:f>
        <x:v>#NAME?</x:v>
      </x:c>
      <x:c r="Q595" s="146" t="e">
        <x:f>IF(OR('实盘净值数据(iFinD公式)'!$A595="",'实盘净值数据(iFinD公式)'!$B595=""),"",分期持仓明细!$AD$25*SUMPRODUCT(分期持仓明细!$B$25:$AA$25,'实盘净值数据(iFinD公式)'!$B595:$AA595/'实盘净值数据(iFinD公式)'!$B$65:$AA$65)*(1-实盘持仓初始配置!$Z$9)^(('实盘净值数据(iFinD公式)'!$A595-'实盘净值数据(iFinD公式)'!$A$8)/365))</x:f>
        <x:v>#NAME?</x:v>
      </x:c>
      <x:c r="R595" s="152" t="e">
        <x:f>IF(OR(Q594="",Q595=""),"",Q595/Q594-1)</x:f>
        <x:v>#NAME?</x:v>
      </x:c>
      <x:c r="S595" s="152" t="e">
        <x:f>IF(Q595="","",Q595/MAX(Q$5:Q595)-1)</x:f>
        <x:v>#NAME?</x:v>
      </x:c>
    </x:row>
    <x:row r="596">
      <x:c r="A596" s="149" t="str">
        <x:f>IF('实盘净值数据(iFinD公式)'!A596="","",'实盘净值数据(iFinD公式)'!A596)</x:f>
      </x:c>
      <x:c r="B596" s="146" t="e">
        <x:f>IF(OR('实盘净值数据(iFinD公式)'!$A596="",'实盘净值数据(iFinD公式)'!$B596=""),"",分期持仓明细!$AD$17*SUMPRODUCT(分期持仓明细!$B$17:$AA$17,'实盘净值数据(iFinD公式)'!$B596:$AA596/'实盘净值数据(iFinD公式)'!$B$20:$AA$20)*(1-实盘持仓初始配置!$Z$4)^(('实盘净值数据(iFinD公式)'!$A596-'实盘净值数据(iFinD公式)'!$A$6)/365))</x:f>
        <x:v>#NAME?</x:v>
      </x:c>
      <x:c r="C596" s="152" t="e">
        <x:f>IF(OR(B595="",B596=""),"",B596/B595-1)</x:f>
        <x:v>#NAME?</x:v>
      </x:c>
      <x:c r="D596" s="152" t="e">
        <x:f>IF(B596="","",B596/MAX(B$5:B596)-1)</x:f>
        <x:v>#NAME?</x:v>
      </x:c>
      <x:c r="E596" s="146" t="e">
        <x:f>IF(OR('实盘净值数据(iFinD公式)'!$A596="",'实盘净值数据(iFinD公式)'!$B596=""),"",分期持仓明细!$AD$18*SUMPRODUCT(分期持仓明细!$B$18:$AA$18,'实盘净值数据(iFinD公式)'!$B596:$AA596/'实盘净值数据(iFinD公式)'!$B$20:$AA$20)*(1-实盘持仓初始配置!$Z$5)^(('实盘净值数据(iFinD公式)'!$A596-'实盘净值数据(iFinD公式)'!$A$5)/365))</x:f>
        <x:v>#NAME?</x:v>
      </x:c>
      <x:c r="F596" s="152" t="e">
        <x:f>IF(OR(E595="",E596=""),"",E596/E595-1)</x:f>
        <x:v>#NAME?</x:v>
      </x:c>
      <x:c r="G596" s="152" t="e">
        <x:f>IF(E596="","",E596/MAX(E$5:E596)-1)</x:f>
        <x:v>#NAME?</x:v>
      </x:c>
      <x:c r="H596" s="146" t="e">
        <x:f>IF(OR('实盘净值数据(iFinD公式)'!$A596="",'实盘净值数据(iFinD公式)'!$B596=""),"",分期持仓明细!$AD$19*SUMPRODUCT(分期持仓明细!$B$19:$AA$19,'实盘净值数据(iFinD公式)'!$B596:$AA596/'实盘净值数据(iFinD公式)'!$B$20:$AA$20)*(1-实盘持仓初始配置!$Z$6)^(('实盘净值数据(iFinD公式)'!$A596-'实盘净值数据(iFinD公式)'!$A$7)/365))</x:f>
        <x:v>#NAME?</x:v>
      </x:c>
      <x:c r="I596" s="152" t="e">
        <x:f>IF(OR(H595="",H596=""),"",H596/H595-1)</x:f>
        <x:v>#NAME?</x:v>
      </x:c>
      <x:c r="J596" s="152" t="e">
        <x:f>IF(H596="","",H596/MAX(H$5:H596)-1)</x:f>
        <x:v>#NAME?</x:v>
      </x:c>
      <x:c r="K596" s="146" t="e">
        <x:f>IF(OR('实盘净值数据(iFinD公式)'!$A596="",'实盘净值数据(iFinD公式)'!$B596=""),"",分期持仓明细!$AD$23*SUMPRODUCT(分期持仓明细!$B$23:$AA$23,'实盘净值数据(iFinD公式)'!$B596:$AA596/'实盘净值数据(iFinD公式)'!$B$65:$AA$65)*(1-实盘持仓初始配置!$Z$7)^(('实盘净值数据(iFinD公式)'!$A596-'实盘净值数据(iFinD公式)'!$A$8)/365))</x:f>
        <x:v>#NAME?</x:v>
      </x:c>
      <x:c r="L596" s="152" t="e">
        <x:f>IF(OR(K595="",K596=""),"",K596/K595-1)</x:f>
        <x:v>#NAME?</x:v>
      </x:c>
      <x:c r="M596" s="152" t="e">
        <x:f>IF(K596="","",K596/MAX(K$5:K596)-1)</x:f>
        <x:v>#NAME?</x:v>
      </x:c>
      <x:c r="N596" s="146" t="e">
        <x:f>IF(OR('实盘净值数据(iFinD公式)'!$A596="",'实盘净值数据(iFinD公式)'!$B596=""),"",分期持仓明细!$AD$24*SUMPRODUCT(分期持仓明细!$B$24:$AA$24,'实盘净值数据(iFinD公式)'!$B596:$AA596/'实盘净值数据(iFinD公式)'!$B$65:$AA$65)*(1-实盘持仓初始配置!$Z$8)^(('实盘净值数据(iFinD公式)'!$A596-'实盘净值数据(iFinD公式)'!$A$5)/365))</x:f>
        <x:v>#NAME?</x:v>
      </x:c>
      <x:c r="O596" s="152" t="e">
        <x:f>IF(OR(N595="",N596=""),"",N596/N595-1)</x:f>
        <x:v>#NAME?</x:v>
      </x:c>
      <x:c r="P596" s="152" t="e">
        <x:f>IF(N596="","",N596/MAX(N$5:N596)-1)</x:f>
        <x:v>#NAME?</x:v>
      </x:c>
      <x:c r="Q596" s="146" t="e">
        <x:f>IF(OR('实盘净值数据(iFinD公式)'!$A596="",'实盘净值数据(iFinD公式)'!$B596=""),"",分期持仓明细!$AD$25*SUMPRODUCT(分期持仓明细!$B$25:$AA$25,'实盘净值数据(iFinD公式)'!$B596:$AA596/'实盘净值数据(iFinD公式)'!$B$65:$AA$65)*(1-实盘持仓初始配置!$Z$9)^(('实盘净值数据(iFinD公式)'!$A596-'实盘净值数据(iFinD公式)'!$A$8)/365))</x:f>
        <x:v>#NAME?</x:v>
      </x:c>
      <x:c r="R596" s="152" t="e">
        <x:f>IF(OR(Q595="",Q596=""),"",Q596/Q595-1)</x:f>
        <x:v>#NAME?</x:v>
      </x:c>
      <x:c r="S596" s="152" t="e">
        <x:f>IF(Q596="","",Q596/MAX(Q$5:Q596)-1)</x:f>
        <x:v>#NAME?</x:v>
      </x:c>
    </x:row>
    <x:row r="597">
      <x:c r="A597" s="149" t="str">
        <x:f>IF('实盘净值数据(iFinD公式)'!A597="","",'实盘净值数据(iFinD公式)'!A597)</x:f>
      </x:c>
      <x:c r="B597" s="146" t="e">
        <x:f>IF(OR('实盘净值数据(iFinD公式)'!$A597="",'实盘净值数据(iFinD公式)'!$B597=""),"",分期持仓明细!$AD$17*SUMPRODUCT(分期持仓明细!$B$17:$AA$17,'实盘净值数据(iFinD公式)'!$B597:$AA597/'实盘净值数据(iFinD公式)'!$B$20:$AA$20)*(1-实盘持仓初始配置!$Z$4)^(('实盘净值数据(iFinD公式)'!$A597-'实盘净值数据(iFinD公式)'!$A$6)/365))</x:f>
        <x:v>#NAME?</x:v>
      </x:c>
      <x:c r="C597" s="152" t="e">
        <x:f>IF(OR(B596="",B597=""),"",B597/B596-1)</x:f>
        <x:v>#NAME?</x:v>
      </x:c>
      <x:c r="D597" s="152" t="e">
        <x:f>IF(B597="","",B597/MAX(B$5:B597)-1)</x:f>
        <x:v>#NAME?</x:v>
      </x:c>
      <x:c r="E597" s="146" t="e">
        <x:f>IF(OR('实盘净值数据(iFinD公式)'!$A597="",'实盘净值数据(iFinD公式)'!$B597=""),"",分期持仓明细!$AD$18*SUMPRODUCT(分期持仓明细!$B$18:$AA$18,'实盘净值数据(iFinD公式)'!$B597:$AA597/'实盘净值数据(iFinD公式)'!$B$20:$AA$20)*(1-实盘持仓初始配置!$Z$5)^(('实盘净值数据(iFinD公式)'!$A597-'实盘净值数据(iFinD公式)'!$A$5)/365))</x:f>
        <x:v>#NAME?</x:v>
      </x:c>
      <x:c r="F597" s="152" t="e">
        <x:f>IF(OR(E596="",E597=""),"",E597/E596-1)</x:f>
        <x:v>#NAME?</x:v>
      </x:c>
      <x:c r="G597" s="152" t="e">
        <x:f>IF(E597="","",E597/MAX(E$5:E597)-1)</x:f>
        <x:v>#NAME?</x:v>
      </x:c>
      <x:c r="H597" s="146" t="e">
        <x:f>IF(OR('实盘净值数据(iFinD公式)'!$A597="",'实盘净值数据(iFinD公式)'!$B597=""),"",分期持仓明细!$AD$19*SUMPRODUCT(分期持仓明细!$B$19:$AA$19,'实盘净值数据(iFinD公式)'!$B597:$AA597/'实盘净值数据(iFinD公式)'!$B$20:$AA$20)*(1-实盘持仓初始配置!$Z$6)^(('实盘净值数据(iFinD公式)'!$A597-'实盘净值数据(iFinD公式)'!$A$7)/365))</x:f>
        <x:v>#NAME?</x:v>
      </x:c>
      <x:c r="I597" s="152" t="e">
        <x:f>IF(OR(H596="",H597=""),"",H597/H596-1)</x:f>
        <x:v>#NAME?</x:v>
      </x:c>
      <x:c r="J597" s="152" t="e">
        <x:f>IF(H597="","",H597/MAX(H$5:H597)-1)</x:f>
        <x:v>#NAME?</x:v>
      </x:c>
      <x:c r="K597" s="146" t="e">
        <x:f>IF(OR('实盘净值数据(iFinD公式)'!$A597="",'实盘净值数据(iFinD公式)'!$B597=""),"",分期持仓明细!$AD$23*SUMPRODUCT(分期持仓明细!$B$23:$AA$23,'实盘净值数据(iFinD公式)'!$B597:$AA597/'实盘净值数据(iFinD公式)'!$B$65:$AA$65)*(1-实盘持仓初始配置!$Z$7)^(('实盘净值数据(iFinD公式)'!$A597-'实盘净值数据(iFinD公式)'!$A$8)/365))</x:f>
        <x:v>#NAME?</x:v>
      </x:c>
      <x:c r="L597" s="152" t="e">
        <x:f>IF(OR(K596="",K597=""),"",K597/K596-1)</x:f>
        <x:v>#NAME?</x:v>
      </x:c>
      <x:c r="M597" s="152" t="e">
        <x:f>IF(K597="","",K597/MAX(K$5:K597)-1)</x:f>
        <x:v>#NAME?</x:v>
      </x:c>
      <x:c r="N597" s="146" t="e">
        <x:f>IF(OR('实盘净值数据(iFinD公式)'!$A597="",'实盘净值数据(iFinD公式)'!$B597=""),"",分期持仓明细!$AD$24*SUMPRODUCT(分期持仓明细!$B$24:$AA$24,'实盘净值数据(iFinD公式)'!$B597:$AA597/'实盘净值数据(iFinD公式)'!$B$65:$AA$65)*(1-实盘持仓初始配置!$Z$8)^(('实盘净值数据(iFinD公式)'!$A597-'实盘净值数据(iFinD公式)'!$A$5)/365))</x:f>
        <x:v>#NAME?</x:v>
      </x:c>
      <x:c r="O597" s="152" t="e">
        <x:f>IF(OR(N596="",N597=""),"",N597/N596-1)</x:f>
        <x:v>#NAME?</x:v>
      </x:c>
      <x:c r="P597" s="152" t="e">
        <x:f>IF(N597="","",N597/MAX(N$5:N597)-1)</x:f>
        <x:v>#NAME?</x:v>
      </x:c>
      <x:c r="Q597" s="146" t="e">
        <x:f>IF(OR('实盘净值数据(iFinD公式)'!$A597="",'实盘净值数据(iFinD公式)'!$B597=""),"",分期持仓明细!$AD$25*SUMPRODUCT(分期持仓明细!$B$25:$AA$25,'实盘净值数据(iFinD公式)'!$B597:$AA597/'实盘净值数据(iFinD公式)'!$B$65:$AA$65)*(1-实盘持仓初始配置!$Z$9)^(('实盘净值数据(iFinD公式)'!$A597-'实盘净值数据(iFinD公式)'!$A$8)/365))</x:f>
        <x:v>#NAME?</x:v>
      </x:c>
      <x:c r="R597" s="152" t="e">
        <x:f>IF(OR(Q596="",Q597=""),"",Q597/Q596-1)</x:f>
        <x:v>#NAME?</x:v>
      </x:c>
      <x:c r="S597" s="152" t="e">
        <x:f>IF(Q597="","",Q597/MAX(Q$5:Q597)-1)</x:f>
        <x:v>#NAME?</x:v>
      </x:c>
    </x:row>
    <x:row r="598">
      <x:c r="A598" s="149" t="str">
        <x:f>IF('实盘净值数据(iFinD公式)'!A598="","",'实盘净值数据(iFinD公式)'!A598)</x:f>
      </x:c>
      <x:c r="B598" s="146" t="e">
        <x:f>IF(OR('实盘净值数据(iFinD公式)'!$A598="",'实盘净值数据(iFinD公式)'!$B598=""),"",分期持仓明细!$AD$17*SUMPRODUCT(分期持仓明细!$B$17:$AA$17,'实盘净值数据(iFinD公式)'!$B598:$AA598/'实盘净值数据(iFinD公式)'!$B$20:$AA$20)*(1-实盘持仓初始配置!$Z$4)^(('实盘净值数据(iFinD公式)'!$A598-'实盘净值数据(iFinD公式)'!$A$6)/365))</x:f>
        <x:v>#NAME?</x:v>
      </x:c>
      <x:c r="C598" s="152" t="e">
        <x:f>IF(OR(B597="",B598=""),"",B598/B597-1)</x:f>
        <x:v>#NAME?</x:v>
      </x:c>
      <x:c r="D598" s="152" t="e">
        <x:f>IF(B598="","",B598/MAX(B$5:B598)-1)</x:f>
        <x:v>#NAME?</x:v>
      </x:c>
      <x:c r="E598" s="146" t="e">
        <x:f>IF(OR('实盘净值数据(iFinD公式)'!$A598="",'实盘净值数据(iFinD公式)'!$B598=""),"",分期持仓明细!$AD$18*SUMPRODUCT(分期持仓明细!$B$18:$AA$18,'实盘净值数据(iFinD公式)'!$B598:$AA598/'实盘净值数据(iFinD公式)'!$B$20:$AA$20)*(1-实盘持仓初始配置!$Z$5)^(('实盘净值数据(iFinD公式)'!$A598-'实盘净值数据(iFinD公式)'!$A$5)/365))</x:f>
        <x:v>#NAME?</x:v>
      </x:c>
      <x:c r="F598" s="152" t="e">
        <x:f>IF(OR(E597="",E598=""),"",E598/E597-1)</x:f>
        <x:v>#NAME?</x:v>
      </x:c>
      <x:c r="G598" s="152" t="e">
        <x:f>IF(E598="","",E598/MAX(E$5:E598)-1)</x:f>
        <x:v>#NAME?</x:v>
      </x:c>
      <x:c r="H598" s="146" t="e">
        <x:f>IF(OR('实盘净值数据(iFinD公式)'!$A598="",'实盘净值数据(iFinD公式)'!$B598=""),"",分期持仓明细!$AD$19*SUMPRODUCT(分期持仓明细!$B$19:$AA$19,'实盘净值数据(iFinD公式)'!$B598:$AA598/'实盘净值数据(iFinD公式)'!$B$20:$AA$20)*(1-实盘持仓初始配置!$Z$6)^(('实盘净值数据(iFinD公式)'!$A598-'实盘净值数据(iFinD公式)'!$A$7)/365))</x:f>
        <x:v>#NAME?</x:v>
      </x:c>
      <x:c r="I598" s="152" t="e">
        <x:f>IF(OR(H597="",H598=""),"",H598/H597-1)</x:f>
        <x:v>#NAME?</x:v>
      </x:c>
      <x:c r="J598" s="152" t="e">
        <x:f>IF(H598="","",H598/MAX(H$5:H598)-1)</x:f>
        <x:v>#NAME?</x:v>
      </x:c>
      <x:c r="K598" s="146" t="e">
        <x:f>IF(OR('实盘净值数据(iFinD公式)'!$A598="",'实盘净值数据(iFinD公式)'!$B598=""),"",分期持仓明细!$AD$23*SUMPRODUCT(分期持仓明细!$B$23:$AA$23,'实盘净值数据(iFinD公式)'!$B598:$AA598/'实盘净值数据(iFinD公式)'!$B$65:$AA$65)*(1-实盘持仓初始配置!$Z$7)^(('实盘净值数据(iFinD公式)'!$A598-'实盘净值数据(iFinD公式)'!$A$8)/365))</x:f>
        <x:v>#NAME?</x:v>
      </x:c>
      <x:c r="L598" s="152" t="e">
        <x:f>IF(OR(K597="",K598=""),"",K598/K597-1)</x:f>
        <x:v>#NAME?</x:v>
      </x:c>
      <x:c r="M598" s="152" t="e">
        <x:f>IF(K598="","",K598/MAX(K$5:K598)-1)</x:f>
        <x:v>#NAME?</x:v>
      </x:c>
      <x:c r="N598" s="146" t="e">
        <x:f>IF(OR('实盘净值数据(iFinD公式)'!$A598="",'实盘净值数据(iFinD公式)'!$B598=""),"",分期持仓明细!$AD$24*SUMPRODUCT(分期持仓明细!$B$24:$AA$24,'实盘净值数据(iFinD公式)'!$B598:$AA598/'实盘净值数据(iFinD公式)'!$B$65:$AA$65)*(1-实盘持仓初始配置!$Z$8)^(('实盘净值数据(iFinD公式)'!$A598-'实盘净值数据(iFinD公式)'!$A$5)/365))</x:f>
        <x:v>#NAME?</x:v>
      </x:c>
      <x:c r="O598" s="152" t="e">
        <x:f>IF(OR(N597="",N598=""),"",N598/N597-1)</x:f>
        <x:v>#NAME?</x:v>
      </x:c>
      <x:c r="P598" s="152" t="e">
        <x:f>IF(N598="","",N598/MAX(N$5:N598)-1)</x:f>
        <x:v>#NAME?</x:v>
      </x:c>
      <x:c r="Q598" s="146" t="e">
        <x:f>IF(OR('实盘净值数据(iFinD公式)'!$A598="",'实盘净值数据(iFinD公式)'!$B598=""),"",分期持仓明细!$AD$25*SUMPRODUCT(分期持仓明细!$B$25:$AA$25,'实盘净值数据(iFinD公式)'!$B598:$AA598/'实盘净值数据(iFinD公式)'!$B$65:$AA$65)*(1-实盘持仓初始配置!$Z$9)^(('实盘净值数据(iFinD公式)'!$A598-'实盘净值数据(iFinD公式)'!$A$8)/365))</x:f>
        <x:v>#NAME?</x:v>
      </x:c>
      <x:c r="R598" s="152" t="e">
        <x:f>IF(OR(Q597="",Q598=""),"",Q598/Q597-1)</x:f>
        <x:v>#NAME?</x:v>
      </x:c>
      <x:c r="S598" s="152" t="e">
        <x:f>IF(Q598="","",Q598/MAX(Q$5:Q598)-1)</x:f>
        <x:v>#NAME?</x:v>
      </x:c>
    </x:row>
    <x:row r="599">
      <x:c r="A599" s="149" t="str">
        <x:f>IF('实盘净值数据(iFinD公式)'!A599="","",'实盘净值数据(iFinD公式)'!A599)</x:f>
      </x:c>
      <x:c r="B599" s="146" t="e">
        <x:f>IF(OR('实盘净值数据(iFinD公式)'!$A599="",'实盘净值数据(iFinD公式)'!$B599=""),"",分期持仓明细!$AD$17*SUMPRODUCT(分期持仓明细!$B$17:$AA$17,'实盘净值数据(iFinD公式)'!$B599:$AA599/'实盘净值数据(iFinD公式)'!$B$20:$AA$20)*(1-实盘持仓初始配置!$Z$4)^(('实盘净值数据(iFinD公式)'!$A599-'实盘净值数据(iFinD公式)'!$A$6)/365))</x:f>
        <x:v>#NAME?</x:v>
      </x:c>
      <x:c r="C599" s="152" t="e">
        <x:f>IF(OR(B598="",B599=""),"",B599/B598-1)</x:f>
        <x:v>#NAME?</x:v>
      </x:c>
      <x:c r="D599" s="152" t="e">
        <x:f>IF(B599="","",B599/MAX(B$5:B599)-1)</x:f>
        <x:v>#NAME?</x:v>
      </x:c>
      <x:c r="E599" s="146" t="e">
        <x:f>IF(OR('实盘净值数据(iFinD公式)'!$A599="",'实盘净值数据(iFinD公式)'!$B599=""),"",分期持仓明细!$AD$18*SUMPRODUCT(分期持仓明细!$B$18:$AA$18,'实盘净值数据(iFinD公式)'!$B599:$AA599/'实盘净值数据(iFinD公式)'!$B$20:$AA$20)*(1-实盘持仓初始配置!$Z$5)^(('实盘净值数据(iFinD公式)'!$A599-'实盘净值数据(iFinD公式)'!$A$5)/365))</x:f>
        <x:v>#NAME?</x:v>
      </x:c>
      <x:c r="F599" s="152" t="e">
        <x:f>IF(OR(E598="",E599=""),"",E599/E598-1)</x:f>
        <x:v>#NAME?</x:v>
      </x:c>
      <x:c r="G599" s="152" t="e">
        <x:f>IF(E599="","",E599/MAX(E$5:E599)-1)</x:f>
        <x:v>#NAME?</x:v>
      </x:c>
      <x:c r="H599" s="146" t="e">
        <x:f>IF(OR('实盘净值数据(iFinD公式)'!$A599="",'实盘净值数据(iFinD公式)'!$B599=""),"",分期持仓明细!$AD$19*SUMPRODUCT(分期持仓明细!$B$19:$AA$19,'实盘净值数据(iFinD公式)'!$B599:$AA599/'实盘净值数据(iFinD公式)'!$B$20:$AA$20)*(1-实盘持仓初始配置!$Z$6)^(('实盘净值数据(iFinD公式)'!$A599-'实盘净值数据(iFinD公式)'!$A$7)/365))</x:f>
        <x:v>#NAME?</x:v>
      </x:c>
      <x:c r="I599" s="152" t="e">
        <x:f>IF(OR(H598="",H599=""),"",H599/H598-1)</x:f>
        <x:v>#NAME?</x:v>
      </x:c>
      <x:c r="J599" s="152" t="e">
        <x:f>IF(H599="","",H599/MAX(H$5:H599)-1)</x:f>
        <x:v>#NAME?</x:v>
      </x:c>
      <x:c r="K599" s="146" t="e">
        <x:f>IF(OR('实盘净值数据(iFinD公式)'!$A599="",'实盘净值数据(iFinD公式)'!$B599=""),"",分期持仓明细!$AD$23*SUMPRODUCT(分期持仓明细!$B$23:$AA$23,'实盘净值数据(iFinD公式)'!$B599:$AA599/'实盘净值数据(iFinD公式)'!$B$65:$AA$65)*(1-实盘持仓初始配置!$Z$7)^(('实盘净值数据(iFinD公式)'!$A599-'实盘净值数据(iFinD公式)'!$A$8)/365))</x:f>
        <x:v>#NAME?</x:v>
      </x:c>
      <x:c r="L599" s="152" t="e">
        <x:f>IF(OR(K598="",K599=""),"",K599/K598-1)</x:f>
        <x:v>#NAME?</x:v>
      </x:c>
      <x:c r="M599" s="152" t="e">
        <x:f>IF(K599="","",K599/MAX(K$5:K599)-1)</x:f>
        <x:v>#NAME?</x:v>
      </x:c>
      <x:c r="N599" s="146" t="e">
        <x:f>IF(OR('实盘净值数据(iFinD公式)'!$A599="",'实盘净值数据(iFinD公式)'!$B599=""),"",分期持仓明细!$AD$24*SUMPRODUCT(分期持仓明细!$B$24:$AA$24,'实盘净值数据(iFinD公式)'!$B599:$AA599/'实盘净值数据(iFinD公式)'!$B$65:$AA$65)*(1-实盘持仓初始配置!$Z$8)^(('实盘净值数据(iFinD公式)'!$A599-'实盘净值数据(iFinD公式)'!$A$5)/365))</x:f>
        <x:v>#NAME?</x:v>
      </x:c>
      <x:c r="O599" s="152" t="e">
        <x:f>IF(OR(N598="",N599=""),"",N599/N598-1)</x:f>
        <x:v>#NAME?</x:v>
      </x:c>
      <x:c r="P599" s="152" t="e">
        <x:f>IF(N599="","",N599/MAX(N$5:N599)-1)</x:f>
        <x:v>#NAME?</x:v>
      </x:c>
      <x:c r="Q599" s="146" t="e">
        <x:f>IF(OR('实盘净值数据(iFinD公式)'!$A599="",'实盘净值数据(iFinD公式)'!$B599=""),"",分期持仓明细!$AD$25*SUMPRODUCT(分期持仓明细!$B$25:$AA$25,'实盘净值数据(iFinD公式)'!$B599:$AA599/'实盘净值数据(iFinD公式)'!$B$65:$AA$65)*(1-实盘持仓初始配置!$Z$9)^(('实盘净值数据(iFinD公式)'!$A599-'实盘净值数据(iFinD公式)'!$A$8)/365))</x:f>
        <x:v>#NAME?</x:v>
      </x:c>
      <x:c r="R599" s="152" t="e">
        <x:f>IF(OR(Q598="",Q599=""),"",Q599/Q598-1)</x:f>
        <x:v>#NAME?</x:v>
      </x:c>
      <x:c r="S599" s="152" t="e">
        <x:f>IF(Q599="","",Q599/MAX(Q$5:Q599)-1)</x:f>
        <x:v>#NAME?</x:v>
      </x:c>
    </x:row>
    <x:row r="600">
      <x:c r="A600" s="149" t="str">
        <x:f>IF('实盘净值数据(iFinD公式)'!A600="","",'实盘净值数据(iFinD公式)'!A600)</x:f>
      </x:c>
      <x:c r="B600" s="146" t="e">
        <x:f>IF(OR('实盘净值数据(iFinD公式)'!$A600="",'实盘净值数据(iFinD公式)'!$B600=""),"",分期持仓明细!$AD$17*SUMPRODUCT(分期持仓明细!$B$17:$AA$17,'实盘净值数据(iFinD公式)'!$B600:$AA600/'实盘净值数据(iFinD公式)'!$B$20:$AA$20)*(1-实盘持仓初始配置!$Z$4)^(('实盘净值数据(iFinD公式)'!$A600-'实盘净值数据(iFinD公式)'!$A$6)/365))</x:f>
        <x:v>#NAME?</x:v>
      </x:c>
      <x:c r="C600" s="152" t="e">
        <x:f>IF(OR(B599="",B600=""),"",B600/B599-1)</x:f>
        <x:v>#NAME?</x:v>
      </x:c>
      <x:c r="D600" s="152" t="e">
        <x:f>IF(B600="","",B600/MAX(B$5:B600)-1)</x:f>
        <x:v>#NAME?</x:v>
      </x:c>
      <x:c r="E600" s="146" t="e">
        <x:f>IF(OR('实盘净值数据(iFinD公式)'!$A600="",'实盘净值数据(iFinD公式)'!$B600=""),"",分期持仓明细!$AD$18*SUMPRODUCT(分期持仓明细!$B$18:$AA$18,'实盘净值数据(iFinD公式)'!$B600:$AA600/'实盘净值数据(iFinD公式)'!$B$20:$AA$20)*(1-实盘持仓初始配置!$Z$5)^(('实盘净值数据(iFinD公式)'!$A600-'实盘净值数据(iFinD公式)'!$A$5)/365))</x:f>
        <x:v>#NAME?</x:v>
      </x:c>
      <x:c r="F600" s="152" t="e">
        <x:f>IF(OR(E599="",E600=""),"",E600/E599-1)</x:f>
        <x:v>#NAME?</x:v>
      </x:c>
      <x:c r="G600" s="152" t="e">
        <x:f>IF(E600="","",E600/MAX(E$5:E600)-1)</x:f>
        <x:v>#NAME?</x:v>
      </x:c>
      <x:c r="H600" s="146" t="e">
        <x:f>IF(OR('实盘净值数据(iFinD公式)'!$A600="",'实盘净值数据(iFinD公式)'!$B600=""),"",分期持仓明细!$AD$19*SUMPRODUCT(分期持仓明细!$B$19:$AA$19,'实盘净值数据(iFinD公式)'!$B600:$AA600/'实盘净值数据(iFinD公式)'!$B$20:$AA$20)*(1-实盘持仓初始配置!$Z$6)^(('实盘净值数据(iFinD公式)'!$A600-'实盘净值数据(iFinD公式)'!$A$7)/365))</x:f>
        <x:v>#NAME?</x:v>
      </x:c>
      <x:c r="I600" s="152" t="e">
        <x:f>IF(OR(H599="",H600=""),"",H600/H599-1)</x:f>
        <x:v>#NAME?</x:v>
      </x:c>
      <x:c r="J600" s="152" t="e">
        <x:f>IF(H600="","",H600/MAX(H$5:H600)-1)</x:f>
        <x:v>#NAME?</x:v>
      </x:c>
      <x:c r="K600" s="146" t="e">
        <x:f>IF(OR('实盘净值数据(iFinD公式)'!$A600="",'实盘净值数据(iFinD公式)'!$B600=""),"",分期持仓明细!$AD$23*SUMPRODUCT(分期持仓明细!$B$23:$AA$23,'实盘净值数据(iFinD公式)'!$B600:$AA600/'实盘净值数据(iFinD公式)'!$B$65:$AA$65)*(1-实盘持仓初始配置!$Z$7)^(('实盘净值数据(iFinD公式)'!$A600-'实盘净值数据(iFinD公式)'!$A$8)/365))</x:f>
        <x:v>#NAME?</x:v>
      </x:c>
      <x:c r="L600" s="152" t="e">
        <x:f>IF(OR(K599="",K600=""),"",K600/K599-1)</x:f>
        <x:v>#NAME?</x:v>
      </x:c>
      <x:c r="M600" s="152" t="e">
        <x:f>IF(K600="","",K600/MAX(K$5:K600)-1)</x:f>
        <x:v>#NAME?</x:v>
      </x:c>
      <x:c r="N600" s="146" t="e">
        <x:f>IF(OR('实盘净值数据(iFinD公式)'!$A600="",'实盘净值数据(iFinD公式)'!$B600=""),"",分期持仓明细!$AD$24*SUMPRODUCT(分期持仓明细!$B$24:$AA$24,'实盘净值数据(iFinD公式)'!$B600:$AA600/'实盘净值数据(iFinD公式)'!$B$65:$AA$65)*(1-实盘持仓初始配置!$Z$8)^(('实盘净值数据(iFinD公式)'!$A600-'实盘净值数据(iFinD公式)'!$A$5)/365))</x:f>
        <x:v>#NAME?</x:v>
      </x:c>
      <x:c r="O600" s="152" t="e">
        <x:f>IF(OR(N599="",N600=""),"",N600/N599-1)</x:f>
        <x:v>#NAME?</x:v>
      </x:c>
      <x:c r="P600" s="152" t="e">
        <x:f>IF(N600="","",N600/MAX(N$5:N600)-1)</x:f>
        <x:v>#NAME?</x:v>
      </x:c>
      <x:c r="Q600" s="146" t="e">
        <x:f>IF(OR('实盘净值数据(iFinD公式)'!$A600="",'实盘净值数据(iFinD公式)'!$B600=""),"",分期持仓明细!$AD$25*SUMPRODUCT(分期持仓明细!$B$25:$AA$25,'实盘净值数据(iFinD公式)'!$B600:$AA600/'实盘净值数据(iFinD公式)'!$B$65:$AA$65)*(1-实盘持仓初始配置!$Z$9)^(('实盘净值数据(iFinD公式)'!$A600-'实盘净值数据(iFinD公式)'!$A$8)/365))</x:f>
        <x:v>#NAME?</x:v>
      </x:c>
      <x:c r="R600" s="152" t="e">
        <x:f>IF(OR(Q599="",Q600=""),"",Q600/Q599-1)</x:f>
        <x:v>#NAME?</x:v>
      </x:c>
      <x:c r="S600" s="152" t="e">
        <x:f>IF(Q600="","",Q600/MAX(Q$5:Q600)-1)</x:f>
        <x:v>#NAME?</x:v>
      </x:c>
    </x:row>
    <x:row r="601">
      <x:c r="A601" s="149" t="str">
        <x:f>IF('实盘净值数据(iFinD公式)'!A601="","",'实盘净值数据(iFinD公式)'!A601)</x:f>
      </x:c>
      <x:c r="B601" s="146" t="e">
        <x:f>IF(OR('实盘净值数据(iFinD公式)'!$A601="",'实盘净值数据(iFinD公式)'!$B601=""),"",分期持仓明细!$AD$17*SUMPRODUCT(分期持仓明细!$B$17:$AA$17,'实盘净值数据(iFinD公式)'!$B601:$AA601/'实盘净值数据(iFinD公式)'!$B$20:$AA$20)*(1-实盘持仓初始配置!$Z$4)^(('实盘净值数据(iFinD公式)'!$A601-'实盘净值数据(iFinD公式)'!$A$6)/365))</x:f>
        <x:v>#NAME?</x:v>
      </x:c>
      <x:c r="C601" s="152" t="e">
        <x:f>IF(OR(B600="",B601=""),"",B601/B600-1)</x:f>
        <x:v>#NAME?</x:v>
      </x:c>
      <x:c r="D601" s="152" t="e">
        <x:f>IF(B601="","",B601/MAX(B$5:B601)-1)</x:f>
        <x:v>#NAME?</x:v>
      </x:c>
      <x:c r="E601" s="146" t="e">
        <x:f>IF(OR('实盘净值数据(iFinD公式)'!$A601="",'实盘净值数据(iFinD公式)'!$B601=""),"",分期持仓明细!$AD$18*SUMPRODUCT(分期持仓明细!$B$18:$AA$18,'实盘净值数据(iFinD公式)'!$B601:$AA601/'实盘净值数据(iFinD公式)'!$B$20:$AA$20)*(1-实盘持仓初始配置!$Z$5)^(('实盘净值数据(iFinD公式)'!$A601-'实盘净值数据(iFinD公式)'!$A$5)/365))</x:f>
        <x:v>#NAME?</x:v>
      </x:c>
      <x:c r="F601" s="152" t="e">
        <x:f>IF(OR(E600="",E601=""),"",E601/E600-1)</x:f>
        <x:v>#NAME?</x:v>
      </x:c>
      <x:c r="G601" s="152" t="e">
        <x:f>IF(E601="","",E601/MAX(E$5:E601)-1)</x:f>
        <x:v>#NAME?</x:v>
      </x:c>
      <x:c r="H601" s="146" t="e">
        <x:f>IF(OR('实盘净值数据(iFinD公式)'!$A601="",'实盘净值数据(iFinD公式)'!$B601=""),"",分期持仓明细!$AD$19*SUMPRODUCT(分期持仓明细!$B$19:$AA$19,'实盘净值数据(iFinD公式)'!$B601:$AA601/'实盘净值数据(iFinD公式)'!$B$20:$AA$20)*(1-实盘持仓初始配置!$Z$6)^(('实盘净值数据(iFinD公式)'!$A601-'实盘净值数据(iFinD公式)'!$A$7)/365))</x:f>
        <x:v>#NAME?</x:v>
      </x:c>
      <x:c r="I601" s="152" t="e">
        <x:f>IF(OR(H600="",H601=""),"",H601/H600-1)</x:f>
        <x:v>#NAME?</x:v>
      </x:c>
      <x:c r="J601" s="152" t="e">
        <x:f>IF(H601="","",H601/MAX(H$5:H601)-1)</x:f>
        <x:v>#NAME?</x:v>
      </x:c>
      <x:c r="K601" s="146" t="e">
        <x:f>IF(OR('实盘净值数据(iFinD公式)'!$A601="",'实盘净值数据(iFinD公式)'!$B601=""),"",分期持仓明细!$AD$23*SUMPRODUCT(分期持仓明细!$B$23:$AA$23,'实盘净值数据(iFinD公式)'!$B601:$AA601/'实盘净值数据(iFinD公式)'!$B$65:$AA$65)*(1-实盘持仓初始配置!$Z$7)^(('实盘净值数据(iFinD公式)'!$A601-'实盘净值数据(iFinD公式)'!$A$8)/365))</x:f>
        <x:v>#NAME?</x:v>
      </x:c>
      <x:c r="L601" s="152" t="e">
        <x:f>IF(OR(K600="",K601=""),"",K601/K600-1)</x:f>
        <x:v>#NAME?</x:v>
      </x:c>
      <x:c r="M601" s="152" t="e">
        <x:f>IF(K601="","",K601/MAX(K$5:K601)-1)</x:f>
        <x:v>#NAME?</x:v>
      </x:c>
      <x:c r="N601" s="146" t="e">
        <x:f>IF(OR('实盘净值数据(iFinD公式)'!$A601="",'实盘净值数据(iFinD公式)'!$B601=""),"",分期持仓明细!$AD$24*SUMPRODUCT(分期持仓明细!$B$24:$AA$24,'实盘净值数据(iFinD公式)'!$B601:$AA601/'实盘净值数据(iFinD公式)'!$B$65:$AA$65)*(1-实盘持仓初始配置!$Z$8)^(('实盘净值数据(iFinD公式)'!$A601-'实盘净值数据(iFinD公式)'!$A$5)/365))</x:f>
        <x:v>#NAME?</x:v>
      </x:c>
      <x:c r="O601" s="152" t="e">
        <x:f>IF(OR(N600="",N601=""),"",N601/N600-1)</x:f>
        <x:v>#NAME?</x:v>
      </x:c>
      <x:c r="P601" s="152" t="e">
        <x:f>IF(N601="","",N601/MAX(N$5:N601)-1)</x:f>
        <x:v>#NAME?</x:v>
      </x:c>
      <x:c r="Q601" s="146" t="e">
        <x:f>IF(OR('实盘净值数据(iFinD公式)'!$A601="",'实盘净值数据(iFinD公式)'!$B601=""),"",分期持仓明细!$AD$25*SUMPRODUCT(分期持仓明细!$B$25:$AA$25,'实盘净值数据(iFinD公式)'!$B601:$AA601/'实盘净值数据(iFinD公式)'!$B$65:$AA$65)*(1-实盘持仓初始配置!$Z$9)^(('实盘净值数据(iFinD公式)'!$A601-'实盘净值数据(iFinD公式)'!$A$8)/365))</x:f>
        <x:v>#NAME?</x:v>
      </x:c>
      <x:c r="R601" s="152" t="e">
        <x:f>IF(OR(Q600="",Q601=""),"",Q601/Q600-1)</x:f>
        <x:v>#NAME?</x:v>
      </x:c>
      <x:c r="S601" s="152" t="e">
        <x:f>IF(Q601="","",Q601/MAX(Q$5:Q601)-1)</x:f>
        <x:v>#NAME?</x:v>
      </x:c>
    </x:row>
    <x:row r="602">
      <x:c r="A602" s="149" t="str">
        <x:f>IF('实盘净值数据(iFinD公式)'!A602="","",'实盘净值数据(iFinD公式)'!A602)</x:f>
      </x:c>
      <x:c r="B602" s="146" t="e">
        <x:f>IF(OR('实盘净值数据(iFinD公式)'!$A602="",'实盘净值数据(iFinD公式)'!$B602=""),"",分期持仓明细!$AD$17*SUMPRODUCT(分期持仓明细!$B$17:$AA$17,'实盘净值数据(iFinD公式)'!$B602:$AA602/'实盘净值数据(iFinD公式)'!$B$20:$AA$20)*(1-实盘持仓初始配置!$Z$4)^(('实盘净值数据(iFinD公式)'!$A602-'实盘净值数据(iFinD公式)'!$A$6)/365))</x:f>
        <x:v>#NAME?</x:v>
      </x:c>
      <x:c r="C602" s="152" t="e">
        <x:f>IF(OR(B601="",B602=""),"",B602/B601-1)</x:f>
        <x:v>#NAME?</x:v>
      </x:c>
      <x:c r="D602" s="152" t="e">
        <x:f>IF(B602="","",B602/MAX(B$5:B602)-1)</x:f>
        <x:v>#NAME?</x:v>
      </x:c>
      <x:c r="E602" s="146" t="e">
        <x:f>IF(OR('实盘净值数据(iFinD公式)'!$A602="",'实盘净值数据(iFinD公式)'!$B602=""),"",分期持仓明细!$AD$18*SUMPRODUCT(分期持仓明细!$B$18:$AA$18,'实盘净值数据(iFinD公式)'!$B602:$AA602/'实盘净值数据(iFinD公式)'!$B$20:$AA$20)*(1-实盘持仓初始配置!$Z$5)^(('实盘净值数据(iFinD公式)'!$A602-'实盘净值数据(iFinD公式)'!$A$5)/365))</x:f>
        <x:v>#NAME?</x:v>
      </x:c>
      <x:c r="F602" s="152" t="e">
        <x:f>IF(OR(E601="",E602=""),"",E602/E601-1)</x:f>
        <x:v>#NAME?</x:v>
      </x:c>
      <x:c r="G602" s="152" t="e">
        <x:f>IF(E602="","",E602/MAX(E$5:E602)-1)</x:f>
        <x:v>#NAME?</x:v>
      </x:c>
      <x:c r="H602" s="146" t="e">
        <x:f>IF(OR('实盘净值数据(iFinD公式)'!$A602="",'实盘净值数据(iFinD公式)'!$B602=""),"",分期持仓明细!$AD$19*SUMPRODUCT(分期持仓明细!$B$19:$AA$19,'实盘净值数据(iFinD公式)'!$B602:$AA602/'实盘净值数据(iFinD公式)'!$B$20:$AA$20)*(1-实盘持仓初始配置!$Z$6)^(('实盘净值数据(iFinD公式)'!$A602-'实盘净值数据(iFinD公式)'!$A$7)/365))</x:f>
        <x:v>#NAME?</x:v>
      </x:c>
      <x:c r="I602" s="152" t="e">
        <x:f>IF(OR(H601="",H602=""),"",H602/H601-1)</x:f>
        <x:v>#NAME?</x:v>
      </x:c>
      <x:c r="J602" s="152" t="e">
        <x:f>IF(H602="","",H602/MAX(H$5:H602)-1)</x:f>
        <x:v>#NAME?</x:v>
      </x:c>
      <x:c r="K602" s="146" t="e">
        <x:f>IF(OR('实盘净值数据(iFinD公式)'!$A602="",'实盘净值数据(iFinD公式)'!$B602=""),"",分期持仓明细!$AD$23*SUMPRODUCT(分期持仓明细!$B$23:$AA$23,'实盘净值数据(iFinD公式)'!$B602:$AA602/'实盘净值数据(iFinD公式)'!$B$65:$AA$65)*(1-实盘持仓初始配置!$Z$7)^(('实盘净值数据(iFinD公式)'!$A602-'实盘净值数据(iFinD公式)'!$A$8)/365))</x:f>
        <x:v>#NAME?</x:v>
      </x:c>
      <x:c r="L602" s="152" t="e">
        <x:f>IF(OR(K601="",K602=""),"",K602/K601-1)</x:f>
        <x:v>#NAME?</x:v>
      </x:c>
      <x:c r="M602" s="152" t="e">
        <x:f>IF(K602="","",K602/MAX(K$5:K602)-1)</x:f>
        <x:v>#NAME?</x:v>
      </x:c>
      <x:c r="N602" s="146" t="e">
        <x:f>IF(OR('实盘净值数据(iFinD公式)'!$A602="",'实盘净值数据(iFinD公式)'!$B602=""),"",分期持仓明细!$AD$24*SUMPRODUCT(分期持仓明细!$B$24:$AA$24,'实盘净值数据(iFinD公式)'!$B602:$AA602/'实盘净值数据(iFinD公式)'!$B$65:$AA$65)*(1-实盘持仓初始配置!$Z$8)^(('实盘净值数据(iFinD公式)'!$A602-'实盘净值数据(iFinD公式)'!$A$5)/365))</x:f>
        <x:v>#NAME?</x:v>
      </x:c>
      <x:c r="O602" s="152" t="e">
        <x:f>IF(OR(N601="",N602=""),"",N602/N601-1)</x:f>
        <x:v>#NAME?</x:v>
      </x:c>
      <x:c r="P602" s="152" t="e">
        <x:f>IF(N602="","",N602/MAX(N$5:N602)-1)</x:f>
        <x:v>#NAME?</x:v>
      </x:c>
      <x:c r="Q602" s="146" t="e">
        <x:f>IF(OR('实盘净值数据(iFinD公式)'!$A602="",'实盘净值数据(iFinD公式)'!$B602=""),"",分期持仓明细!$AD$25*SUMPRODUCT(分期持仓明细!$B$25:$AA$25,'实盘净值数据(iFinD公式)'!$B602:$AA602/'实盘净值数据(iFinD公式)'!$B$65:$AA$65)*(1-实盘持仓初始配置!$Z$9)^(('实盘净值数据(iFinD公式)'!$A602-'实盘净值数据(iFinD公式)'!$A$8)/365))</x:f>
        <x:v>#NAME?</x:v>
      </x:c>
      <x:c r="R602" s="152" t="e">
        <x:f>IF(OR(Q601="",Q602=""),"",Q602/Q601-1)</x:f>
        <x:v>#NAME?</x:v>
      </x:c>
      <x:c r="S602" s="152" t="e">
        <x:f>IF(Q602="","",Q602/MAX(Q$5:Q602)-1)</x:f>
        <x:v>#NAME?</x:v>
      </x:c>
    </x:row>
    <x:row r="603">
      <x:c r="A603" s="149" t="str">
        <x:f>IF('实盘净值数据(iFinD公式)'!A603="","",'实盘净值数据(iFinD公式)'!A603)</x:f>
      </x:c>
      <x:c r="B603" s="146" t="e">
        <x:f>IF(OR('实盘净值数据(iFinD公式)'!$A603="",'实盘净值数据(iFinD公式)'!$B603=""),"",分期持仓明细!$AD$17*SUMPRODUCT(分期持仓明细!$B$17:$AA$17,'实盘净值数据(iFinD公式)'!$B603:$AA603/'实盘净值数据(iFinD公式)'!$B$20:$AA$20)*(1-实盘持仓初始配置!$Z$4)^(('实盘净值数据(iFinD公式)'!$A603-'实盘净值数据(iFinD公式)'!$A$6)/365))</x:f>
        <x:v>#NAME?</x:v>
      </x:c>
      <x:c r="C603" s="152" t="e">
        <x:f>IF(OR(B602="",B603=""),"",B603/B602-1)</x:f>
        <x:v>#NAME?</x:v>
      </x:c>
      <x:c r="D603" s="152" t="e">
        <x:f>IF(B603="","",B603/MAX(B$5:B603)-1)</x:f>
        <x:v>#NAME?</x:v>
      </x:c>
      <x:c r="E603" s="146" t="e">
        <x:f>IF(OR('实盘净值数据(iFinD公式)'!$A603="",'实盘净值数据(iFinD公式)'!$B603=""),"",分期持仓明细!$AD$18*SUMPRODUCT(分期持仓明细!$B$18:$AA$18,'实盘净值数据(iFinD公式)'!$B603:$AA603/'实盘净值数据(iFinD公式)'!$B$20:$AA$20)*(1-实盘持仓初始配置!$Z$5)^(('实盘净值数据(iFinD公式)'!$A603-'实盘净值数据(iFinD公式)'!$A$5)/365))</x:f>
        <x:v>#NAME?</x:v>
      </x:c>
      <x:c r="F603" s="152" t="e">
        <x:f>IF(OR(E602="",E603=""),"",E603/E602-1)</x:f>
        <x:v>#NAME?</x:v>
      </x:c>
      <x:c r="G603" s="152" t="e">
        <x:f>IF(E603="","",E603/MAX(E$5:E603)-1)</x:f>
        <x:v>#NAME?</x:v>
      </x:c>
      <x:c r="H603" s="146" t="e">
        <x:f>IF(OR('实盘净值数据(iFinD公式)'!$A603="",'实盘净值数据(iFinD公式)'!$B603=""),"",分期持仓明细!$AD$19*SUMPRODUCT(分期持仓明细!$B$19:$AA$19,'实盘净值数据(iFinD公式)'!$B603:$AA603/'实盘净值数据(iFinD公式)'!$B$20:$AA$20)*(1-实盘持仓初始配置!$Z$6)^(('实盘净值数据(iFinD公式)'!$A603-'实盘净值数据(iFinD公式)'!$A$7)/365))</x:f>
        <x:v>#NAME?</x:v>
      </x:c>
      <x:c r="I603" s="152" t="e">
        <x:f>IF(OR(H602="",H603=""),"",H603/H602-1)</x:f>
        <x:v>#NAME?</x:v>
      </x:c>
      <x:c r="J603" s="152" t="e">
        <x:f>IF(H603="","",H603/MAX(H$5:H603)-1)</x:f>
        <x:v>#NAME?</x:v>
      </x:c>
      <x:c r="K603" s="146" t="e">
        <x:f>IF(OR('实盘净值数据(iFinD公式)'!$A603="",'实盘净值数据(iFinD公式)'!$B603=""),"",分期持仓明细!$AD$23*SUMPRODUCT(分期持仓明细!$B$23:$AA$23,'实盘净值数据(iFinD公式)'!$B603:$AA603/'实盘净值数据(iFinD公式)'!$B$65:$AA$65)*(1-实盘持仓初始配置!$Z$7)^(('实盘净值数据(iFinD公式)'!$A603-'实盘净值数据(iFinD公式)'!$A$8)/365))</x:f>
        <x:v>#NAME?</x:v>
      </x:c>
      <x:c r="L603" s="152" t="e">
        <x:f>IF(OR(K602="",K603=""),"",K603/K602-1)</x:f>
        <x:v>#NAME?</x:v>
      </x:c>
      <x:c r="M603" s="152" t="e">
        <x:f>IF(K603="","",K603/MAX(K$5:K603)-1)</x:f>
        <x:v>#NAME?</x:v>
      </x:c>
      <x:c r="N603" s="146" t="e">
        <x:f>IF(OR('实盘净值数据(iFinD公式)'!$A603="",'实盘净值数据(iFinD公式)'!$B603=""),"",分期持仓明细!$AD$24*SUMPRODUCT(分期持仓明细!$B$24:$AA$24,'实盘净值数据(iFinD公式)'!$B603:$AA603/'实盘净值数据(iFinD公式)'!$B$65:$AA$65)*(1-实盘持仓初始配置!$Z$8)^(('实盘净值数据(iFinD公式)'!$A603-'实盘净值数据(iFinD公式)'!$A$5)/365))</x:f>
        <x:v>#NAME?</x:v>
      </x:c>
      <x:c r="O603" s="152" t="e">
        <x:f>IF(OR(N602="",N603=""),"",N603/N602-1)</x:f>
        <x:v>#NAME?</x:v>
      </x:c>
      <x:c r="P603" s="152" t="e">
        <x:f>IF(N603="","",N603/MAX(N$5:N603)-1)</x:f>
        <x:v>#NAME?</x:v>
      </x:c>
      <x:c r="Q603" s="146" t="e">
        <x:f>IF(OR('实盘净值数据(iFinD公式)'!$A603="",'实盘净值数据(iFinD公式)'!$B603=""),"",分期持仓明细!$AD$25*SUMPRODUCT(分期持仓明细!$B$25:$AA$25,'实盘净值数据(iFinD公式)'!$B603:$AA603/'实盘净值数据(iFinD公式)'!$B$65:$AA$65)*(1-实盘持仓初始配置!$Z$9)^(('实盘净值数据(iFinD公式)'!$A603-'实盘净值数据(iFinD公式)'!$A$8)/365))</x:f>
        <x:v>#NAME?</x:v>
      </x:c>
      <x:c r="R603" s="152" t="e">
        <x:f>IF(OR(Q602="",Q603=""),"",Q603/Q602-1)</x:f>
        <x:v>#NAME?</x:v>
      </x:c>
      <x:c r="S603" s="152" t="e">
        <x:f>IF(Q603="","",Q603/MAX(Q$5:Q603)-1)</x:f>
        <x:v>#NAME?</x:v>
      </x:c>
    </x:row>
    <x:row r="604">
      <x:c r="A604" s="149" t="str">
        <x:f>IF('实盘净值数据(iFinD公式)'!A604="","",'实盘净值数据(iFinD公式)'!A604)</x:f>
      </x:c>
      <x:c r="B604" s="146" t="e">
        <x:f>IF(OR('实盘净值数据(iFinD公式)'!$A604="",'实盘净值数据(iFinD公式)'!$B604=""),"",分期持仓明细!$AD$17*SUMPRODUCT(分期持仓明细!$B$17:$AA$17,'实盘净值数据(iFinD公式)'!$B604:$AA604/'实盘净值数据(iFinD公式)'!$B$20:$AA$20)*(1-实盘持仓初始配置!$Z$4)^(('实盘净值数据(iFinD公式)'!$A604-'实盘净值数据(iFinD公式)'!$A$6)/365))</x:f>
        <x:v>#NAME?</x:v>
      </x:c>
      <x:c r="C604" s="152" t="e">
        <x:f>IF(OR(B603="",B604=""),"",B604/B603-1)</x:f>
        <x:v>#NAME?</x:v>
      </x:c>
      <x:c r="D604" s="152" t="e">
        <x:f>IF(B604="","",B604/MAX(B$5:B604)-1)</x:f>
        <x:v>#NAME?</x:v>
      </x:c>
      <x:c r="E604" s="146" t="e">
        <x:f>IF(OR('实盘净值数据(iFinD公式)'!$A604="",'实盘净值数据(iFinD公式)'!$B604=""),"",分期持仓明细!$AD$18*SUMPRODUCT(分期持仓明细!$B$18:$AA$18,'实盘净值数据(iFinD公式)'!$B604:$AA604/'实盘净值数据(iFinD公式)'!$B$20:$AA$20)*(1-实盘持仓初始配置!$Z$5)^(('实盘净值数据(iFinD公式)'!$A604-'实盘净值数据(iFinD公式)'!$A$5)/365))</x:f>
        <x:v>#NAME?</x:v>
      </x:c>
      <x:c r="F604" s="152" t="e">
        <x:f>IF(OR(E603="",E604=""),"",E604/E603-1)</x:f>
        <x:v>#NAME?</x:v>
      </x:c>
      <x:c r="G604" s="152" t="e">
        <x:f>IF(E604="","",E604/MAX(E$5:E604)-1)</x:f>
        <x:v>#NAME?</x:v>
      </x:c>
      <x:c r="H604" s="146" t="e">
        <x:f>IF(OR('实盘净值数据(iFinD公式)'!$A604="",'实盘净值数据(iFinD公式)'!$B604=""),"",分期持仓明细!$AD$19*SUMPRODUCT(分期持仓明细!$B$19:$AA$19,'实盘净值数据(iFinD公式)'!$B604:$AA604/'实盘净值数据(iFinD公式)'!$B$20:$AA$20)*(1-实盘持仓初始配置!$Z$6)^(('实盘净值数据(iFinD公式)'!$A604-'实盘净值数据(iFinD公式)'!$A$7)/365))</x:f>
        <x:v>#NAME?</x:v>
      </x:c>
      <x:c r="I604" s="152" t="e">
        <x:f>IF(OR(H603="",H604=""),"",H604/H603-1)</x:f>
        <x:v>#NAME?</x:v>
      </x:c>
      <x:c r="J604" s="152" t="e">
        <x:f>IF(H604="","",H604/MAX(H$5:H604)-1)</x:f>
        <x:v>#NAME?</x:v>
      </x:c>
      <x:c r="K604" s="146" t="e">
        <x:f>IF(OR('实盘净值数据(iFinD公式)'!$A604="",'实盘净值数据(iFinD公式)'!$B604=""),"",分期持仓明细!$AD$23*SUMPRODUCT(分期持仓明细!$B$23:$AA$23,'实盘净值数据(iFinD公式)'!$B604:$AA604/'实盘净值数据(iFinD公式)'!$B$65:$AA$65)*(1-实盘持仓初始配置!$Z$7)^(('实盘净值数据(iFinD公式)'!$A604-'实盘净值数据(iFinD公式)'!$A$8)/365))</x:f>
        <x:v>#NAME?</x:v>
      </x:c>
      <x:c r="L604" s="152" t="e">
        <x:f>IF(OR(K603="",K604=""),"",K604/K603-1)</x:f>
        <x:v>#NAME?</x:v>
      </x:c>
      <x:c r="M604" s="152" t="e">
        <x:f>IF(K604="","",K604/MAX(K$5:K604)-1)</x:f>
        <x:v>#NAME?</x:v>
      </x:c>
      <x:c r="N604" s="146" t="e">
        <x:f>IF(OR('实盘净值数据(iFinD公式)'!$A604="",'实盘净值数据(iFinD公式)'!$B604=""),"",分期持仓明细!$AD$24*SUMPRODUCT(分期持仓明细!$B$24:$AA$24,'实盘净值数据(iFinD公式)'!$B604:$AA604/'实盘净值数据(iFinD公式)'!$B$65:$AA$65)*(1-实盘持仓初始配置!$Z$8)^(('实盘净值数据(iFinD公式)'!$A604-'实盘净值数据(iFinD公式)'!$A$5)/365))</x:f>
        <x:v>#NAME?</x:v>
      </x:c>
      <x:c r="O604" s="152" t="e">
        <x:f>IF(OR(N603="",N604=""),"",N604/N603-1)</x:f>
        <x:v>#NAME?</x:v>
      </x:c>
      <x:c r="P604" s="152" t="e">
        <x:f>IF(N604="","",N604/MAX(N$5:N604)-1)</x:f>
        <x:v>#NAME?</x:v>
      </x:c>
      <x:c r="Q604" s="146" t="e">
        <x:f>IF(OR('实盘净值数据(iFinD公式)'!$A604="",'实盘净值数据(iFinD公式)'!$B604=""),"",分期持仓明细!$AD$25*SUMPRODUCT(分期持仓明细!$B$25:$AA$25,'实盘净值数据(iFinD公式)'!$B604:$AA604/'实盘净值数据(iFinD公式)'!$B$65:$AA$65)*(1-实盘持仓初始配置!$Z$9)^(('实盘净值数据(iFinD公式)'!$A604-'实盘净值数据(iFinD公式)'!$A$8)/365))</x:f>
        <x:v>#NAME?</x:v>
      </x:c>
      <x:c r="R604" s="152" t="e">
        <x:f>IF(OR(Q603="",Q604=""),"",Q604/Q603-1)</x:f>
        <x:v>#NAME?</x:v>
      </x:c>
      <x:c r="S604" s="152" t="e">
        <x:f>IF(Q604="","",Q604/MAX(Q$5:Q604)-1)</x:f>
        <x:v>#NAME?</x:v>
      </x:c>
    </x:row>
    <x:row r="605">
      <x:c r="A605" s="149" t="str">
        <x:f>IF('实盘净值数据(iFinD公式)'!A605="","",'实盘净值数据(iFinD公式)'!A605)</x:f>
      </x:c>
      <x:c r="B605" s="146" t="e">
        <x:f>IF(OR('实盘净值数据(iFinD公式)'!$A605="",'实盘净值数据(iFinD公式)'!$B605=""),"",分期持仓明细!$AD$17*SUMPRODUCT(分期持仓明细!$B$17:$AA$17,'实盘净值数据(iFinD公式)'!$B605:$AA605/'实盘净值数据(iFinD公式)'!$B$20:$AA$20)*(1-实盘持仓初始配置!$Z$4)^(('实盘净值数据(iFinD公式)'!$A605-'实盘净值数据(iFinD公式)'!$A$6)/365))</x:f>
        <x:v>#NAME?</x:v>
      </x:c>
      <x:c r="C605" s="152" t="e">
        <x:f>IF(OR(B604="",B605=""),"",B605/B604-1)</x:f>
        <x:v>#NAME?</x:v>
      </x:c>
      <x:c r="D605" s="152" t="e">
        <x:f>IF(B605="","",B605/MAX(B$5:B605)-1)</x:f>
        <x:v>#NAME?</x:v>
      </x:c>
      <x:c r="E605" s="146" t="e">
        <x:f>IF(OR('实盘净值数据(iFinD公式)'!$A605="",'实盘净值数据(iFinD公式)'!$B605=""),"",分期持仓明细!$AD$18*SUMPRODUCT(分期持仓明细!$B$18:$AA$18,'实盘净值数据(iFinD公式)'!$B605:$AA605/'实盘净值数据(iFinD公式)'!$B$20:$AA$20)*(1-实盘持仓初始配置!$Z$5)^(('实盘净值数据(iFinD公式)'!$A605-'实盘净值数据(iFinD公式)'!$A$5)/365))</x:f>
        <x:v>#NAME?</x:v>
      </x:c>
      <x:c r="F605" s="152" t="e">
        <x:f>IF(OR(E604="",E605=""),"",E605/E604-1)</x:f>
        <x:v>#NAME?</x:v>
      </x:c>
      <x:c r="G605" s="152" t="e">
        <x:f>IF(E605="","",E605/MAX(E$5:E605)-1)</x:f>
        <x:v>#NAME?</x:v>
      </x:c>
      <x:c r="H605" s="146" t="e">
        <x:f>IF(OR('实盘净值数据(iFinD公式)'!$A605="",'实盘净值数据(iFinD公式)'!$B605=""),"",分期持仓明细!$AD$19*SUMPRODUCT(分期持仓明细!$B$19:$AA$19,'实盘净值数据(iFinD公式)'!$B605:$AA605/'实盘净值数据(iFinD公式)'!$B$20:$AA$20)*(1-实盘持仓初始配置!$Z$6)^(('实盘净值数据(iFinD公式)'!$A605-'实盘净值数据(iFinD公式)'!$A$7)/365))</x:f>
        <x:v>#NAME?</x:v>
      </x:c>
      <x:c r="I605" s="152" t="e">
        <x:f>IF(OR(H604="",H605=""),"",H605/H604-1)</x:f>
        <x:v>#NAME?</x:v>
      </x:c>
      <x:c r="J605" s="152" t="e">
        <x:f>IF(H605="","",H605/MAX(H$5:H605)-1)</x:f>
        <x:v>#NAME?</x:v>
      </x:c>
      <x:c r="K605" s="146" t="e">
        <x:f>IF(OR('实盘净值数据(iFinD公式)'!$A605="",'实盘净值数据(iFinD公式)'!$B605=""),"",分期持仓明细!$AD$23*SUMPRODUCT(分期持仓明细!$B$23:$AA$23,'实盘净值数据(iFinD公式)'!$B605:$AA605/'实盘净值数据(iFinD公式)'!$B$65:$AA$65)*(1-实盘持仓初始配置!$Z$7)^(('实盘净值数据(iFinD公式)'!$A605-'实盘净值数据(iFinD公式)'!$A$8)/365))</x:f>
        <x:v>#NAME?</x:v>
      </x:c>
      <x:c r="L605" s="152" t="e">
        <x:f>IF(OR(K604="",K605=""),"",K605/K604-1)</x:f>
        <x:v>#NAME?</x:v>
      </x:c>
      <x:c r="M605" s="152" t="e">
        <x:f>IF(K605="","",K605/MAX(K$5:K605)-1)</x:f>
        <x:v>#NAME?</x:v>
      </x:c>
      <x:c r="N605" s="146" t="e">
        <x:f>IF(OR('实盘净值数据(iFinD公式)'!$A605="",'实盘净值数据(iFinD公式)'!$B605=""),"",分期持仓明细!$AD$24*SUMPRODUCT(分期持仓明细!$B$24:$AA$24,'实盘净值数据(iFinD公式)'!$B605:$AA605/'实盘净值数据(iFinD公式)'!$B$65:$AA$65)*(1-实盘持仓初始配置!$Z$8)^(('实盘净值数据(iFinD公式)'!$A605-'实盘净值数据(iFinD公式)'!$A$5)/365))</x:f>
        <x:v>#NAME?</x:v>
      </x:c>
      <x:c r="O605" s="152" t="e">
        <x:f>IF(OR(N604="",N605=""),"",N605/N604-1)</x:f>
        <x:v>#NAME?</x:v>
      </x:c>
      <x:c r="P605" s="152" t="e">
        <x:f>IF(N605="","",N605/MAX(N$5:N605)-1)</x:f>
        <x:v>#NAME?</x:v>
      </x:c>
      <x:c r="Q605" s="146" t="e">
        <x:f>IF(OR('实盘净值数据(iFinD公式)'!$A605="",'实盘净值数据(iFinD公式)'!$B605=""),"",分期持仓明细!$AD$25*SUMPRODUCT(分期持仓明细!$B$25:$AA$25,'实盘净值数据(iFinD公式)'!$B605:$AA605/'实盘净值数据(iFinD公式)'!$B$65:$AA$65)*(1-实盘持仓初始配置!$Z$9)^(('实盘净值数据(iFinD公式)'!$A605-'实盘净值数据(iFinD公式)'!$A$8)/365))</x:f>
        <x:v>#NAME?</x:v>
      </x:c>
      <x:c r="R605" s="152" t="e">
        <x:f>IF(OR(Q604="",Q605=""),"",Q605/Q604-1)</x:f>
        <x:v>#NAME?</x:v>
      </x:c>
      <x:c r="S605" s="152" t="e">
        <x:f>IF(Q605="","",Q605/MAX(Q$5:Q605)-1)</x:f>
        <x:v>#NAME?</x:v>
      </x:c>
    </x:row>
    <x:row r="606">
      <x:c r="A606" s="149" t="str">
        <x:f>IF('实盘净值数据(iFinD公式)'!A606="","",'实盘净值数据(iFinD公式)'!A606)</x:f>
      </x:c>
      <x:c r="B606" s="146" t="e">
        <x:f>IF(OR('实盘净值数据(iFinD公式)'!$A606="",'实盘净值数据(iFinD公式)'!$B606=""),"",分期持仓明细!$AD$17*SUMPRODUCT(分期持仓明细!$B$17:$AA$17,'实盘净值数据(iFinD公式)'!$B606:$AA606/'实盘净值数据(iFinD公式)'!$B$20:$AA$20)*(1-实盘持仓初始配置!$Z$4)^(('实盘净值数据(iFinD公式)'!$A606-'实盘净值数据(iFinD公式)'!$A$6)/365))</x:f>
        <x:v>#NAME?</x:v>
      </x:c>
      <x:c r="C606" s="152" t="e">
        <x:f>IF(OR(B605="",B606=""),"",B606/B605-1)</x:f>
        <x:v>#NAME?</x:v>
      </x:c>
      <x:c r="D606" s="152" t="e">
        <x:f>IF(B606="","",B606/MAX(B$5:B606)-1)</x:f>
        <x:v>#NAME?</x:v>
      </x:c>
      <x:c r="E606" s="146" t="e">
        <x:f>IF(OR('实盘净值数据(iFinD公式)'!$A606="",'实盘净值数据(iFinD公式)'!$B606=""),"",分期持仓明细!$AD$18*SUMPRODUCT(分期持仓明细!$B$18:$AA$18,'实盘净值数据(iFinD公式)'!$B606:$AA606/'实盘净值数据(iFinD公式)'!$B$20:$AA$20)*(1-实盘持仓初始配置!$Z$5)^(('实盘净值数据(iFinD公式)'!$A606-'实盘净值数据(iFinD公式)'!$A$5)/365))</x:f>
        <x:v>#NAME?</x:v>
      </x:c>
      <x:c r="F606" s="152" t="e">
        <x:f>IF(OR(E605="",E606=""),"",E606/E605-1)</x:f>
        <x:v>#NAME?</x:v>
      </x:c>
      <x:c r="G606" s="152" t="e">
        <x:f>IF(E606="","",E606/MAX(E$5:E606)-1)</x:f>
        <x:v>#NAME?</x:v>
      </x:c>
      <x:c r="H606" s="146" t="e">
        <x:f>IF(OR('实盘净值数据(iFinD公式)'!$A606="",'实盘净值数据(iFinD公式)'!$B606=""),"",分期持仓明细!$AD$19*SUMPRODUCT(分期持仓明细!$B$19:$AA$19,'实盘净值数据(iFinD公式)'!$B606:$AA606/'实盘净值数据(iFinD公式)'!$B$20:$AA$20)*(1-实盘持仓初始配置!$Z$6)^(('实盘净值数据(iFinD公式)'!$A606-'实盘净值数据(iFinD公式)'!$A$7)/365))</x:f>
        <x:v>#NAME?</x:v>
      </x:c>
      <x:c r="I606" s="152" t="e">
        <x:f>IF(OR(H605="",H606=""),"",H606/H605-1)</x:f>
        <x:v>#NAME?</x:v>
      </x:c>
      <x:c r="J606" s="152" t="e">
        <x:f>IF(H606="","",H606/MAX(H$5:H606)-1)</x:f>
        <x:v>#NAME?</x:v>
      </x:c>
      <x:c r="K606" s="146" t="e">
        <x:f>IF(OR('实盘净值数据(iFinD公式)'!$A606="",'实盘净值数据(iFinD公式)'!$B606=""),"",分期持仓明细!$AD$23*SUMPRODUCT(分期持仓明细!$B$23:$AA$23,'实盘净值数据(iFinD公式)'!$B606:$AA606/'实盘净值数据(iFinD公式)'!$B$65:$AA$65)*(1-实盘持仓初始配置!$Z$7)^(('实盘净值数据(iFinD公式)'!$A606-'实盘净值数据(iFinD公式)'!$A$8)/365))</x:f>
        <x:v>#NAME?</x:v>
      </x:c>
      <x:c r="L606" s="152" t="e">
        <x:f>IF(OR(K605="",K606=""),"",K606/K605-1)</x:f>
        <x:v>#NAME?</x:v>
      </x:c>
      <x:c r="M606" s="152" t="e">
        <x:f>IF(K606="","",K606/MAX(K$5:K606)-1)</x:f>
        <x:v>#NAME?</x:v>
      </x:c>
      <x:c r="N606" s="146" t="e">
        <x:f>IF(OR('实盘净值数据(iFinD公式)'!$A606="",'实盘净值数据(iFinD公式)'!$B606=""),"",分期持仓明细!$AD$24*SUMPRODUCT(分期持仓明细!$B$24:$AA$24,'实盘净值数据(iFinD公式)'!$B606:$AA606/'实盘净值数据(iFinD公式)'!$B$65:$AA$65)*(1-实盘持仓初始配置!$Z$8)^(('实盘净值数据(iFinD公式)'!$A606-'实盘净值数据(iFinD公式)'!$A$5)/365))</x:f>
        <x:v>#NAME?</x:v>
      </x:c>
      <x:c r="O606" s="152" t="e">
        <x:f>IF(OR(N605="",N606=""),"",N606/N605-1)</x:f>
        <x:v>#NAME?</x:v>
      </x:c>
      <x:c r="P606" s="152" t="e">
        <x:f>IF(N606="","",N606/MAX(N$5:N606)-1)</x:f>
        <x:v>#NAME?</x:v>
      </x:c>
      <x:c r="Q606" s="146" t="e">
        <x:f>IF(OR('实盘净值数据(iFinD公式)'!$A606="",'实盘净值数据(iFinD公式)'!$B606=""),"",分期持仓明细!$AD$25*SUMPRODUCT(分期持仓明细!$B$25:$AA$25,'实盘净值数据(iFinD公式)'!$B606:$AA606/'实盘净值数据(iFinD公式)'!$B$65:$AA$65)*(1-实盘持仓初始配置!$Z$9)^(('实盘净值数据(iFinD公式)'!$A606-'实盘净值数据(iFinD公式)'!$A$8)/365))</x:f>
        <x:v>#NAME?</x:v>
      </x:c>
      <x:c r="R606" s="152" t="e">
        <x:f>IF(OR(Q605="",Q606=""),"",Q606/Q605-1)</x:f>
        <x:v>#NAME?</x:v>
      </x:c>
      <x:c r="S606" s="152" t="e">
        <x:f>IF(Q606="","",Q606/MAX(Q$5:Q606)-1)</x:f>
        <x:v>#NAME?</x:v>
      </x:c>
    </x:row>
    <x:row r="607">
      <x:c r="A607" s="149" t="str">
        <x:f>IF('实盘净值数据(iFinD公式)'!A607="","",'实盘净值数据(iFinD公式)'!A607)</x:f>
      </x:c>
      <x:c r="B607" s="146" t="e">
        <x:f>IF(OR('实盘净值数据(iFinD公式)'!$A607="",'实盘净值数据(iFinD公式)'!$B607=""),"",分期持仓明细!$AD$17*SUMPRODUCT(分期持仓明细!$B$17:$AA$17,'实盘净值数据(iFinD公式)'!$B607:$AA607/'实盘净值数据(iFinD公式)'!$B$20:$AA$20)*(1-实盘持仓初始配置!$Z$4)^(('实盘净值数据(iFinD公式)'!$A607-'实盘净值数据(iFinD公式)'!$A$6)/365))</x:f>
        <x:v>#NAME?</x:v>
      </x:c>
      <x:c r="C607" s="152" t="e">
        <x:f>IF(OR(B606="",B607=""),"",B607/B606-1)</x:f>
        <x:v>#NAME?</x:v>
      </x:c>
      <x:c r="D607" s="152" t="e">
        <x:f>IF(B607="","",B607/MAX(B$5:B607)-1)</x:f>
        <x:v>#NAME?</x:v>
      </x:c>
      <x:c r="E607" s="146" t="e">
        <x:f>IF(OR('实盘净值数据(iFinD公式)'!$A607="",'实盘净值数据(iFinD公式)'!$B607=""),"",分期持仓明细!$AD$18*SUMPRODUCT(分期持仓明细!$B$18:$AA$18,'实盘净值数据(iFinD公式)'!$B607:$AA607/'实盘净值数据(iFinD公式)'!$B$20:$AA$20)*(1-实盘持仓初始配置!$Z$5)^(('实盘净值数据(iFinD公式)'!$A607-'实盘净值数据(iFinD公式)'!$A$5)/365))</x:f>
        <x:v>#NAME?</x:v>
      </x:c>
      <x:c r="F607" s="152" t="e">
        <x:f>IF(OR(E606="",E607=""),"",E607/E606-1)</x:f>
        <x:v>#NAME?</x:v>
      </x:c>
      <x:c r="G607" s="152" t="e">
        <x:f>IF(E607="","",E607/MAX(E$5:E607)-1)</x:f>
        <x:v>#NAME?</x:v>
      </x:c>
      <x:c r="H607" s="146" t="e">
        <x:f>IF(OR('实盘净值数据(iFinD公式)'!$A607="",'实盘净值数据(iFinD公式)'!$B607=""),"",分期持仓明细!$AD$19*SUMPRODUCT(分期持仓明细!$B$19:$AA$19,'实盘净值数据(iFinD公式)'!$B607:$AA607/'实盘净值数据(iFinD公式)'!$B$20:$AA$20)*(1-实盘持仓初始配置!$Z$6)^(('实盘净值数据(iFinD公式)'!$A607-'实盘净值数据(iFinD公式)'!$A$7)/365))</x:f>
        <x:v>#NAME?</x:v>
      </x:c>
      <x:c r="I607" s="152" t="e">
        <x:f>IF(OR(H606="",H607=""),"",H607/H606-1)</x:f>
        <x:v>#NAME?</x:v>
      </x:c>
      <x:c r="J607" s="152" t="e">
        <x:f>IF(H607="","",H607/MAX(H$5:H607)-1)</x:f>
        <x:v>#NAME?</x:v>
      </x:c>
      <x:c r="K607" s="146" t="e">
        <x:f>IF(OR('实盘净值数据(iFinD公式)'!$A607="",'实盘净值数据(iFinD公式)'!$B607=""),"",分期持仓明细!$AD$23*SUMPRODUCT(分期持仓明细!$B$23:$AA$23,'实盘净值数据(iFinD公式)'!$B607:$AA607/'实盘净值数据(iFinD公式)'!$B$65:$AA$65)*(1-实盘持仓初始配置!$Z$7)^(('实盘净值数据(iFinD公式)'!$A607-'实盘净值数据(iFinD公式)'!$A$8)/365))</x:f>
        <x:v>#NAME?</x:v>
      </x:c>
      <x:c r="L607" s="152" t="e">
        <x:f>IF(OR(K606="",K607=""),"",K607/K606-1)</x:f>
        <x:v>#NAME?</x:v>
      </x:c>
      <x:c r="M607" s="152" t="e">
        <x:f>IF(K607="","",K607/MAX(K$5:K607)-1)</x:f>
        <x:v>#NAME?</x:v>
      </x:c>
      <x:c r="N607" s="146" t="e">
        <x:f>IF(OR('实盘净值数据(iFinD公式)'!$A607="",'实盘净值数据(iFinD公式)'!$B607=""),"",分期持仓明细!$AD$24*SUMPRODUCT(分期持仓明细!$B$24:$AA$24,'实盘净值数据(iFinD公式)'!$B607:$AA607/'实盘净值数据(iFinD公式)'!$B$65:$AA$65)*(1-实盘持仓初始配置!$Z$8)^(('实盘净值数据(iFinD公式)'!$A607-'实盘净值数据(iFinD公式)'!$A$5)/365))</x:f>
        <x:v>#NAME?</x:v>
      </x:c>
      <x:c r="O607" s="152" t="e">
        <x:f>IF(OR(N606="",N607=""),"",N607/N606-1)</x:f>
        <x:v>#NAME?</x:v>
      </x:c>
      <x:c r="P607" s="152" t="e">
        <x:f>IF(N607="","",N607/MAX(N$5:N607)-1)</x:f>
        <x:v>#NAME?</x:v>
      </x:c>
      <x:c r="Q607" s="146" t="e">
        <x:f>IF(OR('实盘净值数据(iFinD公式)'!$A607="",'实盘净值数据(iFinD公式)'!$B607=""),"",分期持仓明细!$AD$25*SUMPRODUCT(分期持仓明细!$B$25:$AA$25,'实盘净值数据(iFinD公式)'!$B607:$AA607/'实盘净值数据(iFinD公式)'!$B$65:$AA$65)*(1-实盘持仓初始配置!$Z$9)^(('实盘净值数据(iFinD公式)'!$A607-'实盘净值数据(iFinD公式)'!$A$8)/365))</x:f>
        <x:v>#NAME?</x:v>
      </x:c>
      <x:c r="R607" s="152" t="e">
        <x:f>IF(OR(Q606="",Q607=""),"",Q607/Q606-1)</x:f>
        <x:v>#NAME?</x:v>
      </x:c>
      <x:c r="S607" s="152" t="e">
        <x:f>IF(Q607="","",Q607/MAX(Q$5:Q607)-1)</x:f>
        <x:v>#NAME?</x:v>
      </x:c>
    </x:row>
    <x:row r="608">
      <x:c r="A608" s="149" t="str">
        <x:f>IF('实盘净值数据(iFinD公式)'!A608="","",'实盘净值数据(iFinD公式)'!A608)</x:f>
      </x:c>
      <x:c r="B608" s="146" t="e">
        <x:f>IF(OR('实盘净值数据(iFinD公式)'!$A608="",'实盘净值数据(iFinD公式)'!$B608=""),"",分期持仓明细!$AD$17*SUMPRODUCT(分期持仓明细!$B$17:$AA$17,'实盘净值数据(iFinD公式)'!$B608:$AA608/'实盘净值数据(iFinD公式)'!$B$20:$AA$20)*(1-实盘持仓初始配置!$Z$4)^(('实盘净值数据(iFinD公式)'!$A608-'实盘净值数据(iFinD公式)'!$A$6)/365))</x:f>
        <x:v>#NAME?</x:v>
      </x:c>
      <x:c r="C608" s="152" t="e">
        <x:f>IF(OR(B607="",B608=""),"",B608/B607-1)</x:f>
        <x:v>#NAME?</x:v>
      </x:c>
      <x:c r="D608" s="152" t="e">
        <x:f>IF(B608="","",B608/MAX(B$5:B608)-1)</x:f>
        <x:v>#NAME?</x:v>
      </x:c>
      <x:c r="E608" s="146" t="e">
        <x:f>IF(OR('实盘净值数据(iFinD公式)'!$A608="",'实盘净值数据(iFinD公式)'!$B608=""),"",分期持仓明细!$AD$18*SUMPRODUCT(分期持仓明细!$B$18:$AA$18,'实盘净值数据(iFinD公式)'!$B608:$AA608/'实盘净值数据(iFinD公式)'!$B$20:$AA$20)*(1-实盘持仓初始配置!$Z$5)^(('实盘净值数据(iFinD公式)'!$A608-'实盘净值数据(iFinD公式)'!$A$5)/365))</x:f>
        <x:v>#NAME?</x:v>
      </x:c>
      <x:c r="F608" s="152" t="e">
        <x:f>IF(OR(E607="",E608=""),"",E608/E607-1)</x:f>
        <x:v>#NAME?</x:v>
      </x:c>
      <x:c r="G608" s="152" t="e">
        <x:f>IF(E608="","",E608/MAX(E$5:E608)-1)</x:f>
        <x:v>#NAME?</x:v>
      </x:c>
      <x:c r="H608" s="146" t="e">
        <x:f>IF(OR('实盘净值数据(iFinD公式)'!$A608="",'实盘净值数据(iFinD公式)'!$B608=""),"",分期持仓明细!$AD$19*SUMPRODUCT(分期持仓明细!$B$19:$AA$19,'实盘净值数据(iFinD公式)'!$B608:$AA608/'实盘净值数据(iFinD公式)'!$B$20:$AA$20)*(1-实盘持仓初始配置!$Z$6)^(('实盘净值数据(iFinD公式)'!$A608-'实盘净值数据(iFinD公式)'!$A$7)/365))</x:f>
        <x:v>#NAME?</x:v>
      </x:c>
      <x:c r="I608" s="152" t="e">
        <x:f>IF(OR(H607="",H608=""),"",H608/H607-1)</x:f>
        <x:v>#NAME?</x:v>
      </x:c>
      <x:c r="J608" s="152" t="e">
        <x:f>IF(H608="","",H608/MAX(H$5:H608)-1)</x:f>
        <x:v>#NAME?</x:v>
      </x:c>
      <x:c r="K608" s="146" t="e">
        <x:f>IF(OR('实盘净值数据(iFinD公式)'!$A608="",'实盘净值数据(iFinD公式)'!$B608=""),"",分期持仓明细!$AD$23*SUMPRODUCT(分期持仓明细!$B$23:$AA$23,'实盘净值数据(iFinD公式)'!$B608:$AA608/'实盘净值数据(iFinD公式)'!$B$65:$AA$65)*(1-实盘持仓初始配置!$Z$7)^(('实盘净值数据(iFinD公式)'!$A608-'实盘净值数据(iFinD公式)'!$A$8)/365))</x:f>
        <x:v>#NAME?</x:v>
      </x:c>
      <x:c r="L608" s="152" t="e">
        <x:f>IF(OR(K607="",K608=""),"",K608/K607-1)</x:f>
        <x:v>#NAME?</x:v>
      </x:c>
      <x:c r="M608" s="152" t="e">
        <x:f>IF(K608="","",K608/MAX(K$5:K608)-1)</x:f>
        <x:v>#NAME?</x:v>
      </x:c>
      <x:c r="N608" s="146" t="e">
        <x:f>IF(OR('实盘净值数据(iFinD公式)'!$A608="",'实盘净值数据(iFinD公式)'!$B608=""),"",分期持仓明细!$AD$24*SUMPRODUCT(分期持仓明细!$B$24:$AA$24,'实盘净值数据(iFinD公式)'!$B608:$AA608/'实盘净值数据(iFinD公式)'!$B$65:$AA$65)*(1-实盘持仓初始配置!$Z$8)^(('实盘净值数据(iFinD公式)'!$A608-'实盘净值数据(iFinD公式)'!$A$5)/365))</x:f>
        <x:v>#NAME?</x:v>
      </x:c>
      <x:c r="O608" s="152" t="e">
        <x:f>IF(OR(N607="",N608=""),"",N608/N607-1)</x:f>
        <x:v>#NAME?</x:v>
      </x:c>
      <x:c r="P608" s="152" t="e">
        <x:f>IF(N608="","",N608/MAX(N$5:N608)-1)</x:f>
        <x:v>#NAME?</x:v>
      </x:c>
      <x:c r="Q608" s="146" t="e">
        <x:f>IF(OR('实盘净值数据(iFinD公式)'!$A608="",'实盘净值数据(iFinD公式)'!$B608=""),"",分期持仓明细!$AD$25*SUMPRODUCT(分期持仓明细!$B$25:$AA$25,'实盘净值数据(iFinD公式)'!$B608:$AA608/'实盘净值数据(iFinD公式)'!$B$65:$AA$65)*(1-实盘持仓初始配置!$Z$9)^(('实盘净值数据(iFinD公式)'!$A608-'实盘净值数据(iFinD公式)'!$A$8)/365))</x:f>
        <x:v>#NAME?</x:v>
      </x:c>
      <x:c r="R608" s="152" t="e">
        <x:f>IF(OR(Q607="",Q608=""),"",Q608/Q607-1)</x:f>
        <x:v>#NAME?</x:v>
      </x:c>
      <x:c r="S608" s="152" t="e">
        <x:f>IF(Q608="","",Q608/MAX(Q$5:Q608)-1)</x:f>
        <x:v>#NAME?</x:v>
      </x:c>
    </x:row>
    <x:row r="609">
      <x:c r="A609" s="149" t="str">
        <x:f>IF('实盘净值数据(iFinD公式)'!A609="","",'实盘净值数据(iFinD公式)'!A609)</x:f>
      </x:c>
      <x:c r="B609" s="146" t="e">
        <x:f>IF(OR('实盘净值数据(iFinD公式)'!$A609="",'实盘净值数据(iFinD公式)'!$B609=""),"",分期持仓明细!$AD$17*SUMPRODUCT(分期持仓明细!$B$17:$AA$17,'实盘净值数据(iFinD公式)'!$B609:$AA609/'实盘净值数据(iFinD公式)'!$B$20:$AA$20)*(1-实盘持仓初始配置!$Z$4)^(('实盘净值数据(iFinD公式)'!$A609-'实盘净值数据(iFinD公式)'!$A$6)/365))</x:f>
        <x:v>#NAME?</x:v>
      </x:c>
      <x:c r="C609" s="152" t="e">
        <x:f>IF(OR(B608="",B609=""),"",B609/B608-1)</x:f>
        <x:v>#NAME?</x:v>
      </x:c>
      <x:c r="D609" s="152" t="e">
        <x:f>IF(B609="","",B609/MAX(B$5:B609)-1)</x:f>
        <x:v>#NAME?</x:v>
      </x:c>
      <x:c r="E609" s="146" t="e">
        <x:f>IF(OR('实盘净值数据(iFinD公式)'!$A609="",'实盘净值数据(iFinD公式)'!$B609=""),"",分期持仓明细!$AD$18*SUMPRODUCT(分期持仓明细!$B$18:$AA$18,'实盘净值数据(iFinD公式)'!$B609:$AA609/'实盘净值数据(iFinD公式)'!$B$20:$AA$20)*(1-实盘持仓初始配置!$Z$5)^(('实盘净值数据(iFinD公式)'!$A609-'实盘净值数据(iFinD公式)'!$A$5)/365))</x:f>
        <x:v>#NAME?</x:v>
      </x:c>
      <x:c r="F609" s="152" t="e">
        <x:f>IF(OR(E608="",E609=""),"",E609/E608-1)</x:f>
        <x:v>#NAME?</x:v>
      </x:c>
      <x:c r="G609" s="152" t="e">
        <x:f>IF(E609="","",E609/MAX(E$5:E609)-1)</x:f>
        <x:v>#NAME?</x:v>
      </x:c>
      <x:c r="H609" s="146" t="e">
        <x:f>IF(OR('实盘净值数据(iFinD公式)'!$A609="",'实盘净值数据(iFinD公式)'!$B609=""),"",分期持仓明细!$AD$19*SUMPRODUCT(分期持仓明细!$B$19:$AA$19,'实盘净值数据(iFinD公式)'!$B609:$AA609/'实盘净值数据(iFinD公式)'!$B$20:$AA$20)*(1-实盘持仓初始配置!$Z$6)^(('实盘净值数据(iFinD公式)'!$A609-'实盘净值数据(iFinD公式)'!$A$7)/365))</x:f>
        <x:v>#NAME?</x:v>
      </x:c>
      <x:c r="I609" s="152" t="e">
        <x:f>IF(OR(H608="",H609=""),"",H609/H608-1)</x:f>
        <x:v>#NAME?</x:v>
      </x:c>
      <x:c r="J609" s="152" t="e">
        <x:f>IF(H609="","",H609/MAX(H$5:H609)-1)</x:f>
        <x:v>#NAME?</x:v>
      </x:c>
      <x:c r="K609" s="146" t="e">
        <x:f>IF(OR('实盘净值数据(iFinD公式)'!$A609="",'实盘净值数据(iFinD公式)'!$B609=""),"",分期持仓明细!$AD$23*SUMPRODUCT(分期持仓明细!$B$23:$AA$23,'实盘净值数据(iFinD公式)'!$B609:$AA609/'实盘净值数据(iFinD公式)'!$B$65:$AA$65)*(1-实盘持仓初始配置!$Z$7)^(('实盘净值数据(iFinD公式)'!$A609-'实盘净值数据(iFinD公式)'!$A$8)/365))</x:f>
        <x:v>#NAME?</x:v>
      </x:c>
      <x:c r="L609" s="152" t="e">
        <x:f>IF(OR(K608="",K609=""),"",K609/K608-1)</x:f>
        <x:v>#NAME?</x:v>
      </x:c>
      <x:c r="M609" s="152" t="e">
        <x:f>IF(K609="","",K609/MAX(K$5:K609)-1)</x:f>
        <x:v>#NAME?</x:v>
      </x:c>
      <x:c r="N609" s="146" t="e">
        <x:f>IF(OR('实盘净值数据(iFinD公式)'!$A609="",'实盘净值数据(iFinD公式)'!$B609=""),"",分期持仓明细!$AD$24*SUMPRODUCT(分期持仓明细!$B$24:$AA$24,'实盘净值数据(iFinD公式)'!$B609:$AA609/'实盘净值数据(iFinD公式)'!$B$65:$AA$65)*(1-实盘持仓初始配置!$Z$8)^(('实盘净值数据(iFinD公式)'!$A609-'实盘净值数据(iFinD公式)'!$A$5)/365))</x:f>
        <x:v>#NAME?</x:v>
      </x:c>
      <x:c r="O609" s="152" t="e">
        <x:f>IF(OR(N608="",N609=""),"",N609/N608-1)</x:f>
        <x:v>#NAME?</x:v>
      </x:c>
      <x:c r="P609" s="152" t="e">
        <x:f>IF(N609="","",N609/MAX(N$5:N609)-1)</x:f>
        <x:v>#NAME?</x:v>
      </x:c>
      <x:c r="Q609" s="146" t="e">
        <x:f>IF(OR('实盘净值数据(iFinD公式)'!$A609="",'实盘净值数据(iFinD公式)'!$B609=""),"",分期持仓明细!$AD$25*SUMPRODUCT(分期持仓明细!$B$25:$AA$25,'实盘净值数据(iFinD公式)'!$B609:$AA609/'实盘净值数据(iFinD公式)'!$B$65:$AA$65)*(1-实盘持仓初始配置!$Z$9)^(('实盘净值数据(iFinD公式)'!$A609-'实盘净值数据(iFinD公式)'!$A$8)/365))</x:f>
        <x:v>#NAME?</x:v>
      </x:c>
      <x:c r="R609" s="152" t="e">
        <x:f>IF(OR(Q608="",Q609=""),"",Q609/Q608-1)</x:f>
        <x:v>#NAME?</x:v>
      </x:c>
      <x:c r="S609" s="152" t="e">
        <x:f>IF(Q609="","",Q609/MAX(Q$5:Q609)-1)</x:f>
        <x:v>#NAME?</x:v>
      </x:c>
    </x:row>
    <x:row r="610">
      <x:c r="A610" s="149" t="str">
        <x:f>IF('实盘净值数据(iFinD公式)'!A610="","",'实盘净值数据(iFinD公式)'!A610)</x:f>
      </x:c>
      <x:c r="B610" s="146" t="e">
        <x:f>IF(OR('实盘净值数据(iFinD公式)'!$A610="",'实盘净值数据(iFinD公式)'!$B610=""),"",分期持仓明细!$AD$17*SUMPRODUCT(分期持仓明细!$B$17:$AA$17,'实盘净值数据(iFinD公式)'!$B610:$AA610/'实盘净值数据(iFinD公式)'!$B$20:$AA$20)*(1-实盘持仓初始配置!$Z$4)^(('实盘净值数据(iFinD公式)'!$A610-'实盘净值数据(iFinD公式)'!$A$6)/365))</x:f>
        <x:v>#NAME?</x:v>
      </x:c>
      <x:c r="C610" s="152" t="e">
        <x:f>IF(OR(B609="",B610=""),"",B610/B609-1)</x:f>
        <x:v>#NAME?</x:v>
      </x:c>
      <x:c r="D610" s="152" t="e">
        <x:f>IF(B610="","",B610/MAX(B$5:B610)-1)</x:f>
        <x:v>#NAME?</x:v>
      </x:c>
      <x:c r="E610" s="146" t="e">
        <x:f>IF(OR('实盘净值数据(iFinD公式)'!$A610="",'实盘净值数据(iFinD公式)'!$B610=""),"",分期持仓明细!$AD$18*SUMPRODUCT(分期持仓明细!$B$18:$AA$18,'实盘净值数据(iFinD公式)'!$B610:$AA610/'实盘净值数据(iFinD公式)'!$B$20:$AA$20)*(1-实盘持仓初始配置!$Z$5)^(('实盘净值数据(iFinD公式)'!$A610-'实盘净值数据(iFinD公式)'!$A$5)/365))</x:f>
        <x:v>#NAME?</x:v>
      </x:c>
      <x:c r="F610" s="152" t="e">
        <x:f>IF(OR(E609="",E610=""),"",E610/E609-1)</x:f>
        <x:v>#NAME?</x:v>
      </x:c>
      <x:c r="G610" s="152" t="e">
        <x:f>IF(E610="","",E610/MAX(E$5:E610)-1)</x:f>
        <x:v>#NAME?</x:v>
      </x:c>
      <x:c r="H610" s="146" t="e">
        <x:f>IF(OR('实盘净值数据(iFinD公式)'!$A610="",'实盘净值数据(iFinD公式)'!$B610=""),"",分期持仓明细!$AD$19*SUMPRODUCT(分期持仓明细!$B$19:$AA$19,'实盘净值数据(iFinD公式)'!$B610:$AA610/'实盘净值数据(iFinD公式)'!$B$20:$AA$20)*(1-实盘持仓初始配置!$Z$6)^(('实盘净值数据(iFinD公式)'!$A610-'实盘净值数据(iFinD公式)'!$A$7)/365))</x:f>
        <x:v>#NAME?</x:v>
      </x:c>
      <x:c r="I610" s="152" t="e">
        <x:f>IF(OR(H609="",H610=""),"",H610/H609-1)</x:f>
        <x:v>#NAME?</x:v>
      </x:c>
      <x:c r="J610" s="152" t="e">
        <x:f>IF(H610="","",H610/MAX(H$5:H610)-1)</x:f>
        <x:v>#NAME?</x:v>
      </x:c>
      <x:c r="K610" s="146" t="e">
        <x:f>IF(OR('实盘净值数据(iFinD公式)'!$A610="",'实盘净值数据(iFinD公式)'!$B610=""),"",分期持仓明细!$AD$23*SUMPRODUCT(分期持仓明细!$B$23:$AA$23,'实盘净值数据(iFinD公式)'!$B610:$AA610/'实盘净值数据(iFinD公式)'!$B$65:$AA$65)*(1-实盘持仓初始配置!$Z$7)^(('实盘净值数据(iFinD公式)'!$A610-'实盘净值数据(iFinD公式)'!$A$8)/365))</x:f>
        <x:v>#NAME?</x:v>
      </x:c>
      <x:c r="L610" s="152" t="e">
        <x:f>IF(OR(K609="",K610=""),"",K610/K609-1)</x:f>
        <x:v>#NAME?</x:v>
      </x:c>
      <x:c r="M610" s="152" t="e">
        <x:f>IF(K610="","",K610/MAX(K$5:K610)-1)</x:f>
        <x:v>#NAME?</x:v>
      </x:c>
      <x:c r="N610" s="146" t="e">
        <x:f>IF(OR('实盘净值数据(iFinD公式)'!$A610="",'实盘净值数据(iFinD公式)'!$B610=""),"",分期持仓明细!$AD$24*SUMPRODUCT(分期持仓明细!$B$24:$AA$24,'实盘净值数据(iFinD公式)'!$B610:$AA610/'实盘净值数据(iFinD公式)'!$B$65:$AA$65)*(1-实盘持仓初始配置!$Z$8)^(('实盘净值数据(iFinD公式)'!$A610-'实盘净值数据(iFinD公式)'!$A$5)/365))</x:f>
        <x:v>#NAME?</x:v>
      </x:c>
      <x:c r="O610" s="152" t="e">
        <x:f>IF(OR(N609="",N610=""),"",N610/N609-1)</x:f>
        <x:v>#NAME?</x:v>
      </x:c>
      <x:c r="P610" s="152" t="e">
        <x:f>IF(N610="","",N610/MAX(N$5:N610)-1)</x:f>
        <x:v>#NAME?</x:v>
      </x:c>
      <x:c r="Q610" s="146" t="e">
        <x:f>IF(OR('实盘净值数据(iFinD公式)'!$A610="",'实盘净值数据(iFinD公式)'!$B610=""),"",分期持仓明细!$AD$25*SUMPRODUCT(分期持仓明细!$B$25:$AA$25,'实盘净值数据(iFinD公式)'!$B610:$AA610/'实盘净值数据(iFinD公式)'!$B$65:$AA$65)*(1-实盘持仓初始配置!$Z$9)^(('实盘净值数据(iFinD公式)'!$A610-'实盘净值数据(iFinD公式)'!$A$8)/365))</x:f>
        <x:v>#NAME?</x:v>
      </x:c>
      <x:c r="R610" s="152" t="e">
        <x:f>IF(OR(Q609="",Q610=""),"",Q610/Q609-1)</x:f>
        <x:v>#NAME?</x:v>
      </x:c>
      <x:c r="S610" s="152" t="e">
        <x:f>IF(Q610="","",Q610/MAX(Q$5:Q610)-1)</x:f>
        <x:v>#NAME?</x:v>
      </x:c>
    </x:row>
    <x:row r="611">
      <x:c r="A611" s="149" t="str">
        <x:f>IF('实盘净值数据(iFinD公式)'!A611="","",'实盘净值数据(iFinD公式)'!A611)</x:f>
      </x:c>
      <x:c r="B611" s="146" t="e">
        <x:f>IF(OR('实盘净值数据(iFinD公式)'!$A611="",'实盘净值数据(iFinD公式)'!$B611=""),"",分期持仓明细!$AD$17*SUMPRODUCT(分期持仓明细!$B$17:$AA$17,'实盘净值数据(iFinD公式)'!$B611:$AA611/'实盘净值数据(iFinD公式)'!$B$20:$AA$20)*(1-实盘持仓初始配置!$Z$4)^(('实盘净值数据(iFinD公式)'!$A611-'实盘净值数据(iFinD公式)'!$A$6)/365))</x:f>
        <x:v>#NAME?</x:v>
      </x:c>
      <x:c r="C611" s="152" t="e">
        <x:f>IF(OR(B610="",B611=""),"",B611/B610-1)</x:f>
        <x:v>#NAME?</x:v>
      </x:c>
      <x:c r="D611" s="152" t="e">
        <x:f>IF(B611="","",B611/MAX(B$5:B611)-1)</x:f>
        <x:v>#NAME?</x:v>
      </x:c>
      <x:c r="E611" s="146" t="e">
        <x:f>IF(OR('实盘净值数据(iFinD公式)'!$A611="",'实盘净值数据(iFinD公式)'!$B611=""),"",分期持仓明细!$AD$18*SUMPRODUCT(分期持仓明细!$B$18:$AA$18,'实盘净值数据(iFinD公式)'!$B611:$AA611/'实盘净值数据(iFinD公式)'!$B$20:$AA$20)*(1-实盘持仓初始配置!$Z$5)^(('实盘净值数据(iFinD公式)'!$A611-'实盘净值数据(iFinD公式)'!$A$5)/365))</x:f>
        <x:v>#NAME?</x:v>
      </x:c>
      <x:c r="F611" s="152" t="e">
        <x:f>IF(OR(E610="",E611=""),"",E611/E610-1)</x:f>
        <x:v>#NAME?</x:v>
      </x:c>
      <x:c r="G611" s="152" t="e">
        <x:f>IF(E611="","",E611/MAX(E$5:E611)-1)</x:f>
        <x:v>#NAME?</x:v>
      </x:c>
      <x:c r="H611" s="146" t="e">
        <x:f>IF(OR('实盘净值数据(iFinD公式)'!$A611="",'实盘净值数据(iFinD公式)'!$B611=""),"",分期持仓明细!$AD$19*SUMPRODUCT(分期持仓明细!$B$19:$AA$19,'实盘净值数据(iFinD公式)'!$B611:$AA611/'实盘净值数据(iFinD公式)'!$B$20:$AA$20)*(1-实盘持仓初始配置!$Z$6)^(('实盘净值数据(iFinD公式)'!$A611-'实盘净值数据(iFinD公式)'!$A$7)/365))</x:f>
        <x:v>#NAME?</x:v>
      </x:c>
      <x:c r="I611" s="152" t="e">
        <x:f>IF(OR(H610="",H611=""),"",H611/H610-1)</x:f>
        <x:v>#NAME?</x:v>
      </x:c>
      <x:c r="J611" s="152" t="e">
        <x:f>IF(H611="","",H611/MAX(H$5:H611)-1)</x:f>
        <x:v>#NAME?</x:v>
      </x:c>
      <x:c r="K611" s="146" t="e">
        <x:f>IF(OR('实盘净值数据(iFinD公式)'!$A611="",'实盘净值数据(iFinD公式)'!$B611=""),"",分期持仓明细!$AD$23*SUMPRODUCT(分期持仓明细!$B$23:$AA$23,'实盘净值数据(iFinD公式)'!$B611:$AA611/'实盘净值数据(iFinD公式)'!$B$65:$AA$65)*(1-实盘持仓初始配置!$Z$7)^(('实盘净值数据(iFinD公式)'!$A611-'实盘净值数据(iFinD公式)'!$A$8)/365))</x:f>
        <x:v>#NAME?</x:v>
      </x:c>
      <x:c r="L611" s="152" t="e">
        <x:f>IF(OR(K610="",K611=""),"",K611/K610-1)</x:f>
        <x:v>#NAME?</x:v>
      </x:c>
      <x:c r="M611" s="152" t="e">
        <x:f>IF(K611="","",K611/MAX(K$5:K611)-1)</x:f>
        <x:v>#NAME?</x:v>
      </x:c>
      <x:c r="N611" s="146" t="e">
        <x:f>IF(OR('实盘净值数据(iFinD公式)'!$A611="",'实盘净值数据(iFinD公式)'!$B611=""),"",分期持仓明细!$AD$24*SUMPRODUCT(分期持仓明细!$B$24:$AA$24,'实盘净值数据(iFinD公式)'!$B611:$AA611/'实盘净值数据(iFinD公式)'!$B$65:$AA$65)*(1-实盘持仓初始配置!$Z$8)^(('实盘净值数据(iFinD公式)'!$A611-'实盘净值数据(iFinD公式)'!$A$5)/365))</x:f>
        <x:v>#NAME?</x:v>
      </x:c>
      <x:c r="O611" s="152" t="e">
        <x:f>IF(OR(N610="",N611=""),"",N611/N610-1)</x:f>
        <x:v>#NAME?</x:v>
      </x:c>
      <x:c r="P611" s="152" t="e">
        <x:f>IF(N611="","",N611/MAX(N$5:N611)-1)</x:f>
        <x:v>#NAME?</x:v>
      </x:c>
      <x:c r="Q611" s="146" t="e">
        <x:f>IF(OR('实盘净值数据(iFinD公式)'!$A611="",'实盘净值数据(iFinD公式)'!$B611=""),"",分期持仓明细!$AD$25*SUMPRODUCT(分期持仓明细!$B$25:$AA$25,'实盘净值数据(iFinD公式)'!$B611:$AA611/'实盘净值数据(iFinD公式)'!$B$65:$AA$65)*(1-实盘持仓初始配置!$Z$9)^(('实盘净值数据(iFinD公式)'!$A611-'实盘净值数据(iFinD公式)'!$A$8)/365))</x:f>
        <x:v>#NAME?</x:v>
      </x:c>
      <x:c r="R611" s="152" t="e">
        <x:f>IF(OR(Q610="",Q611=""),"",Q611/Q610-1)</x:f>
        <x:v>#NAME?</x:v>
      </x:c>
      <x:c r="S611" s="152" t="e">
        <x:f>IF(Q611="","",Q611/MAX(Q$5:Q611)-1)</x:f>
        <x:v>#NAME?</x:v>
      </x:c>
    </x:row>
    <x:row r="612">
      <x:c r="A612" s="149" t="str">
        <x:f>IF('实盘净值数据(iFinD公式)'!A612="","",'实盘净值数据(iFinD公式)'!A612)</x:f>
      </x:c>
      <x:c r="B612" s="146" t="e">
        <x:f>IF(OR('实盘净值数据(iFinD公式)'!$A612="",'实盘净值数据(iFinD公式)'!$B612=""),"",分期持仓明细!$AD$17*SUMPRODUCT(分期持仓明细!$B$17:$AA$17,'实盘净值数据(iFinD公式)'!$B612:$AA612/'实盘净值数据(iFinD公式)'!$B$20:$AA$20)*(1-实盘持仓初始配置!$Z$4)^(('实盘净值数据(iFinD公式)'!$A612-'实盘净值数据(iFinD公式)'!$A$6)/365))</x:f>
        <x:v>#NAME?</x:v>
      </x:c>
      <x:c r="C612" s="152" t="e">
        <x:f>IF(OR(B611="",B612=""),"",B612/B611-1)</x:f>
        <x:v>#NAME?</x:v>
      </x:c>
      <x:c r="D612" s="152" t="e">
        <x:f>IF(B612="","",B612/MAX(B$5:B612)-1)</x:f>
        <x:v>#NAME?</x:v>
      </x:c>
      <x:c r="E612" s="146" t="e">
        <x:f>IF(OR('实盘净值数据(iFinD公式)'!$A612="",'实盘净值数据(iFinD公式)'!$B612=""),"",分期持仓明细!$AD$18*SUMPRODUCT(分期持仓明细!$B$18:$AA$18,'实盘净值数据(iFinD公式)'!$B612:$AA612/'实盘净值数据(iFinD公式)'!$B$20:$AA$20)*(1-实盘持仓初始配置!$Z$5)^(('实盘净值数据(iFinD公式)'!$A612-'实盘净值数据(iFinD公式)'!$A$5)/365))</x:f>
        <x:v>#NAME?</x:v>
      </x:c>
      <x:c r="F612" s="152" t="e">
        <x:f>IF(OR(E611="",E612=""),"",E612/E611-1)</x:f>
        <x:v>#NAME?</x:v>
      </x:c>
      <x:c r="G612" s="152" t="e">
        <x:f>IF(E612="","",E612/MAX(E$5:E612)-1)</x:f>
        <x:v>#NAME?</x:v>
      </x:c>
      <x:c r="H612" s="146" t="e">
        <x:f>IF(OR('实盘净值数据(iFinD公式)'!$A612="",'实盘净值数据(iFinD公式)'!$B612=""),"",分期持仓明细!$AD$19*SUMPRODUCT(分期持仓明细!$B$19:$AA$19,'实盘净值数据(iFinD公式)'!$B612:$AA612/'实盘净值数据(iFinD公式)'!$B$20:$AA$20)*(1-实盘持仓初始配置!$Z$6)^(('实盘净值数据(iFinD公式)'!$A612-'实盘净值数据(iFinD公式)'!$A$7)/365))</x:f>
        <x:v>#NAME?</x:v>
      </x:c>
      <x:c r="I612" s="152" t="e">
        <x:f>IF(OR(H611="",H612=""),"",H612/H611-1)</x:f>
        <x:v>#NAME?</x:v>
      </x:c>
      <x:c r="J612" s="152" t="e">
        <x:f>IF(H612="","",H612/MAX(H$5:H612)-1)</x:f>
        <x:v>#NAME?</x:v>
      </x:c>
      <x:c r="K612" s="146" t="e">
        <x:f>IF(OR('实盘净值数据(iFinD公式)'!$A612="",'实盘净值数据(iFinD公式)'!$B612=""),"",分期持仓明细!$AD$23*SUMPRODUCT(分期持仓明细!$B$23:$AA$23,'实盘净值数据(iFinD公式)'!$B612:$AA612/'实盘净值数据(iFinD公式)'!$B$65:$AA$65)*(1-实盘持仓初始配置!$Z$7)^(('实盘净值数据(iFinD公式)'!$A612-'实盘净值数据(iFinD公式)'!$A$8)/365))</x:f>
        <x:v>#NAME?</x:v>
      </x:c>
      <x:c r="L612" s="152" t="e">
        <x:f>IF(OR(K611="",K612=""),"",K612/K611-1)</x:f>
        <x:v>#NAME?</x:v>
      </x:c>
      <x:c r="M612" s="152" t="e">
        <x:f>IF(K612="","",K612/MAX(K$5:K612)-1)</x:f>
        <x:v>#NAME?</x:v>
      </x:c>
      <x:c r="N612" s="146" t="e">
        <x:f>IF(OR('实盘净值数据(iFinD公式)'!$A612="",'实盘净值数据(iFinD公式)'!$B612=""),"",分期持仓明细!$AD$24*SUMPRODUCT(分期持仓明细!$B$24:$AA$24,'实盘净值数据(iFinD公式)'!$B612:$AA612/'实盘净值数据(iFinD公式)'!$B$65:$AA$65)*(1-实盘持仓初始配置!$Z$8)^(('实盘净值数据(iFinD公式)'!$A612-'实盘净值数据(iFinD公式)'!$A$5)/365))</x:f>
        <x:v>#NAME?</x:v>
      </x:c>
      <x:c r="O612" s="152" t="e">
        <x:f>IF(OR(N611="",N612=""),"",N612/N611-1)</x:f>
        <x:v>#NAME?</x:v>
      </x:c>
      <x:c r="P612" s="152" t="e">
        <x:f>IF(N612="","",N612/MAX(N$5:N612)-1)</x:f>
        <x:v>#NAME?</x:v>
      </x:c>
      <x:c r="Q612" s="146" t="e">
        <x:f>IF(OR('实盘净值数据(iFinD公式)'!$A612="",'实盘净值数据(iFinD公式)'!$B612=""),"",分期持仓明细!$AD$25*SUMPRODUCT(分期持仓明细!$B$25:$AA$25,'实盘净值数据(iFinD公式)'!$B612:$AA612/'实盘净值数据(iFinD公式)'!$B$65:$AA$65)*(1-实盘持仓初始配置!$Z$9)^(('实盘净值数据(iFinD公式)'!$A612-'实盘净值数据(iFinD公式)'!$A$8)/365))</x:f>
        <x:v>#NAME?</x:v>
      </x:c>
      <x:c r="R612" s="152" t="e">
        <x:f>IF(OR(Q611="",Q612=""),"",Q612/Q611-1)</x:f>
        <x:v>#NAME?</x:v>
      </x:c>
      <x:c r="S612" s="152" t="e">
        <x:f>IF(Q612="","",Q612/MAX(Q$5:Q612)-1)</x:f>
        <x:v>#NAME?</x:v>
      </x:c>
    </x:row>
    <x:row r="613">
      <x:c r="A613" s="149" t="str">
        <x:f>IF('实盘净值数据(iFinD公式)'!A613="","",'实盘净值数据(iFinD公式)'!A613)</x:f>
      </x:c>
      <x:c r="B613" s="146" t="e">
        <x:f>IF(OR('实盘净值数据(iFinD公式)'!$A613="",'实盘净值数据(iFinD公式)'!$B613=""),"",分期持仓明细!$AD$17*SUMPRODUCT(分期持仓明细!$B$17:$AA$17,'实盘净值数据(iFinD公式)'!$B613:$AA613/'实盘净值数据(iFinD公式)'!$B$20:$AA$20)*(1-实盘持仓初始配置!$Z$4)^(('实盘净值数据(iFinD公式)'!$A613-'实盘净值数据(iFinD公式)'!$A$6)/365))</x:f>
        <x:v>#NAME?</x:v>
      </x:c>
      <x:c r="C613" s="152" t="e">
        <x:f>IF(OR(B612="",B613=""),"",B613/B612-1)</x:f>
        <x:v>#NAME?</x:v>
      </x:c>
      <x:c r="D613" s="152" t="e">
        <x:f>IF(B613="","",B613/MAX(B$5:B613)-1)</x:f>
        <x:v>#NAME?</x:v>
      </x:c>
      <x:c r="E613" s="146" t="e">
        <x:f>IF(OR('实盘净值数据(iFinD公式)'!$A613="",'实盘净值数据(iFinD公式)'!$B613=""),"",分期持仓明细!$AD$18*SUMPRODUCT(分期持仓明细!$B$18:$AA$18,'实盘净值数据(iFinD公式)'!$B613:$AA613/'实盘净值数据(iFinD公式)'!$B$20:$AA$20)*(1-实盘持仓初始配置!$Z$5)^(('实盘净值数据(iFinD公式)'!$A613-'实盘净值数据(iFinD公式)'!$A$5)/365))</x:f>
        <x:v>#NAME?</x:v>
      </x:c>
      <x:c r="F613" s="152" t="e">
        <x:f>IF(OR(E612="",E613=""),"",E613/E612-1)</x:f>
        <x:v>#NAME?</x:v>
      </x:c>
      <x:c r="G613" s="152" t="e">
        <x:f>IF(E613="","",E613/MAX(E$5:E613)-1)</x:f>
        <x:v>#NAME?</x:v>
      </x:c>
      <x:c r="H613" s="146" t="e">
        <x:f>IF(OR('实盘净值数据(iFinD公式)'!$A613="",'实盘净值数据(iFinD公式)'!$B613=""),"",分期持仓明细!$AD$19*SUMPRODUCT(分期持仓明细!$B$19:$AA$19,'实盘净值数据(iFinD公式)'!$B613:$AA613/'实盘净值数据(iFinD公式)'!$B$20:$AA$20)*(1-实盘持仓初始配置!$Z$6)^(('实盘净值数据(iFinD公式)'!$A613-'实盘净值数据(iFinD公式)'!$A$7)/365))</x:f>
        <x:v>#NAME?</x:v>
      </x:c>
      <x:c r="I613" s="152" t="e">
        <x:f>IF(OR(H612="",H613=""),"",H613/H612-1)</x:f>
        <x:v>#NAME?</x:v>
      </x:c>
      <x:c r="J613" s="152" t="e">
        <x:f>IF(H613="","",H613/MAX(H$5:H613)-1)</x:f>
        <x:v>#NAME?</x:v>
      </x:c>
      <x:c r="K613" s="146" t="e">
        <x:f>IF(OR('实盘净值数据(iFinD公式)'!$A613="",'实盘净值数据(iFinD公式)'!$B613=""),"",分期持仓明细!$AD$23*SUMPRODUCT(分期持仓明细!$B$23:$AA$23,'实盘净值数据(iFinD公式)'!$B613:$AA613/'实盘净值数据(iFinD公式)'!$B$65:$AA$65)*(1-实盘持仓初始配置!$Z$7)^(('实盘净值数据(iFinD公式)'!$A613-'实盘净值数据(iFinD公式)'!$A$8)/365))</x:f>
        <x:v>#NAME?</x:v>
      </x:c>
      <x:c r="L613" s="152" t="e">
        <x:f>IF(OR(K612="",K613=""),"",K613/K612-1)</x:f>
        <x:v>#NAME?</x:v>
      </x:c>
      <x:c r="M613" s="152" t="e">
        <x:f>IF(K613="","",K613/MAX(K$5:K613)-1)</x:f>
        <x:v>#NAME?</x:v>
      </x:c>
      <x:c r="N613" s="146" t="e">
        <x:f>IF(OR('实盘净值数据(iFinD公式)'!$A613="",'实盘净值数据(iFinD公式)'!$B613=""),"",分期持仓明细!$AD$24*SUMPRODUCT(分期持仓明细!$B$24:$AA$24,'实盘净值数据(iFinD公式)'!$B613:$AA613/'实盘净值数据(iFinD公式)'!$B$65:$AA$65)*(1-实盘持仓初始配置!$Z$8)^(('实盘净值数据(iFinD公式)'!$A613-'实盘净值数据(iFinD公式)'!$A$5)/365))</x:f>
        <x:v>#NAME?</x:v>
      </x:c>
      <x:c r="O613" s="152" t="e">
        <x:f>IF(OR(N612="",N613=""),"",N613/N612-1)</x:f>
        <x:v>#NAME?</x:v>
      </x:c>
      <x:c r="P613" s="152" t="e">
        <x:f>IF(N613="","",N613/MAX(N$5:N613)-1)</x:f>
        <x:v>#NAME?</x:v>
      </x:c>
      <x:c r="Q613" s="146" t="e">
        <x:f>IF(OR('实盘净值数据(iFinD公式)'!$A613="",'实盘净值数据(iFinD公式)'!$B613=""),"",分期持仓明细!$AD$25*SUMPRODUCT(分期持仓明细!$B$25:$AA$25,'实盘净值数据(iFinD公式)'!$B613:$AA613/'实盘净值数据(iFinD公式)'!$B$65:$AA$65)*(1-实盘持仓初始配置!$Z$9)^(('实盘净值数据(iFinD公式)'!$A613-'实盘净值数据(iFinD公式)'!$A$8)/365))</x:f>
        <x:v>#NAME?</x:v>
      </x:c>
      <x:c r="R613" s="152" t="e">
        <x:f>IF(OR(Q612="",Q613=""),"",Q613/Q612-1)</x:f>
        <x:v>#NAME?</x:v>
      </x:c>
      <x:c r="S613" s="152" t="e">
        <x:f>IF(Q613="","",Q613/MAX(Q$5:Q613)-1)</x:f>
        <x:v>#NAME?</x:v>
      </x:c>
    </x:row>
    <x:row r="614">
      <x:c r="A614" s="149" t="str">
        <x:f>IF('实盘净值数据(iFinD公式)'!A614="","",'实盘净值数据(iFinD公式)'!A614)</x:f>
      </x:c>
      <x:c r="B614" s="146" t="e">
        <x:f>IF(OR('实盘净值数据(iFinD公式)'!$A614="",'实盘净值数据(iFinD公式)'!$B614=""),"",分期持仓明细!$AD$17*SUMPRODUCT(分期持仓明细!$B$17:$AA$17,'实盘净值数据(iFinD公式)'!$B614:$AA614/'实盘净值数据(iFinD公式)'!$B$20:$AA$20)*(1-实盘持仓初始配置!$Z$4)^(('实盘净值数据(iFinD公式)'!$A614-'实盘净值数据(iFinD公式)'!$A$6)/365))</x:f>
        <x:v>#NAME?</x:v>
      </x:c>
      <x:c r="C614" s="152" t="e">
        <x:f>IF(OR(B613="",B614=""),"",B614/B613-1)</x:f>
        <x:v>#NAME?</x:v>
      </x:c>
      <x:c r="D614" s="152" t="e">
        <x:f>IF(B614="","",B614/MAX(B$5:B614)-1)</x:f>
        <x:v>#NAME?</x:v>
      </x:c>
      <x:c r="E614" s="146" t="e">
        <x:f>IF(OR('实盘净值数据(iFinD公式)'!$A614="",'实盘净值数据(iFinD公式)'!$B614=""),"",分期持仓明细!$AD$18*SUMPRODUCT(分期持仓明细!$B$18:$AA$18,'实盘净值数据(iFinD公式)'!$B614:$AA614/'实盘净值数据(iFinD公式)'!$B$20:$AA$20)*(1-实盘持仓初始配置!$Z$5)^(('实盘净值数据(iFinD公式)'!$A614-'实盘净值数据(iFinD公式)'!$A$5)/365))</x:f>
        <x:v>#NAME?</x:v>
      </x:c>
      <x:c r="F614" s="152" t="e">
        <x:f>IF(OR(E613="",E614=""),"",E614/E613-1)</x:f>
        <x:v>#NAME?</x:v>
      </x:c>
      <x:c r="G614" s="152" t="e">
        <x:f>IF(E614="","",E614/MAX(E$5:E614)-1)</x:f>
        <x:v>#NAME?</x:v>
      </x:c>
      <x:c r="H614" s="146" t="e">
        <x:f>IF(OR('实盘净值数据(iFinD公式)'!$A614="",'实盘净值数据(iFinD公式)'!$B614=""),"",分期持仓明细!$AD$19*SUMPRODUCT(分期持仓明细!$B$19:$AA$19,'实盘净值数据(iFinD公式)'!$B614:$AA614/'实盘净值数据(iFinD公式)'!$B$20:$AA$20)*(1-实盘持仓初始配置!$Z$6)^(('实盘净值数据(iFinD公式)'!$A614-'实盘净值数据(iFinD公式)'!$A$7)/365))</x:f>
        <x:v>#NAME?</x:v>
      </x:c>
      <x:c r="I614" s="152" t="e">
        <x:f>IF(OR(H613="",H614=""),"",H614/H613-1)</x:f>
        <x:v>#NAME?</x:v>
      </x:c>
      <x:c r="J614" s="152" t="e">
        <x:f>IF(H614="","",H614/MAX(H$5:H614)-1)</x:f>
        <x:v>#NAME?</x:v>
      </x:c>
      <x:c r="K614" s="146" t="e">
        <x:f>IF(OR('实盘净值数据(iFinD公式)'!$A614="",'实盘净值数据(iFinD公式)'!$B614=""),"",分期持仓明细!$AD$23*SUMPRODUCT(分期持仓明细!$B$23:$AA$23,'实盘净值数据(iFinD公式)'!$B614:$AA614/'实盘净值数据(iFinD公式)'!$B$65:$AA$65)*(1-实盘持仓初始配置!$Z$7)^(('实盘净值数据(iFinD公式)'!$A614-'实盘净值数据(iFinD公式)'!$A$8)/365))</x:f>
        <x:v>#NAME?</x:v>
      </x:c>
      <x:c r="L614" s="152" t="e">
        <x:f>IF(OR(K613="",K614=""),"",K614/K613-1)</x:f>
        <x:v>#NAME?</x:v>
      </x:c>
      <x:c r="M614" s="152" t="e">
        <x:f>IF(K614="","",K614/MAX(K$5:K614)-1)</x:f>
        <x:v>#NAME?</x:v>
      </x:c>
      <x:c r="N614" s="146" t="e">
        <x:f>IF(OR('实盘净值数据(iFinD公式)'!$A614="",'实盘净值数据(iFinD公式)'!$B614=""),"",分期持仓明细!$AD$24*SUMPRODUCT(分期持仓明细!$B$24:$AA$24,'实盘净值数据(iFinD公式)'!$B614:$AA614/'实盘净值数据(iFinD公式)'!$B$65:$AA$65)*(1-实盘持仓初始配置!$Z$8)^(('实盘净值数据(iFinD公式)'!$A614-'实盘净值数据(iFinD公式)'!$A$5)/365))</x:f>
        <x:v>#NAME?</x:v>
      </x:c>
      <x:c r="O614" s="152" t="e">
        <x:f>IF(OR(N613="",N614=""),"",N614/N613-1)</x:f>
        <x:v>#NAME?</x:v>
      </x:c>
      <x:c r="P614" s="152" t="e">
        <x:f>IF(N614="","",N614/MAX(N$5:N614)-1)</x:f>
        <x:v>#NAME?</x:v>
      </x:c>
      <x:c r="Q614" s="146" t="e">
        <x:f>IF(OR('实盘净值数据(iFinD公式)'!$A614="",'实盘净值数据(iFinD公式)'!$B614=""),"",分期持仓明细!$AD$25*SUMPRODUCT(分期持仓明细!$B$25:$AA$25,'实盘净值数据(iFinD公式)'!$B614:$AA614/'实盘净值数据(iFinD公式)'!$B$65:$AA$65)*(1-实盘持仓初始配置!$Z$9)^(('实盘净值数据(iFinD公式)'!$A614-'实盘净值数据(iFinD公式)'!$A$8)/365))</x:f>
        <x:v>#NAME?</x:v>
      </x:c>
      <x:c r="R614" s="152" t="e">
        <x:f>IF(OR(Q613="",Q614=""),"",Q614/Q613-1)</x:f>
        <x:v>#NAME?</x:v>
      </x:c>
      <x:c r="S614" s="152" t="e">
        <x:f>IF(Q614="","",Q614/MAX(Q$5:Q614)-1)</x:f>
        <x:v>#NAME?</x:v>
      </x:c>
    </x:row>
    <x:row r="615">
      <x:c r="A615" s="149" t="str">
        <x:f>IF('实盘净值数据(iFinD公式)'!A615="","",'实盘净值数据(iFinD公式)'!A615)</x:f>
      </x:c>
      <x:c r="B615" s="146" t="e">
        <x:f>IF(OR('实盘净值数据(iFinD公式)'!$A615="",'实盘净值数据(iFinD公式)'!$B615=""),"",分期持仓明细!$AD$17*SUMPRODUCT(分期持仓明细!$B$17:$AA$17,'实盘净值数据(iFinD公式)'!$B615:$AA615/'实盘净值数据(iFinD公式)'!$B$20:$AA$20)*(1-实盘持仓初始配置!$Z$4)^(('实盘净值数据(iFinD公式)'!$A615-'实盘净值数据(iFinD公式)'!$A$6)/365))</x:f>
        <x:v>#NAME?</x:v>
      </x:c>
      <x:c r="C615" s="152" t="e">
        <x:f>IF(OR(B614="",B615=""),"",B615/B614-1)</x:f>
        <x:v>#NAME?</x:v>
      </x:c>
      <x:c r="D615" s="152" t="e">
        <x:f>IF(B615="","",B615/MAX(B$5:B615)-1)</x:f>
        <x:v>#NAME?</x:v>
      </x:c>
      <x:c r="E615" s="146" t="e">
        <x:f>IF(OR('实盘净值数据(iFinD公式)'!$A615="",'实盘净值数据(iFinD公式)'!$B615=""),"",分期持仓明细!$AD$18*SUMPRODUCT(分期持仓明细!$B$18:$AA$18,'实盘净值数据(iFinD公式)'!$B615:$AA615/'实盘净值数据(iFinD公式)'!$B$20:$AA$20)*(1-实盘持仓初始配置!$Z$5)^(('实盘净值数据(iFinD公式)'!$A615-'实盘净值数据(iFinD公式)'!$A$5)/365))</x:f>
        <x:v>#NAME?</x:v>
      </x:c>
      <x:c r="F615" s="152" t="e">
        <x:f>IF(OR(E614="",E615=""),"",E615/E614-1)</x:f>
        <x:v>#NAME?</x:v>
      </x:c>
      <x:c r="G615" s="152" t="e">
        <x:f>IF(E615="","",E615/MAX(E$5:E615)-1)</x:f>
        <x:v>#NAME?</x:v>
      </x:c>
      <x:c r="H615" s="146" t="e">
        <x:f>IF(OR('实盘净值数据(iFinD公式)'!$A615="",'实盘净值数据(iFinD公式)'!$B615=""),"",分期持仓明细!$AD$19*SUMPRODUCT(分期持仓明细!$B$19:$AA$19,'实盘净值数据(iFinD公式)'!$B615:$AA615/'实盘净值数据(iFinD公式)'!$B$20:$AA$20)*(1-实盘持仓初始配置!$Z$6)^(('实盘净值数据(iFinD公式)'!$A615-'实盘净值数据(iFinD公式)'!$A$7)/365))</x:f>
        <x:v>#NAME?</x:v>
      </x:c>
      <x:c r="I615" s="152" t="e">
        <x:f>IF(OR(H614="",H615=""),"",H615/H614-1)</x:f>
        <x:v>#NAME?</x:v>
      </x:c>
      <x:c r="J615" s="152" t="e">
        <x:f>IF(H615="","",H615/MAX(H$5:H615)-1)</x:f>
        <x:v>#NAME?</x:v>
      </x:c>
      <x:c r="K615" s="146" t="e">
        <x:f>IF(OR('实盘净值数据(iFinD公式)'!$A615="",'实盘净值数据(iFinD公式)'!$B615=""),"",分期持仓明细!$AD$23*SUMPRODUCT(分期持仓明细!$B$23:$AA$23,'实盘净值数据(iFinD公式)'!$B615:$AA615/'实盘净值数据(iFinD公式)'!$B$65:$AA$65)*(1-实盘持仓初始配置!$Z$7)^(('实盘净值数据(iFinD公式)'!$A615-'实盘净值数据(iFinD公式)'!$A$8)/365))</x:f>
        <x:v>#NAME?</x:v>
      </x:c>
      <x:c r="L615" s="152" t="e">
        <x:f>IF(OR(K614="",K615=""),"",K615/K614-1)</x:f>
        <x:v>#NAME?</x:v>
      </x:c>
      <x:c r="M615" s="152" t="e">
        <x:f>IF(K615="","",K615/MAX(K$5:K615)-1)</x:f>
        <x:v>#NAME?</x:v>
      </x:c>
      <x:c r="N615" s="146" t="e">
        <x:f>IF(OR('实盘净值数据(iFinD公式)'!$A615="",'实盘净值数据(iFinD公式)'!$B615=""),"",分期持仓明细!$AD$24*SUMPRODUCT(分期持仓明细!$B$24:$AA$24,'实盘净值数据(iFinD公式)'!$B615:$AA615/'实盘净值数据(iFinD公式)'!$B$65:$AA$65)*(1-实盘持仓初始配置!$Z$8)^(('实盘净值数据(iFinD公式)'!$A615-'实盘净值数据(iFinD公式)'!$A$5)/365))</x:f>
        <x:v>#NAME?</x:v>
      </x:c>
      <x:c r="O615" s="152" t="e">
        <x:f>IF(OR(N614="",N615=""),"",N615/N614-1)</x:f>
        <x:v>#NAME?</x:v>
      </x:c>
      <x:c r="P615" s="152" t="e">
        <x:f>IF(N615="","",N615/MAX(N$5:N615)-1)</x:f>
        <x:v>#NAME?</x:v>
      </x:c>
      <x:c r="Q615" s="146" t="e">
        <x:f>IF(OR('实盘净值数据(iFinD公式)'!$A615="",'实盘净值数据(iFinD公式)'!$B615=""),"",分期持仓明细!$AD$25*SUMPRODUCT(分期持仓明细!$B$25:$AA$25,'实盘净值数据(iFinD公式)'!$B615:$AA615/'实盘净值数据(iFinD公式)'!$B$65:$AA$65)*(1-实盘持仓初始配置!$Z$9)^(('实盘净值数据(iFinD公式)'!$A615-'实盘净值数据(iFinD公式)'!$A$8)/365))</x:f>
        <x:v>#NAME?</x:v>
      </x:c>
      <x:c r="R615" s="152" t="e">
        <x:f>IF(OR(Q614="",Q615=""),"",Q615/Q614-1)</x:f>
        <x:v>#NAME?</x:v>
      </x:c>
      <x:c r="S615" s="152" t="e">
        <x:f>IF(Q615="","",Q615/MAX(Q$5:Q615)-1)</x:f>
        <x:v>#NAME?</x:v>
      </x:c>
    </x:row>
    <x:row r="616">
      <x:c r="A616" s="149" t="str">
        <x:f>IF('实盘净值数据(iFinD公式)'!A616="","",'实盘净值数据(iFinD公式)'!A616)</x:f>
      </x:c>
      <x:c r="B616" s="146" t="e">
        <x:f>IF(OR('实盘净值数据(iFinD公式)'!$A616="",'实盘净值数据(iFinD公式)'!$B616=""),"",分期持仓明细!$AD$17*SUMPRODUCT(分期持仓明细!$B$17:$AA$17,'实盘净值数据(iFinD公式)'!$B616:$AA616/'实盘净值数据(iFinD公式)'!$B$20:$AA$20)*(1-实盘持仓初始配置!$Z$4)^(('实盘净值数据(iFinD公式)'!$A616-'实盘净值数据(iFinD公式)'!$A$6)/365))</x:f>
        <x:v>#NAME?</x:v>
      </x:c>
      <x:c r="C616" s="152" t="e">
        <x:f>IF(OR(B615="",B616=""),"",B616/B615-1)</x:f>
        <x:v>#NAME?</x:v>
      </x:c>
      <x:c r="D616" s="152" t="e">
        <x:f>IF(B616="","",B616/MAX(B$5:B616)-1)</x:f>
        <x:v>#NAME?</x:v>
      </x:c>
      <x:c r="E616" s="146" t="e">
        <x:f>IF(OR('实盘净值数据(iFinD公式)'!$A616="",'实盘净值数据(iFinD公式)'!$B616=""),"",分期持仓明细!$AD$18*SUMPRODUCT(分期持仓明细!$B$18:$AA$18,'实盘净值数据(iFinD公式)'!$B616:$AA616/'实盘净值数据(iFinD公式)'!$B$20:$AA$20)*(1-实盘持仓初始配置!$Z$5)^(('实盘净值数据(iFinD公式)'!$A616-'实盘净值数据(iFinD公式)'!$A$5)/365))</x:f>
        <x:v>#NAME?</x:v>
      </x:c>
      <x:c r="F616" s="152" t="e">
        <x:f>IF(OR(E615="",E616=""),"",E616/E615-1)</x:f>
        <x:v>#NAME?</x:v>
      </x:c>
      <x:c r="G616" s="152" t="e">
        <x:f>IF(E616="","",E616/MAX(E$5:E616)-1)</x:f>
        <x:v>#NAME?</x:v>
      </x:c>
      <x:c r="H616" s="146" t="e">
        <x:f>IF(OR('实盘净值数据(iFinD公式)'!$A616="",'实盘净值数据(iFinD公式)'!$B616=""),"",分期持仓明细!$AD$19*SUMPRODUCT(分期持仓明细!$B$19:$AA$19,'实盘净值数据(iFinD公式)'!$B616:$AA616/'实盘净值数据(iFinD公式)'!$B$20:$AA$20)*(1-实盘持仓初始配置!$Z$6)^(('实盘净值数据(iFinD公式)'!$A616-'实盘净值数据(iFinD公式)'!$A$7)/365))</x:f>
        <x:v>#NAME?</x:v>
      </x:c>
      <x:c r="I616" s="152" t="e">
        <x:f>IF(OR(H615="",H616=""),"",H616/H615-1)</x:f>
        <x:v>#NAME?</x:v>
      </x:c>
      <x:c r="J616" s="152" t="e">
        <x:f>IF(H616="","",H616/MAX(H$5:H616)-1)</x:f>
        <x:v>#NAME?</x:v>
      </x:c>
      <x:c r="K616" s="146" t="e">
        <x:f>IF(OR('实盘净值数据(iFinD公式)'!$A616="",'实盘净值数据(iFinD公式)'!$B616=""),"",分期持仓明细!$AD$23*SUMPRODUCT(分期持仓明细!$B$23:$AA$23,'实盘净值数据(iFinD公式)'!$B616:$AA616/'实盘净值数据(iFinD公式)'!$B$65:$AA$65)*(1-实盘持仓初始配置!$Z$7)^(('实盘净值数据(iFinD公式)'!$A616-'实盘净值数据(iFinD公式)'!$A$8)/365))</x:f>
        <x:v>#NAME?</x:v>
      </x:c>
      <x:c r="L616" s="152" t="e">
        <x:f>IF(OR(K615="",K616=""),"",K616/K615-1)</x:f>
        <x:v>#NAME?</x:v>
      </x:c>
      <x:c r="M616" s="152" t="e">
        <x:f>IF(K616="","",K616/MAX(K$5:K616)-1)</x:f>
        <x:v>#NAME?</x:v>
      </x:c>
      <x:c r="N616" s="146" t="e">
        <x:f>IF(OR('实盘净值数据(iFinD公式)'!$A616="",'实盘净值数据(iFinD公式)'!$B616=""),"",分期持仓明细!$AD$24*SUMPRODUCT(分期持仓明细!$B$24:$AA$24,'实盘净值数据(iFinD公式)'!$B616:$AA616/'实盘净值数据(iFinD公式)'!$B$65:$AA$65)*(1-实盘持仓初始配置!$Z$8)^(('实盘净值数据(iFinD公式)'!$A616-'实盘净值数据(iFinD公式)'!$A$5)/365))</x:f>
        <x:v>#NAME?</x:v>
      </x:c>
      <x:c r="O616" s="152" t="e">
        <x:f>IF(OR(N615="",N616=""),"",N616/N615-1)</x:f>
        <x:v>#NAME?</x:v>
      </x:c>
      <x:c r="P616" s="152" t="e">
        <x:f>IF(N616="","",N616/MAX(N$5:N616)-1)</x:f>
        <x:v>#NAME?</x:v>
      </x:c>
      <x:c r="Q616" s="146" t="e">
        <x:f>IF(OR('实盘净值数据(iFinD公式)'!$A616="",'实盘净值数据(iFinD公式)'!$B616=""),"",分期持仓明细!$AD$25*SUMPRODUCT(分期持仓明细!$B$25:$AA$25,'实盘净值数据(iFinD公式)'!$B616:$AA616/'实盘净值数据(iFinD公式)'!$B$65:$AA$65)*(1-实盘持仓初始配置!$Z$9)^(('实盘净值数据(iFinD公式)'!$A616-'实盘净值数据(iFinD公式)'!$A$8)/365))</x:f>
        <x:v>#NAME?</x:v>
      </x:c>
      <x:c r="R616" s="152" t="e">
        <x:f>IF(OR(Q615="",Q616=""),"",Q616/Q615-1)</x:f>
        <x:v>#NAME?</x:v>
      </x:c>
      <x:c r="S616" s="152" t="e">
        <x:f>IF(Q616="","",Q616/MAX(Q$5:Q616)-1)</x:f>
        <x:v>#NAME?</x:v>
      </x:c>
    </x:row>
    <x:row r="617">
      <x:c r="A617" s="149" t="str">
        <x:f>IF('实盘净值数据(iFinD公式)'!A617="","",'实盘净值数据(iFinD公式)'!A617)</x:f>
      </x:c>
      <x:c r="B617" s="146" t="e">
        <x:f>IF(OR('实盘净值数据(iFinD公式)'!$A617="",'实盘净值数据(iFinD公式)'!$B617=""),"",分期持仓明细!$AD$17*SUMPRODUCT(分期持仓明细!$B$17:$AA$17,'实盘净值数据(iFinD公式)'!$B617:$AA617/'实盘净值数据(iFinD公式)'!$B$20:$AA$20)*(1-实盘持仓初始配置!$Z$4)^(('实盘净值数据(iFinD公式)'!$A617-'实盘净值数据(iFinD公式)'!$A$6)/365))</x:f>
        <x:v>#NAME?</x:v>
      </x:c>
      <x:c r="C617" s="152" t="e">
        <x:f>IF(OR(B616="",B617=""),"",B617/B616-1)</x:f>
        <x:v>#NAME?</x:v>
      </x:c>
      <x:c r="D617" s="152" t="e">
        <x:f>IF(B617="","",B617/MAX(B$5:B617)-1)</x:f>
        <x:v>#NAME?</x:v>
      </x:c>
      <x:c r="E617" s="146" t="e">
        <x:f>IF(OR('实盘净值数据(iFinD公式)'!$A617="",'实盘净值数据(iFinD公式)'!$B617=""),"",分期持仓明细!$AD$18*SUMPRODUCT(分期持仓明细!$B$18:$AA$18,'实盘净值数据(iFinD公式)'!$B617:$AA617/'实盘净值数据(iFinD公式)'!$B$20:$AA$20)*(1-实盘持仓初始配置!$Z$5)^(('实盘净值数据(iFinD公式)'!$A617-'实盘净值数据(iFinD公式)'!$A$5)/365))</x:f>
        <x:v>#NAME?</x:v>
      </x:c>
      <x:c r="F617" s="152" t="e">
        <x:f>IF(OR(E616="",E617=""),"",E617/E616-1)</x:f>
        <x:v>#NAME?</x:v>
      </x:c>
      <x:c r="G617" s="152" t="e">
        <x:f>IF(E617="","",E617/MAX(E$5:E617)-1)</x:f>
        <x:v>#NAME?</x:v>
      </x:c>
      <x:c r="H617" s="146" t="e">
        <x:f>IF(OR('实盘净值数据(iFinD公式)'!$A617="",'实盘净值数据(iFinD公式)'!$B617=""),"",分期持仓明细!$AD$19*SUMPRODUCT(分期持仓明细!$B$19:$AA$19,'实盘净值数据(iFinD公式)'!$B617:$AA617/'实盘净值数据(iFinD公式)'!$B$20:$AA$20)*(1-实盘持仓初始配置!$Z$6)^(('实盘净值数据(iFinD公式)'!$A617-'实盘净值数据(iFinD公式)'!$A$7)/365))</x:f>
        <x:v>#NAME?</x:v>
      </x:c>
      <x:c r="I617" s="152" t="e">
        <x:f>IF(OR(H616="",H617=""),"",H617/H616-1)</x:f>
        <x:v>#NAME?</x:v>
      </x:c>
      <x:c r="J617" s="152" t="e">
        <x:f>IF(H617="","",H617/MAX(H$5:H617)-1)</x:f>
        <x:v>#NAME?</x:v>
      </x:c>
      <x:c r="K617" s="146" t="e">
        <x:f>IF(OR('实盘净值数据(iFinD公式)'!$A617="",'实盘净值数据(iFinD公式)'!$B617=""),"",分期持仓明细!$AD$23*SUMPRODUCT(分期持仓明细!$B$23:$AA$23,'实盘净值数据(iFinD公式)'!$B617:$AA617/'实盘净值数据(iFinD公式)'!$B$65:$AA$65)*(1-实盘持仓初始配置!$Z$7)^(('实盘净值数据(iFinD公式)'!$A617-'实盘净值数据(iFinD公式)'!$A$8)/365))</x:f>
        <x:v>#NAME?</x:v>
      </x:c>
      <x:c r="L617" s="152" t="e">
        <x:f>IF(OR(K616="",K617=""),"",K617/K616-1)</x:f>
        <x:v>#NAME?</x:v>
      </x:c>
      <x:c r="M617" s="152" t="e">
        <x:f>IF(K617="","",K617/MAX(K$5:K617)-1)</x:f>
        <x:v>#NAME?</x:v>
      </x:c>
      <x:c r="N617" s="146" t="e">
        <x:f>IF(OR('实盘净值数据(iFinD公式)'!$A617="",'实盘净值数据(iFinD公式)'!$B617=""),"",分期持仓明细!$AD$24*SUMPRODUCT(分期持仓明细!$B$24:$AA$24,'实盘净值数据(iFinD公式)'!$B617:$AA617/'实盘净值数据(iFinD公式)'!$B$65:$AA$65)*(1-实盘持仓初始配置!$Z$8)^(('实盘净值数据(iFinD公式)'!$A617-'实盘净值数据(iFinD公式)'!$A$5)/365))</x:f>
        <x:v>#NAME?</x:v>
      </x:c>
      <x:c r="O617" s="152" t="e">
        <x:f>IF(OR(N616="",N617=""),"",N617/N616-1)</x:f>
        <x:v>#NAME?</x:v>
      </x:c>
      <x:c r="P617" s="152" t="e">
        <x:f>IF(N617="","",N617/MAX(N$5:N617)-1)</x:f>
        <x:v>#NAME?</x:v>
      </x:c>
      <x:c r="Q617" s="146" t="e">
        <x:f>IF(OR('实盘净值数据(iFinD公式)'!$A617="",'实盘净值数据(iFinD公式)'!$B617=""),"",分期持仓明细!$AD$25*SUMPRODUCT(分期持仓明细!$B$25:$AA$25,'实盘净值数据(iFinD公式)'!$B617:$AA617/'实盘净值数据(iFinD公式)'!$B$65:$AA$65)*(1-实盘持仓初始配置!$Z$9)^(('实盘净值数据(iFinD公式)'!$A617-'实盘净值数据(iFinD公式)'!$A$8)/365))</x:f>
        <x:v>#NAME?</x:v>
      </x:c>
      <x:c r="R617" s="152" t="e">
        <x:f>IF(OR(Q616="",Q617=""),"",Q617/Q616-1)</x:f>
        <x:v>#NAME?</x:v>
      </x:c>
      <x:c r="S617" s="152" t="e">
        <x:f>IF(Q617="","",Q617/MAX(Q$5:Q617)-1)</x:f>
        <x:v>#NAME?</x:v>
      </x:c>
    </x:row>
    <x:row r="618">
      <x:c r="A618" s="149" t="str">
        <x:f>IF('实盘净值数据(iFinD公式)'!A618="","",'实盘净值数据(iFinD公式)'!A618)</x:f>
      </x:c>
      <x:c r="B618" s="146" t="e">
        <x:f>IF(OR('实盘净值数据(iFinD公式)'!$A618="",'实盘净值数据(iFinD公式)'!$B618=""),"",分期持仓明细!$AD$17*SUMPRODUCT(分期持仓明细!$B$17:$AA$17,'实盘净值数据(iFinD公式)'!$B618:$AA618/'实盘净值数据(iFinD公式)'!$B$20:$AA$20)*(1-实盘持仓初始配置!$Z$4)^(('实盘净值数据(iFinD公式)'!$A618-'实盘净值数据(iFinD公式)'!$A$6)/365))</x:f>
        <x:v>#NAME?</x:v>
      </x:c>
      <x:c r="C618" s="152" t="e">
        <x:f>IF(OR(B617="",B618=""),"",B618/B617-1)</x:f>
        <x:v>#NAME?</x:v>
      </x:c>
      <x:c r="D618" s="152" t="e">
        <x:f>IF(B618="","",B618/MAX(B$5:B618)-1)</x:f>
        <x:v>#NAME?</x:v>
      </x:c>
      <x:c r="E618" s="146" t="e">
        <x:f>IF(OR('实盘净值数据(iFinD公式)'!$A618="",'实盘净值数据(iFinD公式)'!$B618=""),"",分期持仓明细!$AD$18*SUMPRODUCT(分期持仓明细!$B$18:$AA$18,'实盘净值数据(iFinD公式)'!$B618:$AA618/'实盘净值数据(iFinD公式)'!$B$20:$AA$20)*(1-实盘持仓初始配置!$Z$5)^(('实盘净值数据(iFinD公式)'!$A618-'实盘净值数据(iFinD公式)'!$A$5)/365))</x:f>
        <x:v>#NAME?</x:v>
      </x:c>
      <x:c r="F618" s="152" t="e">
        <x:f>IF(OR(E617="",E618=""),"",E618/E617-1)</x:f>
        <x:v>#NAME?</x:v>
      </x:c>
      <x:c r="G618" s="152" t="e">
        <x:f>IF(E618="","",E618/MAX(E$5:E618)-1)</x:f>
        <x:v>#NAME?</x:v>
      </x:c>
      <x:c r="H618" s="146" t="e">
        <x:f>IF(OR('实盘净值数据(iFinD公式)'!$A618="",'实盘净值数据(iFinD公式)'!$B618=""),"",分期持仓明细!$AD$19*SUMPRODUCT(分期持仓明细!$B$19:$AA$19,'实盘净值数据(iFinD公式)'!$B618:$AA618/'实盘净值数据(iFinD公式)'!$B$20:$AA$20)*(1-实盘持仓初始配置!$Z$6)^(('实盘净值数据(iFinD公式)'!$A618-'实盘净值数据(iFinD公式)'!$A$7)/365))</x:f>
        <x:v>#NAME?</x:v>
      </x:c>
      <x:c r="I618" s="152" t="e">
        <x:f>IF(OR(H617="",H618=""),"",H618/H617-1)</x:f>
        <x:v>#NAME?</x:v>
      </x:c>
      <x:c r="J618" s="152" t="e">
        <x:f>IF(H618="","",H618/MAX(H$5:H618)-1)</x:f>
        <x:v>#NAME?</x:v>
      </x:c>
      <x:c r="K618" s="146" t="e">
        <x:f>IF(OR('实盘净值数据(iFinD公式)'!$A618="",'实盘净值数据(iFinD公式)'!$B618=""),"",分期持仓明细!$AD$23*SUMPRODUCT(分期持仓明细!$B$23:$AA$23,'实盘净值数据(iFinD公式)'!$B618:$AA618/'实盘净值数据(iFinD公式)'!$B$65:$AA$65)*(1-实盘持仓初始配置!$Z$7)^(('实盘净值数据(iFinD公式)'!$A618-'实盘净值数据(iFinD公式)'!$A$8)/365))</x:f>
        <x:v>#NAME?</x:v>
      </x:c>
      <x:c r="L618" s="152" t="e">
        <x:f>IF(OR(K617="",K618=""),"",K618/K617-1)</x:f>
        <x:v>#NAME?</x:v>
      </x:c>
      <x:c r="M618" s="152" t="e">
        <x:f>IF(K618="","",K618/MAX(K$5:K618)-1)</x:f>
        <x:v>#NAME?</x:v>
      </x:c>
      <x:c r="N618" s="146" t="e">
        <x:f>IF(OR('实盘净值数据(iFinD公式)'!$A618="",'实盘净值数据(iFinD公式)'!$B618=""),"",分期持仓明细!$AD$24*SUMPRODUCT(分期持仓明细!$B$24:$AA$24,'实盘净值数据(iFinD公式)'!$B618:$AA618/'实盘净值数据(iFinD公式)'!$B$65:$AA$65)*(1-实盘持仓初始配置!$Z$8)^(('实盘净值数据(iFinD公式)'!$A618-'实盘净值数据(iFinD公式)'!$A$5)/365))</x:f>
        <x:v>#NAME?</x:v>
      </x:c>
      <x:c r="O618" s="152" t="e">
        <x:f>IF(OR(N617="",N618=""),"",N618/N617-1)</x:f>
        <x:v>#NAME?</x:v>
      </x:c>
      <x:c r="P618" s="152" t="e">
        <x:f>IF(N618="","",N618/MAX(N$5:N618)-1)</x:f>
        <x:v>#NAME?</x:v>
      </x:c>
      <x:c r="Q618" s="146" t="e">
        <x:f>IF(OR('实盘净值数据(iFinD公式)'!$A618="",'实盘净值数据(iFinD公式)'!$B618=""),"",分期持仓明细!$AD$25*SUMPRODUCT(分期持仓明细!$B$25:$AA$25,'实盘净值数据(iFinD公式)'!$B618:$AA618/'实盘净值数据(iFinD公式)'!$B$65:$AA$65)*(1-实盘持仓初始配置!$Z$9)^(('实盘净值数据(iFinD公式)'!$A618-'实盘净值数据(iFinD公式)'!$A$8)/365))</x:f>
        <x:v>#NAME?</x:v>
      </x:c>
      <x:c r="R618" s="152" t="e">
        <x:f>IF(OR(Q617="",Q618=""),"",Q618/Q617-1)</x:f>
        <x:v>#NAME?</x:v>
      </x:c>
      <x:c r="S618" s="152" t="e">
        <x:f>IF(Q618="","",Q618/MAX(Q$5:Q618)-1)</x:f>
        <x:v>#NAME?</x:v>
      </x:c>
    </x:row>
    <x:row r="619">
      <x:c r="A619" s="149" t="str">
        <x:f>IF('实盘净值数据(iFinD公式)'!A619="","",'实盘净值数据(iFinD公式)'!A619)</x:f>
      </x:c>
      <x:c r="B619" s="146" t="e">
        <x:f>IF(OR('实盘净值数据(iFinD公式)'!$A619="",'实盘净值数据(iFinD公式)'!$B619=""),"",分期持仓明细!$AD$17*SUMPRODUCT(分期持仓明细!$B$17:$AA$17,'实盘净值数据(iFinD公式)'!$B619:$AA619/'实盘净值数据(iFinD公式)'!$B$20:$AA$20)*(1-实盘持仓初始配置!$Z$4)^(('实盘净值数据(iFinD公式)'!$A619-'实盘净值数据(iFinD公式)'!$A$6)/365))</x:f>
        <x:v>#NAME?</x:v>
      </x:c>
      <x:c r="C619" s="152" t="e">
        <x:f>IF(OR(B618="",B619=""),"",B619/B618-1)</x:f>
        <x:v>#NAME?</x:v>
      </x:c>
      <x:c r="D619" s="152" t="e">
        <x:f>IF(B619="","",B619/MAX(B$5:B619)-1)</x:f>
        <x:v>#NAME?</x:v>
      </x:c>
      <x:c r="E619" s="146" t="e">
        <x:f>IF(OR('实盘净值数据(iFinD公式)'!$A619="",'实盘净值数据(iFinD公式)'!$B619=""),"",分期持仓明细!$AD$18*SUMPRODUCT(分期持仓明细!$B$18:$AA$18,'实盘净值数据(iFinD公式)'!$B619:$AA619/'实盘净值数据(iFinD公式)'!$B$20:$AA$20)*(1-实盘持仓初始配置!$Z$5)^(('实盘净值数据(iFinD公式)'!$A619-'实盘净值数据(iFinD公式)'!$A$5)/365))</x:f>
        <x:v>#NAME?</x:v>
      </x:c>
      <x:c r="F619" s="152" t="e">
        <x:f>IF(OR(E618="",E619=""),"",E619/E618-1)</x:f>
        <x:v>#NAME?</x:v>
      </x:c>
      <x:c r="G619" s="152" t="e">
        <x:f>IF(E619="","",E619/MAX(E$5:E619)-1)</x:f>
        <x:v>#NAME?</x:v>
      </x:c>
      <x:c r="H619" s="146" t="e">
        <x:f>IF(OR('实盘净值数据(iFinD公式)'!$A619="",'实盘净值数据(iFinD公式)'!$B619=""),"",分期持仓明细!$AD$19*SUMPRODUCT(分期持仓明细!$B$19:$AA$19,'实盘净值数据(iFinD公式)'!$B619:$AA619/'实盘净值数据(iFinD公式)'!$B$20:$AA$20)*(1-实盘持仓初始配置!$Z$6)^(('实盘净值数据(iFinD公式)'!$A619-'实盘净值数据(iFinD公式)'!$A$7)/365))</x:f>
        <x:v>#NAME?</x:v>
      </x:c>
      <x:c r="I619" s="152" t="e">
        <x:f>IF(OR(H618="",H619=""),"",H619/H618-1)</x:f>
        <x:v>#NAME?</x:v>
      </x:c>
      <x:c r="J619" s="152" t="e">
        <x:f>IF(H619="","",H619/MAX(H$5:H619)-1)</x:f>
        <x:v>#NAME?</x:v>
      </x:c>
      <x:c r="K619" s="146" t="e">
        <x:f>IF(OR('实盘净值数据(iFinD公式)'!$A619="",'实盘净值数据(iFinD公式)'!$B619=""),"",分期持仓明细!$AD$23*SUMPRODUCT(分期持仓明细!$B$23:$AA$23,'实盘净值数据(iFinD公式)'!$B619:$AA619/'实盘净值数据(iFinD公式)'!$B$65:$AA$65)*(1-实盘持仓初始配置!$Z$7)^(('实盘净值数据(iFinD公式)'!$A619-'实盘净值数据(iFinD公式)'!$A$8)/365))</x:f>
        <x:v>#NAME?</x:v>
      </x:c>
      <x:c r="L619" s="152" t="e">
        <x:f>IF(OR(K618="",K619=""),"",K619/K618-1)</x:f>
        <x:v>#NAME?</x:v>
      </x:c>
      <x:c r="M619" s="152" t="e">
        <x:f>IF(K619="","",K619/MAX(K$5:K619)-1)</x:f>
        <x:v>#NAME?</x:v>
      </x:c>
      <x:c r="N619" s="146" t="e">
        <x:f>IF(OR('实盘净值数据(iFinD公式)'!$A619="",'实盘净值数据(iFinD公式)'!$B619=""),"",分期持仓明细!$AD$24*SUMPRODUCT(分期持仓明细!$B$24:$AA$24,'实盘净值数据(iFinD公式)'!$B619:$AA619/'实盘净值数据(iFinD公式)'!$B$65:$AA$65)*(1-实盘持仓初始配置!$Z$8)^(('实盘净值数据(iFinD公式)'!$A619-'实盘净值数据(iFinD公式)'!$A$5)/365))</x:f>
        <x:v>#NAME?</x:v>
      </x:c>
      <x:c r="O619" s="152" t="e">
        <x:f>IF(OR(N618="",N619=""),"",N619/N618-1)</x:f>
        <x:v>#NAME?</x:v>
      </x:c>
      <x:c r="P619" s="152" t="e">
        <x:f>IF(N619="","",N619/MAX(N$5:N619)-1)</x:f>
        <x:v>#NAME?</x:v>
      </x:c>
      <x:c r="Q619" s="146" t="e">
        <x:f>IF(OR('实盘净值数据(iFinD公式)'!$A619="",'实盘净值数据(iFinD公式)'!$B619=""),"",分期持仓明细!$AD$25*SUMPRODUCT(分期持仓明细!$B$25:$AA$25,'实盘净值数据(iFinD公式)'!$B619:$AA619/'实盘净值数据(iFinD公式)'!$B$65:$AA$65)*(1-实盘持仓初始配置!$Z$9)^(('实盘净值数据(iFinD公式)'!$A619-'实盘净值数据(iFinD公式)'!$A$8)/365))</x:f>
        <x:v>#NAME?</x:v>
      </x:c>
      <x:c r="R619" s="152" t="e">
        <x:f>IF(OR(Q618="",Q619=""),"",Q619/Q618-1)</x:f>
        <x:v>#NAME?</x:v>
      </x:c>
      <x:c r="S619" s="152" t="e">
        <x:f>IF(Q619="","",Q619/MAX(Q$5:Q619)-1)</x:f>
        <x:v>#NAME?</x:v>
      </x:c>
    </x:row>
    <x:row r="620">
      <x:c r="A620" s="149" t="str">
        <x:f>IF('实盘净值数据(iFinD公式)'!A620="","",'实盘净值数据(iFinD公式)'!A620)</x:f>
      </x:c>
      <x:c r="B620" s="146" t="e">
        <x:f>IF(OR('实盘净值数据(iFinD公式)'!$A620="",'实盘净值数据(iFinD公式)'!$B620=""),"",分期持仓明细!$AD$17*SUMPRODUCT(分期持仓明细!$B$17:$AA$17,'实盘净值数据(iFinD公式)'!$B620:$AA620/'实盘净值数据(iFinD公式)'!$B$20:$AA$20)*(1-实盘持仓初始配置!$Z$4)^(('实盘净值数据(iFinD公式)'!$A620-'实盘净值数据(iFinD公式)'!$A$6)/365))</x:f>
        <x:v>#NAME?</x:v>
      </x:c>
      <x:c r="C620" s="152" t="e">
        <x:f>IF(OR(B619="",B620=""),"",B620/B619-1)</x:f>
        <x:v>#NAME?</x:v>
      </x:c>
      <x:c r="D620" s="152" t="e">
        <x:f>IF(B620="","",B620/MAX(B$5:B620)-1)</x:f>
        <x:v>#NAME?</x:v>
      </x:c>
      <x:c r="E620" s="146" t="e">
        <x:f>IF(OR('实盘净值数据(iFinD公式)'!$A620="",'实盘净值数据(iFinD公式)'!$B620=""),"",分期持仓明细!$AD$18*SUMPRODUCT(分期持仓明细!$B$18:$AA$18,'实盘净值数据(iFinD公式)'!$B620:$AA620/'实盘净值数据(iFinD公式)'!$B$20:$AA$20)*(1-实盘持仓初始配置!$Z$5)^(('实盘净值数据(iFinD公式)'!$A620-'实盘净值数据(iFinD公式)'!$A$5)/365))</x:f>
        <x:v>#NAME?</x:v>
      </x:c>
      <x:c r="F620" s="152" t="e">
        <x:f>IF(OR(E619="",E620=""),"",E620/E619-1)</x:f>
        <x:v>#NAME?</x:v>
      </x:c>
      <x:c r="G620" s="152" t="e">
        <x:f>IF(E620="","",E620/MAX(E$5:E620)-1)</x:f>
        <x:v>#NAME?</x:v>
      </x:c>
      <x:c r="H620" s="146" t="e">
        <x:f>IF(OR('实盘净值数据(iFinD公式)'!$A620="",'实盘净值数据(iFinD公式)'!$B620=""),"",分期持仓明细!$AD$19*SUMPRODUCT(分期持仓明细!$B$19:$AA$19,'实盘净值数据(iFinD公式)'!$B620:$AA620/'实盘净值数据(iFinD公式)'!$B$20:$AA$20)*(1-实盘持仓初始配置!$Z$6)^(('实盘净值数据(iFinD公式)'!$A620-'实盘净值数据(iFinD公式)'!$A$7)/365))</x:f>
        <x:v>#NAME?</x:v>
      </x:c>
      <x:c r="I620" s="152" t="e">
        <x:f>IF(OR(H619="",H620=""),"",H620/H619-1)</x:f>
        <x:v>#NAME?</x:v>
      </x:c>
      <x:c r="J620" s="152" t="e">
        <x:f>IF(H620="","",H620/MAX(H$5:H620)-1)</x:f>
        <x:v>#NAME?</x:v>
      </x:c>
      <x:c r="K620" s="146" t="e">
        <x:f>IF(OR('实盘净值数据(iFinD公式)'!$A620="",'实盘净值数据(iFinD公式)'!$B620=""),"",分期持仓明细!$AD$23*SUMPRODUCT(分期持仓明细!$B$23:$AA$23,'实盘净值数据(iFinD公式)'!$B620:$AA620/'实盘净值数据(iFinD公式)'!$B$65:$AA$65)*(1-实盘持仓初始配置!$Z$7)^(('实盘净值数据(iFinD公式)'!$A620-'实盘净值数据(iFinD公式)'!$A$8)/365))</x:f>
        <x:v>#NAME?</x:v>
      </x:c>
      <x:c r="L620" s="152" t="e">
        <x:f>IF(OR(K619="",K620=""),"",K620/K619-1)</x:f>
        <x:v>#NAME?</x:v>
      </x:c>
      <x:c r="M620" s="152" t="e">
        <x:f>IF(K620="","",K620/MAX(K$5:K620)-1)</x:f>
        <x:v>#NAME?</x:v>
      </x:c>
      <x:c r="N620" s="146" t="e">
        <x:f>IF(OR('实盘净值数据(iFinD公式)'!$A620="",'实盘净值数据(iFinD公式)'!$B620=""),"",分期持仓明细!$AD$24*SUMPRODUCT(分期持仓明细!$B$24:$AA$24,'实盘净值数据(iFinD公式)'!$B620:$AA620/'实盘净值数据(iFinD公式)'!$B$65:$AA$65)*(1-实盘持仓初始配置!$Z$8)^(('实盘净值数据(iFinD公式)'!$A620-'实盘净值数据(iFinD公式)'!$A$5)/365))</x:f>
        <x:v>#NAME?</x:v>
      </x:c>
      <x:c r="O620" s="152" t="e">
        <x:f>IF(OR(N619="",N620=""),"",N620/N619-1)</x:f>
        <x:v>#NAME?</x:v>
      </x:c>
      <x:c r="P620" s="152" t="e">
        <x:f>IF(N620="","",N620/MAX(N$5:N620)-1)</x:f>
        <x:v>#NAME?</x:v>
      </x:c>
      <x:c r="Q620" s="146" t="e">
        <x:f>IF(OR('实盘净值数据(iFinD公式)'!$A620="",'实盘净值数据(iFinD公式)'!$B620=""),"",分期持仓明细!$AD$25*SUMPRODUCT(分期持仓明细!$B$25:$AA$25,'实盘净值数据(iFinD公式)'!$B620:$AA620/'实盘净值数据(iFinD公式)'!$B$65:$AA$65)*(1-实盘持仓初始配置!$Z$9)^(('实盘净值数据(iFinD公式)'!$A620-'实盘净值数据(iFinD公式)'!$A$8)/365))</x:f>
        <x:v>#NAME?</x:v>
      </x:c>
      <x:c r="R620" s="152" t="e">
        <x:f>IF(OR(Q619="",Q620=""),"",Q620/Q619-1)</x:f>
        <x:v>#NAME?</x:v>
      </x:c>
      <x:c r="S620" s="152" t="e">
        <x:f>IF(Q620="","",Q620/MAX(Q$5:Q620)-1)</x:f>
        <x:v>#NAME?</x:v>
      </x:c>
    </x:row>
    <x:row r="621">
      <x:c r="A621" s="149" t="str">
        <x:f>IF('实盘净值数据(iFinD公式)'!A621="","",'实盘净值数据(iFinD公式)'!A621)</x:f>
      </x:c>
      <x:c r="B621" s="146" t="e">
        <x:f>IF(OR('实盘净值数据(iFinD公式)'!$A621="",'实盘净值数据(iFinD公式)'!$B621=""),"",分期持仓明细!$AD$17*SUMPRODUCT(分期持仓明细!$B$17:$AA$17,'实盘净值数据(iFinD公式)'!$B621:$AA621/'实盘净值数据(iFinD公式)'!$B$20:$AA$20)*(1-实盘持仓初始配置!$Z$4)^(('实盘净值数据(iFinD公式)'!$A621-'实盘净值数据(iFinD公式)'!$A$6)/365))</x:f>
        <x:v>#NAME?</x:v>
      </x:c>
      <x:c r="C621" s="152" t="e">
        <x:f>IF(OR(B620="",B621=""),"",B621/B620-1)</x:f>
        <x:v>#NAME?</x:v>
      </x:c>
      <x:c r="D621" s="152" t="e">
        <x:f>IF(B621="","",B621/MAX(B$5:B621)-1)</x:f>
        <x:v>#NAME?</x:v>
      </x:c>
      <x:c r="E621" s="146" t="e">
        <x:f>IF(OR('实盘净值数据(iFinD公式)'!$A621="",'实盘净值数据(iFinD公式)'!$B621=""),"",分期持仓明细!$AD$18*SUMPRODUCT(分期持仓明细!$B$18:$AA$18,'实盘净值数据(iFinD公式)'!$B621:$AA621/'实盘净值数据(iFinD公式)'!$B$20:$AA$20)*(1-实盘持仓初始配置!$Z$5)^(('实盘净值数据(iFinD公式)'!$A621-'实盘净值数据(iFinD公式)'!$A$5)/365))</x:f>
        <x:v>#NAME?</x:v>
      </x:c>
      <x:c r="F621" s="152" t="e">
        <x:f>IF(OR(E620="",E621=""),"",E621/E620-1)</x:f>
        <x:v>#NAME?</x:v>
      </x:c>
      <x:c r="G621" s="152" t="e">
        <x:f>IF(E621="","",E621/MAX(E$5:E621)-1)</x:f>
        <x:v>#NAME?</x:v>
      </x:c>
      <x:c r="H621" s="146" t="e">
        <x:f>IF(OR('实盘净值数据(iFinD公式)'!$A621="",'实盘净值数据(iFinD公式)'!$B621=""),"",分期持仓明细!$AD$19*SUMPRODUCT(分期持仓明细!$B$19:$AA$19,'实盘净值数据(iFinD公式)'!$B621:$AA621/'实盘净值数据(iFinD公式)'!$B$20:$AA$20)*(1-实盘持仓初始配置!$Z$6)^(('实盘净值数据(iFinD公式)'!$A621-'实盘净值数据(iFinD公式)'!$A$7)/365))</x:f>
        <x:v>#NAME?</x:v>
      </x:c>
      <x:c r="I621" s="152" t="e">
        <x:f>IF(OR(H620="",H621=""),"",H621/H620-1)</x:f>
        <x:v>#NAME?</x:v>
      </x:c>
      <x:c r="J621" s="152" t="e">
        <x:f>IF(H621="","",H621/MAX(H$5:H621)-1)</x:f>
        <x:v>#NAME?</x:v>
      </x:c>
      <x:c r="K621" s="146" t="e">
        <x:f>IF(OR('实盘净值数据(iFinD公式)'!$A621="",'实盘净值数据(iFinD公式)'!$B621=""),"",分期持仓明细!$AD$23*SUMPRODUCT(分期持仓明细!$B$23:$AA$23,'实盘净值数据(iFinD公式)'!$B621:$AA621/'实盘净值数据(iFinD公式)'!$B$65:$AA$65)*(1-实盘持仓初始配置!$Z$7)^(('实盘净值数据(iFinD公式)'!$A621-'实盘净值数据(iFinD公式)'!$A$8)/365))</x:f>
        <x:v>#NAME?</x:v>
      </x:c>
      <x:c r="L621" s="152" t="e">
        <x:f>IF(OR(K620="",K621=""),"",K621/K620-1)</x:f>
        <x:v>#NAME?</x:v>
      </x:c>
      <x:c r="M621" s="152" t="e">
        <x:f>IF(K621="","",K621/MAX(K$5:K621)-1)</x:f>
        <x:v>#NAME?</x:v>
      </x:c>
      <x:c r="N621" s="146" t="e">
        <x:f>IF(OR('实盘净值数据(iFinD公式)'!$A621="",'实盘净值数据(iFinD公式)'!$B621=""),"",分期持仓明细!$AD$24*SUMPRODUCT(分期持仓明细!$B$24:$AA$24,'实盘净值数据(iFinD公式)'!$B621:$AA621/'实盘净值数据(iFinD公式)'!$B$65:$AA$65)*(1-实盘持仓初始配置!$Z$8)^(('实盘净值数据(iFinD公式)'!$A621-'实盘净值数据(iFinD公式)'!$A$5)/365))</x:f>
        <x:v>#NAME?</x:v>
      </x:c>
      <x:c r="O621" s="152" t="e">
        <x:f>IF(OR(N620="",N621=""),"",N621/N620-1)</x:f>
        <x:v>#NAME?</x:v>
      </x:c>
      <x:c r="P621" s="152" t="e">
        <x:f>IF(N621="","",N621/MAX(N$5:N621)-1)</x:f>
        <x:v>#NAME?</x:v>
      </x:c>
      <x:c r="Q621" s="146" t="e">
        <x:f>IF(OR('实盘净值数据(iFinD公式)'!$A621="",'实盘净值数据(iFinD公式)'!$B621=""),"",分期持仓明细!$AD$25*SUMPRODUCT(分期持仓明细!$B$25:$AA$25,'实盘净值数据(iFinD公式)'!$B621:$AA621/'实盘净值数据(iFinD公式)'!$B$65:$AA$65)*(1-实盘持仓初始配置!$Z$9)^(('实盘净值数据(iFinD公式)'!$A621-'实盘净值数据(iFinD公式)'!$A$8)/365))</x:f>
        <x:v>#NAME?</x:v>
      </x:c>
      <x:c r="R621" s="152" t="e">
        <x:f>IF(OR(Q620="",Q621=""),"",Q621/Q620-1)</x:f>
        <x:v>#NAME?</x:v>
      </x:c>
      <x:c r="S621" s="152" t="e">
        <x:f>IF(Q621="","",Q621/MAX(Q$5:Q621)-1)</x:f>
        <x:v>#NAME?</x:v>
      </x:c>
    </x:row>
    <x:row r="622">
      <x:c r="A622" s="149" t="str">
        <x:f>IF('实盘净值数据(iFinD公式)'!A622="","",'实盘净值数据(iFinD公式)'!A622)</x:f>
      </x:c>
      <x:c r="B622" s="146" t="e">
        <x:f>IF(OR('实盘净值数据(iFinD公式)'!$A622="",'实盘净值数据(iFinD公式)'!$B622=""),"",分期持仓明细!$AD$17*SUMPRODUCT(分期持仓明细!$B$17:$AA$17,'实盘净值数据(iFinD公式)'!$B622:$AA622/'实盘净值数据(iFinD公式)'!$B$20:$AA$20)*(1-实盘持仓初始配置!$Z$4)^(('实盘净值数据(iFinD公式)'!$A622-'实盘净值数据(iFinD公式)'!$A$6)/365))</x:f>
        <x:v>#NAME?</x:v>
      </x:c>
      <x:c r="C622" s="152" t="e">
        <x:f>IF(OR(B621="",B622=""),"",B622/B621-1)</x:f>
        <x:v>#NAME?</x:v>
      </x:c>
      <x:c r="D622" s="152" t="e">
        <x:f>IF(B622="","",B622/MAX(B$5:B622)-1)</x:f>
        <x:v>#NAME?</x:v>
      </x:c>
      <x:c r="E622" s="146" t="e">
        <x:f>IF(OR('实盘净值数据(iFinD公式)'!$A622="",'实盘净值数据(iFinD公式)'!$B622=""),"",分期持仓明细!$AD$18*SUMPRODUCT(分期持仓明细!$B$18:$AA$18,'实盘净值数据(iFinD公式)'!$B622:$AA622/'实盘净值数据(iFinD公式)'!$B$20:$AA$20)*(1-实盘持仓初始配置!$Z$5)^(('实盘净值数据(iFinD公式)'!$A622-'实盘净值数据(iFinD公式)'!$A$5)/365))</x:f>
        <x:v>#NAME?</x:v>
      </x:c>
      <x:c r="F622" s="152" t="e">
        <x:f>IF(OR(E621="",E622=""),"",E622/E621-1)</x:f>
        <x:v>#NAME?</x:v>
      </x:c>
      <x:c r="G622" s="152" t="e">
        <x:f>IF(E622="","",E622/MAX(E$5:E622)-1)</x:f>
        <x:v>#NAME?</x:v>
      </x:c>
      <x:c r="H622" s="146" t="e">
        <x:f>IF(OR('实盘净值数据(iFinD公式)'!$A622="",'实盘净值数据(iFinD公式)'!$B622=""),"",分期持仓明细!$AD$19*SUMPRODUCT(分期持仓明细!$B$19:$AA$19,'实盘净值数据(iFinD公式)'!$B622:$AA622/'实盘净值数据(iFinD公式)'!$B$20:$AA$20)*(1-实盘持仓初始配置!$Z$6)^(('实盘净值数据(iFinD公式)'!$A622-'实盘净值数据(iFinD公式)'!$A$7)/365))</x:f>
        <x:v>#NAME?</x:v>
      </x:c>
      <x:c r="I622" s="152" t="e">
        <x:f>IF(OR(H621="",H622=""),"",H622/H621-1)</x:f>
        <x:v>#NAME?</x:v>
      </x:c>
      <x:c r="J622" s="152" t="e">
        <x:f>IF(H622="","",H622/MAX(H$5:H622)-1)</x:f>
        <x:v>#NAME?</x:v>
      </x:c>
      <x:c r="K622" s="146" t="e">
        <x:f>IF(OR('实盘净值数据(iFinD公式)'!$A622="",'实盘净值数据(iFinD公式)'!$B622=""),"",分期持仓明细!$AD$23*SUMPRODUCT(分期持仓明细!$B$23:$AA$23,'实盘净值数据(iFinD公式)'!$B622:$AA622/'实盘净值数据(iFinD公式)'!$B$65:$AA$65)*(1-实盘持仓初始配置!$Z$7)^(('实盘净值数据(iFinD公式)'!$A622-'实盘净值数据(iFinD公式)'!$A$8)/365))</x:f>
        <x:v>#NAME?</x:v>
      </x:c>
      <x:c r="L622" s="152" t="e">
        <x:f>IF(OR(K621="",K622=""),"",K622/K621-1)</x:f>
        <x:v>#NAME?</x:v>
      </x:c>
      <x:c r="M622" s="152" t="e">
        <x:f>IF(K622="","",K622/MAX(K$5:K622)-1)</x:f>
        <x:v>#NAME?</x:v>
      </x:c>
      <x:c r="N622" s="146" t="e">
        <x:f>IF(OR('实盘净值数据(iFinD公式)'!$A622="",'实盘净值数据(iFinD公式)'!$B622=""),"",分期持仓明细!$AD$24*SUMPRODUCT(分期持仓明细!$B$24:$AA$24,'实盘净值数据(iFinD公式)'!$B622:$AA622/'实盘净值数据(iFinD公式)'!$B$65:$AA$65)*(1-实盘持仓初始配置!$Z$8)^(('实盘净值数据(iFinD公式)'!$A622-'实盘净值数据(iFinD公式)'!$A$5)/365))</x:f>
        <x:v>#NAME?</x:v>
      </x:c>
      <x:c r="O622" s="152" t="e">
        <x:f>IF(OR(N621="",N622=""),"",N622/N621-1)</x:f>
        <x:v>#NAME?</x:v>
      </x:c>
      <x:c r="P622" s="152" t="e">
        <x:f>IF(N622="","",N622/MAX(N$5:N622)-1)</x:f>
        <x:v>#NAME?</x:v>
      </x:c>
      <x:c r="Q622" s="146" t="e">
        <x:f>IF(OR('实盘净值数据(iFinD公式)'!$A622="",'实盘净值数据(iFinD公式)'!$B622=""),"",分期持仓明细!$AD$25*SUMPRODUCT(分期持仓明细!$B$25:$AA$25,'实盘净值数据(iFinD公式)'!$B622:$AA622/'实盘净值数据(iFinD公式)'!$B$65:$AA$65)*(1-实盘持仓初始配置!$Z$9)^(('实盘净值数据(iFinD公式)'!$A622-'实盘净值数据(iFinD公式)'!$A$8)/365))</x:f>
        <x:v>#NAME?</x:v>
      </x:c>
      <x:c r="R622" s="152" t="e">
        <x:f>IF(OR(Q621="",Q622=""),"",Q622/Q621-1)</x:f>
        <x:v>#NAME?</x:v>
      </x:c>
      <x:c r="S622" s="152" t="e">
        <x:f>IF(Q622="","",Q622/MAX(Q$5:Q622)-1)</x:f>
        <x:v>#NAME?</x:v>
      </x:c>
    </x:row>
    <x:row r="623">
      <x:c r="A623" s="149" t="str">
        <x:f>IF('实盘净值数据(iFinD公式)'!A623="","",'实盘净值数据(iFinD公式)'!A623)</x:f>
      </x:c>
      <x:c r="B623" s="146" t="e">
        <x:f>IF(OR('实盘净值数据(iFinD公式)'!$A623="",'实盘净值数据(iFinD公式)'!$B623=""),"",分期持仓明细!$AD$17*SUMPRODUCT(分期持仓明细!$B$17:$AA$17,'实盘净值数据(iFinD公式)'!$B623:$AA623/'实盘净值数据(iFinD公式)'!$B$20:$AA$20)*(1-实盘持仓初始配置!$Z$4)^(('实盘净值数据(iFinD公式)'!$A623-'实盘净值数据(iFinD公式)'!$A$6)/365))</x:f>
        <x:v>#NAME?</x:v>
      </x:c>
      <x:c r="C623" s="152" t="e">
        <x:f>IF(OR(B622="",B623=""),"",B623/B622-1)</x:f>
        <x:v>#NAME?</x:v>
      </x:c>
      <x:c r="D623" s="152" t="e">
        <x:f>IF(B623="","",B623/MAX(B$5:B623)-1)</x:f>
        <x:v>#NAME?</x:v>
      </x:c>
      <x:c r="E623" s="146" t="e">
        <x:f>IF(OR('实盘净值数据(iFinD公式)'!$A623="",'实盘净值数据(iFinD公式)'!$B623=""),"",分期持仓明细!$AD$18*SUMPRODUCT(分期持仓明细!$B$18:$AA$18,'实盘净值数据(iFinD公式)'!$B623:$AA623/'实盘净值数据(iFinD公式)'!$B$20:$AA$20)*(1-实盘持仓初始配置!$Z$5)^(('实盘净值数据(iFinD公式)'!$A623-'实盘净值数据(iFinD公式)'!$A$5)/365))</x:f>
        <x:v>#NAME?</x:v>
      </x:c>
      <x:c r="F623" s="152" t="e">
        <x:f>IF(OR(E622="",E623=""),"",E623/E622-1)</x:f>
        <x:v>#NAME?</x:v>
      </x:c>
      <x:c r="G623" s="152" t="e">
        <x:f>IF(E623="","",E623/MAX(E$5:E623)-1)</x:f>
        <x:v>#NAME?</x:v>
      </x:c>
      <x:c r="H623" s="146" t="e">
        <x:f>IF(OR('实盘净值数据(iFinD公式)'!$A623="",'实盘净值数据(iFinD公式)'!$B623=""),"",分期持仓明细!$AD$19*SUMPRODUCT(分期持仓明细!$B$19:$AA$19,'实盘净值数据(iFinD公式)'!$B623:$AA623/'实盘净值数据(iFinD公式)'!$B$20:$AA$20)*(1-实盘持仓初始配置!$Z$6)^(('实盘净值数据(iFinD公式)'!$A623-'实盘净值数据(iFinD公式)'!$A$7)/365))</x:f>
        <x:v>#NAME?</x:v>
      </x:c>
      <x:c r="I623" s="152" t="e">
        <x:f>IF(OR(H622="",H623=""),"",H623/H622-1)</x:f>
        <x:v>#NAME?</x:v>
      </x:c>
      <x:c r="J623" s="152" t="e">
        <x:f>IF(H623="","",H623/MAX(H$5:H623)-1)</x:f>
        <x:v>#NAME?</x:v>
      </x:c>
      <x:c r="K623" s="146" t="e">
        <x:f>IF(OR('实盘净值数据(iFinD公式)'!$A623="",'实盘净值数据(iFinD公式)'!$B623=""),"",分期持仓明细!$AD$23*SUMPRODUCT(分期持仓明细!$B$23:$AA$23,'实盘净值数据(iFinD公式)'!$B623:$AA623/'实盘净值数据(iFinD公式)'!$B$65:$AA$65)*(1-实盘持仓初始配置!$Z$7)^(('实盘净值数据(iFinD公式)'!$A623-'实盘净值数据(iFinD公式)'!$A$8)/365))</x:f>
        <x:v>#NAME?</x:v>
      </x:c>
      <x:c r="L623" s="152" t="e">
        <x:f>IF(OR(K622="",K623=""),"",K623/K622-1)</x:f>
        <x:v>#NAME?</x:v>
      </x:c>
      <x:c r="M623" s="152" t="e">
        <x:f>IF(K623="","",K623/MAX(K$5:K623)-1)</x:f>
        <x:v>#NAME?</x:v>
      </x:c>
      <x:c r="N623" s="146" t="e">
        <x:f>IF(OR('实盘净值数据(iFinD公式)'!$A623="",'实盘净值数据(iFinD公式)'!$B623=""),"",分期持仓明细!$AD$24*SUMPRODUCT(分期持仓明细!$B$24:$AA$24,'实盘净值数据(iFinD公式)'!$B623:$AA623/'实盘净值数据(iFinD公式)'!$B$65:$AA$65)*(1-实盘持仓初始配置!$Z$8)^(('实盘净值数据(iFinD公式)'!$A623-'实盘净值数据(iFinD公式)'!$A$5)/365))</x:f>
        <x:v>#NAME?</x:v>
      </x:c>
      <x:c r="O623" s="152" t="e">
        <x:f>IF(OR(N622="",N623=""),"",N623/N622-1)</x:f>
        <x:v>#NAME?</x:v>
      </x:c>
      <x:c r="P623" s="152" t="e">
        <x:f>IF(N623="","",N623/MAX(N$5:N623)-1)</x:f>
        <x:v>#NAME?</x:v>
      </x:c>
      <x:c r="Q623" s="146" t="e">
        <x:f>IF(OR('实盘净值数据(iFinD公式)'!$A623="",'实盘净值数据(iFinD公式)'!$B623=""),"",分期持仓明细!$AD$25*SUMPRODUCT(分期持仓明细!$B$25:$AA$25,'实盘净值数据(iFinD公式)'!$B623:$AA623/'实盘净值数据(iFinD公式)'!$B$65:$AA$65)*(1-实盘持仓初始配置!$Z$9)^(('实盘净值数据(iFinD公式)'!$A623-'实盘净值数据(iFinD公式)'!$A$8)/365))</x:f>
        <x:v>#NAME?</x:v>
      </x:c>
      <x:c r="R623" s="152" t="e">
        <x:f>IF(OR(Q622="",Q623=""),"",Q623/Q622-1)</x:f>
        <x:v>#NAME?</x:v>
      </x:c>
      <x:c r="S623" s="152" t="e">
        <x:f>IF(Q623="","",Q623/MAX(Q$5:Q623)-1)</x:f>
        <x:v>#NAME?</x:v>
      </x:c>
    </x:row>
    <x:row r="624">
      <x:c r="A624" s="149" t="str">
        <x:f>IF('实盘净值数据(iFinD公式)'!A624="","",'实盘净值数据(iFinD公式)'!A624)</x:f>
      </x:c>
      <x:c r="B624" s="146" t="e">
        <x:f>IF(OR('实盘净值数据(iFinD公式)'!$A624="",'实盘净值数据(iFinD公式)'!$B624=""),"",分期持仓明细!$AD$17*SUMPRODUCT(分期持仓明细!$B$17:$AA$17,'实盘净值数据(iFinD公式)'!$B624:$AA624/'实盘净值数据(iFinD公式)'!$B$20:$AA$20)*(1-实盘持仓初始配置!$Z$4)^(('实盘净值数据(iFinD公式)'!$A624-'实盘净值数据(iFinD公式)'!$A$6)/365))</x:f>
        <x:v>#NAME?</x:v>
      </x:c>
      <x:c r="C624" s="152" t="e">
        <x:f>IF(OR(B623="",B624=""),"",B624/B623-1)</x:f>
        <x:v>#NAME?</x:v>
      </x:c>
      <x:c r="D624" s="152" t="e">
        <x:f>IF(B624="","",B624/MAX(B$5:B624)-1)</x:f>
        <x:v>#NAME?</x:v>
      </x:c>
      <x:c r="E624" s="146" t="e">
        <x:f>IF(OR('实盘净值数据(iFinD公式)'!$A624="",'实盘净值数据(iFinD公式)'!$B624=""),"",分期持仓明细!$AD$18*SUMPRODUCT(分期持仓明细!$B$18:$AA$18,'实盘净值数据(iFinD公式)'!$B624:$AA624/'实盘净值数据(iFinD公式)'!$B$20:$AA$20)*(1-实盘持仓初始配置!$Z$5)^(('实盘净值数据(iFinD公式)'!$A624-'实盘净值数据(iFinD公式)'!$A$5)/365))</x:f>
        <x:v>#NAME?</x:v>
      </x:c>
      <x:c r="F624" s="152" t="e">
        <x:f>IF(OR(E623="",E624=""),"",E624/E623-1)</x:f>
        <x:v>#NAME?</x:v>
      </x:c>
      <x:c r="G624" s="152" t="e">
        <x:f>IF(E624="","",E624/MAX(E$5:E624)-1)</x:f>
        <x:v>#NAME?</x:v>
      </x:c>
      <x:c r="H624" s="146" t="e">
        <x:f>IF(OR('实盘净值数据(iFinD公式)'!$A624="",'实盘净值数据(iFinD公式)'!$B624=""),"",分期持仓明细!$AD$19*SUMPRODUCT(分期持仓明细!$B$19:$AA$19,'实盘净值数据(iFinD公式)'!$B624:$AA624/'实盘净值数据(iFinD公式)'!$B$20:$AA$20)*(1-实盘持仓初始配置!$Z$6)^(('实盘净值数据(iFinD公式)'!$A624-'实盘净值数据(iFinD公式)'!$A$7)/365))</x:f>
        <x:v>#NAME?</x:v>
      </x:c>
      <x:c r="I624" s="152" t="e">
        <x:f>IF(OR(H623="",H624=""),"",H624/H623-1)</x:f>
        <x:v>#NAME?</x:v>
      </x:c>
      <x:c r="J624" s="152" t="e">
        <x:f>IF(H624="","",H624/MAX(H$5:H624)-1)</x:f>
        <x:v>#NAME?</x:v>
      </x:c>
      <x:c r="K624" s="146" t="e">
        <x:f>IF(OR('实盘净值数据(iFinD公式)'!$A624="",'实盘净值数据(iFinD公式)'!$B624=""),"",分期持仓明细!$AD$23*SUMPRODUCT(分期持仓明细!$B$23:$AA$23,'实盘净值数据(iFinD公式)'!$B624:$AA624/'实盘净值数据(iFinD公式)'!$B$65:$AA$65)*(1-实盘持仓初始配置!$Z$7)^(('实盘净值数据(iFinD公式)'!$A624-'实盘净值数据(iFinD公式)'!$A$8)/365))</x:f>
        <x:v>#NAME?</x:v>
      </x:c>
      <x:c r="L624" s="152" t="e">
        <x:f>IF(OR(K623="",K624=""),"",K624/K623-1)</x:f>
        <x:v>#NAME?</x:v>
      </x:c>
      <x:c r="M624" s="152" t="e">
        <x:f>IF(K624="","",K624/MAX(K$5:K624)-1)</x:f>
        <x:v>#NAME?</x:v>
      </x:c>
      <x:c r="N624" s="146" t="e">
        <x:f>IF(OR('实盘净值数据(iFinD公式)'!$A624="",'实盘净值数据(iFinD公式)'!$B624=""),"",分期持仓明细!$AD$24*SUMPRODUCT(分期持仓明细!$B$24:$AA$24,'实盘净值数据(iFinD公式)'!$B624:$AA624/'实盘净值数据(iFinD公式)'!$B$65:$AA$65)*(1-实盘持仓初始配置!$Z$8)^(('实盘净值数据(iFinD公式)'!$A624-'实盘净值数据(iFinD公式)'!$A$5)/365))</x:f>
        <x:v>#NAME?</x:v>
      </x:c>
      <x:c r="O624" s="152" t="e">
        <x:f>IF(OR(N623="",N624=""),"",N624/N623-1)</x:f>
        <x:v>#NAME?</x:v>
      </x:c>
      <x:c r="P624" s="152" t="e">
        <x:f>IF(N624="","",N624/MAX(N$5:N624)-1)</x:f>
        <x:v>#NAME?</x:v>
      </x:c>
      <x:c r="Q624" s="146" t="e">
        <x:f>IF(OR('实盘净值数据(iFinD公式)'!$A624="",'实盘净值数据(iFinD公式)'!$B624=""),"",分期持仓明细!$AD$25*SUMPRODUCT(分期持仓明细!$B$25:$AA$25,'实盘净值数据(iFinD公式)'!$B624:$AA624/'实盘净值数据(iFinD公式)'!$B$65:$AA$65)*(1-实盘持仓初始配置!$Z$9)^(('实盘净值数据(iFinD公式)'!$A624-'实盘净值数据(iFinD公式)'!$A$8)/365))</x:f>
        <x:v>#NAME?</x:v>
      </x:c>
      <x:c r="R624" s="152" t="e">
        <x:f>IF(OR(Q623="",Q624=""),"",Q624/Q623-1)</x:f>
        <x:v>#NAME?</x:v>
      </x:c>
      <x:c r="S624" s="152" t="e">
        <x:f>IF(Q624="","",Q624/MAX(Q$5:Q624)-1)</x:f>
        <x:v>#NAME?</x:v>
      </x:c>
    </x:row>
    <x:row r="625">
      <x:c r="A625" s="149" t="str">
        <x:f>IF('实盘净值数据(iFinD公式)'!A625="","",'实盘净值数据(iFinD公式)'!A625)</x:f>
      </x:c>
      <x:c r="B625" s="146" t="e">
        <x:f>IF(OR('实盘净值数据(iFinD公式)'!$A625="",'实盘净值数据(iFinD公式)'!$B625=""),"",分期持仓明细!$AD$17*SUMPRODUCT(分期持仓明细!$B$17:$AA$17,'实盘净值数据(iFinD公式)'!$B625:$AA625/'实盘净值数据(iFinD公式)'!$B$20:$AA$20)*(1-实盘持仓初始配置!$Z$4)^(('实盘净值数据(iFinD公式)'!$A625-'实盘净值数据(iFinD公式)'!$A$6)/365))</x:f>
        <x:v>#NAME?</x:v>
      </x:c>
      <x:c r="C625" s="152" t="e">
        <x:f>IF(OR(B624="",B625=""),"",B625/B624-1)</x:f>
        <x:v>#NAME?</x:v>
      </x:c>
      <x:c r="D625" s="152" t="e">
        <x:f>IF(B625="","",B625/MAX(B$5:B625)-1)</x:f>
        <x:v>#NAME?</x:v>
      </x:c>
      <x:c r="E625" s="146" t="e">
        <x:f>IF(OR('实盘净值数据(iFinD公式)'!$A625="",'实盘净值数据(iFinD公式)'!$B625=""),"",分期持仓明细!$AD$18*SUMPRODUCT(分期持仓明细!$B$18:$AA$18,'实盘净值数据(iFinD公式)'!$B625:$AA625/'实盘净值数据(iFinD公式)'!$B$20:$AA$20)*(1-实盘持仓初始配置!$Z$5)^(('实盘净值数据(iFinD公式)'!$A625-'实盘净值数据(iFinD公式)'!$A$5)/365))</x:f>
        <x:v>#NAME?</x:v>
      </x:c>
      <x:c r="F625" s="152" t="e">
        <x:f>IF(OR(E624="",E625=""),"",E625/E624-1)</x:f>
        <x:v>#NAME?</x:v>
      </x:c>
      <x:c r="G625" s="152" t="e">
        <x:f>IF(E625="","",E625/MAX(E$5:E625)-1)</x:f>
        <x:v>#NAME?</x:v>
      </x:c>
      <x:c r="H625" s="146" t="e">
        <x:f>IF(OR('实盘净值数据(iFinD公式)'!$A625="",'实盘净值数据(iFinD公式)'!$B625=""),"",分期持仓明细!$AD$19*SUMPRODUCT(分期持仓明细!$B$19:$AA$19,'实盘净值数据(iFinD公式)'!$B625:$AA625/'实盘净值数据(iFinD公式)'!$B$20:$AA$20)*(1-实盘持仓初始配置!$Z$6)^(('实盘净值数据(iFinD公式)'!$A625-'实盘净值数据(iFinD公式)'!$A$7)/365))</x:f>
        <x:v>#NAME?</x:v>
      </x:c>
      <x:c r="I625" s="152" t="e">
        <x:f>IF(OR(H624="",H625=""),"",H625/H624-1)</x:f>
        <x:v>#NAME?</x:v>
      </x:c>
      <x:c r="J625" s="152" t="e">
        <x:f>IF(H625="","",H625/MAX(H$5:H625)-1)</x:f>
        <x:v>#NAME?</x:v>
      </x:c>
      <x:c r="K625" s="146" t="e">
        <x:f>IF(OR('实盘净值数据(iFinD公式)'!$A625="",'实盘净值数据(iFinD公式)'!$B625=""),"",分期持仓明细!$AD$23*SUMPRODUCT(分期持仓明细!$B$23:$AA$23,'实盘净值数据(iFinD公式)'!$B625:$AA625/'实盘净值数据(iFinD公式)'!$B$65:$AA$65)*(1-实盘持仓初始配置!$Z$7)^(('实盘净值数据(iFinD公式)'!$A625-'实盘净值数据(iFinD公式)'!$A$8)/365))</x:f>
        <x:v>#NAME?</x:v>
      </x:c>
      <x:c r="L625" s="152" t="e">
        <x:f>IF(OR(K624="",K625=""),"",K625/K624-1)</x:f>
        <x:v>#NAME?</x:v>
      </x:c>
      <x:c r="M625" s="152" t="e">
        <x:f>IF(K625="","",K625/MAX(K$5:K625)-1)</x:f>
        <x:v>#NAME?</x:v>
      </x:c>
      <x:c r="N625" s="146" t="e">
        <x:f>IF(OR('实盘净值数据(iFinD公式)'!$A625="",'实盘净值数据(iFinD公式)'!$B625=""),"",分期持仓明细!$AD$24*SUMPRODUCT(分期持仓明细!$B$24:$AA$24,'实盘净值数据(iFinD公式)'!$B625:$AA625/'实盘净值数据(iFinD公式)'!$B$65:$AA$65)*(1-实盘持仓初始配置!$Z$8)^(('实盘净值数据(iFinD公式)'!$A625-'实盘净值数据(iFinD公式)'!$A$5)/365))</x:f>
        <x:v>#NAME?</x:v>
      </x:c>
      <x:c r="O625" s="152" t="e">
        <x:f>IF(OR(N624="",N625=""),"",N625/N624-1)</x:f>
        <x:v>#NAME?</x:v>
      </x:c>
      <x:c r="P625" s="152" t="e">
        <x:f>IF(N625="","",N625/MAX(N$5:N625)-1)</x:f>
        <x:v>#NAME?</x:v>
      </x:c>
      <x:c r="Q625" s="146" t="e">
        <x:f>IF(OR('实盘净值数据(iFinD公式)'!$A625="",'实盘净值数据(iFinD公式)'!$B625=""),"",分期持仓明细!$AD$25*SUMPRODUCT(分期持仓明细!$B$25:$AA$25,'实盘净值数据(iFinD公式)'!$B625:$AA625/'实盘净值数据(iFinD公式)'!$B$65:$AA$65)*(1-实盘持仓初始配置!$Z$9)^(('实盘净值数据(iFinD公式)'!$A625-'实盘净值数据(iFinD公式)'!$A$8)/365))</x:f>
        <x:v>#NAME?</x:v>
      </x:c>
      <x:c r="R625" s="152" t="e">
        <x:f>IF(OR(Q624="",Q625=""),"",Q625/Q624-1)</x:f>
        <x:v>#NAME?</x:v>
      </x:c>
      <x:c r="S625" s="152" t="e">
        <x:f>IF(Q625="","",Q625/MAX(Q$5:Q625)-1)</x:f>
        <x:v>#NAME?</x:v>
      </x:c>
    </x:row>
    <x:row r="626">
      <x:c r="A626" s="149" t="str">
        <x:f>IF('实盘净值数据(iFinD公式)'!A626="","",'实盘净值数据(iFinD公式)'!A626)</x:f>
      </x:c>
      <x:c r="B626" s="146" t="e">
        <x:f>IF(OR('实盘净值数据(iFinD公式)'!$A626="",'实盘净值数据(iFinD公式)'!$B626=""),"",分期持仓明细!$AD$17*SUMPRODUCT(分期持仓明细!$B$17:$AA$17,'实盘净值数据(iFinD公式)'!$B626:$AA626/'实盘净值数据(iFinD公式)'!$B$20:$AA$20)*(1-实盘持仓初始配置!$Z$4)^(('实盘净值数据(iFinD公式)'!$A626-'实盘净值数据(iFinD公式)'!$A$6)/365))</x:f>
        <x:v>#NAME?</x:v>
      </x:c>
      <x:c r="C626" s="152" t="e">
        <x:f>IF(OR(B625="",B626=""),"",B626/B625-1)</x:f>
        <x:v>#NAME?</x:v>
      </x:c>
      <x:c r="D626" s="152" t="e">
        <x:f>IF(B626="","",B626/MAX(B$5:B626)-1)</x:f>
        <x:v>#NAME?</x:v>
      </x:c>
      <x:c r="E626" s="146" t="e">
        <x:f>IF(OR('实盘净值数据(iFinD公式)'!$A626="",'实盘净值数据(iFinD公式)'!$B626=""),"",分期持仓明细!$AD$18*SUMPRODUCT(分期持仓明细!$B$18:$AA$18,'实盘净值数据(iFinD公式)'!$B626:$AA626/'实盘净值数据(iFinD公式)'!$B$20:$AA$20)*(1-实盘持仓初始配置!$Z$5)^(('实盘净值数据(iFinD公式)'!$A626-'实盘净值数据(iFinD公式)'!$A$5)/365))</x:f>
        <x:v>#NAME?</x:v>
      </x:c>
      <x:c r="F626" s="152" t="e">
        <x:f>IF(OR(E625="",E626=""),"",E626/E625-1)</x:f>
        <x:v>#NAME?</x:v>
      </x:c>
      <x:c r="G626" s="152" t="e">
        <x:f>IF(E626="","",E626/MAX(E$5:E626)-1)</x:f>
        <x:v>#NAME?</x:v>
      </x:c>
      <x:c r="H626" s="146" t="e">
        <x:f>IF(OR('实盘净值数据(iFinD公式)'!$A626="",'实盘净值数据(iFinD公式)'!$B626=""),"",分期持仓明细!$AD$19*SUMPRODUCT(分期持仓明细!$B$19:$AA$19,'实盘净值数据(iFinD公式)'!$B626:$AA626/'实盘净值数据(iFinD公式)'!$B$20:$AA$20)*(1-实盘持仓初始配置!$Z$6)^(('实盘净值数据(iFinD公式)'!$A626-'实盘净值数据(iFinD公式)'!$A$7)/365))</x:f>
        <x:v>#NAME?</x:v>
      </x:c>
      <x:c r="I626" s="152" t="e">
        <x:f>IF(OR(H625="",H626=""),"",H626/H625-1)</x:f>
        <x:v>#NAME?</x:v>
      </x:c>
      <x:c r="J626" s="152" t="e">
        <x:f>IF(H626="","",H626/MAX(H$5:H626)-1)</x:f>
        <x:v>#NAME?</x:v>
      </x:c>
      <x:c r="K626" s="146" t="e">
        <x:f>IF(OR('实盘净值数据(iFinD公式)'!$A626="",'实盘净值数据(iFinD公式)'!$B626=""),"",分期持仓明细!$AD$23*SUMPRODUCT(分期持仓明细!$B$23:$AA$23,'实盘净值数据(iFinD公式)'!$B626:$AA626/'实盘净值数据(iFinD公式)'!$B$65:$AA$65)*(1-实盘持仓初始配置!$Z$7)^(('实盘净值数据(iFinD公式)'!$A626-'实盘净值数据(iFinD公式)'!$A$8)/365))</x:f>
        <x:v>#NAME?</x:v>
      </x:c>
      <x:c r="L626" s="152" t="e">
        <x:f>IF(OR(K625="",K626=""),"",K626/K625-1)</x:f>
        <x:v>#NAME?</x:v>
      </x:c>
      <x:c r="M626" s="152" t="e">
        <x:f>IF(K626="","",K626/MAX(K$5:K626)-1)</x:f>
        <x:v>#NAME?</x:v>
      </x:c>
      <x:c r="N626" s="146" t="e">
        <x:f>IF(OR('实盘净值数据(iFinD公式)'!$A626="",'实盘净值数据(iFinD公式)'!$B626=""),"",分期持仓明细!$AD$24*SUMPRODUCT(分期持仓明细!$B$24:$AA$24,'实盘净值数据(iFinD公式)'!$B626:$AA626/'实盘净值数据(iFinD公式)'!$B$65:$AA$65)*(1-实盘持仓初始配置!$Z$8)^(('实盘净值数据(iFinD公式)'!$A626-'实盘净值数据(iFinD公式)'!$A$5)/365))</x:f>
        <x:v>#NAME?</x:v>
      </x:c>
      <x:c r="O626" s="152" t="e">
        <x:f>IF(OR(N625="",N626=""),"",N626/N625-1)</x:f>
        <x:v>#NAME?</x:v>
      </x:c>
      <x:c r="P626" s="152" t="e">
        <x:f>IF(N626="","",N626/MAX(N$5:N626)-1)</x:f>
        <x:v>#NAME?</x:v>
      </x:c>
      <x:c r="Q626" s="146" t="e">
        <x:f>IF(OR('实盘净值数据(iFinD公式)'!$A626="",'实盘净值数据(iFinD公式)'!$B626=""),"",分期持仓明细!$AD$25*SUMPRODUCT(分期持仓明细!$B$25:$AA$25,'实盘净值数据(iFinD公式)'!$B626:$AA626/'实盘净值数据(iFinD公式)'!$B$65:$AA$65)*(1-实盘持仓初始配置!$Z$9)^(('实盘净值数据(iFinD公式)'!$A626-'实盘净值数据(iFinD公式)'!$A$8)/365))</x:f>
        <x:v>#NAME?</x:v>
      </x:c>
      <x:c r="R626" s="152" t="e">
        <x:f>IF(OR(Q625="",Q626=""),"",Q626/Q625-1)</x:f>
        <x:v>#NAME?</x:v>
      </x:c>
      <x:c r="S626" s="152" t="e">
        <x:f>IF(Q626="","",Q626/MAX(Q$5:Q626)-1)</x:f>
        <x:v>#NAME?</x:v>
      </x:c>
    </x:row>
    <x:row r="627">
      <x:c r="A627" s="149" t="str">
        <x:f>IF('实盘净值数据(iFinD公式)'!A627="","",'实盘净值数据(iFinD公式)'!A627)</x:f>
      </x:c>
      <x:c r="B627" s="146" t="e">
        <x:f>IF(OR('实盘净值数据(iFinD公式)'!$A627="",'实盘净值数据(iFinD公式)'!$B627=""),"",分期持仓明细!$AD$17*SUMPRODUCT(分期持仓明细!$B$17:$AA$17,'实盘净值数据(iFinD公式)'!$B627:$AA627/'实盘净值数据(iFinD公式)'!$B$20:$AA$20)*(1-实盘持仓初始配置!$Z$4)^(('实盘净值数据(iFinD公式)'!$A627-'实盘净值数据(iFinD公式)'!$A$6)/365))</x:f>
        <x:v>#NAME?</x:v>
      </x:c>
      <x:c r="C627" s="152" t="e">
        <x:f>IF(OR(B626="",B627=""),"",B627/B626-1)</x:f>
        <x:v>#NAME?</x:v>
      </x:c>
      <x:c r="D627" s="152" t="e">
        <x:f>IF(B627="","",B627/MAX(B$5:B627)-1)</x:f>
        <x:v>#NAME?</x:v>
      </x:c>
      <x:c r="E627" s="146" t="e">
        <x:f>IF(OR('实盘净值数据(iFinD公式)'!$A627="",'实盘净值数据(iFinD公式)'!$B627=""),"",分期持仓明细!$AD$18*SUMPRODUCT(分期持仓明细!$B$18:$AA$18,'实盘净值数据(iFinD公式)'!$B627:$AA627/'实盘净值数据(iFinD公式)'!$B$20:$AA$20)*(1-实盘持仓初始配置!$Z$5)^(('实盘净值数据(iFinD公式)'!$A627-'实盘净值数据(iFinD公式)'!$A$5)/365))</x:f>
        <x:v>#NAME?</x:v>
      </x:c>
      <x:c r="F627" s="152" t="e">
        <x:f>IF(OR(E626="",E627=""),"",E627/E626-1)</x:f>
        <x:v>#NAME?</x:v>
      </x:c>
      <x:c r="G627" s="152" t="e">
        <x:f>IF(E627="","",E627/MAX(E$5:E627)-1)</x:f>
        <x:v>#NAME?</x:v>
      </x:c>
      <x:c r="H627" s="146" t="e">
        <x:f>IF(OR('实盘净值数据(iFinD公式)'!$A627="",'实盘净值数据(iFinD公式)'!$B627=""),"",分期持仓明细!$AD$19*SUMPRODUCT(分期持仓明细!$B$19:$AA$19,'实盘净值数据(iFinD公式)'!$B627:$AA627/'实盘净值数据(iFinD公式)'!$B$20:$AA$20)*(1-实盘持仓初始配置!$Z$6)^(('实盘净值数据(iFinD公式)'!$A627-'实盘净值数据(iFinD公式)'!$A$7)/365))</x:f>
        <x:v>#NAME?</x:v>
      </x:c>
      <x:c r="I627" s="152" t="e">
        <x:f>IF(OR(H626="",H627=""),"",H627/H626-1)</x:f>
        <x:v>#NAME?</x:v>
      </x:c>
      <x:c r="J627" s="152" t="e">
        <x:f>IF(H627="","",H627/MAX(H$5:H627)-1)</x:f>
        <x:v>#NAME?</x:v>
      </x:c>
      <x:c r="K627" s="146" t="e">
        <x:f>IF(OR('实盘净值数据(iFinD公式)'!$A627="",'实盘净值数据(iFinD公式)'!$B627=""),"",分期持仓明细!$AD$23*SUMPRODUCT(分期持仓明细!$B$23:$AA$23,'实盘净值数据(iFinD公式)'!$B627:$AA627/'实盘净值数据(iFinD公式)'!$B$65:$AA$65)*(1-实盘持仓初始配置!$Z$7)^(('实盘净值数据(iFinD公式)'!$A627-'实盘净值数据(iFinD公式)'!$A$8)/365))</x:f>
        <x:v>#NAME?</x:v>
      </x:c>
      <x:c r="L627" s="152" t="e">
        <x:f>IF(OR(K626="",K627=""),"",K627/K626-1)</x:f>
        <x:v>#NAME?</x:v>
      </x:c>
      <x:c r="M627" s="152" t="e">
        <x:f>IF(K627="","",K627/MAX(K$5:K627)-1)</x:f>
        <x:v>#NAME?</x:v>
      </x:c>
      <x:c r="N627" s="146" t="e">
        <x:f>IF(OR('实盘净值数据(iFinD公式)'!$A627="",'实盘净值数据(iFinD公式)'!$B627=""),"",分期持仓明细!$AD$24*SUMPRODUCT(分期持仓明细!$B$24:$AA$24,'实盘净值数据(iFinD公式)'!$B627:$AA627/'实盘净值数据(iFinD公式)'!$B$65:$AA$65)*(1-实盘持仓初始配置!$Z$8)^(('实盘净值数据(iFinD公式)'!$A627-'实盘净值数据(iFinD公式)'!$A$5)/365))</x:f>
        <x:v>#NAME?</x:v>
      </x:c>
      <x:c r="O627" s="152" t="e">
        <x:f>IF(OR(N626="",N627=""),"",N627/N626-1)</x:f>
        <x:v>#NAME?</x:v>
      </x:c>
      <x:c r="P627" s="152" t="e">
        <x:f>IF(N627="","",N627/MAX(N$5:N627)-1)</x:f>
        <x:v>#NAME?</x:v>
      </x:c>
      <x:c r="Q627" s="146" t="e">
        <x:f>IF(OR('实盘净值数据(iFinD公式)'!$A627="",'实盘净值数据(iFinD公式)'!$B627=""),"",分期持仓明细!$AD$25*SUMPRODUCT(分期持仓明细!$B$25:$AA$25,'实盘净值数据(iFinD公式)'!$B627:$AA627/'实盘净值数据(iFinD公式)'!$B$65:$AA$65)*(1-实盘持仓初始配置!$Z$9)^(('实盘净值数据(iFinD公式)'!$A627-'实盘净值数据(iFinD公式)'!$A$8)/365))</x:f>
        <x:v>#NAME?</x:v>
      </x:c>
      <x:c r="R627" s="152" t="e">
        <x:f>IF(OR(Q626="",Q627=""),"",Q627/Q626-1)</x:f>
        <x:v>#NAME?</x:v>
      </x:c>
      <x:c r="S627" s="152" t="e">
        <x:f>IF(Q627="","",Q627/MAX(Q$5:Q627)-1)</x:f>
        <x:v>#NAME?</x:v>
      </x:c>
    </x:row>
    <x:row r="628">
      <x:c r="A628" s="149" t="str">
        <x:f>IF('实盘净值数据(iFinD公式)'!A628="","",'实盘净值数据(iFinD公式)'!A628)</x:f>
      </x:c>
      <x:c r="B628" s="146" t="e">
        <x:f>IF(OR('实盘净值数据(iFinD公式)'!$A628="",'实盘净值数据(iFinD公式)'!$B628=""),"",分期持仓明细!$AD$17*SUMPRODUCT(分期持仓明细!$B$17:$AA$17,'实盘净值数据(iFinD公式)'!$B628:$AA628/'实盘净值数据(iFinD公式)'!$B$20:$AA$20)*(1-实盘持仓初始配置!$Z$4)^(('实盘净值数据(iFinD公式)'!$A628-'实盘净值数据(iFinD公式)'!$A$6)/365))</x:f>
        <x:v>#NAME?</x:v>
      </x:c>
      <x:c r="C628" s="152" t="e">
        <x:f>IF(OR(B627="",B628=""),"",B628/B627-1)</x:f>
        <x:v>#NAME?</x:v>
      </x:c>
      <x:c r="D628" s="152" t="e">
        <x:f>IF(B628="","",B628/MAX(B$5:B628)-1)</x:f>
        <x:v>#NAME?</x:v>
      </x:c>
      <x:c r="E628" s="146" t="e">
        <x:f>IF(OR('实盘净值数据(iFinD公式)'!$A628="",'实盘净值数据(iFinD公式)'!$B628=""),"",分期持仓明细!$AD$18*SUMPRODUCT(分期持仓明细!$B$18:$AA$18,'实盘净值数据(iFinD公式)'!$B628:$AA628/'实盘净值数据(iFinD公式)'!$B$20:$AA$20)*(1-实盘持仓初始配置!$Z$5)^(('实盘净值数据(iFinD公式)'!$A628-'实盘净值数据(iFinD公式)'!$A$5)/365))</x:f>
        <x:v>#NAME?</x:v>
      </x:c>
      <x:c r="F628" s="152" t="e">
        <x:f>IF(OR(E627="",E628=""),"",E628/E627-1)</x:f>
        <x:v>#NAME?</x:v>
      </x:c>
      <x:c r="G628" s="152" t="e">
        <x:f>IF(E628="","",E628/MAX(E$5:E628)-1)</x:f>
        <x:v>#NAME?</x:v>
      </x:c>
      <x:c r="H628" s="146" t="e">
        <x:f>IF(OR('实盘净值数据(iFinD公式)'!$A628="",'实盘净值数据(iFinD公式)'!$B628=""),"",分期持仓明细!$AD$19*SUMPRODUCT(分期持仓明细!$B$19:$AA$19,'实盘净值数据(iFinD公式)'!$B628:$AA628/'实盘净值数据(iFinD公式)'!$B$20:$AA$20)*(1-实盘持仓初始配置!$Z$6)^(('实盘净值数据(iFinD公式)'!$A628-'实盘净值数据(iFinD公式)'!$A$7)/365))</x:f>
        <x:v>#NAME?</x:v>
      </x:c>
      <x:c r="I628" s="152" t="e">
        <x:f>IF(OR(H627="",H628=""),"",H628/H627-1)</x:f>
        <x:v>#NAME?</x:v>
      </x:c>
      <x:c r="J628" s="152" t="e">
        <x:f>IF(H628="","",H628/MAX(H$5:H628)-1)</x:f>
        <x:v>#NAME?</x:v>
      </x:c>
      <x:c r="K628" s="146" t="e">
        <x:f>IF(OR('实盘净值数据(iFinD公式)'!$A628="",'实盘净值数据(iFinD公式)'!$B628=""),"",分期持仓明细!$AD$23*SUMPRODUCT(分期持仓明细!$B$23:$AA$23,'实盘净值数据(iFinD公式)'!$B628:$AA628/'实盘净值数据(iFinD公式)'!$B$65:$AA$65)*(1-实盘持仓初始配置!$Z$7)^(('实盘净值数据(iFinD公式)'!$A628-'实盘净值数据(iFinD公式)'!$A$8)/365))</x:f>
        <x:v>#NAME?</x:v>
      </x:c>
      <x:c r="L628" s="152" t="e">
        <x:f>IF(OR(K627="",K628=""),"",K628/K627-1)</x:f>
        <x:v>#NAME?</x:v>
      </x:c>
      <x:c r="M628" s="152" t="e">
        <x:f>IF(K628="","",K628/MAX(K$5:K628)-1)</x:f>
        <x:v>#NAME?</x:v>
      </x:c>
      <x:c r="N628" s="146" t="e">
        <x:f>IF(OR('实盘净值数据(iFinD公式)'!$A628="",'实盘净值数据(iFinD公式)'!$B628=""),"",分期持仓明细!$AD$24*SUMPRODUCT(分期持仓明细!$B$24:$AA$24,'实盘净值数据(iFinD公式)'!$B628:$AA628/'实盘净值数据(iFinD公式)'!$B$65:$AA$65)*(1-实盘持仓初始配置!$Z$8)^(('实盘净值数据(iFinD公式)'!$A628-'实盘净值数据(iFinD公式)'!$A$5)/365))</x:f>
        <x:v>#NAME?</x:v>
      </x:c>
      <x:c r="O628" s="152" t="e">
        <x:f>IF(OR(N627="",N628=""),"",N628/N627-1)</x:f>
        <x:v>#NAME?</x:v>
      </x:c>
      <x:c r="P628" s="152" t="e">
        <x:f>IF(N628="","",N628/MAX(N$5:N628)-1)</x:f>
        <x:v>#NAME?</x:v>
      </x:c>
      <x:c r="Q628" s="146" t="e">
        <x:f>IF(OR('实盘净值数据(iFinD公式)'!$A628="",'实盘净值数据(iFinD公式)'!$B628=""),"",分期持仓明细!$AD$25*SUMPRODUCT(分期持仓明细!$B$25:$AA$25,'实盘净值数据(iFinD公式)'!$B628:$AA628/'实盘净值数据(iFinD公式)'!$B$65:$AA$65)*(1-实盘持仓初始配置!$Z$9)^(('实盘净值数据(iFinD公式)'!$A628-'实盘净值数据(iFinD公式)'!$A$8)/365))</x:f>
        <x:v>#NAME?</x:v>
      </x:c>
      <x:c r="R628" s="152" t="e">
        <x:f>IF(OR(Q627="",Q628=""),"",Q628/Q627-1)</x:f>
        <x:v>#NAME?</x:v>
      </x:c>
      <x:c r="S628" s="152" t="e">
        <x:f>IF(Q628="","",Q628/MAX(Q$5:Q628)-1)</x:f>
        <x:v>#NAME?</x:v>
      </x:c>
    </x:row>
    <x:row r="629">
      <x:c r="A629" s="149" t="str">
        <x:f>IF('实盘净值数据(iFinD公式)'!A629="","",'实盘净值数据(iFinD公式)'!A629)</x:f>
      </x:c>
      <x:c r="B629" s="146" t="e">
        <x:f>IF(OR('实盘净值数据(iFinD公式)'!$A629="",'实盘净值数据(iFinD公式)'!$B629=""),"",分期持仓明细!$AD$17*SUMPRODUCT(分期持仓明细!$B$17:$AA$17,'实盘净值数据(iFinD公式)'!$B629:$AA629/'实盘净值数据(iFinD公式)'!$B$20:$AA$20)*(1-实盘持仓初始配置!$Z$4)^(('实盘净值数据(iFinD公式)'!$A629-'实盘净值数据(iFinD公式)'!$A$6)/365))</x:f>
        <x:v>#NAME?</x:v>
      </x:c>
      <x:c r="C629" s="152" t="e">
        <x:f>IF(OR(B628="",B629=""),"",B629/B628-1)</x:f>
        <x:v>#NAME?</x:v>
      </x:c>
      <x:c r="D629" s="152" t="e">
        <x:f>IF(B629="","",B629/MAX(B$5:B629)-1)</x:f>
        <x:v>#NAME?</x:v>
      </x:c>
      <x:c r="E629" s="146" t="e">
        <x:f>IF(OR('实盘净值数据(iFinD公式)'!$A629="",'实盘净值数据(iFinD公式)'!$B629=""),"",分期持仓明细!$AD$18*SUMPRODUCT(分期持仓明细!$B$18:$AA$18,'实盘净值数据(iFinD公式)'!$B629:$AA629/'实盘净值数据(iFinD公式)'!$B$20:$AA$20)*(1-实盘持仓初始配置!$Z$5)^(('实盘净值数据(iFinD公式)'!$A629-'实盘净值数据(iFinD公式)'!$A$5)/365))</x:f>
        <x:v>#NAME?</x:v>
      </x:c>
      <x:c r="F629" s="152" t="e">
        <x:f>IF(OR(E628="",E629=""),"",E629/E628-1)</x:f>
        <x:v>#NAME?</x:v>
      </x:c>
      <x:c r="G629" s="152" t="e">
        <x:f>IF(E629="","",E629/MAX(E$5:E629)-1)</x:f>
        <x:v>#NAME?</x:v>
      </x:c>
      <x:c r="H629" s="146" t="e">
        <x:f>IF(OR('实盘净值数据(iFinD公式)'!$A629="",'实盘净值数据(iFinD公式)'!$B629=""),"",分期持仓明细!$AD$19*SUMPRODUCT(分期持仓明细!$B$19:$AA$19,'实盘净值数据(iFinD公式)'!$B629:$AA629/'实盘净值数据(iFinD公式)'!$B$20:$AA$20)*(1-实盘持仓初始配置!$Z$6)^(('实盘净值数据(iFinD公式)'!$A629-'实盘净值数据(iFinD公式)'!$A$7)/365))</x:f>
        <x:v>#NAME?</x:v>
      </x:c>
      <x:c r="I629" s="152" t="e">
        <x:f>IF(OR(H628="",H629=""),"",H629/H628-1)</x:f>
        <x:v>#NAME?</x:v>
      </x:c>
      <x:c r="J629" s="152" t="e">
        <x:f>IF(H629="","",H629/MAX(H$5:H629)-1)</x:f>
        <x:v>#NAME?</x:v>
      </x:c>
      <x:c r="K629" s="146" t="e">
        <x:f>IF(OR('实盘净值数据(iFinD公式)'!$A629="",'实盘净值数据(iFinD公式)'!$B629=""),"",分期持仓明细!$AD$23*SUMPRODUCT(分期持仓明细!$B$23:$AA$23,'实盘净值数据(iFinD公式)'!$B629:$AA629/'实盘净值数据(iFinD公式)'!$B$65:$AA$65)*(1-实盘持仓初始配置!$Z$7)^(('实盘净值数据(iFinD公式)'!$A629-'实盘净值数据(iFinD公式)'!$A$8)/365))</x:f>
        <x:v>#NAME?</x:v>
      </x:c>
      <x:c r="L629" s="152" t="e">
        <x:f>IF(OR(K628="",K629=""),"",K629/K628-1)</x:f>
        <x:v>#NAME?</x:v>
      </x:c>
      <x:c r="M629" s="152" t="e">
        <x:f>IF(K629="","",K629/MAX(K$5:K629)-1)</x:f>
        <x:v>#NAME?</x:v>
      </x:c>
      <x:c r="N629" s="146" t="e">
        <x:f>IF(OR('实盘净值数据(iFinD公式)'!$A629="",'实盘净值数据(iFinD公式)'!$B629=""),"",分期持仓明细!$AD$24*SUMPRODUCT(分期持仓明细!$B$24:$AA$24,'实盘净值数据(iFinD公式)'!$B629:$AA629/'实盘净值数据(iFinD公式)'!$B$65:$AA$65)*(1-实盘持仓初始配置!$Z$8)^(('实盘净值数据(iFinD公式)'!$A629-'实盘净值数据(iFinD公式)'!$A$5)/365))</x:f>
        <x:v>#NAME?</x:v>
      </x:c>
      <x:c r="O629" s="152" t="e">
        <x:f>IF(OR(N628="",N629=""),"",N629/N628-1)</x:f>
        <x:v>#NAME?</x:v>
      </x:c>
      <x:c r="P629" s="152" t="e">
        <x:f>IF(N629="","",N629/MAX(N$5:N629)-1)</x:f>
        <x:v>#NAME?</x:v>
      </x:c>
      <x:c r="Q629" s="146" t="e">
        <x:f>IF(OR('实盘净值数据(iFinD公式)'!$A629="",'实盘净值数据(iFinD公式)'!$B629=""),"",分期持仓明细!$AD$25*SUMPRODUCT(分期持仓明细!$B$25:$AA$25,'实盘净值数据(iFinD公式)'!$B629:$AA629/'实盘净值数据(iFinD公式)'!$B$65:$AA$65)*(1-实盘持仓初始配置!$Z$9)^(('实盘净值数据(iFinD公式)'!$A629-'实盘净值数据(iFinD公式)'!$A$8)/365))</x:f>
        <x:v>#NAME?</x:v>
      </x:c>
      <x:c r="R629" s="152" t="e">
        <x:f>IF(OR(Q628="",Q629=""),"",Q629/Q628-1)</x:f>
        <x:v>#NAME?</x:v>
      </x:c>
      <x:c r="S629" s="152" t="e">
        <x:f>IF(Q629="","",Q629/MAX(Q$5:Q629)-1)</x:f>
        <x:v>#NAME?</x:v>
      </x:c>
    </x:row>
    <x:row r="630">
      <x:c r="A630" s="149" t="str">
        <x:f>IF('实盘净值数据(iFinD公式)'!A630="","",'实盘净值数据(iFinD公式)'!A630)</x:f>
      </x:c>
      <x:c r="B630" s="146" t="e">
        <x:f>IF(OR('实盘净值数据(iFinD公式)'!$A630="",'实盘净值数据(iFinD公式)'!$B630=""),"",分期持仓明细!$AD$17*SUMPRODUCT(分期持仓明细!$B$17:$AA$17,'实盘净值数据(iFinD公式)'!$B630:$AA630/'实盘净值数据(iFinD公式)'!$B$20:$AA$20)*(1-实盘持仓初始配置!$Z$4)^(('实盘净值数据(iFinD公式)'!$A630-'实盘净值数据(iFinD公式)'!$A$6)/365))</x:f>
        <x:v>#NAME?</x:v>
      </x:c>
      <x:c r="C630" s="152" t="e">
        <x:f>IF(OR(B629="",B630=""),"",B630/B629-1)</x:f>
        <x:v>#NAME?</x:v>
      </x:c>
      <x:c r="D630" s="152" t="e">
        <x:f>IF(B630="","",B630/MAX(B$5:B630)-1)</x:f>
        <x:v>#NAME?</x:v>
      </x:c>
      <x:c r="E630" s="146" t="e">
        <x:f>IF(OR('实盘净值数据(iFinD公式)'!$A630="",'实盘净值数据(iFinD公式)'!$B630=""),"",分期持仓明细!$AD$18*SUMPRODUCT(分期持仓明细!$B$18:$AA$18,'实盘净值数据(iFinD公式)'!$B630:$AA630/'实盘净值数据(iFinD公式)'!$B$20:$AA$20)*(1-实盘持仓初始配置!$Z$5)^(('实盘净值数据(iFinD公式)'!$A630-'实盘净值数据(iFinD公式)'!$A$5)/365))</x:f>
        <x:v>#NAME?</x:v>
      </x:c>
      <x:c r="F630" s="152" t="e">
        <x:f>IF(OR(E629="",E630=""),"",E630/E629-1)</x:f>
        <x:v>#NAME?</x:v>
      </x:c>
      <x:c r="G630" s="152" t="e">
        <x:f>IF(E630="","",E630/MAX(E$5:E630)-1)</x:f>
        <x:v>#NAME?</x:v>
      </x:c>
      <x:c r="H630" s="146" t="e">
        <x:f>IF(OR('实盘净值数据(iFinD公式)'!$A630="",'实盘净值数据(iFinD公式)'!$B630=""),"",分期持仓明细!$AD$19*SUMPRODUCT(分期持仓明细!$B$19:$AA$19,'实盘净值数据(iFinD公式)'!$B630:$AA630/'实盘净值数据(iFinD公式)'!$B$20:$AA$20)*(1-实盘持仓初始配置!$Z$6)^(('实盘净值数据(iFinD公式)'!$A630-'实盘净值数据(iFinD公式)'!$A$7)/365))</x:f>
        <x:v>#NAME?</x:v>
      </x:c>
      <x:c r="I630" s="152" t="e">
        <x:f>IF(OR(H629="",H630=""),"",H630/H629-1)</x:f>
        <x:v>#NAME?</x:v>
      </x:c>
      <x:c r="J630" s="152" t="e">
        <x:f>IF(H630="","",H630/MAX(H$5:H630)-1)</x:f>
        <x:v>#NAME?</x:v>
      </x:c>
      <x:c r="K630" s="146" t="e">
        <x:f>IF(OR('实盘净值数据(iFinD公式)'!$A630="",'实盘净值数据(iFinD公式)'!$B630=""),"",分期持仓明细!$AD$23*SUMPRODUCT(分期持仓明细!$B$23:$AA$23,'实盘净值数据(iFinD公式)'!$B630:$AA630/'实盘净值数据(iFinD公式)'!$B$65:$AA$65)*(1-实盘持仓初始配置!$Z$7)^(('实盘净值数据(iFinD公式)'!$A630-'实盘净值数据(iFinD公式)'!$A$8)/365))</x:f>
        <x:v>#NAME?</x:v>
      </x:c>
      <x:c r="L630" s="152" t="e">
        <x:f>IF(OR(K629="",K630=""),"",K630/K629-1)</x:f>
        <x:v>#NAME?</x:v>
      </x:c>
      <x:c r="M630" s="152" t="e">
        <x:f>IF(K630="","",K630/MAX(K$5:K630)-1)</x:f>
        <x:v>#NAME?</x:v>
      </x:c>
      <x:c r="N630" s="146" t="e">
        <x:f>IF(OR('实盘净值数据(iFinD公式)'!$A630="",'实盘净值数据(iFinD公式)'!$B630=""),"",分期持仓明细!$AD$24*SUMPRODUCT(分期持仓明细!$B$24:$AA$24,'实盘净值数据(iFinD公式)'!$B630:$AA630/'实盘净值数据(iFinD公式)'!$B$65:$AA$65)*(1-实盘持仓初始配置!$Z$8)^(('实盘净值数据(iFinD公式)'!$A630-'实盘净值数据(iFinD公式)'!$A$5)/365))</x:f>
        <x:v>#NAME?</x:v>
      </x:c>
      <x:c r="O630" s="152" t="e">
        <x:f>IF(OR(N629="",N630=""),"",N630/N629-1)</x:f>
        <x:v>#NAME?</x:v>
      </x:c>
      <x:c r="P630" s="152" t="e">
        <x:f>IF(N630="","",N630/MAX(N$5:N630)-1)</x:f>
        <x:v>#NAME?</x:v>
      </x:c>
      <x:c r="Q630" s="146" t="e">
        <x:f>IF(OR('实盘净值数据(iFinD公式)'!$A630="",'实盘净值数据(iFinD公式)'!$B630=""),"",分期持仓明细!$AD$25*SUMPRODUCT(分期持仓明细!$B$25:$AA$25,'实盘净值数据(iFinD公式)'!$B630:$AA630/'实盘净值数据(iFinD公式)'!$B$65:$AA$65)*(1-实盘持仓初始配置!$Z$9)^(('实盘净值数据(iFinD公式)'!$A630-'实盘净值数据(iFinD公式)'!$A$8)/365))</x:f>
        <x:v>#NAME?</x:v>
      </x:c>
      <x:c r="R630" s="152" t="e">
        <x:f>IF(OR(Q629="",Q630=""),"",Q630/Q629-1)</x:f>
        <x:v>#NAME?</x:v>
      </x:c>
      <x:c r="S630" s="152" t="e">
        <x:f>IF(Q630="","",Q630/MAX(Q$5:Q630)-1)</x:f>
        <x:v>#NAME?</x:v>
      </x:c>
    </x:row>
    <x:row r="631">
      <x:c r="A631" s="149" t="str">
        <x:f>IF('实盘净值数据(iFinD公式)'!A631="","",'实盘净值数据(iFinD公式)'!A631)</x:f>
      </x:c>
      <x:c r="B631" s="146" t="e">
        <x:f>IF(OR('实盘净值数据(iFinD公式)'!$A631="",'实盘净值数据(iFinD公式)'!$B631=""),"",分期持仓明细!$AD$17*SUMPRODUCT(分期持仓明细!$B$17:$AA$17,'实盘净值数据(iFinD公式)'!$B631:$AA631/'实盘净值数据(iFinD公式)'!$B$20:$AA$20)*(1-实盘持仓初始配置!$Z$4)^(('实盘净值数据(iFinD公式)'!$A631-'实盘净值数据(iFinD公式)'!$A$6)/365))</x:f>
        <x:v>#NAME?</x:v>
      </x:c>
      <x:c r="C631" s="152" t="e">
        <x:f>IF(OR(B630="",B631=""),"",B631/B630-1)</x:f>
        <x:v>#NAME?</x:v>
      </x:c>
      <x:c r="D631" s="152" t="e">
        <x:f>IF(B631="","",B631/MAX(B$5:B631)-1)</x:f>
        <x:v>#NAME?</x:v>
      </x:c>
      <x:c r="E631" s="146" t="e">
        <x:f>IF(OR('实盘净值数据(iFinD公式)'!$A631="",'实盘净值数据(iFinD公式)'!$B631=""),"",分期持仓明细!$AD$18*SUMPRODUCT(分期持仓明细!$B$18:$AA$18,'实盘净值数据(iFinD公式)'!$B631:$AA631/'实盘净值数据(iFinD公式)'!$B$20:$AA$20)*(1-实盘持仓初始配置!$Z$5)^(('实盘净值数据(iFinD公式)'!$A631-'实盘净值数据(iFinD公式)'!$A$5)/365))</x:f>
        <x:v>#NAME?</x:v>
      </x:c>
      <x:c r="F631" s="152" t="e">
        <x:f>IF(OR(E630="",E631=""),"",E631/E630-1)</x:f>
        <x:v>#NAME?</x:v>
      </x:c>
      <x:c r="G631" s="152" t="e">
        <x:f>IF(E631="","",E631/MAX(E$5:E631)-1)</x:f>
        <x:v>#NAME?</x:v>
      </x:c>
      <x:c r="H631" s="146" t="e">
        <x:f>IF(OR('实盘净值数据(iFinD公式)'!$A631="",'实盘净值数据(iFinD公式)'!$B631=""),"",分期持仓明细!$AD$19*SUMPRODUCT(分期持仓明细!$B$19:$AA$19,'实盘净值数据(iFinD公式)'!$B631:$AA631/'实盘净值数据(iFinD公式)'!$B$20:$AA$20)*(1-实盘持仓初始配置!$Z$6)^(('实盘净值数据(iFinD公式)'!$A631-'实盘净值数据(iFinD公式)'!$A$7)/365))</x:f>
        <x:v>#NAME?</x:v>
      </x:c>
      <x:c r="I631" s="152" t="e">
        <x:f>IF(OR(H630="",H631=""),"",H631/H630-1)</x:f>
        <x:v>#NAME?</x:v>
      </x:c>
      <x:c r="J631" s="152" t="e">
        <x:f>IF(H631="","",H631/MAX(H$5:H631)-1)</x:f>
        <x:v>#NAME?</x:v>
      </x:c>
      <x:c r="K631" s="146" t="e">
        <x:f>IF(OR('实盘净值数据(iFinD公式)'!$A631="",'实盘净值数据(iFinD公式)'!$B631=""),"",分期持仓明细!$AD$23*SUMPRODUCT(分期持仓明细!$B$23:$AA$23,'实盘净值数据(iFinD公式)'!$B631:$AA631/'实盘净值数据(iFinD公式)'!$B$65:$AA$65)*(1-实盘持仓初始配置!$Z$7)^(('实盘净值数据(iFinD公式)'!$A631-'实盘净值数据(iFinD公式)'!$A$8)/365))</x:f>
        <x:v>#NAME?</x:v>
      </x:c>
      <x:c r="L631" s="152" t="e">
        <x:f>IF(OR(K630="",K631=""),"",K631/K630-1)</x:f>
        <x:v>#NAME?</x:v>
      </x:c>
      <x:c r="M631" s="152" t="e">
        <x:f>IF(K631="","",K631/MAX(K$5:K631)-1)</x:f>
        <x:v>#NAME?</x:v>
      </x:c>
      <x:c r="N631" s="146" t="e">
        <x:f>IF(OR('实盘净值数据(iFinD公式)'!$A631="",'实盘净值数据(iFinD公式)'!$B631=""),"",分期持仓明细!$AD$24*SUMPRODUCT(分期持仓明细!$B$24:$AA$24,'实盘净值数据(iFinD公式)'!$B631:$AA631/'实盘净值数据(iFinD公式)'!$B$65:$AA$65)*(1-实盘持仓初始配置!$Z$8)^(('实盘净值数据(iFinD公式)'!$A631-'实盘净值数据(iFinD公式)'!$A$5)/365))</x:f>
        <x:v>#NAME?</x:v>
      </x:c>
      <x:c r="O631" s="152" t="e">
        <x:f>IF(OR(N630="",N631=""),"",N631/N630-1)</x:f>
        <x:v>#NAME?</x:v>
      </x:c>
      <x:c r="P631" s="152" t="e">
        <x:f>IF(N631="","",N631/MAX(N$5:N631)-1)</x:f>
        <x:v>#NAME?</x:v>
      </x:c>
      <x:c r="Q631" s="146" t="e">
        <x:f>IF(OR('实盘净值数据(iFinD公式)'!$A631="",'实盘净值数据(iFinD公式)'!$B631=""),"",分期持仓明细!$AD$25*SUMPRODUCT(分期持仓明细!$B$25:$AA$25,'实盘净值数据(iFinD公式)'!$B631:$AA631/'实盘净值数据(iFinD公式)'!$B$65:$AA$65)*(1-实盘持仓初始配置!$Z$9)^(('实盘净值数据(iFinD公式)'!$A631-'实盘净值数据(iFinD公式)'!$A$8)/365))</x:f>
        <x:v>#NAME?</x:v>
      </x:c>
      <x:c r="R631" s="152" t="e">
        <x:f>IF(OR(Q630="",Q631=""),"",Q631/Q630-1)</x:f>
        <x:v>#NAME?</x:v>
      </x:c>
      <x:c r="S631" s="152" t="e">
        <x:f>IF(Q631="","",Q631/MAX(Q$5:Q631)-1)</x:f>
        <x:v>#NAME?</x:v>
      </x:c>
    </x:row>
    <x:row r="632">
      <x:c r="A632" s="149" t="str">
        <x:f>IF('实盘净值数据(iFinD公式)'!A632="","",'实盘净值数据(iFinD公式)'!A632)</x:f>
      </x:c>
      <x:c r="B632" s="146" t="e">
        <x:f>IF(OR('实盘净值数据(iFinD公式)'!$A632="",'实盘净值数据(iFinD公式)'!$B632=""),"",分期持仓明细!$AD$17*SUMPRODUCT(分期持仓明细!$B$17:$AA$17,'实盘净值数据(iFinD公式)'!$B632:$AA632/'实盘净值数据(iFinD公式)'!$B$20:$AA$20)*(1-实盘持仓初始配置!$Z$4)^(('实盘净值数据(iFinD公式)'!$A632-'实盘净值数据(iFinD公式)'!$A$6)/365))</x:f>
        <x:v>#NAME?</x:v>
      </x:c>
      <x:c r="C632" s="152" t="e">
        <x:f>IF(OR(B631="",B632=""),"",B632/B631-1)</x:f>
        <x:v>#NAME?</x:v>
      </x:c>
      <x:c r="D632" s="152" t="e">
        <x:f>IF(B632="","",B632/MAX(B$5:B632)-1)</x:f>
        <x:v>#NAME?</x:v>
      </x:c>
      <x:c r="E632" s="146" t="e">
        <x:f>IF(OR('实盘净值数据(iFinD公式)'!$A632="",'实盘净值数据(iFinD公式)'!$B632=""),"",分期持仓明细!$AD$18*SUMPRODUCT(分期持仓明细!$B$18:$AA$18,'实盘净值数据(iFinD公式)'!$B632:$AA632/'实盘净值数据(iFinD公式)'!$B$20:$AA$20)*(1-实盘持仓初始配置!$Z$5)^(('实盘净值数据(iFinD公式)'!$A632-'实盘净值数据(iFinD公式)'!$A$5)/365))</x:f>
        <x:v>#NAME?</x:v>
      </x:c>
      <x:c r="F632" s="152" t="e">
        <x:f>IF(OR(E631="",E632=""),"",E632/E631-1)</x:f>
        <x:v>#NAME?</x:v>
      </x:c>
      <x:c r="G632" s="152" t="e">
        <x:f>IF(E632="","",E632/MAX(E$5:E632)-1)</x:f>
        <x:v>#NAME?</x:v>
      </x:c>
      <x:c r="H632" s="146" t="e">
        <x:f>IF(OR('实盘净值数据(iFinD公式)'!$A632="",'实盘净值数据(iFinD公式)'!$B632=""),"",分期持仓明细!$AD$19*SUMPRODUCT(分期持仓明细!$B$19:$AA$19,'实盘净值数据(iFinD公式)'!$B632:$AA632/'实盘净值数据(iFinD公式)'!$B$20:$AA$20)*(1-实盘持仓初始配置!$Z$6)^(('实盘净值数据(iFinD公式)'!$A632-'实盘净值数据(iFinD公式)'!$A$7)/365))</x:f>
        <x:v>#NAME?</x:v>
      </x:c>
      <x:c r="I632" s="152" t="e">
        <x:f>IF(OR(H631="",H632=""),"",H632/H631-1)</x:f>
        <x:v>#NAME?</x:v>
      </x:c>
      <x:c r="J632" s="152" t="e">
        <x:f>IF(H632="","",H632/MAX(H$5:H632)-1)</x:f>
        <x:v>#NAME?</x:v>
      </x:c>
      <x:c r="K632" s="146" t="e">
        <x:f>IF(OR('实盘净值数据(iFinD公式)'!$A632="",'实盘净值数据(iFinD公式)'!$B632=""),"",分期持仓明细!$AD$23*SUMPRODUCT(分期持仓明细!$B$23:$AA$23,'实盘净值数据(iFinD公式)'!$B632:$AA632/'实盘净值数据(iFinD公式)'!$B$65:$AA$65)*(1-实盘持仓初始配置!$Z$7)^(('实盘净值数据(iFinD公式)'!$A632-'实盘净值数据(iFinD公式)'!$A$8)/365))</x:f>
        <x:v>#NAME?</x:v>
      </x:c>
      <x:c r="L632" s="152" t="e">
        <x:f>IF(OR(K631="",K632=""),"",K632/K631-1)</x:f>
        <x:v>#NAME?</x:v>
      </x:c>
      <x:c r="M632" s="152" t="e">
        <x:f>IF(K632="","",K632/MAX(K$5:K632)-1)</x:f>
        <x:v>#NAME?</x:v>
      </x:c>
      <x:c r="N632" s="146" t="e">
        <x:f>IF(OR('实盘净值数据(iFinD公式)'!$A632="",'实盘净值数据(iFinD公式)'!$B632=""),"",分期持仓明细!$AD$24*SUMPRODUCT(分期持仓明细!$B$24:$AA$24,'实盘净值数据(iFinD公式)'!$B632:$AA632/'实盘净值数据(iFinD公式)'!$B$65:$AA$65)*(1-实盘持仓初始配置!$Z$8)^(('实盘净值数据(iFinD公式)'!$A632-'实盘净值数据(iFinD公式)'!$A$5)/365))</x:f>
        <x:v>#NAME?</x:v>
      </x:c>
      <x:c r="O632" s="152" t="e">
        <x:f>IF(OR(N631="",N632=""),"",N632/N631-1)</x:f>
        <x:v>#NAME?</x:v>
      </x:c>
      <x:c r="P632" s="152" t="e">
        <x:f>IF(N632="","",N632/MAX(N$5:N632)-1)</x:f>
        <x:v>#NAME?</x:v>
      </x:c>
      <x:c r="Q632" s="146" t="e">
        <x:f>IF(OR('实盘净值数据(iFinD公式)'!$A632="",'实盘净值数据(iFinD公式)'!$B632=""),"",分期持仓明细!$AD$25*SUMPRODUCT(分期持仓明细!$B$25:$AA$25,'实盘净值数据(iFinD公式)'!$B632:$AA632/'实盘净值数据(iFinD公式)'!$B$65:$AA$65)*(1-实盘持仓初始配置!$Z$9)^(('实盘净值数据(iFinD公式)'!$A632-'实盘净值数据(iFinD公式)'!$A$8)/365))</x:f>
        <x:v>#NAME?</x:v>
      </x:c>
      <x:c r="R632" s="152" t="e">
        <x:f>IF(OR(Q631="",Q632=""),"",Q632/Q631-1)</x:f>
        <x:v>#NAME?</x:v>
      </x:c>
      <x:c r="S632" s="152" t="e">
        <x:f>IF(Q632="","",Q632/MAX(Q$5:Q632)-1)</x:f>
        <x:v>#NAME?</x:v>
      </x:c>
    </x:row>
    <x:row r="633">
      <x:c r="A633" s="149" t="str">
        <x:f>IF('实盘净值数据(iFinD公式)'!A633="","",'实盘净值数据(iFinD公式)'!A633)</x:f>
      </x:c>
      <x:c r="B633" s="146" t="e">
        <x:f>IF(OR('实盘净值数据(iFinD公式)'!$A633="",'实盘净值数据(iFinD公式)'!$B633=""),"",分期持仓明细!$AD$17*SUMPRODUCT(分期持仓明细!$B$17:$AA$17,'实盘净值数据(iFinD公式)'!$B633:$AA633/'实盘净值数据(iFinD公式)'!$B$20:$AA$20)*(1-实盘持仓初始配置!$Z$4)^(('实盘净值数据(iFinD公式)'!$A633-'实盘净值数据(iFinD公式)'!$A$6)/365))</x:f>
        <x:v>#NAME?</x:v>
      </x:c>
      <x:c r="C633" s="152" t="e">
        <x:f>IF(OR(B632="",B633=""),"",B633/B632-1)</x:f>
        <x:v>#NAME?</x:v>
      </x:c>
      <x:c r="D633" s="152" t="e">
        <x:f>IF(B633="","",B633/MAX(B$5:B633)-1)</x:f>
        <x:v>#NAME?</x:v>
      </x:c>
      <x:c r="E633" s="146" t="e">
        <x:f>IF(OR('实盘净值数据(iFinD公式)'!$A633="",'实盘净值数据(iFinD公式)'!$B633=""),"",分期持仓明细!$AD$18*SUMPRODUCT(分期持仓明细!$B$18:$AA$18,'实盘净值数据(iFinD公式)'!$B633:$AA633/'实盘净值数据(iFinD公式)'!$B$20:$AA$20)*(1-实盘持仓初始配置!$Z$5)^(('实盘净值数据(iFinD公式)'!$A633-'实盘净值数据(iFinD公式)'!$A$5)/365))</x:f>
        <x:v>#NAME?</x:v>
      </x:c>
      <x:c r="F633" s="152" t="e">
        <x:f>IF(OR(E632="",E633=""),"",E633/E632-1)</x:f>
        <x:v>#NAME?</x:v>
      </x:c>
      <x:c r="G633" s="152" t="e">
        <x:f>IF(E633="","",E633/MAX(E$5:E633)-1)</x:f>
        <x:v>#NAME?</x:v>
      </x:c>
      <x:c r="H633" s="146" t="e">
        <x:f>IF(OR('实盘净值数据(iFinD公式)'!$A633="",'实盘净值数据(iFinD公式)'!$B633=""),"",分期持仓明细!$AD$19*SUMPRODUCT(分期持仓明细!$B$19:$AA$19,'实盘净值数据(iFinD公式)'!$B633:$AA633/'实盘净值数据(iFinD公式)'!$B$20:$AA$20)*(1-实盘持仓初始配置!$Z$6)^(('实盘净值数据(iFinD公式)'!$A633-'实盘净值数据(iFinD公式)'!$A$7)/365))</x:f>
        <x:v>#NAME?</x:v>
      </x:c>
      <x:c r="I633" s="152" t="e">
        <x:f>IF(OR(H632="",H633=""),"",H633/H632-1)</x:f>
        <x:v>#NAME?</x:v>
      </x:c>
      <x:c r="J633" s="152" t="e">
        <x:f>IF(H633="","",H633/MAX(H$5:H633)-1)</x:f>
        <x:v>#NAME?</x:v>
      </x:c>
      <x:c r="K633" s="146" t="e">
        <x:f>IF(OR('实盘净值数据(iFinD公式)'!$A633="",'实盘净值数据(iFinD公式)'!$B633=""),"",分期持仓明细!$AD$23*SUMPRODUCT(分期持仓明细!$B$23:$AA$23,'实盘净值数据(iFinD公式)'!$B633:$AA633/'实盘净值数据(iFinD公式)'!$B$65:$AA$65)*(1-实盘持仓初始配置!$Z$7)^(('实盘净值数据(iFinD公式)'!$A633-'实盘净值数据(iFinD公式)'!$A$8)/365))</x:f>
        <x:v>#NAME?</x:v>
      </x:c>
      <x:c r="L633" s="152" t="e">
        <x:f>IF(OR(K632="",K633=""),"",K633/K632-1)</x:f>
        <x:v>#NAME?</x:v>
      </x:c>
      <x:c r="M633" s="152" t="e">
        <x:f>IF(K633="","",K633/MAX(K$5:K633)-1)</x:f>
        <x:v>#NAME?</x:v>
      </x:c>
      <x:c r="N633" s="146" t="e">
        <x:f>IF(OR('实盘净值数据(iFinD公式)'!$A633="",'实盘净值数据(iFinD公式)'!$B633=""),"",分期持仓明细!$AD$24*SUMPRODUCT(分期持仓明细!$B$24:$AA$24,'实盘净值数据(iFinD公式)'!$B633:$AA633/'实盘净值数据(iFinD公式)'!$B$65:$AA$65)*(1-实盘持仓初始配置!$Z$8)^(('实盘净值数据(iFinD公式)'!$A633-'实盘净值数据(iFinD公式)'!$A$5)/365))</x:f>
        <x:v>#NAME?</x:v>
      </x:c>
      <x:c r="O633" s="152" t="e">
        <x:f>IF(OR(N632="",N633=""),"",N633/N632-1)</x:f>
        <x:v>#NAME?</x:v>
      </x:c>
      <x:c r="P633" s="152" t="e">
        <x:f>IF(N633="","",N633/MAX(N$5:N633)-1)</x:f>
        <x:v>#NAME?</x:v>
      </x:c>
      <x:c r="Q633" s="146" t="e">
        <x:f>IF(OR('实盘净值数据(iFinD公式)'!$A633="",'实盘净值数据(iFinD公式)'!$B633=""),"",分期持仓明细!$AD$25*SUMPRODUCT(分期持仓明细!$B$25:$AA$25,'实盘净值数据(iFinD公式)'!$B633:$AA633/'实盘净值数据(iFinD公式)'!$B$65:$AA$65)*(1-实盘持仓初始配置!$Z$9)^(('实盘净值数据(iFinD公式)'!$A633-'实盘净值数据(iFinD公式)'!$A$8)/365))</x:f>
        <x:v>#NAME?</x:v>
      </x:c>
      <x:c r="R633" s="152" t="e">
        <x:f>IF(OR(Q632="",Q633=""),"",Q633/Q632-1)</x:f>
        <x:v>#NAME?</x:v>
      </x:c>
      <x:c r="S633" s="152" t="e">
        <x:f>IF(Q633="","",Q633/MAX(Q$5:Q633)-1)</x:f>
        <x:v>#NAME?</x:v>
      </x:c>
    </x:row>
    <x:row r="634">
      <x:c r="A634" s="149" t="str">
        <x:f>IF('实盘净值数据(iFinD公式)'!A634="","",'实盘净值数据(iFinD公式)'!A634)</x:f>
      </x:c>
      <x:c r="B634" s="146" t="e">
        <x:f>IF(OR('实盘净值数据(iFinD公式)'!$A634="",'实盘净值数据(iFinD公式)'!$B634=""),"",分期持仓明细!$AD$17*SUMPRODUCT(分期持仓明细!$B$17:$AA$17,'实盘净值数据(iFinD公式)'!$B634:$AA634/'实盘净值数据(iFinD公式)'!$B$20:$AA$20)*(1-实盘持仓初始配置!$Z$4)^(('实盘净值数据(iFinD公式)'!$A634-'实盘净值数据(iFinD公式)'!$A$6)/365))</x:f>
        <x:v>#NAME?</x:v>
      </x:c>
      <x:c r="C634" s="152" t="e">
        <x:f>IF(OR(B633="",B634=""),"",B634/B633-1)</x:f>
        <x:v>#NAME?</x:v>
      </x:c>
      <x:c r="D634" s="152" t="e">
        <x:f>IF(B634="","",B634/MAX(B$5:B634)-1)</x:f>
        <x:v>#NAME?</x:v>
      </x:c>
      <x:c r="E634" s="146" t="e">
        <x:f>IF(OR('实盘净值数据(iFinD公式)'!$A634="",'实盘净值数据(iFinD公式)'!$B634=""),"",分期持仓明细!$AD$18*SUMPRODUCT(分期持仓明细!$B$18:$AA$18,'实盘净值数据(iFinD公式)'!$B634:$AA634/'实盘净值数据(iFinD公式)'!$B$20:$AA$20)*(1-实盘持仓初始配置!$Z$5)^(('实盘净值数据(iFinD公式)'!$A634-'实盘净值数据(iFinD公式)'!$A$5)/365))</x:f>
        <x:v>#NAME?</x:v>
      </x:c>
      <x:c r="F634" s="152" t="e">
        <x:f>IF(OR(E633="",E634=""),"",E634/E633-1)</x:f>
        <x:v>#NAME?</x:v>
      </x:c>
      <x:c r="G634" s="152" t="e">
        <x:f>IF(E634="","",E634/MAX(E$5:E634)-1)</x:f>
        <x:v>#NAME?</x:v>
      </x:c>
      <x:c r="H634" s="146" t="e">
        <x:f>IF(OR('实盘净值数据(iFinD公式)'!$A634="",'实盘净值数据(iFinD公式)'!$B634=""),"",分期持仓明细!$AD$19*SUMPRODUCT(分期持仓明细!$B$19:$AA$19,'实盘净值数据(iFinD公式)'!$B634:$AA634/'实盘净值数据(iFinD公式)'!$B$20:$AA$20)*(1-实盘持仓初始配置!$Z$6)^(('实盘净值数据(iFinD公式)'!$A634-'实盘净值数据(iFinD公式)'!$A$7)/365))</x:f>
        <x:v>#NAME?</x:v>
      </x:c>
      <x:c r="I634" s="152" t="e">
        <x:f>IF(OR(H633="",H634=""),"",H634/H633-1)</x:f>
        <x:v>#NAME?</x:v>
      </x:c>
      <x:c r="J634" s="152" t="e">
        <x:f>IF(H634="","",H634/MAX(H$5:H634)-1)</x:f>
        <x:v>#NAME?</x:v>
      </x:c>
      <x:c r="K634" s="146" t="e">
        <x:f>IF(OR('实盘净值数据(iFinD公式)'!$A634="",'实盘净值数据(iFinD公式)'!$B634=""),"",分期持仓明细!$AD$23*SUMPRODUCT(分期持仓明细!$B$23:$AA$23,'实盘净值数据(iFinD公式)'!$B634:$AA634/'实盘净值数据(iFinD公式)'!$B$65:$AA$65)*(1-实盘持仓初始配置!$Z$7)^(('实盘净值数据(iFinD公式)'!$A634-'实盘净值数据(iFinD公式)'!$A$8)/365))</x:f>
        <x:v>#NAME?</x:v>
      </x:c>
      <x:c r="L634" s="152" t="e">
        <x:f>IF(OR(K633="",K634=""),"",K634/K633-1)</x:f>
        <x:v>#NAME?</x:v>
      </x:c>
      <x:c r="M634" s="152" t="e">
        <x:f>IF(K634="","",K634/MAX(K$5:K634)-1)</x:f>
        <x:v>#NAME?</x:v>
      </x:c>
      <x:c r="N634" s="146" t="e">
        <x:f>IF(OR('实盘净值数据(iFinD公式)'!$A634="",'实盘净值数据(iFinD公式)'!$B634=""),"",分期持仓明细!$AD$24*SUMPRODUCT(分期持仓明细!$B$24:$AA$24,'实盘净值数据(iFinD公式)'!$B634:$AA634/'实盘净值数据(iFinD公式)'!$B$65:$AA$65)*(1-实盘持仓初始配置!$Z$8)^(('实盘净值数据(iFinD公式)'!$A634-'实盘净值数据(iFinD公式)'!$A$5)/365))</x:f>
        <x:v>#NAME?</x:v>
      </x:c>
      <x:c r="O634" s="152" t="e">
        <x:f>IF(OR(N633="",N634=""),"",N634/N633-1)</x:f>
        <x:v>#NAME?</x:v>
      </x:c>
      <x:c r="P634" s="152" t="e">
        <x:f>IF(N634="","",N634/MAX(N$5:N634)-1)</x:f>
        <x:v>#NAME?</x:v>
      </x:c>
      <x:c r="Q634" s="146" t="e">
        <x:f>IF(OR('实盘净值数据(iFinD公式)'!$A634="",'实盘净值数据(iFinD公式)'!$B634=""),"",分期持仓明细!$AD$25*SUMPRODUCT(分期持仓明细!$B$25:$AA$25,'实盘净值数据(iFinD公式)'!$B634:$AA634/'实盘净值数据(iFinD公式)'!$B$65:$AA$65)*(1-实盘持仓初始配置!$Z$9)^(('实盘净值数据(iFinD公式)'!$A634-'实盘净值数据(iFinD公式)'!$A$8)/365))</x:f>
        <x:v>#NAME?</x:v>
      </x:c>
      <x:c r="R634" s="152" t="e">
        <x:f>IF(OR(Q633="",Q634=""),"",Q634/Q633-1)</x:f>
        <x:v>#NAME?</x:v>
      </x:c>
      <x:c r="S634" s="152" t="e">
        <x:f>IF(Q634="","",Q634/MAX(Q$5:Q634)-1)</x:f>
        <x:v>#NAME?</x:v>
      </x:c>
    </x:row>
    <x:row r="635">
      <x:c r="A635" s="149" t="str">
        <x:f>IF('实盘净值数据(iFinD公式)'!A635="","",'实盘净值数据(iFinD公式)'!A635)</x:f>
      </x:c>
      <x:c r="B635" s="146" t="e">
        <x:f>IF(OR('实盘净值数据(iFinD公式)'!$A635="",'实盘净值数据(iFinD公式)'!$B635=""),"",分期持仓明细!$AD$17*SUMPRODUCT(分期持仓明细!$B$17:$AA$17,'实盘净值数据(iFinD公式)'!$B635:$AA635/'实盘净值数据(iFinD公式)'!$B$20:$AA$20)*(1-实盘持仓初始配置!$Z$4)^(('实盘净值数据(iFinD公式)'!$A635-'实盘净值数据(iFinD公式)'!$A$6)/365))</x:f>
        <x:v>#NAME?</x:v>
      </x:c>
      <x:c r="C635" s="152" t="e">
        <x:f>IF(OR(B634="",B635=""),"",B635/B634-1)</x:f>
        <x:v>#NAME?</x:v>
      </x:c>
      <x:c r="D635" s="152" t="e">
        <x:f>IF(B635="","",B635/MAX(B$5:B635)-1)</x:f>
        <x:v>#NAME?</x:v>
      </x:c>
      <x:c r="E635" s="146" t="e">
        <x:f>IF(OR('实盘净值数据(iFinD公式)'!$A635="",'实盘净值数据(iFinD公式)'!$B635=""),"",分期持仓明细!$AD$18*SUMPRODUCT(分期持仓明细!$B$18:$AA$18,'实盘净值数据(iFinD公式)'!$B635:$AA635/'实盘净值数据(iFinD公式)'!$B$20:$AA$20)*(1-实盘持仓初始配置!$Z$5)^(('实盘净值数据(iFinD公式)'!$A635-'实盘净值数据(iFinD公式)'!$A$5)/365))</x:f>
        <x:v>#NAME?</x:v>
      </x:c>
      <x:c r="F635" s="152" t="e">
        <x:f>IF(OR(E634="",E635=""),"",E635/E634-1)</x:f>
        <x:v>#NAME?</x:v>
      </x:c>
      <x:c r="G635" s="152" t="e">
        <x:f>IF(E635="","",E635/MAX(E$5:E635)-1)</x:f>
        <x:v>#NAME?</x:v>
      </x:c>
      <x:c r="H635" s="146" t="e">
        <x:f>IF(OR('实盘净值数据(iFinD公式)'!$A635="",'实盘净值数据(iFinD公式)'!$B635=""),"",分期持仓明细!$AD$19*SUMPRODUCT(分期持仓明细!$B$19:$AA$19,'实盘净值数据(iFinD公式)'!$B635:$AA635/'实盘净值数据(iFinD公式)'!$B$20:$AA$20)*(1-实盘持仓初始配置!$Z$6)^(('实盘净值数据(iFinD公式)'!$A635-'实盘净值数据(iFinD公式)'!$A$7)/365))</x:f>
        <x:v>#NAME?</x:v>
      </x:c>
      <x:c r="I635" s="152" t="e">
        <x:f>IF(OR(H634="",H635=""),"",H635/H634-1)</x:f>
        <x:v>#NAME?</x:v>
      </x:c>
      <x:c r="J635" s="152" t="e">
        <x:f>IF(H635="","",H635/MAX(H$5:H635)-1)</x:f>
        <x:v>#NAME?</x:v>
      </x:c>
      <x:c r="K635" s="146" t="e">
        <x:f>IF(OR('实盘净值数据(iFinD公式)'!$A635="",'实盘净值数据(iFinD公式)'!$B635=""),"",分期持仓明细!$AD$23*SUMPRODUCT(分期持仓明细!$B$23:$AA$23,'实盘净值数据(iFinD公式)'!$B635:$AA635/'实盘净值数据(iFinD公式)'!$B$65:$AA$65)*(1-实盘持仓初始配置!$Z$7)^(('实盘净值数据(iFinD公式)'!$A635-'实盘净值数据(iFinD公式)'!$A$8)/365))</x:f>
        <x:v>#NAME?</x:v>
      </x:c>
      <x:c r="L635" s="152" t="e">
        <x:f>IF(OR(K634="",K635=""),"",K635/K634-1)</x:f>
        <x:v>#NAME?</x:v>
      </x:c>
      <x:c r="M635" s="152" t="e">
        <x:f>IF(K635="","",K635/MAX(K$5:K635)-1)</x:f>
        <x:v>#NAME?</x:v>
      </x:c>
      <x:c r="N635" s="146" t="e">
        <x:f>IF(OR('实盘净值数据(iFinD公式)'!$A635="",'实盘净值数据(iFinD公式)'!$B635=""),"",分期持仓明细!$AD$24*SUMPRODUCT(分期持仓明细!$B$24:$AA$24,'实盘净值数据(iFinD公式)'!$B635:$AA635/'实盘净值数据(iFinD公式)'!$B$65:$AA$65)*(1-实盘持仓初始配置!$Z$8)^(('实盘净值数据(iFinD公式)'!$A635-'实盘净值数据(iFinD公式)'!$A$5)/365))</x:f>
        <x:v>#NAME?</x:v>
      </x:c>
      <x:c r="O635" s="152" t="e">
        <x:f>IF(OR(N634="",N635=""),"",N635/N634-1)</x:f>
        <x:v>#NAME?</x:v>
      </x:c>
      <x:c r="P635" s="152" t="e">
        <x:f>IF(N635="","",N635/MAX(N$5:N635)-1)</x:f>
        <x:v>#NAME?</x:v>
      </x:c>
      <x:c r="Q635" s="146" t="e">
        <x:f>IF(OR('实盘净值数据(iFinD公式)'!$A635="",'实盘净值数据(iFinD公式)'!$B635=""),"",分期持仓明细!$AD$25*SUMPRODUCT(分期持仓明细!$B$25:$AA$25,'实盘净值数据(iFinD公式)'!$B635:$AA635/'实盘净值数据(iFinD公式)'!$B$65:$AA$65)*(1-实盘持仓初始配置!$Z$9)^(('实盘净值数据(iFinD公式)'!$A635-'实盘净值数据(iFinD公式)'!$A$8)/365))</x:f>
        <x:v>#NAME?</x:v>
      </x:c>
      <x:c r="R635" s="152" t="e">
        <x:f>IF(OR(Q634="",Q635=""),"",Q635/Q634-1)</x:f>
        <x:v>#NAME?</x:v>
      </x:c>
      <x:c r="S635" s="152" t="e">
        <x:f>IF(Q635="","",Q635/MAX(Q$5:Q635)-1)</x:f>
        <x:v>#NAME?</x:v>
      </x:c>
    </x:row>
    <x:row r="636">
      <x:c r="A636" s="149" t="str">
        <x:f>IF('实盘净值数据(iFinD公式)'!A636="","",'实盘净值数据(iFinD公式)'!A636)</x:f>
      </x:c>
      <x:c r="B636" s="146" t="e">
        <x:f>IF(OR('实盘净值数据(iFinD公式)'!$A636="",'实盘净值数据(iFinD公式)'!$B636=""),"",分期持仓明细!$AD$17*SUMPRODUCT(分期持仓明细!$B$17:$AA$17,'实盘净值数据(iFinD公式)'!$B636:$AA636/'实盘净值数据(iFinD公式)'!$B$20:$AA$20)*(1-实盘持仓初始配置!$Z$4)^(('实盘净值数据(iFinD公式)'!$A636-'实盘净值数据(iFinD公式)'!$A$6)/365))</x:f>
        <x:v>#NAME?</x:v>
      </x:c>
      <x:c r="C636" s="152" t="e">
        <x:f>IF(OR(B635="",B636=""),"",B636/B635-1)</x:f>
        <x:v>#NAME?</x:v>
      </x:c>
      <x:c r="D636" s="152" t="e">
        <x:f>IF(B636="","",B636/MAX(B$5:B636)-1)</x:f>
        <x:v>#NAME?</x:v>
      </x:c>
      <x:c r="E636" s="146" t="e">
        <x:f>IF(OR('实盘净值数据(iFinD公式)'!$A636="",'实盘净值数据(iFinD公式)'!$B636=""),"",分期持仓明细!$AD$18*SUMPRODUCT(分期持仓明细!$B$18:$AA$18,'实盘净值数据(iFinD公式)'!$B636:$AA636/'实盘净值数据(iFinD公式)'!$B$20:$AA$20)*(1-实盘持仓初始配置!$Z$5)^(('实盘净值数据(iFinD公式)'!$A636-'实盘净值数据(iFinD公式)'!$A$5)/365))</x:f>
        <x:v>#NAME?</x:v>
      </x:c>
      <x:c r="F636" s="152" t="e">
        <x:f>IF(OR(E635="",E636=""),"",E636/E635-1)</x:f>
        <x:v>#NAME?</x:v>
      </x:c>
      <x:c r="G636" s="152" t="e">
        <x:f>IF(E636="","",E636/MAX(E$5:E636)-1)</x:f>
        <x:v>#NAME?</x:v>
      </x:c>
      <x:c r="H636" s="146" t="e">
        <x:f>IF(OR('实盘净值数据(iFinD公式)'!$A636="",'实盘净值数据(iFinD公式)'!$B636=""),"",分期持仓明细!$AD$19*SUMPRODUCT(分期持仓明细!$B$19:$AA$19,'实盘净值数据(iFinD公式)'!$B636:$AA636/'实盘净值数据(iFinD公式)'!$B$20:$AA$20)*(1-实盘持仓初始配置!$Z$6)^(('实盘净值数据(iFinD公式)'!$A636-'实盘净值数据(iFinD公式)'!$A$7)/365))</x:f>
        <x:v>#NAME?</x:v>
      </x:c>
      <x:c r="I636" s="152" t="e">
        <x:f>IF(OR(H635="",H636=""),"",H636/H635-1)</x:f>
        <x:v>#NAME?</x:v>
      </x:c>
      <x:c r="J636" s="152" t="e">
        <x:f>IF(H636="","",H636/MAX(H$5:H636)-1)</x:f>
        <x:v>#NAME?</x:v>
      </x:c>
      <x:c r="K636" s="146" t="e">
        <x:f>IF(OR('实盘净值数据(iFinD公式)'!$A636="",'实盘净值数据(iFinD公式)'!$B636=""),"",分期持仓明细!$AD$23*SUMPRODUCT(分期持仓明细!$B$23:$AA$23,'实盘净值数据(iFinD公式)'!$B636:$AA636/'实盘净值数据(iFinD公式)'!$B$65:$AA$65)*(1-实盘持仓初始配置!$Z$7)^(('实盘净值数据(iFinD公式)'!$A636-'实盘净值数据(iFinD公式)'!$A$8)/365))</x:f>
        <x:v>#NAME?</x:v>
      </x:c>
      <x:c r="L636" s="152" t="e">
        <x:f>IF(OR(K635="",K636=""),"",K636/K635-1)</x:f>
        <x:v>#NAME?</x:v>
      </x:c>
      <x:c r="M636" s="152" t="e">
        <x:f>IF(K636="","",K636/MAX(K$5:K636)-1)</x:f>
        <x:v>#NAME?</x:v>
      </x:c>
      <x:c r="N636" s="146" t="e">
        <x:f>IF(OR('实盘净值数据(iFinD公式)'!$A636="",'实盘净值数据(iFinD公式)'!$B636=""),"",分期持仓明细!$AD$24*SUMPRODUCT(分期持仓明细!$B$24:$AA$24,'实盘净值数据(iFinD公式)'!$B636:$AA636/'实盘净值数据(iFinD公式)'!$B$65:$AA$65)*(1-实盘持仓初始配置!$Z$8)^(('实盘净值数据(iFinD公式)'!$A636-'实盘净值数据(iFinD公式)'!$A$5)/365))</x:f>
        <x:v>#NAME?</x:v>
      </x:c>
      <x:c r="O636" s="152" t="e">
        <x:f>IF(OR(N635="",N636=""),"",N636/N635-1)</x:f>
        <x:v>#NAME?</x:v>
      </x:c>
      <x:c r="P636" s="152" t="e">
        <x:f>IF(N636="","",N636/MAX(N$5:N636)-1)</x:f>
        <x:v>#NAME?</x:v>
      </x:c>
      <x:c r="Q636" s="146" t="e">
        <x:f>IF(OR('实盘净值数据(iFinD公式)'!$A636="",'实盘净值数据(iFinD公式)'!$B636=""),"",分期持仓明细!$AD$25*SUMPRODUCT(分期持仓明细!$B$25:$AA$25,'实盘净值数据(iFinD公式)'!$B636:$AA636/'实盘净值数据(iFinD公式)'!$B$65:$AA$65)*(1-实盘持仓初始配置!$Z$9)^(('实盘净值数据(iFinD公式)'!$A636-'实盘净值数据(iFinD公式)'!$A$8)/365))</x:f>
        <x:v>#NAME?</x:v>
      </x:c>
      <x:c r="R636" s="152" t="e">
        <x:f>IF(OR(Q635="",Q636=""),"",Q636/Q635-1)</x:f>
        <x:v>#NAME?</x:v>
      </x:c>
      <x:c r="S636" s="152" t="e">
        <x:f>IF(Q636="","",Q636/MAX(Q$5:Q636)-1)</x:f>
        <x:v>#NAME?</x:v>
      </x:c>
    </x:row>
    <x:row r="637">
      <x:c r="A637" s="149" t="str">
        <x:f>IF('实盘净值数据(iFinD公式)'!A637="","",'实盘净值数据(iFinD公式)'!A637)</x:f>
      </x:c>
      <x:c r="B637" s="146" t="e">
        <x:f>IF(OR('实盘净值数据(iFinD公式)'!$A637="",'实盘净值数据(iFinD公式)'!$B637=""),"",分期持仓明细!$AD$17*SUMPRODUCT(分期持仓明细!$B$17:$AA$17,'实盘净值数据(iFinD公式)'!$B637:$AA637/'实盘净值数据(iFinD公式)'!$B$20:$AA$20)*(1-实盘持仓初始配置!$Z$4)^(('实盘净值数据(iFinD公式)'!$A637-'实盘净值数据(iFinD公式)'!$A$6)/365))</x:f>
        <x:v>#NAME?</x:v>
      </x:c>
      <x:c r="C637" s="152" t="e">
        <x:f>IF(OR(B636="",B637=""),"",B637/B636-1)</x:f>
        <x:v>#NAME?</x:v>
      </x:c>
      <x:c r="D637" s="152" t="e">
        <x:f>IF(B637="","",B637/MAX(B$5:B637)-1)</x:f>
        <x:v>#NAME?</x:v>
      </x:c>
      <x:c r="E637" s="146" t="e">
        <x:f>IF(OR('实盘净值数据(iFinD公式)'!$A637="",'实盘净值数据(iFinD公式)'!$B637=""),"",分期持仓明细!$AD$18*SUMPRODUCT(分期持仓明细!$B$18:$AA$18,'实盘净值数据(iFinD公式)'!$B637:$AA637/'实盘净值数据(iFinD公式)'!$B$20:$AA$20)*(1-实盘持仓初始配置!$Z$5)^(('实盘净值数据(iFinD公式)'!$A637-'实盘净值数据(iFinD公式)'!$A$5)/365))</x:f>
        <x:v>#NAME?</x:v>
      </x:c>
      <x:c r="F637" s="152" t="e">
        <x:f>IF(OR(E636="",E637=""),"",E637/E636-1)</x:f>
        <x:v>#NAME?</x:v>
      </x:c>
      <x:c r="G637" s="152" t="e">
        <x:f>IF(E637="","",E637/MAX(E$5:E637)-1)</x:f>
        <x:v>#NAME?</x:v>
      </x:c>
      <x:c r="H637" s="146" t="e">
        <x:f>IF(OR('实盘净值数据(iFinD公式)'!$A637="",'实盘净值数据(iFinD公式)'!$B637=""),"",分期持仓明细!$AD$19*SUMPRODUCT(分期持仓明细!$B$19:$AA$19,'实盘净值数据(iFinD公式)'!$B637:$AA637/'实盘净值数据(iFinD公式)'!$B$20:$AA$20)*(1-实盘持仓初始配置!$Z$6)^(('实盘净值数据(iFinD公式)'!$A637-'实盘净值数据(iFinD公式)'!$A$7)/365))</x:f>
        <x:v>#NAME?</x:v>
      </x:c>
      <x:c r="I637" s="152" t="e">
        <x:f>IF(OR(H636="",H637=""),"",H637/H636-1)</x:f>
        <x:v>#NAME?</x:v>
      </x:c>
      <x:c r="J637" s="152" t="e">
        <x:f>IF(H637="","",H637/MAX(H$5:H637)-1)</x:f>
        <x:v>#NAME?</x:v>
      </x:c>
      <x:c r="K637" s="146" t="e">
        <x:f>IF(OR('实盘净值数据(iFinD公式)'!$A637="",'实盘净值数据(iFinD公式)'!$B637=""),"",分期持仓明细!$AD$23*SUMPRODUCT(分期持仓明细!$B$23:$AA$23,'实盘净值数据(iFinD公式)'!$B637:$AA637/'实盘净值数据(iFinD公式)'!$B$65:$AA$65)*(1-实盘持仓初始配置!$Z$7)^(('实盘净值数据(iFinD公式)'!$A637-'实盘净值数据(iFinD公式)'!$A$8)/365))</x:f>
        <x:v>#NAME?</x:v>
      </x:c>
      <x:c r="L637" s="152" t="e">
        <x:f>IF(OR(K636="",K637=""),"",K637/K636-1)</x:f>
        <x:v>#NAME?</x:v>
      </x:c>
      <x:c r="M637" s="152" t="e">
        <x:f>IF(K637="","",K637/MAX(K$5:K637)-1)</x:f>
        <x:v>#NAME?</x:v>
      </x:c>
      <x:c r="N637" s="146" t="e">
        <x:f>IF(OR('实盘净值数据(iFinD公式)'!$A637="",'实盘净值数据(iFinD公式)'!$B637=""),"",分期持仓明细!$AD$24*SUMPRODUCT(分期持仓明细!$B$24:$AA$24,'实盘净值数据(iFinD公式)'!$B637:$AA637/'实盘净值数据(iFinD公式)'!$B$65:$AA$65)*(1-实盘持仓初始配置!$Z$8)^(('实盘净值数据(iFinD公式)'!$A637-'实盘净值数据(iFinD公式)'!$A$5)/365))</x:f>
        <x:v>#NAME?</x:v>
      </x:c>
      <x:c r="O637" s="152" t="e">
        <x:f>IF(OR(N636="",N637=""),"",N637/N636-1)</x:f>
        <x:v>#NAME?</x:v>
      </x:c>
      <x:c r="P637" s="152" t="e">
        <x:f>IF(N637="","",N637/MAX(N$5:N637)-1)</x:f>
        <x:v>#NAME?</x:v>
      </x:c>
      <x:c r="Q637" s="146" t="e">
        <x:f>IF(OR('实盘净值数据(iFinD公式)'!$A637="",'实盘净值数据(iFinD公式)'!$B637=""),"",分期持仓明细!$AD$25*SUMPRODUCT(分期持仓明细!$B$25:$AA$25,'实盘净值数据(iFinD公式)'!$B637:$AA637/'实盘净值数据(iFinD公式)'!$B$65:$AA$65)*(1-实盘持仓初始配置!$Z$9)^(('实盘净值数据(iFinD公式)'!$A637-'实盘净值数据(iFinD公式)'!$A$8)/365))</x:f>
        <x:v>#NAME?</x:v>
      </x:c>
      <x:c r="R637" s="152" t="e">
        <x:f>IF(OR(Q636="",Q637=""),"",Q637/Q636-1)</x:f>
        <x:v>#NAME?</x:v>
      </x:c>
      <x:c r="S637" s="152" t="e">
        <x:f>IF(Q637="","",Q637/MAX(Q$5:Q637)-1)</x:f>
        <x:v>#NAME?</x:v>
      </x:c>
    </x:row>
    <x:row r="638">
      <x:c r="A638" s="149" t="str">
        <x:f>IF('实盘净值数据(iFinD公式)'!A638="","",'实盘净值数据(iFinD公式)'!A638)</x:f>
      </x:c>
      <x:c r="B638" s="146" t="e">
        <x:f>IF(OR('实盘净值数据(iFinD公式)'!$A638="",'实盘净值数据(iFinD公式)'!$B638=""),"",分期持仓明细!$AD$17*SUMPRODUCT(分期持仓明细!$B$17:$AA$17,'实盘净值数据(iFinD公式)'!$B638:$AA638/'实盘净值数据(iFinD公式)'!$B$20:$AA$20)*(1-实盘持仓初始配置!$Z$4)^(('实盘净值数据(iFinD公式)'!$A638-'实盘净值数据(iFinD公式)'!$A$6)/365))</x:f>
        <x:v>#NAME?</x:v>
      </x:c>
      <x:c r="C638" s="152" t="e">
        <x:f>IF(OR(B637="",B638=""),"",B638/B637-1)</x:f>
        <x:v>#NAME?</x:v>
      </x:c>
      <x:c r="D638" s="152" t="e">
        <x:f>IF(B638="","",B638/MAX(B$5:B638)-1)</x:f>
        <x:v>#NAME?</x:v>
      </x:c>
      <x:c r="E638" s="146" t="e">
        <x:f>IF(OR('实盘净值数据(iFinD公式)'!$A638="",'实盘净值数据(iFinD公式)'!$B638=""),"",分期持仓明细!$AD$18*SUMPRODUCT(分期持仓明细!$B$18:$AA$18,'实盘净值数据(iFinD公式)'!$B638:$AA638/'实盘净值数据(iFinD公式)'!$B$20:$AA$20)*(1-实盘持仓初始配置!$Z$5)^(('实盘净值数据(iFinD公式)'!$A638-'实盘净值数据(iFinD公式)'!$A$5)/365))</x:f>
        <x:v>#NAME?</x:v>
      </x:c>
      <x:c r="F638" s="152" t="e">
        <x:f>IF(OR(E637="",E638=""),"",E638/E637-1)</x:f>
        <x:v>#NAME?</x:v>
      </x:c>
      <x:c r="G638" s="152" t="e">
        <x:f>IF(E638="","",E638/MAX(E$5:E638)-1)</x:f>
        <x:v>#NAME?</x:v>
      </x:c>
      <x:c r="H638" s="146" t="e">
        <x:f>IF(OR('实盘净值数据(iFinD公式)'!$A638="",'实盘净值数据(iFinD公式)'!$B638=""),"",分期持仓明细!$AD$19*SUMPRODUCT(分期持仓明细!$B$19:$AA$19,'实盘净值数据(iFinD公式)'!$B638:$AA638/'实盘净值数据(iFinD公式)'!$B$20:$AA$20)*(1-实盘持仓初始配置!$Z$6)^(('实盘净值数据(iFinD公式)'!$A638-'实盘净值数据(iFinD公式)'!$A$7)/365))</x:f>
        <x:v>#NAME?</x:v>
      </x:c>
      <x:c r="I638" s="152" t="e">
        <x:f>IF(OR(H637="",H638=""),"",H638/H637-1)</x:f>
        <x:v>#NAME?</x:v>
      </x:c>
      <x:c r="J638" s="152" t="e">
        <x:f>IF(H638="","",H638/MAX(H$5:H638)-1)</x:f>
        <x:v>#NAME?</x:v>
      </x:c>
      <x:c r="K638" s="146" t="e">
        <x:f>IF(OR('实盘净值数据(iFinD公式)'!$A638="",'实盘净值数据(iFinD公式)'!$B638=""),"",分期持仓明细!$AD$23*SUMPRODUCT(分期持仓明细!$B$23:$AA$23,'实盘净值数据(iFinD公式)'!$B638:$AA638/'实盘净值数据(iFinD公式)'!$B$65:$AA$65)*(1-实盘持仓初始配置!$Z$7)^(('实盘净值数据(iFinD公式)'!$A638-'实盘净值数据(iFinD公式)'!$A$8)/365))</x:f>
        <x:v>#NAME?</x:v>
      </x:c>
      <x:c r="L638" s="152" t="e">
        <x:f>IF(OR(K637="",K638=""),"",K638/K637-1)</x:f>
        <x:v>#NAME?</x:v>
      </x:c>
      <x:c r="M638" s="152" t="e">
        <x:f>IF(K638="","",K638/MAX(K$5:K638)-1)</x:f>
        <x:v>#NAME?</x:v>
      </x:c>
      <x:c r="N638" s="146" t="e">
        <x:f>IF(OR('实盘净值数据(iFinD公式)'!$A638="",'实盘净值数据(iFinD公式)'!$B638=""),"",分期持仓明细!$AD$24*SUMPRODUCT(分期持仓明细!$B$24:$AA$24,'实盘净值数据(iFinD公式)'!$B638:$AA638/'实盘净值数据(iFinD公式)'!$B$65:$AA$65)*(1-实盘持仓初始配置!$Z$8)^(('实盘净值数据(iFinD公式)'!$A638-'实盘净值数据(iFinD公式)'!$A$5)/365))</x:f>
        <x:v>#NAME?</x:v>
      </x:c>
      <x:c r="O638" s="152" t="e">
        <x:f>IF(OR(N637="",N638=""),"",N638/N637-1)</x:f>
        <x:v>#NAME?</x:v>
      </x:c>
      <x:c r="P638" s="152" t="e">
        <x:f>IF(N638="","",N638/MAX(N$5:N638)-1)</x:f>
        <x:v>#NAME?</x:v>
      </x:c>
      <x:c r="Q638" s="146" t="e">
        <x:f>IF(OR('实盘净值数据(iFinD公式)'!$A638="",'实盘净值数据(iFinD公式)'!$B638=""),"",分期持仓明细!$AD$25*SUMPRODUCT(分期持仓明细!$B$25:$AA$25,'实盘净值数据(iFinD公式)'!$B638:$AA638/'实盘净值数据(iFinD公式)'!$B$65:$AA$65)*(1-实盘持仓初始配置!$Z$9)^(('实盘净值数据(iFinD公式)'!$A638-'实盘净值数据(iFinD公式)'!$A$8)/365))</x:f>
        <x:v>#NAME?</x:v>
      </x:c>
      <x:c r="R638" s="152" t="e">
        <x:f>IF(OR(Q637="",Q638=""),"",Q638/Q637-1)</x:f>
        <x:v>#NAME?</x:v>
      </x:c>
      <x:c r="S638" s="152" t="e">
        <x:f>IF(Q638="","",Q638/MAX(Q$5:Q638)-1)</x:f>
        <x:v>#NAME?</x:v>
      </x:c>
    </x:row>
    <x:row r="639">
      <x:c r="A639" s="149" t="str">
        <x:f>IF('实盘净值数据(iFinD公式)'!A639="","",'实盘净值数据(iFinD公式)'!A639)</x:f>
      </x:c>
      <x:c r="B639" s="146" t="e">
        <x:f>IF(OR('实盘净值数据(iFinD公式)'!$A639="",'实盘净值数据(iFinD公式)'!$B639=""),"",分期持仓明细!$AD$17*SUMPRODUCT(分期持仓明细!$B$17:$AA$17,'实盘净值数据(iFinD公式)'!$B639:$AA639/'实盘净值数据(iFinD公式)'!$B$20:$AA$20)*(1-实盘持仓初始配置!$Z$4)^(('实盘净值数据(iFinD公式)'!$A639-'实盘净值数据(iFinD公式)'!$A$6)/365))</x:f>
        <x:v>#NAME?</x:v>
      </x:c>
      <x:c r="C639" s="152" t="e">
        <x:f>IF(OR(B638="",B639=""),"",B639/B638-1)</x:f>
        <x:v>#NAME?</x:v>
      </x:c>
      <x:c r="D639" s="152" t="e">
        <x:f>IF(B639="","",B639/MAX(B$5:B639)-1)</x:f>
        <x:v>#NAME?</x:v>
      </x:c>
      <x:c r="E639" s="146" t="e">
        <x:f>IF(OR('实盘净值数据(iFinD公式)'!$A639="",'实盘净值数据(iFinD公式)'!$B639=""),"",分期持仓明细!$AD$18*SUMPRODUCT(分期持仓明细!$B$18:$AA$18,'实盘净值数据(iFinD公式)'!$B639:$AA639/'实盘净值数据(iFinD公式)'!$B$20:$AA$20)*(1-实盘持仓初始配置!$Z$5)^(('实盘净值数据(iFinD公式)'!$A639-'实盘净值数据(iFinD公式)'!$A$5)/365))</x:f>
        <x:v>#NAME?</x:v>
      </x:c>
      <x:c r="F639" s="152" t="e">
        <x:f>IF(OR(E638="",E639=""),"",E639/E638-1)</x:f>
        <x:v>#NAME?</x:v>
      </x:c>
      <x:c r="G639" s="152" t="e">
        <x:f>IF(E639="","",E639/MAX(E$5:E639)-1)</x:f>
        <x:v>#NAME?</x:v>
      </x:c>
      <x:c r="H639" s="146" t="e">
        <x:f>IF(OR('实盘净值数据(iFinD公式)'!$A639="",'实盘净值数据(iFinD公式)'!$B639=""),"",分期持仓明细!$AD$19*SUMPRODUCT(分期持仓明细!$B$19:$AA$19,'实盘净值数据(iFinD公式)'!$B639:$AA639/'实盘净值数据(iFinD公式)'!$B$20:$AA$20)*(1-实盘持仓初始配置!$Z$6)^(('实盘净值数据(iFinD公式)'!$A639-'实盘净值数据(iFinD公式)'!$A$7)/365))</x:f>
        <x:v>#NAME?</x:v>
      </x:c>
      <x:c r="I639" s="152" t="e">
        <x:f>IF(OR(H638="",H639=""),"",H639/H638-1)</x:f>
        <x:v>#NAME?</x:v>
      </x:c>
      <x:c r="J639" s="152" t="e">
        <x:f>IF(H639="","",H639/MAX(H$5:H639)-1)</x:f>
        <x:v>#NAME?</x:v>
      </x:c>
      <x:c r="K639" s="146" t="e">
        <x:f>IF(OR('实盘净值数据(iFinD公式)'!$A639="",'实盘净值数据(iFinD公式)'!$B639=""),"",分期持仓明细!$AD$23*SUMPRODUCT(分期持仓明细!$B$23:$AA$23,'实盘净值数据(iFinD公式)'!$B639:$AA639/'实盘净值数据(iFinD公式)'!$B$65:$AA$65)*(1-实盘持仓初始配置!$Z$7)^(('实盘净值数据(iFinD公式)'!$A639-'实盘净值数据(iFinD公式)'!$A$8)/365))</x:f>
        <x:v>#NAME?</x:v>
      </x:c>
      <x:c r="L639" s="152" t="e">
        <x:f>IF(OR(K638="",K639=""),"",K639/K638-1)</x:f>
        <x:v>#NAME?</x:v>
      </x:c>
      <x:c r="M639" s="152" t="e">
        <x:f>IF(K639="","",K639/MAX(K$5:K639)-1)</x:f>
        <x:v>#NAME?</x:v>
      </x:c>
      <x:c r="N639" s="146" t="e">
        <x:f>IF(OR('实盘净值数据(iFinD公式)'!$A639="",'实盘净值数据(iFinD公式)'!$B639=""),"",分期持仓明细!$AD$24*SUMPRODUCT(分期持仓明细!$B$24:$AA$24,'实盘净值数据(iFinD公式)'!$B639:$AA639/'实盘净值数据(iFinD公式)'!$B$65:$AA$65)*(1-实盘持仓初始配置!$Z$8)^(('实盘净值数据(iFinD公式)'!$A639-'实盘净值数据(iFinD公式)'!$A$5)/365))</x:f>
        <x:v>#NAME?</x:v>
      </x:c>
      <x:c r="O639" s="152" t="e">
        <x:f>IF(OR(N638="",N639=""),"",N639/N638-1)</x:f>
        <x:v>#NAME?</x:v>
      </x:c>
      <x:c r="P639" s="152" t="e">
        <x:f>IF(N639="","",N639/MAX(N$5:N639)-1)</x:f>
        <x:v>#NAME?</x:v>
      </x:c>
      <x:c r="Q639" s="146" t="e">
        <x:f>IF(OR('实盘净值数据(iFinD公式)'!$A639="",'实盘净值数据(iFinD公式)'!$B639=""),"",分期持仓明细!$AD$25*SUMPRODUCT(分期持仓明细!$B$25:$AA$25,'实盘净值数据(iFinD公式)'!$B639:$AA639/'实盘净值数据(iFinD公式)'!$B$65:$AA$65)*(1-实盘持仓初始配置!$Z$9)^(('实盘净值数据(iFinD公式)'!$A639-'实盘净值数据(iFinD公式)'!$A$8)/365))</x:f>
        <x:v>#NAME?</x:v>
      </x:c>
      <x:c r="R639" s="152" t="e">
        <x:f>IF(OR(Q638="",Q639=""),"",Q639/Q638-1)</x:f>
        <x:v>#NAME?</x:v>
      </x:c>
      <x:c r="S639" s="152" t="e">
        <x:f>IF(Q639="","",Q639/MAX(Q$5:Q639)-1)</x:f>
        <x:v>#NAME?</x:v>
      </x:c>
    </x:row>
    <x:row r="640">
      <x:c r="A640" s="149" t="str">
        <x:f>IF('实盘净值数据(iFinD公式)'!A640="","",'实盘净值数据(iFinD公式)'!A640)</x:f>
      </x:c>
      <x:c r="B640" s="146" t="e">
        <x:f>IF(OR('实盘净值数据(iFinD公式)'!$A640="",'实盘净值数据(iFinD公式)'!$B640=""),"",分期持仓明细!$AD$17*SUMPRODUCT(分期持仓明细!$B$17:$AA$17,'实盘净值数据(iFinD公式)'!$B640:$AA640/'实盘净值数据(iFinD公式)'!$B$20:$AA$20)*(1-实盘持仓初始配置!$Z$4)^(('实盘净值数据(iFinD公式)'!$A640-'实盘净值数据(iFinD公式)'!$A$6)/365))</x:f>
        <x:v>#NAME?</x:v>
      </x:c>
      <x:c r="C640" s="152" t="e">
        <x:f>IF(OR(B639="",B640=""),"",B640/B639-1)</x:f>
        <x:v>#NAME?</x:v>
      </x:c>
      <x:c r="D640" s="152" t="e">
        <x:f>IF(B640="","",B640/MAX(B$5:B640)-1)</x:f>
        <x:v>#NAME?</x:v>
      </x:c>
      <x:c r="E640" s="146" t="e">
        <x:f>IF(OR('实盘净值数据(iFinD公式)'!$A640="",'实盘净值数据(iFinD公式)'!$B640=""),"",分期持仓明细!$AD$18*SUMPRODUCT(分期持仓明细!$B$18:$AA$18,'实盘净值数据(iFinD公式)'!$B640:$AA640/'实盘净值数据(iFinD公式)'!$B$20:$AA$20)*(1-实盘持仓初始配置!$Z$5)^(('实盘净值数据(iFinD公式)'!$A640-'实盘净值数据(iFinD公式)'!$A$5)/365))</x:f>
        <x:v>#NAME?</x:v>
      </x:c>
      <x:c r="F640" s="152" t="e">
        <x:f>IF(OR(E639="",E640=""),"",E640/E639-1)</x:f>
        <x:v>#NAME?</x:v>
      </x:c>
      <x:c r="G640" s="152" t="e">
        <x:f>IF(E640="","",E640/MAX(E$5:E640)-1)</x:f>
        <x:v>#NAME?</x:v>
      </x:c>
      <x:c r="H640" s="146" t="e">
        <x:f>IF(OR('实盘净值数据(iFinD公式)'!$A640="",'实盘净值数据(iFinD公式)'!$B640=""),"",分期持仓明细!$AD$19*SUMPRODUCT(分期持仓明细!$B$19:$AA$19,'实盘净值数据(iFinD公式)'!$B640:$AA640/'实盘净值数据(iFinD公式)'!$B$20:$AA$20)*(1-实盘持仓初始配置!$Z$6)^(('实盘净值数据(iFinD公式)'!$A640-'实盘净值数据(iFinD公式)'!$A$7)/365))</x:f>
        <x:v>#NAME?</x:v>
      </x:c>
      <x:c r="I640" s="152" t="e">
        <x:f>IF(OR(H639="",H640=""),"",H640/H639-1)</x:f>
        <x:v>#NAME?</x:v>
      </x:c>
      <x:c r="J640" s="152" t="e">
        <x:f>IF(H640="","",H640/MAX(H$5:H640)-1)</x:f>
        <x:v>#NAME?</x:v>
      </x:c>
      <x:c r="K640" s="146" t="e">
        <x:f>IF(OR('实盘净值数据(iFinD公式)'!$A640="",'实盘净值数据(iFinD公式)'!$B640=""),"",分期持仓明细!$AD$23*SUMPRODUCT(分期持仓明细!$B$23:$AA$23,'实盘净值数据(iFinD公式)'!$B640:$AA640/'实盘净值数据(iFinD公式)'!$B$65:$AA$65)*(1-实盘持仓初始配置!$Z$7)^(('实盘净值数据(iFinD公式)'!$A640-'实盘净值数据(iFinD公式)'!$A$8)/365))</x:f>
        <x:v>#NAME?</x:v>
      </x:c>
      <x:c r="L640" s="152" t="e">
        <x:f>IF(OR(K639="",K640=""),"",K640/K639-1)</x:f>
        <x:v>#NAME?</x:v>
      </x:c>
      <x:c r="M640" s="152" t="e">
        <x:f>IF(K640="","",K640/MAX(K$5:K640)-1)</x:f>
        <x:v>#NAME?</x:v>
      </x:c>
      <x:c r="N640" s="146" t="e">
        <x:f>IF(OR('实盘净值数据(iFinD公式)'!$A640="",'实盘净值数据(iFinD公式)'!$B640=""),"",分期持仓明细!$AD$24*SUMPRODUCT(分期持仓明细!$B$24:$AA$24,'实盘净值数据(iFinD公式)'!$B640:$AA640/'实盘净值数据(iFinD公式)'!$B$65:$AA$65)*(1-实盘持仓初始配置!$Z$8)^(('实盘净值数据(iFinD公式)'!$A640-'实盘净值数据(iFinD公式)'!$A$5)/365))</x:f>
        <x:v>#NAME?</x:v>
      </x:c>
      <x:c r="O640" s="152" t="e">
        <x:f>IF(OR(N639="",N640=""),"",N640/N639-1)</x:f>
        <x:v>#NAME?</x:v>
      </x:c>
      <x:c r="P640" s="152" t="e">
        <x:f>IF(N640="","",N640/MAX(N$5:N640)-1)</x:f>
        <x:v>#NAME?</x:v>
      </x:c>
      <x:c r="Q640" s="146" t="e">
        <x:f>IF(OR('实盘净值数据(iFinD公式)'!$A640="",'实盘净值数据(iFinD公式)'!$B640=""),"",分期持仓明细!$AD$25*SUMPRODUCT(分期持仓明细!$B$25:$AA$25,'实盘净值数据(iFinD公式)'!$B640:$AA640/'实盘净值数据(iFinD公式)'!$B$65:$AA$65)*(1-实盘持仓初始配置!$Z$9)^(('实盘净值数据(iFinD公式)'!$A640-'实盘净值数据(iFinD公式)'!$A$8)/365))</x:f>
        <x:v>#NAME?</x:v>
      </x:c>
      <x:c r="R640" s="152" t="e">
        <x:f>IF(OR(Q639="",Q640=""),"",Q640/Q639-1)</x:f>
        <x:v>#NAME?</x:v>
      </x:c>
      <x:c r="S640" s="152" t="e">
        <x:f>IF(Q640="","",Q640/MAX(Q$5:Q640)-1)</x:f>
        <x:v>#NAME?</x:v>
      </x:c>
    </x:row>
    <x:row r="641">
      <x:c r="A641" s="149" t="str">
        <x:f>IF('实盘净值数据(iFinD公式)'!A641="","",'实盘净值数据(iFinD公式)'!A641)</x:f>
      </x:c>
      <x:c r="B641" s="146" t="e">
        <x:f>IF(OR('实盘净值数据(iFinD公式)'!$A641="",'实盘净值数据(iFinD公式)'!$B641=""),"",分期持仓明细!$AD$17*SUMPRODUCT(分期持仓明细!$B$17:$AA$17,'实盘净值数据(iFinD公式)'!$B641:$AA641/'实盘净值数据(iFinD公式)'!$B$20:$AA$20)*(1-实盘持仓初始配置!$Z$4)^(('实盘净值数据(iFinD公式)'!$A641-'实盘净值数据(iFinD公式)'!$A$6)/365))</x:f>
        <x:v>#NAME?</x:v>
      </x:c>
      <x:c r="C641" s="152" t="e">
        <x:f>IF(OR(B640="",B641=""),"",B641/B640-1)</x:f>
        <x:v>#NAME?</x:v>
      </x:c>
      <x:c r="D641" s="152" t="e">
        <x:f>IF(B641="","",B641/MAX(B$5:B641)-1)</x:f>
        <x:v>#NAME?</x:v>
      </x:c>
      <x:c r="E641" s="146" t="e">
        <x:f>IF(OR('实盘净值数据(iFinD公式)'!$A641="",'实盘净值数据(iFinD公式)'!$B641=""),"",分期持仓明细!$AD$18*SUMPRODUCT(分期持仓明细!$B$18:$AA$18,'实盘净值数据(iFinD公式)'!$B641:$AA641/'实盘净值数据(iFinD公式)'!$B$20:$AA$20)*(1-实盘持仓初始配置!$Z$5)^(('实盘净值数据(iFinD公式)'!$A641-'实盘净值数据(iFinD公式)'!$A$5)/365))</x:f>
        <x:v>#NAME?</x:v>
      </x:c>
      <x:c r="F641" s="152" t="e">
        <x:f>IF(OR(E640="",E641=""),"",E641/E640-1)</x:f>
        <x:v>#NAME?</x:v>
      </x:c>
      <x:c r="G641" s="152" t="e">
        <x:f>IF(E641="","",E641/MAX(E$5:E641)-1)</x:f>
        <x:v>#NAME?</x:v>
      </x:c>
      <x:c r="H641" s="146" t="e">
        <x:f>IF(OR('实盘净值数据(iFinD公式)'!$A641="",'实盘净值数据(iFinD公式)'!$B641=""),"",分期持仓明细!$AD$19*SUMPRODUCT(分期持仓明细!$B$19:$AA$19,'实盘净值数据(iFinD公式)'!$B641:$AA641/'实盘净值数据(iFinD公式)'!$B$20:$AA$20)*(1-实盘持仓初始配置!$Z$6)^(('实盘净值数据(iFinD公式)'!$A641-'实盘净值数据(iFinD公式)'!$A$7)/365))</x:f>
        <x:v>#NAME?</x:v>
      </x:c>
      <x:c r="I641" s="152" t="e">
        <x:f>IF(OR(H640="",H641=""),"",H641/H640-1)</x:f>
        <x:v>#NAME?</x:v>
      </x:c>
      <x:c r="J641" s="152" t="e">
        <x:f>IF(H641="","",H641/MAX(H$5:H641)-1)</x:f>
        <x:v>#NAME?</x:v>
      </x:c>
      <x:c r="K641" s="146" t="e">
        <x:f>IF(OR('实盘净值数据(iFinD公式)'!$A641="",'实盘净值数据(iFinD公式)'!$B641=""),"",分期持仓明细!$AD$23*SUMPRODUCT(分期持仓明细!$B$23:$AA$23,'实盘净值数据(iFinD公式)'!$B641:$AA641/'实盘净值数据(iFinD公式)'!$B$65:$AA$65)*(1-实盘持仓初始配置!$Z$7)^(('实盘净值数据(iFinD公式)'!$A641-'实盘净值数据(iFinD公式)'!$A$8)/365))</x:f>
        <x:v>#NAME?</x:v>
      </x:c>
      <x:c r="L641" s="152" t="e">
        <x:f>IF(OR(K640="",K641=""),"",K641/K640-1)</x:f>
        <x:v>#NAME?</x:v>
      </x:c>
      <x:c r="M641" s="152" t="e">
        <x:f>IF(K641="","",K641/MAX(K$5:K641)-1)</x:f>
        <x:v>#NAME?</x:v>
      </x:c>
      <x:c r="N641" s="146" t="e">
        <x:f>IF(OR('实盘净值数据(iFinD公式)'!$A641="",'实盘净值数据(iFinD公式)'!$B641=""),"",分期持仓明细!$AD$24*SUMPRODUCT(分期持仓明细!$B$24:$AA$24,'实盘净值数据(iFinD公式)'!$B641:$AA641/'实盘净值数据(iFinD公式)'!$B$65:$AA$65)*(1-实盘持仓初始配置!$Z$8)^(('实盘净值数据(iFinD公式)'!$A641-'实盘净值数据(iFinD公式)'!$A$5)/365))</x:f>
        <x:v>#NAME?</x:v>
      </x:c>
      <x:c r="O641" s="152" t="e">
        <x:f>IF(OR(N640="",N641=""),"",N641/N640-1)</x:f>
        <x:v>#NAME?</x:v>
      </x:c>
      <x:c r="P641" s="152" t="e">
        <x:f>IF(N641="","",N641/MAX(N$5:N641)-1)</x:f>
        <x:v>#NAME?</x:v>
      </x:c>
      <x:c r="Q641" s="146" t="e">
        <x:f>IF(OR('实盘净值数据(iFinD公式)'!$A641="",'实盘净值数据(iFinD公式)'!$B641=""),"",分期持仓明细!$AD$25*SUMPRODUCT(分期持仓明细!$B$25:$AA$25,'实盘净值数据(iFinD公式)'!$B641:$AA641/'实盘净值数据(iFinD公式)'!$B$65:$AA$65)*(1-实盘持仓初始配置!$Z$9)^(('实盘净值数据(iFinD公式)'!$A641-'实盘净值数据(iFinD公式)'!$A$8)/365))</x:f>
        <x:v>#NAME?</x:v>
      </x:c>
      <x:c r="R641" s="152" t="e">
        <x:f>IF(OR(Q640="",Q641=""),"",Q641/Q640-1)</x:f>
        <x:v>#NAME?</x:v>
      </x:c>
      <x:c r="S641" s="152" t="e">
        <x:f>IF(Q641="","",Q641/MAX(Q$5:Q641)-1)</x:f>
        <x:v>#NAME?</x:v>
      </x:c>
    </x:row>
    <x:row r="642">
      <x:c r="A642" s="149" t="str">
        <x:f>IF('实盘净值数据(iFinD公式)'!A642="","",'实盘净值数据(iFinD公式)'!A642)</x:f>
      </x:c>
      <x:c r="B642" s="146" t="e">
        <x:f>IF(OR('实盘净值数据(iFinD公式)'!$A642="",'实盘净值数据(iFinD公式)'!$B642=""),"",分期持仓明细!$AD$17*SUMPRODUCT(分期持仓明细!$B$17:$AA$17,'实盘净值数据(iFinD公式)'!$B642:$AA642/'实盘净值数据(iFinD公式)'!$B$20:$AA$20)*(1-实盘持仓初始配置!$Z$4)^(('实盘净值数据(iFinD公式)'!$A642-'实盘净值数据(iFinD公式)'!$A$6)/365))</x:f>
        <x:v>#NAME?</x:v>
      </x:c>
      <x:c r="C642" s="152" t="e">
        <x:f>IF(OR(B641="",B642=""),"",B642/B641-1)</x:f>
        <x:v>#NAME?</x:v>
      </x:c>
      <x:c r="D642" s="152" t="e">
        <x:f>IF(B642="","",B642/MAX(B$5:B642)-1)</x:f>
        <x:v>#NAME?</x:v>
      </x:c>
      <x:c r="E642" s="146" t="e">
        <x:f>IF(OR('实盘净值数据(iFinD公式)'!$A642="",'实盘净值数据(iFinD公式)'!$B642=""),"",分期持仓明细!$AD$18*SUMPRODUCT(分期持仓明细!$B$18:$AA$18,'实盘净值数据(iFinD公式)'!$B642:$AA642/'实盘净值数据(iFinD公式)'!$B$20:$AA$20)*(1-实盘持仓初始配置!$Z$5)^(('实盘净值数据(iFinD公式)'!$A642-'实盘净值数据(iFinD公式)'!$A$5)/365))</x:f>
        <x:v>#NAME?</x:v>
      </x:c>
      <x:c r="F642" s="152" t="e">
        <x:f>IF(OR(E641="",E642=""),"",E642/E641-1)</x:f>
        <x:v>#NAME?</x:v>
      </x:c>
      <x:c r="G642" s="152" t="e">
        <x:f>IF(E642="","",E642/MAX(E$5:E642)-1)</x:f>
        <x:v>#NAME?</x:v>
      </x:c>
      <x:c r="H642" s="146" t="e">
        <x:f>IF(OR('实盘净值数据(iFinD公式)'!$A642="",'实盘净值数据(iFinD公式)'!$B642=""),"",分期持仓明细!$AD$19*SUMPRODUCT(分期持仓明细!$B$19:$AA$19,'实盘净值数据(iFinD公式)'!$B642:$AA642/'实盘净值数据(iFinD公式)'!$B$20:$AA$20)*(1-实盘持仓初始配置!$Z$6)^(('实盘净值数据(iFinD公式)'!$A642-'实盘净值数据(iFinD公式)'!$A$7)/365))</x:f>
        <x:v>#NAME?</x:v>
      </x:c>
      <x:c r="I642" s="152" t="e">
        <x:f>IF(OR(H641="",H642=""),"",H642/H641-1)</x:f>
        <x:v>#NAME?</x:v>
      </x:c>
      <x:c r="J642" s="152" t="e">
        <x:f>IF(H642="","",H642/MAX(H$5:H642)-1)</x:f>
        <x:v>#NAME?</x:v>
      </x:c>
      <x:c r="K642" s="146" t="e">
        <x:f>IF(OR('实盘净值数据(iFinD公式)'!$A642="",'实盘净值数据(iFinD公式)'!$B642=""),"",分期持仓明细!$AD$23*SUMPRODUCT(分期持仓明细!$B$23:$AA$23,'实盘净值数据(iFinD公式)'!$B642:$AA642/'实盘净值数据(iFinD公式)'!$B$65:$AA$65)*(1-实盘持仓初始配置!$Z$7)^(('实盘净值数据(iFinD公式)'!$A642-'实盘净值数据(iFinD公式)'!$A$8)/365))</x:f>
        <x:v>#NAME?</x:v>
      </x:c>
      <x:c r="L642" s="152" t="e">
        <x:f>IF(OR(K641="",K642=""),"",K642/K641-1)</x:f>
        <x:v>#NAME?</x:v>
      </x:c>
      <x:c r="M642" s="152" t="e">
        <x:f>IF(K642="","",K642/MAX(K$5:K642)-1)</x:f>
        <x:v>#NAME?</x:v>
      </x:c>
      <x:c r="N642" s="146" t="e">
        <x:f>IF(OR('实盘净值数据(iFinD公式)'!$A642="",'实盘净值数据(iFinD公式)'!$B642=""),"",分期持仓明细!$AD$24*SUMPRODUCT(分期持仓明细!$B$24:$AA$24,'实盘净值数据(iFinD公式)'!$B642:$AA642/'实盘净值数据(iFinD公式)'!$B$65:$AA$65)*(1-实盘持仓初始配置!$Z$8)^(('实盘净值数据(iFinD公式)'!$A642-'实盘净值数据(iFinD公式)'!$A$5)/365))</x:f>
        <x:v>#NAME?</x:v>
      </x:c>
      <x:c r="O642" s="152" t="e">
        <x:f>IF(OR(N641="",N642=""),"",N642/N641-1)</x:f>
        <x:v>#NAME?</x:v>
      </x:c>
      <x:c r="P642" s="152" t="e">
        <x:f>IF(N642="","",N642/MAX(N$5:N642)-1)</x:f>
        <x:v>#NAME?</x:v>
      </x:c>
      <x:c r="Q642" s="146" t="e">
        <x:f>IF(OR('实盘净值数据(iFinD公式)'!$A642="",'实盘净值数据(iFinD公式)'!$B642=""),"",分期持仓明细!$AD$25*SUMPRODUCT(分期持仓明细!$B$25:$AA$25,'实盘净值数据(iFinD公式)'!$B642:$AA642/'实盘净值数据(iFinD公式)'!$B$65:$AA$65)*(1-实盘持仓初始配置!$Z$9)^(('实盘净值数据(iFinD公式)'!$A642-'实盘净值数据(iFinD公式)'!$A$8)/365))</x:f>
        <x:v>#NAME?</x:v>
      </x:c>
      <x:c r="R642" s="152" t="e">
        <x:f>IF(OR(Q641="",Q642=""),"",Q642/Q641-1)</x:f>
        <x:v>#NAME?</x:v>
      </x:c>
      <x:c r="S642" s="152" t="e">
        <x:f>IF(Q642="","",Q642/MAX(Q$5:Q642)-1)</x:f>
        <x:v>#NAME?</x:v>
      </x:c>
    </x:row>
    <x:row r="643">
      <x:c r="A643" s="149" t="str">
        <x:f>IF('实盘净值数据(iFinD公式)'!A643="","",'实盘净值数据(iFinD公式)'!A643)</x:f>
      </x:c>
      <x:c r="B643" s="146" t="e">
        <x:f>IF(OR('实盘净值数据(iFinD公式)'!$A643="",'实盘净值数据(iFinD公式)'!$B643=""),"",分期持仓明细!$AD$17*SUMPRODUCT(分期持仓明细!$B$17:$AA$17,'实盘净值数据(iFinD公式)'!$B643:$AA643/'实盘净值数据(iFinD公式)'!$B$20:$AA$20)*(1-实盘持仓初始配置!$Z$4)^(('实盘净值数据(iFinD公式)'!$A643-'实盘净值数据(iFinD公式)'!$A$6)/365))</x:f>
        <x:v>#NAME?</x:v>
      </x:c>
      <x:c r="C643" s="152" t="e">
        <x:f>IF(OR(B642="",B643=""),"",B643/B642-1)</x:f>
        <x:v>#NAME?</x:v>
      </x:c>
      <x:c r="D643" s="152" t="e">
        <x:f>IF(B643="","",B643/MAX(B$5:B643)-1)</x:f>
        <x:v>#NAME?</x:v>
      </x:c>
      <x:c r="E643" s="146" t="e">
        <x:f>IF(OR('实盘净值数据(iFinD公式)'!$A643="",'实盘净值数据(iFinD公式)'!$B643=""),"",分期持仓明细!$AD$18*SUMPRODUCT(分期持仓明细!$B$18:$AA$18,'实盘净值数据(iFinD公式)'!$B643:$AA643/'实盘净值数据(iFinD公式)'!$B$20:$AA$20)*(1-实盘持仓初始配置!$Z$5)^(('实盘净值数据(iFinD公式)'!$A643-'实盘净值数据(iFinD公式)'!$A$5)/365))</x:f>
        <x:v>#NAME?</x:v>
      </x:c>
      <x:c r="F643" s="152" t="e">
        <x:f>IF(OR(E642="",E643=""),"",E643/E642-1)</x:f>
        <x:v>#NAME?</x:v>
      </x:c>
      <x:c r="G643" s="152" t="e">
        <x:f>IF(E643="","",E643/MAX(E$5:E643)-1)</x:f>
        <x:v>#NAME?</x:v>
      </x:c>
      <x:c r="H643" s="146" t="e">
        <x:f>IF(OR('实盘净值数据(iFinD公式)'!$A643="",'实盘净值数据(iFinD公式)'!$B643=""),"",分期持仓明细!$AD$19*SUMPRODUCT(分期持仓明细!$B$19:$AA$19,'实盘净值数据(iFinD公式)'!$B643:$AA643/'实盘净值数据(iFinD公式)'!$B$20:$AA$20)*(1-实盘持仓初始配置!$Z$6)^(('实盘净值数据(iFinD公式)'!$A643-'实盘净值数据(iFinD公式)'!$A$7)/365))</x:f>
        <x:v>#NAME?</x:v>
      </x:c>
      <x:c r="I643" s="152" t="e">
        <x:f>IF(OR(H642="",H643=""),"",H643/H642-1)</x:f>
        <x:v>#NAME?</x:v>
      </x:c>
      <x:c r="J643" s="152" t="e">
        <x:f>IF(H643="","",H643/MAX(H$5:H643)-1)</x:f>
        <x:v>#NAME?</x:v>
      </x:c>
      <x:c r="K643" s="146" t="e">
        <x:f>IF(OR('实盘净值数据(iFinD公式)'!$A643="",'实盘净值数据(iFinD公式)'!$B643=""),"",分期持仓明细!$AD$23*SUMPRODUCT(分期持仓明细!$B$23:$AA$23,'实盘净值数据(iFinD公式)'!$B643:$AA643/'实盘净值数据(iFinD公式)'!$B$65:$AA$65)*(1-实盘持仓初始配置!$Z$7)^(('实盘净值数据(iFinD公式)'!$A643-'实盘净值数据(iFinD公式)'!$A$8)/365))</x:f>
        <x:v>#NAME?</x:v>
      </x:c>
      <x:c r="L643" s="152" t="e">
        <x:f>IF(OR(K642="",K643=""),"",K643/K642-1)</x:f>
        <x:v>#NAME?</x:v>
      </x:c>
      <x:c r="M643" s="152" t="e">
        <x:f>IF(K643="","",K643/MAX(K$5:K643)-1)</x:f>
        <x:v>#NAME?</x:v>
      </x:c>
      <x:c r="N643" s="146" t="e">
        <x:f>IF(OR('实盘净值数据(iFinD公式)'!$A643="",'实盘净值数据(iFinD公式)'!$B643=""),"",分期持仓明细!$AD$24*SUMPRODUCT(分期持仓明细!$B$24:$AA$24,'实盘净值数据(iFinD公式)'!$B643:$AA643/'实盘净值数据(iFinD公式)'!$B$65:$AA$65)*(1-实盘持仓初始配置!$Z$8)^(('实盘净值数据(iFinD公式)'!$A643-'实盘净值数据(iFinD公式)'!$A$5)/365))</x:f>
        <x:v>#NAME?</x:v>
      </x:c>
      <x:c r="O643" s="152" t="e">
        <x:f>IF(OR(N642="",N643=""),"",N643/N642-1)</x:f>
        <x:v>#NAME?</x:v>
      </x:c>
      <x:c r="P643" s="152" t="e">
        <x:f>IF(N643="","",N643/MAX(N$5:N643)-1)</x:f>
        <x:v>#NAME?</x:v>
      </x:c>
      <x:c r="Q643" s="146" t="e">
        <x:f>IF(OR('实盘净值数据(iFinD公式)'!$A643="",'实盘净值数据(iFinD公式)'!$B643=""),"",分期持仓明细!$AD$25*SUMPRODUCT(分期持仓明细!$B$25:$AA$25,'实盘净值数据(iFinD公式)'!$B643:$AA643/'实盘净值数据(iFinD公式)'!$B$65:$AA$65)*(1-实盘持仓初始配置!$Z$9)^(('实盘净值数据(iFinD公式)'!$A643-'实盘净值数据(iFinD公式)'!$A$8)/365))</x:f>
        <x:v>#NAME?</x:v>
      </x:c>
      <x:c r="R643" s="152" t="e">
        <x:f>IF(OR(Q642="",Q643=""),"",Q643/Q642-1)</x:f>
        <x:v>#NAME?</x:v>
      </x:c>
      <x:c r="S643" s="152" t="e">
        <x:f>IF(Q643="","",Q643/MAX(Q$5:Q643)-1)</x:f>
        <x:v>#NAME?</x:v>
      </x:c>
    </x:row>
    <x:row r="644">
      <x:c r="A644" s="149" t="str">
        <x:f>IF('实盘净值数据(iFinD公式)'!A644="","",'实盘净值数据(iFinD公式)'!A644)</x:f>
      </x:c>
      <x:c r="B644" s="146" t="e">
        <x:f>IF(OR('实盘净值数据(iFinD公式)'!$A644="",'实盘净值数据(iFinD公式)'!$B644=""),"",分期持仓明细!$AD$17*SUMPRODUCT(分期持仓明细!$B$17:$AA$17,'实盘净值数据(iFinD公式)'!$B644:$AA644/'实盘净值数据(iFinD公式)'!$B$20:$AA$20)*(1-实盘持仓初始配置!$Z$4)^(('实盘净值数据(iFinD公式)'!$A644-'实盘净值数据(iFinD公式)'!$A$6)/365))</x:f>
        <x:v>#NAME?</x:v>
      </x:c>
      <x:c r="C644" s="152" t="e">
        <x:f>IF(OR(B643="",B644=""),"",B644/B643-1)</x:f>
        <x:v>#NAME?</x:v>
      </x:c>
      <x:c r="D644" s="152" t="e">
        <x:f>IF(B644="","",B644/MAX(B$5:B644)-1)</x:f>
        <x:v>#NAME?</x:v>
      </x:c>
      <x:c r="E644" s="146" t="e">
        <x:f>IF(OR('实盘净值数据(iFinD公式)'!$A644="",'实盘净值数据(iFinD公式)'!$B644=""),"",分期持仓明细!$AD$18*SUMPRODUCT(分期持仓明细!$B$18:$AA$18,'实盘净值数据(iFinD公式)'!$B644:$AA644/'实盘净值数据(iFinD公式)'!$B$20:$AA$20)*(1-实盘持仓初始配置!$Z$5)^(('实盘净值数据(iFinD公式)'!$A644-'实盘净值数据(iFinD公式)'!$A$5)/365))</x:f>
        <x:v>#NAME?</x:v>
      </x:c>
      <x:c r="F644" s="152" t="e">
        <x:f>IF(OR(E643="",E644=""),"",E644/E643-1)</x:f>
        <x:v>#NAME?</x:v>
      </x:c>
      <x:c r="G644" s="152" t="e">
        <x:f>IF(E644="","",E644/MAX(E$5:E644)-1)</x:f>
        <x:v>#NAME?</x:v>
      </x:c>
      <x:c r="H644" s="146" t="e">
        <x:f>IF(OR('实盘净值数据(iFinD公式)'!$A644="",'实盘净值数据(iFinD公式)'!$B644=""),"",分期持仓明细!$AD$19*SUMPRODUCT(分期持仓明细!$B$19:$AA$19,'实盘净值数据(iFinD公式)'!$B644:$AA644/'实盘净值数据(iFinD公式)'!$B$20:$AA$20)*(1-实盘持仓初始配置!$Z$6)^(('实盘净值数据(iFinD公式)'!$A644-'实盘净值数据(iFinD公式)'!$A$7)/365))</x:f>
        <x:v>#NAME?</x:v>
      </x:c>
      <x:c r="I644" s="152" t="e">
        <x:f>IF(OR(H643="",H644=""),"",H644/H643-1)</x:f>
        <x:v>#NAME?</x:v>
      </x:c>
      <x:c r="J644" s="152" t="e">
        <x:f>IF(H644="","",H644/MAX(H$5:H644)-1)</x:f>
        <x:v>#NAME?</x:v>
      </x:c>
      <x:c r="K644" s="146" t="e">
        <x:f>IF(OR('实盘净值数据(iFinD公式)'!$A644="",'实盘净值数据(iFinD公式)'!$B644=""),"",分期持仓明细!$AD$23*SUMPRODUCT(分期持仓明细!$B$23:$AA$23,'实盘净值数据(iFinD公式)'!$B644:$AA644/'实盘净值数据(iFinD公式)'!$B$65:$AA$65)*(1-实盘持仓初始配置!$Z$7)^(('实盘净值数据(iFinD公式)'!$A644-'实盘净值数据(iFinD公式)'!$A$8)/365))</x:f>
        <x:v>#NAME?</x:v>
      </x:c>
      <x:c r="L644" s="152" t="e">
        <x:f>IF(OR(K643="",K644=""),"",K644/K643-1)</x:f>
        <x:v>#NAME?</x:v>
      </x:c>
      <x:c r="M644" s="152" t="e">
        <x:f>IF(K644="","",K644/MAX(K$5:K644)-1)</x:f>
        <x:v>#NAME?</x:v>
      </x:c>
      <x:c r="N644" s="146" t="e">
        <x:f>IF(OR('实盘净值数据(iFinD公式)'!$A644="",'实盘净值数据(iFinD公式)'!$B644=""),"",分期持仓明细!$AD$24*SUMPRODUCT(分期持仓明细!$B$24:$AA$24,'实盘净值数据(iFinD公式)'!$B644:$AA644/'实盘净值数据(iFinD公式)'!$B$65:$AA$65)*(1-实盘持仓初始配置!$Z$8)^(('实盘净值数据(iFinD公式)'!$A644-'实盘净值数据(iFinD公式)'!$A$5)/365))</x:f>
        <x:v>#NAME?</x:v>
      </x:c>
      <x:c r="O644" s="152" t="e">
        <x:f>IF(OR(N643="",N644=""),"",N644/N643-1)</x:f>
        <x:v>#NAME?</x:v>
      </x:c>
      <x:c r="P644" s="152" t="e">
        <x:f>IF(N644="","",N644/MAX(N$5:N644)-1)</x:f>
        <x:v>#NAME?</x:v>
      </x:c>
      <x:c r="Q644" s="146" t="e">
        <x:f>IF(OR('实盘净值数据(iFinD公式)'!$A644="",'实盘净值数据(iFinD公式)'!$B644=""),"",分期持仓明细!$AD$25*SUMPRODUCT(分期持仓明细!$B$25:$AA$25,'实盘净值数据(iFinD公式)'!$B644:$AA644/'实盘净值数据(iFinD公式)'!$B$65:$AA$65)*(1-实盘持仓初始配置!$Z$9)^(('实盘净值数据(iFinD公式)'!$A644-'实盘净值数据(iFinD公式)'!$A$8)/365))</x:f>
        <x:v>#NAME?</x:v>
      </x:c>
      <x:c r="R644" s="152" t="e">
        <x:f>IF(OR(Q643="",Q644=""),"",Q644/Q643-1)</x:f>
        <x:v>#NAME?</x:v>
      </x:c>
      <x:c r="S644" s="152" t="e">
        <x:f>IF(Q644="","",Q644/MAX(Q$5:Q644)-1)</x:f>
        <x:v>#NAME?</x:v>
      </x:c>
    </x:row>
    <x:row r="645">
      <x:c r="A645" s="149" t="str">
        <x:f>IF('实盘净值数据(iFinD公式)'!A645="","",'实盘净值数据(iFinD公式)'!A645)</x:f>
      </x:c>
      <x:c r="B645" s="146" t="e">
        <x:f>IF(OR('实盘净值数据(iFinD公式)'!$A645="",'实盘净值数据(iFinD公式)'!$B645=""),"",分期持仓明细!$AD$17*SUMPRODUCT(分期持仓明细!$B$17:$AA$17,'实盘净值数据(iFinD公式)'!$B645:$AA645/'实盘净值数据(iFinD公式)'!$B$20:$AA$20)*(1-实盘持仓初始配置!$Z$4)^(('实盘净值数据(iFinD公式)'!$A645-'实盘净值数据(iFinD公式)'!$A$6)/365))</x:f>
        <x:v>#NAME?</x:v>
      </x:c>
      <x:c r="C645" s="152" t="e">
        <x:f>IF(OR(B644="",B645=""),"",B645/B644-1)</x:f>
        <x:v>#NAME?</x:v>
      </x:c>
      <x:c r="D645" s="152" t="e">
        <x:f>IF(B645="","",B645/MAX(B$5:B645)-1)</x:f>
        <x:v>#NAME?</x:v>
      </x:c>
      <x:c r="E645" s="146" t="e">
        <x:f>IF(OR('实盘净值数据(iFinD公式)'!$A645="",'实盘净值数据(iFinD公式)'!$B645=""),"",分期持仓明细!$AD$18*SUMPRODUCT(分期持仓明细!$B$18:$AA$18,'实盘净值数据(iFinD公式)'!$B645:$AA645/'实盘净值数据(iFinD公式)'!$B$20:$AA$20)*(1-实盘持仓初始配置!$Z$5)^(('实盘净值数据(iFinD公式)'!$A645-'实盘净值数据(iFinD公式)'!$A$5)/365))</x:f>
        <x:v>#NAME?</x:v>
      </x:c>
      <x:c r="F645" s="152" t="e">
        <x:f>IF(OR(E644="",E645=""),"",E645/E644-1)</x:f>
        <x:v>#NAME?</x:v>
      </x:c>
      <x:c r="G645" s="152" t="e">
        <x:f>IF(E645="","",E645/MAX(E$5:E645)-1)</x:f>
        <x:v>#NAME?</x:v>
      </x:c>
      <x:c r="H645" s="146" t="e">
        <x:f>IF(OR('实盘净值数据(iFinD公式)'!$A645="",'实盘净值数据(iFinD公式)'!$B645=""),"",分期持仓明细!$AD$19*SUMPRODUCT(分期持仓明细!$B$19:$AA$19,'实盘净值数据(iFinD公式)'!$B645:$AA645/'实盘净值数据(iFinD公式)'!$B$20:$AA$20)*(1-实盘持仓初始配置!$Z$6)^(('实盘净值数据(iFinD公式)'!$A645-'实盘净值数据(iFinD公式)'!$A$7)/365))</x:f>
        <x:v>#NAME?</x:v>
      </x:c>
      <x:c r="I645" s="152" t="e">
        <x:f>IF(OR(H644="",H645=""),"",H645/H644-1)</x:f>
        <x:v>#NAME?</x:v>
      </x:c>
      <x:c r="J645" s="152" t="e">
        <x:f>IF(H645="","",H645/MAX(H$5:H645)-1)</x:f>
        <x:v>#NAME?</x:v>
      </x:c>
      <x:c r="K645" s="146" t="e">
        <x:f>IF(OR('实盘净值数据(iFinD公式)'!$A645="",'实盘净值数据(iFinD公式)'!$B645=""),"",分期持仓明细!$AD$23*SUMPRODUCT(分期持仓明细!$B$23:$AA$23,'实盘净值数据(iFinD公式)'!$B645:$AA645/'实盘净值数据(iFinD公式)'!$B$65:$AA$65)*(1-实盘持仓初始配置!$Z$7)^(('实盘净值数据(iFinD公式)'!$A645-'实盘净值数据(iFinD公式)'!$A$8)/365))</x:f>
        <x:v>#NAME?</x:v>
      </x:c>
      <x:c r="L645" s="152" t="e">
        <x:f>IF(OR(K644="",K645=""),"",K645/K644-1)</x:f>
        <x:v>#NAME?</x:v>
      </x:c>
      <x:c r="M645" s="152" t="e">
        <x:f>IF(K645="","",K645/MAX(K$5:K645)-1)</x:f>
        <x:v>#NAME?</x:v>
      </x:c>
      <x:c r="N645" s="146" t="e">
        <x:f>IF(OR('实盘净值数据(iFinD公式)'!$A645="",'实盘净值数据(iFinD公式)'!$B645=""),"",分期持仓明细!$AD$24*SUMPRODUCT(分期持仓明细!$B$24:$AA$24,'实盘净值数据(iFinD公式)'!$B645:$AA645/'实盘净值数据(iFinD公式)'!$B$65:$AA$65)*(1-实盘持仓初始配置!$Z$8)^(('实盘净值数据(iFinD公式)'!$A645-'实盘净值数据(iFinD公式)'!$A$5)/365))</x:f>
        <x:v>#NAME?</x:v>
      </x:c>
      <x:c r="O645" s="152" t="e">
        <x:f>IF(OR(N644="",N645=""),"",N645/N644-1)</x:f>
        <x:v>#NAME?</x:v>
      </x:c>
      <x:c r="P645" s="152" t="e">
        <x:f>IF(N645="","",N645/MAX(N$5:N645)-1)</x:f>
        <x:v>#NAME?</x:v>
      </x:c>
      <x:c r="Q645" s="146" t="e">
        <x:f>IF(OR('实盘净值数据(iFinD公式)'!$A645="",'实盘净值数据(iFinD公式)'!$B645=""),"",分期持仓明细!$AD$25*SUMPRODUCT(分期持仓明细!$B$25:$AA$25,'实盘净值数据(iFinD公式)'!$B645:$AA645/'实盘净值数据(iFinD公式)'!$B$65:$AA$65)*(1-实盘持仓初始配置!$Z$9)^(('实盘净值数据(iFinD公式)'!$A645-'实盘净值数据(iFinD公式)'!$A$8)/365))</x:f>
        <x:v>#NAME?</x:v>
      </x:c>
      <x:c r="R645" s="152" t="e">
        <x:f>IF(OR(Q644="",Q645=""),"",Q645/Q644-1)</x:f>
        <x:v>#NAME?</x:v>
      </x:c>
      <x:c r="S645" s="152" t="e">
        <x:f>IF(Q645="","",Q645/MAX(Q$5:Q645)-1)</x:f>
        <x:v>#NAME?</x:v>
      </x:c>
    </x:row>
    <x:row r="646">
      <x:c r="A646" s="149" t="str">
        <x:f>IF('实盘净值数据(iFinD公式)'!A646="","",'实盘净值数据(iFinD公式)'!A646)</x:f>
      </x:c>
      <x:c r="B646" s="146" t="e">
        <x:f>IF(OR('实盘净值数据(iFinD公式)'!$A646="",'实盘净值数据(iFinD公式)'!$B646=""),"",分期持仓明细!$AD$17*SUMPRODUCT(分期持仓明细!$B$17:$AA$17,'实盘净值数据(iFinD公式)'!$B646:$AA646/'实盘净值数据(iFinD公式)'!$B$20:$AA$20)*(1-实盘持仓初始配置!$Z$4)^(('实盘净值数据(iFinD公式)'!$A646-'实盘净值数据(iFinD公式)'!$A$6)/365))</x:f>
        <x:v>#NAME?</x:v>
      </x:c>
      <x:c r="C646" s="152" t="e">
        <x:f>IF(OR(B645="",B646=""),"",B646/B645-1)</x:f>
        <x:v>#NAME?</x:v>
      </x:c>
      <x:c r="D646" s="152" t="e">
        <x:f>IF(B646="","",B646/MAX(B$5:B646)-1)</x:f>
        <x:v>#NAME?</x:v>
      </x:c>
      <x:c r="E646" s="146" t="e">
        <x:f>IF(OR('实盘净值数据(iFinD公式)'!$A646="",'实盘净值数据(iFinD公式)'!$B646=""),"",分期持仓明细!$AD$18*SUMPRODUCT(分期持仓明细!$B$18:$AA$18,'实盘净值数据(iFinD公式)'!$B646:$AA646/'实盘净值数据(iFinD公式)'!$B$20:$AA$20)*(1-实盘持仓初始配置!$Z$5)^(('实盘净值数据(iFinD公式)'!$A646-'实盘净值数据(iFinD公式)'!$A$5)/365))</x:f>
        <x:v>#NAME?</x:v>
      </x:c>
      <x:c r="F646" s="152" t="e">
        <x:f>IF(OR(E645="",E646=""),"",E646/E645-1)</x:f>
        <x:v>#NAME?</x:v>
      </x:c>
      <x:c r="G646" s="152" t="e">
        <x:f>IF(E646="","",E646/MAX(E$5:E646)-1)</x:f>
        <x:v>#NAME?</x:v>
      </x:c>
      <x:c r="H646" s="146" t="e">
        <x:f>IF(OR('实盘净值数据(iFinD公式)'!$A646="",'实盘净值数据(iFinD公式)'!$B646=""),"",分期持仓明细!$AD$19*SUMPRODUCT(分期持仓明细!$B$19:$AA$19,'实盘净值数据(iFinD公式)'!$B646:$AA646/'实盘净值数据(iFinD公式)'!$B$20:$AA$20)*(1-实盘持仓初始配置!$Z$6)^(('实盘净值数据(iFinD公式)'!$A646-'实盘净值数据(iFinD公式)'!$A$7)/365))</x:f>
        <x:v>#NAME?</x:v>
      </x:c>
      <x:c r="I646" s="152" t="e">
        <x:f>IF(OR(H645="",H646=""),"",H646/H645-1)</x:f>
        <x:v>#NAME?</x:v>
      </x:c>
      <x:c r="J646" s="152" t="e">
        <x:f>IF(H646="","",H646/MAX(H$5:H646)-1)</x:f>
        <x:v>#NAME?</x:v>
      </x:c>
      <x:c r="K646" s="146" t="e">
        <x:f>IF(OR('实盘净值数据(iFinD公式)'!$A646="",'实盘净值数据(iFinD公式)'!$B646=""),"",分期持仓明细!$AD$23*SUMPRODUCT(分期持仓明细!$B$23:$AA$23,'实盘净值数据(iFinD公式)'!$B646:$AA646/'实盘净值数据(iFinD公式)'!$B$65:$AA$65)*(1-实盘持仓初始配置!$Z$7)^(('实盘净值数据(iFinD公式)'!$A646-'实盘净值数据(iFinD公式)'!$A$8)/365))</x:f>
        <x:v>#NAME?</x:v>
      </x:c>
      <x:c r="L646" s="152" t="e">
        <x:f>IF(OR(K645="",K646=""),"",K646/K645-1)</x:f>
        <x:v>#NAME?</x:v>
      </x:c>
      <x:c r="M646" s="152" t="e">
        <x:f>IF(K646="","",K646/MAX(K$5:K646)-1)</x:f>
        <x:v>#NAME?</x:v>
      </x:c>
      <x:c r="N646" s="146" t="e">
        <x:f>IF(OR('实盘净值数据(iFinD公式)'!$A646="",'实盘净值数据(iFinD公式)'!$B646=""),"",分期持仓明细!$AD$24*SUMPRODUCT(分期持仓明细!$B$24:$AA$24,'实盘净值数据(iFinD公式)'!$B646:$AA646/'实盘净值数据(iFinD公式)'!$B$65:$AA$65)*(1-实盘持仓初始配置!$Z$8)^(('实盘净值数据(iFinD公式)'!$A646-'实盘净值数据(iFinD公式)'!$A$5)/365))</x:f>
        <x:v>#NAME?</x:v>
      </x:c>
      <x:c r="O646" s="152" t="e">
        <x:f>IF(OR(N645="",N646=""),"",N646/N645-1)</x:f>
        <x:v>#NAME?</x:v>
      </x:c>
      <x:c r="P646" s="152" t="e">
        <x:f>IF(N646="","",N646/MAX(N$5:N646)-1)</x:f>
        <x:v>#NAME?</x:v>
      </x:c>
      <x:c r="Q646" s="146" t="e">
        <x:f>IF(OR('实盘净值数据(iFinD公式)'!$A646="",'实盘净值数据(iFinD公式)'!$B646=""),"",分期持仓明细!$AD$25*SUMPRODUCT(分期持仓明细!$B$25:$AA$25,'实盘净值数据(iFinD公式)'!$B646:$AA646/'实盘净值数据(iFinD公式)'!$B$65:$AA$65)*(1-实盘持仓初始配置!$Z$9)^(('实盘净值数据(iFinD公式)'!$A646-'实盘净值数据(iFinD公式)'!$A$8)/365))</x:f>
        <x:v>#NAME?</x:v>
      </x:c>
      <x:c r="R646" s="152" t="e">
        <x:f>IF(OR(Q645="",Q646=""),"",Q646/Q645-1)</x:f>
        <x:v>#NAME?</x:v>
      </x:c>
      <x:c r="S646" s="152" t="e">
        <x:f>IF(Q646="","",Q646/MAX(Q$5:Q646)-1)</x:f>
        <x:v>#NAME?</x:v>
      </x:c>
    </x:row>
    <x:row r="647">
      <x:c r="A647" s="149" t="str">
        <x:f>IF('实盘净值数据(iFinD公式)'!A647="","",'实盘净值数据(iFinD公式)'!A647)</x:f>
      </x:c>
      <x:c r="B647" s="146" t="e">
        <x:f>IF(OR('实盘净值数据(iFinD公式)'!$A647="",'实盘净值数据(iFinD公式)'!$B647=""),"",分期持仓明细!$AD$17*SUMPRODUCT(分期持仓明细!$B$17:$AA$17,'实盘净值数据(iFinD公式)'!$B647:$AA647/'实盘净值数据(iFinD公式)'!$B$20:$AA$20)*(1-实盘持仓初始配置!$Z$4)^(('实盘净值数据(iFinD公式)'!$A647-'实盘净值数据(iFinD公式)'!$A$6)/365))</x:f>
        <x:v>#NAME?</x:v>
      </x:c>
      <x:c r="C647" s="152" t="e">
        <x:f>IF(OR(B646="",B647=""),"",B647/B646-1)</x:f>
        <x:v>#NAME?</x:v>
      </x:c>
      <x:c r="D647" s="152" t="e">
        <x:f>IF(B647="","",B647/MAX(B$5:B647)-1)</x:f>
        <x:v>#NAME?</x:v>
      </x:c>
      <x:c r="E647" s="146" t="e">
        <x:f>IF(OR('实盘净值数据(iFinD公式)'!$A647="",'实盘净值数据(iFinD公式)'!$B647=""),"",分期持仓明细!$AD$18*SUMPRODUCT(分期持仓明细!$B$18:$AA$18,'实盘净值数据(iFinD公式)'!$B647:$AA647/'实盘净值数据(iFinD公式)'!$B$20:$AA$20)*(1-实盘持仓初始配置!$Z$5)^(('实盘净值数据(iFinD公式)'!$A647-'实盘净值数据(iFinD公式)'!$A$5)/365))</x:f>
        <x:v>#NAME?</x:v>
      </x:c>
      <x:c r="F647" s="152" t="e">
        <x:f>IF(OR(E646="",E647=""),"",E647/E646-1)</x:f>
        <x:v>#NAME?</x:v>
      </x:c>
      <x:c r="G647" s="152" t="e">
        <x:f>IF(E647="","",E647/MAX(E$5:E647)-1)</x:f>
        <x:v>#NAME?</x:v>
      </x:c>
      <x:c r="H647" s="146" t="e">
        <x:f>IF(OR('实盘净值数据(iFinD公式)'!$A647="",'实盘净值数据(iFinD公式)'!$B647=""),"",分期持仓明细!$AD$19*SUMPRODUCT(分期持仓明细!$B$19:$AA$19,'实盘净值数据(iFinD公式)'!$B647:$AA647/'实盘净值数据(iFinD公式)'!$B$20:$AA$20)*(1-实盘持仓初始配置!$Z$6)^(('实盘净值数据(iFinD公式)'!$A647-'实盘净值数据(iFinD公式)'!$A$7)/365))</x:f>
        <x:v>#NAME?</x:v>
      </x:c>
      <x:c r="I647" s="152" t="e">
        <x:f>IF(OR(H646="",H647=""),"",H647/H646-1)</x:f>
        <x:v>#NAME?</x:v>
      </x:c>
      <x:c r="J647" s="152" t="e">
        <x:f>IF(H647="","",H647/MAX(H$5:H647)-1)</x:f>
        <x:v>#NAME?</x:v>
      </x:c>
      <x:c r="K647" s="146" t="e">
        <x:f>IF(OR('实盘净值数据(iFinD公式)'!$A647="",'实盘净值数据(iFinD公式)'!$B647=""),"",分期持仓明细!$AD$23*SUMPRODUCT(分期持仓明细!$B$23:$AA$23,'实盘净值数据(iFinD公式)'!$B647:$AA647/'实盘净值数据(iFinD公式)'!$B$65:$AA$65)*(1-实盘持仓初始配置!$Z$7)^(('实盘净值数据(iFinD公式)'!$A647-'实盘净值数据(iFinD公式)'!$A$8)/365))</x:f>
        <x:v>#NAME?</x:v>
      </x:c>
      <x:c r="L647" s="152" t="e">
        <x:f>IF(OR(K646="",K647=""),"",K647/K646-1)</x:f>
        <x:v>#NAME?</x:v>
      </x:c>
      <x:c r="M647" s="152" t="e">
        <x:f>IF(K647="","",K647/MAX(K$5:K647)-1)</x:f>
        <x:v>#NAME?</x:v>
      </x:c>
      <x:c r="N647" s="146" t="e">
        <x:f>IF(OR('实盘净值数据(iFinD公式)'!$A647="",'实盘净值数据(iFinD公式)'!$B647=""),"",分期持仓明细!$AD$24*SUMPRODUCT(分期持仓明细!$B$24:$AA$24,'实盘净值数据(iFinD公式)'!$B647:$AA647/'实盘净值数据(iFinD公式)'!$B$65:$AA$65)*(1-实盘持仓初始配置!$Z$8)^(('实盘净值数据(iFinD公式)'!$A647-'实盘净值数据(iFinD公式)'!$A$5)/365))</x:f>
        <x:v>#NAME?</x:v>
      </x:c>
      <x:c r="O647" s="152" t="e">
        <x:f>IF(OR(N646="",N647=""),"",N647/N646-1)</x:f>
        <x:v>#NAME?</x:v>
      </x:c>
      <x:c r="P647" s="152" t="e">
        <x:f>IF(N647="","",N647/MAX(N$5:N647)-1)</x:f>
        <x:v>#NAME?</x:v>
      </x:c>
      <x:c r="Q647" s="146" t="e">
        <x:f>IF(OR('实盘净值数据(iFinD公式)'!$A647="",'实盘净值数据(iFinD公式)'!$B647=""),"",分期持仓明细!$AD$25*SUMPRODUCT(分期持仓明细!$B$25:$AA$25,'实盘净值数据(iFinD公式)'!$B647:$AA647/'实盘净值数据(iFinD公式)'!$B$65:$AA$65)*(1-实盘持仓初始配置!$Z$9)^(('实盘净值数据(iFinD公式)'!$A647-'实盘净值数据(iFinD公式)'!$A$8)/365))</x:f>
        <x:v>#NAME?</x:v>
      </x:c>
      <x:c r="R647" s="152" t="e">
        <x:f>IF(OR(Q646="",Q647=""),"",Q647/Q646-1)</x:f>
        <x:v>#NAME?</x:v>
      </x:c>
      <x:c r="S647" s="152" t="e">
        <x:f>IF(Q647="","",Q647/MAX(Q$5:Q647)-1)</x:f>
        <x:v>#NAME?</x:v>
      </x:c>
    </x:row>
    <x:row r="648">
      <x:c r="A648" s="149" t="str">
        <x:f>IF('实盘净值数据(iFinD公式)'!A648="","",'实盘净值数据(iFinD公式)'!A648)</x:f>
      </x:c>
      <x:c r="B648" s="146" t="e">
        <x:f>IF(OR('实盘净值数据(iFinD公式)'!$A648="",'实盘净值数据(iFinD公式)'!$B648=""),"",分期持仓明细!$AD$17*SUMPRODUCT(分期持仓明细!$B$17:$AA$17,'实盘净值数据(iFinD公式)'!$B648:$AA648/'实盘净值数据(iFinD公式)'!$B$20:$AA$20)*(1-实盘持仓初始配置!$Z$4)^(('实盘净值数据(iFinD公式)'!$A648-'实盘净值数据(iFinD公式)'!$A$6)/365))</x:f>
        <x:v>#NAME?</x:v>
      </x:c>
      <x:c r="C648" s="152" t="e">
        <x:f>IF(OR(B647="",B648=""),"",B648/B647-1)</x:f>
        <x:v>#NAME?</x:v>
      </x:c>
      <x:c r="D648" s="152" t="e">
        <x:f>IF(B648="","",B648/MAX(B$5:B648)-1)</x:f>
        <x:v>#NAME?</x:v>
      </x:c>
      <x:c r="E648" s="146" t="e">
        <x:f>IF(OR('实盘净值数据(iFinD公式)'!$A648="",'实盘净值数据(iFinD公式)'!$B648=""),"",分期持仓明细!$AD$18*SUMPRODUCT(分期持仓明细!$B$18:$AA$18,'实盘净值数据(iFinD公式)'!$B648:$AA648/'实盘净值数据(iFinD公式)'!$B$20:$AA$20)*(1-实盘持仓初始配置!$Z$5)^(('实盘净值数据(iFinD公式)'!$A648-'实盘净值数据(iFinD公式)'!$A$5)/365))</x:f>
        <x:v>#NAME?</x:v>
      </x:c>
      <x:c r="F648" s="152" t="e">
        <x:f>IF(OR(E647="",E648=""),"",E648/E647-1)</x:f>
        <x:v>#NAME?</x:v>
      </x:c>
      <x:c r="G648" s="152" t="e">
        <x:f>IF(E648="","",E648/MAX(E$5:E648)-1)</x:f>
        <x:v>#NAME?</x:v>
      </x:c>
      <x:c r="H648" s="146" t="e">
        <x:f>IF(OR('实盘净值数据(iFinD公式)'!$A648="",'实盘净值数据(iFinD公式)'!$B648=""),"",分期持仓明细!$AD$19*SUMPRODUCT(分期持仓明细!$B$19:$AA$19,'实盘净值数据(iFinD公式)'!$B648:$AA648/'实盘净值数据(iFinD公式)'!$B$20:$AA$20)*(1-实盘持仓初始配置!$Z$6)^(('实盘净值数据(iFinD公式)'!$A648-'实盘净值数据(iFinD公式)'!$A$7)/365))</x:f>
        <x:v>#NAME?</x:v>
      </x:c>
      <x:c r="I648" s="152" t="e">
        <x:f>IF(OR(H647="",H648=""),"",H648/H647-1)</x:f>
        <x:v>#NAME?</x:v>
      </x:c>
      <x:c r="J648" s="152" t="e">
        <x:f>IF(H648="","",H648/MAX(H$5:H648)-1)</x:f>
        <x:v>#NAME?</x:v>
      </x:c>
      <x:c r="K648" s="146" t="e">
        <x:f>IF(OR('实盘净值数据(iFinD公式)'!$A648="",'实盘净值数据(iFinD公式)'!$B648=""),"",分期持仓明细!$AD$23*SUMPRODUCT(分期持仓明细!$B$23:$AA$23,'实盘净值数据(iFinD公式)'!$B648:$AA648/'实盘净值数据(iFinD公式)'!$B$65:$AA$65)*(1-实盘持仓初始配置!$Z$7)^(('实盘净值数据(iFinD公式)'!$A648-'实盘净值数据(iFinD公式)'!$A$8)/365))</x:f>
        <x:v>#NAME?</x:v>
      </x:c>
      <x:c r="L648" s="152" t="e">
        <x:f>IF(OR(K647="",K648=""),"",K648/K647-1)</x:f>
        <x:v>#NAME?</x:v>
      </x:c>
      <x:c r="M648" s="152" t="e">
        <x:f>IF(K648="","",K648/MAX(K$5:K648)-1)</x:f>
        <x:v>#NAME?</x:v>
      </x:c>
      <x:c r="N648" s="146" t="e">
        <x:f>IF(OR('实盘净值数据(iFinD公式)'!$A648="",'实盘净值数据(iFinD公式)'!$B648=""),"",分期持仓明细!$AD$24*SUMPRODUCT(分期持仓明细!$B$24:$AA$24,'实盘净值数据(iFinD公式)'!$B648:$AA648/'实盘净值数据(iFinD公式)'!$B$65:$AA$65)*(1-实盘持仓初始配置!$Z$8)^(('实盘净值数据(iFinD公式)'!$A648-'实盘净值数据(iFinD公式)'!$A$5)/365))</x:f>
        <x:v>#NAME?</x:v>
      </x:c>
      <x:c r="O648" s="152" t="e">
        <x:f>IF(OR(N647="",N648=""),"",N648/N647-1)</x:f>
        <x:v>#NAME?</x:v>
      </x:c>
      <x:c r="P648" s="152" t="e">
        <x:f>IF(N648="","",N648/MAX(N$5:N648)-1)</x:f>
        <x:v>#NAME?</x:v>
      </x:c>
      <x:c r="Q648" s="146" t="e">
        <x:f>IF(OR('实盘净值数据(iFinD公式)'!$A648="",'实盘净值数据(iFinD公式)'!$B648=""),"",分期持仓明细!$AD$25*SUMPRODUCT(分期持仓明细!$B$25:$AA$25,'实盘净值数据(iFinD公式)'!$B648:$AA648/'实盘净值数据(iFinD公式)'!$B$65:$AA$65)*(1-实盘持仓初始配置!$Z$9)^(('实盘净值数据(iFinD公式)'!$A648-'实盘净值数据(iFinD公式)'!$A$8)/365))</x:f>
        <x:v>#NAME?</x:v>
      </x:c>
      <x:c r="R648" s="152" t="e">
        <x:f>IF(OR(Q647="",Q648=""),"",Q648/Q647-1)</x:f>
        <x:v>#NAME?</x:v>
      </x:c>
      <x:c r="S648" s="152" t="e">
        <x:f>IF(Q648="","",Q648/MAX(Q$5:Q648)-1)</x:f>
        <x:v>#NAME?</x:v>
      </x:c>
    </x:row>
    <x:row r="649">
      <x:c r="A649" s="149" t="str">
        <x:f>IF('实盘净值数据(iFinD公式)'!A649="","",'实盘净值数据(iFinD公式)'!A649)</x:f>
      </x:c>
      <x:c r="B649" s="146" t="e">
        <x:f>IF(OR('实盘净值数据(iFinD公式)'!$A649="",'实盘净值数据(iFinD公式)'!$B649=""),"",分期持仓明细!$AD$17*SUMPRODUCT(分期持仓明细!$B$17:$AA$17,'实盘净值数据(iFinD公式)'!$B649:$AA649/'实盘净值数据(iFinD公式)'!$B$20:$AA$20)*(1-实盘持仓初始配置!$Z$4)^(('实盘净值数据(iFinD公式)'!$A649-'实盘净值数据(iFinD公式)'!$A$6)/365))</x:f>
        <x:v>#NAME?</x:v>
      </x:c>
      <x:c r="C649" s="152" t="e">
        <x:f>IF(OR(B648="",B649=""),"",B649/B648-1)</x:f>
        <x:v>#NAME?</x:v>
      </x:c>
      <x:c r="D649" s="152" t="e">
        <x:f>IF(B649="","",B649/MAX(B$5:B649)-1)</x:f>
        <x:v>#NAME?</x:v>
      </x:c>
      <x:c r="E649" s="146" t="e">
        <x:f>IF(OR('实盘净值数据(iFinD公式)'!$A649="",'实盘净值数据(iFinD公式)'!$B649=""),"",分期持仓明细!$AD$18*SUMPRODUCT(分期持仓明细!$B$18:$AA$18,'实盘净值数据(iFinD公式)'!$B649:$AA649/'实盘净值数据(iFinD公式)'!$B$20:$AA$20)*(1-实盘持仓初始配置!$Z$5)^(('实盘净值数据(iFinD公式)'!$A649-'实盘净值数据(iFinD公式)'!$A$5)/365))</x:f>
        <x:v>#NAME?</x:v>
      </x:c>
      <x:c r="F649" s="152" t="e">
        <x:f>IF(OR(E648="",E649=""),"",E649/E648-1)</x:f>
        <x:v>#NAME?</x:v>
      </x:c>
      <x:c r="G649" s="152" t="e">
        <x:f>IF(E649="","",E649/MAX(E$5:E649)-1)</x:f>
        <x:v>#NAME?</x:v>
      </x:c>
      <x:c r="H649" s="146" t="e">
        <x:f>IF(OR('实盘净值数据(iFinD公式)'!$A649="",'实盘净值数据(iFinD公式)'!$B649=""),"",分期持仓明细!$AD$19*SUMPRODUCT(分期持仓明细!$B$19:$AA$19,'实盘净值数据(iFinD公式)'!$B649:$AA649/'实盘净值数据(iFinD公式)'!$B$20:$AA$20)*(1-实盘持仓初始配置!$Z$6)^(('实盘净值数据(iFinD公式)'!$A649-'实盘净值数据(iFinD公式)'!$A$7)/365))</x:f>
        <x:v>#NAME?</x:v>
      </x:c>
      <x:c r="I649" s="152" t="e">
        <x:f>IF(OR(H648="",H649=""),"",H649/H648-1)</x:f>
        <x:v>#NAME?</x:v>
      </x:c>
      <x:c r="J649" s="152" t="e">
        <x:f>IF(H649="","",H649/MAX(H$5:H649)-1)</x:f>
        <x:v>#NAME?</x:v>
      </x:c>
      <x:c r="K649" s="146" t="e">
        <x:f>IF(OR('实盘净值数据(iFinD公式)'!$A649="",'实盘净值数据(iFinD公式)'!$B649=""),"",分期持仓明细!$AD$23*SUMPRODUCT(分期持仓明细!$B$23:$AA$23,'实盘净值数据(iFinD公式)'!$B649:$AA649/'实盘净值数据(iFinD公式)'!$B$65:$AA$65)*(1-实盘持仓初始配置!$Z$7)^(('实盘净值数据(iFinD公式)'!$A649-'实盘净值数据(iFinD公式)'!$A$8)/365))</x:f>
        <x:v>#NAME?</x:v>
      </x:c>
      <x:c r="L649" s="152" t="e">
        <x:f>IF(OR(K648="",K649=""),"",K649/K648-1)</x:f>
        <x:v>#NAME?</x:v>
      </x:c>
      <x:c r="M649" s="152" t="e">
        <x:f>IF(K649="","",K649/MAX(K$5:K649)-1)</x:f>
        <x:v>#NAME?</x:v>
      </x:c>
      <x:c r="N649" s="146" t="e">
        <x:f>IF(OR('实盘净值数据(iFinD公式)'!$A649="",'实盘净值数据(iFinD公式)'!$B649=""),"",分期持仓明细!$AD$24*SUMPRODUCT(分期持仓明细!$B$24:$AA$24,'实盘净值数据(iFinD公式)'!$B649:$AA649/'实盘净值数据(iFinD公式)'!$B$65:$AA$65)*(1-实盘持仓初始配置!$Z$8)^(('实盘净值数据(iFinD公式)'!$A649-'实盘净值数据(iFinD公式)'!$A$5)/365))</x:f>
        <x:v>#NAME?</x:v>
      </x:c>
      <x:c r="O649" s="152" t="e">
        <x:f>IF(OR(N648="",N649=""),"",N649/N648-1)</x:f>
        <x:v>#NAME?</x:v>
      </x:c>
      <x:c r="P649" s="152" t="e">
        <x:f>IF(N649="","",N649/MAX(N$5:N649)-1)</x:f>
        <x:v>#NAME?</x:v>
      </x:c>
      <x:c r="Q649" s="146" t="e">
        <x:f>IF(OR('实盘净值数据(iFinD公式)'!$A649="",'实盘净值数据(iFinD公式)'!$B649=""),"",分期持仓明细!$AD$25*SUMPRODUCT(分期持仓明细!$B$25:$AA$25,'实盘净值数据(iFinD公式)'!$B649:$AA649/'实盘净值数据(iFinD公式)'!$B$65:$AA$65)*(1-实盘持仓初始配置!$Z$9)^(('实盘净值数据(iFinD公式)'!$A649-'实盘净值数据(iFinD公式)'!$A$8)/365))</x:f>
        <x:v>#NAME?</x:v>
      </x:c>
      <x:c r="R649" s="152" t="e">
        <x:f>IF(OR(Q648="",Q649=""),"",Q649/Q648-1)</x:f>
        <x:v>#NAME?</x:v>
      </x:c>
      <x:c r="S649" s="152" t="e">
        <x:f>IF(Q649="","",Q649/MAX(Q$5:Q649)-1)</x:f>
        <x:v>#NAME?</x:v>
      </x:c>
    </x:row>
    <x:row r="650">
      <x:c r="A650" s="149" t="str">
        <x:f>IF('实盘净值数据(iFinD公式)'!A650="","",'实盘净值数据(iFinD公式)'!A650)</x:f>
      </x:c>
      <x:c r="B650" s="146" t="e">
        <x:f>IF(OR('实盘净值数据(iFinD公式)'!$A650="",'实盘净值数据(iFinD公式)'!$B650=""),"",分期持仓明细!$AD$17*SUMPRODUCT(分期持仓明细!$B$17:$AA$17,'实盘净值数据(iFinD公式)'!$B650:$AA650/'实盘净值数据(iFinD公式)'!$B$20:$AA$20)*(1-实盘持仓初始配置!$Z$4)^(('实盘净值数据(iFinD公式)'!$A650-'实盘净值数据(iFinD公式)'!$A$6)/365))</x:f>
        <x:v>#NAME?</x:v>
      </x:c>
      <x:c r="C650" s="152" t="e">
        <x:f>IF(OR(B649="",B650=""),"",B650/B649-1)</x:f>
        <x:v>#NAME?</x:v>
      </x:c>
      <x:c r="D650" s="152" t="e">
        <x:f>IF(B650="","",B650/MAX(B$5:B650)-1)</x:f>
        <x:v>#NAME?</x:v>
      </x:c>
      <x:c r="E650" s="146" t="e">
        <x:f>IF(OR('实盘净值数据(iFinD公式)'!$A650="",'实盘净值数据(iFinD公式)'!$B650=""),"",分期持仓明细!$AD$18*SUMPRODUCT(分期持仓明细!$B$18:$AA$18,'实盘净值数据(iFinD公式)'!$B650:$AA650/'实盘净值数据(iFinD公式)'!$B$20:$AA$20)*(1-实盘持仓初始配置!$Z$5)^(('实盘净值数据(iFinD公式)'!$A650-'实盘净值数据(iFinD公式)'!$A$5)/365))</x:f>
        <x:v>#NAME?</x:v>
      </x:c>
      <x:c r="F650" s="152" t="e">
        <x:f>IF(OR(E649="",E650=""),"",E650/E649-1)</x:f>
        <x:v>#NAME?</x:v>
      </x:c>
      <x:c r="G650" s="152" t="e">
        <x:f>IF(E650="","",E650/MAX(E$5:E650)-1)</x:f>
        <x:v>#NAME?</x:v>
      </x:c>
      <x:c r="H650" s="146" t="e">
        <x:f>IF(OR('实盘净值数据(iFinD公式)'!$A650="",'实盘净值数据(iFinD公式)'!$B650=""),"",分期持仓明细!$AD$19*SUMPRODUCT(分期持仓明细!$B$19:$AA$19,'实盘净值数据(iFinD公式)'!$B650:$AA650/'实盘净值数据(iFinD公式)'!$B$20:$AA$20)*(1-实盘持仓初始配置!$Z$6)^(('实盘净值数据(iFinD公式)'!$A650-'实盘净值数据(iFinD公式)'!$A$7)/365))</x:f>
        <x:v>#NAME?</x:v>
      </x:c>
      <x:c r="I650" s="152" t="e">
        <x:f>IF(OR(H649="",H650=""),"",H650/H649-1)</x:f>
        <x:v>#NAME?</x:v>
      </x:c>
      <x:c r="J650" s="152" t="e">
        <x:f>IF(H650="","",H650/MAX(H$5:H650)-1)</x:f>
        <x:v>#NAME?</x:v>
      </x:c>
      <x:c r="K650" s="146" t="e">
        <x:f>IF(OR('实盘净值数据(iFinD公式)'!$A650="",'实盘净值数据(iFinD公式)'!$B650=""),"",分期持仓明细!$AD$23*SUMPRODUCT(分期持仓明细!$B$23:$AA$23,'实盘净值数据(iFinD公式)'!$B650:$AA650/'实盘净值数据(iFinD公式)'!$B$65:$AA$65)*(1-实盘持仓初始配置!$Z$7)^(('实盘净值数据(iFinD公式)'!$A650-'实盘净值数据(iFinD公式)'!$A$8)/365))</x:f>
        <x:v>#NAME?</x:v>
      </x:c>
      <x:c r="L650" s="152" t="e">
        <x:f>IF(OR(K649="",K650=""),"",K650/K649-1)</x:f>
        <x:v>#NAME?</x:v>
      </x:c>
      <x:c r="M650" s="152" t="e">
        <x:f>IF(K650="","",K650/MAX(K$5:K650)-1)</x:f>
        <x:v>#NAME?</x:v>
      </x:c>
      <x:c r="N650" s="146" t="e">
        <x:f>IF(OR('实盘净值数据(iFinD公式)'!$A650="",'实盘净值数据(iFinD公式)'!$B650=""),"",分期持仓明细!$AD$24*SUMPRODUCT(分期持仓明细!$B$24:$AA$24,'实盘净值数据(iFinD公式)'!$B650:$AA650/'实盘净值数据(iFinD公式)'!$B$65:$AA$65)*(1-实盘持仓初始配置!$Z$8)^(('实盘净值数据(iFinD公式)'!$A650-'实盘净值数据(iFinD公式)'!$A$5)/365))</x:f>
        <x:v>#NAME?</x:v>
      </x:c>
      <x:c r="O650" s="152" t="e">
        <x:f>IF(OR(N649="",N650=""),"",N650/N649-1)</x:f>
        <x:v>#NAME?</x:v>
      </x:c>
      <x:c r="P650" s="152" t="e">
        <x:f>IF(N650="","",N650/MAX(N$5:N650)-1)</x:f>
        <x:v>#NAME?</x:v>
      </x:c>
      <x:c r="Q650" s="146" t="e">
        <x:f>IF(OR('实盘净值数据(iFinD公式)'!$A650="",'实盘净值数据(iFinD公式)'!$B650=""),"",分期持仓明细!$AD$25*SUMPRODUCT(分期持仓明细!$B$25:$AA$25,'实盘净值数据(iFinD公式)'!$B650:$AA650/'实盘净值数据(iFinD公式)'!$B$65:$AA$65)*(1-实盘持仓初始配置!$Z$9)^(('实盘净值数据(iFinD公式)'!$A650-'实盘净值数据(iFinD公式)'!$A$8)/365))</x:f>
        <x:v>#NAME?</x:v>
      </x:c>
      <x:c r="R650" s="152" t="e">
        <x:f>IF(OR(Q649="",Q650=""),"",Q650/Q649-1)</x:f>
        <x:v>#NAME?</x:v>
      </x:c>
      <x:c r="S650" s="152" t="e">
        <x:f>IF(Q650="","",Q650/MAX(Q$5:Q650)-1)</x:f>
        <x:v>#NAME?</x:v>
      </x:c>
    </x:row>
    <x:row r="651">
      <x:c r="A651" s="149" t="str">
        <x:f>IF('实盘净值数据(iFinD公式)'!A651="","",'实盘净值数据(iFinD公式)'!A651)</x:f>
      </x:c>
      <x:c r="B651" s="146" t="e">
        <x:f>IF(OR('实盘净值数据(iFinD公式)'!$A651="",'实盘净值数据(iFinD公式)'!$B651=""),"",分期持仓明细!$AD$17*SUMPRODUCT(分期持仓明细!$B$17:$AA$17,'实盘净值数据(iFinD公式)'!$B651:$AA651/'实盘净值数据(iFinD公式)'!$B$20:$AA$20)*(1-实盘持仓初始配置!$Z$4)^(('实盘净值数据(iFinD公式)'!$A651-'实盘净值数据(iFinD公式)'!$A$6)/365))</x:f>
        <x:v>#NAME?</x:v>
      </x:c>
      <x:c r="C651" s="152" t="e">
        <x:f>IF(OR(B650="",B651=""),"",B651/B650-1)</x:f>
        <x:v>#NAME?</x:v>
      </x:c>
      <x:c r="D651" s="152" t="e">
        <x:f>IF(B651="","",B651/MAX(B$5:B651)-1)</x:f>
        <x:v>#NAME?</x:v>
      </x:c>
      <x:c r="E651" s="146" t="e">
        <x:f>IF(OR('实盘净值数据(iFinD公式)'!$A651="",'实盘净值数据(iFinD公式)'!$B651=""),"",分期持仓明细!$AD$18*SUMPRODUCT(分期持仓明细!$B$18:$AA$18,'实盘净值数据(iFinD公式)'!$B651:$AA651/'实盘净值数据(iFinD公式)'!$B$20:$AA$20)*(1-实盘持仓初始配置!$Z$5)^(('实盘净值数据(iFinD公式)'!$A651-'实盘净值数据(iFinD公式)'!$A$5)/365))</x:f>
        <x:v>#NAME?</x:v>
      </x:c>
      <x:c r="F651" s="152" t="e">
        <x:f>IF(OR(E650="",E651=""),"",E651/E650-1)</x:f>
        <x:v>#NAME?</x:v>
      </x:c>
      <x:c r="G651" s="152" t="e">
        <x:f>IF(E651="","",E651/MAX(E$5:E651)-1)</x:f>
        <x:v>#NAME?</x:v>
      </x:c>
      <x:c r="H651" s="146" t="e">
        <x:f>IF(OR('实盘净值数据(iFinD公式)'!$A651="",'实盘净值数据(iFinD公式)'!$B651=""),"",分期持仓明细!$AD$19*SUMPRODUCT(分期持仓明细!$B$19:$AA$19,'实盘净值数据(iFinD公式)'!$B651:$AA651/'实盘净值数据(iFinD公式)'!$B$20:$AA$20)*(1-实盘持仓初始配置!$Z$6)^(('实盘净值数据(iFinD公式)'!$A651-'实盘净值数据(iFinD公式)'!$A$7)/365))</x:f>
        <x:v>#NAME?</x:v>
      </x:c>
      <x:c r="I651" s="152" t="e">
        <x:f>IF(OR(H650="",H651=""),"",H651/H650-1)</x:f>
        <x:v>#NAME?</x:v>
      </x:c>
      <x:c r="J651" s="152" t="e">
        <x:f>IF(H651="","",H651/MAX(H$5:H651)-1)</x:f>
        <x:v>#NAME?</x:v>
      </x:c>
      <x:c r="K651" s="146" t="e">
        <x:f>IF(OR('实盘净值数据(iFinD公式)'!$A651="",'实盘净值数据(iFinD公式)'!$B651=""),"",分期持仓明细!$AD$23*SUMPRODUCT(分期持仓明细!$B$23:$AA$23,'实盘净值数据(iFinD公式)'!$B651:$AA651/'实盘净值数据(iFinD公式)'!$B$65:$AA$65)*(1-实盘持仓初始配置!$Z$7)^(('实盘净值数据(iFinD公式)'!$A651-'实盘净值数据(iFinD公式)'!$A$8)/365))</x:f>
        <x:v>#NAME?</x:v>
      </x:c>
      <x:c r="L651" s="152" t="e">
        <x:f>IF(OR(K650="",K651=""),"",K651/K650-1)</x:f>
        <x:v>#NAME?</x:v>
      </x:c>
      <x:c r="M651" s="152" t="e">
        <x:f>IF(K651="","",K651/MAX(K$5:K651)-1)</x:f>
        <x:v>#NAME?</x:v>
      </x:c>
      <x:c r="N651" s="146" t="e">
        <x:f>IF(OR('实盘净值数据(iFinD公式)'!$A651="",'实盘净值数据(iFinD公式)'!$B651=""),"",分期持仓明细!$AD$24*SUMPRODUCT(分期持仓明细!$B$24:$AA$24,'实盘净值数据(iFinD公式)'!$B651:$AA651/'实盘净值数据(iFinD公式)'!$B$65:$AA$65)*(1-实盘持仓初始配置!$Z$8)^(('实盘净值数据(iFinD公式)'!$A651-'实盘净值数据(iFinD公式)'!$A$5)/365))</x:f>
        <x:v>#NAME?</x:v>
      </x:c>
      <x:c r="O651" s="152" t="e">
        <x:f>IF(OR(N650="",N651=""),"",N651/N650-1)</x:f>
        <x:v>#NAME?</x:v>
      </x:c>
      <x:c r="P651" s="152" t="e">
        <x:f>IF(N651="","",N651/MAX(N$5:N651)-1)</x:f>
        <x:v>#NAME?</x:v>
      </x:c>
      <x:c r="Q651" s="146" t="e">
        <x:f>IF(OR('实盘净值数据(iFinD公式)'!$A651="",'实盘净值数据(iFinD公式)'!$B651=""),"",分期持仓明细!$AD$25*SUMPRODUCT(分期持仓明细!$B$25:$AA$25,'实盘净值数据(iFinD公式)'!$B651:$AA651/'实盘净值数据(iFinD公式)'!$B$65:$AA$65)*(1-实盘持仓初始配置!$Z$9)^(('实盘净值数据(iFinD公式)'!$A651-'实盘净值数据(iFinD公式)'!$A$8)/365))</x:f>
        <x:v>#NAME?</x:v>
      </x:c>
      <x:c r="R651" s="152" t="e">
        <x:f>IF(OR(Q650="",Q651=""),"",Q651/Q650-1)</x:f>
        <x:v>#NAME?</x:v>
      </x:c>
      <x:c r="S651" s="152" t="e">
        <x:f>IF(Q651="","",Q651/MAX(Q$5:Q651)-1)</x:f>
        <x:v>#NAME?</x:v>
      </x:c>
    </x:row>
    <x:row r="652">
      <x:c r="A652" s="149" t="str">
        <x:f>IF('实盘净值数据(iFinD公式)'!A652="","",'实盘净值数据(iFinD公式)'!A652)</x:f>
      </x:c>
      <x:c r="B652" s="146" t="e">
        <x:f>IF(OR('实盘净值数据(iFinD公式)'!$A652="",'实盘净值数据(iFinD公式)'!$B652=""),"",分期持仓明细!$AD$17*SUMPRODUCT(分期持仓明细!$B$17:$AA$17,'实盘净值数据(iFinD公式)'!$B652:$AA652/'实盘净值数据(iFinD公式)'!$B$20:$AA$20)*(1-实盘持仓初始配置!$Z$4)^(('实盘净值数据(iFinD公式)'!$A652-'实盘净值数据(iFinD公式)'!$A$6)/365))</x:f>
        <x:v>#NAME?</x:v>
      </x:c>
      <x:c r="C652" s="152" t="e">
        <x:f>IF(OR(B651="",B652=""),"",B652/B651-1)</x:f>
        <x:v>#NAME?</x:v>
      </x:c>
      <x:c r="D652" s="152" t="e">
        <x:f>IF(B652="","",B652/MAX(B$5:B652)-1)</x:f>
        <x:v>#NAME?</x:v>
      </x:c>
      <x:c r="E652" s="146" t="e">
        <x:f>IF(OR('实盘净值数据(iFinD公式)'!$A652="",'实盘净值数据(iFinD公式)'!$B652=""),"",分期持仓明细!$AD$18*SUMPRODUCT(分期持仓明细!$B$18:$AA$18,'实盘净值数据(iFinD公式)'!$B652:$AA652/'实盘净值数据(iFinD公式)'!$B$20:$AA$20)*(1-实盘持仓初始配置!$Z$5)^(('实盘净值数据(iFinD公式)'!$A652-'实盘净值数据(iFinD公式)'!$A$5)/365))</x:f>
        <x:v>#NAME?</x:v>
      </x:c>
      <x:c r="F652" s="152" t="e">
        <x:f>IF(OR(E651="",E652=""),"",E652/E651-1)</x:f>
        <x:v>#NAME?</x:v>
      </x:c>
      <x:c r="G652" s="152" t="e">
        <x:f>IF(E652="","",E652/MAX(E$5:E652)-1)</x:f>
        <x:v>#NAME?</x:v>
      </x:c>
      <x:c r="H652" s="146" t="e">
        <x:f>IF(OR('实盘净值数据(iFinD公式)'!$A652="",'实盘净值数据(iFinD公式)'!$B652=""),"",分期持仓明细!$AD$19*SUMPRODUCT(分期持仓明细!$B$19:$AA$19,'实盘净值数据(iFinD公式)'!$B652:$AA652/'实盘净值数据(iFinD公式)'!$B$20:$AA$20)*(1-实盘持仓初始配置!$Z$6)^(('实盘净值数据(iFinD公式)'!$A652-'实盘净值数据(iFinD公式)'!$A$7)/365))</x:f>
        <x:v>#NAME?</x:v>
      </x:c>
      <x:c r="I652" s="152" t="e">
        <x:f>IF(OR(H651="",H652=""),"",H652/H651-1)</x:f>
        <x:v>#NAME?</x:v>
      </x:c>
      <x:c r="J652" s="152" t="e">
        <x:f>IF(H652="","",H652/MAX(H$5:H652)-1)</x:f>
        <x:v>#NAME?</x:v>
      </x:c>
      <x:c r="K652" s="146" t="e">
        <x:f>IF(OR('实盘净值数据(iFinD公式)'!$A652="",'实盘净值数据(iFinD公式)'!$B652=""),"",分期持仓明细!$AD$23*SUMPRODUCT(分期持仓明细!$B$23:$AA$23,'实盘净值数据(iFinD公式)'!$B652:$AA652/'实盘净值数据(iFinD公式)'!$B$65:$AA$65)*(1-实盘持仓初始配置!$Z$7)^(('实盘净值数据(iFinD公式)'!$A652-'实盘净值数据(iFinD公式)'!$A$8)/365))</x:f>
        <x:v>#NAME?</x:v>
      </x:c>
      <x:c r="L652" s="152" t="e">
        <x:f>IF(OR(K651="",K652=""),"",K652/K651-1)</x:f>
        <x:v>#NAME?</x:v>
      </x:c>
      <x:c r="M652" s="152" t="e">
        <x:f>IF(K652="","",K652/MAX(K$5:K652)-1)</x:f>
        <x:v>#NAME?</x:v>
      </x:c>
      <x:c r="N652" s="146" t="e">
        <x:f>IF(OR('实盘净值数据(iFinD公式)'!$A652="",'实盘净值数据(iFinD公式)'!$B652=""),"",分期持仓明细!$AD$24*SUMPRODUCT(分期持仓明细!$B$24:$AA$24,'实盘净值数据(iFinD公式)'!$B652:$AA652/'实盘净值数据(iFinD公式)'!$B$65:$AA$65)*(1-实盘持仓初始配置!$Z$8)^(('实盘净值数据(iFinD公式)'!$A652-'实盘净值数据(iFinD公式)'!$A$5)/365))</x:f>
        <x:v>#NAME?</x:v>
      </x:c>
      <x:c r="O652" s="152" t="e">
        <x:f>IF(OR(N651="",N652=""),"",N652/N651-1)</x:f>
        <x:v>#NAME?</x:v>
      </x:c>
      <x:c r="P652" s="152" t="e">
        <x:f>IF(N652="","",N652/MAX(N$5:N652)-1)</x:f>
        <x:v>#NAME?</x:v>
      </x:c>
      <x:c r="Q652" s="146" t="e">
        <x:f>IF(OR('实盘净值数据(iFinD公式)'!$A652="",'实盘净值数据(iFinD公式)'!$B652=""),"",分期持仓明细!$AD$25*SUMPRODUCT(分期持仓明细!$B$25:$AA$25,'实盘净值数据(iFinD公式)'!$B652:$AA652/'实盘净值数据(iFinD公式)'!$B$65:$AA$65)*(1-实盘持仓初始配置!$Z$9)^(('实盘净值数据(iFinD公式)'!$A652-'实盘净值数据(iFinD公式)'!$A$8)/365))</x:f>
        <x:v>#NAME?</x:v>
      </x:c>
      <x:c r="R652" s="152" t="e">
        <x:f>IF(OR(Q651="",Q652=""),"",Q652/Q651-1)</x:f>
        <x:v>#NAME?</x:v>
      </x:c>
      <x:c r="S652" s="152" t="e">
        <x:f>IF(Q652="","",Q652/MAX(Q$5:Q652)-1)</x:f>
        <x:v>#NAME?</x:v>
      </x:c>
    </x:row>
    <x:row r="653">
      <x:c r="A653" s="149" t="str">
        <x:f>IF('实盘净值数据(iFinD公式)'!A653="","",'实盘净值数据(iFinD公式)'!A653)</x:f>
      </x:c>
      <x:c r="B653" s="146" t="e">
        <x:f>IF(OR('实盘净值数据(iFinD公式)'!$A653="",'实盘净值数据(iFinD公式)'!$B653=""),"",分期持仓明细!$AD$17*SUMPRODUCT(分期持仓明细!$B$17:$AA$17,'实盘净值数据(iFinD公式)'!$B653:$AA653/'实盘净值数据(iFinD公式)'!$B$20:$AA$20)*(1-实盘持仓初始配置!$Z$4)^(('实盘净值数据(iFinD公式)'!$A653-'实盘净值数据(iFinD公式)'!$A$6)/365))</x:f>
        <x:v>#NAME?</x:v>
      </x:c>
      <x:c r="C653" s="152" t="e">
        <x:f>IF(OR(B652="",B653=""),"",B653/B652-1)</x:f>
        <x:v>#NAME?</x:v>
      </x:c>
      <x:c r="D653" s="152" t="e">
        <x:f>IF(B653="","",B653/MAX(B$5:B653)-1)</x:f>
        <x:v>#NAME?</x:v>
      </x:c>
      <x:c r="E653" s="146" t="e">
        <x:f>IF(OR('实盘净值数据(iFinD公式)'!$A653="",'实盘净值数据(iFinD公式)'!$B653=""),"",分期持仓明细!$AD$18*SUMPRODUCT(分期持仓明细!$B$18:$AA$18,'实盘净值数据(iFinD公式)'!$B653:$AA653/'实盘净值数据(iFinD公式)'!$B$20:$AA$20)*(1-实盘持仓初始配置!$Z$5)^(('实盘净值数据(iFinD公式)'!$A653-'实盘净值数据(iFinD公式)'!$A$5)/365))</x:f>
        <x:v>#NAME?</x:v>
      </x:c>
      <x:c r="F653" s="152" t="e">
        <x:f>IF(OR(E652="",E653=""),"",E653/E652-1)</x:f>
        <x:v>#NAME?</x:v>
      </x:c>
      <x:c r="G653" s="152" t="e">
        <x:f>IF(E653="","",E653/MAX(E$5:E653)-1)</x:f>
        <x:v>#NAME?</x:v>
      </x:c>
      <x:c r="H653" s="146" t="e">
        <x:f>IF(OR('实盘净值数据(iFinD公式)'!$A653="",'实盘净值数据(iFinD公式)'!$B653=""),"",分期持仓明细!$AD$19*SUMPRODUCT(分期持仓明细!$B$19:$AA$19,'实盘净值数据(iFinD公式)'!$B653:$AA653/'实盘净值数据(iFinD公式)'!$B$20:$AA$20)*(1-实盘持仓初始配置!$Z$6)^(('实盘净值数据(iFinD公式)'!$A653-'实盘净值数据(iFinD公式)'!$A$7)/365))</x:f>
        <x:v>#NAME?</x:v>
      </x:c>
      <x:c r="I653" s="152" t="e">
        <x:f>IF(OR(H652="",H653=""),"",H653/H652-1)</x:f>
        <x:v>#NAME?</x:v>
      </x:c>
      <x:c r="J653" s="152" t="e">
        <x:f>IF(H653="","",H653/MAX(H$5:H653)-1)</x:f>
        <x:v>#NAME?</x:v>
      </x:c>
      <x:c r="K653" s="146" t="e">
        <x:f>IF(OR('实盘净值数据(iFinD公式)'!$A653="",'实盘净值数据(iFinD公式)'!$B653=""),"",分期持仓明细!$AD$23*SUMPRODUCT(分期持仓明细!$B$23:$AA$23,'实盘净值数据(iFinD公式)'!$B653:$AA653/'实盘净值数据(iFinD公式)'!$B$65:$AA$65)*(1-实盘持仓初始配置!$Z$7)^(('实盘净值数据(iFinD公式)'!$A653-'实盘净值数据(iFinD公式)'!$A$8)/365))</x:f>
        <x:v>#NAME?</x:v>
      </x:c>
      <x:c r="L653" s="152" t="e">
        <x:f>IF(OR(K652="",K653=""),"",K653/K652-1)</x:f>
        <x:v>#NAME?</x:v>
      </x:c>
      <x:c r="M653" s="152" t="e">
        <x:f>IF(K653="","",K653/MAX(K$5:K653)-1)</x:f>
        <x:v>#NAME?</x:v>
      </x:c>
      <x:c r="N653" s="146" t="e">
        <x:f>IF(OR('实盘净值数据(iFinD公式)'!$A653="",'实盘净值数据(iFinD公式)'!$B653=""),"",分期持仓明细!$AD$24*SUMPRODUCT(分期持仓明细!$B$24:$AA$24,'实盘净值数据(iFinD公式)'!$B653:$AA653/'实盘净值数据(iFinD公式)'!$B$65:$AA$65)*(1-实盘持仓初始配置!$Z$8)^(('实盘净值数据(iFinD公式)'!$A653-'实盘净值数据(iFinD公式)'!$A$5)/365))</x:f>
        <x:v>#NAME?</x:v>
      </x:c>
      <x:c r="O653" s="152" t="e">
        <x:f>IF(OR(N652="",N653=""),"",N653/N652-1)</x:f>
        <x:v>#NAME?</x:v>
      </x:c>
      <x:c r="P653" s="152" t="e">
        <x:f>IF(N653="","",N653/MAX(N$5:N653)-1)</x:f>
        <x:v>#NAME?</x:v>
      </x:c>
      <x:c r="Q653" s="146" t="e">
        <x:f>IF(OR('实盘净值数据(iFinD公式)'!$A653="",'实盘净值数据(iFinD公式)'!$B653=""),"",分期持仓明细!$AD$25*SUMPRODUCT(分期持仓明细!$B$25:$AA$25,'实盘净值数据(iFinD公式)'!$B653:$AA653/'实盘净值数据(iFinD公式)'!$B$65:$AA$65)*(1-实盘持仓初始配置!$Z$9)^(('实盘净值数据(iFinD公式)'!$A653-'实盘净值数据(iFinD公式)'!$A$8)/365))</x:f>
        <x:v>#NAME?</x:v>
      </x:c>
      <x:c r="R653" s="152" t="e">
        <x:f>IF(OR(Q652="",Q653=""),"",Q653/Q652-1)</x:f>
        <x:v>#NAME?</x:v>
      </x:c>
      <x:c r="S653" s="152" t="e">
        <x:f>IF(Q653="","",Q653/MAX(Q$5:Q653)-1)</x:f>
        <x:v>#NAME?</x:v>
      </x:c>
    </x:row>
    <x:row r="654">
      <x:c r="A654" s="149" t="str">
        <x:f>IF('实盘净值数据(iFinD公式)'!A654="","",'实盘净值数据(iFinD公式)'!A654)</x:f>
      </x:c>
      <x:c r="B654" s="146" t="e">
        <x:f>IF(OR('实盘净值数据(iFinD公式)'!$A654="",'实盘净值数据(iFinD公式)'!$B654=""),"",分期持仓明细!$AD$17*SUMPRODUCT(分期持仓明细!$B$17:$AA$17,'实盘净值数据(iFinD公式)'!$B654:$AA654/'实盘净值数据(iFinD公式)'!$B$20:$AA$20)*(1-实盘持仓初始配置!$Z$4)^(('实盘净值数据(iFinD公式)'!$A654-'实盘净值数据(iFinD公式)'!$A$6)/365))</x:f>
        <x:v>#NAME?</x:v>
      </x:c>
      <x:c r="C654" s="152" t="e">
        <x:f>IF(OR(B653="",B654=""),"",B654/B653-1)</x:f>
        <x:v>#NAME?</x:v>
      </x:c>
      <x:c r="D654" s="152" t="e">
        <x:f>IF(B654="","",B654/MAX(B$5:B654)-1)</x:f>
        <x:v>#NAME?</x:v>
      </x:c>
      <x:c r="E654" s="146" t="e">
        <x:f>IF(OR('实盘净值数据(iFinD公式)'!$A654="",'实盘净值数据(iFinD公式)'!$B654=""),"",分期持仓明细!$AD$18*SUMPRODUCT(分期持仓明细!$B$18:$AA$18,'实盘净值数据(iFinD公式)'!$B654:$AA654/'实盘净值数据(iFinD公式)'!$B$20:$AA$20)*(1-实盘持仓初始配置!$Z$5)^(('实盘净值数据(iFinD公式)'!$A654-'实盘净值数据(iFinD公式)'!$A$5)/365))</x:f>
        <x:v>#NAME?</x:v>
      </x:c>
      <x:c r="F654" s="152" t="e">
        <x:f>IF(OR(E653="",E654=""),"",E654/E653-1)</x:f>
        <x:v>#NAME?</x:v>
      </x:c>
      <x:c r="G654" s="152" t="e">
        <x:f>IF(E654="","",E654/MAX(E$5:E654)-1)</x:f>
        <x:v>#NAME?</x:v>
      </x:c>
      <x:c r="H654" s="146" t="e">
        <x:f>IF(OR('实盘净值数据(iFinD公式)'!$A654="",'实盘净值数据(iFinD公式)'!$B654=""),"",分期持仓明细!$AD$19*SUMPRODUCT(分期持仓明细!$B$19:$AA$19,'实盘净值数据(iFinD公式)'!$B654:$AA654/'实盘净值数据(iFinD公式)'!$B$20:$AA$20)*(1-实盘持仓初始配置!$Z$6)^(('实盘净值数据(iFinD公式)'!$A654-'实盘净值数据(iFinD公式)'!$A$7)/365))</x:f>
        <x:v>#NAME?</x:v>
      </x:c>
      <x:c r="I654" s="152" t="e">
        <x:f>IF(OR(H653="",H654=""),"",H654/H653-1)</x:f>
        <x:v>#NAME?</x:v>
      </x:c>
      <x:c r="J654" s="152" t="e">
        <x:f>IF(H654="","",H654/MAX(H$5:H654)-1)</x:f>
        <x:v>#NAME?</x:v>
      </x:c>
      <x:c r="K654" s="146" t="e">
        <x:f>IF(OR('实盘净值数据(iFinD公式)'!$A654="",'实盘净值数据(iFinD公式)'!$B654=""),"",分期持仓明细!$AD$23*SUMPRODUCT(分期持仓明细!$B$23:$AA$23,'实盘净值数据(iFinD公式)'!$B654:$AA654/'实盘净值数据(iFinD公式)'!$B$65:$AA$65)*(1-实盘持仓初始配置!$Z$7)^(('实盘净值数据(iFinD公式)'!$A654-'实盘净值数据(iFinD公式)'!$A$8)/365))</x:f>
        <x:v>#NAME?</x:v>
      </x:c>
      <x:c r="L654" s="152" t="e">
        <x:f>IF(OR(K653="",K654=""),"",K654/K653-1)</x:f>
        <x:v>#NAME?</x:v>
      </x:c>
      <x:c r="M654" s="152" t="e">
        <x:f>IF(K654="","",K654/MAX(K$5:K654)-1)</x:f>
        <x:v>#NAME?</x:v>
      </x:c>
      <x:c r="N654" s="146" t="e">
        <x:f>IF(OR('实盘净值数据(iFinD公式)'!$A654="",'实盘净值数据(iFinD公式)'!$B654=""),"",分期持仓明细!$AD$24*SUMPRODUCT(分期持仓明细!$B$24:$AA$24,'实盘净值数据(iFinD公式)'!$B654:$AA654/'实盘净值数据(iFinD公式)'!$B$65:$AA$65)*(1-实盘持仓初始配置!$Z$8)^(('实盘净值数据(iFinD公式)'!$A654-'实盘净值数据(iFinD公式)'!$A$5)/365))</x:f>
        <x:v>#NAME?</x:v>
      </x:c>
      <x:c r="O654" s="152" t="e">
        <x:f>IF(OR(N653="",N654=""),"",N654/N653-1)</x:f>
        <x:v>#NAME?</x:v>
      </x:c>
      <x:c r="P654" s="152" t="e">
        <x:f>IF(N654="","",N654/MAX(N$5:N654)-1)</x:f>
        <x:v>#NAME?</x:v>
      </x:c>
      <x:c r="Q654" s="146" t="e">
        <x:f>IF(OR('实盘净值数据(iFinD公式)'!$A654="",'实盘净值数据(iFinD公式)'!$B654=""),"",分期持仓明细!$AD$25*SUMPRODUCT(分期持仓明细!$B$25:$AA$25,'实盘净值数据(iFinD公式)'!$B654:$AA654/'实盘净值数据(iFinD公式)'!$B$65:$AA$65)*(1-实盘持仓初始配置!$Z$9)^(('实盘净值数据(iFinD公式)'!$A654-'实盘净值数据(iFinD公式)'!$A$8)/365))</x:f>
        <x:v>#NAME?</x:v>
      </x:c>
      <x:c r="R654" s="152" t="e">
        <x:f>IF(OR(Q653="",Q654=""),"",Q654/Q653-1)</x:f>
        <x:v>#NAME?</x:v>
      </x:c>
      <x:c r="S654" s="152" t="e">
        <x:f>IF(Q654="","",Q654/MAX(Q$5:Q654)-1)</x:f>
        <x:v>#NAME?</x:v>
      </x:c>
    </x:row>
    <x:row r="655">
      <x:c r="A655" s="149" t="str">
        <x:f>IF('实盘净值数据(iFinD公式)'!A655="","",'实盘净值数据(iFinD公式)'!A655)</x:f>
      </x:c>
      <x:c r="B655" s="146" t="e">
        <x:f>IF(OR('实盘净值数据(iFinD公式)'!$A655="",'实盘净值数据(iFinD公式)'!$B655=""),"",分期持仓明细!$AD$17*SUMPRODUCT(分期持仓明细!$B$17:$AA$17,'实盘净值数据(iFinD公式)'!$B655:$AA655/'实盘净值数据(iFinD公式)'!$B$20:$AA$20)*(1-实盘持仓初始配置!$Z$4)^(('实盘净值数据(iFinD公式)'!$A655-'实盘净值数据(iFinD公式)'!$A$6)/365))</x:f>
        <x:v>#NAME?</x:v>
      </x:c>
      <x:c r="C655" s="152" t="e">
        <x:f>IF(OR(B654="",B655=""),"",B655/B654-1)</x:f>
        <x:v>#NAME?</x:v>
      </x:c>
      <x:c r="D655" s="152" t="e">
        <x:f>IF(B655="","",B655/MAX(B$5:B655)-1)</x:f>
        <x:v>#NAME?</x:v>
      </x:c>
      <x:c r="E655" s="146" t="e">
        <x:f>IF(OR('实盘净值数据(iFinD公式)'!$A655="",'实盘净值数据(iFinD公式)'!$B655=""),"",分期持仓明细!$AD$18*SUMPRODUCT(分期持仓明细!$B$18:$AA$18,'实盘净值数据(iFinD公式)'!$B655:$AA655/'实盘净值数据(iFinD公式)'!$B$20:$AA$20)*(1-实盘持仓初始配置!$Z$5)^(('实盘净值数据(iFinD公式)'!$A655-'实盘净值数据(iFinD公式)'!$A$5)/365))</x:f>
        <x:v>#NAME?</x:v>
      </x:c>
      <x:c r="F655" s="152" t="e">
        <x:f>IF(OR(E654="",E655=""),"",E655/E654-1)</x:f>
        <x:v>#NAME?</x:v>
      </x:c>
      <x:c r="G655" s="152" t="e">
        <x:f>IF(E655="","",E655/MAX(E$5:E655)-1)</x:f>
        <x:v>#NAME?</x:v>
      </x:c>
      <x:c r="H655" s="146" t="e">
        <x:f>IF(OR('实盘净值数据(iFinD公式)'!$A655="",'实盘净值数据(iFinD公式)'!$B655=""),"",分期持仓明细!$AD$19*SUMPRODUCT(分期持仓明细!$B$19:$AA$19,'实盘净值数据(iFinD公式)'!$B655:$AA655/'实盘净值数据(iFinD公式)'!$B$20:$AA$20)*(1-实盘持仓初始配置!$Z$6)^(('实盘净值数据(iFinD公式)'!$A655-'实盘净值数据(iFinD公式)'!$A$7)/365))</x:f>
        <x:v>#NAME?</x:v>
      </x:c>
      <x:c r="I655" s="152" t="e">
        <x:f>IF(OR(H654="",H655=""),"",H655/H654-1)</x:f>
        <x:v>#NAME?</x:v>
      </x:c>
      <x:c r="J655" s="152" t="e">
        <x:f>IF(H655="","",H655/MAX(H$5:H655)-1)</x:f>
        <x:v>#NAME?</x:v>
      </x:c>
      <x:c r="K655" s="146" t="e">
        <x:f>IF(OR('实盘净值数据(iFinD公式)'!$A655="",'实盘净值数据(iFinD公式)'!$B655=""),"",分期持仓明细!$AD$23*SUMPRODUCT(分期持仓明细!$B$23:$AA$23,'实盘净值数据(iFinD公式)'!$B655:$AA655/'实盘净值数据(iFinD公式)'!$B$65:$AA$65)*(1-实盘持仓初始配置!$Z$7)^(('实盘净值数据(iFinD公式)'!$A655-'实盘净值数据(iFinD公式)'!$A$8)/365))</x:f>
        <x:v>#NAME?</x:v>
      </x:c>
      <x:c r="L655" s="152" t="e">
        <x:f>IF(OR(K654="",K655=""),"",K655/K654-1)</x:f>
        <x:v>#NAME?</x:v>
      </x:c>
      <x:c r="M655" s="152" t="e">
        <x:f>IF(K655="","",K655/MAX(K$5:K655)-1)</x:f>
        <x:v>#NAME?</x:v>
      </x:c>
      <x:c r="N655" s="146" t="e">
        <x:f>IF(OR('实盘净值数据(iFinD公式)'!$A655="",'实盘净值数据(iFinD公式)'!$B655=""),"",分期持仓明细!$AD$24*SUMPRODUCT(分期持仓明细!$B$24:$AA$24,'实盘净值数据(iFinD公式)'!$B655:$AA655/'实盘净值数据(iFinD公式)'!$B$65:$AA$65)*(1-实盘持仓初始配置!$Z$8)^(('实盘净值数据(iFinD公式)'!$A655-'实盘净值数据(iFinD公式)'!$A$5)/365))</x:f>
        <x:v>#NAME?</x:v>
      </x:c>
      <x:c r="O655" s="152" t="e">
        <x:f>IF(OR(N654="",N655=""),"",N655/N654-1)</x:f>
        <x:v>#NAME?</x:v>
      </x:c>
      <x:c r="P655" s="152" t="e">
        <x:f>IF(N655="","",N655/MAX(N$5:N655)-1)</x:f>
        <x:v>#NAME?</x:v>
      </x:c>
      <x:c r="Q655" s="146" t="e">
        <x:f>IF(OR('实盘净值数据(iFinD公式)'!$A655="",'实盘净值数据(iFinD公式)'!$B655=""),"",分期持仓明细!$AD$25*SUMPRODUCT(分期持仓明细!$B$25:$AA$25,'实盘净值数据(iFinD公式)'!$B655:$AA655/'实盘净值数据(iFinD公式)'!$B$65:$AA$65)*(1-实盘持仓初始配置!$Z$9)^(('实盘净值数据(iFinD公式)'!$A655-'实盘净值数据(iFinD公式)'!$A$8)/365))</x:f>
        <x:v>#NAME?</x:v>
      </x:c>
      <x:c r="R655" s="152" t="e">
        <x:f>IF(OR(Q654="",Q655=""),"",Q655/Q654-1)</x:f>
        <x:v>#NAME?</x:v>
      </x:c>
      <x:c r="S655" s="152" t="e">
        <x:f>IF(Q655="","",Q655/MAX(Q$5:Q655)-1)</x:f>
        <x:v>#NAME?</x:v>
      </x:c>
    </x:row>
    <x:row r="656">
      <x:c r="A656" s="149" t="str">
        <x:f>IF('实盘净值数据(iFinD公式)'!A656="","",'实盘净值数据(iFinD公式)'!A656)</x:f>
      </x:c>
      <x:c r="B656" s="146" t="e">
        <x:f>IF(OR('实盘净值数据(iFinD公式)'!$A656="",'实盘净值数据(iFinD公式)'!$B656=""),"",分期持仓明细!$AD$17*SUMPRODUCT(分期持仓明细!$B$17:$AA$17,'实盘净值数据(iFinD公式)'!$B656:$AA656/'实盘净值数据(iFinD公式)'!$B$20:$AA$20)*(1-实盘持仓初始配置!$Z$4)^(('实盘净值数据(iFinD公式)'!$A656-'实盘净值数据(iFinD公式)'!$A$6)/365))</x:f>
        <x:v>#NAME?</x:v>
      </x:c>
      <x:c r="C656" s="152" t="e">
        <x:f>IF(OR(B655="",B656=""),"",B656/B655-1)</x:f>
        <x:v>#NAME?</x:v>
      </x:c>
      <x:c r="D656" s="152" t="e">
        <x:f>IF(B656="","",B656/MAX(B$5:B656)-1)</x:f>
        <x:v>#NAME?</x:v>
      </x:c>
      <x:c r="E656" s="146" t="e">
        <x:f>IF(OR('实盘净值数据(iFinD公式)'!$A656="",'实盘净值数据(iFinD公式)'!$B656=""),"",分期持仓明细!$AD$18*SUMPRODUCT(分期持仓明细!$B$18:$AA$18,'实盘净值数据(iFinD公式)'!$B656:$AA656/'实盘净值数据(iFinD公式)'!$B$20:$AA$20)*(1-实盘持仓初始配置!$Z$5)^(('实盘净值数据(iFinD公式)'!$A656-'实盘净值数据(iFinD公式)'!$A$5)/365))</x:f>
        <x:v>#NAME?</x:v>
      </x:c>
      <x:c r="F656" s="152" t="e">
        <x:f>IF(OR(E655="",E656=""),"",E656/E655-1)</x:f>
        <x:v>#NAME?</x:v>
      </x:c>
      <x:c r="G656" s="152" t="e">
        <x:f>IF(E656="","",E656/MAX(E$5:E656)-1)</x:f>
        <x:v>#NAME?</x:v>
      </x:c>
      <x:c r="H656" s="146" t="e">
        <x:f>IF(OR('实盘净值数据(iFinD公式)'!$A656="",'实盘净值数据(iFinD公式)'!$B656=""),"",分期持仓明细!$AD$19*SUMPRODUCT(分期持仓明细!$B$19:$AA$19,'实盘净值数据(iFinD公式)'!$B656:$AA656/'实盘净值数据(iFinD公式)'!$B$20:$AA$20)*(1-实盘持仓初始配置!$Z$6)^(('实盘净值数据(iFinD公式)'!$A656-'实盘净值数据(iFinD公式)'!$A$7)/365))</x:f>
        <x:v>#NAME?</x:v>
      </x:c>
      <x:c r="I656" s="152" t="e">
        <x:f>IF(OR(H655="",H656=""),"",H656/H655-1)</x:f>
        <x:v>#NAME?</x:v>
      </x:c>
      <x:c r="J656" s="152" t="e">
        <x:f>IF(H656="","",H656/MAX(H$5:H656)-1)</x:f>
        <x:v>#NAME?</x:v>
      </x:c>
      <x:c r="K656" s="146" t="e">
        <x:f>IF(OR('实盘净值数据(iFinD公式)'!$A656="",'实盘净值数据(iFinD公式)'!$B656=""),"",分期持仓明细!$AD$23*SUMPRODUCT(分期持仓明细!$B$23:$AA$23,'实盘净值数据(iFinD公式)'!$B656:$AA656/'实盘净值数据(iFinD公式)'!$B$65:$AA$65)*(1-实盘持仓初始配置!$Z$7)^(('实盘净值数据(iFinD公式)'!$A656-'实盘净值数据(iFinD公式)'!$A$8)/365))</x:f>
        <x:v>#NAME?</x:v>
      </x:c>
      <x:c r="L656" s="152" t="e">
        <x:f>IF(OR(K655="",K656=""),"",K656/K655-1)</x:f>
        <x:v>#NAME?</x:v>
      </x:c>
      <x:c r="M656" s="152" t="e">
        <x:f>IF(K656="","",K656/MAX(K$5:K656)-1)</x:f>
        <x:v>#NAME?</x:v>
      </x:c>
      <x:c r="N656" s="146" t="e">
        <x:f>IF(OR('实盘净值数据(iFinD公式)'!$A656="",'实盘净值数据(iFinD公式)'!$B656=""),"",分期持仓明细!$AD$24*SUMPRODUCT(分期持仓明细!$B$24:$AA$24,'实盘净值数据(iFinD公式)'!$B656:$AA656/'实盘净值数据(iFinD公式)'!$B$65:$AA$65)*(1-实盘持仓初始配置!$Z$8)^(('实盘净值数据(iFinD公式)'!$A656-'实盘净值数据(iFinD公式)'!$A$5)/365))</x:f>
        <x:v>#NAME?</x:v>
      </x:c>
      <x:c r="O656" s="152" t="e">
        <x:f>IF(OR(N655="",N656=""),"",N656/N655-1)</x:f>
        <x:v>#NAME?</x:v>
      </x:c>
      <x:c r="P656" s="152" t="e">
        <x:f>IF(N656="","",N656/MAX(N$5:N656)-1)</x:f>
        <x:v>#NAME?</x:v>
      </x:c>
      <x:c r="Q656" s="146" t="e">
        <x:f>IF(OR('实盘净值数据(iFinD公式)'!$A656="",'实盘净值数据(iFinD公式)'!$B656=""),"",分期持仓明细!$AD$25*SUMPRODUCT(分期持仓明细!$B$25:$AA$25,'实盘净值数据(iFinD公式)'!$B656:$AA656/'实盘净值数据(iFinD公式)'!$B$65:$AA$65)*(1-实盘持仓初始配置!$Z$9)^(('实盘净值数据(iFinD公式)'!$A656-'实盘净值数据(iFinD公式)'!$A$8)/365))</x:f>
        <x:v>#NAME?</x:v>
      </x:c>
      <x:c r="R656" s="152" t="e">
        <x:f>IF(OR(Q655="",Q656=""),"",Q656/Q655-1)</x:f>
        <x:v>#NAME?</x:v>
      </x:c>
      <x:c r="S656" s="152" t="e">
        <x:f>IF(Q656="","",Q656/MAX(Q$5:Q656)-1)</x:f>
        <x:v>#NAME?</x:v>
      </x:c>
    </x:row>
    <x:row r="657">
      <x:c r="A657" s="149" t="str">
        <x:f>IF('实盘净值数据(iFinD公式)'!A657="","",'实盘净值数据(iFinD公式)'!A657)</x:f>
      </x:c>
      <x:c r="B657" s="146" t="e">
        <x:f>IF(OR('实盘净值数据(iFinD公式)'!$A657="",'实盘净值数据(iFinD公式)'!$B657=""),"",分期持仓明细!$AD$17*SUMPRODUCT(分期持仓明细!$B$17:$AA$17,'实盘净值数据(iFinD公式)'!$B657:$AA657/'实盘净值数据(iFinD公式)'!$B$20:$AA$20)*(1-实盘持仓初始配置!$Z$4)^(('实盘净值数据(iFinD公式)'!$A657-'实盘净值数据(iFinD公式)'!$A$6)/365))</x:f>
        <x:v>#NAME?</x:v>
      </x:c>
      <x:c r="C657" s="152" t="e">
        <x:f>IF(OR(B656="",B657=""),"",B657/B656-1)</x:f>
        <x:v>#NAME?</x:v>
      </x:c>
      <x:c r="D657" s="152" t="e">
        <x:f>IF(B657="","",B657/MAX(B$5:B657)-1)</x:f>
        <x:v>#NAME?</x:v>
      </x:c>
      <x:c r="E657" s="146" t="e">
        <x:f>IF(OR('实盘净值数据(iFinD公式)'!$A657="",'实盘净值数据(iFinD公式)'!$B657=""),"",分期持仓明细!$AD$18*SUMPRODUCT(分期持仓明细!$B$18:$AA$18,'实盘净值数据(iFinD公式)'!$B657:$AA657/'实盘净值数据(iFinD公式)'!$B$20:$AA$20)*(1-实盘持仓初始配置!$Z$5)^(('实盘净值数据(iFinD公式)'!$A657-'实盘净值数据(iFinD公式)'!$A$5)/365))</x:f>
        <x:v>#NAME?</x:v>
      </x:c>
      <x:c r="F657" s="152" t="e">
        <x:f>IF(OR(E656="",E657=""),"",E657/E656-1)</x:f>
        <x:v>#NAME?</x:v>
      </x:c>
      <x:c r="G657" s="152" t="e">
        <x:f>IF(E657="","",E657/MAX(E$5:E657)-1)</x:f>
        <x:v>#NAME?</x:v>
      </x:c>
      <x:c r="H657" s="146" t="e">
        <x:f>IF(OR('实盘净值数据(iFinD公式)'!$A657="",'实盘净值数据(iFinD公式)'!$B657=""),"",分期持仓明细!$AD$19*SUMPRODUCT(分期持仓明细!$B$19:$AA$19,'实盘净值数据(iFinD公式)'!$B657:$AA657/'实盘净值数据(iFinD公式)'!$B$20:$AA$20)*(1-实盘持仓初始配置!$Z$6)^(('实盘净值数据(iFinD公式)'!$A657-'实盘净值数据(iFinD公式)'!$A$7)/365))</x:f>
        <x:v>#NAME?</x:v>
      </x:c>
      <x:c r="I657" s="152" t="e">
        <x:f>IF(OR(H656="",H657=""),"",H657/H656-1)</x:f>
        <x:v>#NAME?</x:v>
      </x:c>
      <x:c r="J657" s="152" t="e">
        <x:f>IF(H657="","",H657/MAX(H$5:H657)-1)</x:f>
        <x:v>#NAME?</x:v>
      </x:c>
      <x:c r="K657" s="146" t="e">
        <x:f>IF(OR('实盘净值数据(iFinD公式)'!$A657="",'实盘净值数据(iFinD公式)'!$B657=""),"",分期持仓明细!$AD$23*SUMPRODUCT(分期持仓明细!$B$23:$AA$23,'实盘净值数据(iFinD公式)'!$B657:$AA657/'实盘净值数据(iFinD公式)'!$B$65:$AA$65)*(1-实盘持仓初始配置!$Z$7)^(('实盘净值数据(iFinD公式)'!$A657-'实盘净值数据(iFinD公式)'!$A$8)/365))</x:f>
        <x:v>#NAME?</x:v>
      </x:c>
      <x:c r="L657" s="152" t="e">
        <x:f>IF(OR(K656="",K657=""),"",K657/K656-1)</x:f>
        <x:v>#NAME?</x:v>
      </x:c>
      <x:c r="M657" s="152" t="e">
        <x:f>IF(K657="","",K657/MAX(K$5:K657)-1)</x:f>
        <x:v>#NAME?</x:v>
      </x:c>
      <x:c r="N657" s="146" t="e">
        <x:f>IF(OR('实盘净值数据(iFinD公式)'!$A657="",'实盘净值数据(iFinD公式)'!$B657=""),"",分期持仓明细!$AD$24*SUMPRODUCT(分期持仓明细!$B$24:$AA$24,'实盘净值数据(iFinD公式)'!$B657:$AA657/'实盘净值数据(iFinD公式)'!$B$65:$AA$65)*(1-实盘持仓初始配置!$Z$8)^(('实盘净值数据(iFinD公式)'!$A657-'实盘净值数据(iFinD公式)'!$A$5)/365))</x:f>
        <x:v>#NAME?</x:v>
      </x:c>
      <x:c r="O657" s="152" t="e">
        <x:f>IF(OR(N656="",N657=""),"",N657/N656-1)</x:f>
        <x:v>#NAME?</x:v>
      </x:c>
      <x:c r="P657" s="152" t="e">
        <x:f>IF(N657="","",N657/MAX(N$5:N657)-1)</x:f>
        <x:v>#NAME?</x:v>
      </x:c>
      <x:c r="Q657" s="146" t="e">
        <x:f>IF(OR('实盘净值数据(iFinD公式)'!$A657="",'实盘净值数据(iFinD公式)'!$B657=""),"",分期持仓明细!$AD$25*SUMPRODUCT(分期持仓明细!$B$25:$AA$25,'实盘净值数据(iFinD公式)'!$B657:$AA657/'实盘净值数据(iFinD公式)'!$B$65:$AA$65)*(1-实盘持仓初始配置!$Z$9)^(('实盘净值数据(iFinD公式)'!$A657-'实盘净值数据(iFinD公式)'!$A$8)/365))</x:f>
        <x:v>#NAME?</x:v>
      </x:c>
      <x:c r="R657" s="152" t="e">
        <x:f>IF(OR(Q656="",Q657=""),"",Q657/Q656-1)</x:f>
        <x:v>#NAME?</x:v>
      </x:c>
      <x:c r="S657" s="152" t="e">
        <x:f>IF(Q657="","",Q657/MAX(Q$5:Q657)-1)</x:f>
        <x:v>#NAME?</x:v>
      </x:c>
    </x:row>
    <x:row r="658">
      <x:c r="A658" s="149" t="str">
        <x:f>IF('实盘净值数据(iFinD公式)'!A658="","",'实盘净值数据(iFinD公式)'!A658)</x:f>
      </x:c>
      <x:c r="B658" s="146" t="e">
        <x:f>IF(OR('实盘净值数据(iFinD公式)'!$A658="",'实盘净值数据(iFinD公式)'!$B658=""),"",分期持仓明细!$AD$17*SUMPRODUCT(分期持仓明细!$B$17:$AA$17,'实盘净值数据(iFinD公式)'!$B658:$AA658/'实盘净值数据(iFinD公式)'!$B$20:$AA$20)*(1-实盘持仓初始配置!$Z$4)^(('实盘净值数据(iFinD公式)'!$A658-'实盘净值数据(iFinD公式)'!$A$6)/365))</x:f>
        <x:v>#NAME?</x:v>
      </x:c>
      <x:c r="C658" s="152" t="e">
        <x:f>IF(OR(B657="",B658=""),"",B658/B657-1)</x:f>
        <x:v>#NAME?</x:v>
      </x:c>
      <x:c r="D658" s="152" t="e">
        <x:f>IF(B658="","",B658/MAX(B$5:B658)-1)</x:f>
        <x:v>#NAME?</x:v>
      </x:c>
      <x:c r="E658" s="146" t="e">
        <x:f>IF(OR('实盘净值数据(iFinD公式)'!$A658="",'实盘净值数据(iFinD公式)'!$B658=""),"",分期持仓明细!$AD$18*SUMPRODUCT(分期持仓明细!$B$18:$AA$18,'实盘净值数据(iFinD公式)'!$B658:$AA658/'实盘净值数据(iFinD公式)'!$B$20:$AA$20)*(1-实盘持仓初始配置!$Z$5)^(('实盘净值数据(iFinD公式)'!$A658-'实盘净值数据(iFinD公式)'!$A$5)/365))</x:f>
        <x:v>#NAME?</x:v>
      </x:c>
      <x:c r="F658" s="152" t="e">
        <x:f>IF(OR(E657="",E658=""),"",E658/E657-1)</x:f>
        <x:v>#NAME?</x:v>
      </x:c>
      <x:c r="G658" s="152" t="e">
        <x:f>IF(E658="","",E658/MAX(E$5:E658)-1)</x:f>
        <x:v>#NAME?</x:v>
      </x:c>
      <x:c r="H658" s="146" t="e">
        <x:f>IF(OR('实盘净值数据(iFinD公式)'!$A658="",'实盘净值数据(iFinD公式)'!$B658=""),"",分期持仓明细!$AD$19*SUMPRODUCT(分期持仓明细!$B$19:$AA$19,'实盘净值数据(iFinD公式)'!$B658:$AA658/'实盘净值数据(iFinD公式)'!$B$20:$AA$20)*(1-实盘持仓初始配置!$Z$6)^(('实盘净值数据(iFinD公式)'!$A658-'实盘净值数据(iFinD公式)'!$A$7)/365))</x:f>
        <x:v>#NAME?</x:v>
      </x:c>
      <x:c r="I658" s="152" t="e">
        <x:f>IF(OR(H657="",H658=""),"",H658/H657-1)</x:f>
        <x:v>#NAME?</x:v>
      </x:c>
      <x:c r="J658" s="152" t="e">
        <x:f>IF(H658="","",H658/MAX(H$5:H658)-1)</x:f>
        <x:v>#NAME?</x:v>
      </x:c>
      <x:c r="K658" s="146" t="e">
        <x:f>IF(OR('实盘净值数据(iFinD公式)'!$A658="",'实盘净值数据(iFinD公式)'!$B658=""),"",分期持仓明细!$AD$23*SUMPRODUCT(分期持仓明细!$B$23:$AA$23,'实盘净值数据(iFinD公式)'!$B658:$AA658/'实盘净值数据(iFinD公式)'!$B$65:$AA$65)*(1-实盘持仓初始配置!$Z$7)^(('实盘净值数据(iFinD公式)'!$A658-'实盘净值数据(iFinD公式)'!$A$8)/365))</x:f>
        <x:v>#NAME?</x:v>
      </x:c>
      <x:c r="L658" s="152" t="e">
        <x:f>IF(OR(K657="",K658=""),"",K658/K657-1)</x:f>
        <x:v>#NAME?</x:v>
      </x:c>
      <x:c r="M658" s="152" t="e">
        <x:f>IF(K658="","",K658/MAX(K$5:K658)-1)</x:f>
        <x:v>#NAME?</x:v>
      </x:c>
      <x:c r="N658" s="146" t="e">
        <x:f>IF(OR('实盘净值数据(iFinD公式)'!$A658="",'实盘净值数据(iFinD公式)'!$B658=""),"",分期持仓明细!$AD$24*SUMPRODUCT(分期持仓明细!$B$24:$AA$24,'实盘净值数据(iFinD公式)'!$B658:$AA658/'实盘净值数据(iFinD公式)'!$B$65:$AA$65)*(1-实盘持仓初始配置!$Z$8)^(('实盘净值数据(iFinD公式)'!$A658-'实盘净值数据(iFinD公式)'!$A$5)/365))</x:f>
        <x:v>#NAME?</x:v>
      </x:c>
      <x:c r="O658" s="152" t="e">
        <x:f>IF(OR(N657="",N658=""),"",N658/N657-1)</x:f>
        <x:v>#NAME?</x:v>
      </x:c>
      <x:c r="P658" s="152" t="e">
        <x:f>IF(N658="","",N658/MAX(N$5:N658)-1)</x:f>
        <x:v>#NAME?</x:v>
      </x:c>
      <x:c r="Q658" s="146" t="e">
        <x:f>IF(OR('实盘净值数据(iFinD公式)'!$A658="",'实盘净值数据(iFinD公式)'!$B658=""),"",分期持仓明细!$AD$25*SUMPRODUCT(分期持仓明细!$B$25:$AA$25,'实盘净值数据(iFinD公式)'!$B658:$AA658/'实盘净值数据(iFinD公式)'!$B$65:$AA$65)*(1-实盘持仓初始配置!$Z$9)^(('实盘净值数据(iFinD公式)'!$A658-'实盘净值数据(iFinD公式)'!$A$8)/365))</x:f>
        <x:v>#NAME?</x:v>
      </x:c>
      <x:c r="R658" s="152" t="e">
        <x:f>IF(OR(Q657="",Q658=""),"",Q658/Q657-1)</x:f>
        <x:v>#NAME?</x:v>
      </x:c>
      <x:c r="S658" s="152" t="e">
        <x:f>IF(Q658="","",Q658/MAX(Q$5:Q658)-1)</x:f>
        <x:v>#NAME?</x:v>
      </x:c>
    </x:row>
    <x:row r="659">
      <x:c r="A659" s="149" t="str">
        <x:f>IF('实盘净值数据(iFinD公式)'!A659="","",'实盘净值数据(iFinD公式)'!A659)</x:f>
      </x:c>
      <x:c r="B659" s="146" t="e">
        <x:f>IF(OR('实盘净值数据(iFinD公式)'!$A659="",'实盘净值数据(iFinD公式)'!$B659=""),"",分期持仓明细!$AD$17*SUMPRODUCT(分期持仓明细!$B$17:$AA$17,'实盘净值数据(iFinD公式)'!$B659:$AA659/'实盘净值数据(iFinD公式)'!$B$20:$AA$20)*(1-实盘持仓初始配置!$Z$4)^(('实盘净值数据(iFinD公式)'!$A659-'实盘净值数据(iFinD公式)'!$A$6)/365))</x:f>
        <x:v>#NAME?</x:v>
      </x:c>
      <x:c r="C659" s="152" t="e">
        <x:f>IF(OR(B658="",B659=""),"",B659/B658-1)</x:f>
        <x:v>#NAME?</x:v>
      </x:c>
      <x:c r="D659" s="152" t="e">
        <x:f>IF(B659="","",B659/MAX(B$5:B659)-1)</x:f>
        <x:v>#NAME?</x:v>
      </x:c>
      <x:c r="E659" s="146" t="e">
        <x:f>IF(OR('实盘净值数据(iFinD公式)'!$A659="",'实盘净值数据(iFinD公式)'!$B659=""),"",分期持仓明细!$AD$18*SUMPRODUCT(分期持仓明细!$B$18:$AA$18,'实盘净值数据(iFinD公式)'!$B659:$AA659/'实盘净值数据(iFinD公式)'!$B$20:$AA$20)*(1-实盘持仓初始配置!$Z$5)^(('实盘净值数据(iFinD公式)'!$A659-'实盘净值数据(iFinD公式)'!$A$5)/365))</x:f>
        <x:v>#NAME?</x:v>
      </x:c>
      <x:c r="F659" s="152" t="e">
        <x:f>IF(OR(E658="",E659=""),"",E659/E658-1)</x:f>
        <x:v>#NAME?</x:v>
      </x:c>
      <x:c r="G659" s="152" t="e">
        <x:f>IF(E659="","",E659/MAX(E$5:E659)-1)</x:f>
        <x:v>#NAME?</x:v>
      </x:c>
      <x:c r="H659" s="146" t="e">
        <x:f>IF(OR('实盘净值数据(iFinD公式)'!$A659="",'实盘净值数据(iFinD公式)'!$B659=""),"",分期持仓明细!$AD$19*SUMPRODUCT(分期持仓明细!$B$19:$AA$19,'实盘净值数据(iFinD公式)'!$B659:$AA659/'实盘净值数据(iFinD公式)'!$B$20:$AA$20)*(1-实盘持仓初始配置!$Z$6)^(('实盘净值数据(iFinD公式)'!$A659-'实盘净值数据(iFinD公式)'!$A$7)/365))</x:f>
        <x:v>#NAME?</x:v>
      </x:c>
      <x:c r="I659" s="152" t="e">
        <x:f>IF(OR(H658="",H659=""),"",H659/H658-1)</x:f>
        <x:v>#NAME?</x:v>
      </x:c>
      <x:c r="J659" s="152" t="e">
        <x:f>IF(H659="","",H659/MAX(H$5:H659)-1)</x:f>
        <x:v>#NAME?</x:v>
      </x:c>
      <x:c r="K659" s="146" t="e">
        <x:f>IF(OR('实盘净值数据(iFinD公式)'!$A659="",'实盘净值数据(iFinD公式)'!$B659=""),"",分期持仓明细!$AD$23*SUMPRODUCT(分期持仓明细!$B$23:$AA$23,'实盘净值数据(iFinD公式)'!$B659:$AA659/'实盘净值数据(iFinD公式)'!$B$65:$AA$65)*(1-实盘持仓初始配置!$Z$7)^(('实盘净值数据(iFinD公式)'!$A659-'实盘净值数据(iFinD公式)'!$A$8)/365))</x:f>
        <x:v>#NAME?</x:v>
      </x:c>
      <x:c r="L659" s="152" t="e">
        <x:f>IF(OR(K658="",K659=""),"",K659/K658-1)</x:f>
        <x:v>#NAME?</x:v>
      </x:c>
      <x:c r="M659" s="152" t="e">
        <x:f>IF(K659="","",K659/MAX(K$5:K659)-1)</x:f>
        <x:v>#NAME?</x:v>
      </x:c>
      <x:c r="N659" s="146" t="e">
        <x:f>IF(OR('实盘净值数据(iFinD公式)'!$A659="",'实盘净值数据(iFinD公式)'!$B659=""),"",分期持仓明细!$AD$24*SUMPRODUCT(分期持仓明细!$B$24:$AA$24,'实盘净值数据(iFinD公式)'!$B659:$AA659/'实盘净值数据(iFinD公式)'!$B$65:$AA$65)*(1-实盘持仓初始配置!$Z$8)^(('实盘净值数据(iFinD公式)'!$A659-'实盘净值数据(iFinD公式)'!$A$5)/365))</x:f>
        <x:v>#NAME?</x:v>
      </x:c>
      <x:c r="O659" s="152" t="e">
        <x:f>IF(OR(N658="",N659=""),"",N659/N658-1)</x:f>
        <x:v>#NAME?</x:v>
      </x:c>
      <x:c r="P659" s="152" t="e">
        <x:f>IF(N659="","",N659/MAX(N$5:N659)-1)</x:f>
        <x:v>#NAME?</x:v>
      </x:c>
      <x:c r="Q659" s="146" t="e">
        <x:f>IF(OR('实盘净值数据(iFinD公式)'!$A659="",'实盘净值数据(iFinD公式)'!$B659=""),"",分期持仓明细!$AD$25*SUMPRODUCT(分期持仓明细!$B$25:$AA$25,'实盘净值数据(iFinD公式)'!$B659:$AA659/'实盘净值数据(iFinD公式)'!$B$65:$AA$65)*(1-实盘持仓初始配置!$Z$9)^(('实盘净值数据(iFinD公式)'!$A659-'实盘净值数据(iFinD公式)'!$A$8)/365))</x:f>
        <x:v>#NAME?</x:v>
      </x:c>
      <x:c r="R659" s="152" t="e">
        <x:f>IF(OR(Q658="",Q659=""),"",Q659/Q658-1)</x:f>
        <x:v>#NAME?</x:v>
      </x:c>
      <x:c r="S659" s="152" t="e">
        <x:f>IF(Q659="","",Q659/MAX(Q$5:Q659)-1)</x:f>
        <x:v>#NAME?</x:v>
      </x:c>
    </x:row>
    <x:row r="660">
      <x:c r="A660" s="149" t="str">
        <x:f>IF('实盘净值数据(iFinD公式)'!A660="","",'实盘净值数据(iFinD公式)'!A660)</x:f>
      </x:c>
      <x:c r="B660" s="146" t="e">
        <x:f>IF(OR('实盘净值数据(iFinD公式)'!$A660="",'实盘净值数据(iFinD公式)'!$B660=""),"",分期持仓明细!$AD$17*SUMPRODUCT(分期持仓明细!$B$17:$AA$17,'实盘净值数据(iFinD公式)'!$B660:$AA660/'实盘净值数据(iFinD公式)'!$B$20:$AA$20)*(1-实盘持仓初始配置!$Z$4)^(('实盘净值数据(iFinD公式)'!$A660-'实盘净值数据(iFinD公式)'!$A$6)/365))</x:f>
        <x:v>#NAME?</x:v>
      </x:c>
      <x:c r="C660" s="152" t="e">
        <x:f>IF(OR(B659="",B660=""),"",B660/B659-1)</x:f>
        <x:v>#NAME?</x:v>
      </x:c>
      <x:c r="D660" s="152" t="e">
        <x:f>IF(B660="","",B660/MAX(B$5:B660)-1)</x:f>
        <x:v>#NAME?</x:v>
      </x:c>
      <x:c r="E660" s="146" t="e">
        <x:f>IF(OR('实盘净值数据(iFinD公式)'!$A660="",'实盘净值数据(iFinD公式)'!$B660=""),"",分期持仓明细!$AD$18*SUMPRODUCT(分期持仓明细!$B$18:$AA$18,'实盘净值数据(iFinD公式)'!$B660:$AA660/'实盘净值数据(iFinD公式)'!$B$20:$AA$20)*(1-实盘持仓初始配置!$Z$5)^(('实盘净值数据(iFinD公式)'!$A660-'实盘净值数据(iFinD公式)'!$A$5)/365))</x:f>
        <x:v>#NAME?</x:v>
      </x:c>
      <x:c r="F660" s="152" t="e">
        <x:f>IF(OR(E659="",E660=""),"",E660/E659-1)</x:f>
        <x:v>#NAME?</x:v>
      </x:c>
      <x:c r="G660" s="152" t="e">
        <x:f>IF(E660="","",E660/MAX(E$5:E660)-1)</x:f>
        <x:v>#NAME?</x:v>
      </x:c>
      <x:c r="H660" s="146" t="e">
        <x:f>IF(OR('实盘净值数据(iFinD公式)'!$A660="",'实盘净值数据(iFinD公式)'!$B660=""),"",分期持仓明细!$AD$19*SUMPRODUCT(分期持仓明细!$B$19:$AA$19,'实盘净值数据(iFinD公式)'!$B660:$AA660/'实盘净值数据(iFinD公式)'!$B$20:$AA$20)*(1-实盘持仓初始配置!$Z$6)^(('实盘净值数据(iFinD公式)'!$A660-'实盘净值数据(iFinD公式)'!$A$7)/365))</x:f>
        <x:v>#NAME?</x:v>
      </x:c>
      <x:c r="I660" s="152" t="e">
        <x:f>IF(OR(H659="",H660=""),"",H660/H659-1)</x:f>
        <x:v>#NAME?</x:v>
      </x:c>
      <x:c r="J660" s="152" t="e">
        <x:f>IF(H660="","",H660/MAX(H$5:H660)-1)</x:f>
        <x:v>#NAME?</x:v>
      </x:c>
      <x:c r="K660" s="146" t="e">
        <x:f>IF(OR('实盘净值数据(iFinD公式)'!$A660="",'实盘净值数据(iFinD公式)'!$B660=""),"",分期持仓明细!$AD$23*SUMPRODUCT(分期持仓明细!$B$23:$AA$23,'实盘净值数据(iFinD公式)'!$B660:$AA660/'实盘净值数据(iFinD公式)'!$B$65:$AA$65)*(1-实盘持仓初始配置!$Z$7)^(('实盘净值数据(iFinD公式)'!$A660-'实盘净值数据(iFinD公式)'!$A$8)/365))</x:f>
        <x:v>#NAME?</x:v>
      </x:c>
      <x:c r="L660" s="152" t="e">
        <x:f>IF(OR(K659="",K660=""),"",K660/K659-1)</x:f>
        <x:v>#NAME?</x:v>
      </x:c>
      <x:c r="M660" s="152" t="e">
        <x:f>IF(K660="","",K660/MAX(K$5:K660)-1)</x:f>
        <x:v>#NAME?</x:v>
      </x:c>
      <x:c r="N660" s="146" t="e">
        <x:f>IF(OR('实盘净值数据(iFinD公式)'!$A660="",'实盘净值数据(iFinD公式)'!$B660=""),"",分期持仓明细!$AD$24*SUMPRODUCT(分期持仓明细!$B$24:$AA$24,'实盘净值数据(iFinD公式)'!$B660:$AA660/'实盘净值数据(iFinD公式)'!$B$65:$AA$65)*(1-实盘持仓初始配置!$Z$8)^(('实盘净值数据(iFinD公式)'!$A660-'实盘净值数据(iFinD公式)'!$A$5)/365))</x:f>
        <x:v>#NAME?</x:v>
      </x:c>
      <x:c r="O660" s="152" t="e">
        <x:f>IF(OR(N659="",N660=""),"",N660/N659-1)</x:f>
        <x:v>#NAME?</x:v>
      </x:c>
      <x:c r="P660" s="152" t="e">
        <x:f>IF(N660="","",N660/MAX(N$5:N660)-1)</x:f>
        <x:v>#NAME?</x:v>
      </x:c>
      <x:c r="Q660" s="146" t="e">
        <x:f>IF(OR('实盘净值数据(iFinD公式)'!$A660="",'实盘净值数据(iFinD公式)'!$B660=""),"",分期持仓明细!$AD$25*SUMPRODUCT(分期持仓明细!$B$25:$AA$25,'实盘净值数据(iFinD公式)'!$B660:$AA660/'实盘净值数据(iFinD公式)'!$B$65:$AA$65)*(1-实盘持仓初始配置!$Z$9)^(('实盘净值数据(iFinD公式)'!$A660-'实盘净值数据(iFinD公式)'!$A$8)/365))</x:f>
        <x:v>#NAME?</x:v>
      </x:c>
      <x:c r="R660" s="152" t="e">
        <x:f>IF(OR(Q659="",Q660=""),"",Q660/Q659-1)</x:f>
        <x:v>#NAME?</x:v>
      </x:c>
      <x:c r="S660" s="152" t="e">
        <x:f>IF(Q660="","",Q660/MAX(Q$5:Q660)-1)</x:f>
        <x:v>#NAME?</x:v>
      </x:c>
    </x:row>
    <x:row r="661">
      <x:c r="A661" s="149" t="str">
        <x:f>IF('实盘净值数据(iFinD公式)'!A661="","",'实盘净值数据(iFinD公式)'!A661)</x:f>
      </x:c>
      <x:c r="B661" s="146" t="e">
        <x:f>IF(OR('实盘净值数据(iFinD公式)'!$A661="",'实盘净值数据(iFinD公式)'!$B661=""),"",分期持仓明细!$AD$17*SUMPRODUCT(分期持仓明细!$B$17:$AA$17,'实盘净值数据(iFinD公式)'!$B661:$AA661/'实盘净值数据(iFinD公式)'!$B$20:$AA$20)*(1-实盘持仓初始配置!$Z$4)^(('实盘净值数据(iFinD公式)'!$A661-'实盘净值数据(iFinD公式)'!$A$6)/365))</x:f>
        <x:v>#NAME?</x:v>
      </x:c>
      <x:c r="C661" s="152" t="e">
        <x:f>IF(OR(B660="",B661=""),"",B661/B660-1)</x:f>
        <x:v>#NAME?</x:v>
      </x:c>
      <x:c r="D661" s="152" t="e">
        <x:f>IF(B661="","",B661/MAX(B$5:B661)-1)</x:f>
        <x:v>#NAME?</x:v>
      </x:c>
      <x:c r="E661" s="146" t="e">
        <x:f>IF(OR('实盘净值数据(iFinD公式)'!$A661="",'实盘净值数据(iFinD公式)'!$B661=""),"",分期持仓明细!$AD$18*SUMPRODUCT(分期持仓明细!$B$18:$AA$18,'实盘净值数据(iFinD公式)'!$B661:$AA661/'实盘净值数据(iFinD公式)'!$B$20:$AA$20)*(1-实盘持仓初始配置!$Z$5)^(('实盘净值数据(iFinD公式)'!$A661-'实盘净值数据(iFinD公式)'!$A$5)/365))</x:f>
        <x:v>#NAME?</x:v>
      </x:c>
      <x:c r="F661" s="152" t="e">
        <x:f>IF(OR(E660="",E661=""),"",E661/E660-1)</x:f>
        <x:v>#NAME?</x:v>
      </x:c>
      <x:c r="G661" s="152" t="e">
        <x:f>IF(E661="","",E661/MAX(E$5:E661)-1)</x:f>
        <x:v>#NAME?</x:v>
      </x:c>
      <x:c r="H661" s="146" t="e">
        <x:f>IF(OR('实盘净值数据(iFinD公式)'!$A661="",'实盘净值数据(iFinD公式)'!$B661=""),"",分期持仓明细!$AD$19*SUMPRODUCT(分期持仓明细!$B$19:$AA$19,'实盘净值数据(iFinD公式)'!$B661:$AA661/'实盘净值数据(iFinD公式)'!$B$20:$AA$20)*(1-实盘持仓初始配置!$Z$6)^(('实盘净值数据(iFinD公式)'!$A661-'实盘净值数据(iFinD公式)'!$A$7)/365))</x:f>
        <x:v>#NAME?</x:v>
      </x:c>
      <x:c r="I661" s="152" t="e">
        <x:f>IF(OR(H660="",H661=""),"",H661/H660-1)</x:f>
        <x:v>#NAME?</x:v>
      </x:c>
      <x:c r="J661" s="152" t="e">
        <x:f>IF(H661="","",H661/MAX(H$5:H661)-1)</x:f>
        <x:v>#NAME?</x:v>
      </x:c>
      <x:c r="K661" s="146" t="e">
        <x:f>IF(OR('实盘净值数据(iFinD公式)'!$A661="",'实盘净值数据(iFinD公式)'!$B661=""),"",分期持仓明细!$AD$23*SUMPRODUCT(分期持仓明细!$B$23:$AA$23,'实盘净值数据(iFinD公式)'!$B661:$AA661/'实盘净值数据(iFinD公式)'!$B$65:$AA$65)*(1-实盘持仓初始配置!$Z$7)^(('实盘净值数据(iFinD公式)'!$A661-'实盘净值数据(iFinD公式)'!$A$8)/365))</x:f>
        <x:v>#NAME?</x:v>
      </x:c>
      <x:c r="L661" s="152" t="e">
        <x:f>IF(OR(K660="",K661=""),"",K661/K660-1)</x:f>
        <x:v>#NAME?</x:v>
      </x:c>
      <x:c r="M661" s="152" t="e">
        <x:f>IF(K661="","",K661/MAX(K$5:K661)-1)</x:f>
        <x:v>#NAME?</x:v>
      </x:c>
      <x:c r="N661" s="146" t="e">
        <x:f>IF(OR('实盘净值数据(iFinD公式)'!$A661="",'实盘净值数据(iFinD公式)'!$B661=""),"",分期持仓明细!$AD$24*SUMPRODUCT(分期持仓明细!$B$24:$AA$24,'实盘净值数据(iFinD公式)'!$B661:$AA661/'实盘净值数据(iFinD公式)'!$B$65:$AA$65)*(1-实盘持仓初始配置!$Z$8)^(('实盘净值数据(iFinD公式)'!$A661-'实盘净值数据(iFinD公式)'!$A$5)/365))</x:f>
        <x:v>#NAME?</x:v>
      </x:c>
      <x:c r="O661" s="152" t="e">
        <x:f>IF(OR(N660="",N661=""),"",N661/N660-1)</x:f>
        <x:v>#NAME?</x:v>
      </x:c>
      <x:c r="P661" s="152" t="e">
        <x:f>IF(N661="","",N661/MAX(N$5:N661)-1)</x:f>
        <x:v>#NAME?</x:v>
      </x:c>
      <x:c r="Q661" s="146" t="e">
        <x:f>IF(OR('实盘净值数据(iFinD公式)'!$A661="",'实盘净值数据(iFinD公式)'!$B661=""),"",分期持仓明细!$AD$25*SUMPRODUCT(分期持仓明细!$B$25:$AA$25,'实盘净值数据(iFinD公式)'!$B661:$AA661/'实盘净值数据(iFinD公式)'!$B$65:$AA$65)*(1-实盘持仓初始配置!$Z$9)^(('实盘净值数据(iFinD公式)'!$A661-'实盘净值数据(iFinD公式)'!$A$8)/365))</x:f>
        <x:v>#NAME?</x:v>
      </x:c>
      <x:c r="R661" s="152" t="e">
        <x:f>IF(OR(Q660="",Q661=""),"",Q661/Q660-1)</x:f>
        <x:v>#NAME?</x:v>
      </x:c>
      <x:c r="S661" s="152" t="e">
        <x:f>IF(Q661="","",Q661/MAX(Q$5:Q661)-1)</x:f>
        <x:v>#NAME?</x:v>
      </x:c>
    </x:row>
    <x:row r="662">
      <x:c r="A662" s="149" t="str">
        <x:f>IF('实盘净值数据(iFinD公式)'!A662="","",'实盘净值数据(iFinD公式)'!A662)</x:f>
      </x:c>
      <x:c r="B662" s="146" t="e">
        <x:f>IF(OR('实盘净值数据(iFinD公式)'!$A662="",'实盘净值数据(iFinD公式)'!$B662=""),"",分期持仓明细!$AD$17*SUMPRODUCT(分期持仓明细!$B$17:$AA$17,'实盘净值数据(iFinD公式)'!$B662:$AA662/'实盘净值数据(iFinD公式)'!$B$20:$AA$20)*(1-实盘持仓初始配置!$Z$4)^(('实盘净值数据(iFinD公式)'!$A662-'实盘净值数据(iFinD公式)'!$A$6)/365))</x:f>
        <x:v>#NAME?</x:v>
      </x:c>
      <x:c r="C662" s="152" t="e">
        <x:f>IF(OR(B661="",B662=""),"",B662/B661-1)</x:f>
        <x:v>#NAME?</x:v>
      </x:c>
      <x:c r="D662" s="152" t="e">
        <x:f>IF(B662="","",B662/MAX(B$5:B662)-1)</x:f>
        <x:v>#NAME?</x:v>
      </x:c>
      <x:c r="E662" s="146" t="e">
        <x:f>IF(OR('实盘净值数据(iFinD公式)'!$A662="",'实盘净值数据(iFinD公式)'!$B662=""),"",分期持仓明细!$AD$18*SUMPRODUCT(分期持仓明细!$B$18:$AA$18,'实盘净值数据(iFinD公式)'!$B662:$AA662/'实盘净值数据(iFinD公式)'!$B$20:$AA$20)*(1-实盘持仓初始配置!$Z$5)^(('实盘净值数据(iFinD公式)'!$A662-'实盘净值数据(iFinD公式)'!$A$5)/365))</x:f>
        <x:v>#NAME?</x:v>
      </x:c>
      <x:c r="F662" s="152" t="e">
        <x:f>IF(OR(E661="",E662=""),"",E662/E661-1)</x:f>
        <x:v>#NAME?</x:v>
      </x:c>
      <x:c r="G662" s="152" t="e">
        <x:f>IF(E662="","",E662/MAX(E$5:E662)-1)</x:f>
        <x:v>#NAME?</x:v>
      </x:c>
      <x:c r="H662" s="146" t="e">
        <x:f>IF(OR('实盘净值数据(iFinD公式)'!$A662="",'实盘净值数据(iFinD公式)'!$B662=""),"",分期持仓明细!$AD$19*SUMPRODUCT(分期持仓明细!$B$19:$AA$19,'实盘净值数据(iFinD公式)'!$B662:$AA662/'实盘净值数据(iFinD公式)'!$B$20:$AA$20)*(1-实盘持仓初始配置!$Z$6)^(('实盘净值数据(iFinD公式)'!$A662-'实盘净值数据(iFinD公式)'!$A$7)/365))</x:f>
        <x:v>#NAME?</x:v>
      </x:c>
      <x:c r="I662" s="152" t="e">
        <x:f>IF(OR(H661="",H662=""),"",H662/H661-1)</x:f>
        <x:v>#NAME?</x:v>
      </x:c>
      <x:c r="J662" s="152" t="e">
        <x:f>IF(H662="","",H662/MAX(H$5:H662)-1)</x:f>
        <x:v>#NAME?</x:v>
      </x:c>
      <x:c r="K662" s="146" t="e">
        <x:f>IF(OR('实盘净值数据(iFinD公式)'!$A662="",'实盘净值数据(iFinD公式)'!$B662=""),"",分期持仓明细!$AD$23*SUMPRODUCT(分期持仓明细!$B$23:$AA$23,'实盘净值数据(iFinD公式)'!$B662:$AA662/'实盘净值数据(iFinD公式)'!$B$65:$AA$65)*(1-实盘持仓初始配置!$Z$7)^(('实盘净值数据(iFinD公式)'!$A662-'实盘净值数据(iFinD公式)'!$A$8)/365))</x:f>
        <x:v>#NAME?</x:v>
      </x:c>
      <x:c r="L662" s="152" t="e">
        <x:f>IF(OR(K661="",K662=""),"",K662/K661-1)</x:f>
        <x:v>#NAME?</x:v>
      </x:c>
      <x:c r="M662" s="152" t="e">
        <x:f>IF(K662="","",K662/MAX(K$5:K662)-1)</x:f>
        <x:v>#NAME?</x:v>
      </x:c>
      <x:c r="N662" s="146" t="e">
        <x:f>IF(OR('实盘净值数据(iFinD公式)'!$A662="",'实盘净值数据(iFinD公式)'!$B662=""),"",分期持仓明细!$AD$24*SUMPRODUCT(分期持仓明细!$B$24:$AA$24,'实盘净值数据(iFinD公式)'!$B662:$AA662/'实盘净值数据(iFinD公式)'!$B$65:$AA$65)*(1-实盘持仓初始配置!$Z$8)^(('实盘净值数据(iFinD公式)'!$A662-'实盘净值数据(iFinD公式)'!$A$5)/365))</x:f>
        <x:v>#NAME?</x:v>
      </x:c>
      <x:c r="O662" s="152" t="e">
        <x:f>IF(OR(N661="",N662=""),"",N662/N661-1)</x:f>
        <x:v>#NAME?</x:v>
      </x:c>
      <x:c r="P662" s="152" t="e">
        <x:f>IF(N662="","",N662/MAX(N$5:N662)-1)</x:f>
        <x:v>#NAME?</x:v>
      </x:c>
      <x:c r="Q662" s="146" t="e">
        <x:f>IF(OR('实盘净值数据(iFinD公式)'!$A662="",'实盘净值数据(iFinD公式)'!$B662=""),"",分期持仓明细!$AD$25*SUMPRODUCT(分期持仓明细!$B$25:$AA$25,'实盘净值数据(iFinD公式)'!$B662:$AA662/'实盘净值数据(iFinD公式)'!$B$65:$AA$65)*(1-实盘持仓初始配置!$Z$9)^(('实盘净值数据(iFinD公式)'!$A662-'实盘净值数据(iFinD公式)'!$A$8)/365))</x:f>
        <x:v>#NAME?</x:v>
      </x:c>
      <x:c r="R662" s="152" t="e">
        <x:f>IF(OR(Q661="",Q662=""),"",Q662/Q661-1)</x:f>
        <x:v>#NAME?</x:v>
      </x:c>
      <x:c r="S662" s="152" t="e">
        <x:f>IF(Q662="","",Q662/MAX(Q$5:Q662)-1)</x:f>
        <x:v>#NAME?</x:v>
      </x:c>
    </x:row>
    <x:row r="663">
      <x:c r="A663" s="149" t="str">
        <x:f>IF('实盘净值数据(iFinD公式)'!A663="","",'实盘净值数据(iFinD公式)'!A663)</x:f>
      </x:c>
      <x:c r="B663" s="146" t="e">
        <x:f>IF(OR('实盘净值数据(iFinD公式)'!$A663="",'实盘净值数据(iFinD公式)'!$B663=""),"",分期持仓明细!$AD$17*SUMPRODUCT(分期持仓明细!$B$17:$AA$17,'实盘净值数据(iFinD公式)'!$B663:$AA663/'实盘净值数据(iFinD公式)'!$B$20:$AA$20)*(1-实盘持仓初始配置!$Z$4)^(('实盘净值数据(iFinD公式)'!$A663-'实盘净值数据(iFinD公式)'!$A$6)/365))</x:f>
        <x:v>#NAME?</x:v>
      </x:c>
      <x:c r="C663" s="152" t="e">
        <x:f>IF(OR(B662="",B663=""),"",B663/B662-1)</x:f>
        <x:v>#NAME?</x:v>
      </x:c>
      <x:c r="D663" s="152" t="e">
        <x:f>IF(B663="","",B663/MAX(B$5:B663)-1)</x:f>
        <x:v>#NAME?</x:v>
      </x:c>
      <x:c r="E663" s="146" t="e">
        <x:f>IF(OR('实盘净值数据(iFinD公式)'!$A663="",'实盘净值数据(iFinD公式)'!$B663=""),"",分期持仓明细!$AD$18*SUMPRODUCT(分期持仓明细!$B$18:$AA$18,'实盘净值数据(iFinD公式)'!$B663:$AA663/'实盘净值数据(iFinD公式)'!$B$20:$AA$20)*(1-实盘持仓初始配置!$Z$5)^(('实盘净值数据(iFinD公式)'!$A663-'实盘净值数据(iFinD公式)'!$A$5)/365))</x:f>
        <x:v>#NAME?</x:v>
      </x:c>
      <x:c r="F663" s="152" t="e">
        <x:f>IF(OR(E662="",E663=""),"",E663/E662-1)</x:f>
        <x:v>#NAME?</x:v>
      </x:c>
      <x:c r="G663" s="152" t="e">
        <x:f>IF(E663="","",E663/MAX(E$5:E663)-1)</x:f>
        <x:v>#NAME?</x:v>
      </x:c>
      <x:c r="H663" s="146" t="e">
        <x:f>IF(OR('实盘净值数据(iFinD公式)'!$A663="",'实盘净值数据(iFinD公式)'!$B663=""),"",分期持仓明细!$AD$19*SUMPRODUCT(分期持仓明细!$B$19:$AA$19,'实盘净值数据(iFinD公式)'!$B663:$AA663/'实盘净值数据(iFinD公式)'!$B$20:$AA$20)*(1-实盘持仓初始配置!$Z$6)^(('实盘净值数据(iFinD公式)'!$A663-'实盘净值数据(iFinD公式)'!$A$7)/365))</x:f>
        <x:v>#NAME?</x:v>
      </x:c>
      <x:c r="I663" s="152" t="e">
        <x:f>IF(OR(H662="",H663=""),"",H663/H662-1)</x:f>
        <x:v>#NAME?</x:v>
      </x:c>
      <x:c r="J663" s="152" t="e">
        <x:f>IF(H663="","",H663/MAX(H$5:H663)-1)</x:f>
        <x:v>#NAME?</x:v>
      </x:c>
      <x:c r="K663" s="146" t="e">
        <x:f>IF(OR('实盘净值数据(iFinD公式)'!$A663="",'实盘净值数据(iFinD公式)'!$B663=""),"",分期持仓明细!$AD$23*SUMPRODUCT(分期持仓明细!$B$23:$AA$23,'实盘净值数据(iFinD公式)'!$B663:$AA663/'实盘净值数据(iFinD公式)'!$B$65:$AA$65)*(1-实盘持仓初始配置!$Z$7)^(('实盘净值数据(iFinD公式)'!$A663-'实盘净值数据(iFinD公式)'!$A$8)/365))</x:f>
        <x:v>#NAME?</x:v>
      </x:c>
      <x:c r="L663" s="152" t="e">
        <x:f>IF(OR(K662="",K663=""),"",K663/K662-1)</x:f>
        <x:v>#NAME?</x:v>
      </x:c>
      <x:c r="M663" s="152" t="e">
        <x:f>IF(K663="","",K663/MAX(K$5:K663)-1)</x:f>
        <x:v>#NAME?</x:v>
      </x:c>
      <x:c r="N663" s="146" t="e">
        <x:f>IF(OR('实盘净值数据(iFinD公式)'!$A663="",'实盘净值数据(iFinD公式)'!$B663=""),"",分期持仓明细!$AD$24*SUMPRODUCT(分期持仓明细!$B$24:$AA$24,'实盘净值数据(iFinD公式)'!$B663:$AA663/'实盘净值数据(iFinD公式)'!$B$65:$AA$65)*(1-实盘持仓初始配置!$Z$8)^(('实盘净值数据(iFinD公式)'!$A663-'实盘净值数据(iFinD公式)'!$A$5)/365))</x:f>
        <x:v>#NAME?</x:v>
      </x:c>
      <x:c r="O663" s="152" t="e">
        <x:f>IF(OR(N662="",N663=""),"",N663/N662-1)</x:f>
        <x:v>#NAME?</x:v>
      </x:c>
      <x:c r="P663" s="152" t="e">
        <x:f>IF(N663="","",N663/MAX(N$5:N663)-1)</x:f>
        <x:v>#NAME?</x:v>
      </x:c>
      <x:c r="Q663" s="146" t="e">
        <x:f>IF(OR('实盘净值数据(iFinD公式)'!$A663="",'实盘净值数据(iFinD公式)'!$B663=""),"",分期持仓明细!$AD$25*SUMPRODUCT(分期持仓明细!$B$25:$AA$25,'实盘净值数据(iFinD公式)'!$B663:$AA663/'实盘净值数据(iFinD公式)'!$B$65:$AA$65)*(1-实盘持仓初始配置!$Z$9)^(('实盘净值数据(iFinD公式)'!$A663-'实盘净值数据(iFinD公式)'!$A$8)/365))</x:f>
        <x:v>#NAME?</x:v>
      </x:c>
      <x:c r="R663" s="152" t="e">
        <x:f>IF(OR(Q662="",Q663=""),"",Q663/Q662-1)</x:f>
        <x:v>#NAME?</x:v>
      </x:c>
      <x:c r="S663" s="152" t="e">
        <x:f>IF(Q663="","",Q663/MAX(Q$5:Q663)-1)</x:f>
        <x:v>#NAME?</x:v>
      </x:c>
    </x:row>
    <x:row r="664">
      <x:c r="A664" s="149" t="str">
        <x:f>IF('实盘净值数据(iFinD公式)'!A664="","",'实盘净值数据(iFinD公式)'!A664)</x:f>
      </x:c>
      <x:c r="B664" s="146" t="e">
        <x:f>IF(OR('实盘净值数据(iFinD公式)'!$A664="",'实盘净值数据(iFinD公式)'!$B664=""),"",分期持仓明细!$AD$17*SUMPRODUCT(分期持仓明细!$B$17:$AA$17,'实盘净值数据(iFinD公式)'!$B664:$AA664/'实盘净值数据(iFinD公式)'!$B$20:$AA$20)*(1-实盘持仓初始配置!$Z$4)^(('实盘净值数据(iFinD公式)'!$A664-'实盘净值数据(iFinD公式)'!$A$6)/365))</x:f>
        <x:v>#NAME?</x:v>
      </x:c>
      <x:c r="C664" s="152" t="e">
        <x:f>IF(OR(B663="",B664=""),"",B664/B663-1)</x:f>
        <x:v>#NAME?</x:v>
      </x:c>
      <x:c r="D664" s="152" t="e">
        <x:f>IF(B664="","",B664/MAX(B$5:B664)-1)</x:f>
        <x:v>#NAME?</x:v>
      </x:c>
      <x:c r="E664" s="146" t="e">
        <x:f>IF(OR('实盘净值数据(iFinD公式)'!$A664="",'实盘净值数据(iFinD公式)'!$B664=""),"",分期持仓明细!$AD$18*SUMPRODUCT(分期持仓明细!$B$18:$AA$18,'实盘净值数据(iFinD公式)'!$B664:$AA664/'实盘净值数据(iFinD公式)'!$B$20:$AA$20)*(1-实盘持仓初始配置!$Z$5)^(('实盘净值数据(iFinD公式)'!$A664-'实盘净值数据(iFinD公式)'!$A$5)/365))</x:f>
        <x:v>#NAME?</x:v>
      </x:c>
      <x:c r="F664" s="152" t="e">
        <x:f>IF(OR(E663="",E664=""),"",E664/E663-1)</x:f>
        <x:v>#NAME?</x:v>
      </x:c>
      <x:c r="G664" s="152" t="e">
        <x:f>IF(E664="","",E664/MAX(E$5:E664)-1)</x:f>
        <x:v>#NAME?</x:v>
      </x:c>
      <x:c r="H664" s="146" t="e">
        <x:f>IF(OR('实盘净值数据(iFinD公式)'!$A664="",'实盘净值数据(iFinD公式)'!$B664=""),"",分期持仓明细!$AD$19*SUMPRODUCT(分期持仓明细!$B$19:$AA$19,'实盘净值数据(iFinD公式)'!$B664:$AA664/'实盘净值数据(iFinD公式)'!$B$20:$AA$20)*(1-实盘持仓初始配置!$Z$6)^(('实盘净值数据(iFinD公式)'!$A664-'实盘净值数据(iFinD公式)'!$A$7)/365))</x:f>
        <x:v>#NAME?</x:v>
      </x:c>
      <x:c r="I664" s="152" t="e">
        <x:f>IF(OR(H663="",H664=""),"",H664/H663-1)</x:f>
        <x:v>#NAME?</x:v>
      </x:c>
      <x:c r="J664" s="152" t="e">
        <x:f>IF(H664="","",H664/MAX(H$5:H664)-1)</x:f>
        <x:v>#NAME?</x:v>
      </x:c>
      <x:c r="K664" s="146" t="e">
        <x:f>IF(OR('实盘净值数据(iFinD公式)'!$A664="",'实盘净值数据(iFinD公式)'!$B664=""),"",分期持仓明细!$AD$23*SUMPRODUCT(分期持仓明细!$B$23:$AA$23,'实盘净值数据(iFinD公式)'!$B664:$AA664/'实盘净值数据(iFinD公式)'!$B$65:$AA$65)*(1-实盘持仓初始配置!$Z$7)^(('实盘净值数据(iFinD公式)'!$A664-'实盘净值数据(iFinD公式)'!$A$8)/365))</x:f>
        <x:v>#NAME?</x:v>
      </x:c>
      <x:c r="L664" s="152" t="e">
        <x:f>IF(OR(K663="",K664=""),"",K664/K663-1)</x:f>
        <x:v>#NAME?</x:v>
      </x:c>
      <x:c r="M664" s="152" t="e">
        <x:f>IF(K664="","",K664/MAX(K$5:K664)-1)</x:f>
        <x:v>#NAME?</x:v>
      </x:c>
      <x:c r="N664" s="146" t="e">
        <x:f>IF(OR('实盘净值数据(iFinD公式)'!$A664="",'实盘净值数据(iFinD公式)'!$B664=""),"",分期持仓明细!$AD$24*SUMPRODUCT(分期持仓明细!$B$24:$AA$24,'实盘净值数据(iFinD公式)'!$B664:$AA664/'实盘净值数据(iFinD公式)'!$B$65:$AA$65)*(1-实盘持仓初始配置!$Z$8)^(('实盘净值数据(iFinD公式)'!$A664-'实盘净值数据(iFinD公式)'!$A$5)/365))</x:f>
        <x:v>#NAME?</x:v>
      </x:c>
      <x:c r="O664" s="152" t="e">
        <x:f>IF(OR(N663="",N664=""),"",N664/N663-1)</x:f>
        <x:v>#NAME?</x:v>
      </x:c>
      <x:c r="P664" s="152" t="e">
        <x:f>IF(N664="","",N664/MAX(N$5:N664)-1)</x:f>
        <x:v>#NAME?</x:v>
      </x:c>
      <x:c r="Q664" s="146" t="e">
        <x:f>IF(OR('实盘净值数据(iFinD公式)'!$A664="",'实盘净值数据(iFinD公式)'!$B664=""),"",分期持仓明细!$AD$25*SUMPRODUCT(分期持仓明细!$B$25:$AA$25,'实盘净值数据(iFinD公式)'!$B664:$AA664/'实盘净值数据(iFinD公式)'!$B$65:$AA$65)*(1-实盘持仓初始配置!$Z$9)^(('实盘净值数据(iFinD公式)'!$A664-'实盘净值数据(iFinD公式)'!$A$8)/365))</x:f>
        <x:v>#NAME?</x:v>
      </x:c>
      <x:c r="R664" s="152" t="e">
        <x:f>IF(OR(Q663="",Q664=""),"",Q664/Q663-1)</x:f>
        <x:v>#NAME?</x:v>
      </x:c>
      <x:c r="S664" s="152" t="e">
        <x:f>IF(Q664="","",Q664/MAX(Q$5:Q664)-1)</x:f>
        <x:v>#NAME?</x:v>
      </x:c>
    </x:row>
    <x:row r="665">
      <x:c r="A665" s="149" t="str">
        <x:f>IF('实盘净值数据(iFinD公式)'!A665="","",'实盘净值数据(iFinD公式)'!A665)</x:f>
      </x:c>
      <x:c r="B665" s="146" t="e">
        <x:f>IF(OR('实盘净值数据(iFinD公式)'!$A665="",'实盘净值数据(iFinD公式)'!$B665=""),"",分期持仓明细!$AD$17*SUMPRODUCT(分期持仓明细!$B$17:$AA$17,'实盘净值数据(iFinD公式)'!$B665:$AA665/'实盘净值数据(iFinD公式)'!$B$20:$AA$20)*(1-实盘持仓初始配置!$Z$4)^(('实盘净值数据(iFinD公式)'!$A665-'实盘净值数据(iFinD公式)'!$A$6)/365))</x:f>
        <x:v>#NAME?</x:v>
      </x:c>
      <x:c r="C665" s="152" t="e">
        <x:f>IF(OR(B664="",B665=""),"",B665/B664-1)</x:f>
        <x:v>#NAME?</x:v>
      </x:c>
      <x:c r="D665" s="152" t="e">
        <x:f>IF(B665="","",B665/MAX(B$5:B665)-1)</x:f>
        <x:v>#NAME?</x:v>
      </x:c>
      <x:c r="E665" s="146" t="e">
        <x:f>IF(OR('实盘净值数据(iFinD公式)'!$A665="",'实盘净值数据(iFinD公式)'!$B665=""),"",分期持仓明细!$AD$18*SUMPRODUCT(分期持仓明细!$B$18:$AA$18,'实盘净值数据(iFinD公式)'!$B665:$AA665/'实盘净值数据(iFinD公式)'!$B$20:$AA$20)*(1-实盘持仓初始配置!$Z$5)^(('实盘净值数据(iFinD公式)'!$A665-'实盘净值数据(iFinD公式)'!$A$5)/365))</x:f>
        <x:v>#NAME?</x:v>
      </x:c>
      <x:c r="F665" s="152" t="e">
        <x:f>IF(OR(E664="",E665=""),"",E665/E664-1)</x:f>
        <x:v>#NAME?</x:v>
      </x:c>
      <x:c r="G665" s="152" t="e">
        <x:f>IF(E665="","",E665/MAX(E$5:E665)-1)</x:f>
        <x:v>#NAME?</x:v>
      </x:c>
      <x:c r="H665" s="146" t="e">
        <x:f>IF(OR('实盘净值数据(iFinD公式)'!$A665="",'实盘净值数据(iFinD公式)'!$B665=""),"",分期持仓明细!$AD$19*SUMPRODUCT(分期持仓明细!$B$19:$AA$19,'实盘净值数据(iFinD公式)'!$B665:$AA665/'实盘净值数据(iFinD公式)'!$B$20:$AA$20)*(1-实盘持仓初始配置!$Z$6)^(('实盘净值数据(iFinD公式)'!$A665-'实盘净值数据(iFinD公式)'!$A$7)/365))</x:f>
        <x:v>#NAME?</x:v>
      </x:c>
      <x:c r="I665" s="152" t="e">
        <x:f>IF(OR(H664="",H665=""),"",H665/H664-1)</x:f>
        <x:v>#NAME?</x:v>
      </x:c>
      <x:c r="J665" s="152" t="e">
        <x:f>IF(H665="","",H665/MAX(H$5:H665)-1)</x:f>
        <x:v>#NAME?</x:v>
      </x:c>
      <x:c r="K665" s="146" t="e">
        <x:f>IF(OR('实盘净值数据(iFinD公式)'!$A665="",'实盘净值数据(iFinD公式)'!$B665=""),"",分期持仓明细!$AD$23*SUMPRODUCT(分期持仓明细!$B$23:$AA$23,'实盘净值数据(iFinD公式)'!$B665:$AA665/'实盘净值数据(iFinD公式)'!$B$65:$AA$65)*(1-实盘持仓初始配置!$Z$7)^(('实盘净值数据(iFinD公式)'!$A665-'实盘净值数据(iFinD公式)'!$A$8)/365))</x:f>
        <x:v>#NAME?</x:v>
      </x:c>
      <x:c r="L665" s="152" t="e">
        <x:f>IF(OR(K664="",K665=""),"",K665/K664-1)</x:f>
        <x:v>#NAME?</x:v>
      </x:c>
      <x:c r="M665" s="152" t="e">
        <x:f>IF(K665="","",K665/MAX(K$5:K665)-1)</x:f>
        <x:v>#NAME?</x:v>
      </x:c>
      <x:c r="N665" s="146" t="e">
        <x:f>IF(OR('实盘净值数据(iFinD公式)'!$A665="",'实盘净值数据(iFinD公式)'!$B665=""),"",分期持仓明细!$AD$24*SUMPRODUCT(分期持仓明细!$B$24:$AA$24,'实盘净值数据(iFinD公式)'!$B665:$AA665/'实盘净值数据(iFinD公式)'!$B$65:$AA$65)*(1-实盘持仓初始配置!$Z$8)^(('实盘净值数据(iFinD公式)'!$A665-'实盘净值数据(iFinD公式)'!$A$5)/365))</x:f>
        <x:v>#NAME?</x:v>
      </x:c>
      <x:c r="O665" s="152" t="e">
        <x:f>IF(OR(N664="",N665=""),"",N665/N664-1)</x:f>
        <x:v>#NAME?</x:v>
      </x:c>
      <x:c r="P665" s="152" t="e">
        <x:f>IF(N665="","",N665/MAX(N$5:N665)-1)</x:f>
        <x:v>#NAME?</x:v>
      </x:c>
      <x:c r="Q665" s="146" t="e">
        <x:f>IF(OR('实盘净值数据(iFinD公式)'!$A665="",'实盘净值数据(iFinD公式)'!$B665=""),"",分期持仓明细!$AD$25*SUMPRODUCT(分期持仓明细!$B$25:$AA$25,'实盘净值数据(iFinD公式)'!$B665:$AA665/'实盘净值数据(iFinD公式)'!$B$65:$AA$65)*(1-实盘持仓初始配置!$Z$9)^(('实盘净值数据(iFinD公式)'!$A665-'实盘净值数据(iFinD公式)'!$A$8)/365))</x:f>
        <x:v>#NAME?</x:v>
      </x:c>
      <x:c r="R665" s="152" t="e">
        <x:f>IF(OR(Q664="",Q665=""),"",Q665/Q664-1)</x:f>
        <x:v>#NAME?</x:v>
      </x:c>
      <x:c r="S665" s="152" t="e">
        <x:f>IF(Q665="","",Q665/MAX(Q$5:Q665)-1)</x:f>
        <x:v>#NAME?</x:v>
      </x:c>
    </x:row>
    <x:row r="666">
      <x:c r="A666" s="149" t="str">
        <x:f>IF('实盘净值数据(iFinD公式)'!A666="","",'实盘净值数据(iFinD公式)'!A666)</x:f>
      </x:c>
      <x:c r="B666" s="146" t="e">
        <x:f>IF(OR('实盘净值数据(iFinD公式)'!$A666="",'实盘净值数据(iFinD公式)'!$B666=""),"",分期持仓明细!$AD$17*SUMPRODUCT(分期持仓明细!$B$17:$AA$17,'实盘净值数据(iFinD公式)'!$B666:$AA666/'实盘净值数据(iFinD公式)'!$B$20:$AA$20)*(1-实盘持仓初始配置!$Z$4)^(('实盘净值数据(iFinD公式)'!$A666-'实盘净值数据(iFinD公式)'!$A$6)/365))</x:f>
        <x:v>#NAME?</x:v>
      </x:c>
      <x:c r="C666" s="152" t="e">
        <x:f>IF(OR(B665="",B666=""),"",B666/B665-1)</x:f>
        <x:v>#NAME?</x:v>
      </x:c>
      <x:c r="D666" s="152" t="e">
        <x:f>IF(B666="","",B666/MAX(B$5:B666)-1)</x:f>
        <x:v>#NAME?</x:v>
      </x:c>
      <x:c r="E666" s="146" t="e">
        <x:f>IF(OR('实盘净值数据(iFinD公式)'!$A666="",'实盘净值数据(iFinD公式)'!$B666=""),"",分期持仓明细!$AD$18*SUMPRODUCT(分期持仓明细!$B$18:$AA$18,'实盘净值数据(iFinD公式)'!$B666:$AA666/'实盘净值数据(iFinD公式)'!$B$20:$AA$20)*(1-实盘持仓初始配置!$Z$5)^(('实盘净值数据(iFinD公式)'!$A666-'实盘净值数据(iFinD公式)'!$A$5)/365))</x:f>
        <x:v>#NAME?</x:v>
      </x:c>
      <x:c r="F666" s="152" t="e">
        <x:f>IF(OR(E665="",E666=""),"",E666/E665-1)</x:f>
        <x:v>#NAME?</x:v>
      </x:c>
      <x:c r="G666" s="152" t="e">
        <x:f>IF(E666="","",E666/MAX(E$5:E666)-1)</x:f>
        <x:v>#NAME?</x:v>
      </x:c>
      <x:c r="H666" s="146" t="e">
        <x:f>IF(OR('实盘净值数据(iFinD公式)'!$A666="",'实盘净值数据(iFinD公式)'!$B666=""),"",分期持仓明细!$AD$19*SUMPRODUCT(分期持仓明细!$B$19:$AA$19,'实盘净值数据(iFinD公式)'!$B666:$AA666/'实盘净值数据(iFinD公式)'!$B$20:$AA$20)*(1-实盘持仓初始配置!$Z$6)^(('实盘净值数据(iFinD公式)'!$A666-'实盘净值数据(iFinD公式)'!$A$7)/365))</x:f>
        <x:v>#NAME?</x:v>
      </x:c>
      <x:c r="I666" s="152" t="e">
        <x:f>IF(OR(H665="",H666=""),"",H666/H665-1)</x:f>
        <x:v>#NAME?</x:v>
      </x:c>
      <x:c r="J666" s="152" t="e">
        <x:f>IF(H666="","",H666/MAX(H$5:H666)-1)</x:f>
        <x:v>#NAME?</x:v>
      </x:c>
      <x:c r="K666" s="146" t="e">
        <x:f>IF(OR('实盘净值数据(iFinD公式)'!$A666="",'实盘净值数据(iFinD公式)'!$B666=""),"",分期持仓明细!$AD$23*SUMPRODUCT(分期持仓明细!$B$23:$AA$23,'实盘净值数据(iFinD公式)'!$B666:$AA666/'实盘净值数据(iFinD公式)'!$B$65:$AA$65)*(1-实盘持仓初始配置!$Z$7)^(('实盘净值数据(iFinD公式)'!$A666-'实盘净值数据(iFinD公式)'!$A$8)/365))</x:f>
        <x:v>#NAME?</x:v>
      </x:c>
      <x:c r="L666" s="152" t="e">
        <x:f>IF(OR(K665="",K666=""),"",K666/K665-1)</x:f>
        <x:v>#NAME?</x:v>
      </x:c>
      <x:c r="M666" s="152" t="e">
        <x:f>IF(K666="","",K666/MAX(K$5:K666)-1)</x:f>
        <x:v>#NAME?</x:v>
      </x:c>
      <x:c r="N666" s="146" t="e">
        <x:f>IF(OR('实盘净值数据(iFinD公式)'!$A666="",'实盘净值数据(iFinD公式)'!$B666=""),"",分期持仓明细!$AD$24*SUMPRODUCT(分期持仓明细!$B$24:$AA$24,'实盘净值数据(iFinD公式)'!$B666:$AA666/'实盘净值数据(iFinD公式)'!$B$65:$AA$65)*(1-实盘持仓初始配置!$Z$8)^(('实盘净值数据(iFinD公式)'!$A666-'实盘净值数据(iFinD公式)'!$A$5)/365))</x:f>
        <x:v>#NAME?</x:v>
      </x:c>
      <x:c r="O666" s="152" t="e">
        <x:f>IF(OR(N665="",N666=""),"",N666/N665-1)</x:f>
        <x:v>#NAME?</x:v>
      </x:c>
      <x:c r="P666" s="152" t="e">
        <x:f>IF(N666="","",N666/MAX(N$5:N666)-1)</x:f>
        <x:v>#NAME?</x:v>
      </x:c>
      <x:c r="Q666" s="146" t="e">
        <x:f>IF(OR('实盘净值数据(iFinD公式)'!$A666="",'实盘净值数据(iFinD公式)'!$B666=""),"",分期持仓明细!$AD$25*SUMPRODUCT(分期持仓明细!$B$25:$AA$25,'实盘净值数据(iFinD公式)'!$B666:$AA666/'实盘净值数据(iFinD公式)'!$B$65:$AA$65)*(1-实盘持仓初始配置!$Z$9)^(('实盘净值数据(iFinD公式)'!$A666-'实盘净值数据(iFinD公式)'!$A$8)/365))</x:f>
        <x:v>#NAME?</x:v>
      </x:c>
      <x:c r="R666" s="152" t="e">
        <x:f>IF(OR(Q665="",Q666=""),"",Q666/Q665-1)</x:f>
        <x:v>#NAME?</x:v>
      </x:c>
      <x:c r="S666" s="152" t="e">
        <x:f>IF(Q666="","",Q666/MAX(Q$5:Q666)-1)</x:f>
        <x:v>#NAME?</x:v>
      </x:c>
    </x:row>
    <x:row r="667">
      <x:c r="A667" s="149" t="str">
        <x:f>IF('实盘净值数据(iFinD公式)'!A667="","",'实盘净值数据(iFinD公式)'!A667)</x:f>
      </x:c>
      <x:c r="B667" s="146" t="e">
        <x:f>IF(OR('实盘净值数据(iFinD公式)'!$A667="",'实盘净值数据(iFinD公式)'!$B667=""),"",分期持仓明细!$AD$17*SUMPRODUCT(分期持仓明细!$B$17:$AA$17,'实盘净值数据(iFinD公式)'!$B667:$AA667/'实盘净值数据(iFinD公式)'!$B$20:$AA$20)*(1-实盘持仓初始配置!$Z$4)^(('实盘净值数据(iFinD公式)'!$A667-'实盘净值数据(iFinD公式)'!$A$6)/365))</x:f>
        <x:v>#NAME?</x:v>
      </x:c>
      <x:c r="C667" s="152" t="e">
        <x:f>IF(OR(B666="",B667=""),"",B667/B666-1)</x:f>
        <x:v>#NAME?</x:v>
      </x:c>
      <x:c r="D667" s="152" t="e">
        <x:f>IF(B667="","",B667/MAX(B$5:B667)-1)</x:f>
        <x:v>#NAME?</x:v>
      </x:c>
      <x:c r="E667" s="146" t="e">
        <x:f>IF(OR('实盘净值数据(iFinD公式)'!$A667="",'实盘净值数据(iFinD公式)'!$B667=""),"",分期持仓明细!$AD$18*SUMPRODUCT(分期持仓明细!$B$18:$AA$18,'实盘净值数据(iFinD公式)'!$B667:$AA667/'实盘净值数据(iFinD公式)'!$B$20:$AA$20)*(1-实盘持仓初始配置!$Z$5)^(('实盘净值数据(iFinD公式)'!$A667-'实盘净值数据(iFinD公式)'!$A$5)/365))</x:f>
        <x:v>#NAME?</x:v>
      </x:c>
      <x:c r="F667" s="152" t="e">
        <x:f>IF(OR(E666="",E667=""),"",E667/E666-1)</x:f>
        <x:v>#NAME?</x:v>
      </x:c>
      <x:c r="G667" s="152" t="e">
        <x:f>IF(E667="","",E667/MAX(E$5:E667)-1)</x:f>
        <x:v>#NAME?</x:v>
      </x:c>
      <x:c r="H667" s="146" t="e">
        <x:f>IF(OR('实盘净值数据(iFinD公式)'!$A667="",'实盘净值数据(iFinD公式)'!$B667=""),"",分期持仓明细!$AD$19*SUMPRODUCT(分期持仓明细!$B$19:$AA$19,'实盘净值数据(iFinD公式)'!$B667:$AA667/'实盘净值数据(iFinD公式)'!$B$20:$AA$20)*(1-实盘持仓初始配置!$Z$6)^(('实盘净值数据(iFinD公式)'!$A667-'实盘净值数据(iFinD公式)'!$A$7)/365))</x:f>
        <x:v>#NAME?</x:v>
      </x:c>
      <x:c r="I667" s="152" t="e">
        <x:f>IF(OR(H666="",H667=""),"",H667/H666-1)</x:f>
        <x:v>#NAME?</x:v>
      </x:c>
      <x:c r="J667" s="152" t="e">
        <x:f>IF(H667="","",H667/MAX(H$5:H667)-1)</x:f>
        <x:v>#NAME?</x:v>
      </x:c>
      <x:c r="K667" s="146" t="e">
        <x:f>IF(OR('实盘净值数据(iFinD公式)'!$A667="",'实盘净值数据(iFinD公式)'!$B667=""),"",分期持仓明细!$AD$23*SUMPRODUCT(分期持仓明细!$B$23:$AA$23,'实盘净值数据(iFinD公式)'!$B667:$AA667/'实盘净值数据(iFinD公式)'!$B$65:$AA$65)*(1-实盘持仓初始配置!$Z$7)^(('实盘净值数据(iFinD公式)'!$A667-'实盘净值数据(iFinD公式)'!$A$8)/365))</x:f>
        <x:v>#NAME?</x:v>
      </x:c>
      <x:c r="L667" s="152" t="e">
        <x:f>IF(OR(K666="",K667=""),"",K667/K666-1)</x:f>
        <x:v>#NAME?</x:v>
      </x:c>
      <x:c r="M667" s="152" t="e">
        <x:f>IF(K667="","",K667/MAX(K$5:K667)-1)</x:f>
        <x:v>#NAME?</x:v>
      </x:c>
      <x:c r="N667" s="146" t="e">
        <x:f>IF(OR('实盘净值数据(iFinD公式)'!$A667="",'实盘净值数据(iFinD公式)'!$B667=""),"",分期持仓明细!$AD$24*SUMPRODUCT(分期持仓明细!$B$24:$AA$24,'实盘净值数据(iFinD公式)'!$B667:$AA667/'实盘净值数据(iFinD公式)'!$B$65:$AA$65)*(1-实盘持仓初始配置!$Z$8)^(('实盘净值数据(iFinD公式)'!$A667-'实盘净值数据(iFinD公式)'!$A$5)/365))</x:f>
        <x:v>#NAME?</x:v>
      </x:c>
      <x:c r="O667" s="152" t="e">
        <x:f>IF(OR(N666="",N667=""),"",N667/N666-1)</x:f>
        <x:v>#NAME?</x:v>
      </x:c>
      <x:c r="P667" s="152" t="e">
        <x:f>IF(N667="","",N667/MAX(N$5:N667)-1)</x:f>
        <x:v>#NAME?</x:v>
      </x:c>
      <x:c r="Q667" s="146" t="e">
        <x:f>IF(OR('实盘净值数据(iFinD公式)'!$A667="",'实盘净值数据(iFinD公式)'!$B667=""),"",分期持仓明细!$AD$25*SUMPRODUCT(分期持仓明细!$B$25:$AA$25,'实盘净值数据(iFinD公式)'!$B667:$AA667/'实盘净值数据(iFinD公式)'!$B$65:$AA$65)*(1-实盘持仓初始配置!$Z$9)^(('实盘净值数据(iFinD公式)'!$A667-'实盘净值数据(iFinD公式)'!$A$8)/365))</x:f>
        <x:v>#NAME?</x:v>
      </x:c>
      <x:c r="R667" s="152" t="e">
        <x:f>IF(OR(Q666="",Q667=""),"",Q667/Q666-1)</x:f>
        <x:v>#NAME?</x:v>
      </x:c>
      <x:c r="S667" s="152" t="e">
        <x:f>IF(Q667="","",Q667/MAX(Q$5:Q667)-1)</x:f>
        <x:v>#NAME?</x:v>
      </x:c>
    </x:row>
    <x:row r="668">
      <x:c r="A668" s="149" t="str">
        <x:f>IF('实盘净值数据(iFinD公式)'!A668="","",'实盘净值数据(iFinD公式)'!A668)</x:f>
      </x:c>
      <x:c r="B668" s="146" t="e">
        <x:f>IF(OR('实盘净值数据(iFinD公式)'!$A668="",'实盘净值数据(iFinD公式)'!$B668=""),"",分期持仓明细!$AD$17*SUMPRODUCT(分期持仓明细!$B$17:$AA$17,'实盘净值数据(iFinD公式)'!$B668:$AA668/'实盘净值数据(iFinD公式)'!$B$20:$AA$20)*(1-实盘持仓初始配置!$Z$4)^(('实盘净值数据(iFinD公式)'!$A668-'实盘净值数据(iFinD公式)'!$A$6)/365))</x:f>
        <x:v>#NAME?</x:v>
      </x:c>
      <x:c r="C668" s="152" t="e">
        <x:f>IF(OR(B667="",B668=""),"",B668/B667-1)</x:f>
        <x:v>#NAME?</x:v>
      </x:c>
      <x:c r="D668" s="152" t="e">
        <x:f>IF(B668="","",B668/MAX(B$5:B668)-1)</x:f>
        <x:v>#NAME?</x:v>
      </x:c>
      <x:c r="E668" s="146" t="e">
        <x:f>IF(OR('实盘净值数据(iFinD公式)'!$A668="",'实盘净值数据(iFinD公式)'!$B668=""),"",分期持仓明细!$AD$18*SUMPRODUCT(分期持仓明细!$B$18:$AA$18,'实盘净值数据(iFinD公式)'!$B668:$AA668/'实盘净值数据(iFinD公式)'!$B$20:$AA$20)*(1-实盘持仓初始配置!$Z$5)^(('实盘净值数据(iFinD公式)'!$A668-'实盘净值数据(iFinD公式)'!$A$5)/365))</x:f>
        <x:v>#NAME?</x:v>
      </x:c>
      <x:c r="F668" s="152" t="e">
        <x:f>IF(OR(E667="",E668=""),"",E668/E667-1)</x:f>
        <x:v>#NAME?</x:v>
      </x:c>
      <x:c r="G668" s="152" t="e">
        <x:f>IF(E668="","",E668/MAX(E$5:E668)-1)</x:f>
        <x:v>#NAME?</x:v>
      </x:c>
      <x:c r="H668" s="146" t="e">
        <x:f>IF(OR('实盘净值数据(iFinD公式)'!$A668="",'实盘净值数据(iFinD公式)'!$B668=""),"",分期持仓明细!$AD$19*SUMPRODUCT(分期持仓明细!$B$19:$AA$19,'实盘净值数据(iFinD公式)'!$B668:$AA668/'实盘净值数据(iFinD公式)'!$B$20:$AA$20)*(1-实盘持仓初始配置!$Z$6)^(('实盘净值数据(iFinD公式)'!$A668-'实盘净值数据(iFinD公式)'!$A$7)/365))</x:f>
        <x:v>#NAME?</x:v>
      </x:c>
      <x:c r="I668" s="152" t="e">
        <x:f>IF(OR(H667="",H668=""),"",H668/H667-1)</x:f>
        <x:v>#NAME?</x:v>
      </x:c>
      <x:c r="J668" s="152" t="e">
        <x:f>IF(H668="","",H668/MAX(H$5:H668)-1)</x:f>
        <x:v>#NAME?</x:v>
      </x:c>
      <x:c r="K668" s="146" t="e">
        <x:f>IF(OR('实盘净值数据(iFinD公式)'!$A668="",'实盘净值数据(iFinD公式)'!$B668=""),"",分期持仓明细!$AD$23*SUMPRODUCT(分期持仓明细!$B$23:$AA$23,'实盘净值数据(iFinD公式)'!$B668:$AA668/'实盘净值数据(iFinD公式)'!$B$65:$AA$65)*(1-实盘持仓初始配置!$Z$7)^(('实盘净值数据(iFinD公式)'!$A668-'实盘净值数据(iFinD公式)'!$A$8)/365))</x:f>
        <x:v>#NAME?</x:v>
      </x:c>
      <x:c r="L668" s="152" t="e">
        <x:f>IF(OR(K667="",K668=""),"",K668/K667-1)</x:f>
        <x:v>#NAME?</x:v>
      </x:c>
      <x:c r="M668" s="152" t="e">
        <x:f>IF(K668="","",K668/MAX(K$5:K668)-1)</x:f>
        <x:v>#NAME?</x:v>
      </x:c>
      <x:c r="N668" s="146" t="e">
        <x:f>IF(OR('实盘净值数据(iFinD公式)'!$A668="",'实盘净值数据(iFinD公式)'!$B668=""),"",分期持仓明细!$AD$24*SUMPRODUCT(分期持仓明细!$B$24:$AA$24,'实盘净值数据(iFinD公式)'!$B668:$AA668/'实盘净值数据(iFinD公式)'!$B$65:$AA$65)*(1-实盘持仓初始配置!$Z$8)^(('实盘净值数据(iFinD公式)'!$A668-'实盘净值数据(iFinD公式)'!$A$5)/365))</x:f>
        <x:v>#NAME?</x:v>
      </x:c>
      <x:c r="O668" s="152" t="e">
        <x:f>IF(OR(N667="",N668=""),"",N668/N667-1)</x:f>
        <x:v>#NAME?</x:v>
      </x:c>
      <x:c r="P668" s="152" t="e">
        <x:f>IF(N668="","",N668/MAX(N$5:N668)-1)</x:f>
        <x:v>#NAME?</x:v>
      </x:c>
      <x:c r="Q668" s="146" t="e">
        <x:f>IF(OR('实盘净值数据(iFinD公式)'!$A668="",'实盘净值数据(iFinD公式)'!$B668=""),"",分期持仓明细!$AD$25*SUMPRODUCT(分期持仓明细!$B$25:$AA$25,'实盘净值数据(iFinD公式)'!$B668:$AA668/'实盘净值数据(iFinD公式)'!$B$65:$AA$65)*(1-实盘持仓初始配置!$Z$9)^(('实盘净值数据(iFinD公式)'!$A668-'实盘净值数据(iFinD公式)'!$A$8)/365))</x:f>
        <x:v>#NAME?</x:v>
      </x:c>
      <x:c r="R668" s="152" t="e">
        <x:f>IF(OR(Q667="",Q668=""),"",Q668/Q667-1)</x:f>
        <x:v>#NAME?</x:v>
      </x:c>
      <x:c r="S668" s="152" t="e">
        <x:f>IF(Q668="","",Q668/MAX(Q$5:Q668)-1)</x:f>
        <x:v>#NAME?</x:v>
      </x:c>
    </x:row>
    <x:row r="669">
      <x:c r="A669" s="149" t="str">
        <x:f>IF('实盘净值数据(iFinD公式)'!A669="","",'实盘净值数据(iFinD公式)'!A669)</x:f>
      </x:c>
      <x:c r="B669" s="146" t="e">
        <x:f>IF(OR('实盘净值数据(iFinD公式)'!$A669="",'实盘净值数据(iFinD公式)'!$B669=""),"",分期持仓明细!$AD$17*SUMPRODUCT(分期持仓明细!$B$17:$AA$17,'实盘净值数据(iFinD公式)'!$B669:$AA669/'实盘净值数据(iFinD公式)'!$B$20:$AA$20)*(1-实盘持仓初始配置!$Z$4)^(('实盘净值数据(iFinD公式)'!$A669-'实盘净值数据(iFinD公式)'!$A$6)/365))</x:f>
        <x:v>#NAME?</x:v>
      </x:c>
      <x:c r="C669" s="152" t="e">
        <x:f>IF(OR(B668="",B669=""),"",B669/B668-1)</x:f>
        <x:v>#NAME?</x:v>
      </x:c>
      <x:c r="D669" s="152" t="e">
        <x:f>IF(B669="","",B669/MAX(B$5:B669)-1)</x:f>
        <x:v>#NAME?</x:v>
      </x:c>
      <x:c r="E669" s="146" t="e">
        <x:f>IF(OR('实盘净值数据(iFinD公式)'!$A669="",'实盘净值数据(iFinD公式)'!$B669=""),"",分期持仓明细!$AD$18*SUMPRODUCT(分期持仓明细!$B$18:$AA$18,'实盘净值数据(iFinD公式)'!$B669:$AA669/'实盘净值数据(iFinD公式)'!$B$20:$AA$20)*(1-实盘持仓初始配置!$Z$5)^(('实盘净值数据(iFinD公式)'!$A669-'实盘净值数据(iFinD公式)'!$A$5)/365))</x:f>
        <x:v>#NAME?</x:v>
      </x:c>
      <x:c r="F669" s="152" t="e">
        <x:f>IF(OR(E668="",E669=""),"",E669/E668-1)</x:f>
        <x:v>#NAME?</x:v>
      </x:c>
      <x:c r="G669" s="152" t="e">
        <x:f>IF(E669="","",E669/MAX(E$5:E669)-1)</x:f>
        <x:v>#NAME?</x:v>
      </x:c>
      <x:c r="H669" s="146" t="e">
        <x:f>IF(OR('实盘净值数据(iFinD公式)'!$A669="",'实盘净值数据(iFinD公式)'!$B669=""),"",分期持仓明细!$AD$19*SUMPRODUCT(分期持仓明细!$B$19:$AA$19,'实盘净值数据(iFinD公式)'!$B669:$AA669/'实盘净值数据(iFinD公式)'!$B$20:$AA$20)*(1-实盘持仓初始配置!$Z$6)^(('实盘净值数据(iFinD公式)'!$A669-'实盘净值数据(iFinD公式)'!$A$7)/365))</x:f>
        <x:v>#NAME?</x:v>
      </x:c>
      <x:c r="I669" s="152" t="e">
        <x:f>IF(OR(H668="",H669=""),"",H669/H668-1)</x:f>
        <x:v>#NAME?</x:v>
      </x:c>
      <x:c r="J669" s="152" t="e">
        <x:f>IF(H669="","",H669/MAX(H$5:H669)-1)</x:f>
        <x:v>#NAME?</x:v>
      </x:c>
      <x:c r="K669" s="146" t="e">
        <x:f>IF(OR('实盘净值数据(iFinD公式)'!$A669="",'实盘净值数据(iFinD公式)'!$B669=""),"",分期持仓明细!$AD$23*SUMPRODUCT(分期持仓明细!$B$23:$AA$23,'实盘净值数据(iFinD公式)'!$B669:$AA669/'实盘净值数据(iFinD公式)'!$B$65:$AA$65)*(1-实盘持仓初始配置!$Z$7)^(('实盘净值数据(iFinD公式)'!$A669-'实盘净值数据(iFinD公式)'!$A$8)/365))</x:f>
        <x:v>#NAME?</x:v>
      </x:c>
      <x:c r="L669" s="152" t="e">
        <x:f>IF(OR(K668="",K669=""),"",K669/K668-1)</x:f>
        <x:v>#NAME?</x:v>
      </x:c>
      <x:c r="M669" s="152" t="e">
        <x:f>IF(K669="","",K669/MAX(K$5:K669)-1)</x:f>
        <x:v>#NAME?</x:v>
      </x:c>
      <x:c r="N669" s="146" t="e">
        <x:f>IF(OR('实盘净值数据(iFinD公式)'!$A669="",'实盘净值数据(iFinD公式)'!$B669=""),"",分期持仓明细!$AD$24*SUMPRODUCT(分期持仓明细!$B$24:$AA$24,'实盘净值数据(iFinD公式)'!$B669:$AA669/'实盘净值数据(iFinD公式)'!$B$65:$AA$65)*(1-实盘持仓初始配置!$Z$8)^(('实盘净值数据(iFinD公式)'!$A669-'实盘净值数据(iFinD公式)'!$A$5)/365))</x:f>
        <x:v>#NAME?</x:v>
      </x:c>
      <x:c r="O669" s="152" t="e">
        <x:f>IF(OR(N668="",N669=""),"",N669/N668-1)</x:f>
        <x:v>#NAME?</x:v>
      </x:c>
      <x:c r="P669" s="152" t="e">
        <x:f>IF(N669="","",N669/MAX(N$5:N669)-1)</x:f>
        <x:v>#NAME?</x:v>
      </x:c>
      <x:c r="Q669" s="146" t="e">
        <x:f>IF(OR('实盘净值数据(iFinD公式)'!$A669="",'实盘净值数据(iFinD公式)'!$B669=""),"",分期持仓明细!$AD$25*SUMPRODUCT(分期持仓明细!$B$25:$AA$25,'实盘净值数据(iFinD公式)'!$B669:$AA669/'实盘净值数据(iFinD公式)'!$B$65:$AA$65)*(1-实盘持仓初始配置!$Z$9)^(('实盘净值数据(iFinD公式)'!$A669-'实盘净值数据(iFinD公式)'!$A$8)/365))</x:f>
        <x:v>#NAME?</x:v>
      </x:c>
      <x:c r="R669" s="152" t="e">
        <x:f>IF(OR(Q668="",Q669=""),"",Q669/Q668-1)</x:f>
        <x:v>#NAME?</x:v>
      </x:c>
      <x:c r="S669" s="152" t="e">
        <x:f>IF(Q669="","",Q669/MAX(Q$5:Q669)-1)</x:f>
        <x:v>#NAME?</x:v>
      </x:c>
    </x:row>
    <x:row r="670">
      <x:c r="A670" s="149" t="str">
        <x:f>IF('实盘净值数据(iFinD公式)'!A670="","",'实盘净值数据(iFinD公式)'!A670)</x:f>
      </x:c>
      <x:c r="B670" s="146" t="e">
        <x:f>IF(OR('实盘净值数据(iFinD公式)'!$A670="",'实盘净值数据(iFinD公式)'!$B670=""),"",分期持仓明细!$AD$17*SUMPRODUCT(分期持仓明细!$B$17:$AA$17,'实盘净值数据(iFinD公式)'!$B670:$AA670/'实盘净值数据(iFinD公式)'!$B$20:$AA$20)*(1-实盘持仓初始配置!$Z$4)^(('实盘净值数据(iFinD公式)'!$A670-'实盘净值数据(iFinD公式)'!$A$6)/365))</x:f>
        <x:v>#NAME?</x:v>
      </x:c>
      <x:c r="C670" s="152" t="e">
        <x:f>IF(OR(B669="",B670=""),"",B670/B669-1)</x:f>
        <x:v>#NAME?</x:v>
      </x:c>
      <x:c r="D670" s="152" t="e">
        <x:f>IF(B670="","",B670/MAX(B$5:B670)-1)</x:f>
        <x:v>#NAME?</x:v>
      </x:c>
      <x:c r="E670" s="146" t="e">
        <x:f>IF(OR('实盘净值数据(iFinD公式)'!$A670="",'实盘净值数据(iFinD公式)'!$B670=""),"",分期持仓明细!$AD$18*SUMPRODUCT(分期持仓明细!$B$18:$AA$18,'实盘净值数据(iFinD公式)'!$B670:$AA670/'实盘净值数据(iFinD公式)'!$B$20:$AA$20)*(1-实盘持仓初始配置!$Z$5)^(('实盘净值数据(iFinD公式)'!$A670-'实盘净值数据(iFinD公式)'!$A$5)/365))</x:f>
        <x:v>#NAME?</x:v>
      </x:c>
      <x:c r="F670" s="152" t="e">
        <x:f>IF(OR(E669="",E670=""),"",E670/E669-1)</x:f>
        <x:v>#NAME?</x:v>
      </x:c>
      <x:c r="G670" s="152" t="e">
        <x:f>IF(E670="","",E670/MAX(E$5:E670)-1)</x:f>
        <x:v>#NAME?</x:v>
      </x:c>
      <x:c r="H670" s="146" t="e">
        <x:f>IF(OR('实盘净值数据(iFinD公式)'!$A670="",'实盘净值数据(iFinD公式)'!$B670=""),"",分期持仓明细!$AD$19*SUMPRODUCT(分期持仓明细!$B$19:$AA$19,'实盘净值数据(iFinD公式)'!$B670:$AA670/'实盘净值数据(iFinD公式)'!$B$20:$AA$20)*(1-实盘持仓初始配置!$Z$6)^(('实盘净值数据(iFinD公式)'!$A670-'实盘净值数据(iFinD公式)'!$A$7)/365))</x:f>
        <x:v>#NAME?</x:v>
      </x:c>
      <x:c r="I670" s="152" t="e">
        <x:f>IF(OR(H669="",H670=""),"",H670/H669-1)</x:f>
        <x:v>#NAME?</x:v>
      </x:c>
      <x:c r="J670" s="152" t="e">
        <x:f>IF(H670="","",H670/MAX(H$5:H670)-1)</x:f>
        <x:v>#NAME?</x:v>
      </x:c>
      <x:c r="K670" s="146" t="e">
        <x:f>IF(OR('实盘净值数据(iFinD公式)'!$A670="",'实盘净值数据(iFinD公式)'!$B670=""),"",分期持仓明细!$AD$23*SUMPRODUCT(分期持仓明细!$B$23:$AA$23,'实盘净值数据(iFinD公式)'!$B670:$AA670/'实盘净值数据(iFinD公式)'!$B$65:$AA$65)*(1-实盘持仓初始配置!$Z$7)^(('实盘净值数据(iFinD公式)'!$A670-'实盘净值数据(iFinD公式)'!$A$8)/365))</x:f>
        <x:v>#NAME?</x:v>
      </x:c>
      <x:c r="L670" s="152" t="e">
        <x:f>IF(OR(K669="",K670=""),"",K670/K669-1)</x:f>
        <x:v>#NAME?</x:v>
      </x:c>
      <x:c r="M670" s="152" t="e">
        <x:f>IF(K670="","",K670/MAX(K$5:K670)-1)</x:f>
        <x:v>#NAME?</x:v>
      </x:c>
      <x:c r="N670" s="146" t="e">
        <x:f>IF(OR('实盘净值数据(iFinD公式)'!$A670="",'实盘净值数据(iFinD公式)'!$B670=""),"",分期持仓明细!$AD$24*SUMPRODUCT(分期持仓明细!$B$24:$AA$24,'实盘净值数据(iFinD公式)'!$B670:$AA670/'实盘净值数据(iFinD公式)'!$B$65:$AA$65)*(1-实盘持仓初始配置!$Z$8)^(('实盘净值数据(iFinD公式)'!$A670-'实盘净值数据(iFinD公式)'!$A$5)/365))</x:f>
        <x:v>#NAME?</x:v>
      </x:c>
      <x:c r="O670" s="152" t="e">
        <x:f>IF(OR(N669="",N670=""),"",N670/N669-1)</x:f>
        <x:v>#NAME?</x:v>
      </x:c>
      <x:c r="P670" s="152" t="e">
        <x:f>IF(N670="","",N670/MAX(N$5:N670)-1)</x:f>
        <x:v>#NAME?</x:v>
      </x:c>
      <x:c r="Q670" s="146" t="e">
        <x:f>IF(OR('实盘净值数据(iFinD公式)'!$A670="",'实盘净值数据(iFinD公式)'!$B670=""),"",分期持仓明细!$AD$25*SUMPRODUCT(分期持仓明细!$B$25:$AA$25,'实盘净值数据(iFinD公式)'!$B670:$AA670/'实盘净值数据(iFinD公式)'!$B$65:$AA$65)*(1-实盘持仓初始配置!$Z$9)^(('实盘净值数据(iFinD公式)'!$A670-'实盘净值数据(iFinD公式)'!$A$8)/365))</x:f>
        <x:v>#NAME?</x:v>
      </x:c>
      <x:c r="R670" s="152" t="e">
        <x:f>IF(OR(Q669="",Q670=""),"",Q670/Q669-1)</x:f>
        <x:v>#NAME?</x:v>
      </x:c>
      <x:c r="S670" s="152" t="e">
        <x:f>IF(Q670="","",Q670/MAX(Q$5:Q670)-1)</x:f>
        <x:v>#NAME?</x:v>
      </x:c>
    </x:row>
    <x:row r="671">
      <x:c r="A671" s="149" t="str">
        <x:f>IF('实盘净值数据(iFinD公式)'!A671="","",'实盘净值数据(iFinD公式)'!A671)</x:f>
      </x:c>
      <x:c r="B671" s="146" t="e">
        <x:f>IF(OR('实盘净值数据(iFinD公式)'!$A671="",'实盘净值数据(iFinD公式)'!$B671=""),"",分期持仓明细!$AD$17*SUMPRODUCT(分期持仓明细!$B$17:$AA$17,'实盘净值数据(iFinD公式)'!$B671:$AA671/'实盘净值数据(iFinD公式)'!$B$20:$AA$20)*(1-实盘持仓初始配置!$Z$4)^(('实盘净值数据(iFinD公式)'!$A671-'实盘净值数据(iFinD公式)'!$A$6)/365))</x:f>
        <x:v>#NAME?</x:v>
      </x:c>
      <x:c r="C671" s="152" t="e">
        <x:f>IF(OR(B670="",B671=""),"",B671/B670-1)</x:f>
        <x:v>#NAME?</x:v>
      </x:c>
      <x:c r="D671" s="152" t="e">
        <x:f>IF(B671="","",B671/MAX(B$5:B671)-1)</x:f>
        <x:v>#NAME?</x:v>
      </x:c>
      <x:c r="E671" s="146" t="e">
        <x:f>IF(OR('实盘净值数据(iFinD公式)'!$A671="",'实盘净值数据(iFinD公式)'!$B671=""),"",分期持仓明细!$AD$18*SUMPRODUCT(分期持仓明细!$B$18:$AA$18,'实盘净值数据(iFinD公式)'!$B671:$AA671/'实盘净值数据(iFinD公式)'!$B$20:$AA$20)*(1-实盘持仓初始配置!$Z$5)^(('实盘净值数据(iFinD公式)'!$A671-'实盘净值数据(iFinD公式)'!$A$5)/365))</x:f>
        <x:v>#NAME?</x:v>
      </x:c>
      <x:c r="F671" s="152" t="e">
        <x:f>IF(OR(E670="",E671=""),"",E671/E670-1)</x:f>
        <x:v>#NAME?</x:v>
      </x:c>
      <x:c r="G671" s="152" t="e">
        <x:f>IF(E671="","",E671/MAX(E$5:E671)-1)</x:f>
        <x:v>#NAME?</x:v>
      </x:c>
      <x:c r="H671" s="146" t="e">
        <x:f>IF(OR('实盘净值数据(iFinD公式)'!$A671="",'实盘净值数据(iFinD公式)'!$B671=""),"",分期持仓明细!$AD$19*SUMPRODUCT(分期持仓明细!$B$19:$AA$19,'实盘净值数据(iFinD公式)'!$B671:$AA671/'实盘净值数据(iFinD公式)'!$B$20:$AA$20)*(1-实盘持仓初始配置!$Z$6)^(('实盘净值数据(iFinD公式)'!$A671-'实盘净值数据(iFinD公式)'!$A$7)/365))</x:f>
        <x:v>#NAME?</x:v>
      </x:c>
      <x:c r="I671" s="152" t="e">
        <x:f>IF(OR(H670="",H671=""),"",H671/H670-1)</x:f>
        <x:v>#NAME?</x:v>
      </x:c>
      <x:c r="J671" s="152" t="e">
        <x:f>IF(H671="","",H671/MAX(H$5:H671)-1)</x:f>
        <x:v>#NAME?</x:v>
      </x:c>
      <x:c r="K671" s="146" t="e">
        <x:f>IF(OR('实盘净值数据(iFinD公式)'!$A671="",'实盘净值数据(iFinD公式)'!$B671=""),"",分期持仓明细!$AD$23*SUMPRODUCT(分期持仓明细!$B$23:$AA$23,'实盘净值数据(iFinD公式)'!$B671:$AA671/'实盘净值数据(iFinD公式)'!$B$65:$AA$65)*(1-实盘持仓初始配置!$Z$7)^(('实盘净值数据(iFinD公式)'!$A671-'实盘净值数据(iFinD公式)'!$A$8)/365))</x:f>
        <x:v>#NAME?</x:v>
      </x:c>
      <x:c r="L671" s="152" t="e">
        <x:f>IF(OR(K670="",K671=""),"",K671/K670-1)</x:f>
        <x:v>#NAME?</x:v>
      </x:c>
      <x:c r="M671" s="152" t="e">
        <x:f>IF(K671="","",K671/MAX(K$5:K671)-1)</x:f>
        <x:v>#NAME?</x:v>
      </x:c>
      <x:c r="N671" s="146" t="e">
        <x:f>IF(OR('实盘净值数据(iFinD公式)'!$A671="",'实盘净值数据(iFinD公式)'!$B671=""),"",分期持仓明细!$AD$24*SUMPRODUCT(分期持仓明细!$B$24:$AA$24,'实盘净值数据(iFinD公式)'!$B671:$AA671/'实盘净值数据(iFinD公式)'!$B$65:$AA$65)*(1-实盘持仓初始配置!$Z$8)^(('实盘净值数据(iFinD公式)'!$A671-'实盘净值数据(iFinD公式)'!$A$5)/365))</x:f>
        <x:v>#NAME?</x:v>
      </x:c>
      <x:c r="O671" s="152" t="e">
        <x:f>IF(OR(N670="",N671=""),"",N671/N670-1)</x:f>
        <x:v>#NAME?</x:v>
      </x:c>
      <x:c r="P671" s="152" t="e">
        <x:f>IF(N671="","",N671/MAX(N$5:N671)-1)</x:f>
        <x:v>#NAME?</x:v>
      </x:c>
      <x:c r="Q671" s="146" t="e">
        <x:f>IF(OR('实盘净值数据(iFinD公式)'!$A671="",'实盘净值数据(iFinD公式)'!$B671=""),"",分期持仓明细!$AD$25*SUMPRODUCT(分期持仓明细!$B$25:$AA$25,'实盘净值数据(iFinD公式)'!$B671:$AA671/'实盘净值数据(iFinD公式)'!$B$65:$AA$65)*(1-实盘持仓初始配置!$Z$9)^(('实盘净值数据(iFinD公式)'!$A671-'实盘净值数据(iFinD公式)'!$A$8)/365))</x:f>
        <x:v>#NAME?</x:v>
      </x:c>
      <x:c r="R671" s="152" t="e">
        <x:f>IF(OR(Q670="",Q671=""),"",Q671/Q670-1)</x:f>
        <x:v>#NAME?</x:v>
      </x:c>
      <x:c r="S671" s="152" t="e">
        <x:f>IF(Q671="","",Q671/MAX(Q$5:Q671)-1)</x:f>
        <x:v>#NAME?</x:v>
      </x:c>
    </x:row>
    <x:row r="672">
      <x:c r="A672" s="149" t="str">
        <x:f>IF('实盘净值数据(iFinD公式)'!A672="","",'实盘净值数据(iFinD公式)'!A672)</x:f>
      </x:c>
      <x:c r="B672" s="146" t="e">
        <x:f>IF(OR('实盘净值数据(iFinD公式)'!$A672="",'实盘净值数据(iFinD公式)'!$B672=""),"",分期持仓明细!$AD$17*SUMPRODUCT(分期持仓明细!$B$17:$AA$17,'实盘净值数据(iFinD公式)'!$B672:$AA672/'实盘净值数据(iFinD公式)'!$B$20:$AA$20)*(1-实盘持仓初始配置!$Z$4)^(('实盘净值数据(iFinD公式)'!$A672-'实盘净值数据(iFinD公式)'!$A$6)/365))</x:f>
        <x:v>#NAME?</x:v>
      </x:c>
      <x:c r="C672" s="152" t="e">
        <x:f>IF(OR(B671="",B672=""),"",B672/B671-1)</x:f>
        <x:v>#NAME?</x:v>
      </x:c>
      <x:c r="D672" s="152" t="e">
        <x:f>IF(B672="","",B672/MAX(B$5:B672)-1)</x:f>
        <x:v>#NAME?</x:v>
      </x:c>
      <x:c r="E672" s="146" t="e">
        <x:f>IF(OR('实盘净值数据(iFinD公式)'!$A672="",'实盘净值数据(iFinD公式)'!$B672=""),"",分期持仓明细!$AD$18*SUMPRODUCT(分期持仓明细!$B$18:$AA$18,'实盘净值数据(iFinD公式)'!$B672:$AA672/'实盘净值数据(iFinD公式)'!$B$20:$AA$20)*(1-实盘持仓初始配置!$Z$5)^(('实盘净值数据(iFinD公式)'!$A672-'实盘净值数据(iFinD公式)'!$A$5)/365))</x:f>
        <x:v>#NAME?</x:v>
      </x:c>
      <x:c r="F672" s="152" t="e">
        <x:f>IF(OR(E671="",E672=""),"",E672/E671-1)</x:f>
        <x:v>#NAME?</x:v>
      </x:c>
      <x:c r="G672" s="152" t="e">
        <x:f>IF(E672="","",E672/MAX(E$5:E672)-1)</x:f>
        <x:v>#NAME?</x:v>
      </x:c>
      <x:c r="H672" s="146" t="e">
        <x:f>IF(OR('实盘净值数据(iFinD公式)'!$A672="",'实盘净值数据(iFinD公式)'!$B672=""),"",分期持仓明细!$AD$19*SUMPRODUCT(分期持仓明细!$B$19:$AA$19,'实盘净值数据(iFinD公式)'!$B672:$AA672/'实盘净值数据(iFinD公式)'!$B$20:$AA$20)*(1-实盘持仓初始配置!$Z$6)^(('实盘净值数据(iFinD公式)'!$A672-'实盘净值数据(iFinD公式)'!$A$7)/365))</x:f>
        <x:v>#NAME?</x:v>
      </x:c>
      <x:c r="I672" s="152" t="e">
        <x:f>IF(OR(H671="",H672=""),"",H672/H671-1)</x:f>
        <x:v>#NAME?</x:v>
      </x:c>
      <x:c r="J672" s="152" t="e">
        <x:f>IF(H672="","",H672/MAX(H$5:H672)-1)</x:f>
        <x:v>#NAME?</x:v>
      </x:c>
      <x:c r="K672" s="146" t="e">
        <x:f>IF(OR('实盘净值数据(iFinD公式)'!$A672="",'实盘净值数据(iFinD公式)'!$B672=""),"",分期持仓明细!$AD$23*SUMPRODUCT(分期持仓明细!$B$23:$AA$23,'实盘净值数据(iFinD公式)'!$B672:$AA672/'实盘净值数据(iFinD公式)'!$B$65:$AA$65)*(1-实盘持仓初始配置!$Z$7)^(('实盘净值数据(iFinD公式)'!$A672-'实盘净值数据(iFinD公式)'!$A$8)/365))</x:f>
        <x:v>#NAME?</x:v>
      </x:c>
      <x:c r="L672" s="152" t="e">
        <x:f>IF(OR(K671="",K672=""),"",K672/K671-1)</x:f>
        <x:v>#NAME?</x:v>
      </x:c>
      <x:c r="M672" s="152" t="e">
        <x:f>IF(K672="","",K672/MAX(K$5:K672)-1)</x:f>
        <x:v>#NAME?</x:v>
      </x:c>
      <x:c r="N672" s="146" t="e">
        <x:f>IF(OR('实盘净值数据(iFinD公式)'!$A672="",'实盘净值数据(iFinD公式)'!$B672=""),"",分期持仓明细!$AD$24*SUMPRODUCT(分期持仓明细!$B$24:$AA$24,'实盘净值数据(iFinD公式)'!$B672:$AA672/'实盘净值数据(iFinD公式)'!$B$65:$AA$65)*(1-实盘持仓初始配置!$Z$8)^(('实盘净值数据(iFinD公式)'!$A672-'实盘净值数据(iFinD公式)'!$A$5)/365))</x:f>
        <x:v>#NAME?</x:v>
      </x:c>
      <x:c r="O672" s="152" t="e">
        <x:f>IF(OR(N671="",N672=""),"",N672/N671-1)</x:f>
        <x:v>#NAME?</x:v>
      </x:c>
      <x:c r="P672" s="152" t="e">
        <x:f>IF(N672="","",N672/MAX(N$5:N672)-1)</x:f>
        <x:v>#NAME?</x:v>
      </x:c>
      <x:c r="Q672" s="146" t="e">
        <x:f>IF(OR('实盘净值数据(iFinD公式)'!$A672="",'实盘净值数据(iFinD公式)'!$B672=""),"",分期持仓明细!$AD$25*SUMPRODUCT(分期持仓明细!$B$25:$AA$25,'实盘净值数据(iFinD公式)'!$B672:$AA672/'实盘净值数据(iFinD公式)'!$B$65:$AA$65)*(1-实盘持仓初始配置!$Z$9)^(('实盘净值数据(iFinD公式)'!$A672-'实盘净值数据(iFinD公式)'!$A$8)/365))</x:f>
        <x:v>#NAME?</x:v>
      </x:c>
      <x:c r="R672" s="152" t="e">
        <x:f>IF(OR(Q671="",Q672=""),"",Q672/Q671-1)</x:f>
        <x:v>#NAME?</x:v>
      </x:c>
      <x:c r="S672" s="152" t="e">
        <x:f>IF(Q672="","",Q672/MAX(Q$5:Q672)-1)</x:f>
        <x:v>#NAME?</x:v>
      </x:c>
    </x:row>
    <x:row r="673">
      <x:c r="A673" s="149" t="str">
        <x:f>IF('实盘净值数据(iFinD公式)'!A673="","",'实盘净值数据(iFinD公式)'!A673)</x:f>
      </x:c>
      <x:c r="B673" s="146" t="e">
        <x:f>IF(OR('实盘净值数据(iFinD公式)'!$A673="",'实盘净值数据(iFinD公式)'!$B673=""),"",分期持仓明细!$AD$17*SUMPRODUCT(分期持仓明细!$B$17:$AA$17,'实盘净值数据(iFinD公式)'!$B673:$AA673/'实盘净值数据(iFinD公式)'!$B$20:$AA$20)*(1-实盘持仓初始配置!$Z$4)^(('实盘净值数据(iFinD公式)'!$A673-'实盘净值数据(iFinD公式)'!$A$6)/365))</x:f>
        <x:v>#NAME?</x:v>
      </x:c>
      <x:c r="C673" s="152" t="e">
        <x:f>IF(OR(B672="",B673=""),"",B673/B672-1)</x:f>
        <x:v>#NAME?</x:v>
      </x:c>
      <x:c r="D673" s="152" t="e">
        <x:f>IF(B673="","",B673/MAX(B$5:B673)-1)</x:f>
        <x:v>#NAME?</x:v>
      </x:c>
      <x:c r="E673" s="146" t="e">
        <x:f>IF(OR('实盘净值数据(iFinD公式)'!$A673="",'实盘净值数据(iFinD公式)'!$B673=""),"",分期持仓明细!$AD$18*SUMPRODUCT(分期持仓明细!$B$18:$AA$18,'实盘净值数据(iFinD公式)'!$B673:$AA673/'实盘净值数据(iFinD公式)'!$B$20:$AA$20)*(1-实盘持仓初始配置!$Z$5)^(('实盘净值数据(iFinD公式)'!$A673-'实盘净值数据(iFinD公式)'!$A$5)/365))</x:f>
        <x:v>#NAME?</x:v>
      </x:c>
      <x:c r="F673" s="152" t="e">
        <x:f>IF(OR(E672="",E673=""),"",E673/E672-1)</x:f>
        <x:v>#NAME?</x:v>
      </x:c>
      <x:c r="G673" s="152" t="e">
        <x:f>IF(E673="","",E673/MAX(E$5:E673)-1)</x:f>
        <x:v>#NAME?</x:v>
      </x:c>
      <x:c r="H673" s="146" t="e">
        <x:f>IF(OR('实盘净值数据(iFinD公式)'!$A673="",'实盘净值数据(iFinD公式)'!$B673=""),"",分期持仓明细!$AD$19*SUMPRODUCT(分期持仓明细!$B$19:$AA$19,'实盘净值数据(iFinD公式)'!$B673:$AA673/'实盘净值数据(iFinD公式)'!$B$20:$AA$20)*(1-实盘持仓初始配置!$Z$6)^(('实盘净值数据(iFinD公式)'!$A673-'实盘净值数据(iFinD公式)'!$A$7)/365))</x:f>
        <x:v>#NAME?</x:v>
      </x:c>
      <x:c r="I673" s="152" t="e">
        <x:f>IF(OR(H672="",H673=""),"",H673/H672-1)</x:f>
        <x:v>#NAME?</x:v>
      </x:c>
      <x:c r="J673" s="152" t="e">
        <x:f>IF(H673="","",H673/MAX(H$5:H673)-1)</x:f>
        <x:v>#NAME?</x:v>
      </x:c>
      <x:c r="K673" s="146" t="e">
        <x:f>IF(OR('实盘净值数据(iFinD公式)'!$A673="",'实盘净值数据(iFinD公式)'!$B673=""),"",分期持仓明细!$AD$23*SUMPRODUCT(分期持仓明细!$B$23:$AA$23,'实盘净值数据(iFinD公式)'!$B673:$AA673/'实盘净值数据(iFinD公式)'!$B$65:$AA$65)*(1-实盘持仓初始配置!$Z$7)^(('实盘净值数据(iFinD公式)'!$A673-'实盘净值数据(iFinD公式)'!$A$8)/365))</x:f>
        <x:v>#NAME?</x:v>
      </x:c>
      <x:c r="L673" s="152" t="e">
        <x:f>IF(OR(K672="",K673=""),"",K673/K672-1)</x:f>
        <x:v>#NAME?</x:v>
      </x:c>
      <x:c r="M673" s="152" t="e">
        <x:f>IF(K673="","",K673/MAX(K$5:K673)-1)</x:f>
        <x:v>#NAME?</x:v>
      </x:c>
      <x:c r="N673" s="146" t="e">
        <x:f>IF(OR('实盘净值数据(iFinD公式)'!$A673="",'实盘净值数据(iFinD公式)'!$B673=""),"",分期持仓明细!$AD$24*SUMPRODUCT(分期持仓明细!$B$24:$AA$24,'实盘净值数据(iFinD公式)'!$B673:$AA673/'实盘净值数据(iFinD公式)'!$B$65:$AA$65)*(1-实盘持仓初始配置!$Z$8)^(('实盘净值数据(iFinD公式)'!$A673-'实盘净值数据(iFinD公式)'!$A$5)/365))</x:f>
        <x:v>#NAME?</x:v>
      </x:c>
      <x:c r="O673" s="152" t="e">
        <x:f>IF(OR(N672="",N673=""),"",N673/N672-1)</x:f>
        <x:v>#NAME?</x:v>
      </x:c>
      <x:c r="P673" s="152" t="e">
        <x:f>IF(N673="","",N673/MAX(N$5:N673)-1)</x:f>
        <x:v>#NAME?</x:v>
      </x:c>
      <x:c r="Q673" s="146" t="e">
        <x:f>IF(OR('实盘净值数据(iFinD公式)'!$A673="",'实盘净值数据(iFinD公式)'!$B673=""),"",分期持仓明细!$AD$25*SUMPRODUCT(分期持仓明细!$B$25:$AA$25,'实盘净值数据(iFinD公式)'!$B673:$AA673/'实盘净值数据(iFinD公式)'!$B$65:$AA$65)*(1-实盘持仓初始配置!$Z$9)^(('实盘净值数据(iFinD公式)'!$A673-'实盘净值数据(iFinD公式)'!$A$8)/365))</x:f>
        <x:v>#NAME?</x:v>
      </x:c>
      <x:c r="R673" s="152" t="e">
        <x:f>IF(OR(Q672="",Q673=""),"",Q673/Q672-1)</x:f>
        <x:v>#NAME?</x:v>
      </x:c>
      <x:c r="S673" s="152" t="e">
        <x:f>IF(Q673="","",Q673/MAX(Q$5:Q673)-1)</x:f>
        <x:v>#NAME?</x:v>
      </x:c>
    </x:row>
    <x:row r="674">
      <x:c r="A674" s="149" t="str">
        <x:f>IF('实盘净值数据(iFinD公式)'!A674="","",'实盘净值数据(iFinD公式)'!A674)</x:f>
      </x:c>
      <x:c r="B674" s="146" t="e">
        <x:f>IF(OR('实盘净值数据(iFinD公式)'!$A674="",'实盘净值数据(iFinD公式)'!$B674=""),"",分期持仓明细!$AD$17*SUMPRODUCT(分期持仓明细!$B$17:$AA$17,'实盘净值数据(iFinD公式)'!$B674:$AA674/'实盘净值数据(iFinD公式)'!$B$20:$AA$20)*(1-实盘持仓初始配置!$Z$4)^(('实盘净值数据(iFinD公式)'!$A674-'实盘净值数据(iFinD公式)'!$A$6)/365))</x:f>
        <x:v>#NAME?</x:v>
      </x:c>
      <x:c r="C674" s="152" t="e">
        <x:f>IF(OR(B673="",B674=""),"",B674/B673-1)</x:f>
        <x:v>#NAME?</x:v>
      </x:c>
      <x:c r="D674" s="152" t="e">
        <x:f>IF(B674="","",B674/MAX(B$5:B674)-1)</x:f>
        <x:v>#NAME?</x:v>
      </x:c>
      <x:c r="E674" s="146" t="e">
        <x:f>IF(OR('实盘净值数据(iFinD公式)'!$A674="",'实盘净值数据(iFinD公式)'!$B674=""),"",分期持仓明细!$AD$18*SUMPRODUCT(分期持仓明细!$B$18:$AA$18,'实盘净值数据(iFinD公式)'!$B674:$AA674/'实盘净值数据(iFinD公式)'!$B$20:$AA$20)*(1-实盘持仓初始配置!$Z$5)^(('实盘净值数据(iFinD公式)'!$A674-'实盘净值数据(iFinD公式)'!$A$5)/365))</x:f>
        <x:v>#NAME?</x:v>
      </x:c>
      <x:c r="F674" s="152" t="e">
        <x:f>IF(OR(E673="",E674=""),"",E674/E673-1)</x:f>
        <x:v>#NAME?</x:v>
      </x:c>
      <x:c r="G674" s="152" t="e">
        <x:f>IF(E674="","",E674/MAX(E$5:E674)-1)</x:f>
        <x:v>#NAME?</x:v>
      </x:c>
      <x:c r="H674" s="146" t="e">
        <x:f>IF(OR('实盘净值数据(iFinD公式)'!$A674="",'实盘净值数据(iFinD公式)'!$B674=""),"",分期持仓明细!$AD$19*SUMPRODUCT(分期持仓明细!$B$19:$AA$19,'实盘净值数据(iFinD公式)'!$B674:$AA674/'实盘净值数据(iFinD公式)'!$B$20:$AA$20)*(1-实盘持仓初始配置!$Z$6)^(('实盘净值数据(iFinD公式)'!$A674-'实盘净值数据(iFinD公式)'!$A$7)/365))</x:f>
        <x:v>#NAME?</x:v>
      </x:c>
      <x:c r="I674" s="152" t="e">
        <x:f>IF(OR(H673="",H674=""),"",H674/H673-1)</x:f>
        <x:v>#NAME?</x:v>
      </x:c>
      <x:c r="J674" s="152" t="e">
        <x:f>IF(H674="","",H674/MAX(H$5:H674)-1)</x:f>
        <x:v>#NAME?</x:v>
      </x:c>
      <x:c r="K674" s="146" t="e">
        <x:f>IF(OR('实盘净值数据(iFinD公式)'!$A674="",'实盘净值数据(iFinD公式)'!$B674=""),"",分期持仓明细!$AD$23*SUMPRODUCT(分期持仓明细!$B$23:$AA$23,'实盘净值数据(iFinD公式)'!$B674:$AA674/'实盘净值数据(iFinD公式)'!$B$65:$AA$65)*(1-实盘持仓初始配置!$Z$7)^(('实盘净值数据(iFinD公式)'!$A674-'实盘净值数据(iFinD公式)'!$A$8)/365))</x:f>
        <x:v>#NAME?</x:v>
      </x:c>
      <x:c r="L674" s="152" t="e">
        <x:f>IF(OR(K673="",K674=""),"",K674/K673-1)</x:f>
        <x:v>#NAME?</x:v>
      </x:c>
      <x:c r="M674" s="152" t="e">
        <x:f>IF(K674="","",K674/MAX(K$5:K674)-1)</x:f>
        <x:v>#NAME?</x:v>
      </x:c>
      <x:c r="N674" s="146" t="e">
        <x:f>IF(OR('实盘净值数据(iFinD公式)'!$A674="",'实盘净值数据(iFinD公式)'!$B674=""),"",分期持仓明细!$AD$24*SUMPRODUCT(分期持仓明细!$B$24:$AA$24,'实盘净值数据(iFinD公式)'!$B674:$AA674/'实盘净值数据(iFinD公式)'!$B$65:$AA$65)*(1-实盘持仓初始配置!$Z$8)^(('实盘净值数据(iFinD公式)'!$A674-'实盘净值数据(iFinD公式)'!$A$5)/365))</x:f>
        <x:v>#NAME?</x:v>
      </x:c>
      <x:c r="O674" s="152" t="e">
        <x:f>IF(OR(N673="",N674=""),"",N674/N673-1)</x:f>
        <x:v>#NAME?</x:v>
      </x:c>
      <x:c r="P674" s="152" t="e">
        <x:f>IF(N674="","",N674/MAX(N$5:N674)-1)</x:f>
        <x:v>#NAME?</x:v>
      </x:c>
      <x:c r="Q674" s="146" t="e">
        <x:f>IF(OR('实盘净值数据(iFinD公式)'!$A674="",'实盘净值数据(iFinD公式)'!$B674=""),"",分期持仓明细!$AD$25*SUMPRODUCT(分期持仓明细!$B$25:$AA$25,'实盘净值数据(iFinD公式)'!$B674:$AA674/'实盘净值数据(iFinD公式)'!$B$65:$AA$65)*(1-实盘持仓初始配置!$Z$9)^(('实盘净值数据(iFinD公式)'!$A674-'实盘净值数据(iFinD公式)'!$A$8)/365))</x:f>
        <x:v>#NAME?</x:v>
      </x:c>
      <x:c r="R674" s="152" t="e">
        <x:f>IF(OR(Q673="",Q674=""),"",Q674/Q673-1)</x:f>
        <x:v>#NAME?</x:v>
      </x:c>
      <x:c r="S674" s="152" t="e">
        <x:f>IF(Q674="","",Q674/MAX(Q$5:Q674)-1)</x:f>
        <x:v>#NAME?</x:v>
      </x:c>
    </x:row>
    <x:row r="675">
      <x:c r="A675" s="149" t="str">
        <x:f>IF('实盘净值数据(iFinD公式)'!A675="","",'实盘净值数据(iFinD公式)'!A675)</x:f>
      </x:c>
      <x:c r="B675" s="146" t="e">
        <x:f>IF(OR('实盘净值数据(iFinD公式)'!$A675="",'实盘净值数据(iFinD公式)'!$B675=""),"",分期持仓明细!$AD$17*SUMPRODUCT(分期持仓明细!$B$17:$AA$17,'实盘净值数据(iFinD公式)'!$B675:$AA675/'实盘净值数据(iFinD公式)'!$B$20:$AA$20)*(1-实盘持仓初始配置!$Z$4)^(('实盘净值数据(iFinD公式)'!$A675-'实盘净值数据(iFinD公式)'!$A$6)/365))</x:f>
        <x:v>#NAME?</x:v>
      </x:c>
      <x:c r="C675" s="152" t="e">
        <x:f>IF(OR(B674="",B675=""),"",B675/B674-1)</x:f>
        <x:v>#NAME?</x:v>
      </x:c>
      <x:c r="D675" s="152" t="e">
        <x:f>IF(B675="","",B675/MAX(B$5:B675)-1)</x:f>
        <x:v>#NAME?</x:v>
      </x:c>
      <x:c r="E675" s="146" t="e">
        <x:f>IF(OR('实盘净值数据(iFinD公式)'!$A675="",'实盘净值数据(iFinD公式)'!$B675=""),"",分期持仓明细!$AD$18*SUMPRODUCT(分期持仓明细!$B$18:$AA$18,'实盘净值数据(iFinD公式)'!$B675:$AA675/'实盘净值数据(iFinD公式)'!$B$20:$AA$20)*(1-实盘持仓初始配置!$Z$5)^(('实盘净值数据(iFinD公式)'!$A675-'实盘净值数据(iFinD公式)'!$A$5)/365))</x:f>
        <x:v>#NAME?</x:v>
      </x:c>
      <x:c r="F675" s="152" t="e">
        <x:f>IF(OR(E674="",E675=""),"",E675/E674-1)</x:f>
        <x:v>#NAME?</x:v>
      </x:c>
      <x:c r="G675" s="152" t="e">
        <x:f>IF(E675="","",E675/MAX(E$5:E675)-1)</x:f>
        <x:v>#NAME?</x:v>
      </x:c>
      <x:c r="H675" s="146" t="e">
        <x:f>IF(OR('实盘净值数据(iFinD公式)'!$A675="",'实盘净值数据(iFinD公式)'!$B675=""),"",分期持仓明细!$AD$19*SUMPRODUCT(分期持仓明细!$B$19:$AA$19,'实盘净值数据(iFinD公式)'!$B675:$AA675/'实盘净值数据(iFinD公式)'!$B$20:$AA$20)*(1-实盘持仓初始配置!$Z$6)^(('实盘净值数据(iFinD公式)'!$A675-'实盘净值数据(iFinD公式)'!$A$7)/365))</x:f>
        <x:v>#NAME?</x:v>
      </x:c>
      <x:c r="I675" s="152" t="e">
        <x:f>IF(OR(H674="",H675=""),"",H675/H674-1)</x:f>
        <x:v>#NAME?</x:v>
      </x:c>
      <x:c r="J675" s="152" t="e">
        <x:f>IF(H675="","",H675/MAX(H$5:H675)-1)</x:f>
        <x:v>#NAME?</x:v>
      </x:c>
      <x:c r="K675" s="146" t="e">
        <x:f>IF(OR('实盘净值数据(iFinD公式)'!$A675="",'实盘净值数据(iFinD公式)'!$B675=""),"",分期持仓明细!$AD$23*SUMPRODUCT(分期持仓明细!$B$23:$AA$23,'实盘净值数据(iFinD公式)'!$B675:$AA675/'实盘净值数据(iFinD公式)'!$B$65:$AA$65)*(1-实盘持仓初始配置!$Z$7)^(('实盘净值数据(iFinD公式)'!$A675-'实盘净值数据(iFinD公式)'!$A$8)/365))</x:f>
        <x:v>#NAME?</x:v>
      </x:c>
      <x:c r="L675" s="152" t="e">
        <x:f>IF(OR(K674="",K675=""),"",K675/K674-1)</x:f>
        <x:v>#NAME?</x:v>
      </x:c>
      <x:c r="M675" s="152" t="e">
        <x:f>IF(K675="","",K675/MAX(K$5:K675)-1)</x:f>
        <x:v>#NAME?</x:v>
      </x:c>
      <x:c r="N675" s="146" t="e">
        <x:f>IF(OR('实盘净值数据(iFinD公式)'!$A675="",'实盘净值数据(iFinD公式)'!$B675=""),"",分期持仓明细!$AD$24*SUMPRODUCT(分期持仓明细!$B$24:$AA$24,'实盘净值数据(iFinD公式)'!$B675:$AA675/'实盘净值数据(iFinD公式)'!$B$65:$AA$65)*(1-实盘持仓初始配置!$Z$8)^(('实盘净值数据(iFinD公式)'!$A675-'实盘净值数据(iFinD公式)'!$A$5)/365))</x:f>
        <x:v>#NAME?</x:v>
      </x:c>
      <x:c r="O675" s="152" t="e">
        <x:f>IF(OR(N674="",N675=""),"",N675/N674-1)</x:f>
        <x:v>#NAME?</x:v>
      </x:c>
      <x:c r="P675" s="152" t="e">
        <x:f>IF(N675="","",N675/MAX(N$5:N675)-1)</x:f>
        <x:v>#NAME?</x:v>
      </x:c>
      <x:c r="Q675" s="146" t="e">
        <x:f>IF(OR('实盘净值数据(iFinD公式)'!$A675="",'实盘净值数据(iFinD公式)'!$B675=""),"",分期持仓明细!$AD$25*SUMPRODUCT(分期持仓明细!$B$25:$AA$25,'实盘净值数据(iFinD公式)'!$B675:$AA675/'实盘净值数据(iFinD公式)'!$B$65:$AA$65)*(1-实盘持仓初始配置!$Z$9)^(('实盘净值数据(iFinD公式)'!$A675-'实盘净值数据(iFinD公式)'!$A$8)/365))</x:f>
        <x:v>#NAME?</x:v>
      </x:c>
      <x:c r="R675" s="152" t="e">
        <x:f>IF(OR(Q674="",Q675=""),"",Q675/Q674-1)</x:f>
        <x:v>#NAME?</x:v>
      </x:c>
      <x:c r="S675" s="152" t="e">
        <x:f>IF(Q675="","",Q675/MAX(Q$5:Q675)-1)</x:f>
        <x:v>#NAME?</x:v>
      </x:c>
    </x:row>
    <x:row r="676">
      <x:c r="A676" s="149" t="str">
        <x:f>IF('实盘净值数据(iFinD公式)'!A676="","",'实盘净值数据(iFinD公式)'!A676)</x:f>
      </x:c>
      <x:c r="B676" s="146" t="e">
        <x:f>IF(OR('实盘净值数据(iFinD公式)'!$A676="",'实盘净值数据(iFinD公式)'!$B676=""),"",分期持仓明细!$AD$17*SUMPRODUCT(分期持仓明细!$B$17:$AA$17,'实盘净值数据(iFinD公式)'!$B676:$AA676/'实盘净值数据(iFinD公式)'!$B$20:$AA$20)*(1-实盘持仓初始配置!$Z$4)^(('实盘净值数据(iFinD公式)'!$A676-'实盘净值数据(iFinD公式)'!$A$6)/365))</x:f>
        <x:v>#NAME?</x:v>
      </x:c>
      <x:c r="C676" s="152" t="e">
        <x:f>IF(OR(B675="",B676=""),"",B676/B675-1)</x:f>
        <x:v>#NAME?</x:v>
      </x:c>
      <x:c r="D676" s="152" t="e">
        <x:f>IF(B676="","",B676/MAX(B$5:B676)-1)</x:f>
        <x:v>#NAME?</x:v>
      </x:c>
      <x:c r="E676" s="146" t="e">
        <x:f>IF(OR('实盘净值数据(iFinD公式)'!$A676="",'实盘净值数据(iFinD公式)'!$B676=""),"",分期持仓明细!$AD$18*SUMPRODUCT(分期持仓明细!$B$18:$AA$18,'实盘净值数据(iFinD公式)'!$B676:$AA676/'实盘净值数据(iFinD公式)'!$B$20:$AA$20)*(1-实盘持仓初始配置!$Z$5)^(('实盘净值数据(iFinD公式)'!$A676-'实盘净值数据(iFinD公式)'!$A$5)/365))</x:f>
        <x:v>#NAME?</x:v>
      </x:c>
      <x:c r="F676" s="152" t="e">
        <x:f>IF(OR(E675="",E676=""),"",E676/E675-1)</x:f>
        <x:v>#NAME?</x:v>
      </x:c>
      <x:c r="G676" s="152" t="e">
        <x:f>IF(E676="","",E676/MAX(E$5:E676)-1)</x:f>
        <x:v>#NAME?</x:v>
      </x:c>
      <x:c r="H676" s="146" t="e">
        <x:f>IF(OR('实盘净值数据(iFinD公式)'!$A676="",'实盘净值数据(iFinD公式)'!$B676=""),"",分期持仓明细!$AD$19*SUMPRODUCT(分期持仓明细!$B$19:$AA$19,'实盘净值数据(iFinD公式)'!$B676:$AA676/'实盘净值数据(iFinD公式)'!$B$20:$AA$20)*(1-实盘持仓初始配置!$Z$6)^(('实盘净值数据(iFinD公式)'!$A676-'实盘净值数据(iFinD公式)'!$A$7)/365))</x:f>
        <x:v>#NAME?</x:v>
      </x:c>
      <x:c r="I676" s="152" t="e">
        <x:f>IF(OR(H675="",H676=""),"",H676/H675-1)</x:f>
        <x:v>#NAME?</x:v>
      </x:c>
      <x:c r="J676" s="152" t="e">
        <x:f>IF(H676="","",H676/MAX(H$5:H676)-1)</x:f>
        <x:v>#NAME?</x:v>
      </x:c>
      <x:c r="K676" s="146" t="e">
        <x:f>IF(OR('实盘净值数据(iFinD公式)'!$A676="",'实盘净值数据(iFinD公式)'!$B676=""),"",分期持仓明细!$AD$23*SUMPRODUCT(分期持仓明细!$B$23:$AA$23,'实盘净值数据(iFinD公式)'!$B676:$AA676/'实盘净值数据(iFinD公式)'!$B$65:$AA$65)*(1-实盘持仓初始配置!$Z$7)^(('实盘净值数据(iFinD公式)'!$A676-'实盘净值数据(iFinD公式)'!$A$8)/365))</x:f>
        <x:v>#NAME?</x:v>
      </x:c>
      <x:c r="L676" s="152" t="e">
        <x:f>IF(OR(K675="",K676=""),"",K676/K675-1)</x:f>
        <x:v>#NAME?</x:v>
      </x:c>
      <x:c r="M676" s="152" t="e">
        <x:f>IF(K676="","",K676/MAX(K$5:K676)-1)</x:f>
        <x:v>#NAME?</x:v>
      </x:c>
      <x:c r="N676" s="146" t="e">
        <x:f>IF(OR('实盘净值数据(iFinD公式)'!$A676="",'实盘净值数据(iFinD公式)'!$B676=""),"",分期持仓明细!$AD$24*SUMPRODUCT(分期持仓明细!$B$24:$AA$24,'实盘净值数据(iFinD公式)'!$B676:$AA676/'实盘净值数据(iFinD公式)'!$B$65:$AA$65)*(1-实盘持仓初始配置!$Z$8)^(('实盘净值数据(iFinD公式)'!$A676-'实盘净值数据(iFinD公式)'!$A$5)/365))</x:f>
        <x:v>#NAME?</x:v>
      </x:c>
      <x:c r="O676" s="152" t="e">
        <x:f>IF(OR(N675="",N676=""),"",N676/N675-1)</x:f>
        <x:v>#NAME?</x:v>
      </x:c>
      <x:c r="P676" s="152" t="e">
        <x:f>IF(N676="","",N676/MAX(N$5:N676)-1)</x:f>
        <x:v>#NAME?</x:v>
      </x:c>
      <x:c r="Q676" s="146" t="e">
        <x:f>IF(OR('实盘净值数据(iFinD公式)'!$A676="",'实盘净值数据(iFinD公式)'!$B676=""),"",分期持仓明细!$AD$25*SUMPRODUCT(分期持仓明细!$B$25:$AA$25,'实盘净值数据(iFinD公式)'!$B676:$AA676/'实盘净值数据(iFinD公式)'!$B$65:$AA$65)*(1-实盘持仓初始配置!$Z$9)^(('实盘净值数据(iFinD公式)'!$A676-'实盘净值数据(iFinD公式)'!$A$8)/365))</x:f>
        <x:v>#NAME?</x:v>
      </x:c>
      <x:c r="R676" s="152" t="e">
        <x:f>IF(OR(Q675="",Q676=""),"",Q676/Q675-1)</x:f>
        <x:v>#NAME?</x:v>
      </x:c>
      <x:c r="S676" s="152" t="e">
        <x:f>IF(Q676="","",Q676/MAX(Q$5:Q676)-1)</x:f>
        <x:v>#NAME?</x:v>
      </x:c>
    </x:row>
    <x:row r="677">
      <x:c r="A677" s="149" t="str">
        <x:f>IF('实盘净值数据(iFinD公式)'!A677="","",'实盘净值数据(iFinD公式)'!A677)</x:f>
      </x:c>
      <x:c r="B677" s="146" t="e">
        <x:f>IF(OR('实盘净值数据(iFinD公式)'!$A677="",'实盘净值数据(iFinD公式)'!$B677=""),"",分期持仓明细!$AD$17*SUMPRODUCT(分期持仓明细!$B$17:$AA$17,'实盘净值数据(iFinD公式)'!$B677:$AA677/'实盘净值数据(iFinD公式)'!$B$20:$AA$20)*(1-实盘持仓初始配置!$Z$4)^(('实盘净值数据(iFinD公式)'!$A677-'实盘净值数据(iFinD公式)'!$A$6)/365))</x:f>
        <x:v>#NAME?</x:v>
      </x:c>
      <x:c r="C677" s="152" t="e">
        <x:f>IF(OR(B676="",B677=""),"",B677/B676-1)</x:f>
        <x:v>#NAME?</x:v>
      </x:c>
      <x:c r="D677" s="152" t="e">
        <x:f>IF(B677="","",B677/MAX(B$5:B677)-1)</x:f>
        <x:v>#NAME?</x:v>
      </x:c>
      <x:c r="E677" s="146" t="e">
        <x:f>IF(OR('实盘净值数据(iFinD公式)'!$A677="",'实盘净值数据(iFinD公式)'!$B677=""),"",分期持仓明细!$AD$18*SUMPRODUCT(分期持仓明细!$B$18:$AA$18,'实盘净值数据(iFinD公式)'!$B677:$AA677/'实盘净值数据(iFinD公式)'!$B$20:$AA$20)*(1-实盘持仓初始配置!$Z$5)^(('实盘净值数据(iFinD公式)'!$A677-'实盘净值数据(iFinD公式)'!$A$5)/365))</x:f>
        <x:v>#NAME?</x:v>
      </x:c>
      <x:c r="F677" s="152" t="e">
        <x:f>IF(OR(E676="",E677=""),"",E677/E676-1)</x:f>
        <x:v>#NAME?</x:v>
      </x:c>
      <x:c r="G677" s="152" t="e">
        <x:f>IF(E677="","",E677/MAX(E$5:E677)-1)</x:f>
        <x:v>#NAME?</x:v>
      </x:c>
      <x:c r="H677" s="146" t="e">
        <x:f>IF(OR('实盘净值数据(iFinD公式)'!$A677="",'实盘净值数据(iFinD公式)'!$B677=""),"",分期持仓明细!$AD$19*SUMPRODUCT(分期持仓明细!$B$19:$AA$19,'实盘净值数据(iFinD公式)'!$B677:$AA677/'实盘净值数据(iFinD公式)'!$B$20:$AA$20)*(1-实盘持仓初始配置!$Z$6)^(('实盘净值数据(iFinD公式)'!$A677-'实盘净值数据(iFinD公式)'!$A$7)/365))</x:f>
        <x:v>#NAME?</x:v>
      </x:c>
      <x:c r="I677" s="152" t="e">
        <x:f>IF(OR(H676="",H677=""),"",H677/H676-1)</x:f>
        <x:v>#NAME?</x:v>
      </x:c>
      <x:c r="J677" s="152" t="e">
        <x:f>IF(H677="","",H677/MAX(H$5:H677)-1)</x:f>
        <x:v>#NAME?</x:v>
      </x:c>
      <x:c r="K677" s="146" t="e">
        <x:f>IF(OR('实盘净值数据(iFinD公式)'!$A677="",'实盘净值数据(iFinD公式)'!$B677=""),"",分期持仓明细!$AD$23*SUMPRODUCT(分期持仓明细!$B$23:$AA$23,'实盘净值数据(iFinD公式)'!$B677:$AA677/'实盘净值数据(iFinD公式)'!$B$65:$AA$65)*(1-实盘持仓初始配置!$Z$7)^(('实盘净值数据(iFinD公式)'!$A677-'实盘净值数据(iFinD公式)'!$A$8)/365))</x:f>
        <x:v>#NAME?</x:v>
      </x:c>
      <x:c r="L677" s="152" t="e">
        <x:f>IF(OR(K676="",K677=""),"",K677/K676-1)</x:f>
        <x:v>#NAME?</x:v>
      </x:c>
      <x:c r="M677" s="152" t="e">
        <x:f>IF(K677="","",K677/MAX(K$5:K677)-1)</x:f>
        <x:v>#NAME?</x:v>
      </x:c>
      <x:c r="N677" s="146" t="e">
        <x:f>IF(OR('实盘净值数据(iFinD公式)'!$A677="",'实盘净值数据(iFinD公式)'!$B677=""),"",分期持仓明细!$AD$24*SUMPRODUCT(分期持仓明细!$B$24:$AA$24,'实盘净值数据(iFinD公式)'!$B677:$AA677/'实盘净值数据(iFinD公式)'!$B$65:$AA$65)*(1-实盘持仓初始配置!$Z$8)^(('实盘净值数据(iFinD公式)'!$A677-'实盘净值数据(iFinD公式)'!$A$5)/365))</x:f>
        <x:v>#NAME?</x:v>
      </x:c>
      <x:c r="O677" s="152" t="e">
        <x:f>IF(OR(N676="",N677=""),"",N677/N676-1)</x:f>
        <x:v>#NAME?</x:v>
      </x:c>
      <x:c r="P677" s="152" t="e">
        <x:f>IF(N677="","",N677/MAX(N$5:N677)-1)</x:f>
        <x:v>#NAME?</x:v>
      </x:c>
      <x:c r="Q677" s="146" t="e">
        <x:f>IF(OR('实盘净值数据(iFinD公式)'!$A677="",'实盘净值数据(iFinD公式)'!$B677=""),"",分期持仓明细!$AD$25*SUMPRODUCT(分期持仓明细!$B$25:$AA$25,'实盘净值数据(iFinD公式)'!$B677:$AA677/'实盘净值数据(iFinD公式)'!$B$65:$AA$65)*(1-实盘持仓初始配置!$Z$9)^(('实盘净值数据(iFinD公式)'!$A677-'实盘净值数据(iFinD公式)'!$A$8)/365))</x:f>
        <x:v>#NAME?</x:v>
      </x:c>
      <x:c r="R677" s="152" t="e">
        <x:f>IF(OR(Q676="",Q677=""),"",Q677/Q676-1)</x:f>
        <x:v>#NAME?</x:v>
      </x:c>
      <x:c r="S677" s="152" t="e">
        <x:f>IF(Q677="","",Q677/MAX(Q$5:Q677)-1)</x:f>
        <x:v>#NAME?</x:v>
      </x:c>
    </x:row>
    <x:row r="678">
      <x:c r="A678" s="149" t="str">
        <x:f>IF('实盘净值数据(iFinD公式)'!A678="","",'实盘净值数据(iFinD公式)'!A678)</x:f>
      </x:c>
      <x:c r="B678" s="146" t="e">
        <x:f>IF(OR('实盘净值数据(iFinD公式)'!$A678="",'实盘净值数据(iFinD公式)'!$B678=""),"",分期持仓明细!$AD$17*SUMPRODUCT(分期持仓明细!$B$17:$AA$17,'实盘净值数据(iFinD公式)'!$B678:$AA678/'实盘净值数据(iFinD公式)'!$B$20:$AA$20)*(1-实盘持仓初始配置!$Z$4)^(('实盘净值数据(iFinD公式)'!$A678-'实盘净值数据(iFinD公式)'!$A$6)/365))</x:f>
        <x:v>#NAME?</x:v>
      </x:c>
      <x:c r="C678" s="152" t="e">
        <x:f>IF(OR(B677="",B678=""),"",B678/B677-1)</x:f>
        <x:v>#NAME?</x:v>
      </x:c>
      <x:c r="D678" s="152" t="e">
        <x:f>IF(B678="","",B678/MAX(B$5:B678)-1)</x:f>
        <x:v>#NAME?</x:v>
      </x:c>
      <x:c r="E678" s="146" t="e">
        <x:f>IF(OR('实盘净值数据(iFinD公式)'!$A678="",'实盘净值数据(iFinD公式)'!$B678=""),"",分期持仓明细!$AD$18*SUMPRODUCT(分期持仓明细!$B$18:$AA$18,'实盘净值数据(iFinD公式)'!$B678:$AA678/'实盘净值数据(iFinD公式)'!$B$20:$AA$20)*(1-实盘持仓初始配置!$Z$5)^(('实盘净值数据(iFinD公式)'!$A678-'实盘净值数据(iFinD公式)'!$A$5)/365))</x:f>
        <x:v>#NAME?</x:v>
      </x:c>
      <x:c r="F678" s="152" t="e">
        <x:f>IF(OR(E677="",E678=""),"",E678/E677-1)</x:f>
        <x:v>#NAME?</x:v>
      </x:c>
      <x:c r="G678" s="152" t="e">
        <x:f>IF(E678="","",E678/MAX(E$5:E678)-1)</x:f>
        <x:v>#NAME?</x:v>
      </x:c>
      <x:c r="H678" s="146" t="e">
        <x:f>IF(OR('实盘净值数据(iFinD公式)'!$A678="",'实盘净值数据(iFinD公式)'!$B678=""),"",分期持仓明细!$AD$19*SUMPRODUCT(分期持仓明细!$B$19:$AA$19,'实盘净值数据(iFinD公式)'!$B678:$AA678/'实盘净值数据(iFinD公式)'!$B$20:$AA$20)*(1-实盘持仓初始配置!$Z$6)^(('实盘净值数据(iFinD公式)'!$A678-'实盘净值数据(iFinD公式)'!$A$7)/365))</x:f>
        <x:v>#NAME?</x:v>
      </x:c>
      <x:c r="I678" s="152" t="e">
        <x:f>IF(OR(H677="",H678=""),"",H678/H677-1)</x:f>
        <x:v>#NAME?</x:v>
      </x:c>
      <x:c r="J678" s="152" t="e">
        <x:f>IF(H678="","",H678/MAX(H$5:H678)-1)</x:f>
        <x:v>#NAME?</x:v>
      </x:c>
      <x:c r="K678" s="146" t="e">
        <x:f>IF(OR('实盘净值数据(iFinD公式)'!$A678="",'实盘净值数据(iFinD公式)'!$B678=""),"",分期持仓明细!$AD$23*SUMPRODUCT(分期持仓明细!$B$23:$AA$23,'实盘净值数据(iFinD公式)'!$B678:$AA678/'实盘净值数据(iFinD公式)'!$B$65:$AA$65)*(1-实盘持仓初始配置!$Z$7)^(('实盘净值数据(iFinD公式)'!$A678-'实盘净值数据(iFinD公式)'!$A$8)/365))</x:f>
        <x:v>#NAME?</x:v>
      </x:c>
      <x:c r="L678" s="152" t="e">
        <x:f>IF(OR(K677="",K678=""),"",K678/K677-1)</x:f>
        <x:v>#NAME?</x:v>
      </x:c>
      <x:c r="M678" s="152" t="e">
        <x:f>IF(K678="","",K678/MAX(K$5:K678)-1)</x:f>
        <x:v>#NAME?</x:v>
      </x:c>
      <x:c r="N678" s="146" t="e">
        <x:f>IF(OR('实盘净值数据(iFinD公式)'!$A678="",'实盘净值数据(iFinD公式)'!$B678=""),"",分期持仓明细!$AD$24*SUMPRODUCT(分期持仓明细!$B$24:$AA$24,'实盘净值数据(iFinD公式)'!$B678:$AA678/'实盘净值数据(iFinD公式)'!$B$65:$AA$65)*(1-实盘持仓初始配置!$Z$8)^(('实盘净值数据(iFinD公式)'!$A678-'实盘净值数据(iFinD公式)'!$A$5)/365))</x:f>
        <x:v>#NAME?</x:v>
      </x:c>
      <x:c r="O678" s="152" t="e">
        <x:f>IF(OR(N677="",N678=""),"",N678/N677-1)</x:f>
        <x:v>#NAME?</x:v>
      </x:c>
      <x:c r="P678" s="152" t="e">
        <x:f>IF(N678="","",N678/MAX(N$5:N678)-1)</x:f>
        <x:v>#NAME?</x:v>
      </x:c>
      <x:c r="Q678" s="146" t="e">
        <x:f>IF(OR('实盘净值数据(iFinD公式)'!$A678="",'实盘净值数据(iFinD公式)'!$B678=""),"",分期持仓明细!$AD$25*SUMPRODUCT(分期持仓明细!$B$25:$AA$25,'实盘净值数据(iFinD公式)'!$B678:$AA678/'实盘净值数据(iFinD公式)'!$B$65:$AA$65)*(1-实盘持仓初始配置!$Z$9)^(('实盘净值数据(iFinD公式)'!$A678-'实盘净值数据(iFinD公式)'!$A$8)/365))</x:f>
        <x:v>#NAME?</x:v>
      </x:c>
      <x:c r="R678" s="152" t="e">
        <x:f>IF(OR(Q677="",Q678=""),"",Q678/Q677-1)</x:f>
        <x:v>#NAME?</x:v>
      </x:c>
      <x:c r="S678" s="152" t="e">
        <x:f>IF(Q678="","",Q678/MAX(Q$5:Q678)-1)</x:f>
        <x:v>#NAME?</x:v>
      </x:c>
    </x:row>
    <x:row r="679">
      <x:c r="A679" s="149" t="str">
        <x:f>IF('实盘净值数据(iFinD公式)'!A679="","",'实盘净值数据(iFinD公式)'!A679)</x:f>
      </x:c>
      <x:c r="B679" s="146" t="e">
        <x:f>IF(OR('实盘净值数据(iFinD公式)'!$A679="",'实盘净值数据(iFinD公式)'!$B679=""),"",分期持仓明细!$AD$17*SUMPRODUCT(分期持仓明细!$B$17:$AA$17,'实盘净值数据(iFinD公式)'!$B679:$AA679/'实盘净值数据(iFinD公式)'!$B$20:$AA$20)*(1-实盘持仓初始配置!$Z$4)^(('实盘净值数据(iFinD公式)'!$A679-'实盘净值数据(iFinD公式)'!$A$6)/365))</x:f>
        <x:v>#NAME?</x:v>
      </x:c>
      <x:c r="C679" s="152" t="e">
        <x:f>IF(OR(B678="",B679=""),"",B679/B678-1)</x:f>
        <x:v>#NAME?</x:v>
      </x:c>
      <x:c r="D679" s="152" t="e">
        <x:f>IF(B679="","",B679/MAX(B$5:B679)-1)</x:f>
        <x:v>#NAME?</x:v>
      </x:c>
      <x:c r="E679" s="146" t="e">
        <x:f>IF(OR('实盘净值数据(iFinD公式)'!$A679="",'实盘净值数据(iFinD公式)'!$B679=""),"",分期持仓明细!$AD$18*SUMPRODUCT(分期持仓明细!$B$18:$AA$18,'实盘净值数据(iFinD公式)'!$B679:$AA679/'实盘净值数据(iFinD公式)'!$B$20:$AA$20)*(1-实盘持仓初始配置!$Z$5)^(('实盘净值数据(iFinD公式)'!$A679-'实盘净值数据(iFinD公式)'!$A$5)/365))</x:f>
        <x:v>#NAME?</x:v>
      </x:c>
      <x:c r="F679" s="152" t="e">
        <x:f>IF(OR(E678="",E679=""),"",E679/E678-1)</x:f>
        <x:v>#NAME?</x:v>
      </x:c>
      <x:c r="G679" s="152" t="e">
        <x:f>IF(E679="","",E679/MAX(E$5:E679)-1)</x:f>
        <x:v>#NAME?</x:v>
      </x:c>
      <x:c r="H679" s="146" t="e">
        <x:f>IF(OR('实盘净值数据(iFinD公式)'!$A679="",'实盘净值数据(iFinD公式)'!$B679=""),"",分期持仓明细!$AD$19*SUMPRODUCT(分期持仓明细!$B$19:$AA$19,'实盘净值数据(iFinD公式)'!$B679:$AA679/'实盘净值数据(iFinD公式)'!$B$20:$AA$20)*(1-实盘持仓初始配置!$Z$6)^(('实盘净值数据(iFinD公式)'!$A679-'实盘净值数据(iFinD公式)'!$A$7)/365))</x:f>
        <x:v>#NAME?</x:v>
      </x:c>
      <x:c r="I679" s="152" t="e">
        <x:f>IF(OR(H678="",H679=""),"",H679/H678-1)</x:f>
        <x:v>#NAME?</x:v>
      </x:c>
      <x:c r="J679" s="152" t="e">
        <x:f>IF(H679="","",H679/MAX(H$5:H679)-1)</x:f>
        <x:v>#NAME?</x:v>
      </x:c>
      <x:c r="K679" s="146" t="e">
        <x:f>IF(OR('实盘净值数据(iFinD公式)'!$A679="",'实盘净值数据(iFinD公式)'!$B679=""),"",分期持仓明细!$AD$23*SUMPRODUCT(分期持仓明细!$B$23:$AA$23,'实盘净值数据(iFinD公式)'!$B679:$AA679/'实盘净值数据(iFinD公式)'!$B$65:$AA$65)*(1-实盘持仓初始配置!$Z$7)^(('实盘净值数据(iFinD公式)'!$A679-'实盘净值数据(iFinD公式)'!$A$8)/365))</x:f>
        <x:v>#NAME?</x:v>
      </x:c>
      <x:c r="L679" s="152" t="e">
        <x:f>IF(OR(K678="",K679=""),"",K679/K678-1)</x:f>
        <x:v>#NAME?</x:v>
      </x:c>
      <x:c r="M679" s="152" t="e">
        <x:f>IF(K679="","",K679/MAX(K$5:K679)-1)</x:f>
        <x:v>#NAME?</x:v>
      </x:c>
      <x:c r="N679" s="146" t="e">
        <x:f>IF(OR('实盘净值数据(iFinD公式)'!$A679="",'实盘净值数据(iFinD公式)'!$B679=""),"",分期持仓明细!$AD$24*SUMPRODUCT(分期持仓明细!$B$24:$AA$24,'实盘净值数据(iFinD公式)'!$B679:$AA679/'实盘净值数据(iFinD公式)'!$B$65:$AA$65)*(1-实盘持仓初始配置!$Z$8)^(('实盘净值数据(iFinD公式)'!$A679-'实盘净值数据(iFinD公式)'!$A$5)/365))</x:f>
        <x:v>#NAME?</x:v>
      </x:c>
      <x:c r="O679" s="152" t="e">
        <x:f>IF(OR(N678="",N679=""),"",N679/N678-1)</x:f>
        <x:v>#NAME?</x:v>
      </x:c>
      <x:c r="P679" s="152" t="e">
        <x:f>IF(N679="","",N679/MAX(N$5:N679)-1)</x:f>
        <x:v>#NAME?</x:v>
      </x:c>
      <x:c r="Q679" s="146" t="e">
        <x:f>IF(OR('实盘净值数据(iFinD公式)'!$A679="",'实盘净值数据(iFinD公式)'!$B679=""),"",分期持仓明细!$AD$25*SUMPRODUCT(分期持仓明细!$B$25:$AA$25,'实盘净值数据(iFinD公式)'!$B679:$AA679/'实盘净值数据(iFinD公式)'!$B$65:$AA$65)*(1-实盘持仓初始配置!$Z$9)^(('实盘净值数据(iFinD公式)'!$A679-'实盘净值数据(iFinD公式)'!$A$8)/365))</x:f>
        <x:v>#NAME?</x:v>
      </x:c>
      <x:c r="R679" s="152" t="e">
        <x:f>IF(OR(Q678="",Q679=""),"",Q679/Q678-1)</x:f>
        <x:v>#NAME?</x:v>
      </x:c>
      <x:c r="S679" s="152" t="e">
        <x:f>IF(Q679="","",Q679/MAX(Q$5:Q679)-1)</x:f>
        <x:v>#NAME?</x:v>
      </x:c>
    </x:row>
    <x:row r="680">
      <x:c r="A680" s="149" t="str">
        <x:f>IF('实盘净值数据(iFinD公式)'!A680="","",'实盘净值数据(iFinD公式)'!A680)</x:f>
      </x:c>
      <x:c r="B680" s="146" t="e">
        <x:f>IF(OR('实盘净值数据(iFinD公式)'!$A680="",'实盘净值数据(iFinD公式)'!$B680=""),"",分期持仓明细!$AD$17*SUMPRODUCT(分期持仓明细!$B$17:$AA$17,'实盘净值数据(iFinD公式)'!$B680:$AA680/'实盘净值数据(iFinD公式)'!$B$20:$AA$20)*(1-实盘持仓初始配置!$Z$4)^(('实盘净值数据(iFinD公式)'!$A680-'实盘净值数据(iFinD公式)'!$A$6)/365))</x:f>
        <x:v>#NAME?</x:v>
      </x:c>
      <x:c r="C680" s="152" t="e">
        <x:f>IF(OR(B679="",B680=""),"",B680/B679-1)</x:f>
        <x:v>#NAME?</x:v>
      </x:c>
      <x:c r="D680" s="152" t="e">
        <x:f>IF(B680="","",B680/MAX(B$5:B680)-1)</x:f>
        <x:v>#NAME?</x:v>
      </x:c>
      <x:c r="E680" s="146" t="e">
        <x:f>IF(OR('实盘净值数据(iFinD公式)'!$A680="",'实盘净值数据(iFinD公式)'!$B680=""),"",分期持仓明细!$AD$18*SUMPRODUCT(分期持仓明细!$B$18:$AA$18,'实盘净值数据(iFinD公式)'!$B680:$AA680/'实盘净值数据(iFinD公式)'!$B$20:$AA$20)*(1-实盘持仓初始配置!$Z$5)^(('实盘净值数据(iFinD公式)'!$A680-'实盘净值数据(iFinD公式)'!$A$5)/365))</x:f>
        <x:v>#NAME?</x:v>
      </x:c>
      <x:c r="F680" s="152" t="e">
        <x:f>IF(OR(E679="",E680=""),"",E680/E679-1)</x:f>
        <x:v>#NAME?</x:v>
      </x:c>
      <x:c r="G680" s="152" t="e">
        <x:f>IF(E680="","",E680/MAX(E$5:E680)-1)</x:f>
        <x:v>#NAME?</x:v>
      </x:c>
      <x:c r="H680" s="146" t="e">
        <x:f>IF(OR('实盘净值数据(iFinD公式)'!$A680="",'实盘净值数据(iFinD公式)'!$B680=""),"",分期持仓明细!$AD$19*SUMPRODUCT(分期持仓明细!$B$19:$AA$19,'实盘净值数据(iFinD公式)'!$B680:$AA680/'实盘净值数据(iFinD公式)'!$B$20:$AA$20)*(1-实盘持仓初始配置!$Z$6)^(('实盘净值数据(iFinD公式)'!$A680-'实盘净值数据(iFinD公式)'!$A$7)/365))</x:f>
        <x:v>#NAME?</x:v>
      </x:c>
      <x:c r="I680" s="152" t="e">
        <x:f>IF(OR(H679="",H680=""),"",H680/H679-1)</x:f>
        <x:v>#NAME?</x:v>
      </x:c>
      <x:c r="J680" s="152" t="e">
        <x:f>IF(H680="","",H680/MAX(H$5:H680)-1)</x:f>
        <x:v>#NAME?</x:v>
      </x:c>
      <x:c r="K680" s="146" t="e">
        <x:f>IF(OR('实盘净值数据(iFinD公式)'!$A680="",'实盘净值数据(iFinD公式)'!$B680=""),"",分期持仓明细!$AD$23*SUMPRODUCT(分期持仓明细!$B$23:$AA$23,'实盘净值数据(iFinD公式)'!$B680:$AA680/'实盘净值数据(iFinD公式)'!$B$65:$AA$65)*(1-实盘持仓初始配置!$Z$7)^(('实盘净值数据(iFinD公式)'!$A680-'实盘净值数据(iFinD公式)'!$A$8)/365))</x:f>
        <x:v>#NAME?</x:v>
      </x:c>
      <x:c r="L680" s="152" t="e">
        <x:f>IF(OR(K679="",K680=""),"",K680/K679-1)</x:f>
        <x:v>#NAME?</x:v>
      </x:c>
      <x:c r="M680" s="152" t="e">
        <x:f>IF(K680="","",K680/MAX(K$5:K680)-1)</x:f>
        <x:v>#NAME?</x:v>
      </x:c>
      <x:c r="N680" s="146" t="e">
        <x:f>IF(OR('实盘净值数据(iFinD公式)'!$A680="",'实盘净值数据(iFinD公式)'!$B680=""),"",分期持仓明细!$AD$24*SUMPRODUCT(分期持仓明细!$B$24:$AA$24,'实盘净值数据(iFinD公式)'!$B680:$AA680/'实盘净值数据(iFinD公式)'!$B$65:$AA$65)*(1-实盘持仓初始配置!$Z$8)^(('实盘净值数据(iFinD公式)'!$A680-'实盘净值数据(iFinD公式)'!$A$5)/365))</x:f>
        <x:v>#NAME?</x:v>
      </x:c>
      <x:c r="O680" s="152" t="e">
        <x:f>IF(OR(N679="",N680=""),"",N680/N679-1)</x:f>
        <x:v>#NAME?</x:v>
      </x:c>
      <x:c r="P680" s="152" t="e">
        <x:f>IF(N680="","",N680/MAX(N$5:N680)-1)</x:f>
        <x:v>#NAME?</x:v>
      </x:c>
      <x:c r="Q680" s="146" t="e">
        <x:f>IF(OR('实盘净值数据(iFinD公式)'!$A680="",'实盘净值数据(iFinD公式)'!$B680=""),"",分期持仓明细!$AD$25*SUMPRODUCT(分期持仓明细!$B$25:$AA$25,'实盘净值数据(iFinD公式)'!$B680:$AA680/'实盘净值数据(iFinD公式)'!$B$65:$AA$65)*(1-实盘持仓初始配置!$Z$9)^(('实盘净值数据(iFinD公式)'!$A680-'实盘净值数据(iFinD公式)'!$A$8)/365))</x:f>
        <x:v>#NAME?</x:v>
      </x:c>
      <x:c r="R680" s="152" t="e">
        <x:f>IF(OR(Q679="",Q680=""),"",Q680/Q679-1)</x:f>
        <x:v>#NAME?</x:v>
      </x:c>
      <x:c r="S680" s="152" t="e">
        <x:f>IF(Q680="","",Q680/MAX(Q$5:Q680)-1)</x:f>
        <x:v>#NAME?</x:v>
      </x:c>
    </x:row>
    <x:row r="681">
      <x:c r="A681" s="149" t="str">
        <x:f>IF('实盘净值数据(iFinD公式)'!A681="","",'实盘净值数据(iFinD公式)'!A681)</x:f>
      </x:c>
      <x:c r="B681" s="146" t="e">
        <x:f>IF(OR('实盘净值数据(iFinD公式)'!$A681="",'实盘净值数据(iFinD公式)'!$B681=""),"",分期持仓明细!$AD$17*SUMPRODUCT(分期持仓明细!$B$17:$AA$17,'实盘净值数据(iFinD公式)'!$B681:$AA681/'实盘净值数据(iFinD公式)'!$B$20:$AA$20)*(1-实盘持仓初始配置!$Z$4)^(('实盘净值数据(iFinD公式)'!$A681-'实盘净值数据(iFinD公式)'!$A$6)/365))</x:f>
        <x:v>#NAME?</x:v>
      </x:c>
      <x:c r="C681" s="152" t="e">
        <x:f>IF(OR(B680="",B681=""),"",B681/B680-1)</x:f>
        <x:v>#NAME?</x:v>
      </x:c>
      <x:c r="D681" s="152" t="e">
        <x:f>IF(B681="","",B681/MAX(B$5:B681)-1)</x:f>
        <x:v>#NAME?</x:v>
      </x:c>
      <x:c r="E681" s="146" t="e">
        <x:f>IF(OR('实盘净值数据(iFinD公式)'!$A681="",'实盘净值数据(iFinD公式)'!$B681=""),"",分期持仓明细!$AD$18*SUMPRODUCT(分期持仓明细!$B$18:$AA$18,'实盘净值数据(iFinD公式)'!$B681:$AA681/'实盘净值数据(iFinD公式)'!$B$20:$AA$20)*(1-实盘持仓初始配置!$Z$5)^(('实盘净值数据(iFinD公式)'!$A681-'实盘净值数据(iFinD公式)'!$A$5)/365))</x:f>
        <x:v>#NAME?</x:v>
      </x:c>
      <x:c r="F681" s="152" t="e">
        <x:f>IF(OR(E680="",E681=""),"",E681/E680-1)</x:f>
        <x:v>#NAME?</x:v>
      </x:c>
      <x:c r="G681" s="152" t="e">
        <x:f>IF(E681="","",E681/MAX(E$5:E681)-1)</x:f>
        <x:v>#NAME?</x:v>
      </x:c>
      <x:c r="H681" s="146" t="e">
        <x:f>IF(OR('实盘净值数据(iFinD公式)'!$A681="",'实盘净值数据(iFinD公式)'!$B681=""),"",分期持仓明细!$AD$19*SUMPRODUCT(分期持仓明细!$B$19:$AA$19,'实盘净值数据(iFinD公式)'!$B681:$AA681/'实盘净值数据(iFinD公式)'!$B$20:$AA$20)*(1-实盘持仓初始配置!$Z$6)^(('实盘净值数据(iFinD公式)'!$A681-'实盘净值数据(iFinD公式)'!$A$7)/365))</x:f>
        <x:v>#NAME?</x:v>
      </x:c>
      <x:c r="I681" s="152" t="e">
        <x:f>IF(OR(H680="",H681=""),"",H681/H680-1)</x:f>
        <x:v>#NAME?</x:v>
      </x:c>
      <x:c r="J681" s="152" t="e">
        <x:f>IF(H681="","",H681/MAX(H$5:H681)-1)</x:f>
        <x:v>#NAME?</x:v>
      </x:c>
      <x:c r="K681" s="146" t="e">
        <x:f>IF(OR('实盘净值数据(iFinD公式)'!$A681="",'实盘净值数据(iFinD公式)'!$B681=""),"",分期持仓明细!$AD$23*SUMPRODUCT(分期持仓明细!$B$23:$AA$23,'实盘净值数据(iFinD公式)'!$B681:$AA681/'实盘净值数据(iFinD公式)'!$B$65:$AA$65)*(1-实盘持仓初始配置!$Z$7)^(('实盘净值数据(iFinD公式)'!$A681-'实盘净值数据(iFinD公式)'!$A$8)/365))</x:f>
        <x:v>#NAME?</x:v>
      </x:c>
      <x:c r="L681" s="152" t="e">
        <x:f>IF(OR(K680="",K681=""),"",K681/K680-1)</x:f>
        <x:v>#NAME?</x:v>
      </x:c>
      <x:c r="M681" s="152" t="e">
        <x:f>IF(K681="","",K681/MAX(K$5:K681)-1)</x:f>
        <x:v>#NAME?</x:v>
      </x:c>
      <x:c r="N681" s="146" t="e">
        <x:f>IF(OR('实盘净值数据(iFinD公式)'!$A681="",'实盘净值数据(iFinD公式)'!$B681=""),"",分期持仓明细!$AD$24*SUMPRODUCT(分期持仓明细!$B$24:$AA$24,'实盘净值数据(iFinD公式)'!$B681:$AA681/'实盘净值数据(iFinD公式)'!$B$65:$AA$65)*(1-实盘持仓初始配置!$Z$8)^(('实盘净值数据(iFinD公式)'!$A681-'实盘净值数据(iFinD公式)'!$A$5)/365))</x:f>
        <x:v>#NAME?</x:v>
      </x:c>
      <x:c r="O681" s="152" t="e">
        <x:f>IF(OR(N680="",N681=""),"",N681/N680-1)</x:f>
        <x:v>#NAME?</x:v>
      </x:c>
      <x:c r="P681" s="152" t="e">
        <x:f>IF(N681="","",N681/MAX(N$5:N681)-1)</x:f>
        <x:v>#NAME?</x:v>
      </x:c>
      <x:c r="Q681" s="146" t="e">
        <x:f>IF(OR('实盘净值数据(iFinD公式)'!$A681="",'实盘净值数据(iFinD公式)'!$B681=""),"",分期持仓明细!$AD$25*SUMPRODUCT(分期持仓明细!$B$25:$AA$25,'实盘净值数据(iFinD公式)'!$B681:$AA681/'实盘净值数据(iFinD公式)'!$B$65:$AA$65)*(1-实盘持仓初始配置!$Z$9)^(('实盘净值数据(iFinD公式)'!$A681-'实盘净值数据(iFinD公式)'!$A$8)/365))</x:f>
        <x:v>#NAME?</x:v>
      </x:c>
      <x:c r="R681" s="152" t="e">
        <x:f>IF(OR(Q680="",Q681=""),"",Q681/Q680-1)</x:f>
        <x:v>#NAME?</x:v>
      </x:c>
      <x:c r="S681" s="152" t="e">
        <x:f>IF(Q681="","",Q681/MAX(Q$5:Q681)-1)</x:f>
        <x:v>#NAME?</x:v>
      </x:c>
    </x:row>
    <x:row r="682">
      <x:c r="A682" s="149" t="str">
        <x:f>IF('实盘净值数据(iFinD公式)'!A682="","",'实盘净值数据(iFinD公式)'!A682)</x:f>
      </x:c>
      <x:c r="B682" s="146" t="e">
        <x:f>IF(OR('实盘净值数据(iFinD公式)'!$A682="",'实盘净值数据(iFinD公式)'!$B682=""),"",分期持仓明细!$AD$17*SUMPRODUCT(分期持仓明细!$B$17:$AA$17,'实盘净值数据(iFinD公式)'!$B682:$AA682/'实盘净值数据(iFinD公式)'!$B$20:$AA$20)*(1-实盘持仓初始配置!$Z$4)^(('实盘净值数据(iFinD公式)'!$A682-'实盘净值数据(iFinD公式)'!$A$6)/365))</x:f>
        <x:v>#NAME?</x:v>
      </x:c>
      <x:c r="C682" s="152" t="e">
        <x:f>IF(OR(B681="",B682=""),"",B682/B681-1)</x:f>
        <x:v>#NAME?</x:v>
      </x:c>
      <x:c r="D682" s="152" t="e">
        <x:f>IF(B682="","",B682/MAX(B$5:B682)-1)</x:f>
        <x:v>#NAME?</x:v>
      </x:c>
      <x:c r="E682" s="146" t="e">
        <x:f>IF(OR('实盘净值数据(iFinD公式)'!$A682="",'实盘净值数据(iFinD公式)'!$B682=""),"",分期持仓明细!$AD$18*SUMPRODUCT(分期持仓明细!$B$18:$AA$18,'实盘净值数据(iFinD公式)'!$B682:$AA682/'实盘净值数据(iFinD公式)'!$B$20:$AA$20)*(1-实盘持仓初始配置!$Z$5)^(('实盘净值数据(iFinD公式)'!$A682-'实盘净值数据(iFinD公式)'!$A$5)/365))</x:f>
        <x:v>#NAME?</x:v>
      </x:c>
      <x:c r="F682" s="152" t="e">
        <x:f>IF(OR(E681="",E682=""),"",E682/E681-1)</x:f>
        <x:v>#NAME?</x:v>
      </x:c>
      <x:c r="G682" s="152" t="e">
        <x:f>IF(E682="","",E682/MAX(E$5:E682)-1)</x:f>
        <x:v>#NAME?</x:v>
      </x:c>
      <x:c r="H682" s="146" t="e">
        <x:f>IF(OR('实盘净值数据(iFinD公式)'!$A682="",'实盘净值数据(iFinD公式)'!$B682=""),"",分期持仓明细!$AD$19*SUMPRODUCT(分期持仓明细!$B$19:$AA$19,'实盘净值数据(iFinD公式)'!$B682:$AA682/'实盘净值数据(iFinD公式)'!$B$20:$AA$20)*(1-实盘持仓初始配置!$Z$6)^(('实盘净值数据(iFinD公式)'!$A682-'实盘净值数据(iFinD公式)'!$A$7)/365))</x:f>
        <x:v>#NAME?</x:v>
      </x:c>
      <x:c r="I682" s="152" t="e">
        <x:f>IF(OR(H681="",H682=""),"",H682/H681-1)</x:f>
        <x:v>#NAME?</x:v>
      </x:c>
      <x:c r="J682" s="152" t="e">
        <x:f>IF(H682="","",H682/MAX(H$5:H682)-1)</x:f>
        <x:v>#NAME?</x:v>
      </x:c>
      <x:c r="K682" s="146" t="e">
        <x:f>IF(OR('实盘净值数据(iFinD公式)'!$A682="",'实盘净值数据(iFinD公式)'!$B682=""),"",分期持仓明细!$AD$23*SUMPRODUCT(分期持仓明细!$B$23:$AA$23,'实盘净值数据(iFinD公式)'!$B682:$AA682/'实盘净值数据(iFinD公式)'!$B$65:$AA$65)*(1-实盘持仓初始配置!$Z$7)^(('实盘净值数据(iFinD公式)'!$A682-'实盘净值数据(iFinD公式)'!$A$8)/365))</x:f>
        <x:v>#NAME?</x:v>
      </x:c>
      <x:c r="L682" s="152" t="e">
        <x:f>IF(OR(K681="",K682=""),"",K682/K681-1)</x:f>
        <x:v>#NAME?</x:v>
      </x:c>
      <x:c r="M682" s="152" t="e">
        <x:f>IF(K682="","",K682/MAX(K$5:K682)-1)</x:f>
        <x:v>#NAME?</x:v>
      </x:c>
      <x:c r="N682" s="146" t="e">
        <x:f>IF(OR('实盘净值数据(iFinD公式)'!$A682="",'实盘净值数据(iFinD公式)'!$B682=""),"",分期持仓明细!$AD$24*SUMPRODUCT(分期持仓明细!$B$24:$AA$24,'实盘净值数据(iFinD公式)'!$B682:$AA682/'实盘净值数据(iFinD公式)'!$B$65:$AA$65)*(1-实盘持仓初始配置!$Z$8)^(('实盘净值数据(iFinD公式)'!$A682-'实盘净值数据(iFinD公式)'!$A$5)/365))</x:f>
        <x:v>#NAME?</x:v>
      </x:c>
      <x:c r="O682" s="152" t="e">
        <x:f>IF(OR(N681="",N682=""),"",N682/N681-1)</x:f>
        <x:v>#NAME?</x:v>
      </x:c>
      <x:c r="P682" s="152" t="e">
        <x:f>IF(N682="","",N682/MAX(N$5:N682)-1)</x:f>
        <x:v>#NAME?</x:v>
      </x:c>
      <x:c r="Q682" s="146" t="e">
        <x:f>IF(OR('实盘净值数据(iFinD公式)'!$A682="",'实盘净值数据(iFinD公式)'!$B682=""),"",分期持仓明细!$AD$25*SUMPRODUCT(分期持仓明细!$B$25:$AA$25,'实盘净值数据(iFinD公式)'!$B682:$AA682/'实盘净值数据(iFinD公式)'!$B$65:$AA$65)*(1-实盘持仓初始配置!$Z$9)^(('实盘净值数据(iFinD公式)'!$A682-'实盘净值数据(iFinD公式)'!$A$8)/365))</x:f>
        <x:v>#NAME?</x:v>
      </x:c>
      <x:c r="R682" s="152" t="e">
        <x:f>IF(OR(Q681="",Q682=""),"",Q682/Q681-1)</x:f>
        <x:v>#NAME?</x:v>
      </x:c>
      <x:c r="S682" s="152" t="e">
        <x:f>IF(Q682="","",Q682/MAX(Q$5:Q682)-1)</x:f>
        <x:v>#NAME?</x:v>
      </x:c>
    </x:row>
    <x:row r="683">
      <x:c r="A683" s="149" t="str">
        <x:f>IF('实盘净值数据(iFinD公式)'!A683="","",'实盘净值数据(iFinD公式)'!A683)</x:f>
      </x:c>
      <x:c r="B683" s="146" t="e">
        <x:f>IF(OR('实盘净值数据(iFinD公式)'!$A683="",'实盘净值数据(iFinD公式)'!$B683=""),"",分期持仓明细!$AD$17*SUMPRODUCT(分期持仓明细!$B$17:$AA$17,'实盘净值数据(iFinD公式)'!$B683:$AA683/'实盘净值数据(iFinD公式)'!$B$20:$AA$20)*(1-实盘持仓初始配置!$Z$4)^(('实盘净值数据(iFinD公式)'!$A683-'实盘净值数据(iFinD公式)'!$A$6)/365))</x:f>
        <x:v>#NAME?</x:v>
      </x:c>
      <x:c r="C683" s="152" t="e">
        <x:f>IF(OR(B682="",B683=""),"",B683/B682-1)</x:f>
        <x:v>#NAME?</x:v>
      </x:c>
      <x:c r="D683" s="152" t="e">
        <x:f>IF(B683="","",B683/MAX(B$5:B683)-1)</x:f>
        <x:v>#NAME?</x:v>
      </x:c>
      <x:c r="E683" s="146" t="e">
        <x:f>IF(OR('实盘净值数据(iFinD公式)'!$A683="",'实盘净值数据(iFinD公式)'!$B683=""),"",分期持仓明细!$AD$18*SUMPRODUCT(分期持仓明细!$B$18:$AA$18,'实盘净值数据(iFinD公式)'!$B683:$AA683/'实盘净值数据(iFinD公式)'!$B$20:$AA$20)*(1-实盘持仓初始配置!$Z$5)^(('实盘净值数据(iFinD公式)'!$A683-'实盘净值数据(iFinD公式)'!$A$5)/365))</x:f>
        <x:v>#NAME?</x:v>
      </x:c>
      <x:c r="F683" s="152" t="e">
        <x:f>IF(OR(E682="",E683=""),"",E683/E682-1)</x:f>
        <x:v>#NAME?</x:v>
      </x:c>
      <x:c r="G683" s="152" t="e">
        <x:f>IF(E683="","",E683/MAX(E$5:E683)-1)</x:f>
        <x:v>#NAME?</x:v>
      </x:c>
      <x:c r="H683" s="146" t="e">
        <x:f>IF(OR('实盘净值数据(iFinD公式)'!$A683="",'实盘净值数据(iFinD公式)'!$B683=""),"",分期持仓明细!$AD$19*SUMPRODUCT(分期持仓明细!$B$19:$AA$19,'实盘净值数据(iFinD公式)'!$B683:$AA683/'实盘净值数据(iFinD公式)'!$B$20:$AA$20)*(1-实盘持仓初始配置!$Z$6)^(('实盘净值数据(iFinD公式)'!$A683-'实盘净值数据(iFinD公式)'!$A$7)/365))</x:f>
        <x:v>#NAME?</x:v>
      </x:c>
      <x:c r="I683" s="152" t="e">
        <x:f>IF(OR(H682="",H683=""),"",H683/H682-1)</x:f>
        <x:v>#NAME?</x:v>
      </x:c>
      <x:c r="J683" s="152" t="e">
        <x:f>IF(H683="","",H683/MAX(H$5:H683)-1)</x:f>
        <x:v>#NAME?</x:v>
      </x:c>
      <x:c r="K683" s="146" t="e">
        <x:f>IF(OR('实盘净值数据(iFinD公式)'!$A683="",'实盘净值数据(iFinD公式)'!$B683=""),"",分期持仓明细!$AD$23*SUMPRODUCT(分期持仓明细!$B$23:$AA$23,'实盘净值数据(iFinD公式)'!$B683:$AA683/'实盘净值数据(iFinD公式)'!$B$65:$AA$65)*(1-实盘持仓初始配置!$Z$7)^(('实盘净值数据(iFinD公式)'!$A683-'实盘净值数据(iFinD公式)'!$A$8)/365))</x:f>
        <x:v>#NAME?</x:v>
      </x:c>
      <x:c r="L683" s="152" t="e">
        <x:f>IF(OR(K682="",K683=""),"",K683/K682-1)</x:f>
        <x:v>#NAME?</x:v>
      </x:c>
      <x:c r="M683" s="152" t="e">
        <x:f>IF(K683="","",K683/MAX(K$5:K683)-1)</x:f>
        <x:v>#NAME?</x:v>
      </x:c>
      <x:c r="N683" s="146" t="e">
        <x:f>IF(OR('实盘净值数据(iFinD公式)'!$A683="",'实盘净值数据(iFinD公式)'!$B683=""),"",分期持仓明细!$AD$24*SUMPRODUCT(分期持仓明细!$B$24:$AA$24,'实盘净值数据(iFinD公式)'!$B683:$AA683/'实盘净值数据(iFinD公式)'!$B$65:$AA$65)*(1-实盘持仓初始配置!$Z$8)^(('实盘净值数据(iFinD公式)'!$A683-'实盘净值数据(iFinD公式)'!$A$5)/365))</x:f>
        <x:v>#NAME?</x:v>
      </x:c>
      <x:c r="O683" s="152" t="e">
        <x:f>IF(OR(N682="",N683=""),"",N683/N682-1)</x:f>
        <x:v>#NAME?</x:v>
      </x:c>
      <x:c r="P683" s="152" t="e">
        <x:f>IF(N683="","",N683/MAX(N$5:N683)-1)</x:f>
        <x:v>#NAME?</x:v>
      </x:c>
      <x:c r="Q683" s="146" t="e">
        <x:f>IF(OR('实盘净值数据(iFinD公式)'!$A683="",'实盘净值数据(iFinD公式)'!$B683=""),"",分期持仓明细!$AD$25*SUMPRODUCT(分期持仓明细!$B$25:$AA$25,'实盘净值数据(iFinD公式)'!$B683:$AA683/'实盘净值数据(iFinD公式)'!$B$65:$AA$65)*(1-实盘持仓初始配置!$Z$9)^(('实盘净值数据(iFinD公式)'!$A683-'实盘净值数据(iFinD公式)'!$A$8)/365))</x:f>
        <x:v>#NAME?</x:v>
      </x:c>
      <x:c r="R683" s="152" t="e">
        <x:f>IF(OR(Q682="",Q683=""),"",Q683/Q682-1)</x:f>
        <x:v>#NAME?</x:v>
      </x:c>
      <x:c r="S683" s="152" t="e">
        <x:f>IF(Q683="","",Q683/MAX(Q$5:Q683)-1)</x:f>
        <x:v>#NAME?</x:v>
      </x:c>
    </x:row>
    <x:row r="684">
      <x:c r="A684" s="149" t="str">
        <x:f>IF('实盘净值数据(iFinD公式)'!A684="","",'实盘净值数据(iFinD公式)'!A684)</x:f>
      </x:c>
      <x:c r="B684" s="146" t="e">
        <x:f>IF(OR('实盘净值数据(iFinD公式)'!$A684="",'实盘净值数据(iFinD公式)'!$B684=""),"",分期持仓明细!$AD$17*SUMPRODUCT(分期持仓明细!$B$17:$AA$17,'实盘净值数据(iFinD公式)'!$B684:$AA684/'实盘净值数据(iFinD公式)'!$B$20:$AA$20)*(1-实盘持仓初始配置!$Z$4)^(('实盘净值数据(iFinD公式)'!$A684-'实盘净值数据(iFinD公式)'!$A$6)/365))</x:f>
        <x:v>#NAME?</x:v>
      </x:c>
      <x:c r="C684" s="152" t="e">
        <x:f>IF(OR(B683="",B684=""),"",B684/B683-1)</x:f>
        <x:v>#NAME?</x:v>
      </x:c>
      <x:c r="D684" s="152" t="e">
        <x:f>IF(B684="","",B684/MAX(B$5:B684)-1)</x:f>
        <x:v>#NAME?</x:v>
      </x:c>
      <x:c r="E684" s="146" t="e">
        <x:f>IF(OR('实盘净值数据(iFinD公式)'!$A684="",'实盘净值数据(iFinD公式)'!$B684=""),"",分期持仓明细!$AD$18*SUMPRODUCT(分期持仓明细!$B$18:$AA$18,'实盘净值数据(iFinD公式)'!$B684:$AA684/'实盘净值数据(iFinD公式)'!$B$20:$AA$20)*(1-实盘持仓初始配置!$Z$5)^(('实盘净值数据(iFinD公式)'!$A684-'实盘净值数据(iFinD公式)'!$A$5)/365))</x:f>
        <x:v>#NAME?</x:v>
      </x:c>
      <x:c r="F684" s="152" t="e">
        <x:f>IF(OR(E683="",E684=""),"",E684/E683-1)</x:f>
        <x:v>#NAME?</x:v>
      </x:c>
      <x:c r="G684" s="152" t="e">
        <x:f>IF(E684="","",E684/MAX(E$5:E684)-1)</x:f>
        <x:v>#NAME?</x:v>
      </x:c>
      <x:c r="H684" s="146" t="e">
        <x:f>IF(OR('实盘净值数据(iFinD公式)'!$A684="",'实盘净值数据(iFinD公式)'!$B684=""),"",分期持仓明细!$AD$19*SUMPRODUCT(分期持仓明细!$B$19:$AA$19,'实盘净值数据(iFinD公式)'!$B684:$AA684/'实盘净值数据(iFinD公式)'!$B$20:$AA$20)*(1-实盘持仓初始配置!$Z$6)^(('实盘净值数据(iFinD公式)'!$A684-'实盘净值数据(iFinD公式)'!$A$7)/365))</x:f>
        <x:v>#NAME?</x:v>
      </x:c>
      <x:c r="I684" s="152" t="e">
        <x:f>IF(OR(H683="",H684=""),"",H684/H683-1)</x:f>
        <x:v>#NAME?</x:v>
      </x:c>
      <x:c r="J684" s="152" t="e">
        <x:f>IF(H684="","",H684/MAX(H$5:H684)-1)</x:f>
        <x:v>#NAME?</x:v>
      </x:c>
      <x:c r="K684" s="146" t="e">
        <x:f>IF(OR('实盘净值数据(iFinD公式)'!$A684="",'实盘净值数据(iFinD公式)'!$B684=""),"",分期持仓明细!$AD$23*SUMPRODUCT(分期持仓明细!$B$23:$AA$23,'实盘净值数据(iFinD公式)'!$B684:$AA684/'实盘净值数据(iFinD公式)'!$B$65:$AA$65)*(1-实盘持仓初始配置!$Z$7)^(('实盘净值数据(iFinD公式)'!$A684-'实盘净值数据(iFinD公式)'!$A$8)/365))</x:f>
        <x:v>#NAME?</x:v>
      </x:c>
      <x:c r="L684" s="152" t="e">
        <x:f>IF(OR(K683="",K684=""),"",K684/K683-1)</x:f>
        <x:v>#NAME?</x:v>
      </x:c>
      <x:c r="M684" s="152" t="e">
        <x:f>IF(K684="","",K684/MAX(K$5:K684)-1)</x:f>
        <x:v>#NAME?</x:v>
      </x:c>
      <x:c r="N684" s="146" t="e">
        <x:f>IF(OR('实盘净值数据(iFinD公式)'!$A684="",'实盘净值数据(iFinD公式)'!$B684=""),"",分期持仓明细!$AD$24*SUMPRODUCT(分期持仓明细!$B$24:$AA$24,'实盘净值数据(iFinD公式)'!$B684:$AA684/'实盘净值数据(iFinD公式)'!$B$65:$AA$65)*(1-实盘持仓初始配置!$Z$8)^(('实盘净值数据(iFinD公式)'!$A684-'实盘净值数据(iFinD公式)'!$A$5)/365))</x:f>
        <x:v>#NAME?</x:v>
      </x:c>
      <x:c r="O684" s="152" t="e">
        <x:f>IF(OR(N683="",N684=""),"",N684/N683-1)</x:f>
        <x:v>#NAME?</x:v>
      </x:c>
      <x:c r="P684" s="152" t="e">
        <x:f>IF(N684="","",N684/MAX(N$5:N684)-1)</x:f>
        <x:v>#NAME?</x:v>
      </x:c>
      <x:c r="Q684" s="146" t="e">
        <x:f>IF(OR('实盘净值数据(iFinD公式)'!$A684="",'实盘净值数据(iFinD公式)'!$B684=""),"",分期持仓明细!$AD$25*SUMPRODUCT(分期持仓明细!$B$25:$AA$25,'实盘净值数据(iFinD公式)'!$B684:$AA684/'实盘净值数据(iFinD公式)'!$B$65:$AA$65)*(1-实盘持仓初始配置!$Z$9)^(('实盘净值数据(iFinD公式)'!$A684-'实盘净值数据(iFinD公式)'!$A$8)/365))</x:f>
        <x:v>#NAME?</x:v>
      </x:c>
      <x:c r="R684" s="152" t="e">
        <x:f>IF(OR(Q683="",Q684=""),"",Q684/Q683-1)</x:f>
        <x:v>#NAME?</x:v>
      </x:c>
      <x:c r="S684" s="152" t="e">
        <x:f>IF(Q684="","",Q684/MAX(Q$5:Q684)-1)</x:f>
        <x:v>#NAME?</x:v>
      </x:c>
    </x:row>
    <x:row r="685">
      <x:c r="A685" s="149" t="str">
        <x:f>IF('实盘净值数据(iFinD公式)'!A685="","",'实盘净值数据(iFinD公式)'!A685)</x:f>
      </x:c>
      <x:c r="B685" s="146" t="e">
        <x:f>IF(OR('实盘净值数据(iFinD公式)'!$A685="",'实盘净值数据(iFinD公式)'!$B685=""),"",分期持仓明细!$AD$17*SUMPRODUCT(分期持仓明细!$B$17:$AA$17,'实盘净值数据(iFinD公式)'!$B685:$AA685/'实盘净值数据(iFinD公式)'!$B$20:$AA$20)*(1-实盘持仓初始配置!$Z$4)^(('实盘净值数据(iFinD公式)'!$A685-'实盘净值数据(iFinD公式)'!$A$6)/365))</x:f>
        <x:v>#NAME?</x:v>
      </x:c>
      <x:c r="C685" s="152" t="e">
        <x:f>IF(OR(B684="",B685=""),"",B685/B684-1)</x:f>
        <x:v>#NAME?</x:v>
      </x:c>
      <x:c r="D685" s="152" t="e">
        <x:f>IF(B685="","",B685/MAX(B$5:B685)-1)</x:f>
        <x:v>#NAME?</x:v>
      </x:c>
      <x:c r="E685" s="146" t="e">
        <x:f>IF(OR('实盘净值数据(iFinD公式)'!$A685="",'实盘净值数据(iFinD公式)'!$B685=""),"",分期持仓明细!$AD$18*SUMPRODUCT(分期持仓明细!$B$18:$AA$18,'实盘净值数据(iFinD公式)'!$B685:$AA685/'实盘净值数据(iFinD公式)'!$B$20:$AA$20)*(1-实盘持仓初始配置!$Z$5)^(('实盘净值数据(iFinD公式)'!$A685-'实盘净值数据(iFinD公式)'!$A$5)/365))</x:f>
        <x:v>#NAME?</x:v>
      </x:c>
      <x:c r="F685" s="152" t="e">
        <x:f>IF(OR(E684="",E685=""),"",E685/E684-1)</x:f>
        <x:v>#NAME?</x:v>
      </x:c>
      <x:c r="G685" s="152" t="e">
        <x:f>IF(E685="","",E685/MAX(E$5:E685)-1)</x:f>
        <x:v>#NAME?</x:v>
      </x:c>
      <x:c r="H685" s="146" t="e">
        <x:f>IF(OR('实盘净值数据(iFinD公式)'!$A685="",'实盘净值数据(iFinD公式)'!$B685=""),"",分期持仓明细!$AD$19*SUMPRODUCT(分期持仓明细!$B$19:$AA$19,'实盘净值数据(iFinD公式)'!$B685:$AA685/'实盘净值数据(iFinD公式)'!$B$20:$AA$20)*(1-实盘持仓初始配置!$Z$6)^(('实盘净值数据(iFinD公式)'!$A685-'实盘净值数据(iFinD公式)'!$A$7)/365))</x:f>
        <x:v>#NAME?</x:v>
      </x:c>
      <x:c r="I685" s="152" t="e">
        <x:f>IF(OR(H684="",H685=""),"",H685/H684-1)</x:f>
        <x:v>#NAME?</x:v>
      </x:c>
      <x:c r="J685" s="152" t="e">
        <x:f>IF(H685="","",H685/MAX(H$5:H685)-1)</x:f>
        <x:v>#NAME?</x:v>
      </x:c>
      <x:c r="K685" s="146" t="e">
        <x:f>IF(OR('实盘净值数据(iFinD公式)'!$A685="",'实盘净值数据(iFinD公式)'!$B685=""),"",分期持仓明细!$AD$23*SUMPRODUCT(分期持仓明细!$B$23:$AA$23,'实盘净值数据(iFinD公式)'!$B685:$AA685/'实盘净值数据(iFinD公式)'!$B$65:$AA$65)*(1-实盘持仓初始配置!$Z$7)^(('实盘净值数据(iFinD公式)'!$A685-'实盘净值数据(iFinD公式)'!$A$8)/365))</x:f>
        <x:v>#NAME?</x:v>
      </x:c>
      <x:c r="L685" s="152" t="e">
        <x:f>IF(OR(K684="",K685=""),"",K685/K684-1)</x:f>
        <x:v>#NAME?</x:v>
      </x:c>
      <x:c r="M685" s="152" t="e">
        <x:f>IF(K685="","",K685/MAX(K$5:K685)-1)</x:f>
        <x:v>#NAME?</x:v>
      </x:c>
      <x:c r="N685" s="146" t="e">
        <x:f>IF(OR('实盘净值数据(iFinD公式)'!$A685="",'实盘净值数据(iFinD公式)'!$B685=""),"",分期持仓明细!$AD$24*SUMPRODUCT(分期持仓明细!$B$24:$AA$24,'实盘净值数据(iFinD公式)'!$B685:$AA685/'实盘净值数据(iFinD公式)'!$B$65:$AA$65)*(1-实盘持仓初始配置!$Z$8)^(('实盘净值数据(iFinD公式)'!$A685-'实盘净值数据(iFinD公式)'!$A$5)/365))</x:f>
        <x:v>#NAME?</x:v>
      </x:c>
      <x:c r="O685" s="152" t="e">
        <x:f>IF(OR(N684="",N685=""),"",N685/N684-1)</x:f>
        <x:v>#NAME?</x:v>
      </x:c>
      <x:c r="P685" s="152" t="e">
        <x:f>IF(N685="","",N685/MAX(N$5:N685)-1)</x:f>
        <x:v>#NAME?</x:v>
      </x:c>
      <x:c r="Q685" s="146" t="e">
        <x:f>IF(OR('实盘净值数据(iFinD公式)'!$A685="",'实盘净值数据(iFinD公式)'!$B685=""),"",分期持仓明细!$AD$25*SUMPRODUCT(分期持仓明细!$B$25:$AA$25,'实盘净值数据(iFinD公式)'!$B685:$AA685/'实盘净值数据(iFinD公式)'!$B$65:$AA$65)*(1-实盘持仓初始配置!$Z$9)^(('实盘净值数据(iFinD公式)'!$A685-'实盘净值数据(iFinD公式)'!$A$8)/365))</x:f>
        <x:v>#NAME?</x:v>
      </x:c>
      <x:c r="R685" s="152" t="e">
        <x:f>IF(OR(Q684="",Q685=""),"",Q685/Q684-1)</x:f>
        <x:v>#NAME?</x:v>
      </x:c>
      <x:c r="S685" s="152" t="e">
        <x:f>IF(Q685="","",Q685/MAX(Q$5:Q685)-1)</x:f>
        <x:v>#NAME?</x:v>
      </x:c>
    </x:row>
    <x:row r="686">
      <x:c r="A686" s="149" t="str">
        <x:f>IF('实盘净值数据(iFinD公式)'!A686="","",'实盘净值数据(iFinD公式)'!A686)</x:f>
      </x:c>
      <x:c r="B686" s="146" t="e">
        <x:f>IF(OR('实盘净值数据(iFinD公式)'!$A686="",'实盘净值数据(iFinD公式)'!$B686=""),"",分期持仓明细!$AD$17*SUMPRODUCT(分期持仓明细!$B$17:$AA$17,'实盘净值数据(iFinD公式)'!$B686:$AA686/'实盘净值数据(iFinD公式)'!$B$20:$AA$20)*(1-实盘持仓初始配置!$Z$4)^(('实盘净值数据(iFinD公式)'!$A686-'实盘净值数据(iFinD公式)'!$A$6)/365))</x:f>
        <x:v>#NAME?</x:v>
      </x:c>
      <x:c r="C686" s="152" t="e">
        <x:f>IF(OR(B685="",B686=""),"",B686/B685-1)</x:f>
        <x:v>#NAME?</x:v>
      </x:c>
      <x:c r="D686" s="152" t="e">
        <x:f>IF(B686="","",B686/MAX(B$5:B686)-1)</x:f>
        <x:v>#NAME?</x:v>
      </x:c>
      <x:c r="E686" s="146" t="e">
        <x:f>IF(OR('实盘净值数据(iFinD公式)'!$A686="",'实盘净值数据(iFinD公式)'!$B686=""),"",分期持仓明细!$AD$18*SUMPRODUCT(分期持仓明细!$B$18:$AA$18,'实盘净值数据(iFinD公式)'!$B686:$AA686/'实盘净值数据(iFinD公式)'!$B$20:$AA$20)*(1-实盘持仓初始配置!$Z$5)^(('实盘净值数据(iFinD公式)'!$A686-'实盘净值数据(iFinD公式)'!$A$5)/365))</x:f>
        <x:v>#NAME?</x:v>
      </x:c>
      <x:c r="F686" s="152" t="e">
        <x:f>IF(OR(E685="",E686=""),"",E686/E685-1)</x:f>
        <x:v>#NAME?</x:v>
      </x:c>
      <x:c r="G686" s="152" t="e">
        <x:f>IF(E686="","",E686/MAX(E$5:E686)-1)</x:f>
        <x:v>#NAME?</x:v>
      </x:c>
      <x:c r="H686" s="146" t="e">
        <x:f>IF(OR('实盘净值数据(iFinD公式)'!$A686="",'实盘净值数据(iFinD公式)'!$B686=""),"",分期持仓明细!$AD$19*SUMPRODUCT(分期持仓明细!$B$19:$AA$19,'实盘净值数据(iFinD公式)'!$B686:$AA686/'实盘净值数据(iFinD公式)'!$B$20:$AA$20)*(1-实盘持仓初始配置!$Z$6)^(('实盘净值数据(iFinD公式)'!$A686-'实盘净值数据(iFinD公式)'!$A$7)/365))</x:f>
        <x:v>#NAME?</x:v>
      </x:c>
      <x:c r="I686" s="152" t="e">
        <x:f>IF(OR(H685="",H686=""),"",H686/H685-1)</x:f>
        <x:v>#NAME?</x:v>
      </x:c>
      <x:c r="J686" s="152" t="e">
        <x:f>IF(H686="","",H686/MAX(H$5:H686)-1)</x:f>
        <x:v>#NAME?</x:v>
      </x:c>
      <x:c r="K686" s="146" t="e">
        <x:f>IF(OR('实盘净值数据(iFinD公式)'!$A686="",'实盘净值数据(iFinD公式)'!$B686=""),"",分期持仓明细!$AD$23*SUMPRODUCT(分期持仓明细!$B$23:$AA$23,'实盘净值数据(iFinD公式)'!$B686:$AA686/'实盘净值数据(iFinD公式)'!$B$65:$AA$65)*(1-实盘持仓初始配置!$Z$7)^(('实盘净值数据(iFinD公式)'!$A686-'实盘净值数据(iFinD公式)'!$A$8)/365))</x:f>
        <x:v>#NAME?</x:v>
      </x:c>
      <x:c r="L686" s="152" t="e">
        <x:f>IF(OR(K685="",K686=""),"",K686/K685-1)</x:f>
        <x:v>#NAME?</x:v>
      </x:c>
      <x:c r="M686" s="152" t="e">
        <x:f>IF(K686="","",K686/MAX(K$5:K686)-1)</x:f>
        <x:v>#NAME?</x:v>
      </x:c>
      <x:c r="N686" s="146" t="e">
        <x:f>IF(OR('实盘净值数据(iFinD公式)'!$A686="",'实盘净值数据(iFinD公式)'!$B686=""),"",分期持仓明细!$AD$24*SUMPRODUCT(分期持仓明细!$B$24:$AA$24,'实盘净值数据(iFinD公式)'!$B686:$AA686/'实盘净值数据(iFinD公式)'!$B$65:$AA$65)*(1-实盘持仓初始配置!$Z$8)^(('实盘净值数据(iFinD公式)'!$A686-'实盘净值数据(iFinD公式)'!$A$5)/365))</x:f>
        <x:v>#NAME?</x:v>
      </x:c>
      <x:c r="O686" s="152" t="e">
        <x:f>IF(OR(N685="",N686=""),"",N686/N685-1)</x:f>
        <x:v>#NAME?</x:v>
      </x:c>
      <x:c r="P686" s="152" t="e">
        <x:f>IF(N686="","",N686/MAX(N$5:N686)-1)</x:f>
        <x:v>#NAME?</x:v>
      </x:c>
      <x:c r="Q686" s="146" t="e">
        <x:f>IF(OR('实盘净值数据(iFinD公式)'!$A686="",'实盘净值数据(iFinD公式)'!$B686=""),"",分期持仓明细!$AD$25*SUMPRODUCT(分期持仓明细!$B$25:$AA$25,'实盘净值数据(iFinD公式)'!$B686:$AA686/'实盘净值数据(iFinD公式)'!$B$65:$AA$65)*(1-实盘持仓初始配置!$Z$9)^(('实盘净值数据(iFinD公式)'!$A686-'实盘净值数据(iFinD公式)'!$A$8)/365))</x:f>
        <x:v>#NAME?</x:v>
      </x:c>
      <x:c r="R686" s="152" t="e">
        <x:f>IF(OR(Q685="",Q686=""),"",Q686/Q685-1)</x:f>
        <x:v>#NAME?</x:v>
      </x:c>
      <x:c r="S686" s="152" t="e">
        <x:f>IF(Q686="","",Q686/MAX(Q$5:Q686)-1)</x:f>
        <x:v>#NAME?</x:v>
      </x:c>
    </x:row>
    <x:row r="687">
      <x:c r="A687" s="149" t="str">
        <x:f>IF('实盘净值数据(iFinD公式)'!A687="","",'实盘净值数据(iFinD公式)'!A687)</x:f>
      </x:c>
      <x:c r="B687" s="146" t="e">
        <x:f>IF(OR('实盘净值数据(iFinD公式)'!$A687="",'实盘净值数据(iFinD公式)'!$B687=""),"",分期持仓明细!$AD$17*SUMPRODUCT(分期持仓明细!$B$17:$AA$17,'实盘净值数据(iFinD公式)'!$B687:$AA687/'实盘净值数据(iFinD公式)'!$B$20:$AA$20)*(1-实盘持仓初始配置!$Z$4)^(('实盘净值数据(iFinD公式)'!$A687-'实盘净值数据(iFinD公式)'!$A$6)/365))</x:f>
        <x:v>#NAME?</x:v>
      </x:c>
      <x:c r="C687" s="152" t="e">
        <x:f>IF(OR(B686="",B687=""),"",B687/B686-1)</x:f>
        <x:v>#NAME?</x:v>
      </x:c>
      <x:c r="D687" s="152" t="e">
        <x:f>IF(B687="","",B687/MAX(B$5:B687)-1)</x:f>
        <x:v>#NAME?</x:v>
      </x:c>
      <x:c r="E687" s="146" t="e">
        <x:f>IF(OR('实盘净值数据(iFinD公式)'!$A687="",'实盘净值数据(iFinD公式)'!$B687=""),"",分期持仓明细!$AD$18*SUMPRODUCT(分期持仓明细!$B$18:$AA$18,'实盘净值数据(iFinD公式)'!$B687:$AA687/'实盘净值数据(iFinD公式)'!$B$20:$AA$20)*(1-实盘持仓初始配置!$Z$5)^(('实盘净值数据(iFinD公式)'!$A687-'实盘净值数据(iFinD公式)'!$A$5)/365))</x:f>
        <x:v>#NAME?</x:v>
      </x:c>
      <x:c r="F687" s="152" t="e">
        <x:f>IF(OR(E686="",E687=""),"",E687/E686-1)</x:f>
        <x:v>#NAME?</x:v>
      </x:c>
      <x:c r="G687" s="152" t="e">
        <x:f>IF(E687="","",E687/MAX(E$5:E687)-1)</x:f>
        <x:v>#NAME?</x:v>
      </x:c>
      <x:c r="H687" s="146" t="e">
        <x:f>IF(OR('实盘净值数据(iFinD公式)'!$A687="",'实盘净值数据(iFinD公式)'!$B687=""),"",分期持仓明细!$AD$19*SUMPRODUCT(分期持仓明细!$B$19:$AA$19,'实盘净值数据(iFinD公式)'!$B687:$AA687/'实盘净值数据(iFinD公式)'!$B$20:$AA$20)*(1-实盘持仓初始配置!$Z$6)^(('实盘净值数据(iFinD公式)'!$A687-'实盘净值数据(iFinD公式)'!$A$7)/365))</x:f>
        <x:v>#NAME?</x:v>
      </x:c>
      <x:c r="I687" s="152" t="e">
        <x:f>IF(OR(H686="",H687=""),"",H687/H686-1)</x:f>
        <x:v>#NAME?</x:v>
      </x:c>
      <x:c r="J687" s="152" t="e">
        <x:f>IF(H687="","",H687/MAX(H$5:H687)-1)</x:f>
        <x:v>#NAME?</x:v>
      </x:c>
      <x:c r="K687" s="146" t="e">
        <x:f>IF(OR('实盘净值数据(iFinD公式)'!$A687="",'实盘净值数据(iFinD公式)'!$B687=""),"",分期持仓明细!$AD$23*SUMPRODUCT(分期持仓明细!$B$23:$AA$23,'实盘净值数据(iFinD公式)'!$B687:$AA687/'实盘净值数据(iFinD公式)'!$B$65:$AA$65)*(1-实盘持仓初始配置!$Z$7)^(('实盘净值数据(iFinD公式)'!$A687-'实盘净值数据(iFinD公式)'!$A$8)/365))</x:f>
        <x:v>#NAME?</x:v>
      </x:c>
      <x:c r="L687" s="152" t="e">
        <x:f>IF(OR(K686="",K687=""),"",K687/K686-1)</x:f>
        <x:v>#NAME?</x:v>
      </x:c>
      <x:c r="M687" s="152" t="e">
        <x:f>IF(K687="","",K687/MAX(K$5:K687)-1)</x:f>
        <x:v>#NAME?</x:v>
      </x:c>
      <x:c r="N687" s="146" t="e">
        <x:f>IF(OR('实盘净值数据(iFinD公式)'!$A687="",'实盘净值数据(iFinD公式)'!$B687=""),"",分期持仓明细!$AD$24*SUMPRODUCT(分期持仓明细!$B$24:$AA$24,'实盘净值数据(iFinD公式)'!$B687:$AA687/'实盘净值数据(iFinD公式)'!$B$65:$AA$65)*(1-实盘持仓初始配置!$Z$8)^(('实盘净值数据(iFinD公式)'!$A687-'实盘净值数据(iFinD公式)'!$A$5)/365))</x:f>
        <x:v>#NAME?</x:v>
      </x:c>
      <x:c r="O687" s="152" t="e">
        <x:f>IF(OR(N686="",N687=""),"",N687/N686-1)</x:f>
        <x:v>#NAME?</x:v>
      </x:c>
      <x:c r="P687" s="152" t="e">
        <x:f>IF(N687="","",N687/MAX(N$5:N687)-1)</x:f>
        <x:v>#NAME?</x:v>
      </x:c>
      <x:c r="Q687" s="146" t="e">
        <x:f>IF(OR('实盘净值数据(iFinD公式)'!$A687="",'实盘净值数据(iFinD公式)'!$B687=""),"",分期持仓明细!$AD$25*SUMPRODUCT(分期持仓明细!$B$25:$AA$25,'实盘净值数据(iFinD公式)'!$B687:$AA687/'实盘净值数据(iFinD公式)'!$B$65:$AA$65)*(1-实盘持仓初始配置!$Z$9)^(('实盘净值数据(iFinD公式)'!$A687-'实盘净值数据(iFinD公式)'!$A$8)/365))</x:f>
        <x:v>#NAME?</x:v>
      </x:c>
      <x:c r="R687" s="152" t="e">
        <x:f>IF(OR(Q686="",Q687=""),"",Q687/Q686-1)</x:f>
        <x:v>#NAME?</x:v>
      </x:c>
      <x:c r="S687" s="152" t="e">
        <x:f>IF(Q687="","",Q687/MAX(Q$5:Q687)-1)</x:f>
        <x:v>#NAME?</x:v>
      </x:c>
    </x:row>
    <x:row r="688">
      <x:c r="A688" s="149" t="str">
        <x:f>IF('实盘净值数据(iFinD公式)'!A688="","",'实盘净值数据(iFinD公式)'!A688)</x:f>
      </x:c>
      <x:c r="B688" s="146" t="e">
        <x:f>IF(OR('实盘净值数据(iFinD公式)'!$A688="",'实盘净值数据(iFinD公式)'!$B688=""),"",分期持仓明细!$AD$17*SUMPRODUCT(分期持仓明细!$B$17:$AA$17,'实盘净值数据(iFinD公式)'!$B688:$AA688/'实盘净值数据(iFinD公式)'!$B$20:$AA$20)*(1-实盘持仓初始配置!$Z$4)^(('实盘净值数据(iFinD公式)'!$A688-'实盘净值数据(iFinD公式)'!$A$6)/365))</x:f>
        <x:v>#NAME?</x:v>
      </x:c>
      <x:c r="C688" s="152" t="e">
        <x:f>IF(OR(B687="",B688=""),"",B688/B687-1)</x:f>
        <x:v>#NAME?</x:v>
      </x:c>
      <x:c r="D688" s="152" t="e">
        <x:f>IF(B688="","",B688/MAX(B$5:B688)-1)</x:f>
        <x:v>#NAME?</x:v>
      </x:c>
      <x:c r="E688" s="146" t="e">
        <x:f>IF(OR('实盘净值数据(iFinD公式)'!$A688="",'实盘净值数据(iFinD公式)'!$B688=""),"",分期持仓明细!$AD$18*SUMPRODUCT(分期持仓明细!$B$18:$AA$18,'实盘净值数据(iFinD公式)'!$B688:$AA688/'实盘净值数据(iFinD公式)'!$B$20:$AA$20)*(1-实盘持仓初始配置!$Z$5)^(('实盘净值数据(iFinD公式)'!$A688-'实盘净值数据(iFinD公式)'!$A$5)/365))</x:f>
        <x:v>#NAME?</x:v>
      </x:c>
      <x:c r="F688" s="152" t="e">
        <x:f>IF(OR(E687="",E688=""),"",E688/E687-1)</x:f>
        <x:v>#NAME?</x:v>
      </x:c>
      <x:c r="G688" s="152" t="e">
        <x:f>IF(E688="","",E688/MAX(E$5:E688)-1)</x:f>
        <x:v>#NAME?</x:v>
      </x:c>
      <x:c r="H688" s="146" t="e">
        <x:f>IF(OR('实盘净值数据(iFinD公式)'!$A688="",'实盘净值数据(iFinD公式)'!$B688=""),"",分期持仓明细!$AD$19*SUMPRODUCT(分期持仓明细!$B$19:$AA$19,'实盘净值数据(iFinD公式)'!$B688:$AA688/'实盘净值数据(iFinD公式)'!$B$20:$AA$20)*(1-实盘持仓初始配置!$Z$6)^(('实盘净值数据(iFinD公式)'!$A688-'实盘净值数据(iFinD公式)'!$A$7)/365))</x:f>
        <x:v>#NAME?</x:v>
      </x:c>
      <x:c r="I688" s="152" t="e">
        <x:f>IF(OR(H687="",H688=""),"",H688/H687-1)</x:f>
        <x:v>#NAME?</x:v>
      </x:c>
      <x:c r="J688" s="152" t="e">
        <x:f>IF(H688="","",H688/MAX(H$5:H688)-1)</x:f>
        <x:v>#NAME?</x:v>
      </x:c>
      <x:c r="K688" s="146" t="e">
        <x:f>IF(OR('实盘净值数据(iFinD公式)'!$A688="",'实盘净值数据(iFinD公式)'!$B688=""),"",分期持仓明细!$AD$23*SUMPRODUCT(分期持仓明细!$B$23:$AA$23,'实盘净值数据(iFinD公式)'!$B688:$AA688/'实盘净值数据(iFinD公式)'!$B$65:$AA$65)*(1-实盘持仓初始配置!$Z$7)^(('实盘净值数据(iFinD公式)'!$A688-'实盘净值数据(iFinD公式)'!$A$8)/365))</x:f>
        <x:v>#NAME?</x:v>
      </x:c>
      <x:c r="L688" s="152" t="e">
        <x:f>IF(OR(K687="",K688=""),"",K688/K687-1)</x:f>
        <x:v>#NAME?</x:v>
      </x:c>
      <x:c r="M688" s="152" t="e">
        <x:f>IF(K688="","",K688/MAX(K$5:K688)-1)</x:f>
        <x:v>#NAME?</x:v>
      </x:c>
      <x:c r="N688" s="146" t="e">
        <x:f>IF(OR('实盘净值数据(iFinD公式)'!$A688="",'实盘净值数据(iFinD公式)'!$B688=""),"",分期持仓明细!$AD$24*SUMPRODUCT(分期持仓明细!$B$24:$AA$24,'实盘净值数据(iFinD公式)'!$B688:$AA688/'实盘净值数据(iFinD公式)'!$B$65:$AA$65)*(1-实盘持仓初始配置!$Z$8)^(('实盘净值数据(iFinD公式)'!$A688-'实盘净值数据(iFinD公式)'!$A$5)/365))</x:f>
        <x:v>#NAME?</x:v>
      </x:c>
      <x:c r="O688" s="152" t="e">
        <x:f>IF(OR(N687="",N688=""),"",N688/N687-1)</x:f>
        <x:v>#NAME?</x:v>
      </x:c>
      <x:c r="P688" s="152" t="e">
        <x:f>IF(N688="","",N688/MAX(N$5:N688)-1)</x:f>
        <x:v>#NAME?</x:v>
      </x:c>
      <x:c r="Q688" s="146" t="e">
        <x:f>IF(OR('实盘净值数据(iFinD公式)'!$A688="",'实盘净值数据(iFinD公式)'!$B688=""),"",分期持仓明细!$AD$25*SUMPRODUCT(分期持仓明细!$B$25:$AA$25,'实盘净值数据(iFinD公式)'!$B688:$AA688/'实盘净值数据(iFinD公式)'!$B$65:$AA$65)*(1-实盘持仓初始配置!$Z$9)^(('实盘净值数据(iFinD公式)'!$A688-'实盘净值数据(iFinD公式)'!$A$8)/365))</x:f>
        <x:v>#NAME?</x:v>
      </x:c>
      <x:c r="R688" s="152" t="e">
        <x:f>IF(OR(Q687="",Q688=""),"",Q688/Q687-1)</x:f>
        <x:v>#NAME?</x:v>
      </x:c>
      <x:c r="S688" s="152" t="e">
        <x:f>IF(Q688="","",Q688/MAX(Q$5:Q688)-1)</x:f>
        <x:v>#NAME?</x:v>
      </x:c>
    </x:row>
    <x:row r="689">
      <x:c r="A689" s="149" t="str">
        <x:f>IF('实盘净值数据(iFinD公式)'!A689="","",'实盘净值数据(iFinD公式)'!A689)</x:f>
      </x:c>
      <x:c r="B689" s="146" t="e">
        <x:f>IF(OR('实盘净值数据(iFinD公式)'!$A689="",'实盘净值数据(iFinD公式)'!$B689=""),"",分期持仓明细!$AD$17*SUMPRODUCT(分期持仓明细!$B$17:$AA$17,'实盘净值数据(iFinD公式)'!$B689:$AA689/'实盘净值数据(iFinD公式)'!$B$20:$AA$20)*(1-实盘持仓初始配置!$Z$4)^(('实盘净值数据(iFinD公式)'!$A689-'实盘净值数据(iFinD公式)'!$A$6)/365))</x:f>
        <x:v>#NAME?</x:v>
      </x:c>
      <x:c r="C689" s="152" t="e">
        <x:f>IF(OR(B688="",B689=""),"",B689/B688-1)</x:f>
        <x:v>#NAME?</x:v>
      </x:c>
      <x:c r="D689" s="152" t="e">
        <x:f>IF(B689="","",B689/MAX(B$5:B689)-1)</x:f>
        <x:v>#NAME?</x:v>
      </x:c>
      <x:c r="E689" s="146" t="e">
        <x:f>IF(OR('实盘净值数据(iFinD公式)'!$A689="",'实盘净值数据(iFinD公式)'!$B689=""),"",分期持仓明细!$AD$18*SUMPRODUCT(分期持仓明细!$B$18:$AA$18,'实盘净值数据(iFinD公式)'!$B689:$AA689/'实盘净值数据(iFinD公式)'!$B$20:$AA$20)*(1-实盘持仓初始配置!$Z$5)^(('实盘净值数据(iFinD公式)'!$A689-'实盘净值数据(iFinD公式)'!$A$5)/365))</x:f>
        <x:v>#NAME?</x:v>
      </x:c>
      <x:c r="F689" s="152" t="e">
        <x:f>IF(OR(E688="",E689=""),"",E689/E688-1)</x:f>
        <x:v>#NAME?</x:v>
      </x:c>
      <x:c r="G689" s="152" t="e">
        <x:f>IF(E689="","",E689/MAX(E$5:E689)-1)</x:f>
        <x:v>#NAME?</x:v>
      </x:c>
      <x:c r="H689" s="146" t="e">
        <x:f>IF(OR('实盘净值数据(iFinD公式)'!$A689="",'实盘净值数据(iFinD公式)'!$B689=""),"",分期持仓明细!$AD$19*SUMPRODUCT(分期持仓明细!$B$19:$AA$19,'实盘净值数据(iFinD公式)'!$B689:$AA689/'实盘净值数据(iFinD公式)'!$B$20:$AA$20)*(1-实盘持仓初始配置!$Z$6)^(('实盘净值数据(iFinD公式)'!$A689-'实盘净值数据(iFinD公式)'!$A$7)/365))</x:f>
        <x:v>#NAME?</x:v>
      </x:c>
      <x:c r="I689" s="152" t="e">
        <x:f>IF(OR(H688="",H689=""),"",H689/H688-1)</x:f>
        <x:v>#NAME?</x:v>
      </x:c>
      <x:c r="J689" s="152" t="e">
        <x:f>IF(H689="","",H689/MAX(H$5:H689)-1)</x:f>
        <x:v>#NAME?</x:v>
      </x:c>
      <x:c r="K689" s="146" t="e">
        <x:f>IF(OR('实盘净值数据(iFinD公式)'!$A689="",'实盘净值数据(iFinD公式)'!$B689=""),"",分期持仓明细!$AD$23*SUMPRODUCT(分期持仓明细!$B$23:$AA$23,'实盘净值数据(iFinD公式)'!$B689:$AA689/'实盘净值数据(iFinD公式)'!$B$65:$AA$65)*(1-实盘持仓初始配置!$Z$7)^(('实盘净值数据(iFinD公式)'!$A689-'实盘净值数据(iFinD公式)'!$A$8)/365))</x:f>
        <x:v>#NAME?</x:v>
      </x:c>
      <x:c r="L689" s="152" t="e">
        <x:f>IF(OR(K688="",K689=""),"",K689/K688-1)</x:f>
        <x:v>#NAME?</x:v>
      </x:c>
      <x:c r="M689" s="152" t="e">
        <x:f>IF(K689="","",K689/MAX(K$5:K689)-1)</x:f>
        <x:v>#NAME?</x:v>
      </x:c>
      <x:c r="N689" s="146" t="e">
        <x:f>IF(OR('实盘净值数据(iFinD公式)'!$A689="",'实盘净值数据(iFinD公式)'!$B689=""),"",分期持仓明细!$AD$24*SUMPRODUCT(分期持仓明细!$B$24:$AA$24,'实盘净值数据(iFinD公式)'!$B689:$AA689/'实盘净值数据(iFinD公式)'!$B$65:$AA$65)*(1-实盘持仓初始配置!$Z$8)^(('实盘净值数据(iFinD公式)'!$A689-'实盘净值数据(iFinD公式)'!$A$5)/365))</x:f>
        <x:v>#NAME?</x:v>
      </x:c>
      <x:c r="O689" s="152" t="e">
        <x:f>IF(OR(N688="",N689=""),"",N689/N688-1)</x:f>
        <x:v>#NAME?</x:v>
      </x:c>
      <x:c r="P689" s="152" t="e">
        <x:f>IF(N689="","",N689/MAX(N$5:N689)-1)</x:f>
        <x:v>#NAME?</x:v>
      </x:c>
      <x:c r="Q689" s="146" t="e">
        <x:f>IF(OR('实盘净值数据(iFinD公式)'!$A689="",'实盘净值数据(iFinD公式)'!$B689=""),"",分期持仓明细!$AD$25*SUMPRODUCT(分期持仓明细!$B$25:$AA$25,'实盘净值数据(iFinD公式)'!$B689:$AA689/'实盘净值数据(iFinD公式)'!$B$65:$AA$65)*(1-实盘持仓初始配置!$Z$9)^(('实盘净值数据(iFinD公式)'!$A689-'实盘净值数据(iFinD公式)'!$A$8)/365))</x:f>
        <x:v>#NAME?</x:v>
      </x:c>
      <x:c r="R689" s="152" t="e">
        <x:f>IF(OR(Q688="",Q689=""),"",Q689/Q688-1)</x:f>
        <x:v>#NAME?</x:v>
      </x:c>
      <x:c r="S689" s="152" t="e">
        <x:f>IF(Q689="","",Q689/MAX(Q$5:Q689)-1)</x:f>
        <x:v>#NAME?</x:v>
      </x:c>
    </x:row>
    <x:row r="690">
      <x:c r="A690" s="149" t="str">
        <x:f>IF('实盘净值数据(iFinD公式)'!A690="","",'实盘净值数据(iFinD公式)'!A690)</x:f>
      </x:c>
      <x:c r="B690" s="146" t="e">
        <x:f>IF(OR('实盘净值数据(iFinD公式)'!$A690="",'实盘净值数据(iFinD公式)'!$B690=""),"",分期持仓明细!$AD$17*SUMPRODUCT(分期持仓明细!$B$17:$AA$17,'实盘净值数据(iFinD公式)'!$B690:$AA690/'实盘净值数据(iFinD公式)'!$B$20:$AA$20)*(1-实盘持仓初始配置!$Z$4)^(('实盘净值数据(iFinD公式)'!$A690-'实盘净值数据(iFinD公式)'!$A$6)/365))</x:f>
        <x:v>#NAME?</x:v>
      </x:c>
      <x:c r="C690" s="152" t="e">
        <x:f>IF(OR(B689="",B690=""),"",B690/B689-1)</x:f>
        <x:v>#NAME?</x:v>
      </x:c>
      <x:c r="D690" s="152" t="e">
        <x:f>IF(B690="","",B690/MAX(B$5:B690)-1)</x:f>
        <x:v>#NAME?</x:v>
      </x:c>
      <x:c r="E690" s="146" t="e">
        <x:f>IF(OR('实盘净值数据(iFinD公式)'!$A690="",'实盘净值数据(iFinD公式)'!$B690=""),"",分期持仓明细!$AD$18*SUMPRODUCT(分期持仓明细!$B$18:$AA$18,'实盘净值数据(iFinD公式)'!$B690:$AA690/'实盘净值数据(iFinD公式)'!$B$20:$AA$20)*(1-实盘持仓初始配置!$Z$5)^(('实盘净值数据(iFinD公式)'!$A690-'实盘净值数据(iFinD公式)'!$A$5)/365))</x:f>
        <x:v>#NAME?</x:v>
      </x:c>
      <x:c r="F690" s="152" t="e">
        <x:f>IF(OR(E689="",E690=""),"",E690/E689-1)</x:f>
        <x:v>#NAME?</x:v>
      </x:c>
      <x:c r="G690" s="152" t="e">
        <x:f>IF(E690="","",E690/MAX(E$5:E690)-1)</x:f>
        <x:v>#NAME?</x:v>
      </x:c>
      <x:c r="H690" s="146" t="e">
        <x:f>IF(OR('实盘净值数据(iFinD公式)'!$A690="",'实盘净值数据(iFinD公式)'!$B690=""),"",分期持仓明细!$AD$19*SUMPRODUCT(分期持仓明细!$B$19:$AA$19,'实盘净值数据(iFinD公式)'!$B690:$AA690/'实盘净值数据(iFinD公式)'!$B$20:$AA$20)*(1-实盘持仓初始配置!$Z$6)^(('实盘净值数据(iFinD公式)'!$A690-'实盘净值数据(iFinD公式)'!$A$7)/365))</x:f>
        <x:v>#NAME?</x:v>
      </x:c>
      <x:c r="I690" s="152" t="e">
        <x:f>IF(OR(H689="",H690=""),"",H690/H689-1)</x:f>
        <x:v>#NAME?</x:v>
      </x:c>
      <x:c r="J690" s="152" t="e">
        <x:f>IF(H690="","",H690/MAX(H$5:H690)-1)</x:f>
        <x:v>#NAME?</x:v>
      </x:c>
      <x:c r="K690" s="146" t="e">
        <x:f>IF(OR('实盘净值数据(iFinD公式)'!$A690="",'实盘净值数据(iFinD公式)'!$B690=""),"",分期持仓明细!$AD$23*SUMPRODUCT(分期持仓明细!$B$23:$AA$23,'实盘净值数据(iFinD公式)'!$B690:$AA690/'实盘净值数据(iFinD公式)'!$B$65:$AA$65)*(1-实盘持仓初始配置!$Z$7)^(('实盘净值数据(iFinD公式)'!$A690-'实盘净值数据(iFinD公式)'!$A$8)/365))</x:f>
        <x:v>#NAME?</x:v>
      </x:c>
      <x:c r="L690" s="152" t="e">
        <x:f>IF(OR(K689="",K690=""),"",K690/K689-1)</x:f>
        <x:v>#NAME?</x:v>
      </x:c>
      <x:c r="M690" s="152" t="e">
        <x:f>IF(K690="","",K690/MAX(K$5:K690)-1)</x:f>
        <x:v>#NAME?</x:v>
      </x:c>
      <x:c r="N690" s="146" t="e">
        <x:f>IF(OR('实盘净值数据(iFinD公式)'!$A690="",'实盘净值数据(iFinD公式)'!$B690=""),"",分期持仓明细!$AD$24*SUMPRODUCT(分期持仓明细!$B$24:$AA$24,'实盘净值数据(iFinD公式)'!$B690:$AA690/'实盘净值数据(iFinD公式)'!$B$65:$AA$65)*(1-实盘持仓初始配置!$Z$8)^(('实盘净值数据(iFinD公式)'!$A690-'实盘净值数据(iFinD公式)'!$A$5)/365))</x:f>
        <x:v>#NAME?</x:v>
      </x:c>
      <x:c r="O690" s="152" t="e">
        <x:f>IF(OR(N689="",N690=""),"",N690/N689-1)</x:f>
        <x:v>#NAME?</x:v>
      </x:c>
      <x:c r="P690" s="152" t="e">
        <x:f>IF(N690="","",N690/MAX(N$5:N690)-1)</x:f>
        <x:v>#NAME?</x:v>
      </x:c>
      <x:c r="Q690" s="146" t="e">
        <x:f>IF(OR('实盘净值数据(iFinD公式)'!$A690="",'实盘净值数据(iFinD公式)'!$B690=""),"",分期持仓明细!$AD$25*SUMPRODUCT(分期持仓明细!$B$25:$AA$25,'实盘净值数据(iFinD公式)'!$B690:$AA690/'实盘净值数据(iFinD公式)'!$B$65:$AA$65)*(1-实盘持仓初始配置!$Z$9)^(('实盘净值数据(iFinD公式)'!$A690-'实盘净值数据(iFinD公式)'!$A$8)/365))</x:f>
        <x:v>#NAME?</x:v>
      </x:c>
      <x:c r="R690" s="152" t="e">
        <x:f>IF(OR(Q689="",Q690=""),"",Q690/Q689-1)</x:f>
        <x:v>#NAME?</x:v>
      </x:c>
      <x:c r="S690" s="152" t="e">
        <x:f>IF(Q690="","",Q690/MAX(Q$5:Q690)-1)</x:f>
        <x:v>#NAME?</x:v>
      </x:c>
    </x:row>
    <x:row r="691">
      <x:c r="A691" s="149" t="str">
        <x:f>IF('实盘净值数据(iFinD公式)'!A691="","",'实盘净值数据(iFinD公式)'!A691)</x:f>
      </x:c>
      <x:c r="B691" s="146" t="e">
        <x:f>IF(OR('实盘净值数据(iFinD公式)'!$A691="",'实盘净值数据(iFinD公式)'!$B691=""),"",分期持仓明细!$AD$17*SUMPRODUCT(分期持仓明细!$B$17:$AA$17,'实盘净值数据(iFinD公式)'!$B691:$AA691/'实盘净值数据(iFinD公式)'!$B$20:$AA$20)*(1-实盘持仓初始配置!$Z$4)^(('实盘净值数据(iFinD公式)'!$A691-'实盘净值数据(iFinD公式)'!$A$6)/365))</x:f>
        <x:v>#NAME?</x:v>
      </x:c>
      <x:c r="C691" s="152" t="e">
        <x:f>IF(OR(B690="",B691=""),"",B691/B690-1)</x:f>
        <x:v>#NAME?</x:v>
      </x:c>
      <x:c r="D691" s="152" t="e">
        <x:f>IF(B691="","",B691/MAX(B$5:B691)-1)</x:f>
        <x:v>#NAME?</x:v>
      </x:c>
      <x:c r="E691" s="146" t="e">
        <x:f>IF(OR('实盘净值数据(iFinD公式)'!$A691="",'实盘净值数据(iFinD公式)'!$B691=""),"",分期持仓明细!$AD$18*SUMPRODUCT(分期持仓明细!$B$18:$AA$18,'实盘净值数据(iFinD公式)'!$B691:$AA691/'实盘净值数据(iFinD公式)'!$B$20:$AA$20)*(1-实盘持仓初始配置!$Z$5)^(('实盘净值数据(iFinD公式)'!$A691-'实盘净值数据(iFinD公式)'!$A$5)/365))</x:f>
        <x:v>#NAME?</x:v>
      </x:c>
      <x:c r="F691" s="152" t="e">
        <x:f>IF(OR(E690="",E691=""),"",E691/E690-1)</x:f>
        <x:v>#NAME?</x:v>
      </x:c>
      <x:c r="G691" s="152" t="e">
        <x:f>IF(E691="","",E691/MAX(E$5:E691)-1)</x:f>
        <x:v>#NAME?</x:v>
      </x:c>
      <x:c r="H691" s="146" t="e">
        <x:f>IF(OR('实盘净值数据(iFinD公式)'!$A691="",'实盘净值数据(iFinD公式)'!$B691=""),"",分期持仓明细!$AD$19*SUMPRODUCT(分期持仓明细!$B$19:$AA$19,'实盘净值数据(iFinD公式)'!$B691:$AA691/'实盘净值数据(iFinD公式)'!$B$20:$AA$20)*(1-实盘持仓初始配置!$Z$6)^(('实盘净值数据(iFinD公式)'!$A691-'实盘净值数据(iFinD公式)'!$A$7)/365))</x:f>
        <x:v>#NAME?</x:v>
      </x:c>
      <x:c r="I691" s="152" t="e">
        <x:f>IF(OR(H690="",H691=""),"",H691/H690-1)</x:f>
        <x:v>#NAME?</x:v>
      </x:c>
      <x:c r="J691" s="152" t="e">
        <x:f>IF(H691="","",H691/MAX(H$5:H691)-1)</x:f>
        <x:v>#NAME?</x:v>
      </x:c>
      <x:c r="K691" s="146" t="e">
        <x:f>IF(OR('实盘净值数据(iFinD公式)'!$A691="",'实盘净值数据(iFinD公式)'!$B691=""),"",分期持仓明细!$AD$23*SUMPRODUCT(分期持仓明细!$B$23:$AA$23,'实盘净值数据(iFinD公式)'!$B691:$AA691/'实盘净值数据(iFinD公式)'!$B$65:$AA$65)*(1-实盘持仓初始配置!$Z$7)^(('实盘净值数据(iFinD公式)'!$A691-'实盘净值数据(iFinD公式)'!$A$8)/365))</x:f>
        <x:v>#NAME?</x:v>
      </x:c>
      <x:c r="L691" s="152" t="e">
        <x:f>IF(OR(K690="",K691=""),"",K691/K690-1)</x:f>
        <x:v>#NAME?</x:v>
      </x:c>
      <x:c r="M691" s="152" t="e">
        <x:f>IF(K691="","",K691/MAX(K$5:K691)-1)</x:f>
        <x:v>#NAME?</x:v>
      </x:c>
      <x:c r="N691" s="146" t="e">
        <x:f>IF(OR('实盘净值数据(iFinD公式)'!$A691="",'实盘净值数据(iFinD公式)'!$B691=""),"",分期持仓明细!$AD$24*SUMPRODUCT(分期持仓明细!$B$24:$AA$24,'实盘净值数据(iFinD公式)'!$B691:$AA691/'实盘净值数据(iFinD公式)'!$B$65:$AA$65)*(1-实盘持仓初始配置!$Z$8)^(('实盘净值数据(iFinD公式)'!$A691-'实盘净值数据(iFinD公式)'!$A$5)/365))</x:f>
        <x:v>#NAME?</x:v>
      </x:c>
      <x:c r="O691" s="152" t="e">
        <x:f>IF(OR(N690="",N691=""),"",N691/N690-1)</x:f>
        <x:v>#NAME?</x:v>
      </x:c>
      <x:c r="P691" s="152" t="e">
        <x:f>IF(N691="","",N691/MAX(N$5:N691)-1)</x:f>
        <x:v>#NAME?</x:v>
      </x:c>
      <x:c r="Q691" s="146" t="e">
        <x:f>IF(OR('实盘净值数据(iFinD公式)'!$A691="",'实盘净值数据(iFinD公式)'!$B691=""),"",分期持仓明细!$AD$25*SUMPRODUCT(分期持仓明细!$B$25:$AA$25,'实盘净值数据(iFinD公式)'!$B691:$AA691/'实盘净值数据(iFinD公式)'!$B$65:$AA$65)*(1-实盘持仓初始配置!$Z$9)^(('实盘净值数据(iFinD公式)'!$A691-'实盘净值数据(iFinD公式)'!$A$8)/365))</x:f>
        <x:v>#NAME?</x:v>
      </x:c>
      <x:c r="R691" s="152" t="e">
        <x:f>IF(OR(Q690="",Q691=""),"",Q691/Q690-1)</x:f>
        <x:v>#NAME?</x:v>
      </x:c>
      <x:c r="S691" s="152" t="e">
        <x:f>IF(Q691="","",Q691/MAX(Q$5:Q691)-1)</x:f>
        <x:v>#NAME?</x:v>
      </x:c>
    </x:row>
    <x:row r="692">
      <x:c r="A692" s="149" t="str">
        <x:f>IF('实盘净值数据(iFinD公式)'!A692="","",'实盘净值数据(iFinD公式)'!A692)</x:f>
      </x:c>
      <x:c r="B692" s="146" t="e">
        <x:f>IF(OR('实盘净值数据(iFinD公式)'!$A692="",'实盘净值数据(iFinD公式)'!$B692=""),"",分期持仓明细!$AD$17*SUMPRODUCT(分期持仓明细!$B$17:$AA$17,'实盘净值数据(iFinD公式)'!$B692:$AA692/'实盘净值数据(iFinD公式)'!$B$20:$AA$20)*(1-实盘持仓初始配置!$Z$4)^(('实盘净值数据(iFinD公式)'!$A692-'实盘净值数据(iFinD公式)'!$A$6)/365))</x:f>
        <x:v>#NAME?</x:v>
      </x:c>
      <x:c r="C692" s="152" t="e">
        <x:f>IF(OR(B691="",B692=""),"",B692/B691-1)</x:f>
        <x:v>#NAME?</x:v>
      </x:c>
      <x:c r="D692" s="152" t="e">
        <x:f>IF(B692="","",B692/MAX(B$5:B692)-1)</x:f>
        <x:v>#NAME?</x:v>
      </x:c>
      <x:c r="E692" s="146" t="e">
        <x:f>IF(OR('实盘净值数据(iFinD公式)'!$A692="",'实盘净值数据(iFinD公式)'!$B692=""),"",分期持仓明细!$AD$18*SUMPRODUCT(分期持仓明细!$B$18:$AA$18,'实盘净值数据(iFinD公式)'!$B692:$AA692/'实盘净值数据(iFinD公式)'!$B$20:$AA$20)*(1-实盘持仓初始配置!$Z$5)^(('实盘净值数据(iFinD公式)'!$A692-'实盘净值数据(iFinD公式)'!$A$5)/365))</x:f>
        <x:v>#NAME?</x:v>
      </x:c>
      <x:c r="F692" s="152" t="e">
        <x:f>IF(OR(E691="",E692=""),"",E692/E691-1)</x:f>
        <x:v>#NAME?</x:v>
      </x:c>
      <x:c r="G692" s="152" t="e">
        <x:f>IF(E692="","",E692/MAX(E$5:E692)-1)</x:f>
        <x:v>#NAME?</x:v>
      </x:c>
      <x:c r="H692" s="146" t="e">
        <x:f>IF(OR('实盘净值数据(iFinD公式)'!$A692="",'实盘净值数据(iFinD公式)'!$B692=""),"",分期持仓明细!$AD$19*SUMPRODUCT(分期持仓明细!$B$19:$AA$19,'实盘净值数据(iFinD公式)'!$B692:$AA692/'实盘净值数据(iFinD公式)'!$B$20:$AA$20)*(1-实盘持仓初始配置!$Z$6)^(('实盘净值数据(iFinD公式)'!$A692-'实盘净值数据(iFinD公式)'!$A$7)/365))</x:f>
        <x:v>#NAME?</x:v>
      </x:c>
      <x:c r="I692" s="152" t="e">
        <x:f>IF(OR(H691="",H692=""),"",H692/H691-1)</x:f>
        <x:v>#NAME?</x:v>
      </x:c>
      <x:c r="J692" s="152" t="e">
        <x:f>IF(H692="","",H692/MAX(H$5:H692)-1)</x:f>
        <x:v>#NAME?</x:v>
      </x:c>
      <x:c r="K692" s="146" t="e">
        <x:f>IF(OR('实盘净值数据(iFinD公式)'!$A692="",'实盘净值数据(iFinD公式)'!$B692=""),"",分期持仓明细!$AD$23*SUMPRODUCT(分期持仓明细!$B$23:$AA$23,'实盘净值数据(iFinD公式)'!$B692:$AA692/'实盘净值数据(iFinD公式)'!$B$65:$AA$65)*(1-实盘持仓初始配置!$Z$7)^(('实盘净值数据(iFinD公式)'!$A692-'实盘净值数据(iFinD公式)'!$A$8)/365))</x:f>
        <x:v>#NAME?</x:v>
      </x:c>
      <x:c r="L692" s="152" t="e">
        <x:f>IF(OR(K691="",K692=""),"",K692/K691-1)</x:f>
        <x:v>#NAME?</x:v>
      </x:c>
      <x:c r="M692" s="152" t="e">
        <x:f>IF(K692="","",K692/MAX(K$5:K692)-1)</x:f>
        <x:v>#NAME?</x:v>
      </x:c>
      <x:c r="N692" s="146" t="e">
        <x:f>IF(OR('实盘净值数据(iFinD公式)'!$A692="",'实盘净值数据(iFinD公式)'!$B692=""),"",分期持仓明细!$AD$24*SUMPRODUCT(分期持仓明细!$B$24:$AA$24,'实盘净值数据(iFinD公式)'!$B692:$AA692/'实盘净值数据(iFinD公式)'!$B$65:$AA$65)*(1-实盘持仓初始配置!$Z$8)^(('实盘净值数据(iFinD公式)'!$A692-'实盘净值数据(iFinD公式)'!$A$5)/365))</x:f>
        <x:v>#NAME?</x:v>
      </x:c>
      <x:c r="O692" s="152" t="e">
        <x:f>IF(OR(N691="",N692=""),"",N692/N691-1)</x:f>
        <x:v>#NAME?</x:v>
      </x:c>
      <x:c r="P692" s="152" t="e">
        <x:f>IF(N692="","",N692/MAX(N$5:N692)-1)</x:f>
        <x:v>#NAME?</x:v>
      </x:c>
      <x:c r="Q692" s="146" t="e">
        <x:f>IF(OR('实盘净值数据(iFinD公式)'!$A692="",'实盘净值数据(iFinD公式)'!$B692=""),"",分期持仓明细!$AD$25*SUMPRODUCT(分期持仓明细!$B$25:$AA$25,'实盘净值数据(iFinD公式)'!$B692:$AA692/'实盘净值数据(iFinD公式)'!$B$65:$AA$65)*(1-实盘持仓初始配置!$Z$9)^(('实盘净值数据(iFinD公式)'!$A692-'实盘净值数据(iFinD公式)'!$A$8)/365))</x:f>
        <x:v>#NAME?</x:v>
      </x:c>
      <x:c r="R692" s="152" t="e">
        <x:f>IF(OR(Q691="",Q692=""),"",Q692/Q691-1)</x:f>
        <x:v>#NAME?</x:v>
      </x:c>
      <x:c r="S692" s="152" t="e">
        <x:f>IF(Q692="","",Q692/MAX(Q$5:Q692)-1)</x:f>
        <x:v>#NAME?</x:v>
      </x:c>
    </x:row>
    <x:row r="693">
      <x:c r="A693" s="149" t="str">
        <x:f>IF('实盘净值数据(iFinD公式)'!A693="","",'实盘净值数据(iFinD公式)'!A693)</x:f>
      </x:c>
      <x:c r="B693" s="146" t="e">
        <x:f>IF(OR('实盘净值数据(iFinD公式)'!$A693="",'实盘净值数据(iFinD公式)'!$B693=""),"",分期持仓明细!$AD$17*SUMPRODUCT(分期持仓明细!$B$17:$AA$17,'实盘净值数据(iFinD公式)'!$B693:$AA693/'实盘净值数据(iFinD公式)'!$B$20:$AA$20)*(1-实盘持仓初始配置!$Z$4)^(('实盘净值数据(iFinD公式)'!$A693-'实盘净值数据(iFinD公式)'!$A$6)/365))</x:f>
        <x:v>#NAME?</x:v>
      </x:c>
      <x:c r="C693" s="152" t="e">
        <x:f>IF(OR(B692="",B693=""),"",B693/B692-1)</x:f>
        <x:v>#NAME?</x:v>
      </x:c>
      <x:c r="D693" s="152" t="e">
        <x:f>IF(B693="","",B693/MAX(B$5:B693)-1)</x:f>
        <x:v>#NAME?</x:v>
      </x:c>
      <x:c r="E693" s="146" t="e">
        <x:f>IF(OR('实盘净值数据(iFinD公式)'!$A693="",'实盘净值数据(iFinD公式)'!$B693=""),"",分期持仓明细!$AD$18*SUMPRODUCT(分期持仓明细!$B$18:$AA$18,'实盘净值数据(iFinD公式)'!$B693:$AA693/'实盘净值数据(iFinD公式)'!$B$20:$AA$20)*(1-实盘持仓初始配置!$Z$5)^(('实盘净值数据(iFinD公式)'!$A693-'实盘净值数据(iFinD公式)'!$A$5)/365))</x:f>
        <x:v>#NAME?</x:v>
      </x:c>
      <x:c r="F693" s="152" t="e">
        <x:f>IF(OR(E692="",E693=""),"",E693/E692-1)</x:f>
        <x:v>#NAME?</x:v>
      </x:c>
      <x:c r="G693" s="152" t="e">
        <x:f>IF(E693="","",E693/MAX(E$5:E693)-1)</x:f>
        <x:v>#NAME?</x:v>
      </x:c>
      <x:c r="H693" s="146" t="e">
        <x:f>IF(OR('实盘净值数据(iFinD公式)'!$A693="",'实盘净值数据(iFinD公式)'!$B693=""),"",分期持仓明细!$AD$19*SUMPRODUCT(分期持仓明细!$B$19:$AA$19,'实盘净值数据(iFinD公式)'!$B693:$AA693/'实盘净值数据(iFinD公式)'!$B$20:$AA$20)*(1-实盘持仓初始配置!$Z$6)^(('实盘净值数据(iFinD公式)'!$A693-'实盘净值数据(iFinD公式)'!$A$7)/365))</x:f>
        <x:v>#NAME?</x:v>
      </x:c>
      <x:c r="I693" s="152" t="e">
        <x:f>IF(OR(H692="",H693=""),"",H693/H692-1)</x:f>
        <x:v>#NAME?</x:v>
      </x:c>
      <x:c r="J693" s="152" t="e">
        <x:f>IF(H693="","",H693/MAX(H$5:H693)-1)</x:f>
        <x:v>#NAME?</x:v>
      </x:c>
      <x:c r="K693" s="146" t="e">
        <x:f>IF(OR('实盘净值数据(iFinD公式)'!$A693="",'实盘净值数据(iFinD公式)'!$B693=""),"",分期持仓明细!$AD$23*SUMPRODUCT(分期持仓明细!$B$23:$AA$23,'实盘净值数据(iFinD公式)'!$B693:$AA693/'实盘净值数据(iFinD公式)'!$B$65:$AA$65)*(1-实盘持仓初始配置!$Z$7)^(('实盘净值数据(iFinD公式)'!$A693-'实盘净值数据(iFinD公式)'!$A$8)/365))</x:f>
        <x:v>#NAME?</x:v>
      </x:c>
      <x:c r="L693" s="152" t="e">
        <x:f>IF(OR(K692="",K693=""),"",K693/K692-1)</x:f>
        <x:v>#NAME?</x:v>
      </x:c>
      <x:c r="M693" s="152" t="e">
        <x:f>IF(K693="","",K693/MAX(K$5:K693)-1)</x:f>
        <x:v>#NAME?</x:v>
      </x:c>
      <x:c r="N693" s="146" t="e">
        <x:f>IF(OR('实盘净值数据(iFinD公式)'!$A693="",'实盘净值数据(iFinD公式)'!$B693=""),"",分期持仓明细!$AD$24*SUMPRODUCT(分期持仓明细!$B$24:$AA$24,'实盘净值数据(iFinD公式)'!$B693:$AA693/'实盘净值数据(iFinD公式)'!$B$65:$AA$65)*(1-实盘持仓初始配置!$Z$8)^(('实盘净值数据(iFinD公式)'!$A693-'实盘净值数据(iFinD公式)'!$A$5)/365))</x:f>
        <x:v>#NAME?</x:v>
      </x:c>
      <x:c r="O693" s="152" t="e">
        <x:f>IF(OR(N692="",N693=""),"",N693/N692-1)</x:f>
        <x:v>#NAME?</x:v>
      </x:c>
      <x:c r="P693" s="152" t="e">
        <x:f>IF(N693="","",N693/MAX(N$5:N693)-1)</x:f>
        <x:v>#NAME?</x:v>
      </x:c>
      <x:c r="Q693" s="146" t="e">
        <x:f>IF(OR('实盘净值数据(iFinD公式)'!$A693="",'实盘净值数据(iFinD公式)'!$B693=""),"",分期持仓明细!$AD$25*SUMPRODUCT(分期持仓明细!$B$25:$AA$25,'实盘净值数据(iFinD公式)'!$B693:$AA693/'实盘净值数据(iFinD公式)'!$B$65:$AA$65)*(1-实盘持仓初始配置!$Z$9)^(('实盘净值数据(iFinD公式)'!$A693-'实盘净值数据(iFinD公式)'!$A$8)/365))</x:f>
        <x:v>#NAME?</x:v>
      </x:c>
      <x:c r="R693" s="152" t="e">
        <x:f>IF(OR(Q692="",Q693=""),"",Q693/Q692-1)</x:f>
        <x:v>#NAME?</x:v>
      </x:c>
      <x:c r="S693" s="152" t="e">
        <x:f>IF(Q693="","",Q693/MAX(Q$5:Q693)-1)</x:f>
        <x:v>#NAME?</x:v>
      </x:c>
    </x:row>
    <x:row r="694">
      <x:c r="A694" s="149" t="str">
        <x:f>IF('实盘净值数据(iFinD公式)'!A694="","",'实盘净值数据(iFinD公式)'!A694)</x:f>
      </x:c>
      <x:c r="B694" s="146" t="e">
        <x:f>IF(OR('实盘净值数据(iFinD公式)'!$A694="",'实盘净值数据(iFinD公式)'!$B694=""),"",分期持仓明细!$AD$17*SUMPRODUCT(分期持仓明细!$B$17:$AA$17,'实盘净值数据(iFinD公式)'!$B694:$AA694/'实盘净值数据(iFinD公式)'!$B$20:$AA$20)*(1-实盘持仓初始配置!$Z$4)^(('实盘净值数据(iFinD公式)'!$A694-'实盘净值数据(iFinD公式)'!$A$6)/365))</x:f>
        <x:v>#NAME?</x:v>
      </x:c>
      <x:c r="C694" s="152" t="e">
        <x:f>IF(OR(B693="",B694=""),"",B694/B693-1)</x:f>
        <x:v>#NAME?</x:v>
      </x:c>
      <x:c r="D694" s="152" t="e">
        <x:f>IF(B694="","",B694/MAX(B$5:B694)-1)</x:f>
        <x:v>#NAME?</x:v>
      </x:c>
      <x:c r="E694" s="146" t="e">
        <x:f>IF(OR('实盘净值数据(iFinD公式)'!$A694="",'实盘净值数据(iFinD公式)'!$B694=""),"",分期持仓明细!$AD$18*SUMPRODUCT(分期持仓明细!$B$18:$AA$18,'实盘净值数据(iFinD公式)'!$B694:$AA694/'实盘净值数据(iFinD公式)'!$B$20:$AA$20)*(1-实盘持仓初始配置!$Z$5)^(('实盘净值数据(iFinD公式)'!$A694-'实盘净值数据(iFinD公式)'!$A$5)/365))</x:f>
        <x:v>#NAME?</x:v>
      </x:c>
      <x:c r="F694" s="152" t="e">
        <x:f>IF(OR(E693="",E694=""),"",E694/E693-1)</x:f>
        <x:v>#NAME?</x:v>
      </x:c>
      <x:c r="G694" s="152" t="e">
        <x:f>IF(E694="","",E694/MAX(E$5:E694)-1)</x:f>
        <x:v>#NAME?</x:v>
      </x:c>
      <x:c r="H694" s="146" t="e">
        <x:f>IF(OR('实盘净值数据(iFinD公式)'!$A694="",'实盘净值数据(iFinD公式)'!$B694=""),"",分期持仓明细!$AD$19*SUMPRODUCT(分期持仓明细!$B$19:$AA$19,'实盘净值数据(iFinD公式)'!$B694:$AA694/'实盘净值数据(iFinD公式)'!$B$20:$AA$20)*(1-实盘持仓初始配置!$Z$6)^(('实盘净值数据(iFinD公式)'!$A694-'实盘净值数据(iFinD公式)'!$A$7)/365))</x:f>
        <x:v>#NAME?</x:v>
      </x:c>
      <x:c r="I694" s="152" t="e">
        <x:f>IF(OR(H693="",H694=""),"",H694/H693-1)</x:f>
        <x:v>#NAME?</x:v>
      </x:c>
      <x:c r="J694" s="152" t="e">
        <x:f>IF(H694="","",H694/MAX(H$5:H694)-1)</x:f>
        <x:v>#NAME?</x:v>
      </x:c>
      <x:c r="K694" s="146" t="e">
        <x:f>IF(OR('实盘净值数据(iFinD公式)'!$A694="",'实盘净值数据(iFinD公式)'!$B694=""),"",分期持仓明细!$AD$23*SUMPRODUCT(分期持仓明细!$B$23:$AA$23,'实盘净值数据(iFinD公式)'!$B694:$AA694/'实盘净值数据(iFinD公式)'!$B$65:$AA$65)*(1-实盘持仓初始配置!$Z$7)^(('实盘净值数据(iFinD公式)'!$A694-'实盘净值数据(iFinD公式)'!$A$8)/365))</x:f>
        <x:v>#NAME?</x:v>
      </x:c>
      <x:c r="L694" s="152" t="e">
        <x:f>IF(OR(K693="",K694=""),"",K694/K693-1)</x:f>
        <x:v>#NAME?</x:v>
      </x:c>
      <x:c r="M694" s="152" t="e">
        <x:f>IF(K694="","",K694/MAX(K$5:K694)-1)</x:f>
        <x:v>#NAME?</x:v>
      </x:c>
      <x:c r="N694" s="146" t="e">
        <x:f>IF(OR('实盘净值数据(iFinD公式)'!$A694="",'实盘净值数据(iFinD公式)'!$B694=""),"",分期持仓明细!$AD$24*SUMPRODUCT(分期持仓明细!$B$24:$AA$24,'实盘净值数据(iFinD公式)'!$B694:$AA694/'实盘净值数据(iFinD公式)'!$B$65:$AA$65)*(1-实盘持仓初始配置!$Z$8)^(('实盘净值数据(iFinD公式)'!$A694-'实盘净值数据(iFinD公式)'!$A$5)/365))</x:f>
        <x:v>#NAME?</x:v>
      </x:c>
      <x:c r="O694" s="152" t="e">
        <x:f>IF(OR(N693="",N694=""),"",N694/N693-1)</x:f>
        <x:v>#NAME?</x:v>
      </x:c>
      <x:c r="P694" s="152" t="e">
        <x:f>IF(N694="","",N694/MAX(N$5:N694)-1)</x:f>
        <x:v>#NAME?</x:v>
      </x:c>
      <x:c r="Q694" s="146" t="e">
        <x:f>IF(OR('实盘净值数据(iFinD公式)'!$A694="",'实盘净值数据(iFinD公式)'!$B694=""),"",分期持仓明细!$AD$25*SUMPRODUCT(分期持仓明细!$B$25:$AA$25,'实盘净值数据(iFinD公式)'!$B694:$AA694/'实盘净值数据(iFinD公式)'!$B$65:$AA$65)*(1-实盘持仓初始配置!$Z$9)^(('实盘净值数据(iFinD公式)'!$A694-'实盘净值数据(iFinD公式)'!$A$8)/365))</x:f>
        <x:v>#NAME?</x:v>
      </x:c>
      <x:c r="R694" s="152" t="e">
        <x:f>IF(OR(Q693="",Q694=""),"",Q694/Q693-1)</x:f>
        <x:v>#NAME?</x:v>
      </x:c>
      <x:c r="S694" s="152" t="e">
        <x:f>IF(Q694="","",Q694/MAX(Q$5:Q694)-1)</x:f>
        <x:v>#NAME?</x:v>
      </x:c>
    </x:row>
    <x:row r="695">
      <x:c r="A695" s="149" t="str">
        <x:f>IF('实盘净值数据(iFinD公式)'!A695="","",'实盘净值数据(iFinD公式)'!A695)</x:f>
      </x:c>
      <x:c r="B695" s="146" t="e">
        <x:f>IF(OR('实盘净值数据(iFinD公式)'!$A695="",'实盘净值数据(iFinD公式)'!$B695=""),"",分期持仓明细!$AD$17*SUMPRODUCT(分期持仓明细!$B$17:$AA$17,'实盘净值数据(iFinD公式)'!$B695:$AA695/'实盘净值数据(iFinD公式)'!$B$20:$AA$20)*(1-实盘持仓初始配置!$Z$4)^(('实盘净值数据(iFinD公式)'!$A695-'实盘净值数据(iFinD公式)'!$A$6)/365))</x:f>
        <x:v>#NAME?</x:v>
      </x:c>
      <x:c r="C695" s="152" t="e">
        <x:f>IF(OR(B694="",B695=""),"",B695/B694-1)</x:f>
        <x:v>#NAME?</x:v>
      </x:c>
      <x:c r="D695" s="152" t="e">
        <x:f>IF(B695="","",B695/MAX(B$5:B695)-1)</x:f>
        <x:v>#NAME?</x:v>
      </x:c>
      <x:c r="E695" s="146" t="e">
        <x:f>IF(OR('实盘净值数据(iFinD公式)'!$A695="",'实盘净值数据(iFinD公式)'!$B695=""),"",分期持仓明细!$AD$18*SUMPRODUCT(分期持仓明细!$B$18:$AA$18,'实盘净值数据(iFinD公式)'!$B695:$AA695/'实盘净值数据(iFinD公式)'!$B$20:$AA$20)*(1-实盘持仓初始配置!$Z$5)^(('实盘净值数据(iFinD公式)'!$A695-'实盘净值数据(iFinD公式)'!$A$5)/365))</x:f>
        <x:v>#NAME?</x:v>
      </x:c>
      <x:c r="F695" s="152" t="e">
        <x:f>IF(OR(E694="",E695=""),"",E695/E694-1)</x:f>
        <x:v>#NAME?</x:v>
      </x:c>
      <x:c r="G695" s="152" t="e">
        <x:f>IF(E695="","",E695/MAX(E$5:E695)-1)</x:f>
        <x:v>#NAME?</x:v>
      </x:c>
      <x:c r="H695" s="146" t="e">
        <x:f>IF(OR('实盘净值数据(iFinD公式)'!$A695="",'实盘净值数据(iFinD公式)'!$B695=""),"",分期持仓明细!$AD$19*SUMPRODUCT(分期持仓明细!$B$19:$AA$19,'实盘净值数据(iFinD公式)'!$B695:$AA695/'实盘净值数据(iFinD公式)'!$B$20:$AA$20)*(1-实盘持仓初始配置!$Z$6)^(('实盘净值数据(iFinD公式)'!$A695-'实盘净值数据(iFinD公式)'!$A$7)/365))</x:f>
        <x:v>#NAME?</x:v>
      </x:c>
      <x:c r="I695" s="152" t="e">
        <x:f>IF(OR(H694="",H695=""),"",H695/H694-1)</x:f>
        <x:v>#NAME?</x:v>
      </x:c>
      <x:c r="J695" s="152" t="e">
        <x:f>IF(H695="","",H695/MAX(H$5:H695)-1)</x:f>
        <x:v>#NAME?</x:v>
      </x:c>
      <x:c r="K695" s="146" t="e">
        <x:f>IF(OR('实盘净值数据(iFinD公式)'!$A695="",'实盘净值数据(iFinD公式)'!$B695=""),"",分期持仓明细!$AD$23*SUMPRODUCT(分期持仓明细!$B$23:$AA$23,'实盘净值数据(iFinD公式)'!$B695:$AA695/'实盘净值数据(iFinD公式)'!$B$65:$AA$65)*(1-实盘持仓初始配置!$Z$7)^(('实盘净值数据(iFinD公式)'!$A695-'实盘净值数据(iFinD公式)'!$A$8)/365))</x:f>
        <x:v>#NAME?</x:v>
      </x:c>
      <x:c r="L695" s="152" t="e">
        <x:f>IF(OR(K694="",K695=""),"",K695/K694-1)</x:f>
        <x:v>#NAME?</x:v>
      </x:c>
      <x:c r="M695" s="152" t="e">
        <x:f>IF(K695="","",K695/MAX(K$5:K695)-1)</x:f>
        <x:v>#NAME?</x:v>
      </x:c>
      <x:c r="N695" s="146" t="e">
        <x:f>IF(OR('实盘净值数据(iFinD公式)'!$A695="",'实盘净值数据(iFinD公式)'!$B695=""),"",分期持仓明细!$AD$24*SUMPRODUCT(分期持仓明细!$B$24:$AA$24,'实盘净值数据(iFinD公式)'!$B695:$AA695/'实盘净值数据(iFinD公式)'!$B$65:$AA$65)*(1-实盘持仓初始配置!$Z$8)^(('实盘净值数据(iFinD公式)'!$A695-'实盘净值数据(iFinD公式)'!$A$5)/365))</x:f>
        <x:v>#NAME?</x:v>
      </x:c>
      <x:c r="O695" s="152" t="e">
        <x:f>IF(OR(N694="",N695=""),"",N695/N694-1)</x:f>
        <x:v>#NAME?</x:v>
      </x:c>
      <x:c r="P695" s="152" t="e">
        <x:f>IF(N695="","",N695/MAX(N$5:N695)-1)</x:f>
        <x:v>#NAME?</x:v>
      </x:c>
      <x:c r="Q695" s="146" t="e">
        <x:f>IF(OR('实盘净值数据(iFinD公式)'!$A695="",'实盘净值数据(iFinD公式)'!$B695=""),"",分期持仓明细!$AD$25*SUMPRODUCT(分期持仓明细!$B$25:$AA$25,'实盘净值数据(iFinD公式)'!$B695:$AA695/'实盘净值数据(iFinD公式)'!$B$65:$AA$65)*(1-实盘持仓初始配置!$Z$9)^(('实盘净值数据(iFinD公式)'!$A695-'实盘净值数据(iFinD公式)'!$A$8)/365))</x:f>
        <x:v>#NAME?</x:v>
      </x:c>
      <x:c r="R695" s="152" t="e">
        <x:f>IF(OR(Q694="",Q695=""),"",Q695/Q694-1)</x:f>
        <x:v>#NAME?</x:v>
      </x:c>
      <x:c r="S695" s="152" t="e">
        <x:f>IF(Q695="","",Q695/MAX(Q$5:Q695)-1)</x:f>
        <x:v>#NAME?</x:v>
      </x:c>
    </x:row>
    <x:row r="696">
      <x:c r="A696" s="149" t="str">
        <x:f>IF('实盘净值数据(iFinD公式)'!A696="","",'实盘净值数据(iFinD公式)'!A696)</x:f>
      </x:c>
      <x:c r="B696" s="146" t="e">
        <x:f>IF(OR('实盘净值数据(iFinD公式)'!$A696="",'实盘净值数据(iFinD公式)'!$B696=""),"",分期持仓明细!$AD$17*SUMPRODUCT(分期持仓明细!$B$17:$AA$17,'实盘净值数据(iFinD公式)'!$B696:$AA696/'实盘净值数据(iFinD公式)'!$B$20:$AA$20)*(1-实盘持仓初始配置!$Z$4)^(('实盘净值数据(iFinD公式)'!$A696-'实盘净值数据(iFinD公式)'!$A$6)/365))</x:f>
        <x:v>#NAME?</x:v>
      </x:c>
      <x:c r="C696" s="152" t="e">
        <x:f>IF(OR(B695="",B696=""),"",B696/B695-1)</x:f>
        <x:v>#NAME?</x:v>
      </x:c>
      <x:c r="D696" s="152" t="e">
        <x:f>IF(B696="","",B696/MAX(B$5:B696)-1)</x:f>
        <x:v>#NAME?</x:v>
      </x:c>
      <x:c r="E696" s="146" t="e">
        <x:f>IF(OR('实盘净值数据(iFinD公式)'!$A696="",'实盘净值数据(iFinD公式)'!$B696=""),"",分期持仓明细!$AD$18*SUMPRODUCT(分期持仓明细!$B$18:$AA$18,'实盘净值数据(iFinD公式)'!$B696:$AA696/'实盘净值数据(iFinD公式)'!$B$20:$AA$20)*(1-实盘持仓初始配置!$Z$5)^(('实盘净值数据(iFinD公式)'!$A696-'实盘净值数据(iFinD公式)'!$A$5)/365))</x:f>
        <x:v>#NAME?</x:v>
      </x:c>
      <x:c r="F696" s="152" t="e">
        <x:f>IF(OR(E695="",E696=""),"",E696/E695-1)</x:f>
        <x:v>#NAME?</x:v>
      </x:c>
      <x:c r="G696" s="152" t="e">
        <x:f>IF(E696="","",E696/MAX(E$5:E696)-1)</x:f>
        <x:v>#NAME?</x:v>
      </x:c>
      <x:c r="H696" s="146" t="e">
        <x:f>IF(OR('实盘净值数据(iFinD公式)'!$A696="",'实盘净值数据(iFinD公式)'!$B696=""),"",分期持仓明细!$AD$19*SUMPRODUCT(分期持仓明细!$B$19:$AA$19,'实盘净值数据(iFinD公式)'!$B696:$AA696/'实盘净值数据(iFinD公式)'!$B$20:$AA$20)*(1-实盘持仓初始配置!$Z$6)^(('实盘净值数据(iFinD公式)'!$A696-'实盘净值数据(iFinD公式)'!$A$7)/365))</x:f>
        <x:v>#NAME?</x:v>
      </x:c>
      <x:c r="I696" s="152" t="e">
        <x:f>IF(OR(H695="",H696=""),"",H696/H695-1)</x:f>
        <x:v>#NAME?</x:v>
      </x:c>
      <x:c r="J696" s="152" t="e">
        <x:f>IF(H696="","",H696/MAX(H$5:H696)-1)</x:f>
        <x:v>#NAME?</x:v>
      </x:c>
      <x:c r="K696" s="146" t="e">
        <x:f>IF(OR('实盘净值数据(iFinD公式)'!$A696="",'实盘净值数据(iFinD公式)'!$B696=""),"",分期持仓明细!$AD$23*SUMPRODUCT(分期持仓明细!$B$23:$AA$23,'实盘净值数据(iFinD公式)'!$B696:$AA696/'实盘净值数据(iFinD公式)'!$B$65:$AA$65)*(1-实盘持仓初始配置!$Z$7)^(('实盘净值数据(iFinD公式)'!$A696-'实盘净值数据(iFinD公式)'!$A$8)/365))</x:f>
        <x:v>#NAME?</x:v>
      </x:c>
      <x:c r="L696" s="152" t="e">
        <x:f>IF(OR(K695="",K696=""),"",K696/K695-1)</x:f>
        <x:v>#NAME?</x:v>
      </x:c>
      <x:c r="M696" s="152" t="e">
        <x:f>IF(K696="","",K696/MAX(K$5:K696)-1)</x:f>
        <x:v>#NAME?</x:v>
      </x:c>
      <x:c r="N696" s="146" t="e">
        <x:f>IF(OR('实盘净值数据(iFinD公式)'!$A696="",'实盘净值数据(iFinD公式)'!$B696=""),"",分期持仓明细!$AD$24*SUMPRODUCT(分期持仓明细!$B$24:$AA$24,'实盘净值数据(iFinD公式)'!$B696:$AA696/'实盘净值数据(iFinD公式)'!$B$65:$AA$65)*(1-实盘持仓初始配置!$Z$8)^(('实盘净值数据(iFinD公式)'!$A696-'实盘净值数据(iFinD公式)'!$A$5)/365))</x:f>
        <x:v>#NAME?</x:v>
      </x:c>
      <x:c r="O696" s="152" t="e">
        <x:f>IF(OR(N695="",N696=""),"",N696/N695-1)</x:f>
        <x:v>#NAME?</x:v>
      </x:c>
      <x:c r="P696" s="152" t="e">
        <x:f>IF(N696="","",N696/MAX(N$5:N696)-1)</x:f>
        <x:v>#NAME?</x:v>
      </x:c>
      <x:c r="Q696" s="146" t="e">
        <x:f>IF(OR('实盘净值数据(iFinD公式)'!$A696="",'实盘净值数据(iFinD公式)'!$B696=""),"",分期持仓明细!$AD$25*SUMPRODUCT(分期持仓明细!$B$25:$AA$25,'实盘净值数据(iFinD公式)'!$B696:$AA696/'实盘净值数据(iFinD公式)'!$B$65:$AA$65)*(1-实盘持仓初始配置!$Z$9)^(('实盘净值数据(iFinD公式)'!$A696-'实盘净值数据(iFinD公式)'!$A$8)/365))</x:f>
        <x:v>#NAME?</x:v>
      </x:c>
      <x:c r="R696" s="152" t="e">
        <x:f>IF(OR(Q695="",Q696=""),"",Q696/Q695-1)</x:f>
        <x:v>#NAME?</x:v>
      </x:c>
      <x:c r="S696" s="152" t="e">
        <x:f>IF(Q696="","",Q696/MAX(Q$5:Q696)-1)</x:f>
        <x:v>#NAME?</x:v>
      </x:c>
    </x:row>
    <x:row r="697">
      <x:c r="A697" s="149" t="str">
        <x:f>IF('实盘净值数据(iFinD公式)'!A697="","",'实盘净值数据(iFinD公式)'!A697)</x:f>
      </x:c>
      <x:c r="B697" s="146" t="e">
        <x:f>IF(OR('实盘净值数据(iFinD公式)'!$A697="",'实盘净值数据(iFinD公式)'!$B697=""),"",分期持仓明细!$AD$17*SUMPRODUCT(分期持仓明细!$B$17:$AA$17,'实盘净值数据(iFinD公式)'!$B697:$AA697/'实盘净值数据(iFinD公式)'!$B$20:$AA$20)*(1-实盘持仓初始配置!$Z$4)^(('实盘净值数据(iFinD公式)'!$A697-'实盘净值数据(iFinD公式)'!$A$6)/365))</x:f>
        <x:v>#NAME?</x:v>
      </x:c>
      <x:c r="C697" s="152" t="e">
        <x:f>IF(OR(B696="",B697=""),"",B697/B696-1)</x:f>
        <x:v>#NAME?</x:v>
      </x:c>
      <x:c r="D697" s="152" t="e">
        <x:f>IF(B697="","",B697/MAX(B$5:B697)-1)</x:f>
        <x:v>#NAME?</x:v>
      </x:c>
      <x:c r="E697" s="146" t="e">
        <x:f>IF(OR('实盘净值数据(iFinD公式)'!$A697="",'实盘净值数据(iFinD公式)'!$B697=""),"",分期持仓明细!$AD$18*SUMPRODUCT(分期持仓明细!$B$18:$AA$18,'实盘净值数据(iFinD公式)'!$B697:$AA697/'实盘净值数据(iFinD公式)'!$B$20:$AA$20)*(1-实盘持仓初始配置!$Z$5)^(('实盘净值数据(iFinD公式)'!$A697-'实盘净值数据(iFinD公式)'!$A$5)/365))</x:f>
        <x:v>#NAME?</x:v>
      </x:c>
      <x:c r="F697" s="152" t="e">
        <x:f>IF(OR(E696="",E697=""),"",E697/E696-1)</x:f>
        <x:v>#NAME?</x:v>
      </x:c>
      <x:c r="G697" s="152" t="e">
        <x:f>IF(E697="","",E697/MAX(E$5:E697)-1)</x:f>
        <x:v>#NAME?</x:v>
      </x:c>
      <x:c r="H697" s="146" t="e">
        <x:f>IF(OR('实盘净值数据(iFinD公式)'!$A697="",'实盘净值数据(iFinD公式)'!$B697=""),"",分期持仓明细!$AD$19*SUMPRODUCT(分期持仓明细!$B$19:$AA$19,'实盘净值数据(iFinD公式)'!$B697:$AA697/'实盘净值数据(iFinD公式)'!$B$20:$AA$20)*(1-实盘持仓初始配置!$Z$6)^(('实盘净值数据(iFinD公式)'!$A697-'实盘净值数据(iFinD公式)'!$A$7)/365))</x:f>
        <x:v>#NAME?</x:v>
      </x:c>
      <x:c r="I697" s="152" t="e">
        <x:f>IF(OR(H696="",H697=""),"",H697/H696-1)</x:f>
        <x:v>#NAME?</x:v>
      </x:c>
      <x:c r="J697" s="152" t="e">
        <x:f>IF(H697="","",H697/MAX(H$5:H697)-1)</x:f>
        <x:v>#NAME?</x:v>
      </x:c>
      <x:c r="K697" s="146" t="e">
        <x:f>IF(OR('实盘净值数据(iFinD公式)'!$A697="",'实盘净值数据(iFinD公式)'!$B697=""),"",分期持仓明细!$AD$23*SUMPRODUCT(分期持仓明细!$B$23:$AA$23,'实盘净值数据(iFinD公式)'!$B697:$AA697/'实盘净值数据(iFinD公式)'!$B$65:$AA$65)*(1-实盘持仓初始配置!$Z$7)^(('实盘净值数据(iFinD公式)'!$A697-'实盘净值数据(iFinD公式)'!$A$8)/365))</x:f>
        <x:v>#NAME?</x:v>
      </x:c>
      <x:c r="L697" s="152" t="e">
        <x:f>IF(OR(K696="",K697=""),"",K697/K696-1)</x:f>
        <x:v>#NAME?</x:v>
      </x:c>
      <x:c r="M697" s="152" t="e">
        <x:f>IF(K697="","",K697/MAX(K$5:K697)-1)</x:f>
        <x:v>#NAME?</x:v>
      </x:c>
      <x:c r="N697" s="146" t="e">
        <x:f>IF(OR('实盘净值数据(iFinD公式)'!$A697="",'实盘净值数据(iFinD公式)'!$B697=""),"",分期持仓明细!$AD$24*SUMPRODUCT(分期持仓明细!$B$24:$AA$24,'实盘净值数据(iFinD公式)'!$B697:$AA697/'实盘净值数据(iFinD公式)'!$B$65:$AA$65)*(1-实盘持仓初始配置!$Z$8)^(('实盘净值数据(iFinD公式)'!$A697-'实盘净值数据(iFinD公式)'!$A$5)/365))</x:f>
        <x:v>#NAME?</x:v>
      </x:c>
      <x:c r="O697" s="152" t="e">
        <x:f>IF(OR(N696="",N697=""),"",N697/N696-1)</x:f>
        <x:v>#NAME?</x:v>
      </x:c>
      <x:c r="P697" s="152" t="e">
        <x:f>IF(N697="","",N697/MAX(N$5:N697)-1)</x:f>
        <x:v>#NAME?</x:v>
      </x:c>
      <x:c r="Q697" s="146" t="e">
        <x:f>IF(OR('实盘净值数据(iFinD公式)'!$A697="",'实盘净值数据(iFinD公式)'!$B697=""),"",分期持仓明细!$AD$25*SUMPRODUCT(分期持仓明细!$B$25:$AA$25,'实盘净值数据(iFinD公式)'!$B697:$AA697/'实盘净值数据(iFinD公式)'!$B$65:$AA$65)*(1-实盘持仓初始配置!$Z$9)^(('实盘净值数据(iFinD公式)'!$A697-'实盘净值数据(iFinD公式)'!$A$8)/365))</x:f>
        <x:v>#NAME?</x:v>
      </x:c>
      <x:c r="R697" s="152" t="e">
        <x:f>IF(OR(Q696="",Q697=""),"",Q697/Q696-1)</x:f>
        <x:v>#NAME?</x:v>
      </x:c>
      <x:c r="S697" s="152" t="e">
        <x:f>IF(Q697="","",Q697/MAX(Q$5:Q697)-1)</x:f>
        <x:v>#NAME?</x:v>
      </x:c>
    </x:row>
    <x:row r="698">
      <x:c r="A698" s="149" t="str">
        <x:f>IF('实盘净值数据(iFinD公式)'!A698="","",'实盘净值数据(iFinD公式)'!A698)</x:f>
      </x:c>
      <x:c r="B698" s="146" t="e">
        <x:f>IF(OR('实盘净值数据(iFinD公式)'!$A698="",'实盘净值数据(iFinD公式)'!$B698=""),"",分期持仓明细!$AD$17*SUMPRODUCT(分期持仓明细!$B$17:$AA$17,'实盘净值数据(iFinD公式)'!$B698:$AA698/'实盘净值数据(iFinD公式)'!$B$20:$AA$20)*(1-实盘持仓初始配置!$Z$4)^(('实盘净值数据(iFinD公式)'!$A698-'实盘净值数据(iFinD公式)'!$A$6)/365))</x:f>
        <x:v>#NAME?</x:v>
      </x:c>
      <x:c r="C698" s="152" t="e">
        <x:f>IF(OR(B697="",B698=""),"",B698/B697-1)</x:f>
        <x:v>#NAME?</x:v>
      </x:c>
      <x:c r="D698" s="152" t="e">
        <x:f>IF(B698="","",B698/MAX(B$5:B698)-1)</x:f>
        <x:v>#NAME?</x:v>
      </x:c>
      <x:c r="E698" s="146" t="e">
        <x:f>IF(OR('实盘净值数据(iFinD公式)'!$A698="",'实盘净值数据(iFinD公式)'!$B698=""),"",分期持仓明细!$AD$18*SUMPRODUCT(分期持仓明细!$B$18:$AA$18,'实盘净值数据(iFinD公式)'!$B698:$AA698/'实盘净值数据(iFinD公式)'!$B$20:$AA$20)*(1-实盘持仓初始配置!$Z$5)^(('实盘净值数据(iFinD公式)'!$A698-'实盘净值数据(iFinD公式)'!$A$5)/365))</x:f>
        <x:v>#NAME?</x:v>
      </x:c>
      <x:c r="F698" s="152" t="e">
        <x:f>IF(OR(E697="",E698=""),"",E698/E697-1)</x:f>
        <x:v>#NAME?</x:v>
      </x:c>
      <x:c r="G698" s="152" t="e">
        <x:f>IF(E698="","",E698/MAX(E$5:E698)-1)</x:f>
        <x:v>#NAME?</x:v>
      </x:c>
      <x:c r="H698" s="146" t="e">
        <x:f>IF(OR('实盘净值数据(iFinD公式)'!$A698="",'实盘净值数据(iFinD公式)'!$B698=""),"",分期持仓明细!$AD$19*SUMPRODUCT(分期持仓明细!$B$19:$AA$19,'实盘净值数据(iFinD公式)'!$B698:$AA698/'实盘净值数据(iFinD公式)'!$B$20:$AA$20)*(1-实盘持仓初始配置!$Z$6)^(('实盘净值数据(iFinD公式)'!$A698-'实盘净值数据(iFinD公式)'!$A$7)/365))</x:f>
        <x:v>#NAME?</x:v>
      </x:c>
      <x:c r="I698" s="152" t="e">
        <x:f>IF(OR(H697="",H698=""),"",H698/H697-1)</x:f>
        <x:v>#NAME?</x:v>
      </x:c>
      <x:c r="J698" s="152" t="e">
        <x:f>IF(H698="","",H698/MAX(H$5:H698)-1)</x:f>
        <x:v>#NAME?</x:v>
      </x:c>
      <x:c r="K698" s="146" t="e">
        <x:f>IF(OR('实盘净值数据(iFinD公式)'!$A698="",'实盘净值数据(iFinD公式)'!$B698=""),"",分期持仓明细!$AD$23*SUMPRODUCT(分期持仓明细!$B$23:$AA$23,'实盘净值数据(iFinD公式)'!$B698:$AA698/'实盘净值数据(iFinD公式)'!$B$65:$AA$65)*(1-实盘持仓初始配置!$Z$7)^(('实盘净值数据(iFinD公式)'!$A698-'实盘净值数据(iFinD公式)'!$A$8)/365))</x:f>
        <x:v>#NAME?</x:v>
      </x:c>
      <x:c r="L698" s="152" t="e">
        <x:f>IF(OR(K697="",K698=""),"",K698/K697-1)</x:f>
        <x:v>#NAME?</x:v>
      </x:c>
      <x:c r="M698" s="152" t="e">
        <x:f>IF(K698="","",K698/MAX(K$5:K698)-1)</x:f>
        <x:v>#NAME?</x:v>
      </x:c>
      <x:c r="N698" s="146" t="e">
        <x:f>IF(OR('实盘净值数据(iFinD公式)'!$A698="",'实盘净值数据(iFinD公式)'!$B698=""),"",分期持仓明细!$AD$24*SUMPRODUCT(分期持仓明细!$B$24:$AA$24,'实盘净值数据(iFinD公式)'!$B698:$AA698/'实盘净值数据(iFinD公式)'!$B$65:$AA$65)*(1-实盘持仓初始配置!$Z$8)^(('实盘净值数据(iFinD公式)'!$A698-'实盘净值数据(iFinD公式)'!$A$5)/365))</x:f>
        <x:v>#NAME?</x:v>
      </x:c>
      <x:c r="O698" s="152" t="e">
        <x:f>IF(OR(N697="",N698=""),"",N698/N697-1)</x:f>
        <x:v>#NAME?</x:v>
      </x:c>
      <x:c r="P698" s="152" t="e">
        <x:f>IF(N698="","",N698/MAX(N$5:N698)-1)</x:f>
        <x:v>#NAME?</x:v>
      </x:c>
      <x:c r="Q698" s="146" t="e">
        <x:f>IF(OR('实盘净值数据(iFinD公式)'!$A698="",'实盘净值数据(iFinD公式)'!$B698=""),"",分期持仓明细!$AD$25*SUMPRODUCT(分期持仓明细!$B$25:$AA$25,'实盘净值数据(iFinD公式)'!$B698:$AA698/'实盘净值数据(iFinD公式)'!$B$65:$AA$65)*(1-实盘持仓初始配置!$Z$9)^(('实盘净值数据(iFinD公式)'!$A698-'实盘净值数据(iFinD公式)'!$A$8)/365))</x:f>
        <x:v>#NAME?</x:v>
      </x:c>
      <x:c r="R698" s="152" t="e">
        <x:f>IF(OR(Q697="",Q698=""),"",Q698/Q697-1)</x:f>
        <x:v>#NAME?</x:v>
      </x:c>
      <x:c r="S698" s="152" t="e">
        <x:f>IF(Q698="","",Q698/MAX(Q$5:Q698)-1)</x:f>
        <x:v>#NAME?</x:v>
      </x:c>
    </x:row>
    <x:row r="699">
      <x:c r="A699" s="149" t="str">
        <x:f>IF('实盘净值数据(iFinD公式)'!A699="","",'实盘净值数据(iFinD公式)'!A699)</x:f>
      </x:c>
      <x:c r="B699" s="146" t="e">
        <x:f>IF(OR('实盘净值数据(iFinD公式)'!$A699="",'实盘净值数据(iFinD公式)'!$B699=""),"",分期持仓明细!$AD$17*SUMPRODUCT(分期持仓明细!$B$17:$AA$17,'实盘净值数据(iFinD公式)'!$B699:$AA699/'实盘净值数据(iFinD公式)'!$B$20:$AA$20)*(1-实盘持仓初始配置!$Z$4)^(('实盘净值数据(iFinD公式)'!$A699-'实盘净值数据(iFinD公式)'!$A$6)/365))</x:f>
        <x:v>#NAME?</x:v>
      </x:c>
      <x:c r="C699" s="152" t="e">
        <x:f>IF(OR(B698="",B699=""),"",B699/B698-1)</x:f>
        <x:v>#NAME?</x:v>
      </x:c>
      <x:c r="D699" s="152" t="e">
        <x:f>IF(B699="","",B699/MAX(B$5:B699)-1)</x:f>
        <x:v>#NAME?</x:v>
      </x:c>
      <x:c r="E699" s="146" t="e">
        <x:f>IF(OR('实盘净值数据(iFinD公式)'!$A699="",'实盘净值数据(iFinD公式)'!$B699=""),"",分期持仓明细!$AD$18*SUMPRODUCT(分期持仓明细!$B$18:$AA$18,'实盘净值数据(iFinD公式)'!$B699:$AA699/'实盘净值数据(iFinD公式)'!$B$20:$AA$20)*(1-实盘持仓初始配置!$Z$5)^(('实盘净值数据(iFinD公式)'!$A699-'实盘净值数据(iFinD公式)'!$A$5)/365))</x:f>
        <x:v>#NAME?</x:v>
      </x:c>
      <x:c r="F699" s="152" t="e">
        <x:f>IF(OR(E698="",E699=""),"",E699/E698-1)</x:f>
        <x:v>#NAME?</x:v>
      </x:c>
      <x:c r="G699" s="152" t="e">
        <x:f>IF(E699="","",E699/MAX(E$5:E699)-1)</x:f>
        <x:v>#NAME?</x:v>
      </x:c>
      <x:c r="H699" s="146" t="e">
        <x:f>IF(OR('实盘净值数据(iFinD公式)'!$A699="",'实盘净值数据(iFinD公式)'!$B699=""),"",分期持仓明细!$AD$19*SUMPRODUCT(分期持仓明细!$B$19:$AA$19,'实盘净值数据(iFinD公式)'!$B699:$AA699/'实盘净值数据(iFinD公式)'!$B$20:$AA$20)*(1-实盘持仓初始配置!$Z$6)^(('实盘净值数据(iFinD公式)'!$A699-'实盘净值数据(iFinD公式)'!$A$7)/365))</x:f>
        <x:v>#NAME?</x:v>
      </x:c>
      <x:c r="I699" s="152" t="e">
        <x:f>IF(OR(H698="",H699=""),"",H699/H698-1)</x:f>
        <x:v>#NAME?</x:v>
      </x:c>
      <x:c r="J699" s="152" t="e">
        <x:f>IF(H699="","",H699/MAX(H$5:H699)-1)</x:f>
        <x:v>#NAME?</x:v>
      </x:c>
      <x:c r="K699" s="146" t="e">
        <x:f>IF(OR('实盘净值数据(iFinD公式)'!$A699="",'实盘净值数据(iFinD公式)'!$B699=""),"",分期持仓明细!$AD$23*SUMPRODUCT(分期持仓明细!$B$23:$AA$23,'实盘净值数据(iFinD公式)'!$B699:$AA699/'实盘净值数据(iFinD公式)'!$B$65:$AA$65)*(1-实盘持仓初始配置!$Z$7)^(('实盘净值数据(iFinD公式)'!$A699-'实盘净值数据(iFinD公式)'!$A$8)/365))</x:f>
        <x:v>#NAME?</x:v>
      </x:c>
      <x:c r="L699" s="152" t="e">
        <x:f>IF(OR(K698="",K699=""),"",K699/K698-1)</x:f>
        <x:v>#NAME?</x:v>
      </x:c>
      <x:c r="M699" s="152" t="e">
        <x:f>IF(K699="","",K699/MAX(K$5:K699)-1)</x:f>
        <x:v>#NAME?</x:v>
      </x:c>
      <x:c r="N699" s="146" t="e">
        <x:f>IF(OR('实盘净值数据(iFinD公式)'!$A699="",'实盘净值数据(iFinD公式)'!$B699=""),"",分期持仓明细!$AD$24*SUMPRODUCT(分期持仓明细!$B$24:$AA$24,'实盘净值数据(iFinD公式)'!$B699:$AA699/'实盘净值数据(iFinD公式)'!$B$65:$AA$65)*(1-实盘持仓初始配置!$Z$8)^(('实盘净值数据(iFinD公式)'!$A699-'实盘净值数据(iFinD公式)'!$A$5)/365))</x:f>
        <x:v>#NAME?</x:v>
      </x:c>
      <x:c r="O699" s="152" t="e">
        <x:f>IF(OR(N698="",N699=""),"",N699/N698-1)</x:f>
        <x:v>#NAME?</x:v>
      </x:c>
      <x:c r="P699" s="152" t="e">
        <x:f>IF(N699="","",N699/MAX(N$5:N699)-1)</x:f>
        <x:v>#NAME?</x:v>
      </x:c>
      <x:c r="Q699" s="146" t="e">
        <x:f>IF(OR('实盘净值数据(iFinD公式)'!$A699="",'实盘净值数据(iFinD公式)'!$B699=""),"",分期持仓明细!$AD$25*SUMPRODUCT(分期持仓明细!$B$25:$AA$25,'实盘净值数据(iFinD公式)'!$B699:$AA699/'实盘净值数据(iFinD公式)'!$B$65:$AA$65)*(1-实盘持仓初始配置!$Z$9)^(('实盘净值数据(iFinD公式)'!$A699-'实盘净值数据(iFinD公式)'!$A$8)/365))</x:f>
        <x:v>#NAME?</x:v>
      </x:c>
      <x:c r="R699" s="152" t="e">
        <x:f>IF(OR(Q698="",Q699=""),"",Q699/Q698-1)</x:f>
        <x:v>#NAME?</x:v>
      </x:c>
      <x:c r="S699" s="152" t="e">
        <x:f>IF(Q699="","",Q699/MAX(Q$5:Q699)-1)</x:f>
        <x:v>#NAME?</x:v>
      </x:c>
    </x:row>
    <x:row r="700">
      <x:c r="A700" s="149" t="str">
        <x:f>IF('实盘净值数据(iFinD公式)'!A700="","",'实盘净值数据(iFinD公式)'!A700)</x:f>
      </x:c>
      <x:c r="B700" s="146" t="e">
        <x:f>IF(OR('实盘净值数据(iFinD公式)'!$A700="",'实盘净值数据(iFinD公式)'!$B700=""),"",分期持仓明细!$AD$17*SUMPRODUCT(分期持仓明细!$B$17:$AA$17,'实盘净值数据(iFinD公式)'!$B700:$AA700/'实盘净值数据(iFinD公式)'!$B$20:$AA$20)*(1-实盘持仓初始配置!$Z$4)^(('实盘净值数据(iFinD公式)'!$A700-'实盘净值数据(iFinD公式)'!$A$6)/365))</x:f>
        <x:v>#NAME?</x:v>
      </x:c>
      <x:c r="C700" s="152" t="e">
        <x:f>IF(OR(B699="",B700=""),"",B700/B699-1)</x:f>
        <x:v>#NAME?</x:v>
      </x:c>
      <x:c r="D700" s="152" t="e">
        <x:f>IF(B700="","",B700/MAX(B$5:B700)-1)</x:f>
        <x:v>#NAME?</x:v>
      </x:c>
      <x:c r="E700" s="146" t="e">
        <x:f>IF(OR('实盘净值数据(iFinD公式)'!$A700="",'实盘净值数据(iFinD公式)'!$B700=""),"",分期持仓明细!$AD$18*SUMPRODUCT(分期持仓明细!$B$18:$AA$18,'实盘净值数据(iFinD公式)'!$B700:$AA700/'实盘净值数据(iFinD公式)'!$B$20:$AA$20)*(1-实盘持仓初始配置!$Z$5)^(('实盘净值数据(iFinD公式)'!$A700-'实盘净值数据(iFinD公式)'!$A$5)/365))</x:f>
        <x:v>#NAME?</x:v>
      </x:c>
      <x:c r="F700" s="152" t="e">
        <x:f>IF(OR(E699="",E700=""),"",E700/E699-1)</x:f>
        <x:v>#NAME?</x:v>
      </x:c>
      <x:c r="G700" s="152" t="e">
        <x:f>IF(E700="","",E700/MAX(E$5:E700)-1)</x:f>
        <x:v>#NAME?</x:v>
      </x:c>
      <x:c r="H700" s="146" t="e">
        <x:f>IF(OR('实盘净值数据(iFinD公式)'!$A700="",'实盘净值数据(iFinD公式)'!$B700=""),"",分期持仓明细!$AD$19*SUMPRODUCT(分期持仓明细!$B$19:$AA$19,'实盘净值数据(iFinD公式)'!$B700:$AA700/'实盘净值数据(iFinD公式)'!$B$20:$AA$20)*(1-实盘持仓初始配置!$Z$6)^(('实盘净值数据(iFinD公式)'!$A700-'实盘净值数据(iFinD公式)'!$A$7)/365))</x:f>
        <x:v>#NAME?</x:v>
      </x:c>
      <x:c r="I700" s="152" t="e">
        <x:f>IF(OR(H699="",H700=""),"",H700/H699-1)</x:f>
        <x:v>#NAME?</x:v>
      </x:c>
      <x:c r="J700" s="152" t="e">
        <x:f>IF(H700="","",H700/MAX(H$5:H700)-1)</x:f>
        <x:v>#NAME?</x:v>
      </x:c>
      <x:c r="K700" s="146" t="e">
        <x:f>IF(OR('实盘净值数据(iFinD公式)'!$A700="",'实盘净值数据(iFinD公式)'!$B700=""),"",分期持仓明细!$AD$23*SUMPRODUCT(分期持仓明细!$B$23:$AA$23,'实盘净值数据(iFinD公式)'!$B700:$AA700/'实盘净值数据(iFinD公式)'!$B$65:$AA$65)*(1-实盘持仓初始配置!$Z$7)^(('实盘净值数据(iFinD公式)'!$A700-'实盘净值数据(iFinD公式)'!$A$8)/365))</x:f>
        <x:v>#NAME?</x:v>
      </x:c>
      <x:c r="L700" s="152" t="e">
        <x:f>IF(OR(K699="",K700=""),"",K700/K699-1)</x:f>
        <x:v>#NAME?</x:v>
      </x:c>
      <x:c r="M700" s="152" t="e">
        <x:f>IF(K700="","",K700/MAX(K$5:K700)-1)</x:f>
        <x:v>#NAME?</x:v>
      </x:c>
      <x:c r="N700" s="146" t="e">
        <x:f>IF(OR('实盘净值数据(iFinD公式)'!$A700="",'实盘净值数据(iFinD公式)'!$B700=""),"",分期持仓明细!$AD$24*SUMPRODUCT(分期持仓明细!$B$24:$AA$24,'实盘净值数据(iFinD公式)'!$B700:$AA700/'实盘净值数据(iFinD公式)'!$B$65:$AA$65)*(1-实盘持仓初始配置!$Z$8)^(('实盘净值数据(iFinD公式)'!$A700-'实盘净值数据(iFinD公式)'!$A$5)/365))</x:f>
        <x:v>#NAME?</x:v>
      </x:c>
      <x:c r="O700" s="152" t="e">
        <x:f>IF(OR(N699="",N700=""),"",N700/N699-1)</x:f>
        <x:v>#NAME?</x:v>
      </x:c>
      <x:c r="P700" s="152" t="e">
        <x:f>IF(N700="","",N700/MAX(N$5:N700)-1)</x:f>
        <x:v>#NAME?</x:v>
      </x:c>
      <x:c r="Q700" s="146" t="e">
        <x:f>IF(OR('实盘净值数据(iFinD公式)'!$A700="",'实盘净值数据(iFinD公式)'!$B700=""),"",分期持仓明细!$AD$25*SUMPRODUCT(分期持仓明细!$B$25:$AA$25,'实盘净值数据(iFinD公式)'!$B700:$AA700/'实盘净值数据(iFinD公式)'!$B$65:$AA$65)*(1-实盘持仓初始配置!$Z$9)^(('实盘净值数据(iFinD公式)'!$A700-'实盘净值数据(iFinD公式)'!$A$8)/365))</x:f>
        <x:v>#NAME?</x:v>
      </x:c>
      <x:c r="R700" s="152" t="e">
        <x:f>IF(OR(Q699="",Q700=""),"",Q700/Q699-1)</x:f>
        <x:v>#NAME?</x:v>
      </x:c>
      <x:c r="S700" s="152" t="e">
        <x:f>IF(Q700="","",Q700/MAX(Q$5:Q700)-1)</x:f>
        <x:v>#NAME?</x:v>
      </x:c>
    </x:row>
    <x:row r="701">
      <x:c r="A701" s="149" t="str">
        <x:f>IF('实盘净值数据(iFinD公式)'!A701="","",'实盘净值数据(iFinD公式)'!A701)</x:f>
      </x:c>
      <x:c r="B701" s="146" t="e">
        <x:f>IF(OR('实盘净值数据(iFinD公式)'!$A701="",'实盘净值数据(iFinD公式)'!$B701=""),"",分期持仓明细!$AD$17*SUMPRODUCT(分期持仓明细!$B$17:$AA$17,'实盘净值数据(iFinD公式)'!$B701:$AA701/'实盘净值数据(iFinD公式)'!$B$20:$AA$20)*(1-实盘持仓初始配置!$Z$4)^(('实盘净值数据(iFinD公式)'!$A701-'实盘净值数据(iFinD公式)'!$A$6)/365))</x:f>
        <x:v>#NAME?</x:v>
      </x:c>
      <x:c r="C701" s="152" t="e">
        <x:f>IF(OR(B700="",B701=""),"",B701/B700-1)</x:f>
        <x:v>#NAME?</x:v>
      </x:c>
      <x:c r="D701" s="152" t="e">
        <x:f>IF(B701="","",B701/MAX(B$5:B701)-1)</x:f>
        <x:v>#NAME?</x:v>
      </x:c>
      <x:c r="E701" s="146" t="e">
        <x:f>IF(OR('实盘净值数据(iFinD公式)'!$A701="",'实盘净值数据(iFinD公式)'!$B701=""),"",分期持仓明细!$AD$18*SUMPRODUCT(分期持仓明细!$B$18:$AA$18,'实盘净值数据(iFinD公式)'!$B701:$AA701/'实盘净值数据(iFinD公式)'!$B$20:$AA$20)*(1-实盘持仓初始配置!$Z$5)^(('实盘净值数据(iFinD公式)'!$A701-'实盘净值数据(iFinD公式)'!$A$5)/365))</x:f>
        <x:v>#NAME?</x:v>
      </x:c>
      <x:c r="F701" s="152" t="e">
        <x:f>IF(OR(E700="",E701=""),"",E701/E700-1)</x:f>
        <x:v>#NAME?</x:v>
      </x:c>
      <x:c r="G701" s="152" t="e">
        <x:f>IF(E701="","",E701/MAX(E$5:E701)-1)</x:f>
        <x:v>#NAME?</x:v>
      </x:c>
      <x:c r="H701" s="146" t="e">
        <x:f>IF(OR('实盘净值数据(iFinD公式)'!$A701="",'实盘净值数据(iFinD公式)'!$B701=""),"",分期持仓明细!$AD$19*SUMPRODUCT(分期持仓明细!$B$19:$AA$19,'实盘净值数据(iFinD公式)'!$B701:$AA701/'实盘净值数据(iFinD公式)'!$B$20:$AA$20)*(1-实盘持仓初始配置!$Z$6)^(('实盘净值数据(iFinD公式)'!$A701-'实盘净值数据(iFinD公式)'!$A$7)/365))</x:f>
        <x:v>#NAME?</x:v>
      </x:c>
      <x:c r="I701" s="152" t="e">
        <x:f>IF(OR(H700="",H701=""),"",H701/H700-1)</x:f>
        <x:v>#NAME?</x:v>
      </x:c>
      <x:c r="J701" s="152" t="e">
        <x:f>IF(H701="","",H701/MAX(H$5:H701)-1)</x:f>
        <x:v>#NAME?</x:v>
      </x:c>
      <x:c r="K701" s="146" t="e">
        <x:f>IF(OR('实盘净值数据(iFinD公式)'!$A701="",'实盘净值数据(iFinD公式)'!$B701=""),"",分期持仓明细!$AD$23*SUMPRODUCT(分期持仓明细!$B$23:$AA$23,'实盘净值数据(iFinD公式)'!$B701:$AA701/'实盘净值数据(iFinD公式)'!$B$65:$AA$65)*(1-实盘持仓初始配置!$Z$7)^(('实盘净值数据(iFinD公式)'!$A701-'实盘净值数据(iFinD公式)'!$A$8)/365))</x:f>
        <x:v>#NAME?</x:v>
      </x:c>
      <x:c r="L701" s="152" t="e">
        <x:f>IF(OR(K700="",K701=""),"",K701/K700-1)</x:f>
        <x:v>#NAME?</x:v>
      </x:c>
      <x:c r="M701" s="152" t="e">
        <x:f>IF(K701="","",K701/MAX(K$5:K701)-1)</x:f>
        <x:v>#NAME?</x:v>
      </x:c>
      <x:c r="N701" s="146" t="e">
        <x:f>IF(OR('实盘净值数据(iFinD公式)'!$A701="",'实盘净值数据(iFinD公式)'!$B701=""),"",分期持仓明细!$AD$24*SUMPRODUCT(分期持仓明细!$B$24:$AA$24,'实盘净值数据(iFinD公式)'!$B701:$AA701/'实盘净值数据(iFinD公式)'!$B$65:$AA$65)*(1-实盘持仓初始配置!$Z$8)^(('实盘净值数据(iFinD公式)'!$A701-'实盘净值数据(iFinD公式)'!$A$5)/365))</x:f>
        <x:v>#NAME?</x:v>
      </x:c>
      <x:c r="O701" s="152" t="e">
        <x:f>IF(OR(N700="",N701=""),"",N701/N700-1)</x:f>
        <x:v>#NAME?</x:v>
      </x:c>
      <x:c r="P701" s="152" t="e">
        <x:f>IF(N701="","",N701/MAX(N$5:N701)-1)</x:f>
        <x:v>#NAME?</x:v>
      </x:c>
      <x:c r="Q701" s="146" t="e">
        <x:f>IF(OR('实盘净值数据(iFinD公式)'!$A701="",'实盘净值数据(iFinD公式)'!$B701=""),"",分期持仓明细!$AD$25*SUMPRODUCT(分期持仓明细!$B$25:$AA$25,'实盘净值数据(iFinD公式)'!$B701:$AA701/'实盘净值数据(iFinD公式)'!$B$65:$AA$65)*(1-实盘持仓初始配置!$Z$9)^(('实盘净值数据(iFinD公式)'!$A701-'实盘净值数据(iFinD公式)'!$A$8)/365))</x:f>
        <x:v>#NAME?</x:v>
      </x:c>
      <x:c r="R701" s="152" t="e">
        <x:f>IF(OR(Q700="",Q701=""),"",Q701/Q700-1)</x:f>
        <x:v>#NAME?</x:v>
      </x:c>
      <x:c r="S701" s="152" t="e">
        <x:f>IF(Q701="","",Q701/MAX(Q$5:Q701)-1)</x:f>
        <x:v>#NAME?</x:v>
      </x:c>
    </x:row>
    <x:row r="702">
      <x:c r="A702" s="149" t="str">
        <x:f>IF('实盘净值数据(iFinD公式)'!A702="","",'实盘净值数据(iFinD公式)'!A702)</x:f>
      </x:c>
      <x:c r="B702" s="146" t="e">
        <x:f>IF(OR('实盘净值数据(iFinD公式)'!$A702="",'实盘净值数据(iFinD公式)'!$B702=""),"",分期持仓明细!$AD$17*SUMPRODUCT(分期持仓明细!$B$17:$AA$17,'实盘净值数据(iFinD公式)'!$B702:$AA702/'实盘净值数据(iFinD公式)'!$B$20:$AA$20)*(1-实盘持仓初始配置!$Z$4)^(('实盘净值数据(iFinD公式)'!$A702-'实盘净值数据(iFinD公式)'!$A$6)/365))</x:f>
        <x:v>#NAME?</x:v>
      </x:c>
      <x:c r="C702" s="152" t="e">
        <x:f>IF(OR(B701="",B702=""),"",B702/B701-1)</x:f>
        <x:v>#NAME?</x:v>
      </x:c>
      <x:c r="D702" s="152" t="e">
        <x:f>IF(B702="","",B702/MAX(B$5:B702)-1)</x:f>
        <x:v>#NAME?</x:v>
      </x:c>
      <x:c r="E702" s="146" t="e">
        <x:f>IF(OR('实盘净值数据(iFinD公式)'!$A702="",'实盘净值数据(iFinD公式)'!$B702=""),"",分期持仓明细!$AD$18*SUMPRODUCT(分期持仓明细!$B$18:$AA$18,'实盘净值数据(iFinD公式)'!$B702:$AA702/'实盘净值数据(iFinD公式)'!$B$20:$AA$20)*(1-实盘持仓初始配置!$Z$5)^(('实盘净值数据(iFinD公式)'!$A702-'实盘净值数据(iFinD公式)'!$A$5)/365))</x:f>
        <x:v>#NAME?</x:v>
      </x:c>
      <x:c r="F702" s="152" t="e">
        <x:f>IF(OR(E701="",E702=""),"",E702/E701-1)</x:f>
        <x:v>#NAME?</x:v>
      </x:c>
      <x:c r="G702" s="152" t="e">
        <x:f>IF(E702="","",E702/MAX(E$5:E702)-1)</x:f>
        <x:v>#NAME?</x:v>
      </x:c>
      <x:c r="H702" s="146" t="e">
        <x:f>IF(OR('实盘净值数据(iFinD公式)'!$A702="",'实盘净值数据(iFinD公式)'!$B702=""),"",分期持仓明细!$AD$19*SUMPRODUCT(分期持仓明细!$B$19:$AA$19,'实盘净值数据(iFinD公式)'!$B702:$AA702/'实盘净值数据(iFinD公式)'!$B$20:$AA$20)*(1-实盘持仓初始配置!$Z$6)^(('实盘净值数据(iFinD公式)'!$A702-'实盘净值数据(iFinD公式)'!$A$7)/365))</x:f>
        <x:v>#NAME?</x:v>
      </x:c>
      <x:c r="I702" s="152" t="e">
        <x:f>IF(OR(H701="",H702=""),"",H702/H701-1)</x:f>
        <x:v>#NAME?</x:v>
      </x:c>
      <x:c r="J702" s="152" t="e">
        <x:f>IF(H702="","",H702/MAX(H$5:H702)-1)</x:f>
        <x:v>#NAME?</x:v>
      </x:c>
      <x:c r="K702" s="146" t="e">
        <x:f>IF(OR('实盘净值数据(iFinD公式)'!$A702="",'实盘净值数据(iFinD公式)'!$B702=""),"",分期持仓明细!$AD$23*SUMPRODUCT(分期持仓明细!$B$23:$AA$23,'实盘净值数据(iFinD公式)'!$B702:$AA702/'实盘净值数据(iFinD公式)'!$B$65:$AA$65)*(1-实盘持仓初始配置!$Z$7)^(('实盘净值数据(iFinD公式)'!$A702-'实盘净值数据(iFinD公式)'!$A$8)/365))</x:f>
        <x:v>#NAME?</x:v>
      </x:c>
      <x:c r="L702" s="152" t="e">
        <x:f>IF(OR(K701="",K702=""),"",K702/K701-1)</x:f>
        <x:v>#NAME?</x:v>
      </x:c>
      <x:c r="M702" s="152" t="e">
        <x:f>IF(K702="","",K702/MAX(K$5:K702)-1)</x:f>
        <x:v>#NAME?</x:v>
      </x:c>
      <x:c r="N702" s="146" t="e">
        <x:f>IF(OR('实盘净值数据(iFinD公式)'!$A702="",'实盘净值数据(iFinD公式)'!$B702=""),"",分期持仓明细!$AD$24*SUMPRODUCT(分期持仓明细!$B$24:$AA$24,'实盘净值数据(iFinD公式)'!$B702:$AA702/'实盘净值数据(iFinD公式)'!$B$65:$AA$65)*(1-实盘持仓初始配置!$Z$8)^(('实盘净值数据(iFinD公式)'!$A702-'实盘净值数据(iFinD公式)'!$A$5)/365))</x:f>
        <x:v>#NAME?</x:v>
      </x:c>
      <x:c r="O702" s="152" t="e">
        <x:f>IF(OR(N701="",N702=""),"",N702/N701-1)</x:f>
        <x:v>#NAME?</x:v>
      </x:c>
      <x:c r="P702" s="152" t="e">
        <x:f>IF(N702="","",N702/MAX(N$5:N702)-1)</x:f>
        <x:v>#NAME?</x:v>
      </x:c>
      <x:c r="Q702" s="146" t="e">
        <x:f>IF(OR('实盘净值数据(iFinD公式)'!$A702="",'实盘净值数据(iFinD公式)'!$B702=""),"",分期持仓明细!$AD$25*SUMPRODUCT(分期持仓明细!$B$25:$AA$25,'实盘净值数据(iFinD公式)'!$B702:$AA702/'实盘净值数据(iFinD公式)'!$B$65:$AA$65)*(1-实盘持仓初始配置!$Z$9)^(('实盘净值数据(iFinD公式)'!$A702-'实盘净值数据(iFinD公式)'!$A$8)/365))</x:f>
        <x:v>#NAME?</x:v>
      </x:c>
      <x:c r="R702" s="152" t="e">
        <x:f>IF(OR(Q701="",Q702=""),"",Q702/Q701-1)</x:f>
        <x:v>#NAME?</x:v>
      </x:c>
      <x:c r="S702" s="152" t="e">
        <x:f>IF(Q702="","",Q702/MAX(Q$5:Q702)-1)</x:f>
        <x:v>#NAME?</x:v>
      </x:c>
    </x:row>
    <x:row r="703">
      <x:c r="A703" s="149" t="str">
        <x:f>IF('实盘净值数据(iFinD公式)'!A703="","",'实盘净值数据(iFinD公式)'!A703)</x:f>
      </x:c>
      <x:c r="B703" s="146" t="e">
        <x:f>IF(OR('实盘净值数据(iFinD公式)'!$A703="",'实盘净值数据(iFinD公式)'!$B703=""),"",分期持仓明细!$AD$17*SUMPRODUCT(分期持仓明细!$B$17:$AA$17,'实盘净值数据(iFinD公式)'!$B703:$AA703/'实盘净值数据(iFinD公式)'!$B$20:$AA$20)*(1-实盘持仓初始配置!$Z$4)^(('实盘净值数据(iFinD公式)'!$A703-'实盘净值数据(iFinD公式)'!$A$6)/365))</x:f>
        <x:v>#NAME?</x:v>
      </x:c>
      <x:c r="C703" s="152" t="e">
        <x:f>IF(OR(B702="",B703=""),"",B703/B702-1)</x:f>
        <x:v>#NAME?</x:v>
      </x:c>
      <x:c r="D703" s="152" t="e">
        <x:f>IF(B703="","",B703/MAX(B$5:B703)-1)</x:f>
        <x:v>#NAME?</x:v>
      </x:c>
      <x:c r="E703" s="146" t="e">
        <x:f>IF(OR('实盘净值数据(iFinD公式)'!$A703="",'实盘净值数据(iFinD公式)'!$B703=""),"",分期持仓明细!$AD$18*SUMPRODUCT(分期持仓明细!$B$18:$AA$18,'实盘净值数据(iFinD公式)'!$B703:$AA703/'实盘净值数据(iFinD公式)'!$B$20:$AA$20)*(1-实盘持仓初始配置!$Z$5)^(('实盘净值数据(iFinD公式)'!$A703-'实盘净值数据(iFinD公式)'!$A$5)/365))</x:f>
        <x:v>#NAME?</x:v>
      </x:c>
      <x:c r="F703" s="152" t="e">
        <x:f>IF(OR(E702="",E703=""),"",E703/E702-1)</x:f>
        <x:v>#NAME?</x:v>
      </x:c>
      <x:c r="G703" s="152" t="e">
        <x:f>IF(E703="","",E703/MAX(E$5:E703)-1)</x:f>
        <x:v>#NAME?</x:v>
      </x:c>
      <x:c r="H703" s="146" t="e">
        <x:f>IF(OR('实盘净值数据(iFinD公式)'!$A703="",'实盘净值数据(iFinD公式)'!$B703=""),"",分期持仓明细!$AD$19*SUMPRODUCT(分期持仓明细!$B$19:$AA$19,'实盘净值数据(iFinD公式)'!$B703:$AA703/'实盘净值数据(iFinD公式)'!$B$20:$AA$20)*(1-实盘持仓初始配置!$Z$6)^(('实盘净值数据(iFinD公式)'!$A703-'实盘净值数据(iFinD公式)'!$A$7)/365))</x:f>
        <x:v>#NAME?</x:v>
      </x:c>
      <x:c r="I703" s="152" t="e">
        <x:f>IF(OR(H702="",H703=""),"",H703/H702-1)</x:f>
        <x:v>#NAME?</x:v>
      </x:c>
      <x:c r="J703" s="152" t="e">
        <x:f>IF(H703="","",H703/MAX(H$5:H703)-1)</x:f>
        <x:v>#NAME?</x:v>
      </x:c>
      <x:c r="K703" s="146" t="e">
        <x:f>IF(OR('实盘净值数据(iFinD公式)'!$A703="",'实盘净值数据(iFinD公式)'!$B703=""),"",分期持仓明细!$AD$23*SUMPRODUCT(分期持仓明细!$B$23:$AA$23,'实盘净值数据(iFinD公式)'!$B703:$AA703/'实盘净值数据(iFinD公式)'!$B$65:$AA$65)*(1-实盘持仓初始配置!$Z$7)^(('实盘净值数据(iFinD公式)'!$A703-'实盘净值数据(iFinD公式)'!$A$8)/365))</x:f>
        <x:v>#NAME?</x:v>
      </x:c>
      <x:c r="L703" s="152" t="e">
        <x:f>IF(OR(K702="",K703=""),"",K703/K702-1)</x:f>
        <x:v>#NAME?</x:v>
      </x:c>
      <x:c r="M703" s="152" t="e">
        <x:f>IF(K703="","",K703/MAX(K$5:K703)-1)</x:f>
        <x:v>#NAME?</x:v>
      </x:c>
      <x:c r="N703" s="146" t="e">
        <x:f>IF(OR('实盘净值数据(iFinD公式)'!$A703="",'实盘净值数据(iFinD公式)'!$B703=""),"",分期持仓明细!$AD$24*SUMPRODUCT(分期持仓明细!$B$24:$AA$24,'实盘净值数据(iFinD公式)'!$B703:$AA703/'实盘净值数据(iFinD公式)'!$B$65:$AA$65)*(1-实盘持仓初始配置!$Z$8)^(('实盘净值数据(iFinD公式)'!$A703-'实盘净值数据(iFinD公式)'!$A$5)/365))</x:f>
        <x:v>#NAME?</x:v>
      </x:c>
      <x:c r="O703" s="152" t="e">
        <x:f>IF(OR(N702="",N703=""),"",N703/N702-1)</x:f>
        <x:v>#NAME?</x:v>
      </x:c>
      <x:c r="P703" s="152" t="e">
        <x:f>IF(N703="","",N703/MAX(N$5:N703)-1)</x:f>
        <x:v>#NAME?</x:v>
      </x:c>
      <x:c r="Q703" s="146" t="e">
        <x:f>IF(OR('实盘净值数据(iFinD公式)'!$A703="",'实盘净值数据(iFinD公式)'!$B703=""),"",分期持仓明细!$AD$25*SUMPRODUCT(分期持仓明细!$B$25:$AA$25,'实盘净值数据(iFinD公式)'!$B703:$AA703/'实盘净值数据(iFinD公式)'!$B$65:$AA$65)*(1-实盘持仓初始配置!$Z$9)^(('实盘净值数据(iFinD公式)'!$A703-'实盘净值数据(iFinD公式)'!$A$8)/365))</x:f>
        <x:v>#NAME?</x:v>
      </x:c>
      <x:c r="R703" s="152" t="e">
        <x:f>IF(OR(Q702="",Q703=""),"",Q703/Q702-1)</x:f>
        <x:v>#NAME?</x:v>
      </x:c>
      <x:c r="S703" s="152" t="e">
        <x:f>IF(Q703="","",Q703/MAX(Q$5:Q703)-1)</x:f>
        <x:v>#NAME?</x:v>
      </x:c>
    </x:row>
    <x:row r="704">
      <x:c r="A704" s="149" t="str">
        <x:f>IF('实盘净值数据(iFinD公式)'!A704="","",'实盘净值数据(iFinD公式)'!A704)</x:f>
      </x:c>
      <x:c r="B704" s="146" t="e">
        <x:f>IF(OR('实盘净值数据(iFinD公式)'!$A704="",'实盘净值数据(iFinD公式)'!$B704=""),"",分期持仓明细!$AD$17*SUMPRODUCT(分期持仓明细!$B$17:$AA$17,'实盘净值数据(iFinD公式)'!$B704:$AA704/'实盘净值数据(iFinD公式)'!$B$20:$AA$20)*(1-实盘持仓初始配置!$Z$4)^(('实盘净值数据(iFinD公式)'!$A704-'实盘净值数据(iFinD公式)'!$A$6)/365))</x:f>
        <x:v>#NAME?</x:v>
      </x:c>
      <x:c r="C704" s="152" t="e">
        <x:f>IF(OR(B703="",B704=""),"",B704/B703-1)</x:f>
        <x:v>#NAME?</x:v>
      </x:c>
      <x:c r="D704" s="152" t="e">
        <x:f>IF(B704="","",B704/MAX(B$5:B704)-1)</x:f>
        <x:v>#NAME?</x:v>
      </x:c>
      <x:c r="E704" s="146" t="e">
        <x:f>IF(OR('实盘净值数据(iFinD公式)'!$A704="",'实盘净值数据(iFinD公式)'!$B704=""),"",分期持仓明细!$AD$18*SUMPRODUCT(分期持仓明细!$B$18:$AA$18,'实盘净值数据(iFinD公式)'!$B704:$AA704/'实盘净值数据(iFinD公式)'!$B$20:$AA$20)*(1-实盘持仓初始配置!$Z$5)^(('实盘净值数据(iFinD公式)'!$A704-'实盘净值数据(iFinD公式)'!$A$5)/365))</x:f>
        <x:v>#NAME?</x:v>
      </x:c>
      <x:c r="F704" s="152" t="e">
        <x:f>IF(OR(E703="",E704=""),"",E704/E703-1)</x:f>
        <x:v>#NAME?</x:v>
      </x:c>
      <x:c r="G704" s="152" t="e">
        <x:f>IF(E704="","",E704/MAX(E$5:E704)-1)</x:f>
        <x:v>#NAME?</x:v>
      </x:c>
      <x:c r="H704" s="146" t="e">
        <x:f>IF(OR('实盘净值数据(iFinD公式)'!$A704="",'实盘净值数据(iFinD公式)'!$B704=""),"",分期持仓明细!$AD$19*SUMPRODUCT(分期持仓明细!$B$19:$AA$19,'实盘净值数据(iFinD公式)'!$B704:$AA704/'实盘净值数据(iFinD公式)'!$B$20:$AA$20)*(1-实盘持仓初始配置!$Z$6)^(('实盘净值数据(iFinD公式)'!$A704-'实盘净值数据(iFinD公式)'!$A$7)/365))</x:f>
        <x:v>#NAME?</x:v>
      </x:c>
      <x:c r="I704" s="152" t="e">
        <x:f>IF(OR(H703="",H704=""),"",H704/H703-1)</x:f>
        <x:v>#NAME?</x:v>
      </x:c>
      <x:c r="J704" s="152" t="e">
        <x:f>IF(H704="","",H704/MAX(H$5:H704)-1)</x:f>
        <x:v>#NAME?</x:v>
      </x:c>
      <x:c r="K704" s="146" t="e">
        <x:f>IF(OR('实盘净值数据(iFinD公式)'!$A704="",'实盘净值数据(iFinD公式)'!$B704=""),"",分期持仓明细!$AD$23*SUMPRODUCT(分期持仓明细!$B$23:$AA$23,'实盘净值数据(iFinD公式)'!$B704:$AA704/'实盘净值数据(iFinD公式)'!$B$65:$AA$65)*(1-实盘持仓初始配置!$Z$7)^(('实盘净值数据(iFinD公式)'!$A704-'实盘净值数据(iFinD公式)'!$A$8)/365))</x:f>
        <x:v>#NAME?</x:v>
      </x:c>
      <x:c r="L704" s="152" t="e">
        <x:f>IF(OR(K703="",K704=""),"",K704/K703-1)</x:f>
        <x:v>#NAME?</x:v>
      </x:c>
      <x:c r="M704" s="152" t="e">
        <x:f>IF(K704="","",K704/MAX(K$5:K704)-1)</x:f>
        <x:v>#NAME?</x:v>
      </x:c>
      <x:c r="N704" s="146" t="e">
        <x:f>IF(OR('实盘净值数据(iFinD公式)'!$A704="",'实盘净值数据(iFinD公式)'!$B704=""),"",分期持仓明细!$AD$24*SUMPRODUCT(分期持仓明细!$B$24:$AA$24,'实盘净值数据(iFinD公式)'!$B704:$AA704/'实盘净值数据(iFinD公式)'!$B$65:$AA$65)*(1-实盘持仓初始配置!$Z$8)^(('实盘净值数据(iFinD公式)'!$A704-'实盘净值数据(iFinD公式)'!$A$5)/365))</x:f>
        <x:v>#NAME?</x:v>
      </x:c>
      <x:c r="O704" s="152" t="e">
        <x:f>IF(OR(N703="",N704=""),"",N704/N703-1)</x:f>
        <x:v>#NAME?</x:v>
      </x:c>
      <x:c r="P704" s="152" t="e">
        <x:f>IF(N704="","",N704/MAX(N$5:N704)-1)</x:f>
        <x:v>#NAME?</x:v>
      </x:c>
      <x:c r="Q704" s="146" t="e">
        <x:f>IF(OR('实盘净值数据(iFinD公式)'!$A704="",'实盘净值数据(iFinD公式)'!$B704=""),"",分期持仓明细!$AD$25*SUMPRODUCT(分期持仓明细!$B$25:$AA$25,'实盘净值数据(iFinD公式)'!$B704:$AA704/'实盘净值数据(iFinD公式)'!$B$65:$AA$65)*(1-实盘持仓初始配置!$Z$9)^(('实盘净值数据(iFinD公式)'!$A704-'实盘净值数据(iFinD公式)'!$A$8)/365))</x:f>
        <x:v>#NAME?</x:v>
      </x:c>
      <x:c r="R704" s="152" t="e">
        <x:f>IF(OR(Q703="",Q704=""),"",Q704/Q703-1)</x:f>
        <x:v>#NAME?</x:v>
      </x:c>
      <x:c r="S704" s="152" t="e">
        <x:f>IF(Q704="","",Q704/MAX(Q$5:Q704)-1)</x:f>
        <x:v>#NAME?</x:v>
      </x:c>
    </x:row>
    <x:row r="705">
      <x:c r="A705" s="149" t="str">
        <x:f>IF('实盘净值数据(iFinD公式)'!A705="","",'实盘净值数据(iFinD公式)'!A705)</x:f>
      </x:c>
      <x:c r="B705" s="146" t="e">
        <x:f>IF(OR('实盘净值数据(iFinD公式)'!$A705="",'实盘净值数据(iFinD公式)'!$B705=""),"",分期持仓明细!$AD$17*SUMPRODUCT(分期持仓明细!$B$17:$AA$17,'实盘净值数据(iFinD公式)'!$B705:$AA705/'实盘净值数据(iFinD公式)'!$B$20:$AA$20)*(1-实盘持仓初始配置!$Z$4)^(('实盘净值数据(iFinD公式)'!$A705-'实盘净值数据(iFinD公式)'!$A$6)/365))</x:f>
        <x:v>#NAME?</x:v>
      </x:c>
      <x:c r="C705" s="152" t="e">
        <x:f>IF(OR(B704="",B705=""),"",B705/B704-1)</x:f>
        <x:v>#NAME?</x:v>
      </x:c>
      <x:c r="D705" s="152" t="e">
        <x:f>IF(B705="","",B705/MAX(B$5:B705)-1)</x:f>
        <x:v>#NAME?</x:v>
      </x:c>
      <x:c r="E705" s="146" t="e">
        <x:f>IF(OR('实盘净值数据(iFinD公式)'!$A705="",'实盘净值数据(iFinD公式)'!$B705=""),"",分期持仓明细!$AD$18*SUMPRODUCT(分期持仓明细!$B$18:$AA$18,'实盘净值数据(iFinD公式)'!$B705:$AA705/'实盘净值数据(iFinD公式)'!$B$20:$AA$20)*(1-实盘持仓初始配置!$Z$5)^(('实盘净值数据(iFinD公式)'!$A705-'实盘净值数据(iFinD公式)'!$A$5)/365))</x:f>
        <x:v>#NAME?</x:v>
      </x:c>
      <x:c r="F705" s="152" t="e">
        <x:f>IF(OR(E704="",E705=""),"",E705/E704-1)</x:f>
        <x:v>#NAME?</x:v>
      </x:c>
      <x:c r="G705" s="152" t="e">
        <x:f>IF(E705="","",E705/MAX(E$5:E705)-1)</x:f>
        <x:v>#NAME?</x:v>
      </x:c>
      <x:c r="H705" s="146" t="e">
        <x:f>IF(OR('实盘净值数据(iFinD公式)'!$A705="",'实盘净值数据(iFinD公式)'!$B705=""),"",分期持仓明细!$AD$19*SUMPRODUCT(分期持仓明细!$B$19:$AA$19,'实盘净值数据(iFinD公式)'!$B705:$AA705/'实盘净值数据(iFinD公式)'!$B$20:$AA$20)*(1-实盘持仓初始配置!$Z$6)^(('实盘净值数据(iFinD公式)'!$A705-'实盘净值数据(iFinD公式)'!$A$7)/365))</x:f>
        <x:v>#NAME?</x:v>
      </x:c>
      <x:c r="I705" s="152" t="e">
        <x:f>IF(OR(H704="",H705=""),"",H705/H704-1)</x:f>
        <x:v>#NAME?</x:v>
      </x:c>
      <x:c r="J705" s="152" t="e">
        <x:f>IF(H705="","",H705/MAX(H$5:H705)-1)</x:f>
        <x:v>#NAME?</x:v>
      </x:c>
      <x:c r="K705" s="146" t="e">
        <x:f>IF(OR('实盘净值数据(iFinD公式)'!$A705="",'实盘净值数据(iFinD公式)'!$B705=""),"",分期持仓明细!$AD$23*SUMPRODUCT(分期持仓明细!$B$23:$AA$23,'实盘净值数据(iFinD公式)'!$B705:$AA705/'实盘净值数据(iFinD公式)'!$B$65:$AA$65)*(1-实盘持仓初始配置!$Z$7)^(('实盘净值数据(iFinD公式)'!$A705-'实盘净值数据(iFinD公式)'!$A$8)/365))</x:f>
        <x:v>#NAME?</x:v>
      </x:c>
      <x:c r="L705" s="152" t="e">
        <x:f>IF(OR(K704="",K705=""),"",K705/K704-1)</x:f>
        <x:v>#NAME?</x:v>
      </x:c>
      <x:c r="M705" s="152" t="e">
        <x:f>IF(K705="","",K705/MAX(K$5:K705)-1)</x:f>
        <x:v>#NAME?</x:v>
      </x:c>
      <x:c r="N705" s="146" t="e">
        <x:f>IF(OR('实盘净值数据(iFinD公式)'!$A705="",'实盘净值数据(iFinD公式)'!$B705=""),"",分期持仓明细!$AD$24*SUMPRODUCT(分期持仓明细!$B$24:$AA$24,'实盘净值数据(iFinD公式)'!$B705:$AA705/'实盘净值数据(iFinD公式)'!$B$65:$AA$65)*(1-实盘持仓初始配置!$Z$8)^(('实盘净值数据(iFinD公式)'!$A705-'实盘净值数据(iFinD公式)'!$A$5)/365))</x:f>
        <x:v>#NAME?</x:v>
      </x:c>
      <x:c r="O705" s="152" t="e">
        <x:f>IF(OR(N704="",N705=""),"",N705/N704-1)</x:f>
        <x:v>#NAME?</x:v>
      </x:c>
      <x:c r="P705" s="152" t="e">
        <x:f>IF(N705="","",N705/MAX(N$5:N705)-1)</x:f>
        <x:v>#NAME?</x:v>
      </x:c>
      <x:c r="Q705" s="146" t="e">
        <x:f>IF(OR('实盘净值数据(iFinD公式)'!$A705="",'实盘净值数据(iFinD公式)'!$B705=""),"",分期持仓明细!$AD$25*SUMPRODUCT(分期持仓明细!$B$25:$AA$25,'实盘净值数据(iFinD公式)'!$B705:$AA705/'实盘净值数据(iFinD公式)'!$B$65:$AA$65)*(1-实盘持仓初始配置!$Z$9)^(('实盘净值数据(iFinD公式)'!$A705-'实盘净值数据(iFinD公式)'!$A$8)/365))</x:f>
        <x:v>#NAME?</x:v>
      </x:c>
      <x:c r="R705" s="152" t="e">
        <x:f>IF(OR(Q704="",Q705=""),"",Q705/Q704-1)</x:f>
        <x:v>#NAME?</x:v>
      </x:c>
      <x:c r="S705" s="152" t="e">
        <x:f>IF(Q705="","",Q705/MAX(Q$5:Q705)-1)</x:f>
        <x:v>#NAME?</x:v>
      </x:c>
    </x:row>
    <x:row r="706">
      <x:c r="A706" s="149" t="str">
        <x:f>IF('实盘净值数据(iFinD公式)'!A706="","",'实盘净值数据(iFinD公式)'!A706)</x:f>
      </x:c>
      <x:c r="B706" s="146" t="e">
        <x:f>IF(OR('实盘净值数据(iFinD公式)'!$A706="",'实盘净值数据(iFinD公式)'!$B706=""),"",分期持仓明细!$AD$17*SUMPRODUCT(分期持仓明细!$B$17:$AA$17,'实盘净值数据(iFinD公式)'!$B706:$AA706/'实盘净值数据(iFinD公式)'!$B$20:$AA$20)*(1-实盘持仓初始配置!$Z$4)^(('实盘净值数据(iFinD公式)'!$A706-'实盘净值数据(iFinD公式)'!$A$6)/365))</x:f>
        <x:v>#NAME?</x:v>
      </x:c>
      <x:c r="C706" s="152" t="e">
        <x:f>IF(OR(B705="",B706=""),"",B706/B705-1)</x:f>
        <x:v>#NAME?</x:v>
      </x:c>
      <x:c r="D706" s="152" t="e">
        <x:f>IF(B706="","",B706/MAX(B$5:B706)-1)</x:f>
        <x:v>#NAME?</x:v>
      </x:c>
      <x:c r="E706" s="146" t="e">
        <x:f>IF(OR('实盘净值数据(iFinD公式)'!$A706="",'实盘净值数据(iFinD公式)'!$B706=""),"",分期持仓明细!$AD$18*SUMPRODUCT(分期持仓明细!$B$18:$AA$18,'实盘净值数据(iFinD公式)'!$B706:$AA706/'实盘净值数据(iFinD公式)'!$B$20:$AA$20)*(1-实盘持仓初始配置!$Z$5)^(('实盘净值数据(iFinD公式)'!$A706-'实盘净值数据(iFinD公式)'!$A$5)/365))</x:f>
        <x:v>#NAME?</x:v>
      </x:c>
      <x:c r="F706" s="152" t="e">
        <x:f>IF(OR(E705="",E706=""),"",E706/E705-1)</x:f>
        <x:v>#NAME?</x:v>
      </x:c>
      <x:c r="G706" s="152" t="e">
        <x:f>IF(E706="","",E706/MAX(E$5:E706)-1)</x:f>
        <x:v>#NAME?</x:v>
      </x:c>
      <x:c r="H706" s="146" t="e">
        <x:f>IF(OR('实盘净值数据(iFinD公式)'!$A706="",'实盘净值数据(iFinD公式)'!$B706=""),"",分期持仓明细!$AD$19*SUMPRODUCT(分期持仓明细!$B$19:$AA$19,'实盘净值数据(iFinD公式)'!$B706:$AA706/'实盘净值数据(iFinD公式)'!$B$20:$AA$20)*(1-实盘持仓初始配置!$Z$6)^(('实盘净值数据(iFinD公式)'!$A706-'实盘净值数据(iFinD公式)'!$A$7)/365))</x:f>
        <x:v>#NAME?</x:v>
      </x:c>
      <x:c r="I706" s="152" t="e">
        <x:f>IF(OR(H705="",H706=""),"",H706/H705-1)</x:f>
        <x:v>#NAME?</x:v>
      </x:c>
      <x:c r="J706" s="152" t="e">
        <x:f>IF(H706="","",H706/MAX(H$5:H706)-1)</x:f>
        <x:v>#NAME?</x:v>
      </x:c>
      <x:c r="K706" s="146" t="e">
        <x:f>IF(OR('实盘净值数据(iFinD公式)'!$A706="",'实盘净值数据(iFinD公式)'!$B706=""),"",分期持仓明细!$AD$23*SUMPRODUCT(分期持仓明细!$B$23:$AA$23,'实盘净值数据(iFinD公式)'!$B706:$AA706/'实盘净值数据(iFinD公式)'!$B$65:$AA$65)*(1-实盘持仓初始配置!$Z$7)^(('实盘净值数据(iFinD公式)'!$A706-'实盘净值数据(iFinD公式)'!$A$8)/365))</x:f>
        <x:v>#NAME?</x:v>
      </x:c>
      <x:c r="L706" s="152" t="e">
        <x:f>IF(OR(K705="",K706=""),"",K706/K705-1)</x:f>
        <x:v>#NAME?</x:v>
      </x:c>
      <x:c r="M706" s="152" t="e">
        <x:f>IF(K706="","",K706/MAX(K$5:K706)-1)</x:f>
        <x:v>#NAME?</x:v>
      </x:c>
      <x:c r="N706" s="146" t="e">
        <x:f>IF(OR('实盘净值数据(iFinD公式)'!$A706="",'实盘净值数据(iFinD公式)'!$B706=""),"",分期持仓明细!$AD$24*SUMPRODUCT(分期持仓明细!$B$24:$AA$24,'实盘净值数据(iFinD公式)'!$B706:$AA706/'实盘净值数据(iFinD公式)'!$B$65:$AA$65)*(1-实盘持仓初始配置!$Z$8)^(('实盘净值数据(iFinD公式)'!$A706-'实盘净值数据(iFinD公式)'!$A$5)/365))</x:f>
        <x:v>#NAME?</x:v>
      </x:c>
      <x:c r="O706" s="152" t="e">
        <x:f>IF(OR(N705="",N706=""),"",N706/N705-1)</x:f>
        <x:v>#NAME?</x:v>
      </x:c>
      <x:c r="P706" s="152" t="e">
        <x:f>IF(N706="","",N706/MAX(N$5:N706)-1)</x:f>
        <x:v>#NAME?</x:v>
      </x:c>
      <x:c r="Q706" s="146" t="e">
        <x:f>IF(OR('实盘净值数据(iFinD公式)'!$A706="",'实盘净值数据(iFinD公式)'!$B706=""),"",分期持仓明细!$AD$25*SUMPRODUCT(分期持仓明细!$B$25:$AA$25,'实盘净值数据(iFinD公式)'!$B706:$AA706/'实盘净值数据(iFinD公式)'!$B$65:$AA$65)*(1-实盘持仓初始配置!$Z$9)^(('实盘净值数据(iFinD公式)'!$A706-'实盘净值数据(iFinD公式)'!$A$8)/365))</x:f>
        <x:v>#NAME?</x:v>
      </x:c>
      <x:c r="R706" s="152" t="e">
        <x:f>IF(OR(Q705="",Q706=""),"",Q706/Q705-1)</x:f>
        <x:v>#NAME?</x:v>
      </x:c>
      <x:c r="S706" s="152" t="e">
        <x:f>IF(Q706="","",Q706/MAX(Q$5:Q706)-1)</x:f>
        <x:v>#NAME?</x:v>
      </x:c>
    </x:row>
    <x:row r="707">
      <x:c r="A707" s="149" t="str">
        <x:f>IF('实盘净值数据(iFinD公式)'!A707="","",'实盘净值数据(iFinD公式)'!A707)</x:f>
      </x:c>
      <x:c r="B707" s="146" t="e">
        <x:f>IF(OR('实盘净值数据(iFinD公式)'!$A707="",'实盘净值数据(iFinD公式)'!$B707=""),"",分期持仓明细!$AD$17*SUMPRODUCT(分期持仓明细!$B$17:$AA$17,'实盘净值数据(iFinD公式)'!$B707:$AA707/'实盘净值数据(iFinD公式)'!$B$20:$AA$20)*(1-实盘持仓初始配置!$Z$4)^(('实盘净值数据(iFinD公式)'!$A707-'实盘净值数据(iFinD公式)'!$A$6)/365))</x:f>
        <x:v>#NAME?</x:v>
      </x:c>
      <x:c r="C707" s="152" t="e">
        <x:f>IF(OR(B706="",B707=""),"",B707/B706-1)</x:f>
        <x:v>#NAME?</x:v>
      </x:c>
      <x:c r="D707" s="152" t="e">
        <x:f>IF(B707="","",B707/MAX(B$5:B707)-1)</x:f>
        <x:v>#NAME?</x:v>
      </x:c>
      <x:c r="E707" s="146" t="e">
        <x:f>IF(OR('实盘净值数据(iFinD公式)'!$A707="",'实盘净值数据(iFinD公式)'!$B707=""),"",分期持仓明细!$AD$18*SUMPRODUCT(分期持仓明细!$B$18:$AA$18,'实盘净值数据(iFinD公式)'!$B707:$AA707/'实盘净值数据(iFinD公式)'!$B$20:$AA$20)*(1-实盘持仓初始配置!$Z$5)^(('实盘净值数据(iFinD公式)'!$A707-'实盘净值数据(iFinD公式)'!$A$5)/365))</x:f>
        <x:v>#NAME?</x:v>
      </x:c>
      <x:c r="F707" s="152" t="e">
        <x:f>IF(OR(E706="",E707=""),"",E707/E706-1)</x:f>
        <x:v>#NAME?</x:v>
      </x:c>
      <x:c r="G707" s="152" t="e">
        <x:f>IF(E707="","",E707/MAX(E$5:E707)-1)</x:f>
        <x:v>#NAME?</x:v>
      </x:c>
      <x:c r="H707" s="146" t="e">
        <x:f>IF(OR('实盘净值数据(iFinD公式)'!$A707="",'实盘净值数据(iFinD公式)'!$B707=""),"",分期持仓明细!$AD$19*SUMPRODUCT(分期持仓明细!$B$19:$AA$19,'实盘净值数据(iFinD公式)'!$B707:$AA707/'实盘净值数据(iFinD公式)'!$B$20:$AA$20)*(1-实盘持仓初始配置!$Z$6)^(('实盘净值数据(iFinD公式)'!$A707-'实盘净值数据(iFinD公式)'!$A$7)/365))</x:f>
        <x:v>#NAME?</x:v>
      </x:c>
      <x:c r="I707" s="152" t="e">
        <x:f>IF(OR(H706="",H707=""),"",H707/H706-1)</x:f>
        <x:v>#NAME?</x:v>
      </x:c>
      <x:c r="J707" s="152" t="e">
        <x:f>IF(H707="","",H707/MAX(H$5:H707)-1)</x:f>
        <x:v>#NAME?</x:v>
      </x:c>
      <x:c r="K707" s="146" t="e">
        <x:f>IF(OR('实盘净值数据(iFinD公式)'!$A707="",'实盘净值数据(iFinD公式)'!$B707=""),"",分期持仓明细!$AD$23*SUMPRODUCT(分期持仓明细!$B$23:$AA$23,'实盘净值数据(iFinD公式)'!$B707:$AA707/'实盘净值数据(iFinD公式)'!$B$65:$AA$65)*(1-实盘持仓初始配置!$Z$7)^(('实盘净值数据(iFinD公式)'!$A707-'实盘净值数据(iFinD公式)'!$A$8)/365))</x:f>
        <x:v>#NAME?</x:v>
      </x:c>
      <x:c r="L707" s="152" t="e">
        <x:f>IF(OR(K706="",K707=""),"",K707/K706-1)</x:f>
        <x:v>#NAME?</x:v>
      </x:c>
      <x:c r="M707" s="152" t="e">
        <x:f>IF(K707="","",K707/MAX(K$5:K707)-1)</x:f>
        <x:v>#NAME?</x:v>
      </x:c>
      <x:c r="N707" s="146" t="e">
        <x:f>IF(OR('实盘净值数据(iFinD公式)'!$A707="",'实盘净值数据(iFinD公式)'!$B707=""),"",分期持仓明细!$AD$24*SUMPRODUCT(分期持仓明细!$B$24:$AA$24,'实盘净值数据(iFinD公式)'!$B707:$AA707/'实盘净值数据(iFinD公式)'!$B$65:$AA$65)*(1-实盘持仓初始配置!$Z$8)^(('实盘净值数据(iFinD公式)'!$A707-'实盘净值数据(iFinD公式)'!$A$5)/365))</x:f>
        <x:v>#NAME?</x:v>
      </x:c>
      <x:c r="O707" s="152" t="e">
        <x:f>IF(OR(N706="",N707=""),"",N707/N706-1)</x:f>
        <x:v>#NAME?</x:v>
      </x:c>
      <x:c r="P707" s="152" t="e">
        <x:f>IF(N707="","",N707/MAX(N$5:N707)-1)</x:f>
        <x:v>#NAME?</x:v>
      </x:c>
      <x:c r="Q707" s="146" t="e">
        <x:f>IF(OR('实盘净值数据(iFinD公式)'!$A707="",'实盘净值数据(iFinD公式)'!$B707=""),"",分期持仓明细!$AD$25*SUMPRODUCT(分期持仓明细!$B$25:$AA$25,'实盘净值数据(iFinD公式)'!$B707:$AA707/'实盘净值数据(iFinD公式)'!$B$65:$AA$65)*(1-实盘持仓初始配置!$Z$9)^(('实盘净值数据(iFinD公式)'!$A707-'实盘净值数据(iFinD公式)'!$A$8)/365))</x:f>
        <x:v>#NAME?</x:v>
      </x:c>
      <x:c r="R707" s="152" t="e">
        <x:f>IF(OR(Q706="",Q707=""),"",Q707/Q706-1)</x:f>
        <x:v>#NAME?</x:v>
      </x:c>
      <x:c r="S707" s="152" t="e">
        <x:f>IF(Q707="","",Q707/MAX(Q$5:Q707)-1)</x:f>
        <x:v>#NAME?</x:v>
      </x:c>
    </x:row>
    <x:row r="708">
      <x:c r="A708" s="149" t="str">
        <x:f>IF('实盘净值数据(iFinD公式)'!A708="","",'实盘净值数据(iFinD公式)'!A708)</x:f>
      </x:c>
      <x:c r="B708" s="146" t="e">
        <x:f>IF(OR('实盘净值数据(iFinD公式)'!$A708="",'实盘净值数据(iFinD公式)'!$B708=""),"",分期持仓明细!$AD$17*SUMPRODUCT(分期持仓明细!$B$17:$AA$17,'实盘净值数据(iFinD公式)'!$B708:$AA708/'实盘净值数据(iFinD公式)'!$B$20:$AA$20)*(1-实盘持仓初始配置!$Z$4)^(('实盘净值数据(iFinD公式)'!$A708-'实盘净值数据(iFinD公式)'!$A$6)/365))</x:f>
        <x:v>#NAME?</x:v>
      </x:c>
      <x:c r="C708" s="152" t="e">
        <x:f>IF(OR(B707="",B708=""),"",B708/B707-1)</x:f>
        <x:v>#NAME?</x:v>
      </x:c>
      <x:c r="D708" s="152" t="e">
        <x:f>IF(B708="","",B708/MAX(B$5:B708)-1)</x:f>
        <x:v>#NAME?</x:v>
      </x:c>
      <x:c r="E708" s="146" t="e">
        <x:f>IF(OR('实盘净值数据(iFinD公式)'!$A708="",'实盘净值数据(iFinD公式)'!$B708=""),"",分期持仓明细!$AD$18*SUMPRODUCT(分期持仓明细!$B$18:$AA$18,'实盘净值数据(iFinD公式)'!$B708:$AA708/'实盘净值数据(iFinD公式)'!$B$20:$AA$20)*(1-实盘持仓初始配置!$Z$5)^(('实盘净值数据(iFinD公式)'!$A708-'实盘净值数据(iFinD公式)'!$A$5)/365))</x:f>
        <x:v>#NAME?</x:v>
      </x:c>
      <x:c r="F708" s="152" t="e">
        <x:f>IF(OR(E707="",E708=""),"",E708/E707-1)</x:f>
        <x:v>#NAME?</x:v>
      </x:c>
      <x:c r="G708" s="152" t="e">
        <x:f>IF(E708="","",E708/MAX(E$5:E708)-1)</x:f>
        <x:v>#NAME?</x:v>
      </x:c>
      <x:c r="H708" s="146" t="e">
        <x:f>IF(OR('实盘净值数据(iFinD公式)'!$A708="",'实盘净值数据(iFinD公式)'!$B708=""),"",分期持仓明细!$AD$19*SUMPRODUCT(分期持仓明细!$B$19:$AA$19,'实盘净值数据(iFinD公式)'!$B708:$AA708/'实盘净值数据(iFinD公式)'!$B$20:$AA$20)*(1-实盘持仓初始配置!$Z$6)^(('实盘净值数据(iFinD公式)'!$A708-'实盘净值数据(iFinD公式)'!$A$7)/365))</x:f>
        <x:v>#NAME?</x:v>
      </x:c>
      <x:c r="I708" s="152" t="e">
        <x:f>IF(OR(H707="",H708=""),"",H708/H707-1)</x:f>
        <x:v>#NAME?</x:v>
      </x:c>
      <x:c r="J708" s="152" t="e">
        <x:f>IF(H708="","",H708/MAX(H$5:H708)-1)</x:f>
        <x:v>#NAME?</x:v>
      </x:c>
      <x:c r="K708" s="146" t="e">
        <x:f>IF(OR('实盘净值数据(iFinD公式)'!$A708="",'实盘净值数据(iFinD公式)'!$B708=""),"",分期持仓明细!$AD$23*SUMPRODUCT(分期持仓明细!$B$23:$AA$23,'实盘净值数据(iFinD公式)'!$B708:$AA708/'实盘净值数据(iFinD公式)'!$B$65:$AA$65)*(1-实盘持仓初始配置!$Z$7)^(('实盘净值数据(iFinD公式)'!$A708-'实盘净值数据(iFinD公式)'!$A$8)/365))</x:f>
        <x:v>#NAME?</x:v>
      </x:c>
      <x:c r="L708" s="152" t="e">
        <x:f>IF(OR(K707="",K708=""),"",K708/K707-1)</x:f>
        <x:v>#NAME?</x:v>
      </x:c>
      <x:c r="M708" s="152" t="e">
        <x:f>IF(K708="","",K708/MAX(K$5:K708)-1)</x:f>
        <x:v>#NAME?</x:v>
      </x:c>
      <x:c r="N708" s="146" t="e">
        <x:f>IF(OR('实盘净值数据(iFinD公式)'!$A708="",'实盘净值数据(iFinD公式)'!$B708=""),"",分期持仓明细!$AD$24*SUMPRODUCT(分期持仓明细!$B$24:$AA$24,'实盘净值数据(iFinD公式)'!$B708:$AA708/'实盘净值数据(iFinD公式)'!$B$65:$AA$65)*(1-实盘持仓初始配置!$Z$8)^(('实盘净值数据(iFinD公式)'!$A708-'实盘净值数据(iFinD公式)'!$A$5)/365))</x:f>
        <x:v>#NAME?</x:v>
      </x:c>
      <x:c r="O708" s="152" t="e">
        <x:f>IF(OR(N707="",N708=""),"",N708/N707-1)</x:f>
        <x:v>#NAME?</x:v>
      </x:c>
      <x:c r="P708" s="152" t="e">
        <x:f>IF(N708="","",N708/MAX(N$5:N708)-1)</x:f>
        <x:v>#NAME?</x:v>
      </x:c>
      <x:c r="Q708" s="146" t="e">
        <x:f>IF(OR('实盘净值数据(iFinD公式)'!$A708="",'实盘净值数据(iFinD公式)'!$B708=""),"",分期持仓明细!$AD$25*SUMPRODUCT(分期持仓明细!$B$25:$AA$25,'实盘净值数据(iFinD公式)'!$B708:$AA708/'实盘净值数据(iFinD公式)'!$B$65:$AA$65)*(1-实盘持仓初始配置!$Z$9)^(('实盘净值数据(iFinD公式)'!$A708-'实盘净值数据(iFinD公式)'!$A$8)/365))</x:f>
        <x:v>#NAME?</x:v>
      </x:c>
      <x:c r="R708" s="152" t="e">
        <x:f>IF(OR(Q707="",Q708=""),"",Q708/Q707-1)</x:f>
        <x:v>#NAME?</x:v>
      </x:c>
      <x:c r="S708" s="152" t="e">
        <x:f>IF(Q708="","",Q708/MAX(Q$5:Q708)-1)</x:f>
        <x:v>#NAME?</x:v>
      </x:c>
    </x:row>
    <x:row r="709">
      <x:c r="A709" s="149" t="str">
        <x:f>IF('实盘净值数据(iFinD公式)'!A709="","",'实盘净值数据(iFinD公式)'!A709)</x:f>
      </x:c>
      <x:c r="B709" s="146" t="e">
        <x:f>IF(OR('实盘净值数据(iFinD公式)'!$A709="",'实盘净值数据(iFinD公式)'!$B709=""),"",分期持仓明细!$AD$17*SUMPRODUCT(分期持仓明细!$B$17:$AA$17,'实盘净值数据(iFinD公式)'!$B709:$AA709/'实盘净值数据(iFinD公式)'!$B$20:$AA$20)*(1-实盘持仓初始配置!$Z$4)^(('实盘净值数据(iFinD公式)'!$A709-'实盘净值数据(iFinD公式)'!$A$6)/365))</x:f>
        <x:v>#NAME?</x:v>
      </x:c>
      <x:c r="C709" s="152" t="e">
        <x:f>IF(OR(B708="",B709=""),"",B709/B708-1)</x:f>
        <x:v>#NAME?</x:v>
      </x:c>
      <x:c r="D709" s="152" t="e">
        <x:f>IF(B709="","",B709/MAX(B$5:B709)-1)</x:f>
        <x:v>#NAME?</x:v>
      </x:c>
      <x:c r="E709" s="146" t="e">
        <x:f>IF(OR('实盘净值数据(iFinD公式)'!$A709="",'实盘净值数据(iFinD公式)'!$B709=""),"",分期持仓明细!$AD$18*SUMPRODUCT(分期持仓明细!$B$18:$AA$18,'实盘净值数据(iFinD公式)'!$B709:$AA709/'实盘净值数据(iFinD公式)'!$B$20:$AA$20)*(1-实盘持仓初始配置!$Z$5)^(('实盘净值数据(iFinD公式)'!$A709-'实盘净值数据(iFinD公式)'!$A$5)/365))</x:f>
        <x:v>#NAME?</x:v>
      </x:c>
      <x:c r="F709" s="152" t="e">
        <x:f>IF(OR(E708="",E709=""),"",E709/E708-1)</x:f>
        <x:v>#NAME?</x:v>
      </x:c>
      <x:c r="G709" s="152" t="e">
        <x:f>IF(E709="","",E709/MAX(E$5:E709)-1)</x:f>
        <x:v>#NAME?</x:v>
      </x:c>
      <x:c r="H709" s="146" t="e">
        <x:f>IF(OR('实盘净值数据(iFinD公式)'!$A709="",'实盘净值数据(iFinD公式)'!$B709=""),"",分期持仓明细!$AD$19*SUMPRODUCT(分期持仓明细!$B$19:$AA$19,'实盘净值数据(iFinD公式)'!$B709:$AA709/'实盘净值数据(iFinD公式)'!$B$20:$AA$20)*(1-实盘持仓初始配置!$Z$6)^(('实盘净值数据(iFinD公式)'!$A709-'实盘净值数据(iFinD公式)'!$A$7)/365))</x:f>
        <x:v>#NAME?</x:v>
      </x:c>
      <x:c r="I709" s="152" t="e">
        <x:f>IF(OR(H708="",H709=""),"",H709/H708-1)</x:f>
        <x:v>#NAME?</x:v>
      </x:c>
      <x:c r="J709" s="152" t="e">
        <x:f>IF(H709="","",H709/MAX(H$5:H709)-1)</x:f>
        <x:v>#NAME?</x:v>
      </x:c>
      <x:c r="K709" s="146" t="e">
        <x:f>IF(OR('实盘净值数据(iFinD公式)'!$A709="",'实盘净值数据(iFinD公式)'!$B709=""),"",分期持仓明细!$AD$23*SUMPRODUCT(分期持仓明细!$B$23:$AA$23,'实盘净值数据(iFinD公式)'!$B709:$AA709/'实盘净值数据(iFinD公式)'!$B$65:$AA$65)*(1-实盘持仓初始配置!$Z$7)^(('实盘净值数据(iFinD公式)'!$A709-'实盘净值数据(iFinD公式)'!$A$8)/365))</x:f>
        <x:v>#NAME?</x:v>
      </x:c>
      <x:c r="L709" s="152" t="e">
        <x:f>IF(OR(K708="",K709=""),"",K709/K708-1)</x:f>
        <x:v>#NAME?</x:v>
      </x:c>
      <x:c r="M709" s="152" t="e">
        <x:f>IF(K709="","",K709/MAX(K$5:K709)-1)</x:f>
        <x:v>#NAME?</x:v>
      </x:c>
      <x:c r="N709" s="146" t="e">
        <x:f>IF(OR('实盘净值数据(iFinD公式)'!$A709="",'实盘净值数据(iFinD公式)'!$B709=""),"",分期持仓明细!$AD$24*SUMPRODUCT(分期持仓明细!$B$24:$AA$24,'实盘净值数据(iFinD公式)'!$B709:$AA709/'实盘净值数据(iFinD公式)'!$B$65:$AA$65)*(1-实盘持仓初始配置!$Z$8)^(('实盘净值数据(iFinD公式)'!$A709-'实盘净值数据(iFinD公式)'!$A$5)/365))</x:f>
        <x:v>#NAME?</x:v>
      </x:c>
      <x:c r="O709" s="152" t="e">
        <x:f>IF(OR(N708="",N709=""),"",N709/N708-1)</x:f>
        <x:v>#NAME?</x:v>
      </x:c>
      <x:c r="P709" s="152" t="e">
        <x:f>IF(N709="","",N709/MAX(N$5:N709)-1)</x:f>
        <x:v>#NAME?</x:v>
      </x:c>
      <x:c r="Q709" s="146" t="e">
        <x:f>IF(OR('实盘净值数据(iFinD公式)'!$A709="",'实盘净值数据(iFinD公式)'!$B709=""),"",分期持仓明细!$AD$25*SUMPRODUCT(分期持仓明细!$B$25:$AA$25,'实盘净值数据(iFinD公式)'!$B709:$AA709/'实盘净值数据(iFinD公式)'!$B$65:$AA$65)*(1-实盘持仓初始配置!$Z$9)^(('实盘净值数据(iFinD公式)'!$A709-'实盘净值数据(iFinD公式)'!$A$8)/365))</x:f>
        <x:v>#NAME?</x:v>
      </x:c>
      <x:c r="R709" s="152" t="e">
        <x:f>IF(OR(Q708="",Q709=""),"",Q709/Q708-1)</x:f>
        <x:v>#NAME?</x:v>
      </x:c>
      <x:c r="S709" s="152" t="e">
        <x:f>IF(Q709="","",Q709/MAX(Q$5:Q709)-1)</x:f>
        <x:v>#NAME?</x:v>
      </x:c>
    </x:row>
    <x:row r="710">
      <x:c r="A710" s="149" t="str">
        <x:f>IF('实盘净值数据(iFinD公式)'!A710="","",'实盘净值数据(iFinD公式)'!A710)</x:f>
      </x:c>
      <x:c r="B710" s="146" t="e">
        <x:f>IF(OR('实盘净值数据(iFinD公式)'!$A710="",'实盘净值数据(iFinD公式)'!$B710=""),"",分期持仓明细!$AD$17*SUMPRODUCT(分期持仓明细!$B$17:$AA$17,'实盘净值数据(iFinD公式)'!$B710:$AA710/'实盘净值数据(iFinD公式)'!$B$20:$AA$20)*(1-实盘持仓初始配置!$Z$4)^(('实盘净值数据(iFinD公式)'!$A710-'实盘净值数据(iFinD公式)'!$A$6)/365))</x:f>
        <x:v>#NAME?</x:v>
      </x:c>
      <x:c r="C710" s="152" t="e">
        <x:f>IF(OR(B709="",B710=""),"",B710/B709-1)</x:f>
        <x:v>#NAME?</x:v>
      </x:c>
      <x:c r="D710" s="152" t="e">
        <x:f>IF(B710="","",B710/MAX(B$5:B710)-1)</x:f>
        <x:v>#NAME?</x:v>
      </x:c>
      <x:c r="E710" s="146" t="e">
        <x:f>IF(OR('实盘净值数据(iFinD公式)'!$A710="",'实盘净值数据(iFinD公式)'!$B710=""),"",分期持仓明细!$AD$18*SUMPRODUCT(分期持仓明细!$B$18:$AA$18,'实盘净值数据(iFinD公式)'!$B710:$AA710/'实盘净值数据(iFinD公式)'!$B$20:$AA$20)*(1-实盘持仓初始配置!$Z$5)^(('实盘净值数据(iFinD公式)'!$A710-'实盘净值数据(iFinD公式)'!$A$5)/365))</x:f>
        <x:v>#NAME?</x:v>
      </x:c>
      <x:c r="F710" s="152" t="e">
        <x:f>IF(OR(E709="",E710=""),"",E710/E709-1)</x:f>
        <x:v>#NAME?</x:v>
      </x:c>
      <x:c r="G710" s="152" t="e">
        <x:f>IF(E710="","",E710/MAX(E$5:E710)-1)</x:f>
        <x:v>#NAME?</x:v>
      </x:c>
      <x:c r="H710" s="146" t="e">
        <x:f>IF(OR('实盘净值数据(iFinD公式)'!$A710="",'实盘净值数据(iFinD公式)'!$B710=""),"",分期持仓明细!$AD$19*SUMPRODUCT(分期持仓明细!$B$19:$AA$19,'实盘净值数据(iFinD公式)'!$B710:$AA710/'实盘净值数据(iFinD公式)'!$B$20:$AA$20)*(1-实盘持仓初始配置!$Z$6)^(('实盘净值数据(iFinD公式)'!$A710-'实盘净值数据(iFinD公式)'!$A$7)/365))</x:f>
        <x:v>#NAME?</x:v>
      </x:c>
      <x:c r="I710" s="152" t="e">
        <x:f>IF(OR(H709="",H710=""),"",H710/H709-1)</x:f>
        <x:v>#NAME?</x:v>
      </x:c>
      <x:c r="J710" s="152" t="e">
        <x:f>IF(H710="","",H710/MAX(H$5:H710)-1)</x:f>
        <x:v>#NAME?</x:v>
      </x:c>
      <x:c r="K710" s="146" t="e">
        <x:f>IF(OR('实盘净值数据(iFinD公式)'!$A710="",'实盘净值数据(iFinD公式)'!$B710=""),"",分期持仓明细!$AD$23*SUMPRODUCT(分期持仓明细!$B$23:$AA$23,'实盘净值数据(iFinD公式)'!$B710:$AA710/'实盘净值数据(iFinD公式)'!$B$65:$AA$65)*(1-实盘持仓初始配置!$Z$7)^(('实盘净值数据(iFinD公式)'!$A710-'实盘净值数据(iFinD公式)'!$A$8)/365))</x:f>
        <x:v>#NAME?</x:v>
      </x:c>
      <x:c r="L710" s="152" t="e">
        <x:f>IF(OR(K709="",K710=""),"",K710/K709-1)</x:f>
        <x:v>#NAME?</x:v>
      </x:c>
      <x:c r="M710" s="152" t="e">
        <x:f>IF(K710="","",K710/MAX(K$5:K710)-1)</x:f>
        <x:v>#NAME?</x:v>
      </x:c>
      <x:c r="N710" s="146" t="e">
        <x:f>IF(OR('实盘净值数据(iFinD公式)'!$A710="",'实盘净值数据(iFinD公式)'!$B710=""),"",分期持仓明细!$AD$24*SUMPRODUCT(分期持仓明细!$B$24:$AA$24,'实盘净值数据(iFinD公式)'!$B710:$AA710/'实盘净值数据(iFinD公式)'!$B$65:$AA$65)*(1-实盘持仓初始配置!$Z$8)^(('实盘净值数据(iFinD公式)'!$A710-'实盘净值数据(iFinD公式)'!$A$5)/365))</x:f>
        <x:v>#NAME?</x:v>
      </x:c>
      <x:c r="O710" s="152" t="e">
        <x:f>IF(OR(N709="",N710=""),"",N710/N709-1)</x:f>
        <x:v>#NAME?</x:v>
      </x:c>
      <x:c r="P710" s="152" t="e">
        <x:f>IF(N710="","",N710/MAX(N$5:N710)-1)</x:f>
        <x:v>#NAME?</x:v>
      </x:c>
      <x:c r="Q710" s="146" t="e">
        <x:f>IF(OR('实盘净值数据(iFinD公式)'!$A710="",'实盘净值数据(iFinD公式)'!$B710=""),"",分期持仓明细!$AD$25*SUMPRODUCT(分期持仓明细!$B$25:$AA$25,'实盘净值数据(iFinD公式)'!$B710:$AA710/'实盘净值数据(iFinD公式)'!$B$65:$AA$65)*(1-实盘持仓初始配置!$Z$9)^(('实盘净值数据(iFinD公式)'!$A710-'实盘净值数据(iFinD公式)'!$A$8)/365))</x:f>
        <x:v>#NAME?</x:v>
      </x:c>
      <x:c r="R710" s="152" t="e">
        <x:f>IF(OR(Q709="",Q710=""),"",Q710/Q709-1)</x:f>
        <x:v>#NAME?</x:v>
      </x:c>
      <x:c r="S710" s="152" t="e">
        <x:f>IF(Q710="","",Q710/MAX(Q$5:Q710)-1)</x:f>
        <x:v>#NAME?</x:v>
      </x:c>
    </x:row>
    <x:row r="711">
      <x:c r="A711" s="149" t="str">
        <x:f>IF('实盘净值数据(iFinD公式)'!A711="","",'实盘净值数据(iFinD公式)'!A711)</x:f>
      </x:c>
      <x:c r="B711" s="146" t="e">
        <x:f>IF(OR('实盘净值数据(iFinD公式)'!$A711="",'实盘净值数据(iFinD公式)'!$B711=""),"",分期持仓明细!$AD$17*SUMPRODUCT(分期持仓明细!$B$17:$AA$17,'实盘净值数据(iFinD公式)'!$B711:$AA711/'实盘净值数据(iFinD公式)'!$B$20:$AA$20)*(1-实盘持仓初始配置!$Z$4)^(('实盘净值数据(iFinD公式)'!$A711-'实盘净值数据(iFinD公式)'!$A$6)/365))</x:f>
        <x:v>#NAME?</x:v>
      </x:c>
      <x:c r="C711" s="152" t="e">
        <x:f>IF(OR(B710="",B711=""),"",B711/B710-1)</x:f>
        <x:v>#NAME?</x:v>
      </x:c>
      <x:c r="D711" s="152" t="e">
        <x:f>IF(B711="","",B711/MAX(B$5:B711)-1)</x:f>
        <x:v>#NAME?</x:v>
      </x:c>
      <x:c r="E711" s="146" t="e">
        <x:f>IF(OR('实盘净值数据(iFinD公式)'!$A711="",'实盘净值数据(iFinD公式)'!$B711=""),"",分期持仓明细!$AD$18*SUMPRODUCT(分期持仓明细!$B$18:$AA$18,'实盘净值数据(iFinD公式)'!$B711:$AA711/'实盘净值数据(iFinD公式)'!$B$20:$AA$20)*(1-实盘持仓初始配置!$Z$5)^(('实盘净值数据(iFinD公式)'!$A711-'实盘净值数据(iFinD公式)'!$A$5)/365))</x:f>
        <x:v>#NAME?</x:v>
      </x:c>
      <x:c r="F711" s="152" t="e">
        <x:f>IF(OR(E710="",E711=""),"",E711/E710-1)</x:f>
        <x:v>#NAME?</x:v>
      </x:c>
      <x:c r="G711" s="152" t="e">
        <x:f>IF(E711="","",E711/MAX(E$5:E711)-1)</x:f>
        <x:v>#NAME?</x:v>
      </x:c>
      <x:c r="H711" s="146" t="e">
        <x:f>IF(OR('实盘净值数据(iFinD公式)'!$A711="",'实盘净值数据(iFinD公式)'!$B711=""),"",分期持仓明细!$AD$19*SUMPRODUCT(分期持仓明细!$B$19:$AA$19,'实盘净值数据(iFinD公式)'!$B711:$AA711/'实盘净值数据(iFinD公式)'!$B$20:$AA$20)*(1-实盘持仓初始配置!$Z$6)^(('实盘净值数据(iFinD公式)'!$A711-'实盘净值数据(iFinD公式)'!$A$7)/365))</x:f>
        <x:v>#NAME?</x:v>
      </x:c>
      <x:c r="I711" s="152" t="e">
        <x:f>IF(OR(H710="",H711=""),"",H711/H710-1)</x:f>
        <x:v>#NAME?</x:v>
      </x:c>
      <x:c r="J711" s="152" t="e">
        <x:f>IF(H711="","",H711/MAX(H$5:H711)-1)</x:f>
        <x:v>#NAME?</x:v>
      </x:c>
      <x:c r="K711" s="146" t="e">
        <x:f>IF(OR('实盘净值数据(iFinD公式)'!$A711="",'实盘净值数据(iFinD公式)'!$B711=""),"",分期持仓明细!$AD$23*SUMPRODUCT(分期持仓明细!$B$23:$AA$23,'实盘净值数据(iFinD公式)'!$B711:$AA711/'实盘净值数据(iFinD公式)'!$B$65:$AA$65)*(1-实盘持仓初始配置!$Z$7)^(('实盘净值数据(iFinD公式)'!$A711-'实盘净值数据(iFinD公式)'!$A$8)/365))</x:f>
        <x:v>#NAME?</x:v>
      </x:c>
      <x:c r="L711" s="152" t="e">
        <x:f>IF(OR(K710="",K711=""),"",K711/K710-1)</x:f>
        <x:v>#NAME?</x:v>
      </x:c>
      <x:c r="M711" s="152" t="e">
        <x:f>IF(K711="","",K711/MAX(K$5:K711)-1)</x:f>
        <x:v>#NAME?</x:v>
      </x:c>
      <x:c r="N711" s="146" t="e">
        <x:f>IF(OR('实盘净值数据(iFinD公式)'!$A711="",'实盘净值数据(iFinD公式)'!$B711=""),"",分期持仓明细!$AD$24*SUMPRODUCT(分期持仓明细!$B$24:$AA$24,'实盘净值数据(iFinD公式)'!$B711:$AA711/'实盘净值数据(iFinD公式)'!$B$65:$AA$65)*(1-实盘持仓初始配置!$Z$8)^(('实盘净值数据(iFinD公式)'!$A711-'实盘净值数据(iFinD公式)'!$A$5)/365))</x:f>
        <x:v>#NAME?</x:v>
      </x:c>
      <x:c r="O711" s="152" t="e">
        <x:f>IF(OR(N710="",N711=""),"",N711/N710-1)</x:f>
        <x:v>#NAME?</x:v>
      </x:c>
      <x:c r="P711" s="152" t="e">
        <x:f>IF(N711="","",N711/MAX(N$5:N711)-1)</x:f>
        <x:v>#NAME?</x:v>
      </x:c>
      <x:c r="Q711" s="146" t="e">
        <x:f>IF(OR('实盘净值数据(iFinD公式)'!$A711="",'实盘净值数据(iFinD公式)'!$B711=""),"",分期持仓明细!$AD$25*SUMPRODUCT(分期持仓明细!$B$25:$AA$25,'实盘净值数据(iFinD公式)'!$B711:$AA711/'实盘净值数据(iFinD公式)'!$B$65:$AA$65)*(1-实盘持仓初始配置!$Z$9)^(('实盘净值数据(iFinD公式)'!$A711-'实盘净值数据(iFinD公式)'!$A$8)/365))</x:f>
        <x:v>#NAME?</x:v>
      </x:c>
      <x:c r="R711" s="152" t="e">
        <x:f>IF(OR(Q710="",Q711=""),"",Q711/Q710-1)</x:f>
        <x:v>#NAME?</x:v>
      </x:c>
      <x:c r="S711" s="152" t="e">
        <x:f>IF(Q711="","",Q711/MAX(Q$5:Q711)-1)</x:f>
        <x:v>#NAME?</x:v>
      </x:c>
    </x:row>
    <x:row r="712">
      <x:c r="A712" s="149" t="str">
        <x:f>IF('实盘净值数据(iFinD公式)'!A712="","",'实盘净值数据(iFinD公式)'!A712)</x:f>
      </x:c>
      <x:c r="B712" s="146" t="e">
        <x:f>IF(OR('实盘净值数据(iFinD公式)'!$A712="",'实盘净值数据(iFinD公式)'!$B712=""),"",分期持仓明细!$AD$17*SUMPRODUCT(分期持仓明细!$B$17:$AA$17,'实盘净值数据(iFinD公式)'!$B712:$AA712/'实盘净值数据(iFinD公式)'!$B$20:$AA$20)*(1-实盘持仓初始配置!$Z$4)^(('实盘净值数据(iFinD公式)'!$A712-'实盘净值数据(iFinD公式)'!$A$6)/365))</x:f>
        <x:v>#NAME?</x:v>
      </x:c>
      <x:c r="C712" s="152" t="e">
        <x:f>IF(OR(B711="",B712=""),"",B712/B711-1)</x:f>
        <x:v>#NAME?</x:v>
      </x:c>
      <x:c r="D712" s="152" t="e">
        <x:f>IF(B712="","",B712/MAX(B$5:B712)-1)</x:f>
        <x:v>#NAME?</x:v>
      </x:c>
      <x:c r="E712" s="146" t="e">
        <x:f>IF(OR('实盘净值数据(iFinD公式)'!$A712="",'实盘净值数据(iFinD公式)'!$B712=""),"",分期持仓明细!$AD$18*SUMPRODUCT(分期持仓明细!$B$18:$AA$18,'实盘净值数据(iFinD公式)'!$B712:$AA712/'实盘净值数据(iFinD公式)'!$B$20:$AA$20)*(1-实盘持仓初始配置!$Z$5)^(('实盘净值数据(iFinD公式)'!$A712-'实盘净值数据(iFinD公式)'!$A$5)/365))</x:f>
        <x:v>#NAME?</x:v>
      </x:c>
      <x:c r="F712" s="152" t="e">
        <x:f>IF(OR(E711="",E712=""),"",E712/E711-1)</x:f>
        <x:v>#NAME?</x:v>
      </x:c>
      <x:c r="G712" s="152" t="e">
        <x:f>IF(E712="","",E712/MAX(E$5:E712)-1)</x:f>
        <x:v>#NAME?</x:v>
      </x:c>
      <x:c r="H712" s="146" t="e">
        <x:f>IF(OR('实盘净值数据(iFinD公式)'!$A712="",'实盘净值数据(iFinD公式)'!$B712=""),"",分期持仓明细!$AD$19*SUMPRODUCT(分期持仓明细!$B$19:$AA$19,'实盘净值数据(iFinD公式)'!$B712:$AA712/'实盘净值数据(iFinD公式)'!$B$20:$AA$20)*(1-实盘持仓初始配置!$Z$6)^(('实盘净值数据(iFinD公式)'!$A712-'实盘净值数据(iFinD公式)'!$A$7)/365))</x:f>
        <x:v>#NAME?</x:v>
      </x:c>
      <x:c r="I712" s="152" t="e">
        <x:f>IF(OR(H711="",H712=""),"",H712/H711-1)</x:f>
        <x:v>#NAME?</x:v>
      </x:c>
      <x:c r="J712" s="152" t="e">
        <x:f>IF(H712="","",H712/MAX(H$5:H712)-1)</x:f>
        <x:v>#NAME?</x:v>
      </x:c>
      <x:c r="K712" s="146" t="e">
        <x:f>IF(OR('实盘净值数据(iFinD公式)'!$A712="",'实盘净值数据(iFinD公式)'!$B712=""),"",分期持仓明细!$AD$23*SUMPRODUCT(分期持仓明细!$B$23:$AA$23,'实盘净值数据(iFinD公式)'!$B712:$AA712/'实盘净值数据(iFinD公式)'!$B$65:$AA$65)*(1-实盘持仓初始配置!$Z$7)^(('实盘净值数据(iFinD公式)'!$A712-'实盘净值数据(iFinD公式)'!$A$8)/365))</x:f>
        <x:v>#NAME?</x:v>
      </x:c>
      <x:c r="L712" s="152" t="e">
        <x:f>IF(OR(K711="",K712=""),"",K712/K711-1)</x:f>
        <x:v>#NAME?</x:v>
      </x:c>
      <x:c r="M712" s="152" t="e">
        <x:f>IF(K712="","",K712/MAX(K$5:K712)-1)</x:f>
        <x:v>#NAME?</x:v>
      </x:c>
      <x:c r="N712" s="146" t="e">
        <x:f>IF(OR('实盘净值数据(iFinD公式)'!$A712="",'实盘净值数据(iFinD公式)'!$B712=""),"",分期持仓明细!$AD$24*SUMPRODUCT(分期持仓明细!$B$24:$AA$24,'实盘净值数据(iFinD公式)'!$B712:$AA712/'实盘净值数据(iFinD公式)'!$B$65:$AA$65)*(1-实盘持仓初始配置!$Z$8)^(('实盘净值数据(iFinD公式)'!$A712-'实盘净值数据(iFinD公式)'!$A$5)/365))</x:f>
        <x:v>#NAME?</x:v>
      </x:c>
      <x:c r="O712" s="152" t="e">
        <x:f>IF(OR(N711="",N712=""),"",N712/N711-1)</x:f>
        <x:v>#NAME?</x:v>
      </x:c>
      <x:c r="P712" s="152" t="e">
        <x:f>IF(N712="","",N712/MAX(N$5:N712)-1)</x:f>
        <x:v>#NAME?</x:v>
      </x:c>
      <x:c r="Q712" s="146" t="e">
        <x:f>IF(OR('实盘净值数据(iFinD公式)'!$A712="",'实盘净值数据(iFinD公式)'!$B712=""),"",分期持仓明细!$AD$25*SUMPRODUCT(分期持仓明细!$B$25:$AA$25,'实盘净值数据(iFinD公式)'!$B712:$AA712/'实盘净值数据(iFinD公式)'!$B$65:$AA$65)*(1-实盘持仓初始配置!$Z$9)^(('实盘净值数据(iFinD公式)'!$A712-'实盘净值数据(iFinD公式)'!$A$8)/365))</x:f>
        <x:v>#NAME?</x:v>
      </x:c>
      <x:c r="R712" s="152" t="e">
        <x:f>IF(OR(Q711="",Q712=""),"",Q712/Q711-1)</x:f>
        <x:v>#NAME?</x:v>
      </x:c>
      <x:c r="S712" s="152" t="e">
        <x:f>IF(Q712="","",Q712/MAX(Q$5:Q712)-1)</x:f>
        <x:v>#NAME?</x:v>
      </x:c>
    </x:row>
    <x:row r="713">
      <x:c r="A713" s="149" t="str">
        <x:f>IF('实盘净值数据(iFinD公式)'!A713="","",'实盘净值数据(iFinD公式)'!A713)</x:f>
      </x:c>
      <x:c r="B713" s="146" t="e">
        <x:f>IF(OR('实盘净值数据(iFinD公式)'!$A713="",'实盘净值数据(iFinD公式)'!$B713=""),"",分期持仓明细!$AD$17*SUMPRODUCT(分期持仓明细!$B$17:$AA$17,'实盘净值数据(iFinD公式)'!$B713:$AA713/'实盘净值数据(iFinD公式)'!$B$20:$AA$20)*(1-实盘持仓初始配置!$Z$4)^(('实盘净值数据(iFinD公式)'!$A713-'实盘净值数据(iFinD公式)'!$A$6)/365))</x:f>
        <x:v>#NAME?</x:v>
      </x:c>
      <x:c r="C713" s="152" t="e">
        <x:f>IF(OR(B712="",B713=""),"",B713/B712-1)</x:f>
        <x:v>#NAME?</x:v>
      </x:c>
      <x:c r="D713" s="152" t="e">
        <x:f>IF(B713="","",B713/MAX(B$5:B713)-1)</x:f>
        <x:v>#NAME?</x:v>
      </x:c>
      <x:c r="E713" s="146" t="e">
        <x:f>IF(OR('实盘净值数据(iFinD公式)'!$A713="",'实盘净值数据(iFinD公式)'!$B713=""),"",分期持仓明细!$AD$18*SUMPRODUCT(分期持仓明细!$B$18:$AA$18,'实盘净值数据(iFinD公式)'!$B713:$AA713/'实盘净值数据(iFinD公式)'!$B$20:$AA$20)*(1-实盘持仓初始配置!$Z$5)^(('实盘净值数据(iFinD公式)'!$A713-'实盘净值数据(iFinD公式)'!$A$5)/365))</x:f>
        <x:v>#NAME?</x:v>
      </x:c>
      <x:c r="F713" s="152" t="e">
        <x:f>IF(OR(E712="",E713=""),"",E713/E712-1)</x:f>
        <x:v>#NAME?</x:v>
      </x:c>
      <x:c r="G713" s="152" t="e">
        <x:f>IF(E713="","",E713/MAX(E$5:E713)-1)</x:f>
        <x:v>#NAME?</x:v>
      </x:c>
      <x:c r="H713" s="146" t="e">
        <x:f>IF(OR('实盘净值数据(iFinD公式)'!$A713="",'实盘净值数据(iFinD公式)'!$B713=""),"",分期持仓明细!$AD$19*SUMPRODUCT(分期持仓明细!$B$19:$AA$19,'实盘净值数据(iFinD公式)'!$B713:$AA713/'实盘净值数据(iFinD公式)'!$B$20:$AA$20)*(1-实盘持仓初始配置!$Z$6)^(('实盘净值数据(iFinD公式)'!$A713-'实盘净值数据(iFinD公式)'!$A$7)/365))</x:f>
        <x:v>#NAME?</x:v>
      </x:c>
      <x:c r="I713" s="152" t="e">
        <x:f>IF(OR(H712="",H713=""),"",H713/H712-1)</x:f>
        <x:v>#NAME?</x:v>
      </x:c>
      <x:c r="J713" s="152" t="e">
        <x:f>IF(H713="","",H713/MAX(H$5:H713)-1)</x:f>
        <x:v>#NAME?</x:v>
      </x:c>
      <x:c r="K713" s="146" t="e">
        <x:f>IF(OR('实盘净值数据(iFinD公式)'!$A713="",'实盘净值数据(iFinD公式)'!$B713=""),"",分期持仓明细!$AD$23*SUMPRODUCT(分期持仓明细!$B$23:$AA$23,'实盘净值数据(iFinD公式)'!$B713:$AA713/'实盘净值数据(iFinD公式)'!$B$65:$AA$65)*(1-实盘持仓初始配置!$Z$7)^(('实盘净值数据(iFinD公式)'!$A713-'实盘净值数据(iFinD公式)'!$A$8)/365))</x:f>
        <x:v>#NAME?</x:v>
      </x:c>
      <x:c r="L713" s="152" t="e">
        <x:f>IF(OR(K712="",K713=""),"",K713/K712-1)</x:f>
        <x:v>#NAME?</x:v>
      </x:c>
      <x:c r="M713" s="152" t="e">
        <x:f>IF(K713="","",K713/MAX(K$5:K713)-1)</x:f>
        <x:v>#NAME?</x:v>
      </x:c>
      <x:c r="N713" s="146" t="e">
        <x:f>IF(OR('实盘净值数据(iFinD公式)'!$A713="",'实盘净值数据(iFinD公式)'!$B713=""),"",分期持仓明细!$AD$24*SUMPRODUCT(分期持仓明细!$B$24:$AA$24,'实盘净值数据(iFinD公式)'!$B713:$AA713/'实盘净值数据(iFinD公式)'!$B$65:$AA$65)*(1-实盘持仓初始配置!$Z$8)^(('实盘净值数据(iFinD公式)'!$A713-'实盘净值数据(iFinD公式)'!$A$5)/365))</x:f>
        <x:v>#NAME?</x:v>
      </x:c>
      <x:c r="O713" s="152" t="e">
        <x:f>IF(OR(N712="",N713=""),"",N713/N712-1)</x:f>
        <x:v>#NAME?</x:v>
      </x:c>
      <x:c r="P713" s="152" t="e">
        <x:f>IF(N713="","",N713/MAX(N$5:N713)-1)</x:f>
        <x:v>#NAME?</x:v>
      </x:c>
      <x:c r="Q713" s="146" t="e">
        <x:f>IF(OR('实盘净值数据(iFinD公式)'!$A713="",'实盘净值数据(iFinD公式)'!$B713=""),"",分期持仓明细!$AD$25*SUMPRODUCT(分期持仓明细!$B$25:$AA$25,'实盘净值数据(iFinD公式)'!$B713:$AA713/'实盘净值数据(iFinD公式)'!$B$65:$AA$65)*(1-实盘持仓初始配置!$Z$9)^(('实盘净值数据(iFinD公式)'!$A713-'实盘净值数据(iFinD公式)'!$A$8)/365))</x:f>
        <x:v>#NAME?</x:v>
      </x:c>
      <x:c r="R713" s="152" t="e">
        <x:f>IF(OR(Q712="",Q713=""),"",Q713/Q712-1)</x:f>
        <x:v>#NAME?</x:v>
      </x:c>
      <x:c r="S713" s="152" t="e">
        <x:f>IF(Q713="","",Q713/MAX(Q$5:Q713)-1)</x:f>
        <x:v>#NAME?</x:v>
      </x:c>
    </x:row>
    <x:row r="714">
      <x:c r="A714" s="149" t="str">
        <x:f>IF('实盘净值数据(iFinD公式)'!A714="","",'实盘净值数据(iFinD公式)'!A714)</x:f>
      </x:c>
      <x:c r="B714" s="146" t="e">
        <x:f>IF(OR('实盘净值数据(iFinD公式)'!$A714="",'实盘净值数据(iFinD公式)'!$B714=""),"",分期持仓明细!$AD$17*SUMPRODUCT(分期持仓明细!$B$17:$AA$17,'实盘净值数据(iFinD公式)'!$B714:$AA714/'实盘净值数据(iFinD公式)'!$B$20:$AA$20)*(1-实盘持仓初始配置!$Z$4)^(('实盘净值数据(iFinD公式)'!$A714-'实盘净值数据(iFinD公式)'!$A$6)/365))</x:f>
        <x:v>#NAME?</x:v>
      </x:c>
      <x:c r="C714" s="152" t="e">
        <x:f>IF(OR(B713="",B714=""),"",B714/B713-1)</x:f>
        <x:v>#NAME?</x:v>
      </x:c>
      <x:c r="D714" s="152" t="e">
        <x:f>IF(B714="","",B714/MAX(B$5:B714)-1)</x:f>
        <x:v>#NAME?</x:v>
      </x:c>
      <x:c r="E714" s="146" t="e">
        <x:f>IF(OR('实盘净值数据(iFinD公式)'!$A714="",'实盘净值数据(iFinD公式)'!$B714=""),"",分期持仓明细!$AD$18*SUMPRODUCT(分期持仓明细!$B$18:$AA$18,'实盘净值数据(iFinD公式)'!$B714:$AA714/'实盘净值数据(iFinD公式)'!$B$20:$AA$20)*(1-实盘持仓初始配置!$Z$5)^(('实盘净值数据(iFinD公式)'!$A714-'实盘净值数据(iFinD公式)'!$A$5)/365))</x:f>
        <x:v>#NAME?</x:v>
      </x:c>
      <x:c r="F714" s="152" t="e">
        <x:f>IF(OR(E713="",E714=""),"",E714/E713-1)</x:f>
        <x:v>#NAME?</x:v>
      </x:c>
      <x:c r="G714" s="152" t="e">
        <x:f>IF(E714="","",E714/MAX(E$5:E714)-1)</x:f>
        <x:v>#NAME?</x:v>
      </x:c>
      <x:c r="H714" s="146" t="e">
        <x:f>IF(OR('实盘净值数据(iFinD公式)'!$A714="",'实盘净值数据(iFinD公式)'!$B714=""),"",分期持仓明细!$AD$19*SUMPRODUCT(分期持仓明细!$B$19:$AA$19,'实盘净值数据(iFinD公式)'!$B714:$AA714/'实盘净值数据(iFinD公式)'!$B$20:$AA$20)*(1-实盘持仓初始配置!$Z$6)^(('实盘净值数据(iFinD公式)'!$A714-'实盘净值数据(iFinD公式)'!$A$7)/365))</x:f>
        <x:v>#NAME?</x:v>
      </x:c>
      <x:c r="I714" s="152" t="e">
        <x:f>IF(OR(H713="",H714=""),"",H714/H713-1)</x:f>
        <x:v>#NAME?</x:v>
      </x:c>
      <x:c r="J714" s="152" t="e">
        <x:f>IF(H714="","",H714/MAX(H$5:H714)-1)</x:f>
        <x:v>#NAME?</x:v>
      </x:c>
      <x:c r="K714" s="146" t="e">
        <x:f>IF(OR('实盘净值数据(iFinD公式)'!$A714="",'实盘净值数据(iFinD公式)'!$B714=""),"",分期持仓明细!$AD$23*SUMPRODUCT(分期持仓明细!$B$23:$AA$23,'实盘净值数据(iFinD公式)'!$B714:$AA714/'实盘净值数据(iFinD公式)'!$B$65:$AA$65)*(1-实盘持仓初始配置!$Z$7)^(('实盘净值数据(iFinD公式)'!$A714-'实盘净值数据(iFinD公式)'!$A$8)/365))</x:f>
        <x:v>#NAME?</x:v>
      </x:c>
      <x:c r="L714" s="152" t="e">
        <x:f>IF(OR(K713="",K714=""),"",K714/K713-1)</x:f>
        <x:v>#NAME?</x:v>
      </x:c>
      <x:c r="M714" s="152" t="e">
        <x:f>IF(K714="","",K714/MAX(K$5:K714)-1)</x:f>
        <x:v>#NAME?</x:v>
      </x:c>
      <x:c r="N714" s="146" t="e">
        <x:f>IF(OR('实盘净值数据(iFinD公式)'!$A714="",'实盘净值数据(iFinD公式)'!$B714=""),"",分期持仓明细!$AD$24*SUMPRODUCT(分期持仓明细!$B$24:$AA$24,'实盘净值数据(iFinD公式)'!$B714:$AA714/'实盘净值数据(iFinD公式)'!$B$65:$AA$65)*(1-实盘持仓初始配置!$Z$8)^(('实盘净值数据(iFinD公式)'!$A714-'实盘净值数据(iFinD公式)'!$A$5)/365))</x:f>
        <x:v>#NAME?</x:v>
      </x:c>
      <x:c r="O714" s="152" t="e">
        <x:f>IF(OR(N713="",N714=""),"",N714/N713-1)</x:f>
        <x:v>#NAME?</x:v>
      </x:c>
      <x:c r="P714" s="152" t="e">
        <x:f>IF(N714="","",N714/MAX(N$5:N714)-1)</x:f>
        <x:v>#NAME?</x:v>
      </x:c>
      <x:c r="Q714" s="146" t="e">
        <x:f>IF(OR('实盘净值数据(iFinD公式)'!$A714="",'实盘净值数据(iFinD公式)'!$B714=""),"",分期持仓明细!$AD$25*SUMPRODUCT(分期持仓明细!$B$25:$AA$25,'实盘净值数据(iFinD公式)'!$B714:$AA714/'实盘净值数据(iFinD公式)'!$B$65:$AA$65)*(1-实盘持仓初始配置!$Z$9)^(('实盘净值数据(iFinD公式)'!$A714-'实盘净值数据(iFinD公式)'!$A$8)/365))</x:f>
        <x:v>#NAME?</x:v>
      </x:c>
      <x:c r="R714" s="152" t="e">
        <x:f>IF(OR(Q713="",Q714=""),"",Q714/Q713-1)</x:f>
        <x:v>#NAME?</x:v>
      </x:c>
      <x:c r="S714" s="152" t="e">
        <x:f>IF(Q714="","",Q714/MAX(Q$5:Q714)-1)</x:f>
        <x:v>#NAME?</x:v>
      </x:c>
    </x:row>
    <x:row r="715">
      <x:c r="A715" s="149" t="str">
        <x:f>IF('实盘净值数据(iFinD公式)'!A715="","",'实盘净值数据(iFinD公式)'!A715)</x:f>
      </x:c>
      <x:c r="B715" s="146" t="e">
        <x:f>IF(OR('实盘净值数据(iFinD公式)'!$A715="",'实盘净值数据(iFinD公式)'!$B715=""),"",分期持仓明细!$AD$17*SUMPRODUCT(分期持仓明细!$B$17:$AA$17,'实盘净值数据(iFinD公式)'!$B715:$AA715/'实盘净值数据(iFinD公式)'!$B$20:$AA$20)*(1-实盘持仓初始配置!$Z$4)^(('实盘净值数据(iFinD公式)'!$A715-'实盘净值数据(iFinD公式)'!$A$6)/365))</x:f>
        <x:v>#NAME?</x:v>
      </x:c>
      <x:c r="C715" s="152" t="e">
        <x:f>IF(OR(B714="",B715=""),"",B715/B714-1)</x:f>
        <x:v>#NAME?</x:v>
      </x:c>
      <x:c r="D715" s="152" t="e">
        <x:f>IF(B715="","",B715/MAX(B$5:B715)-1)</x:f>
        <x:v>#NAME?</x:v>
      </x:c>
      <x:c r="E715" s="146" t="e">
        <x:f>IF(OR('实盘净值数据(iFinD公式)'!$A715="",'实盘净值数据(iFinD公式)'!$B715=""),"",分期持仓明细!$AD$18*SUMPRODUCT(分期持仓明细!$B$18:$AA$18,'实盘净值数据(iFinD公式)'!$B715:$AA715/'实盘净值数据(iFinD公式)'!$B$20:$AA$20)*(1-实盘持仓初始配置!$Z$5)^(('实盘净值数据(iFinD公式)'!$A715-'实盘净值数据(iFinD公式)'!$A$5)/365))</x:f>
        <x:v>#NAME?</x:v>
      </x:c>
      <x:c r="F715" s="152" t="e">
        <x:f>IF(OR(E714="",E715=""),"",E715/E714-1)</x:f>
        <x:v>#NAME?</x:v>
      </x:c>
      <x:c r="G715" s="152" t="e">
        <x:f>IF(E715="","",E715/MAX(E$5:E715)-1)</x:f>
        <x:v>#NAME?</x:v>
      </x:c>
      <x:c r="H715" s="146" t="e">
        <x:f>IF(OR('实盘净值数据(iFinD公式)'!$A715="",'实盘净值数据(iFinD公式)'!$B715=""),"",分期持仓明细!$AD$19*SUMPRODUCT(分期持仓明细!$B$19:$AA$19,'实盘净值数据(iFinD公式)'!$B715:$AA715/'实盘净值数据(iFinD公式)'!$B$20:$AA$20)*(1-实盘持仓初始配置!$Z$6)^(('实盘净值数据(iFinD公式)'!$A715-'实盘净值数据(iFinD公式)'!$A$7)/365))</x:f>
        <x:v>#NAME?</x:v>
      </x:c>
      <x:c r="I715" s="152" t="e">
        <x:f>IF(OR(H714="",H715=""),"",H715/H714-1)</x:f>
        <x:v>#NAME?</x:v>
      </x:c>
      <x:c r="J715" s="152" t="e">
        <x:f>IF(H715="","",H715/MAX(H$5:H715)-1)</x:f>
        <x:v>#NAME?</x:v>
      </x:c>
      <x:c r="K715" s="146" t="e">
        <x:f>IF(OR('实盘净值数据(iFinD公式)'!$A715="",'实盘净值数据(iFinD公式)'!$B715=""),"",分期持仓明细!$AD$23*SUMPRODUCT(分期持仓明细!$B$23:$AA$23,'实盘净值数据(iFinD公式)'!$B715:$AA715/'实盘净值数据(iFinD公式)'!$B$65:$AA$65)*(1-实盘持仓初始配置!$Z$7)^(('实盘净值数据(iFinD公式)'!$A715-'实盘净值数据(iFinD公式)'!$A$8)/365))</x:f>
        <x:v>#NAME?</x:v>
      </x:c>
      <x:c r="L715" s="152" t="e">
        <x:f>IF(OR(K714="",K715=""),"",K715/K714-1)</x:f>
        <x:v>#NAME?</x:v>
      </x:c>
      <x:c r="M715" s="152" t="e">
        <x:f>IF(K715="","",K715/MAX(K$5:K715)-1)</x:f>
        <x:v>#NAME?</x:v>
      </x:c>
      <x:c r="N715" s="146" t="e">
        <x:f>IF(OR('实盘净值数据(iFinD公式)'!$A715="",'实盘净值数据(iFinD公式)'!$B715=""),"",分期持仓明细!$AD$24*SUMPRODUCT(分期持仓明细!$B$24:$AA$24,'实盘净值数据(iFinD公式)'!$B715:$AA715/'实盘净值数据(iFinD公式)'!$B$65:$AA$65)*(1-实盘持仓初始配置!$Z$8)^(('实盘净值数据(iFinD公式)'!$A715-'实盘净值数据(iFinD公式)'!$A$5)/365))</x:f>
        <x:v>#NAME?</x:v>
      </x:c>
      <x:c r="O715" s="152" t="e">
        <x:f>IF(OR(N714="",N715=""),"",N715/N714-1)</x:f>
        <x:v>#NAME?</x:v>
      </x:c>
      <x:c r="P715" s="152" t="e">
        <x:f>IF(N715="","",N715/MAX(N$5:N715)-1)</x:f>
        <x:v>#NAME?</x:v>
      </x:c>
      <x:c r="Q715" s="146" t="e">
        <x:f>IF(OR('实盘净值数据(iFinD公式)'!$A715="",'实盘净值数据(iFinD公式)'!$B715=""),"",分期持仓明细!$AD$25*SUMPRODUCT(分期持仓明细!$B$25:$AA$25,'实盘净值数据(iFinD公式)'!$B715:$AA715/'实盘净值数据(iFinD公式)'!$B$65:$AA$65)*(1-实盘持仓初始配置!$Z$9)^(('实盘净值数据(iFinD公式)'!$A715-'实盘净值数据(iFinD公式)'!$A$8)/365))</x:f>
        <x:v>#NAME?</x:v>
      </x:c>
      <x:c r="R715" s="152" t="e">
        <x:f>IF(OR(Q714="",Q715=""),"",Q715/Q714-1)</x:f>
        <x:v>#NAME?</x:v>
      </x:c>
      <x:c r="S715" s="152" t="e">
        <x:f>IF(Q715="","",Q715/MAX(Q$5:Q715)-1)</x:f>
        <x:v>#NAME?</x:v>
      </x:c>
    </x:row>
    <x:row r="716">
      <x:c r="A716" s="149" t="str">
        <x:f>IF('实盘净值数据(iFinD公式)'!A716="","",'实盘净值数据(iFinD公式)'!A716)</x:f>
      </x:c>
      <x:c r="B716" s="146" t="e">
        <x:f>IF(OR('实盘净值数据(iFinD公式)'!$A716="",'实盘净值数据(iFinD公式)'!$B716=""),"",分期持仓明细!$AD$17*SUMPRODUCT(分期持仓明细!$B$17:$AA$17,'实盘净值数据(iFinD公式)'!$B716:$AA716/'实盘净值数据(iFinD公式)'!$B$20:$AA$20)*(1-实盘持仓初始配置!$Z$4)^(('实盘净值数据(iFinD公式)'!$A716-'实盘净值数据(iFinD公式)'!$A$6)/365))</x:f>
        <x:v>#NAME?</x:v>
      </x:c>
      <x:c r="C716" s="152" t="e">
        <x:f>IF(OR(B715="",B716=""),"",B716/B715-1)</x:f>
        <x:v>#NAME?</x:v>
      </x:c>
      <x:c r="D716" s="152" t="e">
        <x:f>IF(B716="","",B716/MAX(B$5:B716)-1)</x:f>
        <x:v>#NAME?</x:v>
      </x:c>
      <x:c r="E716" s="146" t="e">
        <x:f>IF(OR('实盘净值数据(iFinD公式)'!$A716="",'实盘净值数据(iFinD公式)'!$B716=""),"",分期持仓明细!$AD$18*SUMPRODUCT(分期持仓明细!$B$18:$AA$18,'实盘净值数据(iFinD公式)'!$B716:$AA716/'实盘净值数据(iFinD公式)'!$B$20:$AA$20)*(1-实盘持仓初始配置!$Z$5)^(('实盘净值数据(iFinD公式)'!$A716-'实盘净值数据(iFinD公式)'!$A$5)/365))</x:f>
        <x:v>#NAME?</x:v>
      </x:c>
      <x:c r="F716" s="152" t="e">
        <x:f>IF(OR(E715="",E716=""),"",E716/E715-1)</x:f>
        <x:v>#NAME?</x:v>
      </x:c>
      <x:c r="G716" s="152" t="e">
        <x:f>IF(E716="","",E716/MAX(E$5:E716)-1)</x:f>
        <x:v>#NAME?</x:v>
      </x:c>
      <x:c r="H716" s="146" t="e">
        <x:f>IF(OR('实盘净值数据(iFinD公式)'!$A716="",'实盘净值数据(iFinD公式)'!$B716=""),"",分期持仓明细!$AD$19*SUMPRODUCT(分期持仓明细!$B$19:$AA$19,'实盘净值数据(iFinD公式)'!$B716:$AA716/'实盘净值数据(iFinD公式)'!$B$20:$AA$20)*(1-实盘持仓初始配置!$Z$6)^(('实盘净值数据(iFinD公式)'!$A716-'实盘净值数据(iFinD公式)'!$A$7)/365))</x:f>
        <x:v>#NAME?</x:v>
      </x:c>
      <x:c r="I716" s="152" t="e">
        <x:f>IF(OR(H715="",H716=""),"",H716/H715-1)</x:f>
        <x:v>#NAME?</x:v>
      </x:c>
      <x:c r="J716" s="152" t="e">
        <x:f>IF(H716="","",H716/MAX(H$5:H716)-1)</x:f>
        <x:v>#NAME?</x:v>
      </x:c>
      <x:c r="K716" s="146" t="e">
        <x:f>IF(OR('实盘净值数据(iFinD公式)'!$A716="",'实盘净值数据(iFinD公式)'!$B716=""),"",分期持仓明细!$AD$23*SUMPRODUCT(分期持仓明细!$B$23:$AA$23,'实盘净值数据(iFinD公式)'!$B716:$AA716/'实盘净值数据(iFinD公式)'!$B$65:$AA$65)*(1-实盘持仓初始配置!$Z$7)^(('实盘净值数据(iFinD公式)'!$A716-'实盘净值数据(iFinD公式)'!$A$8)/365))</x:f>
        <x:v>#NAME?</x:v>
      </x:c>
      <x:c r="L716" s="152" t="e">
        <x:f>IF(OR(K715="",K716=""),"",K716/K715-1)</x:f>
        <x:v>#NAME?</x:v>
      </x:c>
      <x:c r="M716" s="152" t="e">
        <x:f>IF(K716="","",K716/MAX(K$5:K716)-1)</x:f>
        <x:v>#NAME?</x:v>
      </x:c>
      <x:c r="N716" s="146" t="e">
        <x:f>IF(OR('实盘净值数据(iFinD公式)'!$A716="",'实盘净值数据(iFinD公式)'!$B716=""),"",分期持仓明细!$AD$24*SUMPRODUCT(分期持仓明细!$B$24:$AA$24,'实盘净值数据(iFinD公式)'!$B716:$AA716/'实盘净值数据(iFinD公式)'!$B$65:$AA$65)*(1-实盘持仓初始配置!$Z$8)^(('实盘净值数据(iFinD公式)'!$A716-'实盘净值数据(iFinD公式)'!$A$5)/365))</x:f>
        <x:v>#NAME?</x:v>
      </x:c>
      <x:c r="O716" s="152" t="e">
        <x:f>IF(OR(N715="",N716=""),"",N716/N715-1)</x:f>
        <x:v>#NAME?</x:v>
      </x:c>
      <x:c r="P716" s="152" t="e">
        <x:f>IF(N716="","",N716/MAX(N$5:N716)-1)</x:f>
        <x:v>#NAME?</x:v>
      </x:c>
      <x:c r="Q716" s="146" t="e">
        <x:f>IF(OR('实盘净值数据(iFinD公式)'!$A716="",'实盘净值数据(iFinD公式)'!$B716=""),"",分期持仓明细!$AD$25*SUMPRODUCT(分期持仓明细!$B$25:$AA$25,'实盘净值数据(iFinD公式)'!$B716:$AA716/'实盘净值数据(iFinD公式)'!$B$65:$AA$65)*(1-实盘持仓初始配置!$Z$9)^(('实盘净值数据(iFinD公式)'!$A716-'实盘净值数据(iFinD公式)'!$A$8)/365))</x:f>
        <x:v>#NAME?</x:v>
      </x:c>
      <x:c r="R716" s="152" t="e">
        <x:f>IF(OR(Q715="",Q716=""),"",Q716/Q715-1)</x:f>
        <x:v>#NAME?</x:v>
      </x:c>
      <x:c r="S716" s="152" t="e">
        <x:f>IF(Q716="","",Q716/MAX(Q$5:Q716)-1)</x:f>
        <x:v>#NAME?</x:v>
      </x:c>
    </x:row>
    <x:row r="717">
      <x:c r="A717" s="149" t="str">
        <x:f>IF('实盘净值数据(iFinD公式)'!A717="","",'实盘净值数据(iFinD公式)'!A717)</x:f>
      </x:c>
      <x:c r="B717" s="146" t="e">
        <x:f>IF(OR('实盘净值数据(iFinD公式)'!$A717="",'实盘净值数据(iFinD公式)'!$B717=""),"",分期持仓明细!$AD$17*SUMPRODUCT(分期持仓明细!$B$17:$AA$17,'实盘净值数据(iFinD公式)'!$B717:$AA717/'实盘净值数据(iFinD公式)'!$B$20:$AA$20)*(1-实盘持仓初始配置!$Z$4)^(('实盘净值数据(iFinD公式)'!$A717-'实盘净值数据(iFinD公式)'!$A$6)/365))</x:f>
        <x:v>#NAME?</x:v>
      </x:c>
      <x:c r="C717" s="152" t="e">
        <x:f>IF(OR(B716="",B717=""),"",B717/B716-1)</x:f>
        <x:v>#NAME?</x:v>
      </x:c>
      <x:c r="D717" s="152" t="e">
        <x:f>IF(B717="","",B717/MAX(B$5:B717)-1)</x:f>
        <x:v>#NAME?</x:v>
      </x:c>
      <x:c r="E717" s="146" t="e">
        <x:f>IF(OR('实盘净值数据(iFinD公式)'!$A717="",'实盘净值数据(iFinD公式)'!$B717=""),"",分期持仓明细!$AD$18*SUMPRODUCT(分期持仓明细!$B$18:$AA$18,'实盘净值数据(iFinD公式)'!$B717:$AA717/'实盘净值数据(iFinD公式)'!$B$20:$AA$20)*(1-实盘持仓初始配置!$Z$5)^(('实盘净值数据(iFinD公式)'!$A717-'实盘净值数据(iFinD公式)'!$A$5)/365))</x:f>
        <x:v>#NAME?</x:v>
      </x:c>
      <x:c r="F717" s="152" t="e">
        <x:f>IF(OR(E716="",E717=""),"",E717/E716-1)</x:f>
        <x:v>#NAME?</x:v>
      </x:c>
      <x:c r="G717" s="152" t="e">
        <x:f>IF(E717="","",E717/MAX(E$5:E717)-1)</x:f>
        <x:v>#NAME?</x:v>
      </x:c>
      <x:c r="H717" s="146" t="e">
        <x:f>IF(OR('实盘净值数据(iFinD公式)'!$A717="",'实盘净值数据(iFinD公式)'!$B717=""),"",分期持仓明细!$AD$19*SUMPRODUCT(分期持仓明细!$B$19:$AA$19,'实盘净值数据(iFinD公式)'!$B717:$AA717/'实盘净值数据(iFinD公式)'!$B$20:$AA$20)*(1-实盘持仓初始配置!$Z$6)^(('实盘净值数据(iFinD公式)'!$A717-'实盘净值数据(iFinD公式)'!$A$7)/365))</x:f>
        <x:v>#NAME?</x:v>
      </x:c>
      <x:c r="I717" s="152" t="e">
        <x:f>IF(OR(H716="",H717=""),"",H717/H716-1)</x:f>
        <x:v>#NAME?</x:v>
      </x:c>
      <x:c r="J717" s="152" t="e">
        <x:f>IF(H717="","",H717/MAX(H$5:H717)-1)</x:f>
        <x:v>#NAME?</x:v>
      </x:c>
      <x:c r="K717" s="146" t="e">
        <x:f>IF(OR('实盘净值数据(iFinD公式)'!$A717="",'实盘净值数据(iFinD公式)'!$B717=""),"",分期持仓明细!$AD$23*SUMPRODUCT(分期持仓明细!$B$23:$AA$23,'实盘净值数据(iFinD公式)'!$B717:$AA717/'实盘净值数据(iFinD公式)'!$B$65:$AA$65)*(1-实盘持仓初始配置!$Z$7)^(('实盘净值数据(iFinD公式)'!$A717-'实盘净值数据(iFinD公式)'!$A$8)/365))</x:f>
        <x:v>#NAME?</x:v>
      </x:c>
      <x:c r="L717" s="152" t="e">
        <x:f>IF(OR(K716="",K717=""),"",K717/K716-1)</x:f>
        <x:v>#NAME?</x:v>
      </x:c>
      <x:c r="M717" s="152" t="e">
        <x:f>IF(K717="","",K717/MAX(K$5:K717)-1)</x:f>
        <x:v>#NAME?</x:v>
      </x:c>
      <x:c r="N717" s="146" t="e">
        <x:f>IF(OR('实盘净值数据(iFinD公式)'!$A717="",'实盘净值数据(iFinD公式)'!$B717=""),"",分期持仓明细!$AD$24*SUMPRODUCT(分期持仓明细!$B$24:$AA$24,'实盘净值数据(iFinD公式)'!$B717:$AA717/'实盘净值数据(iFinD公式)'!$B$65:$AA$65)*(1-实盘持仓初始配置!$Z$8)^(('实盘净值数据(iFinD公式)'!$A717-'实盘净值数据(iFinD公式)'!$A$5)/365))</x:f>
        <x:v>#NAME?</x:v>
      </x:c>
      <x:c r="O717" s="152" t="e">
        <x:f>IF(OR(N716="",N717=""),"",N717/N716-1)</x:f>
        <x:v>#NAME?</x:v>
      </x:c>
      <x:c r="P717" s="152" t="e">
        <x:f>IF(N717="","",N717/MAX(N$5:N717)-1)</x:f>
        <x:v>#NAME?</x:v>
      </x:c>
      <x:c r="Q717" s="146" t="e">
        <x:f>IF(OR('实盘净值数据(iFinD公式)'!$A717="",'实盘净值数据(iFinD公式)'!$B717=""),"",分期持仓明细!$AD$25*SUMPRODUCT(分期持仓明细!$B$25:$AA$25,'实盘净值数据(iFinD公式)'!$B717:$AA717/'实盘净值数据(iFinD公式)'!$B$65:$AA$65)*(1-实盘持仓初始配置!$Z$9)^(('实盘净值数据(iFinD公式)'!$A717-'实盘净值数据(iFinD公式)'!$A$8)/365))</x:f>
        <x:v>#NAME?</x:v>
      </x:c>
      <x:c r="R717" s="152" t="e">
        <x:f>IF(OR(Q716="",Q717=""),"",Q717/Q716-1)</x:f>
        <x:v>#NAME?</x:v>
      </x:c>
      <x:c r="S717" s="152" t="e">
        <x:f>IF(Q717="","",Q717/MAX(Q$5:Q717)-1)</x:f>
        <x:v>#NAME?</x:v>
      </x:c>
    </x:row>
    <x:row r="718">
      <x:c r="A718" s="149" t="str">
        <x:f>IF('实盘净值数据(iFinD公式)'!A718="","",'实盘净值数据(iFinD公式)'!A718)</x:f>
      </x:c>
      <x:c r="B718" s="146" t="e">
        <x:f>IF(OR('实盘净值数据(iFinD公式)'!$A718="",'实盘净值数据(iFinD公式)'!$B718=""),"",分期持仓明细!$AD$17*SUMPRODUCT(分期持仓明细!$B$17:$AA$17,'实盘净值数据(iFinD公式)'!$B718:$AA718/'实盘净值数据(iFinD公式)'!$B$20:$AA$20)*(1-实盘持仓初始配置!$Z$4)^(('实盘净值数据(iFinD公式)'!$A718-'实盘净值数据(iFinD公式)'!$A$6)/365))</x:f>
        <x:v>#NAME?</x:v>
      </x:c>
      <x:c r="C718" s="152" t="e">
        <x:f>IF(OR(B717="",B718=""),"",B718/B717-1)</x:f>
        <x:v>#NAME?</x:v>
      </x:c>
      <x:c r="D718" s="152" t="e">
        <x:f>IF(B718="","",B718/MAX(B$5:B718)-1)</x:f>
        <x:v>#NAME?</x:v>
      </x:c>
      <x:c r="E718" s="146" t="e">
        <x:f>IF(OR('实盘净值数据(iFinD公式)'!$A718="",'实盘净值数据(iFinD公式)'!$B718=""),"",分期持仓明细!$AD$18*SUMPRODUCT(分期持仓明细!$B$18:$AA$18,'实盘净值数据(iFinD公式)'!$B718:$AA718/'实盘净值数据(iFinD公式)'!$B$20:$AA$20)*(1-实盘持仓初始配置!$Z$5)^(('实盘净值数据(iFinD公式)'!$A718-'实盘净值数据(iFinD公式)'!$A$5)/365))</x:f>
        <x:v>#NAME?</x:v>
      </x:c>
      <x:c r="F718" s="152" t="e">
        <x:f>IF(OR(E717="",E718=""),"",E718/E717-1)</x:f>
        <x:v>#NAME?</x:v>
      </x:c>
      <x:c r="G718" s="152" t="e">
        <x:f>IF(E718="","",E718/MAX(E$5:E718)-1)</x:f>
        <x:v>#NAME?</x:v>
      </x:c>
      <x:c r="H718" s="146" t="e">
        <x:f>IF(OR('实盘净值数据(iFinD公式)'!$A718="",'实盘净值数据(iFinD公式)'!$B718=""),"",分期持仓明细!$AD$19*SUMPRODUCT(分期持仓明细!$B$19:$AA$19,'实盘净值数据(iFinD公式)'!$B718:$AA718/'实盘净值数据(iFinD公式)'!$B$20:$AA$20)*(1-实盘持仓初始配置!$Z$6)^(('实盘净值数据(iFinD公式)'!$A718-'实盘净值数据(iFinD公式)'!$A$7)/365))</x:f>
        <x:v>#NAME?</x:v>
      </x:c>
      <x:c r="I718" s="152" t="e">
        <x:f>IF(OR(H717="",H718=""),"",H718/H717-1)</x:f>
        <x:v>#NAME?</x:v>
      </x:c>
      <x:c r="J718" s="152" t="e">
        <x:f>IF(H718="","",H718/MAX(H$5:H718)-1)</x:f>
        <x:v>#NAME?</x:v>
      </x:c>
      <x:c r="K718" s="146" t="e">
        <x:f>IF(OR('实盘净值数据(iFinD公式)'!$A718="",'实盘净值数据(iFinD公式)'!$B718=""),"",分期持仓明细!$AD$23*SUMPRODUCT(分期持仓明细!$B$23:$AA$23,'实盘净值数据(iFinD公式)'!$B718:$AA718/'实盘净值数据(iFinD公式)'!$B$65:$AA$65)*(1-实盘持仓初始配置!$Z$7)^(('实盘净值数据(iFinD公式)'!$A718-'实盘净值数据(iFinD公式)'!$A$8)/365))</x:f>
        <x:v>#NAME?</x:v>
      </x:c>
      <x:c r="L718" s="152" t="e">
        <x:f>IF(OR(K717="",K718=""),"",K718/K717-1)</x:f>
        <x:v>#NAME?</x:v>
      </x:c>
      <x:c r="M718" s="152" t="e">
        <x:f>IF(K718="","",K718/MAX(K$5:K718)-1)</x:f>
        <x:v>#NAME?</x:v>
      </x:c>
      <x:c r="N718" s="146" t="e">
        <x:f>IF(OR('实盘净值数据(iFinD公式)'!$A718="",'实盘净值数据(iFinD公式)'!$B718=""),"",分期持仓明细!$AD$24*SUMPRODUCT(分期持仓明细!$B$24:$AA$24,'实盘净值数据(iFinD公式)'!$B718:$AA718/'实盘净值数据(iFinD公式)'!$B$65:$AA$65)*(1-实盘持仓初始配置!$Z$8)^(('实盘净值数据(iFinD公式)'!$A718-'实盘净值数据(iFinD公式)'!$A$5)/365))</x:f>
        <x:v>#NAME?</x:v>
      </x:c>
      <x:c r="O718" s="152" t="e">
        <x:f>IF(OR(N717="",N718=""),"",N718/N717-1)</x:f>
        <x:v>#NAME?</x:v>
      </x:c>
      <x:c r="P718" s="152" t="e">
        <x:f>IF(N718="","",N718/MAX(N$5:N718)-1)</x:f>
        <x:v>#NAME?</x:v>
      </x:c>
      <x:c r="Q718" s="146" t="e">
        <x:f>IF(OR('实盘净值数据(iFinD公式)'!$A718="",'实盘净值数据(iFinD公式)'!$B718=""),"",分期持仓明细!$AD$25*SUMPRODUCT(分期持仓明细!$B$25:$AA$25,'实盘净值数据(iFinD公式)'!$B718:$AA718/'实盘净值数据(iFinD公式)'!$B$65:$AA$65)*(1-实盘持仓初始配置!$Z$9)^(('实盘净值数据(iFinD公式)'!$A718-'实盘净值数据(iFinD公式)'!$A$8)/365))</x:f>
        <x:v>#NAME?</x:v>
      </x:c>
      <x:c r="R718" s="152" t="e">
        <x:f>IF(OR(Q717="",Q718=""),"",Q718/Q717-1)</x:f>
        <x:v>#NAME?</x:v>
      </x:c>
      <x:c r="S718" s="152" t="e">
        <x:f>IF(Q718="","",Q718/MAX(Q$5:Q718)-1)</x:f>
        <x:v>#NAME?</x:v>
      </x:c>
    </x:row>
    <x:row r="719">
      <x:c r="A719" s="149" t="str">
        <x:f>IF('实盘净值数据(iFinD公式)'!A719="","",'实盘净值数据(iFinD公式)'!A719)</x:f>
      </x:c>
      <x:c r="B719" s="146" t="e">
        <x:f>IF(OR('实盘净值数据(iFinD公式)'!$A719="",'实盘净值数据(iFinD公式)'!$B719=""),"",分期持仓明细!$AD$17*SUMPRODUCT(分期持仓明细!$B$17:$AA$17,'实盘净值数据(iFinD公式)'!$B719:$AA719/'实盘净值数据(iFinD公式)'!$B$20:$AA$20)*(1-实盘持仓初始配置!$Z$4)^(('实盘净值数据(iFinD公式)'!$A719-'实盘净值数据(iFinD公式)'!$A$6)/365))</x:f>
        <x:v>#NAME?</x:v>
      </x:c>
      <x:c r="C719" s="152" t="e">
        <x:f>IF(OR(B718="",B719=""),"",B719/B718-1)</x:f>
        <x:v>#NAME?</x:v>
      </x:c>
      <x:c r="D719" s="152" t="e">
        <x:f>IF(B719="","",B719/MAX(B$5:B719)-1)</x:f>
        <x:v>#NAME?</x:v>
      </x:c>
      <x:c r="E719" s="146" t="e">
        <x:f>IF(OR('实盘净值数据(iFinD公式)'!$A719="",'实盘净值数据(iFinD公式)'!$B719=""),"",分期持仓明细!$AD$18*SUMPRODUCT(分期持仓明细!$B$18:$AA$18,'实盘净值数据(iFinD公式)'!$B719:$AA719/'实盘净值数据(iFinD公式)'!$B$20:$AA$20)*(1-实盘持仓初始配置!$Z$5)^(('实盘净值数据(iFinD公式)'!$A719-'实盘净值数据(iFinD公式)'!$A$5)/365))</x:f>
        <x:v>#NAME?</x:v>
      </x:c>
      <x:c r="F719" s="152" t="e">
        <x:f>IF(OR(E718="",E719=""),"",E719/E718-1)</x:f>
        <x:v>#NAME?</x:v>
      </x:c>
      <x:c r="G719" s="152" t="e">
        <x:f>IF(E719="","",E719/MAX(E$5:E719)-1)</x:f>
        <x:v>#NAME?</x:v>
      </x:c>
      <x:c r="H719" s="146" t="e">
        <x:f>IF(OR('实盘净值数据(iFinD公式)'!$A719="",'实盘净值数据(iFinD公式)'!$B719=""),"",分期持仓明细!$AD$19*SUMPRODUCT(分期持仓明细!$B$19:$AA$19,'实盘净值数据(iFinD公式)'!$B719:$AA719/'实盘净值数据(iFinD公式)'!$B$20:$AA$20)*(1-实盘持仓初始配置!$Z$6)^(('实盘净值数据(iFinD公式)'!$A719-'实盘净值数据(iFinD公式)'!$A$7)/365))</x:f>
        <x:v>#NAME?</x:v>
      </x:c>
      <x:c r="I719" s="152" t="e">
        <x:f>IF(OR(H718="",H719=""),"",H719/H718-1)</x:f>
        <x:v>#NAME?</x:v>
      </x:c>
      <x:c r="J719" s="152" t="e">
        <x:f>IF(H719="","",H719/MAX(H$5:H719)-1)</x:f>
        <x:v>#NAME?</x:v>
      </x:c>
      <x:c r="K719" s="146" t="e">
        <x:f>IF(OR('实盘净值数据(iFinD公式)'!$A719="",'实盘净值数据(iFinD公式)'!$B719=""),"",分期持仓明细!$AD$23*SUMPRODUCT(分期持仓明细!$B$23:$AA$23,'实盘净值数据(iFinD公式)'!$B719:$AA719/'实盘净值数据(iFinD公式)'!$B$65:$AA$65)*(1-实盘持仓初始配置!$Z$7)^(('实盘净值数据(iFinD公式)'!$A719-'实盘净值数据(iFinD公式)'!$A$8)/365))</x:f>
        <x:v>#NAME?</x:v>
      </x:c>
      <x:c r="L719" s="152" t="e">
        <x:f>IF(OR(K718="",K719=""),"",K719/K718-1)</x:f>
        <x:v>#NAME?</x:v>
      </x:c>
      <x:c r="M719" s="152" t="e">
        <x:f>IF(K719="","",K719/MAX(K$5:K719)-1)</x:f>
        <x:v>#NAME?</x:v>
      </x:c>
      <x:c r="N719" s="146" t="e">
        <x:f>IF(OR('实盘净值数据(iFinD公式)'!$A719="",'实盘净值数据(iFinD公式)'!$B719=""),"",分期持仓明细!$AD$24*SUMPRODUCT(分期持仓明细!$B$24:$AA$24,'实盘净值数据(iFinD公式)'!$B719:$AA719/'实盘净值数据(iFinD公式)'!$B$65:$AA$65)*(1-实盘持仓初始配置!$Z$8)^(('实盘净值数据(iFinD公式)'!$A719-'实盘净值数据(iFinD公式)'!$A$5)/365))</x:f>
        <x:v>#NAME?</x:v>
      </x:c>
      <x:c r="O719" s="152" t="e">
        <x:f>IF(OR(N718="",N719=""),"",N719/N718-1)</x:f>
        <x:v>#NAME?</x:v>
      </x:c>
      <x:c r="P719" s="152" t="e">
        <x:f>IF(N719="","",N719/MAX(N$5:N719)-1)</x:f>
        <x:v>#NAME?</x:v>
      </x:c>
      <x:c r="Q719" s="146" t="e">
        <x:f>IF(OR('实盘净值数据(iFinD公式)'!$A719="",'实盘净值数据(iFinD公式)'!$B719=""),"",分期持仓明细!$AD$25*SUMPRODUCT(分期持仓明细!$B$25:$AA$25,'实盘净值数据(iFinD公式)'!$B719:$AA719/'实盘净值数据(iFinD公式)'!$B$65:$AA$65)*(1-实盘持仓初始配置!$Z$9)^(('实盘净值数据(iFinD公式)'!$A719-'实盘净值数据(iFinD公式)'!$A$8)/365))</x:f>
        <x:v>#NAME?</x:v>
      </x:c>
      <x:c r="R719" s="152" t="e">
        <x:f>IF(OR(Q718="",Q719=""),"",Q719/Q718-1)</x:f>
        <x:v>#NAME?</x:v>
      </x:c>
      <x:c r="S719" s="152" t="e">
        <x:f>IF(Q719="","",Q719/MAX(Q$5:Q719)-1)</x:f>
        <x:v>#NAME?</x:v>
      </x:c>
    </x:row>
    <x:row r="720">
      <x:c r="A720" s="149" t="str">
        <x:f>IF('实盘净值数据(iFinD公式)'!A720="","",'实盘净值数据(iFinD公式)'!A720)</x:f>
      </x:c>
      <x:c r="B720" s="146" t="e">
        <x:f>IF(OR('实盘净值数据(iFinD公式)'!$A720="",'实盘净值数据(iFinD公式)'!$B720=""),"",分期持仓明细!$AD$17*SUMPRODUCT(分期持仓明细!$B$17:$AA$17,'实盘净值数据(iFinD公式)'!$B720:$AA720/'实盘净值数据(iFinD公式)'!$B$20:$AA$20)*(1-实盘持仓初始配置!$Z$4)^(('实盘净值数据(iFinD公式)'!$A720-'实盘净值数据(iFinD公式)'!$A$6)/365))</x:f>
        <x:v>#NAME?</x:v>
      </x:c>
      <x:c r="C720" s="152" t="e">
        <x:f>IF(OR(B719="",B720=""),"",B720/B719-1)</x:f>
        <x:v>#NAME?</x:v>
      </x:c>
      <x:c r="D720" s="152" t="e">
        <x:f>IF(B720="","",B720/MAX(B$5:B720)-1)</x:f>
        <x:v>#NAME?</x:v>
      </x:c>
      <x:c r="E720" s="146" t="e">
        <x:f>IF(OR('实盘净值数据(iFinD公式)'!$A720="",'实盘净值数据(iFinD公式)'!$B720=""),"",分期持仓明细!$AD$18*SUMPRODUCT(分期持仓明细!$B$18:$AA$18,'实盘净值数据(iFinD公式)'!$B720:$AA720/'实盘净值数据(iFinD公式)'!$B$20:$AA$20)*(1-实盘持仓初始配置!$Z$5)^(('实盘净值数据(iFinD公式)'!$A720-'实盘净值数据(iFinD公式)'!$A$5)/365))</x:f>
        <x:v>#NAME?</x:v>
      </x:c>
      <x:c r="F720" s="152" t="e">
        <x:f>IF(OR(E719="",E720=""),"",E720/E719-1)</x:f>
        <x:v>#NAME?</x:v>
      </x:c>
      <x:c r="G720" s="152" t="e">
        <x:f>IF(E720="","",E720/MAX(E$5:E720)-1)</x:f>
        <x:v>#NAME?</x:v>
      </x:c>
      <x:c r="H720" s="146" t="e">
        <x:f>IF(OR('实盘净值数据(iFinD公式)'!$A720="",'实盘净值数据(iFinD公式)'!$B720=""),"",分期持仓明细!$AD$19*SUMPRODUCT(分期持仓明细!$B$19:$AA$19,'实盘净值数据(iFinD公式)'!$B720:$AA720/'实盘净值数据(iFinD公式)'!$B$20:$AA$20)*(1-实盘持仓初始配置!$Z$6)^(('实盘净值数据(iFinD公式)'!$A720-'实盘净值数据(iFinD公式)'!$A$7)/365))</x:f>
        <x:v>#NAME?</x:v>
      </x:c>
      <x:c r="I720" s="152" t="e">
        <x:f>IF(OR(H719="",H720=""),"",H720/H719-1)</x:f>
        <x:v>#NAME?</x:v>
      </x:c>
      <x:c r="J720" s="152" t="e">
        <x:f>IF(H720="","",H720/MAX(H$5:H720)-1)</x:f>
        <x:v>#NAME?</x:v>
      </x:c>
      <x:c r="K720" s="146" t="e">
        <x:f>IF(OR('实盘净值数据(iFinD公式)'!$A720="",'实盘净值数据(iFinD公式)'!$B720=""),"",分期持仓明细!$AD$23*SUMPRODUCT(分期持仓明细!$B$23:$AA$23,'实盘净值数据(iFinD公式)'!$B720:$AA720/'实盘净值数据(iFinD公式)'!$B$65:$AA$65)*(1-实盘持仓初始配置!$Z$7)^(('实盘净值数据(iFinD公式)'!$A720-'实盘净值数据(iFinD公式)'!$A$8)/365))</x:f>
        <x:v>#NAME?</x:v>
      </x:c>
      <x:c r="L720" s="152" t="e">
        <x:f>IF(OR(K719="",K720=""),"",K720/K719-1)</x:f>
        <x:v>#NAME?</x:v>
      </x:c>
      <x:c r="M720" s="152" t="e">
        <x:f>IF(K720="","",K720/MAX(K$5:K720)-1)</x:f>
        <x:v>#NAME?</x:v>
      </x:c>
      <x:c r="N720" s="146" t="e">
        <x:f>IF(OR('实盘净值数据(iFinD公式)'!$A720="",'实盘净值数据(iFinD公式)'!$B720=""),"",分期持仓明细!$AD$24*SUMPRODUCT(分期持仓明细!$B$24:$AA$24,'实盘净值数据(iFinD公式)'!$B720:$AA720/'实盘净值数据(iFinD公式)'!$B$65:$AA$65)*(1-实盘持仓初始配置!$Z$8)^(('实盘净值数据(iFinD公式)'!$A720-'实盘净值数据(iFinD公式)'!$A$5)/365))</x:f>
        <x:v>#NAME?</x:v>
      </x:c>
      <x:c r="O720" s="152" t="e">
        <x:f>IF(OR(N719="",N720=""),"",N720/N719-1)</x:f>
        <x:v>#NAME?</x:v>
      </x:c>
      <x:c r="P720" s="152" t="e">
        <x:f>IF(N720="","",N720/MAX(N$5:N720)-1)</x:f>
        <x:v>#NAME?</x:v>
      </x:c>
      <x:c r="Q720" s="146" t="e">
        <x:f>IF(OR('实盘净值数据(iFinD公式)'!$A720="",'实盘净值数据(iFinD公式)'!$B720=""),"",分期持仓明细!$AD$25*SUMPRODUCT(分期持仓明细!$B$25:$AA$25,'实盘净值数据(iFinD公式)'!$B720:$AA720/'实盘净值数据(iFinD公式)'!$B$65:$AA$65)*(1-实盘持仓初始配置!$Z$9)^(('实盘净值数据(iFinD公式)'!$A720-'实盘净值数据(iFinD公式)'!$A$8)/365))</x:f>
        <x:v>#NAME?</x:v>
      </x:c>
      <x:c r="R720" s="152" t="e">
        <x:f>IF(OR(Q719="",Q720=""),"",Q720/Q719-1)</x:f>
        <x:v>#NAME?</x:v>
      </x:c>
      <x:c r="S720" s="152" t="e">
        <x:f>IF(Q720="","",Q720/MAX(Q$5:Q720)-1)</x:f>
        <x:v>#NAME?</x:v>
      </x:c>
    </x:row>
    <x:row r="721">
      <x:c r="A721" s="149" t="str">
        <x:f>IF('实盘净值数据(iFinD公式)'!A721="","",'实盘净值数据(iFinD公式)'!A721)</x:f>
      </x:c>
      <x:c r="B721" s="146" t="e">
        <x:f>IF(OR('实盘净值数据(iFinD公式)'!$A721="",'实盘净值数据(iFinD公式)'!$B721=""),"",分期持仓明细!$AD$17*SUMPRODUCT(分期持仓明细!$B$17:$AA$17,'实盘净值数据(iFinD公式)'!$B721:$AA721/'实盘净值数据(iFinD公式)'!$B$20:$AA$20)*(1-实盘持仓初始配置!$Z$4)^(('实盘净值数据(iFinD公式)'!$A721-'实盘净值数据(iFinD公式)'!$A$6)/365))</x:f>
        <x:v>#NAME?</x:v>
      </x:c>
      <x:c r="C721" s="152" t="e">
        <x:f>IF(OR(B720="",B721=""),"",B721/B720-1)</x:f>
        <x:v>#NAME?</x:v>
      </x:c>
      <x:c r="D721" s="152" t="e">
        <x:f>IF(B721="","",B721/MAX(B$5:B721)-1)</x:f>
        <x:v>#NAME?</x:v>
      </x:c>
      <x:c r="E721" s="146" t="e">
        <x:f>IF(OR('实盘净值数据(iFinD公式)'!$A721="",'实盘净值数据(iFinD公式)'!$B721=""),"",分期持仓明细!$AD$18*SUMPRODUCT(分期持仓明细!$B$18:$AA$18,'实盘净值数据(iFinD公式)'!$B721:$AA721/'实盘净值数据(iFinD公式)'!$B$20:$AA$20)*(1-实盘持仓初始配置!$Z$5)^(('实盘净值数据(iFinD公式)'!$A721-'实盘净值数据(iFinD公式)'!$A$5)/365))</x:f>
        <x:v>#NAME?</x:v>
      </x:c>
      <x:c r="F721" s="152" t="e">
        <x:f>IF(OR(E720="",E721=""),"",E721/E720-1)</x:f>
        <x:v>#NAME?</x:v>
      </x:c>
      <x:c r="G721" s="152" t="e">
        <x:f>IF(E721="","",E721/MAX(E$5:E721)-1)</x:f>
        <x:v>#NAME?</x:v>
      </x:c>
      <x:c r="H721" s="146" t="e">
        <x:f>IF(OR('实盘净值数据(iFinD公式)'!$A721="",'实盘净值数据(iFinD公式)'!$B721=""),"",分期持仓明细!$AD$19*SUMPRODUCT(分期持仓明细!$B$19:$AA$19,'实盘净值数据(iFinD公式)'!$B721:$AA721/'实盘净值数据(iFinD公式)'!$B$20:$AA$20)*(1-实盘持仓初始配置!$Z$6)^(('实盘净值数据(iFinD公式)'!$A721-'实盘净值数据(iFinD公式)'!$A$7)/365))</x:f>
        <x:v>#NAME?</x:v>
      </x:c>
      <x:c r="I721" s="152" t="e">
        <x:f>IF(OR(H720="",H721=""),"",H721/H720-1)</x:f>
        <x:v>#NAME?</x:v>
      </x:c>
      <x:c r="J721" s="152" t="e">
        <x:f>IF(H721="","",H721/MAX(H$5:H721)-1)</x:f>
        <x:v>#NAME?</x:v>
      </x:c>
      <x:c r="K721" s="146" t="e">
        <x:f>IF(OR('实盘净值数据(iFinD公式)'!$A721="",'实盘净值数据(iFinD公式)'!$B721=""),"",分期持仓明细!$AD$23*SUMPRODUCT(分期持仓明细!$B$23:$AA$23,'实盘净值数据(iFinD公式)'!$B721:$AA721/'实盘净值数据(iFinD公式)'!$B$65:$AA$65)*(1-实盘持仓初始配置!$Z$7)^(('实盘净值数据(iFinD公式)'!$A721-'实盘净值数据(iFinD公式)'!$A$8)/365))</x:f>
        <x:v>#NAME?</x:v>
      </x:c>
      <x:c r="L721" s="152" t="e">
        <x:f>IF(OR(K720="",K721=""),"",K721/K720-1)</x:f>
        <x:v>#NAME?</x:v>
      </x:c>
      <x:c r="M721" s="152" t="e">
        <x:f>IF(K721="","",K721/MAX(K$5:K721)-1)</x:f>
        <x:v>#NAME?</x:v>
      </x:c>
      <x:c r="N721" s="146" t="e">
        <x:f>IF(OR('实盘净值数据(iFinD公式)'!$A721="",'实盘净值数据(iFinD公式)'!$B721=""),"",分期持仓明细!$AD$24*SUMPRODUCT(分期持仓明细!$B$24:$AA$24,'实盘净值数据(iFinD公式)'!$B721:$AA721/'实盘净值数据(iFinD公式)'!$B$65:$AA$65)*(1-实盘持仓初始配置!$Z$8)^(('实盘净值数据(iFinD公式)'!$A721-'实盘净值数据(iFinD公式)'!$A$5)/365))</x:f>
        <x:v>#NAME?</x:v>
      </x:c>
      <x:c r="O721" s="152" t="e">
        <x:f>IF(OR(N720="",N721=""),"",N721/N720-1)</x:f>
        <x:v>#NAME?</x:v>
      </x:c>
      <x:c r="P721" s="152" t="e">
        <x:f>IF(N721="","",N721/MAX(N$5:N721)-1)</x:f>
        <x:v>#NAME?</x:v>
      </x:c>
      <x:c r="Q721" s="146" t="e">
        <x:f>IF(OR('实盘净值数据(iFinD公式)'!$A721="",'实盘净值数据(iFinD公式)'!$B721=""),"",分期持仓明细!$AD$25*SUMPRODUCT(分期持仓明细!$B$25:$AA$25,'实盘净值数据(iFinD公式)'!$B721:$AA721/'实盘净值数据(iFinD公式)'!$B$65:$AA$65)*(1-实盘持仓初始配置!$Z$9)^(('实盘净值数据(iFinD公式)'!$A721-'实盘净值数据(iFinD公式)'!$A$8)/365))</x:f>
        <x:v>#NAME?</x:v>
      </x:c>
      <x:c r="R721" s="152" t="e">
        <x:f>IF(OR(Q720="",Q721=""),"",Q721/Q720-1)</x:f>
        <x:v>#NAME?</x:v>
      </x:c>
      <x:c r="S721" s="152" t="e">
        <x:f>IF(Q721="","",Q721/MAX(Q$5:Q721)-1)</x:f>
        <x:v>#NAME?</x:v>
      </x:c>
    </x:row>
    <x:row r="722">
      <x:c r="A722" s="149" t="str">
        <x:f>IF('实盘净值数据(iFinD公式)'!A722="","",'实盘净值数据(iFinD公式)'!A722)</x:f>
      </x:c>
      <x:c r="B722" s="146" t="e">
        <x:f>IF(OR('实盘净值数据(iFinD公式)'!$A722="",'实盘净值数据(iFinD公式)'!$B722=""),"",分期持仓明细!$AD$17*SUMPRODUCT(分期持仓明细!$B$17:$AA$17,'实盘净值数据(iFinD公式)'!$B722:$AA722/'实盘净值数据(iFinD公式)'!$B$20:$AA$20)*(1-实盘持仓初始配置!$Z$4)^(('实盘净值数据(iFinD公式)'!$A722-'实盘净值数据(iFinD公式)'!$A$6)/365))</x:f>
        <x:v>#NAME?</x:v>
      </x:c>
      <x:c r="C722" s="152" t="e">
        <x:f>IF(OR(B721="",B722=""),"",B722/B721-1)</x:f>
        <x:v>#NAME?</x:v>
      </x:c>
      <x:c r="D722" s="152" t="e">
        <x:f>IF(B722="","",B722/MAX(B$5:B722)-1)</x:f>
        <x:v>#NAME?</x:v>
      </x:c>
      <x:c r="E722" s="146" t="e">
        <x:f>IF(OR('实盘净值数据(iFinD公式)'!$A722="",'实盘净值数据(iFinD公式)'!$B722=""),"",分期持仓明细!$AD$18*SUMPRODUCT(分期持仓明细!$B$18:$AA$18,'实盘净值数据(iFinD公式)'!$B722:$AA722/'实盘净值数据(iFinD公式)'!$B$20:$AA$20)*(1-实盘持仓初始配置!$Z$5)^(('实盘净值数据(iFinD公式)'!$A722-'实盘净值数据(iFinD公式)'!$A$5)/365))</x:f>
        <x:v>#NAME?</x:v>
      </x:c>
      <x:c r="F722" s="152" t="e">
        <x:f>IF(OR(E721="",E722=""),"",E722/E721-1)</x:f>
        <x:v>#NAME?</x:v>
      </x:c>
      <x:c r="G722" s="152" t="e">
        <x:f>IF(E722="","",E722/MAX(E$5:E722)-1)</x:f>
        <x:v>#NAME?</x:v>
      </x:c>
      <x:c r="H722" s="146" t="e">
        <x:f>IF(OR('实盘净值数据(iFinD公式)'!$A722="",'实盘净值数据(iFinD公式)'!$B722=""),"",分期持仓明细!$AD$19*SUMPRODUCT(分期持仓明细!$B$19:$AA$19,'实盘净值数据(iFinD公式)'!$B722:$AA722/'实盘净值数据(iFinD公式)'!$B$20:$AA$20)*(1-实盘持仓初始配置!$Z$6)^(('实盘净值数据(iFinD公式)'!$A722-'实盘净值数据(iFinD公式)'!$A$7)/365))</x:f>
        <x:v>#NAME?</x:v>
      </x:c>
      <x:c r="I722" s="152" t="e">
        <x:f>IF(OR(H721="",H722=""),"",H722/H721-1)</x:f>
        <x:v>#NAME?</x:v>
      </x:c>
      <x:c r="J722" s="152" t="e">
        <x:f>IF(H722="","",H722/MAX(H$5:H722)-1)</x:f>
        <x:v>#NAME?</x:v>
      </x:c>
      <x:c r="K722" s="146" t="e">
        <x:f>IF(OR('实盘净值数据(iFinD公式)'!$A722="",'实盘净值数据(iFinD公式)'!$B722=""),"",分期持仓明细!$AD$23*SUMPRODUCT(分期持仓明细!$B$23:$AA$23,'实盘净值数据(iFinD公式)'!$B722:$AA722/'实盘净值数据(iFinD公式)'!$B$65:$AA$65)*(1-实盘持仓初始配置!$Z$7)^(('实盘净值数据(iFinD公式)'!$A722-'实盘净值数据(iFinD公式)'!$A$8)/365))</x:f>
        <x:v>#NAME?</x:v>
      </x:c>
      <x:c r="L722" s="152" t="e">
        <x:f>IF(OR(K721="",K722=""),"",K722/K721-1)</x:f>
        <x:v>#NAME?</x:v>
      </x:c>
      <x:c r="M722" s="152" t="e">
        <x:f>IF(K722="","",K722/MAX(K$5:K722)-1)</x:f>
        <x:v>#NAME?</x:v>
      </x:c>
      <x:c r="N722" s="146" t="e">
        <x:f>IF(OR('实盘净值数据(iFinD公式)'!$A722="",'实盘净值数据(iFinD公式)'!$B722=""),"",分期持仓明细!$AD$24*SUMPRODUCT(分期持仓明细!$B$24:$AA$24,'实盘净值数据(iFinD公式)'!$B722:$AA722/'实盘净值数据(iFinD公式)'!$B$65:$AA$65)*(1-实盘持仓初始配置!$Z$8)^(('实盘净值数据(iFinD公式)'!$A722-'实盘净值数据(iFinD公式)'!$A$5)/365))</x:f>
        <x:v>#NAME?</x:v>
      </x:c>
      <x:c r="O722" s="152" t="e">
        <x:f>IF(OR(N721="",N722=""),"",N722/N721-1)</x:f>
        <x:v>#NAME?</x:v>
      </x:c>
      <x:c r="P722" s="152" t="e">
        <x:f>IF(N722="","",N722/MAX(N$5:N722)-1)</x:f>
        <x:v>#NAME?</x:v>
      </x:c>
      <x:c r="Q722" s="146" t="e">
        <x:f>IF(OR('实盘净值数据(iFinD公式)'!$A722="",'实盘净值数据(iFinD公式)'!$B722=""),"",分期持仓明细!$AD$25*SUMPRODUCT(分期持仓明细!$B$25:$AA$25,'实盘净值数据(iFinD公式)'!$B722:$AA722/'实盘净值数据(iFinD公式)'!$B$65:$AA$65)*(1-实盘持仓初始配置!$Z$9)^(('实盘净值数据(iFinD公式)'!$A722-'实盘净值数据(iFinD公式)'!$A$8)/365))</x:f>
        <x:v>#NAME?</x:v>
      </x:c>
      <x:c r="R722" s="152" t="e">
        <x:f>IF(OR(Q721="",Q722=""),"",Q722/Q721-1)</x:f>
        <x:v>#NAME?</x:v>
      </x:c>
      <x:c r="S722" s="152" t="e">
        <x:f>IF(Q722="","",Q722/MAX(Q$5:Q722)-1)</x:f>
        <x:v>#NAME?</x:v>
      </x:c>
    </x:row>
    <x:row r="723">
      <x:c r="A723" s="149" t="str">
        <x:f>IF('实盘净值数据(iFinD公式)'!A723="","",'实盘净值数据(iFinD公式)'!A723)</x:f>
      </x:c>
      <x:c r="B723" s="146" t="e">
        <x:f>IF(OR('实盘净值数据(iFinD公式)'!$A723="",'实盘净值数据(iFinD公式)'!$B723=""),"",分期持仓明细!$AD$17*SUMPRODUCT(分期持仓明细!$B$17:$AA$17,'实盘净值数据(iFinD公式)'!$B723:$AA723/'实盘净值数据(iFinD公式)'!$B$20:$AA$20)*(1-实盘持仓初始配置!$Z$4)^(('实盘净值数据(iFinD公式)'!$A723-'实盘净值数据(iFinD公式)'!$A$6)/365))</x:f>
        <x:v>#NAME?</x:v>
      </x:c>
      <x:c r="C723" s="152" t="e">
        <x:f>IF(OR(B722="",B723=""),"",B723/B722-1)</x:f>
        <x:v>#NAME?</x:v>
      </x:c>
      <x:c r="D723" s="152" t="e">
        <x:f>IF(B723="","",B723/MAX(B$5:B723)-1)</x:f>
        <x:v>#NAME?</x:v>
      </x:c>
      <x:c r="E723" s="146" t="e">
        <x:f>IF(OR('实盘净值数据(iFinD公式)'!$A723="",'实盘净值数据(iFinD公式)'!$B723=""),"",分期持仓明细!$AD$18*SUMPRODUCT(分期持仓明细!$B$18:$AA$18,'实盘净值数据(iFinD公式)'!$B723:$AA723/'实盘净值数据(iFinD公式)'!$B$20:$AA$20)*(1-实盘持仓初始配置!$Z$5)^(('实盘净值数据(iFinD公式)'!$A723-'实盘净值数据(iFinD公式)'!$A$5)/365))</x:f>
        <x:v>#NAME?</x:v>
      </x:c>
      <x:c r="F723" s="152" t="e">
        <x:f>IF(OR(E722="",E723=""),"",E723/E722-1)</x:f>
        <x:v>#NAME?</x:v>
      </x:c>
      <x:c r="G723" s="152" t="e">
        <x:f>IF(E723="","",E723/MAX(E$5:E723)-1)</x:f>
        <x:v>#NAME?</x:v>
      </x:c>
      <x:c r="H723" s="146" t="e">
        <x:f>IF(OR('实盘净值数据(iFinD公式)'!$A723="",'实盘净值数据(iFinD公式)'!$B723=""),"",分期持仓明细!$AD$19*SUMPRODUCT(分期持仓明细!$B$19:$AA$19,'实盘净值数据(iFinD公式)'!$B723:$AA723/'实盘净值数据(iFinD公式)'!$B$20:$AA$20)*(1-实盘持仓初始配置!$Z$6)^(('实盘净值数据(iFinD公式)'!$A723-'实盘净值数据(iFinD公式)'!$A$7)/365))</x:f>
        <x:v>#NAME?</x:v>
      </x:c>
      <x:c r="I723" s="152" t="e">
        <x:f>IF(OR(H722="",H723=""),"",H723/H722-1)</x:f>
        <x:v>#NAME?</x:v>
      </x:c>
      <x:c r="J723" s="152" t="e">
        <x:f>IF(H723="","",H723/MAX(H$5:H723)-1)</x:f>
        <x:v>#NAME?</x:v>
      </x:c>
      <x:c r="K723" s="146" t="e">
        <x:f>IF(OR('实盘净值数据(iFinD公式)'!$A723="",'实盘净值数据(iFinD公式)'!$B723=""),"",分期持仓明细!$AD$23*SUMPRODUCT(分期持仓明细!$B$23:$AA$23,'实盘净值数据(iFinD公式)'!$B723:$AA723/'实盘净值数据(iFinD公式)'!$B$65:$AA$65)*(1-实盘持仓初始配置!$Z$7)^(('实盘净值数据(iFinD公式)'!$A723-'实盘净值数据(iFinD公式)'!$A$8)/365))</x:f>
        <x:v>#NAME?</x:v>
      </x:c>
      <x:c r="L723" s="152" t="e">
        <x:f>IF(OR(K722="",K723=""),"",K723/K722-1)</x:f>
        <x:v>#NAME?</x:v>
      </x:c>
      <x:c r="M723" s="152" t="e">
        <x:f>IF(K723="","",K723/MAX(K$5:K723)-1)</x:f>
        <x:v>#NAME?</x:v>
      </x:c>
      <x:c r="N723" s="146" t="e">
        <x:f>IF(OR('实盘净值数据(iFinD公式)'!$A723="",'实盘净值数据(iFinD公式)'!$B723=""),"",分期持仓明细!$AD$24*SUMPRODUCT(分期持仓明细!$B$24:$AA$24,'实盘净值数据(iFinD公式)'!$B723:$AA723/'实盘净值数据(iFinD公式)'!$B$65:$AA$65)*(1-实盘持仓初始配置!$Z$8)^(('实盘净值数据(iFinD公式)'!$A723-'实盘净值数据(iFinD公式)'!$A$5)/365))</x:f>
        <x:v>#NAME?</x:v>
      </x:c>
      <x:c r="O723" s="152" t="e">
        <x:f>IF(OR(N722="",N723=""),"",N723/N722-1)</x:f>
        <x:v>#NAME?</x:v>
      </x:c>
      <x:c r="P723" s="152" t="e">
        <x:f>IF(N723="","",N723/MAX(N$5:N723)-1)</x:f>
        <x:v>#NAME?</x:v>
      </x:c>
      <x:c r="Q723" s="146" t="e">
        <x:f>IF(OR('实盘净值数据(iFinD公式)'!$A723="",'实盘净值数据(iFinD公式)'!$B723=""),"",分期持仓明细!$AD$25*SUMPRODUCT(分期持仓明细!$B$25:$AA$25,'实盘净值数据(iFinD公式)'!$B723:$AA723/'实盘净值数据(iFinD公式)'!$B$65:$AA$65)*(1-实盘持仓初始配置!$Z$9)^(('实盘净值数据(iFinD公式)'!$A723-'实盘净值数据(iFinD公式)'!$A$8)/365))</x:f>
        <x:v>#NAME?</x:v>
      </x:c>
      <x:c r="R723" s="152" t="e">
        <x:f>IF(OR(Q722="",Q723=""),"",Q723/Q722-1)</x:f>
        <x:v>#NAME?</x:v>
      </x:c>
      <x:c r="S723" s="152" t="e">
        <x:f>IF(Q723="","",Q723/MAX(Q$5:Q723)-1)</x:f>
        <x:v>#NAME?</x:v>
      </x:c>
    </x:row>
    <x:row r="724">
      <x:c r="A724" s="149" t="str">
        <x:f>IF('实盘净值数据(iFinD公式)'!A724="","",'实盘净值数据(iFinD公式)'!A724)</x:f>
      </x:c>
      <x:c r="B724" s="146" t="e">
        <x:f>IF(OR('实盘净值数据(iFinD公式)'!$A724="",'实盘净值数据(iFinD公式)'!$B724=""),"",分期持仓明细!$AD$17*SUMPRODUCT(分期持仓明细!$B$17:$AA$17,'实盘净值数据(iFinD公式)'!$B724:$AA724/'实盘净值数据(iFinD公式)'!$B$20:$AA$20)*(1-实盘持仓初始配置!$Z$4)^(('实盘净值数据(iFinD公式)'!$A724-'实盘净值数据(iFinD公式)'!$A$6)/365))</x:f>
        <x:v>#NAME?</x:v>
      </x:c>
      <x:c r="C724" s="152" t="e">
        <x:f>IF(OR(B723="",B724=""),"",B724/B723-1)</x:f>
        <x:v>#NAME?</x:v>
      </x:c>
      <x:c r="D724" s="152" t="e">
        <x:f>IF(B724="","",B724/MAX(B$5:B724)-1)</x:f>
        <x:v>#NAME?</x:v>
      </x:c>
      <x:c r="E724" s="146" t="e">
        <x:f>IF(OR('实盘净值数据(iFinD公式)'!$A724="",'实盘净值数据(iFinD公式)'!$B724=""),"",分期持仓明细!$AD$18*SUMPRODUCT(分期持仓明细!$B$18:$AA$18,'实盘净值数据(iFinD公式)'!$B724:$AA724/'实盘净值数据(iFinD公式)'!$B$20:$AA$20)*(1-实盘持仓初始配置!$Z$5)^(('实盘净值数据(iFinD公式)'!$A724-'实盘净值数据(iFinD公式)'!$A$5)/365))</x:f>
        <x:v>#NAME?</x:v>
      </x:c>
      <x:c r="F724" s="152" t="e">
        <x:f>IF(OR(E723="",E724=""),"",E724/E723-1)</x:f>
        <x:v>#NAME?</x:v>
      </x:c>
      <x:c r="G724" s="152" t="e">
        <x:f>IF(E724="","",E724/MAX(E$5:E724)-1)</x:f>
        <x:v>#NAME?</x:v>
      </x:c>
      <x:c r="H724" s="146" t="e">
        <x:f>IF(OR('实盘净值数据(iFinD公式)'!$A724="",'实盘净值数据(iFinD公式)'!$B724=""),"",分期持仓明细!$AD$19*SUMPRODUCT(分期持仓明细!$B$19:$AA$19,'实盘净值数据(iFinD公式)'!$B724:$AA724/'实盘净值数据(iFinD公式)'!$B$20:$AA$20)*(1-实盘持仓初始配置!$Z$6)^(('实盘净值数据(iFinD公式)'!$A724-'实盘净值数据(iFinD公式)'!$A$7)/365))</x:f>
        <x:v>#NAME?</x:v>
      </x:c>
      <x:c r="I724" s="152" t="e">
        <x:f>IF(OR(H723="",H724=""),"",H724/H723-1)</x:f>
        <x:v>#NAME?</x:v>
      </x:c>
      <x:c r="J724" s="152" t="e">
        <x:f>IF(H724="","",H724/MAX(H$5:H724)-1)</x:f>
        <x:v>#NAME?</x:v>
      </x:c>
      <x:c r="K724" s="146" t="e">
        <x:f>IF(OR('实盘净值数据(iFinD公式)'!$A724="",'实盘净值数据(iFinD公式)'!$B724=""),"",分期持仓明细!$AD$23*SUMPRODUCT(分期持仓明细!$B$23:$AA$23,'实盘净值数据(iFinD公式)'!$B724:$AA724/'实盘净值数据(iFinD公式)'!$B$65:$AA$65)*(1-实盘持仓初始配置!$Z$7)^(('实盘净值数据(iFinD公式)'!$A724-'实盘净值数据(iFinD公式)'!$A$8)/365))</x:f>
        <x:v>#NAME?</x:v>
      </x:c>
      <x:c r="L724" s="152" t="e">
        <x:f>IF(OR(K723="",K724=""),"",K724/K723-1)</x:f>
        <x:v>#NAME?</x:v>
      </x:c>
      <x:c r="M724" s="152" t="e">
        <x:f>IF(K724="","",K724/MAX(K$5:K724)-1)</x:f>
        <x:v>#NAME?</x:v>
      </x:c>
      <x:c r="N724" s="146" t="e">
        <x:f>IF(OR('实盘净值数据(iFinD公式)'!$A724="",'实盘净值数据(iFinD公式)'!$B724=""),"",分期持仓明细!$AD$24*SUMPRODUCT(分期持仓明细!$B$24:$AA$24,'实盘净值数据(iFinD公式)'!$B724:$AA724/'实盘净值数据(iFinD公式)'!$B$65:$AA$65)*(1-实盘持仓初始配置!$Z$8)^(('实盘净值数据(iFinD公式)'!$A724-'实盘净值数据(iFinD公式)'!$A$5)/365))</x:f>
        <x:v>#NAME?</x:v>
      </x:c>
      <x:c r="O724" s="152" t="e">
        <x:f>IF(OR(N723="",N724=""),"",N724/N723-1)</x:f>
        <x:v>#NAME?</x:v>
      </x:c>
      <x:c r="P724" s="152" t="e">
        <x:f>IF(N724="","",N724/MAX(N$5:N724)-1)</x:f>
        <x:v>#NAME?</x:v>
      </x:c>
      <x:c r="Q724" s="146" t="e">
        <x:f>IF(OR('实盘净值数据(iFinD公式)'!$A724="",'实盘净值数据(iFinD公式)'!$B724=""),"",分期持仓明细!$AD$25*SUMPRODUCT(分期持仓明细!$B$25:$AA$25,'实盘净值数据(iFinD公式)'!$B724:$AA724/'实盘净值数据(iFinD公式)'!$B$65:$AA$65)*(1-实盘持仓初始配置!$Z$9)^(('实盘净值数据(iFinD公式)'!$A724-'实盘净值数据(iFinD公式)'!$A$8)/365))</x:f>
        <x:v>#NAME?</x:v>
      </x:c>
      <x:c r="R724" s="152" t="e">
        <x:f>IF(OR(Q723="",Q724=""),"",Q724/Q723-1)</x:f>
        <x:v>#NAME?</x:v>
      </x:c>
      <x:c r="S724" s="152" t="e">
        <x:f>IF(Q724="","",Q724/MAX(Q$5:Q724)-1)</x:f>
        <x:v>#NAME?</x:v>
      </x:c>
    </x:row>
    <x:row r="725">
      <x:c r="A725" s="149" t="str">
        <x:f>IF('实盘净值数据(iFinD公式)'!A725="","",'实盘净值数据(iFinD公式)'!A725)</x:f>
      </x:c>
      <x:c r="B725" s="146" t="e">
        <x:f>IF(OR('实盘净值数据(iFinD公式)'!$A725="",'实盘净值数据(iFinD公式)'!$B725=""),"",分期持仓明细!$AD$17*SUMPRODUCT(分期持仓明细!$B$17:$AA$17,'实盘净值数据(iFinD公式)'!$B725:$AA725/'实盘净值数据(iFinD公式)'!$B$20:$AA$20)*(1-实盘持仓初始配置!$Z$4)^(('实盘净值数据(iFinD公式)'!$A725-'实盘净值数据(iFinD公式)'!$A$6)/365))</x:f>
        <x:v>#NAME?</x:v>
      </x:c>
      <x:c r="C725" s="152" t="e">
        <x:f>IF(OR(B724="",B725=""),"",B725/B724-1)</x:f>
        <x:v>#NAME?</x:v>
      </x:c>
      <x:c r="D725" s="152" t="e">
        <x:f>IF(B725="","",B725/MAX(B$5:B725)-1)</x:f>
        <x:v>#NAME?</x:v>
      </x:c>
      <x:c r="E725" s="146" t="e">
        <x:f>IF(OR('实盘净值数据(iFinD公式)'!$A725="",'实盘净值数据(iFinD公式)'!$B725=""),"",分期持仓明细!$AD$18*SUMPRODUCT(分期持仓明细!$B$18:$AA$18,'实盘净值数据(iFinD公式)'!$B725:$AA725/'实盘净值数据(iFinD公式)'!$B$20:$AA$20)*(1-实盘持仓初始配置!$Z$5)^(('实盘净值数据(iFinD公式)'!$A725-'实盘净值数据(iFinD公式)'!$A$5)/365))</x:f>
        <x:v>#NAME?</x:v>
      </x:c>
      <x:c r="F725" s="152" t="e">
        <x:f>IF(OR(E724="",E725=""),"",E725/E724-1)</x:f>
        <x:v>#NAME?</x:v>
      </x:c>
      <x:c r="G725" s="152" t="e">
        <x:f>IF(E725="","",E725/MAX(E$5:E725)-1)</x:f>
        <x:v>#NAME?</x:v>
      </x:c>
      <x:c r="H725" s="146" t="e">
        <x:f>IF(OR('实盘净值数据(iFinD公式)'!$A725="",'实盘净值数据(iFinD公式)'!$B725=""),"",分期持仓明细!$AD$19*SUMPRODUCT(分期持仓明细!$B$19:$AA$19,'实盘净值数据(iFinD公式)'!$B725:$AA725/'实盘净值数据(iFinD公式)'!$B$20:$AA$20)*(1-实盘持仓初始配置!$Z$6)^(('实盘净值数据(iFinD公式)'!$A725-'实盘净值数据(iFinD公式)'!$A$7)/365))</x:f>
        <x:v>#NAME?</x:v>
      </x:c>
      <x:c r="I725" s="152" t="e">
        <x:f>IF(OR(H724="",H725=""),"",H725/H724-1)</x:f>
        <x:v>#NAME?</x:v>
      </x:c>
      <x:c r="J725" s="152" t="e">
        <x:f>IF(H725="","",H725/MAX(H$5:H725)-1)</x:f>
        <x:v>#NAME?</x:v>
      </x:c>
      <x:c r="K725" s="146" t="e">
        <x:f>IF(OR('实盘净值数据(iFinD公式)'!$A725="",'实盘净值数据(iFinD公式)'!$B725=""),"",分期持仓明细!$AD$23*SUMPRODUCT(分期持仓明细!$B$23:$AA$23,'实盘净值数据(iFinD公式)'!$B725:$AA725/'实盘净值数据(iFinD公式)'!$B$65:$AA$65)*(1-实盘持仓初始配置!$Z$7)^(('实盘净值数据(iFinD公式)'!$A725-'实盘净值数据(iFinD公式)'!$A$8)/365))</x:f>
        <x:v>#NAME?</x:v>
      </x:c>
      <x:c r="L725" s="152" t="e">
        <x:f>IF(OR(K724="",K725=""),"",K725/K724-1)</x:f>
        <x:v>#NAME?</x:v>
      </x:c>
      <x:c r="M725" s="152" t="e">
        <x:f>IF(K725="","",K725/MAX(K$5:K725)-1)</x:f>
        <x:v>#NAME?</x:v>
      </x:c>
      <x:c r="N725" s="146" t="e">
        <x:f>IF(OR('实盘净值数据(iFinD公式)'!$A725="",'实盘净值数据(iFinD公式)'!$B725=""),"",分期持仓明细!$AD$24*SUMPRODUCT(分期持仓明细!$B$24:$AA$24,'实盘净值数据(iFinD公式)'!$B725:$AA725/'实盘净值数据(iFinD公式)'!$B$65:$AA$65)*(1-实盘持仓初始配置!$Z$8)^(('实盘净值数据(iFinD公式)'!$A725-'实盘净值数据(iFinD公式)'!$A$5)/365))</x:f>
        <x:v>#NAME?</x:v>
      </x:c>
      <x:c r="O725" s="152" t="e">
        <x:f>IF(OR(N724="",N725=""),"",N725/N724-1)</x:f>
        <x:v>#NAME?</x:v>
      </x:c>
      <x:c r="P725" s="152" t="e">
        <x:f>IF(N725="","",N725/MAX(N$5:N725)-1)</x:f>
        <x:v>#NAME?</x:v>
      </x:c>
      <x:c r="Q725" s="146" t="e">
        <x:f>IF(OR('实盘净值数据(iFinD公式)'!$A725="",'实盘净值数据(iFinD公式)'!$B725=""),"",分期持仓明细!$AD$25*SUMPRODUCT(分期持仓明细!$B$25:$AA$25,'实盘净值数据(iFinD公式)'!$B725:$AA725/'实盘净值数据(iFinD公式)'!$B$65:$AA$65)*(1-实盘持仓初始配置!$Z$9)^(('实盘净值数据(iFinD公式)'!$A725-'实盘净值数据(iFinD公式)'!$A$8)/365))</x:f>
        <x:v>#NAME?</x:v>
      </x:c>
      <x:c r="R725" s="152" t="e">
        <x:f>IF(OR(Q724="",Q725=""),"",Q725/Q724-1)</x:f>
        <x:v>#NAME?</x:v>
      </x:c>
      <x:c r="S725" s="152" t="e">
        <x:f>IF(Q725="","",Q725/MAX(Q$5:Q725)-1)</x:f>
        <x:v>#NAME?</x:v>
      </x:c>
    </x:row>
    <x:row r="726">
      <x:c r="A726" s="149" t="str">
        <x:f>IF('实盘净值数据(iFinD公式)'!A726="","",'实盘净值数据(iFinD公式)'!A726)</x:f>
      </x:c>
      <x:c r="B726" s="146" t="e">
        <x:f>IF(OR('实盘净值数据(iFinD公式)'!$A726="",'实盘净值数据(iFinD公式)'!$B726=""),"",分期持仓明细!$AD$17*SUMPRODUCT(分期持仓明细!$B$17:$AA$17,'实盘净值数据(iFinD公式)'!$B726:$AA726/'实盘净值数据(iFinD公式)'!$B$20:$AA$20)*(1-实盘持仓初始配置!$Z$4)^(('实盘净值数据(iFinD公式)'!$A726-'实盘净值数据(iFinD公式)'!$A$6)/365))</x:f>
        <x:v>#NAME?</x:v>
      </x:c>
      <x:c r="C726" s="152" t="e">
        <x:f>IF(OR(B725="",B726=""),"",B726/B725-1)</x:f>
        <x:v>#NAME?</x:v>
      </x:c>
      <x:c r="D726" s="152" t="e">
        <x:f>IF(B726="","",B726/MAX(B$5:B726)-1)</x:f>
        <x:v>#NAME?</x:v>
      </x:c>
      <x:c r="E726" s="146" t="e">
        <x:f>IF(OR('实盘净值数据(iFinD公式)'!$A726="",'实盘净值数据(iFinD公式)'!$B726=""),"",分期持仓明细!$AD$18*SUMPRODUCT(分期持仓明细!$B$18:$AA$18,'实盘净值数据(iFinD公式)'!$B726:$AA726/'实盘净值数据(iFinD公式)'!$B$20:$AA$20)*(1-实盘持仓初始配置!$Z$5)^(('实盘净值数据(iFinD公式)'!$A726-'实盘净值数据(iFinD公式)'!$A$5)/365))</x:f>
        <x:v>#NAME?</x:v>
      </x:c>
      <x:c r="F726" s="152" t="e">
        <x:f>IF(OR(E725="",E726=""),"",E726/E725-1)</x:f>
        <x:v>#NAME?</x:v>
      </x:c>
      <x:c r="G726" s="152" t="e">
        <x:f>IF(E726="","",E726/MAX(E$5:E726)-1)</x:f>
        <x:v>#NAME?</x:v>
      </x:c>
      <x:c r="H726" s="146" t="e">
        <x:f>IF(OR('实盘净值数据(iFinD公式)'!$A726="",'实盘净值数据(iFinD公式)'!$B726=""),"",分期持仓明细!$AD$19*SUMPRODUCT(分期持仓明细!$B$19:$AA$19,'实盘净值数据(iFinD公式)'!$B726:$AA726/'实盘净值数据(iFinD公式)'!$B$20:$AA$20)*(1-实盘持仓初始配置!$Z$6)^(('实盘净值数据(iFinD公式)'!$A726-'实盘净值数据(iFinD公式)'!$A$7)/365))</x:f>
        <x:v>#NAME?</x:v>
      </x:c>
      <x:c r="I726" s="152" t="e">
        <x:f>IF(OR(H725="",H726=""),"",H726/H725-1)</x:f>
        <x:v>#NAME?</x:v>
      </x:c>
      <x:c r="J726" s="152" t="e">
        <x:f>IF(H726="","",H726/MAX(H$5:H726)-1)</x:f>
        <x:v>#NAME?</x:v>
      </x:c>
      <x:c r="K726" s="146" t="e">
        <x:f>IF(OR('实盘净值数据(iFinD公式)'!$A726="",'实盘净值数据(iFinD公式)'!$B726=""),"",分期持仓明细!$AD$23*SUMPRODUCT(分期持仓明细!$B$23:$AA$23,'实盘净值数据(iFinD公式)'!$B726:$AA726/'实盘净值数据(iFinD公式)'!$B$65:$AA$65)*(1-实盘持仓初始配置!$Z$7)^(('实盘净值数据(iFinD公式)'!$A726-'实盘净值数据(iFinD公式)'!$A$8)/365))</x:f>
        <x:v>#NAME?</x:v>
      </x:c>
      <x:c r="L726" s="152" t="e">
        <x:f>IF(OR(K725="",K726=""),"",K726/K725-1)</x:f>
        <x:v>#NAME?</x:v>
      </x:c>
      <x:c r="M726" s="152" t="e">
        <x:f>IF(K726="","",K726/MAX(K$5:K726)-1)</x:f>
        <x:v>#NAME?</x:v>
      </x:c>
      <x:c r="N726" s="146" t="e">
        <x:f>IF(OR('实盘净值数据(iFinD公式)'!$A726="",'实盘净值数据(iFinD公式)'!$B726=""),"",分期持仓明细!$AD$24*SUMPRODUCT(分期持仓明细!$B$24:$AA$24,'实盘净值数据(iFinD公式)'!$B726:$AA726/'实盘净值数据(iFinD公式)'!$B$65:$AA$65)*(1-实盘持仓初始配置!$Z$8)^(('实盘净值数据(iFinD公式)'!$A726-'实盘净值数据(iFinD公式)'!$A$5)/365))</x:f>
        <x:v>#NAME?</x:v>
      </x:c>
      <x:c r="O726" s="152" t="e">
        <x:f>IF(OR(N725="",N726=""),"",N726/N725-1)</x:f>
        <x:v>#NAME?</x:v>
      </x:c>
      <x:c r="P726" s="152" t="e">
        <x:f>IF(N726="","",N726/MAX(N$5:N726)-1)</x:f>
        <x:v>#NAME?</x:v>
      </x:c>
      <x:c r="Q726" s="146" t="e">
        <x:f>IF(OR('实盘净值数据(iFinD公式)'!$A726="",'实盘净值数据(iFinD公式)'!$B726=""),"",分期持仓明细!$AD$25*SUMPRODUCT(分期持仓明细!$B$25:$AA$25,'实盘净值数据(iFinD公式)'!$B726:$AA726/'实盘净值数据(iFinD公式)'!$B$65:$AA$65)*(1-实盘持仓初始配置!$Z$9)^(('实盘净值数据(iFinD公式)'!$A726-'实盘净值数据(iFinD公式)'!$A$8)/365))</x:f>
        <x:v>#NAME?</x:v>
      </x:c>
      <x:c r="R726" s="152" t="e">
        <x:f>IF(OR(Q725="",Q726=""),"",Q726/Q725-1)</x:f>
        <x:v>#NAME?</x:v>
      </x:c>
      <x:c r="S726" s="152" t="e">
        <x:f>IF(Q726="","",Q726/MAX(Q$5:Q726)-1)</x:f>
        <x:v>#NAME?</x:v>
      </x:c>
    </x:row>
    <x:row r="727">
      <x:c r="A727" s="149" t="str">
        <x:f>IF('实盘净值数据(iFinD公式)'!A727="","",'实盘净值数据(iFinD公式)'!A727)</x:f>
      </x:c>
      <x:c r="B727" s="146" t="e">
        <x:f>IF(OR('实盘净值数据(iFinD公式)'!$A727="",'实盘净值数据(iFinD公式)'!$B727=""),"",分期持仓明细!$AD$17*SUMPRODUCT(分期持仓明细!$B$17:$AA$17,'实盘净值数据(iFinD公式)'!$B727:$AA727/'实盘净值数据(iFinD公式)'!$B$20:$AA$20)*(1-实盘持仓初始配置!$Z$4)^(('实盘净值数据(iFinD公式)'!$A727-'实盘净值数据(iFinD公式)'!$A$6)/365))</x:f>
        <x:v>#NAME?</x:v>
      </x:c>
      <x:c r="C727" s="152" t="e">
        <x:f>IF(OR(B726="",B727=""),"",B727/B726-1)</x:f>
        <x:v>#NAME?</x:v>
      </x:c>
      <x:c r="D727" s="152" t="e">
        <x:f>IF(B727="","",B727/MAX(B$5:B727)-1)</x:f>
        <x:v>#NAME?</x:v>
      </x:c>
      <x:c r="E727" s="146" t="e">
        <x:f>IF(OR('实盘净值数据(iFinD公式)'!$A727="",'实盘净值数据(iFinD公式)'!$B727=""),"",分期持仓明细!$AD$18*SUMPRODUCT(分期持仓明细!$B$18:$AA$18,'实盘净值数据(iFinD公式)'!$B727:$AA727/'实盘净值数据(iFinD公式)'!$B$20:$AA$20)*(1-实盘持仓初始配置!$Z$5)^(('实盘净值数据(iFinD公式)'!$A727-'实盘净值数据(iFinD公式)'!$A$5)/365))</x:f>
        <x:v>#NAME?</x:v>
      </x:c>
      <x:c r="F727" s="152" t="e">
        <x:f>IF(OR(E726="",E727=""),"",E727/E726-1)</x:f>
        <x:v>#NAME?</x:v>
      </x:c>
      <x:c r="G727" s="152" t="e">
        <x:f>IF(E727="","",E727/MAX(E$5:E727)-1)</x:f>
        <x:v>#NAME?</x:v>
      </x:c>
      <x:c r="H727" s="146" t="e">
        <x:f>IF(OR('实盘净值数据(iFinD公式)'!$A727="",'实盘净值数据(iFinD公式)'!$B727=""),"",分期持仓明细!$AD$19*SUMPRODUCT(分期持仓明细!$B$19:$AA$19,'实盘净值数据(iFinD公式)'!$B727:$AA727/'实盘净值数据(iFinD公式)'!$B$20:$AA$20)*(1-实盘持仓初始配置!$Z$6)^(('实盘净值数据(iFinD公式)'!$A727-'实盘净值数据(iFinD公式)'!$A$7)/365))</x:f>
        <x:v>#NAME?</x:v>
      </x:c>
      <x:c r="I727" s="152" t="e">
        <x:f>IF(OR(H726="",H727=""),"",H727/H726-1)</x:f>
        <x:v>#NAME?</x:v>
      </x:c>
      <x:c r="J727" s="152" t="e">
        <x:f>IF(H727="","",H727/MAX(H$5:H727)-1)</x:f>
        <x:v>#NAME?</x:v>
      </x:c>
      <x:c r="K727" s="146" t="e">
        <x:f>IF(OR('实盘净值数据(iFinD公式)'!$A727="",'实盘净值数据(iFinD公式)'!$B727=""),"",分期持仓明细!$AD$23*SUMPRODUCT(分期持仓明细!$B$23:$AA$23,'实盘净值数据(iFinD公式)'!$B727:$AA727/'实盘净值数据(iFinD公式)'!$B$65:$AA$65)*(1-实盘持仓初始配置!$Z$7)^(('实盘净值数据(iFinD公式)'!$A727-'实盘净值数据(iFinD公式)'!$A$8)/365))</x:f>
        <x:v>#NAME?</x:v>
      </x:c>
      <x:c r="L727" s="152" t="e">
        <x:f>IF(OR(K726="",K727=""),"",K727/K726-1)</x:f>
        <x:v>#NAME?</x:v>
      </x:c>
      <x:c r="M727" s="152" t="e">
        <x:f>IF(K727="","",K727/MAX(K$5:K727)-1)</x:f>
        <x:v>#NAME?</x:v>
      </x:c>
      <x:c r="N727" s="146" t="e">
        <x:f>IF(OR('实盘净值数据(iFinD公式)'!$A727="",'实盘净值数据(iFinD公式)'!$B727=""),"",分期持仓明细!$AD$24*SUMPRODUCT(分期持仓明细!$B$24:$AA$24,'实盘净值数据(iFinD公式)'!$B727:$AA727/'实盘净值数据(iFinD公式)'!$B$65:$AA$65)*(1-实盘持仓初始配置!$Z$8)^(('实盘净值数据(iFinD公式)'!$A727-'实盘净值数据(iFinD公式)'!$A$5)/365))</x:f>
        <x:v>#NAME?</x:v>
      </x:c>
      <x:c r="O727" s="152" t="e">
        <x:f>IF(OR(N726="",N727=""),"",N727/N726-1)</x:f>
        <x:v>#NAME?</x:v>
      </x:c>
      <x:c r="P727" s="152" t="e">
        <x:f>IF(N727="","",N727/MAX(N$5:N727)-1)</x:f>
        <x:v>#NAME?</x:v>
      </x:c>
      <x:c r="Q727" s="146" t="e">
        <x:f>IF(OR('实盘净值数据(iFinD公式)'!$A727="",'实盘净值数据(iFinD公式)'!$B727=""),"",分期持仓明细!$AD$25*SUMPRODUCT(分期持仓明细!$B$25:$AA$25,'实盘净值数据(iFinD公式)'!$B727:$AA727/'实盘净值数据(iFinD公式)'!$B$65:$AA$65)*(1-实盘持仓初始配置!$Z$9)^(('实盘净值数据(iFinD公式)'!$A727-'实盘净值数据(iFinD公式)'!$A$8)/365))</x:f>
        <x:v>#NAME?</x:v>
      </x:c>
      <x:c r="R727" s="152" t="e">
        <x:f>IF(OR(Q726="",Q727=""),"",Q727/Q726-1)</x:f>
        <x:v>#NAME?</x:v>
      </x:c>
      <x:c r="S727" s="152" t="e">
        <x:f>IF(Q727="","",Q727/MAX(Q$5:Q727)-1)</x:f>
        <x:v>#NAME?</x:v>
      </x:c>
    </x:row>
    <x:row r="728">
      <x:c r="A728" s="149" t="str">
        <x:f>IF('实盘净值数据(iFinD公式)'!A728="","",'实盘净值数据(iFinD公式)'!A728)</x:f>
      </x:c>
      <x:c r="B728" s="146" t="e">
        <x:f>IF(OR('实盘净值数据(iFinD公式)'!$A728="",'实盘净值数据(iFinD公式)'!$B728=""),"",分期持仓明细!$AD$17*SUMPRODUCT(分期持仓明细!$B$17:$AA$17,'实盘净值数据(iFinD公式)'!$B728:$AA728/'实盘净值数据(iFinD公式)'!$B$20:$AA$20)*(1-实盘持仓初始配置!$Z$4)^(('实盘净值数据(iFinD公式)'!$A728-'实盘净值数据(iFinD公式)'!$A$6)/365))</x:f>
        <x:v>#NAME?</x:v>
      </x:c>
      <x:c r="C728" s="152" t="e">
        <x:f>IF(OR(B727="",B728=""),"",B728/B727-1)</x:f>
        <x:v>#NAME?</x:v>
      </x:c>
      <x:c r="D728" s="152" t="e">
        <x:f>IF(B728="","",B728/MAX(B$5:B728)-1)</x:f>
        <x:v>#NAME?</x:v>
      </x:c>
      <x:c r="E728" s="146" t="e">
        <x:f>IF(OR('实盘净值数据(iFinD公式)'!$A728="",'实盘净值数据(iFinD公式)'!$B728=""),"",分期持仓明细!$AD$18*SUMPRODUCT(分期持仓明细!$B$18:$AA$18,'实盘净值数据(iFinD公式)'!$B728:$AA728/'实盘净值数据(iFinD公式)'!$B$20:$AA$20)*(1-实盘持仓初始配置!$Z$5)^(('实盘净值数据(iFinD公式)'!$A728-'实盘净值数据(iFinD公式)'!$A$5)/365))</x:f>
        <x:v>#NAME?</x:v>
      </x:c>
      <x:c r="F728" s="152" t="e">
        <x:f>IF(OR(E727="",E728=""),"",E728/E727-1)</x:f>
        <x:v>#NAME?</x:v>
      </x:c>
      <x:c r="G728" s="152" t="e">
        <x:f>IF(E728="","",E728/MAX(E$5:E728)-1)</x:f>
        <x:v>#NAME?</x:v>
      </x:c>
      <x:c r="H728" s="146" t="e">
        <x:f>IF(OR('实盘净值数据(iFinD公式)'!$A728="",'实盘净值数据(iFinD公式)'!$B728=""),"",分期持仓明细!$AD$19*SUMPRODUCT(分期持仓明细!$B$19:$AA$19,'实盘净值数据(iFinD公式)'!$B728:$AA728/'实盘净值数据(iFinD公式)'!$B$20:$AA$20)*(1-实盘持仓初始配置!$Z$6)^(('实盘净值数据(iFinD公式)'!$A728-'实盘净值数据(iFinD公式)'!$A$7)/365))</x:f>
        <x:v>#NAME?</x:v>
      </x:c>
      <x:c r="I728" s="152" t="e">
        <x:f>IF(OR(H727="",H728=""),"",H728/H727-1)</x:f>
        <x:v>#NAME?</x:v>
      </x:c>
      <x:c r="J728" s="152" t="e">
        <x:f>IF(H728="","",H728/MAX(H$5:H728)-1)</x:f>
        <x:v>#NAME?</x:v>
      </x:c>
      <x:c r="K728" s="146" t="e">
        <x:f>IF(OR('实盘净值数据(iFinD公式)'!$A728="",'实盘净值数据(iFinD公式)'!$B728=""),"",分期持仓明细!$AD$23*SUMPRODUCT(分期持仓明细!$B$23:$AA$23,'实盘净值数据(iFinD公式)'!$B728:$AA728/'实盘净值数据(iFinD公式)'!$B$65:$AA$65)*(1-实盘持仓初始配置!$Z$7)^(('实盘净值数据(iFinD公式)'!$A728-'实盘净值数据(iFinD公式)'!$A$8)/365))</x:f>
        <x:v>#NAME?</x:v>
      </x:c>
      <x:c r="L728" s="152" t="e">
        <x:f>IF(OR(K727="",K728=""),"",K728/K727-1)</x:f>
        <x:v>#NAME?</x:v>
      </x:c>
      <x:c r="M728" s="152" t="e">
        <x:f>IF(K728="","",K728/MAX(K$5:K728)-1)</x:f>
        <x:v>#NAME?</x:v>
      </x:c>
      <x:c r="N728" s="146" t="e">
        <x:f>IF(OR('实盘净值数据(iFinD公式)'!$A728="",'实盘净值数据(iFinD公式)'!$B728=""),"",分期持仓明细!$AD$24*SUMPRODUCT(分期持仓明细!$B$24:$AA$24,'实盘净值数据(iFinD公式)'!$B728:$AA728/'实盘净值数据(iFinD公式)'!$B$65:$AA$65)*(1-实盘持仓初始配置!$Z$8)^(('实盘净值数据(iFinD公式)'!$A728-'实盘净值数据(iFinD公式)'!$A$5)/365))</x:f>
        <x:v>#NAME?</x:v>
      </x:c>
      <x:c r="O728" s="152" t="e">
        <x:f>IF(OR(N727="",N728=""),"",N728/N727-1)</x:f>
        <x:v>#NAME?</x:v>
      </x:c>
      <x:c r="P728" s="152" t="e">
        <x:f>IF(N728="","",N728/MAX(N$5:N728)-1)</x:f>
        <x:v>#NAME?</x:v>
      </x:c>
      <x:c r="Q728" s="146" t="e">
        <x:f>IF(OR('实盘净值数据(iFinD公式)'!$A728="",'实盘净值数据(iFinD公式)'!$B728=""),"",分期持仓明细!$AD$25*SUMPRODUCT(分期持仓明细!$B$25:$AA$25,'实盘净值数据(iFinD公式)'!$B728:$AA728/'实盘净值数据(iFinD公式)'!$B$65:$AA$65)*(1-实盘持仓初始配置!$Z$9)^(('实盘净值数据(iFinD公式)'!$A728-'实盘净值数据(iFinD公式)'!$A$8)/365))</x:f>
        <x:v>#NAME?</x:v>
      </x:c>
      <x:c r="R728" s="152" t="e">
        <x:f>IF(OR(Q727="",Q728=""),"",Q728/Q727-1)</x:f>
        <x:v>#NAME?</x:v>
      </x:c>
      <x:c r="S728" s="152" t="e">
        <x:f>IF(Q728="","",Q728/MAX(Q$5:Q728)-1)</x:f>
        <x:v>#NAME?</x:v>
      </x:c>
    </x:row>
    <x:row r="729">
      <x:c r="A729" s="149" t="str">
        <x:f>IF('实盘净值数据(iFinD公式)'!A729="","",'实盘净值数据(iFinD公式)'!A729)</x:f>
      </x:c>
      <x:c r="B729" s="146" t="e">
        <x:f>IF(OR('实盘净值数据(iFinD公式)'!$A729="",'实盘净值数据(iFinD公式)'!$B729=""),"",分期持仓明细!$AD$17*SUMPRODUCT(分期持仓明细!$B$17:$AA$17,'实盘净值数据(iFinD公式)'!$B729:$AA729/'实盘净值数据(iFinD公式)'!$B$20:$AA$20)*(1-实盘持仓初始配置!$Z$4)^(('实盘净值数据(iFinD公式)'!$A729-'实盘净值数据(iFinD公式)'!$A$6)/365))</x:f>
        <x:v>#NAME?</x:v>
      </x:c>
      <x:c r="C729" s="152" t="e">
        <x:f>IF(OR(B728="",B729=""),"",B729/B728-1)</x:f>
        <x:v>#NAME?</x:v>
      </x:c>
      <x:c r="D729" s="152" t="e">
        <x:f>IF(B729="","",B729/MAX(B$5:B729)-1)</x:f>
        <x:v>#NAME?</x:v>
      </x:c>
      <x:c r="E729" s="146" t="e">
        <x:f>IF(OR('实盘净值数据(iFinD公式)'!$A729="",'实盘净值数据(iFinD公式)'!$B729=""),"",分期持仓明细!$AD$18*SUMPRODUCT(分期持仓明细!$B$18:$AA$18,'实盘净值数据(iFinD公式)'!$B729:$AA729/'实盘净值数据(iFinD公式)'!$B$20:$AA$20)*(1-实盘持仓初始配置!$Z$5)^(('实盘净值数据(iFinD公式)'!$A729-'实盘净值数据(iFinD公式)'!$A$5)/365))</x:f>
        <x:v>#NAME?</x:v>
      </x:c>
      <x:c r="F729" s="152" t="e">
        <x:f>IF(OR(E728="",E729=""),"",E729/E728-1)</x:f>
        <x:v>#NAME?</x:v>
      </x:c>
      <x:c r="G729" s="152" t="e">
        <x:f>IF(E729="","",E729/MAX(E$5:E729)-1)</x:f>
        <x:v>#NAME?</x:v>
      </x:c>
      <x:c r="H729" s="146" t="e">
        <x:f>IF(OR('实盘净值数据(iFinD公式)'!$A729="",'实盘净值数据(iFinD公式)'!$B729=""),"",分期持仓明细!$AD$19*SUMPRODUCT(分期持仓明细!$B$19:$AA$19,'实盘净值数据(iFinD公式)'!$B729:$AA729/'实盘净值数据(iFinD公式)'!$B$20:$AA$20)*(1-实盘持仓初始配置!$Z$6)^(('实盘净值数据(iFinD公式)'!$A729-'实盘净值数据(iFinD公式)'!$A$7)/365))</x:f>
        <x:v>#NAME?</x:v>
      </x:c>
      <x:c r="I729" s="152" t="e">
        <x:f>IF(OR(H728="",H729=""),"",H729/H728-1)</x:f>
        <x:v>#NAME?</x:v>
      </x:c>
      <x:c r="J729" s="152" t="e">
        <x:f>IF(H729="","",H729/MAX(H$5:H729)-1)</x:f>
        <x:v>#NAME?</x:v>
      </x:c>
      <x:c r="K729" s="146" t="e">
        <x:f>IF(OR('实盘净值数据(iFinD公式)'!$A729="",'实盘净值数据(iFinD公式)'!$B729=""),"",分期持仓明细!$AD$23*SUMPRODUCT(分期持仓明细!$B$23:$AA$23,'实盘净值数据(iFinD公式)'!$B729:$AA729/'实盘净值数据(iFinD公式)'!$B$65:$AA$65)*(1-实盘持仓初始配置!$Z$7)^(('实盘净值数据(iFinD公式)'!$A729-'实盘净值数据(iFinD公式)'!$A$8)/365))</x:f>
        <x:v>#NAME?</x:v>
      </x:c>
      <x:c r="L729" s="152" t="e">
        <x:f>IF(OR(K728="",K729=""),"",K729/K728-1)</x:f>
        <x:v>#NAME?</x:v>
      </x:c>
      <x:c r="M729" s="152" t="e">
        <x:f>IF(K729="","",K729/MAX(K$5:K729)-1)</x:f>
        <x:v>#NAME?</x:v>
      </x:c>
      <x:c r="N729" s="146" t="e">
        <x:f>IF(OR('实盘净值数据(iFinD公式)'!$A729="",'实盘净值数据(iFinD公式)'!$B729=""),"",分期持仓明细!$AD$24*SUMPRODUCT(分期持仓明细!$B$24:$AA$24,'实盘净值数据(iFinD公式)'!$B729:$AA729/'实盘净值数据(iFinD公式)'!$B$65:$AA$65)*(1-实盘持仓初始配置!$Z$8)^(('实盘净值数据(iFinD公式)'!$A729-'实盘净值数据(iFinD公式)'!$A$5)/365))</x:f>
        <x:v>#NAME?</x:v>
      </x:c>
      <x:c r="O729" s="152" t="e">
        <x:f>IF(OR(N728="",N729=""),"",N729/N728-1)</x:f>
        <x:v>#NAME?</x:v>
      </x:c>
      <x:c r="P729" s="152" t="e">
        <x:f>IF(N729="","",N729/MAX(N$5:N729)-1)</x:f>
        <x:v>#NAME?</x:v>
      </x:c>
      <x:c r="Q729" s="146" t="e">
        <x:f>IF(OR('实盘净值数据(iFinD公式)'!$A729="",'实盘净值数据(iFinD公式)'!$B729=""),"",分期持仓明细!$AD$25*SUMPRODUCT(分期持仓明细!$B$25:$AA$25,'实盘净值数据(iFinD公式)'!$B729:$AA729/'实盘净值数据(iFinD公式)'!$B$65:$AA$65)*(1-实盘持仓初始配置!$Z$9)^(('实盘净值数据(iFinD公式)'!$A729-'实盘净值数据(iFinD公式)'!$A$8)/365))</x:f>
        <x:v>#NAME?</x:v>
      </x:c>
      <x:c r="R729" s="152" t="e">
        <x:f>IF(OR(Q728="",Q729=""),"",Q729/Q728-1)</x:f>
        <x:v>#NAME?</x:v>
      </x:c>
      <x:c r="S729" s="152" t="e">
        <x:f>IF(Q729="","",Q729/MAX(Q$5:Q729)-1)</x:f>
        <x:v>#NAME?</x:v>
      </x:c>
    </x:row>
    <x:row r="730">
      <x:c r="A730" s="149" t="str">
        <x:f>IF('实盘净值数据(iFinD公式)'!A730="","",'实盘净值数据(iFinD公式)'!A730)</x:f>
      </x:c>
      <x:c r="B730" s="146" t="e">
        <x:f>IF(OR('实盘净值数据(iFinD公式)'!$A730="",'实盘净值数据(iFinD公式)'!$B730=""),"",分期持仓明细!$AD$17*SUMPRODUCT(分期持仓明细!$B$17:$AA$17,'实盘净值数据(iFinD公式)'!$B730:$AA730/'实盘净值数据(iFinD公式)'!$B$20:$AA$20)*(1-实盘持仓初始配置!$Z$4)^(('实盘净值数据(iFinD公式)'!$A730-'实盘净值数据(iFinD公式)'!$A$6)/365))</x:f>
        <x:v>#NAME?</x:v>
      </x:c>
      <x:c r="C730" s="152" t="e">
        <x:f>IF(OR(B729="",B730=""),"",B730/B729-1)</x:f>
        <x:v>#NAME?</x:v>
      </x:c>
      <x:c r="D730" s="152" t="e">
        <x:f>IF(B730="","",B730/MAX(B$5:B730)-1)</x:f>
        <x:v>#NAME?</x:v>
      </x:c>
      <x:c r="E730" s="146" t="e">
        <x:f>IF(OR('实盘净值数据(iFinD公式)'!$A730="",'实盘净值数据(iFinD公式)'!$B730=""),"",分期持仓明细!$AD$18*SUMPRODUCT(分期持仓明细!$B$18:$AA$18,'实盘净值数据(iFinD公式)'!$B730:$AA730/'实盘净值数据(iFinD公式)'!$B$20:$AA$20)*(1-实盘持仓初始配置!$Z$5)^(('实盘净值数据(iFinD公式)'!$A730-'实盘净值数据(iFinD公式)'!$A$5)/365))</x:f>
        <x:v>#NAME?</x:v>
      </x:c>
      <x:c r="F730" s="152" t="e">
        <x:f>IF(OR(E729="",E730=""),"",E730/E729-1)</x:f>
        <x:v>#NAME?</x:v>
      </x:c>
      <x:c r="G730" s="152" t="e">
        <x:f>IF(E730="","",E730/MAX(E$5:E730)-1)</x:f>
        <x:v>#NAME?</x:v>
      </x:c>
      <x:c r="H730" s="146" t="e">
        <x:f>IF(OR('实盘净值数据(iFinD公式)'!$A730="",'实盘净值数据(iFinD公式)'!$B730=""),"",分期持仓明细!$AD$19*SUMPRODUCT(分期持仓明细!$B$19:$AA$19,'实盘净值数据(iFinD公式)'!$B730:$AA730/'实盘净值数据(iFinD公式)'!$B$20:$AA$20)*(1-实盘持仓初始配置!$Z$6)^(('实盘净值数据(iFinD公式)'!$A730-'实盘净值数据(iFinD公式)'!$A$7)/365))</x:f>
        <x:v>#NAME?</x:v>
      </x:c>
      <x:c r="I730" s="152" t="e">
        <x:f>IF(OR(H729="",H730=""),"",H730/H729-1)</x:f>
        <x:v>#NAME?</x:v>
      </x:c>
      <x:c r="J730" s="152" t="e">
        <x:f>IF(H730="","",H730/MAX(H$5:H730)-1)</x:f>
        <x:v>#NAME?</x:v>
      </x:c>
      <x:c r="K730" s="146" t="e">
        <x:f>IF(OR('实盘净值数据(iFinD公式)'!$A730="",'实盘净值数据(iFinD公式)'!$B730=""),"",分期持仓明细!$AD$23*SUMPRODUCT(分期持仓明细!$B$23:$AA$23,'实盘净值数据(iFinD公式)'!$B730:$AA730/'实盘净值数据(iFinD公式)'!$B$65:$AA$65)*(1-实盘持仓初始配置!$Z$7)^(('实盘净值数据(iFinD公式)'!$A730-'实盘净值数据(iFinD公式)'!$A$8)/365))</x:f>
        <x:v>#NAME?</x:v>
      </x:c>
      <x:c r="L730" s="152" t="e">
        <x:f>IF(OR(K729="",K730=""),"",K730/K729-1)</x:f>
        <x:v>#NAME?</x:v>
      </x:c>
      <x:c r="M730" s="152" t="e">
        <x:f>IF(K730="","",K730/MAX(K$5:K730)-1)</x:f>
        <x:v>#NAME?</x:v>
      </x:c>
      <x:c r="N730" s="146" t="e">
        <x:f>IF(OR('实盘净值数据(iFinD公式)'!$A730="",'实盘净值数据(iFinD公式)'!$B730=""),"",分期持仓明细!$AD$24*SUMPRODUCT(分期持仓明细!$B$24:$AA$24,'实盘净值数据(iFinD公式)'!$B730:$AA730/'实盘净值数据(iFinD公式)'!$B$65:$AA$65)*(1-实盘持仓初始配置!$Z$8)^(('实盘净值数据(iFinD公式)'!$A730-'实盘净值数据(iFinD公式)'!$A$5)/365))</x:f>
        <x:v>#NAME?</x:v>
      </x:c>
      <x:c r="O730" s="152" t="e">
        <x:f>IF(OR(N729="",N730=""),"",N730/N729-1)</x:f>
        <x:v>#NAME?</x:v>
      </x:c>
      <x:c r="P730" s="152" t="e">
        <x:f>IF(N730="","",N730/MAX(N$5:N730)-1)</x:f>
        <x:v>#NAME?</x:v>
      </x:c>
      <x:c r="Q730" s="146" t="e">
        <x:f>IF(OR('实盘净值数据(iFinD公式)'!$A730="",'实盘净值数据(iFinD公式)'!$B730=""),"",分期持仓明细!$AD$25*SUMPRODUCT(分期持仓明细!$B$25:$AA$25,'实盘净值数据(iFinD公式)'!$B730:$AA730/'实盘净值数据(iFinD公式)'!$B$65:$AA$65)*(1-实盘持仓初始配置!$Z$9)^(('实盘净值数据(iFinD公式)'!$A730-'实盘净值数据(iFinD公式)'!$A$8)/365))</x:f>
        <x:v>#NAME?</x:v>
      </x:c>
      <x:c r="R730" s="152" t="e">
        <x:f>IF(OR(Q729="",Q730=""),"",Q730/Q729-1)</x:f>
        <x:v>#NAME?</x:v>
      </x:c>
      <x:c r="S730" s="152" t="e">
        <x:f>IF(Q730="","",Q730/MAX(Q$5:Q730)-1)</x:f>
        <x:v>#NAME?</x:v>
      </x:c>
    </x:row>
    <x:row r="731">
      <x:c r="A731" s="149" t="str">
        <x:f>IF('实盘净值数据(iFinD公式)'!A731="","",'实盘净值数据(iFinD公式)'!A731)</x:f>
      </x:c>
      <x:c r="B731" s="146" t="e">
        <x:f>IF(OR('实盘净值数据(iFinD公式)'!$A731="",'实盘净值数据(iFinD公式)'!$B731=""),"",分期持仓明细!$AD$17*SUMPRODUCT(分期持仓明细!$B$17:$AA$17,'实盘净值数据(iFinD公式)'!$B731:$AA731/'实盘净值数据(iFinD公式)'!$B$20:$AA$20)*(1-实盘持仓初始配置!$Z$4)^(('实盘净值数据(iFinD公式)'!$A731-'实盘净值数据(iFinD公式)'!$A$6)/365))</x:f>
        <x:v>#NAME?</x:v>
      </x:c>
      <x:c r="C731" s="152" t="e">
        <x:f>IF(OR(B730="",B731=""),"",B731/B730-1)</x:f>
        <x:v>#NAME?</x:v>
      </x:c>
      <x:c r="D731" s="152" t="e">
        <x:f>IF(B731="","",B731/MAX(B$5:B731)-1)</x:f>
        <x:v>#NAME?</x:v>
      </x:c>
      <x:c r="E731" s="146" t="e">
        <x:f>IF(OR('实盘净值数据(iFinD公式)'!$A731="",'实盘净值数据(iFinD公式)'!$B731=""),"",分期持仓明细!$AD$18*SUMPRODUCT(分期持仓明细!$B$18:$AA$18,'实盘净值数据(iFinD公式)'!$B731:$AA731/'实盘净值数据(iFinD公式)'!$B$20:$AA$20)*(1-实盘持仓初始配置!$Z$5)^(('实盘净值数据(iFinD公式)'!$A731-'实盘净值数据(iFinD公式)'!$A$5)/365))</x:f>
        <x:v>#NAME?</x:v>
      </x:c>
      <x:c r="F731" s="152" t="e">
        <x:f>IF(OR(E730="",E731=""),"",E731/E730-1)</x:f>
        <x:v>#NAME?</x:v>
      </x:c>
      <x:c r="G731" s="152" t="e">
        <x:f>IF(E731="","",E731/MAX(E$5:E731)-1)</x:f>
        <x:v>#NAME?</x:v>
      </x:c>
      <x:c r="H731" s="146" t="e">
        <x:f>IF(OR('实盘净值数据(iFinD公式)'!$A731="",'实盘净值数据(iFinD公式)'!$B731=""),"",分期持仓明细!$AD$19*SUMPRODUCT(分期持仓明细!$B$19:$AA$19,'实盘净值数据(iFinD公式)'!$B731:$AA731/'实盘净值数据(iFinD公式)'!$B$20:$AA$20)*(1-实盘持仓初始配置!$Z$6)^(('实盘净值数据(iFinD公式)'!$A731-'实盘净值数据(iFinD公式)'!$A$7)/365))</x:f>
        <x:v>#NAME?</x:v>
      </x:c>
      <x:c r="I731" s="152" t="e">
        <x:f>IF(OR(H730="",H731=""),"",H731/H730-1)</x:f>
        <x:v>#NAME?</x:v>
      </x:c>
      <x:c r="J731" s="152" t="e">
        <x:f>IF(H731="","",H731/MAX(H$5:H731)-1)</x:f>
        <x:v>#NAME?</x:v>
      </x:c>
      <x:c r="K731" s="146" t="e">
        <x:f>IF(OR('实盘净值数据(iFinD公式)'!$A731="",'实盘净值数据(iFinD公式)'!$B731=""),"",分期持仓明细!$AD$23*SUMPRODUCT(分期持仓明细!$B$23:$AA$23,'实盘净值数据(iFinD公式)'!$B731:$AA731/'实盘净值数据(iFinD公式)'!$B$65:$AA$65)*(1-实盘持仓初始配置!$Z$7)^(('实盘净值数据(iFinD公式)'!$A731-'实盘净值数据(iFinD公式)'!$A$8)/365))</x:f>
        <x:v>#NAME?</x:v>
      </x:c>
      <x:c r="L731" s="152" t="e">
        <x:f>IF(OR(K730="",K731=""),"",K731/K730-1)</x:f>
        <x:v>#NAME?</x:v>
      </x:c>
      <x:c r="M731" s="152" t="e">
        <x:f>IF(K731="","",K731/MAX(K$5:K731)-1)</x:f>
        <x:v>#NAME?</x:v>
      </x:c>
      <x:c r="N731" s="146" t="e">
        <x:f>IF(OR('实盘净值数据(iFinD公式)'!$A731="",'实盘净值数据(iFinD公式)'!$B731=""),"",分期持仓明细!$AD$24*SUMPRODUCT(分期持仓明细!$B$24:$AA$24,'实盘净值数据(iFinD公式)'!$B731:$AA731/'实盘净值数据(iFinD公式)'!$B$65:$AA$65)*(1-实盘持仓初始配置!$Z$8)^(('实盘净值数据(iFinD公式)'!$A731-'实盘净值数据(iFinD公式)'!$A$5)/365))</x:f>
        <x:v>#NAME?</x:v>
      </x:c>
      <x:c r="O731" s="152" t="e">
        <x:f>IF(OR(N730="",N731=""),"",N731/N730-1)</x:f>
        <x:v>#NAME?</x:v>
      </x:c>
      <x:c r="P731" s="152" t="e">
        <x:f>IF(N731="","",N731/MAX(N$5:N731)-1)</x:f>
        <x:v>#NAME?</x:v>
      </x:c>
      <x:c r="Q731" s="146" t="e">
        <x:f>IF(OR('实盘净值数据(iFinD公式)'!$A731="",'实盘净值数据(iFinD公式)'!$B731=""),"",分期持仓明细!$AD$25*SUMPRODUCT(分期持仓明细!$B$25:$AA$25,'实盘净值数据(iFinD公式)'!$B731:$AA731/'实盘净值数据(iFinD公式)'!$B$65:$AA$65)*(1-实盘持仓初始配置!$Z$9)^(('实盘净值数据(iFinD公式)'!$A731-'实盘净值数据(iFinD公式)'!$A$8)/365))</x:f>
        <x:v>#NAME?</x:v>
      </x:c>
      <x:c r="R731" s="152" t="e">
        <x:f>IF(OR(Q730="",Q731=""),"",Q731/Q730-1)</x:f>
        <x:v>#NAME?</x:v>
      </x:c>
      <x:c r="S731" s="152" t="e">
        <x:f>IF(Q731="","",Q731/MAX(Q$5:Q731)-1)</x:f>
        <x:v>#NAME?</x:v>
      </x:c>
    </x:row>
    <x:row r="732">
      <x:c r="A732" s="149" t="str">
        <x:f>IF('实盘净值数据(iFinD公式)'!A732="","",'实盘净值数据(iFinD公式)'!A732)</x:f>
      </x:c>
      <x:c r="B732" s="146" t="e">
        <x:f>IF(OR('实盘净值数据(iFinD公式)'!$A732="",'实盘净值数据(iFinD公式)'!$B732=""),"",分期持仓明细!$AD$17*SUMPRODUCT(分期持仓明细!$B$17:$AA$17,'实盘净值数据(iFinD公式)'!$B732:$AA732/'实盘净值数据(iFinD公式)'!$B$20:$AA$20)*(1-实盘持仓初始配置!$Z$4)^(('实盘净值数据(iFinD公式)'!$A732-'实盘净值数据(iFinD公式)'!$A$6)/365))</x:f>
        <x:v>#NAME?</x:v>
      </x:c>
      <x:c r="C732" s="152" t="e">
        <x:f>IF(OR(B731="",B732=""),"",B732/B731-1)</x:f>
        <x:v>#NAME?</x:v>
      </x:c>
      <x:c r="D732" s="152" t="e">
        <x:f>IF(B732="","",B732/MAX(B$5:B732)-1)</x:f>
        <x:v>#NAME?</x:v>
      </x:c>
      <x:c r="E732" s="146" t="e">
        <x:f>IF(OR('实盘净值数据(iFinD公式)'!$A732="",'实盘净值数据(iFinD公式)'!$B732=""),"",分期持仓明细!$AD$18*SUMPRODUCT(分期持仓明细!$B$18:$AA$18,'实盘净值数据(iFinD公式)'!$B732:$AA732/'实盘净值数据(iFinD公式)'!$B$20:$AA$20)*(1-实盘持仓初始配置!$Z$5)^(('实盘净值数据(iFinD公式)'!$A732-'实盘净值数据(iFinD公式)'!$A$5)/365))</x:f>
        <x:v>#NAME?</x:v>
      </x:c>
      <x:c r="F732" s="152" t="e">
        <x:f>IF(OR(E731="",E732=""),"",E732/E731-1)</x:f>
        <x:v>#NAME?</x:v>
      </x:c>
      <x:c r="G732" s="152" t="e">
        <x:f>IF(E732="","",E732/MAX(E$5:E732)-1)</x:f>
        <x:v>#NAME?</x:v>
      </x:c>
      <x:c r="H732" s="146" t="e">
        <x:f>IF(OR('实盘净值数据(iFinD公式)'!$A732="",'实盘净值数据(iFinD公式)'!$B732=""),"",分期持仓明细!$AD$19*SUMPRODUCT(分期持仓明细!$B$19:$AA$19,'实盘净值数据(iFinD公式)'!$B732:$AA732/'实盘净值数据(iFinD公式)'!$B$20:$AA$20)*(1-实盘持仓初始配置!$Z$6)^(('实盘净值数据(iFinD公式)'!$A732-'实盘净值数据(iFinD公式)'!$A$7)/365))</x:f>
        <x:v>#NAME?</x:v>
      </x:c>
      <x:c r="I732" s="152" t="e">
        <x:f>IF(OR(H731="",H732=""),"",H732/H731-1)</x:f>
        <x:v>#NAME?</x:v>
      </x:c>
      <x:c r="J732" s="152" t="e">
        <x:f>IF(H732="","",H732/MAX(H$5:H732)-1)</x:f>
        <x:v>#NAME?</x:v>
      </x:c>
      <x:c r="K732" s="146" t="e">
        <x:f>IF(OR('实盘净值数据(iFinD公式)'!$A732="",'实盘净值数据(iFinD公式)'!$B732=""),"",分期持仓明细!$AD$23*SUMPRODUCT(分期持仓明细!$B$23:$AA$23,'实盘净值数据(iFinD公式)'!$B732:$AA732/'实盘净值数据(iFinD公式)'!$B$65:$AA$65)*(1-实盘持仓初始配置!$Z$7)^(('实盘净值数据(iFinD公式)'!$A732-'实盘净值数据(iFinD公式)'!$A$8)/365))</x:f>
        <x:v>#NAME?</x:v>
      </x:c>
      <x:c r="L732" s="152" t="e">
        <x:f>IF(OR(K731="",K732=""),"",K732/K731-1)</x:f>
        <x:v>#NAME?</x:v>
      </x:c>
      <x:c r="M732" s="152" t="e">
        <x:f>IF(K732="","",K732/MAX(K$5:K732)-1)</x:f>
        <x:v>#NAME?</x:v>
      </x:c>
      <x:c r="N732" s="146" t="e">
        <x:f>IF(OR('实盘净值数据(iFinD公式)'!$A732="",'实盘净值数据(iFinD公式)'!$B732=""),"",分期持仓明细!$AD$24*SUMPRODUCT(分期持仓明细!$B$24:$AA$24,'实盘净值数据(iFinD公式)'!$B732:$AA732/'实盘净值数据(iFinD公式)'!$B$65:$AA$65)*(1-实盘持仓初始配置!$Z$8)^(('实盘净值数据(iFinD公式)'!$A732-'实盘净值数据(iFinD公式)'!$A$5)/365))</x:f>
        <x:v>#NAME?</x:v>
      </x:c>
      <x:c r="O732" s="152" t="e">
        <x:f>IF(OR(N731="",N732=""),"",N732/N731-1)</x:f>
        <x:v>#NAME?</x:v>
      </x:c>
      <x:c r="P732" s="152" t="e">
        <x:f>IF(N732="","",N732/MAX(N$5:N732)-1)</x:f>
        <x:v>#NAME?</x:v>
      </x:c>
      <x:c r="Q732" s="146" t="e">
        <x:f>IF(OR('实盘净值数据(iFinD公式)'!$A732="",'实盘净值数据(iFinD公式)'!$B732=""),"",分期持仓明细!$AD$25*SUMPRODUCT(分期持仓明细!$B$25:$AA$25,'实盘净值数据(iFinD公式)'!$B732:$AA732/'实盘净值数据(iFinD公式)'!$B$65:$AA$65)*(1-实盘持仓初始配置!$Z$9)^(('实盘净值数据(iFinD公式)'!$A732-'实盘净值数据(iFinD公式)'!$A$8)/365))</x:f>
        <x:v>#NAME?</x:v>
      </x:c>
      <x:c r="R732" s="152" t="e">
        <x:f>IF(OR(Q731="",Q732=""),"",Q732/Q731-1)</x:f>
        <x:v>#NAME?</x:v>
      </x:c>
      <x:c r="S732" s="152" t="e">
        <x:f>IF(Q732="","",Q732/MAX(Q$5:Q732)-1)</x:f>
        <x:v>#NAME?</x:v>
      </x:c>
    </x:row>
    <x:row r="733">
      <x:c r="A733" s="149" t="str">
        <x:f>IF('实盘净值数据(iFinD公式)'!A733="","",'实盘净值数据(iFinD公式)'!A733)</x:f>
      </x:c>
      <x:c r="B733" s="146" t="e">
        <x:f>IF(OR('实盘净值数据(iFinD公式)'!$A733="",'实盘净值数据(iFinD公式)'!$B733=""),"",分期持仓明细!$AD$17*SUMPRODUCT(分期持仓明细!$B$17:$AA$17,'实盘净值数据(iFinD公式)'!$B733:$AA733/'实盘净值数据(iFinD公式)'!$B$20:$AA$20)*(1-实盘持仓初始配置!$Z$4)^(('实盘净值数据(iFinD公式)'!$A733-'实盘净值数据(iFinD公式)'!$A$6)/365))</x:f>
        <x:v>#NAME?</x:v>
      </x:c>
      <x:c r="C733" s="152" t="e">
        <x:f>IF(OR(B732="",B733=""),"",B733/B732-1)</x:f>
        <x:v>#NAME?</x:v>
      </x:c>
      <x:c r="D733" s="152" t="e">
        <x:f>IF(B733="","",B733/MAX(B$5:B733)-1)</x:f>
        <x:v>#NAME?</x:v>
      </x:c>
      <x:c r="E733" s="146" t="e">
        <x:f>IF(OR('实盘净值数据(iFinD公式)'!$A733="",'实盘净值数据(iFinD公式)'!$B733=""),"",分期持仓明细!$AD$18*SUMPRODUCT(分期持仓明细!$B$18:$AA$18,'实盘净值数据(iFinD公式)'!$B733:$AA733/'实盘净值数据(iFinD公式)'!$B$20:$AA$20)*(1-实盘持仓初始配置!$Z$5)^(('实盘净值数据(iFinD公式)'!$A733-'实盘净值数据(iFinD公式)'!$A$5)/365))</x:f>
        <x:v>#NAME?</x:v>
      </x:c>
      <x:c r="F733" s="152" t="e">
        <x:f>IF(OR(E732="",E733=""),"",E733/E732-1)</x:f>
        <x:v>#NAME?</x:v>
      </x:c>
      <x:c r="G733" s="152" t="e">
        <x:f>IF(E733="","",E733/MAX(E$5:E733)-1)</x:f>
        <x:v>#NAME?</x:v>
      </x:c>
      <x:c r="H733" s="146" t="e">
        <x:f>IF(OR('实盘净值数据(iFinD公式)'!$A733="",'实盘净值数据(iFinD公式)'!$B733=""),"",分期持仓明细!$AD$19*SUMPRODUCT(分期持仓明细!$B$19:$AA$19,'实盘净值数据(iFinD公式)'!$B733:$AA733/'实盘净值数据(iFinD公式)'!$B$20:$AA$20)*(1-实盘持仓初始配置!$Z$6)^(('实盘净值数据(iFinD公式)'!$A733-'实盘净值数据(iFinD公式)'!$A$7)/365))</x:f>
        <x:v>#NAME?</x:v>
      </x:c>
      <x:c r="I733" s="152" t="e">
        <x:f>IF(OR(H732="",H733=""),"",H733/H732-1)</x:f>
        <x:v>#NAME?</x:v>
      </x:c>
      <x:c r="J733" s="152" t="e">
        <x:f>IF(H733="","",H733/MAX(H$5:H733)-1)</x:f>
        <x:v>#NAME?</x:v>
      </x:c>
      <x:c r="K733" s="146" t="e">
        <x:f>IF(OR('实盘净值数据(iFinD公式)'!$A733="",'实盘净值数据(iFinD公式)'!$B733=""),"",分期持仓明细!$AD$23*SUMPRODUCT(分期持仓明细!$B$23:$AA$23,'实盘净值数据(iFinD公式)'!$B733:$AA733/'实盘净值数据(iFinD公式)'!$B$65:$AA$65)*(1-实盘持仓初始配置!$Z$7)^(('实盘净值数据(iFinD公式)'!$A733-'实盘净值数据(iFinD公式)'!$A$8)/365))</x:f>
        <x:v>#NAME?</x:v>
      </x:c>
      <x:c r="L733" s="152" t="e">
        <x:f>IF(OR(K732="",K733=""),"",K733/K732-1)</x:f>
        <x:v>#NAME?</x:v>
      </x:c>
      <x:c r="M733" s="152" t="e">
        <x:f>IF(K733="","",K733/MAX(K$5:K733)-1)</x:f>
        <x:v>#NAME?</x:v>
      </x:c>
      <x:c r="N733" s="146" t="e">
        <x:f>IF(OR('实盘净值数据(iFinD公式)'!$A733="",'实盘净值数据(iFinD公式)'!$B733=""),"",分期持仓明细!$AD$24*SUMPRODUCT(分期持仓明细!$B$24:$AA$24,'实盘净值数据(iFinD公式)'!$B733:$AA733/'实盘净值数据(iFinD公式)'!$B$65:$AA$65)*(1-实盘持仓初始配置!$Z$8)^(('实盘净值数据(iFinD公式)'!$A733-'实盘净值数据(iFinD公式)'!$A$5)/365))</x:f>
        <x:v>#NAME?</x:v>
      </x:c>
      <x:c r="O733" s="152" t="e">
        <x:f>IF(OR(N732="",N733=""),"",N733/N732-1)</x:f>
        <x:v>#NAME?</x:v>
      </x:c>
      <x:c r="P733" s="152" t="e">
        <x:f>IF(N733="","",N733/MAX(N$5:N733)-1)</x:f>
        <x:v>#NAME?</x:v>
      </x:c>
      <x:c r="Q733" s="146" t="e">
        <x:f>IF(OR('实盘净值数据(iFinD公式)'!$A733="",'实盘净值数据(iFinD公式)'!$B733=""),"",分期持仓明细!$AD$25*SUMPRODUCT(分期持仓明细!$B$25:$AA$25,'实盘净值数据(iFinD公式)'!$B733:$AA733/'实盘净值数据(iFinD公式)'!$B$65:$AA$65)*(1-实盘持仓初始配置!$Z$9)^(('实盘净值数据(iFinD公式)'!$A733-'实盘净值数据(iFinD公式)'!$A$8)/365))</x:f>
        <x:v>#NAME?</x:v>
      </x:c>
      <x:c r="R733" s="152" t="e">
        <x:f>IF(OR(Q732="",Q733=""),"",Q733/Q732-1)</x:f>
        <x:v>#NAME?</x:v>
      </x:c>
      <x:c r="S733" s="152" t="e">
        <x:f>IF(Q733="","",Q733/MAX(Q$5:Q733)-1)</x:f>
        <x:v>#NAME?</x:v>
      </x:c>
    </x:row>
    <x:row r="734">
      <x:c r="A734" s="149" t="str">
        <x:f>IF('实盘净值数据(iFinD公式)'!A734="","",'实盘净值数据(iFinD公式)'!A734)</x:f>
      </x:c>
      <x:c r="B734" s="146" t="e">
        <x:f>IF(OR('实盘净值数据(iFinD公式)'!$A734="",'实盘净值数据(iFinD公式)'!$B734=""),"",分期持仓明细!$AD$17*SUMPRODUCT(分期持仓明细!$B$17:$AA$17,'实盘净值数据(iFinD公式)'!$B734:$AA734/'实盘净值数据(iFinD公式)'!$B$20:$AA$20)*(1-实盘持仓初始配置!$Z$4)^(('实盘净值数据(iFinD公式)'!$A734-'实盘净值数据(iFinD公式)'!$A$6)/365))</x:f>
        <x:v>#NAME?</x:v>
      </x:c>
      <x:c r="C734" s="152" t="e">
        <x:f>IF(OR(B733="",B734=""),"",B734/B733-1)</x:f>
        <x:v>#NAME?</x:v>
      </x:c>
      <x:c r="D734" s="152" t="e">
        <x:f>IF(B734="","",B734/MAX(B$5:B734)-1)</x:f>
        <x:v>#NAME?</x:v>
      </x:c>
      <x:c r="E734" s="146" t="e">
        <x:f>IF(OR('实盘净值数据(iFinD公式)'!$A734="",'实盘净值数据(iFinD公式)'!$B734=""),"",分期持仓明细!$AD$18*SUMPRODUCT(分期持仓明细!$B$18:$AA$18,'实盘净值数据(iFinD公式)'!$B734:$AA734/'实盘净值数据(iFinD公式)'!$B$20:$AA$20)*(1-实盘持仓初始配置!$Z$5)^(('实盘净值数据(iFinD公式)'!$A734-'实盘净值数据(iFinD公式)'!$A$5)/365))</x:f>
        <x:v>#NAME?</x:v>
      </x:c>
      <x:c r="F734" s="152" t="e">
        <x:f>IF(OR(E733="",E734=""),"",E734/E733-1)</x:f>
        <x:v>#NAME?</x:v>
      </x:c>
      <x:c r="G734" s="152" t="e">
        <x:f>IF(E734="","",E734/MAX(E$5:E734)-1)</x:f>
        <x:v>#NAME?</x:v>
      </x:c>
      <x:c r="H734" s="146" t="e">
        <x:f>IF(OR('实盘净值数据(iFinD公式)'!$A734="",'实盘净值数据(iFinD公式)'!$B734=""),"",分期持仓明细!$AD$19*SUMPRODUCT(分期持仓明细!$B$19:$AA$19,'实盘净值数据(iFinD公式)'!$B734:$AA734/'实盘净值数据(iFinD公式)'!$B$20:$AA$20)*(1-实盘持仓初始配置!$Z$6)^(('实盘净值数据(iFinD公式)'!$A734-'实盘净值数据(iFinD公式)'!$A$7)/365))</x:f>
        <x:v>#NAME?</x:v>
      </x:c>
      <x:c r="I734" s="152" t="e">
        <x:f>IF(OR(H733="",H734=""),"",H734/H733-1)</x:f>
        <x:v>#NAME?</x:v>
      </x:c>
      <x:c r="J734" s="152" t="e">
        <x:f>IF(H734="","",H734/MAX(H$5:H734)-1)</x:f>
        <x:v>#NAME?</x:v>
      </x:c>
      <x:c r="K734" s="146" t="e">
        <x:f>IF(OR('实盘净值数据(iFinD公式)'!$A734="",'实盘净值数据(iFinD公式)'!$B734=""),"",分期持仓明细!$AD$23*SUMPRODUCT(分期持仓明细!$B$23:$AA$23,'实盘净值数据(iFinD公式)'!$B734:$AA734/'实盘净值数据(iFinD公式)'!$B$65:$AA$65)*(1-实盘持仓初始配置!$Z$7)^(('实盘净值数据(iFinD公式)'!$A734-'实盘净值数据(iFinD公式)'!$A$8)/365))</x:f>
        <x:v>#NAME?</x:v>
      </x:c>
      <x:c r="L734" s="152" t="e">
        <x:f>IF(OR(K733="",K734=""),"",K734/K733-1)</x:f>
        <x:v>#NAME?</x:v>
      </x:c>
      <x:c r="M734" s="152" t="e">
        <x:f>IF(K734="","",K734/MAX(K$5:K734)-1)</x:f>
        <x:v>#NAME?</x:v>
      </x:c>
      <x:c r="N734" s="146" t="e">
        <x:f>IF(OR('实盘净值数据(iFinD公式)'!$A734="",'实盘净值数据(iFinD公式)'!$B734=""),"",分期持仓明细!$AD$24*SUMPRODUCT(分期持仓明细!$B$24:$AA$24,'实盘净值数据(iFinD公式)'!$B734:$AA734/'实盘净值数据(iFinD公式)'!$B$65:$AA$65)*(1-实盘持仓初始配置!$Z$8)^(('实盘净值数据(iFinD公式)'!$A734-'实盘净值数据(iFinD公式)'!$A$5)/365))</x:f>
        <x:v>#NAME?</x:v>
      </x:c>
      <x:c r="O734" s="152" t="e">
        <x:f>IF(OR(N733="",N734=""),"",N734/N733-1)</x:f>
        <x:v>#NAME?</x:v>
      </x:c>
      <x:c r="P734" s="152" t="e">
        <x:f>IF(N734="","",N734/MAX(N$5:N734)-1)</x:f>
        <x:v>#NAME?</x:v>
      </x:c>
      <x:c r="Q734" s="146" t="e">
        <x:f>IF(OR('实盘净值数据(iFinD公式)'!$A734="",'实盘净值数据(iFinD公式)'!$B734=""),"",分期持仓明细!$AD$25*SUMPRODUCT(分期持仓明细!$B$25:$AA$25,'实盘净值数据(iFinD公式)'!$B734:$AA734/'实盘净值数据(iFinD公式)'!$B$65:$AA$65)*(1-实盘持仓初始配置!$Z$9)^(('实盘净值数据(iFinD公式)'!$A734-'实盘净值数据(iFinD公式)'!$A$8)/365))</x:f>
        <x:v>#NAME?</x:v>
      </x:c>
      <x:c r="R734" s="152" t="e">
        <x:f>IF(OR(Q733="",Q734=""),"",Q734/Q733-1)</x:f>
        <x:v>#NAME?</x:v>
      </x:c>
      <x:c r="S734" s="152" t="e">
        <x:f>IF(Q734="","",Q734/MAX(Q$5:Q734)-1)</x:f>
        <x:v>#NAME?</x:v>
      </x:c>
    </x:row>
    <x:row r="735">
      <x:c r="A735" s="149" t="str">
        <x:f>IF('实盘净值数据(iFinD公式)'!A735="","",'实盘净值数据(iFinD公式)'!A735)</x:f>
      </x:c>
      <x:c r="B735" s="146" t="e">
        <x:f>IF(OR('实盘净值数据(iFinD公式)'!$A735="",'实盘净值数据(iFinD公式)'!$B735=""),"",分期持仓明细!$AD$17*SUMPRODUCT(分期持仓明细!$B$17:$AA$17,'实盘净值数据(iFinD公式)'!$B735:$AA735/'实盘净值数据(iFinD公式)'!$B$20:$AA$20)*(1-实盘持仓初始配置!$Z$4)^(('实盘净值数据(iFinD公式)'!$A735-'实盘净值数据(iFinD公式)'!$A$6)/365))</x:f>
        <x:v>#NAME?</x:v>
      </x:c>
      <x:c r="C735" s="152" t="e">
        <x:f>IF(OR(B734="",B735=""),"",B735/B734-1)</x:f>
        <x:v>#NAME?</x:v>
      </x:c>
      <x:c r="D735" s="152" t="e">
        <x:f>IF(B735="","",B735/MAX(B$5:B735)-1)</x:f>
        <x:v>#NAME?</x:v>
      </x:c>
      <x:c r="E735" s="146" t="e">
        <x:f>IF(OR('实盘净值数据(iFinD公式)'!$A735="",'实盘净值数据(iFinD公式)'!$B735=""),"",分期持仓明细!$AD$18*SUMPRODUCT(分期持仓明细!$B$18:$AA$18,'实盘净值数据(iFinD公式)'!$B735:$AA735/'实盘净值数据(iFinD公式)'!$B$20:$AA$20)*(1-实盘持仓初始配置!$Z$5)^(('实盘净值数据(iFinD公式)'!$A735-'实盘净值数据(iFinD公式)'!$A$5)/365))</x:f>
        <x:v>#NAME?</x:v>
      </x:c>
      <x:c r="F735" s="152" t="e">
        <x:f>IF(OR(E734="",E735=""),"",E735/E734-1)</x:f>
        <x:v>#NAME?</x:v>
      </x:c>
      <x:c r="G735" s="152" t="e">
        <x:f>IF(E735="","",E735/MAX(E$5:E735)-1)</x:f>
        <x:v>#NAME?</x:v>
      </x:c>
      <x:c r="H735" s="146" t="e">
        <x:f>IF(OR('实盘净值数据(iFinD公式)'!$A735="",'实盘净值数据(iFinD公式)'!$B735=""),"",分期持仓明细!$AD$19*SUMPRODUCT(分期持仓明细!$B$19:$AA$19,'实盘净值数据(iFinD公式)'!$B735:$AA735/'实盘净值数据(iFinD公式)'!$B$20:$AA$20)*(1-实盘持仓初始配置!$Z$6)^(('实盘净值数据(iFinD公式)'!$A735-'实盘净值数据(iFinD公式)'!$A$7)/365))</x:f>
        <x:v>#NAME?</x:v>
      </x:c>
      <x:c r="I735" s="152" t="e">
        <x:f>IF(OR(H734="",H735=""),"",H735/H734-1)</x:f>
        <x:v>#NAME?</x:v>
      </x:c>
      <x:c r="J735" s="152" t="e">
        <x:f>IF(H735="","",H735/MAX(H$5:H735)-1)</x:f>
        <x:v>#NAME?</x:v>
      </x:c>
      <x:c r="K735" s="146" t="e">
        <x:f>IF(OR('实盘净值数据(iFinD公式)'!$A735="",'实盘净值数据(iFinD公式)'!$B735=""),"",分期持仓明细!$AD$23*SUMPRODUCT(分期持仓明细!$B$23:$AA$23,'实盘净值数据(iFinD公式)'!$B735:$AA735/'实盘净值数据(iFinD公式)'!$B$65:$AA$65)*(1-实盘持仓初始配置!$Z$7)^(('实盘净值数据(iFinD公式)'!$A735-'实盘净值数据(iFinD公式)'!$A$8)/365))</x:f>
        <x:v>#NAME?</x:v>
      </x:c>
      <x:c r="L735" s="152" t="e">
        <x:f>IF(OR(K734="",K735=""),"",K735/K734-1)</x:f>
        <x:v>#NAME?</x:v>
      </x:c>
      <x:c r="M735" s="152" t="e">
        <x:f>IF(K735="","",K735/MAX(K$5:K735)-1)</x:f>
        <x:v>#NAME?</x:v>
      </x:c>
      <x:c r="N735" s="146" t="e">
        <x:f>IF(OR('实盘净值数据(iFinD公式)'!$A735="",'实盘净值数据(iFinD公式)'!$B735=""),"",分期持仓明细!$AD$24*SUMPRODUCT(分期持仓明细!$B$24:$AA$24,'实盘净值数据(iFinD公式)'!$B735:$AA735/'实盘净值数据(iFinD公式)'!$B$65:$AA$65)*(1-实盘持仓初始配置!$Z$8)^(('实盘净值数据(iFinD公式)'!$A735-'实盘净值数据(iFinD公式)'!$A$5)/365))</x:f>
        <x:v>#NAME?</x:v>
      </x:c>
      <x:c r="O735" s="152" t="e">
        <x:f>IF(OR(N734="",N735=""),"",N735/N734-1)</x:f>
        <x:v>#NAME?</x:v>
      </x:c>
      <x:c r="P735" s="152" t="e">
        <x:f>IF(N735="","",N735/MAX(N$5:N735)-1)</x:f>
        <x:v>#NAME?</x:v>
      </x:c>
      <x:c r="Q735" s="146" t="e">
        <x:f>IF(OR('实盘净值数据(iFinD公式)'!$A735="",'实盘净值数据(iFinD公式)'!$B735=""),"",分期持仓明细!$AD$25*SUMPRODUCT(分期持仓明细!$B$25:$AA$25,'实盘净值数据(iFinD公式)'!$B735:$AA735/'实盘净值数据(iFinD公式)'!$B$65:$AA$65)*(1-实盘持仓初始配置!$Z$9)^(('实盘净值数据(iFinD公式)'!$A735-'实盘净值数据(iFinD公式)'!$A$8)/365))</x:f>
        <x:v>#NAME?</x:v>
      </x:c>
      <x:c r="R735" s="152" t="e">
        <x:f>IF(OR(Q734="",Q735=""),"",Q735/Q734-1)</x:f>
        <x:v>#NAME?</x:v>
      </x:c>
      <x:c r="S735" s="152" t="e">
        <x:f>IF(Q735="","",Q735/MAX(Q$5:Q735)-1)</x:f>
        <x:v>#NAME?</x:v>
      </x:c>
    </x:row>
    <x:row r="736">
      <x:c r="A736" s="149" t="str">
        <x:f>IF('实盘净值数据(iFinD公式)'!A736="","",'实盘净值数据(iFinD公式)'!A736)</x:f>
      </x:c>
      <x:c r="B736" s="146" t="e">
        <x:f>IF(OR('实盘净值数据(iFinD公式)'!$A736="",'实盘净值数据(iFinD公式)'!$B736=""),"",分期持仓明细!$AD$17*SUMPRODUCT(分期持仓明细!$B$17:$AA$17,'实盘净值数据(iFinD公式)'!$B736:$AA736/'实盘净值数据(iFinD公式)'!$B$20:$AA$20)*(1-实盘持仓初始配置!$Z$4)^(('实盘净值数据(iFinD公式)'!$A736-'实盘净值数据(iFinD公式)'!$A$6)/365))</x:f>
        <x:v>#NAME?</x:v>
      </x:c>
      <x:c r="C736" s="152" t="e">
        <x:f>IF(OR(B735="",B736=""),"",B736/B735-1)</x:f>
        <x:v>#NAME?</x:v>
      </x:c>
      <x:c r="D736" s="152" t="e">
        <x:f>IF(B736="","",B736/MAX(B$5:B736)-1)</x:f>
        <x:v>#NAME?</x:v>
      </x:c>
      <x:c r="E736" s="146" t="e">
        <x:f>IF(OR('实盘净值数据(iFinD公式)'!$A736="",'实盘净值数据(iFinD公式)'!$B736=""),"",分期持仓明细!$AD$18*SUMPRODUCT(分期持仓明细!$B$18:$AA$18,'实盘净值数据(iFinD公式)'!$B736:$AA736/'实盘净值数据(iFinD公式)'!$B$20:$AA$20)*(1-实盘持仓初始配置!$Z$5)^(('实盘净值数据(iFinD公式)'!$A736-'实盘净值数据(iFinD公式)'!$A$5)/365))</x:f>
        <x:v>#NAME?</x:v>
      </x:c>
      <x:c r="F736" s="152" t="e">
        <x:f>IF(OR(E735="",E736=""),"",E736/E735-1)</x:f>
        <x:v>#NAME?</x:v>
      </x:c>
      <x:c r="G736" s="152" t="e">
        <x:f>IF(E736="","",E736/MAX(E$5:E736)-1)</x:f>
        <x:v>#NAME?</x:v>
      </x:c>
      <x:c r="H736" s="146" t="e">
        <x:f>IF(OR('实盘净值数据(iFinD公式)'!$A736="",'实盘净值数据(iFinD公式)'!$B736=""),"",分期持仓明细!$AD$19*SUMPRODUCT(分期持仓明细!$B$19:$AA$19,'实盘净值数据(iFinD公式)'!$B736:$AA736/'实盘净值数据(iFinD公式)'!$B$20:$AA$20)*(1-实盘持仓初始配置!$Z$6)^(('实盘净值数据(iFinD公式)'!$A736-'实盘净值数据(iFinD公式)'!$A$7)/365))</x:f>
        <x:v>#NAME?</x:v>
      </x:c>
      <x:c r="I736" s="152" t="e">
        <x:f>IF(OR(H735="",H736=""),"",H736/H735-1)</x:f>
        <x:v>#NAME?</x:v>
      </x:c>
      <x:c r="J736" s="152" t="e">
        <x:f>IF(H736="","",H736/MAX(H$5:H736)-1)</x:f>
        <x:v>#NAME?</x:v>
      </x:c>
      <x:c r="K736" s="146" t="e">
        <x:f>IF(OR('实盘净值数据(iFinD公式)'!$A736="",'实盘净值数据(iFinD公式)'!$B736=""),"",分期持仓明细!$AD$23*SUMPRODUCT(分期持仓明细!$B$23:$AA$23,'实盘净值数据(iFinD公式)'!$B736:$AA736/'实盘净值数据(iFinD公式)'!$B$65:$AA$65)*(1-实盘持仓初始配置!$Z$7)^(('实盘净值数据(iFinD公式)'!$A736-'实盘净值数据(iFinD公式)'!$A$8)/365))</x:f>
        <x:v>#NAME?</x:v>
      </x:c>
      <x:c r="L736" s="152" t="e">
        <x:f>IF(OR(K735="",K736=""),"",K736/K735-1)</x:f>
        <x:v>#NAME?</x:v>
      </x:c>
      <x:c r="M736" s="152" t="e">
        <x:f>IF(K736="","",K736/MAX(K$5:K736)-1)</x:f>
        <x:v>#NAME?</x:v>
      </x:c>
      <x:c r="N736" s="146" t="e">
        <x:f>IF(OR('实盘净值数据(iFinD公式)'!$A736="",'实盘净值数据(iFinD公式)'!$B736=""),"",分期持仓明细!$AD$24*SUMPRODUCT(分期持仓明细!$B$24:$AA$24,'实盘净值数据(iFinD公式)'!$B736:$AA736/'实盘净值数据(iFinD公式)'!$B$65:$AA$65)*(1-实盘持仓初始配置!$Z$8)^(('实盘净值数据(iFinD公式)'!$A736-'实盘净值数据(iFinD公式)'!$A$5)/365))</x:f>
        <x:v>#NAME?</x:v>
      </x:c>
      <x:c r="O736" s="152" t="e">
        <x:f>IF(OR(N735="",N736=""),"",N736/N735-1)</x:f>
        <x:v>#NAME?</x:v>
      </x:c>
      <x:c r="P736" s="152" t="e">
        <x:f>IF(N736="","",N736/MAX(N$5:N736)-1)</x:f>
        <x:v>#NAME?</x:v>
      </x:c>
      <x:c r="Q736" s="146" t="e">
        <x:f>IF(OR('实盘净值数据(iFinD公式)'!$A736="",'实盘净值数据(iFinD公式)'!$B736=""),"",分期持仓明细!$AD$25*SUMPRODUCT(分期持仓明细!$B$25:$AA$25,'实盘净值数据(iFinD公式)'!$B736:$AA736/'实盘净值数据(iFinD公式)'!$B$65:$AA$65)*(1-实盘持仓初始配置!$Z$9)^(('实盘净值数据(iFinD公式)'!$A736-'实盘净值数据(iFinD公式)'!$A$8)/365))</x:f>
        <x:v>#NAME?</x:v>
      </x:c>
      <x:c r="R736" s="152" t="e">
        <x:f>IF(OR(Q735="",Q736=""),"",Q736/Q735-1)</x:f>
        <x:v>#NAME?</x:v>
      </x:c>
      <x:c r="S736" s="152" t="e">
        <x:f>IF(Q736="","",Q736/MAX(Q$5:Q736)-1)</x:f>
        <x:v>#NAME?</x:v>
      </x:c>
    </x:row>
    <x:row r="737">
      <x:c r="A737" s="149" t="str">
        <x:f>IF('实盘净值数据(iFinD公式)'!A737="","",'实盘净值数据(iFinD公式)'!A737)</x:f>
      </x:c>
      <x:c r="B737" s="146" t="e">
        <x:f>IF(OR('实盘净值数据(iFinD公式)'!$A737="",'实盘净值数据(iFinD公式)'!$B737=""),"",分期持仓明细!$AD$17*SUMPRODUCT(分期持仓明细!$B$17:$AA$17,'实盘净值数据(iFinD公式)'!$B737:$AA737/'实盘净值数据(iFinD公式)'!$B$20:$AA$20)*(1-实盘持仓初始配置!$Z$4)^(('实盘净值数据(iFinD公式)'!$A737-'实盘净值数据(iFinD公式)'!$A$6)/365))</x:f>
        <x:v>#NAME?</x:v>
      </x:c>
      <x:c r="C737" s="152" t="e">
        <x:f>IF(OR(B736="",B737=""),"",B737/B736-1)</x:f>
        <x:v>#NAME?</x:v>
      </x:c>
      <x:c r="D737" s="152" t="e">
        <x:f>IF(B737="","",B737/MAX(B$5:B737)-1)</x:f>
        <x:v>#NAME?</x:v>
      </x:c>
      <x:c r="E737" s="146" t="e">
        <x:f>IF(OR('实盘净值数据(iFinD公式)'!$A737="",'实盘净值数据(iFinD公式)'!$B737=""),"",分期持仓明细!$AD$18*SUMPRODUCT(分期持仓明细!$B$18:$AA$18,'实盘净值数据(iFinD公式)'!$B737:$AA737/'实盘净值数据(iFinD公式)'!$B$20:$AA$20)*(1-实盘持仓初始配置!$Z$5)^(('实盘净值数据(iFinD公式)'!$A737-'实盘净值数据(iFinD公式)'!$A$5)/365))</x:f>
        <x:v>#NAME?</x:v>
      </x:c>
      <x:c r="F737" s="152" t="e">
        <x:f>IF(OR(E736="",E737=""),"",E737/E736-1)</x:f>
        <x:v>#NAME?</x:v>
      </x:c>
      <x:c r="G737" s="152" t="e">
        <x:f>IF(E737="","",E737/MAX(E$5:E737)-1)</x:f>
        <x:v>#NAME?</x:v>
      </x:c>
      <x:c r="H737" s="146" t="e">
        <x:f>IF(OR('实盘净值数据(iFinD公式)'!$A737="",'实盘净值数据(iFinD公式)'!$B737=""),"",分期持仓明细!$AD$19*SUMPRODUCT(分期持仓明细!$B$19:$AA$19,'实盘净值数据(iFinD公式)'!$B737:$AA737/'实盘净值数据(iFinD公式)'!$B$20:$AA$20)*(1-实盘持仓初始配置!$Z$6)^(('实盘净值数据(iFinD公式)'!$A737-'实盘净值数据(iFinD公式)'!$A$7)/365))</x:f>
        <x:v>#NAME?</x:v>
      </x:c>
      <x:c r="I737" s="152" t="e">
        <x:f>IF(OR(H736="",H737=""),"",H737/H736-1)</x:f>
        <x:v>#NAME?</x:v>
      </x:c>
      <x:c r="J737" s="152" t="e">
        <x:f>IF(H737="","",H737/MAX(H$5:H737)-1)</x:f>
        <x:v>#NAME?</x:v>
      </x:c>
      <x:c r="K737" s="146" t="e">
        <x:f>IF(OR('实盘净值数据(iFinD公式)'!$A737="",'实盘净值数据(iFinD公式)'!$B737=""),"",分期持仓明细!$AD$23*SUMPRODUCT(分期持仓明细!$B$23:$AA$23,'实盘净值数据(iFinD公式)'!$B737:$AA737/'实盘净值数据(iFinD公式)'!$B$65:$AA$65)*(1-实盘持仓初始配置!$Z$7)^(('实盘净值数据(iFinD公式)'!$A737-'实盘净值数据(iFinD公式)'!$A$8)/365))</x:f>
        <x:v>#NAME?</x:v>
      </x:c>
      <x:c r="L737" s="152" t="e">
        <x:f>IF(OR(K736="",K737=""),"",K737/K736-1)</x:f>
        <x:v>#NAME?</x:v>
      </x:c>
      <x:c r="M737" s="152" t="e">
        <x:f>IF(K737="","",K737/MAX(K$5:K737)-1)</x:f>
        <x:v>#NAME?</x:v>
      </x:c>
      <x:c r="N737" s="146" t="e">
        <x:f>IF(OR('实盘净值数据(iFinD公式)'!$A737="",'实盘净值数据(iFinD公式)'!$B737=""),"",分期持仓明细!$AD$24*SUMPRODUCT(分期持仓明细!$B$24:$AA$24,'实盘净值数据(iFinD公式)'!$B737:$AA737/'实盘净值数据(iFinD公式)'!$B$65:$AA$65)*(1-实盘持仓初始配置!$Z$8)^(('实盘净值数据(iFinD公式)'!$A737-'实盘净值数据(iFinD公式)'!$A$5)/365))</x:f>
        <x:v>#NAME?</x:v>
      </x:c>
      <x:c r="O737" s="152" t="e">
        <x:f>IF(OR(N736="",N737=""),"",N737/N736-1)</x:f>
        <x:v>#NAME?</x:v>
      </x:c>
      <x:c r="P737" s="152" t="e">
        <x:f>IF(N737="","",N737/MAX(N$5:N737)-1)</x:f>
        <x:v>#NAME?</x:v>
      </x:c>
      <x:c r="Q737" s="146" t="e">
        <x:f>IF(OR('实盘净值数据(iFinD公式)'!$A737="",'实盘净值数据(iFinD公式)'!$B737=""),"",分期持仓明细!$AD$25*SUMPRODUCT(分期持仓明细!$B$25:$AA$25,'实盘净值数据(iFinD公式)'!$B737:$AA737/'实盘净值数据(iFinD公式)'!$B$65:$AA$65)*(1-实盘持仓初始配置!$Z$9)^(('实盘净值数据(iFinD公式)'!$A737-'实盘净值数据(iFinD公式)'!$A$8)/365))</x:f>
        <x:v>#NAME?</x:v>
      </x:c>
      <x:c r="R737" s="152" t="e">
        <x:f>IF(OR(Q736="",Q737=""),"",Q737/Q736-1)</x:f>
        <x:v>#NAME?</x:v>
      </x:c>
      <x:c r="S737" s="152" t="e">
        <x:f>IF(Q737="","",Q737/MAX(Q$5:Q737)-1)</x:f>
        <x:v>#NAME?</x:v>
      </x:c>
    </x:row>
    <x:row r="738">
      <x:c r="A738" s="149" t="str">
        <x:f>IF('实盘净值数据(iFinD公式)'!A738="","",'实盘净值数据(iFinD公式)'!A738)</x:f>
      </x:c>
      <x:c r="B738" s="146" t="e">
        <x:f>IF(OR('实盘净值数据(iFinD公式)'!$A738="",'实盘净值数据(iFinD公式)'!$B738=""),"",分期持仓明细!$AD$17*SUMPRODUCT(分期持仓明细!$B$17:$AA$17,'实盘净值数据(iFinD公式)'!$B738:$AA738/'实盘净值数据(iFinD公式)'!$B$20:$AA$20)*(1-实盘持仓初始配置!$Z$4)^(('实盘净值数据(iFinD公式)'!$A738-'实盘净值数据(iFinD公式)'!$A$6)/365))</x:f>
        <x:v>#NAME?</x:v>
      </x:c>
      <x:c r="C738" s="152" t="e">
        <x:f>IF(OR(B737="",B738=""),"",B738/B737-1)</x:f>
        <x:v>#NAME?</x:v>
      </x:c>
      <x:c r="D738" s="152" t="e">
        <x:f>IF(B738="","",B738/MAX(B$5:B738)-1)</x:f>
        <x:v>#NAME?</x:v>
      </x:c>
      <x:c r="E738" s="146" t="e">
        <x:f>IF(OR('实盘净值数据(iFinD公式)'!$A738="",'实盘净值数据(iFinD公式)'!$B738=""),"",分期持仓明细!$AD$18*SUMPRODUCT(分期持仓明细!$B$18:$AA$18,'实盘净值数据(iFinD公式)'!$B738:$AA738/'实盘净值数据(iFinD公式)'!$B$20:$AA$20)*(1-实盘持仓初始配置!$Z$5)^(('实盘净值数据(iFinD公式)'!$A738-'实盘净值数据(iFinD公式)'!$A$5)/365))</x:f>
        <x:v>#NAME?</x:v>
      </x:c>
      <x:c r="F738" s="152" t="e">
        <x:f>IF(OR(E737="",E738=""),"",E738/E737-1)</x:f>
        <x:v>#NAME?</x:v>
      </x:c>
      <x:c r="G738" s="152" t="e">
        <x:f>IF(E738="","",E738/MAX(E$5:E738)-1)</x:f>
        <x:v>#NAME?</x:v>
      </x:c>
      <x:c r="H738" s="146" t="e">
        <x:f>IF(OR('实盘净值数据(iFinD公式)'!$A738="",'实盘净值数据(iFinD公式)'!$B738=""),"",分期持仓明细!$AD$19*SUMPRODUCT(分期持仓明细!$B$19:$AA$19,'实盘净值数据(iFinD公式)'!$B738:$AA738/'实盘净值数据(iFinD公式)'!$B$20:$AA$20)*(1-实盘持仓初始配置!$Z$6)^(('实盘净值数据(iFinD公式)'!$A738-'实盘净值数据(iFinD公式)'!$A$7)/365))</x:f>
        <x:v>#NAME?</x:v>
      </x:c>
      <x:c r="I738" s="152" t="e">
        <x:f>IF(OR(H737="",H738=""),"",H738/H737-1)</x:f>
        <x:v>#NAME?</x:v>
      </x:c>
      <x:c r="J738" s="152" t="e">
        <x:f>IF(H738="","",H738/MAX(H$5:H738)-1)</x:f>
        <x:v>#NAME?</x:v>
      </x:c>
      <x:c r="K738" s="146" t="e">
        <x:f>IF(OR('实盘净值数据(iFinD公式)'!$A738="",'实盘净值数据(iFinD公式)'!$B738=""),"",分期持仓明细!$AD$23*SUMPRODUCT(分期持仓明细!$B$23:$AA$23,'实盘净值数据(iFinD公式)'!$B738:$AA738/'实盘净值数据(iFinD公式)'!$B$65:$AA$65)*(1-实盘持仓初始配置!$Z$7)^(('实盘净值数据(iFinD公式)'!$A738-'实盘净值数据(iFinD公式)'!$A$8)/365))</x:f>
        <x:v>#NAME?</x:v>
      </x:c>
      <x:c r="L738" s="152" t="e">
        <x:f>IF(OR(K737="",K738=""),"",K738/K737-1)</x:f>
        <x:v>#NAME?</x:v>
      </x:c>
      <x:c r="M738" s="152" t="e">
        <x:f>IF(K738="","",K738/MAX(K$5:K738)-1)</x:f>
        <x:v>#NAME?</x:v>
      </x:c>
      <x:c r="N738" s="146" t="e">
        <x:f>IF(OR('实盘净值数据(iFinD公式)'!$A738="",'实盘净值数据(iFinD公式)'!$B738=""),"",分期持仓明细!$AD$24*SUMPRODUCT(分期持仓明细!$B$24:$AA$24,'实盘净值数据(iFinD公式)'!$B738:$AA738/'实盘净值数据(iFinD公式)'!$B$65:$AA$65)*(1-实盘持仓初始配置!$Z$8)^(('实盘净值数据(iFinD公式)'!$A738-'实盘净值数据(iFinD公式)'!$A$5)/365))</x:f>
        <x:v>#NAME?</x:v>
      </x:c>
      <x:c r="O738" s="152" t="e">
        <x:f>IF(OR(N737="",N738=""),"",N738/N737-1)</x:f>
        <x:v>#NAME?</x:v>
      </x:c>
      <x:c r="P738" s="152" t="e">
        <x:f>IF(N738="","",N738/MAX(N$5:N738)-1)</x:f>
        <x:v>#NAME?</x:v>
      </x:c>
      <x:c r="Q738" s="146" t="e">
        <x:f>IF(OR('实盘净值数据(iFinD公式)'!$A738="",'实盘净值数据(iFinD公式)'!$B738=""),"",分期持仓明细!$AD$25*SUMPRODUCT(分期持仓明细!$B$25:$AA$25,'实盘净值数据(iFinD公式)'!$B738:$AA738/'实盘净值数据(iFinD公式)'!$B$65:$AA$65)*(1-实盘持仓初始配置!$Z$9)^(('实盘净值数据(iFinD公式)'!$A738-'实盘净值数据(iFinD公式)'!$A$8)/365))</x:f>
        <x:v>#NAME?</x:v>
      </x:c>
      <x:c r="R738" s="152" t="e">
        <x:f>IF(OR(Q737="",Q738=""),"",Q738/Q737-1)</x:f>
        <x:v>#NAME?</x:v>
      </x:c>
      <x:c r="S738" s="152" t="e">
        <x:f>IF(Q738="","",Q738/MAX(Q$5:Q738)-1)</x:f>
        <x:v>#NAME?</x:v>
      </x:c>
    </x:row>
    <x:row r="739">
      <x:c r="A739" s="149" t="str">
        <x:f>IF('实盘净值数据(iFinD公式)'!A739="","",'实盘净值数据(iFinD公式)'!A739)</x:f>
      </x:c>
      <x:c r="B739" s="146" t="e">
        <x:f>IF(OR('实盘净值数据(iFinD公式)'!$A739="",'实盘净值数据(iFinD公式)'!$B739=""),"",分期持仓明细!$AD$17*SUMPRODUCT(分期持仓明细!$B$17:$AA$17,'实盘净值数据(iFinD公式)'!$B739:$AA739/'实盘净值数据(iFinD公式)'!$B$20:$AA$20)*(1-实盘持仓初始配置!$Z$4)^(('实盘净值数据(iFinD公式)'!$A739-'实盘净值数据(iFinD公式)'!$A$6)/365))</x:f>
        <x:v>#NAME?</x:v>
      </x:c>
      <x:c r="C739" s="152" t="e">
        <x:f>IF(OR(B738="",B739=""),"",B739/B738-1)</x:f>
        <x:v>#NAME?</x:v>
      </x:c>
      <x:c r="D739" s="152" t="e">
        <x:f>IF(B739="","",B739/MAX(B$5:B739)-1)</x:f>
        <x:v>#NAME?</x:v>
      </x:c>
      <x:c r="E739" s="146" t="e">
        <x:f>IF(OR('实盘净值数据(iFinD公式)'!$A739="",'实盘净值数据(iFinD公式)'!$B739=""),"",分期持仓明细!$AD$18*SUMPRODUCT(分期持仓明细!$B$18:$AA$18,'实盘净值数据(iFinD公式)'!$B739:$AA739/'实盘净值数据(iFinD公式)'!$B$20:$AA$20)*(1-实盘持仓初始配置!$Z$5)^(('实盘净值数据(iFinD公式)'!$A739-'实盘净值数据(iFinD公式)'!$A$5)/365))</x:f>
        <x:v>#NAME?</x:v>
      </x:c>
      <x:c r="F739" s="152" t="e">
        <x:f>IF(OR(E738="",E739=""),"",E739/E738-1)</x:f>
        <x:v>#NAME?</x:v>
      </x:c>
      <x:c r="G739" s="152" t="e">
        <x:f>IF(E739="","",E739/MAX(E$5:E739)-1)</x:f>
        <x:v>#NAME?</x:v>
      </x:c>
      <x:c r="H739" s="146" t="e">
        <x:f>IF(OR('实盘净值数据(iFinD公式)'!$A739="",'实盘净值数据(iFinD公式)'!$B739=""),"",分期持仓明细!$AD$19*SUMPRODUCT(分期持仓明细!$B$19:$AA$19,'实盘净值数据(iFinD公式)'!$B739:$AA739/'实盘净值数据(iFinD公式)'!$B$20:$AA$20)*(1-实盘持仓初始配置!$Z$6)^(('实盘净值数据(iFinD公式)'!$A739-'实盘净值数据(iFinD公式)'!$A$7)/365))</x:f>
        <x:v>#NAME?</x:v>
      </x:c>
      <x:c r="I739" s="152" t="e">
        <x:f>IF(OR(H738="",H739=""),"",H739/H738-1)</x:f>
        <x:v>#NAME?</x:v>
      </x:c>
      <x:c r="J739" s="152" t="e">
        <x:f>IF(H739="","",H739/MAX(H$5:H739)-1)</x:f>
        <x:v>#NAME?</x:v>
      </x:c>
      <x:c r="K739" s="146" t="e">
        <x:f>IF(OR('实盘净值数据(iFinD公式)'!$A739="",'实盘净值数据(iFinD公式)'!$B739=""),"",分期持仓明细!$AD$23*SUMPRODUCT(分期持仓明细!$B$23:$AA$23,'实盘净值数据(iFinD公式)'!$B739:$AA739/'实盘净值数据(iFinD公式)'!$B$65:$AA$65)*(1-实盘持仓初始配置!$Z$7)^(('实盘净值数据(iFinD公式)'!$A739-'实盘净值数据(iFinD公式)'!$A$8)/365))</x:f>
        <x:v>#NAME?</x:v>
      </x:c>
      <x:c r="L739" s="152" t="e">
        <x:f>IF(OR(K738="",K739=""),"",K739/K738-1)</x:f>
        <x:v>#NAME?</x:v>
      </x:c>
      <x:c r="M739" s="152" t="e">
        <x:f>IF(K739="","",K739/MAX(K$5:K739)-1)</x:f>
        <x:v>#NAME?</x:v>
      </x:c>
      <x:c r="N739" s="146" t="e">
        <x:f>IF(OR('实盘净值数据(iFinD公式)'!$A739="",'实盘净值数据(iFinD公式)'!$B739=""),"",分期持仓明细!$AD$24*SUMPRODUCT(分期持仓明细!$B$24:$AA$24,'实盘净值数据(iFinD公式)'!$B739:$AA739/'实盘净值数据(iFinD公式)'!$B$65:$AA$65)*(1-实盘持仓初始配置!$Z$8)^(('实盘净值数据(iFinD公式)'!$A739-'实盘净值数据(iFinD公式)'!$A$5)/365))</x:f>
        <x:v>#NAME?</x:v>
      </x:c>
      <x:c r="O739" s="152" t="e">
        <x:f>IF(OR(N738="",N739=""),"",N739/N738-1)</x:f>
        <x:v>#NAME?</x:v>
      </x:c>
      <x:c r="P739" s="152" t="e">
        <x:f>IF(N739="","",N739/MAX(N$5:N739)-1)</x:f>
        <x:v>#NAME?</x:v>
      </x:c>
      <x:c r="Q739" s="146" t="e">
        <x:f>IF(OR('实盘净值数据(iFinD公式)'!$A739="",'实盘净值数据(iFinD公式)'!$B739=""),"",分期持仓明细!$AD$25*SUMPRODUCT(分期持仓明细!$B$25:$AA$25,'实盘净值数据(iFinD公式)'!$B739:$AA739/'实盘净值数据(iFinD公式)'!$B$65:$AA$65)*(1-实盘持仓初始配置!$Z$9)^(('实盘净值数据(iFinD公式)'!$A739-'实盘净值数据(iFinD公式)'!$A$8)/365))</x:f>
        <x:v>#NAME?</x:v>
      </x:c>
      <x:c r="R739" s="152" t="e">
        <x:f>IF(OR(Q738="",Q739=""),"",Q739/Q738-1)</x:f>
        <x:v>#NAME?</x:v>
      </x:c>
      <x:c r="S739" s="152" t="e">
        <x:f>IF(Q739="","",Q739/MAX(Q$5:Q739)-1)</x:f>
        <x:v>#NAME?</x:v>
      </x:c>
    </x:row>
    <x:row r="740">
      <x:c r="A740" s="149" t="str">
        <x:f>IF('实盘净值数据(iFinD公式)'!A740="","",'实盘净值数据(iFinD公式)'!A740)</x:f>
      </x:c>
      <x:c r="B740" s="146" t="e">
        <x:f>IF(OR('实盘净值数据(iFinD公式)'!$A740="",'实盘净值数据(iFinD公式)'!$B740=""),"",分期持仓明细!$AD$17*SUMPRODUCT(分期持仓明细!$B$17:$AA$17,'实盘净值数据(iFinD公式)'!$B740:$AA740/'实盘净值数据(iFinD公式)'!$B$20:$AA$20)*(1-实盘持仓初始配置!$Z$4)^(('实盘净值数据(iFinD公式)'!$A740-'实盘净值数据(iFinD公式)'!$A$6)/365))</x:f>
        <x:v>#NAME?</x:v>
      </x:c>
      <x:c r="C740" s="152" t="e">
        <x:f>IF(OR(B739="",B740=""),"",B740/B739-1)</x:f>
        <x:v>#NAME?</x:v>
      </x:c>
      <x:c r="D740" s="152" t="e">
        <x:f>IF(B740="","",B740/MAX(B$5:B740)-1)</x:f>
        <x:v>#NAME?</x:v>
      </x:c>
      <x:c r="E740" s="146" t="e">
        <x:f>IF(OR('实盘净值数据(iFinD公式)'!$A740="",'实盘净值数据(iFinD公式)'!$B740=""),"",分期持仓明细!$AD$18*SUMPRODUCT(分期持仓明细!$B$18:$AA$18,'实盘净值数据(iFinD公式)'!$B740:$AA740/'实盘净值数据(iFinD公式)'!$B$20:$AA$20)*(1-实盘持仓初始配置!$Z$5)^(('实盘净值数据(iFinD公式)'!$A740-'实盘净值数据(iFinD公式)'!$A$5)/365))</x:f>
        <x:v>#NAME?</x:v>
      </x:c>
      <x:c r="F740" s="152" t="e">
        <x:f>IF(OR(E739="",E740=""),"",E740/E739-1)</x:f>
        <x:v>#NAME?</x:v>
      </x:c>
      <x:c r="G740" s="152" t="e">
        <x:f>IF(E740="","",E740/MAX(E$5:E740)-1)</x:f>
        <x:v>#NAME?</x:v>
      </x:c>
      <x:c r="H740" s="146" t="e">
        <x:f>IF(OR('实盘净值数据(iFinD公式)'!$A740="",'实盘净值数据(iFinD公式)'!$B740=""),"",分期持仓明细!$AD$19*SUMPRODUCT(分期持仓明细!$B$19:$AA$19,'实盘净值数据(iFinD公式)'!$B740:$AA740/'实盘净值数据(iFinD公式)'!$B$20:$AA$20)*(1-实盘持仓初始配置!$Z$6)^(('实盘净值数据(iFinD公式)'!$A740-'实盘净值数据(iFinD公式)'!$A$7)/365))</x:f>
        <x:v>#NAME?</x:v>
      </x:c>
      <x:c r="I740" s="152" t="e">
        <x:f>IF(OR(H739="",H740=""),"",H740/H739-1)</x:f>
        <x:v>#NAME?</x:v>
      </x:c>
      <x:c r="J740" s="152" t="e">
        <x:f>IF(H740="","",H740/MAX(H$5:H740)-1)</x:f>
        <x:v>#NAME?</x:v>
      </x:c>
      <x:c r="K740" s="146" t="e">
        <x:f>IF(OR('实盘净值数据(iFinD公式)'!$A740="",'实盘净值数据(iFinD公式)'!$B740=""),"",分期持仓明细!$AD$23*SUMPRODUCT(分期持仓明细!$B$23:$AA$23,'实盘净值数据(iFinD公式)'!$B740:$AA740/'实盘净值数据(iFinD公式)'!$B$65:$AA$65)*(1-实盘持仓初始配置!$Z$7)^(('实盘净值数据(iFinD公式)'!$A740-'实盘净值数据(iFinD公式)'!$A$8)/365))</x:f>
        <x:v>#NAME?</x:v>
      </x:c>
      <x:c r="L740" s="152" t="e">
        <x:f>IF(OR(K739="",K740=""),"",K740/K739-1)</x:f>
        <x:v>#NAME?</x:v>
      </x:c>
      <x:c r="M740" s="152" t="e">
        <x:f>IF(K740="","",K740/MAX(K$5:K740)-1)</x:f>
        <x:v>#NAME?</x:v>
      </x:c>
      <x:c r="N740" s="146" t="e">
        <x:f>IF(OR('实盘净值数据(iFinD公式)'!$A740="",'实盘净值数据(iFinD公式)'!$B740=""),"",分期持仓明细!$AD$24*SUMPRODUCT(分期持仓明细!$B$24:$AA$24,'实盘净值数据(iFinD公式)'!$B740:$AA740/'实盘净值数据(iFinD公式)'!$B$65:$AA$65)*(1-实盘持仓初始配置!$Z$8)^(('实盘净值数据(iFinD公式)'!$A740-'实盘净值数据(iFinD公式)'!$A$5)/365))</x:f>
        <x:v>#NAME?</x:v>
      </x:c>
      <x:c r="O740" s="152" t="e">
        <x:f>IF(OR(N739="",N740=""),"",N740/N739-1)</x:f>
        <x:v>#NAME?</x:v>
      </x:c>
      <x:c r="P740" s="152" t="e">
        <x:f>IF(N740="","",N740/MAX(N$5:N740)-1)</x:f>
        <x:v>#NAME?</x:v>
      </x:c>
      <x:c r="Q740" s="146" t="e">
        <x:f>IF(OR('实盘净值数据(iFinD公式)'!$A740="",'实盘净值数据(iFinD公式)'!$B740=""),"",分期持仓明细!$AD$25*SUMPRODUCT(分期持仓明细!$B$25:$AA$25,'实盘净值数据(iFinD公式)'!$B740:$AA740/'实盘净值数据(iFinD公式)'!$B$65:$AA$65)*(1-实盘持仓初始配置!$Z$9)^(('实盘净值数据(iFinD公式)'!$A740-'实盘净值数据(iFinD公式)'!$A$8)/365))</x:f>
        <x:v>#NAME?</x:v>
      </x:c>
      <x:c r="R740" s="152" t="e">
        <x:f>IF(OR(Q739="",Q740=""),"",Q740/Q739-1)</x:f>
        <x:v>#NAME?</x:v>
      </x:c>
      <x:c r="S740" s="152" t="e">
        <x:f>IF(Q740="","",Q740/MAX(Q$5:Q740)-1)</x:f>
        <x:v>#NAME?</x:v>
      </x:c>
    </x:row>
    <x:row r="741">
      <x:c r="A741" s="149" t="str">
        <x:f>IF('实盘净值数据(iFinD公式)'!A741="","",'实盘净值数据(iFinD公式)'!A741)</x:f>
      </x:c>
      <x:c r="B741" s="146" t="e">
        <x:f>IF(OR('实盘净值数据(iFinD公式)'!$A741="",'实盘净值数据(iFinD公式)'!$B741=""),"",分期持仓明细!$AD$17*SUMPRODUCT(分期持仓明细!$B$17:$AA$17,'实盘净值数据(iFinD公式)'!$B741:$AA741/'实盘净值数据(iFinD公式)'!$B$20:$AA$20)*(1-实盘持仓初始配置!$Z$4)^(('实盘净值数据(iFinD公式)'!$A741-'实盘净值数据(iFinD公式)'!$A$6)/365))</x:f>
        <x:v>#NAME?</x:v>
      </x:c>
      <x:c r="C741" s="152" t="e">
        <x:f>IF(OR(B740="",B741=""),"",B741/B740-1)</x:f>
        <x:v>#NAME?</x:v>
      </x:c>
      <x:c r="D741" s="152" t="e">
        <x:f>IF(B741="","",B741/MAX(B$5:B741)-1)</x:f>
        <x:v>#NAME?</x:v>
      </x:c>
      <x:c r="E741" s="146" t="e">
        <x:f>IF(OR('实盘净值数据(iFinD公式)'!$A741="",'实盘净值数据(iFinD公式)'!$B741=""),"",分期持仓明细!$AD$18*SUMPRODUCT(分期持仓明细!$B$18:$AA$18,'实盘净值数据(iFinD公式)'!$B741:$AA741/'实盘净值数据(iFinD公式)'!$B$20:$AA$20)*(1-实盘持仓初始配置!$Z$5)^(('实盘净值数据(iFinD公式)'!$A741-'实盘净值数据(iFinD公式)'!$A$5)/365))</x:f>
        <x:v>#NAME?</x:v>
      </x:c>
      <x:c r="F741" s="152" t="e">
        <x:f>IF(OR(E740="",E741=""),"",E741/E740-1)</x:f>
        <x:v>#NAME?</x:v>
      </x:c>
      <x:c r="G741" s="152" t="e">
        <x:f>IF(E741="","",E741/MAX(E$5:E741)-1)</x:f>
        <x:v>#NAME?</x:v>
      </x:c>
      <x:c r="H741" s="146" t="e">
        <x:f>IF(OR('实盘净值数据(iFinD公式)'!$A741="",'实盘净值数据(iFinD公式)'!$B741=""),"",分期持仓明细!$AD$19*SUMPRODUCT(分期持仓明细!$B$19:$AA$19,'实盘净值数据(iFinD公式)'!$B741:$AA741/'实盘净值数据(iFinD公式)'!$B$20:$AA$20)*(1-实盘持仓初始配置!$Z$6)^(('实盘净值数据(iFinD公式)'!$A741-'实盘净值数据(iFinD公式)'!$A$7)/365))</x:f>
        <x:v>#NAME?</x:v>
      </x:c>
      <x:c r="I741" s="152" t="e">
        <x:f>IF(OR(H740="",H741=""),"",H741/H740-1)</x:f>
        <x:v>#NAME?</x:v>
      </x:c>
      <x:c r="J741" s="152" t="e">
        <x:f>IF(H741="","",H741/MAX(H$5:H741)-1)</x:f>
        <x:v>#NAME?</x:v>
      </x:c>
      <x:c r="K741" s="146" t="e">
        <x:f>IF(OR('实盘净值数据(iFinD公式)'!$A741="",'实盘净值数据(iFinD公式)'!$B741=""),"",分期持仓明细!$AD$23*SUMPRODUCT(分期持仓明细!$B$23:$AA$23,'实盘净值数据(iFinD公式)'!$B741:$AA741/'实盘净值数据(iFinD公式)'!$B$65:$AA$65)*(1-实盘持仓初始配置!$Z$7)^(('实盘净值数据(iFinD公式)'!$A741-'实盘净值数据(iFinD公式)'!$A$8)/365))</x:f>
        <x:v>#NAME?</x:v>
      </x:c>
      <x:c r="L741" s="152" t="e">
        <x:f>IF(OR(K740="",K741=""),"",K741/K740-1)</x:f>
        <x:v>#NAME?</x:v>
      </x:c>
      <x:c r="M741" s="152" t="e">
        <x:f>IF(K741="","",K741/MAX(K$5:K741)-1)</x:f>
        <x:v>#NAME?</x:v>
      </x:c>
      <x:c r="N741" s="146" t="e">
        <x:f>IF(OR('实盘净值数据(iFinD公式)'!$A741="",'实盘净值数据(iFinD公式)'!$B741=""),"",分期持仓明细!$AD$24*SUMPRODUCT(分期持仓明细!$B$24:$AA$24,'实盘净值数据(iFinD公式)'!$B741:$AA741/'实盘净值数据(iFinD公式)'!$B$65:$AA$65)*(1-实盘持仓初始配置!$Z$8)^(('实盘净值数据(iFinD公式)'!$A741-'实盘净值数据(iFinD公式)'!$A$5)/365))</x:f>
        <x:v>#NAME?</x:v>
      </x:c>
      <x:c r="O741" s="152" t="e">
        <x:f>IF(OR(N740="",N741=""),"",N741/N740-1)</x:f>
        <x:v>#NAME?</x:v>
      </x:c>
      <x:c r="P741" s="152" t="e">
        <x:f>IF(N741="","",N741/MAX(N$5:N741)-1)</x:f>
        <x:v>#NAME?</x:v>
      </x:c>
      <x:c r="Q741" s="146" t="e">
        <x:f>IF(OR('实盘净值数据(iFinD公式)'!$A741="",'实盘净值数据(iFinD公式)'!$B741=""),"",分期持仓明细!$AD$25*SUMPRODUCT(分期持仓明细!$B$25:$AA$25,'实盘净值数据(iFinD公式)'!$B741:$AA741/'实盘净值数据(iFinD公式)'!$B$65:$AA$65)*(1-实盘持仓初始配置!$Z$9)^(('实盘净值数据(iFinD公式)'!$A741-'实盘净值数据(iFinD公式)'!$A$8)/365))</x:f>
        <x:v>#NAME?</x:v>
      </x:c>
      <x:c r="R741" s="152" t="e">
        <x:f>IF(OR(Q740="",Q741=""),"",Q741/Q740-1)</x:f>
        <x:v>#NAME?</x:v>
      </x:c>
      <x:c r="S741" s="152" t="e">
        <x:f>IF(Q741="","",Q741/MAX(Q$5:Q741)-1)</x:f>
        <x:v>#NAME?</x:v>
      </x:c>
    </x:row>
    <x:row r="742">
      <x:c r="A742" s="149" t="str">
        <x:f>IF('实盘净值数据(iFinD公式)'!A742="","",'实盘净值数据(iFinD公式)'!A742)</x:f>
      </x:c>
      <x:c r="B742" s="146" t="e">
        <x:f>IF(OR('实盘净值数据(iFinD公式)'!$A742="",'实盘净值数据(iFinD公式)'!$B742=""),"",分期持仓明细!$AD$17*SUMPRODUCT(分期持仓明细!$B$17:$AA$17,'实盘净值数据(iFinD公式)'!$B742:$AA742/'实盘净值数据(iFinD公式)'!$B$20:$AA$20)*(1-实盘持仓初始配置!$Z$4)^(('实盘净值数据(iFinD公式)'!$A742-'实盘净值数据(iFinD公式)'!$A$6)/365))</x:f>
        <x:v>#NAME?</x:v>
      </x:c>
      <x:c r="C742" s="152" t="e">
        <x:f>IF(OR(B741="",B742=""),"",B742/B741-1)</x:f>
        <x:v>#NAME?</x:v>
      </x:c>
      <x:c r="D742" s="152" t="e">
        <x:f>IF(B742="","",B742/MAX(B$5:B742)-1)</x:f>
        <x:v>#NAME?</x:v>
      </x:c>
      <x:c r="E742" s="146" t="e">
        <x:f>IF(OR('实盘净值数据(iFinD公式)'!$A742="",'实盘净值数据(iFinD公式)'!$B742=""),"",分期持仓明细!$AD$18*SUMPRODUCT(分期持仓明细!$B$18:$AA$18,'实盘净值数据(iFinD公式)'!$B742:$AA742/'实盘净值数据(iFinD公式)'!$B$20:$AA$20)*(1-实盘持仓初始配置!$Z$5)^(('实盘净值数据(iFinD公式)'!$A742-'实盘净值数据(iFinD公式)'!$A$5)/365))</x:f>
        <x:v>#NAME?</x:v>
      </x:c>
      <x:c r="F742" s="152" t="e">
        <x:f>IF(OR(E741="",E742=""),"",E742/E741-1)</x:f>
        <x:v>#NAME?</x:v>
      </x:c>
      <x:c r="G742" s="152" t="e">
        <x:f>IF(E742="","",E742/MAX(E$5:E742)-1)</x:f>
        <x:v>#NAME?</x:v>
      </x:c>
      <x:c r="H742" s="146" t="e">
        <x:f>IF(OR('实盘净值数据(iFinD公式)'!$A742="",'实盘净值数据(iFinD公式)'!$B742=""),"",分期持仓明细!$AD$19*SUMPRODUCT(分期持仓明细!$B$19:$AA$19,'实盘净值数据(iFinD公式)'!$B742:$AA742/'实盘净值数据(iFinD公式)'!$B$20:$AA$20)*(1-实盘持仓初始配置!$Z$6)^(('实盘净值数据(iFinD公式)'!$A742-'实盘净值数据(iFinD公式)'!$A$7)/365))</x:f>
        <x:v>#NAME?</x:v>
      </x:c>
      <x:c r="I742" s="152" t="e">
        <x:f>IF(OR(H741="",H742=""),"",H742/H741-1)</x:f>
        <x:v>#NAME?</x:v>
      </x:c>
      <x:c r="J742" s="152" t="e">
        <x:f>IF(H742="","",H742/MAX(H$5:H742)-1)</x:f>
        <x:v>#NAME?</x:v>
      </x:c>
      <x:c r="K742" s="146" t="e">
        <x:f>IF(OR('实盘净值数据(iFinD公式)'!$A742="",'实盘净值数据(iFinD公式)'!$B742=""),"",分期持仓明细!$AD$23*SUMPRODUCT(分期持仓明细!$B$23:$AA$23,'实盘净值数据(iFinD公式)'!$B742:$AA742/'实盘净值数据(iFinD公式)'!$B$65:$AA$65)*(1-实盘持仓初始配置!$Z$7)^(('实盘净值数据(iFinD公式)'!$A742-'实盘净值数据(iFinD公式)'!$A$8)/365))</x:f>
        <x:v>#NAME?</x:v>
      </x:c>
      <x:c r="L742" s="152" t="e">
        <x:f>IF(OR(K741="",K742=""),"",K742/K741-1)</x:f>
        <x:v>#NAME?</x:v>
      </x:c>
      <x:c r="M742" s="152" t="e">
        <x:f>IF(K742="","",K742/MAX(K$5:K742)-1)</x:f>
        <x:v>#NAME?</x:v>
      </x:c>
      <x:c r="N742" s="146" t="e">
        <x:f>IF(OR('实盘净值数据(iFinD公式)'!$A742="",'实盘净值数据(iFinD公式)'!$B742=""),"",分期持仓明细!$AD$24*SUMPRODUCT(分期持仓明细!$B$24:$AA$24,'实盘净值数据(iFinD公式)'!$B742:$AA742/'实盘净值数据(iFinD公式)'!$B$65:$AA$65)*(1-实盘持仓初始配置!$Z$8)^(('实盘净值数据(iFinD公式)'!$A742-'实盘净值数据(iFinD公式)'!$A$5)/365))</x:f>
        <x:v>#NAME?</x:v>
      </x:c>
      <x:c r="O742" s="152" t="e">
        <x:f>IF(OR(N741="",N742=""),"",N742/N741-1)</x:f>
        <x:v>#NAME?</x:v>
      </x:c>
      <x:c r="P742" s="152" t="e">
        <x:f>IF(N742="","",N742/MAX(N$5:N742)-1)</x:f>
        <x:v>#NAME?</x:v>
      </x:c>
      <x:c r="Q742" s="146" t="e">
        <x:f>IF(OR('实盘净值数据(iFinD公式)'!$A742="",'实盘净值数据(iFinD公式)'!$B742=""),"",分期持仓明细!$AD$25*SUMPRODUCT(分期持仓明细!$B$25:$AA$25,'实盘净值数据(iFinD公式)'!$B742:$AA742/'实盘净值数据(iFinD公式)'!$B$65:$AA$65)*(1-实盘持仓初始配置!$Z$9)^(('实盘净值数据(iFinD公式)'!$A742-'实盘净值数据(iFinD公式)'!$A$8)/365))</x:f>
        <x:v>#NAME?</x:v>
      </x:c>
      <x:c r="R742" s="152" t="e">
        <x:f>IF(OR(Q741="",Q742=""),"",Q742/Q741-1)</x:f>
        <x:v>#NAME?</x:v>
      </x:c>
      <x:c r="S742" s="152" t="e">
        <x:f>IF(Q742="","",Q742/MAX(Q$5:Q742)-1)</x:f>
        <x:v>#NAME?</x:v>
      </x:c>
    </x:row>
    <x:row r="743">
      <x:c r="A743" s="149" t="str">
        <x:f>IF('实盘净值数据(iFinD公式)'!A743="","",'实盘净值数据(iFinD公式)'!A743)</x:f>
      </x:c>
      <x:c r="B743" s="146" t="e">
        <x:f>IF(OR('实盘净值数据(iFinD公式)'!$A743="",'实盘净值数据(iFinD公式)'!$B743=""),"",分期持仓明细!$AD$17*SUMPRODUCT(分期持仓明细!$B$17:$AA$17,'实盘净值数据(iFinD公式)'!$B743:$AA743/'实盘净值数据(iFinD公式)'!$B$20:$AA$20)*(1-实盘持仓初始配置!$Z$4)^(('实盘净值数据(iFinD公式)'!$A743-'实盘净值数据(iFinD公式)'!$A$6)/365))</x:f>
        <x:v>#NAME?</x:v>
      </x:c>
      <x:c r="C743" s="152" t="e">
        <x:f>IF(OR(B742="",B743=""),"",B743/B742-1)</x:f>
        <x:v>#NAME?</x:v>
      </x:c>
      <x:c r="D743" s="152" t="e">
        <x:f>IF(B743="","",B743/MAX(B$5:B743)-1)</x:f>
        <x:v>#NAME?</x:v>
      </x:c>
      <x:c r="E743" s="146" t="e">
        <x:f>IF(OR('实盘净值数据(iFinD公式)'!$A743="",'实盘净值数据(iFinD公式)'!$B743=""),"",分期持仓明细!$AD$18*SUMPRODUCT(分期持仓明细!$B$18:$AA$18,'实盘净值数据(iFinD公式)'!$B743:$AA743/'实盘净值数据(iFinD公式)'!$B$20:$AA$20)*(1-实盘持仓初始配置!$Z$5)^(('实盘净值数据(iFinD公式)'!$A743-'实盘净值数据(iFinD公式)'!$A$5)/365))</x:f>
        <x:v>#NAME?</x:v>
      </x:c>
      <x:c r="F743" s="152" t="e">
        <x:f>IF(OR(E742="",E743=""),"",E743/E742-1)</x:f>
        <x:v>#NAME?</x:v>
      </x:c>
      <x:c r="G743" s="152" t="e">
        <x:f>IF(E743="","",E743/MAX(E$5:E743)-1)</x:f>
        <x:v>#NAME?</x:v>
      </x:c>
      <x:c r="H743" s="146" t="e">
        <x:f>IF(OR('实盘净值数据(iFinD公式)'!$A743="",'实盘净值数据(iFinD公式)'!$B743=""),"",分期持仓明细!$AD$19*SUMPRODUCT(分期持仓明细!$B$19:$AA$19,'实盘净值数据(iFinD公式)'!$B743:$AA743/'实盘净值数据(iFinD公式)'!$B$20:$AA$20)*(1-实盘持仓初始配置!$Z$6)^(('实盘净值数据(iFinD公式)'!$A743-'实盘净值数据(iFinD公式)'!$A$7)/365))</x:f>
        <x:v>#NAME?</x:v>
      </x:c>
      <x:c r="I743" s="152" t="e">
        <x:f>IF(OR(H742="",H743=""),"",H743/H742-1)</x:f>
        <x:v>#NAME?</x:v>
      </x:c>
      <x:c r="J743" s="152" t="e">
        <x:f>IF(H743="","",H743/MAX(H$5:H743)-1)</x:f>
        <x:v>#NAME?</x:v>
      </x:c>
      <x:c r="K743" s="146" t="e">
        <x:f>IF(OR('实盘净值数据(iFinD公式)'!$A743="",'实盘净值数据(iFinD公式)'!$B743=""),"",分期持仓明细!$AD$23*SUMPRODUCT(分期持仓明细!$B$23:$AA$23,'实盘净值数据(iFinD公式)'!$B743:$AA743/'实盘净值数据(iFinD公式)'!$B$65:$AA$65)*(1-实盘持仓初始配置!$Z$7)^(('实盘净值数据(iFinD公式)'!$A743-'实盘净值数据(iFinD公式)'!$A$8)/365))</x:f>
        <x:v>#NAME?</x:v>
      </x:c>
      <x:c r="L743" s="152" t="e">
        <x:f>IF(OR(K742="",K743=""),"",K743/K742-1)</x:f>
        <x:v>#NAME?</x:v>
      </x:c>
      <x:c r="M743" s="152" t="e">
        <x:f>IF(K743="","",K743/MAX(K$5:K743)-1)</x:f>
        <x:v>#NAME?</x:v>
      </x:c>
      <x:c r="N743" s="146" t="e">
        <x:f>IF(OR('实盘净值数据(iFinD公式)'!$A743="",'实盘净值数据(iFinD公式)'!$B743=""),"",分期持仓明细!$AD$24*SUMPRODUCT(分期持仓明细!$B$24:$AA$24,'实盘净值数据(iFinD公式)'!$B743:$AA743/'实盘净值数据(iFinD公式)'!$B$65:$AA$65)*(1-实盘持仓初始配置!$Z$8)^(('实盘净值数据(iFinD公式)'!$A743-'实盘净值数据(iFinD公式)'!$A$5)/365))</x:f>
        <x:v>#NAME?</x:v>
      </x:c>
      <x:c r="O743" s="152" t="e">
        <x:f>IF(OR(N742="",N743=""),"",N743/N742-1)</x:f>
        <x:v>#NAME?</x:v>
      </x:c>
      <x:c r="P743" s="152" t="e">
        <x:f>IF(N743="","",N743/MAX(N$5:N743)-1)</x:f>
        <x:v>#NAME?</x:v>
      </x:c>
      <x:c r="Q743" s="146" t="e">
        <x:f>IF(OR('实盘净值数据(iFinD公式)'!$A743="",'实盘净值数据(iFinD公式)'!$B743=""),"",分期持仓明细!$AD$25*SUMPRODUCT(分期持仓明细!$B$25:$AA$25,'实盘净值数据(iFinD公式)'!$B743:$AA743/'实盘净值数据(iFinD公式)'!$B$65:$AA$65)*(1-实盘持仓初始配置!$Z$9)^(('实盘净值数据(iFinD公式)'!$A743-'实盘净值数据(iFinD公式)'!$A$8)/365))</x:f>
        <x:v>#NAME?</x:v>
      </x:c>
      <x:c r="R743" s="152" t="e">
        <x:f>IF(OR(Q742="",Q743=""),"",Q743/Q742-1)</x:f>
        <x:v>#NAME?</x:v>
      </x:c>
      <x:c r="S743" s="152" t="e">
        <x:f>IF(Q743="","",Q743/MAX(Q$5:Q743)-1)</x:f>
        <x:v>#NAME?</x:v>
      </x:c>
    </x:row>
    <x:row r="744">
      <x:c r="A744" s="149" t="str">
        <x:f>IF('实盘净值数据(iFinD公式)'!A744="","",'实盘净值数据(iFinD公式)'!A744)</x:f>
      </x:c>
      <x:c r="B744" s="146" t="e">
        <x:f>IF(OR('实盘净值数据(iFinD公式)'!$A744="",'实盘净值数据(iFinD公式)'!$B744=""),"",分期持仓明细!$AD$17*SUMPRODUCT(分期持仓明细!$B$17:$AA$17,'实盘净值数据(iFinD公式)'!$B744:$AA744/'实盘净值数据(iFinD公式)'!$B$20:$AA$20)*(1-实盘持仓初始配置!$Z$4)^(('实盘净值数据(iFinD公式)'!$A744-'实盘净值数据(iFinD公式)'!$A$6)/365))</x:f>
        <x:v>#NAME?</x:v>
      </x:c>
      <x:c r="C744" s="152" t="e">
        <x:f>IF(OR(B743="",B744=""),"",B744/B743-1)</x:f>
        <x:v>#NAME?</x:v>
      </x:c>
      <x:c r="D744" s="152" t="e">
        <x:f>IF(B744="","",B744/MAX(B$5:B744)-1)</x:f>
        <x:v>#NAME?</x:v>
      </x:c>
      <x:c r="E744" s="146" t="e">
        <x:f>IF(OR('实盘净值数据(iFinD公式)'!$A744="",'实盘净值数据(iFinD公式)'!$B744=""),"",分期持仓明细!$AD$18*SUMPRODUCT(分期持仓明细!$B$18:$AA$18,'实盘净值数据(iFinD公式)'!$B744:$AA744/'实盘净值数据(iFinD公式)'!$B$20:$AA$20)*(1-实盘持仓初始配置!$Z$5)^(('实盘净值数据(iFinD公式)'!$A744-'实盘净值数据(iFinD公式)'!$A$5)/365))</x:f>
        <x:v>#NAME?</x:v>
      </x:c>
      <x:c r="F744" s="152" t="e">
        <x:f>IF(OR(E743="",E744=""),"",E744/E743-1)</x:f>
        <x:v>#NAME?</x:v>
      </x:c>
      <x:c r="G744" s="152" t="e">
        <x:f>IF(E744="","",E744/MAX(E$5:E744)-1)</x:f>
        <x:v>#NAME?</x:v>
      </x:c>
      <x:c r="H744" s="146" t="e">
        <x:f>IF(OR('实盘净值数据(iFinD公式)'!$A744="",'实盘净值数据(iFinD公式)'!$B744=""),"",分期持仓明细!$AD$19*SUMPRODUCT(分期持仓明细!$B$19:$AA$19,'实盘净值数据(iFinD公式)'!$B744:$AA744/'实盘净值数据(iFinD公式)'!$B$20:$AA$20)*(1-实盘持仓初始配置!$Z$6)^(('实盘净值数据(iFinD公式)'!$A744-'实盘净值数据(iFinD公式)'!$A$7)/365))</x:f>
        <x:v>#NAME?</x:v>
      </x:c>
      <x:c r="I744" s="152" t="e">
        <x:f>IF(OR(H743="",H744=""),"",H744/H743-1)</x:f>
        <x:v>#NAME?</x:v>
      </x:c>
      <x:c r="J744" s="152" t="e">
        <x:f>IF(H744="","",H744/MAX(H$5:H744)-1)</x:f>
        <x:v>#NAME?</x:v>
      </x:c>
      <x:c r="K744" s="146" t="e">
        <x:f>IF(OR('实盘净值数据(iFinD公式)'!$A744="",'实盘净值数据(iFinD公式)'!$B744=""),"",分期持仓明细!$AD$23*SUMPRODUCT(分期持仓明细!$B$23:$AA$23,'实盘净值数据(iFinD公式)'!$B744:$AA744/'实盘净值数据(iFinD公式)'!$B$65:$AA$65)*(1-实盘持仓初始配置!$Z$7)^(('实盘净值数据(iFinD公式)'!$A744-'实盘净值数据(iFinD公式)'!$A$8)/365))</x:f>
        <x:v>#NAME?</x:v>
      </x:c>
      <x:c r="L744" s="152" t="e">
        <x:f>IF(OR(K743="",K744=""),"",K744/K743-1)</x:f>
        <x:v>#NAME?</x:v>
      </x:c>
      <x:c r="M744" s="152" t="e">
        <x:f>IF(K744="","",K744/MAX(K$5:K744)-1)</x:f>
        <x:v>#NAME?</x:v>
      </x:c>
      <x:c r="N744" s="146" t="e">
        <x:f>IF(OR('实盘净值数据(iFinD公式)'!$A744="",'实盘净值数据(iFinD公式)'!$B744=""),"",分期持仓明细!$AD$24*SUMPRODUCT(分期持仓明细!$B$24:$AA$24,'实盘净值数据(iFinD公式)'!$B744:$AA744/'实盘净值数据(iFinD公式)'!$B$65:$AA$65)*(1-实盘持仓初始配置!$Z$8)^(('实盘净值数据(iFinD公式)'!$A744-'实盘净值数据(iFinD公式)'!$A$5)/365))</x:f>
        <x:v>#NAME?</x:v>
      </x:c>
      <x:c r="O744" s="152" t="e">
        <x:f>IF(OR(N743="",N744=""),"",N744/N743-1)</x:f>
        <x:v>#NAME?</x:v>
      </x:c>
      <x:c r="P744" s="152" t="e">
        <x:f>IF(N744="","",N744/MAX(N$5:N744)-1)</x:f>
        <x:v>#NAME?</x:v>
      </x:c>
      <x:c r="Q744" s="146" t="e">
        <x:f>IF(OR('实盘净值数据(iFinD公式)'!$A744="",'实盘净值数据(iFinD公式)'!$B744=""),"",分期持仓明细!$AD$25*SUMPRODUCT(分期持仓明细!$B$25:$AA$25,'实盘净值数据(iFinD公式)'!$B744:$AA744/'实盘净值数据(iFinD公式)'!$B$65:$AA$65)*(1-实盘持仓初始配置!$Z$9)^(('实盘净值数据(iFinD公式)'!$A744-'实盘净值数据(iFinD公式)'!$A$8)/365))</x:f>
        <x:v>#NAME?</x:v>
      </x:c>
      <x:c r="R744" s="152" t="e">
        <x:f>IF(OR(Q743="",Q744=""),"",Q744/Q743-1)</x:f>
        <x:v>#NAME?</x:v>
      </x:c>
      <x:c r="S744" s="152" t="e">
        <x:f>IF(Q744="","",Q744/MAX(Q$5:Q744)-1)</x:f>
        <x:v>#NAME?</x:v>
      </x:c>
    </x:row>
    <x:row r="745">
      <x:c r="A745" s="149" t="str">
        <x:f>IF('实盘净值数据(iFinD公式)'!A745="","",'实盘净值数据(iFinD公式)'!A745)</x:f>
      </x:c>
      <x:c r="B745" s="146" t="e">
        <x:f>IF(OR('实盘净值数据(iFinD公式)'!$A745="",'实盘净值数据(iFinD公式)'!$B745=""),"",分期持仓明细!$AD$17*SUMPRODUCT(分期持仓明细!$B$17:$AA$17,'实盘净值数据(iFinD公式)'!$B745:$AA745/'实盘净值数据(iFinD公式)'!$B$20:$AA$20)*(1-实盘持仓初始配置!$Z$4)^(('实盘净值数据(iFinD公式)'!$A745-'实盘净值数据(iFinD公式)'!$A$6)/365))</x:f>
        <x:v>#NAME?</x:v>
      </x:c>
      <x:c r="C745" s="152" t="e">
        <x:f>IF(OR(B744="",B745=""),"",B745/B744-1)</x:f>
        <x:v>#NAME?</x:v>
      </x:c>
      <x:c r="D745" s="152" t="e">
        <x:f>IF(B745="","",B745/MAX(B$5:B745)-1)</x:f>
        <x:v>#NAME?</x:v>
      </x:c>
      <x:c r="E745" s="146" t="e">
        <x:f>IF(OR('实盘净值数据(iFinD公式)'!$A745="",'实盘净值数据(iFinD公式)'!$B745=""),"",分期持仓明细!$AD$18*SUMPRODUCT(分期持仓明细!$B$18:$AA$18,'实盘净值数据(iFinD公式)'!$B745:$AA745/'实盘净值数据(iFinD公式)'!$B$20:$AA$20)*(1-实盘持仓初始配置!$Z$5)^(('实盘净值数据(iFinD公式)'!$A745-'实盘净值数据(iFinD公式)'!$A$5)/365))</x:f>
        <x:v>#NAME?</x:v>
      </x:c>
      <x:c r="F745" s="152" t="e">
        <x:f>IF(OR(E744="",E745=""),"",E745/E744-1)</x:f>
        <x:v>#NAME?</x:v>
      </x:c>
      <x:c r="G745" s="152" t="e">
        <x:f>IF(E745="","",E745/MAX(E$5:E745)-1)</x:f>
        <x:v>#NAME?</x:v>
      </x:c>
      <x:c r="H745" s="146" t="e">
        <x:f>IF(OR('实盘净值数据(iFinD公式)'!$A745="",'实盘净值数据(iFinD公式)'!$B745=""),"",分期持仓明细!$AD$19*SUMPRODUCT(分期持仓明细!$B$19:$AA$19,'实盘净值数据(iFinD公式)'!$B745:$AA745/'实盘净值数据(iFinD公式)'!$B$20:$AA$20)*(1-实盘持仓初始配置!$Z$6)^(('实盘净值数据(iFinD公式)'!$A745-'实盘净值数据(iFinD公式)'!$A$7)/365))</x:f>
        <x:v>#NAME?</x:v>
      </x:c>
      <x:c r="I745" s="152" t="e">
        <x:f>IF(OR(H744="",H745=""),"",H745/H744-1)</x:f>
        <x:v>#NAME?</x:v>
      </x:c>
      <x:c r="J745" s="152" t="e">
        <x:f>IF(H745="","",H745/MAX(H$5:H745)-1)</x:f>
        <x:v>#NAME?</x:v>
      </x:c>
      <x:c r="K745" s="146" t="e">
        <x:f>IF(OR('实盘净值数据(iFinD公式)'!$A745="",'实盘净值数据(iFinD公式)'!$B745=""),"",分期持仓明细!$AD$23*SUMPRODUCT(分期持仓明细!$B$23:$AA$23,'实盘净值数据(iFinD公式)'!$B745:$AA745/'实盘净值数据(iFinD公式)'!$B$65:$AA$65)*(1-实盘持仓初始配置!$Z$7)^(('实盘净值数据(iFinD公式)'!$A745-'实盘净值数据(iFinD公式)'!$A$8)/365))</x:f>
        <x:v>#NAME?</x:v>
      </x:c>
      <x:c r="L745" s="152" t="e">
        <x:f>IF(OR(K744="",K745=""),"",K745/K744-1)</x:f>
        <x:v>#NAME?</x:v>
      </x:c>
      <x:c r="M745" s="152" t="e">
        <x:f>IF(K745="","",K745/MAX(K$5:K745)-1)</x:f>
        <x:v>#NAME?</x:v>
      </x:c>
      <x:c r="N745" s="146" t="e">
        <x:f>IF(OR('实盘净值数据(iFinD公式)'!$A745="",'实盘净值数据(iFinD公式)'!$B745=""),"",分期持仓明细!$AD$24*SUMPRODUCT(分期持仓明细!$B$24:$AA$24,'实盘净值数据(iFinD公式)'!$B745:$AA745/'实盘净值数据(iFinD公式)'!$B$65:$AA$65)*(1-实盘持仓初始配置!$Z$8)^(('实盘净值数据(iFinD公式)'!$A745-'实盘净值数据(iFinD公式)'!$A$5)/365))</x:f>
        <x:v>#NAME?</x:v>
      </x:c>
      <x:c r="O745" s="152" t="e">
        <x:f>IF(OR(N744="",N745=""),"",N745/N744-1)</x:f>
        <x:v>#NAME?</x:v>
      </x:c>
      <x:c r="P745" s="152" t="e">
        <x:f>IF(N745="","",N745/MAX(N$5:N745)-1)</x:f>
        <x:v>#NAME?</x:v>
      </x:c>
      <x:c r="Q745" s="146" t="e">
        <x:f>IF(OR('实盘净值数据(iFinD公式)'!$A745="",'实盘净值数据(iFinD公式)'!$B745=""),"",分期持仓明细!$AD$25*SUMPRODUCT(分期持仓明细!$B$25:$AA$25,'实盘净值数据(iFinD公式)'!$B745:$AA745/'实盘净值数据(iFinD公式)'!$B$65:$AA$65)*(1-实盘持仓初始配置!$Z$9)^(('实盘净值数据(iFinD公式)'!$A745-'实盘净值数据(iFinD公式)'!$A$8)/365))</x:f>
        <x:v>#NAME?</x:v>
      </x:c>
      <x:c r="R745" s="152" t="e">
        <x:f>IF(OR(Q744="",Q745=""),"",Q745/Q744-1)</x:f>
        <x:v>#NAME?</x:v>
      </x:c>
      <x:c r="S745" s="152" t="e">
        <x:f>IF(Q745="","",Q745/MAX(Q$5:Q745)-1)</x:f>
        <x:v>#NAME?</x:v>
      </x:c>
    </x:row>
    <x:row r="746">
      <x:c r="A746" s="149" t="str">
        <x:f>IF('实盘净值数据(iFinD公式)'!A746="","",'实盘净值数据(iFinD公式)'!A746)</x:f>
      </x:c>
      <x:c r="B746" s="146" t="e">
        <x:f>IF(OR('实盘净值数据(iFinD公式)'!$A746="",'实盘净值数据(iFinD公式)'!$B746=""),"",分期持仓明细!$AD$17*SUMPRODUCT(分期持仓明细!$B$17:$AA$17,'实盘净值数据(iFinD公式)'!$B746:$AA746/'实盘净值数据(iFinD公式)'!$B$20:$AA$20)*(1-实盘持仓初始配置!$Z$4)^(('实盘净值数据(iFinD公式)'!$A746-'实盘净值数据(iFinD公式)'!$A$6)/365))</x:f>
        <x:v>#NAME?</x:v>
      </x:c>
      <x:c r="C746" s="152" t="e">
        <x:f>IF(OR(B745="",B746=""),"",B746/B745-1)</x:f>
        <x:v>#NAME?</x:v>
      </x:c>
      <x:c r="D746" s="152" t="e">
        <x:f>IF(B746="","",B746/MAX(B$5:B746)-1)</x:f>
        <x:v>#NAME?</x:v>
      </x:c>
      <x:c r="E746" s="146" t="e">
        <x:f>IF(OR('实盘净值数据(iFinD公式)'!$A746="",'实盘净值数据(iFinD公式)'!$B746=""),"",分期持仓明细!$AD$18*SUMPRODUCT(分期持仓明细!$B$18:$AA$18,'实盘净值数据(iFinD公式)'!$B746:$AA746/'实盘净值数据(iFinD公式)'!$B$20:$AA$20)*(1-实盘持仓初始配置!$Z$5)^(('实盘净值数据(iFinD公式)'!$A746-'实盘净值数据(iFinD公式)'!$A$5)/365))</x:f>
        <x:v>#NAME?</x:v>
      </x:c>
      <x:c r="F746" s="152" t="e">
        <x:f>IF(OR(E745="",E746=""),"",E746/E745-1)</x:f>
        <x:v>#NAME?</x:v>
      </x:c>
      <x:c r="G746" s="152" t="e">
        <x:f>IF(E746="","",E746/MAX(E$5:E746)-1)</x:f>
        <x:v>#NAME?</x:v>
      </x:c>
      <x:c r="H746" s="146" t="e">
        <x:f>IF(OR('实盘净值数据(iFinD公式)'!$A746="",'实盘净值数据(iFinD公式)'!$B746=""),"",分期持仓明细!$AD$19*SUMPRODUCT(分期持仓明细!$B$19:$AA$19,'实盘净值数据(iFinD公式)'!$B746:$AA746/'实盘净值数据(iFinD公式)'!$B$20:$AA$20)*(1-实盘持仓初始配置!$Z$6)^(('实盘净值数据(iFinD公式)'!$A746-'实盘净值数据(iFinD公式)'!$A$7)/365))</x:f>
        <x:v>#NAME?</x:v>
      </x:c>
      <x:c r="I746" s="152" t="e">
        <x:f>IF(OR(H745="",H746=""),"",H746/H745-1)</x:f>
        <x:v>#NAME?</x:v>
      </x:c>
      <x:c r="J746" s="152" t="e">
        <x:f>IF(H746="","",H746/MAX(H$5:H746)-1)</x:f>
        <x:v>#NAME?</x:v>
      </x:c>
      <x:c r="K746" s="146" t="e">
        <x:f>IF(OR('实盘净值数据(iFinD公式)'!$A746="",'实盘净值数据(iFinD公式)'!$B746=""),"",分期持仓明细!$AD$23*SUMPRODUCT(分期持仓明细!$B$23:$AA$23,'实盘净值数据(iFinD公式)'!$B746:$AA746/'实盘净值数据(iFinD公式)'!$B$65:$AA$65)*(1-实盘持仓初始配置!$Z$7)^(('实盘净值数据(iFinD公式)'!$A746-'实盘净值数据(iFinD公式)'!$A$8)/365))</x:f>
        <x:v>#NAME?</x:v>
      </x:c>
      <x:c r="L746" s="152" t="e">
        <x:f>IF(OR(K745="",K746=""),"",K746/K745-1)</x:f>
        <x:v>#NAME?</x:v>
      </x:c>
      <x:c r="M746" s="152" t="e">
        <x:f>IF(K746="","",K746/MAX(K$5:K746)-1)</x:f>
        <x:v>#NAME?</x:v>
      </x:c>
      <x:c r="N746" s="146" t="e">
        <x:f>IF(OR('实盘净值数据(iFinD公式)'!$A746="",'实盘净值数据(iFinD公式)'!$B746=""),"",分期持仓明细!$AD$24*SUMPRODUCT(分期持仓明细!$B$24:$AA$24,'实盘净值数据(iFinD公式)'!$B746:$AA746/'实盘净值数据(iFinD公式)'!$B$65:$AA$65)*(1-实盘持仓初始配置!$Z$8)^(('实盘净值数据(iFinD公式)'!$A746-'实盘净值数据(iFinD公式)'!$A$5)/365))</x:f>
        <x:v>#NAME?</x:v>
      </x:c>
      <x:c r="O746" s="152" t="e">
        <x:f>IF(OR(N745="",N746=""),"",N746/N745-1)</x:f>
        <x:v>#NAME?</x:v>
      </x:c>
      <x:c r="P746" s="152" t="e">
        <x:f>IF(N746="","",N746/MAX(N$5:N746)-1)</x:f>
        <x:v>#NAME?</x:v>
      </x:c>
      <x:c r="Q746" s="146" t="e">
        <x:f>IF(OR('实盘净值数据(iFinD公式)'!$A746="",'实盘净值数据(iFinD公式)'!$B746=""),"",分期持仓明细!$AD$25*SUMPRODUCT(分期持仓明细!$B$25:$AA$25,'实盘净值数据(iFinD公式)'!$B746:$AA746/'实盘净值数据(iFinD公式)'!$B$65:$AA$65)*(1-实盘持仓初始配置!$Z$9)^(('实盘净值数据(iFinD公式)'!$A746-'实盘净值数据(iFinD公式)'!$A$8)/365))</x:f>
        <x:v>#NAME?</x:v>
      </x:c>
      <x:c r="R746" s="152" t="e">
        <x:f>IF(OR(Q745="",Q746=""),"",Q746/Q745-1)</x:f>
        <x:v>#NAME?</x:v>
      </x:c>
      <x:c r="S746" s="152" t="e">
        <x:f>IF(Q746="","",Q746/MAX(Q$5:Q746)-1)</x:f>
        <x:v>#NAME?</x:v>
      </x:c>
    </x:row>
    <x:row r="747">
      <x:c r="A747" s="149" t="str">
        <x:f>IF('实盘净值数据(iFinD公式)'!A747="","",'实盘净值数据(iFinD公式)'!A747)</x:f>
      </x:c>
      <x:c r="B747" s="146" t="e">
        <x:f>IF(OR('实盘净值数据(iFinD公式)'!$A747="",'实盘净值数据(iFinD公式)'!$B747=""),"",分期持仓明细!$AD$17*SUMPRODUCT(分期持仓明细!$B$17:$AA$17,'实盘净值数据(iFinD公式)'!$B747:$AA747/'实盘净值数据(iFinD公式)'!$B$20:$AA$20)*(1-实盘持仓初始配置!$Z$4)^(('实盘净值数据(iFinD公式)'!$A747-'实盘净值数据(iFinD公式)'!$A$6)/365))</x:f>
        <x:v>#NAME?</x:v>
      </x:c>
      <x:c r="C747" s="152" t="e">
        <x:f>IF(OR(B746="",B747=""),"",B747/B746-1)</x:f>
        <x:v>#NAME?</x:v>
      </x:c>
      <x:c r="D747" s="152" t="e">
        <x:f>IF(B747="","",B747/MAX(B$5:B747)-1)</x:f>
        <x:v>#NAME?</x:v>
      </x:c>
      <x:c r="E747" s="146" t="e">
        <x:f>IF(OR('实盘净值数据(iFinD公式)'!$A747="",'实盘净值数据(iFinD公式)'!$B747=""),"",分期持仓明细!$AD$18*SUMPRODUCT(分期持仓明细!$B$18:$AA$18,'实盘净值数据(iFinD公式)'!$B747:$AA747/'实盘净值数据(iFinD公式)'!$B$20:$AA$20)*(1-实盘持仓初始配置!$Z$5)^(('实盘净值数据(iFinD公式)'!$A747-'实盘净值数据(iFinD公式)'!$A$5)/365))</x:f>
        <x:v>#NAME?</x:v>
      </x:c>
      <x:c r="F747" s="152" t="e">
        <x:f>IF(OR(E746="",E747=""),"",E747/E746-1)</x:f>
        <x:v>#NAME?</x:v>
      </x:c>
      <x:c r="G747" s="152" t="e">
        <x:f>IF(E747="","",E747/MAX(E$5:E747)-1)</x:f>
        <x:v>#NAME?</x:v>
      </x:c>
      <x:c r="H747" s="146" t="e">
        <x:f>IF(OR('实盘净值数据(iFinD公式)'!$A747="",'实盘净值数据(iFinD公式)'!$B747=""),"",分期持仓明细!$AD$19*SUMPRODUCT(分期持仓明细!$B$19:$AA$19,'实盘净值数据(iFinD公式)'!$B747:$AA747/'实盘净值数据(iFinD公式)'!$B$20:$AA$20)*(1-实盘持仓初始配置!$Z$6)^(('实盘净值数据(iFinD公式)'!$A747-'实盘净值数据(iFinD公式)'!$A$7)/365))</x:f>
        <x:v>#NAME?</x:v>
      </x:c>
      <x:c r="I747" s="152" t="e">
        <x:f>IF(OR(H746="",H747=""),"",H747/H746-1)</x:f>
        <x:v>#NAME?</x:v>
      </x:c>
      <x:c r="J747" s="152" t="e">
        <x:f>IF(H747="","",H747/MAX(H$5:H747)-1)</x:f>
        <x:v>#NAME?</x:v>
      </x:c>
      <x:c r="K747" s="146" t="e">
        <x:f>IF(OR('实盘净值数据(iFinD公式)'!$A747="",'实盘净值数据(iFinD公式)'!$B747=""),"",分期持仓明细!$AD$23*SUMPRODUCT(分期持仓明细!$B$23:$AA$23,'实盘净值数据(iFinD公式)'!$B747:$AA747/'实盘净值数据(iFinD公式)'!$B$65:$AA$65)*(1-实盘持仓初始配置!$Z$7)^(('实盘净值数据(iFinD公式)'!$A747-'实盘净值数据(iFinD公式)'!$A$8)/365))</x:f>
        <x:v>#NAME?</x:v>
      </x:c>
      <x:c r="L747" s="152" t="e">
        <x:f>IF(OR(K746="",K747=""),"",K747/K746-1)</x:f>
        <x:v>#NAME?</x:v>
      </x:c>
      <x:c r="M747" s="152" t="e">
        <x:f>IF(K747="","",K747/MAX(K$5:K747)-1)</x:f>
        <x:v>#NAME?</x:v>
      </x:c>
      <x:c r="N747" s="146" t="e">
        <x:f>IF(OR('实盘净值数据(iFinD公式)'!$A747="",'实盘净值数据(iFinD公式)'!$B747=""),"",分期持仓明细!$AD$24*SUMPRODUCT(分期持仓明细!$B$24:$AA$24,'实盘净值数据(iFinD公式)'!$B747:$AA747/'实盘净值数据(iFinD公式)'!$B$65:$AA$65)*(1-实盘持仓初始配置!$Z$8)^(('实盘净值数据(iFinD公式)'!$A747-'实盘净值数据(iFinD公式)'!$A$5)/365))</x:f>
        <x:v>#NAME?</x:v>
      </x:c>
      <x:c r="O747" s="152" t="e">
        <x:f>IF(OR(N746="",N747=""),"",N747/N746-1)</x:f>
        <x:v>#NAME?</x:v>
      </x:c>
      <x:c r="P747" s="152" t="e">
        <x:f>IF(N747="","",N747/MAX(N$5:N747)-1)</x:f>
        <x:v>#NAME?</x:v>
      </x:c>
      <x:c r="Q747" s="146" t="e">
        <x:f>IF(OR('实盘净值数据(iFinD公式)'!$A747="",'实盘净值数据(iFinD公式)'!$B747=""),"",分期持仓明细!$AD$25*SUMPRODUCT(分期持仓明细!$B$25:$AA$25,'实盘净值数据(iFinD公式)'!$B747:$AA747/'实盘净值数据(iFinD公式)'!$B$65:$AA$65)*(1-实盘持仓初始配置!$Z$9)^(('实盘净值数据(iFinD公式)'!$A747-'实盘净值数据(iFinD公式)'!$A$8)/365))</x:f>
        <x:v>#NAME?</x:v>
      </x:c>
      <x:c r="R747" s="152" t="e">
        <x:f>IF(OR(Q746="",Q747=""),"",Q747/Q746-1)</x:f>
        <x:v>#NAME?</x:v>
      </x:c>
      <x:c r="S747" s="152" t="e">
        <x:f>IF(Q747="","",Q747/MAX(Q$5:Q747)-1)</x:f>
        <x:v>#NAME?</x:v>
      </x:c>
    </x:row>
    <x:row r="748">
      <x:c r="A748" s="149" t="str">
        <x:f>IF('实盘净值数据(iFinD公式)'!A748="","",'实盘净值数据(iFinD公式)'!A748)</x:f>
      </x:c>
      <x:c r="B748" s="146" t="e">
        <x:f>IF(OR('实盘净值数据(iFinD公式)'!$A748="",'实盘净值数据(iFinD公式)'!$B748=""),"",分期持仓明细!$AD$17*SUMPRODUCT(分期持仓明细!$B$17:$AA$17,'实盘净值数据(iFinD公式)'!$B748:$AA748/'实盘净值数据(iFinD公式)'!$B$20:$AA$20)*(1-实盘持仓初始配置!$Z$4)^(('实盘净值数据(iFinD公式)'!$A748-'实盘净值数据(iFinD公式)'!$A$6)/365))</x:f>
        <x:v>#NAME?</x:v>
      </x:c>
      <x:c r="C748" s="152" t="e">
        <x:f>IF(OR(B747="",B748=""),"",B748/B747-1)</x:f>
        <x:v>#NAME?</x:v>
      </x:c>
      <x:c r="D748" s="152" t="e">
        <x:f>IF(B748="","",B748/MAX(B$5:B748)-1)</x:f>
        <x:v>#NAME?</x:v>
      </x:c>
      <x:c r="E748" s="146" t="e">
        <x:f>IF(OR('实盘净值数据(iFinD公式)'!$A748="",'实盘净值数据(iFinD公式)'!$B748=""),"",分期持仓明细!$AD$18*SUMPRODUCT(分期持仓明细!$B$18:$AA$18,'实盘净值数据(iFinD公式)'!$B748:$AA748/'实盘净值数据(iFinD公式)'!$B$20:$AA$20)*(1-实盘持仓初始配置!$Z$5)^(('实盘净值数据(iFinD公式)'!$A748-'实盘净值数据(iFinD公式)'!$A$5)/365))</x:f>
        <x:v>#NAME?</x:v>
      </x:c>
      <x:c r="F748" s="152" t="e">
        <x:f>IF(OR(E747="",E748=""),"",E748/E747-1)</x:f>
        <x:v>#NAME?</x:v>
      </x:c>
      <x:c r="G748" s="152" t="e">
        <x:f>IF(E748="","",E748/MAX(E$5:E748)-1)</x:f>
        <x:v>#NAME?</x:v>
      </x:c>
      <x:c r="H748" s="146" t="e">
        <x:f>IF(OR('实盘净值数据(iFinD公式)'!$A748="",'实盘净值数据(iFinD公式)'!$B748=""),"",分期持仓明细!$AD$19*SUMPRODUCT(分期持仓明细!$B$19:$AA$19,'实盘净值数据(iFinD公式)'!$B748:$AA748/'实盘净值数据(iFinD公式)'!$B$20:$AA$20)*(1-实盘持仓初始配置!$Z$6)^(('实盘净值数据(iFinD公式)'!$A748-'实盘净值数据(iFinD公式)'!$A$7)/365))</x:f>
        <x:v>#NAME?</x:v>
      </x:c>
      <x:c r="I748" s="152" t="e">
        <x:f>IF(OR(H747="",H748=""),"",H748/H747-1)</x:f>
        <x:v>#NAME?</x:v>
      </x:c>
      <x:c r="J748" s="152" t="e">
        <x:f>IF(H748="","",H748/MAX(H$5:H748)-1)</x:f>
        <x:v>#NAME?</x:v>
      </x:c>
      <x:c r="K748" s="146" t="e">
        <x:f>IF(OR('实盘净值数据(iFinD公式)'!$A748="",'实盘净值数据(iFinD公式)'!$B748=""),"",分期持仓明细!$AD$23*SUMPRODUCT(分期持仓明细!$B$23:$AA$23,'实盘净值数据(iFinD公式)'!$B748:$AA748/'实盘净值数据(iFinD公式)'!$B$65:$AA$65)*(1-实盘持仓初始配置!$Z$7)^(('实盘净值数据(iFinD公式)'!$A748-'实盘净值数据(iFinD公式)'!$A$8)/365))</x:f>
        <x:v>#NAME?</x:v>
      </x:c>
      <x:c r="L748" s="152" t="e">
        <x:f>IF(OR(K747="",K748=""),"",K748/K747-1)</x:f>
        <x:v>#NAME?</x:v>
      </x:c>
      <x:c r="M748" s="152" t="e">
        <x:f>IF(K748="","",K748/MAX(K$5:K748)-1)</x:f>
        <x:v>#NAME?</x:v>
      </x:c>
      <x:c r="N748" s="146" t="e">
        <x:f>IF(OR('实盘净值数据(iFinD公式)'!$A748="",'实盘净值数据(iFinD公式)'!$B748=""),"",分期持仓明细!$AD$24*SUMPRODUCT(分期持仓明细!$B$24:$AA$24,'实盘净值数据(iFinD公式)'!$B748:$AA748/'实盘净值数据(iFinD公式)'!$B$65:$AA$65)*(1-实盘持仓初始配置!$Z$8)^(('实盘净值数据(iFinD公式)'!$A748-'实盘净值数据(iFinD公式)'!$A$5)/365))</x:f>
        <x:v>#NAME?</x:v>
      </x:c>
      <x:c r="O748" s="152" t="e">
        <x:f>IF(OR(N747="",N748=""),"",N748/N747-1)</x:f>
        <x:v>#NAME?</x:v>
      </x:c>
      <x:c r="P748" s="152" t="e">
        <x:f>IF(N748="","",N748/MAX(N$5:N748)-1)</x:f>
        <x:v>#NAME?</x:v>
      </x:c>
      <x:c r="Q748" s="146" t="e">
        <x:f>IF(OR('实盘净值数据(iFinD公式)'!$A748="",'实盘净值数据(iFinD公式)'!$B748=""),"",分期持仓明细!$AD$25*SUMPRODUCT(分期持仓明细!$B$25:$AA$25,'实盘净值数据(iFinD公式)'!$B748:$AA748/'实盘净值数据(iFinD公式)'!$B$65:$AA$65)*(1-实盘持仓初始配置!$Z$9)^(('实盘净值数据(iFinD公式)'!$A748-'实盘净值数据(iFinD公式)'!$A$8)/365))</x:f>
        <x:v>#NAME?</x:v>
      </x:c>
      <x:c r="R748" s="152" t="e">
        <x:f>IF(OR(Q747="",Q748=""),"",Q748/Q747-1)</x:f>
        <x:v>#NAME?</x:v>
      </x:c>
      <x:c r="S748" s="152" t="e">
        <x:f>IF(Q748="","",Q748/MAX(Q$5:Q748)-1)</x:f>
        <x:v>#NAME?</x:v>
      </x:c>
    </x:row>
    <x:row r="749">
      <x:c r="A749" s="149" t="str">
        <x:f>IF('实盘净值数据(iFinD公式)'!A749="","",'实盘净值数据(iFinD公式)'!A749)</x:f>
      </x:c>
      <x:c r="B749" s="146" t="e">
        <x:f>IF(OR('实盘净值数据(iFinD公式)'!$A749="",'实盘净值数据(iFinD公式)'!$B749=""),"",分期持仓明细!$AD$17*SUMPRODUCT(分期持仓明细!$B$17:$AA$17,'实盘净值数据(iFinD公式)'!$B749:$AA749/'实盘净值数据(iFinD公式)'!$B$20:$AA$20)*(1-实盘持仓初始配置!$Z$4)^(('实盘净值数据(iFinD公式)'!$A749-'实盘净值数据(iFinD公式)'!$A$6)/365))</x:f>
        <x:v>#NAME?</x:v>
      </x:c>
      <x:c r="C749" s="152" t="e">
        <x:f>IF(OR(B748="",B749=""),"",B749/B748-1)</x:f>
        <x:v>#NAME?</x:v>
      </x:c>
      <x:c r="D749" s="152" t="e">
        <x:f>IF(B749="","",B749/MAX(B$5:B749)-1)</x:f>
        <x:v>#NAME?</x:v>
      </x:c>
      <x:c r="E749" s="146" t="e">
        <x:f>IF(OR('实盘净值数据(iFinD公式)'!$A749="",'实盘净值数据(iFinD公式)'!$B749=""),"",分期持仓明细!$AD$18*SUMPRODUCT(分期持仓明细!$B$18:$AA$18,'实盘净值数据(iFinD公式)'!$B749:$AA749/'实盘净值数据(iFinD公式)'!$B$20:$AA$20)*(1-实盘持仓初始配置!$Z$5)^(('实盘净值数据(iFinD公式)'!$A749-'实盘净值数据(iFinD公式)'!$A$5)/365))</x:f>
        <x:v>#NAME?</x:v>
      </x:c>
      <x:c r="F749" s="152" t="e">
        <x:f>IF(OR(E748="",E749=""),"",E749/E748-1)</x:f>
        <x:v>#NAME?</x:v>
      </x:c>
      <x:c r="G749" s="152" t="e">
        <x:f>IF(E749="","",E749/MAX(E$5:E749)-1)</x:f>
        <x:v>#NAME?</x:v>
      </x:c>
      <x:c r="H749" s="146" t="e">
        <x:f>IF(OR('实盘净值数据(iFinD公式)'!$A749="",'实盘净值数据(iFinD公式)'!$B749=""),"",分期持仓明细!$AD$19*SUMPRODUCT(分期持仓明细!$B$19:$AA$19,'实盘净值数据(iFinD公式)'!$B749:$AA749/'实盘净值数据(iFinD公式)'!$B$20:$AA$20)*(1-实盘持仓初始配置!$Z$6)^(('实盘净值数据(iFinD公式)'!$A749-'实盘净值数据(iFinD公式)'!$A$7)/365))</x:f>
        <x:v>#NAME?</x:v>
      </x:c>
      <x:c r="I749" s="152" t="e">
        <x:f>IF(OR(H748="",H749=""),"",H749/H748-1)</x:f>
        <x:v>#NAME?</x:v>
      </x:c>
      <x:c r="J749" s="152" t="e">
        <x:f>IF(H749="","",H749/MAX(H$5:H749)-1)</x:f>
        <x:v>#NAME?</x:v>
      </x:c>
      <x:c r="K749" s="146" t="e">
        <x:f>IF(OR('实盘净值数据(iFinD公式)'!$A749="",'实盘净值数据(iFinD公式)'!$B749=""),"",分期持仓明细!$AD$23*SUMPRODUCT(分期持仓明细!$B$23:$AA$23,'实盘净值数据(iFinD公式)'!$B749:$AA749/'实盘净值数据(iFinD公式)'!$B$65:$AA$65)*(1-实盘持仓初始配置!$Z$7)^(('实盘净值数据(iFinD公式)'!$A749-'实盘净值数据(iFinD公式)'!$A$8)/365))</x:f>
        <x:v>#NAME?</x:v>
      </x:c>
      <x:c r="L749" s="152" t="e">
        <x:f>IF(OR(K748="",K749=""),"",K749/K748-1)</x:f>
        <x:v>#NAME?</x:v>
      </x:c>
      <x:c r="M749" s="152" t="e">
        <x:f>IF(K749="","",K749/MAX(K$5:K749)-1)</x:f>
        <x:v>#NAME?</x:v>
      </x:c>
      <x:c r="N749" s="146" t="e">
        <x:f>IF(OR('实盘净值数据(iFinD公式)'!$A749="",'实盘净值数据(iFinD公式)'!$B749=""),"",分期持仓明细!$AD$24*SUMPRODUCT(分期持仓明细!$B$24:$AA$24,'实盘净值数据(iFinD公式)'!$B749:$AA749/'实盘净值数据(iFinD公式)'!$B$65:$AA$65)*(1-实盘持仓初始配置!$Z$8)^(('实盘净值数据(iFinD公式)'!$A749-'实盘净值数据(iFinD公式)'!$A$5)/365))</x:f>
        <x:v>#NAME?</x:v>
      </x:c>
      <x:c r="O749" s="152" t="e">
        <x:f>IF(OR(N748="",N749=""),"",N749/N748-1)</x:f>
        <x:v>#NAME?</x:v>
      </x:c>
      <x:c r="P749" s="152" t="e">
        <x:f>IF(N749="","",N749/MAX(N$5:N749)-1)</x:f>
        <x:v>#NAME?</x:v>
      </x:c>
      <x:c r="Q749" s="146" t="e">
        <x:f>IF(OR('实盘净值数据(iFinD公式)'!$A749="",'实盘净值数据(iFinD公式)'!$B749=""),"",分期持仓明细!$AD$25*SUMPRODUCT(分期持仓明细!$B$25:$AA$25,'实盘净值数据(iFinD公式)'!$B749:$AA749/'实盘净值数据(iFinD公式)'!$B$65:$AA$65)*(1-实盘持仓初始配置!$Z$9)^(('实盘净值数据(iFinD公式)'!$A749-'实盘净值数据(iFinD公式)'!$A$8)/365))</x:f>
        <x:v>#NAME?</x:v>
      </x:c>
      <x:c r="R749" s="152" t="e">
        <x:f>IF(OR(Q748="",Q749=""),"",Q749/Q748-1)</x:f>
        <x:v>#NAME?</x:v>
      </x:c>
      <x:c r="S749" s="152" t="e">
        <x:f>IF(Q749="","",Q749/MAX(Q$5:Q749)-1)</x:f>
        <x:v>#NAME?</x:v>
      </x:c>
    </x:row>
    <x:row r="750">
      <x:c r="A750" s="149" t="str">
        <x:f>IF('实盘净值数据(iFinD公式)'!A750="","",'实盘净值数据(iFinD公式)'!A750)</x:f>
      </x:c>
      <x:c r="B750" s="146" t="e">
        <x:f>IF(OR('实盘净值数据(iFinD公式)'!$A750="",'实盘净值数据(iFinD公式)'!$B750=""),"",分期持仓明细!$AD$17*SUMPRODUCT(分期持仓明细!$B$17:$AA$17,'实盘净值数据(iFinD公式)'!$B750:$AA750/'实盘净值数据(iFinD公式)'!$B$20:$AA$20)*(1-实盘持仓初始配置!$Z$4)^(('实盘净值数据(iFinD公式)'!$A750-'实盘净值数据(iFinD公式)'!$A$6)/365))</x:f>
        <x:v>#NAME?</x:v>
      </x:c>
      <x:c r="C750" s="152" t="e">
        <x:f>IF(OR(B749="",B750=""),"",B750/B749-1)</x:f>
        <x:v>#NAME?</x:v>
      </x:c>
      <x:c r="D750" s="152" t="e">
        <x:f>IF(B750="","",B750/MAX(B$5:B750)-1)</x:f>
        <x:v>#NAME?</x:v>
      </x:c>
      <x:c r="E750" s="146" t="e">
        <x:f>IF(OR('实盘净值数据(iFinD公式)'!$A750="",'实盘净值数据(iFinD公式)'!$B750=""),"",分期持仓明细!$AD$18*SUMPRODUCT(分期持仓明细!$B$18:$AA$18,'实盘净值数据(iFinD公式)'!$B750:$AA750/'实盘净值数据(iFinD公式)'!$B$20:$AA$20)*(1-实盘持仓初始配置!$Z$5)^(('实盘净值数据(iFinD公式)'!$A750-'实盘净值数据(iFinD公式)'!$A$5)/365))</x:f>
        <x:v>#NAME?</x:v>
      </x:c>
      <x:c r="F750" s="152" t="e">
        <x:f>IF(OR(E749="",E750=""),"",E750/E749-1)</x:f>
        <x:v>#NAME?</x:v>
      </x:c>
      <x:c r="G750" s="152" t="e">
        <x:f>IF(E750="","",E750/MAX(E$5:E750)-1)</x:f>
        <x:v>#NAME?</x:v>
      </x:c>
      <x:c r="H750" s="146" t="e">
        <x:f>IF(OR('实盘净值数据(iFinD公式)'!$A750="",'实盘净值数据(iFinD公式)'!$B750=""),"",分期持仓明细!$AD$19*SUMPRODUCT(分期持仓明细!$B$19:$AA$19,'实盘净值数据(iFinD公式)'!$B750:$AA750/'实盘净值数据(iFinD公式)'!$B$20:$AA$20)*(1-实盘持仓初始配置!$Z$6)^(('实盘净值数据(iFinD公式)'!$A750-'实盘净值数据(iFinD公式)'!$A$7)/365))</x:f>
        <x:v>#NAME?</x:v>
      </x:c>
      <x:c r="I750" s="152" t="e">
        <x:f>IF(OR(H749="",H750=""),"",H750/H749-1)</x:f>
        <x:v>#NAME?</x:v>
      </x:c>
      <x:c r="J750" s="152" t="e">
        <x:f>IF(H750="","",H750/MAX(H$5:H750)-1)</x:f>
        <x:v>#NAME?</x:v>
      </x:c>
      <x:c r="K750" s="146" t="e">
        <x:f>IF(OR('实盘净值数据(iFinD公式)'!$A750="",'实盘净值数据(iFinD公式)'!$B750=""),"",分期持仓明细!$AD$23*SUMPRODUCT(分期持仓明细!$B$23:$AA$23,'实盘净值数据(iFinD公式)'!$B750:$AA750/'实盘净值数据(iFinD公式)'!$B$65:$AA$65)*(1-实盘持仓初始配置!$Z$7)^(('实盘净值数据(iFinD公式)'!$A750-'实盘净值数据(iFinD公式)'!$A$8)/365))</x:f>
        <x:v>#NAME?</x:v>
      </x:c>
      <x:c r="L750" s="152" t="e">
        <x:f>IF(OR(K749="",K750=""),"",K750/K749-1)</x:f>
        <x:v>#NAME?</x:v>
      </x:c>
      <x:c r="M750" s="152" t="e">
        <x:f>IF(K750="","",K750/MAX(K$5:K750)-1)</x:f>
        <x:v>#NAME?</x:v>
      </x:c>
      <x:c r="N750" s="146" t="e">
        <x:f>IF(OR('实盘净值数据(iFinD公式)'!$A750="",'实盘净值数据(iFinD公式)'!$B750=""),"",分期持仓明细!$AD$24*SUMPRODUCT(分期持仓明细!$B$24:$AA$24,'实盘净值数据(iFinD公式)'!$B750:$AA750/'实盘净值数据(iFinD公式)'!$B$65:$AA$65)*(1-实盘持仓初始配置!$Z$8)^(('实盘净值数据(iFinD公式)'!$A750-'实盘净值数据(iFinD公式)'!$A$5)/365))</x:f>
        <x:v>#NAME?</x:v>
      </x:c>
      <x:c r="O750" s="152" t="e">
        <x:f>IF(OR(N749="",N750=""),"",N750/N749-1)</x:f>
        <x:v>#NAME?</x:v>
      </x:c>
      <x:c r="P750" s="152" t="e">
        <x:f>IF(N750="","",N750/MAX(N$5:N750)-1)</x:f>
        <x:v>#NAME?</x:v>
      </x:c>
      <x:c r="Q750" s="146" t="e">
        <x:f>IF(OR('实盘净值数据(iFinD公式)'!$A750="",'实盘净值数据(iFinD公式)'!$B750=""),"",分期持仓明细!$AD$25*SUMPRODUCT(分期持仓明细!$B$25:$AA$25,'实盘净值数据(iFinD公式)'!$B750:$AA750/'实盘净值数据(iFinD公式)'!$B$65:$AA$65)*(1-实盘持仓初始配置!$Z$9)^(('实盘净值数据(iFinD公式)'!$A750-'实盘净值数据(iFinD公式)'!$A$8)/365))</x:f>
        <x:v>#NAME?</x:v>
      </x:c>
      <x:c r="R750" s="152" t="e">
        <x:f>IF(OR(Q749="",Q750=""),"",Q750/Q749-1)</x:f>
        <x:v>#NAME?</x:v>
      </x:c>
      <x:c r="S750" s="152" t="e">
        <x:f>IF(Q750="","",Q750/MAX(Q$5:Q750)-1)</x:f>
        <x:v>#NAME?</x:v>
      </x:c>
    </x:row>
    <x:row r="751">
      <x:c r="A751" s="149" t="str">
        <x:f>IF('实盘净值数据(iFinD公式)'!A751="","",'实盘净值数据(iFinD公式)'!A751)</x:f>
      </x:c>
      <x:c r="B751" s="146" t="e">
        <x:f>IF(OR('实盘净值数据(iFinD公式)'!$A751="",'实盘净值数据(iFinD公式)'!$B751=""),"",分期持仓明细!$AD$17*SUMPRODUCT(分期持仓明细!$B$17:$AA$17,'实盘净值数据(iFinD公式)'!$B751:$AA751/'实盘净值数据(iFinD公式)'!$B$20:$AA$20)*(1-实盘持仓初始配置!$Z$4)^(('实盘净值数据(iFinD公式)'!$A751-'实盘净值数据(iFinD公式)'!$A$6)/365))</x:f>
        <x:v>#NAME?</x:v>
      </x:c>
      <x:c r="C751" s="152" t="e">
        <x:f>IF(OR(B750="",B751=""),"",B751/B750-1)</x:f>
        <x:v>#NAME?</x:v>
      </x:c>
      <x:c r="D751" s="152" t="e">
        <x:f>IF(B751="","",B751/MAX(B$5:B751)-1)</x:f>
        <x:v>#NAME?</x:v>
      </x:c>
      <x:c r="E751" s="146" t="e">
        <x:f>IF(OR('实盘净值数据(iFinD公式)'!$A751="",'实盘净值数据(iFinD公式)'!$B751=""),"",分期持仓明细!$AD$18*SUMPRODUCT(分期持仓明细!$B$18:$AA$18,'实盘净值数据(iFinD公式)'!$B751:$AA751/'实盘净值数据(iFinD公式)'!$B$20:$AA$20)*(1-实盘持仓初始配置!$Z$5)^(('实盘净值数据(iFinD公式)'!$A751-'实盘净值数据(iFinD公式)'!$A$5)/365))</x:f>
        <x:v>#NAME?</x:v>
      </x:c>
      <x:c r="F751" s="152" t="e">
        <x:f>IF(OR(E750="",E751=""),"",E751/E750-1)</x:f>
        <x:v>#NAME?</x:v>
      </x:c>
      <x:c r="G751" s="152" t="e">
        <x:f>IF(E751="","",E751/MAX(E$5:E751)-1)</x:f>
        <x:v>#NAME?</x:v>
      </x:c>
      <x:c r="H751" s="146" t="e">
        <x:f>IF(OR('实盘净值数据(iFinD公式)'!$A751="",'实盘净值数据(iFinD公式)'!$B751=""),"",分期持仓明细!$AD$19*SUMPRODUCT(分期持仓明细!$B$19:$AA$19,'实盘净值数据(iFinD公式)'!$B751:$AA751/'实盘净值数据(iFinD公式)'!$B$20:$AA$20)*(1-实盘持仓初始配置!$Z$6)^(('实盘净值数据(iFinD公式)'!$A751-'实盘净值数据(iFinD公式)'!$A$7)/365))</x:f>
        <x:v>#NAME?</x:v>
      </x:c>
      <x:c r="I751" s="152" t="e">
        <x:f>IF(OR(H750="",H751=""),"",H751/H750-1)</x:f>
        <x:v>#NAME?</x:v>
      </x:c>
      <x:c r="J751" s="152" t="e">
        <x:f>IF(H751="","",H751/MAX(H$5:H751)-1)</x:f>
        <x:v>#NAME?</x:v>
      </x:c>
      <x:c r="K751" s="146" t="e">
        <x:f>IF(OR('实盘净值数据(iFinD公式)'!$A751="",'实盘净值数据(iFinD公式)'!$B751=""),"",分期持仓明细!$AD$23*SUMPRODUCT(分期持仓明细!$B$23:$AA$23,'实盘净值数据(iFinD公式)'!$B751:$AA751/'实盘净值数据(iFinD公式)'!$B$65:$AA$65)*(1-实盘持仓初始配置!$Z$7)^(('实盘净值数据(iFinD公式)'!$A751-'实盘净值数据(iFinD公式)'!$A$8)/365))</x:f>
        <x:v>#NAME?</x:v>
      </x:c>
      <x:c r="L751" s="152" t="e">
        <x:f>IF(OR(K750="",K751=""),"",K751/K750-1)</x:f>
        <x:v>#NAME?</x:v>
      </x:c>
      <x:c r="M751" s="152" t="e">
        <x:f>IF(K751="","",K751/MAX(K$5:K751)-1)</x:f>
        <x:v>#NAME?</x:v>
      </x:c>
      <x:c r="N751" s="146" t="e">
        <x:f>IF(OR('实盘净值数据(iFinD公式)'!$A751="",'实盘净值数据(iFinD公式)'!$B751=""),"",分期持仓明细!$AD$24*SUMPRODUCT(分期持仓明细!$B$24:$AA$24,'实盘净值数据(iFinD公式)'!$B751:$AA751/'实盘净值数据(iFinD公式)'!$B$65:$AA$65)*(1-实盘持仓初始配置!$Z$8)^(('实盘净值数据(iFinD公式)'!$A751-'实盘净值数据(iFinD公式)'!$A$5)/365))</x:f>
        <x:v>#NAME?</x:v>
      </x:c>
      <x:c r="O751" s="152" t="e">
        <x:f>IF(OR(N750="",N751=""),"",N751/N750-1)</x:f>
        <x:v>#NAME?</x:v>
      </x:c>
      <x:c r="P751" s="152" t="e">
        <x:f>IF(N751="","",N751/MAX(N$5:N751)-1)</x:f>
        <x:v>#NAME?</x:v>
      </x:c>
      <x:c r="Q751" s="146" t="e">
        <x:f>IF(OR('实盘净值数据(iFinD公式)'!$A751="",'实盘净值数据(iFinD公式)'!$B751=""),"",分期持仓明细!$AD$25*SUMPRODUCT(分期持仓明细!$B$25:$AA$25,'实盘净值数据(iFinD公式)'!$B751:$AA751/'实盘净值数据(iFinD公式)'!$B$65:$AA$65)*(1-实盘持仓初始配置!$Z$9)^(('实盘净值数据(iFinD公式)'!$A751-'实盘净值数据(iFinD公式)'!$A$8)/365))</x:f>
        <x:v>#NAME?</x:v>
      </x:c>
      <x:c r="R751" s="152" t="e">
        <x:f>IF(OR(Q750="",Q751=""),"",Q751/Q750-1)</x:f>
        <x:v>#NAME?</x:v>
      </x:c>
      <x:c r="S751" s="152" t="e">
        <x:f>IF(Q751="","",Q751/MAX(Q$5:Q751)-1)</x:f>
        <x:v>#NAME?</x:v>
      </x:c>
    </x:row>
    <x:row r="752">
      <x:c r="A752" s="149" t="str">
        <x:f>IF('实盘净值数据(iFinD公式)'!A752="","",'实盘净值数据(iFinD公式)'!A752)</x:f>
      </x:c>
      <x:c r="B752" s="146" t="e">
        <x:f>IF(OR('实盘净值数据(iFinD公式)'!$A752="",'实盘净值数据(iFinD公式)'!$B752=""),"",分期持仓明细!$AD$17*SUMPRODUCT(分期持仓明细!$B$17:$AA$17,'实盘净值数据(iFinD公式)'!$B752:$AA752/'实盘净值数据(iFinD公式)'!$B$20:$AA$20)*(1-实盘持仓初始配置!$Z$4)^(('实盘净值数据(iFinD公式)'!$A752-'实盘净值数据(iFinD公式)'!$A$6)/365))</x:f>
        <x:v>#NAME?</x:v>
      </x:c>
      <x:c r="C752" s="152" t="e">
        <x:f>IF(OR(B751="",B752=""),"",B752/B751-1)</x:f>
        <x:v>#NAME?</x:v>
      </x:c>
      <x:c r="D752" s="152" t="e">
        <x:f>IF(B752="","",B752/MAX(B$5:B752)-1)</x:f>
        <x:v>#NAME?</x:v>
      </x:c>
      <x:c r="E752" s="146" t="e">
        <x:f>IF(OR('实盘净值数据(iFinD公式)'!$A752="",'实盘净值数据(iFinD公式)'!$B752=""),"",分期持仓明细!$AD$18*SUMPRODUCT(分期持仓明细!$B$18:$AA$18,'实盘净值数据(iFinD公式)'!$B752:$AA752/'实盘净值数据(iFinD公式)'!$B$20:$AA$20)*(1-实盘持仓初始配置!$Z$5)^(('实盘净值数据(iFinD公式)'!$A752-'实盘净值数据(iFinD公式)'!$A$5)/365))</x:f>
        <x:v>#NAME?</x:v>
      </x:c>
      <x:c r="F752" s="152" t="e">
        <x:f>IF(OR(E751="",E752=""),"",E752/E751-1)</x:f>
        <x:v>#NAME?</x:v>
      </x:c>
      <x:c r="G752" s="152" t="e">
        <x:f>IF(E752="","",E752/MAX(E$5:E752)-1)</x:f>
        <x:v>#NAME?</x:v>
      </x:c>
      <x:c r="H752" s="146" t="e">
        <x:f>IF(OR('实盘净值数据(iFinD公式)'!$A752="",'实盘净值数据(iFinD公式)'!$B752=""),"",分期持仓明细!$AD$19*SUMPRODUCT(分期持仓明细!$B$19:$AA$19,'实盘净值数据(iFinD公式)'!$B752:$AA752/'实盘净值数据(iFinD公式)'!$B$20:$AA$20)*(1-实盘持仓初始配置!$Z$6)^(('实盘净值数据(iFinD公式)'!$A752-'实盘净值数据(iFinD公式)'!$A$7)/365))</x:f>
        <x:v>#NAME?</x:v>
      </x:c>
      <x:c r="I752" s="152" t="e">
        <x:f>IF(OR(H751="",H752=""),"",H752/H751-1)</x:f>
        <x:v>#NAME?</x:v>
      </x:c>
      <x:c r="J752" s="152" t="e">
        <x:f>IF(H752="","",H752/MAX(H$5:H752)-1)</x:f>
        <x:v>#NAME?</x:v>
      </x:c>
      <x:c r="K752" s="146" t="e">
        <x:f>IF(OR('实盘净值数据(iFinD公式)'!$A752="",'实盘净值数据(iFinD公式)'!$B752=""),"",分期持仓明细!$AD$23*SUMPRODUCT(分期持仓明细!$B$23:$AA$23,'实盘净值数据(iFinD公式)'!$B752:$AA752/'实盘净值数据(iFinD公式)'!$B$65:$AA$65)*(1-实盘持仓初始配置!$Z$7)^(('实盘净值数据(iFinD公式)'!$A752-'实盘净值数据(iFinD公式)'!$A$8)/365))</x:f>
        <x:v>#NAME?</x:v>
      </x:c>
      <x:c r="L752" s="152" t="e">
        <x:f>IF(OR(K751="",K752=""),"",K752/K751-1)</x:f>
        <x:v>#NAME?</x:v>
      </x:c>
      <x:c r="M752" s="152" t="e">
        <x:f>IF(K752="","",K752/MAX(K$5:K752)-1)</x:f>
        <x:v>#NAME?</x:v>
      </x:c>
      <x:c r="N752" s="146" t="e">
        <x:f>IF(OR('实盘净值数据(iFinD公式)'!$A752="",'实盘净值数据(iFinD公式)'!$B752=""),"",分期持仓明细!$AD$24*SUMPRODUCT(分期持仓明细!$B$24:$AA$24,'实盘净值数据(iFinD公式)'!$B752:$AA752/'实盘净值数据(iFinD公式)'!$B$65:$AA$65)*(1-实盘持仓初始配置!$Z$8)^(('实盘净值数据(iFinD公式)'!$A752-'实盘净值数据(iFinD公式)'!$A$5)/365))</x:f>
        <x:v>#NAME?</x:v>
      </x:c>
      <x:c r="O752" s="152" t="e">
        <x:f>IF(OR(N751="",N752=""),"",N752/N751-1)</x:f>
        <x:v>#NAME?</x:v>
      </x:c>
      <x:c r="P752" s="152" t="e">
        <x:f>IF(N752="","",N752/MAX(N$5:N752)-1)</x:f>
        <x:v>#NAME?</x:v>
      </x:c>
      <x:c r="Q752" s="146" t="e">
        <x:f>IF(OR('实盘净值数据(iFinD公式)'!$A752="",'实盘净值数据(iFinD公式)'!$B752=""),"",分期持仓明细!$AD$25*SUMPRODUCT(分期持仓明细!$B$25:$AA$25,'实盘净值数据(iFinD公式)'!$B752:$AA752/'实盘净值数据(iFinD公式)'!$B$65:$AA$65)*(1-实盘持仓初始配置!$Z$9)^(('实盘净值数据(iFinD公式)'!$A752-'实盘净值数据(iFinD公式)'!$A$8)/365))</x:f>
        <x:v>#NAME?</x:v>
      </x:c>
      <x:c r="R752" s="152" t="e">
        <x:f>IF(OR(Q751="",Q752=""),"",Q752/Q751-1)</x:f>
        <x:v>#NAME?</x:v>
      </x:c>
      <x:c r="S752" s="152" t="e">
        <x:f>IF(Q752="","",Q752/MAX(Q$5:Q752)-1)</x:f>
        <x:v>#NAME?</x:v>
      </x:c>
    </x:row>
    <x:row r="753">
      <x:c r="A753" s="149" t="str">
        <x:f>IF('实盘净值数据(iFinD公式)'!A753="","",'实盘净值数据(iFinD公式)'!A753)</x:f>
      </x:c>
      <x:c r="B753" s="146" t="e">
        <x:f>IF(OR('实盘净值数据(iFinD公式)'!$A753="",'实盘净值数据(iFinD公式)'!$B753=""),"",分期持仓明细!$AD$17*SUMPRODUCT(分期持仓明细!$B$17:$AA$17,'实盘净值数据(iFinD公式)'!$B753:$AA753/'实盘净值数据(iFinD公式)'!$B$20:$AA$20)*(1-实盘持仓初始配置!$Z$4)^(('实盘净值数据(iFinD公式)'!$A753-'实盘净值数据(iFinD公式)'!$A$6)/365))</x:f>
        <x:v>#NAME?</x:v>
      </x:c>
      <x:c r="C753" s="152" t="e">
        <x:f>IF(OR(B752="",B753=""),"",B753/B752-1)</x:f>
        <x:v>#NAME?</x:v>
      </x:c>
      <x:c r="D753" s="152" t="e">
        <x:f>IF(B753="","",B753/MAX(B$5:B753)-1)</x:f>
        <x:v>#NAME?</x:v>
      </x:c>
      <x:c r="E753" s="146" t="e">
        <x:f>IF(OR('实盘净值数据(iFinD公式)'!$A753="",'实盘净值数据(iFinD公式)'!$B753=""),"",分期持仓明细!$AD$18*SUMPRODUCT(分期持仓明细!$B$18:$AA$18,'实盘净值数据(iFinD公式)'!$B753:$AA753/'实盘净值数据(iFinD公式)'!$B$20:$AA$20)*(1-实盘持仓初始配置!$Z$5)^(('实盘净值数据(iFinD公式)'!$A753-'实盘净值数据(iFinD公式)'!$A$5)/365))</x:f>
        <x:v>#NAME?</x:v>
      </x:c>
      <x:c r="F753" s="152" t="e">
        <x:f>IF(OR(E752="",E753=""),"",E753/E752-1)</x:f>
        <x:v>#NAME?</x:v>
      </x:c>
      <x:c r="G753" s="152" t="e">
        <x:f>IF(E753="","",E753/MAX(E$5:E753)-1)</x:f>
        <x:v>#NAME?</x:v>
      </x:c>
      <x:c r="H753" s="146" t="e">
        <x:f>IF(OR('实盘净值数据(iFinD公式)'!$A753="",'实盘净值数据(iFinD公式)'!$B753=""),"",分期持仓明细!$AD$19*SUMPRODUCT(分期持仓明细!$B$19:$AA$19,'实盘净值数据(iFinD公式)'!$B753:$AA753/'实盘净值数据(iFinD公式)'!$B$20:$AA$20)*(1-实盘持仓初始配置!$Z$6)^(('实盘净值数据(iFinD公式)'!$A753-'实盘净值数据(iFinD公式)'!$A$7)/365))</x:f>
        <x:v>#NAME?</x:v>
      </x:c>
      <x:c r="I753" s="152" t="e">
        <x:f>IF(OR(H752="",H753=""),"",H753/H752-1)</x:f>
        <x:v>#NAME?</x:v>
      </x:c>
      <x:c r="J753" s="152" t="e">
        <x:f>IF(H753="","",H753/MAX(H$5:H753)-1)</x:f>
        <x:v>#NAME?</x:v>
      </x:c>
      <x:c r="K753" s="146" t="e">
        <x:f>IF(OR('实盘净值数据(iFinD公式)'!$A753="",'实盘净值数据(iFinD公式)'!$B753=""),"",分期持仓明细!$AD$23*SUMPRODUCT(分期持仓明细!$B$23:$AA$23,'实盘净值数据(iFinD公式)'!$B753:$AA753/'实盘净值数据(iFinD公式)'!$B$65:$AA$65)*(1-实盘持仓初始配置!$Z$7)^(('实盘净值数据(iFinD公式)'!$A753-'实盘净值数据(iFinD公式)'!$A$8)/365))</x:f>
        <x:v>#NAME?</x:v>
      </x:c>
      <x:c r="L753" s="152" t="e">
        <x:f>IF(OR(K752="",K753=""),"",K753/K752-1)</x:f>
        <x:v>#NAME?</x:v>
      </x:c>
      <x:c r="M753" s="152" t="e">
        <x:f>IF(K753="","",K753/MAX(K$5:K753)-1)</x:f>
        <x:v>#NAME?</x:v>
      </x:c>
      <x:c r="N753" s="146" t="e">
        <x:f>IF(OR('实盘净值数据(iFinD公式)'!$A753="",'实盘净值数据(iFinD公式)'!$B753=""),"",分期持仓明细!$AD$24*SUMPRODUCT(分期持仓明细!$B$24:$AA$24,'实盘净值数据(iFinD公式)'!$B753:$AA753/'实盘净值数据(iFinD公式)'!$B$65:$AA$65)*(1-实盘持仓初始配置!$Z$8)^(('实盘净值数据(iFinD公式)'!$A753-'实盘净值数据(iFinD公式)'!$A$5)/365))</x:f>
        <x:v>#NAME?</x:v>
      </x:c>
      <x:c r="O753" s="152" t="e">
        <x:f>IF(OR(N752="",N753=""),"",N753/N752-1)</x:f>
        <x:v>#NAME?</x:v>
      </x:c>
      <x:c r="P753" s="152" t="e">
        <x:f>IF(N753="","",N753/MAX(N$5:N753)-1)</x:f>
        <x:v>#NAME?</x:v>
      </x:c>
      <x:c r="Q753" s="146" t="e">
        <x:f>IF(OR('实盘净值数据(iFinD公式)'!$A753="",'实盘净值数据(iFinD公式)'!$B753=""),"",分期持仓明细!$AD$25*SUMPRODUCT(分期持仓明细!$B$25:$AA$25,'实盘净值数据(iFinD公式)'!$B753:$AA753/'实盘净值数据(iFinD公式)'!$B$65:$AA$65)*(1-实盘持仓初始配置!$Z$9)^(('实盘净值数据(iFinD公式)'!$A753-'实盘净值数据(iFinD公式)'!$A$8)/365))</x:f>
        <x:v>#NAME?</x:v>
      </x:c>
      <x:c r="R753" s="152" t="e">
        <x:f>IF(OR(Q752="",Q753=""),"",Q753/Q752-1)</x:f>
        <x:v>#NAME?</x:v>
      </x:c>
      <x:c r="S753" s="152" t="e">
        <x:f>IF(Q753="","",Q753/MAX(Q$5:Q753)-1)</x:f>
        <x:v>#NAME?</x:v>
      </x:c>
    </x:row>
    <x:row r="754">
      <x:c r="A754" s="149" t="str">
        <x:f>IF('实盘净值数据(iFinD公式)'!A754="","",'实盘净值数据(iFinD公式)'!A754)</x:f>
      </x:c>
      <x:c r="B754" s="146" t="e">
        <x:f>IF(OR('实盘净值数据(iFinD公式)'!$A754="",'实盘净值数据(iFinD公式)'!$B754=""),"",分期持仓明细!$AD$17*SUMPRODUCT(分期持仓明细!$B$17:$AA$17,'实盘净值数据(iFinD公式)'!$B754:$AA754/'实盘净值数据(iFinD公式)'!$B$20:$AA$20)*(1-实盘持仓初始配置!$Z$4)^(('实盘净值数据(iFinD公式)'!$A754-'实盘净值数据(iFinD公式)'!$A$6)/365))</x:f>
        <x:v>#NAME?</x:v>
      </x:c>
      <x:c r="C754" s="152" t="e">
        <x:f>IF(OR(B753="",B754=""),"",B754/B753-1)</x:f>
        <x:v>#NAME?</x:v>
      </x:c>
      <x:c r="D754" s="152" t="e">
        <x:f>IF(B754="","",B754/MAX(B$5:B754)-1)</x:f>
        <x:v>#NAME?</x:v>
      </x:c>
      <x:c r="E754" s="146" t="e">
        <x:f>IF(OR('实盘净值数据(iFinD公式)'!$A754="",'实盘净值数据(iFinD公式)'!$B754=""),"",分期持仓明细!$AD$18*SUMPRODUCT(分期持仓明细!$B$18:$AA$18,'实盘净值数据(iFinD公式)'!$B754:$AA754/'实盘净值数据(iFinD公式)'!$B$20:$AA$20)*(1-实盘持仓初始配置!$Z$5)^(('实盘净值数据(iFinD公式)'!$A754-'实盘净值数据(iFinD公式)'!$A$5)/365))</x:f>
        <x:v>#NAME?</x:v>
      </x:c>
      <x:c r="F754" s="152" t="e">
        <x:f>IF(OR(E753="",E754=""),"",E754/E753-1)</x:f>
        <x:v>#NAME?</x:v>
      </x:c>
      <x:c r="G754" s="152" t="e">
        <x:f>IF(E754="","",E754/MAX(E$5:E754)-1)</x:f>
        <x:v>#NAME?</x:v>
      </x:c>
      <x:c r="H754" s="146" t="e">
        <x:f>IF(OR('实盘净值数据(iFinD公式)'!$A754="",'实盘净值数据(iFinD公式)'!$B754=""),"",分期持仓明细!$AD$19*SUMPRODUCT(分期持仓明细!$B$19:$AA$19,'实盘净值数据(iFinD公式)'!$B754:$AA754/'实盘净值数据(iFinD公式)'!$B$20:$AA$20)*(1-实盘持仓初始配置!$Z$6)^(('实盘净值数据(iFinD公式)'!$A754-'实盘净值数据(iFinD公式)'!$A$7)/365))</x:f>
        <x:v>#NAME?</x:v>
      </x:c>
      <x:c r="I754" s="152" t="e">
        <x:f>IF(OR(H753="",H754=""),"",H754/H753-1)</x:f>
        <x:v>#NAME?</x:v>
      </x:c>
      <x:c r="J754" s="152" t="e">
        <x:f>IF(H754="","",H754/MAX(H$5:H754)-1)</x:f>
        <x:v>#NAME?</x:v>
      </x:c>
      <x:c r="K754" s="146" t="e">
        <x:f>IF(OR('实盘净值数据(iFinD公式)'!$A754="",'实盘净值数据(iFinD公式)'!$B754=""),"",分期持仓明细!$AD$23*SUMPRODUCT(分期持仓明细!$B$23:$AA$23,'实盘净值数据(iFinD公式)'!$B754:$AA754/'实盘净值数据(iFinD公式)'!$B$65:$AA$65)*(1-实盘持仓初始配置!$Z$7)^(('实盘净值数据(iFinD公式)'!$A754-'实盘净值数据(iFinD公式)'!$A$8)/365))</x:f>
        <x:v>#NAME?</x:v>
      </x:c>
      <x:c r="L754" s="152" t="e">
        <x:f>IF(OR(K753="",K754=""),"",K754/K753-1)</x:f>
        <x:v>#NAME?</x:v>
      </x:c>
      <x:c r="M754" s="152" t="e">
        <x:f>IF(K754="","",K754/MAX(K$5:K754)-1)</x:f>
        <x:v>#NAME?</x:v>
      </x:c>
      <x:c r="N754" s="146" t="e">
        <x:f>IF(OR('实盘净值数据(iFinD公式)'!$A754="",'实盘净值数据(iFinD公式)'!$B754=""),"",分期持仓明细!$AD$24*SUMPRODUCT(分期持仓明细!$B$24:$AA$24,'实盘净值数据(iFinD公式)'!$B754:$AA754/'实盘净值数据(iFinD公式)'!$B$65:$AA$65)*(1-实盘持仓初始配置!$Z$8)^(('实盘净值数据(iFinD公式)'!$A754-'实盘净值数据(iFinD公式)'!$A$5)/365))</x:f>
        <x:v>#NAME?</x:v>
      </x:c>
      <x:c r="O754" s="152" t="e">
        <x:f>IF(OR(N753="",N754=""),"",N754/N753-1)</x:f>
        <x:v>#NAME?</x:v>
      </x:c>
      <x:c r="P754" s="152" t="e">
        <x:f>IF(N754="","",N754/MAX(N$5:N754)-1)</x:f>
        <x:v>#NAME?</x:v>
      </x:c>
      <x:c r="Q754" s="146" t="e">
        <x:f>IF(OR('实盘净值数据(iFinD公式)'!$A754="",'实盘净值数据(iFinD公式)'!$B754=""),"",分期持仓明细!$AD$25*SUMPRODUCT(分期持仓明细!$B$25:$AA$25,'实盘净值数据(iFinD公式)'!$B754:$AA754/'实盘净值数据(iFinD公式)'!$B$65:$AA$65)*(1-实盘持仓初始配置!$Z$9)^(('实盘净值数据(iFinD公式)'!$A754-'实盘净值数据(iFinD公式)'!$A$8)/365))</x:f>
        <x:v>#NAME?</x:v>
      </x:c>
      <x:c r="R754" s="152" t="e">
        <x:f>IF(OR(Q753="",Q754=""),"",Q754/Q753-1)</x:f>
        <x:v>#NAME?</x:v>
      </x:c>
      <x:c r="S754" s="152" t="e">
        <x:f>IF(Q754="","",Q754/MAX(Q$5:Q754)-1)</x:f>
        <x:v>#NAME?</x:v>
      </x:c>
    </x:row>
    <x:row r="755">
      <x:c r="A755" s="149" t="str">
        <x:f>IF('实盘净值数据(iFinD公式)'!A755="","",'实盘净值数据(iFinD公式)'!A755)</x:f>
      </x:c>
      <x:c r="B755" s="146" t="e">
        <x:f>IF(OR('实盘净值数据(iFinD公式)'!$A755="",'实盘净值数据(iFinD公式)'!$B755=""),"",分期持仓明细!$AD$17*SUMPRODUCT(分期持仓明细!$B$17:$AA$17,'实盘净值数据(iFinD公式)'!$B755:$AA755/'实盘净值数据(iFinD公式)'!$B$20:$AA$20)*(1-实盘持仓初始配置!$Z$4)^(('实盘净值数据(iFinD公式)'!$A755-'实盘净值数据(iFinD公式)'!$A$6)/365))</x:f>
        <x:v>#NAME?</x:v>
      </x:c>
      <x:c r="C755" s="152" t="e">
        <x:f>IF(OR(B754="",B755=""),"",B755/B754-1)</x:f>
        <x:v>#NAME?</x:v>
      </x:c>
      <x:c r="D755" s="152" t="e">
        <x:f>IF(B755="","",B755/MAX(B$5:B755)-1)</x:f>
        <x:v>#NAME?</x:v>
      </x:c>
      <x:c r="E755" s="146" t="e">
        <x:f>IF(OR('实盘净值数据(iFinD公式)'!$A755="",'实盘净值数据(iFinD公式)'!$B755=""),"",分期持仓明细!$AD$18*SUMPRODUCT(分期持仓明细!$B$18:$AA$18,'实盘净值数据(iFinD公式)'!$B755:$AA755/'实盘净值数据(iFinD公式)'!$B$20:$AA$20)*(1-实盘持仓初始配置!$Z$5)^(('实盘净值数据(iFinD公式)'!$A755-'实盘净值数据(iFinD公式)'!$A$5)/365))</x:f>
        <x:v>#NAME?</x:v>
      </x:c>
      <x:c r="F755" s="152" t="e">
        <x:f>IF(OR(E754="",E755=""),"",E755/E754-1)</x:f>
        <x:v>#NAME?</x:v>
      </x:c>
      <x:c r="G755" s="152" t="e">
        <x:f>IF(E755="","",E755/MAX(E$5:E755)-1)</x:f>
        <x:v>#NAME?</x:v>
      </x:c>
      <x:c r="H755" s="146" t="e">
        <x:f>IF(OR('实盘净值数据(iFinD公式)'!$A755="",'实盘净值数据(iFinD公式)'!$B755=""),"",分期持仓明细!$AD$19*SUMPRODUCT(分期持仓明细!$B$19:$AA$19,'实盘净值数据(iFinD公式)'!$B755:$AA755/'实盘净值数据(iFinD公式)'!$B$20:$AA$20)*(1-实盘持仓初始配置!$Z$6)^(('实盘净值数据(iFinD公式)'!$A755-'实盘净值数据(iFinD公式)'!$A$7)/365))</x:f>
        <x:v>#NAME?</x:v>
      </x:c>
      <x:c r="I755" s="152" t="e">
        <x:f>IF(OR(H754="",H755=""),"",H755/H754-1)</x:f>
        <x:v>#NAME?</x:v>
      </x:c>
      <x:c r="J755" s="152" t="e">
        <x:f>IF(H755="","",H755/MAX(H$5:H755)-1)</x:f>
        <x:v>#NAME?</x:v>
      </x:c>
      <x:c r="K755" s="146" t="e">
        <x:f>IF(OR('实盘净值数据(iFinD公式)'!$A755="",'实盘净值数据(iFinD公式)'!$B755=""),"",分期持仓明细!$AD$23*SUMPRODUCT(分期持仓明细!$B$23:$AA$23,'实盘净值数据(iFinD公式)'!$B755:$AA755/'实盘净值数据(iFinD公式)'!$B$65:$AA$65)*(1-实盘持仓初始配置!$Z$7)^(('实盘净值数据(iFinD公式)'!$A755-'实盘净值数据(iFinD公式)'!$A$8)/365))</x:f>
        <x:v>#NAME?</x:v>
      </x:c>
      <x:c r="L755" s="152" t="e">
        <x:f>IF(OR(K754="",K755=""),"",K755/K754-1)</x:f>
        <x:v>#NAME?</x:v>
      </x:c>
      <x:c r="M755" s="152" t="e">
        <x:f>IF(K755="","",K755/MAX(K$5:K755)-1)</x:f>
        <x:v>#NAME?</x:v>
      </x:c>
      <x:c r="N755" s="146" t="e">
        <x:f>IF(OR('实盘净值数据(iFinD公式)'!$A755="",'实盘净值数据(iFinD公式)'!$B755=""),"",分期持仓明细!$AD$24*SUMPRODUCT(分期持仓明细!$B$24:$AA$24,'实盘净值数据(iFinD公式)'!$B755:$AA755/'实盘净值数据(iFinD公式)'!$B$65:$AA$65)*(1-实盘持仓初始配置!$Z$8)^(('实盘净值数据(iFinD公式)'!$A755-'实盘净值数据(iFinD公式)'!$A$5)/365))</x:f>
        <x:v>#NAME?</x:v>
      </x:c>
      <x:c r="O755" s="152" t="e">
        <x:f>IF(OR(N754="",N755=""),"",N755/N754-1)</x:f>
        <x:v>#NAME?</x:v>
      </x:c>
      <x:c r="P755" s="152" t="e">
        <x:f>IF(N755="","",N755/MAX(N$5:N755)-1)</x:f>
        <x:v>#NAME?</x:v>
      </x:c>
      <x:c r="Q755" s="146" t="e">
        <x:f>IF(OR('实盘净值数据(iFinD公式)'!$A755="",'实盘净值数据(iFinD公式)'!$B755=""),"",分期持仓明细!$AD$25*SUMPRODUCT(分期持仓明细!$B$25:$AA$25,'实盘净值数据(iFinD公式)'!$B755:$AA755/'实盘净值数据(iFinD公式)'!$B$65:$AA$65)*(1-实盘持仓初始配置!$Z$9)^(('实盘净值数据(iFinD公式)'!$A755-'实盘净值数据(iFinD公式)'!$A$8)/365))</x:f>
        <x:v>#NAME?</x:v>
      </x:c>
      <x:c r="R755" s="152" t="e">
        <x:f>IF(OR(Q754="",Q755=""),"",Q755/Q754-1)</x:f>
        <x:v>#NAME?</x:v>
      </x:c>
      <x:c r="S755" s="152" t="e">
        <x:f>IF(Q755="","",Q755/MAX(Q$5:Q755)-1)</x:f>
        <x:v>#NAME?</x:v>
      </x:c>
    </x:row>
    <x:row r="756">
      <x:c r="A756" s="149" t="str">
        <x:f>IF('实盘净值数据(iFinD公式)'!A756="","",'实盘净值数据(iFinD公式)'!A756)</x:f>
      </x:c>
      <x:c r="B756" s="146" t="e">
        <x:f>IF(OR('实盘净值数据(iFinD公式)'!$A756="",'实盘净值数据(iFinD公式)'!$B756=""),"",分期持仓明细!$AD$17*SUMPRODUCT(分期持仓明细!$B$17:$AA$17,'实盘净值数据(iFinD公式)'!$B756:$AA756/'实盘净值数据(iFinD公式)'!$B$20:$AA$20)*(1-实盘持仓初始配置!$Z$4)^(('实盘净值数据(iFinD公式)'!$A756-'实盘净值数据(iFinD公式)'!$A$6)/365))</x:f>
        <x:v>#NAME?</x:v>
      </x:c>
      <x:c r="C756" s="152" t="e">
        <x:f>IF(OR(B755="",B756=""),"",B756/B755-1)</x:f>
        <x:v>#NAME?</x:v>
      </x:c>
      <x:c r="D756" s="152" t="e">
        <x:f>IF(B756="","",B756/MAX(B$5:B756)-1)</x:f>
        <x:v>#NAME?</x:v>
      </x:c>
      <x:c r="E756" s="146" t="e">
        <x:f>IF(OR('实盘净值数据(iFinD公式)'!$A756="",'实盘净值数据(iFinD公式)'!$B756=""),"",分期持仓明细!$AD$18*SUMPRODUCT(分期持仓明细!$B$18:$AA$18,'实盘净值数据(iFinD公式)'!$B756:$AA756/'实盘净值数据(iFinD公式)'!$B$20:$AA$20)*(1-实盘持仓初始配置!$Z$5)^(('实盘净值数据(iFinD公式)'!$A756-'实盘净值数据(iFinD公式)'!$A$5)/365))</x:f>
        <x:v>#NAME?</x:v>
      </x:c>
      <x:c r="F756" s="152" t="e">
        <x:f>IF(OR(E755="",E756=""),"",E756/E755-1)</x:f>
        <x:v>#NAME?</x:v>
      </x:c>
      <x:c r="G756" s="152" t="e">
        <x:f>IF(E756="","",E756/MAX(E$5:E756)-1)</x:f>
        <x:v>#NAME?</x:v>
      </x:c>
      <x:c r="H756" s="146" t="e">
        <x:f>IF(OR('实盘净值数据(iFinD公式)'!$A756="",'实盘净值数据(iFinD公式)'!$B756=""),"",分期持仓明细!$AD$19*SUMPRODUCT(分期持仓明细!$B$19:$AA$19,'实盘净值数据(iFinD公式)'!$B756:$AA756/'实盘净值数据(iFinD公式)'!$B$20:$AA$20)*(1-实盘持仓初始配置!$Z$6)^(('实盘净值数据(iFinD公式)'!$A756-'实盘净值数据(iFinD公式)'!$A$7)/365))</x:f>
        <x:v>#NAME?</x:v>
      </x:c>
      <x:c r="I756" s="152" t="e">
        <x:f>IF(OR(H755="",H756=""),"",H756/H755-1)</x:f>
        <x:v>#NAME?</x:v>
      </x:c>
      <x:c r="J756" s="152" t="e">
        <x:f>IF(H756="","",H756/MAX(H$5:H756)-1)</x:f>
        <x:v>#NAME?</x:v>
      </x:c>
      <x:c r="K756" s="146" t="e">
        <x:f>IF(OR('实盘净值数据(iFinD公式)'!$A756="",'实盘净值数据(iFinD公式)'!$B756=""),"",分期持仓明细!$AD$23*SUMPRODUCT(分期持仓明细!$B$23:$AA$23,'实盘净值数据(iFinD公式)'!$B756:$AA756/'实盘净值数据(iFinD公式)'!$B$65:$AA$65)*(1-实盘持仓初始配置!$Z$7)^(('实盘净值数据(iFinD公式)'!$A756-'实盘净值数据(iFinD公式)'!$A$8)/365))</x:f>
        <x:v>#NAME?</x:v>
      </x:c>
      <x:c r="L756" s="152" t="e">
        <x:f>IF(OR(K755="",K756=""),"",K756/K755-1)</x:f>
        <x:v>#NAME?</x:v>
      </x:c>
      <x:c r="M756" s="152" t="e">
        <x:f>IF(K756="","",K756/MAX(K$5:K756)-1)</x:f>
        <x:v>#NAME?</x:v>
      </x:c>
      <x:c r="N756" s="146" t="e">
        <x:f>IF(OR('实盘净值数据(iFinD公式)'!$A756="",'实盘净值数据(iFinD公式)'!$B756=""),"",分期持仓明细!$AD$24*SUMPRODUCT(分期持仓明细!$B$24:$AA$24,'实盘净值数据(iFinD公式)'!$B756:$AA756/'实盘净值数据(iFinD公式)'!$B$65:$AA$65)*(1-实盘持仓初始配置!$Z$8)^(('实盘净值数据(iFinD公式)'!$A756-'实盘净值数据(iFinD公式)'!$A$5)/365))</x:f>
        <x:v>#NAME?</x:v>
      </x:c>
      <x:c r="O756" s="152" t="e">
        <x:f>IF(OR(N755="",N756=""),"",N756/N755-1)</x:f>
        <x:v>#NAME?</x:v>
      </x:c>
      <x:c r="P756" s="152" t="e">
        <x:f>IF(N756="","",N756/MAX(N$5:N756)-1)</x:f>
        <x:v>#NAME?</x:v>
      </x:c>
      <x:c r="Q756" s="146" t="e">
        <x:f>IF(OR('实盘净值数据(iFinD公式)'!$A756="",'实盘净值数据(iFinD公式)'!$B756=""),"",分期持仓明细!$AD$25*SUMPRODUCT(分期持仓明细!$B$25:$AA$25,'实盘净值数据(iFinD公式)'!$B756:$AA756/'实盘净值数据(iFinD公式)'!$B$65:$AA$65)*(1-实盘持仓初始配置!$Z$9)^(('实盘净值数据(iFinD公式)'!$A756-'实盘净值数据(iFinD公式)'!$A$8)/365))</x:f>
        <x:v>#NAME?</x:v>
      </x:c>
      <x:c r="R756" s="152" t="e">
        <x:f>IF(OR(Q755="",Q756=""),"",Q756/Q755-1)</x:f>
        <x:v>#NAME?</x:v>
      </x:c>
      <x:c r="S756" s="152" t="e">
        <x:f>IF(Q756="","",Q756/MAX(Q$5:Q756)-1)</x:f>
        <x:v>#NAME?</x:v>
      </x:c>
    </x:row>
    <x:row r="757">
      <x:c r="A757" s="149" t="str">
        <x:f>IF('实盘净值数据(iFinD公式)'!A757="","",'实盘净值数据(iFinD公式)'!A757)</x:f>
      </x:c>
      <x:c r="B757" s="146" t="e">
        <x:f>IF(OR('实盘净值数据(iFinD公式)'!$A757="",'实盘净值数据(iFinD公式)'!$B757=""),"",分期持仓明细!$AD$17*SUMPRODUCT(分期持仓明细!$B$17:$AA$17,'实盘净值数据(iFinD公式)'!$B757:$AA757/'实盘净值数据(iFinD公式)'!$B$20:$AA$20)*(1-实盘持仓初始配置!$Z$4)^(('实盘净值数据(iFinD公式)'!$A757-'实盘净值数据(iFinD公式)'!$A$6)/365))</x:f>
        <x:v>#NAME?</x:v>
      </x:c>
      <x:c r="C757" s="152" t="e">
        <x:f>IF(OR(B756="",B757=""),"",B757/B756-1)</x:f>
        <x:v>#NAME?</x:v>
      </x:c>
      <x:c r="D757" s="152" t="e">
        <x:f>IF(B757="","",B757/MAX(B$5:B757)-1)</x:f>
        <x:v>#NAME?</x:v>
      </x:c>
      <x:c r="E757" s="146" t="e">
        <x:f>IF(OR('实盘净值数据(iFinD公式)'!$A757="",'实盘净值数据(iFinD公式)'!$B757=""),"",分期持仓明细!$AD$18*SUMPRODUCT(分期持仓明细!$B$18:$AA$18,'实盘净值数据(iFinD公式)'!$B757:$AA757/'实盘净值数据(iFinD公式)'!$B$20:$AA$20)*(1-实盘持仓初始配置!$Z$5)^(('实盘净值数据(iFinD公式)'!$A757-'实盘净值数据(iFinD公式)'!$A$5)/365))</x:f>
        <x:v>#NAME?</x:v>
      </x:c>
      <x:c r="F757" s="152" t="e">
        <x:f>IF(OR(E756="",E757=""),"",E757/E756-1)</x:f>
        <x:v>#NAME?</x:v>
      </x:c>
      <x:c r="G757" s="152" t="e">
        <x:f>IF(E757="","",E757/MAX(E$5:E757)-1)</x:f>
        <x:v>#NAME?</x:v>
      </x:c>
      <x:c r="H757" s="146" t="e">
        <x:f>IF(OR('实盘净值数据(iFinD公式)'!$A757="",'实盘净值数据(iFinD公式)'!$B757=""),"",分期持仓明细!$AD$19*SUMPRODUCT(分期持仓明细!$B$19:$AA$19,'实盘净值数据(iFinD公式)'!$B757:$AA757/'实盘净值数据(iFinD公式)'!$B$20:$AA$20)*(1-实盘持仓初始配置!$Z$6)^(('实盘净值数据(iFinD公式)'!$A757-'实盘净值数据(iFinD公式)'!$A$7)/365))</x:f>
        <x:v>#NAME?</x:v>
      </x:c>
      <x:c r="I757" s="152" t="e">
        <x:f>IF(OR(H756="",H757=""),"",H757/H756-1)</x:f>
        <x:v>#NAME?</x:v>
      </x:c>
      <x:c r="J757" s="152" t="e">
        <x:f>IF(H757="","",H757/MAX(H$5:H757)-1)</x:f>
        <x:v>#NAME?</x:v>
      </x:c>
      <x:c r="K757" s="146" t="e">
        <x:f>IF(OR('实盘净值数据(iFinD公式)'!$A757="",'实盘净值数据(iFinD公式)'!$B757=""),"",分期持仓明细!$AD$23*SUMPRODUCT(分期持仓明细!$B$23:$AA$23,'实盘净值数据(iFinD公式)'!$B757:$AA757/'实盘净值数据(iFinD公式)'!$B$65:$AA$65)*(1-实盘持仓初始配置!$Z$7)^(('实盘净值数据(iFinD公式)'!$A757-'实盘净值数据(iFinD公式)'!$A$8)/365))</x:f>
        <x:v>#NAME?</x:v>
      </x:c>
      <x:c r="L757" s="152" t="e">
        <x:f>IF(OR(K756="",K757=""),"",K757/K756-1)</x:f>
        <x:v>#NAME?</x:v>
      </x:c>
      <x:c r="M757" s="152" t="e">
        <x:f>IF(K757="","",K757/MAX(K$5:K757)-1)</x:f>
        <x:v>#NAME?</x:v>
      </x:c>
      <x:c r="N757" s="146" t="e">
        <x:f>IF(OR('实盘净值数据(iFinD公式)'!$A757="",'实盘净值数据(iFinD公式)'!$B757=""),"",分期持仓明细!$AD$24*SUMPRODUCT(分期持仓明细!$B$24:$AA$24,'实盘净值数据(iFinD公式)'!$B757:$AA757/'实盘净值数据(iFinD公式)'!$B$65:$AA$65)*(1-实盘持仓初始配置!$Z$8)^(('实盘净值数据(iFinD公式)'!$A757-'实盘净值数据(iFinD公式)'!$A$5)/365))</x:f>
        <x:v>#NAME?</x:v>
      </x:c>
      <x:c r="O757" s="152" t="e">
        <x:f>IF(OR(N756="",N757=""),"",N757/N756-1)</x:f>
        <x:v>#NAME?</x:v>
      </x:c>
      <x:c r="P757" s="152" t="e">
        <x:f>IF(N757="","",N757/MAX(N$5:N757)-1)</x:f>
        <x:v>#NAME?</x:v>
      </x:c>
      <x:c r="Q757" s="146" t="e">
        <x:f>IF(OR('实盘净值数据(iFinD公式)'!$A757="",'实盘净值数据(iFinD公式)'!$B757=""),"",分期持仓明细!$AD$25*SUMPRODUCT(分期持仓明细!$B$25:$AA$25,'实盘净值数据(iFinD公式)'!$B757:$AA757/'实盘净值数据(iFinD公式)'!$B$65:$AA$65)*(1-实盘持仓初始配置!$Z$9)^(('实盘净值数据(iFinD公式)'!$A757-'实盘净值数据(iFinD公式)'!$A$8)/365))</x:f>
        <x:v>#NAME?</x:v>
      </x:c>
      <x:c r="R757" s="152" t="e">
        <x:f>IF(OR(Q756="",Q757=""),"",Q757/Q756-1)</x:f>
        <x:v>#NAME?</x:v>
      </x:c>
      <x:c r="S757" s="152" t="e">
        <x:f>IF(Q757="","",Q757/MAX(Q$5:Q757)-1)</x:f>
        <x:v>#NAME?</x:v>
      </x:c>
    </x:row>
    <x:row r="758">
      <x:c r="A758" s="149" t="str">
        <x:f>IF('实盘净值数据(iFinD公式)'!A758="","",'实盘净值数据(iFinD公式)'!A758)</x:f>
      </x:c>
      <x:c r="B758" s="146" t="e">
        <x:f>IF(OR('实盘净值数据(iFinD公式)'!$A758="",'实盘净值数据(iFinD公式)'!$B758=""),"",分期持仓明细!$AD$17*SUMPRODUCT(分期持仓明细!$B$17:$AA$17,'实盘净值数据(iFinD公式)'!$B758:$AA758/'实盘净值数据(iFinD公式)'!$B$20:$AA$20)*(1-实盘持仓初始配置!$Z$4)^(('实盘净值数据(iFinD公式)'!$A758-'实盘净值数据(iFinD公式)'!$A$6)/365))</x:f>
        <x:v>#NAME?</x:v>
      </x:c>
      <x:c r="C758" s="152" t="e">
        <x:f>IF(OR(B757="",B758=""),"",B758/B757-1)</x:f>
        <x:v>#NAME?</x:v>
      </x:c>
      <x:c r="D758" s="152" t="e">
        <x:f>IF(B758="","",B758/MAX(B$5:B758)-1)</x:f>
        <x:v>#NAME?</x:v>
      </x:c>
      <x:c r="E758" s="146" t="e">
        <x:f>IF(OR('实盘净值数据(iFinD公式)'!$A758="",'实盘净值数据(iFinD公式)'!$B758=""),"",分期持仓明细!$AD$18*SUMPRODUCT(分期持仓明细!$B$18:$AA$18,'实盘净值数据(iFinD公式)'!$B758:$AA758/'实盘净值数据(iFinD公式)'!$B$20:$AA$20)*(1-实盘持仓初始配置!$Z$5)^(('实盘净值数据(iFinD公式)'!$A758-'实盘净值数据(iFinD公式)'!$A$5)/365))</x:f>
        <x:v>#NAME?</x:v>
      </x:c>
      <x:c r="F758" s="152" t="e">
        <x:f>IF(OR(E757="",E758=""),"",E758/E757-1)</x:f>
        <x:v>#NAME?</x:v>
      </x:c>
      <x:c r="G758" s="152" t="e">
        <x:f>IF(E758="","",E758/MAX(E$5:E758)-1)</x:f>
        <x:v>#NAME?</x:v>
      </x:c>
      <x:c r="H758" s="146" t="e">
        <x:f>IF(OR('实盘净值数据(iFinD公式)'!$A758="",'实盘净值数据(iFinD公式)'!$B758=""),"",分期持仓明细!$AD$19*SUMPRODUCT(分期持仓明细!$B$19:$AA$19,'实盘净值数据(iFinD公式)'!$B758:$AA758/'实盘净值数据(iFinD公式)'!$B$20:$AA$20)*(1-实盘持仓初始配置!$Z$6)^(('实盘净值数据(iFinD公式)'!$A758-'实盘净值数据(iFinD公式)'!$A$7)/365))</x:f>
        <x:v>#NAME?</x:v>
      </x:c>
      <x:c r="I758" s="152" t="e">
        <x:f>IF(OR(H757="",H758=""),"",H758/H757-1)</x:f>
        <x:v>#NAME?</x:v>
      </x:c>
      <x:c r="J758" s="152" t="e">
        <x:f>IF(H758="","",H758/MAX(H$5:H758)-1)</x:f>
        <x:v>#NAME?</x:v>
      </x:c>
      <x:c r="K758" s="146" t="e">
        <x:f>IF(OR('实盘净值数据(iFinD公式)'!$A758="",'实盘净值数据(iFinD公式)'!$B758=""),"",分期持仓明细!$AD$23*SUMPRODUCT(分期持仓明细!$B$23:$AA$23,'实盘净值数据(iFinD公式)'!$B758:$AA758/'实盘净值数据(iFinD公式)'!$B$65:$AA$65)*(1-实盘持仓初始配置!$Z$7)^(('实盘净值数据(iFinD公式)'!$A758-'实盘净值数据(iFinD公式)'!$A$8)/365))</x:f>
        <x:v>#NAME?</x:v>
      </x:c>
      <x:c r="L758" s="152" t="e">
        <x:f>IF(OR(K757="",K758=""),"",K758/K757-1)</x:f>
        <x:v>#NAME?</x:v>
      </x:c>
      <x:c r="M758" s="152" t="e">
        <x:f>IF(K758="","",K758/MAX(K$5:K758)-1)</x:f>
        <x:v>#NAME?</x:v>
      </x:c>
      <x:c r="N758" s="146" t="e">
        <x:f>IF(OR('实盘净值数据(iFinD公式)'!$A758="",'实盘净值数据(iFinD公式)'!$B758=""),"",分期持仓明细!$AD$24*SUMPRODUCT(分期持仓明细!$B$24:$AA$24,'实盘净值数据(iFinD公式)'!$B758:$AA758/'实盘净值数据(iFinD公式)'!$B$65:$AA$65)*(1-实盘持仓初始配置!$Z$8)^(('实盘净值数据(iFinD公式)'!$A758-'实盘净值数据(iFinD公式)'!$A$5)/365))</x:f>
        <x:v>#NAME?</x:v>
      </x:c>
      <x:c r="O758" s="152" t="e">
        <x:f>IF(OR(N757="",N758=""),"",N758/N757-1)</x:f>
        <x:v>#NAME?</x:v>
      </x:c>
      <x:c r="P758" s="152" t="e">
        <x:f>IF(N758="","",N758/MAX(N$5:N758)-1)</x:f>
        <x:v>#NAME?</x:v>
      </x:c>
      <x:c r="Q758" s="146" t="e">
        <x:f>IF(OR('实盘净值数据(iFinD公式)'!$A758="",'实盘净值数据(iFinD公式)'!$B758=""),"",分期持仓明细!$AD$25*SUMPRODUCT(分期持仓明细!$B$25:$AA$25,'实盘净值数据(iFinD公式)'!$B758:$AA758/'实盘净值数据(iFinD公式)'!$B$65:$AA$65)*(1-实盘持仓初始配置!$Z$9)^(('实盘净值数据(iFinD公式)'!$A758-'实盘净值数据(iFinD公式)'!$A$8)/365))</x:f>
        <x:v>#NAME?</x:v>
      </x:c>
      <x:c r="R758" s="152" t="e">
        <x:f>IF(OR(Q757="",Q758=""),"",Q758/Q757-1)</x:f>
        <x:v>#NAME?</x:v>
      </x:c>
      <x:c r="S758" s="152" t="e">
        <x:f>IF(Q758="","",Q758/MAX(Q$5:Q758)-1)</x:f>
        <x:v>#NAME?</x:v>
      </x:c>
    </x:row>
    <x:row r="759">
      <x:c r="A759" s="149" t="str">
        <x:f>IF('实盘净值数据(iFinD公式)'!A759="","",'实盘净值数据(iFinD公式)'!A759)</x:f>
      </x:c>
      <x:c r="B759" s="146" t="e">
        <x:f>IF(OR('实盘净值数据(iFinD公式)'!$A759="",'实盘净值数据(iFinD公式)'!$B759=""),"",分期持仓明细!$AD$17*SUMPRODUCT(分期持仓明细!$B$17:$AA$17,'实盘净值数据(iFinD公式)'!$B759:$AA759/'实盘净值数据(iFinD公式)'!$B$20:$AA$20)*(1-实盘持仓初始配置!$Z$4)^(('实盘净值数据(iFinD公式)'!$A759-'实盘净值数据(iFinD公式)'!$A$6)/365))</x:f>
        <x:v>#NAME?</x:v>
      </x:c>
      <x:c r="C759" s="152" t="e">
        <x:f>IF(OR(B758="",B759=""),"",B759/B758-1)</x:f>
        <x:v>#NAME?</x:v>
      </x:c>
      <x:c r="D759" s="152" t="e">
        <x:f>IF(B759="","",B759/MAX(B$5:B759)-1)</x:f>
        <x:v>#NAME?</x:v>
      </x:c>
      <x:c r="E759" s="146" t="e">
        <x:f>IF(OR('实盘净值数据(iFinD公式)'!$A759="",'实盘净值数据(iFinD公式)'!$B759=""),"",分期持仓明细!$AD$18*SUMPRODUCT(分期持仓明细!$B$18:$AA$18,'实盘净值数据(iFinD公式)'!$B759:$AA759/'实盘净值数据(iFinD公式)'!$B$20:$AA$20)*(1-实盘持仓初始配置!$Z$5)^(('实盘净值数据(iFinD公式)'!$A759-'实盘净值数据(iFinD公式)'!$A$5)/365))</x:f>
        <x:v>#NAME?</x:v>
      </x:c>
      <x:c r="F759" s="152" t="e">
        <x:f>IF(OR(E758="",E759=""),"",E759/E758-1)</x:f>
        <x:v>#NAME?</x:v>
      </x:c>
      <x:c r="G759" s="152" t="e">
        <x:f>IF(E759="","",E759/MAX(E$5:E759)-1)</x:f>
        <x:v>#NAME?</x:v>
      </x:c>
      <x:c r="H759" s="146" t="e">
        <x:f>IF(OR('实盘净值数据(iFinD公式)'!$A759="",'实盘净值数据(iFinD公式)'!$B759=""),"",分期持仓明细!$AD$19*SUMPRODUCT(分期持仓明细!$B$19:$AA$19,'实盘净值数据(iFinD公式)'!$B759:$AA759/'实盘净值数据(iFinD公式)'!$B$20:$AA$20)*(1-实盘持仓初始配置!$Z$6)^(('实盘净值数据(iFinD公式)'!$A759-'实盘净值数据(iFinD公式)'!$A$7)/365))</x:f>
        <x:v>#NAME?</x:v>
      </x:c>
      <x:c r="I759" s="152" t="e">
        <x:f>IF(OR(H758="",H759=""),"",H759/H758-1)</x:f>
        <x:v>#NAME?</x:v>
      </x:c>
      <x:c r="J759" s="152" t="e">
        <x:f>IF(H759="","",H759/MAX(H$5:H759)-1)</x:f>
        <x:v>#NAME?</x:v>
      </x:c>
      <x:c r="K759" s="146" t="e">
        <x:f>IF(OR('实盘净值数据(iFinD公式)'!$A759="",'实盘净值数据(iFinD公式)'!$B759=""),"",分期持仓明细!$AD$23*SUMPRODUCT(分期持仓明细!$B$23:$AA$23,'实盘净值数据(iFinD公式)'!$B759:$AA759/'实盘净值数据(iFinD公式)'!$B$65:$AA$65)*(1-实盘持仓初始配置!$Z$7)^(('实盘净值数据(iFinD公式)'!$A759-'实盘净值数据(iFinD公式)'!$A$8)/365))</x:f>
        <x:v>#NAME?</x:v>
      </x:c>
      <x:c r="L759" s="152" t="e">
        <x:f>IF(OR(K758="",K759=""),"",K759/K758-1)</x:f>
        <x:v>#NAME?</x:v>
      </x:c>
      <x:c r="M759" s="152" t="e">
        <x:f>IF(K759="","",K759/MAX(K$5:K759)-1)</x:f>
        <x:v>#NAME?</x:v>
      </x:c>
      <x:c r="N759" s="146" t="e">
        <x:f>IF(OR('实盘净值数据(iFinD公式)'!$A759="",'实盘净值数据(iFinD公式)'!$B759=""),"",分期持仓明细!$AD$24*SUMPRODUCT(分期持仓明细!$B$24:$AA$24,'实盘净值数据(iFinD公式)'!$B759:$AA759/'实盘净值数据(iFinD公式)'!$B$65:$AA$65)*(1-实盘持仓初始配置!$Z$8)^(('实盘净值数据(iFinD公式)'!$A759-'实盘净值数据(iFinD公式)'!$A$5)/365))</x:f>
        <x:v>#NAME?</x:v>
      </x:c>
      <x:c r="O759" s="152" t="e">
        <x:f>IF(OR(N758="",N759=""),"",N759/N758-1)</x:f>
        <x:v>#NAME?</x:v>
      </x:c>
      <x:c r="P759" s="152" t="e">
        <x:f>IF(N759="","",N759/MAX(N$5:N759)-1)</x:f>
        <x:v>#NAME?</x:v>
      </x:c>
      <x:c r="Q759" s="146" t="e">
        <x:f>IF(OR('实盘净值数据(iFinD公式)'!$A759="",'实盘净值数据(iFinD公式)'!$B759=""),"",分期持仓明细!$AD$25*SUMPRODUCT(分期持仓明细!$B$25:$AA$25,'实盘净值数据(iFinD公式)'!$B759:$AA759/'实盘净值数据(iFinD公式)'!$B$65:$AA$65)*(1-实盘持仓初始配置!$Z$9)^(('实盘净值数据(iFinD公式)'!$A759-'实盘净值数据(iFinD公式)'!$A$8)/365))</x:f>
        <x:v>#NAME?</x:v>
      </x:c>
      <x:c r="R759" s="152" t="e">
        <x:f>IF(OR(Q758="",Q759=""),"",Q759/Q758-1)</x:f>
        <x:v>#NAME?</x:v>
      </x:c>
      <x:c r="S759" s="152" t="e">
        <x:f>IF(Q759="","",Q759/MAX(Q$5:Q759)-1)</x:f>
        <x:v>#NAME?</x:v>
      </x:c>
    </x:row>
    <x:row r="760">
      <x:c r="A760" s="149" t="str">
        <x:f>IF('实盘净值数据(iFinD公式)'!A760="","",'实盘净值数据(iFinD公式)'!A760)</x:f>
      </x:c>
      <x:c r="B760" s="146" t="e">
        <x:f>IF(OR('实盘净值数据(iFinD公式)'!$A760="",'实盘净值数据(iFinD公式)'!$B760=""),"",分期持仓明细!$AD$17*SUMPRODUCT(分期持仓明细!$B$17:$AA$17,'实盘净值数据(iFinD公式)'!$B760:$AA760/'实盘净值数据(iFinD公式)'!$B$20:$AA$20)*(1-实盘持仓初始配置!$Z$4)^(('实盘净值数据(iFinD公式)'!$A760-'实盘净值数据(iFinD公式)'!$A$6)/365))</x:f>
        <x:v>#NAME?</x:v>
      </x:c>
      <x:c r="C760" s="152" t="e">
        <x:f>IF(OR(B759="",B760=""),"",B760/B759-1)</x:f>
        <x:v>#NAME?</x:v>
      </x:c>
      <x:c r="D760" s="152" t="e">
        <x:f>IF(B760="","",B760/MAX(B$5:B760)-1)</x:f>
        <x:v>#NAME?</x:v>
      </x:c>
      <x:c r="E760" s="146" t="e">
        <x:f>IF(OR('实盘净值数据(iFinD公式)'!$A760="",'实盘净值数据(iFinD公式)'!$B760=""),"",分期持仓明细!$AD$18*SUMPRODUCT(分期持仓明细!$B$18:$AA$18,'实盘净值数据(iFinD公式)'!$B760:$AA760/'实盘净值数据(iFinD公式)'!$B$20:$AA$20)*(1-实盘持仓初始配置!$Z$5)^(('实盘净值数据(iFinD公式)'!$A760-'实盘净值数据(iFinD公式)'!$A$5)/365))</x:f>
        <x:v>#NAME?</x:v>
      </x:c>
      <x:c r="F760" s="152" t="e">
        <x:f>IF(OR(E759="",E760=""),"",E760/E759-1)</x:f>
        <x:v>#NAME?</x:v>
      </x:c>
      <x:c r="G760" s="152" t="e">
        <x:f>IF(E760="","",E760/MAX(E$5:E760)-1)</x:f>
        <x:v>#NAME?</x:v>
      </x:c>
      <x:c r="H760" s="146" t="e">
        <x:f>IF(OR('实盘净值数据(iFinD公式)'!$A760="",'实盘净值数据(iFinD公式)'!$B760=""),"",分期持仓明细!$AD$19*SUMPRODUCT(分期持仓明细!$B$19:$AA$19,'实盘净值数据(iFinD公式)'!$B760:$AA760/'实盘净值数据(iFinD公式)'!$B$20:$AA$20)*(1-实盘持仓初始配置!$Z$6)^(('实盘净值数据(iFinD公式)'!$A760-'实盘净值数据(iFinD公式)'!$A$7)/365))</x:f>
        <x:v>#NAME?</x:v>
      </x:c>
      <x:c r="I760" s="152" t="e">
        <x:f>IF(OR(H759="",H760=""),"",H760/H759-1)</x:f>
        <x:v>#NAME?</x:v>
      </x:c>
      <x:c r="J760" s="152" t="e">
        <x:f>IF(H760="","",H760/MAX(H$5:H760)-1)</x:f>
        <x:v>#NAME?</x:v>
      </x:c>
      <x:c r="K760" s="146" t="e">
        <x:f>IF(OR('实盘净值数据(iFinD公式)'!$A760="",'实盘净值数据(iFinD公式)'!$B760=""),"",分期持仓明细!$AD$23*SUMPRODUCT(分期持仓明细!$B$23:$AA$23,'实盘净值数据(iFinD公式)'!$B760:$AA760/'实盘净值数据(iFinD公式)'!$B$65:$AA$65)*(1-实盘持仓初始配置!$Z$7)^(('实盘净值数据(iFinD公式)'!$A760-'实盘净值数据(iFinD公式)'!$A$8)/365))</x:f>
        <x:v>#NAME?</x:v>
      </x:c>
      <x:c r="L760" s="152" t="e">
        <x:f>IF(OR(K759="",K760=""),"",K760/K759-1)</x:f>
        <x:v>#NAME?</x:v>
      </x:c>
      <x:c r="M760" s="152" t="e">
        <x:f>IF(K760="","",K760/MAX(K$5:K760)-1)</x:f>
        <x:v>#NAME?</x:v>
      </x:c>
      <x:c r="N760" s="146" t="e">
        <x:f>IF(OR('实盘净值数据(iFinD公式)'!$A760="",'实盘净值数据(iFinD公式)'!$B760=""),"",分期持仓明细!$AD$24*SUMPRODUCT(分期持仓明细!$B$24:$AA$24,'实盘净值数据(iFinD公式)'!$B760:$AA760/'实盘净值数据(iFinD公式)'!$B$65:$AA$65)*(1-实盘持仓初始配置!$Z$8)^(('实盘净值数据(iFinD公式)'!$A760-'实盘净值数据(iFinD公式)'!$A$5)/365))</x:f>
        <x:v>#NAME?</x:v>
      </x:c>
      <x:c r="O760" s="152" t="e">
        <x:f>IF(OR(N759="",N760=""),"",N760/N759-1)</x:f>
        <x:v>#NAME?</x:v>
      </x:c>
      <x:c r="P760" s="152" t="e">
        <x:f>IF(N760="","",N760/MAX(N$5:N760)-1)</x:f>
        <x:v>#NAME?</x:v>
      </x:c>
      <x:c r="Q760" s="146" t="e">
        <x:f>IF(OR('实盘净值数据(iFinD公式)'!$A760="",'实盘净值数据(iFinD公式)'!$B760=""),"",分期持仓明细!$AD$25*SUMPRODUCT(分期持仓明细!$B$25:$AA$25,'实盘净值数据(iFinD公式)'!$B760:$AA760/'实盘净值数据(iFinD公式)'!$B$65:$AA$65)*(1-实盘持仓初始配置!$Z$9)^(('实盘净值数据(iFinD公式)'!$A760-'实盘净值数据(iFinD公式)'!$A$8)/365))</x:f>
        <x:v>#NAME?</x:v>
      </x:c>
      <x:c r="R760" s="152" t="e">
        <x:f>IF(OR(Q759="",Q760=""),"",Q760/Q759-1)</x:f>
        <x:v>#NAME?</x:v>
      </x:c>
      <x:c r="S760" s="152" t="e">
        <x:f>IF(Q760="","",Q760/MAX(Q$5:Q760)-1)</x:f>
        <x:v>#NAME?</x:v>
      </x:c>
    </x:row>
    <x:row r="761">
      <x:c r="A761" s="149" t="str">
        <x:f>IF('实盘净值数据(iFinD公式)'!A761="","",'实盘净值数据(iFinD公式)'!A761)</x:f>
      </x:c>
      <x:c r="B761" s="146" t="e">
        <x:f>IF(OR('实盘净值数据(iFinD公式)'!$A761="",'实盘净值数据(iFinD公式)'!$B761=""),"",分期持仓明细!$AD$17*SUMPRODUCT(分期持仓明细!$B$17:$AA$17,'实盘净值数据(iFinD公式)'!$B761:$AA761/'实盘净值数据(iFinD公式)'!$B$20:$AA$20)*(1-实盘持仓初始配置!$Z$4)^(('实盘净值数据(iFinD公式)'!$A761-'实盘净值数据(iFinD公式)'!$A$6)/365))</x:f>
        <x:v>#NAME?</x:v>
      </x:c>
      <x:c r="C761" s="152" t="e">
        <x:f>IF(OR(B760="",B761=""),"",B761/B760-1)</x:f>
        <x:v>#NAME?</x:v>
      </x:c>
      <x:c r="D761" s="152" t="e">
        <x:f>IF(B761="","",B761/MAX(B$5:B761)-1)</x:f>
        <x:v>#NAME?</x:v>
      </x:c>
      <x:c r="E761" s="146" t="e">
        <x:f>IF(OR('实盘净值数据(iFinD公式)'!$A761="",'实盘净值数据(iFinD公式)'!$B761=""),"",分期持仓明细!$AD$18*SUMPRODUCT(分期持仓明细!$B$18:$AA$18,'实盘净值数据(iFinD公式)'!$B761:$AA761/'实盘净值数据(iFinD公式)'!$B$20:$AA$20)*(1-实盘持仓初始配置!$Z$5)^(('实盘净值数据(iFinD公式)'!$A761-'实盘净值数据(iFinD公式)'!$A$5)/365))</x:f>
        <x:v>#NAME?</x:v>
      </x:c>
      <x:c r="F761" s="152" t="e">
        <x:f>IF(OR(E760="",E761=""),"",E761/E760-1)</x:f>
        <x:v>#NAME?</x:v>
      </x:c>
      <x:c r="G761" s="152" t="e">
        <x:f>IF(E761="","",E761/MAX(E$5:E761)-1)</x:f>
        <x:v>#NAME?</x:v>
      </x:c>
      <x:c r="H761" s="146" t="e">
        <x:f>IF(OR('实盘净值数据(iFinD公式)'!$A761="",'实盘净值数据(iFinD公式)'!$B761=""),"",分期持仓明细!$AD$19*SUMPRODUCT(分期持仓明细!$B$19:$AA$19,'实盘净值数据(iFinD公式)'!$B761:$AA761/'实盘净值数据(iFinD公式)'!$B$20:$AA$20)*(1-实盘持仓初始配置!$Z$6)^(('实盘净值数据(iFinD公式)'!$A761-'实盘净值数据(iFinD公式)'!$A$7)/365))</x:f>
        <x:v>#NAME?</x:v>
      </x:c>
      <x:c r="I761" s="152" t="e">
        <x:f>IF(OR(H760="",H761=""),"",H761/H760-1)</x:f>
        <x:v>#NAME?</x:v>
      </x:c>
      <x:c r="J761" s="152" t="e">
        <x:f>IF(H761="","",H761/MAX(H$5:H761)-1)</x:f>
        <x:v>#NAME?</x:v>
      </x:c>
      <x:c r="K761" s="146" t="e">
        <x:f>IF(OR('实盘净值数据(iFinD公式)'!$A761="",'实盘净值数据(iFinD公式)'!$B761=""),"",分期持仓明细!$AD$23*SUMPRODUCT(分期持仓明细!$B$23:$AA$23,'实盘净值数据(iFinD公式)'!$B761:$AA761/'实盘净值数据(iFinD公式)'!$B$65:$AA$65)*(1-实盘持仓初始配置!$Z$7)^(('实盘净值数据(iFinD公式)'!$A761-'实盘净值数据(iFinD公式)'!$A$8)/365))</x:f>
        <x:v>#NAME?</x:v>
      </x:c>
      <x:c r="L761" s="152" t="e">
        <x:f>IF(OR(K760="",K761=""),"",K761/K760-1)</x:f>
        <x:v>#NAME?</x:v>
      </x:c>
      <x:c r="M761" s="152" t="e">
        <x:f>IF(K761="","",K761/MAX(K$5:K761)-1)</x:f>
        <x:v>#NAME?</x:v>
      </x:c>
      <x:c r="N761" s="146" t="e">
        <x:f>IF(OR('实盘净值数据(iFinD公式)'!$A761="",'实盘净值数据(iFinD公式)'!$B761=""),"",分期持仓明细!$AD$24*SUMPRODUCT(分期持仓明细!$B$24:$AA$24,'实盘净值数据(iFinD公式)'!$B761:$AA761/'实盘净值数据(iFinD公式)'!$B$65:$AA$65)*(1-实盘持仓初始配置!$Z$8)^(('实盘净值数据(iFinD公式)'!$A761-'实盘净值数据(iFinD公式)'!$A$5)/365))</x:f>
        <x:v>#NAME?</x:v>
      </x:c>
      <x:c r="O761" s="152" t="e">
        <x:f>IF(OR(N760="",N761=""),"",N761/N760-1)</x:f>
        <x:v>#NAME?</x:v>
      </x:c>
      <x:c r="P761" s="152" t="e">
        <x:f>IF(N761="","",N761/MAX(N$5:N761)-1)</x:f>
        <x:v>#NAME?</x:v>
      </x:c>
      <x:c r="Q761" s="146" t="e">
        <x:f>IF(OR('实盘净值数据(iFinD公式)'!$A761="",'实盘净值数据(iFinD公式)'!$B761=""),"",分期持仓明细!$AD$25*SUMPRODUCT(分期持仓明细!$B$25:$AA$25,'实盘净值数据(iFinD公式)'!$B761:$AA761/'实盘净值数据(iFinD公式)'!$B$65:$AA$65)*(1-实盘持仓初始配置!$Z$9)^(('实盘净值数据(iFinD公式)'!$A761-'实盘净值数据(iFinD公式)'!$A$8)/365))</x:f>
        <x:v>#NAME?</x:v>
      </x:c>
      <x:c r="R761" s="152" t="e">
        <x:f>IF(OR(Q760="",Q761=""),"",Q761/Q760-1)</x:f>
        <x:v>#NAME?</x:v>
      </x:c>
      <x:c r="S761" s="152" t="e">
        <x:f>IF(Q761="","",Q761/MAX(Q$5:Q761)-1)</x:f>
        <x:v>#NAME?</x:v>
      </x:c>
    </x:row>
    <x:row r="762">
      <x:c r="A762" s="149" t="str">
        <x:f>IF('实盘净值数据(iFinD公式)'!A762="","",'实盘净值数据(iFinD公式)'!A762)</x:f>
      </x:c>
      <x:c r="B762" s="146" t="e">
        <x:f>IF(OR('实盘净值数据(iFinD公式)'!$A762="",'实盘净值数据(iFinD公式)'!$B762=""),"",分期持仓明细!$AD$17*SUMPRODUCT(分期持仓明细!$B$17:$AA$17,'实盘净值数据(iFinD公式)'!$B762:$AA762/'实盘净值数据(iFinD公式)'!$B$20:$AA$20)*(1-实盘持仓初始配置!$Z$4)^(('实盘净值数据(iFinD公式)'!$A762-'实盘净值数据(iFinD公式)'!$A$6)/365))</x:f>
        <x:v>#NAME?</x:v>
      </x:c>
      <x:c r="C762" s="152" t="e">
        <x:f>IF(OR(B761="",B762=""),"",B762/B761-1)</x:f>
        <x:v>#NAME?</x:v>
      </x:c>
      <x:c r="D762" s="152" t="e">
        <x:f>IF(B762="","",B762/MAX(B$5:B762)-1)</x:f>
        <x:v>#NAME?</x:v>
      </x:c>
      <x:c r="E762" s="146" t="e">
        <x:f>IF(OR('实盘净值数据(iFinD公式)'!$A762="",'实盘净值数据(iFinD公式)'!$B762=""),"",分期持仓明细!$AD$18*SUMPRODUCT(分期持仓明细!$B$18:$AA$18,'实盘净值数据(iFinD公式)'!$B762:$AA762/'实盘净值数据(iFinD公式)'!$B$20:$AA$20)*(1-实盘持仓初始配置!$Z$5)^(('实盘净值数据(iFinD公式)'!$A762-'实盘净值数据(iFinD公式)'!$A$5)/365))</x:f>
        <x:v>#NAME?</x:v>
      </x:c>
      <x:c r="F762" s="152" t="e">
        <x:f>IF(OR(E761="",E762=""),"",E762/E761-1)</x:f>
        <x:v>#NAME?</x:v>
      </x:c>
      <x:c r="G762" s="152" t="e">
        <x:f>IF(E762="","",E762/MAX(E$5:E762)-1)</x:f>
        <x:v>#NAME?</x:v>
      </x:c>
      <x:c r="H762" s="146" t="e">
        <x:f>IF(OR('实盘净值数据(iFinD公式)'!$A762="",'实盘净值数据(iFinD公式)'!$B762=""),"",分期持仓明细!$AD$19*SUMPRODUCT(分期持仓明细!$B$19:$AA$19,'实盘净值数据(iFinD公式)'!$B762:$AA762/'实盘净值数据(iFinD公式)'!$B$20:$AA$20)*(1-实盘持仓初始配置!$Z$6)^(('实盘净值数据(iFinD公式)'!$A762-'实盘净值数据(iFinD公式)'!$A$7)/365))</x:f>
        <x:v>#NAME?</x:v>
      </x:c>
      <x:c r="I762" s="152" t="e">
        <x:f>IF(OR(H761="",H762=""),"",H762/H761-1)</x:f>
        <x:v>#NAME?</x:v>
      </x:c>
      <x:c r="J762" s="152" t="e">
        <x:f>IF(H762="","",H762/MAX(H$5:H762)-1)</x:f>
        <x:v>#NAME?</x:v>
      </x:c>
      <x:c r="K762" s="146" t="e">
        <x:f>IF(OR('实盘净值数据(iFinD公式)'!$A762="",'实盘净值数据(iFinD公式)'!$B762=""),"",分期持仓明细!$AD$23*SUMPRODUCT(分期持仓明细!$B$23:$AA$23,'实盘净值数据(iFinD公式)'!$B762:$AA762/'实盘净值数据(iFinD公式)'!$B$65:$AA$65)*(1-实盘持仓初始配置!$Z$7)^(('实盘净值数据(iFinD公式)'!$A762-'实盘净值数据(iFinD公式)'!$A$8)/365))</x:f>
        <x:v>#NAME?</x:v>
      </x:c>
      <x:c r="L762" s="152" t="e">
        <x:f>IF(OR(K761="",K762=""),"",K762/K761-1)</x:f>
        <x:v>#NAME?</x:v>
      </x:c>
      <x:c r="M762" s="152" t="e">
        <x:f>IF(K762="","",K762/MAX(K$5:K762)-1)</x:f>
        <x:v>#NAME?</x:v>
      </x:c>
      <x:c r="N762" s="146" t="e">
        <x:f>IF(OR('实盘净值数据(iFinD公式)'!$A762="",'实盘净值数据(iFinD公式)'!$B762=""),"",分期持仓明细!$AD$24*SUMPRODUCT(分期持仓明细!$B$24:$AA$24,'实盘净值数据(iFinD公式)'!$B762:$AA762/'实盘净值数据(iFinD公式)'!$B$65:$AA$65)*(1-实盘持仓初始配置!$Z$8)^(('实盘净值数据(iFinD公式)'!$A762-'实盘净值数据(iFinD公式)'!$A$5)/365))</x:f>
        <x:v>#NAME?</x:v>
      </x:c>
      <x:c r="O762" s="152" t="e">
        <x:f>IF(OR(N761="",N762=""),"",N762/N761-1)</x:f>
        <x:v>#NAME?</x:v>
      </x:c>
      <x:c r="P762" s="152" t="e">
        <x:f>IF(N762="","",N762/MAX(N$5:N762)-1)</x:f>
        <x:v>#NAME?</x:v>
      </x:c>
      <x:c r="Q762" s="146" t="e">
        <x:f>IF(OR('实盘净值数据(iFinD公式)'!$A762="",'实盘净值数据(iFinD公式)'!$B762=""),"",分期持仓明细!$AD$25*SUMPRODUCT(分期持仓明细!$B$25:$AA$25,'实盘净值数据(iFinD公式)'!$B762:$AA762/'实盘净值数据(iFinD公式)'!$B$65:$AA$65)*(1-实盘持仓初始配置!$Z$9)^(('实盘净值数据(iFinD公式)'!$A762-'实盘净值数据(iFinD公式)'!$A$8)/365))</x:f>
        <x:v>#NAME?</x:v>
      </x:c>
      <x:c r="R762" s="152" t="e">
        <x:f>IF(OR(Q761="",Q762=""),"",Q762/Q761-1)</x:f>
        <x:v>#NAME?</x:v>
      </x:c>
      <x:c r="S762" s="152" t="e">
        <x:f>IF(Q762="","",Q762/MAX(Q$5:Q762)-1)</x:f>
        <x:v>#NAME?</x:v>
      </x:c>
    </x:row>
    <x:row r="763">
      <x:c r="A763" s="149" t="str">
        <x:f>IF('实盘净值数据(iFinD公式)'!A763="","",'实盘净值数据(iFinD公式)'!A763)</x:f>
      </x:c>
      <x:c r="B763" s="146" t="e">
        <x:f>IF(OR('实盘净值数据(iFinD公式)'!$A763="",'实盘净值数据(iFinD公式)'!$B763=""),"",分期持仓明细!$AD$17*SUMPRODUCT(分期持仓明细!$B$17:$AA$17,'实盘净值数据(iFinD公式)'!$B763:$AA763/'实盘净值数据(iFinD公式)'!$B$20:$AA$20)*(1-实盘持仓初始配置!$Z$4)^(('实盘净值数据(iFinD公式)'!$A763-'实盘净值数据(iFinD公式)'!$A$6)/365))</x:f>
        <x:v>#NAME?</x:v>
      </x:c>
      <x:c r="C763" s="152" t="e">
        <x:f>IF(OR(B762="",B763=""),"",B763/B762-1)</x:f>
        <x:v>#NAME?</x:v>
      </x:c>
      <x:c r="D763" s="152" t="e">
        <x:f>IF(B763="","",B763/MAX(B$5:B763)-1)</x:f>
        <x:v>#NAME?</x:v>
      </x:c>
      <x:c r="E763" s="146" t="e">
        <x:f>IF(OR('实盘净值数据(iFinD公式)'!$A763="",'实盘净值数据(iFinD公式)'!$B763=""),"",分期持仓明细!$AD$18*SUMPRODUCT(分期持仓明细!$B$18:$AA$18,'实盘净值数据(iFinD公式)'!$B763:$AA763/'实盘净值数据(iFinD公式)'!$B$20:$AA$20)*(1-实盘持仓初始配置!$Z$5)^(('实盘净值数据(iFinD公式)'!$A763-'实盘净值数据(iFinD公式)'!$A$5)/365))</x:f>
        <x:v>#NAME?</x:v>
      </x:c>
      <x:c r="F763" s="152" t="e">
        <x:f>IF(OR(E762="",E763=""),"",E763/E762-1)</x:f>
        <x:v>#NAME?</x:v>
      </x:c>
      <x:c r="G763" s="152" t="e">
        <x:f>IF(E763="","",E763/MAX(E$5:E763)-1)</x:f>
        <x:v>#NAME?</x:v>
      </x:c>
      <x:c r="H763" s="146" t="e">
        <x:f>IF(OR('实盘净值数据(iFinD公式)'!$A763="",'实盘净值数据(iFinD公式)'!$B763=""),"",分期持仓明细!$AD$19*SUMPRODUCT(分期持仓明细!$B$19:$AA$19,'实盘净值数据(iFinD公式)'!$B763:$AA763/'实盘净值数据(iFinD公式)'!$B$20:$AA$20)*(1-实盘持仓初始配置!$Z$6)^(('实盘净值数据(iFinD公式)'!$A763-'实盘净值数据(iFinD公式)'!$A$7)/365))</x:f>
        <x:v>#NAME?</x:v>
      </x:c>
      <x:c r="I763" s="152" t="e">
        <x:f>IF(OR(H762="",H763=""),"",H763/H762-1)</x:f>
        <x:v>#NAME?</x:v>
      </x:c>
      <x:c r="J763" s="152" t="e">
        <x:f>IF(H763="","",H763/MAX(H$5:H763)-1)</x:f>
        <x:v>#NAME?</x:v>
      </x:c>
      <x:c r="K763" s="146" t="e">
        <x:f>IF(OR('实盘净值数据(iFinD公式)'!$A763="",'实盘净值数据(iFinD公式)'!$B763=""),"",分期持仓明细!$AD$23*SUMPRODUCT(分期持仓明细!$B$23:$AA$23,'实盘净值数据(iFinD公式)'!$B763:$AA763/'实盘净值数据(iFinD公式)'!$B$65:$AA$65)*(1-实盘持仓初始配置!$Z$7)^(('实盘净值数据(iFinD公式)'!$A763-'实盘净值数据(iFinD公式)'!$A$8)/365))</x:f>
        <x:v>#NAME?</x:v>
      </x:c>
      <x:c r="L763" s="152" t="e">
        <x:f>IF(OR(K762="",K763=""),"",K763/K762-1)</x:f>
        <x:v>#NAME?</x:v>
      </x:c>
      <x:c r="M763" s="152" t="e">
        <x:f>IF(K763="","",K763/MAX(K$5:K763)-1)</x:f>
        <x:v>#NAME?</x:v>
      </x:c>
      <x:c r="N763" s="146" t="e">
        <x:f>IF(OR('实盘净值数据(iFinD公式)'!$A763="",'实盘净值数据(iFinD公式)'!$B763=""),"",分期持仓明细!$AD$24*SUMPRODUCT(分期持仓明细!$B$24:$AA$24,'实盘净值数据(iFinD公式)'!$B763:$AA763/'实盘净值数据(iFinD公式)'!$B$65:$AA$65)*(1-实盘持仓初始配置!$Z$8)^(('实盘净值数据(iFinD公式)'!$A763-'实盘净值数据(iFinD公式)'!$A$5)/365))</x:f>
        <x:v>#NAME?</x:v>
      </x:c>
      <x:c r="O763" s="152" t="e">
        <x:f>IF(OR(N762="",N763=""),"",N763/N762-1)</x:f>
        <x:v>#NAME?</x:v>
      </x:c>
      <x:c r="P763" s="152" t="e">
        <x:f>IF(N763="","",N763/MAX(N$5:N763)-1)</x:f>
        <x:v>#NAME?</x:v>
      </x:c>
      <x:c r="Q763" s="146" t="e">
        <x:f>IF(OR('实盘净值数据(iFinD公式)'!$A763="",'实盘净值数据(iFinD公式)'!$B763=""),"",分期持仓明细!$AD$25*SUMPRODUCT(分期持仓明细!$B$25:$AA$25,'实盘净值数据(iFinD公式)'!$B763:$AA763/'实盘净值数据(iFinD公式)'!$B$65:$AA$65)*(1-实盘持仓初始配置!$Z$9)^(('实盘净值数据(iFinD公式)'!$A763-'实盘净值数据(iFinD公式)'!$A$8)/365))</x:f>
        <x:v>#NAME?</x:v>
      </x:c>
      <x:c r="R763" s="152" t="e">
        <x:f>IF(OR(Q762="",Q763=""),"",Q763/Q762-1)</x:f>
        <x:v>#NAME?</x:v>
      </x:c>
      <x:c r="S763" s="152" t="e">
        <x:f>IF(Q763="","",Q763/MAX(Q$5:Q763)-1)</x:f>
        <x:v>#NAME?</x:v>
      </x:c>
    </x:row>
    <x:row r="764">
      <x:c r="A764" s="149" t="str">
        <x:f>IF('实盘净值数据(iFinD公式)'!A764="","",'实盘净值数据(iFinD公式)'!A764)</x:f>
      </x:c>
      <x:c r="B764" s="146" t="e">
        <x:f>IF(OR('实盘净值数据(iFinD公式)'!$A764="",'实盘净值数据(iFinD公式)'!$B764=""),"",分期持仓明细!$AD$17*SUMPRODUCT(分期持仓明细!$B$17:$AA$17,'实盘净值数据(iFinD公式)'!$B764:$AA764/'实盘净值数据(iFinD公式)'!$B$20:$AA$20)*(1-实盘持仓初始配置!$Z$4)^(('实盘净值数据(iFinD公式)'!$A764-'实盘净值数据(iFinD公式)'!$A$6)/365))</x:f>
        <x:v>#NAME?</x:v>
      </x:c>
      <x:c r="C764" s="152" t="e">
        <x:f>IF(OR(B763="",B764=""),"",B764/B763-1)</x:f>
        <x:v>#NAME?</x:v>
      </x:c>
      <x:c r="D764" s="152" t="e">
        <x:f>IF(B764="","",B764/MAX(B$5:B764)-1)</x:f>
        <x:v>#NAME?</x:v>
      </x:c>
      <x:c r="E764" s="146" t="e">
        <x:f>IF(OR('实盘净值数据(iFinD公式)'!$A764="",'实盘净值数据(iFinD公式)'!$B764=""),"",分期持仓明细!$AD$18*SUMPRODUCT(分期持仓明细!$B$18:$AA$18,'实盘净值数据(iFinD公式)'!$B764:$AA764/'实盘净值数据(iFinD公式)'!$B$20:$AA$20)*(1-实盘持仓初始配置!$Z$5)^(('实盘净值数据(iFinD公式)'!$A764-'实盘净值数据(iFinD公式)'!$A$5)/365))</x:f>
        <x:v>#NAME?</x:v>
      </x:c>
      <x:c r="F764" s="152" t="e">
        <x:f>IF(OR(E763="",E764=""),"",E764/E763-1)</x:f>
        <x:v>#NAME?</x:v>
      </x:c>
      <x:c r="G764" s="152" t="e">
        <x:f>IF(E764="","",E764/MAX(E$5:E764)-1)</x:f>
        <x:v>#NAME?</x:v>
      </x:c>
      <x:c r="H764" s="146" t="e">
        <x:f>IF(OR('实盘净值数据(iFinD公式)'!$A764="",'实盘净值数据(iFinD公式)'!$B764=""),"",分期持仓明细!$AD$19*SUMPRODUCT(分期持仓明细!$B$19:$AA$19,'实盘净值数据(iFinD公式)'!$B764:$AA764/'实盘净值数据(iFinD公式)'!$B$20:$AA$20)*(1-实盘持仓初始配置!$Z$6)^(('实盘净值数据(iFinD公式)'!$A764-'实盘净值数据(iFinD公式)'!$A$7)/365))</x:f>
        <x:v>#NAME?</x:v>
      </x:c>
      <x:c r="I764" s="152" t="e">
        <x:f>IF(OR(H763="",H764=""),"",H764/H763-1)</x:f>
        <x:v>#NAME?</x:v>
      </x:c>
      <x:c r="J764" s="152" t="e">
        <x:f>IF(H764="","",H764/MAX(H$5:H764)-1)</x:f>
        <x:v>#NAME?</x:v>
      </x:c>
      <x:c r="K764" s="146" t="e">
        <x:f>IF(OR('实盘净值数据(iFinD公式)'!$A764="",'实盘净值数据(iFinD公式)'!$B764=""),"",分期持仓明细!$AD$23*SUMPRODUCT(分期持仓明细!$B$23:$AA$23,'实盘净值数据(iFinD公式)'!$B764:$AA764/'实盘净值数据(iFinD公式)'!$B$65:$AA$65)*(1-实盘持仓初始配置!$Z$7)^(('实盘净值数据(iFinD公式)'!$A764-'实盘净值数据(iFinD公式)'!$A$8)/365))</x:f>
        <x:v>#NAME?</x:v>
      </x:c>
      <x:c r="L764" s="152" t="e">
        <x:f>IF(OR(K763="",K764=""),"",K764/K763-1)</x:f>
        <x:v>#NAME?</x:v>
      </x:c>
      <x:c r="M764" s="152" t="e">
        <x:f>IF(K764="","",K764/MAX(K$5:K764)-1)</x:f>
        <x:v>#NAME?</x:v>
      </x:c>
      <x:c r="N764" s="146" t="e">
        <x:f>IF(OR('实盘净值数据(iFinD公式)'!$A764="",'实盘净值数据(iFinD公式)'!$B764=""),"",分期持仓明细!$AD$24*SUMPRODUCT(分期持仓明细!$B$24:$AA$24,'实盘净值数据(iFinD公式)'!$B764:$AA764/'实盘净值数据(iFinD公式)'!$B$65:$AA$65)*(1-实盘持仓初始配置!$Z$8)^(('实盘净值数据(iFinD公式)'!$A764-'实盘净值数据(iFinD公式)'!$A$5)/365))</x:f>
        <x:v>#NAME?</x:v>
      </x:c>
      <x:c r="O764" s="152" t="e">
        <x:f>IF(OR(N763="",N764=""),"",N764/N763-1)</x:f>
        <x:v>#NAME?</x:v>
      </x:c>
      <x:c r="P764" s="152" t="e">
        <x:f>IF(N764="","",N764/MAX(N$5:N764)-1)</x:f>
        <x:v>#NAME?</x:v>
      </x:c>
      <x:c r="Q764" s="146" t="e">
        <x:f>IF(OR('实盘净值数据(iFinD公式)'!$A764="",'实盘净值数据(iFinD公式)'!$B764=""),"",分期持仓明细!$AD$25*SUMPRODUCT(分期持仓明细!$B$25:$AA$25,'实盘净值数据(iFinD公式)'!$B764:$AA764/'实盘净值数据(iFinD公式)'!$B$65:$AA$65)*(1-实盘持仓初始配置!$Z$9)^(('实盘净值数据(iFinD公式)'!$A764-'实盘净值数据(iFinD公式)'!$A$8)/365))</x:f>
        <x:v>#NAME?</x:v>
      </x:c>
      <x:c r="R764" s="152" t="e">
        <x:f>IF(OR(Q763="",Q764=""),"",Q764/Q763-1)</x:f>
        <x:v>#NAME?</x:v>
      </x:c>
      <x:c r="S764" s="152" t="e">
        <x:f>IF(Q764="","",Q764/MAX(Q$5:Q764)-1)</x:f>
        <x:v>#NAME?</x:v>
      </x:c>
    </x:row>
    <x:row r="765">
      <x:c r="A765" s="149" t="str">
        <x:f>IF('实盘净值数据(iFinD公式)'!A765="","",'实盘净值数据(iFinD公式)'!A765)</x:f>
      </x:c>
      <x:c r="B765" s="146" t="e">
        <x:f>IF(OR('实盘净值数据(iFinD公式)'!$A765="",'实盘净值数据(iFinD公式)'!$B765=""),"",分期持仓明细!$AD$17*SUMPRODUCT(分期持仓明细!$B$17:$AA$17,'实盘净值数据(iFinD公式)'!$B765:$AA765/'实盘净值数据(iFinD公式)'!$B$20:$AA$20)*(1-实盘持仓初始配置!$Z$4)^(('实盘净值数据(iFinD公式)'!$A765-'实盘净值数据(iFinD公式)'!$A$6)/365))</x:f>
        <x:v>#NAME?</x:v>
      </x:c>
      <x:c r="C765" s="152" t="e">
        <x:f>IF(OR(B764="",B765=""),"",B765/B764-1)</x:f>
        <x:v>#NAME?</x:v>
      </x:c>
      <x:c r="D765" s="152" t="e">
        <x:f>IF(B765="","",B765/MAX(B$5:B765)-1)</x:f>
        <x:v>#NAME?</x:v>
      </x:c>
      <x:c r="E765" s="146" t="e">
        <x:f>IF(OR('实盘净值数据(iFinD公式)'!$A765="",'实盘净值数据(iFinD公式)'!$B765=""),"",分期持仓明细!$AD$18*SUMPRODUCT(分期持仓明细!$B$18:$AA$18,'实盘净值数据(iFinD公式)'!$B765:$AA765/'实盘净值数据(iFinD公式)'!$B$20:$AA$20)*(1-实盘持仓初始配置!$Z$5)^(('实盘净值数据(iFinD公式)'!$A765-'实盘净值数据(iFinD公式)'!$A$5)/365))</x:f>
        <x:v>#NAME?</x:v>
      </x:c>
      <x:c r="F765" s="152" t="e">
        <x:f>IF(OR(E764="",E765=""),"",E765/E764-1)</x:f>
        <x:v>#NAME?</x:v>
      </x:c>
      <x:c r="G765" s="152" t="e">
        <x:f>IF(E765="","",E765/MAX(E$5:E765)-1)</x:f>
        <x:v>#NAME?</x:v>
      </x:c>
      <x:c r="H765" s="146" t="e">
        <x:f>IF(OR('实盘净值数据(iFinD公式)'!$A765="",'实盘净值数据(iFinD公式)'!$B765=""),"",分期持仓明细!$AD$19*SUMPRODUCT(分期持仓明细!$B$19:$AA$19,'实盘净值数据(iFinD公式)'!$B765:$AA765/'实盘净值数据(iFinD公式)'!$B$20:$AA$20)*(1-实盘持仓初始配置!$Z$6)^(('实盘净值数据(iFinD公式)'!$A765-'实盘净值数据(iFinD公式)'!$A$7)/365))</x:f>
        <x:v>#NAME?</x:v>
      </x:c>
      <x:c r="I765" s="152" t="e">
        <x:f>IF(OR(H764="",H765=""),"",H765/H764-1)</x:f>
        <x:v>#NAME?</x:v>
      </x:c>
      <x:c r="J765" s="152" t="e">
        <x:f>IF(H765="","",H765/MAX(H$5:H765)-1)</x:f>
        <x:v>#NAME?</x:v>
      </x:c>
      <x:c r="K765" s="146" t="e">
        <x:f>IF(OR('实盘净值数据(iFinD公式)'!$A765="",'实盘净值数据(iFinD公式)'!$B765=""),"",分期持仓明细!$AD$23*SUMPRODUCT(分期持仓明细!$B$23:$AA$23,'实盘净值数据(iFinD公式)'!$B765:$AA765/'实盘净值数据(iFinD公式)'!$B$65:$AA$65)*(1-实盘持仓初始配置!$Z$7)^(('实盘净值数据(iFinD公式)'!$A765-'实盘净值数据(iFinD公式)'!$A$8)/365))</x:f>
        <x:v>#NAME?</x:v>
      </x:c>
      <x:c r="L765" s="152" t="e">
        <x:f>IF(OR(K764="",K765=""),"",K765/K764-1)</x:f>
        <x:v>#NAME?</x:v>
      </x:c>
      <x:c r="M765" s="152" t="e">
        <x:f>IF(K765="","",K765/MAX(K$5:K765)-1)</x:f>
        <x:v>#NAME?</x:v>
      </x:c>
      <x:c r="N765" s="146" t="e">
        <x:f>IF(OR('实盘净值数据(iFinD公式)'!$A765="",'实盘净值数据(iFinD公式)'!$B765=""),"",分期持仓明细!$AD$24*SUMPRODUCT(分期持仓明细!$B$24:$AA$24,'实盘净值数据(iFinD公式)'!$B765:$AA765/'实盘净值数据(iFinD公式)'!$B$65:$AA$65)*(1-实盘持仓初始配置!$Z$8)^(('实盘净值数据(iFinD公式)'!$A765-'实盘净值数据(iFinD公式)'!$A$5)/365))</x:f>
        <x:v>#NAME?</x:v>
      </x:c>
      <x:c r="O765" s="152" t="e">
        <x:f>IF(OR(N764="",N765=""),"",N765/N764-1)</x:f>
        <x:v>#NAME?</x:v>
      </x:c>
      <x:c r="P765" s="152" t="e">
        <x:f>IF(N765="","",N765/MAX(N$5:N765)-1)</x:f>
        <x:v>#NAME?</x:v>
      </x:c>
      <x:c r="Q765" s="146" t="e">
        <x:f>IF(OR('实盘净值数据(iFinD公式)'!$A765="",'实盘净值数据(iFinD公式)'!$B765=""),"",分期持仓明细!$AD$25*SUMPRODUCT(分期持仓明细!$B$25:$AA$25,'实盘净值数据(iFinD公式)'!$B765:$AA765/'实盘净值数据(iFinD公式)'!$B$65:$AA$65)*(1-实盘持仓初始配置!$Z$9)^(('实盘净值数据(iFinD公式)'!$A765-'实盘净值数据(iFinD公式)'!$A$8)/365))</x:f>
        <x:v>#NAME?</x:v>
      </x:c>
      <x:c r="R765" s="152" t="e">
        <x:f>IF(OR(Q764="",Q765=""),"",Q765/Q764-1)</x:f>
        <x:v>#NAME?</x:v>
      </x:c>
      <x:c r="S765" s="152" t="e">
        <x:f>IF(Q765="","",Q765/MAX(Q$5:Q765)-1)</x:f>
        <x:v>#NAME?</x:v>
      </x:c>
    </x:row>
    <x:row r="766">
      <x:c r="A766" s="149" t="str">
        <x:f>IF('实盘净值数据(iFinD公式)'!A766="","",'实盘净值数据(iFinD公式)'!A766)</x:f>
      </x:c>
      <x:c r="B766" s="146" t="e">
        <x:f>IF(OR('实盘净值数据(iFinD公式)'!$A766="",'实盘净值数据(iFinD公式)'!$B766=""),"",分期持仓明细!$AD$17*SUMPRODUCT(分期持仓明细!$B$17:$AA$17,'实盘净值数据(iFinD公式)'!$B766:$AA766/'实盘净值数据(iFinD公式)'!$B$20:$AA$20)*(1-实盘持仓初始配置!$Z$4)^(('实盘净值数据(iFinD公式)'!$A766-'实盘净值数据(iFinD公式)'!$A$6)/365))</x:f>
        <x:v>#NAME?</x:v>
      </x:c>
      <x:c r="C766" s="152" t="e">
        <x:f>IF(OR(B765="",B766=""),"",B766/B765-1)</x:f>
        <x:v>#NAME?</x:v>
      </x:c>
      <x:c r="D766" s="152" t="e">
        <x:f>IF(B766="","",B766/MAX(B$5:B766)-1)</x:f>
        <x:v>#NAME?</x:v>
      </x:c>
      <x:c r="E766" s="146" t="e">
        <x:f>IF(OR('实盘净值数据(iFinD公式)'!$A766="",'实盘净值数据(iFinD公式)'!$B766=""),"",分期持仓明细!$AD$18*SUMPRODUCT(分期持仓明细!$B$18:$AA$18,'实盘净值数据(iFinD公式)'!$B766:$AA766/'实盘净值数据(iFinD公式)'!$B$20:$AA$20)*(1-实盘持仓初始配置!$Z$5)^(('实盘净值数据(iFinD公式)'!$A766-'实盘净值数据(iFinD公式)'!$A$5)/365))</x:f>
        <x:v>#NAME?</x:v>
      </x:c>
      <x:c r="F766" s="152" t="e">
        <x:f>IF(OR(E765="",E766=""),"",E766/E765-1)</x:f>
        <x:v>#NAME?</x:v>
      </x:c>
      <x:c r="G766" s="152" t="e">
        <x:f>IF(E766="","",E766/MAX(E$5:E766)-1)</x:f>
        <x:v>#NAME?</x:v>
      </x:c>
      <x:c r="H766" s="146" t="e">
        <x:f>IF(OR('实盘净值数据(iFinD公式)'!$A766="",'实盘净值数据(iFinD公式)'!$B766=""),"",分期持仓明细!$AD$19*SUMPRODUCT(分期持仓明细!$B$19:$AA$19,'实盘净值数据(iFinD公式)'!$B766:$AA766/'实盘净值数据(iFinD公式)'!$B$20:$AA$20)*(1-实盘持仓初始配置!$Z$6)^(('实盘净值数据(iFinD公式)'!$A766-'实盘净值数据(iFinD公式)'!$A$7)/365))</x:f>
        <x:v>#NAME?</x:v>
      </x:c>
      <x:c r="I766" s="152" t="e">
        <x:f>IF(OR(H765="",H766=""),"",H766/H765-1)</x:f>
        <x:v>#NAME?</x:v>
      </x:c>
      <x:c r="J766" s="152" t="e">
        <x:f>IF(H766="","",H766/MAX(H$5:H766)-1)</x:f>
        <x:v>#NAME?</x:v>
      </x:c>
      <x:c r="K766" s="146" t="e">
        <x:f>IF(OR('实盘净值数据(iFinD公式)'!$A766="",'实盘净值数据(iFinD公式)'!$B766=""),"",分期持仓明细!$AD$23*SUMPRODUCT(分期持仓明细!$B$23:$AA$23,'实盘净值数据(iFinD公式)'!$B766:$AA766/'实盘净值数据(iFinD公式)'!$B$65:$AA$65)*(1-实盘持仓初始配置!$Z$7)^(('实盘净值数据(iFinD公式)'!$A766-'实盘净值数据(iFinD公式)'!$A$8)/365))</x:f>
        <x:v>#NAME?</x:v>
      </x:c>
      <x:c r="L766" s="152" t="e">
        <x:f>IF(OR(K765="",K766=""),"",K766/K765-1)</x:f>
        <x:v>#NAME?</x:v>
      </x:c>
      <x:c r="M766" s="152" t="e">
        <x:f>IF(K766="","",K766/MAX(K$5:K766)-1)</x:f>
        <x:v>#NAME?</x:v>
      </x:c>
      <x:c r="N766" s="146" t="e">
        <x:f>IF(OR('实盘净值数据(iFinD公式)'!$A766="",'实盘净值数据(iFinD公式)'!$B766=""),"",分期持仓明细!$AD$24*SUMPRODUCT(分期持仓明细!$B$24:$AA$24,'实盘净值数据(iFinD公式)'!$B766:$AA766/'实盘净值数据(iFinD公式)'!$B$65:$AA$65)*(1-实盘持仓初始配置!$Z$8)^(('实盘净值数据(iFinD公式)'!$A766-'实盘净值数据(iFinD公式)'!$A$5)/365))</x:f>
        <x:v>#NAME?</x:v>
      </x:c>
      <x:c r="O766" s="152" t="e">
        <x:f>IF(OR(N765="",N766=""),"",N766/N765-1)</x:f>
        <x:v>#NAME?</x:v>
      </x:c>
      <x:c r="P766" s="152" t="e">
        <x:f>IF(N766="","",N766/MAX(N$5:N766)-1)</x:f>
        <x:v>#NAME?</x:v>
      </x:c>
      <x:c r="Q766" s="146" t="e">
        <x:f>IF(OR('实盘净值数据(iFinD公式)'!$A766="",'实盘净值数据(iFinD公式)'!$B766=""),"",分期持仓明细!$AD$25*SUMPRODUCT(分期持仓明细!$B$25:$AA$25,'实盘净值数据(iFinD公式)'!$B766:$AA766/'实盘净值数据(iFinD公式)'!$B$65:$AA$65)*(1-实盘持仓初始配置!$Z$9)^(('实盘净值数据(iFinD公式)'!$A766-'实盘净值数据(iFinD公式)'!$A$8)/365))</x:f>
        <x:v>#NAME?</x:v>
      </x:c>
      <x:c r="R766" s="152" t="e">
        <x:f>IF(OR(Q765="",Q766=""),"",Q766/Q765-1)</x:f>
        <x:v>#NAME?</x:v>
      </x:c>
      <x:c r="S766" s="152" t="e">
        <x:f>IF(Q766="","",Q766/MAX(Q$5:Q766)-1)</x:f>
        <x:v>#NAME?</x:v>
      </x:c>
    </x:row>
    <x:row r="767">
      <x:c r="A767" s="149" t="str">
        <x:f>IF('实盘净值数据(iFinD公式)'!A767="","",'实盘净值数据(iFinD公式)'!A767)</x:f>
      </x:c>
      <x:c r="B767" s="146" t="e">
        <x:f>IF(OR('实盘净值数据(iFinD公式)'!$A767="",'实盘净值数据(iFinD公式)'!$B767=""),"",分期持仓明细!$AD$17*SUMPRODUCT(分期持仓明细!$B$17:$AA$17,'实盘净值数据(iFinD公式)'!$B767:$AA767/'实盘净值数据(iFinD公式)'!$B$20:$AA$20)*(1-实盘持仓初始配置!$Z$4)^(('实盘净值数据(iFinD公式)'!$A767-'实盘净值数据(iFinD公式)'!$A$6)/365))</x:f>
        <x:v>#NAME?</x:v>
      </x:c>
      <x:c r="C767" s="152" t="e">
        <x:f>IF(OR(B766="",B767=""),"",B767/B766-1)</x:f>
        <x:v>#NAME?</x:v>
      </x:c>
      <x:c r="D767" s="152" t="e">
        <x:f>IF(B767="","",B767/MAX(B$5:B767)-1)</x:f>
        <x:v>#NAME?</x:v>
      </x:c>
      <x:c r="E767" s="146" t="e">
        <x:f>IF(OR('实盘净值数据(iFinD公式)'!$A767="",'实盘净值数据(iFinD公式)'!$B767=""),"",分期持仓明细!$AD$18*SUMPRODUCT(分期持仓明细!$B$18:$AA$18,'实盘净值数据(iFinD公式)'!$B767:$AA767/'实盘净值数据(iFinD公式)'!$B$20:$AA$20)*(1-实盘持仓初始配置!$Z$5)^(('实盘净值数据(iFinD公式)'!$A767-'实盘净值数据(iFinD公式)'!$A$5)/365))</x:f>
        <x:v>#NAME?</x:v>
      </x:c>
      <x:c r="F767" s="152" t="e">
        <x:f>IF(OR(E766="",E767=""),"",E767/E766-1)</x:f>
        <x:v>#NAME?</x:v>
      </x:c>
      <x:c r="G767" s="152" t="e">
        <x:f>IF(E767="","",E767/MAX(E$5:E767)-1)</x:f>
        <x:v>#NAME?</x:v>
      </x:c>
      <x:c r="H767" s="146" t="e">
        <x:f>IF(OR('实盘净值数据(iFinD公式)'!$A767="",'实盘净值数据(iFinD公式)'!$B767=""),"",分期持仓明细!$AD$19*SUMPRODUCT(分期持仓明细!$B$19:$AA$19,'实盘净值数据(iFinD公式)'!$B767:$AA767/'实盘净值数据(iFinD公式)'!$B$20:$AA$20)*(1-实盘持仓初始配置!$Z$6)^(('实盘净值数据(iFinD公式)'!$A767-'实盘净值数据(iFinD公式)'!$A$7)/365))</x:f>
        <x:v>#NAME?</x:v>
      </x:c>
      <x:c r="I767" s="152" t="e">
        <x:f>IF(OR(H766="",H767=""),"",H767/H766-1)</x:f>
        <x:v>#NAME?</x:v>
      </x:c>
      <x:c r="J767" s="152" t="e">
        <x:f>IF(H767="","",H767/MAX(H$5:H767)-1)</x:f>
        <x:v>#NAME?</x:v>
      </x:c>
      <x:c r="K767" s="146" t="e">
        <x:f>IF(OR('实盘净值数据(iFinD公式)'!$A767="",'实盘净值数据(iFinD公式)'!$B767=""),"",分期持仓明细!$AD$23*SUMPRODUCT(分期持仓明细!$B$23:$AA$23,'实盘净值数据(iFinD公式)'!$B767:$AA767/'实盘净值数据(iFinD公式)'!$B$65:$AA$65)*(1-实盘持仓初始配置!$Z$7)^(('实盘净值数据(iFinD公式)'!$A767-'实盘净值数据(iFinD公式)'!$A$8)/365))</x:f>
        <x:v>#NAME?</x:v>
      </x:c>
      <x:c r="L767" s="152" t="e">
        <x:f>IF(OR(K766="",K767=""),"",K767/K766-1)</x:f>
        <x:v>#NAME?</x:v>
      </x:c>
      <x:c r="M767" s="152" t="e">
        <x:f>IF(K767="","",K767/MAX(K$5:K767)-1)</x:f>
        <x:v>#NAME?</x:v>
      </x:c>
      <x:c r="N767" s="146" t="e">
        <x:f>IF(OR('实盘净值数据(iFinD公式)'!$A767="",'实盘净值数据(iFinD公式)'!$B767=""),"",分期持仓明细!$AD$24*SUMPRODUCT(分期持仓明细!$B$24:$AA$24,'实盘净值数据(iFinD公式)'!$B767:$AA767/'实盘净值数据(iFinD公式)'!$B$65:$AA$65)*(1-实盘持仓初始配置!$Z$8)^(('实盘净值数据(iFinD公式)'!$A767-'实盘净值数据(iFinD公式)'!$A$5)/365))</x:f>
        <x:v>#NAME?</x:v>
      </x:c>
      <x:c r="O767" s="152" t="e">
        <x:f>IF(OR(N766="",N767=""),"",N767/N766-1)</x:f>
        <x:v>#NAME?</x:v>
      </x:c>
      <x:c r="P767" s="152" t="e">
        <x:f>IF(N767="","",N767/MAX(N$5:N767)-1)</x:f>
        <x:v>#NAME?</x:v>
      </x:c>
      <x:c r="Q767" s="146" t="e">
        <x:f>IF(OR('实盘净值数据(iFinD公式)'!$A767="",'实盘净值数据(iFinD公式)'!$B767=""),"",分期持仓明细!$AD$25*SUMPRODUCT(分期持仓明细!$B$25:$AA$25,'实盘净值数据(iFinD公式)'!$B767:$AA767/'实盘净值数据(iFinD公式)'!$B$65:$AA$65)*(1-实盘持仓初始配置!$Z$9)^(('实盘净值数据(iFinD公式)'!$A767-'实盘净值数据(iFinD公式)'!$A$8)/365))</x:f>
        <x:v>#NAME?</x:v>
      </x:c>
      <x:c r="R767" s="152" t="e">
        <x:f>IF(OR(Q766="",Q767=""),"",Q767/Q766-1)</x:f>
        <x:v>#NAME?</x:v>
      </x:c>
      <x:c r="S767" s="152" t="e">
        <x:f>IF(Q767="","",Q767/MAX(Q$5:Q767)-1)</x:f>
        <x:v>#NAME?</x:v>
      </x:c>
    </x:row>
    <x:row r="768">
      <x:c r="A768" s="149" t="str">
        <x:f>IF('实盘净值数据(iFinD公式)'!A768="","",'实盘净值数据(iFinD公式)'!A768)</x:f>
      </x:c>
      <x:c r="B768" s="146" t="e">
        <x:f>IF(OR('实盘净值数据(iFinD公式)'!$A768="",'实盘净值数据(iFinD公式)'!$B768=""),"",分期持仓明细!$AD$17*SUMPRODUCT(分期持仓明细!$B$17:$AA$17,'实盘净值数据(iFinD公式)'!$B768:$AA768/'实盘净值数据(iFinD公式)'!$B$20:$AA$20)*(1-实盘持仓初始配置!$Z$4)^(('实盘净值数据(iFinD公式)'!$A768-'实盘净值数据(iFinD公式)'!$A$6)/365))</x:f>
        <x:v>#NAME?</x:v>
      </x:c>
      <x:c r="C768" s="152" t="e">
        <x:f>IF(OR(B767="",B768=""),"",B768/B767-1)</x:f>
        <x:v>#NAME?</x:v>
      </x:c>
      <x:c r="D768" s="152" t="e">
        <x:f>IF(B768="","",B768/MAX(B$5:B768)-1)</x:f>
        <x:v>#NAME?</x:v>
      </x:c>
      <x:c r="E768" s="146" t="e">
        <x:f>IF(OR('实盘净值数据(iFinD公式)'!$A768="",'实盘净值数据(iFinD公式)'!$B768=""),"",分期持仓明细!$AD$18*SUMPRODUCT(分期持仓明细!$B$18:$AA$18,'实盘净值数据(iFinD公式)'!$B768:$AA768/'实盘净值数据(iFinD公式)'!$B$20:$AA$20)*(1-实盘持仓初始配置!$Z$5)^(('实盘净值数据(iFinD公式)'!$A768-'实盘净值数据(iFinD公式)'!$A$5)/365))</x:f>
        <x:v>#NAME?</x:v>
      </x:c>
      <x:c r="F768" s="152" t="e">
        <x:f>IF(OR(E767="",E768=""),"",E768/E767-1)</x:f>
        <x:v>#NAME?</x:v>
      </x:c>
      <x:c r="G768" s="152" t="e">
        <x:f>IF(E768="","",E768/MAX(E$5:E768)-1)</x:f>
        <x:v>#NAME?</x:v>
      </x:c>
      <x:c r="H768" s="146" t="e">
        <x:f>IF(OR('实盘净值数据(iFinD公式)'!$A768="",'实盘净值数据(iFinD公式)'!$B768=""),"",分期持仓明细!$AD$19*SUMPRODUCT(分期持仓明细!$B$19:$AA$19,'实盘净值数据(iFinD公式)'!$B768:$AA768/'实盘净值数据(iFinD公式)'!$B$20:$AA$20)*(1-实盘持仓初始配置!$Z$6)^(('实盘净值数据(iFinD公式)'!$A768-'实盘净值数据(iFinD公式)'!$A$7)/365))</x:f>
        <x:v>#NAME?</x:v>
      </x:c>
      <x:c r="I768" s="152" t="e">
        <x:f>IF(OR(H767="",H768=""),"",H768/H767-1)</x:f>
        <x:v>#NAME?</x:v>
      </x:c>
      <x:c r="J768" s="152" t="e">
        <x:f>IF(H768="","",H768/MAX(H$5:H768)-1)</x:f>
        <x:v>#NAME?</x:v>
      </x:c>
      <x:c r="K768" s="146" t="e">
        <x:f>IF(OR('实盘净值数据(iFinD公式)'!$A768="",'实盘净值数据(iFinD公式)'!$B768=""),"",分期持仓明细!$AD$23*SUMPRODUCT(分期持仓明细!$B$23:$AA$23,'实盘净值数据(iFinD公式)'!$B768:$AA768/'实盘净值数据(iFinD公式)'!$B$65:$AA$65)*(1-实盘持仓初始配置!$Z$7)^(('实盘净值数据(iFinD公式)'!$A768-'实盘净值数据(iFinD公式)'!$A$8)/365))</x:f>
        <x:v>#NAME?</x:v>
      </x:c>
      <x:c r="L768" s="152" t="e">
        <x:f>IF(OR(K767="",K768=""),"",K768/K767-1)</x:f>
        <x:v>#NAME?</x:v>
      </x:c>
      <x:c r="M768" s="152" t="e">
        <x:f>IF(K768="","",K768/MAX(K$5:K768)-1)</x:f>
        <x:v>#NAME?</x:v>
      </x:c>
      <x:c r="N768" s="146" t="e">
        <x:f>IF(OR('实盘净值数据(iFinD公式)'!$A768="",'实盘净值数据(iFinD公式)'!$B768=""),"",分期持仓明细!$AD$24*SUMPRODUCT(分期持仓明细!$B$24:$AA$24,'实盘净值数据(iFinD公式)'!$B768:$AA768/'实盘净值数据(iFinD公式)'!$B$65:$AA$65)*(1-实盘持仓初始配置!$Z$8)^(('实盘净值数据(iFinD公式)'!$A768-'实盘净值数据(iFinD公式)'!$A$5)/365))</x:f>
        <x:v>#NAME?</x:v>
      </x:c>
      <x:c r="O768" s="152" t="e">
        <x:f>IF(OR(N767="",N768=""),"",N768/N767-1)</x:f>
        <x:v>#NAME?</x:v>
      </x:c>
      <x:c r="P768" s="152" t="e">
        <x:f>IF(N768="","",N768/MAX(N$5:N768)-1)</x:f>
        <x:v>#NAME?</x:v>
      </x:c>
      <x:c r="Q768" s="146" t="e">
        <x:f>IF(OR('实盘净值数据(iFinD公式)'!$A768="",'实盘净值数据(iFinD公式)'!$B768=""),"",分期持仓明细!$AD$25*SUMPRODUCT(分期持仓明细!$B$25:$AA$25,'实盘净值数据(iFinD公式)'!$B768:$AA768/'实盘净值数据(iFinD公式)'!$B$65:$AA$65)*(1-实盘持仓初始配置!$Z$9)^(('实盘净值数据(iFinD公式)'!$A768-'实盘净值数据(iFinD公式)'!$A$8)/365))</x:f>
        <x:v>#NAME?</x:v>
      </x:c>
      <x:c r="R768" s="152" t="e">
        <x:f>IF(OR(Q767="",Q768=""),"",Q768/Q767-1)</x:f>
        <x:v>#NAME?</x:v>
      </x:c>
      <x:c r="S768" s="152" t="e">
        <x:f>IF(Q768="","",Q768/MAX(Q$5:Q768)-1)</x:f>
        <x:v>#NAME?</x:v>
      </x:c>
    </x:row>
    <x:row r="769">
      <x:c r="A769" s="149" t="str">
        <x:f>IF('实盘净值数据(iFinD公式)'!A769="","",'实盘净值数据(iFinD公式)'!A769)</x:f>
      </x:c>
      <x:c r="B769" s="146" t="e">
        <x:f>IF(OR('实盘净值数据(iFinD公式)'!$A769="",'实盘净值数据(iFinD公式)'!$B769=""),"",分期持仓明细!$AD$17*SUMPRODUCT(分期持仓明细!$B$17:$AA$17,'实盘净值数据(iFinD公式)'!$B769:$AA769/'实盘净值数据(iFinD公式)'!$B$20:$AA$20)*(1-实盘持仓初始配置!$Z$4)^(('实盘净值数据(iFinD公式)'!$A769-'实盘净值数据(iFinD公式)'!$A$6)/365))</x:f>
        <x:v>#NAME?</x:v>
      </x:c>
      <x:c r="C769" s="152" t="e">
        <x:f>IF(OR(B768="",B769=""),"",B769/B768-1)</x:f>
        <x:v>#NAME?</x:v>
      </x:c>
      <x:c r="D769" s="152" t="e">
        <x:f>IF(B769="","",B769/MAX(B$5:B769)-1)</x:f>
        <x:v>#NAME?</x:v>
      </x:c>
      <x:c r="E769" s="146" t="e">
        <x:f>IF(OR('实盘净值数据(iFinD公式)'!$A769="",'实盘净值数据(iFinD公式)'!$B769=""),"",分期持仓明细!$AD$18*SUMPRODUCT(分期持仓明细!$B$18:$AA$18,'实盘净值数据(iFinD公式)'!$B769:$AA769/'实盘净值数据(iFinD公式)'!$B$20:$AA$20)*(1-实盘持仓初始配置!$Z$5)^(('实盘净值数据(iFinD公式)'!$A769-'实盘净值数据(iFinD公式)'!$A$5)/365))</x:f>
        <x:v>#NAME?</x:v>
      </x:c>
      <x:c r="F769" s="152" t="e">
        <x:f>IF(OR(E768="",E769=""),"",E769/E768-1)</x:f>
        <x:v>#NAME?</x:v>
      </x:c>
      <x:c r="G769" s="152" t="e">
        <x:f>IF(E769="","",E769/MAX(E$5:E769)-1)</x:f>
        <x:v>#NAME?</x:v>
      </x:c>
      <x:c r="H769" s="146" t="e">
        <x:f>IF(OR('实盘净值数据(iFinD公式)'!$A769="",'实盘净值数据(iFinD公式)'!$B769=""),"",分期持仓明细!$AD$19*SUMPRODUCT(分期持仓明细!$B$19:$AA$19,'实盘净值数据(iFinD公式)'!$B769:$AA769/'实盘净值数据(iFinD公式)'!$B$20:$AA$20)*(1-实盘持仓初始配置!$Z$6)^(('实盘净值数据(iFinD公式)'!$A769-'实盘净值数据(iFinD公式)'!$A$7)/365))</x:f>
        <x:v>#NAME?</x:v>
      </x:c>
      <x:c r="I769" s="152" t="e">
        <x:f>IF(OR(H768="",H769=""),"",H769/H768-1)</x:f>
        <x:v>#NAME?</x:v>
      </x:c>
      <x:c r="J769" s="152" t="e">
        <x:f>IF(H769="","",H769/MAX(H$5:H769)-1)</x:f>
        <x:v>#NAME?</x:v>
      </x:c>
      <x:c r="K769" s="146" t="e">
        <x:f>IF(OR('实盘净值数据(iFinD公式)'!$A769="",'实盘净值数据(iFinD公式)'!$B769=""),"",分期持仓明细!$AD$23*SUMPRODUCT(分期持仓明细!$B$23:$AA$23,'实盘净值数据(iFinD公式)'!$B769:$AA769/'实盘净值数据(iFinD公式)'!$B$65:$AA$65)*(1-实盘持仓初始配置!$Z$7)^(('实盘净值数据(iFinD公式)'!$A769-'实盘净值数据(iFinD公式)'!$A$8)/365))</x:f>
        <x:v>#NAME?</x:v>
      </x:c>
      <x:c r="L769" s="152" t="e">
        <x:f>IF(OR(K768="",K769=""),"",K769/K768-1)</x:f>
        <x:v>#NAME?</x:v>
      </x:c>
      <x:c r="M769" s="152" t="e">
        <x:f>IF(K769="","",K769/MAX(K$5:K769)-1)</x:f>
        <x:v>#NAME?</x:v>
      </x:c>
      <x:c r="N769" s="146" t="e">
        <x:f>IF(OR('实盘净值数据(iFinD公式)'!$A769="",'实盘净值数据(iFinD公式)'!$B769=""),"",分期持仓明细!$AD$24*SUMPRODUCT(分期持仓明细!$B$24:$AA$24,'实盘净值数据(iFinD公式)'!$B769:$AA769/'实盘净值数据(iFinD公式)'!$B$65:$AA$65)*(1-实盘持仓初始配置!$Z$8)^(('实盘净值数据(iFinD公式)'!$A769-'实盘净值数据(iFinD公式)'!$A$5)/365))</x:f>
        <x:v>#NAME?</x:v>
      </x:c>
      <x:c r="O769" s="152" t="e">
        <x:f>IF(OR(N768="",N769=""),"",N769/N768-1)</x:f>
        <x:v>#NAME?</x:v>
      </x:c>
      <x:c r="P769" s="152" t="e">
        <x:f>IF(N769="","",N769/MAX(N$5:N769)-1)</x:f>
        <x:v>#NAME?</x:v>
      </x:c>
      <x:c r="Q769" s="146" t="e">
        <x:f>IF(OR('实盘净值数据(iFinD公式)'!$A769="",'实盘净值数据(iFinD公式)'!$B769=""),"",分期持仓明细!$AD$25*SUMPRODUCT(分期持仓明细!$B$25:$AA$25,'实盘净值数据(iFinD公式)'!$B769:$AA769/'实盘净值数据(iFinD公式)'!$B$65:$AA$65)*(1-实盘持仓初始配置!$Z$9)^(('实盘净值数据(iFinD公式)'!$A769-'实盘净值数据(iFinD公式)'!$A$8)/365))</x:f>
        <x:v>#NAME?</x:v>
      </x:c>
      <x:c r="R769" s="152" t="e">
        <x:f>IF(OR(Q768="",Q769=""),"",Q769/Q768-1)</x:f>
        <x:v>#NAME?</x:v>
      </x:c>
      <x:c r="S769" s="152" t="e">
        <x:f>IF(Q769="","",Q769/MAX(Q$5:Q769)-1)</x:f>
        <x:v>#NAME?</x:v>
      </x:c>
    </x:row>
    <x:row r="770">
      <x:c r="A770" s="149" t="str">
        <x:f>IF('实盘净值数据(iFinD公式)'!A770="","",'实盘净值数据(iFinD公式)'!A770)</x:f>
      </x:c>
      <x:c r="B770" s="146" t="e">
        <x:f>IF(OR('实盘净值数据(iFinD公式)'!$A770="",'实盘净值数据(iFinD公式)'!$B770=""),"",分期持仓明细!$AD$17*SUMPRODUCT(分期持仓明细!$B$17:$AA$17,'实盘净值数据(iFinD公式)'!$B770:$AA770/'实盘净值数据(iFinD公式)'!$B$20:$AA$20)*(1-实盘持仓初始配置!$Z$4)^(('实盘净值数据(iFinD公式)'!$A770-'实盘净值数据(iFinD公式)'!$A$6)/365))</x:f>
        <x:v>#NAME?</x:v>
      </x:c>
      <x:c r="C770" s="152" t="e">
        <x:f>IF(OR(B769="",B770=""),"",B770/B769-1)</x:f>
        <x:v>#NAME?</x:v>
      </x:c>
      <x:c r="D770" s="152" t="e">
        <x:f>IF(B770="","",B770/MAX(B$5:B770)-1)</x:f>
        <x:v>#NAME?</x:v>
      </x:c>
      <x:c r="E770" s="146" t="e">
        <x:f>IF(OR('实盘净值数据(iFinD公式)'!$A770="",'实盘净值数据(iFinD公式)'!$B770=""),"",分期持仓明细!$AD$18*SUMPRODUCT(分期持仓明细!$B$18:$AA$18,'实盘净值数据(iFinD公式)'!$B770:$AA770/'实盘净值数据(iFinD公式)'!$B$20:$AA$20)*(1-实盘持仓初始配置!$Z$5)^(('实盘净值数据(iFinD公式)'!$A770-'实盘净值数据(iFinD公式)'!$A$5)/365))</x:f>
        <x:v>#NAME?</x:v>
      </x:c>
      <x:c r="F770" s="152" t="e">
        <x:f>IF(OR(E769="",E770=""),"",E770/E769-1)</x:f>
        <x:v>#NAME?</x:v>
      </x:c>
      <x:c r="G770" s="152" t="e">
        <x:f>IF(E770="","",E770/MAX(E$5:E770)-1)</x:f>
        <x:v>#NAME?</x:v>
      </x:c>
      <x:c r="H770" s="146" t="e">
        <x:f>IF(OR('实盘净值数据(iFinD公式)'!$A770="",'实盘净值数据(iFinD公式)'!$B770=""),"",分期持仓明细!$AD$19*SUMPRODUCT(分期持仓明细!$B$19:$AA$19,'实盘净值数据(iFinD公式)'!$B770:$AA770/'实盘净值数据(iFinD公式)'!$B$20:$AA$20)*(1-实盘持仓初始配置!$Z$6)^(('实盘净值数据(iFinD公式)'!$A770-'实盘净值数据(iFinD公式)'!$A$7)/365))</x:f>
        <x:v>#NAME?</x:v>
      </x:c>
      <x:c r="I770" s="152" t="e">
        <x:f>IF(OR(H769="",H770=""),"",H770/H769-1)</x:f>
        <x:v>#NAME?</x:v>
      </x:c>
      <x:c r="J770" s="152" t="e">
        <x:f>IF(H770="","",H770/MAX(H$5:H770)-1)</x:f>
        <x:v>#NAME?</x:v>
      </x:c>
      <x:c r="K770" s="146" t="e">
        <x:f>IF(OR('实盘净值数据(iFinD公式)'!$A770="",'实盘净值数据(iFinD公式)'!$B770=""),"",分期持仓明细!$AD$23*SUMPRODUCT(分期持仓明细!$B$23:$AA$23,'实盘净值数据(iFinD公式)'!$B770:$AA770/'实盘净值数据(iFinD公式)'!$B$65:$AA$65)*(1-实盘持仓初始配置!$Z$7)^(('实盘净值数据(iFinD公式)'!$A770-'实盘净值数据(iFinD公式)'!$A$8)/365))</x:f>
        <x:v>#NAME?</x:v>
      </x:c>
      <x:c r="L770" s="152" t="e">
        <x:f>IF(OR(K769="",K770=""),"",K770/K769-1)</x:f>
        <x:v>#NAME?</x:v>
      </x:c>
      <x:c r="M770" s="152" t="e">
        <x:f>IF(K770="","",K770/MAX(K$5:K770)-1)</x:f>
        <x:v>#NAME?</x:v>
      </x:c>
      <x:c r="N770" s="146" t="e">
        <x:f>IF(OR('实盘净值数据(iFinD公式)'!$A770="",'实盘净值数据(iFinD公式)'!$B770=""),"",分期持仓明细!$AD$24*SUMPRODUCT(分期持仓明细!$B$24:$AA$24,'实盘净值数据(iFinD公式)'!$B770:$AA770/'实盘净值数据(iFinD公式)'!$B$65:$AA$65)*(1-实盘持仓初始配置!$Z$8)^(('实盘净值数据(iFinD公式)'!$A770-'实盘净值数据(iFinD公式)'!$A$5)/365))</x:f>
        <x:v>#NAME?</x:v>
      </x:c>
      <x:c r="O770" s="152" t="e">
        <x:f>IF(OR(N769="",N770=""),"",N770/N769-1)</x:f>
        <x:v>#NAME?</x:v>
      </x:c>
      <x:c r="P770" s="152" t="e">
        <x:f>IF(N770="","",N770/MAX(N$5:N770)-1)</x:f>
        <x:v>#NAME?</x:v>
      </x:c>
      <x:c r="Q770" s="146" t="e">
        <x:f>IF(OR('实盘净值数据(iFinD公式)'!$A770="",'实盘净值数据(iFinD公式)'!$B770=""),"",分期持仓明细!$AD$25*SUMPRODUCT(分期持仓明细!$B$25:$AA$25,'实盘净值数据(iFinD公式)'!$B770:$AA770/'实盘净值数据(iFinD公式)'!$B$65:$AA$65)*(1-实盘持仓初始配置!$Z$9)^(('实盘净值数据(iFinD公式)'!$A770-'实盘净值数据(iFinD公式)'!$A$8)/365))</x:f>
        <x:v>#NAME?</x:v>
      </x:c>
      <x:c r="R770" s="152" t="e">
        <x:f>IF(OR(Q769="",Q770=""),"",Q770/Q769-1)</x:f>
        <x:v>#NAME?</x:v>
      </x:c>
      <x:c r="S770" s="152" t="e">
        <x:f>IF(Q770="","",Q770/MAX(Q$5:Q770)-1)</x:f>
        <x:v>#NAME?</x:v>
      </x:c>
    </x:row>
    <x:row r="771">
      <x:c r="A771" s="149" t="str">
        <x:f>IF('实盘净值数据(iFinD公式)'!A771="","",'实盘净值数据(iFinD公式)'!A771)</x:f>
      </x:c>
      <x:c r="B771" s="146" t="e">
        <x:f>IF(OR('实盘净值数据(iFinD公式)'!$A771="",'实盘净值数据(iFinD公式)'!$B771=""),"",分期持仓明细!$AD$17*SUMPRODUCT(分期持仓明细!$B$17:$AA$17,'实盘净值数据(iFinD公式)'!$B771:$AA771/'实盘净值数据(iFinD公式)'!$B$20:$AA$20)*(1-实盘持仓初始配置!$Z$4)^(('实盘净值数据(iFinD公式)'!$A771-'实盘净值数据(iFinD公式)'!$A$6)/365))</x:f>
        <x:v>#NAME?</x:v>
      </x:c>
      <x:c r="C771" s="152" t="e">
        <x:f>IF(OR(B770="",B771=""),"",B771/B770-1)</x:f>
        <x:v>#NAME?</x:v>
      </x:c>
      <x:c r="D771" s="152" t="e">
        <x:f>IF(B771="","",B771/MAX(B$5:B771)-1)</x:f>
        <x:v>#NAME?</x:v>
      </x:c>
      <x:c r="E771" s="146" t="e">
        <x:f>IF(OR('实盘净值数据(iFinD公式)'!$A771="",'实盘净值数据(iFinD公式)'!$B771=""),"",分期持仓明细!$AD$18*SUMPRODUCT(分期持仓明细!$B$18:$AA$18,'实盘净值数据(iFinD公式)'!$B771:$AA771/'实盘净值数据(iFinD公式)'!$B$20:$AA$20)*(1-实盘持仓初始配置!$Z$5)^(('实盘净值数据(iFinD公式)'!$A771-'实盘净值数据(iFinD公式)'!$A$5)/365))</x:f>
        <x:v>#NAME?</x:v>
      </x:c>
      <x:c r="F771" s="152" t="e">
        <x:f>IF(OR(E770="",E771=""),"",E771/E770-1)</x:f>
        <x:v>#NAME?</x:v>
      </x:c>
      <x:c r="G771" s="152" t="e">
        <x:f>IF(E771="","",E771/MAX(E$5:E771)-1)</x:f>
        <x:v>#NAME?</x:v>
      </x:c>
      <x:c r="H771" s="146" t="e">
        <x:f>IF(OR('实盘净值数据(iFinD公式)'!$A771="",'实盘净值数据(iFinD公式)'!$B771=""),"",分期持仓明细!$AD$19*SUMPRODUCT(分期持仓明细!$B$19:$AA$19,'实盘净值数据(iFinD公式)'!$B771:$AA771/'实盘净值数据(iFinD公式)'!$B$20:$AA$20)*(1-实盘持仓初始配置!$Z$6)^(('实盘净值数据(iFinD公式)'!$A771-'实盘净值数据(iFinD公式)'!$A$7)/365))</x:f>
        <x:v>#NAME?</x:v>
      </x:c>
      <x:c r="I771" s="152" t="e">
        <x:f>IF(OR(H770="",H771=""),"",H771/H770-1)</x:f>
        <x:v>#NAME?</x:v>
      </x:c>
      <x:c r="J771" s="152" t="e">
        <x:f>IF(H771="","",H771/MAX(H$5:H771)-1)</x:f>
        <x:v>#NAME?</x:v>
      </x:c>
      <x:c r="K771" s="146" t="e">
        <x:f>IF(OR('实盘净值数据(iFinD公式)'!$A771="",'实盘净值数据(iFinD公式)'!$B771=""),"",分期持仓明细!$AD$23*SUMPRODUCT(分期持仓明细!$B$23:$AA$23,'实盘净值数据(iFinD公式)'!$B771:$AA771/'实盘净值数据(iFinD公式)'!$B$65:$AA$65)*(1-实盘持仓初始配置!$Z$7)^(('实盘净值数据(iFinD公式)'!$A771-'实盘净值数据(iFinD公式)'!$A$8)/365))</x:f>
        <x:v>#NAME?</x:v>
      </x:c>
      <x:c r="L771" s="152" t="e">
        <x:f>IF(OR(K770="",K771=""),"",K771/K770-1)</x:f>
        <x:v>#NAME?</x:v>
      </x:c>
      <x:c r="M771" s="152" t="e">
        <x:f>IF(K771="","",K771/MAX(K$5:K771)-1)</x:f>
        <x:v>#NAME?</x:v>
      </x:c>
      <x:c r="N771" s="146" t="e">
        <x:f>IF(OR('实盘净值数据(iFinD公式)'!$A771="",'实盘净值数据(iFinD公式)'!$B771=""),"",分期持仓明细!$AD$24*SUMPRODUCT(分期持仓明细!$B$24:$AA$24,'实盘净值数据(iFinD公式)'!$B771:$AA771/'实盘净值数据(iFinD公式)'!$B$65:$AA$65)*(1-实盘持仓初始配置!$Z$8)^(('实盘净值数据(iFinD公式)'!$A771-'实盘净值数据(iFinD公式)'!$A$5)/365))</x:f>
        <x:v>#NAME?</x:v>
      </x:c>
      <x:c r="O771" s="152" t="e">
        <x:f>IF(OR(N770="",N771=""),"",N771/N770-1)</x:f>
        <x:v>#NAME?</x:v>
      </x:c>
      <x:c r="P771" s="152" t="e">
        <x:f>IF(N771="","",N771/MAX(N$5:N771)-1)</x:f>
        <x:v>#NAME?</x:v>
      </x:c>
      <x:c r="Q771" s="146" t="e">
        <x:f>IF(OR('实盘净值数据(iFinD公式)'!$A771="",'实盘净值数据(iFinD公式)'!$B771=""),"",分期持仓明细!$AD$25*SUMPRODUCT(分期持仓明细!$B$25:$AA$25,'实盘净值数据(iFinD公式)'!$B771:$AA771/'实盘净值数据(iFinD公式)'!$B$65:$AA$65)*(1-实盘持仓初始配置!$Z$9)^(('实盘净值数据(iFinD公式)'!$A771-'实盘净值数据(iFinD公式)'!$A$8)/365))</x:f>
        <x:v>#NAME?</x:v>
      </x:c>
      <x:c r="R771" s="152" t="e">
        <x:f>IF(OR(Q770="",Q771=""),"",Q771/Q770-1)</x:f>
        <x:v>#NAME?</x:v>
      </x:c>
      <x:c r="S771" s="152" t="e">
        <x:f>IF(Q771="","",Q771/MAX(Q$5:Q771)-1)</x:f>
        <x:v>#NAME?</x:v>
      </x:c>
    </x:row>
    <x:row r="772">
      <x:c r="A772" s="149" t="str">
        <x:f>IF('实盘净值数据(iFinD公式)'!A772="","",'实盘净值数据(iFinD公式)'!A772)</x:f>
      </x:c>
      <x:c r="B772" s="146" t="e">
        <x:f>IF(OR('实盘净值数据(iFinD公式)'!$A772="",'实盘净值数据(iFinD公式)'!$B772=""),"",分期持仓明细!$AD$17*SUMPRODUCT(分期持仓明细!$B$17:$AA$17,'实盘净值数据(iFinD公式)'!$B772:$AA772/'实盘净值数据(iFinD公式)'!$B$20:$AA$20)*(1-实盘持仓初始配置!$Z$4)^(('实盘净值数据(iFinD公式)'!$A772-'实盘净值数据(iFinD公式)'!$A$6)/365))</x:f>
        <x:v>#NAME?</x:v>
      </x:c>
      <x:c r="C772" s="152" t="e">
        <x:f>IF(OR(B771="",B772=""),"",B772/B771-1)</x:f>
        <x:v>#NAME?</x:v>
      </x:c>
      <x:c r="D772" s="152" t="e">
        <x:f>IF(B772="","",B772/MAX(B$5:B772)-1)</x:f>
        <x:v>#NAME?</x:v>
      </x:c>
      <x:c r="E772" s="146" t="e">
        <x:f>IF(OR('实盘净值数据(iFinD公式)'!$A772="",'实盘净值数据(iFinD公式)'!$B772=""),"",分期持仓明细!$AD$18*SUMPRODUCT(分期持仓明细!$B$18:$AA$18,'实盘净值数据(iFinD公式)'!$B772:$AA772/'实盘净值数据(iFinD公式)'!$B$20:$AA$20)*(1-实盘持仓初始配置!$Z$5)^(('实盘净值数据(iFinD公式)'!$A772-'实盘净值数据(iFinD公式)'!$A$5)/365))</x:f>
        <x:v>#NAME?</x:v>
      </x:c>
      <x:c r="F772" s="152" t="e">
        <x:f>IF(OR(E771="",E772=""),"",E772/E771-1)</x:f>
        <x:v>#NAME?</x:v>
      </x:c>
      <x:c r="G772" s="152" t="e">
        <x:f>IF(E772="","",E772/MAX(E$5:E772)-1)</x:f>
        <x:v>#NAME?</x:v>
      </x:c>
      <x:c r="H772" s="146" t="e">
        <x:f>IF(OR('实盘净值数据(iFinD公式)'!$A772="",'实盘净值数据(iFinD公式)'!$B772=""),"",分期持仓明细!$AD$19*SUMPRODUCT(分期持仓明细!$B$19:$AA$19,'实盘净值数据(iFinD公式)'!$B772:$AA772/'实盘净值数据(iFinD公式)'!$B$20:$AA$20)*(1-实盘持仓初始配置!$Z$6)^(('实盘净值数据(iFinD公式)'!$A772-'实盘净值数据(iFinD公式)'!$A$7)/365))</x:f>
        <x:v>#NAME?</x:v>
      </x:c>
      <x:c r="I772" s="152" t="e">
        <x:f>IF(OR(H771="",H772=""),"",H772/H771-1)</x:f>
        <x:v>#NAME?</x:v>
      </x:c>
      <x:c r="J772" s="152" t="e">
        <x:f>IF(H772="","",H772/MAX(H$5:H772)-1)</x:f>
        <x:v>#NAME?</x:v>
      </x:c>
      <x:c r="K772" s="146" t="e">
        <x:f>IF(OR('实盘净值数据(iFinD公式)'!$A772="",'实盘净值数据(iFinD公式)'!$B772=""),"",分期持仓明细!$AD$23*SUMPRODUCT(分期持仓明细!$B$23:$AA$23,'实盘净值数据(iFinD公式)'!$B772:$AA772/'实盘净值数据(iFinD公式)'!$B$65:$AA$65)*(1-实盘持仓初始配置!$Z$7)^(('实盘净值数据(iFinD公式)'!$A772-'实盘净值数据(iFinD公式)'!$A$8)/365))</x:f>
        <x:v>#NAME?</x:v>
      </x:c>
      <x:c r="L772" s="152" t="e">
        <x:f>IF(OR(K771="",K772=""),"",K772/K771-1)</x:f>
        <x:v>#NAME?</x:v>
      </x:c>
      <x:c r="M772" s="152" t="e">
        <x:f>IF(K772="","",K772/MAX(K$5:K772)-1)</x:f>
        <x:v>#NAME?</x:v>
      </x:c>
      <x:c r="N772" s="146" t="e">
        <x:f>IF(OR('实盘净值数据(iFinD公式)'!$A772="",'实盘净值数据(iFinD公式)'!$B772=""),"",分期持仓明细!$AD$24*SUMPRODUCT(分期持仓明细!$B$24:$AA$24,'实盘净值数据(iFinD公式)'!$B772:$AA772/'实盘净值数据(iFinD公式)'!$B$65:$AA$65)*(1-实盘持仓初始配置!$Z$8)^(('实盘净值数据(iFinD公式)'!$A772-'实盘净值数据(iFinD公式)'!$A$5)/365))</x:f>
        <x:v>#NAME?</x:v>
      </x:c>
      <x:c r="O772" s="152" t="e">
        <x:f>IF(OR(N771="",N772=""),"",N772/N771-1)</x:f>
        <x:v>#NAME?</x:v>
      </x:c>
      <x:c r="P772" s="152" t="e">
        <x:f>IF(N772="","",N772/MAX(N$5:N772)-1)</x:f>
        <x:v>#NAME?</x:v>
      </x:c>
      <x:c r="Q772" s="146" t="e">
        <x:f>IF(OR('实盘净值数据(iFinD公式)'!$A772="",'实盘净值数据(iFinD公式)'!$B772=""),"",分期持仓明细!$AD$25*SUMPRODUCT(分期持仓明细!$B$25:$AA$25,'实盘净值数据(iFinD公式)'!$B772:$AA772/'实盘净值数据(iFinD公式)'!$B$65:$AA$65)*(1-实盘持仓初始配置!$Z$9)^(('实盘净值数据(iFinD公式)'!$A772-'实盘净值数据(iFinD公式)'!$A$8)/365))</x:f>
        <x:v>#NAME?</x:v>
      </x:c>
      <x:c r="R772" s="152" t="e">
        <x:f>IF(OR(Q771="",Q772=""),"",Q772/Q771-1)</x:f>
        <x:v>#NAME?</x:v>
      </x:c>
      <x:c r="S772" s="152" t="e">
        <x:f>IF(Q772="","",Q772/MAX(Q$5:Q772)-1)</x:f>
        <x:v>#NAME?</x:v>
      </x:c>
    </x:row>
    <x:row r="773">
      <x:c r="A773" s="149" t="str">
        <x:f>IF('实盘净值数据(iFinD公式)'!A773="","",'实盘净值数据(iFinD公式)'!A773)</x:f>
      </x:c>
      <x:c r="B773" s="146" t="e">
        <x:f>IF(OR('实盘净值数据(iFinD公式)'!$A773="",'实盘净值数据(iFinD公式)'!$B773=""),"",分期持仓明细!$AD$17*SUMPRODUCT(分期持仓明细!$B$17:$AA$17,'实盘净值数据(iFinD公式)'!$B773:$AA773/'实盘净值数据(iFinD公式)'!$B$20:$AA$20)*(1-实盘持仓初始配置!$Z$4)^(('实盘净值数据(iFinD公式)'!$A773-'实盘净值数据(iFinD公式)'!$A$6)/365))</x:f>
        <x:v>#NAME?</x:v>
      </x:c>
      <x:c r="C773" s="152" t="e">
        <x:f>IF(OR(B772="",B773=""),"",B773/B772-1)</x:f>
        <x:v>#NAME?</x:v>
      </x:c>
      <x:c r="D773" s="152" t="e">
        <x:f>IF(B773="","",B773/MAX(B$5:B773)-1)</x:f>
        <x:v>#NAME?</x:v>
      </x:c>
      <x:c r="E773" s="146" t="e">
        <x:f>IF(OR('实盘净值数据(iFinD公式)'!$A773="",'实盘净值数据(iFinD公式)'!$B773=""),"",分期持仓明细!$AD$18*SUMPRODUCT(分期持仓明细!$B$18:$AA$18,'实盘净值数据(iFinD公式)'!$B773:$AA773/'实盘净值数据(iFinD公式)'!$B$20:$AA$20)*(1-实盘持仓初始配置!$Z$5)^(('实盘净值数据(iFinD公式)'!$A773-'实盘净值数据(iFinD公式)'!$A$5)/365))</x:f>
        <x:v>#NAME?</x:v>
      </x:c>
      <x:c r="F773" s="152" t="e">
        <x:f>IF(OR(E772="",E773=""),"",E773/E772-1)</x:f>
        <x:v>#NAME?</x:v>
      </x:c>
      <x:c r="G773" s="152" t="e">
        <x:f>IF(E773="","",E773/MAX(E$5:E773)-1)</x:f>
        <x:v>#NAME?</x:v>
      </x:c>
      <x:c r="H773" s="146" t="e">
        <x:f>IF(OR('实盘净值数据(iFinD公式)'!$A773="",'实盘净值数据(iFinD公式)'!$B773=""),"",分期持仓明细!$AD$19*SUMPRODUCT(分期持仓明细!$B$19:$AA$19,'实盘净值数据(iFinD公式)'!$B773:$AA773/'实盘净值数据(iFinD公式)'!$B$20:$AA$20)*(1-实盘持仓初始配置!$Z$6)^(('实盘净值数据(iFinD公式)'!$A773-'实盘净值数据(iFinD公式)'!$A$7)/365))</x:f>
        <x:v>#NAME?</x:v>
      </x:c>
      <x:c r="I773" s="152" t="e">
        <x:f>IF(OR(H772="",H773=""),"",H773/H772-1)</x:f>
        <x:v>#NAME?</x:v>
      </x:c>
      <x:c r="J773" s="152" t="e">
        <x:f>IF(H773="","",H773/MAX(H$5:H773)-1)</x:f>
        <x:v>#NAME?</x:v>
      </x:c>
      <x:c r="K773" s="146" t="e">
        <x:f>IF(OR('实盘净值数据(iFinD公式)'!$A773="",'实盘净值数据(iFinD公式)'!$B773=""),"",分期持仓明细!$AD$23*SUMPRODUCT(分期持仓明细!$B$23:$AA$23,'实盘净值数据(iFinD公式)'!$B773:$AA773/'实盘净值数据(iFinD公式)'!$B$65:$AA$65)*(1-实盘持仓初始配置!$Z$7)^(('实盘净值数据(iFinD公式)'!$A773-'实盘净值数据(iFinD公式)'!$A$8)/365))</x:f>
        <x:v>#NAME?</x:v>
      </x:c>
      <x:c r="L773" s="152" t="e">
        <x:f>IF(OR(K772="",K773=""),"",K773/K772-1)</x:f>
        <x:v>#NAME?</x:v>
      </x:c>
      <x:c r="M773" s="152" t="e">
        <x:f>IF(K773="","",K773/MAX(K$5:K773)-1)</x:f>
        <x:v>#NAME?</x:v>
      </x:c>
      <x:c r="N773" s="146" t="e">
        <x:f>IF(OR('实盘净值数据(iFinD公式)'!$A773="",'实盘净值数据(iFinD公式)'!$B773=""),"",分期持仓明细!$AD$24*SUMPRODUCT(分期持仓明细!$B$24:$AA$24,'实盘净值数据(iFinD公式)'!$B773:$AA773/'实盘净值数据(iFinD公式)'!$B$65:$AA$65)*(1-实盘持仓初始配置!$Z$8)^(('实盘净值数据(iFinD公式)'!$A773-'实盘净值数据(iFinD公式)'!$A$5)/365))</x:f>
        <x:v>#NAME?</x:v>
      </x:c>
      <x:c r="O773" s="152" t="e">
        <x:f>IF(OR(N772="",N773=""),"",N773/N772-1)</x:f>
        <x:v>#NAME?</x:v>
      </x:c>
      <x:c r="P773" s="152" t="e">
        <x:f>IF(N773="","",N773/MAX(N$5:N773)-1)</x:f>
        <x:v>#NAME?</x:v>
      </x:c>
      <x:c r="Q773" s="146" t="e">
        <x:f>IF(OR('实盘净值数据(iFinD公式)'!$A773="",'实盘净值数据(iFinD公式)'!$B773=""),"",分期持仓明细!$AD$25*SUMPRODUCT(分期持仓明细!$B$25:$AA$25,'实盘净值数据(iFinD公式)'!$B773:$AA773/'实盘净值数据(iFinD公式)'!$B$65:$AA$65)*(1-实盘持仓初始配置!$Z$9)^(('实盘净值数据(iFinD公式)'!$A773-'实盘净值数据(iFinD公式)'!$A$8)/365))</x:f>
        <x:v>#NAME?</x:v>
      </x:c>
      <x:c r="R773" s="152" t="e">
        <x:f>IF(OR(Q772="",Q773=""),"",Q773/Q772-1)</x:f>
        <x:v>#NAME?</x:v>
      </x:c>
      <x:c r="S773" s="152" t="e">
        <x:f>IF(Q773="","",Q773/MAX(Q$5:Q773)-1)</x:f>
        <x:v>#NAME?</x:v>
      </x:c>
    </x:row>
    <x:row r="774">
      <x:c r="A774" s="149" t="str">
        <x:f>IF('实盘净值数据(iFinD公式)'!A774="","",'实盘净值数据(iFinD公式)'!A774)</x:f>
      </x:c>
      <x:c r="B774" s="146" t="e">
        <x:f>IF(OR('实盘净值数据(iFinD公式)'!$A774="",'实盘净值数据(iFinD公式)'!$B774=""),"",分期持仓明细!$AD$17*SUMPRODUCT(分期持仓明细!$B$17:$AA$17,'实盘净值数据(iFinD公式)'!$B774:$AA774/'实盘净值数据(iFinD公式)'!$B$20:$AA$20)*(1-实盘持仓初始配置!$Z$4)^(('实盘净值数据(iFinD公式)'!$A774-'实盘净值数据(iFinD公式)'!$A$6)/365))</x:f>
        <x:v>#NAME?</x:v>
      </x:c>
      <x:c r="C774" s="152" t="e">
        <x:f>IF(OR(B773="",B774=""),"",B774/B773-1)</x:f>
        <x:v>#NAME?</x:v>
      </x:c>
      <x:c r="D774" s="152" t="e">
        <x:f>IF(B774="","",B774/MAX(B$5:B774)-1)</x:f>
        <x:v>#NAME?</x:v>
      </x:c>
      <x:c r="E774" s="146" t="e">
        <x:f>IF(OR('实盘净值数据(iFinD公式)'!$A774="",'实盘净值数据(iFinD公式)'!$B774=""),"",分期持仓明细!$AD$18*SUMPRODUCT(分期持仓明细!$B$18:$AA$18,'实盘净值数据(iFinD公式)'!$B774:$AA774/'实盘净值数据(iFinD公式)'!$B$20:$AA$20)*(1-实盘持仓初始配置!$Z$5)^(('实盘净值数据(iFinD公式)'!$A774-'实盘净值数据(iFinD公式)'!$A$5)/365))</x:f>
        <x:v>#NAME?</x:v>
      </x:c>
      <x:c r="F774" s="152" t="e">
        <x:f>IF(OR(E773="",E774=""),"",E774/E773-1)</x:f>
        <x:v>#NAME?</x:v>
      </x:c>
      <x:c r="G774" s="152" t="e">
        <x:f>IF(E774="","",E774/MAX(E$5:E774)-1)</x:f>
        <x:v>#NAME?</x:v>
      </x:c>
      <x:c r="H774" s="146" t="e">
        <x:f>IF(OR('实盘净值数据(iFinD公式)'!$A774="",'实盘净值数据(iFinD公式)'!$B774=""),"",分期持仓明细!$AD$19*SUMPRODUCT(分期持仓明细!$B$19:$AA$19,'实盘净值数据(iFinD公式)'!$B774:$AA774/'实盘净值数据(iFinD公式)'!$B$20:$AA$20)*(1-实盘持仓初始配置!$Z$6)^(('实盘净值数据(iFinD公式)'!$A774-'实盘净值数据(iFinD公式)'!$A$7)/365))</x:f>
        <x:v>#NAME?</x:v>
      </x:c>
      <x:c r="I774" s="152" t="e">
        <x:f>IF(OR(H773="",H774=""),"",H774/H773-1)</x:f>
        <x:v>#NAME?</x:v>
      </x:c>
      <x:c r="J774" s="152" t="e">
        <x:f>IF(H774="","",H774/MAX(H$5:H774)-1)</x:f>
        <x:v>#NAME?</x:v>
      </x:c>
      <x:c r="K774" s="146" t="e">
        <x:f>IF(OR('实盘净值数据(iFinD公式)'!$A774="",'实盘净值数据(iFinD公式)'!$B774=""),"",分期持仓明细!$AD$23*SUMPRODUCT(分期持仓明细!$B$23:$AA$23,'实盘净值数据(iFinD公式)'!$B774:$AA774/'实盘净值数据(iFinD公式)'!$B$65:$AA$65)*(1-实盘持仓初始配置!$Z$7)^(('实盘净值数据(iFinD公式)'!$A774-'实盘净值数据(iFinD公式)'!$A$8)/365))</x:f>
        <x:v>#NAME?</x:v>
      </x:c>
      <x:c r="L774" s="152" t="e">
        <x:f>IF(OR(K773="",K774=""),"",K774/K773-1)</x:f>
        <x:v>#NAME?</x:v>
      </x:c>
      <x:c r="M774" s="152" t="e">
        <x:f>IF(K774="","",K774/MAX(K$5:K774)-1)</x:f>
        <x:v>#NAME?</x:v>
      </x:c>
      <x:c r="N774" s="146" t="e">
        <x:f>IF(OR('实盘净值数据(iFinD公式)'!$A774="",'实盘净值数据(iFinD公式)'!$B774=""),"",分期持仓明细!$AD$24*SUMPRODUCT(分期持仓明细!$B$24:$AA$24,'实盘净值数据(iFinD公式)'!$B774:$AA774/'实盘净值数据(iFinD公式)'!$B$65:$AA$65)*(1-实盘持仓初始配置!$Z$8)^(('实盘净值数据(iFinD公式)'!$A774-'实盘净值数据(iFinD公式)'!$A$5)/365))</x:f>
        <x:v>#NAME?</x:v>
      </x:c>
      <x:c r="O774" s="152" t="e">
        <x:f>IF(OR(N773="",N774=""),"",N774/N773-1)</x:f>
        <x:v>#NAME?</x:v>
      </x:c>
      <x:c r="P774" s="152" t="e">
        <x:f>IF(N774="","",N774/MAX(N$5:N774)-1)</x:f>
        <x:v>#NAME?</x:v>
      </x:c>
      <x:c r="Q774" s="146" t="e">
        <x:f>IF(OR('实盘净值数据(iFinD公式)'!$A774="",'实盘净值数据(iFinD公式)'!$B774=""),"",分期持仓明细!$AD$25*SUMPRODUCT(分期持仓明细!$B$25:$AA$25,'实盘净值数据(iFinD公式)'!$B774:$AA774/'实盘净值数据(iFinD公式)'!$B$65:$AA$65)*(1-实盘持仓初始配置!$Z$9)^(('实盘净值数据(iFinD公式)'!$A774-'实盘净值数据(iFinD公式)'!$A$8)/365))</x:f>
        <x:v>#NAME?</x:v>
      </x:c>
      <x:c r="R774" s="152" t="e">
        <x:f>IF(OR(Q773="",Q774=""),"",Q774/Q773-1)</x:f>
        <x:v>#NAME?</x:v>
      </x:c>
      <x:c r="S774" s="152" t="e">
        <x:f>IF(Q774="","",Q774/MAX(Q$5:Q774)-1)</x:f>
        <x:v>#NAME?</x:v>
      </x:c>
    </x:row>
    <x:row r="775">
      <x:c r="A775" s="149" t="str">
        <x:f>IF('实盘净值数据(iFinD公式)'!A775="","",'实盘净值数据(iFinD公式)'!A775)</x:f>
      </x:c>
      <x:c r="B775" s="146" t="e">
        <x:f>IF(OR('实盘净值数据(iFinD公式)'!$A775="",'实盘净值数据(iFinD公式)'!$B775=""),"",分期持仓明细!$AD$17*SUMPRODUCT(分期持仓明细!$B$17:$AA$17,'实盘净值数据(iFinD公式)'!$B775:$AA775/'实盘净值数据(iFinD公式)'!$B$20:$AA$20)*(1-实盘持仓初始配置!$Z$4)^(('实盘净值数据(iFinD公式)'!$A775-'实盘净值数据(iFinD公式)'!$A$6)/365))</x:f>
        <x:v>#NAME?</x:v>
      </x:c>
      <x:c r="C775" s="152" t="e">
        <x:f>IF(OR(B774="",B775=""),"",B775/B774-1)</x:f>
        <x:v>#NAME?</x:v>
      </x:c>
      <x:c r="D775" s="152" t="e">
        <x:f>IF(B775="","",B775/MAX(B$5:B775)-1)</x:f>
        <x:v>#NAME?</x:v>
      </x:c>
      <x:c r="E775" s="146" t="e">
        <x:f>IF(OR('实盘净值数据(iFinD公式)'!$A775="",'实盘净值数据(iFinD公式)'!$B775=""),"",分期持仓明细!$AD$18*SUMPRODUCT(分期持仓明细!$B$18:$AA$18,'实盘净值数据(iFinD公式)'!$B775:$AA775/'实盘净值数据(iFinD公式)'!$B$20:$AA$20)*(1-实盘持仓初始配置!$Z$5)^(('实盘净值数据(iFinD公式)'!$A775-'实盘净值数据(iFinD公式)'!$A$5)/365))</x:f>
        <x:v>#NAME?</x:v>
      </x:c>
      <x:c r="F775" s="152" t="e">
        <x:f>IF(OR(E774="",E775=""),"",E775/E774-1)</x:f>
        <x:v>#NAME?</x:v>
      </x:c>
      <x:c r="G775" s="152" t="e">
        <x:f>IF(E775="","",E775/MAX(E$5:E775)-1)</x:f>
        <x:v>#NAME?</x:v>
      </x:c>
      <x:c r="H775" s="146" t="e">
        <x:f>IF(OR('实盘净值数据(iFinD公式)'!$A775="",'实盘净值数据(iFinD公式)'!$B775=""),"",分期持仓明细!$AD$19*SUMPRODUCT(分期持仓明细!$B$19:$AA$19,'实盘净值数据(iFinD公式)'!$B775:$AA775/'实盘净值数据(iFinD公式)'!$B$20:$AA$20)*(1-实盘持仓初始配置!$Z$6)^(('实盘净值数据(iFinD公式)'!$A775-'实盘净值数据(iFinD公式)'!$A$7)/365))</x:f>
        <x:v>#NAME?</x:v>
      </x:c>
      <x:c r="I775" s="152" t="e">
        <x:f>IF(OR(H774="",H775=""),"",H775/H774-1)</x:f>
        <x:v>#NAME?</x:v>
      </x:c>
      <x:c r="J775" s="152" t="e">
        <x:f>IF(H775="","",H775/MAX(H$5:H775)-1)</x:f>
        <x:v>#NAME?</x:v>
      </x:c>
      <x:c r="K775" s="146" t="e">
        <x:f>IF(OR('实盘净值数据(iFinD公式)'!$A775="",'实盘净值数据(iFinD公式)'!$B775=""),"",分期持仓明细!$AD$23*SUMPRODUCT(分期持仓明细!$B$23:$AA$23,'实盘净值数据(iFinD公式)'!$B775:$AA775/'实盘净值数据(iFinD公式)'!$B$65:$AA$65)*(1-实盘持仓初始配置!$Z$7)^(('实盘净值数据(iFinD公式)'!$A775-'实盘净值数据(iFinD公式)'!$A$8)/365))</x:f>
        <x:v>#NAME?</x:v>
      </x:c>
      <x:c r="L775" s="152" t="e">
        <x:f>IF(OR(K774="",K775=""),"",K775/K774-1)</x:f>
        <x:v>#NAME?</x:v>
      </x:c>
      <x:c r="M775" s="152" t="e">
        <x:f>IF(K775="","",K775/MAX(K$5:K775)-1)</x:f>
        <x:v>#NAME?</x:v>
      </x:c>
      <x:c r="N775" s="146" t="e">
        <x:f>IF(OR('实盘净值数据(iFinD公式)'!$A775="",'实盘净值数据(iFinD公式)'!$B775=""),"",分期持仓明细!$AD$24*SUMPRODUCT(分期持仓明细!$B$24:$AA$24,'实盘净值数据(iFinD公式)'!$B775:$AA775/'实盘净值数据(iFinD公式)'!$B$65:$AA$65)*(1-实盘持仓初始配置!$Z$8)^(('实盘净值数据(iFinD公式)'!$A775-'实盘净值数据(iFinD公式)'!$A$5)/365))</x:f>
        <x:v>#NAME?</x:v>
      </x:c>
      <x:c r="O775" s="152" t="e">
        <x:f>IF(OR(N774="",N775=""),"",N775/N774-1)</x:f>
        <x:v>#NAME?</x:v>
      </x:c>
      <x:c r="P775" s="152" t="e">
        <x:f>IF(N775="","",N775/MAX(N$5:N775)-1)</x:f>
        <x:v>#NAME?</x:v>
      </x:c>
      <x:c r="Q775" s="146" t="e">
        <x:f>IF(OR('实盘净值数据(iFinD公式)'!$A775="",'实盘净值数据(iFinD公式)'!$B775=""),"",分期持仓明细!$AD$25*SUMPRODUCT(分期持仓明细!$B$25:$AA$25,'实盘净值数据(iFinD公式)'!$B775:$AA775/'实盘净值数据(iFinD公式)'!$B$65:$AA$65)*(1-实盘持仓初始配置!$Z$9)^(('实盘净值数据(iFinD公式)'!$A775-'实盘净值数据(iFinD公式)'!$A$8)/365))</x:f>
        <x:v>#NAME?</x:v>
      </x:c>
      <x:c r="R775" s="152" t="e">
        <x:f>IF(OR(Q774="",Q775=""),"",Q775/Q774-1)</x:f>
        <x:v>#NAME?</x:v>
      </x:c>
      <x:c r="S775" s="152" t="e">
        <x:f>IF(Q775="","",Q775/MAX(Q$5:Q775)-1)</x:f>
        <x:v>#NAME?</x:v>
      </x:c>
    </x:row>
    <x:row r="776">
      <x:c r="A776" s="149" t="str">
        <x:f>IF('实盘净值数据(iFinD公式)'!A776="","",'实盘净值数据(iFinD公式)'!A776)</x:f>
      </x:c>
      <x:c r="B776" s="146" t="e">
        <x:f>IF(OR('实盘净值数据(iFinD公式)'!$A776="",'实盘净值数据(iFinD公式)'!$B776=""),"",分期持仓明细!$AD$17*SUMPRODUCT(分期持仓明细!$B$17:$AA$17,'实盘净值数据(iFinD公式)'!$B776:$AA776/'实盘净值数据(iFinD公式)'!$B$20:$AA$20)*(1-实盘持仓初始配置!$Z$4)^(('实盘净值数据(iFinD公式)'!$A776-'实盘净值数据(iFinD公式)'!$A$6)/365))</x:f>
        <x:v>#NAME?</x:v>
      </x:c>
      <x:c r="C776" s="152" t="e">
        <x:f>IF(OR(B775="",B776=""),"",B776/B775-1)</x:f>
        <x:v>#NAME?</x:v>
      </x:c>
      <x:c r="D776" s="152" t="e">
        <x:f>IF(B776="","",B776/MAX(B$5:B776)-1)</x:f>
        <x:v>#NAME?</x:v>
      </x:c>
      <x:c r="E776" s="146" t="e">
        <x:f>IF(OR('实盘净值数据(iFinD公式)'!$A776="",'实盘净值数据(iFinD公式)'!$B776=""),"",分期持仓明细!$AD$18*SUMPRODUCT(分期持仓明细!$B$18:$AA$18,'实盘净值数据(iFinD公式)'!$B776:$AA776/'实盘净值数据(iFinD公式)'!$B$20:$AA$20)*(1-实盘持仓初始配置!$Z$5)^(('实盘净值数据(iFinD公式)'!$A776-'实盘净值数据(iFinD公式)'!$A$5)/365))</x:f>
        <x:v>#NAME?</x:v>
      </x:c>
      <x:c r="F776" s="152" t="e">
        <x:f>IF(OR(E775="",E776=""),"",E776/E775-1)</x:f>
        <x:v>#NAME?</x:v>
      </x:c>
      <x:c r="G776" s="152" t="e">
        <x:f>IF(E776="","",E776/MAX(E$5:E776)-1)</x:f>
        <x:v>#NAME?</x:v>
      </x:c>
      <x:c r="H776" s="146" t="e">
        <x:f>IF(OR('实盘净值数据(iFinD公式)'!$A776="",'实盘净值数据(iFinD公式)'!$B776=""),"",分期持仓明细!$AD$19*SUMPRODUCT(分期持仓明细!$B$19:$AA$19,'实盘净值数据(iFinD公式)'!$B776:$AA776/'实盘净值数据(iFinD公式)'!$B$20:$AA$20)*(1-实盘持仓初始配置!$Z$6)^(('实盘净值数据(iFinD公式)'!$A776-'实盘净值数据(iFinD公式)'!$A$7)/365))</x:f>
        <x:v>#NAME?</x:v>
      </x:c>
      <x:c r="I776" s="152" t="e">
        <x:f>IF(OR(H775="",H776=""),"",H776/H775-1)</x:f>
        <x:v>#NAME?</x:v>
      </x:c>
      <x:c r="J776" s="152" t="e">
        <x:f>IF(H776="","",H776/MAX(H$5:H776)-1)</x:f>
        <x:v>#NAME?</x:v>
      </x:c>
      <x:c r="K776" s="146" t="e">
        <x:f>IF(OR('实盘净值数据(iFinD公式)'!$A776="",'实盘净值数据(iFinD公式)'!$B776=""),"",分期持仓明细!$AD$23*SUMPRODUCT(分期持仓明细!$B$23:$AA$23,'实盘净值数据(iFinD公式)'!$B776:$AA776/'实盘净值数据(iFinD公式)'!$B$65:$AA$65)*(1-实盘持仓初始配置!$Z$7)^(('实盘净值数据(iFinD公式)'!$A776-'实盘净值数据(iFinD公式)'!$A$8)/365))</x:f>
        <x:v>#NAME?</x:v>
      </x:c>
      <x:c r="L776" s="152" t="e">
        <x:f>IF(OR(K775="",K776=""),"",K776/K775-1)</x:f>
        <x:v>#NAME?</x:v>
      </x:c>
      <x:c r="M776" s="152" t="e">
        <x:f>IF(K776="","",K776/MAX(K$5:K776)-1)</x:f>
        <x:v>#NAME?</x:v>
      </x:c>
      <x:c r="N776" s="146" t="e">
        <x:f>IF(OR('实盘净值数据(iFinD公式)'!$A776="",'实盘净值数据(iFinD公式)'!$B776=""),"",分期持仓明细!$AD$24*SUMPRODUCT(分期持仓明细!$B$24:$AA$24,'实盘净值数据(iFinD公式)'!$B776:$AA776/'实盘净值数据(iFinD公式)'!$B$65:$AA$65)*(1-实盘持仓初始配置!$Z$8)^(('实盘净值数据(iFinD公式)'!$A776-'实盘净值数据(iFinD公式)'!$A$5)/365))</x:f>
        <x:v>#NAME?</x:v>
      </x:c>
      <x:c r="O776" s="152" t="e">
        <x:f>IF(OR(N775="",N776=""),"",N776/N775-1)</x:f>
        <x:v>#NAME?</x:v>
      </x:c>
      <x:c r="P776" s="152" t="e">
        <x:f>IF(N776="","",N776/MAX(N$5:N776)-1)</x:f>
        <x:v>#NAME?</x:v>
      </x:c>
      <x:c r="Q776" s="146" t="e">
        <x:f>IF(OR('实盘净值数据(iFinD公式)'!$A776="",'实盘净值数据(iFinD公式)'!$B776=""),"",分期持仓明细!$AD$25*SUMPRODUCT(分期持仓明细!$B$25:$AA$25,'实盘净值数据(iFinD公式)'!$B776:$AA776/'实盘净值数据(iFinD公式)'!$B$65:$AA$65)*(1-实盘持仓初始配置!$Z$9)^(('实盘净值数据(iFinD公式)'!$A776-'实盘净值数据(iFinD公式)'!$A$8)/365))</x:f>
        <x:v>#NAME?</x:v>
      </x:c>
      <x:c r="R776" s="152" t="e">
        <x:f>IF(OR(Q775="",Q776=""),"",Q776/Q775-1)</x:f>
        <x:v>#NAME?</x:v>
      </x:c>
      <x:c r="S776" s="152" t="e">
        <x:f>IF(Q776="","",Q776/MAX(Q$5:Q776)-1)</x:f>
        <x:v>#NAME?</x:v>
      </x:c>
    </x:row>
    <x:row r="777">
      <x:c r="A777" s="149" t="str">
        <x:f>IF('实盘净值数据(iFinD公式)'!A777="","",'实盘净值数据(iFinD公式)'!A777)</x:f>
      </x:c>
      <x:c r="B777" s="146" t="e">
        <x:f>IF(OR('实盘净值数据(iFinD公式)'!$A777="",'实盘净值数据(iFinD公式)'!$B777=""),"",分期持仓明细!$AD$17*SUMPRODUCT(分期持仓明细!$B$17:$AA$17,'实盘净值数据(iFinD公式)'!$B777:$AA777/'实盘净值数据(iFinD公式)'!$B$20:$AA$20)*(1-实盘持仓初始配置!$Z$4)^(('实盘净值数据(iFinD公式)'!$A777-'实盘净值数据(iFinD公式)'!$A$6)/365))</x:f>
        <x:v>#NAME?</x:v>
      </x:c>
      <x:c r="C777" s="152" t="e">
        <x:f>IF(OR(B776="",B777=""),"",B777/B776-1)</x:f>
        <x:v>#NAME?</x:v>
      </x:c>
      <x:c r="D777" s="152" t="e">
        <x:f>IF(B777="","",B777/MAX(B$5:B777)-1)</x:f>
        <x:v>#NAME?</x:v>
      </x:c>
      <x:c r="E777" s="146" t="e">
        <x:f>IF(OR('实盘净值数据(iFinD公式)'!$A777="",'实盘净值数据(iFinD公式)'!$B777=""),"",分期持仓明细!$AD$18*SUMPRODUCT(分期持仓明细!$B$18:$AA$18,'实盘净值数据(iFinD公式)'!$B777:$AA777/'实盘净值数据(iFinD公式)'!$B$20:$AA$20)*(1-实盘持仓初始配置!$Z$5)^(('实盘净值数据(iFinD公式)'!$A777-'实盘净值数据(iFinD公式)'!$A$5)/365))</x:f>
        <x:v>#NAME?</x:v>
      </x:c>
      <x:c r="F777" s="152" t="e">
        <x:f>IF(OR(E776="",E777=""),"",E777/E776-1)</x:f>
        <x:v>#NAME?</x:v>
      </x:c>
      <x:c r="G777" s="152" t="e">
        <x:f>IF(E777="","",E777/MAX(E$5:E777)-1)</x:f>
        <x:v>#NAME?</x:v>
      </x:c>
      <x:c r="H777" s="146" t="e">
        <x:f>IF(OR('实盘净值数据(iFinD公式)'!$A777="",'实盘净值数据(iFinD公式)'!$B777=""),"",分期持仓明细!$AD$19*SUMPRODUCT(分期持仓明细!$B$19:$AA$19,'实盘净值数据(iFinD公式)'!$B777:$AA777/'实盘净值数据(iFinD公式)'!$B$20:$AA$20)*(1-实盘持仓初始配置!$Z$6)^(('实盘净值数据(iFinD公式)'!$A777-'实盘净值数据(iFinD公式)'!$A$7)/365))</x:f>
        <x:v>#NAME?</x:v>
      </x:c>
      <x:c r="I777" s="152" t="e">
        <x:f>IF(OR(H776="",H777=""),"",H777/H776-1)</x:f>
        <x:v>#NAME?</x:v>
      </x:c>
      <x:c r="J777" s="152" t="e">
        <x:f>IF(H777="","",H777/MAX(H$5:H777)-1)</x:f>
        <x:v>#NAME?</x:v>
      </x:c>
      <x:c r="K777" s="146" t="e">
        <x:f>IF(OR('实盘净值数据(iFinD公式)'!$A777="",'实盘净值数据(iFinD公式)'!$B777=""),"",分期持仓明细!$AD$23*SUMPRODUCT(分期持仓明细!$B$23:$AA$23,'实盘净值数据(iFinD公式)'!$B777:$AA777/'实盘净值数据(iFinD公式)'!$B$65:$AA$65)*(1-实盘持仓初始配置!$Z$7)^(('实盘净值数据(iFinD公式)'!$A777-'实盘净值数据(iFinD公式)'!$A$8)/365))</x:f>
        <x:v>#NAME?</x:v>
      </x:c>
      <x:c r="L777" s="152" t="e">
        <x:f>IF(OR(K776="",K777=""),"",K777/K776-1)</x:f>
        <x:v>#NAME?</x:v>
      </x:c>
      <x:c r="M777" s="152" t="e">
        <x:f>IF(K777="","",K777/MAX(K$5:K777)-1)</x:f>
        <x:v>#NAME?</x:v>
      </x:c>
      <x:c r="N777" s="146" t="e">
        <x:f>IF(OR('实盘净值数据(iFinD公式)'!$A777="",'实盘净值数据(iFinD公式)'!$B777=""),"",分期持仓明细!$AD$24*SUMPRODUCT(分期持仓明细!$B$24:$AA$24,'实盘净值数据(iFinD公式)'!$B777:$AA777/'实盘净值数据(iFinD公式)'!$B$65:$AA$65)*(1-实盘持仓初始配置!$Z$8)^(('实盘净值数据(iFinD公式)'!$A777-'实盘净值数据(iFinD公式)'!$A$5)/365))</x:f>
        <x:v>#NAME?</x:v>
      </x:c>
      <x:c r="O777" s="152" t="e">
        <x:f>IF(OR(N776="",N777=""),"",N777/N776-1)</x:f>
        <x:v>#NAME?</x:v>
      </x:c>
      <x:c r="P777" s="152" t="e">
        <x:f>IF(N777="","",N777/MAX(N$5:N777)-1)</x:f>
        <x:v>#NAME?</x:v>
      </x:c>
      <x:c r="Q777" s="146" t="e">
        <x:f>IF(OR('实盘净值数据(iFinD公式)'!$A777="",'实盘净值数据(iFinD公式)'!$B777=""),"",分期持仓明细!$AD$25*SUMPRODUCT(分期持仓明细!$B$25:$AA$25,'实盘净值数据(iFinD公式)'!$B777:$AA777/'实盘净值数据(iFinD公式)'!$B$65:$AA$65)*(1-实盘持仓初始配置!$Z$9)^(('实盘净值数据(iFinD公式)'!$A777-'实盘净值数据(iFinD公式)'!$A$8)/365))</x:f>
        <x:v>#NAME?</x:v>
      </x:c>
      <x:c r="R777" s="152" t="e">
        <x:f>IF(OR(Q776="",Q777=""),"",Q777/Q776-1)</x:f>
        <x:v>#NAME?</x:v>
      </x:c>
      <x:c r="S777" s="152" t="e">
        <x:f>IF(Q777="","",Q777/MAX(Q$5:Q777)-1)</x:f>
        <x:v>#NAME?</x:v>
      </x:c>
    </x:row>
    <x:row r="778">
      <x:c r="A778" s="149" t="str">
        <x:f>IF('实盘净值数据(iFinD公式)'!A778="","",'实盘净值数据(iFinD公式)'!A778)</x:f>
      </x:c>
      <x:c r="B778" s="146" t="e">
        <x:f>IF(OR('实盘净值数据(iFinD公式)'!$A778="",'实盘净值数据(iFinD公式)'!$B778=""),"",分期持仓明细!$AD$17*SUMPRODUCT(分期持仓明细!$B$17:$AA$17,'实盘净值数据(iFinD公式)'!$B778:$AA778/'实盘净值数据(iFinD公式)'!$B$20:$AA$20)*(1-实盘持仓初始配置!$Z$4)^(('实盘净值数据(iFinD公式)'!$A778-'实盘净值数据(iFinD公式)'!$A$6)/365))</x:f>
        <x:v>#NAME?</x:v>
      </x:c>
      <x:c r="C778" s="152" t="e">
        <x:f>IF(OR(B777="",B778=""),"",B778/B777-1)</x:f>
        <x:v>#NAME?</x:v>
      </x:c>
      <x:c r="D778" s="152" t="e">
        <x:f>IF(B778="","",B778/MAX(B$5:B778)-1)</x:f>
        <x:v>#NAME?</x:v>
      </x:c>
      <x:c r="E778" s="146" t="e">
        <x:f>IF(OR('实盘净值数据(iFinD公式)'!$A778="",'实盘净值数据(iFinD公式)'!$B778=""),"",分期持仓明细!$AD$18*SUMPRODUCT(分期持仓明细!$B$18:$AA$18,'实盘净值数据(iFinD公式)'!$B778:$AA778/'实盘净值数据(iFinD公式)'!$B$20:$AA$20)*(1-实盘持仓初始配置!$Z$5)^(('实盘净值数据(iFinD公式)'!$A778-'实盘净值数据(iFinD公式)'!$A$5)/365))</x:f>
        <x:v>#NAME?</x:v>
      </x:c>
      <x:c r="F778" s="152" t="e">
        <x:f>IF(OR(E777="",E778=""),"",E778/E777-1)</x:f>
        <x:v>#NAME?</x:v>
      </x:c>
      <x:c r="G778" s="152" t="e">
        <x:f>IF(E778="","",E778/MAX(E$5:E778)-1)</x:f>
        <x:v>#NAME?</x:v>
      </x:c>
      <x:c r="H778" s="146" t="e">
        <x:f>IF(OR('实盘净值数据(iFinD公式)'!$A778="",'实盘净值数据(iFinD公式)'!$B778=""),"",分期持仓明细!$AD$19*SUMPRODUCT(分期持仓明细!$B$19:$AA$19,'实盘净值数据(iFinD公式)'!$B778:$AA778/'实盘净值数据(iFinD公式)'!$B$20:$AA$20)*(1-实盘持仓初始配置!$Z$6)^(('实盘净值数据(iFinD公式)'!$A778-'实盘净值数据(iFinD公式)'!$A$7)/365))</x:f>
        <x:v>#NAME?</x:v>
      </x:c>
      <x:c r="I778" s="152" t="e">
        <x:f>IF(OR(H777="",H778=""),"",H778/H777-1)</x:f>
        <x:v>#NAME?</x:v>
      </x:c>
      <x:c r="J778" s="152" t="e">
        <x:f>IF(H778="","",H778/MAX(H$5:H778)-1)</x:f>
        <x:v>#NAME?</x:v>
      </x:c>
      <x:c r="K778" s="146" t="e">
        <x:f>IF(OR('实盘净值数据(iFinD公式)'!$A778="",'实盘净值数据(iFinD公式)'!$B778=""),"",分期持仓明细!$AD$23*SUMPRODUCT(分期持仓明细!$B$23:$AA$23,'实盘净值数据(iFinD公式)'!$B778:$AA778/'实盘净值数据(iFinD公式)'!$B$65:$AA$65)*(1-实盘持仓初始配置!$Z$7)^(('实盘净值数据(iFinD公式)'!$A778-'实盘净值数据(iFinD公式)'!$A$8)/365))</x:f>
        <x:v>#NAME?</x:v>
      </x:c>
      <x:c r="L778" s="152" t="e">
        <x:f>IF(OR(K777="",K778=""),"",K778/K777-1)</x:f>
        <x:v>#NAME?</x:v>
      </x:c>
      <x:c r="M778" s="152" t="e">
        <x:f>IF(K778="","",K778/MAX(K$5:K778)-1)</x:f>
        <x:v>#NAME?</x:v>
      </x:c>
      <x:c r="N778" s="146" t="e">
        <x:f>IF(OR('实盘净值数据(iFinD公式)'!$A778="",'实盘净值数据(iFinD公式)'!$B778=""),"",分期持仓明细!$AD$24*SUMPRODUCT(分期持仓明细!$B$24:$AA$24,'实盘净值数据(iFinD公式)'!$B778:$AA778/'实盘净值数据(iFinD公式)'!$B$65:$AA$65)*(1-实盘持仓初始配置!$Z$8)^(('实盘净值数据(iFinD公式)'!$A778-'实盘净值数据(iFinD公式)'!$A$5)/365))</x:f>
        <x:v>#NAME?</x:v>
      </x:c>
      <x:c r="O778" s="152" t="e">
        <x:f>IF(OR(N777="",N778=""),"",N778/N777-1)</x:f>
        <x:v>#NAME?</x:v>
      </x:c>
      <x:c r="P778" s="152" t="e">
        <x:f>IF(N778="","",N778/MAX(N$5:N778)-1)</x:f>
        <x:v>#NAME?</x:v>
      </x:c>
      <x:c r="Q778" s="146" t="e">
        <x:f>IF(OR('实盘净值数据(iFinD公式)'!$A778="",'实盘净值数据(iFinD公式)'!$B778=""),"",分期持仓明细!$AD$25*SUMPRODUCT(分期持仓明细!$B$25:$AA$25,'实盘净值数据(iFinD公式)'!$B778:$AA778/'实盘净值数据(iFinD公式)'!$B$65:$AA$65)*(1-实盘持仓初始配置!$Z$9)^(('实盘净值数据(iFinD公式)'!$A778-'实盘净值数据(iFinD公式)'!$A$8)/365))</x:f>
        <x:v>#NAME?</x:v>
      </x:c>
      <x:c r="R778" s="152" t="e">
        <x:f>IF(OR(Q777="",Q778=""),"",Q778/Q777-1)</x:f>
        <x:v>#NAME?</x:v>
      </x:c>
      <x:c r="S778" s="152" t="e">
        <x:f>IF(Q778="","",Q778/MAX(Q$5:Q778)-1)</x:f>
        <x:v>#NAME?</x:v>
      </x:c>
    </x:row>
    <x:row r="779">
      <x:c r="A779" s="149" t="str">
        <x:f>IF('实盘净值数据(iFinD公式)'!A779="","",'实盘净值数据(iFinD公式)'!A779)</x:f>
      </x:c>
      <x:c r="B779" s="146" t="e">
        <x:f>IF(OR('实盘净值数据(iFinD公式)'!$A779="",'实盘净值数据(iFinD公式)'!$B779=""),"",分期持仓明细!$AD$17*SUMPRODUCT(分期持仓明细!$B$17:$AA$17,'实盘净值数据(iFinD公式)'!$B779:$AA779/'实盘净值数据(iFinD公式)'!$B$20:$AA$20)*(1-实盘持仓初始配置!$Z$4)^(('实盘净值数据(iFinD公式)'!$A779-'实盘净值数据(iFinD公式)'!$A$6)/365))</x:f>
        <x:v>#NAME?</x:v>
      </x:c>
      <x:c r="C779" s="152" t="e">
        <x:f>IF(OR(B778="",B779=""),"",B779/B778-1)</x:f>
        <x:v>#NAME?</x:v>
      </x:c>
      <x:c r="D779" s="152" t="e">
        <x:f>IF(B779="","",B779/MAX(B$5:B779)-1)</x:f>
        <x:v>#NAME?</x:v>
      </x:c>
      <x:c r="E779" s="146" t="e">
        <x:f>IF(OR('实盘净值数据(iFinD公式)'!$A779="",'实盘净值数据(iFinD公式)'!$B779=""),"",分期持仓明细!$AD$18*SUMPRODUCT(分期持仓明细!$B$18:$AA$18,'实盘净值数据(iFinD公式)'!$B779:$AA779/'实盘净值数据(iFinD公式)'!$B$20:$AA$20)*(1-实盘持仓初始配置!$Z$5)^(('实盘净值数据(iFinD公式)'!$A779-'实盘净值数据(iFinD公式)'!$A$5)/365))</x:f>
        <x:v>#NAME?</x:v>
      </x:c>
      <x:c r="F779" s="152" t="e">
        <x:f>IF(OR(E778="",E779=""),"",E779/E778-1)</x:f>
        <x:v>#NAME?</x:v>
      </x:c>
      <x:c r="G779" s="152" t="e">
        <x:f>IF(E779="","",E779/MAX(E$5:E779)-1)</x:f>
        <x:v>#NAME?</x:v>
      </x:c>
      <x:c r="H779" s="146" t="e">
        <x:f>IF(OR('实盘净值数据(iFinD公式)'!$A779="",'实盘净值数据(iFinD公式)'!$B779=""),"",分期持仓明细!$AD$19*SUMPRODUCT(分期持仓明细!$B$19:$AA$19,'实盘净值数据(iFinD公式)'!$B779:$AA779/'实盘净值数据(iFinD公式)'!$B$20:$AA$20)*(1-实盘持仓初始配置!$Z$6)^(('实盘净值数据(iFinD公式)'!$A779-'实盘净值数据(iFinD公式)'!$A$7)/365))</x:f>
        <x:v>#NAME?</x:v>
      </x:c>
      <x:c r="I779" s="152" t="e">
        <x:f>IF(OR(H778="",H779=""),"",H779/H778-1)</x:f>
        <x:v>#NAME?</x:v>
      </x:c>
      <x:c r="J779" s="152" t="e">
        <x:f>IF(H779="","",H779/MAX(H$5:H779)-1)</x:f>
        <x:v>#NAME?</x:v>
      </x:c>
      <x:c r="K779" s="146" t="e">
        <x:f>IF(OR('实盘净值数据(iFinD公式)'!$A779="",'实盘净值数据(iFinD公式)'!$B779=""),"",分期持仓明细!$AD$23*SUMPRODUCT(分期持仓明细!$B$23:$AA$23,'实盘净值数据(iFinD公式)'!$B779:$AA779/'实盘净值数据(iFinD公式)'!$B$65:$AA$65)*(1-实盘持仓初始配置!$Z$7)^(('实盘净值数据(iFinD公式)'!$A779-'实盘净值数据(iFinD公式)'!$A$8)/365))</x:f>
        <x:v>#NAME?</x:v>
      </x:c>
      <x:c r="L779" s="152" t="e">
        <x:f>IF(OR(K778="",K779=""),"",K779/K778-1)</x:f>
        <x:v>#NAME?</x:v>
      </x:c>
      <x:c r="M779" s="152" t="e">
        <x:f>IF(K779="","",K779/MAX(K$5:K779)-1)</x:f>
        <x:v>#NAME?</x:v>
      </x:c>
      <x:c r="N779" s="146" t="e">
        <x:f>IF(OR('实盘净值数据(iFinD公式)'!$A779="",'实盘净值数据(iFinD公式)'!$B779=""),"",分期持仓明细!$AD$24*SUMPRODUCT(分期持仓明细!$B$24:$AA$24,'实盘净值数据(iFinD公式)'!$B779:$AA779/'实盘净值数据(iFinD公式)'!$B$65:$AA$65)*(1-实盘持仓初始配置!$Z$8)^(('实盘净值数据(iFinD公式)'!$A779-'实盘净值数据(iFinD公式)'!$A$5)/365))</x:f>
        <x:v>#NAME?</x:v>
      </x:c>
      <x:c r="O779" s="152" t="e">
        <x:f>IF(OR(N778="",N779=""),"",N779/N778-1)</x:f>
        <x:v>#NAME?</x:v>
      </x:c>
      <x:c r="P779" s="152" t="e">
        <x:f>IF(N779="","",N779/MAX(N$5:N779)-1)</x:f>
        <x:v>#NAME?</x:v>
      </x:c>
      <x:c r="Q779" s="146" t="e">
        <x:f>IF(OR('实盘净值数据(iFinD公式)'!$A779="",'实盘净值数据(iFinD公式)'!$B779=""),"",分期持仓明细!$AD$25*SUMPRODUCT(分期持仓明细!$B$25:$AA$25,'实盘净值数据(iFinD公式)'!$B779:$AA779/'实盘净值数据(iFinD公式)'!$B$65:$AA$65)*(1-实盘持仓初始配置!$Z$9)^(('实盘净值数据(iFinD公式)'!$A779-'实盘净值数据(iFinD公式)'!$A$8)/365))</x:f>
        <x:v>#NAME?</x:v>
      </x:c>
      <x:c r="R779" s="152" t="e">
        <x:f>IF(OR(Q778="",Q779=""),"",Q779/Q778-1)</x:f>
        <x:v>#NAME?</x:v>
      </x:c>
      <x:c r="S779" s="152" t="e">
        <x:f>IF(Q779="","",Q779/MAX(Q$5:Q779)-1)</x:f>
        <x:v>#NAME?</x:v>
      </x:c>
    </x:row>
    <x:row r="780">
      <x:c r="A780" s="149" t="str">
        <x:f>IF('实盘净值数据(iFinD公式)'!A780="","",'实盘净值数据(iFinD公式)'!A780)</x:f>
      </x:c>
      <x:c r="B780" s="146" t="e">
        <x:f>IF(OR('实盘净值数据(iFinD公式)'!$A780="",'实盘净值数据(iFinD公式)'!$B780=""),"",分期持仓明细!$AD$17*SUMPRODUCT(分期持仓明细!$B$17:$AA$17,'实盘净值数据(iFinD公式)'!$B780:$AA780/'实盘净值数据(iFinD公式)'!$B$20:$AA$20)*(1-实盘持仓初始配置!$Z$4)^(('实盘净值数据(iFinD公式)'!$A780-'实盘净值数据(iFinD公式)'!$A$6)/365))</x:f>
        <x:v>#NAME?</x:v>
      </x:c>
      <x:c r="C780" s="152" t="e">
        <x:f>IF(OR(B779="",B780=""),"",B780/B779-1)</x:f>
        <x:v>#NAME?</x:v>
      </x:c>
      <x:c r="D780" s="152" t="e">
        <x:f>IF(B780="","",B780/MAX(B$5:B780)-1)</x:f>
        <x:v>#NAME?</x:v>
      </x:c>
      <x:c r="E780" s="146" t="e">
        <x:f>IF(OR('实盘净值数据(iFinD公式)'!$A780="",'实盘净值数据(iFinD公式)'!$B780=""),"",分期持仓明细!$AD$18*SUMPRODUCT(分期持仓明细!$B$18:$AA$18,'实盘净值数据(iFinD公式)'!$B780:$AA780/'实盘净值数据(iFinD公式)'!$B$20:$AA$20)*(1-实盘持仓初始配置!$Z$5)^(('实盘净值数据(iFinD公式)'!$A780-'实盘净值数据(iFinD公式)'!$A$5)/365))</x:f>
        <x:v>#NAME?</x:v>
      </x:c>
      <x:c r="F780" s="152" t="e">
        <x:f>IF(OR(E779="",E780=""),"",E780/E779-1)</x:f>
        <x:v>#NAME?</x:v>
      </x:c>
      <x:c r="G780" s="152" t="e">
        <x:f>IF(E780="","",E780/MAX(E$5:E780)-1)</x:f>
        <x:v>#NAME?</x:v>
      </x:c>
      <x:c r="H780" s="146" t="e">
        <x:f>IF(OR('实盘净值数据(iFinD公式)'!$A780="",'实盘净值数据(iFinD公式)'!$B780=""),"",分期持仓明细!$AD$19*SUMPRODUCT(分期持仓明细!$B$19:$AA$19,'实盘净值数据(iFinD公式)'!$B780:$AA780/'实盘净值数据(iFinD公式)'!$B$20:$AA$20)*(1-实盘持仓初始配置!$Z$6)^(('实盘净值数据(iFinD公式)'!$A780-'实盘净值数据(iFinD公式)'!$A$7)/365))</x:f>
        <x:v>#NAME?</x:v>
      </x:c>
      <x:c r="I780" s="152" t="e">
        <x:f>IF(OR(H779="",H780=""),"",H780/H779-1)</x:f>
        <x:v>#NAME?</x:v>
      </x:c>
      <x:c r="J780" s="152" t="e">
        <x:f>IF(H780="","",H780/MAX(H$5:H780)-1)</x:f>
        <x:v>#NAME?</x:v>
      </x:c>
      <x:c r="K780" s="146" t="e">
        <x:f>IF(OR('实盘净值数据(iFinD公式)'!$A780="",'实盘净值数据(iFinD公式)'!$B780=""),"",分期持仓明细!$AD$23*SUMPRODUCT(分期持仓明细!$B$23:$AA$23,'实盘净值数据(iFinD公式)'!$B780:$AA780/'实盘净值数据(iFinD公式)'!$B$65:$AA$65)*(1-实盘持仓初始配置!$Z$7)^(('实盘净值数据(iFinD公式)'!$A780-'实盘净值数据(iFinD公式)'!$A$8)/365))</x:f>
        <x:v>#NAME?</x:v>
      </x:c>
      <x:c r="L780" s="152" t="e">
        <x:f>IF(OR(K779="",K780=""),"",K780/K779-1)</x:f>
        <x:v>#NAME?</x:v>
      </x:c>
      <x:c r="M780" s="152" t="e">
        <x:f>IF(K780="","",K780/MAX(K$5:K780)-1)</x:f>
        <x:v>#NAME?</x:v>
      </x:c>
      <x:c r="N780" s="146" t="e">
        <x:f>IF(OR('实盘净值数据(iFinD公式)'!$A780="",'实盘净值数据(iFinD公式)'!$B780=""),"",分期持仓明细!$AD$24*SUMPRODUCT(分期持仓明细!$B$24:$AA$24,'实盘净值数据(iFinD公式)'!$B780:$AA780/'实盘净值数据(iFinD公式)'!$B$65:$AA$65)*(1-实盘持仓初始配置!$Z$8)^(('实盘净值数据(iFinD公式)'!$A780-'实盘净值数据(iFinD公式)'!$A$5)/365))</x:f>
        <x:v>#NAME?</x:v>
      </x:c>
      <x:c r="O780" s="152" t="e">
        <x:f>IF(OR(N779="",N780=""),"",N780/N779-1)</x:f>
        <x:v>#NAME?</x:v>
      </x:c>
      <x:c r="P780" s="152" t="e">
        <x:f>IF(N780="","",N780/MAX(N$5:N780)-1)</x:f>
        <x:v>#NAME?</x:v>
      </x:c>
      <x:c r="Q780" s="146" t="e">
        <x:f>IF(OR('实盘净值数据(iFinD公式)'!$A780="",'实盘净值数据(iFinD公式)'!$B780=""),"",分期持仓明细!$AD$25*SUMPRODUCT(分期持仓明细!$B$25:$AA$25,'实盘净值数据(iFinD公式)'!$B780:$AA780/'实盘净值数据(iFinD公式)'!$B$65:$AA$65)*(1-实盘持仓初始配置!$Z$9)^(('实盘净值数据(iFinD公式)'!$A780-'实盘净值数据(iFinD公式)'!$A$8)/365))</x:f>
        <x:v>#NAME?</x:v>
      </x:c>
      <x:c r="R780" s="152" t="e">
        <x:f>IF(OR(Q779="",Q780=""),"",Q780/Q779-1)</x:f>
        <x:v>#NAME?</x:v>
      </x:c>
      <x:c r="S780" s="152" t="e">
        <x:f>IF(Q780="","",Q780/MAX(Q$5:Q780)-1)</x:f>
        <x:v>#NAME?</x:v>
      </x:c>
    </x:row>
    <x:row r="781">
      <x:c r="A781" s="149" t="str">
        <x:f>IF('实盘净值数据(iFinD公式)'!A781="","",'实盘净值数据(iFinD公式)'!A781)</x:f>
      </x:c>
      <x:c r="B781" s="146" t="e">
        <x:f>IF(OR('实盘净值数据(iFinD公式)'!$A781="",'实盘净值数据(iFinD公式)'!$B781=""),"",分期持仓明细!$AD$17*SUMPRODUCT(分期持仓明细!$B$17:$AA$17,'实盘净值数据(iFinD公式)'!$B781:$AA781/'实盘净值数据(iFinD公式)'!$B$20:$AA$20)*(1-实盘持仓初始配置!$Z$4)^(('实盘净值数据(iFinD公式)'!$A781-'实盘净值数据(iFinD公式)'!$A$6)/365))</x:f>
        <x:v>#NAME?</x:v>
      </x:c>
      <x:c r="C781" s="152" t="e">
        <x:f>IF(OR(B780="",B781=""),"",B781/B780-1)</x:f>
        <x:v>#NAME?</x:v>
      </x:c>
      <x:c r="D781" s="152" t="e">
        <x:f>IF(B781="","",B781/MAX(B$5:B781)-1)</x:f>
        <x:v>#NAME?</x:v>
      </x:c>
      <x:c r="E781" s="146" t="e">
        <x:f>IF(OR('实盘净值数据(iFinD公式)'!$A781="",'实盘净值数据(iFinD公式)'!$B781=""),"",分期持仓明细!$AD$18*SUMPRODUCT(分期持仓明细!$B$18:$AA$18,'实盘净值数据(iFinD公式)'!$B781:$AA781/'实盘净值数据(iFinD公式)'!$B$20:$AA$20)*(1-实盘持仓初始配置!$Z$5)^(('实盘净值数据(iFinD公式)'!$A781-'实盘净值数据(iFinD公式)'!$A$5)/365))</x:f>
        <x:v>#NAME?</x:v>
      </x:c>
      <x:c r="F781" s="152" t="e">
        <x:f>IF(OR(E780="",E781=""),"",E781/E780-1)</x:f>
        <x:v>#NAME?</x:v>
      </x:c>
      <x:c r="G781" s="152" t="e">
        <x:f>IF(E781="","",E781/MAX(E$5:E781)-1)</x:f>
        <x:v>#NAME?</x:v>
      </x:c>
      <x:c r="H781" s="146" t="e">
        <x:f>IF(OR('实盘净值数据(iFinD公式)'!$A781="",'实盘净值数据(iFinD公式)'!$B781=""),"",分期持仓明细!$AD$19*SUMPRODUCT(分期持仓明细!$B$19:$AA$19,'实盘净值数据(iFinD公式)'!$B781:$AA781/'实盘净值数据(iFinD公式)'!$B$20:$AA$20)*(1-实盘持仓初始配置!$Z$6)^(('实盘净值数据(iFinD公式)'!$A781-'实盘净值数据(iFinD公式)'!$A$7)/365))</x:f>
        <x:v>#NAME?</x:v>
      </x:c>
      <x:c r="I781" s="152" t="e">
        <x:f>IF(OR(H780="",H781=""),"",H781/H780-1)</x:f>
        <x:v>#NAME?</x:v>
      </x:c>
      <x:c r="J781" s="152" t="e">
        <x:f>IF(H781="","",H781/MAX(H$5:H781)-1)</x:f>
        <x:v>#NAME?</x:v>
      </x:c>
      <x:c r="K781" s="146" t="e">
        <x:f>IF(OR('实盘净值数据(iFinD公式)'!$A781="",'实盘净值数据(iFinD公式)'!$B781=""),"",分期持仓明细!$AD$23*SUMPRODUCT(分期持仓明细!$B$23:$AA$23,'实盘净值数据(iFinD公式)'!$B781:$AA781/'实盘净值数据(iFinD公式)'!$B$65:$AA$65)*(1-实盘持仓初始配置!$Z$7)^(('实盘净值数据(iFinD公式)'!$A781-'实盘净值数据(iFinD公式)'!$A$8)/365))</x:f>
        <x:v>#NAME?</x:v>
      </x:c>
      <x:c r="L781" s="152" t="e">
        <x:f>IF(OR(K780="",K781=""),"",K781/K780-1)</x:f>
        <x:v>#NAME?</x:v>
      </x:c>
      <x:c r="M781" s="152" t="e">
        <x:f>IF(K781="","",K781/MAX(K$5:K781)-1)</x:f>
        <x:v>#NAME?</x:v>
      </x:c>
      <x:c r="N781" s="146" t="e">
        <x:f>IF(OR('实盘净值数据(iFinD公式)'!$A781="",'实盘净值数据(iFinD公式)'!$B781=""),"",分期持仓明细!$AD$24*SUMPRODUCT(分期持仓明细!$B$24:$AA$24,'实盘净值数据(iFinD公式)'!$B781:$AA781/'实盘净值数据(iFinD公式)'!$B$65:$AA$65)*(1-实盘持仓初始配置!$Z$8)^(('实盘净值数据(iFinD公式)'!$A781-'实盘净值数据(iFinD公式)'!$A$5)/365))</x:f>
        <x:v>#NAME?</x:v>
      </x:c>
      <x:c r="O781" s="152" t="e">
        <x:f>IF(OR(N780="",N781=""),"",N781/N780-1)</x:f>
        <x:v>#NAME?</x:v>
      </x:c>
      <x:c r="P781" s="152" t="e">
        <x:f>IF(N781="","",N781/MAX(N$5:N781)-1)</x:f>
        <x:v>#NAME?</x:v>
      </x:c>
      <x:c r="Q781" s="146" t="e">
        <x:f>IF(OR('实盘净值数据(iFinD公式)'!$A781="",'实盘净值数据(iFinD公式)'!$B781=""),"",分期持仓明细!$AD$25*SUMPRODUCT(分期持仓明细!$B$25:$AA$25,'实盘净值数据(iFinD公式)'!$B781:$AA781/'实盘净值数据(iFinD公式)'!$B$65:$AA$65)*(1-实盘持仓初始配置!$Z$9)^(('实盘净值数据(iFinD公式)'!$A781-'实盘净值数据(iFinD公式)'!$A$8)/365))</x:f>
        <x:v>#NAME?</x:v>
      </x:c>
      <x:c r="R781" s="152" t="e">
        <x:f>IF(OR(Q780="",Q781=""),"",Q781/Q780-1)</x:f>
        <x:v>#NAME?</x:v>
      </x:c>
      <x:c r="S781" s="152" t="e">
        <x:f>IF(Q781="","",Q781/MAX(Q$5:Q781)-1)</x:f>
        <x:v>#NAME?</x:v>
      </x:c>
    </x:row>
    <x:row r="782">
      <x:c r="A782" s="149" t="str">
        <x:f>IF('实盘净值数据(iFinD公式)'!A782="","",'实盘净值数据(iFinD公式)'!A782)</x:f>
      </x:c>
      <x:c r="B782" s="146" t="e">
        <x:f>IF(OR('实盘净值数据(iFinD公式)'!$A782="",'实盘净值数据(iFinD公式)'!$B782=""),"",分期持仓明细!$AD$17*SUMPRODUCT(分期持仓明细!$B$17:$AA$17,'实盘净值数据(iFinD公式)'!$B782:$AA782/'实盘净值数据(iFinD公式)'!$B$20:$AA$20)*(1-实盘持仓初始配置!$Z$4)^(('实盘净值数据(iFinD公式)'!$A782-'实盘净值数据(iFinD公式)'!$A$6)/365))</x:f>
        <x:v>#NAME?</x:v>
      </x:c>
      <x:c r="C782" s="152" t="e">
        <x:f>IF(OR(B781="",B782=""),"",B782/B781-1)</x:f>
        <x:v>#NAME?</x:v>
      </x:c>
      <x:c r="D782" s="152" t="e">
        <x:f>IF(B782="","",B782/MAX(B$5:B782)-1)</x:f>
        <x:v>#NAME?</x:v>
      </x:c>
      <x:c r="E782" s="146" t="e">
        <x:f>IF(OR('实盘净值数据(iFinD公式)'!$A782="",'实盘净值数据(iFinD公式)'!$B782=""),"",分期持仓明细!$AD$18*SUMPRODUCT(分期持仓明细!$B$18:$AA$18,'实盘净值数据(iFinD公式)'!$B782:$AA782/'实盘净值数据(iFinD公式)'!$B$20:$AA$20)*(1-实盘持仓初始配置!$Z$5)^(('实盘净值数据(iFinD公式)'!$A782-'实盘净值数据(iFinD公式)'!$A$5)/365))</x:f>
        <x:v>#NAME?</x:v>
      </x:c>
      <x:c r="F782" s="152" t="e">
        <x:f>IF(OR(E781="",E782=""),"",E782/E781-1)</x:f>
        <x:v>#NAME?</x:v>
      </x:c>
      <x:c r="G782" s="152" t="e">
        <x:f>IF(E782="","",E782/MAX(E$5:E782)-1)</x:f>
        <x:v>#NAME?</x:v>
      </x:c>
      <x:c r="H782" s="146" t="e">
        <x:f>IF(OR('实盘净值数据(iFinD公式)'!$A782="",'实盘净值数据(iFinD公式)'!$B782=""),"",分期持仓明细!$AD$19*SUMPRODUCT(分期持仓明细!$B$19:$AA$19,'实盘净值数据(iFinD公式)'!$B782:$AA782/'实盘净值数据(iFinD公式)'!$B$20:$AA$20)*(1-实盘持仓初始配置!$Z$6)^(('实盘净值数据(iFinD公式)'!$A782-'实盘净值数据(iFinD公式)'!$A$7)/365))</x:f>
        <x:v>#NAME?</x:v>
      </x:c>
      <x:c r="I782" s="152" t="e">
        <x:f>IF(OR(H781="",H782=""),"",H782/H781-1)</x:f>
        <x:v>#NAME?</x:v>
      </x:c>
      <x:c r="J782" s="152" t="e">
        <x:f>IF(H782="","",H782/MAX(H$5:H782)-1)</x:f>
        <x:v>#NAME?</x:v>
      </x:c>
      <x:c r="K782" s="146" t="e">
        <x:f>IF(OR('实盘净值数据(iFinD公式)'!$A782="",'实盘净值数据(iFinD公式)'!$B782=""),"",分期持仓明细!$AD$23*SUMPRODUCT(分期持仓明细!$B$23:$AA$23,'实盘净值数据(iFinD公式)'!$B782:$AA782/'实盘净值数据(iFinD公式)'!$B$65:$AA$65)*(1-实盘持仓初始配置!$Z$7)^(('实盘净值数据(iFinD公式)'!$A782-'实盘净值数据(iFinD公式)'!$A$8)/365))</x:f>
        <x:v>#NAME?</x:v>
      </x:c>
      <x:c r="L782" s="152" t="e">
        <x:f>IF(OR(K781="",K782=""),"",K782/K781-1)</x:f>
        <x:v>#NAME?</x:v>
      </x:c>
      <x:c r="M782" s="152" t="e">
        <x:f>IF(K782="","",K782/MAX(K$5:K782)-1)</x:f>
        <x:v>#NAME?</x:v>
      </x:c>
      <x:c r="N782" s="146" t="e">
        <x:f>IF(OR('实盘净值数据(iFinD公式)'!$A782="",'实盘净值数据(iFinD公式)'!$B782=""),"",分期持仓明细!$AD$24*SUMPRODUCT(分期持仓明细!$B$24:$AA$24,'实盘净值数据(iFinD公式)'!$B782:$AA782/'实盘净值数据(iFinD公式)'!$B$65:$AA$65)*(1-实盘持仓初始配置!$Z$8)^(('实盘净值数据(iFinD公式)'!$A782-'实盘净值数据(iFinD公式)'!$A$5)/365))</x:f>
        <x:v>#NAME?</x:v>
      </x:c>
      <x:c r="O782" s="152" t="e">
        <x:f>IF(OR(N781="",N782=""),"",N782/N781-1)</x:f>
        <x:v>#NAME?</x:v>
      </x:c>
      <x:c r="P782" s="152" t="e">
        <x:f>IF(N782="","",N782/MAX(N$5:N782)-1)</x:f>
        <x:v>#NAME?</x:v>
      </x:c>
      <x:c r="Q782" s="146" t="e">
        <x:f>IF(OR('实盘净值数据(iFinD公式)'!$A782="",'实盘净值数据(iFinD公式)'!$B782=""),"",分期持仓明细!$AD$25*SUMPRODUCT(分期持仓明细!$B$25:$AA$25,'实盘净值数据(iFinD公式)'!$B782:$AA782/'实盘净值数据(iFinD公式)'!$B$65:$AA$65)*(1-实盘持仓初始配置!$Z$9)^(('实盘净值数据(iFinD公式)'!$A782-'实盘净值数据(iFinD公式)'!$A$8)/365))</x:f>
        <x:v>#NAME?</x:v>
      </x:c>
      <x:c r="R782" s="152" t="e">
        <x:f>IF(OR(Q781="",Q782=""),"",Q782/Q781-1)</x:f>
        <x:v>#NAME?</x:v>
      </x:c>
      <x:c r="S782" s="152" t="e">
        <x:f>IF(Q782="","",Q782/MAX(Q$5:Q782)-1)</x:f>
        <x:v>#NAME?</x:v>
      </x:c>
    </x:row>
    <x:row r="783">
      <x:c r="A783" s="149" t="str">
        <x:f>IF('实盘净值数据(iFinD公式)'!A783="","",'实盘净值数据(iFinD公式)'!A783)</x:f>
      </x:c>
      <x:c r="B783" s="146" t="e">
        <x:f>IF(OR('实盘净值数据(iFinD公式)'!$A783="",'实盘净值数据(iFinD公式)'!$B783=""),"",分期持仓明细!$AD$17*SUMPRODUCT(分期持仓明细!$B$17:$AA$17,'实盘净值数据(iFinD公式)'!$B783:$AA783/'实盘净值数据(iFinD公式)'!$B$20:$AA$20)*(1-实盘持仓初始配置!$Z$4)^(('实盘净值数据(iFinD公式)'!$A783-'实盘净值数据(iFinD公式)'!$A$6)/365))</x:f>
        <x:v>#NAME?</x:v>
      </x:c>
      <x:c r="C783" s="152" t="e">
        <x:f>IF(OR(B782="",B783=""),"",B783/B782-1)</x:f>
        <x:v>#NAME?</x:v>
      </x:c>
      <x:c r="D783" s="152" t="e">
        <x:f>IF(B783="","",B783/MAX(B$5:B783)-1)</x:f>
        <x:v>#NAME?</x:v>
      </x:c>
      <x:c r="E783" s="146" t="e">
        <x:f>IF(OR('实盘净值数据(iFinD公式)'!$A783="",'实盘净值数据(iFinD公式)'!$B783=""),"",分期持仓明细!$AD$18*SUMPRODUCT(分期持仓明细!$B$18:$AA$18,'实盘净值数据(iFinD公式)'!$B783:$AA783/'实盘净值数据(iFinD公式)'!$B$20:$AA$20)*(1-实盘持仓初始配置!$Z$5)^(('实盘净值数据(iFinD公式)'!$A783-'实盘净值数据(iFinD公式)'!$A$5)/365))</x:f>
        <x:v>#NAME?</x:v>
      </x:c>
      <x:c r="F783" s="152" t="e">
        <x:f>IF(OR(E782="",E783=""),"",E783/E782-1)</x:f>
        <x:v>#NAME?</x:v>
      </x:c>
      <x:c r="G783" s="152" t="e">
        <x:f>IF(E783="","",E783/MAX(E$5:E783)-1)</x:f>
        <x:v>#NAME?</x:v>
      </x:c>
      <x:c r="H783" s="146" t="e">
        <x:f>IF(OR('实盘净值数据(iFinD公式)'!$A783="",'实盘净值数据(iFinD公式)'!$B783=""),"",分期持仓明细!$AD$19*SUMPRODUCT(分期持仓明细!$B$19:$AA$19,'实盘净值数据(iFinD公式)'!$B783:$AA783/'实盘净值数据(iFinD公式)'!$B$20:$AA$20)*(1-实盘持仓初始配置!$Z$6)^(('实盘净值数据(iFinD公式)'!$A783-'实盘净值数据(iFinD公式)'!$A$7)/365))</x:f>
        <x:v>#NAME?</x:v>
      </x:c>
      <x:c r="I783" s="152" t="e">
        <x:f>IF(OR(H782="",H783=""),"",H783/H782-1)</x:f>
        <x:v>#NAME?</x:v>
      </x:c>
      <x:c r="J783" s="152" t="e">
        <x:f>IF(H783="","",H783/MAX(H$5:H783)-1)</x:f>
        <x:v>#NAME?</x:v>
      </x:c>
      <x:c r="K783" s="146" t="e">
        <x:f>IF(OR('实盘净值数据(iFinD公式)'!$A783="",'实盘净值数据(iFinD公式)'!$B783=""),"",分期持仓明细!$AD$23*SUMPRODUCT(分期持仓明细!$B$23:$AA$23,'实盘净值数据(iFinD公式)'!$B783:$AA783/'实盘净值数据(iFinD公式)'!$B$65:$AA$65)*(1-实盘持仓初始配置!$Z$7)^(('实盘净值数据(iFinD公式)'!$A783-'实盘净值数据(iFinD公式)'!$A$8)/365))</x:f>
        <x:v>#NAME?</x:v>
      </x:c>
      <x:c r="L783" s="152" t="e">
        <x:f>IF(OR(K782="",K783=""),"",K783/K782-1)</x:f>
        <x:v>#NAME?</x:v>
      </x:c>
      <x:c r="M783" s="152" t="e">
        <x:f>IF(K783="","",K783/MAX(K$5:K783)-1)</x:f>
        <x:v>#NAME?</x:v>
      </x:c>
      <x:c r="N783" s="146" t="e">
        <x:f>IF(OR('实盘净值数据(iFinD公式)'!$A783="",'实盘净值数据(iFinD公式)'!$B783=""),"",分期持仓明细!$AD$24*SUMPRODUCT(分期持仓明细!$B$24:$AA$24,'实盘净值数据(iFinD公式)'!$B783:$AA783/'实盘净值数据(iFinD公式)'!$B$65:$AA$65)*(1-实盘持仓初始配置!$Z$8)^(('实盘净值数据(iFinD公式)'!$A783-'实盘净值数据(iFinD公式)'!$A$5)/365))</x:f>
        <x:v>#NAME?</x:v>
      </x:c>
      <x:c r="O783" s="152" t="e">
        <x:f>IF(OR(N782="",N783=""),"",N783/N782-1)</x:f>
        <x:v>#NAME?</x:v>
      </x:c>
      <x:c r="P783" s="152" t="e">
        <x:f>IF(N783="","",N783/MAX(N$5:N783)-1)</x:f>
        <x:v>#NAME?</x:v>
      </x:c>
      <x:c r="Q783" s="146" t="e">
        <x:f>IF(OR('实盘净值数据(iFinD公式)'!$A783="",'实盘净值数据(iFinD公式)'!$B783=""),"",分期持仓明细!$AD$25*SUMPRODUCT(分期持仓明细!$B$25:$AA$25,'实盘净值数据(iFinD公式)'!$B783:$AA783/'实盘净值数据(iFinD公式)'!$B$65:$AA$65)*(1-实盘持仓初始配置!$Z$9)^(('实盘净值数据(iFinD公式)'!$A783-'实盘净值数据(iFinD公式)'!$A$8)/365))</x:f>
        <x:v>#NAME?</x:v>
      </x:c>
      <x:c r="R783" s="152" t="e">
        <x:f>IF(OR(Q782="",Q783=""),"",Q783/Q782-1)</x:f>
        <x:v>#NAME?</x:v>
      </x:c>
      <x:c r="S783" s="152" t="e">
        <x:f>IF(Q783="","",Q783/MAX(Q$5:Q783)-1)</x:f>
        <x:v>#NAME?</x:v>
      </x:c>
    </x:row>
    <x:row r="784">
      <x:c r="A784" s="149" t="str">
        <x:f>IF('实盘净值数据(iFinD公式)'!A784="","",'实盘净值数据(iFinD公式)'!A784)</x:f>
      </x:c>
      <x:c r="B784" s="146" t="e">
        <x:f>IF(OR('实盘净值数据(iFinD公式)'!$A784="",'实盘净值数据(iFinD公式)'!$B784=""),"",分期持仓明细!$AD$17*SUMPRODUCT(分期持仓明细!$B$17:$AA$17,'实盘净值数据(iFinD公式)'!$B784:$AA784/'实盘净值数据(iFinD公式)'!$B$20:$AA$20)*(1-实盘持仓初始配置!$Z$4)^(('实盘净值数据(iFinD公式)'!$A784-'实盘净值数据(iFinD公式)'!$A$6)/365))</x:f>
        <x:v>#NAME?</x:v>
      </x:c>
      <x:c r="C784" s="152" t="e">
        <x:f>IF(OR(B783="",B784=""),"",B784/B783-1)</x:f>
        <x:v>#NAME?</x:v>
      </x:c>
      <x:c r="D784" s="152" t="e">
        <x:f>IF(B784="","",B784/MAX(B$5:B784)-1)</x:f>
        <x:v>#NAME?</x:v>
      </x:c>
      <x:c r="E784" s="146" t="e">
        <x:f>IF(OR('实盘净值数据(iFinD公式)'!$A784="",'实盘净值数据(iFinD公式)'!$B784=""),"",分期持仓明细!$AD$18*SUMPRODUCT(分期持仓明细!$B$18:$AA$18,'实盘净值数据(iFinD公式)'!$B784:$AA784/'实盘净值数据(iFinD公式)'!$B$20:$AA$20)*(1-实盘持仓初始配置!$Z$5)^(('实盘净值数据(iFinD公式)'!$A784-'实盘净值数据(iFinD公式)'!$A$5)/365))</x:f>
        <x:v>#NAME?</x:v>
      </x:c>
      <x:c r="F784" s="152" t="e">
        <x:f>IF(OR(E783="",E784=""),"",E784/E783-1)</x:f>
        <x:v>#NAME?</x:v>
      </x:c>
      <x:c r="G784" s="152" t="e">
        <x:f>IF(E784="","",E784/MAX(E$5:E784)-1)</x:f>
        <x:v>#NAME?</x:v>
      </x:c>
      <x:c r="H784" s="146" t="e">
        <x:f>IF(OR('实盘净值数据(iFinD公式)'!$A784="",'实盘净值数据(iFinD公式)'!$B784=""),"",分期持仓明细!$AD$19*SUMPRODUCT(分期持仓明细!$B$19:$AA$19,'实盘净值数据(iFinD公式)'!$B784:$AA784/'实盘净值数据(iFinD公式)'!$B$20:$AA$20)*(1-实盘持仓初始配置!$Z$6)^(('实盘净值数据(iFinD公式)'!$A784-'实盘净值数据(iFinD公式)'!$A$7)/365))</x:f>
        <x:v>#NAME?</x:v>
      </x:c>
      <x:c r="I784" s="152" t="e">
        <x:f>IF(OR(H783="",H784=""),"",H784/H783-1)</x:f>
        <x:v>#NAME?</x:v>
      </x:c>
      <x:c r="J784" s="152" t="e">
        <x:f>IF(H784="","",H784/MAX(H$5:H784)-1)</x:f>
        <x:v>#NAME?</x:v>
      </x:c>
      <x:c r="K784" s="146" t="e">
        <x:f>IF(OR('实盘净值数据(iFinD公式)'!$A784="",'实盘净值数据(iFinD公式)'!$B784=""),"",分期持仓明细!$AD$23*SUMPRODUCT(分期持仓明细!$B$23:$AA$23,'实盘净值数据(iFinD公式)'!$B784:$AA784/'实盘净值数据(iFinD公式)'!$B$65:$AA$65)*(1-实盘持仓初始配置!$Z$7)^(('实盘净值数据(iFinD公式)'!$A784-'实盘净值数据(iFinD公式)'!$A$8)/365))</x:f>
        <x:v>#NAME?</x:v>
      </x:c>
      <x:c r="L784" s="152" t="e">
        <x:f>IF(OR(K783="",K784=""),"",K784/K783-1)</x:f>
        <x:v>#NAME?</x:v>
      </x:c>
      <x:c r="M784" s="152" t="e">
        <x:f>IF(K784="","",K784/MAX(K$5:K784)-1)</x:f>
        <x:v>#NAME?</x:v>
      </x:c>
      <x:c r="N784" s="146" t="e">
        <x:f>IF(OR('实盘净值数据(iFinD公式)'!$A784="",'实盘净值数据(iFinD公式)'!$B784=""),"",分期持仓明细!$AD$24*SUMPRODUCT(分期持仓明细!$B$24:$AA$24,'实盘净值数据(iFinD公式)'!$B784:$AA784/'实盘净值数据(iFinD公式)'!$B$65:$AA$65)*(1-实盘持仓初始配置!$Z$8)^(('实盘净值数据(iFinD公式)'!$A784-'实盘净值数据(iFinD公式)'!$A$5)/365))</x:f>
        <x:v>#NAME?</x:v>
      </x:c>
      <x:c r="O784" s="152" t="e">
        <x:f>IF(OR(N783="",N784=""),"",N784/N783-1)</x:f>
        <x:v>#NAME?</x:v>
      </x:c>
      <x:c r="P784" s="152" t="e">
        <x:f>IF(N784="","",N784/MAX(N$5:N784)-1)</x:f>
        <x:v>#NAME?</x:v>
      </x:c>
      <x:c r="Q784" s="146" t="e">
        <x:f>IF(OR('实盘净值数据(iFinD公式)'!$A784="",'实盘净值数据(iFinD公式)'!$B784=""),"",分期持仓明细!$AD$25*SUMPRODUCT(分期持仓明细!$B$25:$AA$25,'实盘净值数据(iFinD公式)'!$B784:$AA784/'实盘净值数据(iFinD公式)'!$B$65:$AA$65)*(1-实盘持仓初始配置!$Z$9)^(('实盘净值数据(iFinD公式)'!$A784-'实盘净值数据(iFinD公式)'!$A$8)/365))</x:f>
        <x:v>#NAME?</x:v>
      </x:c>
      <x:c r="R784" s="152" t="e">
        <x:f>IF(OR(Q783="",Q784=""),"",Q784/Q783-1)</x:f>
        <x:v>#NAME?</x:v>
      </x:c>
      <x:c r="S784" s="152" t="e">
        <x:f>IF(Q784="","",Q784/MAX(Q$5:Q784)-1)</x:f>
        <x:v>#NAME?</x:v>
      </x:c>
    </x:row>
    <x:row r="785">
      <x:c r="A785" s="149" t="str">
        <x:f>IF('实盘净值数据(iFinD公式)'!A785="","",'实盘净值数据(iFinD公式)'!A785)</x:f>
      </x:c>
      <x:c r="B785" s="146" t="e">
        <x:f>IF(OR('实盘净值数据(iFinD公式)'!$A785="",'实盘净值数据(iFinD公式)'!$B785=""),"",分期持仓明细!$AD$17*SUMPRODUCT(分期持仓明细!$B$17:$AA$17,'实盘净值数据(iFinD公式)'!$B785:$AA785/'实盘净值数据(iFinD公式)'!$B$20:$AA$20)*(1-实盘持仓初始配置!$Z$4)^(('实盘净值数据(iFinD公式)'!$A785-'实盘净值数据(iFinD公式)'!$A$6)/365))</x:f>
        <x:v>#NAME?</x:v>
      </x:c>
      <x:c r="C785" s="152" t="e">
        <x:f>IF(OR(B784="",B785=""),"",B785/B784-1)</x:f>
        <x:v>#NAME?</x:v>
      </x:c>
      <x:c r="D785" s="152" t="e">
        <x:f>IF(B785="","",B785/MAX(B$5:B785)-1)</x:f>
        <x:v>#NAME?</x:v>
      </x:c>
      <x:c r="E785" s="146" t="e">
        <x:f>IF(OR('实盘净值数据(iFinD公式)'!$A785="",'实盘净值数据(iFinD公式)'!$B785=""),"",分期持仓明细!$AD$18*SUMPRODUCT(分期持仓明细!$B$18:$AA$18,'实盘净值数据(iFinD公式)'!$B785:$AA785/'实盘净值数据(iFinD公式)'!$B$20:$AA$20)*(1-实盘持仓初始配置!$Z$5)^(('实盘净值数据(iFinD公式)'!$A785-'实盘净值数据(iFinD公式)'!$A$5)/365))</x:f>
        <x:v>#NAME?</x:v>
      </x:c>
      <x:c r="F785" s="152" t="e">
        <x:f>IF(OR(E784="",E785=""),"",E785/E784-1)</x:f>
        <x:v>#NAME?</x:v>
      </x:c>
      <x:c r="G785" s="152" t="e">
        <x:f>IF(E785="","",E785/MAX(E$5:E785)-1)</x:f>
        <x:v>#NAME?</x:v>
      </x:c>
      <x:c r="H785" s="146" t="e">
        <x:f>IF(OR('实盘净值数据(iFinD公式)'!$A785="",'实盘净值数据(iFinD公式)'!$B785=""),"",分期持仓明细!$AD$19*SUMPRODUCT(分期持仓明细!$B$19:$AA$19,'实盘净值数据(iFinD公式)'!$B785:$AA785/'实盘净值数据(iFinD公式)'!$B$20:$AA$20)*(1-实盘持仓初始配置!$Z$6)^(('实盘净值数据(iFinD公式)'!$A785-'实盘净值数据(iFinD公式)'!$A$7)/365))</x:f>
        <x:v>#NAME?</x:v>
      </x:c>
      <x:c r="I785" s="152" t="e">
        <x:f>IF(OR(H784="",H785=""),"",H785/H784-1)</x:f>
        <x:v>#NAME?</x:v>
      </x:c>
      <x:c r="J785" s="152" t="e">
        <x:f>IF(H785="","",H785/MAX(H$5:H785)-1)</x:f>
        <x:v>#NAME?</x:v>
      </x:c>
      <x:c r="K785" s="146" t="e">
        <x:f>IF(OR('实盘净值数据(iFinD公式)'!$A785="",'实盘净值数据(iFinD公式)'!$B785=""),"",分期持仓明细!$AD$23*SUMPRODUCT(分期持仓明细!$B$23:$AA$23,'实盘净值数据(iFinD公式)'!$B785:$AA785/'实盘净值数据(iFinD公式)'!$B$65:$AA$65)*(1-实盘持仓初始配置!$Z$7)^(('实盘净值数据(iFinD公式)'!$A785-'实盘净值数据(iFinD公式)'!$A$8)/365))</x:f>
        <x:v>#NAME?</x:v>
      </x:c>
      <x:c r="L785" s="152" t="e">
        <x:f>IF(OR(K784="",K785=""),"",K785/K784-1)</x:f>
        <x:v>#NAME?</x:v>
      </x:c>
      <x:c r="M785" s="152" t="e">
        <x:f>IF(K785="","",K785/MAX(K$5:K785)-1)</x:f>
        <x:v>#NAME?</x:v>
      </x:c>
      <x:c r="N785" s="146" t="e">
        <x:f>IF(OR('实盘净值数据(iFinD公式)'!$A785="",'实盘净值数据(iFinD公式)'!$B785=""),"",分期持仓明细!$AD$24*SUMPRODUCT(分期持仓明细!$B$24:$AA$24,'实盘净值数据(iFinD公式)'!$B785:$AA785/'实盘净值数据(iFinD公式)'!$B$65:$AA$65)*(1-实盘持仓初始配置!$Z$8)^(('实盘净值数据(iFinD公式)'!$A785-'实盘净值数据(iFinD公式)'!$A$5)/365))</x:f>
        <x:v>#NAME?</x:v>
      </x:c>
      <x:c r="O785" s="152" t="e">
        <x:f>IF(OR(N784="",N785=""),"",N785/N784-1)</x:f>
        <x:v>#NAME?</x:v>
      </x:c>
      <x:c r="P785" s="152" t="e">
        <x:f>IF(N785="","",N785/MAX(N$5:N785)-1)</x:f>
        <x:v>#NAME?</x:v>
      </x:c>
      <x:c r="Q785" s="146" t="e">
        <x:f>IF(OR('实盘净值数据(iFinD公式)'!$A785="",'实盘净值数据(iFinD公式)'!$B785=""),"",分期持仓明细!$AD$25*SUMPRODUCT(分期持仓明细!$B$25:$AA$25,'实盘净值数据(iFinD公式)'!$B785:$AA785/'实盘净值数据(iFinD公式)'!$B$65:$AA$65)*(1-实盘持仓初始配置!$Z$9)^(('实盘净值数据(iFinD公式)'!$A785-'实盘净值数据(iFinD公式)'!$A$8)/365))</x:f>
        <x:v>#NAME?</x:v>
      </x:c>
      <x:c r="R785" s="152" t="e">
        <x:f>IF(OR(Q784="",Q785=""),"",Q785/Q784-1)</x:f>
        <x:v>#NAME?</x:v>
      </x:c>
      <x:c r="S785" s="152" t="e">
        <x:f>IF(Q785="","",Q785/MAX(Q$5:Q785)-1)</x:f>
        <x:v>#NAME?</x:v>
      </x:c>
    </x:row>
    <x:row r="786">
      <x:c r="A786" s="149" t="str">
        <x:f>IF('实盘净值数据(iFinD公式)'!A786="","",'实盘净值数据(iFinD公式)'!A786)</x:f>
      </x:c>
      <x:c r="B786" s="146" t="e">
        <x:f>IF(OR('实盘净值数据(iFinD公式)'!$A786="",'实盘净值数据(iFinD公式)'!$B786=""),"",分期持仓明细!$AD$17*SUMPRODUCT(分期持仓明细!$B$17:$AA$17,'实盘净值数据(iFinD公式)'!$B786:$AA786/'实盘净值数据(iFinD公式)'!$B$20:$AA$20)*(1-实盘持仓初始配置!$Z$4)^(('实盘净值数据(iFinD公式)'!$A786-'实盘净值数据(iFinD公式)'!$A$6)/365))</x:f>
        <x:v>#NAME?</x:v>
      </x:c>
      <x:c r="C786" s="152" t="e">
        <x:f>IF(OR(B785="",B786=""),"",B786/B785-1)</x:f>
        <x:v>#NAME?</x:v>
      </x:c>
      <x:c r="D786" s="152" t="e">
        <x:f>IF(B786="","",B786/MAX(B$5:B786)-1)</x:f>
        <x:v>#NAME?</x:v>
      </x:c>
      <x:c r="E786" s="146" t="e">
        <x:f>IF(OR('实盘净值数据(iFinD公式)'!$A786="",'实盘净值数据(iFinD公式)'!$B786=""),"",分期持仓明细!$AD$18*SUMPRODUCT(分期持仓明细!$B$18:$AA$18,'实盘净值数据(iFinD公式)'!$B786:$AA786/'实盘净值数据(iFinD公式)'!$B$20:$AA$20)*(1-实盘持仓初始配置!$Z$5)^(('实盘净值数据(iFinD公式)'!$A786-'实盘净值数据(iFinD公式)'!$A$5)/365))</x:f>
        <x:v>#NAME?</x:v>
      </x:c>
      <x:c r="F786" s="152" t="e">
        <x:f>IF(OR(E785="",E786=""),"",E786/E785-1)</x:f>
        <x:v>#NAME?</x:v>
      </x:c>
      <x:c r="G786" s="152" t="e">
        <x:f>IF(E786="","",E786/MAX(E$5:E786)-1)</x:f>
        <x:v>#NAME?</x:v>
      </x:c>
      <x:c r="H786" s="146" t="e">
        <x:f>IF(OR('实盘净值数据(iFinD公式)'!$A786="",'实盘净值数据(iFinD公式)'!$B786=""),"",分期持仓明细!$AD$19*SUMPRODUCT(分期持仓明细!$B$19:$AA$19,'实盘净值数据(iFinD公式)'!$B786:$AA786/'实盘净值数据(iFinD公式)'!$B$20:$AA$20)*(1-实盘持仓初始配置!$Z$6)^(('实盘净值数据(iFinD公式)'!$A786-'实盘净值数据(iFinD公式)'!$A$7)/365))</x:f>
        <x:v>#NAME?</x:v>
      </x:c>
      <x:c r="I786" s="152" t="e">
        <x:f>IF(OR(H785="",H786=""),"",H786/H785-1)</x:f>
        <x:v>#NAME?</x:v>
      </x:c>
      <x:c r="J786" s="152" t="e">
        <x:f>IF(H786="","",H786/MAX(H$5:H786)-1)</x:f>
        <x:v>#NAME?</x:v>
      </x:c>
      <x:c r="K786" s="146" t="e">
        <x:f>IF(OR('实盘净值数据(iFinD公式)'!$A786="",'实盘净值数据(iFinD公式)'!$B786=""),"",分期持仓明细!$AD$23*SUMPRODUCT(分期持仓明细!$B$23:$AA$23,'实盘净值数据(iFinD公式)'!$B786:$AA786/'实盘净值数据(iFinD公式)'!$B$65:$AA$65)*(1-实盘持仓初始配置!$Z$7)^(('实盘净值数据(iFinD公式)'!$A786-'实盘净值数据(iFinD公式)'!$A$8)/365))</x:f>
        <x:v>#NAME?</x:v>
      </x:c>
      <x:c r="L786" s="152" t="e">
        <x:f>IF(OR(K785="",K786=""),"",K786/K785-1)</x:f>
        <x:v>#NAME?</x:v>
      </x:c>
      <x:c r="M786" s="152" t="e">
        <x:f>IF(K786="","",K786/MAX(K$5:K786)-1)</x:f>
        <x:v>#NAME?</x:v>
      </x:c>
      <x:c r="N786" s="146" t="e">
        <x:f>IF(OR('实盘净值数据(iFinD公式)'!$A786="",'实盘净值数据(iFinD公式)'!$B786=""),"",分期持仓明细!$AD$24*SUMPRODUCT(分期持仓明细!$B$24:$AA$24,'实盘净值数据(iFinD公式)'!$B786:$AA786/'实盘净值数据(iFinD公式)'!$B$65:$AA$65)*(1-实盘持仓初始配置!$Z$8)^(('实盘净值数据(iFinD公式)'!$A786-'实盘净值数据(iFinD公式)'!$A$5)/365))</x:f>
        <x:v>#NAME?</x:v>
      </x:c>
      <x:c r="O786" s="152" t="e">
        <x:f>IF(OR(N785="",N786=""),"",N786/N785-1)</x:f>
        <x:v>#NAME?</x:v>
      </x:c>
      <x:c r="P786" s="152" t="e">
        <x:f>IF(N786="","",N786/MAX(N$5:N786)-1)</x:f>
        <x:v>#NAME?</x:v>
      </x:c>
      <x:c r="Q786" s="146" t="e">
        <x:f>IF(OR('实盘净值数据(iFinD公式)'!$A786="",'实盘净值数据(iFinD公式)'!$B786=""),"",分期持仓明细!$AD$25*SUMPRODUCT(分期持仓明细!$B$25:$AA$25,'实盘净值数据(iFinD公式)'!$B786:$AA786/'实盘净值数据(iFinD公式)'!$B$65:$AA$65)*(1-实盘持仓初始配置!$Z$9)^(('实盘净值数据(iFinD公式)'!$A786-'实盘净值数据(iFinD公式)'!$A$8)/365))</x:f>
        <x:v>#NAME?</x:v>
      </x:c>
      <x:c r="R786" s="152" t="e">
        <x:f>IF(OR(Q785="",Q786=""),"",Q786/Q785-1)</x:f>
        <x:v>#NAME?</x:v>
      </x:c>
      <x:c r="S786" s="152" t="e">
        <x:f>IF(Q786="","",Q786/MAX(Q$5:Q786)-1)</x:f>
        <x:v>#NAME?</x:v>
      </x:c>
    </x:row>
    <x:row r="787">
      <x:c r="A787" s="149" t="str">
        <x:f>IF('实盘净值数据(iFinD公式)'!A787="","",'实盘净值数据(iFinD公式)'!A787)</x:f>
      </x:c>
      <x:c r="B787" s="146" t="e">
        <x:f>IF(OR('实盘净值数据(iFinD公式)'!$A787="",'实盘净值数据(iFinD公式)'!$B787=""),"",分期持仓明细!$AD$17*SUMPRODUCT(分期持仓明细!$B$17:$AA$17,'实盘净值数据(iFinD公式)'!$B787:$AA787/'实盘净值数据(iFinD公式)'!$B$20:$AA$20)*(1-实盘持仓初始配置!$Z$4)^(('实盘净值数据(iFinD公式)'!$A787-'实盘净值数据(iFinD公式)'!$A$6)/365))</x:f>
        <x:v>#NAME?</x:v>
      </x:c>
      <x:c r="C787" s="152" t="e">
        <x:f>IF(OR(B786="",B787=""),"",B787/B786-1)</x:f>
        <x:v>#NAME?</x:v>
      </x:c>
      <x:c r="D787" s="152" t="e">
        <x:f>IF(B787="","",B787/MAX(B$5:B787)-1)</x:f>
        <x:v>#NAME?</x:v>
      </x:c>
      <x:c r="E787" s="146" t="e">
        <x:f>IF(OR('实盘净值数据(iFinD公式)'!$A787="",'实盘净值数据(iFinD公式)'!$B787=""),"",分期持仓明细!$AD$18*SUMPRODUCT(分期持仓明细!$B$18:$AA$18,'实盘净值数据(iFinD公式)'!$B787:$AA787/'实盘净值数据(iFinD公式)'!$B$20:$AA$20)*(1-实盘持仓初始配置!$Z$5)^(('实盘净值数据(iFinD公式)'!$A787-'实盘净值数据(iFinD公式)'!$A$5)/365))</x:f>
        <x:v>#NAME?</x:v>
      </x:c>
      <x:c r="F787" s="152" t="e">
        <x:f>IF(OR(E786="",E787=""),"",E787/E786-1)</x:f>
        <x:v>#NAME?</x:v>
      </x:c>
      <x:c r="G787" s="152" t="e">
        <x:f>IF(E787="","",E787/MAX(E$5:E787)-1)</x:f>
        <x:v>#NAME?</x:v>
      </x:c>
      <x:c r="H787" s="146" t="e">
        <x:f>IF(OR('实盘净值数据(iFinD公式)'!$A787="",'实盘净值数据(iFinD公式)'!$B787=""),"",分期持仓明细!$AD$19*SUMPRODUCT(分期持仓明细!$B$19:$AA$19,'实盘净值数据(iFinD公式)'!$B787:$AA787/'实盘净值数据(iFinD公式)'!$B$20:$AA$20)*(1-实盘持仓初始配置!$Z$6)^(('实盘净值数据(iFinD公式)'!$A787-'实盘净值数据(iFinD公式)'!$A$7)/365))</x:f>
        <x:v>#NAME?</x:v>
      </x:c>
      <x:c r="I787" s="152" t="e">
        <x:f>IF(OR(H786="",H787=""),"",H787/H786-1)</x:f>
        <x:v>#NAME?</x:v>
      </x:c>
      <x:c r="J787" s="152" t="e">
        <x:f>IF(H787="","",H787/MAX(H$5:H787)-1)</x:f>
        <x:v>#NAME?</x:v>
      </x:c>
      <x:c r="K787" s="146" t="e">
        <x:f>IF(OR('实盘净值数据(iFinD公式)'!$A787="",'实盘净值数据(iFinD公式)'!$B787=""),"",分期持仓明细!$AD$23*SUMPRODUCT(分期持仓明细!$B$23:$AA$23,'实盘净值数据(iFinD公式)'!$B787:$AA787/'实盘净值数据(iFinD公式)'!$B$65:$AA$65)*(1-实盘持仓初始配置!$Z$7)^(('实盘净值数据(iFinD公式)'!$A787-'实盘净值数据(iFinD公式)'!$A$8)/365))</x:f>
        <x:v>#NAME?</x:v>
      </x:c>
      <x:c r="L787" s="152" t="e">
        <x:f>IF(OR(K786="",K787=""),"",K787/K786-1)</x:f>
        <x:v>#NAME?</x:v>
      </x:c>
      <x:c r="M787" s="152" t="e">
        <x:f>IF(K787="","",K787/MAX(K$5:K787)-1)</x:f>
        <x:v>#NAME?</x:v>
      </x:c>
      <x:c r="N787" s="146" t="e">
        <x:f>IF(OR('实盘净值数据(iFinD公式)'!$A787="",'实盘净值数据(iFinD公式)'!$B787=""),"",分期持仓明细!$AD$24*SUMPRODUCT(分期持仓明细!$B$24:$AA$24,'实盘净值数据(iFinD公式)'!$B787:$AA787/'实盘净值数据(iFinD公式)'!$B$65:$AA$65)*(1-实盘持仓初始配置!$Z$8)^(('实盘净值数据(iFinD公式)'!$A787-'实盘净值数据(iFinD公式)'!$A$5)/365))</x:f>
        <x:v>#NAME?</x:v>
      </x:c>
      <x:c r="O787" s="152" t="e">
        <x:f>IF(OR(N786="",N787=""),"",N787/N786-1)</x:f>
        <x:v>#NAME?</x:v>
      </x:c>
      <x:c r="P787" s="152" t="e">
        <x:f>IF(N787="","",N787/MAX(N$5:N787)-1)</x:f>
        <x:v>#NAME?</x:v>
      </x:c>
      <x:c r="Q787" s="146" t="e">
        <x:f>IF(OR('实盘净值数据(iFinD公式)'!$A787="",'实盘净值数据(iFinD公式)'!$B787=""),"",分期持仓明细!$AD$25*SUMPRODUCT(分期持仓明细!$B$25:$AA$25,'实盘净值数据(iFinD公式)'!$B787:$AA787/'实盘净值数据(iFinD公式)'!$B$65:$AA$65)*(1-实盘持仓初始配置!$Z$9)^(('实盘净值数据(iFinD公式)'!$A787-'实盘净值数据(iFinD公式)'!$A$8)/365))</x:f>
        <x:v>#NAME?</x:v>
      </x:c>
      <x:c r="R787" s="152" t="e">
        <x:f>IF(OR(Q786="",Q787=""),"",Q787/Q786-1)</x:f>
        <x:v>#NAME?</x:v>
      </x:c>
      <x:c r="S787" s="152" t="e">
        <x:f>IF(Q787="","",Q787/MAX(Q$5:Q787)-1)</x:f>
        <x:v>#NAME?</x:v>
      </x:c>
    </x:row>
    <x:row r="788">
      <x:c r="A788" s="149" t="str">
        <x:f>IF('实盘净值数据(iFinD公式)'!A788="","",'实盘净值数据(iFinD公式)'!A788)</x:f>
      </x:c>
      <x:c r="B788" s="146" t="e">
        <x:f>IF(OR('实盘净值数据(iFinD公式)'!$A788="",'实盘净值数据(iFinD公式)'!$B788=""),"",分期持仓明细!$AD$17*SUMPRODUCT(分期持仓明细!$B$17:$AA$17,'实盘净值数据(iFinD公式)'!$B788:$AA788/'实盘净值数据(iFinD公式)'!$B$20:$AA$20)*(1-实盘持仓初始配置!$Z$4)^(('实盘净值数据(iFinD公式)'!$A788-'实盘净值数据(iFinD公式)'!$A$6)/365))</x:f>
        <x:v>#NAME?</x:v>
      </x:c>
      <x:c r="C788" s="152" t="e">
        <x:f>IF(OR(B787="",B788=""),"",B788/B787-1)</x:f>
        <x:v>#NAME?</x:v>
      </x:c>
      <x:c r="D788" s="152" t="e">
        <x:f>IF(B788="","",B788/MAX(B$5:B788)-1)</x:f>
        <x:v>#NAME?</x:v>
      </x:c>
      <x:c r="E788" s="146" t="e">
        <x:f>IF(OR('实盘净值数据(iFinD公式)'!$A788="",'实盘净值数据(iFinD公式)'!$B788=""),"",分期持仓明细!$AD$18*SUMPRODUCT(分期持仓明细!$B$18:$AA$18,'实盘净值数据(iFinD公式)'!$B788:$AA788/'实盘净值数据(iFinD公式)'!$B$20:$AA$20)*(1-实盘持仓初始配置!$Z$5)^(('实盘净值数据(iFinD公式)'!$A788-'实盘净值数据(iFinD公式)'!$A$5)/365))</x:f>
        <x:v>#NAME?</x:v>
      </x:c>
      <x:c r="F788" s="152" t="e">
        <x:f>IF(OR(E787="",E788=""),"",E788/E787-1)</x:f>
        <x:v>#NAME?</x:v>
      </x:c>
      <x:c r="G788" s="152" t="e">
        <x:f>IF(E788="","",E788/MAX(E$5:E788)-1)</x:f>
        <x:v>#NAME?</x:v>
      </x:c>
      <x:c r="H788" s="146" t="e">
        <x:f>IF(OR('实盘净值数据(iFinD公式)'!$A788="",'实盘净值数据(iFinD公式)'!$B788=""),"",分期持仓明细!$AD$19*SUMPRODUCT(分期持仓明细!$B$19:$AA$19,'实盘净值数据(iFinD公式)'!$B788:$AA788/'实盘净值数据(iFinD公式)'!$B$20:$AA$20)*(1-实盘持仓初始配置!$Z$6)^(('实盘净值数据(iFinD公式)'!$A788-'实盘净值数据(iFinD公式)'!$A$7)/365))</x:f>
        <x:v>#NAME?</x:v>
      </x:c>
      <x:c r="I788" s="152" t="e">
        <x:f>IF(OR(H787="",H788=""),"",H788/H787-1)</x:f>
        <x:v>#NAME?</x:v>
      </x:c>
      <x:c r="J788" s="152" t="e">
        <x:f>IF(H788="","",H788/MAX(H$5:H788)-1)</x:f>
        <x:v>#NAME?</x:v>
      </x:c>
      <x:c r="K788" s="146" t="e">
        <x:f>IF(OR('实盘净值数据(iFinD公式)'!$A788="",'实盘净值数据(iFinD公式)'!$B788=""),"",分期持仓明细!$AD$23*SUMPRODUCT(分期持仓明细!$B$23:$AA$23,'实盘净值数据(iFinD公式)'!$B788:$AA788/'实盘净值数据(iFinD公式)'!$B$65:$AA$65)*(1-实盘持仓初始配置!$Z$7)^(('实盘净值数据(iFinD公式)'!$A788-'实盘净值数据(iFinD公式)'!$A$8)/365))</x:f>
        <x:v>#NAME?</x:v>
      </x:c>
      <x:c r="L788" s="152" t="e">
        <x:f>IF(OR(K787="",K788=""),"",K788/K787-1)</x:f>
        <x:v>#NAME?</x:v>
      </x:c>
      <x:c r="M788" s="152" t="e">
        <x:f>IF(K788="","",K788/MAX(K$5:K788)-1)</x:f>
        <x:v>#NAME?</x:v>
      </x:c>
      <x:c r="N788" s="146" t="e">
        <x:f>IF(OR('实盘净值数据(iFinD公式)'!$A788="",'实盘净值数据(iFinD公式)'!$B788=""),"",分期持仓明细!$AD$24*SUMPRODUCT(分期持仓明细!$B$24:$AA$24,'实盘净值数据(iFinD公式)'!$B788:$AA788/'实盘净值数据(iFinD公式)'!$B$65:$AA$65)*(1-实盘持仓初始配置!$Z$8)^(('实盘净值数据(iFinD公式)'!$A788-'实盘净值数据(iFinD公式)'!$A$5)/365))</x:f>
        <x:v>#NAME?</x:v>
      </x:c>
      <x:c r="O788" s="152" t="e">
        <x:f>IF(OR(N787="",N788=""),"",N788/N787-1)</x:f>
        <x:v>#NAME?</x:v>
      </x:c>
      <x:c r="P788" s="152" t="e">
        <x:f>IF(N788="","",N788/MAX(N$5:N788)-1)</x:f>
        <x:v>#NAME?</x:v>
      </x:c>
      <x:c r="Q788" s="146" t="e">
        <x:f>IF(OR('实盘净值数据(iFinD公式)'!$A788="",'实盘净值数据(iFinD公式)'!$B788=""),"",分期持仓明细!$AD$25*SUMPRODUCT(分期持仓明细!$B$25:$AA$25,'实盘净值数据(iFinD公式)'!$B788:$AA788/'实盘净值数据(iFinD公式)'!$B$65:$AA$65)*(1-实盘持仓初始配置!$Z$9)^(('实盘净值数据(iFinD公式)'!$A788-'实盘净值数据(iFinD公式)'!$A$8)/365))</x:f>
        <x:v>#NAME?</x:v>
      </x:c>
      <x:c r="R788" s="152" t="e">
        <x:f>IF(OR(Q787="",Q788=""),"",Q788/Q787-1)</x:f>
        <x:v>#NAME?</x:v>
      </x:c>
      <x:c r="S788" s="152" t="e">
        <x:f>IF(Q788="","",Q788/MAX(Q$5:Q788)-1)</x:f>
        <x:v>#NAME?</x:v>
      </x:c>
    </x:row>
    <x:row r="789">
      <x:c r="A789" s="149" t="str">
        <x:f>IF('实盘净值数据(iFinD公式)'!A789="","",'实盘净值数据(iFinD公式)'!A789)</x:f>
      </x:c>
      <x:c r="B789" s="146" t="e">
        <x:f>IF(OR('实盘净值数据(iFinD公式)'!$A789="",'实盘净值数据(iFinD公式)'!$B789=""),"",分期持仓明细!$AD$17*SUMPRODUCT(分期持仓明细!$B$17:$AA$17,'实盘净值数据(iFinD公式)'!$B789:$AA789/'实盘净值数据(iFinD公式)'!$B$20:$AA$20)*(1-实盘持仓初始配置!$Z$4)^(('实盘净值数据(iFinD公式)'!$A789-'实盘净值数据(iFinD公式)'!$A$6)/365))</x:f>
        <x:v>#NAME?</x:v>
      </x:c>
      <x:c r="C789" s="152" t="e">
        <x:f>IF(OR(B788="",B789=""),"",B789/B788-1)</x:f>
        <x:v>#NAME?</x:v>
      </x:c>
      <x:c r="D789" s="152" t="e">
        <x:f>IF(B789="","",B789/MAX(B$5:B789)-1)</x:f>
        <x:v>#NAME?</x:v>
      </x:c>
      <x:c r="E789" s="146" t="e">
        <x:f>IF(OR('实盘净值数据(iFinD公式)'!$A789="",'实盘净值数据(iFinD公式)'!$B789=""),"",分期持仓明细!$AD$18*SUMPRODUCT(分期持仓明细!$B$18:$AA$18,'实盘净值数据(iFinD公式)'!$B789:$AA789/'实盘净值数据(iFinD公式)'!$B$20:$AA$20)*(1-实盘持仓初始配置!$Z$5)^(('实盘净值数据(iFinD公式)'!$A789-'实盘净值数据(iFinD公式)'!$A$5)/365))</x:f>
        <x:v>#NAME?</x:v>
      </x:c>
      <x:c r="F789" s="152" t="e">
        <x:f>IF(OR(E788="",E789=""),"",E789/E788-1)</x:f>
        <x:v>#NAME?</x:v>
      </x:c>
      <x:c r="G789" s="152" t="e">
        <x:f>IF(E789="","",E789/MAX(E$5:E789)-1)</x:f>
        <x:v>#NAME?</x:v>
      </x:c>
      <x:c r="H789" s="146" t="e">
        <x:f>IF(OR('实盘净值数据(iFinD公式)'!$A789="",'实盘净值数据(iFinD公式)'!$B789=""),"",分期持仓明细!$AD$19*SUMPRODUCT(分期持仓明细!$B$19:$AA$19,'实盘净值数据(iFinD公式)'!$B789:$AA789/'实盘净值数据(iFinD公式)'!$B$20:$AA$20)*(1-实盘持仓初始配置!$Z$6)^(('实盘净值数据(iFinD公式)'!$A789-'实盘净值数据(iFinD公式)'!$A$7)/365))</x:f>
        <x:v>#NAME?</x:v>
      </x:c>
      <x:c r="I789" s="152" t="e">
        <x:f>IF(OR(H788="",H789=""),"",H789/H788-1)</x:f>
        <x:v>#NAME?</x:v>
      </x:c>
      <x:c r="J789" s="152" t="e">
        <x:f>IF(H789="","",H789/MAX(H$5:H789)-1)</x:f>
        <x:v>#NAME?</x:v>
      </x:c>
      <x:c r="K789" s="146" t="e">
        <x:f>IF(OR('实盘净值数据(iFinD公式)'!$A789="",'实盘净值数据(iFinD公式)'!$B789=""),"",分期持仓明细!$AD$23*SUMPRODUCT(分期持仓明细!$B$23:$AA$23,'实盘净值数据(iFinD公式)'!$B789:$AA789/'实盘净值数据(iFinD公式)'!$B$65:$AA$65)*(1-实盘持仓初始配置!$Z$7)^(('实盘净值数据(iFinD公式)'!$A789-'实盘净值数据(iFinD公式)'!$A$8)/365))</x:f>
        <x:v>#NAME?</x:v>
      </x:c>
      <x:c r="L789" s="152" t="e">
        <x:f>IF(OR(K788="",K789=""),"",K789/K788-1)</x:f>
        <x:v>#NAME?</x:v>
      </x:c>
      <x:c r="M789" s="152" t="e">
        <x:f>IF(K789="","",K789/MAX(K$5:K789)-1)</x:f>
        <x:v>#NAME?</x:v>
      </x:c>
      <x:c r="N789" s="146" t="e">
        <x:f>IF(OR('实盘净值数据(iFinD公式)'!$A789="",'实盘净值数据(iFinD公式)'!$B789=""),"",分期持仓明细!$AD$24*SUMPRODUCT(分期持仓明细!$B$24:$AA$24,'实盘净值数据(iFinD公式)'!$B789:$AA789/'实盘净值数据(iFinD公式)'!$B$65:$AA$65)*(1-实盘持仓初始配置!$Z$8)^(('实盘净值数据(iFinD公式)'!$A789-'实盘净值数据(iFinD公式)'!$A$5)/365))</x:f>
        <x:v>#NAME?</x:v>
      </x:c>
      <x:c r="O789" s="152" t="e">
        <x:f>IF(OR(N788="",N789=""),"",N789/N788-1)</x:f>
        <x:v>#NAME?</x:v>
      </x:c>
      <x:c r="P789" s="152" t="e">
        <x:f>IF(N789="","",N789/MAX(N$5:N789)-1)</x:f>
        <x:v>#NAME?</x:v>
      </x:c>
      <x:c r="Q789" s="146" t="e">
        <x:f>IF(OR('实盘净值数据(iFinD公式)'!$A789="",'实盘净值数据(iFinD公式)'!$B789=""),"",分期持仓明细!$AD$25*SUMPRODUCT(分期持仓明细!$B$25:$AA$25,'实盘净值数据(iFinD公式)'!$B789:$AA789/'实盘净值数据(iFinD公式)'!$B$65:$AA$65)*(1-实盘持仓初始配置!$Z$9)^(('实盘净值数据(iFinD公式)'!$A789-'实盘净值数据(iFinD公式)'!$A$8)/365))</x:f>
        <x:v>#NAME?</x:v>
      </x:c>
      <x:c r="R789" s="152" t="e">
        <x:f>IF(OR(Q788="",Q789=""),"",Q789/Q788-1)</x:f>
        <x:v>#NAME?</x:v>
      </x:c>
      <x:c r="S789" s="152" t="e">
        <x:f>IF(Q789="","",Q789/MAX(Q$5:Q789)-1)</x:f>
        <x:v>#NAME?</x:v>
      </x:c>
    </x:row>
    <x:row r="790">
      <x:c r="A790" s="149" t="str">
        <x:f>IF('实盘净值数据(iFinD公式)'!A790="","",'实盘净值数据(iFinD公式)'!A790)</x:f>
      </x:c>
      <x:c r="B790" s="146" t="e">
        <x:f>IF(OR('实盘净值数据(iFinD公式)'!$A790="",'实盘净值数据(iFinD公式)'!$B790=""),"",分期持仓明细!$AD$17*SUMPRODUCT(分期持仓明细!$B$17:$AA$17,'实盘净值数据(iFinD公式)'!$B790:$AA790/'实盘净值数据(iFinD公式)'!$B$20:$AA$20)*(1-实盘持仓初始配置!$Z$4)^(('实盘净值数据(iFinD公式)'!$A790-'实盘净值数据(iFinD公式)'!$A$6)/365))</x:f>
        <x:v>#NAME?</x:v>
      </x:c>
      <x:c r="C790" s="152" t="e">
        <x:f>IF(OR(B789="",B790=""),"",B790/B789-1)</x:f>
        <x:v>#NAME?</x:v>
      </x:c>
      <x:c r="D790" s="152" t="e">
        <x:f>IF(B790="","",B790/MAX(B$5:B790)-1)</x:f>
        <x:v>#NAME?</x:v>
      </x:c>
      <x:c r="E790" s="146" t="e">
        <x:f>IF(OR('实盘净值数据(iFinD公式)'!$A790="",'实盘净值数据(iFinD公式)'!$B790=""),"",分期持仓明细!$AD$18*SUMPRODUCT(分期持仓明细!$B$18:$AA$18,'实盘净值数据(iFinD公式)'!$B790:$AA790/'实盘净值数据(iFinD公式)'!$B$20:$AA$20)*(1-实盘持仓初始配置!$Z$5)^(('实盘净值数据(iFinD公式)'!$A790-'实盘净值数据(iFinD公式)'!$A$5)/365))</x:f>
        <x:v>#NAME?</x:v>
      </x:c>
      <x:c r="F790" s="152" t="e">
        <x:f>IF(OR(E789="",E790=""),"",E790/E789-1)</x:f>
        <x:v>#NAME?</x:v>
      </x:c>
      <x:c r="G790" s="152" t="e">
        <x:f>IF(E790="","",E790/MAX(E$5:E790)-1)</x:f>
        <x:v>#NAME?</x:v>
      </x:c>
      <x:c r="H790" s="146" t="e">
        <x:f>IF(OR('实盘净值数据(iFinD公式)'!$A790="",'实盘净值数据(iFinD公式)'!$B790=""),"",分期持仓明细!$AD$19*SUMPRODUCT(分期持仓明细!$B$19:$AA$19,'实盘净值数据(iFinD公式)'!$B790:$AA790/'实盘净值数据(iFinD公式)'!$B$20:$AA$20)*(1-实盘持仓初始配置!$Z$6)^(('实盘净值数据(iFinD公式)'!$A790-'实盘净值数据(iFinD公式)'!$A$7)/365))</x:f>
        <x:v>#NAME?</x:v>
      </x:c>
      <x:c r="I790" s="152" t="e">
        <x:f>IF(OR(H789="",H790=""),"",H790/H789-1)</x:f>
        <x:v>#NAME?</x:v>
      </x:c>
      <x:c r="J790" s="152" t="e">
        <x:f>IF(H790="","",H790/MAX(H$5:H790)-1)</x:f>
        <x:v>#NAME?</x:v>
      </x:c>
      <x:c r="K790" s="146" t="e">
        <x:f>IF(OR('实盘净值数据(iFinD公式)'!$A790="",'实盘净值数据(iFinD公式)'!$B790=""),"",分期持仓明细!$AD$23*SUMPRODUCT(分期持仓明细!$B$23:$AA$23,'实盘净值数据(iFinD公式)'!$B790:$AA790/'实盘净值数据(iFinD公式)'!$B$65:$AA$65)*(1-实盘持仓初始配置!$Z$7)^(('实盘净值数据(iFinD公式)'!$A790-'实盘净值数据(iFinD公式)'!$A$8)/365))</x:f>
        <x:v>#NAME?</x:v>
      </x:c>
      <x:c r="L790" s="152" t="e">
        <x:f>IF(OR(K789="",K790=""),"",K790/K789-1)</x:f>
        <x:v>#NAME?</x:v>
      </x:c>
      <x:c r="M790" s="152" t="e">
        <x:f>IF(K790="","",K790/MAX(K$5:K790)-1)</x:f>
        <x:v>#NAME?</x:v>
      </x:c>
      <x:c r="N790" s="146" t="e">
        <x:f>IF(OR('实盘净值数据(iFinD公式)'!$A790="",'实盘净值数据(iFinD公式)'!$B790=""),"",分期持仓明细!$AD$24*SUMPRODUCT(分期持仓明细!$B$24:$AA$24,'实盘净值数据(iFinD公式)'!$B790:$AA790/'实盘净值数据(iFinD公式)'!$B$65:$AA$65)*(1-实盘持仓初始配置!$Z$8)^(('实盘净值数据(iFinD公式)'!$A790-'实盘净值数据(iFinD公式)'!$A$5)/365))</x:f>
        <x:v>#NAME?</x:v>
      </x:c>
      <x:c r="O790" s="152" t="e">
        <x:f>IF(OR(N789="",N790=""),"",N790/N789-1)</x:f>
        <x:v>#NAME?</x:v>
      </x:c>
      <x:c r="P790" s="152" t="e">
        <x:f>IF(N790="","",N790/MAX(N$5:N790)-1)</x:f>
        <x:v>#NAME?</x:v>
      </x:c>
      <x:c r="Q790" s="146" t="e">
        <x:f>IF(OR('实盘净值数据(iFinD公式)'!$A790="",'实盘净值数据(iFinD公式)'!$B790=""),"",分期持仓明细!$AD$25*SUMPRODUCT(分期持仓明细!$B$25:$AA$25,'实盘净值数据(iFinD公式)'!$B790:$AA790/'实盘净值数据(iFinD公式)'!$B$65:$AA$65)*(1-实盘持仓初始配置!$Z$9)^(('实盘净值数据(iFinD公式)'!$A790-'实盘净值数据(iFinD公式)'!$A$8)/365))</x:f>
        <x:v>#NAME?</x:v>
      </x:c>
      <x:c r="R790" s="152" t="e">
        <x:f>IF(OR(Q789="",Q790=""),"",Q790/Q789-1)</x:f>
        <x:v>#NAME?</x:v>
      </x:c>
      <x:c r="S790" s="152" t="e">
        <x:f>IF(Q790="","",Q790/MAX(Q$5:Q790)-1)</x:f>
        <x:v>#NAME?</x:v>
      </x:c>
    </x:row>
    <x:row r="791">
      <x:c r="A791" s="149" t="str">
        <x:f>IF('实盘净值数据(iFinD公式)'!A791="","",'实盘净值数据(iFinD公式)'!A791)</x:f>
      </x:c>
      <x:c r="B791" s="146" t="e">
        <x:f>IF(OR('实盘净值数据(iFinD公式)'!$A791="",'实盘净值数据(iFinD公式)'!$B791=""),"",分期持仓明细!$AD$17*SUMPRODUCT(分期持仓明细!$B$17:$AA$17,'实盘净值数据(iFinD公式)'!$B791:$AA791/'实盘净值数据(iFinD公式)'!$B$20:$AA$20)*(1-实盘持仓初始配置!$Z$4)^(('实盘净值数据(iFinD公式)'!$A791-'实盘净值数据(iFinD公式)'!$A$6)/365))</x:f>
        <x:v>#NAME?</x:v>
      </x:c>
      <x:c r="C791" s="152" t="e">
        <x:f>IF(OR(B790="",B791=""),"",B791/B790-1)</x:f>
        <x:v>#NAME?</x:v>
      </x:c>
      <x:c r="D791" s="152" t="e">
        <x:f>IF(B791="","",B791/MAX(B$5:B791)-1)</x:f>
        <x:v>#NAME?</x:v>
      </x:c>
      <x:c r="E791" s="146" t="e">
        <x:f>IF(OR('实盘净值数据(iFinD公式)'!$A791="",'实盘净值数据(iFinD公式)'!$B791=""),"",分期持仓明细!$AD$18*SUMPRODUCT(分期持仓明细!$B$18:$AA$18,'实盘净值数据(iFinD公式)'!$B791:$AA791/'实盘净值数据(iFinD公式)'!$B$20:$AA$20)*(1-实盘持仓初始配置!$Z$5)^(('实盘净值数据(iFinD公式)'!$A791-'实盘净值数据(iFinD公式)'!$A$5)/365))</x:f>
        <x:v>#NAME?</x:v>
      </x:c>
      <x:c r="F791" s="152" t="e">
        <x:f>IF(OR(E790="",E791=""),"",E791/E790-1)</x:f>
        <x:v>#NAME?</x:v>
      </x:c>
      <x:c r="G791" s="152" t="e">
        <x:f>IF(E791="","",E791/MAX(E$5:E791)-1)</x:f>
        <x:v>#NAME?</x:v>
      </x:c>
      <x:c r="H791" s="146" t="e">
        <x:f>IF(OR('实盘净值数据(iFinD公式)'!$A791="",'实盘净值数据(iFinD公式)'!$B791=""),"",分期持仓明细!$AD$19*SUMPRODUCT(分期持仓明细!$B$19:$AA$19,'实盘净值数据(iFinD公式)'!$B791:$AA791/'实盘净值数据(iFinD公式)'!$B$20:$AA$20)*(1-实盘持仓初始配置!$Z$6)^(('实盘净值数据(iFinD公式)'!$A791-'实盘净值数据(iFinD公式)'!$A$7)/365))</x:f>
        <x:v>#NAME?</x:v>
      </x:c>
      <x:c r="I791" s="152" t="e">
        <x:f>IF(OR(H790="",H791=""),"",H791/H790-1)</x:f>
        <x:v>#NAME?</x:v>
      </x:c>
      <x:c r="J791" s="152" t="e">
        <x:f>IF(H791="","",H791/MAX(H$5:H791)-1)</x:f>
        <x:v>#NAME?</x:v>
      </x:c>
      <x:c r="K791" s="146" t="e">
        <x:f>IF(OR('实盘净值数据(iFinD公式)'!$A791="",'实盘净值数据(iFinD公式)'!$B791=""),"",分期持仓明细!$AD$23*SUMPRODUCT(分期持仓明细!$B$23:$AA$23,'实盘净值数据(iFinD公式)'!$B791:$AA791/'实盘净值数据(iFinD公式)'!$B$65:$AA$65)*(1-实盘持仓初始配置!$Z$7)^(('实盘净值数据(iFinD公式)'!$A791-'实盘净值数据(iFinD公式)'!$A$8)/365))</x:f>
        <x:v>#NAME?</x:v>
      </x:c>
      <x:c r="L791" s="152" t="e">
        <x:f>IF(OR(K790="",K791=""),"",K791/K790-1)</x:f>
        <x:v>#NAME?</x:v>
      </x:c>
      <x:c r="M791" s="152" t="e">
        <x:f>IF(K791="","",K791/MAX(K$5:K791)-1)</x:f>
        <x:v>#NAME?</x:v>
      </x:c>
      <x:c r="N791" s="146" t="e">
        <x:f>IF(OR('实盘净值数据(iFinD公式)'!$A791="",'实盘净值数据(iFinD公式)'!$B791=""),"",分期持仓明细!$AD$24*SUMPRODUCT(分期持仓明细!$B$24:$AA$24,'实盘净值数据(iFinD公式)'!$B791:$AA791/'实盘净值数据(iFinD公式)'!$B$65:$AA$65)*(1-实盘持仓初始配置!$Z$8)^(('实盘净值数据(iFinD公式)'!$A791-'实盘净值数据(iFinD公式)'!$A$5)/365))</x:f>
        <x:v>#NAME?</x:v>
      </x:c>
      <x:c r="O791" s="152" t="e">
        <x:f>IF(OR(N790="",N791=""),"",N791/N790-1)</x:f>
        <x:v>#NAME?</x:v>
      </x:c>
      <x:c r="P791" s="152" t="e">
        <x:f>IF(N791="","",N791/MAX(N$5:N791)-1)</x:f>
        <x:v>#NAME?</x:v>
      </x:c>
      <x:c r="Q791" s="146" t="e">
        <x:f>IF(OR('实盘净值数据(iFinD公式)'!$A791="",'实盘净值数据(iFinD公式)'!$B791=""),"",分期持仓明细!$AD$25*SUMPRODUCT(分期持仓明细!$B$25:$AA$25,'实盘净值数据(iFinD公式)'!$B791:$AA791/'实盘净值数据(iFinD公式)'!$B$65:$AA$65)*(1-实盘持仓初始配置!$Z$9)^(('实盘净值数据(iFinD公式)'!$A791-'实盘净值数据(iFinD公式)'!$A$8)/365))</x:f>
        <x:v>#NAME?</x:v>
      </x:c>
      <x:c r="R791" s="152" t="e">
        <x:f>IF(OR(Q790="",Q791=""),"",Q791/Q790-1)</x:f>
        <x:v>#NAME?</x:v>
      </x:c>
      <x:c r="S791" s="152" t="e">
        <x:f>IF(Q791="","",Q791/MAX(Q$5:Q791)-1)</x:f>
        <x:v>#NAME?</x:v>
      </x:c>
    </x:row>
    <x:row r="792">
      <x:c r="A792" s="149" t="str">
        <x:f>IF('实盘净值数据(iFinD公式)'!A792="","",'实盘净值数据(iFinD公式)'!A792)</x:f>
      </x:c>
      <x:c r="B792" s="146" t="e">
        <x:f>IF(OR('实盘净值数据(iFinD公式)'!$A792="",'实盘净值数据(iFinD公式)'!$B792=""),"",分期持仓明细!$AD$17*SUMPRODUCT(分期持仓明细!$B$17:$AA$17,'实盘净值数据(iFinD公式)'!$B792:$AA792/'实盘净值数据(iFinD公式)'!$B$20:$AA$20)*(1-实盘持仓初始配置!$Z$4)^(('实盘净值数据(iFinD公式)'!$A792-'实盘净值数据(iFinD公式)'!$A$6)/365))</x:f>
        <x:v>#NAME?</x:v>
      </x:c>
      <x:c r="C792" s="152" t="e">
        <x:f>IF(OR(B791="",B792=""),"",B792/B791-1)</x:f>
        <x:v>#NAME?</x:v>
      </x:c>
      <x:c r="D792" s="152" t="e">
        <x:f>IF(B792="","",B792/MAX(B$5:B792)-1)</x:f>
        <x:v>#NAME?</x:v>
      </x:c>
      <x:c r="E792" s="146" t="e">
        <x:f>IF(OR('实盘净值数据(iFinD公式)'!$A792="",'实盘净值数据(iFinD公式)'!$B792=""),"",分期持仓明细!$AD$18*SUMPRODUCT(分期持仓明细!$B$18:$AA$18,'实盘净值数据(iFinD公式)'!$B792:$AA792/'实盘净值数据(iFinD公式)'!$B$20:$AA$20)*(1-实盘持仓初始配置!$Z$5)^(('实盘净值数据(iFinD公式)'!$A792-'实盘净值数据(iFinD公式)'!$A$5)/365))</x:f>
        <x:v>#NAME?</x:v>
      </x:c>
      <x:c r="F792" s="152" t="e">
        <x:f>IF(OR(E791="",E792=""),"",E792/E791-1)</x:f>
        <x:v>#NAME?</x:v>
      </x:c>
      <x:c r="G792" s="152" t="e">
        <x:f>IF(E792="","",E792/MAX(E$5:E792)-1)</x:f>
        <x:v>#NAME?</x:v>
      </x:c>
      <x:c r="H792" s="146" t="e">
        <x:f>IF(OR('实盘净值数据(iFinD公式)'!$A792="",'实盘净值数据(iFinD公式)'!$B792=""),"",分期持仓明细!$AD$19*SUMPRODUCT(分期持仓明细!$B$19:$AA$19,'实盘净值数据(iFinD公式)'!$B792:$AA792/'实盘净值数据(iFinD公式)'!$B$20:$AA$20)*(1-实盘持仓初始配置!$Z$6)^(('实盘净值数据(iFinD公式)'!$A792-'实盘净值数据(iFinD公式)'!$A$7)/365))</x:f>
        <x:v>#NAME?</x:v>
      </x:c>
      <x:c r="I792" s="152" t="e">
        <x:f>IF(OR(H791="",H792=""),"",H792/H791-1)</x:f>
        <x:v>#NAME?</x:v>
      </x:c>
      <x:c r="J792" s="152" t="e">
        <x:f>IF(H792="","",H792/MAX(H$5:H792)-1)</x:f>
        <x:v>#NAME?</x:v>
      </x:c>
      <x:c r="K792" s="146" t="e">
        <x:f>IF(OR('实盘净值数据(iFinD公式)'!$A792="",'实盘净值数据(iFinD公式)'!$B792=""),"",分期持仓明细!$AD$23*SUMPRODUCT(分期持仓明细!$B$23:$AA$23,'实盘净值数据(iFinD公式)'!$B792:$AA792/'实盘净值数据(iFinD公式)'!$B$65:$AA$65)*(1-实盘持仓初始配置!$Z$7)^(('实盘净值数据(iFinD公式)'!$A792-'实盘净值数据(iFinD公式)'!$A$8)/365))</x:f>
        <x:v>#NAME?</x:v>
      </x:c>
      <x:c r="L792" s="152" t="e">
        <x:f>IF(OR(K791="",K792=""),"",K792/K791-1)</x:f>
        <x:v>#NAME?</x:v>
      </x:c>
      <x:c r="M792" s="152" t="e">
        <x:f>IF(K792="","",K792/MAX(K$5:K792)-1)</x:f>
        <x:v>#NAME?</x:v>
      </x:c>
      <x:c r="N792" s="146" t="e">
        <x:f>IF(OR('实盘净值数据(iFinD公式)'!$A792="",'实盘净值数据(iFinD公式)'!$B792=""),"",分期持仓明细!$AD$24*SUMPRODUCT(分期持仓明细!$B$24:$AA$24,'实盘净值数据(iFinD公式)'!$B792:$AA792/'实盘净值数据(iFinD公式)'!$B$65:$AA$65)*(1-实盘持仓初始配置!$Z$8)^(('实盘净值数据(iFinD公式)'!$A792-'实盘净值数据(iFinD公式)'!$A$5)/365))</x:f>
        <x:v>#NAME?</x:v>
      </x:c>
      <x:c r="O792" s="152" t="e">
        <x:f>IF(OR(N791="",N792=""),"",N792/N791-1)</x:f>
        <x:v>#NAME?</x:v>
      </x:c>
      <x:c r="P792" s="152" t="e">
        <x:f>IF(N792="","",N792/MAX(N$5:N792)-1)</x:f>
        <x:v>#NAME?</x:v>
      </x:c>
      <x:c r="Q792" s="146" t="e">
        <x:f>IF(OR('实盘净值数据(iFinD公式)'!$A792="",'实盘净值数据(iFinD公式)'!$B792=""),"",分期持仓明细!$AD$25*SUMPRODUCT(分期持仓明细!$B$25:$AA$25,'实盘净值数据(iFinD公式)'!$B792:$AA792/'实盘净值数据(iFinD公式)'!$B$65:$AA$65)*(1-实盘持仓初始配置!$Z$9)^(('实盘净值数据(iFinD公式)'!$A792-'实盘净值数据(iFinD公式)'!$A$8)/365))</x:f>
        <x:v>#NAME?</x:v>
      </x:c>
      <x:c r="R792" s="152" t="e">
        <x:f>IF(OR(Q791="",Q792=""),"",Q792/Q791-1)</x:f>
        <x:v>#NAME?</x:v>
      </x:c>
      <x:c r="S792" s="152" t="e">
        <x:f>IF(Q792="","",Q792/MAX(Q$5:Q792)-1)</x:f>
        <x:v>#NAME?</x:v>
      </x:c>
    </x:row>
    <x:row r="793">
      <x:c r="A793" s="149" t="str">
        <x:f>IF('实盘净值数据(iFinD公式)'!A793="","",'实盘净值数据(iFinD公式)'!A793)</x:f>
      </x:c>
      <x:c r="B793" s="146" t="e">
        <x:f>IF(OR('实盘净值数据(iFinD公式)'!$A793="",'实盘净值数据(iFinD公式)'!$B793=""),"",分期持仓明细!$AD$17*SUMPRODUCT(分期持仓明细!$B$17:$AA$17,'实盘净值数据(iFinD公式)'!$B793:$AA793/'实盘净值数据(iFinD公式)'!$B$20:$AA$20)*(1-实盘持仓初始配置!$Z$4)^(('实盘净值数据(iFinD公式)'!$A793-'实盘净值数据(iFinD公式)'!$A$6)/365))</x:f>
        <x:v>#NAME?</x:v>
      </x:c>
      <x:c r="C793" s="152" t="e">
        <x:f>IF(OR(B792="",B793=""),"",B793/B792-1)</x:f>
        <x:v>#NAME?</x:v>
      </x:c>
      <x:c r="D793" s="152" t="e">
        <x:f>IF(B793="","",B793/MAX(B$5:B793)-1)</x:f>
        <x:v>#NAME?</x:v>
      </x:c>
      <x:c r="E793" s="146" t="e">
        <x:f>IF(OR('实盘净值数据(iFinD公式)'!$A793="",'实盘净值数据(iFinD公式)'!$B793=""),"",分期持仓明细!$AD$18*SUMPRODUCT(分期持仓明细!$B$18:$AA$18,'实盘净值数据(iFinD公式)'!$B793:$AA793/'实盘净值数据(iFinD公式)'!$B$20:$AA$20)*(1-实盘持仓初始配置!$Z$5)^(('实盘净值数据(iFinD公式)'!$A793-'实盘净值数据(iFinD公式)'!$A$5)/365))</x:f>
        <x:v>#NAME?</x:v>
      </x:c>
      <x:c r="F793" s="152" t="e">
        <x:f>IF(OR(E792="",E793=""),"",E793/E792-1)</x:f>
        <x:v>#NAME?</x:v>
      </x:c>
      <x:c r="G793" s="152" t="e">
        <x:f>IF(E793="","",E793/MAX(E$5:E793)-1)</x:f>
        <x:v>#NAME?</x:v>
      </x:c>
      <x:c r="H793" s="146" t="e">
        <x:f>IF(OR('实盘净值数据(iFinD公式)'!$A793="",'实盘净值数据(iFinD公式)'!$B793=""),"",分期持仓明细!$AD$19*SUMPRODUCT(分期持仓明细!$B$19:$AA$19,'实盘净值数据(iFinD公式)'!$B793:$AA793/'实盘净值数据(iFinD公式)'!$B$20:$AA$20)*(1-实盘持仓初始配置!$Z$6)^(('实盘净值数据(iFinD公式)'!$A793-'实盘净值数据(iFinD公式)'!$A$7)/365))</x:f>
        <x:v>#NAME?</x:v>
      </x:c>
      <x:c r="I793" s="152" t="e">
        <x:f>IF(OR(H792="",H793=""),"",H793/H792-1)</x:f>
        <x:v>#NAME?</x:v>
      </x:c>
      <x:c r="J793" s="152" t="e">
        <x:f>IF(H793="","",H793/MAX(H$5:H793)-1)</x:f>
        <x:v>#NAME?</x:v>
      </x:c>
      <x:c r="K793" s="146" t="e">
        <x:f>IF(OR('实盘净值数据(iFinD公式)'!$A793="",'实盘净值数据(iFinD公式)'!$B793=""),"",分期持仓明细!$AD$23*SUMPRODUCT(分期持仓明细!$B$23:$AA$23,'实盘净值数据(iFinD公式)'!$B793:$AA793/'实盘净值数据(iFinD公式)'!$B$65:$AA$65)*(1-实盘持仓初始配置!$Z$7)^(('实盘净值数据(iFinD公式)'!$A793-'实盘净值数据(iFinD公式)'!$A$8)/365))</x:f>
        <x:v>#NAME?</x:v>
      </x:c>
      <x:c r="L793" s="152" t="e">
        <x:f>IF(OR(K792="",K793=""),"",K793/K792-1)</x:f>
        <x:v>#NAME?</x:v>
      </x:c>
      <x:c r="M793" s="152" t="e">
        <x:f>IF(K793="","",K793/MAX(K$5:K793)-1)</x:f>
        <x:v>#NAME?</x:v>
      </x:c>
      <x:c r="N793" s="146" t="e">
        <x:f>IF(OR('实盘净值数据(iFinD公式)'!$A793="",'实盘净值数据(iFinD公式)'!$B793=""),"",分期持仓明细!$AD$24*SUMPRODUCT(分期持仓明细!$B$24:$AA$24,'实盘净值数据(iFinD公式)'!$B793:$AA793/'实盘净值数据(iFinD公式)'!$B$65:$AA$65)*(1-实盘持仓初始配置!$Z$8)^(('实盘净值数据(iFinD公式)'!$A793-'实盘净值数据(iFinD公式)'!$A$5)/365))</x:f>
        <x:v>#NAME?</x:v>
      </x:c>
      <x:c r="O793" s="152" t="e">
        <x:f>IF(OR(N792="",N793=""),"",N793/N792-1)</x:f>
        <x:v>#NAME?</x:v>
      </x:c>
      <x:c r="P793" s="152" t="e">
        <x:f>IF(N793="","",N793/MAX(N$5:N793)-1)</x:f>
        <x:v>#NAME?</x:v>
      </x:c>
      <x:c r="Q793" s="146" t="e">
        <x:f>IF(OR('实盘净值数据(iFinD公式)'!$A793="",'实盘净值数据(iFinD公式)'!$B793=""),"",分期持仓明细!$AD$25*SUMPRODUCT(分期持仓明细!$B$25:$AA$25,'实盘净值数据(iFinD公式)'!$B793:$AA793/'实盘净值数据(iFinD公式)'!$B$65:$AA$65)*(1-实盘持仓初始配置!$Z$9)^(('实盘净值数据(iFinD公式)'!$A793-'实盘净值数据(iFinD公式)'!$A$8)/365))</x:f>
        <x:v>#NAME?</x:v>
      </x:c>
      <x:c r="R793" s="152" t="e">
        <x:f>IF(OR(Q792="",Q793=""),"",Q793/Q792-1)</x:f>
        <x:v>#NAME?</x:v>
      </x:c>
      <x:c r="S793" s="152" t="e">
        <x:f>IF(Q793="","",Q793/MAX(Q$5:Q793)-1)</x:f>
        <x:v>#NAME?</x:v>
      </x:c>
    </x:row>
    <x:row r="794">
      <x:c r="A794" s="149" t="str">
        <x:f>IF('实盘净值数据(iFinD公式)'!A794="","",'实盘净值数据(iFinD公式)'!A794)</x:f>
      </x:c>
      <x:c r="B794" s="146" t="e">
        <x:f>IF(OR('实盘净值数据(iFinD公式)'!$A794="",'实盘净值数据(iFinD公式)'!$B794=""),"",分期持仓明细!$AD$17*SUMPRODUCT(分期持仓明细!$B$17:$AA$17,'实盘净值数据(iFinD公式)'!$B794:$AA794/'实盘净值数据(iFinD公式)'!$B$20:$AA$20)*(1-实盘持仓初始配置!$Z$4)^(('实盘净值数据(iFinD公式)'!$A794-'实盘净值数据(iFinD公式)'!$A$6)/365))</x:f>
        <x:v>#NAME?</x:v>
      </x:c>
      <x:c r="C794" s="152" t="e">
        <x:f>IF(OR(B793="",B794=""),"",B794/B793-1)</x:f>
        <x:v>#NAME?</x:v>
      </x:c>
      <x:c r="D794" s="152" t="e">
        <x:f>IF(B794="","",B794/MAX(B$5:B794)-1)</x:f>
        <x:v>#NAME?</x:v>
      </x:c>
      <x:c r="E794" s="146" t="e">
        <x:f>IF(OR('实盘净值数据(iFinD公式)'!$A794="",'实盘净值数据(iFinD公式)'!$B794=""),"",分期持仓明细!$AD$18*SUMPRODUCT(分期持仓明细!$B$18:$AA$18,'实盘净值数据(iFinD公式)'!$B794:$AA794/'实盘净值数据(iFinD公式)'!$B$20:$AA$20)*(1-实盘持仓初始配置!$Z$5)^(('实盘净值数据(iFinD公式)'!$A794-'实盘净值数据(iFinD公式)'!$A$5)/365))</x:f>
        <x:v>#NAME?</x:v>
      </x:c>
      <x:c r="F794" s="152" t="e">
        <x:f>IF(OR(E793="",E794=""),"",E794/E793-1)</x:f>
        <x:v>#NAME?</x:v>
      </x:c>
      <x:c r="G794" s="152" t="e">
        <x:f>IF(E794="","",E794/MAX(E$5:E794)-1)</x:f>
        <x:v>#NAME?</x:v>
      </x:c>
      <x:c r="H794" s="146" t="e">
        <x:f>IF(OR('实盘净值数据(iFinD公式)'!$A794="",'实盘净值数据(iFinD公式)'!$B794=""),"",分期持仓明细!$AD$19*SUMPRODUCT(分期持仓明细!$B$19:$AA$19,'实盘净值数据(iFinD公式)'!$B794:$AA794/'实盘净值数据(iFinD公式)'!$B$20:$AA$20)*(1-实盘持仓初始配置!$Z$6)^(('实盘净值数据(iFinD公式)'!$A794-'实盘净值数据(iFinD公式)'!$A$7)/365))</x:f>
        <x:v>#NAME?</x:v>
      </x:c>
      <x:c r="I794" s="152" t="e">
        <x:f>IF(OR(H793="",H794=""),"",H794/H793-1)</x:f>
        <x:v>#NAME?</x:v>
      </x:c>
      <x:c r="J794" s="152" t="e">
        <x:f>IF(H794="","",H794/MAX(H$5:H794)-1)</x:f>
        <x:v>#NAME?</x:v>
      </x:c>
      <x:c r="K794" s="146" t="e">
        <x:f>IF(OR('实盘净值数据(iFinD公式)'!$A794="",'实盘净值数据(iFinD公式)'!$B794=""),"",分期持仓明细!$AD$23*SUMPRODUCT(分期持仓明细!$B$23:$AA$23,'实盘净值数据(iFinD公式)'!$B794:$AA794/'实盘净值数据(iFinD公式)'!$B$65:$AA$65)*(1-实盘持仓初始配置!$Z$7)^(('实盘净值数据(iFinD公式)'!$A794-'实盘净值数据(iFinD公式)'!$A$8)/365))</x:f>
        <x:v>#NAME?</x:v>
      </x:c>
      <x:c r="L794" s="152" t="e">
        <x:f>IF(OR(K793="",K794=""),"",K794/K793-1)</x:f>
        <x:v>#NAME?</x:v>
      </x:c>
      <x:c r="M794" s="152" t="e">
        <x:f>IF(K794="","",K794/MAX(K$5:K794)-1)</x:f>
        <x:v>#NAME?</x:v>
      </x:c>
      <x:c r="N794" s="146" t="e">
        <x:f>IF(OR('实盘净值数据(iFinD公式)'!$A794="",'实盘净值数据(iFinD公式)'!$B794=""),"",分期持仓明细!$AD$24*SUMPRODUCT(分期持仓明细!$B$24:$AA$24,'实盘净值数据(iFinD公式)'!$B794:$AA794/'实盘净值数据(iFinD公式)'!$B$65:$AA$65)*(1-实盘持仓初始配置!$Z$8)^(('实盘净值数据(iFinD公式)'!$A794-'实盘净值数据(iFinD公式)'!$A$5)/365))</x:f>
        <x:v>#NAME?</x:v>
      </x:c>
      <x:c r="O794" s="152" t="e">
        <x:f>IF(OR(N793="",N794=""),"",N794/N793-1)</x:f>
        <x:v>#NAME?</x:v>
      </x:c>
      <x:c r="P794" s="152" t="e">
        <x:f>IF(N794="","",N794/MAX(N$5:N794)-1)</x:f>
        <x:v>#NAME?</x:v>
      </x:c>
      <x:c r="Q794" s="146" t="e">
        <x:f>IF(OR('实盘净值数据(iFinD公式)'!$A794="",'实盘净值数据(iFinD公式)'!$B794=""),"",分期持仓明细!$AD$25*SUMPRODUCT(分期持仓明细!$B$25:$AA$25,'实盘净值数据(iFinD公式)'!$B794:$AA794/'实盘净值数据(iFinD公式)'!$B$65:$AA$65)*(1-实盘持仓初始配置!$Z$9)^(('实盘净值数据(iFinD公式)'!$A794-'实盘净值数据(iFinD公式)'!$A$8)/365))</x:f>
        <x:v>#NAME?</x:v>
      </x:c>
      <x:c r="R794" s="152" t="e">
        <x:f>IF(OR(Q793="",Q794=""),"",Q794/Q793-1)</x:f>
        <x:v>#NAME?</x:v>
      </x:c>
      <x:c r="S794" s="152" t="e">
        <x:f>IF(Q794="","",Q794/MAX(Q$5:Q794)-1)</x:f>
        <x:v>#NAME?</x:v>
      </x:c>
    </x:row>
    <x:row r="795">
      <x:c r="A795" s="149" t="str">
        <x:f>IF('实盘净值数据(iFinD公式)'!A795="","",'实盘净值数据(iFinD公式)'!A795)</x:f>
      </x:c>
      <x:c r="B795" s="146" t="e">
        <x:f>IF(OR('实盘净值数据(iFinD公式)'!$A795="",'实盘净值数据(iFinD公式)'!$B795=""),"",分期持仓明细!$AD$17*SUMPRODUCT(分期持仓明细!$B$17:$AA$17,'实盘净值数据(iFinD公式)'!$B795:$AA795/'实盘净值数据(iFinD公式)'!$B$20:$AA$20)*(1-实盘持仓初始配置!$Z$4)^(('实盘净值数据(iFinD公式)'!$A795-'实盘净值数据(iFinD公式)'!$A$6)/365))</x:f>
        <x:v>#NAME?</x:v>
      </x:c>
      <x:c r="C795" s="152" t="e">
        <x:f>IF(OR(B794="",B795=""),"",B795/B794-1)</x:f>
        <x:v>#NAME?</x:v>
      </x:c>
      <x:c r="D795" s="152" t="e">
        <x:f>IF(B795="","",B795/MAX(B$5:B795)-1)</x:f>
        <x:v>#NAME?</x:v>
      </x:c>
      <x:c r="E795" s="146" t="e">
        <x:f>IF(OR('实盘净值数据(iFinD公式)'!$A795="",'实盘净值数据(iFinD公式)'!$B795=""),"",分期持仓明细!$AD$18*SUMPRODUCT(分期持仓明细!$B$18:$AA$18,'实盘净值数据(iFinD公式)'!$B795:$AA795/'实盘净值数据(iFinD公式)'!$B$20:$AA$20)*(1-实盘持仓初始配置!$Z$5)^(('实盘净值数据(iFinD公式)'!$A795-'实盘净值数据(iFinD公式)'!$A$5)/365))</x:f>
        <x:v>#NAME?</x:v>
      </x:c>
      <x:c r="F795" s="152" t="e">
        <x:f>IF(OR(E794="",E795=""),"",E795/E794-1)</x:f>
        <x:v>#NAME?</x:v>
      </x:c>
      <x:c r="G795" s="152" t="e">
        <x:f>IF(E795="","",E795/MAX(E$5:E795)-1)</x:f>
        <x:v>#NAME?</x:v>
      </x:c>
      <x:c r="H795" s="146" t="e">
        <x:f>IF(OR('实盘净值数据(iFinD公式)'!$A795="",'实盘净值数据(iFinD公式)'!$B795=""),"",分期持仓明细!$AD$19*SUMPRODUCT(分期持仓明细!$B$19:$AA$19,'实盘净值数据(iFinD公式)'!$B795:$AA795/'实盘净值数据(iFinD公式)'!$B$20:$AA$20)*(1-实盘持仓初始配置!$Z$6)^(('实盘净值数据(iFinD公式)'!$A795-'实盘净值数据(iFinD公式)'!$A$7)/365))</x:f>
        <x:v>#NAME?</x:v>
      </x:c>
      <x:c r="I795" s="152" t="e">
        <x:f>IF(OR(H794="",H795=""),"",H795/H794-1)</x:f>
        <x:v>#NAME?</x:v>
      </x:c>
      <x:c r="J795" s="152" t="e">
        <x:f>IF(H795="","",H795/MAX(H$5:H795)-1)</x:f>
        <x:v>#NAME?</x:v>
      </x:c>
      <x:c r="K795" s="146" t="e">
        <x:f>IF(OR('实盘净值数据(iFinD公式)'!$A795="",'实盘净值数据(iFinD公式)'!$B795=""),"",分期持仓明细!$AD$23*SUMPRODUCT(分期持仓明细!$B$23:$AA$23,'实盘净值数据(iFinD公式)'!$B795:$AA795/'实盘净值数据(iFinD公式)'!$B$65:$AA$65)*(1-实盘持仓初始配置!$Z$7)^(('实盘净值数据(iFinD公式)'!$A795-'实盘净值数据(iFinD公式)'!$A$8)/365))</x:f>
        <x:v>#NAME?</x:v>
      </x:c>
      <x:c r="L795" s="152" t="e">
        <x:f>IF(OR(K794="",K795=""),"",K795/K794-1)</x:f>
        <x:v>#NAME?</x:v>
      </x:c>
      <x:c r="M795" s="152" t="e">
        <x:f>IF(K795="","",K795/MAX(K$5:K795)-1)</x:f>
        <x:v>#NAME?</x:v>
      </x:c>
      <x:c r="N795" s="146" t="e">
        <x:f>IF(OR('实盘净值数据(iFinD公式)'!$A795="",'实盘净值数据(iFinD公式)'!$B795=""),"",分期持仓明细!$AD$24*SUMPRODUCT(分期持仓明细!$B$24:$AA$24,'实盘净值数据(iFinD公式)'!$B795:$AA795/'实盘净值数据(iFinD公式)'!$B$65:$AA$65)*(1-实盘持仓初始配置!$Z$8)^(('实盘净值数据(iFinD公式)'!$A795-'实盘净值数据(iFinD公式)'!$A$5)/365))</x:f>
        <x:v>#NAME?</x:v>
      </x:c>
      <x:c r="O795" s="152" t="e">
        <x:f>IF(OR(N794="",N795=""),"",N795/N794-1)</x:f>
        <x:v>#NAME?</x:v>
      </x:c>
      <x:c r="P795" s="152" t="e">
        <x:f>IF(N795="","",N795/MAX(N$5:N795)-1)</x:f>
        <x:v>#NAME?</x:v>
      </x:c>
      <x:c r="Q795" s="146" t="e">
        <x:f>IF(OR('实盘净值数据(iFinD公式)'!$A795="",'实盘净值数据(iFinD公式)'!$B795=""),"",分期持仓明细!$AD$25*SUMPRODUCT(分期持仓明细!$B$25:$AA$25,'实盘净值数据(iFinD公式)'!$B795:$AA795/'实盘净值数据(iFinD公式)'!$B$65:$AA$65)*(1-实盘持仓初始配置!$Z$9)^(('实盘净值数据(iFinD公式)'!$A795-'实盘净值数据(iFinD公式)'!$A$8)/365))</x:f>
        <x:v>#NAME?</x:v>
      </x:c>
      <x:c r="R795" s="152" t="e">
        <x:f>IF(OR(Q794="",Q795=""),"",Q795/Q794-1)</x:f>
        <x:v>#NAME?</x:v>
      </x:c>
      <x:c r="S795" s="152" t="e">
        <x:f>IF(Q795="","",Q795/MAX(Q$5:Q795)-1)</x:f>
        <x:v>#NAME?</x:v>
      </x:c>
    </x:row>
    <x:row r="796">
      <x:c r="A796" s="149" t="str">
        <x:f>IF('实盘净值数据(iFinD公式)'!A796="","",'实盘净值数据(iFinD公式)'!A796)</x:f>
      </x:c>
      <x:c r="B796" s="146" t="e">
        <x:f>IF(OR('实盘净值数据(iFinD公式)'!$A796="",'实盘净值数据(iFinD公式)'!$B796=""),"",分期持仓明细!$AD$17*SUMPRODUCT(分期持仓明细!$B$17:$AA$17,'实盘净值数据(iFinD公式)'!$B796:$AA796/'实盘净值数据(iFinD公式)'!$B$20:$AA$20)*(1-实盘持仓初始配置!$Z$4)^(('实盘净值数据(iFinD公式)'!$A796-'实盘净值数据(iFinD公式)'!$A$6)/365))</x:f>
        <x:v>#NAME?</x:v>
      </x:c>
      <x:c r="C796" s="152" t="e">
        <x:f>IF(OR(B795="",B796=""),"",B796/B795-1)</x:f>
        <x:v>#NAME?</x:v>
      </x:c>
      <x:c r="D796" s="152" t="e">
        <x:f>IF(B796="","",B796/MAX(B$5:B796)-1)</x:f>
        <x:v>#NAME?</x:v>
      </x:c>
      <x:c r="E796" s="146" t="e">
        <x:f>IF(OR('实盘净值数据(iFinD公式)'!$A796="",'实盘净值数据(iFinD公式)'!$B796=""),"",分期持仓明细!$AD$18*SUMPRODUCT(分期持仓明细!$B$18:$AA$18,'实盘净值数据(iFinD公式)'!$B796:$AA796/'实盘净值数据(iFinD公式)'!$B$20:$AA$20)*(1-实盘持仓初始配置!$Z$5)^(('实盘净值数据(iFinD公式)'!$A796-'实盘净值数据(iFinD公式)'!$A$5)/365))</x:f>
        <x:v>#NAME?</x:v>
      </x:c>
      <x:c r="F796" s="152" t="e">
        <x:f>IF(OR(E795="",E796=""),"",E796/E795-1)</x:f>
        <x:v>#NAME?</x:v>
      </x:c>
      <x:c r="G796" s="152" t="e">
        <x:f>IF(E796="","",E796/MAX(E$5:E796)-1)</x:f>
        <x:v>#NAME?</x:v>
      </x:c>
      <x:c r="H796" s="146" t="e">
        <x:f>IF(OR('实盘净值数据(iFinD公式)'!$A796="",'实盘净值数据(iFinD公式)'!$B796=""),"",分期持仓明细!$AD$19*SUMPRODUCT(分期持仓明细!$B$19:$AA$19,'实盘净值数据(iFinD公式)'!$B796:$AA796/'实盘净值数据(iFinD公式)'!$B$20:$AA$20)*(1-实盘持仓初始配置!$Z$6)^(('实盘净值数据(iFinD公式)'!$A796-'实盘净值数据(iFinD公式)'!$A$7)/365))</x:f>
        <x:v>#NAME?</x:v>
      </x:c>
      <x:c r="I796" s="152" t="e">
        <x:f>IF(OR(H795="",H796=""),"",H796/H795-1)</x:f>
        <x:v>#NAME?</x:v>
      </x:c>
      <x:c r="J796" s="152" t="e">
        <x:f>IF(H796="","",H796/MAX(H$5:H796)-1)</x:f>
        <x:v>#NAME?</x:v>
      </x:c>
      <x:c r="K796" s="146" t="e">
        <x:f>IF(OR('实盘净值数据(iFinD公式)'!$A796="",'实盘净值数据(iFinD公式)'!$B796=""),"",分期持仓明细!$AD$23*SUMPRODUCT(分期持仓明细!$B$23:$AA$23,'实盘净值数据(iFinD公式)'!$B796:$AA796/'实盘净值数据(iFinD公式)'!$B$65:$AA$65)*(1-实盘持仓初始配置!$Z$7)^(('实盘净值数据(iFinD公式)'!$A796-'实盘净值数据(iFinD公式)'!$A$8)/365))</x:f>
        <x:v>#NAME?</x:v>
      </x:c>
      <x:c r="L796" s="152" t="e">
        <x:f>IF(OR(K795="",K796=""),"",K796/K795-1)</x:f>
        <x:v>#NAME?</x:v>
      </x:c>
      <x:c r="M796" s="152" t="e">
        <x:f>IF(K796="","",K796/MAX(K$5:K796)-1)</x:f>
        <x:v>#NAME?</x:v>
      </x:c>
      <x:c r="N796" s="146" t="e">
        <x:f>IF(OR('实盘净值数据(iFinD公式)'!$A796="",'实盘净值数据(iFinD公式)'!$B796=""),"",分期持仓明细!$AD$24*SUMPRODUCT(分期持仓明细!$B$24:$AA$24,'实盘净值数据(iFinD公式)'!$B796:$AA796/'实盘净值数据(iFinD公式)'!$B$65:$AA$65)*(1-实盘持仓初始配置!$Z$8)^(('实盘净值数据(iFinD公式)'!$A796-'实盘净值数据(iFinD公式)'!$A$5)/365))</x:f>
        <x:v>#NAME?</x:v>
      </x:c>
      <x:c r="O796" s="152" t="e">
        <x:f>IF(OR(N795="",N796=""),"",N796/N795-1)</x:f>
        <x:v>#NAME?</x:v>
      </x:c>
      <x:c r="P796" s="152" t="e">
        <x:f>IF(N796="","",N796/MAX(N$5:N796)-1)</x:f>
        <x:v>#NAME?</x:v>
      </x:c>
      <x:c r="Q796" s="146" t="e">
        <x:f>IF(OR('实盘净值数据(iFinD公式)'!$A796="",'实盘净值数据(iFinD公式)'!$B796=""),"",分期持仓明细!$AD$25*SUMPRODUCT(分期持仓明细!$B$25:$AA$25,'实盘净值数据(iFinD公式)'!$B796:$AA796/'实盘净值数据(iFinD公式)'!$B$65:$AA$65)*(1-实盘持仓初始配置!$Z$9)^(('实盘净值数据(iFinD公式)'!$A796-'实盘净值数据(iFinD公式)'!$A$8)/365))</x:f>
        <x:v>#NAME?</x:v>
      </x:c>
      <x:c r="R796" s="152" t="e">
        <x:f>IF(OR(Q795="",Q796=""),"",Q796/Q795-1)</x:f>
        <x:v>#NAME?</x:v>
      </x:c>
      <x:c r="S796" s="152" t="e">
        <x:f>IF(Q796="","",Q796/MAX(Q$5:Q796)-1)</x:f>
        <x:v>#NAME?</x:v>
      </x:c>
    </x:row>
    <x:row r="797">
      <x:c r="A797" s="149" t="str">
        <x:f>IF('实盘净值数据(iFinD公式)'!A797="","",'实盘净值数据(iFinD公式)'!A797)</x:f>
      </x:c>
      <x:c r="B797" s="146" t="e">
        <x:f>IF(OR('实盘净值数据(iFinD公式)'!$A797="",'实盘净值数据(iFinD公式)'!$B797=""),"",分期持仓明细!$AD$17*SUMPRODUCT(分期持仓明细!$B$17:$AA$17,'实盘净值数据(iFinD公式)'!$B797:$AA797/'实盘净值数据(iFinD公式)'!$B$20:$AA$20)*(1-实盘持仓初始配置!$Z$4)^(('实盘净值数据(iFinD公式)'!$A797-'实盘净值数据(iFinD公式)'!$A$6)/365))</x:f>
        <x:v>#NAME?</x:v>
      </x:c>
      <x:c r="C797" s="152" t="e">
        <x:f>IF(OR(B796="",B797=""),"",B797/B796-1)</x:f>
        <x:v>#NAME?</x:v>
      </x:c>
      <x:c r="D797" s="152" t="e">
        <x:f>IF(B797="","",B797/MAX(B$5:B797)-1)</x:f>
        <x:v>#NAME?</x:v>
      </x:c>
      <x:c r="E797" s="146" t="e">
        <x:f>IF(OR('实盘净值数据(iFinD公式)'!$A797="",'实盘净值数据(iFinD公式)'!$B797=""),"",分期持仓明细!$AD$18*SUMPRODUCT(分期持仓明细!$B$18:$AA$18,'实盘净值数据(iFinD公式)'!$B797:$AA797/'实盘净值数据(iFinD公式)'!$B$20:$AA$20)*(1-实盘持仓初始配置!$Z$5)^(('实盘净值数据(iFinD公式)'!$A797-'实盘净值数据(iFinD公式)'!$A$5)/365))</x:f>
        <x:v>#NAME?</x:v>
      </x:c>
      <x:c r="F797" s="152" t="e">
        <x:f>IF(OR(E796="",E797=""),"",E797/E796-1)</x:f>
        <x:v>#NAME?</x:v>
      </x:c>
      <x:c r="G797" s="152" t="e">
        <x:f>IF(E797="","",E797/MAX(E$5:E797)-1)</x:f>
        <x:v>#NAME?</x:v>
      </x:c>
      <x:c r="H797" s="146" t="e">
        <x:f>IF(OR('实盘净值数据(iFinD公式)'!$A797="",'实盘净值数据(iFinD公式)'!$B797=""),"",分期持仓明细!$AD$19*SUMPRODUCT(分期持仓明细!$B$19:$AA$19,'实盘净值数据(iFinD公式)'!$B797:$AA797/'实盘净值数据(iFinD公式)'!$B$20:$AA$20)*(1-实盘持仓初始配置!$Z$6)^(('实盘净值数据(iFinD公式)'!$A797-'实盘净值数据(iFinD公式)'!$A$7)/365))</x:f>
        <x:v>#NAME?</x:v>
      </x:c>
      <x:c r="I797" s="152" t="e">
        <x:f>IF(OR(H796="",H797=""),"",H797/H796-1)</x:f>
        <x:v>#NAME?</x:v>
      </x:c>
      <x:c r="J797" s="152" t="e">
        <x:f>IF(H797="","",H797/MAX(H$5:H797)-1)</x:f>
        <x:v>#NAME?</x:v>
      </x:c>
      <x:c r="K797" s="146" t="e">
        <x:f>IF(OR('实盘净值数据(iFinD公式)'!$A797="",'实盘净值数据(iFinD公式)'!$B797=""),"",分期持仓明细!$AD$23*SUMPRODUCT(分期持仓明细!$B$23:$AA$23,'实盘净值数据(iFinD公式)'!$B797:$AA797/'实盘净值数据(iFinD公式)'!$B$65:$AA$65)*(1-实盘持仓初始配置!$Z$7)^(('实盘净值数据(iFinD公式)'!$A797-'实盘净值数据(iFinD公式)'!$A$8)/365))</x:f>
        <x:v>#NAME?</x:v>
      </x:c>
      <x:c r="L797" s="152" t="e">
        <x:f>IF(OR(K796="",K797=""),"",K797/K796-1)</x:f>
        <x:v>#NAME?</x:v>
      </x:c>
      <x:c r="M797" s="152" t="e">
        <x:f>IF(K797="","",K797/MAX(K$5:K797)-1)</x:f>
        <x:v>#NAME?</x:v>
      </x:c>
      <x:c r="N797" s="146" t="e">
        <x:f>IF(OR('实盘净值数据(iFinD公式)'!$A797="",'实盘净值数据(iFinD公式)'!$B797=""),"",分期持仓明细!$AD$24*SUMPRODUCT(分期持仓明细!$B$24:$AA$24,'实盘净值数据(iFinD公式)'!$B797:$AA797/'实盘净值数据(iFinD公式)'!$B$65:$AA$65)*(1-实盘持仓初始配置!$Z$8)^(('实盘净值数据(iFinD公式)'!$A797-'实盘净值数据(iFinD公式)'!$A$5)/365))</x:f>
        <x:v>#NAME?</x:v>
      </x:c>
      <x:c r="O797" s="152" t="e">
        <x:f>IF(OR(N796="",N797=""),"",N797/N796-1)</x:f>
        <x:v>#NAME?</x:v>
      </x:c>
      <x:c r="P797" s="152" t="e">
        <x:f>IF(N797="","",N797/MAX(N$5:N797)-1)</x:f>
        <x:v>#NAME?</x:v>
      </x:c>
      <x:c r="Q797" s="146" t="e">
        <x:f>IF(OR('实盘净值数据(iFinD公式)'!$A797="",'实盘净值数据(iFinD公式)'!$B797=""),"",分期持仓明细!$AD$25*SUMPRODUCT(分期持仓明细!$B$25:$AA$25,'实盘净值数据(iFinD公式)'!$B797:$AA797/'实盘净值数据(iFinD公式)'!$B$65:$AA$65)*(1-实盘持仓初始配置!$Z$9)^(('实盘净值数据(iFinD公式)'!$A797-'实盘净值数据(iFinD公式)'!$A$8)/365))</x:f>
        <x:v>#NAME?</x:v>
      </x:c>
      <x:c r="R797" s="152" t="e">
        <x:f>IF(OR(Q796="",Q797=""),"",Q797/Q796-1)</x:f>
        <x:v>#NAME?</x:v>
      </x:c>
      <x:c r="S797" s="152" t="e">
        <x:f>IF(Q797="","",Q797/MAX(Q$5:Q797)-1)</x:f>
        <x:v>#NAME?</x:v>
      </x:c>
    </x:row>
    <x:row r="798">
      <x:c r="A798" s="149" t="str">
        <x:f>IF('实盘净值数据(iFinD公式)'!A798="","",'实盘净值数据(iFinD公式)'!A798)</x:f>
      </x:c>
      <x:c r="B798" s="146" t="e">
        <x:f>IF(OR('实盘净值数据(iFinD公式)'!$A798="",'实盘净值数据(iFinD公式)'!$B798=""),"",分期持仓明细!$AD$17*SUMPRODUCT(分期持仓明细!$B$17:$AA$17,'实盘净值数据(iFinD公式)'!$B798:$AA798/'实盘净值数据(iFinD公式)'!$B$20:$AA$20)*(1-实盘持仓初始配置!$Z$4)^(('实盘净值数据(iFinD公式)'!$A798-'实盘净值数据(iFinD公式)'!$A$6)/365))</x:f>
        <x:v>#NAME?</x:v>
      </x:c>
      <x:c r="C798" s="152" t="e">
        <x:f>IF(OR(B797="",B798=""),"",B798/B797-1)</x:f>
        <x:v>#NAME?</x:v>
      </x:c>
      <x:c r="D798" s="152" t="e">
        <x:f>IF(B798="","",B798/MAX(B$5:B798)-1)</x:f>
        <x:v>#NAME?</x:v>
      </x:c>
      <x:c r="E798" s="146" t="e">
        <x:f>IF(OR('实盘净值数据(iFinD公式)'!$A798="",'实盘净值数据(iFinD公式)'!$B798=""),"",分期持仓明细!$AD$18*SUMPRODUCT(分期持仓明细!$B$18:$AA$18,'实盘净值数据(iFinD公式)'!$B798:$AA798/'实盘净值数据(iFinD公式)'!$B$20:$AA$20)*(1-实盘持仓初始配置!$Z$5)^(('实盘净值数据(iFinD公式)'!$A798-'实盘净值数据(iFinD公式)'!$A$5)/365))</x:f>
        <x:v>#NAME?</x:v>
      </x:c>
      <x:c r="F798" s="152" t="e">
        <x:f>IF(OR(E797="",E798=""),"",E798/E797-1)</x:f>
        <x:v>#NAME?</x:v>
      </x:c>
      <x:c r="G798" s="152" t="e">
        <x:f>IF(E798="","",E798/MAX(E$5:E798)-1)</x:f>
        <x:v>#NAME?</x:v>
      </x:c>
      <x:c r="H798" s="146" t="e">
        <x:f>IF(OR('实盘净值数据(iFinD公式)'!$A798="",'实盘净值数据(iFinD公式)'!$B798=""),"",分期持仓明细!$AD$19*SUMPRODUCT(分期持仓明细!$B$19:$AA$19,'实盘净值数据(iFinD公式)'!$B798:$AA798/'实盘净值数据(iFinD公式)'!$B$20:$AA$20)*(1-实盘持仓初始配置!$Z$6)^(('实盘净值数据(iFinD公式)'!$A798-'实盘净值数据(iFinD公式)'!$A$7)/365))</x:f>
        <x:v>#NAME?</x:v>
      </x:c>
      <x:c r="I798" s="152" t="e">
        <x:f>IF(OR(H797="",H798=""),"",H798/H797-1)</x:f>
        <x:v>#NAME?</x:v>
      </x:c>
      <x:c r="J798" s="152" t="e">
        <x:f>IF(H798="","",H798/MAX(H$5:H798)-1)</x:f>
        <x:v>#NAME?</x:v>
      </x:c>
      <x:c r="K798" s="146" t="e">
        <x:f>IF(OR('实盘净值数据(iFinD公式)'!$A798="",'实盘净值数据(iFinD公式)'!$B798=""),"",分期持仓明细!$AD$23*SUMPRODUCT(分期持仓明细!$B$23:$AA$23,'实盘净值数据(iFinD公式)'!$B798:$AA798/'实盘净值数据(iFinD公式)'!$B$65:$AA$65)*(1-实盘持仓初始配置!$Z$7)^(('实盘净值数据(iFinD公式)'!$A798-'实盘净值数据(iFinD公式)'!$A$8)/365))</x:f>
        <x:v>#NAME?</x:v>
      </x:c>
      <x:c r="L798" s="152" t="e">
        <x:f>IF(OR(K797="",K798=""),"",K798/K797-1)</x:f>
        <x:v>#NAME?</x:v>
      </x:c>
      <x:c r="M798" s="152" t="e">
        <x:f>IF(K798="","",K798/MAX(K$5:K798)-1)</x:f>
        <x:v>#NAME?</x:v>
      </x:c>
      <x:c r="N798" s="146" t="e">
        <x:f>IF(OR('实盘净值数据(iFinD公式)'!$A798="",'实盘净值数据(iFinD公式)'!$B798=""),"",分期持仓明细!$AD$24*SUMPRODUCT(分期持仓明细!$B$24:$AA$24,'实盘净值数据(iFinD公式)'!$B798:$AA798/'实盘净值数据(iFinD公式)'!$B$65:$AA$65)*(1-实盘持仓初始配置!$Z$8)^(('实盘净值数据(iFinD公式)'!$A798-'实盘净值数据(iFinD公式)'!$A$5)/365))</x:f>
        <x:v>#NAME?</x:v>
      </x:c>
      <x:c r="O798" s="152" t="e">
        <x:f>IF(OR(N797="",N798=""),"",N798/N797-1)</x:f>
        <x:v>#NAME?</x:v>
      </x:c>
      <x:c r="P798" s="152" t="e">
        <x:f>IF(N798="","",N798/MAX(N$5:N798)-1)</x:f>
        <x:v>#NAME?</x:v>
      </x:c>
      <x:c r="Q798" s="146" t="e">
        <x:f>IF(OR('实盘净值数据(iFinD公式)'!$A798="",'实盘净值数据(iFinD公式)'!$B798=""),"",分期持仓明细!$AD$25*SUMPRODUCT(分期持仓明细!$B$25:$AA$25,'实盘净值数据(iFinD公式)'!$B798:$AA798/'实盘净值数据(iFinD公式)'!$B$65:$AA$65)*(1-实盘持仓初始配置!$Z$9)^(('实盘净值数据(iFinD公式)'!$A798-'实盘净值数据(iFinD公式)'!$A$8)/365))</x:f>
        <x:v>#NAME?</x:v>
      </x:c>
      <x:c r="R798" s="152" t="e">
        <x:f>IF(OR(Q797="",Q798=""),"",Q798/Q797-1)</x:f>
        <x:v>#NAME?</x:v>
      </x:c>
      <x:c r="S798" s="152" t="e">
        <x:f>IF(Q798="","",Q798/MAX(Q$5:Q798)-1)</x:f>
        <x:v>#NAME?</x:v>
      </x:c>
    </x:row>
    <x:row r="799">
      <x:c r="A799" s="149" t="str">
        <x:f>IF('实盘净值数据(iFinD公式)'!A799="","",'实盘净值数据(iFinD公式)'!A799)</x:f>
      </x:c>
      <x:c r="B799" s="146" t="e">
        <x:f>IF(OR('实盘净值数据(iFinD公式)'!$A799="",'实盘净值数据(iFinD公式)'!$B799=""),"",分期持仓明细!$AD$17*SUMPRODUCT(分期持仓明细!$B$17:$AA$17,'实盘净值数据(iFinD公式)'!$B799:$AA799/'实盘净值数据(iFinD公式)'!$B$20:$AA$20)*(1-实盘持仓初始配置!$Z$4)^(('实盘净值数据(iFinD公式)'!$A799-'实盘净值数据(iFinD公式)'!$A$6)/365))</x:f>
        <x:v>#NAME?</x:v>
      </x:c>
      <x:c r="C799" s="152" t="e">
        <x:f>IF(OR(B798="",B799=""),"",B799/B798-1)</x:f>
        <x:v>#NAME?</x:v>
      </x:c>
      <x:c r="D799" s="152" t="e">
        <x:f>IF(B799="","",B799/MAX(B$5:B799)-1)</x:f>
        <x:v>#NAME?</x:v>
      </x:c>
      <x:c r="E799" s="146" t="e">
        <x:f>IF(OR('实盘净值数据(iFinD公式)'!$A799="",'实盘净值数据(iFinD公式)'!$B799=""),"",分期持仓明细!$AD$18*SUMPRODUCT(分期持仓明细!$B$18:$AA$18,'实盘净值数据(iFinD公式)'!$B799:$AA799/'实盘净值数据(iFinD公式)'!$B$20:$AA$20)*(1-实盘持仓初始配置!$Z$5)^(('实盘净值数据(iFinD公式)'!$A799-'实盘净值数据(iFinD公式)'!$A$5)/365))</x:f>
        <x:v>#NAME?</x:v>
      </x:c>
      <x:c r="F799" s="152" t="e">
        <x:f>IF(OR(E798="",E799=""),"",E799/E798-1)</x:f>
        <x:v>#NAME?</x:v>
      </x:c>
      <x:c r="G799" s="152" t="e">
        <x:f>IF(E799="","",E799/MAX(E$5:E799)-1)</x:f>
        <x:v>#NAME?</x:v>
      </x:c>
      <x:c r="H799" s="146" t="e">
        <x:f>IF(OR('实盘净值数据(iFinD公式)'!$A799="",'实盘净值数据(iFinD公式)'!$B799=""),"",分期持仓明细!$AD$19*SUMPRODUCT(分期持仓明细!$B$19:$AA$19,'实盘净值数据(iFinD公式)'!$B799:$AA799/'实盘净值数据(iFinD公式)'!$B$20:$AA$20)*(1-实盘持仓初始配置!$Z$6)^(('实盘净值数据(iFinD公式)'!$A799-'实盘净值数据(iFinD公式)'!$A$7)/365))</x:f>
        <x:v>#NAME?</x:v>
      </x:c>
      <x:c r="I799" s="152" t="e">
        <x:f>IF(OR(H798="",H799=""),"",H799/H798-1)</x:f>
        <x:v>#NAME?</x:v>
      </x:c>
      <x:c r="J799" s="152" t="e">
        <x:f>IF(H799="","",H799/MAX(H$5:H799)-1)</x:f>
        <x:v>#NAME?</x:v>
      </x:c>
      <x:c r="K799" s="146" t="e">
        <x:f>IF(OR('实盘净值数据(iFinD公式)'!$A799="",'实盘净值数据(iFinD公式)'!$B799=""),"",分期持仓明细!$AD$23*SUMPRODUCT(分期持仓明细!$B$23:$AA$23,'实盘净值数据(iFinD公式)'!$B799:$AA799/'实盘净值数据(iFinD公式)'!$B$65:$AA$65)*(1-实盘持仓初始配置!$Z$7)^(('实盘净值数据(iFinD公式)'!$A799-'实盘净值数据(iFinD公式)'!$A$8)/365))</x:f>
        <x:v>#NAME?</x:v>
      </x:c>
      <x:c r="L799" s="152" t="e">
        <x:f>IF(OR(K798="",K799=""),"",K799/K798-1)</x:f>
        <x:v>#NAME?</x:v>
      </x:c>
      <x:c r="M799" s="152" t="e">
        <x:f>IF(K799="","",K799/MAX(K$5:K799)-1)</x:f>
        <x:v>#NAME?</x:v>
      </x:c>
      <x:c r="N799" s="146" t="e">
        <x:f>IF(OR('实盘净值数据(iFinD公式)'!$A799="",'实盘净值数据(iFinD公式)'!$B799=""),"",分期持仓明细!$AD$24*SUMPRODUCT(分期持仓明细!$B$24:$AA$24,'实盘净值数据(iFinD公式)'!$B799:$AA799/'实盘净值数据(iFinD公式)'!$B$65:$AA$65)*(1-实盘持仓初始配置!$Z$8)^(('实盘净值数据(iFinD公式)'!$A799-'实盘净值数据(iFinD公式)'!$A$5)/365))</x:f>
        <x:v>#NAME?</x:v>
      </x:c>
      <x:c r="O799" s="152" t="e">
        <x:f>IF(OR(N798="",N799=""),"",N799/N798-1)</x:f>
        <x:v>#NAME?</x:v>
      </x:c>
      <x:c r="P799" s="152" t="e">
        <x:f>IF(N799="","",N799/MAX(N$5:N799)-1)</x:f>
        <x:v>#NAME?</x:v>
      </x:c>
      <x:c r="Q799" s="146" t="e">
        <x:f>IF(OR('实盘净值数据(iFinD公式)'!$A799="",'实盘净值数据(iFinD公式)'!$B799=""),"",分期持仓明细!$AD$25*SUMPRODUCT(分期持仓明细!$B$25:$AA$25,'实盘净值数据(iFinD公式)'!$B799:$AA799/'实盘净值数据(iFinD公式)'!$B$65:$AA$65)*(1-实盘持仓初始配置!$Z$9)^(('实盘净值数据(iFinD公式)'!$A799-'实盘净值数据(iFinD公式)'!$A$8)/365))</x:f>
        <x:v>#NAME?</x:v>
      </x:c>
      <x:c r="R799" s="152" t="e">
        <x:f>IF(OR(Q798="",Q799=""),"",Q799/Q798-1)</x:f>
        <x:v>#NAME?</x:v>
      </x:c>
      <x:c r="S799" s="152" t="e">
        <x:f>IF(Q799="","",Q799/MAX(Q$5:Q799)-1)</x:f>
        <x:v>#NAME?</x:v>
      </x:c>
    </x:row>
    <x:row r="800">
      <x:c r="A800" s="149" t="str">
        <x:f>IF('实盘净值数据(iFinD公式)'!A800="","",'实盘净值数据(iFinD公式)'!A800)</x:f>
      </x:c>
      <x:c r="B800" s="146" t="e">
        <x:f>IF(OR('实盘净值数据(iFinD公式)'!$A800="",'实盘净值数据(iFinD公式)'!$B800=""),"",分期持仓明细!$AD$17*SUMPRODUCT(分期持仓明细!$B$17:$AA$17,'实盘净值数据(iFinD公式)'!$B800:$AA800/'实盘净值数据(iFinD公式)'!$B$20:$AA$20)*(1-实盘持仓初始配置!$Z$4)^(('实盘净值数据(iFinD公式)'!$A800-'实盘净值数据(iFinD公式)'!$A$6)/365))</x:f>
        <x:v>#NAME?</x:v>
      </x:c>
      <x:c r="C800" s="152" t="e">
        <x:f>IF(OR(B799="",B800=""),"",B800/B799-1)</x:f>
        <x:v>#NAME?</x:v>
      </x:c>
      <x:c r="D800" s="152" t="e">
        <x:f>IF(B800="","",B800/MAX(B$5:B800)-1)</x:f>
        <x:v>#NAME?</x:v>
      </x:c>
      <x:c r="E800" s="146" t="e">
        <x:f>IF(OR('实盘净值数据(iFinD公式)'!$A800="",'实盘净值数据(iFinD公式)'!$B800=""),"",分期持仓明细!$AD$18*SUMPRODUCT(分期持仓明细!$B$18:$AA$18,'实盘净值数据(iFinD公式)'!$B800:$AA800/'实盘净值数据(iFinD公式)'!$B$20:$AA$20)*(1-实盘持仓初始配置!$Z$5)^(('实盘净值数据(iFinD公式)'!$A800-'实盘净值数据(iFinD公式)'!$A$5)/365))</x:f>
        <x:v>#NAME?</x:v>
      </x:c>
      <x:c r="F800" s="152" t="e">
        <x:f>IF(OR(E799="",E800=""),"",E800/E799-1)</x:f>
        <x:v>#NAME?</x:v>
      </x:c>
      <x:c r="G800" s="152" t="e">
        <x:f>IF(E800="","",E800/MAX(E$5:E800)-1)</x:f>
        <x:v>#NAME?</x:v>
      </x:c>
      <x:c r="H800" s="146" t="e">
        <x:f>IF(OR('实盘净值数据(iFinD公式)'!$A800="",'实盘净值数据(iFinD公式)'!$B800=""),"",分期持仓明细!$AD$19*SUMPRODUCT(分期持仓明细!$B$19:$AA$19,'实盘净值数据(iFinD公式)'!$B800:$AA800/'实盘净值数据(iFinD公式)'!$B$20:$AA$20)*(1-实盘持仓初始配置!$Z$6)^(('实盘净值数据(iFinD公式)'!$A800-'实盘净值数据(iFinD公式)'!$A$7)/365))</x:f>
        <x:v>#NAME?</x:v>
      </x:c>
      <x:c r="I800" s="152" t="e">
        <x:f>IF(OR(H799="",H800=""),"",H800/H799-1)</x:f>
        <x:v>#NAME?</x:v>
      </x:c>
      <x:c r="J800" s="152" t="e">
        <x:f>IF(H800="","",H800/MAX(H$5:H800)-1)</x:f>
        <x:v>#NAME?</x:v>
      </x:c>
      <x:c r="K800" s="146" t="e">
        <x:f>IF(OR('实盘净值数据(iFinD公式)'!$A800="",'实盘净值数据(iFinD公式)'!$B800=""),"",分期持仓明细!$AD$23*SUMPRODUCT(分期持仓明细!$B$23:$AA$23,'实盘净值数据(iFinD公式)'!$B800:$AA800/'实盘净值数据(iFinD公式)'!$B$65:$AA$65)*(1-实盘持仓初始配置!$Z$7)^(('实盘净值数据(iFinD公式)'!$A800-'实盘净值数据(iFinD公式)'!$A$8)/365))</x:f>
        <x:v>#NAME?</x:v>
      </x:c>
      <x:c r="L800" s="152" t="e">
        <x:f>IF(OR(K799="",K800=""),"",K800/K799-1)</x:f>
        <x:v>#NAME?</x:v>
      </x:c>
      <x:c r="M800" s="152" t="e">
        <x:f>IF(K800="","",K800/MAX(K$5:K800)-1)</x:f>
        <x:v>#NAME?</x:v>
      </x:c>
      <x:c r="N800" s="146" t="e">
        <x:f>IF(OR('实盘净值数据(iFinD公式)'!$A800="",'实盘净值数据(iFinD公式)'!$B800=""),"",分期持仓明细!$AD$24*SUMPRODUCT(分期持仓明细!$B$24:$AA$24,'实盘净值数据(iFinD公式)'!$B800:$AA800/'实盘净值数据(iFinD公式)'!$B$65:$AA$65)*(1-实盘持仓初始配置!$Z$8)^(('实盘净值数据(iFinD公式)'!$A800-'实盘净值数据(iFinD公式)'!$A$5)/365))</x:f>
        <x:v>#NAME?</x:v>
      </x:c>
      <x:c r="O800" s="152" t="e">
        <x:f>IF(OR(N799="",N800=""),"",N800/N799-1)</x:f>
        <x:v>#NAME?</x:v>
      </x:c>
      <x:c r="P800" s="152" t="e">
        <x:f>IF(N800="","",N800/MAX(N$5:N800)-1)</x:f>
        <x:v>#NAME?</x:v>
      </x:c>
      <x:c r="Q800" s="146" t="e">
        <x:f>IF(OR('实盘净值数据(iFinD公式)'!$A800="",'实盘净值数据(iFinD公式)'!$B800=""),"",分期持仓明细!$AD$25*SUMPRODUCT(分期持仓明细!$B$25:$AA$25,'实盘净值数据(iFinD公式)'!$B800:$AA800/'实盘净值数据(iFinD公式)'!$B$65:$AA$65)*(1-实盘持仓初始配置!$Z$9)^(('实盘净值数据(iFinD公式)'!$A800-'实盘净值数据(iFinD公式)'!$A$8)/365))</x:f>
        <x:v>#NAME?</x:v>
      </x:c>
      <x:c r="R800" s="152" t="e">
        <x:f>IF(OR(Q799="",Q800=""),"",Q800/Q799-1)</x:f>
        <x:v>#NAME?</x:v>
      </x:c>
      <x:c r="S800" s="152" t="e">
        <x:f>IF(Q800="","",Q800/MAX(Q$5:Q800)-1)</x:f>
        <x:v>#NAME?</x:v>
      </x:c>
    </x:row>
    <x:row r="801">
      <x:c r="A801" s="149" t="str">
        <x:f>IF('实盘净值数据(iFinD公式)'!A801="","",'实盘净值数据(iFinD公式)'!A801)</x:f>
      </x:c>
      <x:c r="B801" s="146" t="e">
        <x:f>IF(OR('实盘净值数据(iFinD公式)'!$A801="",'实盘净值数据(iFinD公式)'!$B801=""),"",分期持仓明细!$AD$17*SUMPRODUCT(分期持仓明细!$B$17:$AA$17,'实盘净值数据(iFinD公式)'!$B801:$AA801/'实盘净值数据(iFinD公式)'!$B$20:$AA$20)*(1-实盘持仓初始配置!$Z$4)^(('实盘净值数据(iFinD公式)'!$A801-'实盘净值数据(iFinD公式)'!$A$6)/365))</x:f>
        <x:v>#NAME?</x:v>
      </x:c>
      <x:c r="C801" s="152" t="e">
        <x:f>IF(OR(B800="",B801=""),"",B801/B800-1)</x:f>
        <x:v>#NAME?</x:v>
      </x:c>
      <x:c r="D801" s="152" t="e">
        <x:f>IF(B801="","",B801/MAX(B$5:B801)-1)</x:f>
        <x:v>#NAME?</x:v>
      </x:c>
      <x:c r="E801" s="146" t="e">
        <x:f>IF(OR('实盘净值数据(iFinD公式)'!$A801="",'实盘净值数据(iFinD公式)'!$B801=""),"",分期持仓明细!$AD$18*SUMPRODUCT(分期持仓明细!$B$18:$AA$18,'实盘净值数据(iFinD公式)'!$B801:$AA801/'实盘净值数据(iFinD公式)'!$B$20:$AA$20)*(1-实盘持仓初始配置!$Z$5)^(('实盘净值数据(iFinD公式)'!$A801-'实盘净值数据(iFinD公式)'!$A$5)/365))</x:f>
        <x:v>#NAME?</x:v>
      </x:c>
      <x:c r="F801" s="152" t="e">
        <x:f>IF(OR(E800="",E801=""),"",E801/E800-1)</x:f>
        <x:v>#NAME?</x:v>
      </x:c>
      <x:c r="G801" s="152" t="e">
        <x:f>IF(E801="","",E801/MAX(E$5:E801)-1)</x:f>
        <x:v>#NAME?</x:v>
      </x:c>
      <x:c r="H801" s="146" t="e">
        <x:f>IF(OR('实盘净值数据(iFinD公式)'!$A801="",'实盘净值数据(iFinD公式)'!$B801=""),"",分期持仓明细!$AD$19*SUMPRODUCT(分期持仓明细!$B$19:$AA$19,'实盘净值数据(iFinD公式)'!$B801:$AA801/'实盘净值数据(iFinD公式)'!$B$20:$AA$20)*(1-实盘持仓初始配置!$Z$6)^(('实盘净值数据(iFinD公式)'!$A801-'实盘净值数据(iFinD公式)'!$A$7)/365))</x:f>
        <x:v>#NAME?</x:v>
      </x:c>
      <x:c r="I801" s="152" t="e">
        <x:f>IF(OR(H800="",H801=""),"",H801/H800-1)</x:f>
        <x:v>#NAME?</x:v>
      </x:c>
      <x:c r="J801" s="152" t="e">
        <x:f>IF(H801="","",H801/MAX(H$5:H801)-1)</x:f>
        <x:v>#NAME?</x:v>
      </x:c>
      <x:c r="K801" s="146" t="e">
        <x:f>IF(OR('实盘净值数据(iFinD公式)'!$A801="",'实盘净值数据(iFinD公式)'!$B801=""),"",分期持仓明细!$AD$23*SUMPRODUCT(分期持仓明细!$B$23:$AA$23,'实盘净值数据(iFinD公式)'!$B801:$AA801/'实盘净值数据(iFinD公式)'!$B$65:$AA$65)*(1-实盘持仓初始配置!$Z$7)^(('实盘净值数据(iFinD公式)'!$A801-'实盘净值数据(iFinD公式)'!$A$8)/365))</x:f>
        <x:v>#NAME?</x:v>
      </x:c>
      <x:c r="L801" s="152" t="e">
        <x:f>IF(OR(K800="",K801=""),"",K801/K800-1)</x:f>
        <x:v>#NAME?</x:v>
      </x:c>
      <x:c r="M801" s="152" t="e">
        <x:f>IF(K801="","",K801/MAX(K$5:K801)-1)</x:f>
        <x:v>#NAME?</x:v>
      </x:c>
      <x:c r="N801" s="146" t="e">
        <x:f>IF(OR('实盘净值数据(iFinD公式)'!$A801="",'实盘净值数据(iFinD公式)'!$B801=""),"",分期持仓明细!$AD$24*SUMPRODUCT(分期持仓明细!$B$24:$AA$24,'实盘净值数据(iFinD公式)'!$B801:$AA801/'实盘净值数据(iFinD公式)'!$B$65:$AA$65)*(1-实盘持仓初始配置!$Z$8)^(('实盘净值数据(iFinD公式)'!$A801-'实盘净值数据(iFinD公式)'!$A$5)/365))</x:f>
        <x:v>#NAME?</x:v>
      </x:c>
      <x:c r="O801" s="152" t="e">
        <x:f>IF(OR(N800="",N801=""),"",N801/N800-1)</x:f>
        <x:v>#NAME?</x:v>
      </x:c>
      <x:c r="P801" s="152" t="e">
        <x:f>IF(N801="","",N801/MAX(N$5:N801)-1)</x:f>
        <x:v>#NAME?</x:v>
      </x:c>
      <x:c r="Q801" s="146" t="e">
        <x:f>IF(OR('实盘净值数据(iFinD公式)'!$A801="",'实盘净值数据(iFinD公式)'!$B801=""),"",分期持仓明细!$AD$25*SUMPRODUCT(分期持仓明细!$B$25:$AA$25,'实盘净值数据(iFinD公式)'!$B801:$AA801/'实盘净值数据(iFinD公式)'!$B$65:$AA$65)*(1-实盘持仓初始配置!$Z$9)^(('实盘净值数据(iFinD公式)'!$A801-'实盘净值数据(iFinD公式)'!$A$8)/365))</x:f>
        <x:v>#NAME?</x:v>
      </x:c>
      <x:c r="R801" s="152" t="e">
        <x:f>IF(OR(Q800="",Q801=""),"",Q801/Q800-1)</x:f>
        <x:v>#NAME?</x:v>
      </x:c>
      <x:c r="S801" s="152" t="e">
        <x:f>IF(Q801="","",Q801/MAX(Q$5:Q801)-1)</x:f>
        <x:v>#NAME?</x:v>
      </x:c>
    </x:row>
    <x:row r="802">
      <x:c r="A802" s="149" t="str">
        <x:f>IF('实盘净值数据(iFinD公式)'!A802="","",'实盘净值数据(iFinD公式)'!A802)</x:f>
      </x:c>
      <x:c r="B802" s="146" t="e">
        <x:f>IF(OR('实盘净值数据(iFinD公式)'!$A802="",'实盘净值数据(iFinD公式)'!$B802=""),"",分期持仓明细!$AD$17*SUMPRODUCT(分期持仓明细!$B$17:$AA$17,'实盘净值数据(iFinD公式)'!$B802:$AA802/'实盘净值数据(iFinD公式)'!$B$20:$AA$20)*(1-实盘持仓初始配置!$Z$4)^(('实盘净值数据(iFinD公式)'!$A802-'实盘净值数据(iFinD公式)'!$A$6)/365))</x:f>
        <x:v>#NAME?</x:v>
      </x:c>
      <x:c r="C802" s="152" t="e">
        <x:f>IF(OR(B801="",B802=""),"",B802/B801-1)</x:f>
        <x:v>#NAME?</x:v>
      </x:c>
      <x:c r="D802" s="152" t="e">
        <x:f>IF(B802="","",B802/MAX(B$5:B802)-1)</x:f>
        <x:v>#NAME?</x:v>
      </x:c>
      <x:c r="E802" s="146" t="e">
        <x:f>IF(OR('实盘净值数据(iFinD公式)'!$A802="",'实盘净值数据(iFinD公式)'!$B802=""),"",分期持仓明细!$AD$18*SUMPRODUCT(分期持仓明细!$B$18:$AA$18,'实盘净值数据(iFinD公式)'!$B802:$AA802/'实盘净值数据(iFinD公式)'!$B$20:$AA$20)*(1-实盘持仓初始配置!$Z$5)^(('实盘净值数据(iFinD公式)'!$A802-'实盘净值数据(iFinD公式)'!$A$5)/365))</x:f>
        <x:v>#NAME?</x:v>
      </x:c>
      <x:c r="F802" s="152" t="e">
        <x:f>IF(OR(E801="",E802=""),"",E802/E801-1)</x:f>
        <x:v>#NAME?</x:v>
      </x:c>
      <x:c r="G802" s="152" t="e">
        <x:f>IF(E802="","",E802/MAX(E$5:E802)-1)</x:f>
        <x:v>#NAME?</x:v>
      </x:c>
      <x:c r="H802" s="146" t="e">
        <x:f>IF(OR('实盘净值数据(iFinD公式)'!$A802="",'实盘净值数据(iFinD公式)'!$B802=""),"",分期持仓明细!$AD$19*SUMPRODUCT(分期持仓明细!$B$19:$AA$19,'实盘净值数据(iFinD公式)'!$B802:$AA802/'实盘净值数据(iFinD公式)'!$B$20:$AA$20)*(1-实盘持仓初始配置!$Z$6)^(('实盘净值数据(iFinD公式)'!$A802-'实盘净值数据(iFinD公式)'!$A$7)/365))</x:f>
        <x:v>#NAME?</x:v>
      </x:c>
      <x:c r="I802" s="152" t="e">
        <x:f>IF(OR(H801="",H802=""),"",H802/H801-1)</x:f>
        <x:v>#NAME?</x:v>
      </x:c>
      <x:c r="J802" s="152" t="e">
        <x:f>IF(H802="","",H802/MAX(H$5:H802)-1)</x:f>
        <x:v>#NAME?</x:v>
      </x:c>
      <x:c r="K802" s="146" t="e">
        <x:f>IF(OR('实盘净值数据(iFinD公式)'!$A802="",'实盘净值数据(iFinD公式)'!$B802=""),"",分期持仓明细!$AD$23*SUMPRODUCT(分期持仓明细!$B$23:$AA$23,'实盘净值数据(iFinD公式)'!$B802:$AA802/'实盘净值数据(iFinD公式)'!$B$65:$AA$65)*(1-实盘持仓初始配置!$Z$7)^(('实盘净值数据(iFinD公式)'!$A802-'实盘净值数据(iFinD公式)'!$A$8)/365))</x:f>
        <x:v>#NAME?</x:v>
      </x:c>
      <x:c r="L802" s="152" t="e">
        <x:f>IF(OR(K801="",K802=""),"",K802/K801-1)</x:f>
        <x:v>#NAME?</x:v>
      </x:c>
      <x:c r="M802" s="152" t="e">
        <x:f>IF(K802="","",K802/MAX(K$5:K802)-1)</x:f>
        <x:v>#NAME?</x:v>
      </x:c>
      <x:c r="N802" s="146" t="e">
        <x:f>IF(OR('实盘净值数据(iFinD公式)'!$A802="",'实盘净值数据(iFinD公式)'!$B802=""),"",分期持仓明细!$AD$24*SUMPRODUCT(分期持仓明细!$B$24:$AA$24,'实盘净值数据(iFinD公式)'!$B802:$AA802/'实盘净值数据(iFinD公式)'!$B$65:$AA$65)*(1-实盘持仓初始配置!$Z$8)^(('实盘净值数据(iFinD公式)'!$A802-'实盘净值数据(iFinD公式)'!$A$5)/365))</x:f>
        <x:v>#NAME?</x:v>
      </x:c>
      <x:c r="O802" s="152" t="e">
        <x:f>IF(OR(N801="",N802=""),"",N802/N801-1)</x:f>
        <x:v>#NAME?</x:v>
      </x:c>
      <x:c r="P802" s="152" t="e">
        <x:f>IF(N802="","",N802/MAX(N$5:N802)-1)</x:f>
        <x:v>#NAME?</x:v>
      </x:c>
      <x:c r="Q802" s="146" t="e">
        <x:f>IF(OR('实盘净值数据(iFinD公式)'!$A802="",'实盘净值数据(iFinD公式)'!$B802=""),"",分期持仓明细!$AD$25*SUMPRODUCT(分期持仓明细!$B$25:$AA$25,'实盘净值数据(iFinD公式)'!$B802:$AA802/'实盘净值数据(iFinD公式)'!$B$65:$AA$65)*(1-实盘持仓初始配置!$Z$9)^(('实盘净值数据(iFinD公式)'!$A802-'实盘净值数据(iFinD公式)'!$A$8)/365))</x:f>
        <x:v>#NAME?</x:v>
      </x:c>
      <x:c r="R802" s="152" t="e">
        <x:f>IF(OR(Q801="",Q802=""),"",Q802/Q801-1)</x:f>
        <x:v>#NAME?</x:v>
      </x:c>
      <x:c r="S802" s="152" t="e">
        <x:f>IF(Q802="","",Q802/MAX(Q$5:Q802)-1)</x:f>
        <x:v>#NAME?</x:v>
      </x:c>
    </x:row>
    <x:row r="803">
      <x:c r="A803" s="149" t="str">
        <x:f>IF('实盘净值数据(iFinD公式)'!A803="","",'实盘净值数据(iFinD公式)'!A803)</x:f>
      </x:c>
      <x:c r="B803" s="146" t="e">
        <x:f>IF(OR('实盘净值数据(iFinD公式)'!$A803="",'实盘净值数据(iFinD公式)'!$B803=""),"",分期持仓明细!$AD$17*SUMPRODUCT(分期持仓明细!$B$17:$AA$17,'实盘净值数据(iFinD公式)'!$B803:$AA803/'实盘净值数据(iFinD公式)'!$B$20:$AA$20)*(1-实盘持仓初始配置!$Z$4)^(('实盘净值数据(iFinD公式)'!$A803-'实盘净值数据(iFinD公式)'!$A$6)/365))</x:f>
        <x:v>#NAME?</x:v>
      </x:c>
      <x:c r="C803" s="152" t="e">
        <x:f>IF(OR(B802="",B803=""),"",B803/B802-1)</x:f>
        <x:v>#NAME?</x:v>
      </x:c>
      <x:c r="D803" s="152" t="e">
        <x:f>IF(B803="","",B803/MAX(B$5:B803)-1)</x:f>
        <x:v>#NAME?</x:v>
      </x:c>
      <x:c r="E803" s="146" t="e">
        <x:f>IF(OR('实盘净值数据(iFinD公式)'!$A803="",'实盘净值数据(iFinD公式)'!$B803=""),"",分期持仓明细!$AD$18*SUMPRODUCT(分期持仓明细!$B$18:$AA$18,'实盘净值数据(iFinD公式)'!$B803:$AA803/'实盘净值数据(iFinD公式)'!$B$20:$AA$20)*(1-实盘持仓初始配置!$Z$5)^(('实盘净值数据(iFinD公式)'!$A803-'实盘净值数据(iFinD公式)'!$A$5)/365))</x:f>
        <x:v>#NAME?</x:v>
      </x:c>
      <x:c r="F803" s="152" t="e">
        <x:f>IF(OR(E802="",E803=""),"",E803/E802-1)</x:f>
        <x:v>#NAME?</x:v>
      </x:c>
      <x:c r="G803" s="152" t="e">
        <x:f>IF(E803="","",E803/MAX(E$5:E803)-1)</x:f>
        <x:v>#NAME?</x:v>
      </x:c>
      <x:c r="H803" s="146" t="e">
        <x:f>IF(OR('实盘净值数据(iFinD公式)'!$A803="",'实盘净值数据(iFinD公式)'!$B803=""),"",分期持仓明细!$AD$19*SUMPRODUCT(分期持仓明细!$B$19:$AA$19,'实盘净值数据(iFinD公式)'!$B803:$AA803/'实盘净值数据(iFinD公式)'!$B$20:$AA$20)*(1-实盘持仓初始配置!$Z$6)^(('实盘净值数据(iFinD公式)'!$A803-'实盘净值数据(iFinD公式)'!$A$7)/365))</x:f>
        <x:v>#NAME?</x:v>
      </x:c>
      <x:c r="I803" s="152" t="e">
        <x:f>IF(OR(H802="",H803=""),"",H803/H802-1)</x:f>
        <x:v>#NAME?</x:v>
      </x:c>
      <x:c r="J803" s="152" t="e">
        <x:f>IF(H803="","",H803/MAX(H$5:H803)-1)</x:f>
        <x:v>#NAME?</x:v>
      </x:c>
      <x:c r="K803" s="146" t="e">
        <x:f>IF(OR('实盘净值数据(iFinD公式)'!$A803="",'实盘净值数据(iFinD公式)'!$B803=""),"",分期持仓明细!$AD$23*SUMPRODUCT(分期持仓明细!$B$23:$AA$23,'实盘净值数据(iFinD公式)'!$B803:$AA803/'实盘净值数据(iFinD公式)'!$B$65:$AA$65)*(1-实盘持仓初始配置!$Z$7)^(('实盘净值数据(iFinD公式)'!$A803-'实盘净值数据(iFinD公式)'!$A$8)/365))</x:f>
        <x:v>#NAME?</x:v>
      </x:c>
      <x:c r="L803" s="152" t="e">
        <x:f>IF(OR(K802="",K803=""),"",K803/K802-1)</x:f>
        <x:v>#NAME?</x:v>
      </x:c>
      <x:c r="M803" s="152" t="e">
        <x:f>IF(K803="","",K803/MAX(K$5:K803)-1)</x:f>
        <x:v>#NAME?</x:v>
      </x:c>
      <x:c r="N803" s="146" t="e">
        <x:f>IF(OR('实盘净值数据(iFinD公式)'!$A803="",'实盘净值数据(iFinD公式)'!$B803=""),"",分期持仓明细!$AD$24*SUMPRODUCT(分期持仓明细!$B$24:$AA$24,'实盘净值数据(iFinD公式)'!$B803:$AA803/'实盘净值数据(iFinD公式)'!$B$65:$AA$65)*(1-实盘持仓初始配置!$Z$8)^(('实盘净值数据(iFinD公式)'!$A803-'实盘净值数据(iFinD公式)'!$A$5)/365))</x:f>
        <x:v>#NAME?</x:v>
      </x:c>
      <x:c r="O803" s="152" t="e">
        <x:f>IF(OR(N802="",N803=""),"",N803/N802-1)</x:f>
        <x:v>#NAME?</x:v>
      </x:c>
      <x:c r="P803" s="152" t="e">
        <x:f>IF(N803="","",N803/MAX(N$5:N803)-1)</x:f>
        <x:v>#NAME?</x:v>
      </x:c>
      <x:c r="Q803" s="146" t="e">
        <x:f>IF(OR('实盘净值数据(iFinD公式)'!$A803="",'实盘净值数据(iFinD公式)'!$B803=""),"",分期持仓明细!$AD$25*SUMPRODUCT(分期持仓明细!$B$25:$AA$25,'实盘净值数据(iFinD公式)'!$B803:$AA803/'实盘净值数据(iFinD公式)'!$B$65:$AA$65)*(1-实盘持仓初始配置!$Z$9)^(('实盘净值数据(iFinD公式)'!$A803-'实盘净值数据(iFinD公式)'!$A$8)/365))</x:f>
        <x:v>#NAME?</x:v>
      </x:c>
      <x:c r="R803" s="152" t="e">
        <x:f>IF(OR(Q802="",Q803=""),"",Q803/Q802-1)</x:f>
        <x:v>#NAME?</x:v>
      </x:c>
      <x:c r="S803" s="152" t="e">
        <x:f>IF(Q803="","",Q803/MAX(Q$5:Q803)-1)</x:f>
        <x:v>#NAME?</x:v>
      </x:c>
    </x:row>
    <x:row r="804">
      <x:c r="A804" s="149" t="str">
        <x:f>IF('实盘净值数据(iFinD公式)'!A804="","",'实盘净值数据(iFinD公式)'!A804)</x:f>
      </x:c>
      <x:c r="B804" s="146" t="e">
        <x:f>IF(OR('实盘净值数据(iFinD公式)'!$A804="",'实盘净值数据(iFinD公式)'!$B804=""),"",分期持仓明细!$AD$17*SUMPRODUCT(分期持仓明细!$B$17:$AA$17,'实盘净值数据(iFinD公式)'!$B804:$AA804/'实盘净值数据(iFinD公式)'!$B$20:$AA$20)*(1-实盘持仓初始配置!$Z$4)^(('实盘净值数据(iFinD公式)'!$A804-'实盘净值数据(iFinD公式)'!$A$6)/365))</x:f>
        <x:v>#NAME?</x:v>
      </x:c>
      <x:c r="C804" s="152" t="e">
        <x:f>IF(OR(B803="",B804=""),"",B804/B803-1)</x:f>
        <x:v>#NAME?</x:v>
      </x:c>
      <x:c r="D804" s="152" t="e">
        <x:f>IF(B804="","",B804/MAX(B$5:B804)-1)</x:f>
        <x:v>#NAME?</x:v>
      </x:c>
      <x:c r="E804" s="146" t="e">
        <x:f>IF(OR('实盘净值数据(iFinD公式)'!$A804="",'实盘净值数据(iFinD公式)'!$B804=""),"",分期持仓明细!$AD$18*SUMPRODUCT(分期持仓明细!$B$18:$AA$18,'实盘净值数据(iFinD公式)'!$B804:$AA804/'实盘净值数据(iFinD公式)'!$B$20:$AA$20)*(1-实盘持仓初始配置!$Z$5)^(('实盘净值数据(iFinD公式)'!$A804-'实盘净值数据(iFinD公式)'!$A$5)/365))</x:f>
        <x:v>#NAME?</x:v>
      </x:c>
      <x:c r="F804" s="152" t="e">
        <x:f>IF(OR(E803="",E804=""),"",E804/E803-1)</x:f>
        <x:v>#NAME?</x:v>
      </x:c>
      <x:c r="G804" s="152" t="e">
        <x:f>IF(E804="","",E804/MAX(E$5:E804)-1)</x:f>
        <x:v>#NAME?</x:v>
      </x:c>
      <x:c r="H804" s="146" t="e">
        <x:f>IF(OR('实盘净值数据(iFinD公式)'!$A804="",'实盘净值数据(iFinD公式)'!$B804=""),"",分期持仓明细!$AD$19*SUMPRODUCT(分期持仓明细!$B$19:$AA$19,'实盘净值数据(iFinD公式)'!$B804:$AA804/'实盘净值数据(iFinD公式)'!$B$20:$AA$20)*(1-实盘持仓初始配置!$Z$6)^(('实盘净值数据(iFinD公式)'!$A804-'实盘净值数据(iFinD公式)'!$A$7)/365))</x:f>
        <x:v>#NAME?</x:v>
      </x:c>
      <x:c r="I804" s="152" t="e">
        <x:f>IF(OR(H803="",H804=""),"",H804/H803-1)</x:f>
        <x:v>#NAME?</x:v>
      </x:c>
      <x:c r="J804" s="152" t="e">
        <x:f>IF(H804="","",H804/MAX(H$5:H804)-1)</x:f>
        <x:v>#NAME?</x:v>
      </x:c>
      <x:c r="K804" s="146" t="e">
        <x:f>IF(OR('实盘净值数据(iFinD公式)'!$A804="",'实盘净值数据(iFinD公式)'!$B804=""),"",分期持仓明细!$AD$23*SUMPRODUCT(分期持仓明细!$B$23:$AA$23,'实盘净值数据(iFinD公式)'!$B804:$AA804/'实盘净值数据(iFinD公式)'!$B$65:$AA$65)*(1-实盘持仓初始配置!$Z$7)^(('实盘净值数据(iFinD公式)'!$A804-'实盘净值数据(iFinD公式)'!$A$8)/365))</x:f>
        <x:v>#NAME?</x:v>
      </x:c>
      <x:c r="L804" s="152" t="e">
        <x:f>IF(OR(K803="",K804=""),"",K804/K803-1)</x:f>
        <x:v>#NAME?</x:v>
      </x:c>
      <x:c r="M804" s="152" t="e">
        <x:f>IF(K804="","",K804/MAX(K$5:K804)-1)</x:f>
        <x:v>#NAME?</x:v>
      </x:c>
      <x:c r="N804" s="146" t="e">
        <x:f>IF(OR('实盘净值数据(iFinD公式)'!$A804="",'实盘净值数据(iFinD公式)'!$B804=""),"",分期持仓明细!$AD$24*SUMPRODUCT(分期持仓明细!$B$24:$AA$24,'实盘净值数据(iFinD公式)'!$B804:$AA804/'实盘净值数据(iFinD公式)'!$B$65:$AA$65)*(1-实盘持仓初始配置!$Z$8)^(('实盘净值数据(iFinD公式)'!$A804-'实盘净值数据(iFinD公式)'!$A$5)/365))</x:f>
        <x:v>#NAME?</x:v>
      </x:c>
      <x:c r="O804" s="152" t="e">
        <x:f>IF(OR(N803="",N804=""),"",N804/N803-1)</x:f>
        <x:v>#NAME?</x:v>
      </x:c>
      <x:c r="P804" s="152" t="e">
        <x:f>IF(N804="","",N804/MAX(N$5:N804)-1)</x:f>
        <x:v>#NAME?</x:v>
      </x:c>
      <x:c r="Q804" s="146" t="e">
        <x:f>IF(OR('实盘净值数据(iFinD公式)'!$A804="",'实盘净值数据(iFinD公式)'!$B804=""),"",分期持仓明细!$AD$25*SUMPRODUCT(分期持仓明细!$B$25:$AA$25,'实盘净值数据(iFinD公式)'!$B804:$AA804/'实盘净值数据(iFinD公式)'!$B$65:$AA$65)*(1-实盘持仓初始配置!$Z$9)^(('实盘净值数据(iFinD公式)'!$A804-'实盘净值数据(iFinD公式)'!$A$8)/365))</x:f>
        <x:v>#NAME?</x:v>
      </x:c>
      <x:c r="R804" s="152" t="e">
        <x:f>IF(OR(Q803="",Q804=""),"",Q804/Q803-1)</x:f>
        <x:v>#NAME?</x:v>
      </x:c>
      <x:c r="S804" s="152" t="e">
        <x:f>IF(Q804="","",Q804/MAX(Q$5:Q804)-1)</x:f>
        <x:v>#NAME?</x:v>
      </x:c>
    </x:row>
    <x:row r="805">
      <x:c r="A805" s="149" t="str">
        <x:f>IF('实盘净值数据(iFinD公式)'!A805="","",'实盘净值数据(iFinD公式)'!A805)</x:f>
      </x:c>
      <x:c r="B805" s="146" t="e">
        <x:f>IF(OR('实盘净值数据(iFinD公式)'!$A805="",'实盘净值数据(iFinD公式)'!$B805=""),"",分期持仓明细!$AD$17*SUMPRODUCT(分期持仓明细!$B$17:$AA$17,'实盘净值数据(iFinD公式)'!$B805:$AA805/'实盘净值数据(iFinD公式)'!$B$20:$AA$20)*(1-实盘持仓初始配置!$Z$4)^(('实盘净值数据(iFinD公式)'!$A805-'实盘净值数据(iFinD公式)'!$A$6)/365))</x:f>
        <x:v>#NAME?</x:v>
      </x:c>
      <x:c r="C805" s="152" t="e">
        <x:f>IF(OR(B804="",B805=""),"",B805/B804-1)</x:f>
        <x:v>#NAME?</x:v>
      </x:c>
      <x:c r="D805" s="152" t="e">
        <x:f>IF(B805="","",B805/MAX(B$5:B805)-1)</x:f>
        <x:v>#NAME?</x:v>
      </x:c>
      <x:c r="E805" s="146" t="e">
        <x:f>IF(OR('实盘净值数据(iFinD公式)'!$A805="",'实盘净值数据(iFinD公式)'!$B805=""),"",分期持仓明细!$AD$18*SUMPRODUCT(分期持仓明细!$B$18:$AA$18,'实盘净值数据(iFinD公式)'!$B805:$AA805/'实盘净值数据(iFinD公式)'!$B$20:$AA$20)*(1-实盘持仓初始配置!$Z$5)^(('实盘净值数据(iFinD公式)'!$A805-'实盘净值数据(iFinD公式)'!$A$5)/365))</x:f>
        <x:v>#NAME?</x:v>
      </x:c>
      <x:c r="F805" s="152" t="e">
        <x:f>IF(OR(E804="",E805=""),"",E805/E804-1)</x:f>
        <x:v>#NAME?</x:v>
      </x:c>
      <x:c r="G805" s="152" t="e">
        <x:f>IF(E805="","",E805/MAX(E$5:E805)-1)</x:f>
        <x:v>#NAME?</x:v>
      </x:c>
      <x:c r="H805" s="146" t="e">
        <x:f>IF(OR('实盘净值数据(iFinD公式)'!$A805="",'实盘净值数据(iFinD公式)'!$B805=""),"",分期持仓明细!$AD$19*SUMPRODUCT(分期持仓明细!$B$19:$AA$19,'实盘净值数据(iFinD公式)'!$B805:$AA805/'实盘净值数据(iFinD公式)'!$B$20:$AA$20)*(1-实盘持仓初始配置!$Z$6)^(('实盘净值数据(iFinD公式)'!$A805-'实盘净值数据(iFinD公式)'!$A$7)/365))</x:f>
        <x:v>#NAME?</x:v>
      </x:c>
      <x:c r="I805" s="152" t="e">
        <x:f>IF(OR(H804="",H805=""),"",H805/H804-1)</x:f>
        <x:v>#NAME?</x:v>
      </x:c>
      <x:c r="J805" s="152" t="e">
        <x:f>IF(H805="","",H805/MAX(H$5:H805)-1)</x:f>
        <x:v>#NAME?</x:v>
      </x:c>
      <x:c r="K805" s="146" t="e">
        <x:f>IF(OR('实盘净值数据(iFinD公式)'!$A805="",'实盘净值数据(iFinD公式)'!$B805=""),"",分期持仓明细!$AD$23*SUMPRODUCT(分期持仓明细!$B$23:$AA$23,'实盘净值数据(iFinD公式)'!$B805:$AA805/'实盘净值数据(iFinD公式)'!$B$65:$AA$65)*(1-实盘持仓初始配置!$Z$7)^(('实盘净值数据(iFinD公式)'!$A805-'实盘净值数据(iFinD公式)'!$A$8)/365))</x:f>
        <x:v>#NAME?</x:v>
      </x:c>
      <x:c r="L805" s="152" t="e">
        <x:f>IF(OR(K804="",K805=""),"",K805/K804-1)</x:f>
        <x:v>#NAME?</x:v>
      </x:c>
      <x:c r="M805" s="152" t="e">
        <x:f>IF(K805="","",K805/MAX(K$5:K805)-1)</x:f>
        <x:v>#NAME?</x:v>
      </x:c>
      <x:c r="N805" s="146" t="e">
        <x:f>IF(OR('实盘净值数据(iFinD公式)'!$A805="",'实盘净值数据(iFinD公式)'!$B805=""),"",分期持仓明细!$AD$24*SUMPRODUCT(分期持仓明细!$B$24:$AA$24,'实盘净值数据(iFinD公式)'!$B805:$AA805/'实盘净值数据(iFinD公式)'!$B$65:$AA$65)*(1-实盘持仓初始配置!$Z$8)^(('实盘净值数据(iFinD公式)'!$A805-'实盘净值数据(iFinD公式)'!$A$5)/365))</x:f>
        <x:v>#NAME?</x:v>
      </x:c>
      <x:c r="O805" s="152" t="e">
        <x:f>IF(OR(N804="",N805=""),"",N805/N804-1)</x:f>
        <x:v>#NAME?</x:v>
      </x:c>
      <x:c r="P805" s="152" t="e">
        <x:f>IF(N805="","",N805/MAX(N$5:N805)-1)</x:f>
        <x:v>#NAME?</x:v>
      </x:c>
      <x:c r="Q805" s="146" t="e">
        <x:f>IF(OR('实盘净值数据(iFinD公式)'!$A805="",'实盘净值数据(iFinD公式)'!$B805=""),"",分期持仓明细!$AD$25*SUMPRODUCT(分期持仓明细!$B$25:$AA$25,'实盘净值数据(iFinD公式)'!$B805:$AA805/'实盘净值数据(iFinD公式)'!$B$65:$AA$65)*(1-实盘持仓初始配置!$Z$9)^(('实盘净值数据(iFinD公式)'!$A805-'实盘净值数据(iFinD公式)'!$A$8)/365))</x:f>
        <x:v>#NAME?</x:v>
      </x:c>
      <x:c r="R805" s="152" t="e">
        <x:f>IF(OR(Q804="",Q805=""),"",Q805/Q804-1)</x:f>
        <x:v>#NAME?</x:v>
      </x:c>
      <x:c r="S805" s="152" t="e">
        <x:f>IF(Q805="","",Q805/MAX(Q$5:Q805)-1)</x:f>
        <x:v>#NAME?</x:v>
      </x:c>
    </x:row>
    <x:row r="806">
      <x:c r="A806" s="149" t="str">
        <x:f>IF('实盘净值数据(iFinD公式)'!A806="","",'实盘净值数据(iFinD公式)'!A806)</x:f>
      </x:c>
      <x:c r="B806" s="146" t="e">
        <x:f>IF(OR('实盘净值数据(iFinD公式)'!$A806="",'实盘净值数据(iFinD公式)'!$B806=""),"",分期持仓明细!$AD$17*SUMPRODUCT(分期持仓明细!$B$17:$AA$17,'实盘净值数据(iFinD公式)'!$B806:$AA806/'实盘净值数据(iFinD公式)'!$B$20:$AA$20)*(1-实盘持仓初始配置!$Z$4)^(('实盘净值数据(iFinD公式)'!$A806-'实盘净值数据(iFinD公式)'!$A$6)/365))</x:f>
        <x:v>#NAME?</x:v>
      </x:c>
      <x:c r="C806" s="152" t="e">
        <x:f>IF(OR(B805="",B806=""),"",B806/B805-1)</x:f>
        <x:v>#NAME?</x:v>
      </x:c>
      <x:c r="D806" s="152" t="e">
        <x:f>IF(B806="","",B806/MAX(B$5:B806)-1)</x:f>
        <x:v>#NAME?</x:v>
      </x:c>
      <x:c r="E806" s="146" t="e">
        <x:f>IF(OR('实盘净值数据(iFinD公式)'!$A806="",'实盘净值数据(iFinD公式)'!$B806=""),"",分期持仓明细!$AD$18*SUMPRODUCT(分期持仓明细!$B$18:$AA$18,'实盘净值数据(iFinD公式)'!$B806:$AA806/'实盘净值数据(iFinD公式)'!$B$20:$AA$20)*(1-实盘持仓初始配置!$Z$5)^(('实盘净值数据(iFinD公式)'!$A806-'实盘净值数据(iFinD公式)'!$A$5)/365))</x:f>
        <x:v>#NAME?</x:v>
      </x:c>
      <x:c r="F806" s="152" t="e">
        <x:f>IF(OR(E805="",E806=""),"",E806/E805-1)</x:f>
        <x:v>#NAME?</x:v>
      </x:c>
      <x:c r="G806" s="152" t="e">
        <x:f>IF(E806="","",E806/MAX(E$5:E806)-1)</x:f>
        <x:v>#NAME?</x:v>
      </x:c>
      <x:c r="H806" s="146" t="e">
        <x:f>IF(OR('实盘净值数据(iFinD公式)'!$A806="",'实盘净值数据(iFinD公式)'!$B806=""),"",分期持仓明细!$AD$19*SUMPRODUCT(分期持仓明细!$B$19:$AA$19,'实盘净值数据(iFinD公式)'!$B806:$AA806/'实盘净值数据(iFinD公式)'!$B$20:$AA$20)*(1-实盘持仓初始配置!$Z$6)^(('实盘净值数据(iFinD公式)'!$A806-'实盘净值数据(iFinD公式)'!$A$7)/365))</x:f>
        <x:v>#NAME?</x:v>
      </x:c>
      <x:c r="I806" s="152" t="e">
        <x:f>IF(OR(H805="",H806=""),"",H806/H805-1)</x:f>
        <x:v>#NAME?</x:v>
      </x:c>
      <x:c r="J806" s="152" t="e">
        <x:f>IF(H806="","",H806/MAX(H$5:H806)-1)</x:f>
        <x:v>#NAME?</x:v>
      </x:c>
      <x:c r="K806" s="146" t="e">
        <x:f>IF(OR('实盘净值数据(iFinD公式)'!$A806="",'实盘净值数据(iFinD公式)'!$B806=""),"",分期持仓明细!$AD$23*SUMPRODUCT(分期持仓明细!$B$23:$AA$23,'实盘净值数据(iFinD公式)'!$B806:$AA806/'实盘净值数据(iFinD公式)'!$B$65:$AA$65)*(1-实盘持仓初始配置!$Z$7)^(('实盘净值数据(iFinD公式)'!$A806-'实盘净值数据(iFinD公式)'!$A$8)/365))</x:f>
        <x:v>#NAME?</x:v>
      </x:c>
      <x:c r="L806" s="152" t="e">
        <x:f>IF(OR(K805="",K806=""),"",K806/K805-1)</x:f>
        <x:v>#NAME?</x:v>
      </x:c>
      <x:c r="M806" s="152" t="e">
        <x:f>IF(K806="","",K806/MAX(K$5:K806)-1)</x:f>
        <x:v>#NAME?</x:v>
      </x:c>
      <x:c r="N806" s="146" t="e">
        <x:f>IF(OR('实盘净值数据(iFinD公式)'!$A806="",'实盘净值数据(iFinD公式)'!$B806=""),"",分期持仓明细!$AD$24*SUMPRODUCT(分期持仓明细!$B$24:$AA$24,'实盘净值数据(iFinD公式)'!$B806:$AA806/'实盘净值数据(iFinD公式)'!$B$65:$AA$65)*(1-实盘持仓初始配置!$Z$8)^(('实盘净值数据(iFinD公式)'!$A806-'实盘净值数据(iFinD公式)'!$A$5)/365))</x:f>
        <x:v>#NAME?</x:v>
      </x:c>
      <x:c r="O806" s="152" t="e">
        <x:f>IF(OR(N805="",N806=""),"",N806/N805-1)</x:f>
        <x:v>#NAME?</x:v>
      </x:c>
      <x:c r="P806" s="152" t="e">
        <x:f>IF(N806="","",N806/MAX(N$5:N806)-1)</x:f>
        <x:v>#NAME?</x:v>
      </x:c>
      <x:c r="Q806" s="146" t="e">
        <x:f>IF(OR('实盘净值数据(iFinD公式)'!$A806="",'实盘净值数据(iFinD公式)'!$B806=""),"",分期持仓明细!$AD$25*SUMPRODUCT(分期持仓明细!$B$25:$AA$25,'实盘净值数据(iFinD公式)'!$B806:$AA806/'实盘净值数据(iFinD公式)'!$B$65:$AA$65)*(1-实盘持仓初始配置!$Z$9)^(('实盘净值数据(iFinD公式)'!$A806-'实盘净值数据(iFinD公式)'!$A$8)/365))</x:f>
        <x:v>#NAME?</x:v>
      </x:c>
      <x:c r="R806" s="152" t="e">
        <x:f>IF(OR(Q805="",Q806=""),"",Q806/Q805-1)</x:f>
        <x:v>#NAME?</x:v>
      </x:c>
      <x:c r="S806" s="152" t="e">
        <x:f>IF(Q806="","",Q806/MAX(Q$5:Q806)-1)</x:f>
        <x:v>#NAME?</x:v>
      </x:c>
    </x:row>
    <x:row r="807">
      <x:c r="A807" s="149" t="str">
        <x:f>IF('实盘净值数据(iFinD公式)'!A807="","",'实盘净值数据(iFinD公式)'!A807)</x:f>
      </x:c>
      <x:c r="B807" s="146" t="e">
        <x:f>IF(OR('实盘净值数据(iFinD公式)'!$A807="",'实盘净值数据(iFinD公式)'!$B807=""),"",分期持仓明细!$AD$17*SUMPRODUCT(分期持仓明细!$B$17:$AA$17,'实盘净值数据(iFinD公式)'!$B807:$AA807/'实盘净值数据(iFinD公式)'!$B$20:$AA$20)*(1-实盘持仓初始配置!$Z$4)^(('实盘净值数据(iFinD公式)'!$A807-'实盘净值数据(iFinD公式)'!$A$6)/365))</x:f>
        <x:v>#NAME?</x:v>
      </x:c>
      <x:c r="C807" s="152" t="e">
        <x:f>IF(OR(B806="",B807=""),"",B807/B806-1)</x:f>
        <x:v>#NAME?</x:v>
      </x:c>
      <x:c r="D807" s="152" t="e">
        <x:f>IF(B807="","",B807/MAX(B$5:B807)-1)</x:f>
        <x:v>#NAME?</x:v>
      </x:c>
      <x:c r="E807" s="146" t="e">
        <x:f>IF(OR('实盘净值数据(iFinD公式)'!$A807="",'实盘净值数据(iFinD公式)'!$B807=""),"",分期持仓明细!$AD$18*SUMPRODUCT(分期持仓明细!$B$18:$AA$18,'实盘净值数据(iFinD公式)'!$B807:$AA807/'实盘净值数据(iFinD公式)'!$B$20:$AA$20)*(1-实盘持仓初始配置!$Z$5)^(('实盘净值数据(iFinD公式)'!$A807-'实盘净值数据(iFinD公式)'!$A$5)/365))</x:f>
        <x:v>#NAME?</x:v>
      </x:c>
      <x:c r="F807" s="152" t="e">
        <x:f>IF(OR(E806="",E807=""),"",E807/E806-1)</x:f>
        <x:v>#NAME?</x:v>
      </x:c>
      <x:c r="G807" s="152" t="e">
        <x:f>IF(E807="","",E807/MAX(E$5:E807)-1)</x:f>
        <x:v>#NAME?</x:v>
      </x:c>
      <x:c r="H807" s="146" t="e">
        <x:f>IF(OR('实盘净值数据(iFinD公式)'!$A807="",'实盘净值数据(iFinD公式)'!$B807=""),"",分期持仓明细!$AD$19*SUMPRODUCT(分期持仓明细!$B$19:$AA$19,'实盘净值数据(iFinD公式)'!$B807:$AA807/'实盘净值数据(iFinD公式)'!$B$20:$AA$20)*(1-实盘持仓初始配置!$Z$6)^(('实盘净值数据(iFinD公式)'!$A807-'实盘净值数据(iFinD公式)'!$A$7)/365))</x:f>
        <x:v>#NAME?</x:v>
      </x:c>
      <x:c r="I807" s="152" t="e">
        <x:f>IF(OR(H806="",H807=""),"",H807/H806-1)</x:f>
        <x:v>#NAME?</x:v>
      </x:c>
      <x:c r="J807" s="152" t="e">
        <x:f>IF(H807="","",H807/MAX(H$5:H807)-1)</x:f>
        <x:v>#NAME?</x:v>
      </x:c>
      <x:c r="K807" s="146" t="e">
        <x:f>IF(OR('实盘净值数据(iFinD公式)'!$A807="",'实盘净值数据(iFinD公式)'!$B807=""),"",分期持仓明细!$AD$23*SUMPRODUCT(分期持仓明细!$B$23:$AA$23,'实盘净值数据(iFinD公式)'!$B807:$AA807/'实盘净值数据(iFinD公式)'!$B$65:$AA$65)*(1-实盘持仓初始配置!$Z$7)^(('实盘净值数据(iFinD公式)'!$A807-'实盘净值数据(iFinD公式)'!$A$8)/365))</x:f>
        <x:v>#NAME?</x:v>
      </x:c>
      <x:c r="L807" s="152" t="e">
        <x:f>IF(OR(K806="",K807=""),"",K807/K806-1)</x:f>
        <x:v>#NAME?</x:v>
      </x:c>
      <x:c r="M807" s="152" t="e">
        <x:f>IF(K807="","",K807/MAX(K$5:K807)-1)</x:f>
        <x:v>#NAME?</x:v>
      </x:c>
      <x:c r="N807" s="146" t="e">
        <x:f>IF(OR('实盘净值数据(iFinD公式)'!$A807="",'实盘净值数据(iFinD公式)'!$B807=""),"",分期持仓明细!$AD$24*SUMPRODUCT(分期持仓明细!$B$24:$AA$24,'实盘净值数据(iFinD公式)'!$B807:$AA807/'实盘净值数据(iFinD公式)'!$B$65:$AA$65)*(1-实盘持仓初始配置!$Z$8)^(('实盘净值数据(iFinD公式)'!$A807-'实盘净值数据(iFinD公式)'!$A$5)/365))</x:f>
        <x:v>#NAME?</x:v>
      </x:c>
      <x:c r="O807" s="152" t="e">
        <x:f>IF(OR(N806="",N807=""),"",N807/N806-1)</x:f>
        <x:v>#NAME?</x:v>
      </x:c>
      <x:c r="P807" s="152" t="e">
        <x:f>IF(N807="","",N807/MAX(N$5:N807)-1)</x:f>
        <x:v>#NAME?</x:v>
      </x:c>
      <x:c r="Q807" s="146" t="e">
        <x:f>IF(OR('实盘净值数据(iFinD公式)'!$A807="",'实盘净值数据(iFinD公式)'!$B807=""),"",分期持仓明细!$AD$25*SUMPRODUCT(分期持仓明细!$B$25:$AA$25,'实盘净值数据(iFinD公式)'!$B807:$AA807/'实盘净值数据(iFinD公式)'!$B$65:$AA$65)*(1-实盘持仓初始配置!$Z$9)^(('实盘净值数据(iFinD公式)'!$A807-'实盘净值数据(iFinD公式)'!$A$8)/365))</x:f>
        <x:v>#NAME?</x:v>
      </x:c>
      <x:c r="R807" s="152" t="e">
        <x:f>IF(OR(Q806="",Q807=""),"",Q807/Q806-1)</x:f>
        <x:v>#NAME?</x:v>
      </x:c>
      <x:c r="S807" s="152" t="e">
        <x:f>IF(Q807="","",Q807/MAX(Q$5:Q807)-1)</x:f>
        <x:v>#NAME?</x:v>
      </x:c>
    </x:row>
    <x:row r="808">
      <x:c r="A808" s="149" t="str">
        <x:f>IF('实盘净值数据(iFinD公式)'!A808="","",'实盘净值数据(iFinD公式)'!A808)</x:f>
      </x:c>
      <x:c r="B808" s="146" t="e">
        <x:f>IF(OR('实盘净值数据(iFinD公式)'!$A808="",'实盘净值数据(iFinD公式)'!$B808=""),"",分期持仓明细!$AD$17*SUMPRODUCT(分期持仓明细!$B$17:$AA$17,'实盘净值数据(iFinD公式)'!$B808:$AA808/'实盘净值数据(iFinD公式)'!$B$20:$AA$20)*(1-实盘持仓初始配置!$Z$4)^(('实盘净值数据(iFinD公式)'!$A808-'实盘净值数据(iFinD公式)'!$A$6)/365))</x:f>
        <x:v>#NAME?</x:v>
      </x:c>
      <x:c r="C808" s="152" t="e">
        <x:f>IF(OR(B807="",B808=""),"",B808/B807-1)</x:f>
        <x:v>#NAME?</x:v>
      </x:c>
      <x:c r="D808" s="152" t="e">
        <x:f>IF(B808="","",B808/MAX(B$5:B808)-1)</x:f>
        <x:v>#NAME?</x:v>
      </x:c>
      <x:c r="E808" s="146" t="e">
        <x:f>IF(OR('实盘净值数据(iFinD公式)'!$A808="",'实盘净值数据(iFinD公式)'!$B808=""),"",分期持仓明细!$AD$18*SUMPRODUCT(分期持仓明细!$B$18:$AA$18,'实盘净值数据(iFinD公式)'!$B808:$AA808/'实盘净值数据(iFinD公式)'!$B$20:$AA$20)*(1-实盘持仓初始配置!$Z$5)^(('实盘净值数据(iFinD公式)'!$A808-'实盘净值数据(iFinD公式)'!$A$5)/365))</x:f>
        <x:v>#NAME?</x:v>
      </x:c>
      <x:c r="F808" s="152" t="e">
        <x:f>IF(OR(E807="",E808=""),"",E808/E807-1)</x:f>
        <x:v>#NAME?</x:v>
      </x:c>
      <x:c r="G808" s="152" t="e">
        <x:f>IF(E808="","",E808/MAX(E$5:E808)-1)</x:f>
        <x:v>#NAME?</x:v>
      </x:c>
      <x:c r="H808" s="146" t="e">
        <x:f>IF(OR('实盘净值数据(iFinD公式)'!$A808="",'实盘净值数据(iFinD公式)'!$B808=""),"",分期持仓明细!$AD$19*SUMPRODUCT(分期持仓明细!$B$19:$AA$19,'实盘净值数据(iFinD公式)'!$B808:$AA808/'实盘净值数据(iFinD公式)'!$B$20:$AA$20)*(1-实盘持仓初始配置!$Z$6)^(('实盘净值数据(iFinD公式)'!$A808-'实盘净值数据(iFinD公式)'!$A$7)/365))</x:f>
        <x:v>#NAME?</x:v>
      </x:c>
      <x:c r="I808" s="152" t="e">
        <x:f>IF(OR(H807="",H808=""),"",H808/H807-1)</x:f>
        <x:v>#NAME?</x:v>
      </x:c>
      <x:c r="J808" s="152" t="e">
        <x:f>IF(H808="","",H808/MAX(H$5:H808)-1)</x:f>
        <x:v>#NAME?</x:v>
      </x:c>
      <x:c r="K808" s="146" t="e">
        <x:f>IF(OR('实盘净值数据(iFinD公式)'!$A808="",'实盘净值数据(iFinD公式)'!$B808=""),"",分期持仓明细!$AD$23*SUMPRODUCT(分期持仓明细!$B$23:$AA$23,'实盘净值数据(iFinD公式)'!$B808:$AA808/'实盘净值数据(iFinD公式)'!$B$65:$AA$65)*(1-实盘持仓初始配置!$Z$7)^(('实盘净值数据(iFinD公式)'!$A808-'实盘净值数据(iFinD公式)'!$A$8)/365))</x:f>
        <x:v>#NAME?</x:v>
      </x:c>
      <x:c r="L808" s="152" t="e">
        <x:f>IF(OR(K807="",K808=""),"",K808/K807-1)</x:f>
        <x:v>#NAME?</x:v>
      </x:c>
      <x:c r="M808" s="152" t="e">
        <x:f>IF(K808="","",K808/MAX(K$5:K808)-1)</x:f>
        <x:v>#NAME?</x:v>
      </x:c>
      <x:c r="N808" s="146" t="e">
        <x:f>IF(OR('实盘净值数据(iFinD公式)'!$A808="",'实盘净值数据(iFinD公式)'!$B808=""),"",分期持仓明细!$AD$24*SUMPRODUCT(分期持仓明细!$B$24:$AA$24,'实盘净值数据(iFinD公式)'!$B808:$AA808/'实盘净值数据(iFinD公式)'!$B$65:$AA$65)*(1-实盘持仓初始配置!$Z$8)^(('实盘净值数据(iFinD公式)'!$A808-'实盘净值数据(iFinD公式)'!$A$5)/365))</x:f>
        <x:v>#NAME?</x:v>
      </x:c>
      <x:c r="O808" s="152" t="e">
        <x:f>IF(OR(N807="",N808=""),"",N808/N807-1)</x:f>
        <x:v>#NAME?</x:v>
      </x:c>
      <x:c r="P808" s="152" t="e">
        <x:f>IF(N808="","",N808/MAX(N$5:N808)-1)</x:f>
        <x:v>#NAME?</x:v>
      </x:c>
      <x:c r="Q808" s="146" t="e">
        <x:f>IF(OR('实盘净值数据(iFinD公式)'!$A808="",'实盘净值数据(iFinD公式)'!$B808=""),"",分期持仓明细!$AD$25*SUMPRODUCT(分期持仓明细!$B$25:$AA$25,'实盘净值数据(iFinD公式)'!$B808:$AA808/'实盘净值数据(iFinD公式)'!$B$65:$AA$65)*(1-实盘持仓初始配置!$Z$9)^(('实盘净值数据(iFinD公式)'!$A808-'实盘净值数据(iFinD公式)'!$A$8)/365))</x:f>
        <x:v>#NAME?</x:v>
      </x:c>
      <x:c r="R808" s="152" t="e">
        <x:f>IF(OR(Q807="",Q808=""),"",Q808/Q807-1)</x:f>
        <x:v>#NAME?</x:v>
      </x:c>
      <x:c r="S808" s="152" t="e">
        <x:f>IF(Q808="","",Q808/MAX(Q$5:Q808)-1)</x:f>
        <x:v>#NAME?</x:v>
      </x:c>
    </x:row>
    <x:row r="809">
      <x:c r="A809" s="149" t="str">
        <x:f>IF('实盘净值数据(iFinD公式)'!A809="","",'实盘净值数据(iFinD公式)'!A809)</x:f>
      </x:c>
      <x:c r="B809" s="146" t="e">
        <x:f>IF(OR('实盘净值数据(iFinD公式)'!$A809="",'实盘净值数据(iFinD公式)'!$B809=""),"",分期持仓明细!$AD$17*SUMPRODUCT(分期持仓明细!$B$17:$AA$17,'实盘净值数据(iFinD公式)'!$B809:$AA809/'实盘净值数据(iFinD公式)'!$B$20:$AA$20)*(1-实盘持仓初始配置!$Z$4)^(('实盘净值数据(iFinD公式)'!$A809-'实盘净值数据(iFinD公式)'!$A$6)/365))</x:f>
        <x:v>#NAME?</x:v>
      </x:c>
      <x:c r="C809" s="152" t="e">
        <x:f>IF(OR(B808="",B809=""),"",B809/B808-1)</x:f>
        <x:v>#NAME?</x:v>
      </x:c>
      <x:c r="D809" s="152" t="e">
        <x:f>IF(B809="","",B809/MAX(B$5:B809)-1)</x:f>
        <x:v>#NAME?</x:v>
      </x:c>
      <x:c r="E809" s="146" t="e">
        <x:f>IF(OR('实盘净值数据(iFinD公式)'!$A809="",'实盘净值数据(iFinD公式)'!$B809=""),"",分期持仓明细!$AD$18*SUMPRODUCT(分期持仓明细!$B$18:$AA$18,'实盘净值数据(iFinD公式)'!$B809:$AA809/'实盘净值数据(iFinD公式)'!$B$20:$AA$20)*(1-实盘持仓初始配置!$Z$5)^(('实盘净值数据(iFinD公式)'!$A809-'实盘净值数据(iFinD公式)'!$A$5)/365))</x:f>
        <x:v>#NAME?</x:v>
      </x:c>
      <x:c r="F809" s="152" t="e">
        <x:f>IF(OR(E808="",E809=""),"",E809/E808-1)</x:f>
        <x:v>#NAME?</x:v>
      </x:c>
      <x:c r="G809" s="152" t="e">
        <x:f>IF(E809="","",E809/MAX(E$5:E809)-1)</x:f>
        <x:v>#NAME?</x:v>
      </x:c>
      <x:c r="H809" s="146" t="e">
        <x:f>IF(OR('实盘净值数据(iFinD公式)'!$A809="",'实盘净值数据(iFinD公式)'!$B809=""),"",分期持仓明细!$AD$19*SUMPRODUCT(分期持仓明细!$B$19:$AA$19,'实盘净值数据(iFinD公式)'!$B809:$AA809/'实盘净值数据(iFinD公式)'!$B$20:$AA$20)*(1-实盘持仓初始配置!$Z$6)^(('实盘净值数据(iFinD公式)'!$A809-'实盘净值数据(iFinD公式)'!$A$7)/365))</x:f>
        <x:v>#NAME?</x:v>
      </x:c>
      <x:c r="I809" s="152" t="e">
        <x:f>IF(OR(H808="",H809=""),"",H809/H808-1)</x:f>
        <x:v>#NAME?</x:v>
      </x:c>
      <x:c r="J809" s="152" t="e">
        <x:f>IF(H809="","",H809/MAX(H$5:H809)-1)</x:f>
        <x:v>#NAME?</x:v>
      </x:c>
      <x:c r="K809" s="146" t="e">
        <x:f>IF(OR('实盘净值数据(iFinD公式)'!$A809="",'实盘净值数据(iFinD公式)'!$B809=""),"",分期持仓明细!$AD$23*SUMPRODUCT(分期持仓明细!$B$23:$AA$23,'实盘净值数据(iFinD公式)'!$B809:$AA809/'实盘净值数据(iFinD公式)'!$B$65:$AA$65)*(1-实盘持仓初始配置!$Z$7)^(('实盘净值数据(iFinD公式)'!$A809-'实盘净值数据(iFinD公式)'!$A$8)/365))</x:f>
        <x:v>#NAME?</x:v>
      </x:c>
      <x:c r="L809" s="152" t="e">
        <x:f>IF(OR(K808="",K809=""),"",K809/K808-1)</x:f>
        <x:v>#NAME?</x:v>
      </x:c>
      <x:c r="M809" s="152" t="e">
        <x:f>IF(K809="","",K809/MAX(K$5:K809)-1)</x:f>
        <x:v>#NAME?</x:v>
      </x:c>
      <x:c r="N809" s="146" t="e">
        <x:f>IF(OR('实盘净值数据(iFinD公式)'!$A809="",'实盘净值数据(iFinD公式)'!$B809=""),"",分期持仓明细!$AD$24*SUMPRODUCT(分期持仓明细!$B$24:$AA$24,'实盘净值数据(iFinD公式)'!$B809:$AA809/'实盘净值数据(iFinD公式)'!$B$65:$AA$65)*(1-实盘持仓初始配置!$Z$8)^(('实盘净值数据(iFinD公式)'!$A809-'实盘净值数据(iFinD公式)'!$A$5)/365))</x:f>
        <x:v>#NAME?</x:v>
      </x:c>
      <x:c r="O809" s="152" t="e">
        <x:f>IF(OR(N808="",N809=""),"",N809/N808-1)</x:f>
        <x:v>#NAME?</x:v>
      </x:c>
      <x:c r="P809" s="152" t="e">
        <x:f>IF(N809="","",N809/MAX(N$5:N809)-1)</x:f>
        <x:v>#NAME?</x:v>
      </x:c>
      <x:c r="Q809" s="146" t="e">
        <x:f>IF(OR('实盘净值数据(iFinD公式)'!$A809="",'实盘净值数据(iFinD公式)'!$B809=""),"",分期持仓明细!$AD$25*SUMPRODUCT(分期持仓明细!$B$25:$AA$25,'实盘净值数据(iFinD公式)'!$B809:$AA809/'实盘净值数据(iFinD公式)'!$B$65:$AA$65)*(1-实盘持仓初始配置!$Z$9)^(('实盘净值数据(iFinD公式)'!$A809-'实盘净值数据(iFinD公式)'!$A$8)/365))</x:f>
        <x:v>#NAME?</x:v>
      </x:c>
      <x:c r="R809" s="152" t="e">
        <x:f>IF(OR(Q808="",Q809=""),"",Q809/Q808-1)</x:f>
        <x:v>#NAME?</x:v>
      </x:c>
      <x:c r="S809" s="152" t="e">
        <x:f>IF(Q809="","",Q809/MAX(Q$5:Q809)-1)</x:f>
        <x:v>#NAME?</x:v>
      </x:c>
    </x:row>
    <x:row r="810">
      <x:c r="A810" s="149" t="str">
        <x:f>IF('实盘净值数据(iFinD公式)'!A810="","",'实盘净值数据(iFinD公式)'!A810)</x:f>
      </x:c>
      <x:c r="B810" s="146" t="e">
        <x:f>IF(OR('实盘净值数据(iFinD公式)'!$A810="",'实盘净值数据(iFinD公式)'!$B810=""),"",分期持仓明细!$AD$17*SUMPRODUCT(分期持仓明细!$B$17:$AA$17,'实盘净值数据(iFinD公式)'!$B810:$AA810/'实盘净值数据(iFinD公式)'!$B$20:$AA$20)*(1-实盘持仓初始配置!$Z$4)^(('实盘净值数据(iFinD公式)'!$A810-'实盘净值数据(iFinD公式)'!$A$6)/365))</x:f>
        <x:v>#NAME?</x:v>
      </x:c>
      <x:c r="C810" s="152" t="e">
        <x:f>IF(OR(B809="",B810=""),"",B810/B809-1)</x:f>
        <x:v>#NAME?</x:v>
      </x:c>
      <x:c r="D810" s="152" t="e">
        <x:f>IF(B810="","",B810/MAX(B$5:B810)-1)</x:f>
        <x:v>#NAME?</x:v>
      </x:c>
      <x:c r="E810" s="146" t="e">
        <x:f>IF(OR('实盘净值数据(iFinD公式)'!$A810="",'实盘净值数据(iFinD公式)'!$B810=""),"",分期持仓明细!$AD$18*SUMPRODUCT(分期持仓明细!$B$18:$AA$18,'实盘净值数据(iFinD公式)'!$B810:$AA810/'实盘净值数据(iFinD公式)'!$B$20:$AA$20)*(1-实盘持仓初始配置!$Z$5)^(('实盘净值数据(iFinD公式)'!$A810-'实盘净值数据(iFinD公式)'!$A$5)/365))</x:f>
        <x:v>#NAME?</x:v>
      </x:c>
      <x:c r="F810" s="152" t="e">
        <x:f>IF(OR(E809="",E810=""),"",E810/E809-1)</x:f>
        <x:v>#NAME?</x:v>
      </x:c>
      <x:c r="G810" s="152" t="e">
        <x:f>IF(E810="","",E810/MAX(E$5:E810)-1)</x:f>
        <x:v>#NAME?</x:v>
      </x:c>
      <x:c r="H810" s="146" t="e">
        <x:f>IF(OR('实盘净值数据(iFinD公式)'!$A810="",'实盘净值数据(iFinD公式)'!$B810=""),"",分期持仓明细!$AD$19*SUMPRODUCT(分期持仓明细!$B$19:$AA$19,'实盘净值数据(iFinD公式)'!$B810:$AA810/'实盘净值数据(iFinD公式)'!$B$20:$AA$20)*(1-实盘持仓初始配置!$Z$6)^(('实盘净值数据(iFinD公式)'!$A810-'实盘净值数据(iFinD公式)'!$A$7)/365))</x:f>
        <x:v>#NAME?</x:v>
      </x:c>
      <x:c r="I810" s="152" t="e">
        <x:f>IF(OR(H809="",H810=""),"",H810/H809-1)</x:f>
        <x:v>#NAME?</x:v>
      </x:c>
      <x:c r="J810" s="152" t="e">
        <x:f>IF(H810="","",H810/MAX(H$5:H810)-1)</x:f>
        <x:v>#NAME?</x:v>
      </x:c>
      <x:c r="K810" s="146" t="e">
        <x:f>IF(OR('实盘净值数据(iFinD公式)'!$A810="",'实盘净值数据(iFinD公式)'!$B810=""),"",分期持仓明细!$AD$23*SUMPRODUCT(分期持仓明细!$B$23:$AA$23,'实盘净值数据(iFinD公式)'!$B810:$AA810/'实盘净值数据(iFinD公式)'!$B$65:$AA$65)*(1-实盘持仓初始配置!$Z$7)^(('实盘净值数据(iFinD公式)'!$A810-'实盘净值数据(iFinD公式)'!$A$8)/365))</x:f>
        <x:v>#NAME?</x:v>
      </x:c>
      <x:c r="L810" s="152" t="e">
        <x:f>IF(OR(K809="",K810=""),"",K810/K809-1)</x:f>
        <x:v>#NAME?</x:v>
      </x:c>
      <x:c r="M810" s="152" t="e">
        <x:f>IF(K810="","",K810/MAX(K$5:K810)-1)</x:f>
        <x:v>#NAME?</x:v>
      </x:c>
      <x:c r="N810" s="146" t="e">
        <x:f>IF(OR('实盘净值数据(iFinD公式)'!$A810="",'实盘净值数据(iFinD公式)'!$B810=""),"",分期持仓明细!$AD$24*SUMPRODUCT(分期持仓明细!$B$24:$AA$24,'实盘净值数据(iFinD公式)'!$B810:$AA810/'实盘净值数据(iFinD公式)'!$B$65:$AA$65)*(1-实盘持仓初始配置!$Z$8)^(('实盘净值数据(iFinD公式)'!$A810-'实盘净值数据(iFinD公式)'!$A$5)/365))</x:f>
        <x:v>#NAME?</x:v>
      </x:c>
      <x:c r="O810" s="152" t="e">
        <x:f>IF(OR(N809="",N810=""),"",N810/N809-1)</x:f>
        <x:v>#NAME?</x:v>
      </x:c>
      <x:c r="P810" s="152" t="e">
        <x:f>IF(N810="","",N810/MAX(N$5:N810)-1)</x:f>
        <x:v>#NAME?</x:v>
      </x:c>
      <x:c r="Q810" s="146" t="e">
        <x:f>IF(OR('实盘净值数据(iFinD公式)'!$A810="",'实盘净值数据(iFinD公式)'!$B810=""),"",分期持仓明细!$AD$25*SUMPRODUCT(分期持仓明细!$B$25:$AA$25,'实盘净值数据(iFinD公式)'!$B810:$AA810/'实盘净值数据(iFinD公式)'!$B$65:$AA$65)*(1-实盘持仓初始配置!$Z$9)^(('实盘净值数据(iFinD公式)'!$A810-'实盘净值数据(iFinD公式)'!$A$8)/365))</x:f>
        <x:v>#NAME?</x:v>
      </x:c>
      <x:c r="R810" s="152" t="e">
        <x:f>IF(OR(Q809="",Q810=""),"",Q810/Q809-1)</x:f>
        <x:v>#NAME?</x:v>
      </x:c>
      <x:c r="S810" s="152" t="e">
        <x:f>IF(Q810="","",Q810/MAX(Q$5:Q810)-1)</x:f>
        <x:v>#NAME?</x:v>
      </x:c>
    </x:row>
    <x:row r="811">
      <x:c r="A811" s="149" t="str">
        <x:f>IF('实盘净值数据(iFinD公式)'!A811="","",'实盘净值数据(iFinD公式)'!A811)</x:f>
      </x:c>
      <x:c r="B811" s="146" t="e">
        <x:f>IF(OR('实盘净值数据(iFinD公式)'!$A811="",'实盘净值数据(iFinD公式)'!$B811=""),"",分期持仓明细!$AD$17*SUMPRODUCT(分期持仓明细!$B$17:$AA$17,'实盘净值数据(iFinD公式)'!$B811:$AA811/'实盘净值数据(iFinD公式)'!$B$20:$AA$20)*(1-实盘持仓初始配置!$Z$4)^(('实盘净值数据(iFinD公式)'!$A811-'实盘净值数据(iFinD公式)'!$A$6)/365))</x:f>
        <x:v>#NAME?</x:v>
      </x:c>
      <x:c r="C811" s="152" t="e">
        <x:f>IF(OR(B810="",B811=""),"",B811/B810-1)</x:f>
        <x:v>#NAME?</x:v>
      </x:c>
      <x:c r="D811" s="152" t="e">
        <x:f>IF(B811="","",B811/MAX(B$5:B811)-1)</x:f>
        <x:v>#NAME?</x:v>
      </x:c>
      <x:c r="E811" s="146" t="e">
        <x:f>IF(OR('实盘净值数据(iFinD公式)'!$A811="",'实盘净值数据(iFinD公式)'!$B811=""),"",分期持仓明细!$AD$18*SUMPRODUCT(分期持仓明细!$B$18:$AA$18,'实盘净值数据(iFinD公式)'!$B811:$AA811/'实盘净值数据(iFinD公式)'!$B$20:$AA$20)*(1-实盘持仓初始配置!$Z$5)^(('实盘净值数据(iFinD公式)'!$A811-'实盘净值数据(iFinD公式)'!$A$5)/365))</x:f>
        <x:v>#NAME?</x:v>
      </x:c>
      <x:c r="F811" s="152" t="e">
        <x:f>IF(OR(E810="",E811=""),"",E811/E810-1)</x:f>
        <x:v>#NAME?</x:v>
      </x:c>
      <x:c r="G811" s="152" t="e">
        <x:f>IF(E811="","",E811/MAX(E$5:E811)-1)</x:f>
        <x:v>#NAME?</x:v>
      </x:c>
      <x:c r="H811" s="146" t="e">
        <x:f>IF(OR('实盘净值数据(iFinD公式)'!$A811="",'实盘净值数据(iFinD公式)'!$B811=""),"",分期持仓明细!$AD$19*SUMPRODUCT(分期持仓明细!$B$19:$AA$19,'实盘净值数据(iFinD公式)'!$B811:$AA811/'实盘净值数据(iFinD公式)'!$B$20:$AA$20)*(1-实盘持仓初始配置!$Z$6)^(('实盘净值数据(iFinD公式)'!$A811-'实盘净值数据(iFinD公式)'!$A$7)/365))</x:f>
        <x:v>#NAME?</x:v>
      </x:c>
      <x:c r="I811" s="152" t="e">
        <x:f>IF(OR(H810="",H811=""),"",H811/H810-1)</x:f>
        <x:v>#NAME?</x:v>
      </x:c>
      <x:c r="J811" s="152" t="e">
        <x:f>IF(H811="","",H811/MAX(H$5:H811)-1)</x:f>
        <x:v>#NAME?</x:v>
      </x:c>
      <x:c r="K811" s="146" t="e">
        <x:f>IF(OR('实盘净值数据(iFinD公式)'!$A811="",'实盘净值数据(iFinD公式)'!$B811=""),"",分期持仓明细!$AD$23*SUMPRODUCT(分期持仓明细!$B$23:$AA$23,'实盘净值数据(iFinD公式)'!$B811:$AA811/'实盘净值数据(iFinD公式)'!$B$65:$AA$65)*(1-实盘持仓初始配置!$Z$7)^(('实盘净值数据(iFinD公式)'!$A811-'实盘净值数据(iFinD公式)'!$A$8)/365))</x:f>
        <x:v>#NAME?</x:v>
      </x:c>
      <x:c r="L811" s="152" t="e">
        <x:f>IF(OR(K810="",K811=""),"",K811/K810-1)</x:f>
        <x:v>#NAME?</x:v>
      </x:c>
      <x:c r="M811" s="152" t="e">
        <x:f>IF(K811="","",K811/MAX(K$5:K811)-1)</x:f>
        <x:v>#NAME?</x:v>
      </x:c>
      <x:c r="N811" s="146" t="e">
        <x:f>IF(OR('实盘净值数据(iFinD公式)'!$A811="",'实盘净值数据(iFinD公式)'!$B811=""),"",分期持仓明细!$AD$24*SUMPRODUCT(分期持仓明细!$B$24:$AA$24,'实盘净值数据(iFinD公式)'!$B811:$AA811/'实盘净值数据(iFinD公式)'!$B$65:$AA$65)*(1-实盘持仓初始配置!$Z$8)^(('实盘净值数据(iFinD公式)'!$A811-'实盘净值数据(iFinD公式)'!$A$5)/365))</x:f>
        <x:v>#NAME?</x:v>
      </x:c>
      <x:c r="O811" s="152" t="e">
        <x:f>IF(OR(N810="",N811=""),"",N811/N810-1)</x:f>
        <x:v>#NAME?</x:v>
      </x:c>
      <x:c r="P811" s="152" t="e">
        <x:f>IF(N811="","",N811/MAX(N$5:N811)-1)</x:f>
        <x:v>#NAME?</x:v>
      </x:c>
      <x:c r="Q811" s="146" t="e">
        <x:f>IF(OR('实盘净值数据(iFinD公式)'!$A811="",'实盘净值数据(iFinD公式)'!$B811=""),"",分期持仓明细!$AD$25*SUMPRODUCT(分期持仓明细!$B$25:$AA$25,'实盘净值数据(iFinD公式)'!$B811:$AA811/'实盘净值数据(iFinD公式)'!$B$65:$AA$65)*(1-实盘持仓初始配置!$Z$9)^(('实盘净值数据(iFinD公式)'!$A811-'实盘净值数据(iFinD公式)'!$A$8)/365))</x:f>
        <x:v>#NAME?</x:v>
      </x:c>
      <x:c r="R811" s="152" t="e">
        <x:f>IF(OR(Q810="",Q811=""),"",Q811/Q810-1)</x:f>
        <x:v>#NAME?</x:v>
      </x:c>
      <x:c r="S811" s="152" t="e">
        <x:f>IF(Q811="","",Q811/MAX(Q$5:Q811)-1)</x:f>
        <x:v>#NAME?</x:v>
      </x:c>
    </x:row>
    <x:row r="812">
      <x:c r="A812" s="149" t="str">
        <x:f>IF('实盘净值数据(iFinD公式)'!A812="","",'实盘净值数据(iFinD公式)'!A812)</x:f>
      </x:c>
      <x:c r="B812" s="146" t="e">
        <x:f>IF(OR('实盘净值数据(iFinD公式)'!$A812="",'实盘净值数据(iFinD公式)'!$B812=""),"",分期持仓明细!$AD$17*SUMPRODUCT(分期持仓明细!$B$17:$AA$17,'实盘净值数据(iFinD公式)'!$B812:$AA812/'实盘净值数据(iFinD公式)'!$B$20:$AA$20)*(1-实盘持仓初始配置!$Z$4)^(('实盘净值数据(iFinD公式)'!$A812-'实盘净值数据(iFinD公式)'!$A$6)/365))</x:f>
        <x:v>#NAME?</x:v>
      </x:c>
      <x:c r="C812" s="152" t="e">
        <x:f>IF(OR(B811="",B812=""),"",B812/B811-1)</x:f>
        <x:v>#NAME?</x:v>
      </x:c>
      <x:c r="D812" s="152" t="e">
        <x:f>IF(B812="","",B812/MAX(B$5:B812)-1)</x:f>
        <x:v>#NAME?</x:v>
      </x:c>
      <x:c r="E812" s="146" t="e">
        <x:f>IF(OR('实盘净值数据(iFinD公式)'!$A812="",'实盘净值数据(iFinD公式)'!$B812=""),"",分期持仓明细!$AD$18*SUMPRODUCT(分期持仓明细!$B$18:$AA$18,'实盘净值数据(iFinD公式)'!$B812:$AA812/'实盘净值数据(iFinD公式)'!$B$20:$AA$20)*(1-实盘持仓初始配置!$Z$5)^(('实盘净值数据(iFinD公式)'!$A812-'实盘净值数据(iFinD公式)'!$A$5)/365))</x:f>
        <x:v>#NAME?</x:v>
      </x:c>
      <x:c r="F812" s="152" t="e">
        <x:f>IF(OR(E811="",E812=""),"",E812/E811-1)</x:f>
        <x:v>#NAME?</x:v>
      </x:c>
      <x:c r="G812" s="152" t="e">
        <x:f>IF(E812="","",E812/MAX(E$5:E812)-1)</x:f>
        <x:v>#NAME?</x:v>
      </x:c>
      <x:c r="H812" s="146" t="e">
        <x:f>IF(OR('实盘净值数据(iFinD公式)'!$A812="",'实盘净值数据(iFinD公式)'!$B812=""),"",分期持仓明细!$AD$19*SUMPRODUCT(分期持仓明细!$B$19:$AA$19,'实盘净值数据(iFinD公式)'!$B812:$AA812/'实盘净值数据(iFinD公式)'!$B$20:$AA$20)*(1-实盘持仓初始配置!$Z$6)^(('实盘净值数据(iFinD公式)'!$A812-'实盘净值数据(iFinD公式)'!$A$7)/365))</x:f>
        <x:v>#NAME?</x:v>
      </x:c>
      <x:c r="I812" s="152" t="e">
        <x:f>IF(OR(H811="",H812=""),"",H812/H811-1)</x:f>
        <x:v>#NAME?</x:v>
      </x:c>
      <x:c r="J812" s="152" t="e">
        <x:f>IF(H812="","",H812/MAX(H$5:H812)-1)</x:f>
        <x:v>#NAME?</x:v>
      </x:c>
      <x:c r="K812" s="146" t="e">
        <x:f>IF(OR('实盘净值数据(iFinD公式)'!$A812="",'实盘净值数据(iFinD公式)'!$B812=""),"",分期持仓明细!$AD$23*SUMPRODUCT(分期持仓明细!$B$23:$AA$23,'实盘净值数据(iFinD公式)'!$B812:$AA812/'实盘净值数据(iFinD公式)'!$B$65:$AA$65)*(1-实盘持仓初始配置!$Z$7)^(('实盘净值数据(iFinD公式)'!$A812-'实盘净值数据(iFinD公式)'!$A$8)/365))</x:f>
        <x:v>#NAME?</x:v>
      </x:c>
      <x:c r="L812" s="152" t="e">
        <x:f>IF(OR(K811="",K812=""),"",K812/K811-1)</x:f>
        <x:v>#NAME?</x:v>
      </x:c>
      <x:c r="M812" s="152" t="e">
        <x:f>IF(K812="","",K812/MAX(K$5:K812)-1)</x:f>
        <x:v>#NAME?</x:v>
      </x:c>
      <x:c r="N812" s="146" t="e">
        <x:f>IF(OR('实盘净值数据(iFinD公式)'!$A812="",'实盘净值数据(iFinD公式)'!$B812=""),"",分期持仓明细!$AD$24*SUMPRODUCT(分期持仓明细!$B$24:$AA$24,'实盘净值数据(iFinD公式)'!$B812:$AA812/'实盘净值数据(iFinD公式)'!$B$65:$AA$65)*(1-实盘持仓初始配置!$Z$8)^(('实盘净值数据(iFinD公式)'!$A812-'实盘净值数据(iFinD公式)'!$A$5)/365))</x:f>
        <x:v>#NAME?</x:v>
      </x:c>
      <x:c r="O812" s="152" t="e">
        <x:f>IF(OR(N811="",N812=""),"",N812/N811-1)</x:f>
        <x:v>#NAME?</x:v>
      </x:c>
      <x:c r="P812" s="152" t="e">
        <x:f>IF(N812="","",N812/MAX(N$5:N812)-1)</x:f>
        <x:v>#NAME?</x:v>
      </x:c>
      <x:c r="Q812" s="146" t="e">
        <x:f>IF(OR('实盘净值数据(iFinD公式)'!$A812="",'实盘净值数据(iFinD公式)'!$B812=""),"",分期持仓明细!$AD$25*SUMPRODUCT(分期持仓明细!$B$25:$AA$25,'实盘净值数据(iFinD公式)'!$B812:$AA812/'实盘净值数据(iFinD公式)'!$B$65:$AA$65)*(1-实盘持仓初始配置!$Z$9)^(('实盘净值数据(iFinD公式)'!$A812-'实盘净值数据(iFinD公式)'!$A$8)/365))</x:f>
        <x:v>#NAME?</x:v>
      </x:c>
      <x:c r="R812" s="152" t="e">
        <x:f>IF(OR(Q811="",Q812=""),"",Q812/Q811-1)</x:f>
        <x:v>#NAME?</x:v>
      </x:c>
      <x:c r="S812" s="152" t="e">
        <x:f>IF(Q812="","",Q812/MAX(Q$5:Q812)-1)</x:f>
        <x:v>#NAME?</x:v>
      </x:c>
    </x:row>
    <x:row r="813">
      <x:c r="A813" s="149" t="str">
        <x:f>IF('实盘净值数据(iFinD公式)'!A813="","",'实盘净值数据(iFinD公式)'!A813)</x:f>
      </x:c>
      <x:c r="B813" s="146" t="e">
        <x:f>IF(OR('实盘净值数据(iFinD公式)'!$A813="",'实盘净值数据(iFinD公式)'!$B813=""),"",分期持仓明细!$AD$17*SUMPRODUCT(分期持仓明细!$B$17:$AA$17,'实盘净值数据(iFinD公式)'!$B813:$AA813/'实盘净值数据(iFinD公式)'!$B$20:$AA$20)*(1-实盘持仓初始配置!$Z$4)^(('实盘净值数据(iFinD公式)'!$A813-'实盘净值数据(iFinD公式)'!$A$6)/365))</x:f>
        <x:v>#NAME?</x:v>
      </x:c>
      <x:c r="C813" s="152" t="e">
        <x:f>IF(OR(B812="",B813=""),"",B813/B812-1)</x:f>
        <x:v>#NAME?</x:v>
      </x:c>
      <x:c r="D813" s="152" t="e">
        <x:f>IF(B813="","",B813/MAX(B$5:B813)-1)</x:f>
        <x:v>#NAME?</x:v>
      </x:c>
      <x:c r="E813" s="146" t="e">
        <x:f>IF(OR('实盘净值数据(iFinD公式)'!$A813="",'实盘净值数据(iFinD公式)'!$B813=""),"",分期持仓明细!$AD$18*SUMPRODUCT(分期持仓明细!$B$18:$AA$18,'实盘净值数据(iFinD公式)'!$B813:$AA813/'实盘净值数据(iFinD公式)'!$B$20:$AA$20)*(1-实盘持仓初始配置!$Z$5)^(('实盘净值数据(iFinD公式)'!$A813-'实盘净值数据(iFinD公式)'!$A$5)/365))</x:f>
        <x:v>#NAME?</x:v>
      </x:c>
      <x:c r="F813" s="152" t="e">
        <x:f>IF(OR(E812="",E813=""),"",E813/E812-1)</x:f>
        <x:v>#NAME?</x:v>
      </x:c>
      <x:c r="G813" s="152" t="e">
        <x:f>IF(E813="","",E813/MAX(E$5:E813)-1)</x:f>
        <x:v>#NAME?</x:v>
      </x:c>
      <x:c r="H813" s="146" t="e">
        <x:f>IF(OR('实盘净值数据(iFinD公式)'!$A813="",'实盘净值数据(iFinD公式)'!$B813=""),"",分期持仓明细!$AD$19*SUMPRODUCT(分期持仓明细!$B$19:$AA$19,'实盘净值数据(iFinD公式)'!$B813:$AA813/'实盘净值数据(iFinD公式)'!$B$20:$AA$20)*(1-实盘持仓初始配置!$Z$6)^(('实盘净值数据(iFinD公式)'!$A813-'实盘净值数据(iFinD公式)'!$A$7)/365))</x:f>
        <x:v>#NAME?</x:v>
      </x:c>
      <x:c r="I813" s="152" t="e">
        <x:f>IF(OR(H812="",H813=""),"",H813/H812-1)</x:f>
        <x:v>#NAME?</x:v>
      </x:c>
      <x:c r="J813" s="152" t="e">
        <x:f>IF(H813="","",H813/MAX(H$5:H813)-1)</x:f>
        <x:v>#NAME?</x:v>
      </x:c>
      <x:c r="K813" s="146" t="e">
        <x:f>IF(OR('实盘净值数据(iFinD公式)'!$A813="",'实盘净值数据(iFinD公式)'!$B813=""),"",分期持仓明细!$AD$23*SUMPRODUCT(分期持仓明细!$B$23:$AA$23,'实盘净值数据(iFinD公式)'!$B813:$AA813/'实盘净值数据(iFinD公式)'!$B$65:$AA$65)*(1-实盘持仓初始配置!$Z$7)^(('实盘净值数据(iFinD公式)'!$A813-'实盘净值数据(iFinD公式)'!$A$8)/365))</x:f>
        <x:v>#NAME?</x:v>
      </x:c>
      <x:c r="L813" s="152" t="e">
        <x:f>IF(OR(K812="",K813=""),"",K813/K812-1)</x:f>
        <x:v>#NAME?</x:v>
      </x:c>
      <x:c r="M813" s="152" t="e">
        <x:f>IF(K813="","",K813/MAX(K$5:K813)-1)</x:f>
        <x:v>#NAME?</x:v>
      </x:c>
      <x:c r="N813" s="146" t="e">
        <x:f>IF(OR('实盘净值数据(iFinD公式)'!$A813="",'实盘净值数据(iFinD公式)'!$B813=""),"",分期持仓明细!$AD$24*SUMPRODUCT(分期持仓明细!$B$24:$AA$24,'实盘净值数据(iFinD公式)'!$B813:$AA813/'实盘净值数据(iFinD公式)'!$B$65:$AA$65)*(1-实盘持仓初始配置!$Z$8)^(('实盘净值数据(iFinD公式)'!$A813-'实盘净值数据(iFinD公式)'!$A$5)/365))</x:f>
        <x:v>#NAME?</x:v>
      </x:c>
      <x:c r="O813" s="152" t="e">
        <x:f>IF(OR(N812="",N813=""),"",N813/N812-1)</x:f>
        <x:v>#NAME?</x:v>
      </x:c>
      <x:c r="P813" s="152" t="e">
        <x:f>IF(N813="","",N813/MAX(N$5:N813)-1)</x:f>
        <x:v>#NAME?</x:v>
      </x:c>
      <x:c r="Q813" s="146" t="e">
        <x:f>IF(OR('实盘净值数据(iFinD公式)'!$A813="",'实盘净值数据(iFinD公式)'!$B813=""),"",分期持仓明细!$AD$25*SUMPRODUCT(分期持仓明细!$B$25:$AA$25,'实盘净值数据(iFinD公式)'!$B813:$AA813/'实盘净值数据(iFinD公式)'!$B$65:$AA$65)*(1-实盘持仓初始配置!$Z$9)^(('实盘净值数据(iFinD公式)'!$A813-'实盘净值数据(iFinD公式)'!$A$8)/365))</x:f>
        <x:v>#NAME?</x:v>
      </x:c>
      <x:c r="R813" s="152" t="e">
        <x:f>IF(OR(Q812="",Q813=""),"",Q813/Q812-1)</x:f>
        <x:v>#NAME?</x:v>
      </x:c>
      <x:c r="S813" s="152" t="e">
        <x:f>IF(Q813="","",Q813/MAX(Q$5:Q813)-1)</x:f>
        <x:v>#NAME?</x:v>
      </x:c>
    </x:row>
    <x:row r="814">
      <x:c r="A814" s="149" t="str">
        <x:f>IF('实盘净值数据(iFinD公式)'!A814="","",'实盘净值数据(iFinD公式)'!A814)</x:f>
      </x:c>
      <x:c r="B814" s="146" t="e">
        <x:f>IF(OR('实盘净值数据(iFinD公式)'!$A814="",'实盘净值数据(iFinD公式)'!$B814=""),"",分期持仓明细!$AD$17*SUMPRODUCT(分期持仓明细!$B$17:$AA$17,'实盘净值数据(iFinD公式)'!$B814:$AA814/'实盘净值数据(iFinD公式)'!$B$20:$AA$20)*(1-实盘持仓初始配置!$Z$4)^(('实盘净值数据(iFinD公式)'!$A814-'实盘净值数据(iFinD公式)'!$A$6)/365))</x:f>
        <x:v>#NAME?</x:v>
      </x:c>
      <x:c r="C814" s="152" t="e">
        <x:f>IF(OR(B813="",B814=""),"",B814/B813-1)</x:f>
        <x:v>#NAME?</x:v>
      </x:c>
      <x:c r="D814" s="152" t="e">
        <x:f>IF(B814="","",B814/MAX(B$5:B814)-1)</x:f>
        <x:v>#NAME?</x:v>
      </x:c>
      <x:c r="E814" s="146" t="e">
        <x:f>IF(OR('实盘净值数据(iFinD公式)'!$A814="",'实盘净值数据(iFinD公式)'!$B814=""),"",分期持仓明细!$AD$18*SUMPRODUCT(分期持仓明细!$B$18:$AA$18,'实盘净值数据(iFinD公式)'!$B814:$AA814/'实盘净值数据(iFinD公式)'!$B$20:$AA$20)*(1-实盘持仓初始配置!$Z$5)^(('实盘净值数据(iFinD公式)'!$A814-'实盘净值数据(iFinD公式)'!$A$5)/365))</x:f>
        <x:v>#NAME?</x:v>
      </x:c>
      <x:c r="F814" s="152" t="e">
        <x:f>IF(OR(E813="",E814=""),"",E814/E813-1)</x:f>
        <x:v>#NAME?</x:v>
      </x:c>
      <x:c r="G814" s="152" t="e">
        <x:f>IF(E814="","",E814/MAX(E$5:E814)-1)</x:f>
        <x:v>#NAME?</x:v>
      </x:c>
      <x:c r="H814" s="146" t="e">
        <x:f>IF(OR('实盘净值数据(iFinD公式)'!$A814="",'实盘净值数据(iFinD公式)'!$B814=""),"",分期持仓明细!$AD$19*SUMPRODUCT(分期持仓明细!$B$19:$AA$19,'实盘净值数据(iFinD公式)'!$B814:$AA814/'实盘净值数据(iFinD公式)'!$B$20:$AA$20)*(1-实盘持仓初始配置!$Z$6)^(('实盘净值数据(iFinD公式)'!$A814-'实盘净值数据(iFinD公式)'!$A$7)/365))</x:f>
        <x:v>#NAME?</x:v>
      </x:c>
      <x:c r="I814" s="152" t="e">
        <x:f>IF(OR(H813="",H814=""),"",H814/H813-1)</x:f>
        <x:v>#NAME?</x:v>
      </x:c>
      <x:c r="J814" s="152" t="e">
        <x:f>IF(H814="","",H814/MAX(H$5:H814)-1)</x:f>
        <x:v>#NAME?</x:v>
      </x:c>
      <x:c r="K814" s="146" t="e">
        <x:f>IF(OR('实盘净值数据(iFinD公式)'!$A814="",'实盘净值数据(iFinD公式)'!$B814=""),"",分期持仓明细!$AD$23*SUMPRODUCT(分期持仓明细!$B$23:$AA$23,'实盘净值数据(iFinD公式)'!$B814:$AA814/'实盘净值数据(iFinD公式)'!$B$65:$AA$65)*(1-实盘持仓初始配置!$Z$7)^(('实盘净值数据(iFinD公式)'!$A814-'实盘净值数据(iFinD公式)'!$A$8)/365))</x:f>
        <x:v>#NAME?</x:v>
      </x:c>
      <x:c r="L814" s="152" t="e">
        <x:f>IF(OR(K813="",K814=""),"",K814/K813-1)</x:f>
        <x:v>#NAME?</x:v>
      </x:c>
      <x:c r="M814" s="152" t="e">
        <x:f>IF(K814="","",K814/MAX(K$5:K814)-1)</x:f>
        <x:v>#NAME?</x:v>
      </x:c>
      <x:c r="N814" s="146" t="e">
        <x:f>IF(OR('实盘净值数据(iFinD公式)'!$A814="",'实盘净值数据(iFinD公式)'!$B814=""),"",分期持仓明细!$AD$24*SUMPRODUCT(分期持仓明细!$B$24:$AA$24,'实盘净值数据(iFinD公式)'!$B814:$AA814/'实盘净值数据(iFinD公式)'!$B$65:$AA$65)*(1-实盘持仓初始配置!$Z$8)^(('实盘净值数据(iFinD公式)'!$A814-'实盘净值数据(iFinD公式)'!$A$5)/365))</x:f>
        <x:v>#NAME?</x:v>
      </x:c>
      <x:c r="O814" s="152" t="e">
        <x:f>IF(OR(N813="",N814=""),"",N814/N813-1)</x:f>
        <x:v>#NAME?</x:v>
      </x:c>
      <x:c r="P814" s="152" t="e">
        <x:f>IF(N814="","",N814/MAX(N$5:N814)-1)</x:f>
        <x:v>#NAME?</x:v>
      </x:c>
      <x:c r="Q814" s="146" t="e">
        <x:f>IF(OR('实盘净值数据(iFinD公式)'!$A814="",'实盘净值数据(iFinD公式)'!$B814=""),"",分期持仓明细!$AD$25*SUMPRODUCT(分期持仓明细!$B$25:$AA$25,'实盘净值数据(iFinD公式)'!$B814:$AA814/'实盘净值数据(iFinD公式)'!$B$65:$AA$65)*(1-实盘持仓初始配置!$Z$9)^(('实盘净值数据(iFinD公式)'!$A814-'实盘净值数据(iFinD公式)'!$A$8)/365))</x:f>
        <x:v>#NAME?</x:v>
      </x:c>
      <x:c r="R814" s="152" t="e">
        <x:f>IF(OR(Q813="",Q814=""),"",Q814/Q813-1)</x:f>
        <x:v>#NAME?</x:v>
      </x:c>
      <x:c r="S814" s="152" t="e">
        <x:f>IF(Q814="","",Q814/MAX(Q$5:Q814)-1)</x:f>
        <x:v>#NAME?</x:v>
      </x:c>
    </x:row>
    <x:row r="815">
      <x:c r="A815" s="149" t="str">
        <x:f>IF('实盘净值数据(iFinD公式)'!A815="","",'实盘净值数据(iFinD公式)'!A815)</x:f>
      </x:c>
      <x:c r="B815" s="146" t="e">
        <x:f>IF(OR('实盘净值数据(iFinD公式)'!$A815="",'实盘净值数据(iFinD公式)'!$B815=""),"",分期持仓明细!$AD$17*SUMPRODUCT(分期持仓明细!$B$17:$AA$17,'实盘净值数据(iFinD公式)'!$B815:$AA815/'实盘净值数据(iFinD公式)'!$B$20:$AA$20)*(1-实盘持仓初始配置!$Z$4)^(('实盘净值数据(iFinD公式)'!$A815-'实盘净值数据(iFinD公式)'!$A$6)/365))</x:f>
        <x:v>#NAME?</x:v>
      </x:c>
      <x:c r="C815" s="152" t="e">
        <x:f>IF(OR(B814="",B815=""),"",B815/B814-1)</x:f>
        <x:v>#NAME?</x:v>
      </x:c>
      <x:c r="D815" s="152" t="e">
        <x:f>IF(B815="","",B815/MAX(B$5:B815)-1)</x:f>
        <x:v>#NAME?</x:v>
      </x:c>
      <x:c r="E815" s="146" t="e">
        <x:f>IF(OR('实盘净值数据(iFinD公式)'!$A815="",'实盘净值数据(iFinD公式)'!$B815=""),"",分期持仓明细!$AD$18*SUMPRODUCT(分期持仓明细!$B$18:$AA$18,'实盘净值数据(iFinD公式)'!$B815:$AA815/'实盘净值数据(iFinD公式)'!$B$20:$AA$20)*(1-实盘持仓初始配置!$Z$5)^(('实盘净值数据(iFinD公式)'!$A815-'实盘净值数据(iFinD公式)'!$A$5)/365))</x:f>
        <x:v>#NAME?</x:v>
      </x:c>
      <x:c r="F815" s="152" t="e">
        <x:f>IF(OR(E814="",E815=""),"",E815/E814-1)</x:f>
        <x:v>#NAME?</x:v>
      </x:c>
      <x:c r="G815" s="152" t="e">
        <x:f>IF(E815="","",E815/MAX(E$5:E815)-1)</x:f>
        <x:v>#NAME?</x:v>
      </x:c>
      <x:c r="H815" s="146" t="e">
        <x:f>IF(OR('实盘净值数据(iFinD公式)'!$A815="",'实盘净值数据(iFinD公式)'!$B815=""),"",分期持仓明细!$AD$19*SUMPRODUCT(分期持仓明细!$B$19:$AA$19,'实盘净值数据(iFinD公式)'!$B815:$AA815/'实盘净值数据(iFinD公式)'!$B$20:$AA$20)*(1-实盘持仓初始配置!$Z$6)^(('实盘净值数据(iFinD公式)'!$A815-'实盘净值数据(iFinD公式)'!$A$7)/365))</x:f>
        <x:v>#NAME?</x:v>
      </x:c>
      <x:c r="I815" s="152" t="e">
        <x:f>IF(OR(H814="",H815=""),"",H815/H814-1)</x:f>
        <x:v>#NAME?</x:v>
      </x:c>
      <x:c r="J815" s="152" t="e">
        <x:f>IF(H815="","",H815/MAX(H$5:H815)-1)</x:f>
        <x:v>#NAME?</x:v>
      </x:c>
      <x:c r="K815" s="146" t="e">
        <x:f>IF(OR('实盘净值数据(iFinD公式)'!$A815="",'实盘净值数据(iFinD公式)'!$B815=""),"",分期持仓明细!$AD$23*SUMPRODUCT(分期持仓明细!$B$23:$AA$23,'实盘净值数据(iFinD公式)'!$B815:$AA815/'实盘净值数据(iFinD公式)'!$B$65:$AA$65)*(1-实盘持仓初始配置!$Z$7)^(('实盘净值数据(iFinD公式)'!$A815-'实盘净值数据(iFinD公式)'!$A$8)/365))</x:f>
        <x:v>#NAME?</x:v>
      </x:c>
      <x:c r="L815" s="152" t="e">
        <x:f>IF(OR(K814="",K815=""),"",K815/K814-1)</x:f>
        <x:v>#NAME?</x:v>
      </x:c>
      <x:c r="M815" s="152" t="e">
        <x:f>IF(K815="","",K815/MAX(K$5:K815)-1)</x:f>
        <x:v>#NAME?</x:v>
      </x:c>
      <x:c r="N815" s="146" t="e">
        <x:f>IF(OR('实盘净值数据(iFinD公式)'!$A815="",'实盘净值数据(iFinD公式)'!$B815=""),"",分期持仓明细!$AD$24*SUMPRODUCT(分期持仓明细!$B$24:$AA$24,'实盘净值数据(iFinD公式)'!$B815:$AA815/'实盘净值数据(iFinD公式)'!$B$65:$AA$65)*(1-实盘持仓初始配置!$Z$8)^(('实盘净值数据(iFinD公式)'!$A815-'实盘净值数据(iFinD公式)'!$A$5)/365))</x:f>
        <x:v>#NAME?</x:v>
      </x:c>
      <x:c r="O815" s="152" t="e">
        <x:f>IF(OR(N814="",N815=""),"",N815/N814-1)</x:f>
        <x:v>#NAME?</x:v>
      </x:c>
      <x:c r="P815" s="152" t="e">
        <x:f>IF(N815="","",N815/MAX(N$5:N815)-1)</x:f>
        <x:v>#NAME?</x:v>
      </x:c>
      <x:c r="Q815" s="146" t="e">
        <x:f>IF(OR('实盘净值数据(iFinD公式)'!$A815="",'实盘净值数据(iFinD公式)'!$B815=""),"",分期持仓明细!$AD$25*SUMPRODUCT(分期持仓明细!$B$25:$AA$25,'实盘净值数据(iFinD公式)'!$B815:$AA815/'实盘净值数据(iFinD公式)'!$B$65:$AA$65)*(1-实盘持仓初始配置!$Z$9)^(('实盘净值数据(iFinD公式)'!$A815-'实盘净值数据(iFinD公式)'!$A$8)/365))</x:f>
        <x:v>#NAME?</x:v>
      </x:c>
      <x:c r="R815" s="152" t="e">
        <x:f>IF(OR(Q814="",Q815=""),"",Q815/Q814-1)</x:f>
        <x:v>#NAME?</x:v>
      </x:c>
      <x:c r="S815" s="152" t="e">
        <x:f>IF(Q815="","",Q815/MAX(Q$5:Q815)-1)</x:f>
        <x:v>#NAME?</x:v>
      </x:c>
    </x:row>
    <x:row r="816">
      <x:c r="A816" s="149" t="str">
        <x:f>IF('实盘净值数据(iFinD公式)'!A816="","",'实盘净值数据(iFinD公式)'!A816)</x:f>
      </x:c>
      <x:c r="B816" s="146" t="e">
        <x:f>IF(OR('实盘净值数据(iFinD公式)'!$A816="",'实盘净值数据(iFinD公式)'!$B816=""),"",分期持仓明细!$AD$17*SUMPRODUCT(分期持仓明细!$B$17:$AA$17,'实盘净值数据(iFinD公式)'!$B816:$AA816/'实盘净值数据(iFinD公式)'!$B$20:$AA$20)*(1-实盘持仓初始配置!$Z$4)^(('实盘净值数据(iFinD公式)'!$A816-'实盘净值数据(iFinD公式)'!$A$6)/365))</x:f>
        <x:v>#NAME?</x:v>
      </x:c>
      <x:c r="C816" s="152" t="e">
        <x:f>IF(OR(B815="",B816=""),"",B816/B815-1)</x:f>
        <x:v>#NAME?</x:v>
      </x:c>
      <x:c r="D816" s="152" t="e">
        <x:f>IF(B816="","",B816/MAX(B$5:B816)-1)</x:f>
        <x:v>#NAME?</x:v>
      </x:c>
      <x:c r="E816" s="146" t="e">
        <x:f>IF(OR('实盘净值数据(iFinD公式)'!$A816="",'实盘净值数据(iFinD公式)'!$B816=""),"",分期持仓明细!$AD$18*SUMPRODUCT(分期持仓明细!$B$18:$AA$18,'实盘净值数据(iFinD公式)'!$B816:$AA816/'实盘净值数据(iFinD公式)'!$B$20:$AA$20)*(1-实盘持仓初始配置!$Z$5)^(('实盘净值数据(iFinD公式)'!$A816-'实盘净值数据(iFinD公式)'!$A$5)/365))</x:f>
        <x:v>#NAME?</x:v>
      </x:c>
      <x:c r="F816" s="152" t="e">
        <x:f>IF(OR(E815="",E816=""),"",E816/E815-1)</x:f>
        <x:v>#NAME?</x:v>
      </x:c>
      <x:c r="G816" s="152" t="e">
        <x:f>IF(E816="","",E816/MAX(E$5:E816)-1)</x:f>
        <x:v>#NAME?</x:v>
      </x:c>
      <x:c r="H816" s="146" t="e">
        <x:f>IF(OR('实盘净值数据(iFinD公式)'!$A816="",'实盘净值数据(iFinD公式)'!$B816=""),"",分期持仓明细!$AD$19*SUMPRODUCT(分期持仓明细!$B$19:$AA$19,'实盘净值数据(iFinD公式)'!$B816:$AA816/'实盘净值数据(iFinD公式)'!$B$20:$AA$20)*(1-实盘持仓初始配置!$Z$6)^(('实盘净值数据(iFinD公式)'!$A816-'实盘净值数据(iFinD公式)'!$A$7)/365))</x:f>
        <x:v>#NAME?</x:v>
      </x:c>
      <x:c r="I816" s="152" t="e">
        <x:f>IF(OR(H815="",H816=""),"",H816/H815-1)</x:f>
        <x:v>#NAME?</x:v>
      </x:c>
      <x:c r="J816" s="152" t="e">
        <x:f>IF(H816="","",H816/MAX(H$5:H816)-1)</x:f>
        <x:v>#NAME?</x:v>
      </x:c>
      <x:c r="K816" s="146" t="e">
        <x:f>IF(OR('实盘净值数据(iFinD公式)'!$A816="",'实盘净值数据(iFinD公式)'!$B816=""),"",分期持仓明细!$AD$23*SUMPRODUCT(分期持仓明细!$B$23:$AA$23,'实盘净值数据(iFinD公式)'!$B816:$AA816/'实盘净值数据(iFinD公式)'!$B$65:$AA$65)*(1-实盘持仓初始配置!$Z$7)^(('实盘净值数据(iFinD公式)'!$A816-'实盘净值数据(iFinD公式)'!$A$8)/365))</x:f>
        <x:v>#NAME?</x:v>
      </x:c>
      <x:c r="L816" s="152" t="e">
        <x:f>IF(OR(K815="",K816=""),"",K816/K815-1)</x:f>
        <x:v>#NAME?</x:v>
      </x:c>
      <x:c r="M816" s="152" t="e">
        <x:f>IF(K816="","",K816/MAX(K$5:K816)-1)</x:f>
        <x:v>#NAME?</x:v>
      </x:c>
      <x:c r="N816" s="146" t="e">
        <x:f>IF(OR('实盘净值数据(iFinD公式)'!$A816="",'实盘净值数据(iFinD公式)'!$B816=""),"",分期持仓明细!$AD$24*SUMPRODUCT(分期持仓明细!$B$24:$AA$24,'实盘净值数据(iFinD公式)'!$B816:$AA816/'实盘净值数据(iFinD公式)'!$B$65:$AA$65)*(1-实盘持仓初始配置!$Z$8)^(('实盘净值数据(iFinD公式)'!$A816-'实盘净值数据(iFinD公式)'!$A$5)/365))</x:f>
        <x:v>#NAME?</x:v>
      </x:c>
      <x:c r="O816" s="152" t="e">
        <x:f>IF(OR(N815="",N816=""),"",N816/N815-1)</x:f>
        <x:v>#NAME?</x:v>
      </x:c>
      <x:c r="P816" s="152" t="e">
        <x:f>IF(N816="","",N816/MAX(N$5:N816)-1)</x:f>
        <x:v>#NAME?</x:v>
      </x:c>
      <x:c r="Q816" s="146" t="e">
        <x:f>IF(OR('实盘净值数据(iFinD公式)'!$A816="",'实盘净值数据(iFinD公式)'!$B816=""),"",分期持仓明细!$AD$25*SUMPRODUCT(分期持仓明细!$B$25:$AA$25,'实盘净值数据(iFinD公式)'!$B816:$AA816/'实盘净值数据(iFinD公式)'!$B$65:$AA$65)*(1-实盘持仓初始配置!$Z$9)^(('实盘净值数据(iFinD公式)'!$A816-'实盘净值数据(iFinD公式)'!$A$8)/365))</x:f>
        <x:v>#NAME?</x:v>
      </x:c>
      <x:c r="R816" s="152" t="e">
        <x:f>IF(OR(Q815="",Q816=""),"",Q816/Q815-1)</x:f>
        <x:v>#NAME?</x:v>
      </x:c>
      <x:c r="S816" s="152" t="e">
        <x:f>IF(Q816="","",Q816/MAX(Q$5:Q816)-1)</x:f>
        <x:v>#NAME?</x:v>
      </x:c>
    </x:row>
    <x:row r="817">
      <x:c r="A817" s="149" t="str">
        <x:f>IF('实盘净值数据(iFinD公式)'!A817="","",'实盘净值数据(iFinD公式)'!A817)</x:f>
      </x:c>
      <x:c r="B817" s="146" t="e">
        <x:f>IF(OR('实盘净值数据(iFinD公式)'!$A817="",'实盘净值数据(iFinD公式)'!$B817=""),"",分期持仓明细!$AD$17*SUMPRODUCT(分期持仓明细!$B$17:$AA$17,'实盘净值数据(iFinD公式)'!$B817:$AA817/'实盘净值数据(iFinD公式)'!$B$20:$AA$20)*(1-实盘持仓初始配置!$Z$4)^(('实盘净值数据(iFinD公式)'!$A817-'实盘净值数据(iFinD公式)'!$A$6)/365))</x:f>
        <x:v>#NAME?</x:v>
      </x:c>
      <x:c r="C817" s="152" t="e">
        <x:f>IF(OR(B816="",B817=""),"",B817/B816-1)</x:f>
        <x:v>#NAME?</x:v>
      </x:c>
      <x:c r="D817" s="152" t="e">
        <x:f>IF(B817="","",B817/MAX(B$5:B817)-1)</x:f>
        <x:v>#NAME?</x:v>
      </x:c>
      <x:c r="E817" s="146" t="e">
        <x:f>IF(OR('实盘净值数据(iFinD公式)'!$A817="",'实盘净值数据(iFinD公式)'!$B817=""),"",分期持仓明细!$AD$18*SUMPRODUCT(分期持仓明细!$B$18:$AA$18,'实盘净值数据(iFinD公式)'!$B817:$AA817/'实盘净值数据(iFinD公式)'!$B$20:$AA$20)*(1-实盘持仓初始配置!$Z$5)^(('实盘净值数据(iFinD公式)'!$A817-'实盘净值数据(iFinD公式)'!$A$5)/365))</x:f>
        <x:v>#NAME?</x:v>
      </x:c>
      <x:c r="F817" s="152" t="e">
        <x:f>IF(OR(E816="",E817=""),"",E817/E816-1)</x:f>
        <x:v>#NAME?</x:v>
      </x:c>
      <x:c r="G817" s="152" t="e">
        <x:f>IF(E817="","",E817/MAX(E$5:E817)-1)</x:f>
        <x:v>#NAME?</x:v>
      </x:c>
      <x:c r="H817" s="146" t="e">
        <x:f>IF(OR('实盘净值数据(iFinD公式)'!$A817="",'实盘净值数据(iFinD公式)'!$B817=""),"",分期持仓明细!$AD$19*SUMPRODUCT(分期持仓明细!$B$19:$AA$19,'实盘净值数据(iFinD公式)'!$B817:$AA817/'实盘净值数据(iFinD公式)'!$B$20:$AA$20)*(1-实盘持仓初始配置!$Z$6)^(('实盘净值数据(iFinD公式)'!$A817-'实盘净值数据(iFinD公式)'!$A$7)/365))</x:f>
        <x:v>#NAME?</x:v>
      </x:c>
      <x:c r="I817" s="152" t="e">
        <x:f>IF(OR(H816="",H817=""),"",H817/H816-1)</x:f>
        <x:v>#NAME?</x:v>
      </x:c>
      <x:c r="J817" s="152" t="e">
        <x:f>IF(H817="","",H817/MAX(H$5:H817)-1)</x:f>
        <x:v>#NAME?</x:v>
      </x:c>
      <x:c r="K817" s="146" t="e">
        <x:f>IF(OR('实盘净值数据(iFinD公式)'!$A817="",'实盘净值数据(iFinD公式)'!$B817=""),"",分期持仓明细!$AD$23*SUMPRODUCT(分期持仓明细!$B$23:$AA$23,'实盘净值数据(iFinD公式)'!$B817:$AA817/'实盘净值数据(iFinD公式)'!$B$65:$AA$65)*(1-实盘持仓初始配置!$Z$7)^(('实盘净值数据(iFinD公式)'!$A817-'实盘净值数据(iFinD公式)'!$A$8)/365))</x:f>
        <x:v>#NAME?</x:v>
      </x:c>
      <x:c r="L817" s="152" t="e">
        <x:f>IF(OR(K816="",K817=""),"",K817/K816-1)</x:f>
        <x:v>#NAME?</x:v>
      </x:c>
      <x:c r="M817" s="152" t="e">
        <x:f>IF(K817="","",K817/MAX(K$5:K817)-1)</x:f>
        <x:v>#NAME?</x:v>
      </x:c>
      <x:c r="N817" s="146" t="e">
        <x:f>IF(OR('实盘净值数据(iFinD公式)'!$A817="",'实盘净值数据(iFinD公式)'!$B817=""),"",分期持仓明细!$AD$24*SUMPRODUCT(分期持仓明细!$B$24:$AA$24,'实盘净值数据(iFinD公式)'!$B817:$AA817/'实盘净值数据(iFinD公式)'!$B$65:$AA$65)*(1-实盘持仓初始配置!$Z$8)^(('实盘净值数据(iFinD公式)'!$A817-'实盘净值数据(iFinD公式)'!$A$5)/365))</x:f>
        <x:v>#NAME?</x:v>
      </x:c>
      <x:c r="O817" s="152" t="e">
        <x:f>IF(OR(N816="",N817=""),"",N817/N816-1)</x:f>
        <x:v>#NAME?</x:v>
      </x:c>
      <x:c r="P817" s="152" t="e">
        <x:f>IF(N817="","",N817/MAX(N$5:N817)-1)</x:f>
        <x:v>#NAME?</x:v>
      </x:c>
      <x:c r="Q817" s="146" t="e">
        <x:f>IF(OR('实盘净值数据(iFinD公式)'!$A817="",'实盘净值数据(iFinD公式)'!$B817=""),"",分期持仓明细!$AD$25*SUMPRODUCT(分期持仓明细!$B$25:$AA$25,'实盘净值数据(iFinD公式)'!$B817:$AA817/'实盘净值数据(iFinD公式)'!$B$65:$AA$65)*(1-实盘持仓初始配置!$Z$9)^(('实盘净值数据(iFinD公式)'!$A817-'实盘净值数据(iFinD公式)'!$A$8)/365))</x:f>
        <x:v>#NAME?</x:v>
      </x:c>
      <x:c r="R817" s="152" t="e">
        <x:f>IF(OR(Q816="",Q817=""),"",Q817/Q816-1)</x:f>
        <x:v>#NAME?</x:v>
      </x:c>
      <x:c r="S817" s="152" t="e">
        <x:f>IF(Q817="","",Q817/MAX(Q$5:Q817)-1)</x:f>
        <x:v>#NAME?</x:v>
      </x:c>
    </x:row>
    <x:row r="818">
      <x:c r="A818" s="149" t="str">
        <x:f>IF('实盘净值数据(iFinD公式)'!A818="","",'实盘净值数据(iFinD公式)'!A818)</x:f>
      </x:c>
      <x:c r="B818" s="146" t="e">
        <x:f>IF(OR('实盘净值数据(iFinD公式)'!$A818="",'实盘净值数据(iFinD公式)'!$B818=""),"",分期持仓明细!$AD$17*SUMPRODUCT(分期持仓明细!$B$17:$AA$17,'实盘净值数据(iFinD公式)'!$B818:$AA818/'实盘净值数据(iFinD公式)'!$B$20:$AA$20)*(1-实盘持仓初始配置!$Z$4)^(('实盘净值数据(iFinD公式)'!$A818-'实盘净值数据(iFinD公式)'!$A$6)/365))</x:f>
        <x:v>#NAME?</x:v>
      </x:c>
      <x:c r="C818" s="152" t="e">
        <x:f>IF(OR(B817="",B818=""),"",B818/B817-1)</x:f>
        <x:v>#NAME?</x:v>
      </x:c>
      <x:c r="D818" s="152" t="e">
        <x:f>IF(B818="","",B818/MAX(B$5:B818)-1)</x:f>
        <x:v>#NAME?</x:v>
      </x:c>
      <x:c r="E818" s="146" t="e">
        <x:f>IF(OR('实盘净值数据(iFinD公式)'!$A818="",'实盘净值数据(iFinD公式)'!$B818=""),"",分期持仓明细!$AD$18*SUMPRODUCT(分期持仓明细!$B$18:$AA$18,'实盘净值数据(iFinD公式)'!$B818:$AA818/'实盘净值数据(iFinD公式)'!$B$20:$AA$20)*(1-实盘持仓初始配置!$Z$5)^(('实盘净值数据(iFinD公式)'!$A818-'实盘净值数据(iFinD公式)'!$A$5)/365))</x:f>
        <x:v>#NAME?</x:v>
      </x:c>
      <x:c r="F818" s="152" t="e">
        <x:f>IF(OR(E817="",E818=""),"",E818/E817-1)</x:f>
        <x:v>#NAME?</x:v>
      </x:c>
      <x:c r="G818" s="152" t="e">
        <x:f>IF(E818="","",E818/MAX(E$5:E818)-1)</x:f>
        <x:v>#NAME?</x:v>
      </x:c>
      <x:c r="H818" s="146" t="e">
        <x:f>IF(OR('实盘净值数据(iFinD公式)'!$A818="",'实盘净值数据(iFinD公式)'!$B818=""),"",分期持仓明细!$AD$19*SUMPRODUCT(分期持仓明细!$B$19:$AA$19,'实盘净值数据(iFinD公式)'!$B818:$AA818/'实盘净值数据(iFinD公式)'!$B$20:$AA$20)*(1-实盘持仓初始配置!$Z$6)^(('实盘净值数据(iFinD公式)'!$A818-'实盘净值数据(iFinD公式)'!$A$7)/365))</x:f>
        <x:v>#NAME?</x:v>
      </x:c>
      <x:c r="I818" s="152" t="e">
        <x:f>IF(OR(H817="",H818=""),"",H818/H817-1)</x:f>
        <x:v>#NAME?</x:v>
      </x:c>
      <x:c r="J818" s="152" t="e">
        <x:f>IF(H818="","",H818/MAX(H$5:H818)-1)</x:f>
        <x:v>#NAME?</x:v>
      </x:c>
      <x:c r="K818" s="146" t="e">
        <x:f>IF(OR('实盘净值数据(iFinD公式)'!$A818="",'实盘净值数据(iFinD公式)'!$B818=""),"",分期持仓明细!$AD$23*SUMPRODUCT(分期持仓明细!$B$23:$AA$23,'实盘净值数据(iFinD公式)'!$B818:$AA818/'实盘净值数据(iFinD公式)'!$B$65:$AA$65)*(1-实盘持仓初始配置!$Z$7)^(('实盘净值数据(iFinD公式)'!$A818-'实盘净值数据(iFinD公式)'!$A$8)/365))</x:f>
        <x:v>#NAME?</x:v>
      </x:c>
      <x:c r="L818" s="152" t="e">
        <x:f>IF(OR(K817="",K818=""),"",K818/K817-1)</x:f>
        <x:v>#NAME?</x:v>
      </x:c>
      <x:c r="M818" s="152" t="e">
        <x:f>IF(K818="","",K818/MAX(K$5:K818)-1)</x:f>
        <x:v>#NAME?</x:v>
      </x:c>
      <x:c r="N818" s="146" t="e">
        <x:f>IF(OR('实盘净值数据(iFinD公式)'!$A818="",'实盘净值数据(iFinD公式)'!$B818=""),"",分期持仓明细!$AD$24*SUMPRODUCT(分期持仓明细!$B$24:$AA$24,'实盘净值数据(iFinD公式)'!$B818:$AA818/'实盘净值数据(iFinD公式)'!$B$65:$AA$65)*(1-实盘持仓初始配置!$Z$8)^(('实盘净值数据(iFinD公式)'!$A818-'实盘净值数据(iFinD公式)'!$A$5)/365))</x:f>
        <x:v>#NAME?</x:v>
      </x:c>
      <x:c r="O818" s="152" t="e">
        <x:f>IF(OR(N817="",N818=""),"",N818/N817-1)</x:f>
        <x:v>#NAME?</x:v>
      </x:c>
      <x:c r="P818" s="152" t="e">
        <x:f>IF(N818="","",N818/MAX(N$5:N818)-1)</x:f>
        <x:v>#NAME?</x:v>
      </x:c>
      <x:c r="Q818" s="146" t="e">
        <x:f>IF(OR('实盘净值数据(iFinD公式)'!$A818="",'实盘净值数据(iFinD公式)'!$B818=""),"",分期持仓明细!$AD$25*SUMPRODUCT(分期持仓明细!$B$25:$AA$25,'实盘净值数据(iFinD公式)'!$B818:$AA818/'实盘净值数据(iFinD公式)'!$B$65:$AA$65)*(1-实盘持仓初始配置!$Z$9)^(('实盘净值数据(iFinD公式)'!$A818-'实盘净值数据(iFinD公式)'!$A$8)/365))</x:f>
        <x:v>#NAME?</x:v>
      </x:c>
      <x:c r="R818" s="152" t="e">
        <x:f>IF(OR(Q817="",Q818=""),"",Q818/Q817-1)</x:f>
        <x:v>#NAME?</x:v>
      </x:c>
      <x:c r="S818" s="152" t="e">
        <x:f>IF(Q818="","",Q818/MAX(Q$5:Q818)-1)</x:f>
        <x:v>#NAME?</x:v>
      </x:c>
    </x:row>
    <x:row r="819">
      <x:c r="A819" s="149" t="str">
        <x:f>IF('实盘净值数据(iFinD公式)'!A819="","",'实盘净值数据(iFinD公式)'!A819)</x:f>
      </x:c>
      <x:c r="B819" s="146" t="e">
        <x:f>IF(OR('实盘净值数据(iFinD公式)'!$A819="",'实盘净值数据(iFinD公式)'!$B819=""),"",分期持仓明细!$AD$17*SUMPRODUCT(分期持仓明细!$B$17:$AA$17,'实盘净值数据(iFinD公式)'!$B819:$AA819/'实盘净值数据(iFinD公式)'!$B$20:$AA$20)*(1-实盘持仓初始配置!$Z$4)^(('实盘净值数据(iFinD公式)'!$A819-'实盘净值数据(iFinD公式)'!$A$6)/365))</x:f>
        <x:v>#NAME?</x:v>
      </x:c>
      <x:c r="C819" s="152" t="e">
        <x:f>IF(OR(B818="",B819=""),"",B819/B818-1)</x:f>
        <x:v>#NAME?</x:v>
      </x:c>
      <x:c r="D819" s="152" t="e">
        <x:f>IF(B819="","",B819/MAX(B$5:B819)-1)</x:f>
        <x:v>#NAME?</x:v>
      </x:c>
      <x:c r="E819" s="146" t="e">
        <x:f>IF(OR('实盘净值数据(iFinD公式)'!$A819="",'实盘净值数据(iFinD公式)'!$B819=""),"",分期持仓明细!$AD$18*SUMPRODUCT(分期持仓明细!$B$18:$AA$18,'实盘净值数据(iFinD公式)'!$B819:$AA819/'实盘净值数据(iFinD公式)'!$B$20:$AA$20)*(1-实盘持仓初始配置!$Z$5)^(('实盘净值数据(iFinD公式)'!$A819-'实盘净值数据(iFinD公式)'!$A$5)/365))</x:f>
        <x:v>#NAME?</x:v>
      </x:c>
      <x:c r="F819" s="152" t="e">
        <x:f>IF(OR(E818="",E819=""),"",E819/E818-1)</x:f>
        <x:v>#NAME?</x:v>
      </x:c>
      <x:c r="G819" s="152" t="e">
        <x:f>IF(E819="","",E819/MAX(E$5:E819)-1)</x:f>
        <x:v>#NAME?</x:v>
      </x:c>
      <x:c r="H819" s="146" t="e">
        <x:f>IF(OR('实盘净值数据(iFinD公式)'!$A819="",'实盘净值数据(iFinD公式)'!$B819=""),"",分期持仓明细!$AD$19*SUMPRODUCT(分期持仓明细!$B$19:$AA$19,'实盘净值数据(iFinD公式)'!$B819:$AA819/'实盘净值数据(iFinD公式)'!$B$20:$AA$20)*(1-实盘持仓初始配置!$Z$6)^(('实盘净值数据(iFinD公式)'!$A819-'实盘净值数据(iFinD公式)'!$A$7)/365))</x:f>
        <x:v>#NAME?</x:v>
      </x:c>
      <x:c r="I819" s="152" t="e">
        <x:f>IF(OR(H818="",H819=""),"",H819/H818-1)</x:f>
        <x:v>#NAME?</x:v>
      </x:c>
      <x:c r="J819" s="152" t="e">
        <x:f>IF(H819="","",H819/MAX(H$5:H819)-1)</x:f>
        <x:v>#NAME?</x:v>
      </x:c>
      <x:c r="K819" s="146" t="e">
        <x:f>IF(OR('实盘净值数据(iFinD公式)'!$A819="",'实盘净值数据(iFinD公式)'!$B819=""),"",分期持仓明细!$AD$23*SUMPRODUCT(分期持仓明细!$B$23:$AA$23,'实盘净值数据(iFinD公式)'!$B819:$AA819/'实盘净值数据(iFinD公式)'!$B$65:$AA$65)*(1-实盘持仓初始配置!$Z$7)^(('实盘净值数据(iFinD公式)'!$A819-'实盘净值数据(iFinD公式)'!$A$8)/365))</x:f>
        <x:v>#NAME?</x:v>
      </x:c>
      <x:c r="L819" s="152" t="e">
        <x:f>IF(OR(K818="",K819=""),"",K819/K818-1)</x:f>
        <x:v>#NAME?</x:v>
      </x:c>
      <x:c r="M819" s="152" t="e">
        <x:f>IF(K819="","",K819/MAX(K$5:K819)-1)</x:f>
        <x:v>#NAME?</x:v>
      </x:c>
      <x:c r="N819" s="146" t="e">
        <x:f>IF(OR('实盘净值数据(iFinD公式)'!$A819="",'实盘净值数据(iFinD公式)'!$B819=""),"",分期持仓明细!$AD$24*SUMPRODUCT(分期持仓明细!$B$24:$AA$24,'实盘净值数据(iFinD公式)'!$B819:$AA819/'实盘净值数据(iFinD公式)'!$B$65:$AA$65)*(1-实盘持仓初始配置!$Z$8)^(('实盘净值数据(iFinD公式)'!$A819-'实盘净值数据(iFinD公式)'!$A$5)/365))</x:f>
        <x:v>#NAME?</x:v>
      </x:c>
      <x:c r="O819" s="152" t="e">
        <x:f>IF(OR(N818="",N819=""),"",N819/N818-1)</x:f>
        <x:v>#NAME?</x:v>
      </x:c>
      <x:c r="P819" s="152" t="e">
        <x:f>IF(N819="","",N819/MAX(N$5:N819)-1)</x:f>
        <x:v>#NAME?</x:v>
      </x:c>
      <x:c r="Q819" s="146" t="e">
        <x:f>IF(OR('实盘净值数据(iFinD公式)'!$A819="",'实盘净值数据(iFinD公式)'!$B819=""),"",分期持仓明细!$AD$25*SUMPRODUCT(分期持仓明细!$B$25:$AA$25,'实盘净值数据(iFinD公式)'!$B819:$AA819/'实盘净值数据(iFinD公式)'!$B$65:$AA$65)*(1-实盘持仓初始配置!$Z$9)^(('实盘净值数据(iFinD公式)'!$A819-'实盘净值数据(iFinD公式)'!$A$8)/365))</x:f>
        <x:v>#NAME?</x:v>
      </x:c>
      <x:c r="R819" s="152" t="e">
        <x:f>IF(OR(Q818="",Q819=""),"",Q819/Q818-1)</x:f>
        <x:v>#NAME?</x:v>
      </x:c>
      <x:c r="S819" s="152" t="e">
        <x:f>IF(Q819="","",Q819/MAX(Q$5:Q819)-1)</x:f>
        <x:v>#NAME?</x:v>
      </x:c>
    </x:row>
    <x:row r="820">
      <x:c r="A820" s="149" t="str">
        <x:f>IF('实盘净值数据(iFinD公式)'!A820="","",'实盘净值数据(iFinD公式)'!A820)</x:f>
      </x:c>
      <x:c r="B820" s="146" t="e">
        <x:f>IF(OR('实盘净值数据(iFinD公式)'!$A820="",'实盘净值数据(iFinD公式)'!$B820=""),"",分期持仓明细!$AD$17*SUMPRODUCT(分期持仓明细!$B$17:$AA$17,'实盘净值数据(iFinD公式)'!$B820:$AA820/'实盘净值数据(iFinD公式)'!$B$20:$AA$20)*(1-实盘持仓初始配置!$Z$4)^(('实盘净值数据(iFinD公式)'!$A820-'实盘净值数据(iFinD公式)'!$A$6)/365))</x:f>
        <x:v>#NAME?</x:v>
      </x:c>
      <x:c r="C820" s="152" t="e">
        <x:f>IF(OR(B819="",B820=""),"",B820/B819-1)</x:f>
        <x:v>#NAME?</x:v>
      </x:c>
      <x:c r="D820" s="152" t="e">
        <x:f>IF(B820="","",B820/MAX(B$5:B820)-1)</x:f>
        <x:v>#NAME?</x:v>
      </x:c>
      <x:c r="E820" s="146" t="e">
        <x:f>IF(OR('实盘净值数据(iFinD公式)'!$A820="",'实盘净值数据(iFinD公式)'!$B820=""),"",分期持仓明细!$AD$18*SUMPRODUCT(分期持仓明细!$B$18:$AA$18,'实盘净值数据(iFinD公式)'!$B820:$AA820/'实盘净值数据(iFinD公式)'!$B$20:$AA$20)*(1-实盘持仓初始配置!$Z$5)^(('实盘净值数据(iFinD公式)'!$A820-'实盘净值数据(iFinD公式)'!$A$5)/365))</x:f>
        <x:v>#NAME?</x:v>
      </x:c>
      <x:c r="F820" s="152" t="e">
        <x:f>IF(OR(E819="",E820=""),"",E820/E819-1)</x:f>
        <x:v>#NAME?</x:v>
      </x:c>
      <x:c r="G820" s="152" t="e">
        <x:f>IF(E820="","",E820/MAX(E$5:E820)-1)</x:f>
        <x:v>#NAME?</x:v>
      </x:c>
      <x:c r="H820" s="146" t="e">
        <x:f>IF(OR('实盘净值数据(iFinD公式)'!$A820="",'实盘净值数据(iFinD公式)'!$B820=""),"",分期持仓明细!$AD$19*SUMPRODUCT(分期持仓明细!$B$19:$AA$19,'实盘净值数据(iFinD公式)'!$B820:$AA820/'实盘净值数据(iFinD公式)'!$B$20:$AA$20)*(1-实盘持仓初始配置!$Z$6)^(('实盘净值数据(iFinD公式)'!$A820-'实盘净值数据(iFinD公式)'!$A$7)/365))</x:f>
        <x:v>#NAME?</x:v>
      </x:c>
      <x:c r="I820" s="152" t="e">
        <x:f>IF(OR(H819="",H820=""),"",H820/H819-1)</x:f>
        <x:v>#NAME?</x:v>
      </x:c>
      <x:c r="J820" s="152" t="e">
        <x:f>IF(H820="","",H820/MAX(H$5:H820)-1)</x:f>
        <x:v>#NAME?</x:v>
      </x:c>
      <x:c r="K820" s="146" t="e">
        <x:f>IF(OR('实盘净值数据(iFinD公式)'!$A820="",'实盘净值数据(iFinD公式)'!$B820=""),"",分期持仓明细!$AD$23*SUMPRODUCT(分期持仓明细!$B$23:$AA$23,'实盘净值数据(iFinD公式)'!$B820:$AA820/'实盘净值数据(iFinD公式)'!$B$65:$AA$65)*(1-实盘持仓初始配置!$Z$7)^(('实盘净值数据(iFinD公式)'!$A820-'实盘净值数据(iFinD公式)'!$A$8)/365))</x:f>
        <x:v>#NAME?</x:v>
      </x:c>
      <x:c r="L820" s="152" t="e">
        <x:f>IF(OR(K819="",K820=""),"",K820/K819-1)</x:f>
        <x:v>#NAME?</x:v>
      </x:c>
      <x:c r="M820" s="152" t="e">
        <x:f>IF(K820="","",K820/MAX(K$5:K820)-1)</x:f>
        <x:v>#NAME?</x:v>
      </x:c>
      <x:c r="N820" s="146" t="e">
        <x:f>IF(OR('实盘净值数据(iFinD公式)'!$A820="",'实盘净值数据(iFinD公式)'!$B820=""),"",分期持仓明细!$AD$24*SUMPRODUCT(分期持仓明细!$B$24:$AA$24,'实盘净值数据(iFinD公式)'!$B820:$AA820/'实盘净值数据(iFinD公式)'!$B$65:$AA$65)*(1-实盘持仓初始配置!$Z$8)^(('实盘净值数据(iFinD公式)'!$A820-'实盘净值数据(iFinD公式)'!$A$5)/365))</x:f>
        <x:v>#NAME?</x:v>
      </x:c>
      <x:c r="O820" s="152" t="e">
        <x:f>IF(OR(N819="",N820=""),"",N820/N819-1)</x:f>
        <x:v>#NAME?</x:v>
      </x:c>
      <x:c r="P820" s="152" t="e">
        <x:f>IF(N820="","",N820/MAX(N$5:N820)-1)</x:f>
        <x:v>#NAME?</x:v>
      </x:c>
      <x:c r="Q820" s="146" t="e">
        <x:f>IF(OR('实盘净值数据(iFinD公式)'!$A820="",'实盘净值数据(iFinD公式)'!$B820=""),"",分期持仓明细!$AD$25*SUMPRODUCT(分期持仓明细!$B$25:$AA$25,'实盘净值数据(iFinD公式)'!$B820:$AA820/'实盘净值数据(iFinD公式)'!$B$65:$AA$65)*(1-实盘持仓初始配置!$Z$9)^(('实盘净值数据(iFinD公式)'!$A820-'实盘净值数据(iFinD公式)'!$A$8)/365))</x:f>
        <x:v>#NAME?</x:v>
      </x:c>
      <x:c r="R820" s="152" t="e">
        <x:f>IF(OR(Q819="",Q820=""),"",Q820/Q819-1)</x:f>
        <x:v>#NAME?</x:v>
      </x:c>
      <x:c r="S820" s="152" t="e">
        <x:f>IF(Q820="","",Q820/MAX(Q$5:Q820)-1)</x:f>
        <x:v>#NAME?</x:v>
      </x:c>
    </x:row>
    <x:row r="821">
      <x:c r="A821" s="149" t="str">
        <x:f>IF('实盘净值数据(iFinD公式)'!A821="","",'实盘净值数据(iFinD公式)'!A821)</x:f>
      </x:c>
      <x:c r="B821" s="146" t="e">
        <x:f>IF(OR('实盘净值数据(iFinD公式)'!$A821="",'实盘净值数据(iFinD公式)'!$B821=""),"",分期持仓明细!$AD$17*SUMPRODUCT(分期持仓明细!$B$17:$AA$17,'实盘净值数据(iFinD公式)'!$B821:$AA821/'实盘净值数据(iFinD公式)'!$B$20:$AA$20)*(1-实盘持仓初始配置!$Z$4)^(('实盘净值数据(iFinD公式)'!$A821-'实盘净值数据(iFinD公式)'!$A$6)/365))</x:f>
        <x:v>#NAME?</x:v>
      </x:c>
      <x:c r="C821" s="152" t="e">
        <x:f>IF(OR(B820="",B821=""),"",B821/B820-1)</x:f>
        <x:v>#NAME?</x:v>
      </x:c>
      <x:c r="D821" s="152" t="e">
        <x:f>IF(B821="","",B821/MAX(B$5:B821)-1)</x:f>
        <x:v>#NAME?</x:v>
      </x:c>
      <x:c r="E821" s="146" t="e">
        <x:f>IF(OR('实盘净值数据(iFinD公式)'!$A821="",'实盘净值数据(iFinD公式)'!$B821=""),"",分期持仓明细!$AD$18*SUMPRODUCT(分期持仓明细!$B$18:$AA$18,'实盘净值数据(iFinD公式)'!$B821:$AA821/'实盘净值数据(iFinD公式)'!$B$20:$AA$20)*(1-实盘持仓初始配置!$Z$5)^(('实盘净值数据(iFinD公式)'!$A821-'实盘净值数据(iFinD公式)'!$A$5)/365))</x:f>
        <x:v>#NAME?</x:v>
      </x:c>
      <x:c r="F821" s="152" t="e">
        <x:f>IF(OR(E820="",E821=""),"",E821/E820-1)</x:f>
        <x:v>#NAME?</x:v>
      </x:c>
      <x:c r="G821" s="152" t="e">
        <x:f>IF(E821="","",E821/MAX(E$5:E821)-1)</x:f>
        <x:v>#NAME?</x:v>
      </x:c>
      <x:c r="H821" s="146" t="e">
        <x:f>IF(OR('实盘净值数据(iFinD公式)'!$A821="",'实盘净值数据(iFinD公式)'!$B821=""),"",分期持仓明细!$AD$19*SUMPRODUCT(分期持仓明细!$B$19:$AA$19,'实盘净值数据(iFinD公式)'!$B821:$AA821/'实盘净值数据(iFinD公式)'!$B$20:$AA$20)*(1-实盘持仓初始配置!$Z$6)^(('实盘净值数据(iFinD公式)'!$A821-'实盘净值数据(iFinD公式)'!$A$7)/365))</x:f>
        <x:v>#NAME?</x:v>
      </x:c>
      <x:c r="I821" s="152" t="e">
        <x:f>IF(OR(H820="",H821=""),"",H821/H820-1)</x:f>
        <x:v>#NAME?</x:v>
      </x:c>
      <x:c r="J821" s="152" t="e">
        <x:f>IF(H821="","",H821/MAX(H$5:H821)-1)</x:f>
        <x:v>#NAME?</x:v>
      </x:c>
      <x:c r="K821" s="146" t="e">
        <x:f>IF(OR('实盘净值数据(iFinD公式)'!$A821="",'实盘净值数据(iFinD公式)'!$B821=""),"",分期持仓明细!$AD$23*SUMPRODUCT(分期持仓明细!$B$23:$AA$23,'实盘净值数据(iFinD公式)'!$B821:$AA821/'实盘净值数据(iFinD公式)'!$B$65:$AA$65)*(1-实盘持仓初始配置!$Z$7)^(('实盘净值数据(iFinD公式)'!$A821-'实盘净值数据(iFinD公式)'!$A$8)/365))</x:f>
        <x:v>#NAME?</x:v>
      </x:c>
      <x:c r="L821" s="152" t="e">
        <x:f>IF(OR(K820="",K821=""),"",K821/K820-1)</x:f>
        <x:v>#NAME?</x:v>
      </x:c>
      <x:c r="M821" s="152" t="e">
        <x:f>IF(K821="","",K821/MAX(K$5:K821)-1)</x:f>
        <x:v>#NAME?</x:v>
      </x:c>
      <x:c r="N821" s="146" t="e">
        <x:f>IF(OR('实盘净值数据(iFinD公式)'!$A821="",'实盘净值数据(iFinD公式)'!$B821=""),"",分期持仓明细!$AD$24*SUMPRODUCT(分期持仓明细!$B$24:$AA$24,'实盘净值数据(iFinD公式)'!$B821:$AA821/'实盘净值数据(iFinD公式)'!$B$65:$AA$65)*(1-实盘持仓初始配置!$Z$8)^(('实盘净值数据(iFinD公式)'!$A821-'实盘净值数据(iFinD公式)'!$A$5)/365))</x:f>
        <x:v>#NAME?</x:v>
      </x:c>
      <x:c r="O821" s="152" t="e">
        <x:f>IF(OR(N820="",N821=""),"",N821/N820-1)</x:f>
        <x:v>#NAME?</x:v>
      </x:c>
      <x:c r="P821" s="152" t="e">
        <x:f>IF(N821="","",N821/MAX(N$5:N821)-1)</x:f>
        <x:v>#NAME?</x:v>
      </x:c>
      <x:c r="Q821" s="146" t="e">
        <x:f>IF(OR('实盘净值数据(iFinD公式)'!$A821="",'实盘净值数据(iFinD公式)'!$B821=""),"",分期持仓明细!$AD$25*SUMPRODUCT(分期持仓明细!$B$25:$AA$25,'实盘净值数据(iFinD公式)'!$B821:$AA821/'实盘净值数据(iFinD公式)'!$B$65:$AA$65)*(1-实盘持仓初始配置!$Z$9)^(('实盘净值数据(iFinD公式)'!$A821-'实盘净值数据(iFinD公式)'!$A$8)/365))</x:f>
        <x:v>#NAME?</x:v>
      </x:c>
      <x:c r="R821" s="152" t="e">
        <x:f>IF(OR(Q820="",Q821=""),"",Q821/Q820-1)</x:f>
        <x:v>#NAME?</x:v>
      </x:c>
      <x:c r="S821" s="152" t="e">
        <x:f>IF(Q821="","",Q821/MAX(Q$5:Q821)-1)</x:f>
        <x:v>#NAME?</x:v>
      </x:c>
    </x:row>
    <x:row r="822">
      <x:c r="A822" s="149" t="str">
        <x:f>IF('实盘净值数据(iFinD公式)'!A822="","",'实盘净值数据(iFinD公式)'!A822)</x:f>
      </x:c>
      <x:c r="B822" s="146" t="e">
        <x:f>IF(OR('实盘净值数据(iFinD公式)'!$A822="",'实盘净值数据(iFinD公式)'!$B822=""),"",分期持仓明细!$AD$17*SUMPRODUCT(分期持仓明细!$B$17:$AA$17,'实盘净值数据(iFinD公式)'!$B822:$AA822/'实盘净值数据(iFinD公式)'!$B$20:$AA$20)*(1-实盘持仓初始配置!$Z$4)^(('实盘净值数据(iFinD公式)'!$A822-'实盘净值数据(iFinD公式)'!$A$6)/365))</x:f>
        <x:v>#NAME?</x:v>
      </x:c>
      <x:c r="C822" s="152" t="e">
        <x:f>IF(OR(B821="",B822=""),"",B822/B821-1)</x:f>
        <x:v>#NAME?</x:v>
      </x:c>
      <x:c r="D822" s="152" t="e">
        <x:f>IF(B822="","",B822/MAX(B$5:B822)-1)</x:f>
        <x:v>#NAME?</x:v>
      </x:c>
      <x:c r="E822" s="146" t="e">
        <x:f>IF(OR('实盘净值数据(iFinD公式)'!$A822="",'实盘净值数据(iFinD公式)'!$B822=""),"",分期持仓明细!$AD$18*SUMPRODUCT(分期持仓明细!$B$18:$AA$18,'实盘净值数据(iFinD公式)'!$B822:$AA822/'实盘净值数据(iFinD公式)'!$B$20:$AA$20)*(1-实盘持仓初始配置!$Z$5)^(('实盘净值数据(iFinD公式)'!$A822-'实盘净值数据(iFinD公式)'!$A$5)/365))</x:f>
        <x:v>#NAME?</x:v>
      </x:c>
      <x:c r="F822" s="152" t="e">
        <x:f>IF(OR(E821="",E822=""),"",E822/E821-1)</x:f>
        <x:v>#NAME?</x:v>
      </x:c>
      <x:c r="G822" s="152" t="e">
        <x:f>IF(E822="","",E822/MAX(E$5:E822)-1)</x:f>
        <x:v>#NAME?</x:v>
      </x:c>
      <x:c r="H822" s="146" t="e">
        <x:f>IF(OR('实盘净值数据(iFinD公式)'!$A822="",'实盘净值数据(iFinD公式)'!$B822=""),"",分期持仓明细!$AD$19*SUMPRODUCT(分期持仓明细!$B$19:$AA$19,'实盘净值数据(iFinD公式)'!$B822:$AA822/'实盘净值数据(iFinD公式)'!$B$20:$AA$20)*(1-实盘持仓初始配置!$Z$6)^(('实盘净值数据(iFinD公式)'!$A822-'实盘净值数据(iFinD公式)'!$A$7)/365))</x:f>
        <x:v>#NAME?</x:v>
      </x:c>
      <x:c r="I822" s="152" t="e">
        <x:f>IF(OR(H821="",H822=""),"",H822/H821-1)</x:f>
        <x:v>#NAME?</x:v>
      </x:c>
      <x:c r="J822" s="152" t="e">
        <x:f>IF(H822="","",H822/MAX(H$5:H822)-1)</x:f>
        <x:v>#NAME?</x:v>
      </x:c>
      <x:c r="K822" s="146" t="e">
        <x:f>IF(OR('实盘净值数据(iFinD公式)'!$A822="",'实盘净值数据(iFinD公式)'!$B822=""),"",分期持仓明细!$AD$23*SUMPRODUCT(分期持仓明细!$B$23:$AA$23,'实盘净值数据(iFinD公式)'!$B822:$AA822/'实盘净值数据(iFinD公式)'!$B$65:$AA$65)*(1-实盘持仓初始配置!$Z$7)^(('实盘净值数据(iFinD公式)'!$A822-'实盘净值数据(iFinD公式)'!$A$8)/365))</x:f>
        <x:v>#NAME?</x:v>
      </x:c>
      <x:c r="L822" s="152" t="e">
        <x:f>IF(OR(K821="",K822=""),"",K822/K821-1)</x:f>
        <x:v>#NAME?</x:v>
      </x:c>
      <x:c r="M822" s="152" t="e">
        <x:f>IF(K822="","",K822/MAX(K$5:K822)-1)</x:f>
        <x:v>#NAME?</x:v>
      </x:c>
      <x:c r="N822" s="146" t="e">
        <x:f>IF(OR('实盘净值数据(iFinD公式)'!$A822="",'实盘净值数据(iFinD公式)'!$B822=""),"",分期持仓明细!$AD$24*SUMPRODUCT(分期持仓明细!$B$24:$AA$24,'实盘净值数据(iFinD公式)'!$B822:$AA822/'实盘净值数据(iFinD公式)'!$B$65:$AA$65)*(1-实盘持仓初始配置!$Z$8)^(('实盘净值数据(iFinD公式)'!$A822-'实盘净值数据(iFinD公式)'!$A$5)/365))</x:f>
        <x:v>#NAME?</x:v>
      </x:c>
      <x:c r="O822" s="152" t="e">
        <x:f>IF(OR(N821="",N822=""),"",N822/N821-1)</x:f>
        <x:v>#NAME?</x:v>
      </x:c>
      <x:c r="P822" s="152" t="e">
        <x:f>IF(N822="","",N822/MAX(N$5:N822)-1)</x:f>
        <x:v>#NAME?</x:v>
      </x:c>
      <x:c r="Q822" s="146" t="e">
        <x:f>IF(OR('实盘净值数据(iFinD公式)'!$A822="",'实盘净值数据(iFinD公式)'!$B822=""),"",分期持仓明细!$AD$25*SUMPRODUCT(分期持仓明细!$B$25:$AA$25,'实盘净值数据(iFinD公式)'!$B822:$AA822/'实盘净值数据(iFinD公式)'!$B$65:$AA$65)*(1-实盘持仓初始配置!$Z$9)^(('实盘净值数据(iFinD公式)'!$A822-'实盘净值数据(iFinD公式)'!$A$8)/365))</x:f>
        <x:v>#NAME?</x:v>
      </x:c>
      <x:c r="R822" s="152" t="e">
        <x:f>IF(OR(Q821="",Q822=""),"",Q822/Q821-1)</x:f>
        <x:v>#NAME?</x:v>
      </x:c>
      <x:c r="S822" s="152" t="e">
        <x:f>IF(Q822="","",Q822/MAX(Q$5:Q822)-1)</x:f>
        <x:v>#NAME?</x:v>
      </x:c>
    </x:row>
    <x:row r="823">
      <x:c r="A823" s="149" t="str">
        <x:f>IF('实盘净值数据(iFinD公式)'!A823="","",'实盘净值数据(iFinD公式)'!A823)</x:f>
      </x:c>
      <x:c r="B823" s="146" t="e">
        <x:f>IF(OR('实盘净值数据(iFinD公式)'!$A823="",'实盘净值数据(iFinD公式)'!$B823=""),"",分期持仓明细!$AD$17*SUMPRODUCT(分期持仓明细!$B$17:$AA$17,'实盘净值数据(iFinD公式)'!$B823:$AA823/'实盘净值数据(iFinD公式)'!$B$20:$AA$20)*(1-实盘持仓初始配置!$Z$4)^(('实盘净值数据(iFinD公式)'!$A823-'实盘净值数据(iFinD公式)'!$A$6)/365))</x:f>
        <x:v>#NAME?</x:v>
      </x:c>
      <x:c r="C823" s="152" t="e">
        <x:f>IF(OR(B822="",B823=""),"",B823/B822-1)</x:f>
        <x:v>#NAME?</x:v>
      </x:c>
      <x:c r="D823" s="152" t="e">
        <x:f>IF(B823="","",B823/MAX(B$5:B823)-1)</x:f>
        <x:v>#NAME?</x:v>
      </x:c>
      <x:c r="E823" s="146" t="e">
        <x:f>IF(OR('实盘净值数据(iFinD公式)'!$A823="",'实盘净值数据(iFinD公式)'!$B823=""),"",分期持仓明细!$AD$18*SUMPRODUCT(分期持仓明细!$B$18:$AA$18,'实盘净值数据(iFinD公式)'!$B823:$AA823/'实盘净值数据(iFinD公式)'!$B$20:$AA$20)*(1-实盘持仓初始配置!$Z$5)^(('实盘净值数据(iFinD公式)'!$A823-'实盘净值数据(iFinD公式)'!$A$5)/365))</x:f>
        <x:v>#NAME?</x:v>
      </x:c>
      <x:c r="F823" s="152" t="e">
        <x:f>IF(OR(E822="",E823=""),"",E823/E822-1)</x:f>
        <x:v>#NAME?</x:v>
      </x:c>
      <x:c r="G823" s="152" t="e">
        <x:f>IF(E823="","",E823/MAX(E$5:E823)-1)</x:f>
        <x:v>#NAME?</x:v>
      </x:c>
      <x:c r="H823" s="146" t="e">
        <x:f>IF(OR('实盘净值数据(iFinD公式)'!$A823="",'实盘净值数据(iFinD公式)'!$B823=""),"",分期持仓明细!$AD$19*SUMPRODUCT(分期持仓明细!$B$19:$AA$19,'实盘净值数据(iFinD公式)'!$B823:$AA823/'实盘净值数据(iFinD公式)'!$B$20:$AA$20)*(1-实盘持仓初始配置!$Z$6)^(('实盘净值数据(iFinD公式)'!$A823-'实盘净值数据(iFinD公式)'!$A$7)/365))</x:f>
        <x:v>#NAME?</x:v>
      </x:c>
      <x:c r="I823" s="152" t="e">
        <x:f>IF(OR(H822="",H823=""),"",H823/H822-1)</x:f>
        <x:v>#NAME?</x:v>
      </x:c>
      <x:c r="J823" s="152" t="e">
        <x:f>IF(H823="","",H823/MAX(H$5:H823)-1)</x:f>
        <x:v>#NAME?</x:v>
      </x:c>
      <x:c r="K823" s="146" t="e">
        <x:f>IF(OR('实盘净值数据(iFinD公式)'!$A823="",'实盘净值数据(iFinD公式)'!$B823=""),"",分期持仓明细!$AD$23*SUMPRODUCT(分期持仓明细!$B$23:$AA$23,'实盘净值数据(iFinD公式)'!$B823:$AA823/'实盘净值数据(iFinD公式)'!$B$65:$AA$65)*(1-实盘持仓初始配置!$Z$7)^(('实盘净值数据(iFinD公式)'!$A823-'实盘净值数据(iFinD公式)'!$A$8)/365))</x:f>
        <x:v>#NAME?</x:v>
      </x:c>
      <x:c r="L823" s="152" t="e">
        <x:f>IF(OR(K822="",K823=""),"",K823/K822-1)</x:f>
        <x:v>#NAME?</x:v>
      </x:c>
      <x:c r="M823" s="152" t="e">
        <x:f>IF(K823="","",K823/MAX(K$5:K823)-1)</x:f>
        <x:v>#NAME?</x:v>
      </x:c>
      <x:c r="N823" s="146" t="e">
        <x:f>IF(OR('实盘净值数据(iFinD公式)'!$A823="",'实盘净值数据(iFinD公式)'!$B823=""),"",分期持仓明细!$AD$24*SUMPRODUCT(分期持仓明细!$B$24:$AA$24,'实盘净值数据(iFinD公式)'!$B823:$AA823/'实盘净值数据(iFinD公式)'!$B$65:$AA$65)*(1-实盘持仓初始配置!$Z$8)^(('实盘净值数据(iFinD公式)'!$A823-'实盘净值数据(iFinD公式)'!$A$5)/365))</x:f>
        <x:v>#NAME?</x:v>
      </x:c>
      <x:c r="O823" s="152" t="e">
        <x:f>IF(OR(N822="",N823=""),"",N823/N822-1)</x:f>
        <x:v>#NAME?</x:v>
      </x:c>
      <x:c r="P823" s="152" t="e">
        <x:f>IF(N823="","",N823/MAX(N$5:N823)-1)</x:f>
        <x:v>#NAME?</x:v>
      </x:c>
      <x:c r="Q823" s="146" t="e">
        <x:f>IF(OR('实盘净值数据(iFinD公式)'!$A823="",'实盘净值数据(iFinD公式)'!$B823=""),"",分期持仓明细!$AD$25*SUMPRODUCT(分期持仓明细!$B$25:$AA$25,'实盘净值数据(iFinD公式)'!$B823:$AA823/'实盘净值数据(iFinD公式)'!$B$65:$AA$65)*(1-实盘持仓初始配置!$Z$9)^(('实盘净值数据(iFinD公式)'!$A823-'实盘净值数据(iFinD公式)'!$A$8)/365))</x:f>
        <x:v>#NAME?</x:v>
      </x:c>
      <x:c r="R823" s="152" t="e">
        <x:f>IF(OR(Q822="",Q823=""),"",Q823/Q822-1)</x:f>
        <x:v>#NAME?</x:v>
      </x:c>
      <x:c r="S823" s="152" t="e">
        <x:f>IF(Q823="","",Q823/MAX(Q$5:Q823)-1)</x:f>
        <x:v>#NAME?</x:v>
      </x:c>
    </x:row>
    <x:row r="824">
      <x:c r="A824" s="149" t="str">
        <x:f>IF('实盘净值数据(iFinD公式)'!A824="","",'实盘净值数据(iFinD公式)'!A824)</x:f>
      </x:c>
      <x:c r="B824" s="146" t="e">
        <x:f>IF(OR('实盘净值数据(iFinD公式)'!$A824="",'实盘净值数据(iFinD公式)'!$B824=""),"",分期持仓明细!$AD$17*SUMPRODUCT(分期持仓明细!$B$17:$AA$17,'实盘净值数据(iFinD公式)'!$B824:$AA824/'实盘净值数据(iFinD公式)'!$B$20:$AA$20)*(1-实盘持仓初始配置!$Z$4)^(('实盘净值数据(iFinD公式)'!$A824-'实盘净值数据(iFinD公式)'!$A$6)/365))</x:f>
        <x:v>#NAME?</x:v>
      </x:c>
      <x:c r="C824" s="152" t="e">
        <x:f>IF(OR(B823="",B824=""),"",B824/B823-1)</x:f>
        <x:v>#NAME?</x:v>
      </x:c>
      <x:c r="D824" s="152" t="e">
        <x:f>IF(B824="","",B824/MAX(B$5:B824)-1)</x:f>
        <x:v>#NAME?</x:v>
      </x:c>
      <x:c r="E824" s="146" t="e">
        <x:f>IF(OR('实盘净值数据(iFinD公式)'!$A824="",'实盘净值数据(iFinD公式)'!$B824=""),"",分期持仓明细!$AD$18*SUMPRODUCT(分期持仓明细!$B$18:$AA$18,'实盘净值数据(iFinD公式)'!$B824:$AA824/'实盘净值数据(iFinD公式)'!$B$20:$AA$20)*(1-实盘持仓初始配置!$Z$5)^(('实盘净值数据(iFinD公式)'!$A824-'实盘净值数据(iFinD公式)'!$A$5)/365))</x:f>
        <x:v>#NAME?</x:v>
      </x:c>
      <x:c r="F824" s="152" t="e">
        <x:f>IF(OR(E823="",E824=""),"",E824/E823-1)</x:f>
        <x:v>#NAME?</x:v>
      </x:c>
      <x:c r="G824" s="152" t="e">
        <x:f>IF(E824="","",E824/MAX(E$5:E824)-1)</x:f>
        <x:v>#NAME?</x:v>
      </x:c>
      <x:c r="H824" s="146" t="e">
        <x:f>IF(OR('实盘净值数据(iFinD公式)'!$A824="",'实盘净值数据(iFinD公式)'!$B824=""),"",分期持仓明细!$AD$19*SUMPRODUCT(分期持仓明细!$B$19:$AA$19,'实盘净值数据(iFinD公式)'!$B824:$AA824/'实盘净值数据(iFinD公式)'!$B$20:$AA$20)*(1-实盘持仓初始配置!$Z$6)^(('实盘净值数据(iFinD公式)'!$A824-'实盘净值数据(iFinD公式)'!$A$7)/365))</x:f>
        <x:v>#NAME?</x:v>
      </x:c>
      <x:c r="I824" s="152" t="e">
        <x:f>IF(OR(H823="",H824=""),"",H824/H823-1)</x:f>
        <x:v>#NAME?</x:v>
      </x:c>
      <x:c r="J824" s="152" t="e">
        <x:f>IF(H824="","",H824/MAX(H$5:H824)-1)</x:f>
        <x:v>#NAME?</x:v>
      </x:c>
      <x:c r="K824" s="146" t="e">
        <x:f>IF(OR('实盘净值数据(iFinD公式)'!$A824="",'实盘净值数据(iFinD公式)'!$B824=""),"",分期持仓明细!$AD$23*SUMPRODUCT(分期持仓明细!$B$23:$AA$23,'实盘净值数据(iFinD公式)'!$B824:$AA824/'实盘净值数据(iFinD公式)'!$B$65:$AA$65)*(1-实盘持仓初始配置!$Z$7)^(('实盘净值数据(iFinD公式)'!$A824-'实盘净值数据(iFinD公式)'!$A$8)/365))</x:f>
        <x:v>#NAME?</x:v>
      </x:c>
      <x:c r="L824" s="152" t="e">
        <x:f>IF(OR(K823="",K824=""),"",K824/K823-1)</x:f>
        <x:v>#NAME?</x:v>
      </x:c>
      <x:c r="M824" s="152" t="e">
        <x:f>IF(K824="","",K824/MAX(K$5:K824)-1)</x:f>
        <x:v>#NAME?</x:v>
      </x:c>
      <x:c r="N824" s="146" t="e">
        <x:f>IF(OR('实盘净值数据(iFinD公式)'!$A824="",'实盘净值数据(iFinD公式)'!$B824=""),"",分期持仓明细!$AD$24*SUMPRODUCT(分期持仓明细!$B$24:$AA$24,'实盘净值数据(iFinD公式)'!$B824:$AA824/'实盘净值数据(iFinD公式)'!$B$65:$AA$65)*(1-实盘持仓初始配置!$Z$8)^(('实盘净值数据(iFinD公式)'!$A824-'实盘净值数据(iFinD公式)'!$A$5)/365))</x:f>
        <x:v>#NAME?</x:v>
      </x:c>
      <x:c r="O824" s="152" t="e">
        <x:f>IF(OR(N823="",N824=""),"",N824/N823-1)</x:f>
        <x:v>#NAME?</x:v>
      </x:c>
      <x:c r="P824" s="152" t="e">
        <x:f>IF(N824="","",N824/MAX(N$5:N824)-1)</x:f>
        <x:v>#NAME?</x:v>
      </x:c>
      <x:c r="Q824" s="146" t="e">
        <x:f>IF(OR('实盘净值数据(iFinD公式)'!$A824="",'实盘净值数据(iFinD公式)'!$B824=""),"",分期持仓明细!$AD$25*SUMPRODUCT(分期持仓明细!$B$25:$AA$25,'实盘净值数据(iFinD公式)'!$B824:$AA824/'实盘净值数据(iFinD公式)'!$B$65:$AA$65)*(1-实盘持仓初始配置!$Z$9)^(('实盘净值数据(iFinD公式)'!$A824-'实盘净值数据(iFinD公式)'!$A$8)/365))</x:f>
        <x:v>#NAME?</x:v>
      </x:c>
      <x:c r="R824" s="152" t="e">
        <x:f>IF(OR(Q823="",Q824=""),"",Q824/Q823-1)</x:f>
        <x:v>#NAME?</x:v>
      </x:c>
      <x:c r="S824" s="152" t="e">
        <x:f>IF(Q824="","",Q824/MAX(Q$5:Q824)-1)</x:f>
        <x:v>#NAME?</x:v>
      </x:c>
    </x:row>
    <x:row r="825">
      <x:c r="A825" s="149" t="str">
        <x:f>IF('实盘净值数据(iFinD公式)'!A825="","",'实盘净值数据(iFinD公式)'!A825)</x:f>
      </x:c>
      <x:c r="B825" s="146" t="e">
        <x:f>IF(OR('实盘净值数据(iFinD公式)'!$A825="",'实盘净值数据(iFinD公式)'!$B825=""),"",分期持仓明细!$AD$17*SUMPRODUCT(分期持仓明细!$B$17:$AA$17,'实盘净值数据(iFinD公式)'!$B825:$AA825/'实盘净值数据(iFinD公式)'!$B$20:$AA$20)*(1-实盘持仓初始配置!$Z$4)^(('实盘净值数据(iFinD公式)'!$A825-'实盘净值数据(iFinD公式)'!$A$6)/365))</x:f>
        <x:v>#NAME?</x:v>
      </x:c>
      <x:c r="C825" s="152" t="e">
        <x:f>IF(OR(B824="",B825=""),"",B825/B824-1)</x:f>
        <x:v>#NAME?</x:v>
      </x:c>
      <x:c r="D825" s="152" t="e">
        <x:f>IF(B825="","",B825/MAX(B$5:B825)-1)</x:f>
        <x:v>#NAME?</x:v>
      </x:c>
      <x:c r="E825" s="146" t="e">
        <x:f>IF(OR('实盘净值数据(iFinD公式)'!$A825="",'实盘净值数据(iFinD公式)'!$B825=""),"",分期持仓明细!$AD$18*SUMPRODUCT(分期持仓明细!$B$18:$AA$18,'实盘净值数据(iFinD公式)'!$B825:$AA825/'实盘净值数据(iFinD公式)'!$B$20:$AA$20)*(1-实盘持仓初始配置!$Z$5)^(('实盘净值数据(iFinD公式)'!$A825-'实盘净值数据(iFinD公式)'!$A$5)/365))</x:f>
        <x:v>#NAME?</x:v>
      </x:c>
      <x:c r="F825" s="152" t="e">
        <x:f>IF(OR(E824="",E825=""),"",E825/E824-1)</x:f>
        <x:v>#NAME?</x:v>
      </x:c>
      <x:c r="G825" s="152" t="e">
        <x:f>IF(E825="","",E825/MAX(E$5:E825)-1)</x:f>
        <x:v>#NAME?</x:v>
      </x:c>
      <x:c r="H825" s="146" t="e">
        <x:f>IF(OR('实盘净值数据(iFinD公式)'!$A825="",'实盘净值数据(iFinD公式)'!$B825=""),"",分期持仓明细!$AD$19*SUMPRODUCT(分期持仓明细!$B$19:$AA$19,'实盘净值数据(iFinD公式)'!$B825:$AA825/'实盘净值数据(iFinD公式)'!$B$20:$AA$20)*(1-实盘持仓初始配置!$Z$6)^(('实盘净值数据(iFinD公式)'!$A825-'实盘净值数据(iFinD公式)'!$A$7)/365))</x:f>
        <x:v>#NAME?</x:v>
      </x:c>
      <x:c r="I825" s="152" t="e">
        <x:f>IF(OR(H824="",H825=""),"",H825/H824-1)</x:f>
        <x:v>#NAME?</x:v>
      </x:c>
      <x:c r="J825" s="152" t="e">
        <x:f>IF(H825="","",H825/MAX(H$5:H825)-1)</x:f>
        <x:v>#NAME?</x:v>
      </x:c>
      <x:c r="K825" s="146" t="e">
        <x:f>IF(OR('实盘净值数据(iFinD公式)'!$A825="",'实盘净值数据(iFinD公式)'!$B825=""),"",分期持仓明细!$AD$23*SUMPRODUCT(分期持仓明细!$B$23:$AA$23,'实盘净值数据(iFinD公式)'!$B825:$AA825/'实盘净值数据(iFinD公式)'!$B$65:$AA$65)*(1-实盘持仓初始配置!$Z$7)^(('实盘净值数据(iFinD公式)'!$A825-'实盘净值数据(iFinD公式)'!$A$8)/365))</x:f>
        <x:v>#NAME?</x:v>
      </x:c>
      <x:c r="L825" s="152" t="e">
        <x:f>IF(OR(K824="",K825=""),"",K825/K824-1)</x:f>
        <x:v>#NAME?</x:v>
      </x:c>
      <x:c r="M825" s="152" t="e">
        <x:f>IF(K825="","",K825/MAX(K$5:K825)-1)</x:f>
        <x:v>#NAME?</x:v>
      </x:c>
      <x:c r="N825" s="146" t="e">
        <x:f>IF(OR('实盘净值数据(iFinD公式)'!$A825="",'实盘净值数据(iFinD公式)'!$B825=""),"",分期持仓明细!$AD$24*SUMPRODUCT(分期持仓明细!$B$24:$AA$24,'实盘净值数据(iFinD公式)'!$B825:$AA825/'实盘净值数据(iFinD公式)'!$B$65:$AA$65)*(1-实盘持仓初始配置!$Z$8)^(('实盘净值数据(iFinD公式)'!$A825-'实盘净值数据(iFinD公式)'!$A$5)/365))</x:f>
        <x:v>#NAME?</x:v>
      </x:c>
      <x:c r="O825" s="152" t="e">
        <x:f>IF(OR(N824="",N825=""),"",N825/N824-1)</x:f>
        <x:v>#NAME?</x:v>
      </x:c>
      <x:c r="P825" s="152" t="e">
        <x:f>IF(N825="","",N825/MAX(N$5:N825)-1)</x:f>
        <x:v>#NAME?</x:v>
      </x:c>
      <x:c r="Q825" s="146" t="e">
        <x:f>IF(OR('实盘净值数据(iFinD公式)'!$A825="",'实盘净值数据(iFinD公式)'!$B825=""),"",分期持仓明细!$AD$25*SUMPRODUCT(分期持仓明细!$B$25:$AA$25,'实盘净值数据(iFinD公式)'!$B825:$AA825/'实盘净值数据(iFinD公式)'!$B$65:$AA$65)*(1-实盘持仓初始配置!$Z$9)^(('实盘净值数据(iFinD公式)'!$A825-'实盘净值数据(iFinD公式)'!$A$8)/365))</x:f>
        <x:v>#NAME?</x:v>
      </x:c>
      <x:c r="R825" s="152" t="e">
        <x:f>IF(OR(Q824="",Q825=""),"",Q825/Q824-1)</x:f>
        <x:v>#NAME?</x:v>
      </x:c>
      <x:c r="S825" s="152" t="e">
        <x:f>IF(Q825="","",Q825/MAX(Q$5:Q825)-1)</x:f>
        <x:v>#NAME?</x:v>
      </x:c>
    </x:row>
    <x:row r="826">
      <x:c r="A826" s="149" t="str">
        <x:f>IF('实盘净值数据(iFinD公式)'!A826="","",'实盘净值数据(iFinD公式)'!A826)</x:f>
      </x:c>
      <x:c r="B826" s="146" t="e">
        <x:f>IF(OR('实盘净值数据(iFinD公式)'!$A826="",'实盘净值数据(iFinD公式)'!$B826=""),"",分期持仓明细!$AD$17*SUMPRODUCT(分期持仓明细!$B$17:$AA$17,'实盘净值数据(iFinD公式)'!$B826:$AA826/'实盘净值数据(iFinD公式)'!$B$20:$AA$20)*(1-实盘持仓初始配置!$Z$4)^(('实盘净值数据(iFinD公式)'!$A826-'实盘净值数据(iFinD公式)'!$A$6)/365))</x:f>
        <x:v>#NAME?</x:v>
      </x:c>
      <x:c r="C826" s="152" t="e">
        <x:f>IF(OR(B825="",B826=""),"",B826/B825-1)</x:f>
        <x:v>#NAME?</x:v>
      </x:c>
      <x:c r="D826" s="152" t="e">
        <x:f>IF(B826="","",B826/MAX(B$5:B826)-1)</x:f>
        <x:v>#NAME?</x:v>
      </x:c>
      <x:c r="E826" s="146" t="e">
        <x:f>IF(OR('实盘净值数据(iFinD公式)'!$A826="",'实盘净值数据(iFinD公式)'!$B826=""),"",分期持仓明细!$AD$18*SUMPRODUCT(分期持仓明细!$B$18:$AA$18,'实盘净值数据(iFinD公式)'!$B826:$AA826/'实盘净值数据(iFinD公式)'!$B$20:$AA$20)*(1-实盘持仓初始配置!$Z$5)^(('实盘净值数据(iFinD公式)'!$A826-'实盘净值数据(iFinD公式)'!$A$5)/365))</x:f>
        <x:v>#NAME?</x:v>
      </x:c>
      <x:c r="F826" s="152" t="e">
        <x:f>IF(OR(E825="",E826=""),"",E826/E825-1)</x:f>
        <x:v>#NAME?</x:v>
      </x:c>
      <x:c r="G826" s="152" t="e">
        <x:f>IF(E826="","",E826/MAX(E$5:E826)-1)</x:f>
        <x:v>#NAME?</x:v>
      </x:c>
      <x:c r="H826" s="146" t="e">
        <x:f>IF(OR('实盘净值数据(iFinD公式)'!$A826="",'实盘净值数据(iFinD公式)'!$B826=""),"",分期持仓明细!$AD$19*SUMPRODUCT(分期持仓明细!$B$19:$AA$19,'实盘净值数据(iFinD公式)'!$B826:$AA826/'实盘净值数据(iFinD公式)'!$B$20:$AA$20)*(1-实盘持仓初始配置!$Z$6)^(('实盘净值数据(iFinD公式)'!$A826-'实盘净值数据(iFinD公式)'!$A$7)/365))</x:f>
        <x:v>#NAME?</x:v>
      </x:c>
      <x:c r="I826" s="152" t="e">
        <x:f>IF(OR(H825="",H826=""),"",H826/H825-1)</x:f>
        <x:v>#NAME?</x:v>
      </x:c>
      <x:c r="J826" s="152" t="e">
        <x:f>IF(H826="","",H826/MAX(H$5:H826)-1)</x:f>
        <x:v>#NAME?</x:v>
      </x:c>
      <x:c r="K826" s="146" t="e">
        <x:f>IF(OR('实盘净值数据(iFinD公式)'!$A826="",'实盘净值数据(iFinD公式)'!$B826=""),"",分期持仓明细!$AD$23*SUMPRODUCT(分期持仓明细!$B$23:$AA$23,'实盘净值数据(iFinD公式)'!$B826:$AA826/'实盘净值数据(iFinD公式)'!$B$65:$AA$65)*(1-实盘持仓初始配置!$Z$7)^(('实盘净值数据(iFinD公式)'!$A826-'实盘净值数据(iFinD公式)'!$A$8)/365))</x:f>
        <x:v>#NAME?</x:v>
      </x:c>
      <x:c r="L826" s="152" t="e">
        <x:f>IF(OR(K825="",K826=""),"",K826/K825-1)</x:f>
        <x:v>#NAME?</x:v>
      </x:c>
      <x:c r="M826" s="152" t="e">
        <x:f>IF(K826="","",K826/MAX(K$5:K826)-1)</x:f>
        <x:v>#NAME?</x:v>
      </x:c>
      <x:c r="N826" s="146" t="e">
        <x:f>IF(OR('实盘净值数据(iFinD公式)'!$A826="",'实盘净值数据(iFinD公式)'!$B826=""),"",分期持仓明细!$AD$24*SUMPRODUCT(分期持仓明细!$B$24:$AA$24,'实盘净值数据(iFinD公式)'!$B826:$AA826/'实盘净值数据(iFinD公式)'!$B$65:$AA$65)*(1-实盘持仓初始配置!$Z$8)^(('实盘净值数据(iFinD公式)'!$A826-'实盘净值数据(iFinD公式)'!$A$5)/365))</x:f>
        <x:v>#NAME?</x:v>
      </x:c>
      <x:c r="O826" s="152" t="e">
        <x:f>IF(OR(N825="",N826=""),"",N826/N825-1)</x:f>
        <x:v>#NAME?</x:v>
      </x:c>
      <x:c r="P826" s="152" t="e">
        <x:f>IF(N826="","",N826/MAX(N$5:N826)-1)</x:f>
        <x:v>#NAME?</x:v>
      </x:c>
      <x:c r="Q826" s="146" t="e">
        <x:f>IF(OR('实盘净值数据(iFinD公式)'!$A826="",'实盘净值数据(iFinD公式)'!$B826=""),"",分期持仓明细!$AD$25*SUMPRODUCT(分期持仓明细!$B$25:$AA$25,'实盘净值数据(iFinD公式)'!$B826:$AA826/'实盘净值数据(iFinD公式)'!$B$65:$AA$65)*(1-实盘持仓初始配置!$Z$9)^(('实盘净值数据(iFinD公式)'!$A826-'实盘净值数据(iFinD公式)'!$A$8)/365))</x:f>
        <x:v>#NAME?</x:v>
      </x:c>
      <x:c r="R826" s="152" t="e">
        <x:f>IF(OR(Q825="",Q826=""),"",Q826/Q825-1)</x:f>
        <x:v>#NAME?</x:v>
      </x:c>
      <x:c r="S826" s="152" t="e">
        <x:f>IF(Q826="","",Q826/MAX(Q$5:Q826)-1)</x:f>
        <x:v>#NAME?</x:v>
      </x:c>
    </x:row>
    <x:row r="827">
      <x:c r="A827" s="149" t="str">
        <x:f>IF('实盘净值数据(iFinD公式)'!A827="","",'实盘净值数据(iFinD公式)'!A827)</x:f>
      </x:c>
      <x:c r="B827" s="146" t="e">
        <x:f>IF(OR('实盘净值数据(iFinD公式)'!$A827="",'实盘净值数据(iFinD公式)'!$B827=""),"",分期持仓明细!$AD$17*SUMPRODUCT(分期持仓明细!$B$17:$AA$17,'实盘净值数据(iFinD公式)'!$B827:$AA827/'实盘净值数据(iFinD公式)'!$B$20:$AA$20)*(1-实盘持仓初始配置!$Z$4)^(('实盘净值数据(iFinD公式)'!$A827-'实盘净值数据(iFinD公式)'!$A$6)/365))</x:f>
        <x:v>#NAME?</x:v>
      </x:c>
      <x:c r="C827" s="152" t="e">
        <x:f>IF(OR(B826="",B827=""),"",B827/B826-1)</x:f>
        <x:v>#NAME?</x:v>
      </x:c>
      <x:c r="D827" s="152" t="e">
        <x:f>IF(B827="","",B827/MAX(B$5:B827)-1)</x:f>
        <x:v>#NAME?</x:v>
      </x:c>
      <x:c r="E827" s="146" t="e">
        <x:f>IF(OR('实盘净值数据(iFinD公式)'!$A827="",'实盘净值数据(iFinD公式)'!$B827=""),"",分期持仓明细!$AD$18*SUMPRODUCT(分期持仓明细!$B$18:$AA$18,'实盘净值数据(iFinD公式)'!$B827:$AA827/'实盘净值数据(iFinD公式)'!$B$20:$AA$20)*(1-实盘持仓初始配置!$Z$5)^(('实盘净值数据(iFinD公式)'!$A827-'实盘净值数据(iFinD公式)'!$A$5)/365))</x:f>
        <x:v>#NAME?</x:v>
      </x:c>
      <x:c r="F827" s="152" t="e">
        <x:f>IF(OR(E826="",E827=""),"",E827/E826-1)</x:f>
        <x:v>#NAME?</x:v>
      </x:c>
      <x:c r="G827" s="152" t="e">
        <x:f>IF(E827="","",E827/MAX(E$5:E827)-1)</x:f>
        <x:v>#NAME?</x:v>
      </x:c>
      <x:c r="H827" s="146" t="e">
        <x:f>IF(OR('实盘净值数据(iFinD公式)'!$A827="",'实盘净值数据(iFinD公式)'!$B827=""),"",分期持仓明细!$AD$19*SUMPRODUCT(分期持仓明细!$B$19:$AA$19,'实盘净值数据(iFinD公式)'!$B827:$AA827/'实盘净值数据(iFinD公式)'!$B$20:$AA$20)*(1-实盘持仓初始配置!$Z$6)^(('实盘净值数据(iFinD公式)'!$A827-'实盘净值数据(iFinD公式)'!$A$7)/365))</x:f>
        <x:v>#NAME?</x:v>
      </x:c>
      <x:c r="I827" s="152" t="e">
        <x:f>IF(OR(H826="",H827=""),"",H827/H826-1)</x:f>
        <x:v>#NAME?</x:v>
      </x:c>
      <x:c r="J827" s="152" t="e">
        <x:f>IF(H827="","",H827/MAX(H$5:H827)-1)</x:f>
        <x:v>#NAME?</x:v>
      </x:c>
      <x:c r="K827" s="146" t="e">
        <x:f>IF(OR('实盘净值数据(iFinD公式)'!$A827="",'实盘净值数据(iFinD公式)'!$B827=""),"",分期持仓明细!$AD$23*SUMPRODUCT(分期持仓明细!$B$23:$AA$23,'实盘净值数据(iFinD公式)'!$B827:$AA827/'实盘净值数据(iFinD公式)'!$B$65:$AA$65)*(1-实盘持仓初始配置!$Z$7)^(('实盘净值数据(iFinD公式)'!$A827-'实盘净值数据(iFinD公式)'!$A$8)/365))</x:f>
        <x:v>#NAME?</x:v>
      </x:c>
      <x:c r="L827" s="152" t="e">
        <x:f>IF(OR(K826="",K827=""),"",K827/K826-1)</x:f>
        <x:v>#NAME?</x:v>
      </x:c>
      <x:c r="M827" s="152" t="e">
        <x:f>IF(K827="","",K827/MAX(K$5:K827)-1)</x:f>
        <x:v>#NAME?</x:v>
      </x:c>
      <x:c r="N827" s="146" t="e">
        <x:f>IF(OR('实盘净值数据(iFinD公式)'!$A827="",'实盘净值数据(iFinD公式)'!$B827=""),"",分期持仓明细!$AD$24*SUMPRODUCT(分期持仓明细!$B$24:$AA$24,'实盘净值数据(iFinD公式)'!$B827:$AA827/'实盘净值数据(iFinD公式)'!$B$65:$AA$65)*(1-实盘持仓初始配置!$Z$8)^(('实盘净值数据(iFinD公式)'!$A827-'实盘净值数据(iFinD公式)'!$A$5)/365))</x:f>
        <x:v>#NAME?</x:v>
      </x:c>
      <x:c r="O827" s="152" t="e">
        <x:f>IF(OR(N826="",N827=""),"",N827/N826-1)</x:f>
        <x:v>#NAME?</x:v>
      </x:c>
      <x:c r="P827" s="152" t="e">
        <x:f>IF(N827="","",N827/MAX(N$5:N827)-1)</x:f>
        <x:v>#NAME?</x:v>
      </x:c>
      <x:c r="Q827" s="146" t="e">
        <x:f>IF(OR('实盘净值数据(iFinD公式)'!$A827="",'实盘净值数据(iFinD公式)'!$B827=""),"",分期持仓明细!$AD$25*SUMPRODUCT(分期持仓明细!$B$25:$AA$25,'实盘净值数据(iFinD公式)'!$B827:$AA827/'实盘净值数据(iFinD公式)'!$B$65:$AA$65)*(1-实盘持仓初始配置!$Z$9)^(('实盘净值数据(iFinD公式)'!$A827-'实盘净值数据(iFinD公式)'!$A$8)/365))</x:f>
        <x:v>#NAME?</x:v>
      </x:c>
      <x:c r="R827" s="152" t="e">
        <x:f>IF(OR(Q826="",Q827=""),"",Q827/Q826-1)</x:f>
        <x:v>#NAME?</x:v>
      </x:c>
      <x:c r="S827" s="152" t="e">
        <x:f>IF(Q827="","",Q827/MAX(Q$5:Q827)-1)</x:f>
        <x:v>#NAME?</x:v>
      </x:c>
    </x:row>
    <x:row r="828">
      <x:c r="A828" s="149" t="str">
        <x:f>IF('实盘净值数据(iFinD公式)'!A828="","",'实盘净值数据(iFinD公式)'!A828)</x:f>
      </x:c>
      <x:c r="B828" s="146" t="e">
        <x:f>IF(OR('实盘净值数据(iFinD公式)'!$A828="",'实盘净值数据(iFinD公式)'!$B828=""),"",分期持仓明细!$AD$17*SUMPRODUCT(分期持仓明细!$B$17:$AA$17,'实盘净值数据(iFinD公式)'!$B828:$AA828/'实盘净值数据(iFinD公式)'!$B$20:$AA$20)*(1-实盘持仓初始配置!$Z$4)^(('实盘净值数据(iFinD公式)'!$A828-'实盘净值数据(iFinD公式)'!$A$6)/365))</x:f>
        <x:v>#NAME?</x:v>
      </x:c>
      <x:c r="C828" s="152" t="e">
        <x:f>IF(OR(B827="",B828=""),"",B828/B827-1)</x:f>
        <x:v>#NAME?</x:v>
      </x:c>
      <x:c r="D828" s="152" t="e">
        <x:f>IF(B828="","",B828/MAX(B$5:B828)-1)</x:f>
        <x:v>#NAME?</x:v>
      </x:c>
      <x:c r="E828" s="146" t="e">
        <x:f>IF(OR('实盘净值数据(iFinD公式)'!$A828="",'实盘净值数据(iFinD公式)'!$B828=""),"",分期持仓明细!$AD$18*SUMPRODUCT(分期持仓明细!$B$18:$AA$18,'实盘净值数据(iFinD公式)'!$B828:$AA828/'实盘净值数据(iFinD公式)'!$B$20:$AA$20)*(1-实盘持仓初始配置!$Z$5)^(('实盘净值数据(iFinD公式)'!$A828-'实盘净值数据(iFinD公式)'!$A$5)/365))</x:f>
        <x:v>#NAME?</x:v>
      </x:c>
      <x:c r="F828" s="152" t="e">
        <x:f>IF(OR(E827="",E828=""),"",E828/E827-1)</x:f>
        <x:v>#NAME?</x:v>
      </x:c>
      <x:c r="G828" s="152" t="e">
        <x:f>IF(E828="","",E828/MAX(E$5:E828)-1)</x:f>
        <x:v>#NAME?</x:v>
      </x:c>
      <x:c r="H828" s="146" t="e">
        <x:f>IF(OR('实盘净值数据(iFinD公式)'!$A828="",'实盘净值数据(iFinD公式)'!$B828=""),"",分期持仓明细!$AD$19*SUMPRODUCT(分期持仓明细!$B$19:$AA$19,'实盘净值数据(iFinD公式)'!$B828:$AA828/'实盘净值数据(iFinD公式)'!$B$20:$AA$20)*(1-实盘持仓初始配置!$Z$6)^(('实盘净值数据(iFinD公式)'!$A828-'实盘净值数据(iFinD公式)'!$A$7)/365))</x:f>
        <x:v>#NAME?</x:v>
      </x:c>
      <x:c r="I828" s="152" t="e">
        <x:f>IF(OR(H827="",H828=""),"",H828/H827-1)</x:f>
        <x:v>#NAME?</x:v>
      </x:c>
      <x:c r="J828" s="152" t="e">
        <x:f>IF(H828="","",H828/MAX(H$5:H828)-1)</x:f>
        <x:v>#NAME?</x:v>
      </x:c>
      <x:c r="K828" s="146" t="e">
        <x:f>IF(OR('实盘净值数据(iFinD公式)'!$A828="",'实盘净值数据(iFinD公式)'!$B828=""),"",分期持仓明细!$AD$23*SUMPRODUCT(分期持仓明细!$B$23:$AA$23,'实盘净值数据(iFinD公式)'!$B828:$AA828/'实盘净值数据(iFinD公式)'!$B$65:$AA$65)*(1-实盘持仓初始配置!$Z$7)^(('实盘净值数据(iFinD公式)'!$A828-'实盘净值数据(iFinD公式)'!$A$8)/365))</x:f>
        <x:v>#NAME?</x:v>
      </x:c>
      <x:c r="L828" s="152" t="e">
        <x:f>IF(OR(K827="",K828=""),"",K828/K827-1)</x:f>
        <x:v>#NAME?</x:v>
      </x:c>
      <x:c r="M828" s="152" t="e">
        <x:f>IF(K828="","",K828/MAX(K$5:K828)-1)</x:f>
        <x:v>#NAME?</x:v>
      </x:c>
      <x:c r="N828" s="146" t="e">
        <x:f>IF(OR('实盘净值数据(iFinD公式)'!$A828="",'实盘净值数据(iFinD公式)'!$B828=""),"",分期持仓明细!$AD$24*SUMPRODUCT(分期持仓明细!$B$24:$AA$24,'实盘净值数据(iFinD公式)'!$B828:$AA828/'实盘净值数据(iFinD公式)'!$B$65:$AA$65)*(1-实盘持仓初始配置!$Z$8)^(('实盘净值数据(iFinD公式)'!$A828-'实盘净值数据(iFinD公式)'!$A$5)/365))</x:f>
        <x:v>#NAME?</x:v>
      </x:c>
      <x:c r="O828" s="152" t="e">
        <x:f>IF(OR(N827="",N828=""),"",N828/N827-1)</x:f>
        <x:v>#NAME?</x:v>
      </x:c>
      <x:c r="P828" s="152" t="e">
        <x:f>IF(N828="","",N828/MAX(N$5:N828)-1)</x:f>
        <x:v>#NAME?</x:v>
      </x:c>
      <x:c r="Q828" s="146" t="e">
        <x:f>IF(OR('实盘净值数据(iFinD公式)'!$A828="",'实盘净值数据(iFinD公式)'!$B828=""),"",分期持仓明细!$AD$25*SUMPRODUCT(分期持仓明细!$B$25:$AA$25,'实盘净值数据(iFinD公式)'!$B828:$AA828/'实盘净值数据(iFinD公式)'!$B$65:$AA$65)*(1-实盘持仓初始配置!$Z$9)^(('实盘净值数据(iFinD公式)'!$A828-'实盘净值数据(iFinD公式)'!$A$8)/365))</x:f>
        <x:v>#NAME?</x:v>
      </x:c>
      <x:c r="R828" s="152" t="e">
        <x:f>IF(OR(Q827="",Q828=""),"",Q828/Q827-1)</x:f>
        <x:v>#NAME?</x:v>
      </x:c>
      <x:c r="S828" s="152" t="e">
        <x:f>IF(Q828="","",Q828/MAX(Q$5:Q828)-1)</x:f>
        <x:v>#NAME?</x:v>
      </x:c>
    </x:row>
    <x:row r="829">
      <x:c r="A829" s="149" t="str">
        <x:f>IF('实盘净值数据(iFinD公式)'!A829="","",'实盘净值数据(iFinD公式)'!A829)</x:f>
      </x:c>
      <x:c r="B829" s="146" t="e">
        <x:f>IF(OR('实盘净值数据(iFinD公式)'!$A829="",'实盘净值数据(iFinD公式)'!$B829=""),"",分期持仓明细!$AD$17*SUMPRODUCT(分期持仓明细!$B$17:$AA$17,'实盘净值数据(iFinD公式)'!$B829:$AA829/'实盘净值数据(iFinD公式)'!$B$20:$AA$20)*(1-实盘持仓初始配置!$Z$4)^(('实盘净值数据(iFinD公式)'!$A829-'实盘净值数据(iFinD公式)'!$A$6)/365))</x:f>
        <x:v>#NAME?</x:v>
      </x:c>
      <x:c r="C829" s="152" t="e">
        <x:f>IF(OR(B828="",B829=""),"",B829/B828-1)</x:f>
        <x:v>#NAME?</x:v>
      </x:c>
      <x:c r="D829" s="152" t="e">
        <x:f>IF(B829="","",B829/MAX(B$5:B829)-1)</x:f>
        <x:v>#NAME?</x:v>
      </x:c>
      <x:c r="E829" s="146" t="e">
        <x:f>IF(OR('实盘净值数据(iFinD公式)'!$A829="",'实盘净值数据(iFinD公式)'!$B829=""),"",分期持仓明细!$AD$18*SUMPRODUCT(分期持仓明细!$B$18:$AA$18,'实盘净值数据(iFinD公式)'!$B829:$AA829/'实盘净值数据(iFinD公式)'!$B$20:$AA$20)*(1-实盘持仓初始配置!$Z$5)^(('实盘净值数据(iFinD公式)'!$A829-'实盘净值数据(iFinD公式)'!$A$5)/365))</x:f>
        <x:v>#NAME?</x:v>
      </x:c>
      <x:c r="F829" s="152" t="e">
        <x:f>IF(OR(E828="",E829=""),"",E829/E828-1)</x:f>
        <x:v>#NAME?</x:v>
      </x:c>
      <x:c r="G829" s="152" t="e">
        <x:f>IF(E829="","",E829/MAX(E$5:E829)-1)</x:f>
        <x:v>#NAME?</x:v>
      </x:c>
      <x:c r="H829" s="146" t="e">
        <x:f>IF(OR('实盘净值数据(iFinD公式)'!$A829="",'实盘净值数据(iFinD公式)'!$B829=""),"",分期持仓明细!$AD$19*SUMPRODUCT(分期持仓明细!$B$19:$AA$19,'实盘净值数据(iFinD公式)'!$B829:$AA829/'实盘净值数据(iFinD公式)'!$B$20:$AA$20)*(1-实盘持仓初始配置!$Z$6)^(('实盘净值数据(iFinD公式)'!$A829-'实盘净值数据(iFinD公式)'!$A$7)/365))</x:f>
        <x:v>#NAME?</x:v>
      </x:c>
      <x:c r="I829" s="152" t="e">
        <x:f>IF(OR(H828="",H829=""),"",H829/H828-1)</x:f>
        <x:v>#NAME?</x:v>
      </x:c>
      <x:c r="J829" s="152" t="e">
        <x:f>IF(H829="","",H829/MAX(H$5:H829)-1)</x:f>
        <x:v>#NAME?</x:v>
      </x:c>
      <x:c r="K829" s="146" t="e">
        <x:f>IF(OR('实盘净值数据(iFinD公式)'!$A829="",'实盘净值数据(iFinD公式)'!$B829=""),"",分期持仓明细!$AD$23*SUMPRODUCT(分期持仓明细!$B$23:$AA$23,'实盘净值数据(iFinD公式)'!$B829:$AA829/'实盘净值数据(iFinD公式)'!$B$65:$AA$65)*(1-实盘持仓初始配置!$Z$7)^(('实盘净值数据(iFinD公式)'!$A829-'实盘净值数据(iFinD公式)'!$A$8)/365))</x:f>
        <x:v>#NAME?</x:v>
      </x:c>
      <x:c r="L829" s="152" t="e">
        <x:f>IF(OR(K828="",K829=""),"",K829/K828-1)</x:f>
        <x:v>#NAME?</x:v>
      </x:c>
      <x:c r="M829" s="152" t="e">
        <x:f>IF(K829="","",K829/MAX(K$5:K829)-1)</x:f>
        <x:v>#NAME?</x:v>
      </x:c>
      <x:c r="N829" s="146" t="e">
        <x:f>IF(OR('实盘净值数据(iFinD公式)'!$A829="",'实盘净值数据(iFinD公式)'!$B829=""),"",分期持仓明细!$AD$24*SUMPRODUCT(分期持仓明细!$B$24:$AA$24,'实盘净值数据(iFinD公式)'!$B829:$AA829/'实盘净值数据(iFinD公式)'!$B$65:$AA$65)*(1-实盘持仓初始配置!$Z$8)^(('实盘净值数据(iFinD公式)'!$A829-'实盘净值数据(iFinD公式)'!$A$5)/365))</x:f>
        <x:v>#NAME?</x:v>
      </x:c>
      <x:c r="O829" s="152" t="e">
        <x:f>IF(OR(N828="",N829=""),"",N829/N828-1)</x:f>
        <x:v>#NAME?</x:v>
      </x:c>
      <x:c r="P829" s="152" t="e">
        <x:f>IF(N829="","",N829/MAX(N$5:N829)-1)</x:f>
        <x:v>#NAME?</x:v>
      </x:c>
      <x:c r="Q829" s="146" t="e">
        <x:f>IF(OR('实盘净值数据(iFinD公式)'!$A829="",'实盘净值数据(iFinD公式)'!$B829=""),"",分期持仓明细!$AD$25*SUMPRODUCT(分期持仓明细!$B$25:$AA$25,'实盘净值数据(iFinD公式)'!$B829:$AA829/'实盘净值数据(iFinD公式)'!$B$65:$AA$65)*(1-实盘持仓初始配置!$Z$9)^(('实盘净值数据(iFinD公式)'!$A829-'实盘净值数据(iFinD公式)'!$A$8)/365))</x:f>
        <x:v>#NAME?</x:v>
      </x:c>
      <x:c r="R829" s="152" t="e">
        <x:f>IF(OR(Q828="",Q829=""),"",Q829/Q828-1)</x:f>
        <x:v>#NAME?</x:v>
      </x:c>
      <x:c r="S829" s="152" t="e">
        <x:f>IF(Q829="","",Q829/MAX(Q$5:Q829)-1)</x:f>
        <x:v>#NAME?</x:v>
      </x:c>
    </x:row>
    <x:row r="830">
      <x:c r="A830" s="149" t="str">
        <x:f>IF('实盘净值数据(iFinD公式)'!A830="","",'实盘净值数据(iFinD公式)'!A830)</x:f>
      </x:c>
      <x:c r="B830" s="146" t="e">
        <x:f>IF(OR('实盘净值数据(iFinD公式)'!$A830="",'实盘净值数据(iFinD公式)'!$B830=""),"",分期持仓明细!$AD$17*SUMPRODUCT(分期持仓明细!$B$17:$AA$17,'实盘净值数据(iFinD公式)'!$B830:$AA830/'实盘净值数据(iFinD公式)'!$B$20:$AA$20)*(1-实盘持仓初始配置!$Z$4)^(('实盘净值数据(iFinD公式)'!$A830-'实盘净值数据(iFinD公式)'!$A$6)/365))</x:f>
        <x:v>#NAME?</x:v>
      </x:c>
      <x:c r="C830" s="152" t="e">
        <x:f>IF(OR(B829="",B830=""),"",B830/B829-1)</x:f>
        <x:v>#NAME?</x:v>
      </x:c>
      <x:c r="D830" s="152" t="e">
        <x:f>IF(B830="","",B830/MAX(B$5:B830)-1)</x:f>
        <x:v>#NAME?</x:v>
      </x:c>
      <x:c r="E830" s="146" t="e">
        <x:f>IF(OR('实盘净值数据(iFinD公式)'!$A830="",'实盘净值数据(iFinD公式)'!$B830=""),"",分期持仓明细!$AD$18*SUMPRODUCT(分期持仓明细!$B$18:$AA$18,'实盘净值数据(iFinD公式)'!$B830:$AA830/'实盘净值数据(iFinD公式)'!$B$20:$AA$20)*(1-实盘持仓初始配置!$Z$5)^(('实盘净值数据(iFinD公式)'!$A830-'实盘净值数据(iFinD公式)'!$A$5)/365))</x:f>
        <x:v>#NAME?</x:v>
      </x:c>
      <x:c r="F830" s="152" t="e">
        <x:f>IF(OR(E829="",E830=""),"",E830/E829-1)</x:f>
        <x:v>#NAME?</x:v>
      </x:c>
      <x:c r="G830" s="152" t="e">
        <x:f>IF(E830="","",E830/MAX(E$5:E830)-1)</x:f>
        <x:v>#NAME?</x:v>
      </x:c>
      <x:c r="H830" s="146" t="e">
        <x:f>IF(OR('实盘净值数据(iFinD公式)'!$A830="",'实盘净值数据(iFinD公式)'!$B830=""),"",分期持仓明细!$AD$19*SUMPRODUCT(分期持仓明细!$B$19:$AA$19,'实盘净值数据(iFinD公式)'!$B830:$AA830/'实盘净值数据(iFinD公式)'!$B$20:$AA$20)*(1-实盘持仓初始配置!$Z$6)^(('实盘净值数据(iFinD公式)'!$A830-'实盘净值数据(iFinD公式)'!$A$7)/365))</x:f>
        <x:v>#NAME?</x:v>
      </x:c>
      <x:c r="I830" s="152" t="e">
        <x:f>IF(OR(H829="",H830=""),"",H830/H829-1)</x:f>
        <x:v>#NAME?</x:v>
      </x:c>
      <x:c r="J830" s="152" t="e">
        <x:f>IF(H830="","",H830/MAX(H$5:H830)-1)</x:f>
        <x:v>#NAME?</x:v>
      </x:c>
      <x:c r="K830" s="146" t="e">
        <x:f>IF(OR('实盘净值数据(iFinD公式)'!$A830="",'实盘净值数据(iFinD公式)'!$B830=""),"",分期持仓明细!$AD$23*SUMPRODUCT(分期持仓明细!$B$23:$AA$23,'实盘净值数据(iFinD公式)'!$B830:$AA830/'实盘净值数据(iFinD公式)'!$B$65:$AA$65)*(1-实盘持仓初始配置!$Z$7)^(('实盘净值数据(iFinD公式)'!$A830-'实盘净值数据(iFinD公式)'!$A$8)/365))</x:f>
        <x:v>#NAME?</x:v>
      </x:c>
      <x:c r="L830" s="152" t="e">
        <x:f>IF(OR(K829="",K830=""),"",K830/K829-1)</x:f>
        <x:v>#NAME?</x:v>
      </x:c>
      <x:c r="M830" s="152" t="e">
        <x:f>IF(K830="","",K830/MAX(K$5:K830)-1)</x:f>
        <x:v>#NAME?</x:v>
      </x:c>
      <x:c r="N830" s="146" t="e">
        <x:f>IF(OR('实盘净值数据(iFinD公式)'!$A830="",'实盘净值数据(iFinD公式)'!$B830=""),"",分期持仓明细!$AD$24*SUMPRODUCT(分期持仓明细!$B$24:$AA$24,'实盘净值数据(iFinD公式)'!$B830:$AA830/'实盘净值数据(iFinD公式)'!$B$65:$AA$65)*(1-实盘持仓初始配置!$Z$8)^(('实盘净值数据(iFinD公式)'!$A830-'实盘净值数据(iFinD公式)'!$A$5)/365))</x:f>
        <x:v>#NAME?</x:v>
      </x:c>
      <x:c r="O830" s="152" t="e">
        <x:f>IF(OR(N829="",N830=""),"",N830/N829-1)</x:f>
        <x:v>#NAME?</x:v>
      </x:c>
      <x:c r="P830" s="152" t="e">
        <x:f>IF(N830="","",N830/MAX(N$5:N830)-1)</x:f>
        <x:v>#NAME?</x:v>
      </x:c>
      <x:c r="Q830" s="146" t="e">
        <x:f>IF(OR('实盘净值数据(iFinD公式)'!$A830="",'实盘净值数据(iFinD公式)'!$B830=""),"",分期持仓明细!$AD$25*SUMPRODUCT(分期持仓明细!$B$25:$AA$25,'实盘净值数据(iFinD公式)'!$B830:$AA830/'实盘净值数据(iFinD公式)'!$B$65:$AA$65)*(1-实盘持仓初始配置!$Z$9)^(('实盘净值数据(iFinD公式)'!$A830-'实盘净值数据(iFinD公式)'!$A$8)/365))</x:f>
        <x:v>#NAME?</x:v>
      </x:c>
      <x:c r="R830" s="152" t="e">
        <x:f>IF(OR(Q829="",Q830=""),"",Q830/Q829-1)</x:f>
        <x:v>#NAME?</x:v>
      </x:c>
      <x:c r="S830" s="152" t="e">
        <x:f>IF(Q830="","",Q830/MAX(Q$5:Q830)-1)</x:f>
        <x:v>#NAME?</x:v>
      </x:c>
    </x:row>
    <x:row r="831">
      <x:c r="A831" s="149" t="str">
        <x:f>IF('实盘净值数据(iFinD公式)'!A831="","",'实盘净值数据(iFinD公式)'!A831)</x:f>
      </x:c>
      <x:c r="B831" s="146" t="e">
        <x:f>IF(OR('实盘净值数据(iFinD公式)'!$A831="",'实盘净值数据(iFinD公式)'!$B831=""),"",分期持仓明细!$AD$17*SUMPRODUCT(分期持仓明细!$B$17:$AA$17,'实盘净值数据(iFinD公式)'!$B831:$AA831/'实盘净值数据(iFinD公式)'!$B$20:$AA$20)*(1-实盘持仓初始配置!$Z$4)^(('实盘净值数据(iFinD公式)'!$A831-'实盘净值数据(iFinD公式)'!$A$6)/365))</x:f>
        <x:v>#NAME?</x:v>
      </x:c>
      <x:c r="C831" s="152" t="e">
        <x:f>IF(OR(B830="",B831=""),"",B831/B830-1)</x:f>
        <x:v>#NAME?</x:v>
      </x:c>
      <x:c r="D831" s="152" t="e">
        <x:f>IF(B831="","",B831/MAX(B$5:B831)-1)</x:f>
        <x:v>#NAME?</x:v>
      </x:c>
      <x:c r="E831" s="146" t="e">
        <x:f>IF(OR('实盘净值数据(iFinD公式)'!$A831="",'实盘净值数据(iFinD公式)'!$B831=""),"",分期持仓明细!$AD$18*SUMPRODUCT(分期持仓明细!$B$18:$AA$18,'实盘净值数据(iFinD公式)'!$B831:$AA831/'实盘净值数据(iFinD公式)'!$B$20:$AA$20)*(1-实盘持仓初始配置!$Z$5)^(('实盘净值数据(iFinD公式)'!$A831-'实盘净值数据(iFinD公式)'!$A$5)/365))</x:f>
        <x:v>#NAME?</x:v>
      </x:c>
      <x:c r="F831" s="152" t="e">
        <x:f>IF(OR(E830="",E831=""),"",E831/E830-1)</x:f>
        <x:v>#NAME?</x:v>
      </x:c>
      <x:c r="G831" s="152" t="e">
        <x:f>IF(E831="","",E831/MAX(E$5:E831)-1)</x:f>
        <x:v>#NAME?</x:v>
      </x:c>
      <x:c r="H831" s="146" t="e">
        <x:f>IF(OR('实盘净值数据(iFinD公式)'!$A831="",'实盘净值数据(iFinD公式)'!$B831=""),"",分期持仓明细!$AD$19*SUMPRODUCT(分期持仓明细!$B$19:$AA$19,'实盘净值数据(iFinD公式)'!$B831:$AA831/'实盘净值数据(iFinD公式)'!$B$20:$AA$20)*(1-实盘持仓初始配置!$Z$6)^(('实盘净值数据(iFinD公式)'!$A831-'实盘净值数据(iFinD公式)'!$A$7)/365))</x:f>
        <x:v>#NAME?</x:v>
      </x:c>
      <x:c r="I831" s="152" t="e">
        <x:f>IF(OR(H830="",H831=""),"",H831/H830-1)</x:f>
        <x:v>#NAME?</x:v>
      </x:c>
      <x:c r="J831" s="152" t="e">
        <x:f>IF(H831="","",H831/MAX(H$5:H831)-1)</x:f>
        <x:v>#NAME?</x:v>
      </x:c>
      <x:c r="K831" s="146" t="e">
        <x:f>IF(OR('实盘净值数据(iFinD公式)'!$A831="",'实盘净值数据(iFinD公式)'!$B831=""),"",分期持仓明细!$AD$23*SUMPRODUCT(分期持仓明细!$B$23:$AA$23,'实盘净值数据(iFinD公式)'!$B831:$AA831/'实盘净值数据(iFinD公式)'!$B$65:$AA$65)*(1-实盘持仓初始配置!$Z$7)^(('实盘净值数据(iFinD公式)'!$A831-'实盘净值数据(iFinD公式)'!$A$8)/365))</x:f>
        <x:v>#NAME?</x:v>
      </x:c>
      <x:c r="L831" s="152" t="e">
        <x:f>IF(OR(K830="",K831=""),"",K831/K830-1)</x:f>
        <x:v>#NAME?</x:v>
      </x:c>
      <x:c r="M831" s="152" t="e">
        <x:f>IF(K831="","",K831/MAX(K$5:K831)-1)</x:f>
        <x:v>#NAME?</x:v>
      </x:c>
      <x:c r="N831" s="146" t="e">
        <x:f>IF(OR('实盘净值数据(iFinD公式)'!$A831="",'实盘净值数据(iFinD公式)'!$B831=""),"",分期持仓明细!$AD$24*SUMPRODUCT(分期持仓明细!$B$24:$AA$24,'实盘净值数据(iFinD公式)'!$B831:$AA831/'实盘净值数据(iFinD公式)'!$B$65:$AA$65)*(1-实盘持仓初始配置!$Z$8)^(('实盘净值数据(iFinD公式)'!$A831-'实盘净值数据(iFinD公式)'!$A$5)/365))</x:f>
        <x:v>#NAME?</x:v>
      </x:c>
      <x:c r="O831" s="152" t="e">
        <x:f>IF(OR(N830="",N831=""),"",N831/N830-1)</x:f>
        <x:v>#NAME?</x:v>
      </x:c>
      <x:c r="P831" s="152" t="e">
        <x:f>IF(N831="","",N831/MAX(N$5:N831)-1)</x:f>
        <x:v>#NAME?</x:v>
      </x:c>
      <x:c r="Q831" s="146" t="e">
        <x:f>IF(OR('实盘净值数据(iFinD公式)'!$A831="",'实盘净值数据(iFinD公式)'!$B831=""),"",分期持仓明细!$AD$25*SUMPRODUCT(分期持仓明细!$B$25:$AA$25,'实盘净值数据(iFinD公式)'!$B831:$AA831/'实盘净值数据(iFinD公式)'!$B$65:$AA$65)*(1-实盘持仓初始配置!$Z$9)^(('实盘净值数据(iFinD公式)'!$A831-'实盘净值数据(iFinD公式)'!$A$8)/365))</x:f>
        <x:v>#NAME?</x:v>
      </x:c>
      <x:c r="R831" s="152" t="e">
        <x:f>IF(OR(Q830="",Q831=""),"",Q831/Q830-1)</x:f>
        <x:v>#NAME?</x:v>
      </x:c>
      <x:c r="S831" s="152" t="e">
        <x:f>IF(Q831="","",Q831/MAX(Q$5:Q831)-1)</x:f>
        <x:v>#NAME?</x:v>
      </x:c>
    </x:row>
    <x:row r="832">
      <x:c r="A832" s="149" t="str">
        <x:f>IF('实盘净值数据(iFinD公式)'!A832="","",'实盘净值数据(iFinD公式)'!A832)</x:f>
      </x:c>
      <x:c r="B832" s="146" t="e">
        <x:f>IF(OR('实盘净值数据(iFinD公式)'!$A832="",'实盘净值数据(iFinD公式)'!$B832=""),"",分期持仓明细!$AD$17*SUMPRODUCT(分期持仓明细!$B$17:$AA$17,'实盘净值数据(iFinD公式)'!$B832:$AA832/'实盘净值数据(iFinD公式)'!$B$20:$AA$20)*(1-实盘持仓初始配置!$Z$4)^(('实盘净值数据(iFinD公式)'!$A832-'实盘净值数据(iFinD公式)'!$A$6)/365))</x:f>
        <x:v>#NAME?</x:v>
      </x:c>
      <x:c r="C832" s="152" t="e">
        <x:f>IF(OR(B831="",B832=""),"",B832/B831-1)</x:f>
        <x:v>#NAME?</x:v>
      </x:c>
      <x:c r="D832" s="152" t="e">
        <x:f>IF(B832="","",B832/MAX(B$5:B832)-1)</x:f>
        <x:v>#NAME?</x:v>
      </x:c>
      <x:c r="E832" s="146" t="e">
        <x:f>IF(OR('实盘净值数据(iFinD公式)'!$A832="",'实盘净值数据(iFinD公式)'!$B832=""),"",分期持仓明细!$AD$18*SUMPRODUCT(分期持仓明细!$B$18:$AA$18,'实盘净值数据(iFinD公式)'!$B832:$AA832/'实盘净值数据(iFinD公式)'!$B$20:$AA$20)*(1-实盘持仓初始配置!$Z$5)^(('实盘净值数据(iFinD公式)'!$A832-'实盘净值数据(iFinD公式)'!$A$5)/365))</x:f>
        <x:v>#NAME?</x:v>
      </x:c>
      <x:c r="F832" s="152" t="e">
        <x:f>IF(OR(E831="",E832=""),"",E832/E831-1)</x:f>
        <x:v>#NAME?</x:v>
      </x:c>
      <x:c r="G832" s="152" t="e">
        <x:f>IF(E832="","",E832/MAX(E$5:E832)-1)</x:f>
        <x:v>#NAME?</x:v>
      </x:c>
      <x:c r="H832" s="146" t="e">
        <x:f>IF(OR('实盘净值数据(iFinD公式)'!$A832="",'实盘净值数据(iFinD公式)'!$B832=""),"",分期持仓明细!$AD$19*SUMPRODUCT(分期持仓明细!$B$19:$AA$19,'实盘净值数据(iFinD公式)'!$B832:$AA832/'实盘净值数据(iFinD公式)'!$B$20:$AA$20)*(1-实盘持仓初始配置!$Z$6)^(('实盘净值数据(iFinD公式)'!$A832-'实盘净值数据(iFinD公式)'!$A$7)/365))</x:f>
        <x:v>#NAME?</x:v>
      </x:c>
      <x:c r="I832" s="152" t="e">
        <x:f>IF(OR(H831="",H832=""),"",H832/H831-1)</x:f>
        <x:v>#NAME?</x:v>
      </x:c>
      <x:c r="J832" s="152" t="e">
        <x:f>IF(H832="","",H832/MAX(H$5:H832)-1)</x:f>
        <x:v>#NAME?</x:v>
      </x:c>
      <x:c r="K832" s="146" t="e">
        <x:f>IF(OR('实盘净值数据(iFinD公式)'!$A832="",'实盘净值数据(iFinD公式)'!$B832=""),"",分期持仓明细!$AD$23*SUMPRODUCT(分期持仓明细!$B$23:$AA$23,'实盘净值数据(iFinD公式)'!$B832:$AA832/'实盘净值数据(iFinD公式)'!$B$65:$AA$65)*(1-实盘持仓初始配置!$Z$7)^(('实盘净值数据(iFinD公式)'!$A832-'实盘净值数据(iFinD公式)'!$A$8)/365))</x:f>
        <x:v>#NAME?</x:v>
      </x:c>
      <x:c r="L832" s="152" t="e">
        <x:f>IF(OR(K831="",K832=""),"",K832/K831-1)</x:f>
        <x:v>#NAME?</x:v>
      </x:c>
      <x:c r="M832" s="152" t="e">
        <x:f>IF(K832="","",K832/MAX(K$5:K832)-1)</x:f>
        <x:v>#NAME?</x:v>
      </x:c>
      <x:c r="N832" s="146" t="e">
        <x:f>IF(OR('实盘净值数据(iFinD公式)'!$A832="",'实盘净值数据(iFinD公式)'!$B832=""),"",分期持仓明细!$AD$24*SUMPRODUCT(分期持仓明细!$B$24:$AA$24,'实盘净值数据(iFinD公式)'!$B832:$AA832/'实盘净值数据(iFinD公式)'!$B$65:$AA$65)*(1-实盘持仓初始配置!$Z$8)^(('实盘净值数据(iFinD公式)'!$A832-'实盘净值数据(iFinD公式)'!$A$5)/365))</x:f>
        <x:v>#NAME?</x:v>
      </x:c>
      <x:c r="O832" s="152" t="e">
        <x:f>IF(OR(N831="",N832=""),"",N832/N831-1)</x:f>
        <x:v>#NAME?</x:v>
      </x:c>
      <x:c r="P832" s="152" t="e">
        <x:f>IF(N832="","",N832/MAX(N$5:N832)-1)</x:f>
        <x:v>#NAME?</x:v>
      </x:c>
      <x:c r="Q832" s="146" t="e">
        <x:f>IF(OR('实盘净值数据(iFinD公式)'!$A832="",'实盘净值数据(iFinD公式)'!$B832=""),"",分期持仓明细!$AD$25*SUMPRODUCT(分期持仓明细!$B$25:$AA$25,'实盘净值数据(iFinD公式)'!$B832:$AA832/'实盘净值数据(iFinD公式)'!$B$65:$AA$65)*(1-实盘持仓初始配置!$Z$9)^(('实盘净值数据(iFinD公式)'!$A832-'实盘净值数据(iFinD公式)'!$A$8)/365))</x:f>
        <x:v>#NAME?</x:v>
      </x:c>
      <x:c r="R832" s="152" t="e">
        <x:f>IF(OR(Q831="",Q832=""),"",Q832/Q831-1)</x:f>
        <x:v>#NAME?</x:v>
      </x:c>
      <x:c r="S832" s="152" t="e">
        <x:f>IF(Q832="","",Q832/MAX(Q$5:Q832)-1)</x:f>
        <x:v>#NAME?</x:v>
      </x:c>
    </x:row>
    <x:row r="833">
      <x:c r="A833" s="149" t="str">
        <x:f>IF('实盘净值数据(iFinD公式)'!A833="","",'实盘净值数据(iFinD公式)'!A833)</x:f>
      </x:c>
      <x:c r="B833" s="146" t="e">
        <x:f>IF(OR('实盘净值数据(iFinD公式)'!$A833="",'实盘净值数据(iFinD公式)'!$B833=""),"",分期持仓明细!$AD$17*SUMPRODUCT(分期持仓明细!$B$17:$AA$17,'实盘净值数据(iFinD公式)'!$B833:$AA833/'实盘净值数据(iFinD公式)'!$B$20:$AA$20)*(1-实盘持仓初始配置!$Z$4)^(('实盘净值数据(iFinD公式)'!$A833-'实盘净值数据(iFinD公式)'!$A$6)/365))</x:f>
        <x:v>#NAME?</x:v>
      </x:c>
      <x:c r="C833" s="152" t="e">
        <x:f>IF(OR(B832="",B833=""),"",B833/B832-1)</x:f>
        <x:v>#NAME?</x:v>
      </x:c>
      <x:c r="D833" s="152" t="e">
        <x:f>IF(B833="","",B833/MAX(B$5:B833)-1)</x:f>
        <x:v>#NAME?</x:v>
      </x:c>
      <x:c r="E833" s="146" t="e">
        <x:f>IF(OR('实盘净值数据(iFinD公式)'!$A833="",'实盘净值数据(iFinD公式)'!$B833=""),"",分期持仓明细!$AD$18*SUMPRODUCT(分期持仓明细!$B$18:$AA$18,'实盘净值数据(iFinD公式)'!$B833:$AA833/'实盘净值数据(iFinD公式)'!$B$20:$AA$20)*(1-实盘持仓初始配置!$Z$5)^(('实盘净值数据(iFinD公式)'!$A833-'实盘净值数据(iFinD公式)'!$A$5)/365))</x:f>
        <x:v>#NAME?</x:v>
      </x:c>
      <x:c r="F833" s="152" t="e">
        <x:f>IF(OR(E832="",E833=""),"",E833/E832-1)</x:f>
        <x:v>#NAME?</x:v>
      </x:c>
      <x:c r="G833" s="152" t="e">
        <x:f>IF(E833="","",E833/MAX(E$5:E833)-1)</x:f>
        <x:v>#NAME?</x:v>
      </x:c>
      <x:c r="H833" s="146" t="e">
        <x:f>IF(OR('实盘净值数据(iFinD公式)'!$A833="",'实盘净值数据(iFinD公式)'!$B833=""),"",分期持仓明细!$AD$19*SUMPRODUCT(分期持仓明细!$B$19:$AA$19,'实盘净值数据(iFinD公式)'!$B833:$AA833/'实盘净值数据(iFinD公式)'!$B$20:$AA$20)*(1-实盘持仓初始配置!$Z$6)^(('实盘净值数据(iFinD公式)'!$A833-'实盘净值数据(iFinD公式)'!$A$7)/365))</x:f>
        <x:v>#NAME?</x:v>
      </x:c>
      <x:c r="I833" s="152" t="e">
        <x:f>IF(OR(H832="",H833=""),"",H833/H832-1)</x:f>
        <x:v>#NAME?</x:v>
      </x:c>
      <x:c r="J833" s="152" t="e">
        <x:f>IF(H833="","",H833/MAX(H$5:H833)-1)</x:f>
        <x:v>#NAME?</x:v>
      </x:c>
      <x:c r="K833" s="146" t="e">
        <x:f>IF(OR('实盘净值数据(iFinD公式)'!$A833="",'实盘净值数据(iFinD公式)'!$B833=""),"",分期持仓明细!$AD$23*SUMPRODUCT(分期持仓明细!$B$23:$AA$23,'实盘净值数据(iFinD公式)'!$B833:$AA833/'实盘净值数据(iFinD公式)'!$B$65:$AA$65)*(1-实盘持仓初始配置!$Z$7)^(('实盘净值数据(iFinD公式)'!$A833-'实盘净值数据(iFinD公式)'!$A$8)/365))</x:f>
        <x:v>#NAME?</x:v>
      </x:c>
      <x:c r="L833" s="152" t="e">
        <x:f>IF(OR(K832="",K833=""),"",K833/K832-1)</x:f>
        <x:v>#NAME?</x:v>
      </x:c>
      <x:c r="M833" s="152" t="e">
        <x:f>IF(K833="","",K833/MAX(K$5:K833)-1)</x:f>
        <x:v>#NAME?</x:v>
      </x:c>
      <x:c r="N833" s="146" t="e">
        <x:f>IF(OR('实盘净值数据(iFinD公式)'!$A833="",'实盘净值数据(iFinD公式)'!$B833=""),"",分期持仓明细!$AD$24*SUMPRODUCT(分期持仓明细!$B$24:$AA$24,'实盘净值数据(iFinD公式)'!$B833:$AA833/'实盘净值数据(iFinD公式)'!$B$65:$AA$65)*(1-实盘持仓初始配置!$Z$8)^(('实盘净值数据(iFinD公式)'!$A833-'实盘净值数据(iFinD公式)'!$A$5)/365))</x:f>
        <x:v>#NAME?</x:v>
      </x:c>
      <x:c r="O833" s="152" t="e">
        <x:f>IF(OR(N832="",N833=""),"",N833/N832-1)</x:f>
        <x:v>#NAME?</x:v>
      </x:c>
      <x:c r="P833" s="152" t="e">
        <x:f>IF(N833="","",N833/MAX(N$5:N833)-1)</x:f>
        <x:v>#NAME?</x:v>
      </x:c>
      <x:c r="Q833" s="146" t="e">
        <x:f>IF(OR('实盘净值数据(iFinD公式)'!$A833="",'实盘净值数据(iFinD公式)'!$B833=""),"",分期持仓明细!$AD$25*SUMPRODUCT(分期持仓明细!$B$25:$AA$25,'实盘净值数据(iFinD公式)'!$B833:$AA833/'实盘净值数据(iFinD公式)'!$B$65:$AA$65)*(1-实盘持仓初始配置!$Z$9)^(('实盘净值数据(iFinD公式)'!$A833-'实盘净值数据(iFinD公式)'!$A$8)/365))</x:f>
        <x:v>#NAME?</x:v>
      </x:c>
      <x:c r="R833" s="152" t="e">
        <x:f>IF(OR(Q832="",Q833=""),"",Q833/Q832-1)</x:f>
        <x:v>#NAME?</x:v>
      </x:c>
      <x:c r="S833" s="152" t="e">
        <x:f>IF(Q833="","",Q833/MAX(Q$5:Q833)-1)</x:f>
        <x:v>#NAME?</x:v>
      </x:c>
    </x:row>
    <x:row r="834">
      <x:c r="A834" s="149" t="str">
        <x:f>IF('实盘净值数据(iFinD公式)'!A834="","",'实盘净值数据(iFinD公式)'!A834)</x:f>
      </x:c>
      <x:c r="B834" s="146" t="e">
        <x:f>IF(OR('实盘净值数据(iFinD公式)'!$A834="",'实盘净值数据(iFinD公式)'!$B834=""),"",分期持仓明细!$AD$17*SUMPRODUCT(分期持仓明细!$B$17:$AA$17,'实盘净值数据(iFinD公式)'!$B834:$AA834/'实盘净值数据(iFinD公式)'!$B$20:$AA$20)*(1-实盘持仓初始配置!$Z$4)^(('实盘净值数据(iFinD公式)'!$A834-'实盘净值数据(iFinD公式)'!$A$6)/365))</x:f>
        <x:v>#NAME?</x:v>
      </x:c>
      <x:c r="C834" s="152" t="e">
        <x:f>IF(OR(B833="",B834=""),"",B834/B833-1)</x:f>
        <x:v>#NAME?</x:v>
      </x:c>
      <x:c r="D834" s="152" t="e">
        <x:f>IF(B834="","",B834/MAX(B$5:B834)-1)</x:f>
        <x:v>#NAME?</x:v>
      </x:c>
      <x:c r="E834" s="146" t="e">
        <x:f>IF(OR('实盘净值数据(iFinD公式)'!$A834="",'实盘净值数据(iFinD公式)'!$B834=""),"",分期持仓明细!$AD$18*SUMPRODUCT(分期持仓明细!$B$18:$AA$18,'实盘净值数据(iFinD公式)'!$B834:$AA834/'实盘净值数据(iFinD公式)'!$B$20:$AA$20)*(1-实盘持仓初始配置!$Z$5)^(('实盘净值数据(iFinD公式)'!$A834-'实盘净值数据(iFinD公式)'!$A$5)/365))</x:f>
        <x:v>#NAME?</x:v>
      </x:c>
      <x:c r="F834" s="152" t="e">
        <x:f>IF(OR(E833="",E834=""),"",E834/E833-1)</x:f>
        <x:v>#NAME?</x:v>
      </x:c>
      <x:c r="G834" s="152" t="e">
        <x:f>IF(E834="","",E834/MAX(E$5:E834)-1)</x:f>
        <x:v>#NAME?</x:v>
      </x:c>
      <x:c r="H834" s="146" t="e">
        <x:f>IF(OR('实盘净值数据(iFinD公式)'!$A834="",'实盘净值数据(iFinD公式)'!$B834=""),"",分期持仓明细!$AD$19*SUMPRODUCT(分期持仓明细!$B$19:$AA$19,'实盘净值数据(iFinD公式)'!$B834:$AA834/'实盘净值数据(iFinD公式)'!$B$20:$AA$20)*(1-实盘持仓初始配置!$Z$6)^(('实盘净值数据(iFinD公式)'!$A834-'实盘净值数据(iFinD公式)'!$A$7)/365))</x:f>
        <x:v>#NAME?</x:v>
      </x:c>
      <x:c r="I834" s="152" t="e">
        <x:f>IF(OR(H833="",H834=""),"",H834/H833-1)</x:f>
        <x:v>#NAME?</x:v>
      </x:c>
      <x:c r="J834" s="152" t="e">
        <x:f>IF(H834="","",H834/MAX(H$5:H834)-1)</x:f>
        <x:v>#NAME?</x:v>
      </x:c>
      <x:c r="K834" s="146" t="e">
        <x:f>IF(OR('实盘净值数据(iFinD公式)'!$A834="",'实盘净值数据(iFinD公式)'!$B834=""),"",分期持仓明细!$AD$23*SUMPRODUCT(分期持仓明细!$B$23:$AA$23,'实盘净值数据(iFinD公式)'!$B834:$AA834/'实盘净值数据(iFinD公式)'!$B$65:$AA$65)*(1-实盘持仓初始配置!$Z$7)^(('实盘净值数据(iFinD公式)'!$A834-'实盘净值数据(iFinD公式)'!$A$8)/365))</x:f>
        <x:v>#NAME?</x:v>
      </x:c>
      <x:c r="L834" s="152" t="e">
        <x:f>IF(OR(K833="",K834=""),"",K834/K833-1)</x:f>
        <x:v>#NAME?</x:v>
      </x:c>
      <x:c r="M834" s="152" t="e">
        <x:f>IF(K834="","",K834/MAX(K$5:K834)-1)</x:f>
        <x:v>#NAME?</x:v>
      </x:c>
      <x:c r="N834" s="146" t="e">
        <x:f>IF(OR('实盘净值数据(iFinD公式)'!$A834="",'实盘净值数据(iFinD公式)'!$B834=""),"",分期持仓明细!$AD$24*SUMPRODUCT(分期持仓明细!$B$24:$AA$24,'实盘净值数据(iFinD公式)'!$B834:$AA834/'实盘净值数据(iFinD公式)'!$B$65:$AA$65)*(1-实盘持仓初始配置!$Z$8)^(('实盘净值数据(iFinD公式)'!$A834-'实盘净值数据(iFinD公式)'!$A$5)/365))</x:f>
        <x:v>#NAME?</x:v>
      </x:c>
      <x:c r="O834" s="152" t="e">
        <x:f>IF(OR(N833="",N834=""),"",N834/N833-1)</x:f>
        <x:v>#NAME?</x:v>
      </x:c>
      <x:c r="P834" s="152" t="e">
        <x:f>IF(N834="","",N834/MAX(N$5:N834)-1)</x:f>
        <x:v>#NAME?</x:v>
      </x:c>
      <x:c r="Q834" s="146" t="e">
        <x:f>IF(OR('实盘净值数据(iFinD公式)'!$A834="",'实盘净值数据(iFinD公式)'!$B834=""),"",分期持仓明细!$AD$25*SUMPRODUCT(分期持仓明细!$B$25:$AA$25,'实盘净值数据(iFinD公式)'!$B834:$AA834/'实盘净值数据(iFinD公式)'!$B$65:$AA$65)*(1-实盘持仓初始配置!$Z$9)^(('实盘净值数据(iFinD公式)'!$A834-'实盘净值数据(iFinD公式)'!$A$8)/365))</x:f>
        <x:v>#NAME?</x:v>
      </x:c>
      <x:c r="R834" s="152" t="e">
        <x:f>IF(OR(Q833="",Q834=""),"",Q834/Q833-1)</x:f>
        <x:v>#NAME?</x:v>
      </x:c>
      <x:c r="S834" s="152" t="e">
        <x:f>IF(Q834="","",Q834/MAX(Q$5:Q834)-1)</x:f>
        <x:v>#NAME?</x:v>
      </x:c>
    </x:row>
    <x:row r="835">
      <x:c r="A835" s="149" t="str">
        <x:f>IF('实盘净值数据(iFinD公式)'!A835="","",'实盘净值数据(iFinD公式)'!A835)</x:f>
      </x:c>
      <x:c r="B835" s="146" t="e">
        <x:f>IF(OR('实盘净值数据(iFinD公式)'!$A835="",'实盘净值数据(iFinD公式)'!$B835=""),"",分期持仓明细!$AD$17*SUMPRODUCT(分期持仓明细!$B$17:$AA$17,'实盘净值数据(iFinD公式)'!$B835:$AA835/'实盘净值数据(iFinD公式)'!$B$20:$AA$20)*(1-实盘持仓初始配置!$Z$4)^(('实盘净值数据(iFinD公式)'!$A835-'实盘净值数据(iFinD公式)'!$A$6)/365))</x:f>
        <x:v>#NAME?</x:v>
      </x:c>
      <x:c r="C835" s="152" t="e">
        <x:f>IF(OR(B834="",B835=""),"",B835/B834-1)</x:f>
        <x:v>#NAME?</x:v>
      </x:c>
      <x:c r="D835" s="152" t="e">
        <x:f>IF(B835="","",B835/MAX(B$5:B835)-1)</x:f>
        <x:v>#NAME?</x:v>
      </x:c>
      <x:c r="E835" s="146" t="e">
        <x:f>IF(OR('实盘净值数据(iFinD公式)'!$A835="",'实盘净值数据(iFinD公式)'!$B835=""),"",分期持仓明细!$AD$18*SUMPRODUCT(分期持仓明细!$B$18:$AA$18,'实盘净值数据(iFinD公式)'!$B835:$AA835/'实盘净值数据(iFinD公式)'!$B$20:$AA$20)*(1-实盘持仓初始配置!$Z$5)^(('实盘净值数据(iFinD公式)'!$A835-'实盘净值数据(iFinD公式)'!$A$5)/365))</x:f>
        <x:v>#NAME?</x:v>
      </x:c>
      <x:c r="F835" s="152" t="e">
        <x:f>IF(OR(E834="",E835=""),"",E835/E834-1)</x:f>
        <x:v>#NAME?</x:v>
      </x:c>
      <x:c r="G835" s="152" t="e">
        <x:f>IF(E835="","",E835/MAX(E$5:E835)-1)</x:f>
        <x:v>#NAME?</x:v>
      </x:c>
      <x:c r="H835" s="146" t="e">
        <x:f>IF(OR('实盘净值数据(iFinD公式)'!$A835="",'实盘净值数据(iFinD公式)'!$B835=""),"",分期持仓明细!$AD$19*SUMPRODUCT(分期持仓明细!$B$19:$AA$19,'实盘净值数据(iFinD公式)'!$B835:$AA835/'实盘净值数据(iFinD公式)'!$B$20:$AA$20)*(1-实盘持仓初始配置!$Z$6)^(('实盘净值数据(iFinD公式)'!$A835-'实盘净值数据(iFinD公式)'!$A$7)/365))</x:f>
        <x:v>#NAME?</x:v>
      </x:c>
      <x:c r="I835" s="152" t="e">
        <x:f>IF(OR(H834="",H835=""),"",H835/H834-1)</x:f>
        <x:v>#NAME?</x:v>
      </x:c>
      <x:c r="J835" s="152" t="e">
        <x:f>IF(H835="","",H835/MAX(H$5:H835)-1)</x:f>
        <x:v>#NAME?</x:v>
      </x:c>
      <x:c r="K835" s="146" t="e">
        <x:f>IF(OR('实盘净值数据(iFinD公式)'!$A835="",'实盘净值数据(iFinD公式)'!$B835=""),"",分期持仓明细!$AD$23*SUMPRODUCT(分期持仓明细!$B$23:$AA$23,'实盘净值数据(iFinD公式)'!$B835:$AA835/'实盘净值数据(iFinD公式)'!$B$65:$AA$65)*(1-实盘持仓初始配置!$Z$7)^(('实盘净值数据(iFinD公式)'!$A835-'实盘净值数据(iFinD公式)'!$A$8)/365))</x:f>
        <x:v>#NAME?</x:v>
      </x:c>
      <x:c r="L835" s="152" t="e">
        <x:f>IF(OR(K834="",K835=""),"",K835/K834-1)</x:f>
        <x:v>#NAME?</x:v>
      </x:c>
      <x:c r="M835" s="152" t="e">
        <x:f>IF(K835="","",K835/MAX(K$5:K835)-1)</x:f>
        <x:v>#NAME?</x:v>
      </x:c>
      <x:c r="N835" s="146" t="e">
        <x:f>IF(OR('实盘净值数据(iFinD公式)'!$A835="",'实盘净值数据(iFinD公式)'!$B835=""),"",分期持仓明细!$AD$24*SUMPRODUCT(分期持仓明细!$B$24:$AA$24,'实盘净值数据(iFinD公式)'!$B835:$AA835/'实盘净值数据(iFinD公式)'!$B$65:$AA$65)*(1-实盘持仓初始配置!$Z$8)^(('实盘净值数据(iFinD公式)'!$A835-'实盘净值数据(iFinD公式)'!$A$5)/365))</x:f>
        <x:v>#NAME?</x:v>
      </x:c>
      <x:c r="O835" s="152" t="e">
        <x:f>IF(OR(N834="",N835=""),"",N835/N834-1)</x:f>
        <x:v>#NAME?</x:v>
      </x:c>
      <x:c r="P835" s="152" t="e">
        <x:f>IF(N835="","",N835/MAX(N$5:N835)-1)</x:f>
        <x:v>#NAME?</x:v>
      </x:c>
      <x:c r="Q835" s="146" t="e">
        <x:f>IF(OR('实盘净值数据(iFinD公式)'!$A835="",'实盘净值数据(iFinD公式)'!$B835=""),"",分期持仓明细!$AD$25*SUMPRODUCT(分期持仓明细!$B$25:$AA$25,'实盘净值数据(iFinD公式)'!$B835:$AA835/'实盘净值数据(iFinD公式)'!$B$65:$AA$65)*(1-实盘持仓初始配置!$Z$9)^(('实盘净值数据(iFinD公式)'!$A835-'实盘净值数据(iFinD公式)'!$A$8)/365))</x:f>
        <x:v>#NAME?</x:v>
      </x:c>
      <x:c r="R835" s="152" t="e">
        <x:f>IF(OR(Q834="",Q835=""),"",Q835/Q834-1)</x:f>
        <x:v>#NAME?</x:v>
      </x:c>
      <x:c r="S835" s="152" t="e">
        <x:f>IF(Q835="","",Q835/MAX(Q$5:Q835)-1)</x:f>
        <x:v>#NAME?</x:v>
      </x:c>
    </x:row>
    <x:row r="836">
      <x:c r="A836" s="149" t="str">
        <x:f>IF('实盘净值数据(iFinD公式)'!A836="","",'实盘净值数据(iFinD公式)'!A836)</x:f>
      </x:c>
      <x:c r="B836" s="146" t="e">
        <x:f>IF(OR('实盘净值数据(iFinD公式)'!$A836="",'实盘净值数据(iFinD公式)'!$B836=""),"",分期持仓明细!$AD$17*SUMPRODUCT(分期持仓明细!$B$17:$AA$17,'实盘净值数据(iFinD公式)'!$B836:$AA836/'实盘净值数据(iFinD公式)'!$B$20:$AA$20)*(1-实盘持仓初始配置!$Z$4)^(('实盘净值数据(iFinD公式)'!$A836-'实盘净值数据(iFinD公式)'!$A$6)/365))</x:f>
        <x:v>#NAME?</x:v>
      </x:c>
      <x:c r="C836" s="152" t="e">
        <x:f>IF(OR(B835="",B836=""),"",B836/B835-1)</x:f>
        <x:v>#NAME?</x:v>
      </x:c>
      <x:c r="D836" s="152" t="e">
        <x:f>IF(B836="","",B836/MAX(B$5:B836)-1)</x:f>
        <x:v>#NAME?</x:v>
      </x:c>
      <x:c r="E836" s="146" t="e">
        <x:f>IF(OR('实盘净值数据(iFinD公式)'!$A836="",'实盘净值数据(iFinD公式)'!$B836=""),"",分期持仓明细!$AD$18*SUMPRODUCT(分期持仓明细!$B$18:$AA$18,'实盘净值数据(iFinD公式)'!$B836:$AA836/'实盘净值数据(iFinD公式)'!$B$20:$AA$20)*(1-实盘持仓初始配置!$Z$5)^(('实盘净值数据(iFinD公式)'!$A836-'实盘净值数据(iFinD公式)'!$A$5)/365))</x:f>
        <x:v>#NAME?</x:v>
      </x:c>
      <x:c r="F836" s="152" t="e">
        <x:f>IF(OR(E835="",E836=""),"",E836/E835-1)</x:f>
        <x:v>#NAME?</x:v>
      </x:c>
      <x:c r="G836" s="152" t="e">
        <x:f>IF(E836="","",E836/MAX(E$5:E836)-1)</x:f>
        <x:v>#NAME?</x:v>
      </x:c>
      <x:c r="H836" s="146" t="e">
        <x:f>IF(OR('实盘净值数据(iFinD公式)'!$A836="",'实盘净值数据(iFinD公式)'!$B836=""),"",分期持仓明细!$AD$19*SUMPRODUCT(分期持仓明细!$B$19:$AA$19,'实盘净值数据(iFinD公式)'!$B836:$AA836/'实盘净值数据(iFinD公式)'!$B$20:$AA$20)*(1-实盘持仓初始配置!$Z$6)^(('实盘净值数据(iFinD公式)'!$A836-'实盘净值数据(iFinD公式)'!$A$7)/365))</x:f>
        <x:v>#NAME?</x:v>
      </x:c>
      <x:c r="I836" s="152" t="e">
        <x:f>IF(OR(H835="",H836=""),"",H836/H835-1)</x:f>
        <x:v>#NAME?</x:v>
      </x:c>
      <x:c r="J836" s="152" t="e">
        <x:f>IF(H836="","",H836/MAX(H$5:H836)-1)</x:f>
        <x:v>#NAME?</x:v>
      </x:c>
      <x:c r="K836" s="146" t="e">
        <x:f>IF(OR('实盘净值数据(iFinD公式)'!$A836="",'实盘净值数据(iFinD公式)'!$B836=""),"",分期持仓明细!$AD$23*SUMPRODUCT(分期持仓明细!$B$23:$AA$23,'实盘净值数据(iFinD公式)'!$B836:$AA836/'实盘净值数据(iFinD公式)'!$B$65:$AA$65)*(1-实盘持仓初始配置!$Z$7)^(('实盘净值数据(iFinD公式)'!$A836-'实盘净值数据(iFinD公式)'!$A$8)/365))</x:f>
        <x:v>#NAME?</x:v>
      </x:c>
      <x:c r="L836" s="152" t="e">
        <x:f>IF(OR(K835="",K836=""),"",K836/K835-1)</x:f>
        <x:v>#NAME?</x:v>
      </x:c>
      <x:c r="M836" s="152" t="e">
        <x:f>IF(K836="","",K836/MAX(K$5:K836)-1)</x:f>
        <x:v>#NAME?</x:v>
      </x:c>
      <x:c r="N836" s="146" t="e">
        <x:f>IF(OR('实盘净值数据(iFinD公式)'!$A836="",'实盘净值数据(iFinD公式)'!$B836=""),"",分期持仓明细!$AD$24*SUMPRODUCT(分期持仓明细!$B$24:$AA$24,'实盘净值数据(iFinD公式)'!$B836:$AA836/'实盘净值数据(iFinD公式)'!$B$65:$AA$65)*(1-实盘持仓初始配置!$Z$8)^(('实盘净值数据(iFinD公式)'!$A836-'实盘净值数据(iFinD公式)'!$A$5)/365))</x:f>
        <x:v>#NAME?</x:v>
      </x:c>
      <x:c r="O836" s="152" t="e">
        <x:f>IF(OR(N835="",N836=""),"",N836/N835-1)</x:f>
        <x:v>#NAME?</x:v>
      </x:c>
      <x:c r="P836" s="152" t="e">
        <x:f>IF(N836="","",N836/MAX(N$5:N836)-1)</x:f>
        <x:v>#NAME?</x:v>
      </x:c>
      <x:c r="Q836" s="146" t="e">
        <x:f>IF(OR('实盘净值数据(iFinD公式)'!$A836="",'实盘净值数据(iFinD公式)'!$B836=""),"",分期持仓明细!$AD$25*SUMPRODUCT(分期持仓明细!$B$25:$AA$25,'实盘净值数据(iFinD公式)'!$B836:$AA836/'实盘净值数据(iFinD公式)'!$B$65:$AA$65)*(1-实盘持仓初始配置!$Z$9)^(('实盘净值数据(iFinD公式)'!$A836-'实盘净值数据(iFinD公式)'!$A$8)/365))</x:f>
        <x:v>#NAME?</x:v>
      </x:c>
      <x:c r="R836" s="152" t="e">
        <x:f>IF(OR(Q835="",Q836=""),"",Q836/Q835-1)</x:f>
        <x:v>#NAME?</x:v>
      </x:c>
      <x:c r="S836" s="152" t="e">
        <x:f>IF(Q836="","",Q836/MAX(Q$5:Q836)-1)</x:f>
        <x:v>#NAME?</x:v>
      </x:c>
    </x:row>
    <x:row r="837">
      <x:c r="A837" s="149" t="str">
        <x:f>IF('实盘净值数据(iFinD公式)'!A837="","",'实盘净值数据(iFinD公式)'!A837)</x:f>
      </x:c>
      <x:c r="B837" s="146" t="e">
        <x:f>IF(OR('实盘净值数据(iFinD公式)'!$A837="",'实盘净值数据(iFinD公式)'!$B837=""),"",分期持仓明细!$AD$17*SUMPRODUCT(分期持仓明细!$B$17:$AA$17,'实盘净值数据(iFinD公式)'!$B837:$AA837/'实盘净值数据(iFinD公式)'!$B$20:$AA$20)*(1-实盘持仓初始配置!$Z$4)^(('实盘净值数据(iFinD公式)'!$A837-'实盘净值数据(iFinD公式)'!$A$6)/365))</x:f>
        <x:v>#NAME?</x:v>
      </x:c>
      <x:c r="C837" s="152" t="e">
        <x:f>IF(OR(B836="",B837=""),"",B837/B836-1)</x:f>
        <x:v>#NAME?</x:v>
      </x:c>
      <x:c r="D837" s="152" t="e">
        <x:f>IF(B837="","",B837/MAX(B$5:B837)-1)</x:f>
        <x:v>#NAME?</x:v>
      </x:c>
      <x:c r="E837" s="146" t="e">
        <x:f>IF(OR('实盘净值数据(iFinD公式)'!$A837="",'实盘净值数据(iFinD公式)'!$B837=""),"",分期持仓明细!$AD$18*SUMPRODUCT(分期持仓明细!$B$18:$AA$18,'实盘净值数据(iFinD公式)'!$B837:$AA837/'实盘净值数据(iFinD公式)'!$B$20:$AA$20)*(1-实盘持仓初始配置!$Z$5)^(('实盘净值数据(iFinD公式)'!$A837-'实盘净值数据(iFinD公式)'!$A$5)/365))</x:f>
        <x:v>#NAME?</x:v>
      </x:c>
      <x:c r="F837" s="152" t="e">
        <x:f>IF(OR(E836="",E837=""),"",E837/E836-1)</x:f>
        <x:v>#NAME?</x:v>
      </x:c>
      <x:c r="G837" s="152" t="e">
        <x:f>IF(E837="","",E837/MAX(E$5:E837)-1)</x:f>
        <x:v>#NAME?</x:v>
      </x:c>
      <x:c r="H837" s="146" t="e">
        <x:f>IF(OR('实盘净值数据(iFinD公式)'!$A837="",'实盘净值数据(iFinD公式)'!$B837=""),"",分期持仓明细!$AD$19*SUMPRODUCT(分期持仓明细!$B$19:$AA$19,'实盘净值数据(iFinD公式)'!$B837:$AA837/'实盘净值数据(iFinD公式)'!$B$20:$AA$20)*(1-实盘持仓初始配置!$Z$6)^(('实盘净值数据(iFinD公式)'!$A837-'实盘净值数据(iFinD公式)'!$A$7)/365))</x:f>
        <x:v>#NAME?</x:v>
      </x:c>
      <x:c r="I837" s="152" t="e">
        <x:f>IF(OR(H836="",H837=""),"",H837/H836-1)</x:f>
        <x:v>#NAME?</x:v>
      </x:c>
      <x:c r="J837" s="152" t="e">
        <x:f>IF(H837="","",H837/MAX(H$5:H837)-1)</x:f>
        <x:v>#NAME?</x:v>
      </x:c>
      <x:c r="K837" s="146" t="e">
        <x:f>IF(OR('实盘净值数据(iFinD公式)'!$A837="",'实盘净值数据(iFinD公式)'!$B837=""),"",分期持仓明细!$AD$23*SUMPRODUCT(分期持仓明细!$B$23:$AA$23,'实盘净值数据(iFinD公式)'!$B837:$AA837/'实盘净值数据(iFinD公式)'!$B$65:$AA$65)*(1-实盘持仓初始配置!$Z$7)^(('实盘净值数据(iFinD公式)'!$A837-'实盘净值数据(iFinD公式)'!$A$8)/365))</x:f>
        <x:v>#NAME?</x:v>
      </x:c>
      <x:c r="L837" s="152" t="e">
        <x:f>IF(OR(K836="",K837=""),"",K837/K836-1)</x:f>
        <x:v>#NAME?</x:v>
      </x:c>
      <x:c r="M837" s="152" t="e">
        <x:f>IF(K837="","",K837/MAX(K$5:K837)-1)</x:f>
        <x:v>#NAME?</x:v>
      </x:c>
      <x:c r="N837" s="146" t="e">
        <x:f>IF(OR('实盘净值数据(iFinD公式)'!$A837="",'实盘净值数据(iFinD公式)'!$B837=""),"",分期持仓明细!$AD$24*SUMPRODUCT(分期持仓明细!$B$24:$AA$24,'实盘净值数据(iFinD公式)'!$B837:$AA837/'实盘净值数据(iFinD公式)'!$B$65:$AA$65)*(1-实盘持仓初始配置!$Z$8)^(('实盘净值数据(iFinD公式)'!$A837-'实盘净值数据(iFinD公式)'!$A$5)/365))</x:f>
        <x:v>#NAME?</x:v>
      </x:c>
      <x:c r="O837" s="152" t="e">
        <x:f>IF(OR(N836="",N837=""),"",N837/N836-1)</x:f>
        <x:v>#NAME?</x:v>
      </x:c>
      <x:c r="P837" s="152" t="e">
        <x:f>IF(N837="","",N837/MAX(N$5:N837)-1)</x:f>
        <x:v>#NAME?</x:v>
      </x:c>
      <x:c r="Q837" s="146" t="e">
        <x:f>IF(OR('实盘净值数据(iFinD公式)'!$A837="",'实盘净值数据(iFinD公式)'!$B837=""),"",分期持仓明细!$AD$25*SUMPRODUCT(分期持仓明细!$B$25:$AA$25,'实盘净值数据(iFinD公式)'!$B837:$AA837/'实盘净值数据(iFinD公式)'!$B$65:$AA$65)*(1-实盘持仓初始配置!$Z$9)^(('实盘净值数据(iFinD公式)'!$A837-'实盘净值数据(iFinD公式)'!$A$8)/365))</x:f>
        <x:v>#NAME?</x:v>
      </x:c>
      <x:c r="R837" s="152" t="e">
        <x:f>IF(OR(Q836="",Q837=""),"",Q837/Q836-1)</x:f>
        <x:v>#NAME?</x:v>
      </x:c>
      <x:c r="S837" s="152" t="e">
        <x:f>IF(Q837="","",Q837/MAX(Q$5:Q837)-1)</x:f>
        <x:v>#NAME?</x:v>
      </x:c>
    </x:row>
    <x:row r="838">
      <x:c r="A838" s="149" t="str">
        <x:f>IF('实盘净值数据(iFinD公式)'!A838="","",'实盘净值数据(iFinD公式)'!A838)</x:f>
      </x:c>
      <x:c r="B838" s="146" t="e">
        <x:f>IF(OR('实盘净值数据(iFinD公式)'!$A838="",'实盘净值数据(iFinD公式)'!$B838=""),"",分期持仓明细!$AD$17*SUMPRODUCT(分期持仓明细!$B$17:$AA$17,'实盘净值数据(iFinD公式)'!$B838:$AA838/'实盘净值数据(iFinD公式)'!$B$20:$AA$20)*(1-实盘持仓初始配置!$Z$4)^(('实盘净值数据(iFinD公式)'!$A838-'实盘净值数据(iFinD公式)'!$A$6)/365))</x:f>
        <x:v>#NAME?</x:v>
      </x:c>
      <x:c r="C838" s="152" t="e">
        <x:f>IF(OR(B837="",B838=""),"",B838/B837-1)</x:f>
        <x:v>#NAME?</x:v>
      </x:c>
      <x:c r="D838" s="152" t="e">
        <x:f>IF(B838="","",B838/MAX(B$5:B838)-1)</x:f>
        <x:v>#NAME?</x:v>
      </x:c>
      <x:c r="E838" s="146" t="e">
        <x:f>IF(OR('实盘净值数据(iFinD公式)'!$A838="",'实盘净值数据(iFinD公式)'!$B838=""),"",分期持仓明细!$AD$18*SUMPRODUCT(分期持仓明细!$B$18:$AA$18,'实盘净值数据(iFinD公式)'!$B838:$AA838/'实盘净值数据(iFinD公式)'!$B$20:$AA$20)*(1-实盘持仓初始配置!$Z$5)^(('实盘净值数据(iFinD公式)'!$A838-'实盘净值数据(iFinD公式)'!$A$5)/365))</x:f>
        <x:v>#NAME?</x:v>
      </x:c>
      <x:c r="F838" s="152" t="e">
        <x:f>IF(OR(E837="",E838=""),"",E838/E837-1)</x:f>
        <x:v>#NAME?</x:v>
      </x:c>
      <x:c r="G838" s="152" t="e">
        <x:f>IF(E838="","",E838/MAX(E$5:E838)-1)</x:f>
        <x:v>#NAME?</x:v>
      </x:c>
      <x:c r="H838" s="146" t="e">
        <x:f>IF(OR('实盘净值数据(iFinD公式)'!$A838="",'实盘净值数据(iFinD公式)'!$B838=""),"",分期持仓明细!$AD$19*SUMPRODUCT(分期持仓明细!$B$19:$AA$19,'实盘净值数据(iFinD公式)'!$B838:$AA838/'实盘净值数据(iFinD公式)'!$B$20:$AA$20)*(1-实盘持仓初始配置!$Z$6)^(('实盘净值数据(iFinD公式)'!$A838-'实盘净值数据(iFinD公式)'!$A$7)/365))</x:f>
        <x:v>#NAME?</x:v>
      </x:c>
      <x:c r="I838" s="152" t="e">
        <x:f>IF(OR(H837="",H838=""),"",H838/H837-1)</x:f>
        <x:v>#NAME?</x:v>
      </x:c>
      <x:c r="J838" s="152" t="e">
        <x:f>IF(H838="","",H838/MAX(H$5:H838)-1)</x:f>
        <x:v>#NAME?</x:v>
      </x:c>
      <x:c r="K838" s="146" t="e">
        <x:f>IF(OR('实盘净值数据(iFinD公式)'!$A838="",'实盘净值数据(iFinD公式)'!$B838=""),"",分期持仓明细!$AD$23*SUMPRODUCT(分期持仓明细!$B$23:$AA$23,'实盘净值数据(iFinD公式)'!$B838:$AA838/'实盘净值数据(iFinD公式)'!$B$65:$AA$65)*(1-实盘持仓初始配置!$Z$7)^(('实盘净值数据(iFinD公式)'!$A838-'实盘净值数据(iFinD公式)'!$A$8)/365))</x:f>
        <x:v>#NAME?</x:v>
      </x:c>
      <x:c r="L838" s="152" t="e">
        <x:f>IF(OR(K837="",K838=""),"",K838/K837-1)</x:f>
        <x:v>#NAME?</x:v>
      </x:c>
      <x:c r="M838" s="152" t="e">
        <x:f>IF(K838="","",K838/MAX(K$5:K838)-1)</x:f>
        <x:v>#NAME?</x:v>
      </x:c>
      <x:c r="N838" s="146" t="e">
        <x:f>IF(OR('实盘净值数据(iFinD公式)'!$A838="",'实盘净值数据(iFinD公式)'!$B838=""),"",分期持仓明细!$AD$24*SUMPRODUCT(分期持仓明细!$B$24:$AA$24,'实盘净值数据(iFinD公式)'!$B838:$AA838/'实盘净值数据(iFinD公式)'!$B$65:$AA$65)*(1-实盘持仓初始配置!$Z$8)^(('实盘净值数据(iFinD公式)'!$A838-'实盘净值数据(iFinD公式)'!$A$5)/365))</x:f>
        <x:v>#NAME?</x:v>
      </x:c>
      <x:c r="O838" s="152" t="e">
        <x:f>IF(OR(N837="",N838=""),"",N838/N837-1)</x:f>
        <x:v>#NAME?</x:v>
      </x:c>
      <x:c r="P838" s="152" t="e">
        <x:f>IF(N838="","",N838/MAX(N$5:N838)-1)</x:f>
        <x:v>#NAME?</x:v>
      </x:c>
      <x:c r="Q838" s="146" t="e">
        <x:f>IF(OR('实盘净值数据(iFinD公式)'!$A838="",'实盘净值数据(iFinD公式)'!$B838=""),"",分期持仓明细!$AD$25*SUMPRODUCT(分期持仓明细!$B$25:$AA$25,'实盘净值数据(iFinD公式)'!$B838:$AA838/'实盘净值数据(iFinD公式)'!$B$65:$AA$65)*(1-实盘持仓初始配置!$Z$9)^(('实盘净值数据(iFinD公式)'!$A838-'实盘净值数据(iFinD公式)'!$A$8)/365))</x:f>
        <x:v>#NAME?</x:v>
      </x:c>
      <x:c r="R838" s="152" t="e">
        <x:f>IF(OR(Q837="",Q838=""),"",Q838/Q837-1)</x:f>
        <x:v>#NAME?</x:v>
      </x:c>
      <x:c r="S838" s="152" t="e">
        <x:f>IF(Q838="","",Q838/MAX(Q$5:Q838)-1)</x:f>
        <x:v>#NAME?</x:v>
      </x:c>
    </x:row>
    <x:row r="839">
      <x:c r="A839" s="149" t="str">
        <x:f>IF('实盘净值数据(iFinD公式)'!A839="","",'实盘净值数据(iFinD公式)'!A839)</x:f>
      </x:c>
      <x:c r="B839" s="146" t="e">
        <x:f>IF(OR('实盘净值数据(iFinD公式)'!$A839="",'实盘净值数据(iFinD公式)'!$B839=""),"",分期持仓明细!$AD$17*SUMPRODUCT(分期持仓明细!$B$17:$AA$17,'实盘净值数据(iFinD公式)'!$B839:$AA839/'实盘净值数据(iFinD公式)'!$B$20:$AA$20)*(1-实盘持仓初始配置!$Z$4)^(('实盘净值数据(iFinD公式)'!$A839-'实盘净值数据(iFinD公式)'!$A$6)/365))</x:f>
        <x:v>#NAME?</x:v>
      </x:c>
      <x:c r="C839" s="152" t="e">
        <x:f>IF(OR(B838="",B839=""),"",B839/B838-1)</x:f>
        <x:v>#NAME?</x:v>
      </x:c>
      <x:c r="D839" s="152" t="e">
        <x:f>IF(B839="","",B839/MAX(B$5:B839)-1)</x:f>
        <x:v>#NAME?</x:v>
      </x:c>
      <x:c r="E839" s="146" t="e">
        <x:f>IF(OR('实盘净值数据(iFinD公式)'!$A839="",'实盘净值数据(iFinD公式)'!$B839=""),"",分期持仓明细!$AD$18*SUMPRODUCT(分期持仓明细!$B$18:$AA$18,'实盘净值数据(iFinD公式)'!$B839:$AA839/'实盘净值数据(iFinD公式)'!$B$20:$AA$20)*(1-实盘持仓初始配置!$Z$5)^(('实盘净值数据(iFinD公式)'!$A839-'实盘净值数据(iFinD公式)'!$A$5)/365))</x:f>
        <x:v>#NAME?</x:v>
      </x:c>
      <x:c r="F839" s="152" t="e">
        <x:f>IF(OR(E838="",E839=""),"",E839/E838-1)</x:f>
        <x:v>#NAME?</x:v>
      </x:c>
      <x:c r="G839" s="152" t="e">
        <x:f>IF(E839="","",E839/MAX(E$5:E839)-1)</x:f>
        <x:v>#NAME?</x:v>
      </x:c>
      <x:c r="H839" s="146" t="e">
        <x:f>IF(OR('实盘净值数据(iFinD公式)'!$A839="",'实盘净值数据(iFinD公式)'!$B839=""),"",分期持仓明细!$AD$19*SUMPRODUCT(分期持仓明细!$B$19:$AA$19,'实盘净值数据(iFinD公式)'!$B839:$AA839/'实盘净值数据(iFinD公式)'!$B$20:$AA$20)*(1-实盘持仓初始配置!$Z$6)^(('实盘净值数据(iFinD公式)'!$A839-'实盘净值数据(iFinD公式)'!$A$7)/365))</x:f>
        <x:v>#NAME?</x:v>
      </x:c>
      <x:c r="I839" s="152" t="e">
        <x:f>IF(OR(H838="",H839=""),"",H839/H838-1)</x:f>
        <x:v>#NAME?</x:v>
      </x:c>
      <x:c r="J839" s="152" t="e">
        <x:f>IF(H839="","",H839/MAX(H$5:H839)-1)</x:f>
        <x:v>#NAME?</x:v>
      </x:c>
      <x:c r="K839" s="146" t="e">
        <x:f>IF(OR('实盘净值数据(iFinD公式)'!$A839="",'实盘净值数据(iFinD公式)'!$B839=""),"",分期持仓明细!$AD$23*SUMPRODUCT(分期持仓明细!$B$23:$AA$23,'实盘净值数据(iFinD公式)'!$B839:$AA839/'实盘净值数据(iFinD公式)'!$B$65:$AA$65)*(1-实盘持仓初始配置!$Z$7)^(('实盘净值数据(iFinD公式)'!$A839-'实盘净值数据(iFinD公式)'!$A$8)/365))</x:f>
        <x:v>#NAME?</x:v>
      </x:c>
      <x:c r="L839" s="152" t="e">
        <x:f>IF(OR(K838="",K839=""),"",K839/K838-1)</x:f>
        <x:v>#NAME?</x:v>
      </x:c>
      <x:c r="M839" s="152" t="e">
        <x:f>IF(K839="","",K839/MAX(K$5:K839)-1)</x:f>
        <x:v>#NAME?</x:v>
      </x:c>
      <x:c r="N839" s="146" t="e">
        <x:f>IF(OR('实盘净值数据(iFinD公式)'!$A839="",'实盘净值数据(iFinD公式)'!$B839=""),"",分期持仓明细!$AD$24*SUMPRODUCT(分期持仓明细!$B$24:$AA$24,'实盘净值数据(iFinD公式)'!$B839:$AA839/'实盘净值数据(iFinD公式)'!$B$65:$AA$65)*(1-实盘持仓初始配置!$Z$8)^(('实盘净值数据(iFinD公式)'!$A839-'实盘净值数据(iFinD公式)'!$A$5)/365))</x:f>
        <x:v>#NAME?</x:v>
      </x:c>
      <x:c r="O839" s="152" t="e">
        <x:f>IF(OR(N838="",N839=""),"",N839/N838-1)</x:f>
        <x:v>#NAME?</x:v>
      </x:c>
      <x:c r="P839" s="152" t="e">
        <x:f>IF(N839="","",N839/MAX(N$5:N839)-1)</x:f>
        <x:v>#NAME?</x:v>
      </x:c>
      <x:c r="Q839" s="146" t="e">
        <x:f>IF(OR('实盘净值数据(iFinD公式)'!$A839="",'实盘净值数据(iFinD公式)'!$B839=""),"",分期持仓明细!$AD$25*SUMPRODUCT(分期持仓明细!$B$25:$AA$25,'实盘净值数据(iFinD公式)'!$B839:$AA839/'实盘净值数据(iFinD公式)'!$B$65:$AA$65)*(1-实盘持仓初始配置!$Z$9)^(('实盘净值数据(iFinD公式)'!$A839-'实盘净值数据(iFinD公式)'!$A$8)/365))</x:f>
        <x:v>#NAME?</x:v>
      </x:c>
      <x:c r="R839" s="152" t="e">
        <x:f>IF(OR(Q838="",Q839=""),"",Q839/Q838-1)</x:f>
        <x:v>#NAME?</x:v>
      </x:c>
      <x:c r="S839" s="152" t="e">
        <x:f>IF(Q839="","",Q839/MAX(Q$5:Q839)-1)</x:f>
        <x:v>#NAME?</x:v>
      </x:c>
    </x:row>
    <x:row r="840">
      <x:c r="A840" s="149" t="str">
        <x:f>IF('实盘净值数据(iFinD公式)'!A840="","",'实盘净值数据(iFinD公式)'!A840)</x:f>
      </x:c>
      <x:c r="B840" s="146" t="e">
        <x:f>IF(OR('实盘净值数据(iFinD公式)'!$A840="",'实盘净值数据(iFinD公式)'!$B840=""),"",分期持仓明细!$AD$17*SUMPRODUCT(分期持仓明细!$B$17:$AA$17,'实盘净值数据(iFinD公式)'!$B840:$AA840/'实盘净值数据(iFinD公式)'!$B$20:$AA$20)*(1-实盘持仓初始配置!$Z$4)^(('实盘净值数据(iFinD公式)'!$A840-'实盘净值数据(iFinD公式)'!$A$6)/365))</x:f>
        <x:v>#NAME?</x:v>
      </x:c>
      <x:c r="C840" s="152" t="e">
        <x:f>IF(OR(B839="",B840=""),"",B840/B839-1)</x:f>
        <x:v>#NAME?</x:v>
      </x:c>
      <x:c r="D840" s="152" t="e">
        <x:f>IF(B840="","",B840/MAX(B$5:B840)-1)</x:f>
        <x:v>#NAME?</x:v>
      </x:c>
      <x:c r="E840" s="146" t="e">
        <x:f>IF(OR('实盘净值数据(iFinD公式)'!$A840="",'实盘净值数据(iFinD公式)'!$B840=""),"",分期持仓明细!$AD$18*SUMPRODUCT(分期持仓明细!$B$18:$AA$18,'实盘净值数据(iFinD公式)'!$B840:$AA840/'实盘净值数据(iFinD公式)'!$B$20:$AA$20)*(1-实盘持仓初始配置!$Z$5)^(('实盘净值数据(iFinD公式)'!$A840-'实盘净值数据(iFinD公式)'!$A$5)/365))</x:f>
        <x:v>#NAME?</x:v>
      </x:c>
      <x:c r="F840" s="152" t="e">
        <x:f>IF(OR(E839="",E840=""),"",E840/E839-1)</x:f>
        <x:v>#NAME?</x:v>
      </x:c>
      <x:c r="G840" s="152" t="e">
        <x:f>IF(E840="","",E840/MAX(E$5:E840)-1)</x:f>
        <x:v>#NAME?</x:v>
      </x:c>
      <x:c r="H840" s="146" t="e">
        <x:f>IF(OR('实盘净值数据(iFinD公式)'!$A840="",'实盘净值数据(iFinD公式)'!$B840=""),"",分期持仓明细!$AD$19*SUMPRODUCT(分期持仓明细!$B$19:$AA$19,'实盘净值数据(iFinD公式)'!$B840:$AA840/'实盘净值数据(iFinD公式)'!$B$20:$AA$20)*(1-实盘持仓初始配置!$Z$6)^(('实盘净值数据(iFinD公式)'!$A840-'实盘净值数据(iFinD公式)'!$A$7)/365))</x:f>
        <x:v>#NAME?</x:v>
      </x:c>
      <x:c r="I840" s="152" t="e">
        <x:f>IF(OR(H839="",H840=""),"",H840/H839-1)</x:f>
        <x:v>#NAME?</x:v>
      </x:c>
      <x:c r="J840" s="152" t="e">
        <x:f>IF(H840="","",H840/MAX(H$5:H840)-1)</x:f>
        <x:v>#NAME?</x:v>
      </x:c>
      <x:c r="K840" s="146" t="e">
        <x:f>IF(OR('实盘净值数据(iFinD公式)'!$A840="",'实盘净值数据(iFinD公式)'!$B840=""),"",分期持仓明细!$AD$23*SUMPRODUCT(分期持仓明细!$B$23:$AA$23,'实盘净值数据(iFinD公式)'!$B840:$AA840/'实盘净值数据(iFinD公式)'!$B$65:$AA$65)*(1-实盘持仓初始配置!$Z$7)^(('实盘净值数据(iFinD公式)'!$A840-'实盘净值数据(iFinD公式)'!$A$8)/365))</x:f>
        <x:v>#NAME?</x:v>
      </x:c>
      <x:c r="L840" s="152" t="e">
        <x:f>IF(OR(K839="",K840=""),"",K840/K839-1)</x:f>
        <x:v>#NAME?</x:v>
      </x:c>
      <x:c r="M840" s="152" t="e">
        <x:f>IF(K840="","",K840/MAX(K$5:K840)-1)</x:f>
        <x:v>#NAME?</x:v>
      </x:c>
      <x:c r="N840" s="146" t="e">
        <x:f>IF(OR('实盘净值数据(iFinD公式)'!$A840="",'实盘净值数据(iFinD公式)'!$B840=""),"",分期持仓明细!$AD$24*SUMPRODUCT(分期持仓明细!$B$24:$AA$24,'实盘净值数据(iFinD公式)'!$B840:$AA840/'实盘净值数据(iFinD公式)'!$B$65:$AA$65)*(1-实盘持仓初始配置!$Z$8)^(('实盘净值数据(iFinD公式)'!$A840-'实盘净值数据(iFinD公式)'!$A$5)/365))</x:f>
        <x:v>#NAME?</x:v>
      </x:c>
      <x:c r="O840" s="152" t="e">
        <x:f>IF(OR(N839="",N840=""),"",N840/N839-1)</x:f>
        <x:v>#NAME?</x:v>
      </x:c>
      <x:c r="P840" s="152" t="e">
        <x:f>IF(N840="","",N840/MAX(N$5:N840)-1)</x:f>
        <x:v>#NAME?</x:v>
      </x:c>
      <x:c r="Q840" s="146" t="e">
        <x:f>IF(OR('实盘净值数据(iFinD公式)'!$A840="",'实盘净值数据(iFinD公式)'!$B840=""),"",分期持仓明细!$AD$25*SUMPRODUCT(分期持仓明细!$B$25:$AA$25,'实盘净值数据(iFinD公式)'!$B840:$AA840/'实盘净值数据(iFinD公式)'!$B$65:$AA$65)*(1-实盘持仓初始配置!$Z$9)^(('实盘净值数据(iFinD公式)'!$A840-'实盘净值数据(iFinD公式)'!$A$8)/365))</x:f>
        <x:v>#NAME?</x:v>
      </x:c>
      <x:c r="R840" s="152" t="e">
        <x:f>IF(OR(Q839="",Q840=""),"",Q840/Q839-1)</x:f>
        <x:v>#NAME?</x:v>
      </x:c>
      <x:c r="S840" s="152" t="e">
        <x:f>IF(Q840="","",Q840/MAX(Q$5:Q840)-1)</x:f>
        <x:v>#NAME?</x:v>
      </x:c>
    </x:row>
    <x:row r="841">
      <x:c r="A841" s="149" t="str">
        <x:f>IF('实盘净值数据(iFinD公式)'!A841="","",'实盘净值数据(iFinD公式)'!A841)</x:f>
      </x:c>
      <x:c r="B841" s="146" t="e">
        <x:f>IF(OR('实盘净值数据(iFinD公式)'!$A841="",'实盘净值数据(iFinD公式)'!$B841=""),"",分期持仓明细!$AD$17*SUMPRODUCT(分期持仓明细!$B$17:$AA$17,'实盘净值数据(iFinD公式)'!$B841:$AA841/'实盘净值数据(iFinD公式)'!$B$20:$AA$20)*(1-实盘持仓初始配置!$Z$4)^(('实盘净值数据(iFinD公式)'!$A841-'实盘净值数据(iFinD公式)'!$A$6)/365))</x:f>
        <x:v>#NAME?</x:v>
      </x:c>
      <x:c r="C841" s="152" t="e">
        <x:f>IF(OR(B840="",B841=""),"",B841/B840-1)</x:f>
        <x:v>#NAME?</x:v>
      </x:c>
      <x:c r="D841" s="152" t="e">
        <x:f>IF(B841="","",B841/MAX(B$5:B841)-1)</x:f>
        <x:v>#NAME?</x:v>
      </x:c>
      <x:c r="E841" s="146" t="e">
        <x:f>IF(OR('实盘净值数据(iFinD公式)'!$A841="",'实盘净值数据(iFinD公式)'!$B841=""),"",分期持仓明细!$AD$18*SUMPRODUCT(分期持仓明细!$B$18:$AA$18,'实盘净值数据(iFinD公式)'!$B841:$AA841/'实盘净值数据(iFinD公式)'!$B$20:$AA$20)*(1-实盘持仓初始配置!$Z$5)^(('实盘净值数据(iFinD公式)'!$A841-'实盘净值数据(iFinD公式)'!$A$5)/365))</x:f>
        <x:v>#NAME?</x:v>
      </x:c>
      <x:c r="F841" s="152" t="e">
        <x:f>IF(OR(E840="",E841=""),"",E841/E840-1)</x:f>
        <x:v>#NAME?</x:v>
      </x:c>
      <x:c r="G841" s="152" t="e">
        <x:f>IF(E841="","",E841/MAX(E$5:E841)-1)</x:f>
        <x:v>#NAME?</x:v>
      </x:c>
      <x:c r="H841" s="146" t="e">
        <x:f>IF(OR('实盘净值数据(iFinD公式)'!$A841="",'实盘净值数据(iFinD公式)'!$B841=""),"",分期持仓明细!$AD$19*SUMPRODUCT(分期持仓明细!$B$19:$AA$19,'实盘净值数据(iFinD公式)'!$B841:$AA841/'实盘净值数据(iFinD公式)'!$B$20:$AA$20)*(1-实盘持仓初始配置!$Z$6)^(('实盘净值数据(iFinD公式)'!$A841-'实盘净值数据(iFinD公式)'!$A$7)/365))</x:f>
        <x:v>#NAME?</x:v>
      </x:c>
      <x:c r="I841" s="152" t="e">
        <x:f>IF(OR(H840="",H841=""),"",H841/H840-1)</x:f>
        <x:v>#NAME?</x:v>
      </x:c>
      <x:c r="J841" s="152" t="e">
        <x:f>IF(H841="","",H841/MAX(H$5:H841)-1)</x:f>
        <x:v>#NAME?</x:v>
      </x:c>
      <x:c r="K841" s="146" t="e">
        <x:f>IF(OR('实盘净值数据(iFinD公式)'!$A841="",'实盘净值数据(iFinD公式)'!$B841=""),"",分期持仓明细!$AD$23*SUMPRODUCT(分期持仓明细!$B$23:$AA$23,'实盘净值数据(iFinD公式)'!$B841:$AA841/'实盘净值数据(iFinD公式)'!$B$65:$AA$65)*(1-实盘持仓初始配置!$Z$7)^(('实盘净值数据(iFinD公式)'!$A841-'实盘净值数据(iFinD公式)'!$A$8)/365))</x:f>
        <x:v>#NAME?</x:v>
      </x:c>
      <x:c r="L841" s="152" t="e">
        <x:f>IF(OR(K840="",K841=""),"",K841/K840-1)</x:f>
        <x:v>#NAME?</x:v>
      </x:c>
      <x:c r="M841" s="152" t="e">
        <x:f>IF(K841="","",K841/MAX(K$5:K841)-1)</x:f>
        <x:v>#NAME?</x:v>
      </x:c>
      <x:c r="N841" s="146" t="e">
        <x:f>IF(OR('实盘净值数据(iFinD公式)'!$A841="",'实盘净值数据(iFinD公式)'!$B841=""),"",分期持仓明细!$AD$24*SUMPRODUCT(分期持仓明细!$B$24:$AA$24,'实盘净值数据(iFinD公式)'!$B841:$AA841/'实盘净值数据(iFinD公式)'!$B$65:$AA$65)*(1-实盘持仓初始配置!$Z$8)^(('实盘净值数据(iFinD公式)'!$A841-'实盘净值数据(iFinD公式)'!$A$5)/365))</x:f>
        <x:v>#NAME?</x:v>
      </x:c>
      <x:c r="O841" s="152" t="e">
        <x:f>IF(OR(N840="",N841=""),"",N841/N840-1)</x:f>
        <x:v>#NAME?</x:v>
      </x:c>
      <x:c r="P841" s="152" t="e">
        <x:f>IF(N841="","",N841/MAX(N$5:N841)-1)</x:f>
        <x:v>#NAME?</x:v>
      </x:c>
      <x:c r="Q841" s="146" t="e">
        <x:f>IF(OR('实盘净值数据(iFinD公式)'!$A841="",'实盘净值数据(iFinD公式)'!$B841=""),"",分期持仓明细!$AD$25*SUMPRODUCT(分期持仓明细!$B$25:$AA$25,'实盘净值数据(iFinD公式)'!$B841:$AA841/'实盘净值数据(iFinD公式)'!$B$65:$AA$65)*(1-实盘持仓初始配置!$Z$9)^(('实盘净值数据(iFinD公式)'!$A841-'实盘净值数据(iFinD公式)'!$A$8)/365))</x:f>
        <x:v>#NAME?</x:v>
      </x:c>
      <x:c r="R841" s="152" t="e">
        <x:f>IF(OR(Q840="",Q841=""),"",Q841/Q840-1)</x:f>
        <x:v>#NAME?</x:v>
      </x:c>
      <x:c r="S841" s="152" t="e">
        <x:f>IF(Q841="","",Q841/MAX(Q$5:Q841)-1)</x:f>
        <x:v>#NAME?</x:v>
      </x:c>
    </x:row>
    <x:row r="842">
      <x:c r="A842" s="149" t="str">
        <x:f>IF('实盘净值数据(iFinD公式)'!A842="","",'实盘净值数据(iFinD公式)'!A842)</x:f>
      </x:c>
      <x:c r="B842" s="146" t="e">
        <x:f>IF(OR('实盘净值数据(iFinD公式)'!$A842="",'实盘净值数据(iFinD公式)'!$B842=""),"",分期持仓明细!$AD$17*SUMPRODUCT(分期持仓明细!$B$17:$AA$17,'实盘净值数据(iFinD公式)'!$B842:$AA842/'实盘净值数据(iFinD公式)'!$B$20:$AA$20)*(1-实盘持仓初始配置!$Z$4)^(('实盘净值数据(iFinD公式)'!$A842-'实盘净值数据(iFinD公式)'!$A$6)/365))</x:f>
        <x:v>#NAME?</x:v>
      </x:c>
      <x:c r="C842" s="152" t="e">
        <x:f>IF(OR(B841="",B842=""),"",B842/B841-1)</x:f>
        <x:v>#NAME?</x:v>
      </x:c>
      <x:c r="D842" s="152" t="e">
        <x:f>IF(B842="","",B842/MAX(B$5:B842)-1)</x:f>
        <x:v>#NAME?</x:v>
      </x:c>
      <x:c r="E842" s="146" t="e">
        <x:f>IF(OR('实盘净值数据(iFinD公式)'!$A842="",'实盘净值数据(iFinD公式)'!$B842=""),"",分期持仓明细!$AD$18*SUMPRODUCT(分期持仓明细!$B$18:$AA$18,'实盘净值数据(iFinD公式)'!$B842:$AA842/'实盘净值数据(iFinD公式)'!$B$20:$AA$20)*(1-实盘持仓初始配置!$Z$5)^(('实盘净值数据(iFinD公式)'!$A842-'实盘净值数据(iFinD公式)'!$A$5)/365))</x:f>
        <x:v>#NAME?</x:v>
      </x:c>
      <x:c r="F842" s="152" t="e">
        <x:f>IF(OR(E841="",E842=""),"",E842/E841-1)</x:f>
        <x:v>#NAME?</x:v>
      </x:c>
      <x:c r="G842" s="152" t="e">
        <x:f>IF(E842="","",E842/MAX(E$5:E842)-1)</x:f>
        <x:v>#NAME?</x:v>
      </x:c>
      <x:c r="H842" s="146" t="e">
        <x:f>IF(OR('实盘净值数据(iFinD公式)'!$A842="",'实盘净值数据(iFinD公式)'!$B842=""),"",分期持仓明细!$AD$19*SUMPRODUCT(分期持仓明细!$B$19:$AA$19,'实盘净值数据(iFinD公式)'!$B842:$AA842/'实盘净值数据(iFinD公式)'!$B$20:$AA$20)*(1-实盘持仓初始配置!$Z$6)^(('实盘净值数据(iFinD公式)'!$A842-'实盘净值数据(iFinD公式)'!$A$7)/365))</x:f>
        <x:v>#NAME?</x:v>
      </x:c>
      <x:c r="I842" s="152" t="e">
        <x:f>IF(OR(H841="",H842=""),"",H842/H841-1)</x:f>
        <x:v>#NAME?</x:v>
      </x:c>
      <x:c r="J842" s="152" t="e">
        <x:f>IF(H842="","",H842/MAX(H$5:H842)-1)</x:f>
        <x:v>#NAME?</x:v>
      </x:c>
      <x:c r="K842" s="146" t="e">
        <x:f>IF(OR('实盘净值数据(iFinD公式)'!$A842="",'实盘净值数据(iFinD公式)'!$B842=""),"",分期持仓明细!$AD$23*SUMPRODUCT(分期持仓明细!$B$23:$AA$23,'实盘净值数据(iFinD公式)'!$B842:$AA842/'实盘净值数据(iFinD公式)'!$B$65:$AA$65)*(1-实盘持仓初始配置!$Z$7)^(('实盘净值数据(iFinD公式)'!$A842-'实盘净值数据(iFinD公式)'!$A$8)/365))</x:f>
        <x:v>#NAME?</x:v>
      </x:c>
      <x:c r="L842" s="152" t="e">
        <x:f>IF(OR(K841="",K842=""),"",K842/K841-1)</x:f>
        <x:v>#NAME?</x:v>
      </x:c>
      <x:c r="M842" s="152" t="e">
        <x:f>IF(K842="","",K842/MAX(K$5:K842)-1)</x:f>
        <x:v>#NAME?</x:v>
      </x:c>
      <x:c r="N842" s="146" t="e">
        <x:f>IF(OR('实盘净值数据(iFinD公式)'!$A842="",'实盘净值数据(iFinD公式)'!$B842=""),"",分期持仓明细!$AD$24*SUMPRODUCT(分期持仓明细!$B$24:$AA$24,'实盘净值数据(iFinD公式)'!$B842:$AA842/'实盘净值数据(iFinD公式)'!$B$65:$AA$65)*(1-实盘持仓初始配置!$Z$8)^(('实盘净值数据(iFinD公式)'!$A842-'实盘净值数据(iFinD公式)'!$A$5)/365))</x:f>
        <x:v>#NAME?</x:v>
      </x:c>
      <x:c r="O842" s="152" t="e">
        <x:f>IF(OR(N841="",N842=""),"",N842/N841-1)</x:f>
        <x:v>#NAME?</x:v>
      </x:c>
      <x:c r="P842" s="152" t="e">
        <x:f>IF(N842="","",N842/MAX(N$5:N842)-1)</x:f>
        <x:v>#NAME?</x:v>
      </x:c>
      <x:c r="Q842" s="146" t="e">
        <x:f>IF(OR('实盘净值数据(iFinD公式)'!$A842="",'实盘净值数据(iFinD公式)'!$B842=""),"",分期持仓明细!$AD$25*SUMPRODUCT(分期持仓明细!$B$25:$AA$25,'实盘净值数据(iFinD公式)'!$B842:$AA842/'实盘净值数据(iFinD公式)'!$B$65:$AA$65)*(1-实盘持仓初始配置!$Z$9)^(('实盘净值数据(iFinD公式)'!$A842-'实盘净值数据(iFinD公式)'!$A$8)/365))</x:f>
        <x:v>#NAME?</x:v>
      </x:c>
      <x:c r="R842" s="152" t="e">
        <x:f>IF(OR(Q841="",Q842=""),"",Q842/Q841-1)</x:f>
        <x:v>#NAME?</x:v>
      </x:c>
      <x:c r="S842" s="152" t="e">
        <x:f>IF(Q842="","",Q842/MAX(Q$5:Q842)-1)</x:f>
        <x:v>#NAME?</x:v>
      </x:c>
    </x:row>
    <x:row r="843">
      <x:c r="A843" s="149" t="str">
        <x:f>IF('实盘净值数据(iFinD公式)'!A843="","",'实盘净值数据(iFinD公式)'!A843)</x:f>
      </x:c>
      <x:c r="B843" s="146" t="e">
        <x:f>IF(OR('实盘净值数据(iFinD公式)'!$A843="",'实盘净值数据(iFinD公式)'!$B843=""),"",分期持仓明细!$AD$17*SUMPRODUCT(分期持仓明细!$B$17:$AA$17,'实盘净值数据(iFinD公式)'!$B843:$AA843/'实盘净值数据(iFinD公式)'!$B$20:$AA$20)*(1-实盘持仓初始配置!$Z$4)^(('实盘净值数据(iFinD公式)'!$A843-'实盘净值数据(iFinD公式)'!$A$6)/365))</x:f>
        <x:v>#NAME?</x:v>
      </x:c>
      <x:c r="C843" s="152" t="e">
        <x:f>IF(OR(B842="",B843=""),"",B843/B842-1)</x:f>
        <x:v>#NAME?</x:v>
      </x:c>
      <x:c r="D843" s="152" t="e">
        <x:f>IF(B843="","",B843/MAX(B$5:B843)-1)</x:f>
        <x:v>#NAME?</x:v>
      </x:c>
      <x:c r="E843" s="146" t="e">
        <x:f>IF(OR('实盘净值数据(iFinD公式)'!$A843="",'实盘净值数据(iFinD公式)'!$B843=""),"",分期持仓明细!$AD$18*SUMPRODUCT(分期持仓明细!$B$18:$AA$18,'实盘净值数据(iFinD公式)'!$B843:$AA843/'实盘净值数据(iFinD公式)'!$B$20:$AA$20)*(1-实盘持仓初始配置!$Z$5)^(('实盘净值数据(iFinD公式)'!$A843-'实盘净值数据(iFinD公式)'!$A$5)/365))</x:f>
        <x:v>#NAME?</x:v>
      </x:c>
      <x:c r="F843" s="152" t="e">
        <x:f>IF(OR(E842="",E843=""),"",E843/E842-1)</x:f>
        <x:v>#NAME?</x:v>
      </x:c>
      <x:c r="G843" s="152" t="e">
        <x:f>IF(E843="","",E843/MAX(E$5:E843)-1)</x:f>
        <x:v>#NAME?</x:v>
      </x:c>
      <x:c r="H843" s="146" t="e">
        <x:f>IF(OR('实盘净值数据(iFinD公式)'!$A843="",'实盘净值数据(iFinD公式)'!$B843=""),"",分期持仓明细!$AD$19*SUMPRODUCT(分期持仓明细!$B$19:$AA$19,'实盘净值数据(iFinD公式)'!$B843:$AA843/'实盘净值数据(iFinD公式)'!$B$20:$AA$20)*(1-实盘持仓初始配置!$Z$6)^(('实盘净值数据(iFinD公式)'!$A843-'实盘净值数据(iFinD公式)'!$A$7)/365))</x:f>
        <x:v>#NAME?</x:v>
      </x:c>
      <x:c r="I843" s="152" t="e">
        <x:f>IF(OR(H842="",H843=""),"",H843/H842-1)</x:f>
        <x:v>#NAME?</x:v>
      </x:c>
      <x:c r="J843" s="152" t="e">
        <x:f>IF(H843="","",H843/MAX(H$5:H843)-1)</x:f>
        <x:v>#NAME?</x:v>
      </x:c>
      <x:c r="K843" s="146" t="e">
        <x:f>IF(OR('实盘净值数据(iFinD公式)'!$A843="",'实盘净值数据(iFinD公式)'!$B843=""),"",分期持仓明细!$AD$23*SUMPRODUCT(分期持仓明细!$B$23:$AA$23,'实盘净值数据(iFinD公式)'!$B843:$AA843/'实盘净值数据(iFinD公式)'!$B$65:$AA$65)*(1-实盘持仓初始配置!$Z$7)^(('实盘净值数据(iFinD公式)'!$A843-'实盘净值数据(iFinD公式)'!$A$8)/365))</x:f>
        <x:v>#NAME?</x:v>
      </x:c>
      <x:c r="L843" s="152" t="e">
        <x:f>IF(OR(K842="",K843=""),"",K843/K842-1)</x:f>
        <x:v>#NAME?</x:v>
      </x:c>
      <x:c r="M843" s="152" t="e">
        <x:f>IF(K843="","",K843/MAX(K$5:K843)-1)</x:f>
        <x:v>#NAME?</x:v>
      </x:c>
      <x:c r="N843" s="146" t="e">
        <x:f>IF(OR('实盘净值数据(iFinD公式)'!$A843="",'实盘净值数据(iFinD公式)'!$B843=""),"",分期持仓明细!$AD$24*SUMPRODUCT(分期持仓明细!$B$24:$AA$24,'实盘净值数据(iFinD公式)'!$B843:$AA843/'实盘净值数据(iFinD公式)'!$B$65:$AA$65)*(1-实盘持仓初始配置!$Z$8)^(('实盘净值数据(iFinD公式)'!$A843-'实盘净值数据(iFinD公式)'!$A$5)/365))</x:f>
        <x:v>#NAME?</x:v>
      </x:c>
      <x:c r="O843" s="152" t="e">
        <x:f>IF(OR(N842="",N843=""),"",N843/N842-1)</x:f>
        <x:v>#NAME?</x:v>
      </x:c>
      <x:c r="P843" s="152" t="e">
        <x:f>IF(N843="","",N843/MAX(N$5:N843)-1)</x:f>
        <x:v>#NAME?</x:v>
      </x:c>
      <x:c r="Q843" s="146" t="e">
        <x:f>IF(OR('实盘净值数据(iFinD公式)'!$A843="",'实盘净值数据(iFinD公式)'!$B843=""),"",分期持仓明细!$AD$25*SUMPRODUCT(分期持仓明细!$B$25:$AA$25,'实盘净值数据(iFinD公式)'!$B843:$AA843/'实盘净值数据(iFinD公式)'!$B$65:$AA$65)*(1-实盘持仓初始配置!$Z$9)^(('实盘净值数据(iFinD公式)'!$A843-'实盘净值数据(iFinD公式)'!$A$8)/365))</x:f>
        <x:v>#NAME?</x:v>
      </x:c>
      <x:c r="R843" s="152" t="e">
        <x:f>IF(OR(Q842="",Q843=""),"",Q843/Q842-1)</x:f>
        <x:v>#NAME?</x:v>
      </x:c>
      <x:c r="S843" s="152" t="e">
        <x:f>IF(Q843="","",Q843/MAX(Q$5:Q843)-1)</x:f>
        <x:v>#NAME?</x:v>
      </x:c>
    </x:row>
    <x:row r="844">
      <x:c r="A844" s="149" t="str">
        <x:f>IF('实盘净值数据(iFinD公式)'!A844="","",'实盘净值数据(iFinD公式)'!A844)</x:f>
      </x:c>
      <x:c r="B844" s="146" t="e">
        <x:f>IF(OR('实盘净值数据(iFinD公式)'!$A844="",'实盘净值数据(iFinD公式)'!$B844=""),"",分期持仓明细!$AD$17*SUMPRODUCT(分期持仓明细!$B$17:$AA$17,'实盘净值数据(iFinD公式)'!$B844:$AA844/'实盘净值数据(iFinD公式)'!$B$20:$AA$20)*(1-实盘持仓初始配置!$Z$4)^(('实盘净值数据(iFinD公式)'!$A844-'实盘净值数据(iFinD公式)'!$A$6)/365))</x:f>
        <x:v>#NAME?</x:v>
      </x:c>
      <x:c r="C844" s="152" t="e">
        <x:f>IF(OR(B843="",B844=""),"",B844/B843-1)</x:f>
        <x:v>#NAME?</x:v>
      </x:c>
      <x:c r="D844" s="152" t="e">
        <x:f>IF(B844="","",B844/MAX(B$5:B844)-1)</x:f>
        <x:v>#NAME?</x:v>
      </x:c>
      <x:c r="E844" s="146" t="e">
        <x:f>IF(OR('实盘净值数据(iFinD公式)'!$A844="",'实盘净值数据(iFinD公式)'!$B844=""),"",分期持仓明细!$AD$18*SUMPRODUCT(分期持仓明细!$B$18:$AA$18,'实盘净值数据(iFinD公式)'!$B844:$AA844/'实盘净值数据(iFinD公式)'!$B$20:$AA$20)*(1-实盘持仓初始配置!$Z$5)^(('实盘净值数据(iFinD公式)'!$A844-'实盘净值数据(iFinD公式)'!$A$5)/365))</x:f>
        <x:v>#NAME?</x:v>
      </x:c>
      <x:c r="F844" s="152" t="e">
        <x:f>IF(OR(E843="",E844=""),"",E844/E843-1)</x:f>
        <x:v>#NAME?</x:v>
      </x:c>
      <x:c r="G844" s="152" t="e">
        <x:f>IF(E844="","",E844/MAX(E$5:E844)-1)</x:f>
        <x:v>#NAME?</x:v>
      </x:c>
      <x:c r="H844" s="146" t="e">
        <x:f>IF(OR('实盘净值数据(iFinD公式)'!$A844="",'实盘净值数据(iFinD公式)'!$B844=""),"",分期持仓明细!$AD$19*SUMPRODUCT(分期持仓明细!$B$19:$AA$19,'实盘净值数据(iFinD公式)'!$B844:$AA844/'实盘净值数据(iFinD公式)'!$B$20:$AA$20)*(1-实盘持仓初始配置!$Z$6)^(('实盘净值数据(iFinD公式)'!$A844-'实盘净值数据(iFinD公式)'!$A$7)/365))</x:f>
        <x:v>#NAME?</x:v>
      </x:c>
      <x:c r="I844" s="152" t="e">
        <x:f>IF(OR(H843="",H844=""),"",H844/H843-1)</x:f>
        <x:v>#NAME?</x:v>
      </x:c>
      <x:c r="J844" s="152" t="e">
        <x:f>IF(H844="","",H844/MAX(H$5:H844)-1)</x:f>
        <x:v>#NAME?</x:v>
      </x:c>
      <x:c r="K844" s="146" t="e">
        <x:f>IF(OR('实盘净值数据(iFinD公式)'!$A844="",'实盘净值数据(iFinD公式)'!$B844=""),"",分期持仓明细!$AD$23*SUMPRODUCT(分期持仓明细!$B$23:$AA$23,'实盘净值数据(iFinD公式)'!$B844:$AA844/'实盘净值数据(iFinD公式)'!$B$65:$AA$65)*(1-实盘持仓初始配置!$Z$7)^(('实盘净值数据(iFinD公式)'!$A844-'实盘净值数据(iFinD公式)'!$A$8)/365))</x:f>
        <x:v>#NAME?</x:v>
      </x:c>
      <x:c r="L844" s="152" t="e">
        <x:f>IF(OR(K843="",K844=""),"",K844/K843-1)</x:f>
        <x:v>#NAME?</x:v>
      </x:c>
      <x:c r="M844" s="152" t="e">
        <x:f>IF(K844="","",K844/MAX(K$5:K844)-1)</x:f>
        <x:v>#NAME?</x:v>
      </x:c>
      <x:c r="N844" s="146" t="e">
        <x:f>IF(OR('实盘净值数据(iFinD公式)'!$A844="",'实盘净值数据(iFinD公式)'!$B844=""),"",分期持仓明细!$AD$24*SUMPRODUCT(分期持仓明细!$B$24:$AA$24,'实盘净值数据(iFinD公式)'!$B844:$AA844/'实盘净值数据(iFinD公式)'!$B$65:$AA$65)*(1-实盘持仓初始配置!$Z$8)^(('实盘净值数据(iFinD公式)'!$A844-'实盘净值数据(iFinD公式)'!$A$5)/365))</x:f>
        <x:v>#NAME?</x:v>
      </x:c>
      <x:c r="O844" s="152" t="e">
        <x:f>IF(OR(N843="",N844=""),"",N844/N843-1)</x:f>
        <x:v>#NAME?</x:v>
      </x:c>
      <x:c r="P844" s="152" t="e">
        <x:f>IF(N844="","",N844/MAX(N$5:N844)-1)</x:f>
        <x:v>#NAME?</x:v>
      </x:c>
      <x:c r="Q844" s="146" t="e">
        <x:f>IF(OR('实盘净值数据(iFinD公式)'!$A844="",'实盘净值数据(iFinD公式)'!$B844=""),"",分期持仓明细!$AD$25*SUMPRODUCT(分期持仓明细!$B$25:$AA$25,'实盘净值数据(iFinD公式)'!$B844:$AA844/'实盘净值数据(iFinD公式)'!$B$65:$AA$65)*(1-实盘持仓初始配置!$Z$9)^(('实盘净值数据(iFinD公式)'!$A844-'实盘净值数据(iFinD公式)'!$A$8)/365))</x:f>
        <x:v>#NAME?</x:v>
      </x:c>
      <x:c r="R844" s="152" t="e">
        <x:f>IF(OR(Q843="",Q844=""),"",Q844/Q843-1)</x:f>
        <x:v>#NAME?</x:v>
      </x:c>
      <x:c r="S844" s="152" t="e">
        <x:f>IF(Q844="","",Q844/MAX(Q$5:Q844)-1)</x:f>
        <x:v>#NAME?</x:v>
      </x:c>
    </x:row>
    <x:row r="845">
      <x:c r="A845" s="149" t="str">
        <x:f>IF('实盘净值数据(iFinD公式)'!A845="","",'实盘净值数据(iFinD公式)'!A845)</x:f>
      </x:c>
      <x:c r="B845" s="146" t="e">
        <x:f>IF(OR('实盘净值数据(iFinD公式)'!$A845="",'实盘净值数据(iFinD公式)'!$B845=""),"",分期持仓明细!$AD$17*SUMPRODUCT(分期持仓明细!$B$17:$AA$17,'实盘净值数据(iFinD公式)'!$B845:$AA845/'实盘净值数据(iFinD公式)'!$B$20:$AA$20)*(1-实盘持仓初始配置!$Z$4)^(('实盘净值数据(iFinD公式)'!$A845-'实盘净值数据(iFinD公式)'!$A$6)/365))</x:f>
        <x:v>#NAME?</x:v>
      </x:c>
      <x:c r="C845" s="152" t="e">
        <x:f>IF(OR(B844="",B845=""),"",B845/B844-1)</x:f>
        <x:v>#NAME?</x:v>
      </x:c>
      <x:c r="D845" s="152" t="e">
        <x:f>IF(B845="","",B845/MAX(B$5:B845)-1)</x:f>
        <x:v>#NAME?</x:v>
      </x:c>
      <x:c r="E845" s="146" t="e">
        <x:f>IF(OR('实盘净值数据(iFinD公式)'!$A845="",'实盘净值数据(iFinD公式)'!$B845=""),"",分期持仓明细!$AD$18*SUMPRODUCT(分期持仓明细!$B$18:$AA$18,'实盘净值数据(iFinD公式)'!$B845:$AA845/'实盘净值数据(iFinD公式)'!$B$20:$AA$20)*(1-实盘持仓初始配置!$Z$5)^(('实盘净值数据(iFinD公式)'!$A845-'实盘净值数据(iFinD公式)'!$A$5)/365))</x:f>
        <x:v>#NAME?</x:v>
      </x:c>
      <x:c r="F845" s="152" t="e">
        <x:f>IF(OR(E844="",E845=""),"",E845/E844-1)</x:f>
        <x:v>#NAME?</x:v>
      </x:c>
      <x:c r="G845" s="152" t="e">
        <x:f>IF(E845="","",E845/MAX(E$5:E845)-1)</x:f>
        <x:v>#NAME?</x:v>
      </x:c>
      <x:c r="H845" s="146" t="e">
        <x:f>IF(OR('实盘净值数据(iFinD公式)'!$A845="",'实盘净值数据(iFinD公式)'!$B845=""),"",分期持仓明细!$AD$19*SUMPRODUCT(分期持仓明细!$B$19:$AA$19,'实盘净值数据(iFinD公式)'!$B845:$AA845/'实盘净值数据(iFinD公式)'!$B$20:$AA$20)*(1-实盘持仓初始配置!$Z$6)^(('实盘净值数据(iFinD公式)'!$A845-'实盘净值数据(iFinD公式)'!$A$7)/365))</x:f>
        <x:v>#NAME?</x:v>
      </x:c>
      <x:c r="I845" s="152" t="e">
        <x:f>IF(OR(H844="",H845=""),"",H845/H844-1)</x:f>
        <x:v>#NAME?</x:v>
      </x:c>
      <x:c r="J845" s="152" t="e">
        <x:f>IF(H845="","",H845/MAX(H$5:H845)-1)</x:f>
        <x:v>#NAME?</x:v>
      </x:c>
      <x:c r="K845" s="146" t="e">
        <x:f>IF(OR('实盘净值数据(iFinD公式)'!$A845="",'实盘净值数据(iFinD公式)'!$B845=""),"",分期持仓明细!$AD$23*SUMPRODUCT(分期持仓明细!$B$23:$AA$23,'实盘净值数据(iFinD公式)'!$B845:$AA845/'实盘净值数据(iFinD公式)'!$B$65:$AA$65)*(1-实盘持仓初始配置!$Z$7)^(('实盘净值数据(iFinD公式)'!$A845-'实盘净值数据(iFinD公式)'!$A$8)/365))</x:f>
        <x:v>#NAME?</x:v>
      </x:c>
      <x:c r="L845" s="152" t="e">
        <x:f>IF(OR(K844="",K845=""),"",K845/K844-1)</x:f>
        <x:v>#NAME?</x:v>
      </x:c>
      <x:c r="M845" s="152" t="e">
        <x:f>IF(K845="","",K845/MAX(K$5:K845)-1)</x:f>
        <x:v>#NAME?</x:v>
      </x:c>
      <x:c r="N845" s="146" t="e">
        <x:f>IF(OR('实盘净值数据(iFinD公式)'!$A845="",'实盘净值数据(iFinD公式)'!$B845=""),"",分期持仓明细!$AD$24*SUMPRODUCT(分期持仓明细!$B$24:$AA$24,'实盘净值数据(iFinD公式)'!$B845:$AA845/'实盘净值数据(iFinD公式)'!$B$65:$AA$65)*(1-实盘持仓初始配置!$Z$8)^(('实盘净值数据(iFinD公式)'!$A845-'实盘净值数据(iFinD公式)'!$A$5)/365))</x:f>
        <x:v>#NAME?</x:v>
      </x:c>
      <x:c r="O845" s="152" t="e">
        <x:f>IF(OR(N844="",N845=""),"",N845/N844-1)</x:f>
        <x:v>#NAME?</x:v>
      </x:c>
      <x:c r="P845" s="152" t="e">
        <x:f>IF(N845="","",N845/MAX(N$5:N845)-1)</x:f>
        <x:v>#NAME?</x:v>
      </x:c>
      <x:c r="Q845" s="146" t="e">
        <x:f>IF(OR('实盘净值数据(iFinD公式)'!$A845="",'实盘净值数据(iFinD公式)'!$B845=""),"",分期持仓明细!$AD$25*SUMPRODUCT(分期持仓明细!$B$25:$AA$25,'实盘净值数据(iFinD公式)'!$B845:$AA845/'实盘净值数据(iFinD公式)'!$B$65:$AA$65)*(1-实盘持仓初始配置!$Z$9)^(('实盘净值数据(iFinD公式)'!$A845-'实盘净值数据(iFinD公式)'!$A$8)/365))</x:f>
        <x:v>#NAME?</x:v>
      </x:c>
      <x:c r="R845" s="152" t="e">
        <x:f>IF(OR(Q844="",Q845=""),"",Q845/Q844-1)</x:f>
        <x:v>#NAME?</x:v>
      </x:c>
      <x:c r="S845" s="152" t="e">
        <x:f>IF(Q845="","",Q845/MAX(Q$5:Q845)-1)</x:f>
        <x:v>#NAME?</x:v>
      </x:c>
    </x:row>
    <x:row r="846">
      <x:c r="A846" s="149" t="str">
        <x:f>IF('实盘净值数据(iFinD公式)'!A846="","",'实盘净值数据(iFinD公式)'!A846)</x:f>
      </x:c>
      <x:c r="B846" s="146" t="e">
        <x:f>IF(OR('实盘净值数据(iFinD公式)'!$A846="",'实盘净值数据(iFinD公式)'!$B846=""),"",分期持仓明细!$AD$17*SUMPRODUCT(分期持仓明细!$B$17:$AA$17,'实盘净值数据(iFinD公式)'!$B846:$AA846/'实盘净值数据(iFinD公式)'!$B$20:$AA$20)*(1-实盘持仓初始配置!$Z$4)^(('实盘净值数据(iFinD公式)'!$A846-'实盘净值数据(iFinD公式)'!$A$6)/365))</x:f>
        <x:v>#NAME?</x:v>
      </x:c>
      <x:c r="C846" s="152" t="e">
        <x:f>IF(OR(B845="",B846=""),"",B846/B845-1)</x:f>
        <x:v>#NAME?</x:v>
      </x:c>
      <x:c r="D846" s="152" t="e">
        <x:f>IF(B846="","",B846/MAX(B$5:B846)-1)</x:f>
        <x:v>#NAME?</x:v>
      </x:c>
      <x:c r="E846" s="146" t="e">
        <x:f>IF(OR('实盘净值数据(iFinD公式)'!$A846="",'实盘净值数据(iFinD公式)'!$B846=""),"",分期持仓明细!$AD$18*SUMPRODUCT(分期持仓明细!$B$18:$AA$18,'实盘净值数据(iFinD公式)'!$B846:$AA846/'实盘净值数据(iFinD公式)'!$B$20:$AA$20)*(1-实盘持仓初始配置!$Z$5)^(('实盘净值数据(iFinD公式)'!$A846-'实盘净值数据(iFinD公式)'!$A$5)/365))</x:f>
        <x:v>#NAME?</x:v>
      </x:c>
      <x:c r="F846" s="152" t="e">
        <x:f>IF(OR(E845="",E846=""),"",E846/E845-1)</x:f>
        <x:v>#NAME?</x:v>
      </x:c>
      <x:c r="G846" s="152" t="e">
        <x:f>IF(E846="","",E846/MAX(E$5:E846)-1)</x:f>
        <x:v>#NAME?</x:v>
      </x:c>
      <x:c r="H846" s="146" t="e">
        <x:f>IF(OR('实盘净值数据(iFinD公式)'!$A846="",'实盘净值数据(iFinD公式)'!$B846=""),"",分期持仓明细!$AD$19*SUMPRODUCT(分期持仓明细!$B$19:$AA$19,'实盘净值数据(iFinD公式)'!$B846:$AA846/'实盘净值数据(iFinD公式)'!$B$20:$AA$20)*(1-实盘持仓初始配置!$Z$6)^(('实盘净值数据(iFinD公式)'!$A846-'实盘净值数据(iFinD公式)'!$A$7)/365))</x:f>
        <x:v>#NAME?</x:v>
      </x:c>
      <x:c r="I846" s="152" t="e">
        <x:f>IF(OR(H845="",H846=""),"",H846/H845-1)</x:f>
        <x:v>#NAME?</x:v>
      </x:c>
      <x:c r="J846" s="152" t="e">
        <x:f>IF(H846="","",H846/MAX(H$5:H846)-1)</x:f>
        <x:v>#NAME?</x:v>
      </x:c>
      <x:c r="K846" s="146" t="e">
        <x:f>IF(OR('实盘净值数据(iFinD公式)'!$A846="",'实盘净值数据(iFinD公式)'!$B846=""),"",分期持仓明细!$AD$23*SUMPRODUCT(分期持仓明细!$B$23:$AA$23,'实盘净值数据(iFinD公式)'!$B846:$AA846/'实盘净值数据(iFinD公式)'!$B$65:$AA$65)*(1-实盘持仓初始配置!$Z$7)^(('实盘净值数据(iFinD公式)'!$A846-'实盘净值数据(iFinD公式)'!$A$8)/365))</x:f>
        <x:v>#NAME?</x:v>
      </x:c>
      <x:c r="L846" s="152" t="e">
        <x:f>IF(OR(K845="",K846=""),"",K846/K845-1)</x:f>
        <x:v>#NAME?</x:v>
      </x:c>
      <x:c r="M846" s="152" t="e">
        <x:f>IF(K846="","",K846/MAX(K$5:K846)-1)</x:f>
        <x:v>#NAME?</x:v>
      </x:c>
      <x:c r="N846" s="146" t="e">
        <x:f>IF(OR('实盘净值数据(iFinD公式)'!$A846="",'实盘净值数据(iFinD公式)'!$B846=""),"",分期持仓明细!$AD$24*SUMPRODUCT(分期持仓明细!$B$24:$AA$24,'实盘净值数据(iFinD公式)'!$B846:$AA846/'实盘净值数据(iFinD公式)'!$B$65:$AA$65)*(1-实盘持仓初始配置!$Z$8)^(('实盘净值数据(iFinD公式)'!$A846-'实盘净值数据(iFinD公式)'!$A$5)/365))</x:f>
        <x:v>#NAME?</x:v>
      </x:c>
      <x:c r="O846" s="152" t="e">
        <x:f>IF(OR(N845="",N846=""),"",N846/N845-1)</x:f>
        <x:v>#NAME?</x:v>
      </x:c>
      <x:c r="P846" s="152" t="e">
        <x:f>IF(N846="","",N846/MAX(N$5:N846)-1)</x:f>
        <x:v>#NAME?</x:v>
      </x:c>
      <x:c r="Q846" s="146" t="e">
        <x:f>IF(OR('实盘净值数据(iFinD公式)'!$A846="",'实盘净值数据(iFinD公式)'!$B846=""),"",分期持仓明细!$AD$25*SUMPRODUCT(分期持仓明细!$B$25:$AA$25,'实盘净值数据(iFinD公式)'!$B846:$AA846/'实盘净值数据(iFinD公式)'!$B$65:$AA$65)*(1-实盘持仓初始配置!$Z$9)^(('实盘净值数据(iFinD公式)'!$A846-'实盘净值数据(iFinD公式)'!$A$8)/365))</x:f>
        <x:v>#NAME?</x:v>
      </x:c>
      <x:c r="R846" s="152" t="e">
        <x:f>IF(OR(Q845="",Q846=""),"",Q846/Q845-1)</x:f>
        <x:v>#NAME?</x:v>
      </x:c>
      <x:c r="S846" s="152" t="e">
        <x:f>IF(Q846="","",Q846/MAX(Q$5:Q846)-1)</x:f>
        <x:v>#NAME?</x:v>
      </x:c>
    </x:row>
    <x:row r="847">
      <x:c r="A847" s="149" t="str">
        <x:f>IF('实盘净值数据(iFinD公式)'!A847="","",'实盘净值数据(iFinD公式)'!A847)</x:f>
      </x:c>
      <x:c r="B847" s="146" t="e">
        <x:f>IF(OR('实盘净值数据(iFinD公式)'!$A847="",'实盘净值数据(iFinD公式)'!$B847=""),"",分期持仓明细!$AD$17*SUMPRODUCT(分期持仓明细!$B$17:$AA$17,'实盘净值数据(iFinD公式)'!$B847:$AA847/'实盘净值数据(iFinD公式)'!$B$20:$AA$20)*(1-实盘持仓初始配置!$Z$4)^(('实盘净值数据(iFinD公式)'!$A847-'实盘净值数据(iFinD公式)'!$A$6)/365))</x:f>
        <x:v>#NAME?</x:v>
      </x:c>
      <x:c r="C847" s="152" t="e">
        <x:f>IF(OR(B846="",B847=""),"",B847/B846-1)</x:f>
        <x:v>#NAME?</x:v>
      </x:c>
      <x:c r="D847" s="152" t="e">
        <x:f>IF(B847="","",B847/MAX(B$5:B847)-1)</x:f>
        <x:v>#NAME?</x:v>
      </x:c>
      <x:c r="E847" s="146" t="e">
        <x:f>IF(OR('实盘净值数据(iFinD公式)'!$A847="",'实盘净值数据(iFinD公式)'!$B847=""),"",分期持仓明细!$AD$18*SUMPRODUCT(分期持仓明细!$B$18:$AA$18,'实盘净值数据(iFinD公式)'!$B847:$AA847/'实盘净值数据(iFinD公式)'!$B$20:$AA$20)*(1-实盘持仓初始配置!$Z$5)^(('实盘净值数据(iFinD公式)'!$A847-'实盘净值数据(iFinD公式)'!$A$5)/365))</x:f>
        <x:v>#NAME?</x:v>
      </x:c>
      <x:c r="F847" s="152" t="e">
        <x:f>IF(OR(E846="",E847=""),"",E847/E846-1)</x:f>
        <x:v>#NAME?</x:v>
      </x:c>
      <x:c r="G847" s="152" t="e">
        <x:f>IF(E847="","",E847/MAX(E$5:E847)-1)</x:f>
        <x:v>#NAME?</x:v>
      </x:c>
      <x:c r="H847" s="146" t="e">
        <x:f>IF(OR('实盘净值数据(iFinD公式)'!$A847="",'实盘净值数据(iFinD公式)'!$B847=""),"",分期持仓明细!$AD$19*SUMPRODUCT(分期持仓明细!$B$19:$AA$19,'实盘净值数据(iFinD公式)'!$B847:$AA847/'实盘净值数据(iFinD公式)'!$B$20:$AA$20)*(1-实盘持仓初始配置!$Z$6)^(('实盘净值数据(iFinD公式)'!$A847-'实盘净值数据(iFinD公式)'!$A$7)/365))</x:f>
        <x:v>#NAME?</x:v>
      </x:c>
      <x:c r="I847" s="152" t="e">
        <x:f>IF(OR(H846="",H847=""),"",H847/H846-1)</x:f>
        <x:v>#NAME?</x:v>
      </x:c>
      <x:c r="J847" s="152" t="e">
        <x:f>IF(H847="","",H847/MAX(H$5:H847)-1)</x:f>
        <x:v>#NAME?</x:v>
      </x:c>
      <x:c r="K847" s="146" t="e">
        <x:f>IF(OR('实盘净值数据(iFinD公式)'!$A847="",'实盘净值数据(iFinD公式)'!$B847=""),"",分期持仓明细!$AD$23*SUMPRODUCT(分期持仓明细!$B$23:$AA$23,'实盘净值数据(iFinD公式)'!$B847:$AA847/'实盘净值数据(iFinD公式)'!$B$65:$AA$65)*(1-实盘持仓初始配置!$Z$7)^(('实盘净值数据(iFinD公式)'!$A847-'实盘净值数据(iFinD公式)'!$A$8)/365))</x:f>
        <x:v>#NAME?</x:v>
      </x:c>
      <x:c r="L847" s="152" t="e">
        <x:f>IF(OR(K846="",K847=""),"",K847/K846-1)</x:f>
        <x:v>#NAME?</x:v>
      </x:c>
      <x:c r="M847" s="152" t="e">
        <x:f>IF(K847="","",K847/MAX(K$5:K847)-1)</x:f>
        <x:v>#NAME?</x:v>
      </x:c>
      <x:c r="N847" s="146" t="e">
        <x:f>IF(OR('实盘净值数据(iFinD公式)'!$A847="",'实盘净值数据(iFinD公式)'!$B847=""),"",分期持仓明细!$AD$24*SUMPRODUCT(分期持仓明细!$B$24:$AA$24,'实盘净值数据(iFinD公式)'!$B847:$AA847/'实盘净值数据(iFinD公式)'!$B$65:$AA$65)*(1-实盘持仓初始配置!$Z$8)^(('实盘净值数据(iFinD公式)'!$A847-'实盘净值数据(iFinD公式)'!$A$5)/365))</x:f>
        <x:v>#NAME?</x:v>
      </x:c>
      <x:c r="O847" s="152" t="e">
        <x:f>IF(OR(N846="",N847=""),"",N847/N846-1)</x:f>
        <x:v>#NAME?</x:v>
      </x:c>
      <x:c r="P847" s="152" t="e">
        <x:f>IF(N847="","",N847/MAX(N$5:N847)-1)</x:f>
        <x:v>#NAME?</x:v>
      </x:c>
      <x:c r="Q847" s="146" t="e">
        <x:f>IF(OR('实盘净值数据(iFinD公式)'!$A847="",'实盘净值数据(iFinD公式)'!$B847=""),"",分期持仓明细!$AD$25*SUMPRODUCT(分期持仓明细!$B$25:$AA$25,'实盘净值数据(iFinD公式)'!$B847:$AA847/'实盘净值数据(iFinD公式)'!$B$65:$AA$65)*(1-实盘持仓初始配置!$Z$9)^(('实盘净值数据(iFinD公式)'!$A847-'实盘净值数据(iFinD公式)'!$A$8)/365))</x:f>
        <x:v>#NAME?</x:v>
      </x:c>
      <x:c r="R847" s="152" t="e">
        <x:f>IF(OR(Q846="",Q847=""),"",Q847/Q846-1)</x:f>
        <x:v>#NAME?</x:v>
      </x:c>
      <x:c r="S847" s="152" t="e">
        <x:f>IF(Q847="","",Q847/MAX(Q$5:Q847)-1)</x:f>
        <x:v>#NAME?</x:v>
      </x:c>
    </x:row>
    <x:row r="848">
      <x:c r="A848" s="149" t="str">
        <x:f>IF('实盘净值数据(iFinD公式)'!A848="","",'实盘净值数据(iFinD公式)'!A848)</x:f>
      </x:c>
      <x:c r="B848" s="146" t="e">
        <x:f>IF(OR('实盘净值数据(iFinD公式)'!$A848="",'实盘净值数据(iFinD公式)'!$B848=""),"",分期持仓明细!$AD$17*SUMPRODUCT(分期持仓明细!$B$17:$AA$17,'实盘净值数据(iFinD公式)'!$B848:$AA848/'实盘净值数据(iFinD公式)'!$B$20:$AA$20)*(1-实盘持仓初始配置!$Z$4)^(('实盘净值数据(iFinD公式)'!$A848-'实盘净值数据(iFinD公式)'!$A$6)/365))</x:f>
        <x:v>#NAME?</x:v>
      </x:c>
      <x:c r="C848" s="152" t="e">
        <x:f>IF(OR(B847="",B848=""),"",B848/B847-1)</x:f>
        <x:v>#NAME?</x:v>
      </x:c>
      <x:c r="D848" s="152" t="e">
        <x:f>IF(B848="","",B848/MAX(B$5:B848)-1)</x:f>
        <x:v>#NAME?</x:v>
      </x:c>
      <x:c r="E848" s="146" t="e">
        <x:f>IF(OR('实盘净值数据(iFinD公式)'!$A848="",'实盘净值数据(iFinD公式)'!$B848=""),"",分期持仓明细!$AD$18*SUMPRODUCT(分期持仓明细!$B$18:$AA$18,'实盘净值数据(iFinD公式)'!$B848:$AA848/'实盘净值数据(iFinD公式)'!$B$20:$AA$20)*(1-实盘持仓初始配置!$Z$5)^(('实盘净值数据(iFinD公式)'!$A848-'实盘净值数据(iFinD公式)'!$A$5)/365))</x:f>
        <x:v>#NAME?</x:v>
      </x:c>
      <x:c r="F848" s="152" t="e">
        <x:f>IF(OR(E847="",E848=""),"",E848/E847-1)</x:f>
        <x:v>#NAME?</x:v>
      </x:c>
      <x:c r="G848" s="152" t="e">
        <x:f>IF(E848="","",E848/MAX(E$5:E848)-1)</x:f>
        <x:v>#NAME?</x:v>
      </x:c>
      <x:c r="H848" s="146" t="e">
        <x:f>IF(OR('实盘净值数据(iFinD公式)'!$A848="",'实盘净值数据(iFinD公式)'!$B848=""),"",分期持仓明细!$AD$19*SUMPRODUCT(分期持仓明细!$B$19:$AA$19,'实盘净值数据(iFinD公式)'!$B848:$AA848/'实盘净值数据(iFinD公式)'!$B$20:$AA$20)*(1-实盘持仓初始配置!$Z$6)^(('实盘净值数据(iFinD公式)'!$A848-'实盘净值数据(iFinD公式)'!$A$7)/365))</x:f>
        <x:v>#NAME?</x:v>
      </x:c>
      <x:c r="I848" s="152" t="e">
        <x:f>IF(OR(H847="",H848=""),"",H848/H847-1)</x:f>
        <x:v>#NAME?</x:v>
      </x:c>
      <x:c r="J848" s="152" t="e">
        <x:f>IF(H848="","",H848/MAX(H$5:H848)-1)</x:f>
        <x:v>#NAME?</x:v>
      </x:c>
      <x:c r="K848" s="146" t="e">
        <x:f>IF(OR('实盘净值数据(iFinD公式)'!$A848="",'实盘净值数据(iFinD公式)'!$B848=""),"",分期持仓明细!$AD$23*SUMPRODUCT(分期持仓明细!$B$23:$AA$23,'实盘净值数据(iFinD公式)'!$B848:$AA848/'实盘净值数据(iFinD公式)'!$B$65:$AA$65)*(1-实盘持仓初始配置!$Z$7)^(('实盘净值数据(iFinD公式)'!$A848-'实盘净值数据(iFinD公式)'!$A$8)/365))</x:f>
        <x:v>#NAME?</x:v>
      </x:c>
      <x:c r="L848" s="152" t="e">
        <x:f>IF(OR(K847="",K848=""),"",K848/K847-1)</x:f>
        <x:v>#NAME?</x:v>
      </x:c>
      <x:c r="M848" s="152" t="e">
        <x:f>IF(K848="","",K848/MAX(K$5:K848)-1)</x:f>
        <x:v>#NAME?</x:v>
      </x:c>
      <x:c r="N848" s="146" t="e">
        <x:f>IF(OR('实盘净值数据(iFinD公式)'!$A848="",'实盘净值数据(iFinD公式)'!$B848=""),"",分期持仓明细!$AD$24*SUMPRODUCT(分期持仓明细!$B$24:$AA$24,'实盘净值数据(iFinD公式)'!$B848:$AA848/'实盘净值数据(iFinD公式)'!$B$65:$AA$65)*(1-实盘持仓初始配置!$Z$8)^(('实盘净值数据(iFinD公式)'!$A848-'实盘净值数据(iFinD公式)'!$A$5)/365))</x:f>
        <x:v>#NAME?</x:v>
      </x:c>
      <x:c r="O848" s="152" t="e">
        <x:f>IF(OR(N847="",N848=""),"",N848/N847-1)</x:f>
        <x:v>#NAME?</x:v>
      </x:c>
      <x:c r="P848" s="152" t="e">
        <x:f>IF(N848="","",N848/MAX(N$5:N848)-1)</x:f>
        <x:v>#NAME?</x:v>
      </x:c>
      <x:c r="Q848" s="146" t="e">
        <x:f>IF(OR('实盘净值数据(iFinD公式)'!$A848="",'实盘净值数据(iFinD公式)'!$B848=""),"",分期持仓明细!$AD$25*SUMPRODUCT(分期持仓明细!$B$25:$AA$25,'实盘净值数据(iFinD公式)'!$B848:$AA848/'实盘净值数据(iFinD公式)'!$B$65:$AA$65)*(1-实盘持仓初始配置!$Z$9)^(('实盘净值数据(iFinD公式)'!$A848-'实盘净值数据(iFinD公式)'!$A$8)/365))</x:f>
        <x:v>#NAME?</x:v>
      </x:c>
      <x:c r="R848" s="152" t="e">
        <x:f>IF(OR(Q847="",Q848=""),"",Q848/Q847-1)</x:f>
        <x:v>#NAME?</x:v>
      </x:c>
      <x:c r="S848" s="152" t="e">
        <x:f>IF(Q848="","",Q848/MAX(Q$5:Q848)-1)</x:f>
        <x:v>#NAME?</x:v>
      </x:c>
    </x:row>
    <x:row r="849">
      <x:c r="A849" s="149" t="str">
        <x:f>IF('实盘净值数据(iFinD公式)'!A849="","",'实盘净值数据(iFinD公式)'!A849)</x:f>
      </x:c>
      <x:c r="B849" s="146" t="e">
        <x:f>IF(OR('实盘净值数据(iFinD公式)'!$A849="",'实盘净值数据(iFinD公式)'!$B849=""),"",分期持仓明细!$AD$17*SUMPRODUCT(分期持仓明细!$B$17:$AA$17,'实盘净值数据(iFinD公式)'!$B849:$AA849/'实盘净值数据(iFinD公式)'!$B$20:$AA$20)*(1-实盘持仓初始配置!$Z$4)^(('实盘净值数据(iFinD公式)'!$A849-'实盘净值数据(iFinD公式)'!$A$6)/365))</x:f>
        <x:v>#NAME?</x:v>
      </x:c>
      <x:c r="C849" s="152" t="e">
        <x:f>IF(OR(B848="",B849=""),"",B849/B848-1)</x:f>
        <x:v>#NAME?</x:v>
      </x:c>
      <x:c r="D849" s="152" t="e">
        <x:f>IF(B849="","",B849/MAX(B$5:B849)-1)</x:f>
        <x:v>#NAME?</x:v>
      </x:c>
      <x:c r="E849" s="146" t="e">
        <x:f>IF(OR('实盘净值数据(iFinD公式)'!$A849="",'实盘净值数据(iFinD公式)'!$B849=""),"",分期持仓明细!$AD$18*SUMPRODUCT(分期持仓明细!$B$18:$AA$18,'实盘净值数据(iFinD公式)'!$B849:$AA849/'实盘净值数据(iFinD公式)'!$B$20:$AA$20)*(1-实盘持仓初始配置!$Z$5)^(('实盘净值数据(iFinD公式)'!$A849-'实盘净值数据(iFinD公式)'!$A$5)/365))</x:f>
        <x:v>#NAME?</x:v>
      </x:c>
      <x:c r="F849" s="152" t="e">
        <x:f>IF(OR(E848="",E849=""),"",E849/E848-1)</x:f>
        <x:v>#NAME?</x:v>
      </x:c>
      <x:c r="G849" s="152" t="e">
        <x:f>IF(E849="","",E849/MAX(E$5:E849)-1)</x:f>
        <x:v>#NAME?</x:v>
      </x:c>
      <x:c r="H849" s="146" t="e">
        <x:f>IF(OR('实盘净值数据(iFinD公式)'!$A849="",'实盘净值数据(iFinD公式)'!$B849=""),"",分期持仓明细!$AD$19*SUMPRODUCT(分期持仓明细!$B$19:$AA$19,'实盘净值数据(iFinD公式)'!$B849:$AA849/'实盘净值数据(iFinD公式)'!$B$20:$AA$20)*(1-实盘持仓初始配置!$Z$6)^(('实盘净值数据(iFinD公式)'!$A849-'实盘净值数据(iFinD公式)'!$A$7)/365))</x:f>
        <x:v>#NAME?</x:v>
      </x:c>
      <x:c r="I849" s="152" t="e">
        <x:f>IF(OR(H848="",H849=""),"",H849/H848-1)</x:f>
        <x:v>#NAME?</x:v>
      </x:c>
      <x:c r="J849" s="152" t="e">
        <x:f>IF(H849="","",H849/MAX(H$5:H849)-1)</x:f>
        <x:v>#NAME?</x:v>
      </x:c>
      <x:c r="K849" s="146" t="e">
        <x:f>IF(OR('实盘净值数据(iFinD公式)'!$A849="",'实盘净值数据(iFinD公式)'!$B849=""),"",分期持仓明细!$AD$23*SUMPRODUCT(分期持仓明细!$B$23:$AA$23,'实盘净值数据(iFinD公式)'!$B849:$AA849/'实盘净值数据(iFinD公式)'!$B$65:$AA$65)*(1-实盘持仓初始配置!$Z$7)^(('实盘净值数据(iFinD公式)'!$A849-'实盘净值数据(iFinD公式)'!$A$8)/365))</x:f>
        <x:v>#NAME?</x:v>
      </x:c>
      <x:c r="L849" s="152" t="e">
        <x:f>IF(OR(K848="",K849=""),"",K849/K848-1)</x:f>
        <x:v>#NAME?</x:v>
      </x:c>
      <x:c r="M849" s="152" t="e">
        <x:f>IF(K849="","",K849/MAX(K$5:K849)-1)</x:f>
        <x:v>#NAME?</x:v>
      </x:c>
      <x:c r="N849" s="146" t="e">
        <x:f>IF(OR('实盘净值数据(iFinD公式)'!$A849="",'实盘净值数据(iFinD公式)'!$B849=""),"",分期持仓明细!$AD$24*SUMPRODUCT(分期持仓明细!$B$24:$AA$24,'实盘净值数据(iFinD公式)'!$B849:$AA849/'实盘净值数据(iFinD公式)'!$B$65:$AA$65)*(1-实盘持仓初始配置!$Z$8)^(('实盘净值数据(iFinD公式)'!$A849-'实盘净值数据(iFinD公式)'!$A$5)/365))</x:f>
        <x:v>#NAME?</x:v>
      </x:c>
      <x:c r="O849" s="152" t="e">
        <x:f>IF(OR(N848="",N849=""),"",N849/N848-1)</x:f>
        <x:v>#NAME?</x:v>
      </x:c>
      <x:c r="P849" s="152" t="e">
        <x:f>IF(N849="","",N849/MAX(N$5:N849)-1)</x:f>
        <x:v>#NAME?</x:v>
      </x:c>
      <x:c r="Q849" s="146" t="e">
        <x:f>IF(OR('实盘净值数据(iFinD公式)'!$A849="",'实盘净值数据(iFinD公式)'!$B849=""),"",分期持仓明细!$AD$25*SUMPRODUCT(分期持仓明细!$B$25:$AA$25,'实盘净值数据(iFinD公式)'!$B849:$AA849/'实盘净值数据(iFinD公式)'!$B$65:$AA$65)*(1-实盘持仓初始配置!$Z$9)^(('实盘净值数据(iFinD公式)'!$A849-'实盘净值数据(iFinD公式)'!$A$8)/365))</x:f>
        <x:v>#NAME?</x:v>
      </x:c>
      <x:c r="R849" s="152" t="e">
        <x:f>IF(OR(Q848="",Q849=""),"",Q849/Q848-1)</x:f>
        <x:v>#NAME?</x:v>
      </x:c>
      <x:c r="S849" s="152" t="e">
        <x:f>IF(Q849="","",Q849/MAX(Q$5:Q849)-1)</x:f>
        <x:v>#NAME?</x:v>
      </x:c>
    </x:row>
    <x:row r="850">
      <x:c r="A850" s="149" t="str">
        <x:f>IF('实盘净值数据(iFinD公式)'!A850="","",'实盘净值数据(iFinD公式)'!A850)</x:f>
      </x:c>
      <x:c r="B850" s="146" t="e">
        <x:f>IF(OR('实盘净值数据(iFinD公式)'!$A850="",'实盘净值数据(iFinD公式)'!$B850=""),"",分期持仓明细!$AD$17*SUMPRODUCT(分期持仓明细!$B$17:$AA$17,'实盘净值数据(iFinD公式)'!$B850:$AA850/'实盘净值数据(iFinD公式)'!$B$20:$AA$20)*(1-实盘持仓初始配置!$Z$4)^(('实盘净值数据(iFinD公式)'!$A850-'实盘净值数据(iFinD公式)'!$A$6)/365))</x:f>
        <x:v>#NAME?</x:v>
      </x:c>
      <x:c r="C850" s="152" t="e">
        <x:f>IF(OR(B849="",B850=""),"",B850/B849-1)</x:f>
        <x:v>#NAME?</x:v>
      </x:c>
      <x:c r="D850" s="152" t="e">
        <x:f>IF(B850="","",B850/MAX(B$5:B850)-1)</x:f>
        <x:v>#NAME?</x:v>
      </x:c>
      <x:c r="E850" s="146" t="e">
        <x:f>IF(OR('实盘净值数据(iFinD公式)'!$A850="",'实盘净值数据(iFinD公式)'!$B850=""),"",分期持仓明细!$AD$18*SUMPRODUCT(分期持仓明细!$B$18:$AA$18,'实盘净值数据(iFinD公式)'!$B850:$AA850/'实盘净值数据(iFinD公式)'!$B$20:$AA$20)*(1-实盘持仓初始配置!$Z$5)^(('实盘净值数据(iFinD公式)'!$A850-'实盘净值数据(iFinD公式)'!$A$5)/365))</x:f>
        <x:v>#NAME?</x:v>
      </x:c>
      <x:c r="F850" s="152" t="e">
        <x:f>IF(OR(E849="",E850=""),"",E850/E849-1)</x:f>
        <x:v>#NAME?</x:v>
      </x:c>
      <x:c r="G850" s="152" t="e">
        <x:f>IF(E850="","",E850/MAX(E$5:E850)-1)</x:f>
        <x:v>#NAME?</x:v>
      </x:c>
      <x:c r="H850" s="146" t="e">
        <x:f>IF(OR('实盘净值数据(iFinD公式)'!$A850="",'实盘净值数据(iFinD公式)'!$B850=""),"",分期持仓明细!$AD$19*SUMPRODUCT(分期持仓明细!$B$19:$AA$19,'实盘净值数据(iFinD公式)'!$B850:$AA850/'实盘净值数据(iFinD公式)'!$B$20:$AA$20)*(1-实盘持仓初始配置!$Z$6)^(('实盘净值数据(iFinD公式)'!$A850-'实盘净值数据(iFinD公式)'!$A$7)/365))</x:f>
        <x:v>#NAME?</x:v>
      </x:c>
      <x:c r="I850" s="152" t="e">
        <x:f>IF(OR(H849="",H850=""),"",H850/H849-1)</x:f>
        <x:v>#NAME?</x:v>
      </x:c>
      <x:c r="J850" s="152" t="e">
        <x:f>IF(H850="","",H850/MAX(H$5:H850)-1)</x:f>
        <x:v>#NAME?</x:v>
      </x:c>
      <x:c r="K850" s="146" t="e">
        <x:f>IF(OR('实盘净值数据(iFinD公式)'!$A850="",'实盘净值数据(iFinD公式)'!$B850=""),"",分期持仓明细!$AD$23*SUMPRODUCT(分期持仓明细!$B$23:$AA$23,'实盘净值数据(iFinD公式)'!$B850:$AA850/'实盘净值数据(iFinD公式)'!$B$65:$AA$65)*(1-实盘持仓初始配置!$Z$7)^(('实盘净值数据(iFinD公式)'!$A850-'实盘净值数据(iFinD公式)'!$A$8)/365))</x:f>
        <x:v>#NAME?</x:v>
      </x:c>
      <x:c r="L850" s="152" t="e">
        <x:f>IF(OR(K849="",K850=""),"",K850/K849-1)</x:f>
        <x:v>#NAME?</x:v>
      </x:c>
      <x:c r="M850" s="152" t="e">
        <x:f>IF(K850="","",K850/MAX(K$5:K850)-1)</x:f>
        <x:v>#NAME?</x:v>
      </x:c>
      <x:c r="N850" s="146" t="e">
        <x:f>IF(OR('实盘净值数据(iFinD公式)'!$A850="",'实盘净值数据(iFinD公式)'!$B850=""),"",分期持仓明细!$AD$24*SUMPRODUCT(分期持仓明细!$B$24:$AA$24,'实盘净值数据(iFinD公式)'!$B850:$AA850/'实盘净值数据(iFinD公式)'!$B$65:$AA$65)*(1-实盘持仓初始配置!$Z$8)^(('实盘净值数据(iFinD公式)'!$A850-'实盘净值数据(iFinD公式)'!$A$5)/365))</x:f>
        <x:v>#NAME?</x:v>
      </x:c>
      <x:c r="O850" s="152" t="e">
        <x:f>IF(OR(N849="",N850=""),"",N850/N849-1)</x:f>
        <x:v>#NAME?</x:v>
      </x:c>
      <x:c r="P850" s="152" t="e">
        <x:f>IF(N850="","",N850/MAX(N$5:N850)-1)</x:f>
        <x:v>#NAME?</x:v>
      </x:c>
      <x:c r="Q850" s="146" t="e">
        <x:f>IF(OR('实盘净值数据(iFinD公式)'!$A850="",'实盘净值数据(iFinD公式)'!$B850=""),"",分期持仓明细!$AD$25*SUMPRODUCT(分期持仓明细!$B$25:$AA$25,'实盘净值数据(iFinD公式)'!$B850:$AA850/'实盘净值数据(iFinD公式)'!$B$65:$AA$65)*(1-实盘持仓初始配置!$Z$9)^(('实盘净值数据(iFinD公式)'!$A850-'实盘净值数据(iFinD公式)'!$A$8)/365))</x:f>
        <x:v>#NAME?</x:v>
      </x:c>
      <x:c r="R850" s="152" t="e">
        <x:f>IF(OR(Q849="",Q850=""),"",Q850/Q849-1)</x:f>
        <x:v>#NAME?</x:v>
      </x:c>
      <x:c r="S850" s="152" t="e">
        <x:f>IF(Q850="","",Q850/MAX(Q$5:Q850)-1)</x:f>
        <x:v>#NAME?</x:v>
      </x:c>
    </x:row>
    <x:row r="851">
      <x:c r="A851" s="149" t="str">
        <x:f>IF('实盘净值数据(iFinD公式)'!A851="","",'实盘净值数据(iFinD公式)'!A851)</x:f>
      </x:c>
      <x:c r="B851" s="146" t="e">
        <x:f>IF(OR('实盘净值数据(iFinD公式)'!$A851="",'实盘净值数据(iFinD公式)'!$B851=""),"",分期持仓明细!$AD$17*SUMPRODUCT(分期持仓明细!$B$17:$AA$17,'实盘净值数据(iFinD公式)'!$B851:$AA851/'实盘净值数据(iFinD公式)'!$B$20:$AA$20)*(1-实盘持仓初始配置!$Z$4)^(('实盘净值数据(iFinD公式)'!$A851-'实盘净值数据(iFinD公式)'!$A$6)/365))</x:f>
        <x:v>#NAME?</x:v>
      </x:c>
      <x:c r="C851" s="152" t="e">
        <x:f>IF(OR(B850="",B851=""),"",B851/B850-1)</x:f>
        <x:v>#NAME?</x:v>
      </x:c>
      <x:c r="D851" s="152" t="e">
        <x:f>IF(B851="","",B851/MAX(B$5:B851)-1)</x:f>
        <x:v>#NAME?</x:v>
      </x:c>
      <x:c r="E851" s="146" t="e">
        <x:f>IF(OR('实盘净值数据(iFinD公式)'!$A851="",'实盘净值数据(iFinD公式)'!$B851=""),"",分期持仓明细!$AD$18*SUMPRODUCT(分期持仓明细!$B$18:$AA$18,'实盘净值数据(iFinD公式)'!$B851:$AA851/'实盘净值数据(iFinD公式)'!$B$20:$AA$20)*(1-实盘持仓初始配置!$Z$5)^(('实盘净值数据(iFinD公式)'!$A851-'实盘净值数据(iFinD公式)'!$A$5)/365))</x:f>
        <x:v>#NAME?</x:v>
      </x:c>
      <x:c r="F851" s="152" t="e">
        <x:f>IF(OR(E850="",E851=""),"",E851/E850-1)</x:f>
        <x:v>#NAME?</x:v>
      </x:c>
      <x:c r="G851" s="152" t="e">
        <x:f>IF(E851="","",E851/MAX(E$5:E851)-1)</x:f>
        <x:v>#NAME?</x:v>
      </x:c>
      <x:c r="H851" s="146" t="e">
        <x:f>IF(OR('实盘净值数据(iFinD公式)'!$A851="",'实盘净值数据(iFinD公式)'!$B851=""),"",分期持仓明细!$AD$19*SUMPRODUCT(分期持仓明细!$B$19:$AA$19,'实盘净值数据(iFinD公式)'!$B851:$AA851/'实盘净值数据(iFinD公式)'!$B$20:$AA$20)*(1-实盘持仓初始配置!$Z$6)^(('实盘净值数据(iFinD公式)'!$A851-'实盘净值数据(iFinD公式)'!$A$7)/365))</x:f>
        <x:v>#NAME?</x:v>
      </x:c>
      <x:c r="I851" s="152" t="e">
        <x:f>IF(OR(H850="",H851=""),"",H851/H850-1)</x:f>
        <x:v>#NAME?</x:v>
      </x:c>
      <x:c r="J851" s="152" t="e">
        <x:f>IF(H851="","",H851/MAX(H$5:H851)-1)</x:f>
        <x:v>#NAME?</x:v>
      </x:c>
      <x:c r="K851" s="146" t="e">
        <x:f>IF(OR('实盘净值数据(iFinD公式)'!$A851="",'实盘净值数据(iFinD公式)'!$B851=""),"",分期持仓明细!$AD$23*SUMPRODUCT(分期持仓明细!$B$23:$AA$23,'实盘净值数据(iFinD公式)'!$B851:$AA851/'实盘净值数据(iFinD公式)'!$B$65:$AA$65)*(1-实盘持仓初始配置!$Z$7)^(('实盘净值数据(iFinD公式)'!$A851-'实盘净值数据(iFinD公式)'!$A$8)/365))</x:f>
        <x:v>#NAME?</x:v>
      </x:c>
      <x:c r="L851" s="152" t="e">
        <x:f>IF(OR(K850="",K851=""),"",K851/K850-1)</x:f>
        <x:v>#NAME?</x:v>
      </x:c>
      <x:c r="M851" s="152" t="e">
        <x:f>IF(K851="","",K851/MAX(K$5:K851)-1)</x:f>
        <x:v>#NAME?</x:v>
      </x:c>
      <x:c r="N851" s="146" t="e">
        <x:f>IF(OR('实盘净值数据(iFinD公式)'!$A851="",'实盘净值数据(iFinD公式)'!$B851=""),"",分期持仓明细!$AD$24*SUMPRODUCT(分期持仓明细!$B$24:$AA$24,'实盘净值数据(iFinD公式)'!$B851:$AA851/'实盘净值数据(iFinD公式)'!$B$65:$AA$65)*(1-实盘持仓初始配置!$Z$8)^(('实盘净值数据(iFinD公式)'!$A851-'实盘净值数据(iFinD公式)'!$A$5)/365))</x:f>
        <x:v>#NAME?</x:v>
      </x:c>
      <x:c r="O851" s="152" t="e">
        <x:f>IF(OR(N850="",N851=""),"",N851/N850-1)</x:f>
        <x:v>#NAME?</x:v>
      </x:c>
      <x:c r="P851" s="152" t="e">
        <x:f>IF(N851="","",N851/MAX(N$5:N851)-1)</x:f>
        <x:v>#NAME?</x:v>
      </x:c>
      <x:c r="Q851" s="146" t="e">
        <x:f>IF(OR('实盘净值数据(iFinD公式)'!$A851="",'实盘净值数据(iFinD公式)'!$B851=""),"",分期持仓明细!$AD$25*SUMPRODUCT(分期持仓明细!$B$25:$AA$25,'实盘净值数据(iFinD公式)'!$B851:$AA851/'实盘净值数据(iFinD公式)'!$B$65:$AA$65)*(1-实盘持仓初始配置!$Z$9)^(('实盘净值数据(iFinD公式)'!$A851-'实盘净值数据(iFinD公式)'!$A$8)/365))</x:f>
        <x:v>#NAME?</x:v>
      </x:c>
      <x:c r="R851" s="152" t="e">
        <x:f>IF(OR(Q850="",Q851=""),"",Q851/Q850-1)</x:f>
        <x:v>#NAME?</x:v>
      </x:c>
      <x:c r="S851" s="152" t="e">
        <x:f>IF(Q851="","",Q851/MAX(Q$5:Q851)-1)</x:f>
        <x:v>#NAME?</x:v>
      </x:c>
    </x:row>
    <x:row r="852">
      <x:c r="A852" s="149" t="str">
        <x:f>IF('实盘净值数据(iFinD公式)'!A852="","",'实盘净值数据(iFinD公式)'!A852)</x:f>
      </x:c>
      <x:c r="B852" s="146" t="e">
        <x:f>IF(OR('实盘净值数据(iFinD公式)'!$A852="",'实盘净值数据(iFinD公式)'!$B852=""),"",分期持仓明细!$AD$17*SUMPRODUCT(分期持仓明细!$B$17:$AA$17,'实盘净值数据(iFinD公式)'!$B852:$AA852/'实盘净值数据(iFinD公式)'!$B$20:$AA$20)*(1-实盘持仓初始配置!$Z$4)^(('实盘净值数据(iFinD公式)'!$A852-'实盘净值数据(iFinD公式)'!$A$6)/365))</x:f>
        <x:v>#NAME?</x:v>
      </x:c>
      <x:c r="C852" s="152" t="e">
        <x:f>IF(OR(B851="",B852=""),"",B852/B851-1)</x:f>
        <x:v>#NAME?</x:v>
      </x:c>
      <x:c r="D852" s="152" t="e">
        <x:f>IF(B852="","",B852/MAX(B$5:B852)-1)</x:f>
        <x:v>#NAME?</x:v>
      </x:c>
      <x:c r="E852" s="146" t="e">
        <x:f>IF(OR('实盘净值数据(iFinD公式)'!$A852="",'实盘净值数据(iFinD公式)'!$B852=""),"",分期持仓明细!$AD$18*SUMPRODUCT(分期持仓明细!$B$18:$AA$18,'实盘净值数据(iFinD公式)'!$B852:$AA852/'实盘净值数据(iFinD公式)'!$B$20:$AA$20)*(1-实盘持仓初始配置!$Z$5)^(('实盘净值数据(iFinD公式)'!$A852-'实盘净值数据(iFinD公式)'!$A$5)/365))</x:f>
        <x:v>#NAME?</x:v>
      </x:c>
      <x:c r="F852" s="152" t="e">
        <x:f>IF(OR(E851="",E852=""),"",E852/E851-1)</x:f>
        <x:v>#NAME?</x:v>
      </x:c>
      <x:c r="G852" s="152" t="e">
        <x:f>IF(E852="","",E852/MAX(E$5:E852)-1)</x:f>
        <x:v>#NAME?</x:v>
      </x:c>
      <x:c r="H852" s="146" t="e">
        <x:f>IF(OR('实盘净值数据(iFinD公式)'!$A852="",'实盘净值数据(iFinD公式)'!$B852=""),"",分期持仓明细!$AD$19*SUMPRODUCT(分期持仓明细!$B$19:$AA$19,'实盘净值数据(iFinD公式)'!$B852:$AA852/'实盘净值数据(iFinD公式)'!$B$20:$AA$20)*(1-实盘持仓初始配置!$Z$6)^(('实盘净值数据(iFinD公式)'!$A852-'实盘净值数据(iFinD公式)'!$A$7)/365))</x:f>
        <x:v>#NAME?</x:v>
      </x:c>
      <x:c r="I852" s="152" t="e">
        <x:f>IF(OR(H851="",H852=""),"",H852/H851-1)</x:f>
        <x:v>#NAME?</x:v>
      </x:c>
      <x:c r="J852" s="152" t="e">
        <x:f>IF(H852="","",H852/MAX(H$5:H852)-1)</x:f>
        <x:v>#NAME?</x:v>
      </x:c>
      <x:c r="K852" s="146" t="e">
        <x:f>IF(OR('实盘净值数据(iFinD公式)'!$A852="",'实盘净值数据(iFinD公式)'!$B852=""),"",分期持仓明细!$AD$23*SUMPRODUCT(分期持仓明细!$B$23:$AA$23,'实盘净值数据(iFinD公式)'!$B852:$AA852/'实盘净值数据(iFinD公式)'!$B$65:$AA$65)*(1-实盘持仓初始配置!$Z$7)^(('实盘净值数据(iFinD公式)'!$A852-'实盘净值数据(iFinD公式)'!$A$8)/365))</x:f>
        <x:v>#NAME?</x:v>
      </x:c>
      <x:c r="L852" s="152" t="e">
        <x:f>IF(OR(K851="",K852=""),"",K852/K851-1)</x:f>
        <x:v>#NAME?</x:v>
      </x:c>
      <x:c r="M852" s="152" t="e">
        <x:f>IF(K852="","",K852/MAX(K$5:K852)-1)</x:f>
        <x:v>#NAME?</x:v>
      </x:c>
      <x:c r="N852" s="146" t="e">
        <x:f>IF(OR('实盘净值数据(iFinD公式)'!$A852="",'实盘净值数据(iFinD公式)'!$B852=""),"",分期持仓明细!$AD$24*SUMPRODUCT(分期持仓明细!$B$24:$AA$24,'实盘净值数据(iFinD公式)'!$B852:$AA852/'实盘净值数据(iFinD公式)'!$B$65:$AA$65)*(1-实盘持仓初始配置!$Z$8)^(('实盘净值数据(iFinD公式)'!$A852-'实盘净值数据(iFinD公式)'!$A$5)/365))</x:f>
        <x:v>#NAME?</x:v>
      </x:c>
      <x:c r="O852" s="152" t="e">
        <x:f>IF(OR(N851="",N852=""),"",N852/N851-1)</x:f>
        <x:v>#NAME?</x:v>
      </x:c>
      <x:c r="P852" s="152" t="e">
        <x:f>IF(N852="","",N852/MAX(N$5:N852)-1)</x:f>
        <x:v>#NAME?</x:v>
      </x:c>
      <x:c r="Q852" s="146" t="e">
        <x:f>IF(OR('实盘净值数据(iFinD公式)'!$A852="",'实盘净值数据(iFinD公式)'!$B852=""),"",分期持仓明细!$AD$25*SUMPRODUCT(分期持仓明细!$B$25:$AA$25,'实盘净值数据(iFinD公式)'!$B852:$AA852/'实盘净值数据(iFinD公式)'!$B$65:$AA$65)*(1-实盘持仓初始配置!$Z$9)^(('实盘净值数据(iFinD公式)'!$A852-'实盘净值数据(iFinD公式)'!$A$8)/365))</x:f>
        <x:v>#NAME?</x:v>
      </x:c>
      <x:c r="R852" s="152" t="e">
        <x:f>IF(OR(Q851="",Q852=""),"",Q852/Q851-1)</x:f>
        <x:v>#NAME?</x:v>
      </x:c>
      <x:c r="S852" s="152" t="e">
        <x:f>IF(Q852="","",Q852/MAX(Q$5:Q852)-1)</x:f>
        <x:v>#NAME?</x:v>
      </x:c>
    </x:row>
    <x:row r="853">
      <x:c r="A853" s="149" t="str">
        <x:f>IF('实盘净值数据(iFinD公式)'!A853="","",'实盘净值数据(iFinD公式)'!A853)</x:f>
      </x:c>
      <x:c r="B853" s="146" t="e">
        <x:f>IF(OR('实盘净值数据(iFinD公式)'!$A853="",'实盘净值数据(iFinD公式)'!$B853=""),"",分期持仓明细!$AD$17*SUMPRODUCT(分期持仓明细!$B$17:$AA$17,'实盘净值数据(iFinD公式)'!$B853:$AA853/'实盘净值数据(iFinD公式)'!$B$20:$AA$20)*(1-实盘持仓初始配置!$Z$4)^(('实盘净值数据(iFinD公式)'!$A853-'实盘净值数据(iFinD公式)'!$A$6)/365))</x:f>
        <x:v>#NAME?</x:v>
      </x:c>
      <x:c r="C853" s="152" t="e">
        <x:f>IF(OR(B852="",B853=""),"",B853/B852-1)</x:f>
        <x:v>#NAME?</x:v>
      </x:c>
      <x:c r="D853" s="152" t="e">
        <x:f>IF(B853="","",B853/MAX(B$5:B853)-1)</x:f>
        <x:v>#NAME?</x:v>
      </x:c>
      <x:c r="E853" s="146" t="e">
        <x:f>IF(OR('实盘净值数据(iFinD公式)'!$A853="",'实盘净值数据(iFinD公式)'!$B853=""),"",分期持仓明细!$AD$18*SUMPRODUCT(分期持仓明细!$B$18:$AA$18,'实盘净值数据(iFinD公式)'!$B853:$AA853/'实盘净值数据(iFinD公式)'!$B$20:$AA$20)*(1-实盘持仓初始配置!$Z$5)^(('实盘净值数据(iFinD公式)'!$A853-'实盘净值数据(iFinD公式)'!$A$5)/365))</x:f>
        <x:v>#NAME?</x:v>
      </x:c>
      <x:c r="F853" s="152" t="e">
        <x:f>IF(OR(E852="",E853=""),"",E853/E852-1)</x:f>
        <x:v>#NAME?</x:v>
      </x:c>
      <x:c r="G853" s="152" t="e">
        <x:f>IF(E853="","",E853/MAX(E$5:E853)-1)</x:f>
        <x:v>#NAME?</x:v>
      </x:c>
      <x:c r="H853" s="146" t="e">
        <x:f>IF(OR('实盘净值数据(iFinD公式)'!$A853="",'实盘净值数据(iFinD公式)'!$B853=""),"",分期持仓明细!$AD$19*SUMPRODUCT(分期持仓明细!$B$19:$AA$19,'实盘净值数据(iFinD公式)'!$B853:$AA853/'实盘净值数据(iFinD公式)'!$B$20:$AA$20)*(1-实盘持仓初始配置!$Z$6)^(('实盘净值数据(iFinD公式)'!$A853-'实盘净值数据(iFinD公式)'!$A$7)/365))</x:f>
        <x:v>#NAME?</x:v>
      </x:c>
      <x:c r="I853" s="152" t="e">
        <x:f>IF(OR(H852="",H853=""),"",H853/H852-1)</x:f>
        <x:v>#NAME?</x:v>
      </x:c>
      <x:c r="J853" s="152" t="e">
        <x:f>IF(H853="","",H853/MAX(H$5:H853)-1)</x:f>
        <x:v>#NAME?</x:v>
      </x:c>
      <x:c r="K853" s="146" t="e">
        <x:f>IF(OR('实盘净值数据(iFinD公式)'!$A853="",'实盘净值数据(iFinD公式)'!$B853=""),"",分期持仓明细!$AD$23*SUMPRODUCT(分期持仓明细!$B$23:$AA$23,'实盘净值数据(iFinD公式)'!$B853:$AA853/'实盘净值数据(iFinD公式)'!$B$65:$AA$65)*(1-实盘持仓初始配置!$Z$7)^(('实盘净值数据(iFinD公式)'!$A853-'实盘净值数据(iFinD公式)'!$A$8)/365))</x:f>
        <x:v>#NAME?</x:v>
      </x:c>
      <x:c r="L853" s="152" t="e">
        <x:f>IF(OR(K852="",K853=""),"",K853/K852-1)</x:f>
        <x:v>#NAME?</x:v>
      </x:c>
      <x:c r="M853" s="152" t="e">
        <x:f>IF(K853="","",K853/MAX(K$5:K853)-1)</x:f>
        <x:v>#NAME?</x:v>
      </x:c>
      <x:c r="N853" s="146" t="e">
        <x:f>IF(OR('实盘净值数据(iFinD公式)'!$A853="",'实盘净值数据(iFinD公式)'!$B853=""),"",分期持仓明细!$AD$24*SUMPRODUCT(分期持仓明细!$B$24:$AA$24,'实盘净值数据(iFinD公式)'!$B853:$AA853/'实盘净值数据(iFinD公式)'!$B$65:$AA$65)*(1-实盘持仓初始配置!$Z$8)^(('实盘净值数据(iFinD公式)'!$A853-'实盘净值数据(iFinD公式)'!$A$5)/365))</x:f>
        <x:v>#NAME?</x:v>
      </x:c>
      <x:c r="O853" s="152" t="e">
        <x:f>IF(OR(N852="",N853=""),"",N853/N852-1)</x:f>
        <x:v>#NAME?</x:v>
      </x:c>
      <x:c r="P853" s="152" t="e">
        <x:f>IF(N853="","",N853/MAX(N$5:N853)-1)</x:f>
        <x:v>#NAME?</x:v>
      </x:c>
      <x:c r="Q853" s="146" t="e">
        <x:f>IF(OR('实盘净值数据(iFinD公式)'!$A853="",'实盘净值数据(iFinD公式)'!$B853=""),"",分期持仓明细!$AD$25*SUMPRODUCT(分期持仓明细!$B$25:$AA$25,'实盘净值数据(iFinD公式)'!$B853:$AA853/'实盘净值数据(iFinD公式)'!$B$65:$AA$65)*(1-实盘持仓初始配置!$Z$9)^(('实盘净值数据(iFinD公式)'!$A853-'实盘净值数据(iFinD公式)'!$A$8)/365))</x:f>
        <x:v>#NAME?</x:v>
      </x:c>
      <x:c r="R853" s="152" t="e">
        <x:f>IF(OR(Q852="",Q853=""),"",Q853/Q852-1)</x:f>
        <x:v>#NAME?</x:v>
      </x:c>
      <x:c r="S853" s="152" t="e">
        <x:f>IF(Q853="","",Q853/MAX(Q$5:Q853)-1)</x:f>
        <x:v>#NAME?</x:v>
      </x:c>
    </x:row>
    <x:row r="854">
      <x:c r="A854" s="149" t="str">
        <x:f>IF('实盘净值数据(iFinD公式)'!A854="","",'实盘净值数据(iFinD公式)'!A854)</x:f>
      </x:c>
      <x:c r="B854" s="146" t="e">
        <x:f>IF(OR('实盘净值数据(iFinD公式)'!$A854="",'实盘净值数据(iFinD公式)'!$B854=""),"",分期持仓明细!$AD$17*SUMPRODUCT(分期持仓明细!$B$17:$AA$17,'实盘净值数据(iFinD公式)'!$B854:$AA854/'实盘净值数据(iFinD公式)'!$B$20:$AA$20)*(1-实盘持仓初始配置!$Z$4)^(('实盘净值数据(iFinD公式)'!$A854-'实盘净值数据(iFinD公式)'!$A$6)/365))</x:f>
        <x:v>#NAME?</x:v>
      </x:c>
      <x:c r="C854" s="152" t="e">
        <x:f>IF(OR(B853="",B854=""),"",B854/B853-1)</x:f>
        <x:v>#NAME?</x:v>
      </x:c>
      <x:c r="D854" s="152" t="e">
        <x:f>IF(B854="","",B854/MAX(B$5:B854)-1)</x:f>
        <x:v>#NAME?</x:v>
      </x:c>
      <x:c r="E854" s="146" t="e">
        <x:f>IF(OR('实盘净值数据(iFinD公式)'!$A854="",'实盘净值数据(iFinD公式)'!$B854=""),"",分期持仓明细!$AD$18*SUMPRODUCT(分期持仓明细!$B$18:$AA$18,'实盘净值数据(iFinD公式)'!$B854:$AA854/'实盘净值数据(iFinD公式)'!$B$20:$AA$20)*(1-实盘持仓初始配置!$Z$5)^(('实盘净值数据(iFinD公式)'!$A854-'实盘净值数据(iFinD公式)'!$A$5)/365))</x:f>
        <x:v>#NAME?</x:v>
      </x:c>
      <x:c r="F854" s="152" t="e">
        <x:f>IF(OR(E853="",E854=""),"",E854/E853-1)</x:f>
        <x:v>#NAME?</x:v>
      </x:c>
      <x:c r="G854" s="152" t="e">
        <x:f>IF(E854="","",E854/MAX(E$5:E854)-1)</x:f>
        <x:v>#NAME?</x:v>
      </x:c>
      <x:c r="H854" s="146" t="e">
        <x:f>IF(OR('实盘净值数据(iFinD公式)'!$A854="",'实盘净值数据(iFinD公式)'!$B854=""),"",分期持仓明细!$AD$19*SUMPRODUCT(分期持仓明细!$B$19:$AA$19,'实盘净值数据(iFinD公式)'!$B854:$AA854/'实盘净值数据(iFinD公式)'!$B$20:$AA$20)*(1-实盘持仓初始配置!$Z$6)^(('实盘净值数据(iFinD公式)'!$A854-'实盘净值数据(iFinD公式)'!$A$7)/365))</x:f>
        <x:v>#NAME?</x:v>
      </x:c>
      <x:c r="I854" s="152" t="e">
        <x:f>IF(OR(H853="",H854=""),"",H854/H853-1)</x:f>
        <x:v>#NAME?</x:v>
      </x:c>
      <x:c r="J854" s="152" t="e">
        <x:f>IF(H854="","",H854/MAX(H$5:H854)-1)</x:f>
        <x:v>#NAME?</x:v>
      </x:c>
      <x:c r="K854" s="146" t="e">
        <x:f>IF(OR('实盘净值数据(iFinD公式)'!$A854="",'实盘净值数据(iFinD公式)'!$B854=""),"",分期持仓明细!$AD$23*SUMPRODUCT(分期持仓明细!$B$23:$AA$23,'实盘净值数据(iFinD公式)'!$B854:$AA854/'实盘净值数据(iFinD公式)'!$B$65:$AA$65)*(1-实盘持仓初始配置!$Z$7)^(('实盘净值数据(iFinD公式)'!$A854-'实盘净值数据(iFinD公式)'!$A$8)/365))</x:f>
        <x:v>#NAME?</x:v>
      </x:c>
      <x:c r="L854" s="152" t="e">
        <x:f>IF(OR(K853="",K854=""),"",K854/K853-1)</x:f>
        <x:v>#NAME?</x:v>
      </x:c>
      <x:c r="M854" s="152" t="e">
        <x:f>IF(K854="","",K854/MAX(K$5:K854)-1)</x:f>
        <x:v>#NAME?</x:v>
      </x:c>
      <x:c r="N854" s="146" t="e">
        <x:f>IF(OR('实盘净值数据(iFinD公式)'!$A854="",'实盘净值数据(iFinD公式)'!$B854=""),"",分期持仓明细!$AD$24*SUMPRODUCT(分期持仓明细!$B$24:$AA$24,'实盘净值数据(iFinD公式)'!$B854:$AA854/'实盘净值数据(iFinD公式)'!$B$65:$AA$65)*(1-实盘持仓初始配置!$Z$8)^(('实盘净值数据(iFinD公式)'!$A854-'实盘净值数据(iFinD公式)'!$A$5)/365))</x:f>
        <x:v>#NAME?</x:v>
      </x:c>
      <x:c r="O854" s="152" t="e">
        <x:f>IF(OR(N853="",N854=""),"",N854/N853-1)</x:f>
        <x:v>#NAME?</x:v>
      </x:c>
      <x:c r="P854" s="152" t="e">
        <x:f>IF(N854="","",N854/MAX(N$5:N854)-1)</x:f>
        <x:v>#NAME?</x:v>
      </x:c>
      <x:c r="Q854" s="146" t="e">
        <x:f>IF(OR('实盘净值数据(iFinD公式)'!$A854="",'实盘净值数据(iFinD公式)'!$B854=""),"",分期持仓明细!$AD$25*SUMPRODUCT(分期持仓明细!$B$25:$AA$25,'实盘净值数据(iFinD公式)'!$B854:$AA854/'实盘净值数据(iFinD公式)'!$B$65:$AA$65)*(1-实盘持仓初始配置!$Z$9)^(('实盘净值数据(iFinD公式)'!$A854-'实盘净值数据(iFinD公式)'!$A$8)/365))</x:f>
        <x:v>#NAME?</x:v>
      </x:c>
      <x:c r="R854" s="152" t="e">
        <x:f>IF(OR(Q853="",Q854=""),"",Q854/Q853-1)</x:f>
        <x:v>#NAME?</x:v>
      </x:c>
      <x:c r="S854" s="152" t="e">
        <x:f>IF(Q854="","",Q854/MAX(Q$5:Q854)-1)</x:f>
        <x:v>#NAME?</x:v>
      </x:c>
    </x:row>
    <x:row r="855">
      <x:c r="A855" s="149" t="str">
        <x:f>IF('实盘净值数据(iFinD公式)'!A855="","",'实盘净值数据(iFinD公式)'!A855)</x:f>
      </x:c>
      <x:c r="B855" s="146" t="e">
        <x:f>IF(OR('实盘净值数据(iFinD公式)'!$A855="",'实盘净值数据(iFinD公式)'!$B855=""),"",分期持仓明细!$AD$17*SUMPRODUCT(分期持仓明细!$B$17:$AA$17,'实盘净值数据(iFinD公式)'!$B855:$AA855/'实盘净值数据(iFinD公式)'!$B$20:$AA$20)*(1-实盘持仓初始配置!$Z$4)^(('实盘净值数据(iFinD公式)'!$A855-'实盘净值数据(iFinD公式)'!$A$6)/365))</x:f>
        <x:v>#NAME?</x:v>
      </x:c>
      <x:c r="C855" s="152" t="e">
        <x:f>IF(OR(B854="",B855=""),"",B855/B854-1)</x:f>
        <x:v>#NAME?</x:v>
      </x:c>
      <x:c r="D855" s="152" t="e">
        <x:f>IF(B855="","",B855/MAX(B$5:B855)-1)</x:f>
        <x:v>#NAME?</x:v>
      </x:c>
      <x:c r="E855" s="146" t="e">
        <x:f>IF(OR('实盘净值数据(iFinD公式)'!$A855="",'实盘净值数据(iFinD公式)'!$B855=""),"",分期持仓明细!$AD$18*SUMPRODUCT(分期持仓明细!$B$18:$AA$18,'实盘净值数据(iFinD公式)'!$B855:$AA855/'实盘净值数据(iFinD公式)'!$B$20:$AA$20)*(1-实盘持仓初始配置!$Z$5)^(('实盘净值数据(iFinD公式)'!$A855-'实盘净值数据(iFinD公式)'!$A$5)/365))</x:f>
        <x:v>#NAME?</x:v>
      </x:c>
      <x:c r="F855" s="152" t="e">
        <x:f>IF(OR(E854="",E855=""),"",E855/E854-1)</x:f>
        <x:v>#NAME?</x:v>
      </x:c>
      <x:c r="G855" s="152" t="e">
        <x:f>IF(E855="","",E855/MAX(E$5:E855)-1)</x:f>
        <x:v>#NAME?</x:v>
      </x:c>
      <x:c r="H855" s="146" t="e">
        <x:f>IF(OR('实盘净值数据(iFinD公式)'!$A855="",'实盘净值数据(iFinD公式)'!$B855=""),"",分期持仓明细!$AD$19*SUMPRODUCT(分期持仓明细!$B$19:$AA$19,'实盘净值数据(iFinD公式)'!$B855:$AA855/'实盘净值数据(iFinD公式)'!$B$20:$AA$20)*(1-实盘持仓初始配置!$Z$6)^(('实盘净值数据(iFinD公式)'!$A855-'实盘净值数据(iFinD公式)'!$A$7)/365))</x:f>
        <x:v>#NAME?</x:v>
      </x:c>
      <x:c r="I855" s="152" t="e">
        <x:f>IF(OR(H854="",H855=""),"",H855/H854-1)</x:f>
        <x:v>#NAME?</x:v>
      </x:c>
      <x:c r="J855" s="152" t="e">
        <x:f>IF(H855="","",H855/MAX(H$5:H855)-1)</x:f>
        <x:v>#NAME?</x:v>
      </x:c>
      <x:c r="K855" s="146" t="e">
        <x:f>IF(OR('实盘净值数据(iFinD公式)'!$A855="",'实盘净值数据(iFinD公式)'!$B855=""),"",分期持仓明细!$AD$23*SUMPRODUCT(分期持仓明细!$B$23:$AA$23,'实盘净值数据(iFinD公式)'!$B855:$AA855/'实盘净值数据(iFinD公式)'!$B$65:$AA$65)*(1-实盘持仓初始配置!$Z$7)^(('实盘净值数据(iFinD公式)'!$A855-'实盘净值数据(iFinD公式)'!$A$8)/365))</x:f>
        <x:v>#NAME?</x:v>
      </x:c>
      <x:c r="L855" s="152" t="e">
        <x:f>IF(OR(K854="",K855=""),"",K855/K854-1)</x:f>
        <x:v>#NAME?</x:v>
      </x:c>
      <x:c r="M855" s="152" t="e">
        <x:f>IF(K855="","",K855/MAX(K$5:K855)-1)</x:f>
        <x:v>#NAME?</x:v>
      </x:c>
      <x:c r="N855" s="146" t="e">
        <x:f>IF(OR('实盘净值数据(iFinD公式)'!$A855="",'实盘净值数据(iFinD公式)'!$B855=""),"",分期持仓明细!$AD$24*SUMPRODUCT(分期持仓明细!$B$24:$AA$24,'实盘净值数据(iFinD公式)'!$B855:$AA855/'实盘净值数据(iFinD公式)'!$B$65:$AA$65)*(1-实盘持仓初始配置!$Z$8)^(('实盘净值数据(iFinD公式)'!$A855-'实盘净值数据(iFinD公式)'!$A$5)/365))</x:f>
        <x:v>#NAME?</x:v>
      </x:c>
      <x:c r="O855" s="152" t="e">
        <x:f>IF(OR(N854="",N855=""),"",N855/N854-1)</x:f>
        <x:v>#NAME?</x:v>
      </x:c>
      <x:c r="P855" s="152" t="e">
        <x:f>IF(N855="","",N855/MAX(N$5:N855)-1)</x:f>
        <x:v>#NAME?</x:v>
      </x:c>
      <x:c r="Q855" s="146" t="e">
        <x:f>IF(OR('实盘净值数据(iFinD公式)'!$A855="",'实盘净值数据(iFinD公式)'!$B855=""),"",分期持仓明细!$AD$25*SUMPRODUCT(分期持仓明细!$B$25:$AA$25,'实盘净值数据(iFinD公式)'!$B855:$AA855/'实盘净值数据(iFinD公式)'!$B$65:$AA$65)*(1-实盘持仓初始配置!$Z$9)^(('实盘净值数据(iFinD公式)'!$A855-'实盘净值数据(iFinD公式)'!$A$8)/365))</x:f>
        <x:v>#NAME?</x:v>
      </x:c>
      <x:c r="R855" s="152" t="e">
        <x:f>IF(OR(Q854="",Q855=""),"",Q855/Q854-1)</x:f>
        <x:v>#NAME?</x:v>
      </x:c>
      <x:c r="S855" s="152" t="e">
        <x:f>IF(Q855="","",Q855/MAX(Q$5:Q855)-1)</x:f>
        <x:v>#NAME?</x:v>
      </x:c>
    </x:row>
    <x:row r="856">
      <x:c r="A856" s="149" t="str">
        <x:f>IF('实盘净值数据(iFinD公式)'!A856="","",'实盘净值数据(iFinD公式)'!A856)</x:f>
      </x:c>
      <x:c r="B856" s="146" t="e">
        <x:f>IF(OR('实盘净值数据(iFinD公式)'!$A856="",'实盘净值数据(iFinD公式)'!$B856=""),"",分期持仓明细!$AD$17*SUMPRODUCT(分期持仓明细!$B$17:$AA$17,'实盘净值数据(iFinD公式)'!$B856:$AA856/'实盘净值数据(iFinD公式)'!$B$20:$AA$20)*(1-实盘持仓初始配置!$Z$4)^(('实盘净值数据(iFinD公式)'!$A856-'实盘净值数据(iFinD公式)'!$A$6)/365))</x:f>
        <x:v>#NAME?</x:v>
      </x:c>
      <x:c r="C856" s="152" t="e">
        <x:f>IF(OR(B855="",B856=""),"",B856/B855-1)</x:f>
        <x:v>#NAME?</x:v>
      </x:c>
      <x:c r="D856" s="152" t="e">
        <x:f>IF(B856="","",B856/MAX(B$5:B856)-1)</x:f>
        <x:v>#NAME?</x:v>
      </x:c>
      <x:c r="E856" s="146" t="e">
        <x:f>IF(OR('实盘净值数据(iFinD公式)'!$A856="",'实盘净值数据(iFinD公式)'!$B856=""),"",分期持仓明细!$AD$18*SUMPRODUCT(分期持仓明细!$B$18:$AA$18,'实盘净值数据(iFinD公式)'!$B856:$AA856/'实盘净值数据(iFinD公式)'!$B$20:$AA$20)*(1-实盘持仓初始配置!$Z$5)^(('实盘净值数据(iFinD公式)'!$A856-'实盘净值数据(iFinD公式)'!$A$5)/365))</x:f>
        <x:v>#NAME?</x:v>
      </x:c>
      <x:c r="F856" s="152" t="e">
        <x:f>IF(OR(E855="",E856=""),"",E856/E855-1)</x:f>
        <x:v>#NAME?</x:v>
      </x:c>
      <x:c r="G856" s="152" t="e">
        <x:f>IF(E856="","",E856/MAX(E$5:E856)-1)</x:f>
        <x:v>#NAME?</x:v>
      </x:c>
      <x:c r="H856" s="146" t="e">
        <x:f>IF(OR('实盘净值数据(iFinD公式)'!$A856="",'实盘净值数据(iFinD公式)'!$B856=""),"",分期持仓明细!$AD$19*SUMPRODUCT(分期持仓明细!$B$19:$AA$19,'实盘净值数据(iFinD公式)'!$B856:$AA856/'实盘净值数据(iFinD公式)'!$B$20:$AA$20)*(1-实盘持仓初始配置!$Z$6)^(('实盘净值数据(iFinD公式)'!$A856-'实盘净值数据(iFinD公式)'!$A$7)/365))</x:f>
        <x:v>#NAME?</x:v>
      </x:c>
      <x:c r="I856" s="152" t="e">
        <x:f>IF(OR(H855="",H856=""),"",H856/H855-1)</x:f>
        <x:v>#NAME?</x:v>
      </x:c>
      <x:c r="J856" s="152" t="e">
        <x:f>IF(H856="","",H856/MAX(H$5:H856)-1)</x:f>
        <x:v>#NAME?</x:v>
      </x:c>
      <x:c r="K856" s="146" t="e">
        <x:f>IF(OR('实盘净值数据(iFinD公式)'!$A856="",'实盘净值数据(iFinD公式)'!$B856=""),"",分期持仓明细!$AD$23*SUMPRODUCT(分期持仓明细!$B$23:$AA$23,'实盘净值数据(iFinD公式)'!$B856:$AA856/'实盘净值数据(iFinD公式)'!$B$65:$AA$65)*(1-实盘持仓初始配置!$Z$7)^(('实盘净值数据(iFinD公式)'!$A856-'实盘净值数据(iFinD公式)'!$A$8)/365))</x:f>
        <x:v>#NAME?</x:v>
      </x:c>
      <x:c r="L856" s="152" t="e">
        <x:f>IF(OR(K855="",K856=""),"",K856/K855-1)</x:f>
        <x:v>#NAME?</x:v>
      </x:c>
      <x:c r="M856" s="152" t="e">
        <x:f>IF(K856="","",K856/MAX(K$5:K856)-1)</x:f>
        <x:v>#NAME?</x:v>
      </x:c>
      <x:c r="N856" s="146" t="e">
        <x:f>IF(OR('实盘净值数据(iFinD公式)'!$A856="",'实盘净值数据(iFinD公式)'!$B856=""),"",分期持仓明细!$AD$24*SUMPRODUCT(分期持仓明细!$B$24:$AA$24,'实盘净值数据(iFinD公式)'!$B856:$AA856/'实盘净值数据(iFinD公式)'!$B$65:$AA$65)*(1-实盘持仓初始配置!$Z$8)^(('实盘净值数据(iFinD公式)'!$A856-'实盘净值数据(iFinD公式)'!$A$5)/365))</x:f>
        <x:v>#NAME?</x:v>
      </x:c>
      <x:c r="O856" s="152" t="e">
        <x:f>IF(OR(N855="",N856=""),"",N856/N855-1)</x:f>
        <x:v>#NAME?</x:v>
      </x:c>
      <x:c r="P856" s="152" t="e">
        <x:f>IF(N856="","",N856/MAX(N$5:N856)-1)</x:f>
        <x:v>#NAME?</x:v>
      </x:c>
      <x:c r="Q856" s="146" t="e">
        <x:f>IF(OR('实盘净值数据(iFinD公式)'!$A856="",'实盘净值数据(iFinD公式)'!$B856=""),"",分期持仓明细!$AD$25*SUMPRODUCT(分期持仓明细!$B$25:$AA$25,'实盘净值数据(iFinD公式)'!$B856:$AA856/'实盘净值数据(iFinD公式)'!$B$65:$AA$65)*(1-实盘持仓初始配置!$Z$9)^(('实盘净值数据(iFinD公式)'!$A856-'实盘净值数据(iFinD公式)'!$A$8)/365))</x:f>
        <x:v>#NAME?</x:v>
      </x:c>
      <x:c r="R856" s="152" t="e">
        <x:f>IF(OR(Q855="",Q856=""),"",Q856/Q855-1)</x:f>
        <x:v>#NAME?</x:v>
      </x:c>
      <x:c r="S856" s="152" t="e">
        <x:f>IF(Q856="","",Q856/MAX(Q$5:Q856)-1)</x:f>
        <x:v>#NAME?</x:v>
      </x:c>
    </x:row>
    <x:row r="857">
      <x:c r="A857" s="149" t="str">
        <x:f>IF('实盘净值数据(iFinD公式)'!A857="","",'实盘净值数据(iFinD公式)'!A857)</x:f>
      </x:c>
      <x:c r="B857" s="146" t="e">
        <x:f>IF(OR('实盘净值数据(iFinD公式)'!$A857="",'实盘净值数据(iFinD公式)'!$B857=""),"",分期持仓明细!$AD$17*SUMPRODUCT(分期持仓明细!$B$17:$AA$17,'实盘净值数据(iFinD公式)'!$B857:$AA857/'实盘净值数据(iFinD公式)'!$B$20:$AA$20)*(1-实盘持仓初始配置!$Z$4)^(('实盘净值数据(iFinD公式)'!$A857-'实盘净值数据(iFinD公式)'!$A$6)/365))</x:f>
        <x:v>#NAME?</x:v>
      </x:c>
      <x:c r="C857" s="152" t="e">
        <x:f>IF(OR(B856="",B857=""),"",B857/B856-1)</x:f>
        <x:v>#NAME?</x:v>
      </x:c>
      <x:c r="D857" s="152" t="e">
        <x:f>IF(B857="","",B857/MAX(B$5:B857)-1)</x:f>
        <x:v>#NAME?</x:v>
      </x:c>
      <x:c r="E857" s="146" t="e">
        <x:f>IF(OR('实盘净值数据(iFinD公式)'!$A857="",'实盘净值数据(iFinD公式)'!$B857=""),"",分期持仓明细!$AD$18*SUMPRODUCT(分期持仓明细!$B$18:$AA$18,'实盘净值数据(iFinD公式)'!$B857:$AA857/'实盘净值数据(iFinD公式)'!$B$20:$AA$20)*(1-实盘持仓初始配置!$Z$5)^(('实盘净值数据(iFinD公式)'!$A857-'实盘净值数据(iFinD公式)'!$A$5)/365))</x:f>
        <x:v>#NAME?</x:v>
      </x:c>
      <x:c r="F857" s="152" t="e">
        <x:f>IF(OR(E856="",E857=""),"",E857/E856-1)</x:f>
        <x:v>#NAME?</x:v>
      </x:c>
      <x:c r="G857" s="152" t="e">
        <x:f>IF(E857="","",E857/MAX(E$5:E857)-1)</x:f>
        <x:v>#NAME?</x:v>
      </x:c>
      <x:c r="H857" s="146" t="e">
        <x:f>IF(OR('实盘净值数据(iFinD公式)'!$A857="",'实盘净值数据(iFinD公式)'!$B857=""),"",分期持仓明细!$AD$19*SUMPRODUCT(分期持仓明细!$B$19:$AA$19,'实盘净值数据(iFinD公式)'!$B857:$AA857/'实盘净值数据(iFinD公式)'!$B$20:$AA$20)*(1-实盘持仓初始配置!$Z$6)^(('实盘净值数据(iFinD公式)'!$A857-'实盘净值数据(iFinD公式)'!$A$7)/365))</x:f>
        <x:v>#NAME?</x:v>
      </x:c>
      <x:c r="I857" s="152" t="e">
        <x:f>IF(OR(H856="",H857=""),"",H857/H856-1)</x:f>
        <x:v>#NAME?</x:v>
      </x:c>
      <x:c r="J857" s="152" t="e">
        <x:f>IF(H857="","",H857/MAX(H$5:H857)-1)</x:f>
        <x:v>#NAME?</x:v>
      </x:c>
      <x:c r="K857" s="146" t="e">
        <x:f>IF(OR('实盘净值数据(iFinD公式)'!$A857="",'实盘净值数据(iFinD公式)'!$B857=""),"",分期持仓明细!$AD$23*SUMPRODUCT(分期持仓明细!$B$23:$AA$23,'实盘净值数据(iFinD公式)'!$B857:$AA857/'实盘净值数据(iFinD公式)'!$B$65:$AA$65)*(1-实盘持仓初始配置!$Z$7)^(('实盘净值数据(iFinD公式)'!$A857-'实盘净值数据(iFinD公式)'!$A$8)/365))</x:f>
        <x:v>#NAME?</x:v>
      </x:c>
      <x:c r="L857" s="152" t="e">
        <x:f>IF(OR(K856="",K857=""),"",K857/K856-1)</x:f>
        <x:v>#NAME?</x:v>
      </x:c>
      <x:c r="M857" s="152" t="e">
        <x:f>IF(K857="","",K857/MAX(K$5:K857)-1)</x:f>
        <x:v>#NAME?</x:v>
      </x:c>
      <x:c r="N857" s="146" t="e">
        <x:f>IF(OR('实盘净值数据(iFinD公式)'!$A857="",'实盘净值数据(iFinD公式)'!$B857=""),"",分期持仓明细!$AD$24*SUMPRODUCT(分期持仓明细!$B$24:$AA$24,'实盘净值数据(iFinD公式)'!$B857:$AA857/'实盘净值数据(iFinD公式)'!$B$65:$AA$65)*(1-实盘持仓初始配置!$Z$8)^(('实盘净值数据(iFinD公式)'!$A857-'实盘净值数据(iFinD公式)'!$A$5)/365))</x:f>
        <x:v>#NAME?</x:v>
      </x:c>
      <x:c r="O857" s="152" t="e">
        <x:f>IF(OR(N856="",N857=""),"",N857/N856-1)</x:f>
        <x:v>#NAME?</x:v>
      </x:c>
      <x:c r="P857" s="152" t="e">
        <x:f>IF(N857="","",N857/MAX(N$5:N857)-1)</x:f>
        <x:v>#NAME?</x:v>
      </x:c>
      <x:c r="Q857" s="146" t="e">
        <x:f>IF(OR('实盘净值数据(iFinD公式)'!$A857="",'实盘净值数据(iFinD公式)'!$B857=""),"",分期持仓明细!$AD$25*SUMPRODUCT(分期持仓明细!$B$25:$AA$25,'实盘净值数据(iFinD公式)'!$B857:$AA857/'实盘净值数据(iFinD公式)'!$B$65:$AA$65)*(1-实盘持仓初始配置!$Z$9)^(('实盘净值数据(iFinD公式)'!$A857-'实盘净值数据(iFinD公式)'!$A$8)/365))</x:f>
        <x:v>#NAME?</x:v>
      </x:c>
      <x:c r="R857" s="152" t="e">
        <x:f>IF(OR(Q856="",Q857=""),"",Q857/Q856-1)</x:f>
        <x:v>#NAME?</x:v>
      </x:c>
      <x:c r="S857" s="152" t="e">
        <x:f>IF(Q857="","",Q857/MAX(Q$5:Q857)-1)</x:f>
        <x:v>#NAME?</x:v>
      </x:c>
    </x:row>
    <x:row r="858">
      <x:c r="A858" s="149" t="str">
        <x:f>IF('实盘净值数据(iFinD公式)'!A858="","",'实盘净值数据(iFinD公式)'!A858)</x:f>
      </x:c>
      <x:c r="B858" s="146" t="e">
        <x:f>IF(OR('实盘净值数据(iFinD公式)'!$A858="",'实盘净值数据(iFinD公式)'!$B858=""),"",分期持仓明细!$AD$17*SUMPRODUCT(分期持仓明细!$B$17:$AA$17,'实盘净值数据(iFinD公式)'!$B858:$AA858/'实盘净值数据(iFinD公式)'!$B$20:$AA$20)*(1-实盘持仓初始配置!$Z$4)^(('实盘净值数据(iFinD公式)'!$A858-'实盘净值数据(iFinD公式)'!$A$6)/365))</x:f>
        <x:v>#NAME?</x:v>
      </x:c>
      <x:c r="C858" s="152" t="e">
        <x:f>IF(OR(B857="",B858=""),"",B858/B857-1)</x:f>
        <x:v>#NAME?</x:v>
      </x:c>
      <x:c r="D858" s="152" t="e">
        <x:f>IF(B858="","",B858/MAX(B$5:B858)-1)</x:f>
        <x:v>#NAME?</x:v>
      </x:c>
      <x:c r="E858" s="146" t="e">
        <x:f>IF(OR('实盘净值数据(iFinD公式)'!$A858="",'实盘净值数据(iFinD公式)'!$B858=""),"",分期持仓明细!$AD$18*SUMPRODUCT(分期持仓明细!$B$18:$AA$18,'实盘净值数据(iFinD公式)'!$B858:$AA858/'实盘净值数据(iFinD公式)'!$B$20:$AA$20)*(1-实盘持仓初始配置!$Z$5)^(('实盘净值数据(iFinD公式)'!$A858-'实盘净值数据(iFinD公式)'!$A$5)/365))</x:f>
        <x:v>#NAME?</x:v>
      </x:c>
      <x:c r="F858" s="152" t="e">
        <x:f>IF(OR(E857="",E858=""),"",E858/E857-1)</x:f>
        <x:v>#NAME?</x:v>
      </x:c>
      <x:c r="G858" s="152" t="e">
        <x:f>IF(E858="","",E858/MAX(E$5:E858)-1)</x:f>
        <x:v>#NAME?</x:v>
      </x:c>
      <x:c r="H858" s="146" t="e">
        <x:f>IF(OR('实盘净值数据(iFinD公式)'!$A858="",'实盘净值数据(iFinD公式)'!$B858=""),"",分期持仓明细!$AD$19*SUMPRODUCT(分期持仓明细!$B$19:$AA$19,'实盘净值数据(iFinD公式)'!$B858:$AA858/'实盘净值数据(iFinD公式)'!$B$20:$AA$20)*(1-实盘持仓初始配置!$Z$6)^(('实盘净值数据(iFinD公式)'!$A858-'实盘净值数据(iFinD公式)'!$A$7)/365))</x:f>
        <x:v>#NAME?</x:v>
      </x:c>
      <x:c r="I858" s="152" t="e">
        <x:f>IF(OR(H857="",H858=""),"",H858/H857-1)</x:f>
        <x:v>#NAME?</x:v>
      </x:c>
      <x:c r="J858" s="152" t="e">
        <x:f>IF(H858="","",H858/MAX(H$5:H858)-1)</x:f>
        <x:v>#NAME?</x:v>
      </x:c>
      <x:c r="K858" s="146" t="e">
        <x:f>IF(OR('实盘净值数据(iFinD公式)'!$A858="",'实盘净值数据(iFinD公式)'!$B858=""),"",分期持仓明细!$AD$23*SUMPRODUCT(分期持仓明细!$B$23:$AA$23,'实盘净值数据(iFinD公式)'!$B858:$AA858/'实盘净值数据(iFinD公式)'!$B$65:$AA$65)*(1-实盘持仓初始配置!$Z$7)^(('实盘净值数据(iFinD公式)'!$A858-'实盘净值数据(iFinD公式)'!$A$8)/365))</x:f>
        <x:v>#NAME?</x:v>
      </x:c>
      <x:c r="L858" s="152" t="e">
        <x:f>IF(OR(K857="",K858=""),"",K858/K857-1)</x:f>
        <x:v>#NAME?</x:v>
      </x:c>
      <x:c r="M858" s="152" t="e">
        <x:f>IF(K858="","",K858/MAX(K$5:K858)-1)</x:f>
        <x:v>#NAME?</x:v>
      </x:c>
      <x:c r="N858" s="146" t="e">
        <x:f>IF(OR('实盘净值数据(iFinD公式)'!$A858="",'实盘净值数据(iFinD公式)'!$B858=""),"",分期持仓明细!$AD$24*SUMPRODUCT(分期持仓明细!$B$24:$AA$24,'实盘净值数据(iFinD公式)'!$B858:$AA858/'实盘净值数据(iFinD公式)'!$B$65:$AA$65)*(1-实盘持仓初始配置!$Z$8)^(('实盘净值数据(iFinD公式)'!$A858-'实盘净值数据(iFinD公式)'!$A$5)/365))</x:f>
        <x:v>#NAME?</x:v>
      </x:c>
      <x:c r="O858" s="152" t="e">
        <x:f>IF(OR(N857="",N858=""),"",N858/N857-1)</x:f>
        <x:v>#NAME?</x:v>
      </x:c>
      <x:c r="P858" s="152" t="e">
        <x:f>IF(N858="","",N858/MAX(N$5:N858)-1)</x:f>
        <x:v>#NAME?</x:v>
      </x:c>
      <x:c r="Q858" s="146" t="e">
        <x:f>IF(OR('实盘净值数据(iFinD公式)'!$A858="",'实盘净值数据(iFinD公式)'!$B858=""),"",分期持仓明细!$AD$25*SUMPRODUCT(分期持仓明细!$B$25:$AA$25,'实盘净值数据(iFinD公式)'!$B858:$AA858/'实盘净值数据(iFinD公式)'!$B$65:$AA$65)*(1-实盘持仓初始配置!$Z$9)^(('实盘净值数据(iFinD公式)'!$A858-'实盘净值数据(iFinD公式)'!$A$8)/365))</x:f>
        <x:v>#NAME?</x:v>
      </x:c>
      <x:c r="R858" s="152" t="e">
        <x:f>IF(OR(Q857="",Q858=""),"",Q858/Q857-1)</x:f>
        <x:v>#NAME?</x:v>
      </x:c>
      <x:c r="S858" s="152" t="e">
        <x:f>IF(Q858="","",Q858/MAX(Q$5:Q858)-1)</x:f>
        <x:v>#NAME?</x:v>
      </x:c>
    </x:row>
    <x:row r="859">
      <x:c r="A859" s="149" t="str">
        <x:f>IF('实盘净值数据(iFinD公式)'!A859="","",'实盘净值数据(iFinD公式)'!A859)</x:f>
      </x:c>
      <x:c r="B859" s="146" t="e">
        <x:f>IF(OR('实盘净值数据(iFinD公式)'!$A859="",'实盘净值数据(iFinD公式)'!$B859=""),"",分期持仓明细!$AD$17*SUMPRODUCT(分期持仓明细!$B$17:$AA$17,'实盘净值数据(iFinD公式)'!$B859:$AA859/'实盘净值数据(iFinD公式)'!$B$20:$AA$20)*(1-实盘持仓初始配置!$Z$4)^(('实盘净值数据(iFinD公式)'!$A859-'实盘净值数据(iFinD公式)'!$A$6)/365))</x:f>
        <x:v>#NAME?</x:v>
      </x:c>
      <x:c r="C859" s="152" t="e">
        <x:f>IF(OR(B858="",B859=""),"",B859/B858-1)</x:f>
        <x:v>#NAME?</x:v>
      </x:c>
      <x:c r="D859" s="152" t="e">
        <x:f>IF(B859="","",B859/MAX(B$5:B859)-1)</x:f>
        <x:v>#NAME?</x:v>
      </x:c>
      <x:c r="E859" s="146" t="e">
        <x:f>IF(OR('实盘净值数据(iFinD公式)'!$A859="",'实盘净值数据(iFinD公式)'!$B859=""),"",分期持仓明细!$AD$18*SUMPRODUCT(分期持仓明细!$B$18:$AA$18,'实盘净值数据(iFinD公式)'!$B859:$AA859/'实盘净值数据(iFinD公式)'!$B$20:$AA$20)*(1-实盘持仓初始配置!$Z$5)^(('实盘净值数据(iFinD公式)'!$A859-'实盘净值数据(iFinD公式)'!$A$5)/365))</x:f>
        <x:v>#NAME?</x:v>
      </x:c>
      <x:c r="F859" s="152" t="e">
        <x:f>IF(OR(E858="",E859=""),"",E859/E858-1)</x:f>
        <x:v>#NAME?</x:v>
      </x:c>
      <x:c r="G859" s="152" t="e">
        <x:f>IF(E859="","",E859/MAX(E$5:E859)-1)</x:f>
        <x:v>#NAME?</x:v>
      </x:c>
      <x:c r="H859" s="146" t="e">
        <x:f>IF(OR('实盘净值数据(iFinD公式)'!$A859="",'实盘净值数据(iFinD公式)'!$B859=""),"",分期持仓明细!$AD$19*SUMPRODUCT(分期持仓明细!$B$19:$AA$19,'实盘净值数据(iFinD公式)'!$B859:$AA859/'实盘净值数据(iFinD公式)'!$B$20:$AA$20)*(1-实盘持仓初始配置!$Z$6)^(('实盘净值数据(iFinD公式)'!$A859-'实盘净值数据(iFinD公式)'!$A$7)/365))</x:f>
        <x:v>#NAME?</x:v>
      </x:c>
      <x:c r="I859" s="152" t="e">
        <x:f>IF(OR(H858="",H859=""),"",H859/H858-1)</x:f>
        <x:v>#NAME?</x:v>
      </x:c>
      <x:c r="J859" s="152" t="e">
        <x:f>IF(H859="","",H859/MAX(H$5:H859)-1)</x:f>
        <x:v>#NAME?</x:v>
      </x:c>
      <x:c r="K859" s="146" t="e">
        <x:f>IF(OR('实盘净值数据(iFinD公式)'!$A859="",'实盘净值数据(iFinD公式)'!$B859=""),"",分期持仓明细!$AD$23*SUMPRODUCT(分期持仓明细!$B$23:$AA$23,'实盘净值数据(iFinD公式)'!$B859:$AA859/'实盘净值数据(iFinD公式)'!$B$65:$AA$65)*(1-实盘持仓初始配置!$Z$7)^(('实盘净值数据(iFinD公式)'!$A859-'实盘净值数据(iFinD公式)'!$A$8)/365))</x:f>
        <x:v>#NAME?</x:v>
      </x:c>
      <x:c r="L859" s="152" t="e">
        <x:f>IF(OR(K858="",K859=""),"",K859/K858-1)</x:f>
        <x:v>#NAME?</x:v>
      </x:c>
      <x:c r="M859" s="152" t="e">
        <x:f>IF(K859="","",K859/MAX(K$5:K859)-1)</x:f>
        <x:v>#NAME?</x:v>
      </x:c>
      <x:c r="N859" s="146" t="e">
        <x:f>IF(OR('实盘净值数据(iFinD公式)'!$A859="",'实盘净值数据(iFinD公式)'!$B859=""),"",分期持仓明细!$AD$24*SUMPRODUCT(分期持仓明细!$B$24:$AA$24,'实盘净值数据(iFinD公式)'!$B859:$AA859/'实盘净值数据(iFinD公式)'!$B$65:$AA$65)*(1-实盘持仓初始配置!$Z$8)^(('实盘净值数据(iFinD公式)'!$A859-'实盘净值数据(iFinD公式)'!$A$5)/365))</x:f>
        <x:v>#NAME?</x:v>
      </x:c>
      <x:c r="O859" s="152" t="e">
        <x:f>IF(OR(N858="",N859=""),"",N859/N858-1)</x:f>
        <x:v>#NAME?</x:v>
      </x:c>
      <x:c r="P859" s="152" t="e">
        <x:f>IF(N859="","",N859/MAX(N$5:N859)-1)</x:f>
        <x:v>#NAME?</x:v>
      </x:c>
      <x:c r="Q859" s="146" t="e">
        <x:f>IF(OR('实盘净值数据(iFinD公式)'!$A859="",'实盘净值数据(iFinD公式)'!$B859=""),"",分期持仓明细!$AD$25*SUMPRODUCT(分期持仓明细!$B$25:$AA$25,'实盘净值数据(iFinD公式)'!$B859:$AA859/'实盘净值数据(iFinD公式)'!$B$65:$AA$65)*(1-实盘持仓初始配置!$Z$9)^(('实盘净值数据(iFinD公式)'!$A859-'实盘净值数据(iFinD公式)'!$A$8)/365))</x:f>
        <x:v>#NAME?</x:v>
      </x:c>
      <x:c r="R859" s="152" t="e">
        <x:f>IF(OR(Q858="",Q859=""),"",Q859/Q858-1)</x:f>
        <x:v>#NAME?</x:v>
      </x:c>
      <x:c r="S859" s="152" t="e">
        <x:f>IF(Q859="","",Q859/MAX(Q$5:Q859)-1)</x:f>
        <x:v>#NAME?</x:v>
      </x:c>
    </x:row>
    <x:row r="860">
      <x:c r="A860" s="149" t="str">
        <x:f>IF('实盘净值数据(iFinD公式)'!A860="","",'实盘净值数据(iFinD公式)'!A860)</x:f>
      </x:c>
      <x:c r="B860" s="146" t="e">
        <x:f>IF(OR('实盘净值数据(iFinD公式)'!$A860="",'实盘净值数据(iFinD公式)'!$B860=""),"",分期持仓明细!$AD$17*SUMPRODUCT(分期持仓明细!$B$17:$AA$17,'实盘净值数据(iFinD公式)'!$B860:$AA860/'实盘净值数据(iFinD公式)'!$B$20:$AA$20)*(1-实盘持仓初始配置!$Z$4)^(('实盘净值数据(iFinD公式)'!$A860-'实盘净值数据(iFinD公式)'!$A$6)/365))</x:f>
        <x:v>#NAME?</x:v>
      </x:c>
      <x:c r="C860" s="152" t="e">
        <x:f>IF(OR(B859="",B860=""),"",B860/B859-1)</x:f>
        <x:v>#NAME?</x:v>
      </x:c>
      <x:c r="D860" s="152" t="e">
        <x:f>IF(B860="","",B860/MAX(B$5:B860)-1)</x:f>
        <x:v>#NAME?</x:v>
      </x:c>
      <x:c r="E860" s="146" t="e">
        <x:f>IF(OR('实盘净值数据(iFinD公式)'!$A860="",'实盘净值数据(iFinD公式)'!$B860=""),"",分期持仓明细!$AD$18*SUMPRODUCT(分期持仓明细!$B$18:$AA$18,'实盘净值数据(iFinD公式)'!$B860:$AA860/'实盘净值数据(iFinD公式)'!$B$20:$AA$20)*(1-实盘持仓初始配置!$Z$5)^(('实盘净值数据(iFinD公式)'!$A860-'实盘净值数据(iFinD公式)'!$A$5)/365))</x:f>
        <x:v>#NAME?</x:v>
      </x:c>
      <x:c r="F860" s="152" t="e">
        <x:f>IF(OR(E859="",E860=""),"",E860/E859-1)</x:f>
        <x:v>#NAME?</x:v>
      </x:c>
      <x:c r="G860" s="152" t="e">
        <x:f>IF(E860="","",E860/MAX(E$5:E860)-1)</x:f>
        <x:v>#NAME?</x:v>
      </x:c>
      <x:c r="H860" s="146" t="e">
        <x:f>IF(OR('实盘净值数据(iFinD公式)'!$A860="",'实盘净值数据(iFinD公式)'!$B860=""),"",分期持仓明细!$AD$19*SUMPRODUCT(分期持仓明细!$B$19:$AA$19,'实盘净值数据(iFinD公式)'!$B860:$AA860/'实盘净值数据(iFinD公式)'!$B$20:$AA$20)*(1-实盘持仓初始配置!$Z$6)^(('实盘净值数据(iFinD公式)'!$A860-'实盘净值数据(iFinD公式)'!$A$7)/365))</x:f>
        <x:v>#NAME?</x:v>
      </x:c>
      <x:c r="I860" s="152" t="e">
        <x:f>IF(OR(H859="",H860=""),"",H860/H859-1)</x:f>
        <x:v>#NAME?</x:v>
      </x:c>
      <x:c r="J860" s="152" t="e">
        <x:f>IF(H860="","",H860/MAX(H$5:H860)-1)</x:f>
        <x:v>#NAME?</x:v>
      </x:c>
      <x:c r="K860" s="146" t="e">
        <x:f>IF(OR('实盘净值数据(iFinD公式)'!$A860="",'实盘净值数据(iFinD公式)'!$B860=""),"",分期持仓明细!$AD$23*SUMPRODUCT(分期持仓明细!$B$23:$AA$23,'实盘净值数据(iFinD公式)'!$B860:$AA860/'实盘净值数据(iFinD公式)'!$B$65:$AA$65)*(1-实盘持仓初始配置!$Z$7)^(('实盘净值数据(iFinD公式)'!$A860-'实盘净值数据(iFinD公式)'!$A$8)/365))</x:f>
        <x:v>#NAME?</x:v>
      </x:c>
      <x:c r="L860" s="152" t="e">
        <x:f>IF(OR(K859="",K860=""),"",K860/K859-1)</x:f>
        <x:v>#NAME?</x:v>
      </x:c>
      <x:c r="M860" s="152" t="e">
        <x:f>IF(K860="","",K860/MAX(K$5:K860)-1)</x:f>
        <x:v>#NAME?</x:v>
      </x:c>
      <x:c r="N860" s="146" t="e">
        <x:f>IF(OR('实盘净值数据(iFinD公式)'!$A860="",'实盘净值数据(iFinD公式)'!$B860=""),"",分期持仓明细!$AD$24*SUMPRODUCT(分期持仓明细!$B$24:$AA$24,'实盘净值数据(iFinD公式)'!$B860:$AA860/'实盘净值数据(iFinD公式)'!$B$65:$AA$65)*(1-实盘持仓初始配置!$Z$8)^(('实盘净值数据(iFinD公式)'!$A860-'实盘净值数据(iFinD公式)'!$A$5)/365))</x:f>
        <x:v>#NAME?</x:v>
      </x:c>
      <x:c r="O860" s="152" t="e">
        <x:f>IF(OR(N859="",N860=""),"",N860/N859-1)</x:f>
        <x:v>#NAME?</x:v>
      </x:c>
      <x:c r="P860" s="152" t="e">
        <x:f>IF(N860="","",N860/MAX(N$5:N860)-1)</x:f>
        <x:v>#NAME?</x:v>
      </x:c>
      <x:c r="Q860" s="146" t="e">
        <x:f>IF(OR('实盘净值数据(iFinD公式)'!$A860="",'实盘净值数据(iFinD公式)'!$B860=""),"",分期持仓明细!$AD$25*SUMPRODUCT(分期持仓明细!$B$25:$AA$25,'实盘净值数据(iFinD公式)'!$B860:$AA860/'实盘净值数据(iFinD公式)'!$B$65:$AA$65)*(1-实盘持仓初始配置!$Z$9)^(('实盘净值数据(iFinD公式)'!$A860-'实盘净值数据(iFinD公式)'!$A$8)/365))</x:f>
        <x:v>#NAME?</x:v>
      </x:c>
      <x:c r="R860" s="152" t="e">
        <x:f>IF(OR(Q859="",Q860=""),"",Q860/Q859-1)</x:f>
        <x:v>#NAME?</x:v>
      </x:c>
      <x:c r="S860" s="152" t="e">
        <x:f>IF(Q860="","",Q860/MAX(Q$5:Q860)-1)</x:f>
        <x:v>#NAME?</x:v>
      </x:c>
    </x:row>
    <x:row r="861">
      <x:c r="A861" s="149" t="str">
        <x:f>IF('实盘净值数据(iFinD公式)'!A861="","",'实盘净值数据(iFinD公式)'!A861)</x:f>
      </x:c>
      <x:c r="B861" s="146" t="e">
        <x:f>IF(OR('实盘净值数据(iFinD公式)'!$A861="",'实盘净值数据(iFinD公式)'!$B861=""),"",分期持仓明细!$AD$17*SUMPRODUCT(分期持仓明细!$B$17:$AA$17,'实盘净值数据(iFinD公式)'!$B861:$AA861/'实盘净值数据(iFinD公式)'!$B$20:$AA$20)*(1-实盘持仓初始配置!$Z$4)^(('实盘净值数据(iFinD公式)'!$A861-'实盘净值数据(iFinD公式)'!$A$6)/365))</x:f>
        <x:v>#NAME?</x:v>
      </x:c>
      <x:c r="C861" s="152" t="e">
        <x:f>IF(OR(B860="",B861=""),"",B861/B860-1)</x:f>
        <x:v>#NAME?</x:v>
      </x:c>
      <x:c r="D861" s="152" t="e">
        <x:f>IF(B861="","",B861/MAX(B$5:B861)-1)</x:f>
        <x:v>#NAME?</x:v>
      </x:c>
      <x:c r="E861" s="146" t="e">
        <x:f>IF(OR('实盘净值数据(iFinD公式)'!$A861="",'实盘净值数据(iFinD公式)'!$B861=""),"",分期持仓明细!$AD$18*SUMPRODUCT(分期持仓明细!$B$18:$AA$18,'实盘净值数据(iFinD公式)'!$B861:$AA861/'实盘净值数据(iFinD公式)'!$B$20:$AA$20)*(1-实盘持仓初始配置!$Z$5)^(('实盘净值数据(iFinD公式)'!$A861-'实盘净值数据(iFinD公式)'!$A$5)/365))</x:f>
        <x:v>#NAME?</x:v>
      </x:c>
      <x:c r="F861" s="152" t="e">
        <x:f>IF(OR(E860="",E861=""),"",E861/E860-1)</x:f>
        <x:v>#NAME?</x:v>
      </x:c>
      <x:c r="G861" s="152" t="e">
        <x:f>IF(E861="","",E861/MAX(E$5:E861)-1)</x:f>
        <x:v>#NAME?</x:v>
      </x:c>
      <x:c r="H861" s="146" t="e">
        <x:f>IF(OR('实盘净值数据(iFinD公式)'!$A861="",'实盘净值数据(iFinD公式)'!$B861=""),"",分期持仓明细!$AD$19*SUMPRODUCT(分期持仓明细!$B$19:$AA$19,'实盘净值数据(iFinD公式)'!$B861:$AA861/'实盘净值数据(iFinD公式)'!$B$20:$AA$20)*(1-实盘持仓初始配置!$Z$6)^(('实盘净值数据(iFinD公式)'!$A861-'实盘净值数据(iFinD公式)'!$A$7)/365))</x:f>
        <x:v>#NAME?</x:v>
      </x:c>
      <x:c r="I861" s="152" t="e">
        <x:f>IF(OR(H860="",H861=""),"",H861/H860-1)</x:f>
        <x:v>#NAME?</x:v>
      </x:c>
      <x:c r="J861" s="152" t="e">
        <x:f>IF(H861="","",H861/MAX(H$5:H861)-1)</x:f>
        <x:v>#NAME?</x:v>
      </x:c>
      <x:c r="K861" s="146" t="e">
        <x:f>IF(OR('实盘净值数据(iFinD公式)'!$A861="",'实盘净值数据(iFinD公式)'!$B861=""),"",分期持仓明细!$AD$23*SUMPRODUCT(分期持仓明细!$B$23:$AA$23,'实盘净值数据(iFinD公式)'!$B861:$AA861/'实盘净值数据(iFinD公式)'!$B$65:$AA$65)*(1-实盘持仓初始配置!$Z$7)^(('实盘净值数据(iFinD公式)'!$A861-'实盘净值数据(iFinD公式)'!$A$8)/365))</x:f>
        <x:v>#NAME?</x:v>
      </x:c>
      <x:c r="L861" s="152" t="e">
        <x:f>IF(OR(K860="",K861=""),"",K861/K860-1)</x:f>
        <x:v>#NAME?</x:v>
      </x:c>
      <x:c r="M861" s="152" t="e">
        <x:f>IF(K861="","",K861/MAX(K$5:K861)-1)</x:f>
        <x:v>#NAME?</x:v>
      </x:c>
      <x:c r="N861" s="146" t="e">
        <x:f>IF(OR('实盘净值数据(iFinD公式)'!$A861="",'实盘净值数据(iFinD公式)'!$B861=""),"",分期持仓明细!$AD$24*SUMPRODUCT(分期持仓明细!$B$24:$AA$24,'实盘净值数据(iFinD公式)'!$B861:$AA861/'实盘净值数据(iFinD公式)'!$B$65:$AA$65)*(1-实盘持仓初始配置!$Z$8)^(('实盘净值数据(iFinD公式)'!$A861-'实盘净值数据(iFinD公式)'!$A$5)/365))</x:f>
        <x:v>#NAME?</x:v>
      </x:c>
      <x:c r="O861" s="152" t="e">
        <x:f>IF(OR(N860="",N861=""),"",N861/N860-1)</x:f>
        <x:v>#NAME?</x:v>
      </x:c>
      <x:c r="P861" s="152" t="e">
        <x:f>IF(N861="","",N861/MAX(N$5:N861)-1)</x:f>
        <x:v>#NAME?</x:v>
      </x:c>
      <x:c r="Q861" s="146" t="e">
        <x:f>IF(OR('实盘净值数据(iFinD公式)'!$A861="",'实盘净值数据(iFinD公式)'!$B861=""),"",分期持仓明细!$AD$25*SUMPRODUCT(分期持仓明细!$B$25:$AA$25,'实盘净值数据(iFinD公式)'!$B861:$AA861/'实盘净值数据(iFinD公式)'!$B$65:$AA$65)*(1-实盘持仓初始配置!$Z$9)^(('实盘净值数据(iFinD公式)'!$A861-'实盘净值数据(iFinD公式)'!$A$8)/365))</x:f>
        <x:v>#NAME?</x:v>
      </x:c>
      <x:c r="R861" s="152" t="e">
        <x:f>IF(OR(Q860="",Q861=""),"",Q861/Q860-1)</x:f>
        <x:v>#NAME?</x:v>
      </x:c>
      <x:c r="S861" s="152" t="e">
        <x:f>IF(Q861="","",Q861/MAX(Q$5:Q861)-1)</x:f>
        <x:v>#NAME?</x:v>
      </x:c>
    </x:row>
    <x:row r="862">
      <x:c r="A862" s="149" t="str">
        <x:f>IF('实盘净值数据(iFinD公式)'!A862="","",'实盘净值数据(iFinD公式)'!A862)</x:f>
      </x:c>
      <x:c r="B862" s="146" t="e">
        <x:f>IF(OR('实盘净值数据(iFinD公式)'!$A862="",'实盘净值数据(iFinD公式)'!$B862=""),"",分期持仓明细!$AD$17*SUMPRODUCT(分期持仓明细!$B$17:$AA$17,'实盘净值数据(iFinD公式)'!$B862:$AA862/'实盘净值数据(iFinD公式)'!$B$20:$AA$20)*(1-实盘持仓初始配置!$Z$4)^(('实盘净值数据(iFinD公式)'!$A862-'实盘净值数据(iFinD公式)'!$A$6)/365))</x:f>
        <x:v>#NAME?</x:v>
      </x:c>
      <x:c r="C862" s="152" t="e">
        <x:f>IF(OR(B861="",B862=""),"",B862/B861-1)</x:f>
        <x:v>#NAME?</x:v>
      </x:c>
      <x:c r="D862" s="152" t="e">
        <x:f>IF(B862="","",B862/MAX(B$5:B862)-1)</x:f>
        <x:v>#NAME?</x:v>
      </x:c>
      <x:c r="E862" s="146" t="e">
        <x:f>IF(OR('实盘净值数据(iFinD公式)'!$A862="",'实盘净值数据(iFinD公式)'!$B862=""),"",分期持仓明细!$AD$18*SUMPRODUCT(分期持仓明细!$B$18:$AA$18,'实盘净值数据(iFinD公式)'!$B862:$AA862/'实盘净值数据(iFinD公式)'!$B$20:$AA$20)*(1-实盘持仓初始配置!$Z$5)^(('实盘净值数据(iFinD公式)'!$A862-'实盘净值数据(iFinD公式)'!$A$5)/365))</x:f>
        <x:v>#NAME?</x:v>
      </x:c>
      <x:c r="F862" s="152" t="e">
        <x:f>IF(OR(E861="",E862=""),"",E862/E861-1)</x:f>
        <x:v>#NAME?</x:v>
      </x:c>
      <x:c r="G862" s="152" t="e">
        <x:f>IF(E862="","",E862/MAX(E$5:E862)-1)</x:f>
        <x:v>#NAME?</x:v>
      </x:c>
      <x:c r="H862" s="146" t="e">
        <x:f>IF(OR('实盘净值数据(iFinD公式)'!$A862="",'实盘净值数据(iFinD公式)'!$B862=""),"",分期持仓明细!$AD$19*SUMPRODUCT(分期持仓明细!$B$19:$AA$19,'实盘净值数据(iFinD公式)'!$B862:$AA862/'实盘净值数据(iFinD公式)'!$B$20:$AA$20)*(1-实盘持仓初始配置!$Z$6)^(('实盘净值数据(iFinD公式)'!$A862-'实盘净值数据(iFinD公式)'!$A$7)/365))</x:f>
        <x:v>#NAME?</x:v>
      </x:c>
      <x:c r="I862" s="152" t="e">
        <x:f>IF(OR(H861="",H862=""),"",H862/H861-1)</x:f>
        <x:v>#NAME?</x:v>
      </x:c>
      <x:c r="J862" s="152" t="e">
        <x:f>IF(H862="","",H862/MAX(H$5:H862)-1)</x:f>
        <x:v>#NAME?</x:v>
      </x:c>
      <x:c r="K862" s="146" t="e">
        <x:f>IF(OR('实盘净值数据(iFinD公式)'!$A862="",'实盘净值数据(iFinD公式)'!$B862=""),"",分期持仓明细!$AD$23*SUMPRODUCT(分期持仓明细!$B$23:$AA$23,'实盘净值数据(iFinD公式)'!$B862:$AA862/'实盘净值数据(iFinD公式)'!$B$65:$AA$65)*(1-实盘持仓初始配置!$Z$7)^(('实盘净值数据(iFinD公式)'!$A862-'实盘净值数据(iFinD公式)'!$A$8)/365))</x:f>
        <x:v>#NAME?</x:v>
      </x:c>
      <x:c r="L862" s="152" t="e">
        <x:f>IF(OR(K861="",K862=""),"",K862/K861-1)</x:f>
        <x:v>#NAME?</x:v>
      </x:c>
      <x:c r="M862" s="152" t="e">
        <x:f>IF(K862="","",K862/MAX(K$5:K862)-1)</x:f>
        <x:v>#NAME?</x:v>
      </x:c>
      <x:c r="N862" s="146" t="e">
        <x:f>IF(OR('实盘净值数据(iFinD公式)'!$A862="",'实盘净值数据(iFinD公式)'!$B862=""),"",分期持仓明细!$AD$24*SUMPRODUCT(分期持仓明细!$B$24:$AA$24,'实盘净值数据(iFinD公式)'!$B862:$AA862/'实盘净值数据(iFinD公式)'!$B$65:$AA$65)*(1-实盘持仓初始配置!$Z$8)^(('实盘净值数据(iFinD公式)'!$A862-'实盘净值数据(iFinD公式)'!$A$5)/365))</x:f>
        <x:v>#NAME?</x:v>
      </x:c>
      <x:c r="O862" s="152" t="e">
        <x:f>IF(OR(N861="",N862=""),"",N862/N861-1)</x:f>
        <x:v>#NAME?</x:v>
      </x:c>
      <x:c r="P862" s="152" t="e">
        <x:f>IF(N862="","",N862/MAX(N$5:N862)-1)</x:f>
        <x:v>#NAME?</x:v>
      </x:c>
      <x:c r="Q862" s="146" t="e">
        <x:f>IF(OR('实盘净值数据(iFinD公式)'!$A862="",'实盘净值数据(iFinD公式)'!$B862=""),"",分期持仓明细!$AD$25*SUMPRODUCT(分期持仓明细!$B$25:$AA$25,'实盘净值数据(iFinD公式)'!$B862:$AA862/'实盘净值数据(iFinD公式)'!$B$65:$AA$65)*(1-实盘持仓初始配置!$Z$9)^(('实盘净值数据(iFinD公式)'!$A862-'实盘净值数据(iFinD公式)'!$A$8)/365))</x:f>
        <x:v>#NAME?</x:v>
      </x:c>
      <x:c r="R862" s="152" t="e">
        <x:f>IF(OR(Q861="",Q862=""),"",Q862/Q861-1)</x:f>
        <x:v>#NAME?</x:v>
      </x:c>
      <x:c r="S862" s="152" t="e">
        <x:f>IF(Q862="","",Q862/MAX(Q$5:Q862)-1)</x:f>
        <x:v>#NAME?</x:v>
      </x:c>
    </x:row>
    <x:row r="863">
      <x:c r="A863" s="149" t="str">
        <x:f>IF('实盘净值数据(iFinD公式)'!A863="","",'实盘净值数据(iFinD公式)'!A863)</x:f>
      </x:c>
      <x:c r="B863" s="146" t="e">
        <x:f>IF(OR('实盘净值数据(iFinD公式)'!$A863="",'实盘净值数据(iFinD公式)'!$B863=""),"",分期持仓明细!$AD$17*SUMPRODUCT(分期持仓明细!$B$17:$AA$17,'实盘净值数据(iFinD公式)'!$B863:$AA863/'实盘净值数据(iFinD公式)'!$B$20:$AA$20)*(1-实盘持仓初始配置!$Z$4)^(('实盘净值数据(iFinD公式)'!$A863-'实盘净值数据(iFinD公式)'!$A$6)/365))</x:f>
        <x:v>#NAME?</x:v>
      </x:c>
      <x:c r="C863" s="152" t="e">
        <x:f>IF(OR(B862="",B863=""),"",B863/B862-1)</x:f>
        <x:v>#NAME?</x:v>
      </x:c>
      <x:c r="D863" s="152" t="e">
        <x:f>IF(B863="","",B863/MAX(B$5:B863)-1)</x:f>
        <x:v>#NAME?</x:v>
      </x:c>
      <x:c r="E863" s="146" t="e">
        <x:f>IF(OR('实盘净值数据(iFinD公式)'!$A863="",'实盘净值数据(iFinD公式)'!$B863=""),"",分期持仓明细!$AD$18*SUMPRODUCT(分期持仓明细!$B$18:$AA$18,'实盘净值数据(iFinD公式)'!$B863:$AA863/'实盘净值数据(iFinD公式)'!$B$20:$AA$20)*(1-实盘持仓初始配置!$Z$5)^(('实盘净值数据(iFinD公式)'!$A863-'实盘净值数据(iFinD公式)'!$A$5)/365))</x:f>
        <x:v>#NAME?</x:v>
      </x:c>
      <x:c r="F863" s="152" t="e">
        <x:f>IF(OR(E862="",E863=""),"",E863/E862-1)</x:f>
        <x:v>#NAME?</x:v>
      </x:c>
      <x:c r="G863" s="152" t="e">
        <x:f>IF(E863="","",E863/MAX(E$5:E863)-1)</x:f>
        <x:v>#NAME?</x:v>
      </x:c>
      <x:c r="H863" s="146" t="e">
        <x:f>IF(OR('实盘净值数据(iFinD公式)'!$A863="",'实盘净值数据(iFinD公式)'!$B863=""),"",分期持仓明细!$AD$19*SUMPRODUCT(分期持仓明细!$B$19:$AA$19,'实盘净值数据(iFinD公式)'!$B863:$AA863/'实盘净值数据(iFinD公式)'!$B$20:$AA$20)*(1-实盘持仓初始配置!$Z$6)^(('实盘净值数据(iFinD公式)'!$A863-'实盘净值数据(iFinD公式)'!$A$7)/365))</x:f>
        <x:v>#NAME?</x:v>
      </x:c>
      <x:c r="I863" s="152" t="e">
        <x:f>IF(OR(H862="",H863=""),"",H863/H862-1)</x:f>
        <x:v>#NAME?</x:v>
      </x:c>
      <x:c r="J863" s="152" t="e">
        <x:f>IF(H863="","",H863/MAX(H$5:H863)-1)</x:f>
        <x:v>#NAME?</x:v>
      </x:c>
      <x:c r="K863" s="146" t="e">
        <x:f>IF(OR('实盘净值数据(iFinD公式)'!$A863="",'实盘净值数据(iFinD公式)'!$B863=""),"",分期持仓明细!$AD$23*SUMPRODUCT(分期持仓明细!$B$23:$AA$23,'实盘净值数据(iFinD公式)'!$B863:$AA863/'实盘净值数据(iFinD公式)'!$B$65:$AA$65)*(1-实盘持仓初始配置!$Z$7)^(('实盘净值数据(iFinD公式)'!$A863-'实盘净值数据(iFinD公式)'!$A$8)/365))</x:f>
        <x:v>#NAME?</x:v>
      </x:c>
      <x:c r="L863" s="152" t="e">
        <x:f>IF(OR(K862="",K863=""),"",K863/K862-1)</x:f>
        <x:v>#NAME?</x:v>
      </x:c>
      <x:c r="M863" s="152" t="e">
        <x:f>IF(K863="","",K863/MAX(K$5:K863)-1)</x:f>
        <x:v>#NAME?</x:v>
      </x:c>
      <x:c r="N863" s="146" t="e">
        <x:f>IF(OR('实盘净值数据(iFinD公式)'!$A863="",'实盘净值数据(iFinD公式)'!$B863=""),"",分期持仓明细!$AD$24*SUMPRODUCT(分期持仓明细!$B$24:$AA$24,'实盘净值数据(iFinD公式)'!$B863:$AA863/'实盘净值数据(iFinD公式)'!$B$65:$AA$65)*(1-实盘持仓初始配置!$Z$8)^(('实盘净值数据(iFinD公式)'!$A863-'实盘净值数据(iFinD公式)'!$A$5)/365))</x:f>
        <x:v>#NAME?</x:v>
      </x:c>
      <x:c r="O863" s="152" t="e">
        <x:f>IF(OR(N862="",N863=""),"",N863/N862-1)</x:f>
        <x:v>#NAME?</x:v>
      </x:c>
      <x:c r="P863" s="152" t="e">
        <x:f>IF(N863="","",N863/MAX(N$5:N863)-1)</x:f>
        <x:v>#NAME?</x:v>
      </x:c>
      <x:c r="Q863" s="146" t="e">
        <x:f>IF(OR('实盘净值数据(iFinD公式)'!$A863="",'实盘净值数据(iFinD公式)'!$B863=""),"",分期持仓明细!$AD$25*SUMPRODUCT(分期持仓明细!$B$25:$AA$25,'实盘净值数据(iFinD公式)'!$B863:$AA863/'实盘净值数据(iFinD公式)'!$B$65:$AA$65)*(1-实盘持仓初始配置!$Z$9)^(('实盘净值数据(iFinD公式)'!$A863-'实盘净值数据(iFinD公式)'!$A$8)/365))</x:f>
        <x:v>#NAME?</x:v>
      </x:c>
      <x:c r="R863" s="152" t="e">
        <x:f>IF(OR(Q862="",Q863=""),"",Q863/Q862-1)</x:f>
        <x:v>#NAME?</x:v>
      </x:c>
      <x:c r="S863" s="152" t="e">
        <x:f>IF(Q863="","",Q863/MAX(Q$5:Q863)-1)</x:f>
        <x:v>#NAME?</x:v>
      </x:c>
    </x:row>
    <x:row r="864">
      <x:c r="A864" s="149" t="str">
        <x:f>IF('实盘净值数据(iFinD公式)'!A864="","",'实盘净值数据(iFinD公式)'!A864)</x:f>
      </x:c>
      <x:c r="B864" s="146" t="e">
        <x:f>IF(OR('实盘净值数据(iFinD公式)'!$A864="",'实盘净值数据(iFinD公式)'!$B864=""),"",分期持仓明细!$AD$17*SUMPRODUCT(分期持仓明细!$B$17:$AA$17,'实盘净值数据(iFinD公式)'!$B864:$AA864/'实盘净值数据(iFinD公式)'!$B$20:$AA$20)*(1-实盘持仓初始配置!$Z$4)^(('实盘净值数据(iFinD公式)'!$A864-'实盘净值数据(iFinD公式)'!$A$6)/365))</x:f>
        <x:v>#NAME?</x:v>
      </x:c>
      <x:c r="C864" s="152" t="e">
        <x:f>IF(OR(B863="",B864=""),"",B864/B863-1)</x:f>
        <x:v>#NAME?</x:v>
      </x:c>
      <x:c r="D864" s="152" t="e">
        <x:f>IF(B864="","",B864/MAX(B$5:B864)-1)</x:f>
        <x:v>#NAME?</x:v>
      </x:c>
      <x:c r="E864" s="146" t="e">
        <x:f>IF(OR('实盘净值数据(iFinD公式)'!$A864="",'实盘净值数据(iFinD公式)'!$B864=""),"",分期持仓明细!$AD$18*SUMPRODUCT(分期持仓明细!$B$18:$AA$18,'实盘净值数据(iFinD公式)'!$B864:$AA864/'实盘净值数据(iFinD公式)'!$B$20:$AA$20)*(1-实盘持仓初始配置!$Z$5)^(('实盘净值数据(iFinD公式)'!$A864-'实盘净值数据(iFinD公式)'!$A$5)/365))</x:f>
        <x:v>#NAME?</x:v>
      </x:c>
      <x:c r="F864" s="152" t="e">
        <x:f>IF(OR(E863="",E864=""),"",E864/E863-1)</x:f>
        <x:v>#NAME?</x:v>
      </x:c>
      <x:c r="G864" s="152" t="e">
        <x:f>IF(E864="","",E864/MAX(E$5:E864)-1)</x:f>
        <x:v>#NAME?</x:v>
      </x:c>
      <x:c r="H864" s="146" t="e">
        <x:f>IF(OR('实盘净值数据(iFinD公式)'!$A864="",'实盘净值数据(iFinD公式)'!$B864=""),"",分期持仓明细!$AD$19*SUMPRODUCT(分期持仓明细!$B$19:$AA$19,'实盘净值数据(iFinD公式)'!$B864:$AA864/'实盘净值数据(iFinD公式)'!$B$20:$AA$20)*(1-实盘持仓初始配置!$Z$6)^(('实盘净值数据(iFinD公式)'!$A864-'实盘净值数据(iFinD公式)'!$A$7)/365))</x:f>
        <x:v>#NAME?</x:v>
      </x:c>
      <x:c r="I864" s="152" t="e">
        <x:f>IF(OR(H863="",H864=""),"",H864/H863-1)</x:f>
        <x:v>#NAME?</x:v>
      </x:c>
      <x:c r="J864" s="152" t="e">
        <x:f>IF(H864="","",H864/MAX(H$5:H864)-1)</x:f>
        <x:v>#NAME?</x:v>
      </x:c>
      <x:c r="K864" s="146" t="e">
        <x:f>IF(OR('实盘净值数据(iFinD公式)'!$A864="",'实盘净值数据(iFinD公式)'!$B864=""),"",分期持仓明细!$AD$23*SUMPRODUCT(分期持仓明细!$B$23:$AA$23,'实盘净值数据(iFinD公式)'!$B864:$AA864/'实盘净值数据(iFinD公式)'!$B$65:$AA$65)*(1-实盘持仓初始配置!$Z$7)^(('实盘净值数据(iFinD公式)'!$A864-'实盘净值数据(iFinD公式)'!$A$8)/365))</x:f>
        <x:v>#NAME?</x:v>
      </x:c>
      <x:c r="L864" s="152" t="e">
        <x:f>IF(OR(K863="",K864=""),"",K864/K863-1)</x:f>
        <x:v>#NAME?</x:v>
      </x:c>
      <x:c r="M864" s="152" t="e">
        <x:f>IF(K864="","",K864/MAX(K$5:K864)-1)</x:f>
        <x:v>#NAME?</x:v>
      </x:c>
      <x:c r="N864" s="146" t="e">
        <x:f>IF(OR('实盘净值数据(iFinD公式)'!$A864="",'实盘净值数据(iFinD公式)'!$B864=""),"",分期持仓明细!$AD$24*SUMPRODUCT(分期持仓明细!$B$24:$AA$24,'实盘净值数据(iFinD公式)'!$B864:$AA864/'实盘净值数据(iFinD公式)'!$B$65:$AA$65)*(1-实盘持仓初始配置!$Z$8)^(('实盘净值数据(iFinD公式)'!$A864-'实盘净值数据(iFinD公式)'!$A$5)/365))</x:f>
        <x:v>#NAME?</x:v>
      </x:c>
      <x:c r="O864" s="152" t="e">
        <x:f>IF(OR(N863="",N864=""),"",N864/N863-1)</x:f>
        <x:v>#NAME?</x:v>
      </x:c>
      <x:c r="P864" s="152" t="e">
        <x:f>IF(N864="","",N864/MAX(N$5:N864)-1)</x:f>
        <x:v>#NAME?</x:v>
      </x:c>
      <x:c r="Q864" s="146" t="e">
        <x:f>IF(OR('实盘净值数据(iFinD公式)'!$A864="",'实盘净值数据(iFinD公式)'!$B864=""),"",分期持仓明细!$AD$25*SUMPRODUCT(分期持仓明细!$B$25:$AA$25,'实盘净值数据(iFinD公式)'!$B864:$AA864/'实盘净值数据(iFinD公式)'!$B$65:$AA$65)*(1-实盘持仓初始配置!$Z$9)^(('实盘净值数据(iFinD公式)'!$A864-'实盘净值数据(iFinD公式)'!$A$8)/365))</x:f>
        <x:v>#NAME?</x:v>
      </x:c>
      <x:c r="R864" s="152" t="e">
        <x:f>IF(OR(Q863="",Q864=""),"",Q864/Q863-1)</x:f>
        <x:v>#NAME?</x:v>
      </x:c>
      <x:c r="S864" s="152" t="e">
        <x:f>IF(Q864="","",Q864/MAX(Q$5:Q864)-1)</x:f>
        <x:v>#NAME?</x:v>
      </x:c>
    </x:row>
    <x:row r="865">
      <x:c r="A865" s="149" t="str">
        <x:f>IF('实盘净值数据(iFinD公式)'!A865="","",'实盘净值数据(iFinD公式)'!A865)</x:f>
      </x:c>
      <x:c r="B865" s="146" t="e">
        <x:f>IF(OR('实盘净值数据(iFinD公式)'!$A865="",'实盘净值数据(iFinD公式)'!$B865=""),"",分期持仓明细!$AD$17*SUMPRODUCT(分期持仓明细!$B$17:$AA$17,'实盘净值数据(iFinD公式)'!$B865:$AA865/'实盘净值数据(iFinD公式)'!$B$20:$AA$20)*(1-实盘持仓初始配置!$Z$4)^(('实盘净值数据(iFinD公式)'!$A865-'实盘净值数据(iFinD公式)'!$A$6)/365))</x:f>
        <x:v>#NAME?</x:v>
      </x:c>
      <x:c r="C865" s="152" t="e">
        <x:f>IF(OR(B864="",B865=""),"",B865/B864-1)</x:f>
        <x:v>#NAME?</x:v>
      </x:c>
      <x:c r="D865" s="152" t="e">
        <x:f>IF(B865="","",B865/MAX(B$5:B865)-1)</x:f>
        <x:v>#NAME?</x:v>
      </x:c>
      <x:c r="E865" s="146" t="e">
        <x:f>IF(OR('实盘净值数据(iFinD公式)'!$A865="",'实盘净值数据(iFinD公式)'!$B865=""),"",分期持仓明细!$AD$18*SUMPRODUCT(分期持仓明细!$B$18:$AA$18,'实盘净值数据(iFinD公式)'!$B865:$AA865/'实盘净值数据(iFinD公式)'!$B$20:$AA$20)*(1-实盘持仓初始配置!$Z$5)^(('实盘净值数据(iFinD公式)'!$A865-'实盘净值数据(iFinD公式)'!$A$5)/365))</x:f>
        <x:v>#NAME?</x:v>
      </x:c>
      <x:c r="F865" s="152" t="e">
        <x:f>IF(OR(E864="",E865=""),"",E865/E864-1)</x:f>
        <x:v>#NAME?</x:v>
      </x:c>
      <x:c r="G865" s="152" t="e">
        <x:f>IF(E865="","",E865/MAX(E$5:E865)-1)</x:f>
        <x:v>#NAME?</x:v>
      </x:c>
      <x:c r="H865" s="146" t="e">
        <x:f>IF(OR('实盘净值数据(iFinD公式)'!$A865="",'实盘净值数据(iFinD公式)'!$B865=""),"",分期持仓明细!$AD$19*SUMPRODUCT(分期持仓明细!$B$19:$AA$19,'实盘净值数据(iFinD公式)'!$B865:$AA865/'实盘净值数据(iFinD公式)'!$B$20:$AA$20)*(1-实盘持仓初始配置!$Z$6)^(('实盘净值数据(iFinD公式)'!$A865-'实盘净值数据(iFinD公式)'!$A$7)/365))</x:f>
        <x:v>#NAME?</x:v>
      </x:c>
      <x:c r="I865" s="152" t="e">
        <x:f>IF(OR(H864="",H865=""),"",H865/H864-1)</x:f>
        <x:v>#NAME?</x:v>
      </x:c>
      <x:c r="J865" s="152" t="e">
        <x:f>IF(H865="","",H865/MAX(H$5:H865)-1)</x:f>
        <x:v>#NAME?</x:v>
      </x:c>
      <x:c r="K865" s="146" t="e">
        <x:f>IF(OR('实盘净值数据(iFinD公式)'!$A865="",'实盘净值数据(iFinD公式)'!$B865=""),"",分期持仓明细!$AD$23*SUMPRODUCT(分期持仓明细!$B$23:$AA$23,'实盘净值数据(iFinD公式)'!$B865:$AA865/'实盘净值数据(iFinD公式)'!$B$65:$AA$65)*(1-实盘持仓初始配置!$Z$7)^(('实盘净值数据(iFinD公式)'!$A865-'实盘净值数据(iFinD公式)'!$A$8)/365))</x:f>
        <x:v>#NAME?</x:v>
      </x:c>
      <x:c r="L865" s="152" t="e">
        <x:f>IF(OR(K864="",K865=""),"",K865/K864-1)</x:f>
        <x:v>#NAME?</x:v>
      </x:c>
      <x:c r="M865" s="152" t="e">
        <x:f>IF(K865="","",K865/MAX(K$5:K865)-1)</x:f>
        <x:v>#NAME?</x:v>
      </x:c>
      <x:c r="N865" s="146" t="e">
        <x:f>IF(OR('实盘净值数据(iFinD公式)'!$A865="",'实盘净值数据(iFinD公式)'!$B865=""),"",分期持仓明细!$AD$24*SUMPRODUCT(分期持仓明细!$B$24:$AA$24,'实盘净值数据(iFinD公式)'!$B865:$AA865/'实盘净值数据(iFinD公式)'!$B$65:$AA$65)*(1-实盘持仓初始配置!$Z$8)^(('实盘净值数据(iFinD公式)'!$A865-'实盘净值数据(iFinD公式)'!$A$5)/365))</x:f>
        <x:v>#NAME?</x:v>
      </x:c>
      <x:c r="O865" s="152" t="e">
        <x:f>IF(OR(N864="",N865=""),"",N865/N864-1)</x:f>
        <x:v>#NAME?</x:v>
      </x:c>
      <x:c r="P865" s="152" t="e">
        <x:f>IF(N865="","",N865/MAX(N$5:N865)-1)</x:f>
        <x:v>#NAME?</x:v>
      </x:c>
      <x:c r="Q865" s="146" t="e">
        <x:f>IF(OR('实盘净值数据(iFinD公式)'!$A865="",'实盘净值数据(iFinD公式)'!$B865=""),"",分期持仓明细!$AD$25*SUMPRODUCT(分期持仓明细!$B$25:$AA$25,'实盘净值数据(iFinD公式)'!$B865:$AA865/'实盘净值数据(iFinD公式)'!$B$65:$AA$65)*(1-实盘持仓初始配置!$Z$9)^(('实盘净值数据(iFinD公式)'!$A865-'实盘净值数据(iFinD公式)'!$A$8)/365))</x:f>
        <x:v>#NAME?</x:v>
      </x:c>
      <x:c r="R865" s="152" t="e">
        <x:f>IF(OR(Q864="",Q865=""),"",Q865/Q864-1)</x:f>
        <x:v>#NAME?</x:v>
      </x:c>
      <x:c r="S865" s="152" t="e">
        <x:f>IF(Q865="","",Q865/MAX(Q$5:Q865)-1)</x:f>
        <x:v>#NAME?</x:v>
      </x:c>
    </x:row>
    <x:row r="866">
      <x:c r="A866" s="149" t="str">
        <x:f>IF('实盘净值数据(iFinD公式)'!A866="","",'实盘净值数据(iFinD公式)'!A866)</x:f>
      </x:c>
      <x:c r="B866" s="146" t="e">
        <x:f>IF(OR('实盘净值数据(iFinD公式)'!$A866="",'实盘净值数据(iFinD公式)'!$B866=""),"",分期持仓明细!$AD$17*SUMPRODUCT(分期持仓明细!$B$17:$AA$17,'实盘净值数据(iFinD公式)'!$B866:$AA866/'实盘净值数据(iFinD公式)'!$B$20:$AA$20)*(1-实盘持仓初始配置!$Z$4)^(('实盘净值数据(iFinD公式)'!$A866-'实盘净值数据(iFinD公式)'!$A$6)/365))</x:f>
        <x:v>#NAME?</x:v>
      </x:c>
      <x:c r="C866" s="152" t="e">
        <x:f>IF(OR(B865="",B866=""),"",B866/B865-1)</x:f>
        <x:v>#NAME?</x:v>
      </x:c>
      <x:c r="D866" s="152" t="e">
        <x:f>IF(B866="","",B866/MAX(B$5:B866)-1)</x:f>
        <x:v>#NAME?</x:v>
      </x:c>
      <x:c r="E866" s="146" t="e">
        <x:f>IF(OR('实盘净值数据(iFinD公式)'!$A866="",'实盘净值数据(iFinD公式)'!$B866=""),"",分期持仓明细!$AD$18*SUMPRODUCT(分期持仓明细!$B$18:$AA$18,'实盘净值数据(iFinD公式)'!$B866:$AA866/'实盘净值数据(iFinD公式)'!$B$20:$AA$20)*(1-实盘持仓初始配置!$Z$5)^(('实盘净值数据(iFinD公式)'!$A866-'实盘净值数据(iFinD公式)'!$A$5)/365))</x:f>
        <x:v>#NAME?</x:v>
      </x:c>
      <x:c r="F866" s="152" t="e">
        <x:f>IF(OR(E865="",E866=""),"",E866/E865-1)</x:f>
        <x:v>#NAME?</x:v>
      </x:c>
      <x:c r="G866" s="152" t="e">
        <x:f>IF(E866="","",E866/MAX(E$5:E866)-1)</x:f>
        <x:v>#NAME?</x:v>
      </x:c>
      <x:c r="H866" s="146" t="e">
        <x:f>IF(OR('实盘净值数据(iFinD公式)'!$A866="",'实盘净值数据(iFinD公式)'!$B866=""),"",分期持仓明细!$AD$19*SUMPRODUCT(分期持仓明细!$B$19:$AA$19,'实盘净值数据(iFinD公式)'!$B866:$AA866/'实盘净值数据(iFinD公式)'!$B$20:$AA$20)*(1-实盘持仓初始配置!$Z$6)^(('实盘净值数据(iFinD公式)'!$A866-'实盘净值数据(iFinD公式)'!$A$7)/365))</x:f>
        <x:v>#NAME?</x:v>
      </x:c>
      <x:c r="I866" s="152" t="e">
        <x:f>IF(OR(H865="",H866=""),"",H866/H865-1)</x:f>
        <x:v>#NAME?</x:v>
      </x:c>
      <x:c r="J866" s="152" t="e">
        <x:f>IF(H866="","",H866/MAX(H$5:H866)-1)</x:f>
        <x:v>#NAME?</x:v>
      </x:c>
      <x:c r="K866" s="146" t="e">
        <x:f>IF(OR('实盘净值数据(iFinD公式)'!$A866="",'实盘净值数据(iFinD公式)'!$B866=""),"",分期持仓明细!$AD$23*SUMPRODUCT(分期持仓明细!$B$23:$AA$23,'实盘净值数据(iFinD公式)'!$B866:$AA866/'实盘净值数据(iFinD公式)'!$B$65:$AA$65)*(1-实盘持仓初始配置!$Z$7)^(('实盘净值数据(iFinD公式)'!$A866-'实盘净值数据(iFinD公式)'!$A$8)/365))</x:f>
        <x:v>#NAME?</x:v>
      </x:c>
      <x:c r="L866" s="152" t="e">
        <x:f>IF(OR(K865="",K866=""),"",K866/K865-1)</x:f>
        <x:v>#NAME?</x:v>
      </x:c>
      <x:c r="M866" s="152" t="e">
        <x:f>IF(K866="","",K866/MAX(K$5:K866)-1)</x:f>
        <x:v>#NAME?</x:v>
      </x:c>
      <x:c r="N866" s="146" t="e">
        <x:f>IF(OR('实盘净值数据(iFinD公式)'!$A866="",'实盘净值数据(iFinD公式)'!$B866=""),"",分期持仓明细!$AD$24*SUMPRODUCT(分期持仓明细!$B$24:$AA$24,'实盘净值数据(iFinD公式)'!$B866:$AA866/'实盘净值数据(iFinD公式)'!$B$65:$AA$65)*(1-实盘持仓初始配置!$Z$8)^(('实盘净值数据(iFinD公式)'!$A866-'实盘净值数据(iFinD公式)'!$A$5)/365))</x:f>
        <x:v>#NAME?</x:v>
      </x:c>
      <x:c r="O866" s="152" t="e">
        <x:f>IF(OR(N865="",N866=""),"",N866/N865-1)</x:f>
        <x:v>#NAME?</x:v>
      </x:c>
      <x:c r="P866" s="152" t="e">
        <x:f>IF(N866="","",N866/MAX(N$5:N866)-1)</x:f>
        <x:v>#NAME?</x:v>
      </x:c>
      <x:c r="Q866" s="146" t="e">
        <x:f>IF(OR('实盘净值数据(iFinD公式)'!$A866="",'实盘净值数据(iFinD公式)'!$B866=""),"",分期持仓明细!$AD$25*SUMPRODUCT(分期持仓明细!$B$25:$AA$25,'实盘净值数据(iFinD公式)'!$B866:$AA866/'实盘净值数据(iFinD公式)'!$B$65:$AA$65)*(1-实盘持仓初始配置!$Z$9)^(('实盘净值数据(iFinD公式)'!$A866-'实盘净值数据(iFinD公式)'!$A$8)/365))</x:f>
        <x:v>#NAME?</x:v>
      </x:c>
      <x:c r="R866" s="152" t="e">
        <x:f>IF(OR(Q865="",Q866=""),"",Q866/Q865-1)</x:f>
        <x:v>#NAME?</x:v>
      </x:c>
      <x:c r="S866" s="152" t="e">
        <x:f>IF(Q866="","",Q866/MAX(Q$5:Q866)-1)</x:f>
        <x:v>#NAME?</x:v>
      </x:c>
    </x:row>
    <x:row r="867">
      <x:c r="A867" s="149" t="str">
        <x:f>IF('实盘净值数据(iFinD公式)'!A867="","",'实盘净值数据(iFinD公式)'!A867)</x:f>
      </x:c>
      <x:c r="B867" s="146" t="e">
        <x:f>IF(OR('实盘净值数据(iFinD公式)'!$A867="",'实盘净值数据(iFinD公式)'!$B867=""),"",分期持仓明细!$AD$17*SUMPRODUCT(分期持仓明细!$B$17:$AA$17,'实盘净值数据(iFinD公式)'!$B867:$AA867/'实盘净值数据(iFinD公式)'!$B$20:$AA$20)*(1-实盘持仓初始配置!$Z$4)^(('实盘净值数据(iFinD公式)'!$A867-'实盘净值数据(iFinD公式)'!$A$6)/365))</x:f>
        <x:v>#NAME?</x:v>
      </x:c>
      <x:c r="C867" s="152" t="e">
        <x:f>IF(OR(B866="",B867=""),"",B867/B866-1)</x:f>
        <x:v>#NAME?</x:v>
      </x:c>
      <x:c r="D867" s="152" t="e">
        <x:f>IF(B867="","",B867/MAX(B$5:B867)-1)</x:f>
        <x:v>#NAME?</x:v>
      </x:c>
      <x:c r="E867" s="146" t="e">
        <x:f>IF(OR('实盘净值数据(iFinD公式)'!$A867="",'实盘净值数据(iFinD公式)'!$B867=""),"",分期持仓明细!$AD$18*SUMPRODUCT(分期持仓明细!$B$18:$AA$18,'实盘净值数据(iFinD公式)'!$B867:$AA867/'实盘净值数据(iFinD公式)'!$B$20:$AA$20)*(1-实盘持仓初始配置!$Z$5)^(('实盘净值数据(iFinD公式)'!$A867-'实盘净值数据(iFinD公式)'!$A$5)/365))</x:f>
        <x:v>#NAME?</x:v>
      </x:c>
      <x:c r="F867" s="152" t="e">
        <x:f>IF(OR(E866="",E867=""),"",E867/E866-1)</x:f>
        <x:v>#NAME?</x:v>
      </x:c>
      <x:c r="G867" s="152" t="e">
        <x:f>IF(E867="","",E867/MAX(E$5:E867)-1)</x:f>
        <x:v>#NAME?</x:v>
      </x:c>
      <x:c r="H867" s="146" t="e">
        <x:f>IF(OR('实盘净值数据(iFinD公式)'!$A867="",'实盘净值数据(iFinD公式)'!$B867=""),"",分期持仓明细!$AD$19*SUMPRODUCT(分期持仓明细!$B$19:$AA$19,'实盘净值数据(iFinD公式)'!$B867:$AA867/'实盘净值数据(iFinD公式)'!$B$20:$AA$20)*(1-实盘持仓初始配置!$Z$6)^(('实盘净值数据(iFinD公式)'!$A867-'实盘净值数据(iFinD公式)'!$A$7)/365))</x:f>
        <x:v>#NAME?</x:v>
      </x:c>
      <x:c r="I867" s="152" t="e">
        <x:f>IF(OR(H866="",H867=""),"",H867/H866-1)</x:f>
        <x:v>#NAME?</x:v>
      </x:c>
      <x:c r="J867" s="152" t="e">
        <x:f>IF(H867="","",H867/MAX(H$5:H867)-1)</x:f>
        <x:v>#NAME?</x:v>
      </x:c>
      <x:c r="K867" s="146" t="e">
        <x:f>IF(OR('实盘净值数据(iFinD公式)'!$A867="",'实盘净值数据(iFinD公式)'!$B867=""),"",分期持仓明细!$AD$23*SUMPRODUCT(分期持仓明细!$B$23:$AA$23,'实盘净值数据(iFinD公式)'!$B867:$AA867/'实盘净值数据(iFinD公式)'!$B$65:$AA$65)*(1-实盘持仓初始配置!$Z$7)^(('实盘净值数据(iFinD公式)'!$A867-'实盘净值数据(iFinD公式)'!$A$8)/365))</x:f>
        <x:v>#NAME?</x:v>
      </x:c>
      <x:c r="L867" s="152" t="e">
        <x:f>IF(OR(K866="",K867=""),"",K867/K866-1)</x:f>
        <x:v>#NAME?</x:v>
      </x:c>
      <x:c r="M867" s="152" t="e">
        <x:f>IF(K867="","",K867/MAX(K$5:K867)-1)</x:f>
        <x:v>#NAME?</x:v>
      </x:c>
      <x:c r="N867" s="146" t="e">
        <x:f>IF(OR('实盘净值数据(iFinD公式)'!$A867="",'实盘净值数据(iFinD公式)'!$B867=""),"",分期持仓明细!$AD$24*SUMPRODUCT(分期持仓明细!$B$24:$AA$24,'实盘净值数据(iFinD公式)'!$B867:$AA867/'实盘净值数据(iFinD公式)'!$B$65:$AA$65)*(1-实盘持仓初始配置!$Z$8)^(('实盘净值数据(iFinD公式)'!$A867-'实盘净值数据(iFinD公式)'!$A$5)/365))</x:f>
        <x:v>#NAME?</x:v>
      </x:c>
      <x:c r="O867" s="152" t="e">
        <x:f>IF(OR(N866="",N867=""),"",N867/N866-1)</x:f>
        <x:v>#NAME?</x:v>
      </x:c>
      <x:c r="P867" s="152" t="e">
        <x:f>IF(N867="","",N867/MAX(N$5:N867)-1)</x:f>
        <x:v>#NAME?</x:v>
      </x:c>
      <x:c r="Q867" s="146" t="e">
        <x:f>IF(OR('实盘净值数据(iFinD公式)'!$A867="",'实盘净值数据(iFinD公式)'!$B867=""),"",分期持仓明细!$AD$25*SUMPRODUCT(分期持仓明细!$B$25:$AA$25,'实盘净值数据(iFinD公式)'!$B867:$AA867/'实盘净值数据(iFinD公式)'!$B$65:$AA$65)*(1-实盘持仓初始配置!$Z$9)^(('实盘净值数据(iFinD公式)'!$A867-'实盘净值数据(iFinD公式)'!$A$8)/365))</x:f>
        <x:v>#NAME?</x:v>
      </x:c>
      <x:c r="R867" s="152" t="e">
        <x:f>IF(OR(Q866="",Q867=""),"",Q867/Q866-1)</x:f>
        <x:v>#NAME?</x:v>
      </x:c>
      <x:c r="S867" s="152" t="e">
        <x:f>IF(Q867="","",Q867/MAX(Q$5:Q867)-1)</x:f>
        <x:v>#NAME?</x:v>
      </x:c>
    </x:row>
    <x:row r="868">
      <x:c r="A868" s="149" t="str">
        <x:f>IF('实盘净值数据(iFinD公式)'!A868="","",'实盘净值数据(iFinD公式)'!A868)</x:f>
      </x:c>
      <x:c r="B868" s="146" t="e">
        <x:f>IF(OR('实盘净值数据(iFinD公式)'!$A868="",'实盘净值数据(iFinD公式)'!$B868=""),"",分期持仓明细!$AD$17*SUMPRODUCT(分期持仓明细!$B$17:$AA$17,'实盘净值数据(iFinD公式)'!$B868:$AA868/'实盘净值数据(iFinD公式)'!$B$20:$AA$20)*(1-实盘持仓初始配置!$Z$4)^(('实盘净值数据(iFinD公式)'!$A868-'实盘净值数据(iFinD公式)'!$A$6)/365))</x:f>
        <x:v>#NAME?</x:v>
      </x:c>
      <x:c r="C868" s="152" t="e">
        <x:f>IF(OR(B867="",B868=""),"",B868/B867-1)</x:f>
        <x:v>#NAME?</x:v>
      </x:c>
      <x:c r="D868" s="152" t="e">
        <x:f>IF(B868="","",B868/MAX(B$5:B868)-1)</x:f>
        <x:v>#NAME?</x:v>
      </x:c>
      <x:c r="E868" s="146" t="e">
        <x:f>IF(OR('实盘净值数据(iFinD公式)'!$A868="",'实盘净值数据(iFinD公式)'!$B868=""),"",分期持仓明细!$AD$18*SUMPRODUCT(分期持仓明细!$B$18:$AA$18,'实盘净值数据(iFinD公式)'!$B868:$AA868/'实盘净值数据(iFinD公式)'!$B$20:$AA$20)*(1-实盘持仓初始配置!$Z$5)^(('实盘净值数据(iFinD公式)'!$A868-'实盘净值数据(iFinD公式)'!$A$5)/365))</x:f>
        <x:v>#NAME?</x:v>
      </x:c>
      <x:c r="F868" s="152" t="e">
        <x:f>IF(OR(E867="",E868=""),"",E868/E867-1)</x:f>
        <x:v>#NAME?</x:v>
      </x:c>
      <x:c r="G868" s="152" t="e">
        <x:f>IF(E868="","",E868/MAX(E$5:E868)-1)</x:f>
        <x:v>#NAME?</x:v>
      </x:c>
      <x:c r="H868" s="146" t="e">
        <x:f>IF(OR('实盘净值数据(iFinD公式)'!$A868="",'实盘净值数据(iFinD公式)'!$B868=""),"",分期持仓明细!$AD$19*SUMPRODUCT(分期持仓明细!$B$19:$AA$19,'实盘净值数据(iFinD公式)'!$B868:$AA868/'实盘净值数据(iFinD公式)'!$B$20:$AA$20)*(1-实盘持仓初始配置!$Z$6)^(('实盘净值数据(iFinD公式)'!$A868-'实盘净值数据(iFinD公式)'!$A$7)/365))</x:f>
        <x:v>#NAME?</x:v>
      </x:c>
      <x:c r="I868" s="152" t="e">
        <x:f>IF(OR(H867="",H868=""),"",H868/H867-1)</x:f>
        <x:v>#NAME?</x:v>
      </x:c>
      <x:c r="J868" s="152" t="e">
        <x:f>IF(H868="","",H868/MAX(H$5:H868)-1)</x:f>
        <x:v>#NAME?</x:v>
      </x:c>
      <x:c r="K868" s="146" t="e">
        <x:f>IF(OR('实盘净值数据(iFinD公式)'!$A868="",'实盘净值数据(iFinD公式)'!$B868=""),"",分期持仓明细!$AD$23*SUMPRODUCT(分期持仓明细!$B$23:$AA$23,'实盘净值数据(iFinD公式)'!$B868:$AA868/'实盘净值数据(iFinD公式)'!$B$65:$AA$65)*(1-实盘持仓初始配置!$Z$7)^(('实盘净值数据(iFinD公式)'!$A868-'实盘净值数据(iFinD公式)'!$A$8)/365))</x:f>
        <x:v>#NAME?</x:v>
      </x:c>
      <x:c r="L868" s="152" t="e">
        <x:f>IF(OR(K867="",K868=""),"",K868/K867-1)</x:f>
        <x:v>#NAME?</x:v>
      </x:c>
      <x:c r="M868" s="152" t="e">
        <x:f>IF(K868="","",K868/MAX(K$5:K868)-1)</x:f>
        <x:v>#NAME?</x:v>
      </x:c>
      <x:c r="N868" s="146" t="e">
        <x:f>IF(OR('实盘净值数据(iFinD公式)'!$A868="",'实盘净值数据(iFinD公式)'!$B868=""),"",分期持仓明细!$AD$24*SUMPRODUCT(分期持仓明细!$B$24:$AA$24,'实盘净值数据(iFinD公式)'!$B868:$AA868/'实盘净值数据(iFinD公式)'!$B$65:$AA$65)*(1-实盘持仓初始配置!$Z$8)^(('实盘净值数据(iFinD公式)'!$A868-'实盘净值数据(iFinD公式)'!$A$5)/365))</x:f>
        <x:v>#NAME?</x:v>
      </x:c>
      <x:c r="O868" s="152" t="e">
        <x:f>IF(OR(N867="",N868=""),"",N868/N867-1)</x:f>
        <x:v>#NAME?</x:v>
      </x:c>
      <x:c r="P868" s="152" t="e">
        <x:f>IF(N868="","",N868/MAX(N$5:N868)-1)</x:f>
        <x:v>#NAME?</x:v>
      </x:c>
      <x:c r="Q868" s="146" t="e">
        <x:f>IF(OR('实盘净值数据(iFinD公式)'!$A868="",'实盘净值数据(iFinD公式)'!$B868=""),"",分期持仓明细!$AD$25*SUMPRODUCT(分期持仓明细!$B$25:$AA$25,'实盘净值数据(iFinD公式)'!$B868:$AA868/'实盘净值数据(iFinD公式)'!$B$65:$AA$65)*(1-实盘持仓初始配置!$Z$9)^(('实盘净值数据(iFinD公式)'!$A868-'实盘净值数据(iFinD公式)'!$A$8)/365))</x:f>
        <x:v>#NAME?</x:v>
      </x:c>
      <x:c r="R868" s="152" t="e">
        <x:f>IF(OR(Q867="",Q868=""),"",Q868/Q867-1)</x:f>
        <x:v>#NAME?</x:v>
      </x:c>
      <x:c r="S868" s="152" t="e">
        <x:f>IF(Q868="","",Q868/MAX(Q$5:Q868)-1)</x:f>
        <x:v>#NAME?</x:v>
      </x:c>
    </x:row>
    <x:row r="869">
      <x:c r="A869" s="149" t="str">
        <x:f>IF('实盘净值数据(iFinD公式)'!A869="","",'实盘净值数据(iFinD公式)'!A869)</x:f>
      </x:c>
      <x:c r="B869" s="146" t="e">
        <x:f>IF(OR('实盘净值数据(iFinD公式)'!$A869="",'实盘净值数据(iFinD公式)'!$B869=""),"",分期持仓明细!$AD$17*SUMPRODUCT(分期持仓明细!$B$17:$AA$17,'实盘净值数据(iFinD公式)'!$B869:$AA869/'实盘净值数据(iFinD公式)'!$B$20:$AA$20)*(1-实盘持仓初始配置!$Z$4)^(('实盘净值数据(iFinD公式)'!$A869-'实盘净值数据(iFinD公式)'!$A$6)/365))</x:f>
        <x:v>#NAME?</x:v>
      </x:c>
      <x:c r="C869" s="152" t="e">
        <x:f>IF(OR(B868="",B869=""),"",B869/B868-1)</x:f>
        <x:v>#NAME?</x:v>
      </x:c>
      <x:c r="D869" s="152" t="e">
        <x:f>IF(B869="","",B869/MAX(B$5:B869)-1)</x:f>
        <x:v>#NAME?</x:v>
      </x:c>
      <x:c r="E869" s="146" t="e">
        <x:f>IF(OR('实盘净值数据(iFinD公式)'!$A869="",'实盘净值数据(iFinD公式)'!$B869=""),"",分期持仓明细!$AD$18*SUMPRODUCT(分期持仓明细!$B$18:$AA$18,'实盘净值数据(iFinD公式)'!$B869:$AA869/'实盘净值数据(iFinD公式)'!$B$20:$AA$20)*(1-实盘持仓初始配置!$Z$5)^(('实盘净值数据(iFinD公式)'!$A869-'实盘净值数据(iFinD公式)'!$A$5)/365))</x:f>
        <x:v>#NAME?</x:v>
      </x:c>
      <x:c r="F869" s="152" t="e">
        <x:f>IF(OR(E868="",E869=""),"",E869/E868-1)</x:f>
        <x:v>#NAME?</x:v>
      </x:c>
      <x:c r="G869" s="152" t="e">
        <x:f>IF(E869="","",E869/MAX(E$5:E869)-1)</x:f>
        <x:v>#NAME?</x:v>
      </x:c>
      <x:c r="H869" s="146" t="e">
        <x:f>IF(OR('实盘净值数据(iFinD公式)'!$A869="",'实盘净值数据(iFinD公式)'!$B869=""),"",分期持仓明细!$AD$19*SUMPRODUCT(分期持仓明细!$B$19:$AA$19,'实盘净值数据(iFinD公式)'!$B869:$AA869/'实盘净值数据(iFinD公式)'!$B$20:$AA$20)*(1-实盘持仓初始配置!$Z$6)^(('实盘净值数据(iFinD公式)'!$A869-'实盘净值数据(iFinD公式)'!$A$7)/365))</x:f>
        <x:v>#NAME?</x:v>
      </x:c>
      <x:c r="I869" s="152" t="e">
        <x:f>IF(OR(H868="",H869=""),"",H869/H868-1)</x:f>
        <x:v>#NAME?</x:v>
      </x:c>
      <x:c r="J869" s="152" t="e">
        <x:f>IF(H869="","",H869/MAX(H$5:H869)-1)</x:f>
        <x:v>#NAME?</x:v>
      </x:c>
      <x:c r="K869" s="146" t="e">
        <x:f>IF(OR('实盘净值数据(iFinD公式)'!$A869="",'实盘净值数据(iFinD公式)'!$B869=""),"",分期持仓明细!$AD$23*SUMPRODUCT(分期持仓明细!$B$23:$AA$23,'实盘净值数据(iFinD公式)'!$B869:$AA869/'实盘净值数据(iFinD公式)'!$B$65:$AA$65)*(1-实盘持仓初始配置!$Z$7)^(('实盘净值数据(iFinD公式)'!$A869-'实盘净值数据(iFinD公式)'!$A$8)/365))</x:f>
        <x:v>#NAME?</x:v>
      </x:c>
      <x:c r="L869" s="152" t="e">
        <x:f>IF(OR(K868="",K869=""),"",K869/K868-1)</x:f>
        <x:v>#NAME?</x:v>
      </x:c>
      <x:c r="M869" s="152" t="e">
        <x:f>IF(K869="","",K869/MAX(K$5:K869)-1)</x:f>
        <x:v>#NAME?</x:v>
      </x:c>
      <x:c r="N869" s="146" t="e">
        <x:f>IF(OR('实盘净值数据(iFinD公式)'!$A869="",'实盘净值数据(iFinD公式)'!$B869=""),"",分期持仓明细!$AD$24*SUMPRODUCT(分期持仓明细!$B$24:$AA$24,'实盘净值数据(iFinD公式)'!$B869:$AA869/'实盘净值数据(iFinD公式)'!$B$65:$AA$65)*(1-实盘持仓初始配置!$Z$8)^(('实盘净值数据(iFinD公式)'!$A869-'实盘净值数据(iFinD公式)'!$A$5)/365))</x:f>
        <x:v>#NAME?</x:v>
      </x:c>
      <x:c r="O869" s="152" t="e">
        <x:f>IF(OR(N868="",N869=""),"",N869/N868-1)</x:f>
        <x:v>#NAME?</x:v>
      </x:c>
      <x:c r="P869" s="152" t="e">
        <x:f>IF(N869="","",N869/MAX(N$5:N869)-1)</x:f>
        <x:v>#NAME?</x:v>
      </x:c>
      <x:c r="Q869" s="146" t="e">
        <x:f>IF(OR('实盘净值数据(iFinD公式)'!$A869="",'实盘净值数据(iFinD公式)'!$B869=""),"",分期持仓明细!$AD$25*SUMPRODUCT(分期持仓明细!$B$25:$AA$25,'实盘净值数据(iFinD公式)'!$B869:$AA869/'实盘净值数据(iFinD公式)'!$B$65:$AA$65)*(1-实盘持仓初始配置!$Z$9)^(('实盘净值数据(iFinD公式)'!$A869-'实盘净值数据(iFinD公式)'!$A$8)/365))</x:f>
        <x:v>#NAME?</x:v>
      </x:c>
      <x:c r="R869" s="152" t="e">
        <x:f>IF(OR(Q868="",Q869=""),"",Q869/Q868-1)</x:f>
        <x:v>#NAME?</x:v>
      </x:c>
      <x:c r="S869" s="152" t="e">
        <x:f>IF(Q869="","",Q869/MAX(Q$5:Q869)-1)</x:f>
        <x:v>#NAME?</x:v>
      </x:c>
    </x:row>
    <x:row r="870">
      <x:c r="A870" s="149" t="str">
        <x:f>IF('实盘净值数据(iFinD公式)'!A870="","",'实盘净值数据(iFinD公式)'!A870)</x:f>
      </x:c>
      <x:c r="B870" s="146" t="e">
        <x:f>IF(OR('实盘净值数据(iFinD公式)'!$A870="",'实盘净值数据(iFinD公式)'!$B870=""),"",分期持仓明细!$AD$17*SUMPRODUCT(分期持仓明细!$B$17:$AA$17,'实盘净值数据(iFinD公式)'!$B870:$AA870/'实盘净值数据(iFinD公式)'!$B$20:$AA$20)*(1-实盘持仓初始配置!$Z$4)^(('实盘净值数据(iFinD公式)'!$A870-'实盘净值数据(iFinD公式)'!$A$6)/365))</x:f>
        <x:v>#NAME?</x:v>
      </x:c>
      <x:c r="C870" s="152" t="e">
        <x:f>IF(OR(B869="",B870=""),"",B870/B869-1)</x:f>
        <x:v>#NAME?</x:v>
      </x:c>
      <x:c r="D870" s="152" t="e">
        <x:f>IF(B870="","",B870/MAX(B$5:B870)-1)</x:f>
        <x:v>#NAME?</x:v>
      </x:c>
      <x:c r="E870" s="146" t="e">
        <x:f>IF(OR('实盘净值数据(iFinD公式)'!$A870="",'实盘净值数据(iFinD公式)'!$B870=""),"",分期持仓明细!$AD$18*SUMPRODUCT(分期持仓明细!$B$18:$AA$18,'实盘净值数据(iFinD公式)'!$B870:$AA870/'实盘净值数据(iFinD公式)'!$B$20:$AA$20)*(1-实盘持仓初始配置!$Z$5)^(('实盘净值数据(iFinD公式)'!$A870-'实盘净值数据(iFinD公式)'!$A$5)/365))</x:f>
        <x:v>#NAME?</x:v>
      </x:c>
      <x:c r="F870" s="152" t="e">
        <x:f>IF(OR(E869="",E870=""),"",E870/E869-1)</x:f>
        <x:v>#NAME?</x:v>
      </x:c>
      <x:c r="G870" s="152" t="e">
        <x:f>IF(E870="","",E870/MAX(E$5:E870)-1)</x:f>
        <x:v>#NAME?</x:v>
      </x:c>
      <x:c r="H870" s="146" t="e">
        <x:f>IF(OR('实盘净值数据(iFinD公式)'!$A870="",'实盘净值数据(iFinD公式)'!$B870=""),"",分期持仓明细!$AD$19*SUMPRODUCT(分期持仓明细!$B$19:$AA$19,'实盘净值数据(iFinD公式)'!$B870:$AA870/'实盘净值数据(iFinD公式)'!$B$20:$AA$20)*(1-实盘持仓初始配置!$Z$6)^(('实盘净值数据(iFinD公式)'!$A870-'实盘净值数据(iFinD公式)'!$A$7)/365))</x:f>
        <x:v>#NAME?</x:v>
      </x:c>
      <x:c r="I870" s="152" t="e">
        <x:f>IF(OR(H869="",H870=""),"",H870/H869-1)</x:f>
        <x:v>#NAME?</x:v>
      </x:c>
      <x:c r="J870" s="152" t="e">
        <x:f>IF(H870="","",H870/MAX(H$5:H870)-1)</x:f>
        <x:v>#NAME?</x:v>
      </x:c>
      <x:c r="K870" s="146" t="e">
        <x:f>IF(OR('实盘净值数据(iFinD公式)'!$A870="",'实盘净值数据(iFinD公式)'!$B870=""),"",分期持仓明细!$AD$23*SUMPRODUCT(分期持仓明细!$B$23:$AA$23,'实盘净值数据(iFinD公式)'!$B870:$AA870/'实盘净值数据(iFinD公式)'!$B$65:$AA$65)*(1-实盘持仓初始配置!$Z$7)^(('实盘净值数据(iFinD公式)'!$A870-'实盘净值数据(iFinD公式)'!$A$8)/365))</x:f>
        <x:v>#NAME?</x:v>
      </x:c>
      <x:c r="L870" s="152" t="e">
        <x:f>IF(OR(K869="",K870=""),"",K870/K869-1)</x:f>
        <x:v>#NAME?</x:v>
      </x:c>
      <x:c r="M870" s="152" t="e">
        <x:f>IF(K870="","",K870/MAX(K$5:K870)-1)</x:f>
        <x:v>#NAME?</x:v>
      </x:c>
      <x:c r="N870" s="146" t="e">
        <x:f>IF(OR('实盘净值数据(iFinD公式)'!$A870="",'实盘净值数据(iFinD公式)'!$B870=""),"",分期持仓明细!$AD$24*SUMPRODUCT(分期持仓明细!$B$24:$AA$24,'实盘净值数据(iFinD公式)'!$B870:$AA870/'实盘净值数据(iFinD公式)'!$B$65:$AA$65)*(1-实盘持仓初始配置!$Z$8)^(('实盘净值数据(iFinD公式)'!$A870-'实盘净值数据(iFinD公式)'!$A$5)/365))</x:f>
        <x:v>#NAME?</x:v>
      </x:c>
      <x:c r="O870" s="152" t="e">
        <x:f>IF(OR(N869="",N870=""),"",N870/N869-1)</x:f>
        <x:v>#NAME?</x:v>
      </x:c>
      <x:c r="P870" s="152" t="e">
        <x:f>IF(N870="","",N870/MAX(N$5:N870)-1)</x:f>
        <x:v>#NAME?</x:v>
      </x:c>
      <x:c r="Q870" s="146" t="e">
        <x:f>IF(OR('实盘净值数据(iFinD公式)'!$A870="",'实盘净值数据(iFinD公式)'!$B870=""),"",分期持仓明细!$AD$25*SUMPRODUCT(分期持仓明细!$B$25:$AA$25,'实盘净值数据(iFinD公式)'!$B870:$AA870/'实盘净值数据(iFinD公式)'!$B$65:$AA$65)*(1-实盘持仓初始配置!$Z$9)^(('实盘净值数据(iFinD公式)'!$A870-'实盘净值数据(iFinD公式)'!$A$8)/365))</x:f>
        <x:v>#NAME?</x:v>
      </x:c>
      <x:c r="R870" s="152" t="e">
        <x:f>IF(OR(Q869="",Q870=""),"",Q870/Q869-1)</x:f>
        <x:v>#NAME?</x:v>
      </x:c>
      <x:c r="S870" s="152" t="e">
        <x:f>IF(Q870="","",Q870/MAX(Q$5:Q870)-1)</x:f>
        <x:v>#NAME?</x:v>
      </x:c>
    </x:row>
    <x:row r="871">
      <x:c r="A871" s="149" t="str">
        <x:f>IF('实盘净值数据(iFinD公式)'!A871="","",'实盘净值数据(iFinD公式)'!A871)</x:f>
      </x:c>
      <x:c r="B871" s="146" t="e">
        <x:f>IF(OR('实盘净值数据(iFinD公式)'!$A871="",'实盘净值数据(iFinD公式)'!$B871=""),"",分期持仓明细!$AD$17*SUMPRODUCT(分期持仓明细!$B$17:$AA$17,'实盘净值数据(iFinD公式)'!$B871:$AA871/'实盘净值数据(iFinD公式)'!$B$20:$AA$20)*(1-实盘持仓初始配置!$Z$4)^(('实盘净值数据(iFinD公式)'!$A871-'实盘净值数据(iFinD公式)'!$A$6)/365))</x:f>
        <x:v>#NAME?</x:v>
      </x:c>
      <x:c r="C871" s="152" t="e">
        <x:f>IF(OR(B870="",B871=""),"",B871/B870-1)</x:f>
        <x:v>#NAME?</x:v>
      </x:c>
      <x:c r="D871" s="152" t="e">
        <x:f>IF(B871="","",B871/MAX(B$5:B871)-1)</x:f>
        <x:v>#NAME?</x:v>
      </x:c>
      <x:c r="E871" s="146" t="e">
        <x:f>IF(OR('实盘净值数据(iFinD公式)'!$A871="",'实盘净值数据(iFinD公式)'!$B871=""),"",分期持仓明细!$AD$18*SUMPRODUCT(分期持仓明细!$B$18:$AA$18,'实盘净值数据(iFinD公式)'!$B871:$AA871/'实盘净值数据(iFinD公式)'!$B$20:$AA$20)*(1-实盘持仓初始配置!$Z$5)^(('实盘净值数据(iFinD公式)'!$A871-'实盘净值数据(iFinD公式)'!$A$5)/365))</x:f>
        <x:v>#NAME?</x:v>
      </x:c>
      <x:c r="F871" s="152" t="e">
        <x:f>IF(OR(E870="",E871=""),"",E871/E870-1)</x:f>
        <x:v>#NAME?</x:v>
      </x:c>
      <x:c r="G871" s="152" t="e">
        <x:f>IF(E871="","",E871/MAX(E$5:E871)-1)</x:f>
        <x:v>#NAME?</x:v>
      </x:c>
      <x:c r="H871" s="146" t="e">
        <x:f>IF(OR('实盘净值数据(iFinD公式)'!$A871="",'实盘净值数据(iFinD公式)'!$B871=""),"",分期持仓明细!$AD$19*SUMPRODUCT(分期持仓明细!$B$19:$AA$19,'实盘净值数据(iFinD公式)'!$B871:$AA871/'实盘净值数据(iFinD公式)'!$B$20:$AA$20)*(1-实盘持仓初始配置!$Z$6)^(('实盘净值数据(iFinD公式)'!$A871-'实盘净值数据(iFinD公式)'!$A$7)/365))</x:f>
        <x:v>#NAME?</x:v>
      </x:c>
      <x:c r="I871" s="152" t="e">
        <x:f>IF(OR(H870="",H871=""),"",H871/H870-1)</x:f>
        <x:v>#NAME?</x:v>
      </x:c>
      <x:c r="J871" s="152" t="e">
        <x:f>IF(H871="","",H871/MAX(H$5:H871)-1)</x:f>
        <x:v>#NAME?</x:v>
      </x:c>
      <x:c r="K871" s="146" t="e">
        <x:f>IF(OR('实盘净值数据(iFinD公式)'!$A871="",'实盘净值数据(iFinD公式)'!$B871=""),"",分期持仓明细!$AD$23*SUMPRODUCT(分期持仓明细!$B$23:$AA$23,'实盘净值数据(iFinD公式)'!$B871:$AA871/'实盘净值数据(iFinD公式)'!$B$65:$AA$65)*(1-实盘持仓初始配置!$Z$7)^(('实盘净值数据(iFinD公式)'!$A871-'实盘净值数据(iFinD公式)'!$A$8)/365))</x:f>
        <x:v>#NAME?</x:v>
      </x:c>
      <x:c r="L871" s="152" t="e">
        <x:f>IF(OR(K870="",K871=""),"",K871/K870-1)</x:f>
        <x:v>#NAME?</x:v>
      </x:c>
      <x:c r="M871" s="152" t="e">
        <x:f>IF(K871="","",K871/MAX(K$5:K871)-1)</x:f>
        <x:v>#NAME?</x:v>
      </x:c>
      <x:c r="N871" s="146" t="e">
        <x:f>IF(OR('实盘净值数据(iFinD公式)'!$A871="",'实盘净值数据(iFinD公式)'!$B871=""),"",分期持仓明细!$AD$24*SUMPRODUCT(分期持仓明细!$B$24:$AA$24,'实盘净值数据(iFinD公式)'!$B871:$AA871/'实盘净值数据(iFinD公式)'!$B$65:$AA$65)*(1-实盘持仓初始配置!$Z$8)^(('实盘净值数据(iFinD公式)'!$A871-'实盘净值数据(iFinD公式)'!$A$5)/365))</x:f>
        <x:v>#NAME?</x:v>
      </x:c>
      <x:c r="O871" s="152" t="e">
        <x:f>IF(OR(N870="",N871=""),"",N871/N870-1)</x:f>
        <x:v>#NAME?</x:v>
      </x:c>
      <x:c r="P871" s="152" t="e">
        <x:f>IF(N871="","",N871/MAX(N$5:N871)-1)</x:f>
        <x:v>#NAME?</x:v>
      </x:c>
      <x:c r="Q871" s="146" t="e">
        <x:f>IF(OR('实盘净值数据(iFinD公式)'!$A871="",'实盘净值数据(iFinD公式)'!$B871=""),"",分期持仓明细!$AD$25*SUMPRODUCT(分期持仓明细!$B$25:$AA$25,'实盘净值数据(iFinD公式)'!$B871:$AA871/'实盘净值数据(iFinD公式)'!$B$65:$AA$65)*(1-实盘持仓初始配置!$Z$9)^(('实盘净值数据(iFinD公式)'!$A871-'实盘净值数据(iFinD公式)'!$A$8)/365))</x:f>
        <x:v>#NAME?</x:v>
      </x:c>
      <x:c r="R871" s="152" t="e">
        <x:f>IF(OR(Q870="",Q871=""),"",Q871/Q870-1)</x:f>
        <x:v>#NAME?</x:v>
      </x:c>
      <x:c r="S871" s="152" t="e">
        <x:f>IF(Q871="","",Q871/MAX(Q$5:Q871)-1)</x:f>
        <x:v>#NAME?</x:v>
      </x:c>
    </x:row>
    <x:row r="872">
      <x:c r="A872" s="149" t="str">
        <x:f>IF('实盘净值数据(iFinD公式)'!A872="","",'实盘净值数据(iFinD公式)'!A872)</x:f>
      </x:c>
      <x:c r="B872" s="146" t="e">
        <x:f>IF(OR('实盘净值数据(iFinD公式)'!$A872="",'实盘净值数据(iFinD公式)'!$B872=""),"",分期持仓明细!$AD$17*SUMPRODUCT(分期持仓明细!$B$17:$AA$17,'实盘净值数据(iFinD公式)'!$B872:$AA872/'实盘净值数据(iFinD公式)'!$B$20:$AA$20)*(1-实盘持仓初始配置!$Z$4)^(('实盘净值数据(iFinD公式)'!$A872-'实盘净值数据(iFinD公式)'!$A$6)/365))</x:f>
        <x:v>#NAME?</x:v>
      </x:c>
      <x:c r="C872" s="152" t="e">
        <x:f>IF(OR(B871="",B872=""),"",B872/B871-1)</x:f>
        <x:v>#NAME?</x:v>
      </x:c>
      <x:c r="D872" s="152" t="e">
        <x:f>IF(B872="","",B872/MAX(B$5:B872)-1)</x:f>
        <x:v>#NAME?</x:v>
      </x:c>
      <x:c r="E872" s="146" t="e">
        <x:f>IF(OR('实盘净值数据(iFinD公式)'!$A872="",'实盘净值数据(iFinD公式)'!$B872=""),"",分期持仓明细!$AD$18*SUMPRODUCT(分期持仓明细!$B$18:$AA$18,'实盘净值数据(iFinD公式)'!$B872:$AA872/'实盘净值数据(iFinD公式)'!$B$20:$AA$20)*(1-实盘持仓初始配置!$Z$5)^(('实盘净值数据(iFinD公式)'!$A872-'实盘净值数据(iFinD公式)'!$A$5)/365))</x:f>
        <x:v>#NAME?</x:v>
      </x:c>
      <x:c r="F872" s="152" t="e">
        <x:f>IF(OR(E871="",E872=""),"",E872/E871-1)</x:f>
        <x:v>#NAME?</x:v>
      </x:c>
      <x:c r="G872" s="152" t="e">
        <x:f>IF(E872="","",E872/MAX(E$5:E872)-1)</x:f>
        <x:v>#NAME?</x:v>
      </x:c>
      <x:c r="H872" s="146" t="e">
        <x:f>IF(OR('实盘净值数据(iFinD公式)'!$A872="",'实盘净值数据(iFinD公式)'!$B872=""),"",分期持仓明细!$AD$19*SUMPRODUCT(分期持仓明细!$B$19:$AA$19,'实盘净值数据(iFinD公式)'!$B872:$AA872/'实盘净值数据(iFinD公式)'!$B$20:$AA$20)*(1-实盘持仓初始配置!$Z$6)^(('实盘净值数据(iFinD公式)'!$A872-'实盘净值数据(iFinD公式)'!$A$7)/365))</x:f>
        <x:v>#NAME?</x:v>
      </x:c>
      <x:c r="I872" s="152" t="e">
        <x:f>IF(OR(H871="",H872=""),"",H872/H871-1)</x:f>
        <x:v>#NAME?</x:v>
      </x:c>
      <x:c r="J872" s="152" t="e">
        <x:f>IF(H872="","",H872/MAX(H$5:H872)-1)</x:f>
        <x:v>#NAME?</x:v>
      </x:c>
      <x:c r="K872" s="146" t="e">
        <x:f>IF(OR('实盘净值数据(iFinD公式)'!$A872="",'实盘净值数据(iFinD公式)'!$B872=""),"",分期持仓明细!$AD$23*SUMPRODUCT(分期持仓明细!$B$23:$AA$23,'实盘净值数据(iFinD公式)'!$B872:$AA872/'实盘净值数据(iFinD公式)'!$B$65:$AA$65)*(1-实盘持仓初始配置!$Z$7)^(('实盘净值数据(iFinD公式)'!$A872-'实盘净值数据(iFinD公式)'!$A$8)/365))</x:f>
        <x:v>#NAME?</x:v>
      </x:c>
      <x:c r="L872" s="152" t="e">
        <x:f>IF(OR(K871="",K872=""),"",K872/K871-1)</x:f>
        <x:v>#NAME?</x:v>
      </x:c>
      <x:c r="M872" s="152" t="e">
        <x:f>IF(K872="","",K872/MAX(K$5:K872)-1)</x:f>
        <x:v>#NAME?</x:v>
      </x:c>
      <x:c r="N872" s="146" t="e">
        <x:f>IF(OR('实盘净值数据(iFinD公式)'!$A872="",'实盘净值数据(iFinD公式)'!$B872=""),"",分期持仓明细!$AD$24*SUMPRODUCT(分期持仓明细!$B$24:$AA$24,'实盘净值数据(iFinD公式)'!$B872:$AA872/'实盘净值数据(iFinD公式)'!$B$65:$AA$65)*(1-实盘持仓初始配置!$Z$8)^(('实盘净值数据(iFinD公式)'!$A872-'实盘净值数据(iFinD公式)'!$A$5)/365))</x:f>
        <x:v>#NAME?</x:v>
      </x:c>
      <x:c r="O872" s="152" t="e">
        <x:f>IF(OR(N871="",N872=""),"",N872/N871-1)</x:f>
        <x:v>#NAME?</x:v>
      </x:c>
      <x:c r="P872" s="152" t="e">
        <x:f>IF(N872="","",N872/MAX(N$5:N872)-1)</x:f>
        <x:v>#NAME?</x:v>
      </x:c>
      <x:c r="Q872" s="146" t="e">
        <x:f>IF(OR('实盘净值数据(iFinD公式)'!$A872="",'实盘净值数据(iFinD公式)'!$B872=""),"",分期持仓明细!$AD$25*SUMPRODUCT(分期持仓明细!$B$25:$AA$25,'实盘净值数据(iFinD公式)'!$B872:$AA872/'实盘净值数据(iFinD公式)'!$B$65:$AA$65)*(1-实盘持仓初始配置!$Z$9)^(('实盘净值数据(iFinD公式)'!$A872-'实盘净值数据(iFinD公式)'!$A$8)/365))</x:f>
        <x:v>#NAME?</x:v>
      </x:c>
      <x:c r="R872" s="152" t="e">
        <x:f>IF(OR(Q871="",Q872=""),"",Q872/Q871-1)</x:f>
        <x:v>#NAME?</x:v>
      </x:c>
      <x:c r="S872" s="152" t="e">
        <x:f>IF(Q872="","",Q872/MAX(Q$5:Q872)-1)</x:f>
        <x:v>#NAME?</x:v>
      </x:c>
    </x:row>
    <x:row r="873">
      <x:c r="A873" s="149" t="str">
        <x:f>IF('实盘净值数据(iFinD公式)'!A873="","",'实盘净值数据(iFinD公式)'!A873)</x:f>
      </x:c>
      <x:c r="B873" s="146" t="e">
        <x:f>IF(OR('实盘净值数据(iFinD公式)'!$A873="",'实盘净值数据(iFinD公式)'!$B873=""),"",分期持仓明细!$AD$17*SUMPRODUCT(分期持仓明细!$B$17:$AA$17,'实盘净值数据(iFinD公式)'!$B873:$AA873/'实盘净值数据(iFinD公式)'!$B$20:$AA$20)*(1-实盘持仓初始配置!$Z$4)^(('实盘净值数据(iFinD公式)'!$A873-'实盘净值数据(iFinD公式)'!$A$6)/365))</x:f>
        <x:v>#NAME?</x:v>
      </x:c>
      <x:c r="C873" s="152" t="e">
        <x:f>IF(OR(B872="",B873=""),"",B873/B872-1)</x:f>
        <x:v>#NAME?</x:v>
      </x:c>
      <x:c r="D873" s="152" t="e">
        <x:f>IF(B873="","",B873/MAX(B$5:B873)-1)</x:f>
        <x:v>#NAME?</x:v>
      </x:c>
      <x:c r="E873" s="146" t="e">
        <x:f>IF(OR('实盘净值数据(iFinD公式)'!$A873="",'实盘净值数据(iFinD公式)'!$B873=""),"",分期持仓明细!$AD$18*SUMPRODUCT(分期持仓明细!$B$18:$AA$18,'实盘净值数据(iFinD公式)'!$B873:$AA873/'实盘净值数据(iFinD公式)'!$B$20:$AA$20)*(1-实盘持仓初始配置!$Z$5)^(('实盘净值数据(iFinD公式)'!$A873-'实盘净值数据(iFinD公式)'!$A$5)/365))</x:f>
        <x:v>#NAME?</x:v>
      </x:c>
      <x:c r="F873" s="152" t="e">
        <x:f>IF(OR(E872="",E873=""),"",E873/E872-1)</x:f>
        <x:v>#NAME?</x:v>
      </x:c>
      <x:c r="G873" s="152" t="e">
        <x:f>IF(E873="","",E873/MAX(E$5:E873)-1)</x:f>
        <x:v>#NAME?</x:v>
      </x:c>
      <x:c r="H873" s="146" t="e">
        <x:f>IF(OR('实盘净值数据(iFinD公式)'!$A873="",'实盘净值数据(iFinD公式)'!$B873=""),"",分期持仓明细!$AD$19*SUMPRODUCT(分期持仓明细!$B$19:$AA$19,'实盘净值数据(iFinD公式)'!$B873:$AA873/'实盘净值数据(iFinD公式)'!$B$20:$AA$20)*(1-实盘持仓初始配置!$Z$6)^(('实盘净值数据(iFinD公式)'!$A873-'实盘净值数据(iFinD公式)'!$A$7)/365))</x:f>
        <x:v>#NAME?</x:v>
      </x:c>
      <x:c r="I873" s="152" t="e">
        <x:f>IF(OR(H872="",H873=""),"",H873/H872-1)</x:f>
        <x:v>#NAME?</x:v>
      </x:c>
      <x:c r="J873" s="152" t="e">
        <x:f>IF(H873="","",H873/MAX(H$5:H873)-1)</x:f>
        <x:v>#NAME?</x:v>
      </x:c>
      <x:c r="K873" s="146" t="e">
        <x:f>IF(OR('实盘净值数据(iFinD公式)'!$A873="",'实盘净值数据(iFinD公式)'!$B873=""),"",分期持仓明细!$AD$23*SUMPRODUCT(分期持仓明细!$B$23:$AA$23,'实盘净值数据(iFinD公式)'!$B873:$AA873/'实盘净值数据(iFinD公式)'!$B$65:$AA$65)*(1-实盘持仓初始配置!$Z$7)^(('实盘净值数据(iFinD公式)'!$A873-'实盘净值数据(iFinD公式)'!$A$8)/365))</x:f>
        <x:v>#NAME?</x:v>
      </x:c>
      <x:c r="L873" s="152" t="e">
        <x:f>IF(OR(K872="",K873=""),"",K873/K872-1)</x:f>
        <x:v>#NAME?</x:v>
      </x:c>
      <x:c r="M873" s="152" t="e">
        <x:f>IF(K873="","",K873/MAX(K$5:K873)-1)</x:f>
        <x:v>#NAME?</x:v>
      </x:c>
      <x:c r="N873" s="146" t="e">
        <x:f>IF(OR('实盘净值数据(iFinD公式)'!$A873="",'实盘净值数据(iFinD公式)'!$B873=""),"",分期持仓明细!$AD$24*SUMPRODUCT(分期持仓明细!$B$24:$AA$24,'实盘净值数据(iFinD公式)'!$B873:$AA873/'实盘净值数据(iFinD公式)'!$B$65:$AA$65)*(1-实盘持仓初始配置!$Z$8)^(('实盘净值数据(iFinD公式)'!$A873-'实盘净值数据(iFinD公式)'!$A$5)/365))</x:f>
        <x:v>#NAME?</x:v>
      </x:c>
      <x:c r="O873" s="152" t="e">
        <x:f>IF(OR(N872="",N873=""),"",N873/N872-1)</x:f>
        <x:v>#NAME?</x:v>
      </x:c>
      <x:c r="P873" s="152" t="e">
        <x:f>IF(N873="","",N873/MAX(N$5:N873)-1)</x:f>
        <x:v>#NAME?</x:v>
      </x:c>
      <x:c r="Q873" s="146" t="e">
        <x:f>IF(OR('实盘净值数据(iFinD公式)'!$A873="",'实盘净值数据(iFinD公式)'!$B873=""),"",分期持仓明细!$AD$25*SUMPRODUCT(分期持仓明细!$B$25:$AA$25,'实盘净值数据(iFinD公式)'!$B873:$AA873/'实盘净值数据(iFinD公式)'!$B$65:$AA$65)*(1-实盘持仓初始配置!$Z$9)^(('实盘净值数据(iFinD公式)'!$A873-'实盘净值数据(iFinD公式)'!$A$8)/365))</x:f>
        <x:v>#NAME?</x:v>
      </x:c>
      <x:c r="R873" s="152" t="e">
        <x:f>IF(OR(Q872="",Q873=""),"",Q873/Q872-1)</x:f>
        <x:v>#NAME?</x:v>
      </x:c>
      <x:c r="S873" s="152" t="e">
        <x:f>IF(Q873="","",Q873/MAX(Q$5:Q873)-1)</x:f>
        <x:v>#NAME?</x:v>
      </x:c>
    </x:row>
    <x:row r="874">
      <x:c r="A874" s="149" t="str">
        <x:f>IF('实盘净值数据(iFinD公式)'!A874="","",'实盘净值数据(iFinD公式)'!A874)</x:f>
      </x:c>
      <x:c r="B874" s="146" t="e">
        <x:f>IF(OR('实盘净值数据(iFinD公式)'!$A874="",'实盘净值数据(iFinD公式)'!$B874=""),"",分期持仓明细!$AD$17*SUMPRODUCT(分期持仓明细!$B$17:$AA$17,'实盘净值数据(iFinD公式)'!$B874:$AA874/'实盘净值数据(iFinD公式)'!$B$20:$AA$20)*(1-实盘持仓初始配置!$Z$4)^(('实盘净值数据(iFinD公式)'!$A874-'实盘净值数据(iFinD公式)'!$A$6)/365))</x:f>
        <x:v>#NAME?</x:v>
      </x:c>
      <x:c r="C874" s="152" t="e">
        <x:f>IF(OR(B873="",B874=""),"",B874/B873-1)</x:f>
        <x:v>#NAME?</x:v>
      </x:c>
      <x:c r="D874" s="152" t="e">
        <x:f>IF(B874="","",B874/MAX(B$5:B874)-1)</x:f>
        <x:v>#NAME?</x:v>
      </x:c>
      <x:c r="E874" s="146" t="e">
        <x:f>IF(OR('实盘净值数据(iFinD公式)'!$A874="",'实盘净值数据(iFinD公式)'!$B874=""),"",分期持仓明细!$AD$18*SUMPRODUCT(分期持仓明细!$B$18:$AA$18,'实盘净值数据(iFinD公式)'!$B874:$AA874/'实盘净值数据(iFinD公式)'!$B$20:$AA$20)*(1-实盘持仓初始配置!$Z$5)^(('实盘净值数据(iFinD公式)'!$A874-'实盘净值数据(iFinD公式)'!$A$5)/365))</x:f>
        <x:v>#NAME?</x:v>
      </x:c>
      <x:c r="F874" s="152" t="e">
        <x:f>IF(OR(E873="",E874=""),"",E874/E873-1)</x:f>
        <x:v>#NAME?</x:v>
      </x:c>
      <x:c r="G874" s="152" t="e">
        <x:f>IF(E874="","",E874/MAX(E$5:E874)-1)</x:f>
        <x:v>#NAME?</x:v>
      </x:c>
      <x:c r="H874" s="146" t="e">
        <x:f>IF(OR('实盘净值数据(iFinD公式)'!$A874="",'实盘净值数据(iFinD公式)'!$B874=""),"",分期持仓明细!$AD$19*SUMPRODUCT(分期持仓明细!$B$19:$AA$19,'实盘净值数据(iFinD公式)'!$B874:$AA874/'实盘净值数据(iFinD公式)'!$B$20:$AA$20)*(1-实盘持仓初始配置!$Z$6)^(('实盘净值数据(iFinD公式)'!$A874-'实盘净值数据(iFinD公式)'!$A$7)/365))</x:f>
        <x:v>#NAME?</x:v>
      </x:c>
      <x:c r="I874" s="152" t="e">
        <x:f>IF(OR(H873="",H874=""),"",H874/H873-1)</x:f>
        <x:v>#NAME?</x:v>
      </x:c>
      <x:c r="J874" s="152" t="e">
        <x:f>IF(H874="","",H874/MAX(H$5:H874)-1)</x:f>
        <x:v>#NAME?</x:v>
      </x:c>
      <x:c r="K874" s="146" t="e">
        <x:f>IF(OR('实盘净值数据(iFinD公式)'!$A874="",'实盘净值数据(iFinD公式)'!$B874=""),"",分期持仓明细!$AD$23*SUMPRODUCT(分期持仓明细!$B$23:$AA$23,'实盘净值数据(iFinD公式)'!$B874:$AA874/'实盘净值数据(iFinD公式)'!$B$65:$AA$65)*(1-实盘持仓初始配置!$Z$7)^(('实盘净值数据(iFinD公式)'!$A874-'实盘净值数据(iFinD公式)'!$A$8)/365))</x:f>
        <x:v>#NAME?</x:v>
      </x:c>
      <x:c r="L874" s="152" t="e">
        <x:f>IF(OR(K873="",K874=""),"",K874/K873-1)</x:f>
        <x:v>#NAME?</x:v>
      </x:c>
      <x:c r="M874" s="152" t="e">
        <x:f>IF(K874="","",K874/MAX(K$5:K874)-1)</x:f>
        <x:v>#NAME?</x:v>
      </x:c>
      <x:c r="N874" s="146" t="e">
        <x:f>IF(OR('实盘净值数据(iFinD公式)'!$A874="",'实盘净值数据(iFinD公式)'!$B874=""),"",分期持仓明细!$AD$24*SUMPRODUCT(分期持仓明细!$B$24:$AA$24,'实盘净值数据(iFinD公式)'!$B874:$AA874/'实盘净值数据(iFinD公式)'!$B$65:$AA$65)*(1-实盘持仓初始配置!$Z$8)^(('实盘净值数据(iFinD公式)'!$A874-'实盘净值数据(iFinD公式)'!$A$5)/365))</x:f>
        <x:v>#NAME?</x:v>
      </x:c>
      <x:c r="O874" s="152" t="e">
        <x:f>IF(OR(N873="",N874=""),"",N874/N873-1)</x:f>
        <x:v>#NAME?</x:v>
      </x:c>
      <x:c r="P874" s="152" t="e">
        <x:f>IF(N874="","",N874/MAX(N$5:N874)-1)</x:f>
        <x:v>#NAME?</x:v>
      </x:c>
      <x:c r="Q874" s="146" t="e">
        <x:f>IF(OR('实盘净值数据(iFinD公式)'!$A874="",'实盘净值数据(iFinD公式)'!$B874=""),"",分期持仓明细!$AD$25*SUMPRODUCT(分期持仓明细!$B$25:$AA$25,'实盘净值数据(iFinD公式)'!$B874:$AA874/'实盘净值数据(iFinD公式)'!$B$65:$AA$65)*(1-实盘持仓初始配置!$Z$9)^(('实盘净值数据(iFinD公式)'!$A874-'实盘净值数据(iFinD公式)'!$A$8)/365))</x:f>
        <x:v>#NAME?</x:v>
      </x:c>
      <x:c r="R874" s="152" t="e">
        <x:f>IF(OR(Q873="",Q874=""),"",Q874/Q873-1)</x:f>
        <x:v>#NAME?</x:v>
      </x:c>
      <x:c r="S874" s="152" t="e">
        <x:f>IF(Q874="","",Q874/MAX(Q$5:Q874)-1)</x:f>
        <x:v>#NAME?</x:v>
      </x:c>
    </x:row>
    <x:row r="875">
      <x:c r="A875" s="149" t="str">
        <x:f>IF('实盘净值数据(iFinD公式)'!A875="","",'实盘净值数据(iFinD公式)'!A875)</x:f>
      </x:c>
      <x:c r="B875" s="146" t="e">
        <x:f>IF(OR('实盘净值数据(iFinD公式)'!$A875="",'实盘净值数据(iFinD公式)'!$B875=""),"",分期持仓明细!$AD$17*SUMPRODUCT(分期持仓明细!$B$17:$AA$17,'实盘净值数据(iFinD公式)'!$B875:$AA875/'实盘净值数据(iFinD公式)'!$B$20:$AA$20)*(1-实盘持仓初始配置!$Z$4)^(('实盘净值数据(iFinD公式)'!$A875-'实盘净值数据(iFinD公式)'!$A$6)/365))</x:f>
        <x:v>#NAME?</x:v>
      </x:c>
      <x:c r="C875" s="152" t="e">
        <x:f>IF(OR(B874="",B875=""),"",B875/B874-1)</x:f>
        <x:v>#NAME?</x:v>
      </x:c>
      <x:c r="D875" s="152" t="e">
        <x:f>IF(B875="","",B875/MAX(B$5:B875)-1)</x:f>
        <x:v>#NAME?</x:v>
      </x:c>
      <x:c r="E875" s="146" t="e">
        <x:f>IF(OR('实盘净值数据(iFinD公式)'!$A875="",'实盘净值数据(iFinD公式)'!$B875=""),"",分期持仓明细!$AD$18*SUMPRODUCT(分期持仓明细!$B$18:$AA$18,'实盘净值数据(iFinD公式)'!$B875:$AA875/'实盘净值数据(iFinD公式)'!$B$20:$AA$20)*(1-实盘持仓初始配置!$Z$5)^(('实盘净值数据(iFinD公式)'!$A875-'实盘净值数据(iFinD公式)'!$A$5)/365))</x:f>
        <x:v>#NAME?</x:v>
      </x:c>
      <x:c r="F875" s="152" t="e">
        <x:f>IF(OR(E874="",E875=""),"",E875/E874-1)</x:f>
        <x:v>#NAME?</x:v>
      </x:c>
      <x:c r="G875" s="152" t="e">
        <x:f>IF(E875="","",E875/MAX(E$5:E875)-1)</x:f>
        <x:v>#NAME?</x:v>
      </x:c>
      <x:c r="H875" s="146" t="e">
        <x:f>IF(OR('实盘净值数据(iFinD公式)'!$A875="",'实盘净值数据(iFinD公式)'!$B875=""),"",分期持仓明细!$AD$19*SUMPRODUCT(分期持仓明细!$B$19:$AA$19,'实盘净值数据(iFinD公式)'!$B875:$AA875/'实盘净值数据(iFinD公式)'!$B$20:$AA$20)*(1-实盘持仓初始配置!$Z$6)^(('实盘净值数据(iFinD公式)'!$A875-'实盘净值数据(iFinD公式)'!$A$7)/365))</x:f>
        <x:v>#NAME?</x:v>
      </x:c>
      <x:c r="I875" s="152" t="e">
        <x:f>IF(OR(H874="",H875=""),"",H875/H874-1)</x:f>
        <x:v>#NAME?</x:v>
      </x:c>
      <x:c r="J875" s="152" t="e">
        <x:f>IF(H875="","",H875/MAX(H$5:H875)-1)</x:f>
        <x:v>#NAME?</x:v>
      </x:c>
      <x:c r="K875" s="146" t="e">
        <x:f>IF(OR('实盘净值数据(iFinD公式)'!$A875="",'实盘净值数据(iFinD公式)'!$B875=""),"",分期持仓明细!$AD$23*SUMPRODUCT(分期持仓明细!$B$23:$AA$23,'实盘净值数据(iFinD公式)'!$B875:$AA875/'实盘净值数据(iFinD公式)'!$B$65:$AA$65)*(1-实盘持仓初始配置!$Z$7)^(('实盘净值数据(iFinD公式)'!$A875-'实盘净值数据(iFinD公式)'!$A$8)/365))</x:f>
        <x:v>#NAME?</x:v>
      </x:c>
      <x:c r="L875" s="152" t="e">
        <x:f>IF(OR(K874="",K875=""),"",K875/K874-1)</x:f>
        <x:v>#NAME?</x:v>
      </x:c>
      <x:c r="M875" s="152" t="e">
        <x:f>IF(K875="","",K875/MAX(K$5:K875)-1)</x:f>
        <x:v>#NAME?</x:v>
      </x:c>
      <x:c r="N875" s="146" t="e">
        <x:f>IF(OR('实盘净值数据(iFinD公式)'!$A875="",'实盘净值数据(iFinD公式)'!$B875=""),"",分期持仓明细!$AD$24*SUMPRODUCT(分期持仓明细!$B$24:$AA$24,'实盘净值数据(iFinD公式)'!$B875:$AA875/'实盘净值数据(iFinD公式)'!$B$65:$AA$65)*(1-实盘持仓初始配置!$Z$8)^(('实盘净值数据(iFinD公式)'!$A875-'实盘净值数据(iFinD公式)'!$A$5)/365))</x:f>
        <x:v>#NAME?</x:v>
      </x:c>
      <x:c r="O875" s="152" t="e">
        <x:f>IF(OR(N874="",N875=""),"",N875/N874-1)</x:f>
        <x:v>#NAME?</x:v>
      </x:c>
      <x:c r="P875" s="152" t="e">
        <x:f>IF(N875="","",N875/MAX(N$5:N875)-1)</x:f>
        <x:v>#NAME?</x:v>
      </x:c>
      <x:c r="Q875" s="146" t="e">
        <x:f>IF(OR('实盘净值数据(iFinD公式)'!$A875="",'实盘净值数据(iFinD公式)'!$B875=""),"",分期持仓明细!$AD$25*SUMPRODUCT(分期持仓明细!$B$25:$AA$25,'实盘净值数据(iFinD公式)'!$B875:$AA875/'实盘净值数据(iFinD公式)'!$B$65:$AA$65)*(1-实盘持仓初始配置!$Z$9)^(('实盘净值数据(iFinD公式)'!$A875-'实盘净值数据(iFinD公式)'!$A$8)/365))</x:f>
        <x:v>#NAME?</x:v>
      </x:c>
      <x:c r="R875" s="152" t="e">
        <x:f>IF(OR(Q874="",Q875=""),"",Q875/Q874-1)</x:f>
        <x:v>#NAME?</x:v>
      </x:c>
      <x:c r="S875" s="152" t="e">
        <x:f>IF(Q875="","",Q875/MAX(Q$5:Q875)-1)</x:f>
        <x:v>#NAME?</x:v>
      </x:c>
    </x:row>
    <x:row r="876">
      <x:c r="A876" s="149" t="str">
        <x:f>IF('实盘净值数据(iFinD公式)'!A876="","",'实盘净值数据(iFinD公式)'!A876)</x:f>
      </x:c>
      <x:c r="B876" s="146" t="e">
        <x:f>IF(OR('实盘净值数据(iFinD公式)'!$A876="",'实盘净值数据(iFinD公式)'!$B876=""),"",分期持仓明细!$AD$17*SUMPRODUCT(分期持仓明细!$B$17:$AA$17,'实盘净值数据(iFinD公式)'!$B876:$AA876/'实盘净值数据(iFinD公式)'!$B$20:$AA$20)*(1-实盘持仓初始配置!$Z$4)^(('实盘净值数据(iFinD公式)'!$A876-'实盘净值数据(iFinD公式)'!$A$6)/365))</x:f>
        <x:v>#NAME?</x:v>
      </x:c>
      <x:c r="C876" s="152" t="e">
        <x:f>IF(OR(B875="",B876=""),"",B876/B875-1)</x:f>
        <x:v>#NAME?</x:v>
      </x:c>
      <x:c r="D876" s="152" t="e">
        <x:f>IF(B876="","",B876/MAX(B$5:B876)-1)</x:f>
        <x:v>#NAME?</x:v>
      </x:c>
      <x:c r="E876" s="146" t="e">
        <x:f>IF(OR('实盘净值数据(iFinD公式)'!$A876="",'实盘净值数据(iFinD公式)'!$B876=""),"",分期持仓明细!$AD$18*SUMPRODUCT(分期持仓明细!$B$18:$AA$18,'实盘净值数据(iFinD公式)'!$B876:$AA876/'实盘净值数据(iFinD公式)'!$B$20:$AA$20)*(1-实盘持仓初始配置!$Z$5)^(('实盘净值数据(iFinD公式)'!$A876-'实盘净值数据(iFinD公式)'!$A$5)/365))</x:f>
        <x:v>#NAME?</x:v>
      </x:c>
      <x:c r="F876" s="152" t="e">
        <x:f>IF(OR(E875="",E876=""),"",E876/E875-1)</x:f>
        <x:v>#NAME?</x:v>
      </x:c>
      <x:c r="G876" s="152" t="e">
        <x:f>IF(E876="","",E876/MAX(E$5:E876)-1)</x:f>
        <x:v>#NAME?</x:v>
      </x:c>
      <x:c r="H876" s="146" t="e">
        <x:f>IF(OR('实盘净值数据(iFinD公式)'!$A876="",'实盘净值数据(iFinD公式)'!$B876=""),"",分期持仓明细!$AD$19*SUMPRODUCT(分期持仓明细!$B$19:$AA$19,'实盘净值数据(iFinD公式)'!$B876:$AA876/'实盘净值数据(iFinD公式)'!$B$20:$AA$20)*(1-实盘持仓初始配置!$Z$6)^(('实盘净值数据(iFinD公式)'!$A876-'实盘净值数据(iFinD公式)'!$A$7)/365))</x:f>
        <x:v>#NAME?</x:v>
      </x:c>
      <x:c r="I876" s="152" t="e">
        <x:f>IF(OR(H875="",H876=""),"",H876/H875-1)</x:f>
        <x:v>#NAME?</x:v>
      </x:c>
      <x:c r="J876" s="152" t="e">
        <x:f>IF(H876="","",H876/MAX(H$5:H876)-1)</x:f>
        <x:v>#NAME?</x:v>
      </x:c>
      <x:c r="K876" s="146" t="e">
        <x:f>IF(OR('实盘净值数据(iFinD公式)'!$A876="",'实盘净值数据(iFinD公式)'!$B876=""),"",分期持仓明细!$AD$23*SUMPRODUCT(分期持仓明细!$B$23:$AA$23,'实盘净值数据(iFinD公式)'!$B876:$AA876/'实盘净值数据(iFinD公式)'!$B$65:$AA$65)*(1-实盘持仓初始配置!$Z$7)^(('实盘净值数据(iFinD公式)'!$A876-'实盘净值数据(iFinD公式)'!$A$8)/365))</x:f>
        <x:v>#NAME?</x:v>
      </x:c>
      <x:c r="L876" s="152" t="e">
        <x:f>IF(OR(K875="",K876=""),"",K876/K875-1)</x:f>
        <x:v>#NAME?</x:v>
      </x:c>
      <x:c r="M876" s="152" t="e">
        <x:f>IF(K876="","",K876/MAX(K$5:K876)-1)</x:f>
        <x:v>#NAME?</x:v>
      </x:c>
      <x:c r="N876" s="146" t="e">
        <x:f>IF(OR('实盘净值数据(iFinD公式)'!$A876="",'实盘净值数据(iFinD公式)'!$B876=""),"",分期持仓明细!$AD$24*SUMPRODUCT(分期持仓明细!$B$24:$AA$24,'实盘净值数据(iFinD公式)'!$B876:$AA876/'实盘净值数据(iFinD公式)'!$B$65:$AA$65)*(1-实盘持仓初始配置!$Z$8)^(('实盘净值数据(iFinD公式)'!$A876-'实盘净值数据(iFinD公式)'!$A$5)/365))</x:f>
        <x:v>#NAME?</x:v>
      </x:c>
      <x:c r="O876" s="152" t="e">
        <x:f>IF(OR(N875="",N876=""),"",N876/N875-1)</x:f>
        <x:v>#NAME?</x:v>
      </x:c>
      <x:c r="P876" s="152" t="e">
        <x:f>IF(N876="","",N876/MAX(N$5:N876)-1)</x:f>
        <x:v>#NAME?</x:v>
      </x:c>
      <x:c r="Q876" s="146" t="e">
        <x:f>IF(OR('实盘净值数据(iFinD公式)'!$A876="",'实盘净值数据(iFinD公式)'!$B876=""),"",分期持仓明细!$AD$25*SUMPRODUCT(分期持仓明细!$B$25:$AA$25,'实盘净值数据(iFinD公式)'!$B876:$AA876/'实盘净值数据(iFinD公式)'!$B$65:$AA$65)*(1-实盘持仓初始配置!$Z$9)^(('实盘净值数据(iFinD公式)'!$A876-'实盘净值数据(iFinD公式)'!$A$8)/365))</x:f>
        <x:v>#NAME?</x:v>
      </x:c>
      <x:c r="R876" s="152" t="e">
        <x:f>IF(OR(Q875="",Q876=""),"",Q876/Q875-1)</x:f>
        <x:v>#NAME?</x:v>
      </x:c>
      <x:c r="S876" s="152" t="e">
        <x:f>IF(Q876="","",Q876/MAX(Q$5:Q876)-1)</x:f>
        <x:v>#NAME?</x:v>
      </x:c>
    </x:row>
    <x:row r="877">
      <x:c r="A877" s="149" t="str">
        <x:f>IF('实盘净值数据(iFinD公式)'!A877="","",'实盘净值数据(iFinD公式)'!A877)</x:f>
      </x:c>
      <x:c r="B877" s="146" t="e">
        <x:f>IF(OR('实盘净值数据(iFinD公式)'!$A877="",'实盘净值数据(iFinD公式)'!$B877=""),"",分期持仓明细!$AD$17*SUMPRODUCT(分期持仓明细!$B$17:$AA$17,'实盘净值数据(iFinD公式)'!$B877:$AA877/'实盘净值数据(iFinD公式)'!$B$20:$AA$20)*(1-实盘持仓初始配置!$Z$4)^(('实盘净值数据(iFinD公式)'!$A877-'实盘净值数据(iFinD公式)'!$A$6)/365))</x:f>
        <x:v>#NAME?</x:v>
      </x:c>
      <x:c r="C877" s="152" t="e">
        <x:f>IF(OR(B876="",B877=""),"",B877/B876-1)</x:f>
        <x:v>#NAME?</x:v>
      </x:c>
      <x:c r="D877" s="152" t="e">
        <x:f>IF(B877="","",B877/MAX(B$5:B877)-1)</x:f>
        <x:v>#NAME?</x:v>
      </x:c>
      <x:c r="E877" s="146" t="e">
        <x:f>IF(OR('实盘净值数据(iFinD公式)'!$A877="",'实盘净值数据(iFinD公式)'!$B877=""),"",分期持仓明细!$AD$18*SUMPRODUCT(分期持仓明细!$B$18:$AA$18,'实盘净值数据(iFinD公式)'!$B877:$AA877/'实盘净值数据(iFinD公式)'!$B$20:$AA$20)*(1-实盘持仓初始配置!$Z$5)^(('实盘净值数据(iFinD公式)'!$A877-'实盘净值数据(iFinD公式)'!$A$5)/365))</x:f>
        <x:v>#NAME?</x:v>
      </x:c>
      <x:c r="F877" s="152" t="e">
        <x:f>IF(OR(E876="",E877=""),"",E877/E876-1)</x:f>
        <x:v>#NAME?</x:v>
      </x:c>
      <x:c r="G877" s="152" t="e">
        <x:f>IF(E877="","",E877/MAX(E$5:E877)-1)</x:f>
        <x:v>#NAME?</x:v>
      </x:c>
      <x:c r="H877" s="146" t="e">
        <x:f>IF(OR('实盘净值数据(iFinD公式)'!$A877="",'实盘净值数据(iFinD公式)'!$B877=""),"",分期持仓明细!$AD$19*SUMPRODUCT(分期持仓明细!$B$19:$AA$19,'实盘净值数据(iFinD公式)'!$B877:$AA877/'实盘净值数据(iFinD公式)'!$B$20:$AA$20)*(1-实盘持仓初始配置!$Z$6)^(('实盘净值数据(iFinD公式)'!$A877-'实盘净值数据(iFinD公式)'!$A$7)/365))</x:f>
        <x:v>#NAME?</x:v>
      </x:c>
      <x:c r="I877" s="152" t="e">
        <x:f>IF(OR(H876="",H877=""),"",H877/H876-1)</x:f>
        <x:v>#NAME?</x:v>
      </x:c>
      <x:c r="J877" s="152" t="e">
        <x:f>IF(H877="","",H877/MAX(H$5:H877)-1)</x:f>
        <x:v>#NAME?</x:v>
      </x:c>
      <x:c r="K877" s="146" t="e">
        <x:f>IF(OR('实盘净值数据(iFinD公式)'!$A877="",'实盘净值数据(iFinD公式)'!$B877=""),"",分期持仓明细!$AD$23*SUMPRODUCT(分期持仓明细!$B$23:$AA$23,'实盘净值数据(iFinD公式)'!$B877:$AA877/'实盘净值数据(iFinD公式)'!$B$65:$AA$65)*(1-实盘持仓初始配置!$Z$7)^(('实盘净值数据(iFinD公式)'!$A877-'实盘净值数据(iFinD公式)'!$A$8)/365))</x:f>
        <x:v>#NAME?</x:v>
      </x:c>
      <x:c r="L877" s="152" t="e">
        <x:f>IF(OR(K876="",K877=""),"",K877/K876-1)</x:f>
        <x:v>#NAME?</x:v>
      </x:c>
      <x:c r="M877" s="152" t="e">
        <x:f>IF(K877="","",K877/MAX(K$5:K877)-1)</x:f>
        <x:v>#NAME?</x:v>
      </x:c>
      <x:c r="N877" s="146" t="e">
        <x:f>IF(OR('实盘净值数据(iFinD公式)'!$A877="",'实盘净值数据(iFinD公式)'!$B877=""),"",分期持仓明细!$AD$24*SUMPRODUCT(分期持仓明细!$B$24:$AA$24,'实盘净值数据(iFinD公式)'!$B877:$AA877/'实盘净值数据(iFinD公式)'!$B$65:$AA$65)*(1-实盘持仓初始配置!$Z$8)^(('实盘净值数据(iFinD公式)'!$A877-'实盘净值数据(iFinD公式)'!$A$5)/365))</x:f>
        <x:v>#NAME?</x:v>
      </x:c>
      <x:c r="O877" s="152" t="e">
        <x:f>IF(OR(N876="",N877=""),"",N877/N876-1)</x:f>
        <x:v>#NAME?</x:v>
      </x:c>
      <x:c r="P877" s="152" t="e">
        <x:f>IF(N877="","",N877/MAX(N$5:N877)-1)</x:f>
        <x:v>#NAME?</x:v>
      </x:c>
      <x:c r="Q877" s="146" t="e">
        <x:f>IF(OR('实盘净值数据(iFinD公式)'!$A877="",'实盘净值数据(iFinD公式)'!$B877=""),"",分期持仓明细!$AD$25*SUMPRODUCT(分期持仓明细!$B$25:$AA$25,'实盘净值数据(iFinD公式)'!$B877:$AA877/'实盘净值数据(iFinD公式)'!$B$65:$AA$65)*(1-实盘持仓初始配置!$Z$9)^(('实盘净值数据(iFinD公式)'!$A877-'实盘净值数据(iFinD公式)'!$A$8)/365))</x:f>
        <x:v>#NAME?</x:v>
      </x:c>
      <x:c r="R877" s="152" t="e">
        <x:f>IF(OR(Q876="",Q877=""),"",Q877/Q876-1)</x:f>
        <x:v>#NAME?</x:v>
      </x:c>
      <x:c r="S877" s="152" t="e">
        <x:f>IF(Q877="","",Q877/MAX(Q$5:Q877)-1)</x:f>
        <x:v>#NAME?</x:v>
      </x:c>
    </x:row>
    <x:row r="878">
      <x:c r="A878" s="149" t="str">
        <x:f>IF('实盘净值数据(iFinD公式)'!A878="","",'实盘净值数据(iFinD公式)'!A878)</x:f>
      </x:c>
      <x:c r="B878" s="146" t="e">
        <x:f>IF(OR('实盘净值数据(iFinD公式)'!$A878="",'实盘净值数据(iFinD公式)'!$B878=""),"",分期持仓明细!$AD$17*SUMPRODUCT(分期持仓明细!$B$17:$AA$17,'实盘净值数据(iFinD公式)'!$B878:$AA878/'实盘净值数据(iFinD公式)'!$B$20:$AA$20)*(1-实盘持仓初始配置!$Z$4)^(('实盘净值数据(iFinD公式)'!$A878-'实盘净值数据(iFinD公式)'!$A$6)/365))</x:f>
        <x:v>#NAME?</x:v>
      </x:c>
      <x:c r="C878" s="152" t="e">
        <x:f>IF(OR(B877="",B878=""),"",B878/B877-1)</x:f>
        <x:v>#NAME?</x:v>
      </x:c>
      <x:c r="D878" s="152" t="e">
        <x:f>IF(B878="","",B878/MAX(B$5:B878)-1)</x:f>
        <x:v>#NAME?</x:v>
      </x:c>
      <x:c r="E878" s="146" t="e">
        <x:f>IF(OR('实盘净值数据(iFinD公式)'!$A878="",'实盘净值数据(iFinD公式)'!$B878=""),"",分期持仓明细!$AD$18*SUMPRODUCT(分期持仓明细!$B$18:$AA$18,'实盘净值数据(iFinD公式)'!$B878:$AA878/'实盘净值数据(iFinD公式)'!$B$20:$AA$20)*(1-实盘持仓初始配置!$Z$5)^(('实盘净值数据(iFinD公式)'!$A878-'实盘净值数据(iFinD公式)'!$A$5)/365))</x:f>
        <x:v>#NAME?</x:v>
      </x:c>
      <x:c r="F878" s="152" t="e">
        <x:f>IF(OR(E877="",E878=""),"",E878/E877-1)</x:f>
        <x:v>#NAME?</x:v>
      </x:c>
      <x:c r="G878" s="152" t="e">
        <x:f>IF(E878="","",E878/MAX(E$5:E878)-1)</x:f>
        <x:v>#NAME?</x:v>
      </x:c>
      <x:c r="H878" s="146" t="e">
        <x:f>IF(OR('实盘净值数据(iFinD公式)'!$A878="",'实盘净值数据(iFinD公式)'!$B878=""),"",分期持仓明细!$AD$19*SUMPRODUCT(分期持仓明细!$B$19:$AA$19,'实盘净值数据(iFinD公式)'!$B878:$AA878/'实盘净值数据(iFinD公式)'!$B$20:$AA$20)*(1-实盘持仓初始配置!$Z$6)^(('实盘净值数据(iFinD公式)'!$A878-'实盘净值数据(iFinD公式)'!$A$7)/365))</x:f>
        <x:v>#NAME?</x:v>
      </x:c>
      <x:c r="I878" s="152" t="e">
        <x:f>IF(OR(H877="",H878=""),"",H878/H877-1)</x:f>
        <x:v>#NAME?</x:v>
      </x:c>
      <x:c r="J878" s="152" t="e">
        <x:f>IF(H878="","",H878/MAX(H$5:H878)-1)</x:f>
        <x:v>#NAME?</x:v>
      </x:c>
      <x:c r="K878" s="146" t="e">
        <x:f>IF(OR('实盘净值数据(iFinD公式)'!$A878="",'实盘净值数据(iFinD公式)'!$B878=""),"",分期持仓明细!$AD$23*SUMPRODUCT(分期持仓明细!$B$23:$AA$23,'实盘净值数据(iFinD公式)'!$B878:$AA878/'实盘净值数据(iFinD公式)'!$B$65:$AA$65)*(1-实盘持仓初始配置!$Z$7)^(('实盘净值数据(iFinD公式)'!$A878-'实盘净值数据(iFinD公式)'!$A$8)/365))</x:f>
        <x:v>#NAME?</x:v>
      </x:c>
      <x:c r="L878" s="152" t="e">
        <x:f>IF(OR(K877="",K878=""),"",K878/K877-1)</x:f>
        <x:v>#NAME?</x:v>
      </x:c>
      <x:c r="M878" s="152" t="e">
        <x:f>IF(K878="","",K878/MAX(K$5:K878)-1)</x:f>
        <x:v>#NAME?</x:v>
      </x:c>
      <x:c r="N878" s="146" t="e">
        <x:f>IF(OR('实盘净值数据(iFinD公式)'!$A878="",'实盘净值数据(iFinD公式)'!$B878=""),"",分期持仓明细!$AD$24*SUMPRODUCT(分期持仓明细!$B$24:$AA$24,'实盘净值数据(iFinD公式)'!$B878:$AA878/'实盘净值数据(iFinD公式)'!$B$65:$AA$65)*(1-实盘持仓初始配置!$Z$8)^(('实盘净值数据(iFinD公式)'!$A878-'实盘净值数据(iFinD公式)'!$A$5)/365))</x:f>
        <x:v>#NAME?</x:v>
      </x:c>
      <x:c r="O878" s="152" t="e">
        <x:f>IF(OR(N877="",N878=""),"",N878/N877-1)</x:f>
        <x:v>#NAME?</x:v>
      </x:c>
      <x:c r="P878" s="152" t="e">
        <x:f>IF(N878="","",N878/MAX(N$5:N878)-1)</x:f>
        <x:v>#NAME?</x:v>
      </x:c>
      <x:c r="Q878" s="146" t="e">
        <x:f>IF(OR('实盘净值数据(iFinD公式)'!$A878="",'实盘净值数据(iFinD公式)'!$B878=""),"",分期持仓明细!$AD$25*SUMPRODUCT(分期持仓明细!$B$25:$AA$25,'实盘净值数据(iFinD公式)'!$B878:$AA878/'实盘净值数据(iFinD公式)'!$B$65:$AA$65)*(1-实盘持仓初始配置!$Z$9)^(('实盘净值数据(iFinD公式)'!$A878-'实盘净值数据(iFinD公式)'!$A$8)/365))</x:f>
        <x:v>#NAME?</x:v>
      </x:c>
      <x:c r="R878" s="152" t="e">
        <x:f>IF(OR(Q877="",Q878=""),"",Q878/Q877-1)</x:f>
        <x:v>#NAME?</x:v>
      </x:c>
      <x:c r="S878" s="152" t="e">
        <x:f>IF(Q878="","",Q878/MAX(Q$5:Q878)-1)</x:f>
        <x:v>#NAME?</x:v>
      </x:c>
    </x:row>
    <x:row r="879">
      <x:c r="A879" s="149" t="str">
        <x:f>IF('实盘净值数据(iFinD公式)'!A879="","",'实盘净值数据(iFinD公式)'!A879)</x:f>
      </x:c>
      <x:c r="B879" s="146" t="e">
        <x:f>IF(OR('实盘净值数据(iFinD公式)'!$A879="",'实盘净值数据(iFinD公式)'!$B879=""),"",分期持仓明细!$AD$17*SUMPRODUCT(分期持仓明细!$B$17:$AA$17,'实盘净值数据(iFinD公式)'!$B879:$AA879/'实盘净值数据(iFinD公式)'!$B$20:$AA$20)*(1-实盘持仓初始配置!$Z$4)^(('实盘净值数据(iFinD公式)'!$A879-'实盘净值数据(iFinD公式)'!$A$6)/365))</x:f>
        <x:v>#NAME?</x:v>
      </x:c>
      <x:c r="C879" s="152" t="e">
        <x:f>IF(OR(B878="",B879=""),"",B879/B878-1)</x:f>
        <x:v>#NAME?</x:v>
      </x:c>
      <x:c r="D879" s="152" t="e">
        <x:f>IF(B879="","",B879/MAX(B$5:B879)-1)</x:f>
        <x:v>#NAME?</x:v>
      </x:c>
      <x:c r="E879" s="146" t="e">
        <x:f>IF(OR('实盘净值数据(iFinD公式)'!$A879="",'实盘净值数据(iFinD公式)'!$B879=""),"",分期持仓明细!$AD$18*SUMPRODUCT(分期持仓明细!$B$18:$AA$18,'实盘净值数据(iFinD公式)'!$B879:$AA879/'实盘净值数据(iFinD公式)'!$B$20:$AA$20)*(1-实盘持仓初始配置!$Z$5)^(('实盘净值数据(iFinD公式)'!$A879-'实盘净值数据(iFinD公式)'!$A$5)/365))</x:f>
        <x:v>#NAME?</x:v>
      </x:c>
      <x:c r="F879" s="152" t="e">
        <x:f>IF(OR(E878="",E879=""),"",E879/E878-1)</x:f>
        <x:v>#NAME?</x:v>
      </x:c>
      <x:c r="G879" s="152" t="e">
        <x:f>IF(E879="","",E879/MAX(E$5:E879)-1)</x:f>
        <x:v>#NAME?</x:v>
      </x:c>
      <x:c r="H879" s="146" t="e">
        <x:f>IF(OR('实盘净值数据(iFinD公式)'!$A879="",'实盘净值数据(iFinD公式)'!$B879=""),"",分期持仓明细!$AD$19*SUMPRODUCT(分期持仓明细!$B$19:$AA$19,'实盘净值数据(iFinD公式)'!$B879:$AA879/'实盘净值数据(iFinD公式)'!$B$20:$AA$20)*(1-实盘持仓初始配置!$Z$6)^(('实盘净值数据(iFinD公式)'!$A879-'实盘净值数据(iFinD公式)'!$A$7)/365))</x:f>
        <x:v>#NAME?</x:v>
      </x:c>
      <x:c r="I879" s="152" t="e">
        <x:f>IF(OR(H878="",H879=""),"",H879/H878-1)</x:f>
        <x:v>#NAME?</x:v>
      </x:c>
      <x:c r="J879" s="152" t="e">
        <x:f>IF(H879="","",H879/MAX(H$5:H879)-1)</x:f>
        <x:v>#NAME?</x:v>
      </x:c>
      <x:c r="K879" s="146" t="e">
        <x:f>IF(OR('实盘净值数据(iFinD公式)'!$A879="",'实盘净值数据(iFinD公式)'!$B879=""),"",分期持仓明细!$AD$23*SUMPRODUCT(分期持仓明细!$B$23:$AA$23,'实盘净值数据(iFinD公式)'!$B879:$AA879/'实盘净值数据(iFinD公式)'!$B$65:$AA$65)*(1-实盘持仓初始配置!$Z$7)^(('实盘净值数据(iFinD公式)'!$A879-'实盘净值数据(iFinD公式)'!$A$8)/365))</x:f>
        <x:v>#NAME?</x:v>
      </x:c>
      <x:c r="L879" s="152" t="e">
        <x:f>IF(OR(K878="",K879=""),"",K879/K878-1)</x:f>
        <x:v>#NAME?</x:v>
      </x:c>
      <x:c r="M879" s="152" t="e">
        <x:f>IF(K879="","",K879/MAX(K$5:K879)-1)</x:f>
        <x:v>#NAME?</x:v>
      </x:c>
      <x:c r="N879" s="146" t="e">
        <x:f>IF(OR('实盘净值数据(iFinD公式)'!$A879="",'实盘净值数据(iFinD公式)'!$B879=""),"",分期持仓明细!$AD$24*SUMPRODUCT(分期持仓明细!$B$24:$AA$24,'实盘净值数据(iFinD公式)'!$B879:$AA879/'实盘净值数据(iFinD公式)'!$B$65:$AA$65)*(1-实盘持仓初始配置!$Z$8)^(('实盘净值数据(iFinD公式)'!$A879-'实盘净值数据(iFinD公式)'!$A$5)/365))</x:f>
        <x:v>#NAME?</x:v>
      </x:c>
      <x:c r="O879" s="152" t="e">
        <x:f>IF(OR(N878="",N879=""),"",N879/N878-1)</x:f>
        <x:v>#NAME?</x:v>
      </x:c>
      <x:c r="P879" s="152" t="e">
        <x:f>IF(N879="","",N879/MAX(N$5:N879)-1)</x:f>
        <x:v>#NAME?</x:v>
      </x:c>
      <x:c r="Q879" s="146" t="e">
        <x:f>IF(OR('实盘净值数据(iFinD公式)'!$A879="",'实盘净值数据(iFinD公式)'!$B879=""),"",分期持仓明细!$AD$25*SUMPRODUCT(分期持仓明细!$B$25:$AA$25,'实盘净值数据(iFinD公式)'!$B879:$AA879/'实盘净值数据(iFinD公式)'!$B$65:$AA$65)*(1-实盘持仓初始配置!$Z$9)^(('实盘净值数据(iFinD公式)'!$A879-'实盘净值数据(iFinD公式)'!$A$8)/365))</x:f>
        <x:v>#NAME?</x:v>
      </x:c>
      <x:c r="R879" s="152" t="e">
        <x:f>IF(OR(Q878="",Q879=""),"",Q879/Q878-1)</x:f>
        <x:v>#NAME?</x:v>
      </x:c>
      <x:c r="S879" s="152" t="e">
        <x:f>IF(Q879="","",Q879/MAX(Q$5:Q879)-1)</x:f>
        <x:v>#NAME?</x:v>
      </x:c>
    </x:row>
    <x:row r="880">
      <x:c r="A880" s="149" t="str">
        <x:f>IF('实盘净值数据(iFinD公式)'!A880="","",'实盘净值数据(iFinD公式)'!A880)</x:f>
      </x:c>
      <x:c r="B880" s="146" t="e">
        <x:f>IF(OR('实盘净值数据(iFinD公式)'!$A880="",'实盘净值数据(iFinD公式)'!$B880=""),"",分期持仓明细!$AD$17*SUMPRODUCT(分期持仓明细!$B$17:$AA$17,'实盘净值数据(iFinD公式)'!$B880:$AA880/'实盘净值数据(iFinD公式)'!$B$20:$AA$20)*(1-实盘持仓初始配置!$Z$4)^(('实盘净值数据(iFinD公式)'!$A880-'实盘净值数据(iFinD公式)'!$A$6)/365))</x:f>
        <x:v>#NAME?</x:v>
      </x:c>
      <x:c r="C880" s="152" t="e">
        <x:f>IF(OR(B879="",B880=""),"",B880/B879-1)</x:f>
        <x:v>#NAME?</x:v>
      </x:c>
      <x:c r="D880" s="152" t="e">
        <x:f>IF(B880="","",B880/MAX(B$5:B880)-1)</x:f>
        <x:v>#NAME?</x:v>
      </x:c>
      <x:c r="E880" s="146" t="e">
        <x:f>IF(OR('实盘净值数据(iFinD公式)'!$A880="",'实盘净值数据(iFinD公式)'!$B880=""),"",分期持仓明细!$AD$18*SUMPRODUCT(分期持仓明细!$B$18:$AA$18,'实盘净值数据(iFinD公式)'!$B880:$AA880/'实盘净值数据(iFinD公式)'!$B$20:$AA$20)*(1-实盘持仓初始配置!$Z$5)^(('实盘净值数据(iFinD公式)'!$A880-'实盘净值数据(iFinD公式)'!$A$5)/365))</x:f>
        <x:v>#NAME?</x:v>
      </x:c>
      <x:c r="F880" s="152" t="e">
        <x:f>IF(OR(E879="",E880=""),"",E880/E879-1)</x:f>
        <x:v>#NAME?</x:v>
      </x:c>
      <x:c r="G880" s="152" t="e">
        <x:f>IF(E880="","",E880/MAX(E$5:E880)-1)</x:f>
        <x:v>#NAME?</x:v>
      </x:c>
      <x:c r="H880" s="146" t="e">
        <x:f>IF(OR('实盘净值数据(iFinD公式)'!$A880="",'实盘净值数据(iFinD公式)'!$B880=""),"",分期持仓明细!$AD$19*SUMPRODUCT(分期持仓明细!$B$19:$AA$19,'实盘净值数据(iFinD公式)'!$B880:$AA880/'实盘净值数据(iFinD公式)'!$B$20:$AA$20)*(1-实盘持仓初始配置!$Z$6)^(('实盘净值数据(iFinD公式)'!$A880-'实盘净值数据(iFinD公式)'!$A$7)/365))</x:f>
        <x:v>#NAME?</x:v>
      </x:c>
      <x:c r="I880" s="152" t="e">
        <x:f>IF(OR(H879="",H880=""),"",H880/H879-1)</x:f>
        <x:v>#NAME?</x:v>
      </x:c>
      <x:c r="J880" s="152" t="e">
        <x:f>IF(H880="","",H880/MAX(H$5:H880)-1)</x:f>
        <x:v>#NAME?</x:v>
      </x:c>
      <x:c r="K880" s="146" t="e">
        <x:f>IF(OR('实盘净值数据(iFinD公式)'!$A880="",'实盘净值数据(iFinD公式)'!$B880=""),"",分期持仓明细!$AD$23*SUMPRODUCT(分期持仓明细!$B$23:$AA$23,'实盘净值数据(iFinD公式)'!$B880:$AA880/'实盘净值数据(iFinD公式)'!$B$65:$AA$65)*(1-实盘持仓初始配置!$Z$7)^(('实盘净值数据(iFinD公式)'!$A880-'实盘净值数据(iFinD公式)'!$A$8)/365))</x:f>
        <x:v>#NAME?</x:v>
      </x:c>
      <x:c r="L880" s="152" t="e">
        <x:f>IF(OR(K879="",K880=""),"",K880/K879-1)</x:f>
        <x:v>#NAME?</x:v>
      </x:c>
      <x:c r="M880" s="152" t="e">
        <x:f>IF(K880="","",K880/MAX(K$5:K880)-1)</x:f>
        <x:v>#NAME?</x:v>
      </x:c>
      <x:c r="N880" s="146" t="e">
        <x:f>IF(OR('实盘净值数据(iFinD公式)'!$A880="",'实盘净值数据(iFinD公式)'!$B880=""),"",分期持仓明细!$AD$24*SUMPRODUCT(分期持仓明细!$B$24:$AA$24,'实盘净值数据(iFinD公式)'!$B880:$AA880/'实盘净值数据(iFinD公式)'!$B$65:$AA$65)*(1-实盘持仓初始配置!$Z$8)^(('实盘净值数据(iFinD公式)'!$A880-'实盘净值数据(iFinD公式)'!$A$5)/365))</x:f>
        <x:v>#NAME?</x:v>
      </x:c>
      <x:c r="O880" s="152" t="e">
        <x:f>IF(OR(N879="",N880=""),"",N880/N879-1)</x:f>
        <x:v>#NAME?</x:v>
      </x:c>
      <x:c r="P880" s="152" t="e">
        <x:f>IF(N880="","",N880/MAX(N$5:N880)-1)</x:f>
        <x:v>#NAME?</x:v>
      </x:c>
      <x:c r="Q880" s="146" t="e">
        <x:f>IF(OR('实盘净值数据(iFinD公式)'!$A880="",'实盘净值数据(iFinD公式)'!$B880=""),"",分期持仓明细!$AD$25*SUMPRODUCT(分期持仓明细!$B$25:$AA$25,'实盘净值数据(iFinD公式)'!$B880:$AA880/'实盘净值数据(iFinD公式)'!$B$65:$AA$65)*(1-实盘持仓初始配置!$Z$9)^(('实盘净值数据(iFinD公式)'!$A880-'实盘净值数据(iFinD公式)'!$A$8)/365))</x:f>
        <x:v>#NAME?</x:v>
      </x:c>
      <x:c r="R880" s="152" t="e">
        <x:f>IF(OR(Q879="",Q880=""),"",Q880/Q879-1)</x:f>
        <x:v>#NAME?</x:v>
      </x:c>
      <x:c r="S880" s="152" t="e">
        <x:f>IF(Q880="","",Q880/MAX(Q$5:Q880)-1)</x:f>
        <x:v>#NAME?</x:v>
      </x:c>
    </x:row>
    <x:row r="881">
      <x:c r="A881" s="149" t="str">
        <x:f>IF('实盘净值数据(iFinD公式)'!A881="","",'实盘净值数据(iFinD公式)'!A881)</x:f>
      </x:c>
      <x:c r="B881" s="146" t="e">
        <x:f>IF(OR('实盘净值数据(iFinD公式)'!$A881="",'实盘净值数据(iFinD公式)'!$B881=""),"",分期持仓明细!$AD$17*SUMPRODUCT(分期持仓明细!$B$17:$AA$17,'实盘净值数据(iFinD公式)'!$B881:$AA881/'实盘净值数据(iFinD公式)'!$B$20:$AA$20)*(1-实盘持仓初始配置!$Z$4)^(('实盘净值数据(iFinD公式)'!$A881-'实盘净值数据(iFinD公式)'!$A$6)/365))</x:f>
        <x:v>#NAME?</x:v>
      </x:c>
      <x:c r="C881" s="152" t="e">
        <x:f>IF(OR(B880="",B881=""),"",B881/B880-1)</x:f>
        <x:v>#NAME?</x:v>
      </x:c>
      <x:c r="D881" s="152" t="e">
        <x:f>IF(B881="","",B881/MAX(B$5:B881)-1)</x:f>
        <x:v>#NAME?</x:v>
      </x:c>
      <x:c r="E881" s="146" t="e">
        <x:f>IF(OR('实盘净值数据(iFinD公式)'!$A881="",'实盘净值数据(iFinD公式)'!$B881=""),"",分期持仓明细!$AD$18*SUMPRODUCT(分期持仓明细!$B$18:$AA$18,'实盘净值数据(iFinD公式)'!$B881:$AA881/'实盘净值数据(iFinD公式)'!$B$20:$AA$20)*(1-实盘持仓初始配置!$Z$5)^(('实盘净值数据(iFinD公式)'!$A881-'实盘净值数据(iFinD公式)'!$A$5)/365))</x:f>
        <x:v>#NAME?</x:v>
      </x:c>
      <x:c r="F881" s="152" t="e">
        <x:f>IF(OR(E880="",E881=""),"",E881/E880-1)</x:f>
        <x:v>#NAME?</x:v>
      </x:c>
      <x:c r="G881" s="152" t="e">
        <x:f>IF(E881="","",E881/MAX(E$5:E881)-1)</x:f>
        <x:v>#NAME?</x:v>
      </x:c>
      <x:c r="H881" s="146" t="e">
        <x:f>IF(OR('实盘净值数据(iFinD公式)'!$A881="",'实盘净值数据(iFinD公式)'!$B881=""),"",分期持仓明细!$AD$19*SUMPRODUCT(分期持仓明细!$B$19:$AA$19,'实盘净值数据(iFinD公式)'!$B881:$AA881/'实盘净值数据(iFinD公式)'!$B$20:$AA$20)*(1-实盘持仓初始配置!$Z$6)^(('实盘净值数据(iFinD公式)'!$A881-'实盘净值数据(iFinD公式)'!$A$7)/365))</x:f>
        <x:v>#NAME?</x:v>
      </x:c>
      <x:c r="I881" s="152" t="e">
        <x:f>IF(OR(H880="",H881=""),"",H881/H880-1)</x:f>
        <x:v>#NAME?</x:v>
      </x:c>
      <x:c r="J881" s="152" t="e">
        <x:f>IF(H881="","",H881/MAX(H$5:H881)-1)</x:f>
        <x:v>#NAME?</x:v>
      </x:c>
      <x:c r="K881" s="146" t="e">
        <x:f>IF(OR('实盘净值数据(iFinD公式)'!$A881="",'实盘净值数据(iFinD公式)'!$B881=""),"",分期持仓明细!$AD$23*SUMPRODUCT(分期持仓明细!$B$23:$AA$23,'实盘净值数据(iFinD公式)'!$B881:$AA881/'实盘净值数据(iFinD公式)'!$B$65:$AA$65)*(1-实盘持仓初始配置!$Z$7)^(('实盘净值数据(iFinD公式)'!$A881-'实盘净值数据(iFinD公式)'!$A$8)/365))</x:f>
        <x:v>#NAME?</x:v>
      </x:c>
      <x:c r="L881" s="152" t="e">
        <x:f>IF(OR(K880="",K881=""),"",K881/K880-1)</x:f>
        <x:v>#NAME?</x:v>
      </x:c>
      <x:c r="M881" s="152" t="e">
        <x:f>IF(K881="","",K881/MAX(K$5:K881)-1)</x:f>
        <x:v>#NAME?</x:v>
      </x:c>
      <x:c r="N881" s="146" t="e">
        <x:f>IF(OR('实盘净值数据(iFinD公式)'!$A881="",'实盘净值数据(iFinD公式)'!$B881=""),"",分期持仓明细!$AD$24*SUMPRODUCT(分期持仓明细!$B$24:$AA$24,'实盘净值数据(iFinD公式)'!$B881:$AA881/'实盘净值数据(iFinD公式)'!$B$65:$AA$65)*(1-实盘持仓初始配置!$Z$8)^(('实盘净值数据(iFinD公式)'!$A881-'实盘净值数据(iFinD公式)'!$A$5)/365))</x:f>
        <x:v>#NAME?</x:v>
      </x:c>
      <x:c r="O881" s="152" t="e">
        <x:f>IF(OR(N880="",N881=""),"",N881/N880-1)</x:f>
        <x:v>#NAME?</x:v>
      </x:c>
      <x:c r="P881" s="152" t="e">
        <x:f>IF(N881="","",N881/MAX(N$5:N881)-1)</x:f>
        <x:v>#NAME?</x:v>
      </x:c>
      <x:c r="Q881" s="146" t="e">
        <x:f>IF(OR('实盘净值数据(iFinD公式)'!$A881="",'实盘净值数据(iFinD公式)'!$B881=""),"",分期持仓明细!$AD$25*SUMPRODUCT(分期持仓明细!$B$25:$AA$25,'实盘净值数据(iFinD公式)'!$B881:$AA881/'实盘净值数据(iFinD公式)'!$B$65:$AA$65)*(1-实盘持仓初始配置!$Z$9)^(('实盘净值数据(iFinD公式)'!$A881-'实盘净值数据(iFinD公式)'!$A$8)/365))</x:f>
        <x:v>#NAME?</x:v>
      </x:c>
      <x:c r="R881" s="152" t="e">
        <x:f>IF(OR(Q880="",Q881=""),"",Q881/Q880-1)</x:f>
        <x:v>#NAME?</x:v>
      </x:c>
      <x:c r="S881" s="152" t="e">
        <x:f>IF(Q881="","",Q881/MAX(Q$5:Q881)-1)</x:f>
        <x:v>#NAME?</x:v>
      </x:c>
    </x:row>
    <x:row r="882">
      <x:c r="A882" s="149" t="str">
        <x:f>IF('实盘净值数据(iFinD公式)'!A882="","",'实盘净值数据(iFinD公式)'!A882)</x:f>
      </x:c>
      <x:c r="B882" s="146" t="e">
        <x:f>IF(OR('实盘净值数据(iFinD公式)'!$A882="",'实盘净值数据(iFinD公式)'!$B882=""),"",分期持仓明细!$AD$17*SUMPRODUCT(分期持仓明细!$B$17:$AA$17,'实盘净值数据(iFinD公式)'!$B882:$AA882/'实盘净值数据(iFinD公式)'!$B$20:$AA$20)*(1-实盘持仓初始配置!$Z$4)^(('实盘净值数据(iFinD公式)'!$A882-'实盘净值数据(iFinD公式)'!$A$6)/365))</x:f>
        <x:v>#NAME?</x:v>
      </x:c>
      <x:c r="C882" s="152" t="e">
        <x:f>IF(OR(B881="",B882=""),"",B882/B881-1)</x:f>
        <x:v>#NAME?</x:v>
      </x:c>
      <x:c r="D882" s="152" t="e">
        <x:f>IF(B882="","",B882/MAX(B$5:B882)-1)</x:f>
        <x:v>#NAME?</x:v>
      </x:c>
      <x:c r="E882" s="146" t="e">
        <x:f>IF(OR('实盘净值数据(iFinD公式)'!$A882="",'实盘净值数据(iFinD公式)'!$B882=""),"",分期持仓明细!$AD$18*SUMPRODUCT(分期持仓明细!$B$18:$AA$18,'实盘净值数据(iFinD公式)'!$B882:$AA882/'实盘净值数据(iFinD公式)'!$B$20:$AA$20)*(1-实盘持仓初始配置!$Z$5)^(('实盘净值数据(iFinD公式)'!$A882-'实盘净值数据(iFinD公式)'!$A$5)/365))</x:f>
        <x:v>#NAME?</x:v>
      </x:c>
      <x:c r="F882" s="152" t="e">
        <x:f>IF(OR(E881="",E882=""),"",E882/E881-1)</x:f>
        <x:v>#NAME?</x:v>
      </x:c>
      <x:c r="G882" s="152" t="e">
        <x:f>IF(E882="","",E882/MAX(E$5:E882)-1)</x:f>
        <x:v>#NAME?</x:v>
      </x:c>
      <x:c r="H882" s="146" t="e">
        <x:f>IF(OR('实盘净值数据(iFinD公式)'!$A882="",'实盘净值数据(iFinD公式)'!$B882=""),"",分期持仓明细!$AD$19*SUMPRODUCT(分期持仓明细!$B$19:$AA$19,'实盘净值数据(iFinD公式)'!$B882:$AA882/'实盘净值数据(iFinD公式)'!$B$20:$AA$20)*(1-实盘持仓初始配置!$Z$6)^(('实盘净值数据(iFinD公式)'!$A882-'实盘净值数据(iFinD公式)'!$A$7)/365))</x:f>
        <x:v>#NAME?</x:v>
      </x:c>
      <x:c r="I882" s="152" t="e">
        <x:f>IF(OR(H881="",H882=""),"",H882/H881-1)</x:f>
        <x:v>#NAME?</x:v>
      </x:c>
      <x:c r="J882" s="152" t="e">
        <x:f>IF(H882="","",H882/MAX(H$5:H882)-1)</x:f>
        <x:v>#NAME?</x:v>
      </x:c>
      <x:c r="K882" s="146" t="e">
        <x:f>IF(OR('实盘净值数据(iFinD公式)'!$A882="",'实盘净值数据(iFinD公式)'!$B882=""),"",分期持仓明细!$AD$23*SUMPRODUCT(分期持仓明细!$B$23:$AA$23,'实盘净值数据(iFinD公式)'!$B882:$AA882/'实盘净值数据(iFinD公式)'!$B$65:$AA$65)*(1-实盘持仓初始配置!$Z$7)^(('实盘净值数据(iFinD公式)'!$A882-'实盘净值数据(iFinD公式)'!$A$8)/365))</x:f>
        <x:v>#NAME?</x:v>
      </x:c>
      <x:c r="L882" s="152" t="e">
        <x:f>IF(OR(K881="",K882=""),"",K882/K881-1)</x:f>
        <x:v>#NAME?</x:v>
      </x:c>
      <x:c r="M882" s="152" t="e">
        <x:f>IF(K882="","",K882/MAX(K$5:K882)-1)</x:f>
        <x:v>#NAME?</x:v>
      </x:c>
      <x:c r="N882" s="146" t="e">
        <x:f>IF(OR('实盘净值数据(iFinD公式)'!$A882="",'实盘净值数据(iFinD公式)'!$B882=""),"",分期持仓明细!$AD$24*SUMPRODUCT(分期持仓明细!$B$24:$AA$24,'实盘净值数据(iFinD公式)'!$B882:$AA882/'实盘净值数据(iFinD公式)'!$B$65:$AA$65)*(1-实盘持仓初始配置!$Z$8)^(('实盘净值数据(iFinD公式)'!$A882-'实盘净值数据(iFinD公式)'!$A$5)/365))</x:f>
        <x:v>#NAME?</x:v>
      </x:c>
      <x:c r="O882" s="152" t="e">
        <x:f>IF(OR(N881="",N882=""),"",N882/N881-1)</x:f>
        <x:v>#NAME?</x:v>
      </x:c>
      <x:c r="P882" s="152" t="e">
        <x:f>IF(N882="","",N882/MAX(N$5:N882)-1)</x:f>
        <x:v>#NAME?</x:v>
      </x:c>
      <x:c r="Q882" s="146" t="e">
        <x:f>IF(OR('实盘净值数据(iFinD公式)'!$A882="",'实盘净值数据(iFinD公式)'!$B882=""),"",分期持仓明细!$AD$25*SUMPRODUCT(分期持仓明细!$B$25:$AA$25,'实盘净值数据(iFinD公式)'!$B882:$AA882/'实盘净值数据(iFinD公式)'!$B$65:$AA$65)*(1-实盘持仓初始配置!$Z$9)^(('实盘净值数据(iFinD公式)'!$A882-'实盘净值数据(iFinD公式)'!$A$8)/365))</x:f>
        <x:v>#NAME?</x:v>
      </x:c>
      <x:c r="R882" s="152" t="e">
        <x:f>IF(OR(Q881="",Q882=""),"",Q882/Q881-1)</x:f>
        <x:v>#NAME?</x:v>
      </x:c>
      <x:c r="S882" s="152" t="e">
        <x:f>IF(Q882="","",Q882/MAX(Q$5:Q882)-1)</x:f>
        <x:v>#NAME?</x:v>
      </x:c>
    </x:row>
    <x:row r="883">
      <x:c r="A883" s="149" t="str">
        <x:f>IF('实盘净值数据(iFinD公式)'!A883="","",'实盘净值数据(iFinD公式)'!A883)</x:f>
      </x:c>
      <x:c r="B883" s="146" t="e">
        <x:f>IF(OR('实盘净值数据(iFinD公式)'!$A883="",'实盘净值数据(iFinD公式)'!$B883=""),"",分期持仓明细!$AD$17*SUMPRODUCT(分期持仓明细!$B$17:$AA$17,'实盘净值数据(iFinD公式)'!$B883:$AA883/'实盘净值数据(iFinD公式)'!$B$20:$AA$20)*(1-实盘持仓初始配置!$Z$4)^(('实盘净值数据(iFinD公式)'!$A883-'实盘净值数据(iFinD公式)'!$A$6)/365))</x:f>
        <x:v>#NAME?</x:v>
      </x:c>
      <x:c r="C883" s="152" t="e">
        <x:f>IF(OR(B882="",B883=""),"",B883/B882-1)</x:f>
        <x:v>#NAME?</x:v>
      </x:c>
      <x:c r="D883" s="152" t="e">
        <x:f>IF(B883="","",B883/MAX(B$5:B883)-1)</x:f>
        <x:v>#NAME?</x:v>
      </x:c>
      <x:c r="E883" s="146" t="e">
        <x:f>IF(OR('实盘净值数据(iFinD公式)'!$A883="",'实盘净值数据(iFinD公式)'!$B883=""),"",分期持仓明细!$AD$18*SUMPRODUCT(分期持仓明细!$B$18:$AA$18,'实盘净值数据(iFinD公式)'!$B883:$AA883/'实盘净值数据(iFinD公式)'!$B$20:$AA$20)*(1-实盘持仓初始配置!$Z$5)^(('实盘净值数据(iFinD公式)'!$A883-'实盘净值数据(iFinD公式)'!$A$5)/365))</x:f>
        <x:v>#NAME?</x:v>
      </x:c>
      <x:c r="F883" s="152" t="e">
        <x:f>IF(OR(E882="",E883=""),"",E883/E882-1)</x:f>
        <x:v>#NAME?</x:v>
      </x:c>
      <x:c r="G883" s="152" t="e">
        <x:f>IF(E883="","",E883/MAX(E$5:E883)-1)</x:f>
        <x:v>#NAME?</x:v>
      </x:c>
      <x:c r="H883" s="146" t="e">
        <x:f>IF(OR('实盘净值数据(iFinD公式)'!$A883="",'实盘净值数据(iFinD公式)'!$B883=""),"",分期持仓明细!$AD$19*SUMPRODUCT(分期持仓明细!$B$19:$AA$19,'实盘净值数据(iFinD公式)'!$B883:$AA883/'实盘净值数据(iFinD公式)'!$B$20:$AA$20)*(1-实盘持仓初始配置!$Z$6)^(('实盘净值数据(iFinD公式)'!$A883-'实盘净值数据(iFinD公式)'!$A$7)/365))</x:f>
        <x:v>#NAME?</x:v>
      </x:c>
      <x:c r="I883" s="152" t="e">
        <x:f>IF(OR(H882="",H883=""),"",H883/H882-1)</x:f>
        <x:v>#NAME?</x:v>
      </x:c>
      <x:c r="J883" s="152" t="e">
        <x:f>IF(H883="","",H883/MAX(H$5:H883)-1)</x:f>
        <x:v>#NAME?</x:v>
      </x:c>
      <x:c r="K883" s="146" t="e">
        <x:f>IF(OR('实盘净值数据(iFinD公式)'!$A883="",'实盘净值数据(iFinD公式)'!$B883=""),"",分期持仓明细!$AD$23*SUMPRODUCT(分期持仓明细!$B$23:$AA$23,'实盘净值数据(iFinD公式)'!$B883:$AA883/'实盘净值数据(iFinD公式)'!$B$65:$AA$65)*(1-实盘持仓初始配置!$Z$7)^(('实盘净值数据(iFinD公式)'!$A883-'实盘净值数据(iFinD公式)'!$A$8)/365))</x:f>
        <x:v>#NAME?</x:v>
      </x:c>
      <x:c r="L883" s="152" t="e">
        <x:f>IF(OR(K882="",K883=""),"",K883/K882-1)</x:f>
        <x:v>#NAME?</x:v>
      </x:c>
      <x:c r="M883" s="152" t="e">
        <x:f>IF(K883="","",K883/MAX(K$5:K883)-1)</x:f>
        <x:v>#NAME?</x:v>
      </x:c>
      <x:c r="N883" s="146" t="e">
        <x:f>IF(OR('实盘净值数据(iFinD公式)'!$A883="",'实盘净值数据(iFinD公式)'!$B883=""),"",分期持仓明细!$AD$24*SUMPRODUCT(分期持仓明细!$B$24:$AA$24,'实盘净值数据(iFinD公式)'!$B883:$AA883/'实盘净值数据(iFinD公式)'!$B$65:$AA$65)*(1-实盘持仓初始配置!$Z$8)^(('实盘净值数据(iFinD公式)'!$A883-'实盘净值数据(iFinD公式)'!$A$5)/365))</x:f>
        <x:v>#NAME?</x:v>
      </x:c>
      <x:c r="O883" s="152" t="e">
        <x:f>IF(OR(N882="",N883=""),"",N883/N882-1)</x:f>
        <x:v>#NAME?</x:v>
      </x:c>
      <x:c r="P883" s="152" t="e">
        <x:f>IF(N883="","",N883/MAX(N$5:N883)-1)</x:f>
        <x:v>#NAME?</x:v>
      </x:c>
      <x:c r="Q883" s="146" t="e">
        <x:f>IF(OR('实盘净值数据(iFinD公式)'!$A883="",'实盘净值数据(iFinD公式)'!$B883=""),"",分期持仓明细!$AD$25*SUMPRODUCT(分期持仓明细!$B$25:$AA$25,'实盘净值数据(iFinD公式)'!$B883:$AA883/'实盘净值数据(iFinD公式)'!$B$65:$AA$65)*(1-实盘持仓初始配置!$Z$9)^(('实盘净值数据(iFinD公式)'!$A883-'实盘净值数据(iFinD公式)'!$A$8)/365))</x:f>
        <x:v>#NAME?</x:v>
      </x:c>
      <x:c r="R883" s="152" t="e">
        <x:f>IF(OR(Q882="",Q883=""),"",Q883/Q882-1)</x:f>
        <x:v>#NAME?</x:v>
      </x:c>
      <x:c r="S883" s="152" t="e">
        <x:f>IF(Q883="","",Q883/MAX(Q$5:Q883)-1)</x:f>
        <x:v>#NAME?</x:v>
      </x:c>
    </x:row>
    <x:row r="884">
      <x:c r="A884" s="149" t="str">
        <x:f>IF('实盘净值数据(iFinD公式)'!A884="","",'实盘净值数据(iFinD公式)'!A884)</x:f>
      </x:c>
      <x:c r="B884" s="146" t="e">
        <x:f>IF(OR('实盘净值数据(iFinD公式)'!$A884="",'实盘净值数据(iFinD公式)'!$B884=""),"",分期持仓明细!$AD$17*SUMPRODUCT(分期持仓明细!$B$17:$AA$17,'实盘净值数据(iFinD公式)'!$B884:$AA884/'实盘净值数据(iFinD公式)'!$B$20:$AA$20)*(1-实盘持仓初始配置!$Z$4)^(('实盘净值数据(iFinD公式)'!$A884-'实盘净值数据(iFinD公式)'!$A$6)/365))</x:f>
        <x:v>#NAME?</x:v>
      </x:c>
      <x:c r="C884" s="152" t="e">
        <x:f>IF(OR(B883="",B884=""),"",B884/B883-1)</x:f>
        <x:v>#NAME?</x:v>
      </x:c>
      <x:c r="D884" s="152" t="e">
        <x:f>IF(B884="","",B884/MAX(B$5:B884)-1)</x:f>
        <x:v>#NAME?</x:v>
      </x:c>
      <x:c r="E884" s="146" t="e">
        <x:f>IF(OR('实盘净值数据(iFinD公式)'!$A884="",'实盘净值数据(iFinD公式)'!$B884=""),"",分期持仓明细!$AD$18*SUMPRODUCT(分期持仓明细!$B$18:$AA$18,'实盘净值数据(iFinD公式)'!$B884:$AA884/'实盘净值数据(iFinD公式)'!$B$20:$AA$20)*(1-实盘持仓初始配置!$Z$5)^(('实盘净值数据(iFinD公式)'!$A884-'实盘净值数据(iFinD公式)'!$A$5)/365))</x:f>
        <x:v>#NAME?</x:v>
      </x:c>
      <x:c r="F884" s="152" t="e">
        <x:f>IF(OR(E883="",E884=""),"",E884/E883-1)</x:f>
        <x:v>#NAME?</x:v>
      </x:c>
      <x:c r="G884" s="152" t="e">
        <x:f>IF(E884="","",E884/MAX(E$5:E884)-1)</x:f>
        <x:v>#NAME?</x:v>
      </x:c>
      <x:c r="H884" s="146" t="e">
        <x:f>IF(OR('实盘净值数据(iFinD公式)'!$A884="",'实盘净值数据(iFinD公式)'!$B884=""),"",分期持仓明细!$AD$19*SUMPRODUCT(分期持仓明细!$B$19:$AA$19,'实盘净值数据(iFinD公式)'!$B884:$AA884/'实盘净值数据(iFinD公式)'!$B$20:$AA$20)*(1-实盘持仓初始配置!$Z$6)^(('实盘净值数据(iFinD公式)'!$A884-'实盘净值数据(iFinD公式)'!$A$7)/365))</x:f>
        <x:v>#NAME?</x:v>
      </x:c>
      <x:c r="I884" s="152" t="e">
        <x:f>IF(OR(H883="",H884=""),"",H884/H883-1)</x:f>
        <x:v>#NAME?</x:v>
      </x:c>
      <x:c r="J884" s="152" t="e">
        <x:f>IF(H884="","",H884/MAX(H$5:H884)-1)</x:f>
        <x:v>#NAME?</x:v>
      </x:c>
      <x:c r="K884" s="146" t="e">
        <x:f>IF(OR('实盘净值数据(iFinD公式)'!$A884="",'实盘净值数据(iFinD公式)'!$B884=""),"",分期持仓明细!$AD$23*SUMPRODUCT(分期持仓明细!$B$23:$AA$23,'实盘净值数据(iFinD公式)'!$B884:$AA884/'实盘净值数据(iFinD公式)'!$B$65:$AA$65)*(1-实盘持仓初始配置!$Z$7)^(('实盘净值数据(iFinD公式)'!$A884-'实盘净值数据(iFinD公式)'!$A$8)/365))</x:f>
        <x:v>#NAME?</x:v>
      </x:c>
      <x:c r="L884" s="152" t="e">
        <x:f>IF(OR(K883="",K884=""),"",K884/K883-1)</x:f>
        <x:v>#NAME?</x:v>
      </x:c>
      <x:c r="M884" s="152" t="e">
        <x:f>IF(K884="","",K884/MAX(K$5:K884)-1)</x:f>
        <x:v>#NAME?</x:v>
      </x:c>
      <x:c r="N884" s="146" t="e">
        <x:f>IF(OR('实盘净值数据(iFinD公式)'!$A884="",'实盘净值数据(iFinD公式)'!$B884=""),"",分期持仓明细!$AD$24*SUMPRODUCT(分期持仓明细!$B$24:$AA$24,'实盘净值数据(iFinD公式)'!$B884:$AA884/'实盘净值数据(iFinD公式)'!$B$65:$AA$65)*(1-实盘持仓初始配置!$Z$8)^(('实盘净值数据(iFinD公式)'!$A884-'实盘净值数据(iFinD公式)'!$A$5)/365))</x:f>
        <x:v>#NAME?</x:v>
      </x:c>
      <x:c r="O884" s="152" t="e">
        <x:f>IF(OR(N883="",N884=""),"",N884/N883-1)</x:f>
        <x:v>#NAME?</x:v>
      </x:c>
      <x:c r="P884" s="152" t="e">
        <x:f>IF(N884="","",N884/MAX(N$5:N884)-1)</x:f>
        <x:v>#NAME?</x:v>
      </x:c>
      <x:c r="Q884" s="146" t="e">
        <x:f>IF(OR('实盘净值数据(iFinD公式)'!$A884="",'实盘净值数据(iFinD公式)'!$B884=""),"",分期持仓明细!$AD$25*SUMPRODUCT(分期持仓明细!$B$25:$AA$25,'实盘净值数据(iFinD公式)'!$B884:$AA884/'实盘净值数据(iFinD公式)'!$B$65:$AA$65)*(1-实盘持仓初始配置!$Z$9)^(('实盘净值数据(iFinD公式)'!$A884-'实盘净值数据(iFinD公式)'!$A$8)/365))</x:f>
        <x:v>#NAME?</x:v>
      </x:c>
      <x:c r="R884" s="152" t="e">
        <x:f>IF(OR(Q883="",Q884=""),"",Q884/Q883-1)</x:f>
        <x:v>#NAME?</x:v>
      </x:c>
      <x:c r="S884" s="152" t="e">
        <x:f>IF(Q884="","",Q884/MAX(Q$5:Q884)-1)</x:f>
        <x:v>#NAME?</x:v>
      </x:c>
    </x:row>
    <x:row r="885">
      <x:c r="A885" s="149" t="str">
        <x:f>IF('实盘净值数据(iFinD公式)'!A885="","",'实盘净值数据(iFinD公式)'!A885)</x:f>
      </x:c>
      <x:c r="B885" s="146" t="e">
        <x:f>IF(OR('实盘净值数据(iFinD公式)'!$A885="",'实盘净值数据(iFinD公式)'!$B885=""),"",分期持仓明细!$AD$17*SUMPRODUCT(分期持仓明细!$B$17:$AA$17,'实盘净值数据(iFinD公式)'!$B885:$AA885/'实盘净值数据(iFinD公式)'!$B$20:$AA$20)*(1-实盘持仓初始配置!$Z$4)^(('实盘净值数据(iFinD公式)'!$A885-'实盘净值数据(iFinD公式)'!$A$6)/365))</x:f>
        <x:v>#NAME?</x:v>
      </x:c>
      <x:c r="C885" s="152" t="e">
        <x:f>IF(OR(B884="",B885=""),"",B885/B884-1)</x:f>
        <x:v>#NAME?</x:v>
      </x:c>
      <x:c r="D885" s="152" t="e">
        <x:f>IF(B885="","",B885/MAX(B$5:B885)-1)</x:f>
        <x:v>#NAME?</x:v>
      </x:c>
      <x:c r="E885" s="146" t="e">
        <x:f>IF(OR('实盘净值数据(iFinD公式)'!$A885="",'实盘净值数据(iFinD公式)'!$B885=""),"",分期持仓明细!$AD$18*SUMPRODUCT(分期持仓明细!$B$18:$AA$18,'实盘净值数据(iFinD公式)'!$B885:$AA885/'实盘净值数据(iFinD公式)'!$B$20:$AA$20)*(1-实盘持仓初始配置!$Z$5)^(('实盘净值数据(iFinD公式)'!$A885-'实盘净值数据(iFinD公式)'!$A$5)/365))</x:f>
        <x:v>#NAME?</x:v>
      </x:c>
      <x:c r="F885" s="152" t="e">
        <x:f>IF(OR(E884="",E885=""),"",E885/E884-1)</x:f>
        <x:v>#NAME?</x:v>
      </x:c>
      <x:c r="G885" s="152" t="e">
        <x:f>IF(E885="","",E885/MAX(E$5:E885)-1)</x:f>
        <x:v>#NAME?</x:v>
      </x:c>
      <x:c r="H885" s="146" t="e">
        <x:f>IF(OR('实盘净值数据(iFinD公式)'!$A885="",'实盘净值数据(iFinD公式)'!$B885=""),"",分期持仓明细!$AD$19*SUMPRODUCT(分期持仓明细!$B$19:$AA$19,'实盘净值数据(iFinD公式)'!$B885:$AA885/'实盘净值数据(iFinD公式)'!$B$20:$AA$20)*(1-实盘持仓初始配置!$Z$6)^(('实盘净值数据(iFinD公式)'!$A885-'实盘净值数据(iFinD公式)'!$A$7)/365))</x:f>
        <x:v>#NAME?</x:v>
      </x:c>
      <x:c r="I885" s="152" t="e">
        <x:f>IF(OR(H884="",H885=""),"",H885/H884-1)</x:f>
        <x:v>#NAME?</x:v>
      </x:c>
      <x:c r="J885" s="152" t="e">
        <x:f>IF(H885="","",H885/MAX(H$5:H885)-1)</x:f>
        <x:v>#NAME?</x:v>
      </x:c>
      <x:c r="K885" s="146" t="e">
        <x:f>IF(OR('实盘净值数据(iFinD公式)'!$A885="",'实盘净值数据(iFinD公式)'!$B885=""),"",分期持仓明细!$AD$23*SUMPRODUCT(分期持仓明细!$B$23:$AA$23,'实盘净值数据(iFinD公式)'!$B885:$AA885/'实盘净值数据(iFinD公式)'!$B$65:$AA$65)*(1-实盘持仓初始配置!$Z$7)^(('实盘净值数据(iFinD公式)'!$A885-'实盘净值数据(iFinD公式)'!$A$8)/365))</x:f>
        <x:v>#NAME?</x:v>
      </x:c>
      <x:c r="L885" s="152" t="e">
        <x:f>IF(OR(K884="",K885=""),"",K885/K884-1)</x:f>
        <x:v>#NAME?</x:v>
      </x:c>
      <x:c r="M885" s="152" t="e">
        <x:f>IF(K885="","",K885/MAX(K$5:K885)-1)</x:f>
        <x:v>#NAME?</x:v>
      </x:c>
      <x:c r="N885" s="146" t="e">
        <x:f>IF(OR('实盘净值数据(iFinD公式)'!$A885="",'实盘净值数据(iFinD公式)'!$B885=""),"",分期持仓明细!$AD$24*SUMPRODUCT(分期持仓明细!$B$24:$AA$24,'实盘净值数据(iFinD公式)'!$B885:$AA885/'实盘净值数据(iFinD公式)'!$B$65:$AA$65)*(1-实盘持仓初始配置!$Z$8)^(('实盘净值数据(iFinD公式)'!$A885-'实盘净值数据(iFinD公式)'!$A$5)/365))</x:f>
        <x:v>#NAME?</x:v>
      </x:c>
      <x:c r="O885" s="152" t="e">
        <x:f>IF(OR(N884="",N885=""),"",N885/N884-1)</x:f>
        <x:v>#NAME?</x:v>
      </x:c>
      <x:c r="P885" s="152" t="e">
        <x:f>IF(N885="","",N885/MAX(N$5:N885)-1)</x:f>
        <x:v>#NAME?</x:v>
      </x:c>
      <x:c r="Q885" s="146" t="e">
        <x:f>IF(OR('实盘净值数据(iFinD公式)'!$A885="",'实盘净值数据(iFinD公式)'!$B885=""),"",分期持仓明细!$AD$25*SUMPRODUCT(分期持仓明细!$B$25:$AA$25,'实盘净值数据(iFinD公式)'!$B885:$AA885/'实盘净值数据(iFinD公式)'!$B$65:$AA$65)*(1-实盘持仓初始配置!$Z$9)^(('实盘净值数据(iFinD公式)'!$A885-'实盘净值数据(iFinD公式)'!$A$8)/365))</x:f>
        <x:v>#NAME?</x:v>
      </x:c>
      <x:c r="R885" s="152" t="e">
        <x:f>IF(OR(Q884="",Q885=""),"",Q885/Q884-1)</x:f>
        <x:v>#NAME?</x:v>
      </x:c>
      <x:c r="S885" s="152" t="e">
        <x:f>IF(Q885="","",Q885/MAX(Q$5:Q885)-1)</x:f>
        <x:v>#NAME?</x:v>
      </x:c>
    </x:row>
    <x:row r="886">
      <x:c r="A886" s="149" t="str">
        <x:f>IF('实盘净值数据(iFinD公式)'!A886="","",'实盘净值数据(iFinD公式)'!A886)</x:f>
      </x:c>
      <x:c r="B886" s="146" t="e">
        <x:f>IF(OR('实盘净值数据(iFinD公式)'!$A886="",'实盘净值数据(iFinD公式)'!$B886=""),"",分期持仓明细!$AD$17*SUMPRODUCT(分期持仓明细!$B$17:$AA$17,'实盘净值数据(iFinD公式)'!$B886:$AA886/'实盘净值数据(iFinD公式)'!$B$20:$AA$20)*(1-实盘持仓初始配置!$Z$4)^(('实盘净值数据(iFinD公式)'!$A886-'实盘净值数据(iFinD公式)'!$A$6)/365))</x:f>
        <x:v>#NAME?</x:v>
      </x:c>
      <x:c r="C886" s="152" t="e">
        <x:f>IF(OR(B885="",B886=""),"",B886/B885-1)</x:f>
        <x:v>#NAME?</x:v>
      </x:c>
      <x:c r="D886" s="152" t="e">
        <x:f>IF(B886="","",B886/MAX(B$5:B886)-1)</x:f>
        <x:v>#NAME?</x:v>
      </x:c>
      <x:c r="E886" s="146" t="e">
        <x:f>IF(OR('实盘净值数据(iFinD公式)'!$A886="",'实盘净值数据(iFinD公式)'!$B886=""),"",分期持仓明细!$AD$18*SUMPRODUCT(分期持仓明细!$B$18:$AA$18,'实盘净值数据(iFinD公式)'!$B886:$AA886/'实盘净值数据(iFinD公式)'!$B$20:$AA$20)*(1-实盘持仓初始配置!$Z$5)^(('实盘净值数据(iFinD公式)'!$A886-'实盘净值数据(iFinD公式)'!$A$5)/365))</x:f>
        <x:v>#NAME?</x:v>
      </x:c>
      <x:c r="F886" s="152" t="e">
        <x:f>IF(OR(E885="",E886=""),"",E886/E885-1)</x:f>
        <x:v>#NAME?</x:v>
      </x:c>
      <x:c r="G886" s="152" t="e">
        <x:f>IF(E886="","",E886/MAX(E$5:E886)-1)</x:f>
        <x:v>#NAME?</x:v>
      </x:c>
      <x:c r="H886" s="146" t="e">
        <x:f>IF(OR('实盘净值数据(iFinD公式)'!$A886="",'实盘净值数据(iFinD公式)'!$B886=""),"",分期持仓明细!$AD$19*SUMPRODUCT(分期持仓明细!$B$19:$AA$19,'实盘净值数据(iFinD公式)'!$B886:$AA886/'实盘净值数据(iFinD公式)'!$B$20:$AA$20)*(1-实盘持仓初始配置!$Z$6)^(('实盘净值数据(iFinD公式)'!$A886-'实盘净值数据(iFinD公式)'!$A$7)/365))</x:f>
        <x:v>#NAME?</x:v>
      </x:c>
      <x:c r="I886" s="152" t="e">
        <x:f>IF(OR(H885="",H886=""),"",H886/H885-1)</x:f>
        <x:v>#NAME?</x:v>
      </x:c>
      <x:c r="J886" s="152" t="e">
        <x:f>IF(H886="","",H886/MAX(H$5:H886)-1)</x:f>
        <x:v>#NAME?</x:v>
      </x:c>
      <x:c r="K886" s="146" t="e">
        <x:f>IF(OR('实盘净值数据(iFinD公式)'!$A886="",'实盘净值数据(iFinD公式)'!$B886=""),"",分期持仓明细!$AD$23*SUMPRODUCT(分期持仓明细!$B$23:$AA$23,'实盘净值数据(iFinD公式)'!$B886:$AA886/'实盘净值数据(iFinD公式)'!$B$65:$AA$65)*(1-实盘持仓初始配置!$Z$7)^(('实盘净值数据(iFinD公式)'!$A886-'实盘净值数据(iFinD公式)'!$A$8)/365))</x:f>
        <x:v>#NAME?</x:v>
      </x:c>
      <x:c r="L886" s="152" t="e">
        <x:f>IF(OR(K885="",K886=""),"",K886/K885-1)</x:f>
        <x:v>#NAME?</x:v>
      </x:c>
      <x:c r="M886" s="152" t="e">
        <x:f>IF(K886="","",K886/MAX(K$5:K886)-1)</x:f>
        <x:v>#NAME?</x:v>
      </x:c>
      <x:c r="N886" s="146" t="e">
        <x:f>IF(OR('实盘净值数据(iFinD公式)'!$A886="",'实盘净值数据(iFinD公式)'!$B886=""),"",分期持仓明细!$AD$24*SUMPRODUCT(分期持仓明细!$B$24:$AA$24,'实盘净值数据(iFinD公式)'!$B886:$AA886/'实盘净值数据(iFinD公式)'!$B$65:$AA$65)*(1-实盘持仓初始配置!$Z$8)^(('实盘净值数据(iFinD公式)'!$A886-'实盘净值数据(iFinD公式)'!$A$5)/365))</x:f>
        <x:v>#NAME?</x:v>
      </x:c>
      <x:c r="O886" s="152" t="e">
        <x:f>IF(OR(N885="",N886=""),"",N886/N885-1)</x:f>
        <x:v>#NAME?</x:v>
      </x:c>
      <x:c r="P886" s="152" t="e">
        <x:f>IF(N886="","",N886/MAX(N$5:N886)-1)</x:f>
        <x:v>#NAME?</x:v>
      </x:c>
      <x:c r="Q886" s="146" t="e">
        <x:f>IF(OR('实盘净值数据(iFinD公式)'!$A886="",'实盘净值数据(iFinD公式)'!$B886=""),"",分期持仓明细!$AD$25*SUMPRODUCT(分期持仓明细!$B$25:$AA$25,'实盘净值数据(iFinD公式)'!$B886:$AA886/'实盘净值数据(iFinD公式)'!$B$65:$AA$65)*(1-实盘持仓初始配置!$Z$9)^(('实盘净值数据(iFinD公式)'!$A886-'实盘净值数据(iFinD公式)'!$A$8)/365))</x:f>
        <x:v>#NAME?</x:v>
      </x:c>
      <x:c r="R886" s="152" t="e">
        <x:f>IF(OR(Q885="",Q886=""),"",Q886/Q885-1)</x:f>
        <x:v>#NAME?</x:v>
      </x:c>
      <x:c r="S886" s="152" t="e">
        <x:f>IF(Q886="","",Q886/MAX(Q$5:Q886)-1)</x:f>
        <x:v>#NAME?</x:v>
      </x:c>
    </x:row>
    <x:row r="887">
      <x:c r="A887" s="149" t="str">
        <x:f>IF('实盘净值数据(iFinD公式)'!A887="","",'实盘净值数据(iFinD公式)'!A887)</x:f>
      </x:c>
      <x:c r="B887" s="146" t="e">
        <x:f>IF(OR('实盘净值数据(iFinD公式)'!$A887="",'实盘净值数据(iFinD公式)'!$B887=""),"",分期持仓明细!$AD$17*SUMPRODUCT(分期持仓明细!$B$17:$AA$17,'实盘净值数据(iFinD公式)'!$B887:$AA887/'实盘净值数据(iFinD公式)'!$B$20:$AA$20)*(1-实盘持仓初始配置!$Z$4)^(('实盘净值数据(iFinD公式)'!$A887-'实盘净值数据(iFinD公式)'!$A$6)/365))</x:f>
        <x:v>#NAME?</x:v>
      </x:c>
      <x:c r="C887" s="152" t="e">
        <x:f>IF(OR(B886="",B887=""),"",B887/B886-1)</x:f>
        <x:v>#NAME?</x:v>
      </x:c>
      <x:c r="D887" s="152" t="e">
        <x:f>IF(B887="","",B887/MAX(B$5:B887)-1)</x:f>
        <x:v>#NAME?</x:v>
      </x:c>
      <x:c r="E887" s="146" t="e">
        <x:f>IF(OR('实盘净值数据(iFinD公式)'!$A887="",'实盘净值数据(iFinD公式)'!$B887=""),"",分期持仓明细!$AD$18*SUMPRODUCT(分期持仓明细!$B$18:$AA$18,'实盘净值数据(iFinD公式)'!$B887:$AA887/'实盘净值数据(iFinD公式)'!$B$20:$AA$20)*(1-实盘持仓初始配置!$Z$5)^(('实盘净值数据(iFinD公式)'!$A887-'实盘净值数据(iFinD公式)'!$A$5)/365))</x:f>
        <x:v>#NAME?</x:v>
      </x:c>
      <x:c r="F887" s="152" t="e">
        <x:f>IF(OR(E886="",E887=""),"",E887/E886-1)</x:f>
        <x:v>#NAME?</x:v>
      </x:c>
      <x:c r="G887" s="152" t="e">
        <x:f>IF(E887="","",E887/MAX(E$5:E887)-1)</x:f>
        <x:v>#NAME?</x:v>
      </x:c>
      <x:c r="H887" s="146" t="e">
        <x:f>IF(OR('实盘净值数据(iFinD公式)'!$A887="",'实盘净值数据(iFinD公式)'!$B887=""),"",分期持仓明细!$AD$19*SUMPRODUCT(分期持仓明细!$B$19:$AA$19,'实盘净值数据(iFinD公式)'!$B887:$AA887/'实盘净值数据(iFinD公式)'!$B$20:$AA$20)*(1-实盘持仓初始配置!$Z$6)^(('实盘净值数据(iFinD公式)'!$A887-'实盘净值数据(iFinD公式)'!$A$7)/365))</x:f>
        <x:v>#NAME?</x:v>
      </x:c>
      <x:c r="I887" s="152" t="e">
        <x:f>IF(OR(H886="",H887=""),"",H887/H886-1)</x:f>
        <x:v>#NAME?</x:v>
      </x:c>
      <x:c r="J887" s="152" t="e">
        <x:f>IF(H887="","",H887/MAX(H$5:H887)-1)</x:f>
        <x:v>#NAME?</x:v>
      </x:c>
      <x:c r="K887" s="146" t="e">
        <x:f>IF(OR('实盘净值数据(iFinD公式)'!$A887="",'实盘净值数据(iFinD公式)'!$B887=""),"",分期持仓明细!$AD$23*SUMPRODUCT(分期持仓明细!$B$23:$AA$23,'实盘净值数据(iFinD公式)'!$B887:$AA887/'实盘净值数据(iFinD公式)'!$B$65:$AA$65)*(1-实盘持仓初始配置!$Z$7)^(('实盘净值数据(iFinD公式)'!$A887-'实盘净值数据(iFinD公式)'!$A$8)/365))</x:f>
        <x:v>#NAME?</x:v>
      </x:c>
      <x:c r="L887" s="152" t="e">
        <x:f>IF(OR(K886="",K887=""),"",K887/K886-1)</x:f>
        <x:v>#NAME?</x:v>
      </x:c>
      <x:c r="M887" s="152" t="e">
        <x:f>IF(K887="","",K887/MAX(K$5:K887)-1)</x:f>
        <x:v>#NAME?</x:v>
      </x:c>
      <x:c r="N887" s="146" t="e">
        <x:f>IF(OR('实盘净值数据(iFinD公式)'!$A887="",'实盘净值数据(iFinD公式)'!$B887=""),"",分期持仓明细!$AD$24*SUMPRODUCT(分期持仓明细!$B$24:$AA$24,'实盘净值数据(iFinD公式)'!$B887:$AA887/'实盘净值数据(iFinD公式)'!$B$65:$AA$65)*(1-实盘持仓初始配置!$Z$8)^(('实盘净值数据(iFinD公式)'!$A887-'实盘净值数据(iFinD公式)'!$A$5)/365))</x:f>
        <x:v>#NAME?</x:v>
      </x:c>
      <x:c r="O887" s="152" t="e">
        <x:f>IF(OR(N886="",N887=""),"",N887/N886-1)</x:f>
        <x:v>#NAME?</x:v>
      </x:c>
      <x:c r="P887" s="152" t="e">
        <x:f>IF(N887="","",N887/MAX(N$5:N887)-1)</x:f>
        <x:v>#NAME?</x:v>
      </x:c>
      <x:c r="Q887" s="146" t="e">
        <x:f>IF(OR('实盘净值数据(iFinD公式)'!$A887="",'实盘净值数据(iFinD公式)'!$B887=""),"",分期持仓明细!$AD$25*SUMPRODUCT(分期持仓明细!$B$25:$AA$25,'实盘净值数据(iFinD公式)'!$B887:$AA887/'实盘净值数据(iFinD公式)'!$B$65:$AA$65)*(1-实盘持仓初始配置!$Z$9)^(('实盘净值数据(iFinD公式)'!$A887-'实盘净值数据(iFinD公式)'!$A$8)/365))</x:f>
        <x:v>#NAME?</x:v>
      </x:c>
      <x:c r="R887" s="152" t="e">
        <x:f>IF(OR(Q886="",Q887=""),"",Q887/Q886-1)</x:f>
        <x:v>#NAME?</x:v>
      </x:c>
      <x:c r="S887" s="152" t="e">
        <x:f>IF(Q887="","",Q887/MAX(Q$5:Q887)-1)</x:f>
        <x:v>#NAME?</x:v>
      </x:c>
    </x:row>
    <x:row r="888">
      <x:c r="A888" s="149" t="str">
        <x:f>IF('实盘净值数据(iFinD公式)'!A888="","",'实盘净值数据(iFinD公式)'!A888)</x:f>
      </x:c>
      <x:c r="B888" s="146" t="e">
        <x:f>IF(OR('实盘净值数据(iFinD公式)'!$A888="",'实盘净值数据(iFinD公式)'!$B888=""),"",分期持仓明细!$AD$17*SUMPRODUCT(分期持仓明细!$B$17:$AA$17,'实盘净值数据(iFinD公式)'!$B888:$AA888/'实盘净值数据(iFinD公式)'!$B$20:$AA$20)*(1-实盘持仓初始配置!$Z$4)^(('实盘净值数据(iFinD公式)'!$A888-'实盘净值数据(iFinD公式)'!$A$6)/365))</x:f>
        <x:v>#NAME?</x:v>
      </x:c>
      <x:c r="C888" s="152" t="e">
        <x:f>IF(OR(B887="",B888=""),"",B888/B887-1)</x:f>
        <x:v>#NAME?</x:v>
      </x:c>
      <x:c r="D888" s="152" t="e">
        <x:f>IF(B888="","",B888/MAX(B$5:B888)-1)</x:f>
        <x:v>#NAME?</x:v>
      </x:c>
      <x:c r="E888" s="146" t="e">
        <x:f>IF(OR('实盘净值数据(iFinD公式)'!$A888="",'实盘净值数据(iFinD公式)'!$B888=""),"",分期持仓明细!$AD$18*SUMPRODUCT(分期持仓明细!$B$18:$AA$18,'实盘净值数据(iFinD公式)'!$B888:$AA888/'实盘净值数据(iFinD公式)'!$B$20:$AA$20)*(1-实盘持仓初始配置!$Z$5)^(('实盘净值数据(iFinD公式)'!$A888-'实盘净值数据(iFinD公式)'!$A$5)/365))</x:f>
        <x:v>#NAME?</x:v>
      </x:c>
      <x:c r="F888" s="152" t="e">
        <x:f>IF(OR(E887="",E888=""),"",E888/E887-1)</x:f>
        <x:v>#NAME?</x:v>
      </x:c>
      <x:c r="G888" s="152" t="e">
        <x:f>IF(E888="","",E888/MAX(E$5:E888)-1)</x:f>
        <x:v>#NAME?</x:v>
      </x:c>
      <x:c r="H888" s="146" t="e">
        <x:f>IF(OR('实盘净值数据(iFinD公式)'!$A888="",'实盘净值数据(iFinD公式)'!$B888=""),"",分期持仓明细!$AD$19*SUMPRODUCT(分期持仓明细!$B$19:$AA$19,'实盘净值数据(iFinD公式)'!$B888:$AA888/'实盘净值数据(iFinD公式)'!$B$20:$AA$20)*(1-实盘持仓初始配置!$Z$6)^(('实盘净值数据(iFinD公式)'!$A888-'实盘净值数据(iFinD公式)'!$A$7)/365))</x:f>
        <x:v>#NAME?</x:v>
      </x:c>
      <x:c r="I888" s="152" t="e">
        <x:f>IF(OR(H887="",H888=""),"",H888/H887-1)</x:f>
        <x:v>#NAME?</x:v>
      </x:c>
      <x:c r="J888" s="152" t="e">
        <x:f>IF(H888="","",H888/MAX(H$5:H888)-1)</x:f>
        <x:v>#NAME?</x:v>
      </x:c>
      <x:c r="K888" s="146" t="e">
        <x:f>IF(OR('实盘净值数据(iFinD公式)'!$A888="",'实盘净值数据(iFinD公式)'!$B888=""),"",分期持仓明细!$AD$23*SUMPRODUCT(分期持仓明细!$B$23:$AA$23,'实盘净值数据(iFinD公式)'!$B888:$AA888/'实盘净值数据(iFinD公式)'!$B$65:$AA$65)*(1-实盘持仓初始配置!$Z$7)^(('实盘净值数据(iFinD公式)'!$A888-'实盘净值数据(iFinD公式)'!$A$8)/365))</x:f>
        <x:v>#NAME?</x:v>
      </x:c>
      <x:c r="L888" s="152" t="e">
        <x:f>IF(OR(K887="",K888=""),"",K888/K887-1)</x:f>
        <x:v>#NAME?</x:v>
      </x:c>
      <x:c r="M888" s="152" t="e">
        <x:f>IF(K888="","",K888/MAX(K$5:K888)-1)</x:f>
        <x:v>#NAME?</x:v>
      </x:c>
      <x:c r="N888" s="146" t="e">
        <x:f>IF(OR('实盘净值数据(iFinD公式)'!$A888="",'实盘净值数据(iFinD公式)'!$B888=""),"",分期持仓明细!$AD$24*SUMPRODUCT(分期持仓明细!$B$24:$AA$24,'实盘净值数据(iFinD公式)'!$B888:$AA888/'实盘净值数据(iFinD公式)'!$B$65:$AA$65)*(1-实盘持仓初始配置!$Z$8)^(('实盘净值数据(iFinD公式)'!$A888-'实盘净值数据(iFinD公式)'!$A$5)/365))</x:f>
        <x:v>#NAME?</x:v>
      </x:c>
      <x:c r="O888" s="152" t="e">
        <x:f>IF(OR(N887="",N888=""),"",N888/N887-1)</x:f>
        <x:v>#NAME?</x:v>
      </x:c>
      <x:c r="P888" s="152" t="e">
        <x:f>IF(N888="","",N888/MAX(N$5:N888)-1)</x:f>
        <x:v>#NAME?</x:v>
      </x:c>
      <x:c r="Q888" s="146" t="e">
        <x:f>IF(OR('实盘净值数据(iFinD公式)'!$A888="",'实盘净值数据(iFinD公式)'!$B888=""),"",分期持仓明细!$AD$25*SUMPRODUCT(分期持仓明细!$B$25:$AA$25,'实盘净值数据(iFinD公式)'!$B888:$AA888/'实盘净值数据(iFinD公式)'!$B$65:$AA$65)*(1-实盘持仓初始配置!$Z$9)^(('实盘净值数据(iFinD公式)'!$A888-'实盘净值数据(iFinD公式)'!$A$8)/365))</x:f>
        <x:v>#NAME?</x:v>
      </x:c>
      <x:c r="R888" s="152" t="e">
        <x:f>IF(OR(Q887="",Q888=""),"",Q888/Q887-1)</x:f>
        <x:v>#NAME?</x:v>
      </x:c>
      <x:c r="S888" s="152" t="e">
        <x:f>IF(Q888="","",Q888/MAX(Q$5:Q888)-1)</x:f>
        <x:v>#NAME?</x:v>
      </x:c>
    </x:row>
    <x:row r="889">
      <x:c r="A889" s="149" t="str">
        <x:f>IF('实盘净值数据(iFinD公式)'!A889="","",'实盘净值数据(iFinD公式)'!A889)</x:f>
      </x:c>
      <x:c r="B889" s="146" t="e">
        <x:f>IF(OR('实盘净值数据(iFinD公式)'!$A889="",'实盘净值数据(iFinD公式)'!$B889=""),"",分期持仓明细!$AD$17*SUMPRODUCT(分期持仓明细!$B$17:$AA$17,'实盘净值数据(iFinD公式)'!$B889:$AA889/'实盘净值数据(iFinD公式)'!$B$20:$AA$20)*(1-实盘持仓初始配置!$Z$4)^(('实盘净值数据(iFinD公式)'!$A889-'实盘净值数据(iFinD公式)'!$A$6)/365))</x:f>
        <x:v>#NAME?</x:v>
      </x:c>
      <x:c r="C889" s="152" t="e">
        <x:f>IF(OR(B888="",B889=""),"",B889/B888-1)</x:f>
        <x:v>#NAME?</x:v>
      </x:c>
      <x:c r="D889" s="152" t="e">
        <x:f>IF(B889="","",B889/MAX(B$5:B889)-1)</x:f>
        <x:v>#NAME?</x:v>
      </x:c>
      <x:c r="E889" s="146" t="e">
        <x:f>IF(OR('实盘净值数据(iFinD公式)'!$A889="",'实盘净值数据(iFinD公式)'!$B889=""),"",分期持仓明细!$AD$18*SUMPRODUCT(分期持仓明细!$B$18:$AA$18,'实盘净值数据(iFinD公式)'!$B889:$AA889/'实盘净值数据(iFinD公式)'!$B$20:$AA$20)*(1-实盘持仓初始配置!$Z$5)^(('实盘净值数据(iFinD公式)'!$A889-'实盘净值数据(iFinD公式)'!$A$5)/365))</x:f>
        <x:v>#NAME?</x:v>
      </x:c>
      <x:c r="F889" s="152" t="e">
        <x:f>IF(OR(E888="",E889=""),"",E889/E888-1)</x:f>
        <x:v>#NAME?</x:v>
      </x:c>
      <x:c r="G889" s="152" t="e">
        <x:f>IF(E889="","",E889/MAX(E$5:E889)-1)</x:f>
        <x:v>#NAME?</x:v>
      </x:c>
      <x:c r="H889" s="146" t="e">
        <x:f>IF(OR('实盘净值数据(iFinD公式)'!$A889="",'实盘净值数据(iFinD公式)'!$B889=""),"",分期持仓明细!$AD$19*SUMPRODUCT(分期持仓明细!$B$19:$AA$19,'实盘净值数据(iFinD公式)'!$B889:$AA889/'实盘净值数据(iFinD公式)'!$B$20:$AA$20)*(1-实盘持仓初始配置!$Z$6)^(('实盘净值数据(iFinD公式)'!$A889-'实盘净值数据(iFinD公式)'!$A$7)/365))</x:f>
        <x:v>#NAME?</x:v>
      </x:c>
      <x:c r="I889" s="152" t="e">
        <x:f>IF(OR(H888="",H889=""),"",H889/H888-1)</x:f>
        <x:v>#NAME?</x:v>
      </x:c>
      <x:c r="J889" s="152" t="e">
        <x:f>IF(H889="","",H889/MAX(H$5:H889)-1)</x:f>
        <x:v>#NAME?</x:v>
      </x:c>
      <x:c r="K889" s="146" t="e">
        <x:f>IF(OR('实盘净值数据(iFinD公式)'!$A889="",'实盘净值数据(iFinD公式)'!$B889=""),"",分期持仓明细!$AD$23*SUMPRODUCT(分期持仓明细!$B$23:$AA$23,'实盘净值数据(iFinD公式)'!$B889:$AA889/'实盘净值数据(iFinD公式)'!$B$65:$AA$65)*(1-实盘持仓初始配置!$Z$7)^(('实盘净值数据(iFinD公式)'!$A889-'实盘净值数据(iFinD公式)'!$A$8)/365))</x:f>
        <x:v>#NAME?</x:v>
      </x:c>
      <x:c r="L889" s="152" t="e">
        <x:f>IF(OR(K888="",K889=""),"",K889/K888-1)</x:f>
        <x:v>#NAME?</x:v>
      </x:c>
      <x:c r="M889" s="152" t="e">
        <x:f>IF(K889="","",K889/MAX(K$5:K889)-1)</x:f>
        <x:v>#NAME?</x:v>
      </x:c>
      <x:c r="N889" s="146" t="e">
        <x:f>IF(OR('实盘净值数据(iFinD公式)'!$A889="",'实盘净值数据(iFinD公式)'!$B889=""),"",分期持仓明细!$AD$24*SUMPRODUCT(分期持仓明细!$B$24:$AA$24,'实盘净值数据(iFinD公式)'!$B889:$AA889/'实盘净值数据(iFinD公式)'!$B$65:$AA$65)*(1-实盘持仓初始配置!$Z$8)^(('实盘净值数据(iFinD公式)'!$A889-'实盘净值数据(iFinD公式)'!$A$5)/365))</x:f>
        <x:v>#NAME?</x:v>
      </x:c>
      <x:c r="O889" s="152" t="e">
        <x:f>IF(OR(N888="",N889=""),"",N889/N888-1)</x:f>
        <x:v>#NAME?</x:v>
      </x:c>
      <x:c r="P889" s="152" t="e">
        <x:f>IF(N889="","",N889/MAX(N$5:N889)-1)</x:f>
        <x:v>#NAME?</x:v>
      </x:c>
      <x:c r="Q889" s="146" t="e">
        <x:f>IF(OR('实盘净值数据(iFinD公式)'!$A889="",'实盘净值数据(iFinD公式)'!$B889=""),"",分期持仓明细!$AD$25*SUMPRODUCT(分期持仓明细!$B$25:$AA$25,'实盘净值数据(iFinD公式)'!$B889:$AA889/'实盘净值数据(iFinD公式)'!$B$65:$AA$65)*(1-实盘持仓初始配置!$Z$9)^(('实盘净值数据(iFinD公式)'!$A889-'实盘净值数据(iFinD公式)'!$A$8)/365))</x:f>
        <x:v>#NAME?</x:v>
      </x:c>
      <x:c r="R889" s="152" t="e">
        <x:f>IF(OR(Q888="",Q889=""),"",Q889/Q888-1)</x:f>
        <x:v>#NAME?</x:v>
      </x:c>
      <x:c r="S889" s="152" t="e">
        <x:f>IF(Q889="","",Q889/MAX(Q$5:Q889)-1)</x:f>
        <x:v>#NAME?</x:v>
      </x:c>
    </x:row>
    <x:row r="890">
      <x:c r="A890" s="149" t="str">
        <x:f>IF('实盘净值数据(iFinD公式)'!A890="","",'实盘净值数据(iFinD公式)'!A890)</x:f>
      </x:c>
      <x:c r="B890" s="146" t="e">
        <x:f>IF(OR('实盘净值数据(iFinD公式)'!$A890="",'实盘净值数据(iFinD公式)'!$B890=""),"",分期持仓明细!$AD$17*SUMPRODUCT(分期持仓明细!$B$17:$AA$17,'实盘净值数据(iFinD公式)'!$B890:$AA890/'实盘净值数据(iFinD公式)'!$B$20:$AA$20)*(1-实盘持仓初始配置!$Z$4)^(('实盘净值数据(iFinD公式)'!$A890-'实盘净值数据(iFinD公式)'!$A$6)/365))</x:f>
        <x:v>#NAME?</x:v>
      </x:c>
      <x:c r="C890" s="152" t="e">
        <x:f>IF(OR(B889="",B890=""),"",B890/B889-1)</x:f>
        <x:v>#NAME?</x:v>
      </x:c>
      <x:c r="D890" s="152" t="e">
        <x:f>IF(B890="","",B890/MAX(B$5:B890)-1)</x:f>
        <x:v>#NAME?</x:v>
      </x:c>
      <x:c r="E890" s="146" t="e">
        <x:f>IF(OR('实盘净值数据(iFinD公式)'!$A890="",'实盘净值数据(iFinD公式)'!$B890=""),"",分期持仓明细!$AD$18*SUMPRODUCT(分期持仓明细!$B$18:$AA$18,'实盘净值数据(iFinD公式)'!$B890:$AA890/'实盘净值数据(iFinD公式)'!$B$20:$AA$20)*(1-实盘持仓初始配置!$Z$5)^(('实盘净值数据(iFinD公式)'!$A890-'实盘净值数据(iFinD公式)'!$A$5)/365))</x:f>
        <x:v>#NAME?</x:v>
      </x:c>
      <x:c r="F890" s="152" t="e">
        <x:f>IF(OR(E889="",E890=""),"",E890/E889-1)</x:f>
        <x:v>#NAME?</x:v>
      </x:c>
      <x:c r="G890" s="152" t="e">
        <x:f>IF(E890="","",E890/MAX(E$5:E890)-1)</x:f>
        <x:v>#NAME?</x:v>
      </x:c>
      <x:c r="H890" s="146" t="e">
        <x:f>IF(OR('实盘净值数据(iFinD公式)'!$A890="",'实盘净值数据(iFinD公式)'!$B890=""),"",分期持仓明细!$AD$19*SUMPRODUCT(分期持仓明细!$B$19:$AA$19,'实盘净值数据(iFinD公式)'!$B890:$AA890/'实盘净值数据(iFinD公式)'!$B$20:$AA$20)*(1-实盘持仓初始配置!$Z$6)^(('实盘净值数据(iFinD公式)'!$A890-'实盘净值数据(iFinD公式)'!$A$7)/365))</x:f>
        <x:v>#NAME?</x:v>
      </x:c>
      <x:c r="I890" s="152" t="e">
        <x:f>IF(OR(H889="",H890=""),"",H890/H889-1)</x:f>
        <x:v>#NAME?</x:v>
      </x:c>
      <x:c r="J890" s="152" t="e">
        <x:f>IF(H890="","",H890/MAX(H$5:H890)-1)</x:f>
        <x:v>#NAME?</x:v>
      </x:c>
      <x:c r="K890" s="146" t="e">
        <x:f>IF(OR('实盘净值数据(iFinD公式)'!$A890="",'实盘净值数据(iFinD公式)'!$B890=""),"",分期持仓明细!$AD$23*SUMPRODUCT(分期持仓明细!$B$23:$AA$23,'实盘净值数据(iFinD公式)'!$B890:$AA890/'实盘净值数据(iFinD公式)'!$B$65:$AA$65)*(1-实盘持仓初始配置!$Z$7)^(('实盘净值数据(iFinD公式)'!$A890-'实盘净值数据(iFinD公式)'!$A$8)/365))</x:f>
        <x:v>#NAME?</x:v>
      </x:c>
      <x:c r="L890" s="152" t="e">
        <x:f>IF(OR(K889="",K890=""),"",K890/K889-1)</x:f>
        <x:v>#NAME?</x:v>
      </x:c>
      <x:c r="M890" s="152" t="e">
        <x:f>IF(K890="","",K890/MAX(K$5:K890)-1)</x:f>
        <x:v>#NAME?</x:v>
      </x:c>
      <x:c r="N890" s="146" t="e">
        <x:f>IF(OR('实盘净值数据(iFinD公式)'!$A890="",'实盘净值数据(iFinD公式)'!$B890=""),"",分期持仓明细!$AD$24*SUMPRODUCT(分期持仓明细!$B$24:$AA$24,'实盘净值数据(iFinD公式)'!$B890:$AA890/'实盘净值数据(iFinD公式)'!$B$65:$AA$65)*(1-实盘持仓初始配置!$Z$8)^(('实盘净值数据(iFinD公式)'!$A890-'实盘净值数据(iFinD公式)'!$A$5)/365))</x:f>
        <x:v>#NAME?</x:v>
      </x:c>
      <x:c r="O890" s="152" t="e">
        <x:f>IF(OR(N889="",N890=""),"",N890/N889-1)</x:f>
        <x:v>#NAME?</x:v>
      </x:c>
      <x:c r="P890" s="152" t="e">
        <x:f>IF(N890="","",N890/MAX(N$5:N890)-1)</x:f>
        <x:v>#NAME?</x:v>
      </x:c>
      <x:c r="Q890" s="146" t="e">
        <x:f>IF(OR('实盘净值数据(iFinD公式)'!$A890="",'实盘净值数据(iFinD公式)'!$B890=""),"",分期持仓明细!$AD$25*SUMPRODUCT(分期持仓明细!$B$25:$AA$25,'实盘净值数据(iFinD公式)'!$B890:$AA890/'实盘净值数据(iFinD公式)'!$B$65:$AA$65)*(1-实盘持仓初始配置!$Z$9)^(('实盘净值数据(iFinD公式)'!$A890-'实盘净值数据(iFinD公式)'!$A$8)/365))</x:f>
        <x:v>#NAME?</x:v>
      </x:c>
      <x:c r="R890" s="152" t="e">
        <x:f>IF(OR(Q889="",Q890=""),"",Q890/Q889-1)</x:f>
        <x:v>#NAME?</x:v>
      </x:c>
      <x:c r="S890" s="152" t="e">
        <x:f>IF(Q890="","",Q890/MAX(Q$5:Q890)-1)</x:f>
        <x:v>#NAME?</x:v>
      </x:c>
    </x:row>
    <x:row r="891">
      <x:c r="A891" s="149" t="str">
        <x:f>IF('实盘净值数据(iFinD公式)'!A891="","",'实盘净值数据(iFinD公式)'!A891)</x:f>
      </x:c>
      <x:c r="B891" s="146" t="e">
        <x:f>IF(OR('实盘净值数据(iFinD公式)'!$A891="",'实盘净值数据(iFinD公式)'!$B891=""),"",分期持仓明细!$AD$17*SUMPRODUCT(分期持仓明细!$B$17:$AA$17,'实盘净值数据(iFinD公式)'!$B891:$AA891/'实盘净值数据(iFinD公式)'!$B$20:$AA$20)*(1-实盘持仓初始配置!$Z$4)^(('实盘净值数据(iFinD公式)'!$A891-'实盘净值数据(iFinD公式)'!$A$6)/365))</x:f>
        <x:v>#NAME?</x:v>
      </x:c>
      <x:c r="C891" s="152" t="e">
        <x:f>IF(OR(B890="",B891=""),"",B891/B890-1)</x:f>
        <x:v>#NAME?</x:v>
      </x:c>
      <x:c r="D891" s="152" t="e">
        <x:f>IF(B891="","",B891/MAX(B$5:B891)-1)</x:f>
        <x:v>#NAME?</x:v>
      </x:c>
      <x:c r="E891" s="146" t="e">
        <x:f>IF(OR('实盘净值数据(iFinD公式)'!$A891="",'实盘净值数据(iFinD公式)'!$B891=""),"",分期持仓明细!$AD$18*SUMPRODUCT(分期持仓明细!$B$18:$AA$18,'实盘净值数据(iFinD公式)'!$B891:$AA891/'实盘净值数据(iFinD公式)'!$B$20:$AA$20)*(1-实盘持仓初始配置!$Z$5)^(('实盘净值数据(iFinD公式)'!$A891-'实盘净值数据(iFinD公式)'!$A$5)/365))</x:f>
        <x:v>#NAME?</x:v>
      </x:c>
      <x:c r="F891" s="152" t="e">
        <x:f>IF(OR(E890="",E891=""),"",E891/E890-1)</x:f>
        <x:v>#NAME?</x:v>
      </x:c>
      <x:c r="G891" s="152" t="e">
        <x:f>IF(E891="","",E891/MAX(E$5:E891)-1)</x:f>
        <x:v>#NAME?</x:v>
      </x:c>
      <x:c r="H891" s="146" t="e">
        <x:f>IF(OR('实盘净值数据(iFinD公式)'!$A891="",'实盘净值数据(iFinD公式)'!$B891=""),"",分期持仓明细!$AD$19*SUMPRODUCT(分期持仓明细!$B$19:$AA$19,'实盘净值数据(iFinD公式)'!$B891:$AA891/'实盘净值数据(iFinD公式)'!$B$20:$AA$20)*(1-实盘持仓初始配置!$Z$6)^(('实盘净值数据(iFinD公式)'!$A891-'实盘净值数据(iFinD公式)'!$A$7)/365))</x:f>
        <x:v>#NAME?</x:v>
      </x:c>
      <x:c r="I891" s="152" t="e">
        <x:f>IF(OR(H890="",H891=""),"",H891/H890-1)</x:f>
        <x:v>#NAME?</x:v>
      </x:c>
      <x:c r="J891" s="152" t="e">
        <x:f>IF(H891="","",H891/MAX(H$5:H891)-1)</x:f>
        <x:v>#NAME?</x:v>
      </x:c>
      <x:c r="K891" s="146" t="e">
        <x:f>IF(OR('实盘净值数据(iFinD公式)'!$A891="",'实盘净值数据(iFinD公式)'!$B891=""),"",分期持仓明细!$AD$23*SUMPRODUCT(分期持仓明细!$B$23:$AA$23,'实盘净值数据(iFinD公式)'!$B891:$AA891/'实盘净值数据(iFinD公式)'!$B$65:$AA$65)*(1-实盘持仓初始配置!$Z$7)^(('实盘净值数据(iFinD公式)'!$A891-'实盘净值数据(iFinD公式)'!$A$8)/365))</x:f>
        <x:v>#NAME?</x:v>
      </x:c>
      <x:c r="L891" s="152" t="e">
        <x:f>IF(OR(K890="",K891=""),"",K891/K890-1)</x:f>
        <x:v>#NAME?</x:v>
      </x:c>
      <x:c r="M891" s="152" t="e">
        <x:f>IF(K891="","",K891/MAX(K$5:K891)-1)</x:f>
        <x:v>#NAME?</x:v>
      </x:c>
      <x:c r="N891" s="146" t="e">
        <x:f>IF(OR('实盘净值数据(iFinD公式)'!$A891="",'实盘净值数据(iFinD公式)'!$B891=""),"",分期持仓明细!$AD$24*SUMPRODUCT(分期持仓明细!$B$24:$AA$24,'实盘净值数据(iFinD公式)'!$B891:$AA891/'实盘净值数据(iFinD公式)'!$B$65:$AA$65)*(1-实盘持仓初始配置!$Z$8)^(('实盘净值数据(iFinD公式)'!$A891-'实盘净值数据(iFinD公式)'!$A$5)/365))</x:f>
        <x:v>#NAME?</x:v>
      </x:c>
      <x:c r="O891" s="152" t="e">
        <x:f>IF(OR(N890="",N891=""),"",N891/N890-1)</x:f>
        <x:v>#NAME?</x:v>
      </x:c>
      <x:c r="P891" s="152" t="e">
        <x:f>IF(N891="","",N891/MAX(N$5:N891)-1)</x:f>
        <x:v>#NAME?</x:v>
      </x:c>
      <x:c r="Q891" s="146" t="e">
        <x:f>IF(OR('实盘净值数据(iFinD公式)'!$A891="",'实盘净值数据(iFinD公式)'!$B891=""),"",分期持仓明细!$AD$25*SUMPRODUCT(分期持仓明细!$B$25:$AA$25,'实盘净值数据(iFinD公式)'!$B891:$AA891/'实盘净值数据(iFinD公式)'!$B$65:$AA$65)*(1-实盘持仓初始配置!$Z$9)^(('实盘净值数据(iFinD公式)'!$A891-'实盘净值数据(iFinD公式)'!$A$8)/365))</x:f>
        <x:v>#NAME?</x:v>
      </x:c>
      <x:c r="R891" s="152" t="e">
        <x:f>IF(OR(Q890="",Q891=""),"",Q891/Q890-1)</x:f>
        <x:v>#NAME?</x:v>
      </x:c>
      <x:c r="S891" s="152" t="e">
        <x:f>IF(Q891="","",Q891/MAX(Q$5:Q891)-1)</x:f>
        <x:v>#NAME?</x:v>
      </x:c>
    </x:row>
    <x:row r="892">
      <x:c r="A892" s="149" t="str">
        <x:f>IF('实盘净值数据(iFinD公式)'!A892="","",'实盘净值数据(iFinD公式)'!A892)</x:f>
      </x:c>
      <x:c r="B892" s="146" t="e">
        <x:f>IF(OR('实盘净值数据(iFinD公式)'!$A892="",'实盘净值数据(iFinD公式)'!$B892=""),"",分期持仓明细!$AD$17*SUMPRODUCT(分期持仓明细!$B$17:$AA$17,'实盘净值数据(iFinD公式)'!$B892:$AA892/'实盘净值数据(iFinD公式)'!$B$20:$AA$20)*(1-实盘持仓初始配置!$Z$4)^(('实盘净值数据(iFinD公式)'!$A892-'实盘净值数据(iFinD公式)'!$A$6)/365))</x:f>
        <x:v>#NAME?</x:v>
      </x:c>
      <x:c r="C892" s="152" t="e">
        <x:f>IF(OR(B891="",B892=""),"",B892/B891-1)</x:f>
        <x:v>#NAME?</x:v>
      </x:c>
      <x:c r="D892" s="152" t="e">
        <x:f>IF(B892="","",B892/MAX(B$5:B892)-1)</x:f>
        <x:v>#NAME?</x:v>
      </x:c>
      <x:c r="E892" s="146" t="e">
        <x:f>IF(OR('实盘净值数据(iFinD公式)'!$A892="",'实盘净值数据(iFinD公式)'!$B892=""),"",分期持仓明细!$AD$18*SUMPRODUCT(分期持仓明细!$B$18:$AA$18,'实盘净值数据(iFinD公式)'!$B892:$AA892/'实盘净值数据(iFinD公式)'!$B$20:$AA$20)*(1-实盘持仓初始配置!$Z$5)^(('实盘净值数据(iFinD公式)'!$A892-'实盘净值数据(iFinD公式)'!$A$5)/365))</x:f>
        <x:v>#NAME?</x:v>
      </x:c>
      <x:c r="F892" s="152" t="e">
        <x:f>IF(OR(E891="",E892=""),"",E892/E891-1)</x:f>
        <x:v>#NAME?</x:v>
      </x:c>
      <x:c r="G892" s="152" t="e">
        <x:f>IF(E892="","",E892/MAX(E$5:E892)-1)</x:f>
        <x:v>#NAME?</x:v>
      </x:c>
      <x:c r="H892" s="146" t="e">
        <x:f>IF(OR('实盘净值数据(iFinD公式)'!$A892="",'实盘净值数据(iFinD公式)'!$B892=""),"",分期持仓明细!$AD$19*SUMPRODUCT(分期持仓明细!$B$19:$AA$19,'实盘净值数据(iFinD公式)'!$B892:$AA892/'实盘净值数据(iFinD公式)'!$B$20:$AA$20)*(1-实盘持仓初始配置!$Z$6)^(('实盘净值数据(iFinD公式)'!$A892-'实盘净值数据(iFinD公式)'!$A$7)/365))</x:f>
        <x:v>#NAME?</x:v>
      </x:c>
      <x:c r="I892" s="152" t="e">
        <x:f>IF(OR(H891="",H892=""),"",H892/H891-1)</x:f>
        <x:v>#NAME?</x:v>
      </x:c>
      <x:c r="J892" s="152" t="e">
        <x:f>IF(H892="","",H892/MAX(H$5:H892)-1)</x:f>
        <x:v>#NAME?</x:v>
      </x:c>
      <x:c r="K892" s="146" t="e">
        <x:f>IF(OR('实盘净值数据(iFinD公式)'!$A892="",'实盘净值数据(iFinD公式)'!$B892=""),"",分期持仓明细!$AD$23*SUMPRODUCT(分期持仓明细!$B$23:$AA$23,'实盘净值数据(iFinD公式)'!$B892:$AA892/'实盘净值数据(iFinD公式)'!$B$65:$AA$65)*(1-实盘持仓初始配置!$Z$7)^(('实盘净值数据(iFinD公式)'!$A892-'实盘净值数据(iFinD公式)'!$A$8)/365))</x:f>
        <x:v>#NAME?</x:v>
      </x:c>
      <x:c r="L892" s="152" t="e">
        <x:f>IF(OR(K891="",K892=""),"",K892/K891-1)</x:f>
        <x:v>#NAME?</x:v>
      </x:c>
      <x:c r="M892" s="152" t="e">
        <x:f>IF(K892="","",K892/MAX(K$5:K892)-1)</x:f>
        <x:v>#NAME?</x:v>
      </x:c>
      <x:c r="N892" s="146" t="e">
        <x:f>IF(OR('实盘净值数据(iFinD公式)'!$A892="",'实盘净值数据(iFinD公式)'!$B892=""),"",分期持仓明细!$AD$24*SUMPRODUCT(分期持仓明细!$B$24:$AA$24,'实盘净值数据(iFinD公式)'!$B892:$AA892/'实盘净值数据(iFinD公式)'!$B$65:$AA$65)*(1-实盘持仓初始配置!$Z$8)^(('实盘净值数据(iFinD公式)'!$A892-'实盘净值数据(iFinD公式)'!$A$5)/365))</x:f>
        <x:v>#NAME?</x:v>
      </x:c>
      <x:c r="O892" s="152" t="e">
        <x:f>IF(OR(N891="",N892=""),"",N892/N891-1)</x:f>
        <x:v>#NAME?</x:v>
      </x:c>
      <x:c r="P892" s="152" t="e">
        <x:f>IF(N892="","",N892/MAX(N$5:N892)-1)</x:f>
        <x:v>#NAME?</x:v>
      </x:c>
      <x:c r="Q892" s="146" t="e">
        <x:f>IF(OR('实盘净值数据(iFinD公式)'!$A892="",'实盘净值数据(iFinD公式)'!$B892=""),"",分期持仓明细!$AD$25*SUMPRODUCT(分期持仓明细!$B$25:$AA$25,'实盘净值数据(iFinD公式)'!$B892:$AA892/'实盘净值数据(iFinD公式)'!$B$65:$AA$65)*(1-实盘持仓初始配置!$Z$9)^(('实盘净值数据(iFinD公式)'!$A892-'实盘净值数据(iFinD公式)'!$A$8)/365))</x:f>
        <x:v>#NAME?</x:v>
      </x:c>
      <x:c r="R892" s="152" t="e">
        <x:f>IF(OR(Q891="",Q892=""),"",Q892/Q891-1)</x:f>
        <x:v>#NAME?</x:v>
      </x:c>
      <x:c r="S892" s="152" t="e">
        <x:f>IF(Q892="","",Q892/MAX(Q$5:Q892)-1)</x:f>
        <x:v>#NAME?</x:v>
      </x:c>
    </x:row>
    <x:row r="893">
      <x:c r="A893" s="149" t="str">
        <x:f>IF('实盘净值数据(iFinD公式)'!A893="","",'实盘净值数据(iFinD公式)'!A893)</x:f>
      </x:c>
      <x:c r="B893" s="146" t="e">
        <x:f>IF(OR('实盘净值数据(iFinD公式)'!$A893="",'实盘净值数据(iFinD公式)'!$B893=""),"",分期持仓明细!$AD$17*SUMPRODUCT(分期持仓明细!$B$17:$AA$17,'实盘净值数据(iFinD公式)'!$B893:$AA893/'实盘净值数据(iFinD公式)'!$B$20:$AA$20)*(1-实盘持仓初始配置!$Z$4)^(('实盘净值数据(iFinD公式)'!$A893-'实盘净值数据(iFinD公式)'!$A$6)/365))</x:f>
        <x:v>#NAME?</x:v>
      </x:c>
      <x:c r="C893" s="152" t="e">
        <x:f>IF(OR(B892="",B893=""),"",B893/B892-1)</x:f>
        <x:v>#NAME?</x:v>
      </x:c>
      <x:c r="D893" s="152" t="e">
        <x:f>IF(B893="","",B893/MAX(B$5:B893)-1)</x:f>
        <x:v>#NAME?</x:v>
      </x:c>
      <x:c r="E893" s="146" t="e">
        <x:f>IF(OR('实盘净值数据(iFinD公式)'!$A893="",'实盘净值数据(iFinD公式)'!$B893=""),"",分期持仓明细!$AD$18*SUMPRODUCT(分期持仓明细!$B$18:$AA$18,'实盘净值数据(iFinD公式)'!$B893:$AA893/'实盘净值数据(iFinD公式)'!$B$20:$AA$20)*(1-实盘持仓初始配置!$Z$5)^(('实盘净值数据(iFinD公式)'!$A893-'实盘净值数据(iFinD公式)'!$A$5)/365))</x:f>
        <x:v>#NAME?</x:v>
      </x:c>
      <x:c r="F893" s="152" t="e">
        <x:f>IF(OR(E892="",E893=""),"",E893/E892-1)</x:f>
        <x:v>#NAME?</x:v>
      </x:c>
      <x:c r="G893" s="152" t="e">
        <x:f>IF(E893="","",E893/MAX(E$5:E893)-1)</x:f>
        <x:v>#NAME?</x:v>
      </x:c>
      <x:c r="H893" s="146" t="e">
        <x:f>IF(OR('实盘净值数据(iFinD公式)'!$A893="",'实盘净值数据(iFinD公式)'!$B893=""),"",分期持仓明细!$AD$19*SUMPRODUCT(分期持仓明细!$B$19:$AA$19,'实盘净值数据(iFinD公式)'!$B893:$AA893/'实盘净值数据(iFinD公式)'!$B$20:$AA$20)*(1-实盘持仓初始配置!$Z$6)^(('实盘净值数据(iFinD公式)'!$A893-'实盘净值数据(iFinD公式)'!$A$7)/365))</x:f>
        <x:v>#NAME?</x:v>
      </x:c>
      <x:c r="I893" s="152" t="e">
        <x:f>IF(OR(H892="",H893=""),"",H893/H892-1)</x:f>
        <x:v>#NAME?</x:v>
      </x:c>
      <x:c r="J893" s="152" t="e">
        <x:f>IF(H893="","",H893/MAX(H$5:H893)-1)</x:f>
        <x:v>#NAME?</x:v>
      </x:c>
      <x:c r="K893" s="146" t="e">
        <x:f>IF(OR('实盘净值数据(iFinD公式)'!$A893="",'实盘净值数据(iFinD公式)'!$B893=""),"",分期持仓明细!$AD$23*SUMPRODUCT(分期持仓明细!$B$23:$AA$23,'实盘净值数据(iFinD公式)'!$B893:$AA893/'实盘净值数据(iFinD公式)'!$B$65:$AA$65)*(1-实盘持仓初始配置!$Z$7)^(('实盘净值数据(iFinD公式)'!$A893-'实盘净值数据(iFinD公式)'!$A$8)/365))</x:f>
        <x:v>#NAME?</x:v>
      </x:c>
      <x:c r="L893" s="152" t="e">
        <x:f>IF(OR(K892="",K893=""),"",K893/K892-1)</x:f>
        <x:v>#NAME?</x:v>
      </x:c>
      <x:c r="M893" s="152" t="e">
        <x:f>IF(K893="","",K893/MAX(K$5:K893)-1)</x:f>
        <x:v>#NAME?</x:v>
      </x:c>
      <x:c r="N893" s="146" t="e">
        <x:f>IF(OR('实盘净值数据(iFinD公式)'!$A893="",'实盘净值数据(iFinD公式)'!$B893=""),"",分期持仓明细!$AD$24*SUMPRODUCT(分期持仓明细!$B$24:$AA$24,'实盘净值数据(iFinD公式)'!$B893:$AA893/'实盘净值数据(iFinD公式)'!$B$65:$AA$65)*(1-实盘持仓初始配置!$Z$8)^(('实盘净值数据(iFinD公式)'!$A893-'实盘净值数据(iFinD公式)'!$A$5)/365))</x:f>
        <x:v>#NAME?</x:v>
      </x:c>
      <x:c r="O893" s="152" t="e">
        <x:f>IF(OR(N892="",N893=""),"",N893/N892-1)</x:f>
        <x:v>#NAME?</x:v>
      </x:c>
      <x:c r="P893" s="152" t="e">
        <x:f>IF(N893="","",N893/MAX(N$5:N893)-1)</x:f>
        <x:v>#NAME?</x:v>
      </x:c>
      <x:c r="Q893" s="146" t="e">
        <x:f>IF(OR('实盘净值数据(iFinD公式)'!$A893="",'实盘净值数据(iFinD公式)'!$B893=""),"",分期持仓明细!$AD$25*SUMPRODUCT(分期持仓明细!$B$25:$AA$25,'实盘净值数据(iFinD公式)'!$B893:$AA893/'实盘净值数据(iFinD公式)'!$B$65:$AA$65)*(1-实盘持仓初始配置!$Z$9)^(('实盘净值数据(iFinD公式)'!$A893-'实盘净值数据(iFinD公式)'!$A$8)/365))</x:f>
        <x:v>#NAME?</x:v>
      </x:c>
      <x:c r="R893" s="152" t="e">
        <x:f>IF(OR(Q892="",Q893=""),"",Q893/Q892-1)</x:f>
        <x:v>#NAME?</x:v>
      </x:c>
      <x:c r="S893" s="152" t="e">
        <x:f>IF(Q893="","",Q893/MAX(Q$5:Q893)-1)</x:f>
        <x:v>#NAME?</x:v>
      </x:c>
    </x:row>
    <x:row r="894">
      <x:c r="A894" s="149" t="str">
        <x:f>IF('实盘净值数据(iFinD公式)'!A894="","",'实盘净值数据(iFinD公式)'!A894)</x:f>
      </x:c>
      <x:c r="B894" s="146" t="e">
        <x:f>IF(OR('实盘净值数据(iFinD公式)'!$A894="",'实盘净值数据(iFinD公式)'!$B894=""),"",分期持仓明细!$AD$17*SUMPRODUCT(分期持仓明细!$B$17:$AA$17,'实盘净值数据(iFinD公式)'!$B894:$AA894/'实盘净值数据(iFinD公式)'!$B$20:$AA$20)*(1-实盘持仓初始配置!$Z$4)^(('实盘净值数据(iFinD公式)'!$A894-'实盘净值数据(iFinD公式)'!$A$6)/365))</x:f>
        <x:v>#NAME?</x:v>
      </x:c>
      <x:c r="C894" s="152" t="e">
        <x:f>IF(OR(B893="",B894=""),"",B894/B893-1)</x:f>
        <x:v>#NAME?</x:v>
      </x:c>
      <x:c r="D894" s="152" t="e">
        <x:f>IF(B894="","",B894/MAX(B$5:B894)-1)</x:f>
        <x:v>#NAME?</x:v>
      </x:c>
      <x:c r="E894" s="146" t="e">
        <x:f>IF(OR('实盘净值数据(iFinD公式)'!$A894="",'实盘净值数据(iFinD公式)'!$B894=""),"",分期持仓明细!$AD$18*SUMPRODUCT(分期持仓明细!$B$18:$AA$18,'实盘净值数据(iFinD公式)'!$B894:$AA894/'实盘净值数据(iFinD公式)'!$B$20:$AA$20)*(1-实盘持仓初始配置!$Z$5)^(('实盘净值数据(iFinD公式)'!$A894-'实盘净值数据(iFinD公式)'!$A$5)/365))</x:f>
        <x:v>#NAME?</x:v>
      </x:c>
      <x:c r="F894" s="152" t="e">
        <x:f>IF(OR(E893="",E894=""),"",E894/E893-1)</x:f>
        <x:v>#NAME?</x:v>
      </x:c>
      <x:c r="G894" s="152" t="e">
        <x:f>IF(E894="","",E894/MAX(E$5:E894)-1)</x:f>
        <x:v>#NAME?</x:v>
      </x:c>
      <x:c r="H894" s="146" t="e">
        <x:f>IF(OR('实盘净值数据(iFinD公式)'!$A894="",'实盘净值数据(iFinD公式)'!$B894=""),"",分期持仓明细!$AD$19*SUMPRODUCT(分期持仓明细!$B$19:$AA$19,'实盘净值数据(iFinD公式)'!$B894:$AA894/'实盘净值数据(iFinD公式)'!$B$20:$AA$20)*(1-实盘持仓初始配置!$Z$6)^(('实盘净值数据(iFinD公式)'!$A894-'实盘净值数据(iFinD公式)'!$A$7)/365))</x:f>
        <x:v>#NAME?</x:v>
      </x:c>
      <x:c r="I894" s="152" t="e">
        <x:f>IF(OR(H893="",H894=""),"",H894/H893-1)</x:f>
        <x:v>#NAME?</x:v>
      </x:c>
      <x:c r="J894" s="152" t="e">
        <x:f>IF(H894="","",H894/MAX(H$5:H894)-1)</x:f>
        <x:v>#NAME?</x:v>
      </x:c>
      <x:c r="K894" s="146" t="e">
        <x:f>IF(OR('实盘净值数据(iFinD公式)'!$A894="",'实盘净值数据(iFinD公式)'!$B894=""),"",分期持仓明细!$AD$23*SUMPRODUCT(分期持仓明细!$B$23:$AA$23,'实盘净值数据(iFinD公式)'!$B894:$AA894/'实盘净值数据(iFinD公式)'!$B$65:$AA$65)*(1-实盘持仓初始配置!$Z$7)^(('实盘净值数据(iFinD公式)'!$A894-'实盘净值数据(iFinD公式)'!$A$8)/365))</x:f>
        <x:v>#NAME?</x:v>
      </x:c>
      <x:c r="L894" s="152" t="e">
        <x:f>IF(OR(K893="",K894=""),"",K894/K893-1)</x:f>
        <x:v>#NAME?</x:v>
      </x:c>
      <x:c r="M894" s="152" t="e">
        <x:f>IF(K894="","",K894/MAX(K$5:K894)-1)</x:f>
        <x:v>#NAME?</x:v>
      </x:c>
      <x:c r="N894" s="146" t="e">
        <x:f>IF(OR('实盘净值数据(iFinD公式)'!$A894="",'实盘净值数据(iFinD公式)'!$B894=""),"",分期持仓明细!$AD$24*SUMPRODUCT(分期持仓明细!$B$24:$AA$24,'实盘净值数据(iFinD公式)'!$B894:$AA894/'实盘净值数据(iFinD公式)'!$B$65:$AA$65)*(1-实盘持仓初始配置!$Z$8)^(('实盘净值数据(iFinD公式)'!$A894-'实盘净值数据(iFinD公式)'!$A$5)/365))</x:f>
        <x:v>#NAME?</x:v>
      </x:c>
      <x:c r="O894" s="152" t="e">
        <x:f>IF(OR(N893="",N894=""),"",N894/N893-1)</x:f>
        <x:v>#NAME?</x:v>
      </x:c>
      <x:c r="P894" s="152" t="e">
        <x:f>IF(N894="","",N894/MAX(N$5:N894)-1)</x:f>
        <x:v>#NAME?</x:v>
      </x:c>
      <x:c r="Q894" s="146" t="e">
        <x:f>IF(OR('实盘净值数据(iFinD公式)'!$A894="",'实盘净值数据(iFinD公式)'!$B894=""),"",分期持仓明细!$AD$25*SUMPRODUCT(分期持仓明细!$B$25:$AA$25,'实盘净值数据(iFinD公式)'!$B894:$AA894/'实盘净值数据(iFinD公式)'!$B$65:$AA$65)*(1-实盘持仓初始配置!$Z$9)^(('实盘净值数据(iFinD公式)'!$A894-'实盘净值数据(iFinD公式)'!$A$8)/365))</x:f>
        <x:v>#NAME?</x:v>
      </x:c>
      <x:c r="R894" s="152" t="e">
        <x:f>IF(OR(Q893="",Q894=""),"",Q894/Q893-1)</x:f>
        <x:v>#NAME?</x:v>
      </x:c>
      <x:c r="S894" s="152" t="e">
        <x:f>IF(Q894="","",Q894/MAX(Q$5:Q894)-1)</x:f>
        <x:v>#NAME?</x:v>
      </x:c>
    </x:row>
    <x:row r="895">
      <x:c r="A895" s="149" t="str">
        <x:f>IF('实盘净值数据(iFinD公式)'!A895="","",'实盘净值数据(iFinD公式)'!A895)</x:f>
      </x:c>
      <x:c r="B895" s="146" t="e">
        <x:f>IF(OR('实盘净值数据(iFinD公式)'!$A895="",'实盘净值数据(iFinD公式)'!$B895=""),"",分期持仓明细!$AD$17*SUMPRODUCT(分期持仓明细!$B$17:$AA$17,'实盘净值数据(iFinD公式)'!$B895:$AA895/'实盘净值数据(iFinD公式)'!$B$20:$AA$20)*(1-实盘持仓初始配置!$Z$4)^(('实盘净值数据(iFinD公式)'!$A895-'实盘净值数据(iFinD公式)'!$A$6)/365))</x:f>
        <x:v>#NAME?</x:v>
      </x:c>
      <x:c r="C895" s="152" t="e">
        <x:f>IF(OR(B894="",B895=""),"",B895/B894-1)</x:f>
        <x:v>#NAME?</x:v>
      </x:c>
      <x:c r="D895" s="152" t="e">
        <x:f>IF(B895="","",B895/MAX(B$5:B895)-1)</x:f>
        <x:v>#NAME?</x:v>
      </x:c>
      <x:c r="E895" s="146" t="e">
        <x:f>IF(OR('实盘净值数据(iFinD公式)'!$A895="",'实盘净值数据(iFinD公式)'!$B895=""),"",分期持仓明细!$AD$18*SUMPRODUCT(分期持仓明细!$B$18:$AA$18,'实盘净值数据(iFinD公式)'!$B895:$AA895/'实盘净值数据(iFinD公式)'!$B$20:$AA$20)*(1-实盘持仓初始配置!$Z$5)^(('实盘净值数据(iFinD公式)'!$A895-'实盘净值数据(iFinD公式)'!$A$5)/365))</x:f>
        <x:v>#NAME?</x:v>
      </x:c>
      <x:c r="F895" s="152" t="e">
        <x:f>IF(OR(E894="",E895=""),"",E895/E894-1)</x:f>
        <x:v>#NAME?</x:v>
      </x:c>
      <x:c r="G895" s="152" t="e">
        <x:f>IF(E895="","",E895/MAX(E$5:E895)-1)</x:f>
        <x:v>#NAME?</x:v>
      </x:c>
      <x:c r="H895" s="146" t="e">
        <x:f>IF(OR('实盘净值数据(iFinD公式)'!$A895="",'实盘净值数据(iFinD公式)'!$B895=""),"",分期持仓明细!$AD$19*SUMPRODUCT(分期持仓明细!$B$19:$AA$19,'实盘净值数据(iFinD公式)'!$B895:$AA895/'实盘净值数据(iFinD公式)'!$B$20:$AA$20)*(1-实盘持仓初始配置!$Z$6)^(('实盘净值数据(iFinD公式)'!$A895-'实盘净值数据(iFinD公式)'!$A$7)/365))</x:f>
        <x:v>#NAME?</x:v>
      </x:c>
      <x:c r="I895" s="152" t="e">
        <x:f>IF(OR(H894="",H895=""),"",H895/H894-1)</x:f>
        <x:v>#NAME?</x:v>
      </x:c>
      <x:c r="J895" s="152" t="e">
        <x:f>IF(H895="","",H895/MAX(H$5:H895)-1)</x:f>
        <x:v>#NAME?</x:v>
      </x:c>
      <x:c r="K895" s="146" t="e">
        <x:f>IF(OR('实盘净值数据(iFinD公式)'!$A895="",'实盘净值数据(iFinD公式)'!$B895=""),"",分期持仓明细!$AD$23*SUMPRODUCT(分期持仓明细!$B$23:$AA$23,'实盘净值数据(iFinD公式)'!$B895:$AA895/'实盘净值数据(iFinD公式)'!$B$65:$AA$65)*(1-实盘持仓初始配置!$Z$7)^(('实盘净值数据(iFinD公式)'!$A895-'实盘净值数据(iFinD公式)'!$A$8)/365))</x:f>
        <x:v>#NAME?</x:v>
      </x:c>
      <x:c r="L895" s="152" t="e">
        <x:f>IF(OR(K894="",K895=""),"",K895/K894-1)</x:f>
        <x:v>#NAME?</x:v>
      </x:c>
      <x:c r="M895" s="152" t="e">
        <x:f>IF(K895="","",K895/MAX(K$5:K895)-1)</x:f>
        <x:v>#NAME?</x:v>
      </x:c>
      <x:c r="N895" s="146" t="e">
        <x:f>IF(OR('实盘净值数据(iFinD公式)'!$A895="",'实盘净值数据(iFinD公式)'!$B895=""),"",分期持仓明细!$AD$24*SUMPRODUCT(分期持仓明细!$B$24:$AA$24,'实盘净值数据(iFinD公式)'!$B895:$AA895/'实盘净值数据(iFinD公式)'!$B$65:$AA$65)*(1-实盘持仓初始配置!$Z$8)^(('实盘净值数据(iFinD公式)'!$A895-'实盘净值数据(iFinD公式)'!$A$5)/365))</x:f>
        <x:v>#NAME?</x:v>
      </x:c>
      <x:c r="O895" s="152" t="e">
        <x:f>IF(OR(N894="",N895=""),"",N895/N894-1)</x:f>
        <x:v>#NAME?</x:v>
      </x:c>
      <x:c r="P895" s="152" t="e">
        <x:f>IF(N895="","",N895/MAX(N$5:N895)-1)</x:f>
        <x:v>#NAME?</x:v>
      </x:c>
      <x:c r="Q895" s="146" t="e">
        <x:f>IF(OR('实盘净值数据(iFinD公式)'!$A895="",'实盘净值数据(iFinD公式)'!$B895=""),"",分期持仓明细!$AD$25*SUMPRODUCT(分期持仓明细!$B$25:$AA$25,'实盘净值数据(iFinD公式)'!$B895:$AA895/'实盘净值数据(iFinD公式)'!$B$65:$AA$65)*(1-实盘持仓初始配置!$Z$9)^(('实盘净值数据(iFinD公式)'!$A895-'实盘净值数据(iFinD公式)'!$A$8)/365))</x:f>
        <x:v>#NAME?</x:v>
      </x:c>
      <x:c r="R895" s="152" t="e">
        <x:f>IF(OR(Q894="",Q895=""),"",Q895/Q894-1)</x:f>
        <x:v>#NAME?</x:v>
      </x:c>
      <x:c r="S895" s="152" t="e">
        <x:f>IF(Q895="","",Q895/MAX(Q$5:Q895)-1)</x:f>
        <x:v>#NAME?</x:v>
      </x:c>
    </x:row>
    <x:row r="896">
      <x:c r="A896" s="149" t="str">
        <x:f>IF('实盘净值数据(iFinD公式)'!A896="","",'实盘净值数据(iFinD公式)'!A896)</x:f>
      </x:c>
      <x:c r="B896" s="146" t="e">
        <x:f>IF(OR('实盘净值数据(iFinD公式)'!$A896="",'实盘净值数据(iFinD公式)'!$B896=""),"",分期持仓明细!$AD$17*SUMPRODUCT(分期持仓明细!$B$17:$AA$17,'实盘净值数据(iFinD公式)'!$B896:$AA896/'实盘净值数据(iFinD公式)'!$B$20:$AA$20)*(1-实盘持仓初始配置!$Z$4)^(('实盘净值数据(iFinD公式)'!$A896-'实盘净值数据(iFinD公式)'!$A$6)/365))</x:f>
        <x:v>#NAME?</x:v>
      </x:c>
      <x:c r="C896" s="152" t="e">
        <x:f>IF(OR(B895="",B896=""),"",B896/B895-1)</x:f>
        <x:v>#NAME?</x:v>
      </x:c>
      <x:c r="D896" s="152" t="e">
        <x:f>IF(B896="","",B896/MAX(B$5:B896)-1)</x:f>
        <x:v>#NAME?</x:v>
      </x:c>
      <x:c r="E896" s="146" t="e">
        <x:f>IF(OR('实盘净值数据(iFinD公式)'!$A896="",'实盘净值数据(iFinD公式)'!$B896=""),"",分期持仓明细!$AD$18*SUMPRODUCT(分期持仓明细!$B$18:$AA$18,'实盘净值数据(iFinD公式)'!$B896:$AA896/'实盘净值数据(iFinD公式)'!$B$20:$AA$20)*(1-实盘持仓初始配置!$Z$5)^(('实盘净值数据(iFinD公式)'!$A896-'实盘净值数据(iFinD公式)'!$A$5)/365))</x:f>
        <x:v>#NAME?</x:v>
      </x:c>
      <x:c r="F896" s="152" t="e">
        <x:f>IF(OR(E895="",E896=""),"",E896/E895-1)</x:f>
        <x:v>#NAME?</x:v>
      </x:c>
      <x:c r="G896" s="152" t="e">
        <x:f>IF(E896="","",E896/MAX(E$5:E896)-1)</x:f>
        <x:v>#NAME?</x:v>
      </x:c>
      <x:c r="H896" s="146" t="e">
        <x:f>IF(OR('实盘净值数据(iFinD公式)'!$A896="",'实盘净值数据(iFinD公式)'!$B896=""),"",分期持仓明细!$AD$19*SUMPRODUCT(分期持仓明细!$B$19:$AA$19,'实盘净值数据(iFinD公式)'!$B896:$AA896/'实盘净值数据(iFinD公式)'!$B$20:$AA$20)*(1-实盘持仓初始配置!$Z$6)^(('实盘净值数据(iFinD公式)'!$A896-'实盘净值数据(iFinD公式)'!$A$7)/365))</x:f>
        <x:v>#NAME?</x:v>
      </x:c>
      <x:c r="I896" s="152" t="e">
        <x:f>IF(OR(H895="",H896=""),"",H896/H895-1)</x:f>
        <x:v>#NAME?</x:v>
      </x:c>
      <x:c r="J896" s="152" t="e">
        <x:f>IF(H896="","",H896/MAX(H$5:H896)-1)</x:f>
        <x:v>#NAME?</x:v>
      </x:c>
      <x:c r="K896" s="146" t="e">
        <x:f>IF(OR('实盘净值数据(iFinD公式)'!$A896="",'实盘净值数据(iFinD公式)'!$B896=""),"",分期持仓明细!$AD$23*SUMPRODUCT(分期持仓明细!$B$23:$AA$23,'实盘净值数据(iFinD公式)'!$B896:$AA896/'实盘净值数据(iFinD公式)'!$B$65:$AA$65)*(1-实盘持仓初始配置!$Z$7)^(('实盘净值数据(iFinD公式)'!$A896-'实盘净值数据(iFinD公式)'!$A$8)/365))</x:f>
        <x:v>#NAME?</x:v>
      </x:c>
      <x:c r="L896" s="152" t="e">
        <x:f>IF(OR(K895="",K896=""),"",K896/K895-1)</x:f>
        <x:v>#NAME?</x:v>
      </x:c>
      <x:c r="M896" s="152" t="e">
        <x:f>IF(K896="","",K896/MAX(K$5:K896)-1)</x:f>
        <x:v>#NAME?</x:v>
      </x:c>
      <x:c r="N896" s="146" t="e">
        <x:f>IF(OR('实盘净值数据(iFinD公式)'!$A896="",'实盘净值数据(iFinD公式)'!$B896=""),"",分期持仓明细!$AD$24*SUMPRODUCT(分期持仓明细!$B$24:$AA$24,'实盘净值数据(iFinD公式)'!$B896:$AA896/'实盘净值数据(iFinD公式)'!$B$65:$AA$65)*(1-实盘持仓初始配置!$Z$8)^(('实盘净值数据(iFinD公式)'!$A896-'实盘净值数据(iFinD公式)'!$A$5)/365))</x:f>
        <x:v>#NAME?</x:v>
      </x:c>
      <x:c r="O896" s="152" t="e">
        <x:f>IF(OR(N895="",N896=""),"",N896/N895-1)</x:f>
        <x:v>#NAME?</x:v>
      </x:c>
      <x:c r="P896" s="152" t="e">
        <x:f>IF(N896="","",N896/MAX(N$5:N896)-1)</x:f>
        <x:v>#NAME?</x:v>
      </x:c>
      <x:c r="Q896" s="146" t="e">
        <x:f>IF(OR('实盘净值数据(iFinD公式)'!$A896="",'实盘净值数据(iFinD公式)'!$B896=""),"",分期持仓明细!$AD$25*SUMPRODUCT(分期持仓明细!$B$25:$AA$25,'实盘净值数据(iFinD公式)'!$B896:$AA896/'实盘净值数据(iFinD公式)'!$B$65:$AA$65)*(1-实盘持仓初始配置!$Z$9)^(('实盘净值数据(iFinD公式)'!$A896-'实盘净值数据(iFinD公式)'!$A$8)/365))</x:f>
        <x:v>#NAME?</x:v>
      </x:c>
      <x:c r="R896" s="152" t="e">
        <x:f>IF(OR(Q895="",Q896=""),"",Q896/Q895-1)</x:f>
        <x:v>#NAME?</x:v>
      </x:c>
      <x:c r="S896" s="152" t="e">
        <x:f>IF(Q896="","",Q896/MAX(Q$5:Q896)-1)</x:f>
        <x:v>#NAME?</x:v>
      </x:c>
    </x:row>
    <x:row r="897">
      <x:c r="A897" s="149" t="str">
        <x:f>IF('实盘净值数据(iFinD公式)'!A897="","",'实盘净值数据(iFinD公式)'!A897)</x:f>
      </x:c>
      <x:c r="B897" s="146" t="e">
        <x:f>IF(OR('实盘净值数据(iFinD公式)'!$A897="",'实盘净值数据(iFinD公式)'!$B897=""),"",分期持仓明细!$AD$17*SUMPRODUCT(分期持仓明细!$B$17:$AA$17,'实盘净值数据(iFinD公式)'!$B897:$AA897/'实盘净值数据(iFinD公式)'!$B$20:$AA$20)*(1-实盘持仓初始配置!$Z$4)^(('实盘净值数据(iFinD公式)'!$A897-'实盘净值数据(iFinD公式)'!$A$6)/365))</x:f>
        <x:v>#NAME?</x:v>
      </x:c>
      <x:c r="C897" s="152" t="e">
        <x:f>IF(OR(B896="",B897=""),"",B897/B896-1)</x:f>
        <x:v>#NAME?</x:v>
      </x:c>
      <x:c r="D897" s="152" t="e">
        <x:f>IF(B897="","",B897/MAX(B$5:B897)-1)</x:f>
        <x:v>#NAME?</x:v>
      </x:c>
      <x:c r="E897" s="146" t="e">
        <x:f>IF(OR('实盘净值数据(iFinD公式)'!$A897="",'实盘净值数据(iFinD公式)'!$B897=""),"",分期持仓明细!$AD$18*SUMPRODUCT(分期持仓明细!$B$18:$AA$18,'实盘净值数据(iFinD公式)'!$B897:$AA897/'实盘净值数据(iFinD公式)'!$B$20:$AA$20)*(1-实盘持仓初始配置!$Z$5)^(('实盘净值数据(iFinD公式)'!$A897-'实盘净值数据(iFinD公式)'!$A$5)/365))</x:f>
        <x:v>#NAME?</x:v>
      </x:c>
      <x:c r="F897" s="152" t="e">
        <x:f>IF(OR(E896="",E897=""),"",E897/E896-1)</x:f>
        <x:v>#NAME?</x:v>
      </x:c>
      <x:c r="G897" s="152" t="e">
        <x:f>IF(E897="","",E897/MAX(E$5:E897)-1)</x:f>
        <x:v>#NAME?</x:v>
      </x:c>
      <x:c r="H897" s="146" t="e">
        <x:f>IF(OR('实盘净值数据(iFinD公式)'!$A897="",'实盘净值数据(iFinD公式)'!$B897=""),"",分期持仓明细!$AD$19*SUMPRODUCT(分期持仓明细!$B$19:$AA$19,'实盘净值数据(iFinD公式)'!$B897:$AA897/'实盘净值数据(iFinD公式)'!$B$20:$AA$20)*(1-实盘持仓初始配置!$Z$6)^(('实盘净值数据(iFinD公式)'!$A897-'实盘净值数据(iFinD公式)'!$A$7)/365))</x:f>
        <x:v>#NAME?</x:v>
      </x:c>
      <x:c r="I897" s="152" t="e">
        <x:f>IF(OR(H896="",H897=""),"",H897/H896-1)</x:f>
        <x:v>#NAME?</x:v>
      </x:c>
      <x:c r="J897" s="152" t="e">
        <x:f>IF(H897="","",H897/MAX(H$5:H897)-1)</x:f>
        <x:v>#NAME?</x:v>
      </x:c>
      <x:c r="K897" s="146" t="e">
        <x:f>IF(OR('实盘净值数据(iFinD公式)'!$A897="",'实盘净值数据(iFinD公式)'!$B897=""),"",分期持仓明细!$AD$23*SUMPRODUCT(分期持仓明细!$B$23:$AA$23,'实盘净值数据(iFinD公式)'!$B897:$AA897/'实盘净值数据(iFinD公式)'!$B$65:$AA$65)*(1-实盘持仓初始配置!$Z$7)^(('实盘净值数据(iFinD公式)'!$A897-'实盘净值数据(iFinD公式)'!$A$8)/365))</x:f>
        <x:v>#NAME?</x:v>
      </x:c>
      <x:c r="L897" s="152" t="e">
        <x:f>IF(OR(K896="",K897=""),"",K897/K896-1)</x:f>
        <x:v>#NAME?</x:v>
      </x:c>
      <x:c r="M897" s="152" t="e">
        <x:f>IF(K897="","",K897/MAX(K$5:K897)-1)</x:f>
        <x:v>#NAME?</x:v>
      </x:c>
      <x:c r="N897" s="146" t="e">
        <x:f>IF(OR('实盘净值数据(iFinD公式)'!$A897="",'实盘净值数据(iFinD公式)'!$B897=""),"",分期持仓明细!$AD$24*SUMPRODUCT(分期持仓明细!$B$24:$AA$24,'实盘净值数据(iFinD公式)'!$B897:$AA897/'实盘净值数据(iFinD公式)'!$B$65:$AA$65)*(1-实盘持仓初始配置!$Z$8)^(('实盘净值数据(iFinD公式)'!$A897-'实盘净值数据(iFinD公式)'!$A$5)/365))</x:f>
        <x:v>#NAME?</x:v>
      </x:c>
      <x:c r="O897" s="152" t="e">
        <x:f>IF(OR(N896="",N897=""),"",N897/N896-1)</x:f>
        <x:v>#NAME?</x:v>
      </x:c>
      <x:c r="P897" s="152" t="e">
        <x:f>IF(N897="","",N897/MAX(N$5:N897)-1)</x:f>
        <x:v>#NAME?</x:v>
      </x:c>
      <x:c r="Q897" s="146" t="e">
        <x:f>IF(OR('实盘净值数据(iFinD公式)'!$A897="",'实盘净值数据(iFinD公式)'!$B897=""),"",分期持仓明细!$AD$25*SUMPRODUCT(分期持仓明细!$B$25:$AA$25,'实盘净值数据(iFinD公式)'!$B897:$AA897/'实盘净值数据(iFinD公式)'!$B$65:$AA$65)*(1-实盘持仓初始配置!$Z$9)^(('实盘净值数据(iFinD公式)'!$A897-'实盘净值数据(iFinD公式)'!$A$8)/365))</x:f>
        <x:v>#NAME?</x:v>
      </x:c>
      <x:c r="R897" s="152" t="e">
        <x:f>IF(OR(Q896="",Q897=""),"",Q897/Q896-1)</x:f>
        <x:v>#NAME?</x:v>
      </x:c>
      <x:c r="S897" s="152" t="e">
        <x:f>IF(Q897="","",Q897/MAX(Q$5:Q897)-1)</x:f>
        <x:v>#NAME?</x:v>
      </x:c>
    </x:row>
    <x:row r="898">
      <x:c r="A898" s="149" t="str">
        <x:f>IF('实盘净值数据(iFinD公式)'!A898="","",'实盘净值数据(iFinD公式)'!A898)</x:f>
      </x:c>
      <x:c r="B898" s="146" t="e">
        <x:f>IF(OR('实盘净值数据(iFinD公式)'!$A898="",'实盘净值数据(iFinD公式)'!$B898=""),"",分期持仓明细!$AD$17*SUMPRODUCT(分期持仓明细!$B$17:$AA$17,'实盘净值数据(iFinD公式)'!$B898:$AA898/'实盘净值数据(iFinD公式)'!$B$20:$AA$20)*(1-实盘持仓初始配置!$Z$4)^(('实盘净值数据(iFinD公式)'!$A898-'实盘净值数据(iFinD公式)'!$A$6)/365))</x:f>
        <x:v>#NAME?</x:v>
      </x:c>
      <x:c r="C898" s="152" t="e">
        <x:f>IF(OR(B897="",B898=""),"",B898/B897-1)</x:f>
        <x:v>#NAME?</x:v>
      </x:c>
      <x:c r="D898" s="152" t="e">
        <x:f>IF(B898="","",B898/MAX(B$5:B898)-1)</x:f>
        <x:v>#NAME?</x:v>
      </x:c>
      <x:c r="E898" s="146" t="e">
        <x:f>IF(OR('实盘净值数据(iFinD公式)'!$A898="",'实盘净值数据(iFinD公式)'!$B898=""),"",分期持仓明细!$AD$18*SUMPRODUCT(分期持仓明细!$B$18:$AA$18,'实盘净值数据(iFinD公式)'!$B898:$AA898/'实盘净值数据(iFinD公式)'!$B$20:$AA$20)*(1-实盘持仓初始配置!$Z$5)^(('实盘净值数据(iFinD公式)'!$A898-'实盘净值数据(iFinD公式)'!$A$5)/365))</x:f>
        <x:v>#NAME?</x:v>
      </x:c>
      <x:c r="F898" s="152" t="e">
        <x:f>IF(OR(E897="",E898=""),"",E898/E897-1)</x:f>
        <x:v>#NAME?</x:v>
      </x:c>
      <x:c r="G898" s="152" t="e">
        <x:f>IF(E898="","",E898/MAX(E$5:E898)-1)</x:f>
        <x:v>#NAME?</x:v>
      </x:c>
      <x:c r="H898" s="146" t="e">
        <x:f>IF(OR('实盘净值数据(iFinD公式)'!$A898="",'实盘净值数据(iFinD公式)'!$B898=""),"",分期持仓明细!$AD$19*SUMPRODUCT(分期持仓明细!$B$19:$AA$19,'实盘净值数据(iFinD公式)'!$B898:$AA898/'实盘净值数据(iFinD公式)'!$B$20:$AA$20)*(1-实盘持仓初始配置!$Z$6)^(('实盘净值数据(iFinD公式)'!$A898-'实盘净值数据(iFinD公式)'!$A$7)/365))</x:f>
        <x:v>#NAME?</x:v>
      </x:c>
      <x:c r="I898" s="152" t="e">
        <x:f>IF(OR(H897="",H898=""),"",H898/H897-1)</x:f>
        <x:v>#NAME?</x:v>
      </x:c>
      <x:c r="J898" s="152" t="e">
        <x:f>IF(H898="","",H898/MAX(H$5:H898)-1)</x:f>
        <x:v>#NAME?</x:v>
      </x:c>
      <x:c r="K898" s="146" t="e">
        <x:f>IF(OR('实盘净值数据(iFinD公式)'!$A898="",'实盘净值数据(iFinD公式)'!$B898=""),"",分期持仓明细!$AD$23*SUMPRODUCT(分期持仓明细!$B$23:$AA$23,'实盘净值数据(iFinD公式)'!$B898:$AA898/'实盘净值数据(iFinD公式)'!$B$65:$AA$65)*(1-实盘持仓初始配置!$Z$7)^(('实盘净值数据(iFinD公式)'!$A898-'实盘净值数据(iFinD公式)'!$A$8)/365))</x:f>
        <x:v>#NAME?</x:v>
      </x:c>
      <x:c r="L898" s="152" t="e">
        <x:f>IF(OR(K897="",K898=""),"",K898/K897-1)</x:f>
        <x:v>#NAME?</x:v>
      </x:c>
      <x:c r="M898" s="152" t="e">
        <x:f>IF(K898="","",K898/MAX(K$5:K898)-1)</x:f>
        <x:v>#NAME?</x:v>
      </x:c>
      <x:c r="N898" s="146" t="e">
        <x:f>IF(OR('实盘净值数据(iFinD公式)'!$A898="",'实盘净值数据(iFinD公式)'!$B898=""),"",分期持仓明细!$AD$24*SUMPRODUCT(分期持仓明细!$B$24:$AA$24,'实盘净值数据(iFinD公式)'!$B898:$AA898/'实盘净值数据(iFinD公式)'!$B$65:$AA$65)*(1-实盘持仓初始配置!$Z$8)^(('实盘净值数据(iFinD公式)'!$A898-'实盘净值数据(iFinD公式)'!$A$5)/365))</x:f>
        <x:v>#NAME?</x:v>
      </x:c>
      <x:c r="O898" s="152" t="e">
        <x:f>IF(OR(N897="",N898=""),"",N898/N897-1)</x:f>
        <x:v>#NAME?</x:v>
      </x:c>
      <x:c r="P898" s="152" t="e">
        <x:f>IF(N898="","",N898/MAX(N$5:N898)-1)</x:f>
        <x:v>#NAME?</x:v>
      </x:c>
      <x:c r="Q898" s="146" t="e">
        <x:f>IF(OR('实盘净值数据(iFinD公式)'!$A898="",'实盘净值数据(iFinD公式)'!$B898=""),"",分期持仓明细!$AD$25*SUMPRODUCT(分期持仓明细!$B$25:$AA$25,'实盘净值数据(iFinD公式)'!$B898:$AA898/'实盘净值数据(iFinD公式)'!$B$65:$AA$65)*(1-实盘持仓初始配置!$Z$9)^(('实盘净值数据(iFinD公式)'!$A898-'实盘净值数据(iFinD公式)'!$A$8)/365))</x:f>
        <x:v>#NAME?</x:v>
      </x:c>
      <x:c r="R898" s="152" t="e">
        <x:f>IF(OR(Q897="",Q898=""),"",Q898/Q897-1)</x:f>
        <x:v>#NAME?</x:v>
      </x:c>
      <x:c r="S898" s="152" t="e">
        <x:f>IF(Q898="","",Q898/MAX(Q$5:Q898)-1)</x:f>
        <x:v>#NAME?</x:v>
      </x:c>
    </x:row>
    <x:row r="899">
      <x:c r="A899" s="149" t="str">
        <x:f>IF('实盘净值数据(iFinD公式)'!A899="","",'实盘净值数据(iFinD公式)'!A899)</x:f>
      </x:c>
      <x:c r="B899" s="146" t="e">
        <x:f>IF(OR('实盘净值数据(iFinD公式)'!$A899="",'实盘净值数据(iFinD公式)'!$B899=""),"",分期持仓明细!$AD$17*SUMPRODUCT(分期持仓明细!$B$17:$AA$17,'实盘净值数据(iFinD公式)'!$B899:$AA899/'实盘净值数据(iFinD公式)'!$B$20:$AA$20)*(1-实盘持仓初始配置!$Z$4)^(('实盘净值数据(iFinD公式)'!$A899-'实盘净值数据(iFinD公式)'!$A$6)/365))</x:f>
        <x:v>#NAME?</x:v>
      </x:c>
      <x:c r="C899" s="152" t="e">
        <x:f>IF(OR(B898="",B899=""),"",B899/B898-1)</x:f>
        <x:v>#NAME?</x:v>
      </x:c>
      <x:c r="D899" s="152" t="e">
        <x:f>IF(B899="","",B899/MAX(B$5:B899)-1)</x:f>
        <x:v>#NAME?</x:v>
      </x:c>
      <x:c r="E899" s="146" t="e">
        <x:f>IF(OR('实盘净值数据(iFinD公式)'!$A899="",'实盘净值数据(iFinD公式)'!$B899=""),"",分期持仓明细!$AD$18*SUMPRODUCT(分期持仓明细!$B$18:$AA$18,'实盘净值数据(iFinD公式)'!$B899:$AA899/'实盘净值数据(iFinD公式)'!$B$20:$AA$20)*(1-实盘持仓初始配置!$Z$5)^(('实盘净值数据(iFinD公式)'!$A899-'实盘净值数据(iFinD公式)'!$A$5)/365))</x:f>
        <x:v>#NAME?</x:v>
      </x:c>
      <x:c r="F899" s="152" t="e">
        <x:f>IF(OR(E898="",E899=""),"",E899/E898-1)</x:f>
        <x:v>#NAME?</x:v>
      </x:c>
      <x:c r="G899" s="152" t="e">
        <x:f>IF(E899="","",E899/MAX(E$5:E899)-1)</x:f>
        <x:v>#NAME?</x:v>
      </x:c>
      <x:c r="H899" s="146" t="e">
        <x:f>IF(OR('实盘净值数据(iFinD公式)'!$A899="",'实盘净值数据(iFinD公式)'!$B899=""),"",分期持仓明细!$AD$19*SUMPRODUCT(分期持仓明细!$B$19:$AA$19,'实盘净值数据(iFinD公式)'!$B899:$AA899/'实盘净值数据(iFinD公式)'!$B$20:$AA$20)*(1-实盘持仓初始配置!$Z$6)^(('实盘净值数据(iFinD公式)'!$A899-'实盘净值数据(iFinD公式)'!$A$7)/365))</x:f>
        <x:v>#NAME?</x:v>
      </x:c>
      <x:c r="I899" s="152" t="e">
        <x:f>IF(OR(H898="",H899=""),"",H899/H898-1)</x:f>
        <x:v>#NAME?</x:v>
      </x:c>
      <x:c r="J899" s="152" t="e">
        <x:f>IF(H899="","",H899/MAX(H$5:H899)-1)</x:f>
        <x:v>#NAME?</x:v>
      </x:c>
      <x:c r="K899" s="146" t="e">
        <x:f>IF(OR('实盘净值数据(iFinD公式)'!$A899="",'实盘净值数据(iFinD公式)'!$B899=""),"",分期持仓明细!$AD$23*SUMPRODUCT(分期持仓明细!$B$23:$AA$23,'实盘净值数据(iFinD公式)'!$B899:$AA899/'实盘净值数据(iFinD公式)'!$B$65:$AA$65)*(1-实盘持仓初始配置!$Z$7)^(('实盘净值数据(iFinD公式)'!$A899-'实盘净值数据(iFinD公式)'!$A$8)/365))</x:f>
        <x:v>#NAME?</x:v>
      </x:c>
      <x:c r="L899" s="152" t="e">
        <x:f>IF(OR(K898="",K899=""),"",K899/K898-1)</x:f>
        <x:v>#NAME?</x:v>
      </x:c>
      <x:c r="M899" s="152" t="e">
        <x:f>IF(K899="","",K899/MAX(K$5:K899)-1)</x:f>
        <x:v>#NAME?</x:v>
      </x:c>
      <x:c r="N899" s="146" t="e">
        <x:f>IF(OR('实盘净值数据(iFinD公式)'!$A899="",'实盘净值数据(iFinD公式)'!$B899=""),"",分期持仓明细!$AD$24*SUMPRODUCT(分期持仓明细!$B$24:$AA$24,'实盘净值数据(iFinD公式)'!$B899:$AA899/'实盘净值数据(iFinD公式)'!$B$65:$AA$65)*(1-实盘持仓初始配置!$Z$8)^(('实盘净值数据(iFinD公式)'!$A899-'实盘净值数据(iFinD公式)'!$A$5)/365))</x:f>
        <x:v>#NAME?</x:v>
      </x:c>
      <x:c r="O899" s="152" t="e">
        <x:f>IF(OR(N898="",N899=""),"",N899/N898-1)</x:f>
        <x:v>#NAME?</x:v>
      </x:c>
      <x:c r="P899" s="152" t="e">
        <x:f>IF(N899="","",N899/MAX(N$5:N899)-1)</x:f>
        <x:v>#NAME?</x:v>
      </x:c>
      <x:c r="Q899" s="146" t="e">
        <x:f>IF(OR('实盘净值数据(iFinD公式)'!$A899="",'实盘净值数据(iFinD公式)'!$B899=""),"",分期持仓明细!$AD$25*SUMPRODUCT(分期持仓明细!$B$25:$AA$25,'实盘净值数据(iFinD公式)'!$B899:$AA899/'实盘净值数据(iFinD公式)'!$B$65:$AA$65)*(1-实盘持仓初始配置!$Z$9)^(('实盘净值数据(iFinD公式)'!$A899-'实盘净值数据(iFinD公式)'!$A$8)/365))</x:f>
        <x:v>#NAME?</x:v>
      </x:c>
      <x:c r="R899" s="152" t="e">
        <x:f>IF(OR(Q898="",Q899=""),"",Q899/Q898-1)</x:f>
        <x:v>#NAME?</x:v>
      </x:c>
      <x:c r="S899" s="152" t="e">
        <x:f>IF(Q899="","",Q899/MAX(Q$5:Q899)-1)</x:f>
        <x:v>#NAME?</x:v>
      </x:c>
    </x:row>
    <x:row r="900">
      <x:c r="A900" s="149" t="str">
        <x:f>IF('实盘净值数据(iFinD公式)'!A900="","",'实盘净值数据(iFinD公式)'!A900)</x:f>
      </x:c>
      <x:c r="B900" s="146" t="e">
        <x:f>IF(OR('实盘净值数据(iFinD公式)'!$A900="",'实盘净值数据(iFinD公式)'!$B900=""),"",分期持仓明细!$AD$17*SUMPRODUCT(分期持仓明细!$B$17:$AA$17,'实盘净值数据(iFinD公式)'!$B900:$AA900/'实盘净值数据(iFinD公式)'!$B$20:$AA$20)*(1-实盘持仓初始配置!$Z$4)^(('实盘净值数据(iFinD公式)'!$A900-'实盘净值数据(iFinD公式)'!$A$6)/365))</x:f>
        <x:v>#NAME?</x:v>
      </x:c>
      <x:c r="C900" s="152" t="e">
        <x:f>IF(OR(B899="",B900=""),"",B900/B899-1)</x:f>
        <x:v>#NAME?</x:v>
      </x:c>
      <x:c r="D900" s="152" t="e">
        <x:f>IF(B900="","",B900/MAX(B$5:B900)-1)</x:f>
        <x:v>#NAME?</x:v>
      </x:c>
      <x:c r="E900" s="146" t="e">
        <x:f>IF(OR('实盘净值数据(iFinD公式)'!$A900="",'实盘净值数据(iFinD公式)'!$B900=""),"",分期持仓明细!$AD$18*SUMPRODUCT(分期持仓明细!$B$18:$AA$18,'实盘净值数据(iFinD公式)'!$B900:$AA900/'实盘净值数据(iFinD公式)'!$B$20:$AA$20)*(1-实盘持仓初始配置!$Z$5)^(('实盘净值数据(iFinD公式)'!$A900-'实盘净值数据(iFinD公式)'!$A$5)/365))</x:f>
        <x:v>#NAME?</x:v>
      </x:c>
      <x:c r="F900" s="152" t="e">
        <x:f>IF(OR(E899="",E900=""),"",E900/E899-1)</x:f>
        <x:v>#NAME?</x:v>
      </x:c>
      <x:c r="G900" s="152" t="e">
        <x:f>IF(E900="","",E900/MAX(E$5:E900)-1)</x:f>
        <x:v>#NAME?</x:v>
      </x:c>
      <x:c r="H900" s="146" t="e">
        <x:f>IF(OR('实盘净值数据(iFinD公式)'!$A900="",'实盘净值数据(iFinD公式)'!$B900=""),"",分期持仓明细!$AD$19*SUMPRODUCT(分期持仓明细!$B$19:$AA$19,'实盘净值数据(iFinD公式)'!$B900:$AA900/'实盘净值数据(iFinD公式)'!$B$20:$AA$20)*(1-实盘持仓初始配置!$Z$6)^(('实盘净值数据(iFinD公式)'!$A900-'实盘净值数据(iFinD公式)'!$A$7)/365))</x:f>
        <x:v>#NAME?</x:v>
      </x:c>
      <x:c r="I900" s="152" t="e">
        <x:f>IF(OR(H899="",H900=""),"",H900/H899-1)</x:f>
        <x:v>#NAME?</x:v>
      </x:c>
      <x:c r="J900" s="152" t="e">
        <x:f>IF(H900="","",H900/MAX(H$5:H900)-1)</x:f>
        <x:v>#NAME?</x:v>
      </x:c>
      <x:c r="K900" s="146" t="e">
        <x:f>IF(OR('实盘净值数据(iFinD公式)'!$A900="",'实盘净值数据(iFinD公式)'!$B900=""),"",分期持仓明细!$AD$23*SUMPRODUCT(分期持仓明细!$B$23:$AA$23,'实盘净值数据(iFinD公式)'!$B900:$AA900/'实盘净值数据(iFinD公式)'!$B$65:$AA$65)*(1-实盘持仓初始配置!$Z$7)^(('实盘净值数据(iFinD公式)'!$A900-'实盘净值数据(iFinD公式)'!$A$8)/365))</x:f>
        <x:v>#NAME?</x:v>
      </x:c>
      <x:c r="L900" s="152" t="e">
        <x:f>IF(OR(K899="",K900=""),"",K900/K899-1)</x:f>
        <x:v>#NAME?</x:v>
      </x:c>
      <x:c r="M900" s="152" t="e">
        <x:f>IF(K900="","",K900/MAX(K$5:K900)-1)</x:f>
        <x:v>#NAME?</x:v>
      </x:c>
      <x:c r="N900" s="146" t="e">
        <x:f>IF(OR('实盘净值数据(iFinD公式)'!$A900="",'实盘净值数据(iFinD公式)'!$B900=""),"",分期持仓明细!$AD$24*SUMPRODUCT(分期持仓明细!$B$24:$AA$24,'实盘净值数据(iFinD公式)'!$B900:$AA900/'实盘净值数据(iFinD公式)'!$B$65:$AA$65)*(1-实盘持仓初始配置!$Z$8)^(('实盘净值数据(iFinD公式)'!$A900-'实盘净值数据(iFinD公式)'!$A$5)/365))</x:f>
        <x:v>#NAME?</x:v>
      </x:c>
      <x:c r="O900" s="152" t="e">
        <x:f>IF(OR(N899="",N900=""),"",N900/N899-1)</x:f>
        <x:v>#NAME?</x:v>
      </x:c>
      <x:c r="P900" s="152" t="e">
        <x:f>IF(N900="","",N900/MAX(N$5:N900)-1)</x:f>
        <x:v>#NAME?</x:v>
      </x:c>
      <x:c r="Q900" s="146" t="e">
        <x:f>IF(OR('实盘净值数据(iFinD公式)'!$A900="",'实盘净值数据(iFinD公式)'!$B900=""),"",分期持仓明细!$AD$25*SUMPRODUCT(分期持仓明细!$B$25:$AA$25,'实盘净值数据(iFinD公式)'!$B900:$AA900/'实盘净值数据(iFinD公式)'!$B$65:$AA$65)*(1-实盘持仓初始配置!$Z$9)^(('实盘净值数据(iFinD公式)'!$A900-'实盘净值数据(iFinD公式)'!$A$8)/365))</x:f>
        <x:v>#NAME?</x:v>
      </x:c>
      <x:c r="R900" s="152" t="e">
        <x:f>IF(OR(Q899="",Q900=""),"",Q900/Q899-1)</x:f>
        <x:v>#NAME?</x:v>
      </x:c>
      <x:c r="S900" s="152" t="e">
        <x:f>IF(Q900="","",Q900/MAX(Q$5:Q900)-1)</x:f>
        <x:v>#NAME?</x:v>
      </x:c>
    </x:row>
    <x:row r="901">
      <x:c r="A901" s="149" t="str">
        <x:f>IF('实盘净值数据(iFinD公式)'!A901="","",'实盘净值数据(iFinD公式)'!A901)</x:f>
      </x:c>
      <x:c r="B901" s="146" t="e">
        <x:f>IF(OR('实盘净值数据(iFinD公式)'!$A901="",'实盘净值数据(iFinD公式)'!$B901=""),"",分期持仓明细!$AD$17*SUMPRODUCT(分期持仓明细!$B$17:$AA$17,'实盘净值数据(iFinD公式)'!$B901:$AA901/'实盘净值数据(iFinD公式)'!$B$20:$AA$20)*(1-实盘持仓初始配置!$Z$4)^(('实盘净值数据(iFinD公式)'!$A901-'实盘净值数据(iFinD公式)'!$A$6)/365))</x:f>
        <x:v>#NAME?</x:v>
      </x:c>
      <x:c r="C901" s="152" t="e">
        <x:f>IF(OR(B900="",B901=""),"",B901/B900-1)</x:f>
        <x:v>#NAME?</x:v>
      </x:c>
      <x:c r="D901" s="152" t="e">
        <x:f>IF(B901="","",B901/MAX(B$5:B901)-1)</x:f>
        <x:v>#NAME?</x:v>
      </x:c>
      <x:c r="E901" s="146" t="e">
        <x:f>IF(OR('实盘净值数据(iFinD公式)'!$A901="",'实盘净值数据(iFinD公式)'!$B901=""),"",分期持仓明细!$AD$18*SUMPRODUCT(分期持仓明细!$B$18:$AA$18,'实盘净值数据(iFinD公式)'!$B901:$AA901/'实盘净值数据(iFinD公式)'!$B$20:$AA$20)*(1-实盘持仓初始配置!$Z$5)^(('实盘净值数据(iFinD公式)'!$A901-'实盘净值数据(iFinD公式)'!$A$5)/365))</x:f>
        <x:v>#NAME?</x:v>
      </x:c>
      <x:c r="F901" s="152" t="e">
        <x:f>IF(OR(E900="",E901=""),"",E901/E900-1)</x:f>
        <x:v>#NAME?</x:v>
      </x:c>
      <x:c r="G901" s="152" t="e">
        <x:f>IF(E901="","",E901/MAX(E$5:E901)-1)</x:f>
        <x:v>#NAME?</x:v>
      </x:c>
      <x:c r="H901" s="146" t="e">
        <x:f>IF(OR('实盘净值数据(iFinD公式)'!$A901="",'实盘净值数据(iFinD公式)'!$B901=""),"",分期持仓明细!$AD$19*SUMPRODUCT(分期持仓明细!$B$19:$AA$19,'实盘净值数据(iFinD公式)'!$B901:$AA901/'实盘净值数据(iFinD公式)'!$B$20:$AA$20)*(1-实盘持仓初始配置!$Z$6)^(('实盘净值数据(iFinD公式)'!$A901-'实盘净值数据(iFinD公式)'!$A$7)/365))</x:f>
        <x:v>#NAME?</x:v>
      </x:c>
      <x:c r="I901" s="152" t="e">
        <x:f>IF(OR(H900="",H901=""),"",H901/H900-1)</x:f>
        <x:v>#NAME?</x:v>
      </x:c>
      <x:c r="J901" s="152" t="e">
        <x:f>IF(H901="","",H901/MAX(H$5:H901)-1)</x:f>
        <x:v>#NAME?</x:v>
      </x:c>
      <x:c r="K901" s="146" t="e">
        <x:f>IF(OR('实盘净值数据(iFinD公式)'!$A901="",'实盘净值数据(iFinD公式)'!$B901=""),"",分期持仓明细!$AD$23*SUMPRODUCT(分期持仓明细!$B$23:$AA$23,'实盘净值数据(iFinD公式)'!$B901:$AA901/'实盘净值数据(iFinD公式)'!$B$65:$AA$65)*(1-实盘持仓初始配置!$Z$7)^(('实盘净值数据(iFinD公式)'!$A901-'实盘净值数据(iFinD公式)'!$A$8)/365))</x:f>
        <x:v>#NAME?</x:v>
      </x:c>
      <x:c r="L901" s="152" t="e">
        <x:f>IF(OR(K900="",K901=""),"",K901/K900-1)</x:f>
        <x:v>#NAME?</x:v>
      </x:c>
      <x:c r="M901" s="152" t="e">
        <x:f>IF(K901="","",K901/MAX(K$5:K901)-1)</x:f>
        <x:v>#NAME?</x:v>
      </x:c>
      <x:c r="N901" s="146" t="e">
        <x:f>IF(OR('实盘净值数据(iFinD公式)'!$A901="",'实盘净值数据(iFinD公式)'!$B901=""),"",分期持仓明细!$AD$24*SUMPRODUCT(分期持仓明细!$B$24:$AA$24,'实盘净值数据(iFinD公式)'!$B901:$AA901/'实盘净值数据(iFinD公式)'!$B$65:$AA$65)*(1-实盘持仓初始配置!$Z$8)^(('实盘净值数据(iFinD公式)'!$A901-'实盘净值数据(iFinD公式)'!$A$5)/365))</x:f>
        <x:v>#NAME?</x:v>
      </x:c>
      <x:c r="O901" s="152" t="e">
        <x:f>IF(OR(N900="",N901=""),"",N901/N900-1)</x:f>
        <x:v>#NAME?</x:v>
      </x:c>
      <x:c r="P901" s="152" t="e">
        <x:f>IF(N901="","",N901/MAX(N$5:N901)-1)</x:f>
        <x:v>#NAME?</x:v>
      </x:c>
      <x:c r="Q901" s="146" t="e">
        <x:f>IF(OR('实盘净值数据(iFinD公式)'!$A901="",'实盘净值数据(iFinD公式)'!$B901=""),"",分期持仓明细!$AD$25*SUMPRODUCT(分期持仓明细!$B$25:$AA$25,'实盘净值数据(iFinD公式)'!$B901:$AA901/'实盘净值数据(iFinD公式)'!$B$65:$AA$65)*(1-实盘持仓初始配置!$Z$9)^(('实盘净值数据(iFinD公式)'!$A901-'实盘净值数据(iFinD公式)'!$A$8)/365))</x:f>
        <x:v>#NAME?</x:v>
      </x:c>
      <x:c r="R901" s="152" t="e">
        <x:f>IF(OR(Q900="",Q901=""),"",Q901/Q900-1)</x:f>
        <x:v>#NAME?</x:v>
      </x:c>
      <x:c r="S901" s="152" t="e">
        <x:f>IF(Q901="","",Q901/MAX(Q$5:Q901)-1)</x:f>
        <x:v>#NAME?</x:v>
      </x:c>
    </x:row>
    <x:row r="902">
      <x:c r="A902" s="149" t="str">
        <x:f>IF('实盘净值数据(iFinD公式)'!A902="","",'实盘净值数据(iFinD公式)'!A902)</x:f>
      </x:c>
      <x:c r="B902" s="146" t="e">
        <x:f>IF(OR('实盘净值数据(iFinD公式)'!$A902="",'实盘净值数据(iFinD公式)'!$B902=""),"",分期持仓明细!$AD$17*SUMPRODUCT(分期持仓明细!$B$17:$AA$17,'实盘净值数据(iFinD公式)'!$B902:$AA902/'实盘净值数据(iFinD公式)'!$B$20:$AA$20)*(1-实盘持仓初始配置!$Z$4)^(('实盘净值数据(iFinD公式)'!$A902-'实盘净值数据(iFinD公式)'!$A$6)/365))</x:f>
        <x:v>#NAME?</x:v>
      </x:c>
      <x:c r="C902" s="152" t="e">
        <x:f>IF(OR(B901="",B902=""),"",B902/B901-1)</x:f>
        <x:v>#NAME?</x:v>
      </x:c>
      <x:c r="D902" s="152" t="e">
        <x:f>IF(B902="","",B902/MAX(B$5:B902)-1)</x:f>
        <x:v>#NAME?</x:v>
      </x:c>
      <x:c r="E902" s="146" t="e">
        <x:f>IF(OR('实盘净值数据(iFinD公式)'!$A902="",'实盘净值数据(iFinD公式)'!$B902=""),"",分期持仓明细!$AD$18*SUMPRODUCT(分期持仓明细!$B$18:$AA$18,'实盘净值数据(iFinD公式)'!$B902:$AA902/'实盘净值数据(iFinD公式)'!$B$20:$AA$20)*(1-实盘持仓初始配置!$Z$5)^(('实盘净值数据(iFinD公式)'!$A902-'实盘净值数据(iFinD公式)'!$A$5)/365))</x:f>
        <x:v>#NAME?</x:v>
      </x:c>
      <x:c r="F902" s="152" t="e">
        <x:f>IF(OR(E901="",E902=""),"",E902/E901-1)</x:f>
        <x:v>#NAME?</x:v>
      </x:c>
      <x:c r="G902" s="152" t="e">
        <x:f>IF(E902="","",E902/MAX(E$5:E902)-1)</x:f>
        <x:v>#NAME?</x:v>
      </x:c>
      <x:c r="H902" s="146" t="e">
        <x:f>IF(OR('实盘净值数据(iFinD公式)'!$A902="",'实盘净值数据(iFinD公式)'!$B902=""),"",分期持仓明细!$AD$19*SUMPRODUCT(分期持仓明细!$B$19:$AA$19,'实盘净值数据(iFinD公式)'!$B902:$AA902/'实盘净值数据(iFinD公式)'!$B$20:$AA$20)*(1-实盘持仓初始配置!$Z$6)^(('实盘净值数据(iFinD公式)'!$A902-'实盘净值数据(iFinD公式)'!$A$7)/365))</x:f>
        <x:v>#NAME?</x:v>
      </x:c>
      <x:c r="I902" s="152" t="e">
        <x:f>IF(OR(H901="",H902=""),"",H902/H901-1)</x:f>
        <x:v>#NAME?</x:v>
      </x:c>
      <x:c r="J902" s="152" t="e">
        <x:f>IF(H902="","",H902/MAX(H$5:H902)-1)</x:f>
        <x:v>#NAME?</x:v>
      </x:c>
      <x:c r="K902" s="146" t="e">
        <x:f>IF(OR('实盘净值数据(iFinD公式)'!$A902="",'实盘净值数据(iFinD公式)'!$B902=""),"",分期持仓明细!$AD$23*SUMPRODUCT(分期持仓明细!$B$23:$AA$23,'实盘净值数据(iFinD公式)'!$B902:$AA902/'实盘净值数据(iFinD公式)'!$B$65:$AA$65)*(1-实盘持仓初始配置!$Z$7)^(('实盘净值数据(iFinD公式)'!$A902-'实盘净值数据(iFinD公式)'!$A$8)/365))</x:f>
        <x:v>#NAME?</x:v>
      </x:c>
      <x:c r="L902" s="152" t="e">
        <x:f>IF(OR(K901="",K902=""),"",K902/K901-1)</x:f>
        <x:v>#NAME?</x:v>
      </x:c>
      <x:c r="M902" s="152" t="e">
        <x:f>IF(K902="","",K902/MAX(K$5:K902)-1)</x:f>
        <x:v>#NAME?</x:v>
      </x:c>
      <x:c r="N902" s="146" t="e">
        <x:f>IF(OR('实盘净值数据(iFinD公式)'!$A902="",'实盘净值数据(iFinD公式)'!$B902=""),"",分期持仓明细!$AD$24*SUMPRODUCT(分期持仓明细!$B$24:$AA$24,'实盘净值数据(iFinD公式)'!$B902:$AA902/'实盘净值数据(iFinD公式)'!$B$65:$AA$65)*(1-实盘持仓初始配置!$Z$8)^(('实盘净值数据(iFinD公式)'!$A902-'实盘净值数据(iFinD公式)'!$A$5)/365))</x:f>
        <x:v>#NAME?</x:v>
      </x:c>
      <x:c r="O902" s="152" t="e">
        <x:f>IF(OR(N901="",N902=""),"",N902/N901-1)</x:f>
        <x:v>#NAME?</x:v>
      </x:c>
      <x:c r="P902" s="152" t="e">
        <x:f>IF(N902="","",N902/MAX(N$5:N902)-1)</x:f>
        <x:v>#NAME?</x:v>
      </x:c>
      <x:c r="Q902" s="146" t="e">
        <x:f>IF(OR('实盘净值数据(iFinD公式)'!$A902="",'实盘净值数据(iFinD公式)'!$B902=""),"",分期持仓明细!$AD$25*SUMPRODUCT(分期持仓明细!$B$25:$AA$25,'实盘净值数据(iFinD公式)'!$B902:$AA902/'实盘净值数据(iFinD公式)'!$B$65:$AA$65)*(1-实盘持仓初始配置!$Z$9)^(('实盘净值数据(iFinD公式)'!$A902-'实盘净值数据(iFinD公式)'!$A$8)/365))</x:f>
        <x:v>#NAME?</x:v>
      </x:c>
      <x:c r="R902" s="152" t="e">
        <x:f>IF(OR(Q901="",Q902=""),"",Q902/Q901-1)</x:f>
        <x:v>#NAME?</x:v>
      </x:c>
      <x:c r="S902" s="152" t="e">
        <x:f>IF(Q902="","",Q902/MAX(Q$5:Q902)-1)</x:f>
        <x:v>#NAME?</x:v>
      </x:c>
    </x:row>
    <x:row r="903">
      <x:c r="A903" s="149" t="str">
        <x:f>IF('实盘净值数据(iFinD公式)'!A903="","",'实盘净值数据(iFinD公式)'!A903)</x:f>
      </x:c>
      <x:c r="B903" s="146" t="e">
        <x:f>IF(OR('实盘净值数据(iFinD公式)'!$A903="",'实盘净值数据(iFinD公式)'!$B903=""),"",分期持仓明细!$AD$17*SUMPRODUCT(分期持仓明细!$B$17:$AA$17,'实盘净值数据(iFinD公式)'!$B903:$AA903/'实盘净值数据(iFinD公式)'!$B$20:$AA$20)*(1-实盘持仓初始配置!$Z$4)^(('实盘净值数据(iFinD公式)'!$A903-'实盘净值数据(iFinD公式)'!$A$6)/365))</x:f>
        <x:v>#NAME?</x:v>
      </x:c>
      <x:c r="C903" s="152" t="e">
        <x:f>IF(OR(B902="",B903=""),"",B903/B902-1)</x:f>
        <x:v>#NAME?</x:v>
      </x:c>
      <x:c r="D903" s="152" t="e">
        <x:f>IF(B903="","",B903/MAX(B$5:B903)-1)</x:f>
        <x:v>#NAME?</x:v>
      </x:c>
      <x:c r="E903" s="146" t="e">
        <x:f>IF(OR('实盘净值数据(iFinD公式)'!$A903="",'实盘净值数据(iFinD公式)'!$B903=""),"",分期持仓明细!$AD$18*SUMPRODUCT(分期持仓明细!$B$18:$AA$18,'实盘净值数据(iFinD公式)'!$B903:$AA903/'实盘净值数据(iFinD公式)'!$B$20:$AA$20)*(1-实盘持仓初始配置!$Z$5)^(('实盘净值数据(iFinD公式)'!$A903-'实盘净值数据(iFinD公式)'!$A$5)/365))</x:f>
        <x:v>#NAME?</x:v>
      </x:c>
      <x:c r="F903" s="152" t="e">
        <x:f>IF(OR(E902="",E903=""),"",E903/E902-1)</x:f>
        <x:v>#NAME?</x:v>
      </x:c>
      <x:c r="G903" s="152" t="e">
        <x:f>IF(E903="","",E903/MAX(E$5:E903)-1)</x:f>
        <x:v>#NAME?</x:v>
      </x:c>
      <x:c r="H903" s="146" t="e">
        <x:f>IF(OR('实盘净值数据(iFinD公式)'!$A903="",'实盘净值数据(iFinD公式)'!$B903=""),"",分期持仓明细!$AD$19*SUMPRODUCT(分期持仓明细!$B$19:$AA$19,'实盘净值数据(iFinD公式)'!$B903:$AA903/'实盘净值数据(iFinD公式)'!$B$20:$AA$20)*(1-实盘持仓初始配置!$Z$6)^(('实盘净值数据(iFinD公式)'!$A903-'实盘净值数据(iFinD公式)'!$A$7)/365))</x:f>
        <x:v>#NAME?</x:v>
      </x:c>
      <x:c r="I903" s="152" t="e">
        <x:f>IF(OR(H902="",H903=""),"",H903/H902-1)</x:f>
        <x:v>#NAME?</x:v>
      </x:c>
      <x:c r="J903" s="152" t="e">
        <x:f>IF(H903="","",H903/MAX(H$5:H903)-1)</x:f>
        <x:v>#NAME?</x:v>
      </x:c>
      <x:c r="K903" s="146" t="e">
        <x:f>IF(OR('实盘净值数据(iFinD公式)'!$A903="",'实盘净值数据(iFinD公式)'!$B903=""),"",分期持仓明细!$AD$23*SUMPRODUCT(分期持仓明细!$B$23:$AA$23,'实盘净值数据(iFinD公式)'!$B903:$AA903/'实盘净值数据(iFinD公式)'!$B$65:$AA$65)*(1-实盘持仓初始配置!$Z$7)^(('实盘净值数据(iFinD公式)'!$A903-'实盘净值数据(iFinD公式)'!$A$8)/365))</x:f>
        <x:v>#NAME?</x:v>
      </x:c>
      <x:c r="L903" s="152" t="e">
        <x:f>IF(OR(K902="",K903=""),"",K903/K902-1)</x:f>
        <x:v>#NAME?</x:v>
      </x:c>
      <x:c r="M903" s="152" t="e">
        <x:f>IF(K903="","",K903/MAX(K$5:K903)-1)</x:f>
        <x:v>#NAME?</x:v>
      </x:c>
      <x:c r="N903" s="146" t="e">
        <x:f>IF(OR('实盘净值数据(iFinD公式)'!$A903="",'实盘净值数据(iFinD公式)'!$B903=""),"",分期持仓明细!$AD$24*SUMPRODUCT(分期持仓明细!$B$24:$AA$24,'实盘净值数据(iFinD公式)'!$B903:$AA903/'实盘净值数据(iFinD公式)'!$B$65:$AA$65)*(1-实盘持仓初始配置!$Z$8)^(('实盘净值数据(iFinD公式)'!$A903-'实盘净值数据(iFinD公式)'!$A$5)/365))</x:f>
        <x:v>#NAME?</x:v>
      </x:c>
      <x:c r="O903" s="152" t="e">
        <x:f>IF(OR(N902="",N903=""),"",N903/N902-1)</x:f>
        <x:v>#NAME?</x:v>
      </x:c>
      <x:c r="P903" s="152" t="e">
        <x:f>IF(N903="","",N903/MAX(N$5:N903)-1)</x:f>
        <x:v>#NAME?</x:v>
      </x:c>
      <x:c r="Q903" s="146" t="e">
        <x:f>IF(OR('实盘净值数据(iFinD公式)'!$A903="",'实盘净值数据(iFinD公式)'!$B903=""),"",分期持仓明细!$AD$25*SUMPRODUCT(分期持仓明细!$B$25:$AA$25,'实盘净值数据(iFinD公式)'!$B903:$AA903/'实盘净值数据(iFinD公式)'!$B$65:$AA$65)*(1-实盘持仓初始配置!$Z$9)^(('实盘净值数据(iFinD公式)'!$A903-'实盘净值数据(iFinD公式)'!$A$8)/365))</x:f>
        <x:v>#NAME?</x:v>
      </x:c>
      <x:c r="R903" s="152" t="e">
        <x:f>IF(OR(Q902="",Q903=""),"",Q903/Q902-1)</x:f>
        <x:v>#NAME?</x:v>
      </x:c>
      <x:c r="S903" s="152" t="e">
        <x:f>IF(Q903="","",Q903/MAX(Q$5:Q903)-1)</x:f>
        <x:v>#NAME?</x:v>
      </x:c>
    </x:row>
    <x:row r="904">
      <x:c r="A904" s="149" t="str">
        <x:f>IF('实盘净值数据(iFinD公式)'!A904="","",'实盘净值数据(iFinD公式)'!A904)</x:f>
      </x:c>
      <x:c r="B904" s="146" t="e">
        <x:f>IF(OR('实盘净值数据(iFinD公式)'!$A904="",'实盘净值数据(iFinD公式)'!$B904=""),"",分期持仓明细!$AD$17*SUMPRODUCT(分期持仓明细!$B$17:$AA$17,'实盘净值数据(iFinD公式)'!$B904:$AA904/'实盘净值数据(iFinD公式)'!$B$20:$AA$20)*(1-实盘持仓初始配置!$Z$4)^(('实盘净值数据(iFinD公式)'!$A904-'实盘净值数据(iFinD公式)'!$A$6)/365))</x:f>
        <x:v>#NAME?</x:v>
      </x:c>
      <x:c r="C904" s="152" t="e">
        <x:f>IF(OR(B903="",B904=""),"",B904/B903-1)</x:f>
        <x:v>#NAME?</x:v>
      </x:c>
      <x:c r="D904" s="152" t="e">
        <x:f>IF(B904="","",B904/MAX(B$5:B904)-1)</x:f>
        <x:v>#NAME?</x:v>
      </x:c>
      <x:c r="E904" s="146" t="e">
        <x:f>IF(OR('实盘净值数据(iFinD公式)'!$A904="",'实盘净值数据(iFinD公式)'!$B904=""),"",分期持仓明细!$AD$18*SUMPRODUCT(分期持仓明细!$B$18:$AA$18,'实盘净值数据(iFinD公式)'!$B904:$AA904/'实盘净值数据(iFinD公式)'!$B$20:$AA$20)*(1-实盘持仓初始配置!$Z$5)^(('实盘净值数据(iFinD公式)'!$A904-'实盘净值数据(iFinD公式)'!$A$5)/365))</x:f>
        <x:v>#NAME?</x:v>
      </x:c>
      <x:c r="F904" s="152" t="e">
        <x:f>IF(OR(E903="",E904=""),"",E904/E903-1)</x:f>
        <x:v>#NAME?</x:v>
      </x:c>
      <x:c r="G904" s="152" t="e">
        <x:f>IF(E904="","",E904/MAX(E$5:E904)-1)</x:f>
        <x:v>#NAME?</x:v>
      </x:c>
      <x:c r="H904" s="146" t="e">
        <x:f>IF(OR('实盘净值数据(iFinD公式)'!$A904="",'实盘净值数据(iFinD公式)'!$B904=""),"",分期持仓明细!$AD$19*SUMPRODUCT(分期持仓明细!$B$19:$AA$19,'实盘净值数据(iFinD公式)'!$B904:$AA904/'实盘净值数据(iFinD公式)'!$B$20:$AA$20)*(1-实盘持仓初始配置!$Z$6)^(('实盘净值数据(iFinD公式)'!$A904-'实盘净值数据(iFinD公式)'!$A$7)/365))</x:f>
        <x:v>#NAME?</x:v>
      </x:c>
      <x:c r="I904" s="152" t="e">
        <x:f>IF(OR(H903="",H904=""),"",H904/H903-1)</x:f>
        <x:v>#NAME?</x:v>
      </x:c>
      <x:c r="J904" s="152" t="e">
        <x:f>IF(H904="","",H904/MAX(H$5:H904)-1)</x:f>
        <x:v>#NAME?</x:v>
      </x:c>
      <x:c r="K904" s="146" t="e">
        <x:f>IF(OR('实盘净值数据(iFinD公式)'!$A904="",'实盘净值数据(iFinD公式)'!$B904=""),"",分期持仓明细!$AD$23*SUMPRODUCT(分期持仓明细!$B$23:$AA$23,'实盘净值数据(iFinD公式)'!$B904:$AA904/'实盘净值数据(iFinD公式)'!$B$65:$AA$65)*(1-实盘持仓初始配置!$Z$7)^(('实盘净值数据(iFinD公式)'!$A904-'实盘净值数据(iFinD公式)'!$A$8)/365))</x:f>
        <x:v>#NAME?</x:v>
      </x:c>
      <x:c r="L904" s="152" t="e">
        <x:f>IF(OR(K903="",K904=""),"",K904/K903-1)</x:f>
        <x:v>#NAME?</x:v>
      </x:c>
      <x:c r="M904" s="152" t="e">
        <x:f>IF(K904="","",K904/MAX(K$5:K904)-1)</x:f>
        <x:v>#NAME?</x:v>
      </x:c>
      <x:c r="N904" s="146" t="e">
        <x:f>IF(OR('实盘净值数据(iFinD公式)'!$A904="",'实盘净值数据(iFinD公式)'!$B904=""),"",分期持仓明细!$AD$24*SUMPRODUCT(分期持仓明细!$B$24:$AA$24,'实盘净值数据(iFinD公式)'!$B904:$AA904/'实盘净值数据(iFinD公式)'!$B$65:$AA$65)*(1-实盘持仓初始配置!$Z$8)^(('实盘净值数据(iFinD公式)'!$A904-'实盘净值数据(iFinD公式)'!$A$5)/365))</x:f>
        <x:v>#NAME?</x:v>
      </x:c>
      <x:c r="O904" s="152" t="e">
        <x:f>IF(OR(N903="",N904=""),"",N904/N903-1)</x:f>
        <x:v>#NAME?</x:v>
      </x:c>
      <x:c r="P904" s="152" t="e">
        <x:f>IF(N904="","",N904/MAX(N$5:N904)-1)</x:f>
        <x:v>#NAME?</x:v>
      </x:c>
      <x:c r="Q904" s="146" t="e">
        <x:f>IF(OR('实盘净值数据(iFinD公式)'!$A904="",'实盘净值数据(iFinD公式)'!$B904=""),"",分期持仓明细!$AD$25*SUMPRODUCT(分期持仓明细!$B$25:$AA$25,'实盘净值数据(iFinD公式)'!$B904:$AA904/'实盘净值数据(iFinD公式)'!$B$65:$AA$65)*(1-实盘持仓初始配置!$Z$9)^(('实盘净值数据(iFinD公式)'!$A904-'实盘净值数据(iFinD公式)'!$A$8)/365))</x:f>
        <x:v>#NAME?</x:v>
      </x:c>
      <x:c r="R904" s="152" t="e">
        <x:f>IF(OR(Q903="",Q904=""),"",Q904/Q903-1)</x:f>
        <x:v>#NAME?</x:v>
      </x:c>
      <x:c r="S904" s="152" t="e">
        <x:f>IF(Q904="","",Q904/MAX(Q$5:Q904)-1)</x:f>
        <x:v>#NAME?</x:v>
      </x:c>
    </x:row>
    <x:row r="905">
      <x:c r="A905" s="149" t="str">
        <x:f>IF('实盘净值数据(iFinD公式)'!A905="","",'实盘净值数据(iFinD公式)'!A905)</x:f>
      </x:c>
      <x:c r="B905" s="146" t="e">
        <x:f>IF(OR('实盘净值数据(iFinD公式)'!$A905="",'实盘净值数据(iFinD公式)'!$B905=""),"",分期持仓明细!$AD$17*SUMPRODUCT(分期持仓明细!$B$17:$AA$17,'实盘净值数据(iFinD公式)'!$B905:$AA905/'实盘净值数据(iFinD公式)'!$B$20:$AA$20)*(1-实盘持仓初始配置!$Z$4)^(('实盘净值数据(iFinD公式)'!$A905-'实盘净值数据(iFinD公式)'!$A$6)/365))</x:f>
        <x:v>#NAME?</x:v>
      </x:c>
      <x:c r="C905" s="152" t="e">
        <x:f>IF(OR(B904="",B905=""),"",B905/B904-1)</x:f>
        <x:v>#NAME?</x:v>
      </x:c>
      <x:c r="D905" s="152" t="e">
        <x:f>IF(B905="","",B905/MAX(B$5:B905)-1)</x:f>
        <x:v>#NAME?</x:v>
      </x:c>
      <x:c r="E905" s="146" t="e">
        <x:f>IF(OR('实盘净值数据(iFinD公式)'!$A905="",'实盘净值数据(iFinD公式)'!$B905=""),"",分期持仓明细!$AD$18*SUMPRODUCT(分期持仓明细!$B$18:$AA$18,'实盘净值数据(iFinD公式)'!$B905:$AA905/'实盘净值数据(iFinD公式)'!$B$20:$AA$20)*(1-实盘持仓初始配置!$Z$5)^(('实盘净值数据(iFinD公式)'!$A905-'实盘净值数据(iFinD公式)'!$A$5)/365))</x:f>
        <x:v>#NAME?</x:v>
      </x:c>
      <x:c r="F905" s="152" t="e">
        <x:f>IF(OR(E904="",E905=""),"",E905/E904-1)</x:f>
        <x:v>#NAME?</x:v>
      </x:c>
      <x:c r="G905" s="152" t="e">
        <x:f>IF(E905="","",E905/MAX(E$5:E905)-1)</x:f>
        <x:v>#NAME?</x:v>
      </x:c>
      <x:c r="H905" s="146" t="e">
        <x:f>IF(OR('实盘净值数据(iFinD公式)'!$A905="",'实盘净值数据(iFinD公式)'!$B905=""),"",分期持仓明细!$AD$19*SUMPRODUCT(分期持仓明细!$B$19:$AA$19,'实盘净值数据(iFinD公式)'!$B905:$AA905/'实盘净值数据(iFinD公式)'!$B$20:$AA$20)*(1-实盘持仓初始配置!$Z$6)^(('实盘净值数据(iFinD公式)'!$A905-'实盘净值数据(iFinD公式)'!$A$7)/365))</x:f>
        <x:v>#NAME?</x:v>
      </x:c>
      <x:c r="I905" s="152" t="e">
        <x:f>IF(OR(H904="",H905=""),"",H905/H904-1)</x:f>
        <x:v>#NAME?</x:v>
      </x:c>
      <x:c r="J905" s="152" t="e">
        <x:f>IF(H905="","",H905/MAX(H$5:H905)-1)</x:f>
        <x:v>#NAME?</x:v>
      </x:c>
      <x:c r="K905" s="146" t="e">
        <x:f>IF(OR('实盘净值数据(iFinD公式)'!$A905="",'实盘净值数据(iFinD公式)'!$B905=""),"",分期持仓明细!$AD$23*SUMPRODUCT(分期持仓明细!$B$23:$AA$23,'实盘净值数据(iFinD公式)'!$B905:$AA905/'实盘净值数据(iFinD公式)'!$B$65:$AA$65)*(1-实盘持仓初始配置!$Z$7)^(('实盘净值数据(iFinD公式)'!$A905-'实盘净值数据(iFinD公式)'!$A$8)/365))</x:f>
        <x:v>#NAME?</x:v>
      </x:c>
      <x:c r="L905" s="152" t="e">
        <x:f>IF(OR(K904="",K905=""),"",K905/K904-1)</x:f>
        <x:v>#NAME?</x:v>
      </x:c>
      <x:c r="M905" s="152" t="e">
        <x:f>IF(K905="","",K905/MAX(K$5:K905)-1)</x:f>
        <x:v>#NAME?</x:v>
      </x:c>
      <x:c r="N905" s="146" t="e">
        <x:f>IF(OR('实盘净值数据(iFinD公式)'!$A905="",'实盘净值数据(iFinD公式)'!$B905=""),"",分期持仓明细!$AD$24*SUMPRODUCT(分期持仓明细!$B$24:$AA$24,'实盘净值数据(iFinD公式)'!$B905:$AA905/'实盘净值数据(iFinD公式)'!$B$65:$AA$65)*(1-实盘持仓初始配置!$Z$8)^(('实盘净值数据(iFinD公式)'!$A905-'实盘净值数据(iFinD公式)'!$A$5)/365))</x:f>
        <x:v>#NAME?</x:v>
      </x:c>
      <x:c r="O905" s="152" t="e">
        <x:f>IF(OR(N904="",N905=""),"",N905/N904-1)</x:f>
        <x:v>#NAME?</x:v>
      </x:c>
      <x:c r="P905" s="152" t="e">
        <x:f>IF(N905="","",N905/MAX(N$5:N905)-1)</x:f>
        <x:v>#NAME?</x:v>
      </x:c>
      <x:c r="Q905" s="146" t="e">
        <x:f>IF(OR('实盘净值数据(iFinD公式)'!$A905="",'实盘净值数据(iFinD公式)'!$B905=""),"",分期持仓明细!$AD$25*SUMPRODUCT(分期持仓明细!$B$25:$AA$25,'实盘净值数据(iFinD公式)'!$B905:$AA905/'实盘净值数据(iFinD公式)'!$B$65:$AA$65)*(1-实盘持仓初始配置!$Z$9)^(('实盘净值数据(iFinD公式)'!$A905-'实盘净值数据(iFinD公式)'!$A$8)/365))</x:f>
        <x:v>#NAME?</x:v>
      </x:c>
      <x:c r="R905" s="152" t="e">
        <x:f>IF(OR(Q904="",Q905=""),"",Q905/Q904-1)</x:f>
        <x:v>#NAME?</x:v>
      </x:c>
      <x:c r="S905" s="152" t="e">
        <x:f>IF(Q905="","",Q905/MAX(Q$5:Q905)-1)</x:f>
        <x:v>#NAME?</x:v>
      </x:c>
    </x:row>
    <x:row r="906">
      <x:c r="A906" s="149" t="str">
        <x:f>IF('实盘净值数据(iFinD公式)'!A906="","",'实盘净值数据(iFinD公式)'!A906)</x:f>
      </x:c>
      <x:c r="B906" s="146" t="e">
        <x:f>IF(OR('实盘净值数据(iFinD公式)'!$A906="",'实盘净值数据(iFinD公式)'!$B906=""),"",分期持仓明细!$AD$17*SUMPRODUCT(分期持仓明细!$B$17:$AA$17,'实盘净值数据(iFinD公式)'!$B906:$AA906/'实盘净值数据(iFinD公式)'!$B$20:$AA$20)*(1-实盘持仓初始配置!$Z$4)^(('实盘净值数据(iFinD公式)'!$A906-'实盘净值数据(iFinD公式)'!$A$6)/365))</x:f>
        <x:v>#NAME?</x:v>
      </x:c>
      <x:c r="C906" s="152" t="e">
        <x:f>IF(OR(B905="",B906=""),"",B906/B905-1)</x:f>
        <x:v>#NAME?</x:v>
      </x:c>
      <x:c r="D906" s="152" t="e">
        <x:f>IF(B906="","",B906/MAX(B$5:B906)-1)</x:f>
        <x:v>#NAME?</x:v>
      </x:c>
      <x:c r="E906" s="146" t="e">
        <x:f>IF(OR('实盘净值数据(iFinD公式)'!$A906="",'实盘净值数据(iFinD公式)'!$B906=""),"",分期持仓明细!$AD$18*SUMPRODUCT(分期持仓明细!$B$18:$AA$18,'实盘净值数据(iFinD公式)'!$B906:$AA906/'实盘净值数据(iFinD公式)'!$B$20:$AA$20)*(1-实盘持仓初始配置!$Z$5)^(('实盘净值数据(iFinD公式)'!$A906-'实盘净值数据(iFinD公式)'!$A$5)/365))</x:f>
        <x:v>#NAME?</x:v>
      </x:c>
      <x:c r="F906" s="152" t="e">
        <x:f>IF(OR(E905="",E906=""),"",E906/E905-1)</x:f>
        <x:v>#NAME?</x:v>
      </x:c>
      <x:c r="G906" s="152" t="e">
        <x:f>IF(E906="","",E906/MAX(E$5:E906)-1)</x:f>
        <x:v>#NAME?</x:v>
      </x:c>
      <x:c r="H906" s="146" t="e">
        <x:f>IF(OR('实盘净值数据(iFinD公式)'!$A906="",'实盘净值数据(iFinD公式)'!$B906=""),"",分期持仓明细!$AD$19*SUMPRODUCT(分期持仓明细!$B$19:$AA$19,'实盘净值数据(iFinD公式)'!$B906:$AA906/'实盘净值数据(iFinD公式)'!$B$20:$AA$20)*(1-实盘持仓初始配置!$Z$6)^(('实盘净值数据(iFinD公式)'!$A906-'实盘净值数据(iFinD公式)'!$A$7)/365))</x:f>
        <x:v>#NAME?</x:v>
      </x:c>
      <x:c r="I906" s="152" t="e">
        <x:f>IF(OR(H905="",H906=""),"",H906/H905-1)</x:f>
        <x:v>#NAME?</x:v>
      </x:c>
      <x:c r="J906" s="152" t="e">
        <x:f>IF(H906="","",H906/MAX(H$5:H906)-1)</x:f>
        <x:v>#NAME?</x:v>
      </x:c>
      <x:c r="K906" s="146" t="e">
        <x:f>IF(OR('实盘净值数据(iFinD公式)'!$A906="",'实盘净值数据(iFinD公式)'!$B906=""),"",分期持仓明细!$AD$23*SUMPRODUCT(分期持仓明细!$B$23:$AA$23,'实盘净值数据(iFinD公式)'!$B906:$AA906/'实盘净值数据(iFinD公式)'!$B$65:$AA$65)*(1-实盘持仓初始配置!$Z$7)^(('实盘净值数据(iFinD公式)'!$A906-'实盘净值数据(iFinD公式)'!$A$8)/365))</x:f>
        <x:v>#NAME?</x:v>
      </x:c>
      <x:c r="L906" s="152" t="e">
        <x:f>IF(OR(K905="",K906=""),"",K906/K905-1)</x:f>
        <x:v>#NAME?</x:v>
      </x:c>
      <x:c r="M906" s="152" t="e">
        <x:f>IF(K906="","",K906/MAX(K$5:K906)-1)</x:f>
        <x:v>#NAME?</x:v>
      </x:c>
      <x:c r="N906" s="146" t="e">
        <x:f>IF(OR('实盘净值数据(iFinD公式)'!$A906="",'实盘净值数据(iFinD公式)'!$B906=""),"",分期持仓明细!$AD$24*SUMPRODUCT(分期持仓明细!$B$24:$AA$24,'实盘净值数据(iFinD公式)'!$B906:$AA906/'实盘净值数据(iFinD公式)'!$B$65:$AA$65)*(1-实盘持仓初始配置!$Z$8)^(('实盘净值数据(iFinD公式)'!$A906-'实盘净值数据(iFinD公式)'!$A$5)/365))</x:f>
        <x:v>#NAME?</x:v>
      </x:c>
      <x:c r="O906" s="152" t="e">
        <x:f>IF(OR(N905="",N906=""),"",N906/N905-1)</x:f>
        <x:v>#NAME?</x:v>
      </x:c>
      <x:c r="P906" s="152" t="e">
        <x:f>IF(N906="","",N906/MAX(N$5:N906)-1)</x:f>
        <x:v>#NAME?</x:v>
      </x:c>
      <x:c r="Q906" s="146" t="e">
        <x:f>IF(OR('实盘净值数据(iFinD公式)'!$A906="",'实盘净值数据(iFinD公式)'!$B906=""),"",分期持仓明细!$AD$25*SUMPRODUCT(分期持仓明细!$B$25:$AA$25,'实盘净值数据(iFinD公式)'!$B906:$AA906/'实盘净值数据(iFinD公式)'!$B$65:$AA$65)*(1-实盘持仓初始配置!$Z$9)^(('实盘净值数据(iFinD公式)'!$A906-'实盘净值数据(iFinD公式)'!$A$8)/365))</x:f>
        <x:v>#NAME?</x:v>
      </x:c>
      <x:c r="R906" s="152" t="e">
        <x:f>IF(OR(Q905="",Q906=""),"",Q906/Q905-1)</x:f>
        <x:v>#NAME?</x:v>
      </x:c>
      <x:c r="S906" s="152" t="e">
        <x:f>IF(Q906="","",Q906/MAX(Q$5:Q906)-1)</x:f>
        <x:v>#NAME?</x:v>
      </x:c>
    </x:row>
    <x:row r="907">
      <x:c r="A907" s="149" t="str">
        <x:f>IF('实盘净值数据(iFinD公式)'!A907="","",'实盘净值数据(iFinD公式)'!A907)</x:f>
      </x:c>
      <x:c r="B907" s="146" t="e">
        <x:f>IF(OR('实盘净值数据(iFinD公式)'!$A907="",'实盘净值数据(iFinD公式)'!$B907=""),"",分期持仓明细!$AD$17*SUMPRODUCT(分期持仓明细!$B$17:$AA$17,'实盘净值数据(iFinD公式)'!$B907:$AA907/'实盘净值数据(iFinD公式)'!$B$20:$AA$20)*(1-实盘持仓初始配置!$Z$4)^(('实盘净值数据(iFinD公式)'!$A907-'实盘净值数据(iFinD公式)'!$A$6)/365))</x:f>
        <x:v>#NAME?</x:v>
      </x:c>
      <x:c r="C907" s="152" t="e">
        <x:f>IF(OR(B906="",B907=""),"",B907/B906-1)</x:f>
        <x:v>#NAME?</x:v>
      </x:c>
      <x:c r="D907" s="152" t="e">
        <x:f>IF(B907="","",B907/MAX(B$5:B907)-1)</x:f>
        <x:v>#NAME?</x:v>
      </x:c>
      <x:c r="E907" s="146" t="e">
        <x:f>IF(OR('实盘净值数据(iFinD公式)'!$A907="",'实盘净值数据(iFinD公式)'!$B907=""),"",分期持仓明细!$AD$18*SUMPRODUCT(分期持仓明细!$B$18:$AA$18,'实盘净值数据(iFinD公式)'!$B907:$AA907/'实盘净值数据(iFinD公式)'!$B$20:$AA$20)*(1-实盘持仓初始配置!$Z$5)^(('实盘净值数据(iFinD公式)'!$A907-'实盘净值数据(iFinD公式)'!$A$5)/365))</x:f>
        <x:v>#NAME?</x:v>
      </x:c>
      <x:c r="F907" s="152" t="e">
        <x:f>IF(OR(E906="",E907=""),"",E907/E906-1)</x:f>
        <x:v>#NAME?</x:v>
      </x:c>
      <x:c r="G907" s="152" t="e">
        <x:f>IF(E907="","",E907/MAX(E$5:E907)-1)</x:f>
        <x:v>#NAME?</x:v>
      </x:c>
      <x:c r="H907" s="146" t="e">
        <x:f>IF(OR('实盘净值数据(iFinD公式)'!$A907="",'实盘净值数据(iFinD公式)'!$B907=""),"",分期持仓明细!$AD$19*SUMPRODUCT(分期持仓明细!$B$19:$AA$19,'实盘净值数据(iFinD公式)'!$B907:$AA907/'实盘净值数据(iFinD公式)'!$B$20:$AA$20)*(1-实盘持仓初始配置!$Z$6)^(('实盘净值数据(iFinD公式)'!$A907-'实盘净值数据(iFinD公式)'!$A$7)/365))</x:f>
        <x:v>#NAME?</x:v>
      </x:c>
      <x:c r="I907" s="152" t="e">
        <x:f>IF(OR(H906="",H907=""),"",H907/H906-1)</x:f>
        <x:v>#NAME?</x:v>
      </x:c>
      <x:c r="J907" s="152" t="e">
        <x:f>IF(H907="","",H907/MAX(H$5:H907)-1)</x:f>
        <x:v>#NAME?</x:v>
      </x:c>
      <x:c r="K907" s="146" t="e">
        <x:f>IF(OR('实盘净值数据(iFinD公式)'!$A907="",'实盘净值数据(iFinD公式)'!$B907=""),"",分期持仓明细!$AD$23*SUMPRODUCT(分期持仓明细!$B$23:$AA$23,'实盘净值数据(iFinD公式)'!$B907:$AA907/'实盘净值数据(iFinD公式)'!$B$65:$AA$65)*(1-实盘持仓初始配置!$Z$7)^(('实盘净值数据(iFinD公式)'!$A907-'实盘净值数据(iFinD公式)'!$A$8)/365))</x:f>
        <x:v>#NAME?</x:v>
      </x:c>
      <x:c r="L907" s="152" t="e">
        <x:f>IF(OR(K906="",K907=""),"",K907/K906-1)</x:f>
        <x:v>#NAME?</x:v>
      </x:c>
      <x:c r="M907" s="152" t="e">
        <x:f>IF(K907="","",K907/MAX(K$5:K907)-1)</x:f>
        <x:v>#NAME?</x:v>
      </x:c>
      <x:c r="N907" s="146" t="e">
        <x:f>IF(OR('实盘净值数据(iFinD公式)'!$A907="",'实盘净值数据(iFinD公式)'!$B907=""),"",分期持仓明细!$AD$24*SUMPRODUCT(分期持仓明细!$B$24:$AA$24,'实盘净值数据(iFinD公式)'!$B907:$AA907/'实盘净值数据(iFinD公式)'!$B$65:$AA$65)*(1-实盘持仓初始配置!$Z$8)^(('实盘净值数据(iFinD公式)'!$A907-'实盘净值数据(iFinD公式)'!$A$5)/365))</x:f>
        <x:v>#NAME?</x:v>
      </x:c>
      <x:c r="O907" s="152" t="e">
        <x:f>IF(OR(N906="",N907=""),"",N907/N906-1)</x:f>
        <x:v>#NAME?</x:v>
      </x:c>
      <x:c r="P907" s="152" t="e">
        <x:f>IF(N907="","",N907/MAX(N$5:N907)-1)</x:f>
        <x:v>#NAME?</x:v>
      </x:c>
      <x:c r="Q907" s="146" t="e">
        <x:f>IF(OR('实盘净值数据(iFinD公式)'!$A907="",'实盘净值数据(iFinD公式)'!$B907=""),"",分期持仓明细!$AD$25*SUMPRODUCT(分期持仓明细!$B$25:$AA$25,'实盘净值数据(iFinD公式)'!$B907:$AA907/'实盘净值数据(iFinD公式)'!$B$65:$AA$65)*(1-实盘持仓初始配置!$Z$9)^(('实盘净值数据(iFinD公式)'!$A907-'实盘净值数据(iFinD公式)'!$A$8)/365))</x:f>
        <x:v>#NAME?</x:v>
      </x:c>
      <x:c r="R907" s="152" t="e">
        <x:f>IF(OR(Q906="",Q907=""),"",Q907/Q906-1)</x:f>
        <x:v>#NAME?</x:v>
      </x:c>
      <x:c r="S907" s="152" t="e">
        <x:f>IF(Q907="","",Q907/MAX(Q$5:Q907)-1)</x:f>
        <x:v>#NAME?</x:v>
      </x:c>
    </x:row>
    <x:row r="908">
      <x:c r="A908" s="149" t="str">
        <x:f>IF('实盘净值数据(iFinD公式)'!A908="","",'实盘净值数据(iFinD公式)'!A908)</x:f>
      </x:c>
      <x:c r="B908" s="146" t="e">
        <x:f>IF(OR('实盘净值数据(iFinD公式)'!$A908="",'实盘净值数据(iFinD公式)'!$B908=""),"",分期持仓明细!$AD$17*SUMPRODUCT(分期持仓明细!$B$17:$AA$17,'实盘净值数据(iFinD公式)'!$B908:$AA908/'实盘净值数据(iFinD公式)'!$B$20:$AA$20)*(1-实盘持仓初始配置!$Z$4)^(('实盘净值数据(iFinD公式)'!$A908-'实盘净值数据(iFinD公式)'!$A$6)/365))</x:f>
        <x:v>#NAME?</x:v>
      </x:c>
      <x:c r="C908" s="152" t="e">
        <x:f>IF(OR(B907="",B908=""),"",B908/B907-1)</x:f>
        <x:v>#NAME?</x:v>
      </x:c>
      <x:c r="D908" s="152" t="e">
        <x:f>IF(B908="","",B908/MAX(B$5:B908)-1)</x:f>
        <x:v>#NAME?</x:v>
      </x:c>
      <x:c r="E908" s="146" t="e">
        <x:f>IF(OR('实盘净值数据(iFinD公式)'!$A908="",'实盘净值数据(iFinD公式)'!$B908=""),"",分期持仓明细!$AD$18*SUMPRODUCT(分期持仓明细!$B$18:$AA$18,'实盘净值数据(iFinD公式)'!$B908:$AA908/'实盘净值数据(iFinD公式)'!$B$20:$AA$20)*(1-实盘持仓初始配置!$Z$5)^(('实盘净值数据(iFinD公式)'!$A908-'实盘净值数据(iFinD公式)'!$A$5)/365))</x:f>
        <x:v>#NAME?</x:v>
      </x:c>
      <x:c r="F908" s="152" t="e">
        <x:f>IF(OR(E907="",E908=""),"",E908/E907-1)</x:f>
        <x:v>#NAME?</x:v>
      </x:c>
      <x:c r="G908" s="152" t="e">
        <x:f>IF(E908="","",E908/MAX(E$5:E908)-1)</x:f>
        <x:v>#NAME?</x:v>
      </x:c>
      <x:c r="H908" s="146" t="e">
        <x:f>IF(OR('实盘净值数据(iFinD公式)'!$A908="",'实盘净值数据(iFinD公式)'!$B908=""),"",分期持仓明细!$AD$19*SUMPRODUCT(分期持仓明细!$B$19:$AA$19,'实盘净值数据(iFinD公式)'!$B908:$AA908/'实盘净值数据(iFinD公式)'!$B$20:$AA$20)*(1-实盘持仓初始配置!$Z$6)^(('实盘净值数据(iFinD公式)'!$A908-'实盘净值数据(iFinD公式)'!$A$7)/365))</x:f>
        <x:v>#NAME?</x:v>
      </x:c>
      <x:c r="I908" s="152" t="e">
        <x:f>IF(OR(H907="",H908=""),"",H908/H907-1)</x:f>
        <x:v>#NAME?</x:v>
      </x:c>
      <x:c r="J908" s="152" t="e">
        <x:f>IF(H908="","",H908/MAX(H$5:H908)-1)</x:f>
        <x:v>#NAME?</x:v>
      </x:c>
      <x:c r="K908" s="146" t="e">
        <x:f>IF(OR('实盘净值数据(iFinD公式)'!$A908="",'实盘净值数据(iFinD公式)'!$B908=""),"",分期持仓明细!$AD$23*SUMPRODUCT(分期持仓明细!$B$23:$AA$23,'实盘净值数据(iFinD公式)'!$B908:$AA908/'实盘净值数据(iFinD公式)'!$B$65:$AA$65)*(1-实盘持仓初始配置!$Z$7)^(('实盘净值数据(iFinD公式)'!$A908-'实盘净值数据(iFinD公式)'!$A$8)/365))</x:f>
        <x:v>#NAME?</x:v>
      </x:c>
      <x:c r="L908" s="152" t="e">
        <x:f>IF(OR(K907="",K908=""),"",K908/K907-1)</x:f>
        <x:v>#NAME?</x:v>
      </x:c>
      <x:c r="M908" s="152" t="e">
        <x:f>IF(K908="","",K908/MAX(K$5:K908)-1)</x:f>
        <x:v>#NAME?</x:v>
      </x:c>
      <x:c r="N908" s="146" t="e">
        <x:f>IF(OR('实盘净值数据(iFinD公式)'!$A908="",'实盘净值数据(iFinD公式)'!$B908=""),"",分期持仓明细!$AD$24*SUMPRODUCT(分期持仓明细!$B$24:$AA$24,'实盘净值数据(iFinD公式)'!$B908:$AA908/'实盘净值数据(iFinD公式)'!$B$65:$AA$65)*(1-实盘持仓初始配置!$Z$8)^(('实盘净值数据(iFinD公式)'!$A908-'实盘净值数据(iFinD公式)'!$A$5)/365))</x:f>
        <x:v>#NAME?</x:v>
      </x:c>
      <x:c r="O908" s="152" t="e">
        <x:f>IF(OR(N907="",N908=""),"",N908/N907-1)</x:f>
        <x:v>#NAME?</x:v>
      </x:c>
      <x:c r="P908" s="152" t="e">
        <x:f>IF(N908="","",N908/MAX(N$5:N908)-1)</x:f>
        <x:v>#NAME?</x:v>
      </x:c>
      <x:c r="Q908" s="146" t="e">
        <x:f>IF(OR('实盘净值数据(iFinD公式)'!$A908="",'实盘净值数据(iFinD公式)'!$B908=""),"",分期持仓明细!$AD$25*SUMPRODUCT(分期持仓明细!$B$25:$AA$25,'实盘净值数据(iFinD公式)'!$B908:$AA908/'实盘净值数据(iFinD公式)'!$B$65:$AA$65)*(1-实盘持仓初始配置!$Z$9)^(('实盘净值数据(iFinD公式)'!$A908-'实盘净值数据(iFinD公式)'!$A$8)/365))</x:f>
        <x:v>#NAME?</x:v>
      </x:c>
      <x:c r="R908" s="152" t="e">
        <x:f>IF(OR(Q907="",Q908=""),"",Q908/Q907-1)</x:f>
        <x:v>#NAME?</x:v>
      </x:c>
      <x:c r="S908" s="152" t="e">
        <x:f>IF(Q908="","",Q908/MAX(Q$5:Q908)-1)</x:f>
        <x:v>#NAME?</x:v>
      </x:c>
    </x:row>
    <x:row r="909">
      <x:c r="A909" s="149" t="str">
        <x:f>IF('实盘净值数据(iFinD公式)'!A909="","",'实盘净值数据(iFinD公式)'!A909)</x:f>
      </x:c>
      <x:c r="B909" s="146" t="e">
        <x:f>IF(OR('实盘净值数据(iFinD公式)'!$A909="",'实盘净值数据(iFinD公式)'!$B909=""),"",分期持仓明细!$AD$17*SUMPRODUCT(分期持仓明细!$B$17:$AA$17,'实盘净值数据(iFinD公式)'!$B909:$AA909/'实盘净值数据(iFinD公式)'!$B$20:$AA$20)*(1-实盘持仓初始配置!$Z$4)^(('实盘净值数据(iFinD公式)'!$A909-'实盘净值数据(iFinD公式)'!$A$6)/365))</x:f>
        <x:v>#NAME?</x:v>
      </x:c>
      <x:c r="C909" s="152" t="e">
        <x:f>IF(OR(B908="",B909=""),"",B909/B908-1)</x:f>
        <x:v>#NAME?</x:v>
      </x:c>
      <x:c r="D909" s="152" t="e">
        <x:f>IF(B909="","",B909/MAX(B$5:B909)-1)</x:f>
        <x:v>#NAME?</x:v>
      </x:c>
      <x:c r="E909" s="146" t="e">
        <x:f>IF(OR('实盘净值数据(iFinD公式)'!$A909="",'实盘净值数据(iFinD公式)'!$B909=""),"",分期持仓明细!$AD$18*SUMPRODUCT(分期持仓明细!$B$18:$AA$18,'实盘净值数据(iFinD公式)'!$B909:$AA909/'实盘净值数据(iFinD公式)'!$B$20:$AA$20)*(1-实盘持仓初始配置!$Z$5)^(('实盘净值数据(iFinD公式)'!$A909-'实盘净值数据(iFinD公式)'!$A$5)/365))</x:f>
        <x:v>#NAME?</x:v>
      </x:c>
      <x:c r="F909" s="152" t="e">
        <x:f>IF(OR(E908="",E909=""),"",E909/E908-1)</x:f>
        <x:v>#NAME?</x:v>
      </x:c>
      <x:c r="G909" s="152" t="e">
        <x:f>IF(E909="","",E909/MAX(E$5:E909)-1)</x:f>
        <x:v>#NAME?</x:v>
      </x:c>
      <x:c r="H909" s="146" t="e">
        <x:f>IF(OR('实盘净值数据(iFinD公式)'!$A909="",'实盘净值数据(iFinD公式)'!$B909=""),"",分期持仓明细!$AD$19*SUMPRODUCT(分期持仓明细!$B$19:$AA$19,'实盘净值数据(iFinD公式)'!$B909:$AA909/'实盘净值数据(iFinD公式)'!$B$20:$AA$20)*(1-实盘持仓初始配置!$Z$6)^(('实盘净值数据(iFinD公式)'!$A909-'实盘净值数据(iFinD公式)'!$A$7)/365))</x:f>
        <x:v>#NAME?</x:v>
      </x:c>
      <x:c r="I909" s="152" t="e">
        <x:f>IF(OR(H908="",H909=""),"",H909/H908-1)</x:f>
        <x:v>#NAME?</x:v>
      </x:c>
      <x:c r="J909" s="152" t="e">
        <x:f>IF(H909="","",H909/MAX(H$5:H909)-1)</x:f>
        <x:v>#NAME?</x:v>
      </x:c>
      <x:c r="K909" s="146" t="e">
        <x:f>IF(OR('实盘净值数据(iFinD公式)'!$A909="",'实盘净值数据(iFinD公式)'!$B909=""),"",分期持仓明细!$AD$23*SUMPRODUCT(分期持仓明细!$B$23:$AA$23,'实盘净值数据(iFinD公式)'!$B909:$AA909/'实盘净值数据(iFinD公式)'!$B$65:$AA$65)*(1-实盘持仓初始配置!$Z$7)^(('实盘净值数据(iFinD公式)'!$A909-'实盘净值数据(iFinD公式)'!$A$8)/365))</x:f>
        <x:v>#NAME?</x:v>
      </x:c>
      <x:c r="L909" s="152" t="e">
        <x:f>IF(OR(K908="",K909=""),"",K909/K908-1)</x:f>
        <x:v>#NAME?</x:v>
      </x:c>
      <x:c r="M909" s="152" t="e">
        <x:f>IF(K909="","",K909/MAX(K$5:K909)-1)</x:f>
        <x:v>#NAME?</x:v>
      </x:c>
      <x:c r="N909" s="146" t="e">
        <x:f>IF(OR('实盘净值数据(iFinD公式)'!$A909="",'实盘净值数据(iFinD公式)'!$B909=""),"",分期持仓明细!$AD$24*SUMPRODUCT(分期持仓明细!$B$24:$AA$24,'实盘净值数据(iFinD公式)'!$B909:$AA909/'实盘净值数据(iFinD公式)'!$B$65:$AA$65)*(1-实盘持仓初始配置!$Z$8)^(('实盘净值数据(iFinD公式)'!$A909-'实盘净值数据(iFinD公式)'!$A$5)/365))</x:f>
        <x:v>#NAME?</x:v>
      </x:c>
      <x:c r="O909" s="152" t="e">
        <x:f>IF(OR(N908="",N909=""),"",N909/N908-1)</x:f>
        <x:v>#NAME?</x:v>
      </x:c>
      <x:c r="P909" s="152" t="e">
        <x:f>IF(N909="","",N909/MAX(N$5:N909)-1)</x:f>
        <x:v>#NAME?</x:v>
      </x:c>
      <x:c r="Q909" s="146" t="e">
        <x:f>IF(OR('实盘净值数据(iFinD公式)'!$A909="",'实盘净值数据(iFinD公式)'!$B909=""),"",分期持仓明细!$AD$25*SUMPRODUCT(分期持仓明细!$B$25:$AA$25,'实盘净值数据(iFinD公式)'!$B909:$AA909/'实盘净值数据(iFinD公式)'!$B$65:$AA$65)*(1-实盘持仓初始配置!$Z$9)^(('实盘净值数据(iFinD公式)'!$A909-'实盘净值数据(iFinD公式)'!$A$8)/365))</x:f>
        <x:v>#NAME?</x:v>
      </x:c>
      <x:c r="R909" s="152" t="e">
        <x:f>IF(OR(Q908="",Q909=""),"",Q909/Q908-1)</x:f>
        <x:v>#NAME?</x:v>
      </x:c>
      <x:c r="S909" s="152" t="e">
        <x:f>IF(Q909="","",Q909/MAX(Q$5:Q909)-1)</x:f>
        <x:v>#NAME?</x:v>
      </x:c>
    </x:row>
    <x:row r="910">
      <x:c r="A910" s="149" t="str">
        <x:f>IF('实盘净值数据(iFinD公式)'!A910="","",'实盘净值数据(iFinD公式)'!A910)</x:f>
      </x:c>
      <x:c r="B910" s="146" t="e">
        <x:f>IF(OR('实盘净值数据(iFinD公式)'!$A910="",'实盘净值数据(iFinD公式)'!$B910=""),"",分期持仓明细!$AD$17*SUMPRODUCT(分期持仓明细!$B$17:$AA$17,'实盘净值数据(iFinD公式)'!$B910:$AA910/'实盘净值数据(iFinD公式)'!$B$20:$AA$20)*(1-实盘持仓初始配置!$Z$4)^(('实盘净值数据(iFinD公式)'!$A910-'实盘净值数据(iFinD公式)'!$A$6)/365))</x:f>
        <x:v>#NAME?</x:v>
      </x:c>
      <x:c r="C910" s="152" t="e">
        <x:f>IF(OR(B909="",B910=""),"",B910/B909-1)</x:f>
        <x:v>#NAME?</x:v>
      </x:c>
      <x:c r="D910" s="152" t="e">
        <x:f>IF(B910="","",B910/MAX(B$5:B910)-1)</x:f>
        <x:v>#NAME?</x:v>
      </x:c>
      <x:c r="E910" s="146" t="e">
        <x:f>IF(OR('实盘净值数据(iFinD公式)'!$A910="",'实盘净值数据(iFinD公式)'!$B910=""),"",分期持仓明细!$AD$18*SUMPRODUCT(分期持仓明细!$B$18:$AA$18,'实盘净值数据(iFinD公式)'!$B910:$AA910/'实盘净值数据(iFinD公式)'!$B$20:$AA$20)*(1-实盘持仓初始配置!$Z$5)^(('实盘净值数据(iFinD公式)'!$A910-'实盘净值数据(iFinD公式)'!$A$5)/365))</x:f>
        <x:v>#NAME?</x:v>
      </x:c>
      <x:c r="F910" s="152" t="e">
        <x:f>IF(OR(E909="",E910=""),"",E910/E909-1)</x:f>
        <x:v>#NAME?</x:v>
      </x:c>
      <x:c r="G910" s="152" t="e">
        <x:f>IF(E910="","",E910/MAX(E$5:E910)-1)</x:f>
        <x:v>#NAME?</x:v>
      </x:c>
      <x:c r="H910" s="146" t="e">
        <x:f>IF(OR('实盘净值数据(iFinD公式)'!$A910="",'实盘净值数据(iFinD公式)'!$B910=""),"",分期持仓明细!$AD$19*SUMPRODUCT(分期持仓明细!$B$19:$AA$19,'实盘净值数据(iFinD公式)'!$B910:$AA910/'实盘净值数据(iFinD公式)'!$B$20:$AA$20)*(1-实盘持仓初始配置!$Z$6)^(('实盘净值数据(iFinD公式)'!$A910-'实盘净值数据(iFinD公式)'!$A$7)/365))</x:f>
        <x:v>#NAME?</x:v>
      </x:c>
      <x:c r="I910" s="152" t="e">
        <x:f>IF(OR(H909="",H910=""),"",H910/H909-1)</x:f>
        <x:v>#NAME?</x:v>
      </x:c>
      <x:c r="J910" s="152" t="e">
        <x:f>IF(H910="","",H910/MAX(H$5:H910)-1)</x:f>
        <x:v>#NAME?</x:v>
      </x:c>
      <x:c r="K910" s="146" t="e">
        <x:f>IF(OR('实盘净值数据(iFinD公式)'!$A910="",'实盘净值数据(iFinD公式)'!$B910=""),"",分期持仓明细!$AD$23*SUMPRODUCT(分期持仓明细!$B$23:$AA$23,'实盘净值数据(iFinD公式)'!$B910:$AA910/'实盘净值数据(iFinD公式)'!$B$65:$AA$65)*(1-实盘持仓初始配置!$Z$7)^(('实盘净值数据(iFinD公式)'!$A910-'实盘净值数据(iFinD公式)'!$A$8)/365))</x:f>
        <x:v>#NAME?</x:v>
      </x:c>
      <x:c r="L910" s="152" t="e">
        <x:f>IF(OR(K909="",K910=""),"",K910/K909-1)</x:f>
        <x:v>#NAME?</x:v>
      </x:c>
      <x:c r="M910" s="152" t="e">
        <x:f>IF(K910="","",K910/MAX(K$5:K910)-1)</x:f>
        <x:v>#NAME?</x:v>
      </x:c>
      <x:c r="N910" s="146" t="e">
        <x:f>IF(OR('实盘净值数据(iFinD公式)'!$A910="",'实盘净值数据(iFinD公式)'!$B910=""),"",分期持仓明细!$AD$24*SUMPRODUCT(分期持仓明细!$B$24:$AA$24,'实盘净值数据(iFinD公式)'!$B910:$AA910/'实盘净值数据(iFinD公式)'!$B$65:$AA$65)*(1-实盘持仓初始配置!$Z$8)^(('实盘净值数据(iFinD公式)'!$A910-'实盘净值数据(iFinD公式)'!$A$5)/365))</x:f>
        <x:v>#NAME?</x:v>
      </x:c>
      <x:c r="O910" s="152" t="e">
        <x:f>IF(OR(N909="",N910=""),"",N910/N909-1)</x:f>
        <x:v>#NAME?</x:v>
      </x:c>
      <x:c r="P910" s="152" t="e">
        <x:f>IF(N910="","",N910/MAX(N$5:N910)-1)</x:f>
        <x:v>#NAME?</x:v>
      </x:c>
      <x:c r="Q910" s="146" t="e">
        <x:f>IF(OR('实盘净值数据(iFinD公式)'!$A910="",'实盘净值数据(iFinD公式)'!$B910=""),"",分期持仓明细!$AD$25*SUMPRODUCT(分期持仓明细!$B$25:$AA$25,'实盘净值数据(iFinD公式)'!$B910:$AA910/'实盘净值数据(iFinD公式)'!$B$65:$AA$65)*(1-实盘持仓初始配置!$Z$9)^(('实盘净值数据(iFinD公式)'!$A910-'实盘净值数据(iFinD公式)'!$A$8)/365))</x:f>
        <x:v>#NAME?</x:v>
      </x:c>
      <x:c r="R910" s="152" t="e">
        <x:f>IF(OR(Q909="",Q910=""),"",Q910/Q909-1)</x:f>
        <x:v>#NAME?</x:v>
      </x:c>
      <x:c r="S910" s="152" t="e">
        <x:f>IF(Q910="","",Q910/MAX(Q$5:Q910)-1)</x:f>
        <x:v>#NAME?</x:v>
      </x:c>
    </x:row>
    <x:row r="911">
      <x:c r="A911" s="149" t="str">
        <x:f>IF('实盘净值数据(iFinD公式)'!A911="","",'实盘净值数据(iFinD公式)'!A911)</x:f>
      </x:c>
      <x:c r="B911" s="146" t="e">
        <x:f>IF(OR('实盘净值数据(iFinD公式)'!$A911="",'实盘净值数据(iFinD公式)'!$B911=""),"",分期持仓明细!$AD$17*SUMPRODUCT(分期持仓明细!$B$17:$AA$17,'实盘净值数据(iFinD公式)'!$B911:$AA911/'实盘净值数据(iFinD公式)'!$B$20:$AA$20)*(1-实盘持仓初始配置!$Z$4)^(('实盘净值数据(iFinD公式)'!$A911-'实盘净值数据(iFinD公式)'!$A$6)/365))</x:f>
        <x:v>#NAME?</x:v>
      </x:c>
      <x:c r="C911" s="152" t="e">
        <x:f>IF(OR(B910="",B911=""),"",B911/B910-1)</x:f>
        <x:v>#NAME?</x:v>
      </x:c>
      <x:c r="D911" s="152" t="e">
        <x:f>IF(B911="","",B911/MAX(B$5:B911)-1)</x:f>
        <x:v>#NAME?</x:v>
      </x:c>
      <x:c r="E911" s="146" t="e">
        <x:f>IF(OR('实盘净值数据(iFinD公式)'!$A911="",'实盘净值数据(iFinD公式)'!$B911=""),"",分期持仓明细!$AD$18*SUMPRODUCT(分期持仓明细!$B$18:$AA$18,'实盘净值数据(iFinD公式)'!$B911:$AA911/'实盘净值数据(iFinD公式)'!$B$20:$AA$20)*(1-实盘持仓初始配置!$Z$5)^(('实盘净值数据(iFinD公式)'!$A911-'实盘净值数据(iFinD公式)'!$A$5)/365))</x:f>
        <x:v>#NAME?</x:v>
      </x:c>
      <x:c r="F911" s="152" t="e">
        <x:f>IF(OR(E910="",E911=""),"",E911/E910-1)</x:f>
        <x:v>#NAME?</x:v>
      </x:c>
      <x:c r="G911" s="152" t="e">
        <x:f>IF(E911="","",E911/MAX(E$5:E911)-1)</x:f>
        <x:v>#NAME?</x:v>
      </x:c>
      <x:c r="H911" s="146" t="e">
        <x:f>IF(OR('实盘净值数据(iFinD公式)'!$A911="",'实盘净值数据(iFinD公式)'!$B911=""),"",分期持仓明细!$AD$19*SUMPRODUCT(分期持仓明细!$B$19:$AA$19,'实盘净值数据(iFinD公式)'!$B911:$AA911/'实盘净值数据(iFinD公式)'!$B$20:$AA$20)*(1-实盘持仓初始配置!$Z$6)^(('实盘净值数据(iFinD公式)'!$A911-'实盘净值数据(iFinD公式)'!$A$7)/365))</x:f>
        <x:v>#NAME?</x:v>
      </x:c>
      <x:c r="I911" s="152" t="e">
        <x:f>IF(OR(H910="",H911=""),"",H911/H910-1)</x:f>
        <x:v>#NAME?</x:v>
      </x:c>
      <x:c r="J911" s="152" t="e">
        <x:f>IF(H911="","",H911/MAX(H$5:H911)-1)</x:f>
        <x:v>#NAME?</x:v>
      </x:c>
      <x:c r="K911" s="146" t="e">
        <x:f>IF(OR('实盘净值数据(iFinD公式)'!$A911="",'实盘净值数据(iFinD公式)'!$B911=""),"",分期持仓明细!$AD$23*SUMPRODUCT(分期持仓明细!$B$23:$AA$23,'实盘净值数据(iFinD公式)'!$B911:$AA911/'实盘净值数据(iFinD公式)'!$B$65:$AA$65)*(1-实盘持仓初始配置!$Z$7)^(('实盘净值数据(iFinD公式)'!$A911-'实盘净值数据(iFinD公式)'!$A$8)/365))</x:f>
        <x:v>#NAME?</x:v>
      </x:c>
      <x:c r="L911" s="152" t="e">
        <x:f>IF(OR(K910="",K911=""),"",K911/K910-1)</x:f>
        <x:v>#NAME?</x:v>
      </x:c>
      <x:c r="M911" s="152" t="e">
        <x:f>IF(K911="","",K911/MAX(K$5:K911)-1)</x:f>
        <x:v>#NAME?</x:v>
      </x:c>
      <x:c r="N911" s="146" t="e">
        <x:f>IF(OR('实盘净值数据(iFinD公式)'!$A911="",'实盘净值数据(iFinD公式)'!$B911=""),"",分期持仓明细!$AD$24*SUMPRODUCT(分期持仓明细!$B$24:$AA$24,'实盘净值数据(iFinD公式)'!$B911:$AA911/'实盘净值数据(iFinD公式)'!$B$65:$AA$65)*(1-实盘持仓初始配置!$Z$8)^(('实盘净值数据(iFinD公式)'!$A911-'实盘净值数据(iFinD公式)'!$A$5)/365))</x:f>
        <x:v>#NAME?</x:v>
      </x:c>
      <x:c r="O911" s="152" t="e">
        <x:f>IF(OR(N910="",N911=""),"",N911/N910-1)</x:f>
        <x:v>#NAME?</x:v>
      </x:c>
      <x:c r="P911" s="152" t="e">
        <x:f>IF(N911="","",N911/MAX(N$5:N911)-1)</x:f>
        <x:v>#NAME?</x:v>
      </x:c>
      <x:c r="Q911" s="146" t="e">
        <x:f>IF(OR('实盘净值数据(iFinD公式)'!$A911="",'实盘净值数据(iFinD公式)'!$B911=""),"",分期持仓明细!$AD$25*SUMPRODUCT(分期持仓明细!$B$25:$AA$25,'实盘净值数据(iFinD公式)'!$B911:$AA911/'实盘净值数据(iFinD公式)'!$B$65:$AA$65)*(1-实盘持仓初始配置!$Z$9)^(('实盘净值数据(iFinD公式)'!$A911-'实盘净值数据(iFinD公式)'!$A$8)/365))</x:f>
        <x:v>#NAME?</x:v>
      </x:c>
      <x:c r="R911" s="152" t="e">
        <x:f>IF(OR(Q910="",Q911=""),"",Q911/Q910-1)</x:f>
        <x:v>#NAME?</x:v>
      </x:c>
      <x:c r="S911" s="152" t="e">
        <x:f>IF(Q911="","",Q911/MAX(Q$5:Q911)-1)</x:f>
        <x:v>#NAME?</x:v>
      </x:c>
    </x:row>
    <x:row r="912">
      <x:c r="A912" s="149" t="str">
        <x:f>IF('实盘净值数据(iFinD公式)'!A912="","",'实盘净值数据(iFinD公式)'!A912)</x:f>
      </x:c>
      <x:c r="B912" s="146" t="e">
        <x:f>IF(OR('实盘净值数据(iFinD公式)'!$A912="",'实盘净值数据(iFinD公式)'!$B912=""),"",分期持仓明细!$AD$17*SUMPRODUCT(分期持仓明细!$B$17:$AA$17,'实盘净值数据(iFinD公式)'!$B912:$AA912/'实盘净值数据(iFinD公式)'!$B$20:$AA$20)*(1-实盘持仓初始配置!$Z$4)^(('实盘净值数据(iFinD公式)'!$A912-'实盘净值数据(iFinD公式)'!$A$6)/365))</x:f>
        <x:v>#NAME?</x:v>
      </x:c>
      <x:c r="C912" s="152" t="e">
        <x:f>IF(OR(B911="",B912=""),"",B912/B911-1)</x:f>
        <x:v>#NAME?</x:v>
      </x:c>
      <x:c r="D912" s="152" t="e">
        <x:f>IF(B912="","",B912/MAX(B$5:B912)-1)</x:f>
        <x:v>#NAME?</x:v>
      </x:c>
      <x:c r="E912" s="146" t="e">
        <x:f>IF(OR('实盘净值数据(iFinD公式)'!$A912="",'实盘净值数据(iFinD公式)'!$B912=""),"",分期持仓明细!$AD$18*SUMPRODUCT(分期持仓明细!$B$18:$AA$18,'实盘净值数据(iFinD公式)'!$B912:$AA912/'实盘净值数据(iFinD公式)'!$B$20:$AA$20)*(1-实盘持仓初始配置!$Z$5)^(('实盘净值数据(iFinD公式)'!$A912-'实盘净值数据(iFinD公式)'!$A$5)/365))</x:f>
        <x:v>#NAME?</x:v>
      </x:c>
      <x:c r="F912" s="152" t="e">
        <x:f>IF(OR(E911="",E912=""),"",E912/E911-1)</x:f>
        <x:v>#NAME?</x:v>
      </x:c>
      <x:c r="G912" s="152" t="e">
        <x:f>IF(E912="","",E912/MAX(E$5:E912)-1)</x:f>
        <x:v>#NAME?</x:v>
      </x:c>
      <x:c r="H912" s="146" t="e">
        <x:f>IF(OR('实盘净值数据(iFinD公式)'!$A912="",'实盘净值数据(iFinD公式)'!$B912=""),"",分期持仓明细!$AD$19*SUMPRODUCT(分期持仓明细!$B$19:$AA$19,'实盘净值数据(iFinD公式)'!$B912:$AA912/'实盘净值数据(iFinD公式)'!$B$20:$AA$20)*(1-实盘持仓初始配置!$Z$6)^(('实盘净值数据(iFinD公式)'!$A912-'实盘净值数据(iFinD公式)'!$A$7)/365))</x:f>
        <x:v>#NAME?</x:v>
      </x:c>
      <x:c r="I912" s="152" t="e">
        <x:f>IF(OR(H911="",H912=""),"",H912/H911-1)</x:f>
        <x:v>#NAME?</x:v>
      </x:c>
      <x:c r="J912" s="152" t="e">
        <x:f>IF(H912="","",H912/MAX(H$5:H912)-1)</x:f>
        <x:v>#NAME?</x:v>
      </x:c>
      <x:c r="K912" s="146" t="e">
        <x:f>IF(OR('实盘净值数据(iFinD公式)'!$A912="",'实盘净值数据(iFinD公式)'!$B912=""),"",分期持仓明细!$AD$23*SUMPRODUCT(分期持仓明细!$B$23:$AA$23,'实盘净值数据(iFinD公式)'!$B912:$AA912/'实盘净值数据(iFinD公式)'!$B$65:$AA$65)*(1-实盘持仓初始配置!$Z$7)^(('实盘净值数据(iFinD公式)'!$A912-'实盘净值数据(iFinD公式)'!$A$8)/365))</x:f>
        <x:v>#NAME?</x:v>
      </x:c>
      <x:c r="L912" s="152" t="e">
        <x:f>IF(OR(K911="",K912=""),"",K912/K911-1)</x:f>
        <x:v>#NAME?</x:v>
      </x:c>
      <x:c r="M912" s="152" t="e">
        <x:f>IF(K912="","",K912/MAX(K$5:K912)-1)</x:f>
        <x:v>#NAME?</x:v>
      </x:c>
      <x:c r="N912" s="146" t="e">
        <x:f>IF(OR('实盘净值数据(iFinD公式)'!$A912="",'实盘净值数据(iFinD公式)'!$B912=""),"",分期持仓明细!$AD$24*SUMPRODUCT(分期持仓明细!$B$24:$AA$24,'实盘净值数据(iFinD公式)'!$B912:$AA912/'实盘净值数据(iFinD公式)'!$B$65:$AA$65)*(1-实盘持仓初始配置!$Z$8)^(('实盘净值数据(iFinD公式)'!$A912-'实盘净值数据(iFinD公式)'!$A$5)/365))</x:f>
        <x:v>#NAME?</x:v>
      </x:c>
      <x:c r="O912" s="152" t="e">
        <x:f>IF(OR(N911="",N912=""),"",N912/N911-1)</x:f>
        <x:v>#NAME?</x:v>
      </x:c>
      <x:c r="P912" s="152" t="e">
        <x:f>IF(N912="","",N912/MAX(N$5:N912)-1)</x:f>
        <x:v>#NAME?</x:v>
      </x:c>
      <x:c r="Q912" s="146" t="e">
        <x:f>IF(OR('实盘净值数据(iFinD公式)'!$A912="",'实盘净值数据(iFinD公式)'!$B912=""),"",分期持仓明细!$AD$25*SUMPRODUCT(分期持仓明细!$B$25:$AA$25,'实盘净值数据(iFinD公式)'!$B912:$AA912/'实盘净值数据(iFinD公式)'!$B$65:$AA$65)*(1-实盘持仓初始配置!$Z$9)^(('实盘净值数据(iFinD公式)'!$A912-'实盘净值数据(iFinD公式)'!$A$8)/365))</x:f>
        <x:v>#NAME?</x:v>
      </x:c>
      <x:c r="R912" s="152" t="e">
        <x:f>IF(OR(Q911="",Q912=""),"",Q912/Q911-1)</x:f>
        <x:v>#NAME?</x:v>
      </x:c>
      <x:c r="S912" s="152" t="e">
        <x:f>IF(Q912="","",Q912/MAX(Q$5:Q912)-1)</x:f>
        <x:v>#NAME?</x:v>
      </x:c>
    </x:row>
    <x:row r="913">
      <x:c r="A913" s="149" t="str">
        <x:f>IF('实盘净值数据(iFinD公式)'!A913="","",'实盘净值数据(iFinD公式)'!A913)</x:f>
      </x:c>
      <x:c r="B913" s="146" t="e">
        <x:f>IF(OR('实盘净值数据(iFinD公式)'!$A913="",'实盘净值数据(iFinD公式)'!$B913=""),"",分期持仓明细!$AD$17*SUMPRODUCT(分期持仓明细!$B$17:$AA$17,'实盘净值数据(iFinD公式)'!$B913:$AA913/'实盘净值数据(iFinD公式)'!$B$20:$AA$20)*(1-实盘持仓初始配置!$Z$4)^(('实盘净值数据(iFinD公式)'!$A913-'实盘净值数据(iFinD公式)'!$A$6)/365))</x:f>
        <x:v>#NAME?</x:v>
      </x:c>
      <x:c r="C913" s="152" t="e">
        <x:f>IF(OR(B912="",B913=""),"",B913/B912-1)</x:f>
        <x:v>#NAME?</x:v>
      </x:c>
      <x:c r="D913" s="152" t="e">
        <x:f>IF(B913="","",B913/MAX(B$5:B913)-1)</x:f>
        <x:v>#NAME?</x:v>
      </x:c>
      <x:c r="E913" s="146" t="e">
        <x:f>IF(OR('实盘净值数据(iFinD公式)'!$A913="",'实盘净值数据(iFinD公式)'!$B913=""),"",分期持仓明细!$AD$18*SUMPRODUCT(分期持仓明细!$B$18:$AA$18,'实盘净值数据(iFinD公式)'!$B913:$AA913/'实盘净值数据(iFinD公式)'!$B$20:$AA$20)*(1-实盘持仓初始配置!$Z$5)^(('实盘净值数据(iFinD公式)'!$A913-'实盘净值数据(iFinD公式)'!$A$5)/365))</x:f>
        <x:v>#NAME?</x:v>
      </x:c>
      <x:c r="F913" s="152" t="e">
        <x:f>IF(OR(E912="",E913=""),"",E913/E912-1)</x:f>
        <x:v>#NAME?</x:v>
      </x:c>
      <x:c r="G913" s="152" t="e">
        <x:f>IF(E913="","",E913/MAX(E$5:E913)-1)</x:f>
        <x:v>#NAME?</x:v>
      </x:c>
      <x:c r="H913" s="146" t="e">
        <x:f>IF(OR('实盘净值数据(iFinD公式)'!$A913="",'实盘净值数据(iFinD公式)'!$B913=""),"",分期持仓明细!$AD$19*SUMPRODUCT(分期持仓明细!$B$19:$AA$19,'实盘净值数据(iFinD公式)'!$B913:$AA913/'实盘净值数据(iFinD公式)'!$B$20:$AA$20)*(1-实盘持仓初始配置!$Z$6)^(('实盘净值数据(iFinD公式)'!$A913-'实盘净值数据(iFinD公式)'!$A$7)/365))</x:f>
        <x:v>#NAME?</x:v>
      </x:c>
      <x:c r="I913" s="152" t="e">
        <x:f>IF(OR(H912="",H913=""),"",H913/H912-1)</x:f>
        <x:v>#NAME?</x:v>
      </x:c>
      <x:c r="J913" s="152" t="e">
        <x:f>IF(H913="","",H913/MAX(H$5:H913)-1)</x:f>
        <x:v>#NAME?</x:v>
      </x:c>
      <x:c r="K913" s="146" t="e">
        <x:f>IF(OR('实盘净值数据(iFinD公式)'!$A913="",'实盘净值数据(iFinD公式)'!$B913=""),"",分期持仓明细!$AD$23*SUMPRODUCT(分期持仓明细!$B$23:$AA$23,'实盘净值数据(iFinD公式)'!$B913:$AA913/'实盘净值数据(iFinD公式)'!$B$65:$AA$65)*(1-实盘持仓初始配置!$Z$7)^(('实盘净值数据(iFinD公式)'!$A913-'实盘净值数据(iFinD公式)'!$A$8)/365))</x:f>
        <x:v>#NAME?</x:v>
      </x:c>
      <x:c r="L913" s="152" t="e">
        <x:f>IF(OR(K912="",K913=""),"",K913/K912-1)</x:f>
        <x:v>#NAME?</x:v>
      </x:c>
      <x:c r="M913" s="152" t="e">
        <x:f>IF(K913="","",K913/MAX(K$5:K913)-1)</x:f>
        <x:v>#NAME?</x:v>
      </x:c>
      <x:c r="N913" s="146" t="e">
        <x:f>IF(OR('实盘净值数据(iFinD公式)'!$A913="",'实盘净值数据(iFinD公式)'!$B913=""),"",分期持仓明细!$AD$24*SUMPRODUCT(分期持仓明细!$B$24:$AA$24,'实盘净值数据(iFinD公式)'!$B913:$AA913/'实盘净值数据(iFinD公式)'!$B$65:$AA$65)*(1-实盘持仓初始配置!$Z$8)^(('实盘净值数据(iFinD公式)'!$A913-'实盘净值数据(iFinD公式)'!$A$5)/365))</x:f>
        <x:v>#NAME?</x:v>
      </x:c>
      <x:c r="O913" s="152" t="e">
        <x:f>IF(OR(N912="",N913=""),"",N913/N912-1)</x:f>
        <x:v>#NAME?</x:v>
      </x:c>
      <x:c r="P913" s="152" t="e">
        <x:f>IF(N913="","",N913/MAX(N$5:N913)-1)</x:f>
        <x:v>#NAME?</x:v>
      </x:c>
      <x:c r="Q913" s="146" t="e">
        <x:f>IF(OR('实盘净值数据(iFinD公式)'!$A913="",'实盘净值数据(iFinD公式)'!$B913=""),"",分期持仓明细!$AD$25*SUMPRODUCT(分期持仓明细!$B$25:$AA$25,'实盘净值数据(iFinD公式)'!$B913:$AA913/'实盘净值数据(iFinD公式)'!$B$65:$AA$65)*(1-实盘持仓初始配置!$Z$9)^(('实盘净值数据(iFinD公式)'!$A913-'实盘净值数据(iFinD公式)'!$A$8)/365))</x:f>
        <x:v>#NAME?</x:v>
      </x:c>
      <x:c r="R913" s="152" t="e">
        <x:f>IF(OR(Q912="",Q913=""),"",Q913/Q912-1)</x:f>
        <x:v>#NAME?</x:v>
      </x:c>
      <x:c r="S913" s="152" t="e">
        <x:f>IF(Q913="","",Q913/MAX(Q$5:Q913)-1)</x:f>
        <x:v>#NAME?</x:v>
      </x:c>
    </x:row>
    <x:row r="914">
      <x:c r="A914" s="149" t="str">
        <x:f>IF('实盘净值数据(iFinD公式)'!A914="","",'实盘净值数据(iFinD公式)'!A914)</x:f>
      </x:c>
      <x:c r="B914" s="146" t="e">
        <x:f>IF(OR('实盘净值数据(iFinD公式)'!$A914="",'实盘净值数据(iFinD公式)'!$B914=""),"",分期持仓明细!$AD$17*SUMPRODUCT(分期持仓明细!$B$17:$AA$17,'实盘净值数据(iFinD公式)'!$B914:$AA914/'实盘净值数据(iFinD公式)'!$B$20:$AA$20)*(1-实盘持仓初始配置!$Z$4)^(('实盘净值数据(iFinD公式)'!$A914-'实盘净值数据(iFinD公式)'!$A$6)/365))</x:f>
        <x:v>#NAME?</x:v>
      </x:c>
      <x:c r="C914" s="152" t="e">
        <x:f>IF(OR(B913="",B914=""),"",B914/B913-1)</x:f>
        <x:v>#NAME?</x:v>
      </x:c>
      <x:c r="D914" s="152" t="e">
        <x:f>IF(B914="","",B914/MAX(B$5:B914)-1)</x:f>
        <x:v>#NAME?</x:v>
      </x:c>
      <x:c r="E914" s="146" t="e">
        <x:f>IF(OR('实盘净值数据(iFinD公式)'!$A914="",'实盘净值数据(iFinD公式)'!$B914=""),"",分期持仓明细!$AD$18*SUMPRODUCT(分期持仓明细!$B$18:$AA$18,'实盘净值数据(iFinD公式)'!$B914:$AA914/'实盘净值数据(iFinD公式)'!$B$20:$AA$20)*(1-实盘持仓初始配置!$Z$5)^(('实盘净值数据(iFinD公式)'!$A914-'实盘净值数据(iFinD公式)'!$A$5)/365))</x:f>
        <x:v>#NAME?</x:v>
      </x:c>
      <x:c r="F914" s="152" t="e">
        <x:f>IF(OR(E913="",E914=""),"",E914/E913-1)</x:f>
        <x:v>#NAME?</x:v>
      </x:c>
      <x:c r="G914" s="152" t="e">
        <x:f>IF(E914="","",E914/MAX(E$5:E914)-1)</x:f>
        <x:v>#NAME?</x:v>
      </x:c>
      <x:c r="H914" s="146" t="e">
        <x:f>IF(OR('实盘净值数据(iFinD公式)'!$A914="",'实盘净值数据(iFinD公式)'!$B914=""),"",分期持仓明细!$AD$19*SUMPRODUCT(分期持仓明细!$B$19:$AA$19,'实盘净值数据(iFinD公式)'!$B914:$AA914/'实盘净值数据(iFinD公式)'!$B$20:$AA$20)*(1-实盘持仓初始配置!$Z$6)^(('实盘净值数据(iFinD公式)'!$A914-'实盘净值数据(iFinD公式)'!$A$7)/365))</x:f>
        <x:v>#NAME?</x:v>
      </x:c>
      <x:c r="I914" s="152" t="e">
        <x:f>IF(OR(H913="",H914=""),"",H914/H913-1)</x:f>
        <x:v>#NAME?</x:v>
      </x:c>
      <x:c r="J914" s="152" t="e">
        <x:f>IF(H914="","",H914/MAX(H$5:H914)-1)</x:f>
        <x:v>#NAME?</x:v>
      </x:c>
      <x:c r="K914" s="146" t="e">
        <x:f>IF(OR('实盘净值数据(iFinD公式)'!$A914="",'实盘净值数据(iFinD公式)'!$B914=""),"",分期持仓明细!$AD$23*SUMPRODUCT(分期持仓明细!$B$23:$AA$23,'实盘净值数据(iFinD公式)'!$B914:$AA914/'实盘净值数据(iFinD公式)'!$B$65:$AA$65)*(1-实盘持仓初始配置!$Z$7)^(('实盘净值数据(iFinD公式)'!$A914-'实盘净值数据(iFinD公式)'!$A$8)/365))</x:f>
        <x:v>#NAME?</x:v>
      </x:c>
      <x:c r="L914" s="152" t="e">
        <x:f>IF(OR(K913="",K914=""),"",K914/K913-1)</x:f>
        <x:v>#NAME?</x:v>
      </x:c>
      <x:c r="M914" s="152" t="e">
        <x:f>IF(K914="","",K914/MAX(K$5:K914)-1)</x:f>
        <x:v>#NAME?</x:v>
      </x:c>
      <x:c r="N914" s="146" t="e">
        <x:f>IF(OR('实盘净值数据(iFinD公式)'!$A914="",'实盘净值数据(iFinD公式)'!$B914=""),"",分期持仓明细!$AD$24*SUMPRODUCT(分期持仓明细!$B$24:$AA$24,'实盘净值数据(iFinD公式)'!$B914:$AA914/'实盘净值数据(iFinD公式)'!$B$65:$AA$65)*(1-实盘持仓初始配置!$Z$8)^(('实盘净值数据(iFinD公式)'!$A914-'实盘净值数据(iFinD公式)'!$A$5)/365))</x:f>
        <x:v>#NAME?</x:v>
      </x:c>
      <x:c r="O914" s="152" t="e">
        <x:f>IF(OR(N913="",N914=""),"",N914/N913-1)</x:f>
        <x:v>#NAME?</x:v>
      </x:c>
      <x:c r="P914" s="152" t="e">
        <x:f>IF(N914="","",N914/MAX(N$5:N914)-1)</x:f>
        <x:v>#NAME?</x:v>
      </x:c>
      <x:c r="Q914" s="146" t="e">
        <x:f>IF(OR('实盘净值数据(iFinD公式)'!$A914="",'实盘净值数据(iFinD公式)'!$B914=""),"",分期持仓明细!$AD$25*SUMPRODUCT(分期持仓明细!$B$25:$AA$25,'实盘净值数据(iFinD公式)'!$B914:$AA914/'实盘净值数据(iFinD公式)'!$B$65:$AA$65)*(1-实盘持仓初始配置!$Z$9)^(('实盘净值数据(iFinD公式)'!$A914-'实盘净值数据(iFinD公式)'!$A$8)/365))</x:f>
        <x:v>#NAME?</x:v>
      </x:c>
      <x:c r="R914" s="152" t="e">
        <x:f>IF(OR(Q913="",Q914=""),"",Q914/Q913-1)</x:f>
        <x:v>#NAME?</x:v>
      </x:c>
      <x:c r="S914" s="152" t="e">
        <x:f>IF(Q914="","",Q914/MAX(Q$5:Q914)-1)</x:f>
        <x:v>#NAME?</x:v>
      </x:c>
    </x:row>
    <x:row r="915">
      <x:c r="A915" s="149" t="str">
        <x:f>IF('实盘净值数据(iFinD公式)'!A915="","",'实盘净值数据(iFinD公式)'!A915)</x:f>
      </x:c>
      <x:c r="B915" s="146" t="e">
        <x:f>IF(OR('实盘净值数据(iFinD公式)'!$A915="",'实盘净值数据(iFinD公式)'!$B915=""),"",分期持仓明细!$AD$17*SUMPRODUCT(分期持仓明细!$B$17:$AA$17,'实盘净值数据(iFinD公式)'!$B915:$AA915/'实盘净值数据(iFinD公式)'!$B$20:$AA$20)*(1-实盘持仓初始配置!$Z$4)^(('实盘净值数据(iFinD公式)'!$A915-'实盘净值数据(iFinD公式)'!$A$6)/365))</x:f>
        <x:v>#NAME?</x:v>
      </x:c>
      <x:c r="C915" s="152" t="e">
        <x:f>IF(OR(B914="",B915=""),"",B915/B914-1)</x:f>
        <x:v>#NAME?</x:v>
      </x:c>
      <x:c r="D915" s="152" t="e">
        <x:f>IF(B915="","",B915/MAX(B$5:B915)-1)</x:f>
        <x:v>#NAME?</x:v>
      </x:c>
      <x:c r="E915" s="146" t="e">
        <x:f>IF(OR('实盘净值数据(iFinD公式)'!$A915="",'实盘净值数据(iFinD公式)'!$B915=""),"",分期持仓明细!$AD$18*SUMPRODUCT(分期持仓明细!$B$18:$AA$18,'实盘净值数据(iFinD公式)'!$B915:$AA915/'实盘净值数据(iFinD公式)'!$B$20:$AA$20)*(1-实盘持仓初始配置!$Z$5)^(('实盘净值数据(iFinD公式)'!$A915-'实盘净值数据(iFinD公式)'!$A$5)/365))</x:f>
        <x:v>#NAME?</x:v>
      </x:c>
      <x:c r="F915" s="152" t="e">
        <x:f>IF(OR(E914="",E915=""),"",E915/E914-1)</x:f>
        <x:v>#NAME?</x:v>
      </x:c>
      <x:c r="G915" s="152" t="e">
        <x:f>IF(E915="","",E915/MAX(E$5:E915)-1)</x:f>
        <x:v>#NAME?</x:v>
      </x:c>
      <x:c r="H915" s="146" t="e">
        <x:f>IF(OR('实盘净值数据(iFinD公式)'!$A915="",'实盘净值数据(iFinD公式)'!$B915=""),"",分期持仓明细!$AD$19*SUMPRODUCT(分期持仓明细!$B$19:$AA$19,'实盘净值数据(iFinD公式)'!$B915:$AA915/'实盘净值数据(iFinD公式)'!$B$20:$AA$20)*(1-实盘持仓初始配置!$Z$6)^(('实盘净值数据(iFinD公式)'!$A915-'实盘净值数据(iFinD公式)'!$A$7)/365))</x:f>
        <x:v>#NAME?</x:v>
      </x:c>
      <x:c r="I915" s="152" t="e">
        <x:f>IF(OR(H914="",H915=""),"",H915/H914-1)</x:f>
        <x:v>#NAME?</x:v>
      </x:c>
      <x:c r="J915" s="152" t="e">
        <x:f>IF(H915="","",H915/MAX(H$5:H915)-1)</x:f>
        <x:v>#NAME?</x:v>
      </x:c>
      <x:c r="K915" s="146" t="e">
        <x:f>IF(OR('实盘净值数据(iFinD公式)'!$A915="",'实盘净值数据(iFinD公式)'!$B915=""),"",分期持仓明细!$AD$23*SUMPRODUCT(分期持仓明细!$B$23:$AA$23,'实盘净值数据(iFinD公式)'!$B915:$AA915/'实盘净值数据(iFinD公式)'!$B$65:$AA$65)*(1-实盘持仓初始配置!$Z$7)^(('实盘净值数据(iFinD公式)'!$A915-'实盘净值数据(iFinD公式)'!$A$8)/365))</x:f>
        <x:v>#NAME?</x:v>
      </x:c>
      <x:c r="L915" s="152" t="e">
        <x:f>IF(OR(K914="",K915=""),"",K915/K914-1)</x:f>
        <x:v>#NAME?</x:v>
      </x:c>
      <x:c r="M915" s="152" t="e">
        <x:f>IF(K915="","",K915/MAX(K$5:K915)-1)</x:f>
        <x:v>#NAME?</x:v>
      </x:c>
      <x:c r="N915" s="146" t="e">
        <x:f>IF(OR('实盘净值数据(iFinD公式)'!$A915="",'实盘净值数据(iFinD公式)'!$B915=""),"",分期持仓明细!$AD$24*SUMPRODUCT(分期持仓明细!$B$24:$AA$24,'实盘净值数据(iFinD公式)'!$B915:$AA915/'实盘净值数据(iFinD公式)'!$B$65:$AA$65)*(1-实盘持仓初始配置!$Z$8)^(('实盘净值数据(iFinD公式)'!$A915-'实盘净值数据(iFinD公式)'!$A$5)/365))</x:f>
        <x:v>#NAME?</x:v>
      </x:c>
      <x:c r="O915" s="152" t="e">
        <x:f>IF(OR(N914="",N915=""),"",N915/N914-1)</x:f>
        <x:v>#NAME?</x:v>
      </x:c>
      <x:c r="P915" s="152" t="e">
        <x:f>IF(N915="","",N915/MAX(N$5:N915)-1)</x:f>
        <x:v>#NAME?</x:v>
      </x:c>
      <x:c r="Q915" s="146" t="e">
        <x:f>IF(OR('实盘净值数据(iFinD公式)'!$A915="",'实盘净值数据(iFinD公式)'!$B915=""),"",分期持仓明细!$AD$25*SUMPRODUCT(分期持仓明细!$B$25:$AA$25,'实盘净值数据(iFinD公式)'!$B915:$AA915/'实盘净值数据(iFinD公式)'!$B$65:$AA$65)*(1-实盘持仓初始配置!$Z$9)^(('实盘净值数据(iFinD公式)'!$A915-'实盘净值数据(iFinD公式)'!$A$8)/365))</x:f>
        <x:v>#NAME?</x:v>
      </x:c>
      <x:c r="R915" s="152" t="e">
        <x:f>IF(OR(Q914="",Q915=""),"",Q915/Q914-1)</x:f>
        <x:v>#NAME?</x:v>
      </x:c>
      <x:c r="S915" s="152" t="e">
        <x:f>IF(Q915="","",Q915/MAX(Q$5:Q915)-1)</x:f>
        <x:v>#NAME?</x:v>
      </x:c>
    </x:row>
    <x:row r="916">
      <x:c r="A916" s="149" t="str">
        <x:f>IF('实盘净值数据(iFinD公式)'!A916="","",'实盘净值数据(iFinD公式)'!A916)</x:f>
      </x:c>
      <x:c r="B916" s="146" t="e">
        <x:f>IF(OR('实盘净值数据(iFinD公式)'!$A916="",'实盘净值数据(iFinD公式)'!$B916=""),"",分期持仓明细!$AD$17*SUMPRODUCT(分期持仓明细!$B$17:$AA$17,'实盘净值数据(iFinD公式)'!$B916:$AA916/'实盘净值数据(iFinD公式)'!$B$20:$AA$20)*(1-实盘持仓初始配置!$Z$4)^(('实盘净值数据(iFinD公式)'!$A916-'实盘净值数据(iFinD公式)'!$A$6)/365))</x:f>
        <x:v>#NAME?</x:v>
      </x:c>
      <x:c r="C916" s="152" t="e">
        <x:f>IF(OR(B915="",B916=""),"",B916/B915-1)</x:f>
        <x:v>#NAME?</x:v>
      </x:c>
      <x:c r="D916" s="152" t="e">
        <x:f>IF(B916="","",B916/MAX(B$5:B916)-1)</x:f>
        <x:v>#NAME?</x:v>
      </x:c>
      <x:c r="E916" s="146" t="e">
        <x:f>IF(OR('实盘净值数据(iFinD公式)'!$A916="",'实盘净值数据(iFinD公式)'!$B916=""),"",分期持仓明细!$AD$18*SUMPRODUCT(分期持仓明细!$B$18:$AA$18,'实盘净值数据(iFinD公式)'!$B916:$AA916/'实盘净值数据(iFinD公式)'!$B$20:$AA$20)*(1-实盘持仓初始配置!$Z$5)^(('实盘净值数据(iFinD公式)'!$A916-'实盘净值数据(iFinD公式)'!$A$5)/365))</x:f>
        <x:v>#NAME?</x:v>
      </x:c>
      <x:c r="F916" s="152" t="e">
        <x:f>IF(OR(E915="",E916=""),"",E916/E915-1)</x:f>
        <x:v>#NAME?</x:v>
      </x:c>
      <x:c r="G916" s="152" t="e">
        <x:f>IF(E916="","",E916/MAX(E$5:E916)-1)</x:f>
        <x:v>#NAME?</x:v>
      </x:c>
      <x:c r="H916" s="146" t="e">
        <x:f>IF(OR('实盘净值数据(iFinD公式)'!$A916="",'实盘净值数据(iFinD公式)'!$B916=""),"",分期持仓明细!$AD$19*SUMPRODUCT(分期持仓明细!$B$19:$AA$19,'实盘净值数据(iFinD公式)'!$B916:$AA916/'实盘净值数据(iFinD公式)'!$B$20:$AA$20)*(1-实盘持仓初始配置!$Z$6)^(('实盘净值数据(iFinD公式)'!$A916-'实盘净值数据(iFinD公式)'!$A$7)/365))</x:f>
        <x:v>#NAME?</x:v>
      </x:c>
      <x:c r="I916" s="152" t="e">
        <x:f>IF(OR(H915="",H916=""),"",H916/H915-1)</x:f>
        <x:v>#NAME?</x:v>
      </x:c>
      <x:c r="J916" s="152" t="e">
        <x:f>IF(H916="","",H916/MAX(H$5:H916)-1)</x:f>
        <x:v>#NAME?</x:v>
      </x:c>
      <x:c r="K916" s="146" t="e">
        <x:f>IF(OR('实盘净值数据(iFinD公式)'!$A916="",'实盘净值数据(iFinD公式)'!$B916=""),"",分期持仓明细!$AD$23*SUMPRODUCT(分期持仓明细!$B$23:$AA$23,'实盘净值数据(iFinD公式)'!$B916:$AA916/'实盘净值数据(iFinD公式)'!$B$65:$AA$65)*(1-实盘持仓初始配置!$Z$7)^(('实盘净值数据(iFinD公式)'!$A916-'实盘净值数据(iFinD公式)'!$A$8)/365))</x:f>
        <x:v>#NAME?</x:v>
      </x:c>
      <x:c r="L916" s="152" t="e">
        <x:f>IF(OR(K915="",K916=""),"",K916/K915-1)</x:f>
        <x:v>#NAME?</x:v>
      </x:c>
      <x:c r="M916" s="152" t="e">
        <x:f>IF(K916="","",K916/MAX(K$5:K916)-1)</x:f>
        <x:v>#NAME?</x:v>
      </x:c>
      <x:c r="N916" s="146" t="e">
        <x:f>IF(OR('实盘净值数据(iFinD公式)'!$A916="",'实盘净值数据(iFinD公式)'!$B916=""),"",分期持仓明细!$AD$24*SUMPRODUCT(分期持仓明细!$B$24:$AA$24,'实盘净值数据(iFinD公式)'!$B916:$AA916/'实盘净值数据(iFinD公式)'!$B$65:$AA$65)*(1-实盘持仓初始配置!$Z$8)^(('实盘净值数据(iFinD公式)'!$A916-'实盘净值数据(iFinD公式)'!$A$5)/365))</x:f>
        <x:v>#NAME?</x:v>
      </x:c>
      <x:c r="O916" s="152" t="e">
        <x:f>IF(OR(N915="",N916=""),"",N916/N915-1)</x:f>
        <x:v>#NAME?</x:v>
      </x:c>
      <x:c r="P916" s="152" t="e">
        <x:f>IF(N916="","",N916/MAX(N$5:N916)-1)</x:f>
        <x:v>#NAME?</x:v>
      </x:c>
      <x:c r="Q916" s="146" t="e">
        <x:f>IF(OR('实盘净值数据(iFinD公式)'!$A916="",'实盘净值数据(iFinD公式)'!$B916=""),"",分期持仓明细!$AD$25*SUMPRODUCT(分期持仓明细!$B$25:$AA$25,'实盘净值数据(iFinD公式)'!$B916:$AA916/'实盘净值数据(iFinD公式)'!$B$65:$AA$65)*(1-实盘持仓初始配置!$Z$9)^(('实盘净值数据(iFinD公式)'!$A916-'实盘净值数据(iFinD公式)'!$A$8)/365))</x:f>
        <x:v>#NAME?</x:v>
      </x:c>
      <x:c r="R916" s="152" t="e">
        <x:f>IF(OR(Q915="",Q916=""),"",Q916/Q915-1)</x:f>
        <x:v>#NAME?</x:v>
      </x:c>
      <x:c r="S916" s="152" t="e">
        <x:f>IF(Q916="","",Q916/MAX(Q$5:Q916)-1)</x:f>
        <x:v>#NAME?</x:v>
      </x:c>
    </x:row>
    <x:row r="917">
      <x:c r="A917" s="149" t="str">
        <x:f>IF('实盘净值数据(iFinD公式)'!A917="","",'实盘净值数据(iFinD公式)'!A917)</x:f>
      </x:c>
      <x:c r="B917" s="146" t="e">
        <x:f>IF(OR('实盘净值数据(iFinD公式)'!$A917="",'实盘净值数据(iFinD公式)'!$B917=""),"",分期持仓明细!$AD$17*SUMPRODUCT(分期持仓明细!$B$17:$AA$17,'实盘净值数据(iFinD公式)'!$B917:$AA917/'实盘净值数据(iFinD公式)'!$B$20:$AA$20)*(1-实盘持仓初始配置!$Z$4)^(('实盘净值数据(iFinD公式)'!$A917-'实盘净值数据(iFinD公式)'!$A$6)/365))</x:f>
        <x:v>#NAME?</x:v>
      </x:c>
      <x:c r="C917" s="152" t="e">
        <x:f>IF(OR(B916="",B917=""),"",B917/B916-1)</x:f>
        <x:v>#NAME?</x:v>
      </x:c>
      <x:c r="D917" s="152" t="e">
        <x:f>IF(B917="","",B917/MAX(B$5:B917)-1)</x:f>
        <x:v>#NAME?</x:v>
      </x:c>
      <x:c r="E917" s="146" t="e">
        <x:f>IF(OR('实盘净值数据(iFinD公式)'!$A917="",'实盘净值数据(iFinD公式)'!$B917=""),"",分期持仓明细!$AD$18*SUMPRODUCT(分期持仓明细!$B$18:$AA$18,'实盘净值数据(iFinD公式)'!$B917:$AA917/'实盘净值数据(iFinD公式)'!$B$20:$AA$20)*(1-实盘持仓初始配置!$Z$5)^(('实盘净值数据(iFinD公式)'!$A917-'实盘净值数据(iFinD公式)'!$A$5)/365))</x:f>
        <x:v>#NAME?</x:v>
      </x:c>
      <x:c r="F917" s="152" t="e">
        <x:f>IF(OR(E916="",E917=""),"",E917/E916-1)</x:f>
        <x:v>#NAME?</x:v>
      </x:c>
      <x:c r="G917" s="152" t="e">
        <x:f>IF(E917="","",E917/MAX(E$5:E917)-1)</x:f>
        <x:v>#NAME?</x:v>
      </x:c>
      <x:c r="H917" s="146" t="e">
        <x:f>IF(OR('实盘净值数据(iFinD公式)'!$A917="",'实盘净值数据(iFinD公式)'!$B917=""),"",分期持仓明细!$AD$19*SUMPRODUCT(分期持仓明细!$B$19:$AA$19,'实盘净值数据(iFinD公式)'!$B917:$AA917/'实盘净值数据(iFinD公式)'!$B$20:$AA$20)*(1-实盘持仓初始配置!$Z$6)^(('实盘净值数据(iFinD公式)'!$A917-'实盘净值数据(iFinD公式)'!$A$7)/365))</x:f>
        <x:v>#NAME?</x:v>
      </x:c>
      <x:c r="I917" s="152" t="e">
        <x:f>IF(OR(H916="",H917=""),"",H917/H916-1)</x:f>
        <x:v>#NAME?</x:v>
      </x:c>
      <x:c r="J917" s="152" t="e">
        <x:f>IF(H917="","",H917/MAX(H$5:H917)-1)</x:f>
        <x:v>#NAME?</x:v>
      </x:c>
      <x:c r="K917" s="146" t="e">
        <x:f>IF(OR('实盘净值数据(iFinD公式)'!$A917="",'实盘净值数据(iFinD公式)'!$B917=""),"",分期持仓明细!$AD$23*SUMPRODUCT(分期持仓明细!$B$23:$AA$23,'实盘净值数据(iFinD公式)'!$B917:$AA917/'实盘净值数据(iFinD公式)'!$B$65:$AA$65)*(1-实盘持仓初始配置!$Z$7)^(('实盘净值数据(iFinD公式)'!$A917-'实盘净值数据(iFinD公式)'!$A$8)/365))</x:f>
        <x:v>#NAME?</x:v>
      </x:c>
      <x:c r="L917" s="152" t="e">
        <x:f>IF(OR(K916="",K917=""),"",K917/K916-1)</x:f>
        <x:v>#NAME?</x:v>
      </x:c>
      <x:c r="M917" s="152" t="e">
        <x:f>IF(K917="","",K917/MAX(K$5:K917)-1)</x:f>
        <x:v>#NAME?</x:v>
      </x:c>
      <x:c r="N917" s="146" t="e">
        <x:f>IF(OR('实盘净值数据(iFinD公式)'!$A917="",'实盘净值数据(iFinD公式)'!$B917=""),"",分期持仓明细!$AD$24*SUMPRODUCT(分期持仓明细!$B$24:$AA$24,'实盘净值数据(iFinD公式)'!$B917:$AA917/'实盘净值数据(iFinD公式)'!$B$65:$AA$65)*(1-实盘持仓初始配置!$Z$8)^(('实盘净值数据(iFinD公式)'!$A917-'实盘净值数据(iFinD公式)'!$A$5)/365))</x:f>
        <x:v>#NAME?</x:v>
      </x:c>
      <x:c r="O917" s="152" t="e">
        <x:f>IF(OR(N916="",N917=""),"",N917/N916-1)</x:f>
        <x:v>#NAME?</x:v>
      </x:c>
      <x:c r="P917" s="152" t="e">
        <x:f>IF(N917="","",N917/MAX(N$5:N917)-1)</x:f>
        <x:v>#NAME?</x:v>
      </x:c>
      <x:c r="Q917" s="146" t="e">
        <x:f>IF(OR('实盘净值数据(iFinD公式)'!$A917="",'实盘净值数据(iFinD公式)'!$B917=""),"",分期持仓明细!$AD$25*SUMPRODUCT(分期持仓明细!$B$25:$AA$25,'实盘净值数据(iFinD公式)'!$B917:$AA917/'实盘净值数据(iFinD公式)'!$B$65:$AA$65)*(1-实盘持仓初始配置!$Z$9)^(('实盘净值数据(iFinD公式)'!$A917-'实盘净值数据(iFinD公式)'!$A$8)/365))</x:f>
        <x:v>#NAME?</x:v>
      </x:c>
      <x:c r="R917" s="152" t="e">
        <x:f>IF(OR(Q916="",Q917=""),"",Q917/Q916-1)</x:f>
        <x:v>#NAME?</x:v>
      </x:c>
      <x:c r="S917" s="152" t="e">
        <x:f>IF(Q917="","",Q917/MAX(Q$5:Q917)-1)</x:f>
        <x:v>#NAME?</x:v>
      </x:c>
    </x:row>
    <x:row r="918">
      <x:c r="A918" s="149" t="str">
        <x:f>IF('实盘净值数据(iFinD公式)'!A918="","",'实盘净值数据(iFinD公式)'!A918)</x:f>
      </x:c>
      <x:c r="B918" s="146" t="e">
        <x:f>IF(OR('实盘净值数据(iFinD公式)'!$A918="",'实盘净值数据(iFinD公式)'!$B918=""),"",分期持仓明细!$AD$17*SUMPRODUCT(分期持仓明细!$B$17:$AA$17,'实盘净值数据(iFinD公式)'!$B918:$AA918/'实盘净值数据(iFinD公式)'!$B$20:$AA$20)*(1-实盘持仓初始配置!$Z$4)^(('实盘净值数据(iFinD公式)'!$A918-'实盘净值数据(iFinD公式)'!$A$6)/365))</x:f>
        <x:v>#NAME?</x:v>
      </x:c>
      <x:c r="C918" s="152" t="e">
        <x:f>IF(OR(B917="",B918=""),"",B918/B917-1)</x:f>
        <x:v>#NAME?</x:v>
      </x:c>
      <x:c r="D918" s="152" t="e">
        <x:f>IF(B918="","",B918/MAX(B$5:B918)-1)</x:f>
        <x:v>#NAME?</x:v>
      </x:c>
      <x:c r="E918" s="146" t="e">
        <x:f>IF(OR('实盘净值数据(iFinD公式)'!$A918="",'实盘净值数据(iFinD公式)'!$B918=""),"",分期持仓明细!$AD$18*SUMPRODUCT(分期持仓明细!$B$18:$AA$18,'实盘净值数据(iFinD公式)'!$B918:$AA918/'实盘净值数据(iFinD公式)'!$B$20:$AA$20)*(1-实盘持仓初始配置!$Z$5)^(('实盘净值数据(iFinD公式)'!$A918-'实盘净值数据(iFinD公式)'!$A$5)/365))</x:f>
        <x:v>#NAME?</x:v>
      </x:c>
      <x:c r="F918" s="152" t="e">
        <x:f>IF(OR(E917="",E918=""),"",E918/E917-1)</x:f>
        <x:v>#NAME?</x:v>
      </x:c>
      <x:c r="G918" s="152" t="e">
        <x:f>IF(E918="","",E918/MAX(E$5:E918)-1)</x:f>
        <x:v>#NAME?</x:v>
      </x:c>
      <x:c r="H918" s="146" t="e">
        <x:f>IF(OR('实盘净值数据(iFinD公式)'!$A918="",'实盘净值数据(iFinD公式)'!$B918=""),"",分期持仓明细!$AD$19*SUMPRODUCT(分期持仓明细!$B$19:$AA$19,'实盘净值数据(iFinD公式)'!$B918:$AA918/'实盘净值数据(iFinD公式)'!$B$20:$AA$20)*(1-实盘持仓初始配置!$Z$6)^(('实盘净值数据(iFinD公式)'!$A918-'实盘净值数据(iFinD公式)'!$A$7)/365))</x:f>
        <x:v>#NAME?</x:v>
      </x:c>
      <x:c r="I918" s="152" t="e">
        <x:f>IF(OR(H917="",H918=""),"",H918/H917-1)</x:f>
        <x:v>#NAME?</x:v>
      </x:c>
      <x:c r="J918" s="152" t="e">
        <x:f>IF(H918="","",H918/MAX(H$5:H918)-1)</x:f>
        <x:v>#NAME?</x:v>
      </x:c>
      <x:c r="K918" s="146" t="e">
        <x:f>IF(OR('实盘净值数据(iFinD公式)'!$A918="",'实盘净值数据(iFinD公式)'!$B918=""),"",分期持仓明细!$AD$23*SUMPRODUCT(分期持仓明细!$B$23:$AA$23,'实盘净值数据(iFinD公式)'!$B918:$AA918/'实盘净值数据(iFinD公式)'!$B$65:$AA$65)*(1-实盘持仓初始配置!$Z$7)^(('实盘净值数据(iFinD公式)'!$A918-'实盘净值数据(iFinD公式)'!$A$8)/365))</x:f>
        <x:v>#NAME?</x:v>
      </x:c>
      <x:c r="L918" s="152" t="e">
        <x:f>IF(OR(K917="",K918=""),"",K918/K917-1)</x:f>
        <x:v>#NAME?</x:v>
      </x:c>
      <x:c r="M918" s="152" t="e">
        <x:f>IF(K918="","",K918/MAX(K$5:K918)-1)</x:f>
        <x:v>#NAME?</x:v>
      </x:c>
      <x:c r="N918" s="146" t="e">
        <x:f>IF(OR('实盘净值数据(iFinD公式)'!$A918="",'实盘净值数据(iFinD公式)'!$B918=""),"",分期持仓明细!$AD$24*SUMPRODUCT(分期持仓明细!$B$24:$AA$24,'实盘净值数据(iFinD公式)'!$B918:$AA918/'实盘净值数据(iFinD公式)'!$B$65:$AA$65)*(1-实盘持仓初始配置!$Z$8)^(('实盘净值数据(iFinD公式)'!$A918-'实盘净值数据(iFinD公式)'!$A$5)/365))</x:f>
        <x:v>#NAME?</x:v>
      </x:c>
      <x:c r="O918" s="152" t="e">
        <x:f>IF(OR(N917="",N918=""),"",N918/N917-1)</x:f>
        <x:v>#NAME?</x:v>
      </x:c>
      <x:c r="P918" s="152" t="e">
        <x:f>IF(N918="","",N918/MAX(N$5:N918)-1)</x:f>
        <x:v>#NAME?</x:v>
      </x:c>
      <x:c r="Q918" s="146" t="e">
        <x:f>IF(OR('实盘净值数据(iFinD公式)'!$A918="",'实盘净值数据(iFinD公式)'!$B918=""),"",分期持仓明细!$AD$25*SUMPRODUCT(分期持仓明细!$B$25:$AA$25,'实盘净值数据(iFinD公式)'!$B918:$AA918/'实盘净值数据(iFinD公式)'!$B$65:$AA$65)*(1-实盘持仓初始配置!$Z$9)^(('实盘净值数据(iFinD公式)'!$A918-'实盘净值数据(iFinD公式)'!$A$8)/365))</x:f>
        <x:v>#NAME?</x:v>
      </x:c>
      <x:c r="R918" s="152" t="e">
        <x:f>IF(OR(Q917="",Q918=""),"",Q918/Q917-1)</x:f>
        <x:v>#NAME?</x:v>
      </x:c>
      <x:c r="S918" s="152" t="e">
        <x:f>IF(Q918="","",Q918/MAX(Q$5:Q918)-1)</x:f>
        <x:v>#NAME?</x:v>
      </x:c>
    </x:row>
    <x:row r="919">
      <x:c r="A919" s="149" t="str">
        <x:f>IF('实盘净值数据(iFinD公式)'!A919="","",'实盘净值数据(iFinD公式)'!A919)</x:f>
      </x:c>
      <x:c r="B919" s="146" t="e">
        <x:f>IF(OR('实盘净值数据(iFinD公式)'!$A919="",'实盘净值数据(iFinD公式)'!$B919=""),"",分期持仓明细!$AD$17*SUMPRODUCT(分期持仓明细!$B$17:$AA$17,'实盘净值数据(iFinD公式)'!$B919:$AA919/'实盘净值数据(iFinD公式)'!$B$20:$AA$20)*(1-实盘持仓初始配置!$Z$4)^(('实盘净值数据(iFinD公式)'!$A919-'实盘净值数据(iFinD公式)'!$A$6)/365))</x:f>
        <x:v>#NAME?</x:v>
      </x:c>
      <x:c r="C919" s="152" t="e">
        <x:f>IF(OR(B918="",B919=""),"",B919/B918-1)</x:f>
        <x:v>#NAME?</x:v>
      </x:c>
      <x:c r="D919" s="152" t="e">
        <x:f>IF(B919="","",B919/MAX(B$5:B919)-1)</x:f>
        <x:v>#NAME?</x:v>
      </x:c>
      <x:c r="E919" s="146" t="e">
        <x:f>IF(OR('实盘净值数据(iFinD公式)'!$A919="",'实盘净值数据(iFinD公式)'!$B919=""),"",分期持仓明细!$AD$18*SUMPRODUCT(分期持仓明细!$B$18:$AA$18,'实盘净值数据(iFinD公式)'!$B919:$AA919/'实盘净值数据(iFinD公式)'!$B$20:$AA$20)*(1-实盘持仓初始配置!$Z$5)^(('实盘净值数据(iFinD公式)'!$A919-'实盘净值数据(iFinD公式)'!$A$5)/365))</x:f>
        <x:v>#NAME?</x:v>
      </x:c>
      <x:c r="F919" s="152" t="e">
        <x:f>IF(OR(E918="",E919=""),"",E919/E918-1)</x:f>
        <x:v>#NAME?</x:v>
      </x:c>
      <x:c r="G919" s="152" t="e">
        <x:f>IF(E919="","",E919/MAX(E$5:E919)-1)</x:f>
        <x:v>#NAME?</x:v>
      </x:c>
      <x:c r="H919" s="146" t="e">
        <x:f>IF(OR('实盘净值数据(iFinD公式)'!$A919="",'实盘净值数据(iFinD公式)'!$B919=""),"",分期持仓明细!$AD$19*SUMPRODUCT(分期持仓明细!$B$19:$AA$19,'实盘净值数据(iFinD公式)'!$B919:$AA919/'实盘净值数据(iFinD公式)'!$B$20:$AA$20)*(1-实盘持仓初始配置!$Z$6)^(('实盘净值数据(iFinD公式)'!$A919-'实盘净值数据(iFinD公式)'!$A$7)/365))</x:f>
        <x:v>#NAME?</x:v>
      </x:c>
      <x:c r="I919" s="152" t="e">
        <x:f>IF(OR(H918="",H919=""),"",H919/H918-1)</x:f>
        <x:v>#NAME?</x:v>
      </x:c>
      <x:c r="J919" s="152" t="e">
        <x:f>IF(H919="","",H919/MAX(H$5:H919)-1)</x:f>
        <x:v>#NAME?</x:v>
      </x:c>
      <x:c r="K919" s="146" t="e">
        <x:f>IF(OR('实盘净值数据(iFinD公式)'!$A919="",'实盘净值数据(iFinD公式)'!$B919=""),"",分期持仓明细!$AD$23*SUMPRODUCT(分期持仓明细!$B$23:$AA$23,'实盘净值数据(iFinD公式)'!$B919:$AA919/'实盘净值数据(iFinD公式)'!$B$65:$AA$65)*(1-实盘持仓初始配置!$Z$7)^(('实盘净值数据(iFinD公式)'!$A919-'实盘净值数据(iFinD公式)'!$A$8)/365))</x:f>
        <x:v>#NAME?</x:v>
      </x:c>
      <x:c r="L919" s="152" t="e">
        <x:f>IF(OR(K918="",K919=""),"",K919/K918-1)</x:f>
        <x:v>#NAME?</x:v>
      </x:c>
      <x:c r="M919" s="152" t="e">
        <x:f>IF(K919="","",K919/MAX(K$5:K919)-1)</x:f>
        <x:v>#NAME?</x:v>
      </x:c>
      <x:c r="N919" s="146" t="e">
        <x:f>IF(OR('实盘净值数据(iFinD公式)'!$A919="",'实盘净值数据(iFinD公式)'!$B919=""),"",分期持仓明细!$AD$24*SUMPRODUCT(分期持仓明细!$B$24:$AA$24,'实盘净值数据(iFinD公式)'!$B919:$AA919/'实盘净值数据(iFinD公式)'!$B$65:$AA$65)*(1-实盘持仓初始配置!$Z$8)^(('实盘净值数据(iFinD公式)'!$A919-'实盘净值数据(iFinD公式)'!$A$5)/365))</x:f>
        <x:v>#NAME?</x:v>
      </x:c>
      <x:c r="O919" s="152" t="e">
        <x:f>IF(OR(N918="",N919=""),"",N919/N918-1)</x:f>
        <x:v>#NAME?</x:v>
      </x:c>
      <x:c r="P919" s="152" t="e">
        <x:f>IF(N919="","",N919/MAX(N$5:N919)-1)</x:f>
        <x:v>#NAME?</x:v>
      </x:c>
      <x:c r="Q919" s="146" t="e">
        <x:f>IF(OR('实盘净值数据(iFinD公式)'!$A919="",'实盘净值数据(iFinD公式)'!$B919=""),"",分期持仓明细!$AD$25*SUMPRODUCT(分期持仓明细!$B$25:$AA$25,'实盘净值数据(iFinD公式)'!$B919:$AA919/'实盘净值数据(iFinD公式)'!$B$65:$AA$65)*(1-实盘持仓初始配置!$Z$9)^(('实盘净值数据(iFinD公式)'!$A919-'实盘净值数据(iFinD公式)'!$A$8)/365))</x:f>
        <x:v>#NAME?</x:v>
      </x:c>
      <x:c r="R919" s="152" t="e">
        <x:f>IF(OR(Q918="",Q919=""),"",Q919/Q918-1)</x:f>
        <x:v>#NAME?</x:v>
      </x:c>
      <x:c r="S919" s="152" t="e">
        <x:f>IF(Q919="","",Q919/MAX(Q$5:Q919)-1)</x:f>
        <x:v>#NAME?</x:v>
      </x:c>
    </x:row>
    <x:row r="920">
      <x:c r="A920" s="149" t="str">
        <x:f>IF('实盘净值数据(iFinD公式)'!A920="","",'实盘净值数据(iFinD公式)'!A920)</x:f>
      </x:c>
      <x:c r="B920" s="146" t="e">
        <x:f>IF(OR('实盘净值数据(iFinD公式)'!$A920="",'实盘净值数据(iFinD公式)'!$B920=""),"",分期持仓明细!$AD$17*SUMPRODUCT(分期持仓明细!$B$17:$AA$17,'实盘净值数据(iFinD公式)'!$B920:$AA920/'实盘净值数据(iFinD公式)'!$B$20:$AA$20)*(1-实盘持仓初始配置!$Z$4)^(('实盘净值数据(iFinD公式)'!$A920-'实盘净值数据(iFinD公式)'!$A$6)/365))</x:f>
        <x:v>#NAME?</x:v>
      </x:c>
      <x:c r="C920" s="152" t="e">
        <x:f>IF(OR(B919="",B920=""),"",B920/B919-1)</x:f>
        <x:v>#NAME?</x:v>
      </x:c>
      <x:c r="D920" s="152" t="e">
        <x:f>IF(B920="","",B920/MAX(B$5:B920)-1)</x:f>
        <x:v>#NAME?</x:v>
      </x:c>
      <x:c r="E920" s="146" t="e">
        <x:f>IF(OR('实盘净值数据(iFinD公式)'!$A920="",'实盘净值数据(iFinD公式)'!$B920=""),"",分期持仓明细!$AD$18*SUMPRODUCT(分期持仓明细!$B$18:$AA$18,'实盘净值数据(iFinD公式)'!$B920:$AA920/'实盘净值数据(iFinD公式)'!$B$20:$AA$20)*(1-实盘持仓初始配置!$Z$5)^(('实盘净值数据(iFinD公式)'!$A920-'实盘净值数据(iFinD公式)'!$A$5)/365))</x:f>
        <x:v>#NAME?</x:v>
      </x:c>
      <x:c r="F920" s="152" t="e">
        <x:f>IF(OR(E919="",E920=""),"",E920/E919-1)</x:f>
        <x:v>#NAME?</x:v>
      </x:c>
      <x:c r="G920" s="152" t="e">
        <x:f>IF(E920="","",E920/MAX(E$5:E920)-1)</x:f>
        <x:v>#NAME?</x:v>
      </x:c>
      <x:c r="H920" s="146" t="e">
        <x:f>IF(OR('实盘净值数据(iFinD公式)'!$A920="",'实盘净值数据(iFinD公式)'!$B920=""),"",分期持仓明细!$AD$19*SUMPRODUCT(分期持仓明细!$B$19:$AA$19,'实盘净值数据(iFinD公式)'!$B920:$AA920/'实盘净值数据(iFinD公式)'!$B$20:$AA$20)*(1-实盘持仓初始配置!$Z$6)^(('实盘净值数据(iFinD公式)'!$A920-'实盘净值数据(iFinD公式)'!$A$7)/365))</x:f>
        <x:v>#NAME?</x:v>
      </x:c>
      <x:c r="I920" s="152" t="e">
        <x:f>IF(OR(H919="",H920=""),"",H920/H919-1)</x:f>
        <x:v>#NAME?</x:v>
      </x:c>
      <x:c r="J920" s="152" t="e">
        <x:f>IF(H920="","",H920/MAX(H$5:H920)-1)</x:f>
        <x:v>#NAME?</x:v>
      </x:c>
      <x:c r="K920" s="146" t="e">
        <x:f>IF(OR('实盘净值数据(iFinD公式)'!$A920="",'实盘净值数据(iFinD公式)'!$B920=""),"",分期持仓明细!$AD$23*SUMPRODUCT(分期持仓明细!$B$23:$AA$23,'实盘净值数据(iFinD公式)'!$B920:$AA920/'实盘净值数据(iFinD公式)'!$B$65:$AA$65)*(1-实盘持仓初始配置!$Z$7)^(('实盘净值数据(iFinD公式)'!$A920-'实盘净值数据(iFinD公式)'!$A$8)/365))</x:f>
        <x:v>#NAME?</x:v>
      </x:c>
      <x:c r="L920" s="152" t="e">
        <x:f>IF(OR(K919="",K920=""),"",K920/K919-1)</x:f>
        <x:v>#NAME?</x:v>
      </x:c>
      <x:c r="M920" s="152" t="e">
        <x:f>IF(K920="","",K920/MAX(K$5:K920)-1)</x:f>
        <x:v>#NAME?</x:v>
      </x:c>
      <x:c r="N920" s="146" t="e">
        <x:f>IF(OR('实盘净值数据(iFinD公式)'!$A920="",'实盘净值数据(iFinD公式)'!$B920=""),"",分期持仓明细!$AD$24*SUMPRODUCT(分期持仓明细!$B$24:$AA$24,'实盘净值数据(iFinD公式)'!$B920:$AA920/'实盘净值数据(iFinD公式)'!$B$65:$AA$65)*(1-实盘持仓初始配置!$Z$8)^(('实盘净值数据(iFinD公式)'!$A920-'实盘净值数据(iFinD公式)'!$A$5)/365))</x:f>
        <x:v>#NAME?</x:v>
      </x:c>
      <x:c r="O920" s="152" t="e">
        <x:f>IF(OR(N919="",N920=""),"",N920/N919-1)</x:f>
        <x:v>#NAME?</x:v>
      </x:c>
      <x:c r="P920" s="152" t="e">
        <x:f>IF(N920="","",N920/MAX(N$5:N920)-1)</x:f>
        <x:v>#NAME?</x:v>
      </x:c>
      <x:c r="Q920" s="146" t="e">
        <x:f>IF(OR('实盘净值数据(iFinD公式)'!$A920="",'实盘净值数据(iFinD公式)'!$B920=""),"",分期持仓明细!$AD$25*SUMPRODUCT(分期持仓明细!$B$25:$AA$25,'实盘净值数据(iFinD公式)'!$B920:$AA920/'实盘净值数据(iFinD公式)'!$B$65:$AA$65)*(1-实盘持仓初始配置!$Z$9)^(('实盘净值数据(iFinD公式)'!$A920-'实盘净值数据(iFinD公式)'!$A$8)/365))</x:f>
        <x:v>#NAME?</x:v>
      </x:c>
      <x:c r="R920" s="152" t="e">
        <x:f>IF(OR(Q919="",Q920=""),"",Q920/Q919-1)</x:f>
        <x:v>#NAME?</x:v>
      </x:c>
      <x:c r="S920" s="152" t="e">
        <x:f>IF(Q920="","",Q920/MAX(Q$5:Q920)-1)</x:f>
        <x:v>#NAME?</x:v>
      </x:c>
    </x:row>
    <x:row r="921">
      <x:c r="A921" s="149" t="str">
        <x:f>IF('实盘净值数据(iFinD公式)'!A921="","",'实盘净值数据(iFinD公式)'!A921)</x:f>
      </x:c>
      <x:c r="B921" s="146" t="e">
        <x:f>IF(OR('实盘净值数据(iFinD公式)'!$A921="",'实盘净值数据(iFinD公式)'!$B921=""),"",分期持仓明细!$AD$17*SUMPRODUCT(分期持仓明细!$B$17:$AA$17,'实盘净值数据(iFinD公式)'!$B921:$AA921/'实盘净值数据(iFinD公式)'!$B$20:$AA$20)*(1-实盘持仓初始配置!$Z$4)^(('实盘净值数据(iFinD公式)'!$A921-'实盘净值数据(iFinD公式)'!$A$6)/365))</x:f>
        <x:v>#NAME?</x:v>
      </x:c>
      <x:c r="C921" s="152" t="e">
        <x:f>IF(OR(B920="",B921=""),"",B921/B920-1)</x:f>
        <x:v>#NAME?</x:v>
      </x:c>
      <x:c r="D921" s="152" t="e">
        <x:f>IF(B921="","",B921/MAX(B$5:B921)-1)</x:f>
        <x:v>#NAME?</x:v>
      </x:c>
      <x:c r="E921" s="146" t="e">
        <x:f>IF(OR('实盘净值数据(iFinD公式)'!$A921="",'实盘净值数据(iFinD公式)'!$B921=""),"",分期持仓明细!$AD$18*SUMPRODUCT(分期持仓明细!$B$18:$AA$18,'实盘净值数据(iFinD公式)'!$B921:$AA921/'实盘净值数据(iFinD公式)'!$B$20:$AA$20)*(1-实盘持仓初始配置!$Z$5)^(('实盘净值数据(iFinD公式)'!$A921-'实盘净值数据(iFinD公式)'!$A$5)/365))</x:f>
        <x:v>#NAME?</x:v>
      </x:c>
      <x:c r="F921" s="152" t="e">
        <x:f>IF(OR(E920="",E921=""),"",E921/E920-1)</x:f>
        <x:v>#NAME?</x:v>
      </x:c>
      <x:c r="G921" s="152" t="e">
        <x:f>IF(E921="","",E921/MAX(E$5:E921)-1)</x:f>
        <x:v>#NAME?</x:v>
      </x:c>
      <x:c r="H921" s="146" t="e">
        <x:f>IF(OR('实盘净值数据(iFinD公式)'!$A921="",'实盘净值数据(iFinD公式)'!$B921=""),"",分期持仓明细!$AD$19*SUMPRODUCT(分期持仓明细!$B$19:$AA$19,'实盘净值数据(iFinD公式)'!$B921:$AA921/'实盘净值数据(iFinD公式)'!$B$20:$AA$20)*(1-实盘持仓初始配置!$Z$6)^(('实盘净值数据(iFinD公式)'!$A921-'实盘净值数据(iFinD公式)'!$A$7)/365))</x:f>
        <x:v>#NAME?</x:v>
      </x:c>
      <x:c r="I921" s="152" t="e">
        <x:f>IF(OR(H920="",H921=""),"",H921/H920-1)</x:f>
        <x:v>#NAME?</x:v>
      </x:c>
      <x:c r="J921" s="152" t="e">
        <x:f>IF(H921="","",H921/MAX(H$5:H921)-1)</x:f>
        <x:v>#NAME?</x:v>
      </x:c>
      <x:c r="K921" s="146" t="e">
        <x:f>IF(OR('实盘净值数据(iFinD公式)'!$A921="",'实盘净值数据(iFinD公式)'!$B921=""),"",分期持仓明细!$AD$23*SUMPRODUCT(分期持仓明细!$B$23:$AA$23,'实盘净值数据(iFinD公式)'!$B921:$AA921/'实盘净值数据(iFinD公式)'!$B$65:$AA$65)*(1-实盘持仓初始配置!$Z$7)^(('实盘净值数据(iFinD公式)'!$A921-'实盘净值数据(iFinD公式)'!$A$8)/365))</x:f>
        <x:v>#NAME?</x:v>
      </x:c>
      <x:c r="L921" s="152" t="e">
        <x:f>IF(OR(K920="",K921=""),"",K921/K920-1)</x:f>
        <x:v>#NAME?</x:v>
      </x:c>
      <x:c r="M921" s="152" t="e">
        <x:f>IF(K921="","",K921/MAX(K$5:K921)-1)</x:f>
        <x:v>#NAME?</x:v>
      </x:c>
      <x:c r="N921" s="146" t="e">
        <x:f>IF(OR('实盘净值数据(iFinD公式)'!$A921="",'实盘净值数据(iFinD公式)'!$B921=""),"",分期持仓明细!$AD$24*SUMPRODUCT(分期持仓明细!$B$24:$AA$24,'实盘净值数据(iFinD公式)'!$B921:$AA921/'实盘净值数据(iFinD公式)'!$B$65:$AA$65)*(1-实盘持仓初始配置!$Z$8)^(('实盘净值数据(iFinD公式)'!$A921-'实盘净值数据(iFinD公式)'!$A$5)/365))</x:f>
        <x:v>#NAME?</x:v>
      </x:c>
      <x:c r="O921" s="152" t="e">
        <x:f>IF(OR(N920="",N921=""),"",N921/N920-1)</x:f>
        <x:v>#NAME?</x:v>
      </x:c>
      <x:c r="P921" s="152" t="e">
        <x:f>IF(N921="","",N921/MAX(N$5:N921)-1)</x:f>
        <x:v>#NAME?</x:v>
      </x:c>
      <x:c r="Q921" s="146" t="e">
        <x:f>IF(OR('实盘净值数据(iFinD公式)'!$A921="",'实盘净值数据(iFinD公式)'!$B921=""),"",分期持仓明细!$AD$25*SUMPRODUCT(分期持仓明细!$B$25:$AA$25,'实盘净值数据(iFinD公式)'!$B921:$AA921/'实盘净值数据(iFinD公式)'!$B$65:$AA$65)*(1-实盘持仓初始配置!$Z$9)^(('实盘净值数据(iFinD公式)'!$A921-'实盘净值数据(iFinD公式)'!$A$8)/365))</x:f>
        <x:v>#NAME?</x:v>
      </x:c>
      <x:c r="R921" s="152" t="e">
        <x:f>IF(OR(Q920="",Q921=""),"",Q921/Q920-1)</x:f>
        <x:v>#NAME?</x:v>
      </x:c>
      <x:c r="S921" s="152" t="e">
        <x:f>IF(Q921="","",Q921/MAX(Q$5:Q921)-1)</x:f>
        <x:v>#NAME?</x:v>
      </x:c>
    </x:row>
    <x:row r="922">
      <x:c r="A922" s="149" t="str">
        <x:f>IF('实盘净值数据(iFinD公式)'!A922="","",'实盘净值数据(iFinD公式)'!A922)</x:f>
      </x:c>
      <x:c r="B922" s="146" t="e">
        <x:f>IF(OR('实盘净值数据(iFinD公式)'!$A922="",'实盘净值数据(iFinD公式)'!$B922=""),"",分期持仓明细!$AD$17*SUMPRODUCT(分期持仓明细!$B$17:$AA$17,'实盘净值数据(iFinD公式)'!$B922:$AA922/'实盘净值数据(iFinD公式)'!$B$20:$AA$20)*(1-实盘持仓初始配置!$Z$4)^(('实盘净值数据(iFinD公式)'!$A922-'实盘净值数据(iFinD公式)'!$A$6)/365))</x:f>
        <x:v>#NAME?</x:v>
      </x:c>
      <x:c r="C922" s="152" t="e">
        <x:f>IF(OR(B921="",B922=""),"",B922/B921-1)</x:f>
        <x:v>#NAME?</x:v>
      </x:c>
      <x:c r="D922" s="152" t="e">
        <x:f>IF(B922="","",B922/MAX(B$5:B922)-1)</x:f>
        <x:v>#NAME?</x:v>
      </x:c>
      <x:c r="E922" s="146" t="e">
        <x:f>IF(OR('实盘净值数据(iFinD公式)'!$A922="",'实盘净值数据(iFinD公式)'!$B922=""),"",分期持仓明细!$AD$18*SUMPRODUCT(分期持仓明细!$B$18:$AA$18,'实盘净值数据(iFinD公式)'!$B922:$AA922/'实盘净值数据(iFinD公式)'!$B$20:$AA$20)*(1-实盘持仓初始配置!$Z$5)^(('实盘净值数据(iFinD公式)'!$A922-'实盘净值数据(iFinD公式)'!$A$5)/365))</x:f>
        <x:v>#NAME?</x:v>
      </x:c>
      <x:c r="F922" s="152" t="e">
        <x:f>IF(OR(E921="",E922=""),"",E922/E921-1)</x:f>
        <x:v>#NAME?</x:v>
      </x:c>
      <x:c r="G922" s="152" t="e">
        <x:f>IF(E922="","",E922/MAX(E$5:E922)-1)</x:f>
        <x:v>#NAME?</x:v>
      </x:c>
      <x:c r="H922" s="146" t="e">
        <x:f>IF(OR('实盘净值数据(iFinD公式)'!$A922="",'实盘净值数据(iFinD公式)'!$B922=""),"",分期持仓明细!$AD$19*SUMPRODUCT(分期持仓明细!$B$19:$AA$19,'实盘净值数据(iFinD公式)'!$B922:$AA922/'实盘净值数据(iFinD公式)'!$B$20:$AA$20)*(1-实盘持仓初始配置!$Z$6)^(('实盘净值数据(iFinD公式)'!$A922-'实盘净值数据(iFinD公式)'!$A$7)/365))</x:f>
        <x:v>#NAME?</x:v>
      </x:c>
      <x:c r="I922" s="152" t="e">
        <x:f>IF(OR(H921="",H922=""),"",H922/H921-1)</x:f>
        <x:v>#NAME?</x:v>
      </x:c>
      <x:c r="J922" s="152" t="e">
        <x:f>IF(H922="","",H922/MAX(H$5:H922)-1)</x:f>
        <x:v>#NAME?</x:v>
      </x:c>
      <x:c r="K922" s="146" t="e">
        <x:f>IF(OR('实盘净值数据(iFinD公式)'!$A922="",'实盘净值数据(iFinD公式)'!$B922=""),"",分期持仓明细!$AD$23*SUMPRODUCT(分期持仓明细!$B$23:$AA$23,'实盘净值数据(iFinD公式)'!$B922:$AA922/'实盘净值数据(iFinD公式)'!$B$65:$AA$65)*(1-实盘持仓初始配置!$Z$7)^(('实盘净值数据(iFinD公式)'!$A922-'实盘净值数据(iFinD公式)'!$A$8)/365))</x:f>
        <x:v>#NAME?</x:v>
      </x:c>
      <x:c r="L922" s="152" t="e">
        <x:f>IF(OR(K921="",K922=""),"",K922/K921-1)</x:f>
        <x:v>#NAME?</x:v>
      </x:c>
      <x:c r="M922" s="152" t="e">
        <x:f>IF(K922="","",K922/MAX(K$5:K922)-1)</x:f>
        <x:v>#NAME?</x:v>
      </x:c>
      <x:c r="N922" s="146" t="e">
        <x:f>IF(OR('实盘净值数据(iFinD公式)'!$A922="",'实盘净值数据(iFinD公式)'!$B922=""),"",分期持仓明细!$AD$24*SUMPRODUCT(分期持仓明细!$B$24:$AA$24,'实盘净值数据(iFinD公式)'!$B922:$AA922/'实盘净值数据(iFinD公式)'!$B$65:$AA$65)*(1-实盘持仓初始配置!$Z$8)^(('实盘净值数据(iFinD公式)'!$A922-'实盘净值数据(iFinD公式)'!$A$5)/365))</x:f>
        <x:v>#NAME?</x:v>
      </x:c>
      <x:c r="O922" s="152" t="e">
        <x:f>IF(OR(N921="",N922=""),"",N922/N921-1)</x:f>
        <x:v>#NAME?</x:v>
      </x:c>
      <x:c r="P922" s="152" t="e">
        <x:f>IF(N922="","",N922/MAX(N$5:N922)-1)</x:f>
        <x:v>#NAME?</x:v>
      </x:c>
      <x:c r="Q922" s="146" t="e">
        <x:f>IF(OR('实盘净值数据(iFinD公式)'!$A922="",'实盘净值数据(iFinD公式)'!$B922=""),"",分期持仓明细!$AD$25*SUMPRODUCT(分期持仓明细!$B$25:$AA$25,'实盘净值数据(iFinD公式)'!$B922:$AA922/'实盘净值数据(iFinD公式)'!$B$65:$AA$65)*(1-实盘持仓初始配置!$Z$9)^(('实盘净值数据(iFinD公式)'!$A922-'实盘净值数据(iFinD公式)'!$A$8)/365))</x:f>
        <x:v>#NAME?</x:v>
      </x:c>
      <x:c r="R922" s="152" t="e">
        <x:f>IF(OR(Q921="",Q922=""),"",Q922/Q921-1)</x:f>
        <x:v>#NAME?</x:v>
      </x:c>
      <x:c r="S922" s="152" t="e">
        <x:f>IF(Q922="","",Q922/MAX(Q$5:Q922)-1)</x:f>
        <x:v>#NAME?</x:v>
      </x:c>
    </x:row>
    <x:row r="923">
      <x:c r="A923" s="149" t="str">
        <x:f>IF('实盘净值数据(iFinD公式)'!A923="","",'实盘净值数据(iFinD公式)'!A923)</x:f>
      </x:c>
      <x:c r="B923" s="146" t="e">
        <x:f>IF(OR('实盘净值数据(iFinD公式)'!$A923="",'实盘净值数据(iFinD公式)'!$B923=""),"",分期持仓明细!$AD$17*SUMPRODUCT(分期持仓明细!$B$17:$AA$17,'实盘净值数据(iFinD公式)'!$B923:$AA923/'实盘净值数据(iFinD公式)'!$B$20:$AA$20)*(1-实盘持仓初始配置!$Z$4)^(('实盘净值数据(iFinD公式)'!$A923-'实盘净值数据(iFinD公式)'!$A$6)/365))</x:f>
        <x:v>#NAME?</x:v>
      </x:c>
      <x:c r="C923" s="152" t="e">
        <x:f>IF(OR(B922="",B923=""),"",B923/B922-1)</x:f>
        <x:v>#NAME?</x:v>
      </x:c>
      <x:c r="D923" s="152" t="e">
        <x:f>IF(B923="","",B923/MAX(B$5:B923)-1)</x:f>
        <x:v>#NAME?</x:v>
      </x:c>
      <x:c r="E923" s="146" t="e">
        <x:f>IF(OR('实盘净值数据(iFinD公式)'!$A923="",'实盘净值数据(iFinD公式)'!$B923=""),"",分期持仓明细!$AD$18*SUMPRODUCT(分期持仓明细!$B$18:$AA$18,'实盘净值数据(iFinD公式)'!$B923:$AA923/'实盘净值数据(iFinD公式)'!$B$20:$AA$20)*(1-实盘持仓初始配置!$Z$5)^(('实盘净值数据(iFinD公式)'!$A923-'实盘净值数据(iFinD公式)'!$A$5)/365))</x:f>
        <x:v>#NAME?</x:v>
      </x:c>
      <x:c r="F923" s="152" t="e">
        <x:f>IF(OR(E922="",E923=""),"",E923/E922-1)</x:f>
        <x:v>#NAME?</x:v>
      </x:c>
      <x:c r="G923" s="152" t="e">
        <x:f>IF(E923="","",E923/MAX(E$5:E923)-1)</x:f>
        <x:v>#NAME?</x:v>
      </x:c>
      <x:c r="H923" s="146" t="e">
        <x:f>IF(OR('实盘净值数据(iFinD公式)'!$A923="",'实盘净值数据(iFinD公式)'!$B923=""),"",分期持仓明细!$AD$19*SUMPRODUCT(分期持仓明细!$B$19:$AA$19,'实盘净值数据(iFinD公式)'!$B923:$AA923/'实盘净值数据(iFinD公式)'!$B$20:$AA$20)*(1-实盘持仓初始配置!$Z$6)^(('实盘净值数据(iFinD公式)'!$A923-'实盘净值数据(iFinD公式)'!$A$7)/365))</x:f>
        <x:v>#NAME?</x:v>
      </x:c>
      <x:c r="I923" s="152" t="e">
        <x:f>IF(OR(H922="",H923=""),"",H923/H922-1)</x:f>
        <x:v>#NAME?</x:v>
      </x:c>
      <x:c r="J923" s="152" t="e">
        <x:f>IF(H923="","",H923/MAX(H$5:H923)-1)</x:f>
        <x:v>#NAME?</x:v>
      </x:c>
      <x:c r="K923" s="146" t="e">
        <x:f>IF(OR('实盘净值数据(iFinD公式)'!$A923="",'实盘净值数据(iFinD公式)'!$B923=""),"",分期持仓明细!$AD$23*SUMPRODUCT(分期持仓明细!$B$23:$AA$23,'实盘净值数据(iFinD公式)'!$B923:$AA923/'实盘净值数据(iFinD公式)'!$B$65:$AA$65)*(1-实盘持仓初始配置!$Z$7)^(('实盘净值数据(iFinD公式)'!$A923-'实盘净值数据(iFinD公式)'!$A$8)/365))</x:f>
        <x:v>#NAME?</x:v>
      </x:c>
      <x:c r="L923" s="152" t="e">
        <x:f>IF(OR(K922="",K923=""),"",K923/K922-1)</x:f>
        <x:v>#NAME?</x:v>
      </x:c>
      <x:c r="M923" s="152" t="e">
        <x:f>IF(K923="","",K923/MAX(K$5:K923)-1)</x:f>
        <x:v>#NAME?</x:v>
      </x:c>
      <x:c r="N923" s="146" t="e">
        <x:f>IF(OR('实盘净值数据(iFinD公式)'!$A923="",'实盘净值数据(iFinD公式)'!$B923=""),"",分期持仓明细!$AD$24*SUMPRODUCT(分期持仓明细!$B$24:$AA$24,'实盘净值数据(iFinD公式)'!$B923:$AA923/'实盘净值数据(iFinD公式)'!$B$65:$AA$65)*(1-实盘持仓初始配置!$Z$8)^(('实盘净值数据(iFinD公式)'!$A923-'实盘净值数据(iFinD公式)'!$A$5)/365))</x:f>
        <x:v>#NAME?</x:v>
      </x:c>
      <x:c r="O923" s="152" t="e">
        <x:f>IF(OR(N922="",N923=""),"",N923/N922-1)</x:f>
        <x:v>#NAME?</x:v>
      </x:c>
      <x:c r="P923" s="152" t="e">
        <x:f>IF(N923="","",N923/MAX(N$5:N923)-1)</x:f>
        <x:v>#NAME?</x:v>
      </x:c>
      <x:c r="Q923" s="146" t="e">
        <x:f>IF(OR('实盘净值数据(iFinD公式)'!$A923="",'实盘净值数据(iFinD公式)'!$B923=""),"",分期持仓明细!$AD$25*SUMPRODUCT(分期持仓明细!$B$25:$AA$25,'实盘净值数据(iFinD公式)'!$B923:$AA923/'实盘净值数据(iFinD公式)'!$B$65:$AA$65)*(1-实盘持仓初始配置!$Z$9)^(('实盘净值数据(iFinD公式)'!$A923-'实盘净值数据(iFinD公式)'!$A$8)/365))</x:f>
        <x:v>#NAME?</x:v>
      </x:c>
      <x:c r="R923" s="152" t="e">
        <x:f>IF(OR(Q922="",Q923=""),"",Q923/Q922-1)</x:f>
        <x:v>#NAME?</x:v>
      </x:c>
      <x:c r="S923" s="152" t="e">
        <x:f>IF(Q923="","",Q923/MAX(Q$5:Q923)-1)</x:f>
        <x:v>#NAME?</x:v>
      </x:c>
    </x:row>
    <x:row r="924">
      <x:c r="A924" s="149" t="str">
        <x:f>IF('实盘净值数据(iFinD公式)'!A924="","",'实盘净值数据(iFinD公式)'!A924)</x:f>
      </x:c>
      <x:c r="B924" s="146" t="e">
        <x:f>IF(OR('实盘净值数据(iFinD公式)'!$A924="",'实盘净值数据(iFinD公式)'!$B924=""),"",分期持仓明细!$AD$17*SUMPRODUCT(分期持仓明细!$B$17:$AA$17,'实盘净值数据(iFinD公式)'!$B924:$AA924/'实盘净值数据(iFinD公式)'!$B$20:$AA$20)*(1-实盘持仓初始配置!$Z$4)^(('实盘净值数据(iFinD公式)'!$A924-'实盘净值数据(iFinD公式)'!$A$6)/365))</x:f>
        <x:v>#NAME?</x:v>
      </x:c>
      <x:c r="C924" s="152" t="e">
        <x:f>IF(OR(B923="",B924=""),"",B924/B923-1)</x:f>
        <x:v>#NAME?</x:v>
      </x:c>
      <x:c r="D924" s="152" t="e">
        <x:f>IF(B924="","",B924/MAX(B$5:B924)-1)</x:f>
        <x:v>#NAME?</x:v>
      </x:c>
      <x:c r="E924" s="146" t="e">
        <x:f>IF(OR('实盘净值数据(iFinD公式)'!$A924="",'实盘净值数据(iFinD公式)'!$B924=""),"",分期持仓明细!$AD$18*SUMPRODUCT(分期持仓明细!$B$18:$AA$18,'实盘净值数据(iFinD公式)'!$B924:$AA924/'实盘净值数据(iFinD公式)'!$B$20:$AA$20)*(1-实盘持仓初始配置!$Z$5)^(('实盘净值数据(iFinD公式)'!$A924-'实盘净值数据(iFinD公式)'!$A$5)/365))</x:f>
        <x:v>#NAME?</x:v>
      </x:c>
      <x:c r="F924" s="152" t="e">
        <x:f>IF(OR(E923="",E924=""),"",E924/E923-1)</x:f>
        <x:v>#NAME?</x:v>
      </x:c>
      <x:c r="G924" s="152" t="e">
        <x:f>IF(E924="","",E924/MAX(E$5:E924)-1)</x:f>
        <x:v>#NAME?</x:v>
      </x:c>
      <x:c r="H924" s="146" t="e">
        <x:f>IF(OR('实盘净值数据(iFinD公式)'!$A924="",'实盘净值数据(iFinD公式)'!$B924=""),"",分期持仓明细!$AD$19*SUMPRODUCT(分期持仓明细!$B$19:$AA$19,'实盘净值数据(iFinD公式)'!$B924:$AA924/'实盘净值数据(iFinD公式)'!$B$20:$AA$20)*(1-实盘持仓初始配置!$Z$6)^(('实盘净值数据(iFinD公式)'!$A924-'实盘净值数据(iFinD公式)'!$A$7)/365))</x:f>
        <x:v>#NAME?</x:v>
      </x:c>
      <x:c r="I924" s="152" t="e">
        <x:f>IF(OR(H923="",H924=""),"",H924/H923-1)</x:f>
        <x:v>#NAME?</x:v>
      </x:c>
      <x:c r="J924" s="152" t="e">
        <x:f>IF(H924="","",H924/MAX(H$5:H924)-1)</x:f>
        <x:v>#NAME?</x:v>
      </x:c>
      <x:c r="K924" s="146" t="e">
        <x:f>IF(OR('实盘净值数据(iFinD公式)'!$A924="",'实盘净值数据(iFinD公式)'!$B924=""),"",分期持仓明细!$AD$23*SUMPRODUCT(分期持仓明细!$B$23:$AA$23,'实盘净值数据(iFinD公式)'!$B924:$AA924/'实盘净值数据(iFinD公式)'!$B$65:$AA$65)*(1-实盘持仓初始配置!$Z$7)^(('实盘净值数据(iFinD公式)'!$A924-'实盘净值数据(iFinD公式)'!$A$8)/365))</x:f>
        <x:v>#NAME?</x:v>
      </x:c>
      <x:c r="L924" s="152" t="e">
        <x:f>IF(OR(K923="",K924=""),"",K924/K923-1)</x:f>
        <x:v>#NAME?</x:v>
      </x:c>
      <x:c r="M924" s="152" t="e">
        <x:f>IF(K924="","",K924/MAX(K$5:K924)-1)</x:f>
        <x:v>#NAME?</x:v>
      </x:c>
      <x:c r="N924" s="146" t="e">
        <x:f>IF(OR('实盘净值数据(iFinD公式)'!$A924="",'实盘净值数据(iFinD公式)'!$B924=""),"",分期持仓明细!$AD$24*SUMPRODUCT(分期持仓明细!$B$24:$AA$24,'实盘净值数据(iFinD公式)'!$B924:$AA924/'实盘净值数据(iFinD公式)'!$B$65:$AA$65)*(1-实盘持仓初始配置!$Z$8)^(('实盘净值数据(iFinD公式)'!$A924-'实盘净值数据(iFinD公式)'!$A$5)/365))</x:f>
        <x:v>#NAME?</x:v>
      </x:c>
      <x:c r="O924" s="152" t="e">
        <x:f>IF(OR(N923="",N924=""),"",N924/N923-1)</x:f>
        <x:v>#NAME?</x:v>
      </x:c>
      <x:c r="P924" s="152" t="e">
        <x:f>IF(N924="","",N924/MAX(N$5:N924)-1)</x:f>
        <x:v>#NAME?</x:v>
      </x:c>
      <x:c r="Q924" s="146" t="e">
        <x:f>IF(OR('实盘净值数据(iFinD公式)'!$A924="",'实盘净值数据(iFinD公式)'!$B924=""),"",分期持仓明细!$AD$25*SUMPRODUCT(分期持仓明细!$B$25:$AA$25,'实盘净值数据(iFinD公式)'!$B924:$AA924/'实盘净值数据(iFinD公式)'!$B$65:$AA$65)*(1-实盘持仓初始配置!$Z$9)^(('实盘净值数据(iFinD公式)'!$A924-'实盘净值数据(iFinD公式)'!$A$8)/365))</x:f>
        <x:v>#NAME?</x:v>
      </x:c>
      <x:c r="R924" s="152" t="e">
        <x:f>IF(OR(Q923="",Q924=""),"",Q924/Q923-1)</x:f>
        <x:v>#NAME?</x:v>
      </x:c>
      <x:c r="S924" s="152" t="e">
        <x:f>IF(Q924="","",Q924/MAX(Q$5:Q924)-1)</x:f>
        <x:v>#NAME?</x:v>
      </x:c>
    </x:row>
    <x:row r="925">
      <x:c r="A925" s="149" t="str">
        <x:f>IF('实盘净值数据(iFinD公式)'!A925="","",'实盘净值数据(iFinD公式)'!A925)</x:f>
      </x:c>
      <x:c r="B925" s="146" t="e">
        <x:f>IF(OR('实盘净值数据(iFinD公式)'!$A925="",'实盘净值数据(iFinD公式)'!$B925=""),"",分期持仓明细!$AD$17*SUMPRODUCT(分期持仓明细!$B$17:$AA$17,'实盘净值数据(iFinD公式)'!$B925:$AA925/'实盘净值数据(iFinD公式)'!$B$20:$AA$20)*(1-实盘持仓初始配置!$Z$4)^(('实盘净值数据(iFinD公式)'!$A925-'实盘净值数据(iFinD公式)'!$A$6)/365))</x:f>
        <x:v>#NAME?</x:v>
      </x:c>
      <x:c r="C925" s="152" t="e">
        <x:f>IF(OR(B924="",B925=""),"",B925/B924-1)</x:f>
        <x:v>#NAME?</x:v>
      </x:c>
      <x:c r="D925" s="152" t="e">
        <x:f>IF(B925="","",B925/MAX(B$5:B925)-1)</x:f>
        <x:v>#NAME?</x:v>
      </x:c>
      <x:c r="E925" s="146" t="e">
        <x:f>IF(OR('实盘净值数据(iFinD公式)'!$A925="",'实盘净值数据(iFinD公式)'!$B925=""),"",分期持仓明细!$AD$18*SUMPRODUCT(分期持仓明细!$B$18:$AA$18,'实盘净值数据(iFinD公式)'!$B925:$AA925/'实盘净值数据(iFinD公式)'!$B$20:$AA$20)*(1-实盘持仓初始配置!$Z$5)^(('实盘净值数据(iFinD公式)'!$A925-'实盘净值数据(iFinD公式)'!$A$5)/365))</x:f>
        <x:v>#NAME?</x:v>
      </x:c>
      <x:c r="F925" s="152" t="e">
        <x:f>IF(OR(E924="",E925=""),"",E925/E924-1)</x:f>
        <x:v>#NAME?</x:v>
      </x:c>
      <x:c r="G925" s="152" t="e">
        <x:f>IF(E925="","",E925/MAX(E$5:E925)-1)</x:f>
        <x:v>#NAME?</x:v>
      </x:c>
      <x:c r="H925" s="146" t="e">
        <x:f>IF(OR('实盘净值数据(iFinD公式)'!$A925="",'实盘净值数据(iFinD公式)'!$B925=""),"",分期持仓明细!$AD$19*SUMPRODUCT(分期持仓明细!$B$19:$AA$19,'实盘净值数据(iFinD公式)'!$B925:$AA925/'实盘净值数据(iFinD公式)'!$B$20:$AA$20)*(1-实盘持仓初始配置!$Z$6)^(('实盘净值数据(iFinD公式)'!$A925-'实盘净值数据(iFinD公式)'!$A$7)/365))</x:f>
        <x:v>#NAME?</x:v>
      </x:c>
      <x:c r="I925" s="152" t="e">
        <x:f>IF(OR(H924="",H925=""),"",H925/H924-1)</x:f>
        <x:v>#NAME?</x:v>
      </x:c>
      <x:c r="J925" s="152" t="e">
        <x:f>IF(H925="","",H925/MAX(H$5:H925)-1)</x:f>
        <x:v>#NAME?</x:v>
      </x:c>
      <x:c r="K925" s="146" t="e">
        <x:f>IF(OR('实盘净值数据(iFinD公式)'!$A925="",'实盘净值数据(iFinD公式)'!$B925=""),"",分期持仓明细!$AD$23*SUMPRODUCT(分期持仓明细!$B$23:$AA$23,'实盘净值数据(iFinD公式)'!$B925:$AA925/'实盘净值数据(iFinD公式)'!$B$65:$AA$65)*(1-实盘持仓初始配置!$Z$7)^(('实盘净值数据(iFinD公式)'!$A925-'实盘净值数据(iFinD公式)'!$A$8)/365))</x:f>
        <x:v>#NAME?</x:v>
      </x:c>
      <x:c r="L925" s="152" t="e">
        <x:f>IF(OR(K924="",K925=""),"",K925/K924-1)</x:f>
        <x:v>#NAME?</x:v>
      </x:c>
      <x:c r="M925" s="152" t="e">
        <x:f>IF(K925="","",K925/MAX(K$5:K925)-1)</x:f>
        <x:v>#NAME?</x:v>
      </x:c>
      <x:c r="N925" s="146" t="e">
        <x:f>IF(OR('实盘净值数据(iFinD公式)'!$A925="",'实盘净值数据(iFinD公式)'!$B925=""),"",分期持仓明细!$AD$24*SUMPRODUCT(分期持仓明细!$B$24:$AA$24,'实盘净值数据(iFinD公式)'!$B925:$AA925/'实盘净值数据(iFinD公式)'!$B$65:$AA$65)*(1-实盘持仓初始配置!$Z$8)^(('实盘净值数据(iFinD公式)'!$A925-'实盘净值数据(iFinD公式)'!$A$5)/365))</x:f>
        <x:v>#NAME?</x:v>
      </x:c>
      <x:c r="O925" s="152" t="e">
        <x:f>IF(OR(N924="",N925=""),"",N925/N924-1)</x:f>
        <x:v>#NAME?</x:v>
      </x:c>
      <x:c r="P925" s="152" t="e">
        <x:f>IF(N925="","",N925/MAX(N$5:N925)-1)</x:f>
        <x:v>#NAME?</x:v>
      </x:c>
      <x:c r="Q925" s="146" t="e">
        <x:f>IF(OR('实盘净值数据(iFinD公式)'!$A925="",'实盘净值数据(iFinD公式)'!$B925=""),"",分期持仓明细!$AD$25*SUMPRODUCT(分期持仓明细!$B$25:$AA$25,'实盘净值数据(iFinD公式)'!$B925:$AA925/'实盘净值数据(iFinD公式)'!$B$65:$AA$65)*(1-实盘持仓初始配置!$Z$9)^(('实盘净值数据(iFinD公式)'!$A925-'实盘净值数据(iFinD公式)'!$A$8)/365))</x:f>
        <x:v>#NAME?</x:v>
      </x:c>
      <x:c r="R925" s="152" t="e">
        <x:f>IF(OR(Q924="",Q925=""),"",Q925/Q924-1)</x:f>
        <x:v>#NAME?</x:v>
      </x:c>
      <x:c r="S925" s="152" t="e">
        <x:f>IF(Q925="","",Q925/MAX(Q$5:Q925)-1)</x:f>
        <x:v>#NAME?</x:v>
      </x:c>
    </x:row>
    <x:row r="926">
      <x:c r="A926" s="149" t="str">
        <x:f>IF('实盘净值数据(iFinD公式)'!A926="","",'实盘净值数据(iFinD公式)'!A926)</x:f>
      </x:c>
      <x:c r="B926" s="146" t="e">
        <x:f>IF(OR('实盘净值数据(iFinD公式)'!$A926="",'实盘净值数据(iFinD公式)'!$B926=""),"",分期持仓明细!$AD$17*SUMPRODUCT(分期持仓明细!$B$17:$AA$17,'实盘净值数据(iFinD公式)'!$B926:$AA926/'实盘净值数据(iFinD公式)'!$B$20:$AA$20)*(1-实盘持仓初始配置!$Z$4)^(('实盘净值数据(iFinD公式)'!$A926-'实盘净值数据(iFinD公式)'!$A$6)/365))</x:f>
        <x:v>#NAME?</x:v>
      </x:c>
      <x:c r="C926" s="152" t="e">
        <x:f>IF(OR(B925="",B926=""),"",B926/B925-1)</x:f>
        <x:v>#NAME?</x:v>
      </x:c>
      <x:c r="D926" s="152" t="e">
        <x:f>IF(B926="","",B926/MAX(B$5:B926)-1)</x:f>
        <x:v>#NAME?</x:v>
      </x:c>
      <x:c r="E926" s="146" t="e">
        <x:f>IF(OR('实盘净值数据(iFinD公式)'!$A926="",'实盘净值数据(iFinD公式)'!$B926=""),"",分期持仓明细!$AD$18*SUMPRODUCT(分期持仓明细!$B$18:$AA$18,'实盘净值数据(iFinD公式)'!$B926:$AA926/'实盘净值数据(iFinD公式)'!$B$20:$AA$20)*(1-实盘持仓初始配置!$Z$5)^(('实盘净值数据(iFinD公式)'!$A926-'实盘净值数据(iFinD公式)'!$A$5)/365))</x:f>
        <x:v>#NAME?</x:v>
      </x:c>
      <x:c r="F926" s="152" t="e">
        <x:f>IF(OR(E925="",E926=""),"",E926/E925-1)</x:f>
        <x:v>#NAME?</x:v>
      </x:c>
      <x:c r="G926" s="152" t="e">
        <x:f>IF(E926="","",E926/MAX(E$5:E926)-1)</x:f>
        <x:v>#NAME?</x:v>
      </x:c>
      <x:c r="H926" s="146" t="e">
        <x:f>IF(OR('实盘净值数据(iFinD公式)'!$A926="",'实盘净值数据(iFinD公式)'!$B926=""),"",分期持仓明细!$AD$19*SUMPRODUCT(分期持仓明细!$B$19:$AA$19,'实盘净值数据(iFinD公式)'!$B926:$AA926/'实盘净值数据(iFinD公式)'!$B$20:$AA$20)*(1-实盘持仓初始配置!$Z$6)^(('实盘净值数据(iFinD公式)'!$A926-'实盘净值数据(iFinD公式)'!$A$7)/365))</x:f>
        <x:v>#NAME?</x:v>
      </x:c>
      <x:c r="I926" s="152" t="e">
        <x:f>IF(OR(H925="",H926=""),"",H926/H925-1)</x:f>
        <x:v>#NAME?</x:v>
      </x:c>
      <x:c r="J926" s="152" t="e">
        <x:f>IF(H926="","",H926/MAX(H$5:H926)-1)</x:f>
        <x:v>#NAME?</x:v>
      </x:c>
      <x:c r="K926" s="146" t="e">
        <x:f>IF(OR('实盘净值数据(iFinD公式)'!$A926="",'实盘净值数据(iFinD公式)'!$B926=""),"",分期持仓明细!$AD$23*SUMPRODUCT(分期持仓明细!$B$23:$AA$23,'实盘净值数据(iFinD公式)'!$B926:$AA926/'实盘净值数据(iFinD公式)'!$B$65:$AA$65)*(1-实盘持仓初始配置!$Z$7)^(('实盘净值数据(iFinD公式)'!$A926-'实盘净值数据(iFinD公式)'!$A$8)/365))</x:f>
        <x:v>#NAME?</x:v>
      </x:c>
      <x:c r="L926" s="152" t="e">
        <x:f>IF(OR(K925="",K926=""),"",K926/K925-1)</x:f>
        <x:v>#NAME?</x:v>
      </x:c>
      <x:c r="M926" s="152" t="e">
        <x:f>IF(K926="","",K926/MAX(K$5:K926)-1)</x:f>
        <x:v>#NAME?</x:v>
      </x:c>
      <x:c r="N926" s="146" t="e">
        <x:f>IF(OR('实盘净值数据(iFinD公式)'!$A926="",'实盘净值数据(iFinD公式)'!$B926=""),"",分期持仓明细!$AD$24*SUMPRODUCT(分期持仓明细!$B$24:$AA$24,'实盘净值数据(iFinD公式)'!$B926:$AA926/'实盘净值数据(iFinD公式)'!$B$65:$AA$65)*(1-实盘持仓初始配置!$Z$8)^(('实盘净值数据(iFinD公式)'!$A926-'实盘净值数据(iFinD公式)'!$A$5)/365))</x:f>
        <x:v>#NAME?</x:v>
      </x:c>
      <x:c r="O926" s="152" t="e">
        <x:f>IF(OR(N925="",N926=""),"",N926/N925-1)</x:f>
        <x:v>#NAME?</x:v>
      </x:c>
      <x:c r="P926" s="152" t="e">
        <x:f>IF(N926="","",N926/MAX(N$5:N926)-1)</x:f>
        <x:v>#NAME?</x:v>
      </x:c>
      <x:c r="Q926" s="146" t="e">
        <x:f>IF(OR('实盘净值数据(iFinD公式)'!$A926="",'实盘净值数据(iFinD公式)'!$B926=""),"",分期持仓明细!$AD$25*SUMPRODUCT(分期持仓明细!$B$25:$AA$25,'实盘净值数据(iFinD公式)'!$B926:$AA926/'实盘净值数据(iFinD公式)'!$B$65:$AA$65)*(1-实盘持仓初始配置!$Z$9)^(('实盘净值数据(iFinD公式)'!$A926-'实盘净值数据(iFinD公式)'!$A$8)/365))</x:f>
        <x:v>#NAME?</x:v>
      </x:c>
      <x:c r="R926" s="152" t="e">
        <x:f>IF(OR(Q925="",Q926=""),"",Q926/Q925-1)</x:f>
        <x:v>#NAME?</x:v>
      </x:c>
      <x:c r="S926" s="152" t="e">
        <x:f>IF(Q926="","",Q926/MAX(Q$5:Q926)-1)</x:f>
        <x:v>#NAME?</x:v>
      </x:c>
    </x:row>
    <x:row r="927">
      <x:c r="A927" s="149" t="str">
        <x:f>IF('实盘净值数据(iFinD公式)'!A927="","",'实盘净值数据(iFinD公式)'!A927)</x:f>
      </x:c>
      <x:c r="B927" s="146" t="e">
        <x:f>IF(OR('实盘净值数据(iFinD公式)'!$A927="",'实盘净值数据(iFinD公式)'!$B927=""),"",分期持仓明细!$AD$17*SUMPRODUCT(分期持仓明细!$B$17:$AA$17,'实盘净值数据(iFinD公式)'!$B927:$AA927/'实盘净值数据(iFinD公式)'!$B$20:$AA$20)*(1-实盘持仓初始配置!$Z$4)^(('实盘净值数据(iFinD公式)'!$A927-'实盘净值数据(iFinD公式)'!$A$6)/365))</x:f>
        <x:v>#NAME?</x:v>
      </x:c>
      <x:c r="C927" s="152" t="e">
        <x:f>IF(OR(B926="",B927=""),"",B927/B926-1)</x:f>
        <x:v>#NAME?</x:v>
      </x:c>
      <x:c r="D927" s="152" t="e">
        <x:f>IF(B927="","",B927/MAX(B$5:B927)-1)</x:f>
        <x:v>#NAME?</x:v>
      </x:c>
      <x:c r="E927" s="146" t="e">
        <x:f>IF(OR('实盘净值数据(iFinD公式)'!$A927="",'实盘净值数据(iFinD公式)'!$B927=""),"",分期持仓明细!$AD$18*SUMPRODUCT(分期持仓明细!$B$18:$AA$18,'实盘净值数据(iFinD公式)'!$B927:$AA927/'实盘净值数据(iFinD公式)'!$B$20:$AA$20)*(1-实盘持仓初始配置!$Z$5)^(('实盘净值数据(iFinD公式)'!$A927-'实盘净值数据(iFinD公式)'!$A$5)/365))</x:f>
        <x:v>#NAME?</x:v>
      </x:c>
      <x:c r="F927" s="152" t="e">
        <x:f>IF(OR(E926="",E927=""),"",E927/E926-1)</x:f>
        <x:v>#NAME?</x:v>
      </x:c>
      <x:c r="G927" s="152" t="e">
        <x:f>IF(E927="","",E927/MAX(E$5:E927)-1)</x:f>
        <x:v>#NAME?</x:v>
      </x:c>
      <x:c r="H927" s="146" t="e">
        <x:f>IF(OR('实盘净值数据(iFinD公式)'!$A927="",'实盘净值数据(iFinD公式)'!$B927=""),"",分期持仓明细!$AD$19*SUMPRODUCT(分期持仓明细!$B$19:$AA$19,'实盘净值数据(iFinD公式)'!$B927:$AA927/'实盘净值数据(iFinD公式)'!$B$20:$AA$20)*(1-实盘持仓初始配置!$Z$6)^(('实盘净值数据(iFinD公式)'!$A927-'实盘净值数据(iFinD公式)'!$A$7)/365))</x:f>
        <x:v>#NAME?</x:v>
      </x:c>
      <x:c r="I927" s="152" t="e">
        <x:f>IF(OR(H926="",H927=""),"",H927/H926-1)</x:f>
        <x:v>#NAME?</x:v>
      </x:c>
      <x:c r="J927" s="152" t="e">
        <x:f>IF(H927="","",H927/MAX(H$5:H927)-1)</x:f>
        <x:v>#NAME?</x:v>
      </x:c>
      <x:c r="K927" s="146" t="e">
        <x:f>IF(OR('实盘净值数据(iFinD公式)'!$A927="",'实盘净值数据(iFinD公式)'!$B927=""),"",分期持仓明细!$AD$23*SUMPRODUCT(分期持仓明细!$B$23:$AA$23,'实盘净值数据(iFinD公式)'!$B927:$AA927/'实盘净值数据(iFinD公式)'!$B$65:$AA$65)*(1-实盘持仓初始配置!$Z$7)^(('实盘净值数据(iFinD公式)'!$A927-'实盘净值数据(iFinD公式)'!$A$8)/365))</x:f>
        <x:v>#NAME?</x:v>
      </x:c>
      <x:c r="L927" s="152" t="e">
        <x:f>IF(OR(K926="",K927=""),"",K927/K926-1)</x:f>
        <x:v>#NAME?</x:v>
      </x:c>
      <x:c r="M927" s="152" t="e">
        <x:f>IF(K927="","",K927/MAX(K$5:K927)-1)</x:f>
        <x:v>#NAME?</x:v>
      </x:c>
      <x:c r="N927" s="146" t="e">
        <x:f>IF(OR('实盘净值数据(iFinD公式)'!$A927="",'实盘净值数据(iFinD公式)'!$B927=""),"",分期持仓明细!$AD$24*SUMPRODUCT(分期持仓明细!$B$24:$AA$24,'实盘净值数据(iFinD公式)'!$B927:$AA927/'实盘净值数据(iFinD公式)'!$B$65:$AA$65)*(1-实盘持仓初始配置!$Z$8)^(('实盘净值数据(iFinD公式)'!$A927-'实盘净值数据(iFinD公式)'!$A$5)/365))</x:f>
        <x:v>#NAME?</x:v>
      </x:c>
      <x:c r="O927" s="152" t="e">
        <x:f>IF(OR(N926="",N927=""),"",N927/N926-1)</x:f>
        <x:v>#NAME?</x:v>
      </x:c>
      <x:c r="P927" s="152" t="e">
        <x:f>IF(N927="","",N927/MAX(N$5:N927)-1)</x:f>
        <x:v>#NAME?</x:v>
      </x:c>
      <x:c r="Q927" s="146" t="e">
        <x:f>IF(OR('实盘净值数据(iFinD公式)'!$A927="",'实盘净值数据(iFinD公式)'!$B927=""),"",分期持仓明细!$AD$25*SUMPRODUCT(分期持仓明细!$B$25:$AA$25,'实盘净值数据(iFinD公式)'!$B927:$AA927/'实盘净值数据(iFinD公式)'!$B$65:$AA$65)*(1-实盘持仓初始配置!$Z$9)^(('实盘净值数据(iFinD公式)'!$A927-'实盘净值数据(iFinD公式)'!$A$8)/365))</x:f>
        <x:v>#NAME?</x:v>
      </x:c>
      <x:c r="R927" s="152" t="e">
        <x:f>IF(OR(Q926="",Q927=""),"",Q927/Q926-1)</x:f>
        <x:v>#NAME?</x:v>
      </x:c>
      <x:c r="S927" s="152" t="e">
        <x:f>IF(Q927="","",Q927/MAX(Q$5:Q927)-1)</x:f>
        <x:v>#NAME?</x:v>
      </x:c>
    </x:row>
    <x:row r="928">
      <x:c r="A928" s="149" t="str">
        <x:f>IF('实盘净值数据(iFinD公式)'!A928="","",'实盘净值数据(iFinD公式)'!A928)</x:f>
      </x:c>
      <x:c r="B928" s="146" t="e">
        <x:f>IF(OR('实盘净值数据(iFinD公式)'!$A928="",'实盘净值数据(iFinD公式)'!$B928=""),"",分期持仓明细!$AD$17*SUMPRODUCT(分期持仓明细!$B$17:$AA$17,'实盘净值数据(iFinD公式)'!$B928:$AA928/'实盘净值数据(iFinD公式)'!$B$20:$AA$20)*(1-实盘持仓初始配置!$Z$4)^(('实盘净值数据(iFinD公式)'!$A928-'实盘净值数据(iFinD公式)'!$A$6)/365))</x:f>
        <x:v>#NAME?</x:v>
      </x:c>
      <x:c r="C928" s="152" t="e">
        <x:f>IF(OR(B927="",B928=""),"",B928/B927-1)</x:f>
        <x:v>#NAME?</x:v>
      </x:c>
      <x:c r="D928" s="152" t="e">
        <x:f>IF(B928="","",B928/MAX(B$5:B928)-1)</x:f>
        <x:v>#NAME?</x:v>
      </x:c>
      <x:c r="E928" s="146" t="e">
        <x:f>IF(OR('实盘净值数据(iFinD公式)'!$A928="",'实盘净值数据(iFinD公式)'!$B928=""),"",分期持仓明细!$AD$18*SUMPRODUCT(分期持仓明细!$B$18:$AA$18,'实盘净值数据(iFinD公式)'!$B928:$AA928/'实盘净值数据(iFinD公式)'!$B$20:$AA$20)*(1-实盘持仓初始配置!$Z$5)^(('实盘净值数据(iFinD公式)'!$A928-'实盘净值数据(iFinD公式)'!$A$5)/365))</x:f>
        <x:v>#NAME?</x:v>
      </x:c>
      <x:c r="F928" s="152" t="e">
        <x:f>IF(OR(E927="",E928=""),"",E928/E927-1)</x:f>
        <x:v>#NAME?</x:v>
      </x:c>
      <x:c r="G928" s="152" t="e">
        <x:f>IF(E928="","",E928/MAX(E$5:E928)-1)</x:f>
        <x:v>#NAME?</x:v>
      </x:c>
      <x:c r="H928" s="146" t="e">
        <x:f>IF(OR('实盘净值数据(iFinD公式)'!$A928="",'实盘净值数据(iFinD公式)'!$B928=""),"",分期持仓明细!$AD$19*SUMPRODUCT(分期持仓明细!$B$19:$AA$19,'实盘净值数据(iFinD公式)'!$B928:$AA928/'实盘净值数据(iFinD公式)'!$B$20:$AA$20)*(1-实盘持仓初始配置!$Z$6)^(('实盘净值数据(iFinD公式)'!$A928-'实盘净值数据(iFinD公式)'!$A$7)/365))</x:f>
        <x:v>#NAME?</x:v>
      </x:c>
      <x:c r="I928" s="152" t="e">
        <x:f>IF(OR(H927="",H928=""),"",H928/H927-1)</x:f>
        <x:v>#NAME?</x:v>
      </x:c>
      <x:c r="J928" s="152" t="e">
        <x:f>IF(H928="","",H928/MAX(H$5:H928)-1)</x:f>
        <x:v>#NAME?</x:v>
      </x:c>
      <x:c r="K928" s="146" t="e">
        <x:f>IF(OR('实盘净值数据(iFinD公式)'!$A928="",'实盘净值数据(iFinD公式)'!$B928=""),"",分期持仓明细!$AD$23*SUMPRODUCT(分期持仓明细!$B$23:$AA$23,'实盘净值数据(iFinD公式)'!$B928:$AA928/'实盘净值数据(iFinD公式)'!$B$65:$AA$65)*(1-实盘持仓初始配置!$Z$7)^(('实盘净值数据(iFinD公式)'!$A928-'实盘净值数据(iFinD公式)'!$A$8)/365))</x:f>
        <x:v>#NAME?</x:v>
      </x:c>
      <x:c r="L928" s="152" t="e">
        <x:f>IF(OR(K927="",K928=""),"",K928/K927-1)</x:f>
        <x:v>#NAME?</x:v>
      </x:c>
      <x:c r="M928" s="152" t="e">
        <x:f>IF(K928="","",K928/MAX(K$5:K928)-1)</x:f>
        <x:v>#NAME?</x:v>
      </x:c>
      <x:c r="N928" s="146" t="e">
        <x:f>IF(OR('实盘净值数据(iFinD公式)'!$A928="",'实盘净值数据(iFinD公式)'!$B928=""),"",分期持仓明细!$AD$24*SUMPRODUCT(分期持仓明细!$B$24:$AA$24,'实盘净值数据(iFinD公式)'!$B928:$AA928/'实盘净值数据(iFinD公式)'!$B$65:$AA$65)*(1-实盘持仓初始配置!$Z$8)^(('实盘净值数据(iFinD公式)'!$A928-'实盘净值数据(iFinD公式)'!$A$5)/365))</x:f>
        <x:v>#NAME?</x:v>
      </x:c>
      <x:c r="O928" s="152" t="e">
        <x:f>IF(OR(N927="",N928=""),"",N928/N927-1)</x:f>
        <x:v>#NAME?</x:v>
      </x:c>
      <x:c r="P928" s="152" t="e">
        <x:f>IF(N928="","",N928/MAX(N$5:N928)-1)</x:f>
        <x:v>#NAME?</x:v>
      </x:c>
      <x:c r="Q928" s="146" t="e">
        <x:f>IF(OR('实盘净值数据(iFinD公式)'!$A928="",'实盘净值数据(iFinD公式)'!$B928=""),"",分期持仓明细!$AD$25*SUMPRODUCT(分期持仓明细!$B$25:$AA$25,'实盘净值数据(iFinD公式)'!$B928:$AA928/'实盘净值数据(iFinD公式)'!$B$65:$AA$65)*(1-实盘持仓初始配置!$Z$9)^(('实盘净值数据(iFinD公式)'!$A928-'实盘净值数据(iFinD公式)'!$A$8)/365))</x:f>
        <x:v>#NAME?</x:v>
      </x:c>
      <x:c r="R928" s="152" t="e">
        <x:f>IF(OR(Q927="",Q928=""),"",Q928/Q927-1)</x:f>
        <x:v>#NAME?</x:v>
      </x:c>
      <x:c r="S928" s="152" t="e">
        <x:f>IF(Q928="","",Q928/MAX(Q$5:Q928)-1)</x:f>
        <x:v>#NAME?</x:v>
      </x:c>
    </x:row>
    <x:row r="929">
      <x:c r="A929" s="149" t="str">
        <x:f>IF('实盘净值数据(iFinD公式)'!A929="","",'实盘净值数据(iFinD公式)'!A929)</x:f>
      </x:c>
      <x:c r="B929" s="146" t="e">
        <x:f>IF(OR('实盘净值数据(iFinD公式)'!$A929="",'实盘净值数据(iFinD公式)'!$B929=""),"",分期持仓明细!$AD$17*SUMPRODUCT(分期持仓明细!$B$17:$AA$17,'实盘净值数据(iFinD公式)'!$B929:$AA929/'实盘净值数据(iFinD公式)'!$B$20:$AA$20)*(1-实盘持仓初始配置!$Z$4)^(('实盘净值数据(iFinD公式)'!$A929-'实盘净值数据(iFinD公式)'!$A$6)/365))</x:f>
        <x:v>#NAME?</x:v>
      </x:c>
      <x:c r="C929" s="152" t="e">
        <x:f>IF(OR(B928="",B929=""),"",B929/B928-1)</x:f>
        <x:v>#NAME?</x:v>
      </x:c>
      <x:c r="D929" s="152" t="e">
        <x:f>IF(B929="","",B929/MAX(B$5:B929)-1)</x:f>
        <x:v>#NAME?</x:v>
      </x:c>
      <x:c r="E929" s="146" t="e">
        <x:f>IF(OR('实盘净值数据(iFinD公式)'!$A929="",'实盘净值数据(iFinD公式)'!$B929=""),"",分期持仓明细!$AD$18*SUMPRODUCT(分期持仓明细!$B$18:$AA$18,'实盘净值数据(iFinD公式)'!$B929:$AA929/'实盘净值数据(iFinD公式)'!$B$20:$AA$20)*(1-实盘持仓初始配置!$Z$5)^(('实盘净值数据(iFinD公式)'!$A929-'实盘净值数据(iFinD公式)'!$A$5)/365))</x:f>
        <x:v>#NAME?</x:v>
      </x:c>
      <x:c r="F929" s="152" t="e">
        <x:f>IF(OR(E928="",E929=""),"",E929/E928-1)</x:f>
        <x:v>#NAME?</x:v>
      </x:c>
      <x:c r="G929" s="152" t="e">
        <x:f>IF(E929="","",E929/MAX(E$5:E929)-1)</x:f>
        <x:v>#NAME?</x:v>
      </x:c>
      <x:c r="H929" s="146" t="e">
        <x:f>IF(OR('实盘净值数据(iFinD公式)'!$A929="",'实盘净值数据(iFinD公式)'!$B929=""),"",分期持仓明细!$AD$19*SUMPRODUCT(分期持仓明细!$B$19:$AA$19,'实盘净值数据(iFinD公式)'!$B929:$AA929/'实盘净值数据(iFinD公式)'!$B$20:$AA$20)*(1-实盘持仓初始配置!$Z$6)^(('实盘净值数据(iFinD公式)'!$A929-'实盘净值数据(iFinD公式)'!$A$7)/365))</x:f>
        <x:v>#NAME?</x:v>
      </x:c>
      <x:c r="I929" s="152" t="e">
        <x:f>IF(OR(H928="",H929=""),"",H929/H928-1)</x:f>
        <x:v>#NAME?</x:v>
      </x:c>
      <x:c r="J929" s="152" t="e">
        <x:f>IF(H929="","",H929/MAX(H$5:H929)-1)</x:f>
        <x:v>#NAME?</x:v>
      </x:c>
      <x:c r="K929" s="146" t="e">
        <x:f>IF(OR('实盘净值数据(iFinD公式)'!$A929="",'实盘净值数据(iFinD公式)'!$B929=""),"",分期持仓明细!$AD$23*SUMPRODUCT(分期持仓明细!$B$23:$AA$23,'实盘净值数据(iFinD公式)'!$B929:$AA929/'实盘净值数据(iFinD公式)'!$B$65:$AA$65)*(1-实盘持仓初始配置!$Z$7)^(('实盘净值数据(iFinD公式)'!$A929-'实盘净值数据(iFinD公式)'!$A$8)/365))</x:f>
        <x:v>#NAME?</x:v>
      </x:c>
      <x:c r="L929" s="152" t="e">
        <x:f>IF(OR(K928="",K929=""),"",K929/K928-1)</x:f>
        <x:v>#NAME?</x:v>
      </x:c>
      <x:c r="M929" s="152" t="e">
        <x:f>IF(K929="","",K929/MAX(K$5:K929)-1)</x:f>
        <x:v>#NAME?</x:v>
      </x:c>
      <x:c r="N929" s="146" t="e">
        <x:f>IF(OR('实盘净值数据(iFinD公式)'!$A929="",'实盘净值数据(iFinD公式)'!$B929=""),"",分期持仓明细!$AD$24*SUMPRODUCT(分期持仓明细!$B$24:$AA$24,'实盘净值数据(iFinD公式)'!$B929:$AA929/'实盘净值数据(iFinD公式)'!$B$65:$AA$65)*(1-实盘持仓初始配置!$Z$8)^(('实盘净值数据(iFinD公式)'!$A929-'实盘净值数据(iFinD公式)'!$A$5)/365))</x:f>
        <x:v>#NAME?</x:v>
      </x:c>
      <x:c r="O929" s="152" t="e">
        <x:f>IF(OR(N928="",N929=""),"",N929/N928-1)</x:f>
        <x:v>#NAME?</x:v>
      </x:c>
      <x:c r="P929" s="152" t="e">
        <x:f>IF(N929="","",N929/MAX(N$5:N929)-1)</x:f>
        <x:v>#NAME?</x:v>
      </x:c>
      <x:c r="Q929" s="146" t="e">
        <x:f>IF(OR('实盘净值数据(iFinD公式)'!$A929="",'实盘净值数据(iFinD公式)'!$B929=""),"",分期持仓明细!$AD$25*SUMPRODUCT(分期持仓明细!$B$25:$AA$25,'实盘净值数据(iFinD公式)'!$B929:$AA929/'实盘净值数据(iFinD公式)'!$B$65:$AA$65)*(1-实盘持仓初始配置!$Z$9)^(('实盘净值数据(iFinD公式)'!$A929-'实盘净值数据(iFinD公式)'!$A$8)/365))</x:f>
        <x:v>#NAME?</x:v>
      </x:c>
      <x:c r="R929" s="152" t="e">
        <x:f>IF(OR(Q928="",Q929=""),"",Q929/Q928-1)</x:f>
        <x:v>#NAME?</x:v>
      </x:c>
      <x:c r="S929" s="152" t="e">
        <x:f>IF(Q929="","",Q929/MAX(Q$5:Q929)-1)</x:f>
        <x:v>#NAME?</x:v>
      </x:c>
    </x:row>
    <x:row r="930">
      <x:c r="A930" s="149" t="str">
        <x:f>IF('实盘净值数据(iFinD公式)'!A930="","",'实盘净值数据(iFinD公式)'!A930)</x:f>
      </x:c>
      <x:c r="B930" s="146" t="e">
        <x:f>IF(OR('实盘净值数据(iFinD公式)'!$A930="",'实盘净值数据(iFinD公式)'!$B930=""),"",分期持仓明细!$AD$17*SUMPRODUCT(分期持仓明细!$B$17:$AA$17,'实盘净值数据(iFinD公式)'!$B930:$AA930/'实盘净值数据(iFinD公式)'!$B$20:$AA$20)*(1-实盘持仓初始配置!$Z$4)^(('实盘净值数据(iFinD公式)'!$A930-'实盘净值数据(iFinD公式)'!$A$6)/365))</x:f>
        <x:v>#NAME?</x:v>
      </x:c>
      <x:c r="C930" s="152" t="e">
        <x:f>IF(OR(B929="",B930=""),"",B930/B929-1)</x:f>
        <x:v>#NAME?</x:v>
      </x:c>
      <x:c r="D930" s="152" t="e">
        <x:f>IF(B930="","",B930/MAX(B$5:B930)-1)</x:f>
        <x:v>#NAME?</x:v>
      </x:c>
      <x:c r="E930" s="146" t="e">
        <x:f>IF(OR('实盘净值数据(iFinD公式)'!$A930="",'实盘净值数据(iFinD公式)'!$B930=""),"",分期持仓明细!$AD$18*SUMPRODUCT(分期持仓明细!$B$18:$AA$18,'实盘净值数据(iFinD公式)'!$B930:$AA930/'实盘净值数据(iFinD公式)'!$B$20:$AA$20)*(1-实盘持仓初始配置!$Z$5)^(('实盘净值数据(iFinD公式)'!$A930-'实盘净值数据(iFinD公式)'!$A$5)/365))</x:f>
        <x:v>#NAME?</x:v>
      </x:c>
      <x:c r="F930" s="152" t="e">
        <x:f>IF(OR(E929="",E930=""),"",E930/E929-1)</x:f>
        <x:v>#NAME?</x:v>
      </x:c>
      <x:c r="G930" s="152" t="e">
        <x:f>IF(E930="","",E930/MAX(E$5:E930)-1)</x:f>
        <x:v>#NAME?</x:v>
      </x:c>
      <x:c r="H930" s="146" t="e">
        <x:f>IF(OR('实盘净值数据(iFinD公式)'!$A930="",'实盘净值数据(iFinD公式)'!$B930=""),"",分期持仓明细!$AD$19*SUMPRODUCT(分期持仓明细!$B$19:$AA$19,'实盘净值数据(iFinD公式)'!$B930:$AA930/'实盘净值数据(iFinD公式)'!$B$20:$AA$20)*(1-实盘持仓初始配置!$Z$6)^(('实盘净值数据(iFinD公式)'!$A930-'实盘净值数据(iFinD公式)'!$A$7)/365))</x:f>
        <x:v>#NAME?</x:v>
      </x:c>
      <x:c r="I930" s="152" t="e">
        <x:f>IF(OR(H929="",H930=""),"",H930/H929-1)</x:f>
        <x:v>#NAME?</x:v>
      </x:c>
      <x:c r="J930" s="152" t="e">
        <x:f>IF(H930="","",H930/MAX(H$5:H930)-1)</x:f>
        <x:v>#NAME?</x:v>
      </x:c>
      <x:c r="K930" s="146" t="e">
        <x:f>IF(OR('实盘净值数据(iFinD公式)'!$A930="",'实盘净值数据(iFinD公式)'!$B930=""),"",分期持仓明细!$AD$23*SUMPRODUCT(分期持仓明细!$B$23:$AA$23,'实盘净值数据(iFinD公式)'!$B930:$AA930/'实盘净值数据(iFinD公式)'!$B$65:$AA$65)*(1-实盘持仓初始配置!$Z$7)^(('实盘净值数据(iFinD公式)'!$A930-'实盘净值数据(iFinD公式)'!$A$8)/365))</x:f>
        <x:v>#NAME?</x:v>
      </x:c>
      <x:c r="L930" s="152" t="e">
        <x:f>IF(OR(K929="",K930=""),"",K930/K929-1)</x:f>
        <x:v>#NAME?</x:v>
      </x:c>
      <x:c r="M930" s="152" t="e">
        <x:f>IF(K930="","",K930/MAX(K$5:K930)-1)</x:f>
        <x:v>#NAME?</x:v>
      </x:c>
      <x:c r="N930" s="146" t="e">
        <x:f>IF(OR('实盘净值数据(iFinD公式)'!$A930="",'实盘净值数据(iFinD公式)'!$B930=""),"",分期持仓明细!$AD$24*SUMPRODUCT(分期持仓明细!$B$24:$AA$24,'实盘净值数据(iFinD公式)'!$B930:$AA930/'实盘净值数据(iFinD公式)'!$B$65:$AA$65)*(1-实盘持仓初始配置!$Z$8)^(('实盘净值数据(iFinD公式)'!$A930-'实盘净值数据(iFinD公式)'!$A$5)/365))</x:f>
        <x:v>#NAME?</x:v>
      </x:c>
      <x:c r="O930" s="152" t="e">
        <x:f>IF(OR(N929="",N930=""),"",N930/N929-1)</x:f>
        <x:v>#NAME?</x:v>
      </x:c>
      <x:c r="P930" s="152" t="e">
        <x:f>IF(N930="","",N930/MAX(N$5:N930)-1)</x:f>
        <x:v>#NAME?</x:v>
      </x:c>
      <x:c r="Q930" s="146" t="e">
        <x:f>IF(OR('实盘净值数据(iFinD公式)'!$A930="",'实盘净值数据(iFinD公式)'!$B930=""),"",分期持仓明细!$AD$25*SUMPRODUCT(分期持仓明细!$B$25:$AA$25,'实盘净值数据(iFinD公式)'!$B930:$AA930/'实盘净值数据(iFinD公式)'!$B$65:$AA$65)*(1-实盘持仓初始配置!$Z$9)^(('实盘净值数据(iFinD公式)'!$A930-'实盘净值数据(iFinD公式)'!$A$8)/365))</x:f>
        <x:v>#NAME?</x:v>
      </x:c>
      <x:c r="R930" s="152" t="e">
        <x:f>IF(OR(Q929="",Q930=""),"",Q930/Q929-1)</x:f>
        <x:v>#NAME?</x:v>
      </x:c>
      <x:c r="S930" s="152" t="e">
        <x:f>IF(Q930="","",Q930/MAX(Q$5:Q930)-1)</x:f>
        <x:v>#NAME?</x:v>
      </x:c>
    </x:row>
    <x:row r="931">
      <x:c r="A931" s="149" t="str">
        <x:f>IF('实盘净值数据(iFinD公式)'!A931="","",'实盘净值数据(iFinD公式)'!A931)</x:f>
      </x:c>
      <x:c r="B931" s="146" t="e">
        <x:f>IF(OR('实盘净值数据(iFinD公式)'!$A931="",'实盘净值数据(iFinD公式)'!$B931=""),"",分期持仓明细!$AD$17*SUMPRODUCT(分期持仓明细!$B$17:$AA$17,'实盘净值数据(iFinD公式)'!$B931:$AA931/'实盘净值数据(iFinD公式)'!$B$20:$AA$20)*(1-实盘持仓初始配置!$Z$4)^(('实盘净值数据(iFinD公式)'!$A931-'实盘净值数据(iFinD公式)'!$A$6)/365))</x:f>
        <x:v>#NAME?</x:v>
      </x:c>
      <x:c r="C931" s="152" t="e">
        <x:f>IF(OR(B930="",B931=""),"",B931/B930-1)</x:f>
        <x:v>#NAME?</x:v>
      </x:c>
      <x:c r="D931" s="152" t="e">
        <x:f>IF(B931="","",B931/MAX(B$5:B931)-1)</x:f>
        <x:v>#NAME?</x:v>
      </x:c>
      <x:c r="E931" s="146" t="e">
        <x:f>IF(OR('实盘净值数据(iFinD公式)'!$A931="",'实盘净值数据(iFinD公式)'!$B931=""),"",分期持仓明细!$AD$18*SUMPRODUCT(分期持仓明细!$B$18:$AA$18,'实盘净值数据(iFinD公式)'!$B931:$AA931/'实盘净值数据(iFinD公式)'!$B$20:$AA$20)*(1-实盘持仓初始配置!$Z$5)^(('实盘净值数据(iFinD公式)'!$A931-'实盘净值数据(iFinD公式)'!$A$5)/365))</x:f>
        <x:v>#NAME?</x:v>
      </x:c>
      <x:c r="F931" s="152" t="e">
        <x:f>IF(OR(E930="",E931=""),"",E931/E930-1)</x:f>
        <x:v>#NAME?</x:v>
      </x:c>
      <x:c r="G931" s="152" t="e">
        <x:f>IF(E931="","",E931/MAX(E$5:E931)-1)</x:f>
        <x:v>#NAME?</x:v>
      </x:c>
      <x:c r="H931" s="146" t="e">
        <x:f>IF(OR('实盘净值数据(iFinD公式)'!$A931="",'实盘净值数据(iFinD公式)'!$B931=""),"",分期持仓明细!$AD$19*SUMPRODUCT(分期持仓明细!$B$19:$AA$19,'实盘净值数据(iFinD公式)'!$B931:$AA931/'实盘净值数据(iFinD公式)'!$B$20:$AA$20)*(1-实盘持仓初始配置!$Z$6)^(('实盘净值数据(iFinD公式)'!$A931-'实盘净值数据(iFinD公式)'!$A$7)/365))</x:f>
        <x:v>#NAME?</x:v>
      </x:c>
      <x:c r="I931" s="152" t="e">
        <x:f>IF(OR(H930="",H931=""),"",H931/H930-1)</x:f>
        <x:v>#NAME?</x:v>
      </x:c>
      <x:c r="J931" s="152" t="e">
        <x:f>IF(H931="","",H931/MAX(H$5:H931)-1)</x:f>
        <x:v>#NAME?</x:v>
      </x:c>
      <x:c r="K931" s="146" t="e">
        <x:f>IF(OR('实盘净值数据(iFinD公式)'!$A931="",'实盘净值数据(iFinD公式)'!$B931=""),"",分期持仓明细!$AD$23*SUMPRODUCT(分期持仓明细!$B$23:$AA$23,'实盘净值数据(iFinD公式)'!$B931:$AA931/'实盘净值数据(iFinD公式)'!$B$65:$AA$65)*(1-实盘持仓初始配置!$Z$7)^(('实盘净值数据(iFinD公式)'!$A931-'实盘净值数据(iFinD公式)'!$A$8)/365))</x:f>
        <x:v>#NAME?</x:v>
      </x:c>
      <x:c r="L931" s="152" t="e">
        <x:f>IF(OR(K930="",K931=""),"",K931/K930-1)</x:f>
        <x:v>#NAME?</x:v>
      </x:c>
      <x:c r="M931" s="152" t="e">
        <x:f>IF(K931="","",K931/MAX(K$5:K931)-1)</x:f>
        <x:v>#NAME?</x:v>
      </x:c>
      <x:c r="N931" s="146" t="e">
        <x:f>IF(OR('实盘净值数据(iFinD公式)'!$A931="",'实盘净值数据(iFinD公式)'!$B931=""),"",分期持仓明细!$AD$24*SUMPRODUCT(分期持仓明细!$B$24:$AA$24,'实盘净值数据(iFinD公式)'!$B931:$AA931/'实盘净值数据(iFinD公式)'!$B$65:$AA$65)*(1-实盘持仓初始配置!$Z$8)^(('实盘净值数据(iFinD公式)'!$A931-'实盘净值数据(iFinD公式)'!$A$5)/365))</x:f>
        <x:v>#NAME?</x:v>
      </x:c>
      <x:c r="O931" s="152" t="e">
        <x:f>IF(OR(N930="",N931=""),"",N931/N930-1)</x:f>
        <x:v>#NAME?</x:v>
      </x:c>
      <x:c r="P931" s="152" t="e">
        <x:f>IF(N931="","",N931/MAX(N$5:N931)-1)</x:f>
        <x:v>#NAME?</x:v>
      </x:c>
      <x:c r="Q931" s="146" t="e">
        <x:f>IF(OR('实盘净值数据(iFinD公式)'!$A931="",'实盘净值数据(iFinD公式)'!$B931=""),"",分期持仓明细!$AD$25*SUMPRODUCT(分期持仓明细!$B$25:$AA$25,'实盘净值数据(iFinD公式)'!$B931:$AA931/'实盘净值数据(iFinD公式)'!$B$65:$AA$65)*(1-实盘持仓初始配置!$Z$9)^(('实盘净值数据(iFinD公式)'!$A931-'实盘净值数据(iFinD公式)'!$A$8)/365))</x:f>
        <x:v>#NAME?</x:v>
      </x:c>
      <x:c r="R931" s="152" t="e">
        <x:f>IF(OR(Q930="",Q931=""),"",Q931/Q930-1)</x:f>
        <x:v>#NAME?</x:v>
      </x:c>
      <x:c r="S931" s="152" t="e">
        <x:f>IF(Q931="","",Q931/MAX(Q$5:Q931)-1)</x:f>
        <x:v>#NAME?</x:v>
      </x:c>
    </x:row>
    <x:row r="932">
      <x:c r="A932" s="149" t="str">
        <x:f>IF('实盘净值数据(iFinD公式)'!A932="","",'实盘净值数据(iFinD公式)'!A932)</x:f>
      </x:c>
      <x:c r="B932" s="146" t="e">
        <x:f>IF(OR('实盘净值数据(iFinD公式)'!$A932="",'实盘净值数据(iFinD公式)'!$B932=""),"",分期持仓明细!$AD$17*SUMPRODUCT(分期持仓明细!$B$17:$AA$17,'实盘净值数据(iFinD公式)'!$B932:$AA932/'实盘净值数据(iFinD公式)'!$B$20:$AA$20)*(1-实盘持仓初始配置!$Z$4)^(('实盘净值数据(iFinD公式)'!$A932-'实盘净值数据(iFinD公式)'!$A$6)/365))</x:f>
        <x:v>#NAME?</x:v>
      </x:c>
      <x:c r="C932" s="152" t="e">
        <x:f>IF(OR(B931="",B932=""),"",B932/B931-1)</x:f>
        <x:v>#NAME?</x:v>
      </x:c>
      <x:c r="D932" s="152" t="e">
        <x:f>IF(B932="","",B932/MAX(B$5:B932)-1)</x:f>
        <x:v>#NAME?</x:v>
      </x:c>
      <x:c r="E932" s="146" t="e">
        <x:f>IF(OR('实盘净值数据(iFinD公式)'!$A932="",'实盘净值数据(iFinD公式)'!$B932=""),"",分期持仓明细!$AD$18*SUMPRODUCT(分期持仓明细!$B$18:$AA$18,'实盘净值数据(iFinD公式)'!$B932:$AA932/'实盘净值数据(iFinD公式)'!$B$20:$AA$20)*(1-实盘持仓初始配置!$Z$5)^(('实盘净值数据(iFinD公式)'!$A932-'实盘净值数据(iFinD公式)'!$A$5)/365))</x:f>
        <x:v>#NAME?</x:v>
      </x:c>
      <x:c r="F932" s="152" t="e">
        <x:f>IF(OR(E931="",E932=""),"",E932/E931-1)</x:f>
        <x:v>#NAME?</x:v>
      </x:c>
      <x:c r="G932" s="152" t="e">
        <x:f>IF(E932="","",E932/MAX(E$5:E932)-1)</x:f>
        <x:v>#NAME?</x:v>
      </x:c>
      <x:c r="H932" s="146" t="e">
        <x:f>IF(OR('实盘净值数据(iFinD公式)'!$A932="",'实盘净值数据(iFinD公式)'!$B932=""),"",分期持仓明细!$AD$19*SUMPRODUCT(分期持仓明细!$B$19:$AA$19,'实盘净值数据(iFinD公式)'!$B932:$AA932/'实盘净值数据(iFinD公式)'!$B$20:$AA$20)*(1-实盘持仓初始配置!$Z$6)^(('实盘净值数据(iFinD公式)'!$A932-'实盘净值数据(iFinD公式)'!$A$7)/365))</x:f>
        <x:v>#NAME?</x:v>
      </x:c>
      <x:c r="I932" s="152" t="e">
        <x:f>IF(OR(H931="",H932=""),"",H932/H931-1)</x:f>
        <x:v>#NAME?</x:v>
      </x:c>
      <x:c r="J932" s="152" t="e">
        <x:f>IF(H932="","",H932/MAX(H$5:H932)-1)</x:f>
        <x:v>#NAME?</x:v>
      </x:c>
      <x:c r="K932" s="146" t="e">
        <x:f>IF(OR('实盘净值数据(iFinD公式)'!$A932="",'实盘净值数据(iFinD公式)'!$B932=""),"",分期持仓明细!$AD$23*SUMPRODUCT(分期持仓明细!$B$23:$AA$23,'实盘净值数据(iFinD公式)'!$B932:$AA932/'实盘净值数据(iFinD公式)'!$B$65:$AA$65)*(1-实盘持仓初始配置!$Z$7)^(('实盘净值数据(iFinD公式)'!$A932-'实盘净值数据(iFinD公式)'!$A$8)/365))</x:f>
        <x:v>#NAME?</x:v>
      </x:c>
      <x:c r="L932" s="152" t="e">
        <x:f>IF(OR(K931="",K932=""),"",K932/K931-1)</x:f>
        <x:v>#NAME?</x:v>
      </x:c>
      <x:c r="M932" s="152" t="e">
        <x:f>IF(K932="","",K932/MAX(K$5:K932)-1)</x:f>
        <x:v>#NAME?</x:v>
      </x:c>
      <x:c r="N932" s="146" t="e">
        <x:f>IF(OR('实盘净值数据(iFinD公式)'!$A932="",'实盘净值数据(iFinD公式)'!$B932=""),"",分期持仓明细!$AD$24*SUMPRODUCT(分期持仓明细!$B$24:$AA$24,'实盘净值数据(iFinD公式)'!$B932:$AA932/'实盘净值数据(iFinD公式)'!$B$65:$AA$65)*(1-实盘持仓初始配置!$Z$8)^(('实盘净值数据(iFinD公式)'!$A932-'实盘净值数据(iFinD公式)'!$A$5)/365))</x:f>
        <x:v>#NAME?</x:v>
      </x:c>
      <x:c r="O932" s="152" t="e">
        <x:f>IF(OR(N931="",N932=""),"",N932/N931-1)</x:f>
        <x:v>#NAME?</x:v>
      </x:c>
      <x:c r="P932" s="152" t="e">
        <x:f>IF(N932="","",N932/MAX(N$5:N932)-1)</x:f>
        <x:v>#NAME?</x:v>
      </x:c>
      <x:c r="Q932" s="146" t="e">
        <x:f>IF(OR('实盘净值数据(iFinD公式)'!$A932="",'实盘净值数据(iFinD公式)'!$B932=""),"",分期持仓明细!$AD$25*SUMPRODUCT(分期持仓明细!$B$25:$AA$25,'实盘净值数据(iFinD公式)'!$B932:$AA932/'实盘净值数据(iFinD公式)'!$B$65:$AA$65)*(1-实盘持仓初始配置!$Z$9)^(('实盘净值数据(iFinD公式)'!$A932-'实盘净值数据(iFinD公式)'!$A$8)/365))</x:f>
        <x:v>#NAME?</x:v>
      </x:c>
      <x:c r="R932" s="152" t="e">
        <x:f>IF(OR(Q931="",Q932=""),"",Q932/Q931-1)</x:f>
        <x:v>#NAME?</x:v>
      </x:c>
      <x:c r="S932" s="152" t="e">
        <x:f>IF(Q932="","",Q932/MAX(Q$5:Q932)-1)</x:f>
        <x:v>#NAME?</x:v>
      </x:c>
    </x:row>
    <x:row r="933">
      <x:c r="A933" s="149" t="str">
        <x:f>IF('实盘净值数据(iFinD公式)'!A933="","",'实盘净值数据(iFinD公式)'!A933)</x:f>
      </x:c>
      <x:c r="B933" s="146" t="e">
        <x:f>IF(OR('实盘净值数据(iFinD公式)'!$A933="",'实盘净值数据(iFinD公式)'!$B933=""),"",分期持仓明细!$AD$17*SUMPRODUCT(分期持仓明细!$B$17:$AA$17,'实盘净值数据(iFinD公式)'!$B933:$AA933/'实盘净值数据(iFinD公式)'!$B$20:$AA$20)*(1-实盘持仓初始配置!$Z$4)^(('实盘净值数据(iFinD公式)'!$A933-'实盘净值数据(iFinD公式)'!$A$6)/365))</x:f>
        <x:v>#NAME?</x:v>
      </x:c>
      <x:c r="C933" s="152" t="e">
        <x:f>IF(OR(B932="",B933=""),"",B933/B932-1)</x:f>
        <x:v>#NAME?</x:v>
      </x:c>
      <x:c r="D933" s="152" t="e">
        <x:f>IF(B933="","",B933/MAX(B$5:B933)-1)</x:f>
        <x:v>#NAME?</x:v>
      </x:c>
      <x:c r="E933" s="146" t="e">
        <x:f>IF(OR('实盘净值数据(iFinD公式)'!$A933="",'实盘净值数据(iFinD公式)'!$B933=""),"",分期持仓明细!$AD$18*SUMPRODUCT(分期持仓明细!$B$18:$AA$18,'实盘净值数据(iFinD公式)'!$B933:$AA933/'实盘净值数据(iFinD公式)'!$B$20:$AA$20)*(1-实盘持仓初始配置!$Z$5)^(('实盘净值数据(iFinD公式)'!$A933-'实盘净值数据(iFinD公式)'!$A$5)/365))</x:f>
        <x:v>#NAME?</x:v>
      </x:c>
      <x:c r="F933" s="152" t="e">
        <x:f>IF(OR(E932="",E933=""),"",E933/E932-1)</x:f>
        <x:v>#NAME?</x:v>
      </x:c>
      <x:c r="G933" s="152" t="e">
        <x:f>IF(E933="","",E933/MAX(E$5:E933)-1)</x:f>
        <x:v>#NAME?</x:v>
      </x:c>
      <x:c r="H933" s="146" t="e">
        <x:f>IF(OR('实盘净值数据(iFinD公式)'!$A933="",'实盘净值数据(iFinD公式)'!$B933=""),"",分期持仓明细!$AD$19*SUMPRODUCT(分期持仓明细!$B$19:$AA$19,'实盘净值数据(iFinD公式)'!$B933:$AA933/'实盘净值数据(iFinD公式)'!$B$20:$AA$20)*(1-实盘持仓初始配置!$Z$6)^(('实盘净值数据(iFinD公式)'!$A933-'实盘净值数据(iFinD公式)'!$A$7)/365))</x:f>
        <x:v>#NAME?</x:v>
      </x:c>
      <x:c r="I933" s="152" t="e">
        <x:f>IF(OR(H932="",H933=""),"",H933/H932-1)</x:f>
        <x:v>#NAME?</x:v>
      </x:c>
      <x:c r="J933" s="152" t="e">
        <x:f>IF(H933="","",H933/MAX(H$5:H933)-1)</x:f>
        <x:v>#NAME?</x:v>
      </x:c>
      <x:c r="K933" s="146" t="e">
        <x:f>IF(OR('实盘净值数据(iFinD公式)'!$A933="",'实盘净值数据(iFinD公式)'!$B933=""),"",分期持仓明细!$AD$23*SUMPRODUCT(分期持仓明细!$B$23:$AA$23,'实盘净值数据(iFinD公式)'!$B933:$AA933/'实盘净值数据(iFinD公式)'!$B$65:$AA$65)*(1-实盘持仓初始配置!$Z$7)^(('实盘净值数据(iFinD公式)'!$A933-'实盘净值数据(iFinD公式)'!$A$8)/365))</x:f>
        <x:v>#NAME?</x:v>
      </x:c>
      <x:c r="L933" s="152" t="e">
        <x:f>IF(OR(K932="",K933=""),"",K933/K932-1)</x:f>
        <x:v>#NAME?</x:v>
      </x:c>
      <x:c r="M933" s="152" t="e">
        <x:f>IF(K933="","",K933/MAX(K$5:K933)-1)</x:f>
        <x:v>#NAME?</x:v>
      </x:c>
      <x:c r="N933" s="146" t="e">
        <x:f>IF(OR('实盘净值数据(iFinD公式)'!$A933="",'实盘净值数据(iFinD公式)'!$B933=""),"",分期持仓明细!$AD$24*SUMPRODUCT(分期持仓明细!$B$24:$AA$24,'实盘净值数据(iFinD公式)'!$B933:$AA933/'实盘净值数据(iFinD公式)'!$B$65:$AA$65)*(1-实盘持仓初始配置!$Z$8)^(('实盘净值数据(iFinD公式)'!$A933-'实盘净值数据(iFinD公式)'!$A$5)/365))</x:f>
        <x:v>#NAME?</x:v>
      </x:c>
      <x:c r="O933" s="152" t="e">
        <x:f>IF(OR(N932="",N933=""),"",N933/N932-1)</x:f>
        <x:v>#NAME?</x:v>
      </x:c>
      <x:c r="P933" s="152" t="e">
        <x:f>IF(N933="","",N933/MAX(N$5:N933)-1)</x:f>
        <x:v>#NAME?</x:v>
      </x:c>
      <x:c r="Q933" s="146" t="e">
        <x:f>IF(OR('实盘净值数据(iFinD公式)'!$A933="",'实盘净值数据(iFinD公式)'!$B933=""),"",分期持仓明细!$AD$25*SUMPRODUCT(分期持仓明细!$B$25:$AA$25,'实盘净值数据(iFinD公式)'!$B933:$AA933/'实盘净值数据(iFinD公式)'!$B$65:$AA$65)*(1-实盘持仓初始配置!$Z$9)^(('实盘净值数据(iFinD公式)'!$A933-'实盘净值数据(iFinD公式)'!$A$8)/365))</x:f>
        <x:v>#NAME?</x:v>
      </x:c>
      <x:c r="R933" s="152" t="e">
        <x:f>IF(OR(Q932="",Q933=""),"",Q933/Q932-1)</x:f>
        <x:v>#NAME?</x:v>
      </x:c>
      <x:c r="S933" s="152" t="e">
        <x:f>IF(Q933="","",Q933/MAX(Q$5:Q933)-1)</x:f>
        <x:v>#NAME?</x:v>
      </x:c>
    </x:row>
    <x:row r="934">
      <x:c r="A934" s="149" t="str">
        <x:f>IF('实盘净值数据(iFinD公式)'!A934="","",'实盘净值数据(iFinD公式)'!A934)</x:f>
      </x:c>
      <x:c r="B934" s="146" t="e">
        <x:f>IF(OR('实盘净值数据(iFinD公式)'!$A934="",'实盘净值数据(iFinD公式)'!$B934=""),"",分期持仓明细!$AD$17*SUMPRODUCT(分期持仓明细!$B$17:$AA$17,'实盘净值数据(iFinD公式)'!$B934:$AA934/'实盘净值数据(iFinD公式)'!$B$20:$AA$20)*(1-实盘持仓初始配置!$Z$4)^(('实盘净值数据(iFinD公式)'!$A934-'实盘净值数据(iFinD公式)'!$A$6)/365))</x:f>
        <x:v>#NAME?</x:v>
      </x:c>
      <x:c r="C934" s="152" t="e">
        <x:f>IF(OR(B933="",B934=""),"",B934/B933-1)</x:f>
        <x:v>#NAME?</x:v>
      </x:c>
      <x:c r="D934" s="152" t="e">
        <x:f>IF(B934="","",B934/MAX(B$5:B934)-1)</x:f>
        <x:v>#NAME?</x:v>
      </x:c>
      <x:c r="E934" s="146" t="e">
        <x:f>IF(OR('实盘净值数据(iFinD公式)'!$A934="",'实盘净值数据(iFinD公式)'!$B934=""),"",分期持仓明细!$AD$18*SUMPRODUCT(分期持仓明细!$B$18:$AA$18,'实盘净值数据(iFinD公式)'!$B934:$AA934/'实盘净值数据(iFinD公式)'!$B$20:$AA$20)*(1-实盘持仓初始配置!$Z$5)^(('实盘净值数据(iFinD公式)'!$A934-'实盘净值数据(iFinD公式)'!$A$5)/365))</x:f>
        <x:v>#NAME?</x:v>
      </x:c>
      <x:c r="F934" s="152" t="e">
        <x:f>IF(OR(E933="",E934=""),"",E934/E933-1)</x:f>
        <x:v>#NAME?</x:v>
      </x:c>
      <x:c r="G934" s="152" t="e">
        <x:f>IF(E934="","",E934/MAX(E$5:E934)-1)</x:f>
        <x:v>#NAME?</x:v>
      </x:c>
      <x:c r="H934" s="146" t="e">
        <x:f>IF(OR('实盘净值数据(iFinD公式)'!$A934="",'实盘净值数据(iFinD公式)'!$B934=""),"",分期持仓明细!$AD$19*SUMPRODUCT(分期持仓明细!$B$19:$AA$19,'实盘净值数据(iFinD公式)'!$B934:$AA934/'实盘净值数据(iFinD公式)'!$B$20:$AA$20)*(1-实盘持仓初始配置!$Z$6)^(('实盘净值数据(iFinD公式)'!$A934-'实盘净值数据(iFinD公式)'!$A$7)/365))</x:f>
        <x:v>#NAME?</x:v>
      </x:c>
      <x:c r="I934" s="152" t="e">
        <x:f>IF(OR(H933="",H934=""),"",H934/H933-1)</x:f>
        <x:v>#NAME?</x:v>
      </x:c>
      <x:c r="J934" s="152" t="e">
        <x:f>IF(H934="","",H934/MAX(H$5:H934)-1)</x:f>
        <x:v>#NAME?</x:v>
      </x:c>
      <x:c r="K934" s="146" t="e">
        <x:f>IF(OR('实盘净值数据(iFinD公式)'!$A934="",'实盘净值数据(iFinD公式)'!$B934=""),"",分期持仓明细!$AD$23*SUMPRODUCT(分期持仓明细!$B$23:$AA$23,'实盘净值数据(iFinD公式)'!$B934:$AA934/'实盘净值数据(iFinD公式)'!$B$65:$AA$65)*(1-实盘持仓初始配置!$Z$7)^(('实盘净值数据(iFinD公式)'!$A934-'实盘净值数据(iFinD公式)'!$A$8)/365))</x:f>
        <x:v>#NAME?</x:v>
      </x:c>
      <x:c r="L934" s="152" t="e">
        <x:f>IF(OR(K933="",K934=""),"",K934/K933-1)</x:f>
        <x:v>#NAME?</x:v>
      </x:c>
      <x:c r="M934" s="152" t="e">
        <x:f>IF(K934="","",K934/MAX(K$5:K934)-1)</x:f>
        <x:v>#NAME?</x:v>
      </x:c>
      <x:c r="N934" s="146" t="e">
        <x:f>IF(OR('实盘净值数据(iFinD公式)'!$A934="",'实盘净值数据(iFinD公式)'!$B934=""),"",分期持仓明细!$AD$24*SUMPRODUCT(分期持仓明细!$B$24:$AA$24,'实盘净值数据(iFinD公式)'!$B934:$AA934/'实盘净值数据(iFinD公式)'!$B$65:$AA$65)*(1-实盘持仓初始配置!$Z$8)^(('实盘净值数据(iFinD公式)'!$A934-'实盘净值数据(iFinD公式)'!$A$5)/365))</x:f>
        <x:v>#NAME?</x:v>
      </x:c>
      <x:c r="O934" s="152" t="e">
        <x:f>IF(OR(N933="",N934=""),"",N934/N933-1)</x:f>
        <x:v>#NAME?</x:v>
      </x:c>
      <x:c r="P934" s="152" t="e">
        <x:f>IF(N934="","",N934/MAX(N$5:N934)-1)</x:f>
        <x:v>#NAME?</x:v>
      </x:c>
      <x:c r="Q934" s="146" t="e">
        <x:f>IF(OR('实盘净值数据(iFinD公式)'!$A934="",'实盘净值数据(iFinD公式)'!$B934=""),"",分期持仓明细!$AD$25*SUMPRODUCT(分期持仓明细!$B$25:$AA$25,'实盘净值数据(iFinD公式)'!$B934:$AA934/'实盘净值数据(iFinD公式)'!$B$65:$AA$65)*(1-实盘持仓初始配置!$Z$9)^(('实盘净值数据(iFinD公式)'!$A934-'实盘净值数据(iFinD公式)'!$A$8)/365))</x:f>
        <x:v>#NAME?</x:v>
      </x:c>
      <x:c r="R934" s="152" t="e">
        <x:f>IF(OR(Q933="",Q934=""),"",Q934/Q933-1)</x:f>
        <x:v>#NAME?</x:v>
      </x:c>
      <x:c r="S934" s="152" t="e">
        <x:f>IF(Q934="","",Q934/MAX(Q$5:Q934)-1)</x:f>
        <x:v>#NAME?</x:v>
      </x:c>
    </x:row>
    <x:row r="935">
      <x:c r="A935" s="149" t="str">
        <x:f>IF('实盘净值数据(iFinD公式)'!A935="","",'实盘净值数据(iFinD公式)'!A935)</x:f>
      </x:c>
      <x:c r="B935" s="146" t="e">
        <x:f>IF(OR('实盘净值数据(iFinD公式)'!$A935="",'实盘净值数据(iFinD公式)'!$B935=""),"",分期持仓明细!$AD$17*SUMPRODUCT(分期持仓明细!$B$17:$AA$17,'实盘净值数据(iFinD公式)'!$B935:$AA935/'实盘净值数据(iFinD公式)'!$B$20:$AA$20)*(1-实盘持仓初始配置!$Z$4)^(('实盘净值数据(iFinD公式)'!$A935-'实盘净值数据(iFinD公式)'!$A$6)/365))</x:f>
        <x:v>#NAME?</x:v>
      </x:c>
      <x:c r="C935" s="152" t="e">
        <x:f>IF(OR(B934="",B935=""),"",B935/B934-1)</x:f>
        <x:v>#NAME?</x:v>
      </x:c>
      <x:c r="D935" s="152" t="e">
        <x:f>IF(B935="","",B935/MAX(B$5:B935)-1)</x:f>
        <x:v>#NAME?</x:v>
      </x:c>
      <x:c r="E935" s="146" t="e">
        <x:f>IF(OR('实盘净值数据(iFinD公式)'!$A935="",'实盘净值数据(iFinD公式)'!$B935=""),"",分期持仓明细!$AD$18*SUMPRODUCT(分期持仓明细!$B$18:$AA$18,'实盘净值数据(iFinD公式)'!$B935:$AA935/'实盘净值数据(iFinD公式)'!$B$20:$AA$20)*(1-实盘持仓初始配置!$Z$5)^(('实盘净值数据(iFinD公式)'!$A935-'实盘净值数据(iFinD公式)'!$A$5)/365))</x:f>
        <x:v>#NAME?</x:v>
      </x:c>
      <x:c r="F935" s="152" t="e">
        <x:f>IF(OR(E934="",E935=""),"",E935/E934-1)</x:f>
        <x:v>#NAME?</x:v>
      </x:c>
      <x:c r="G935" s="152" t="e">
        <x:f>IF(E935="","",E935/MAX(E$5:E935)-1)</x:f>
        <x:v>#NAME?</x:v>
      </x:c>
      <x:c r="H935" s="146" t="e">
        <x:f>IF(OR('实盘净值数据(iFinD公式)'!$A935="",'实盘净值数据(iFinD公式)'!$B935=""),"",分期持仓明细!$AD$19*SUMPRODUCT(分期持仓明细!$B$19:$AA$19,'实盘净值数据(iFinD公式)'!$B935:$AA935/'实盘净值数据(iFinD公式)'!$B$20:$AA$20)*(1-实盘持仓初始配置!$Z$6)^(('实盘净值数据(iFinD公式)'!$A935-'实盘净值数据(iFinD公式)'!$A$7)/365))</x:f>
        <x:v>#NAME?</x:v>
      </x:c>
      <x:c r="I935" s="152" t="e">
        <x:f>IF(OR(H934="",H935=""),"",H935/H934-1)</x:f>
        <x:v>#NAME?</x:v>
      </x:c>
      <x:c r="J935" s="152" t="e">
        <x:f>IF(H935="","",H935/MAX(H$5:H935)-1)</x:f>
        <x:v>#NAME?</x:v>
      </x:c>
      <x:c r="K935" s="146" t="e">
        <x:f>IF(OR('实盘净值数据(iFinD公式)'!$A935="",'实盘净值数据(iFinD公式)'!$B935=""),"",分期持仓明细!$AD$23*SUMPRODUCT(分期持仓明细!$B$23:$AA$23,'实盘净值数据(iFinD公式)'!$B935:$AA935/'实盘净值数据(iFinD公式)'!$B$65:$AA$65)*(1-实盘持仓初始配置!$Z$7)^(('实盘净值数据(iFinD公式)'!$A935-'实盘净值数据(iFinD公式)'!$A$8)/365))</x:f>
        <x:v>#NAME?</x:v>
      </x:c>
      <x:c r="L935" s="152" t="e">
        <x:f>IF(OR(K934="",K935=""),"",K935/K934-1)</x:f>
        <x:v>#NAME?</x:v>
      </x:c>
      <x:c r="M935" s="152" t="e">
        <x:f>IF(K935="","",K935/MAX(K$5:K935)-1)</x:f>
        <x:v>#NAME?</x:v>
      </x:c>
      <x:c r="N935" s="146" t="e">
        <x:f>IF(OR('实盘净值数据(iFinD公式)'!$A935="",'实盘净值数据(iFinD公式)'!$B935=""),"",分期持仓明细!$AD$24*SUMPRODUCT(分期持仓明细!$B$24:$AA$24,'实盘净值数据(iFinD公式)'!$B935:$AA935/'实盘净值数据(iFinD公式)'!$B$65:$AA$65)*(1-实盘持仓初始配置!$Z$8)^(('实盘净值数据(iFinD公式)'!$A935-'实盘净值数据(iFinD公式)'!$A$5)/365))</x:f>
        <x:v>#NAME?</x:v>
      </x:c>
      <x:c r="O935" s="152" t="e">
        <x:f>IF(OR(N934="",N935=""),"",N935/N934-1)</x:f>
        <x:v>#NAME?</x:v>
      </x:c>
      <x:c r="P935" s="152" t="e">
        <x:f>IF(N935="","",N935/MAX(N$5:N935)-1)</x:f>
        <x:v>#NAME?</x:v>
      </x:c>
      <x:c r="Q935" s="146" t="e">
        <x:f>IF(OR('实盘净值数据(iFinD公式)'!$A935="",'实盘净值数据(iFinD公式)'!$B935=""),"",分期持仓明细!$AD$25*SUMPRODUCT(分期持仓明细!$B$25:$AA$25,'实盘净值数据(iFinD公式)'!$B935:$AA935/'实盘净值数据(iFinD公式)'!$B$65:$AA$65)*(1-实盘持仓初始配置!$Z$9)^(('实盘净值数据(iFinD公式)'!$A935-'实盘净值数据(iFinD公式)'!$A$8)/365))</x:f>
        <x:v>#NAME?</x:v>
      </x:c>
      <x:c r="R935" s="152" t="e">
        <x:f>IF(OR(Q934="",Q935=""),"",Q935/Q934-1)</x:f>
        <x:v>#NAME?</x:v>
      </x:c>
      <x:c r="S935" s="152" t="e">
        <x:f>IF(Q935="","",Q935/MAX(Q$5:Q935)-1)</x:f>
        <x:v>#NAME?</x:v>
      </x:c>
    </x:row>
    <x:row r="936">
      <x:c r="A936" s="149" t="str">
        <x:f>IF('实盘净值数据(iFinD公式)'!A936="","",'实盘净值数据(iFinD公式)'!A936)</x:f>
      </x:c>
      <x:c r="B936" s="146" t="e">
        <x:f>IF(OR('实盘净值数据(iFinD公式)'!$A936="",'实盘净值数据(iFinD公式)'!$B936=""),"",分期持仓明细!$AD$17*SUMPRODUCT(分期持仓明细!$B$17:$AA$17,'实盘净值数据(iFinD公式)'!$B936:$AA936/'实盘净值数据(iFinD公式)'!$B$20:$AA$20)*(1-实盘持仓初始配置!$Z$4)^(('实盘净值数据(iFinD公式)'!$A936-'实盘净值数据(iFinD公式)'!$A$6)/365))</x:f>
        <x:v>#NAME?</x:v>
      </x:c>
      <x:c r="C936" s="152" t="e">
        <x:f>IF(OR(B935="",B936=""),"",B936/B935-1)</x:f>
        <x:v>#NAME?</x:v>
      </x:c>
      <x:c r="D936" s="152" t="e">
        <x:f>IF(B936="","",B936/MAX(B$5:B936)-1)</x:f>
        <x:v>#NAME?</x:v>
      </x:c>
      <x:c r="E936" s="146" t="e">
        <x:f>IF(OR('实盘净值数据(iFinD公式)'!$A936="",'实盘净值数据(iFinD公式)'!$B936=""),"",分期持仓明细!$AD$18*SUMPRODUCT(分期持仓明细!$B$18:$AA$18,'实盘净值数据(iFinD公式)'!$B936:$AA936/'实盘净值数据(iFinD公式)'!$B$20:$AA$20)*(1-实盘持仓初始配置!$Z$5)^(('实盘净值数据(iFinD公式)'!$A936-'实盘净值数据(iFinD公式)'!$A$5)/365))</x:f>
        <x:v>#NAME?</x:v>
      </x:c>
      <x:c r="F936" s="152" t="e">
        <x:f>IF(OR(E935="",E936=""),"",E936/E935-1)</x:f>
        <x:v>#NAME?</x:v>
      </x:c>
      <x:c r="G936" s="152" t="e">
        <x:f>IF(E936="","",E936/MAX(E$5:E936)-1)</x:f>
        <x:v>#NAME?</x:v>
      </x:c>
      <x:c r="H936" s="146" t="e">
        <x:f>IF(OR('实盘净值数据(iFinD公式)'!$A936="",'实盘净值数据(iFinD公式)'!$B936=""),"",分期持仓明细!$AD$19*SUMPRODUCT(分期持仓明细!$B$19:$AA$19,'实盘净值数据(iFinD公式)'!$B936:$AA936/'实盘净值数据(iFinD公式)'!$B$20:$AA$20)*(1-实盘持仓初始配置!$Z$6)^(('实盘净值数据(iFinD公式)'!$A936-'实盘净值数据(iFinD公式)'!$A$7)/365))</x:f>
        <x:v>#NAME?</x:v>
      </x:c>
      <x:c r="I936" s="152" t="e">
        <x:f>IF(OR(H935="",H936=""),"",H936/H935-1)</x:f>
        <x:v>#NAME?</x:v>
      </x:c>
      <x:c r="J936" s="152" t="e">
        <x:f>IF(H936="","",H936/MAX(H$5:H936)-1)</x:f>
        <x:v>#NAME?</x:v>
      </x:c>
      <x:c r="K936" s="146" t="e">
        <x:f>IF(OR('实盘净值数据(iFinD公式)'!$A936="",'实盘净值数据(iFinD公式)'!$B936=""),"",分期持仓明细!$AD$23*SUMPRODUCT(分期持仓明细!$B$23:$AA$23,'实盘净值数据(iFinD公式)'!$B936:$AA936/'实盘净值数据(iFinD公式)'!$B$65:$AA$65)*(1-实盘持仓初始配置!$Z$7)^(('实盘净值数据(iFinD公式)'!$A936-'实盘净值数据(iFinD公式)'!$A$8)/365))</x:f>
        <x:v>#NAME?</x:v>
      </x:c>
      <x:c r="L936" s="152" t="e">
        <x:f>IF(OR(K935="",K936=""),"",K936/K935-1)</x:f>
        <x:v>#NAME?</x:v>
      </x:c>
      <x:c r="M936" s="152" t="e">
        <x:f>IF(K936="","",K936/MAX(K$5:K936)-1)</x:f>
        <x:v>#NAME?</x:v>
      </x:c>
      <x:c r="N936" s="146" t="e">
        <x:f>IF(OR('实盘净值数据(iFinD公式)'!$A936="",'实盘净值数据(iFinD公式)'!$B936=""),"",分期持仓明细!$AD$24*SUMPRODUCT(分期持仓明细!$B$24:$AA$24,'实盘净值数据(iFinD公式)'!$B936:$AA936/'实盘净值数据(iFinD公式)'!$B$65:$AA$65)*(1-实盘持仓初始配置!$Z$8)^(('实盘净值数据(iFinD公式)'!$A936-'实盘净值数据(iFinD公式)'!$A$5)/365))</x:f>
        <x:v>#NAME?</x:v>
      </x:c>
      <x:c r="O936" s="152" t="e">
        <x:f>IF(OR(N935="",N936=""),"",N936/N935-1)</x:f>
        <x:v>#NAME?</x:v>
      </x:c>
      <x:c r="P936" s="152" t="e">
        <x:f>IF(N936="","",N936/MAX(N$5:N936)-1)</x:f>
        <x:v>#NAME?</x:v>
      </x:c>
      <x:c r="Q936" s="146" t="e">
        <x:f>IF(OR('实盘净值数据(iFinD公式)'!$A936="",'实盘净值数据(iFinD公式)'!$B936=""),"",分期持仓明细!$AD$25*SUMPRODUCT(分期持仓明细!$B$25:$AA$25,'实盘净值数据(iFinD公式)'!$B936:$AA936/'实盘净值数据(iFinD公式)'!$B$65:$AA$65)*(1-实盘持仓初始配置!$Z$9)^(('实盘净值数据(iFinD公式)'!$A936-'实盘净值数据(iFinD公式)'!$A$8)/365))</x:f>
        <x:v>#NAME?</x:v>
      </x:c>
      <x:c r="R936" s="152" t="e">
        <x:f>IF(OR(Q935="",Q936=""),"",Q936/Q935-1)</x:f>
        <x:v>#NAME?</x:v>
      </x:c>
      <x:c r="S936" s="152" t="e">
        <x:f>IF(Q936="","",Q936/MAX(Q$5:Q936)-1)</x:f>
        <x:v>#NAME?</x:v>
      </x:c>
    </x:row>
    <x:row r="937">
      <x:c r="A937" s="149" t="str">
        <x:f>IF('实盘净值数据(iFinD公式)'!A937="","",'实盘净值数据(iFinD公式)'!A937)</x:f>
      </x:c>
      <x:c r="B937" s="146" t="e">
        <x:f>IF(OR('实盘净值数据(iFinD公式)'!$A937="",'实盘净值数据(iFinD公式)'!$B937=""),"",分期持仓明细!$AD$17*SUMPRODUCT(分期持仓明细!$B$17:$AA$17,'实盘净值数据(iFinD公式)'!$B937:$AA937/'实盘净值数据(iFinD公式)'!$B$20:$AA$20)*(1-实盘持仓初始配置!$Z$4)^(('实盘净值数据(iFinD公式)'!$A937-'实盘净值数据(iFinD公式)'!$A$6)/365))</x:f>
        <x:v>#NAME?</x:v>
      </x:c>
      <x:c r="C937" s="152" t="e">
        <x:f>IF(OR(B936="",B937=""),"",B937/B936-1)</x:f>
        <x:v>#NAME?</x:v>
      </x:c>
      <x:c r="D937" s="152" t="e">
        <x:f>IF(B937="","",B937/MAX(B$5:B937)-1)</x:f>
        <x:v>#NAME?</x:v>
      </x:c>
      <x:c r="E937" s="146" t="e">
        <x:f>IF(OR('实盘净值数据(iFinD公式)'!$A937="",'实盘净值数据(iFinD公式)'!$B937=""),"",分期持仓明细!$AD$18*SUMPRODUCT(分期持仓明细!$B$18:$AA$18,'实盘净值数据(iFinD公式)'!$B937:$AA937/'实盘净值数据(iFinD公式)'!$B$20:$AA$20)*(1-实盘持仓初始配置!$Z$5)^(('实盘净值数据(iFinD公式)'!$A937-'实盘净值数据(iFinD公式)'!$A$5)/365))</x:f>
        <x:v>#NAME?</x:v>
      </x:c>
      <x:c r="F937" s="152" t="e">
        <x:f>IF(OR(E936="",E937=""),"",E937/E936-1)</x:f>
        <x:v>#NAME?</x:v>
      </x:c>
      <x:c r="G937" s="152" t="e">
        <x:f>IF(E937="","",E937/MAX(E$5:E937)-1)</x:f>
        <x:v>#NAME?</x:v>
      </x:c>
      <x:c r="H937" s="146" t="e">
        <x:f>IF(OR('实盘净值数据(iFinD公式)'!$A937="",'实盘净值数据(iFinD公式)'!$B937=""),"",分期持仓明细!$AD$19*SUMPRODUCT(分期持仓明细!$B$19:$AA$19,'实盘净值数据(iFinD公式)'!$B937:$AA937/'实盘净值数据(iFinD公式)'!$B$20:$AA$20)*(1-实盘持仓初始配置!$Z$6)^(('实盘净值数据(iFinD公式)'!$A937-'实盘净值数据(iFinD公式)'!$A$7)/365))</x:f>
        <x:v>#NAME?</x:v>
      </x:c>
      <x:c r="I937" s="152" t="e">
        <x:f>IF(OR(H936="",H937=""),"",H937/H936-1)</x:f>
        <x:v>#NAME?</x:v>
      </x:c>
      <x:c r="J937" s="152" t="e">
        <x:f>IF(H937="","",H937/MAX(H$5:H937)-1)</x:f>
        <x:v>#NAME?</x:v>
      </x:c>
      <x:c r="K937" s="146" t="e">
        <x:f>IF(OR('实盘净值数据(iFinD公式)'!$A937="",'实盘净值数据(iFinD公式)'!$B937=""),"",分期持仓明细!$AD$23*SUMPRODUCT(分期持仓明细!$B$23:$AA$23,'实盘净值数据(iFinD公式)'!$B937:$AA937/'实盘净值数据(iFinD公式)'!$B$65:$AA$65)*(1-实盘持仓初始配置!$Z$7)^(('实盘净值数据(iFinD公式)'!$A937-'实盘净值数据(iFinD公式)'!$A$8)/365))</x:f>
        <x:v>#NAME?</x:v>
      </x:c>
      <x:c r="L937" s="152" t="e">
        <x:f>IF(OR(K936="",K937=""),"",K937/K936-1)</x:f>
        <x:v>#NAME?</x:v>
      </x:c>
      <x:c r="M937" s="152" t="e">
        <x:f>IF(K937="","",K937/MAX(K$5:K937)-1)</x:f>
        <x:v>#NAME?</x:v>
      </x:c>
      <x:c r="N937" s="146" t="e">
        <x:f>IF(OR('实盘净值数据(iFinD公式)'!$A937="",'实盘净值数据(iFinD公式)'!$B937=""),"",分期持仓明细!$AD$24*SUMPRODUCT(分期持仓明细!$B$24:$AA$24,'实盘净值数据(iFinD公式)'!$B937:$AA937/'实盘净值数据(iFinD公式)'!$B$65:$AA$65)*(1-实盘持仓初始配置!$Z$8)^(('实盘净值数据(iFinD公式)'!$A937-'实盘净值数据(iFinD公式)'!$A$5)/365))</x:f>
        <x:v>#NAME?</x:v>
      </x:c>
      <x:c r="O937" s="152" t="e">
        <x:f>IF(OR(N936="",N937=""),"",N937/N936-1)</x:f>
        <x:v>#NAME?</x:v>
      </x:c>
      <x:c r="P937" s="152" t="e">
        <x:f>IF(N937="","",N937/MAX(N$5:N937)-1)</x:f>
        <x:v>#NAME?</x:v>
      </x:c>
      <x:c r="Q937" s="146" t="e">
        <x:f>IF(OR('实盘净值数据(iFinD公式)'!$A937="",'实盘净值数据(iFinD公式)'!$B937=""),"",分期持仓明细!$AD$25*SUMPRODUCT(分期持仓明细!$B$25:$AA$25,'实盘净值数据(iFinD公式)'!$B937:$AA937/'实盘净值数据(iFinD公式)'!$B$65:$AA$65)*(1-实盘持仓初始配置!$Z$9)^(('实盘净值数据(iFinD公式)'!$A937-'实盘净值数据(iFinD公式)'!$A$8)/365))</x:f>
        <x:v>#NAME?</x:v>
      </x:c>
      <x:c r="R937" s="152" t="e">
        <x:f>IF(OR(Q936="",Q937=""),"",Q937/Q936-1)</x:f>
        <x:v>#NAME?</x:v>
      </x:c>
      <x:c r="S937" s="152" t="e">
        <x:f>IF(Q937="","",Q937/MAX(Q$5:Q937)-1)</x:f>
        <x:v>#NAME?</x:v>
      </x:c>
    </x:row>
    <x:row r="938">
      <x:c r="A938" s="149" t="str">
        <x:f>IF('实盘净值数据(iFinD公式)'!A938="","",'实盘净值数据(iFinD公式)'!A938)</x:f>
      </x:c>
      <x:c r="B938" s="146" t="e">
        <x:f>IF(OR('实盘净值数据(iFinD公式)'!$A938="",'实盘净值数据(iFinD公式)'!$B938=""),"",分期持仓明细!$AD$17*SUMPRODUCT(分期持仓明细!$B$17:$AA$17,'实盘净值数据(iFinD公式)'!$B938:$AA938/'实盘净值数据(iFinD公式)'!$B$20:$AA$20)*(1-实盘持仓初始配置!$Z$4)^(('实盘净值数据(iFinD公式)'!$A938-'实盘净值数据(iFinD公式)'!$A$6)/365))</x:f>
        <x:v>#NAME?</x:v>
      </x:c>
      <x:c r="C938" s="152" t="e">
        <x:f>IF(OR(B937="",B938=""),"",B938/B937-1)</x:f>
        <x:v>#NAME?</x:v>
      </x:c>
      <x:c r="D938" s="152" t="e">
        <x:f>IF(B938="","",B938/MAX(B$5:B938)-1)</x:f>
        <x:v>#NAME?</x:v>
      </x:c>
      <x:c r="E938" s="146" t="e">
        <x:f>IF(OR('实盘净值数据(iFinD公式)'!$A938="",'实盘净值数据(iFinD公式)'!$B938=""),"",分期持仓明细!$AD$18*SUMPRODUCT(分期持仓明细!$B$18:$AA$18,'实盘净值数据(iFinD公式)'!$B938:$AA938/'实盘净值数据(iFinD公式)'!$B$20:$AA$20)*(1-实盘持仓初始配置!$Z$5)^(('实盘净值数据(iFinD公式)'!$A938-'实盘净值数据(iFinD公式)'!$A$5)/365))</x:f>
        <x:v>#NAME?</x:v>
      </x:c>
      <x:c r="F938" s="152" t="e">
        <x:f>IF(OR(E937="",E938=""),"",E938/E937-1)</x:f>
        <x:v>#NAME?</x:v>
      </x:c>
      <x:c r="G938" s="152" t="e">
        <x:f>IF(E938="","",E938/MAX(E$5:E938)-1)</x:f>
        <x:v>#NAME?</x:v>
      </x:c>
      <x:c r="H938" s="146" t="e">
        <x:f>IF(OR('实盘净值数据(iFinD公式)'!$A938="",'实盘净值数据(iFinD公式)'!$B938=""),"",分期持仓明细!$AD$19*SUMPRODUCT(分期持仓明细!$B$19:$AA$19,'实盘净值数据(iFinD公式)'!$B938:$AA938/'实盘净值数据(iFinD公式)'!$B$20:$AA$20)*(1-实盘持仓初始配置!$Z$6)^(('实盘净值数据(iFinD公式)'!$A938-'实盘净值数据(iFinD公式)'!$A$7)/365))</x:f>
        <x:v>#NAME?</x:v>
      </x:c>
      <x:c r="I938" s="152" t="e">
        <x:f>IF(OR(H937="",H938=""),"",H938/H937-1)</x:f>
        <x:v>#NAME?</x:v>
      </x:c>
      <x:c r="J938" s="152" t="e">
        <x:f>IF(H938="","",H938/MAX(H$5:H938)-1)</x:f>
        <x:v>#NAME?</x:v>
      </x:c>
      <x:c r="K938" s="146" t="e">
        <x:f>IF(OR('实盘净值数据(iFinD公式)'!$A938="",'实盘净值数据(iFinD公式)'!$B938=""),"",分期持仓明细!$AD$23*SUMPRODUCT(分期持仓明细!$B$23:$AA$23,'实盘净值数据(iFinD公式)'!$B938:$AA938/'实盘净值数据(iFinD公式)'!$B$65:$AA$65)*(1-实盘持仓初始配置!$Z$7)^(('实盘净值数据(iFinD公式)'!$A938-'实盘净值数据(iFinD公式)'!$A$8)/365))</x:f>
        <x:v>#NAME?</x:v>
      </x:c>
      <x:c r="L938" s="152" t="e">
        <x:f>IF(OR(K937="",K938=""),"",K938/K937-1)</x:f>
        <x:v>#NAME?</x:v>
      </x:c>
      <x:c r="M938" s="152" t="e">
        <x:f>IF(K938="","",K938/MAX(K$5:K938)-1)</x:f>
        <x:v>#NAME?</x:v>
      </x:c>
      <x:c r="N938" s="146" t="e">
        <x:f>IF(OR('实盘净值数据(iFinD公式)'!$A938="",'实盘净值数据(iFinD公式)'!$B938=""),"",分期持仓明细!$AD$24*SUMPRODUCT(分期持仓明细!$B$24:$AA$24,'实盘净值数据(iFinD公式)'!$B938:$AA938/'实盘净值数据(iFinD公式)'!$B$65:$AA$65)*(1-实盘持仓初始配置!$Z$8)^(('实盘净值数据(iFinD公式)'!$A938-'实盘净值数据(iFinD公式)'!$A$5)/365))</x:f>
        <x:v>#NAME?</x:v>
      </x:c>
      <x:c r="O938" s="152" t="e">
        <x:f>IF(OR(N937="",N938=""),"",N938/N937-1)</x:f>
        <x:v>#NAME?</x:v>
      </x:c>
      <x:c r="P938" s="152" t="e">
        <x:f>IF(N938="","",N938/MAX(N$5:N938)-1)</x:f>
        <x:v>#NAME?</x:v>
      </x:c>
      <x:c r="Q938" s="146" t="e">
        <x:f>IF(OR('实盘净值数据(iFinD公式)'!$A938="",'实盘净值数据(iFinD公式)'!$B938=""),"",分期持仓明细!$AD$25*SUMPRODUCT(分期持仓明细!$B$25:$AA$25,'实盘净值数据(iFinD公式)'!$B938:$AA938/'实盘净值数据(iFinD公式)'!$B$65:$AA$65)*(1-实盘持仓初始配置!$Z$9)^(('实盘净值数据(iFinD公式)'!$A938-'实盘净值数据(iFinD公式)'!$A$8)/365))</x:f>
        <x:v>#NAME?</x:v>
      </x:c>
      <x:c r="R938" s="152" t="e">
        <x:f>IF(OR(Q937="",Q938=""),"",Q938/Q937-1)</x:f>
        <x:v>#NAME?</x:v>
      </x:c>
      <x:c r="S938" s="152" t="e">
        <x:f>IF(Q938="","",Q938/MAX(Q$5:Q938)-1)</x:f>
        <x:v>#NAME?</x:v>
      </x:c>
    </x:row>
    <x:row r="939">
      <x:c r="A939" s="149" t="str">
        <x:f>IF('实盘净值数据(iFinD公式)'!A939="","",'实盘净值数据(iFinD公式)'!A939)</x:f>
      </x:c>
      <x:c r="B939" s="146" t="e">
        <x:f>IF(OR('实盘净值数据(iFinD公式)'!$A939="",'实盘净值数据(iFinD公式)'!$B939=""),"",分期持仓明细!$AD$17*SUMPRODUCT(分期持仓明细!$B$17:$AA$17,'实盘净值数据(iFinD公式)'!$B939:$AA939/'实盘净值数据(iFinD公式)'!$B$20:$AA$20)*(1-实盘持仓初始配置!$Z$4)^(('实盘净值数据(iFinD公式)'!$A939-'实盘净值数据(iFinD公式)'!$A$6)/365))</x:f>
        <x:v>#NAME?</x:v>
      </x:c>
      <x:c r="C939" s="152" t="e">
        <x:f>IF(OR(B938="",B939=""),"",B939/B938-1)</x:f>
        <x:v>#NAME?</x:v>
      </x:c>
      <x:c r="D939" s="152" t="e">
        <x:f>IF(B939="","",B939/MAX(B$5:B939)-1)</x:f>
        <x:v>#NAME?</x:v>
      </x:c>
      <x:c r="E939" s="146" t="e">
        <x:f>IF(OR('实盘净值数据(iFinD公式)'!$A939="",'实盘净值数据(iFinD公式)'!$B939=""),"",分期持仓明细!$AD$18*SUMPRODUCT(分期持仓明细!$B$18:$AA$18,'实盘净值数据(iFinD公式)'!$B939:$AA939/'实盘净值数据(iFinD公式)'!$B$20:$AA$20)*(1-实盘持仓初始配置!$Z$5)^(('实盘净值数据(iFinD公式)'!$A939-'实盘净值数据(iFinD公式)'!$A$5)/365))</x:f>
        <x:v>#NAME?</x:v>
      </x:c>
      <x:c r="F939" s="152" t="e">
        <x:f>IF(OR(E938="",E939=""),"",E939/E938-1)</x:f>
        <x:v>#NAME?</x:v>
      </x:c>
      <x:c r="G939" s="152" t="e">
        <x:f>IF(E939="","",E939/MAX(E$5:E939)-1)</x:f>
        <x:v>#NAME?</x:v>
      </x:c>
      <x:c r="H939" s="146" t="e">
        <x:f>IF(OR('实盘净值数据(iFinD公式)'!$A939="",'实盘净值数据(iFinD公式)'!$B939=""),"",分期持仓明细!$AD$19*SUMPRODUCT(分期持仓明细!$B$19:$AA$19,'实盘净值数据(iFinD公式)'!$B939:$AA939/'实盘净值数据(iFinD公式)'!$B$20:$AA$20)*(1-实盘持仓初始配置!$Z$6)^(('实盘净值数据(iFinD公式)'!$A939-'实盘净值数据(iFinD公式)'!$A$7)/365))</x:f>
        <x:v>#NAME?</x:v>
      </x:c>
      <x:c r="I939" s="152" t="e">
        <x:f>IF(OR(H938="",H939=""),"",H939/H938-1)</x:f>
        <x:v>#NAME?</x:v>
      </x:c>
      <x:c r="J939" s="152" t="e">
        <x:f>IF(H939="","",H939/MAX(H$5:H939)-1)</x:f>
        <x:v>#NAME?</x:v>
      </x:c>
      <x:c r="K939" s="146" t="e">
        <x:f>IF(OR('实盘净值数据(iFinD公式)'!$A939="",'实盘净值数据(iFinD公式)'!$B939=""),"",分期持仓明细!$AD$23*SUMPRODUCT(分期持仓明细!$B$23:$AA$23,'实盘净值数据(iFinD公式)'!$B939:$AA939/'实盘净值数据(iFinD公式)'!$B$65:$AA$65)*(1-实盘持仓初始配置!$Z$7)^(('实盘净值数据(iFinD公式)'!$A939-'实盘净值数据(iFinD公式)'!$A$8)/365))</x:f>
        <x:v>#NAME?</x:v>
      </x:c>
      <x:c r="L939" s="152" t="e">
        <x:f>IF(OR(K938="",K939=""),"",K939/K938-1)</x:f>
        <x:v>#NAME?</x:v>
      </x:c>
      <x:c r="M939" s="152" t="e">
        <x:f>IF(K939="","",K939/MAX(K$5:K939)-1)</x:f>
        <x:v>#NAME?</x:v>
      </x:c>
      <x:c r="N939" s="146" t="e">
        <x:f>IF(OR('实盘净值数据(iFinD公式)'!$A939="",'实盘净值数据(iFinD公式)'!$B939=""),"",分期持仓明细!$AD$24*SUMPRODUCT(分期持仓明细!$B$24:$AA$24,'实盘净值数据(iFinD公式)'!$B939:$AA939/'实盘净值数据(iFinD公式)'!$B$65:$AA$65)*(1-实盘持仓初始配置!$Z$8)^(('实盘净值数据(iFinD公式)'!$A939-'实盘净值数据(iFinD公式)'!$A$5)/365))</x:f>
        <x:v>#NAME?</x:v>
      </x:c>
      <x:c r="O939" s="152" t="e">
        <x:f>IF(OR(N938="",N939=""),"",N939/N938-1)</x:f>
        <x:v>#NAME?</x:v>
      </x:c>
      <x:c r="P939" s="152" t="e">
        <x:f>IF(N939="","",N939/MAX(N$5:N939)-1)</x:f>
        <x:v>#NAME?</x:v>
      </x:c>
      <x:c r="Q939" s="146" t="e">
        <x:f>IF(OR('实盘净值数据(iFinD公式)'!$A939="",'实盘净值数据(iFinD公式)'!$B939=""),"",分期持仓明细!$AD$25*SUMPRODUCT(分期持仓明细!$B$25:$AA$25,'实盘净值数据(iFinD公式)'!$B939:$AA939/'实盘净值数据(iFinD公式)'!$B$65:$AA$65)*(1-实盘持仓初始配置!$Z$9)^(('实盘净值数据(iFinD公式)'!$A939-'实盘净值数据(iFinD公式)'!$A$8)/365))</x:f>
        <x:v>#NAME?</x:v>
      </x:c>
      <x:c r="R939" s="152" t="e">
        <x:f>IF(OR(Q938="",Q939=""),"",Q939/Q938-1)</x:f>
        <x:v>#NAME?</x:v>
      </x:c>
      <x:c r="S939" s="152" t="e">
        <x:f>IF(Q939="","",Q939/MAX(Q$5:Q939)-1)</x:f>
        <x:v>#NAME?</x:v>
      </x:c>
    </x:row>
    <x:row r="940">
      <x:c r="A940" s="149" t="str">
        <x:f>IF('实盘净值数据(iFinD公式)'!A940="","",'实盘净值数据(iFinD公式)'!A940)</x:f>
      </x:c>
      <x:c r="B940" s="146" t="e">
        <x:f>IF(OR('实盘净值数据(iFinD公式)'!$A940="",'实盘净值数据(iFinD公式)'!$B940=""),"",分期持仓明细!$AD$17*SUMPRODUCT(分期持仓明细!$B$17:$AA$17,'实盘净值数据(iFinD公式)'!$B940:$AA940/'实盘净值数据(iFinD公式)'!$B$20:$AA$20)*(1-实盘持仓初始配置!$Z$4)^(('实盘净值数据(iFinD公式)'!$A940-'实盘净值数据(iFinD公式)'!$A$6)/365))</x:f>
        <x:v>#NAME?</x:v>
      </x:c>
      <x:c r="C940" s="152" t="e">
        <x:f>IF(OR(B939="",B940=""),"",B940/B939-1)</x:f>
        <x:v>#NAME?</x:v>
      </x:c>
      <x:c r="D940" s="152" t="e">
        <x:f>IF(B940="","",B940/MAX(B$5:B940)-1)</x:f>
        <x:v>#NAME?</x:v>
      </x:c>
      <x:c r="E940" s="146" t="e">
        <x:f>IF(OR('实盘净值数据(iFinD公式)'!$A940="",'实盘净值数据(iFinD公式)'!$B940=""),"",分期持仓明细!$AD$18*SUMPRODUCT(分期持仓明细!$B$18:$AA$18,'实盘净值数据(iFinD公式)'!$B940:$AA940/'实盘净值数据(iFinD公式)'!$B$20:$AA$20)*(1-实盘持仓初始配置!$Z$5)^(('实盘净值数据(iFinD公式)'!$A940-'实盘净值数据(iFinD公式)'!$A$5)/365))</x:f>
        <x:v>#NAME?</x:v>
      </x:c>
      <x:c r="F940" s="152" t="e">
        <x:f>IF(OR(E939="",E940=""),"",E940/E939-1)</x:f>
        <x:v>#NAME?</x:v>
      </x:c>
      <x:c r="G940" s="152" t="e">
        <x:f>IF(E940="","",E940/MAX(E$5:E940)-1)</x:f>
        <x:v>#NAME?</x:v>
      </x:c>
      <x:c r="H940" s="146" t="e">
        <x:f>IF(OR('实盘净值数据(iFinD公式)'!$A940="",'实盘净值数据(iFinD公式)'!$B940=""),"",分期持仓明细!$AD$19*SUMPRODUCT(分期持仓明细!$B$19:$AA$19,'实盘净值数据(iFinD公式)'!$B940:$AA940/'实盘净值数据(iFinD公式)'!$B$20:$AA$20)*(1-实盘持仓初始配置!$Z$6)^(('实盘净值数据(iFinD公式)'!$A940-'实盘净值数据(iFinD公式)'!$A$7)/365))</x:f>
        <x:v>#NAME?</x:v>
      </x:c>
      <x:c r="I940" s="152" t="e">
        <x:f>IF(OR(H939="",H940=""),"",H940/H939-1)</x:f>
        <x:v>#NAME?</x:v>
      </x:c>
      <x:c r="J940" s="152" t="e">
        <x:f>IF(H940="","",H940/MAX(H$5:H940)-1)</x:f>
        <x:v>#NAME?</x:v>
      </x:c>
      <x:c r="K940" s="146" t="e">
        <x:f>IF(OR('实盘净值数据(iFinD公式)'!$A940="",'实盘净值数据(iFinD公式)'!$B940=""),"",分期持仓明细!$AD$23*SUMPRODUCT(分期持仓明细!$B$23:$AA$23,'实盘净值数据(iFinD公式)'!$B940:$AA940/'实盘净值数据(iFinD公式)'!$B$65:$AA$65)*(1-实盘持仓初始配置!$Z$7)^(('实盘净值数据(iFinD公式)'!$A940-'实盘净值数据(iFinD公式)'!$A$8)/365))</x:f>
        <x:v>#NAME?</x:v>
      </x:c>
      <x:c r="L940" s="152" t="e">
        <x:f>IF(OR(K939="",K940=""),"",K940/K939-1)</x:f>
        <x:v>#NAME?</x:v>
      </x:c>
      <x:c r="M940" s="152" t="e">
        <x:f>IF(K940="","",K940/MAX(K$5:K940)-1)</x:f>
        <x:v>#NAME?</x:v>
      </x:c>
      <x:c r="N940" s="146" t="e">
        <x:f>IF(OR('实盘净值数据(iFinD公式)'!$A940="",'实盘净值数据(iFinD公式)'!$B940=""),"",分期持仓明细!$AD$24*SUMPRODUCT(分期持仓明细!$B$24:$AA$24,'实盘净值数据(iFinD公式)'!$B940:$AA940/'实盘净值数据(iFinD公式)'!$B$65:$AA$65)*(1-实盘持仓初始配置!$Z$8)^(('实盘净值数据(iFinD公式)'!$A940-'实盘净值数据(iFinD公式)'!$A$5)/365))</x:f>
        <x:v>#NAME?</x:v>
      </x:c>
      <x:c r="O940" s="152" t="e">
        <x:f>IF(OR(N939="",N940=""),"",N940/N939-1)</x:f>
        <x:v>#NAME?</x:v>
      </x:c>
      <x:c r="P940" s="152" t="e">
        <x:f>IF(N940="","",N940/MAX(N$5:N940)-1)</x:f>
        <x:v>#NAME?</x:v>
      </x:c>
      <x:c r="Q940" s="146" t="e">
        <x:f>IF(OR('实盘净值数据(iFinD公式)'!$A940="",'实盘净值数据(iFinD公式)'!$B940=""),"",分期持仓明细!$AD$25*SUMPRODUCT(分期持仓明细!$B$25:$AA$25,'实盘净值数据(iFinD公式)'!$B940:$AA940/'实盘净值数据(iFinD公式)'!$B$65:$AA$65)*(1-实盘持仓初始配置!$Z$9)^(('实盘净值数据(iFinD公式)'!$A940-'实盘净值数据(iFinD公式)'!$A$8)/365))</x:f>
        <x:v>#NAME?</x:v>
      </x:c>
      <x:c r="R940" s="152" t="e">
        <x:f>IF(OR(Q939="",Q940=""),"",Q940/Q939-1)</x:f>
        <x:v>#NAME?</x:v>
      </x:c>
      <x:c r="S940" s="152" t="e">
        <x:f>IF(Q940="","",Q940/MAX(Q$5:Q940)-1)</x:f>
        <x:v>#NAME?</x:v>
      </x:c>
    </x:row>
    <x:row r="941">
      <x:c r="A941" s="149" t="str">
        <x:f>IF('实盘净值数据(iFinD公式)'!A941="","",'实盘净值数据(iFinD公式)'!A941)</x:f>
      </x:c>
      <x:c r="B941" s="146" t="e">
        <x:f>IF(OR('实盘净值数据(iFinD公式)'!$A941="",'实盘净值数据(iFinD公式)'!$B941=""),"",分期持仓明细!$AD$17*SUMPRODUCT(分期持仓明细!$B$17:$AA$17,'实盘净值数据(iFinD公式)'!$B941:$AA941/'实盘净值数据(iFinD公式)'!$B$20:$AA$20)*(1-实盘持仓初始配置!$Z$4)^(('实盘净值数据(iFinD公式)'!$A941-'实盘净值数据(iFinD公式)'!$A$6)/365))</x:f>
        <x:v>#NAME?</x:v>
      </x:c>
      <x:c r="C941" s="152" t="e">
        <x:f>IF(OR(B940="",B941=""),"",B941/B940-1)</x:f>
        <x:v>#NAME?</x:v>
      </x:c>
      <x:c r="D941" s="152" t="e">
        <x:f>IF(B941="","",B941/MAX(B$5:B941)-1)</x:f>
        <x:v>#NAME?</x:v>
      </x:c>
      <x:c r="E941" s="146" t="e">
        <x:f>IF(OR('实盘净值数据(iFinD公式)'!$A941="",'实盘净值数据(iFinD公式)'!$B941=""),"",分期持仓明细!$AD$18*SUMPRODUCT(分期持仓明细!$B$18:$AA$18,'实盘净值数据(iFinD公式)'!$B941:$AA941/'实盘净值数据(iFinD公式)'!$B$20:$AA$20)*(1-实盘持仓初始配置!$Z$5)^(('实盘净值数据(iFinD公式)'!$A941-'实盘净值数据(iFinD公式)'!$A$5)/365))</x:f>
        <x:v>#NAME?</x:v>
      </x:c>
      <x:c r="F941" s="152" t="e">
        <x:f>IF(OR(E940="",E941=""),"",E941/E940-1)</x:f>
        <x:v>#NAME?</x:v>
      </x:c>
      <x:c r="G941" s="152" t="e">
        <x:f>IF(E941="","",E941/MAX(E$5:E941)-1)</x:f>
        <x:v>#NAME?</x:v>
      </x:c>
      <x:c r="H941" s="146" t="e">
        <x:f>IF(OR('实盘净值数据(iFinD公式)'!$A941="",'实盘净值数据(iFinD公式)'!$B941=""),"",分期持仓明细!$AD$19*SUMPRODUCT(分期持仓明细!$B$19:$AA$19,'实盘净值数据(iFinD公式)'!$B941:$AA941/'实盘净值数据(iFinD公式)'!$B$20:$AA$20)*(1-实盘持仓初始配置!$Z$6)^(('实盘净值数据(iFinD公式)'!$A941-'实盘净值数据(iFinD公式)'!$A$7)/365))</x:f>
        <x:v>#NAME?</x:v>
      </x:c>
      <x:c r="I941" s="152" t="e">
        <x:f>IF(OR(H940="",H941=""),"",H941/H940-1)</x:f>
        <x:v>#NAME?</x:v>
      </x:c>
      <x:c r="J941" s="152" t="e">
        <x:f>IF(H941="","",H941/MAX(H$5:H941)-1)</x:f>
        <x:v>#NAME?</x:v>
      </x:c>
      <x:c r="K941" s="146" t="e">
        <x:f>IF(OR('实盘净值数据(iFinD公式)'!$A941="",'实盘净值数据(iFinD公式)'!$B941=""),"",分期持仓明细!$AD$23*SUMPRODUCT(分期持仓明细!$B$23:$AA$23,'实盘净值数据(iFinD公式)'!$B941:$AA941/'实盘净值数据(iFinD公式)'!$B$65:$AA$65)*(1-实盘持仓初始配置!$Z$7)^(('实盘净值数据(iFinD公式)'!$A941-'实盘净值数据(iFinD公式)'!$A$8)/365))</x:f>
        <x:v>#NAME?</x:v>
      </x:c>
      <x:c r="L941" s="152" t="e">
        <x:f>IF(OR(K940="",K941=""),"",K941/K940-1)</x:f>
        <x:v>#NAME?</x:v>
      </x:c>
      <x:c r="M941" s="152" t="e">
        <x:f>IF(K941="","",K941/MAX(K$5:K941)-1)</x:f>
        <x:v>#NAME?</x:v>
      </x:c>
      <x:c r="N941" s="146" t="e">
        <x:f>IF(OR('实盘净值数据(iFinD公式)'!$A941="",'实盘净值数据(iFinD公式)'!$B941=""),"",分期持仓明细!$AD$24*SUMPRODUCT(分期持仓明细!$B$24:$AA$24,'实盘净值数据(iFinD公式)'!$B941:$AA941/'实盘净值数据(iFinD公式)'!$B$65:$AA$65)*(1-实盘持仓初始配置!$Z$8)^(('实盘净值数据(iFinD公式)'!$A941-'实盘净值数据(iFinD公式)'!$A$5)/365))</x:f>
        <x:v>#NAME?</x:v>
      </x:c>
      <x:c r="O941" s="152" t="e">
        <x:f>IF(OR(N940="",N941=""),"",N941/N940-1)</x:f>
        <x:v>#NAME?</x:v>
      </x:c>
      <x:c r="P941" s="152" t="e">
        <x:f>IF(N941="","",N941/MAX(N$5:N941)-1)</x:f>
        <x:v>#NAME?</x:v>
      </x:c>
      <x:c r="Q941" s="146" t="e">
        <x:f>IF(OR('实盘净值数据(iFinD公式)'!$A941="",'实盘净值数据(iFinD公式)'!$B941=""),"",分期持仓明细!$AD$25*SUMPRODUCT(分期持仓明细!$B$25:$AA$25,'实盘净值数据(iFinD公式)'!$B941:$AA941/'实盘净值数据(iFinD公式)'!$B$65:$AA$65)*(1-实盘持仓初始配置!$Z$9)^(('实盘净值数据(iFinD公式)'!$A941-'实盘净值数据(iFinD公式)'!$A$8)/365))</x:f>
        <x:v>#NAME?</x:v>
      </x:c>
      <x:c r="R941" s="152" t="e">
        <x:f>IF(OR(Q940="",Q941=""),"",Q941/Q940-1)</x:f>
        <x:v>#NAME?</x:v>
      </x:c>
      <x:c r="S941" s="152" t="e">
        <x:f>IF(Q941="","",Q941/MAX(Q$5:Q941)-1)</x:f>
        <x:v>#NAME?</x:v>
      </x:c>
    </x:row>
    <x:row r="942">
      <x:c r="A942" s="149" t="str">
        <x:f>IF('实盘净值数据(iFinD公式)'!A942="","",'实盘净值数据(iFinD公式)'!A942)</x:f>
      </x:c>
      <x:c r="B942" s="146" t="e">
        <x:f>IF(OR('实盘净值数据(iFinD公式)'!$A942="",'实盘净值数据(iFinD公式)'!$B942=""),"",分期持仓明细!$AD$17*SUMPRODUCT(分期持仓明细!$B$17:$AA$17,'实盘净值数据(iFinD公式)'!$B942:$AA942/'实盘净值数据(iFinD公式)'!$B$20:$AA$20)*(1-实盘持仓初始配置!$Z$4)^(('实盘净值数据(iFinD公式)'!$A942-'实盘净值数据(iFinD公式)'!$A$6)/365))</x:f>
        <x:v>#NAME?</x:v>
      </x:c>
      <x:c r="C942" s="152" t="e">
        <x:f>IF(OR(B941="",B942=""),"",B942/B941-1)</x:f>
        <x:v>#NAME?</x:v>
      </x:c>
      <x:c r="D942" s="152" t="e">
        <x:f>IF(B942="","",B942/MAX(B$5:B942)-1)</x:f>
        <x:v>#NAME?</x:v>
      </x:c>
      <x:c r="E942" s="146" t="e">
        <x:f>IF(OR('实盘净值数据(iFinD公式)'!$A942="",'实盘净值数据(iFinD公式)'!$B942=""),"",分期持仓明细!$AD$18*SUMPRODUCT(分期持仓明细!$B$18:$AA$18,'实盘净值数据(iFinD公式)'!$B942:$AA942/'实盘净值数据(iFinD公式)'!$B$20:$AA$20)*(1-实盘持仓初始配置!$Z$5)^(('实盘净值数据(iFinD公式)'!$A942-'实盘净值数据(iFinD公式)'!$A$5)/365))</x:f>
        <x:v>#NAME?</x:v>
      </x:c>
      <x:c r="F942" s="152" t="e">
        <x:f>IF(OR(E941="",E942=""),"",E942/E941-1)</x:f>
        <x:v>#NAME?</x:v>
      </x:c>
      <x:c r="G942" s="152" t="e">
        <x:f>IF(E942="","",E942/MAX(E$5:E942)-1)</x:f>
        <x:v>#NAME?</x:v>
      </x:c>
      <x:c r="H942" s="146" t="e">
        <x:f>IF(OR('实盘净值数据(iFinD公式)'!$A942="",'实盘净值数据(iFinD公式)'!$B942=""),"",分期持仓明细!$AD$19*SUMPRODUCT(分期持仓明细!$B$19:$AA$19,'实盘净值数据(iFinD公式)'!$B942:$AA942/'实盘净值数据(iFinD公式)'!$B$20:$AA$20)*(1-实盘持仓初始配置!$Z$6)^(('实盘净值数据(iFinD公式)'!$A942-'实盘净值数据(iFinD公式)'!$A$7)/365))</x:f>
        <x:v>#NAME?</x:v>
      </x:c>
      <x:c r="I942" s="152" t="e">
        <x:f>IF(OR(H941="",H942=""),"",H942/H941-1)</x:f>
        <x:v>#NAME?</x:v>
      </x:c>
      <x:c r="J942" s="152" t="e">
        <x:f>IF(H942="","",H942/MAX(H$5:H942)-1)</x:f>
        <x:v>#NAME?</x:v>
      </x:c>
      <x:c r="K942" s="146" t="e">
        <x:f>IF(OR('实盘净值数据(iFinD公式)'!$A942="",'实盘净值数据(iFinD公式)'!$B942=""),"",分期持仓明细!$AD$23*SUMPRODUCT(分期持仓明细!$B$23:$AA$23,'实盘净值数据(iFinD公式)'!$B942:$AA942/'实盘净值数据(iFinD公式)'!$B$65:$AA$65)*(1-实盘持仓初始配置!$Z$7)^(('实盘净值数据(iFinD公式)'!$A942-'实盘净值数据(iFinD公式)'!$A$8)/365))</x:f>
        <x:v>#NAME?</x:v>
      </x:c>
      <x:c r="L942" s="152" t="e">
        <x:f>IF(OR(K941="",K942=""),"",K942/K941-1)</x:f>
        <x:v>#NAME?</x:v>
      </x:c>
      <x:c r="M942" s="152" t="e">
        <x:f>IF(K942="","",K942/MAX(K$5:K942)-1)</x:f>
        <x:v>#NAME?</x:v>
      </x:c>
      <x:c r="N942" s="146" t="e">
        <x:f>IF(OR('实盘净值数据(iFinD公式)'!$A942="",'实盘净值数据(iFinD公式)'!$B942=""),"",分期持仓明细!$AD$24*SUMPRODUCT(分期持仓明细!$B$24:$AA$24,'实盘净值数据(iFinD公式)'!$B942:$AA942/'实盘净值数据(iFinD公式)'!$B$65:$AA$65)*(1-实盘持仓初始配置!$Z$8)^(('实盘净值数据(iFinD公式)'!$A942-'实盘净值数据(iFinD公式)'!$A$5)/365))</x:f>
        <x:v>#NAME?</x:v>
      </x:c>
      <x:c r="O942" s="152" t="e">
        <x:f>IF(OR(N941="",N942=""),"",N942/N941-1)</x:f>
        <x:v>#NAME?</x:v>
      </x:c>
      <x:c r="P942" s="152" t="e">
        <x:f>IF(N942="","",N942/MAX(N$5:N942)-1)</x:f>
        <x:v>#NAME?</x:v>
      </x:c>
      <x:c r="Q942" s="146" t="e">
        <x:f>IF(OR('实盘净值数据(iFinD公式)'!$A942="",'实盘净值数据(iFinD公式)'!$B942=""),"",分期持仓明细!$AD$25*SUMPRODUCT(分期持仓明细!$B$25:$AA$25,'实盘净值数据(iFinD公式)'!$B942:$AA942/'实盘净值数据(iFinD公式)'!$B$65:$AA$65)*(1-实盘持仓初始配置!$Z$9)^(('实盘净值数据(iFinD公式)'!$A942-'实盘净值数据(iFinD公式)'!$A$8)/365))</x:f>
        <x:v>#NAME?</x:v>
      </x:c>
      <x:c r="R942" s="152" t="e">
        <x:f>IF(OR(Q941="",Q942=""),"",Q942/Q941-1)</x:f>
        <x:v>#NAME?</x:v>
      </x:c>
      <x:c r="S942" s="152" t="e">
        <x:f>IF(Q942="","",Q942/MAX(Q$5:Q942)-1)</x:f>
        <x:v>#NAME?</x:v>
      </x:c>
    </x:row>
    <x:row r="943">
      <x:c r="A943" s="149" t="str">
        <x:f>IF('实盘净值数据(iFinD公式)'!A943="","",'实盘净值数据(iFinD公式)'!A943)</x:f>
      </x:c>
      <x:c r="B943" s="146" t="e">
        <x:f>IF(OR('实盘净值数据(iFinD公式)'!$A943="",'实盘净值数据(iFinD公式)'!$B943=""),"",分期持仓明细!$AD$17*SUMPRODUCT(分期持仓明细!$B$17:$AA$17,'实盘净值数据(iFinD公式)'!$B943:$AA943/'实盘净值数据(iFinD公式)'!$B$20:$AA$20)*(1-实盘持仓初始配置!$Z$4)^(('实盘净值数据(iFinD公式)'!$A943-'实盘净值数据(iFinD公式)'!$A$6)/365))</x:f>
        <x:v>#NAME?</x:v>
      </x:c>
      <x:c r="C943" s="152" t="e">
        <x:f>IF(OR(B942="",B943=""),"",B943/B942-1)</x:f>
        <x:v>#NAME?</x:v>
      </x:c>
      <x:c r="D943" s="152" t="e">
        <x:f>IF(B943="","",B943/MAX(B$5:B943)-1)</x:f>
        <x:v>#NAME?</x:v>
      </x:c>
      <x:c r="E943" s="146" t="e">
        <x:f>IF(OR('实盘净值数据(iFinD公式)'!$A943="",'实盘净值数据(iFinD公式)'!$B943=""),"",分期持仓明细!$AD$18*SUMPRODUCT(分期持仓明细!$B$18:$AA$18,'实盘净值数据(iFinD公式)'!$B943:$AA943/'实盘净值数据(iFinD公式)'!$B$20:$AA$20)*(1-实盘持仓初始配置!$Z$5)^(('实盘净值数据(iFinD公式)'!$A943-'实盘净值数据(iFinD公式)'!$A$5)/365))</x:f>
        <x:v>#NAME?</x:v>
      </x:c>
      <x:c r="F943" s="152" t="e">
        <x:f>IF(OR(E942="",E943=""),"",E943/E942-1)</x:f>
        <x:v>#NAME?</x:v>
      </x:c>
      <x:c r="G943" s="152" t="e">
        <x:f>IF(E943="","",E943/MAX(E$5:E943)-1)</x:f>
        <x:v>#NAME?</x:v>
      </x:c>
      <x:c r="H943" s="146" t="e">
        <x:f>IF(OR('实盘净值数据(iFinD公式)'!$A943="",'实盘净值数据(iFinD公式)'!$B943=""),"",分期持仓明细!$AD$19*SUMPRODUCT(分期持仓明细!$B$19:$AA$19,'实盘净值数据(iFinD公式)'!$B943:$AA943/'实盘净值数据(iFinD公式)'!$B$20:$AA$20)*(1-实盘持仓初始配置!$Z$6)^(('实盘净值数据(iFinD公式)'!$A943-'实盘净值数据(iFinD公式)'!$A$7)/365))</x:f>
        <x:v>#NAME?</x:v>
      </x:c>
      <x:c r="I943" s="152" t="e">
        <x:f>IF(OR(H942="",H943=""),"",H943/H942-1)</x:f>
        <x:v>#NAME?</x:v>
      </x:c>
      <x:c r="J943" s="152" t="e">
        <x:f>IF(H943="","",H943/MAX(H$5:H943)-1)</x:f>
        <x:v>#NAME?</x:v>
      </x:c>
      <x:c r="K943" s="146" t="e">
        <x:f>IF(OR('实盘净值数据(iFinD公式)'!$A943="",'实盘净值数据(iFinD公式)'!$B943=""),"",分期持仓明细!$AD$23*SUMPRODUCT(分期持仓明细!$B$23:$AA$23,'实盘净值数据(iFinD公式)'!$B943:$AA943/'实盘净值数据(iFinD公式)'!$B$65:$AA$65)*(1-实盘持仓初始配置!$Z$7)^(('实盘净值数据(iFinD公式)'!$A943-'实盘净值数据(iFinD公式)'!$A$8)/365))</x:f>
        <x:v>#NAME?</x:v>
      </x:c>
      <x:c r="L943" s="152" t="e">
        <x:f>IF(OR(K942="",K943=""),"",K943/K942-1)</x:f>
        <x:v>#NAME?</x:v>
      </x:c>
      <x:c r="M943" s="152" t="e">
        <x:f>IF(K943="","",K943/MAX(K$5:K943)-1)</x:f>
        <x:v>#NAME?</x:v>
      </x:c>
      <x:c r="N943" s="146" t="e">
        <x:f>IF(OR('实盘净值数据(iFinD公式)'!$A943="",'实盘净值数据(iFinD公式)'!$B943=""),"",分期持仓明细!$AD$24*SUMPRODUCT(分期持仓明细!$B$24:$AA$24,'实盘净值数据(iFinD公式)'!$B943:$AA943/'实盘净值数据(iFinD公式)'!$B$65:$AA$65)*(1-实盘持仓初始配置!$Z$8)^(('实盘净值数据(iFinD公式)'!$A943-'实盘净值数据(iFinD公式)'!$A$5)/365))</x:f>
        <x:v>#NAME?</x:v>
      </x:c>
      <x:c r="O943" s="152" t="e">
        <x:f>IF(OR(N942="",N943=""),"",N943/N942-1)</x:f>
        <x:v>#NAME?</x:v>
      </x:c>
      <x:c r="P943" s="152" t="e">
        <x:f>IF(N943="","",N943/MAX(N$5:N943)-1)</x:f>
        <x:v>#NAME?</x:v>
      </x:c>
      <x:c r="Q943" s="146" t="e">
        <x:f>IF(OR('实盘净值数据(iFinD公式)'!$A943="",'实盘净值数据(iFinD公式)'!$B943=""),"",分期持仓明细!$AD$25*SUMPRODUCT(分期持仓明细!$B$25:$AA$25,'实盘净值数据(iFinD公式)'!$B943:$AA943/'实盘净值数据(iFinD公式)'!$B$65:$AA$65)*(1-实盘持仓初始配置!$Z$9)^(('实盘净值数据(iFinD公式)'!$A943-'实盘净值数据(iFinD公式)'!$A$8)/365))</x:f>
        <x:v>#NAME?</x:v>
      </x:c>
      <x:c r="R943" s="152" t="e">
        <x:f>IF(OR(Q942="",Q943=""),"",Q943/Q942-1)</x:f>
        <x:v>#NAME?</x:v>
      </x:c>
      <x:c r="S943" s="152" t="e">
        <x:f>IF(Q943="","",Q943/MAX(Q$5:Q943)-1)</x:f>
        <x:v>#NAME?</x:v>
      </x:c>
    </x:row>
    <x:row r="944">
      <x:c r="A944" s="149" t="str">
        <x:f>IF('实盘净值数据(iFinD公式)'!A944="","",'实盘净值数据(iFinD公式)'!A944)</x:f>
      </x:c>
      <x:c r="B944" s="146" t="e">
        <x:f>IF(OR('实盘净值数据(iFinD公式)'!$A944="",'实盘净值数据(iFinD公式)'!$B944=""),"",分期持仓明细!$AD$17*SUMPRODUCT(分期持仓明细!$B$17:$AA$17,'实盘净值数据(iFinD公式)'!$B944:$AA944/'实盘净值数据(iFinD公式)'!$B$20:$AA$20)*(1-实盘持仓初始配置!$Z$4)^(('实盘净值数据(iFinD公式)'!$A944-'实盘净值数据(iFinD公式)'!$A$6)/365))</x:f>
        <x:v>#NAME?</x:v>
      </x:c>
      <x:c r="C944" s="152" t="e">
        <x:f>IF(OR(B943="",B944=""),"",B944/B943-1)</x:f>
        <x:v>#NAME?</x:v>
      </x:c>
      <x:c r="D944" s="152" t="e">
        <x:f>IF(B944="","",B944/MAX(B$5:B944)-1)</x:f>
        <x:v>#NAME?</x:v>
      </x:c>
      <x:c r="E944" s="146" t="e">
        <x:f>IF(OR('实盘净值数据(iFinD公式)'!$A944="",'实盘净值数据(iFinD公式)'!$B944=""),"",分期持仓明细!$AD$18*SUMPRODUCT(分期持仓明细!$B$18:$AA$18,'实盘净值数据(iFinD公式)'!$B944:$AA944/'实盘净值数据(iFinD公式)'!$B$20:$AA$20)*(1-实盘持仓初始配置!$Z$5)^(('实盘净值数据(iFinD公式)'!$A944-'实盘净值数据(iFinD公式)'!$A$5)/365))</x:f>
        <x:v>#NAME?</x:v>
      </x:c>
      <x:c r="F944" s="152" t="e">
        <x:f>IF(OR(E943="",E944=""),"",E944/E943-1)</x:f>
        <x:v>#NAME?</x:v>
      </x:c>
      <x:c r="G944" s="152" t="e">
        <x:f>IF(E944="","",E944/MAX(E$5:E944)-1)</x:f>
        <x:v>#NAME?</x:v>
      </x:c>
      <x:c r="H944" s="146" t="e">
        <x:f>IF(OR('实盘净值数据(iFinD公式)'!$A944="",'实盘净值数据(iFinD公式)'!$B944=""),"",分期持仓明细!$AD$19*SUMPRODUCT(分期持仓明细!$B$19:$AA$19,'实盘净值数据(iFinD公式)'!$B944:$AA944/'实盘净值数据(iFinD公式)'!$B$20:$AA$20)*(1-实盘持仓初始配置!$Z$6)^(('实盘净值数据(iFinD公式)'!$A944-'实盘净值数据(iFinD公式)'!$A$7)/365))</x:f>
        <x:v>#NAME?</x:v>
      </x:c>
      <x:c r="I944" s="152" t="e">
        <x:f>IF(OR(H943="",H944=""),"",H944/H943-1)</x:f>
        <x:v>#NAME?</x:v>
      </x:c>
      <x:c r="J944" s="152" t="e">
        <x:f>IF(H944="","",H944/MAX(H$5:H944)-1)</x:f>
        <x:v>#NAME?</x:v>
      </x:c>
      <x:c r="K944" s="146" t="e">
        <x:f>IF(OR('实盘净值数据(iFinD公式)'!$A944="",'实盘净值数据(iFinD公式)'!$B944=""),"",分期持仓明细!$AD$23*SUMPRODUCT(分期持仓明细!$B$23:$AA$23,'实盘净值数据(iFinD公式)'!$B944:$AA944/'实盘净值数据(iFinD公式)'!$B$65:$AA$65)*(1-实盘持仓初始配置!$Z$7)^(('实盘净值数据(iFinD公式)'!$A944-'实盘净值数据(iFinD公式)'!$A$8)/365))</x:f>
        <x:v>#NAME?</x:v>
      </x:c>
      <x:c r="L944" s="152" t="e">
        <x:f>IF(OR(K943="",K944=""),"",K944/K943-1)</x:f>
        <x:v>#NAME?</x:v>
      </x:c>
      <x:c r="M944" s="152" t="e">
        <x:f>IF(K944="","",K944/MAX(K$5:K944)-1)</x:f>
        <x:v>#NAME?</x:v>
      </x:c>
      <x:c r="N944" s="146" t="e">
        <x:f>IF(OR('实盘净值数据(iFinD公式)'!$A944="",'实盘净值数据(iFinD公式)'!$B944=""),"",分期持仓明细!$AD$24*SUMPRODUCT(分期持仓明细!$B$24:$AA$24,'实盘净值数据(iFinD公式)'!$B944:$AA944/'实盘净值数据(iFinD公式)'!$B$65:$AA$65)*(1-实盘持仓初始配置!$Z$8)^(('实盘净值数据(iFinD公式)'!$A944-'实盘净值数据(iFinD公式)'!$A$5)/365))</x:f>
        <x:v>#NAME?</x:v>
      </x:c>
      <x:c r="O944" s="152" t="e">
        <x:f>IF(OR(N943="",N944=""),"",N944/N943-1)</x:f>
        <x:v>#NAME?</x:v>
      </x:c>
      <x:c r="P944" s="152" t="e">
        <x:f>IF(N944="","",N944/MAX(N$5:N944)-1)</x:f>
        <x:v>#NAME?</x:v>
      </x:c>
      <x:c r="Q944" s="146" t="e">
        <x:f>IF(OR('实盘净值数据(iFinD公式)'!$A944="",'实盘净值数据(iFinD公式)'!$B944=""),"",分期持仓明细!$AD$25*SUMPRODUCT(分期持仓明细!$B$25:$AA$25,'实盘净值数据(iFinD公式)'!$B944:$AA944/'实盘净值数据(iFinD公式)'!$B$65:$AA$65)*(1-实盘持仓初始配置!$Z$9)^(('实盘净值数据(iFinD公式)'!$A944-'实盘净值数据(iFinD公式)'!$A$8)/365))</x:f>
        <x:v>#NAME?</x:v>
      </x:c>
      <x:c r="R944" s="152" t="e">
        <x:f>IF(OR(Q943="",Q944=""),"",Q944/Q943-1)</x:f>
        <x:v>#NAME?</x:v>
      </x:c>
      <x:c r="S944" s="152" t="e">
        <x:f>IF(Q944="","",Q944/MAX(Q$5:Q944)-1)</x:f>
        <x:v>#NAME?</x:v>
      </x:c>
    </x:row>
    <x:row r="945">
      <x:c r="A945" s="149" t="str">
        <x:f>IF('实盘净值数据(iFinD公式)'!A945="","",'实盘净值数据(iFinD公式)'!A945)</x:f>
      </x:c>
      <x:c r="B945" s="146" t="e">
        <x:f>IF(OR('实盘净值数据(iFinD公式)'!$A945="",'实盘净值数据(iFinD公式)'!$B945=""),"",分期持仓明细!$AD$17*SUMPRODUCT(分期持仓明细!$B$17:$AA$17,'实盘净值数据(iFinD公式)'!$B945:$AA945/'实盘净值数据(iFinD公式)'!$B$20:$AA$20)*(1-实盘持仓初始配置!$Z$4)^(('实盘净值数据(iFinD公式)'!$A945-'实盘净值数据(iFinD公式)'!$A$6)/365))</x:f>
        <x:v>#NAME?</x:v>
      </x:c>
      <x:c r="C945" s="152" t="e">
        <x:f>IF(OR(B944="",B945=""),"",B945/B944-1)</x:f>
        <x:v>#NAME?</x:v>
      </x:c>
      <x:c r="D945" s="152" t="e">
        <x:f>IF(B945="","",B945/MAX(B$5:B945)-1)</x:f>
        <x:v>#NAME?</x:v>
      </x:c>
      <x:c r="E945" s="146" t="e">
        <x:f>IF(OR('实盘净值数据(iFinD公式)'!$A945="",'实盘净值数据(iFinD公式)'!$B945=""),"",分期持仓明细!$AD$18*SUMPRODUCT(分期持仓明细!$B$18:$AA$18,'实盘净值数据(iFinD公式)'!$B945:$AA945/'实盘净值数据(iFinD公式)'!$B$20:$AA$20)*(1-实盘持仓初始配置!$Z$5)^(('实盘净值数据(iFinD公式)'!$A945-'实盘净值数据(iFinD公式)'!$A$5)/365))</x:f>
        <x:v>#NAME?</x:v>
      </x:c>
      <x:c r="F945" s="152" t="e">
        <x:f>IF(OR(E944="",E945=""),"",E945/E944-1)</x:f>
        <x:v>#NAME?</x:v>
      </x:c>
      <x:c r="G945" s="152" t="e">
        <x:f>IF(E945="","",E945/MAX(E$5:E945)-1)</x:f>
        <x:v>#NAME?</x:v>
      </x:c>
      <x:c r="H945" s="146" t="e">
        <x:f>IF(OR('实盘净值数据(iFinD公式)'!$A945="",'实盘净值数据(iFinD公式)'!$B945=""),"",分期持仓明细!$AD$19*SUMPRODUCT(分期持仓明细!$B$19:$AA$19,'实盘净值数据(iFinD公式)'!$B945:$AA945/'实盘净值数据(iFinD公式)'!$B$20:$AA$20)*(1-实盘持仓初始配置!$Z$6)^(('实盘净值数据(iFinD公式)'!$A945-'实盘净值数据(iFinD公式)'!$A$7)/365))</x:f>
        <x:v>#NAME?</x:v>
      </x:c>
      <x:c r="I945" s="152" t="e">
        <x:f>IF(OR(H944="",H945=""),"",H945/H944-1)</x:f>
        <x:v>#NAME?</x:v>
      </x:c>
      <x:c r="J945" s="152" t="e">
        <x:f>IF(H945="","",H945/MAX(H$5:H945)-1)</x:f>
        <x:v>#NAME?</x:v>
      </x:c>
      <x:c r="K945" s="146" t="e">
        <x:f>IF(OR('实盘净值数据(iFinD公式)'!$A945="",'实盘净值数据(iFinD公式)'!$B945=""),"",分期持仓明细!$AD$23*SUMPRODUCT(分期持仓明细!$B$23:$AA$23,'实盘净值数据(iFinD公式)'!$B945:$AA945/'实盘净值数据(iFinD公式)'!$B$65:$AA$65)*(1-实盘持仓初始配置!$Z$7)^(('实盘净值数据(iFinD公式)'!$A945-'实盘净值数据(iFinD公式)'!$A$8)/365))</x:f>
        <x:v>#NAME?</x:v>
      </x:c>
      <x:c r="L945" s="152" t="e">
        <x:f>IF(OR(K944="",K945=""),"",K945/K944-1)</x:f>
        <x:v>#NAME?</x:v>
      </x:c>
      <x:c r="M945" s="152" t="e">
        <x:f>IF(K945="","",K945/MAX(K$5:K945)-1)</x:f>
        <x:v>#NAME?</x:v>
      </x:c>
      <x:c r="N945" s="146" t="e">
        <x:f>IF(OR('实盘净值数据(iFinD公式)'!$A945="",'实盘净值数据(iFinD公式)'!$B945=""),"",分期持仓明细!$AD$24*SUMPRODUCT(分期持仓明细!$B$24:$AA$24,'实盘净值数据(iFinD公式)'!$B945:$AA945/'实盘净值数据(iFinD公式)'!$B$65:$AA$65)*(1-实盘持仓初始配置!$Z$8)^(('实盘净值数据(iFinD公式)'!$A945-'实盘净值数据(iFinD公式)'!$A$5)/365))</x:f>
        <x:v>#NAME?</x:v>
      </x:c>
      <x:c r="O945" s="152" t="e">
        <x:f>IF(OR(N944="",N945=""),"",N945/N944-1)</x:f>
        <x:v>#NAME?</x:v>
      </x:c>
      <x:c r="P945" s="152" t="e">
        <x:f>IF(N945="","",N945/MAX(N$5:N945)-1)</x:f>
        <x:v>#NAME?</x:v>
      </x:c>
      <x:c r="Q945" s="146" t="e">
        <x:f>IF(OR('实盘净值数据(iFinD公式)'!$A945="",'实盘净值数据(iFinD公式)'!$B945=""),"",分期持仓明细!$AD$25*SUMPRODUCT(分期持仓明细!$B$25:$AA$25,'实盘净值数据(iFinD公式)'!$B945:$AA945/'实盘净值数据(iFinD公式)'!$B$65:$AA$65)*(1-实盘持仓初始配置!$Z$9)^(('实盘净值数据(iFinD公式)'!$A945-'实盘净值数据(iFinD公式)'!$A$8)/365))</x:f>
        <x:v>#NAME?</x:v>
      </x:c>
      <x:c r="R945" s="152" t="e">
        <x:f>IF(OR(Q944="",Q945=""),"",Q945/Q944-1)</x:f>
        <x:v>#NAME?</x:v>
      </x:c>
      <x:c r="S945" s="152" t="e">
        <x:f>IF(Q945="","",Q945/MAX(Q$5:Q945)-1)</x:f>
        <x:v>#NAME?</x:v>
      </x:c>
    </x:row>
    <x:row r="946">
      <x:c r="A946" s="149" t="str">
        <x:f>IF('实盘净值数据(iFinD公式)'!A946="","",'实盘净值数据(iFinD公式)'!A946)</x:f>
      </x:c>
      <x:c r="B946" s="146" t="e">
        <x:f>IF(OR('实盘净值数据(iFinD公式)'!$A946="",'实盘净值数据(iFinD公式)'!$B946=""),"",分期持仓明细!$AD$17*SUMPRODUCT(分期持仓明细!$B$17:$AA$17,'实盘净值数据(iFinD公式)'!$B946:$AA946/'实盘净值数据(iFinD公式)'!$B$20:$AA$20)*(1-实盘持仓初始配置!$Z$4)^(('实盘净值数据(iFinD公式)'!$A946-'实盘净值数据(iFinD公式)'!$A$6)/365))</x:f>
        <x:v>#NAME?</x:v>
      </x:c>
      <x:c r="C946" s="152" t="e">
        <x:f>IF(OR(B945="",B946=""),"",B946/B945-1)</x:f>
        <x:v>#NAME?</x:v>
      </x:c>
      <x:c r="D946" s="152" t="e">
        <x:f>IF(B946="","",B946/MAX(B$5:B946)-1)</x:f>
        <x:v>#NAME?</x:v>
      </x:c>
      <x:c r="E946" s="146" t="e">
        <x:f>IF(OR('实盘净值数据(iFinD公式)'!$A946="",'实盘净值数据(iFinD公式)'!$B946=""),"",分期持仓明细!$AD$18*SUMPRODUCT(分期持仓明细!$B$18:$AA$18,'实盘净值数据(iFinD公式)'!$B946:$AA946/'实盘净值数据(iFinD公式)'!$B$20:$AA$20)*(1-实盘持仓初始配置!$Z$5)^(('实盘净值数据(iFinD公式)'!$A946-'实盘净值数据(iFinD公式)'!$A$5)/365))</x:f>
        <x:v>#NAME?</x:v>
      </x:c>
      <x:c r="F946" s="152" t="e">
        <x:f>IF(OR(E945="",E946=""),"",E946/E945-1)</x:f>
        <x:v>#NAME?</x:v>
      </x:c>
      <x:c r="G946" s="152" t="e">
        <x:f>IF(E946="","",E946/MAX(E$5:E946)-1)</x:f>
        <x:v>#NAME?</x:v>
      </x:c>
      <x:c r="H946" s="146" t="e">
        <x:f>IF(OR('实盘净值数据(iFinD公式)'!$A946="",'实盘净值数据(iFinD公式)'!$B946=""),"",分期持仓明细!$AD$19*SUMPRODUCT(分期持仓明细!$B$19:$AA$19,'实盘净值数据(iFinD公式)'!$B946:$AA946/'实盘净值数据(iFinD公式)'!$B$20:$AA$20)*(1-实盘持仓初始配置!$Z$6)^(('实盘净值数据(iFinD公式)'!$A946-'实盘净值数据(iFinD公式)'!$A$7)/365))</x:f>
        <x:v>#NAME?</x:v>
      </x:c>
      <x:c r="I946" s="152" t="e">
        <x:f>IF(OR(H945="",H946=""),"",H946/H945-1)</x:f>
        <x:v>#NAME?</x:v>
      </x:c>
      <x:c r="J946" s="152" t="e">
        <x:f>IF(H946="","",H946/MAX(H$5:H946)-1)</x:f>
        <x:v>#NAME?</x:v>
      </x:c>
      <x:c r="K946" s="146" t="e">
        <x:f>IF(OR('实盘净值数据(iFinD公式)'!$A946="",'实盘净值数据(iFinD公式)'!$B946=""),"",分期持仓明细!$AD$23*SUMPRODUCT(分期持仓明细!$B$23:$AA$23,'实盘净值数据(iFinD公式)'!$B946:$AA946/'实盘净值数据(iFinD公式)'!$B$65:$AA$65)*(1-实盘持仓初始配置!$Z$7)^(('实盘净值数据(iFinD公式)'!$A946-'实盘净值数据(iFinD公式)'!$A$8)/365))</x:f>
        <x:v>#NAME?</x:v>
      </x:c>
      <x:c r="L946" s="152" t="e">
        <x:f>IF(OR(K945="",K946=""),"",K946/K945-1)</x:f>
        <x:v>#NAME?</x:v>
      </x:c>
      <x:c r="M946" s="152" t="e">
        <x:f>IF(K946="","",K946/MAX(K$5:K946)-1)</x:f>
        <x:v>#NAME?</x:v>
      </x:c>
      <x:c r="N946" s="146" t="e">
        <x:f>IF(OR('实盘净值数据(iFinD公式)'!$A946="",'实盘净值数据(iFinD公式)'!$B946=""),"",分期持仓明细!$AD$24*SUMPRODUCT(分期持仓明细!$B$24:$AA$24,'实盘净值数据(iFinD公式)'!$B946:$AA946/'实盘净值数据(iFinD公式)'!$B$65:$AA$65)*(1-实盘持仓初始配置!$Z$8)^(('实盘净值数据(iFinD公式)'!$A946-'实盘净值数据(iFinD公式)'!$A$5)/365))</x:f>
        <x:v>#NAME?</x:v>
      </x:c>
      <x:c r="O946" s="152" t="e">
        <x:f>IF(OR(N945="",N946=""),"",N946/N945-1)</x:f>
        <x:v>#NAME?</x:v>
      </x:c>
      <x:c r="P946" s="152" t="e">
        <x:f>IF(N946="","",N946/MAX(N$5:N946)-1)</x:f>
        <x:v>#NAME?</x:v>
      </x:c>
      <x:c r="Q946" s="146" t="e">
        <x:f>IF(OR('实盘净值数据(iFinD公式)'!$A946="",'实盘净值数据(iFinD公式)'!$B946=""),"",分期持仓明细!$AD$25*SUMPRODUCT(分期持仓明细!$B$25:$AA$25,'实盘净值数据(iFinD公式)'!$B946:$AA946/'实盘净值数据(iFinD公式)'!$B$65:$AA$65)*(1-实盘持仓初始配置!$Z$9)^(('实盘净值数据(iFinD公式)'!$A946-'实盘净值数据(iFinD公式)'!$A$8)/365))</x:f>
        <x:v>#NAME?</x:v>
      </x:c>
      <x:c r="R946" s="152" t="e">
        <x:f>IF(OR(Q945="",Q946=""),"",Q946/Q945-1)</x:f>
        <x:v>#NAME?</x:v>
      </x:c>
      <x:c r="S946" s="152" t="e">
        <x:f>IF(Q946="","",Q946/MAX(Q$5:Q946)-1)</x:f>
        <x:v>#NAME?</x:v>
      </x:c>
    </x:row>
    <x:row r="947">
      <x:c r="A947" s="149" t="str">
        <x:f>IF('实盘净值数据(iFinD公式)'!A947="","",'实盘净值数据(iFinD公式)'!A947)</x:f>
      </x:c>
      <x:c r="B947" s="146" t="e">
        <x:f>IF(OR('实盘净值数据(iFinD公式)'!$A947="",'实盘净值数据(iFinD公式)'!$B947=""),"",分期持仓明细!$AD$17*SUMPRODUCT(分期持仓明细!$B$17:$AA$17,'实盘净值数据(iFinD公式)'!$B947:$AA947/'实盘净值数据(iFinD公式)'!$B$20:$AA$20)*(1-实盘持仓初始配置!$Z$4)^(('实盘净值数据(iFinD公式)'!$A947-'实盘净值数据(iFinD公式)'!$A$6)/365))</x:f>
        <x:v>#NAME?</x:v>
      </x:c>
      <x:c r="C947" s="152" t="e">
        <x:f>IF(OR(B946="",B947=""),"",B947/B946-1)</x:f>
        <x:v>#NAME?</x:v>
      </x:c>
      <x:c r="D947" s="152" t="e">
        <x:f>IF(B947="","",B947/MAX(B$5:B947)-1)</x:f>
        <x:v>#NAME?</x:v>
      </x:c>
      <x:c r="E947" s="146" t="e">
        <x:f>IF(OR('实盘净值数据(iFinD公式)'!$A947="",'实盘净值数据(iFinD公式)'!$B947=""),"",分期持仓明细!$AD$18*SUMPRODUCT(分期持仓明细!$B$18:$AA$18,'实盘净值数据(iFinD公式)'!$B947:$AA947/'实盘净值数据(iFinD公式)'!$B$20:$AA$20)*(1-实盘持仓初始配置!$Z$5)^(('实盘净值数据(iFinD公式)'!$A947-'实盘净值数据(iFinD公式)'!$A$5)/365))</x:f>
        <x:v>#NAME?</x:v>
      </x:c>
      <x:c r="F947" s="152" t="e">
        <x:f>IF(OR(E946="",E947=""),"",E947/E946-1)</x:f>
        <x:v>#NAME?</x:v>
      </x:c>
      <x:c r="G947" s="152" t="e">
        <x:f>IF(E947="","",E947/MAX(E$5:E947)-1)</x:f>
        <x:v>#NAME?</x:v>
      </x:c>
      <x:c r="H947" s="146" t="e">
        <x:f>IF(OR('实盘净值数据(iFinD公式)'!$A947="",'实盘净值数据(iFinD公式)'!$B947=""),"",分期持仓明细!$AD$19*SUMPRODUCT(分期持仓明细!$B$19:$AA$19,'实盘净值数据(iFinD公式)'!$B947:$AA947/'实盘净值数据(iFinD公式)'!$B$20:$AA$20)*(1-实盘持仓初始配置!$Z$6)^(('实盘净值数据(iFinD公式)'!$A947-'实盘净值数据(iFinD公式)'!$A$7)/365))</x:f>
        <x:v>#NAME?</x:v>
      </x:c>
      <x:c r="I947" s="152" t="e">
        <x:f>IF(OR(H946="",H947=""),"",H947/H946-1)</x:f>
        <x:v>#NAME?</x:v>
      </x:c>
      <x:c r="J947" s="152" t="e">
        <x:f>IF(H947="","",H947/MAX(H$5:H947)-1)</x:f>
        <x:v>#NAME?</x:v>
      </x:c>
      <x:c r="K947" s="146" t="e">
        <x:f>IF(OR('实盘净值数据(iFinD公式)'!$A947="",'实盘净值数据(iFinD公式)'!$B947=""),"",分期持仓明细!$AD$23*SUMPRODUCT(分期持仓明细!$B$23:$AA$23,'实盘净值数据(iFinD公式)'!$B947:$AA947/'实盘净值数据(iFinD公式)'!$B$65:$AA$65)*(1-实盘持仓初始配置!$Z$7)^(('实盘净值数据(iFinD公式)'!$A947-'实盘净值数据(iFinD公式)'!$A$8)/365))</x:f>
        <x:v>#NAME?</x:v>
      </x:c>
      <x:c r="L947" s="152" t="e">
        <x:f>IF(OR(K946="",K947=""),"",K947/K946-1)</x:f>
        <x:v>#NAME?</x:v>
      </x:c>
      <x:c r="M947" s="152" t="e">
        <x:f>IF(K947="","",K947/MAX(K$5:K947)-1)</x:f>
        <x:v>#NAME?</x:v>
      </x:c>
      <x:c r="N947" s="146" t="e">
        <x:f>IF(OR('实盘净值数据(iFinD公式)'!$A947="",'实盘净值数据(iFinD公式)'!$B947=""),"",分期持仓明细!$AD$24*SUMPRODUCT(分期持仓明细!$B$24:$AA$24,'实盘净值数据(iFinD公式)'!$B947:$AA947/'实盘净值数据(iFinD公式)'!$B$65:$AA$65)*(1-实盘持仓初始配置!$Z$8)^(('实盘净值数据(iFinD公式)'!$A947-'实盘净值数据(iFinD公式)'!$A$5)/365))</x:f>
        <x:v>#NAME?</x:v>
      </x:c>
      <x:c r="O947" s="152" t="e">
        <x:f>IF(OR(N946="",N947=""),"",N947/N946-1)</x:f>
        <x:v>#NAME?</x:v>
      </x:c>
      <x:c r="P947" s="152" t="e">
        <x:f>IF(N947="","",N947/MAX(N$5:N947)-1)</x:f>
        <x:v>#NAME?</x:v>
      </x:c>
      <x:c r="Q947" s="146" t="e">
        <x:f>IF(OR('实盘净值数据(iFinD公式)'!$A947="",'实盘净值数据(iFinD公式)'!$B947=""),"",分期持仓明细!$AD$25*SUMPRODUCT(分期持仓明细!$B$25:$AA$25,'实盘净值数据(iFinD公式)'!$B947:$AA947/'实盘净值数据(iFinD公式)'!$B$65:$AA$65)*(1-实盘持仓初始配置!$Z$9)^(('实盘净值数据(iFinD公式)'!$A947-'实盘净值数据(iFinD公式)'!$A$8)/365))</x:f>
        <x:v>#NAME?</x:v>
      </x:c>
      <x:c r="R947" s="152" t="e">
        <x:f>IF(OR(Q946="",Q947=""),"",Q947/Q946-1)</x:f>
        <x:v>#NAME?</x:v>
      </x:c>
      <x:c r="S947" s="152" t="e">
        <x:f>IF(Q947="","",Q947/MAX(Q$5:Q947)-1)</x:f>
        <x:v>#NAME?</x:v>
      </x:c>
    </x:row>
    <x:row r="948">
      <x:c r="A948" s="149" t="str">
        <x:f>IF('实盘净值数据(iFinD公式)'!A948="","",'实盘净值数据(iFinD公式)'!A948)</x:f>
      </x:c>
      <x:c r="B948" s="146" t="e">
        <x:f>IF(OR('实盘净值数据(iFinD公式)'!$A948="",'实盘净值数据(iFinD公式)'!$B948=""),"",分期持仓明细!$AD$17*SUMPRODUCT(分期持仓明细!$B$17:$AA$17,'实盘净值数据(iFinD公式)'!$B948:$AA948/'实盘净值数据(iFinD公式)'!$B$20:$AA$20)*(1-实盘持仓初始配置!$Z$4)^(('实盘净值数据(iFinD公式)'!$A948-'实盘净值数据(iFinD公式)'!$A$6)/365))</x:f>
        <x:v>#NAME?</x:v>
      </x:c>
      <x:c r="C948" s="152" t="e">
        <x:f>IF(OR(B947="",B948=""),"",B948/B947-1)</x:f>
        <x:v>#NAME?</x:v>
      </x:c>
      <x:c r="D948" s="152" t="e">
        <x:f>IF(B948="","",B948/MAX(B$5:B948)-1)</x:f>
        <x:v>#NAME?</x:v>
      </x:c>
      <x:c r="E948" s="146" t="e">
        <x:f>IF(OR('实盘净值数据(iFinD公式)'!$A948="",'实盘净值数据(iFinD公式)'!$B948=""),"",分期持仓明细!$AD$18*SUMPRODUCT(分期持仓明细!$B$18:$AA$18,'实盘净值数据(iFinD公式)'!$B948:$AA948/'实盘净值数据(iFinD公式)'!$B$20:$AA$20)*(1-实盘持仓初始配置!$Z$5)^(('实盘净值数据(iFinD公式)'!$A948-'实盘净值数据(iFinD公式)'!$A$5)/365))</x:f>
        <x:v>#NAME?</x:v>
      </x:c>
      <x:c r="F948" s="152" t="e">
        <x:f>IF(OR(E947="",E948=""),"",E948/E947-1)</x:f>
        <x:v>#NAME?</x:v>
      </x:c>
      <x:c r="G948" s="152" t="e">
        <x:f>IF(E948="","",E948/MAX(E$5:E948)-1)</x:f>
        <x:v>#NAME?</x:v>
      </x:c>
      <x:c r="H948" s="146" t="e">
        <x:f>IF(OR('实盘净值数据(iFinD公式)'!$A948="",'实盘净值数据(iFinD公式)'!$B948=""),"",分期持仓明细!$AD$19*SUMPRODUCT(分期持仓明细!$B$19:$AA$19,'实盘净值数据(iFinD公式)'!$B948:$AA948/'实盘净值数据(iFinD公式)'!$B$20:$AA$20)*(1-实盘持仓初始配置!$Z$6)^(('实盘净值数据(iFinD公式)'!$A948-'实盘净值数据(iFinD公式)'!$A$7)/365))</x:f>
        <x:v>#NAME?</x:v>
      </x:c>
      <x:c r="I948" s="152" t="e">
        <x:f>IF(OR(H947="",H948=""),"",H948/H947-1)</x:f>
        <x:v>#NAME?</x:v>
      </x:c>
      <x:c r="J948" s="152" t="e">
        <x:f>IF(H948="","",H948/MAX(H$5:H948)-1)</x:f>
        <x:v>#NAME?</x:v>
      </x:c>
      <x:c r="K948" s="146" t="e">
        <x:f>IF(OR('实盘净值数据(iFinD公式)'!$A948="",'实盘净值数据(iFinD公式)'!$B948=""),"",分期持仓明细!$AD$23*SUMPRODUCT(分期持仓明细!$B$23:$AA$23,'实盘净值数据(iFinD公式)'!$B948:$AA948/'实盘净值数据(iFinD公式)'!$B$65:$AA$65)*(1-实盘持仓初始配置!$Z$7)^(('实盘净值数据(iFinD公式)'!$A948-'实盘净值数据(iFinD公式)'!$A$8)/365))</x:f>
        <x:v>#NAME?</x:v>
      </x:c>
      <x:c r="L948" s="152" t="e">
        <x:f>IF(OR(K947="",K948=""),"",K948/K947-1)</x:f>
        <x:v>#NAME?</x:v>
      </x:c>
      <x:c r="M948" s="152" t="e">
        <x:f>IF(K948="","",K948/MAX(K$5:K948)-1)</x:f>
        <x:v>#NAME?</x:v>
      </x:c>
      <x:c r="N948" s="146" t="e">
        <x:f>IF(OR('实盘净值数据(iFinD公式)'!$A948="",'实盘净值数据(iFinD公式)'!$B948=""),"",分期持仓明细!$AD$24*SUMPRODUCT(分期持仓明细!$B$24:$AA$24,'实盘净值数据(iFinD公式)'!$B948:$AA948/'实盘净值数据(iFinD公式)'!$B$65:$AA$65)*(1-实盘持仓初始配置!$Z$8)^(('实盘净值数据(iFinD公式)'!$A948-'实盘净值数据(iFinD公式)'!$A$5)/365))</x:f>
        <x:v>#NAME?</x:v>
      </x:c>
      <x:c r="O948" s="152" t="e">
        <x:f>IF(OR(N947="",N948=""),"",N948/N947-1)</x:f>
        <x:v>#NAME?</x:v>
      </x:c>
      <x:c r="P948" s="152" t="e">
        <x:f>IF(N948="","",N948/MAX(N$5:N948)-1)</x:f>
        <x:v>#NAME?</x:v>
      </x:c>
      <x:c r="Q948" s="146" t="e">
        <x:f>IF(OR('实盘净值数据(iFinD公式)'!$A948="",'实盘净值数据(iFinD公式)'!$B948=""),"",分期持仓明细!$AD$25*SUMPRODUCT(分期持仓明细!$B$25:$AA$25,'实盘净值数据(iFinD公式)'!$B948:$AA948/'实盘净值数据(iFinD公式)'!$B$65:$AA$65)*(1-实盘持仓初始配置!$Z$9)^(('实盘净值数据(iFinD公式)'!$A948-'实盘净值数据(iFinD公式)'!$A$8)/365))</x:f>
        <x:v>#NAME?</x:v>
      </x:c>
      <x:c r="R948" s="152" t="e">
        <x:f>IF(OR(Q947="",Q948=""),"",Q948/Q947-1)</x:f>
        <x:v>#NAME?</x:v>
      </x:c>
      <x:c r="S948" s="152" t="e">
        <x:f>IF(Q948="","",Q948/MAX(Q$5:Q948)-1)</x:f>
        <x:v>#NAME?</x:v>
      </x:c>
    </x:row>
    <x:row r="949">
      <x:c r="A949" s="149" t="str">
        <x:f>IF('实盘净值数据(iFinD公式)'!A949="","",'实盘净值数据(iFinD公式)'!A949)</x:f>
      </x:c>
      <x:c r="B949" s="146" t="e">
        <x:f>IF(OR('实盘净值数据(iFinD公式)'!$A949="",'实盘净值数据(iFinD公式)'!$B949=""),"",分期持仓明细!$AD$17*SUMPRODUCT(分期持仓明细!$B$17:$AA$17,'实盘净值数据(iFinD公式)'!$B949:$AA949/'实盘净值数据(iFinD公式)'!$B$20:$AA$20)*(1-实盘持仓初始配置!$Z$4)^(('实盘净值数据(iFinD公式)'!$A949-'实盘净值数据(iFinD公式)'!$A$6)/365))</x:f>
        <x:v>#NAME?</x:v>
      </x:c>
      <x:c r="C949" s="152" t="e">
        <x:f>IF(OR(B948="",B949=""),"",B949/B948-1)</x:f>
        <x:v>#NAME?</x:v>
      </x:c>
      <x:c r="D949" s="152" t="e">
        <x:f>IF(B949="","",B949/MAX(B$5:B949)-1)</x:f>
        <x:v>#NAME?</x:v>
      </x:c>
      <x:c r="E949" s="146" t="e">
        <x:f>IF(OR('实盘净值数据(iFinD公式)'!$A949="",'实盘净值数据(iFinD公式)'!$B949=""),"",分期持仓明细!$AD$18*SUMPRODUCT(分期持仓明细!$B$18:$AA$18,'实盘净值数据(iFinD公式)'!$B949:$AA949/'实盘净值数据(iFinD公式)'!$B$20:$AA$20)*(1-实盘持仓初始配置!$Z$5)^(('实盘净值数据(iFinD公式)'!$A949-'实盘净值数据(iFinD公式)'!$A$5)/365))</x:f>
        <x:v>#NAME?</x:v>
      </x:c>
      <x:c r="F949" s="152" t="e">
        <x:f>IF(OR(E948="",E949=""),"",E949/E948-1)</x:f>
        <x:v>#NAME?</x:v>
      </x:c>
      <x:c r="G949" s="152" t="e">
        <x:f>IF(E949="","",E949/MAX(E$5:E949)-1)</x:f>
        <x:v>#NAME?</x:v>
      </x:c>
      <x:c r="H949" s="146" t="e">
        <x:f>IF(OR('实盘净值数据(iFinD公式)'!$A949="",'实盘净值数据(iFinD公式)'!$B949=""),"",分期持仓明细!$AD$19*SUMPRODUCT(分期持仓明细!$B$19:$AA$19,'实盘净值数据(iFinD公式)'!$B949:$AA949/'实盘净值数据(iFinD公式)'!$B$20:$AA$20)*(1-实盘持仓初始配置!$Z$6)^(('实盘净值数据(iFinD公式)'!$A949-'实盘净值数据(iFinD公式)'!$A$7)/365))</x:f>
        <x:v>#NAME?</x:v>
      </x:c>
      <x:c r="I949" s="152" t="e">
        <x:f>IF(OR(H948="",H949=""),"",H949/H948-1)</x:f>
        <x:v>#NAME?</x:v>
      </x:c>
      <x:c r="J949" s="152" t="e">
        <x:f>IF(H949="","",H949/MAX(H$5:H949)-1)</x:f>
        <x:v>#NAME?</x:v>
      </x:c>
      <x:c r="K949" s="146" t="e">
        <x:f>IF(OR('实盘净值数据(iFinD公式)'!$A949="",'实盘净值数据(iFinD公式)'!$B949=""),"",分期持仓明细!$AD$23*SUMPRODUCT(分期持仓明细!$B$23:$AA$23,'实盘净值数据(iFinD公式)'!$B949:$AA949/'实盘净值数据(iFinD公式)'!$B$65:$AA$65)*(1-实盘持仓初始配置!$Z$7)^(('实盘净值数据(iFinD公式)'!$A949-'实盘净值数据(iFinD公式)'!$A$8)/365))</x:f>
        <x:v>#NAME?</x:v>
      </x:c>
      <x:c r="L949" s="152" t="e">
        <x:f>IF(OR(K948="",K949=""),"",K949/K948-1)</x:f>
        <x:v>#NAME?</x:v>
      </x:c>
      <x:c r="M949" s="152" t="e">
        <x:f>IF(K949="","",K949/MAX(K$5:K949)-1)</x:f>
        <x:v>#NAME?</x:v>
      </x:c>
      <x:c r="N949" s="146" t="e">
        <x:f>IF(OR('实盘净值数据(iFinD公式)'!$A949="",'实盘净值数据(iFinD公式)'!$B949=""),"",分期持仓明细!$AD$24*SUMPRODUCT(分期持仓明细!$B$24:$AA$24,'实盘净值数据(iFinD公式)'!$B949:$AA949/'实盘净值数据(iFinD公式)'!$B$65:$AA$65)*(1-实盘持仓初始配置!$Z$8)^(('实盘净值数据(iFinD公式)'!$A949-'实盘净值数据(iFinD公式)'!$A$5)/365))</x:f>
        <x:v>#NAME?</x:v>
      </x:c>
      <x:c r="O949" s="152" t="e">
        <x:f>IF(OR(N948="",N949=""),"",N949/N948-1)</x:f>
        <x:v>#NAME?</x:v>
      </x:c>
      <x:c r="P949" s="152" t="e">
        <x:f>IF(N949="","",N949/MAX(N$5:N949)-1)</x:f>
        <x:v>#NAME?</x:v>
      </x:c>
      <x:c r="Q949" s="146" t="e">
        <x:f>IF(OR('实盘净值数据(iFinD公式)'!$A949="",'实盘净值数据(iFinD公式)'!$B949=""),"",分期持仓明细!$AD$25*SUMPRODUCT(分期持仓明细!$B$25:$AA$25,'实盘净值数据(iFinD公式)'!$B949:$AA949/'实盘净值数据(iFinD公式)'!$B$65:$AA$65)*(1-实盘持仓初始配置!$Z$9)^(('实盘净值数据(iFinD公式)'!$A949-'实盘净值数据(iFinD公式)'!$A$8)/365))</x:f>
        <x:v>#NAME?</x:v>
      </x:c>
      <x:c r="R949" s="152" t="e">
        <x:f>IF(OR(Q948="",Q949=""),"",Q949/Q948-1)</x:f>
        <x:v>#NAME?</x:v>
      </x:c>
      <x:c r="S949" s="152" t="e">
        <x:f>IF(Q949="","",Q949/MAX(Q$5:Q949)-1)</x:f>
        <x:v>#NAME?</x:v>
      </x:c>
    </x:row>
    <x:row r="950">
      <x:c r="A950" s="149" t="str">
        <x:f>IF('实盘净值数据(iFinD公式)'!A950="","",'实盘净值数据(iFinD公式)'!A950)</x:f>
      </x:c>
      <x:c r="B950" s="146" t="e">
        <x:f>IF(OR('实盘净值数据(iFinD公式)'!$A950="",'实盘净值数据(iFinD公式)'!$B950=""),"",分期持仓明细!$AD$17*SUMPRODUCT(分期持仓明细!$B$17:$AA$17,'实盘净值数据(iFinD公式)'!$B950:$AA950/'实盘净值数据(iFinD公式)'!$B$20:$AA$20)*(1-实盘持仓初始配置!$Z$4)^(('实盘净值数据(iFinD公式)'!$A950-'实盘净值数据(iFinD公式)'!$A$6)/365))</x:f>
        <x:v>#NAME?</x:v>
      </x:c>
      <x:c r="C950" s="152" t="e">
        <x:f>IF(OR(B949="",B950=""),"",B950/B949-1)</x:f>
        <x:v>#NAME?</x:v>
      </x:c>
      <x:c r="D950" s="152" t="e">
        <x:f>IF(B950="","",B950/MAX(B$5:B950)-1)</x:f>
        <x:v>#NAME?</x:v>
      </x:c>
      <x:c r="E950" s="146" t="e">
        <x:f>IF(OR('实盘净值数据(iFinD公式)'!$A950="",'实盘净值数据(iFinD公式)'!$B950=""),"",分期持仓明细!$AD$18*SUMPRODUCT(分期持仓明细!$B$18:$AA$18,'实盘净值数据(iFinD公式)'!$B950:$AA950/'实盘净值数据(iFinD公式)'!$B$20:$AA$20)*(1-实盘持仓初始配置!$Z$5)^(('实盘净值数据(iFinD公式)'!$A950-'实盘净值数据(iFinD公式)'!$A$5)/365))</x:f>
        <x:v>#NAME?</x:v>
      </x:c>
      <x:c r="F950" s="152" t="e">
        <x:f>IF(OR(E949="",E950=""),"",E950/E949-1)</x:f>
        <x:v>#NAME?</x:v>
      </x:c>
      <x:c r="G950" s="152" t="e">
        <x:f>IF(E950="","",E950/MAX(E$5:E950)-1)</x:f>
        <x:v>#NAME?</x:v>
      </x:c>
      <x:c r="H950" s="146" t="e">
        <x:f>IF(OR('实盘净值数据(iFinD公式)'!$A950="",'实盘净值数据(iFinD公式)'!$B950=""),"",分期持仓明细!$AD$19*SUMPRODUCT(分期持仓明细!$B$19:$AA$19,'实盘净值数据(iFinD公式)'!$B950:$AA950/'实盘净值数据(iFinD公式)'!$B$20:$AA$20)*(1-实盘持仓初始配置!$Z$6)^(('实盘净值数据(iFinD公式)'!$A950-'实盘净值数据(iFinD公式)'!$A$7)/365))</x:f>
        <x:v>#NAME?</x:v>
      </x:c>
      <x:c r="I950" s="152" t="e">
        <x:f>IF(OR(H949="",H950=""),"",H950/H949-1)</x:f>
        <x:v>#NAME?</x:v>
      </x:c>
      <x:c r="J950" s="152" t="e">
        <x:f>IF(H950="","",H950/MAX(H$5:H950)-1)</x:f>
        <x:v>#NAME?</x:v>
      </x:c>
      <x:c r="K950" s="146" t="e">
        <x:f>IF(OR('实盘净值数据(iFinD公式)'!$A950="",'实盘净值数据(iFinD公式)'!$B950=""),"",分期持仓明细!$AD$23*SUMPRODUCT(分期持仓明细!$B$23:$AA$23,'实盘净值数据(iFinD公式)'!$B950:$AA950/'实盘净值数据(iFinD公式)'!$B$65:$AA$65)*(1-实盘持仓初始配置!$Z$7)^(('实盘净值数据(iFinD公式)'!$A950-'实盘净值数据(iFinD公式)'!$A$8)/365))</x:f>
        <x:v>#NAME?</x:v>
      </x:c>
      <x:c r="L950" s="152" t="e">
        <x:f>IF(OR(K949="",K950=""),"",K950/K949-1)</x:f>
        <x:v>#NAME?</x:v>
      </x:c>
      <x:c r="M950" s="152" t="e">
        <x:f>IF(K950="","",K950/MAX(K$5:K950)-1)</x:f>
        <x:v>#NAME?</x:v>
      </x:c>
      <x:c r="N950" s="146" t="e">
        <x:f>IF(OR('实盘净值数据(iFinD公式)'!$A950="",'实盘净值数据(iFinD公式)'!$B950=""),"",分期持仓明细!$AD$24*SUMPRODUCT(分期持仓明细!$B$24:$AA$24,'实盘净值数据(iFinD公式)'!$B950:$AA950/'实盘净值数据(iFinD公式)'!$B$65:$AA$65)*(1-实盘持仓初始配置!$Z$8)^(('实盘净值数据(iFinD公式)'!$A950-'实盘净值数据(iFinD公式)'!$A$5)/365))</x:f>
        <x:v>#NAME?</x:v>
      </x:c>
      <x:c r="O950" s="152" t="e">
        <x:f>IF(OR(N949="",N950=""),"",N950/N949-1)</x:f>
        <x:v>#NAME?</x:v>
      </x:c>
      <x:c r="P950" s="152" t="e">
        <x:f>IF(N950="","",N950/MAX(N$5:N950)-1)</x:f>
        <x:v>#NAME?</x:v>
      </x:c>
      <x:c r="Q950" s="146" t="e">
        <x:f>IF(OR('实盘净值数据(iFinD公式)'!$A950="",'实盘净值数据(iFinD公式)'!$B950=""),"",分期持仓明细!$AD$25*SUMPRODUCT(分期持仓明细!$B$25:$AA$25,'实盘净值数据(iFinD公式)'!$B950:$AA950/'实盘净值数据(iFinD公式)'!$B$65:$AA$65)*(1-实盘持仓初始配置!$Z$9)^(('实盘净值数据(iFinD公式)'!$A950-'实盘净值数据(iFinD公式)'!$A$8)/365))</x:f>
        <x:v>#NAME?</x:v>
      </x:c>
      <x:c r="R950" s="152" t="e">
        <x:f>IF(OR(Q949="",Q950=""),"",Q950/Q949-1)</x:f>
        <x:v>#NAME?</x:v>
      </x:c>
      <x:c r="S950" s="152" t="e">
        <x:f>IF(Q950="","",Q950/MAX(Q$5:Q950)-1)</x:f>
        <x:v>#NAME?</x:v>
      </x:c>
    </x:row>
    <x:row r="951">
      <x:c r="A951" s="149" t="str">
        <x:f>IF('实盘净值数据(iFinD公式)'!A951="","",'实盘净值数据(iFinD公式)'!A951)</x:f>
      </x:c>
      <x:c r="B951" s="146" t="e">
        <x:f>IF(OR('实盘净值数据(iFinD公式)'!$A951="",'实盘净值数据(iFinD公式)'!$B951=""),"",分期持仓明细!$AD$17*SUMPRODUCT(分期持仓明细!$B$17:$AA$17,'实盘净值数据(iFinD公式)'!$B951:$AA951/'实盘净值数据(iFinD公式)'!$B$20:$AA$20)*(1-实盘持仓初始配置!$Z$4)^(('实盘净值数据(iFinD公式)'!$A951-'实盘净值数据(iFinD公式)'!$A$6)/365))</x:f>
        <x:v>#NAME?</x:v>
      </x:c>
      <x:c r="C951" s="152" t="e">
        <x:f>IF(OR(B950="",B951=""),"",B951/B950-1)</x:f>
        <x:v>#NAME?</x:v>
      </x:c>
      <x:c r="D951" s="152" t="e">
        <x:f>IF(B951="","",B951/MAX(B$5:B951)-1)</x:f>
        <x:v>#NAME?</x:v>
      </x:c>
      <x:c r="E951" s="146" t="e">
        <x:f>IF(OR('实盘净值数据(iFinD公式)'!$A951="",'实盘净值数据(iFinD公式)'!$B951=""),"",分期持仓明细!$AD$18*SUMPRODUCT(分期持仓明细!$B$18:$AA$18,'实盘净值数据(iFinD公式)'!$B951:$AA951/'实盘净值数据(iFinD公式)'!$B$20:$AA$20)*(1-实盘持仓初始配置!$Z$5)^(('实盘净值数据(iFinD公式)'!$A951-'实盘净值数据(iFinD公式)'!$A$5)/365))</x:f>
        <x:v>#NAME?</x:v>
      </x:c>
      <x:c r="F951" s="152" t="e">
        <x:f>IF(OR(E950="",E951=""),"",E951/E950-1)</x:f>
        <x:v>#NAME?</x:v>
      </x:c>
      <x:c r="G951" s="152" t="e">
        <x:f>IF(E951="","",E951/MAX(E$5:E951)-1)</x:f>
        <x:v>#NAME?</x:v>
      </x:c>
      <x:c r="H951" s="146" t="e">
        <x:f>IF(OR('实盘净值数据(iFinD公式)'!$A951="",'实盘净值数据(iFinD公式)'!$B951=""),"",分期持仓明细!$AD$19*SUMPRODUCT(分期持仓明细!$B$19:$AA$19,'实盘净值数据(iFinD公式)'!$B951:$AA951/'实盘净值数据(iFinD公式)'!$B$20:$AA$20)*(1-实盘持仓初始配置!$Z$6)^(('实盘净值数据(iFinD公式)'!$A951-'实盘净值数据(iFinD公式)'!$A$7)/365))</x:f>
        <x:v>#NAME?</x:v>
      </x:c>
      <x:c r="I951" s="152" t="e">
        <x:f>IF(OR(H950="",H951=""),"",H951/H950-1)</x:f>
        <x:v>#NAME?</x:v>
      </x:c>
      <x:c r="J951" s="152" t="e">
        <x:f>IF(H951="","",H951/MAX(H$5:H951)-1)</x:f>
        <x:v>#NAME?</x:v>
      </x:c>
      <x:c r="K951" s="146" t="e">
        <x:f>IF(OR('实盘净值数据(iFinD公式)'!$A951="",'实盘净值数据(iFinD公式)'!$B951=""),"",分期持仓明细!$AD$23*SUMPRODUCT(分期持仓明细!$B$23:$AA$23,'实盘净值数据(iFinD公式)'!$B951:$AA951/'实盘净值数据(iFinD公式)'!$B$65:$AA$65)*(1-实盘持仓初始配置!$Z$7)^(('实盘净值数据(iFinD公式)'!$A951-'实盘净值数据(iFinD公式)'!$A$8)/365))</x:f>
        <x:v>#NAME?</x:v>
      </x:c>
      <x:c r="L951" s="152" t="e">
        <x:f>IF(OR(K950="",K951=""),"",K951/K950-1)</x:f>
        <x:v>#NAME?</x:v>
      </x:c>
      <x:c r="M951" s="152" t="e">
        <x:f>IF(K951="","",K951/MAX(K$5:K951)-1)</x:f>
        <x:v>#NAME?</x:v>
      </x:c>
      <x:c r="N951" s="146" t="e">
        <x:f>IF(OR('实盘净值数据(iFinD公式)'!$A951="",'实盘净值数据(iFinD公式)'!$B951=""),"",分期持仓明细!$AD$24*SUMPRODUCT(分期持仓明细!$B$24:$AA$24,'实盘净值数据(iFinD公式)'!$B951:$AA951/'实盘净值数据(iFinD公式)'!$B$65:$AA$65)*(1-实盘持仓初始配置!$Z$8)^(('实盘净值数据(iFinD公式)'!$A951-'实盘净值数据(iFinD公式)'!$A$5)/365))</x:f>
        <x:v>#NAME?</x:v>
      </x:c>
      <x:c r="O951" s="152" t="e">
        <x:f>IF(OR(N950="",N951=""),"",N951/N950-1)</x:f>
        <x:v>#NAME?</x:v>
      </x:c>
      <x:c r="P951" s="152" t="e">
        <x:f>IF(N951="","",N951/MAX(N$5:N951)-1)</x:f>
        <x:v>#NAME?</x:v>
      </x:c>
      <x:c r="Q951" s="146" t="e">
        <x:f>IF(OR('实盘净值数据(iFinD公式)'!$A951="",'实盘净值数据(iFinD公式)'!$B951=""),"",分期持仓明细!$AD$25*SUMPRODUCT(分期持仓明细!$B$25:$AA$25,'实盘净值数据(iFinD公式)'!$B951:$AA951/'实盘净值数据(iFinD公式)'!$B$65:$AA$65)*(1-实盘持仓初始配置!$Z$9)^(('实盘净值数据(iFinD公式)'!$A951-'实盘净值数据(iFinD公式)'!$A$8)/365))</x:f>
        <x:v>#NAME?</x:v>
      </x:c>
      <x:c r="R951" s="152" t="e">
        <x:f>IF(OR(Q950="",Q951=""),"",Q951/Q950-1)</x:f>
        <x:v>#NAME?</x:v>
      </x:c>
      <x:c r="S951" s="152" t="e">
        <x:f>IF(Q951="","",Q951/MAX(Q$5:Q951)-1)</x:f>
        <x:v>#NAME?</x:v>
      </x:c>
    </x:row>
    <x:row r="952">
      <x:c r="A952" s="149" t="str">
        <x:f>IF('实盘净值数据(iFinD公式)'!A952="","",'实盘净值数据(iFinD公式)'!A952)</x:f>
      </x:c>
      <x:c r="B952" s="146" t="e">
        <x:f>IF(OR('实盘净值数据(iFinD公式)'!$A952="",'实盘净值数据(iFinD公式)'!$B952=""),"",分期持仓明细!$AD$17*SUMPRODUCT(分期持仓明细!$B$17:$AA$17,'实盘净值数据(iFinD公式)'!$B952:$AA952/'实盘净值数据(iFinD公式)'!$B$20:$AA$20)*(1-实盘持仓初始配置!$Z$4)^(('实盘净值数据(iFinD公式)'!$A952-'实盘净值数据(iFinD公式)'!$A$6)/365))</x:f>
        <x:v>#NAME?</x:v>
      </x:c>
      <x:c r="C952" s="152" t="e">
        <x:f>IF(OR(B951="",B952=""),"",B952/B951-1)</x:f>
        <x:v>#NAME?</x:v>
      </x:c>
      <x:c r="D952" s="152" t="e">
        <x:f>IF(B952="","",B952/MAX(B$5:B952)-1)</x:f>
        <x:v>#NAME?</x:v>
      </x:c>
      <x:c r="E952" s="146" t="e">
        <x:f>IF(OR('实盘净值数据(iFinD公式)'!$A952="",'实盘净值数据(iFinD公式)'!$B952=""),"",分期持仓明细!$AD$18*SUMPRODUCT(分期持仓明细!$B$18:$AA$18,'实盘净值数据(iFinD公式)'!$B952:$AA952/'实盘净值数据(iFinD公式)'!$B$20:$AA$20)*(1-实盘持仓初始配置!$Z$5)^(('实盘净值数据(iFinD公式)'!$A952-'实盘净值数据(iFinD公式)'!$A$5)/365))</x:f>
        <x:v>#NAME?</x:v>
      </x:c>
      <x:c r="F952" s="152" t="e">
        <x:f>IF(OR(E951="",E952=""),"",E952/E951-1)</x:f>
        <x:v>#NAME?</x:v>
      </x:c>
      <x:c r="G952" s="152" t="e">
        <x:f>IF(E952="","",E952/MAX(E$5:E952)-1)</x:f>
        <x:v>#NAME?</x:v>
      </x:c>
      <x:c r="H952" s="146" t="e">
        <x:f>IF(OR('实盘净值数据(iFinD公式)'!$A952="",'实盘净值数据(iFinD公式)'!$B952=""),"",分期持仓明细!$AD$19*SUMPRODUCT(分期持仓明细!$B$19:$AA$19,'实盘净值数据(iFinD公式)'!$B952:$AA952/'实盘净值数据(iFinD公式)'!$B$20:$AA$20)*(1-实盘持仓初始配置!$Z$6)^(('实盘净值数据(iFinD公式)'!$A952-'实盘净值数据(iFinD公式)'!$A$7)/365))</x:f>
        <x:v>#NAME?</x:v>
      </x:c>
      <x:c r="I952" s="152" t="e">
        <x:f>IF(OR(H951="",H952=""),"",H952/H951-1)</x:f>
        <x:v>#NAME?</x:v>
      </x:c>
      <x:c r="J952" s="152" t="e">
        <x:f>IF(H952="","",H952/MAX(H$5:H952)-1)</x:f>
        <x:v>#NAME?</x:v>
      </x:c>
      <x:c r="K952" s="146" t="e">
        <x:f>IF(OR('实盘净值数据(iFinD公式)'!$A952="",'实盘净值数据(iFinD公式)'!$B952=""),"",分期持仓明细!$AD$23*SUMPRODUCT(分期持仓明细!$B$23:$AA$23,'实盘净值数据(iFinD公式)'!$B952:$AA952/'实盘净值数据(iFinD公式)'!$B$65:$AA$65)*(1-实盘持仓初始配置!$Z$7)^(('实盘净值数据(iFinD公式)'!$A952-'实盘净值数据(iFinD公式)'!$A$8)/365))</x:f>
        <x:v>#NAME?</x:v>
      </x:c>
      <x:c r="L952" s="152" t="e">
        <x:f>IF(OR(K951="",K952=""),"",K952/K951-1)</x:f>
        <x:v>#NAME?</x:v>
      </x:c>
      <x:c r="M952" s="152" t="e">
        <x:f>IF(K952="","",K952/MAX(K$5:K952)-1)</x:f>
        <x:v>#NAME?</x:v>
      </x:c>
      <x:c r="N952" s="146" t="e">
        <x:f>IF(OR('实盘净值数据(iFinD公式)'!$A952="",'实盘净值数据(iFinD公式)'!$B952=""),"",分期持仓明细!$AD$24*SUMPRODUCT(分期持仓明细!$B$24:$AA$24,'实盘净值数据(iFinD公式)'!$B952:$AA952/'实盘净值数据(iFinD公式)'!$B$65:$AA$65)*(1-实盘持仓初始配置!$Z$8)^(('实盘净值数据(iFinD公式)'!$A952-'实盘净值数据(iFinD公式)'!$A$5)/365))</x:f>
        <x:v>#NAME?</x:v>
      </x:c>
      <x:c r="O952" s="152" t="e">
        <x:f>IF(OR(N951="",N952=""),"",N952/N951-1)</x:f>
        <x:v>#NAME?</x:v>
      </x:c>
      <x:c r="P952" s="152" t="e">
        <x:f>IF(N952="","",N952/MAX(N$5:N952)-1)</x:f>
        <x:v>#NAME?</x:v>
      </x:c>
      <x:c r="Q952" s="146" t="e">
        <x:f>IF(OR('实盘净值数据(iFinD公式)'!$A952="",'实盘净值数据(iFinD公式)'!$B952=""),"",分期持仓明细!$AD$25*SUMPRODUCT(分期持仓明细!$B$25:$AA$25,'实盘净值数据(iFinD公式)'!$B952:$AA952/'实盘净值数据(iFinD公式)'!$B$65:$AA$65)*(1-实盘持仓初始配置!$Z$9)^(('实盘净值数据(iFinD公式)'!$A952-'实盘净值数据(iFinD公式)'!$A$8)/365))</x:f>
        <x:v>#NAME?</x:v>
      </x:c>
      <x:c r="R952" s="152" t="e">
        <x:f>IF(OR(Q951="",Q952=""),"",Q952/Q951-1)</x:f>
        <x:v>#NAME?</x:v>
      </x:c>
      <x:c r="S952" s="152" t="e">
        <x:f>IF(Q952="","",Q952/MAX(Q$5:Q952)-1)</x:f>
        <x:v>#NAME?</x:v>
      </x:c>
    </x:row>
    <x:row r="953">
      <x:c r="A953" s="149" t="str">
        <x:f>IF('实盘净值数据(iFinD公式)'!A953="","",'实盘净值数据(iFinD公式)'!A953)</x:f>
      </x:c>
      <x:c r="B953" s="146" t="e">
        <x:f>IF(OR('实盘净值数据(iFinD公式)'!$A953="",'实盘净值数据(iFinD公式)'!$B953=""),"",分期持仓明细!$AD$17*SUMPRODUCT(分期持仓明细!$B$17:$AA$17,'实盘净值数据(iFinD公式)'!$B953:$AA953/'实盘净值数据(iFinD公式)'!$B$20:$AA$20)*(1-实盘持仓初始配置!$Z$4)^(('实盘净值数据(iFinD公式)'!$A953-'实盘净值数据(iFinD公式)'!$A$6)/365))</x:f>
        <x:v>#NAME?</x:v>
      </x:c>
      <x:c r="C953" s="152" t="e">
        <x:f>IF(OR(B952="",B953=""),"",B953/B952-1)</x:f>
        <x:v>#NAME?</x:v>
      </x:c>
      <x:c r="D953" s="152" t="e">
        <x:f>IF(B953="","",B953/MAX(B$5:B953)-1)</x:f>
        <x:v>#NAME?</x:v>
      </x:c>
      <x:c r="E953" s="146" t="e">
        <x:f>IF(OR('实盘净值数据(iFinD公式)'!$A953="",'实盘净值数据(iFinD公式)'!$B953=""),"",分期持仓明细!$AD$18*SUMPRODUCT(分期持仓明细!$B$18:$AA$18,'实盘净值数据(iFinD公式)'!$B953:$AA953/'实盘净值数据(iFinD公式)'!$B$20:$AA$20)*(1-实盘持仓初始配置!$Z$5)^(('实盘净值数据(iFinD公式)'!$A953-'实盘净值数据(iFinD公式)'!$A$5)/365))</x:f>
        <x:v>#NAME?</x:v>
      </x:c>
      <x:c r="F953" s="152" t="e">
        <x:f>IF(OR(E952="",E953=""),"",E953/E952-1)</x:f>
        <x:v>#NAME?</x:v>
      </x:c>
      <x:c r="G953" s="152" t="e">
        <x:f>IF(E953="","",E953/MAX(E$5:E953)-1)</x:f>
        <x:v>#NAME?</x:v>
      </x:c>
      <x:c r="H953" s="146" t="e">
        <x:f>IF(OR('实盘净值数据(iFinD公式)'!$A953="",'实盘净值数据(iFinD公式)'!$B953=""),"",分期持仓明细!$AD$19*SUMPRODUCT(分期持仓明细!$B$19:$AA$19,'实盘净值数据(iFinD公式)'!$B953:$AA953/'实盘净值数据(iFinD公式)'!$B$20:$AA$20)*(1-实盘持仓初始配置!$Z$6)^(('实盘净值数据(iFinD公式)'!$A953-'实盘净值数据(iFinD公式)'!$A$7)/365))</x:f>
        <x:v>#NAME?</x:v>
      </x:c>
      <x:c r="I953" s="152" t="e">
        <x:f>IF(OR(H952="",H953=""),"",H953/H952-1)</x:f>
        <x:v>#NAME?</x:v>
      </x:c>
      <x:c r="J953" s="152" t="e">
        <x:f>IF(H953="","",H953/MAX(H$5:H953)-1)</x:f>
        <x:v>#NAME?</x:v>
      </x:c>
      <x:c r="K953" s="146" t="e">
        <x:f>IF(OR('实盘净值数据(iFinD公式)'!$A953="",'实盘净值数据(iFinD公式)'!$B953=""),"",分期持仓明细!$AD$23*SUMPRODUCT(分期持仓明细!$B$23:$AA$23,'实盘净值数据(iFinD公式)'!$B953:$AA953/'实盘净值数据(iFinD公式)'!$B$65:$AA$65)*(1-实盘持仓初始配置!$Z$7)^(('实盘净值数据(iFinD公式)'!$A953-'实盘净值数据(iFinD公式)'!$A$8)/365))</x:f>
        <x:v>#NAME?</x:v>
      </x:c>
      <x:c r="L953" s="152" t="e">
        <x:f>IF(OR(K952="",K953=""),"",K953/K952-1)</x:f>
        <x:v>#NAME?</x:v>
      </x:c>
      <x:c r="M953" s="152" t="e">
        <x:f>IF(K953="","",K953/MAX(K$5:K953)-1)</x:f>
        <x:v>#NAME?</x:v>
      </x:c>
      <x:c r="N953" s="146" t="e">
        <x:f>IF(OR('实盘净值数据(iFinD公式)'!$A953="",'实盘净值数据(iFinD公式)'!$B953=""),"",分期持仓明细!$AD$24*SUMPRODUCT(分期持仓明细!$B$24:$AA$24,'实盘净值数据(iFinD公式)'!$B953:$AA953/'实盘净值数据(iFinD公式)'!$B$65:$AA$65)*(1-实盘持仓初始配置!$Z$8)^(('实盘净值数据(iFinD公式)'!$A953-'实盘净值数据(iFinD公式)'!$A$5)/365))</x:f>
        <x:v>#NAME?</x:v>
      </x:c>
      <x:c r="O953" s="152" t="e">
        <x:f>IF(OR(N952="",N953=""),"",N953/N952-1)</x:f>
        <x:v>#NAME?</x:v>
      </x:c>
      <x:c r="P953" s="152" t="e">
        <x:f>IF(N953="","",N953/MAX(N$5:N953)-1)</x:f>
        <x:v>#NAME?</x:v>
      </x:c>
      <x:c r="Q953" s="146" t="e">
        <x:f>IF(OR('实盘净值数据(iFinD公式)'!$A953="",'实盘净值数据(iFinD公式)'!$B953=""),"",分期持仓明细!$AD$25*SUMPRODUCT(分期持仓明细!$B$25:$AA$25,'实盘净值数据(iFinD公式)'!$B953:$AA953/'实盘净值数据(iFinD公式)'!$B$65:$AA$65)*(1-实盘持仓初始配置!$Z$9)^(('实盘净值数据(iFinD公式)'!$A953-'实盘净值数据(iFinD公式)'!$A$8)/365))</x:f>
        <x:v>#NAME?</x:v>
      </x:c>
      <x:c r="R953" s="152" t="e">
        <x:f>IF(OR(Q952="",Q953=""),"",Q953/Q952-1)</x:f>
        <x:v>#NAME?</x:v>
      </x:c>
      <x:c r="S953" s="152" t="e">
        <x:f>IF(Q953="","",Q953/MAX(Q$5:Q953)-1)</x:f>
        <x:v>#NAME?</x:v>
      </x:c>
    </x:row>
    <x:row r="954">
      <x:c r="A954" s="149" t="str">
        <x:f>IF('实盘净值数据(iFinD公式)'!A954="","",'实盘净值数据(iFinD公式)'!A954)</x:f>
      </x:c>
      <x:c r="B954" s="146" t="e">
        <x:f>IF(OR('实盘净值数据(iFinD公式)'!$A954="",'实盘净值数据(iFinD公式)'!$B954=""),"",分期持仓明细!$AD$17*SUMPRODUCT(分期持仓明细!$B$17:$AA$17,'实盘净值数据(iFinD公式)'!$B954:$AA954/'实盘净值数据(iFinD公式)'!$B$20:$AA$20)*(1-实盘持仓初始配置!$Z$4)^(('实盘净值数据(iFinD公式)'!$A954-'实盘净值数据(iFinD公式)'!$A$6)/365))</x:f>
        <x:v>#NAME?</x:v>
      </x:c>
      <x:c r="C954" s="152" t="e">
        <x:f>IF(OR(B953="",B954=""),"",B954/B953-1)</x:f>
        <x:v>#NAME?</x:v>
      </x:c>
      <x:c r="D954" s="152" t="e">
        <x:f>IF(B954="","",B954/MAX(B$5:B954)-1)</x:f>
        <x:v>#NAME?</x:v>
      </x:c>
      <x:c r="E954" s="146" t="e">
        <x:f>IF(OR('实盘净值数据(iFinD公式)'!$A954="",'实盘净值数据(iFinD公式)'!$B954=""),"",分期持仓明细!$AD$18*SUMPRODUCT(分期持仓明细!$B$18:$AA$18,'实盘净值数据(iFinD公式)'!$B954:$AA954/'实盘净值数据(iFinD公式)'!$B$20:$AA$20)*(1-实盘持仓初始配置!$Z$5)^(('实盘净值数据(iFinD公式)'!$A954-'实盘净值数据(iFinD公式)'!$A$5)/365))</x:f>
        <x:v>#NAME?</x:v>
      </x:c>
      <x:c r="F954" s="152" t="e">
        <x:f>IF(OR(E953="",E954=""),"",E954/E953-1)</x:f>
        <x:v>#NAME?</x:v>
      </x:c>
      <x:c r="G954" s="152" t="e">
        <x:f>IF(E954="","",E954/MAX(E$5:E954)-1)</x:f>
        <x:v>#NAME?</x:v>
      </x:c>
      <x:c r="H954" s="146" t="e">
        <x:f>IF(OR('实盘净值数据(iFinD公式)'!$A954="",'实盘净值数据(iFinD公式)'!$B954=""),"",分期持仓明细!$AD$19*SUMPRODUCT(分期持仓明细!$B$19:$AA$19,'实盘净值数据(iFinD公式)'!$B954:$AA954/'实盘净值数据(iFinD公式)'!$B$20:$AA$20)*(1-实盘持仓初始配置!$Z$6)^(('实盘净值数据(iFinD公式)'!$A954-'实盘净值数据(iFinD公式)'!$A$7)/365))</x:f>
        <x:v>#NAME?</x:v>
      </x:c>
      <x:c r="I954" s="152" t="e">
        <x:f>IF(OR(H953="",H954=""),"",H954/H953-1)</x:f>
        <x:v>#NAME?</x:v>
      </x:c>
      <x:c r="J954" s="152" t="e">
        <x:f>IF(H954="","",H954/MAX(H$5:H954)-1)</x:f>
        <x:v>#NAME?</x:v>
      </x:c>
      <x:c r="K954" s="146" t="e">
        <x:f>IF(OR('实盘净值数据(iFinD公式)'!$A954="",'实盘净值数据(iFinD公式)'!$B954=""),"",分期持仓明细!$AD$23*SUMPRODUCT(分期持仓明细!$B$23:$AA$23,'实盘净值数据(iFinD公式)'!$B954:$AA954/'实盘净值数据(iFinD公式)'!$B$65:$AA$65)*(1-实盘持仓初始配置!$Z$7)^(('实盘净值数据(iFinD公式)'!$A954-'实盘净值数据(iFinD公式)'!$A$8)/365))</x:f>
        <x:v>#NAME?</x:v>
      </x:c>
      <x:c r="L954" s="152" t="e">
        <x:f>IF(OR(K953="",K954=""),"",K954/K953-1)</x:f>
        <x:v>#NAME?</x:v>
      </x:c>
      <x:c r="M954" s="152" t="e">
        <x:f>IF(K954="","",K954/MAX(K$5:K954)-1)</x:f>
        <x:v>#NAME?</x:v>
      </x:c>
      <x:c r="N954" s="146" t="e">
        <x:f>IF(OR('实盘净值数据(iFinD公式)'!$A954="",'实盘净值数据(iFinD公式)'!$B954=""),"",分期持仓明细!$AD$24*SUMPRODUCT(分期持仓明细!$B$24:$AA$24,'实盘净值数据(iFinD公式)'!$B954:$AA954/'实盘净值数据(iFinD公式)'!$B$65:$AA$65)*(1-实盘持仓初始配置!$Z$8)^(('实盘净值数据(iFinD公式)'!$A954-'实盘净值数据(iFinD公式)'!$A$5)/365))</x:f>
        <x:v>#NAME?</x:v>
      </x:c>
      <x:c r="O954" s="152" t="e">
        <x:f>IF(OR(N953="",N954=""),"",N954/N953-1)</x:f>
        <x:v>#NAME?</x:v>
      </x:c>
      <x:c r="P954" s="152" t="e">
        <x:f>IF(N954="","",N954/MAX(N$5:N954)-1)</x:f>
        <x:v>#NAME?</x:v>
      </x:c>
      <x:c r="Q954" s="146" t="e">
        <x:f>IF(OR('实盘净值数据(iFinD公式)'!$A954="",'实盘净值数据(iFinD公式)'!$B954=""),"",分期持仓明细!$AD$25*SUMPRODUCT(分期持仓明细!$B$25:$AA$25,'实盘净值数据(iFinD公式)'!$B954:$AA954/'实盘净值数据(iFinD公式)'!$B$65:$AA$65)*(1-实盘持仓初始配置!$Z$9)^(('实盘净值数据(iFinD公式)'!$A954-'实盘净值数据(iFinD公式)'!$A$8)/365))</x:f>
        <x:v>#NAME?</x:v>
      </x:c>
      <x:c r="R954" s="152" t="e">
        <x:f>IF(OR(Q953="",Q954=""),"",Q954/Q953-1)</x:f>
        <x:v>#NAME?</x:v>
      </x:c>
      <x:c r="S954" s="152" t="e">
        <x:f>IF(Q954="","",Q954/MAX(Q$5:Q954)-1)</x:f>
        <x:v>#NAME?</x:v>
      </x:c>
    </x:row>
    <x:row r="955">
      <x:c r="A955" s="149" t="str">
        <x:f>IF('实盘净值数据(iFinD公式)'!A955="","",'实盘净值数据(iFinD公式)'!A955)</x:f>
      </x:c>
      <x:c r="B955" s="146" t="e">
        <x:f>IF(OR('实盘净值数据(iFinD公式)'!$A955="",'实盘净值数据(iFinD公式)'!$B955=""),"",分期持仓明细!$AD$17*SUMPRODUCT(分期持仓明细!$B$17:$AA$17,'实盘净值数据(iFinD公式)'!$B955:$AA955/'实盘净值数据(iFinD公式)'!$B$20:$AA$20)*(1-实盘持仓初始配置!$Z$4)^(('实盘净值数据(iFinD公式)'!$A955-'实盘净值数据(iFinD公式)'!$A$6)/365))</x:f>
        <x:v>#NAME?</x:v>
      </x:c>
      <x:c r="C955" s="152" t="e">
        <x:f>IF(OR(B954="",B955=""),"",B955/B954-1)</x:f>
        <x:v>#NAME?</x:v>
      </x:c>
      <x:c r="D955" s="152" t="e">
        <x:f>IF(B955="","",B955/MAX(B$5:B955)-1)</x:f>
        <x:v>#NAME?</x:v>
      </x:c>
      <x:c r="E955" s="146" t="e">
        <x:f>IF(OR('实盘净值数据(iFinD公式)'!$A955="",'实盘净值数据(iFinD公式)'!$B955=""),"",分期持仓明细!$AD$18*SUMPRODUCT(分期持仓明细!$B$18:$AA$18,'实盘净值数据(iFinD公式)'!$B955:$AA955/'实盘净值数据(iFinD公式)'!$B$20:$AA$20)*(1-实盘持仓初始配置!$Z$5)^(('实盘净值数据(iFinD公式)'!$A955-'实盘净值数据(iFinD公式)'!$A$5)/365))</x:f>
        <x:v>#NAME?</x:v>
      </x:c>
      <x:c r="F955" s="152" t="e">
        <x:f>IF(OR(E954="",E955=""),"",E955/E954-1)</x:f>
        <x:v>#NAME?</x:v>
      </x:c>
      <x:c r="G955" s="152" t="e">
        <x:f>IF(E955="","",E955/MAX(E$5:E955)-1)</x:f>
        <x:v>#NAME?</x:v>
      </x:c>
      <x:c r="H955" s="146" t="e">
        <x:f>IF(OR('实盘净值数据(iFinD公式)'!$A955="",'实盘净值数据(iFinD公式)'!$B955=""),"",分期持仓明细!$AD$19*SUMPRODUCT(分期持仓明细!$B$19:$AA$19,'实盘净值数据(iFinD公式)'!$B955:$AA955/'实盘净值数据(iFinD公式)'!$B$20:$AA$20)*(1-实盘持仓初始配置!$Z$6)^(('实盘净值数据(iFinD公式)'!$A955-'实盘净值数据(iFinD公式)'!$A$7)/365))</x:f>
        <x:v>#NAME?</x:v>
      </x:c>
      <x:c r="I955" s="152" t="e">
        <x:f>IF(OR(H954="",H955=""),"",H955/H954-1)</x:f>
        <x:v>#NAME?</x:v>
      </x:c>
      <x:c r="J955" s="152" t="e">
        <x:f>IF(H955="","",H955/MAX(H$5:H955)-1)</x:f>
        <x:v>#NAME?</x:v>
      </x:c>
      <x:c r="K955" s="146" t="e">
        <x:f>IF(OR('实盘净值数据(iFinD公式)'!$A955="",'实盘净值数据(iFinD公式)'!$B955=""),"",分期持仓明细!$AD$23*SUMPRODUCT(分期持仓明细!$B$23:$AA$23,'实盘净值数据(iFinD公式)'!$B955:$AA955/'实盘净值数据(iFinD公式)'!$B$65:$AA$65)*(1-实盘持仓初始配置!$Z$7)^(('实盘净值数据(iFinD公式)'!$A955-'实盘净值数据(iFinD公式)'!$A$8)/365))</x:f>
        <x:v>#NAME?</x:v>
      </x:c>
      <x:c r="L955" s="152" t="e">
        <x:f>IF(OR(K954="",K955=""),"",K955/K954-1)</x:f>
        <x:v>#NAME?</x:v>
      </x:c>
      <x:c r="M955" s="152" t="e">
        <x:f>IF(K955="","",K955/MAX(K$5:K955)-1)</x:f>
        <x:v>#NAME?</x:v>
      </x:c>
      <x:c r="N955" s="146" t="e">
        <x:f>IF(OR('实盘净值数据(iFinD公式)'!$A955="",'实盘净值数据(iFinD公式)'!$B955=""),"",分期持仓明细!$AD$24*SUMPRODUCT(分期持仓明细!$B$24:$AA$24,'实盘净值数据(iFinD公式)'!$B955:$AA955/'实盘净值数据(iFinD公式)'!$B$65:$AA$65)*(1-实盘持仓初始配置!$Z$8)^(('实盘净值数据(iFinD公式)'!$A955-'实盘净值数据(iFinD公式)'!$A$5)/365))</x:f>
        <x:v>#NAME?</x:v>
      </x:c>
      <x:c r="O955" s="152" t="e">
        <x:f>IF(OR(N954="",N955=""),"",N955/N954-1)</x:f>
        <x:v>#NAME?</x:v>
      </x:c>
      <x:c r="P955" s="152" t="e">
        <x:f>IF(N955="","",N955/MAX(N$5:N955)-1)</x:f>
        <x:v>#NAME?</x:v>
      </x:c>
      <x:c r="Q955" s="146" t="e">
        <x:f>IF(OR('实盘净值数据(iFinD公式)'!$A955="",'实盘净值数据(iFinD公式)'!$B955=""),"",分期持仓明细!$AD$25*SUMPRODUCT(分期持仓明细!$B$25:$AA$25,'实盘净值数据(iFinD公式)'!$B955:$AA955/'实盘净值数据(iFinD公式)'!$B$65:$AA$65)*(1-实盘持仓初始配置!$Z$9)^(('实盘净值数据(iFinD公式)'!$A955-'实盘净值数据(iFinD公式)'!$A$8)/365))</x:f>
        <x:v>#NAME?</x:v>
      </x:c>
      <x:c r="R955" s="152" t="e">
        <x:f>IF(OR(Q954="",Q955=""),"",Q955/Q954-1)</x:f>
        <x:v>#NAME?</x:v>
      </x:c>
      <x:c r="S955" s="152" t="e">
        <x:f>IF(Q955="","",Q955/MAX(Q$5:Q955)-1)</x:f>
        <x:v>#NAME?</x:v>
      </x:c>
    </x:row>
    <x:row r="956">
      <x:c r="A956" s="149" t="str">
        <x:f>IF('实盘净值数据(iFinD公式)'!A956="","",'实盘净值数据(iFinD公式)'!A956)</x:f>
      </x:c>
      <x:c r="B956" s="146" t="e">
        <x:f>IF(OR('实盘净值数据(iFinD公式)'!$A956="",'实盘净值数据(iFinD公式)'!$B956=""),"",分期持仓明细!$AD$17*SUMPRODUCT(分期持仓明细!$B$17:$AA$17,'实盘净值数据(iFinD公式)'!$B956:$AA956/'实盘净值数据(iFinD公式)'!$B$20:$AA$20)*(1-实盘持仓初始配置!$Z$4)^(('实盘净值数据(iFinD公式)'!$A956-'实盘净值数据(iFinD公式)'!$A$6)/365))</x:f>
        <x:v>#NAME?</x:v>
      </x:c>
      <x:c r="C956" s="152" t="e">
        <x:f>IF(OR(B955="",B956=""),"",B956/B955-1)</x:f>
        <x:v>#NAME?</x:v>
      </x:c>
      <x:c r="D956" s="152" t="e">
        <x:f>IF(B956="","",B956/MAX(B$5:B956)-1)</x:f>
        <x:v>#NAME?</x:v>
      </x:c>
      <x:c r="E956" s="146" t="e">
        <x:f>IF(OR('实盘净值数据(iFinD公式)'!$A956="",'实盘净值数据(iFinD公式)'!$B956=""),"",分期持仓明细!$AD$18*SUMPRODUCT(分期持仓明细!$B$18:$AA$18,'实盘净值数据(iFinD公式)'!$B956:$AA956/'实盘净值数据(iFinD公式)'!$B$20:$AA$20)*(1-实盘持仓初始配置!$Z$5)^(('实盘净值数据(iFinD公式)'!$A956-'实盘净值数据(iFinD公式)'!$A$5)/365))</x:f>
        <x:v>#NAME?</x:v>
      </x:c>
      <x:c r="F956" s="152" t="e">
        <x:f>IF(OR(E955="",E956=""),"",E956/E955-1)</x:f>
        <x:v>#NAME?</x:v>
      </x:c>
      <x:c r="G956" s="152" t="e">
        <x:f>IF(E956="","",E956/MAX(E$5:E956)-1)</x:f>
        <x:v>#NAME?</x:v>
      </x:c>
      <x:c r="H956" s="146" t="e">
        <x:f>IF(OR('实盘净值数据(iFinD公式)'!$A956="",'实盘净值数据(iFinD公式)'!$B956=""),"",分期持仓明细!$AD$19*SUMPRODUCT(分期持仓明细!$B$19:$AA$19,'实盘净值数据(iFinD公式)'!$B956:$AA956/'实盘净值数据(iFinD公式)'!$B$20:$AA$20)*(1-实盘持仓初始配置!$Z$6)^(('实盘净值数据(iFinD公式)'!$A956-'实盘净值数据(iFinD公式)'!$A$7)/365))</x:f>
        <x:v>#NAME?</x:v>
      </x:c>
      <x:c r="I956" s="152" t="e">
        <x:f>IF(OR(H955="",H956=""),"",H956/H955-1)</x:f>
        <x:v>#NAME?</x:v>
      </x:c>
      <x:c r="J956" s="152" t="e">
        <x:f>IF(H956="","",H956/MAX(H$5:H956)-1)</x:f>
        <x:v>#NAME?</x:v>
      </x:c>
      <x:c r="K956" s="146" t="e">
        <x:f>IF(OR('实盘净值数据(iFinD公式)'!$A956="",'实盘净值数据(iFinD公式)'!$B956=""),"",分期持仓明细!$AD$23*SUMPRODUCT(分期持仓明细!$B$23:$AA$23,'实盘净值数据(iFinD公式)'!$B956:$AA956/'实盘净值数据(iFinD公式)'!$B$65:$AA$65)*(1-实盘持仓初始配置!$Z$7)^(('实盘净值数据(iFinD公式)'!$A956-'实盘净值数据(iFinD公式)'!$A$8)/365))</x:f>
        <x:v>#NAME?</x:v>
      </x:c>
      <x:c r="L956" s="152" t="e">
        <x:f>IF(OR(K955="",K956=""),"",K956/K955-1)</x:f>
        <x:v>#NAME?</x:v>
      </x:c>
      <x:c r="M956" s="152" t="e">
        <x:f>IF(K956="","",K956/MAX(K$5:K956)-1)</x:f>
        <x:v>#NAME?</x:v>
      </x:c>
      <x:c r="N956" s="146" t="e">
        <x:f>IF(OR('实盘净值数据(iFinD公式)'!$A956="",'实盘净值数据(iFinD公式)'!$B956=""),"",分期持仓明细!$AD$24*SUMPRODUCT(分期持仓明细!$B$24:$AA$24,'实盘净值数据(iFinD公式)'!$B956:$AA956/'实盘净值数据(iFinD公式)'!$B$65:$AA$65)*(1-实盘持仓初始配置!$Z$8)^(('实盘净值数据(iFinD公式)'!$A956-'实盘净值数据(iFinD公式)'!$A$5)/365))</x:f>
        <x:v>#NAME?</x:v>
      </x:c>
      <x:c r="O956" s="152" t="e">
        <x:f>IF(OR(N955="",N956=""),"",N956/N955-1)</x:f>
        <x:v>#NAME?</x:v>
      </x:c>
      <x:c r="P956" s="152" t="e">
        <x:f>IF(N956="","",N956/MAX(N$5:N956)-1)</x:f>
        <x:v>#NAME?</x:v>
      </x:c>
      <x:c r="Q956" s="146" t="e">
        <x:f>IF(OR('实盘净值数据(iFinD公式)'!$A956="",'实盘净值数据(iFinD公式)'!$B956=""),"",分期持仓明细!$AD$25*SUMPRODUCT(分期持仓明细!$B$25:$AA$25,'实盘净值数据(iFinD公式)'!$B956:$AA956/'实盘净值数据(iFinD公式)'!$B$65:$AA$65)*(1-实盘持仓初始配置!$Z$9)^(('实盘净值数据(iFinD公式)'!$A956-'实盘净值数据(iFinD公式)'!$A$8)/365))</x:f>
        <x:v>#NAME?</x:v>
      </x:c>
      <x:c r="R956" s="152" t="e">
        <x:f>IF(OR(Q955="",Q956=""),"",Q956/Q955-1)</x:f>
        <x:v>#NAME?</x:v>
      </x:c>
      <x:c r="S956" s="152" t="e">
        <x:f>IF(Q956="","",Q956/MAX(Q$5:Q956)-1)</x:f>
        <x:v>#NAME?</x:v>
      </x:c>
    </x:row>
    <x:row r="957">
      <x:c r="A957" s="149" t="str">
        <x:f>IF('实盘净值数据(iFinD公式)'!A957="","",'实盘净值数据(iFinD公式)'!A957)</x:f>
      </x:c>
      <x:c r="B957" s="146" t="e">
        <x:f>IF(OR('实盘净值数据(iFinD公式)'!$A957="",'实盘净值数据(iFinD公式)'!$B957=""),"",分期持仓明细!$AD$17*SUMPRODUCT(分期持仓明细!$B$17:$AA$17,'实盘净值数据(iFinD公式)'!$B957:$AA957/'实盘净值数据(iFinD公式)'!$B$20:$AA$20)*(1-实盘持仓初始配置!$Z$4)^(('实盘净值数据(iFinD公式)'!$A957-'实盘净值数据(iFinD公式)'!$A$6)/365))</x:f>
        <x:v>#NAME?</x:v>
      </x:c>
      <x:c r="C957" s="152" t="e">
        <x:f>IF(OR(B956="",B957=""),"",B957/B956-1)</x:f>
        <x:v>#NAME?</x:v>
      </x:c>
      <x:c r="D957" s="152" t="e">
        <x:f>IF(B957="","",B957/MAX(B$5:B957)-1)</x:f>
        <x:v>#NAME?</x:v>
      </x:c>
      <x:c r="E957" s="146" t="e">
        <x:f>IF(OR('实盘净值数据(iFinD公式)'!$A957="",'实盘净值数据(iFinD公式)'!$B957=""),"",分期持仓明细!$AD$18*SUMPRODUCT(分期持仓明细!$B$18:$AA$18,'实盘净值数据(iFinD公式)'!$B957:$AA957/'实盘净值数据(iFinD公式)'!$B$20:$AA$20)*(1-实盘持仓初始配置!$Z$5)^(('实盘净值数据(iFinD公式)'!$A957-'实盘净值数据(iFinD公式)'!$A$5)/365))</x:f>
        <x:v>#NAME?</x:v>
      </x:c>
      <x:c r="F957" s="152" t="e">
        <x:f>IF(OR(E956="",E957=""),"",E957/E956-1)</x:f>
        <x:v>#NAME?</x:v>
      </x:c>
      <x:c r="G957" s="152" t="e">
        <x:f>IF(E957="","",E957/MAX(E$5:E957)-1)</x:f>
        <x:v>#NAME?</x:v>
      </x:c>
      <x:c r="H957" s="146" t="e">
        <x:f>IF(OR('实盘净值数据(iFinD公式)'!$A957="",'实盘净值数据(iFinD公式)'!$B957=""),"",分期持仓明细!$AD$19*SUMPRODUCT(分期持仓明细!$B$19:$AA$19,'实盘净值数据(iFinD公式)'!$B957:$AA957/'实盘净值数据(iFinD公式)'!$B$20:$AA$20)*(1-实盘持仓初始配置!$Z$6)^(('实盘净值数据(iFinD公式)'!$A957-'实盘净值数据(iFinD公式)'!$A$7)/365))</x:f>
        <x:v>#NAME?</x:v>
      </x:c>
      <x:c r="I957" s="152" t="e">
        <x:f>IF(OR(H956="",H957=""),"",H957/H956-1)</x:f>
        <x:v>#NAME?</x:v>
      </x:c>
      <x:c r="J957" s="152" t="e">
        <x:f>IF(H957="","",H957/MAX(H$5:H957)-1)</x:f>
        <x:v>#NAME?</x:v>
      </x:c>
      <x:c r="K957" s="146" t="e">
        <x:f>IF(OR('实盘净值数据(iFinD公式)'!$A957="",'实盘净值数据(iFinD公式)'!$B957=""),"",分期持仓明细!$AD$23*SUMPRODUCT(分期持仓明细!$B$23:$AA$23,'实盘净值数据(iFinD公式)'!$B957:$AA957/'实盘净值数据(iFinD公式)'!$B$65:$AA$65)*(1-实盘持仓初始配置!$Z$7)^(('实盘净值数据(iFinD公式)'!$A957-'实盘净值数据(iFinD公式)'!$A$8)/365))</x:f>
        <x:v>#NAME?</x:v>
      </x:c>
      <x:c r="L957" s="152" t="e">
        <x:f>IF(OR(K956="",K957=""),"",K957/K956-1)</x:f>
        <x:v>#NAME?</x:v>
      </x:c>
      <x:c r="M957" s="152" t="e">
        <x:f>IF(K957="","",K957/MAX(K$5:K957)-1)</x:f>
        <x:v>#NAME?</x:v>
      </x:c>
      <x:c r="N957" s="146" t="e">
        <x:f>IF(OR('实盘净值数据(iFinD公式)'!$A957="",'实盘净值数据(iFinD公式)'!$B957=""),"",分期持仓明细!$AD$24*SUMPRODUCT(分期持仓明细!$B$24:$AA$24,'实盘净值数据(iFinD公式)'!$B957:$AA957/'实盘净值数据(iFinD公式)'!$B$65:$AA$65)*(1-实盘持仓初始配置!$Z$8)^(('实盘净值数据(iFinD公式)'!$A957-'实盘净值数据(iFinD公式)'!$A$5)/365))</x:f>
        <x:v>#NAME?</x:v>
      </x:c>
      <x:c r="O957" s="152" t="e">
        <x:f>IF(OR(N956="",N957=""),"",N957/N956-1)</x:f>
        <x:v>#NAME?</x:v>
      </x:c>
      <x:c r="P957" s="152" t="e">
        <x:f>IF(N957="","",N957/MAX(N$5:N957)-1)</x:f>
        <x:v>#NAME?</x:v>
      </x:c>
      <x:c r="Q957" s="146" t="e">
        <x:f>IF(OR('实盘净值数据(iFinD公式)'!$A957="",'实盘净值数据(iFinD公式)'!$B957=""),"",分期持仓明细!$AD$25*SUMPRODUCT(分期持仓明细!$B$25:$AA$25,'实盘净值数据(iFinD公式)'!$B957:$AA957/'实盘净值数据(iFinD公式)'!$B$65:$AA$65)*(1-实盘持仓初始配置!$Z$9)^(('实盘净值数据(iFinD公式)'!$A957-'实盘净值数据(iFinD公式)'!$A$8)/365))</x:f>
        <x:v>#NAME?</x:v>
      </x:c>
      <x:c r="R957" s="152" t="e">
        <x:f>IF(OR(Q956="",Q957=""),"",Q957/Q956-1)</x:f>
        <x:v>#NAME?</x:v>
      </x:c>
      <x:c r="S957" s="152" t="e">
        <x:f>IF(Q957="","",Q957/MAX(Q$5:Q957)-1)</x:f>
        <x:v>#NAME?</x:v>
      </x:c>
    </x:row>
    <x:row r="958">
      <x:c r="A958" s="149" t="str">
        <x:f>IF('实盘净值数据(iFinD公式)'!A958="","",'实盘净值数据(iFinD公式)'!A958)</x:f>
      </x:c>
      <x:c r="B958" s="146" t="e">
        <x:f>IF(OR('实盘净值数据(iFinD公式)'!$A958="",'实盘净值数据(iFinD公式)'!$B958=""),"",分期持仓明细!$AD$17*SUMPRODUCT(分期持仓明细!$B$17:$AA$17,'实盘净值数据(iFinD公式)'!$B958:$AA958/'实盘净值数据(iFinD公式)'!$B$20:$AA$20)*(1-实盘持仓初始配置!$Z$4)^(('实盘净值数据(iFinD公式)'!$A958-'实盘净值数据(iFinD公式)'!$A$6)/365))</x:f>
        <x:v>#NAME?</x:v>
      </x:c>
      <x:c r="C958" s="152" t="e">
        <x:f>IF(OR(B957="",B958=""),"",B958/B957-1)</x:f>
        <x:v>#NAME?</x:v>
      </x:c>
      <x:c r="D958" s="152" t="e">
        <x:f>IF(B958="","",B958/MAX(B$5:B958)-1)</x:f>
        <x:v>#NAME?</x:v>
      </x:c>
      <x:c r="E958" s="146" t="e">
        <x:f>IF(OR('实盘净值数据(iFinD公式)'!$A958="",'实盘净值数据(iFinD公式)'!$B958=""),"",分期持仓明细!$AD$18*SUMPRODUCT(分期持仓明细!$B$18:$AA$18,'实盘净值数据(iFinD公式)'!$B958:$AA958/'实盘净值数据(iFinD公式)'!$B$20:$AA$20)*(1-实盘持仓初始配置!$Z$5)^(('实盘净值数据(iFinD公式)'!$A958-'实盘净值数据(iFinD公式)'!$A$5)/365))</x:f>
        <x:v>#NAME?</x:v>
      </x:c>
      <x:c r="F958" s="152" t="e">
        <x:f>IF(OR(E957="",E958=""),"",E958/E957-1)</x:f>
        <x:v>#NAME?</x:v>
      </x:c>
      <x:c r="G958" s="152" t="e">
        <x:f>IF(E958="","",E958/MAX(E$5:E958)-1)</x:f>
        <x:v>#NAME?</x:v>
      </x:c>
      <x:c r="H958" s="146" t="e">
        <x:f>IF(OR('实盘净值数据(iFinD公式)'!$A958="",'实盘净值数据(iFinD公式)'!$B958=""),"",分期持仓明细!$AD$19*SUMPRODUCT(分期持仓明细!$B$19:$AA$19,'实盘净值数据(iFinD公式)'!$B958:$AA958/'实盘净值数据(iFinD公式)'!$B$20:$AA$20)*(1-实盘持仓初始配置!$Z$6)^(('实盘净值数据(iFinD公式)'!$A958-'实盘净值数据(iFinD公式)'!$A$7)/365))</x:f>
        <x:v>#NAME?</x:v>
      </x:c>
      <x:c r="I958" s="152" t="e">
        <x:f>IF(OR(H957="",H958=""),"",H958/H957-1)</x:f>
        <x:v>#NAME?</x:v>
      </x:c>
      <x:c r="J958" s="152" t="e">
        <x:f>IF(H958="","",H958/MAX(H$5:H958)-1)</x:f>
        <x:v>#NAME?</x:v>
      </x:c>
      <x:c r="K958" s="146" t="e">
        <x:f>IF(OR('实盘净值数据(iFinD公式)'!$A958="",'实盘净值数据(iFinD公式)'!$B958=""),"",分期持仓明细!$AD$23*SUMPRODUCT(分期持仓明细!$B$23:$AA$23,'实盘净值数据(iFinD公式)'!$B958:$AA958/'实盘净值数据(iFinD公式)'!$B$65:$AA$65)*(1-实盘持仓初始配置!$Z$7)^(('实盘净值数据(iFinD公式)'!$A958-'实盘净值数据(iFinD公式)'!$A$8)/365))</x:f>
        <x:v>#NAME?</x:v>
      </x:c>
      <x:c r="L958" s="152" t="e">
        <x:f>IF(OR(K957="",K958=""),"",K958/K957-1)</x:f>
        <x:v>#NAME?</x:v>
      </x:c>
      <x:c r="M958" s="152" t="e">
        <x:f>IF(K958="","",K958/MAX(K$5:K958)-1)</x:f>
        <x:v>#NAME?</x:v>
      </x:c>
      <x:c r="N958" s="146" t="e">
        <x:f>IF(OR('实盘净值数据(iFinD公式)'!$A958="",'实盘净值数据(iFinD公式)'!$B958=""),"",分期持仓明细!$AD$24*SUMPRODUCT(分期持仓明细!$B$24:$AA$24,'实盘净值数据(iFinD公式)'!$B958:$AA958/'实盘净值数据(iFinD公式)'!$B$65:$AA$65)*(1-实盘持仓初始配置!$Z$8)^(('实盘净值数据(iFinD公式)'!$A958-'实盘净值数据(iFinD公式)'!$A$5)/365))</x:f>
        <x:v>#NAME?</x:v>
      </x:c>
      <x:c r="O958" s="152" t="e">
        <x:f>IF(OR(N957="",N958=""),"",N958/N957-1)</x:f>
        <x:v>#NAME?</x:v>
      </x:c>
      <x:c r="P958" s="152" t="e">
        <x:f>IF(N958="","",N958/MAX(N$5:N958)-1)</x:f>
        <x:v>#NAME?</x:v>
      </x:c>
      <x:c r="Q958" s="146" t="e">
        <x:f>IF(OR('实盘净值数据(iFinD公式)'!$A958="",'实盘净值数据(iFinD公式)'!$B958=""),"",分期持仓明细!$AD$25*SUMPRODUCT(分期持仓明细!$B$25:$AA$25,'实盘净值数据(iFinD公式)'!$B958:$AA958/'实盘净值数据(iFinD公式)'!$B$65:$AA$65)*(1-实盘持仓初始配置!$Z$9)^(('实盘净值数据(iFinD公式)'!$A958-'实盘净值数据(iFinD公式)'!$A$8)/365))</x:f>
        <x:v>#NAME?</x:v>
      </x:c>
      <x:c r="R958" s="152" t="e">
        <x:f>IF(OR(Q957="",Q958=""),"",Q958/Q957-1)</x:f>
        <x:v>#NAME?</x:v>
      </x:c>
      <x:c r="S958" s="152" t="e">
        <x:f>IF(Q958="","",Q958/MAX(Q$5:Q958)-1)</x:f>
        <x:v>#NAME?</x:v>
      </x:c>
    </x:row>
    <x:row r="959">
      <x:c r="A959" s="149" t="str">
        <x:f>IF('实盘净值数据(iFinD公式)'!A959="","",'实盘净值数据(iFinD公式)'!A959)</x:f>
      </x:c>
      <x:c r="B959" s="146" t="e">
        <x:f>IF(OR('实盘净值数据(iFinD公式)'!$A959="",'实盘净值数据(iFinD公式)'!$B959=""),"",分期持仓明细!$AD$17*SUMPRODUCT(分期持仓明细!$B$17:$AA$17,'实盘净值数据(iFinD公式)'!$B959:$AA959/'实盘净值数据(iFinD公式)'!$B$20:$AA$20)*(1-实盘持仓初始配置!$Z$4)^(('实盘净值数据(iFinD公式)'!$A959-'实盘净值数据(iFinD公式)'!$A$6)/365))</x:f>
        <x:v>#NAME?</x:v>
      </x:c>
      <x:c r="C959" s="152" t="e">
        <x:f>IF(OR(B958="",B959=""),"",B959/B958-1)</x:f>
        <x:v>#NAME?</x:v>
      </x:c>
      <x:c r="D959" s="152" t="e">
        <x:f>IF(B959="","",B959/MAX(B$5:B959)-1)</x:f>
        <x:v>#NAME?</x:v>
      </x:c>
      <x:c r="E959" s="146" t="e">
        <x:f>IF(OR('实盘净值数据(iFinD公式)'!$A959="",'实盘净值数据(iFinD公式)'!$B959=""),"",分期持仓明细!$AD$18*SUMPRODUCT(分期持仓明细!$B$18:$AA$18,'实盘净值数据(iFinD公式)'!$B959:$AA959/'实盘净值数据(iFinD公式)'!$B$20:$AA$20)*(1-实盘持仓初始配置!$Z$5)^(('实盘净值数据(iFinD公式)'!$A959-'实盘净值数据(iFinD公式)'!$A$5)/365))</x:f>
        <x:v>#NAME?</x:v>
      </x:c>
      <x:c r="F959" s="152" t="e">
        <x:f>IF(OR(E958="",E959=""),"",E959/E958-1)</x:f>
        <x:v>#NAME?</x:v>
      </x:c>
      <x:c r="G959" s="152" t="e">
        <x:f>IF(E959="","",E959/MAX(E$5:E959)-1)</x:f>
        <x:v>#NAME?</x:v>
      </x:c>
      <x:c r="H959" s="146" t="e">
        <x:f>IF(OR('实盘净值数据(iFinD公式)'!$A959="",'实盘净值数据(iFinD公式)'!$B959=""),"",分期持仓明细!$AD$19*SUMPRODUCT(分期持仓明细!$B$19:$AA$19,'实盘净值数据(iFinD公式)'!$B959:$AA959/'实盘净值数据(iFinD公式)'!$B$20:$AA$20)*(1-实盘持仓初始配置!$Z$6)^(('实盘净值数据(iFinD公式)'!$A959-'实盘净值数据(iFinD公式)'!$A$7)/365))</x:f>
        <x:v>#NAME?</x:v>
      </x:c>
      <x:c r="I959" s="152" t="e">
        <x:f>IF(OR(H958="",H959=""),"",H959/H958-1)</x:f>
        <x:v>#NAME?</x:v>
      </x:c>
      <x:c r="J959" s="152" t="e">
        <x:f>IF(H959="","",H959/MAX(H$5:H959)-1)</x:f>
        <x:v>#NAME?</x:v>
      </x:c>
      <x:c r="K959" s="146" t="e">
        <x:f>IF(OR('实盘净值数据(iFinD公式)'!$A959="",'实盘净值数据(iFinD公式)'!$B959=""),"",分期持仓明细!$AD$23*SUMPRODUCT(分期持仓明细!$B$23:$AA$23,'实盘净值数据(iFinD公式)'!$B959:$AA959/'实盘净值数据(iFinD公式)'!$B$65:$AA$65)*(1-实盘持仓初始配置!$Z$7)^(('实盘净值数据(iFinD公式)'!$A959-'实盘净值数据(iFinD公式)'!$A$8)/365))</x:f>
        <x:v>#NAME?</x:v>
      </x:c>
      <x:c r="L959" s="152" t="e">
        <x:f>IF(OR(K958="",K959=""),"",K959/K958-1)</x:f>
        <x:v>#NAME?</x:v>
      </x:c>
      <x:c r="M959" s="152" t="e">
        <x:f>IF(K959="","",K959/MAX(K$5:K959)-1)</x:f>
        <x:v>#NAME?</x:v>
      </x:c>
      <x:c r="N959" s="146" t="e">
        <x:f>IF(OR('实盘净值数据(iFinD公式)'!$A959="",'实盘净值数据(iFinD公式)'!$B959=""),"",分期持仓明细!$AD$24*SUMPRODUCT(分期持仓明细!$B$24:$AA$24,'实盘净值数据(iFinD公式)'!$B959:$AA959/'实盘净值数据(iFinD公式)'!$B$65:$AA$65)*(1-实盘持仓初始配置!$Z$8)^(('实盘净值数据(iFinD公式)'!$A959-'实盘净值数据(iFinD公式)'!$A$5)/365))</x:f>
        <x:v>#NAME?</x:v>
      </x:c>
      <x:c r="O959" s="152" t="e">
        <x:f>IF(OR(N958="",N959=""),"",N959/N958-1)</x:f>
        <x:v>#NAME?</x:v>
      </x:c>
      <x:c r="P959" s="152" t="e">
        <x:f>IF(N959="","",N959/MAX(N$5:N959)-1)</x:f>
        <x:v>#NAME?</x:v>
      </x:c>
      <x:c r="Q959" s="146" t="e">
        <x:f>IF(OR('实盘净值数据(iFinD公式)'!$A959="",'实盘净值数据(iFinD公式)'!$B959=""),"",分期持仓明细!$AD$25*SUMPRODUCT(分期持仓明细!$B$25:$AA$25,'实盘净值数据(iFinD公式)'!$B959:$AA959/'实盘净值数据(iFinD公式)'!$B$65:$AA$65)*(1-实盘持仓初始配置!$Z$9)^(('实盘净值数据(iFinD公式)'!$A959-'实盘净值数据(iFinD公式)'!$A$8)/365))</x:f>
        <x:v>#NAME?</x:v>
      </x:c>
      <x:c r="R959" s="152" t="e">
        <x:f>IF(OR(Q958="",Q959=""),"",Q959/Q958-1)</x:f>
        <x:v>#NAME?</x:v>
      </x:c>
      <x:c r="S959" s="152" t="e">
        <x:f>IF(Q959="","",Q959/MAX(Q$5:Q959)-1)</x:f>
        <x:v>#NAME?</x:v>
      </x:c>
    </x:row>
    <x:row r="960">
      <x:c r="A960" s="149" t="str">
        <x:f>IF('实盘净值数据(iFinD公式)'!A960="","",'实盘净值数据(iFinD公式)'!A960)</x:f>
      </x:c>
      <x:c r="B960" s="146" t="e">
        <x:f>IF(OR('实盘净值数据(iFinD公式)'!$A960="",'实盘净值数据(iFinD公式)'!$B960=""),"",分期持仓明细!$AD$17*SUMPRODUCT(分期持仓明细!$B$17:$AA$17,'实盘净值数据(iFinD公式)'!$B960:$AA960/'实盘净值数据(iFinD公式)'!$B$20:$AA$20)*(1-实盘持仓初始配置!$Z$4)^(('实盘净值数据(iFinD公式)'!$A960-'实盘净值数据(iFinD公式)'!$A$6)/365))</x:f>
        <x:v>#NAME?</x:v>
      </x:c>
      <x:c r="C960" s="152" t="e">
        <x:f>IF(OR(B959="",B960=""),"",B960/B959-1)</x:f>
        <x:v>#NAME?</x:v>
      </x:c>
      <x:c r="D960" s="152" t="e">
        <x:f>IF(B960="","",B960/MAX(B$5:B960)-1)</x:f>
        <x:v>#NAME?</x:v>
      </x:c>
      <x:c r="E960" s="146" t="e">
        <x:f>IF(OR('实盘净值数据(iFinD公式)'!$A960="",'实盘净值数据(iFinD公式)'!$B960=""),"",分期持仓明细!$AD$18*SUMPRODUCT(分期持仓明细!$B$18:$AA$18,'实盘净值数据(iFinD公式)'!$B960:$AA960/'实盘净值数据(iFinD公式)'!$B$20:$AA$20)*(1-实盘持仓初始配置!$Z$5)^(('实盘净值数据(iFinD公式)'!$A960-'实盘净值数据(iFinD公式)'!$A$5)/365))</x:f>
        <x:v>#NAME?</x:v>
      </x:c>
      <x:c r="F960" s="152" t="e">
        <x:f>IF(OR(E959="",E960=""),"",E960/E959-1)</x:f>
        <x:v>#NAME?</x:v>
      </x:c>
      <x:c r="G960" s="152" t="e">
        <x:f>IF(E960="","",E960/MAX(E$5:E960)-1)</x:f>
        <x:v>#NAME?</x:v>
      </x:c>
      <x:c r="H960" s="146" t="e">
        <x:f>IF(OR('实盘净值数据(iFinD公式)'!$A960="",'实盘净值数据(iFinD公式)'!$B960=""),"",分期持仓明细!$AD$19*SUMPRODUCT(分期持仓明细!$B$19:$AA$19,'实盘净值数据(iFinD公式)'!$B960:$AA960/'实盘净值数据(iFinD公式)'!$B$20:$AA$20)*(1-实盘持仓初始配置!$Z$6)^(('实盘净值数据(iFinD公式)'!$A960-'实盘净值数据(iFinD公式)'!$A$7)/365))</x:f>
        <x:v>#NAME?</x:v>
      </x:c>
      <x:c r="I960" s="152" t="e">
        <x:f>IF(OR(H959="",H960=""),"",H960/H959-1)</x:f>
        <x:v>#NAME?</x:v>
      </x:c>
      <x:c r="J960" s="152" t="e">
        <x:f>IF(H960="","",H960/MAX(H$5:H960)-1)</x:f>
        <x:v>#NAME?</x:v>
      </x:c>
      <x:c r="K960" s="146" t="e">
        <x:f>IF(OR('实盘净值数据(iFinD公式)'!$A960="",'实盘净值数据(iFinD公式)'!$B960=""),"",分期持仓明细!$AD$23*SUMPRODUCT(分期持仓明细!$B$23:$AA$23,'实盘净值数据(iFinD公式)'!$B960:$AA960/'实盘净值数据(iFinD公式)'!$B$65:$AA$65)*(1-实盘持仓初始配置!$Z$7)^(('实盘净值数据(iFinD公式)'!$A960-'实盘净值数据(iFinD公式)'!$A$8)/365))</x:f>
        <x:v>#NAME?</x:v>
      </x:c>
      <x:c r="L960" s="152" t="e">
        <x:f>IF(OR(K959="",K960=""),"",K960/K959-1)</x:f>
        <x:v>#NAME?</x:v>
      </x:c>
      <x:c r="M960" s="152" t="e">
        <x:f>IF(K960="","",K960/MAX(K$5:K960)-1)</x:f>
        <x:v>#NAME?</x:v>
      </x:c>
      <x:c r="N960" s="146" t="e">
        <x:f>IF(OR('实盘净值数据(iFinD公式)'!$A960="",'实盘净值数据(iFinD公式)'!$B960=""),"",分期持仓明细!$AD$24*SUMPRODUCT(分期持仓明细!$B$24:$AA$24,'实盘净值数据(iFinD公式)'!$B960:$AA960/'实盘净值数据(iFinD公式)'!$B$65:$AA$65)*(1-实盘持仓初始配置!$Z$8)^(('实盘净值数据(iFinD公式)'!$A960-'实盘净值数据(iFinD公式)'!$A$5)/365))</x:f>
        <x:v>#NAME?</x:v>
      </x:c>
      <x:c r="O960" s="152" t="e">
        <x:f>IF(OR(N959="",N960=""),"",N960/N959-1)</x:f>
        <x:v>#NAME?</x:v>
      </x:c>
      <x:c r="P960" s="152" t="e">
        <x:f>IF(N960="","",N960/MAX(N$5:N960)-1)</x:f>
        <x:v>#NAME?</x:v>
      </x:c>
      <x:c r="Q960" s="146" t="e">
        <x:f>IF(OR('实盘净值数据(iFinD公式)'!$A960="",'实盘净值数据(iFinD公式)'!$B960=""),"",分期持仓明细!$AD$25*SUMPRODUCT(分期持仓明细!$B$25:$AA$25,'实盘净值数据(iFinD公式)'!$B960:$AA960/'实盘净值数据(iFinD公式)'!$B$65:$AA$65)*(1-实盘持仓初始配置!$Z$9)^(('实盘净值数据(iFinD公式)'!$A960-'实盘净值数据(iFinD公式)'!$A$8)/365))</x:f>
        <x:v>#NAME?</x:v>
      </x:c>
      <x:c r="R960" s="152" t="e">
        <x:f>IF(OR(Q959="",Q960=""),"",Q960/Q959-1)</x:f>
        <x:v>#NAME?</x:v>
      </x:c>
      <x:c r="S960" s="152" t="e">
        <x:f>IF(Q960="","",Q960/MAX(Q$5:Q960)-1)</x:f>
        <x:v>#NAME?</x:v>
      </x:c>
    </x:row>
    <x:row r="961">
      <x:c r="A961" s="149" t="str">
        <x:f>IF('实盘净值数据(iFinD公式)'!A961="","",'实盘净值数据(iFinD公式)'!A961)</x:f>
      </x:c>
      <x:c r="B961" s="146" t="e">
        <x:f>IF(OR('实盘净值数据(iFinD公式)'!$A961="",'实盘净值数据(iFinD公式)'!$B961=""),"",分期持仓明细!$AD$17*SUMPRODUCT(分期持仓明细!$B$17:$AA$17,'实盘净值数据(iFinD公式)'!$B961:$AA961/'实盘净值数据(iFinD公式)'!$B$20:$AA$20)*(1-实盘持仓初始配置!$Z$4)^(('实盘净值数据(iFinD公式)'!$A961-'实盘净值数据(iFinD公式)'!$A$6)/365))</x:f>
        <x:v>#NAME?</x:v>
      </x:c>
      <x:c r="C961" s="152" t="e">
        <x:f>IF(OR(B960="",B961=""),"",B961/B960-1)</x:f>
        <x:v>#NAME?</x:v>
      </x:c>
      <x:c r="D961" s="152" t="e">
        <x:f>IF(B961="","",B961/MAX(B$5:B961)-1)</x:f>
        <x:v>#NAME?</x:v>
      </x:c>
      <x:c r="E961" s="146" t="e">
        <x:f>IF(OR('实盘净值数据(iFinD公式)'!$A961="",'实盘净值数据(iFinD公式)'!$B961=""),"",分期持仓明细!$AD$18*SUMPRODUCT(分期持仓明细!$B$18:$AA$18,'实盘净值数据(iFinD公式)'!$B961:$AA961/'实盘净值数据(iFinD公式)'!$B$20:$AA$20)*(1-实盘持仓初始配置!$Z$5)^(('实盘净值数据(iFinD公式)'!$A961-'实盘净值数据(iFinD公式)'!$A$5)/365))</x:f>
        <x:v>#NAME?</x:v>
      </x:c>
      <x:c r="F961" s="152" t="e">
        <x:f>IF(OR(E960="",E961=""),"",E961/E960-1)</x:f>
        <x:v>#NAME?</x:v>
      </x:c>
      <x:c r="G961" s="152" t="e">
        <x:f>IF(E961="","",E961/MAX(E$5:E961)-1)</x:f>
        <x:v>#NAME?</x:v>
      </x:c>
      <x:c r="H961" s="146" t="e">
        <x:f>IF(OR('实盘净值数据(iFinD公式)'!$A961="",'实盘净值数据(iFinD公式)'!$B961=""),"",分期持仓明细!$AD$19*SUMPRODUCT(分期持仓明细!$B$19:$AA$19,'实盘净值数据(iFinD公式)'!$B961:$AA961/'实盘净值数据(iFinD公式)'!$B$20:$AA$20)*(1-实盘持仓初始配置!$Z$6)^(('实盘净值数据(iFinD公式)'!$A961-'实盘净值数据(iFinD公式)'!$A$7)/365))</x:f>
        <x:v>#NAME?</x:v>
      </x:c>
      <x:c r="I961" s="152" t="e">
        <x:f>IF(OR(H960="",H961=""),"",H961/H960-1)</x:f>
        <x:v>#NAME?</x:v>
      </x:c>
      <x:c r="J961" s="152" t="e">
        <x:f>IF(H961="","",H961/MAX(H$5:H961)-1)</x:f>
        <x:v>#NAME?</x:v>
      </x:c>
      <x:c r="K961" s="146" t="e">
        <x:f>IF(OR('实盘净值数据(iFinD公式)'!$A961="",'实盘净值数据(iFinD公式)'!$B961=""),"",分期持仓明细!$AD$23*SUMPRODUCT(分期持仓明细!$B$23:$AA$23,'实盘净值数据(iFinD公式)'!$B961:$AA961/'实盘净值数据(iFinD公式)'!$B$65:$AA$65)*(1-实盘持仓初始配置!$Z$7)^(('实盘净值数据(iFinD公式)'!$A961-'实盘净值数据(iFinD公式)'!$A$8)/365))</x:f>
        <x:v>#NAME?</x:v>
      </x:c>
      <x:c r="L961" s="152" t="e">
        <x:f>IF(OR(K960="",K961=""),"",K961/K960-1)</x:f>
        <x:v>#NAME?</x:v>
      </x:c>
      <x:c r="M961" s="152" t="e">
        <x:f>IF(K961="","",K961/MAX(K$5:K961)-1)</x:f>
        <x:v>#NAME?</x:v>
      </x:c>
      <x:c r="N961" s="146" t="e">
        <x:f>IF(OR('实盘净值数据(iFinD公式)'!$A961="",'实盘净值数据(iFinD公式)'!$B961=""),"",分期持仓明细!$AD$24*SUMPRODUCT(分期持仓明细!$B$24:$AA$24,'实盘净值数据(iFinD公式)'!$B961:$AA961/'实盘净值数据(iFinD公式)'!$B$65:$AA$65)*(1-实盘持仓初始配置!$Z$8)^(('实盘净值数据(iFinD公式)'!$A961-'实盘净值数据(iFinD公式)'!$A$5)/365))</x:f>
        <x:v>#NAME?</x:v>
      </x:c>
      <x:c r="O961" s="152" t="e">
        <x:f>IF(OR(N960="",N961=""),"",N961/N960-1)</x:f>
        <x:v>#NAME?</x:v>
      </x:c>
      <x:c r="P961" s="152" t="e">
        <x:f>IF(N961="","",N961/MAX(N$5:N961)-1)</x:f>
        <x:v>#NAME?</x:v>
      </x:c>
      <x:c r="Q961" s="146" t="e">
        <x:f>IF(OR('实盘净值数据(iFinD公式)'!$A961="",'实盘净值数据(iFinD公式)'!$B961=""),"",分期持仓明细!$AD$25*SUMPRODUCT(分期持仓明细!$B$25:$AA$25,'实盘净值数据(iFinD公式)'!$B961:$AA961/'实盘净值数据(iFinD公式)'!$B$65:$AA$65)*(1-实盘持仓初始配置!$Z$9)^(('实盘净值数据(iFinD公式)'!$A961-'实盘净值数据(iFinD公式)'!$A$8)/365))</x:f>
        <x:v>#NAME?</x:v>
      </x:c>
      <x:c r="R961" s="152" t="e">
        <x:f>IF(OR(Q960="",Q961=""),"",Q961/Q960-1)</x:f>
        <x:v>#NAME?</x:v>
      </x:c>
      <x:c r="S961" s="152" t="e">
        <x:f>IF(Q961="","",Q961/MAX(Q$5:Q961)-1)</x:f>
        <x:v>#NAME?</x:v>
      </x:c>
    </x:row>
    <x:row r="962">
      <x:c r="A962" s="149" t="str">
        <x:f>IF('实盘净值数据(iFinD公式)'!A962="","",'实盘净值数据(iFinD公式)'!A962)</x:f>
      </x:c>
      <x:c r="B962" s="146" t="e">
        <x:f>IF(OR('实盘净值数据(iFinD公式)'!$A962="",'实盘净值数据(iFinD公式)'!$B962=""),"",分期持仓明细!$AD$17*SUMPRODUCT(分期持仓明细!$B$17:$AA$17,'实盘净值数据(iFinD公式)'!$B962:$AA962/'实盘净值数据(iFinD公式)'!$B$20:$AA$20)*(1-实盘持仓初始配置!$Z$4)^(('实盘净值数据(iFinD公式)'!$A962-'实盘净值数据(iFinD公式)'!$A$6)/365))</x:f>
        <x:v>#NAME?</x:v>
      </x:c>
      <x:c r="C962" s="152" t="e">
        <x:f>IF(OR(B961="",B962=""),"",B962/B961-1)</x:f>
        <x:v>#NAME?</x:v>
      </x:c>
      <x:c r="D962" s="152" t="e">
        <x:f>IF(B962="","",B962/MAX(B$5:B962)-1)</x:f>
        <x:v>#NAME?</x:v>
      </x:c>
      <x:c r="E962" s="146" t="e">
        <x:f>IF(OR('实盘净值数据(iFinD公式)'!$A962="",'实盘净值数据(iFinD公式)'!$B962=""),"",分期持仓明细!$AD$18*SUMPRODUCT(分期持仓明细!$B$18:$AA$18,'实盘净值数据(iFinD公式)'!$B962:$AA962/'实盘净值数据(iFinD公式)'!$B$20:$AA$20)*(1-实盘持仓初始配置!$Z$5)^(('实盘净值数据(iFinD公式)'!$A962-'实盘净值数据(iFinD公式)'!$A$5)/365))</x:f>
        <x:v>#NAME?</x:v>
      </x:c>
      <x:c r="F962" s="152" t="e">
        <x:f>IF(OR(E961="",E962=""),"",E962/E961-1)</x:f>
        <x:v>#NAME?</x:v>
      </x:c>
      <x:c r="G962" s="152" t="e">
        <x:f>IF(E962="","",E962/MAX(E$5:E962)-1)</x:f>
        <x:v>#NAME?</x:v>
      </x:c>
      <x:c r="H962" s="146" t="e">
        <x:f>IF(OR('实盘净值数据(iFinD公式)'!$A962="",'实盘净值数据(iFinD公式)'!$B962=""),"",分期持仓明细!$AD$19*SUMPRODUCT(分期持仓明细!$B$19:$AA$19,'实盘净值数据(iFinD公式)'!$B962:$AA962/'实盘净值数据(iFinD公式)'!$B$20:$AA$20)*(1-实盘持仓初始配置!$Z$6)^(('实盘净值数据(iFinD公式)'!$A962-'实盘净值数据(iFinD公式)'!$A$7)/365))</x:f>
        <x:v>#NAME?</x:v>
      </x:c>
      <x:c r="I962" s="152" t="e">
        <x:f>IF(OR(H961="",H962=""),"",H962/H961-1)</x:f>
        <x:v>#NAME?</x:v>
      </x:c>
      <x:c r="J962" s="152" t="e">
        <x:f>IF(H962="","",H962/MAX(H$5:H962)-1)</x:f>
        <x:v>#NAME?</x:v>
      </x:c>
      <x:c r="K962" s="146" t="e">
        <x:f>IF(OR('实盘净值数据(iFinD公式)'!$A962="",'实盘净值数据(iFinD公式)'!$B962=""),"",分期持仓明细!$AD$23*SUMPRODUCT(分期持仓明细!$B$23:$AA$23,'实盘净值数据(iFinD公式)'!$B962:$AA962/'实盘净值数据(iFinD公式)'!$B$65:$AA$65)*(1-实盘持仓初始配置!$Z$7)^(('实盘净值数据(iFinD公式)'!$A962-'实盘净值数据(iFinD公式)'!$A$8)/365))</x:f>
        <x:v>#NAME?</x:v>
      </x:c>
      <x:c r="L962" s="152" t="e">
        <x:f>IF(OR(K961="",K962=""),"",K962/K961-1)</x:f>
        <x:v>#NAME?</x:v>
      </x:c>
      <x:c r="M962" s="152" t="e">
        <x:f>IF(K962="","",K962/MAX(K$5:K962)-1)</x:f>
        <x:v>#NAME?</x:v>
      </x:c>
      <x:c r="N962" s="146" t="e">
        <x:f>IF(OR('实盘净值数据(iFinD公式)'!$A962="",'实盘净值数据(iFinD公式)'!$B962=""),"",分期持仓明细!$AD$24*SUMPRODUCT(分期持仓明细!$B$24:$AA$24,'实盘净值数据(iFinD公式)'!$B962:$AA962/'实盘净值数据(iFinD公式)'!$B$65:$AA$65)*(1-实盘持仓初始配置!$Z$8)^(('实盘净值数据(iFinD公式)'!$A962-'实盘净值数据(iFinD公式)'!$A$5)/365))</x:f>
        <x:v>#NAME?</x:v>
      </x:c>
      <x:c r="O962" s="152" t="e">
        <x:f>IF(OR(N961="",N962=""),"",N962/N961-1)</x:f>
        <x:v>#NAME?</x:v>
      </x:c>
      <x:c r="P962" s="152" t="e">
        <x:f>IF(N962="","",N962/MAX(N$5:N962)-1)</x:f>
        <x:v>#NAME?</x:v>
      </x:c>
      <x:c r="Q962" s="146" t="e">
        <x:f>IF(OR('实盘净值数据(iFinD公式)'!$A962="",'实盘净值数据(iFinD公式)'!$B962=""),"",分期持仓明细!$AD$25*SUMPRODUCT(分期持仓明细!$B$25:$AA$25,'实盘净值数据(iFinD公式)'!$B962:$AA962/'实盘净值数据(iFinD公式)'!$B$65:$AA$65)*(1-实盘持仓初始配置!$Z$9)^(('实盘净值数据(iFinD公式)'!$A962-'实盘净值数据(iFinD公式)'!$A$8)/365))</x:f>
        <x:v>#NAME?</x:v>
      </x:c>
      <x:c r="R962" s="152" t="e">
        <x:f>IF(OR(Q961="",Q962=""),"",Q962/Q961-1)</x:f>
        <x:v>#NAME?</x:v>
      </x:c>
      <x:c r="S962" s="152" t="e">
        <x:f>IF(Q962="","",Q962/MAX(Q$5:Q962)-1)</x:f>
        <x:v>#NAME?</x:v>
      </x:c>
    </x:row>
    <x:row r="963">
      <x:c r="A963" s="149" t="str">
        <x:f>IF('实盘净值数据(iFinD公式)'!A963="","",'实盘净值数据(iFinD公式)'!A963)</x:f>
      </x:c>
      <x:c r="B963" s="146" t="e">
        <x:f>IF(OR('实盘净值数据(iFinD公式)'!$A963="",'实盘净值数据(iFinD公式)'!$B963=""),"",分期持仓明细!$AD$17*SUMPRODUCT(分期持仓明细!$B$17:$AA$17,'实盘净值数据(iFinD公式)'!$B963:$AA963/'实盘净值数据(iFinD公式)'!$B$20:$AA$20)*(1-实盘持仓初始配置!$Z$4)^(('实盘净值数据(iFinD公式)'!$A963-'实盘净值数据(iFinD公式)'!$A$6)/365))</x:f>
        <x:v>#NAME?</x:v>
      </x:c>
      <x:c r="C963" s="152" t="e">
        <x:f>IF(OR(B962="",B963=""),"",B963/B962-1)</x:f>
        <x:v>#NAME?</x:v>
      </x:c>
      <x:c r="D963" s="152" t="e">
        <x:f>IF(B963="","",B963/MAX(B$5:B963)-1)</x:f>
        <x:v>#NAME?</x:v>
      </x:c>
      <x:c r="E963" s="146" t="e">
        <x:f>IF(OR('实盘净值数据(iFinD公式)'!$A963="",'实盘净值数据(iFinD公式)'!$B963=""),"",分期持仓明细!$AD$18*SUMPRODUCT(分期持仓明细!$B$18:$AA$18,'实盘净值数据(iFinD公式)'!$B963:$AA963/'实盘净值数据(iFinD公式)'!$B$20:$AA$20)*(1-实盘持仓初始配置!$Z$5)^(('实盘净值数据(iFinD公式)'!$A963-'实盘净值数据(iFinD公式)'!$A$5)/365))</x:f>
        <x:v>#NAME?</x:v>
      </x:c>
      <x:c r="F963" s="152" t="e">
        <x:f>IF(OR(E962="",E963=""),"",E963/E962-1)</x:f>
        <x:v>#NAME?</x:v>
      </x:c>
      <x:c r="G963" s="152" t="e">
        <x:f>IF(E963="","",E963/MAX(E$5:E963)-1)</x:f>
        <x:v>#NAME?</x:v>
      </x:c>
      <x:c r="H963" s="146" t="e">
        <x:f>IF(OR('实盘净值数据(iFinD公式)'!$A963="",'实盘净值数据(iFinD公式)'!$B963=""),"",分期持仓明细!$AD$19*SUMPRODUCT(分期持仓明细!$B$19:$AA$19,'实盘净值数据(iFinD公式)'!$B963:$AA963/'实盘净值数据(iFinD公式)'!$B$20:$AA$20)*(1-实盘持仓初始配置!$Z$6)^(('实盘净值数据(iFinD公式)'!$A963-'实盘净值数据(iFinD公式)'!$A$7)/365))</x:f>
        <x:v>#NAME?</x:v>
      </x:c>
      <x:c r="I963" s="152" t="e">
        <x:f>IF(OR(H962="",H963=""),"",H963/H962-1)</x:f>
        <x:v>#NAME?</x:v>
      </x:c>
      <x:c r="J963" s="152" t="e">
        <x:f>IF(H963="","",H963/MAX(H$5:H963)-1)</x:f>
        <x:v>#NAME?</x:v>
      </x:c>
      <x:c r="K963" s="146" t="e">
        <x:f>IF(OR('实盘净值数据(iFinD公式)'!$A963="",'实盘净值数据(iFinD公式)'!$B963=""),"",分期持仓明细!$AD$23*SUMPRODUCT(分期持仓明细!$B$23:$AA$23,'实盘净值数据(iFinD公式)'!$B963:$AA963/'实盘净值数据(iFinD公式)'!$B$65:$AA$65)*(1-实盘持仓初始配置!$Z$7)^(('实盘净值数据(iFinD公式)'!$A963-'实盘净值数据(iFinD公式)'!$A$8)/365))</x:f>
        <x:v>#NAME?</x:v>
      </x:c>
      <x:c r="L963" s="152" t="e">
        <x:f>IF(OR(K962="",K963=""),"",K963/K962-1)</x:f>
        <x:v>#NAME?</x:v>
      </x:c>
      <x:c r="M963" s="152" t="e">
        <x:f>IF(K963="","",K963/MAX(K$5:K963)-1)</x:f>
        <x:v>#NAME?</x:v>
      </x:c>
      <x:c r="N963" s="146" t="e">
        <x:f>IF(OR('实盘净值数据(iFinD公式)'!$A963="",'实盘净值数据(iFinD公式)'!$B963=""),"",分期持仓明细!$AD$24*SUMPRODUCT(分期持仓明细!$B$24:$AA$24,'实盘净值数据(iFinD公式)'!$B963:$AA963/'实盘净值数据(iFinD公式)'!$B$65:$AA$65)*(1-实盘持仓初始配置!$Z$8)^(('实盘净值数据(iFinD公式)'!$A963-'实盘净值数据(iFinD公式)'!$A$5)/365))</x:f>
        <x:v>#NAME?</x:v>
      </x:c>
      <x:c r="O963" s="152" t="e">
        <x:f>IF(OR(N962="",N963=""),"",N963/N962-1)</x:f>
        <x:v>#NAME?</x:v>
      </x:c>
      <x:c r="P963" s="152" t="e">
        <x:f>IF(N963="","",N963/MAX(N$5:N963)-1)</x:f>
        <x:v>#NAME?</x:v>
      </x:c>
      <x:c r="Q963" s="146" t="e">
        <x:f>IF(OR('实盘净值数据(iFinD公式)'!$A963="",'实盘净值数据(iFinD公式)'!$B963=""),"",分期持仓明细!$AD$25*SUMPRODUCT(分期持仓明细!$B$25:$AA$25,'实盘净值数据(iFinD公式)'!$B963:$AA963/'实盘净值数据(iFinD公式)'!$B$65:$AA$65)*(1-实盘持仓初始配置!$Z$9)^(('实盘净值数据(iFinD公式)'!$A963-'实盘净值数据(iFinD公式)'!$A$8)/365))</x:f>
        <x:v>#NAME?</x:v>
      </x:c>
      <x:c r="R963" s="152" t="e">
        <x:f>IF(OR(Q962="",Q963=""),"",Q963/Q962-1)</x:f>
        <x:v>#NAME?</x:v>
      </x:c>
      <x:c r="S963" s="152" t="e">
        <x:f>IF(Q963="","",Q963/MAX(Q$5:Q963)-1)</x:f>
        <x:v>#NAME?</x:v>
      </x:c>
    </x:row>
    <x:row r="964">
      <x:c r="A964" s="149" t="str">
        <x:f>IF('实盘净值数据(iFinD公式)'!A964="","",'实盘净值数据(iFinD公式)'!A964)</x:f>
      </x:c>
      <x:c r="B964" s="146" t="e">
        <x:f>IF(OR('实盘净值数据(iFinD公式)'!$A964="",'实盘净值数据(iFinD公式)'!$B964=""),"",分期持仓明细!$AD$17*SUMPRODUCT(分期持仓明细!$B$17:$AA$17,'实盘净值数据(iFinD公式)'!$B964:$AA964/'实盘净值数据(iFinD公式)'!$B$20:$AA$20)*(1-实盘持仓初始配置!$Z$4)^(('实盘净值数据(iFinD公式)'!$A964-'实盘净值数据(iFinD公式)'!$A$6)/365))</x:f>
        <x:v>#NAME?</x:v>
      </x:c>
      <x:c r="C964" s="152" t="e">
        <x:f>IF(OR(B963="",B964=""),"",B964/B963-1)</x:f>
        <x:v>#NAME?</x:v>
      </x:c>
      <x:c r="D964" s="152" t="e">
        <x:f>IF(B964="","",B964/MAX(B$5:B964)-1)</x:f>
        <x:v>#NAME?</x:v>
      </x:c>
      <x:c r="E964" s="146" t="e">
        <x:f>IF(OR('实盘净值数据(iFinD公式)'!$A964="",'实盘净值数据(iFinD公式)'!$B964=""),"",分期持仓明细!$AD$18*SUMPRODUCT(分期持仓明细!$B$18:$AA$18,'实盘净值数据(iFinD公式)'!$B964:$AA964/'实盘净值数据(iFinD公式)'!$B$20:$AA$20)*(1-实盘持仓初始配置!$Z$5)^(('实盘净值数据(iFinD公式)'!$A964-'实盘净值数据(iFinD公式)'!$A$5)/365))</x:f>
        <x:v>#NAME?</x:v>
      </x:c>
      <x:c r="F964" s="152" t="e">
        <x:f>IF(OR(E963="",E964=""),"",E964/E963-1)</x:f>
        <x:v>#NAME?</x:v>
      </x:c>
      <x:c r="G964" s="152" t="e">
        <x:f>IF(E964="","",E964/MAX(E$5:E964)-1)</x:f>
        <x:v>#NAME?</x:v>
      </x:c>
      <x:c r="H964" s="146" t="e">
        <x:f>IF(OR('实盘净值数据(iFinD公式)'!$A964="",'实盘净值数据(iFinD公式)'!$B964=""),"",分期持仓明细!$AD$19*SUMPRODUCT(分期持仓明细!$B$19:$AA$19,'实盘净值数据(iFinD公式)'!$B964:$AA964/'实盘净值数据(iFinD公式)'!$B$20:$AA$20)*(1-实盘持仓初始配置!$Z$6)^(('实盘净值数据(iFinD公式)'!$A964-'实盘净值数据(iFinD公式)'!$A$7)/365))</x:f>
        <x:v>#NAME?</x:v>
      </x:c>
      <x:c r="I964" s="152" t="e">
        <x:f>IF(OR(H963="",H964=""),"",H964/H963-1)</x:f>
        <x:v>#NAME?</x:v>
      </x:c>
      <x:c r="J964" s="152" t="e">
        <x:f>IF(H964="","",H964/MAX(H$5:H964)-1)</x:f>
        <x:v>#NAME?</x:v>
      </x:c>
      <x:c r="K964" s="146" t="e">
        <x:f>IF(OR('实盘净值数据(iFinD公式)'!$A964="",'实盘净值数据(iFinD公式)'!$B964=""),"",分期持仓明细!$AD$23*SUMPRODUCT(分期持仓明细!$B$23:$AA$23,'实盘净值数据(iFinD公式)'!$B964:$AA964/'实盘净值数据(iFinD公式)'!$B$65:$AA$65)*(1-实盘持仓初始配置!$Z$7)^(('实盘净值数据(iFinD公式)'!$A964-'实盘净值数据(iFinD公式)'!$A$8)/365))</x:f>
        <x:v>#NAME?</x:v>
      </x:c>
      <x:c r="L964" s="152" t="e">
        <x:f>IF(OR(K963="",K964=""),"",K964/K963-1)</x:f>
        <x:v>#NAME?</x:v>
      </x:c>
      <x:c r="M964" s="152" t="e">
        <x:f>IF(K964="","",K964/MAX(K$5:K964)-1)</x:f>
        <x:v>#NAME?</x:v>
      </x:c>
      <x:c r="N964" s="146" t="e">
        <x:f>IF(OR('实盘净值数据(iFinD公式)'!$A964="",'实盘净值数据(iFinD公式)'!$B964=""),"",分期持仓明细!$AD$24*SUMPRODUCT(分期持仓明细!$B$24:$AA$24,'实盘净值数据(iFinD公式)'!$B964:$AA964/'实盘净值数据(iFinD公式)'!$B$65:$AA$65)*(1-实盘持仓初始配置!$Z$8)^(('实盘净值数据(iFinD公式)'!$A964-'实盘净值数据(iFinD公式)'!$A$5)/365))</x:f>
        <x:v>#NAME?</x:v>
      </x:c>
      <x:c r="O964" s="152" t="e">
        <x:f>IF(OR(N963="",N964=""),"",N964/N963-1)</x:f>
        <x:v>#NAME?</x:v>
      </x:c>
      <x:c r="P964" s="152" t="e">
        <x:f>IF(N964="","",N964/MAX(N$5:N964)-1)</x:f>
        <x:v>#NAME?</x:v>
      </x:c>
      <x:c r="Q964" s="146" t="e">
        <x:f>IF(OR('实盘净值数据(iFinD公式)'!$A964="",'实盘净值数据(iFinD公式)'!$B964=""),"",分期持仓明细!$AD$25*SUMPRODUCT(分期持仓明细!$B$25:$AA$25,'实盘净值数据(iFinD公式)'!$B964:$AA964/'实盘净值数据(iFinD公式)'!$B$65:$AA$65)*(1-实盘持仓初始配置!$Z$9)^(('实盘净值数据(iFinD公式)'!$A964-'实盘净值数据(iFinD公式)'!$A$8)/365))</x:f>
        <x:v>#NAME?</x:v>
      </x:c>
      <x:c r="R964" s="152" t="e">
        <x:f>IF(OR(Q963="",Q964=""),"",Q964/Q963-1)</x:f>
        <x:v>#NAME?</x:v>
      </x:c>
      <x:c r="S964" s="152" t="e">
        <x:f>IF(Q964="","",Q964/MAX(Q$5:Q964)-1)</x:f>
        <x:v>#NAME?</x:v>
      </x:c>
    </x:row>
    <x:row r="965">
      <x:c r="A965" s="149" t="str">
        <x:f>IF('实盘净值数据(iFinD公式)'!A965="","",'实盘净值数据(iFinD公式)'!A965)</x:f>
      </x:c>
      <x:c r="B965" s="146" t="e">
        <x:f>IF(OR('实盘净值数据(iFinD公式)'!$A965="",'实盘净值数据(iFinD公式)'!$B965=""),"",分期持仓明细!$AD$17*SUMPRODUCT(分期持仓明细!$B$17:$AA$17,'实盘净值数据(iFinD公式)'!$B965:$AA965/'实盘净值数据(iFinD公式)'!$B$20:$AA$20)*(1-实盘持仓初始配置!$Z$4)^(('实盘净值数据(iFinD公式)'!$A965-'实盘净值数据(iFinD公式)'!$A$6)/365))</x:f>
        <x:v>#NAME?</x:v>
      </x:c>
      <x:c r="C965" s="152" t="e">
        <x:f>IF(OR(B964="",B965=""),"",B965/B964-1)</x:f>
        <x:v>#NAME?</x:v>
      </x:c>
      <x:c r="D965" s="152" t="e">
        <x:f>IF(B965="","",B965/MAX(B$5:B965)-1)</x:f>
        <x:v>#NAME?</x:v>
      </x:c>
      <x:c r="E965" s="146" t="e">
        <x:f>IF(OR('实盘净值数据(iFinD公式)'!$A965="",'实盘净值数据(iFinD公式)'!$B965=""),"",分期持仓明细!$AD$18*SUMPRODUCT(分期持仓明细!$B$18:$AA$18,'实盘净值数据(iFinD公式)'!$B965:$AA965/'实盘净值数据(iFinD公式)'!$B$20:$AA$20)*(1-实盘持仓初始配置!$Z$5)^(('实盘净值数据(iFinD公式)'!$A965-'实盘净值数据(iFinD公式)'!$A$5)/365))</x:f>
        <x:v>#NAME?</x:v>
      </x:c>
      <x:c r="F965" s="152" t="e">
        <x:f>IF(OR(E964="",E965=""),"",E965/E964-1)</x:f>
        <x:v>#NAME?</x:v>
      </x:c>
      <x:c r="G965" s="152" t="e">
        <x:f>IF(E965="","",E965/MAX(E$5:E965)-1)</x:f>
        <x:v>#NAME?</x:v>
      </x:c>
      <x:c r="H965" s="146" t="e">
        <x:f>IF(OR('实盘净值数据(iFinD公式)'!$A965="",'实盘净值数据(iFinD公式)'!$B965=""),"",分期持仓明细!$AD$19*SUMPRODUCT(分期持仓明细!$B$19:$AA$19,'实盘净值数据(iFinD公式)'!$B965:$AA965/'实盘净值数据(iFinD公式)'!$B$20:$AA$20)*(1-实盘持仓初始配置!$Z$6)^(('实盘净值数据(iFinD公式)'!$A965-'实盘净值数据(iFinD公式)'!$A$7)/365))</x:f>
        <x:v>#NAME?</x:v>
      </x:c>
      <x:c r="I965" s="152" t="e">
        <x:f>IF(OR(H964="",H965=""),"",H965/H964-1)</x:f>
        <x:v>#NAME?</x:v>
      </x:c>
      <x:c r="J965" s="152" t="e">
        <x:f>IF(H965="","",H965/MAX(H$5:H965)-1)</x:f>
        <x:v>#NAME?</x:v>
      </x:c>
      <x:c r="K965" s="146" t="e">
        <x:f>IF(OR('实盘净值数据(iFinD公式)'!$A965="",'实盘净值数据(iFinD公式)'!$B965=""),"",分期持仓明细!$AD$23*SUMPRODUCT(分期持仓明细!$B$23:$AA$23,'实盘净值数据(iFinD公式)'!$B965:$AA965/'实盘净值数据(iFinD公式)'!$B$65:$AA$65)*(1-实盘持仓初始配置!$Z$7)^(('实盘净值数据(iFinD公式)'!$A965-'实盘净值数据(iFinD公式)'!$A$8)/365))</x:f>
        <x:v>#NAME?</x:v>
      </x:c>
      <x:c r="L965" s="152" t="e">
        <x:f>IF(OR(K964="",K965=""),"",K965/K964-1)</x:f>
        <x:v>#NAME?</x:v>
      </x:c>
      <x:c r="M965" s="152" t="e">
        <x:f>IF(K965="","",K965/MAX(K$5:K965)-1)</x:f>
        <x:v>#NAME?</x:v>
      </x:c>
      <x:c r="N965" s="146" t="e">
        <x:f>IF(OR('实盘净值数据(iFinD公式)'!$A965="",'实盘净值数据(iFinD公式)'!$B965=""),"",分期持仓明细!$AD$24*SUMPRODUCT(分期持仓明细!$B$24:$AA$24,'实盘净值数据(iFinD公式)'!$B965:$AA965/'实盘净值数据(iFinD公式)'!$B$65:$AA$65)*(1-实盘持仓初始配置!$Z$8)^(('实盘净值数据(iFinD公式)'!$A965-'实盘净值数据(iFinD公式)'!$A$5)/365))</x:f>
        <x:v>#NAME?</x:v>
      </x:c>
      <x:c r="O965" s="152" t="e">
        <x:f>IF(OR(N964="",N965=""),"",N965/N964-1)</x:f>
        <x:v>#NAME?</x:v>
      </x:c>
      <x:c r="P965" s="152" t="e">
        <x:f>IF(N965="","",N965/MAX(N$5:N965)-1)</x:f>
        <x:v>#NAME?</x:v>
      </x:c>
      <x:c r="Q965" s="146" t="e">
        <x:f>IF(OR('实盘净值数据(iFinD公式)'!$A965="",'实盘净值数据(iFinD公式)'!$B965=""),"",分期持仓明细!$AD$25*SUMPRODUCT(分期持仓明细!$B$25:$AA$25,'实盘净值数据(iFinD公式)'!$B965:$AA965/'实盘净值数据(iFinD公式)'!$B$65:$AA$65)*(1-实盘持仓初始配置!$Z$9)^(('实盘净值数据(iFinD公式)'!$A965-'实盘净值数据(iFinD公式)'!$A$8)/365))</x:f>
        <x:v>#NAME?</x:v>
      </x:c>
      <x:c r="R965" s="152" t="e">
        <x:f>IF(OR(Q964="",Q965=""),"",Q965/Q964-1)</x:f>
        <x:v>#NAME?</x:v>
      </x:c>
      <x:c r="S965" s="152" t="e">
        <x:f>IF(Q965="","",Q965/MAX(Q$5:Q965)-1)</x:f>
        <x:v>#NAME?</x:v>
      </x:c>
    </x:row>
    <x:row r="966">
      <x:c r="A966" s="149" t="str">
        <x:f>IF('实盘净值数据(iFinD公式)'!A966="","",'实盘净值数据(iFinD公式)'!A966)</x:f>
      </x:c>
      <x:c r="B966" s="146" t="e">
        <x:f>IF(OR('实盘净值数据(iFinD公式)'!$A966="",'实盘净值数据(iFinD公式)'!$B966=""),"",分期持仓明细!$AD$17*SUMPRODUCT(分期持仓明细!$B$17:$AA$17,'实盘净值数据(iFinD公式)'!$B966:$AA966/'实盘净值数据(iFinD公式)'!$B$20:$AA$20)*(1-实盘持仓初始配置!$Z$4)^(('实盘净值数据(iFinD公式)'!$A966-'实盘净值数据(iFinD公式)'!$A$6)/365))</x:f>
        <x:v>#NAME?</x:v>
      </x:c>
      <x:c r="C966" s="152" t="e">
        <x:f>IF(OR(B965="",B966=""),"",B966/B965-1)</x:f>
        <x:v>#NAME?</x:v>
      </x:c>
      <x:c r="D966" s="152" t="e">
        <x:f>IF(B966="","",B966/MAX(B$5:B966)-1)</x:f>
        <x:v>#NAME?</x:v>
      </x:c>
      <x:c r="E966" s="146" t="e">
        <x:f>IF(OR('实盘净值数据(iFinD公式)'!$A966="",'实盘净值数据(iFinD公式)'!$B966=""),"",分期持仓明细!$AD$18*SUMPRODUCT(分期持仓明细!$B$18:$AA$18,'实盘净值数据(iFinD公式)'!$B966:$AA966/'实盘净值数据(iFinD公式)'!$B$20:$AA$20)*(1-实盘持仓初始配置!$Z$5)^(('实盘净值数据(iFinD公式)'!$A966-'实盘净值数据(iFinD公式)'!$A$5)/365))</x:f>
        <x:v>#NAME?</x:v>
      </x:c>
      <x:c r="F966" s="152" t="e">
        <x:f>IF(OR(E965="",E966=""),"",E966/E965-1)</x:f>
        <x:v>#NAME?</x:v>
      </x:c>
      <x:c r="G966" s="152" t="e">
        <x:f>IF(E966="","",E966/MAX(E$5:E966)-1)</x:f>
        <x:v>#NAME?</x:v>
      </x:c>
      <x:c r="H966" s="146" t="e">
        <x:f>IF(OR('实盘净值数据(iFinD公式)'!$A966="",'实盘净值数据(iFinD公式)'!$B966=""),"",分期持仓明细!$AD$19*SUMPRODUCT(分期持仓明细!$B$19:$AA$19,'实盘净值数据(iFinD公式)'!$B966:$AA966/'实盘净值数据(iFinD公式)'!$B$20:$AA$20)*(1-实盘持仓初始配置!$Z$6)^(('实盘净值数据(iFinD公式)'!$A966-'实盘净值数据(iFinD公式)'!$A$7)/365))</x:f>
        <x:v>#NAME?</x:v>
      </x:c>
      <x:c r="I966" s="152" t="e">
        <x:f>IF(OR(H965="",H966=""),"",H966/H965-1)</x:f>
        <x:v>#NAME?</x:v>
      </x:c>
      <x:c r="J966" s="152" t="e">
        <x:f>IF(H966="","",H966/MAX(H$5:H966)-1)</x:f>
        <x:v>#NAME?</x:v>
      </x:c>
      <x:c r="K966" s="146" t="e">
        <x:f>IF(OR('实盘净值数据(iFinD公式)'!$A966="",'实盘净值数据(iFinD公式)'!$B966=""),"",分期持仓明细!$AD$23*SUMPRODUCT(分期持仓明细!$B$23:$AA$23,'实盘净值数据(iFinD公式)'!$B966:$AA966/'实盘净值数据(iFinD公式)'!$B$65:$AA$65)*(1-实盘持仓初始配置!$Z$7)^(('实盘净值数据(iFinD公式)'!$A966-'实盘净值数据(iFinD公式)'!$A$8)/365))</x:f>
        <x:v>#NAME?</x:v>
      </x:c>
      <x:c r="L966" s="152" t="e">
        <x:f>IF(OR(K965="",K966=""),"",K966/K965-1)</x:f>
        <x:v>#NAME?</x:v>
      </x:c>
      <x:c r="M966" s="152" t="e">
        <x:f>IF(K966="","",K966/MAX(K$5:K966)-1)</x:f>
        <x:v>#NAME?</x:v>
      </x:c>
      <x:c r="N966" s="146" t="e">
        <x:f>IF(OR('实盘净值数据(iFinD公式)'!$A966="",'实盘净值数据(iFinD公式)'!$B966=""),"",分期持仓明细!$AD$24*SUMPRODUCT(分期持仓明细!$B$24:$AA$24,'实盘净值数据(iFinD公式)'!$B966:$AA966/'实盘净值数据(iFinD公式)'!$B$65:$AA$65)*(1-实盘持仓初始配置!$Z$8)^(('实盘净值数据(iFinD公式)'!$A966-'实盘净值数据(iFinD公式)'!$A$5)/365))</x:f>
        <x:v>#NAME?</x:v>
      </x:c>
      <x:c r="O966" s="152" t="e">
        <x:f>IF(OR(N965="",N966=""),"",N966/N965-1)</x:f>
        <x:v>#NAME?</x:v>
      </x:c>
      <x:c r="P966" s="152" t="e">
        <x:f>IF(N966="","",N966/MAX(N$5:N966)-1)</x:f>
        <x:v>#NAME?</x:v>
      </x:c>
      <x:c r="Q966" s="146" t="e">
        <x:f>IF(OR('实盘净值数据(iFinD公式)'!$A966="",'实盘净值数据(iFinD公式)'!$B966=""),"",分期持仓明细!$AD$25*SUMPRODUCT(分期持仓明细!$B$25:$AA$25,'实盘净值数据(iFinD公式)'!$B966:$AA966/'实盘净值数据(iFinD公式)'!$B$65:$AA$65)*(1-实盘持仓初始配置!$Z$9)^(('实盘净值数据(iFinD公式)'!$A966-'实盘净值数据(iFinD公式)'!$A$8)/365))</x:f>
        <x:v>#NAME?</x:v>
      </x:c>
      <x:c r="R966" s="152" t="e">
        <x:f>IF(OR(Q965="",Q966=""),"",Q966/Q965-1)</x:f>
        <x:v>#NAME?</x:v>
      </x:c>
      <x:c r="S966" s="152" t="e">
        <x:f>IF(Q966="","",Q966/MAX(Q$5:Q966)-1)</x:f>
        <x:v>#NAME?</x:v>
      </x:c>
    </x:row>
    <x:row r="967">
      <x:c r="A967" s="149" t="str">
        <x:f>IF('实盘净值数据(iFinD公式)'!A967="","",'实盘净值数据(iFinD公式)'!A967)</x:f>
      </x:c>
      <x:c r="B967" s="146" t="e">
        <x:f>IF(OR('实盘净值数据(iFinD公式)'!$A967="",'实盘净值数据(iFinD公式)'!$B967=""),"",分期持仓明细!$AD$17*SUMPRODUCT(分期持仓明细!$B$17:$AA$17,'实盘净值数据(iFinD公式)'!$B967:$AA967/'实盘净值数据(iFinD公式)'!$B$20:$AA$20)*(1-实盘持仓初始配置!$Z$4)^(('实盘净值数据(iFinD公式)'!$A967-'实盘净值数据(iFinD公式)'!$A$6)/365))</x:f>
        <x:v>#NAME?</x:v>
      </x:c>
      <x:c r="C967" s="152" t="e">
        <x:f>IF(OR(B966="",B967=""),"",B967/B966-1)</x:f>
        <x:v>#NAME?</x:v>
      </x:c>
      <x:c r="D967" s="152" t="e">
        <x:f>IF(B967="","",B967/MAX(B$5:B967)-1)</x:f>
        <x:v>#NAME?</x:v>
      </x:c>
      <x:c r="E967" s="146" t="e">
        <x:f>IF(OR('实盘净值数据(iFinD公式)'!$A967="",'实盘净值数据(iFinD公式)'!$B967=""),"",分期持仓明细!$AD$18*SUMPRODUCT(分期持仓明细!$B$18:$AA$18,'实盘净值数据(iFinD公式)'!$B967:$AA967/'实盘净值数据(iFinD公式)'!$B$20:$AA$20)*(1-实盘持仓初始配置!$Z$5)^(('实盘净值数据(iFinD公式)'!$A967-'实盘净值数据(iFinD公式)'!$A$5)/365))</x:f>
        <x:v>#NAME?</x:v>
      </x:c>
      <x:c r="F967" s="152" t="e">
        <x:f>IF(OR(E966="",E967=""),"",E967/E966-1)</x:f>
        <x:v>#NAME?</x:v>
      </x:c>
      <x:c r="G967" s="152" t="e">
        <x:f>IF(E967="","",E967/MAX(E$5:E967)-1)</x:f>
        <x:v>#NAME?</x:v>
      </x:c>
      <x:c r="H967" s="146" t="e">
        <x:f>IF(OR('实盘净值数据(iFinD公式)'!$A967="",'实盘净值数据(iFinD公式)'!$B967=""),"",分期持仓明细!$AD$19*SUMPRODUCT(分期持仓明细!$B$19:$AA$19,'实盘净值数据(iFinD公式)'!$B967:$AA967/'实盘净值数据(iFinD公式)'!$B$20:$AA$20)*(1-实盘持仓初始配置!$Z$6)^(('实盘净值数据(iFinD公式)'!$A967-'实盘净值数据(iFinD公式)'!$A$7)/365))</x:f>
        <x:v>#NAME?</x:v>
      </x:c>
      <x:c r="I967" s="152" t="e">
        <x:f>IF(OR(H966="",H967=""),"",H967/H966-1)</x:f>
        <x:v>#NAME?</x:v>
      </x:c>
      <x:c r="J967" s="152" t="e">
        <x:f>IF(H967="","",H967/MAX(H$5:H967)-1)</x:f>
        <x:v>#NAME?</x:v>
      </x:c>
      <x:c r="K967" s="146" t="e">
        <x:f>IF(OR('实盘净值数据(iFinD公式)'!$A967="",'实盘净值数据(iFinD公式)'!$B967=""),"",分期持仓明细!$AD$23*SUMPRODUCT(分期持仓明细!$B$23:$AA$23,'实盘净值数据(iFinD公式)'!$B967:$AA967/'实盘净值数据(iFinD公式)'!$B$65:$AA$65)*(1-实盘持仓初始配置!$Z$7)^(('实盘净值数据(iFinD公式)'!$A967-'实盘净值数据(iFinD公式)'!$A$8)/365))</x:f>
        <x:v>#NAME?</x:v>
      </x:c>
      <x:c r="L967" s="152" t="e">
        <x:f>IF(OR(K966="",K967=""),"",K967/K966-1)</x:f>
        <x:v>#NAME?</x:v>
      </x:c>
      <x:c r="M967" s="152" t="e">
        <x:f>IF(K967="","",K967/MAX(K$5:K967)-1)</x:f>
        <x:v>#NAME?</x:v>
      </x:c>
      <x:c r="N967" s="146" t="e">
        <x:f>IF(OR('实盘净值数据(iFinD公式)'!$A967="",'实盘净值数据(iFinD公式)'!$B967=""),"",分期持仓明细!$AD$24*SUMPRODUCT(分期持仓明细!$B$24:$AA$24,'实盘净值数据(iFinD公式)'!$B967:$AA967/'实盘净值数据(iFinD公式)'!$B$65:$AA$65)*(1-实盘持仓初始配置!$Z$8)^(('实盘净值数据(iFinD公式)'!$A967-'实盘净值数据(iFinD公式)'!$A$5)/365))</x:f>
        <x:v>#NAME?</x:v>
      </x:c>
      <x:c r="O967" s="152" t="e">
        <x:f>IF(OR(N966="",N967=""),"",N967/N966-1)</x:f>
        <x:v>#NAME?</x:v>
      </x:c>
      <x:c r="P967" s="152" t="e">
        <x:f>IF(N967="","",N967/MAX(N$5:N967)-1)</x:f>
        <x:v>#NAME?</x:v>
      </x:c>
      <x:c r="Q967" s="146" t="e">
        <x:f>IF(OR('实盘净值数据(iFinD公式)'!$A967="",'实盘净值数据(iFinD公式)'!$B967=""),"",分期持仓明细!$AD$25*SUMPRODUCT(分期持仓明细!$B$25:$AA$25,'实盘净值数据(iFinD公式)'!$B967:$AA967/'实盘净值数据(iFinD公式)'!$B$65:$AA$65)*(1-实盘持仓初始配置!$Z$9)^(('实盘净值数据(iFinD公式)'!$A967-'实盘净值数据(iFinD公式)'!$A$8)/365))</x:f>
        <x:v>#NAME?</x:v>
      </x:c>
      <x:c r="R967" s="152" t="e">
        <x:f>IF(OR(Q966="",Q967=""),"",Q967/Q966-1)</x:f>
        <x:v>#NAME?</x:v>
      </x:c>
      <x:c r="S967" s="152" t="e">
        <x:f>IF(Q967="","",Q967/MAX(Q$5:Q967)-1)</x:f>
        <x:v>#NAME?</x:v>
      </x:c>
    </x:row>
    <x:row r="968">
      <x:c r="A968" s="149" t="str">
        <x:f>IF('实盘净值数据(iFinD公式)'!A968="","",'实盘净值数据(iFinD公式)'!A968)</x:f>
      </x:c>
      <x:c r="B968" s="146" t="e">
        <x:f>IF(OR('实盘净值数据(iFinD公式)'!$A968="",'实盘净值数据(iFinD公式)'!$B968=""),"",分期持仓明细!$AD$17*SUMPRODUCT(分期持仓明细!$B$17:$AA$17,'实盘净值数据(iFinD公式)'!$B968:$AA968/'实盘净值数据(iFinD公式)'!$B$20:$AA$20)*(1-实盘持仓初始配置!$Z$4)^(('实盘净值数据(iFinD公式)'!$A968-'实盘净值数据(iFinD公式)'!$A$6)/365))</x:f>
        <x:v>#NAME?</x:v>
      </x:c>
      <x:c r="C968" s="152" t="e">
        <x:f>IF(OR(B967="",B968=""),"",B968/B967-1)</x:f>
        <x:v>#NAME?</x:v>
      </x:c>
      <x:c r="D968" s="152" t="e">
        <x:f>IF(B968="","",B968/MAX(B$5:B968)-1)</x:f>
        <x:v>#NAME?</x:v>
      </x:c>
      <x:c r="E968" s="146" t="e">
        <x:f>IF(OR('实盘净值数据(iFinD公式)'!$A968="",'实盘净值数据(iFinD公式)'!$B968=""),"",分期持仓明细!$AD$18*SUMPRODUCT(分期持仓明细!$B$18:$AA$18,'实盘净值数据(iFinD公式)'!$B968:$AA968/'实盘净值数据(iFinD公式)'!$B$20:$AA$20)*(1-实盘持仓初始配置!$Z$5)^(('实盘净值数据(iFinD公式)'!$A968-'实盘净值数据(iFinD公式)'!$A$5)/365))</x:f>
        <x:v>#NAME?</x:v>
      </x:c>
      <x:c r="F968" s="152" t="e">
        <x:f>IF(OR(E967="",E968=""),"",E968/E967-1)</x:f>
        <x:v>#NAME?</x:v>
      </x:c>
      <x:c r="G968" s="152" t="e">
        <x:f>IF(E968="","",E968/MAX(E$5:E968)-1)</x:f>
        <x:v>#NAME?</x:v>
      </x:c>
      <x:c r="H968" s="146" t="e">
        <x:f>IF(OR('实盘净值数据(iFinD公式)'!$A968="",'实盘净值数据(iFinD公式)'!$B968=""),"",分期持仓明细!$AD$19*SUMPRODUCT(分期持仓明细!$B$19:$AA$19,'实盘净值数据(iFinD公式)'!$B968:$AA968/'实盘净值数据(iFinD公式)'!$B$20:$AA$20)*(1-实盘持仓初始配置!$Z$6)^(('实盘净值数据(iFinD公式)'!$A968-'实盘净值数据(iFinD公式)'!$A$7)/365))</x:f>
        <x:v>#NAME?</x:v>
      </x:c>
      <x:c r="I968" s="152" t="e">
        <x:f>IF(OR(H967="",H968=""),"",H968/H967-1)</x:f>
        <x:v>#NAME?</x:v>
      </x:c>
      <x:c r="J968" s="152" t="e">
        <x:f>IF(H968="","",H968/MAX(H$5:H968)-1)</x:f>
        <x:v>#NAME?</x:v>
      </x:c>
      <x:c r="K968" s="146" t="e">
        <x:f>IF(OR('实盘净值数据(iFinD公式)'!$A968="",'实盘净值数据(iFinD公式)'!$B968=""),"",分期持仓明细!$AD$23*SUMPRODUCT(分期持仓明细!$B$23:$AA$23,'实盘净值数据(iFinD公式)'!$B968:$AA968/'实盘净值数据(iFinD公式)'!$B$65:$AA$65)*(1-实盘持仓初始配置!$Z$7)^(('实盘净值数据(iFinD公式)'!$A968-'实盘净值数据(iFinD公式)'!$A$8)/365))</x:f>
        <x:v>#NAME?</x:v>
      </x:c>
      <x:c r="L968" s="152" t="e">
        <x:f>IF(OR(K967="",K968=""),"",K968/K967-1)</x:f>
        <x:v>#NAME?</x:v>
      </x:c>
      <x:c r="M968" s="152" t="e">
        <x:f>IF(K968="","",K968/MAX(K$5:K968)-1)</x:f>
        <x:v>#NAME?</x:v>
      </x:c>
      <x:c r="N968" s="146" t="e">
        <x:f>IF(OR('实盘净值数据(iFinD公式)'!$A968="",'实盘净值数据(iFinD公式)'!$B968=""),"",分期持仓明细!$AD$24*SUMPRODUCT(分期持仓明细!$B$24:$AA$24,'实盘净值数据(iFinD公式)'!$B968:$AA968/'实盘净值数据(iFinD公式)'!$B$65:$AA$65)*(1-实盘持仓初始配置!$Z$8)^(('实盘净值数据(iFinD公式)'!$A968-'实盘净值数据(iFinD公式)'!$A$5)/365))</x:f>
        <x:v>#NAME?</x:v>
      </x:c>
      <x:c r="O968" s="152" t="e">
        <x:f>IF(OR(N967="",N968=""),"",N968/N967-1)</x:f>
        <x:v>#NAME?</x:v>
      </x:c>
      <x:c r="P968" s="152" t="e">
        <x:f>IF(N968="","",N968/MAX(N$5:N968)-1)</x:f>
        <x:v>#NAME?</x:v>
      </x:c>
      <x:c r="Q968" s="146" t="e">
        <x:f>IF(OR('实盘净值数据(iFinD公式)'!$A968="",'实盘净值数据(iFinD公式)'!$B968=""),"",分期持仓明细!$AD$25*SUMPRODUCT(分期持仓明细!$B$25:$AA$25,'实盘净值数据(iFinD公式)'!$B968:$AA968/'实盘净值数据(iFinD公式)'!$B$65:$AA$65)*(1-实盘持仓初始配置!$Z$9)^(('实盘净值数据(iFinD公式)'!$A968-'实盘净值数据(iFinD公式)'!$A$8)/365))</x:f>
        <x:v>#NAME?</x:v>
      </x:c>
      <x:c r="R968" s="152" t="e">
        <x:f>IF(OR(Q967="",Q968=""),"",Q968/Q967-1)</x:f>
        <x:v>#NAME?</x:v>
      </x:c>
      <x:c r="S968" s="152" t="e">
        <x:f>IF(Q968="","",Q968/MAX(Q$5:Q968)-1)</x:f>
        <x:v>#NAME?</x:v>
      </x:c>
    </x:row>
    <x:row r="969">
      <x:c r="A969" s="149" t="str">
        <x:f>IF('实盘净值数据(iFinD公式)'!A969="","",'实盘净值数据(iFinD公式)'!A969)</x:f>
      </x:c>
      <x:c r="B969" s="146" t="e">
        <x:f>IF(OR('实盘净值数据(iFinD公式)'!$A969="",'实盘净值数据(iFinD公式)'!$B969=""),"",分期持仓明细!$AD$17*SUMPRODUCT(分期持仓明细!$B$17:$AA$17,'实盘净值数据(iFinD公式)'!$B969:$AA969/'实盘净值数据(iFinD公式)'!$B$20:$AA$20)*(1-实盘持仓初始配置!$Z$4)^(('实盘净值数据(iFinD公式)'!$A969-'实盘净值数据(iFinD公式)'!$A$6)/365))</x:f>
        <x:v>#NAME?</x:v>
      </x:c>
      <x:c r="C969" s="152" t="e">
        <x:f>IF(OR(B968="",B969=""),"",B969/B968-1)</x:f>
        <x:v>#NAME?</x:v>
      </x:c>
      <x:c r="D969" s="152" t="e">
        <x:f>IF(B969="","",B969/MAX(B$5:B969)-1)</x:f>
        <x:v>#NAME?</x:v>
      </x:c>
      <x:c r="E969" s="146" t="e">
        <x:f>IF(OR('实盘净值数据(iFinD公式)'!$A969="",'实盘净值数据(iFinD公式)'!$B969=""),"",分期持仓明细!$AD$18*SUMPRODUCT(分期持仓明细!$B$18:$AA$18,'实盘净值数据(iFinD公式)'!$B969:$AA969/'实盘净值数据(iFinD公式)'!$B$20:$AA$20)*(1-实盘持仓初始配置!$Z$5)^(('实盘净值数据(iFinD公式)'!$A969-'实盘净值数据(iFinD公式)'!$A$5)/365))</x:f>
        <x:v>#NAME?</x:v>
      </x:c>
      <x:c r="F969" s="152" t="e">
        <x:f>IF(OR(E968="",E969=""),"",E969/E968-1)</x:f>
        <x:v>#NAME?</x:v>
      </x:c>
      <x:c r="G969" s="152" t="e">
        <x:f>IF(E969="","",E969/MAX(E$5:E969)-1)</x:f>
        <x:v>#NAME?</x:v>
      </x:c>
      <x:c r="H969" s="146" t="e">
        <x:f>IF(OR('实盘净值数据(iFinD公式)'!$A969="",'实盘净值数据(iFinD公式)'!$B969=""),"",分期持仓明细!$AD$19*SUMPRODUCT(分期持仓明细!$B$19:$AA$19,'实盘净值数据(iFinD公式)'!$B969:$AA969/'实盘净值数据(iFinD公式)'!$B$20:$AA$20)*(1-实盘持仓初始配置!$Z$6)^(('实盘净值数据(iFinD公式)'!$A969-'实盘净值数据(iFinD公式)'!$A$7)/365))</x:f>
        <x:v>#NAME?</x:v>
      </x:c>
      <x:c r="I969" s="152" t="e">
        <x:f>IF(OR(H968="",H969=""),"",H969/H968-1)</x:f>
        <x:v>#NAME?</x:v>
      </x:c>
      <x:c r="J969" s="152" t="e">
        <x:f>IF(H969="","",H969/MAX(H$5:H969)-1)</x:f>
        <x:v>#NAME?</x:v>
      </x:c>
      <x:c r="K969" s="146" t="e">
        <x:f>IF(OR('实盘净值数据(iFinD公式)'!$A969="",'实盘净值数据(iFinD公式)'!$B969=""),"",分期持仓明细!$AD$23*SUMPRODUCT(分期持仓明细!$B$23:$AA$23,'实盘净值数据(iFinD公式)'!$B969:$AA969/'实盘净值数据(iFinD公式)'!$B$65:$AA$65)*(1-实盘持仓初始配置!$Z$7)^(('实盘净值数据(iFinD公式)'!$A969-'实盘净值数据(iFinD公式)'!$A$8)/365))</x:f>
        <x:v>#NAME?</x:v>
      </x:c>
      <x:c r="L969" s="152" t="e">
        <x:f>IF(OR(K968="",K969=""),"",K969/K968-1)</x:f>
        <x:v>#NAME?</x:v>
      </x:c>
      <x:c r="M969" s="152" t="e">
        <x:f>IF(K969="","",K969/MAX(K$5:K969)-1)</x:f>
        <x:v>#NAME?</x:v>
      </x:c>
      <x:c r="N969" s="146" t="e">
        <x:f>IF(OR('实盘净值数据(iFinD公式)'!$A969="",'实盘净值数据(iFinD公式)'!$B969=""),"",分期持仓明细!$AD$24*SUMPRODUCT(分期持仓明细!$B$24:$AA$24,'实盘净值数据(iFinD公式)'!$B969:$AA969/'实盘净值数据(iFinD公式)'!$B$65:$AA$65)*(1-实盘持仓初始配置!$Z$8)^(('实盘净值数据(iFinD公式)'!$A969-'实盘净值数据(iFinD公式)'!$A$5)/365))</x:f>
        <x:v>#NAME?</x:v>
      </x:c>
      <x:c r="O969" s="152" t="e">
        <x:f>IF(OR(N968="",N969=""),"",N969/N968-1)</x:f>
        <x:v>#NAME?</x:v>
      </x:c>
      <x:c r="P969" s="152" t="e">
        <x:f>IF(N969="","",N969/MAX(N$5:N969)-1)</x:f>
        <x:v>#NAME?</x:v>
      </x:c>
      <x:c r="Q969" s="146" t="e">
        <x:f>IF(OR('实盘净值数据(iFinD公式)'!$A969="",'实盘净值数据(iFinD公式)'!$B969=""),"",分期持仓明细!$AD$25*SUMPRODUCT(分期持仓明细!$B$25:$AA$25,'实盘净值数据(iFinD公式)'!$B969:$AA969/'实盘净值数据(iFinD公式)'!$B$65:$AA$65)*(1-实盘持仓初始配置!$Z$9)^(('实盘净值数据(iFinD公式)'!$A969-'实盘净值数据(iFinD公式)'!$A$8)/365))</x:f>
        <x:v>#NAME?</x:v>
      </x:c>
      <x:c r="R969" s="152" t="e">
        <x:f>IF(OR(Q968="",Q969=""),"",Q969/Q968-1)</x:f>
        <x:v>#NAME?</x:v>
      </x:c>
      <x:c r="S969" s="152" t="e">
        <x:f>IF(Q969="","",Q969/MAX(Q$5:Q969)-1)</x:f>
        <x:v>#NAME?</x:v>
      </x:c>
    </x:row>
    <x:row r="970">
      <x:c r="A970" s="149" t="str">
        <x:f>IF('实盘净值数据(iFinD公式)'!A970="","",'实盘净值数据(iFinD公式)'!A970)</x:f>
      </x:c>
      <x:c r="B970" s="146" t="e">
        <x:f>IF(OR('实盘净值数据(iFinD公式)'!$A970="",'实盘净值数据(iFinD公式)'!$B970=""),"",分期持仓明细!$AD$17*SUMPRODUCT(分期持仓明细!$B$17:$AA$17,'实盘净值数据(iFinD公式)'!$B970:$AA970/'实盘净值数据(iFinD公式)'!$B$20:$AA$20)*(1-实盘持仓初始配置!$Z$4)^(('实盘净值数据(iFinD公式)'!$A970-'实盘净值数据(iFinD公式)'!$A$6)/365))</x:f>
        <x:v>#NAME?</x:v>
      </x:c>
      <x:c r="C970" s="152" t="e">
        <x:f>IF(OR(B969="",B970=""),"",B970/B969-1)</x:f>
        <x:v>#NAME?</x:v>
      </x:c>
      <x:c r="D970" s="152" t="e">
        <x:f>IF(B970="","",B970/MAX(B$5:B970)-1)</x:f>
        <x:v>#NAME?</x:v>
      </x:c>
      <x:c r="E970" s="146" t="e">
        <x:f>IF(OR('实盘净值数据(iFinD公式)'!$A970="",'实盘净值数据(iFinD公式)'!$B970=""),"",分期持仓明细!$AD$18*SUMPRODUCT(分期持仓明细!$B$18:$AA$18,'实盘净值数据(iFinD公式)'!$B970:$AA970/'实盘净值数据(iFinD公式)'!$B$20:$AA$20)*(1-实盘持仓初始配置!$Z$5)^(('实盘净值数据(iFinD公式)'!$A970-'实盘净值数据(iFinD公式)'!$A$5)/365))</x:f>
        <x:v>#NAME?</x:v>
      </x:c>
      <x:c r="F970" s="152" t="e">
        <x:f>IF(OR(E969="",E970=""),"",E970/E969-1)</x:f>
        <x:v>#NAME?</x:v>
      </x:c>
      <x:c r="G970" s="152" t="e">
        <x:f>IF(E970="","",E970/MAX(E$5:E970)-1)</x:f>
        <x:v>#NAME?</x:v>
      </x:c>
      <x:c r="H970" s="146" t="e">
        <x:f>IF(OR('实盘净值数据(iFinD公式)'!$A970="",'实盘净值数据(iFinD公式)'!$B970=""),"",分期持仓明细!$AD$19*SUMPRODUCT(分期持仓明细!$B$19:$AA$19,'实盘净值数据(iFinD公式)'!$B970:$AA970/'实盘净值数据(iFinD公式)'!$B$20:$AA$20)*(1-实盘持仓初始配置!$Z$6)^(('实盘净值数据(iFinD公式)'!$A970-'实盘净值数据(iFinD公式)'!$A$7)/365))</x:f>
        <x:v>#NAME?</x:v>
      </x:c>
      <x:c r="I970" s="152" t="e">
        <x:f>IF(OR(H969="",H970=""),"",H970/H969-1)</x:f>
        <x:v>#NAME?</x:v>
      </x:c>
      <x:c r="J970" s="152" t="e">
        <x:f>IF(H970="","",H970/MAX(H$5:H970)-1)</x:f>
        <x:v>#NAME?</x:v>
      </x:c>
      <x:c r="K970" s="146" t="e">
        <x:f>IF(OR('实盘净值数据(iFinD公式)'!$A970="",'实盘净值数据(iFinD公式)'!$B970=""),"",分期持仓明细!$AD$23*SUMPRODUCT(分期持仓明细!$B$23:$AA$23,'实盘净值数据(iFinD公式)'!$B970:$AA970/'实盘净值数据(iFinD公式)'!$B$65:$AA$65)*(1-实盘持仓初始配置!$Z$7)^(('实盘净值数据(iFinD公式)'!$A970-'实盘净值数据(iFinD公式)'!$A$8)/365))</x:f>
        <x:v>#NAME?</x:v>
      </x:c>
      <x:c r="L970" s="152" t="e">
        <x:f>IF(OR(K969="",K970=""),"",K970/K969-1)</x:f>
        <x:v>#NAME?</x:v>
      </x:c>
      <x:c r="M970" s="152" t="e">
        <x:f>IF(K970="","",K970/MAX(K$5:K970)-1)</x:f>
        <x:v>#NAME?</x:v>
      </x:c>
      <x:c r="N970" s="146" t="e">
        <x:f>IF(OR('实盘净值数据(iFinD公式)'!$A970="",'实盘净值数据(iFinD公式)'!$B970=""),"",分期持仓明细!$AD$24*SUMPRODUCT(分期持仓明细!$B$24:$AA$24,'实盘净值数据(iFinD公式)'!$B970:$AA970/'实盘净值数据(iFinD公式)'!$B$65:$AA$65)*(1-实盘持仓初始配置!$Z$8)^(('实盘净值数据(iFinD公式)'!$A970-'实盘净值数据(iFinD公式)'!$A$5)/365))</x:f>
        <x:v>#NAME?</x:v>
      </x:c>
      <x:c r="O970" s="152" t="e">
        <x:f>IF(OR(N969="",N970=""),"",N970/N969-1)</x:f>
        <x:v>#NAME?</x:v>
      </x:c>
      <x:c r="P970" s="152" t="e">
        <x:f>IF(N970="","",N970/MAX(N$5:N970)-1)</x:f>
        <x:v>#NAME?</x:v>
      </x:c>
      <x:c r="Q970" s="146" t="e">
        <x:f>IF(OR('实盘净值数据(iFinD公式)'!$A970="",'实盘净值数据(iFinD公式)'!$B970=""),"",分期持仓明细!$AD$25*SUMPRODUCT(分期持仓明细!$B$25:$AA$25,'实盘净值数据(iFinD公式)'!$B970:$AA970/'实盘净值数据(iFinD公式)'!$B$65:$AA$65)*(1-实盘持仓初始配置!$Z$9)^(('实盘净值数据(iFinD公式)'!$A970-'实盘净值数据(iFinD公式)'!$A$8)/365))</x:f>
        <x:v>#NAME?</x:v>
      </x:c>
      <x:c r="R970" s="152" t="e">
        <x:f>IF(OR(Q969="",Q970=""),"",Q970/Q969-1)</x:f>
        <x:v>#NAME?</x:v>
      </x:c>
      <x:c r="S970" s="152" t="e">
        <x:f>IF(Q970="","",Q970/MAX(Q$5:Q970)-1)</x:f>
        <x:v>#NAME?</x:v>
      </x:c>
    </x:row>
    <x:row r="971">
      <x:c r="A971" s="149" t="str">
        <x:f>IF('实盘净值数据(iFinD公式)'!A971="","",'实盘净值数据(iFinD公式)'!A971)</x:f>
      </x:c>
      <x:c r="B971" s="146" t="e">
        <x:f>IF(OR('实盘净值数据(iFinD公式)'!$A971="",'实盘净值数据(iFinD公式)'!$B971=""),"",分期持仓明细!$AD$17*SUMPRODUCT(分期持仓明细!$B$17:$AA$17,'实盘净值数据(iFinD公式)'!$B971:$AA971/'实盘净值数据(iFinD公式)'!$B$20:$AA$20)*(1-实盘持仓初始配置!$Z$4)^(('实盘净值数据(iFinD公式)'!$A971-'实盘净值数据(iFinD公式)'!$A$6)/365))</x:f>
        <x:v>#NAME?</x:v>
      </x:c>
      <x:c r="C971" s="152" t="e">
        <x:f>IF(OR(B970="",B971=""),"",B971/B970-1)</x:f>
        <x:v>#NAME?</x:v>
      </x:c>
      <x:c r="D971" s="152" t="e">
        <x:f>IF(B971="","",B971/MAX(B$5:B971)-1)</x:f>
        <x:v>#NAME?</x:v>
      </x:c>
      <x:c r="E971" s="146" t="e">
        <x:f>IF(OR('实盘净值数据(iFinD公式)'!$A971="",'实盘净值数据(iFinD公式)'!$B971=""),"",分期持仓明细!$AD$18*SUMPRODUCT(分期持仓明细!$B$18:$AA$18,'实盘净值数据(iFinD公式)'!$B971:$AA971/'实盘净值数据(iFinD公式)'!$B$20:$AA$20)*(1-实盘持仓初始配置!$Z$5)^(('实盘净值数据(iFinD公式)'!$A971-'实盘净值数据(iFinD公式)'!$A$5)/365))</x:f>
        <x:v>#NAME?</x:v>
      </x:c>
      <x:c r="F971" s="152" t="e">
        <x:f>IF(OR(E970="",E971=""),"",E971/E970-1)</x:f>
        <x:v>#NAME?</x:v>
      </x:c>
      <x:c r="G971" s="152" t="e">
        <x:f>IF(E971="","",E971/MAX(E$5:E971)-1)</x:f>
        <x:v>#NAME?</x:v>
      </x:c>
      <x:c r="H971" s="146" t="e">
        <x:f>IF(OR('实盘净值数据(iFinD公式)'!$A971="",'实盘净值数据(iFinD公式)'!$B971=""),"",分期持仓明细!$AD$19*SUMPRODUCT(分期持仓明细!$B$19:$AA$19,'实盘净值数据(iFinD公式)'!$B971:$AA971/'实盘净值数据(iFinD公式)'!$B$20:$AA$20)*(1-实盘持仓初始配置!$Z$6)^(('实盘净值数据(iFinD公式)'!$A971-'实盘净值数据(iFinD公式)'!$A$7)/365))</x:f>
        <x:v>#NAME?</x:v>
      </x:c>
      <x:c r="I971" s="152" t="e">
        <x:f>IF(OR(H970="",H971=""),"",H971/H970-1)</x:f>
        <x:v>#NAME?</x:v>
      </x:c>
      <x:c r="J971" s="152" t="e">
        <x:f>IF(H971="","",H971/MAX(H$5:H971)-1)</x:f>
        <x:v>#NAME?</x:v>
      </x:c>
      <x:c r="K971" s="146" t="e">
        <x:f>IF(OR('实盘净值数据(iFinD公式)'!$A971="",'实盘净值数据(iFinD公式)'!$B971=""),"",分期持仓明细!$AD$23*SUMPRODUCT(分期持仓明细!$B$23:$AA$23,'实盘净值数据(iFinD公式)'!$B971:$AA971/'实盘净值数据(iFinD公式)'!$B$65:$AA$65)*(1-实盘持仓初始配置!$Z$7)^(('实盘净值数据(iFinD公式)'!$A971-'实盘净值数据(iFinD公式)'!$A$8)/365))</x:f>
        <x:v>#NAME?</x:v>
      </x:c>
      <x:c r="L971" s="152" t="e">
        <x:f>IF(OR(K970="",K971=""),"",K971/K970-1)</x:f>
        <x:v>#NAME?</x:v>
      </x:c>
      <x:c r="M971" s="152" t="e">
        <x:f>IF(K971="","",K971/MAX(K$5:K971)-1)</x:f>
        <x:v>#NAME?</x:v>
      </x:c>
      <x:c r="N971" s="146" t="e">
        <x:f>IF(OR('实盘净值数据(iFinD公式)'!$A971="",'实盘净值数据(iFinD公式)'!$B971=""),"",分期持仓明细!$AD$24*SUMPRODUCT(分期持仓明细!$B$24:$AA$24,'实盘净值数据(iFinD公式)'!$B971:$AA971/'实盘净值数据(iFinD公式)'!$B$65:$AA$65)*(1-实盘持仓初始配置!$Z$8)^(('实盘净值数据(iFinD公式)'!$A971-'实盘净值数据(iFinD公式)'!$A$5)/365))</x:f>
        <x:v>#NAME?</x:v>
      </x:c>
      <x:c r="O971" s="152" t="e">
        <x:f>IF(OR(N970="",N971=""),"",N971/N970-1)</x:f>
        <x:v>#NAME?</x:v>
      </x:c>
      <x:c r="P971" s="152" t="e">
        <x:f>IF(N971="","",N971/MAX(N$5:N971)-1)</x:f>
        <x:v>#NAME?</x:v>
      </x:c>
      <x:c r="Q971" s="146" t="e">
        <x:f>IF(OR('实盘净值数据(iFinD公式)'!$A971="",'实盘净值数据(iFinD公式)'!$B971=""),"",分期持仓明细!$AD$25*SUMPRODUCT(分期持仓明细!$B$25:$AA$25,'实盘净值数据(iFinD公式)'!$B971:$AA971/'实盘净值数据(iFinD公式)'!$B$65:$AA$65)*(1-实盘持仓初始配置!$Z$9)^(('实盘净值数据(iFinD公式)'!$A971-'实盘净值数据(iFinD公式)'!$A$8)/365))</x:f>
        <x:v>#NAME?</x:v>
      </x:c>
      <x:c r="R971" s="152" t="e">
        <x:f>IF(OR(Q970="",Q971=""),"",Q971/Q970-1)</x:f>
        <x:v>#NAME?</x:v>
      </x:c>
      <x:c r="S971" s="152" t="e">
        <x:f>IF(Q971="","",Q971/MAX(Q$5:Q971)-1)</x:f>
        <x:v>#NAME?</x:v>
      </x:c>
    </x:row>
    <x:row r="972">
      <x:c r="A972" s="149" t="str">
        <x:f>IF('实盘净值数据(iFinD公式)'!A972="","",'实盘净值数据(iFinD公式)'!A972)</x:f>
      </x:c>
      <x:c r="B972" s="146" t="e">
        <x:f>IF(OR('实盘净值数据(iFinD公式)'!$A972="",'实盘净值数据(iFinD公式)'!$B972=""),"",分期持仓明细!$AD$17*SUMPRODUCT(分期持仓明细!$B$17:$AA$17,'实盘净值数据(iFinD公式)'!$B972:$AA972/'实盘净值数据(iFinD公式)'!$B$20:$AA$20)*(1-实盘持仓初始配置!$Z$4)^(('实盘净值数据(iFinD公式)'!$A972-'实盘净值数据(iFinD公式)'!$A$6)/365))</x:f>
        <x:v>#NAME?</x:v>
      </x:c>
      <x:c r="C972" s="152" t="e">
        <x:f>IF(OR(B971="",B972=""),"",B972/B971-1)</x:f>
        <x:v>#NAME?</x:v>
      </x:c>
      <x:c r="D972" s="152" t="e">
        <x:f>IF(B972="","",B972/MAX(B$5:B972)-1)</x:f>
        <x:v>#NAME?</x:v>
      </x:c>
      <x:c r="E972" s="146" t="e">
        <x:f>IF(OR('实盘净值数据(iFinD公式)'!$A972="",'实盘净值数据(iFinD公式)'!$B972=""),"",分期持仓明细!$AD$18*SUMPRODUCT(分期持仓明细!$B$18:$AA$18,'实盘净值数据(iFinD公式)'!$B972:$AA972/'实盘净值数据(iFinD公式)'!$B$20:$AA$20)*(1-实盘持仓初始配置!$Z$5)^(('实盘净值数据(iFinD公式)'!$A972-'实盘净值数据(iFinD公式)'!$A$5)/365))</x:f>
        <x:v>#NAME?</x:v>
      </x:c>
      <x:c r="F972" s="152" t="e">
        <x:f>IF(OR(E971="",E972=""),"",E972/E971-1)</x:f>
        <x:v>#NAME?</x:v>
      </x:c>
      <x:c r="G972" s="152" t="e">
        <x:f>IF(E972="","",E972/MAX(E$5:E972)-1)</x:f>
        <x:v>#NAME?</x:v>
      </x:c>
      <x:c r="H972" s="146" t="e">
        <x:f>IF(OR('实盘净值数据(iFinD公式)'!$A972="",'实盘净值数据(iFinD公式)'!$B972=""),"",分期持仓明细!$AD$19*SUMPRODUCT(分期持仓明细!$B$19:$AA$19,'实盘净值数据(iFinD公式)'!$B972:$AA972/'实盘净值数据(iFinD公式)'!$B$20:$AA$20)*(1-实盘持仓初始配置!$Z$6)^(('实盘净值数据(iFinD公式)'!$A972-'实盘净值数据(iFinD公式)'!$A$7)/365))</x:f>
        <x:v>#NAME?</x:v>
      </x:c>
      <x:c r="I972" s="152" t="e">
        <x:f>IF(OR(H971="",H972=""),"",H972/H971-1)</x:f>
        <x:v>#NAME?</x:v>
      </x:c>
      <x:c r="J972" s="152" t="e">
        <x:f>IF(H972="","",H972/MAX(H$5:H972)-1)</x:f>
        <x:v>#NAME?</x:v>
      </x:c>
      <x:c r="K972" s="146" t="e">
        <x:f>IF(OR('实盘净值数据(iFinD公式)'!$A972="",'实盘净值数据(iFinD公式)'!$B972=""),"",分期持仓明细!$AD$23*SUMPRODUCT(分期持仓明细!$B$23:$AA$23,'实盘净值数据(iFinD公式)'!$B972:$AA972/'实盘净值数据(iFinD公式)'!$B$65:$AA$65)*(1-实盘持仓初始配置!$Z$7)^(('实盘净值数据(iFinD公式)'!$A972-'实盘净值数据(iFinD公式)'!$A$8)/365))</x:f>
        <x:v>#NAME?</x:v>
      </x:c>
      <x:c r="L972" s="152" t="e">
        <x:f>IF(OR(K971="",K972=""),"",K972/K971-1)</x:f>
        <x:v>#NAME?</x:v>
      </x:c>
      <x:c r="M972" s="152" t="e">
        <x:f>IF(K972="","",K972/MAX(K$5:K972)-1)</x:f>
        <x:v>#NAME?</x:v>
      </x:c>
      <x:c r="N972" s="146" t="e">
        <x:f>IF(OR('实盘净值数据(iFinD公式)'!$A972="",'实盘净值数据(iFinD公式)'!$B972=""),"",分期持仓明细!$AD$24*SUMPRODUCT(分期持仓明细!$B$24:$AA$24,'实盘净值数据(iFinD公式)'!$B972:$AA972/'实盘净值数据(iFinD公式)'!$B$65:$AA$65)*(1-实盘持仓初始配置!$Z$8)^(('实盘净值数据(iFinD公式)'!$A972-'实盘净值数据(iFinD公式)'!$A$5)/365))</x:f>
        <x:v>#NAME?</x:v>
      </x:c>
      <x:c r="O972" s="152" t="e">
        <x:f>IF(OR(N971="",N972=""),"",N972/N971-1)</x:f>
        <x:v>#NAME?</x:v>
      </x:c>
      <x:c r="P972" s="152" t="e">
        <x:f>IF(N972="","",N972/MAX(N$5:N972)-1)</x:f>
        <x:v>#NAME?</x:v>
      </x:c>
      <x:c r="Q972" s="146" t="e">
        <x:f>IF(OR('实盘净值数据(iFinD公式)'!$A972="",'实盘净值数据(iFinD公式)'!$B972=""),"",分期持仓明细!$AD$25*SUMPRODUCT(分期持仓明细!$B$25:$AA$25,'实盘净值数据(iFinD公式)'!$B972:$AA972/'实盘净值数据(iFinD公式)'!$B$65:$AA$65)*(1-实盘持仓初始配置!$Z$9)^(('实盘净值数据(iFinD公式)'!$A972-'实盘净值数据(iFinD公式)'!$A$8)/365))</x:f>
        <x:v>#NAME?</x:v>
      </x:c>
      <x:c r="R972" s="152" t="e">
        <x:f>IF(OR(Q971="",Q972=""),"",Q972/Q971-1)</x:f>
        <x:v>#NAME?</x:v>
      </x:c>
      <x:c r="S972" s="152" t="e">
        <x:f>IF(Q972="","",Q972/MAX(Q$5:Q972)-1)</x:f>
        <x:v>#NAME?</x:v>
      </x:c>
    </x:row>
    <x:row r="973">
      <x:c r="A973" s="149" t="str">
        <x:f>IF('实盘净值数据(iFinD公式)'!A973="","",'实盘净值数据(iFinD公式)'!A973)</x:f>
      </x:c>
      <x:c r="B973" s="146" t="e">
        <x:f>IF(OR('实盘净值数据(iFinD公式)'!$A973="",'实盘净值数据(iFinD公式)'!$B973=""),"",分期持仓明细!$AD$17*SUMPRODUCT(分期持仓明细!$B$17:$AA$17,'实盘净值数据(iFinD公式)'!$B973:$AA973/'实盘净值数据(iFinD公式)'!$B$20:$AA$20)*(1-实盘持仓初始配置!$Z$4)^(('实盘净值数据(iFinD公式)'!$A973-'实盘净值数据(iFinD公式)'!$A$6)/365))</x:f>
        <x:v>#NAME?</x:v>
      </x:c>
      <x:c r="C973" s="152" t="e">
        <x:f>IF(OR(B972="",B973=""),"",B973/B972-1)</x:f>
        <x:v>#NAME?</x:v>
      </x:c>
      <x:c r="D973" s="152" t="e">
        <x:f>IF(B973="","",B973/MAX(B$5:B973)-1)</x:f>
        <x:v>#NAME?</x:v>
      </x:c>
      <x:c r="E973" s="146" t="e">
        <x:f>IF(OR('实盘净值数据(iFinD公式)'!$A973="",'实盘净值数据(iFinD公式)'!$B973=""),"",分期持仓明细!$AD$18*SUMPRODUCT(分期持仓明细!$B$18:$AA$18,'实盘净值数据(iFinD公式)'!$B973:$AA973/'实盘净值数据(iFinD公式)'!$B$20:$AA$20)*(1-实盘持仓初始配置!$Z$5)^(('实盘净值数据(iFinD公式)'!$A973-'实盘净值数据(iFinD公式)'!$A$5)/365))</x:f>
        <x:v>#NAME?</x:v>
      </x:c>
      <x:c r="F973" s="152" t="e">
        <x:f>IF(OR(E972="",E973=""),"",E973/E972-1)</x:f>
        <x:v>#NAME?</x:v>
      </x:c>
      <x:c r="G973" s="152" t="e">
        <x:f>IF(E973="","",E973/MAX(E$5:E973)-1)</x:f>
        <x:v>#NAME?</x:v>
      </x:c>
      <x:c r="H973" s="146" t="e">
        <x:f>IF(OR('实盘净值数据(iFinD公式)'!$A973="",'实盘净值数据(iFinD公式)'!$B973=""),"",分期持仓明细!$AD$19*SUMPRODUCT(分期持仓明细!$B$19:$AA$19,'实盘净值数据(iFinD公式)'!$B973:$AA973/'实盘净值数据(iFinD公式)'!$B$20:$AA$20)*(1-实盘持仓初始配置!$Z$6)^(('实盘净值数据(iFinD公式)'!$A973-'实盘净值数据(iFinD公式)'!$A$7)/365))</x:f>
        <x:v>#NAME?</x:v>
      </x:c>
      <x:c r="I973" s="152" t="e">
        <x:f>IF(OR(H972="",H973=""),"",H973/H972-1)</x:f>
        <x:v>#NAME?</x:v>
      </x:c>
      <x:c r="J973" s="152" t="e">
        <x:f>IF(H973="","",H973/MAX(H$5:H973)-1)</x:f>
        <x:v>#NAME?</x:v>
      </x:c>
      <x:c r="K973" s="146" t="e">
        <x:f>IF(OR('实盘净值数据(iFinD公式)'!$A973="",'实盘净值数据(iFinD公式)'!$B973=""),"",分期持仓明细!$AD$23*SUMPRODUCT(分期持仓明细!$B$23:$AA$23,'实盘净值数据(iFinD公式)'!$B973:$AA973/'实盘净值数据(iFinD公式)'!$B$65:$AA$65)*(1-实盘持仓初始配置!$Z$7)^(('实盘净值数据(iFinD公式)'!$A973-'实盘净值数据(iFinD公式)'!$A$8)/365))</x:f>
        <x:v>#NAME?</x:v>
      </x:c>
      <x:c r="L973" s="152" t="e">
        <x:f>IF(OR(K972="",K973=""),"",K973/K972-1)</x:f>
        <x:v>#NAME?</x:v>
      </x:c>
      <x:c r="M973" s="152" t="e">
        <x:f>IF(K973="","",K973/MAX(K$5:K973)-1)</x:f>
        <x:v>#NAME?</x:v>
      </x:c>
      <x:c r="N973" s="146" t="e">
        <x:f>IF(OR('实盘净值数据(iFinD公式)'!$A973="",'实盘净值数据(iFinD公式)'!$B973=""),"",分期持仓明细!$AD$24*SUMPRODUCT(分期持仓明细!$B$24:$AA$24,'实盘净值数据(iFinD公式)'!$B973:$AA973/'实盘净值数据(iFinD公式)'!$B$65:$AA$65)*(1-实盘持仓初始配置!$Z$8)^(('实盘净值数据(iFinD公式)'!$A973-'实盘净值数据(iFinD公式)'!$A$5)/365))</x:f>
        <x:v>#NAME?</x:v>
      </x:c>
      <x:c r="O973" s="152" t="e">
        <x:f>IF(OR(N972="",N973=""),"",N973/N972-1)</x:f>
        <x:v>#NAME?</x:v>
      </x:c>
      <x:c r="P973" s="152" t="e">
        <x:f>IF(N973="","",N973/MAX(N$5:N973)-1)</x:f>
        <x:v>#NAME?</x:v>
      </x:c>
      <x:c r="Q973" s="146" t="e">
        <x:f>IF(OR('实盘净值数据(iFinD公式)'!$A973="",'实盘净值数据(iFinD公式)'!$B973=""),"",分期持仓明细!$AD$25*SUMPRODUCT(分期持仓明细!$B$25:$AA$25,'实盘净值数据(iFinD公式)'!$B973:$AA973/'实盘净值数据(iFinD公式)'!$B$65:$AA$65)*(1-实盘持仓初始配置!$Z$9)^(('实盘净值数据(iFinD公式)'!$A973-'实盘净值数据(iFinD公式)'!$A$8)/365))</x:f>
        <x:v>#NAME?</x:v>
      </x:c>
      <x:c r="R973" s="152" t="e">
        <x:f>IF(OR(Q972="",Q973=""),"",Q973/Q972-1)</x:f>
        <x:v>#NAME?</x:v>
      </x:c>
      <x:c r="S973" s="152" t="e">
        <x:f>IF(Q973="","",Q973/MAX(Q$5:Q973)-1)</x:f>
        <x:v>#NAME?</x:v>
      </x:c>
    </x:row>
    <x:row r="974">
      <x:c r="A974" s="149" t="str">
        <x:f>IF('实盘净值数据(iFinD公式)'!A974="","",'实盘净值数据(iFinD公式)'!A974)</x:f>
      </x:c>
      <x:c r="B974" s="146" t="e">
        <x:f>IF(OR('实盘净值数据(iFinD公式)'!$A974="",'实盘净值数据(iFinD公式)'!$B974=""),"",分期持仓明细!$AD$17*SUMPRODUCT(分期持仓明细!$B$17:$AA$17,'实盘净值数据(iFinD公式)'!$B974:$AA974/'实盘净值数据(iFinD公式)'!$B$20:$AA$20)*(1-实盘持仓初始配置!$Z$4)^(('实盘净值数据(iFinD公式)'!$A974-'实盘净值数据(iFinD公式)'!$A$6)/365))</x:f>
        <x:v>#NAME?</x:v>
      </x:c>
      <x:c r="C974" s="152" t="e">
        <x:f>IF(OR(B973="",B974=""),"",B974/B973-1)</x:f>
        <x:v>#NAME?</x:v>
      </x:c>
      <x:c r="D974" s="152" t="e">
        <x:f>IF(B974="","",B974/MAX(B$5:B974)-1)</x:f>
        <x:v>#NAME?</x:v>
      </x:c>
      <x:c r="E974" s="146" t="e">
        <x:f>IF(OR('实盘净值数据(iFinD公式)'!$A974="",'实盘净值数据(iFinD公式)'!$B974=""),"",分期持仓明细!$AD$18*SUMPRODUCT(分期持仓明细!$B$18:$AA$18,'实盘净值数据(iFinD公式)'!$B974:$AA974/'实盘净值数据(iFinD公式)'!$B$20:$AA$20)*(1-实盘持仓初始配置!$Z$5)^(('实盘净值数据(iFinD公式)'!$A974-'实盘净值数据(iFinD公式)'!$A$5)/365))</x:f>
        <x:v>#NAME?</x:v>
      </x:c>
      <x:c r="F974" s="152" t="e">
        <x:f>IF(OR(E973="",E974=""),"",E974/E973-1)</x:f>
        <x:v>#NAME?</x:v>
      </x:c>
      <x:c r="G974" s="152" t="e">
        <x:f>IF(E974="","",E974/MAX(E$5:E974)-1)</x:f>
        <x:v>#NAME?</x:v>
      </x:c>
      <x:c r="H974" s="146" t="e">
        <x:f>IF(OR('实盘净值数据(iFinD公式)'!$A974="",'实盘净值数据(iFinD公式)'!$B974=""),"",分期持仓明细!$AD$19*SUMPRODUCT(分期持仓明细!$B$19:$AA$19,'实盘净值数据(iFinD公式)'!$B974:$AA974/'实盘净值数据(iFinD公式)'!$B$20:$AA$20)*(1-实盘持仓初始配置!$Z$6)^(('实盘净值数据(iFinD公式)'!$A974-'实盘净值数据(iFinD公式)'!$A$7)/365))</x:f>
        <x:v>#NAME?</x:v>
      </x:c>
      <x:c r="I974" s="152" t="e">
        <x:f>IF(OR(H973="",H974=""),"",H974/H973-1)</x:f>
        <x:v>#NAME?</x:v>
      </x:c>
      <x:c r="J974" s="152" t="e">
        <x:f>IF(H974="","",H974/MAX(H$5:H974)-1)</x:f>
        <x:v>#NAME?</x:v>
      </x:c>
      <x:c r="K974" s="146" t="e">
        <x:f>IF(OR('实盘净值数据(iFinD公式)'!$A974="",'实盘净值数据(iFinD公式)'!$B974=""),"",分期持仓明细!$AD$23*SUMPRODUCT(分期持仓明细!$B$23:$AA$23,'实盘净值数据(iFinD公式)'!$B974:$AA974/'实盘净值数据(iFinD公式)'!$B$65:$AA$65)*(1-实盘持仓初始配置!$Z$7)^(('实盘净值数据(iFinD公式)'!$A974-'实盘净值数据(iFinD公式)'!$A$8)/365))</x:f>
        <x:v>#NAME?</x:v>
      </x:c>
      <x:c r="L974" s="152" t="e">
        <x:f>IF(OR(K973="",K974=""),"",K974/K973-1)</x:f>
        <x:v>#NAME?</x:v>
      </x:c>
      <x:c r="M974" s="152" t="e">
        <x:f>IF(K974="","",K974/MAX(K$5:K974)-1)</x:f>
        <x:v>#NAME?</x:v>
      </x:c>
      <x:c r="N974" s="146" t="e">
        <x:f>IF(OR('实盘净值数据(iFinD公式)'!$A974="",'实盘净值数据(iFinD公式)'!$B974=""),"",分期持仓明细!$AD$24*SUMPRODUCT(分期持仓明细!$B$24:$AA$24,'实盘净值数据(iFinD公式)'!$B974:$AA974/'实盘净值数据(iFinD公式)'!$B$65:$AA$65)*(1-实盘持仓初始配置!$Z$8)^(('实盘净值数据(iFinD公式)'!$A974-'实盘净值数据(iFinD公式)'!$A$5)/365))</x:f>
        <x:v>#NAME?</x:v>
      </x:c>
      <x:c r="O974" s="152" t="e">
        <x:f>IF(OR(N973="",N974=""),"",N974/N973-1)</x:f>
        <x:v>#NAME?</x:v>
      </x:c>
      <x:c r="P974" s="152" t="e">
        <x:f>IF(N974="","",N974/MAX(N$5:N974)-1)</x:f>
        <x:v>#NAME?</x:v>
      </x:c>
      <x:c r="Q974" s="146" t="e">
        <x:f>IF(OR('实盘净值数据(iFinD公式)'!$A974="",'实盘净值数据(iFinD公式)'!$B974=""),"",分期持仓明细!$AD$25*SUMPRODUCT(分期持仓明细!$B$25:$AA$25,'实盘净值数据(iFinD公式)'!$B974:$AA974/'实盘净值数据(iFinD公式)'!$B$65:$AA$65)*(1-实盘持仓初始配置!$Z$9)^(('实盘净值数据(iFinD公式)'!$A974-'实盘净值数据(iFinD公式)'!$A$8)/365))</x:f>
        <x:v>#NAME?</x:v>
      </x:c>
      <x:c r="R974" s="152" t="e">
        <x:f>IF(OR(Q973="",Q974=""),"",Q974/Q973-1)</x:f>
        <x:v>#NAME?</x:v>
      </x:c>
      <x:c r="S974" s="152" t="e">
        <x:f>IF(Q974="","",Q974/MAX(Q$5:Q974)-1)</x:f>
        <x:v>#NAME?</x:v>
      </x:c>
    </x:row>
    <x:row r="975">
      <x:c r="A975" s="149" t="str">
        <x:f>IF('实盘净值数据(iFinD公式)'!A975="","",'实盘净值数据(iFinD公式)'!A975)</x:f>
      </x:c>
      <x:c r="B975" s="146" t="e">
        <x:f>IF(OR('实盘净值数据(iFinD公式)'!$A975="",'实盘净值数据(iFinD公式)'!$B975=""),"",分期持仓明细!$AD$17*SUMPRODUCT(分期持仓明细!$B$17:$AA$17,'实盘净值数据(iFinD公式)'!$B975:$AA975/'实盘净值数据(iFinD公式)'!$B$20:$AA$20)*(1-实盘持仓初始配置!$Z$4)^(('实盘净值数据(iFinD公式)'!$A975-'实盘净值数据(iFinD公式)'!$A$6)/365))</x:f>
        <x:v>#NAME?</x:v>
      </x:c>
      <x:c r="C975" s="152" t="e">
        <x:f>IF(OR(B974="",B975=""),"",B975/B974-1)</x:f>
        <x:v>#NAME?</x:v>
      </x:c>
      <x:c r="D975" s="152" t="e">
        <x:f>IF(B975="","",B975/MAX(B$5:B975)-1)</x:f>
        <x:v>#NAME?</x:v>
      </x:c>
      <x:c r="E975" s="146" t="e">
        <x:f>IF(OR('实盘净值数据(iFinD公式)'!$A975="",'实盘净值数据(iFinD公式)'!$B975=""),"",分期持仓明细!$AD$18*SUMPRODUCT(分期持仓明细!$B$18:$AA$18,'实盘净值数据(iFinD公式)'!$B975:$AA975/'实盘净值数据(iFinD公式)'!$B$20:$AA$20)*(1-实盘持仓初始配置!$Z$5)^(('实盘净值数据(iFinD公式)'!$A975-'实盘净值数据(iFinD公式)'!$A$5)/365))</x:f>
        <x:v>#NAME?</x:v>
      </x:c>
      <x:c r="F975" s="152" t="e">
        <x:f>IF(OR(E974="",E975=""),"",E975/E974-1)</x:f>
        <x:v>#NAME?</x:v>
      </x:c>
      <x:c r="G975" s="152" t="e">
        <x:f>IF(E975="","",E975/MAX(E$5:E975)-1)</x:f>
        <x:v>#NAME?</x:v>
      </x:c>
      <x:c r="H975" s="146" t="e">
        <x:f>IF(OR('实盘净值数据(iFinD公式)'!$A975="",'实盘净值数据(iFinD公式)'!$B975=""),"",分期持仓明细!$AD$19*SUMPRODUCT(分期持仓明细!$B$19:$AA$19,'实盘净值数据(iFinD公式)'!$B975:$AA975/'实盘净值数据(iFinD公式)'!$B$20:$AA$20)*(1-实盘持仓初始配置!$Z$6)^(('实盘净值数据(iFinD公式)'!$A975-'实盘净值数据(iFinD公式)'!$A$7)/365))</x:f>
        <x:v>#NAME?</x:v>
      </x:c>
      <x:c r="I975" s="152" t="e">
        <x:f>IF(OR(H974="",H975=""),"",H975/H974-1)</x:f>
        <x:v>#NAME?</x:v>
      </x:c>
      <x:c r="J975" s="152" t="e">
        <x:f>IF(H975="","",H975/MAX(H$5:H975)-1)</x:f>
        <x:v>#NAME?</x:v>
      </x:c>
      <x:c r="K975" s="146" t="e">
        <x:f>IF(OR('实盘净值数据(iFinD公式)'!$A975="",'实盘净值数据(iFinD公式)'!$B975=""),"",分期持仓明细!$AD$23*SUMPRODUCT(分期持仓明细!$B$23:$AA$23,'实盘净值数据(iFinD公式)'!$B975:$AA975/'实盘净值数据(iFinD公式)'!$B$65:$AA$65)*(1-实盘持仓初始配置!$Z$7)^(('实盘净值数据(iFinD公式)'!$A975-'实盘净值数据(iFinD公式)'!$A$8)/365))</x:f>
        <x:v>#NAME?</x:v>
      </x:c>
      <x:c r="L975" s="152" t="e">
        <x:f>IF(OR(K974="",K975=""),"",K975/K974-1)</x:f>
        <x:v>#NAME?</x:v>
      </x:c>
      <x:c r="M975" s="152" t="e">
        <x:f>IF(K975="","",K975/MAX(K$5:K975)-1)</x:f>
        <x:v>#NAME?</x:v>
      </x:c>
      <x:c r="N975" s="146" t="e">
        <x:f>IF(OR('实盘净值数据(iFinD公式)'!$A975="",'实盘净值数据(iFinD公式)'!$B975=""),"",分期持仓明细!$AD$24*SUMPRODUCT(分期持仓明细!$B$24:$AA$24,'实盘净值数据(iFinD公式)'!$B975:$AA975/'实盘净值数据(iFinD公式)'!$B$65:$AA$65)*(1-实盘持仓初始配置!$Z$8)^(('实盘净值数据(iFinD公式)'!$A975-'实盘净值数据(iFinD公式)'!$A$5)/365))</x:f>
        <x:v>#NAME?</x:v>
      </x:c>
      <x:c r="O975" s="152" t="e">
        <x:f>IF(OR(N974="",N975=""),"",N975/N974-1)</x:f>
        <x:v>#NAME?</x:v>
      </x:c>
      <x:c r="P975" s="152" t="e">
        <x:f>IF(N975="","",N975/MAX(N$5:N975)-1)</x:f>
        <x:v>#NAME?</x:v>
      </x:c>
      <x:c r="Q975" s="146" t="e">
        <x:f>IF(OR('实盘净值数据(iFinD公式)'!$A975="",'实盘净值数据(iFinD公式)'!$B975=""),"",分期持仓明细!$AD$25*SUMPRODUCT(分期持仓明细!$B$25:$AA$25,'实盘净值数据(iFinD公式)'!$B975:$AA975/'实盘净值数据(iFinD公式)'!$B$65:$AA$65)*(1-实盘持仓初始配置!$Z$9)^(('实盘净值数据(iFinD公式)'!$A975-'实盘净值数据(iFinD公式)'!$A$8)/365))</x:f>
        <x:v>#NAME?</x:v>
      </x:c>
      <x:c r="R975" s="152" t="e">
        <x:f>IF(OR(Q974="",Q975=""),"",Q975/Q974-1)</x:f>
        <x:v>#NAME?</x:v>
      </x:c>
      <x:c r="S975" s="152" t="e">
        <x:f>IF(Q975="","",Q975/MAX(Q$5:Q975)-1)</x:f>
        <x:v>#NAME?</x:v>
      </x:c>
    </x:row>
    <x:row r="976">
      <x:c r="A976" s="149" t="str">
        <x:f>IF('实盘净值数据(iFinD公式)'!A976="","",'实盘净值数据(iFinD公式)'!A976)</x:f>
      </x:c>
      <x:c r="B976" s="146" t="e">
        <x:f>IF(OR('实盘净值数据(iFinD公式)'!$A976="",'实盘净值数据(iFinD公式)'!$B976=""),"",分期持仓明细!$AD$17*SUMPRODUCT(分期持仓明细!$B$17:$AA$17,'实盘净值数据(iFinD公式)'!$B976:$AA976/'实盘净值数据(iFinD公式)'!$B$20:$AA$20)*(1-实盘持仓初始配置!$Z$4)^(('实盘净值数据(iFinD公式)'!$A976-'实盘净值数据(iFinD公式)'!$A$6)/365))</x:f>
        <x:v>#NAME?</x:v>
      </x:c>
      <x:c r="C976" s="152" t="e">
        <x:f>IF(OR(B975="",B976=""),"",B976/B975-1)</x:f>
        <x:v>#NAME?</x:v>
      </x:c>
      <x:c r="D976" s="152" t="e">
        <x:f>IF(B976="","",B976/MAX(B$5:B976)-1)</x:f>
        <x:v>#NAME?</x:v>
      </x:c>
      <x:c r="E976" s="146" t="e">
        <x:f>IF(OR('实盘净值数据(iFinD公式)'!$A976="",'实盘净值数据(iFinD公式)'!$B976=""),"",分期持仓明细!$AD$18*SUMPRODUCT(分期持仓明细!$B$18:$AA$18,'实盘净值数据(iFinD公式)'!$B976:$AA976/'实盘净值数据(iFinD公式)'!$B$20:$AA$20)*(1-实盘持仓初始配置!$Z$5)^(('实盘净值数据(iFinD公式)'!$A976-'实盘净值数据(iFinD公式)'!$A$5)/365))</x:f>
        <x:v>#NAME?</x:v>
      </x:c>
      <x:c r="F976" s="152" t="e">
        <x:f>IF(OR(E975="",E976=""),"",E976/E975-1)</x:f>
        <x:v>#NAME?</x:v>
      </x:c>
      <x:c r="G976" s="152" t="e">
        <x:f>IF(E976="","",E976/MAX(E$5:E976)-1)</x:f>
        <x:v>#NAME?</x:v>
      </x:c>
      <x:c r="H976" s="146" t="e">
        <x:f>IF(OR('实盘净值数据(iFinD公式)'!$A976="",'实盘净值数据(iFinD公式)'!$B976=""),"",分期持仓明细!$AD$19*SUMPRODUCT(分期持仓明细!$B$19:$AA$19,'实盘净值数据(iFinD公式)'!$B976:$AA976/'实盘净值数据(iFinD公式)'!$B$20:$AA$20)*(1-实盘持仓初始配置!$Z$6)^(('实盘净值数据(iFinD公式)'!$A976-'实盘净值数据(iFinD公式)'!$A$7)/365))</x:f>
        <x:v>#NAME?</x:v>
      </x:c>
      <x:c r="I976" s="152" t="e">
        <x:f>IF(OR(H975="",H976=""),"",H976/H975-1)</x:f>
        <x:v>#NAME?</x:v>
      </x:c>
      <x:c r="J976" s="152" t="e">
        <x:f>IF(H976="","",H976/MAX(H$5:H976)-1)</x:f>
        <x:v>#NAME?</x:v>
      </x:c>
      <x:c r="K976" s="146" t="e">
        <x:f>IF(OR('实盘净值数据(iFinD公式)'!$A976="",'实盘净值数据(iFinD公式)'!$B976=""),"",分期持仓明细!$AD$23*SUMPRODUCT(分期持仓明细!$B$23:$AA$23,'实盘净值数据(iFinD公式)'!$B976:$AA976/'实盘净值数据(iFinD公式)'!$B$65:$AA$65)*(1-实盘持仓初始配置!$Z$7)^(('实盘净值数据(iFinD公式)'!$A976-'实盘净值数据(iFinD公式)'!$A$8)/365))</x:f>
        <x:v>#NAME?</x:v>
      </x:c>
      <x:c r="L976" s="152" t="e">
        <x:f>IF(OR(K975="",K976=""),"",K976/K975-1)</x:f>
        <x:v>#NAME?</x:v>
      </x:c>
      <x:c r="M976" s="152" t="e">
        <x:f>IF(K976="","",K976/MAX(K$5:K976)-1)</x:f>
        <x:v>#NAME?</x:v>
      </x:c>
      <x:c r="N976" s="146" t="e">
        <x:f>IF(OR('实盘净值数据(iFinD公式)'!$A976="",'实盘净值数据(iFinD公式)'!$B976=""),"",分期持仓明细!$AD$24*SUMPRODUCT(分期持仓明细!$B$24:$AA$24,'实盘净值数据(iFinD公式)'!$B976:$AA976/'实盘净值数据(iFinD公式)'!$B$65:$AA$65)*(1-实盘持仓初始配置!$Z$8)^(('实盘净值数据(iFinD公式)'!$A976-'实盘净值数据(iFinD公式)'!$A$5)/365))</x:f>
        <x:v>#NAME?</x:v>
      </x:c>
      <x:c r="O976" s="152" t="e">
        <x:f>IF(OR(N975="",N976=""),"",N976/N975-1)</x:f>
        <x:v>#NAME?</x:v>
      </x:c>
      <x:c r="P976" s="152" t="e">
        <x:f>IF(N976="","",N976/MAX(N$5:N976)-1)</x:f>
        <x:v>#NAME?</x:v>
      </x:c>
      <x:c r="Q976" s="146" t="e">
        <x:f>IF(OR('实盘净值数据(iFinD公式)'!$A976="",'实盘净值数据(iFinD公式)'!$B976=""),"",分期持仓明细!$AD$25*SUMPRODUCT(分期持仓明细!$B$25:$AA$25,'实盘净值数据(iFinD公式)'!$B976:$AA976/'实盘净值数据(iFinD公式)'!$B$65:$AA$65)*(1-实盘持仓初始配置!$Z$9)^(('实盘净值数据(iFinD公式)'!$A976-'实盘净值数据(iFinD公式)'!$A$8)/365))</x:f>
        <x:v>#NAME?</x:v>
      </x:c>
      <x:c r="R976" s="152" t="e">
        <x:f>IF(OR(Q975="",Q976=""),"",Q976/Q975-1)</x:f>
        <x:v>#NAME?</x:v>
      </x:c>
      <x:c r="S976" s="152" t="e">
        <x:f>IF(Q976="","",Q976/MAX(Q$5:Q976)-1)</x:f>
        <x:v>#NAME?</x:v>
      </x:c>
    </x:row>
    <x:row r="977">
      <x:c r="A977" s="149" t="str">
        <x:f>IF('实盘净值数据(iFinD公式)'!A977="","",'实盘净值数据(iFinD公式)'!A977)</x:f>
      </x:c>
      <x:c r="B977" s="146" t="e">
        <x:f>IF(OR('实盘净值数据(iFinD公式)'!$A977="",'实盘净值数据(iFinD公式)'!$B977=""),"",分期持仓明细!$AD$17*SUMPRODUCT(分期持仓明细!$B$17:$AA$17,'实盘净值数据(iFinD公式)'!$B977:$AA977/'实盘净值数据(iFinD公式)'!$B$20:$AA$20)*(1-实盘持仓初始配置!$Z$4)^(('实盘净值数据(iFinD公式)'!$A977-'实盘净值数据(iFinD公式)'!$A$6)/365))</x:f>
        <x:v>#NAME?</x:v>
      </x:c>
      <x:c r="C977" s="152" t="e">
        <x:f>IF(OR(B976="",B977=""),"",B977/B976-1)</x:f>
        <x:v>#NAME?</x:v>
      </x:c>
      <x:c r="D977" s="152" t="e">
        <x:f>IF(B977="","",B977/MAX(B$5:B977)-1)</x:f>
        <x:v>#NAME?</x:v>
      </x:c>
      <x:c r="E977" s="146" t="e">
        <x:f>IF(OR('实盘净值数据(iFinD公式)'!$A977="",'实盘净值数据(iFinD公式)'!$B977=""),"",分期持仓明细!$AD$18*SUMPRODUCT(分期持仓明细!$B$18:$AA$18,'实盘净值数据(iFinD公式)'!$B977:$AA977/'实盘净值数据(iFinD公式)'!$B$20:$AA$20)*(1-实盘持仓初始配置!$Z$5)^(('实盘净值数据(iFinD公式)'!$A977-'实盘净值数据(iFinD公式)'!$A$5)/365))</x:f>
        <x:v>#NAME?</x:v>
      </x:c>
      <x:c r="F977" s="152" t="e">
        <x:f>IF(OR(E976="",E977=""),"",E977/E976-1)</x:f>
        <x:v>#NAME?</x:v>
      </x:c>
      <x:c r="G977" s="152" t="e">
        <x:f>IF(E977="","",E977/MAX(E$5:E977)-1)</x:f>
        <x:v>#NAME?</x:v>
      </x:c>
      <x:c r="H977" s="146" t="e">
        <x:f>IF(OR('实盘净值数据(iFinD公式)'!$A977="",'实盘净值数据(iFinD公式)'!$B977=""),"",分期持仓明细!$AD$19*SUMPRODUCT(分期持仓明细!$B$19:$AA$19,'实盘净值数据(iFinD公式)'!$B977:$AA977/'实盘净值数据(iFinD公式)'!$B$20:$AA$20)*(1-实盘持仓初始配置!$Z$6)^(('实盘净值数据(iFinD公式)'!$A977-'实盘净值数据(iFinD公式)'!$A$7)/365))</x:f>
        <x:v>#NAME?</x:v>
      </x:c>
      <x:c r="I977" s="152" t="e">
        <x:f>IF(OR(H976="",H977=""),"",H977/H976-1)</x:f>
        <x:v>#NAME?</x:v>
      </x:c>
      <x:c r="J977" s="152" t="e">
        <x:f>IF(H977="","",H977/MAX(H$5:H977)-1)</x:f>
        <x:v>#NAME?</x:v>
      </x:c>
      <x:c r="K977" s="146" t="e">
        <x:f>IF(OR('实盘净值数据(iFinD公式)'!$A977="",'实盘净值数据(iFinD公式)'!$B977=""),"",分期持仓明细!$AD$23*SUMPRODUCT(分期持仓明细!$B$23:$AA$23,'实盘净值数据(iFinD公式)'!$B977:$AA977/'实盘净值数据(iFinD公式)'!$B$65:$AA$65)*(1-实盘持仓初始配置!$Z$7)^(('实盘净值数据(iFinD公式)'!$A977-'实盘净值数据(iFinD公式)'!$A$8)/365))</x:f>
        <x:v>#NAME?</x:v>
      </x:c>
      <x:c r="L977" s="152" t="e">
        <x:f>IF(OR(K976="",K977=""),"",K977/K976-1)</x:f>
        <x:v>#NAME?</x:v>
      </x:c>
      <x:c r="M977" s="152" t="e">
        <x:f>IF(K977="","",K977/MAX(K$5:K977)-1)</x:f>
        <x:v>#NAME?</x:v>
      </x:c>
      <x:c r="N977" s="146" t="e">
        <x:f>IF(OR('实盘净值数据(iFinD公式)'!$A977="",'实盘净值数据(iFinD公式)'!$B977=""),"",分期持仓明细!$AD$24*SUMPRODUCT(分期持仓明细!$B$24:$AA$24,'实盘净值数据(iFinD公式)'!$B977:$AA977/'实盘净值数据(iFinD公式)'!$B$65:$AA$65)*(1-实盘持仓初始配置!$Z$8)^(('实盘净值数据(iFinD公式)'!$A977-'实盘净值数据(iFinD公式)'!$A$5)/365))</x:f>
        <x:v>#NAME?</x:v>
      </x:c>
      <x:c r="O977" s="152" t="e">
        <x:f>IF(OR(N976="",N977=""),"",N977/N976-1)</x:f>
        <x:v>#NAME?</x:v>
      </x:c>
      <x:c r="P977" s="152" t="e">
        <x:f>IF(N977="","",N977/MAX(N$5:N977)-1)</x:f>
        <x:v>#NAME?</x:v>
      </x:c>
      <x:c r="Q977" s="146" t="e">
        <x:f>IF(OR('实盘净值数据(iFinD公式)'!$A977="",'实盘净值数据(iFinD公式)'!$B977=""),"",分期持仓明细!$AD$25*SUMPRODUCT(分期持仓明细!$B$25:$AA$25,'实盘净值数据(iFinD公式)'!$B977:$AA977/'实盘净值数据(iFinD公式)'!$B$65:$AA$65)*(1-实盘持仓初始配置!$Z$9)^(('实盘净值数据(iFinD公式)'!$A977-'实盘净值数据(iFinD公式)'!$A$8)/365))</x:f>
        <x:v>#NAME?</x:v>
      </x:c>
      <x:c r="R977" s="152" t="e">
        <x:f>IF(OR(Q976="",Q977=""),"",Q977/Q976-1)</x:f>
        <x:v>#NAME?</x:v>
      </x:c>
      <x:c r="S977" s="152" t="e">
        <x:f>IF(Q977="","",Q977/MAX(Q$5:Q977)-1)</x:f>
        <x:v>#NAME?</x:v>
      </x:c>
    </x:row>
    <x:row r="978">
      <x:c r="A978" s="149" t="str">
        <x:f>IF('实盘净值数据(iFinD公式)'!A978="","",'实盘净值数据(iFinD公式)'!A978)</x:f>
      </x:c>
      <x:c r="B978" s="146" t="e">
        <x:f>IF(OR('实盘净值数据(iFinD公式)'!$A978="",'实盘净值数据(iFinD公式)'!$B978=""),"",分期持仓明细!$AD$17*SUMPRODUCT(分期持仓明细!$B$17:$AA$17,'实盘净值数据(iFinD公式)'!$B978:$AA978/'实盘净值数据(iFinD公式)'!$B$20:$AA$20)*(1-实盘持仓初始配置!$Z$4)^(('实盘净值数据(iFinD公式)'!$A978-'实盘净值数据(iFinD公式)'!$A$6)/365))</x:f>
        <x:v>#NAME?</x:v>
      </x:c>
      <x:c r="C978" s="152" t="e">
        <x:f>IF(OR(B977="",B978=""),"",B978/B977-1)</x:f>
        <x:v>#NAME?</x:v>
      </x:c>
      <x:c r="D978" s="152" t="e">
        <x:f>IF(B978="","",B978/MAX(B$5:B978)-1)</x:f>
        <x:v>#NAME?</x:v>
      </x:c>
      <x:c r="E978" s="146" t="e">
        <x:f>IF(OR('实盘净值数据(iFinD公式)'!$A978="",'实盘净值数据(iFinD公式)'!$B978=""),"",分期持仓明细!$AD$18*SUMPRODUCT(分期持仓明细!$B$18:$AA$18,'实盘净值数据(iFinD公式)'!$B978:$AA978/'实盘净值数据(iFinD公式)'!$B$20:$AA$20)*(1-实盘持仓初始配置!$Z$5)^(('实盘净值数据(iFinD公式)'!$A978-'实盘净值数据(iFinD公式)'!$A$5)/365))</x:f>
        <x:v>#NAME?</x:v>
      </x:c>
      <x:c r="F978" s="152" t="e">
        <x:f>IF(OR(E977="",E978=""),"",E978/E977-1)</x:f>
        <x:v>#NAME?</x:v>
      </x:c>
      <x:c r="G978" s="152" t="e">
        <x:f>IF(E978="","",E978/MAX(E$5:E978)-1)</x:f>
        <x:v>#NAME?</x:v>
      </x:c>
      <x:c r="H978" s="146" t="e">
        <x:f>IF(OR('实盘净值数据(iFinD公式)'!$A978="",'实盘净值数据(iFinD公式)'!$B978=""),"",分期持仓明细!$AD$19*SUMPRODUCT(分期持仓明细!$B$19:$AA$19,'实盘净值数据(iFinD公式)'!$B978:$AA978/'实盘净值数据(iFinD公式)'!$B$20:$AA$20)*(1-实盘持仓初始配置!$Z$6)^(('实盘净值数据(iFinD公式)'!$A978-'实盘净值数据(iFinD公式)'!$A$7)/365))</x:f>
        <x:v>#NAME?</x:v>
      </x:c>
      <x:c r="I978" s="152" t="e">
        <x:f>IF(OR(H977="",H978=""),"",H978/H977-1)</x:f>
        <x:v>#NAME?</x:v>
      </x:c>
      <x:c r="J978" s="152" t="e">
        <x:f>IF(H978="","",H978/MAX(H$5:H978)-1)</x:f>
        <x:v>#NAME?</x:v>
      </x:c>
      <x:c r="K978" s="146" t="e">
        <x:f>IF(OR('实盘净值数据(iFinD公式)'!$A978="",'实盘净值数据(iFinD公式)'!$B978=""),"",分期持仓明细!$AD$23*SUMPRODUCT(分期持仓明细!$B$23:$AA$23,'实盘净值数据(iFinD公式)'!$B978:$AA978/'实盘净值数据(iFinD公式)'!$B$65:$AA$65)*(1-实盘持仓初始配置!$Z$7)^(('实盘净值数据(iFinD公式)'!$A978-'实盘净值数据(iFinD公式)'!$A$8)/365))</x:f>
        <x:v>#NAME?</x:v>
      </x:c>
      <x:c r="L978" s="152" t="e">
        <x:f>IF(OR(K977="",K978=""),"",K978/K977-1)</x:f>
        <x:v>#NAME?</x:v>
      </x:c>
      <x:c r="M978" s="152" t="e">
        <x:f>IF(K978="","",K978/MAX(K$5:K978)-1)</x:f>
        <x:v>#NAME?</x:v>
      </x:c>
      <x:c r="N978" s="146" t="e">
        <x:f>IF(OR('实盘净值数据(iFinD公式)'!$A978="",'实盘净值数据(iFinD公式)'!$B978=""),"",分期持仓明细!$AD$24*SUMPRODUCT(分期持仓明细!$B$24:$AA$24,'实盘净值数据(iFinD公式)'!$B978:$AA978/'实盘净值数据(iFinD公式)'!$B$65:$AA$65)*(1-实盘持仓初始配置!$Z$8)^(('实盘净值数据(iFinD公式)'!$A978-'实盘净值数据(iFinD公式)'!$A$5)/365))</x:f>
        <x:v>#NAME?</x:v>
      </x:c>
      <x:c r="O978" s="152" t="e">
        <x:f>IF(OR(N977="",N978=""),"",N978/N977-1)</x:f>
        <x:v>#NAME?</x:v>
      </x:c>
      <x:c r="P978" s="152" t="e">
        <x:f>IF(N978="","",N978/MAX(N$5:N978)-1)</x:f>
        <x:v>#NAME?</x:v>
      </x:c>
      <x:c r="Q978" s="146" t="e">
        <x:f>IF(OR('实盘净值数据(iFinD公式)'!$A978="",'实盘净值数据(iFinD公式)'!$B978=""),"",分期持仓明细!$AD$25*SUMPRODUCT(分期持仓明细!$B$25:$AA$25,'实盘净值数据(iFinD公式)'!$B978:$AA978/'实盘净值数据(iFinD公式)'!$B$65:$AA$65)*(1-实盘持仓初始配置!$Z$9)^(('实盘净值数据(iFinD公式)'!$A978-'实盘净值数据(iFinD公式)'!$A$8)/365))</x:f>
        <x:v>#NAME?</x:v>
      </x:c>
      <x:c r="R978" s="152" t="e">
        <x:f>IF(OR(Q977="",Q978=""),"",Q978/Q977-1)</x:f>
        <x:v>#NAME?</x:v>
      </x:c>
      <x:c r="S978" s="152" t="e">
        <x:f>IF(Q978="","",Q978/MAX(Q$5:Q978)-1)</x:f>
        <x:v>#NAME?</x:v>
      </x:c>
    </x:row>
    <x:row r="979">
      <x:c r="A979" s="149" t="str">
        <x:f>IF('实盘净值数据(iFinD公式)'!A979="","",'实盘净值数据(iFinD公式)'!A979)</x:f>
      </x:c>
      <x:c r="B979" s="146" t="e">
        <x:f>IF(OR('实盘净值数据(iFinD公式)'!$A979="",'实盘净值数据(iFinD公式)'!$B979=""),"",分期持仓明细!$AD$17*SUMPRODUCT(分期持仓明细!$B$17:$AA$17,'实盘净值数据(iFinD公式)'!$B979:$AA979/'实盘净值数据(iFinD公式)'!$B$20:$AA$20)*(1-实盘持仓初始配置!$Z$4)^(('实盘净值数据(iFinD公式)'!$A979-'实盘净值数据(iFinD公式)'!$A$6)/365))</x:f>
        <x:v>#NAME?</x:v>
      </x:c>
      <x:c r="C979" s="152" t="e">
        <x:f>IF(OR(B978="",B979=""),"",B979/B978-1)</x:f>
        <x:v>#NAME?</x:v>
      </x:c>
      <x:c r="D979" s="152" t="e">
        <x:f>IF(B979="","",B979/MAX(B$5:B979)-1)</x:f>
        <x:v>#NAME?</x:v>
      </x:c>
      <x:c r="E979" s="146" t="e">
        <x:f>IF(OR('实盘净值数据(iFinD公式)'!$A979="",'实盘净值数据(iFinD公式)'!$B979=""),"",分期持仓明细!$AD$18*SUMPRODUCT(分期持仓明细!$B$18:$AA$18,'实盘净值数据(iFinD公式)'!$B979:$AA979/'实盘净值数据(iFinD公式)'!$B$20:$AA$20)*(1-实盘持仓初始配置!$Z$5)^(('实盘净值数据(iFinD公式)'!$A979-'实盘净值数据(iFinD公式)'!$A$5)/365))</x:f>
        <x:v>#NAME?</x:v>
      </x:c>
      <x:c r="F979" s="152" t="e">
        <x:f>IF(OR(E978="",E979=""),"",E979/E978-1)</x:f>
        <x:v>#NAME?</x:v>
      </x:c>
      <x:c r="G979" s="152" t="e">
        <x:f>IF(E979="","",E979/MAX(E$5:E979)-1)</x:f>
        <x:v>#NAME?</x:v>
      </x:c>
      <x:c r="H979" s="146" t="e">
        <x:f>IF(OR('实盘净值数据(iFinD公式)'!$A979="",'实盘净值数据(iFinD公式)'!$B979=""),"",分期持仓明细!$AD$19*SUMPRODUCT(分期持仓明细!$B$19:$AA$19,'实盘净值数据(iFinD公式)'!$B979:$AA979/'实盘净值数据(iFinD公式)'!$B$20:$AA$20)*(1-实盘持仓初始配置!$Z$6)^(('实盘净值数据(iFinD公式)'!$A979-'实盘净值数据(iFinD公式)'!$A$7)/365))</x:f>
        <x:v>#NAME?</x:v>
      </x:c>
      <x:c r="I979" s="152" t="e">
        <x:f>IF(OR(H978="",H979=""),"",H979/H978-1)</x:f>
        <x:v>#NAME?</x:v>
      </x:c>
      <x:c r="J979" s="152" t="e">
        <x:f>IF(H979="","",H979/MAX(H$5:H979)-1)</x:f>
        <x:v>#NAME?</x:v>
      </x:c>
      <x:c r="K979" s="146" t="e">
        <x:f>IF(OR('实盘净值数据(iFinD公式)'!$A979="",'实盘净值数据(iFinD公式)'!$B979=""),"",分期持仓明细!$AD$23*SUMPRODUCT(分期持仓明细!$B$23:$AA$23,'实盘净值数据(iFinD公式)'!$B979:$AA979/'实盘净值数据(iFinD公式)'!$B$65:$AA$65)*(1-实盘持仓初始配置!$Z$7)^(('实盘净值数据(iFinD公式)'!$A979-'实盘净值数据(iFinD公式)'!$A$8)/365))</x:f>
        <x:v>#NAME?</x:v>
      </x:c>
      <x:c r="L979" s="152" t="e">
        <x:f>IF(OR(K978="",K979=""),"",K979/K978-1)</x:f>
        <x:v>#NAME?</x:v>
      </x:c>
      <x:c r="M979" s="152" t="e">
        <x:f>IF(K979="","",K979/MAX(K$5:K979)-1)</x:f>
        <x:v>#NAME?</x:v>
      </x:c>
      <x:c r="N979" s="146" t="e">
        <x:f>IF(OR('实盘净值数据(iFinD公式)'!$A979="",'实盘净值数据(iFinD公式)'!$B979=""),"",分期持仓明细!$AD$24*SUMPRODUCT(分期持仓明细!$B$24:$AA$24,'实盘净值数据(iFinD公式)'!$B979:$AA979/'实盘净值数据(iFinD公式)'!$B$65:$AA$65)*(1-实盘持仓初始配置!$Z$8)^(('实盘净值数据(iFinD公式)'!$A979-'实盘净值数据(iFinD公式)'!$A$5)/365))</x:f>
        <x:v>#NAME?</x:v>
      </x:c>
      <x:c r="O979" s="152" t="e">
        <x:f>IF(OR(N978="",N979=""),"",N979/N978-1)</x:f>
        <x:v>#NAME?</x:v>
      </x:c>
      <x:c r="P979" s="152" t="e">
        <x:f>IF(N979="","",N979/MAX(N$5:N979)-1)</x:f>
        <x:v>#NAME?</x:v>
      </x:c>
      <x:c r="Q979" s="146" t="e">
        <x:f>IF(OR('实盘净值数据(iFinD公式)'!$A979="",'实盘净值数据(iFinD公式)'!$B979=""),"",分期持仓明细!$AD$25*SUMPRODUCT(分期持仓明细!$B$25:$AA$25,'实盘净值数据(iFinD公式)'!$B979:$AA979/'实盘净值数据(iFinD公式)'!$B$65:$AA$65)*(1-实盘持仓初始配置!$Z$9)^(('实盘净值数据(iFinD公式)'!$A979-'实盘净值数据(iFinD公式)'!$A$8)/365))</x:f>
        <x:v>#NAME?</x:v>
      </x:c>
      <x:c r="R979" s="152" t="e">
        <x:f>IF(OR(Q978="",Q979=""),"",Q979/Q978-1)</x:f>
        <x:v>#NAME?</x:v>
      </x:c>
      <x:c r="S979" s="152" t="e">
        <x:f>IF(Q979="","",Q979/MAX(Q$5:Q979)-1)</x:f>
        <x:v>#NAME?</x:v>
      </x:c>
    </x:row>
    <x:row r="980">
      <x:c r="A980" s="149" t="str">
        <x:f>IF('实盘净值数据(iFinD公式)'!A980="","",'实盘净值数据(iFinD公式)'!A980)</x:f>
      </x:c>
      <x:c r="B980" s="146" t="e">
        <x:f>IF(OR('实盘净值数据(iFinD公式)'!$A980="",'实盘净值数据(iFinD公式)'!$B980=""),"",分期持仓明细!$AD$17*SUMPRODUCT(分期持仓明细!$B$17:$AA$17,'实盘净值数据(iFinD公式)'!$B980:$AA980/'实盘净值数据(iFinD公式)'!$B$20:$AA$20)*(1-实盘持仓初始配置!$Z$4)^(('实盘净值数据(iFinD公式)'!$A980-'实盘净值数据(iFinD公式)'!$A$6)/365))</x:f>
        <x:v>#NAME?</x:v>
      </x:c>
      <x:c r="C980" s="152" t="e">
        <x:f>IF(OR(B979="",B980=""),"",B980/B979-1)</x:f>
        <x:v>#NAME?</x:v>
      </x:c>
      <x:c r="D980" s="152" t="e">
        <x:f>IF(B980="","",B980/MAX(B$5:B980)-1)</x:f>
        <x:v>#NAME?</x:v>
      </x:c>
      <x:c r="E980" s="146" t="e">
        <x:f>IF(OR('实盘净值数据(iFinD公式)'!$A980="",'实盘净值数据(iFinD公式)'!$B980=""),"",分期持仓明细!$AD$18*SUMPRODUCT(分期持仓明细!$B$18:$AA$18,'实盘净值数据(iFinD公式)'!$B980:$AA980/'实盘净值数据(iFinD公式)'!$B$20:$AA$20)*(1-实盘持仓初始配置!$Z$5)^(('实盘净值数据(iFinD公式)'!$A980-'实盘净值数据(iFinD公式)'!$A$5)/365))</x:f>
        <x:v>#NAME?</x:v>
      </x:c>
      <x:c r="F980" s="152" t="e">
        <x:f>IF(OR(E979="",E980=""),"",E980/E979-1)</x:f>
        <x:v>#NAME?</x:v>
      </x:c>
      <x:c r="G980" s="152" t="e">
        <x:f>IF(E980="","",E980/MAX(E$5:E980)-1)</x:f>
        <x:v>#NAME?</x:v>
      </x:c>
      <x:c r="H980" s="146" t="e">
        <x:f>IF(OR('实盘净值数据(iFinD公式)'!$A980="",'实盘净值数据(iFinD公式)'!$B980=""),"",分期持仓明细!$AD$19*SUMPRODUCT(分期持仓明细!$B$19:$AA$19,'实盘净值数据(iFinD公式)'!$B980:$AA980/'实盘净值数据(iFinD公式)'!$B$20:$AA$20)*(1-实盘持仓初始配置!$Z$6)^(('实盘净值数据(iFinD公式)'!$A980-'实盘净值数据(iFinD公式)'!$A$7)/365))</x:f>
        <x:v>#NAME?</x:v>
      </x:c>
      <x:c r="I980" s="152" t="e">
        <x:f>IF(OR(H979="",H980=""),"",H980/H979-1)</x:f>
        <x:v>#NAME?</x:v>
      </x:c>
      <x:c r="J980" s="152" t="e">
        <x:f>IF(H980="","",H980/MAX(H$5:H980)-1)</x:f>
        <x:v>#NAME?</x:v>
      </x:c>
      <x:c r="K980" s="146" t="e">
        <x:f>IF(OR('实盘净值数据(iFinD公式)'!$A980="",'实盘净值数据(iFinD公式)'!$B980=""),"",分期持仓明细!$AD$23*SUMPRODUCT(分期持仓明细!$B$23:$AA$23,'实盘净值数据(iFinD公式)'!$B980:$AA980/'实盘净值数据(iFinD公式)'!$B$65:$AA$65)*(1-实盘持仓初始配置!$Z$7)^(('实盘净值数据(iFinD公式)'!$A980-'实盘净值数据(iFinD公式)'!$A$8)/365))</x:f>
        <x:v>#NAME?</x:v>
      </x:c>
      <x:c r="L980" s="152" t="e">
        <x:f>IF(OR(K979="",K980=""),"",K980/K979-1)</x:f>
        <x:v>#NAME?</x:v>
      </x:c>
      <x:c r="M980" s="152" t="e">
        <x:f>IF(K980="","",K980/MAX(K$5:K980)-1)</x:f>
        <x:v>#NAME?</x:v>
      </x:c>
      <x:c r="N980" s="146" t="e">
        <x:f>IF(OR('实盘净值数据(iFinD公式)'!$A980="",'实盘净值数据(iFinD公式)'!$B980=""),"",分期持仓明细!$AD$24*SUMPRODUCT(分期持仓明细!$B$24:$AA$24,'实盘净值数据(iFinD公式)'!$B980:$AA980/'实盘净值数据(iFinD公式)'!$B$65:$AA$65)*(1-实盘持仓初始配置!$Z$8)^(('实盘净值数据(iFinD公式)'!$A980-'实盘净值数据(iFinD公式)'!$A$5)/365))</x:f>
        <x:v>#NAME?</x:v>
      </x:c>
      <x:c r="O980" s="152" t="e">
        <x:f>IF(OR(N979="",N980=""),"",N980/N979-1)</x:f>
        <x:v>#NAME?</x:v>
      </x:c>
      <x:c r="P980" s="152" t="e">
        <x:f>IF(N980="","",N980/MAX(N$5:N980)-1)</x:f>
        <x:v>#NAME?</x:v>
      </x:c>
      <x:c r="Q980" s="146" t="e">
        <x:f>IF(OR('实盘净值数据(iFinD公式)'!$A980="",'实盘净值数据(iFinD公式)'!$B980=""),"",分期持仓明细!$AD$25*SUMPRODUCT(分期持仓明细!$B$25:$AA$25,'实盘净值数据(iFinD公式)'!$B980:$AA980/'实盘净值数据(iFinD公式)'!$B$65:$AA$65)*(1-实盘持仓初始配置!$Z$9)^(('实盘净值数据(iFinD公式)'!$A980-'实盘净值数据(iFinD公式)'!$A$8)/365))</x:f>
        <x:v>#NAME?</x:v>
      </x:c>
      <x:c r="R980" s="152" t="e">
        <x:f>IF(OR(Q979="",Q980=""),"",Q980/Q979-1)</x:f>
        <x:v>#NAME?</x:v>
      </x:c>
      <x:c r="S980" s="152" t="e">
        <x:f>IF(Q980="","",Q980/MAX(Q$5:Q980)-1)</x:f>
        <x:v>#NAME?</x:v>
      </x:c>
    </x:row>
    <x:row r="981">
      <x:c r="A981" s="149" t="str">
        <x:f>IF('实盘净值数据(iFinD公式)'!A981="","",'实盘净值数据(iFinD公式)'!A981)</x:f>
      </x:c>
      <x:c r="B981" s="146" t="e">
        <x:f>IF(OR('实盘净值数据(iFinD公式)'!$A981="",'实盘净值数据(iFinD公式)'!$B981=""),"",分期持仓明细!$AD$17*SUMPRODUCT(分期持仓明细!$B$17:$AA$17,'实盘净值数据(iFinD公式)'!$B981:$AA981/'实盘净值数据(iFinD公式)'!$B$20:$AA$20)*(1-实盘持仓初始配置!$Z$4)^(('实盘净值数据(iFinD公式)'!$A981-'实盘净值数据(iFinD公式)'!$A$6)/365))</x:f>
        <x:v>#NAME?</x:v>
      </x:c>
      <x:c r="C981" s="152" t="e">
        <x:f>IF(OR(B980="",B981=""),"",B981/B980-1)</x:f>
        <x:v>#NAME?</x:v>
      </x:c>
      <x:c r="D981" s="152" t="e">
        <x:f>IF(B981="","",B981/MAX(B$5:B981)-1)</x:f>
        <x:v>#NAME?</x:v>
      </x:c>
      <x:c r="E981" s="146" t="e">
        <x:f>IF(OR('实盘净值数据(iFinD公式)'!$A981="",'实盘净值数据(iFinD公式)'!$B981=""),"",分期持仓明细!$AD$18*SUMPRODUCT(分期持仓明细!$B$18:$AA$18,'实盘净值数据(iFinD公式)'!$B981:$AA981/'实盘净值数据(iFinD公式)'!$B$20:$AA$20)*(1-实盘持仓初始配置!$Z$5)^(('实盘净值数据(iFinD公式)'!$A981-'实盘净值数据(iFinD公式)'!$A$5)/365))</x:f>
        <x:v>#NAME?</x:v>
      </x:c>
      <x:c r="F981" s="152" t="e">
        <x:f>IF(OR(E980="",E981=""),"",E981/E980-1)</x:f>
        <x:v>#NAME?</x:v>
      </x:c>
      <x:c r="G981" s="152" t="e">
        <x:f>IF(E981="","",E981/MAX(E$5:E981)-1)</x:f>
        <x:v>#NAME?</x:v>
      </x:c>
      <x:c r="H981" s="146" t="e">
        <x:f>IF(OR('实盘净值数据(iFinD公式)'!$A981="",'实盘净值数据(iFinD公式)'!$B981=""),"",分期持仓明细!$AD$19*SUMPRODUCT(分期持仓明细!$B$19:$AA$19,'实盘净值数据(iFinD公式)'!$B981:$AA981/'实盘净值数据(iFinD公式)'!$B$20:$AA$20)*(1-实盘持仓初始配置!$Z$6)^(('实盘净值数据(iFinD公式)'!$A981-'实盘净值数据(iFinD公式)'!$A$7)/365))</x:f>
        <x:v>#NAME?</x:v>
      </x:c>
      <x:c r="I981" s="152" t="e">
        <x:f>IF(OR(H980="",H981=""),"",H981/H980-1)</x:f>
        <x:v>#NAME?</x:v>
      </x:c>
      <x:c r="J981" s="152" t="e">
        <x:f>IF(H981="","",H981/MAX(H$5:H981)-1)</x:f>
        <x:v>#NAME?</x:v>
      </x:c>
      <x:c r="K981" s="146" t="e">
        <x:f>IF(OR('实盘净值数据(iFinD公式)'!$A981="",'实盘净值数据(iFinD公式)'!$B981=""),"",分期持仓明细!$AD$23*SUMPRODUCT(分期持仓明细!$B$23:$AA$23,'实盘净值数据(iFinD公式)'!$B981:$AA981/'实盘净值数据(iFinD公式)'!$B$65:$AA$65)*(1-实盘持仓初始配置!$Z$7)^(('实盘净值数据(iFinD公式)'!$A981-'实盘净值数据(iFinD公式)'!$A$8)/365))</x:f>
        <x:v>#NAME?</x:v>
      </x:c>
      <x:c r="L981" s="152" t="e">
        <x:f>IF(OR(K980="",K981=""),"",K981/K980-1)</x:f>
        <x:v>#NAME?</x:v>
      </x:c>
      <x:c r="M981" s="152" t="e">
        <x:f>IF(K981="","",K981/MAX(K$5:K981)-1)</x:f>
        <x:v>#NAME?</x:v>
      </x:c>
      <x:c r="N981" s="146" t="e">
        <x:f>IF(OR('实盘净值数据(iFinD公式)'!$A981="",'实盘净值数据(iFinD公式)'!$B981=""),"",分期持仓明细!$AD$24*SUMPRODUCT(分期持仓明细!$B$24:$AA$24,'实盘净值数据(iFinD公式)'!$B981:$AA981/'实盘净值数据(iFinD公式)'!$B$65:$AA$65)*(1-实盘持仓初始配置!$Z$8)^(('实盘净值数据(iFinD公式)'!$A981-'实盘净值数据(iFinD公式)'!$A$5)/365))</x:f>
        <x:v>#NAME?</x:v>
      </x:c>
      <x:c r="O981" s="152" t="e">
        <x:f>IF(OR(N980="",N981=""),"",N981/N980-1)</x:f>
        <x:v>#NAME?</x:v>
      </x:c>
      <x:c r="P981" s="152" t="e">
        <x:f>IF(N981="","",N981/MAX(N$5:N981)-1)</x:f>
        <x:v>#NAME?</x:v>
      </x:c>
      <x:c r="Q981" s="146" t="e">
        <x:f>IF(OR('实盘净值数据(iFinD公式)'!$A981="",'实盘净值数据(iFinD公式)'!$B981=""),"",分期持仓明细!$AD$25*SUMPRODUCT(分期持仓明细!$B$25:$AA$25,'实盘净值数据(iFinD公式)'!$B981:$AA981/'实盘净值数据(iFinD公式)'!$B$65:$AA$65)*(1-实盘持仓初始配置!$Z$9)^(('实盘净值数据(iFinD公式)'!$A981-'实盘净值数据(iFinD公式)'!$A$8)/365))</x:f>
        <x:v>#NAME?</x:v>
      </x:c>
      <x:c r="R981" s="152" t="e">
        <x:f>IF(OR(Q980="",Q981=""),"",Q981/Q980-1)</x:f>
        <x:v>#NAME?</x:v>
      </x:c>
      <x:c r="S981" s="152" t="e">
        <x:f>IF(Q981="","",Q981/MAX(Q$5:Q981)-1)</x:f>
        <x:v>#NAME?</x:v>
      </x:c>
    </x:row>
    <x:row r="982">
      <x:c r="A982" s="149" t="str">
        <x:f>IF('实盘净值数据(iFinD公式)'!A982="","",'实盘净值数据(iFinD公式)'!A982)</x:f>
      </x:c>
      <x:c r="B982" s="146" t="e">
        <x:f>IF(OR('实盘净值数据(iFinD公式)'!$A982="",'实盘净值数据(iFinD公式)'!$B982=""),"",分期持仓明细!$AD$17*SUMPRODUCT(分期持仓明细!$B$17:$AA$17,'实盘净值数据(iFinD公式)'!$B982:$AA982/'实盘净值数据(iFinD公式)'!$B$20:$AA$20)*(1-实盘持仓初始配置!$Z$4)^(('实盘净值数据(iFinD公式)'!$A982-'实盘净值数据(iFinD公式)'!$A$6)/365))</x:f>
        <x:v>#NAME?</x:v>
      </x:c>
      <x:c r="C982" s="152" t="e">
        <x:f>IF(OR(B981="",B982=""),"",B982/B981-1)</x:f>
        <x:v>#NAME?</x:v>
      </x:c>
      <x:c r="D982" s="152" t="e">
        <x:f>IF(B982="","",B982/MAX(B$5:B982)-1)</x:f>
        <x:v>#NAME?</x:v>
      </x:c>
      <x:c r="E982" s="146" t="e">
        <x:f>IF(OR('实盘净值数据(iFinD公式)'!$A982="",'实盘净值数据(iFinD公式)'!$B982=""),"",分期持仓明细!$AD$18*SUMPRODUCT(分期持仓明细!$B$18:$AA$18,'实盘净值数据(iFinD公式)'!$B982:$AA982/'实盘净值数据(iFinD公式)'!$B$20:$AA$20)*(1-实盘持仓初始配置!$Z$5)^(('实盘净值数据(iFinD公式)'!$A982-'实盘净值数据(iFinD公式)'!$A$5)/365))</x:f>
        <x:v>#NAME?</x:v>
      </x:c>
      <x:c r="F982" s="152" t="e">
        <x:f>IF(OR(E981="",E982=""),"",E982/E981-1)</x:f>
        <x:v>#NAME?</x:v>
      </x:c>
      <x:c r="G982" s="152" t="e">
        <x:f>IF(E982="","",E982/MAX(E$5:E982)-1)</x:f>
        <x:v>#NAME?</x:v>
      </x:c>
      <x:c r="H982" s="146" t="e">
        <x:f>IF(OR('实盘净值数据(iFinD公式)'!$A982="",'实盘净值数据(iFinD公式)'!$B982=""),"",分期持仓明细!$AD$19*SUMPRODUCT(分期持仓明细!$B$19:$AA$19,'实盘净值数据(iFinD公式)'!$B982:$AA982/'实盘净值数据(iFinD公式)'!$B$20:$AA$20)*(1-实盘持仓初始配置!$Z$6)^(('实盘净值数据(iFinD公式)'!$A982-'实盘净值数据(iFinD公式)'!$A$7)/365))</x:f>
        <x:v>#NAME?</x:v>
      </x:c>
      <x:c r="I982" s="152" t="e">
        <x:f>IF(OR(H981="",H982=""),"",H982/H981-1)</x:f>
        <x:v>#NAME?</x:v>
      </x:c>
      <x:c r="J982" s="152" t="e">
        <x:f>IF(H982="","",H982/MAX(H$5:H982)-1)</x:f>
        <x:v>#NAME?</x:v>
      </x:c>
      <x:c r="K982" s="146" t="e">
        <x:f>IF(OR('实盘净值数据(iFinD公式)'!$A982="",'实盘净值数据(iFinD公式)'!$B982=""),"",分期持仓明细!$AD$23*SUMPRODUCT(分期持仓明细!$B$23:$AA$23,'实盘净值数据(iFinD公式)'!$B982:$AA982/'实盘净值数据(iFinD公式)'!$B$65:$AA$65)*(1-实盘持仓初始配置!$Z$7)^(('实盘净值数据(iFinD公式)'!$A982-'实盘净值数据(iFinD公式)'!$A$8)/365))</x:f>
        <x:v>#NAME?</x:v>
      </x:c>
      <x:c r="L982" s="152" t="e">
        <x:f>IF(OR(K981="",K982=""),"",K982/K981-1)</x:f>
        <x:v>#NAME?</x:v>
      </x:c>
      <x:c r="M982" s="152" t="e">
        <x:f>IF(K982="","",K982/MAX(K$5:K982)-1)</x:f>
        <x:v>#NAME?</x:v>
      </x:c>
      <x:c r="N982" s="146" t="e">
        <x:f>IF(OR('实盘净值数据(iFinD公式)'!$A982="",'实盘净值数据(iFinD公式)'!$B982=""),"",分期持仓明细!$AD$24*SUMPRODUCT(分期持仓明细!$B$24:$AA$24,'实盘净值数据(iFinD公式)'!$B982:$AA982/'实盘净值数据(iFinD公式)'!$B$65:$AA$65)*(1-实盘持仓初始配置!$Z$8)^(('实盘净值数据(iFinD公式)'!$A982-'实盘净值数据(iFinD公式)'!$A$5)/365))</x:f>
        <x:v>#NAME?</x:v>
      </x:c>
      <x:c r="O982" s="152" t="e">
        <x:f>IF(OR(N981="",N982=""),"",N982/N981-1)</x:f>
        <x:v>#NAME?</x:v>
      </x:c>
      <x:c r="P982" s="152" t="e">
        <x:f>IF(N982="","",N982/MAX(N$5:N982)-1)</x:f>
        <x:v>#NAME?</x:v>
      </x:c>
      <x:c r="Q982" s="146" t="e">
        <x:f>IF(OR('实盘净值数据(iFinD公式)'!$A982="",'实盘净值数据(iFinD公式)'!$B982=""),"",分期持仓明细!$AD$25*SUMPRODUCT(分期持仓明细!$B$25:$AA$25,'实盘净值数据(iFinD公式)'!$B982:$AA982/'实盘净值数据(iFinD公式)'!$B$65:$AA$65)*(1-实盘持仓初始配置!$Z$9)^(('实盘净值数据(iFinD公式)'!$A982-'实盘净值数据(iFinD公式)'!$A$8)/365))</x:f>
        <x:v>#NAME?</x:v>
      </x:c>
      <x:c r="R982" s="152" t="e">
        <x:f>IF(OR(Q981="",Q982=""),"",Q982/Q981-1)</x:f>
        <x:v>#NAME?</x:v>
      </x:c>
      <x:c r="S982" s="152" t="e">
        <x:f>IF(Q982="","",Q982/MAX(Q$5:Q982)-1)</x:f>
        <x:v>#NAME?</x:v>
      </x:c>
    </x:row>
    <x:row r="983">
      <x:c r="A983" s="149" t="str">
        <x:f>IF('实盘净值数据(iFinD公式)'!A983="","",'实盘净值数据(iFinD公式)'!A983)</x:f>
      </x:c>
      <x:c r="B983" s="146" t="e">
        <x:f>IF(OR('实盘净值数据(iFinD公式)'!$A983="",'实盘净值数据(iFinD公式)'!$B983=""),"",分期持仓明细!$AD$17*SUMPRODUCT(分期持仓明细!$B$17:$AA$17,'实盘净值数据(iFinD公式)'!$B983:$AA983/'实盘净值数据(iFinD公式)'!$B$20:$AA$20)*(1-实盘持仓初始配置!$Z$4)^(('实盘净值数据(iFinD公式)'!$A983-'实盘净值数据(iFinD公式)'!$A$6)/365))</x:f>
        <x:v>#NAME?</x:v>
      </x:c>
      <x:c r="C983" s="152" t="e">
        <x:f>IF(OR(B982="",B983=""),"",B983/B982-1)</x:f>
        <x:v>#NAME?</x:v>
      </x:c>
      <x:c r="D983" s="152" t="e">
        <x:f>IF(B983="","",B983/MAX(B$5:B983)-1)</x:f>
        <x:v>#NAME?</x:v>
      </x:c>
      <x:c r="E983" s="146" t="e">
        <x:f>IF(OR('实盘净值数据(iFinD公式)'!$A983="",'实盘净值数据(iFinD公式)'!$B983=""),"",分期持仓明细!$AD$18*SUMPRODUCT(分期持仓明细!$B$18:$AA$18,'实盘净值数据(iFinD公式)'!$B983:$AA983/'实盘净值数据(iFinD公式)'!$B$20:$AA$20)*(1-实盘持仓初始配置!$Z$5)^(('实盘净值数据(iFinD公式)'!$A983-'实盘净值数据(iFinD公式)'!$A$5)/365))</x:f>
        <x:v>#NAME?</x:v>
      </x:c>
      <x:c r="F983" s="152" t="e">
        <x:f>IF(OR(E982="",E983=""),"",E983/E982-1)</x:f>
        <x:v>#NAME?</x:v>
      </x:c>
      <x:c r="G983" s="152" t="e">
        <x:f>IF(E983="","",E983/MAX(E$5:E983)-1)</x:f>
        <x:v>#NAME?</x:v>
      </x:c>
      <x:c r="H983" s="146" t="e">
        <x:f>IF(OR('实盘净值数据(iFinD公式)'!$A983="",'实盘净值数据(iFinD公式)'!$B983=""),"",分期持仓明细!$AD$19*SUMPRODUCT(分期持仓明细!$B$19:$AA$19,'实盘净值数据(iFinD公式)'!$B983:$AA983/'实盘净值数据(iFinD公式)'!$B$20:$AA$20)*(1-实盘持仓初始配置!$Z$6)^(('实盘净值数据(iFinD公式)'!$A983-'实盘净值数据(iFinD公式)'!$A$7)/365))</x:f>
        <x:v>#NAME?</x:v>
      </x:c>
      <x:c r="I983" s="152" t="e">
        <x:f>IF(OR(H982="",H983=""),"",H983/H982-1)</x:f>
        <x:v>#NAME?</x:v>
      </x:c>
      <x:c r="J983" s="152" t="e">
        <x:f>IF(H983="","",H983/MAX(H$5:H983)-1)</x:f>
        <x:v>#NAME?</x:v>
      </x:c>
      <x:c r="K983" s="146" t="e">
        <x:f>IF(OR('实盘净值数据(iFinD公式)'!$A983="",'实盘净值数据(iFinD公式)'!$B983=""),"",分期持仓明细!$AD$23*SUMPRODUCT(分期持仓明细!$B$23:$AA$23,'实盘净值数据(iFinD公式)'!$B983:$AA983/'实盘净值数据(iFinD公式)'!$B$65:$AA$65)*(1-实盘持仓初始配置!$Z$7)^(('实盘净值数据(iFinD公式)'!$A983-'实盘净值数据(iFinD公式)'!$A$8)/365))</x:f>
        <x:v>#NAME?</x:v>
      </x:c>
      <x:c r="L983" s="152" t="e">
        <x:f>IF(OR(K982="",K983=""),"",K983/K982-1)</x:f>
        <x:v>#NAME?</x:v>
      </x:c>
      <x:c r="M983" s="152" t="e">
        <x:f>IF(K983="","",K983/MAX(K$5:K983)-1)</x:f>
        <x:v>#NAME?</x:v>
      </x:c>
      <x:c r="N983" s="146" t="e">
        <x:f>IF(OR('实盘净值数据(iFinD公式)'!$A983="",'实盘净值数据(iFinD公式)'!$B983=""),"",分期持仓明细!$AD$24*SUMPRODUCT(分期持仓明细!$B$24:$AA$24,'实盘净值数据(iFinD公式)'!$B983:$AA983/'实盘净值数据(iFinD公式)'!$B$65:$AA$65)*(1-实盘持仓初始配置!$Z$8)^(('实盘净值数据(iFinD公式)'!$A983-'实盘净值数据(iFinD公式)'!$A$5)/365))</x:f>
        <x:v>#NAME?</x:v>
      </x:c>
      <x:c r="O983" s="152" t="e">
        <x:f>IF(OR(N982="",N983=""),"",N983/N982-1)</x:f>
        <x:v>#NAME?</x:v>
      </x:c>
      <x:c r="P983" s="152" t="e">
        <x:f>IF(N983="","",N983/MAX(N$5:N983)-1)</x:f>
        <x:v>#NAME?</x:v>
      </x:c>
      <x:c r="Q983" s="146" t="e">
        <x:f>IF(OR('实盘净值数据(iFinD公式)'!$A983="",'实盘净值数据(iFinD公式)'!$B983=""),"",分期持仓明细!$AD$25*SUMPRODUCT(分期持仓明细!$B$25:$AA$25,'实盘净值数据(iFinD公式)'!$B983:$AA983/'实盘净值数据(iFinD公式)'!$B$65:$AA$65)*(1-实盘持仓初始配置!$Z$9)^(('实盘净值数据(iFinD公式)'!$A983-'实盘净值数据(iFinD公式)'!$A$8)/365))</x:f>
        <x:v>#NAME?</x:v>
      </x:c>
      <x:c r="R983" s="152" t="e">
        <x:f>IF(OR(Q982="",Q983=""),"",Q983/Q982-1)</x:f>
        <x:v>#NAME?</x:v>
      </x:c>
      <x:c r="S983" s="152" t="e">
        <x:f>IF(Q983="","",Q983/MAX(Q$5:Q983)-1)</x:f>
        <x:v>#NAME?</x:v>
      </x:c>
    </x:row>
    <x:row r="984">
      <x:c r="A984" s="149" t="str">
        <x:f>IF('实盘净值数据(iFinD公式)'!A984="","",'实盘净值数据(iFinD公式)'!A984)</x:f>
      </x:c>
      <x:c r="B984" s="146" t="e">
        <x:f>IF(OR('实盘净值数据(iFinD公式)'!$A984="",'实盘净值数据(iFinD公式)'!$B984=""),"",分期持仓明细!$AD$17*SUMPRODUCT(分期持仓明细!$B$17:$AA$17,'实盘净值数据(iFinD公式)'!$B984:$AA984/'实盘净值数据(iFinD公式)'!$B$20:$AA$20)*(1-实盘持仓初始配置!$Z$4)^(('实盘净值数据(iFinD公式)'!$A984-'实盘净值数据(iFinD公式)'!$A$6)/365))</x:f>
        <x:v>#NAME?</x:v>
      </x:c>
      <x:c r="C984" s="152" t="e">
        <x:f>IF(OR(B983="",B984=""),"",B984/B983-1)</x:f>
        <x:v>#NAME?</x:v>
      </x:c>
      <x:c r="D984" s="152" t="e">
        <x:f>IF(B984="","",B984/MAX(B$5:B984)-1)</x:f>
        <x:v>#NAME?</x:v>
      </x:c>
      <x:c r="E984" s="146" t="e">
        <x:f>IF(OR('实盘净值数据(iFinD公式)'!$A984="",'实盘净值数据(iFinD公式)'!$B984=""),"",分期持仓明细!$AD$18*SUMPRODUCT(分期持仓明细!$B$18:$AA$18,'实盘净值数据(iFinD公式)'!$B984:$AA984/'实盘净值数据(iFinD公式)'!$B$20:$AA$20)*(1-实盘持仓初始配置!$Z$5)^(('实盘净值数据(iFinD公式)'!$A984-'实盘净值数据(iFinD公式)'!$A$5)/365))</x:f>
        <x:v>#NAME?</x:v>
      </x:c>
      <x:c r="F984" s="152" t="e">
        <x:f>IF(OR(E983="",E984=""),"",E984/E983-1)</x:f>
        <x:v>#NAME?</x:v>
      </x:c>
      <x:c r="G984" s="152" t="e">
        <x:f>IF(E984="","",E984/MAX(E$5:E984)-1)</x:f>
        <x:v>#NAME?</x:v>
      </x:c>
      <x:c r="H984" s="146" t="e">
        <x:f>IF(OR('实盘净值数据(iFinD公式)'!$A984="",'实盘净值数据(iFinD公式)'!$B984=""),"",分期持仓明细!$AD$19*SUMPRODUCT(分期持仓明细!$B$19:$AA$19,'实盘净值数据(iFinD公式)'!$B984:$AA984/'实盘净值数据(iFinD公式)'!$B$20:$AA$20)*(1-实盘持仓初始配置!$Z$6)^(('实盘净值数据(iFinD公式)'!$A984-'实盘净值数据(iFinD公式)'!$A$7)/365))</x:f>
        <x:v>#NAME?</x:v>
      </x:c>
      <x:c r="I984" s="152" t="e">
        <x:f>IF(OR(H983="",H984=""),"",H984/H983-1)</x:f>
        <x:v>#NAME?</x:v>
      </x:c>
      <x:c r="J984" s="152" t="e">
        <x:f>IF(H984="","",H984/MAX(H$5:H984)-1)</x:f>
        <x:v>#NAME?</x:v>
      </x:c>
      <x:c r="K984" s="146" t="e">
        <x:f>IF(OR('实盘净值数据(iFinD公式)'!$A984="",'实盘净值数据(iFinD公式)'!$B984=""),"",分期持仓明细!$AD$23*SUMPRODUCT(分期持仓明细!$B$23:$AA$23,'实盘净值数据(iFinD公式)'!$B984:$AA984/'实盘净值数据(iFinD公式)'!$B$65:$AA$65)*(1-实盘持仓初始配置!$Z$7)^(('实盘净值数据(iFinD公式)'!$A984-'实盘净值数据(iFinD公式)'!$A$8)/365))</x:f>
        <x:v>#NAME?</x:v>
      </x:c>
      <x:c r="L984" s="152" t="e">
        <x:f>IF(OR(K983="",K984=""),"",K984/K983-1)</x:f>
        <x:v>#NAME?</x:v>
      </x:c>
      <x:c r="M984" s="152" t="e">
        <x:f>IF(K984="","",K984/MAX(K$5:K984)-1)</x:f>
        <x:v>#NAME?</x:v>
      </x:c>
      <x:c r="N984" s="146" t="e">
        <x:f>IF(OR('实盘净值数据(iFinD公式)'!$A984="",'实盘净值数据(iFinD公式)'!$B984=""),"",分期持仓明细!$AD$24*SUMPRODUCT(分期持仓明细!$B$24:$AA$24,'实盘净值数据(iFinD公式)'!$B984:$AA984/'实盘净值数据(iFinD公式)'!$B$65:$AA$65)*(1-实盘持仓初始配置!$Z$8)^(('实盘净值数据(iFinD公式)'!$A984-'实盘净值数据(iFinD公式)'!$A$5)/365))</x:f>
        <x:v>#NAME?</x:v>
      </x:c>
      <x:c r="O984" s="152" t="e">
        <x:f>IF(OR(N983="",N984=""),"",N984/N983-1)</x:f>
        <x:v>#NAME?</x:v>
      </x:c>
      <x:c r="P984" s="152" t="e">
        <x:f>IF(N984="","",N984/MAX(N$5:N984)-1)</x:f>
        <x:v>#NAME?</x:v>
      </x:c>
      <x:c r="Q984" s="146" t="e">
        <x:f>IF(OR('实盘净值数据(iFinD公式)'!$A984="",'实盘净值数据(iFinD公式)'!$B984=""),"",分期持仓明细!$AD$25*SUMPRODUCT(分期持仓明细!$B$25:$AA$25,'实盘净值数据(iFinD公式)'!$B984:$AA984/'实盘净值数据(iFinD公式)'!$B$65:$AA$65)*(1-实盘持仓初始配置!$Z$9)^(('实盘净值数据(iFinD公式)'!$A984-'实盘净值数据(iFinD公式)'!$A$8)/365))</x:f>
        <x:v>#NAME?</x:v>
      </x:c>
      <x:c r="R984" s="152" t="e">
        <x:f>IF(OR(Q983="",Q984=""),"",Q984/Q983-1)</x:f>
        <x:v>#NAME?</x:v>
      </x:c>
      <x:c r="S984" s="152" t="e">
        <x:f>IF(Q984="","",Q984/MAX(Q$5:Q984)-1)</x:f>
        <x:v>#NAME?</x:v>
      </x:c>
    </x:row>
    <x:row r="985">
      <x:c r="A985" s="149" t="str">
        <x:f>IF('实盘净值数据(iFinD公式)'!A985="","",'实盘净值数据(iFinD公式)'!A985)</x:f>
      </x:c>
      <x:c r="B985" s="146" t="e">
        <x:f>IF(OR('实盘净值数据(iFinD公式)'!$A985="",'实盘净值数据(iFinD公式)'!$B985=""),"",分期持仓明细!$AD$17*SUMPRODUCT(分期持仓明细!$B$17:$AA$17,'实盘净值数据(iFinD公式)'!$B985:$AA985/'实盘净值数据(iFinD公式)'!$B$20:$AA$20)*(1-实盘持仓初始配置!$Z$4)^(('实盘净值数据(iFinD公式)'!$A985-'实盘净值数据(iFinD公式)'!$A$6)/365))</x:f>
        <x:v>#NAME?</x:v>
      </x:c>
      <x:c r="C985" s="152" t="e">
        <x:f>IF(OR(B984="",B985=""),"",B985/B984-1)</x:f>
        <x:v>#NAME?</x:v>
      </x:c>
      <x:c r="D985" s="152" t="e">
        <x:f>IF(B985="","",B985/MAX(B$5:B985)-1)</x:f>
        <x:v>#NAME?</x:v>
      </x:c>
      <x:c r="E985" s="146" t="e">
        <x:f>IF(OR('实盘净值数据(iFinD公式)'!$A985="",'实盘净值数据(iFinD公式)'!$B985=""),"",分期持仓明细!$AD$18*SUMPRODUCT(分期持仓明细!$B$18:$AA$18,'实盘净值数据(iFinD公式)'!$B985:$AA985/'实盘净值数据(iFinD公式)'!$B$20:$AA$20)*(1-实盘持仓初始配置!$Z$5)^(('实盘净值数据(iFinD公式)'!$A985-'实盘净值数据(iFinD公式)'!$A$5)/365))</x:f>
        <x:v>#NAME?</x:v>
      </x:c>
      <x:c r="F985" s="152" t="e">
        <x:f>IF(OR(E984="",E985=""),"",E985/E984-1)</x:f>
        <x:v>#NAME?</x:v>
      </x:c>
      <x:c r="G985" s="152" t="e">
        <x:f>IF(E985="","",E985/MAX(E$5:E985)-1)</x:f>
        <x:v>#NAME?</x:v>
      </x:c>
      <x:c r="H985" s="146" t="e">
        <x:f>IF(OR('实盘净值数据(iFinD公式)'!$A985="",'实盘净值数据(iFinD公式)'!$B985=""),"",分期持仓明细!$AD$19*SUMPRODUCT(分期持仓明细!$B$19:$AA$19,'实盘净值数据(iFinD公式)'!$B985:$AA985/'实盘净值数据(iFinD公式)'!$B$20:$AA$20)*(1-实盘持仓初始配置!$Z$6)^(('实盘净值数据(iFinD公式)'!$A985-'实盘净值数据(iFinD公式)'!$A$7)/365))</x:f>
        <x:v>#NAME?</x:v>
      </x:c>
      <x:c r="I985" s="152" t="e">
        <x:f>IF(OR(H984="",H985=""),"",H985/H984-1)</x:f>
        <x:v>#NAME?</x:v>
      </x:c>
      <x:c r="J985" s="152" t="e">
        <x:f>IF(H985="","",H985/MAX(H$5:H985)-1)</x:f>
        <x:v>#NAME?</x:v>
      </x:c>
      <x:c r="K985" s="146" t="e">
        <x:f>IF(OR('实盘净值数据(iFinD公式)'!$A985="",'实盘净值数据(iFinD公式)'!$B985=""),"",分期持仓明细!$AD$23*SUMPRODUCT(分期持仓明细!$B$23:$AA$23,'实盘净值数据(iFinD公式)'!$B985:$AA985/'实盘净值数据(iFinD公式)'!$B$65:$AA$65)*(1-实盘持仓初始配置!$Z$7)^(('实盘净值数据(iFinD公式)'!$A985-'实盘净值数据(iFinD公式)'!$A$8)/365))</x:f>
        <x:v>#NAME?</x:v>
      </x:c>
      <x:c r="L985" s="152" t="e">
        <x:f>IF(OR(K984="",K985=""),"",K985/K984-1)</x:f>
        <x:v>#NAME?</x:v>
      </x:c>
      <x:c r="M985" s="152" t="e">
        <x:f>IF(K985="","",K985/MAX(K$5:K985)-1)</x:f>
        <x:v>#NAME?</x:v>
      </x:c>
      <x:c r="N985" s="146" t="e">
        <x:f>IF(OR('实盘净值数据(iFinD公式)'!$A985="",'实盘净值数据(iFinD公式)'!$B985=""),"",分期持仓明细!$AD$24*SUMPRODUCT(分期持仓明细!$B$24:$AA$24,'实盘净值数据(iFinD公式)'!$B985:$AA985/'实盘净值数据(iFinD公式)'!$B$65:$AA$65)*(1-实盘持仓初始配置!$Z$8)^(('实盘净值数据(iFinD公式)'!$A985-'实盘净值数据(iFinD公式)'!$A$5)/365))</x:f>
        <x:v>#NAME?</x:v>
      </x:c>
      <x:c r="O985" s="152" t="e">
        <x:f>IF(OR(N984="",N985=""),"",N985/N984-1)</x:f>
        <x:v>#NAME?</x:v>
      </x:c>
      <x:c r="P985" s="152" t="e">
        <x:f>IF(N985="","",N985/MAX(N$5:N985)-1)</x:f>
        <x:v>#NAME?</x:v>
      </x:c>
      <x:c r="Q985" s="146" t="e">
        <x:f>IF(OR('实盘净值数据(iFinD公式)'!$A985="",'实盘净值数据(iFinD公式)'!$B985=""),"",分期持仓明细!$AD$25*SUMPRODUCT(分期持仓明细!$B$25:$AA$25,'实盘净值数据(iFinD公式)'!$B985:$AA985/'实盘净值数据(iFinD公式)'!$B$65:$AA$65)*(1-实盘持仓初始配置!$Z$9)^(('实盘净值数据(iFinD公式)'!$A985-'实盘净值数据(iFinD公式)'!$A$8)/365))</x:f>
        <x:v>#NAME?</x:v>
      </x:c>
      <x:c r="R985" s="152" t="e">
        <x:f>IF(OR(Q984="",Q985=""),"",Q985/Q984-1)</x:f>
        <x:v>#NAME?</x:v>
      </x:c>
      <x:c r="S985" s="152" t="e">
        <x:f>IF(Q985="","",Q985/MAX(Q$5:Q985)-1)</x:f>
        <x:v>#NAME?</x:v>
      </x:c>
    </x:row>
    <x:row r="986">
      <x:c r="A986" s="149" t="str">
        <x:f>IF('实盘净值数据(iFinD公式)'!A986="","",'实盘净值数据(iFinD公式)'!A986)</x:f>
      </x:c>
      <x:c r="B986" s="146" t="e">
        <x:f>IF(OR('实盘净值数据(iFinD公式)'!$A986="",'实盘净值数据(iFinD公式)'!$B986=""),"",分期持仓明细!$AD$17*SUMPRODUCT(分期持仓明细!$B$17:$AA$17,'实盘净值数据(iFinD公式)'!$B986:$AA986/'实盘净值数据(iFinD公式)'!$B$20:$AA$20)*(1-实盘持仓初始配置!$Z$4)^(('实盘净值数据(iFinD公式)'!$A986-'实盘净值数据(iFinD公式)'!$A$6)/365))</x:f>
        <x:v>#NAME?</x:v>
      </x:c>
      <x:c r="C986" s="152" t="e">
        <x:f>IF(OR(B985="",B986=""),"",B986/B985-1)</x:f>
        <x:v>#NAME?</x:v>
      </x:c>
      <x:c r="D986" s="152" t="e">
        <x:f>IF(B986="","",B986/MAX(B$5:B986)-1)</x:f>
        <x:v>#NAME?</x:v>
      </x:c>
      <x:c r="E986" s="146" t="e">
        <x:f>IF(OR('实盘净值数据(iFinD公式)'!$A986="",'实盘净值数据(iFinD公式)'!$B986=""),"",分期持仓明细!$AD$18*SUMPRODUCT(分期持仓明细!$B$18:$AA$18,'实盘净值数据(iFinD公式)'!$B986:$AA986/'实盘净值数据(iFinD公式)'!$B$20:$AA$20)*(1-实盘持仓初始配置!$Z$5)^(('实盘净值数据(iFinD公式)'!$A986-'实盘净值数据(iFinD公式)'!$A$5)/365))</x:f>
        <x:v>#NAME?</x:v>
      </x:c>
      <x:c r="F986" s="152" t="e">
        <x:f>IF(OR(E985="",E986=""),"",E986/E985-1)</x:f>
        <x:v>#NAME?</x:v>
      </x:c>
      <x:c r="G986" s="152" t="e">
        <x:f>IF(E986="","",E986/MAX(E$5:E986)-1)</x:f>
        <x:v>#NAME?</x:v>
      </x:c>
      <x:c r="H986" s="146" t="e">
        <x:f>IF(OR('实盘净值数据(iFinD公式)'!$A986="",'实盘净值数据(iFinD公式)'!$B986=""),"",分期持仓明细!$AD$19*SUMPRODUCT(分期持仓明细!$B$19:$AA$19,'实盘净值数据(iFinD公式)'!$B986:$AA986/'实盘净值数据(iFinD公式)'!$B$20:$AA$20)*(1-实盘持仓初始配置!$Z$6)^(('实盘净值数据(iFinD公式)'!$A986-'实盘净值数据(iFinD公式)'!$A$7)/365))</x:f>
        <x:v>#NAME?</x:v>
      </x:c>
      <x:c r="I986" s="152" t="e">
        <x:f>IF(OR(H985="",H986=""),"",H986/H985-1)</x:f>
        <x:v>#NAME?</x:v>
      </x:c>
      <x:c r="J986" s="152" t="e">
        <x:f>IF(H986="","",H986/MAX(H$5:H986)-1)</x:f>
        <x:v>#NAME?</x:v>
      </x:c>
      <x:c r="K986" s="146" t="e">
        <x:f>IF(OR('实盘净值数据(iFinD公式)'!$A986="",'实盘净值数据(iFinD公式)'!$B986=""),"",分期持仓明细!$AD$23*SUMPRODUCT(分期持仓明细!$B$23:$AA$23,'实盘净值数据(iFinD公式)'!$B986:$AA986/'实盘净值数据(iFinD公式)'!$B$65:$AA$65)*(1-实盘持仓初始配置!$Z$7)^(('实盘净值数据(iFinD公式)'!$A986-'实盘净值数据(iFinD公式)'!$A$8)/365))</x:f>
        <x:v>#NAME?</x:v>
      </x:c>
      <x:c r="L986" s="152" t="e">
        <x:f>IF(OR(K985="",K986=""),"",K986/K985-1)</x:f>
        <x:v>#NAME?</x:v>
      </x:c>
      <x:c r="M986" s="152" t="e">
        <x:f>IF(K986="","",K986/MAX(K$5:K986)-1)</x:f>
        <x:v>#NAME?</x:v>
      </x:c>
      <x:c r="N986" s="146" t="e">
        <x:f>IF(OR('实盘净值数据(iFinD公式)'!$A986="",'实盘净值数据(iFinD公式)'!$B986=""),"",分期持仓明细!$AD$24*SUMPRODUCT(分期持仓明细!$B$24:$AA$24,'实盘净值数据(iFinD公式)'!$B986:$AA986/'实盘净值数据(iFinD公式)'!$B$65:$AA$65)*(1-实盘持仓初始配置!$Z$8)^(('实盘净值数据(iFinD公式)'!$A986-'实盘净值数据(iFinD公式)'!$A$5)/365))</x:f>
        <x:v>#NAME?</x:v>
      </x:c>
      <x:c r="O986" s="152" t="e">
        <x:f>IF(OR(N985="",N986=""),"",N986/N985-1)</x:f>
        <x:v>#NAME?</x:v>
      </x:c>
      <x:c r="P986" s="152" t="e">
        <x:f>IF(N986="","",N986/MAX(N$5:N986)-1)</x:f>
        <x:v>#NAME?</x:v>
      </x:c>
      <x:c r="Q986" s="146" t="e">
        <x:f>IF(OR('实盘净值数据(iFinD公式)'!$A986="",'实盘净值数据(iFinD公式)'!$B986=""),"",分期持仓明细!$AD$25*SUMPRODUCT(分期持仓明细!$B$25:$AA$25,'实盘净值数据(iFinD公式)'!$B986:$AA986/'实盘净值数据(iFinD公式)'!$B$65:$AA$65)*(1-实盘持仓初始配置!$Z$9)^(('实盘净值数据(iFinD公式)'!$A986-'实盘净值数据(iFinD公式)'!$A$8)/365))</x:f>
        <x:v>#NAME?</x:v>
      </x:c>
      <x:c r="R986" s="152" t="e">
        <x:f>IF(OR(Q985="",Q986=""),"",Q986/Q985-1)</x:f>
        <x:v>#NAME?</x:v>
      </x:c>
      <x:c r="S986" s="152" t="e">
        <x:f>IF(Q986="","",Q986/MAX(Q$5:Q986)-1)</x:f>
        <x:v>#NAME?</x:v>
      </x:c>
    </x:row>
    <x:row r="987">
      <x:c r="A987" s="149" t="str">
        <x:f>IF('实盘净值数据(iFinD公式)'!A987="","",'实盘净值数据(iFinD公式)'!A987)</x:f>
      </x:c>
      <x:c r="B987" s="146" t="e">
        <x:f>IF(OR('实盘净值数据(iFinD公式)'!$A987="",'实盘净值数据(iFinD公式)'!$B987=""),"",分期持仓明细!$AD$17*SUMPRODUCT(分期持仓明细!$B$17:$AA$17,'实盘净值数据(iFinD公式)'!$B987:$AA987/'实盘净值数据(iFinD公式)'!$B$20:$AA$20)*(1-实盘持仓初始配置!$Z$4)^(('实盘净值数据(iFinD公式)'!$A987-'实盘净值数据(iFinD公式)'!$A$6)/365))</x:f>
        <x:v>#NAME?</x:v>
      </x:c>
      <x:c r="C987" s="152" t="e">
        <x:f>IF(OR(B986="",B987=""),"",B987/B986-1)</x:f>
        <x:v>#NAME?</x:v>
      </x:c>
      <x:c r="D987" s="152" t="e">
        <x:f>IF(B987="","",B987/MAX(B$5:B987)-1)</x:f>
        <x:v>#NAME?</x:v>
      </x:c>
      <x:c r="E987" s="146" t="e">
        <x:f>IF(OR('实盘净值数据(iFinD公式)'!$A987="",'实盘净值数据(iFinD公式)'!$B987=""),"",分期持仓明细!$AD$18*SUMPRODUCT(分期持仓明细!$B$18:$AA$18,'实盘净值数据(iFinD公式)'!$B987:$AA987/'实盘净值数据(iFinD公式)'!$B$20:$AA$20)*(1-实盘持仓初始配置!$Z$5)^(('实盘净值数据(iFinD公式)'!$A987-'实盘净值数据(iFinD公式)'!$A$5)/365))</x:f>
        <x:v>#NAME?</x:v>
      </x:c>
      <x:c r="F987" s="152" t="e">
        <x:f>IF(OR(E986="",E987=""),"",E987/E986-1)</x:f>
        <x:v>#NAME?</x:v>
      </x:c>
      <x:c r="G987" s="152" t="e">
        <x:f>IF(E987="","",E987/MAX(E$5:E987)-1)</x:f>
        <x:v>#NAME?</x:v>
      </x:c>
      <x:c r="H987" s="146" t="e">
        <x:f>IF(OR('实盘净值数据(iFinD公式)'!$A987="",'实盘净值数据(iFinD公式)'!$B987=""),"",分期持仓明细!$AD$19*SUMPRODUCT(分期持仓明细!$B$19:$AA$19,'实盘净值数据(iFinD公式)'!$B987:$AA987/'实盘净值数据(iFinD公式)'!$B$20:$AA$20)*(1-实盘持仓初始配置!$Z$6)^(('实盘净值数据(iFinD公式)'!$A987-'实盘净值数据(iFinD公式)'!$A$7)/365))</x:f>
        <x:v>#NAME?</x:v>
      </x:c>
      <x:c r="I987" s="152" t="e">
        <x:f>IF(OR(H986="",H987=""),"",H987/H986-1)</x:f>
        <x:v>#NAME?</x:v>
      </x:c>
      <x:c r="J987" s="152" t="e">
        <x:f>IF(H987="","",H987/MAX(H$5:H987)-1)</x:f>
        <x:v>#NAME?</x:v>
      </x:c>
      <x:c r="K987" s="146" t="e">
        <x:f>IF(OR('实盘净值数据(iFinD公式)'!$A987="",'实盘净值数据(iFinD公式)'!$B987=""),"",分期持仓明细!$AD$23*SUMPRODUCT(分期持仓明细!$B$23:$AA$23,'实盘净值数据(iFinD公式)'!$B987:$AA987/'实盘净值数据(iFinD公式)'!$B$65:$AA$65)*(1-实盘持仓初始配置!$Z$7)^(('实盘净值数据(iFinD公式)'!$A987-'实盘净值数据(iFinD公式)'!$A$8)/365))</x:f>
        <x:v>#NAME?</x:v>
      </x:c>
      <x:c r="L987" s="152" t="e">
        <x:f>IF(OR(K986="",K987=""),"",K987/K986-1)</x:f>
        <x:v>#NAME?</x:v>
      </x:c>
      <x:c r="M987" s="152" t="e">
        <x:f>IF(K987="","",K987/MAX(K$5:K987)-1)</x:f>
        <x:v>#NAME?</x:v>
      </x:c>
      <x:c r="N987" s="146" t="e">
        <x:f>IF(OR('实盘净值数据(iFinD公式)'!$A987="",'实盘净值数据(iFinD公式)'!$B987=""),"",分期持仓明细!$AD$24*SUMPRODUCT(分期持仓明细!$B$24:$AA$24,'实盘净值数据(iFinD公式)'!$B987:$AA987/'实盘净值数据(iFinD公式)'!$B$65:$AA$65)*(1-实盘持仓初始配置!$Z$8)^(('实盘净值数据(iFinD公式)'!$A987-'实盘净值数据(iFinD公式)'!$A$5)/365))</x:f>
        <x:v>#NAME?</x:v>
      </x:c>
      <x:c r="O987" s="152" t="e">
        <x:f>IF(OR(N986="",N987=""),"",N987/N986-1)</x:f>
        <x:v>#NAME?</x:v>
      </x:c>
      <x:c r="P987" s="152" t="e">
        <x:f>IF(N987="","",N987/MAX(N$5:N987)-1)</x:f>
        <x:v>#NAME?</x:v>
      </x:c>
      <x:c r="Q987" s="146" t="e">
        <x:f>IF(OR('实盘净值数据(iFinD公式)'!$A987="",'实盘净值数据(iFinD公式)'!$B987=""),"",分期持仓明细!$AD$25*SUMPRODUCT(分期持仓明细!$B$25:$AA$25,'实盘净值数据(iFinD公式)'!$B987:$AA987/'实盘净值数据(iFinD公式)'!$B$65:$AA$65)*(1-实盘持仓初始配置!$Z$9)^(('实盘净值数据(iFinD公式)'!$A987-'实盘净值数据(iFinD公式)'!$A$8)/365))</x:f>
        <x:v>#NAME?</x:v>
      </x:c>
      <x:c r="R987" s="152" t="e">
        <x:f>IF(OR(Q986="",Q987=""),"",Q987/Q986-1)</x:f>
        <x:v>#NAME?</x:v>
      </x:c>
      <x:c r="S987" s="152" t="e">
        <x:f>IF(Q987="","",Q987/MAX(Q$5:Q987)-1)</x:f>
        <x:v>#NAME?</x:v>
      </x:c>
    </x:row>
    <x:row r="988">
      <x:c r="A988" s="149" t="str">
        <x:f>IF('实盘净值数据(iFinD公式)'!A988="","",'实盘净值数据(iFinD公式)'!A988)</x:f>
      </x:c>
      <x:c r="B988" s="146" t="e">
        <x:f>IF(OR('实盘净值数据(iFinD公式)'!$A988="",'实盘净值数据(iFinD公式)'!$B988=""),"",分期持仓明细!$AD$17*SUMPRODUCT(分期持仓明细!$B$17:$AA$17,'实盘净值数据(iFinD公式)'!$B988:$AA988/'实盘净值数据(iFinD公式)'!$B$20:$AA$20)*(1-实盘持仓初始配置!$Z$4)^(('实盘净值数据(iFinD公式)'!$A988-'实盘净值数据(iFinD公式)'!$A$6)/365))</x:f>
        <x:v>#NAME?</x:v>
      </x:c>
      <x:c r="C988" s="152" t="e">
        <x:f>IF(OR(B987="",B988=""),"",B988/B987-1)</x:f>
        <x:v>#NAME?</x:v>
      </x:c>
      <x:c r="D988" s="152" t="e">
        <x:f>IF(B988="","",B988/MAX(B$5:B988)-1)</x:f>
        <x:v>#NAME?</x:v>
      </x:c>
      <x:c r="E988" s="146" t="e">
        <x:f>IF(OR('实盘净值数据(iFinD公式)'!$A988="",'实盘净值数据(iFinD公式)'!$B988=""),"",分期持仓明细!$AD$18*SUMPRODUCT(分期持仓明细!$B$18:$AA$18,'实盘净值数据(iFinD公式)'!$B988:$AA988/'实盘净值数据(iFinD公式)'!$B$20:$AA$20)*(1-实盘持仓初始配置!$Z$5)^(('实盘净值数据(iFinD公式)'!$A988-'实盘净值数据(iFinD公式)'!$A$5)/365))</x:f>
        <x:v>#NAME?</x:v>
      </x:c>
      <x:c r="F988" s="152" t="e">
        <x:f>IF(OR(E987="",E988=""),"",E988/E987-1)</x:f>
        <x:v>#NAME?</x:v>
      </x:c>
      <x:c r="G988" s="152" t="e">
        <x:f>IF(E988="","",E988/MAX(E$5:E988)-1)</x:f>
        <x:v>#NAME?</x:v>
      </x:c>
      <x:c r="H988" s="146" t="e">
        <x:f>IF(OR('实盘净值数据(iFinD公式)'!$A988="",'实盘净值数据(iFinD公式)'!$B988=""),"",分期持仓明细!$AD$19*SUMPRODUCT(分期持仓明细!$B$19:$AA$19,'实盘净值数据(iFinD公式)'!$B988:$AA988/'实盘净值数据(iFinD公式)'!$B$20:$AA$20)*(1-实盘持仓初始配置!$Z$6)^(('实盘净值数据(iFinD公式)'!$A988-'实盘净值数据(iFinD公式)'!$A$7)/365))</x:f>
        <x:v>#NAME?</x:v>
      </x:c>
      <x:c r="I988" s="152" t="e">
        <x:f>IF(OR(H987="",H988=""),"",H988/H987-1)</x:f>
        <x:v>#NAME?</x:v>
      </x:c>
      <x:c r="J988" s="152" t="e">
        <x:f>IF(H988="","",H988/MAX(H$5:H988)-1)</x:f>
        <x:v>#NAME?</x:v>
      </x:c>
      <x:c r="K988" s="146" t="e">
        <x:f>IF(OR('实盘净值数据(iFinD公式)'!$A988="",'实盘净值数据(iFinD公式)'!$B988=""),"",分期持仓明细!$AD$23*SUMPRODUCT(分期持仓明细!$B$23:$AA$23,'实盘净值数据(iFinD公式)'!$B988:$AA988/'实盘净值数据(iFinD公式)'!$B$65:$AA$65)*(1-实盘持仓初始配置!$Z$7)^(('实盘净值数据(iFinD公式)'!$A988-'实盘净值数据(iFinD公式)'!$A$8)/365))</x:f>
        <x:v>#NAME?</x:v>
      </x:c>
      <x:c r="L988" s="152" t="e">
        <x:f>IF(OR(K987="",K988=""),"",K988/K987-1)</x:f>
        <x:v>#NAME?</x:v>
      </x:c>
      <x:c r="M988" s="152" t="e">
        <x:f>IF(K988="","",K988/MAX(K$5:K988)-1)</x:f>
        <x:v>#NAME?</x:v>
      </x:c>
      <x:c r="N988" s="146" t="e">
        <x:f>IF(OR('实盘净值数据(iFinD公式)'!$A988="",'实盘净值数据(iFinD公式)'!$B988=""),"",分期持仓明细!$AD$24*SUMPRODUCT(分期持仓明细!$B$24:$AA$24,'实盘净值数据(iFinD公式)'!$B988:$AA988/'实盘净值数据(iFinD公式)'!$B$65:$AA$65)*(1-实盘持仓初始配置!$Z$8)^(('实盘净值数据(iFinD公式)'!$A988-'实盘净值数据(iFinD公式)'!$A$5)/365))</x:f>
        <x:v>#NAME?</x:v>
      </x:c>
      <x:c r="O988" s="152" t="e">
        <x:f>IF(OR(N987="",N988=""),"",N988/N987-1)</x:f>
        <x:v>#NAME?</x:v>
      </x:c>
      <x:c r="P988" s="152" t="e">
        <x:f>IF(N988="","",N988/MAX(N$5:N988)-1)</x:f>
        <x:v>#NAME?</x:v>
      </x:c>
      <x:c r="Q988" s="146" t="e">
        <x:f>IF(OR('实盘净值数据(iFinD公式)'!$A988="",'实盘净值数据(iFinD公式)'!$B988=""),"",分期持仓明细!$AD$25*SUMPRODUCT(分期持仓明细!$B$25:$AA$25,'实盘净值数据(iFinD公式)'!$B988:$AA988/'实盘净值数据(iFinD公式)'!$B$65:$AA$65)*(1-实盘持仓初始配置!$Z$9)^(('实盘净值数据(iFinD公式)'!$A988-'实盘净值数据(iFinD公式)'!$A$8)/365))</x:f>
        <x:v>#NAME?</x:v>
      </x:c>
      <x:c r="R988" s="152" t="e">
        <x:f>IF(OR(Q987="",Q988=""),"",Q988/Q987-1)</x:f>
        <x:v>#NAME?</x:v>
      </x:c>
      <x:c r="S988" s="152" t="e">
        <x:f>IF(Q988="","",Q988/MAX(Q$5:Q988)-1)</x:f>
        <x:v>#NAME?</x:v>
      </x:c>
    </x:row>
    <x:row r="989">
      <x:c r="A989" s="149" t="str">
        <x:f>IF('实盘净值数据(iFinD公式)'!A989="","",'实盘净值数据(iFinD公式)'!A989)</x:f>
      </x:c>
      <x:c r="B989" s="146" t="e">
        <x:f>IF(OR('实盘净值数据(iFinD公式)'!$A989="",'实盘净值数据(iFinD公式)'!$B989=""),"",分期持仓明细!$AD$17*SUMPRODUCT(分期持仓明细!$B$17:$AA$17,'实盘净值数据(iFinD公式)'!$B989:$AA989/'实盘净值数据(iFinD公式)'!$B$20:$AA$20)*(1-实盘持仓初始配置!$Z$4)^(('实盘净值数据(iFinD公式)'!$A989-'实盘净值数据(iFinD公式)'!$A$6)/365))</x:f>
        <x:v>#NAME?</x:v>
      </x:c>
      <x:c r="C989" s="152" t="e">
        <x:f>IF(OR(B988="",B989=""),"",B989/B988-1)</x:f>
        <x:v>#NAME?</x:v>
      </x:c>
      <x:c r="D989" s="152" t="e">
        <x:f>IF(B989="","",B989/MAX(B$5:B989)-1)</x:f>
        <x:v>#NAME?</x:v>
      </x:c>
      <x:c r="E989" s="146" t="e">
        <x:f>IF(OR('实盘净值数据(iFinD公式)'!$A989="",'实盘净值数据(iFinD公式)'!$B989=""),"",分期持仓明细!$AD$18*SUMPRODUCT(分期持仓明细!$B$18:$AA$18,'实盘净值数据(iFinD公式)'!$B989:$AA989/'实盘净值数据(iFinD公式)'!$B$20:$AA$20)*(1-实盘持仓初始配置!$Z$5)^(('实盘净值数据(iFinD公式)'!$A989-'实盘净值数据(iFinD公式)'!$A$5)/365))</x:f>
        <x:v>#NAME?</x:v>
      </x:c>
      <x:c r="F989" s="152" t="e">
        <x:f>IF(OR(E988="",E989=""),"",E989/E988-1)</x:f>
        <x:v>#NAME?</x:v>
      </x:c>
      <x:c r="G989" s="152" t="e">
        <x:f>IF(E989="","",E989/MAX(E$5:E989)-1)</x:f>
        <x:v>#NAME?</x:v>
      </x:c>
      <x:c r="H989" s="146" t="e">
        <x:f>IF(OR('实盘净值数据(iFinD公式)'!$A989="",'实盘净值数据(iFinD公式)'!$B989=""),"",分期持仓明细!$AD$19*SUMPRODUCT(分期持仓明细!$B$19:$AA$19,'实盘净值数据(iFinD公式)'!$B989:$AA989/'实盘净值数据(iFinD公式)'!$B$20:$AA$20)*(1-实盘持仓初始配置!$Z$6)^(('实盘净值数据(iFinD公式)'!$A989-'实盘净值数据(iFinD公式)'!$A$7)/365))</x:f>
        <x:v>#NAME?</x:v>
      </x:c>
      <x:c r="I989" s="152" t="e">
        <x:f>IF(OR(H988="",H989=""),"",H989/H988-1)</x:f>
        <x:v>#NAME?</x:v>
      </x:c>
      <x:c r="J989" s="152" t="e">
        <x:f>IF(H989="","",H989/MAX(H$5:H989)-1)</x:f>
        <x:v>#NAME?</x:v>
      </x:c>
      <x:c r="K989" s="146" t="e">
        <x:f>IF(OR('实盘净值数据(iFinD公式)'!$A989="",'实盘净值数据(iFinD公式)'!$B989=""),"",分期持仓明细!$AD$23*SUMPRODUCT(分期持仓明细!$B$23:$AA$23,'实盘净值数据(iFinD公式)'!$B989:$AA989/'实盘净值数据(iFinD公式)'!$B$65:$AA$65)*(1-实盘持仓初始配置!$Z$7)^(('实盘净值数据(iFinD公式)'!$A989-'实盘净值数据(iFinD公式)'!$A$8)/365))</x:f>
        <x:v>#NAME?</x:v>
      </x:c>
      <x:c r="L989" s="152" t="e">
        <x:f>IF(OR(K988="",K989=""),"",K989/K988-1)</x:f>
        <x:v>#NAME?</x:v>
      </x:c>
      <x:c r="M989" s="152" t="e">
        <x:f>IF(K989="","",K989/MAX(K$5:K989)-1)</x:f>
        <x:v>#NAME?</x:v>
      </x:c>
      <x:c r="N989" s="146" t="e">
        <x:f>IF(OR('实盘净值数据(iFinD公式)'!$A989="",'实盘净值数据(iFinD公式)'!$B989=""),"",分期持仓明细!$AD$24*SUMPRODUCT(分期持仓明细!$B$24:$AA$24,'实盘净值数据(iFinD公式)'!$B989:$AA989/'实盘净值数据(iFinD公式)'!$B$65:$AA$65)*(1-实盘持仓初始配置!$Z$8)^(('实盘净值数据(iFinD公式)'!$A989-'实盘净值数据(iFinD公式)'!$A$5)/365))</x:f>
        <x:v>#NAME?</x:v>
      </x:c>
      <x:c r="O989" s="152" t="e">
        <x:f>IF(OR(N988="",N989=""),"",N989/N988-1)</x:f>
        <x:v>#NAME?</x:v>
      </x:c>
      <x:c r="P989" s="152" t="e">
        <x:f>IF(N989="","",N989/MAX(N$5:N989)-1)</x:f>
        <x:v>#NAME?</x:v>
      </x:c>
      <x:c r="Q989" s="146" t="e">
        <x:f>IF(OR('实盘净值数据(iFinD公式)'!$A989="",'实盘净值数据(iFinD公式)'!$B989=""),"",分期持仓明细!$AD$25*SUMPRODUCT(分期持仓明细!$B$25:$AA$25,'实盘净值数据(iFinD公式)'!$B989:$AA989/'实盘净值数据(iFinD公式)'!$B$65:$AA$65)*(1-实盘持仓初始配置!$Z$9)^(('实盘净值数据(iFinD公式)'!$A989-'实盘净值数据(iFinD公式)'!$A$8)/365))</x:f>
        <x:v>#NAME?</x:v>
      </x:c>
      <x:c r="R989" s="152" t="e">
        <x:f>IF(OR(Q988="",Q989=""),"",Q989/Q988-1)</x:f>
        <x:v>#NAME?</x:v>
      </x:c>
      <x:c r="S989" s="152" t="e">
        <x:f>IF(Q989="","",Q989/MAX(Q$5:Q989)-1)</x:f>
        <x:v>#NAME?</x:v>
      </x:c>
    </x:row>
    <x:row r="990">
      <x:c r="A990" s="149" t="str">
        <x:f>IF('实盘净值数据(iFinD公式)'!A990="","",'实盘净值数据(iFinD公式)'!A990)</x:f>
      </x:c>
      <x:c r="B990" s="146" t="e">
        <x:f>IF(OR('实盘净值数据(iFinD公式)'!$A990="",'实盘净值数据(iFinD公式)'!$B990=""),"",分期持仓明细!$AD$17*SUMPRODUCT(分期持仓明细!$B$17:$AA$17,'实盘净值数据(iFinD公式)'!$B990:$AA990/'实盘净值数据(iFinD公式)'!$B$20:$AA$20)*(1-实盘持仓初始配置!$Z$4)^(('实盘净值数据(iFinD公式)'!$A990-'实盘净值数据(iFinD公式)'!$A$6)/365))</x:f>
        <x:v>#NAME?</x:v>
      </x:c>
      <x:c r="C990" s="152" t="e">
        <x:f>IF(OR(B989="",B990=""),"",B990/B989-1)</x:f>
        <x:v>#NAME?</x:v>
      </x:c>
      <x:c r="D990" s="152" t="e">
        <x:f>IF(B990="","",B990/MAX(B$5:B990)-1)</x:f>
        <x:v>#NAME?</x:v>
      </x:c>
      <x:c r="E990" s="146" t="e">
        <x:f>IF(OR('实盘净值数据(iFinD公式)'!$A990="",'实盘净值数据(iFinD公式)'!$B990=""),"",分期持仓明细!$AD$18*SUMPRODUCT(分期持仓明细!$B$18:$AA$18,'实盘净值数据(iFinD公式)'!$B990:$AA990/'实盘净值数据(iFinD公式)'!$B$20:$AA$20)*(1-实盘持仓初始配置!$Z$5)^(('实盘净值数据(iFinD公式)'!$A990-'实盘净值数据(iFinD公式)'!$A$5)/365))</x:f>
        <x:v>#NAME?</x:v>
      </x:c>
      <x:c r="F990" s="152" t="e">
        <x:f>IF(OR(E989="",E990=""),"",E990/E989-1)</x:f>
        <x:v>#NAME?</x:v>
      </x:c>
      <x:c r="G990" s="152" t="e">
        <x:f>IF(E990="","",E990/MAX(E$5:E990)-1)</x:f>
        <x:v>#NAME?</x:v>
      </x:c>
      <x:c r="H990" s="146" t="e">
        <x:f>IF(OR('实盘净值数据(iFinD公式)'!$A990="",'实盘净值数据(iFinD公式)'!$B990=""),"",分期持仓明细!$AD$19*SUMPRODUCT(分期持仓明细!$B$19:$AA$19,'实盘净值数据(iFinD公式)'!$B990:$AA990/'实盘净值数据(iFinD公式)'!$B$20:$AA$20)*(1-实盘持仓初始配置!$Z$6)^(('实盘净值数据(iFinD公式)'!$A990-'实盘净值数据(iFinD公式)'!$A$7)/365))</x:f>
        <x:v>#NAME?</x:v>
      </x:c>
      <x:c r="I990" s="152" t="e">
        <x:f>IF(OR(H989="",H990=""),"",H990/H989-1)</x:f>
        <x:v>#NAME?</x:v>
      </x:c>
      <x:c r="J990" s="152" t="e">
        <x:f>IF(H990="","",H990/MAX(H$5:H990)-1)</x:f>
        <x:v>#NAME?</x:v>
      </x:c>
      <x:c r="K990" s="146" t="e">
        <x:f>IF(OR('实盘净值数据(iFinD公式)'!$A990="",'实盘净值数据(iFinD公式)'!$B990=""),"",分期持仓明细!$AD$23*SUMPRODUCT(分期持仓明细!$B$23:$AA$23,'实盘净值数据(iFinD公式)'!$B990:$AA990/'实盘净值数据(iFinD公式)'!$B$65:$AA$65)*(1-实盘持仓初始配置!$Z$7)^(('实盘净值数据(iFinD公式)'!$A990-'实盘净值数据(iFinD公式)'!$A$8)/365))</x:f>
        <x:v>#NAME?</x:v>
      </x:c>
      <x:c r="L990" s="152" t="e">
        <x:f>IF(OR(K989="",K990=""),"",K990/K989-1)</x:f>
        <x:v>#NAME?</x:v>
      </x:c>
      <x:c r="M990" s="152" t="e">
        <x:f>IF(K990="","",K990/MAX(K$5:K990)-1)</x:f>
        <x:v>#NAME?</x:v>
      </x:c>
      <x:c r="N990" s="146" t="e">
        <x:f>IF(OR('实盘净值数据(iFinD公式)'!$A990="",'实盘净值数据(iFinD公式)'!$B990=""),"",分期持仓明细!$AD$24*SUMPRODUCT(分期持仓明细!$B$24:$AA$24,'实盘净值数据(iFinD公式)'!$B990:$AA990/'实盘净值数据(iFinD公式)'!$B$65:$AA$65)*(1-实盘持仓初始配置!$Z$8)^(('实盘净值数据(iFinD公式)'!$A990-'实盘净值数据(iFinD公式)'!$A$5)/365))</x:f>
        <x:v>#NAME?</x:v>
      </x:c>
      <x:c r="O990" s="152" t="e">
        <x:f>IF(OR(N989="",N990=""),"",N990/N989-1)</x:f>
        <x:v>#NAME?</x:v>
      </x:c>
      <x:c r="P990" s="152" t="e">
        <x:f>IF(N990="","",N990/MAX(N$5:N990)-1)</x:f>
        <x:v>#NAME?</x:v>
      </x:c>
      <x:c r="Q990" s="146" t="e">
        <x:f>IF(OR('实盘净值数据(iFinD公式)'!$A990="",'实盘净值数据(iFinD公式)'!$B990=""),"",分期持仓明细!$AD$25*SUMPRODUCT(分期持仓明细!$B$25:$AA$25,'实盘净值数据(iFinD公式)'!$B990:$AA990/'实盘净值数据(iFinD公式)'!$B$65:$AA$65)*(1-实盘持仓初始配置!$Z$9)^(('实盘净值数据(iFinD公式)'!$A990-'实盘净值数据(iFinD公式)'!$A$8)/365))</x:f>
        <x:v>#NAME?</x:v>
      </x:c>
      <x:c r="R990" s="152" t="e">
        <x:f>IF(OR(Q989="",Q990=""),"",Q990/Q989-1)</x:f>
        <x:v>#NAME?</x:v>
      </x:c>
      <x:c r="S990" s="152" t="e">
        <x:f>IF(Q990="","",Q990/MAX(Q$5:Q990)-1)</x:f>
        <x:v>#NAME?</x:v>
      </x:c>
    </x:row>
    <x:row r="991">
      <x:c r="A991" s="149" t="str">
        <x:f>IF('实盘净值数据(iFinD公式)'!A991="","",'实盘净值数据(iFinD公式)'!A991)</x:f>
      </x:c>
      <x:c r="B991" s="146" t="e">
        <x:f>IF(OR('实盘净值数据(iFinD公式)'!$A991="",'实盘净值数据(iFinD公式)'!$B991=""),"",分期持仓明细!$AD$17*SUMPRODUCT(分期持仓明细!$B$17:$AA$17,'实盘净值数据(iFinD公式)'!$B991:$AA991/'实盘净值数据(iFinD公式)'!$B$20:$AA$20)*(1-实盘持仓初始配置!$Z$4)^(('实盘净值数据(iFinD公式)'!$A991-'实盘净值数据(iFinD公式)'!$A$6)/365))</x:f>
        <x:v>#NAME?</x:v>
      </x:c>
      <x:c r="C991" s="152" t="e">
        <x:f>IF(OR(B990="",B991=""),"",B991/B990-1)</x:f>
        <x:v>#NAME?</x:v>
      </x:c>
      <x:c r="D991" s="152" t="e">
        <x:f>IF(B991="","",B991/MAX(B$5:B991)-1)</x:f>
        <x:v>#NAME?</x:v>
      </x:c>
      <x:c r="E991" s="146" t="e">
        <x:f>IF(OR('实盘净值数据(iFinD公式)'!$A991="",'实盘净值数据(iFinD公式)'!$B991=""),"",分期持仓明细!$AD$18*SUMPRODUCT(分期持仓明细!$B$18:$AA$18,'实盘净值数据(iFinD公式)'!$B991:$AA991/'实盘净值数据(iFinD公式)'!$B$20:$AA$20)*(1-实盘持仓初始配置!$Z$5)^(('实盘净值数据(iFinD公式)'!$A991-'实盘净值数据(iFinD公式)'!$A$5)/365))</x:f>
        <x:v>#NAME?</x:v>
      </x:c>
      <x:c r="F991" s="152" t="e">
        <x:f>IF(OR(E990="",E991=""),"",E991/E990-1)</x:f>
        <x:v>#NAME?</x:v>
      </x:c>
      <x:c r="G991" s="152" t="e">
        <x:f>IF(E991="","",E991/MAX(E$5:E991)-1)</x:f>
        <x:v>#NAME?</x:v>
      </x:c>
      <x:c r="H991" s="146" t="e">
        <x:f>IF(OR('实盘净值数据(iFinD公式)'!$A991="",'实盘净值数据(iFinD公式)'!$B991=""),"",分期持仓明细!$AD$19*SUMPRODUCT(分期持仓明细!$B$19:$AA$19,'实盘净值数据(iFinD公式)'!$B991:$AA991/'实盘净值数据(iFinD公式)'!$B$20:$AA$20)*(1-实盘持仓初始配置!$Z$6)^(('实盘净值数据(iFinD公式)'!$A991-'实盘净值数据(iFinD公式)'!$A$7)/365))</x:f>
        <x:v>#NAME?</x:v>
      </x:c>
      <x:c r="I991" s="152" t="e">
        <x:f>IF(OR(H990="",H991=""),"",H991/H990-1)</x:f>
        <x:v>#NAME?</x:v>
      </x:c>
      <x:c r="J991" s="152" t="e">
        <x:f>IF(H991="","",H991/MAX(H$5:H991)-1)</x:f>
        <x:v>#NAME?</x:v>
      </x:c>
      <x:c r="K991" s="146" t="e">
        <x:f>IF(OR('实盘净值数据(iFinD公式)'!$A991="",'实盘净值数据(iFinD公式)'!$B991=""),"",分期持仓明细!$AD$23*SUMPRODUCT(分期持仓明细!$B$23:$AA$23,'实盘净值数据(iFinD公式)'!$B991:$AA991/'实盘净值数据(iFinD公式)'!$B$65:$AA$65)*(1-实盘持仓初始配置!$Z$7)^(('实盘净值数据(iFinD公式)'!$A991-'实盘净值数据(iFinD公式)'!$A$8)/365))</x:f>
        <x:v>#NAME?</x:v>
      </x:c>
      <x:c r="L991" s="152" t="e">
        <x:f>IF(OR(K990="",K991=""),"",K991/K990-1)</x:f>
        <x:v>#NAME?</x:v>
      </x:c>
      <x:c r="M991" s="152" t="e">
        <x:f>IF(K991="","",K991/MAX(K$5:K991)-1)</x:f>
        <x:v>#NAME?</x:v>
      </x:c>
      <x:c r="N991" s="146" t="e">
        <x:f>IF(OR('实盘净值数据(iFinD公式)'!$A991="",'实盘净值数据(iFinD公式)'!$B991=""),"",分期持仓明细!$AD$24*SUMPRODUCT(分期持仓明细!$B$24:$AA$24,'实盘净值数据(iFinD公式)'!$B991:$AA991/'实盘净值数据(iFinD公式)'!$B$65:$AA$65)*(1-实盘持仓初始配置!$Z$8)^(('实盘净值数据(iFinD公式)'!$A991-'实盘净值数据(iFinD公式)'!$A$5)/365))</x:f>
        <x:v>#NAME?</x:v>
      </x:c>
      <x:c r="O991" s="152" t="e">
        <x:f>IF(OR(N990="",N991=""),"",N991/N990-1)</x:f>
        <x:v>#NAME?</x:v>
      </x:c>
      <x:c r="P991" s="152" t="e">
        <x:f>IF(N991="","",N991/MAX(N$5:N991)-1)</x:f>
        <x:v>#NAME?</x:v>
      </x:c>
      <x:c r="Q991" s="146" t="e">
        <x:f>IF(OR('实盘净值数据(iFinD公式)'!$A991="",'实盘净值数据(iFinD公式)'!$B991=""),"",分期持仓明细!$AD$25*SUMPRODUCT(分期持仓明细!$B$25:$AA$25,'实盘净值数据(iFinD公式)'!$B991:$AA991/'实盘净值数据(iFinD公式)'!$B$65:$AA$65)*(1-实盘持仓初始配置!$Z$9)^(('实盘净值数据(iFinD公式)'!$A991-'实盘净值数据(iFinD公式)'!$A$8)/365))</x:f>
        <x:v>#NAME?</x:v>
      </x:c>
      <x:c r="R991" s="152" t="e">
        <x:f>IF(OR(Q990="",Q991=""),"",Q991/Q990-1)</x:f>
        <x:v>#NAME?</x:v>
      </x:c>
      <x:c r="S991" s="152" t="e">
        <x:f>IF(Q991="","",Q991/MAX(Q$5:Q991)-1)</x:f>
        <x:v>#NAME?</x:v>
      </x:c>
    </x:row>
    <x:row r="992">
      <x:c r="A992" s="149" t="str">
        <x:f>IF('实盘净值数据(iFinD公式)'!A992="","",'实盘净值数据(iFinD公式)'!A992)</x:f>
      </x:c>
      <x:c r="B992" s="146" t="e">
        <x:f>IF(OR('实盘净值数据(iFinD公式)'!$A992="",'实盘净值数据(iFinD公式)'!$B992=""),"",分期持仓明细!$AD$17*SUMPRODUCT(分期持仓明细!$B$17:$AA$17,'实盘净值数据(iFinD公式)'!$B992:$AA992/'实盘净值数据(iFinD公式)'!$B$20:$AA$20)*(1-实盘持仓初始配置!$Z$4)^(('实盘净值数据(iFinD公式)'!$A992-'实盘净值数据(iFinD公式)'!$A$6)/365))</x:f>
        <x:v>#NAME?</x:v>
      </x:c>
      <x:c r="C992" s="152" t="e">
        <x:f>IF(OR(B991="",B992=""),"",B992/B991-1)</x:f>
        <x:v>#NAME?</x:v>
      </x:c>
      <x:c r="D992" s="152" t="e">
        <x:f>IF(B992="","",B992/MAX(B$5:B992)-1)</x:f>
        <x:v>#NAME?</x:v>
      </x:c>
      <x:c r="E992" s="146" t="e">
        <x:f>IF(OR('实盘净值数据(iFinD公式)'!$A992="",'实盘净值数据(iFinD公式)'!$B992=""),"",分期持仓明细!$AD$18*SUMPRODUCT(分期持仓明细!$B$18:$AA$18,'实盘净值数据(iFinD公式)'!$B992:$AA992/'实盘净值数据(iFinD公式)'!$B$20:$AA$20)*(1-实盘持仓初始配置!$Z$5)^(('实盘净值数据(iFinD公式)'!$A992-'实盘净值数据(iFinD公式)'!$A$5)/365))</x:f>
        <x:v>#NAME?</x:v>
      </x:c>
      <x:c r="F992" s="152" t="e">
        <x:f>IF(OR(E991="",E992=""),"",E992/E991-1)</x:f>
        <x:v>#NAME?</x:v>
      </x:c>
      <x:c r="G992" s="152" t="e">
        <x:f>IF(E992="","",E992/MAX(E$5:E992)-1)</x:f>
        <x:v>#NAME?</x:v>
      </x:c>
      <x:c r="H992" s="146" t="e">
        <x:f>IF(OR('实盘净值数据(iFinD公式)'!$A992="",'实盘净值数据(iFinD公式)'!$B992=""),"",分期持仓明细!$AD$19*SUMPRODUCT(分期持仓明细!$B$19:$AA$19,'实盘净值数据(iFinD公式)'!$B992:$AA992/'实盘净值数据(iFinD公式)'!$B$20:$AA$20)*(1-实盘持仓初始配置!$Z$6)^(('实盘净值数据(iFinD公式)'!$A992-'实盘净值数据(iFinD公式)'!$A$7)/365))</x:f>
        <x:v>#NAME?</x:v>
      </x:c>
      <x:c r="I992" s="152" t="e">
        <x:f>IF(OR(H991="",H992=""),"",H992/H991-1)</x:f>
        <x:v>#NAME?</x:v>
      </x:c>
      <x:c r="J992" s="152" t="e">
        <x:f>IF(H992="","",H992/MAX(H$5:H992)-1)</x:f>
        <x:v>#NAME?</x:v>
      </x:c>
      <x:c r="K992" s="146" t="e">
        <x:f>IF(OR('实盘净值数据(iFinD公式)'!$A992="",'实盘净值数据(iFinD公式)'!$B992=""),"",分期持仓明细!$AD$23*SUMPRODUCT(分期持仓明细!$B$23:$AA$23,'实盘净值数据(iFinD公式)'!$B992:$AA992/'实盘净值数据(iFinD公式)'!$B$65:$AA$65)*(1-实盘持仓初始配置!$Z$7)^(('实盘净值数据(iFinD公式)'!$A992-'实盘净值数据(iFinD公式)'!$A$8)/365))</x:f>
        <x:v>#NAME?</x:v>
      </x:c>
      <x:c r="L992" s="152" t="e">
        <x:f>IF(OR(K991="",K992=""),"",K992/K991-1)</x:f>
        <x:v>#NAME?</x:v>
      </x:c>
      <x:c r="M992" s="152" t="e">
        <x:f>IF(K992="","",K992/MAX(K$5:K992)-1)</x:f>
        <x:v>#NAME?</x:v>
      </x:c>
      <x:c r="N992" s="146" t="e">
        <x:f>IF(OR('实盘净值数据(iFinD公式)'!$A992="",'实盘净值数据(iFinD公式)'!$B992=""),"",分期持仓明细!$AD$24*SUMPRODUCT(分期持仓明细!$B$24:$AA$24,'实盘净值数据(iFinD公式)'!$B992:$AA992/'实盘净值数据(iFinD公式)'!$B$65:$AA$65)*(1-实盘持仓初始配置!$Z$8)^(('实盘净值数据(iFinD公式)'!$A992-'实盘净值数据(iFinD公式)'!$A$5)/365))</x:f>
        <x:v>#NAME?</x:v>
      </x:c>
      <x:c r="O992" s="152" t="e">
        <x:f>IF(OR(N991="",N992=""),"",N992/N991-1)</x:f>
        <x:v>#NAME?</x:v>
      </x:c>
      <x:c r="P992" s="152" t="e">
        <x:f>IF(N992="","",N992/MAX(N$5:N992)-1)</x:f>
        <x:v>#NAME?</x:v>
      </x:c>
      <x:c r="Q992" s="146" t="e">
        <x:f>IF(OR('实盘净值数据(iFinD公式)'!$A992="",'实盘净值数据(iFinD公式)'!$B992=""),"",分期持仓明细!$AD$25*SUMPRODUCT(分期持仓明细!$B$25:$AA$25,'实盘净值数据(iFinD公式)'!$B992:$AA992/'实盘净值数据(iFinD公式)'!$B$65:$AA$65)*(1-实盘持仓初始配置!$Z$9)^(('实盘净值数据(iFinD公式)'!$A992-'实盘净值数据(iFinD公式)'!$A$8)/365))</x:f>
        <x:v>#NAME?</x:v>
      </x:c>
      <x:c r="R992" s="152" t="e">
        <x:f>IF(OR(Q991="",Q992=""),"",Q992/Q991-1)</x:f>
        <x:v>#NAME?</x:v>
      </x:c>
      <x:c r="S992" s="152" t="e">
        <x:f>IF(Q992="","",Q992/MAX(Q$5:Q992)-1)</x:f>
        <x:v>#NAME?</x:v>
      </x:c>
    </x:row>
    <x:row r="993">
      <x:c r="A993" s="149" t="str">
        <x:f>IF('实盘净值数据(iFinD公式)'!A993="","",'实盘净值数据(iFinD公式)'!A993)</x:f>
      </x:c>
      <x:c r="B993" s="146" t="e">
        <x:f>IF(OR('实盘净值数据(iFinD公式)'!$A993="",'实盘净值数据(iFinD公式)'!$B993=""),"",分期持仓明细!$AD$17*SUMPRODUCT(分期持仓明细!$B$17:$AA$17,'实盘净值数据(iFinD公式)'!$B993:$AA993/'实盘净值数据(iFinD公式)'!$B$20:$AA$20)*(1-实盘持仓初始配置!$Z$4)^(('实盘净值数据(iFinD公式)'!$A993-'实盘净值数据(iFinD公式)'!$A$6)/365))</x:f>
        <x:v>#NAME?</x:v>
      </x:c>
      <x:c r="C993" s="152" t="e">
        <x:f>IF(OR(B992="",B993=""),"",B993/B992-1)</x:f>
        <x:v>#NAME?</x:v>
      </x:c>
      <x:c r="D993" s="152" t="e">
        <x:f>IF(B993="","",B993/MAX(B$5:B993)-1)</x:f>
        <x:v>#NAME?</x:v>
      </x:c>
      <x:c r="E993" s="146" t="e">
        <x:f>IF(OR('实盘净值数据(iFinD公式)'!$A993="",'实盘净值数据(iFinD公式)'!$B993=""),"",分期持仓明细!$AD$18*SUMPRODUCT(分期持仓明细!$B$18:$AA$18,'实盘净值数据(iFinD公式)'!$B993:$AA993/'实盘净值数据(iFinD公式)'!$B$20:$AA$20)*(1-实盘持仓初始配置!$Z$5)^(('实盘净值数据(iFinD公式)'!$A993-'实盘净值数据(iFinD公式)'!$A$5)/365))</x:f>
        <x:v>#NAME?</x:v>
      </x:c>
      <x:c r="F993" s="152" t="e">
        <x:f>IF(OR(E992="",E993=""),"",E993/E992-1)</x:f>
        <x:v>#NAME?</x:v>
      </x:c>
      <x:c r="G993" s="152" t="e">
        <x:f>IF(E993="","",E993/MAX(E$5:E993)-1)</x:f>
        <x:v>#NAME?</x:v>
      </x:c>
      <x:c r="H993" s="146" t="e">
        <x:f>IF(OR('实盘净值数据(iFinD公式)'!$A993="",'实盘净值数据(iFinD公式)'!$B993=""),"",分期持仓明细!$AD$19*SUMPRODUCT(分期持仓明细!$B$19:$AA$19,'实盘净值数据(iFinD公式)'!$B993:$AA993/'实盘净值数据(iFinD公式)'!$B$20:$AA$20)*(1-实盘持仓初始配置!$Z$6)^(('实盘净值数据(iFinD公式)'!$A993-'实盘净值数据(iFinD公式)'!$A$7)/365))</x:f>
        <x:v>#NAME?</x:v>
      </x:c>
      <x:c r="I993" s="152" t="e">
        <x:f>IF(OR(H992="",H993=""),"",H993/H992-1)</x:f>
        <x:v>#NAME?</x:v>
      </x:c>
      <x:c r="J993" s="152" t="e">
        <x:f>IF(H993="","",H993/MAX(H$5:H993)-1)</x:f>
        <x:v>#NAME?</x:v>
      </x:c>
      <x:c r="K993" s="146" t="e">
        <x:f>IF(OR('实盘净值数据(iFinD公式)'!$A993="",'实盘净值数据(iFinD公式)'!$B993=""),"",分期持仓明细!$AD$23*SUMPRODUCT(分期持仓明细!$B$23:$AA$23,'实盘净值数据(iFinD公式)'!$B993:$AA993/'实盘净值数据(iFinD公式)'!$B$65:$AA$65)*(1-实盘持仓初始配置!$Z$7)^(('实盘净值数据(iFinD公式)'!$A993-'实盘净值数据(iFinD公式)'!$A$8)/365))</x:f>
        <x:v>#NAME?</x:v>
      </x:c>
      <x:c r="L993" s="152" t="e">
        <x:f>IF(OR(K992="",K993=""),"",K993/K992-1)</x:f>
        <x:v>#NAME?</x:v>
      </x:c>
      <x:c r="M993" s="152" t="e">
        <x:f>IF(K993="","",K993/MAX(K$5:K993)-1)</x:f>
        <x:v>#NAME?</x:v>
      </x:c>
      <x:c r="N993" s="146" t="e">
        <x:f>IF(OR('实盘净值数据(iFinD公式)'!$A993="",'实盘净值数据(iFinD公式)'!$B993=""),"",分期持仓明细!$AD$24*SUMPRODUCT(分期持仓明细!$B$24:$AA$24,'实盘净值数据(iFinD公式)'!$B993:$AA993/'实盘净值数据(iFinD公式)'!$B$65:$AA$65)*(1-实盘持仓初始配置!$Z$8)^(('实盘净值数据(iFinD公式)'!$A993-'实盘净值数据(iFinD公式)'!$A$5)/365))</x:f>
        <x:v>#NAME?</x:v>
      </x:c>
      <x:c r="O993" s="152" t="e">
        <x:f>IF(OR(N992="",N993=""),"",N993/N992-1)</x:f>
        <x:v>#NAME?</x:v>
      </x:c>
      <x:c r="P993" s="152" t="e">
        <x:f>IF(N993="","",N993/MAX(N$5:N993)-1)</x:f>
        <x:v>#NAME?</x:v>
      </x:c>
      <x:c r="Q993" s="146" t="e">
        <x:f>IF(OR('实盘净值数据(iFinD公式)'!$A993="",'实盘净值数据(iFinD公式)'!$B993=""),"",分期持仓明细!$AD$25*SUMPRODUCT(分期持仓明细!$B$25:$AA$25,'实盘净值数据(iFinD公式)'!$B993:$AA993/'实盘净值数据(iFinD公式)'!$B$65:$AA$65)*(1-实盘持仓初始配置!$Z$9)^(('实盘净值数据(iFinD公式)'!$A993-'实盘净值数据(iFinD公式)'!$A$8)/365))</x:f>
        <x:v>#NAME?</x:v>
      </x:c>
      <x:c r="R993" s="152" t="e">
        <x:f>IF(OR(Q992="",Q993=""),"",Q993/Q992-1)</x:f>
        <x:v>#NAME?</x:v>
      </x:c>
      <x:c r="S993" s="152" t="e">
        <x:f>IF(Q993="","",Q993/MAX(Q$5:Q993)-1)</x:f>
        <x:v>#NAME?</x:v>
      </x:c>
    </x:row>
    <x:row r="994">
      <x:c r="A994" s="149" t="str">
        <x:f>IF('实盘净值数据(iFinD公式)'!A994="","",'实盘净值数据(iFinD公式)'!A994)</x:f>
      </x:c>
      <x:c r="B994" s="146" t="e">
        <x:f>IF(OR('实盘净值数据(iFinD公式)'!$A994="",'实盘净值数据(iFinD公式)'!$B994=""),"",分期持仓明细!$AD$17*SUMPRODUCT(分期持仓明细!$B$17:$AA$17,'实盘净值数据(iFinD公式)'!$B994:$AA994/'实盘净值数据(iFinD公式)'!$B$20:$AA$20)*(1-实盘持仓初始配置!$Z$4)^(('实盘净值数据(iFinD公式)'!$A994-'实盘净值数据(iFinD公式)'!$A$6)/365))</x:f>
        <x:v>#NAME?</x:v>
      </x:c>
      <x:c r="C994" s="152" t="e">
        <x:f>IF(OR(B993="",B994=""),"",B994/B993-1)</x:f>
        <x:v>#NAME?</x:v>
      </x:c>
      <x:c r="D994" s="152" t="e">
        <x:f>IF(B994="","",B994/MAX(B$5:B994)-1)</x:f>
        <x:v>#NAME?</x:v>
      </x:c>
      <x:c r="E994" s="146" t="e">
        <x:f>IF(OR('实盘净值数据(iFinD公式)'!$A994="",'实盘净值数据(iFinD公式)'!$B994=""),"",分期持仓明细!$AD$18*SUMPRODUCT(分期持仓明细!$B$18:$AA$18,'实盘净值数据(iFinD公式)'!$B994:$AA994/'实盘净值数据(iFinD公式)'!$B$20:$AA$20)*(1-实盘持仓初始配置!$Z$5)^(('实盘净值数据(iFinD公式)'!$A994-'实盘净值数据(iFinD公式)'!$A$5)/365))</x:f>
        <x:v>#NAME?</x:v>
      </x:c>
      <x:c r="F994" s="152" t="e">
        <x:f>IF(OR(E993="",E994=""),"",E994/E993-1)</x:f>
        <x:v>#NAME?</x:v>
      </x:c>
      <x:c r="G994" s="152" t="e">
        <x:f>IF(E994="","",E994/MAX(E$5:E994)-1)</x:f>
        <x:v>#NAME?</x:v>
      </x:c>
      <x:c r="H994" s="146" t="e">
        <x:f>IF(OR('实盘净值数据(iFinD公式)'!$A994="",'实盘净值数据(iFinD公式)'!$B994=""),"",分期持仓明细!$AD$19*SUMPRODUCT(分期持仓明细!$B$19:$AA$19,'实盘净值数据(iFinD公式)'!$B994:$AA994/'实盘净值数据(iFinD公式)'!$B$20:$AA$20)*(1-实盘持仓初始配置!$Z$6)^(('实盘净值数据(iFinD公式)'!$A994-'实盘净值数据(iFinD公式)'!$A$7)/365))</x:f>
        <x:v>#NAME?</x:v>
      </x:c>
      <x:c r="I994" s="152" t="e">
        <x:f>IF(OR(H993="",H994=""),"",H994/H993-1)</x:f>
        <x:v>#NAME?</x:v>
      </x:c>
      <x:c r="J994" s="152" t="e">
        <x:f>IF(H994="","",H994/MAX(H$5:H994)-1)</x:f>
        <x:v>#NAME?</x:v>
      </x:c>
      <x:c r="K994" s="146" t="e">
        <x:f>IF(OR('实盘净值数据(iFinD公式)'!$A994="",'实盘净值数据(iFinD公式)'!$B994=""),"",分期持仓明细!$AD$23*SUMPRODUCT(分期持仓明细!$B$23:$AA$23,'实盘净值数据(iFinD公式)'!$B994:$AA994/'实盘净值数据(iFinD公式)'!$B$65:$AA$65)*(1-实盘持仓初始配置!$Z$7)^(('实盘净值数据(iFinD公式)'!$A994-'实盘净值数据(iFinD公式)'!$A$8)/365))</x:f>
        <x:v>#NAME?</x:v>
      </x:c>
      <x:c r="L994" s="152" t="e">
        <x:f>IF(OR(K993="",K994=""),"",K994/K993-1)</x:f>
        <x:v>#NAME?</x:v>
      </x:c>
      <x:c r="M994" s="152" t="e">
        <x:f>IF(K994="","",K994/MAX(K$5:K994)-1)</x:f>
        <x:v>#NAME?</x:v>
      </x:c>
      <x:c r="N994" s="146" t="e">
        <x:f>IF(OR('实盘净值数据(iFinD公式)'!$A994="",'实盘净值数据(iFinD公式)'!$B994=""),"",分期持仓明细!$AD$24*SUMPRODUCT(分期持仓明细!$B$24:$AA$24,'实盘净值数据(iFinD公式)'!$B994:$AA994/'实盘净值数据(iFinD公式)'!$B$65:$AA$65)*(1-实盘持仓初始配置!$Z$8)^(('实盘净值数据(iFinD公式)'!$A994-'实盘净值数据(iFinD公式)'!$A$5)/365))</x:f>
        <x:v>#NAME?</x:v>
      </x:c>
      <x:c r="O994" s="152" t="e">
        <x:f>IF(OR(N993="",N994=""),"",N994/N993-1)</x:f>
        <x:v>#NAME?</x:v>
      </x:c>
      <x:c r="P994" s="152" t="e">
        <x:f>IF(N994="","",N994/MAX(N$5:N994)-1)</x:f>
        <x:v>#NAME?</x:v>
      </x:c>
      <x:c r="Q994" s="146" t="e">
        <x:f>IF(OR('实盘净值数据(iFinD公式)'!$A994="",'实盘净值数据(iFinD公式)'!$B994=""),"",分期持仓明细!$AD$25*SUMPRODUCT(分期持仓明细!$B$25:$AA$25,'实盘净值数据(iFinD公式)'!$B994:$AA994/'实盘净值数据(iFinD公式)'!$B$65:$AA$65)*(1-实盘持仓初始配置!$Z$9)^(('实盘净值数据(iFinD公式)'!$A994-'实盘净值数据(iFinD公式)'!$A$8)/365))</x:f>
        <x:v>#NAME?</x:v>
      </x:c>
      <x:c r="R994" s="152" t="e">
        <x:f>IF(OR(Q993="",Q994=""),"",Q994/Q993-1)</x:f>
        <x:v>#NAME?</x:v>
      </x:c>
      <x:c r="S994" s="152" t="e">
        <x:f>IF(Q994="","",Q994/MAX(Q$5:Q994)-1)</x:f>
        <x:v>#NAME?</x:v>
      </x:c>
    </x:row>
    <x:row r="995">
      <x:c r="A995" s="149" t="str">
        <x:f>IF('实盘净值数据(iFinD公式)'!A995="","",'实盘净值数据(iFinD公式)'!A995)</x:f>
      </x:c>
      <x:c r="B995" s="146" t="e">
        <x:f>IF(OR('实盘净值数据(iFinD公式)'!$A995="",'实盘净值数据(iFinD公式)'!$B995=""),"",分期持仓明细!$AD$17*SUMPRODUCT(分期持仓明细!$B$17:$AA$17,'实盘净值数据(iFinD公式)'!$B995:$AA995/'实盘净值数据(iFinD公式)'!$B$20:$AA$20)*(1-实盘持仓初始配置!$Z$4)^(('实盘净值数据(iFinD公式)'!$A995-'实盘净值数据(iFinD公式)'!$A$6)/365))</x:f>
        <x:v>#NAME?</x:v>
      </x:c>
      <x:c r="C995" s="152" t="e">
        <x:f>IF(OR(B994="",B995=""),"",B995/B994-1)</x:f>
        <x:v>#NAME?</x:v>
      </x:c>
      <x:c r="D995" s="152" t="e">
        <x:f>IF(B995="","",B995/MAX(B$5:B995)-1)</x:f>
        <x:v>#NAME?</x:v>
      </x:c>
      <x:c r="E995" s="146" t="e">
        <x:f>IF(OR('实盘净值数据(iFinD公式)'!$A995="",'实盘净值数据(iFinD公式)'!$B995=""),"",分期持仓明细!$AD$18*SUMPRODUCT(分期持仓明细!$B$18:$AA$18,'实盘净值数据(iFinD公式)'!$B995:$AA995/'实盘净值数据(iFinD公式)'!$B$20:$AA$20)*(1-实盘持仓初始配置!$Z$5)^(('实盘净值数据(iFinD公式)'!$A995-'实盘净值数据(iFinD公式)'!$A$5)/365))</x:f>
        <x:v>#NAME?</x:v>
      </x:c>
      <x:c r="F995" s="152" t="e">
        <x:f>IF(OR(E994="",E995=""),"",E995/E994-1)</x:f>
        <x:v>#NAME?</x:v>
      </x:c>
      <x:c r="G995" s="152" t="e">
        <x:f>IF(E995="","",E995/MAX(E$5:E995)-1)</x:f>
        <x:v>#NAME?</x:v>
      </x:c>
      <x:c r="H995" s="146" t="e">
        <x:f>IF(OR('实盘净值数据(iFinD公式)'!$A995="",'实盘净值数据(iFinD公式)'!$B995=""),"",分期持仓明细!$AD$19*SUMPRODUCT(分期持仓明细!$B$19:$AA$19,'实盘净值数据(iFinD公式)'!$B995:$AA995/'实盘净值数据(iFinD公式)'!$B$20:$AA$20)*(1-实盘持仓初始配置!$Z$6)^(('实盘净值数据(iFinD公式)'!$A995-'实盘净值数据(iFinD公式)'!$A$7)/365))</x:f>
        <x:v>#NAME?</x:v>
      </x:c>
      <x:c r="I995" s="152" t="e">
        <x:f>IF(OR(H994="",H995=""),"",H995/H994-1)</x:f>
        <x:v>#NAME?</x:v>
      </x:c>
      <x:c r="J995" s="152" t="e">
        <x:f>IF(H995="","",H995/MAX(H$5:H995)-1)</x:f>
        <x:v>#NAME?</x:v>
      </x:c>
      <x:c r="K995" s="146" t="e">
        <x:f>IF(OR('实盘净值数据(iFinD公式)'!$A995="",'实盘净值数据(iFinD公式)'!$B995=""),"",分期持仓明细!$AD$23*SUMPRODUCT(分期持仓明细!$B$23:$AA$23,'实盘净值数据(iFinD公式)'!$B995:$AA995/'实盘净值数据(iFinD公式)'!$B$65:$AA$65)*(1-实盘持仓初始配置!$Z$7)^(('实盘净值数据(iFinD公式)'!$A995-'实盘净值数据(iFinD公式)'!$A$8)/365))</x:f>
        <x:v>#NAME?</x:v>
      </x:c>
      <x:c r="L995" s="152" t="e">
        <x:f>IF(OR(K994="",K995=""),"",K995/K994-1)</x:f>
        <x:v>#NAME?</x:v>
      </x:c>
      <x:c r="M995" s="152" t="e">
        <x:f>IF(K995="","",K995/MAX(K$5:K995)-1)</x:f>
        <x:v>#NAME?</x:v>
      </x:c>
      <x:c r="N995" s="146" t="e">
        <x:f>IF(OR('实盘净值数据(iFinD公式)'!$A995="",'实盘净值数据(iFinD公式)'!$B995=""),"",分期持仓明细!$AD$24*SUMPRODUCT(分期持仓明细!$B$24:$AA$24,'实盘净值数据(iFinD公式)'!$B995:$AA995/'实盘净值数据(iFinD公式)'!$B$65:$AA$65)*(1-实盘持仓初始配置!$Z$8)^(('实盘净值数据(iFinD公式)'!$A995-'实盘净值数据(iFinD公式)'!$A$5)/365))</x:f>
        <x:v>#NAME?</x:v>
      </x:c>
      <x:c r="O995" s="152" t="e">
        <x:f>IF(OR(N994="",N995=""),"",N995/N994-1)</x:f>
        <x:v>#NAME?</x:v>
      </x:c>
      <x:c r="P995" s="152" t="e">
        <x:f>IF(N995="","",N995/MAX(N$5:N995)-1)</x:f>
        <x:v>#NAME?</x:v>
      </x:c>
      <x:c r="Q995" s="146" t="e">
        <x:f>IF(OR('实盘净值数据(iFinD公式)'!$A995="",'实盘净值数据(iFinD公式)'!$B995=""),"",分期持仓明细!$AD$25*SUMPRODUCT(分期持仓明细!$B$25:$AA$25,'实盘净值数据(iFinD公式)'!$B995:$AA995/'实盘净值数据(iFinD公式)'!$B$65:$AA$65)*(1-实盘持仓初始配置!$Z$9)^(('实盘净值数据(iFinD公式)'!$A995-'实盘净值数据(iFinD公式)'!$A$8)/365))</x:f>
        <x:v>#NAME?</x:v>
      </x:c>
      <x:c r="R995" s="152" t="e">
        <x:f>IF(OR(Q994="",Q995=""),"",Q995/Q994-1)</x:f>
        <x:v>#NAME?</x:v>
      </x:c>
      <x:c r="S995" s="152" t="e">
        <x:f>IF(Q995="","",Q995/MAX(Q$5:Q995)-1)</x:f>
        <x:v>#NAME?</x:v>
      </x:c>
    </x:row>
    <x:row r="996">
      <x:c r="A996" s="149" t="str">
        <x:f>IF('实盘净值数据(iFinD公式)'!A996="","",'实盘净值数据(iFinD公式)'!A996)</x:f>
      </x:c>
      <x:c r="B996" s="146" t="e">
        <x:f>IF(OR('实盘净值数据(iFinD公式)'!$A996="",'实盘净值数据(iFinD公式)'!$B996=""),"",分期持仓明细!$AD$17*SUMPRODUCT(分期持仓明细!$B$17:$AA$17,'实盘净值数据(iFinD公式)'!$B996:$AA996/'实盘净值数据(iFinD公式)'!$B$20:$AA$20)*(1-实盘持仓初始配置!$Z$4)^(('实盘净值数据(iFinD公式)'!$A996-'实盘净值数据(iFinD公式)'!$A$6)/365))</x:f>
        <x:v>#NAME?</x:v>
      </x:c>
      <x:c r="C996" s="152" t="e">
        <x:f>IF(OR(B995="",B996=""),"",B996/B995-1)</x:f>
        <x:v>#NAME?</x:v>
      </x:c>
      <x:c r="D996" s="152" t="e">
        <x:f>IF(B996="","",B996/MAX(B$5:B996)-1)</x:f>
        <x:v>#NAME?</x:v>
      </x:c>
      <x:c r="E996" s="146" t="e">
        <x:f>IF(OR('实盘净值数据(iFinD公式)'!$A996="",'实盘净值数据(iFinD公式)'!$B996=""),"",分期持仓明细!$AD$18*SUMPRODUCT(分期持仓明细!$B$18:$AA$18,'实盘净值数据(iFinD公式)'!$B996:$AA996/'实盘净值数据(iFinD公式)'!$B$20:$AA$20)*(1-实盘持仓初始配置!$Z$5)^(('实盘净值数据(iFinD公式)'!$A996-'实盘净值数据(iFinD公式)'!$A$5)/365))</x:f>
        <x:v>#NAME?</x:v>
      </x:c>
      <x:c r="F996" s="152" t="e">
        <x:f>IF(OR(E995="",E996=""),"",E996/E995-1)</x:f>
        <x:v>#NAME?</x:v>
      </x:c>
      <x:c r="G996" s="152" t="e">
        <x:f>IF(E996="","",E996/MAX(E$5:E996)-1)</x:f>
        <x:v>#NAME?</x:v>
      </x:c>
      <x:c r="H996" s="146" t="e">
        <x:f>IF(OR('实盘净值数据(iFinD公式)'!$A996="",'实盘净值数据(iFinD公式)'!$B996=""),"",分期持仓明细!$AD$19*SUMPRODUCT(分期持仓明细!$B$19:$AA$19,'实盘净值数据(iFinD公式)'!$B996:$AA996/'实盘净值数据(iFinD公式)'!$B$20:$AA$20)*(1-实盘持仓初始配置!$Z$6)^(('实盘净值数据(iFinD公式)'!$A996-'实盘净值数据(iFinD公式)'!$A$7)/365))</x:f>
        <x:v>#NAME?</x:v>
      </x:c>
      <x:c r="I996" s="152" t="e">
        <x:f>IF(OR(H995="",H996=""),"",H996/H995-1)</x:f>
        <x:v>#NAME?</x:v>
      </x:c>
      <x:c r="J996" s="152" t="e">
        <x:f>IF(H996="","",H996/MAX(H$5:H996)-1)</x:f>
        <x:v>#NAME?</x:v>
      </x:c>
      <x:c r="K996" s="146" t="e">
        <x:f>IF(OR('实盘净值数据(iFinD公式)'!$A996="",'实盘净值数据(iFinD公式)'!$B996=""),"",分期持仓明细!$AD$23*SUMPRODUCT(分期持仓明细!$B$23:$AA$23,'实盘净值数据(iFinD公式)'!$B996:$AA996/'实盘净值数据(iFinD公式)'!$B$65:$AA$65)*(1-实盘持仓初始配置!$Z$7)^(('实盘净值数据(iFinD公式)'!$A996-'实盘净值数据(iFinD公式)'!$A$8)/365))</x:f>
        <x:v>#NAME?</x:v>
      </x:c>
      <x:c r="L996" s="152" t="e">
        <x:f>IF(OR(K995="",K996=""),"",K996/K995-1)</x:f>
        <x:v>#NAME?</x:v>
      </x:c>
      <x:c r="M996" s="152" t="e">
        <x:f>IF(K996="","",K996/MAX(K$5:K996)-1)</x:f>
        <x:v>#NAME?</x:v>
      </x:c>
      <x:c r="N996" s="146" t="e">
        <x:f>IF(OR('实盘净值数据(iFinD公式)'!$A996="",'实盘净值数据(iFinD公式)'!$B996=""),"",分期持仓明细!$AD$24*SUMPRODUCT(分期持仓明细!$B$24:$AA$24,'实盘净值数据(iFinD公式)'!$B996:$AA996/'实盘净值数据(iFinD公式)'!$B$65:$AA$65)*(1-实盘持仓初始配置!$Z$8)^(('实盘净值数据(iFinD公式)'!$A996-'实盘净值数据(iFinD公式)'!$A$5)/365))</x:f>
        <x:v>#NAME?</x:v>
      </x:c>
      <x:c r="O996" s="152" t="e">
        <x:f>IF(OR(N995="",N996=""),"",N996/N995-1)</x:f>
        <x:v>#NAME?</x:v>
      </x:c>
      <x:c r="P996" s="152" t="e">
        <x:f>IF(N996="","",N996/MAX(N$5:N996)-1)</x:f>
        <x:v>#NAME?</x:v>
      </x:c>
      <x:c r="Q996" s="146" t="e">
        <x:f>IF(OR('实盘净值数据(iFinD公式)'!$A996="",'实盘净值数据(iFinD公式)'!$B996=""),"",分期持仓明细!$AD$25*SUMPRODUCT(分期持仓明细!$B$25:$AA$25,'实盘净值数据(iFinD公式)'!$B996:$AA996/'实盘净值数据(iFinD公式)'!$B$65:$AA$65)*(1-实盘持仓初始配置!$Z$9)^(('实盘净值数据(iFinD公式)'!$A996-'实盘净值数据(iFinD公式)'!$A$8)/365))</x:f>
        <x:v>#NAME?</x:v>
      </x:c>
      <x:c r="R996" s="152" t="e">
        <x:f>IF(OR(Q995="",Q996=""),"",Q996/Q995-1)</x:f>
        <x:v>#NAME?</x:v>
      </x:c>
      <x:c r="S996" s="152" t="e">
        <x:f>IF(Q996="","",Q996/MAX(Q$5:Q996)-1)</x:f>
        <x:v>#NAME?</x:v>
      </x:c>
    </x:row>
    <x:row r="997">
      <x:c r="A997" s="149" t="str">
        <x:f>IF('实盘净值数据(iFinD公式)'!A997="","",'实盘净值数据(iFinD公式)'!A997)</x:f>
      </x:c>
      <x:c r="B997" s="146" t="e">
        <x:f>IF(OR('实盘净值数据(iFinD公式)'!$A997="",'实盘净值数据(iFinD公式)'!$B997=""),"",分期持仓明细!$AD$17*SUMPRODUCT(分期持仓明细!$B$17:$AA$17,'实盘净值数据(iFinD公式)'!$B997:$AA997/'实盘净值数据(iFinD公式)'!$B$20:$AA$20)*(1-实盘持仓初始配置!$Z$4)^(('实盘净值数据(iFinD公式)'!$A997-'实盘净值数据(iFinD公式)'!$A$6)/365))</x:f>
        <x:v>#NAME?</x:v>
      </x:c>
      <x:c r="C997" s="152" t="e">
        <x:f>IF(OR(B996="",B997=""),"",B997/B996-1)</x:f>
        <x:v>#NAME?</x:v>
      </x:c>
      <x:c r="D997" s="152" t="e">
        <x:f>IF(B997="","",B997/MAX(B$5:B997)-1)</x:f>
        <x:v>#NAME?</x:v>
      </x:c>
      <x:c r="E997" s="146" t="e">
        <x:f>IF(OR('实盘净值数据(iFinD公式)'!$A997="",'实盘净值数据(iFinD公式)'!$B997=""),"",分期持仓明细!$AD$18*SUMPRODUCT(分期持仓明细!$B$18:$AA$18,'实盘净值数据(iFinD公式)'!$B997:$AA997/'实盘净值数据(iFinD公式)'!$B$20:$AA$20)*(1-实盘持仓初始配置!$Z$5)^(('实盘净值数据(iFinD公式)'!$A997-'实盘净值数据(iFinD公式)'!$A$5)/365))</x:f>
        <x:v>#NAME?</x:v>
      </x:c>
      <x:c r="F997" s="152" t="e">
        <x:f>IF(OR(E996="",E997=""),"",E997/E996-1)</x:f>
        <x:v>#NAME?</x:v>
      </x:c>
      <x:c r="G997" s="152" t="e">
        <x:f>IF(E997="","",E997/MAX(E$5:E997)-1)</x:f>
        <x:v>#NAME?</x:v>
      </x:c>
      <x:c r="H997" s="146" t="e">
        <x:f>IF(OR('实盘净值数据(iFinD公式)'!$A997="",'实盘净值数据(iFinD公式)'!$B997=""),"",分期持仓明细!$AD$19*SUMPRODUCT(分期持仓明细!$B$19:$AA$19,'实盘净值数据(iFinD公式)'!$B997:$AA997/'实盘净值数据(iFinD公式)'!$B$20:$AA$20)*(1-实盘持仓初始配置!$Z$6)^(('实盘净值数据(iFinD公式)'!$A997-'实盘净值数据(iFinD公式)'!$A$7)/365))</x:f>
        <x:v>#NAME?</x:v>
      </x:c>
      <x:c r="I997" s="152" t="e">
        <x:f>IF(OR(H996="",H997=""),"",H997/H996-1)</x:f>
        <x:v>#NAME?</x:v>
      </x:c>
      <x:c r="J997" s="152" t="e">
        <x:f>IF(H997="","",H997/MAX(H$5:H997)-1)</x:f>
        <x:v>#NAME?</x:v>
      </x:c>
      <x:c r="K997" s="146" t="e">
        <x:f>IF(OR('实盘净值数据(iFinD公式)'!$A997="",'实盘净值数据(iFinD公式)'!$B997=""),"",分期持仓明细!$AD$23*SUMPRODUCT(分期持仓明细!$B$23:$AA$23,'实盘净值数据(iFinD公式)'!$B997:$AA997/'实盘净值数据(iFinD公式)'!$B$65:$AA$65)*(1-实盘持仓初始配置!$Z$7)^(('实盘净值数据(iFinD公式)'!$A997-'实盘净值数据(iFinD公式)'!$A$8)/365))</x:f>
        <x:v>#NAME?</x:v>
      </x:c>
      <x:c r="L997" s="152" t="e">
        <x:f>IF(OR(K996="",K997=""),"",K997/K996-1)</x:f>
        <x:v>#NAME?</x:v>
      </x:c>
      <x:c r="M997" s="152" t="e">
        <x:f>IF(K997="","",K997/MAX(K$5:K997)-1)</x:f>
        <x:v>#NAME?</x:v>
      </x:c>
      <x:c r="N997" s="146" t="e">
        <x:f>IF(OR('实盘净值数据(iFinD公式)'!$A997="",'实盘净值数据(iFinD公式)'!$B997=""),"",分期持仓明细!$AD$24*SUMPRODUCT(分期持仓明细!$B$24:$AA$24,'实盘净值数据(iFinD公式)'!$B997:$AA997/'实盘净值数据(iFinD公式)'!$B$65:$AA$65)*(1-实盘持仓初始配置!$Z$8)^(('实盘净值数据(iFinD公式)'!$A997-'实盘净值数据(iFinD公式)'!$A$5)/365))</x:f>
        <x:v>#NAME?</x:v>
      </x:c>
      <x:c r="O997" s="152" t="e">
        <x:f>IF(OR(N996="",N997=""),"",N997/N996-1)</x:f>
        <x:v>#NAME?</x:v>
      </x:c>
      <x:c r="P997" s="152" t="e">
        <x:f>IF(N997="","",N997/MAX(N$5:N997)-1)</x:f>
        <x:v>#NAME?</x:v>
      </x:c>
      <x:c r="Q997" s="146" t="e">
        <x:f>IF(OR('实盘净值数据(iFinD公式)'!$A997="",'实盘净值数据(iFinD公式)'!$B997=""),"",分期持仓明细!$AD$25*SUMPRODUCT(分期持仓明细!$B$25:$AA$25,'实盘净值数据(iFinD公式)'!$B997:$AA997/'实盘净值数据(iFinD公式)'!$B$65:$AA$65)*(1-实盘持仓初始配置!$Z$9)^(('实盘净值数据(iFinD公式)'!$A997-'实盘净值数据(iFinD公式)'!$A$8)/365))</x:f>
        <x:v>#NAME?</x:v>
      </x:c>
      <x:c r="R997" s="152" t="e">
        <x:f>IF(OR(Q996="",Q997=""),"",Q997/Q996-1)</x:f>
        <x:v>#NAME?</x:v>
      </x:c>
      <x:c r="S997" s="152" t="e">
        <x:f>IF(Q997="","",Q997/MAX(Q$5:Q997)-1)</x:f>
        <x:v>#NAME?</x:v>
      </x:c>
    </x:row>
    <x:row r="998">
      <x:c r="A998" s="149" t="str">
        <x:f>IF('实盘净值数据(iFinD公式)'!A998="","",'实盘净值数据(iFinD公式)'!A998)</x:f>
      </x:c>
      <x:c r="B998" s="146" t="e">
        <x:f>IF(OR('实盘净值数据(iFinD公式)'!$A998="",'实盘净值数据(iFinD公式)'!$B998=""),"",分期持仓明细!$AD$17*SUMPRODUCT(分期持仓明细!$B$17:$AA$17,'实盘净值数据(iFinD公式)'!$B998:$AA998/'实盘净值数据(iFinD公式)'!$B$20:$AA$20)*(1-实盘持仓初始配置!$Z$4)^(('实盘净值数据(iFinD公式)'!$A998-'实盘净值数据(iFinD公式)'!$A$6)/365))</x:f>
        <x:v>#NAME?</x:v>
      </x:c>
      <x:c r="C998" s="152" t="e">
        <x:f>IF(OR(B997="",B998=""),"",B998/B997-1)</x:f>
        <x:v>#NAME?</x:v>
      </x:c>
      <x:c r="D998" s="152" t="e">
        <x:f>IF(B998="","",B998/MAX(B$5:B998)-1)</x:f>
        <x:v>#NAME?</x:v>
      </x:c>
      <x:c r="E998" s="146" t="e">
        <x:f>IF(OR('实盘净值数据(iFinD公式)'!$A998="",'实盘净值数据(iFinD公式)'!$B998=""),"",分期持仓明细!$AD$18*SUMPRODUCT(分期持仓明细!$B$18:$AA$18,'实盘净值数据(iFinD公式)'!$B998:$AA998/'实盘净值数据(iFinD公式)'!$B$20:$AA$20)*(1-实盘持仓初始配置!$Z$5)^(('实盘净值数据(iFinD公式)'!$A998-'实盘净值数据(iFinD公式)'!$A$5)/365))</x:f>
        <x:v>#NAME?</x:v>
      </x:c>
      <x:c r="F998" s="152" t="e">
        <x:f>IF(OR(E997="",E998=""),"",E998/E997-1)</x:f>
        <x:v>#NAME?</x:v>
      </x:c>
      <x:c r="G998" s="152" t="e">
        <x:f>IF(E998="","",E998/MAX(E$5:E998)-1)</x:f>
        <x:v>#NAME?</x:v>
      </x:c>
      <x:c r="H998" s="146" t="e">
        <x:f>IF(OR('实盘净值数据(iFinD公式)'!$A998="",'实盘净值数据(iFinD公式)'!$B998=""),"",分期持仓明细!$AD$19*SUMPRODUCT(分期持仓明细!$B$19:$AA$19,'实盘净值数据(iFinD公式)'!$B998:$AA998/'实盘净值数据(iFinD公式)'!$B$20:$AA$20)*(1-实盘持仓初始配置!$Z$6)^(('实盘净值数据(iFinD公式)'!$A998-'实盘净值数据(iFinD公式)'!$A$7)/365))</x:f>
        <x:v>#NAME?</x:v>
      </x:c>
      <x:c r="I998" s="152" t="e">
        <x:f>IF(OR(H997="",H998=""),"",H998/H997-1)</x:f>
        <x:v>#NAME?</x:v>
      </x:c>
      <x:c r="J998" s="152" t="e">
        <x:f>IF(H998="","",H998/MAX(H$5:H998)-1)</x:f>
        <x:v>#NAME?</x:v>
      </x:c>
      <x:c r="K998" s="146" t="e">
        <x:f>IF(OR('实盘净值数据(iFinD公式)'!$A998="",'实盘净值数据(iFinD公式)'!$B998=""),"",分期持仓明细!$AD$23*SUMPRODUCT(分期持仓明细!$B$23:$AA$23,'实盘净值数据(iFinD公式)'!$B998:$AA998/'实盘净值数据(iFinD公式)'!$B$65:$AA$65)*(1-实盘持仓初始配置!$Z$7)^(('实盘净值数据(iFinD公式)'!$A998-'实盘净值数据(iFinD公式)'!$A$8)/365))</x:f>
        <x:v>#NAME?</x:v>
      </x:c>
      <x:c r="L998" s="152" t="e">
        <x:f>IF(OR(K997="",K998=""),"",K998/K997-1)</x:f>
        <x:v>#NAME?</x:v>
      </x:c>
      <x:c r="M998" s="152" t="e">
        <x:f>IF(K998="","",K998/MAX(K$5:K998)-1)</x:f>
        <x:v>#NAME?</x:v>
      </x:c>
      <x:c r="N998" s="146" t="e">
        <x:f>IF(OR('实盘净值数据(iFinD公式)'!$A998="",'实盘净值数据(iFinD公式)'!$B998=""),"",分期持仓明细!$AD$24*SUMPRODUCT(分期持仓明细!$B$24:$AA$24,'实盘净值数据(iFinD公式)'!$B998:$AA998/'实盘净值数据(iFinD公式)'!$B$65:$AA$65)*(1-实盘持仓初始配置!$Z$8)^(('实盘净值数据(iFinD公式)'!$A998-'实盘净值数据(iFinD公式)'!$A$5)/365))</x:f>
        <x:v>#NAME?</x:v>
      </x:c>
      <x:c r="O998" s="152" t="e">
        <x:f>IF(OR(N997="",N998=""),"",N998/N997-1)</x:f>
        <x:v>#NAME?</x:v>
      </x:c>
      <x:c r="P998" s="152" t="e">
        <x:f>IF(N998="","",N998/MAX(N$5:N998)-1)</x:f>
        <x:v>#NAME?</x:v>
      </x:c>
      <x:c r="Q998" s="146" t="e">
        <x:f>IF(OR('实盘净值数据(iFinD公式)'!$A998="",'实盘净值数据(iFinD公式)'!$B998=""),"",分期持仓明细!$AD$25*SUMPRODUCT(分期持仓明细!$B$25:$AA$25,'实盘净值数据(iFinD公式)'!$B998:$AA998/'实盘净值数据(iFinD公式)'!$B$65:$AA$65)*(1-实盘持仓初始配置!$Z$9)^(('实盘净值数据(iFinD公式)'!$A998-'实盘净值数据(iFinD公式)'!$A$8)/365))</x:f>
        <x:v>#NAME?</x:v>
      </x:c>
      <x:c r="R998" s="152" t="e">
        <x:f>IF(OR(Q997="",Q998=""),"",Q998/Q997-1)</x:f>
        <x:v>#NAME?</x:v>
      </x:c>
      <x:c r="S998" s="152" t="e">
        <x:f>IF(Q998="","",Q998/MAX(Q$5:Q998)-1)</x:f>
        <x:v>#NAME?</x:v>
      </x:c>
    </x:row>
    <x:row r="999">
      <x:c r="A999" s="149" t="str">
        <x:f>IF('实盘净值数据(iFinD公式)'!A999="","",'实盘净值数据(iFinD公式)'!A999)</x:f>
      </x:c>
      <x:c r="B999" s="146" t="e">
        <x:f>IF(OR('实盘净值数据(iFinD公式)'!$A999="",'实盘净值数据(iFinD公式)'!$B999=""),"",分期持仓明细!$AD$17*SUMPRODUCT(分期持仓明细!$B$17:$AA$17,'实盘净值数据(iFinD公式)'!$B999:$AA999/'实盘净值数据(iFinD公式)'!$B$20:$AA$20)*(1-实盘持仓初始配置!$Z$4)^(('实盘净值数据(iFinD公式)'!$A999-'实盘净值数据(iFinD公式)'!$A$6)/365))</x:f>
        <x:v>#NAME?</x:v>
      </x:c>
      <x:c r="C999" s="152" t="e">
        <x:f>IF(OR(B998="",B999=""),"",B999/B998-1)</x:f>
        <x:v>#NAME?</x:v>
      </x:c>
      <x:c r="D999" s="152" t="e">
        <x:f>IF(B999="","",B999/MAX(B$5:B999)-1)</x:f>
        <x:v>#NAME?</x:v>
      </x:c>
      <x:c r="E999" s="146" t="e">
        <x:f>IF(OR('实盘净值数据(iFinD公式)'!$A999="",'实盘净值数据(iFinD公式)'!$B999=""),"",分期持仓明细!$AD$18*SUMPRODUCT(分期持仓明细!$B$18:$AA$18,'实盘净值数据(iFinD公式)'!$B999:$AA999/'实盘净值数据(iFinD公式)'!$B$20:$AA$20)*(1-实盘持仓初始配置!$Z$5)^(('实盘净值数据(iFinD公式)'!$A999-'实盘净值数据(iFinD公式)'!$A$5)/365))</x:f>
        <x:v>#NAME?</x:v>
      </x:c>
      <x:c r="F999" s="152" t="e">
        <x:f>IF(OR(E998="",E999=""),"",E999/E998-1)</x:f>
        <x:v>#NAME?</x:v>
      </x:c>
      <x:c r="G999" s="152" t="e">
        <x:f>IF(E999="","",E999/MAX(E$5:E999)-1)</x:f>
        <x:v>#NAME?</x:v>
      </x:c>
      <x:c r="H999" s="146" t="e">
        <x:f>IF(OR('实盘净值数据(iFinD公式)'!$A999="",'实盘净值数据(iFinD公式)'!$B999=""),"",分期持仓明细!$AD$19*SUMPRODUCT(分期持仓明细!$B$19:$AA$19,'实盘净值数据(iFinD公式)'!$B999:$AA999/'实盘净值数据(iFinD公式)'!$B$20:$AA$20)*(1-实盘持仓初始配置!$Z$6)^(('实盘净值数据(iFinD公式)'!$A999-'实盘净值数据(iFinD公式)'!$A$7)/365))</x:f>
        <x:v>#NAME?</x:v>
      </x:c>
      <x:c r="I999" s="152" t="e">
        <x:f>IF(OR(H998="",H999=""),"",H999/H998-1)</x:f>
        <x:v>#NAME?</x:v>
      </x:c>
      <x:c r="J999" s="152" t="e">
        <x:f>IF(H999="","",H999/MAX(H$5:H999)-1)</x:f>
        <x:v>#NAME?</x:v>
      </x:c>
      <x:c r="K999" s="146" t="e">
        <x:f>IF(OR('实盘净值数据(iFinD公式)'!$A999="",'实盘净值数据(iFinD公式)'!$B999=""),"",分期持仓明细!$AD$23*SUMPRODUCT(分期持仓明细!$B$23:$AA$23,'实盘净值数据(iFinD公式)'!$B999:$AA999/'实盘净值数据(iFinD公式)'!$B$65:$AA$65)*(1-实盘持仓初始配置!$Z$7)^(('实盘净值数据(iFinD公式)'!$A999-'实盘净值数据(iFinD公式)'!$A$8)/365))</x:f>
        <x:v>#NAME?</x:v>
      </x:c>
      <x:c r="L999" s="152" t="e">
        <x:f>IF(OR(K998="",K999=""),"",K999/K998-1)</x:f>
        <x:v>#NAME?</x:v>
      </x:c>
      <x:c r="M999" s="152" t="e">
        <x:f>IF(K999="","",K999/MAX(K$5:K999)-1)</x:f>
        <x:v>#NAME?</x:v>
      </x:c>
      <x:c r="N999" s="146" t="e">
        <x:f>IF(OR('实盘净值数据(iFinD公式)'!$A999="",'实盘净值数据(iFinD公式)'!$B999=""),"",分期持仓明细!$AD$24*SUMPRODUCT(分期持仓明细!$B$24:$AA$24,'实盘净值数据(iFinD公式)'!$B999:$AA999/'实盘净值数据(iFinD公式)'!$B$65:$AA$65)*(1-实盘持仓初始配置!$Z$8)^(('实盘净值数据(iFinD公式)'!$A999-'实盘净值数据(iFinD公式)'!$A$5)/365))</x:f>
        <x:v>#NAME?</x:v>
      </x:c>
      <x:c r="O999" s="152" t="e">
        <x:f>IF(OR(N998="",N999=""),"",N999/N998-1)</x:f>
        <x:v>#NAME?</x:v>
      </x:c>
      <x:c r="P999" s="152" t="e">
        <x:f>IF(N999="","",N999/MAX(N$5:N999)-1)</x:f>
        <x:v>#NAME?</x:v>
      </x:c>
      <x:c r="Q999" s="146" t="e">
        <x:f>IF(OR('实盘净值数据(iFinD公式)'!$A999="",'实盘净值数据(iFinD公式)'!$B999=""),"",分期持仓明细!$AD$25*SUMPRODUCT(分期持仓明细!$B$25:$AA$25,'实盘净值数据(iFinD公式)'!$B999:$AA999/'实盘净值数据(iFinD公式)'!$B$65:$AA$65)*(1-实盘持仓初始配置!$Z$9)^(('实盘净值数据(iFinD公式)'!$A999-'实盘净值数据(iFinD公式)'!$A$8)/365))</x:f>
        <x:v>#NAME?</x:v>
      </x:c>
      <x:c r="R999" s="152" t="e">
        <x:f>IF(OR(Q998="",Q999=""),"",Q999/Q998-1)</x:f>
        <x:v>#NAME?</x:v>
      </x:c>
      <x:c r="S999" s="152" t="e">
        <x:f>IF(Q999="","",Q999/MAX(Q$5:Q999)-1)</x:f>
        <x:v>#NAME?</x:v>
      </x:c>
    </x:row>
    <x:row r="1000">
      <x:c r="A1000" s="149" t="str">
        <x:f>IF('实盘净值数据(iFinD公式)'!A1000="","",'实盘净值数据(iFinD公式)'!A1000)</x:f>
      </x:c>
      <x:c r="B1000" s="146" t="e">
        <x:f>IF(OR('实盘净值数据(iFinD公式)'!$A1000="",'实盘净值数据(iFinD公式)'!$B1000=""),"",分期持仓明细!$AD$17*SUMPRODUCT(分期持仓明细!$B$17:$AA$17,'实盘净值数据(iFinD公式)'!$B1000:$AA1000/'实盘净值数据(iFinD公式)'!$B$20:$AA$20)*(1-实盘持仓初始配置!$Z$4)^(('实盘净值数据(iFinD公式)'!$A1000-'实盘净值数据(iFinD公式)'!$A$6)/365))</x:f>
        <x:v>#NAME?</x:v>
      </x:c>
      <x:c r="C1000" s="152" t="e">
        <x:f>IF(OR(B999="",B1000=""),"",B1000/B999-1)</x:f>
        <x:v>#NAME?</x:v>
      </x:c>
      <x:c r="D1000" s="152" t="e">
        <x:f>IF(B1000="","",B1000/MAX(B$5:B1000)-1)</x:f>
        <x:v>#NAME?</x:v>
      </x:c>
      <x:c r="E1000" s="146" t="e">
        <x:f>IF(OR('实盘净值数据(iFinD公式)'!$A1000="",'实盘净值数据(iFinD公式)'!$B1000=""),"",分期持仓明细!$AD$18*SUMPRODUCT(分期持仓明细!$B$18:$AA$18,'实盘净值数据(iFinD公式)'!$B1000:$AA1000/'实盘净值数据(iFinD公式)'!$B$20:$AA$20)*(1-实盘持仓初始配置!$Z$5)^(('实盘净值数据(iFinD公式)'!$A1000-'实盘净值数据(iFinD公式)'!$A$5)/365))</x:f>
        <x:v>#NAME?</x:v>
      </x:c>
      <x:c r="F1000" s="152" t="e">
        <x:f>IF(OR(E999="",E1000=""),"",E1000/E999-1)</x:f>
        <x:v>#NAME?</x:v>
      </x:c>
      <x:c r="G1000" s="152" t="e">
        <x:f>IF(E1000="","",E1000/MAX(E$5:E1000)-1)</x:f>
        <x:v>#NAME?</x:v>
      </x:c>
      <x:c r="H1000" s="146" t="e">
        <x:f>IF(OR('实盘净值数据(iFinD公式)'!$A1000="",'实盘净值数据(iFinD公式)'!$B1000=""),"",分期持仓明细!$AD$19*SUMPRODUCT(分期持仓明细!$B$19:$AA$19,'实盘净值数据(iFinD公式)'!$B1000:$AA1000/'实盘净值数据(iFinD公式)'!$B$20:$AA$20)*(1-实盘持仓初始配置!$Z$6)^(('实盘净值数据(iFinD公式)'!$A1000-'实盘净值数据(iFinD公式)'!$A$7)/365))</x:f>
        <x:v>#NAME?</x:v>
      </x:c>
      <x:c r="I1000" s="152" t="e">
        <x:f>IF(OR(H999="",H1000=""),"",H1000/H999-1)</x:f>
        <x:v>#NAME?</x:v>
      </x:c>
      <x:c r="J1000" s="152" t="e">
        <x:f>IF(H1000="","",H1000/MAX(H$5:H1000)-1)</x:f>
        <x:v>#NAME?</x:v>
      </x:c>
      <x:c r="K1000" s="146" t="e">
        <x:f>IF(OR('实盘净值数据(iFinD公式)'!$A1000="",'实盘净值数据(iFinD公式)'!$B1000=""),"",分期持仓明细!$AD$23*SUMPRODUCT(分期持仓明细!$B$23:$AA$23,'实盘净值数据(iFinD公式)'!$B1000:$AA1000/'实盘净值数据(iFinD公式)'!$B$65:$AA$65)*(1-实盘持仓初始配置!$Z$7)^(('实盘净值数据(iFinD公式)'!$A1000-'实盘净值数据(iFinD公式)'!$A$8)/365))</x:f>
        <x:v>#NAME?</x:v>
      </x:c>
      <x:c r="L1000" s="152" t="e">
        <x:f>IF(OR(K999="",K1000=""),"",K1000/K999-1)</x:f>
        <x:v>#NAME?</x:v>
      </x:c>
      <x:c r="M1000" s="152" t="e">
        <x:f>IF(K1000="","",K1000/MAX(K$5:K1000)-1)</x:f>
        <x:v>#NAME?</x:v>
      </x:c>
      <x:c r="N1000" s="146" t="e">
        <x:f>IF(OR('实盘净值数据(iFinD公式)'!$A1000="",'实盘净值数据(iFinD公式)'!$B1000=""),"",分期持仓明细!$AD$24*SUMPRODUCT(分期持仓明细!$B$24:$AA$24,'实盘净值数据(iFinD公式)'!$B1000:$AA1000/'实盘净值数据(iFinD公式)'!$B$65:$AA$65)*(1-实盘持仓初始配置!$Z$8)^(('实盘净值数据(iFinD公式)'!$A1000-'实盘净值数据(iFinD公式)'!$A$5)/365))</x:f>
        <x:v>#NAME?</x:v>
      </x:c>
      <x:c r="O1000" s="152" t="e">
        <x:f>IF(OR(N999="",N1000=""),"",N1000/N999-1)</x:f>
        <x:v>#NAME?</x:v>
      </x:c>
      <x:c r="P1000" s="152" t="e">
        <x:f>IF(N1000="","",N1000/MAX(N$5:N1000)-1)</x:f>
        <x:v>#NAME?</x:v>
      </x:c>
      <x:c r="Q1000" s="146" t="e">
        <x:f>IF(OR('实盘净值数据(iFinD公式)'!$A1000="",'实盘净值数据(iFinD公式)'!$B1000=""),"",分期持仓明细!$AD$25*SUMPRODUCT(分期持仓明细!$B$25:$AA$25,'实盘净值数据(iFinD公式)'!$B1000:$AA1000/'实盘净值数据(iFinD公式)'!$B$65:$AA$65)*(1-实盘持仓初始配置!$Z$9)^(('实盘净值数据(iFinD公式)'!$A1000-'实盘净值数据(iFinD公式)'!$A$8)/365))</x:f>
        <x:v>#NAME?</x:v>
      </x:c>
      <x:c r="R1000" s="152" t="e">
        <x:f>IF(OR(Q999="",Q1000=""),"",Q1000/Q999-1)</x:f>
        <x:v>#NAME?</x:v>
      </x:c>
      <x:c r="S1000" s="152" t="e">
        <x:f>IF(Q1000="","",Q1000/MAX(Q$5:Q1000)-1)</x:f>
        <x:v>#NAME?</x:v>
      </x:c>
    </x:row>
    <x:row r="1002">
      <x:c r="A1002" t="str">
        <x:v>各组合自其净值起始日起=1.0000；调仓日净值连续衔接；净值已按各自年化费率折每日扣费。净值源刷新后，本表与看板自动更新至最新净值日。</x:v>
      </x:c>
    </x:row>
  </x:sheetData>
  <x:mergeCells>
    <x:mergeCell ref="A1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37.45000076293945" hidden="0" customWidth="1"/>
    <x:col min="2" max="6" width="9.270000457763672" hidden="0" customWidth="1"/>
    <x:col min="7" max="7" width="24.270000457763672" hidden="0" customWidth="1"/>
    <x:col min="8" max="8" width="16.270000457763672" hidden="0" customWidth="1"/>
    <x:col min="9" max="25" width="9.270000457763672" hidden="0" customWidth="1"/>
    <x:col min="27" max="27" width="15" hidden="0" customWidth="1"/>
    <x:col min="28" max="28" width="10" hidden="0" customWidth="1"/>
    <x:col min="26" max="26" width="15" hidden="0" customWidth="1"/>
    <x:col min="29" max="29" width="12" hidden="0" customWidth="1"/>
    <x:col min="30" max="30" width="15" hidden="0" customWidth="1"/>
  </x:cols>
  <x:sheetData>
    <x:row r="1" ht="12" hidden="0">
      <x:c r="A1" t="str">
        <x:v>分期持仓明细（每次调仓后的组合权重；P0=初始建仓，P4=2026/9/11调仓及动平衡后）</x:v>
      </x:c>
      <x:c r="Z1"/>
      <x:c r="AA1"/>
      <x:c r="AB1"/>
      <x:c r="AC1"/>
      <x:c r="AD1"/>
    </x:row>
    <x:row r="2" ht="14.149999618530273" hidden="0">
      <x:c r="A2" t="s">
        <x:v>1</x:v>
      </x:c>
      <x:c r="B2" s="113" t="s">
        <x:v>353</x:v>
      </x:c>
      <x:c r="C2" s="113" t="s">
        <x:v>354</x:v>
      </x:c>
      <x:c r="D2" s="113" t="s">
        <x:v>355</x:v>
      </x:c>
      <x:c r="E2" s="113" t="s">
        <x:v>356</x:v>
      </x:c>
      <x:c r="F2" s="113" t="s">
        <x:v>357</x:v>
      </x:c>
      <x:c r="G2" s="113" t="s">
        <x:v>358</x:v>
      </x:c>
      <x:c r="H2" s="113" t="s">
        <x:v>359</x:v>
      </x:c>
      <x:c r="I2" t="s">
        <x:v>9</x:v>
      </x:c>
      <x:c r="J2" s="113" t="s">
        <x:v>360</x:v>
      </x:c>
      <x:c r="K2" s="113" t="s">
        <x:v>361</x:v>
      </x:c>
      <x:c r="L2" s="113" t="s">
        <x:v>362</x:v>
      </x:c>
      <x:c r="M2" s="113" t="s">
        <x:v>363</x:v>
      </x:c>
      <x:c r="N2" s="113" t="s">
        <x:v>364</x:v>
      </x:c>
      <x:c r="O2" s="113" t="s">
        <x:v>365</x:v>
      </x:c>
      <x:c r="P2" s="113" t="s">
        <x:v>366</x:v>
      </x:c>
      <x:c r="Q2" s="113" t="s">
        <x:v>367</x:v>
      </x:c>
      <x:c r="R2" s="113" t="s">
        <x:v>368</x:v>
      </x:c>
      <x:c r="S2" s="113" t="s">
        <x:v>369</x:v>
      </x:c>
      <x:c r="T2" s="113" t="s">
        <x:v>370</x:v>
      </x:c>
      <x:c r="U2" s="113" t="s">
        <x:v>371</x:v>
      </x:c>
      <x:c r="V2" s="113" t="s">
        <x:v>372</x:v>
      </x:c>
      <x:c r="W2" s="113" t="s">
        <x:v>373</x:v>
      </x:c>
      <x:c r="X2" s="113" t="s">
        <x:v>374</x:v>
      </x:c>
      <x:c r="Y2" t="s">
        <x:v>138</x:v>
      </x:c>
      <x:c r="Z2" t="str">
        <x:v>广发中债7-10年国开债A</x:v>
      </x:c>
      <x:c r="AA2" t="str">
        <x:v>嘉实中债3-5年国开债A</x:v>
      </x:c>
      <x:c r="AB2" s="113" t="str">
        <x:v>合计</x:v>
      </x:c>
      <x:c r="AC2" t="str">
        <x:v>生效日</x:v>
      </x:c>
      <x:c r="AD2" t="str">
        <x:v>累计因子(自动)</x:v>
      </x:c>
    </x:row>
    <x:row r="3" ht="13.5" hidden="0">
      <x:c r="A3" t="s">
        <x:v>28</x:v>
      </x:c>
      <x:c r="B3" s="114" t="s">
        <x:v>375</x:v>
      </x:c>
      <x:c r="C3" s="114" t="s">
        <x:v>376</x:v>
      </x:c>
      <x:c r="D3" s="114" t="s">
        <x:v>377</x:v>
      </x:c>
      <x:c r="E3" s="114" t="s">
        <x:v>378</x:v>
      </x:c>
      <x:c r="F3" s="114" t="s">
        <x:v>379</x:v>
      </x:c>
      <x:c r="G3" s="114" t="s">
        <x:v>380</x:v>
      </x:c>
      <x:c r="H3" s="114" t="s">
        <x:v>381</x:v>
      </x:c>
      <x:c r="I3" s="114" t="s">
        <x:v>382</x:v>
      </x:c>
      <x:c r="J3" s="114" t="s">
        <x:v>383</x:v>
      </x:c>
      <x:c r="K3" s="114" t="s">
        <x:v>384</x:v>
      </x:c>
      <x:c r="L3" s="114" t="s">
        <x:v>385</x:v>
      </x:c>
      <x:c r="M3" s="114" t="s">
        <x:v>386</x:v>
      </x:c>
      <x:c r="N3" s="114" t="s">
        <x:v>387</x:v>
      </x:c>
      <x:c r="O3" s="114" t="s">
        <x:v>388</x:v>
      </x:c>
      <x:c r="P3" s="114" t="s">
        <x:v>389</x:v>
      </x:c>
      <x:c r="Q3" s="114" t="s">
        <x:v>390</x:v>
      </x:c>
      <x:c r="R3" s="114" t="s">
        <x:v>391</x:v>
      </x:c>
      <x:c r="S3" s="114" t="s">
        <x:v>392</x:v>
      </x:c>
      <x:c r="T3" s="114" t="s">
        <x:v>393</x:v>
      </x:c>
      <x:c r="U3" s="114" t="s">
        <x:v>394</x:v>
      </x:c>
      <x:c r="V3" s="114" t="s">
        <x:v>395</x:v>
      </x:c>
      <x:c r="W3" s="114" t="s">
        <x:v>396</x:v>
      </x:c>
      <x:c r="X3" s="114" t="s">
        <x:v>397</x:v>
      </x:c>
      <x:c r="Y3" s="114" t="s">
        <x:v>398</x:v>
      </x:c>
      <x:c r="Z3" t="str">
        <x:v>003376</x:v>
      </x:c>
      <x:c r="AA3" t="str">
        <x:v>008015</x:v>
      </x:c>
      <x:c r="AB3"/>
      <x:c r="AC3"/>
      <x:c r="AD3"/>
    </x:row>
    <x:row r="4">
      <x:c r="Z4"/>
      <x:c r="AA4"/>
      <x:c r="AB4"/>
      <x:c r="AC4"/>
      <x:c r="AD4"/>
    </x:row>
    <x:row r="5" ht="14.149999618530273" hidden="0">
      <x:c r="A5" s="113" t="s">
        <x:v>399</x:v>
      </x:c>
      <x:c r="B5" s="147" t="e">
        <x:f aca="0">实盘持仓初始配置!B4</x:f>
        <x:v>#NAME?</x:v>
      </x:c>
      <x:c r="C5" s="147" t="e">
        <x:f aca="0">实盘持仓初始配置!C4</x:f>
        <x:v>#NAME?</x:v>
      </x:c>
      <x:c r="D5" s="147" t="e">
        <x:f aca="0">实盘持仓初始配置!D4</x:f>
        <x:v>#NAME?</x:v>
      </x:c>
      <x:c r="E5" s="147" t="e">
        <x:f aca="0">实盘持仓初始配置!E4</x:f>
        <x:v>#NAME?</x:v>
      </x:c>
      <x:c r="F5" s="147" t="e">
        <x:f aca="0">实盘持仓初始配置!F4</x:f>
        <x:v>#NAME?</x:v>
      </x:c>
      <x:c r="G5" s="147" t="e">
        <x:f aca="0">实盘持仓初始配置!G4</x:f>
        <x:v>#NAME?</x:v>
      </x:c>
      <x:c r="H5" s="147" t="e">
        <x:f aca="0">实盘持仓初始配置!H4</x:f>
        <x:v>#NAME?</x:v>
      </x:c>
      <x:c r="I5" s="147" t="e">
        <x:f aca="0">实盘持仓初始配置!I4</x:f>
        <x:v>#NAME?</x:v>
      </x:c>
      <x:c r="J5" s="147" t="e">
        <x:f aca="0">实盘持仓初始配置!J4</x:f>
        <x:v>#NAME?</x:v>
      </x:c>
      <x:c r="K5" s="147" t="e">
        <x:f aca="0">实盘持仓初始配置!K4</x:f>
        <x:v>#NAME?</x:v>
      </x:c>
      <x:c r="L5" s="147" t="e">
        <x:f aca="0">实盘持仓初始配置!L4</x:f>
        <x:v>#NAME?</x:v>
      </x:c>
      <x:c r="M5" s="147" t="e">
        <x:f aca="0">实盘持仓初始配置!M4</x:f>
        <x:v>#NAME?</x:v>
      </x:c>
      <x:c r="N5" s="147" t="e">
        <x:f aca="0">实盘持仓初始配置!N4</x:f>
        <x:v>#NAME?</x:v>
      </x:c>
      <x:c r="O5" s="147" t="e">
        <x:f aca="0">实盘持仓初始配置!O4</x:f>
        <x:v>#NAME?</x:v>
      </x:c>
      <x:c r="P5" s="147" t="e">
        <x:f aca="0">实盘持仓初始配置!P4</x:f>
        <x:v>#NAME?</x:v>
      </x:c>
      <x:c r="Q5" s="147" t="e">
        <x:f aca="0">实盘持仓初始配置!Q4</x:f>
        <x:v>#NAME?</x:v>
      </x:c>
      <x:c r="R5" s="147" t="e">
        <x:f aca="0">实盘持仓初始配置!R4</x:f>
        <x:v>#NAME?</x:v>
      </x:c>
      <x:c r="S5" s="147" t="e">
        <x:f aca="0">实盘持仓初始配置!S4</x:f>
        <x:v>#NAME?</x:v>
      </x:c>
      <x:c r="T5" s="147" t="e">
        <x:f aca="0">实盘持仓初始配置!T4</x:f>
        <x:v>#NAME?</x:v>
      </x:c>
      <x:c r="U5" s="147" t="e">
        <x:f aca="0">实盘持仓初始配置!U4</x:f>
        <x:v>#NAME?</x:v>
      </x:c>
      <x:c r="V5" s="147" t="e">
        <x:f aca="0">实盘持仓初始配置!V4</x:f>
        <x:v>#NAME?</x:v>
      </x:c>
      <x:c r="W5" s="147" t="e">
        <x:f aca="0">实盘持仓初始配置!W4</x:f>
        <x:v>#NAME?</x:v>
      </x:c>
      <x:c r="X5" s="147" t="e">
        <x:f aca="0">实盘持仓初始配置!X4</x:f>
        <x:v>#NAME?</x:v>
      </x:c>
      <x:c r="Y5" s="148" t="n">
        <x:v>0</x:v>
      </x:c>
      <x:c r="Z5" s="148" t="n">
        <x:f aca="0"/>
        <x:v>0</x:v>
      </x:c>
      <x:c r="AA5" s="148" t="n">
        <x:v>0</x:v>
      </x:c>
      <x:c r="AB5" s="148" t="e">
        <x:f>SUM(B5:AA5)</x:f>
        <x:v>#NAME?</x:v>
      </x:c>
      <x:c r="AC5" s="149" t="n">
        <x:v>46195</x:v>
      </x:c>
      <x:c r="AD5" s="150"/>
    </x:row>
    <x:row r="6" ht="14.149999618530273" hidden="0">
      <x:c r="A6" s="113" t="s">
        <x:v>400</x:v>
      </x:c>
      <x:c r="B6" s="147" t="e">
        <x:f aca="0">实盘持仓初始配置!B5</x:f>
        <x:v>#NAME?</x:v>
      </x:c>
      <x:c r="C6" s="147" t="e">
        <x:f aca="0">实盘持仓初始配置!C5</x:f>
        <x:v>#NAME?</x:v>
      </x:c>
      <x:c r="D6" s="147" t="e">
        <x:f aca="0">实盘持仓初始配置!D5</x:f>
        <x:v>#NAME?</x:v>
      </x:c>
      <x:c r="E6" s="147" t="e">
        <x:f aca="0">实盘持仓初始配置!E5</x:f>
        <x:v>#NAME?</x:v>
      </x:c>
      <x:c r="F6" s="147" t="e">
        <x:f aca="0">实盘持仓初始配置!F5</x:f>
        <x:v>#NAME?</x:v>
      </x:c>
      <x:c r="G6" s="147" t="e">
        <x:f aca="0">实盘持仓初始配置!G5</x:f>
        <x:v>#NAME?</x:v>
      </x:c>
      <x:c r="H6" s="147" t="e">
        <x:f aca="0">实盘持仓初始配置!H5</x:f>
        <x:v>#NAME?</x:v>
      </x:c>
      <x:c r="I6" s="147" t="e">
        <x:f aca="0">实盘持仓初始配置!I5</x:f>
        <x:v>#NAME?</x:v>
      </x:c>
      <x:c r="J6" s="147" t="e">
        <x:f aca="0">实盘持仓初始配置!J5</x:f>
        <x:v>#NAME?</x:v>
      </x:c>
      <x:c r="K6" s="147" t="e">
        <x:f aca="0">实盘持仓初始配置!K5</x:f>
        <x:v>#NAME?</x:v>
      </x:c>
      <x:c r="L6" s="147" t="e">
        <x:f aca="0">实盘持仓初始配置!L5</x:f>
        <x:v>#NAME?</x:v>
      </x:c>
      <x:c r="M6" s="147" t="e">
        <x:f aca="0">实盘持仓初始配置!M5</x:f>
        <x:v>#NAME?</x:v>
      </x:c>
      <x:c r="N6" s="147" t="e">
        <x:f aca="0">实盘持仓初始配置!N5</x:f>
        <x:v>#NAME?</x:v>
      </x:c>
      <x:c r="O6" s="147" t="e">
        <x:f aca="0">实盘持仓初始配置!O5</x:f>
        <x:v>#NAME?</x:v>
      </x:c>
      <x:c r="P6" s="147" t="e">
        <x:f aca="0">实盘持仓初始配置!P5</x:f>
        <x:v>#NAME?</x:v>
      </x:c>
      <x:c r="Q6" s="147" t="e">
        <x:f aca="0">实盘持仓初始配置!Q5</x:f>
        <x:v>#NAME?</x:v>
      </x:c>
      <x:c r="R6" s="147" t="e">
        <x:f aca="0">实盘持仓初始配置!R5</x:f>
        <x:v>#NAME?</x:v>
      </x:c>
      <x:c r="S6" s="147" t="e">
        <x:f aca="0">实盘持仓初始配置!S5</x:f>
        <x:v>#NAME?</x:v>
      </x:c>
      <x:c r="T6" s="147" t="e">
        <x:f aca="0">实盘持仓初始配置!T5</x:f>
        <x:v>#NAME?</x:v>
      </x:c>
      <x:c r="U6" s="147" t="e">
        <x:f aca="0">实盘持仓初始配置!U5</x:f>
        <x:v>#NAME?</x:v>
      </x:c>
      <x:c r="V6" s="147" t="e">
        <x:f aca="0">实盘持仓初始配置!V5</x:f>
        <x:v>#NAME?</x:v>
      </x:c>
      <x:c r="W6" s="147" t="e">
        <x:f aca="0">实盘持仓初始配置!W5</x:f>
        <x:v>#NAME?</x:v>
      </x:c>
      <x:c r="X6" s="147" t="e">
        <x:f aca="0">实盘持仓初始配置!X5</x:f>
        <x:v>#NAME?</x:v>
      </x:c>
      <x:c r="Y6" s="148" t="n">
        <x:v>0</x:v>
      </x:c>
      <x:c r="Z6" s="148" t="n">
        <x:f aca="0"/>
        <x:v>0</x:v>
      </x:c>
      <x:c r="AA6" s="148" t="n">
        <x:v>0</x:v>
      </x:c>
      <x:c r="AB6" s="148" t="e">
        <x:f>SUM(B6:AA6)</x:f>
        <x:v>#NAME?</x:v>
      </x:c>
      <x:c r="AC6" s="149" t="n">
        <x:v>46191</x:v>
      </x:c>
      <x:c r="AD6" s="150"/>
    </x:row>
    <x:row r="7" ht="14.149999618530273" hidden="0">
      <x:c r="A7" s="113" t="s">
        <x:v>401</x:v>
      </x:c>
      <x:c r="B7" s="147" t="e">
        <x:f aca="0">实盘持仓初始配置!B6</x:f>
        <x:v>#NAME?</x:v>
      </x:c>
      <x:c r="C7" s="147" t="e">
        <x:f aca="0">实盘持仓初始配置!C6</x:f>
        <x:v>#NAME?</x:v>
      </x:c>
      <x:c r="D7" s="147" t="e">
        <x:f aca="0">实盘持仓初始配置!D6</x:f>
        <x:v>#NAME?</x:v>
      </x:c>
      <x:c r="E7" s="147" t="e">
        <x:f aca="0">实盘持仓初始配置!E6</x:f>
        <x:v>#NAME?</x:v>
      </x:c>
      <x:c r="F7" s="147" t="e">
        <x:f aca="0">实盘持仓初始配置!F6</x:f>
        <x:v>#NAME?</x:v>
      </x:c>
      <x:c r="G7" s="147" t="e">
        <x:f aca="0">实盘持仓初始配置!G6</x:f>
        <x:v>#NAME?</x:v>
      </x:c>
      <x:c r="H7" s="147" t="e">
        <x:f aca="0">实盘持仓初始配置!H6</x:f>
        <x:v>#NAME?</x:v>
      </x:c>
      <x:c r="I7" s="147" t="e">
        <x:f aca="0">实盘持仓初始配置!I6</x:f>
        <x:v>#NAME?</x:v>
      </x:c>
      <x:c r="J7" s="147" t="e">
        <x:f aca="0">实盘持仓初始配置!J6</x:f>
        <x:v>#NAME?</x:v>
      </x:c>
      <x:c r="K7" s="147" t="e">
        <x:f aca="0">实盘持仓初始配置!K6</x:f>
        <x:v>#NAME?</x:v>
      </x:c>
      <x:c r="L7" s="147" t="e">
        <x:f aca="0">实盘持仓初始配置!L6</x:f>
        <x:v>#NAME?</x:v>
      </x:c>
      <x:c r="M7" s="147" t="e">
        <x:f aca="0">实盘持仓初始配置!M6</x:f>
        <x:v>#NAME?</x:v>
      </x:c>
      <x:c r="N7" s="147" t="e">
        <x:f aca="0">实盘持仓初始配置!N6</x:f>
        <x:v>#NAME?</x:v>
      </x:c>
      <x:c r="O7" s="147" t="e">
        <x:f aca="0">实盘持仓初始配置!O6</x:f>
        <x:v>#NAME?</x:v>
      </x:c>
      <x:c r="P7" s="147" t="e">
        <x:f aca="0">实盘持仓初始配置!P6</x:f>
        <x:v>#NAME?</x:v>
      </x:c>
      <x:c r="Q7" s="147" t="e">
        <x:f aca="0">实盘持仓初始配置!Q6</x:f>
        <x:v>#NAME?</x:v>
      </x:c>
      <x:c r="R7" s="147" t="e">
        <x:f aca="0">实盘持仓初始配置!R6</x:f>
        <x:v>#NAME?</x:v>
      </x:c>
      <x:c r="S7" s="147" t="e">
        <x:f aca="0">实盘持仓初始配置!S6</x:f>
        <x:v>#NAME?</x:v>
      </x:c>
      <x:c r="T7" s="147" t="e">
        <x:f aca="0">实盘持仓初始配置!T6</x:f>
        <x:v>#NAME?</x:v>
      </x:c>
      <x:c r="U7" s="147" t="e">
        <x:f aca="0">实盘持仓初始配置!U6</x:f>
        <x:v>#NAME?</x:v>
      </x:c>
      <x:c r="V7" s="147" t="e">
        <x:f aca="0">实盘持仓初始配置!V6</x:f>
        <x:v>#NAME?</x:v>
      </x:c>
      <x:c r="W7" s="147" t="e">
        <x:f aca="0">实盘持仓初始配置!W6</x:f>
        <x:v>#NAME?</x:v>
      </x:c>
      <x:c r="X7" s="147" t="e">
        <x:f aca="0">实盘持仓初始配置!X6</x:f>
        <x:v>#NAME?</x:v>
      </x:c>
      <x:c r="Y7" s="148" t="n">
        <x:v>0</x:v>
      </x:c>
      <x:c r="Z7" s="148" t="n">
        <x:f aca="0"/>
        <x:v>0</x:v>
      </x:c>
      <x:c r="AA7" s="148" t="n">
        <x:v>0</x:v>
      </x:c>
      <x:c r="AB7" s="148" t="e">
        <x:f>SUM(B7:AA7)</x:f>
        <x:v>#NAME?</x:v>
      </x:c>
      <x:c r="AC7" s="149" t="n">
        <x:v>46196</x:v>
      </x:c>
      <x:c r="AD7" s="150"/>
    </x:row>
    <x:row r="8" ht="14.149999618530273" hidden="0">
      <x:c r="A8" s="117" t="s">
        <x:v>402</x:v>
      </x:c>
      <x:c r="B8" s="147" t="e">
        <x:f aca="0">实盘持仓初始配置!B7</x:f>
        <x:v>#NAME?</x:v>
      </x:c>
      <x:c r="C8" s="147" t="e">
        <x:f aca="0">实盘持仓初始配置!C7</x:f>
        <x:v>#NAME?</x:v>
      </x:c>
      <x:c r="D8" s="147" t="e">
        <x:f aca="0">实盘持仓初始配置!D7</x:f>
        <x:v>#NAME?</x:v>
      </x:c>
      <x:c r="E8" s="147" t="e">
        <x:f aca="0">实盘持仓初始配置!E7</x:f>
        <x:v>#NAME?</x:v>
      </x:c>
      <x:c r="F8" s="147" t="e">
        <x:f aca="0">实盘持仓初始配置!F7</x:f>
        <x:v>#NAME?</x:v>
      </x:c>
      <x:c r="G8" s="147" t="e">
        <x:f aca="0">实盘持仓初始配置!G7</x:f>
        <x:v>#NAME?</x:v>
      </x:c>
      <x:c r="H8" s="147" t="e">
        <x:f aca="0">实盘持仓初始配置!H7</x:f>
        <x:v>#NAME?</x:v>
      </x:c>
      <x:c r="I8" s="147" t="e">
        <x:f aca="0">实盘持仓初始配置!I7</x:f>
        <x:v>#NAME?</x:v>
      </x:c>
      <x:c r="J8" s="147" t="e">
        <x:f aca="0">实盘持仓初始配置!J7</x:f>
        <x:v>#NAME?</x:v>
      </x:c>
      <x:c r="K8" s="147" t="e">
        <x:f aca="0">实盘持仓初始配置!K7</x:f>
        <x:v>#NAME?</x:v>
      </x:c>
      <x:c r="L8" s="147" t="e">
        <x:f aca="0">实盘持仓初始配置!L7</x:f>
        <x:v>#NAME?</x:v>
      </x:c>
      <x:c r="M8" s="147" t="e">
        <x:f aca="0">实盘持仓初始配置!M7</x:f>
        <x:v>#NAME?</x:v>
      </x:c>
      <x:c r="N8" s="147" t="e">
        <x:f aca="0">实盘持仓初始配置!N7</x:f>
        <x:v>#NAME?</x:v>
      </x:c>
      <x:c r="O8" s="147" t="e">
        <x:f aca="0">实盘持仓初始配置!O7</x:f>
        <x:v>#NAME?</x:v>
      </x:c>
      <x:c r="P8" s="147" t="e">
        <x:f aca="0">实盘持仓初始配置!P7</x:f>
        <x:v>#NAME?</x:v>
      </x:c>
      <x:c r="Q8" s="147" t="e">
        <x:f aca="0">实盘持仓初始配置!Q7</x:f>
        <x:v>#NAME?</x:v>
      </x:c>
      <x:c r="R8" s="147" t="e">
        <x:f aca="0">实盘持仓初始配置!R7</x:f>
        <x:v>#NAME?</x:v>
      </x:c>
      <x:c r="S8" s="147" t="e">
        <x:f aca="0">实盘持仓初始配置!S7</x:f>
        <x:v>#NAME?</x:v>
      </x:c>
      <x:c r="T8" s="147" t="e">
        <x:f aca="0">实盘持仓初始配置!T7</x:f>
        <x:v>#NAME?</x:v>
      </x:c>
      <x:c r="U8" s="147" t="e">
        <x:f aca="0">实盘持仓初始配置!U7</x:f>
        <x:v>#NAME?</x:v>
      </x:c>
      <x:c r="V8" s="147" t="e">
        <x:f aca="0">实盘持仓初始配置!V7</x:f>
        <x:v>#NAME?</x:v>
      </x:c>
      <x:c r="W8" s="147" t="e">
        <x:f aca="0">实盘持仓初始配置!W7</x:f>
        <x:v>#NAME?</x:v>
      </x:c>
      <x:c r="X8" s="147" t="e">
        <x:f aca="0">实盘持仓初始配置!X7</x:f>
        <x:v>#NAME?</x:v>
      </x:c>
      <x:c r="Y8" s="148" t="n">
        <x:v>0</x:v>
      </x:c>
      <x:c r="Z8" s="148" t="n">
        <x:f aca="0"/>
        <x:v>0</x:v>
      </x:c>
      <x:c r="AA8" s="148" t="n">
        <x:v>0</x:v>
      </x:c>
      <x:c r="AB8" s="148" t="e">
        <x:f>SUM(B8:AA8)</x:f>
        <x:v>#NAME?</x:v>
      </x:c>
      <x:c r="AC8" s="149" t="n">
        <x:v>46197</x:v>
      </x:c>
      <x:c r="AD8" s="150"/>
    </x:row>
    <x:row r="9" ht="14.149999618530273" hidden="0">
      <x:c r="A9" s="117" t="s">
        <x:v>403</x:v>
      </x:c>
      <x:c r="B9" s="148" t="e">
        <x:f aca="0">B$8*'实盘净值数据(iFinD公式)'!B$13/'实盘净值数据(iFinD公式)'!B$8/$AB$9</x:f>
        <x:v>#NAME?</x:v>
      </x:c>
      <x:c r="C9" s="148" t="e">
        <x:f aca="0">C$8*'实盘净值数据(iFinD公式)'!C$13/'实盘净值数据(iFinD公式)'!C$8/$AB$9-0.01</x:f>
        <x:v>#NAME?</x:v>
      </x:c>
      <x:c r="D9" s="148" t="e">
        <x:f aca="0">D$8*'实盘净值数据(iFinD公式)'!D$13/'实盘净值数据(iFinD公式)'!D$8/$AB$9</x:f>
        <x:v>#NAME?</x:v>
      </x:c>
      <x:c r="E9" s="148" t="e">
        <x:f aca="0">E$8*'实盘净值数据(iFinD公式)'!E$13/'实盘净值数据(iFinD公式)'!E$8/$AB$9</x:f>
        <x:v>#NAME?</x:v>
      </x:c>
      <x:c r="F9" s="148" t="e">
        <x:f aca="0">F$8*'实盘净值数据(iFinD公式)'!F$13/'实盘净值数据(iFinD公式)'!F$8/$AB$9</x:f>
        <x:v>#NAME?</x:v>
      </x:c>
      <x:c r="G9" s="148" t="e">
        <x:f aca="0">G$8*'实盘净值数据(iFinD公式)'!G$13/'实盘净值数据(iFinD公式)'!G$8/$AB$9</x:f>
        <x:v>#NAME?</x:v>
      </x:c>
      <x:c r="H9" s="148" t="e">
        <x:f aca="0">H$8*'实盘净值数据(iFinD公式)'!H$13/'实盘净值数据(iFinD公式)'!H$8/$AB$9</x:f>
        <x:v>#NAME?</x:v>
      </x:c>
      <x:c r="I9" s="148" t="e">
        <x:f aca="0">I$8*'实盘净值数据(iFinD公式)'!I$13/'实盘净值数据(iFinD公式)'!I$8/$AB$9</x:f>
        <x:v>#NAME?</x:v>
      </x:c>
      <x:c r="J9" s="148" t="e">
        <x:f aca="0">J$8*'实盘净值数据(iFinD公式)'!J$13/'实盘净值数据(iFinD公式)'!J$8/$AB$9</x:f>
        <x:v>#NAME?</x:v>
      </x:c>
      <x:c r="K9" s="148" t="e">
        <x:f aca="0">K$8*'实盘净值数据(iFinD公式)'!K$13/'实盘净值数据(iFinD公式)'!K$8/$AB$9</x:f>
        <x:v>#NAME?</x:v>
      </x:c>
      <x:c r="L9" s="148" t="e">
        <x:f aca="0">L$8*'实盘净值数据(iFinD公式)'!L$13/'实盘净值数据(iFinD公式)'!L$8/$AB$9</x:f>
        <x:v>#NAME?</x:v>
      </x:c>
      <x:c r="M9" s="148" t="e">
        <x:f aca="0">M$8*'实盘净值数据(iFinD公式)'!M$13/'实盘净值数据(iFinD公式)'!M$8/$AB$9</x:f>
        <x:v>#NAME?</x:v>
      </x:c>
      <x:c r="N9" s="148" t="e">
        <x:f aca="0">N$8*'实盘净值数据(iFinD公式)'!N$13/'实盘净值数据(iFinD公式)'!N$8/$AB$9</x:f>
        <x:v>#NAME?</x:v>
      </x:c>
      <x:c r="O9" s="148" t="e">
        <x:f aca="0">O$8*'实盘净值数据(iFinD公式)'!O$13/'实盘净值数据(iFinD公式)'!O$8/$AB$9</x:f>
        <x:v>#NAME?</x:v>
      </x:c>
      <x:c r="P9" s="148" t="e">
        <x:f aca="0">P$8*'实盘净值数据(iFinD公式)'!P$13/'实盘净值数据(iFinD公式)'!P$8/$AB$9</x:f>
        <x:v>#NAME?</x:v>
      </x:c>
      <x:c r="Q9" s="148" t="e">
        <x:f aca="0">Q$8*'实盘净值数据(iFinD公式)'!Q$13/'实盘净值数据(iFinD公式)'!Q$8/$AB$9</x:f>
        <x:v>#NAME?</x:v>
      </x:c>
      <x:c r="R9" s="148" t="e">
        <x:f aca="0">R$8*'实盘净值数据(iFinD公式)'!R$13/'实盘净值数据(iFinD公式)'!R$8/$AB$9</x:f>
        <x:v>#NAME?</x:v>
      </x:c>
      <x:c r="S9" s="148" t="e">
        <x:f aca="0">S$8*'实盘净值数据(iFinD公式)'!S$13/'实盘净值数据(iFinD公式)'!S$8/$AB$9</x:f>
        <x:v>#NAME?</x:v>
      </x:c>
      <x:c r="T9" s="148" t="e">
        <x:f aca="0">T$8*'实盘净值数据(iFinD公式)'!T$13/'实盘净值数据(iFinD公式)'!T$8/$AB$9</x:f>
        <x:v>#NAME?</x:v>
      </x:c>
      <x:c r="U9" s="148" t="e">
        <x:f aca="0">U$8*'实盘净值数据(iFinD公式)'!U$13/'实盘净值数据(iFinD公式)'!U$8/$AB$9</x:f>
        <x:v>#NAME?</x:v>
      </x:c>
      <x:c r="V9" s="148" t="e">
        <x:f aca="0">V$8*'实盘净值数据(iFinD公式)'!V$13/'实盘净值数据(iFinD公式)'!V$8/$AB$9</x:f>
        <x:v>#NAME?</x:v>
      </x:c>
      <x:c r="W9" s="148" t="e">
        <x:f aca="0">W$8*'实盘净值数据(iFinD公式)'!W$13/'实盘净值数据(iFinD公式)'!W$8/$AB$9</x:f>
        <x:v>#NAME?</x:v>
      </x:c>
      <x:c r="X9" s="148" t="e">
        <x:f aca="0">X$8*'实盘净值数据(iFinD公式)'!X$13/'实盘净值数据(iFinD公式)'!X$8/$AB$9</x:f>
        <x:v>#NAME?</x:v>
      </x:c>
      <x:c r="Y9" s="148" t="e">
        <x:f aca="0">Y$8*'实盘净值数据(iFinD公式)'!Y$13/'实盘净值数据(iFinD公式)'!Y$8/$AB$9+0.01</x:f>
        <x:v>#NAME?</x:v>
      </x:c>
      <x:c r="Z9" s="148" t="n">
        <x:f aca="0"/>
        <x:v>0</x:v>
      </x:c>
      <x:c r="AA9" s="148" t="n">
        <x:v>0</x:v>
      </x:c>
      <x:c r="AB9" s="148" t="e">
        <x:f aca="0">SUM(B9:AA9)</x:f>
        <x:v>#NAME?</x:v>
      </x:c>
      <x:c r="AC9" s="149" t="n">
        <x:v>46204</x:v>
      </x:c>
      <x:c r="AD9" s="150" t="e">
        <x:f>SUMPRODUCT($B$8:$AA$8,'实盘净值数据(iFinD公式)'!$B$13:$AA$13/'实盘净值数据(iFinD公式)'!$B$8:$AA$8)</x:f>
        <x:v>#NAME?</x:v>
      </x:c>
    </x:row>
    <x:row r="10" ht="14.149999618530273" hidden="0">
      <x:c r="A10" s="117" t="s">
        <x:v>404</x:v>
      </x:c>
      <x:c r="B10" s="147" t="e">
        <x:f aca="0">实盘持仓初始配置!B8</x:f>
        <x:v>#NAME?</x:v>
      </x:c>
      <x:c r="C10" s="147" t="e">
        <x:f aca="0">实盘持仓初始配置!C8</x:f>
        <x:v>#NAME?</x:v>
      </x:c>
      <x:c r="D10" s="147" t="e">
        <x:f aca="0">实盘持仓初始配置!D8</x:f>
        <x:v>#NAME?</x:v>
      </x:c>
      <x:c r="E10" s="147" t="e">
        <x:f aca="0">实盘持仓初始配置!E8</x:f>
        <x:v>#NAME?</x:v>
      </x:c>
      <x:c r="F10" s="147" t="e">
        <x:f aca="0">实盘持仓初始配置!F8</x:f>
        <x:v>#NAME?</x:v>
      </x:c>
      <x:c r="G10" s="147" t="e">
        <x:f aca="0">实盘持仓初始配置!G8</x:f>
        <x:v>#NAME?</x:v>
      </x:c>
      <x:c r="H10" s="147" t="e">
        <x:f aca="0">实盘持仓初始配置!H8</x:f>
        <x:v>#NAME?</x:v>
      </x:c>
      <x:c r="I10" s="147" t="e">
        <x:f aca="0">实盘持仓初始配置!I8</x:f>
        <x:v>#NAME?</x:v>
      </x:c>
      <x:c r="J10" s="147" t="e">
        <x:f aca="0">实盘持仓初始配置!J8</x:f>
        <x:v>#NAME?</x:v>
      </x:c>
      <x:c r="K10" s="147" t="e">
        <x:f aca="0">实盘持仓初始配置!K8</x:f>
        <x:v>#NAME?</x:v>
      </x:c>
      <x:c r="L10" s="147" t="e">
        <x:f aca="0">实盘持仓初始配置!L8</x:f>
        <x:v>#NAME?</x:v>
      </x:c>
      <x:c r="M10" s="147" t="e">
        <x:f aca="0">实盘持仓初始配置!M8</x:f>
        <x:v>#NAME?</x:v>
      </x:c>
      <x:c r="N10" s="147" t="e">
        <x:f aca="0">实盘持仓初始配置!N8</x:f>
        <x:v>#NAME?</x:v>
      </x:c>
      <x:c r="O10" s="147" t="e">
        <x:f aca="0">实盘持仓初始配置!O8</x:f>
        <x:v>#NAME?</x:v>
      </x:c>
      <x:c r="P10" s="147" t="e">
        <x:f aca="0">实盘持仓初始配置!P8</x:f>
        <x:v>#NAME?</x:v>
      </x:c>
      <x:c r="Q10" s="147" t="e">
        <x:f aca="0">实盘持仓初始配置!Q8</x:f>
        <x:v>#NAME?</x:v>
      </x:c>
      <x:c r="R10" s="147" t="e">
        <x:f aca="0">实盘持仓初始配置!R8</x:f>
        <x:v>#NAME?</x:v>
      </x:c>
      <x:c r="S10" s="147" t="e">
        <x:f aca="0">实盘持仓初始配置!S8</x:f>
        <x:v>#NAME?</x:v>
      </x:c>
      <x:c r="T10" s="147" t="e">
        <x:f aca="0">实盘持仓初始配置!T8</x:f>
        <x:v>#NAME?</x:v>
      </x:c>
      <x:c r="U10" s="147" t="e">
        <x:f aca="0">实盘持仓初始配置!U8</x:f>
        <x:v>#NAME?</x:v>
      </x:c>
      <x:c r="V10" s="147" t="e">
        <x:f aca="0">实盘持仓初始配置!V8</x:f>
        <x:v>#NAME?</x:v>
      </x:c>
      <x:c r="W10" s="147" t="e">
        <x:f aca="0">实盘持仓初始配置!W8</x:f>
        <x:v>#NAME?</x:v>
      </x:c>
      <x:c r="X10" s="147" t="e">
        <x:f aca="0">实盘持仓初始配置!X8</x:f>
        <x:v>#NAME?</x:v>
      </x:c>
      <x:c r="Y10" s="148" t="n">
        <x:v>0</x:v>
      </x:c>
      <x:c r="Z10" s="148" t="n">
        <x:f aca="0"/>
        <x:v>0</x:v>
      </x:c>
      <x:c r="AA10" s="148" t="n">
        <x:v>0</x:v>
      </x:c>
      <x:c r="AB10" s="148" t="e">
        <x:f>SUM(B10:AA10)</x:f>
        <x:v>#NAME?</x:v>
      </x:c>
      <x:c r="AC10" s="149" t="n">
        <x:v>46191</x:v>
      </x:c>
      <x:c r="AD10" s="150"/>
    </x:row>
    <x:row r="11" ht="14.149999618530273" hidden="0">
      <x:c r="A11" s="117" t="s">
        <x:v>405</x:v>
      </x:c>
      <x:c r="B11" s="148" t="e">
        <x:f aca="0">B$10*'实盘净值数据(iFinD公式)'!B$13/'实盘净值数据(iFinD公式)'!B$5/$AB$11</x:f>
        <x:v>#NAME?</x:v>
      </x:c>
      <x:c r="C11" s="148" t="e">
        <x:f aca="0">C$10*'实盘净值数据(iFinD公式)'!C$13/'实盘净值数据(iFinD公式)'!C$5/$AB$11-0.01</x:f>
        <x:v>#NAME?</x:v>
      </x:c>
      <x:c r="D11" s="148" t="e">
        <x:f aca="0">D$10*'实盘净值数据(iFinD公式)'!D$13/'实盘净值数据(iFinD公式)'!D$5/$AB$11</x:f>
        <x:v>#NAME?</x:v>
      </x:c>
      <x:c r="E11" s="148" t="e">
        <x:f aca="0">E$10*'实盘净值数据(iFinD公式)'!E$13/'实盘净值数据(iFinD公式)'!E$5/$AB$11</x:f>
        <x:v>#NAME?</x:v>
      </x:c>
      <x:c r="F11" s="148" t="e">
        <x:f aca="0">F$10*'实盘净值数据(iFinD公式)'!F$13/'实盘净值数据(iFinD公式)'!F$5/$AB$11</x:f>
        <x:v>#NAME?</x:v>
      </x:c>
      <x:c r="G11" s="148" t="e">
        <x:f aca="0">G$10*'实盘净值数据(iFinD公式)'!G$13/'实盘净值数据(iFinD公式)'!G$5/$AB$11</x:f>
        <x:v>#NAME?</x:v>
      </x:c>
      <x:c r="H11" s="148" t="e">
        <x:f aca="0">H$10*'实盘净值数据(iFinD公式)'!H$13/'实盘净值数据(iFinD公式)'!H$5/$AB$11</x:f>
        <x:v>#NAME?</x:v>
      </x:c>
      <x:c r="I11" s="148" t="e">
        <x:f aca="0">I$10*'实盘净值数据(iFinD公式)'!I$13/'实盘净值数据(iFinD公式)'!I$5/$AB$11</x:f>
        <x:v>#NAME?</x:v>
      </x:c>
      <x:c r="J11" s="148" t="e">
        <x:f aca="0">J$10*'实盘净值数据(iFinD公式)'!J$13/'实盘净值数据(iFinD公式)'!J$5/$AB$11</x:f>
        <x:v>#NAME?</x:v>
      </x:c>
      <x:c r="K11" s="148" t="e">
        <x:f aca="0">K$10*'实盘净值数据(iFinD公式)'!K$13/'实盘净值数据(iFinD公式)'!K$5/$AB$11</x:f>
        <x:v>#NAME?</x:v>
      </x:c>
      <x:c r="L11" s="148" t="e">
        <x:f aca="0">L$10*'实盘净值数据(iFinD公式)'!L$13/'实盘净值数据(iFinD公式)'!L$5/$AB$11</x:f>
        <x:v>#NAME?</x:v>
      </x:c>
      <x:c r="M11" s="148" t="e">
        <x:f aca="0">M$10*'实盘净值数据(iFinD公式)'!M$13/'实盘净值数据(iFinD公式)'!M$5/$AB$11</x:f>
        <x:v>#NAME?</x:v>
      </x:c>
      <x:c r="N11" s="148" t="e">
        <x:f aca="0">N$10*'实盘净值数据(iFinD公式)'!N$13/'实盘净值数据(iFinD公式)'!N$5/$AB$11</x:f>
        <x:v>#NAME?</x:v>
      </x:c>
      <x:c r="O11" s="148" t="e">
        <x:f aca="0">O$10*'实盘净值数据(iFinD公式)'!O$13/'实盘净值数据(iFinD公式)'!O$5/$AB$11</x:f>
        <x:v>#NAME?</x:v>
      </x:c>
      <x:c r="P11" s="148" t="e">
        <x:f aca="0">P$10*'实盘净值数据(iFinD公式)'!P$13/'实盘净值数据(iFinD公式)'!P$5/$AB$11</x:f>
        <x:v>#NAME?</x:v>
      </x:c>
      <x:c r="Q11" s="148" t="e">
        <x:f aca="0">Q$10*'实盘净值数据(iFinD公式)'!Q$13/'实盘净值数据(iFinD公式)'!Q$5/$AB$11</x:f>
        <x:v>#NAME?</x:v>
      </x:c>
      <x:c r="R11" s="148" t="e">
        <x:f aca="0">R$10*'实盘净值数据(iFinD公式)'!R$13/'实盘净值数据(iFinD公式)'!R$5/$AB$11</x:f>
        <x:v>#NAME?</x:v>
      </x:c>
      <x:c r="S11" s="148" t="e">
        <x:f aca="0">S$10*'实盘净值数据(iFinD公式)'!S$13/'实盘净值数据(iFinD公式)'!S$5/$AB$11</x:f>
        <x:v>#NAME?</x:v>
      </x:c>
      <x:c r="T11" s="148" t="e">
        <x:f aca="0">T$10*'实盘净值数据(iFinD公式)'!T$13/'实盘净值数据(iFinD公式)'!T$5/$AB$11</x:f>
        <x:v>#NAME?</x:v>
      </x:c>
      <x:c r="U11" s="148" t="e">
        <x:f aca="0">U$10*'实盘净值数据(iFinD公式)'!U$13/'实盘净值数据(iFinD公式)'!U$5/$AB$11</x:f>
        <x:v>#NAME?</x:v>
      </x:c>
      <x:c r="V11" s="148" t="e">
        <x:f aca="0">V$10*'实盘净值数据(iFinD公式)'!V$13/'实盘净值数据(iFinD公式)'!V$5/$AB$11</x:f>
        <x:v>#NAME?</x:v>
      </x:c>
      <x:c r="W11" s="148" t="e">
        <x:f aca="0">W$10*'实盘净值数据(iFinD公式)'!W$13/'实盘净值数据(iFinD公式)'!W$5/$AB$11</x:f>
        <x:v>#NAME?</x:v>
      </x:c>
      <x:c r="X11" s="148" t="e">
        <x:f aca="0">X$10*'实盘净值数据(iFinD公式)'!X$13/'实盘净值数据(iFinD公式)'!X$5/$AB$11</x:f>
        <x:v>#NAME?</x:v>
      </x:c>
      <x:c r="Y11" s="148" t="e">
        <x:f aca="0">Y$10*'实盘净值数据(iFinD公式)'!Y$13/'实盘净值数据(iFinD公式)'!Y$5/$AB$11+0.01</x:f>
        <x:v>#NAME?</x:v>
      </x:c>
      <x:c r="Z11" s="148" t="n">
        <x:f aca="0"/>
        <x:v>0</x:v>
      </x:c>
      <x:c r="AA11" s="148" t="n">
        <x:v>0</x:v>
      </x:c>
      <x:c r="AB11" s="148" t="e">
        <x:f aca="0">SUM(B11:AA11)</x:f>
        <x:v>#NAME?</x:v>
      </x:c>
      <x:c r="AC11" s="149" t="n">
        <x:v>46204</x:v>
      </x:c>
      <x:c r="AD11" s="150" t="e">
        <x:f>SUMPRODUCT($B$10:$AA$10,'实盘净值数据(iFinD公式)'!$B$13:$AA$13/'实盘净值数据(iFinD公式)'!$B$5:$AA$5)</x:f>
        <x:v>#NAME?</x:v>
      </x:c>
    </x:row>
    <x:row r="12" ht="14.149999618530273" hidden="0">
      <x:c r="A12" s="117" t="s">
        <x:v>406</x:v>
      </x:c>
      <x:c r="B12" s="147" t="e">
        <x:f aca="0">实盘持仓初始配置!B9</x:f>
        <x:v>#NAME?</x:v>
      </x:c>
      <x:c r="C12" s="147" t="e">
        <x:f aca="0">实盘持仓初始配置!C9</x:f>
        <x:v>#NAME?</x:v>
      </x:c>
      <x:c r="D12" s="147" t="e">
        <x:f aca="0">实盘持仓初始配置!D9</x:f>
        <x:v>#NAME?</x:v>
      </x:c>
      <x:c r="E12" s="147" t="e">
        <x:f aca="0">实盘持仓初始配置!E9</x:f>
        <x:v>#NAME?</x:v>
      </x:c>
      <x:c r="F12" s="147" t="e">
        <x:f aca="0">实盘持仓初始配置!F9</x:f>
        <x:v>#NAME?</x:v>
      </x:c>
      <x:c r="G12" s="147" t="e">
        <x:f aca="0">实盘持仓初始配置!G9</x:f>
        <x:v>#NAME?</x:v>
      </x:c>
      <x:c r="H12" s="147" t="e">
        <x:f aca="0">实盘持仓初始配置!H9</x:f>
        <x:v>#NAME?</x:v>
      </x:c>
      <x:c r="I12" s="147" t="e">
        <x:f aca="0">实盘持仓初始配置!I9</x:f>
        <x:v>#NAME?</x:v>
      </x:c>
      <x:c r="J12" s="147" t="e">
        <x:f aca="0">实盘持仓初始配置!J9</x:f>
        <x:v>#NAME?</x:v>
      </x:c>
      <x:c r="K12" s="147" t="e">
        <x:f aca="0">实盘持仓初始配置!K9</x:f>
        <x:v>#NAME?</x:v>
      </x:c>
      <x:c r="L12" s="147" t="e">
        <x:f aca="0">实盘持仓初始配置!L9</x:f>
        <x:v>#NAME?</x:v>
      </x:c>
      <x:c r="M12" s="147" t="e">
        <x:f aca="0">实盘持仓初始配置!M9</x:f>
        <x:v>#NAME?</x:v>
      </x:c>
      <x:c r="N12" s="147" t="e">
        <x:f aca="0">实盘持仓初始配置!N9</x:f>
        <x:v>#NAME?</x:v>
      </x:c>
      <x:c r="O12" s="147" t="e">
        <x:f aca="0">实盘持仓初始配置!O9</x:f>
        <x:v>#NAME?</x:v>
      </x:c>
      <x:c r="P12" s="147" t="e">
        <x:f aca="0">实盘持仓初始配置!P9</x:f>
        <x:v>#NAME?</x:v>
      </x:c>
      <x:c r="Q12" s="147" t="e">
        <x:f aca="0">实盘持仓初始配置!Q9</x:f>
        <x:v>#NAME?</x:v>
      </x:c>
      <x:c r="R12" s="147" t="e">
        <x:f aca="0">实盘持仓初始配置!R9</x:f>
        <x:v>#NAME?</x:v>
      </x:c>
      <x:c r="S12" s="147" t="e">
        <x:f aca="0">实盘持仓初始配置!S9</x:f>
        <x:v>#NAME?</x:v>
      </x:c>
      <x:c r="T12" s="147" t="e">
        <x:f aca="0">实盘持仓初始配置!T9</x:f>
        <x:v>#NAME?</x:v>
      </x:c>
      <x:c r="U12" s="147" t="e">
        <x:f aca="0">实盘持仓初始配置!U9</x:f>
        <x:v>#NAME?</x:v>
      </x:c>
      <x:c r="V12" s="147" t="e">
        <x:f aca="0">实盘持仓初始配置!V9</x:f>
        <x:v>#NAME?</x:v>
      </x:c>
      <x:c r="W12" s="147" t="e">
        <x:f aca="0">实盘持仓初始配置!W9</x:f>
        <x:v>#NAME?</x:v>
      </x:c>
      <x:c r="X12" s="147" t="e">
        <x:f aca="0">实盘持仓初始配置!X9</x:f>
        <x:v>#NAME?</x:v>
      </x:c>
      <x:c r="Y12" s="148" t="n">
        <x:v>0</x:v>
      </x:c>
      <x:c r="Z12" s="148" t="n">
        <x:f aca="0"/>
        <x:v>0</x:v>
      </x:c>
      <x:c r="AA12" s="148" t="n">
        <x:v>0</x:v>
      </x:c>
      <x:c r="AB12" s="148" t="e">
        <x:f>SUM(B12:AA12)</x:f>
        <x:v>#NAME?</x:v>
      </x:c>
      <x:c r="AC12" s="149" t="n">
        <x:v>46197</x:v>
      </x:c>
      <x:c r="AD12" s="150"/>
    </x:row>
    <x:row r="13" ht="14.149999618530273" hidden="0">
      <x:c r="A13" s="117" t="s">
        <x:v>407</x:v>
      </x:c>
      <x:c r="B13" s="148" t="e">
        <x:f aca="0">B$12*'实盘净值数据(iFinD公式)'!B$13/'实盘净值数据(iFinD公式)'!B$8/$AB$13</x:f>
        <x:v>#NAME?</x:v>
      </x:c>
      <x:c r="C13" s="148" t="e">
        <x:f aca="0">C$12*'实盘净值数据(iFinD公式)'!C$13/'实盘净值数据(iFinD公式)'!C$8/$AB$13-0.015</x:f>
        <x:v>#NAME?</x:v>
      </x:c>
      <x:c r="D13" s="148" t="e">
        <x:f aca="0">D$12*'实盘净值数据(iFinD公式)'!D$13/'实盘净值数据(iFinD公式)'!D$8/$AB$13</x:f>
        <x:v>#NAME?</x:v>
      </x:c>
      <x:c r="E13" s="148" t="e">
        <x:f aca="0">E$12*'实盘净值数据(iFinD公式)'!E$13/'实盘净值数据(iFinD公式)'!E$8/$AB$13</x:f>
        <x:v>#NAME?</x:v>
      </x:c>
      <x:c r="F13" s="148" t="e">
        <x:f aca="0">F$12*'实盘净值数据(iFinD公式)'!F$13/'实盘净值数据(iFinD公式)'!F$8/$AB$13</x:f>
        <x:v>#NAME?</x:v>
      </x:c>
      <x:c r="G13" s="148" t="e">
        <x:f aca="0">G$12*'实盘净值数据(iFinD公式)'!G$13/'实盘净值数据(iFinD公式)'!G$8/$AB$13</x:f>
        <x:v>#NAME?</x:v>
      </x:c>
      <x:c r="H13" s="148" t="e">
        <x:f aca="0">H$12*'实盘净值数据(iFinD公式)'!H$13/'实盘净值数据(iFinD公式)'!H$8/$AB$13</x:f>
        <x:v>#NAME?</x:v>
      </x:c>
      <x:c r="I13" s="148" t="e">
        <x:f aca="0">I$12*'实盘净值数据(iFinD公式)'!I$13/'实盘净值数据(iFinD公式)'!I$8/$AB$13</x:f>
        <x:v>#NAME?</x:v>
      </x:c>
      <x:c r="J13" s="148" t="e">
        <x:f aca="0">J$12*'实盘净值数据(iFinD公式)'!J$13/'实盘净值数据(iFinD公式)'!J$8/$AB$13</x:f>
        <x:v>#NAME?</x:v>
      </x:c>
      <x:c r="K13" s="148" t="e">
        <x:f aca="0">K$12*'实盘净值数据(iFinD公式)'!K$13/'实盘净值数据(iFinD公式)'!K$8/$AB$13</x:f>
        <x:v>#NAME?</x:v>
      </x:c>
      <x:c r="L13" s="148" t="e">
        <x:f aca="0">L$12*'实盘净值数据(iFinD公式)'!L$13/'实盘净值数据(iFinD公式)'!L$8/$AB$13</x:f>
        <x:v>#NAME?</x:v>
      </x:c>
      <x:c r="M13" s="148" t="e">
        <x:f aca="0">M$12*'实盘净值数据(iFinD公式)'!M$13/'实盘净值数据(iFinD公式)'!M$8/$AB$13</x:f>
        <x:v>#NAME?</x:v>
      </x:c>
      <x:c r="N13" s="148" t="e">
        <x:f aca="0">N$12*'实盘净值数据(iFinD公式)'!N$13/'实盘净值数据(iFinD公式)'!N$8/$AB$13</x:f>
        <x:v>#NAME?</x:v>
      </x:c>
      <x:c r="O13" s="148" t="e">
        <x:f aca="0">O$12*'实盘净值数据(iFinD公式)'!O$13/'实盘净值数据(iFinD公式)'!O$8/$AB$13</x:f>
        <x:v>#NAME?</x:v>
      </x:c>
      <x:c r="P13" s="148" t="e">
        <x:f aca="0">P$12*'实盘净值数据(iFinD公式)'!P$13/'实盘净值数据(iFinD公式)'!P$8/$AB$13</x:f>
        <x:v>#NAME?</x:v>
      </x:c>
      <x:c r="Q13" s="148" t="e">
        <x:f aca="0">Q$12*'实盘净值数据(iFinD公式)'!Q$13/'实盘净值数据(iFinD公式)'!Q$8/$AB$13</x:f>
        <x:v>#NAME?</x:v>
      </x:c>
      <x:c r="R13" s="148" t="e">
        <x:f aca="0">R$12*'实盘净值数据(iFinD公式)'!R$13/'实盘净值数据(iFinD公式)'!R$8/$AB$13</x:f>
        <x:v>#NAME?</x:v>
      </x:c>
      <x:c r="S13" s="148" t="e">
        <x:f aca="0">S$12*'实盘净值数据(iFinD公式)'!S$13/'实盘净值数据(iFinD公式)'!S$8/$AB$13</x:f>
        <x:v>#NAME?</x:v>
      </x:c>
      <x:c r="T13" s="148" t="e">
        <x:f aca="0">T$12*'实盘净值数据(iFinD公式)'!T$13/'实盘净值数据(iFinD公式)'!T$8/$AB$13</x:f>
        <x:v>#NAME?</x:v>
      </x:c>
      <x:c r="U13" s="148" t="e">
        <x:f aca="0">U$12*'实盘净值数据(iFinD公式)'!U$13/'实盘净值数据(iFinD公式)'!U$8/$AB$13</x:f>
        <x:v>#NAME?</x:v>
      </x:c>
      <x:c r="V13" s="148" t="e">
        <x:f aca="0">V$12*'实盘净值数据(iFinD公式)'!V$13/'实盘净值数据(iFinD公式)'!V$8/$AB$13</x:f>
        <x:v>#NAME?</x:v>
      </x:c>
      <x:c r="W13" s="148" t="e">
        <x:f aca="0">W$12*'实盘净值数据(iFinD公式)'!W$13/'实盘净值数据(iFinD公式)'!W$8/$AB$13</x:f>
        <x:v>#NAME?</x:v>
      </x:c>
      <x:c r="X13" s="148" t="e">
        <x:f aca="0">X$12*'实盘净值数据(iFinD公式)'!X$13/'实盘净值数据(iFinD公式)'!X$8/$AB$13</x:f>
        <x:v>#NAME?</x:v>
      </x:c>
      <x:c r="Y13" s="148" t="e">
        <x:f aca="0">Y$12*'实盘净值数据(iFinD公式)'!Y$13/'实盘净值数据(iFinD公式)'!Y$8/$AB$13+0.015</x:f>
        <x:v>#NAME?</x:v>
      </x:c>
      <x:c r="Z13" s="148" t="n">
        <x:f aca="0"/>
        <x:v>0</x:v>
      </x:c>
      <x:c r="AA13" s="148" t="n">
        <x:v>0</x:v>
      </x:c>
      <x:c r="AB13" s="148" t="e">
        <x:f aca="0">SUM(B13:AA13)</x:f>
        <x:v>#NAME?</x:v>
      </x:c>
      <x:c r="AC13" s="149" t="n">
        <x:v>46204</x:v>
      </x:c>
      <x:c r="AD13" s="150" t="e">
        <x:f>SUMPRODUCT($B$12:$AA$12,'实盘净值数据(iFinD公式)'!$B$13:$AA$13/'实盘净值数据(iFinD公式)'!$B$8:$AA$8)</x:f>
        <x:v>#NAME?</x:v>
      </x:c>
    </x:row>
    <x:row r="14" ht="14.149999618530273" hidden="0">
      <x:c r="A14" s="117" t="s">
        <x:v>408</x:v>
      </x:c>
      <x:c r="B14" s="148" t="n">
        <x:v>0.0513929316647406</x:v>
      </x:c>
      <x:c r="C14" s="148" t="n">
        <x:v>0.0500015028668693</x:v>
      </x:c>
      <x:c r="D14" s="148" t="n">
        <x:v>0</x:v>
      </x:c>
      <x:c r="E14" s="148" t="n">
        <x:v>0</x:v>
      </x:c>
      <x:c r="F14" s="148" t="n">
        <x:v>0.0122700167166955</x:v>
      </x:c>
      <x:c r="G14" s="148" t="n">
        <x:v>0</x:v>
      </x:c>
      <x:c r="H14" s="148" t="n">
        <x:v>0.00440589314921368</x:v>
      </x:c>
      <x:c r="I14" s="148" t="n">
        <x:v>0.00976043516734444</x:v>
      </x:c>
      <x:c r="J14" s="148" t="n">
        <x:v>0</x:v>
      </x:c>
      <x:c r="K14" s="148" t="n">
        <x:v>0.0107009175985259</x:v>
      </x:c>
      <x:c r="L14" s="148" t="n">
        <x:v>0</x:v>
      </x:c>
      <x:c r="M14" s="148" t="n">
        <x:v>0.01209465053535</x:v>
      </x:c>
      <x:c r="N14" s="148" t="n">
        <x:v>0</x:v>
      </x:c>
      <x:c r="O14" s="148" t="n">
        <x:v>0.0122288591615486</x:v>
      </x:c>
      <x:c r="P14" s="148" t="n">
        <x:v>0</x:v>
      </x:c>
      <x:c r="Q14" s="148" t="n">
        <x:v>0</x:v>
      </x:c>
      <x:c r="R14" s="148" t="n">
        <x:v>0.00898497048964603</x:v>
      </x:c>
      <x:c r="S14" s="148" t="n">
        <x:v>0.0089406347696316</x:v>
      </x:c>
      <x:c r="T14" s="148" t="n">
        <x:v>0</x:v>
      </x:c>
      <x:c r="U14" s="148" t="n">
        <x:v>0.00517321712272002</x:v>
      </x:c>
      <x:c r="V14" s="148" t="n">
        <x:v>0</x:v>
      </x:c>
      <x:c r="W14" s="148" t="n">
        <x:v>0.0120450884017337</x:v>
      </x:c>
      <x:c r="X14" s="148" t="n">
        <x:v>0.792870683640967</x:v>
      </x:c>
      <x:c r="Y14" s="148" t="n">
        <x:v>0.00913019871501405</x:v>
      </x:c>
      <x:c r="Z14" s="148" t="n">
        <x:f aca="0"/>
        <x:v>0</x:v>
      </x:c>
      <x:c r="AA14" s="148" t="n">
        <x:v>0</x:v>
      </x:c>
      <x:c r="AB14" s="148" t="n">
        <x:f aca="0">SUM(B14:AA14)</x:f>
        <x:v>1.0000000000000004</x:v>
      </x:c>
      <x:c r="AC14" s="149" t="n">
        <x:v>46210</x:v>
      </x:c>
      <x:c r="AD14" s="150" t="e">
        <x:f>$AD$9*SUMPRODUCT($B$9:$AA$9,'实盘净值数据(iFinD公式)'!$B$17:$AA$17/'实盘净值数据(iFinD公式)'!$B$13:$AA$13)</x:f>
        <x:v>#NAME?</x:v>
      </x:c>
    </x:row>
    <x:row r="15" ht="14.149999618530273" hidden="0">
      <x:c r="A15" s="117" t="s">
        <x:v>409</x:v>
      </x:c>
      <x:c r="B15" s="148" t="n">
        <x:v>0.0491508967925738</x:v>
      </x:c>
      <x:c r="C15" s="148" t="n">
        <x:v>0.0500011601301088</x:v>
      </x:c>
      <x:c r="D15" s="148" t="n">
        <x:v>0.00903059508879846</x:v>
      </x:c>
      <x:c r="E15" s="148" t="n">
        <x:v>0.0123044375020459</x:v>
      </x:c>
      <x:c r="F15" s="148" t="n">
        <x:v>0</x:v>
      </x:c>
      <x:c r="G15" s="148" t="n">
        <x:v>0.00442507895785553</x:v>
      </x:c>
      <x:c r="H15" s="148" t="n">
        <x:v>0</x:v>
      </x:c>
      <x:c r="I15" s="148" t="n">
        <x:v>0</x:v>
      </x:c>
      <x:c r="J15" s="148" t="n">
        <x:v>0.0118564180001362</x:v>
      </x:c>
      <x:c r="K15" s="148" t="n">
        <x:v>0</x:v>
      </x:c>
      <x:c r="L15" s="148" t="n">
        <x:v>0.0122546842876084</x:v>
      </x:c>
      <x:c r="M15" s="148" t="n">
        <x:v>0</x:v>
      </x:c>
      <x:c r="N15" s="148" t="n">
        <x:v>0.0125057849313139</x:v>
      </x:c>
      <x:c r="O15" s="148" t="n">
        <x:v>0</x:v>
      </x:c>
      <x:c r="P15" s="148" t="n">
        <x:v>0.00876038157163421</x:v>
      </x:c>
      <x:c r="Q15" s="148" t="n">
        <x:v>0.00925434437841008</x:v>
      </x:c>
      <x:c r="R15" s="148" t="n">
        <x:v>0</x:v>
      </x:c>
      <x:c r="S15" s="148" t="n">
        <x:v>0</x:v>
      </x:c>
      <x:c r="T15" s="148" t="n">
        <x:v>0.00559380353027519</x:v>
      </x:c>
      <x:c r="U15" s="148" t="n">
        <x:v>0</x:v>
      </x:c>
      <x:c r="V15" s="148" t="n">
        <x:v>0.0120216355242797</x:v>
      </x:c>
      <x:c r="W15" s="148" t="n">
        <x:v>0</x:v>
      </x:c>
      <x:c r="X15" s="148" t="n">
        <x:v>0.793700649632925</x:v>
      </x:c>
      <x:c r="Y15" s="148" t="n">
        <x:v>0.00914012967203498</x:v>
      </x:c>
      <x:c r="Z15" s="148" t="n">
        <x:f aca="0"/>
        <x:v>0</x:v>
      </x:c>
      <x:c r="AA15" s="148" t="n">
        <x:v>0</x:v>
      </x:c>
      <x:c r="AB15" s="148" t="n">
        <x:f aca="0">SUM(B15:AA15)</x:f>
        <x:v>1.0000000000000002</x:v>
      </x:c>
      <x:c r="AC15" s="149" t="n">
        <x:v>46210</x:v>
      </x:c>
      <x:c r="AD15" s="150" t="e">
        <x:f>$AD$11*SUMPRODUCT($B$11:$AA$11,'实盘净值数据(iFinD公式)'!$B$17:$AA$17/'实盘净值数据(iFinD公式)'!$B$13:$AA$13)</x:f>
        <x:v>#NAME?</x:v>
      </x:c>
    </x:row>
    <x:row r="16" ht="14.149999618530273" hidden="0">
      <x:c r="A16" s="117" t="s">
        <x:v>410</x:v>
      </x:c>
      <x:c r="B16" s="148" t="n">
        <x:v>0.103481083555403</x:v>
      </x:c>
      <x:c r="C16" s="148" t="n">
        <x:v>0.100003267803466</x:v>
      </x:c>
      <x:c r="D16" s="148" t="n">
        <x:v>0</x:v>
      </x:c>
      <x:c r="E16" s="148" t="n">
        <x:v>0</x:v>
      </x:c>
      <x:c r="F16" s="148" t="n">
        <x:v>0.0370575358223708</x:v>
      </x:c>
      <x:c r="G16" s="148" t="n">
        <x:v>0</x:v>
      </x:c>
      <x:c r="H16" s="148" t="n">
        <x:v>0.013306494935067</x:v>
      </x:c>
      <x:c r="I16" s="148" t="n">
        <x:v>0.0294781885716324</x:v>
      </x:c>
      <x:c r="J16" s="148" t="n">
        <x:v>0</x:v>
      </x:c>
      <x:c r="K16" s="148" t="n">
        <x:v>0.032319155927704</x:v>
      </x:c>
      <x:c r="L16" s="148" t="n">
        <x:v>0</x:v>
      </x:c>
      <x:c r="M16" s="148" t="n">
        <x:v>0.0365320046317741</x:v>
      </x:c>
      <x:c r="N16" s="148" t="n">
        <x:v>0</x:v>
      </x:c>
      <x:c r="O16" s="148" t="n">
        <x:v>0.0369342174745708</x:v>
      </x:c>
      <x:c r="P16" s="148" t="n">
        <x:v>0</x:v>
      </x:c>
      <x:c r="Q16" s="148" t="n">
        <x:v>0</x:v>
      </x:c>
      <x:c r="R16" s="148" t="n">
        <x:v>0.0271379056066258</x:v>
      </x:c>
      <x:c r="S16" s="148" t="n">
        <x:v>0.0270057842412821</x:v>
      </x:c>
      <x:c r="T16" s="148" t="n">
        <x:v>0</x:v>
      </x:c>
      <x:c r="U16" s="148" t="n">
        <x:v>0.015624326719432</x:v>
      </x:c>
      <x:c r="V16" s="148" t="n">
        <x:v>0</x:v>
      </x:c>
      <x:c r="W16" s="148" t="n">
        <x:v>0.0363801793955243</x:v>
      </x:c>
      <x:c r="X16" s="148" t="n">
        <x:v>0.490873767172011</x:v>
      </x:c>
      <x:c r="Y16" s="148" t="n">
        <x:v>0.0138660881431366</x:v>
      </x:c>
      <x:c r="Z16" s="148" t="n">
        <x:f aca="0"/>
        <x:v>0</x:v>
      </x:c>
      <x:c r="AA16" s="148" t="n">
        <x:v>0</x:v>
      </x:c>
      <x:c r="AB16" s="148" t="n">
        <x:f aca="0">SUM(B16:AA16)</x:f>
        <x:v>0.9999999999999999</x:v>
      </x:c>
      <x:c r="AC16" s="149" t="n">
        <x:v>46210</x:v>
      </x:c>
      <x:c r="AD16" s="150" t="e">
        <x:f>$AD$13*SUMPRODUCT($B$13:$AA$13,'实盘净值数据(iFinD公式)'!$B$17:$AA$17/'实盘净值数据(iFinD公式)'!$B$13:$AA$13)</x:f>
        <x:v>#NAME?</x:v>
      </x:c>
    </x:row>
    <x:row r="17" ht="14.149999618530273" hidden="0">
      <x:c r="A17" s="113" t="s">
        <x:v>411</x:v>
      </x:c>
      <x:c r="B17" s="148" t="n">
        <x:v>0</x:v>
      </x:c>
      <x:c r="C17" s="148" t="n">
        <x:v>0.0463280320764591</x:v>
      </x:c>
      <x:c r="D17" s="148" t="n">
        <x:v>0.164578206149693</x:v>
      </x:c>
      <x:c r="E17" s="148" t="n">
        <x:v>0</x:v>
      </x:c>
      <x:c r="F17" s="148" t="n">
        <x:v>0</x:v>
      </x:c>
      <x:c r="G17" s="148" t="n">
        <x:v>0</x:v>
      </x:c>
      <x:c r="H17" s="148" t="n">
        <x:v>0</x:v>
      </x:c>
      <x:c r="I17" s="148" t="n">
        <x:v>0</x:v>
      </x:c>
      <x:c r="J17" s="148" t="n">
        <x:v>0.247205813932058</x:v>
      </x:c>
      <x:c r="K17" s="148" t="n">
        <x:v>0</x:v>
      </x:c>
      <x:c r="L17" s="148" t="n">
        <x:v>0</x:v>
      </x:c>
      <x:c r="M17" s="148" t="n">
        <x:v>0</x:v>
      </x:c>
      <x:c r="N17" s="148" t="n">
        <x:v>0</x:v>
      </x:c>
      <x:c r="O17" s="148" t="n">
        <x:v>0</x:v>
      </x:c>
      <x:c r="P17" s="148" t="n">
        <x:v>0.16397772588061</x:v>
      </x:c>
      <x:c r="Q17" s="148" t="n">
        <x:v>0.1726514806214</x:v>
      </x:c>
      <x:c r="R17" s="148" t="n">
        <x:v>0</x:v>
      </x:c>
      <x:c r="S17" s="148" t="n">
        <x:v>0</x:v>
      </x:c>
      <x:c r="T17" s="148" t="n">
        <x:v>0.135258365996974</x:v>
      </x:c>
      <x:c r="U17" s="148" t="n">
        <x:v>0</x:v>
      </x:c>
      <x:c r="V17" s="148" t="n">
        <x:v>0</x:v>
      </x:c>
      <x:c r="W17" s="148" t="n">
        <x:v>0</x:v>
      </x:c>
      <x:c r="X17" s="148" t="n">
        <x:v>0</x:v>
      </x:c>
      <x:c r="Y17" s="148" t="n">
        <x:v>0.0700003753428066</x:v>
      </x:c>
      <x:c r="Z17" s="148" t="n">
        <x:f aca="0"/>
        <x:v>0</x:v>
      </x:c>
      <x:c r="AA17" s="148" t="n">
        <x:v>0</x:v>
      </x:c>
      <x:c r="AB17" s="148" t="n">
        <x:f aca="0">SUM(B17:AA17)</x:f>
        <x:v>1.0000000000000009</x:v>
      </x:c>
      <x:c r="AC17" s="149" t="n">
        <x:v>46213</x:v>
      </x:c>
      <x:c r="AD17" s="150" t="e">
        <x:f>SUMPRODUCT($B$5:$AA$5,'实盘净值数据(iFinD公式)'!$B$20:$AA$20/'实盘净值数据(iFinD公式)'!$B$6:$AA$6)</x:f>
        <x:v>#NAME?</x:v>
      </x:c>
    </x:row>
    <x:row r="18" ht="14.149999618530273" hidden="0">
      <x:c r="A18" s="113" t="s">
        <x:v>412</x:v>
      </x:c>
      <x:c r="B18" s="148" t="n">
        <x:v>0</x:v>
      </x:c>
      <x:c r="C18" s="148" t="n">
        <x:v>0.0452932292193094</x:v>
      </x:c>
      <x:c r="D18" s="148" t="n">
        <x:v>0.166094796341005</x:v>
      </x:c>
      <x:c r="E18" s="148" t="n">
        <x:v>0</x:v>
      </x:c>
      <x:c r="F18" s="148" t="n">
        <x:v>0</x:v>
      </x:c>
      <x:c r="G18" s="148" t="n">
        <x:v>0</x:v>
      </x:c>
      <x:c r="H18" s="148" t="n">
        <x:v>0</x:v>
      </x:c>
      <x:c r="I18" s="148" t="n">
        <x:v>0</x:v>
      </x:c>
      <x:c r="J18" s="148" t="n">
        <x:v>0.245429089462296</x:v>
      </x:c>
      <x:c r="K18" s="148" t="n">
        <x:v>0</x:v>
      </x:c>
      <x:c r="L18" s="148" t="n">
        <x:v>0</x:v>
      </x:c>
      <x:c r="M18" s="148" t="n">
        <x:v>0</x:v>
      </x:c>
      <x:c r="N18" s="148" t="n">
        <x:v>0</x:v>
      </x:c>
      <x:c r="O18" s="148" t="n">
        <x:v>0</x:v>
      </x:c>
      <x:c r="P18" s="148" t="n">
        <x:v>0.163848936518917</x:v>
      </x:c>
      <x:c r="Q18" s="148" t="n">
        <x:v>0.173430567740403</x:v>
      </x:c>
      <x:c r="R18" s="148" t="n">
        <x:v>0</x:v>
      </x:c>
      <x:c r="S18" s="148" t="n">
        <x:v>0</x:v>
      </x:c>
      <x:c r="T18" s="148" t="n">
        <x:v>0.135903553227429</x:v>
      </x:c>
      <x:c r="U18" s="148" t="n">
        <x:v>0</x:v>
      </x:c>
      <x:c r="V18" s="148" t="n">
        <x:v>0</x:v>
      </x:c>
      <x:c r="W18" s="148" t="n">
        <x:v>0</x:v>
      </x:c>
      <x:c r="X18" s="148" t="n">
        <x:v>0</x:v>
      </x:c>
      <x:c r="Y18" s="148" t="n">
        <x:v>0.0699998274906403</x:v>
      </x:c>
      <x:c r="Z18" s="148" t="n">
        <x:f aca="0"/>
        <x:v>0</x:v>
      </x:c>
      <x:c r="AA18" s="148" t="n">
        <x:v>0</x:v>
      </x:c>
      <x:c r="AB18" s="148" t="n">
        <x:f aca="0">SUM(B18:AA18)</x:f>
        <x:v>0.9999999999999996</x:v>
      </x:c>
      <x:c r="AC18" s="149" t="n">
        <x:v>46213</x:v>
      </x:c>
      <x:c r="AD18" s="150" t="e">
        <x:f>SUMPRODUCT($B$6:$AA$6,'实盘净值数据(iFinD公式)'!$B$20:$AA$20/'实盘净值数据(iFinD公式)'!$B$5:$AA$5)</x:f>
        <x:v>#NAME?</x:v>
      </x:c>
    </x:row>
    <x:row r="19" ht="14.149999618530273" hidden="0">
      <x:c r="A19" s="113" t="s">
        <x:v>413</x:v>
      </x:c>
      <x:c r="B19" s="148" t="n">
        <x:v>0</x:v>
      </x:c>
      <x:c r="C19" s="148" t="n">
        <x:v>0.0437733816458728</x:v>
      </x:c>
      <x:c r="D19" s="148" t="n">
        <x:v>0</x:v>
      </x:c>
      <x:c r="E19" s="148" t="n">
        <x:v>0</x:v>
      </x:c>
      <x:c r="F19" s="148" t="n">
        <x:v>0</x:v>
      </x:c>
      <x:c r="G19" s="148" t="n">
        <x:v>0</x:v>
      </x:c>
      <x:c r="H19" s="148" t="n">
        <x:v>0</x:v>
      </x:c>
      <x:c r="I19" s="148" t="n">
        <x:v>0.189912474874215</x:v>
      </x:c>
      <x:c r="J19" s="148" t="n">
        <x:v>0</x:v>
      </x:c>
      <x:c r="K19" s="148" t="n">
        <x:v>0.234327918740056</x:v>
      </x:c>
      <x:c r="L19" s="148" t="n">
        <x:v>0</x:v>
      </x:c>
      <x:c r="M19" s="148" t="n">
        <x:v>0</x:v>
      </x:c>
      <x:c r="N19" s="148" t="n">
        <x:v>0</x:v>
      </x:c>
      <x:c r="O19" s="148" t="n">
        <x:v>0</x:v>
      </x:c>
      <x:c r="P19" s="148" t="n">
        <x:v>0</x:v>
      </x:c>
      <x:c r="Q19" s="148" t="n">
        <x:v>0</x:v>
      </x:c>
      <x:c r="R19" s="148" t="n">
        <x:v>0.168764270075366</x:v>
      </x:c>
      <x:c r="S19" s="148" t="n">
        <x:v>0.164033759428407</x:v>
      </x:c>
      <x:c r="T19" s="148" t="n">
        <x:v>0</x:v>
      </x:c>
      <x:c r="U19" s="148" t="n">
        <x:v>0.129188588781588</x:v>
      </x:c>
      <x:c r="V19" s="148" t="n">
        <x:v>0</x:v>
      </x:c>
      <x:c r="W19" s="148" t="n">
        <x:v>0</x:v>
      </x:c>
      <x:c r="X19" s="148" t="n">
        <x:v>0</x:v>
      </x:c>
      <x:c r="Y19" s="148" t="n">
        <x:v>0.0699996064544953</x:v>
      </x:c>
      <x:c r="Z19" s="148" t="n">
        <x:f aca="0"/>
        <x:v>0</x:v>
      </x:c>
      <x:c r="AA19" s="148" t="n">
        <x:v>0</x:v>
      </x:c>
      <x:c r="AB19" s="148" t="n">
        <x:f aca="0">SUM(B19:AA19)</x:f>
        <x:v>1.0000000000000002</x:v>
      </x:c>
      <x:c r="AC19" s="149" t="n">
        <x:v>46213</x:v>
      </x:c>
      <x:c r="AD19" s="150" t="e">
        <x:f>SUMPRODUCT($B$7:$AA$7,'实盘净值数据(iFinD公式)'!$B$20:$AA$20/'实盘净值数据(iFinD公式)'!$B$7:$AA$7)</x:f>
        <x:v>#NAME?</x:v>
      </x:c>
    </x:row>
    <x:row r="20" ht="13.5" hidden="0">
      <x:c r="A20" s="118" t="s">
        <x:v>414</x:v>
      </x:c>
      <x:c r="B20" s="148" t="n">
        <x:v>0.051393</x:v>
      </x:c>
      <x:c r="C20" s="148" t="n">
        <x:v>0.044406</x:v>
      </x:c>
      <x:c r="D20" s="148" t="n">
        <x:v>0</x:v>
      </x:c>
      <x:c r="E20" s="148" t="n">
        <x:v>0</x:v>
      </x:c>
      <x:c r="F20" s="148" t="n">
        <x:v>0.01227</x:v>
      </x:c>
      <x:c r="G20" s="148" t="n">
        <x:v>0</x:v>
      </x:c>
      <x:c r="H20" s="148" t="n">
        <x:v>0</x:v>
      </x:c>
      <x:c r="I20" s="148" t="n">
        <x:v>0.00976</x:v>
      </x:c>
      <x:c r="J20" s="148" t="n">
        <x:v>0</x:v>
      </x:c>
      <x:c r="K20" s="148" t="n">
        <x:v>0.010701</x:v>
      </x:c>
      <x:c r="L20" s="148" t="n">
        <x:v>0</x:v>
      </x:c>
      <x:c r="M20" s="148" t="n">
        <x:v>0.012095</x:v>
      </x:c>
      <x:c r="N20" s="148" t="n">
        <x:v>0</x:v>
      </x:c>
      <x:c r="O20" s="148" t="n">
        <x:v>0.012229</x:v>
      </x:c>
      <x:c r="P20" s="148" t="n">
        <x:v>0</x:v>
      </x:c>
      <x:c r="Q20" s="148" t="n">
        <x:v>0</x:v>
      </x:c>
      <x:c r="R20" s="148" t="n">
        <x:v>0.008985</x:v>
      </x:c>
      <x:c r="S20" s="148" t="n">
        <x:v>0.008941</x:v>
      </x:c>
      <x:c r="T20" s="148" t="n">
        <x:v>0</x:v>
      </x:c>
      <x:c r="U20" s="148" t="n">
        <x:v>0.005173</x:v>
      </x:c>
      <x:c r="V20" s="148" t="n">
        <x:v>0</x:v>
      </x:c>
      <x:c r="W20" s="148" t="n">
        <x:v>0.012045</x:v>
      </x:c>
      <x:c r="X20" s="148" t="n">
        <x:v>0.802872</x:v>
      </x:c>
      <x:c r="Y20" s="148" t="n">
        <x:v>0.00913</x:v>
      </x:c>
      <x:c r="Z20" s="148" t="n">
        <x:f aca="0"/>
        <x:v>0</x:v>
      </x:c>
      <x:c r="AA20" s="148" t="n">
        <x:v>0</x:v>
      </x:c>
      <x:c r="AB20" s="148" t="n">
        <x:f aca="0">SUM(B20:AA20)</x:f>
        <x:v>1</x:v>
      </x:c>
      <x:c r="AC20" s="149" t="n">
        <x:v>46220</x:v>
      </x:c>
      <x:c r="AD20" s="150" t="e">
        <x:f>$AD$14*SUMPRODUCT($B$14:$AA$14,'实盘净值数据(iFinD公式)'!$B$25:$AA$25/'实盘净值数据(iFinD公式)'!$B$17:$AA$17)</x:f>
        <x:v>#NAME?</x:v>
      </x:c>
    </x:row>
    <x:row r="21" ht="13.5" hidden="0">
      <x:c r="A21" s="118" t="s">
        <x:v>415</x:v>
      </x:c>
      <x:c r="B21" s="148" t="n">
        <x:v>0.049151</x:v>
      </x:c>
      <x:c r="C21" s="148" t="n">
        <x:v>0.044425</x:v>
      </x:c>
      <x:c r="D21" s="148" t="n">
        <x:v>0.009031</x:v>
      </x:c>
      <x:c r="E21" s="148" t="n">
        <x:v>0.012304</x:v>
      </x:c>
      <x:c r="F21" s="148" t="n">
        <x:v>0</x:v>
      </x:c>
      <x:c r="G21" s="148" t="n">
        <x:v>0</x:v>
      </x:c>
      <x:c r="H21" s="148" t="n">
        <x:v>0</x:v>
      </x:c>
      <x:c r="I21" s="148" t="n">
        <x:v>0</x:v>
      </x:c>
      <x:c r="J21" s="148" t="n">
        <x:v>0.011856</x:v>
      </x:c>
      <x:c r="K21" s="148" t="n">
        <x:v>0</x:v>
      </x:c>
      <x:c r="L21" s="148" t="n">
        <x:v>0.012255</x:v>
      </x:c>
      <x:c r="M21" s="148" t="n">
        <x:v>0</x:v>
      </x:c>
      <x:c r="N21" s="148" t="n">
        <x:v>0.012506</x:v>
      </x:c>
      <x:c r="O21" s="148" t="n">
        <x:v>0</x:v>
      </x:c>
      <x:c r="P21" s="148" t="n">
        <x:v>0.00876</x:v>
      </x:c>
      <x:c r="Q21" s="148" t="n">
        <x:v>0.009254</x:v>
      </x:c>
      <x:c r="R21" s="148" t="n">
        <x:v>0</x:v>
      </x:c>
      <x:c r="S21" s="148" t="n">
        <x:v>0</x:v>
      </x:c>
      <x:c r="T21" s="148" t="n">
        <x:v>0.005594</x:v>
      </x:c>
      <x:c r="U21" s="148" t="n">
        <x:v>0</x:v>
      </x:c>
      <x:c r="V21" s="148" t="n">
        <x:v>0.012022</x:v>
      </x:c>
      <x:c r="W21" s="148" t="n">
        <x:v>0</x:v>
      </x:c>
      <x:c r="X21" s="148" t="n">
        <x:v>0.803702</x:v>
      </x:c>
      <x:c r="Y21" s="148" t="n">
        <x:v>0.00914</x:v>
      </x:c>
      <x:c r="Z21" s="148" t="n">
        <x:f aca="0"/>
        <x:v>0</x:v>
      </x:c>
      <x:c r="AA21" s="148" t="n">
        <x:v>0</x:v>
      </x:c>
      <x:c r="AB21" s="148" t="n">
        <x:f aca="0">SUM(B21:AA21)</x:f>
        <x:v>1</x:v>
      </x:c>
      <x:c r="AC21" s="149" t="n">
        <x:v>46220</x:v>
      </x:c>
      <x:c r="AD21" s="150" t="e">
        <x:f>$AD$15*SUMPRODUCT($B$15:$AA$15,'实盘净值数据(iFinD公式)'!$B$25:$AA$25/'实盘净值数据(iFinD公式)'!$B$17:$AA$17)</x:f>
        <x:v>#NAME?</x:v>
      </x:c>
    </x:row>
    <x:row r="22" ht="13.5" hidden="0">
      <x:c r="A22" s="118" t="s">
        <x:v>416</x:v>
      </x:c>
      <x:c r="B22" s="148" t="n">
        <x:v>0.103481</x:v>
      </x:c>
      <x:c r="C22" s="148" t="n">
        <x:v>0.087175</x:v>
      </x:c>
      <x:c r="D22" s="148" t="n">
        <x:v>0</x:v>
      </x:c>
      <x:c r="E22" s="148" t="n">
        <x:v>0</x:v>
      </x:c>
      <x:c r="F22" s="148" t="n">
        <x:v>0.037058</x:v>
      </x:c>
      <x:c r="G22" s="148" t="n">
        <x:v>0</x:v>
      </x:c>
      <x:c r="H22" s="148" t="n">
        <x:v>0</x:v>
      </x:c>
      <x:c r="I22" s="148" t="n">
        <x:v>0.029478</x:v>
      </x:c>
      <x:c r="J22" s="148" t="n">
        <x:v>0</x:v>
      </x:c>
      <x:c r="K22" s="148" t="n">
        <x:v>0.032319</x:v>
      </x:c>
      <x:c r="L22" s="148" t="n">
        <x:v>0</x:v>
      </x:c>
      <x:c r="M22" s="148" t="n">
        <x:v>0.036532</x:v>
      </x:c>
      <x:c r="N22" s="148" t="n">
        <x:v>0</x:v>
      </x:c>
      <x:c r="O22" s="148" t="n">
        <x:v>0.036934</x:v>
      </x:c>
      <x:c r="P22" s="148" t="n">
        <x:v>0</x:v>
      </x:c>
      <x:c r="Q22" s="148" t="n">
        <x:v>0</x:v>
      </x:c>
      <x:c r="R22" s="148" t="n">
        <x:v>0.027138</x:v>
      </x:c>
      <x:c r="S22" s="148" t="n">
        <x:v>0.027006</x:v>
      </x:c>
      <x:c r="T22" s="148" t="n">
        <x:v>0</x:v>
      </x:c>
      <x:c r="U22" s="148" t="n">
        <x:v>0.015624</x:v>
      </x:c>
      <x:c r="V22" s="148" t="n">
        <x:v>0</x:v>
      </x:c>
      <x:c r="W22" s="148" t="n">
        <x:v>0.03638</x:v>
      </x:c>
      <x:c r="X22" s="148" t="n">
        <x:v>0.500875</x:v>
      </x:c>
      <x:c r="Y22" s="148" t="n">
        <x:v>0.03</x:v>
      </x:c>
      <x:c r="Z22" s="148" t="n">
        <x:f aca="0"/>
        <x:v>0</x:v>
      </x:c>
      <x:c r="AA22" s="148" t="n">
        <x:v>0</x:v>
      </x:c>
      <x:c r="AB22" s="148" t="n">
        <x:f aca="0">SUM(B22:AA22)</x:f>
        <x:v>1</x:v>
      </x:c>
      <x:c r="AC22" s="149" t="n">
        <x:v>46220</x:v>
      </x:c>
      <x:c r="AD22" s="150" t="e">
        <x:f>$AD$16*SUMPRODUCT($B$16:$AA$16,'实盘净值数据(iFinD公式)'!$B$25:$AA$25/'实盘净值数据(iFinD公式)'!$B$17:$AA$17)</x:f>
        <x:v>#NAME?</x:v>
      </x:c>
    </x:row>
    <x:row r="23">
      <x:c r="A23" t="str">
        <x:v>10-90 · P4(9/11调仓及动平衡后)</x:v>
      </x:c>
      <x:c r="B23" s="148" t="n">
        <x:v>0.05</x:v>
      </x:c>
      <x:c r="C23" s="148" t="n">
        <x:v>0.05</x:v>
      </x:c>
      <x:c r="D23" s="148" t="n">
        <x:v>0</x:v>
      </x:c>
      <x:c r="E23" s="148" t="n">
        <x:v>0</x:v>
      </x:c>
      <x:c r="F23" s="148" t="n">
        <x:v>0.0125</x:v>
      </x:c>
      <x:c r="G23" s="148" t="n">
        <x:v>0</x:v>
      </x:c>
      <x:c r="H23" s="148" t="n">
        <x:v>0</x:v>
      </x:c>
      <x:c r="I23" s="148" t="n">
        <x:v>0.01</x:v>
      </x:c>
      <x:c r="J23" s="148" t="n">
        <x:v>0</x:v>
      </x:c>
      <x:c r="K23" s="148" t="n">
        <x:v>0.0075</x:v>
      </x:c>
      <x:c r="L23" s="148" t="n">
        <x:v>0</x:v>
      </x:c>
      <x:c r="M23" s="148" t="n">
        <x:v>0.0125</x:v>
      </x:c>
      <x:c r="N23" s="148" t="n">
        <x:v>0</x:v>
      </x:c>
      <x:c r="O23" s="148" t="n">
        <x:v>0.0125</x:v>
      </x:c>
      <x:c r="P23" s="148" t="n">
        <x:v>0</x:v>
      </x:c>
      <x:c r="Q23" s="148" t="n">
        <x:v>0</x:v>
      </x:c>
      <x:c r="R23" s="148" t="n">
        <x:v>0.0125</x:v>
      </x:c>
      <x:c r="S23" s="148" t="n">
        <x:v>0.0125</x:v>
      </x:c>
      <x:c r="T23" s="148" t="n">
        <x:v>0</x:v>
      </x:c>
      <x:c r="U23" s="148" t="n">
        <x:v>0</x:v>
      </x:c>
      <x:c r="V23" s="148" t="n">
        <x:v>0</x:v>
      </x:c>
      <x:c r="W23" s="148" t="n">
        <x:v>0.0125</x:v>
      </x:c>
      <x:c r="X23" s="148" t="n">
        <x:v>0.5</x:v>
      </x:c>
      <x:c r="Y23" s="148" t="n">
        <x:v>0.0075</x:v>
      </x:c>
      <x:c r="Z23" s="148" t="n">
        <x:v>0.15</x:v>
      </x:c>
      <x:c r="AA23" s="148" t="n">
        <x:v>0.15</x:v>
      </x:c>
      <x:c r="AB23" s="148" t="n">
        <x:f>SUM(B23:AA23)</x:f>
        <x:v>1</x:v>
      </x:c>
      <x:c r="AC23" s="149" t="n">
        <x:v>46276</x:v>
      </x:c>
      <x:c r="AD23" s="150" t="e">
        <x:f>$AD$20*SUMPRODUCT($B$20:$AA$20,'实盘净值数据(iFinD公式)'!$B$65:$AA$65/'实盘净值数据(iFinD公式)'!$B$25:$AA$25)</x:f>
        <x:v>#NAME?</x:v>
      </x:c>
    </x:row>
    <x:row r="24">
      <x:c r="A24" t="str">
        <x:v>10-90基石 · P4(9/11调仓及动平衡后)</x:v>
      </x:c>
      <x:c r="B24" s="148" t="n">
        <x:v>0.05</x:v>
      </x:c>
      <x:c r="C24" s="148" t="n">
        <x:v>0.05</x:v>
      </x:c>
      <x:c r="D24" s="148" t="n">
        <x:v>0.01</x:v>
      </x:c>
      <x:c r="E24" s="148" t="n">
        <x:v>0.0125</x:v>
      </x:c>
      <x:c r="F24" s="148" t="n">
        <x:v>0</x:v>
      </x:c>
      <x:c r="G24" s="148" t="n">
        <x:v>0</x:v>
      </x:c>
      <x:c r="H24" s="148" t="n">
        <x:v>0</x:v>
      </x:c>
      <x:c r="I24" s="148" t="n">
        <x:v>0</x:v>
      </x:c>
      <x:c r="J24" s="148" t="n">
        <x:v>0.01</x:v>
      </x:c>
      <x:c r="K24" s="148" t="n">
        <x:v>0</x:v>
      </x:c>
      <x:c r="L24" s="148" t="n">
        <x:v>0.0125</x:v>
      </x:c>
      <x:c r="M24" s="148" t="n">
        <x:v>0</x:v>
      </x:c>
      <x:c r="N24" s="148" t="n">
        <x:v>0.0125</x:v>
      </x:c>
      <x:c r="O24" s="148" t="n">
        <x:v>0</x:v>
      </x:c>
      <x:c r="P24" s="148" t="n">
        <x:v>0.01</x:v>
      </x:c>
      <x:c r="Q24" s="148" t="n">
        <x:v>0.01</x:v>
      </x:c>
      <x:c r="R24" s="148" t="n">
        <x:v>0</x:v>
      </x:c>
      <x:c r="S24" s="148" t="n">
        <x:v>0</x:v>
      </x:c>
      <x:c r="T24" s="148" t="n">
        <x:v>0</x:v>
      </x:c>
      <x:c r="U24" s="148" t="n">
        <x:v>0</x:v>
      </x:c>
      <x:c r="V24" s="148" t="n">
        <x:v>0.0125</x:v>
      </x:c>
      <x:c r="W24" s="148" t="n">
        <x:v>0</x:v>
      </x:c>
      <x:c r="X24" s="148" t="n">
        <x:v>0.5</x:v>
      </x:c>
      <x:c r="Y24" s="148" t="n">
        <x:v>0.01</x:v>
      </x:c>
      <x:c r="Z24" s="148" t="n">
        <x:v>0.15</x:v>
      </x:c>
      <x:c r="AA24" s="148" t="n">
        <x:v>0.15</x:v>
      </x:c>
      <x:c r="AB24" s="148" t="n">
        <x:f>SUM(B24:AA24)</x:f>
        <x:v>1</x:v>
      </x:c>
      <x:c r="AC24" s="149" t="n">
        <x:v>46276</x:v>
      </x:c>
      <x:c r="AD24" s="150" t="e">
        <x:f>$AD$21*SUMPRODUCT($B$21:$AA$21,'实盘净值数据(iFinD公式)'!$B$65:$AA$65/'实盘净值数据(iFinD公式)'!$B$25:$AA$25)</x:f>
        <x:v>#NAME?</x:v>
      </x:c>
    </x:row>
    <x:row r="25">
      <x:c r="A25" t="str">
        <x:v>30-70 · P4(9/11调仓及动平衡后)</x:v>
      </x:c>
      <x:c r="B25" s="148" t="n">
        <x:v>0.1</x:v>
      </x:c>
      <x:c r="C25" s="148" t="n">
        <x:v>0.1</x:v>
      </x:c>
      <x:c r="D25" s="148" t="n">
        <x:v>0</x:v>
      </x:c>
      <x:c r="E25" s="148" t="n">
        <x:v>0</x:v>
      </x:c>
      <x:c r="F25" s="148" t="n">
        <x:v>0.0375</x:v>
      </x:c>
      <x:c r="G25" s="148" t="n">
        <x:v>0</x:v>
      </x:c>
      <x:c r="H25" s="148" t="n">
        <x:v>0</x:v>
      </x:c>
      <x:c r="I25" s="148" t="n">
        <x:v>0.03</x:v>
      </x:c>
      <x:c r="J25" s="148" t="n">
        <x:v>0</x:v>
      </x:c>
      <x:c r="K25" s="148" t="n">
        <x:v>0.025</x:v>
      </x:c>
      <x:c r="L25" s="148" t="n">
        <x:v>0</x:v>
      </x:c>
      <x:c r="M25" s="148" t="n">
        <x:v>0.0375</x:v>
      </x:c>
      <x:c r="N25" s="148" t="n">
        <x:v>0</x:v>
      </x:c>
      <x:c r="O25" s="148" t="n">
        <x:v>0.0375</x:v>
      </x:c>
      <x:c r="P25" s="148" t="n">
        <x:v>0</x:v>
      </x:c>
      <x:c r="Q25" s="148" t="n">
        <x:v>0</x:v>
      </x:c>
      <x:c r="R25" s="148" t="n">
        <x:v>0.035</x:v>
      </x:c>
      <x:c r="S25" s="148" t="n">
        <x:v>0.035</x:v>
      </x:c>
      <x:c r="T25" s="148" t="n">
        <x:v>0</x:v>
      </x:c>
      <x:c r="U25" s="148" t="n">
        <x:v>0</x:v>
      </x:c>
      <x:c r="V25" s="148" t="n">
        <x:v>0</x:v>
      </x:c>
      <x:c r="W25" s="148" t="n">
        <x:v>0.0375</x:v>
      </x:c>
      <x:c r="X25" s="148" t="n">
        <x:v>0.3</x:v>
      </x:c>
      <x:c r="Y25" s="148" t="n">
        <x:v>0.025</x:v>
      </x:c>
      <x:c r="Z25" s="148" t="n">
        <x:v>0.1</x:v>
      </x:c>
      <x:c r="AA25" s="148" t="n">
        <x:v>0.1</x:v>
      </x:c>
      <x:c r="AB25" s="148" t="n">
        <x:f>SUM(B25:AA25)</x:f>
        <x:v>0.9999999999999999</x:v>
      </x:c>
      <x:c r="AC25" s="149" t="n">
        <x:v>46276</x:v>
      </x:c>
      <x:c r="AD25" s="150" t="e">
        <x:f>$AD$22*SUMPRODUCT($B$22:$AA$22,'实盘净值数据(iFinD公式)'!$B$65:$AA$65/'实盘净值数据(iFinD公式)'!$B$25:$AA$25)</x:f>
        <x:v>#NAME?</x:v>
      </x:c>
    </x:row>
    <x:row r="26">
      <x:c r="Z26"/>
      <x:c r="AA26"/>
      <x:c r="AB26"/>
      <x:c r="AC26"/>
      <x:c r="AD26"/>
    </x:row>
    <x:row r="27">
      <x:c r="Z27"/>
      <x:c r="AA27"/>
      <x:c r="AB27"/>
      <x:c r="AC27"/>
      <x:c r="AD27"/>
    </x:row>
    <x:row r="28">
      <x:c r="Z28"/>
      <x:c r="AA28"/>
      <x:c r="AB28"/>
      <x:c r="AC28"/>
      <x:c r="AD28"/>
    </x:row>
    <x:row r="29">
      <x:c r="Z29"/>
      <x:c r="AA29"/>
      <x:c r="AB29"/>
      <x:c r="AC29"/>
      <x:c r="AD29"/>
    </x:row>
    <x:row r="30">
      <x:c r="Z30"/>
      <x:c r="AA30"/>
      <x:c r="AB30"/>
      <x:c r="AC30"/>
      <x:c r="AD30"/>
    </x:row>
    <x:row r="31">
      <x:c r="Z31"/>
      <x:c r="AA31"/>
      <x:c r="AB31"/>
      <x:c r="AC31"/>
      <x:c r="AD31"/>
    </x:row>
    <x:row r="32">
      <x:c r="Z32"/>
      <x:c r="AA32"/>
      <x:c r="AB32"/>
      <x:c r="AC32"/>
      <x:c r="AD32"/>
    </x:row>
    <x:row r="33">
      <x:c r="Z33"/>
      <x:c r="AA33"/>
      <x:c r="AB33"/>
      <x:c r="AC33"/>
      <x:c r="AD33"/>
    </x:row>
    <x:row r="34">
      <x:c r="Z34"/>
      <x:c r="AA34"/>
      <x:c r="AB34"/>
      <x:c r="AC34"/>
      <x:c r="AD34"/>
    </x:row>
    <x:row r="35">
      <x:c r="Z35"/>
      <x:c r="AA35"/>
      <x:c r="AB35"/>
      <x:c r="AC35"/>
      <x:c r="AD35"/>
    </x:row>
    <x:row r="36">
      <x:c r="Z36"/>
      <x:c r="AA36"/>
      <x:c r="AB36"/>
      <x:c r="AC36"/>
      <x:c r="AD36"/>
    </x:row>
    <x:row r="37">
      <x:c r="Z37"/>
      <x:c r="AA37"/>
      <x:c r="AB37"/>
      <x:c r="AC37"/>
      <x:c r="AD37"/>
    </x:row>
    <x:row r="38">
      <x:c r="Z38"/>
      <x:c r="AA38"/>
      <x:c r="AB38"/>
      <x:c r="AC38"/>
      <x:c r="AD38"/>
    </x:row>
    <x:row r="39">
      <x:c r="Z39"/>
      <x:c r="AA39"/>
      <x:c r="AB39"/>
      <x:c r="AC39"/>
      <x:c r="AD39"/>
    </x:row>
    <x:row r="40">
      <x:c r="Z40"/>
      <x:c r="AA40"/>
      <x:c r="AB40"/>
      <x:c r="AC40"/>
      <x:c r="AD40"/>
    </x:row>
    <x:row r="41">
      <x:c r="Z41"/>
      <x:c r="AA41"/>
      <x:c r="AB41"/>
      <x:c r="AC41"/>
      <x:c r="AD41"/>
    </x:row>
    <x:row r="42">
      <x:c r="Z42"/>
      <x:c r="AA42"/>
      <x:c r="AB42"/>
      <x:c r="AC42"/>
      <x:c r="AD42"/>
    </x:row>
    <x:row r="43">
      <x:c r="Z43"/>
      <x:c r="AA43"/>
      <x:c r="AB43"/>
      <x:c r="AC43"/>
      <x:c r="AD43"/>
    </x:row>
    <x:row r="44">
      <x:c r="Z44"/>
      <x:c r="AA44"/>
      <x:c r="AB44"/>
      <x:c r="AC44"/>
      <x:c r="AD44"/>
    </x:row>
    <x:row r="45">
      <x:c r="Z45"/>
      <x:c r="AA45"/>
      <x:c r="AB45"/>
      <x:c r="AC45"/>
      <x:c r="AD45"/>
    </x:row>
    <x:row r="46">
      <x:c r="Z46"/>
      <x:c r="AA46"/>
      <x:c r="AB46"/>
      <x:c r="AC46"/>
      <x:c r="AD46"/>
    </x:row>
    <x:row r="47">
      <x:c r="Z47"/>
      <x:c r="AA47"/>
      <x:c r="AB47"/>
      <x:c r="AC47"/>
      <x:c r="AD47"/>
    </x:row>
    <x:row r="48">
      <x:c r="Z48"/>
      <x:c r="AA48"/>
      <x:c r="AB48"/>
      <x:c r="AC48"/>
      <x:c r="AD48"/>
    </x:row>
    <x:row r="49">
      <x:c r="Z49"/>
      <x:c r="AA49"/>
      <x:c r="AB49"/>
      <x:c r="AC49"/>
      <x:c r="AD49"/>
    </x:row>
    <x:row r="50">
      <x:c r="Z50"/>
      <x:c r="AA50"/>
      <x:c r="AB50"/>
      <x:c r="AC50"/>
      <x:c r="AD50"/>
    </x:row>
    <x:row r="51">
      <x:c r="Z51"/>
      <x:c r="AA51"/>
      <x:c r="AB51"/>
      <x:c r="AC51"/>
      <x:c r="AD51"/>
    </x:row>
    <x:row r="52">
      <x:c r="Z52"/>
      <x:c r="AA52"/>
      <x:c r="AB52"/>
      <x:c r="AC52"/>
      <x:c r="AD52"/>
    </x:row>
    <x:row r="53">
      <x:c r="Z53"/>
      <x:c r="AA53"/>
      <x:c r="AB53"/>
      <x:c r="AC53"/>
      <x:c r="AD53"/>
    </x:row>
    <x:row r="54">
      <x:c r="Z54"/>
      <x:c r="AA54"/>
      <x:c r="AB54"/>
      <x:c r="AC54"/>
      <x:c r="AD54"/>
    </x:row>
    <x:row r="55">
      <x:c r="Z55"/>
      <x:c r="AA55"/>
      <x:c r="AB55"/>
      <x:c r="AC55"/>
      <x:c r="AD55"/>
    </x:row>
    <x:row r="56">
      <x:c r="Z56"/>
      <x:c r="AA56"/>
      <x:c r="AB56"/>
      <x:c r="AC56"/>
      <x:c r="AD56"/>
    </x:row>
    <x:row r="57">
      <x:c r="Z57"/>
      <x:c r="AA57"/>
      <x:c r="AB57"/>
      <x:c r="AC57"/>
      <x:c r="AD57"/>
    </x:row>
    <x:row r="58">
      <x:c r="Z58"/>
      <x:c r="AA58"/>
      <x:c r="AB58"/>
      <x:c r="AC58"/>
      <x:c r="AD58"/>
    </x:row>
    <x:row r="59">
      <x:c r="Z59"/>
      <x:c r="AA59"/>
      <x:c r="AB59"/>
      <x:c r="AC59"/>
      <x:c r="AD59"/>
    </x:row>
    <x:row r="60">
      <x:c r="Z60"/>
      <x:c r="AA60"/>
      <x:c r="AB60"/>
      <x:c r="AC60"/>
      <x:c r="AD60"/>
    </x:row>
    <x:row r="61">
      <x:c r="Z61"/>
      <x:c r="AA61"/>
      <x:c r="AB61"/>
      <x:c r="AC61"/>
      <x:c r="AD61"/>
    </x:row>
    <x:row r="62">
      <x:c r="Z62"/>
      <x:c r="AA62"/>
      <x:c r="AB62"/>
      <x:c r="AC62"/>
      <x:c r="AD62"/>
    </x:row>
    <x:row r="63">
      <x:c r="Z63"/>
      <x:c r="AA63"/>
      <x:c r="AB63"/>
      <x:c r="AC63"/>
      <x:c r="AD63"/>
    </x:row>
    <x:row r="64">
      <x:c r="Z64"/>
      <x:c r="AA64"/>
      <x:c r="AB64"/>
      <x:c r="AC64"/>
      <x:c r="AD64"/>
    </x:row>
    <x:row r="65">
      <x:c r="Z65"/>
      <x:c r="AA65"/>
      <x:c r="AB65"/>
      <x:c r="AC65"/>
      <x:c r="AD65"/>
    </x:row>
    <x:row r="66">
      <x:c r="Z66"/>
      <x:c r="AA66"/>
      <x:c r="AB66"/>
      <x:c r="AC66"/>
      <x:c r="AD66"/>
    </x:row>
    <x:row r="67">
      <x:c r="Z67"/>
      <x:c r="AA67"/>
      <x:c r="AB67"/>
      <x:c r="AC67"/>
      <x:c r="AD67"/>
    </x:row>
    <x:row r="68">
      <x:c r="Z68"/>
      <x:c r="AA68"/>
      <x:c r="AB68"/>
      <x:c r="AC68"/>
      <x:c r="AD68"/>
    </x:row>
    <x:row r="69">
      <x:c r="Z69"/>
      <x:c r="AA69"/>
      <x:c r="AB69"/>
      <x:c r="AC69"/>
      <x:c r="AD69"/>
    </x:row>
    <x:row r="70">
      <x:c r="Z70"/>
      <x:c r="AA70"/>
      <x:c r="AB70"/>
      <x:c r="AC70"/>
      <x:c r="AD70"/>
    </x:row>
    <x:row r="71">
      <x:c r="Z71"/>
      <x:c r="AA71"/>
      <x:c r="AB71"/>
      <x:c r="AC71"/>
      <x:c r="AD71"/>
    </x:row>
    <x:row r="72">
      <x:c r="Z72"/>
      <x:c r="AA72"/>
      <x:c r="AB72"/>
      <x:c r="AC72"/>
      <x:c r="AD72"/>
    </x:row>
    <x:row r="73">
      <x:c r="Z73"/>
      <x:c r="AA73"/>
      <x:c r="AB73"/>
      <x:c r="AC73"/>
      <x:c r="AD73"/>
    </x:row>
    <x:row r="74">
      <x:c r="Z74"/>
      <x:c r="AA74"/>
      <x:c r="AB74"/>
      <x:c r="AC74"/>
      <x:c r="AD74"/>
    </x:row>
    <x:row r="75">
      <x:c r="Z75"/>
      <x:c r="AA75"/>
      <x:c r="AB75"/>
      <x:c r="AC75"/>
      <x:c r="AD75"/>
    </x:row>
    <x:row r="76">
      <x:c r="Z76"/>
      <x:c r="AA76"/>
      <x:c r="AB76"/>
      <x:c r="AC76"/>
      <x:c r="AD76"/>
    </x:row>
    <x:row r="77">
      <x:c r="Z77"/>
      <x:c r="AA77"/>
      <x:c r="AB77"/>
      <x:c r="AC77"/>
      <x:c r="AD77"/>
    </x:row>
    <x:row r="78">
      <x:c r="Z78"/>
      <x:c r="AA78"/>
      <x:c r="AB78"/>
      <x:c r="AC78"/>
      <x:c r="AD78"/>
    </x:row>
    <x:row r="79">
      <x:c r="Z79"/>
      <x:c r="AA79"/>
      <x:c r="AB79"/>
      <x:c r="AC79"/>
      <x:c r="AD79"/>
    </x:row>
    <x:row r="80">
      <x:c r="Z80"/>
      <x:c r="AA80"/>
      <x:c r="AB80"/>
      <x:c r="AC80"/>
      <x:c r="AD80"/>
    </x:row>
    <x:row r="81">
      <x:c r="Z81"/>
      <x:c r="AA81"/>
      <x:c r="AB81"/>
      <x:c r="AC81"/>
      <x:c r="AD81"/>
    </x:row>
    <x:row r="82">
      <x:c r="Z82"/>
      <x:c r="AA82"/>
      <x:c r="AB82"/>
      <x:c r="AC82"/>
      <x:c r="AD82"/>
    </x:row>
    <x:row r="83">
      <x:c r="Z83"/>
      <x:c r="AA83"/>
      <x:c r="AB83"/>
      <x:c r="AC83"/>
      <x:c r="AD83"/>
    </x:row>
    <x:row r="84">
      <x:c r="Z84"/>
      <x:c r="AA84"/>
      <x:c r="AB84"/>
      <x:c r="AC84"/>
      <x:c r="AD84"/>
    </x:row>
    <x:row r="85">
      <x:c r="Z85"/>
      <x:c r="AA85"/>
      <x:c r="AB85"/>
      <x:c r="AC85"/>
      <x:c r="AD85"/>
    </x:row>
    <x:row r="86">
      <x:c r="Z86"/>
      <x:c r="AA86"/>
      <x:c r="AB86"/>
      <x:c r="AC86"/>
      <x:c r="AD86"/>
    </x:row>
    <x:row r="87">
      <x:c r="Z87"/>
      <x:c r="AA87"/>
      <x:c r="AB87"/>
      <x:c r="AC87"/>
      <x:c r="AD87"/>
    </x:row>
    <x:row r="88">
      <x:c r="Z88"/>
      <x:c r="AA88"/>
      <x:c r="AB88"/>
      <x:c r="AC88"/>
      <x:c r="AD88"/>
    </x:row>
    <x:row r="89">
      <x:c r="Z89"/>
      <x:c r="AA89"/>
      <x:c r="AB89"/>
      <x:c r="AC89"/>
      <x:c r="AD89"/>
    </x:row>
    <x:row r="90">
      <x:c r="Z90"/>
      <x:c r="AA90"/>
      <x:c r="AB90"/>
      <x:c r="AC90"/>
      <x:c r="AD90"/>
    </x:row>
    <x:row r="91">
      <x:c r="Z91"/>
      <x:c r="AA91"/>
      <x:c r="AB91"/>
      <x:c r="AC91"/>
      <x:c r="AD91"/>
    </x:row>
    <x:row r="92">
      <x:c r="Z92"/>
      <x:c r="AA92"/>
      <x:c r="AB92"/>
      <x:c r="AC92"/>
      <x:c r="AD92"/>
    </x:row>
    <x:row r="93">
      <x:c r="Z93"/>
      <x:c r="AA93"/>
      <x:c r="AB93"/>
      <x:c r="AC93"/>
      <x:c r="AD93"/>
    </x:row>
    <x:row r="94">
      <x:c r="Z94"/>
      <x:c r="AA94"/>
      <x:c r="AB94"/>
      <x:c r="AC94"/>
      <x:c r="AD94"/>
    </x:row>
    <x:row r="95">
      <x:c r="Z95"/>
      <x:c r="AA95"/>
      <x:c r="AB95"/>
      <x:c r="AC95"/>
      <x:c r="AD95"/>
    </x:row>
    <x:row r="96">
      <x:c r="Z96"/>
      <x:c r="AA96"/>
      <x:c r="AB96"/>
      <x:c r="AC96"/>
      <x:c r="AD96"/>
    </x:row>
    <x:row r="97">
      <x:c r="Z97"/>
      <x:c r="AA97"/>
      <x:c r="AB97"/>
      <x:c r="AC97"/>
      <x:c r="AD97"/>
    </x:row>
    <x:row r="98">
      <x:c r="Z98"/>
      <x:c r="AA98"/>
      <x:c r="AB98"/>
      <x:c r="AC98"/>
      <x:c r="AD98"/>
    </x:row>
    <x:row r="99">
      <x:c r="Z99"/>
      <x:c r="AA99"/>
      <x:c r="AB99"/>
      <x:c r="AC99"/>
      <x:c r="AD99"/>
    </x:row>
    <x:row r="100">
      <x:c r="Z100"/>
      <x:c r="AA100"/>
      <x:c r="AB100"/>
      <x:c r="AC100"/>
      <x:c r="AD100"/>
    </x:row>
    <x:row r="101">
      <x:c r="Z101"/>
      <x:c r="AA101"/>
      <x:c r="AB101"/>
      <x:c r="AC101"/>
      <x:c r="AD101"/>
    </x:row>
    <x:row r="102">
      <x:c r="Z102"/>
      <x:c r="AA102"/>
      <x:c r="AB102"/>
      <x:c r="AC102"/>
      <x:c r="AD102"/>
    </x:row>
    <x:row r="103">
      <x:c r="Z103"/>
      <x:c r="AA103"/>
      <x:c r="AB103"/>
      <x:c r="AC103"/>
      <x:c r="AD103"/>
    </x:row>
    <x:row r="104">
      <x:c r="Z104"/>
      <x:c r="AA104"/>
      <x:c r="AB104"/>
      <x:c r="AC104"/>
      <x:c r="AD104"/>
    </x:row>
    <x:row r="105">
      <x:c r="Z105"/>
      <x:c r="AA105"/>
      <x:c r="AB105"/>
      <x:c r="AC105"/>
      <x:c r="AD105"/>
    </x:row>
    <x:row r="106">
      <x:c r="Z106"/>
      <x:c r="AA106"/>
      <x:c r="AB106"/>
      <x:c r="AC106"/>
      <x:c r="AD106"/>
    </x:row>
    <x:row r="107">
      <x:c r="Z107"/>
      <x:c r="AA107"/>
      <x:c r="AB107"/>
      <x:c r="AC107"/>
      <x:c r="AD107"/>
    </x:row>
    <x:row r="108">
      <x:c r="Z108"/>
      <x:c r="AA108"/>
      <x:c r="AB108"/>
      <x:c r="AC108"/>
      <x:c r="AD108"/>
    </x:row>
    <x:row r="109">
      <x:c r="Z109"/>
      <x:c r="AA109"/>
      <x:c r="AB109"/>
      <x:c r="AC109"/>
      <x:c r="AD109"/>
    </x:row>
    <x:row r="110">
      <x:c r="Z110"/>
      <x:c r="AA110"/>
      <x:c r="AB110"/>
      <x:c r="AC110"/>
      <x:c r="AD110"/>
    </x:row>
    <x:row r="111">
      <x:c r="Z111"/>
      <x:c r="AA111"/>
      <x:c r="AB111"/>
      <x:c r="AC111"/>
      <x:c r="AD111"/>
    </x:row>
    <x:row r="112">
      <x:c r="Z112"/>
      <x:c r="AA112"/>
      <x:c r="AB112"/>
      <x:c r="AC112"/>
      <x:c r="AD112"/>
    </x:row>
    <x:row r="113">
      <x:c r="Z113"/>
      <x:c r="AA113"/>
      <x:c r="AB113"/>
      <x:c r="AC113"/>
      <x:c r="AD113"/>
    </x:row>
    <x:row r="114">
      <x:c r="Z114"/>
      <x:c r="AA114"/>
      <x:c r="AB114"/>
      <x:c r="AC114"/>
      <x:c r="AD114"/>
    </x:row>
    <x:row r="115">
      <x:c r="Z115"/>
      <x:c r="AA115"/>
      <x:c r="AB115"/>
      <x:c r="AC115"/>
      <x:c r="AD115"/>
    </x:row>
    <x:row r="116">
      <x:c r="Z116"/>
      <x:c r="AA116"/>
      <x:c r="AB116"/>
      <x:c r="AC116"/>
      <x:c r="AD116"/>
    </x:row>
    <x:row r="117">
      <x:c r="Z117"/>
      <x:c r="AA117"/>
      <x:c r="AB117"/>
      <x:c r="AC117"/>
      <x:c r="AD117"/>
    </x:row>
    <x:row r="118">
      <x:c r="Z118"/>
      <x:c r="AA118"/>
      <x:c r="AB118"/>
      <x:c r="AC118"/>
      <x:c r="AD118"/>
    </x:row>
    <x:row r="119">
      <x:c r="Z119"/>
      <x:c r="AA119"/>
      <x:c r="AB119"/>
      <x:c r="AC119"/>
      <x:c r="AD119"/>
    </x:row>
    <x:row r="120">
      <x:c r="Z120"/>
      <x:c r="AA120"/>
      <x:c r="AB120"/>
      <x:c r="AC120"/>
      <x:c r="AD120"/>
    </x:row>
    <x:row r="121">
      <x:c r="Z121"/>
      <x:c r="AA121"/>
      <x:c r="AB121"/>
      <x:c r="AC121"/>
      <x:c r="AD121"/>
    </x:row>
    <x:row r="122">
      <x:c r="Z122"/>
      <x:c r="AA122"/>
      <x:c r="AB122"/>
      <x:c r="AC122"/>
      <x:c r="AD122"/>
    </x:row>
    <x:row r="123">
      <x:c r="Z123"/>
      <x:c r="AA123"/>
      <x:c r="AB123"/>
      <x:c r="AC123"/>
      <x:c r="AD123"/>
    </x:row>
    <x:row r="124">
      <x:c r="Z124"/>
      <x:c r="AA124"/>
      <x:c r="AB124"/>
      <x:c r="AC124"/>
      <x:c r="AD124"/>
    </x:row>
    <x:row r="125">
      <x:c r="Z125"/>
      <x:c r="AA125"/>
      <x:c r="AB125"/>
      <x:c r="AC125"/>
      <x:c r="AD125"/>
    </x:row>
    <x:row r="126">
      <x:c r="Z126"/>
      <x:c r="AA126"/>
      <x:c r="AB126"/>
      <x:c r="AC126"/>
      <x:c r="AD126"/>
    </x:row>
    <x:row r="127">
      <x:c r="Z127"/>
      <x:c r="AA127"/>
      <x:c r="AB127"/>
      <x:c r="AC127"/>
      <x:c r="AD127"/>
    </x:row>
    <x:row r="128">
      <x:c r="Z128"/>
      <x:c r="AA128"/>
      <x:c r="AB128"/>
      <x:c r="AC128"/>
      <x:c r="AD128"/>
    </x:row>
    <x:row r="129">
      <x:c r="Z129"/>
      <x:c r="AA129"/>
      <x:c r="AB129"/>
      <x:c r="AC129"/>
      <x:c r="AD129"/>
    </x:row>
    <x:row r="130">
      <x:c r="Z130"/>
      <x:c r="AA130"/>
      <x:c r="AB130"/>
      <x:c r="AC130"/>
      <x:c r="AD130"/>
    </x:row>
    <x:row r="131">
      <x:c r="Z131"/>
      <x:c r="AA131"/>
      <x:c r="AB131"/>
      <x:c r="AC131"/>
      <x:c r="AD131"/>
    </x:row>
    <x:row r="132">
      <x:c r="Z132"/>
      <x:c r="AA132"/>
      <x:c r="AB132"/>
      <x:c r="AC132"/>
      <x:c r="AD132"/>
    </x:row>
    <x:row r="133">
      <x:c r="Z133"/>
      <x:c r="AA133"/>
      <x:c r="AB133"/>
      <x:c r="AC133"/>
      <x:c r="AD133"/>
    </x:row>
    <x:row r="134">
      <x:c r="Z134"/>
      <x:c r="AA134"/>
      <x:c r="AB134"/>
      <x:c r="AC134"/>
      <x:c r="AD134"/>
    </x:row>
    <x:row r="135">
      <x:c r="Z135"/>
      <x:c r="AA135"/>
      <x:c r="AB135"/>
      <x:c r="AC135"/>
      <x:c r="AD135"/>
    </x:row>
    <x:row r="136">
      <x:c r="Z136"/>
      <x:c r="AA136"/>
      <x:c r="AB136"/>
      <x:c r="AC136"/>
      <x:c r="AD136"/>
    </x:row>
    <x:row r="137">
      <x:c r="Z137"/>
      <x:c r="AA137"/>
      <x:c r="AB137"/>
      <x:c r="AC137"/>
      <x:c r="AD137"/>
    </x:row>
    <x:row r="138">
      <x:c r="Z138"/>
      <x:c r="AA138"/>
      <x:c r="AB138"/>
      <x:c r="AC138"/>
      <x:c r="AD138"/>
    </x:row>
    <x:row r="139">
      <x:c r="Z139"/>
      <x:c r="AA139"/>
      <x:c r="AB139"/>
      <x:c r="AC139"/>
      <x:c r="AD139"/>
    </x:row>
    <x:row r="140">
      <x:c r="Z140"/>
      <x:c r="AA140"/>
      <x:c r="AB140"/>
      <x:c r="AC140"/>
      <x:c r="AD140"/>
    </x:row>
    <x:row r="141">
      <x:c r="Z141"/>
      <x:c r="AA141"/>
      <x:c r="AB141"/>
      <x:c r="AC141"/>
      <x:c r="AD141"/>
    </x:row>
    <x:row r="142">
      <x:c r="Z142"/>
      <x:c r="AA142"/>
      <x:c r="AB142"/>
      <x:c r="AC142"/>
      <x:c r="AD142"/>
    </x:row>
    <x:row r="143">
      <x:c r="Z143"/>
      <x:c r="AA143"/>
      <x:c r="AB143"/>
      <x:c r="AC143"/>
      <x:c r="AD143"/>
    </x:row>
    <x:row r="144">
      <x:c r="Z144"/>
      <x:c r="AA144"/>
      <x:c r="AB144"/>
      <x:c r="AC144"/>
      <x:c r="AD144"/>
    </x:row>
    <x:row r="145">
      <x:c r="Z145"/>
      <x:c r="AA145"/>
      <x:c r="AB145"/>
      <x:c r="AC145"/>
      <x:c r="AD145"/>
    </x:row>
    <x:row r="146">
      <x:c r="Z146"/>
      <x:c r="AA146"/>
      <x:c r="AB146"/>
      <x:c r="AC146"/>
      <x:c r="AD146"/>
    </x:row>
    <x:row r="147">
      <x:c r="Z147"/>
      <x:c r="AA147"/>
      <x:c r="AB147"/>
      <x:c r="AC147"/>
      <x:c r="AD147"/>
    </x:row>
    <x:row r="148">
      <x:c r="Z148"/>
      <x:c r="AA148"/>
      <x:c r="AB148"/>
      <x:c r="AC148"/>
      <x:c r="AD148"/>
    </x:row>
    <x:row r="149">
      <x:c r="Z149"/>
      <x:c r="AA149"/>
      <x:c r="AB149"/>
      <x:c r="AC149"/>
      <x:c r="AD149"/>
    </x:row>
    <x:row r="150">
      <x:c r="Z150"/>
      <x:c r="AA150"/>
      <x:c r="AB150"/>
      <x:c r="AC150"/>
      <x:c r="AD150"/>
    </x:row>
    <x:row r="151">
      <x:c r="Z151"/>
      <x:c r="AA151"/>
      <x:c r="AB151"/>
      <x:c r="AC151"/>
      <x:c r="AD151"/>
    </x:row>
    <x:row r="152">
      <x:c r="Z152"/>
      <x:c r="AA152"/>
      <x:c r="AB152"/>
      <x:c r="AC152"/>
      <x:c r="AD152"/>
    </x:row>
    <x:row r="153">
      <x:c r="Z153"/>
      <x:c r="AA153"/>
      <x:c r="AB153"/>
      <x:c r="AC153"/>
      <x:c r="AD153"/>
    </x:row>
    <x:row r="154">
      <x:c r="Z154"/>
      <x:c r="AA154"/>
      <x:c r="AB154"/>
      <x:c r="AC154"/>
      <x:c r="AD154"/>
    </x:row>
    <x:row r="155">
      <x:c r="Z155"/>
      <x:c r="AA155"/>
      <x:c r="AB155"/>
      <x:c r="AC155"/>
      <x:c r="AD155"/>
    </x:row>
    <x:row r="156">
      <x:c r="Z156"/>
      <x:c r="AA156"/>
      <x:c r="AB156"/>
      <x:c r="AC156"/>
      <x:c r="AD156"/>
    </x:row>
    <x:row r="157">
      <x:c r="Z157"/>
      <x:c r="AA157"/>
      <x:c r="AB157"/>
      <x:c r="AC157"/>
      <x:c r="AD157"/>
    </x:row>
    <x:row r="158">
      <x:c r="Z158"/>
      <x:c r="AA158"/>
      <x:c r="AB158"/>
      <x:c r="AC158"/>
      <x:c r="AD158"/>
    </x:row>
    <x:row r="159">
      <x:c r="Z159"/>
      <x:c r="AA159"/>
      <x:c r="AB159"/>
      <x:c r="AC159"/>
      <x:c r="AD159"/>
    </x:row>
    <x:row r="160">
      <x:c r="Z160"/>
      <x:c r="AA160"/>
      <x:c r="AB160"/>
      <x:c r="AC160"/>
      <x:c r="AD160"/>
    </x:row>
    <x:row r="161">
      <x:c r="Z161"/>
      <x:c r="AA161"/>
      <x:c r="AB161"/>
      <x:c r="AC161"/>
      <x:c r="AD161"/>
    </x:row>
    <x:row r="162">
      <x:c r="Z162"/>
      <x:c r="AA162"/>
      <x:c r="AB162"/>
      <x:c r="AC162"/>
      <x:c r="AD162"/>
    </x:row>
    <x:row r="163">
      <x:c r="Z163"/>
      <x:c r="AA163"/>
      <x:c r="AB163"/>
      <x:c r="AC163"/>
      <x:c r="AD163"/>
    </x:row>
    <x:row r="164">
      <x:c r="Z164"/>
      <x:c r="AA164"/>
      <x:c r="AB164"/>
      <x:c r="AC164"/>
      <x:c r="AD164"/>
    </x:row>
    <x:row r="165">
      <x:c r="Z165"/>
      <x:c r="AA165"/>
      <x:c r="AB165"/>
      <x:c r="AC165"/>
      <x:c r="AD165"/>
    </x:row>
    <x:row r="166">
      <x:c r="Z166"/>
      <x:c r="AA166"/>
      <x:c r="AB166"/>
      <x:c r="AC166"/>
      <x:c r="AD166"/>
    </x:row>
    <x:row r="167">
      <x:c r="Z167"/>
      <x:c r="AA167"/>
      <x:c r="AB167"/>
      <x:c r="AC167"/>
      <x:c r="AD167"/>
    </x:row>
    <x:row r="168">
      <x:c r="Z168"/>
      <x:c r="AA168"/>
      <x:c r="AB168"/>
      <x:c r="AC168"/>
      <x:c r="AD168"/>
    </x:row>
    <x:row r="169">
      <x:c r="Z169"/>
      <x:c r="AA169"/>
      <x:c r="AB169"/>
      <x:c r="AC169"/>
      <x:c r="AD169"/>
    </x:row>
    <x:row r="170">
      <x:c r="Z170"/>
      <x:c r="AA170"/>
      <x:c r="AB170"/>
      <x:c r="AC170"/>
      <x:c r="AD170"/>
    </x:row>
    <x:row r="171">
      <x:c r="Z171"/>
      <x:c r="AA171"/>
      <x:c r="AB171"/>
      <x:c r="AC171"/>
      <x:c r="AD171"/>
    </x:row>
    <x:row r="172">
      <x:c r="Z172"/>
      <x:c r="AA172"/>
      <x:c r="AB172"/>
      <x:c r="AC172"/>
      <x:c r="AD172"/>
    </x:row>
    <x:row r="173">
      <x:c r="Z173"/>
      <x:c r="AA173"/>
      <x:c r="AB173"/>
      <x:c r="AC173"/>
      <x:c r="AD173"/>
    </x:row>
    <x:row r="174">
      <x:c r="Z174"/>
      <x:c r="AA174"/>
      <x:c r="AB174"/>
      <x:c r="AC174"/>
      <x:c r="AD174"/>
    </x:row>
    <x:row r="175">
      <x:c r="Z175"/>
      <x:c r="AA175"/>
      <x:c r="AB175"/>
      <x:c r="AC175"/>
      <x:c r="AD175"/>
    </x:row>
    <x:row r="176">
      <x:c r="Z176"/>
      <x:c r="AA176"/>
      <x:c r="AB176"/>
      <x:c r="AC176"/>
      <x:c r="AD176"/>
    </x:row>
    <x:row r="177">
      <x:c r="Z177"/>
      <x:c r="AA177"/>
      <x:c r="AB177"/>
      <x:c r="AC177"/>
      <x:c r="AD177"/>
    </x:row>
    <x:row r="178">
      <x:c r="Z178"/>
      <x:c r="AA178"/>
      <x:c r="AB178"/>
      <x:c r="AC178"/>
      <x:c r="AD178"/>
    </x:row>
    <x:row r="179">
      <x:c r="Z179"/>
      <x:c r="AA179"/>
      <x:c r="AB179"/>
      <x:c r="AC179"/>
      <x:c r="AD179"/>
    </x:row>
    <x:row r="180">
      <x:c r="Z180"/>
      <x:c r="AA180"/>
      <x:c r="AB180"/>
      <x:c r="AC180"/>
      <x:c r="AD180"/>
    </x:row>
    <x:row r="181">
      <x:c r="Z181"/>
      <x:c r="AA181"/>
      <x:c r="AB181"/>
      <x:c r="AC181"/>
      <x:c r="AD181"/>
    </x:row>
    <x:row r="182">
      <x:c r="Z182"/>
      <x:c r="AA182"/>
      <x:c r="AB182"/>
      <x:c r="AC182"/>
      <x:c r="AD182"/>
    </x:row>
    <x:row r="183">
      <x:c r="Z183"/>
      <x:c r="AA183"/>
      <x:c r="AB183"/>
      <x:c r="AC183"/>
      <x:c r="AD183"/>
    </x:row>
    <x:row r="184">
      <x:c r="Z184"/>
      <x:c r="AA184"/>
      <x:c r="AB184"/>
      <x:c r="AC184"/>
      <x:c r="AD184"/>
    </x:row>
    <x:row r="185">
      <x:c r="Z185"/>
      <x:c r="AA185"/>
      <x:c r="AB185"/>
      <x:c r="AC185"/>
      <x:c r="AD185"/>
    </x:row>
    <x:row r="186">
      <x:c r="Z186"/>
      <x:c r="AA186"/>
      <x:c r="AB186"/>
      <x:c r="AC186"/>
      <x:c r="AD186"/>
    </x:row>
    <x:row r="187">
      <x:c r="Z187"/>
      <x:c r="AA187"/>
      <x:c r="AB187"/>
      <x:c r="AC187"/>
      <x:c r="AD187"/>
    </x:row>
    <x:row r="188">
      <x:c r="Z188"/>
      <x:c r="AA188"/>
      <x:c r="AB188"/>
      <x:c r="AC188"/>
      <x:c r="AD188"/>
    </x:row>
    <x:row r="189">
      <x:c r="Z189"/>
      <x:c r="AA189"/>
      <x:c r="AB189"/>
      <x:c r="AC189"/>
      <x:c r="AD189"/>
    </x:row>
    <x:row r="190">
      <x:c r="Z190"/>
      <x:c r="AA190"/>
      <x:c r="AB190"/>
      <x:c r="AC190"/>
      <x:c r="AD190"/>
    </x:row>
    <x:row r="191">
      <x:c r="Z191"/>
      <x:c r="AA191"/>
      <x:c r="AB191"/>
      <x:c r="AC191"/>
      <x:c r="AD191"/>
    </x:row>
    <x:row r="192">
      <x:c r="Z192"/>
      <x:c r="AA192"/>
      <x:c r="AB192"/>
      <x:c r="AC192"/>
      <x:c r="AD192"/>
    </x:row>
    <x:row r="193">
      <x:c r="Z193"/>
      <x:c r="AA193"/>
      <x:c r="AB193"/>
      <x:c r="AC193"/>
      <x:c r="AD193"/>
    </x:row>
    <x:row r="194">
      <x:c r="Z194"/>
      <x:c r="AA194"/>
      <x:c r="AB194"/>
      <x:c r="AC194"/>
      <x:c r="AD194"/>
    </x:row>
    <x:row r="195">
      <x:c r="Z195"/>
      <x:c r="AA195"/>
      <x:c r="AB195"/>
      <x:c r="AC195"/>
      <x:c r="AD195"/>
    </x:row>
    <x:row r="196">
      <x:c r="Z196"/>
      <x:c r="AA196"/>
      <x:c r="AB196"/>
      <x:c r="AC196"/>
      <x:c r="AD196"/>
    </x:row>
    <x:row r="197">
      <x:c r="Z197"/>
      <x:c r="AA197"/>
      <x:c r="AB197"/>
      <x:c r="AC197"/>
      <x:c r="AD197"/>
    </x:row>
    <x:row r="198">
      <x:c r="Z198"/>
      <x:c r="AA198"/>
      <x:c r="AB198"/>
      <x:c r="AC198"/>
      <x:c r="AD198"/>
    </x:row>
    <x:row r="199">
      <x:c r="Z199"/>
      <x:c r="AA199"/>
      <x:c r="AB199"/>
      <x:c r="AC199"/>
      <x:c r="AD199"/>
    </x:row>
    <x:row r="200">
      <x:c r="Z200"/>
      <x:c r="AA200"/>
      <x:c r="AB200"/>
      <x:c r="AC200"/>
      <x:c r="AD200"/>
    </x:row>
  </x:sheetData>
  <x:mergeCells>
    <x:mergeCell ref="A1:A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6.450000762939453" hidden="0" customWidth="1"/>
    <x:col min="4" max="4" width="22.450000762939453" hidden="0" customWidth="1"/>
    <x:col min="5" max="5" width="17.450000762939453" hidden="0" customWidth="1"/>
    <x:col min="6" max="6" width="19.270000457763672" hidden="0" customWidth="1"/>
    <x:col min="7" max="7" width="15.449999809265137" hidden="0" customWidth="1"/>
    <x:col min="8" max="8" width="2.180000066757202" hidden="0" customWidth="1"/>
  </x:cols>
  <x:sheetData>
    <x:row r="2" ht="20.25" hidden="0" customHeight="1">
      <x:c r="B2" s="120" t="s">
        <x:v>417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"&amp;TEXT(实盘持仓初始配置!$Z$4,"0.0%")&amp;"（折每日计入净值）"</x:f>
        <x:v>#NAME?</x:v>
      </x:c>
      <x:c r="C3" s="121"/>
      <x:c r="D3" s="121"/>
      <x:c r="E3" s="122" t="e">
        <x:f aca="0">"净值日期："&amp;TEXT(LOOKUP(2,1/(实盘组合净值!$B$5:$B$1000&lt;&gt;""),实盘组合净值!$A$5:$A$1000),"yyyy-mm-dd")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LOOKUP(2,1/(实盘组合净值!$B$5:$B$1000&lt;&gt;""),实盘组合净值!$B$5:$B$1000)</x:f>
        <x:v>#NAME?</x:v>
      </x:c>
      <x:c r="C7" s="126" t="e">
        <x:f aca="0">(LOOKUP(2,1/(实盘组合净值!$B$5:$B$1000&lt;&gt;""),实盘组合净值!$B$5:$B$1000))/1-1</x:f>
        <x:v>#NAME?</x:v>
      </x:c>
      <x:c r="D7" s="126" t="e">
        <x:f aca="0">(LOOKUP(2,1/(实盘组合净值!$B$5:$B$1000&lt;&gt;""),实盘组合净值!$B$5:$B$1000)/1)^(说明!$C$17/MAX(COUNT(实盘组合净值!$C$5:$C$1000),1))-1</x:f>
        <x:v>#NAME?</x:v>
      </x:c>
      <x:c r="E7" s="127" t="e">
        <x:f aca="0">STDEV(实盘组合净值!$C$5:$C$1000)*SQRT(说明!$C$17)</x:f>
        <x:v>#NAME?</x:v>
      </x:c>
      <x:c r="F7" s="126" t="e">
        <x:f aca="0">MIN(实盘组合净值!$D$5:$D$1000)</x:f>
        <x:v>#NAME?</x:v>
      </x:c>
      <x:c r="G7" s="128" t="e">
        <x:f aca="0">(((LOOKUP(2,1/(实盘组合净值!$B$5:$B$1000&lt;&gt;""),实盘组合净值!$B$5:$B$1000)/1)^(说明!$C$17/MAX(COUNT(实盘组合净值!$C$5:$C$1000),1))-1)-说明!$C$16)/IF((STDEV(实盘组合净值!$C$5:$C$1000)*SQRT(说明!$C$17))=0,"",(STDEV(实盘组合净值!$C$5:$C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IFERROR((LOOKUP(2,1/(实盘组合净值!$B$5:$B$1000&lt;&gt;""),实盘组合净值!$B$5:$B$1000))/(1)-1,"")</x:f>
        <x:v>#NAME?</x:v>
      </x:c>
      <x:c r="D11" s="130" t="e">
        <x:f aca="0">IFERROR((LOOKUP(2,1/(实盘组合净值!$B$5:$B$1000&lt;&gt;""),实盘组合净值!$B$5:$B$1000)/(1))^(说明!$C$17/COUNT(实盘组合净值!$C$5:$C$1000))-1,"")</x:f>
        <x:v>#NAME?</x:v>
      </x:c>
      <x:c r="E11" s="129" t="s">
        <x:v>254</x:v>
      </x:c>
      <x:c r="F11" s="129"/>
      <x:c r="G11" s="130" t="e">
        <x:f aca="0">MIN(实盘组合净值!$D$5:$D$1000)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IFERROR((LOOKUP(2,1/(实盘组合净值!$B$5:$B$1000&lt;&gt;""),实盘组合净值!$B$5:$B$1000))/(IFERROR(LOOKUP(DATE(2026,1,1),实盘组合净值!$A$5:$A$1000,实盘组合净值!$B$5:$B$1000),1))-1,"")</x:f>
        <x:v>#NAME?</x:v>
      </x:c>
      <x:c r="D12" s="130" t="e">
        <x:f aca="0">IFERROR((LOOKUP(2,1/(实盘组合净值!$B$5:$B$1000&lt;&gt;""),实盘组合净值!$B$5:$B$1000)/(IFERROR(LOOKUP(DATE(2026,1,1),实盘组合净值!$A$5:$A$1000,实盘组合净值!$B$5:$B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IFERROR((LOOKUP(2,1/(实盘组合净值!$B$5:$B$1000&lt;&gt;""),ROW(实盘组合净值!$B$5:$B$1000)))-(LOOKUP(2,1/(实盘组合净值!$D$5:$D$1000=0),ROW(实盘组合净值!$D$5:$D$1000))),"")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B$5:$B$1000&lt;&gt;""),实盘组合净值!$B$5:$B$1000))/(IFERROR(LOOKUP(EDATE(LOOKUP(2,1/(实盘组合净值!$B$5:$B$1000&lt;&gt;""),实盘组合净值!$A$5:$A$1000),-3),实盘组合净值!$A$5:$A$1000,实盘组合净值!$B$5:$B$1000),1))-1,"")</x:f>
        <x:v>#NAME?</x:v>
      </x:c>
      <x:c r="D13" s="130" t="e">
        <x:f aca="0">IFERROR((LOOKUP(2,1/(实盘组合净值!$B$5:$B$1000&lt;&gt;""),实盘组合净值!$B$5:$B$1000)/(IFERROR(LOOKUP(EDATE(LOOKUP(2,1/(实盘组合净值!$B$5:$B$1000&lt;&gt;""),实盘组合净值!$A$5:$A$1000),-3),实盘组合净值!$A$5:$A$1000,实盘组合净值!$B$5:$B$1000),1)))^(说明!$C$17/MAX(COUNTIF(实盘组合净值!$A$5:$A$1000,"&gt;="&amp;(EDATE(LOOKUP(2,1/(实盘组合净值!$B$5:$B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COUNTIF(实盘组合净值!$C$5:$C$1000,"&gt;0")/MAX(COUNT(实盘组合净值!$C$5:$C$1000),1)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B$5:$B$1000&lt;&gt;""),实盘组合净值!$B$5:$B$1000))/(IFERROR(LOOKUP(EDATE(LOOKUP(2,1/(实盘组合净值!$B$5:$B$1000&lt;&gt;""),实盘组合净值!$A$5:$A$1000),-6),实盘组合净值!$A$5:$A$1000,实盘组合净值!$B$5:$B$1000),1))-1,"")</x:f>
        <x:v>#NAME?</x:v>
      </x:c>
      <x:c r="D14" s="130" t="e">
        <x:f aca="0">IFERROR((LOOKUP(2,1/(实盘组合净值!$B$5:$B$1000&lt;&gt;""),实盘组合净值!$B$5:$B$1000)/(IFERROR(LOOKUP(EDATE(LOOKUP(2,1/(实盘组合净值!$B$5:$B$1000&lt;&gt;""),实盘组合净值!$A$5:$A$1000),-6),实盘组合净值!$A$5:$A$1000,实盘组合净值!$B$5:$B$1000),1)))^(说明!$C$17/MAX(COUNTIF(实盘组合净值!$A$5:$A$1000,"&gt;="&amp;(EDATE(LOOKUP(2,1/(实盘组合净值!$B$5:$B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STDEV(实盘组合净值!$C$5:$C$1000)*SQRT(说明!$C$17)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B$5:$B$1000&lt;&gt;""),实盘组合净值!$B$5:$B$1000))/(IFERROR(LOOKUP(EDATE(LOOKUP(2,1/(实盘组合净值!$B$5:$B$1000&lt;&gt;""),实盘组合净值!$A$5:$A$1000),-12),实盘组合净值!$A$5:$A$1000,实盘组合净值!$B$5:$B$1000),1))-1,"")</x:f>
        <x:v>#NAME?</x:v>
      </x:c>
      <x:c r="D15" s="130" t="e">
        <x:f aca="0">IFERROR((LOOKUP(2,1/(实盘组合净值!$B$5:$B$1000&lt;&gt;""),实盘组合净值!$B$5:$B$1000)/(IFERROR(LOOKUP(EDATE(LOOKUP(2,1/(实盘组合净值!$B$5:$B$1000&lt;&gt;""),实盘组合净值!$A$5:$A$1000),-12),实盘组合净值!$A$5:$A$1000,实盘组合净值!$B$5:$B$1000),1)))^(说明!$C$17/MAX(COUNTIF(实盘组合净值!$A$5:$A$1000,"&gt;="&amp;(EDATE(LOOKUP(2,1/(实盘组合净值!$B$5:$B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B$5:$B$1000&lt;&gt;""),实盘组合净值!$B$5:$B$1000)/1)^(说明!$C$17/MAX(COUNT(实盘组合净值!$C$5:$C$1000),1))-1)-说明!$C$16)/IF((STDEV(实盘组合净值!$C$5:$C$1000)*SQRT(说明!$C$17))=0,"",(STDEV(实盘组合净值!$C$5:$C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IFERROR(((LOOKUP(2,1/(实盘组合净值!$B$5:$B$1000&lt;&gt;""),实盘组合净值!$B$5:$B$1000)/1)^(说明!$C$17/MAX(COUNT(实盘组合净值!$C$5:$C$1000),1))-1)/ABS(MIN(实盘组合净值!$D$5:$D$1000)),"")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c6aa956b3bcb4a9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9.450000762939453" hidden="0" customWidth="1"/>
    <x:col min="4" max="4" width="21.450000762939453" hidden="0" customWidth="1"/>
    <x:col min="5" max="5" width="17.450000762939453" hidden="0" customWidth="1"/>
    <x:col min="6" max="6" width="19.270000457763672" hidden="0" customWidth="1"/>
    <x:col min="7" max="7" width="18.270000457763672" hidden="0" customWidth="1"/>
    <x:col min="8" max="8" width="2.180000066757202" hidden="0" customWidth="1"/>
  </x:cols>
  <x:sheetData>
    <x:row r="2" ht="20.25" hidden="0" customHeight="1">
      <x:c r="B2" s="120" t="s">
        <x:v>435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"&amp;TEXT(实盘持仓初始配置!$Z$5,"0.0%")&amp;"（折每日计入净值）"</x:f>
        <x:v>#NAME?</x:v>
      </x:c>
      <x:c r="C3" s="121"/>
      <x:c r="D3" s="121"/>
      <x:c r="E3" s="122" t="e">
        <x:f aca="0">"净值日期："&amp;TEXT(LOOKUP(2,1/(实盘组合净值!$E$5:$E$1000&lt;&gt;""),实盘组合净值!$A$5:$A$1000),"yyyy-mm-dd")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LOOKUP(2,1/(实盘组合净值!$E$5:$E$1000&lt;&gt;""),实盘组合净值!$E$5:$E$1000)</x:f>
        <x:v>#NAME?</x:v>
      </x:c>
      <x:c r="C7" s="126" t="e">
        <x:f aca="0">(LOOKUP(2,1/(实盘组合净值!$E$5:$E$1000&lt;&gt;""),实盘组合净值!$E$5:$E$1000))/1-1</x:f>
        <x:v>#NAME?</x:v>
      </x:c>
      <x:c r="D7" s="126" t="e">
        <x:f aca="0">(LOOKUP(2,1/(实盘组合净值!$E$5:$E$1000&lt;&gt;""),实盘组合净值!$E$5:$E$1000)/1)^(说明!$C$17/MAX(COUNT(实盘组合净值!$F$5:$F$1000),1))-1</x:f>
        <x:v>#NAME?</x:v>
      </x:c>
      <x:c r="E7" s="127" t="e">
        <x:f aca="0">STDEV(实盘组合净值!$F$5:$F$1000)*SQRT(说明!$C$17)</x:f>
        <x:v>#NAME?</x:v>
      </x:c>
      <x:c r="F7" s="126" t="e">
        <x:f aca="0">MIN(实盘组合净值!$G$5:$G$1000)</x:f>
        <x:v>#NAME?</x:v>
      </x:c>
      <x:c r="G7" s="128" t="e">
        <x:f aca="0">(((LOOKUP(2,1/(实盘组合净值!$E$5:$E$1000&lt;&gt;""),实盘组合净值!$E$5:$E$1000)/1)^(说明!$C$17/MAX(COUNT(实盘组合净值!$F$5:$F$1000),1))-1)-说明!$C$16)/IF((STDEV(实盘组合净值!$F$5:$F$1000)*SQRT(说明!$C$17))=0,"",(STDEV(实盘组合净值!$F$5:$F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IFERROR((LOOKUP(2,1/(实盘组合净值!$E$5:$E$1000&lt;&gt;""),实盘组合净值!$E$5:$E$1000))/(1)-1,"")</x:f>
        <x:v>#NAME?</x:v>
      </x:c>
      <x:c r="D11" s="130" t="e">
        <x:f aca="0">IFERROR((LOOKUP(2,1/(实盘组合净值!$E$5:$E$1000&lt;&gt;""),实盘组合净值!$E$5:$E$1000)/(1))^(说明!$C$17/COUNT(实盘组合净值!$F$5:$F$1000))-1,"")</x:f>
        <x:v>#NAME?</x:v>
      </x:c>
      <x:c r="E11" s="129" t="s">
        <x:v>254</x:v>
      </x:c>
      <x:c r="F11" s="129"/>
      <x:c r="G11" s="130" t="e">
        <x:f aca="0">MIN(实盘组合净值!$G$5:$G$1000)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IFERROR((LOOKUP(2,1/(实盘组合净值!$E$5:$E$1000&lt;&gt;""),实盘组合净值!$E$5:$E$1000))/(IFERROR(LOOKUP(DATE(2026,1,1),实盘组合净值!$A$5:$A$1000,实盘组合净值!$E$5:$E$1000),1))-1,"")</x:f>
        <x:v>#NAME?</x:v>
      </x:c>
      <x:c r="D12" s="130" t="e">
        <x:f aca="0">IFERROR((LOOKUP(2,1/(实盘组合净值!$E$5:$E$1000&lt;&gt;""),实盘组合净值!$E$5:$E$1000)/(IFERROR(LOOKUP(DATE(2026,1,1),实盘组合净值!$A$5:$A$1000,实盘组合净值!$E$5:$E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IFERROR((LOOKUP(2,1/(实盘组合净值!$E$5:$E$1000&lt;&gt;""),ROW(实盘组合净值!$E$5:$E$1000)))-(LOOKUP(2,1/(实盘组合净值!$G$5:$G$1000=0),ROW(实盘组合净值!$G$5:$G$1000))),"")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E$5:$E$1000&lt;&gt;""),实盘组合净值!$E$5:$E$1000))/(IFERROR(LOOKUP(EDATE(LOOKUP(2,1/(实盘组合净值!$E$5:$E$1000&lt;&gt;""),实盘组合净值!$A$5:$A$1000),-3),实盘组合净值!$A$5:$A$1000,实盘组合净值!$E$5:$E$1000),1))-1,"")</x:f>
        <x:v>#NAME?</x:v>
      </x:c>
      <x:c r="D13" s="130" t="e">
        <x:f aca="0">IFERROR((LOOKUP(2,1/(实盘组合净值!$E$5:$E$1000&lt;&gt;""),实盘组合净值!$E$5:$E$1000)/(IFERROR(LOOKUP(EDATE(LOOKUP(2,1/(实盘组合净值!$E$5:$E$1000&lt;&gt;""),实盘组合净值!$A$5:$A$1000),-3),实盘组合净值!$A$5:$A$1000,实盘组合净值!$E$5:$E$1000),1)))^(说明!$C$17/MAX(COUNTIF(实盘组合净值!$A$5:$A$1000,"&gt;="&amp;(EDATE(LOOKUP(2,1/(实盘组合净值!$E$5:$E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COUNTIF(实盘组合净值!$F$5:$F$1000,"&gt;0")/MAX(COUNT(实盘组合净值!$F$5:$F$1000),1)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E$5:$E$1000&lt;&gt;""),实盘组合净值!$E$5:$E$1000))/(IFERROR(LOOKUP(EDATE(LOOKUP(2,1/(实盘组合净值!$E$5:$E$1000&lt;&gt;""),实盘组合净值!$A$5:$A$1000),-6),实盘组合净值!$A$5:$A$1000,实盘组合净值!$E$5:$E$1000),1))-1,"")</x:f>
        <x:v>#NAME?</x:v>
      </x:c>
      <x:c r="D14" s="130" t="e">
        <x:f aca="0">IFERROR((LOOKUP(2,1/(实盘组合净值!$E$5:$E$1000&lt;&gt;""),实盘组合净值!$E$5:$E$1000)/(IFERROR(LOOKUP(EDATE(LOOKUP(2,1/(实盘组合净值!$E$5:$E$1000&lt;&gt;""),实盘组合净值!$A$5:$A$1000),-6),实盘组合净值!$A$5:$A$1000,实盘组合净值!$E$5:$E$1000),1)))^(说明!$C$17/MAX(COUNTIF(实盘组合净值!$A$5:$A$1000,"&gt;="&amp;(EDATE(LOOKUP(2,1/(实盘组合净值!$E$5:$E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STDEV(实盘组合净值!$F$5:$F$1000)*SQRT(说明!$C$17)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E$5:$E$1000&lt;&gt;""),实盘组合净值!$E$5:$E$1000))/(IFERROR(LOOKUP(EDATE(LOOKUP(2,1/(实盘组合净值!$E$5:$E$1000&lt;&gt;""),实盘组合净值!$A$5:$A$1000),-12),实盘组合净值!$A$5:$A$1000,实盘组合净值!$E$5:$E$1000),1))-1,"")</x:f>
        <x:v>#NAME?</x:v>
      </x:c>
      <x:c r="D15" s="130" t="e">
        <x:f aca="0">IFERROR((LOOKUP(2,1/(实盘组合净值!$E$5:$E$1000&lt;&gt;""),实盘组合净值!$E$5:$E$1000)/(IFERROR(LOOKUP(EDATE(LOOKUP(2,1/(实盘组合净值!$E$5:$E$1000&lt;&gt;""),实盘组合净值!$A$5:$A$1000),-12),实盘组合净值!$A$5:$A$1000,实盘组合净值!$E$5:$E$1000),1)))^(说明!$C$17/MAX(COUNTIF(实盘组合净值!$A$5:$A$1000,"&gt;="&amp;(EDATE(LOOKUP(2,1/(实盘组合净值!$E$5:$E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E$5:$E$1000&lt;&gt;""),实盘组合净值!$E$5:$E$1000)/1)^(说明!$C$17/MAX(COUNT(实盘组合净值!$F$5:$F$1000),1))-1)-说明!$C$16)/IF((STDEV(实盘组合净值!$F$5:$F$1000)*SQRT(说明!$C$17))=0,"",(STDEV(实盘组合净值!$F$5:$F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IFERROR(((LOOKUP(2,1/(实盘组合净值!$E$5:$E$1000&lt;&gt;""),实盘组合净值!$E$5:$E$1000)/1)^(说明!$C$17/MAX(COUNT(实盘组合净值!$F$5:$F$1000),1))-1)/ABS(MIN(实盘组合净值!$G$5:$G$1000)),"")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f2dc5b4824dd49a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6.450000762939453" hidden="0" customWidth="1"/>
    <x:col min="4" max="4" width="27.270000457763672" hidden="0" customWidth="1"/>
    <x:col min="5" max="5" width="17.450000762939453" hidden="0" customWidth="1"/>
    <x:col min="6" max="6" width="19.270000457763672" hidden="0" customWidth="1"/>
    <x:col min="7" max="7" width="19.18000030517578" hidden="0" customWidth="1"/>
    <x:col min="8" max="8" width="2.180000066757202" hidden="0" customWidth="1"/>
  </x:cols>
  <x:sheetData>
    <x:row r="2" ht="20.25" hidden="0" customHeight="1">
      <x:c r="B2" s="120" t="s">
        <x:v>436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"&amp;TEXT(实盘持仓初始配置!$Z$6,"0.0%")&amp;"（折每日计入净值）"</x:f>
        <x:v>#NAME?</x:v>
      </x:c>
      <x:c r="C3" s="121"/>
      <x:c r="D3" s="121"/>
      <x:c r="E3" s="122" t="e">
        <x:f aca="0">"净值日期："&amp;TEXT(LOOKUP(2,1/(实盘组合净值!$H$5:$H$1000&lt;&gt;""),实盘组合净值!$A$5:$A$1000),"yyyy-mm-dd")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LOOKUP(2,1/(实盘组合净值!$H$5:$H$1000&lt;&gt;""),实盘组合净值!$H$5:$H$1000)</x:f>
        <x:v>#NAME?</x:v>
      </x:c>
      <x:c r="C7" s="126" t="e">
        <x:f aca="0">(LOOKUP(2,1/(实盘组合净值!$H$5:$H$1000&lt;&gt;""),实盘组合净值!$H$5:$H$1000))/1-1</x:f>
        <x:v>#NAME?</x:v>
      </x:c>
      <x:c r="D7" s="126" t="e">
        <x:f aca="0">(LOOKUP(2,1/(实盘组合净值!$H$5:$H$1000&lt;&gt;""),实盘组合净值!$H$5:$H$1000)/1)^(说明!$C$17/MAX(COUNT(实盘组合净值!$I$5:$I$1000),1))-1</x:f>
        <x:v>#NAME?</x:v>
      </x:c>
      <x:c r="E7" s="127" t="e">
        <x:f aca="0">STDEV(实盘组合净值!$I$5:$I$1000)*SQRT(说明!$C$17)</x:f>
        <x:v>#NAME?</x:v>
      </x:c>
      <x:c r="F7" s="126" t="e">
        <x:f aca="0">MIN(实盘组合净值!$J$5:$J$1000)</x:f>
        <x:v>#NAME?</x:v>
      </x:c>
      <x:c r="G7" s="128" t="e">
        <x:f aca="0">(((LOOKUP(2,1/(实盘组合净值!$H$5:$H$1000&lt;&gt;""),实盘组合净值!$H$5:$H$1000)/1)^(说明!$C$17/MAX(COUNT(实盘组合净值!$I$5:$I$1000),1))-1)-说明!$C$16)/IF((STDEV(实盘组合净值!$I$5:$I$1000)*SQRT(说明!$C$17))=0,"",(STDEV(实盘组合净值!$I$5:$I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IFERROR((LOOKUP(2,1/(实盘组合净值!$H$5:$H$1000&lt;&gt;""),实盘组合净值!$H$5:$H$1000))/(1)-1,"")</x:f>
        <x:v>#NAME?</x:v>
      </x:c>
      <x:c r="D11" s="130" t="e">
        <x:f aca="0">IFERROR((LOOKUP(2,1/(实盘组合净值!$H$5:$H$1000&lt;&gt;""),实盘组合净值!$H$5:$H$1000)/(1))^(说明!$C$17/COUNT(实盘组合净值!$I$5:$I$1000))-1,"")</x:f>
        <x:v>#NAME?</x:v>
      </x:c>
      <x:c r="E11" s="129" t="s">
        <x:v>254</x:v>
      </x:c>
      <x:c r="F11" s="129"/>
      <x:c r="G11" s="130" t="e">
        <x:f aca="0">MIN(实盘组合净值!$J$5:$J$1000)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IFERROR((LOOKUP(2,1/(实盘组合净值!$H$5:$H$1000&lt;&gt;""),实盘组合净值!$H$5:$H$1000))/(IFERROR(LOOKUP(DATE(2026,1,1),实盘组合净值!$A$5:$A$1000,实盘组合净值!$H$5:$H$1000),1))-1,"")</x:f>
        <x:v>#NAME?</x:v>
      </x:c>
      <x:c r="D12" s="130" t="e">
        <x:f aca="0">IFERROR((LOOKUP(2,1/(实盘组合净值!$H$5:$H$1000&lt;&gt;""),实盘组合净值!$H$5:$H$1000)/(IFERROR(LOOKUP(DATE(2026,1,1),实盘组合净值!$A$5:$A$1000,实盘组合净值!$H$5:$H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IFERROR((LOOKUP(2,1/(实盘组合净值!$H$5:$H$1000&lt;&gt;""),ROW(实盘组合净值!$H$5:$H$1000)))-(LOOKUP(2,1/(实盘组合净值!$J$5:$J$1000=0),ROW(实盘组合净值!$J$5:$J$1000))),"")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H$5:$H$1000&lt;&gt;""),实盘组合净值!$H$5:$H$1000))/(IFERROR(LOOKUP(EDATE(LOOKUP(2,1/(实盘组合净值!$H$5:$H$1000&lt;&gt;""),实盘组合净值!$A$5:$A$1000),-3),实盘组合净值!$A$5:$A$1000,实盘组合净值!$H$5:$H$1000),1))-1,"")</x:f>
        <x:v>#NAME?</x:v>
      </x:c>
      <x:c r="D13" s="130" t="e">
        <x:f aca="0">IFERROR((LOOKUP(2,1/(实盘组合净值!$H$5:$H$1000&lt;&gt;""),实盘组合净值!$H$5:$H$1000)/(IFERROR(LOOKUP(EDATE(LOOKUP(2,1/(实盘组合净值!$H$5:$H$1000&lt;&gt;""),实盘组合净值!$A$5:$A$1000),-3),实盘组合净值!$A$5:$A$1000,实盘组合净值!$H$5:$H$1000),1)))^(说明!$C$17/MAX(COUNTIF(实盘组合净值!$A$5:$A$1000,"&gt;="&amp;(EDATE(LOOKUP(2,1/(实盘组合净值!$H$5:$H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COUNTIF(实盘组合净值!$I$5:$I$1000,"&gt;0")/MAX(COUNT(实盘组合净值!$I$5:$I$1000),1)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H$5:$H$1000&lt;&gt;""),实盘组合净值!$H$5:$H$1000))/(IFERROR(LOOKUP(EDATE(LOOKUP(2,1/(实盘组合净值!$H$5:$H$1000&lt;&gt;""),实盘组合净值!$A$5:$A$1000),-6),实盘组合净值!$A$5:$A$1000,实盘组合净值!$H$5:$H$1000),1))-1,"")</x:f>
        <x:v>#NAME?</x:v>
      </x:c>
      <x:c r="D14" s="130" t="e">
        <x:f aca="0">IFERROR((LOOKUP(2,1/(实盘组合净值!$H$5:$H$1000&lt;&gt;""),实盘组合净值!$H$5:$H$1000)/(IFERROR(LOOKUP(EDATE(LOOKUP(2,1/(实盘组合净值!$H$5:$H$1000&lt;&gt;""),实盘组合净值!$A$5:$A$1000),-6),实盘组合净值!$A$5:$A$1000,实盘组合净值!$H$5:$H$1000),1)))^(说明!$C$17/MAX(COUNTIF(实盘组合净值!$A$5:$A$1000,"&gt;="&amp;(EDATE(LOOKUP(2,1/(实盘组合净值!$H$5:$H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STDEV(实盘组合净值!$I$5:$I$1000)*SQRT(说明!$C$17)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H$5:$H$1000&lt;&gt;""),实盘组合净值!$H$5:$H$1000))/(IFERROR(LOOKUP(EDATE(LOOKUP(2,1/(实盘组合净值!$H$5:$H$1000&lt;&gt;""),实盘组合净值!$A$5:$A$1000),-12),实盘组合净值!$A$5:$A$1000,实盘组合净值!$H$5:$H$1000),1))-1,"")</x:f>
        <x:v>#NAME?</x:v>
      </x:c>
      <x:c r="D15" s="130" t="e">
        <x:f aca="0">IFERROR((LOOKUP(2,1/(实盘组合净值!$H$5:$H$1000&lt;&gt;""),实盘组合净值!$H$5:$H$1000)/(IFERROR(LOOKUP(EDATE(LOOKUP(2,1/(实盘组合净值!$H$5:$H$1000&lt;&gt;""),实盘组合净值!$A$5:$A$1000),-12),实盘组合净值!$A$5:$A$1000,实盘组合净值!$H$5:$H$1000),1)))^(说明!$C$17/MAX(COUNTIF(实盘组合净值!$A$5:$A$1000,"&gt;="&amp;(EDATE(LOOKUP(2,1/(实盘组合净值!$H$5:$H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H$5:$H$1000&lt;&gt;""),实盘组合净值!$H$5:$H$1000)/1)^(说明!$C$17/MAX(COUNT(实盘组合净值!$I$5:$I$1000),1))-1)-说明!$C$16)/IF((STDEV(实盘组合净值!$I$5:$I$1000)*SQRT(说明!$C$17))=0,"",(STDEV(实盘组合净值!$I$5:$I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IFERROR(((LOOKUP(2,1/(实盘组合净值!$H$5:$H$1000&lt;&gt;""),实盘组合净值!$H$5:$H$1000)/1)^(说明!$C$17/MAX(COUNT(实盘组合净值!$I$5:$I$1000),1))-1)/ABS(MIN(实盘组合净值!$J$5:$J$1000)),"")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575916de67ef4ee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6.450000762939453" hidden="0" customWidth="1"/>
    <x:col min="4" max="4" width="18.81999969482422" hidden="0" customWidth="1"/>
    <x:col min="5" max="5" width="21.270000457763672" hidden="0" customWidth="1"/>
    <x:col min="6" max="6" width="16.450000762939453" hidden="0" customWidth="1"/>
    <x:col min="7" max="7" width="19.450000762939453" hidden="0" customWidth="1"/>
    <x:col min="8" max="8" width="2.180000066757202" hidden="0" customWidth="1"/>
  </x:cols>
  <x:sheetData>
    <x:row r="2" ht="20.25" hidden="0" customHeight="1">
      <x:c r="B2" s="120" t="s">
        <x:v>437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"&amp;TEXT(实盘持仓初始配置!$Z$7,"0.0%")&amp;"（折每日计入净值）"</x:f>
        <x:v>#NAME?</x:v>
      </x:c>
      <x:c r="C3" s="121"/>
      <x:c r="D3" s="121"/>
      <x:c r="E3" s="122" t="e">
        <x:f aca="0">"净值日期："&amp;TEXT(LOOKUP(2,1/(实盘组合净值!$K$5:$K$1000&lt;&gt;""),实盘组合净值!$A$5:$A$1000),"yyyy-mm-dd")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LOOKUP(2,1/(实盘组合净值!$K$5:$K$1000&lt;&gt;""),实盘组合净值!$K$5:$K$1000)</x:f>
        <x:v>#NAME?</x:v>
      </x:c>
      <x:c r="C7" s="126" t="e">
        <x:f aca="0">(LOOKUP(2,1/(实盘组合净值!$K$5:$K$1000&lt;&gt;""),实盘组合净值!$K$5:$K$1000))/1-1</x:f>
        <x:v>#NAME?</x:v>
      </x:c>
      <x:c r="D7" s="126" t="e">
        <x:f aca="0">(LOOKUP(2,1/(实盘组合净值!$K$5:$K$1000&lt;&gt;""),实盘组合净值!$K$5:$K$1000)/1)^(说明!$C$17/MAX(COUNT(实盘组合净值!$L$5:$L$1000),1))-1</x:f>
        <x:v>#NAME?</x:v>
      </x:c>
      <x:c r="E7" s="127" t="e">
        <x:f aca="0">STDEV(实盘组合净值!$L$5:$L$1000)*SQRT(说明!$C$17)</x:f>
        <x:v>#NAME?</x:v>
      </x:c>
      <x:c r="F7" s="126" t="e">
        <x:f aca="0">MIN(实盘组合净值!$M$5:$M$1000)</x:f>
        <x:v>#NAME?</x:v>
      </x:c>
      <x:c r="G7" s="128" t="e">
        <x:f aca="0">(((LOOKUP(2,1/(实盘组合净值!$K$5:$K$1000&lt;&gt;""),实盘组合净值!$K$5:$K$1000)/1)^(说明!$C$17/MAX(COUNT(实盘组合净值!$L$5:$L$1000),1))-1)-说明!$C$16)/IF((STDEV(实盘组合净值!$L$5:$L$1000)*SQRT(说明!$C$17))=0,"",(STDEV(实盘组合净值!$L$5:$L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IFERROR((LOOKUP(2,1/(实盘组合净值!$K$5:$K$1000&lt;&gt;""),实盘组合净值!$K$5:$K$1000))/(1)-1,"")</x:f>
        <x:v>#NAME?</x:v>
      </x:c>
      <x:c r="D11" s="130" t="e">
        <x:f aca="0">IFERROR((LOOKUP(2,1/(实盘组合净值!$K$5:$K$1000&lt;&gt;""),实盘组合净值!$K$5:$K$1000)/(1))^(说明!$C$17/COUNT(实盘组合净值!$L$5:$L$1000))-1,"")</x:f>
        <x:v>#NAME?</x:v>
      </x:c>
      <x:c r="E11" s="129" t="s">
        <x:v>254</x:v>
      </x:c>
      <x:c r="F11" s="129"/>
      <x:c r="G11" s="130" t="e">
        <x:f aca="0">MIN(实盘组合净值!$M$5:$M$1000)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IFERROR((LOOKUP(2,1/(实盘组合净值!$K$5:$K$1000&lt;&gt;""),实盘组合净值!$K$5:$K$1000))/(IFERROR(LOOKUP(DATE(2026,1,1),实盘组合净值!$A$5:$A$1000,实盘组合净值!$K$5:$K$1000),1))-1,"")</x:f>
        <x:v>#NAME?</x:v>
      </x:c>
      <x:c r="D12" s="130" t="e">
        <x:f aca="0">IFERROR((LOOKUP(2,1/(实盘组合净值!$K$5:$K$1000&lt;&gt;""),实盘组合净值!$K$5:$K$1000)/(IFERROR(LOOKUP(DATE(2026,1,1),实盘组合净值!$A$5:$A$1000,实盘组合净值!$K$5:$K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IFERROR((LOOKUP(2,1/(实盘组合净值!$K$5:$K$1000&lt;&gt;""),ROW(实盘组合净值!$K$5:$K$1000)))-(LOOKUP(2,1/(实盘组合净值!$M$5:$M$1000=0),ROW(实盘组合净值!$M$5:$M$1000))),"")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K$5:$K$1000&lt;&gt;""),实盘组合净值!$K$5:$K$1000))/(IFERROR(LOOKUP(EDATE(LOOKUP(2,1/(实盘组合净值!$K$5:$K$1000&lt;&gt;""),实盘组合净值!$A$5:$A$1000),-3),实盘组合净值!$A$5:$A$1000,实盘组合净值!$K$5:$K$1000),1))-1,"")</x:f>
        <x:v>#NAME?</x:v>
      </x:c>
      <x:c r="D13" s="130" t="e">
        <x:f aca="0">IFERROR((LOOKUP(2,1/(实盘组合净值!$K$5:$K$1000&lt;&gt;""),实盘组合净值!$K$5:$K$1000)/(IFERROR(LOOKUP(EDATE(LOOKUP(2,1/(实盘组合净值!$K$5:$K$1000&lt;&gt;""),实盘组合净值!$A$5:$A$1000),-3),实盘组合净值!$A$5:$A$1000,实盘组合净值!$K$5:$K$1000),1)))^(说明!$C$17/MAX(COUNTIF(实盘组合净值!$A$5:$A$1000,"&gt;="&amp;(EDATE(LOOKUP(2,1/(实盘组合净值!$K$5:$K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COUNTIF(实盘组合净值!$L$5:$L$1000,"&gt;0")/MAX(COUNT(实盘组合净值!$L$5:$L$1000),1)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K$5:$K$1000&lt;&gt;""),实盘组合净值!$K$5:$K$1000))/(IFERROR(LOOKUP(EDATE(LOOKUP(2,1/(实盘组合净值!$K$5:$K$1000&lt;&gt;""),实盘组合净值!$A$5:$A$1000),-6),实盘组合净值!$A$5:$A$1000,实盘组合净值!$K$5:$K$1000),1))-1,"")</x:f>
        <x:v>#NAME?</x:v>
      </x:c>
      <x:c r="D14" s="130" t="e">
        <x:f aca="0">IFERROR((LOOKUP(2,1/(实盘组合净值!$K$5:$K$1000&lt;&gt;""),实盘组合净值!$K$5:$K$1000)/(IFERROR(LOOKUP(EDATE(LOOKUP(2,1/(实盘组合净值!$K$5:$K$1000&lt;&gt;""),实盘组合净值!$A$5:$A$1000),-6),实盘组合净值!$A$5:$A$1000,实盘组合净值!$K$5:$K$1000),1)))^(说明!$C$17/MAX(COUNTIF(实盘组合净值!$A$5:$A$1000,"&gt;="&amp;(EDATE(LOOKUP(2,1/(实盘组合净值!$K$5:$K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STDEV(实盘组合净值!$L$5:$L$1000)*SQRT(说明!$C$17)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K$5:$K$1000&lt;&gt;""),实盘组合净值!$K$5:$K$1000))/(IFERROR(LOOKUP(EDATE(LOOKUP(2,1/(实盘组合净值!$K$5:$K$1000&lt;&gt;""),实盘组合净值!$A$5:$A$1000),-12),实盘组合净值!$A$5:$A$1000,实盘组合净值!$K$5:$K$1000),1))-1,"")</x:f>
        <x:v>#NAME?</x:v>
      </x:c>
      <x:c r="D15" s="130" t="e">
        <x:f aca="0">IFERROR((LOOKUP(2,1/(实盘组合净值!$K$5:$K$1000&lt;&gt;""),实盘组合净值!$K$5:$K$1000)/(IFERROR(LOOKUP(EDATE(LOOKUP(2,1/(实盘组合净值!$K$5:$K$1000&lt;&gt;""),实盘组合净值!$A$5:$A$1000),-12),实盘组合净值!$A$5:$A$1000,实盘组合净值!$K$5:$K$1000),1)))^(说明!$C$17/MAX(COUNTIF(实盘组合净值!$A$5:$A$1000,"&gt;="&amp;(EDATE(LOOKUP(2,1/(实盘组合净值!$K$5:$K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K$5:$K$1000&lt;&gt;""),实盘组合净值!$K$5:$K$1000)/1)^(说明!$C$17/MAX(COUNT(实盘组合净值!$L$5:$L$1000),1))-1)-说明!$C$16)/IF((STDEV(实盘组合净值!$L$5:$L$1000)*SQRT(说明!$C$17))=0,"",(STDEV(实盘组合净值!$L$5:$L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IFERROR(((LOOKUP(2,1/(实盘组合净值!$K$5:$K$1000&lt;&gt;""),实盘组合净值!$K$5:$K$1000)/1)^(说明!$C$17/MAX(COUNT(实盘组合净值!$L$5:$L$1000),1))-1)/ABS(MIN(实盘组合净值!$M$5:$M$1000)),"")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3af110716fef44fc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6.450000762939453" hidden="0" customWidth="1"/>
    <x:col min="4" max="4" width="20.18000030517578" hidden="0" customWidth="1"/>
    <x:col min="5" max="5" width="17.450000762939453" hidden="0" customWidth="1"/>
    <x:col min="6" max="6" width="16.450000762939453" hidden="0" customWidth="1"/>
    <x:col min="7" max="7" width="19.18000030517578" hidden="0" customWidth="1"/>
    <x:col min="8" max="8" width="2.180000066757202" hidden="0" customWidth="1"/>
  </x:cols>
  <x:sheetData>
    <x:row r="2" ht="20.25" hidden="0" customHeight="1">
      <x:c r="B2" s="120" t="s">
        <x:v>438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"&amp;TEXT(实盘持仓初始配置!$Z$8,"0.0%")&amp;"（折每日计入净值）"</x:f>
        <x:v>#NAME?</x:v>
      </x:c>
      <x:c r="C3" s="121"/>
      <x:c r="D3" s="121"/>
      <x:c r="E3" s="122" t="e">
        <x:f aca="0">"净值日期："&amp;TEXT(LOOKUP(2,1/(实盘组合净值!$N$5:$N$1000&lt;&gt;""),实盘组合净值!$A$5:$A$1000),"yyyy-mm-dd")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LOOKUP(2,1/(实盘组合净值!$N$5:$N$1000&lt;&gt;""),实盘组合净值!$N$5:$N$1000)</x:f>
        <x:v>#NAME?</x:v>
      </x:c>
      <x:c r="C7" s="126" t="e">
        <x:f aca="0">(LOOKUP(2,1/(实盘组合净值!$N$5:$N$1000&lt;&gt;""),实盘组合净值!$N$5:$N$1000))/1-1</x:f>
        <x:v>#NAME?</x:v>
      </x:c>
      <x:c r="D7" s="126" t="e">
        <x:f aca="0">(LOOKUP(2,1/(实盘组合净值!$N$5:$N$1000&lt;&gt;""),实盘组合净值!$N$5:$N$1000)/1)^(说明!$C$17/MAX(COUNT(实盘组合净值!$O$5:$O$1000),1))-1</x:f>
        <x:v>#NAME?</x:v>
      </x:c>
      <x:c r="E7" s="127" t="e">
        <x:f aca="0">STDEV(实盘组合净值!$O$5:$O$1000)*SQRT(说明!$C$17)</x:f>
        <x:v>#NAME?</x:v>
      </x:c>
      <x:c r="F7" s="126" t="e">
        <x:f aca="0">MIN(实盘组合净值!$P$5:$P$1000)</x:f>
        <x:v>#NAME?</x:v>
      </x:c>
      <x:c r="G7" s="128" t="e">
        <x:f aca="0">(((LOOKUP(2,1/(实盘组合净值!$N$5:$N$1000&lt;&gt;""),实盘组合净值!$N$5:$N$1000)/1)^(说明!$C$17/MAX(COUNT(实盘组合净值!$O$5:$O$1000),1))-1)-说明!$C$16)/IF((STDEV(实盘组合净值!$O$5:$O$1000)*SQRT(说明!$C$17))=0,"",(STDEV(实盘组合净值!$O$5:$O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IFERROR((LOOKUP(2,1/(实盘组合净值!$N$5:$N$1000&lt;&gt;""),实盘组合净值!$N$5:$N$1000))/(1)-1,"")</x:f>
        <x:v>#NAME?</x:v>
      </x:c>
      <x:c r="D11" s="130" t="e">
        <x:f aca="0">IFERROR((LOOKUP(2,1/(实盘组合净值!$N$5:$N$1000&lt;&gt;""),实盘组合净值!$N$5:$N$1000)/(1))^(说明!$C$17/COUNT(实盘组合净值!$O$5:$O$1000))-1,"")</x:f>
        <x:v>#NAME?</x:v>
      </x:c>
      <x:c r="E11" s="129" t="s">
        <x:v>254</x:v>
      </x:c>
      <x:c r="F11" s="129"/>
      <x:c r="G11" s="130" t="e">
        <x:f aca="0">MIN(实盘组合净值!$P$5:$P$1000)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IFERROR((LOOKUP(2,1/(实盘组合净值!$N$5:$N$1000&lt;&gt;""),实盘组合净值!$N$5:$N$1000))/(IFERROR(LOOKUP(DATE(2026,1,1),实盘组合净值!$A$5:$A$1000,实盘组合净值!$N$5:$N$1000),1))-1,"")</x:f>
        <x:v>#NAME?</x:v>
      </x:c>
      <x:c r="D12" s="130" t="e">
        <x:f aca="0">IFERROR((LOOKUP(2,1/(实盘组合净值!$N$5:$N$1000&lt;&gt;""),实盘组合净值!$N$5:$N$1000)/(IFERROR(LOOKUP(DATE(2026,1,1),实盘组合净值!$A$5:$A$1000,实盘组合净值!$N$5:$N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IFERROR((LOOKUP(2,1/(实盘组合净值!$N$5:$N$1000&lt;&gt;""),ROW(实盘组合净值!$N$5:$N$1000)))-(LOOKUP(2,1/(实盘组合净值!$P$5:$P$1000=0),ROW(实盘组合净值!$P$5:$P$1000))),"")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N$5:$N$1000&lt;&gt;""),实盘组合净值!$N$5:$N$1000))/(IFERROR(LOOKUP(EDATE(LOOKUP(2,1/(实盘组合净值!$N$5:$N$1000&lt;&gt;""),实盘组合净值!$A$5:$A$1000),-3),实盘组合净值!$A$5:$A$1000,实盘组合净值!$N$5:$N$1000),1))-1,"")</x:f>
        <x:v>#NAME?</x:v>
      </x:c>
      <x:c r="D13" s="130" t="e">
        <x:f aca="0">IFERROR((LOOKUP(2,1/(实盘组合净值!$N$5:$N$1000&lt;&gt;""),实盘组合净值!$N$5:$N$1000)/(IFERROR(LOOKUP(EDATE(LOOKUP(2,1/(实盘组合净值!$N$5:$N$1000&lt;&gt;""),实盘组合净值!$A$5:$A$1000),-3),实盘组合净值!$A$5:$A$1000,实盘组合净值!$N$5:$N$1000),1)))^(说明!$C$17/MAX(COUNTIF(实盘组合净值!$A$5:$A$1000,"&gt;="&amp;(EDATE(LOOKUP(2,1/(实盘组合净值!$N$5:$N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COUNTIF(实盘组合净值!$O$5:$O$1000,"&gt;0")/MAX(COUNT(实盘组合净值!$O$5:$O$1000),1)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N$5:$N$1000&lt;&gt;""),实盘组合净值!$N$5:$N$1000))/(IFERROR(LOOKUP(EDATE(LOOKUP(2,1/(实盘组合净值!$N$5:$N$1000&lt;&gt;""),实盘组合净值!$A$5:$A$1000),-6),实盘组合净值!$A$5:$A$1000,实盘组合净值!$N$5:$N$1000),1))-1,"")</x:f>
        <x:v>#NAME?</x:v>
      </x:c>
      <x:c r="D14" s="130" t="e">
        <x:f aca="0">IFERROR((LOOKUP(2,1/(实盘组合净值!$N$5:$N$1000&lt;&gt;""),实盘组合净值!$N$5:$N$1000)/(IFERROR(LOOKUP(EDATE(LOOKUP(2,1/(实盘组合净值!$N$5:$N$1000&lt;&gt;""),实盘组合净值!$A$5:$A$1000),-6),实盘组合净值!$A$5:$A$1000,实盘组合净值!$N$5:$N$1000),1)))^(说明!$C$17/MAX(COUNTIF(实盘组合净值!$A$5:$A$1000,"&gt;="&amp;(EDATE(LOOKUP(2,1/(实盘组合净值!$N$5:$N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STDEV(实盘组合净值!$O$5:$O$1000)*SQRT(说明!$C$17)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N$5:$N$1000&lt;&gt;""),实盘组合净值!$N$5:$N$1000))/(IFERROR(LOOKUP(EDATE(LOOKUP(2,1/(实盘组合净值!$N$5:$N$1000&lt;&gt;""),实盘组合净值!$A$5:$A$1000),-12),实盘组合净值!$A$5:$A$1000,实盘组合净值!$N$5:$N$1000),1))-1,"")</x:f>
        <x:v>#NAME?</x:v>
      </x:c>
      <x:c r="D15" s="130" t="e">
        <x:f aca="0">IFERROR((LOOKUP(2,1/(实盘组合净值!$N$5:$N$1000&lt;&gt;""),实盘组合净值!$N$5:$N$1000)/(IFERROR(LOOKUP(EDATE(LOOKUP(2,1/(实盘组合净值!$N$5:$N$1000&lt;&gt;""),实盘组合净值!$A$5:$A$1000),-12),实盘组合净值!$A$5:$A$1000,实盘组合净值!$N$5:$N$1000),1)))^(说明!$C$17/MAX(COUNTIF(实盘组合净值!$A$5:$A$1000,"&gt;="&amp;(EDATE(LOOKUP(2,1/(实盘组合净值!$N$5:$N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N$5:$N$1000&lt;&gt;""),实盘组合净值!$N$5:$N$1000)/1)^(说明!$C$17/MAX(COUNT(实盘组合净值!$O$5:$O$1000),1))-1)-说明!$C$16)/IF((STDEV(实盘组合净值!$O$5:$O$1000)*SQRT(说明!$C$17))=0,"",(STDEV(实盘组合净值!$O$5:$O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IFERROR(((LOOKUP(2,1/(实盘组合净值!$N$5:$N$1000&lt;&gt;""),实盘组合净值!$N$5:$N$1000)/1)^(说明!$C$17/MAX(COUNT(实盘组合净值!$O$5:$O$1000),1))-1)/ABS(MIN(实盘组合净值!$P$5:$P$1000)),"")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7a6d00aef5014e6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15.449999809265137" hidden="0" customWidth="1"/>
    <x:col min="3" max="3" width="16.450000762939453" hidden="0" customWidth="1"/>
    <x:col min="4" max="4" width="19.270000457763672" hidden="0" customWidth="1"/>
    <x:col min="5" max="5" width="20.81999969482422" hidden="0" customWidth="1"/>
    <x:col min="6" max="6" width="16.450000762939453" hidden="0" customWidth="1"/>
    <x:col min="7" max="7" width="20.270000457763672" hidden="0" customWidth="1"/>
    <x:col min="8" max="8" width="2.180000066757202" hidden="0" customWidth="1"/>
  </x:cols>
  <x:sheetData>
    <x:row r="2" ht="20.25" hidden="0" customHeight="1">
      <x:c r="B2" s="120" t="s">
        <x:v>439</x:v>
      </x:c>
      <x:c r="C2" s="120"/>
      <x:c r="D2" s="120"/>
      <x:c r="E2" s="120"/>
      <x:c r="F2" s="120"/>
      <x:c r="G2" s="120"/>
    </x:row>
    <x:row r="3" ht="14.25" hidden="0" customHeight="1">
      <x:c r="B3" s="121" t="e">
        <x:f aca="0">"买入持有 · 已扣年化费率 "&amp;TEXT(实盘持仓初始配置!$Z$9,"0.0%")&amp;"（折每日计入净值）"</x:f>
        <x:v>#NAME?</x:v>
      </x:c>
      <x:c r="C3" s="121"/>
      <x:c r="D3" s="121"/>
      <x:c r="E3" s="122" t="e">
        <x:f aca="0">"净值日期："&amp;TEXT(LOOKUP(2,1/(实盘组合净值!$Q$5:$Q$1000&lt;&gt;""),实盘组合净值!$A$5:$A$1000),"yyyy-mm-dd")</x:f>
        <x:v>#NAME?</x:v>
      </x:c>
      <x:c r="F3" s="122"/>
      <x:c r="G3" s="122"/>
    </x:row>
    <x:row r="5" ht="13.5" hidden="0">
      <x:c r="B5" s="123" t="s">
        <x:v>418</x:v>
      </x:c>
      <x:c r="C5" s="123"/>
      <x:c r="D5" s="123"/>
      <x:c r="E5" s="123"/>
      <x:c r="F5" s="123"/>
      <x:c r="G5" s="123"/>
    </x:row>
    <x:row r="6" ht="12.649999618530273" hidden="0">
      <x:c r="B6" s="124" t="s">
        <x:v>419</x:v>
      </x:c>
      <x:c r="C6" s="124" t="s">
        <x:v>420</x:v>
      </x:c>
      <x:c r="D6" s="124" t="s">
        <x:v>421</x:v>
      </x:c>
      <x:c r="E6" s="124" t="s">
        <x:v>292</x:v>
      </x:c>
      <x:c r="F6" s="124" t="s">
        <x:v>254</x:v>
      </x:c>
      <x:c r="G6" s="124" t="s">
        <x:v>304</x:v>
      </x:c>
    </x:row>
    <x:row r="7" ht="27.75" hidden="0" customHeight="1">
      <x:c r="B7" s="125" t="e">
        <x:f aca="0">LOOKUP(2,1/(实盘组合净值!$Q$5:$Q$1000&lt;&gt;""),实盘组合净值!$Q$5:$Q$1000)</x:f>
        <x:v>#NAME?</x:v>
      </x:c>
      <x:c r="C7" s="126" t="e">
        <x:f aca="0">(LOOKUP(2,1/(实盘组合净值!$Q$5:$Q$1000&lt;&gt;""),实盘组合净值!$Q$5:$Q$1000))/1-1</x:f>
        <x:v>#NAME?</x:v>
      </x:c>
      <x:c r="D7" s="126" t="e">
        <x:f aca="0">(LOOKUP(2,1/(实盘组合净值!$Q$5:$Q$1000&lt;&gt;""),实盘组合净值!$Q$5:$Q$1000)/1)^(说明!$C$17/MAX(COUNT(实盘组合净值!$R$5:$R$1000),1))-1</x:f>
        <x:v>#NAME?</x:v>
      </x:c>
      <x:c r="E7" s="127" t="e">
        <x:f aca="0">STDEV(实盘组合净值!$R$5:$R$1000)*SQRT(说明!$C$17)</x:f>
        <x:v>#NAME?</x:v>
      </x:c>
      <x:c r="F7" s="126" t="e">
        <x:f aca="0">MIN(实盘组合净值!$S$5:$S$1000)</x:f>
        <x:v>#NAME?</x:v>
      </x:c>
      <x:c r="G7" s="128" t="e">
        <x:f aca="0">(((LOOKUP(2,1/(实盘组合净值!$Q$5:$Q$1000&lt;&gt;""),实盘组合净值!$Q$5:$Q$1000)/1)^(说明!$C$17/MAX(COUNT(实盘组合净值!$R$5:$R$1000),1))-1)-说明!$C$16)/IF((STDEV(实盘组合净值!$R$5:$R$1000)*SQRT(说明!$C$17))=0,"",(STDEV(实盘组合净值!$R$5:$R$1000)*SQRT(说明!$C$17)))</x:f>
        <x:v>#NAME?</x:v>
      </x:c>
    </x:row>
    <x:row r="9" ht="13.5" hidden="0">
      <x:c r="B9" s="123" t="s">
        <x:v>422</x:v>
      </x:c>
      <x:c r="C9" s="123"/>
      <x:c r="D9" s="123"/>
      <x:c r="E9" s="123" t="s">
        <x:v>423</x:v>
      </x:c>
      <x:c r="F9" s="123"/>
      <x:c r="G9" s="123"/>
    </x:row>
    <x:row r="10" ht="13.5" hidden="0" customHeight="1">
      <x:c r="B10" s="2" t="s">
        <x:v>424</x:v>
      </x:c>
      <x:c r="C10" s="2" t="s">
        <x:v>420</x:v>
      </x:c>
      <x:c r="D10" s="2" t="s">
        <x:v>421</x:v>
      </x:c>
      <x:c r="E10" s="2" t="s">
        <x:v>425</x:v>
      </x:c>
      <x:c r="F10" s="2"/>
      <x:c r="G10" s="2" t="s">
        <x:v>426</x:v>
      </x:c>
    </x:row>
    <x:row r="11" ht="22.5" hidden="0" customHeight="1">
      <x:c r="B11" s="129" t="s">
        <x:v>427</x:v>
      </x:c>
      <x:c r="C11" s="130" t="e">
        <x:f aca="0">IFERROR((LOOKUP(2,1/(实盘组合净值!$Q$5:$Q$1000&lt;&gt;""),实盘组合净值!$Q$5:$Q$1000))/(1)-1,"")</x:f>
        <x:v>#NAME?</x:v>
      </x:c>
      <x:c r="D11" s="130" t="e">
        <x:f aca="0">IFERROR((LOOKUP(2,1/(实盘组合净值!$Q$5:$Q$1000&lt;&gt;""),实盘组合净值!$Q$5:$Q$1000)/(1))^(说明!$C$17/COUNT(实盘组合净值!$R$5:$R$1000))-1,"")</x:f>
        <x:v>#NAME?</x:v>
      </x:c>
      <x:c r="E11" s="129" t="s">
        <x:v>254</x:v>
      </x:c>
      <x:c r="F11" s="129"/>
      <x:c r="G11" s="130" t="e">
        <x:f aca="0">MIN(实盘组合净值!$S$5:$S$1000)</x:f>
        <x:v>#NAME?</x:v>
      </x:c>
    </x:row>
    <x:row r="12" ht="22.5" hidden="0" customHeight="1">
      <x:c r="B12" s="131" t="s">
        <x:v>428</x:v>
      </x:c>
      <x:c r="C12" s="130" t="e">
        <x:f aca="0">IFERROR((LOOKUP(2,1/(实盘组合净值!$Q$5:$Q$1000&lt;&gt;""),实盘组合净值!$Q$5:$Q$1000))/(IFERROR(LOOKUP(DATE(2026,1,1),实盘组合净值!$A$5:$A$1000,实盘组合净值!$Q$5:$Q$1000),1))-1,"")</x:f>
        <x:v>#NAME?</x:v>
      </x:c>
      <x:c r="D12" s="130" t="e">
        <x:f aca="0">IFERROR((LOOKUP(2,1/(实盘组合净值!$Q$5:$Q$1000&lt;&gt;""),实盘组合净值!$Q$5:$Q$1000)/(IFERROR(LOOKUP(DATE(2026,1,1),实盘组合净值!$A$5:$A$1000,实盘组合净值!$Q$5:$Q$1000),1)))^(说明!$C$17/MAX(COUNTIF(实盘组合净值!$A$5:$A$1000,"&gt;="&amp;(DATE(2026,1,1))),1))-1,"")</x:f>
        <x:v>#NAME?</x:v>
      </x:c>
      <x:c r="E12" s="129" t="s">
        <x:v>429</x:v>
      </x:c>
      <x:c r="F12" s="129"/>
      <x:c r="G12" s="132" t="e">
        <x:f aca="0">IFERROR((LOOKUP(2,1/(实盘组合净值!$Q$5:$Q$1000&lt;&gt;""),ROW(实盘组合净值!$Q$5:$Q$1000)))-(LOOKUP(2,1/(实盘组合净值!$S$5:$S$1000=0),ROW(实盘组合净值!$S$5:$S$1000))),"")</x:f>
        <x:v>#NAME?</x:v>
      </x:c>
    </x:row>
    <x:row r="13" ht="22.5" hidden="0" customHeight="1">
      <x:c r="B13" s="129" t="s">
        <x:v>430</x:v>
      </x:c>
      <x:c r="C13" s="130" t="e">
        <x:f aca="0">IFERROR((LOOKUP(2,1/(实盘组合净值!$Q$5:$Q$1000&lt;&gt;""),实盘组合净值!$Q$5:$Q$1000))/(IFERROR(LOOKUP(EDATE(LOOKUP(2,1/(实盘组合净值!$Q$5:$Q$1000&lt;&gt;""),实盘组合净值!$A$5:$A$1000),-3),实盘组合净值!$A$5:$A$1000,实盘组合净值!$Q$5:$Q$1000),1))-1,"")</x:f>
        <x:v>#NAME?</x:v>
      </x:c>
      <x:c r="D13" s="130" t="e">
        <x:f aca="0">IFERROR((LOOKUP(2,1/(实盘组合净值!$Q$5:$Q$1000&lt;&gt;""),实盘组合净值!$Q$5:$Q$1000)/(IFERROR(LOOKUP(EDATE(LOOKUP(2,1/(实盘组合净值!$Q$5:$Q$1000&lt;&gt;""),实盘组合净值!$A$5:$A$1000),-3),实盘组合净值!$A$5:$A$1000,实盘组合净值!$Q$5:$Q$1000),1)))^(说明!$C$17/MAX(COUNTIF(实盘组合净值!$A$5:$A$1000,"&gt;="&amp;(EDATE(LOOKUP(2,1/(实盘组合净值!$Q$5:$Q$1000&lt;&gt;""),实盘组合净值!$A$5:$A$1000),-3))),1))-1,"")</x:f>
        <x:v>#NAME?</x:v>
      </x:c>
      <x:c r="E13" s="129" t="s">
        <x:v>431</x:v>
      </x:c>
      <x:c r="F13" s="129"/>
      <x:c r="G13" s="133" t="e">
        <x:f aca="0">COUNTIF(实盘组合净值!$R$5:$R$1000,"&gt;0")/MAX(COUNT(实盘组合净值!$R$5:$R$1000),1)</x:f>
        <x:v>#NAME?</x:v>
      </x:c>
    </x:row>
    <x:row r="14" ht="22.5" hidden="0" customHeight="1">
      <x:c r="B14" s="129" t="s">
        <x:v>432</x:v>
      </x:c>
      <x:c r="C14" s="130" t="e">
        <x:f aca="0">IFERROR((LOOKUP(2,1/(实盘组合净值!$Q$5:$Q$1000&lt;&gt;""),实盘组合净值!$Q$5:$Q$1000))/(IFERROR(LOOKUP(EDATE(LOOKUP(2,1/(实盘组合净值!$Q$5:$Q$1000&lt;&gt;""),实盘组合净值!$A$5:$A$1000),-6),实盘组合净值!$A$5:$A$1000,实盘组合净值!$Q$5:$Q$1000),1))-1,"")</x:f>
        <x:v>#NAME?</x:v>
      </x:c>
      <x:c r="D14" s="130" t="e">
        <x:f aca="0">IFERROR((LOOKUP(2,1/(实盘组合净值!$Q$5:$Q$1000&lt;&gt;""),实盘组合净值!$Q$5:$Q$1000)/(IFERROR(LOOKUP(EDATE(LOOKUP(2,1/(实盘组合净值!$Q$5:$Q$1000&lt;&gt;""),实盘组合净值!$A$5:$A$1000),-6),实盘组合净值!$A$5:$A$1000,实盘组合净值!$Q$5:$Q$1000),1)))^(说明!$C$17/MAX(COUNTIF(实盘组合净值!$A$5:$A$1000,"&gt;="&amp;(EDATE(LOOKUP(2,1/(实盘组合净值!$Q$5:$Q$1000&lt;&gt;""),实盘组合净值!$A$5:$A$1000),-6))),1))-1,"")</x:f>
        <x:v>#NAME?</x:v>
      </x:c>
      <x:c r="E14" s="129" t="s">
        <x:v>292</x:v>
      </x:c>
      <x:c r="F14" s="129"/>
      <x:c r="G14" s="130" t="e">
        <x:f aca="0">STDEV(实盘组合净值!$R$5:$R$1000)*SQRT(说明!$C$17)</x:f>
        <x:v>#NAME?</x:v>
      </x:c>
    </x:row>
    <x:row r="15" ht="22.5" hidden="0" customHeight="1">
      <x:c r="B15" s="129" t="s">
        <x:v>433</x:v>
      </x:c>
      <x:c r="C15" s="130" t="e">
        <x:f aca="0">IFERROR((LOOKUP(2,1/(实盘组合净值!$Q$5:$Q$1000&lt;&gt;""),实盘组合净值!$Q$5:$Q$1000))/(IFERROR(LOOKUP(EDATE(LOOKUP(2,1/(实盘组合净值!$Q$5:$Q$1000&lt;&gt;""),实盘组合净值!$A$5:$A$1000),-12),实盘组合净值!$A$5:$A$1000,实盘组合净值!$Q$5:$Q$1000),1))-1,"")</x:f>
        <x:v>#NAME?</x:v>
      </x:c>
      <x:c r="D15" s="130" t="e">
        <x:f aca="0">IFERROR((LOOKUP(2,1/(实盘组合净值!$Q$5:$Q$1000&lt;&gt;""),实盘组合净值!$Q$5:$Q$1000)/(IFERROR(LOOKUP(EDATE(LOOKUP(2,1/(实盘组合净值!$Q$5:$Q$1000&lt;&gt;""),实盘组合净值!$A$5:$A$1000),-12),实盘组合净值!$A$5:$A$1000,实盘组合净值!$Q$5:$Q$1000),1)))^(说明!$C$17/MAX(COUNTIF(实盘组合净值!$A$5:$A$1000,"&gt;="&amp;(EDATE(LOOKUP(2,1/(实盘组合净值!$Q$5:$Q$1000&lt;&gt;""),实盘组合净值!$A$5:$A$1000),-12))),1))-1,"")</x:f>
        <x:v>#NAME?</x:v>
      </x:c>
      <x:c r="E15" s="129" t="s">
        <x:v>304</x:v>
      </x:c>
      <x:c r="F15" s="129"/>
      <x:c r="G15" s="134" t="e">
        <x:f aca="0">(((LOOKUP(2,1/(实盘组合净值!$Q$5:$Q$1000&lt;&gt;""),实盘组合净值!$Q$5:$Q$1000)/1)^(说明!$C$17/MAX(COUNT(实盘组合净值!$R$5:$R$1000),1))-1)-说明!$C$16)/IF((STDEV(实盘组合净值!$R$5:$R$1000)*SQRT(说明!$C$17))=0,"",(STDEV(实盘组合净值!$R$5:$R$1000)*SQRT(说明!$C$17)))</x:f>
        <x:v>#NAME?</x:v>
      </x:c>
    </x:row>
    <x:row r="16" ht="22.5" hidden="0" customHeight="1">
      <x:c r="B16" s="135"/>
      <x:c r="C16" s="135"/>
      <x:c r="D16" s="135"/>
      <x:c r="E16" s="129" t="s">
        <x:v>316</x:v>
      </x:c>
      <x:c r="F16" s="129"/>
      <x:c r="G16" s="134" t="e">
        <x:f aca="0">IFERROR(((LOOKUP(2,1/(实盘组合净值!$Q$5:$Q$1000&lt;&gt;""),实盘组合净值!$Q$5:$Q$1000)/1)^(说明!$C$17/MAX(COUNT(实盘组合净值!$R$5:$R$1000),1))-1)/ABS(MIN(实盘组合净值!$S$5:$S$1000)),"")</x:f>
        <x:v>#NAME?</x:v>
      </x:c>
    </x:row>
    <x:row r="18" ht="14.899999618530273" hidden="0">
      <x:c r="B18" s="123" t="s">
        <x:v>434</x:v>
      </x:c>
      <x:c r="C18" s="123"/>
      <x:c r="D18" s="123"/>
      <x:c r="E18" s="123"/>
      <x:c r="F18" s="123"/>
      <x:c r="G18" s="123"/>
    </x:row>
    <x:row r="35" ht="14.25" hidden="0" customHeight="1">
      <x:c r="B35" s="11" t="str">
        <x:v>统计区间自2026/6/1起；运作初期样本少，年化类指标仅供参考。净值源刷新后，本页数据与走势图自动延伸到最新净值日。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be7f86313f2a488c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"/>
  <x:cols>
    <x:col min="1" max="1" width="2.180000066757202" hidden="0" customWidth="1"/>
    <x:col min="2" max="2" width="28.450000762939453" hidden="0" customWidth="1"/>
    <x:col min="3" max="8" width="16.450000762939453" hidden="0" customWidth="1"/>
  </x:cols>
  <x:sheetData>
    <x:row r="2" ht="22.5" hidden="0" customHeight="1">
      <x:c r="B2" s="136" t="s">
        <x:v>440</x:v>
      </x:c>
    </x:row>
    <x:row r="3" ht="14.25" hidden="0" customHeight="1">
      <x:c r="B3" s="11" t="s">
        <x:v>441</x:v>
      </x:c>
    </x:row>
    <x:row r="5" ht="15" hidden="0" customHeight="1">
      <x:c r="B5" s="137" t="s">
        <x:v>442</x:v>
      </x:c>
    </x:row>
    <x:row r="6" ht="16.5" hidden="0" customHeight="1">
      <x:c r="B6" s="138" t="s">
        <x:v>443</x:v>
      </x:c>
      <x:c r="C6" s="139" t="s">
        <x:v>444</x:v>
      </x:c>
      <x:c r="D6" s="139"/>
      <x:c r="E6" s="139"/>
      <x:c r="F6" s="139"/>
      <x:c r="G6" s="139"/>
      <x:c r="H6" s="139"/>
    </x:row>
    <x:row r="7" ht="25.5" hidden="0" customHeight="1">
      <x:c r="B7" s="138" t="s">
        <x:v>445</x:v>
      </x:c>
      <x:c r="C7" s="139" t="s">
        <x:v>446</x:v>
      </x:c>
      <x:c r="D7" s="139"/>
      <x:c r="E7" s="139"/>
      <x:c r="F7" s="139"/>
      <x:c r="G7" s="139"/>
      <x:c r="H7" s="139"/>
    </x:row>
    <x:row r="8" ht="16.5" hidden="0" customHeight="1">
      <x:c r="B8" s="138" t="s">
        <x:v>342</x:v>
      </x:c>
      <x:c r="C8" s="139" t="str">
        <x:v>按买入持有及分期调仓口径逐日计算6组合净值、日收益与回撤；净值已按年化费率折每日扣费。</x:v>
      </x:c>
      <x:c r="D8" s="139"/>
      <x:c r="E8" s="139"/>
      <x:c r="F8" s="139"/>
      <x:c r="G8" s="139"/>
      <x:c r="H8" s="139"/>
    </x:row>
    <x:row r="9" ht="27.75" hidden="0" customHeight="1">
      <x:c r="B9" s="138" t="s">
        <x:v>447</x:v>
      </x:c>
      <x:c r="C9" s="140" t="s">
        <x:v>448</x:v>
      </x:c>
      <x:c r="D9" s="140"/>
      <x:c r="E9" s="140"/>
      <x:c r="F9" s="140"/>
      <x:c r="G9" s="140"/>
      <x:c r="H9" s="140"/>
    </x:row>
    <x:row r="10" ht="16.5" hidden="0" customHeight="1">
      <x:c r="B10" s="141"/>
      <x:c r="C10" s="142"/>
      <x:c r="D10" s="142"/>
      <x:c r="E10" s="142"/>
      <x:c r="F10" s="142"/>
      <x:c r="G10" s="142"/>
      <x:c r="H10" s="142"/>
    </x:row>
    <x:row r="11" ht="16.5" hidden="0" customHeight="1">
      <x:c r="B11" s="137" t="s">
        <x:v>449</x:v>
      </x:c>
      <x:c r="C11" s="142"/>
      <x:c r="D11" s="142"/>
      <x:c r="E11" s="142"/>
      <x:c r="F11" s="142"/>
      <x:c r="G11" s="142"/>
      <x:c r="H11" s="142"/>
    </x:row>
    <x:row r="12" ht="16.5" hidden="0" customHeight="1">
      <x:c r="B12" s="138" t="s">
        <x:v>450</x:v>
      </x:c>
      <x:c r="C12" s="139" t="str">
        <x:v>iFinD刷新净值日期后，基金净值、组合净值、偏离监控和6个看板自动更新至最新完整净值日，无需再下拉公式。</x:v>
      </x:c>
      <x:c r="D12" s="139"/>
      <x:c r="E12" s="139"/>
      <x:c r="F12" s="139"/>
      <x:c r="G12" s="139"/>
      <x:c r="H12" s="139"/>
    </x:row>
    <x:row r="13" ht="16.5" hidden="0" customHeight="1">
      <x:c r="B13" s="143" t="s">
        <x:v>451</x:v>
      </x:c>
      <x:c r="C13" s="139" t="s">
        <x:v>452</x:v>
      </x:c>
      <x:c r="D13" s="139"/>
      <x:c r="E13" s="139"/>
      <x:c r="F13" s="139"/>
      <x:c r="G13" s="139"/>
      <x:c r="H13" s="139"/>
    </x:row>
    <x:row r="14" ht="16.5" hidden="0" customHeight="1">
      <x:c r="B14" s="138" t="s">
        <x:v>453</x:v>
      </x:c>
      <x:c r="C14" s="139" t="s">
        <x:v>454</x:v>
      </x:c>
      <x:c r="D14" s="139"/>
      <x:c r="E14" s="139"/>
      <x:c r="F14" s="139"/>
      <x:c r="G14" s="139"/>
      <x:c r="H14" s="139"/>
    </x:row>
    <x:row r="15" ht="14.25" hidden="0" customHeight="1">
      <x:c r="B15" s="138" t="s">
        <x:v>455</x:v>
      </x:c>
      <x:c r="C15" s="141" t="str">
        <x:v>各组合年化费率见『实盘持仓初始配置』Z列；按 净值×(1-费率)^(已运作自然日数/365) 折每日计入，看板均为扣费后口径。</x:v>
      </x:c>
    </x:row>
    <x:row r="16" ht="12.649999618530273" hidden="0">
      <x:c r="B16" s="138" t="s">
        <x:v>456</x:v>
      </x:c>
      <x:c r="C16" s="144" t="n">
        <x:v>0</x:v>
      </x:c>
    </x:row>
    <x:row r="17" ht="12.649999618530273" hidden="0">
      <x:c r="B17" s="138" t="s">
        <x:v>457</x:v>
      </x:c>
      <x:c r="C17" s="145" t="n">
        <x:v>242</x:v>
      </x:c>
    </x:row>
    <x:row r="18" ht="14.25" hidden="0" customHeight="1">
      <x:c r="B18" s="138" t="s">
        <x:v>458</x:v>
      </x:c>
      <x:c r="C18" s="141" t="str">
        <x:v>净值曲线使用工作表级动态名称，横轴自各组合起始日起，自动延伸到『实盘组合净值』最后一个有效净值日。</x:v>
      </x:c>
    </x:row>
    <x:row r="19" ht="14.25" hidden="0" customHeight="1">
      <x:c r="B19" s="11" t="s">
        <x:v>459</x:v>
      </x:c>
    </x:row>
  </x:sheetData>
  <x:mergeCells>
    <x:mergeCell ref="C6:H6"/>
    <x:mergeCell ref="C7:H7"/>
    <x:mergeCell ref="C8:H8"/>
    <x:mergeCell ref="C9:H9"/>
    <x:mergeCell ref="C12:H12"/>
    <x:mergeCell ref="C13:H13"/>
    <x:mergeCell ref="C14:H14"/>
  </x:mergeCells>
  <x:pageMargins left="0.7" right="0.7" top="0.75" bottom="0.75" header="0.3" footer="0.3"/>
</x:worksheet>
</file>