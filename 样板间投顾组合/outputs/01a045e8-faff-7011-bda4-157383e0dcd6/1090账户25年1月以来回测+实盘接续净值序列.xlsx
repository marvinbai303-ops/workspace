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1a99bd129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净值序列" sheetId="1" r:id="R47a56afc27404e4e"/>
    <x:sheet xmlns:r="http://schemas.openxmlformats.org/officeDocument/2006/relationships" name="上线实盘持仓" sheetId="2" r:id="Rbc62bed866cb49e5"/>
    <x:sheet xmlns:r="http://schemas.openxmlformats.org/officeDocument/2006/relationships" name="持仓区间测算" sheetId="3" r:id="R5e4809fce3c548b2"/>
  </x:sheets>
</x:workbook>
</file>

<file path=xl/sharedStrings.xml><?xml version="1.0" encoding="utf-8"?>
<x:sst xmlns:x="http://schemas.openxmlformats.org/spreadsheetml/2006/main">
  <x:si>
    <x:t xml:space="preserve">回测净值序列</x:t>
  </x:si>
  <x:si>
    <x:t xml:space="preserve">实盘净值序列</x:t>
  </x:si>
  <x:si>
    <x:t xml:space="preserve">基金简称</x:t>
  </x:si>
  <x:si>
    <x:r>
      <x:rPr>
        <x:b/>
        <x:sz val="10"/>
        <x:color rgb="FF000000"/>
        <x:rFont val="Linux Libertine G"/>
        <x:family val="2"/>
      </x:rPr>
      <x:t xml:space="preserve">华安黄金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</x:si>
  <x:si>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嘉实快线货币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</x:si>
  <x:si>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宏利复兴混合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</x:si>
  <x:si>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博道沪深</x:t>
    </x:r>
    <x:r>
      <x:rPr>
        <x:b/>
        <x:sz val="10"/>
        <x:color rgb="FF000000"/>
        <x:rFont val="Arial"/>
        <x:family val="2"/>
      </x:rPr>
      <x:t xml:space="preserve">300</x:t>
    </x:r>
    <x:r>
      <x:rPr>
        <x:b/>
        <x:sz val="10"/>
        <x:color rgb="FF000000"/>
        <x:rFont val="Linux Libertine G"/>
        <x:family val="2"/>
      </x:rPr>
      <x:t xml:space="preserve">增强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</x:si>
  <x:si>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国泰通信设备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</x:si>
  <x:si>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银华集成电路混合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</x:si>
  <x:si>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天弘中证</x:t>
    </x:r>
    <x:r>
      <x:rPr>
        <x:b/>
        <x:sz val="10"/>
        <x:color rgb="FF000000"/>
        <x:rFont val="Arial"/>
        <x:family val="2"/>
      </x:rPr>
      <x:t xml:space="preserve">1000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</x:si>
  <x:si>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中欧中证</x:t>
    </x:r>
    <x:r>
      <x:rPr>
        <x:b/>
        <x:sz val="10"/>
        <x:color rgb="FF000000"/>
        <x:rFont val="Arial"/>
        <x:family val="2"/>
      </x:rPr>
      <x:t xml:space="preserve">500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</x:si>
  <x:si>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信澳业绩驱动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</x:si>
  <x:si>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嘉实信息产业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</x:si>
  <x:si>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国泰半导体材料设备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</x:si>
  <x:si>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华泰柏瑞中证</x:t>
    </x:r>
    <x:r>
      <x:rPr>
        <x:b/>
        <x:sz val="10"/>
        <x:color rgb="FF000000"/>
        <x:rFont val="Arial"/>
        <x:family val="2"/>
      </x:rPr>
      <x:t xml:space="preserve">2000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</x:si>
  <x:si>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易方达中债新综指</x:t>
    </x:r>
    <x:r>
      <x:rPr>
        <x:b/>
        <x:sz val="10"/>
        <x:color rgb="FF000000"/>
        <x:rFont val="Arial"/>
        <x:family val="2"/>
      </x:rPr>
      <x:t xml:space="preserve">LOFA</x:t>
    </x:r>
  </x:si>
  <x:si>
    <x:t xml:space="preserve">合计</x:t>
  </x:si>
  <x:si>
    <x:t xml:space="preserve">基金代码</x:t>
  </x:si>
  <x:si>
    <x:t xml:space="preserve">000216.OF</x:t>
  </x:si>
  <x:si>
    <x:t xml:space="preserve">000917.OF</x:t>
  </x:si>
  <x:si>
    <x:t xml:space="preserve">001170.OF</x:t>
  </x:si>
  <x:si>
    <x:t xml:space="preserve">007044.OF</x:t>
  </x:si>
  <x:si>
    <x:t xml:space="preserve">007817.OF</x:t>
  </x:si>
  <x:si>
    <x:t xml:space="preserve">013840.OF</x:t>
  </x:si>
  <x:si>
    <x:t xml:space="preserve">014201.OF</x:t>
  </x:si>
  <x:si>
    <x:t xml:space="preserve">015453.OF</x:t>
  </x:si>
  <x:si>
    <x:t xml:space="preserve">016370.OF</x:t>
  </x:si>
  <x:si>
    <x:t xml:space="preserve">017488.OF</x:t>
  </x:si>
  <x:si>
    <x:t xml:space="preserve">019632.OF</x:t>
  </x:si>
  <x:si>
    <x:t xml:space="preserve">019923.OF</x:t>
  </x:si>
  <x:si>
    <x:t xml:space="preserve">161119.OF</x:t>
  </x:si>
  <x:si>
    <x:r>
      <x:rPr>
        <x:b/>
        <x:sz val="10"/>
        <x:color rgb="FF000000"/>
        <x:rFont val="Arial"/>
        <x:family val="2"/>
      </x:rPr>
      <x:t xml:space="preserve">10-90</x:t>
    </x:r>
    <x:r>
      <x:rPr>
        <x:b/>
        <x:sz val="10"/>
        <x:color rgb="FF000000"/>
        <x:rFont val="Linux Libertine G"/>
        <x:family val="2"/>
      </x:rPr>
      <x:t xml:space="preserve">基石 权重</x:t>
    </x:r>
  </x:si>
</x:sst>
</file>

<file path=xl/styles.xml><?xml version="1.0" encoding="utf-8"?>
<x:styleSheet xmlns:x="http://schemas.openxmlformats.org/spreadsheetml/2006/main">
  <x:numFmts count="12">
    <x:numFmt numFmtId="179" formatCode="_ * #,##0.00_ ;_ * \-#,##0.00_ ;_ * &quot;-&quot;??_ ;_ @_ "/>
    <x:numFmt numFmtId="180" formatCode="0.0%"/>
    <x:numFmt numFmtId="183" formatCode="yyyy/mm/dd"/>
    <x:numFmt numFmtId="184" formatCode="_ * #,##0.00_ ;_ * \-#,##0.00_ ;_ * \-??_ ;_ @_ "/>
    <x:numFmt numFmtId="185" formatCode="_ * #,##0_ ;_ * \-#,##0_ ;_ * \-_ ;_ @_ "/>
    <x:numFmt numFmtId="186" formatCode="_ \￥* #,##0.00_ ;_ \￥* \-#,##0.00_ ;_ \￥* \-??_ ;_ @_ "/>
    <x:numFmt numFmtId="187" formatCode="_ \￥* #,##0_ ;_ \￥* \-#,##0_ ;_ \￥* \-_ ;_ @_ "/>
    <x:numFmt numFmtId="189" formatCode="0.0000"/>
    <x:numFmt numFmtId="200" formatCode="0.00%"/>
    <x:numFmt numFmtId="201" formatCode="0.000000"/>
    <x:numFmt numFmtId="202" formatCode="yyyy-mm-dd"/>
    <x:numFmt numFmtId="203" formatCode="0.0000%"/>
  </x:numFmts>
  <x:fonts count="18">
    <x:font>
      <x:sz val="11"/>
      <x:color theme="1"/>
      <x:name val="宋体"/>
    </x:font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  <x:font>
      <x:sz val="10"/>
      <x:name val="Linux Libertine G"/>
    </x:font>
    <x:font>
      <x:sz val="10"/>
      <x:name val="Arial"/>
    </x:font>
    <x:font>
      <x:sz val="11"/>
      <x:color theme="1"/>
      <x:name val="Linux Libertine G"/>
    </x:font>
    <x:font>
      <x:b/>
      <x:sz val="10"/>
      <x:color rgb="FFFFFFFF"/>
      <x:name val="Linux Libertine G"/>
    </x:font>
    <x:font>
      <x:b/>
      <x:sz val="10"/>
      <x:color rgb="FF000000"/>
      <x:name val="Linux Libertine G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b/>
      <x:sz val="10"/>
      <x:color rgb="FF000000"/>
      <x:name val="Linux Libertine G"/>
    </x:font>
    <x:font>
      <x:sz val="11"/>
      <x:color rgb="FF000000"/>
      <x:name val="宋体"/>
    </x:font>
    <x:font>
      <x:b/>
      <x:sz val="11"/>
      <x:color rgb="FFFFFFFF"/>
      <x:name val="宋体"/>
    </x:font>
    <x:font>
      <x:sz val="11"/>
      <x:color rgb="FF008000"/>
      <x:name val="宋体"/>
    </x:font>
    <x:font>
      <x:sz val="11"/>
      <x:color rgb="FF404040"/>
      <x:name val="宋体"/>
    </x:font>
    <x:font>
      <x:b/>
      <x:sz val="11"/>
      <x:color rgb="FF000000"/>
      <x:name val="宋体"/>
    </x:font>
  </x:fonts>
  <x:fills count="10">
    <x:fill>
      <x:patternFill patternType="none"/>
    </x:fill>
    <x:fill>
      <x:patternFill patternType="gray125"/>
    </x:fill>
    <x:fill>
      <x:patternFill patternType="solid">
        <x:fgColor rgb="FF2E5496"/>
      </x:patternFill>
    </x:fill>
    <x:fill>
      <x:patternFill patternType="solid">
        <x:fgColor rgb="FFD9E1F2"/>
      </x:patternFill>
    </x:fill>
    <x:fill>
      <x:patternFill patternType="solid">
        <x:fgColor rgb="FFF2F4F8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2F3"/>
      </x:patternFill>
    </x:fill>
    <x:fill>
      <x:patternFill patternType="solid">
        <x:fgColor rgb="FFF7F9FC"/>
      </x:patternFill>
    </x:fill>
  </x:fills>
  <x:borders count="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1">
    <x:xf numFmtId="0" fontId="0" fillId="0" borderId="0">
      <x:alignment vertical="center"/>
    </x:xf>
    <x:xf numFmtId="0" fontId="1" fillId="0" borderId="0"/>
    <x:xf numFmtId="0" fontId="4" fillId="0" borderId="0"/>
    <x:xf numFmtId="184" fontId="5" fillId="0" borderId="0" applyBorder="0" applyAlignment="0" applyProtection="0"/>
    <x:xf numFmtId="185" fontId="5" fillId="0" borderId="0" applyBorder="0" applyAlignment="0" applyProtection="0"/>
    <x:xf numFmtId="186" fontId="5" fillId="0" borderId="0" applyBorder="0" applyAlignment="0" applyProtection="0"/>
    <x:xf numFmtId="187" fontId="5" fillId="0" borderId="0" applyBorder="0" applyAlignment="0" applyProtection="0"/>
    <x:xf numFmtId="0" fontId="6" fillId="0" borderId="0"/>
    <x:xf numFmtId="9" fontId="5" fillId="0" borderId="0" applyBorder="0" applyAlignment="0" applyProtection="0"/>
    <x:xf numFmtId="9" fontId="4" fillId="0" borderId="0" applyFont="0" applyFill="0" applyBorder="0" applyAlignment="0" applyProtection="0">
      <x:alignment vertical="center"/>
    </x:xf>
    <x:xf numFmtId="179" fontId="4" fillId="0" borderId="0" applyFont="0" applyFill="0" applyBorder="0" applyAlignment="0" applyProtection="0">
      <x:alignment vertical="center"/>
    </x:xf>
  </x:cellStyleXfs>
  <x:cellXfs count="55">
    <x:xf numFmtId="0" fontId="0" fillId="0" borderId="0" xfId="0">
      <x:alignment vertical="center"/>
    </x:xf>
    <x:xf numFmtId="0" fontId="1" fillId="0" borderId="0" xfId="1"/>
    <x:xf numFmtId="183" fontId="2" fillId="0" borderId="1" xfId="1" applyNumberFormat="1" applyFont="1" applyBorder="1" applyAlignment="1">
      <x:alignment horizontal="center" vertical="top"/>
    </x:xf>
    <x:xf numFmtId="183" fontId="0" fillId="0" borderId="0" xfId="0" applyNumberFormat="1">
      <x:alignment vertical="center"/>
    </x:xf>
    <x:xf numFmtId="189" fontId="10" fillId="0" borderId="2" xfId="7" applyNumberFormat="1" applyFont="1" applyBorder="1" applyAlignment="1">
      <x:alignment horizontal="center" vertical="center" wrapText="1"/>
    </x:xf>
    <x:xf numFmtId="0" fontId="7" fillId="2" borderId="2" xfId="7" applyFont="1" applyFill="1" applyBorder="1" applyAlignment="1">
      <x:alignment horizontal="center" vertical="center" wrapText="1"/>
    </x:xf>
    <x:xf numFmtId="0" fontId="8" fillId="3" borderId="2" xfId="7" applyFont="1" applyFill="1" applyBorder="1" applyAlignment="1">
      <x:alignment horizontal="center" vertical="center" wrapText="1"/>
    </x:xf>
    <x:xf numFmtId="0" fontId="10" fillId="4" borderId="2" xfId="7" applyFont="1" applyFill="1" applyBorder="1" applyAlignment="1">
      <x:alignment horizontal="center" vertical="center" wrapText="1"/>
    </x:xf>
    <x:xf numFmtId="10" fontId="11" fillId="0" borderId="2" xfId="7" applyNumberFormat="1" applyFont="1" applyBorder="1" applyAlignment="1">
      <x:alignment horizontal="center" vertical="center" wrapText="1"/>
    </x:xf>
    <x:xf numFmtId="180" fontId="9" fillId="4" borderId="2" xfId="7" applyNumberFormat="1" applyFont="1" applyFill="1" applyBorder="1" applyAlignment="1">
      <x:alignment horizontal="center" vertical="center" wrapText="1"/>
    </x:xf>
    <x:xf numFmtId="0" fontId="9" fillId="3" borderId="2" xfId="7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0" borderId="2" xfId="0" applyNumberFormat="1" applyFont="1" applyFill="1" applyBorder="1" applyAlignment="1">
      <x:alignment vertical="center"/>
    </x:xf>
    <x:xf numFmtId="0" fontId="13" fillId="0" borderId="2" xfId="0" applyNumberFormat="1" applyFont="1" applyFill="1" applyBorder="1" applyAlignment="1">
      <x:alignment horizontal="center" vertical="center"/>
    </x:xf>
    <x:xf numFmtId="0" fontId="13" fillId="5" borderId="2" xfId="0" applyNumberFormat="1" applyFont="1" applyFill="1" applyBorder="1" applyAlignment="1">
      <x:alignment horizontal="center" vertical="center"/>
    </x:xf>
    <x:xf numFmtId="0" fontId="14" fillId="5" borderId="2" xfId="0" applyNumberFormat="1" applyFont="1" applyFill="1" applyBorder="1" applyAlignment="1">
      <x:alignment horizontal="center" vertical="center"/>
    </x:xf>
    <x:xf numFmtId="0" fontId="14" fillId="5" borderId="2" xfId="0" applyNumberFormat="1" applyFont="1" applyFill="1" applyBorder="1" applyAlignment="1">
      <x:alignment horizontal="center" vertical="center" wrapText="1"/>
    </x:xf>
    <x:xf numFmtId="189" fontId="13" fillId="0" borderId="2" xfId="0" applyNumberFormat="1" applyFont="1" applyFill="1" applyBorder="1" applyAlignment="1">
      <x:alignment horizontal="center" vertical="center"/>
    </x:xf>
    <x:xf numFmtId="189" fontId="15" fillId="0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17" fillId="8" borderId="0" xfId="0" applyNumberFormat="1" applyFont="1" applyFill="1" applyBorder="1" applyAlignment="1">
      <x:alignment vertical="center"/>
    </x:xf>
    <x:xf numFmtId="0" fontId="17" fillId="8" borderId="3" xfId="0" applyNumberFormat="1" applyFont="1" applyFill="1" applyBorder="1" applyAlignment="1">
      <x:alignment vertical="center"/>
    </x:xf>
    <x:xf numFmtId="0" fontId="17" fillId="8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0" fontId="13" fillId="9" borderId="4" xfId="0" applyNumberFormat="1" applyFont="1" applyFill="1" applyBorder="1" applyAlignment="1">
      <x:alignment vertical="center"/>
    </x:xf>
    <x:xf numFmtId="0" fontId="13" fillId="9" borderId="4" xfId="0" applyNumberFormat="1" applyFont="1" applyFill="1" applyBorder="1" applyAlignment="1">
      <x:alignment vertical="center" wrapText="1"/>
    </x:xf>
    <x:xf numFmtId="0" fontId="13" fillId="9" borderId="4" xfId="0" applyNumberFormat="1" applyFont="1" applyFill="1" applyBorder="1" applyAlignment="1">
      <x:alignment horizontal="center" vertical="center" wrapText="1"/>
    </x:xf>
    <x:xf numFmtId="0" fontId="15" fillId="9" borderId="4" xfId="0" applyNumberFormat="1" applyFont="1" applyFill="1" applyBorder="1" applyAlignment="1">
      <x:alignment horizontal="center" vertical="center" wrapText="1"/>
    </x:xf>
    <x:xf numFmtId="200" fontId="15" fillId="9" borderId="4" xfId="0" applyNumberFormat="1" applyFont="1" applyFill="1" applyBorder="1" applyAlignment="1">
      <x:alignment horizontal="center" vertical="center" wrapText="1"/>
    </x:xf>
    <x:xf numFmtId="201" fontId="13" fillId="9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/>
    </x:xf>
    <x:xf numFmtId="0" fontId="14" fillId="5" borderId="3" xfId="0" applyNumberFormat="1" applyFont="1" applyFill="1" applyBorder="1" applyAlignment="1">
      <x:alignment vertical="center"/>
    </x:xf>
    <x:xf numFmtId="0" fontId="14" fillId="5" borderId="3" xfId="0" applyNumberFormat="1" applyFont="1" applyFill="1" applyBorder="1" applyAlignment="1">
      <x:alignment vertical="center" wrapText="1"/>
    </x:xf>
    <x:xf numFmtId="0" fontId="14" fillId="5" borderId="3" xfId="0" applyNumberFormat="1" applyFont="1" applyFill="1" applyBorder="1" applyAlignment="1">
      <x:alignment horizontal="center" vertical="center" wrapText="1"/>
    </x:xf>
    <x:xf numFmtId="0" fontId="13" fillId="0" borderId="4" xfId="0" applyNumberFormat="1" applyFont="1" applyFill="1" applyBorder="1" applyAlignment="1">
      <x:alignment vertical="center"/>
    </x:xf>
    <x:xf numFmtId="0" fontId="13" fillId="0" borderId="4" xfId="0" applyNumberFormat="1" applyFont="1" applyFill="1" applyBorder="1" applyAlignment="1">
      <x:alignment horizontal="right" vertical="center"/>
    </x:xf>
    <x:xf numFmtId="202" fontId="13" fillId="0" borderId="4" xfId="0" applyNumberFormat="1" applyFont="1" applyFill="1" applyBorder="1" applyAlignment="1">
      <x:alignment horizontal="right" vertical="center"/>
    </x:xf>
    <x:xf numFmtId="201" fontId="13" fillId="0" borderId="4" xfId="0" applyNumberFormat="1" applyFont="1" applyFill="1" applyBorder="1" applyAlignment="1">
      <x:alignment horizontal="right" vertical="center"/>
    </x:xf>
    <x:xf numFmtId="203" fontId="13" fillId="0" borderId="4" xfId="0" applyNumberFormat="1" applyFont="1" applyFill="1" applyBorder="1" applyAlignment="1">
      <x:alignment horizontal="right" vertical="center"/>
    </x:xf>
    <x:xf numFmtId="189" fontId="13" fillId="0" borderId="4" xfId="0" applyNumberFormat="1" applyFont="1" applyFill="1" applyBorder="1" applyAlignment="1">
      <x:alignment horizontal="right" vertical="center"/>
    </x:xf>
    <x:xf numFmtId="0" fontId="13" fillId="0" borderId="4" xfId="0" applyNumberFormat="1" applyFont="1" applyFill="1" applyBorder="1" applyAlignment="1">
      <x:alignment horizontal="center" vertical="center"/>
    </x:xf>
    <x:xf numFmtId="189" fontId="15" fillId="0" borderId="4" xfId="0" applyNumberFormat="1" applyFont="1" applyFill="1" applyBorder="1" applyAlignment="1">
      <x:alignment horizontal="right" vertical="center"/>
    </x:xf>
    <x:xf numFmtId="0" fontId="16" fillId="0" borderId="0" xfId="0" applyNumberFormat="1" applyFont="1" applyFill="1" applyBorder="1" applyAlignment="1">
      <x:alignment vertical="center"/>
    </x:xf>
    <x:xf numFmtId="0" fontId="16" fillId="0" borderId="4" xfId="0" applyNumberFormat="1" applyFont="1" applyFill="1" applyBorder="1" applyAlignment="1">
      <x:alignment vertical="center"/>
    </x:xf>
    <x:xf numFmtId="0" fontId="16" fillId="0" borderId="4" xfId="0" applyNumberFormat="1" applyFont="1" applyFill="1" applyBorder="1" applyAlignment="1">
      <x:alignment vertical="center" wrapText="1"/>
    </x:xf>
    <x:xf numFmtId="202" fontId="16" fillId="0" borderId="4" xfId="0" applyNumberFormat="1" applyFont="1" applyFill="1" applyBorder="1" applyAlignment="1">
      <x:alignment vertical="center" wrapText="1"/>
    </x:xf>
  </x:cellXfs>
  <x:cellStyles count="11">
    <x:cellStyle name="Comma" xfId="3"/>
    <x:cellStyle name="Comma [0]" xfId="4"/>
    <x:cellStyle name="Currency" xfId="5"/>
    <x:cellStyle name="Currency [0]" xfId="6"/>
    <x:cellStyle name="Normal" xfId="7"/>
    <x:cellStyle name="Percent" xfId="8"/>
    <x:cellStyle name="百分比 2" xfId="9"/>
    <x:cellStyle name="常规" xfId="0"/>
    <x:cellStyle name="常规 2" xfId="1"/>
    <x:cellStyle name="常规 3" xfId="2"/>
    <x:cellStyle name="千位分隔 2" xfId="1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0c64a8f2449fd" /><Relationship Type="http://schemas.openxmlformats.org/officeDocument/2006/relationships/theme" Target="/xl/theme/theme1.xml" Id="R8361081e47a545f4" /><Relationship Type="http://schemas.openxmlformats.org/officeDocument/2006/relationships/sharedStrings" Target="/xl/sharedStrings.xml" Id="R176f1483738d4d49" /><Relationship Type="http://schemas.openxmlformats.org/officeDocument/2006/relationships/worksheet" Target="/xl/worksheets/sheet1.xml" Id="R47a56afc27404e4e" /><Relationship Type="http://schemas.openxmlformats.org/officeDocument/2006/relationships/worksheet" Target="/xl/worksheets/sheet2.xml" Id="Rbc62bed866cb49e5" /><Relationship Type="http://schemas.openxmlformats.org/officeDocument/2006/relationships/worksheet" Target="/xl/worksheets/sheet3.xml" Id="R5e4809fce3c548b2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2.36328125" customWidth="1"/>
    <x:col min="2" max="2" width="11.7265625" customWidth="1"/>
    <x:col min="4" max="4" width="24" hidden="0" customWidth="1"/>
  </x:cols>
  <x:sheetData>
    <x:row r="1">
      <x:c r="A1" t="str">
        <x:v>日期</x:v>
      </x:c>
      <x:c r="B1" t="s">
        <x:v>0</x:v>
      </x:c>
      <x:c r="C1" t="s">
        <x:v>1</x:v>
      </x:c>
      <x:c r="D1" s="16" t="str">
        <x:v>回测+持仓模拟+实盘接续净值</x:v>
      </x:c>
    </x:row>
    <x:row r="2">
      <x:c r="A2" s="2">
        <x:v>45659</x:v>
      </x:c>
      <x:c r="B2" s="1">
        <x:v>1.266199653497678</x:v>
      </x:c>
      <x:c r="D2" s="17" t="n">
        <x:f>B2</x:f>
        <x:v>1.266199653497678</x:v>
      </x:c>
    </x:row>
    <x:row r="3">
      <x:c r="A3" s="2">
        <x:v>45660</x:v>
      </x:c>
      <x:c r="B3" s="1">
        <x:v>1.26580269795654</x:v>
      </x:c>
      <x:c r="D3" s="17" t="n">
        <x:f>B3</x:f>
        <x:v>1.26580269795654</x:v>
      </x:c>
    </x:row>
    <x:row r="4">
      <x:c r="A4" s="2">
        <x:v>45663</x:v>
      </x:c>
      <x:c r="B4" s="1">
        <x:v>1.265608939847283</x:v>
      </x:c>
      <x:c r="D4" s="17" t="n">
        <x:f>B4</x:f>
        <x:v>1.265608939847283</x:v>
      </x:c>
    </x:row>
    <x:row r="5">
      <x:c r="A5" s="2">
        <x:v>45664</x:v>
      </x:c>
      <x:c r="B5" s="1">
        <x:v>1.26752052149064</x:v>
      </x:c>
      <x:c r="D5" s="17" t="n">
        <x:f>B5</x:f>
        <x:v>1.26752052149064</x:v>
      </x:c>
    </x:row>
    <x:row r="6">
      <x:c r="A6" s="2">
        <x:v>45665</x:v>
      </x:c>
      <x:c r="B6" s="1">
        <x:v>1.2674589089460071</x:v>
      </x:c>
      <x:c r="D6" s="17" t="n">
        <x:f>B6</x:f>
        <x:v>1.267458908946007</x:v>
      </x:c>
    </x:row>
    <x:row r="7">
      <x:c r="A7" s="2">
        <x:v>45666</x:v>
      </x:c>
      <x:c r="B7" s="1">
        <x:v>1.266105243548036</x:v>
      </x:c>
      <x:c r="D7" s="17" t="n">
        <x:f>B7</x:f>
        <x:v>1.266105243548036</x:v>
      </x:c>
    </x:row>
    <x:row r="8">
      <x:c r="A8" s="2">
        <x:v>45667</x:v>
      </x:c>
      <x:c r="B8" s="1">
        <x:v>1.264360383196325</x:v>
      </x:c>
      <x:c r="D8" s="17" t="n">
        <x:f>B8</x:f>
        <x:v>1.264360383196325</x:v>
      </x:c>
    </x:row>
    <x:row r="9">
      <x:c r="A9" s="2">
        <x:v>45670</x:v>
      </x:c>
      <x:c r="B9" s="1">
        <x:v>1.2631029617166281</x:v>
      </x:c>
      <x:c r="D9" s="17" t="n">
        <x:f>B9</x:f>
        <x:v>1.263102961716628</x:v>
      </x:c>
    </x:row>
    <x:row r="10">
      <x:c r="A10" s="2">
        <x:v>45671</x:v>
      </x:c>
      <x:c r="B10" s="1">
        <x:v>1.2680233939240459</x:v>
      </x:c>
      <x:c r="D10" s="17" t="n">
        <x:f>B10</x:f>
        <x:v>1.268023393924046</x:v>
      </x:c>
    </x:row>
    <x:row r="11">
      <x:c r="A11" s="2">
        <x:v>45672</x:v>
      </x:c>
      <x:c r="B11" s="1">
        <x:v>1.2677007273278991</x:v>
      </x:c>
      <x:c r="D11" s="17" t="n">
        <x:f>B11</x:f>
        <x:v>1.267700727327899</x:v>
      </x:c>
    </x:row>
    <x:row r="12">
      <x:c r="A12" s="2">
        <x:v>45673</x:v>
      </x:c>
      <x:c r="B12" s="1">
        <x:v>1.2683093369117</x:v>
      </x:c>
      <x:c r="D12" s="17" t="n">
        <x:f>B12</x:f>
        <x:v>1.2683093369117</x:v>
      </x:c>
    </x:row>
    <x:row r="13">
      <x:c r="A13" s="2">
        <x:v>45674</x:v>
      </x:c>
      <x:c r="B13" s="1">
        <x:v>1.2687602862272409</x:v>
      </x:c>
      <x:c r="D13" s="17" t="n">
        <x:f>B13</x:f>
        <x:v>1.268760286227241</x:v>
      </x:c>
    </x:row>
    <x:row r="14">
      <x:c r="A14" s="2">
        <x:v>45677</x:v>
      </x:c>
      <x:c r="B14" s="1">
        <x:v>1.2701789589144059</x:v>
      </x:c>
      <x:c r="D14" s="17" t="n">
        <x:f>B14</x:f>
        <x:v>1.270178958914406</x:v>
      </x:c>
    </x:row>
    <x:row r="15">
      <x:c r="A15" s="2">
        <x:v>45678</x:v>
      </x:c>
      <x:c r="B15" s="1">
        <x:v>1.2727968816200119</x:v>
      </x:c>
      <x:c r="D15" s="17" t="n">
        <x:f>B15</x:f>
        <x:v>1.272796881620012</x:v>
      </x:c>
    </x:row>
    <x:row r="16">
      <x:c r="A16" s="2">
        <x:v>45679</x:v>
      </x:c>
      <x:c r="B16" s="1">
        <x:v>1.274284572780888</x:v>
      </x:c>
      <x:c r="D16" s="17" t="n">
        <x:f>B16</x:f>
        <x:v>1.274284572780888</x:v>
      </x:c>
    </x:row>
    <x:row r="17">
      <x:c r="A17" s="2">
        <x:v>45680</x:v>
      </x:c>
      <x:c r="B17" s="1">
        <x:v>1.272751751531267</x:v>
      </x:c>
      <x:c r="D17" s="17" t="n">
        <x:f>B17</x:f>
        <x:v>1.272751751531267</x:v>
      </x:c>
    </x:row>
    <x:row r="18">
      <x:c r="A18" s="2">
        <x:v>45681</x:v>
      </x:c>
      <x:c r="B18" s="1">
        <x:v>1.2744640387261379</x:v>
      </x:c>
      <x:c r="D18" s="17" t="n">
        <x:f>B18</x:f>
        <x:v>1.274464038726138</x:v>
      </x:c>
    </x:row>
    <x:row r="19">
      <x:c r="A19" s="2">
        <x:v>45684</x:v>
      </x:c>
      <x:c r="B19" s="1">
        <x:v>1.2736348914665061</x:v>
      </x:c>
      <x:c r="D19" s="17" t="n">
        <x:f>B19</x:f>
        <x:v>1.273634891466506</x:v>
      </x:c>
    </x:row>
    <x:row r="20">
      <x:c r="A20" s="2">
        <x:v>45693</x:v>
      </x:c>
      <x:c r="B20" s="1">
        <x:v>1.2749778022920399</x:v>
      </x:c>
      <x:c r="D20" s="17" t="n">
        <x:f>B20</x:f>
        <x:v>1.27497780229204</x:v>
      </x:c>
    </x:row>
    <x:row r="21">
      <x:c r="A21" s="2">
        <x:v>45694</x:v>
      </x:c>
      <x:c r="B21" s="1">
        <x:v>1.2792723360086351</x:v>
      </x:c>
      <x:c r="D21" s="17" t="n">
        <x:f>B21</x:f>
        <x:v>1.279272336008635</x:v>
      </x:c>
    </x:row>
    <x:row r="22">
      <x:c r="A22" s="2">
        <x:v>45695</x:v>
      </x:c>
      <x:c r="B22" s="1">
        <x:v>1.2812143495981989</x:v>
      </x:c>
      <x:c r="D22" s="17" t="n">
        <x:f>B22</x:f>
        <x:v>1.281214349598199</x:v>
      </x:c>
    </x:row>
    <x:row r="23">
      <x:c r="A23" s="2">
        <x:v>45698</x:v>
      </x:c>
      <x:c r="B23" s="1">
        <x:v>1.2823208496522589</x:v>
      </x:c>
      <x:c r="D23" s="17" t="n">
        <x:f>B23</x:f>
        <x:v>1.282320849652259</x:v>
      </x:c>
    </x:row>
    <x:row r="24">
      <x:c r="A24" s="2">
        <x:v>45699</x:v>
      </x:c>
      <x:c r="B24" s="1">
        <x:v>1.2831695501425779</x:v>
      </x:c>
      <x:c r="D24" s="17" t="n">
        <x:f>B24</x:f>
        <x:v>1.283169550142578</x:v>
      </x:c>
    </x:row>
    <x:row r="25">
      <x:c r="A25" s="2">
        <x:v>45700</x:v>
      </x:c>
      <x:c r="B25" s="1">
        <x:v>1.2845827131831331</x:v>
      </x:c>
      <x:c r="D25" s="17" t="n">
        <x:f>B25</x:f>
        <x:v>1.284582713183133</x:v>
      </x:c>
    </x:row>
    <x:row r="26">
      <x:c r="A26" s="2">
        <x:v>45701</x:v>
      </x:c>
      <x:c r="B26" s="1">
        <x:v>1.2825657366663361</x:v>
      </x:c>
      <x:c r="D26" s="17" t="n">
        <x:f>B26</x:f>
        <x:v>1.282565736666336</x:v>
      </x:c>
    </x:row>
    <x:row r="27">
      <x:c r="A27" s="2">
        <x:v>45702</x:v>
      </x:c>
      <x:c r="B27" s="1">
        <x:v>1.2822088882054921</x:v>
      </x:c>
      <x:c r="D27" s="17" t="n">
        <x:f>B27</x:f>
        <x:v>1.282208888205492</x:v>
      </x:c>
    </x:row>
    <x:row r="28">
      <x:c r="A28" s="2">
        <x:v>45705</x:v>
      </x:c>
      <x:c r="B28" s="1">
        <x:v>1.281301435103817</x:v>
      </x:c>
      <x:c r="D28" s="17" t="n">
        <x:f>B28</x:f>
        <x:v>1.281301435103817</x:v>
      </x:c>
    </x:row>
    <x:row r="29">
      <x:c r="A29" s="2">
        <x:v>45706</x:v>
      </x:c>
      <x:c r="B29" s="1">
        <x:v>1.2783964357067501</x:v>
      </x:c>
      <x:c r="D29" s="17" t="n">
        <x:f>B29</x:f>
        <x:v>1.27839643570675</x:v>
      </x:c>
    </x:row>
    <x:row r="30">
      <x:c r="A30" s="2">
        <x:v>45707</x:v>
      </x:c>
      <x:c r="B30" s="1">
        <x:v>1.2816230539583009</x:v>
      </x:c>
      <x:c r="D30" s="17" t="n">
        <x:f>B30</x:f>
        <x:v>1.281623053958301</x:v>
      </x:c>
    </x:row>
    <x:row r="31">
      <x:c r="A31" s="2">
        <x:v>45708</x:v>
      </x:c>
      <x:c r="B31" s="1">
        <x:v>1.2811345987377289</x:v>
      </x:c>
      <x:c r="D31" s="17" t="n">
        <x:f>B31</x:f>
        <x:v>1.281134598737729</x:v>
      </x:c>
    </x:row>
    <x:row r="32">
      <x:c r="A32" s="2">
        <x:v>45709</x:v>
      </x:c>
      <x:c r="B32" s="1">
        <x:v>1.2809850623416721</x:v>
      </x:c>
      <x:c r="D32" s="17" t="n">
        <x:f>B32</x:f>
        <x:v>1.280985062341672</x:v>
      </x:c>
    </x:row>
    <x:row r="33">
      <x:c r="A33" s="2">
        <x:v>45712</x:v>
      </x:c>
      <x:c r="B33" s="1">
        <x:v>1.27640824947332</x:v>
      </x:c>
      <x:c r="D33" s="17" t="n">
        <x:f>B33</x:f>
        <x:v>1.27640824947332</x:v>
      </x:c>
    </x:row>
    <x:row r="34">
      <x:c r="A34" s="2">
        <x:v>45713</x:v>
      </x:c>
      <x:c r="B34" s="1">
        <x:v>1.27536312127671</x:v>
      </x:c>
      <x:c r="D34" s="17" t="n">
        <x:f>B34</x:f>
        <x:v>1.27536312127671</x:v>
      </x:c>
    </x:row>
    <x:row r="35">
      <x:c r="A35" s="2">
        <x:v>45714</x:v>
      </x:c>
      <x:c r="B35" s="1">
        <x:v>1.2759246381427309</x:v>
      </x:c>
      <x:c r="D35" s="17" t="n">
        <x:f>B35</x:f>
        <x:v>1.275924638142731</x:v>
      </x:c>
    </x:row>
    <x:row r="36">
      <x:c r="A36" s="2">
        <x:v>45715</x:v>
      </x:c>
      <x:c r="B36" s="1">
        <x:v>1.272434416043033</x:v>
      </x:c>
      <x:c r="D36" s="17" t="n">
        <x:f>B36</x:f>
        <x:v>1.272434416043033</x:v>
      </x:c>
    </x:row>
    <x:row r="37">
      <x:c r="A37" s="2">
        <x:v>45716</x:v>
      </x:c>
      <x:c r="B37" s="1">
        <x:v>1.2670162685867921</x:v>
      </x:c>
      <x:c r="D37" s="17" t="n">
        <x:f>B37</x:f>
        <x:v>1.267016268586792</x:v>
      </x:c>
    </x:row>
    <x:row r="38">
      <x:c r="A38" s="2">
        <x:v>45719</x:v>
      </x:c>
      <x:c r="B38" s="1">
        <x:v>1.2678235285853281</x:v>
      </x:c>
      <x:c r="D38" s="17" t="n">
        <x:f>B38</x:f>
        <x:v>1.267823528585328</x:v>
      </x:c>
    </x:row>
    <x:row r="39">
      <x:c r="A39" s="2">
        <x:v>45720</x:v>
      </x:c>
      <x:c r="B39" s="1">
        <x:v>1.269542267287932</x:v>
      </x:c>
      <x:c r="D39" s="17" t="n">
        <x:f>B39</x:f>
        <x:v>1.269542267287932</x:v>
      </x:c>
    </x:row>
    <x:row r="40">
      <x:c r="A40" s="2">
        <x:v>45721</x:v>
      </x:c>
      <x:c r="B40" s="1">
        <x:v>1.2709607016529549</x:v>
      </x:c>
      <x:c r="D40" s="17" t="n">
        <x:f>B40</x:f>
        <x:v>1.270960701652955</x:v>
      </x:c>
    </x:row>
    <x:row r="41">
      <x:c r="A41" s="2">
        <x:v>45722</x:v>
      </x:c>
      <x:c r="B41" s="1">
        <x:v>1.2722838101486671</x:v>
      </x:c>
      <x:c r="D41" s="17" t="n">
        <x:f>B41</x:f>
        <x:v>1.272283810148667</x:v>
      </x:c>
    </x:row>
    <x:row r="42">
      <x:c r="A42" s="2">
        <x:v>45723</x:v>
      </x:c>
      <x:c r="B42" s="1">
        <x:v>1.268203522046254</x:v>
      </x:c>
      <x:c r="D42" s="17" t="n">
        <x:f>B42</x:f>
        <x:v>1.268203522046254</x:v>
      </x:c>
    </x:row>
    <x:row r="43">
      <x:c r="A43" s="2">
        <x:v>45726</x:v>
      </x:c>
      <x:c r="B43" s="1">
        <x:v>1.267186934680345</x:v>
      </x:c>
      <x:c r="D43" s="17" t="n">
        <x:f>B43</x:f>
        <x:v>1.267186934680345</x:v>
      </x:c>
    </x:row>
    <x:row r="44">
      <x:c r="A44" s="2">
        <x:v>45727</x:v>
      </x:c>
      <x:c r="B44" s="1">
        <x:v>1.2631946185568239</x:v>
      </x:c>
      <x:c r="D44" s="17" t="n">
        <x:f>B44</x:f>
        <x:v>1.263194618556824</x:v>
      </x:c>
    </x:row>
    <x:row r="45">
      <x:c r="A45" s="2">
        <x:v>45728</x:v>
      </x:c>
      <x:c r="B45" s="1">
        <x:v>1.265065692624979</x:v>
      </x:c>
      <x:c r="D45" s="17" t="n">
        <x:f>B45</x:f>
        <x:v>1.265065692624979</x:v>
      </x:c>
    </x:row>
    <x:row r="46">
      <x:c r="A46" s="2">
        <x:v>45729</x:v>
      </x:c>
      <x:c r="B46" s="1">
        <x:v>1.2640748533382149</x:v>
      </x:c>
      <x:c r="D46" s="17" t="n">
        <x:f>B46</x:f>
        <x:v>1.264074853338215</x:v>
      </x:c>
    </x:row>
    <x:row r="47">
      <x:c r="A47" s="2">
        <x:v>45730</x:v>
      </x:c>
      <x:c r="B47" s="1">
        <x:v>1.267466891018123</x:v>
      </x:c>
      <x:c r="D47" s="17" t="n">
        <x:f>B47</x:f>
        <x:v>1.267466891018123</x:v>
      </x:c>
    </x:row>
    <x:row r="48">
      <x:c r="A48" s="2">
        <x:v>45733</x:v>
      </x:c>
      <x:c r="B48" s="1">
        <x:v>1.264815614958031</x:v>
      </x:c>
      <x:c r="D48" s="17" t="n">
        <x:f>B48</x:f>
        <x:v>1.264815614958031</x:v>
      </x:c>
    </x:row>
    <x:row r="49">
      <x:c r="A49" s="2">
        <x:v>45734</x:v>
      </x:c>
      <x:c r="B49" s="1">
        <x:v>1.2664519515380299</x:v>
      </x:c>
      <x:c r="D49" s="17" t="n">
        <x:f>B49</x:f>
        <x:v>1.26645195153803</x:v>
      </x:c>
    </x:row>
    <x:row r="50">
      <x:c r="A50" s="2">
        <x:v>45735</x:v>
      </x:c>
      <x:c r="B50" s="1">
        <x:v>1.2662449807656</x:v>
      </x:c>
      <x:c r="D50" s="17" t="n">
        <x:f>B50</x:f>
        <x:v>1.2662449807656</x:v>
      </x:c>
    </x:row>
    <x:row r="51">
      <x:c r="A51" s="2">
        <x:v>45736</x:v>
      </x:c>
      <x:c r="B51" s="1">
        <x:v>1.267916039820969</x:v>
      </x:c>
      <x:c r="D51" s="17" t="n">
        <x:f>B51</x:f>
        <x:v>1.267916039820969</x:v>
      </x:c>
    </x:row>
    <x:row r="52">
      <x:c r="A52" s="2">
        <x:v>45737</x:v>
      </x:c>
      <x:c r="B52" s="1">
        <x:v>1.2651227041941051</x:v>
      </x:c>
      <x:c r="D52" s="17" t="n">
        <x:f>B52</x:f>
        <x:v>1.265122704194105</x:v>
      </x:c>
    </x:row>
    <x:row r="53">
      <x:c r="A53" s="2">
        <x:v>45740</x:v>
      </x:c>
      <x:c r="B53" s="1">
        <x:v>1.265157828140103</x:v>
      </x:c>
      <x:c r="D53" s="17" t="n">
        <x:f>B53</x:f>
        <x:v>1.265157828140103</x:v>
      </x:c>
    </x:row>
    <x:row r="54">
      <x:c r="A54" s="2">
        <x:v>45741</x:v>
      </x:c>
      <x:c r="B54" s="1">
        <x:v>1.2648779752595909</x:v>
      </x:c>
      <x:c r="D54" s="17" t="n">
        <x:f>B54</x:f>
        <x:v>1.264877975259591</x:v>
      </x:c>
    </x:row>
    <x:row r="55">
      <x:c r="A55" s="2">
        <x:v>45742</x:v>
      </x:c>
      <x:c r="B55" s="1">
        <x:v>1.266318653985931</x:v>
      </x:c>
      <x:c r="D55" s="17" t="n">
        <x:f>B55</x:f>
        <x:v>1.266318653985931</x:v>
      </x:c>
    </x:row>
    <x:row r="56">
      <x:c r="A56" s="2">
        <x:v>45743</x:v>
      </x:c>
      <x:c r="B56" s="1">
        <x:v>1.26665729617607</x:v>
      </x:c>
      <x:c r="D56" s="17" t="n">
        <x:f>B56</x:f>
        <x:v>1.26665729617607</x:v>
      </x:c>
    </x:row>
    <x:row r="57">
      <x:c r="A57" s="2">
        <x:v>45744</x:v>
      </x:c>
      <x:c r="B57" s="1">
        <x:v>1.267057414919279</x:v>
      </x:c>
      <x:c r="D57" s="17" t="n">
        <x:f>B57</x:f>
        <x:v>1.267057414919279</x:v>
      </x:c>
    </x:row>
    <x:row r="58">
      <x:c r="A58" s="2">
        <x:v>45747</x:v>
      </x:c>
      <x:c r="B58" s="1">
        <x:v>1.268168513324615</x:v>
      </x:c>
      <x:c r="D58" s="17" t="n">
        <x:f>B58</x:f>
        <x:v>1.268168513324615</x:v>
      </x:c>
    </x:row>
    <x:row r="59">
      <x:c r="A59" s="2">
        <x:v>45748</x:v>
      </x:c>
      <x:c r="B59" s="1">
        <x:v>1.2690588400109271</x:v>
      </x:c>
      <x:c r="D59" s="17" t="n">
        <x:f>B59</x:f>
        <x:v>1.269058840010927</x:v>
      </x:c>
    </x:row>
    <x:row r="60">
      <x:c r="A60" s="2">
        <x:v>45749</x:v>
      </x:c>
      <x:c r="B60" s="1">
        <x:v>1.270681595680508</x:v>
      </x:c>
      <x:c r="D60" s="17" t="n">
        <x:f>B60</x:f>
        <x:v>1.270681595680508</x:v>
      </x:c>
    </x:row>
    <x:row r="61">
      <x:c r="A61" s="2">
        <x:v>45750</x:v>
      </x:c>
      <x:c r="B61" s="1">
        <x:v>1.2732721211461639</x:v>
      </x:c>
      <x:c r="D61" s="17" t="n">
        <x:f>B61</x:f>
        <x:v>1.273272121146164</x:v>
      </x:c>
    </x:row>
    <x:row r="62">
      <x:c r="A62" s="2">
        <x:v>45754</x:v>
      </x:c>
      <x:c r="B62" s="1">
        <x:v>1.262691641880817</x:v>
      </x:c>
      <x:c r="D62" s="17" t="n">
        <x:f>B62</x:f>
        <x:v>1.262691641880817</x:v>
      </x:c>
    </x:row>
    <x:row r="63">
      <x:c r="A63" s="2">
        <x:v>45755</x:v>
      </x:c>
      <x:c r="B63" s="1">
        <x:v>1.259830505341424</x:v>
      </x:c>
      <x:c r="D63" s="17" t="n">
        <x:f>B63</x:f>
        <x:v>1.259830505341424</x:v>
      </x:c>
    </x:row>
    <x:row r="64">
      <x:c r="A64" s="2">
        <x:v>45756</x:v>
      </x:c>
      <x:c r="B64" s="1">
        <x:v>1.2634518448580301</x:v>
      </x:c>
      <x:c r="D64" s="17" t="n">
        <x:f>B64</x:f>
        <x:v>1.26345184485803</x:v>
      </x:c>
    </x:row>
    <x:row r="65">
      <x:c r="A65" s="2">
        <x:v>45757</x:v>
      </x:c>
      <x:c r="B65" s="1">
        <x:v>1.267354142699743</x:v>
      </x:c>
      <x:c r="D65" s="17" t="n">
        <x:f>B65</x:f>
        <x:v>1.267354142699743</x:v>
      </x:c>
    </x:row>
    <x:row r="66">
      <x:c r="A66" s="2">
        <x:v>45758</x:v>
      </x:c>
      <x:c r="B66" s="1">
        <x:v>1.271035834810043</x:v>
      </x:c>
      <x:c r="D66" s="17" t="n">
        <x:f>B66</x:f>
        <x:v>1.271035834810043</x:v>
      </x:c>
    </x:row>
    <x:row r="67">
      <x:c r="A67" s="2">
        <x:v>45761</x:v>
      </x:c>
      <x:c r="B67" s="1">
        <x:v>1.272736179479935</x:v>
      </x:c>
      <x:c r="D67" s="17" t="n">
        <x:f>B67</x:f>
        <x:v>1.272736179479935</x:v>
      </x:c>
    </x:row>
    <x:row r="68">
      <x:c r="A68" s="2">
        <x:v>45762</x:v>
      </x:c>
      <x:c r="B68" s="1">
        <x:v>1.272310671225904</x:v>
      </x:c>
      <x:c r="D68" s="17" t="n">
        <x:f>B68</x:f>
        <x:v>1.272310671225904</x:v>
      </x:c>
    </x:row>
    <x:row r="69">
      <x:c r="A69" s="2">
        <x:v>45763</x:v>
      </x:c>
      <x:c r="B69" s="1">
        <x:v>1.2732677952684059</x:v>
      </x:c>
      <x:c r="D69" s="17" t="n">
        <x:f>B69</x:f>
        <x:v>1.273267795268406</x:v>
      </x:c>
    </x:row>
    <x:row r="70">
      <x:c r="A70" s="2">
        <x:v>45764</x:v>
      </x:c>
      <x:c r="B70" s="1">
        <x:v>1.2733013544371901</x:v>
      </x:c>
      <x:c r="D70" s="17" t="n">
        <x:f>B70</x:f>
        <x:v>1.27330135443719</x:v>
      </x:c>
    </x:row>
    <x:row r="71">
      <x:c r="A71" s="2">
        <x:v>45765</x:v>
      </x:c>
      <x:c r="B71" s="1">
        <x:v>1.273616314826217</x:v>
      </x:c>
      <x:c r="D71" s="17" t="n">
        <x:f>B71</x:f>
        <x:v>1.273616314826217</x:v>
      </x:c>
    </x:row>
    <x:row r="72">
      <x:c r="A72" s="2">
        <x:v>45768</x:v>
      </x:c>
      <x:c r="B72" s="1">
        <x:v>1.276869851361573</x:v>
      </x:c>
      <x:c r="D72" s="17" t="n">
        <x:f>B72</x:f>
        <x:v>1.276869851361573</x:v>
      </x:c>
    </x:row>
    <x:row r="73">
      <x:c r="A73" s="2">
        <x:v>45769</x:v>
      </x:c>
      <x:c r="B73" s="1">
        <x:v>1.278814449610274</x:v>
      </x:c>
      <x:c r="D73" s="17" t="n">
        <x:f>B73</x:f>
        <x:v>1.278814449610274</x:v>
      </x:c>
    </x:row>
    <x:row r="74">
      <x:c r="A74" s="2">
        <x:v>45770</x:v>
      </x:c>
      <x:c r="B74" s="1">
        <x:v>1.2761628532174549</x:v>
      </x:c>
      <x:c r="D74" s="17" t="n">
        <x:f>B74</x:f>
        <x:v>1.276162853217455</x:v>
      </x:c>
    </x:row>
    <x:row r="75">
      <x:c r="A75" s="2">
        <x:v>45771</x:v>
      </x:c>
      <x:c r="B75" s="1">
        <x:v>1.275568027053678</x:v>
      </x:c>
      <x:c r="D75" s="17" t="n">
        <x:f>B75</x:f>
        <x:v>1.275568027053678</x:v>
      </x:c>
    </x:row>
    <x:row r="76">
      <x:c r="A76" s="2">
        <x:v>45772</x:v>
      </x:c>
      <x:c r="B76" s="1">
        <x:v>1.275736906071828</x:v>
      </x:c>
      <x:c r="D76" s="17" t="n">
        <x:f>B76</x:f>
        <x:v>1.275736906071828</x:v>
      </x:c>
    </x:row>
    <x:row r="77">
      <x:c r="A77" s="2">
        <x:v>45775</x:v>
      </x:c>
      <x:c r="B77" s="1">
        <x:v>1.275295601225146</x:v>
      </x:c>
      <x:c r="D77" s="17" t="n">
        <x:f>B77</x:f>
        <x:v>1.275295601225146</x:v>
      </x:c>
    </x:row>
    <x:row r="78">
      <x:c r="A78" s="2">
        <x:v>45776</x:v>
      </x:c>
      <x:c r="B78" s="1">
        <x:v>1.277569639222111</x:v>
      </x:c>
      <x:c r="D78" s="17" t="n">
        <x:f>B78</x:f>
        <x:v>1.277569639222111</x:v>
      </x:c>
    </x:row>
    <x:row r="79">
      <x:c r="A79" s="2">
        <x:v>45777</x:v>
      </x:c>
      <x:c r="B79" s="1">
        <x:v>1.2797093181394139</x:v>
      </x:c>
      <x:c r="D79" s="17" t="n">
        <x:f>B79</x:f>
        <x:v>1.279709318139414</x:v>
      </x:c>
    </x:row>
    <x:row r="80">
      <x:c r="A80" s="2">
        <x:v>45783</x:v>
      </x:c>
      <x:c r="B80" s="1">
        <x:v>1.283847820217489</x:v>
      </x:c>
      <x:c r="D80" s="17" t="n">
        <x:f>B80</x:f>
        <x:v>1.283847820217489</x:v>
      </x:c>
    </x:row>
    <x:row r="81">
      <x:c r="A81" s="2">
        <x:v>45784</x:v>
      </x:c>
      <x:c r="B81" s="1">
        <x:v>1.2837152089746231</x:v>
      </x:c>
      <x:c r="D81" s="17" t="n">
        <x:f>B81</x:f>
        <x:v>1.283715208974623</x:v>
      </x:c>
    </x:row>
    <x:row r="82">
      <x:c r="A82" s="2">
        <x:v>45785</x:v>
      </x:c>
      <x:c r="B82" s="1">
        <x:v>1.284600925135138</x:v>
      </x:c>
      <x:c r="D82" s="17" t="n">
        <x:f>B82</x:f>
        <x:v>1.284600925135138</x:v>
      </x:c>
    </x:row>
    <x:row r="83">
      <x:c r="A83" s="2">
        <x:v>45786</x:v>
      </x:c>
      <x:c r="B83" s="1">
        <x:v>1.2834447882078699</x:v>
      </x:c>
      <x:c r="D83" s="17" t="n">
        <x:f>B83</x:f>
        <x:v>1.28344478820787</x:v>
      </x:c>
    </x:row>
    <x:row r="84">
      <x:c r="A84" s="2">
        <x:v>45789</x:v>
      </x:c>
      <x:c r="B84" s="1">
        <x:v>1.280386841420633</x:v>
      </x:c>
      <x:c r="D84" s="17" t="n">
        <x:f>B84</x:f>
        <x:v>1.280386841420633</x:v>
      </x:c>
    </x:row>
    <x:row r="85">
      <x:c r="A85" s="2">
        <x:v>45790</x:v>
      </x:c>
      <x:c r="B85" s="1">
        <x:v>1.2810735952305841</x:v>
      </x:c>
      <x:c r="D85" s="17" t="n">
        <x:f>B85</x:f>
        <x:v>1.281073595230584</x:v>
      </x:c>
    </x:row>
    <x:row r="86">
      <x:c r="A86" s="2">
        <x:v>45791</x:v>
      </x:c>
      <x:c r="B86" s="1">
        <x:v>1.2807666311250041</x:v>
      </x:c>
      <x:c r="D86" s="17" t="n">
        <x:f>B86</x:f>
        <x:v>1.280766631125004</x:v>
      </x:c>
    </x:row>
    <x:row r="87">
      <x:c r="A87" s="2">
        <x:v>45792</x:v>
      </x:c>
      <x:c r="B87" s="1">
        <x:v>1.2759519622239239</x:v>
      </x:c>
      <x:c r="D87" s="17" t="n">
        <x:f>B87</x:f>
        <x:v>1.275951962223924</x:v>
      </x:c>
    </x:row>
    <x:row r="88">
      <x:c r="A88" s="2">
        <x:v>45793</x:v>
      </x:c>
      <x:c r="B88" s="1">
        <x:v>1.277153601203642</x:v>
      </x:c>
      <x:c r="D88" s="17" t="n">
        <x:f>B88</x:f>
        <x:v>1.277153601203642</x:v>
      </x:c>
    </x:row>
    <x:row r="89">
      <x:c r="A89" s="2">
        <x:v>45796</x:v>
      </x:c>
      <x:c r="B89" s="1">
        <x:v>1.278681819304587</x:v>
      </x:c>
      <x:c r="D89" s="17" t="n">
        <x:f>B89</x:f>
        <x:v>1.278681819304587</x:v>
      </x:c>
    </x:row>
    <x:row r="90">
      <x:c r="A90" s="2">
        <x:v>45797</x:v>
      </x:c>
      <x:c r="B90" s="1">
        <x:v>1.27976616070238</x:v>
      </x:c>
      <x:c r="D90" s="17" t="n">
        <x:f>B90</x:f>
        <x:v>1.27976616070238</x:v>
      </x:c>
    </x:row>
    <x:row r="91">
      <x:c r="A91" s="2">
        <x:v>45798</x:v>
      </x:c>
      <x:c r="B91" s="1">
        <x:v>1.281292537273363</x:v>
      </x:c>
      <x:c r="D91" s="17" t="n">
        <x:f>B91</x:f>
        <x:v>1.281292537273363</x:v>
      </x:c>
    </x:row>
    <x:row r="92">
      <x:c r="A92" s="2">
        <x:v>45799</x:v>
      </x:c>
      <x:c r="B92" s="1">
        <x:v>1.2812431189877149</x:v>
      </x:c>
      <x:c r="D92" s="17" t="n">
        <x:f>B92</x:f>
        <x:v>1.281243118987715</x:v>
      </x:c>
    </x:row>
    <x:row r="93">
      <x:c r="A93" s="2">
        <x:v>45800</x:v>
      </x:c>
      <x:c r="B93" s="1">
        <x:v>1.2795819058239899</x:v>
      </x:c>
      <x:c r="D93" s="17" t="n">
        <x:f>B93</x:f>
        <x:v>1.27958190582399</x:v>
      </x:c>
    </x:row>
    <x:row r="94">
      <x:c r="A94" s="2">
        <x:v>45803</x:v>
      </x:c>
      <x:c r="B94" s="1">
        <x:v>1.2801511367289991</x:v>
      </x:c>
      <x:c r="D94" s="17" t="n">
        <x:f>B94</x:f>
        <x:v>1.280151136728999</x:v>
      </x:c>
    </x:row>
    <x:row r="95">
      <x:c r="A95" s="2">
        <x:v>45804</x:v>
      </x:c>
      <x:c r="B95" s="1">
        <x:v>1.2782998976745319</x:v>
      </x:c>
      <x:c r="D95" s="17" t="n">
        <x:f>B95</x:f>
        <x:v>1.278299897674532</x:v>
      </x:c>
    </x:row>
    <x:row r="96">
      <x:c r="A96" s="2">
        <x:v>45805</x:v>
      </x:c>
      <x:c r="B96" s="1">
        <x:v>1.278483426935763</x:v>
      </x:c>
      <x:c r="D96" s="17" t="n">
        <x:f>B96</x:f>
        <x:v>1.278483426935763</x:v>
      </x:c>
    </x:row>
    <x:row r="97">
      <x:c r="A97" s="2">
        <x:v>45806</x:v>
      </x:c>
      <x:c r="B97" s="1">
        <x:v>1.278729098579382</x:v>
      </x:c>
      <x:c r="D97" s="17" t="n">
        <x:f>B97</x:f>
        <x:v>1.278729098579382</x:v>
      </x:c>
    </x:row>
    <x:row r="98">
      <x:c r="A98" s="2">
        <x:v>45807</x:v>
      </x:c>
      <x:c r="B98" s="1">
        <x:v>1.2790842252566359</x:v>
      </x:c>
      <x:c r="D98" s="17" t="n">
        <x:f>B98</x:f>
        <x:v>1.279084225256636</x:v>
      </x:c>
    </x:row>
    <x:row r="99">
      <x:c r="A99" s="2">
        <x:v>45811</x:v>
      </x:c>
      <x:c r="B99" s="1">
        <x:v>1.280365278257092</x:v>
      </x:c>
      <x:c r="D99" s="17" t="n">
        <x:f>B99</x:f>
        <x:v>1.280365278257092</x:v>
      </x:c>
    </x:row>
    <x:row r="100">
      <x:c r="A100" s="2">
        <x:v>45812</x:v>
      </x:c>
      <x:c r="B100" s="1">
        <x:v>1.2826416468360871</x:v>
      </x:c>
      <x:c r="D100" s="17" t="n">
        <x:f>B100</x:f>
        <x:v>1.282641646836087</x:v>
      </x:c>
    </x:row>
    <x:row r="101">
      <x:c r="A101" s="2">
        <x:v>45813</x:v>
      </x:c>
      <x:c r="B101" s="1">
        <x:v>1.2852111186940181</x:v>
      </x:c>
      <x:c r="D101" s="17" t="n">
        <x:f>B101</x:f>
        <x:v>1.285211118694018</x:v>
      </x:c>
    </x:row>
    <x:row r="102">
      <x:c r="A102" s="2">
        <x:v>45814</x:v>
      </x:c>
      <x:c r="B102" s="1">
        <x:v>1.2858849505236249</x:v>
      </x:c>
      <x:c r="D102" s="17" t="n">
        <x:f>B102</x:f>
        <x:v>1.285884950523625</x:v>
      </x:c>
    </x:row>
    <x:row r="103">
      <x:c r="A103" s="2">
        <x:v>45817</x:v>
      </x:c>
      <x:c r="B103" s="1">
        <x:v>1.2865729075513781</x:v>
      </x:c>
      <x:c r="D103" s="17" t="n">
        <x:f>B103</x:f>
        <x:v>1.286572907551378</x:v>
      </x:c>
    </x:row>
    <x:row r="104">
      <x:c r="A104" s="2">
        <x:v>45818</x:v>
      </x:c>
      <x:c r="B104" s="1">
        <x:v>1.285960849649483</x:v>
      </x:c>
      <x:c r="D104" s="17" t="n">
        <x:f>B104</x:f>
        <x:v>1.285960849649483</x:v>
      </x:c>
    </x:row>
    <x:row r="105">
      <x:c r="A105" s="2">
        <x:v>45819</x:v>
      </x:c>
      <x:c r="B105" s="1">
        <x:v>1.2876198635673539</x:v>
      </x:c>
      <x:c r="D105" s="17" t="n">
        <x:f>B105</x:f>
        <x:v>1.287619863567354</x:v>
      </x:c>
    </x:row>
    <x:row r="106">
      <x:c r="A106" s="2">
        <x:v>45820</x:v>
      </x:c>
      <x:c r="B106" s="1">
        <x:v>1.2892796362110011</x:v>
      </x:c>
      <x:c r="D106" s="17" t="n">
        <x:f>B106</x:f>
        <x:v>1.289279636211001</x:v>
      </x:c>
    </x:row>
    <x:row r="107">
      <x:c r="A107" s="2">
        <x:v>45821</x:v>
      </x:c>
      <x:c r="B107" s="1">
        <x:v>1.289274508081371</x:v>
      </x:c>
      <x:c r="D107" s="17" t="n">
        <x:f>B107</x:f>
        <x:v>1.289274508081371</x:v>
      </x:c>
    </x:row>
    <x:row r="108">
      <x:c r="A108" s="2">
        <x:v>45824</x:v>
      </x:c>
      <x:c r="B108" s="1">
        <x:v>1.2907679643473109</x:v>
      </x:c>
      <x:c r="D108" s="17" t="n">
        <x:f>B108</x:f>
        <x:v>1.290767964347311</x:v>
      </x:c>
    </x:row>
    <x:row r="109">
      <x:c r="A109" s="2">
        <x:v>45825</x:v>
      </x:c>
      <x:c r="B109" s="1">
        <x:v>1.290624769782903</x:v>
      </x:c>
      <x:c r="D109" s="17" t="n">
        <x:f>B109</x:f>
        <x:v>1.290624769782903</x:v>
      </x:c>
    </x:row>
    <x:row r="110">
      <x:c r="A110" s="2">
        <x:v>45826</x:v>
      </x:c>
      <x:c r="B110" s="1">
        <x:v>1.2927418406672451</x:v>
      </x:c>
      <x:c r="D110" s="17" t="n">
        <x:f>B110</x:f>
        <x:v>1.292741840667245</x:v>
      </x:c>
    </x:row>
    <x:row r="111">
      <x:c r="A111" s="2">
        <x:v>45827</x:v>
      </x:c>
      <x:c r="B111" s="1">
        <x:v>1.292056318489232</x:v>
      </x:c>
      <x:c r="D111" s="17" t="n">
        <x:f>B111</x:f>
        <x:v>1.292056318489232</x:v>
      </x:c>
    </x:row>
    <x:row r="112">
      <x:c r="A112" s="2">
        <x:v>45828</x:v>
      </x:c>
      <x:c r="B112" s="1">
        <x:v>1.2915545976496561</x:v>
      </x:c>
      <x:c r="D112" s="17" t="n">
        <x:f>B112</x:f>
        <x:v>1.291554597649656</x:v>
      </x:c>
    </x:row>
    <x:row r="113">
      <x:c r="A113" s="2">
        <x:v>45831</x:v>
      </x:c>
      <x:c r="B113" s="1">
        <x:v>1.2920475961219839</x:v>
      </x:c>
      <x:c r="D113" s="17" t="n">
        <x:f>B113</x:f>
        <x:v>1.292047596121984</x:v>
      </x:c>
    </x:row>
    <x:row r="114">
      <x:c r="A114" s="2">
        <x:v>45832</x:v>
      </x:c>
      <x:c r="B114" s="1">
        <x:v>1.292079144978975</x:v>
      </x:c>
      <x:c r="D114" s="17" t="n">
        <x:f>B114</x:f>
        <x:v>1.292079144978975</x:v>
      </x:c>
    </x:row>
    <x:row r="115">
      <x:c r="A115" s="2">
        <x:v>45833</x:v>
      </x:c>
      <x:c r="B115" s="1">
        <x:v>1.293257600259331</x:v>
      </x:c>
      <x:c r="D115" s="17" t="n">
        <x:f>B115</x:f>
        <x:v>1.293257600259331</x:v>
      </x:c>
    </x:row>
    <x:row r="116">
      <x:c r="A116" s="2">
        <x:v>45834</x:v>
      </x:c>
      <x:c r="B116" s="1">
        <x:v>1.2936136591670451</x:v>
      </x:c>
      <x:c r="D116" s="17" t="n">
        <x:f>B116</x:f>
        <x:v>1.293613659167045</x:v>
      </x:c>
    </x:row>
    <x:row r="117">
      <x:c r="A117" s="2">
        <x:v>45835</x:v>
      </x:c>
      <x:c r="B117" s="1">
        <x:v>1.294480839447903</x:v>
      </x:c>
      <x:c r="D117" s="17" t="n">
        <x:f>B117</x:f>
        <x:v>1.294480839447903</x:v>
      </x:c>
    </x:row>
    <x:row r="118">
      <x:c r="A118" s="2">
        <x:v>45838</x:v>
      </x:c>
      <x:c r="B118" s="1">
        <x:v>1.2959763225907741</x:v>
      </x:c>
      <x:c r="D118" s="17" t="n">
        <x:f>B118</x:f>
        <x:v>1.295976322590774</x:v>
      </x:c>
    </x:row>
    <x:row r="119">
      <x:c r="A119" s="2">
        <x:v>45839</x:v>
      </x:c>
      <x:c r="B119" s="1">
        <x:v>1.2981402647971321</x:v>
      </x:c>
      <x:c r="D119" s="17" t="n">
        <x:f>B119</x:f>
        <x:v>1.298140264797132</x:v>
      </x:c>
    </x:row>
    <x:row r="120">
      <x:c r="A120" s="2">
        <x:v>45840</x:v>
      </x:c>
      <x:c r="B120" s="1">
        <x:v>1.297447460567986</x:v>
      </x:c>
      <x:c r="D120" s="17" t="n">
        <x:f>B120</x:f>
        <x:v>1.297447460567986</x:v>
      </x:c>
    </x:row>
    <x:row r="121">
      <x:c r="A121" s="2">
        <x:v>45841</x:v>
      </x:c>
      <x:c r="B121" s="1">
        <x:v>1.3003687559237469</x:v>
      </x:c>
      <x:c r="D121" s="17" t="n">
        <x:f>B121</x:f>
        <x:v>1.300368755923747</x:v>
      </x:c>
    </x:row>
    <x:row r="122">
      <x:c r="A122" s="2">
        <x:v>45842</x:v>
      </x:c>
      <x:c r="B122" s="1">
        <x:v>1.3000214993273109</x:v>
      </x:c>
      <x:c r="D122" s="17" t="n">
        <x:f>B122</x:f>
        <x:v>1.300021499327311</x:v>
      </x:c>
    </x:row>
    <x:row r="123">
      <x:c r="A123" s="2">
        <x:v>45845</x:v>
      </x:c>
      <x:c r="B123" s="1">
        <x:v>1.299164407219854</x:v>
      </x:c>
      <x:c r="D123" s="17" t="n">
        <x:f>B123</x:f>
        <x:v>1.299164407219854</x:v>
      </x:c>
    </x:row>
    <x:row r="124">
      <x:c r="A124" s="2">
        <x:v>45846</x:v>
      </x:c>
      <x:c r="B124" s="1">
        <x:v>1.302516597556505</x:v>
      </x:c>
      <x:c r="D124" s="17" t="n">
        <x:f>B124</x:f>
        <x:v>1.302516597556505</x:v>
      </x:c>
    </x:row>
    <x:row r="125">
      <x:c r="A125" s="2">
        <x:v>45847</x:v>
      </x:c>
      <x:c r="B125" s="1">
        <x:v>1.301422461222951</x:v>
      </x:c>
      <x:c r="D125" s="17" t="n">
        <x:f>B125</x:f>
        <x:v>1.301422461222951</x:v>
      </x:c>
    </x:row>
    <x:row r="126">
      <x:c r="A126" s="2">
        <x:v>45848</x:v>
      </x:c>
      <x:c r="B126" s="1">
        <x:v>1.3012509726540531</x:v>
      </x:c>
      <x:c r="D126" s="17" t="n">
        <x:f>B126</x:f>
        <x:v>1.301250972654053</x:v>
      </x:c>
    </x:row>
    <x:row r="127">
      <x:c r="A127" s="2">
        <x:v>45849</x:v>
      </x:c>
      <x:c r="B127" s="1">
        <x:v>1.301179985253536</x:v>
      </x:c>
      <x:c r="D127" s="17" t="n">
        <x:f>B127</x:f>
        <x:v>1.301179985253536</x:v>
      </x:c>
    </x:row>
    <x:row r="128">
      <x:c r="A128" s="2">
        <x:v>45852</x:v>
      </x:c>
      <x:c r="B128" s="1">
        <x:v>1.301837856639158</x:v>
      </x:c>
      <x:c r="D128" s="17" t="n">
        <x:f>B128</x:f>
        <x:v>1.301837856639158</x:v>
      </x:c>
    </x:row>
    <x:row r="129">
      <x:c r="A129" s="2">
        <x:v>45853</x:v>
      </x:c>
      <x:c r="B129" s="1">
        <x:v>1.3069876428558369</x:v>
      </x:c>
      <x:c r="D129" s="17" t="n">
        <x:f>B129</x:f>
        <x:v>1.306987642855837</x:v>
      </x:c>
    </x:row>
    <x:row r="130">
      <x:c r="A130" s="2">
        <x:v>45854</x:v>
      </x:c>
      <x:c r="B130" s="1">
        <x:v>1.306778684029466</x:v>
      </x:c>
      <x:c r="D130" s="17" t="n">
        <x:f>B130</x:f>
        <x:v>1.306778684029466</x:v>
      </x:c>
    </x:row>
    <x:row r="131">
      <x:c r="A131" s="2">
        <x:v>45855</x:v>
      </x:c>
      <x:c r="B131" s="1">
        <x:v>1.31037263842447</x:v>
      </x:c>
      <x:c r="D131" s="17" t="n">
        <x:f>B131</x:f>
        <x:v>1.31037263842447</x:v>
      </x:c>
    </x:row>
    <x:row r="132">
      <x:c r="A132" s="2">
        <x:v>45856</x:v>
      </x:c>
      <x:c r="B132" s="1">
        <x:v>1.310150917091494</x:v>
      </x:c>
      <x:c r="D132" s="17" t="n">
        <x:f>B132</x:f>
        <x:v>1.310150917091494</x:v>
      </x:c>
    </x:row>
    <x:row r="133">
      <x:c r="A133" s="2">
        <x:v>45859</x:v>
      </x:c>
      <x:c r="B133" s="1">
        <x:v>1.310547346269531</x:v>
      </x:c>
      <x:c r="D133" s="17" t="n">
        <x:f>B133</x:f>
        <x:v>1.310547346269531</x:v>
      </x:c>
    </x:row>
    <x:row r="134">
      <x:c r="A134" s="2">
        <x:v>45860</x:v>
      </x:c>
      <x:c r="B134" s="1">
        <x:v>1.309993246269979</x:v>
      </x:c>
      <x:c r="D134" s="17" t="n">
        <x:f>B134</x:f>
        <x:v>1.309993246269979</x:v>
      </x:c>
    </x:row>
    <x:row r="135">
      <x:c r="A135" s="2">
        <x:v>45861</x:v>
      </x:c>
      <x:c r="B135" s="1">
        <x:v>1.308971526961979</x:v>
      </x:c>
      <x:c r="D135" s="17" t="n">
        <x:f>B135</x:f>
        <x:v>1.308971526961979</x:v>
      </x:c>
    </x:row>
    <x:row r="136">
      <x:c r="A136" s="2">
        <x:v>45862</x:v>
      </x:c>
      <x:c r="B136" s="1">
        <x:v>1.3057460480223679</x:v>
      </x:c>
      <x:c r="D136" s="17" t="n">
        <x:f>B136</x:f>
        <x:v>1.305746048022368</x:v>
      </x:c>
    </x:row>
    <x:row r="137">
      <x:c r="A137" s="2">
        <x:v>45863</x:v>
      </x:c>
      <x:c r="B137" s="1">
        <x:v>1.305663132249913</x:v>
      </x:c>
      <x:c r="D137" s="17" t="n">
        <x:f>B137</x:f>
        <x:v>1.305663132249913</x:v>
      </x:c>
    </x:row>
    <x:row r="138">
      <x:c r="A138" s="2">
        <x:v>45866</x:v>
      </x:c>
      <x:c r="B138" s="1">
        <x:v>1.309172228777763</x:v>
      </x:c>
      <x:c r="D138" s="17" t="n">
        <x:f>B138</x:f>
        <x:v>1.309172228777763</x:v>
      </x:c>
    </x:row>
    <x:row r="139">
      <x:c r="A139" s="2">
        <x:v>45867</x:v>
      </x:c>
      <x:c r="B139" s="1">
        <x:v>1.3092397035387331</x:v>
      </x:c>
      <x:c r="D139" s="17" t="n">
        <x:f>B139</x:f>
        <x:v>1.309239703538733</x:v>
      </x:c>
    </x:row>
    <x:row r="140">
      <x:c r="A140" s="2">
        <x:v>45868</x:v>
      </x:c>
      <x:c r="B140" s="1">
        <x:v>1.3097688197716599</x:v>
      </x:c>
      <x:c r="D140" s="17" t="n">
        <x:f>B140</x:f>
        <x:v>1.30976881977166</x:v>
      </x:c>
    </x:row>
    <x:row r="141">
      <x:c r="A141" s="2">
        <x:v>45869</x:v>
      </x:c>
      <x:c r="B141" s="1">
        <x:v>1.310985710344593</x:v>
      </x:c>
      <x:c r="D141" s="17" t="n">
        <x:f>B141</x:f>
        <x:v>1.310985710344593</x:v>
      </x:c>
    </x:row>
    <x:row r="142">
      <x:c r="A142" s="2">
        <x:v>45870</x:v>
      </x:c>
      <x:c r="B142" s="1">
        <x:v>1.309792780001056</x:v>
      </x:c>
      <x:c r="D142" s="17" t="n">
        <x:f>B142</x:f>
        <x:v>1.309792780001056</x:v>
      </x:c>
    </x:row>
    <x:row r="143">
      <x:c r="A143" s="2">
        <x:v>45873</x:v>
      </x:c>
      <x:c r="B143" s="1">
        <x:v>1.3116822563594821</x:v>
      </x:c>
      <x:c r="D143" s="17" t="n">
        <x:f>B143</x:f>
        <x:v>1.311682256359482</x:v>
      </x:c>
    </x:row>
    <x:row r="144">
      <x:c r="A144" s="2">
        <x:v>45874</x:v>
      </x:c>
      <x:c r="B144" s="1">
        <x:v>1.313435510896124</x:v>
      </x:c>
      <x:c r="D144" s="17" t="n">
        <x:f>B144</x:f>
        <x:v>1.313435510896124</x:v>
      </x:c>
    </x:row>
    <x:row r="145">
      <x:c r="A145" s="2">
        <x:v>45875</x:v>
      </x:c>
      <x:c r="B145" s="1">
        <x:v>1.314472699641777</x:v>
      </x:c>
      <x:c r="D145" s="17" t="n">
        <x:f>B145</x:f>
        <x:v>1.314472699641777</x:v>
      </x:c>
    </x:row>
    <x:row r="146">
      <x:c r="A146" s="2">
        <x:v>45876</x:v>
      </x:c>
      <x:c r="B146" s="1">
        <x:v>1.314818798219217</x:v>
      </x:c>
      <x:c r="D146" s="17" t="n">
        <x:f>B146</x:f>
        <x:v>1.314818798219217</x:v>
      </x:c>
    </x:row>
    <x:row r="147">
      <x:c r="A147" s="2">
        <x:v>45877</x:v>
      </x:c>
      <x:c r="B147" s="1">
        <x:v>1.3145025977967439</x:v>
      </x:c>
      <x:c r="D147" s="17" t="n">
        <x:f>B147</x:f>
        <x:v>1.314502597796744</x:v>
      </x:c>
    </x:row>
    <x:row r="148">
      <x:c r="A148" s="2">
        <x:v>45880</x:v>
      </x:c>
      <x:c r="B148" s="1">
        <x:v>1.314685100666501</x:v>
      </x:c>
      <x:c r="D148" s="17" t="n">
        <x:f>B148</x:f>
        <x:v>1.314685100666501</x:v>
      </x:c>
    </x:row>
    <x:row r="149">
      <x:c r="A149" s="2">
        <x:v>45881</x:v>
      </x:c>
      <x:c r="B149" s="1">
        <x:v>1.3161722158565889</x:v>
      </x:c>
      <x:c r="D149" s="17" t="n">
        <x:f>B149</x:f>
        <x:v>1.316172215856589</x:v>
      </x:c>
    </x:row>
    <x:row r="150">
      <x:c r="A150" s="2">
        <x:v>45882</x:v>
      </x:c>
      <x:c r="B150" s="1">
        <x:v>1.3214503238329669</x:v>
      </x:c>
      <x:c r="D150" s="17" t="n">
        <x:f>B150</x:f>
        <x:v>1.321450323832967</x:v>
      </x:c>
    </x:row>
    <x:row r="151">
      <x:c r="A151" s="2">
        <x:v>45883</x:v>
      </x:c>
      <x:c r="B151" s="1">
        <x:v>1.3176238398883271</x:v>
      </x:c>
      <x:c r="D151" s="17" t="n">
        <x:f>B151</x:f>
        <x:v>1.317623839888327</x:v>
      </x:c>
    </x:row>
    <x:row r="152">
      <x:c r="A152" s="2">
        <x:v>45884</x:v>
      </x:c>
      <x:c r="B152" s="1">
        <x:v>1.318708017084119</x:v>
      </x:c>
      <x:c r="D152" s="17" t="n">
        <x:f>B152</x:f>
        <x:v>1.318708017084119</x:v>
      </x:c>
    </x:row>
    <x:row r="153">
      <x:c r="A153" s="2">
        <x:v>45887</x:v>
      </x:c>
      <x:c r="B153" s="1">
        <x:v>1.3186716590881109</x:v>
      </x:c>
      <x:c r="D153" s="17" t="n">
        <x:f>B153</x:f>
        <x:v>1.318671659088111</x:v>
      </x:c>
    </x:row>
    <x:row r="154">
      <x:c r="A154" s="2">
        <x:v>45888</x:v>
      </x:c>
      <x:c r="B154" s="1">
        <x:v>1.3203177386711169</x:v>
      </x:c>
      <x:c r="D154" s="17" t="n">
        <x:f>B154</x:f>
        <x:v>1.320317738671117</x:v>
      </x:c>
    </x:row>
    <x:row r="155">
      <x:c r="A155" s="2">
        <x:v>45889</x:v>
      </x:c>
      <x:c r="B155" s="1">
        <x:v>1.320813677020795</x:v>
      </x:c>
      <x:c r="D155" s="17" t="n">
        <x:f>B155</x:f>
        <x:v>1.320813677020795</x:v>
      </x:c>
    </x:row>
    <x:row r="156">
      <x:c r="A156" s="2">
        <x:v>45890</x:v>
      </x:c>
      <x:c r="B156" s="1">
        <x:v>1.3204667609020799</x:v>
      </x:c>
      <x:c r="D156" s="17" t="n">
        <x:f>B156</x:f>
        <x:v>1.32046676090208</x:v>
      </x:c>
    </x:row>
    <x:row r="157">
      <x:c r="A157" s="2">
        <x:v>45891</x:v>
      </x:c>
      <x:c r="B157" s="1">
        <x:v>1.3248712473753621</x:v>
      </x:c>
      <x:c r="D157" s="17" t="n">
        <x:f>B157</x:f>
        <x:v>1.324871247375362</x:v>
      </x:c>
    </x:row>
    <x:row r="158">
      <x:c r="A158" s="2">
        <x:v>45894</x:v>
      </x:c>
      <x:c r="B158" s="1">
        <x:v>1.3317714064190089</x:v>
      </x:c>
      <x:c r="D158" s="17" t="n">
        <x:f>B158</x:f>
        <x:v>1.331771406419009</x:v>
      </x:c>
    </x:row>
    <x:row r="159">
      <x:c r="A159" s="2">
        <x:v>45895</x:v>
      </x:c>
      <x:c r="B159" s="1">
        <x:v>1.3321330334702901</x:v>
      </x:c>
      <x:c r="D159" s="17" t="n">
        <x:f>B159</x:f>
        <x:v>1.33213303347029</x:v>
      </x:c>
    </x:row>
    <x:row r="160">
      <x:c r="A160" s="2">
        <x:v>45896</x:v>
      </x:c>
      <x:c r="B160" s="1">
        <x:v>1.332760874465049</x:v>
      </x:c>
      <x:c r="D160" s="17" t="n">
        <x:f>B160</x:f>
        <x:v>1.332760874465049</x:v>
      </x:c>
    </x:row>
    <x:row r="161">
      <x:c r="A161" s="2">
        <x:v>45897</x:v>
      </x:c>
      <x:c r="B161" s="1">
        <x:v>1.3391674815644681</x:v>
      </x:c>
      <x:c r="D161" s="17" t="n">
        <x:f>B161</x:f>
        <x:v>1.339167481564468</x:v>
      </x:c>
    </x:row>
    <x:row r="162">
      <x:c r="A162" s="2">
        <x:v>45898</x:v>
      </x:c>
      <x:c r="B162" s="1">
        <x:v>1.340491375852656</x:v>
      </x:c>
      <x:c r="D162" s="17" t="n">
        <x:f>B162</x:f>
        <x:v>1.340491375852656</x:v>
      </x:c>
    </x:row>
    <x:row r="163">
      <x:c r="A163" s="2">
        <x:v>45901</x:v>
      </x:c>
      <x:c r="B163" s="1">
        <x:v>1.3455402387287201</x:v>
      </x:c>
      <x:c r="D163" s="17" t="n">
        <x:f>B163</x:f>
        <x:v>1.34554023872872</x:v>
      </x:c>
    </x:row>
    <x:row r="164">
      <x:c r="A164" s="2">
        <x:v>45902</x:v>
      </x:c>
      <x:c r="B164" s="1">
        <x:v>1.3405260021529279</x:v>
      </x:c>
      <x:c r="D164" s="17" t="n">
        <x:f>B164</x:f>
        <x:v>1.340526002152928</x:v>
      </x:c>
    </x:row>
    <x:row r="165">
      <x:c r="A165" s="2">
        <x:v>45903</x:v>
      </x:c>
      <x:c r="B165" s="1">
        <x:v>1.342372682157883</x:v>
      </x:c>
      <x:c r="D165" s="17" t="n">
        <x:f>B165</x:f>
        <x:v>1.342372682157883</x:v>
      </x:c>
    </x:row>
    <x:row r="166">
      <x:c r="A166" s="2">
        <x:v>45904</x:v>
      </x:c>
      <x:c r="B166" s="1">
        <x:v>1.334163968419678</x:v>
      </x:c>
      <x:c r="D166" s="17" t="n">
        <x:f>B166</x:f>
        <x:v>1.334163968419678</x:v>
      </x:c>
    </x:row>
    <x:row r="167">
      <x:c r="A167" s="2">
        <x:v>45905</x:v>
      </x:c>
      <x:c r="B167" s="1">
        <x:v>1.341182719708139</x:v>
      </x:c>
      <x:c r="D167" s="17" t="n">
        <x:f>B167</x:f>
        <x:v>1.341182719708139</x:v>
      </x:c>
    </x:row>
    <x:row r="168">
      <x:c r="A168" s="2">
        <x:v>45908</x:v>
      </x:c>
      <x:c r="B168" s="1">
        <x:v>1.339143484212564</x:v>
      </x:c>
      <x:c r="D168" s="17" t="n">
        <x:f>B168</x:f>
        <x:v>1.339143484212564</x:v>
      </x:c>
    </x:row>
    <x:row r="169">
      <x:c r="A169" s="2">
        <x:v>45909</x:v>
      </x:c>
      <x:c r="B169" s="1">
        <x:v>1.3365125807512379</x:v>
      </x:c>
      <x:c r="D169" s="17" t="n">
        <x:f>B169</x:f>
        <x:v>1.336512580751238</x:v>
      </x:c>
    </x:row>
    <x:row r="170">
      <x:c r="A170" s="2">
        <x:v>45910</x:v>
      </x:c>
      <x:c r="B170" s="1">
        <x:v>1.3376966657757541</x:v>
      </x:c>
      <x:c r="D170" s="17" t="n">
        <x:f>B170</x:f>
        <x:v>1.337696665775754</x:v>
      </x:c>
    </x:row>
    <x:row r="171">
      <x:c r="A171" s="2">
        <x:v>45911</x:v>
      </x:c>
      <x:c r="B171" s="1">
        <x:v>1.3465646613992339</x:v>
      </x:c>
      <x:c r="D171" s="17" t="n">
        <x:f>B171</x:f>
        <x:v>1.346564661399234</x:v>
      </x:c>
    </x:row>
    <x:row r="172">
      <x:c r="A172" s="2">
        <x:v>45912</x:v>
      </x:c>
      <x:c r="B172" s="1">
        <x:v>1.3473386064517481</x:v>
      </x:c>
      <x:c r="D172" s="17" t="n">
        <x:f>B172</x:f>
        <x:v>1.347338606451748</x:v>
      </x:c>
    </x:row>
    <x:row r="173">
      <x:c r="A173" s="2">
        <x:v>45915</x:v>
      </x:c>
      <x:c r="B173" s="1">
        <x:v>1.3463990245482911</x:v>
      </x:c>
      <x:c r="D173" s="17" t="n">
        <x:f>B173</x:f>
        <x:v>1.346399024548291</x:v>
      </x:c>
    </x:row>
    <x:row r="174">
      <x:c r="A174" s="2">
        <x:v>45916</x:v>
      </x:c>
      <x:c r="B174" s="1">
        <x:v>1.3493138981365289</x:v>
      </x:c>
      <x:c r="D174" s="17" t="n">
        <x:f>B174</x:f>
        <x:v>1.349313898136529</x:v>
      </x:c>
    </x:row>
    <x:row r="175">
      <x:c r="A175" s="2">
        <x:v>45917</x:v>
      </x:c>
      <x:c r="B175" s="1">
        <x:v>1.3503675964619171</x:v>
      </x:c>
      <x:c r="D175" s="17" t="n">
        <x:f>B175</x:f>
        <x:v>1.350367596461917</x:v>
      </x:c>
    </x:row>
    <x:row r="176">
      <x:c r="A176" s="2">
        <x:v>45918</x:v>
      </x:c>
      <x:c r="B176" s="1">
        <x:v>1.349884477285288</x:v>
      </x:c>
      <x:c r="D176" s="17" t="n">
        <x:f>B176</x:f>
        <x:v>1.349884477285288</x:v>
      </x:c>
    </x:row>
    <x:row r="177">
      <x:c r="A177" s="2">
        <x:v>45919</x:v>
      </x:c>
      <x:c r="B177" s="1">
        <x:v>1.3484842956794341</x:v>
      </x:c>
      <x:c r="D177" s="17" t="n">
        <x:f>B177</x:f>
        <x:v>1.348484295679434</x:v>
      </x:c>
    </x:row>
    <x:row r="178">
      <x:c r="A178" s="2">
        <x:v>45922</x:v>
      </x:c>
      <x:c r="B178" s="1">
        <x:v>1.3538097772445949</x:v>
      </x:c>
      <x:c r="D178" s="17" t="n">
        <x:f>B178</x:f>
        <x:v>1.353809777244595</x:v>
      </x:c>
    </x:row>
    <x:row r="179">
      <x:c r="A179" s="2">
        <x:v>45923</x:v>
      </x:c>
      <x:c r="B179" s="1">
        <x:v>1.3534585035733939</x:v>
      </x:c>
      <x:c r="D179" s="17" t="n">
        <x:f>B179</x:f>
        <x:v>1.353458503573394</x:v>
      </x:c>
    </x:row>
    <x:row r="180">
      <x:c r="A180" s="2">
        <x:v>45924</x:v>
      </x:c>
      <x:c r="B180" s="1">
        <x:v>1.353767614610798</x:v>
      </x:c>
      <x:c r="D180" s="17" t="n">
        <x:f>B180</x:f>
        <x:v>1.353767614610798</x:v>
      </x:c>
    </x:row>
    <x:row r="181">
      <x:c r="A181" s="2">
        <x:v>45925</x:v>
      </x:c>
      <x:c r="B181" s="1">
        <x:v>1.3536168255968299</x:v>
      </x:c>
      <x:c r="D181" s="17" t="n">
        <x:f>B181</x:f>
        <x:v>1.35361682559683</x:v>
      </x:c>
    </x:row>
    <x:row r="182">
      <x:c r="A182" s="2">
        <x:v>45926</x:v>
      </x:c>
      <x:c r="B182" s="1">
        <x:v>1.349168923307045</x:v>
      </x:c>
      <x:c r="D182" s="17" t="n">
        <x:f>B182</x:f>
        <x:v>1.349168923307045</x:v>
      </x:c>
    </x:row>
    <x:row r="183">
      <x:c r="A183" s="2">
        <x:v>45929</x:v>
      </x:c>
      <x:c r="B183" s="1">
        <x:v>1.35327121763134</x:v>
      </x:c>
      <x:c r="D183" s="17" t="n">
        <x:f>B183</x:f>
        <x:v>1.35327121763134</x:v>
      </x:c>
    </x:row>
    <x:row r="184">
      <x:c r="A184" s="2">
        <x:v>45930</x:v>
      </x:c>
      <x:c r="B184" s="1">
        <x:v>1.355279654305179</x:v>
      </x:c>
      <x:c r="D184" s="17" t="n">
        <x:f>B184</x:f>
        <x:v>1.355279654305179</x:v>
      </x:c>
    </x:row>
    <x:row r="185">
      <x:c r="A185" s="2">
        <x:v>45939</x:v>
      </x:c>
      <x:c r="B185" s="1">
        <x:v>1.362083994515763</x:v>
      </x:c>
      <x:c r="D185" s="17" t="n">
        <x:f>B185</x:f>
        <x:v>1.362083994515763</x:v>
      </x:c>
    </x:row>
    <x:row r="186">
      <x:c r="A186" s="2">
        <x:v>45940</x:v>
      </x:c>
      <x:c r="B186" s="1">
        <x:v>1.3550810475786861</x:v>
      </x:c>
      <x:c r="D186" s="17" t="n">
        <x:f>B186</x:f>
        <x:v>1.355081047578686</x:v>
      </x:c>
    </x:row>
    <x:row r="187">
      <x:c r="A187" s="2">
        <x:v>45943</x:v>
      </x:c>
      <x:c r="B187" s="1">
        <x:v>1.356209437489369</x:v>
      </x:c>
      <x:c r="D187" s="17" t="n">
        <x:f>B187</x:f>
        <x:v>1.356209437489369</x:v>
      </x:c>
    </x:row>
    <x:row r="188">
      <x:c r="A188" s="2">
        <x:v>45944</x:v>
      </x:c>
      <x:c r="B188" s="1">
        <x:v>1.350787664399149</x:v>
      </x:c>
      <x:c r="D188" s="17" t="n">
        <x:f>B188</x:f>
        <x:v>1.350787664399149</x:v>
      </x:c>
    </x:row>
    <x:row r="189">
      <x:c r="A189" s="2">
        <x:v>45945</x:v>
      </x:c>
      <x:c r="B189" s="1">
        <x:v>1.3567949220663611</x:v>
      </x:c>
      <x:c r="D189" s="17" t="n">
        <x:f>B189</x:f>
        <x:v>1.356794922066361</x:v>
      </x:c>
    </x:row>
    <x:row r="190">
      <x:c r="A190" s="2">
        <x:v>45946</x:v>
      </x:c>
      <x:c r="B190" s="1">
        <x:v>1.357648290522504</x:v>
      </x:c>
      <x:c r="D190" s="17" t="n">
        <x:f>B190</x:f>
        <x:v>1.357648290522504</x:v>
      </x:c>
    </x:row>
    <x:row r="191">
      <x:c r="A191" s="2">
        <x:v>45947</x:v>
      </x:c>
      <x:c r="B191" s="1">
        <x:v>1.355424755428966</x:v>
      </x:c>
      <x:c r="D191" s="17" t="n">
        <x:f>B191</x:f>
        <x:v>1.355424755428966</x:v>
      </x:c>
    </x:row>
    <x:row r="192">
      <x:c r="A192" s="2">
        <x:v>45950</x:v>
      </x:c>
      <x:c r="B192" s="1">
        <x:v>1.3559370873952381</x:v>
      </x:c>
      <x:c r="D192" s="17" t="n">
        <x:f>B192</x:f>
        <x:v>1.355937087395238</x:v>
      </x:c>
    </x:row>
    <x:row r="193">
      <x:c r="A193" s="2">
        <x:v>45951</x:v>
      </x:c>
      <x:c r="B193" s="1">
        <x:v>1.3641736536645359</x:v>
      </x:c>
      <x:c r="D193" s="17" t="n">
        <x:f>B193</x:f>
        <x:v>1.364173653664536</x:v>
      </x:c>
    </x:row>
    <x:row r="194">
      <x:c r="A194" s="2">
        <x:v>45952</x:v>
      </x:c>
      <x:c r="B194" s="1">
        <x:v>1.3598081009880849</x:v>
      </x:c>
      <x:c r="D194" s="17" t="n">
        <x:f>B194</x:f>
        <x:v>1.359808100988085</x:v>
      </x:c>
    </x:row>
    <x:row r="195">
      <x:c r="A195" s="2">
        <x:v>45953</x:v>
      </x:c>
      <x:c r="B195" s="1">
        <x:v>1.3577636209899191</x:v>
      </x:c>
      <x:c r="D195" s="17" t="n">
        <x:f>B195</x:f>
        <x:v>1.357763620989919</x:v>
      </x:c>
    </x:row>
    <x:row r="196">
      <x:c r="A196" s="2">
        <x:v>45954</x:v>
      </x:c>
      <x:c r="B196" s="1">
        <x:v>1.3637338264227741</x:v>
      </x:c>
      <x:c r="D196" s="17" t="n">
        <x:f>B196</x:f>
        <x:v>1.363733826422774</x:v>
      </x:c>
    </x:row>
    <x:row r="197">
      <x:c r="A197" s="2">
        <x:v>45957</x:v>
      </x:c>
      <x:c r="B197" s="1">
        <x:v>1.368831600424349</x:v>
      </x:c>
      <x:c r="D197" s="17" t="n">
        <x:f>B197</x:f>
        <x:v>1.368831600424349</x:v>
      </x:c>
    </x:row>
    <x:row r="198">
      <x:c r="A198" s="2">
        <x:v>45958</x:v>
      </x:c>
      <x:c r="B198" s="1">
        <x:v>1.368216222188827</x:v>
      </x:c>
      <x:c r="D198" s="17" t="n">
        <x:f>B198</x:f>
        <x:v>1.368216222188827</x:v>
      </x:c>
    </x:row>
    <x:row r="199">
      <x:c r="A199" s="2">
        <x:v>45959</x:v>
      </x:c>
      <x:c r="B199" s="1">
        <x:v>1.373207220027632</x:v>
      </x:c>
      <x:c r="D199" s="17" t="n">
        <x:f>B199</x:f>
        <x:v>1.373207220027632</x:v>
      </x:c>
    </x:row>
    <x:row r="200">
      <x:c r="A200" s="2">
        <x:v>45960</x:v>
      </x:c>
      <x:c r="B200" s="1">
        <x:v>1.369565000980955</x:v>
      </x:c>
      <x:c r="D200" s="17" t="n">
        <x:f>B200</x:f>
        <x:v>1.369565000980955</x:v>
      </x:c>
    </x:row>
    <x:row r="201">
      <x:c r="A201" s="2">
        <x:v>45961</x:v>
      </x:c>
      <x:c r="B201" s="1">
        <x:v>1.367336259510656</x:v>
      </x:c>
      <x:c r="D201" s="17" t="n">
        <x:f>B201</x:f>
        <x:v>1.367336259510656</x:v>
      </x:c>
    </x:row>
    <x:row r="202">
      <x:c r="A202" s="2">
        <x:v>45964</x:v>
      </x:c>
      <x:c r="B202" s="1">
        <x:v>1.368164964060401</x:v>
      </x:c>
      <x:c r="D202" s="17" t="n">
        <x:f>B202</x:f>
        <x:v>1.368164964060401</x:v>
      </x:c>
    </x:row>
    <x:row r="203">
      <x:c r="A203" s="2">
        <x:v>45965</x:v>
      </x:c>
      <x:c r="B203" s="1">
        <x:v>1.365182469872722</x:v>
      </x:c>
      <x:c r="D203" s="17" t="n">
        <x:f>B203</x:f>
        <x:v>1.365182469872722</x:v>
      </x:c>
    </x:row>
    <x:row r="204">
      <x:c r="A204" s="2">
        <x:v>45966</x:v>
      </x:c>
      <x:c r="B204" s="1">
        <x:v>1.3653066108975089</x:v>
      </x:c>
      <x:c r="D204" s="17" t="n">
        <x:f>B204</x:f>
        <x:v>1.365306610897509</x:v>
      </x:c>
    </x:row>
    <x:row r="205">
      <x:c r="A205" s="2">
        <x:v>45967</x:v>
      </x:c>
      <x:c r="B205" s="1">
        <x:v>1.3692197262145991</x:v>
      </x:c>
      <x:c r="D205" s="17" t="n">
        <x:f>B205</x:f>
        <x:v>1.369219726214599</x:v>
      </x:c>
    </x:row>
    <x:row r="206">
      <x:c r="A206" s="2">
        <x:v>45968</x:v>
      </x:c>
      <x:c r="B206" s="1">
        <x:v>1.366301967345811</x:v>
      </x:c>
      <x:c r="D206" s="17" t="n">
        <x:f>B206</x:f>
        <x:v>1.366301967345811</x:v>
      </x:c>
    </x:row>
    <x:row r="207">
      <x:c r="A207" s="2">
        <x:v>45971</x:v>
      </x:c>
      <x:c r="B207" s="1">
        <x:v>1.366444885915223</x:v>
      </x:c>
      <x:c r="D207" s="17" t="n">
        <x:f>B207</x:f>
        <x:v>1.366444885915223</x:v>
      </x:c>
    </x:row>
    <x:row r="208">
      <x:c r="A208" s="2">
        <x:v>45972</x:v>
      </x:c>
      <x:c r="B208" s="1">
        <x:v>1.3649624631719339</x:v>
      </x:c>
      <x:c r="D208" s="17" t="n">
        <x:f>B208</x:f>
        <x:v>1.364962463171934</x:v>
      </x:c>
    </x:row>
    <x:row r="209">
      <x:c r="A209" s="2">
        <x:v>45973</x:v>
      </x:c>
      <x:c r="B209" s="1">
        <x:v>1.3650082124976339</x:v>
      </x:c>
      <x:c r="D209" s="17" t="n">
        <x:f>B209</x:f>
        <x:v>1.365008212497634</x:v>
      </x:c>
    </x:row>
    <x:row r="210">
      <x:c r="A210" s="2">
        <x:v>45974</x:v>
      </x:c>
      <x:c r="B210" s="1">
        <x:v>1.367637194360755</x:v>
      </x:c>
      <x:c r="D210" s="17" t="n">
        <x:f>B210</x:f>
        <x:v>1.367637194360755</x:v>
      </x:c>
    </x:row>
    <x:row r="211">
      <x:c r="A211" s="2">
        <x:v>45975</x:v>
      </x:c>
      <x:c r="B211" s="1">
        <x:v>1.362097475614634</x:v>
      </x:c>
      <x:c r="D211" s="17" t="n">
        <x:f>B211</x:f>
        <x:v>1.362097475614634</x:v>
      </x:c>
    </x:row>
    <x:row r="212">
      <x:c r="A212" s="2">
        <x:v>45978</x:v>
      </x:c>
      <x:c r="B212" s="1">
        <x:v>1.360924624253796</x:v>
      </x:c>
      <x:c r="D212" s="17" t="n">
        <x:f>B212</x:f>
        <x:v>1.360924624253796</x:v>
      </x:c>
    </x:row>
    <x:row r="213">
      <x:c r="A213" s="2">
        <x:v>45979</x:v>
      </x:c>
      <x:c r="B213" s="1">
        <x:v>1.3587066864315589</x:v>
      </x:c>
      <x:c r="D213" s="17" t="n">
        <x:f>B213</x:f>
        <x:v>1.358706686431559</x:v>
      </x:c>
    </x:row>
    <x:row r="214">
      <x:c r="A214" s="2">
        <x:v>45980</x:v>
      </x:c>
      <x:c r="B214" s="1">
        <x:v>1.3597810110425741</x:v>
      </x:c>
      <x:c r="D214" s="17" t="n">
        <x:f>B214</x:f>
        <x:v>1.359781011042574</x:v>
      </x:c>
    </x:row>
    <x:row r="215">
      <x:c r="A215" s="2">
        <x:v>45981</x:v>
      </x:c>
      <x:c r="B215" s="1">
        <x:v>1.3589990880535019</x:v>
      </x:c>
      <x:c r="D215" s="17" t="n">
        <x:f>B215</x:f>
        <x:v>1.358999088053502</x:v>
      </x:c>
    </x:row>
    <x:row r="216">
      <x:c r="A216" s="2">
        <x:v>45982</x:v>
      </x:c>
      <x:c r="B216" s="1">
        <x:v>1.3504908434250671</x:v>
      </x:c>
      <x:c r="D216" s="17" t="n">
        <x:f>B216</x:f>
        <x:v>1.350490843425067</x:v>
      </x:c>
    </x:row>
    <x:row r="217">
      <x:c r="A217" s="2">
        <x:v>45985</x:v>
      </x:c>
      <x:c r="B217" s="1">
        <x:v>1.3508002511750139</x:v>
      </x:c>
      <x:c r="D217" s="17" t="n">
        <x:f>B217</x:f>
        <x:v>1.350800251175014</x:v>
      </x:c>
    </x:row>
    <x:row r="218">
      <x:c r="A218" s="2">
        <x:v>45986</x:v>
      </x:c>
      <x:c r="B218" s="1">
        <x:v>1.356482230982599</x:v>
      </x:c>
      <x:c r="D218" s="17" t="n">
        <x:f>B218</x:f>
        <x:v>1.356482230982599</x:v>
      </x:c>
    </x:row>
    <x:row r="219">
      <x:c r="A219" s="2">
        <x:v>45987</x:v>
      </x:c>
      <x:c r="B219" s="1">
        <x:v>1.359131111904607</x:v>
      </x:c>
      <x:c r="D219" s="17" t="n">
        <x:f>B219</x:f>
        <x:v>1.359131111904607</x:v>
      </x:c>
    </x:row>
    <x:row r="220">
      <x:c r="A220" s="2">
        <x:v>45988</x:v>
      </x:c>
      <x:c r="B220" s="1">
        <x:v>1.358145051762947</x:v>
      </x:c>
      <x:c r="D220" s="17" t="n">
        <x:f>B220</x:f>
        <x:v>1.358145051762947</x:v>
      </x:c>
    </x:row>
    <x:row r="221">
      <x:c r="A221" s="2">
        <x:v>45989</x:v>
      </x:c>
      <x:c r="B221" s="1">
        <x:v>1.360094012611623</x:v>
      </x:c>
      <x:c r="D221" s="17" t="n">
        <x:f>B221</x:f>
        <x:v>1.360094012611623</x:v>
      </x:c>
    </x:row>
    <x:row r="222">
      <x:c r="A222" s="2">
        <x:v>45992</x:v>
      </x:c>
      <x:c r="B222" s="1">
        <x:v>1.36379871483552</x:v>
      </x:c>
      <x:c r="D222" s="17" t="n">
        <x:f>B222</x:f>
        <x:v>1.36379871483552</x:v>
      </x:c>
    </x:row>
    <x:row r="223">
      <x:c r="A223" s="2">
        <x:v>45993</x:v>
      </x:c>
      <x:c r="B223" s="1">
        <x:v>1.3621271781411719</x:v>
      </x:c>
      <x:c r="D223" s="17" t="n">
        <x:f>B223</x:f>
        <x:v>1.362127178141172</x:v>
      </x:c>
    </x:row>
    <x:row r="224">
      <x:c r="A224" s="2">
        <x:v>45994</x:v>
      </x:c>
      <x:c r="B224" s="1">
        <x:v>1.3596472883636621</x:v>
      </x:c>
      <x:c r="D224" s="17" t="n">
        <x:f>B224</x:f>
        <x:v>1.359647288363662</x:v>
      </x:c>
    </x:row>
    <x:row r="225">
      <x:c r="A225" s="2">
        <x:v>45995</x:v>
      </x:c>
      <x:c r="B225" s="1">
        <x:v>1.3579912591055729</x:v>
      </x:c>
      <x:c r="D225" s="17" t="n">
        <x:f>B225</x:f>
        <x:v>1.357991259105573</x:v>
      </x:c>
    </x:row>
    <x:row r="226">
      <x:c r="A226" s="2">
        <x:v>45996</x:v>
      </x:c>
      <x:c r="B226" s="1">
        <x:v>1.360612132258455</x:v>
      </x:c>
      <x:c r="D226" s="17" t="n">
        <x:f>B226</x:f>
        <x:v>1.360612132258455</x:v>
      </x:c>
    </x:row>
    <x:row r="227">
      <x:c r="A227" s="2">
        <x:v>45999</x:v>
      </x:c>
      <x:c r="B227" s="1">
        <x:v>1.3649623770440089</x:v>
      </x:c>
      <x:c r="D227" s="17" t="n">
        <x:f>B227</x:f>
        <x:v>1.364962377044009</x:v>
      </x:c>
    </x:row>
    <x:row r="228">
      <x:c r="A228" s="2">
        <x:v>46000</x:v>
      </x:c>
      <x:c r="B228" s="1">
        <x:v>1.3674978755477061</x:v>
      </x:c>
      <x:c r="D228" s="17" t="n">
        <x:f>B228</x:f>
        <x:v>1.367497875547706</x:v>
      </x:c>
    </x:row>
    <x:row r="229">
      <x:c r="A229" s="2">
        <x:v>46001</x:v>
      </x:c>
      <x:c r="B229" s="1">
        <x:v>1.3683856925097539</x:v>
      </x:c>
      <x:c r="D229" s="17" t="n">
        <x:f>B229</x:f>
        <x:v>1.368385692509754</x:v>
      </x:c>
    </x:row>
    <x:row r="230">
      <x:c r="A230" s="2">
        <x:v>46002</x:v>
      </x:c>
      <x:c r="B230" s="1">
        <x:v>1.3658019585535881</x:v>
      </x:c>
      <x:c r="D230" s="17" t="n">
        <x:f>B230</x:f>
        <x:v>1.365801958553588</x:v>
      </x:c>
    </x:row>
    <x:row r="231">
      <x:c r="A231" s="2">
        <x:v>46003</x:v>
      </x:c>
      <x:c r="B231" s="1">
        <x:v>1.36867433960368</x:v>
      </x:c>
      <x:c r="D231" s="17" t="n">
        <x:f>B231</x:f>
        <x:v>1.36867433960368</x:v>
      </x:c>
    </x:row>
    <x:row r="232">
      <x:c r="A232" s="2">
        <x:v>46006</x:v>
      </x:c>
      <x:c r="B232" s="1">
        <x:v>1.365556881380773</x:v>
      </x:c>
      <x:c r="D232" s="17" t="n">
        <x:f>B232</x:f>
        <x:v>1.365556881380773</x:v>
      </x:c>
    </x:row>
    <x:row r="233">
      <x:c r="A233" s="2">
        <x:v>46007</x:v>
      </x:c>
      <x:c r="B233" s="1">
        <x:v>1.361544618304531</x:v>
      </x:c>
      <x:c r="D233" s="17" t="n">
        <x:f>B233</x:f>
        <x:v>1.361544618304531</x:v>
      </x:c>
    </x:row>
    <x:row r="234">
      <x:c r="A234" s="2">
        <x:v>46008</x:v>
      </x:c>
      <x:c r="B234" s="1">
        <x:v>1.369874600711982</x:v>
      </x:c>
      <x:c r="D234" s="17" t="n">
        <x:f>B234</x:f>
        <x:v>1.369874600711982</x:v>
      </x:c>
    </x:row>
    <x:row r="235">
      <x:c r="A235" s="2">
        <x:v>46009</x:v>
      </x:c>
      <x:c r="B235" s="1">
        <x:v>1.3671117609949119</x:v>
      </x:c>
      <x:c r="D235" s="17" t="n">
        <x:f>B235</x:f>
        <x:v>1.367111760994912</x:v>
      </x:c>
    </x:row>
    <x:row r="236">
      <x:c r="A236" s="2">
        <x:v>46010</x:v>
      </x:c>
      <x:c r="B236" s="1">
        <x:v>1.3682116439773839</x:v>
      </x:c>
      <x:c r="D236" s="17" t="n">
        <x:f>B236</x:f>
        <x:v>1.368211643977384</x:v>
      </x:c>
    </x:row>
    <x:row r="237">
      <x:c r="A237" s="2">
        <x:v>46013</x:v>
      </x:c>
      <x:c r="B237" s="1">
        <x:v>1.374732653154946</x:v>
      </x:c>
      <x:c r="D237" s="17" t="n">
        <x:f>B237</x:f>
        <x:v>1.374732653154946</x:v>
      </x:c>
    </x:row>
    <x:row r="238">
      <x:c r="A238" s="2">
        <x:v>46014</x:v>
      </x:c>
      <x:c r="B238" s="1">
        <x:v>1.377872048173268</x:v>
      </x:c>
      <x:c r="D238" s="17" t="n">
        <x:f>B238</x:f>
        <x:v>1.377872048173268</x:v>
      </x:c>
    </x:row>
    <x:row r="239">
      <x:c r="A239" s="2">
        <x:v>46015</x:v>
      </x:c>
      <x:c r="B239" s="1">
        <x:v>1.381180196207757</x:v>
      </x:c>
      <x:c r="D239" s="17" t="n">
        <x:f>B239</x:f>
        <x:v>1.381180196207757</x:v>
      </x:c>
    </x:row>
    <x:row r="240">
      <x:c r="A240" s="2">
        <x:v>46016</x:v>
      </x:c>
      <x:c r="B240" s="1">
        <x:v>1.3815033288788059</x:v>
      </x:c>
      <x:c r="D240" s="17" t="n">
        <x:f>B240</x:f>
        <x:v>1.381503328878806</x:v>
      </x:c>
    </x:row>
    <x:row r="241">
      <x:c r="A241" s="2">
        <x:v>46017</x:v>
      </x:c>
      <x:c r="B241" s="1">
        <x:v>1.3813456008520371</x:v>
      </x:c>
      <x:c r="D241" s="17" t="n">
        <x:f>B241</x:f>
        <x:v>1.381345600852037</x:v>
      </x:c>
    </x:row>
    <x:row r="242">
      <x:c r="A242" s="2">
        <x:v>46020</x:v>
      </x:c>
      <x:c r="B242" s="1">
        <x:v>1.3800560568112841</x:v>
      </x:c>
      <x:c r="D242" s="17" t="n">
        <x:f>B242</x:f>
        <x:v>1.380056056811284</x:v>
      </x:c>
    </x:row>
    <x:row r="243">
      <x:c r="A243" s="2">
        <x:v>46021</x:v>
      </x:c>
      <x:c r="B243" s="1">
        <x:v>1.377613741074186</x:v>
      </x:c>
      <x:c r="D243" s="17" t="n">
        <x:f>B243</x:f>
        <x:v>1.377613741074186</x:v>
      </x:c>
    </x:row>
    <x:row r="244">
      <x:c r="A244" s="2">
        <x:v>46022</x:v>
      </x:c>
      <x:c r="B244" s="1">
        <x:v>1.374626295791979</x:v>
      </x:c>
      <x:c r="D244" s="17" t="n">
        <x:f>B244</x:f>
        <x:v>1.374626295791979</x:v>
      </x:c>
    </x:row>
    <x:row r="245">
      <x:c r="A245" s="2">
        <x:v>46027</x:v>
      </x:c>
      <x:c r="B245" s="1">
        <x:v>1.3784770026097011</x:v>
      </x:c>
      <x:c r="D245" s="17" t="n">
        <x:f>B245</x:f>
        <x:v>1.378477002609701</x:v>
      </x:c>
    </x:row>
    <x:row r="246">
      <x:c r="A246" s="2">
        <x:v>46028</x:v>
      </x:c>
      <x:c r="B246" s="1">
        <x:v>1.3791075402985149</x:v>
      </x:c>
      <x:c r="D246" s="17" t="n">
        <x:f>B246</x:f>
        <x:v>1.379107540298515</x:v>
      </x:c>
    </x:row>
    <x:row r="247">
      <x:c r="A247" s="2">
        <x:v>46029</x:v>
      </x:c>
      <x:c r="B247" s="1">
        <x:v>1.3792051869854829</x:v>
      </x:c>
      <x:c r="D247" s="17" t="n">
        <x:f>B247</x:f>
        <x:v>1.379205186985483</x:v>
      </x:c>
    </x:row>
    <x:row r="248">
      <x:c r="A248" s="2">
        <x:v>46030</x:v>
      </x:c>
      <x:c r="B248" s="1">
        <x:v>1.3788411182953999</x:v>
      </x:c>
      <x:c r="D248" s="17" t="n">
        <x:f>B248</x:f>
        <x:v>1.3788411182954</x:v>
      </x:c>
    </x:row>
    <x:row r="249">
      <x:c r="A249" s="2">
        <x:v>46031</x:v>
      </x:c>
      <x:c r="B249" s="1">
        <x:v>1.3809519242519039</x:v>
      </x:c>
      <x:c r="D249" s="17" t="n">
        <x:f>B249</x:f>
        <x:v>1.380951924251904</x:v>
      </x:c>
    </x:row>
    <x:row r="250">
      <x:c r="A250" s="2">
        <x:v>46034</x:v>
      </x:c>
      <x:c r="B250" s="1">
        <x:v>1.38468891392233</x:v>
      </x:c>
      <x:c r="D250" s="17" t="n">
        <x:f>B250</x:f>
        <x:v>1.38468891392233</x:v>
      </x:c>
    </x:row>
    <x:row r="251">
      <x:c r="A251" s="2">
        <x:v>46035</x:v>
      </x:c>
      <x:c r="B251" s="1">
        <x:v>1.3830689445219779</x:v>
      </x:c>
      <x:c r="D251" s="17" t="n">
        <x:f>B251</x:f>
        <x:v>1.383068944521978</x:v>
      </x:c>
    </x:row>
    <x:row r="252">
      <x:c r="A252" s="2">
        <x:v>46036</x:v>
      </x:c>
      <x:c r="B252" s="1">
        <x:v>1.3855625446686339</x:v>
      </x:c>
      <x:c r="D252" s="17" t="n">
        <x:f>B252</x:f>
        <x:v>1.385562544668634</x:v>
      </x:c>
    </x:row>
    <x:row r="253">
      <x:c r="A253" s="2">
        <x:v>46037</x:v>
      </x:c>
      <x:c r="B253" s="1">
        <x:v>1.387478447111222</x:v>
      </x:c>
      <x:c r="D253" s="17" t="n">
        <x:f>B253</x:f>
        <x:v>1.387478447111222</x:v>
      </x:c>
    </x:row>
    <x:row r="254">
      <x:c r="A254" s="2">
        <x:v>46038</x:v>
      </x:c>
      <x:c r="B254" s="1">
        <x:v>1.388977698357974</x:v>
      </x:c>
      <x:c r="D254" s="17" t="n">
        <x:f>B254</x:f>
        <x:v>1.388977698357974</x:v>
      </x:c>
    </x:row>
    <x:row r="255">
      <x:c r="A255" s="2">
        <x:v>46041</x:v>
      </x:c>
      <x:c r="B255" s="1">
        <x:v>1.390144738287763</x:v>
      </x:c>
      <x:c r="D255" s="17" t="n">
        <x:f>B255</x:f>
        <x:v>1.390144738287763</x:v>
      </x:c>
    </x:row>
    <x:row r="256">
      <x:c r="A256" s="2">
        <x:v>46042</x:v>
      </x:c>
      <x:c r="B256" s="1">
        <x:v>1.389870629362955</x:v>
      </x:c>
      <x:c r="D256" s="17" t="n">
        <x:f>B256</x:f>
        <x:v>1.389870629362955</x:v>
      </x:c>
    </x:row>
    <x:row r="257">
      <x:c r="A257" s="2">
        <x:v>46043</x:v>
      </x:c>
      <x:c r="B257" s="1">
        <x:v>1.395088051552295</x:v>
      </x:c>
      <x:c r="D257" s="17" t="n">
        <x:f>B257</x:f>
        <x:v>1.395088051552295</x:v>
      </x:c>
    </x:row>
    <x:row r="258">
      <x:c r="A258" s="2">
        <x:v>46044</x:v>
      </x:c>
      <x:c r="B258" s="1">
        <x:v>1.39672541411642</x:v>
      </x:c>
      <x:c r="D258" s="17" t="n">
        <x:f>B258</x:f>
        <x:v>1.39672541411642</x:v>
      </x:c>
    </x:row>
    <x:row r="259">
      <x:c r="A259" s="2">
        <x:v>46045</x:v>
      </x:c>
      <x:c r="B259" s="1">
        <x:v>1.3987282254667019</x:v>
      </x:c>
      <x:c r="D259" s="17" t="n">
        <x:f>B259</x:f>
        <x:v>1.398728225466702</x:v>
      </x:c>
    </x:row>
    <x:row r="260">
      <x:c r="A260" s="2">
        <x:v>46048</x:v>
      </x:c>
      <x:c r="B260" s="1">
        <x:v>1.4001505246766719</x:v>
      </x:c>
      <x:c r="D260" s="17" t="n">
        <x:f>B260</x:f>
        <x:v>1.400150524676672</x:v>
      </x:c>
    </x:row>
    <x:row r="261">
      <x:c r="A261" s="2">
        <x:v>46049</x:v>
      </x:c>
      <x:c r="B261" s="1">
        <x:v>1.4014930926921989</x:v>
      </x:c>
      <x:c r="D261" s="17" t="n">
        <x:f>B261</x:f>
        <x:v>1.401493092692199</x:v>
      </x:c>
    </x:row>
    <x:row r="262">
      <x:c r="A262" s="2">
        <x:v>46050</x:v>
      </x:c>
      <x:c r="B262" s="1">
        <x:v>1.404589118775639</x:v>
      </x:c>
      <x:c r="D262" s="17" t="n">
        <x:f>B262</x:f>
        <x:v>1.404589118775639</x:v>
      </x:c>
    </x:row>
    <x:row r="263">
      <x:c r="A263" s="2">
        <x:v>46051</x:v>
      </x:c>
      <x:c r="B263" s="1">
        <x:v>1.4061073965140269</x:v>
      </x:c>
      <x:c r="D263" s="17" t="n">
        <x:f>B263</x:f>
        <x:v>1.406107396514027</x:v>
      </x:c>
    </x:row>
    <x:row r="264">
      <x:c r="A264" s="2">
        <x:v>46052</x:v>
      </x:c>
      <x:c r="B264" s="1">
        <x:v>1.4014375866809929</x:v>
      </x:c>
      <x:c r="D264" s="17" t="n">
        <x:f>B264</x:f>
        <x:v>1.401437586680993</x:v>
      </x:c>
    </x:row>
    <x:row r="265">
      <x:c r="A265" s="2">
        <x:v>46055</x:v>
      </x:c>
      <x:c r="B265" s="1">
        <x:v>1.3880617960479109</x:v>
      </x:c>
      <x:c r="D265" s="17" t="n">
        <x:f>B265</x:f>
        <x:v>1.388061796047911</x:v>
      </x:c>
    </x:row>
    <x:row r="266">
      <x:c r="A266" s="2">
        <x:v>46056</x:v>
      </x:c>
      <x:c r="B266" s="1">
        <x:v>1.394915452070953</x:v>
      </x:c>
      <x:c r="D266" s="17" t="n">
        <x:f>B266</x:f>
        <x:v>1.394915452070953</x:v>
      </x:c>
    </x:row>
    <x:row r="267">
      <x:c r="A267" s="2">
        <x:v>46057</x:v>
      </x:c>
      <x:c r="B267" s="1">
        <x:v>1.3967102248272341</x:v>
      </x:c>
      <x:c r="D267" s="17" t="n">
        <x:f>B267</x:f>
        <x:v>1.396710224827234</x:v>
      </x:c>
    </x:row>
    <x:row r="268">
      <x:c r="A268" s="2">
        <x:v>46058</x:v>
      </x:c>
      <x:c r="B268" s="1">
        <x:v>1.392853102145718</x:v>
      </x:c>
      <x:c r="D268" s="17" t="n">
        <x:f>B268</x:f>
        <x:v>1.392853102145718</x:v>
      </x:c>
    </x:row>
    <x:row r="269">
      <x:c r="A269" s="2">
        <x:v>46059</x:v>
      </x:c>
      <x:c r="B269" s="1">
        <x:v>1.392212598162698</x:v>
      </x:c>
      <x:c r="D269" s="17" t="n">
        <x:f>B269</x:f>
        <x:v>1.392212598162698</x:v>
      </x:c>
    </x:row>
    <x:row r="270">
      <x:c r="A270" s="2">
        <x:v>46062</x:v>
      </x:c>
      <x:c r="B270" s="1">
        <x:v>1.3980055534976941</x:v>
      </x:c>
      <x:c r="D270" s="17" t="n">
        <x:f>B270</x:f>
        <x:v>1.398005553497694</x:v>
      </x:c>
    </x:row>
    <x:row r="271">
      <x:c r="A271" s="2">
        <x:v>46063</x:v>
      </x:c>
      <x:c r="B271" s="1">
        <x:v>1.398329816814714</x:v>
      </x:c>
      <x:c r="D271" s="17" t="n">
        <x:f>B271</x:f>
        <x:v>1.398329816814714</x:v>
      </x:c>
    </x:row>
    <x:row r="272">
      <x:c r="A272" s="2">
        <x:v>46064</x:v>
      </x:c>
      <x:c r="B272" s="1">
        <x:v>1.397904067239079</x:v>
      </x:c>
      <x:c r="D272" s="17" t="n">
        <x:f>B272</x:f>
        <x:v>1.397904067239079</x:v>
      </x:c>
    </x:row>
    <x:row r="273">
      <x:c r="A273" s="2">
        <x:v>46065</x:v>
      </x:c>
      <x:c r="B273" s="1">
        <x:v>1.399428829918594</x:v>
      </x:c>
      <x:c r="D273" s="17" t="n">
        <x:f>B273</x:f>
        <x:v>1.399428829918594</x:v>
      </x:c>
    </x:row>
    <x:row r="274">
      <x:c r="A274" s="2">
        <x:v>46066</x:v>
      </x:c>
      <x:c r="B274" s="1">
        <x:v>1.3970851566618889</x:v>
      </x:c>
      <x:c r="D274" s="17" t="n">
        <x:f>B274</x:f>
        <x:v>1.397085156661889</x:v>
      </x:c>
    </x:row>
    <x:row r="275">
      <x:c r="A275" s="2">
        <x:v>46077</x:v>
      </x:c>
      <x:c r="B275" s="1">
        <x:v>1.402748590502771</x:v>
      </x:c>
      <x:c r="D275" s="17" t="n">
        <x:f>B275</x:f>
        <x:v>1.402748590502771</x:v>
      </x:c>
    </x:row>
    <x:row r="276">
      <x:c r="A276" s="2">
        <x:v>46078</x:v>
      </x:c>
      <x:c r="B276" s="1">
        <x:v>1.404134424009029</x:v>
      </x:c>
      <x:c r="D276" s="17" t="n">
        <x:f>B276</x:f>
        <x:v>1.404134424009029</x:v>
      </x:c>
    </x:row>
    <x:row r="277">
      <x:c r="A277" s="2">
        <x:v>46079</x:v>
      </x:c>
      <x:c r="B277" s="1">
        <x:v>1.4050416496459941</x:v>
      </x:c>
      <x:c r="D277" s="17" t="n">
        <x:f>B277</x:f>
        <x:v>1.405041649645994</x:v>
      </x:c>
    </x:row>
    <x:row r="278">
      <x:c r="A278" s="2">
        <x:v>46080</x:v>
      </x:c>
      <x:c r="B278" s="1">
        <x:v>1.403717910180089</x:v>
      </x:c>
      <x:c r="D278" s="17" t="n">
        <x:f>B278</x:f>
        <x:v>1.403717910180089</x:v>
      </x:c>
    </x:row>
    <x:row r="279">
      <x:c r="A279" s="2">
        <x:v>46083</x:v>
      </x:c>
      <x:c r="B279" s="1">
        <x:v>1.4083536778431209</x:v>
      </x:c>
      <x:c r="D279" s="17" t="n">
        <x:f>B279</x:f>
        <x:v>1.408353677843121</x:v>
      </x:c>
    </x:row>
    <x:row r="280">
      <x:c r="A280" s="2">
        <x:v>46084</x:v>
      </x:c>
      <x:c r="B280" s="1">
        <x:v>1.402633692213016</x:v>
      </x:c>
      <x:c r="D280" s="17" t="n">
        <x:f>B280</x:f>
        <x:v>1.402633692213016</x:v>
      </x:c>
    </x:row>
    <x:row r="281">
      <x:c r="A281" s="2">
        <x:v>46085</x:v>
      </x:c>
      <x:c r="B281" s="1">
        <x:v>1.3998504822640621</x:v>
      </x:c>
      <x:c r="D281" s="17" t="n">
        <x:f>B281</x:f>
        <x:v>1.399850482264062</x:v>
      </x:c>
    </x:row>
    <x:row r="282">
      <x:c r="A282" s="2">
        <x:v>46086</x:v>
      </x:c>
      <x:c r="B282" s="1">
        <x:v>1.401264719714133</x:v>
      </x:c>
      <x:c r="D282" s="17" t="n">
        <x:f>B282</x:f>
        <x:v>1.401264719714133</x:v>
      </x:c>
    </x:row>
    <x:row r="283">
      <x:c r="A283" s="2">
        <x:v>46087</x:v>
      </x:c>
      <x:c r="B283" s="1">
        <x:v>1.4010615179969379</x:v>
      </x:c>
      <x:c r="D283" s="17" t="n">
        <x:f>B283</x:f>
        <x:v>1.401061517996938</x:v>
      </x:c>
    </x:row>
    <x:row r="284">
      <x:c r="A284" s="2">
        <x:v>46090</x:v>
      </x:c>
      <x:c r="B284" s="1">
        <x:v>1.3973337749823129</x:v>
      </x:c>
      <x:c r="D284" s="17" t="n">
        <x:f>B284</x:f>
        <x:v>1.397333774982313</x:v>
      </x:c>
    </x:row>
    <x:row r="285">
      <x:c r="A285" s="2">
        <x:v>46091</x:v>
      </x:c>
      <x:c r="B285" s="1">
        <x:v>1.401916679200923</x:v>
      </x:c>
      <x:c r="D285" s="17" t="n">
        <x:f>B285</x:f>
        <x:v>1.401916679200923</x:v>
      </x:c>
    </x:row>
    <x:row r="286">
      <x:c r="A286" s="2">
        <x:v>46092</x:v>
      </x:c>
      <x:c r="B286" s="1">
        <x:v>1.40200455489583</x:v>
      </x:c>
      <x:c r="D286" s="17" t="n">
        <x:f>B286</x:f>
        <x:v>1.40200455489583</x:v>
      </x:c>
    </x:row>
    <x:row r="287">
      <x:c r="A287" s="2">
        <x:v>46093</x:v>
      </x:c>
      <x:c r="B287" s="1">
        <x:v>1.4006757482537571</x:v>
      </x:c>
      <x:c r="D287" s="17" t="n">
        <x:f>B287</x:f>
        <x:v>1.400675748253757</x:v>
      </x:c>
    </x:row>
    <x:row r="288">
      <x:c r="A288" s="2">
        <x:v>46094</x:v>
      </x:c>
      <x:c r="B288" s="1">
        <x:v>1.399209580349702</x:v>
      </x:c>
      <x:c r="D288" s="17" t="n">
        <x:f>B288</x:f>
        <x:v>1.399209580349702</x:v>
      </x:c>
    </x:row>
    <x:row r="289">
      <x:c r="A289" s="2">
        <x:v>46097</x:v>
      </x:c>
      <x:c r="B289" s="1">
        <x:v>1.398604072398312</x:v>
      </x:c>
      <x:c r="D289" s="17" t="n">
        <x:f>B289</x:f>
        <x:v>1.398604072398312</x:v>
      </x:c>
    </x:row>
    <x:row r="290">
      <x:c r="A290" s="2">
        <x:v>46098</x:v>
      </x:c>
      <x:c r="B290" s="1">
        <x:v>1.395521599670436</x:v>
      </x:c>
      <x:c r="D290" s="17" t="n">
        <x:f>B290</x:f>
        <x:v>1.395521599670436</x:v>
      </x:c>
    </x:row>
    <x:row r="291">
      <x:c r="A291" s="2">
        <x:v>46099</x:v>
      </x:c>
      <x:c r="B291" s="1">
        <x:v>1.3990291649843689</x:v>
      </x:c>
      <x:c r="D291" s="17" t="n">
        <x:f>B291</x:f>
        <x:v>1.399029164984369</x:v>
      </x:c>
    </x:row>
    <x:row r="292">
      <x:c r="A292" s="2">
        <x:v>46100</x:v>
      </x:c>
      <x:c r="B292" s="1">
        <x:v>1.3926716229156151</x:v>
      </x:c>
      <x:c r="D292" s="17" t="n">
        <x:f>B292</x:f>
        <x:v>1.392671622915615</x:v>
      </x:c>
    </x:row>
    <x:row r="293">
      <x:c r="A293" s="2">
        <x:v>46101</x:v>
      </x:c>
      <x:c r="B293" s="1">
        <x:v>1.3913981699958611</x:v>
      </x:c>
      <x:c r="D293" s="17" t="n">
        <x:f>B293</x:f>
        <x:v>1.391398169995861</x:v>
      </x:c>
    </x:row>
    <x:row r="294">
      <x:c r="A294" s="2">
        <x:v>46104</x:v>
      </x:c>
      <x:c r="B294" s="1">
        <x:v>1.3770695511369011</x:v>
      </x:c>
      <x:c r="D294" s="17" t="n">
        <x:f>B294</x:f>
        <x:v>1.377069551136901</x:v>
      </x:c>
    </x:row>
    <x:row r="295">
      <x:c r="A295" s="2">
        <x:v>46105</x:v>
      </x:c>
      <x:c r="B295" s="1">
        <x:v>1.3842688311867011</x:v>
      </x:c>
      <x:c r="D295" s="17" t="n">
        <x:f>B295</x:f>
        <x:v>1.384268831186701</x:v>
      </x:c>
    </x:row>
    <x:row r="296">
      <x:c r="A296" s="2">
        <x:v>46106</x:v>
      </x:c>
      <x:c r="B296" s="1">
        <x:v>1.3900433665227621</x:v>
      </x:c>
      <x:c r="D296" s="17" t="n">
        <x:f>B296</x:f>
        <x:v>1.390043366522762</x:v>
      </x:c>
    </x:row>
    <x:row r="297">
      <x:c r="A297" s="2">
        <x:v>46107</x:v>
      </x:c>
      <x:c r="B297" s="1">
        <x:v>1.38652467580789</x:v>
      </x:c>
      <x:c r="D297" s="17" t="n">
        <x:f>B297</x:f>
        <x:v>1.38652467580789</x:v>
      </x:c>
    </x:row>
    <x:row r="298">
      <x:c r="A298" s="2">
        <x:v>46108</x:v>
      </x:c>
      <x:c r="B298" s="1">
        <x:v>1.3879282651946081</x:v>
      </x:c>
      <x:c r="D298" s="17" t="n">
        <x:f>B298</x:f>
        <x:v>1.387928265194608</x:v>
      </x:c>
    </x:row>
    <x:row r="299">
      <x:c r="A299" s="2">
        <x:v>46111</x:v>
      </x:c>
      <x:c r="B299" s="1">
        <x:v>1.3904299642715929</x:v>
      </x:c>
      <x:c r="D299" s="17" t="n">
        <x:f>B299</x:f>
        <x:v>1.390429964271593</x:v>
      </x:c>
    </x:row>
    <x:row r="300">
      <x:c r="A300" s="2">
        <x:v>46112</x:v>
      </x:c>
      <x:c r="B300" s="1">
        <x:v>1.388502294056819</x:v>
      </x:c>
      <x:c r="D300" s="17" t="n">
        <x:f>B300</x:f>
        <x:v>1.388502294056819</x:v>
      </x:c>
    </x:row>
    <x:row r="301">
      <x:c r="A301" s="2">
        <x:v>46113</x:v>
      </x:c>
      <x:c r="B301" s="1">
        <x:v>1.3934994504597069</x:v>
      </x:c>
      <x:c r="D301" s="17" t="n">
        <x:f>B301</x:f>
        <x:v>1.393499450459707</x:v>
      </x:c>
    </x:row>
    <x:row r="302">
      <x:c r="A302" s="2">
        <x:v>46114</x:v>
      </x:c>
      <x:c r="B302" s="1">
        <x:v>1.389903015464794</x:v>
      </x:c>
      <x:c r="D302" s="17" t="n">
        <x:f>B302</x:f>
        <x:v>1.389903015464794</x:v>
      </x:c>
    </x:row>
    <x:row r="303">
      <x:c r="A303" s="2">
        <x:v>46115</x:v>
      </x:c>
      <x:c r="B303" s="1">
        <x:v>1.391273019707761</x:v>
      </x:c>
      <x:c r="D303" s="17" t="n">
        <x:f>B303</x:f>
        <x:v>1.391273019707761</x:v>
      </x:c>
    </x:row>
    <x:row r="304">
      <x:c r="A304" s="2">
        <x:v>46119</x:v>
      </x:c>
      <x:c r="B304" s="1">
        <x:v>1.39202801585112</x:v>
      </x:c>
      <x:c r="D304" s="17" t="n">
        <x:f>B304</x:f>
        <x:v>1.39202801585112</x:v>
      </x:c>
    </x:row>
    <x:row r="305">
      <x:c r="A305" s="2">
        <x:v>46120</x:v>
      </x:c>
      <x:c r="B305" s="1">
        <x:v>1.402700689078062</x:v>
      </x:c>
      <x:c r="D305" s="17" t="n">
        <x:f>B305</x:f>
        <x:v>1.402700689078062</x:v>
      </x:c>
    </x:row>
    <x:row r="306">
      <x:c r="A306" s="2">
        <x:v>46121</x:v>
      </x:c>
      <x:c r="B306" s="1">
        <x:v>1.4010376147160319</x:v>
      </x:c>
      <x:c r="D306" s="17" t="n">
        <x:f>B306</x:f>
        <x:v>1.401037614716032</x:v>
      </x:c>
    </x:row>
    <x:row r="307">
      <x:c r="A307" s="2">
        <x:v>46122</x:v>
      </x:c>
      <x:c r="B307" s="1">
        <x:v>1.4060696837512969</x:v>
      </x:c>
      <x:c r="D307" s="17" t="n">
        <x:f>B307</x:f>
        <x:v>1.406069683751297</x:v>
      </x:c>
    </x:row>
    <x:row r="308">
      <x:c r="A308" s="2">
        <x:v>46125</x:v>
      </x:c>
      <x:c r="B308" s="1">
        <x:v>1.407221431563296</x:v>
      </x:c>
      <x:c r="D308" s="17" t="n">
        <x:f>B308</x:f>
        <x:v>1.407221431563296</x:v>
      </x:c>
    </x:row>
    <x:row r="309">
      <x:c r="A309" s="2">
        <x:v>46126</x:v>
      </x:c>
      <x:c r="B309" s="1">
        <x:v>1.4110306401498529</x:v>
      </x:c>
      <x:c r="D309" s="17" t="n">
        <x:f>B309</x:f>
        <x:v>1.411030640149853</x:v>
      </x:c>
    </x:row>
    <x:row r="310">
      <x:c r="A310" s="2">
        <x:v>46127</x:v>
      </x:c>
      <x:c r="B310" s="1">
        <x:v>1.410167698153211</x:v>
      </x:c>
      <x:c r="D310" s="17" t="n">
        <x:f>B310</x:f>
        <x:v>1.410167698153211</x:v>
      </x:c>
    </x:row>
    <x:row r="311">
      <x:c r="A311" s="2">
        <x:v>46128</x:v>
      </x:c>
      <x:c r="B311" s="1">
        <x:v>1.4136171232028221</x:v>
      </x:c>
      <x:c r="D311" s="17" t="n">
        <x:f>B311</x:f>
        <x:v>1.413617123202822</x:v>
      </x:c>
    </x:row>
    <x:row r="312">
      <x:c r="A312" s="2">
        <x:v>46129</x:v>
      </x:c>
      <x:c r="B312" s="1">
        <x:v>1.4180830336167201</x:v>
      </x:c>
      <x:c r="D312" s="17" t="n">
        <x:f>B312</x:f>
        <x:v>1.41808303361672</x:v>
      </x:c>
    </x:row>
    <x:row r="313">
      <x:c r="A313" s="2">
        <x:v>46132</x:v>
      </x:c>
      <x:c r="B313" s="1">
        <x:v>1.419160563157589</x:v>
      </x:c>
      <x:c r="D313" s="17" t="n">
        <x:f>B313</x:f>
        <x:v>1.419160563157589</x:v>
      </x:c>
    </x:row>
    <x:row r="314">
      <x:c r="A314" s="2">
        <x:v>46133</x:v>
      </x:c>
      <x:c r="B314" s="1">
        <x:v>1.4208357809825689</x:v>
      </x:c>
      <x:c r="D314" s="17" t="n">
        <x:f>B314</x:f>
        <x:v>1.420835780982569</x:v>
      </x:c>
    </x:row>
    <x:row r="315">
      <x:c r="A315" s="2">
        <x:v>46134</x:v>
      </x:c>
      <x:c r="B315" s="1">
        <x:v>1.4255074042178959</x:v>
      </x:c>
      <x:c r="D315" s="17" t="n">
        <x:f>B315</x:f>
        <x:v>1.425507404217896</x:v>
      </x:c>
    </x:row>
    <x:row r="316">
      <x:c r="A316" s="2">
        <x:v>46135</x:v>
      </x:c>
      <x:c r="B316" s="1">
        <x:v>1.4215781984129801</x:v>
      </x:c>
      <x:c r="D316" s="17" t="n">
        <x:f>B316</x:f>
        <x:v>1.42157819841298</x:v>
      </x:c>
    </x:row>
    <x:row r="317">
      <x:c r="A317" s="2">
        <x:v>46136</x:v>
      </x:c>
      <x:c r="B317" s="1">
        <x:v>1.418600202817125</x:v>
      </x:c>
      <x:c r="D317" s="17" t="n">
        <x:f>B317</x:f>
        <x:v>1.418600202817125</x:v>
      </x:c>
    </x:row>
    <x:row r="318">
      <x:c r="A318" s="2">
        <x:v>46139</x:v>
      </x:c>
      <x:c r="B318" s="1">
        <x:v>1.419753697716073</x:v>
      </x:c>
      <x:c r="D318" s="17" t="n">
        <x:f>B318</x:f>
        <x:v>1.419753697716073</x:v>
      </x:c>
    </x:row>
    <x:row r="319">
      <x:c r="A319" s="2">
        <x:v>46140</x:v>
      </x:c>
      <x:c r="B319" s="1">
        <x:v>1.417003759890098</x:v>
      </x:c>
      <x:c r="D319" s="17" t="n">
        <x:f>B319</x:f>
        <x:v>1.417003759890098</x:v>
      </x:c>
    </x:row>
    <x:row r="320">
      <x:c r="A320" s="2">
        <x:v>46141</x:v>
      </x:c>
      <x:c r="B320" s="1">
        <x:v>1.419220164177476</x:v>
      </x:c>
      <x:c r="D320" s="17" t="n">
        <x:f>B320</x:f>
        <x:v>1.419220164177476</x:v>
      </x:c>
    </x:row>
    <x:row r="321">
      <x:c r="A321" s="2">
        <x:v>46142</x:v>
      </x:c>
      <x:c r="B321" s="1">
        <x:v>1.419317073860318</x:v>
      </x:c>
      <x:c r="D321" s="17" t="n">
        <x:f>B321</x:f>
        <x:v>1.419317073860318</x:v>
      </x:c>
    </x:row>
    <x:row r="322">
      <x:c r="A322" s="2">
        <x:v>46148</x:v>
      </x:c>
      <x:c r="B322" s="1">
        <x:v>1.422226356600603</x:v>
      </x:c>
      <x:c r="D322" s="17" t="n">
        <x:f>B322</x:f>
        <x:v>1.422226356600603</x:v>
      </x:c>
    </x:row>
    <x:row r="323">
      <x:c r="A323" s="2">
        <x:v>46149</x:v>
      </x:c>
      <x:c r="B323" s="1">
        <x:v>1.426920936213484</x:v>
      </x:c>
      <x:c r="D323" s="17" t="n">
        <x:f>B323</x:f>
        <x:v>1.426920936213484</x:v>
      </x:c>
    </x:row>
    <x:row r="324">
      <x:c r="A324" s="2">
        <x:v>46150</x:v>
      </x:c>
      <x:c r="B324" s="1">
        <x:v>1.4267591660979431</x:v>
      </x:c>
      <x:c r="D324" s="17" t="n">
        <x:f>B324</x:f>
        <x:v>1.426759166097943</x:v>
      </x:c>
    </x:row>
    <x:row r="325">
      <x:c r="A325" s="2">
        <x:v>46153</x:v>
      </x:c>
      <x:c r="B325" s="1">
        <x:v>1.4307464055062351</x:v>
      </x:c>
      <x:c r="D325" s="17" t="n">
        <x:f>B325</x:f>
        <x:v>1.430746405506235</x:v>
      </x:c>
    </x:row>
    <x:row r="326">
      <x:c r="A326" s="2">
        <x:v>46154</x:v>
      </x:c>
      <x:c r="B326" s="1">
        <x:v>1.4324972337295301</x:v>
      </x:c>
      <x:c r="D326" s="17" t="n">
        <x:f>B326</x:f>
        <x:v>1.43249723372953</x:v>
      </x:c>
    </x:row>
    <x:row r="327">
      <x:c r="A327" s="2">
        <x:v>46155</x:v>
      </x:c>
      <x:c r="B327" s="1">
        <x:v>1.436700516367901</x:v>
      </x:c>
      <x:c r="D327" s="17" t="n">
        <x:f>B327</x:f>
        <x:v>1.436700516367901</x:v>
      </x:c>
    </x:row>
    <x:row r="328">
      <x:c r="A328" s="2">
        <x:v>46156</x:v>
      </x:c>
      <x:c r="B328" s="1">
        <x:v>1.4319926703919339</x:v>
      </x:c>
      <x:c r="D328" s="17" t="n">
        <x:f>B328</x:f>
        <x:v>1.431992670391934</x:v>
      </x:c>
    </x:row>
    <x:row r="329">
      <x:c r="A329" s="2">
        <x:v>46157</x:v>
      </x:c>
      <x:c r="B329" s="1">
        <x:v>1.4278001364341779</x:v>
      </x:c>
      <x:c r="D329" s="17" t="n">
        <x:f>B329</x:f>
        <x:v>1.427800136434178</x:v>
      </x:c>
    </x:row>
    <x:row r="330">
      <x:c r="A330" s="2">
        <x:v>46160</x:v>
      </x:c>
      <x:c r="B330" s="1">
        <x:v>1.4288986894013711</x:v>
      </x:c>
      <x:c r="D330" s="17" t="n">
        <x:f>B330</x:f>
        <x:v>1.428898689401371</x:v>
      </x:c>
    </x:row>
    <x:row r="331">
      <x:c r="A331" s="2">
        <x:v>46161</x:v>
      </x:c>
      <x:c r="B331" s="1">
        <x:v>1.4307043025561481</x:v>
      </x:c>
      <x:c r="D331" s="17" t="n">
        <x:f>B331</x:f>
        <x:v>1.430704302556148</x:v>
      </x:c>
    </x:row>
    <x:row r="332">
      <x:c r="A332" s="2">
        <x:v>46162</x:v>
      </x:c>
      <x:c r="B332" s="1">
        <x:v>1.4312698736812159</x:v>
      </x:c>
      <x:c r="D332" s="17" t="n">
        <x:f>B332</x:f>
        <x:v>1.431269873681216</x:v>
      </x:c>
    </x:row>
    <x:row r="333">
      <x:c r="A333" s="2">
        <x:v>46163</x:v>
      </x:c>
      <x:c r="B333" s="1">
        <x:v>1.4270625366622871</x:v>
      </x:c>
      <x:c r="D333" s="17" t="n">
        <x:f>B333</x:f>
        <x:v>1.427062536662287</x:v>
      </x:c>
    </x:row>
    <x:row r="334">
      <x:c r="A334" s="2">
        <x:v>46164</x:v>
      </x:c>
      <x:c r="B334" s="1">
        <x:v>1.434384283933134</x:v>
      </x:c>
      <x:c r="D334" s="17" t="n">
        <x:f>B334</x:f>
        <x:v>1.434384283933134</x:v>
      </x:c>
    </x:row>
    <x:row r="335">
      <x:c r="A335" s="2">
        <x:v>46167</x:v>
      </x:c>
      <x:c r="B335" s="1">
        <x:v>1.439874433653336</x:v>
      </x:c>
      <x:c r="D335" s="17" t="n">
        <x:f>B335</x:f>
        <x:v>1.439874433653336</x:v>
      </x:c>
    </x:row>
    <x:row r="336">
      <x:c r="A336" s="2">
        <x:v>46168</x:v>
      </x:c>
      <x:c r="B336" s="1">
        <x:v>1.440625883346877</x:v>
      </x:c>
      <x:c r="D336" s="17" t="n">
        <x:f>B336</x:f>
        <x:v>1.440625883346877</x:v>
      </x:c>
    </x:row>
    <x:row r="337">
      <x:c r="A337" s="2">
        <x:v>46169</x:v>
      </x:c>
      <x:c r="B337" s="1">
        <x:v>1.4395081289013549</x:v>
      </x:c>
      <x:c r="D337" s="17" t="n">
        <x:f>B337</x:f>
        <x:v>1.439508128901355</x:v>
      </x:c>
    </x:row>
    <x:row r="338">
      <x:c r="A338" s="2">
        <x:v>46170</x:v>
      </x:c>
      <x:c r="B338" s="1">
        <x:v>1.441914897200399</x:v>
      </x:c>
      <x:c r="D338" s="17" t="n">
        <x:f>B338</x:f>
        <x:v>1.441914897200399</x:v>
      </x:c>
    </x:row>
    <x:row r="339">
      <x:c r="A339" s="2">
        <x:v>46171</x:v>
      </x:c>
      <x:c r="B339" s="1">
        <x:v>1.44019025974732</x:v>
      </x:c>
      <x:c r="D339" s="18" t="n">
        <x:f>'持仓区间测算'!Q9</x:f>
        <x:v>1.440788662341679</x:v>
      </x:c>
    </x:row>
    <x:row r="340">
      <x:c r="A340" s="3">
        <x:v>46174</x:v>
      </x:c>
      <x:c r="D340" s="18" t="n">
        <x:f>'持仓区间测算'!Q10</x:f>
        <x:v>1.437539275243934</x:v>
      </x:c>
    </x:row>
    <x:row r="341">
      <x:c r="A341" s="3">
        <x:v>46175</x:v>
      </x:c>
      <x:c r="D341" s="18" t="n">
        <x:f>'持仓区间测算'!Q11</x:f>
        <x:v>1.4415995351343247</x:v>
      </x:c>
    </x:row>
    <x:row r="342">
      <x:c r="A342" s="3">
        <x:v>46176</x:v>
      </x:c>
      <x:c r="D342" s="18" t="n">
        <x:f>'持仓区间测算'!Q12</x:f>
        <x:v>1.44359052802339</x:v>
      </x:c>
    </x:row>
    <x:row r="343">
      <x:c r="A343" s="3">
        <x:v>46177</x:v>
      </x:c>
      <x:c r="D343" s="18" t="n">
        <x:f>'持仓区间测算'!Q13</x:f>
        <x:v>1.444817804212867</x:v>
      </x:c>
    </x:row>
    <x:row r="344">
      <x:c r="A344" s="3">
        <x:v>46178</x:v>
      </x:c>
      <x:c r="D344" s="18" t="n">
        <x:f>'持仓区间测算'!Q14</x:f>
        <x:v>1.4406344504090765</x:v>
      </x:c>
    </x:row>
    <x:row r="345">
      <x:c r="A345" s="3">
        <x:v>46181</x:v>
      </x:c>
      <x:c r="D345" s="18" t="n">
        <x:f>'持仓区间测算'!Q15</x:f>
        <x:v>1.433303102057815</x:v>
      </x:c>
    </x:row>
    <x:row r="346">
      <x:c r="A346" s="3">
        <x:v>46182</x:v>
      </x:c>
      <x:c r="D346" s="18" t="n">
        <x:f>'持仓区间测算'!Q16</x:f>
        <x:v>1.4381984393170382</x:v>
      </x:c>
    </x:row>
    <x:row r="347">
      <x:c r="A347" s="3">
        <x:v>46183</x:v>
      </x:c>
      <x:c r="D347" s="18" t="n">
        <x:f>'持仓区间测算'!Q17</x:f>
        <x:v>1.4325264451359618</x:v>
      </x:c>
    </x:row>
    <x:row r="348">
      <x:c r="A348" s="3">
        <x:v>46184</x:v>
      </x:c>
      <x:c r="D348" s="18" t="n">
        <x:f>'持仓区间测算'!Q18</x:f>
        <x:v>1.4305570688455245</x:v>
      </x:c>
    </x:row>
    <x:row r="349">
      <x:c r="A349" s="3">
        <x:v>46185</x:v>
      </x:c>
      <x:c r="D349" s="18" t="n">
        <x:f>'持仓区间测算'!Q19</x:f>
        <x:v>1.4323749857423933</x:v>
      </x:c>
    </x:row>
    <x:row r="350">
      <x:c r="A350" s="3">
        <x:v>46188</x:v>
      </x:c>
      <x:c r="D350" s="18" t="n">
        <x:f>'持仓区间测算'!Q20</x:f>
        <x:v>1.4420439004758603</x:v>
      </x:c>
    </x:row>
    <x:row r="351">
      <x:c r="A351" s="3">
        <x:v>46189</x:v>
      </x:c>
      <x:c r="D351" s="18" t="n">
        <x:f>'持仓区间测算'!Q21</x:f>
        <x:v>1.4459858332915527</x:v>
      </x:c>
    </x:row>
    <x:row r="352">
      <x:c r="A352" s="3">
        <x:v>46190</x:v>
      </x:c>
      <x:c r="D352" s="18" t="n">
        <x:f>'持仓区间测算'!Q22</x:f>
        <x:v>1.4497526531950669</x:v>
      </x:c>
    </x:row>
    <x:row r="353">
      <x:c r="A353" s="3">
        <x:v>46191</x:v>
      </x:c>
      <x:c r="C353" s="4">
        <x:v>1</x:v>
      </x:c>
      <x:c r="D353" s="18" t="n">
        <x:f>'持仓区间测算'!Q23</x:f>
        <x:v>1.4524458400478442</x:v>
      </x:c>
    </x:row>
    <x:row r="354">
      <x:c r="A354" s="3">
        <x:v>46195</x:v>
      </x:c>
      <x:c r="C354" s="4">
        <x:v>1.0008955316407739</x:v>
      </x:c>
      <x:c r="D354" s="17" t="n">
        <x:f>$D$353*C354/$C$353</x:f>
        <x:v>1.4537465512541174</x:v>
      </x:c>
    </x:row>
    <x:row r="355">
      <x:c r="A355" s="3">
        <x:v>46196</x:v>
      </x:c>
      <x:c r="C355" s="4">
        <x:v>0.99782263840516405</x:v>
      </x:c>
      <x:c r="D355" s="17" t="n">
        <x:f>$D$353*C355/$C$353</x:f>
        <x:v>1.4492833402571448</x:v>
      </x:c>
    </x:row>
    <x:row r="356">
      <x:c r="A356" s="3">
        <x:v>46197</x:v>
      </x:c>
      <x:c r="C356" s="4">
        <x:v>0.99977056884376803</x:v>
      </x:c>
      <x:c r="D356" s="17" t="n">
        <x:f>$D$353*C356/$C$353</x:f>
        <x:v>1.4521126037193977</x:v>
      </x:c>
    </x:row>
    <x:row r="357">
      <x:c r="A357" s="3">
        <x:v>46198</x:v>
      </x:c>
      <x:c r="C357" s="4">
        <x:v>1.0012779820956512</x:v>
      </x:c>
      <x:c r="D357" s="17" t="n">
        <x:f>$D$353*C357/$C$353</x:f>
        <x:v>1.4543020398263284</x:v>
      </x:c>
    </x:row>
    <x:row r="358">
      <x:c r="A358" s="3">
        <x:v>46199</x:v>
      </x:c>
      <x:c r="C358" s="4">
        <x:v>0.99892980064356218</x:v>
      </x:c>
      <x:c r="D358" s="17" t="n">
        <x:f>$D$353*C358/$C$353</x:f>
        <x:v>1.4508914334445642</x:v>
      </x:c>
    </x:row>
    <x:row r="359">
      <x:c r="A359" s="3">
        <x:v>46202</x:v>
      </x:c>
      <x:c r="C359" s="4">
        <x:v>1.0005210497548791</x:v>
      </x:c>
      <x:c r="D359" s="17" t="n">
        <x:f>$D$353*C359/$C$353</x:f>
        <x:v>1.4532026365967763</x:v>
      </x:c>
    </x:row>
    <x:row r="360">
      <x:c r="A360" s="3">
        <x:v>46203</x:v>
      </x:c>
      <x:c r="C360" s="4">
        <x:v>1.0027101391424882</x:v>
      </x:c>
      <x:c r="D360" s="17" t="n">
        <x:f>$D$353*C360/$C$353</x:f>
        <x:v>1.456382170371302</x:v>
      </x:c>
    </x:row>
    <x:row r="361">
      <x:c r="A361" s="3">
        <x:v>46204</x:v>
      </x:c>
      <x:c r="C361" s="4">
        <x:v>0.99998436731801976</x:v>
      </x:c>
      <x:c r="D361" s="17" t="n">
        <x:f>$D$353*C361/$C$353</x:f>
        <x:v>1.4524231344239331</x:v>
      </x:c>
    </x:row>
    <x:row r="362">
      <x:c r="A362" s="3">
        <x:v>46205</x:v>
      </x:c>
      <x:c r="C362" s="4">
        <x:v>0.99415279612394647</x:v>
      </x:c>
      <x:c r="D362" s="17" t="n">
        <x:f>$D$353*C362/$C$353</x:f>
        <x:v>1.4439530931021587</x:v>
      </x:c>
    </x:row>
    <x:row r="363">
      <x:c r="A363" s="3">
        <x:v>46206</x:v>
      </x:c>
      <x:c r="C363" s="4">
        <x:v>0.9950266275137456</x:v>
      </x:c>
      <x:c r="D363" s="17" t="n">
        <x:f>$D$353*C363/$C$353</x:f>
        <x:v>1.4452222858691754</x:v>
      </x:c>
    </x:row>
    <x:row r="364">
      <x:c r="A364" s="3">
        <x:v>46209</x:v>
      </x:c>
      <x:c r="C364" s="4">
        <x:v>0.99412575303434447</x:v>
      </x:c>
      <x:c r="D364" s="17" t="n">
        <x:f>$D$353*C364/$C$353</x:f>
        <x:v>1.4439138144791641</x:v>
      </x:c>
    </x:row>
    <x:row r="365">
      <x:c r="A365" s="3">
        <x:v>46210</x:v>
      </x:c>
      <x:c r="C365" s="4">
        <x:v>0.99350804574205498</x:v>
      </x:c>
      <x:c r="D365" s="17" t="n">
        <x:f>$D$353*C365/$C$353</x:f>
        <x:v>1.443016628092111</x:v>
      </x:c>
    </x:row>
    <x:row r="366">
      <x:c r="A366" s="3">
        <x:v>46211</x:v>
      </x:c>
      <x:c r="C366" s="4">
        <x:v>0.99365826895890297</x:v>
      </x:c>
      <x:c r="D366" s="17" t="n">
        <x:f>$D$353*C366/$C$353</x:f>
        <x:v>1.4432348191785005</x:v>
      </x:c>
    </x:row>
    <x:row r="367">
      <x:c r="A367" s="3">
        <x:v>46212</x:v>
      </x:c>
      <x:c r="C367" s="4">
        <x:v>0.99875367924501923</x:v>
      </x:c>
      <x:c r="D367" s="17" t="n">
        <x:f>$D$353*C367/$C$353</x:f>
        <x:v>1.4506356266519072</x:v>
      </x:c>
    </x:row>
    <x:row r="368">
      <x:c r="A368" s="3">
        <x:v>46213</x:v>
      </x:c>
      <x:c r="C368" s="4">
        <x:v>0.99502796314950503</x:v>
      </x:c>
      <x:c r="D368" s="17" t="n">
        <x:f>$D$353*C368/$C$353</x:f>
        <x:v>1.445224225807778</x:v>
      </x:c>
    </x:row>
    <x:row r="369">
      <x:c r="A369" s="3">
        <x:v>46216</x:v>
      </x:c>
      <x:c r="C369" s="4">
        <x:v>0.98984401811572498</x:v>
      </x:c>
      <x:c r="D369" s="17" t="n">
        <x:f>$D$353*C369/$C$353</x:f>
        <x:v>1.4376948264084277</x:v>
      </x:c>
    </x:row>
    <x:row r="370">
      <x:c r="A370" s="3">
        <x:v>46217</x:v>
      </x:c>
      <x:c r="C370" s="4">
        <x:v>0.99259572537929164</x:v>
      </x:c>
      <x:c r="D370" s="17" t="n">
        <x:f>$D$353*C370/$C$353</x:f>
        <x:v>1.4416915321764245</x:v>
      </x:c>
    </x:row>
    <x:row r="371">
      <x:c r="A371" s="3">
        <x:v>46218</x:v>
      </x:c>
      <x:c r="C371" s="4">
        <x:v>0.99020099872472989</x:v>
      </x:c>
      <x:c r="D371" s="17" t="n">
        <x:f>$D$353*C371/$C$353</x:f>
        <x:v>1.4382133214089545</x:v>
      </x:c>
    </x:row>
    <x:row r="372">
      <x:c r="A372" s="3">
        <x:v>46219</x:v>
      </x:c>
      <x:c r="C372" s="4">
        <x:v>0.9861176198208752</x:v>
      </x:c>
      <x:c r="D372" s="17" t="n">
        <x:f>$D$353*C372/$C$353</x:f>
        <x:v>1.4322824347067118</x:v>
      </x:c>
    </x:row>
    <x:row r="373">
      <x:c r="A373" s="3">
        <x:v>46220</x:v>
      </x:c>
      <x:c r="C373" s="4">
        <x:v>0.9790047810904865</x:v>
      </x:c>
      <x:c r="D373" s="17" t="n">
        <x:f>$D$353*C373/$C$353</x:f>
        <x:v>1.4219514216818274</x:v>
      </x:c>
    </x:row>
    <x:row r="374">
      <x:c r="A374" s="3">
        <x:v>46223</x:v>
      </x:c>
      <x:c r="C374" s="4">
        <x:v>0.97551609956302554</x:v>
      </x:c>
      <x:c r="D374" s="17" t="n">
        <x:f>$D$353*C374/$C$353</x:f>
        <x:v>1.416884300710015</x:v>
      </x:c>
    </x:row>
    <x:row r="375">
      <x:c r="A375" s="3">
        <x:v>46224</x:v>
      </x:c>
      <x:c r="C375" s="4">
        <x:v>0.98451181946051036</x:v>
      </x:c>
      <x:c r="D375" s="17" t="n">
        <x:f>$D$353*C375/$C$353</x:f>
        <x:v>1.4299500966533525</x:v>
      </x:c>
    </x:row>
    <x:row r="376">
      <x:c r="A376" s="3">
        <x:v>46225</x:v>
      </x:c>
      <x:c r="C376" s="4">
        <x:v>0.98416489616962055</x:v>
      </x:c>
      <x:c r="D376" s="17" t="n">
        <x:f>$D$353*C376/$C$353</x:f>
        <x:v>1.4294462093626839</x:v>
      </x:c>
    </x:row>
    <x:row r="377">
      <x:c r="A377" s="3">
        <x:v>46226</x:v>
      </x:c>
      <x:c r="C377" s="4">
        <x:v>0.98294067506944183</x:v>
      </x:c>
      <x:c r="D377" s="17" t="n">
        <x:f>$D$353*C377/$C$353</x:f>
        <x:v>1.4276680945184306</x:v>
      </x:c>
    </x:row>
    <x:row r="378">
      <x:c r="A378" s="3">
        <x:v>46227</x:v>
      </x:c>
      <x:c r="C378" s="4">
        <x:v>0.98167072753263529</x:v>
      </x:c>
      <x:c r="D378" s="17" t="n">
        <x:f>$D$353*C378/$C$353</x:f>
        <x:v>1.4258235645015167</x:v>
      </x:c>
    </x:row>
    <x:row r="379">
      <x:c r="A379" s="3">
        <x:v>46230</x:v>
      </x:c>
      <x:c r="C379" s="4">
        <x:v>0.98530566690705634</x:v>
      </x:c>
      <x:c r="D379" s="17" t="n">
        <x:f>$D$353*C379/$C$353</x:f>
        <x:v>1.4311031170747208</x:v>
      </x:c>
    </x:row>
    <x:row r="380">
      <x:c r="A380" s="3">
        <x:v>46231</x:v>
      </x:c>
      <x:c r="C380" s="4">
        <x:v>0.97879642351182894</x:v>
      </x:c>
      <x:c r="D380" s="17" t="n">
        <x:f>$D$353*C380/$C$353</x:f>
        <x:v>1.4216487935834639</x:v>
      </x:c>
    </x:row>
    <x:row r="381">
      <x:c r="A381" s="3">
        <x:v>46232</x:v>
      </x:c>
      <x:c r="C381" s="4">
        <x:v>0.9782589797667538</x:v>
      </x:c>
      <x:c r="D381" s="17" t="n">
        <x:f>$D$353*C381/$C$353</x:f>
        <x:v>1.4208681856516696</x:v>
      </x:c>
    </x:row>
    <x:row r="382">
      <x:c r="A382" s="3">
        <x:v>46233</x:v>
      </x:c>
      <x:c r="C382" s="4">
        <x:v>0.97390321005734459</x:v>
      </x:c>
      <x:c r="D382" s="17" t="n">
        <x:f>$D$353*C382/$C$353</x:f>
        <x:v>1.4145416660570318</x:v>
      </x:c>
    </x:row>
    <x:row r="383">
      <x:c r="A383" s="3">
        <x:v>46234</x:v>
      </x:c>
      <x:c r="C383" s="4">
        <x:v>0.97719837247619623</x:v>
      </x:c>
      <x:c r="D383" s="17" t="n">
        <x:f>$D$353*C383/$C$353</x:f>
        <x:v>1.419327711004575</x:v>
      </x:c>
    </x:row>
    <x:row r="384">
      <x:c r="A384" s="3">
        <x:v>46237</x:v>
      </x:c>
      <x:c r="C384" s="4">
        <x:v>0.97483599855662972</x:v>
      </x:c>
      <x:c r="D384" s="17" t="n">
        <x:f>$D$353*C384/$C$353</x:f>
        <x:v>1.4158964908324632</x:v>
      </x:c>
    </x:row>
    <x:row r="385">
      <x:c r="A385" s="3">
        <x:v>46238</x:v>
      </x:c>
      <x:c r="C385" s="4">
        <x:v>0.97968557339554074</x:v>
      </x:c>
      <x:c r="D385" s="17" t="n">
        <x:f>$D$353*C385/$C$353</x:f>
        <x:v>1.4229402356332401</x:v>
      </x:c>
    </x:row>
    <x:row r="386">
      <x:c r="A386" s="3">
        <x:v>46239</x:v>
      </x:c>
      <x:c r="C386" s="4">
        <x:v>0.98435681211622128</x:v>
      </x:c>
      <x:c r="D386" s="17" t="n">
        <x:f>$D$353*C386/$C$353</x:f>
        <x:v>1.429724956880963</x:v>
      </x:c>
    </x:row>
    <x:row r="387">
      <x:c r="A387" s="3">
        <x:v>46240</x:v>
      </x:c>
      <x:c r="C387" s="4">
        <x:v>0.98673128064354332</x:v>
      </x:c>
      <x:c r="D387" s="17" t="n">
        <x:f>$D$353*C387/$C$353</x:f>
        <x:v>1.4331737438157963</x:v>
      </x:c>
    </x:row>
    <x:row r="388">
      <x:c r="A388" s="3">
        <x:v>46241</x:v>
      </x:c>
      <x:c r="C388" s="4">
        <x:v>0.98991772635449637</x:v>
      </x:c>
      <x:c r="D388" s="17" t="n">
        <x:f>$D$353*C388/$C$353</x:f>
        <x:v>1.4378018836332085</x:v>
      </x:c>
    </x:row>
    <x:row r="389">
      <x:c r="A389" s="3">
        <x:v>46244</x:v>
      </x:c>
      <x:c r="C389" s="4">
        <x:v>0.9919944749306091</x:v>
      </x:c>
      <x:c r="D389" s="17" t="n">
        <x:f>$D$353*C389/$C$353</x:f>
        <x:v>1.4408182484634087</x:v>
      </x:c>
    </x:row>
    <x:row r="390">
      <x:c r="A390" s="3">
        <x:v>46245</x:v>
      </x:c>
      <x:c r="C390" s="4">
        <x:v>0.99073929663758642</x:v>
      </x:c>
      <x:c r="D390" s="17" t="n">
        <x:f>$D$353*C390/$C$353</x:f>
        <x:v>1.4389951699731895</x:v>
      </x:c>
    </x:row>
    <x:row r="391">
      <x:c r="A391" s="3">
        <x:v>46246</x:v>
      </x:c>
      <x:c r="C391" s="4">
        <x:v>0.99347449449349057</x:v>
      </x:c>
      <x:c r="D391" s="17" t="n">
        <x:f>$D$353*C391/$C$353</x:f>
        <x:v>1.4429678967207051</x:v>
      </x:c>
    </x:row>
    <x:row r="392">
      <x:c r="A392" s="3">
        <x:v>46247</x:v>
      </x:c>
      <x:c r="C392" s="4">
        <x:v>0.99299759081711703</x:v>
      </x:c>
      <x:c r="D392" s="17" t="n">
        <x:f>$D$353*C392/$C$353</x:f>
        <x:v>1.442275219959853</x:v>
      </x:c>
    </x:row>
    <x:row r="393">
      <x:c r="A393" s="3">
        <x:v>46248</x:v>
      </x:c>
      <x:c r="C393" s="4">
        <x:v>0.99372212189107401</x:v>
      </x:c>
      <x:c r="D393" s="17" t="n">
        <x:f>$D$353*C393/$C$353</x:f>
        <x:v>1.4433275621042072</x:v>
      </x:c>
    </x:row>
    <x:row r="394">
      <x:c r="A394" s="3">
        <x:v>46251</x:v>
      </x:c>
      <x:c r="C394" s="4">
        <x:v>0.99865469890573955</x:v>
      </x:c>
      <x:c r="D394" s="17" t="n">
        <x:f>$D$353*C394/$C$353</x:f>
        <x:v>1.4504918630698738</x:v>
      </x:c>
    </x:row>
    <x:row r="395">
      <x:c r="A395" s="3">
        <x:v>46252</x:v>
      </x:c>
      <x:c r="C395" s="4">
        <x:v>0.99950584672572562</x:v>
      </x:c>
      <x:c r="D395" s="17" t="n">
        <x:f>$D$353*C395/$C$353</x:f>
        <x:v>1.4517281091802783</x:v>
      </x:c>
    </x:row>
    <x:row r="396">
      <x:c r="A396" s="3">
        <x:v>46253</x:v>
      </x:c>
      <x:c r="C396" s="4">
        <x:v>0.99178991023315655</x:v>
      </x:c>
      <x:c r="D396" s="17" t="n">
        <x:f>$D$353*C396/$C$353</x:f>
        <x:v>1.440521129319573</x:v>
      </x:c>
    </x:row>
    <x:row r="397">
      <x:c r="A397" s="3">
        <x:v>46254</x:v>
      </x:c>
      <x:c r="C397" s="4">
        <x:v>0.99384685157613673</x:v>
      </x:c>
      <x:c r="D397" s="17" t="n">
        <x:f>$D$353*C397/$C$353</x:f>
        <x:v>1.443508725216407</x:v>
      </x:c>
    </x:row>
    <x:row r="398">
      <x:c r="A398" s="3">
        <x:v>46255</x:v>
      </x:c>
      <x:c r="C398" s="4">
        <x:v>0.99508534181085639</x:v>
      </x:c>
      <x:c r="D398" s="17" t="n">
        <x:f>$D$353*C398/$C$353</x:f>
        <x:v>1.4453075652057654</x:v>
      </x:c>
    </x:row>
    <x:row r="399">
      <x:c r="A399" s="3">
        <x:v>46258</x:v>
      </x:c>
      <x:c r="C399" s="4">
        <x:v>0.9947842173581124</x:v>
      </x:c>
      <x:c r="D399" s="17" t="n">
        <x:f>$D$353*C399/$C$353</x:f>
        <x:v>1.4448701982470407</x:v>
      </x:c>
    </x:row>
    <x:row r="400">
      <x:c r="A400" s="3">
        <x:v>46259</x:v>
      </x:c>
      <x:c r="C400" s="4">
        <x:v>0.99402797023660394</x:v>
      </x:c>
      <x:c r="D400" s="17" t="n">
        <x:f>$D$353*C400/$C$353</x:f>
        <x:v>1.4437717902613576</x:v>
      </x:c>
    </x:row>
    <x:row r="401">
      <x:c r="A401" s="3">
        <x:v>46260</x:v>
      </x:c>
      <x:c r="C401" s="4">
        <x:v>0.99457091931146535</x:v>
      </x:c>
      <x:c r="D401" s="17" t="n">
        <x:f>$D$353*C401/$C$353</x:f>
        <x:v>1.444560394386498</x:v>
      </x:c>
    </x:row>
    <x:row r="402">
      <x:c r="A402" s="3">
        <x:v>46261</x:v>
      </x:c>
      <x:c r="C402" s="4">
        <x:v>0.99667352594592551</x:v>
      </x:c>
      <x:c r="D402" s="17" t="n">
        <x:f>$D$353*C402/$C$353</x:f>
        <x:v>1.4476143166459765</x:v>
      </x:c>
    </x:row>
    <x:row r="403">
      <x:c r="C403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2" max="2" width="15.453125" customWidth="1"/>
  </x:cols>
  <x:sheetData>
    <x:row r="3" ht="52">
      <x:c r="B3" s="5" t="s">
        <x:v>2</x:v>
      </x:c>
      <x:c r="C3" s="6" t="s">
        <x:v>3</x:v>
      </x:c>
      <x:c r="D3" s="6" t="s">
        <x:v>4</x:v>
      </x:c>
      <x:c r="E3" s="6" t="s">
        <x:v>5</x:v>
      </x:c>
      <x:c r="F3" s="6" t="s">
        <x:v>6</x:v>
      </x:c>
      <x:c r="G3" s="6" t="s">
        <x:v>7</x:v>
      </x:c>
      <x:c r="H3" s="6" t="s">
        <x:v>8</x:v>
      </x:c>
      <x:c r="I3" s="6" t="s">
        <x:v>9</x:v>
      </x:c>
      <x:c r="J3" s="6" t="s">
        <x:v>10</x:v>
      </x:c>
      <x:c r="K3" s="6" t="s">
        <x:v>11</x:v>
      </x:c>
      <x:c r="L3" s="6" t="s">
        <x:v>12</x:v>
      </x:c>
      <x:c r="M3" s="6" t="s">
        <x:v>13</x:v>
      </x:c>
      <x:c r="N3" s="6" t="s">
        <x:v>14</x:v>
      </x:c>
      <x:c r="O3" s="6" t="s">
        <x:v>15</x:v>
      </x:c>
      <x:c r="P3" s="5" t="s">
        <x:v>16</x:v>
      </x:c>
    </x:row>
    <x:row r="4" ht="25">
      <x:c r="B4" s="5" t="s">
        <x:v>17</x:v>
      </x:c>
      <x:c r="C4" s="7" t="s">
        <x:v>18</x:v>
      </x:c>
      <x:c r="D4" s="7" t="s">
        <x:v>19</x:v>
      </x:c>
      <x:c r="E4" s="7" t="s">
        <x:v>20</x:v>
      </x:c>
      <x:c r="F4" s="7" t="s">
        <x:v>21</x:v>
      </x:c>
      <x:c r="G4" s="7" t="s">
        <x:v>22</x:v>
      </x:c>
      <x:c r="H4" s="7" t="s">
        <x:v>23</x:v>
      </x:c>
      <x:c r="I4" s="7" t="s">
        <x:v>24</x:v>
      </x:c>
      <x:c r="J4" s="7" t="s">
        <x:v>25</x:v>
      </x:c>
      <x:c r="K4" s="7" t="s">
        <x:v>26</x:v>
      </x:c>
      <x:c r="L4" s="7" t="s">
        <x:v>27</x:v>
      </x:c>
      <x:c r="M4" s="7" t="s">
        <x:v>28</x:v>
      </x:c>
      <x:c r="N4" s="7" t="s">
        <x:v>29</x:v>
      </x:c>
      <x:c r="O4" s="7" t="s">
        <x:v>30</x:v>
      </x:c>
      <x:c r="P4" s="7"/>
    </x:row>
    <x:row r="5">
      <x:c r="B5" s="10" t="s">
        <x:v>31</x:v>
      </x:c>
      <x:c r="C5" s="8">
        <x:v>0.05</x:v>
      </x:c>
      <x:c r="D5" s="8">
        <x:v>0.02</x:v>
      </x:c>
      <x:c r="E5" s="8">
        <x:v>0.01</x:v>
      </x:c>
      <x:c r="F5" s="8">
        <x:v>1.2500000000000001E-2</x:v>
      </x:c>
      <x:c r="G5" s="8">
        <x:v>5.0000000000000001E-3</x:v>
      </x:c>
      <x:c r="H5" s="8">
        <x:v>0.01</x:v>
      </x:c>
      <x:c r="I5" s="8">
        <x:v>1.2500000000000001E-2</x:v>
      </x:c>
      <x:c r="J5" s="8">
        <x:v>1.2500000000000001E-2</x:v>
      </x:c>
      <x:c r="K5" s="8">
        <x:v>0.01</x:v>
      </x:c>
      <x:c r="L5" s="8">
        <x:v>0.01</x:v>
      </x:c>
      <x:c r="M5" s="8">
        <x:v>5.0000000000000001E-3</x:v>
      </x:c>
      <x:c r="N5" s="8">
        <x:v>1.2500000000000001E-2</x:v>
      </x:c>
      <x:c r="O5" s="8">
        <x:v>0.83</x:v>
      </x:c>
      <x:c r="P5" s="9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6" hidden="0" customWidth="1"/>
    <x:col min="19" max="19" width="12" hidden="0" customWidth="1"/>
  </x:cols>
  <x:sheetData>
    <x:row r="1" ht="28" customHeight="1">
      <x:c r="A1" s="21" t="str">
        <x:v>1090账户上线持仓区间净值测算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</x:row>
    <x:row r="2" ht="32" customHeight="1">
      <x:c r="A2" s="25" t="str">
        <x:v>口径：2026-05-28为回测衔接基准日；按上线初始权重买入并自然漂移，2026-05-29至2026-06-18使用基金复权单位净值计算。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</x:row>
    <x:row r="3">
      <x:c r="A3" s="29" t="str">
        <x:v>基金代码</x:v>
      </x:c>
      <x:c r="B3" s="35" t="str">
        <x:f>'上线实盘持仓'!C4</x:f>
        <x:v>000216.OF</x:v>
      </x:c>
      <x:c r="C3" s="35" t="str">
        <x:f>'上线实盘持仓'!D4</x:f>
        <x:v>000917.OF</x:v>
      </x:c>
      <x:c r="D3" s="35" t="str">
        <x:f>'上线实盘持仓'!E4</x:f>
        <x:v>001170.OF</x:v>
      </x:c>
      <x:c r="E3" s="35" t="str">
        <x:f>'上线实盘持仓'!F4</x:f>
        <x:v>007044.OF</x:v>
      </x:c>
      <x:c r="F3" s="35" t="str">
        <x:f>'上线实盘持仓'!G4</x:f>
        <x:v>007817.OF</x:v>
      </x:c>
      <x:c r="G3" s="35" t="str">
        <x:f>'上线实盘持仓'!H4</x:f>
        <x:v>013840.OF</x:v>
      </x:c>
      <x:c r="H3" s="35" t="str">
        <x:f>'上线实盘持仓'!I4</x:f>
        <x:v>014201.OF</x:v>
      </x:c>
      <x:c r="I3" s="35" t="str">
        <x:f>'上线实盘持仓'!J4</x:f>
        <x:v>015453.OF</x:v>
      </x:c>
      <x:c r="J3" s="35" t="str">
        <x:f>'上线实盘持仓'!K4</x:f>
        <x:v>016370.OF</x:v>
      </x:c>
      <x:c r="K3" s="35" t="str">
        <x:f>'上线实盘持仓'!L4</x:f>
        <x:v>017488.OF</x:v>
      </x:c>
      <x:c r="L3" s="35" t="str">
        <x:f>'上线实盘持仓'!M4</x:f>
        <x:v>019632.OF</x:v>
      </x:c>
      <x:c r="M3" s="35" t="str">
        <x:f>'上线实盘持仓'!N4</x:f>
        <x:v>019923.OF</x:v>
      </x:c>
      <x:c r="N3" s="35" t="str">
        <x:f>'上线实盘持仓'!O4</x:f>
        <x:v>161119.OF</x:v>
      </x:c>
    </x:row>
    <x:row r="4" ht="42" customHeight="1">
      <x:c r="A4" s="29" t="str">
        <x:v>基金简称</x:v>
      </x:c>
      <x:c r="B4" s="35" t="str">
        <x:f>'上线实盘持仓'!C3</x:f>
        <x:v>华安黄金ETF联接A</x:v>
      </x:c>
      <x:c r="C4" s="35" t="str">
        <x:f>'上线实盘持仓'!D3</x:f>
        <x:v>嘉实快线货币A</x:v>
      </x:c>
      <x:c r="D4" s="35" t="str">
        <x:f>'上线实盘持仓'!E3</x:f>
        <x:v>宏利复兴混合A</x:v>
      </x:c>
      <x:c r="E4" s="35" t="str">
        <x:f>'上线实盘持仓'!F3</x:f>
        <x:v>博道沪深300增强A</x:v>
      </x:c>
      <x:c r="F4" s="35" t="str">
        <x:f>'上线实盘持仓'!G3</x:f>
        <x:v>国泰通信设备ETF联接A</x:v>
      </x:c>
      <x:c r="G4" s="35" t="str">
        <x:f>'上线实盘持仓'!H3</x:f>
        <x:v>银华集成电路混合A</x:v>
      </x:c>
      <x:c r="H4" s="35" t="str">
        <x:f>'上线实盘持仓'!I3</x:f>
        <x:v>天弘中证1000指增A</x:v>
      </x:c>
      <x:c r="I4" s="35" t="str">
        <x:f>'上线实盘持仓'!J3</x:f>
        <x:v>中欧中证500指增A</x:v>
      </x:c>
      <x:c r="J4" s="35" t="str">
        <x:f>'上线实盘持仓'!K3</x:f>
        <x:v>信澳业绩驱动A</x:v>
      </x:c>
      <x:c r="K4" s="35" t="str">
        <x:f>'上线实盘持仓'!L3</x:f>
        <x:v>嘉实信息产业A</x:v>
      </x:c>
      <x:c r="L4" s="35" t="str">
        <x:f>'上线实盘持仓'!M3</x:f>
        <x:v>国泰半导体材料设备ETF联接A</x:v>
      </x:c>
      <x:c r="M4" s="35" t="str">
        <x:f>'上线实盘持仓'!N3</x:f>
        <x:v>华泰柏瑞中证2000指增A</x:v>
      </x:c>
      <x:c r="N4" s="35" t="str">
        <x:f>'上线实盘持仓'!O3</x:f>
        <x:v>易方达中债新综指LOFA</x:v>
      </x:c>
    </x:row>
    <x:row r="5">
      <x:c r="A5" s="29" t="str">
        <x:v>上线权重</x:v>
      </x:c>
      <x:c r="B5" s="36" t="n">
        <x:f>'上线实盘持仓'!C5</x:f>
        <x:v>0.05</x:v>
      </x:c>
      <x:c r="C5" s="36" t="n">
        <x:f>'上线实盘持仓'!D5</x:f>
        <x:v>0.02</x:v>
      </x:c>
      <x:c r="D5" s="36" t="n">
        <x:f>'上线实盘持仓'!E5</x:f>
        <x:v>0.01</x:v>
      </x:c>
      <x:c r="E5" s="36" t="n">
        <x:f>'上线实盘持仓'!F5</x:f>
        <x:v>0.0125</x:v>
      </x:c>
      <x:c r="F5" s="36" t="n">
        <x:f>'上线实盘持仓'!G5</x:f>
        <x:v>0.005</x:v>
      </x:c>
      <x:c r="G5" s="36" t="n">
        <x:f>'上线实盘持仓'!H5</x:f>
        <x:v>0.01</x:v>
      </x:c>
      <x:c r="H5" s="36" t="n">
        <x:f>'上线实盘持仓'!I5</x:f>
        <x:v>0.0125</x:v>
      </x:c>
      <x:c r="I5" s="36" t="n">
        <x:f>'上线实盘持仓'!J5</x:f>
        <x:v>0.0125</x:v>
      </x:c>
      <x:c r="J5" s="36" t="n">
        <x:f>'上线实盘持仓'!K5</x:f>
        <x:v>0.01</x:v>
      </x:c>
      <x:c r="K5" s="36" t="n">
        <x:f>'上线实盘持仓'!L5</x:f>
        <x:v>0.01</x:v>
      </x:c>
      <x:c r="L5" s="36" t="n">
        <x:f>'上线实盘持仓'!M5</x:f>
        <x:v>0.005</x:v>
      </x:c>
      <x:c r="M5" s="36" t="n">
        <x:f>'上线实盘持仓'!N5</x:f>
        <x:v>0.0125</x:v>
      </x:c>
      <x:c r="N5" s="36" t="n">
        <x:f>'上线实盘持仓'!O5</x:f>
        <x:v>0.83</x:v>
      </x:c>
    </x:row>
    <x:row r="6">
      <x:c r="A6" s="29" t="str">
        <x:v>基准份额</x:v>
      </x:c>
      <x:c r="B6" s="37" t="n">
        <x:f>B5/B8</x:f>
        <x:v>0.014995201535508637</x:v>
      </x:c>
      <x:c r="C6" s="37" t="n">
        <x:f>C5/C8</x:f>
        <x:v>0.015194128463774072</x:v>
      </x:c>
      <x:c r="D6" s="37" t="n">
        <x:f>D5/D8</x:f>
        <x:v>0.002015316404675534</x:v>
      </x:c>
      <x:c r="E6" s="37" t="n">
        <x:f>E5/E8</x:f>
        <x:v>0.006386348541357993</x:v>
      </x:c>
      <x:c r="F6" s="37" t="n">
        <x:f>F5/F8</x:f>
        <x:v>0.0011163953825886978</x:v>
      </x:c>
      <x:c r="G6" s="37" t="n">
        <x:f>G5/G8</x:f>
        <x:v>0.0035973811065544287</x:v>
      </x:c>
      <x:c r="H6" s="37" t="n">
        <x:f>H5/H8</x:f>
        <x:v>0.007481446013885564</x:v>
      </x:c>
      <x:c r="I6" s="37" t="n">
        <x:f>I5/I8</x:f>
        <x:v>0.00774041736330423</x:v>
      </x:c>
      <x:c r="J6" s="37" t="n">
        <x:f>J5/J8</x:f>
        <x:v>0.0031691703112125243</x:v>
      </x:c>
      <x:c r="K6" s="37" t="n">
        <x:f>K5/K8</x:f>
        <x:v>0.0025328639092221574</x:v>
      </x:c>
      <x:c r="L6" s="37" t="n">
        <x:f>L5/L8</x:f>
        <x:v>0.0019623233908948193</x:v>
      </x:c>
      <x:c r="M6" s="37" t="n">
        <x:f>M5/M8</x:f>
        <x:v>0.005832400149309444</x:v>
      </x:c>
      <x:c r="N6" s="37" t="n">
        <x:f>N5/N8</x:f>
        <x:v>0.4649859943977591</x:v>
      </x:c>
    </x:row>
    <x:row r="7" ht="32" customHeight="1">
      <x:c r="A7" s="42" t="str">
        <x:v>日期</x:v>
      </x:c>
      <x:c r="B7" s="42" t="str">
        <x:v>000216.OF</x:v>
      </x:c>
      <x:c r="C7" s="42" t="str">
        <x:v>000917.OF</x:v>
      </x:c>
      <x:c r="D7" s="42" t="str">
        <x:v>001170.OF</x:v>
      </x:c>
      <x:c r="E7" s="42" t="str">
        <x:v>007044.OF</x:v>
      </x:c>
      <x:c r="F7" s="42" t="str">
        <x:v>007817.OF</x:v>
      </x:c>
      <x:c r="G7" s="42" t="str">
        <x:v>013840.OF</x:v>
      </x:c>
      <x:c r="H7" s="42" t="str">
        <x:v>014201.OF</x:v>
      </x:c>
      <x:c r="I7" s="42" t="str">
        <x:v>015453.OF</x:v>
      </x:c>
      <x:c r="J7" s="42" t="str">
        <x:v>016370.OF</x:v>
      </x:c>
      <x:c r="K7" s="42" t="str">
        <x:v>017488.OF</x:v>
      </x:c>
      <x:c r="L7" s="42" t="str">
        <x:v>019632.OF</x:v>
      </x:c>
      <x:c r="M7" s="42" t="str">
        <x:v>019923.OF</x:v>
      </x:c>
      <x:c r="N7" s="42" t="str">
        <x:v>161119.OF</x:v>
      </x:c>
      <x:c r="O7" s="42" t="str">
        <x:v>组合模拟因子</x:v>
      </x:c>
      <x:c r="P7" s="42" t="str">
        <x:v>组合日涨跌幅</x:v>
      </x:c>
      <x:c r="Q7" s="42" t="str">
        <x:v>接续净值</x:v>
      </x:c>
      <x:c r="R7" s="42" t="str">
        <x:v>区间口径</x:v>
      </x:c>
      <x:c r="S7" s="42" t="str">
        <x:v>完整性校验</x:v>
      </x:c>
    </x:row>
    <x:row r="8">
      <x:c r="A8" s="45" t="n">
        <x:v>46170</x:v>
      </x:c>
      <x:c r="B8" s="46" t="n">
        <x:v>3.3344</x:v>
      </x:c>
      <x:c r="C8" s="46" t="n">
        <x:v>1.3162979402</x:v>
      </x:c>
      <x:c r="D8" s="46" t="n">
        <x:v>4.962</x:v>
      </x:c>
      <x:c r="E8" s="46" t="n">
        <x:v>1.9573</x:v>
      </x:c>
      <x:c r="F8" s="46" t="n">
        <x:v>4.4787</x:v>
      </x:c>
      <x:c r="G8" s="46" t="n">
        <x:v>2.7798</x:v>
      </x:c>
      <x:c r="H8" s="46" t="n">
        <x:v>1.6708</x:v>
      </x:c>
      <x:c r="I8" s="46" t="n">
        <x:v>1.6149</x:v>
      </x:c>
      <x:c r="J8" s="46" t="n">
        <x:v>3.1554</x:v>
      </x:c>
      <x:c r="K8" s="46" t="n">
        <x:v>3.9481</x:v>
      </x:c>
      <x:c r="L8" s="46" t="n">
        <x:v>2.548</x:v>
      </x:c>
      <x:c r="M8" s="46" t="n">
        <x:v>2.1432</x:v>
      </x:c>
      <x:c r="N8" s="46" t="n">
        <x:v>1.785</x:v>
      </x:c>
      <x:c r="O8" s="46" t="n">
        <x:f>SUMPRODUCT($B$6:$N$6,B8:N8)</x:f>
        <x:v>1</x:v>
      </x:c>
      <x:c r="P8" s="47" t="n">
        <x:f>0</x:f>
        <x:v>0</x:v>
      </x:c>
      <x:c r="Q8" s="50" t="n">
        <x:f>'净值序列'!B338</x:f>
        <x:v>1.441914897200399</x:v>
      </x:c>
      <x:c r="R8" s="49" t="str">
        <x:v>回测衔接基准</x:v>
      </x:c>
      <x:c r="S8" s="49" t="str">
        <x:f>IF(COUNT(B8:N8)=13,"OK","缺失")</x:f>
        <x:v>OK</x:v>
      </x:c>
    </x:row>
    <x:row r="9">
      <x:c r="A9" s="45" t="n">
        <x:v>46171</x:v>
      </x:c>
      <x:c r="B9" s="46" t="n">
        <x:v>3.413</x:v>
      </x:c>
      <x:c r="C9" s="46" t="n">
        <x:v>1.3163422468</x:v>
      </x:c>
      <x:c r="D9" s="46" t="n">
        <x:v>4.925</x:v>
      </x:c>
      <x:c r="E9" s="46" t="n">
        <x:v>1.9417</x:v>
      </x:c>
      <x:c r="F9" s="46" t="n">
        <x:v>4.4068</x:v>
      </x:c>
      <x:c r="G9" s="46" t="n">
        <x:v>2.6235</x:v>
      </x:c>
      <x:c r="H9" s="46" t="n">
        <x:v>1.6332</x:v>
      </x:c>
      <x:c r="I9" s="46" t="n">
        <x:v>1.5841</x:v>
      </x:c>
      <x:c r="J9" s="46" t="n">
        <x:v>3.1015</x:v>
      </x:c>
      <x:c r="K9" s="46" t="n">
        <x:v>3.892</x:v>
      </x:c>
      <x:c r="L9" s="46" t="n">
        <x:v>2.4057</x:v>
      </x:c>
      <x:c r="M9" s="46" t="n">
        <x:v>2.066</x:v>
      </x:c>
      <x:c r="N9" s="46" t="n">
        <x:v>1.7859</x:v>
      </x:c>
      <x:c r="O9" s="46" t="n">
        <x:f>SUMPRODUCT($B$6:$N$6,B9:N9)</x:f>
        <x:v>0.9992189311165959</x:v>
      </x:c>
      <x:c r="P9" s="47" t="n">
        <x:f>O9/O8-1</x:f>
        <x:v>-0.0007810688834041235</x:v>
      </x:c>
      <x:c r="Q9" s="48" t="n">
        <x:f>$Q$8*O9</x:f>
        <x:v>1.440788662341679</x:v>
      </x:c>
      <x:c r="R9" s="49" t="str">
        <x:v>上线持仓模拟</x:v>
      </x:c>
      <x:c r="S9" s="49" t="str">
        <x:f>IF(COUNT(B9:N9)=13,"OK","缺失")</x:f>
        <x:v>OK</x:v>
      </x:c>
    </x:row>
    <x:row r="10">
      <x:c r="A10" s="45" t="n">
        <x:v>46174</x:v>
      </x:c>
      <x:c r="B10" s="46" t="n">
        <x:v>3.4007</x:v>
      </x:c>
      <x:c r="C10" s="46" t="n">
        <x:v>1.3164813759</x:v>
      </x:c>
      <x:c r="D10" s="46" t="n">
        <x:v>4.698</x:v>
      </x:c>
      <x:c r="E10" s="46" t="n">
        <x:v>1.9205</x:v>
      </x:c>
      <x:c r="F10" s="46" t="n">
        <x:v>4.2661</x:v>
      </x:c>
      <x:c r="G10" s="46" t="n">
        <x:v>2.4715</x:v>
      </x:c>
      <x:c r="H10" s="46" t="n">
        <x:v>1.6247</x:v>
      </x:c>
      <x:c r="I10" s="46" t="n">
        <x:v>1.578</x:v>
      </x:c>
      <x:c r="J10" s="46" t="n">
        <x:v>2.9096</x:v>
      </x:c>
      <x:c r="K10" s="46" t="n">
        <x:v>3.687</x:v>
      </x:c>
      <x:c r="L10" s="46" t="n">
        <x:v>2.2863</x:v>
      </x:c>
      <x:c r="M10" s="46" t="n">
        <x:v>2.0661</x:v>
      </x:c>
      <x:c r="N10" s="46" t="n">
        <x:v>1.7874</x:v>
      </x:c>
      <x:c r="O10" s="46" t="n">
        <x:f>SUMPRODUCT($B$6:$N$6,B10:N10)</x:f>
        <x:v>0.9969654090092552</x:v>
      </x:c>
      <x:c r="P10" s="47" t="n">
        <x:f>O10/O9-1</x:f>
        <x:v>-0.002255283639214456</x:v>
      </x:c>
      <x:c r="Q10" s="48" t="n">
        <x:f>$Q$8*O10</x:f>
        <x:v>1.437539275243934</x:v>
      </x:c>
      <x:c r="R10" s="49" t="str">
        <x:v>上线持仓模拟</x:v>
      </x:c>
      <x:c r="S10" s="49" t="str">
        <x:f>IF(COUNT(B10:N10)=13,"OK","缺失")</x:f>
        <x:v>OK</x:v>
      </x:c>
    </x:row>
    <x:row r="11">
      <x:c r="A11" s="45" t="n">
        <x:v>46175</x:v>
      </x:c>
      <x:c r="B11" s="46" t="n">
        <x:v>3.4201</x:v>
      </x:c>
      <x:c r="C11" s="46" t="n">
        <x:v>1.3165310468</x:v>
      </x:c>
      <x:c r="D11" s="46" t="n">
        <x:v>4.97</x:v>
      </x:c>
      <x:c r="E11" s="46" t="n">
        <x:v>1.9491</x:v>
      </x:c>
      <x:c r="F11" s="46" t="n">
        <x:v>4.5236</x:v>
      </x:c>
      <x:c r="G11" s="46" t="n">
        <x:v>2.5108</x:v>
      </x:c>
      <x:c r="H11" s="46" t="n">
        <x:v>1.6241</x:v>
      </x:c>
      <x:c r="I11" s="46" t="n">
        <x:v>1.5838</x:v>
      </x:c>
      <x:c r="J11" s="46" t="n">
        <x:v>3.1175</x:v>
      </x:c>
      <x:c r="K11" s="46" t="n">
        <x:v>3.9251</x:v>
      </x:c>
      <x:c r="L11" s="46" t="n">
        <x:v>2.3267</x:v>
      </x:c>
      <x:c r="M11" s="46" t="n">
        <x:v>2.0552</x:v>
      </x:c>
      <x:c r="N11" s="46" t="n">
        <x:v>1.7875</x:v>
      </x:c>
      <x:c r="O11" s="46" t="n">
        <x:f>SUMPRODUCT($B$6:$N$6,B11:N11)</x:f>
        <x:v>0.9997812894043285</x:v>
      </x:c>
      <x:c r="P11" s="47" t="n">
        <x:f>O11/O10-1</x:f>
        <x:v>0.0028244514499973228</x:v>
      </x:c>
      <x:c r="Q11" s="48" t="n">
        <x:f>$Q$8*O11</x:f>
        <x:v>1.4415995351343247</x:v>
      </x:c>
      <x:c r="R11" s="49" t="str">
        <x:v>上线持仓模拟</x:v>
      </x:c>
      <x:c r="S11" s="49" t="str">
        <x:f>IF(COUNT(B11:N11)=13,"OK","缺失")</x:f>
        <x:v>OK</x:v>
      </x:c>
    </x:row>
    <x:row r="12">
      <x:c r="A12" s="45" t="n">
        <x:v>46176</x:v>
      </x:c>
      <x:c r="B12" s="46" t="n">
        <x:v>3.3726</x:v>
      </x:c>
      <x:c r="C12" s="46" t="n">
        <x:v>1.3165753349</x:v>
      </x:c>
      <x:c r="D12" s="46" t="n">
        <x:v>5.215</x:v>
      </x:c>
      <x:c r="E12" s="46" t="n">
        <x:v>1.9628</x:v>
      </x:c>
      <x:c r="F12" s="46" t="n">
        <x:v>4.733</x:v>
      </x:c>
      <x:c r="G12" s="46" t="n">
        <x:v>2.5747</x:v>
      </x:c>
      <x:c r="H12" s="46" t="n">
        <x:v>1.6348</x:v>
      </x:c>
      <x:c r="I12" s="46" t="n">
        <x:v>1.5894</x:v>
      </x:c>
      <x:c r="J12" s="46" t="n">
        <x:v>3.3028</x:v>
      </x:c>
      <x:c r="K12" s="46" t="n">
        <x:v>4.1267</x:v>
      </x:c>
      <x:c r="L12" s="46" t="n">
        <x:v>2.3847</x:v>
      </x:c>
      <x:c r="M12" s="46" t="n">
        <x:v>2.0617</x:v>
      </x:c>
      <x:c r="N12" s="46" t="n">
        <x:v>1.7868</x:v>
      </x:c>
      <x:c r="O12" s="46" t="n">
        <x:f>SUMPRODUCT($B$6:$N$6,B12:N12)</x:f>
        <x:v>1.0011620871843716</x:v>
      </x:c>
      <x:c r="P12" s="47" t="n">
        <x:f>O12/O11-1</x:f>
        <x:v>0.0013810998412120412</x:v>
      </x:c>
      <x:c r="Q12" s="48" t="n">
        <x:f>$Q$8*O12</x:f>
        <x:v>1.44359052802339</x:v>
      </x:c>
      <x:c r="R12" s="49" t="str">
        <x:v>上线持仓模拟</x:v>
      </x:c>
      <x:c r="S12" s="49" t="str">
        <x:f>IF(COUNT(B12:N12)=13,"OK","缺失")</x:f>
        <x:v>OK</x:v>
      </x:c>
    </x:row>
    <x:row r="13">
      <x:c r="A13" s="45" t="n">
        <x:v>46177</x:v>
      </x:c>
      <x:c r="B13" s="46" t="n">
        <x:v>3.3775</x:v>
      </x:c>
      <x:c r="C13" s="46" t="n">
        <x:v>1.3166245616</x:v>
      </x:c>
      <x:c r="D13" s="46" t="n">
        <x:v>5.262</x:v>
      </x:c>
      <x:c r="E13" s="46" t="n">
        <x:v>1.9539</x:v>
      </x:c>
      <x:c r="F13" s="46" t="n">
        <x:v>4.7194</x:v>
      </x:c>
      <x:c r="G13" s="46" t="n">
        <x:v>2.6434</x:v>
      </x:c>
      <x:c r="H13" s="46" t="n">
        <x:v>1.6266</x:v>
      </x:c>
      <x:c r="I13" s="46" t="n">
        <x:v>1.5815</x:v>
      </x:c>
      <x:c r="J13" s="46" t="n">
        <x:v>3.2991</x:v>
      </x:c>
      <x:c r="K13" s="46" t="n">
        <x:v>4.113</x:v>
      </x:c>
      <x:c r="L13" s="46" t="n">
        <x:v>2.4727</x:v>
      </x:c>
      <x:c r="M13" s="46" t="n">
        <x:v>2.0603</x:v>
      </x:c>
      <x:c r="N13" s="46" t="n">
        <x:v>1.7879</x:v>
      </x:c>
      <x:c r="O13" s="46" t="n">
        <x:f>SUMPRODUCT($B$6:$N$6,B13:N13)</x:f>
        <x:v>1.0020132304743534</x:v>
      </x:c>
      <x:c r="P13" s="47" t="n">
        <x:f>O13/O12-1</x:f>
        <x:v>0.000850155335361924</x:v>
      </x:c>
      <x:c r="Q13" s="48" t="n">
        <x:f>$Q$8*O13</x:f>
        <x:v>1.444817804212867</x:v>
      </x:c>
      <x:c r="R13" s="49" t="str">
        <x:v>上线持仓模拟</x:v>
      </x:c>
      <x:c r="S13" s="49" t="str">
        <x:f>IF(COUNT(B13:N13)=13,"OK","缺失")</x:f>
        <x:v>OK</x:v>
      </x:c>
    </x:row>
    <x:row r="14">
      <x:c r="A14" s="45" t="n">
        <x:v>46178</x:v>
      </x:c>
      <x:c r="B14" s="46" t="n">
        <x:v>3.3763</x:v>
      </x:c>
      <x:c r="C14" s="46" t="n">
        <x:v>1.3166690372</x:v>
      </x:c>
      <x:c r="D14" s="46" t="n">
        <x:v>5.099</x:v>
      </x:c>
      <x:c r="E14" s="46" t="n">
        <x:v>1.9209</x:v>
      </x:c>
      <x:c r="F14" s="46" t="n">
        <x:v>4.606</x:v>
      </x:c>
      <x:c r="G14" s="46" t="n">
        <x:v>2.5176</x:v>
      </x:c>
      <x:c r="H14" s="46" t="n">
        <x:v>1.608</x:v>
      </x:c>
      <x:c r="I14" s="46" t="n">
        <x:v>1.5605</x:v>
      </x:c>
      <x:c r="J14" s="46" t="n">
        <x:v>3.1932</x:v>
      </x:c>
      <x:c r="K14" s="46" t="n">
        <x:v>3.9333</x:v>
      </x:c>
      <x:c r="L14" s="46" t="n">
        <x:v>2.3969</x:v>
      </x:c>
      <x:c r="M14" s="46" t="n">
        <x:v>2.0581</x:v>
      </x:c>
      <x:c r="N14" s="46" t="n">
        <x:v>1.7868</x:v>
      </x:c>
      <x:c r="O14" s="46" t="n">
        <x:f>SUMPRODUCT($B$6:$N$6,B14:N14)</x:f>
        <x:v>0.9991119817169455</x:v>
      </x:c>
      <x:c r="P14" s="47" t="n">
        <x:f>O14/O13-1</x:f>
        <x:v>-0.0028954196104121754</x:v>
      </x:c>
      <x:c r="Q14" s="48" t="n">
        <x:f>$Q$8*O14</x:f>
        <x:v>1.4406344504090765</x:v>
      </x:c>
      <x:c r="R14" s="49" t="str">
        <x:v>上线持仓模拟</x:v>
      </x:c>
      <x:c r="S14" s="49" t="str">
        <x:f>IF(COUNT(B14:N14)=13,"OK","缺失")</x:f>
        <x:v>OK</x:v>
      </x:c>
    </x:row>
    <x:row r="15">
      <x:c r="A15" s="45" t="n">
        <x:v>46181</x:v>
      </x:c>
      <x:c r="B15" s="46" t="n">
        <x:v>3.2629</x:v>
      </x:c>
      <x:c r="C15" s="46" t="n">
        <x:v>1.3168080428</x:v>
      </x:c>
      <x:c r="D15" s="46" t="n">
        <x:v>5.009</x:v>
      </x:c>
      <x:c r="E15" s="46" t="n">
        <x:v>1.8813</x:v>
      </x:c>
      <x:c r="F15" s="46" t="n">
        <x:v>4.4541</x:v>
      </x:c>
      <x:c r="G15" s="46" t="n">
        <x:v>2.4054</x:v>
      </x:c>
      <x:c r="H15" s="46" t="n">
        <x:v>1.5555</x:v>
      </x:c>
      <x:c r="I15" s="46" t="n">
        <x:v>1.506</x:v>
      </x:c>
      <x:c r="J15" s="46" t="n">
        <x:v>3.0775</x:v>
      </x:c>
      <x:c r="K15" s="46" t="n">
        <x:v>3.8208</x:v>
      </x:c>
      <x:c r="L15" s="46" t="n">
        <x:v>2.3266</x:v>
      </x:c>
      <x:c r="M15" s="46" t="n">
        <x:v>1.9891</x:v>
      </x:c>
      <x:c r="N15" s="46" t="n">
        <x:v>1.786</x:v>
      </x:c>
      <x:c r="O15" s="46" t="n">
        <x:f>SUMPRODUCT($B$6:$N$6,B15:N15)</x:f>
        <x:v>0.9940275288373089</x:v>
      </x:c>
      <x:c r="P15" s="47" t="n">
        <x:f>O15/O14-1</x:f>
        <x:v>-0.005088971979796519</x:v>
      </x:c>
      <x:c r="Q15" s="48" t="n">
        <x:f>$Q$8*O15</x:f>
        <x:v>1.433303102057815</x:v>
      </x:c>
      <x:c r="R15" s="49" t="str">
        <x:v>上线持仓模拟</x:v>
      </x:c>
      <x:c r="S15" s="49" t="str">
        <x:f>IF(COUNT(B15:N15)=13,"OK","缺失")</x:f>
        <x:v>OK</x:v>
      </x:c>
    </x:row>
    <x:row r="16">
      <x:c r="A16" s="45" t="n">
        <x:v>46182</x:v>
      </x:c>
      <x:c r="B16" s="46" t="n">
        <x:v>3.2752</x:v>
      </x:c>
      <x:c r="C16" s="46" t="n">
        <x:v>1.3168571598</x:v>
      </x:c>
      <x:c r="D16" s="46" t="n">
        <x:v>5.303</x:v>
      </x:c>
      <x:c r="E16" s="46" t="n">
        <x:v>1.9145</x:v>
      </x:c>
      <x:c r="F16" s="46" t="n">
        <x:v>4.6781</x:v>
      </x:c>
      <x:c r="G16" s="46" t="n">
        <x:v>2.5471</x:v>
      </x:c>
      <x:c r="H16" s="46" t="n">
        <x:v>1.6001</x:v>
      </x:c>
      <x:c r="I16" s="46" t="n">
        <x:v>1.541</x:v>
      </x:c>
      <x:c r="J16" s="46" t="n">
        <x:v>3.2503</x:v>
      </x:c>
      <x:c r="K16" s="46" t="n">
        <x:v>4.0078</x:v>
      </x:c>
      <x:c r="L16" s="46" t="n">
        <x:v>2.4996</x:v>
      </x:c>
      <x:c r="M16" s="46" t="n">
        <x:v>2.0379</x:v>
      </x:c>
      <x:c r="N16" s="46" t="n">
        <x:v>1.7847</x:v>
      </x:c>
      <x:c r="O16" s="46" t="n">
        <x:f>SUMPRODUCT($B$6:$N$6,B16:N16)</x:f>
        <x:v>0.9974225539311808</x:v>
      </x:c>
      <x:c r="P16" s="47" t="n">
        <x:f>O16/O15-1</x:f>
        <x:v>0.0034154236129084747</x:v>
      </x:c>
      <x:c r="Q16" s="48" t="n">
        <x:f>$Q$8*O16</x:f>
        <x:v>1.4381984393170382</x:v>
      </x:c>
      <x:c r="R16" s="49" t="str">
        <x:v>上线持仓模拟</x:v>
      </x:c>
      <x:c r="S16" s="49" t="str">
        <x:f>IF(COUNT(B16:N16)=13,"OK","缺失")</x:f>
        <x:v>OK</x:v>
      </x:c>
    </x:row>
    <x:row r="17">
      <x:c r="A17" s="45" t="n">
        <x:v>46183</x:v>
      </x:c>
      <x:c r="B17" s="46" t="n">
        <x:v>3.1731</x:v>
      </x:c>
      <x:c r="C17" s="46" t="n">
        <x:v>1.3169025913</x:v>
      </x:c>
      <x:c r="D17" s="46" t="n">
        <x:v>5.184</x:v>
      </x:c>
      <x:c r="E17" s="46" t="n">
        <x:v>1.8953</x:v>
      </x:c>
      <x:c r="F17" s="46" t="n">
        <x:v>4.5232</x:v>
      </x:c>
      <x:c r="G17" s="46" t="n">
        <x:v>2.5436</x:v>
      </x:c>
      <x:c r="H17" s="46" t="n">
        <x:v>1.5778</x:v>
      </x:c>
      <x:c r="I17" s="46" t="n">
        <x:v>1.5274</x:v>
      </x:c>
      <x:c r="J17" s="46" t="n">
        <x:v>3.1173</x:v>
      </x:c>
      <x:c r="K17" s="46" t="n">
        <x:v>3.867</x:v>
      </x:c>
      <x:c r="L17" s="46" t="n">
        <x:v>2.5573</x:v>
      </x:c>
      <x:c r="M17" s="46" t="n">
        <x:v>2.008</x:v>
      </x:c>
      <x:c r="N17" s="46" t="n">
        <x:v>1.7831</x:v>
      </x:c>
      <x:c r="O17" s="46" t="n">
        <x:f>SUMPRODUCT($B$6:$N$6,B17:N17)</x:f>
        <x:v>0.9934889000157598</x:v>
      </x:c>
      <x:c r="P17" s="47" t="n">
        <x:f>O17/O16-1</x:f>
        <x:v>-0.003943818895930429</x:v>
      </x:c>
      <x:c r="Q17" s="48" t="n">
        <x:f>$Q$8*O17</x:f>
        <x:v>1.4325264451359618</x:v>
      </x:c>
      <x:c r="R17" s="49" t="str">
        <x:v>上线持仓模拟</x:v>
      </x:c>
      <x:c r="S17" s="49" t="str">
        <x:f>IF(COUNT(B17:N17)=13,"OK","缺失")</x:f>
        <x:v>OK</x:v>
      </x:c>
    </x:row>
    <x:row r="18">
      <x:c r="A18" s="45" t="n">
        <x:v>46184</x:v>
      </x:c>
      <x:c r="B18" s="46" t="n">
        <x:v>3.1042</x:v>
      </x:c>
      <x:c r="C18" s="46" t="n">
        <x:v>1.3169519093</x:v>
      </x:c>
      <x:c r="D18" s="46" t="n">
        <x:v>5.168</x:v>
      </x:c>
      <x:c r="E18" s="46" t="n">
        <x:v>1.8852</x:v>
      </x:c>
      <x:c r="F18" s="46" t="n">
        <x:v>4.452</x:v>
      </x:c>
      <x:c r="G18" s="46" t="n">
        <x:v>2.6281</x:v>
      </x:c>
      <x:c r="H18" s="46" t="n">
        <x:v>1.5741</x:v>
      </x:c>
      <x:c r="I18" s="46" t="n">
        <x:v>1.5225</x:v>
      </x:c>
      <x:c r="J18" s="46" t="n">
        <x:v>3.125</x:v>
      </x:c>
      <x:c r="K18" s="46" t="n">
        <x:v>3.8191</x:v>
      </x:c>
      <x:c r="L18" s="46" t="n">
        <x:v>2.6857</x:v>
      </x:c>
      <x:c r="M18" s="46" t="n">
        <x:v>2.0013</x:v>
      </x:c>
      <x:c r="N18" s="46" t="n">
        <x:v>1.782</x:v>
      </x:c>
      <x:c r="O18" s="46" t="n">
        <x:f>SUMPRODUCT($B$6:$N$6,B18:N18)</x:f>
        <x:v>0.9921230938268779</x:v>
      </x:c>
      <x:c r="P18" s="47" t="n">
        <x:f>O18/O17-1</x:f>
        <x:v>-0.0013747573715823247</x:v>
      </x:c>
      <x:c r="Q18" s="48" t="n">
        <x:f>$Q$8*O18</x:f>
        <x:v>1.4305570688455245</x:v>
      </x:c>
      <x:c r="R18" s="49" t="str">
        <x:v>上线持仓模拟</x:v>
      </x:c>
      <x:c r="S18" s="49" t="str">
        <x:f>IF(COUNT(B18:N18)=13,"OK","缺失")</x:f>
        <x:v>OK</x:v>
      </x:c>
    </x:row>
    <x:row r="19">
      <x:c r="A19" s="45" t="n">
        <x:v>46185</x:v>
      </x:c>
      <x:c r="B19" s="46" t="n">
        <x:v>3.1449</x:v>
      </x:c>
      <x:c r="C19" s="46" t="n">
        <x:v>1.3169952502</x:v>
      </x:c>
      <x:c r="D19" s="46" t="n">
        <x:v>5.147</x:v>
      </x:c>
      <x:c r="E19" s="46" t="n">
        <x:v>1.91</x:v>
      </x:c>
      <x:c r="F19" s="46" t="n">
        <x:v>4.4025</x:v>
      </x:c>
      <x:c r="G19" s="46" t="n">
        <x:v>2.6555</x:v>
      </x:c>
      <x:c r="H19" s="46" t="n">
        <x:v>1.588</x:v>
      </x:c>
      <x:c r="I19" s="46" t="n">
        <x:v>1.5447</x:v>
      </x:c>
      <x:c r="J19" s="46" t="n">
        <x:v>3.0912</x:v>
      </x:c>
      <x:c r="K19" s="46" t="n">
        <x:v>3.7906</x:v>
      </x:c>
      <x:c r="L19" s="46" t="n">
        <x:v>2.626</x:v>
      </x:c>
      <x:c r="M19" s="46" t="n">
        <x:v>2.0092</x:v>
      </x:c>
      <x:c r="N19" s="46" t="n">
        <x:v>1.783</x:v>
      </x:c>
      <x:c r="O19" s="46" t="n">
        <x:f>SUMPRODUCT($B$6:$N$6,B19:N19)</x:f>
        <x:v>0.9933838595630518</x:v>
      </x:c>
      <x:c r="P19" s="47" t="n">
        <x:f>O19/O18-1</x:f>
        <x:v>0.001270775515678002</x:v>
      </x:c>
      <x:c r="Q19" s="48" t="n">
        <x:f>$Q$8*O19</x:f>
        <x:v>1.4323749857423933</x:v>
      </x:c>
      <x:c r="R19" s="49" t="str">
        <x:v>上线持仓模拟</x:v>
      </x:c>
      <x:c r="S19" s="49" t="str">
        <x:f>IF(COUNT(B19:N19)=13,"OK","缺失")</x:f>
        <x:v>OK</x:v>
      </x:c>
    </x:row>
    <x:row r="20">
      <x:c r="A20" s="45" t="n">
        <x:v>46188</x:v>
      </x:c>
      <x:c r="B20" s="46" t="n">
        <x:v>3.2471</x:v>
      </x:c>
      <x:c r="C20" s="46" t="n">
        <x:v>1.3171341191</x:v>
      </x:c>
      <x:c r="D20" s="46" t="n">
        <x:v>5.55</x:v>
      </x:c>
      <x:c r="E20" s="46" t="n">
        <x:v>1.9591</x:v>
      </x:c>
      <x:c r="F20" s="46" t="n">
        <x:v>4.6576</x:v>
      </x:c>
      <x:c r="G20" s="46" t="n">
        <x:v>2.7901</x:v>
      </x:c>
      <x:c r="H20" s="46" t="n">
        <x:v>1.6477</x:v>
      </x:c>
      <x:c r="I20" s="46" t="n">
        <x:v>1.5955</x:v>
      </x:c>
      <x:c r="J20" s="46" t="n">
        <x:v>3.3568</x:v>
      </x:c>
      <x:c r="K20" s="46" t="n">
        <x:v>4.0604</x:v>
      </x:c>
      <x:c r="L20" s="46" t="n">
        <x:v>2.7366</x:v>
      </x:c>
      <x:c r="M20" s="46" t="n">
        <x:v>2.0804</x:v>
      </x:c>
      <x:c r="N20" s="46" t="n">
        <x:v>1.7836</x:v>
      </x:c>
      <x:c r="O20" s="46" t="n">
        <x:f>SUMPRODUCT($B$6:$N$6,B20:N20)</x:f>
        <x:v>1.000089466636146</x:v>
      </x:c>
      <x:c r="P20" s="47" t="n">
        <x:f>O20/O19-1</x:f>
        <x:v>0.0067502677927984145</x:v>
      </x:c>
      <x:c r="Q20" s="48" t="n">
        <x:f>$Q$8*O20</x:f>
        <x:v>1.4420439004758603</x:v>
      </x:c>
      <x:c r="R20" s="49" t="str">
        <x:v>上线持仓模拟</x:v>
      </x:c>
      <x:c r="S20" s="49" t="str">
        <x:f>IF(COUNT(B20:N20)=13,"OK","缺失")</x:f>
        <x:v>OK</x:v>
      </x:c>
    </x:row>
    <x:row r="21">
      <x:c r="A21" s="45" t="n">
        <x:v>46189</x:v>
      </x:c>
      <x:c r="B21" s="46" t="n">
        <x:v>3.2594</x:v>
      </x:c>
      <x:c r="C21" s="46" t="n">
        <x:v>1.3171844073</x:v>
      </x:c>
      <x:c r="D21" s="46" t="n">
        <x:v>5.785</x:v>
      </x:c>
      <x:c r="E21" s="46" t="n">
        <x:v>1.9599</x:v>
      </x:c>
      <x:c r="F21" s="46" t="n">
        <x:v>4.7889</x:v>
      </x:c>
      <x:c r="G21" s="46" t="n">
        <x:v>2.769</x:v>
      </x:c>
      <x:c r="H21" s="46" t="n">
        <x:v>1.6732</x:v>
      </x:c>
      <x:c r="I21" s="46" t="n">
        <x:v>1.6109</x:v>
      </x:c>
      <x:c r="J21" s="46" t="n">
        <x:v>3.4886</x:v>
      </x:c>
      <x:c r="K21" s="46" t="n">
        <x:v>4.1743</x:v>
      </x:c>
      <x:c r="L21" s="46" t="n">
        <x:v>2.7553</x:v>
      </x:c>
      <x:c r="M21" s="46" t="n">
        <x:v>2.1151</x:v>
      </x:c>
      <x:c r="N21" s="46" t="n">
        <x:v>1.7852</x:v>
      </x:c>
      <x:c r="O21" s="46" t="n">
        <x:f>SUMPRODUCT($B$6:$N$6,B21:N21)</x:f>
        <x:v>1.0028232845773755</x:v>
      </x:c>
      <x:c r="P21" s="47" t="n">
        <x:f>O21/O20-1</x:f>
        <x:v>0.0027335733776148174</x:v>
      </x:c>
      <x:c r="Q21" s="48" t="n">
        <x:f>$Q$8*O21</x:f>
        <x:v>1.4459858332915527</x:v>
      </x:c>
      <x:c r="R21" s="49" t="str">
        <x:v>上线持仓模拟</x:v>
      </x:c>
      <x:c r="S21" s="49" t="str">
        <x:f>IF(COUNT(B21:N21)=13,"OK","缺失")</x:f>
        <x:v>OK</x:v>
      </x:c>
    </x:row>
    <x:row r="22">
      <x:c r="A22" s="45" t="n">
        <x:v>46190</x:v>
      </x:c>
      <x:c r="B22" s="46" t="n">
        <x:v>3.2551</x:v>
      </x:c>
      <x:c r="C22" s="46" t="n">
        <x:v>1.3172301531</x:v>
      </x:c>
      <x:c r="D22" s="46" t="n">
        <x:v>5.901</x:v>
      </x:c>
      <x:c r="E22" s="46" t="n">
        <x:v>1.9793</x:v>
      </x:c>
      <x:c r="F22" s="46" t="n">
        <x:v>4.8559</x:v>
      </x:c>
      <x:c r="G22" s="46" t="n">
        <x:v>2.9683</x:v>
      </x:c>
      <x:c r="H22" s="46" t="n">
        <x:v>1.6872</x:v>
      </x:c>
      <x:c r="I22" s="46" t="n">
        <x:v>1.6295</x:v>
      </x:c>
      <x:c r="J22" s="46" t="n">
        <x:v>3.5252</x:v>
      </x:c>
      <x:c r="K22" s="46" t="n">
        <x:v>4.2506</x:v>
      </x:c>
      <x:c r="L22" s="46" t="n">
        <x:v>2.9471</x:v>
      </x:c>
      <x:c r="M22" s="46" t="n">
        <x:v>2.121</x:v>
      </x:c>
      <x:c r="N22" s="46" t="n">
        <x:v>1.7864</x:v>
      </x:c>
      <x:c r="O22" s="46" t="n">
        <x:f>SUMPRODUCT($B$6:$N$6,B22:N22)</x:f>
        <x:v>1.0054356578254968</x:v>
      </x:c>
      <x:c r="P22" s="47" t="n">
        <x:f>O22/O21-1</x:f>
        <x:v>0.0026050185394550507</x:v>
      </x:c>
      <x:c r="Q22" s="48" t="n">
        <x:f>$Q$8*O22</x:f>
        <x:v>1.4497526531950669</x:v>
      </x:c>
      <x:c r="R22" s="49" t="str">
        <x:v>上线持仓模拟</x:v>
      </x:c>
      <x:c r="S22" s="49" t="str">
        <x:f>IF(COUNT(B22:N22)=13,"OK","缺失")</x:f>
        <x:v>OK</x:v>
      </x:c>
    </x:row>
    <x:row r="23">
      <x:c r="A23" s="45" t="n">
        <x:v>46191</x:v>
      </x:c>
      <x:c r="B23" s="46" t="n">
        <x:v>3.2441</x:v>
      </x:c>
      <x:c r="C23" s="46" t="n">
        <x:v>1.3172784822</x:v>
      </x:c>
      <x:c r="D23" s="46" t="n">
        <x:v>6.062</x:v>
      </x:c>
      <x:c r="E23" s="46" t="n">
        <x:v>1.9904</x:v>
      </x:c>
      <x:c r="F23" s="46" t="n">
        <x:v>5.0275</x:v>
      </x:c>
      <x:c r="G23" s="46" t="n">
        <x:v>3.0303</x:v>
      </x:c>
      <x:c r="H23" s="46" t="n">
        <x:v>1.7014</x:v>
      </x:c>
      <x:c r="I23" s="46" t="n">
        <x:v>1.6275</x:v>
      </x:c>
      <x:c r="J23" s="46" t="n">
        <x:v>3.6402</x:v>
      </x:c>
      <x:c r="K23" s="46" t="n">
        <x:v>4.3864</x:v>
      </x:c>
      <x:c r="L23" s="46" t="n">
        <x:v>2.9918</x:v>
      </x:c>
      <x:c r="M23" s="46" t="n">
        <x:v>2.1386</x:v>
      </x:c>
      <x:c r="N23" s="46" t="n">
        <x:v>1.7869</x:v>
      </x:c>
      <x:c r="O23" s="46" t="n">
        <x:f>SUMPRODUCT($B$6:$N$6,B23:N23)</x:f>
        <x:v>1.0073034427121128</x:v>
      </x:c>
      <x:c r="P23" s="47" t="n">
        <x:f>O23/O22-1</x:f>
        <x:v>0.0018576871350033386</x:v>
      </x:c>
      <x:c r="Q23" s="48" t="n">
        <x:f>$Q$8*O23</x:f>
        <x:v>1.4524458400478442</x:v>
      </x:c>
      <x:c r="R23" s="49" t="str">
        <x:v>上线持仓模拟</x:v>
      </x:c>
      <x:c r="S23" s="49" t="str">
        <x:f>IF(COUNT(B23:N23)=13,"OK","缺失")</x:f>
        <x:v>OK</x:v>
      </x:c>
    </x:row>
    <x:row r="25">
      <x:c r="A25" s="28" t="str">
        <x:v>数据来源</x:v>
      </x:c>
      <x:c r="B25" s="53" t="str">
        <x:v>https://www.51ifind.com</x:v>
      </x:c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</x:row>
    <x:row r="26">
      <x:c r="A26" s="28" t="str">
        <x:v>提取日期</x:v>
      </x:c>
      <x:c r="B26" s="54" t="n">
        <x:v>46262</x:v>
      </x:c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</x:row>
    <x:row r="27">
      <x:c r="A27" s="28" t="str">
        <x:v>补充说明</x:v>
      </x:c>
      <x:c r="B27" s="53" t="str">
        <x:v>基金净值取复权单位净值；货币基金亦使用复权单位净值，以纳入每日收益。2026-06-18之后按实盘净值相对2026-06-18的涨跌幅接续。</x:v>
      </x:c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</x:row>
  </x:sheetData>
  <x:mergeCells>
    <x:mergeCell ref="A1:S1"/>
    <x:mergeCell ref="A2:S2"/>
    <x:mergeCell ref="B25:S25"/>
    <x:mergeCell ref="B27:S27"/>
  </x:mergeCells>
  <x:conditionalFormatting sqref="S8:S23">
    <x:cfRule type="containsText" dxfId="0" priority="1" operator="containsText" text="OK"/>
    <x:cfRule type="containsText" dxfId="1" priority="2" operator="containsText" text="缺失"/>
  </x:conditionalFormatting>
  <x:pageMargins left="0.7" right="0.7" top="0.75" bottom="0.75" header="0.3" footer="0.3"/>
</x:worksheet>
</file>