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e5b2d6ea9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固收+基金汇总" sheetId="1" r:id="R3beca003dd76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i/>
      <x:sz val="9"/>
      <x:color rgb="FF595959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sz val="9"/>
      <x:color rgb="FF0563C1"/>
      <x:name val="Carlito"/>
    </x:font>
    <x:font>
      <x:b/>
      <x:sz val="10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6FA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right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2" fontId="5" fillId="0" borderId="4" xfId="0" applyNumberFormat="1" applyFont="1" applyFill="1" applyBorder="1" applyAlignment="1">
      <x:alignment horizontal="right"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2" fontId="5" fillId="0" borderId="6" xfId="0" applyNumberFormat="1" applyFont="1" applyFill="1" applyBorder="1" applyAlignment="1">
      <x:alignment horizontal="right" vertical="center"/>
    </x:xf>
    <x:xf numFmtId="0" fontId="6" fillId="0" borderId="4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horizontal="left" vertical="center"/>
    </x:xf>
    <x:xf numFmtId="0" fontId="6" fillId="0" borderId="6" xfId="0" applyNumberFormat="1" applyFont="1" applyFill="1" applyBorder="1" applyAlignment="1">
      <x:alignment horizontal="left" vertical="center"/>
    </x:xf>
    <x:xf numFmtId="0" fontId="5" fillId="6" borderId="4" xfId="0" applyNumberFormat="1" applyFont="1" applyFill="1" applyBorder="1" applyAlignment="1">
      <x:alignment horizontal="left" vertical="center"/>
    </x:xf>
    <x:xf numFmtId="0" fontId="5" fillId="6" borderId="5" xfId="0" applyNumberFormat="1" applyFont="1" applyFill="1" applyBorder="1" applyAlignment="1">
      <x:alignment horizontal="left" vertical="center"/>
    </x:xf>
    <x:xf numFmtId="0" fontId="5" fillId="7" borderId="5" xfId="0" applyNumberFormat="1" applyFont="1" applyFill="1" applyBorder="1" applyAlignment="1">
      <x:alignment horizontal="left" vertical="center"/>
    </x:xf>
    <x:xf numFmtId="0" fontId="5" fillId="8" borderId="5" xfId="0" applyNumberFormat="1" applyFont="1" applyFill="1" applyBorder="1" applyAlignment="1">
      <x:alignment horizontal="left" vertical="center"/>
    </x:xf>
    <x:xf numFmtId="0" fontId="5" fillId="8" borderId="6" xfId="0" applyNumberFormat="1" applyFont="1" applyFill="1" applyBorder="1" applyAlignment="1">
      <x:alignment horizontal="left" vertical="center"/>
    </x:xf>
    <x:xf numFmtId="0" fontId="7" fillId="6" borderId="4" xfId="0" applyNumberFormat="1" applyFont="1" applyFill="1" applyBorder="1" applyAlignment="1">
      <x:alignment horizontal="left" vertical="center"/>
    </x:xf>
    <x:xf numFmtId="0" fontId="7" fillId="6" borderId="5" xfId="0" applyNumberFormat="1" applyFont="1" applyFill="1" applyBorder="1" applyAlignment="1">
      <x:alignment horizontal="left" vertical="center"/>
    </x:xf>
    <x:xf numFmtId="0" fontId="7" fillId="7" borderId="5" xfId="0" applyNumberFormat="1" applyFont="1" applyFill="1" applyBorder="1" applyAlignment="1">
      <x:alignment horizontal="left" vertical="center"/>
    </x:xf>
    <x:xf numFmtId="0" fontId="7" fillId="8" borderId="5" xfId="0" applyNumberFormat="1" applyFont="1" applyFill="1" applyBorder="1" applyAlignment="1">
      <x:alignment horizontal="left" vertical="center"/>
    </x:xf>
    <x:xf numFmtId="0" fontId="7" fillId="8" borderId="6" xfId="0" applyNumberFormat="1" applyFont="1" applyFill="1" applyBorder="1" applyAlignment="1">
      <x:alignment horizontal="left" vertical="center"/>
    </x:xf>
    <x:xf numFmtId="0" fontId="5" fillId="0" borderId="4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left" vertical="center" wrapText="1"/>
    </x:xf>
    <x:xf numFmtId="0" fontId="6" fillId="0" borderId="4" xfId="0" applyNumberFormat="1" applyFont="1" applyFill="1" applyBorder="1" applyAlignment="1">
      <x:alignment horizontal="left" vertical="center" wrapText="1"/>
    </x:xf>
    <x:xf numFmtId="0" fontId="6" fillId="0" borderId="5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fbd0cb8974f89" /><Relationship Type="http://schemas.openxmlformats.org/officeDocument/2006/relationships/theme" Target="/xl/theme/theme1.xml" Id="R286072a63e4849ce" /><Relationship Type="http://schemas.openxmlformats.org/officeDocument/2006/relationships/sharedStrings" Target="/xl/sharedStrings.xml" Id="Rb4213867b9f74f04" /><Relationship Type="http://schemas.openxmlformats.org/officeDocument/2006/relationships/worksheet" Target="/xl/worksheets/sheet1.xml" Id="R3beca003dd7648d0" /></Relationships>
</file>

<file path=xl/tables/table1.xml><?xml version="1.0" encoding="utf-8"?>
<x:table xmlns:x="http://schemas.openxmlformats.org/spreadsheetml/2006/main" id="1" name="FundRankingTable" displayName="FundRankingTable" ref="A5:L35" headerRowCount="1" totalsRowCount="0" totalsRowShown="0">
  <x:autoFilter ref="A5:L35"/>
  <x:tableColumns count="12">
    <x:tableColumn id="1" name="榜单"/>
    <x:tableColumn id="2" name="排名"/>
    <x:tableColumn id="3" name="证券名称"/>
    <x:tableColumn id="4" name="基金代码（.OF）"/>
    <x:tableColumn id="5" name="代码口径"/>
    <x:tableColumn id="6" name="基金管理人"/>
    <x:tableColumn id="7" name="基金经理"/>
    <x:tableColumn id="8" name="26Q2环比增长规模（亿元）"/>
    <x:tableColumn id="9" name="26Q2基金规模（亿元）"/>
    <x:tableColumn id="10" name="26Q2基金规模（万元）"/>
    <x:tableColumn id="11" name="图片来源"/>
    <x:tableColumn id="12" name="代码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0d118084894b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" hidden="0" customWidth="1"/>
    <x:col min="3" max="3" width="38" hidden="0" customWidth="1"/>
    <x:col min="4" max="4" width="12" hidden="0" customWidth="1"/>
    <x:col min="5" max="5" width="20" hidden="0" customWidth="1"/>
    <x:col min="6" max="6" width="16" hidden="0" customWidth="1"/>
    <x:col min="7" max="7" width="26" hidden="0" customWidth="1"/>
    <x:col min="8" max="8" width="22" hidden="0" customWidth="1"/>
    <x:col min="9" max="9" width="20" hidden="0" customWidth="1"/>
    <x:col min="10" max="10" width="20" hidden="0" customWidth="1"/>
    <x:col min="11" max="11" width="28" hidden="0" customWidth="1"/>
    <x:col min="12" max="12" width="27" hidden="0" customWidth="1"/>
  </x:cols>
  <x:sheetData>
    <x:row r="1" ht="30" customHeight="1">
      <x:c r="A1" s="4" t="str">
        <x:v>固收+基金三榜单汇总及基金代码匹配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9" t="str">
        <x:v>口径说明：截图未注明份额类别时，统一匹配A类/主代码；同一基金在不同榜单中按原图分别保留。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2" customHeight="1">
      <x:c r="A3" s="13" t="str">
        <x:v>数据来源：三张原始图片；基金代码经同花顺 iFinD 基金基本资料查询核验。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5" ht="38" customHeight="1">
      <x:c r="A5" s="25" t="str">
        <x:v>榜单</x:v>
      </x:c>
      <x:c r="B5" s="26" t="str">
        <x:v>排名</x:v>
      </x:c>
      <x:c r="C5" s="26" t="str">
        <x:v>证券名称</x:v>
      </x:c>
      <x:c r="D5" s="26" t="str">
        <x:v>基金代码（.OF）</x:v>
      </x:c>
      <x:c r="E5" s="26" t="str">
        <x:v>代码口径</x:v>
      </x:c>
      <x:c r="F5" s="26" t="str">
        <x:v>基金管理人</x:v>
      </x:c>
      <x:c r="G5" s="26" t="str">
        <x:v>基金经理</x:v>
      </x:c>
      <x:c r="H5" s="26" t="str">
        <x:v>26Q2环比增长规模（亿元）</x:v>
      </x:c>
      <x:c r="I5" s="26" t="str">
        <x:v>26Q2基金规模（亿元）</x:v>
      </x:c>
      <x:c r="J5" s="26" t="str">
        <x:v>26Q2基金规模（万元）</x:v>
      </x:c>
      <x:c r="K5" s="26" t="str">
        <x:v>图片来源</x:v>
      </x:c>
      <x:c r="L5" s="27" t="str">
        <x:v>代码来源</x:v>
      </x:c>
    </x:row>
    <x:row r="6" ht="22" customHeight="1">
      <x:c r="A6" s="61" t="str">
        <x:v>全市场固收+保有前十</x:v>
      </x:c>
      <x:c r="B6" s="44" t="n">
        <x:v>1</x:v>
      </x:c>
      <x:c r="C6" s="66" t="str">
        <x:v>景顺长城景颐丰利债券</x:v>
      </x:c>
      <x:c r="D6" s="47" t="str">
        <x:f>"003504.OF"</x:f>
        <x:v>003504.OF</x:v>
      </x:c>
      <x:c r="E6" s="38" t="str">
        <x:v>A类代码</x:v>
      </x:c>
      <x:c r="F6" s="35" t="str">
        <x:v>景顺长城基金</x:v>
      </x:c>
      <x:c r="G6" s="66" t="str">
        <x:v>李怡文、徐栋、江山</x:v>
      </x:c>
      <x:c r="H6" s="50"/>
      <x:c r="I6" s="50" t="n">
        <x:v>712</x:v>
      </x:c>
      <x:c r="J6" s="50"/>
      <x:c r="K6" s="66" t="str">
        <x:v>全市场固收+保有前十.png</x:v>
      </x:c>
      <x:c r="L6" s="69" t="str">
        <x:v>https://www.51ifind.com/</x:v>
      </x:c>
    </x:row>
    <x:row r="7" ht="22" customHeight="1">
      <x:c r="A7" s="62" t="str">
        <x:v>全市场固收+保有前十</x:v>
      </x:c>
      <x:c r="B7" s="45" t="n">
        <x:v>2</x:v>
      </x:c>
      <x:c r="C7" s="67" t="str">
        <x:v>鹏华双债加利债券</x:v>
      </x:c>
      <x:c r="D7" s="48" t="str">
        <x:f>"000143.OF"</x:f>
        <x:v>000143.OF</x:v>
      </x:c>
      <x:c r="E7" s="39" t="str">
        <x:v>A类代码</x:v>
      </x:c>
      <x:c r="F7" s="36" t="str">
        <x:v>鹏华基金</x:v>
      </x:c>
      <x:c r="G7" s="67" t="str">
        <x:v>王石千</x:v>
      </x:c>
      <x:c r="H7" s="51"/>
      <x:c r="I7" s="51" t="n">
        <x:v>584</x:v>
      </x:c>
      <x:c r="J7" s="51"/>
      <x:c r="K7" s="67" t="str">
        <x:v>全市场固收+保有前十.png</x:v>
      </x:c>
      <x:c r="L7" s="70" t="str">
        <x:v>https://www.51ifind.com/</x:v>
      </x:c>
    </x:row>
    <x:row r="8" ht="22" customHeight="1">
      <x:c r="A8" s="62" t="str">
        <x:v>全市场固收+保有前十</x:v>
      </x:c>
      <x:c r="B8" s="45" t="n">
        <x:v>3</x:v>
      </x:c>
      <x:c r="C8" s="67" t="str">
        <x:v>景顺长城景颐双利债券</x:v>
      </x:c>
      <x:c r="D8" s="48" t="str">
        <x:f>"000385.OF"</x:f>
        <x:v>000385.OF</x:v>
      </x:c>
      <x:c r="E8" s="39" t="str">
        <x:v>A类代码</x:v>
      </x:c>
      <x:c r="F8" s="36" t="str">
        <x:v>景顺长城基金</x:v>
      </x:c>
      <x:c r="G8" s="67" t="str">
        <x:v>李怡文、董晗</x:v>
      </x:c>
      <x:c r="H8" s="51"/>
      <x:c r="I8" s="51" t="n">
        <x:v>576</x:v>
      </x:c>
      <x:c r="J8" s="51"/>
      <x:c r="K8" s="67" t="str">
        <x:v>全市场固收+保有前十.png</x:v>
      </x:c>
      <x:c r="L8" s="70" t="str">
        <x:v>https://www.51ifind.com/</x:v>
      </x:c>
    </x:row>
    <x:row r="9" ht="22" customHeight="1">
      <x:c r="A9" s="62" t="str">
        <x:v>全市场固收+保有前十</x:v>
      </x:c>
      <x:c r="B9" s="45" t="n">
        <x:v>4</x:v>
      </x:c>
      <x:c r="C9" s="67" t="str">
        <x:v>景顺长城景盛双息收益债券</x:v>
      </x:c>
      <x:c r="D9" s="48" t="str">
        <x:f>"002065.OF"</x:f>
        <x:v>002065.OF</x:v>
      </x:c>
      <x:c r="E9" s="39" t="str">
        <x:v>A类代码</x:v>
      </x:c>
      <x:c r="F9" s="36" t="str">
        <x:v>景顺长城基金</x:v>
      </x:c>
      <x:c r="G9" s="67" t="str">
        <x:v>李怡文、邬立虎、李曾卓卓</x:v>
      </x:c>
      <x:c r="H9" s="51"/>
      <x:c r="I9" s="51" t="n">
        <x:v>393</x:v>
      </x:c>
      <x:c r="J9" s="51"/>
      <x:c r="K9" s="67" t="str">
        <x:v>全市场固收+保有前十.png</x:v>
      </x:c>
      <x:c r="L9" s="70" t="str">
        <x:v>https://www.51ifind.com/</x:v>
      </x:c>
    </x:row>
    <x:row r="10" ht="22" customHeight="1">
      <x:c r="A10" s="62" t="str">
        <x:v>全市场固收+保有前十</x:v>
      </x:c>
      <x:c r="B10" s="45" t="n">
        <x:v>5</x:v>
      </x:c>
      <x:c r="C10" s="67" t="str">
        <x:v>易方达丰和债券</x:v>
      </x:c>
      <x:c r="D10" s="48" t="str">
        <x:f>"002969.OF"</x:f>
        <x:v>002969.OF</x:v>
      </x:c>
      <x:c r="E10" s="39" t="str">
        <x:v>A类代码</x:v>
      </x:c>
      <x:c r="F10" s="36" t="str">
        <x:v>易方达基金</x:v>
      </x:c>
      <x:c r="G10" s="67" t="str">
        <x:v>张清华、何一铖</x:v>
      </x:c>
      <x:c r="H10" s="51"/>
      <x:c r="I10" s="51" t="n">
        <x:v>391</x:v>
      </x:c>
      <x:c r="J10" s="51"/>
      <x:c r="K10" s="67" t="str">
        <x:v>全市场固收+保有前十.png</x:v>
      </x:c>
      <x:c r="L10" s="70" t="str">
        <x:v>https://www.51ifind.com/</x:v>
      </x:c>
    </x:row>
    <x:row r="11" ht="22" customHeight="1">
      <x:c r="A11" s="62" t="str">
        <x:v>全市场固收+保有前十</x:v>
      </x:c>
      <x:c r="B11" s="45" t="n">
        <x:v>6</x:v>
      </x:c>
      <x:c r="C11" s="67" t="str">
        <x:v>永赢稳健增强债券</x:v>
      </x:c>
      <x:c r="D11" s="48" t="str">
        <x:f>"014088.OF"</x:f>
        <x:v>014088.OF</x:v>
      </x:c>
      <x:c r="E11" s="39" t="str">
        <x:v>A类代码</x:v>
      </x:c>
      <x:c r="F11" s="36" t="str">
        <x:v>永赢基金</x:v>
      </x:c>
      <x:c r="G11" s="67" t="str">
        <x:v>高楠、余国豪</x:v>
      </x:c>
      <x:c r="H11" s="51"/>
      <x:c r="I11" s="51" t="n">
        <x:v>365</x:v>
      </x:c>
      <x:c r="J11" s="51"/>
      <x:c r="K11" s="67" t="str">
        <x:v>全市场固收+保有前十.png</x:v>
      </x:c>
      <x:c r="L11" s="70" t="str">
        <x:v>https://www.51ifind.com/</x:v>
      </x:c>
    </x:row>
    <x:row r="12" ht="22" customHeight="1">
      <x:c r="A12" s="62" t="str">
        <x:v>全市场固收+保有前十</x:v>
      </x:c>
      <x:c r="B12" s="45" t="n">
        <x:v>7</x:v>
      </x:c>
      <x:c r="C12" s="67" t="str">
        <x:v>华商信用增强债券</x:v>
      </x:c>
      <x:c r="D12" s="48" t="str">
        <x:f>"001751.OF"</x:f>
        <x:v>001751.OF</x:v>
      </x:c>
      <x:c r="E12" s="39" t="str">
        <x:v>A类代码</x:v>
      </x:c>
      <x:c r="F12" s="36" t="str">
        <x:v>华商基金</x:v>
      </x:c>
      <x:c r="G12" s="67" t="str">
        <x:v>厉骞</x:v>
      </x:c>
      <x:c r="H12" s="51"/>
      <x:c r="I12" s="51" t="n">
        <x:v>361</x:v>
      </x:c>
      <x:c r="J12" s="51"/>
      <x:c r="K12" s="67" t="str">
        <x:v>全市场固收+保有前十.png</x:v>
      </x:c>
      <x:c r="L12" s="70" t="str">
        <x:v>https://www.51ifind.com/</x:v>
      </x:c>
    </x:row>
    <x:row r="13" ht="22" customHeight="1">
      <x:c r="A13" s="62" t="str">
        <x:v>全市场固收+保有前十</x:v>
      </x:c>
      <x:c r="B13" s="45" t="n">
        <x:v>8</x:v>
      </x:c>
      <x:c r="C13" s="67" t="str">
        <x:v>博时恒乐债券</x:v>
      </x:c>
      <x:c r="D13" s="48" t="str">
        <x:f>"014846.OF"</x:f>
        <x:v>014846.OF</x:v>
      </x:c>
      <x:c r="E13" s="39" t="str">
        <x:v>A类代码</x:v>
      </x:c>
      <x:c r="F13" s="36" t="str">
        <x:v>博时基金</x:v>
      </x:c>
      <x:c r="G13" s="67" t="str">
        <x:v>张李陵、江海峰</x:v>
      </x:c>
      <x:c r="H13" s="51"/>
      <x:c r="I13" s="51" t="n">
        <x:v>359</x:v>
      </x:c>
      <x:c r="J13" s="51"/>
      <x:c r="K13" s="67" t="str">
        <x:v>全市场固收+保有前十.png</x:v>
      </x:c>
      <x:c r="L13" s="70" t="str">
        <x:v>https://www.51ifind.com/</x:v>
      </x:c>
    </x:row>
    <x:row r="14" ht="22" customHeight="1">
      <x:c r="A14" s="62" t="str">
        <x:v>全市场固收+保有前十</x:v>
      </x:c>
      <x:c r="B14" s="45" t="n">
        <x:v>9</x:v>
      </x:c>
      <x:c r="C14" s="67" t="str">
        <x:v>易方达裕丰回报债券</x:v>
      </x:c>
      <x:c r="D14" s="48" t="str">
        <x:f>"000171.OF"</x:f>
        <x:v>000171.OF</x:v>
      </x:c>
      <x:c r="E14" s="39" t="str">
        <x:v>A类代码</x:v>
      </x:c>
      <x:c r="F14" s="36" t="str">
        <x:v>易方达基金</x:v>
      </x:c>
      <x:c r="G14" s="67" t="str">
        <x:v>张清华</x:v>
      </x:c>
      <x:c r="H14" s="51"/>
      <x:c r="I14" s="51" t="n">
        <x:v>342</x:v>
      </x:c>
      <x:c r="J14" s="51"/>
      <x:c r="K14" s="67" t="str">
        <x:v>全市场固收+保有前十.png</x:v>
      </x:c>
      <x:c r="L14" s="70" t="str">
        <x:v>https://www.51ifind.com/</x:v>
      </x:c>
    </x:row>
    <x:row r="15" ht="22" customHeight="1">
      <x:c r="A15" s="62" t="str">
        <x:v>全市场固收+保有前十</x:v>
      </x:c>
      <x:c r="B15" s="45" t="n">
        <x:v>10</x:v>
      </x:c>
      <x:c r="C15" s="67" t="str">
        <x:v>南方宝元债券</x:v>
      </x:c>
      <x:c r="D15" s="48" t="str">
        <x:f>"202101.OF"</x:f>
        <x:v>202101.OF</x:v>
      </x:c>
      <x:c r="E15" s="39" t="str">
        <x:v>A类代码</x:v>
      </x:c>
      <x:c r="F15" s="36" t="str">
        <x:v>南方基金</x:v>
      </x:c>
      <x:c r="G15" s="67" t="str">
        <x:v>林乐峰、刘益成</x:v>
      </x:c>
      <x:c r="H15" s="51"/>
      <x:c r="I15" s="51" t="n">
        <x:v>314</x:v>
      </x:c>
      <x:c r="J15" s="51"/>
      <x:c r="K15" s="67" t="str">
        <x:v>全市场固收+保有前十.png</x:v>
      </x:c>
      <x:c r="L15" s="70" t="str">
        <x:v>https://www.51ifind.com/</x:v>
      </x:c>
    </x:row>
    <x:row r="16" ht="22" customHeight="1">
      <x:c r="A16" s="63" t="str">
        <x:v>二季度固收+增长排名前十</x:v>
      </x:c>
      <x:c r="B16" s="45" t="n">
        <x:v>1</x:v>
      </x:c>
      <x:c r="C16" s="67" t="str">
        <x:v>景顺长城景颐丰利债券</x:v>
      </x:c>
      <x:c r="D16" s="48" t="str">
        <x:f>"003504.OF"</x:f>
        <x:v>003504.OF</x:v>
      </x:c>
      <x:c r="E16" s="39" t="str">
        <x:v>A类代码</x:v>
      </x:c>
      <x:c r="F16" s="36" t="str">
        <x:v>景顺长城基金</x:v>
      </x:c>
      <x:c r="G16" s="67" t="str">
        <x:v>李怡文、徐栋、江山</x:v>
      </x:c>
      <x:c r="H16" s="51" t="n">
        <x:v>391</x:v>
      </x:c>
      <x:c r="I16" s="51" t="n">
        <x:v>712</x:v>
      </x:c>
      <x:c r="J16" s="51"/>
      <x:c r="K16" s="67" t="str">
        <x:v>二季度固收+增长排名前十.png</x:v>
      </x:c>
      <x:c r="L16" s="70" t="str">
        <x:v>https://www.51ifind.com/</x:v>
      </x:c>
    </x:row>
    <x:row r="17" ht="22" customHeight="1">
      <x:c r="A17" s="63" t="str">
        <x:v>二季度固收+增长排名前十</x:v>
      </x:c>
      <x:c r="B17" s="45" t="n">
        <x:v>2</x:v>
      </x:c>
      <x:c r="C17" s="67" t="str">
        <x:v>易方达丰和债券</x:v>
      </x:c>
      <x:c r="D17" s="48" t="str">
        <x:f>"002969.OF"</x:f>
        <x:v>002969.OF</x:v>
      </x:c>
      <x:c r="E17" s="39" t="str">
        <x:v>A类代码</x:v>
      </x:c>
      <x:c r="F17" s="36" t="str">
        <x:v>易方达基金</x:v>
      </x:c>
      <x:c r="G17" s="67" t="str">
        <x:v>张清华、何一铖</x:v>
      </x:c>
      <x:c r="H17" s="51" t="n">
        <x:v>347</x:v>
      </x:c>
      <x:c r="I17" s="51" t="n">
        <x:v>391</x:v>
      </x:c>
      <x:c r="J17" s="51"/>
      <x:c r="K17" s="67" t="str">
        <x:v>二季度固收+增长排名前十.png</x:v>
      </x:c>
      <x:c r="L17" s="70" t="str">
        <x:v>https://www.51ifind.com/</x:v>
      </x:c>
    </x:row>
    <x:row r="18" ht="22" customHeight="1">
      <x:c r="A18" s="63" t="str">
        <x:v>二季度固收+增长排名前十</x:v>
      </x:c>
      <x:c r="B18" s="45" t="n">
        <x:v>3</x:v>
      </x:c>
      <x:c r="C18" s="67" t="str">
        <x:v>汇添富多元收益债券</x:v>
      </x:c>
      <x:c r="D18" s="48" t="str">
        <x:f>"470010.OF"</x:f>
        <x:v>470010.OF</x:v>
      </x:c>
      <x:c r="E18" s="39" t="str">
        <x:v>A类代码</x:v>
      </x:c>
      <x:c r="F18" s="36" t="str">
        <x:v>汇添富基金</x:v>
      </x:c>
      <x:c r="G18" s="67" t="str">
        <x:v>朱凌昊、刘通、马翔</x:v>
      </x:c>
      <x:c r="H18" s="51" t="n">
        <x:v>255</x:v>
      </x:c>
      <x:c r="I18" s="51" t="n">
        <x:v>274</x:v>
      </x:c>
      <x:c r="J18" s="51"/>
      <x:c r="K18" s="67" t="str">
        <x:v>二季度固收+增长排名前十.png</x:v>
      </x:c>
      <x:c r="L18" s="70" t="str">
        <x:v>https://www.51ifind.com/</x:v>
      </x:c>
    </x:row>
    <x:row r="19" ht="22" customHeight="1">
      <x:c r="A19" s="63" t="str">
        <x:v>二季度固收+增长排名前十</x:v>
      </x:c>
      <x:c r="B19" s="45" t="n">
        <x:v>4</x:v>
      </x:c>
      <x:c r="C19" s="67" t="str">
        <x:v>鹏华双债加利债券</x:v>
      </x:c>
      <x:c r="D19" s="48" t="str">
        <x:f>"000143.OF"</x:f>
        <x:v>000143.OF</x:v>
      </x:c>
      <x:c r="E19" s="39" t="str">
        <x:v>A类代码</x:v>
      </x:c>
      <x:c r="F19" s="36" t="str">
        <x:v>鹏华基金</x:v>
      </x:c>
      <x:c r="G19" s="67" t="str">
        <x:v>王石千</x:v>
      </x:c>
      <x:c r="H19" s="51" t="n">
        <x:v>228</x:v>
      </x:c>
      <x:c r="I19" s="51" t="n">
        <x:v>584</x:v>
      </x:c>
      <x:c r="J19" s="51"/>
      <x:c r="K19" s="67" t="str">
        <x:v>二季度固收+增长排名前十.png</x:v>
      </x:c>
      <x:c r="L19" s="70" t="str">
        <x:v>https://www.51ifind.com/</x:v>
      </x:c>
    </x:row>
    <x:row r="20" ht="22" customHeight="1">
      <x:c r="A20" s="63" t="str">
        <x:v>二季度固收+增长排名前十</x:v>
      </x:c>
      <x:c r="B20" s="45" t="n">
        <x:v>5</x:v>
      </x:c>
      <x:c r="C20" s="67" t="str">
        <x:v>汇添富双利增强债券</x:v>
      </x:c>
      <x:c r="D20" s="48" t="str">
        <x:f>"000406.OF"</x:f>
        <x:v>000406.OF</x:v>
      </x:c>
      <x:c r="E20" s="39" t="str">
        <x:v>A类代码</x:v>
      </x:c>
      <x:c r="F20" s="36" t="str">
        <x:v>汇添富基金</x:v>
      </x:c>
      <x:c r="G20" s="67" t="str">
        <x:v>丁云波、邵佳民</x:v>
      </x:c>
      <x:c r="H20" s="51" t="n">
        <x:v>172</x:v>
      </x:c>
      <x:c r="I20" s="51" t="n">
        <x:v>293</x:v>
      </x:c>
      <x:c r="J20" s="51"/>
      <x:c r="K20" s="67" t="str">
        <x:v>二季度固收+增长排名前十.png</x:v>
      </x:c>
      <x:c r="L20" s="70" t="str">
        <x:v>https://www.51ifind.com/</x:v>
      </x:c>
    </x:row>
    <x:row r="21" ht="22" customHeight="1">
      <x:c r="A21" s="63" t="str">
        <x:v>二季度固收+增长排名前十</x:v>
      </x:c>
      <x:c r="B21" s="45" t="n">
        <x:v>6</x:v>
      </x:c>
      <x:c r="C21" s="67" t="str">
        <x:v>易方达裕丰回报债券</x:v>
      </x:c>
      <x:c r="D21" s="48" t="str">
        <x:f>"000171.OF"</x:f>
        <x:v>000171.OF</x:v>
      </x:c>
      <x:c r="E21" s="39" t="str">
        <x:v>A类代码</x:v>
      </x:c>
      <x:c r="F21" s="36" t="str">
        <x:v>易方达基金</x:v>
      </x:c>
      <x:c r="G21" s="67" t="str">
        <x:v>张清华</x:v>
      </x:c>
      <x:c r="H21" s="51" t="n">
        <x:v>146</x:v>
      </x:c>
      <x:c r="I21" s="51" t="n">
        <x:v>342</x:v>
      </x:c>
      <x:c r="J21" s="51"/>
      <x:c r="K21" s="67" t="str">
        <x:v>二季度固收+增长排名前十.png</x:v>
      </x:c>
      <x:c r="L21" s="70" t="str">
        <x:v>https://www.51ifind.com/</x:v>
      </x:c>
    </x:row>
    <x:row r="22" ht="22" customHeight="1">
      <x:c r="A22" s="63" t="str">
        <x:v>二季度固收+增长排名前十</x:v>
      </x:c>
      <x:c r="B22" s="45" t="n">
        <x:v>7</x:v>
      </x:c>
      <x:c r="C22" s="67" t="str">
        <x:v>华商利欣回报债券</x:v>
      </x:c>
      <x:c r="D22" s="48" t="str">
        <x:f>"018595.OF"</x:f>
        <x:v>018595.OF</x:v>
      </x:c>
      <x:c r="E22" s="39" t="str">
        <x:v>A类代码</x:v>
      </x:c>
      <x:c r="F22" s="36" t="str">
        <x:v>华商基金</x:v>
      </x:c>
      <x:c r="G22" s="67" t="str">
        <x:v>厉骞</x:v>
      </x:c>
      <x:c r="H22" s="51" t="n">
        <x:v>130</x:v>
      </x:c>
      <x:c r="I22" s="51" t="n">
        <x:v>283</x:v>
      </x:c>
      <x:c r="J22" s="51"/>
      <x:c r="K22" s="67" t="str">
        <x:v>二季度固收+增长排名前十.png</x:v>
      </x:c>
      <x:c r="L22" s="70" t="str">
        <x:v>https://www.51ifind.com/</x:v>
      </x:c>
    </x:row>
    <x:row r="23" ht="22" customHeight="1">
      <x:c r="A23" s="63" t="str">
        <x:v>二季度固收+增长排名前十</x:v>
      </x:c>
      <x:c r="B23" s="45" t="n">
        <x:v>8</x:v>
      </x:c>
      <x:c r="C23" s="67" t="str">
        <x:v>华商信用增强债券</x:v>
      </x:c>
      <x:c r="D23" s="48" t="str">
        <x:f>"001751.OF"</x:f>
        <x:v>001751.OF</x:v>
      </x:c>
      <x:c r="E23" s="39" t="str">
        <x:v>A类代码</x:v>
      </x:c>
      <x:c r="F23" s="36" t="str">
        <x:v>华商基金</x:v>
      </x:c>
      <x:c r="G23" s="67" t="str">
        <x:v>厉骞</x:v>
      </x:c>
      <x:c r="H23" s="51" t="n">
        <x:v>123</x:v>
      </x:c>
      <x:c r="I23" s="51" t="n">
        <x:v>361</x:v>
      </x:c>
      <x:c r="J23" s="51"/>
      <x:c r="K23" s="67" t="str">
        <x:v>二季度固收+增长排名前十.png</x:v>
      </x:c>
      <x:c r="L23" s="70" t="str">
        <x:v>https://www.51ifind.com/</x:v>
      </x:c>
    </x:row>
    <x:row r="24" ht="22" customHeight="1">
      <x:c r="A24" s="63" t="str">
        <x:v>二季度固收+增长排名前十</x:v>
      </x:c>
      <x:c r="B24" s="45" t="n">
        <x:v>9</x:v>
      </x:c>
      <x:c r="C24" s="67" t="str">
        <x:v>万家锦利债券发起式</x:v>
      </x:c>
      <x:c r="D24" s="48" t="str">
        <x:f>"020218.OF"</x:f>
        <x:v>020218.OF</x:v>
      </x:c>
      <x:c r="E24" s="39" t="str">
        <x:v>A类代码</x:v>
      </x:c>
      <x:c r="F24" s="36" t="str">
        <x:v>万家基金</x:v>
      </x:c>
      <x:c r="G24" s="67" t="str">
        <x:v>董一平、石东</x:v>
      </x:c>
      <x:c r="H24" s="51" t="n">
        <x:v>120</x:v>
      </x:c>
      <x:c r="I24" s="51" t="n">
        <x:v>180</x:v>
      </x:c>
      <x:c r="J24" s="51"/>
      <x:c r="K24" s="67" t="str">
        <x:v>二季度固收+增长排名前十.png</x:v>
      </x:c>
      <x:c r="L24" s="70" t="str">
        <x:v>https://www.51ifind.com/</x:v>
      </x:c>
    </x:row>
    <x:row r="25" ht="22" customHeight="1">
      <x:c r="A25" s="63" t="str">
        <x:v>二季度固收+增长排名前十</x:v>
      </x:c>
      <x:c r="B25" s="45" t="n">
        <x:v>10</x:v>
      </x:c>
      <x:c r="C25" s="67" t="str">
        <x:v>博时恒乐债券</x:v>
      </x:c>
      <x:c r="D25" s="48" t="str">
        <x:f>"014846.OF"</x:f>
        <x:v>014846.OF</x:v>
      </x:c>
      <x:c r="E25" s="39" t="str">
        <x:v>A类代码</x:v>
      </x:c>
      <x:c r="F25" s="36" t="str">
        <x:v>博时基金</x:v>
      </x:c>
      <x:c r="G25" s="67" t="str">
        <x:v>张李陵、江海峰</x:v>
      </x:c>
      <x:c r="H25" s="51" t="n">
        <x:v>114</x:v>
      </x:c>
      <x:c r="I25" s="51" t="n">
        <x:v>359</x:v>
      </x:c>
      <x:c r="J25" s="51"/>
      <x:c r="K25" s="67" t="str">
        <x:v>二季度固收+增长排名前十.png</x:v>
      </x:c>
      <x:c r="L25" s="70" t="str">
        <x:v>https://www.51ifind.com/</x:v>
      </x:c>
    </x:row>
    <x:row r="26" ht="22" customHeight="1">
      <x:c r="A26" s="64" t="str">
        <x:v>公司固收+保有前十</x:v>
      </x:c>
      <x:c r="B26" s="45" t="n">
        <x:v>1</x:v>
      </x:c>
      <x:c r="C26" s="67" t="str">
        <x:v>宏利泰和稳健养老目标一年持有期混合(FOF)</x:v>
      </x:c>
      <x:c r="D26" s="48" t="str">
        <x:f>"009355.OF"</x:f>
        <x:v>009355.OF</x:v>
      </x:c>
      <x:c r="E26" s="39" t="str">
        <x:v>A类代码</x:v>
      </x:c>
      <x:c r="F26" s="36" t="str">
        <x:v>宏利基金</x:v>
      </x:c>
      <x:c r="G26" s="67" t="str">
        <x:v>张晓龙</x:v>
      </x:c>
      <x:c r="H26" s="51"/>
      <x:c r="I26" s="51"/>
      <x:c r="J26" s="51" t="n">
        <x:v>5265</x:v>
      </x:c>
      <x:c r="K26" s="67" t="str">
        <x:v>公司固收+保有前十.png</x:v>
      </x:c>
      <x:c r="L26" s="70" t="str">
        <x:v>https://www.51ifind.com/</x:v>
      </x:c>
    </x:row>
    <x:row r="27" ht="22" customHeight="1">
      <x:c r="A27" s="64" t="str">
        <x:v>公司固收+保有前十</x:v>
      </x:c>
      <x:c r="B27" s="45" t="n">
        <x:v>2</x:v>
      </x:c>
      <x:c r="C27" s="67" t="str">
        <x:v>宏利鼎森稳健3个月持有期混合(FOF)</x:v>
      </x:c>
      <x:c r="D27" s="48" t="str">
        <x:f>"024057.OF"</x:f>
        <x:v>024057.OF</x:v>
      </x:c>
      <x:c r="E27" s="39" t="str">
        <x:v>A类代码</x:v>
      </x:c>
      <x:c r="F27" s="36" t="str">
        <x:v>宏利基金</x:v>
      </x:c>
      <x:c r="G27" s="67" t="str">
        <x:v>张晓龙</x:v>
      </x:c>
      <x:c r="H27" s="51"/>
      <x:c r="I27" s="51"/>
      <x:c r="J27" s="51" t="n">
        <x:v>896</x:v>
      </x:c>
      <x:c r="K27" s="67" t="str">
        <x:v>公司固收+保有前十.png</x:v>
      </x:c>
      <x:c r="L27" s="70" t="str">
        <x:v>https://www.51ifind.com/</x:v>
      </x:c>
    </x:row>
    <x:row r="28" ht="22" customHeight="1">
      <x:c r="A28" s="64" t="str">
        <x:v>公司固收+保有前十</x:v>
      </x:c>
      <x:c r="B28" s="45" t="n">
        <x:v>3</x:v>
      </x:c>
      <x:c r="C28" s="67" t="str">
        <x:v>嘉实睿享安久双利18个月持有期债券</x:v>
      </x:c>
      <x:c r="D28" s="48" t="str">
        <x:f>"011168.OF"</x:f>
        <x:v>011168.OF</x:v>
      </x:c>
      <x:c r="E28" s="39" t="str">
        <x:v>主代码（无份额后缀）</x:v>
      </x:c>
      <x:c r="F28" s="36" t="str">
        <x:v>嘉实基金</x:v>
      </x:c>
      <x:c r="G28" s="67" t="str">
        <x:v>吴昊</x:v>
      </x:c>
      <x:c r="H28" s="51"/>
      <x:c r="I28" s="51"/>
      <x:c r="J28" s="51" t="n">
        <x:v>239</x:v>
      </x:c>
      <x:c r="K28" s="67" t="str">
        <x:v>公司固收+保有前十.png</x:v>
      </x:c>
      <x:c r="L28" s="70" t="str">
        <x:v>https://www.51ifind.com/</x:v>
      </x:c>
    </x:row>
    <x:row r="29" ht="22" customHeight="1">
      <x:c r="A29" s="64" t="str">
        <x:v>公司固收+保有前十</x:v>
      </x:c>
      <x:c r="B29" s="45" t="n">
        <x:v>4</x:v>
      </x:c>
      <x:c r="C29" s="67" t="str">
        <x:v>易方达丰和债券</x:v>
      </x:c>
      <x:c r="D29" s="48" t="str">
        <x:f>"002969.OF"</x:f>
        <x:v>002969.OF</x:v>
      </x:c>
      <x:c r="E29" s="39" t="str">
        <x:v>A类代码</x:v>
      </x:c>
      <x:c r="F29" s="36" t="str">
        <x:v>易方达基金</x:v>
      </x:c>
      <x:c r="G29" s="67" t="str">
        <x:v>张清华、何一铖</x:v>
      </x:c>
      <x:c r="H29" s="51"/>
      <x:c r="I29" s="51"/>
      <x:c r="J29" s="51" t="n">
        <x:v>225</x:v>
      </x:c>
      <x:c r="K29" s="67" t="str">
        <x:v>公司固收+保有前十.png</x:v>
      </x:c>
      <x:c r="L29" s="70" t="str">
        <x:v>https://www.51ifind.com/</x:v>
      </x:c>
    </x:row>
    <x:row r="30" ht="22" customHeight="1">
      <x:c r="A30" s="64" t="str">
        <x:v>公司固收+保有前十</x:v>
      </x:c>
      <x:c r="B30" s="45" t="n">
        <x:v>5</x:v>
      </x:c>
      <x:c r="C30" s="67" t="str">
        <x:v>广发恒祥债券</x:v>
      </x:c>
      <x:c r="D30" s="48" t="str">
        <x:f>"014738.OF"</x:f>
        <x:v>014738.OF</x:v>
      </x:c>
      <x:c r="E30" s="39" t="str">
        <x:v>A类代码</x:v>
      </x:c>
      <x:c r="F30" s="36" t="str">
        <x:v>广发基金</x:v>
      </x:c>
      <x:c r="G30" s="67" t="str">
        <x:v>吴迪</x:v>
      </x:c>
      <x:c r="H30" s="51"/>
      <x:c r="I30" s="51"/>
      <x:c r="J30" s="51" t="n">
        <x:v>205</x:v>
      </x:c>
      <x:c r="K30" s="67" t="str">
        <x:v>公司固收+保有前十.png</x:v>
      </x:c>
      <x:c r="L30" s="70" t="str">
        <x:v>https://www.51ifind.com/</x:v>
      </x:c>
    </x:row>
    <x:row r="31" ht="22" customHeight="1">
      <x:c r="A31" s="64" t="str">
        <x:v>公司固收+保有前十</x:v>
      </x:c>
      <x:c r="B31" s="45" t="n">
        <x:v>6</x:v>
      </x:c>
      <x:c r="C31" s="67" t="str">
        <x:v>嘉实养老目标日期2040五年持有期混合(FOF)</x:v>
      </x:c>
      <x:c r="D31" s="48" t="str">
        <x:f>"006307.OF"</x:f>
        <x:v>006307.OF</x:v>
      </x:c>
      <x:c r="E31" s="39" t="str">
        <x:v>A类代码</x:v>
      </x:c>
      <x:c r="F31" s="36" t="str">
        <x:v>嘉实基金</x:v>
      </x:c>
      <x:c r="G31" s="67" t="str">
        <x:v>邱成</x:v>
      </x:c>
      <x:c r="H31" s="51"/>
      <x:c r="I31" s="51"/>
      <x:c r="J31" s="51" t="n">
        <x:v>190</x:v>
      </x:c>
      <x:c r="K31" s="67" t="str">
        <x:v>公司固收+保有前十.png</x:v>
      </x:c>
      <x:c r="L31" s="70" t="str">
        <x:v>https://www.51ifind.com/</x:v>
      </x:c>
    </x:row>
    <x:row r="32" ht="22" customHeight="1">
      <x:c r="A32" s="64" t="str">
        <x:v>公司固收+保有前十</x:v>
      </x:c>
      <x:c r="B32" s="45" t="n">
        <x:v>7</x:v>
      </x:c>
      <x:c r="C32" s="67" t="str">
        <x:v>嘉实稳宏债券</x:v>
      </x:c>
      <x:c r="D32" s="48" t="str">
        <x:f>"003458.OF"</x:f>
        <x:v>003458.OF</x:v>
      </x:c>
      <x:c r="E32" s="39" t="str">
        <x:v>A类代码</x:v>
      </x:c>
      <x:c r="F32" s="36" t="str">
        <x:v>嘉实基金</x:v>
      </x:c>
      <x:c r="G32" s="67" t="str">
        <x:v>赖礼辉</x:v>
      </x:c>
      <x:c r="H32" s="51"/>
      <x:c r="I32" s="51"/>
      <x:c r="J32" s="51" t="n">
        <x:v>189</x:v>
      </x:c>
      <x:c r="K32" s="67" t="str">
        <x:v>公司固收+保有前十.png</x:v>
      </x:c>
      <x:c r="L32" s="70" t="str">
        <x:v>https://www.51ifind.com/</x:v>
      </x:c>
    </x:row>
    <x:row r="33" ht="22" customHeight="1">
      <x:c r="A33" s="64" t="str">
        <x:v>公司固收+保有前十</x:v>
      </x:c>
      <x:c r="B33" s="45" t="n">
        <x:v>8</x:v>
      </x:c>
      <x:c r="C33" s="67" t="str">
        <x:v>易方达安心回报债券</x:v>
      </x:c>
      <x:c r="D33" s="48" t="str">
        <x:f>"110027.OF"</x:f>
        <x:v>110027.OF</x:v>
      </x:c>
      <x:c r="E33" s="39" t="str">
        <x:v>A类代码</x:v>
      </x:c>
      <x:c r="F33" s="36" t="str">
        <x:v>易方达基金</x:v>
      </x:c>
      <x:c r="G33" s="67" t="str">
        <x:v>张清华</x:v>
      </x:c>
      <x:c r="H33" s="51"/>
      <x:c r="I33" s="51"/>
      <x:c r="J33" s="51" t="n">
        <x:v>184</x:v>
      </x:c>
      <x:c r="K33" s="67" t="str">
        <x:v>公司固收+保有前十.png</x:v>
      </x:c>
      <x:c r="L33" s="70" t="str">
        <x:v>https://www.51ifind.com/</x:v>
      </x:c>
    </x:row>
    <x:row r="34" ht="22" customHeight="1">
      <x:c r="A34" s="64" t="str">
        <x:v>公司固收+保有前十</x:v>
      </x:c>
      <x:c r="B34" s="45" t="n">
        <x:v>9</x:v>
      </x:c>
      <x:c r="C34" s="67" t="str">
        <x:v>宏利全能优选混合(FOF)</x:v>
      </x:c>
      <x:c r="D34" s="48" t="str">
        <x:f>"005221.OF"</x:f>
        <x:v>005221.OF</x:v>
      </x:c>
      <x:c r="E34" s="39" t="str">
        <x:v>A类代码</x:v>
      </x:c>
      <x:c r="F34" s="36" t="str">
        <x:v>宏利基金</x:v>
      </x:c>
      <x:c r="G34" s="67" t="str">
        <x:v>张晓龙</x:v>
      </x:c>
      <x:c r="H34" s="51"/>
      <x:c r="I34" s="51"/>
      <x:c r="J34" s="51" t="n">
        <x:v>174</x:v>
      </x:c>
      <x:c r="K34" s="67" t="str">
        <x:v>公司固收+保有前十.png</x:v>
      </x:c>
      <x:c r="L34" s="70" t="str">
        <x:v>https://www.51ifind.com/</x:v>
      </x:c>
    </x:row>
    <x:row r="35" ht="22" customHeight="1">
      <x:c r="A35" s="65" t="str">
        <x:v>公司固收+保有前十</x:v>
      </x:c>
      <x:c r="B35" s="46" t="n">
        <x:v>10</x:v>
      </x:c>
      <x:c r="C35" s="68" t="str">
        <x:v>嘉实多利收益债券</x:v>
      </x:c>
      <x:c r="D35" s="49" t="str">
        <x:f>"160718.OF"</x:f>
        <x:v>160718.OF</x:v>
      </x:c>
      <x:c r="E35" s="40" t="str">
        <x:v>A类代码</x:v>
      </x:c>
      <x:c r="F35" s="37" t="str">
        <x:v>嘉实基金</x:v>
      </x:c>
      <x:c r="G35" s="68" t="str">
        <x:v>张庆平、雍大为</x:v>
      </x:c>
      <x:c r="H35" s="52"/>
      <x:c r="I35" s="52"/>
      <x:c r="J35" s="52" t="n">
        <x:v>170</x:v>
      </x:c>
      <x:c r="K35" s="68" t="str">
        <x:v>公司固收+保有前十.png</x:v>
      </x:c>
      <x:c r="L35" s="71" t="str">
        <x:v>https://www.51ifind.com/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380d118084894bf7"/>
  </x:tableParts>
</x:worksheet>
</file>