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实盘持仓配置" sheetId="1" state="visible" r:id="rId3"/>
    <sheet name="实盘净值数据(iFinD公式)" sheetId="2" state="visible" r:id="rId4"/>
    <sheet name="实盘组合净值" sheetId="3" state="visible" r:id="rId5"/>
    <sheet name="分期持仓明细" sheetId="4" state="visible" r:id="rId6"/>
    <sheet name="看板-产业趋势" sheetId="5" state="visible" r:id="rId7"/>
    <sheet name="看板-产业趋势基石" sheetId="6" state="visible" r:id="rId8"/>
    <sheet name="看板-产业趋势2号" sheetId="7" state="visible" r:id="rId9"/>
    <sheet name="看板-10-90" sheetId="8" state="visible" r:id="rId10"/>
    <sheet name="看板-10-90基石" sheetId="9" state="visible" r:id="rId11"/>
    <sheet name="看板-30-70" sheetId="10" state="visible" r:id="rId12"/>
    <sheet name="说明" sheetId="11" state="visible" r:id="rId13"/>
    <sheet name="持仓权重预警" sheetId="12" state="visible" r:id="rId14"/>
  </sheets>
  <externalReferences>
    <externalReference r:id="rId15"/>
  </externalReferences>
  <definedNames>
    <definedName name="_ChartDates" localSheetId="4">'实盘组合净值'!$A$6:INDEX('实盘组合净值'!$A$6:$A$1000,MATCH(9.99999999999999E+307,'实盘组合净值'!$A$6:$A$1000))</definedName>
    <definedName name="_ChartValues" localSheetId="4">'实盘组合净值'!$B$6:INDEX('实盘组合净值'!$B$6:$B$1000,MATCH(9.99999999999999E+307,'实盘组合净值'!$A$6:$A$1000))</definedName>
    <definedName name="_ChartDates" localSheetId="5">'实盘组合净值'!$A$5:INDEX('实盘组合净值'!$A$5:$A$1000,MATCH(9.99999999999999E+307,'实盘组合净值'!$A$5:$A$1000))</definedName>
    <definedName name="_ChartValues" localSheetId="5">'实盘组合净值'!$E$5:INDEX('实盘组合净值'!$E$5:$E$1000,MATCH(9.99999999999999E+307,'实盘组合净值'!$A$5:$A$1000))</definedName>
    <definedName name="_ChartDates" localSheetId="6">'实盘组合净值'!$A$7:INDEX('实盘组合净值'!$A$7:$A$1000,MATCH(9.99999999999999E+307,'实盘组合净值'!$A$7:$A$1000))</definedName>
    <definedName name="_ChartValues" localSheetId="6">'实盘组合净值'!$H$7:INDEX('实盘组合净值'!$H$7:$H$1000,MATCH(9.99999999999999E+307,'实盘组合净值'!$A$7:$A$1000))</definedName>
    <definedName name="_ChartDates" localSheetId="7">'实盘组合净值'!$A$8:INDEX('实盘组合净值'!$A$8:$A$1000,MATCH(9.99999999999999E+307,'实盘组合净值'!$A$8:$A$1000))</definedName>
    <definedName name="_ChartValues" localSheetId="7">'实盘组合净值'!$K$8:INDEX('实盘组合净值'!$K$8:$K$1000,MATCH(9.99999999999999E+307,'实盘组合净值'!$A$8:$A$1000))</definedName>
    <definedName name="_ChartDates" localSheetId="8">'实盘组合净值'!$A$5:INDEX('实盘组合净值'!$A$5:$A$1000,MATCH(9.99999999999999E+307,'实盘组合净值'!$A$5:$A$1000))</definedName>
    <definedName name="_ChartValues" localSheetId="8">'实盘组合净值'!$N$5:INDEX('实盘组合净值'!$N$5:$N$1000,MATCH(9.99999999999999E+307,'实盘组合净值'!$A$5:$A$1000))</definedName>
    <definedName name="_ChartDates" localSheetId="9">'实盘组合净值'!$A$8:INDEX('实盘组合净值'!$A$8:$A$1000,MATCH(9.99999999999999E+307,'实盘组合净值'!$A$8:$A$1000))</definedName>
    <definedName name="_ChartValues" localSheetId="9">'实盘组合净值'!$Q$8:INDEX('实盘组合净值'!$Q$8:$Q$1000,MATCH(9.99999999999999E+307,'实盘组合净值'!$A$8:$A$1000))</definedName>
  </definedNames>
  <calcPr calcMode="auto" fullCalcOnLoad="1" forceFullCalc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<sst xmlns="http://schemas.openxmlformats.org/spreadsheetml/2006/main" count="443" uniqueCount="208">
  <si>
    <r>
      <rPr>
        <b val="true"/>
        <sz val="15"/>
        <color rgb="FFFFFFFF"/>
        <rFont val="Linux Libertine G"/>
        <family val="2"/>
      </rPr>
      <t xml:space="preserve">持仓配置（实盘</t>
    </r>
    <r>
      <rPr>
        <b val="true"/>
        <sz val="15"/>
        <color rgb="FFFFFFFF"/>
        <rFont val="Arial"/>
        <family val="2"/>
        <charset val="1"/>
      </rPr>
      <t xml:space="preserve">·</t>
    </r>
    <r>
      <rPr>
        <b val="true"/>
        <sz val="15"/>
        <color rgb="FFFFFFFF"/>
        <rFont val="Linux Libertine G"/>
        <family val="2"/>
      </rPr>
      <t xml:space="preserve">初始权重）</t>
    </r>
  </si>
  <si>
    <t xml:space="preserve">基金简称</t>
  </si>
  <si>
    <r>
      <rPr>
        <b val="true"/>
        <sz val="10"/>
        <color rgb="FF000000"/>
        <rFont val="Linux Libertine G"/>
        <family val="2"/>
      </rPr>
      <t xml:space="preserve">华安黄金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</si>
  <si>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嘉实快线货币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</si>
  <si>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宏利复兴混合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</si>
  <si>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博道沪深</t>
    </r>
    <r>
      <rPr>
        <b val="true"/>
        <sz val="10"/>
        <color rgb="FF000000"/>
        <rFont val="Arial"/>
        <family val="2"/>
        <charset val="1"/>
      </rPr>
      <t xml:space="preserve">300</t>
    </r>
    <r>
      <rPr>
        <b val="true"/>
        <sz val="10"/>
        <color rgb="FF000000"/>
        <rFont val="Linux Libertine G"/>
        <family val="2"/>
      </rPr>
      <t xml:space="preserve">增强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</si>
  <si>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博道沪深</t>
    </r>
    <r>
      <rPr>
        <b val="true"/>
        <sz val="10"/>
        <color rgb="FF000000"/>
        <rFont val="Arial"/>
        <family val="2"/>
        <charset val="1"/>
      </rPr>
      <t xml:space="preserve">300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</si>
  <si>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国泰通信设备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</si>
  <si>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国泰通信设备</t>
    </r>
    <r>
      <rPr>
        <b val="true"/>
        <sz val="10"/>
        <color rgb="FF000000"/>
        <rFont val="Arial"/>
        <family val="2"/>
        <charset val="1"/>
      </rPr>
      <t xml:space="preserve">C</t>
    </r>
  </si>
  <si>
    <t xml:space="preserve">嘉实前沿科技创新</t>
  </si>
  <si>
    <r>
      <rPr>
        <b val="true"/>
        <sz val="10"/>
        <color rgb="FF000000"/>
        <rFont val="Linux Libertine G"/>
        <family val="2"/>
      </rPr>
      <t xml:space="preserve">银华集成电路混合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</si>
  <si>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银华集成电路混合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</si>
  <si>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天弘中证</t>
    </r>
    <r>
      <rPr>
        <b val="true"/>
        <sz val="10"/>
        <color rgb="FF000000"/>
        <rFont val="Arial"/>
        <family val="2"/>
        <charset val="1"/>
      </rPr>
      <t xml:space="preserve">1000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</si>
  <si>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天弘中证</t>
    </r>
    <r>
      <rPr>
        <b val="true"/>
        <sz val="10"/>
        <color rgb="FF000000"/>
        <rFont val="Arial"/>
        <family val="2"/>
        <charset val="1"/>
      </rPr>
      <t xml:space="preserve">1000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</si>
  <si>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中欧中证</t>
    </r>
    <r>
      <rPr>
        <b val="true"/>
        <sz val="10"/>
        <color rgb="FF000000"/>
        <rFont val="Arial"/>
        <family val="2"/>
        <charset val="1"/>
      </rPr>
      <t xml:space="preserve">500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</si>
  <si>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中欧中证</t>
    </r>
    <r>
      <rPr>
        <b val="true"/>
        <sz val="10"/>
        <color rgb="FF000000"/>
        <rFont val="Arial"/>
        <family val="2"/>
        <charset val="1"/>
      </rPr>
      <t xml:space="preserve">500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</si>
  <si>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信澳业绩驱动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</si>
  <si>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嘉实信息产业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</si>
  <si>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嘉实信息产业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</si>
  <si>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宏利复兴伟业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</si>
  <si>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国泰半导体材料设备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</si>
  <si>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国泰半导体材料设备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</si>
  <si>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华泰柏瑞中证</t>
    </r>
    <r>
      <rPr>
        <b val="true"/>
        <sz val="10"/>
        <color rgb="FF000000"/>
        <rFont val="Arial"/>
        <family val="2"/>
        <charset val="1"/>
      </rPr>
      <t xml:space="preserve">2000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</si>
  <si>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华泰柏瑞中证</t>
    </r>
    <r>
      <rPr>
        <b val="true"/>
        <sz val="10"/>
        <color rgb="FF000000"/>
        <rFont val="Arial"/>
        <family val="2"/>
        <charset val="1"/>
      </rPr>
      <t xml:space="preserve">2000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</si>
  <si>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易方达中债新综指</t>
    </r>
    <r>
      <rPr>
        <b val="true"/>
        <sz val="10"/>
        <color rgb="FF000000"/>
        <rFont val="Arial"/>
        <family val="2"/>
        <charset val="1"/>
      </rPr>
      <t xml:space="preserve">LOFA</t>
    </r>
  </si>
  <si>
    <t xml:space="preserve">合计</t>
  </si>
  <si>
    <t xml:space="preserve">年化费率</t>
  </si>
  <si>
    <t xml:space="preserve">净值起始日</t>
  </si>
  <si>
    <t xml:space="preserve">基金代码</t>
  </si>
  <si>
    <t xml:space="preserve">000216.OF</t>
  </si>
  <si>
    <t xml:space="preserve">000917.OF</t>
  </si>
  <si>
    <t xml:space="preserve">001170.OF</t>
  </si>
  <si>
    <t xml:space="preserve">007044.OF</t>
  </si>
  <si>
    <t xml:space="preserve">007045.OF</t>
  </si>
  <si>
    <t xml:space="preserve">007817.OF</t>
  </si>
  <si>
    <t xml:space="preserve">007818.OF</t>
  </si>
  <si>
    <t xml:space="preserve">009993.OF</t>
  </si>
  <si>
    <t xml:space="preserve">013840.OF</t>
  </si>
  <si>
    <t xml:space="preserve">013841.OF</t>
  </si>
  <si>
    <t xml:space="preserve">014201.OF</t>
  </si>
  <si>
    <t xml:space="preserve">014202.OF</t>
  </si>
  <si>
    <t xml:space="preserve">015453.OF</t>
  </si>
  <si>
    <t xml:space="preserve">015454.OF</t>
  </si>
  <si>
    <t xml:space="preserve">016370.OF</t>
  </si>
  <si>
    <t xml:space="preserve">017488.OF</t>
  </si>
  <si>
    <t xml:space="preserve">017489.OF</t>
  </si>
  <si>
    <t xml:space="preserve">017612.OF</t>
  </si>
  <si>
    <t xml:space="preserve">019632.OF</t>
  </si>
  <si>
    <t xml:space="preserve">019633.OF</t>
  </si>
  <si>
    <t xml:space="preserve">019923.OF</t>
  </si>
  <si>
    <t xml:space="preserve">019924.OF</t>
  </si>
  <si>
    <t xml:space="preserve">161119.OF</t>
  </si>
  <si>
    <t xml:space="preserve">产业趋势 权重</t>
  </si>
  <si>
    <t xml:space="preserve">产业趋势基石 权重</t>
  </si>
  <si>
    <r>
      <rPr>
        <b val="true"/>
        <sz val="10"/>
        <color rgb="FF000000"/>
        <rFont val="Linux Libertine G"/>
        <family val="2"/>
      </rPr>
      <t xml:space="preserve">产业趋势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Linux Libertine G"/>
        <family val="2"/>
      </rPr>
      <t xml:space="preserve">号 权重</t>
    </r>
  </si>
  <si>
    <r>
      <rPr>
        <b val="true"/>
        <sz val="10"/>
        <color rgb="FF000000"/>
        <rFont val="Arial"/>
        <family val="2"/>
        <charset val="1"/>
      </rPr>
      <t xml:space="preserve">10-90 </t>
    </r>
    <r>
      <rPr>
        <b val="true"/>
        <sz val="10"/>
        <color rgb="FF000000"/>
        <rFont val="Linux Libertine G"/>
        <family val="2"/>
      </rPr>
      <t xml:space="preserve">权重</t>
    </r>
  </si>
  <si>
    <r>
      <rPr>
        <b val="true"/>
        <sz val="10"/>
        <color rgb="FF000000"/>
        <rFont val="Arial"/>
        <family val="2"/>
        <charset val="1"/>
      </rPr>
      <t xml:space="preserve">10-90</t>
    </r>
    <r>
      <rPr>
        <b val="true"/>
        <sz val="10"/>
        <color rgb="FF000000"/>
        <rFont val="Linux Libertine G"/>
        <family val="2"/>
      </rPr>
      <t xml:space="preserve">基石 权重</t>
    </r>
  </si>
  <si>
    <r>
      <rPr>
        <b val="true"/>
        <sz val="10"/>
        <color rgb="FF000000"/>
        <rFont val="Arial"/>
        <family val="2"/>
        <charset val="1"/>
      </rPr>
      <t xml:space="preserve">30-70 </t>
    </r>
    <r>
      <rPr>
        <b val="true"/>
        <sz val="10"/>
        <color rgb="FF000000"/>
        <rFont val="Linux Libertine G"/>
        <family val="2"/>
      </rPr>
      <t xml:space="preserve">权重</t>
    </r>
  </si>
  <si>
    <r>
      <rPr>
        <i val="true"/>
        <sz val="9"/>
        <color rgb="FF595959"/>
        <rFont val="Linux Libertine G"/>
        <family val="2"/>
      </rPr>
      <t xml:space="preserve">权重蓝色输入；</t>
    </r>
    <r>
      <rPr>
        <i val="true"/>
        <sz val="9"/>
        <color rgb="FF595959"/>
        <rFont val="Arial"/>
        <family val="2"/>
        <charset val="1"/>
      </rPr>
      <t xml:space="preserve">Z</t>
    </r>
    <r>
      <rPr>
        <i val="true"/>
        <sz val="9"/>
        <color rgb="FF595959"/>
        <rFont val="Linux Libertine G"/>
        <family val="2"/>
      </rPr>
      <t xml:space="preserve">列为各组合年化费率、</t>
    </r>
    <r>
      <rPr>
        <i val="true"/>
        <sz val="9"/>
        <color rgb="FF595959"/>
        <rFont val="Arial"/>
        <family val="2"/>
        <charset val="1"/>
      </rPr>
      <t xml:space="preserve">AA</t>
    </r>
    <r>
      <rPr>
        <i val="true"/>
        <sz val="9"/>
        <color rgb="FF595959"/>
        <rFont val="Linux Libertine G"/>
        <family val="2"/>
      </rPr>
      <t xml:space="preserve">列为各组合净值起始日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Linux Libertine G"/>
        <family val="2"/>
      </rPr>
      <t xml:space="preserve">当日净值</t>
    </r>
    <r>
      <rPr>
        <i val="true"/>
        <sz val="9"/>
        <color rgb="FF595959"/>
        <rFont val="Arial"/>
        <family val="2"/>
        <charset val="1"/>
      </rPr>
      <t xml:space="preserve">=1)</t>
    </r>
    <r>
      <rPr>
        <i val="true"/>
        <sz val="9"/>
        <color rgb="FF595959"/>
        <rFont val="Linux Libertine G"/>
        <family val="2"/>
      </rPr>
      <t xml:space="preserve">。新增交易日下拉填充，下游净值与看板自动重算。</t>
    </r>
  </si>
  <si>
    <r>
      <rPr>
        <b val="true"/>
        <sz val="15"/>
        <color rgb="FFFFFFFF"/>
        <rFont val="Linux Libertine G"/>
        <family val="2"/>
      </rPr>
      <t xml:space="preserve">净值数据 </t>
    </r>
    <r>
      <rPr>
        <b val="true"/>
        <sz val="15"/>
        <color rgb="FFFFFFFF"/>
        <rFont val="Arial"/>
        <family val="2"/>
        <charset val="1"/>
      </rPr>
      <t xml:space="preserve">* </t>
    </r>
    <r>
      <rPr>
        <b val="true"/>
        <sz val="15"/>
        <color rgb="FFFFFFFF"/>
        <rFont val="Linux Libertine G"/>
        <family val="2"/>
      </rPr>
      <t xml:space="preserve">实盘</t>
    </r>
  </si>
  <si>
    <t xml:space="preserve">基金代码→</t>
  </si>
  <si>
    <t xml:space="preserve">162214.OF</t>
  </si>
  <si>
    <t xml:space="preserve">宏利领先中小盘混合</t>
  </si>
  <si>
    <r>
      <rPr>
        <b val="true"/>
        <sz val="15"/>
        <color rgb="FFFFFFFF"/>
        <rFont val="Linux Libertine G"/>
        <family val="2"/>
      </rPr>
      <t xml:space="preserve">组合净值（实盘）</t>
    </r>
    <r>
      <rPr>
        <b val="true"/>
        <sz val="15"/>
        <color rgb="FFFFFFFF"/>
        <rFont val="Arial"/>
        <family val="2"/>
        <charset val="1"/>
      </rPr>
      <t xml:space="preserve">· </t>
    </r>
    <r>
      <rPr>
        <b val="true"/>
        <sz val="15"/>
        <color rgb="FFFFFFFF"/>
        <rFont val="Linux Libertine G"/>
        <family val="2"/>
      </rPr>
      <t xml:space="preserve">各组合自起始日买入持有逐日计算</t>
    </r>
  </si>
  <si>
    <t xml:space="preserve">组合 产业趋势</t>
  </si>
  <si>
    <t xml:space="preserve">组合 产业趋势基石</t>
  </si>
  <si>
    <r>
      <rPr>
        <b val="true"/>
        <sz val="11"/>
        <color rgb="FFFFFFFF"/>
        <rFont val="Linux Libertine G"/>
        <family val="2"/>
      </rPr>
      <t xml:space="preserve">组合 产业趋势</t>
    </r>
    <r>
      <rPr>
        <b val="true"/>
        <sz val="11"/>
        <color rgb="FFFFFFFF"/>
        <rFont val="Arial"/>
        <family val="2"/>
        <charset val="1"/>
      </rPr>
      <t xml:space="preserve">2</t>
    </r>
    <r>
      <rPr>
        <b val="true"/>
        <sz val="11"/>
        <color rgb="FFFFFFFF"/>
        <rFont val="Linux Libertine G"/>
        <family val="2"/>
      </rPr>
      <t xml:space="preserve">号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</si>
  <si>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10-90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</si>
  <si>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10-90</t>
    </r>
    <r>
      <rPr>
        <b val="true"/>
        <sz val="11"/>
        <color rgb="FFFFFFFF"/>
        <rFont val="Linux Libertine G"/>
        <family val="2"/>
      </rPr>
      <t xml:space="preserve">基石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</si>
  <si>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30-70</t>
    </r>
  </si>
  <si>
    <t xml:space="preserve">日期</t>
  </si>
  <si>
    <t xml:space="preserve">净值</t>
  </si>
  <si>
    <t xml:space="preserve">日收益</t>
  </si>
  <si>
    <t xml:space="preserve">回撤</t>
  </si>
  <si>
    <r>
      <rPr>
        <i val="true"/>
        <sz val="9"/>
        <color rgb="FF595959"/>
        <rFont val="Linux Libertine G"/>
        <family val="2"/>
      </rPr>
      <t xml:space="preserve">各组合自其净值起始日起</t>
    </r>
    <r>
      <rPr>
        <i val="true"/>
        <sz val="9"/>
        <color rgb="FF595959"/>
        <rFont val="Arial"/>
        <family val="2"/>
        <charset val="1"/>
      </rPr>
      <t xml:space="preserve">=1.0000</t>
    </r>
    <r>
      <rPr>
        <i val="true"/>
        <sz val="9"/>
        <color rgb="FF595959"/>
        <rFont val="Linux Libertine G"/>
        <family val="2"/>
      </rPr>
      <t xml:space="preserve">；买入持有，权重随涨跌漂移；净值已按各自年化费率折每日扣费。新增日期下拉填充。</t>
    </r>
  </si>
  <si>
    <r>
      <rPr>
        <sz val="10"/>
        <rFont val="Linux Libertine G"/>
        <family val="2"/>
      </rPr>
      <t xml:space="preserve">分期持仓明细（每次调仓后的组合权重；</t>
    </r>
    <r>
      <rPr>
        <sz val="10"/>
        <rFont val="Arial"/>
        <family val="2"/>
      </rPr>
      <t xml:space="preserve">P0=</t>
    </r>
    <r>
      <rPr>
        <sz val="10"/>
        <rFont val="Linux Libertine G"/>
        <family val="2"/>
      </rPr>
      <t xml:space="preserve">初始建仓，</t>
    </r>
    <r>
      <rPr>
        <sz val="10"/>
        <rFont val="Arial"/>
        <family val="2"/>
      </rPr>
      <t xml:space="preserve">P1=7/1</t>
    </r>
    <r>
      <rPr>
        <sz val="10"/>
        <rFont val="Linux Libertine G"/>
        <family val="2"/>
      </rPr>
      <t xml:space="preserve">调仓后…</t>
    </r>
    <r>
      <rPr>
        <sz val="10"/>
        <rFont val="Arial"/>
        <family val="2"/>
      </rPr>
      <t xml:space="preserve">P3=7/17</t>
    </r>
    <r>
      <rPr>
        <sz val="10"/>
        <rFont val="Linux Libertine G"/>
        <family val="2"/>
      </rPr>
      <t xml:space="preserve">调仓后）</t>
    </r>
  </si>
  <si>
    <r>
      <rPr>
        <sz val="11"/>
        <color theme="1"/>
        <rFont val="Linux Libertine G"/>
        <family val="2"/>
      </rPr>
      <t xml:space="preserve">华安黄金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</si>
  <si>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嘉实快线货币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</si>
  <si>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宏利复兴混合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</si>
  <si>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博道沪深</t>
    </r>
    <r>
      <rPr>
        <sz val="11"/>
        <color theme="1"/>
        <rFont val="宋体"/>
        <family val="2"/>
        <charset val="1"/>
      </rPr>
      <t xml:space="preserve">300</t>
    </r>
    <r>
      <rPr>
        <sz val="11"/>
        <color theme="1"/>
        <rFont val="Linux Libertine G"/>
        <family val="2"/>
      </rPr>
      <t xml:space="preserve">增强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</si>
  <si>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博道沪深</t>
    </r>
    <r>
      <rPr>
        <sz val="11"/>
        <color theme="1"/>
        <rFont val="宋体"/>
        <family val="2"/>
        <charset val="1"/>
      </rPr>
      <t xml:space="preserve">300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</si>
  <si>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国泰通信设备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</si>
  <si>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国泰通信设备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</si>
  <si>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银华集成电路混合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</si>
  <si>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银华集成电路混合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</si>
  <si>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天弘中证</t>
    </r>
    <r>
      <rPr>
        <sz val="11"/>
        <color theme="1"/>
        <rFont val="宋体"/>
        <family val="2"/>
        <charset val="1"/>
      </rPr>
      <t xml:space="preserve">1000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</si>
  <si>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天弘中证</t>
    </r>
    <r>
      <rPr>
        <sz val="11"/>
        <color theme="1"/>
        <rFont val="宋体"/>
        <family val="2"/>
        <charset val="1"/>
      </rPr>
      <t xml:space="preserve">1000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</si>
  <si>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中欧中证</t>
    </r>
    <r>
      <rPr>
        <sz val="11"/>
        <color theme="1"/>
        <rFont val="宋体"/>
        <family val="2"/>
        <charset val="1"/>
      </rPr>
      <t xml:space="preserve">500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</si>
  <si>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中欧中证</t>
    </r>
    <r>
      <rPr>
        <sz val="11"/>
        <color theme="1"/>
        <rFont val="宋体"/>
        <family val="2"/>
        <charset val="1"/>
      </rPr>
      <t xml:space="preserve">500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</si>
  <si>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信澳业绩驱动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</si>
  <si>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嘉实信息产业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</si>
  <si>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嘉实信息产业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</si>
  <si>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宏利复兴伟业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</si>
  <si>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国泰半导体材料设备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</si>
  <si>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国泰半导体材料设备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</si>
  <si>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华泰柏瑞中证</t>
    </r>
    <r>
      <rPr>
        <sz val="11"/>
        <color theme="1"/>
        <rFont val="宋体"/>
        <family val="2"/>
        <charset val="1"/>
      </rPr>
      <t xml:space="preserve">2000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</si>
  <si>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华泰柏瑞中证</t>
    </r>
    <r>
      <rPr>
        <sz val="11"/>
        <color theme="1"/>
        <rFont val="宋体"/>
        <family val="2"/>
        <charset val="1"/>
      </rPr>
      <t xml:space="preserve">2000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</si>
  <si>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易方达中债新综指</t>
    </r>
    <r>
      <rPr>
        <sz val="11"/>
        <color theme="1"/>
        <rFont val="宋体"/>
        <family val="2"/>
        <charset val="1"/>
      </rPr>
      <t xml:space="preserve">LOFA</t>
    </r>
  </si>
  <si>
    <t xml:space="preserve">生效日</t>
  </si>
  <si>
    <r>
      <rPr>
        <sz val="11"/>
        <color theme="1"/>
        <rFont val="Linux Libertine G"/>
        <family val="2"/>
      </rPr>
      <t xml:space="preserve">累计因子</t>
    </r>
    <r>
      <rPr>
        <sz val="11"/>
        <color theme="1"/>
        <rFont val="宋体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自动</t>
    </r>
    <r>
      <rPr>
        <sz val="11"/>
        <color theme="1"/>
        <rFont val="宋体"/>
        <family val="2"/>
        <charset val="1"/>
      </rPr>
      <t xml:space="preserve">)</t>
    </r>
  </si>
  <si>
    <t xml:space="preserve">000216</t>
  </si>
  <si>
    <t xml:space="preserve">000917</t>
  </si>
  <si>
    <t xml:space="preserve">001170</t>
  </si>
  <si>
    <t xml:space="preserve">007044</t>
  </si>
  <si>
    <t xml:space="preserve">007045</t>
  </si>
  <si>
    <t xml:space="preserve">007817</t>
  </si>
  <si>
    <t xml:space="preserve">007818</t>
  </si>
  <si>
    <t xml:space="preserve">009993</t>
  </si>
  <si>
    <t xml:space="preserve">013840</t>
  </si>
  <si>
    <t xml:space="preserve">013841</t>
  </si>
  <si>
    <t xml:space="preserve">014201</t>
  </si>
  <si>
    <t xml:space="preserve">014202</t>
  </si>
  <si>
    <t xml:space="preserve">015453</t>
  </si>
  <si>
    <t xml:space="preserve">015454</t>
  </si>
  <si>
    <t xml:space="preserve">016370</t>
  </si>
  <si>
    <t xml:space="preserve">017488</t>
  </si>
  <si>
    <t xml:space="preserve">017489</t>
  </si>
  <si>
    <t xml:space="preserve">017612</t>
  </si>
  <si>
    <t xml:space="preserve">019632</t>
  </si>
  <si>
    <t xml:space="preserve">019633</t>
  </si>
  <si>
    <t xml:space="preserve">019923</t>
  </si>
  <si>
    <t xml:space="preserve">019924</t>
  </si>
  <si>
    <t xml:space="preserve">161119</t>
  </si>
  <si>
    <t xml:space="preserve"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</si>
  <si>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</si>
  <si>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</si>
  <si>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Linux Libertine G"/>
        <family val="2"/>
      </rPr>
      <t xml:space="preserve">产业趋势</t>
    </r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</si>
  <si>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 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</si>
  <si>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 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</si>
  <si>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</si>
  <si>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</si>
  <si>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30-70 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</si>
  <si>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30-70 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</si>
  <si>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 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</si>
  <si>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</si>
  <si>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30-70 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</si>
  <si>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</si>
  <si>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</si>
  <si>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</t>
    </r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</si>
  <si>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0"/>
        <rFont val="Arial"/>
        <family val="2"/>
      </rPr>
      <t xml:space="preserve">10-90 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</si>
  <si>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 xml:space="preserve">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</si>
  <si>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30-70 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</si>
  <si>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t xml:space="preserve">样板间组合走势看板（产业趋势组合）</t>
  </si>
  <si>
    <t xml:space="preserve">产品业绩表现（历史表现不代表未来收益承诺）</t>
  </si>
  <si>
    <t xml:space="preserve">最新净值</t>
  </si>
  <si>
    <t xml:space="preserve">累计收益</t>
  </si>
  <si>
    <t xml:space="preserve">年化收益</t>
  </si>
  <si>
    <t xml:space="preserve">年化波动率</t>
  </si>
  <si>
    <t xml:space="preserve">最大回撤</t>
  </si>
  <si>
    <t xml:space="preserve">夏普比率</t>
  </si>
  <si>
    <t xml:space="preserve">收益表现</t>
  </si>
  <si>
    <t xml:space="preserve">风险特征</t>
  </si>
  <si>
    <t xml:space="preserve">区间</t>
  </si>
  <si>
    <t xml:space="preserve">指标</t>
  </si>
  <si>
    <t xml:space="preserve">数值</t>
  </si>
  <si>
    <t xml:space="preserve">起始以来</t>
  </si>
  <si>
    <t xml:space="preserve">2026YTD</t>
  </si>
  <si>
    <r>
      <rPr>
        <b val="true"/>
        <sz val="16"/>
        <color rgb="FF000000"/>
        <rFont val="Linux Libertine G"/>
        <family val="2"/>
      </rPr>
      <t xml:space="preserve">回撤修复天数</t>
    </r>
    <r>
      <rPr>
        <b val="true"/>
        <sz val="16"/>
        <color rgb="FF000000"/>
        <rFont val="微软雅黑"/>
        <family val="2"/>
        <charset val="1"/>
      </rPr>
      <t xml:space="preserve">(</t>
    </r>
    <r>
      <rPr>
        <b val="true"/>
        <sz val="16"/>
        <color rgb="FF000000"/>
        <rFont val="Linux Libertine G"/>
        <family val="2"/>
      </rPr>
      <t xml:space="preserve">未创新高</t>
    </r>
    <r>
      <rPr>
        <b val="true"/>
        <sz val="16"/>
        <color rgb="FF000000"/>
        <rFont val="微软雅黑"/>
        <family val="2"/>
        <charset val="1"/>
      </rPr>
      <t xml:space="preserve">)</t>
    </r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</si>
  <si>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3</t>
    </r>
    <r>
      <rPr>
        <b val="true"/>
        <sz val="16"/>
        <color rgb="FF000000"/>
        <rFont val="Linux Libertine G"/>
        <family val="2"/>
      </rPr>
      <t xml:space="preserve">个月</t>
    </r>
  </si>
  <si>
    <t xml:space="preserve">正收益占比</t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</si>
  <si>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6</t>
    </r>
    <r>
      <rPr>
        <b val="true"/>
        <sz val="16"/>
        <color rgb="FF000000"/>
        <rFont val="Linux Libertine G"/>
        <family val="2"/>
      </rPr>
      <t xml:space="preserve">个月</t>
    </r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</si>
  <si>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1</t>
    </r>
    <r>
      <rPr>
        <b val="true"/>
        <sz val="16"/>
        <color rgb="FF000000"/>
        <rFont val="Linux Libertine G"/>
        <family val="2"/>
      </rPr>
      <t xml:space="preserve">年</t>
    </r>
  </si>
  <si>
    <t xml:space="preserve">卡玛比率</t>
  </si>
  <si>
    <r>
      <rPr>
        <b val="true"/>
        <sz val="11"/>
        <color rgb="FFFFFFFF"/>
        <rFont val="Linux Libertine G"/>
        <family val="2"/>
      </rPr>
      <t xml:space="preserve">产品运作情况 </t>
    </r>
    <r>
      <rPr>
        <b val="true"/>
        <sz val="11"/>
        <color rgb="FFFFFFFF"/>
        <rFont val="Arial"/>
        <family val="2"/>
        <charset val="1"/>
      </rPr>
      <t xml:space="preserve">· </t>
    </r>
    <r>
      <rPr>
        <b val="true"/>
        <sz val="11"/>
        <color rgb="FFFFFFFF"/>
        <rFont val="Linux Libertine G"/>
        <family val="2"/>
      </rPr>
      <t xml:space="preserve">组合净值曲线</t>
    </r>
  </si>
  <si>
    <r>
      <rPr>
        <i val="true"/>
        <sz val="9"/>
        <color rgb="FF595959"/>
        <rFont val="Linux Libertine G"/>
        <family val="2"/>
      </rPr>
      <t xml:space="preserve">统计区间自</t>
    </r>
    <r>
      <rPr>
        <i val="true"/>
        <sz val="9"/>
        <color rgb="FF595959"/>
        <rFont val="Arial"/>
        <family val="2"/>
        <charset val="1"/>
      </rPr>
      <t xml:space="preserve">2026/6/1</t>
    </r>
    <r>
      <rPr>
        <i val="true"/>
        <sz val="9"/>
        <color rgb="FF595959"/>
        <rFont val="Linux Libertine G"/>
        <family val="2"/>
      </rPr>
      <t xml:space="preserve">起；运作初期样本少，年化类指标仅供参考。新增交易日后请同步扩展本图数据区。</t>
    </r>
  </si>
  <si>
    <t xml:space="preserve">样板间组合走势看板（产业趋势基石组合）</t>
  </si>
  <si>
    <r>
      <rPr>
        <b val="true"/>
        <sz val="17"/>
        <color rgb="FFFFFFFF"/>
        <rFont val="Linux Libertine G"/>
        <family val="2"/>
      </rPr>
      <t xml:space="preserve">样板间组合走势看板（产业趋势</t>
    </r>
    <r>
      <rPr>
        <b val="true"/>
        <sz val="17"/>
        <color rgb="FFFFFFFF"/>
        <rFont val="Arial"/>
        <family val="2"/>
        <charset val="1"/>
      </rPr>
      <t xml:space="preserve">2</t>
    </r>
    <r>
      <rPr>
        <b val="true"/>
        <sz val="17"/>
        <color rgb="FFFFFFFF"/>
        <rFont val="Linux Libertine G"/>
        <family val="2"/>
      </rPr>
      <t xml:space="preserve">号组合）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</si>
  <si>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10-90</t>
    </r>
    <r>
      <rPr>
        <b val="true"/>
        <sz val="17"/>
        <color rgb="FFFFFFFF"/>
        <rFont val="Linux Libertine G"/>
        <family val="2"/>
      </rPr>
      <t xml:space="preserve">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</si>
  <si>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10-90</t>
    </r>
    <r>
      <rPr>
        <b val="true"/>
        <sz val="17"/>
        <color rgb="FFFFFFFF"/>
        <rFont val="Linux Libertine G"/>
        <family val="2"/>
      </rPr>
      <t xml:space="preserve">基石组合）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</si>
  <si>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30-70</t>
    </r>
    <r>
      <rPr>
        <b val="true"/>
        <sz val="17"/>
        <color rgb="FFFFFFFF"/>
        <rFont val="Linux Libertine G"/>
        <family val="2"/>
      </rPr>
      <t xml:space="preserve">组合）</t>
    </r>
  </si>
  <si>
    <r>
      <rPr>
        <b val="true"/>
        <sz val="18"/>
        <color rgb="FF1F3864"/>
        <rFont val="Linux Libertine G"/>
        <family val="2"/>
      </rPr>
      <t xml:space="preserve">样板间投顾组合 </t>
    </r>
    <r>
      <rPr>
        <b val="true"/>
        <sz val="18"/>
        <color rgb="FF1F3864"/>
        <rFont val="Arial"/>
        <family val="2"/>
        <charset val="1"/>
      </rPr>
      <t xml:space="preserve">· </t>
    </r>
    <r>
      <rPr>
        <b val="true"/>
        <sz val="18"/>
        <color rgb="FF1F3864"/>
        <rFont val="Linux Libertine G"/>
        <family val="2"/>
      </rPr>
      <t xml:space="preserve">净值监控模板</t>
    </r>
  </si>
  <si>
    <r>
      <rPr>
        <i val="true"/>
        <sz val="9"/>
        <color rgb="FF595959"/>
        <rFont val="Linux Libertine G"/>
        <family val="2"/>
      </rPr>
      <t xml:space="preserve">运作起始日（实盘）：产业趋势基石</t>
    </r>
    <r>
      <rPr>
        <i val="true"/>
        <sz val="9"/>
        <color rgb="FF595959"/>
        <rFont val="Arial"/>
        <family val="2"/>
        <charset val="1"/>
      </rPr>
      <t xml:space="preserve">/10-90</t>
    </r>
    <r>
      <rPr>
        <i val="true"/>
        <sz val="9"/>
        <color rgb="FF595959"/>
        <rFont val="Linux Libertine G"/>
        <family val="2"/>
      </rPr>
      <t xml:space="preserve">基石 </t>
    </r>
    <r>
      <rPr>
        <i val="true"/>
        <sz val="9"/>
        <color rgb="FF595959"/>
        <rFont val="Arial"/>
        <family val="2"/>
        <charset val="1"/>
      </rPr>
      <t xml:space="preserve">2026/6/18 · </t>
    </r>
    <r>
      <rPr>
        <i val="true"/>
        <sz val="9"/>
        <color rgb="FF595959"/>
        <rFont val="Linux Libertine G"/>
        <family val="2"/>
      </rPr>
      <t xml:space="preserve">产业趋势 </t>
    </r>
    <r>
      <rPr>
        <i val="true"/>
        <sz val="9"/>
        <color rgb="FF595959"/>
        <rFont val="Arial"/>
        <family val="2"/>
        <charset val="1"/>
      </rPr>
      <t xml:space="preserve">6/22 · </t>
    </r>
    <r>
      <rPr>
        <i val="true"/>
        <sz val="9"/>
        <color rgb="FF595959"/>
        <rFont val="Linux Libertine G"/>
        <family val="2"/>
      </rPr>
      <t xml:space="preserve">产业趋势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Linux Libertine G"/>
        <family val="2"/>
      </rPr>
      <t xml:space="preserve">号 </t>
    </r>
    <r>
      <rPr>
        <i val="true"/>
        <sz val="9"/>
        <color rgb="FF595959"/>
        <rFont val="Arial"/>
        <family val="2"/>
        <charset val="1"/>
      </rPr>
      <t xml:space="preserve">6/23 · 10-90/30-70 6/24 </t>
    </r>
    <r>
      <rPr>
        <i val="true"/>
        <sz val="9"/>
        <color rgb="FF595959"/>
        <rFont val="Linux Libertine G"/>
        <family val="2"/>
      </rPr>
      <t xml:space="preserve">｜ 净值口径：复权单位净值</t>
    </r>
    <r>
      <rPr>
        <i val="true"/>
        <sz val="9"/>
        <color rgb="FF595959"/>
        <rFont val="Arial"/>
        <family val="2"/>
        <charset val="1"/>
      </rPr>
      <t xml:space="preserve">(iFinD) </t>
    </r>
    <r>
      <rPr>
        <i val="true"/>
        <sz val="9"/>
        <color rgb="FF595959"/>
        <rFont val="Linux Libertine G"/>
        <family val="2"/>
      </rPr>
      <t xml:space="preserve">｜ 买入持有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Linux Libertine G"/>
        <family val="2"/>
      </rPr>
      <t xml:space="preserve">权重漂移</t>
    </r>
    <r>
      <rPr>
        <i val="true"/>
        <sz val="9"/>
        <color rgb="FF595959"/>
        <rFont val="Arial"/>
        <family val="2"/>
        <charset val="1"/>
      </rPr>
      <t xml:space="preserve">)</t>
    </r>
    <r>
      <rPr>
        <i val="true"/>
        <sz val="9"/>
        <color rgb="FF595959"/>
        <rFont val="Linux Libertine G"/>
        <family val="2"/>
      </rPr>
      <t xml:space="preserve">，各组合自其起始日净值</t>
    </r>
    <r>
      <rPr>
        <i val="true"/>
        <sz val="9"/>
        <color rgb="FF595959"/>
        <rFont val="Arial"/>
        <family val="2"/>
        <charset val="1"/>
      </rPr>
      <t xml:space="preserve">=1</t>
    </r>
  </si>
  <si>
    <t xml:space="preserve">一、模板结构</t>
  </si>
  <si>
    <t xml:space="preserve">持仓配置</t>
  </si>
  <si>
    <r>
      <rPr>
        <sz val="10"/>
        <color rgb="FF000000"/>
        <rFont val="Linux Libertine G"/>
        <family val="2"/>
      </rPr>
      <t xml:space="preserve">实盘</t>
    </r>
    <r>
      <rPr>
        <sz val="10"/>
        <color rgb="FF000000"/>
        <rFont val="微软雅黑"/>
        <family val="2"/>
        <charset val="1"/>
      </rPr>
      <t xml:space="preserve">6</t>
    </r>
    <r>
      <rPr>
        <sz val="10"/>
        <color rgb="FF000000"/>
        <rFont val="Linux Libertine G"/>
        <family val="2"/>
      </rPr>
      <t xml:space="preserve">组合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产业趋势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产业趋势基石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产业趋势</t>
    </r>
    <r>
      <rPr>
        <sz val="10"/>
        <color rgb="FF000000"/>
        <rFont val="微软雅黑"/>
        <family val="2"/>
        <charset val="1"/>
      </rPr>
      <t xml:space="preserve">2</t>
    </r>
    <r>
      <rPr>
        <sz val="10"/>
        <color rgb="FF000000"/>
        <rFont val="Linux Libertine G"/>
        <family val="2"/>
      </rPr>
      <t xml:space="preserve">号</t>
    </r>
    <r>
      <rPr>
        <sz val="10"/>
        <color rgb="FF000000"/>
        <rFont val="微软雅黑"/>
        <family val="2"/>
        <charset val="1"/>
      </rPr>
      <t xml:space="preserve">/10-90/10-90</t>
    </r>
    <r>
      <rPr>
        <sz val="10"/>
        <color rgb="FF000000"/>
        <rFont val="Linux Libertine G"/>
        <family val="2"/>
      </rPr>
      <t xml:space="preserve">基石</t>
    </r>
    <r>
      <rPr>
        <sz val="10"/>
        <color rgb="FF000000"/>
        <rFont val="微软雅黑"/>
        <family val="2"/>
        <charset val="1"/>
      </rPr>
      <t xml:space="preserve">/30-70)</t>
    </r>
    <r>
      <rPr>
        <sz val="10"/>
        <color rgb="FF000000"/>
        <rFont val="Linux Libertine G"/>
        <family val="2"/>
      </rPr>
      <t xml:space="preserve">成份基金、代码、初始权重、年化费率、净值起始日，可直接编辑。</t>
    </r>
  </si>
  <si>
    <r>
      <rPr>
        <b val="true"/>
        <sz val="10"/>
        <color rgb="FF000000"/>
        <rFont val="Linux Libertine G"/>
        <family val="2"/>
      </rPr>
      <t xml:space="preserve">净值数据</t>
    </r>
    <r>
      <rPr>
        <b val="true"/>
        <sz val="10"/>
        <color rgb="FF000000"/>
        <rFont val="Arial"/>
        <family val="2"/>
        <charset val="1"/>
      </rPr>
      <t xml:space="preserve">(iFinD</t>
    </r>
    <r>
      <rPr>
        <b val="true"/>
        <sz val="10"/>
        <color rgb="FF000000"/>
        <rFont val="Linux Libertine G"/>
        <family val="2"/>
      </rPr>
      <t xml:space="preserve">公式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</si>
  <si>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同花顺公式拉取复权单位净值</t>
  </si>
  <si>
    <t xml:space="preserve">组合净值</t>
  </si>
  <si>
    <r>
      <rPr>
        <sz val="10"/>
        <color rgb="FF000000"/>
        <rFont val="Linux Libertine G"/>
        <family val="2"/>
      </rPr>
      <t xml:space="preserve"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扣费后口径</t>
    </r>
    <r>
      <rPr>
        <sz val="10"/>
        <color rgb="FF000000"/>
        <rFont val="微软雅黑"/>
        <family val="2"/>
        <charset val="1"/>
      </rPr>
      <t xml:space="preserve">)</t>
    </r>
    <r>
      <rPr>
        <sz val="10"/>
        <color rgb="FF000000"/>
        <rFont val="Linux Libertine G"/>
        <family val="2"/>
      </rPr>
      <t xml:space="preserve">。</t>
    </r>
  </si>
  <si>
    <r>
      <rPr>
        <b val="true"/>
        <sz val="10"/>
        <color rgb="FF000000"/>
        <rFont val="Linux Libertine G"/>
        <family val="2"/>
      </rPr>
      <t xml:space="preserve">看板</t>
    </r>
    <r>
      <rPr>
        <b val="true"/>
        <sz val="10"/>
        <color rgb="FF000000"/>
        <rFont val="Arial"/>
        <family val="2"/>
        <charset val="1"/>
      </rPr>
      <t xml:space="preserve">-10/20/30/</t>
    </r>
    <r>
      <rPr>
        <b val="true"/>
        <sz val="10"/>
        <color rgb="FF000000"/>
        <rFont val="Linux Libertine G"/>
        <family val="2"/>
      </rPr>
      <t xml:space="preserve">增值</t>
    </r>
  </si>
  <si>
    <r>
      <rPr>
        <sz val="10"/>
        <color rgb="FF000000"/>
        <rFont val="微软雅黑"/>
        <family val="2"/>
        <charset val="1"/>
      </rPr>
      <t xml:space="preserve">6</t>
    </r>
    <r>
      <rPr>
        <sz val="10"/>
        <color rgb="FF000000"/>
        <rFont val="Linux Libertine G"/>
        <family val="2"/>
      </rPr>
      <t xml:space="preserve">个组合各一页：业绩</t>
    </r>
    <r>
      <rPr>
        <sz val="10"/>
        <color rgb="FF000000"/>
        <rFont val="微软雅黑"/>
        <family val="2"/>
        <charset val="1"/>
      </rPr>
      <t xml:space="preserve">KPI</t>
    </r>
    <r>
      <rPr>
        <sz val="10"/>
        <color rgb="FF000000"/>
        <rFont val="Linux Libertine G"/>
        <family val="2"/>
      </rPr>
      <t xml:space="preserve">＋收益表现＋风险特征＋净值曲线。</t>
    </r>
  </si>
  <si>
    <t xml:space="preserve">二、使用说明</t>
  </si>
  <si>
    <t xml:space="preserve">每日更新</t>
  </si>
  <si>
    <r>
      <rPr>
        <sz val="10"/>
        <color rgb="FF000000"/>
        <rFont val="Linux Libertine G"/>
        <family val="2"/>
      </rPr>
      <t xml:space="preserve">在『净值数据』『组合净值』底部按日期顺序新增一行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公式可下拉</t>
    </r>
    <r>
      <rPr>
        <sz val="10"/>
        <color rgb="FF000000"/>
        <rFont val="微软雅黑"/>
        <family val="2"/>
        <charset val="1"/>
      </rPr>
      <t xml:space="preserve">)</t>
    </r>
    <r>
      <rPr>
        <sz val="10"/>
        <color rgb="FF000000"/>
        <rFont val="Linux Libertine G"/>
        <family val="2"/>
      </rPr>
      <t xml:space="preserve">，看板自动刷新。</t>
    </r>
  </si>
  <si>
    <r>
      <rPr>
        <b val="true"/>
        <sz val="10"/>
        <color rgb="FF000000"/>
        <rFont val="Arial"/>
        <family val="2"/>
        <charset val="1"/>
      </rPr>
      <t xml:space="preserve">iFinD</t>
    </r>
    <r>
      <rPr>
        <b val="true"/>
        <sz val="10"/>
        <color rgb="FF000000"/>
        <rFont val="Linux Libertine G"/>
        <family val="2"/>
      </rPr>
      <t xml:space="preserve">指标</t>
    </r>
  </si>
  <si>
    <r>
      <rPr>
        <sz val="10"/>
        <color rgb="FF000000"/>
        <rFont val="Linux Libertine G"/>
        <family val="2"/>
      </rPr>
      <t xml:space="preserve">复权净值指标代码集中在『净值数据』</t>
    </r>
    <r>
      <rPr>
        <sz val="10"/>
        <color rgb="FF000000"/>
        <rFont val="微软雅黑"/>
        <family val="2"/>
        <charset val="1"/>
      </rPr>
      <t xml:space="preserve">B2</t>
    </r>
    <r>
      <rPr>
        <sz val="10"/>
        <color rgb="FF000000"/>
        <rFont val="Linux Libertine G"/>
        <family val="2"/>
      </rPr>
      <t xml:space="preserve">，与本地版本不符时只改此处。</t>
    </r>
  </si>
  <si>
    <t xml:space="preserve">买入持有口径</t>
  </si>
  <si>
    <r>
      <rPr>
        <sz val="10"/>
        <color rgb="FF000000"/>
        <rFont val="Linux Libertine G"/>
        <family val="2"/>
      </rPr>
      <t xml:space="preserve"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 xml:space="preserve">=1.0000</t>
    </r>
    <r>
      <rPr>
        <sz val="10"/>
        <color rgb="FF000000"/>
        <rFont val="Linux Libertine G"/>
        <family val="2"/>
      </rPr>
      <t xml:space="preserve">。</t>
    </r>
  </si>
  <si>
    <t xml:space="preserve">扣费方式</t>
  </si>
  <si>
    <r>
      <rPr>
        <sz val="10"/>
        <color rgb="FF000000"/>
        <rFont val="Linux Libertine G"/>
        <family val="2"/>
      </rPr>
      <t xml:space="preserve">各组合年化费率见『实盘持仓配置』</t>
    </r>
    <r>
      <rPr>
        <sz val="10"/>
        <color rgb="FF000000"/>
        <rFont val="微软雅黑"/>
        <family val="2"/>
        <charset val="1"/>
      </rPr>
      <t xml:space="preserve">Z</t>
    </r>
    <r>
      <rPr>
        <sz val="10"/>
        <color rgb="FF000000"/>
        <rFont val="Linux Libertine G"/>
        <family val="2"/>
      </rPr>
      <t xml:space="preserve">列；按 净值</t>
    </r>
    <r>
      <rPr>
        <sz val="10"/>
        <color rgb="FF000000"/>
        <rFont val="微软雅黑"/>
        <family val="2"/>
        <charset val="1"/>
      </rPr>
      <t xml:space="preserve">×(1-</t>
    </r>
    <r>
      <rPr>
        <sz val="10"/>
        <color rgb="FF000000"/>
        <rFont val="Linux Libertine G"/>
        <family val="2"/>
      </rPr>
      <t xml:space="preserve">费率</t>
    </r>
    <r>
      <rPr>
        <sz val="10"/>
        <color rgb="FF000000"/>
        <rFont val="微软雅黑"/>
        <family val="2"/>
        <charset val="1"/>
      </rPr>
      <t xml:space="preserve">)^(</t>
    </r>
    <r>
      <rPr>
        <sz val="10"/>
        <color rgb="FF000000"/>
        <rFont val="Linux Libertine G"/>
        <family val="2"/>
      </rPr>
      <t xml:space="preserve">已运作交易日数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 xml:space="preserve">折每日计入，看板均为扣费后口径。</t>
    </r>
  </si>
  <si>
    <r>
      <rPr>
        <b val="true"/>
        <sz val="10"/>
        <color rgb="FF000000"/>
        <rFont val="Linux Libertine G"/>
        <family val="2"/>
      </rPr>
      <t xml:space="preserve">参数：无风险利率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Linux Libertine G"/>
        <family val="2"/>
      </rPr>
      <t xml:space="preserve">年化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</si>
  <si>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参数：年化交易日数</t>
  </si>
  <si>
    <t xml:space="preserve">净值曲线</t>
  </si>
  <si>
    <r>
      <rPr>
        <sz val="10"/>
        <color rgb="FF000000"/>
        <rFont val="Linux Libertine G"/>
        <family val="2"/>
      </rPr>
      <t xml:space="preserve">净值曲线改用日期轴</t>
    </r>
    <r>
      <rPr>
        <sz val="10"/>
        <color rgb="FF000000"/>
        <rFont val="微软雅黑"/>
        <family val="2"/>
        <charset val="1"/>
      </rPr>
      <t xml:space="preserve">+</t>
    </r>
    <r>
      <rPr>
        <sz val="10"/>
        <color rgb="FF000000"/>
        <rFont val="Linux Libertine G"/>
        <family val="2"/>
      </rPr>
      <t xml:space="preserve">直接区域引用，横轴自起始日起、自动延伸到最新交易日，无需手改图表数据区。</t>
    </r>
  </si>
  <si>
    <r>
      <rPr>
        <i val="true"/>
        <sz val="9"/>
        <color rgb="FF595959"/>
        <rFont val="Linux Libertine G"/>
        <family val="2"/>
      </rPr>
      <t xml:space="preserve">数据来源：同花顺 </t>
    </r>
    <r>
      <rPr>
        <i val="true"/>
        <sz val="9"/>
        <color rgb="FF595959"/>
        <rFont val="Arial"/>
        <family val="2"/>
        <charset val="1"/>
      </rPr>
      <t xml:space="preserve">iFinD(</t>
    </r>
    <r>
      <rPr>
        <i val="true"/>
        <sz val="9"/>
        <color rgb="FF595959"/>
        <rFont val="Linux Libertine G"/>
        <family val="2"/>
      </rPr>
      <t xml:space="preserve">复权单位净值</t>
    </r>
    <r>
      <rPr>
        <i val="true"/>
        <sz val="9"/>
        <color rgb="FF595959"/>
        <rFont val="Arial"/>
        <family val="2"/>
        <charset val="1"/>
      </rPr>
      <t xml:space="preserve">)</t>
    </r>
  </si>
  <si>
    <r>
      <rPr>
        <b val="true"/>
        <sz val="11"/>
        <color theme="1"/>
        <rFont val="Linux Libertine G"/>
        <family val="2"/>
      </rPr>
      <t xml:space="preserve">三个产业趋势组合 </t>
    </r>
    <r>
      <rPr>
        <b val="true"/>
        <sz val="11"/>
        <color theme="1"/>
        <rFont val="宋体"/>
        <family val="2"/>
        <charset val="1"/>
      </rPr>
      <t xml:space="preserve">· </t>
    </r>
    <r>
      <rPr>
        <b val="true"/>
        <sz val="11"/>
        <color theme="1"/>
        <rFont val="Linux Libertine G"/>
        <family val="2"/>
      </rPr>
      <t xml:space="preserve">动态持仓权重监控（单只权重超过</t>
    </r>
    <r>
      <rPr>
        <b val="true"/>
        <sz val="11"/>
        <color theme="1"/>
        <rFont val="宋体"/>
        <family val="2"/>
        <charset val="1"/>
      </rPr>
      <t xml:space="preserve">20%</t>
    </r>
    <r>
      <rPr>
        <b val="true"/>
        <sz val="11"/>
        <color theme="1"/>
        <rFont val="Linux Libertine G"/>
        <family val="2"/>
      </rPr>
      <t xml:space="preserve">自动标红预警）</t>
    </r>
  </si>
  <si>
    <r>
      <rPr>
        <sz val="11"/>
        <color theme="1"/>
        <rFont val="Linux Libertine G"/>
        <family val="2"/>
      </rPr>
      <t xml:space="preserve">末行序号</t>
    </r>
    <r>
      <rPr>
        <sz val="11"/>
        <color theme="1"/>
        <rFont val="宋体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自动</t>
    </r>
    <r>
      <rPr>
        <sz val="11"/>
        <color theme="1"/>
        <rFont val="宋体"/>
        <family val="2"/>
        <charset val="1"/>
      </rPr>
      <t xml:space="preserve">)</t>
    </r>
  </si>
  <si>
    <t xml:space="preserve">截止净值日期：</t>
  </si>
  <si>
    <t xml:space="preserve">产业趋势毛净值</t>
  </si>
  <si>
    <t xml:space="preserve">基石毛净值</t>
  </si>
  <si>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号毛净值</t>
    </r>
  </si>
  <si>
    <t xml:space="preserve">初始权重</t>
  </si>
  <si>
    <r>
      <rPr>
        <b val="true"/>
        <sz val="11"/>
        <color theme="1"/>
        <rFont val="Linux Libertine G"/>
        <family val="2"/>
      </rPr>
      <t xml:space="preserve">动态权重</t>
    </r>
    <r>
      <rPr>
        <b val="true"/>
        <sz val="11"/>
        <color theme="1"/>
        <rFont val="宋体"/>
        <family val="2"/>
        <charset val="1"/>
      </rPr>
      <t xml:space="preserve">(</t>
    </r>
    <r>
      <rPr>
        <b val="true"/>
        <sz val="11"/>
        <color theme="1"/>
        <rFont val="Linux Libertine G"/>
        <family val="2"/>
      </rPr>
      <t xml:space="preserve">截止前一交易日</t>
    </r>
    <r>
      <rPr>
        <b val="true"/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</si>
  <si>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国泰半导体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</si>
  <si>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国泰通信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</si>
  <si>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b val="true"/>
        <sz val="11"/>
        <color theme="1"/>
        <rFont val="Linux Libertine G"/>
        <family val="2"/>
      </rPr>
      <t xml:space="preserve">产业趋势基石组合（起始日 </t>
    </r>
    <r>
      <rPr>
        <b val="true"/>
        <sz val="11"/>
        <color theme="1"/>
        <rFont val="宋体"/>
        <family val="2"/>
        <charset val="1"/>
      </rPr>
      <t xml:space="preserve">2026-06-18</t>
    </r>
    <r>
      <rPr>
        <b val="true"/>
        <sz val="11"/>
        <color theme="1"/>
        <rFont val="Linux Libertine G"/>
        <family val="2"/>
      </rPr>
      <t xml:space="preserve">）</t>
    </r>
  </si>
  <si>
    <r>
      <rPr>
        <b val="true"/>
        <sz val="11"/>
        <color theme="1"/>
        <rFont val="Linux Libertine G"/>
        <family val="2"/>
      </rPr>
      <t xml:space="preserve">产业趋势</t>
    </r>
    <r>
      <rPr>
        <b val="true"/>
        <sz val="11"/>
        <color theme="1"/>
        <rFont val="宋体"/>
        <family val="2"/>
        <charset val="1"/>
      </rPr>
      <t xml:space="preserve">2</t>
    </r>
    <r>
      <rPr>
        <b val="true"/>
        <sz val="11"/>
        <color theme="1"/>
        <rFont val="Linux Libertine G"/>
        <family val="2"/>
      </rPr>
      <t xml:space="preserve">号组合（起始日 </t>
    </r>
    <r>
      <rPr>
        <b val="true"/>
        <sz val="11"/>
        <color theme="1"/>
        <rFont val="宋体"/>
        <family val="2"/>
        <charset val="1"/>
      </rPr>
      <t xml:space="preserve">2026-06-23</t>
    </r>
    <r>
      <rPr>
        <b val="true"/>
        <sz val="11"/>
        <color theme="1"/>
        <rFont val="Linux Libertine G"/>
        <family val="2"/>
      </rPr>
      <t xml:space="preserve">）</t>
    </r>
  </si>
  <si>
    <r>
      <rPr>
        <sz val="11"/>
        <color theme="1"/>
        <rFont val="Linux Libertine G"/>
        <family val="2"/>
      </rPr>
      <t xml:space="preserve">国泰半导体</t>
    </r>
    <r>
      <rPr>
        <sz val="11"/>
        <color theme="1"/>
        <rFont val="宋体"/>
        <family val="2"/>
        <charset val="1"/>
      </rPr>
      <t xml:space="preserve">C</t>
    </r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</si>
</sst>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 * #,##0.00_ ;_ * \-#,##0.00_ ;_ * \-??_ ;_ @_ "/>
    <numFmt numFmtId="166" formatCode="_ * #,##0_ ;_ * \-#,##0_ ;_ * \-_ ;_ @_ "/>
    <numFmt numFmtId="167" formatCode="_ \￥* #,##0.00_ ;_ \￥* \-#,##0.00_ ;_ \￥* \-??_ ;_ @_ "/>
    <numFmt numFmtId="168" formatCode="_ \￥* #,##0_ ;_ \￥* \-#,##0_ ;_ \￥* \-_ ;_ @_ "/>
    <numFmt numFmtId="169" formatCode="0%"/>
    <numFmt numFmtId="170" formatCode="0.00%"/>
    <numFmt numFmtId="171" formatCode="0.0%"/>
    <numFmt numFmtId="172" formatCode="yyyy\-mm\-dd"/>
    <numFmt numFmtId="173" formatCode="yyyy\-m\-d"/>
    <numFmt numFmtId="174" formatCode="0.0000"/>
    <numFmt numFmtId="175" formatCode="0.00000000%"/>
    <numFmt numFmtId="176" formatCode="yyyy\-mm\-dd\ h:mm:ss"/>
    <numFmt numFmtId="177" formatCode="0.00"/>
    <numFmt numFmtId="178" formatCode="0"/>
  </numFmts>
  <fonts count="44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Linux Libertine G"/>
      <family val="0"/>
      <charset val="1"/>
    </font>
    <font>
      <b val="true"/>
      <sz val="15"/>
      <color rgb="FFFFFFFF"/>
      <name val="Linux Libertine G"/>
      <family val="2"/>
    </font>
    <font>
      <b val="true"/>
      <sz val="15"/>
      <color rgb="FFFFFFFF"/>
      <name val="Arial"/>
      <family val="2"/>
      <charset val="1"/>
    </font>
    <font>
      <b val="true"/>
      <sz val="10"/>
      <color rgb="FFFFFFFF"/>
      <name val="Linux Libertine G"/>
      <family val="2"/>
    </font>
    <font>
      <b val="true"/>
      <sz val="10"/>
      <color rgb="FF000000"/>
      <name val="Linux Libertine G"/>
      <family val="2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Linux Libertine G"/>
      <family val="2"/>
    </font>
    <font>
      <i val="true"/>
      <sz val="9"/>
      <color rgb="FF595959"/>
      <name val="Arial"/>
      <family val="2"/>
      <charset val="1"/>
    </font>
    <font>
      <sz val="11"/>
      <color theme="1"/>
      <name val="宋体"/>
      <family val="0"/>
      <charset val="1"/>
    </font>
    <font>
      <sz val="10"/>
      <color rgb="FF006100"/>
      <name val="Arial"/>
      <family val="0"/>
      <charset val="1"/>
    </font>
    <font>
      <b val="true"/>
      <sz val="11"/>
      <color rgb="FFFFFFFF"/>
      <name val="Linux Libertine G"/>
      <family val="2"/>
    </font>
    <font>
      <b val="true"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 val="true"/>
      <sz val="17"/>
      <color rgb="FFFFFFFF"/>
      <name val="Linux Libertine G"/>
      <family val="2"/>
    </font>
    <font>
      <b val="true"/>
      <sz val="20"/>
      <color rgb="FF1F3864"/>
      <name val="微软雅黑"/>
      <family val="0"/>
      <charset val="1"/>
    </font>
    <font>
      <b val="true"/>
      <sz val="20"/>
      <color rgb="FFC00000"/>
      <name val="微软雅黑"/>
      <family val="0"/>
      <charset val="1"/>
    </font>
    <font>
      <b val="true"/>
      <sz val="16"/>
      <color rgb="FF000000"/>
      <name val="Linux Libertine G"/>
      <family val="2"/>
    </font>
    <font>
      <sz val="16"/>
      <color rgb="FF000000"/>
      <name val="微软雅黑"/>
      <family val="0"/>
      <charset val="1"/>
    </font>
    <font>
      <b val="true"/>
      <sz val="16"/>
      <color rgb="FF000000"/>
      <name val="微软雅黑"/>
      <family val="0"/>
      <charset val="1"/>
    </font>
    <font>
      <b val="true"/>
      <sz val="16"/>
      <color rgb="FF000000"/>
      <name val="微软雅黑"/>
      <family val="2"/>
      <charset val="1"/>
    </font>
    <font>
      <sz val="16"/>
      <color theme="1"/>
      <name val="Linux Libertine G"/>
      <family val="2"/>
    </font>
    <font>
      <b val="true"/>
      <sz val="18"/>
      <color rgb="FF000000"/>
      <name val="Calibri"/>
      <family val="2"/>
    </font>
    <font>
      <sz val="6.75"/>
      <color rgb="FF000000"/>
      <name val="Calibri"/>
      <family val="2"/>
    </font>
    <font>
      <sz val="10"/>
      <color rgb="FF000000"/>
      <name val="Calibri"/>
      <family val="2"/>
    </font>
    <font>
      <b val="true"/>
      <sz val="17"/>
      <color rgb="FFFFFFFF"/>
      <name val="Arial"/>
      <family val="2"/>
      <charset val="1"/>
    </font>
    <font>
      <b val="true"/>
      <sz val="18"/>
      <color rgb="FF1F3864"/>
      <name val="Linux Libertine G"/>
      <family val="2"/>
    </font>
    <font>
      <b val="true"/>
      <sz val="18"/>
      <color rgb="FF1F3864"/>
      <name val="Arial"/>
      <family val="2"/>
      <charset val="1"/>
    </font>
    <font>
      <b val="true"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 val="true"/>
      <sz val="11"/>
      <color theme="1"/>
      <name val="Linux Libertine G"/>
      <family val="2"/>
    </font>
    <font>
      <b val="true"/>
      <sz val="11"/>
      <color theme="1"/>
      <name val="宋体"/>
      <family val="2"/>
      <charset val="1"/>
    </font>
    <font>
      <b val="true"/>
      <sz val="11"/>
      <color theme="1"/>
      <name val="宋体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3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2" fillId="6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3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3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产业趋势 组合净值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4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'看板-产业趋势'!_ChartDates</c:f>
              <c:strCache>
                <c:ptCount val="995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  <c:pt idx="9">
                  <c:v>2026-07-03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2026-07-13</c:v>
                </c:pt>
                <c:pt idx="16">
                  <c:v>2026-07-14</c:v>
                </c:pt>
                <c:pt idx="17">
                  <c:v>2026-07-15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>各组合自其净值起始日起=1.0000；买入持有，权重随涨跌漂移；净值已按各自年化费率折每日扣费。新增日期下拉填充。</c:v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</c:strCache>
            </c:strRef>
          </c:cat>
          <c:val>
            <c:numRef>
              <c:f>'看板-产业趋势'!_ChartValues</c:f>
              <c:numCache>
                <c:formatCode>0.0000</c:formatCode>
                <c:ptCount val="995"/>
                <c:pt idx="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620869"/>
        <c:axId val="61534954"/>
      </c:lineChart>
      <c:catAx>
        <c:axId val="65620869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1534954"/>
        <c:crosses val="autoZero"/>
        <c:auto val="1"/>
        <c:lblAlgn val="ctr"/>
        <c:lblOffset val="100"/>
        <c:noMultiLvlLbl val="0"/>
      </c:catAx>
      <c:valAx>
        <c:axId val="61534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5620869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产业趋势基石 组合净值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5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'看板-产业趋势基石'!_ChartDates</c:f>
              <c:strCache>
                <c:ptCount val="996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>各组合自其净值起始日起=1.0000；买入持有，权重随涨跌漂移；净值已按各自年化费率折每日扣费。新增日期下拉填充。</c:v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</c:strCache>
            </c:strRef>
          </c:cat>
          <c:val>
            <c:numRef>
              <c:f>'看板-产业趋势基石'!_ChartValues</c:f>
              <c:numCache>
                <c:formatCode>0.0000</c:formatCode>
                <c:ptCount val="996"/>
                <c:pt idx="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108843"/>
        <c:axId val="59803033"/>
      </c:lineChart>
      <c:catAx>
        <c:axId val="84108843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9803033"/>
        <c:crosses val="autoZero"/>
        <c:auto val="1"/>
        <c:lblAlgn val="ctr"/>
        <c:lblOffset val="100"/>
        <c:noMultiLvlLbl val="0"/>
      </c:catAx>
      <c:valAx>
        <c:axId val="59803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4108843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产业趋势2号 组合净值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3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'看板-产业趋势2号'!_ChartDates</c:f>
              <c:strCache>
                <c:ptCount val="994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  <c:pt idx="8">
                  <c:v>2026-07-03</c:v>
                </c:pt>
                <c:pt idx="9">
                  <c:v>2026-07-06</c:v>
                </c:pt>
                <c:pt idx="10">
                  <c:v>2026-07-07</c:v>
                </c:pt>
                <c:pt idx="11">
                  <c:v>2026-07-08</c:v>
                </c:pt>
                <c:pt idx="12">
                  <c:v>2026-07-09</c:v>
                </c:pt>
                <c:pt idx="13">
                  <c:v>2026-07-10</c:v>
                </c:pt>
                <c:pt idx="14">
                  <c:v>2026-07-13</c:v>
                </c:pt>
                <c:pt idx="15">
                  <c:v>2026-07-14</c:v>
                </c:pt>
                <c:pt idx="16">
                  <c:v>2026-07-15</c:v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>各组合自其净值起始日起=1.0000；买入持有，权重随涨跌漂移；净值已按各自年化费率折每日扣费。新增日期下拉填充。</c:v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</c:strCache>
            </c:strRef>
          </c:cat>
          <c:val>
            <c:numRef>
              <c:f>'看板-产业趋势2号'!_ChartValues</c:f>
              <c:numCache>
                <c:formatCode>0.0000</c:formatCode>
                <c:ptCount val="994"/>
                <c:pt idx="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635368"/>
        <c:axId val="68529010"/>
      </c:lineChart>
      <c:catAx>
        <c:axId val="45635368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8529010"/>
        <c:crosses val="autoZero"/>
        <c:auto val="1"/>
        <c:lblAlgn val="ctr"/>
        <c:lblOffset val="100"/>
        <c:noMultiLvlLbl val="0"/>
      </c:catAx>
      <c:valAx>
        <c:axId val="68529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635368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10-90 组合净值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2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'看板-10-90'!_ChartDates</c:f>
              <c:strCache>
                <c:ptCount val="993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>各组合自其净值起始日起=1.0000；买入持有，权重随涨跌漂移；净值已按各自年化费率折每日扣费。新增日期下拉填充。</c:v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</c:strCache>
            </c:strRef>
          </c:cat>
          <c:val>
            <c:numRef>
              <c:f>'看板-10-90'!_ChartValues</c:f>
              <c:numCache>
                <c:formatCode>0.0000</c:formatCode>
                <c:ptCount val="993"/>
                <c:pt idx="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641597"/>
        <c:axId val="91324464"/>
      </c:lineChart>
      <c:catAx>
        <c:axId val="31641597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1324464"/>
        <c:crosses val="autoZero"/>
        <c:auto val="1"/>
        <c:lblAlgn val="ctr"/>
        <c:lblOffset val="100"/>
        <c:noMultiLvlLbl val="0"/>
      </c:catAx>
      <c:valAx>
        <c:axId val="91324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164159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10-90基石 组合净值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5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'看板-10-90基石'!_ChartDates</c:f>
              <c:strCache>
                <c:ptCount val="996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>各组合自其净值起始日起=1.0000；买入持有，权重随涨跌漂移；净值已按各自年化费率折每日扣费。新增日期下拉填充。</c:v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</c:strCache>
            </c:strRef>
          </c:cat>
          <c:val>
            <c:numRef>
              <c:f>'看板-10-90基石'!_ChartValues</c:f>
              <c:numCache>
                <c:formatCode>0.0000</c:formatCode>
                <c:ptCount val="996"/>
                <c:pt idx="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333053"/>
        <c:axId val="88986946"/>
      </c:lineChart>
      <c:catAx>
        <c:axId val="19333053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8986946"/>
        <c:crosses val="autoZero"/>
        <c:auto val="1"/>
        <c:lblAlgn val="ctr"/>
        <c:lblOffset val="100"/>
        <c:noMultiLvlLbl val="0"/>
      </c:catAx>
      <c:valAx>
        <c:axId val="88986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9333053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30-70 组合净值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"净值"</c:f>
              <c:strCache>
                <c:ptCount val="1"/>
                <c:pt idx="0">
                  <c:v>净值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9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0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1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2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3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4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5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6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7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89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92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'看板-30-70'!_ChartDates</c:f>
              <c:strCache>
                <c:ptCount val="993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>各组合自其净值起始日起=1.0000；买入持有，权重随涨跌漂移；净值已按各自年化费率折每日扣费。新增日期下拉填充。</c:v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</c:strCache>
            </c:strRef>
          </c:cat>
          <c:val>
            <c:numRef>
              <c:f>'看板-30-70'!_ChartValues</c:f>
              <c:numCache>
                <c:formatCode>0.0000</c:formatCode>
                <c:ptCount val="993"/>
                <c:pt idx="0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778117"/>
        <c:axId val="27125431"/>
      </c:lineChart>
      <c:catAx>
        <c:axId val="30778117"/>
        <c:scaling>
          <c:orientation val="minMax"/>
        </c:scaling>
        <c:delete val="0"/>
        <c:axPos val="b"/>
        <c:numFmt formatCode="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7125431"/>
        <c:crosses val="autoZero"/>
        <c:auto val="1"/>
        <c:lblAlgn val="ctr"/>
        <c:lblOffset val="100"/>
        <c:noMultiLvlLbl val="0"/>
      </c:catAx>
      <c:valAx>
        <c:axId val="27125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077811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>
      <xdr:nvGraphicFramePr>
        <xdr:cNvPr id="1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>
      <xdr:nvGraphicFramePr>
        <xdr:cNvPr id="2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>
      <xdr:nvGraphicFramePr>
        <xdr:cNvPr id="3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>
      <xdr:nvGraphicFramePr>
        <xdr:cNvPr id="4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>
      <xdr:nvGraphicFramePr>
        <xdr:cNvPr id="5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>
      <xdr:nvGraphicFramePr>
        <xdr:cNvPr id="6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iFinD/ThsFunc.xla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7.55"/>
    <col collapsed="false" customWidth="true" hidden="false" outlineLevel="0" max="24" min="2" style="0" width="12.06"/>
    <col collapsed="false" customWidth="true" hidden="false" outlineLevel="0" max="26" min="25" style="0" width="9.87"/>
    <col collapsed="false" customWidth="true" hidden="false" outlineLevel="0" max="27" min="27" style="0" width="13.16"/>
  </cols>
  <sheetData>
    <row r="1" customFormat="false" ht="18.75" hidden="false" customHeight="true" outlineLevel="0" collapsed="false">
      <c r="A1" s="1" t="s">
        <v>0</v>
      </c>
      <c r="B1" s="1"/>
      <c r="C1" s="1"/>
    </row>
    <row r="2" customFormat="false" ht="39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</row>
    <row r="3" customFormat="false" ht="13.5" hidden="false" customHeight="false" outlineLevel="0" collapsed="false">
      <c r="A3" s="2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/>
      <c r="Z3" s="4"/>
      <c r="AA3" s="4"/>
    </row>
    <row r="4" customFormat="false" ht="13.5" hidden="false" customHeight="false" outlineLevel="0" collapsed="false">
      <c r="A4" s="5" t="s">
        <v>52</v>
      </c>
      <c r="B4" s="6" t="n">
        <v>0</v>
      </c>
      <c r="C4" s="6" t="n">
        <v>0.02</v>
      </c>
      <c r="D4" s="6" t="n">
        <v>0.19</v>
      </c>
      <c r="E4" s="6" t="n">
        <v>0</v>
      </c>
      <c r="F4" s="6" t="n">
        <v>0</v>
      </c>
      <c r="G4" s="6" t="n">
        <v>0.11</v>
      </c>
      <c r="H4" s="6" t="n">
        <v>0</v>
      </c>
      <c r="I4" s="6" t="n">
        <v>0</v>
      </c>
      <c r="J4" s="6" t="n">
        <v>0.19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0.19</v>
      </c>
      <c r="Q4" s="6" t="n">
        <v>0.19</v>
      </c>
      <c r="R4" s="6" t="n">
        <v>0</v>
      </c>
      <c r="S4" s="6" t="n">
        <v>0</v>
      </c>
      <c r="T4" s="6" t="n">
        <v>0.11</v>
      </c>
      <c r="U4" s="6" t="n">
        <v>0</v>
      </c>
      <c r="V4" s="6" t="n">
        <v>0</v>
      </c>
      <c r="W4" s="6" t="n">
        <v>0</v>
      </c>
      <c r="X4" s="6" t="n">
        <v>0</v>
      </c>
      <c r="Y4" s="7" t="n">
        <f aca="false">SUM(B4:X4)</f>
        <v>1</v>
      </c>
      <c r="Z4" s="8" t="n">
        <v>0.015</v>
      </c>
      <c r="AA4" s="9" t="n">
        <v>46195</v>
      </c>
    </row>
    <row r="5" customFormat="false" ht="13.5" hidden="false" customHeight="false" outlineLevel="0" collapsed="false">
      <c r="A5" s="5" t="s">
        <v>53</v>
      </c>
      <c r="B5" s="6" t="n">
        <v>0</v>
      </c>
      <c r="C5" s="6" t="n">
        <v>0.02</v>
      </c>
      <c r="D5" s="6" t="n">
        <v>0.19</v>
      </c>
      <c r="E5" s="6" t="n">
        <v>0</v>
      </c>
      <c r="F5" s="6" t="n">
        <v>0</v>
      </c>
      <c r="G5" s="6" t="n">
        <v>0.11</v>
      </c>
      <c r="H5" s="6" t="n">
        <v>0</v>
      </c>
      <c r="I5" s="6" t="n">
        <v>0</v>
      </c>
      <c r="J5" s="6" t="n">
        <v>0.19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0.19</v>
      </c>
      <c r="Q5" s="6" t="n">
        <v>0.19</v>
      </c>
      <c r="R5" s="6" t="n">
        <v>0</v>
      </c>
      <c r="S5" s="6" t="n">
        <v>0</v>
      </c>
      <c r="T5" s="6" t="n">
        <v>0.11</v>
      </c>
      <c r="U5" s="6" t="n">
        <v>0</v>
      </c>
      <c r="V5" s="6" t="n">
        <v>0</v>
      </c>
      <c r="W5" s="6" t="n">
        <v>0</v>
      </c>
      <c r="X5" s="6" t="n">
        <v>0</v>
      </c>
      <c r="Y5" s="7" t="n">
        <f aca="false">SUM(B5:X5)</f>
        <v>1</v>
      </c>
      <c r="Z5" s="8" t="n">
        <v>0.012</v>
      </c>
      <c r="AA5" s="9" t="n">
        <v>46191</v>
      </c>
    </row>
    <row r="6" customFormat="false" ht="13.5" hidden="false" customHeight="false" outlineLevel="0" collapsed="false">
      <c r="A6" s="5" t="s">
        <v>54</v>
      </c>
      <c r="B6" s="6" t="n">
        <v>0</v>
      </c>
      <c r="C6" s="6" t="n">
        <v>0.02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0.11</v>
      </c>
      <c r="I6" s="6" t="n">
        <v>0.19</v>
      </c>
      <c r="J6" s="6" t="n">
        <v>0</v>
      </c>
      <c r="K6" s="6" t="n">
        <v>0.19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0.19</v>
      </c>
      <c r="S6" s="6" t="n">
        <v>0.19</v>
      </c>
      <c r="T6" s="6" t="n">
        <v>0</v>
      </c>
      <c r="U6" s="6" t="n">
        <v>0.11</v>
      </c>
      <c r="V6" s="6" t="n">
        <v>0</v>
      </c>
      <c r="W6" s="6" t="n">
        <v>0</v>
      </c>
      <c r="X6" s="6" t="n">
        <v>0</v>
      </c>
      <c r="Y6" s="7" t="n">
        <f aca="false">SUM(B6:X6)</f>
        <v>1</v>
      </c>
      <c r="Z6" s="8" t="n">
        <v>0.015</v>
      </c>
      <c r="AA6" s="9" t="n">
        <v>46196</v>
      </c>
    </row>
    <row r="7" customFormat="false" ht="13.5" hidden="false" customHeight="false" outlineLevel="0" collapsed="false">
      <c r="A7" s="10" t="s">
        <v>55</v>
      </c>
      <c r="B7" s="6" t="n">
        <v>0.05</v>
      </c>
      <c r="C7" s="6" t="n">
        <v>0.02</v>
      </c>
      <c r="D7" s="6" t="n">
        <v>0</v>
      </c>
      <c r="E7" s="6" t="n">
        <v>0</v>
      </c>
      <c r="F7" s="6" t="n">
        <v>0.0125</v>
      </c>
      <c r="G7" s="6" t="n">
        <v>0</v>
      </c>
      <c r="H7" s="6" t="n">
        <v>0.005</v>
      </c>
      <c r="I7" s="6" t="n">
        <v>0.01</v>
      </c>
      <c r="J7" s="6" t="n">
        <v>0</v>
      </c>
      <c r="K7" s="6" t="n">
        <v>0.01</v>
      </c>
      <c r="L7" s="6" t="n">
        <v>0</v>
      </c>
      <c r="M7" s="6" t="n">
        <v>0.0125</v>
      </c>
      <c r="N7" s="6" t="n">
        <v>0</v>
      </c>
      <c r="O7" s="6" t="n">
        <v>0.0125</v>
      </c>
      <c r="P7" s="6" t="n">
        <v>0</v>
      </c>
      <c r="Q7" s="6" t="n">
        <v>0</v>
      </c>
      <c r="R7" s="6" t="n">
        <v>0.01</v>
      </c>
      <c r="S7" s="6" t="n">
        <v>0.01</v>
      </c>
      <c r="T7" s="6" t="n">
        <v>0</v>
      </c>
      <c r="U7" s="6" t="n">
        <v>0.005</v>
      </c>
      <c r="V7" s="6" t="n">
        <v>0</v>
      </c>
      <c r="W7" s="6" t="n">
        <v>0.0125</v>
      </c>
      <c r="X7" s="6" t="n">
        <v>0.83</v>
      </c>
      <c r="Y7" s="7" t="n">
        <f aca="false">SUM(B7:X7)</f>
        <v>1</v>
      </c>
      <c r="Z7" s="8" t="n">
        <v>0.008</v>
      </c>
      <c r="AA7" s="9" t="n">
        <v>46197</v>
      </c>
    </row>
    <row r="8" customFormat="false" ht="13.5" hidden="false" customHeight="false" outlineLevel="0" collapsed="false">
      <c r="A8" s="10" t="s">
        <v>56</v>
      </c>
      <c r="B8" s="6" t="n">
        <v>0.05</v>
      </c>
      <c r="C8" s="6" t="n">
        <v>0.02</v>
      </c>
      <c r="D8" s="6" t="n">
        <v>0.01</v>
      </c>
      <c r="E8" s="6" t="n">
        <v>0.0125</v>
      </c>
      <c r="F8" s="6" t="n">
        <v>0</v>
      </c>
      <c r="G8" s="6" t="n">
        <v>0.005</v>
      </c>
      <c r="H8" s="6" t="n">
        <v>0</v>
      </c>
      <c r="I8" s="6" t="n">
        <v>0</v>
      </c>
      <c r="J8" s="6" t="n">
        <v>0.01</v>
      </c>
      <c r="K8" s="6" t="n">
        <v>0</v>
      </c>
      <c r="L8" s="6" t="n">
        <v>0.0125</v>
      </c>
      <c r="M8" s="6" t="n">
        <v>0</v>
      </c>
      <c r="N8" s="6" t="n">
        <v>0.0125</v>
      </c>
      <c r="O8" s="6" t="n">
        <v>0</v>
      </c>
      <c r="P8" s="6" t="n">
        <v>0.01</v>
      </c>
      <c r="Q8" s="6" t="n">
        <v>0.01</v>
      </c>
      <c r="R8" s="6" t="n">
        <v>0</v>
      </c>
      <c r="S8" s="6" t="n">
        <v>0</v>
      </c>
      <c r="T8" s="6" t="n">
        <v>0.005</v>
      </c>
      <c r="U8" s="6" t="n">
        <v>0</v>
      </c>
      <c r="V8" s="6" t="n">
        <v>0.0125</v>
      </c>
      <c r="W8" s="6" t="n">
        <v>0</v>
      </c>
      <c r="X8" s="6" t="n">
        <v>0.83</v>
      </c>
      <c r="Y8" s="7" t="n">
        <f aca="false">SUM(B8:X8)</f>
        <v>1</v>
      </c>
      <c r="Z8" s="8" t="n">
        <v>0.005</v>
      </c>
      <c r="AA8" s="9" t="n">
        <v>46191</v>
      </c>
    </row>
    <row r="9" customFormat="false" ht="13.5" hidden="false" customHeight="false" outlineLevel="0" collapsed="false">
      <c r="A9" s="10" t="s">
        <v>57</v>
      </c>
      <c r="B9" s="6" t="n">
        <v>0.1</v>
      </c>
      <c r="C9" s="6" t="n">
        <v>0.02</v>
      </c>
      <c r="D9" s="6" t="n">
        <v>0</v>
      </c>
      <c r="E9" s="6" t="n">
        <v>0</v>
      </c>
      <c r="F9" s="6" t="n">
        <v>0.0375</v>
      </c>
      <c r="G9" s="6" t="n">
        <v>0</v>
      </c>
      <c r="H9" s="6" t="n">
        <v>0.015</v>
      </c>
      <c r="I9" s="6" t="n">
        <v>0.03</v>
      </c>
      <c r="J9" s="6" t="n">
        <v>0</v>
      </c>
      <c r="K9" s="6" t="n">
        <v>0.03</v>
      </c>
      <c r="L9" s="6" t="n">
        <v>0</v>
      </c>
      <c r="M9" s="6" t="n">
        <v>0.0375</v>
      </c>
      <c r="N9" s="6" t="n">
        <v>0</v>
      </c>
      <c r="O9" s="6" t="n">
        <v>0.0375</v>
      </c>
      <c r="P9" s="6" t="n">
        <v>0</v>
      </c>
      <c r="Q9" s="6" t="n">
        <v>0</v>
      </c>
      <c r="R9" s="6" t="n">
        <v>0.03</v>
      </c>
      <c r="S9" s="6" t="n">
        <v>0.03</v>
      </c>
      <c r="T9" s="6" t="n">
        <v>0</v>
      </c>
      <c r="U9" s="6" t="n">
        <v>0.015</v>
      </c>
      <c r="V9" s="6" t="n">
        <v>0</v>
      </c>
      <c r="W9" s="6" t="n">
        <v>0.0375</v>
      </c>
      <c r="X9" s="6" t="n">
        <v>0.58</v>
      </c>
      <c r="Y9" s="7" t="n">
        <f aca="false">SUM(B9:X9)</f>
        <v>1</v>
      </c>
      <c r="Z9" s="8" t="n">
        <v>0.012</v>
      </c>
      <c r="AA9" s="9" t="n">
        <v>46197</v>
      </c>
    </row>
    <row r="11" customFormat="false" ht="14.25" hidden="false" customHeight="true" outlineLevel="0" collapsed="false">
      <c r="A11" s="11" t="s">
        <v>58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3.16"/>
  </cols>
  <sheetData>
    <row r="1" customFormat="false" ht="19.5" hidden="false" customHeight="true" outlineLevel="0" collapsed="false">
      <c r="A1" s="12" t="s">
        <v>59</v>
      </c>
      <c r="B1" s="12"/>
      <c r="C1" s="12"/>
      <c r="D1" s="12"/>
    </row>
    <row r="2" customFormat="false" ht="13.5" hidden="false" customHeight="false" outlineLevel="0" collapsed="false">
      <c r="A2" s="13" t="n">
        <f aca="true">TODAY()</f>
        <v>46220</v>
      </c>
    </row>
    <row r="3" customFormat="false" ht="24.75" hidden="false" customHeight="true" outlineLevel="0" collapsed="false">
      <c r="A3" s="2" t="s">
        <v>60</v>
      </c>
      <c r="B3" s="14" t="str">
        <f aca="false">实盘持仓配置!B3</f>
        <v>000216.OF</v>
      </c>
      <c r="C3" s="14" t="str">
        <f aca="false">实盘持仓配置!C3</f>
        <v>000917.OF</v>
      </c>
      <c r="D3" s="14" t="str">
        <f aca="false">实盘持仓配置!D3</f>
        <v>001170.OF</v>
      </c>
      <c r="E3" s="14" t="str">
        <f aca="false">实盘持仓配置!E3</f>
        <v>007044.OF</v>
      </c>
      <c r="F3" s="14" t="str">
        <f aca="false">实盘持仓配置!F3</f>
        <v>007045.OF</v>
      </c>
      <c r="G3" s="14" t="str">
        <f aca="false">实盘持仓配置!G3</f>
        <v>007817.OF</v>
      </c>
      <c r="H3" s="14" t="str">
        <f aca="false">实盘持仓配置!H3</f>
        <v>007818.OF</v>
      </c>
      <c r="I3" s="14" t="str">
        <f aca="false">实盘持仓配置!I3</f>
        <v>009993.OF</v>
      </c>
      <c r="J3" s="14" t="str">
        <f aca="false">实盘持仓配置!J3</f>
        <v>013840.OF</v>
      </c>
      <c r="K3" s="14" t="str">
        <f aca="false">实盘持仓配置!K3</f>
        <v>013841.OF</v>
      </c>
      <c r="L3" s="14" t="str">
        <f aca="false">实盘持仓配置!L3</f>
        <v>014201.OF</v>
      </c>
      <c r="M3" s="14" t="str">
        <f aca="false">实盘持仓配置!M3</f>
        <v>014202.OF</v>
      </c>
      <c r="N3" s="14" t="str">
        <f aca="false">实盘持仓配置!N3</f>
        <v>015453.OF</v>
      </c>
      <c r="O3" s="14" t="str">
        <f aca="false">实盘持仓配置!O3</f>
        <v>015454.OF</v>
      </c>
      <c r="P3" s="14" t="str">
        <f aca="false">实盘持仓配置!P3</f>
        <v>016370.OF</v>
      </c>
      <c r="Q3" s="14" t="str">
        <f aca="false">实盘持仓配置!Q3</f>
        <v>017488.OF</v>
      </c>
      <c r="R3" s="14" t="str">
        <f aca="false">实盘持仓配置!R3</f>
        <v>017489.OF</v>
      </c>
      <c r="S3" s="14" t="str">
        <f aca="false">实盘持仓配置!S3</f>
        <v>017612.OF</v>
      </c>
      <c r="T3" s="14" t="str">
        <f aca="false">实盘持仓配置!T3</f>
        <v>019632.OF</v>
      </c>
      <c r="U3" s="14" t="str">
        <f aca="false">实盘持仓配置!U3</f>
        <v>019633.OF</v>
      </c>
      <c r="V3" s="14" t="str">
        <f aca="false">实盘持仓配置!V3</f>
        <v>019923.OF</v>
      </c>
      <c r="W3" s="14" t="str">
        <f aca="false">实盘持仓配置!W3</f>
        <v>019924.OF</v>
      </c>
      <c r="X3" s="14" t="str">
        <f aca="false">实盘持仓配置!X3</f>
        <v>161119.OF</v>
      </c>
      <c r="Y3" s="14" t="s">
        <v>61</v>
      </c>
    </row>
    <row r="4" customFormat="false" ht="51.75" hidden="false" customHeight="true" outlineLevel="0" collapsed="false">
      <c r="A4" s="2" t="e">
        <f aca="false">[1]!_xludf.HX_AutoDate(1,"2026-06-18",A2,-1,-1,0,0,0,0,0,"SSE",19,0)</f>
        <v>#VALUE!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62</v>
      </c>
    </row>
    <row r="5" customFormat="false" ht="13.5" hidden="false" customHeight="false" outlineLevel="0" collapsed="false">
      <c r="A5" s="9" t="n">
        <v>46191</v>
      </c>
      <c r="B5" s="15" t="e">
        <f aca="false">IF($A5="","",[1]!_xludf.thsiFinD("ths_adjustment_nv_fund",B$3,$A5))</f>
        <v>#VALUE!</v>
      </c>
      <c r="C5" s="15" t="e">
        <f aca="false">IF($A5="","",[1]!_xludf.thsiFinD("ths_adjustment_nv_fund",C$3,$A5))</f>
        <v>#VALUE!</v>
      </c>
      <c r="D5" s="15" t="e">
        <f aca="false">IF($A5="","",[1]!_xludf.thsiFinD("ths_adjustment_nv_fund",D$3,$A5))</f>
        <v>#VALUE!</v>
      </c>
      <c r="E5" s="15" t="e">
        <f aca="false">IF($A5="","",[1]!_xludf.thsiFinD("ths_adjustment_nv_fund",E$3,$A5))</f>
        <v>#VALUE!</v>
      </c>
      <c r="F5" s="15" t="e">
        <f aca="false">IF($A5="","",[1]!_xludf.thsiFinD("ths_adjustment_nv_fund",F$3,$A5))</f>
        <v>#VALUE!</v>
      </c>
      <c r="G5" s="15" t="e">
        <f aca="false">IF($A5="","",[1]!_xludf.thsiFinD("ths_adjustment_nv_fund",G$3,$A5))</f>
        <v>#VALUE!</v>
      </c>
      <c r="H5" s="15" t="e">
        <f aca="false">IF($A5="","",[1]!_xludf.thsiFinD("ths_adjustment_nv_fund",H$3,$A5))</f>
        <v>#VALUE!</v>
      </c>
      <c r="I5" s="15" t="e">
        <f aca="false">IF($A5="","",[1]!_xludf.thsiFinD("ths_adjustment_nv_fund",I$3,$A5))</f>
        <v>#VALUE!</v>
      </c>
      <c r="J5" s="15" t="e">
        <f aca="false">IF($A5="","",[1]!_xludf.thsiFinD("ths_adjustment_nv_fund",J$3,$A5))</f>
        <v>#VALUE!</v>
      </c>
      <c r="K5" s="15" t="e">
        <f aca="false">IF($A5="","",[1]!_xludf.thsiFinD("ths_adjustment_nv_fund",K$3,$A5))</f>
        <v>#VALUE!</v>
      </c>
      <c r="L5" s="15" t="e">
        <f aca="false">IF($A5="","",[1]!_xludf.thsiFinD("ths_adjustment_nv_fund",L$3,$A5))</f>
        <v>#VALUE!</v>
      </c>
      <c r="M5" s="15" t="e">
        <f aca="false">IF($A5="","",[1]!_xludf.thsiFinD("ths_adjustment_nv_fund",M$3,$A5))</f>
        <v>#VALUE!</v>
      </c>
      <c r="N5" s="15" t="e">
        <f aca="false">IF($A5="","",[1]!_xludf.thsiFinD("ths_adjustment_nv_fund",N$3,$A5))</f>
        <v>#VALUE!</v>
      </c>
      <c r="O5" s="15" t="e">
        <f aca="false">IF($A5="","",[1]!_xludf.thsiFinD("ths_adjustment_nv_fund",O$3,$A5))</f>
        <v>#VALUE!</v>
      </c>
      <c r="P5" s="15" t="e">
        <f aca="false">IF($A5="","",[1]!_xludf.thsiFinD("ths_adjustment_nv_fund",P$3,$A5))</f>
        <v>#VALUE!</v>
      </c>
      <c r="Q5" s="15" t="e">
        <f aca="false">IF($A5="","",[1]!_xludf.thsiFinD("ths_adjustment_nv_fund",Q$3,$A5))</f>
        <v>#VALUE!</v>
      </c>
      <c r="R5" s="15" t="e">
        <f aca="false">IF($A5="","",[1]!_xludf.thsiFinD("ths_adjustment_nv_fund",R$3,$A5))</f>
        <v>#VALUE!</v>
      </c>
      <c r="S5" s="15" t="e">
        <f aca="false">IF($A5="","",[1]!_xludf.thsiFinD("ths_adjustment_nv_fund",S$3,$A5))</f>
        <v>#VALUE!</v>
      </c>
      <c r="T5" s="15" t="e">
        <f aca="false">IF($A5="","",[1]!_xludf.thsiFinD("ths_adjustment_nv_fund",T$3,$A5))</f>
        <v>#VALUE!</v>
      </c>
      <c r="U5" s="15" t="e">
        <f aca="false">IF($A5="","",[1]!_xludf.thsiFinD("ths_adjustment_nv_fund",U$3,$A5))</f>
        <v>#VALUE!</v>
      </c>
      <c r="V5" s="15" t="e">
        <f aca="false">IF($A5="","",[1]!_xludf.thsiFinD("ths_adjustment_nv_fund",V$3,$A5))</f>
        <v>#VALUE!</v>
      </c>
      <c r="W5" s="15" t="e">
        <f aca="false">IF($A5="","",[1]!_xludf.thsiFinD("ths_adjustment_nv_fund",W$3,$A5))</f>
        <v>#VALUE!</v>
      </c>
      <c r="X5" s="15" t="e">
        <f aca="false">IF($A5="","",[1]!_xludf.thsiFinD("ths_adjustment_nv_fund",X$3,$A5))</f>
        <v>#VALUE!</v>
      </c>
      <c r="Y5" s="15" t="e">
        <f aca="false">IF($A5="","",[1]!_xludf.thsiFinD("ths_adjustment_nv_fund",Y$3,$A5))</f>
        <v>#VALUE!</v>
      </c>
    </row>
    <row r="6" customFormat="false" ht="13.5" hidden="false" customHeight="false" outlineLevel="0" collapsed="false">
      <c r="A6" s="9" t="n">
        <v>46195</v>
      </c>
      <c r="B6" s="15" t="e">
        <f aca="false">IF($A6="","",[1]!_xludf.thsiFinD("ths_adjustment_nv_fund",B$3,$A6))</f>
        <v>#VALUE!</v>
      </c>
      <c r="C6" s="15" t="e">
        <f aca="false">IF($A6="","",[1]!_xludf.thsiFinD("ths_adjustment_nv_fund",C$3,$A6))</f>
        <v>#VALUE!</v>
      </c>
      <c r="D6" s="15" t="e">
        <f aca="false">IF($A6="","",[1]!_xludf.thsiFinD("ths_adjustment_nv_fund",D$3,$A6))</f>
        <v>#VALUE!</v>
      </c>
      <c r="E6" s="15" t="e">
        <f aca="false">IF($A6="","",[1]!_xludf.thsiFinD("ths_adjustment_nv_fund",E$3,$A6))</f>
        <v>#VALUE!</v>
      </c>
      <c r="F6" s="15" t="e">
        <f aca="false">IF($A6="","",[1]!_xludf.thsiFinD("ths_adjustment_nv_fund",F$3,$A6))</f>
        <v>#VALUE!</v>
      </c>
      <c r="G6" s="15" t="e">
        <f aca="false">IF($A6="","",[1]!_xludf.thsiFinD("ths_adjustment_nv_fund",G$3,$A6))</f>
        <v>#VALUE!</v>
      </c>
      <c r="H6" s="15" t="e">
        <f aca="false">IF($A6="","",[1]!_xludf.thsiFinD("ths_adjustment_nv_fund",H$3,$A6))</f>
        <v>#VALUE!</v>
      </c>
      <c r="I6" s="15" t="e">
        <f aca="false">IF($A6="","",[1]!_xludf.thsiFinD("ths_adjustment_nv_fund",I$3,$A6))</f>
        <v>#VALUE!</v>
      </c>
      <c r="J6" s="15" t="e">
        <f aca="false">IF($A6="","",[1]!_xludf.thsiFinD("ths_adjustment_nv_fund",J$3,$A6))</f>
        <v>#VALUE!</v>
      </c>
      <c r="K6" s="15" t="e">
        <f aca="false">IF($A6="","",[1]!_xludf.thsiFinD("ths_adjustment_nv_fund",K$3,$A6))</f>
        <v>#VALUE!</v>
      </c>
      <c r="L6" s="15" t="e">
        <f aca="false">IF($A6="","",[1]!_xludf.thsiFinD("ths_adjustment_nv_fund",L$3,$A6))</f>
        <v>#VALUE!</v>
      </c>
      <c r="M6" s="15" t="e">
        <f aca="false">IF($A6="","",[1]!_xludf.thsiFinD("ths_adjustment_nv_fund",M$3,$A6))</f>
        <v>#VALUE!</v>
      </c>
      <c r="N6" s="15" t="e">
        <f aca="false">IF($A6="","",[1]!_xludf.thsiFinD("ths_adjustment_nv_fund",N$3,$A6))</f>
        <v>#VALUE!</v>
      </c>
      <c r="O6" s="15" t="e">
        <f aca="false">IF($A6="","",[1]!_xludf.thsiFinD("ths_adjustment_nv_fund",O$3,$A6))</f>
        <v>#VALUE!</v>
      </c>
      <c r="P6" s="15" t="e">
        <f aca="false">IF($A6="","",[1]!_xludf.thsiFinD("ths_adjustment_nv_fund",P$3,$A6))</f>
        <v>#VALUE!</v>
      </c>
      <c r="Q6" s="15" t="e">
        <f aca="false">IF($A6="","",[1]!_xludf.thsiFinD("ths_adjustment_nv_fund",Q$3,$A6))</f>
        <v>#VALUE!</v>
      </c>
      <c r="R6" s="15" t="e">
        <f aca="false">IF($A6="","",[1]!_xludf.thsiFinD("ths_adjustment_nv_fund",R$3,$A6))</f>
        <v>#VALUE!</v>
      </c>
      <c r="S6" s="15" t="e">
        <f aca="false">IF($A6="","",[1]!_xludf.thsiFinD("ths_adjustment_nv_fund",S$3,$A6))</f>
        <v>#VALUE!</v>
      </c>
      <c r="T6" s="15" t="e">
        <f aca="false">IF($A6="","",[1]!_xludf.thsiFinD("ths_adjustment_nv_fund",T$3,$A6))</f>
        <v>#VALUE!</v>
      </c>
      <c r="U6" s="15" t="e">
        <f aca="false">IF($A6="","",[1]!_xludf.thsiFinD("ths_adjustment_nv_fund",U$3,$A6))</f>
        <v>#VALUE!</v>
      </c>
      <c r="V6" s="15" t="e">
        <f aca="false">IF($A6="","",[1]!_xludf.thsiFinD("ths_adjustment_nv_fund",V$3,$A6))</f>
        <v>#VALUE!</v>
      </c>
      <c r="W6" s="15" t="e">
        <f aca="false">IF($A6="","",[1]!_xludf.thsiFinD("ths_adjustment_nv_fund",W$3,$A6))</f>
        <v>#VALUE!</v>
      </c>
      <c r="X6" s="15" t="e">
        <f aca="false">IF($A6="","",[1]!_xludf.thsiFinD("ths_adjustment_nv_fund",X$3,$A6))</f>
        <v>#VALUE!</v>
      </c>
      <c r="Y6" s="15" t="e">
        <f aca="false">IF($A6="","",[1]!_xludf.thsiFinD("ths_adjustment_nv_fund",Y$3,$A6))</f>
        <v>#VALUE!</v>
      </c>
    </row>
    <row r="7" customFormat="false" ht="13.5" hidden="false" customHeight="false" outlineLevel="0" collapsed="false">
      <c r="A7" s="9" t="n">
        <v>46196</v>
      </c>
      <c r="B7" s="15" t="e">
        <f aca="false">IF($A7="","",[1]!_xludf.thsiFinD("ths_adjustment_nv_fund",B$3,$A7))</f>
        <v>#VALUE!</v>
      </c>
      <c r="C7" s="15" t="e">
        <f aca="false">IF($A7="","",[1]!_xludf.thsiFinD("ths_adjustment_nv_fund",C$3,$A7))</f>
        <v>#VALUE!</v>
      </c>
      <c r="D7" s="15" t="e">
        <f aca="false">IF($A7="","",[1]!_xludf.thsiFinD("ths_adjustment_nv_fund",D$3,$A7))</f>
        <v>#VALUE!</v>
      </c>
      <c r="E7" s="15" t="e">
        <f aca="false">IF($A7="","",[1]!_xludf.thsiFinD("ths_adjustment_nv_fund",E$3,$A7))</f>
        <v>#VALUE!</v>
      </c>
      <c r="F7" s="15" t="e">
        <f aca="false">IF($A7="","",[1]!_xludf.thsiFinD("ths_adjustment_nv_fund",F$3,$A7))</f>
        <v>#VALUE!</v>
      </c>
      <c r="G7" s="15" t="e">
        <f aca="false">IF($A7="","",[1]!_xludf.thsiFinD("ths_adjustment_nv_fund",G$3,$A7))</f>
        <v>#VALUE!</v>
      </c>
      <c r="H7" s="15" t="e">
        <f aca="false">IF($A7="","",[1]!_xludf.thsiFinD("ths_adjustment_nv_fund",H$3,$A7))</f>
        <v>#VALUE!</v>
      </c>
      <c r="I7" s="15" t="e">
        <f aca="false">IF($A7="","",[1]!_xludf.thsiFinD("ths_adjustment_nv_fund",I$3,$A7))</f>
        <v>#VALUE!</v>
      </c>
      <c r="J7" s="15" t="e">
        <f aca="false">IF($A7="","",[1]!_xludf.thsiFinD("ths_adjustment_nv_fund",J$3,$A7))</f>
        <v>#VALUE!</v>
      </c>
      <c r="K7" s="15" t="e">
        <f aca="false">IF($A7="","",[1]!_xludf.thsiFinD("ths_adjustment_nv_fund",K$3,$A7))</f>
        <v>#VALUE!</v>
      </c>
      <c r="L7" s="15" t="e">
        <f aca="false">IF($A7="","",[1]!_xludf.thsiFinD("ths_adjustment_nv_fund",L$3,$A7))</f>
        <v>#VALUE!</v>
      </c>
      <c r="M7" s="15" t="e">
        <f aca="false">IF($A7="","",[1]!_xludf.thsiFinD("ths_adjustment_nv_fund",M$3,$A7))</f>
        <v>#VALUE!</v>
      </c>
      <c r="N7" s="15" t="e">
        <f aca="false">IF($A7="","",[1]!_xludf.thsiFinD("ths_adjustment_nv_fund",N$3,$A7))</f>
        <v>#VALUE!</v>
      </c>
      <c r="O7" s="15" t="e">
        <f aca="false">IF($A7="","",[1]!_xludf.thsiFinD("ths_adjustment_nv_fund",O$3,$A7))</f>
        <v>#VALUE!</v>
      </c>
      <c r="P7" s="15" t="e">
        <f aca="false">IF($A7="","",[1]!_xludf.thsiFinD("ths_adjustment_nv_fund",P$3,$A7))</f>
        <v>#VALUE!</v>
      </c>
      <c r="Q7" s="15" t="e">
        <f aca="false">IF($A7="","",[1]!_xludf.thsiFinD("ths_adjustment_nv_fund",Q$3,$A7))</f>
        <v>#VALUE!</v>
      </c>
      <c r="R7" s="15" t="e">
        <f aca="false">IF($A7="","",[1]!_xludf.thsiFinD("ths_adjustment_nv_fund",R$3,$A7))</f>
        <v>#VALUE!</v>
      </c>
      <c r="S7" s="15" t="e">
        <f aca="false">IF($A7="","",[1]!_xludf.thsiFinD("ths_adjustment_nv_fund",S$3,$A7))</f>
        <v>#VALUE!</v>
      </c>
      <c r="T7" s="15" t="e">
        <f aca="false">IF($A7="","",[1]!_xludf.thsiFinD("ths_adjustment_nv_fund",T$3,$A7))</f>
        <v>#VALUE!</v>
      </c>
      <c r="U7" s="15" t="e">
        <f aca="false">IF($A7="","",[1]!_xludf.thsiFinD("ths_adjustment_nv_fund",U$3,$A7))</f>
        <v>#VALUE!</v>
      </c>
      <c r="V7" s="15" t="e">
        <f aca="false">IF($A7="","",[1]!_xludf.thsiFinD("ths_adjustment_nv_fund",V$3,$A7))</f>
        <v>#VALUE!</v>
      </c>
      <c r="W7" s="15" t="e">
        <f aca="false">IF($A7="","",[1]!_xludf.thsiFinD("ths_adjustment_nv_fund",W$3,$A7))</f>
        <v>#VALUE!</v>
      </c>
      <c r="X7" s="15" t="e">
        <f aca="false">IF($A7="","",[1]!_xludf.thsiFinD("ths_adjustment_nv_fund",X$3,$A7))</f>
        <v>#VALUE!</v>
      </c>
      <c r="Y7" s="15" t="e">
        <f aca="false">IF($A7="","",[1]!_xludf.thsiFinD("ths_adjustment_nv_fund",Y$3,$A7))</f>
        <v>#VALUE!</v>
      </c>
    </row>
    <row r="8" customFormat="false" ht="13.5" hidden="false" customHeight="false" outlineLevel="0" collapsed="false">
      <c r="A8" s="9" t="n">
        <v>46197</v>
      </c>
      <c r="B8" s="15" t="e">
        <f aca="false">IF($A8="","",[1]!_xludf.thsiFinD("ths_adjustment_nv_fund",B$3,$A8))</f>
        <v>#VALUE!</v>
      </c>
      <c r="C8" s="15" t="e">
        <f aca="false">IF($A8="","",[1]!_xludf.thsiFinD("ths_adjustment_nv_fund",C$3,$A8))</f>
        <v>#VALUE!</v>
      </c>
      <c r="D8" s="15" t="e">
        <f aca="false">IF($A8="","",[1]!_xludf.thsiFinD("ths_adjustment_nv_fund",D$3,$A8))</f>
        <v>#VALUE!</v>
      </c>
      <c r="E8" s="15" t="e">
        <f aca="false">IF($A8="","",[1]!_xludf.thsiFinD("ths_adjustment_nv_fund",E$3,$A8))</f>
        <v>#VALUE!</v>
      </c>
      <c r="F8" s="15" t="e">
        <f aca="false">IF($A8="","",[1]!_xludf.thsiFinD("ths_adjustment_nv_fund",F$3,$A8))</f>
        <v>#VALUE!</v>
      </c>
      <c r="G8" s="15" t="e">
        <f aca="false">IF($A8="","",[1]!_xludf.thsiFinD("ths_adjustment_nv_fund",G$3,$A8))</f>
        <v>#VALUE!</v>
      </c>
      <c r="H8" s="15" t="e">
        <f aca="false">IF($A8="","",[1]!_xludf.thsiFinD("ths_adjustment_nv_fund",H$3,$A8))</f>
        <v>#VALUE!</v>
      </c>
      <c r="I8" s="15" t="e">
        <f aca="false">IF($A8="","",[1]!_xludf.thsiFinD("ths_adjustment_nv_fund",I$3,$A8))</f>
        <v>#VALUE!</v>
      </c>
      <c r="J8" s="15" t="e">
        <f aca="false">IF($A8="","",[1]!_xludf.thsiFinD("ths_adjustment_nv_fund",J$3,$A8))</f>
        <v>#VALUE!</v>
      </c>
      <c r="K8" s="15" t="e">
        <f aca="false">IF($A8="","",[1]!_xludf.thsiFinD("ths_adjustment_nv_fund",K$3,$A8))</f>
        <v>#VALUE!</v>
      </c>
      <c r="L8" s="15" t="e">
        <f aca="false">IF($A8="","",[1]!_xludf.thsiFinD("ths_adjustment_nv_fund",L$3,$A8))</f>
        <v>#VALUE!</v>
      </c>
      <c r="M8" s="15" t="e">
        <f aca="false">IF($A8="","",[1]!_xludf.thsiFinD("ths_adjustment_nv_fund",M$3,$A8))</f>
        <v>#VALUE!</v>
      </c>
      <c r="N8" s="15" t="e">
        <f aca="false">IF($A8="","",[1]!_xludf.thsiFinD("ths_adjustment_nv_fund",N$3,$A8))</f>
        <v>#VALUE!</v>
      </c>
      <c r="O8" s="15" t="e">
        <f aca="false">IF($A8="","",[1]!_xludf.thsiFinD("ths_adjustment_nv_fund",O$3,$A8))</f>
        <v>#VALUE!</v>
      </c>
      <c r="P8" s="15" t="e">
        <f aca="false">IF($A8="","",[1]!_xludf.thsiFinD("ths_adjustment_nv_fund",P$3,$A8))</f>
        <v>#VALUE!</v>
      </c>
      <c r="Q8" s="15" t="e">
        <f aca="false">IF($A8="","",[1]!_xludf.thsiFinD("ths_adjustment_nv_fund",Q$3,$A8))</f>
        <v>#VALUE!</v>
      </c>
      <c r="R8" s="15" t="e">
        <f aca="false">IF($A8="","",[1]!_xludf.thsiFinD("ths_adjustment_nv_fund",R$3,$A8))</f>
        <v>#VALUE!</v>
      </c>
      <c r="S8" s="15" t="e">
        <f aca="false">IF($A8="","",[1]!_xludf.thsiFinD("ths_adjustment_nv_fund",S$3,$A8))</f>
        <v>#VALUE!</v>
      </c>
      <c r="T8" s="15" t="e">
        <f aca="false">IF($A8="","",[1]!_xludf.thsiFinD("ths_adjustment_nv_fund",T$3,$A8))</f>
        <v>#VALUE!</v>
      </c>
      <c r="U8" s="15" t="e">
        <f aca="false">IF($A8="","",[1]!_xludf.thsiFinD("ths_adjustment_nv_fund",U$3,$A8))</f>
        <v>#VALUE!</v>
      </c>
      <c r="V8" s="15" t="e">
        <f aca="false">IF($A8="","",[1]!_xludf.thsiFinD("ths_adjustment_nv_fund",V$3,$A8))</f>
        <v>#VALUE!</v>
      </c>
      <c r="W8" s="15" t="e">
        <f aca="false">IF($A8="","",[1]!_xludf.thsiFinD("ths_adjustment_nv_fund",W$3,$A8))</f>
        <v>#VALUE!</v>
      </c>
      <c r="X8" s="15" t="e">
        <f aca="false">IF($A8="","",[1]!_xludf.thsiFinD("ths_adjustment_nv_fund",X$3,$A8))</f>
        <v>#VALUE!</v>
      </c>
      <c r="Y8" s="15" t="e">
        <f aca="false">IF($A8="","",[1]!_xludf.thsiFinD("ths_adjustment_nv_fund",Y$3,$A8))</f>
        <v>#VALUE!</v>
      </c>
    </row>
    <row r="9" customFormat="false" ht="13.5" hidden="false" customHeight="false" outlineLevel="0" collapsed="false">
      <c r="A9" s="9" t="n">
        <v>46198</v>
      </c>
      <c r="B9" s="15" t="e">
        <f aca="false">IF($A9="","",[1]!_xludf.thsiFinD("ths_adjustment_nv_fund",B$3,$A9))</f>
        <v>#VALUE!</v>
      </c>
      <c r="C9" s="15" t="e">
        <f aca="false">IF($A9="","",[1]!_xludf.thsiFinD("ths_adjustment_nv_fund",C$3,$A9))</f>
        <v>#VALUE!</v>
      </c>
      <c r="D9" s="15" t="e">
        <f aca="false">IF($A9="","",[1]!_xludf.thsiFinD("ths_adjustment_nv_fund",D$3,$A9))</f>
        <v>#VALUE!</v>
      </c>
      <c r="E9" s="15" t="e">
        <f aca="false">IF($A9="","",[1]!_xludf.thsiFinD("ths_adjustment_nv_fund",E$3,$A9))</f>
        <v>#VALUE!</v>
      </c>
      <c r="F9" s="15" t="e">
        <f aca="false">IF($A9="","",[1]!_xludf.thsiFinD("ths_adjustment_nv_fund",F$3,$A9))</f>
        <v>#VALUE!</v>
      </c>
      <c r="G9" s="15" t="e">
        <f aca="false">IF($A9="","",[1]!_xludf.thsiFinD("ths_adjustment_nv_fund",G$3,$A9))</f>
        <v>#VALUE!</v>
      </c>
      <c r="H9" s="15" t="e">
        <f aca="false">IF($A9="","",[1]!_xludf.thsiFinD("ths_adjustment_nv_fund",H$3,$A9))</f>
        <v>#VALUE!</v>
      </c>
      <c r="I9" s="15" t="e">
        <f aca="false">IF($A9="","",[1]!_xludf.thsiFinD("ths_adjustment_nv_fund",I$3,$A9))</f>
        <v>#VALUE!</v>
      </c>
      <c r="J9" s="15" t="e">
        <f aca="false">IF($A9="","",[1]!_xludf.thsiFinD("ths_adjustment_nv_fund",J$3,$A9))</f>
        <v>#VALUE!</v>
      </c>
      <c r="K9" s="15" t="e">
        <f aca="false">IF($A9="","",[1]!_xludf.thsiFinD("ths_adjustment_nv_fund",K$3,$A9))</f>
        <v>#VALUE!</v>
      </c>
      <c r="L9" s="15" t="e">
        <f aca="false">IF($A9="","",[1]!_xludf.thsiFinD("ths_adjustment_nv_fund",L$3,$A9))</f>
        <v>#VALUE!</v>
      </c>
      <c r="M9" s="15" t="e">
        <f aca="false">IF($A9="","",[1]!_xludf.thsiFinD("ths_adjustment_nv_fund",M$3,$A9))</f>
        <v>#VALUE!</v>
      </c>
      <c r="N9" s="15" t="e">
        <f aca="false">IF($A9="","",[1]!_xludf.thsiFinD("ths_adjustment_nv_fund",N$3,$A9))</f>
        <v>#VALUE!</v>
      </c>
      <c r="O9" s="15" t="e">
        <f aca="false">IF($A9="","",[1]!_xludf.thsiFinD("ths_adjustment_nv_fund",O$3,$A9))</f>
        <v>#VALUE!</v>
      </c>
      <c r="P9" s="15" t="e">
        <f aca="false">IF($A9="","",[1]!_xludf.thsiFinD("ths_adjustment_nv_fund",P$3,$A9))</f>
        <v>#VALUE!</v>
      </c>
      <c r="Q9" s="15" t="e">
        <f aca="false">IF($A9="","",[1]!_xludf.thsiFinD("ths_adjustment_nv_fund",Q$3,$A9))</f>
        <v>#VALUE!</v>
      </c>
      <c r="R9" s="15" t="e">
        <f aca="false">IF($A9="","",[1]!_xludf.thsiFinD("ths_adjustment_nv_fund",R$3,$A9))</f>
        <v>#VALUE!</v>
      </c>
      <c r="S9" s="15" t="e">
        <f aca="false">IF($A9="","",[1]!_xludf.thsiFinD("ths_adjustment_nv_fund",S$3,$A9))</f>
        <v>#VALUE!</v>
      </c>
      <c r="T9" s="15" t="e">
        <f aca="false">IF($A9="","",[1]!_xludf.thsiFinD("ths_adjustment_nv_fund",T$3,$A9))</f>
        <v>#VALUE!</v>
      </c>
      <c r="U9" s="15" t="e">
        <f aca="false">IF($A9="","",[1]!_xludf.thsiFinD("ths_adjustment_nv_fund",U$3,$A9))</f>
        <v>#VALUE!</v>
      </c>
      <c r="V9" s="15" t="e">
        <f aca="false">IF($A9="","",[1]!_xludf.thsiFinD("ths_adjustment_nv_fund",V$3,$A9))</f>
        <v>#VALUE!</v>
      </c>
      <c r="W9" s="15" t="e">
        <f aca="false">IF($A9="","",[1]!_xludf.thsiFinD("ths_adjustment_nv_fund",W$3,$A9))</f>
        <v>#VALUE!</v>
      </c>
      <c r="X9" s="15" t="e">
        <f aca="false">IF($A9="","",[1]!_xludf.thsiFinD("ths_adjustment_nv_fund",X$3,$A9))</f>
        <v>#VALUE!</v>
      </c>
      <c r="Y9" s="15" t="e">
        <f aca="false">IF($A9="","",[1]!_xludf.thsiFinD("ths_adjustment_nv_fund",Y$3,$A9))</f>
        <v>#VALUE!</v>
      </c>
    </row>
    <row r="10" customFormat="false" ht="13.5" hidden="false" customHeight="false" outlineLevel="0" collapsed="false">
      <c r="A10" s="9" t="n">
        <v>46199</v>
      </c>
      <c r="B10" s="15" t="e">
        <f aca="false">IF($A10="","",[1]!_xludf.thsiFinD("ths_adjustment_nv_fund",B$3,$A10))</f>
        <v>#VALUE!</v>
      </c>
      <c r="C10" s="15" t="e">
        <f aca="false">IF($A10="","",[1]!_xludf.thsiFinD("ths_adjustment_nv_fund",C$3,$A10))</f>
        <v>#VALUE!</v>
      </c>
      <c r="D10" s="15" t="e">
        <f aca="false">IF($A10="","",[1]!_xludf.thsiFinD("ths_adjustment_nv_fund",D$3,$A10))</f>
        <v>#VALUE!</v>
      </c>
      <c r="E10" s="15" t="e">
        <f aca="false">IF($A10="","",[1]!_xludf.thsiFinD("ths_adjustment_nv_fund",E$3,$A10))</f>
        <v>#VALUE!</v>
      </c>
      <c r="F10" s="15" t="e">
        <f aca="false">IF($A10="","",[1]!_xludf.thsiFinD("ths_adjustment_nv_fund",F$3,$A10))</f>
        <v>#VALUE!</v>
      </c>
      <c r="G10" s="15" t="e">
        <f aca="false">IF($A10="","",[1]!_xludf.thsiFinD("ths_adjustment_nv_fund",G$3,$A10))</f>
        <v>#VALUE!</v>
      </c>
      <c r="H10" s="15" t="e">
        <f aca="false">IF($A10="","",[1]!_xludf.thsiFinD("ths_adjustment_nv_fund",H$3,$A10))</f>
        <v>#VALUE!</v>
      </c>
      <c r="I10" s="15" t="e">
        <f aca="false">IF($A10="","",[1]!_xludf.thsiFinD("ths_adjustment_nv_fund",I$3,$A10))</f>
        <v>#VALUE!</v>
      </c>
      <c r="J10" s="15" t="e">
        <f aca="false">IF($A10="","",[1]!_xludf.thsiFinD("ths_adjustment_nv_fund",J$3,$A10))</f>
        <v>#VALUE!</v>
      </c>
      <c r="K10" s="15" t="e">
        <f aca="false">IF($A10="","",[1]!_xludf.thsiFinD("ths_adjustment_nv_fund",K$3,$A10))</f>
        <v>#VALUE!</v>
      </c>
      <c r="L10" s="15" t="e">
        <f aca="false">IF($A10="","",[1]!_xludf.thsiFinD("ths_adjustment_nv_fund",L$3,$A10))</f>
        <v>#VALUE!</v>
      </c>
      <c r="M10" s="15" t="e">
        <f aca="false">IF($A10="","",[1]!_xludf.thsiFinD("ths_adjustment_nv_fund",M$3,$A10))</f>
        <v>#VALUE!</v>
      </c>
      <c r="N10" s="15" t="e">
        <f aca="false">IF($A10="","",[1]!_xludf.thsiFinD("ths_adjustment_nv_fund",N$3,$A10))</f>
        <v>#VALUE!</v>
      </c>
      <c r="O10" s="15" t="e">
        <f aca="false">IF($A10="","",[1]!_xludf.thsiFinD("ths_adjustment_nv_fund",O$3,$A10))</f>
        <v>#VALUE!</v>
      </c>
      <c r="P10" s="15" t="e">
        <f aca="false">IF($A10="","",[1]!_xludf.thsiFinD("ths_adjustment_nv_fund",P$3,$A10))</f>
        <v>#VALUE!</v>
      </c>
      <c r="Q10" s="15" t="e">
        <f aca="false">IF($A10="","",[1]!_xludf.thsiFinD("ths_adjustment_nv_fund",Q$3,$A10))</f>
        <v>#VALUE!</v>
      </c>
      <c r="R10" s="15" t="e">
        <f aca="false">IF($A10="","",[1]!_xludf.thsiFinD("ths_adjustment_nv_fund",R$3,$A10))</f>
        <v>#VALUE!</v>
      </c>
      <c r="S10" s="15" t="e">
        <f aca="false">IF($A10="","",[1]!_xludf.thsiFinD("ths_adjustment_nv_fund",S$3,$A10))</f>
        <v>#VALUE!</v>
      </c>
      <c r="T10" s="15" t="e">
        <f aca="false">IF($A10="","",[1]!_xludf.thsiFinD("ths_adjustment_nv_fund",T$3,$A10))</f>
        <v>#VALUE!</v>
      </c>
      <c r="U10" s="15" t="e">
        <f aca="false">IF($A10="","",[1]!_xludf.thsiFinD("ths_adjustment_nv_fund",U$3,$A10))</f>
        <v>#VALUE!</v>
      </c>
      <c r="V10" s="15" t="e">
        <f aca="false">IF($A10="","",[1]!_xludf.thsiFinD("ths_adjustment_nv_fund",V$3,$A10))</f>
        <v>#VALUE!</v>
      </c>
      <c r="W10" s="15" t="e">
        <f aca="false">IF($A10="","",[1]!_xludf.thsiFinD("ths_adjustment_nv_fund",W$3,$A10))</f>
        <v>#VALUE!</v>
      </c>
      <c r="X10" s="15" t="e">
        <f aca="false">IF($A10="","",[1]!_xludf.thsiFinD("ths_adjustment_nv_fund",X$3,$A10))</f>
        <v>#VALUE!</v>
      </c>
      <c r="Y10" s="15" t="e">
        <f aca="false">IF($A10="","",[1]!_xludf.thsiFinD("ths_adjustment_nv_fund",Y$3,$A10))</f>
        <v>#VALUE!</v>
      </c>
    </row>
    <row r="11" customFormat="false" ht="13.5" hidden="false" customHeight="false" outlineLevel="0" collapsed="false">
      <c r="A11" s="9" t="n">
        <v>46202</v>
      </c>
      <c r="B11" s="15" t="e">
        <f aca="false">IF($A11="","",[1]!_xludf.thsiFinD("ths_adjustment_nv_fund",B$3,$A11))</f>
        <v>#VALUE!</v>
      </c>
      <c r="C11" s="15" t="e">
        <f aca="false">IF($A11="","",[1]!_xludf.thsiFinD("ths_adjustment_nv_fund",C$3,$A11))</f>
        <v>#VALUE!</v>
      </c>
      <c r="D11" s="15" t="e">
        <f aca="false">IF($A11="","",[1]!_xludf.thsiFinD("ths_adjustment_nv_fund",D$3,$A11))</f>
        <v>#VALUE!</v>
      </c>
      <c r="E11" s="15" t="e">
        <f aca="false">IF($A11="","",[1]!_xludf.thsiFinD("ths_adjustment_nv_fund",E$3,$A11))</f>
        <v>#VALUE!</v>
      </c>
      <c r="F11" s="15" t="e">
        <f aca="false">IF($A11="","",[1]!_xludf.thsiFinD("ths_adjustment_nv_fund",F$3,$A11))</f>
        <v>#VALUE!</v>
      </c>
      <c r="G11" s="15" t="e">
        <f aca="false">IF($A11="","",[1]!_xludf.thsiFinD("ths_adjustment_nv_fund",G$3,$A11))</f>
        <v>#VALUE!</v>
      </c>
      <c r="H11" s="15" t="e">
        <f aca="false">IF($A11="","",[1]!_xludf.thsiFinD("ths_adjustment_nv_fund",H$3,$A11))</f>
        <v>#VALUE!</v>
      </c>
      <c r="I11" s="15" t="e">
        <f aca="false">IF($A11="","",[1]!_xludf.thsiFinD("ths_adjustment_nv_fund",I$3,$A11))</f>
        <v>#VALUE!</v>
      </c>
      <c r="J11" s="15" t="e">
        <f aca="false">IF($A11="","",[1]!_xludf.thsiFinD("ths_adjustment_nv_fund",J$3,$A11))</f>
        <v>#VALUE!</v>
      </c>
      <c r="K11" s="15" t="e">
        <f aca="false">IF($A11="","",[1]!_xludf.thsiFinD("ths_adjustment_nv_fund",K$3,$A11))</f>
        <v>#VALUE!</v>
      </c>
      <c r="L11" s="15" t="e">
        <f aca="false">IF($A11="","",[1]!_xludf.thsiFinD("ths_adjustment_nv_fund",L$3,$A11))</f>
        <v>#VALUE!</v>
      </c>
      <c r="M11" s="15" t="e">
        <f aca="false">IF($A11="","",[1]!_xludf.thsiFinD("ths_adjustment_nv_fund",M$3,$A11))</f>
        <v>#VALUE!</v>
      </c>
      <c r="N11" s="15" t="e">
        <f aca="false">IF($A11="","",[1]!_xludf.thsiFinD("ths_adjustment_nv_fund",N$3,$A11))</f>
        <v>#VALUE!</v>
      </c>
      <c r="O11" s="15" t="e">
        <f aca="false">IF($A11="","",[1]!_xludf.thsiFinD("ths_adjustment_nv_fund",O$3,$A11))</f>
        <v>#VALUE!</v>
      </c>
      <c r="P11" s="15" t="e">
        <f aca="false">IF($A11="","",[1]!_xludf.thsiFinD("ths_adjustment_nv_fund",P$3,$A11))</f>
        <v>#VALUE!</v>
      </c>
      <c r="Q11" s="15" t="e">
        <f aca="false">IF($A11="","",[1]!_xludf.thsiFinD("ths_adjustment_nv_fund",Q$3,$A11))</f>
        <v>#VALUE!</v>
      </c>
      <c r="R11" s="15" t="e">
        <f aca="false">IF($A11="","",[1]!_xludf.thsiFinD("ths_adjustment_nv_fund",R$3,$A11))</f>
        <v>#VALUE!</v>
      </c>
      <c r="S11" s="15" t="e">
        <f aca="false">IF($A11="","",[1]!_xludf.thsiFinD("ths_adjustment_nv_fund",S$3,$A11))</f>
        <v>#VALUE!</v>
      </c>
      <c r="T11" s="15" t="e">
        <f aca="false">IF($A11="","",[1]!_xludf.thsiFinD("ths_adjustment_nv_fund",T$3,$A11))</f>
        <v>#VALUE!</v>
      </c>
      <c r="U11" s="15" t="e">
        <f aca="false">IF($A11="","",[1]!_xludf.thsiFinD("ths_adjustment_nv_fund",U$3,$A11))</f>
        <v>#VALUE!</v>
      </c>
      <c r="V11" s="15" t="e">
        <f aca="false">IF($A11="","",[1]!_xludf.thsiFinD("ths_adjustment_nv_fund",V$3,$A11))</f>
        <v>#VALUE!</v>
      </c>
      <c r="W11" s="15" t="e">
        <f aca="false">IF($A11="","",[1]!_xludf.thsiFinD("ths_adjustment_nv_fund",W$3,$A11))</f>
        <v>#VALUE!</v>
      </c>
      <c r="X11" s="15" t="e">
        <f aca="false">IF($A11="","",[1]!_xludf.thsiFinD("ths_adjustment_nv_fund",X$3,$A11))</f>
        <v>#VALUE!</v>
      </c>
      <c r="Y11" s="15" t="e">
        <f aca="false">IF($A11="","",[1]!_xludf.thsiFinD("ths_adjustment_nv_fund",Y$3,$A11))</f>
        <v>#VALUE!</v>
      </c>
    </row>
    <row r="12" customFormat="false" ht="13.5" hidden="false" customHeight="false" outlineLevel="0" collapsed="false">
      <c r="A12" s="9" t="n">
        <v>46203</v>
      </c>
      <c r="B12" s="15" t="e">
        <f aca="false">IF($A12="","",[1]!_xludf.thsiFinD("ths_adjustment_nv_fund",B$3,$A12))</f>
        <v>#VALUE!</v>
      </c>
      <c r="C12" s="15" t="e">
        <f aca="false">IF($A12="","",[1]!_xludf.thsiFinD("ths_adjustment_nv_fund",C$3,$A12))</f>
        <v>#VALUE!</v>
      </c>
      <c r="D12" s="15" t="e">
        <f aca="false">IF($A12="","",[1]!_xludf.thsiFinD("ths_adjustment_nv_fund",D$3,$A12))</f>
        <v>#VALUE!</v>
      </c>
      <c r="E12" s="15" t="e">
        <f aca="false">IF($A12="","",[1]!_xludf.thsiFinD("ths_adjustment_nv_fund",E$3,$A12))</f>
        <v>#VALUE!</v>
      </c>
      <c r="F12" s="15" t="e">
        <f aca="false">IF($A12="","",[1]!_xludf.thsiFinD("ths_adjustment_nv_fund",F$3,$A12))</f>
        <v>#VALUE!</v>
      </c>
      <c r="G12" s="15" t="e">
        <f aca="false">IF($A12="","",[1]!_xludf.thsiFinD("ths_adjustment_nv_fund",G$3,$A12))</f>
        <v>#VALUE!</v>
      </c>
      <c r="H12" s="15" t="e">
        <f aca="false">IF($A12="","",[1]!_xludf.thsiFinD("ths_adjustment_nv_fund",H$3,$A12))</f>
        <v>#VALUE!</v>
      </c>
      <c r="I12" s="15" t="e">
        <f aca="false">IF($A12="","",[1]!_xludf.thsiFinD("ths_adjustment_nv_fund",I$3,$A12))</f>
        <v>#VALUE!</v>
      </c>
      <c r="J12" s="15" t="e">
        <f aca="false">IF($A12="","",[1]!_xludf.thsiFinD("ths_adjustment_nv_fund",J$3,$A12))</f>
        <v>#VALUE!</v>
      </c>
      <c r="K12" s="15" t="e">
        <f aca="false">IF($A12="","",[1]!_xludf.thsiFinD("ths_adjustment_nv_fund",K$3,$A12))</f>
        <v>#VALUE!</v>
      </c>
      <c r="L12" s="15" t="e">
        <f aca="false">IF($A12="","",[1]!_xludf.thsiFinD("ths_adjustment_nv_fund",L$3,$A12))</f>
        <v>#VALUE!</v>
      </c>
      <c r="M12" s="15" t="e">
        <f aca="false">IF($A12="","",[1]!_xludf.thsiFinD("ths_adjustment_nv_fund",M$3,$A12))</f>
        <v>#VALUE!</v>
      </c>
      <c r="N12" s="15" t="e">
        <f aca="false">IF($A12="","",[1]!_xludf.thsiFinD("ths_adjustment_nv_fund",N$3,$A12))</f>
        <v>#VALUE!</v>
      </c>
      <c r="O12" s="15" t="e">
        <f aca="false">IF($A12="","",[1]!_xludf.thsiFinD("ths_adjustment_nv_fund",O$3,$A12))</f>
        <v>#VALUE!</v>
      </c>
      <c r="P12" s="15" t="e">
        <f aca="false">IF($A12="","",[1]!_xludf.thsiFinD("ths_adjustment_nv_fund",P$3,$A12))</f>
        <v>#VALUE!</v>
      </c>
      <c r="Q12" s="15" t="e">
        <f aca="false">IF($A12="","",[1]!_xludf.thsiFinD("ths_adjustment_nv_fund",Q$3,$A12))</f>
        <v>#VALUE!</v>
      </c>
      <c r="R12" s="15" t="e">
        <f aca="false">IF($A12="","",[1]!_xludf.thsiFinD("ths_adjustment_nv_fund",R$3,$A12))</f>
        <v>#VALUE!</v>
      </c>
      <c r="S12" s="15" t="e">
        <f aca="false">IF($A12="","",[1]!_xludf.thsiFinD("ths_adjustment_nv_fund",S$3,$A12))</f>
        <v>#VALUE!</v>
      </c>
      <c r="T12" s="15" t="e">
        <f aca="false">IF($A12="","",[1]!_xludf.thsiFinD("ths_adjustment_nv_fund",T$3,$A12))</f>
        <v>#VALUE!</v>
      </c>
      <c r="U12" s="15" t="e">
        <f aca="false">IF($A12="","",[1]!_xludf.thsiFinD("ths_adjustment_nv_fund",U$3,$A12))</f>
        <v>#VALUE!</v>
      </c>
      <c r="V12" s="15" t="e">
        <f aca="false">IF($A12="","",[1]!_xludf.thsiFinD("ths_adjustment_nv_fund",V$3,$A12))</f>
        <v>#VALUE!</v>
      </c>
      <c r="W12" s="15" t="e">
        <f aca="false">IF($A12="","",[1]!_xludf.thsiFinD("ths_adjustment_nv_fund",W$3,$A12))</f>
        <v>#VALUE!</v>
      </c>
      <c r="X12" s="15" t="e">
        <f aca="false">IF($A12="","",[1]!_xludf.thsiFinD("ths_adjustment_nv_fund",X$3,$A12))</f>
        <v>#VALUE!</v>
      </c>
      <c r="Y12" s="15" t="e">
        <f aca="false">IF($A12="","",[1]!_xludf.thsiFinD("ths_adjustment_nv_fund",Y$3,$A12))</f>
        <v>#VALUE!</v>
      </c>
    </row>
    <row r="13" customFormat="false" ht="13.5" hidden="false" customHeight="false" outlineLevel="0" collapsed="false">
      <c r="A13" s="9" t="n">
        <v>46204</v>
      </c>
      <c r="B13" s="15" t="e">
        <f aca="false">IF($A13="","",[1]!_xludf.thsiFinD("ths_adjustment_nv_fund",B$3,$A13))</f>
        <v>#VALUE!</v>
      </c>
      <c r="C13" s="15" t="e">
        <f aca="false">IF($A13="","",[1]!_xludf.thsiFinD("ths_adjustment_nv_fund",C$3,$A13))</f>
        <v>#VALUE!</v>
      </c>
      <c r="D13" s="15" t="e">
        <f aca="false">IF($A13="","",[1]!_xludf.thsiFinD("ths_adjustment_nv_fund",D$3,$A13))</f>
        <v>#VALUE!</v>
      </c>
      <c r="E13" s="15" t="e">
        <f aca="false">IF($A13="","",[1]!_xludf.thsiFinD("ths_adjustment_nv_fund",E$3,$A13))</f>
        <v>#VALUE!</v>
      </c>
      <c r="F13" s="15" t="e">
        <f aca="false">IF($A13="","",[1]!_xludf.thsiFinD("ths_adjustment_nv_fund",F$3,$A13))</f>
        <v>#VALUE!</v>
      </c>
      <c r="G13" s="15" t="e">
        <f aca="false">IF($A13="","",[1]!_xludf.thsiFinD("ths_adjustment_nv_fund",G$3,$A13))</f>
        <v>#VALUE!</v>
      </c>
      <c r="H13" s="15" t="e">
        <f aca="false">IF($A13="","",[1]!_xludf.thsiFinD("ths_adjustment_nv_fund",H$3,$A13))</f>
        <v>#VALUE!</v>
      </c>
      <c r="I13" s="15" t="e">
        <f aca="false">IF($A13="","",[1]!_xludf.thsiFinD("ths_adjustment_nv_fund",I$3,$A13))</f>
        <v>#VALUE!</v>
      </c>
      <c r="J13" s="15" t="e">
        <f aca="false">IF($A13="","",[1]!_xludf.thsiFinD("ths_adjustment_nv_fund",J$3,$A13))</f>
        <v>#VALUE!</v>
      </c>
      <c r="K13" s="15" t="e">
        <f aca="false">IF($A13="","",[1]!_xludf.thsiFinD("ths_adjustment_nv_fund",K$3,$A13))</f>
        <v>#VALUE!</v>
      </c>
      <c r="L13" s="15" t="e">
        <f aca="false">IF($A13="","",[1]!_xludf.thsiFinD("ths_adjustment_nv_fund",L$3,$A13))</f>
        <v>#VALUE!</v>
      </c>
      <c r="M13" s="15" t="e">
        <f aca="false">IF($A13="","",[1]!_xludf.thsiFinD("ths_adjustment_nv_fund",M$3,$A13))</f>
        <v>#VALUE!</v>
      </c>
      <c r="N13" s="15" t="e">
        <f aca="false">IF($A13="","",[1]!_xludf.thsiFinD("ths_adjustment_nv_fund",N$3,$A13))</f>
        <v>#VALUE!</v>
      </c>
      <c r="O13" s="15" t="e">
        <f aca="false">IF($A13="","",[1]!_xludf.thsiFinD("ths_adjustment_nv_fund",O$3,$A13))</f>
        <v>#VALUE!</v>
      </c>
      <c r="P13" s="15" t="e">
        <f aca="false">IF($A13="","",[1]!_xludf.thsiFinD("ths_adjustment_nv_fund",P$3,$A13))</f>
        <v>#VALUE!</v>
      </c>
      <c r="Q13" s="15" t="e">
        <f aca="false">IF($A13="","",[1]!_xludf.thsiFinD("ths_adjustment_nv_fund",Q$3,$A13))</f>
        <v>#VALUE!</v>
      </c>
      <c r="R13" s="15" t="e">
        <f aca="false">IF($A13="","",[1]!_xludf.thsiFinD("ths_adjustment_nv_fund",R$3,$A13))</f>
        <v>#VALUE!</v>
      </c>
      <c r="S13" s="15" t="e">
        <f aca="false">IF($A13="","",[1]!_xludf.thsiFinD("ths_adjustment_nv_fund",S$3,$A13))</f>
        <v>#VALUE!</v>
      </c>
      <c r="T13" s="15" t="e">
        <f aca="false">IF($A13="","",[1]!_xludf.thsiFinD("ths_adjustment_nv_fund",T$3,$A13))</f>
        <v>#VALUE!</v>
      </c>
      <c r="U13" s="15" t="e">
        <f aca="false">IF($A13="","",[1]!_xludf.thsiFinD("ths_adjustment_nv_fund",U$3,$A13))</f>
        <v>#VALUE!</v>
      </c>
      <c r="V13" s="15" t="e">
        <f aca="false">IF($A13="","",[1]!_xludf.thsiFinD("ths_adjustment_nv_fund",V$3,$A13))</f>
        <v>#VALUE!</v>
      </c>
      <c r="W13" s="15" t="e">
        <f aca="false">IF($A13="","",[1]!_xludf.thsiFinD("ths_adjustment_nv_fund",W$3,$A13))</f>
        <v>#VALUE!</v>
      </c>
      <c r="X13" s="15" t="e">
        <f aca="false">IF($A13="","",[1]!_xludf.thsiFinD("ths_adjustment_nv_fund",X$3,$A13))</f>
        <v>#VALUE!</v>
      </c>
      <c r="Y13" s="15" t="e">
        <f aca="false">IF($A13="","",[1]!_xludf.thsiFinD("ths_adjustment_nv_fund",Y$3,$A13))</f>
        <v>#VALUE!</v>
      </c>
    </row>
    <row r="14" customFormat="false" ht="13.5" hidden="false" customHeight="false" outlineLevel="0" collapsed="false">
      <c r="A14" s="9" t="n">
        <v>46205</v>
      </c>
      <c r="B14" s="15" t="e">
        <f aca="false">IF($A14="","",[1]!_xludf.thsiFinD("ths_adjustment_nv_fund",B$3,$A14))</f>
        <v>#VALUE!</v>
      </c>
      <c r="C14" s="15" t="e">
        <f aca="false">IF($A14="","",[1]!_xludf.thsiFinD("ths_adjustment_nv_fund",C$3,$A14))</f>
        <v>#VALUE!</v>
      </c>
      <c r="D14" s="15" t="e">
        <f aca="false">IF($A14="","",[1]!_xludf.thsiFinD("ths_adjustment_nv_fund",D$3,$A14))</f>
        <v>#VALUE!</v>
      </c>
      <c r="E14" s="15" t="e">
        <f aca="false">IF($A14="","",[1]!_xludf.thsiFinD("ths_adjustment_nv_fund",E$3,$A14))</f>
        <v>#VALUE!</v>
      </c>
      <c r="F14" s="15" t="e">
        <f aca="false">IF($A14="","",[1]!_xludf.thsiFinD("ths_adjustment_nv_fund",F$3,$A14))</f>
        <v>#VALUE!</v>
      </c>
      <c r="G14" s="15" t="e">
        <f aca="false">IF($A14="","",[1]!_xludf.thsiFinD("ths_adjustment_nv_fund",G$3,$A14))</f>
        <v>#VALUE!</v>
      </c>
      <c r="H14" s="15" t="e">
        <f aca="false">IF($A14="","",[1]!_xludf.thsiFinD("ths_adjustment_nv_fund",H$3,$A14))</f>
        <v>#VALUE!</v>
      </c>
      <c r="I14" s="15" t="e">
        <f aca="false">IF($A14="","",[1]!_xludf.thsiFinD("ths_adjustment_nv_fund",I$3,$A14))</f>
        <v>#VALUE!</v>
      </c>
      <c r="J14" s="15" t="e">
        <f aca="false">IF($A14="","",[1]!_xludf.thsiFinD("ths_adjustment_nv_fund",J$3,$A14))</f>
        <v>#VALUE!</v>
      </c>
      <c r="K14" s="15" t="e">
        <f aca="false">IF($A14="","",[1]!_xludf.thsiFinD("ths_adjustment_nv_fund",K$3,$A14))</f>
        <v>#VALUE!</v>
      </c>
      <c r="L14" s="15" t="e">
        <f aca="false">IF($A14="","",[1]!_xludf.thsiFinD("ths_adjustment_nv_fund",L$3,$A14))</f>
        <v>#VALUE!</v>
      </c>
      <c r="M14" s="15" t="e">
        <f aca="false">IF($A14="","",[1]!_xludf.thsiFinD("ths_adjustment_nv_fund",M$3,$A14))</f>
        <v>#VALUE!</v>
      </c>
      <c r="N14" s="15" t="e">
        <f aca="false">IF($A14="","",[1]!_xludf.thsiFinD("ths_adjustment_nv_fund",N$3,$A14))</f>
        <v>#VALUE!</v>
      </c>
      <c r="O14" s="15" t="e">
        <f aca="false">IF($A14="","",[1]!_xludf.thsiFinD("ths_adjustment_nv_fund",O$3,$A14))</f>
        <v>#VALUE!</v>
      </c>
      <c r="P14" s="15" t="e">
        <f aca="false">IF($A14="","",[1]!_xludf.thsiFinD("ths_adjustment_nv_fund",P$3,$A14))</f>
        <v>#VALUE!</v>
      </c>
      <c r="Q14" s="15" t="e">
        <f aca="false">IF($A14="","",[1]!_xludf.thsiFinD("ths_adjustment_nv_fund",Q$3,$A14))</f>
        <v>#VALUE!</v>
      </c>
      <c r="R14" s="15" t="e">
        <f aca="false">IF($A14="","",[1]!_xludf.thsiFinD("ths_adjustment_nv_fund",R$3,$A14))</f>
        <v>#VALUE!</v>
      </c>
      <c r="S14" s="15" t="e">
        <f aca="false">IF($A14="","",[1]!_xludf.thsiFinD("ths_adjustment_nv_fund",S$3,$A14))</f>
        <v>#VALUE!</v>
      </c>
      <c r="T14" s="15" t="e">
        <f aca="false">IF($A14="","",[1]!_xludf.thsiFinD("ths_adjustment_nv_fund",T$3,$A14))</f>
        <v>#VALUE!</v>
      </c>
      <c r="U14" s="15" t="e">
        <f aca="false">IF($A14="","",[1]!_xludf.thsiFinD("ths_adjustment_nv_fund",U$3,$A14))</f>
        <v>#VALUE!</v>
      </c>
      <c r="V14" s="15" t="e">
        <f aca="false">IF($A14="","",[1]!_xludf.thsiFinD("ths_adjustment_nv_fund",V$3,$A14))</f>
        <v>#VALUE!</v>
      </c>
      <c r="W14" s="15" t="e">
        <f aca="false">IF($A14="","",[1]!_xludf.thsiFinD("ths_adjustment_nv_fund",W$3,$A14))</f>
        <v>#VALUE!</v>
      </c>
      <c r="X14" s="15" t="e">
        <f aca="false">IF($A14="","",[1]!_xludf.thsiFinD("ths_adjustment_nv_fund",X$3,$A14))</f>
        <v>#VALUE!</v>
      </c>
      <c r="Y14" s="15" t="e">
        <f aca="false">IF($A14="","",[1]!_xludf.thsiFinD("ths_adjustment_nv_fund",Y$3,$A14))</f>
        <v>#VALUE!</v>
      </c>
    </row>
    <row r="15" customFormat="false" ht="13.5" hidden="false" customHeight="false" outlineLevel="0" collapsed="false">
      <c r="A15" s="9" t="n">
        <v>46206</v>
      </c>
      <c r="B15" s="15" t="e">
        <f aca="false">IF($A15="","",[1]!_xludf.thsiFinD("ths_adjustment_nv_fund",B$3,$A15))</f>
        <v>#VALUE!</v>
      </c>
      <c r="C15" s="15" t="e">
        <f aca="false">IF($A15="","",[1]!_xludf.thsiFinD("ths_adjustment_nv_fund",C$3,$A15))</f>
        <v>#VALUE!</v>
      </c>
      <c r="D15" s="15" t="e">
        <f aca="false">IF($A15="","",[1]!_xludf.thsiFinD("ths_adjustment_nv_fund",D$3,$A15))</f>
        <v>#VALUE!</v>
      </c>
      <c r="E15" s="15" t="e">
        <f aca="false">IF($A15="","",[1]!_xludf.thsiFinD("ths_adjustment_nv_fund",E$3,$A15))</f>
        <v>#VALUE!</v>
      </c>
      <c r="F15" s="15" t="e">
        <f aca="false">IF($A15="","",[1]!_xludf.thsiFinD("ths_adjustment_nv_fund",F$3,$A15))</f>
        <v>#VALUE!</v>
      </c>
      <c r="G15" s="15" t="e">
        <f aca="false">IF($A15="","",[1]!_xludf.thsiFinD("ths_adjustment_nv_fund",G$3,$A15))</f>
        <v>#VALUE!</v>
      </c>
      <c r="H15" s="15" t="e">
        <f aca="false">IF($A15="","",[1]!_xludf.thsiFinD("ths_adjustment_nv_fund",H$3,$A15))</f>
        <v>#VALUE!</v>
      </c>
      <c r="I15" s="15" t="e">
        <f aca="false">IF($A15="","",[1]!_xludf.thsiFinD("ths_adjustment_nv_fund",I$3,$A15))</f>
        <v>#VALUE!</v>
      </c>
      <c r="J15" s="15" t="e">
        <f aca="false">IF($A15="","",[1]!_xludf.thsiFinD("ths_adjustment_nv_fund",J$3,$A15))</f>
        <v>#VALUE!</v>
      </c>
      <c r="K15" s="15" t="e">
        <f aca="false">IF($A15="","",[1]!_xludf.thsiFinD("ths_adjustment_nv_fund",K$3,$A15))</f>
        <v>#VALUE!</v>
      </c>
      <c r="L15" s="15" t="e">
        <f aca="false">IF($A15="","",[1]!_xludf.thsiFinD("ths_adjustment_nv_fund",L$3,$A15))</f>
        <v>#VALUE!</v>
      </c>
      <c r="M15" s="15" t="e">
        <f aca="false">IF($A15="","",[1]!_xludf.thsiFinD("ths_adjustment_nv_fund",M$3,$A15))</f>
        <v>#VALUE!</v>
      </c>
      <c r="N15" s="15" t="e">
        <f aca="false">IF($A15="","",[1]!_xludf.thsiFinD("ths_adjustment_nv_fund",N$3,$A15))</f>
        <v>#VALUE!</v>
      </c>
      <c r="O15" s="15" t="e">
        <f aca="false">IF($A15="","",[1]!_xludf.thsiFinD("ths_adjustment_nv_fund",O$3,$A15))</f>
        <v>#VALUE!</v>
      </c>
      <c r="P15" s="15" t="e">
        <f aca="false">IF($A15="","",[1]!_xludf.thsiFinD("ths_adjustment_nv_fund",P$3,$A15))</f>
        <v>#VALUE!</v>
      </c>
      <c r="Q15" s="15" t="e">
        <f aca="false">IF($A15="","",[1]!_xludf.thsiFinD("ths_adjustment_nv_fund",Q$3,$A15))</f>
        <v>#VALUE!</v>
      </c>
      <c r="R15" s="15" t="e">
        <f aca="false">IF($A15="","",[1]!_xludf.thsiFinD("ths_adjustment_nv_fund",R$3,$A15))</f>
        <v>#VALUE!</v>
      </c>
      <c r="S15" s="15" t="e">
        <f aca="false">IF($A15="","",[1]!_xludf.thsiFinD("ths_adjustment_nv_fund",S$3,$A15))</f>
        <v>#VALUE!</v>
      </c>
      <c r="T15" s="15" t="e">
        <f aca="false">IF($A15="","",[1]!_xludf.thsiFinD("ths_adjustment_nv_fund",T$3,$A15))</f>
        <v>#VALUE!</v>
      </c>
      <c r="U15" s="15" t="e">
        <f aca="false">IF($A15="","",[1]!_xludf.thsiFinD("ths_adjustment_nv_fund",U$3,$A15))</f>
        <v>#VALUE!</v>
      </c>
      <c r="V15" s="15" t="e">
        <f aca="false">IF($A15="","",[1]!_xludf.thsiFinD("ths_adjustment_nv_fund",V$3,$A15))</f>
        <v>#VALUE!</v>
      </c>
      <c r="W15" s="15" t="e">
        <f aca="false">IF($A15="","",[1]!_xludf.thsiFinD("ths_adjustment_nv_fund",W$3,$A15))</f>
        <v>#VALUE!</v>
      </c>
      <c r="X15" s="15" t="e">
        <f aca="false">IF($A15="","",[1]!_xludf.thsiFinD("ths_adjustment_nv_fund",X$3,$A15))</f>
        <v>#VALUE!</v>
      </c>
      <c r="Y15" s="15" t="e">
        <f aca="false">IF($A15="","",[1]!_xludf.thsiFinD("ths_adjustment_nv_fund",Y$3,$A15))</f>
        <v>#VALUE!</v>
      </c>
    </row>
    <row r="16" customFormat="false" ht="13.5" hidden="false" customHeight="false" outlineLevel="0" collapsed="false">
      <c r="A16" s="9" t="n">
        <v>46209</v>
      </c>
      <c r="B16" s="15" t="e">
        <f aca="false">IF($A16="","",[1]!_xludf.thsiFinD("ths_adjustment_nv_fund",B$3,$A16))</f>
        <v>#VALUE!</v>
      </c>
      <c r="C16" s="15" t="e">
        <f aca="false">IF($A16="","",[1]!_xludf.thsiFinD("ths_adjustment_nv_fund",C$3,$A16))</f>
        <v>#VALUE!</v>
      </c>
      <c r="D16" s="15" t="e">
        <f aca="false">IF($A16="","",[1]!_xludf.thsiFinD("ths_adjustment_nv_fund",D$3,$A16))</f>
        <v>#VALUE!</v>
      </c>
      <c r="E16" s="15" t="e">
        <f aca="false">IF($A16="","",[1]!_xludf.thsiFinD("ths_adjustment_nv_fund",E$3,$A16))</f>
        <v>#VALUE!</v>
      </c>
      <c r="F16" s="15" t="e">
        <f aca="false">IF($A16="","",[1]!_xludf.thsiFinD("ths_adjustment_nv_fund",F$3,$A16))</f>
        <v>#VALUE!</v>
      </c>
      <c r="G16" s="15" t="e">
        <f aca="false">IF($A16="","",[1]!_xludf.thsiFinD("ths_adjustment_nv_fund",G$3,$A16))</f>
        <v>#VALUE!</v>
      </c>
      <c r="H16" s="15" t="e">
        <f aca="false">IF($A16="","",[1]!_xludf.thsiFinD("ths_adjustment_nv_fund",H$3,$A16))</f>
        <v>#VALUE!</v>
      </c>
      <c r="I16" s="15" t="e">
        <f aca="false">IF($A16="","",[1]!_xludf.thsiFinD("ths_adjustment_nv_fund",I$3,$A16))</f>
        <v>#VALUE!</v>
      </c>
      <c r="J16" s="15" t="e">
        <f aca="false">IF($A16="","",[1]!_xludf.thsiFinD("ths_adjustment_nv_fund",J$3,$A16))</f>
        <v>#VALUE!</v>
      </c>
      <c r="K16" s="15" t="e">
        <f aca="false">IF($A16="","",[1]!_xludf.thsiFinD("ths_adjustment_nv_fund",K$3,$A16))</f>
        <v>#VALUE!</v>
      </c>
      <c r="L16" s="15" t="e">
        <f aca="false">IF($A16="","",[1]!_xludf.thsiFinD("ths_adjustment_nv_fund",L$3,$A16))</f>
        <v>#VALUE!</v>
      </c>
      <c r="M16" s="15" t="e">
        <f aca="false">IF($A16="","",[1]!_xludf.thsiFinD("ths_adjustment_nv_fund",M$3,$A16))</f>
        <v>#VALUE!</v>
      </c>
      <c r="N16" s="15" t="e">
        <f aca="false">IF($A16="","",[1]!_xludf.thsiFinD("ths_adjustment_nv_fund",N$3,$A16))</f>
        <v>#VALUE!</v>
      </c>
      <c r="O16" s="15" t="e">
        <f aca="false">IF($A16="","",[1]!_xludf.thsiFinD("ths_adjustment_nv_fund",O$3,$A16))</f>
        <v>#VALUE!</v>
      </c>
      <c r="P16" s="15" t="e">
        <f aca="false">IF($A16="","",[1]!_xludf.thsiFinD("ths_adjustment_nv_fund",P$3,$A16))</f>
        <v>#VALUE!</v>
      </c>
      <c r="Q16" s="15" t="e">
        <f aca="false">IF($A16="","",[1]!_xludf.thsiFinD("ths_adjustment_nv_fund",Q$3,$A16))</f>
        <v>#VALUE!</v>
      </c>
      <c r="R16" s="15" t="e">
        <f aca="false">IF($A16="","",[1]!_xludf.thsiFinD("ths_adjustment_nv_fund",R$3,$A16))</f>
        <v>#VALUE!</v>
      </c>
      <c r="S16" s="15" t="e">
        <f aca="false">IF($A16="","",[1]!_xludf.thsiFinD("ths_adjustment_nv_fund",S$3,$A16))</f>
        <v>#VALUE!</v>
      </c>
      <c r="T16" s="15" t="e">
        <f aca="false">IF($A16="","",[1]!_xludf.thsiFinD("ths_adjustment_nv_fund",T$3,$A16))</f>
        <v>#VALUE!</v>
      </c>
      <c r="U16" s="15" t="e">
        <f aca="false">IF($A16="","",[1]!_xludf.thsiFinD("ths_adjustment_nv_fund",U$3,$A16))</f>
        <v>#VALUE!</v>
      </c>
      <c r="V16" s="15" t="e">
        <f aca="false">IF($A16="","",[1]!_xludf.thsiFinD("ths_adjustment_nv_fund",V$3,$A16))</f>
        <v>#VALUE!</v>
      </c>
      <c r="W16" s="15" t="e">
        <f aca="false">IF($A16="","",[1]!_xludf.thsiFinD("ths_adjustment_nv_fund",W$3,$A16))</f>
        <v>#VALUE!</v>
      </c>
      <c r="X16" s="15" t="e">
        <f aca="false">IF($A16="","",[1]!_xludf.thsiFinD("ths_adjustment_nv_fund",X$3,$A16))</f>
        <v>#VALUE!</v>
      </c>
      <c r="Y16" s="15" t="e">
        <f aca="false">IF($A16="","",[1]!_xludf.thsiFinD("ths_adjustment_nv_fund",Y$3,$A16))</f>
        <v>#VALUE!</v>
      </c>
    </row>
    <row r="17" customFormat="false" ht="13.5" hidden="false" customHeight="false" outlineLevel="0" collapsed="false">
      <c r="A17" s="9" t="n">
        <v>46210</v>
      </c>
      <c r="B17" s="15" t="e">
        <f aca="false">IF($A17="","",[1]!_xludf.thsiFinD("ths_adjustment_nv_fund",B$3,$A17))</f>
        <v>#VALUE!</v>
      </c>
      <c r="C17" s="15" t="e">
        <f aca="false">IF($A17="","",[1]!_xludf.thsiFinD("ths_adjustment_nv_fund",C$3,$A17))</f>
        <v>#VALUE!</v>
      </c>
      <c r="D17" s="15" t="e">
        <f aca="false">IF($A17="","",[1]!_xludf.thsiFinD("ths_adjustment_nv_fund",D$3,$A17))</f>
        <v>#VALUE!</v>
      </c>
      <c r="E17" s="15" t="e">
        <f aca="false">IF($A17="","",[1]!_xludf.thsiFinD("ths_adjustment_nv_fund",E$3,$A17))</f>
        <v>#VALUE!</v>
      </c>
      <c r="F17" s="15" t="e">
        <f aca="false">IF($A17="","",[1]!_xludf.thsiFinD("ths_adjustment_nv_fund",F$3,$A17))</f>
        <v>#VALUE!</v>
      </c>
      <c r="G17" s="15" t="e">
        <f aca="false">IF($A17="","",[1]!_xludf.thsiFinD("ths_adjustment_nv_fund",G$3,$A17))</f>
        <v>#VALUE!</v>
      </c>
      <c r="H17" s="15" t="e">
        <f aca="false">IF($A17="","",[1]!_xludf.thsiFinD("ths_adjustment_nv_fund",H$3,$A17))</f>
        <v>#VALUE!</v>
      </c>
      <c r="I17" s="15" t="e">
        <f aca="false">IF($A17="","",[1]!_xludf.thsiFinD("ths_adjustment_nv_fund",I$3,$A17))</f>
        <v>#VALUE!</v>
      </c>
      <c r="J17" s="15" t="e">
        <f aca="false">IF($A17="","",[1]!_xludf.thsiFinD("ths_adjustment_nv_fund",J$3,$A17))</f>
        <v>#VALUE!</v>
      </c>
      <c r="K17" s="15" t="e">
        <f aca="false">IF($A17="","",[1]!_xludf.thsiFinD("ths_adjustment_nv_fund",K$3,$A17))</f>
        <v>#VALUE!</v>
      </c>
      <c r="L17" s="15" t="e">
        <f aca="false">IF($A17="","",[1]!_xludf.thsiFinD("ths_adjustment_nv_fund",L$3,$A17))</f>
        <v>#VALUE!</v>
      </c>
      <c r="M17" s="15" t="e">
        <f aca="false">IF($A17="","",[1]!_xludf.thsiFinD("ths_adjustment_nv_fund",M$3,$A17))</f>
        <v>#VALUE!</v>
      </c>
      <c r="N17" s="15" t="e">
        <f aca="false">IF($A17="","",[1]!_xludf.thsiFinD("ths_adjustment_nv_fund",N$3,$A17))</f>
        <v>#VALUE!</v>
      </c>
      <c r="O17" s="15" t="e">
        <f aca="false">IF($A17="","",[1]!_xludf.thsiFinD("ths_adjustment_nv_fund",O$3,$A17))</f>
        <v>#VALUE!</v>
      </c>
      <c r="P17" s="15" t="e">
        <f aca="false">IF($A17="","",[1]!_xludf.thsiFinD("ths_adjustment_nv_fund",P$3,$A17))</f>
        <v>#VALUE!</v>
      </c>
      <c r="Q17" s="15" t="e">
        <f aca="false">IF($A17="","",[1]!_xludf.thsiFinD("ths_adjustment_nv_fund",Q$3,$A17))</f>
        <v>#VALUE!</v>
      </c>
      <c r="R17" s="15" t="e">
        <f aca="false">IF($A17="","",[1]!_xludf.thsiFinD("ths_adjustment_nv_fund",R$3,$A17))</f>
        <v>#VALUE!</v>
      </c>
      <c r="S17" s="15" t="e">
        <f aca="false">IF($A17="","",[1]!_xludf.thsiFinD("ths_adjustment_nv_fund",S$3,$A17))</f>
        <v>#VALUE!</v>
      </c>
      <c r="T17" s="15" t="e">
        <f aca="false">IF($A17="","",[1]!_xludf.thsiFinD("ths_adjustment_nv_fund",T$3,$A17))</f>
        <v>#VALUE!</v>
      </c>
      <c r="U17" s="15" t="e">
        <f aca="false">IF($A17="","",[1]!_xludf.thsiFinD("ths_adjustment_nv_fund",U$3,$A17))</f>
        <v>#VALUE!</v>
      </c>
      <c r="V17" s="15" t="e">
        <f aca="false">IF($A17="","",[1]!_xludf.thsiFinD("ths_adjustment_nv_fund",V$3,$A17))</f>
        <v>#VALUE!</v>
      </c>
      <c r="W17" s="15" t="e">
        <f aca="false">IF($A17="","",[1]!_xludf.thsiFinD("ths_adjustment_nv_fund",W$3,$A17))</f>
        <v>#VALUE!</v>
      </c>
      <c r="X17" s="15" t="e">
        <f aca="false">IF($A17="","",[1]!_xludf.thsiFinD("ths_adjustment_nv_fund",X$3,$A17))</f>
        <v>#VALUE!</v>
      </c>
      <c r="Y17" s="15" t="e">
        <f aca="false">IF($A17="","",[1]!_xludf.thsiFinD("ths_adjustment_nv_fund",Y$3,$A17))</f>
        <v>#VALUE!</v>
      </c>
    </row>
    <row r="18" customFormat="false" ht="13.5" hidden="false" customHeight="false" outlineLevel="0" collapsed="false">
      <c r="A18" s="9" t="n">
        <v>46211</v>
      </c>
      <c r="B18" s="15" t="e">
        <f aca="false">IF($A18="","",[1]!_xludf.thsiFinD("ths_adjustment_nv_fund",B$3,$A18))</f>
        <v>#VALUE!</v>
      </c>
      <c r="C18" s="15" t="e">
        <f aca="false">IF($A18="","",[1]!_xludf.thsiFinD("ths_adjustment_nv_fund",C$3,$A18))</f>
        <v>#VALUE!</v>
      </c>
      <c r="D18" s="15" t="e">
        <f aca="false">IF($A18="","",[1]!_xludf.thsiFinD("ths_adjustment_nv_fund",D$3,$A18))</f>
        <v>#VALUE!</v>
      </c>
      <c r="E18" s="15" t="e">
        <f aca="false">IF($A18="","",[1]!_xludf.thsiFinD("ths_adjustment_nv_fund",E$3,$A18))</f>
        <v>#VALUE!</v>
      </c>
      <c r="F18" s="15" t="e">
        <f aca="false">IF($A18="","",[1]!_xludf.thsiFinD("ths_adjustment_nv_fund",F$3,$A18))</f>
        <v>#VALUE!</v>
      </c>
      <c r="G18" s="15" t="e">
        <f aca="false">IF($A18="","",[1]!_xludf.thsiFinD("ths_adjustment_nv_fund",G$3,$A18))</f>
        <v>#VALUE!</v>
      </c>
      <c r="H18" s="15" t="e">
        <f aca="false">IF($A18="","",[1]!_xludf.thsiFinD("ths_adjustment_nv_fund",H$3,$A18))</f>
        <v>#VALUE!</v>
      </c>
      <c r="I18" s="15" t="e">
        <f aca="false">IF($A18="","",[1]!_xludf.thsiFinD("ths_adjustment_nv_fund",I$3,$A18))</f>
        <v>#VALUE!</v>
      </c>
      <c r="J18" s="15" t="e">
        <f aca="false">IF($A18="","",[1]!_xludf.thsiFinD("ths_adjustment_nv_fund",J$3,$A18))</f>
        <v>#VALUE!</v>
      </c>
      <c r="K18" s="15" t="e">
        <f aca="false">IF($A18="","",[1]!_xludf.thsiFinD("ths_adjustment_nv_fund",K$3,$A18))</f>
        <v>#VALUE!</v>
      </c>
      <c r="L18" s="15" t="e">
        <f aca="false">IF($A18="","",[1]!_xludf.thsiFinD("ths_adjustment_nv_fund",L$3,$A18))</f>
        <v>#VALUE!</v>
      </c>
      <c r="M18" s="15" t="e">
        <f aca="false">IF($A18="","",[1]!_xludf.thsiFinD("ths_adjustment_nv_fund",M$3,$A18))</f>
        <v>#VALUE!</v>
      </c>
      <c r="N18" s="15" t="e">
        <f aca="false">IF($A18="","",[1]!_xludf.thsiFinD("ths_adjustment_nv_fund",N$3,$A18))</f>
        <v>#VALUE!</v>
      </c>
      <c r="O18" s="15" t="e">
        <f aca="false">IF($A18="","",[1]!_xludf.thsiFinD("ths_adjustment_nv_fund",O$3,$A18))</f>
        <v>#VALUE!</v>
      </c>
      <c r="P18" s="15" t="e">
        <f aca="false">IF($A18="","",[1]!_xludf.thsiFinD("ths_adjustment_nv_fund",P$3,$A18))</f>
        <v>#VALUE!</v>
      </c>
      <c r="Q18" s="15" t="e">
        <f aca="false">IF($A18="","",[1]!_xludf.thsiFinD("ths_adjustment_nv_fund",Q$3,$A18))</f>
        <v>#VALUE!</v>
      </c>
      <c r="R18" s="15" t="e">
        <f aca="false">IF($A18="","",[1]!_xludf.thsiFinD("ths_adjustment_nv_fund",R$3,$A18))</f>
        <v>#VALUE!</v>
      </c>
      <c r="S18" s="15" t="e">
        <f aca="false">IF($A18="","",[1]!_xludf.thsiFinD("ths_adjustment_nv_fund",S$3,$A18))</f>
        <v>#VALUE!</v>
      </c>
      <c r="T18" s="15" t="e">
        <f aca="false">IF($A18="","",[1]!_xludf.thsiFinD("ths_adjustment_nv_fund",T$3,$A18))</f>
        <v>#VALUE!</v>
      </c>
      <c r="U18" s="15" t="e">
        <f aca="false">IF($A18="","",[1]!_xludf.thsiFinD("ths_adjustment_nv_fund",U$3,$A18))</f>
        <v>#VALUE!</v>
      </c>
      <c r="V18" s="15" t="e">
        <f aca="false">IF($A18="","",[1]!_xludf.thsiFinD("ths_adjustment_nv_fund",V$3,$A18))</f>
        <v>#VALUE!</v>
      </c>
      <c r="W18" s="15" t="e">
        <f aca="false">IF($A18="","",[1]!_xludf.thsiFinD("ths_adjustment_nv_fund",W$3,$A18))</f>
        <v>#VALUE!</v>
      </c>
      <c r="X18" s="15" t="e">
        <f aca="false">IF($A18="","",[1]!_xludf.thsiFinD("ths_adjustment_nv_fund",X$3,$A18))</f>
        <v>#VALUE!</v>
      </c>
      <c r="Y18" s="15" t="e">
        <f aca="false">IF($A18="","",[1]!_xludf.thsiFinD("ths_adjustment_nv_fund",Y$3,$A18))</f>
        <v>#VALUE!</v>
      </c>
    </row>
    <row r="19" customFormat="false" ht="13.5" hidden="false" customHeight="false" outlineLevel="0" collapsed="false">
      <c r="A19" s="9" t="n">
        <v>46212</v>
      </c>
      <c r="B19" s="15" t="e">
        <f aca="false">IF($A19="","",[1]!_xludf.thsiFinD("ths_adjustment_nv_fund",B$3,$A19))</f>
        <v>#VALUE!</v>
      </c>
      <c r="C19" s="15" t="e">
        <f aca="false">IF($A19="","",[1]!_xludf.thsiFinD("ths_adjustment_nv_fund",C$3,$A19))</f>
        <v>#VALUE!</v>
      </c>
      <c r="D19" s="15" t="e">
        <f aca="false">IF($A19="","",[1]!_xludf.thsiFinD("ths_adjustment_nv_fund",D$3,$A19))</f>
        <v>#VALUE!</v>
      </c>
      <c r="E19" s="15" t="e">
        <f aca="false">IF($A19="","",[1]!_xludf.thsiFinD("ths_adjustment_nv_fund",E$3,$A19))</f>
        <v>#VALUE!</v>
      </c>
      <c r="F19" s="15" t="e">
        <f aca="false">IF($A19="","",[1]!_xludf.thsiFinD("ths_adjustment_nv_fund",F$3,$A19))</f>
        <v>#VALUE!</v>
      </c>
      <c r="G19" s="15" t="e">
        <f aca="false">IF($A19="","",[1]!_xludf.thsiFinD("ths_adjustment_nv_fund",G$3,$A19))</f>
        <v>#VALUE!</v>
      </c>
      <c r="H19" s="15" t="e">
        <f aca="false">IF($A19="","",[1]!_xludf.thsiFinD("ths_adjustment_nv_fund",H$3,$A19))</f>
        <v>#VALUE!</v>
      </c>
      <c r="I19" s="15" t="e">
        <f aca="false">IF($A19="","",[1]!_xludf.thsiFinD("ths_adjustment_nv_fund",I$3,$A19))</f>
        <v>#VALUE!</v>
      </c>
      <c r="J19" s="15" t="e">
        <f aca="false">IF($A19="","",[1]!_xludf.thsiFinD("ths_adjustment_nv_fund",J$3,$A19))</f>
        <v>#VALUE!</v>
      </c>
      <c r="K19" s="15" t="e">
        <f aca="false">IF($A19="","",[1]!_xludf.thsiFinD("ths_adjustment_nv_fund",K$3,$A19))</f>
        <v>#VALUE!</v>
      </c>
      <c r="L19" s="15" t="e">
        <f aca="false">IF($A19="","",[1]!_xludf.thsiFinD("ths_adjustment_nv_fund",L$3,$A19))</f>
        <v>#VALUE!</v>
      </c>
      <c r="M19" s="15" t="e">
        <f aca="false">IF($A19="","",[1]!_xludf.thsiFinD("ths_adjustment_nv_fund",M$3,$A19))</f>
        <v>#VALUE!</v>
      </c>
      <c r="N19" s="15" t="e">
        <f aca="false">IF($A19="","",[1]!_xludf.thsiFinD("ths_adjustment_nv_fund",N$3,$A19))</f>
        <v>#VALUE!</v>
      </c>
      <c r="O19" s="15" t="e">
        <f aca="false">IF($A19="","",[1]!_xludf.thsiFinD("ths_adjustment_nv_fund",O$3,$A19))</f>
        <v>#VALUE!</v>
      </c>
      <c r="P19" s="15" t="e">
        <f aca="false">IF($A19="","",[1]!_xludf.thsiFinD("ths_adjustment_nv_fund",P$3,$A19))</f>
        <v>#VALUE!</v>
      </c>
      <c r="Q19" s="15" t="e">
        <f aca="false">IF($A19="","",[1]!_xludf.thsiFinD("ths_adjustment_nv_fund",Q$3,$A19))</f>
        <v>#VALUE!</v>
      </c>
      <c r="R19" s="15" t="e">
        <f aca="false">IF($A19="","",[1]!_xludf.thsiFinD("ths_adjustment_nv_fund",R$3,$A19))</f>
        <v>#VALUE!</v>
      </c>
      <c r="S19" s="15" t="e">
        <f aca="false">IF($A19="","",[1]!_xludf.thsiFinD("ths_adjustment_nv_fund",S$3,$A19))</f>
        <v>#VALUE!</v>
      </c>
      <c r="T19" s="15" t="e">
        <f aca="false">IF($A19="","",[1]!_xludf.thsiFinD("ths_adjustment_nv_fund",T$3,$A19))</f>
        <v>#VALUE!</v>
      </c>
      <c r="U19" s="15" t="e">
        <f aca="false">IF($A19="","",[1]!_xludf.thsiFinD("ths_adjustment_nv_fund",U$3,$A19))</f>
        <v>#VALUE!</v>
      </c>
      <c r="V19" s="15" t="e">
        <f aca="false">IF($A19="","",[1]!_xludf.thsiFinD("ths_adjustment_nv_fund",V$3,$A19))</f>
        <v>#VALUE!</v>
      </c>
      <c r="W19" s="15" t="e">
        <f aca="false">IF($A19="","",[1]!_xludf.thsiFinD("ths_adjustment_nv_fund",W$3,$A19))</f>
        <v>#VALUE!</v>
      </c>
      <c r="X19" s="15" t="e">
        <f aca="false">IF($A19="","",[1]!_xludf.thsiFinD("ths_adjustment_nv_fund",X$3,$A19))</f>
        <v>#VALUE!</v>
      </c>
      <c r="Y19" s="15" t="e">
        <f aca="false">IF($A19="","",[1]!_xludf.thsiFinD("ths_adjustment_nv_fund",Y$3,$A19))</f>
        <v>#VALUE!</v>
      </c>
    </row>
    <row r="20" customFormat="false" ht="13.5" hidden="false" customHeight="false" outlineLevel="0" collapsed="false">
      <c r="A20" s="9" t="n">
        <v>46213</v>
      </c>
      <c r="B20" s="15" t="e">
        <f aca="false">IF($A20="","",[1]!_xludf.thsiFinD("ths_adjustment_nv_fund",B$3,$A20))</f>
        <v>#VALUE!</v>
      </c>
      <c r="C20" s="15" t="e">
        <f aca="false">IF($A20="","",[1]!_xludf.thsiFinD("ths_adjustment_nv_fund",C$3,$A20))</f>
        <v>#VALUE!</v>
      </c>
      <c r="D20" s="15" t="e">
        <f aca="false">IF($A20="","",[1]!_xludf.thsiFinD("ths_adjustment_nv_fund",D$3,$A20))</f>
        <v>#VALUE!</v>
      </c>
      <c r="E20" s="15" t="e">
        <f aca="false">IF($A20="","",[1]!_xludf.thsiFinD("ths_adjustment_nv_fund",E$3,$A20))</f>
        <v>#VALUE!</v>
      </c>
      <c r="F20" s="15" t="e">
        <f aca="false">IF($A20="","",[1]!_xludf.thsiFinD("ths_adjustment_nv_fund",F$3,$A20))</f>
        <v>#VALUE!</v>
      </c>
      <c r="G20" s="15" t="e">
        <f aca="false">IF($A20="","",[1]!_xludf.thsiFinD("ths_adjustment_nv_fund",G$3,$A20))</f>
        <v>#VALUE!</v>
      </c>
      <c r="H20" s="15" t="e">
        <f aca="false">IF($A20="","",[1]!_xludf.thsiFinD("ths_adjustment_nv_fund",H$3,$A20))</f>
        <v>#VALUE!</v>
      </c>
      <c r="I20" s="15" t="e">
        <f aca="false">IF($A20="","",[1]!_xludf.thsiFinD("ths_adjustment_nv_fund",I$3,$A20))</f>
        <v>#VALUE!</v>
      </c>
      <c r="J20" s="15" t="e">
        <f aca="false">IF($A20="","",[1]!_xludf.thsiFinD("ths_adjustment_nv_fund",J$3,$A20))</f>
        <v>#VALUE!</v>
      </c>
      <c r="K20" s="15" t="e">
        <f aca="false">IF($A20="","",[1]!_xludf.thsiFinD("ths_adjustment_nv_fund",K$3,$A20))</f>
        <v>#VALUE!</v>
      </c>
      <c r="L20" s="15" t="e">
        <f aca="false">IF($A20="","",[1]!_xludf.thsiFinD("ths_adjustment_nv_fund",L$3,$A20))</f>
        <v>#VALUE!</v>
      </c>
      <c r="M20" s="15" t="e">
        <f aca="false">IF($A20="","",[1]!_xludf.thsiFinD("ths_adjustment_nv_fund",M$3,$A20))</f>
        <v>#VALUE!</v>
      </c>
      <c r="N20" s="15" t="e">
        <f aca="false">IF($A20="","",[1]!_xludf.thsiFinD("ths_adjustment_nv_fund",N$3,$A20))</f>
        <v>#VALUE!</v>
      </c>
      <c r="O20" s="15" t="e">
        <f aca="false">IF($A20="","",[1]!_xludf.thsiFinD("ths_adjustment_nv_fund",O$3,$A20))</f>
        <v>#VALUE!</v>
      </c>
      <c r="P20" s="15" t="e">
        <f aca="false">IF($A20="","",[1]!_xludf.thsiFinD("ths_adjustment_nv_fund",P$3,$A20))</f>
        <v>#VALUE!</v>
      </c>
      <c r="Q20" s="15" t="e">
        <f aca="false">IF($A20="","",[1]!_xludf.thsiFinD("ths_adjustment_nv_fund",Q$3,$A20))</f>
        <v>#VALUE!</v>
      </c>
      <c r="R20" s="15" t="e">
        <f aca="false">IF($A20="","",[1]!_xludf.thsiFinD("ths_adjustment_nv_fund",R$3,$A20))</f>
        <v>#VALUE!</v>
      </c>
      <c r="S20" s="15" t="e">
        <f aca="false">IF($A20="","",[1]!_xludf.thsiFinD("ths_adjustment_nv_fund",S$3,$A20))</f>
        <v>#VALUE!</v>
      </c>
      <c r="T20" s="15" t="e">
        <f aca="false">IF($A20="","",[1]!_xludf.thsiFinD("ths_adjustment_nv_fund",T$3,$A20))</f>
        <v>#VALUE!</v>
      </c>
      <c r="U20" s="15" t="e">
        <f aca="false">IF($A20="","",[1]!_xludf.thsiFinD("ths_adjustment_nv_fund",U$3,$A20))</f>
        <v>#VALUE!</v>
      </c>
      <c r="V20" s="15" t="e">
        <f aca="false">IF($A20="","",[1]!_xludf.thsiFinD("ths_adjustment_nv_fund",V$3,$A20))</f>
        <v>#VALUE!</v>
      </c>
      <c r="W20" s="15" t="e">
        <f aca="false">IF($A20="","",[1]!_xludf.thsiFinD("ths_adjustment_nv_fund",W$3,$A20))</f>
        <v>#VALUE!</v>
      </c>
      <c r="X20" s="15" t="e">
        <f aca="false">IF($A20="","",[1]!_xludf.thsiFinD("ths_adjustment_nv_fund",X$3,$A20))</f>
        <v>#VALUE!</v>
      </c>
      <c r="Y20" s="15" t="e">
        <f aca="false">IF($A20="","",[1]!_xludf.thsiFinD("ths_adjustment_nv_fund",Y$3,$A20))</f>
        <v>#VALUE!</v>
      </c>
    </row>
    <row r="21" customFormat="false" ht="13.5" hidden="false" customHeight="false" outlineLevel="0" collapsed="false">
      <c r="A21" s="9" t="n">
        <v>46216</v>
      </c>
      <c r="B21" s="15" t="e">
        <f aca="false">IF($A21="","",[1]!_xludf.thsiFinD("ths_adjustment_nv_fund",B$3,$A21))</f>
        <v>#VALUE!</v>
      </c>
      <c r="C21" s="15" t="e">
        <f aca="false">IF($A21="","",[1]!_xludf.thsiFinD("ths_adjustment_nv_fund",C$3,$A21))</f>
        <v>#VALUE!</v>
      </c>
      <c r="D21" s="15" t="e">
        <f aca="false">IF($A21="","",[1]!_xludf.thsiFinD("ths_adjustment_nv_fund",D$3,$A21))</f>
        <v>#VALUE!</v>
      </c>
      <c r="E21" s="15" t="e">
        <f aca="false">IF($A21="","",[1]!_xludf.thsiFinD("ths_adjustment_nv_fund",E$3,$A21))</f>
        <v>#VALUE!</v>
      </c>
      <c r="F21" s="15" t="e">
        <f aca="false">IF($A21="","",[1]!_xludf.thsiFinD("ths_adjustment_nv_fund",F$3,$A21))</f>
        <v>#VALUE!</v>
      </c>
      <c r="G21" s="15" t="e">
        <f aca="false">IF($A21="","",[1]!_xludf.thsiFinD("ths_adjustment_nv_fund",G$3,$A21))</f>
        <v>#VALUE!</v>
      </c>
      <c r="H21" s="15" t="e">
        <f aca="false">IF($A21="","",[1]!_xludf.thsiFinD("ths_adjustment_nv_fund",H$3,$A21))</f>
        <v>#VALUE!</v>
      </c>
      <c r="I21" s="15" t="e">
        <f aca="false">IF($A21="","",[1]!_xludf.thsiFinD("ths_adjustment_nv_fund",I$3,$A21))</f>
        <v>#VALUE!</v>
      </c>
      <c r="J21" s="15" t="e">
        <f aca="false">IF($A21="","",[1]!_xludf.thsiFinD("ths_adjustment_nv_fund",J$3,$A21))</f>
        <v>#VALUE!</v>
      </c>
      <c r="K21" s="15" t="e">
        <f aca="false">IF($A21="","",[1]!_xludf.thsiFinD("ths_adjustment_nv_fund",K$3,$A21))</f>
        <v>#VALUE!</v>
      </c>
      <c r="L21" s="15" t="e">
        <f aca="false">IF($A21="","",[1]!_xludf.thsiFinD("ths_adjustment_nv_fund",L$3,$A21))</f>
        <v>#VALUE!</v>
      </c>
      <c r="M21" s="15" t="e">
        <f aca="false">IF($A21="","",[1]!_xludf.thsiFinD("ths_adjustment_nv_fund",M$3,$A21))</f>
        <v>#VALUE!</v>
      </c>
      <c r="N21" s="15" t="e">
        <f aca="false">IF($A21="","",[1]!_xludf.thsiFinD("ths_adjustment_nv_fund",N$3,$A21))</f>
        <v>#VALUE!</v>
      </c>
      <c r="O21" s="15" t="e">
        <f aca="false">IF($A21="","",[1]!_xludf.thsiFinD("ths_adjustment_nv_fund",O$3,$A21))</f>
        <v>#VALUE!</v>
      </c>
      <c r="P21" s="15" t="e">
        <f aca="false">IF($A21="","",[1]!_xludf.thsiFinD("ths_adjustment_nv_fund",P$3,$A21))</f>
        <v>#VALUE!</v>
      </c>
      <c r="Q21" s="15" t="e">
        <f aca="false">IF($A21="","",[1]!_xludf.thsiFinD("ths_adjustment_nv_fund",Q$3,$A21))</f>
        <v>#VALUE!</v>
      </c>
      <c r="R21" s="15" t="e">
        <f aca="false">IF($A21="","",[1]!_xludf.thsiFinD("ths_adjustment_nv_fund",R$3,$A21))</f>
        <v>#VALUE!</v>
      </c>
      <c r="S21" s="15" t="e">
        <f aca="false">IF($A21="","",[1]!_xludf.thsiFinD("ths_adjustment_nv_fund",S$3,$A21))</f>
        <v>#VALUE!</v>
      </c>
      <c r="T21" s="15" t="e">
        <f aca="false">IF($A21="","",[1]!_xludf.thsiFinD("ths_adjustment_nv_fund",T$3,$A21))</f>
        <v>#VALUE!</v>
      </c>
      <c r="U21" s="15" t="e">
        <f aca="false">IF($A21="","",[1]!_xludf.thsiFinD("ths_adjustment_nv_fund",U$3,$A21))</f>
        <v>#VALUE!</v>
      </c>
      <c r="V21" s="15" t="e">
        <f aca="false">IF($A21="","",[1]!_xludf.thsiFinD("ths_adjustment_nv_fund",V$3,$A21))</f>
        <v>#VALUE!</v>
      </c>
      <c r="W21" s="15" t="e">
        <f aca="false">IF($A21="","",[1]!_xludf.thsiFinD("ths_adjustment_nv_fund",W$3,$A21))</f>
        <v>#VALUE!</v>
      </c>
      <c r="X21" s="15" t="e">
        <f aca="false">IF($A21="","",[1]!_xludf.thsiFinD("ths_adjustment_nv_fund",X$3,$A21))</f>
        <v>#VALUE!</v>
      </c>
      <c r="Y21" s="15" t="e">
        <f aca="false">IF($A21="","",[1]!_xludf.thsiFinD("ths_adjustment_nv_fund",Y$3,$A21))</f>
        <v>#VALUE!</v>
      </c>
    </row>
    <row r="22" customFormat="false" ht="13.5" hidden="false" customHeight="false" outlineLevel="0" collapsed="false">
      <c r="A22" s="9" t="n">
        <v>46217</v>
      </c>
      <c r="B22" s="15" t="e">
        <f aca="false">IF($A22="","",[1]!_xludf.thsiFinD("ths_adjustment_nv_fund",B$3,$A22))</f>
        <v>#VALUE!</v>
      </c>
      <c r="C22" s="15" t="e">
        <f aca="false">IF($A22="","",[1]!_xludf.thsiFinD("ths_adjustment_nv_fund",C$3,$A22))</f>
        <v>#VALUE!</v>
      </c>
      <c r="D22" s="15" t="e">
        <f aca="false">IF($A22="","",[1]!_xludf.thsiFinD("ths_adjustment_nv_fund",D$3,$A22))</f>
        <v>#VALUE!</v>
      </c>
      <c r="E22" s="15" t="e">
        <f aca="false">IF($A22="","",[1]!_xludf.thsiFinD("ths_adjustment_nv_fund",E$3,$A22))</f>
        <v>#VALUE!</v>
      </c>
      <c r="F22" s="15" t="e">
        <f aca="false">IF($A22="","",[1]!_xludf.thsiFinD("ths_adjustment_nv_fund",F$3,$A22))</f>
        <v>#VALUE!</v>
      </c>
      <c r="G22" s="15" t="e">
        <f aca="false">IF($A22="","",[1]!_xludf.thsiFinD("ths_adjustment_nv_fund",G$3,$A22))</f>
        <v>#VALUE!</v>
      </c>
      <c r="H22" s="15" t="e">
        <f aca="false">IF($A22="","",[1]!_xludf.thsiFinD("ths_adjustment_nv_fund",H$3,$A22))</f>
        <v>#VALUE!</v>
      </c>
      <c r="I22" s="15" t="e">
        <f aca="false">IF($A22="","",[1]!_xludf.thsiFinD("ths_adjustment_nv_fund",I$3,$A22))</f>
        <v>#VALUE!</v>
      </c>
      <c r="J22" s="15" t="e">
        <f aca="false">IF($A22="","",[1]!_xludf.thsiFinD("ths_adjustment_nv_fund",J$3,$A22))</f>
        <v>#VALUE!</v>
      </c>
      <c r="K22" s="15" t="e">
        <f aca="false">IF($A22="","",[1]!_xludf.thsiFinD("ths_adjustment_nv_fund",K$3,$A22))</f>
        <v>#VALUE!</v>
      </c>
      <c r="L22" s="15" t="e">
        <f aca="false">IF($A22="","",[1]!_xludf.thsiFinD("ths_adjustment_nv_fund",L$3,$A22))</f>
        <v>#VALUE!</v>
      </c>
      <c r="M22" s="15" t="e">
        <f aca="false">IF($A22="","",[1]!_xludf.thsiFinD("ths_adjustment_nv_fund",M$3,$A22))</f>
        <v>#VALUE!</v>
      </c>
      <c r="N22" s="15" t="e">
        <f aca="false">IF($A22="","",[1]!_xludf.thsiFinD("ths_adjustment_nv_fund",N$3,$A22))</f>
        <v>#VALUE!</v>
      </c>
      <c r="O22" s="15" t="e">
        <f aca="false">IF($A22="","",[1]!_xludf.thsiFinD("ths_adjustment_nv_fund",O$3,$A22))</f>
        <v>#VALUE!</v>
      </c>
      <c r="P22" s="15" t="e">
        <f aca="false">IF($A22="","",[1]!_xludf.thsiFinD("ths_adjustment_nv_fund",P$3,$A22))</f>
        <v>#VALUE!</v>
      </c>
      <c r="Q22" s="15" t="e">
        <f aca="false">IF($A22="","",[1]!_xludf.thsiFinD("ths_adjustment_nv_fund",Q$3,$A22))</f>
        <v>#VALUE!</v>
      </c>
      <c r="R22" s="15" t="e">
        <f aca="false">IF($A22="","",[1]!_xludf.thsiFinD("ths_adjustment_nv_fund",R$3,$A22))</f>
        <v>#VALUE!</v>
      </c>
      <c r="S22" s="15" t="e">
        <f aca="false">IF($A22="","",[1]!_xludf.thsiFinD("ths_adjustment_nv_fund",S$3,$A22))</f>
        <v>#VALUE!</v>
      </c>
      <c r="T22" s="15" t="e">
        <f aca="false">IF($A22="","",[1]!_xludf.thsiFinD("ths_adjustment_nv_fund",T$3,$A22))</f>
        <v>#VALUE!</v>
      </c>
      <c r="U22" s="15" t="e">
        <f aca="false">IF($A22="","",[1]!_xludf.thsiFinD("ths_adjustment_nv_fund",U$3,$A22))</f>
        <v>#VALUE!</v>
      </c>
      <c r="V22" s="15" t="e">
        <f aca="false">IF($A22="","",[1]!_xludf.thsiFinD("ths_adjustment_nv_fund",V$3,$A22))</f>
        <v>#VALUE!</v>
      </c>
      <c r="W22" s="15" t="e">
        <f aca="false">IF($A22="","",[1]!_xludf.thsiFinD("ths_adjustment_nv_fund",W$3,$A22))</f>
        <v>#VALUE!</v>
      </c>
      <c r="X22" s="15" t="e">
        <f aca="false">IF($A22="","",[1]!_xludf.thsiFinD("ths_adjustment_nv_fund",X$3,$A22))</f>
        <v>#VALUE!</v>
      </c>
      <c r="Y22" s="15" t="e">
        <f aca="false">IF($A22="","",[1]!_xludf.thsiFinD("ths_adjustment_nv_fund",Y$3,$A22))</f>
        <v>#VALUE!</v>
      </c>
    </row>
    <row r="23" customFormat="false" ht="13.5" hidden="false" customHeight="false" outlineLevel="0" collapsed="false">
      <c r="A23" s="9" t="n">
        <v>46218</v>
      </c>
      <c r="B23" s="15" t="e">
        <f aca="false">IF($A23="","",[1]!_xludf.thsiFinD("ths_adjustment_nv_fund",B$3,$A23))</f>
        <v>#VALUE!</v>
      </c>
      <c r="C23" s="15" t="e">
        <f aca="false">IF($A23="","",[1]!_xludf.thsiFinD("ths_adjustment_nv_fund",C$3,$A23))</f>
        <v>#VALUE!</v>
      </c>
      <c r="D23" s="15" t="e">
        <f aca="false">IF($A23="","",[1]!_xludf.thsiFinD("ths_adjustment_nv_fund",D$3,$A23))</f>
        <v>#VALUE!</v>
      </c>
      <c r="E23" s="15" t="e">
        <f aca="false">IF($A23="","",[1]!_xludf.thsiFinD("ths_adjustment_nv_fund",E$3,$A23))</f>
        <v>#VALUE!</v>
      </c>
      <c r="F23" s="15" t="e">
        <f aca="false">IF($A23="","",[1]!_xludf.thsiFinD("ths_adjustment_nv_fund",F$3,$A23))</f>
        <v>#VALUE!</v>
      </c>
      <c r="G23" s="15" t="e">
        <f aca="false">IF($A23="","",[1]!_xludf.thsiFinD("ths_adjustment_nv_fund",G$3,$A23))</f>
        <v>#VALUE!</v>
      </c>
      <c r="H23" s="15" t="e">
        <f aca="false">IF($A23="","",[1]!_xludf.thsiFinD("ths_adjustment_nv_fund",H$3,$A23))</f>
        <v>#VALUE!</v>
      </c>
      <c r="I23" s="15" t="e">
        <f aca="false">IF($A23="","",[1]!_xludf.thsiFinD("ths_adjustment_nv_fund",I$3,$A23))</f>
        <v>#VALUE!</v>
      </c>
      <c r="J23" s="15" t="e">
        <f aca="false">IF($A23="","",[1]!_xludf.thsiFinD("ths_adjustment_nv_fund",J$3,$A23))</f>
        <v>#VALUE!</v>
      </c>
      <c r="K23" s="15" t="e">
        <f aca="false">IF($A23="","",[1]!_xludf.thsiFinD("ths_adjustment_nv_fund",K$3,$A23))</f>
        <v>#VALUE!</v>
      </c>
      <c r="L23" s="15" t="e">
        <f aca="false">IF($A23="","",[1]!_xludf.thsiFinD("ths_adjustment_nv_fund",L$3,$A23))</f>
        <v>#VALUE!</v>
      </c>
      <c r="M23" s="15" t="e">
        <f aca="false">IF($A23="","",[1]!_xludf.thsiFinD("ths_adjustment_nv_fund",M$3,$A23))</f>
        <v>#VALUE!</v>
      </c>
      <c r="N23" s="15" t="e">
        <f aca="false">IF($A23="","",[1]!_xludf.thsiFinD("ths_adjustment_nv_fund",N$3,$A23))</f>
        <v>#VALUE!</v>
      </c>
      <c r="O23" s="15" t="e">
        <f aca="false">IF($A23="","",[1]!_xludf.thsiFinD("ths_adjustment_nv_fund",O$3,$A23))</f>
        <v>#VALUE!</v>
      </c>
      <c r="P23" s="15" t="e">
        <f aca="false">IF($A23="","",[1]!_xludf.thsiFinD("ths_adjustment_nv_fund",P$3,$A23))</f>
        <v>#VALUE!</v>
      </c>
      <c r="Q23" s="15" t="e">
        <f aca="false">IF($A23="","",[1]!_xludf.thsiFinD("ths_adjustment_nv_fund",Q$3,$A23))</f>
        <v>#VALUE!</v>
      </c>
      <c r="R23" s="15" t="e">
        <f aca="false">IF($A23="","",[1]!_xludf.thsiFinD("ths_adjustment_nv_fund",R$3,$A23))</f>
        <v>#VALUE!</v>
      </c>
      <c r="S23" s="15" t="e">
        <f aca="false">IF($A23="","",[1]!_xludf.thsiFinD("ths_adjustment_nv_fund",S$3,$A23))</f>
        <v>#VALUE!</v>
      </c>
      <c r="T23" s="15" t="e">
        <f aca="false">IF($A23="","",[1]!_xludf.thsiFinD("ths_adjustment_nv_fund",T$3,$A23))</f>
        <v>#VALUE!</v>
      </c>
      <c r="U23" s="15" t="e">
        <f aca="false">IF($A23="","",[1]!_xludf.thsiFinD("ths_adjustment_nv_fund",U$3,$A23))</f>
        <v>#VALUE!</v>
      </c>
      <c r="V23" s="15" t="e">
        <f aca="false">IF($A23="","",[1]!_xludf.thsiFinD("ths_adjustment_nv_fund",V$3,$A23))</f>
        <v>#VALUE!</v>
      </c>
      <c r="W23" s="15" t="e">
        <f aca="false">IF($A23="","",[1]!_xludf.thsiFinD("ths_adjustment_nv_fund",W$3,$A23))</f>
        <v>#VALUE!</v>
      </c>
      <c r="X23" s="15" t="e">
        <f aca="false">IF($A23="","",[1]!_xludf.thsiFinD("ths_adjustment_nv_fund",X$3,$A23))</f>
        <v>#VALUE!</v>
      </c>
      <c r="Y23" s="15" t="e">
        <f aca="false">IF($A23="","",[1]!_xludf.thsiFinD("ths_adjustment_nv_fund",Y$3,$A23))</f>
        <v>#VALUE!</v>
      </c>
    </row>
    <row r="24" customFormat="false" ht="13.5" hidden="false" customHeight="false" outlineLevel="0" collapsed="false">
      <c r="A24" s="9"/>
      <c r="B24" s="15" t="str">
        <f aca="false">IF($A24="","",[1]!_xludf.thsiFinD("ths_adjustment_nv_fund",B$3,$A24))</f>
        <v/>
      </c>
      <c r="C24" s="15" t="str">
        <f aca="false">IF($A24="","",[1]!_xludf.thsiFinD("ths_adjustment_nv_fund",C$3,$A24))</f>
        <v/>
      </c>
      <c r="D24" s="15" t="str">
        <f aca="false">IF($A24="","",[1]!_xludf.thsiFinD("ths_adjustment_nv_fund",D$3,$A24))</f>
        <v/>
      </c>
      <c r="E24" s="15" t="str">
        <f aca="false">IF($A24="","",[1]!_xludf.thsiFinD("ths_adjustment_nv_fund",E$3,$A24))</f>
        <v/>
      </c>
      <c r="F24" s="15" t="str">
        <f aca="false">IF($A24="","",[1]!_xludf.thsiFinD("ths_adjustment_nv_fund",F$3,$A24))</f>
        <v/>
      </c>
      <c r="G24" s="15" t="str">
        <f aca="false">IF($A24="","",[1]!_xludf.thsiFinD("ths_adjustment_nv_fund",G$3,$A24))</f>
        <v/>
      </c>
      <c r="H24" s="15" t="str">
        <f aca="false">IF($A24="","",[1]!_xludf.thsiFinD("ths_adjustment_nv_fund",H$3,$A24))</f>
        <v/>
      </c>
      <c r="I24" s="15" t="str">
        <f aca="false">IF($A24="","",[1]!_xludf.thsiFinD("ths_adjustment_nv_fund",I$3,$A24))</f>
        <v/>
      </c>
      <c r="J24" s="15" t="str">
        <f aca="false">IF($A24="","",[1]!_xludf.thsiFinD("ths_adjustment_nv_fund",J$3,$A24))</f>
        <v/>
      </c>
      <c r="K24" s="15" t="str">
        <f aca="false">IF($A24="","",[1]!_xludf.thsiFinD("ths_adjustment_nv_fund",K$3,$A24))</f>
        <v/>
      </c>
      <c r="L24" s="15" t="str">
        <f aca="false">IF($A24="","",[1]!_xludf.thsiFinD("ths_adjustment_nv_fund",L$3,$A24))</f>
        <v/>
      </c>
      <c r="M24" s="15" t="str">
        <f aca="false">IF($A24="","",[1]!_xludf.thsiFinD("ths_adjustment_nv_fund",M$3,$A24))</f>
        <v/>
      </c>
      <c r="N24" s="15" t="str">
        <f aca="false">IF($A24="","",[1]!_xludf.thsiFinD("ths_adjustment_nv_fund",N$3,$A24))</f>
        <v/>
      </c>
      <c r="O24" s="15" t="str">
        <f aca="false">IF($A24="","",[1]!_xludf.thsiFinD("ths_adjustment_nv_fund",O$3,$A24))</f>
        <v/>
      </c>
      <c r="P24" s="15" t="str">
        <f aca="false">IF($A24="","",[1]!_xludf.thsiFinD("ths_adjustment_nv_fund",P$3,$A24))</f>
        <v/>
      </c>
      <c r="Q24" s="15" t="str">
        <f aca="false">IF($A24="","",[1]!_xludf.thsiFinD("ths_adjustment_nv_fund",Q$3,$A24))</f>
        <v/>
      </c>
      <c r="R24" s="15" t="str">
        <f aca="false">IF($A24="","",[1]!_xludf.thsiFinD("ths_adjustment_nv_fund",R$3,$A24))</f>
        <v/>
      </c>
      <c r="S24" s="15" t="str">
        <f aca="false">IF($A24="","",[1]!_xludf.thsiFinD("ths_adjustment_nv_fund",S$3,$A24))</f>
        <v/>
      </c>
      <c r="T24" s="15" t="str">
        <f aca="false">IF($A24="","",[1]!_xludf.thsiFinD("ths_adjustment_nv_fund",T$3,$A24))</f>
        <v/>
      </c>
      <c r="U24" s="15" t="str">
        <f aca="false">IF($A24="","",[1]!_xludf.thsiFinD("ths_adjustment_nv_fund",U$3,$A24))</f>
        <v/>
      </c>
      <c r="V24" s="15" t="str">
        <f aca="false">IF($A24="","",[1]!_xludf.thsiFinD("ths_adjustment_nv_fund",V$3,$A24))</f>
        <v/>
      </c>
      <c r="W24" s="15" t="str">
        <f aca="false">IF($A24="","",[1]!_xludf.thsiFinD("ths_adjustment_nv_fund",W$3,$A24))</f>
        <v/>
      </c>
      <c r="X24" s="15" t="str">
        <f aca="false">IF($A24="","",[1]!_xludf.thsiFinD("ths_adjustment_nv_fund",X$3,$A24))</f>
        <v/>
      </c>
      <c r="Y24" s="15" t="str">
        <f aca="false">IF($A24="","",[1]!_xludf.thsiFinD("ths_adjustment_nv_fund",Y$3,$A24))</f>
        <v/>
      </c>
    </row>
    <row r="25" customFormat="false" ht="13.5" hidden="false" customHeight="false" outlineLevel="0" collapsed="false">
      <c r="A25" s="9"/>
      <c r="B25" s="15" t="str">
        <f aca="false">IF($A25="","",[1]!_xludf.thsiFinD("ths_adjustment_nv_fund",B$3,$A25))</f>
        <v/>
      </c>
      <c r="C25" s="15" t="str">
        <f aca="false">IF($A25="","",[1]!_xludf.thsiFinD("ths_adjustment_nv_fund",C$3,$A25))</f>
        <v/>
      </c>
      <c r="D25" s="15" t="str">
        <f aca="false">IF($A25="","",[1]!_xludf.thsiFinD("ths_adjustment_nv_fund",D$3,$A25))</f>
        <v/>
      </c>
      <c r="E25" s="15" t="str">
        <f aca="false">IF($A25="","",[1]!_xludf.thsiFinD("ths_adjustment_nv_fund",E$3,$A25))</f>
        <v/>
      </c>
      <c r="F25" s="15" t="str">
        <f aca="false">IF($A25="","",[1]!_xludf.thsiFinD("ths_adjustment_nv_fund",F$3,$A25))</f>
        <v/>
      </c>
      <c r="G25" s="15" t="str">
        <f aca="false">IF($A25="","",[1]!_xludf.thsiFinD("ths_adjustment_nv_fund",G$3,$A25))</f>
        <v/>
      </c>
      <c r="H25" s="15" t="str">
        <f aca="false">IF($A25="","",[1]!_xludf.thsiFinD("ths_adjustment_nv_fund",H$3,$A25))</f>
        <v/>
      </c>
      <c r="I25" s="15" t="str">
        <f aca="false">IF($A25="","",[1]!_xludf.thsiFinD("ths_adjustment_nv_fund",I$3,$A25))</f>
        <v/>
      </c>
      <c r="J25" s="15" t="str">
        <f aca="false">IF($A25="","",[1]!_xludf.thsiFinD("ths_adjustment_nv_fund",J$3,$A25))</f>
        <v/>
      </c>
      <c r="K25" s="15" t="str">
        <f aca="false">IF($A25="","",[1]!_xludf.thsiFinD("ths_adjustment_nv_fund",K$3,$A25))</f>
        <v/>
      </c>
      <c r="L25" s="15" t="str">
        <f aca="false">IF($A25="","",[1]!_xludf.thsiFinD("ths_adjustment_nv_fund",L$3,$A25))</f>
        <v/>
      </c>
      <c r="M25" s="15" t="str">
        <f aca="false">IF($A25="","",[1]!_xludf.thsiFinD("ths_adjustment_nv_fund",M$3,$A25))</f>
        <v/>
      </c>
      <c r="N25" s="15" t="str">
        <f aca="false">IF($A25="","",[1]!_xludf.thsiFinD("ths_adjustment_nv_fund",N$3,$A25))</f>
        <v/>
      </c>
      <c r="O25" s="15" t="str">
        <f aca="false">IF($A25="","",[1]!_xludf.thsiFinD("ths_adjustment_nv_fund",O$3,$A25))</f>
        <v/>
      </c>
      <c r="P25" s="15" t="str">
        <f aca="false">IF($A25="","",[1]!_xludf.thsiFinD("ths_adjustment_nv_fund",P$3,$A25))</f>
        <v/>
      </c>
      <c r="Q25" s="15" t="str">
        <f aca="false">IF($A25="","",[1]!_xludf.thsiFinD("ths_adjustment_nv_fund",Q$3,$A25))</f>
        <v/>
      </c>
      <c r="R25" s="15" t="str">
        <f aca="false">IF($A25="","",[1]!_xludf.thsiFinD("ths_adjustment_nv_fund",R$3,$A25))</f>
        <v/>
      </c>
      <c r="S25" s="15" t="str">
        <f aca="false">IF($A25="","",[1]!_xludf.thsiFinD("ths_adjustment_nv_fund",S$3,$A25))</f>
        <v/>
      </c>
      <c r="T25" s="15" t="str">
        <f aca="false">IF($A25="","",[1]!_xludf.thsiFinD("ths_adjustment_nv_fund",T$3,$A25))</f>
        <v/>
      </c>
      <c r="U25" s="15" t="str">
        <f aca="false">IF($A25="","",[1]!_xludf.thsiFinD("ths_adjustment_nv_fund",U$3,$A25))</f>
        <v/>
      </c>
      <c r="V25" s="15" t="str">
        <f aca="false">IF($A25="","",[1]!_xludf.thsiFinD("ths_adjustment_nv_fund",V$3,$A25))</f>
        <v/>
      </c>
      <c r="W25" s="15" t="str">
        <f aca="false">IF($A25="","",[1]!_xludf.thsiFinD("ths_adjustment_nv_fund",W$3,$A25))</f>
        <v/>
      </c>
      <c r="X25" s="15" t="str">
        <f aca="false">IF($A25="","",[1]!_xludf.thsiFinD("ths_adjustment_nv_fund",X$3,$A25))</f>
        <v/>
      </c>
      <c r="Y25" s="15" t="str">
        <f aca="false">IF($A25="","",[1]!_xludf.thsiFinD("ths_adjustment_nv_fund",Y$3,$A25))</f>
        <v/>
      </c>
    </row>
    <row r="26" customFormat="false" ht="13.5" hidden="false" customHeight="false" outlineLevel="0" collapsed="false">
      <c r="A26" s="9"/>
      <c r="B26" s="15" t="str">
        <f aca="false">IF($A26="","",[1]!_xludf.thsiFinD("ths_adjustment_nv_fund",B$3,$A26))</f>
        <v/>
      </c>
      <c r="C26" s="15" t="str">
        <f aca="false">IF($A26="","",[1]!_xludf.thsiFinD("ths_adjustment_nv_fund",C$3,$A26))</f>
        <v/>
      </c>
      <c r="D26" s="15" t="str">
        <f aca="false">IF($A26="","",[1]!_xludf.thsiFinD("ths_adjustment_nv_fund",D$3,$A26))</f>
        <v/>
      </c>
      <c r="E26" s="15" t="str">
        <f aca="false">IF($A26="","",[1]!_xludf.thsiFinD("ths_adjustment_nv_fund",E$3,$A26))</f>
        <v/>
      </c>
      <c r="F26" s="15" t="str">
        <f aca="false">IF($A26="","",[1]!_xludf.thsiFinD("ths_adjustment_nv_fund",F$3,$A26))</f>
        <v/>
      </c>
      <c r="G26" s="15" t="str">
        <f aca="false">IF($A26="","",[1]!_xludf.thsiFinD("ths_adjustment_nv_fund",G$3,$A26))</f>
        <v/>
      </c>
      <c r="H26" s="15" t="str">
        <f aca="false">IF($A26="","",[1]!_xludf.thsiFinD("ths_adjustment_nv_fund",H$3,$A26))</f>
        <v/>
      </c>
      <c r="I26" s="15" t="str">
        <f aca="false">IF($A26="","",[1]!_xludf.thsiFinD("ths_adjustment_nv_fund",I$3,$A26))</f>
        <v/>
      </c>
      <c r="J26" s="15" t="str">
        <f aca="false">IF($A26="","",[1]!_xludf.thsiFinD("ths_adjustment_nv_fund",J$3,$A26))</f>
        <v/>
      </c>
      <c r="K26" s="15" t="str">
        <f aca="false">IF($A26="","",[1]!_xludf.thsiFinD("ths_adjustment_nv_fund",K$3,$A26))</f>
        <v/>
      </c>
      <c r="L26" s="15" t="str">
        <f aca="false">IF($A26="","",[1]!_xludf.thsiFinD("ths_adjustment_nv_fund",L$3,$A26))</f>
        <v/>
      </c>
      <c r="M26" s="15" t="str">
        <f aca="false">IF($A26="","",[1]!_xludf.thsiFinD("ths_adjustment_nv_fund",M$3,$A26))</f>
        <v/>
      </c>
      <c r="N26" s="15" t="str">
        <f aca="false">IF($A26="","",[1]!_xludf.thsiFinD("ths_adjustment_nv_fund",N$3,$A26))</f>
        <v/>
      </c>
      <c r="O26" s="15" t="str">
        <f aca="false">IF($A26="","",[1]!_xludf.thsiFinD("ths_adjustment_nv_fund",O$3,$A26))</f>
        <v/>
      </c>
      <c r="P26" s="15" t="str">
        <f aca="false">IF($A26="","",[1]!_xludf.thsiFinD("ths_adjustment_nv_fund",P$3,$A26))</f>
        <v/>
      </c>
      <c r="Q26" s="15" t="str">
        <f aca="false">IF($A26="","",[1]!_xludf.thsiFinD("ths_adjustment_nv_fund",Q$3,$A26))</f>
        <v/>
      </c>
      <c r="R26" s="15" t="str">
        <f aca="false">IF($A26="","",[1]!_xludf.thsiFinD("ths_adjustment_nv_fund",R$3,$A26))</f>
        <v/>
      </c>
      <c r="S26" s="15" t="str">
        <f aca="false">IF($A26="","",[1]!_xludf.thsiFinD("ths_adjustment_nv_fund",S$3,$A26))</f>
        <v/>
      </c>
      <c r="T26" s="15" t="str">
        <f aca="false">IF($A26="","",[1]!_xludf.thsiFinD("ths_adjustment_nv_fund",T$3,$A26))</f>
        <v/>
      </c>
      <c r="U26" s="15" t="str">
        <f aca="false">IF($A26="","",[1]!_xludf.thsiFinD("ths_adjustment_nv_fund",U$3,$A26))</f>
        <v/>
      </c>
      <c r="V26" s="15" t="str">
        <f aca="false">IF($A26="","",[1]!_xludf.thsiFinD("ths_adjustment_nv_fund",V$3,$A26))</f>
        <v/>
      </c>
      <c r="W26" s="15" t="str">
        <f aca="false">IF($A26="","",[1]!_xludf.thsiFinD("ths_adjustment_nv_fund",W$3,$A26))</f>
        <v/>
      </c>
      <c r="X26" s="15" t="str">
        <f aca="false">IF($A26="","",[1]!_xludf.thsiFinD("ths_adjustment_nv_fund",X$3,$A26))</f>
        <v/>
      </c>
      <c r="Y26" s="15" t="str">
        <f aca="false">IF($A26="","",[1]!_xludf.thsiFinD("ths_adjustment_nv_fund",Y$3,$A26))</f>
        <v/>
      </c>
    </row>
    <row r="27" customFormat="false" ht="13.5" hidden="false" customHeight="false" outlineLevel="0" collapsed="false">
      <c r="A27" s="9"/>
      <c r="B27" s="15" t="str">
        <f aca="false">IF($A27="","",[1]!_xludf.thsiFinD("ths_adjustment_nv_fund",B$3,$A27))</f>
        <v/>
      </c>
      <c r="C27" s="15" t="str">
        <f aca="false">IF($A27="","",[1]!_xludf.thsiFinD("ths_adjustment_nv_fund",C$3,$A27))</f>
        <v/>
      </c>
      <c r="D27" s="15" t="str">
        <f aca="false">IF($A27="","",[1]!_xludf.thsiFinD("ths_adjustment_nv_fund",D$3,$A27))</f>
        <v/>
      </c>
      <c r="E27" s="15" t="str">
        <f aca="false">IF($A27="","",[1]!_xludf.thsiFinD("ths_adjustment_nv_fund",E$3,$A27))</f>
        <v/>
      </c>
      <c r="F27" s="15" t="str">
        <f aca="false">IF($A27="","",[1]!_xludf.thsiFinD("ths_adjustment_nv_fund",F$3,$A27))</f>
        <v/>
      </c>
      <c r="G27" s="15" t="str">
        <f aca="false">IF($A27="","",[1]!_xludf.thsiFinD("ths_adjustment_nv_fund",G$3,$A27))</f>
        <v/>
      </c>
      <c r="H27" s="15" t="str">
        <f aca="false">IF($A27="","",[1]!_xludf.thsiFinD("ths_adjustment_nv_fund",H$3,$A27))</f>
        <v/>
      </c>
      <c r="I27" s="15" t="str">
        <f aca="false">IF($A27="","",[1]!_xludf.thsiFinD("ths_adjustment_nv_fund",I$3,$A27))</f>
        <v/>
      </c>
      <c r="J27" s="15" t="str">
        <f aca="false">IF($A27="","",[1]!_xludf.thsiFinD("ths_adjustment_nv_fund",J$3,$A27))</f>
        <v/>
      </c>
      <c r="K27" s="15" t="str">
        <f aca="false">IF($A27="","",[1]!_xludf.thsiFinD("ths_adjustment_nv_fund",K$3,$A27))</f>
        <v/>
      </c>
      <c r="L27" s="15" t="str">
        <f aca="false">IF($A27="","",[1]!_xludf.thsiFinD("ths_adjustment_nv_fund",L$3,$A27))</f>
        <v/>
      </c>
      <c r="M27" s="15" t="str">
        <f aca="false">IF($A27="","",[1]!_xludf.thsiFinD("ths_adjustment_nv_fund",M$3,$A27))</f>
        <v/>
      </c>
      <c r="N27" s="15" t="str">
        <f aca="false">IF($A27="","",[1]!_xludf.thsiFinD("ths_adjustment_nv_fund",N$3,$A27))</f>
        <v/>
      </c>
      <c r="O27" s="15" t="str">
        <f aca="false">IF($A27="","",[1]!_xludf.thsiFinD("ths_adjustment_nv_fund",O$3,$A27))</f>
        <v/>
      </c>
      <c r="P27" s="15" t="str">
        <f aca="false">IF($A27="","",[1]!_xludf.thsiFinD("ths_adjustment_nv_fund",P$3,$A27))</f>
        <v/>
      </c>
      <c r="Q27" s="15" t="str">
        <f aca="false">IF($A27="","",[1]!_xludf.thsiFinD("ths_adjustment_nv_fund",Q$3,$A27))</f>
        <v/>
      </c>
      <c r="R27" s="15" t="str">
        <f aca="false">IF($A27="","",[1]!_xludf.thsiFinD("ths_adjustment_nv_fund",R$3,$A27))</f>
        <v/>
      </c>
      <c r="S27" s="15" t="str">
        <f aca="false">IF($A27="","",[1]!_xludf.thsiFinD("ths_adjustment_nv_fund",S$3,$A27))</f>
        <v/>
      </c>
      <c r="T27" s="15" t="str">
        <f aca="false">IF($A27="","",[1]!_xludf.thsiFinD("ths_adjustment_nv_fund",T$3,$A27))</f>
        <v/>
      </c>
      <c r="U27" s="15" t="str">
        <f aca="false">IF($A27="","",[1]!_xludf.thsiFinD("ths_adjustment_nv_fund",U$3,$A27))</f>
        <v/>
      </c>
      <c r="V27" s="15" t="str">
        <f aca="false">IF($A27="","",[1]!_xludf.thsiFinD("ths_adjustment_nv_fund",V$3,$A27))</f>
        <v/>
      </c>
      <c r="W27" s="15" t="str">
        <f aca="false">IF($A27="","",[1]!_xludf.thsiFinD("ths_adjustment_nv_fund",W$3,$A27))</f>
        <v/>
      </c>
      <c r="X27" s="15" t="str">
        <f aca="false">IF($A27="","",[1]!_xludf.thsiFinD("ths_adjustment_nv_fund",X$3,$A27))</f>
        <v/>
      </c>
      <c r="Y27" s="15" t="str">
        <f aca="false">IF($A27="","",[1]!_xludf.thsiFinD("ths_adjustment_nv_fund",Y$3,$A27))</f>
        <v/>
      </c>
    </row>
    <row r="28" customFormat="false" ht="13.5" hidden="false" customHeight="false" outlineLevel="0" collapsed="false">
      <c r="A28" s="9"/>
      <c r="B28" s="15" t="str">
        <f aca="false">IF($A28="","",[1]!_xludf.thsiFinD("ths_adjustment_nv_fund",B$3,$A28))</f>
        <v/>
      </c>
      <c r="C28" s="15" t="str">
        <f aca="false">IF($A28="","",[1]!_xludf.thsiFinD("ths_adjustment_nv_fund",C$3,$A28))</f>
        <v/>
      </c>
      <c r="D28" s="15" t="str">
        <f aca="false">IF($A28="","",[1]!_xludf.thsiFinD("ths_adjustment_nv_fund",D$3,$A28))</f>
        <v/>
      </c>
      <c r="E28" s="15" t="str">
        <f aca="false">IF($A28="","",[1]!_xludf.thsiFinD("ths_adjustment_nv_fund",E$3,$A28))</f>
        <v/>
      </c>
      <c r="F28" s="15" t="str">
        <f aca="false">IF($A28="","",[1]!_xludf.thsiFinD("ths_adjustment_nv_fund",F$3,$A28))</f>
        <v/>
      </c>
      <c r="G28" s="15" t="str">
        <f aca="false">IF($A28="","",[1]!_xludf.thsiFinD("ths_adjustment_nv_fund",G$3,$A28))</f>
        <v/>
      </c>
      <c r="H28" s="15" t="str">
        <f aca="false">IF($A28="","",[1]!_xludf.thsiFinD("ths_adjustment_nv_fund",H$3,$A28))</f>
        <v/>
      </c>
      <c r="I28" s="15" t="str">
        <f aca="false">IF($A28="","",[1]!_xludf.thsiFinD("ths_adjustment_nv_fund",I$3,$A28))</f>
        <v/>
      </c>
      <c r="J28" s="15" t="str">
        <f aca="false">IF($A28="","",[1]!_xludf.thsiFinD("ths_adjustment_nv_fund",J$3,$A28))</f>
        <v/>
      </c>
      <c r="K28" s="15" t="str">
        <f aca="false">IF($A28="","",[1]!_xludf.thsiFinD("ths_adjustment_nv_fund",K$3,$A28))</f>
        <v/>
      </c>
      <c r="L28" s="15" t="str">
        <f aca="false">IF($A28="","",[1]!_xludf.thsiFinD("ths_adjustment_nv_fund",L$3,$A28))</f>
        <v/>
      </c>
      <c r="M28" s="15" t="str">
        <f aca="false">IF($A28="","",[1]!_xludf.thsiFinD("ths_adjustment_nv_fund",M$3,$A28))</f>
        <v/>
      </c>
      <c r="N28" s="15" t="str">
        <f aca="false">IF($A28="","",[1]!_xludf.thsiFinD("ths_adjustment_nv_fund",N$3,$A28))</f>
        <v/>
      </c>
      <c r="O28" s="15" t="str">
        <f aca="false">IF($A28="","",[1]!_xludf.thsiFinD("ths_adjustment_nv_fund",O$3,$A28))</f>
        <v/>
      </c>
      <c r="P28" s="15" t="str">
        <f aca="false">IF($A28="","",[1]!_xludf.thsiFinD("ths_adjustment_nv_fund",P$3,$A28))</f>
        <v/>
      </c>
      <c r="Q28" s="15" t="str">
        <f aca="false">IF($A28="","",[1]!_xludf.thsiFinD("ths_adjustment_nv_fund",Q$3,$A28))</f>
        <v/>
      </c>
      <c r="R28" s="15" t="str">
        <f aca="false">IF($A28="","",[1]!_xludf.thsiFinD("ths_adjustment_nv_fund",R$3,$A28))</f>
        <v/>
      </c>
      <c r="S28" s="15" t="str">
        <f aca="false">IF($A28="","",[1]!_xludf.thsiFinD("ths_adjustment_nv_fund",S$3,$A28))</f>
        <v/>
      </c>
      <c r="T28" s="15" t="str">
        <f aca="false">IF($A28="","",[1]!_xludf.thsiFinD("ths_adjustment_nv_fund",T$3,$A28))</f>
        <v/>
      </c>
      <c r="U28" s="15" t="str">
        <f aca="false">IF($A28="","",[1]!_xludf.thsiFinD("ths_adjustment_nv_fund",U$3,$A28))</f>
        <v/>
      </c>
      <c r="V28" s="15" t="str">
        <f aca="false">IF($A28="","",[1]!_xludf.thsiFinD("ths_adjustment_nv_fund",V$3,$A28))</f>
        <v/>
      </c>
      <c r="W28" s="15" t="str">
        <f aca="false">IF($A28="","",[1]!_xludf.thsiFinD("ths_adjustment_nv_fund",W$3,$A28))</f>
        <v/>
      </c>
      <c r="X28" s="15" t="str">
        <f aca="false">IF($A28="","",[1]!_xludf.thsiFinD("ths_adjustment_nv_fund",X$3,$A28))</f>
        <v/>
      </c>
      <c r="Y28" s="15" t="str">
        <f aca="false">IF($A28="","",[1]!_xludf.thsiFinD("ths_adjustment_nv_fund",Y$3,$A28))</f>
        <v/>
      </c>
    </row>
    <row r="29" customFormat="false" ht="13.5" hidden="false" customHeight="false" outlineLevel="0" collapsed="false">
      <c r="A29" s="9"/>
      <c r="B29" s="15" t="str">
        <f aca="false">IF($A29="","",[1]!_xludf.thsiFinD("ths_adjustment_nv_fund",B$3,$A29))</f>
        <v/>
      </c>
      <c r="C29" s="15" t="str">
        <f aca="false">IF($A29="","",[1]!_xludf.thsiFinD("ths_adjustment_nv_fund",C$3,$A29))</f>
        <v/>
      </c>
      <c r="D29" s="15" t="str">
        <f aca="false">IF($A29="","",[1]!_xludf.thsiFinD("ths_adjustment_nv_fund",D$3,$A29))</f>
        <v/>
      </c>
      <c r="E29" s="15" t="str">
        <f aca="false">IF($A29="","",[1]!_xludf.thsiFinD("ths_adjustment_nv_fund",E$3,$A29))</f>
        <v/>
      </c>
      <c r="F29" s="15" t="str">
        <f aca="false">IF($A29="","",[1]!_xludf.thsiFinD("ths_adjustment_nv_fund",F$3,$A29))</f>
        <v/>
      </c>
      <c r="G29" s="15" t="str">
        <f aca="false">IF($A29="","",[1]!_xludf.thsiFinD("ths_adjustment_nv_fund",G$3,$A29))</f>
        <v/>
      </c>
      <c r="H29" s="15" t="str">
        <f aca="false">IF($A29="","",[1]!_xludf.thsiFinD("ths_adjustment_nv_fund",H$3,$A29))</f>
        <v/>
      </c>
      <c r="I29" s="15" t="str">
        <f aca="false">IF($A29="","",[1]!_xludf.thsiFinD("ths_adjustment_nv_fund",I$3,$A29))</f>
        <v/>
      </c>
      <c r="J29" s="15" t="str">
        <f aca="false">IF($A29="","",[1]!_xludf.thsiFinD("ths_adjustment_nv_fund",J$3,$A29))</f>
        <v/>
      </c>
      <c r="K29" s="15" t="str">
        <f aca="false">IF($A29="","",[1]!_xludf.thsiFinD("ths_adjustment_nv_fund",K$3,$A29))</f>
        <v/>
      </c>
      <c r="L29" s="15" t="str">
        <f aca="false">IF($A29="","",[1]!_xludf.thsiFinD("ths_adjustment_nv_fund",L$3,$A29))</f>
        <v/>
      </c>
      <c r="M29" s="15" t="str">
        <f aca="false">IF($A29="","",[1]!_xludf.thsiFinD("ths_adjustment_nv_fund",M$3,$A29))</f>
        <v/>
      </c>
      <c r="N29" s="15" t="str">
        <f aca="false">IF($A29="","",[1]!_xludf.thsiFinD("ths_adjustment_nv_fund",N$3,$A29))</f>
        <v/>
      </c>
      <c r="O29" s="15" t="str">
        <f aca="false">IF($A29="","",[1]!_xludf.thsiFinD("ths_adjustment_nv_fund",O$3,$A29))</f>
        <v/>
      </c>
      <c r="P29" s="15" t="str">
        <f aca="false">IF($A29="","",[1]!_xludf.thsiFinD("ths_adjustment_nv_fund",P$3,$A29))</f>
        <v/>
      </c>
      <c r="Q29" s="15" t="str">
        <f aca="false">IF($A29="","",[1]!_xludf.thsiFinD("ths_adjustment_nv_fund",Q$3,$A29))</f>
        <v/>
      </c>
      <c r="R29" s="15" t="str">
        <f aca="false">IF($A29="","",[1]!_xludf.thsiFinD("ths_adjustment_nv_fund",R$3,$A29))</f>
        <v/>
      </c>
      <c r="S29" s="15" t="str">
        <f aca="false">IF($A29="","",[1]!_xludf.thsiFinD("ths_adjustment_nv_fund",S$3,$A29))</f>
        <v/>
      </c>
      <c r="T29" s="15" t="str">
        <f aca="false">IF($A29="","",[1]!_xludf.thsiFinD("ths_adjustment_nv_fund",T$3,$A29))</f>
        <v/>
      </c>
      <c r="U29" s="15" t="str">
        <f aca="false">IF($A29="","",[1]!_xludf.thsiFinD("ths_adjustment_nv_fund",U$3,$A29))</f>
        <v/>
      </c>
      <c r="V29" s="15" t="str">
        <f aca="false">IF($A29="","",[1]!_xludf.thsiFinD("ths_adjustment_nv_fund",V$3,$A29))</f>
        <v/>
      </c>
      <c r="W29" s="15" t="str">
        <f aca="false">IF($A29="","",[1]!_xludf.thsiFinD("ths_adjustment_nv_fund",W$3,$A29))</f>
        <v/>
      </c>
      <c r="X29" s="15" t="str">
        <f aca="false">IF($A29="","",[1]!_xludf.thsiFinD("ths_adjustment_nv_fund",X$3,$A29))</f>
        <v/>
      </c>
      <c r="Y29" s="15" t="str">
        <f aca="false">IF($A29="","",[1]!_xludf.thsiFinD("ths_adjustment_nv_fund",Y$3,$A29))</f>
        <v/>
      </c>
    </row>
    <row r="30" customFormat="false" ht="13.5" hidden="false" customHeight="false" outlineLevel="0" collapsed="false">
      <c r="A30" s="9"/>
      <c r="B30" s="15" t="str">
        <f aca="false">IF($A30="","",[1]!_xludf.thsiFinD("ths_adjustment_nv_fund",B$3,$A30))</f>
        <v/>
      </c>
      <c r="C30" s="15" t="str">
        <f aca="false">IF($A30="","",[1]!_xludf.thsiFinD("ths_adjustment_nv_fund",C$3,$A30))</f>
        <v/>
      </c>
      <c r="D30" s="15" t="str">
        <f aca="false">IF($A30="","",[1]!_xludf.thsiFinD("ths_adjustment_nv_fund",D$3,$A30))</f>
        <v/>
      </c>
      <c r="E30" s="15" t="str">
        <f aca="false">IF($A30="","",[1]!_xludf.thsiFinD("ths_adjustment_nv_fund",E$3,$A30))</f>
        <v/>
      </c>
      <c r="F30" s="15" t="str">
        <f aca="false">IF($A30="","",[1]!_xludf.thsiFinD("ths_adjustment_nv_fund",F$3,$A30))</f>
        <v/>
      </c>
      <c r="G30" s="15" t="str">
        <f aca="false">IF($A30="","",[1]!_xludf.thsiFinD("ths_adjustment_nv_fund",G$3,$A30))</f>
        <v/>
      </c>
      <c r="H30" s="15" t="str">
        <f aca="false">IF($A30="","",[1]!_xludf.thsiFinD("ths_adjustment_nv_fund",H$3,$A30))</f>
        <v/>
      </c>
      <c r="I30" s="15" t="str">
        <f aca="false">IF($A30="","",[1]!_xludf.thsiFinD("ths_adjustment_nv_fund",I$3,$A30))</f>
        <v/>
      </c>
      <c r="J30" s="15" t="str">
        <f aca="false">IF($A30="","",[1]!_xludf.thsiFinD("ths_adjustment_nv_fund",J$3,$A30))</f>
        <v/>
      </c>
      <c r="K30" s="15" t="str">
        <f aca="false">IF($A30="","",[1]!_xludf.thsiFinD("ths_adjustment_nv_fund",K$3,$A30))</f>
        <v/>
      </c>
      <c r="L30" s="15" t="str">
        <f aca="false">IF($A30="","",[1]!_xludf.thsiFinD("ths_adjustment_nv_fund",L$3,$A30))</f>
        <v/>
      </c>
      <c r="M30" s="15" t="str">
        <f aca="false">IF($A30="","",[1]!_xludf.thsiFinD("ths_adjustment_nv_fund",M$3,$A30))</f>
        <v/>
      </c>
      <c r="N30" s="15" t="str">
        <f aca="false">IF($A30="","",[1]!_xludf.thsiFinD("ths_adjustment_nv_fund",N$3,$A30))</f>
        <v/>
      </c>
      <c r="O30" s="15" t="str">
        <f aca="false">IF($A30="","",[1]!_xludf.thsiFinD("ths_adjustment_nv_fund",O$3,$A30))</f>
        <v/>
      </c>
      <c r="P30" s="15" t="str">
        <f aca="false">IF($A30="","",[1]!_xludf.thsiFinD("ths_adjustment_nv_fund",P$3,$A30))</f>
        <v/>
      </c>
      <c r="Q30" s="15" t="str">
        <f aca="false">IF($A30="","",[1]!_xludf.thsiFinD("ths_adjustment_nv_fund",Q$3,$A30))</f>
        <v/>
      </c>
      <c r="R30" s="15" t="str">
        <f aca="false">IF($A30="","",[1]!_xludf.thsiFinD("ths_adjustment_nv_fund",R$3,$A30))</f>
        <v/>
      </c>
      <c r="S30" s="15" t="str">
        <f aca="false">IF($A30="","",[1]!_xludf.thsiFinD("ths_adjustment_nv_fund",S$3,$A30))</f>
        <v/>
      </c>
      <c r="T30" s="15" t="str">
        <f aca="false">IF($A30="","",[1]!_xludf.thsiFinD("ths_adjustment_nv_fund",T$3,$A30))</f>
        <v/>
      </c>
      <c r="U30" s="15" t="str">
        <f aca="false">IF($A30="","",[1]!_xludf.thsiFinD("ths_adjustment_nv_fund",U$3,$A30))</f>
        <v/>
      </c>
      <c r="V30" s="15" t="str">
        <f aca="false">IF($A30="","",[1]!_xludf.thsiFinD("ths_adjustment_nv_fund",V$3,$A30))</f>
        <v/>
      </c>
      <c r="W30" s="15" t="str">
        <f aca="false">IF($A30="","",[1]!_xludf.thsiFinD("ths_adjustment_nv_fund",W$3,$A30))</f>
        <v/>
      </c>
      <c r="X30" s="15" t="str">
        <f aca="false">IF($A30="","",[1]!_xludf.thsiFinD("ths_adjustment_nv_fund",X$3,$A30))</f>
        <v/>
      </c>
      <c r="Y30" s="15" t="str">
        <f aca="false">IF($A30="","",[1]!_xludf.thsiFinD("ths_adjustment_nv_fund",Y$3,$A30))</f>
        <v/>
      </c>
    </row>
    <row r="31" customFormat="false" ht="13.5" hidden="false" customHeight="false" outlineLevel="0" collapsed="false">
      <c r="A31" s="9"/>
      <c r="B31" s="15" t="str">
        <f aca="false">IF($A31="","",[1]!_xludf.thsiFinD("ths_adjustment_nv_fund",B$3,$A31))</f>
        <v/>
      </c>
      <c r="C31" s="15" t="str">
        <f aca="false">IF($A31="","",[1]!_xludf.thsiFinD("ths_adjustment_nv_fund",C$3,$A31))</f>
        <v/>
      </c>
      <c r="D31" s="15" t="str">
        <f aca="false">IF($A31="","",[1]!_xludf.thsiFinD("ths_adjustment_nv_fund",D$3,$A31))</f>
        <v/>
      </c>
      <c r="E31" s="15" t="str">
        <f aca="false">IF($A31="","",[1]!_xludf.thsiFinD("ths_adjustment_nv_fund",E$3,$A31))</f>
        <v/>
      </c>
      <c r="F31" s="15" t="str">
        <f aca="false">IF($A31="","",[1]!_xludf.thsiFinD("ths_adjustment_nv_fund",F$3,$A31))</f>
        <v/>
      </c>
      <c r="G31" s="15" t="str">
        <f aca="false">IF($A31="","",[1]!_xludf.thsiFinD("ths_adjustment_nv_fund",G$3,$A31))</f>
        <v/>
      </c>
      <c r="H31" s="15" t="str">
        <f aca="false">IF($A31="","",[1]!_xludf.thsiFinD("ths_adjustment_nv_fund",H$3,$A31))</f>
        <v/>
      </c>
      <c r="I31" s="15" t="str">
        <f aca="false">IF($A31="","",[1]!_xludf.thsiFinD("ths_adjustment_nv_fund",I$3,$A31))</f>
        <v/>
      </c>
      <c r="J31" s="15" t="str">
        <f aca="false">IF($A31="","",[1]!_xludf.thsiFinD("ths_adjustment_nv_fund",J$3,$A31))</f>
        <v/>
      </c>
      <c r="K31" s="15" t="str">
        <f aca="false">IF($A31="","",[1]!_xludf.thsiFinD("ths_adjustment_nv_fund",K$3,$A31))</f>
        <v/>
      </c>
      <c r="L31" s="15" t="str">
        <f aca="false">IF($A31="","",[1]!_xludf.thsiFinD("ths_adjustment_nv_fund",L$3,$A31))</f>
        <v/>
      </c>
      <c r="M31" s="15" t="str">
        <f aca="false">IF($A31="","",[1]!_xludf.thsiFinD("ths_adjustment_nv_fund",M$3,$A31))</f>
        <v/>
      </c>
      <c r="N31" s="15" t="str">
        <f aca="false">IF($A31="","",[1]!_xludf.thsiFinD("ths_adjustment_nv_fund",N$3,$A31))</f>
        <v/>
      </c>
      <c r="O31" s="15" t="str">
        <f aca="false">IF($A31="","",[1]!_xludf.thsiFinD("ths_adjustment_nv_fund",O$3,$A31))</f>
        <v/>
      </c>
      <c r="P31" s="15" t="str">
        <f aca="false">IF($A31="","",[1]!_xludf.thsiFinD("ths_adjustment_nv_fund",P$3,$A31))</f>
        <v/>
      </c>
      <c r="Q31" s="15" t="str">
        <f aca="false">IF($A31="","",[1]!_xludf.thsiFinD("ths_adjustment_nv_fund",Q$3,$A31))</f>
        <v/>
      </c>
      <c r="R31" s="15" t="str">
        <f aca="false">IF($A31="","",[1]!_xludf.thsiFinD("ths_adjustment_nv_fund",R$3,$A31))</f>
        <v/>
      </c>
      <c r="S31" s="15" t="str">
        <f aca="false">IF($A31="","",[1]!_xludf.thsiFinD("ths_adjustment_nv_fund",S$3,$A31))</f>
        <v/>
      </c>
      <c r="T31" s="15" t="str">
        <f aca="false">IF($A31="","",[1]!_xludf.thsiFinD("ths_adjustment_nv_fund",T$3,$A31))</f>
        <v/>
      </c>
      <c r="U31" s="15" t="str">
        <f aca="false">IF($A31="","",[1]!_xludf.thsiFinD("ths_adjustment_nv_fund",U$3,$A31))</f>
        <v/>
      </c>
      <c r="V31" s="15" t="str">
        <f aca="false">IF($A31="","",[1]!_xludf.thsiFinD("ths_adjustment_nv_fund",V$3,$A31))</f>
        <v/>
      </c>
      <c r="W31" s="15" t="str">
        <f aca="false">IF($A31="","",[1]!_xludf.thsiFinD("ths_adjustment_nv_fund",W$3,$A31))</f>
        <v/>
      </c>
      <c r="X31" s="15" t="str">
        <f aca="false">IF($A31="","",[1]!_xludf.thsiFinD("ths_adjustment_nv_fund",X$3,$A31))</f>
        <v/>
      </c>
      <c r="Y31" s="15" t="str">
        <f aca="false">IF($A31="","",[1]!_xludf.thsiFinD("ths_adjustment_nv_fund",Y$3,$A31))</f>
        <v/>
      </c>
    </row>
    <row r="32" customFormat="false" ht="13.5" hidden="false" customHeight="false" outlineLevel="0" collapsed="false">
      <c r="A32" s="9"/>
      <c r="B32" s="15" t="str">
        <f aca="false">IF($A32="","",[1]!_xludf.thsiFinD("ths_adjustment_nv_fund",B$3,$A32))</f>
        <v/>
      </c>
      <c r="C32" s="15" t="str">
        <f aca="false">IF($A32="","",[1]!_xludf.thsiFinD("ths_adjustment_nv_fund",C$3,$A32))</f>
        <v/>
      </c>
      <c r="D32" s="15" t="str">
        <f aca="false">IF($A32="","",[1]!_xludf.thsiFinD("ths_adjustment_nv_fund",D$3,$A32))</f>
        <v/>
      </c>
      <c r="E32" s="15" t="str">
        <f aca="false">IF($A32="","",[1]!_xludf.thsiFinD("ths_adjustment_nv_fund",E$3,$A32))</f>
        <v/>
      </c>
      <c r="F32" s="15" t="str">
        <f aca="false">IF($A32="","",[1]!_xludf.thsiFinD("ths_adjustment_nv_fund",F$3,$A32))</f>
        <v/>
      </c>
      <c r="G32" s="15" t="str">
        <f aca="false">IF($A32="","",[1]!_xludf.thsiFinD("ths_adjustment_nv_fund",G$3,$A32))</f>
        <v/>
      </c>
      <c r="H32" s="15" t="str">
        <f aca="false">IF($A32="","",[1]!_xludf.thsiFinD("ths_adjustment_nv_fund",H$3,$A32))</f>
        <v/>
      </c>
      <c r="I32" s="15" t="str">
        <f aca="false">IF($A32="","",[1]!_xludf.thsiFinD("ths_adjustment_nv_fund",I$3,$A32))</f>
        <v/>
      </c>
      <c r="J32" s="15" t="str">
        <f aca="false">IF($A32="","",[1]!_xludf.thsiFinD("ths_adjustment_nv_fund",J$3,$A32))</f>
        <v/>
      </c>
      <c r="K32" s="15" t="str">
        <f aca="false">IF($A32="","",[1]!_xludf.thsiFinD("ths_adjustment_nv_fund",K$3,$A32))</f>
        <v/>
      </c>
      <c r="L32" s="15" t="str">
        <f aca="false">IF($A32="","",[1]!_xludf.thsiFinD("ths_adjustment_nv_fund",L$3,$A32))</f>
        <v/>
      </c>
      <c r="M32" s="15" t="str">
        <f aca="false">IF($A32="","",[1]!_xludf.thsiFinD("ths_adjustment_nv_fund",M$3,$A32))</f>
        <v/>
      </c>
      <c r="N32" s="15" t="str">
        <f aca="false">IF($A32="","",[1]!_xludf.thsiFinD("ths_adjustment_nv_fund",N$3,$A32))</f>
        <v/>
      </c>
      <c r="O32" s="15" t="str">
        <f aca="false">IF($A32="","",[1]!_xludf.thsiFinD("ths_adjustment_nv_fund",O$3,$A32))</f>
        <v/>
      </c>
      <c r="P32" s="15" t="str">
        <f aca="false">IF($A32="","",[1]!_xludf.thsiFinD("ths_adjustment_nv_fund",P$3,$A32))</f>
        <v/>
      </c>
      <c r="Q32" s="15" t="str">
        <f aca="false">IF($A32="","",[1]!_xludf.thsiFinD("ths_adjustment_nv_fund",Q$3,$A32))</f>
        <v/>
      </c>
      <c r="R32" s="15" t="str">
        <f aca="false">IF($A32="","",[1]!_xludf.thsiFinD("ths_adjustment_nv_fund",R$3,$A32))</f>
        <v/>
      </c>
      <c r="S32" s="15" t="str">
        <f aca="false">IF($A32="","",[1]!_xludf.thsiFinD("ths_adjustment_nv_fund",S$3,$A32))</f>
        <v/>
      </c>
      <c r="T32" s="15" t="str">
        <f aca="false">IF($A32="","",[1]!_xludf.thsiFinD("ths_adjustment_nv_fund",T$3,$A32))</f>
        <v/>
      </c>
      <c r="U32" s="15" t="str">
        <f aca="false">IF($A32="","",[1]!_xludf.thsiFinD("ths_adjustment_nv_fund",U$3,$A32))</f>
        <v/>
      </c>
      <c r="V32" s="15" t="str">
        <f aca="false">IF($A32="","",[1]!_xludf.thsiFinD("ths_adjustment_nv_fund",V$3,$A32))</f>
        <v/>
      </c>
      <c r="W32" s="15" t="str">
        <f aca="false">IF($A32="","",[1]!_xludf.thsiFinD("ths_adjustment_nv_fund",W$3,$A32))</f>
        <v/>
      </c>
      <c r="X32" s="15" t="str">
        <f aca="false">IF($A32="","",[1]!_xludf.thsiFinD("ths_adjustment_nv_fund",X$3,$A32))</f>
        <v/>
      </c>
      <c r="Y32" s="15" t="str">
        <f aca="false">IF($A32="","",[1]!_xludf.thsiFinD("ths_adjustment_nv_fund",Y$3,$A32))</f>
        <v/>
      </c>
    </row>
    <row r="33" customFormat="false" ht="13.5" hidden="false" customHeight="false" outlineLevel="0" collapsed="false">
      <c r="A33" s="9"/>
      <c r="B33" s="15" t="str">
        <f aca="false">IF($A33="","",[1]!_xludf.thsiFinD("ths_adjustment_nv_fund",B$3,$A33))</f>
        <v/>
      </c>
      <c r="C33" s="15" t="str">
        <f aca="false">IF($A33="","",[1]!_xludf.thsiFinD("ths_adjustment_nv_fund",C$3,$A33))</f>
        <v/>
      </c>
      <c r="D33" s="15" t="str">
        <f aca="false">IF($A33="","",[1]!_xludf.thsiFinD("ths_adjustment_nv_fund",D$3,$A33))</f>
        <v/>
      </c>
      <c r="E33" s="15" t="str">
        <f aca="false">IF($A33="","",[1]!_xludf.thsiFinD("ths_adjustment_nv_fund",E$3,$A33))</f>
        <v/>
      </c>
      <c r="F33" s="15" t="str">
        <f aca="false">IF($A33="","",[1]!_xludf.thsiFinD("ths_adjustment_nv_fund",F$3,$A33))</f>
        <v/>
      </c>
      <c r="G33" s="15" t="str">
        <f aca="false">IF($A33="","",[1]!_xludf.thsiFinD("ths_adjustment_nv_fund",G$3,$A33))</f>
        <v/>
      </c>
      <c r="H33" s="15" t="str">
        <f aca="false">IF($A33="","",[1]!_xludf.thsiFinD("ths_adjustment_nv_fund",H$3,$A33))</f>
        <v/>
      </c>
      <c r="I33" s="15" t="str">
        <f aca="false">IF($A33="","",[1]!_xludf.thsiFinD("ths_adjustment_nv_fund",I$3,$A33))</f>
        <v/>
      </c>
      <c r="J33" s="15" t="str">
        <f aca="false">IF($A33="","",[1]!_xludf.thsiFinD("ths_adjustment_nv_fund",J$3,$A33))</f>
        <v/>
      </c>
      <c r="K33" s="15" t="str">
        <f aca="false">IF($A33="","",[1]!_xludf.thsiFinD("ths_adjustment_nv_fund",K$3,$A33))</f>
        <v/>
      </c>
      <c r="L33" s="15" t="str">
        <f aca="false">IF($A33="","",[1]!_xludf.thsiFinD("ths_adjustment_nv_fund",L$3,$A33))</f>
        <v/>
      </c>
      <c r="M33" s="15" t="str">
        <f aca="false">IF($A33="","",[1]!_xludf.thsiFinD("ths_adjustment_nv_fund",M$3,$A33))</f>
        <v/>
      </c>
      <c r="N33" s="15" t="str">
        <f aca="false">IF($A33="","",[1]!_xludf.thsiFinD("ths_adjustment_nv_fund",N$3,$A33))</f>
        <v/>
      </c>
      <c r="O33" s="15" t="str">
        <f aca="false">IF($A33="","",[1]!_xludf.thsiFinD("ths_adjustment_nv_fund",O$3,$A33))</f>
        <v/>
      </c>
      <c r="P33" s="15" t="str">
        <f aca="false">IF($A33="","",[1]!_xludf.thsiFinD("ths_adjustment_nv_fund",P$3,$A33))</f>
        <v/>
      </c>
      <c r="Q33" s="15" t="str">
        <f aca="false">IF($A33="","",[1]!_xludf.thsiFinD("ths_adjustment_nv_fund",Q$3,$A33))</f>
        <v/>
      </c>
      <c r="R33" s="15" t="str">
        <f aca="false">IF($A33="","",[1]!_xludf.thsiFinD("ths_adjustment_nv_fund",R$3,$A33))</f>
        <v/>
      </c>
      <c r="S33" s="15" t="str">
        <f aca="false">IF($A33="","",[1]!_xludf.thsiFinD("ths_adjustment_nv_fund",S$3,$A33))</f>
        <v/>
      </c>
      <c r="T33" s="15" t="str">
        <f aca="false">IF($A33="","",[1]!_xludf.thsiFinD("ths_adjustment_nv_fund",T$3,$A33))</f>
        <v/>
      </c>
      <c r="U33" s="15" t="str">
        <f aca="false">IF($A33="","",[1]!_xludf.thsiFinD("ths_adjustment_nv_fund",U$3,$A33))</f>
        <v/>
      </c>
      <c r="V33" s="15" t="str">
        <f aca="false">IF($A33="","",[1]!_xludf.thsiFinD("ths_adjustment_nv_fund",V$3,$A33))</f>
        <v/>
      </c>
      <c r="W33" s="15" t="str">
        <f aca="false">IF($A33="","",[1]!_xludf.thsiFinD("ths_adjustment_nv_fund",W$3,$A33))</f>
        <v/>
      </c>
      <c r="X33" s="15" t="str">
        <f aca="false">IF($A33="","",[1]!_xludf.thsiFinD("ths_adjustment_nv_fund",X$3,$A33))</f>
        <v/>
      </c>
      <c r="Y33" s="15" t="str">
        <f aca="false">IF($A33="","",[1]!_xludf.thsiFinD("ths_adjustment_nv_fund",Y$3,$A33))</f>
        <v/>
      </c>
    </row>
    <row r="34" customFormat="false" ht="13.5" hidden="false" customHeight="false" outlineLevel="0" collapsed="false">
      <c r="A34" s="9"/>
      <c r="B34" s="15" t="str">
        <f aca="false">IF($A34="","",[1]!_xludf.thsiFinD("ths_adjustment_nv_fund",B$3,$A34))</f>
        <v/>
      </c>
      <c r="C34" s="15" t="str">
        <f aca="false">IF($A34="","",[1]!_xludf.thsiFinD("ths_adjustment_nv_fund",C$3,$A34))</f>
        <v/>
      </c>
      <c r="D34" s="15" t="str">
        <f aca="false">IF($A34="","",[1]!_xludf.thsiFinD("ths_adjustment_nv_fund",D$3,$A34))</f>
        <v/>
      </c>
      <c r="E34" s="15" t="str">
        <f aca="false">IF($A34="","",[1]!_xludf.thsiFinD("ths_adjustment_nv_fund",E$3,$A34))</f>
        <v/>
      </c>
      <c r="F34" s="15" t="str">
        <f aca="false">IF($A34="","",[1]!_xludf.thsiFinD("ths_adjustment_nv_fund",F$3,$A34))</f>
        <v/>
      </c>
      <c r="G34" s="15" t="str">
        <f aca="false">IF($A34="","",[1]!_xludf.thsiFinD("ths_adjustment_nv_fund",G$3,$A34))</f>
        <v/>
      </c>
      <c r="H34" s="15" t="str">
        <f aca="false">IF($A34="","",[1]!_xludf.thsiFinD("ths_adjustment_nv_fund",H$3,$A34))</f>
        <v/>
      </c>
      <c r="I34" s="15" t="str">
        <f aca="false">IF($A34="","",[1]!_xludf.thsiFinD("ths_adjustment_nv_fund",I$3,$A34))</f>
        <v/>
      </c>
      <c r="J34" s="15" t="str">
        <f aca="false">IF($A34="","",[1]!_xludf.thsiFinD("ths_adjustment_nv_fund",J$3,$A34))</f>
        <v/>
      </c>
      <c r="K34" s="15" t="str">
        <f aca="false">IF($A34="","",[1]!_xludf.thsiFinD("ths_adjustment_nv_fund",K$3,$A34))</f>
        <v/>
      </c>
      <c r="L34" s="15" t="str">
        <f aca="false">IF($A34="","",[1]!_xludf.thsiFinD("ths_adjustment_nv_fund",L$3,$A34))</f>
        <v/>
      </c>
      <c r="M34" s="15" t="str">
        <f aca="false">IF($A34="","",[1]!_xludf.thsiFinD("ths_adjustment_nv_fund",M$3,$A34))</f>
        <v/>
      </c>
      <c r="N34" s="15" t="str">
        <f aca="false">IF($A34="","",[1]!_xludf.thsiFinD("ths_adjustment_nv_fund",N$3,$A34))</f>
        <v/>
      </c>
      <c r="O34" s="15" t="str">
        <f aca="false">IF($A34="","",[1]!_xludf.thsiFinD("ths_adjustment_nv_fund",O$3,$A34))</f>
        <v/>
      </c>
      <c r="P34" s="15" t="str">
        <f aca="false">IF($A34="","",[1]!_xludf.thsiFinD("ths_adjustment_nv_fund",P$3,$A34))</f>
        <v/>
      </c>
      <c r="Q34" s="15" t="str">
        <f aca="false">IF($A34="","",[1]!_xludf.thsiFinD("ths_adjustment_nv_fund",Q$3,$A34))</f>
        <v/>
      </c>
      <c r="R34" s="15" t="str">
        <f aca="false">IF($A34="","",[1]!_xludf.thsiFinD("ths_adjustment_nv_fund",R$3,$A34))</f>
        <v/>
      </c>
      <c r="S34" s="15" t="str">
        <f aca="false">IF($A34="","",[1]!_xludf.thsiFinD("ths_adjustment_nv_fund",S$3,$A34))</f>
        <v/>
      </c>
      <c r="T34" s="15" t="str">
        <f aca="false">IF($A34="","",[1]!_xludf.thsiFinD("ths_adjustment_nv_fund",T$3,$A34))</f>
        <v/>
      </c>
      <c r="U34" s="15" t="str">
        <f aca="false">IF($A34="","",[1]!_xludf.thsiFinD("ths_adjustment_nv_fund",U$3,$A34))</f>
        <v/>
      </c>
      <c r="V34" s="15" t="str">
        <f aca="false">IF($A34="","",[1]!_xludf.thsiFinD("ths_adjustment_nv_fund",V$3,$A34))</f>
        <v/>
      </c>
      <c r="W34" s="15" t="str">
        <f aca="false">IF($A34="","",[1]!_xludf.thsiFinD("ths_adjustment_nv_fund",W$3,$A34))</f>
        <v/>
      </c>
      <c r="X34" s="15" t="str">
        <f aca="false">IF($A34="","",[1]!_xludf.thsiFinD("ths_adjustment_nv_fund",X$3,$A34))</f>
        <v/>
      </c>
      <c r="Y34" s="15" t="str">
        <f aca="false">IF($A34="","",[1]!_xludf.thsiFinD("ths_adjustment_nv_fund",Y$3,$A34))</f>
        <v/>
      </c>
    </row>
    <row r="35" customFormat="false" ht="13.5" hidden="false" customHeight="false" outlineLevel="0" collapsed="false">
      <c r="A35" s="9"/>
      <c r="B35" s="15" t="str">
        <f aca="false">IF($A35="","",[1]!_xludf.thsiFinD("ths_adjustment_nv_fund",B$3,$A35))</f>
        <v/>
      </c>
      <c r="C35" s="15" t="str">
        <f aca="false">IF($A35="","",[1]!_xludf.thsiFinD("ths_adjustment_nv_fund",C$3,$A35))</f>
        <v/>
      </c>
      <c r="D35" s="15" t="str">
        <f aca="false">IF($A35="","",[1]!_xludf.thsiFinD("ths_adjustment_nv_fund",D$3,$A35))</f>
        <v/>
      </c>
      <c r="E35" s="15" t="str">
        <f aca="false">IF($A35="","",[1]!_xludf.thsiFinD("ths_adjustment_nv_fund",E$3,$A35))</f>
        <v/>
      </c>
      <c r="F35" s="15" t="str">
        <f aca="false">IF($A35="","",[1]!_xludf.thsiFinD("ths_adjustment_nv_fund",F$3,$A35))</f>
        <v/>
      </c>
      <c r="G35" s="15" t="str">
        <f aca="false">IF($A35="","",[1]!_xludf.thsiFinD("ths_adjustment_nv_fund",G$3,$A35))</f>
        <v/>
      </c>
      <c r="H35" s="15" t="str">
        <f aca="false">IF($A35="","",[1]!_xludf.thsiFinD("ths_adjustment_nv_fund",H$3,$A35))</f>
        <v/>
      </c>
      <c r="I35" s="15" t="str">
        <f aca="false">IF($A35="","",[1]!_xludf.thsiFinD("ths_adjustment_nv_fund",I$3,$A35))</f>
        <v/>
      </c>
      <c r="J35" s="15" t="str">
        <f aca="false">IF($A35="","",[1]!_xludf.thsiFinD("ths_adjustment_nv_fund",J$3,$A35))</f>
        <v/>
      </c>
      <c r="K35" s="15" t="str">
        <f aca="false">IF($A35="","",[1]!_xludf.thsiFinD("ths_adjustment_nv_fund",K$3,$A35))</f>
        <v/>
      </c>
      <c r="L35" s="15" t="str">
        <f aca="false">IF($A35="","",[1]!_xludf.thsiFinD("ths_adjustment_nv_fund",L$3,$A35))</f>
        <v/>
      </c>
      <c r="M35" s="15" t="str">
        <f aca="false">IF($A35="","",[1]!_xludf.thsiFinD("ths_adjustment_nv_fund",M$3,$A35))</f>
        <v/>
      </c>
      <c r="N35" s="15" t="str">
        <f aca="false">IF($A35="","",[1]!_xludf.thsiFinD("ths_adjustment_nv_fund",N$3,$A35))</f>
        <v/>
      </c>
      <c r="O35" s="15" t="str">
        <f aca="false">IF($A35="","",[1]!_xludf.thsiFinD("ths_adjustment_nv_fund",O$3,$A35))</f>
        <v/>
      </c>
      <c r="P35" s="15" t="str">
        <f aca="false">IF($A35="","",[1]!_xludf.thsiFinD("ths_adjustment_nv_fund",P$3,$A35))</f>
        <v/>
      </c>
      <c r="Q35" s="15" t="str">
        <f aca="false">IF($A35="","",[1]!_xludf.thsiFinD("ths_adjustment_nv_fund",Q$3,$A35))</f>
        <v/>
      </c>
      <c r="R35" s="15" t="str">
        <f aca="false">IF($A35="","",[1]!_xludf.thsiFinD("ths_adjustment_nv_fund",R$3,$A35))</f>
        <v/>
      </c>
      <c r="S35" s="15" t="str">
        <f aca="false">IF($A35="","",[1]!_xludf.thsiFinD("ths_adjustment_nv_fund",S$3,$A35))</f>
        <v/>
      </c>
      <c r="T35" s="15" t="str">
        <f aca="false">IF($A35="","",[1]!_xludf.thsiFinD("ths_adjustment_nv_fund",T$3,$A35))</f>
        <v/>
      </c>
      <c r="U35" s="15" t="str">
        <f aca="false">IF($A35="","",[1]!_xludf.thsiFinD("ths_adjustment_nv_fund",U$3,$A35))</f>
        <v/>
      </c>
      <c r="V35" s="15" t="str">
        <f aca="false">IF($A35="","",[1]!_xludf.thsiFinD("ths_adjustment_nv_fund",V$3,$A35))</f>
        <v/>
      </c>
      <c r="W35" s="15" t="str">
        <f aca="false">IF($A35="","",[1]!_xludf.thsiFinD("ths_adjustment_nv_fund",W$3,$A35))</f>
        <v/>
      </c>
      <c r="X35" s="15" t="str">
        <f aca="false">IF($A35="","",[1]!_xludf.thsiFinD("ths_adjustment_nv_fund",X$3,$A35))</f>
        <v/>
      </c>
      <c r="Y35" s="15" t="str">
        <f aca="false">IF($A35="","",[1]!_xludf.thsiFinD("ths_adjustment_nv_fund",Y$3,$A35))</f>
        <v/>
      </c>
    </row>
    <row r="36" customFormat="false" ht="13.5" hidden="false" customHeight="false" outlineLevel="0" collapsed="false">
      <c r="A36" s="9"/>
      <c r="B36" s="15" t="str">
        <f aca="false">IF($A36="","",[1]!_xludf.thsiFinD("ths_adjustment_nv_fund",B$3,$A36))</f>
        <v/>
      </c>
      <c r="C36" s="15" t="str">
        <f aca="false">IF($A36="","",[1]!_xludf.thsiFinD("ths_adjustment_nv_fund",C$3,$A36))</f>
        <v/>
      </c>
      <c r="D36" s="15" t="str">
        <f aca="false">IF($A36="","",[1]!_xludf.thsiFinD("ths_adjustment_nv_fund",D$3,$A36))</f>
        <v/>
      </c>
      <c r="E36" s="15" t="str">
        <f aca="false">IF($A36="","",[1]!_xludf.thsiFinD("ths_adjustment_nv_fund",E$3,$A36))</f>
        <v/>
      </c>
      <c r="F36" s="15" t="str">
        <f aca="false">IF($A36="","",[1]!_xludf.thsiFinD("ths_adjustment_nv_fund",F$3,$A36))</f>
        <v/>
      </c>
      <c r="G36" s="15" t="str">
        <f aca="false">IF($A36="","",[1]!_xludf.thsiFinD("ths_adjustment_nv_fund",G$3,$A36))</f>
        <v/>
      </c>
      <c r="H36" s="15" t="str">
        <f aca="false">IF($A36="","",[1]!_xludf.thsiFinD("ths_adjustment_nv_fund",H$3,$A36))</f>
        <v/>
      </c>
      <c r="I36" s="15" t="str">
        <f aca="false">IF($A36="","",[1]!_xludf.thsiFinD("ths_adjustment_nv_fund",I$3,$A36))</f>
        <v/>
      </c>
      <c r="J36" s="15" t="str">
        <f aca="false">IF($A36="","",[1]!_xludf.thsiFinD("ths_adjustment_nv_fund",J$3,$A36))</f>
        <v/>
      </c>
      <c r="K36" s="15" t="str">
        <f aca="false">IF($A36="","",[1]!_xludf.thsiFinD("ths_adjustment_nv_fund",K$3,$A36))</f>
        <v/>
      </c>
      <c r="L36" s="15" t="str">
        <f aca="false">IF($A36="","",[1]!_xludf.thsiFinD("ths_adjustment_nv_fund",L$3,$A36))</f>
        <v/>
      </c>
      <c r="M36" s="15" t="str">
        <f aca="false">IF($A36="","",[1]!_xludf.thsiFinD("ths_adjustment_nv_fund",M$3,$A36))</f>
        <v/>
      </c>
      <c r="N36" s="15" t="str">
        <f aca="false">IF($A36="","",[1]!_xludf.thsiFinD("ths_adjustment_nv_fund",N$3,$A36))</f>
        <v/>
      </c>
      <c r="O36" s="15" t="str">
        <f aca="false">IF($A36="","",[1]!_xludf.thsiFinD("ths_adjustment_nv_fund",O$3,$A36))</f>
        <v/>
      </c>
      <c r="P36" s="15" t="str">
        <f aca="false">IF($A36="","",[1]!_xludf.thsiFinD("ths_adjustment_nv_fund",P$3,$A36))</f>
        <v/>
      </c>
      <c r="Q36" s="15" t="str">
        <f aca="false">IF($A36="","",[1]!_xludf.thsiFinD("ths_adjustment_nv_fund",Q$3,$A36))</f>
        <v/>
      </c>
      <c r="R36" s="15" t="str">
        <f aca="false">IF($A36="","",[1]!_xludf.thsiFinD("ths_adjustment_nv_fund",R$3,$A36))</f>
        <v/>
      </c>
      <c r="S36" s="15" t="str">
        <f aca="false">IF($A36="","",[1]!_xludf.thsiFinD("ths_adjustment_nv_fund",S$3,$A36))</f>
        <v/>
      </c>
      <c r="T36" s="15" t="str">
        <f aca="false">IF($A36="","",[1]!_xludf.thsiFinD("ths_adjustment_nv_fund",T$3,$A36))</f>
        <v/>
      </c>
      <c r="U36" s="15" t="str">
        <f aca="false">IF($A36="","",[1]!_xludf.thsiFinD("ths_adjustment_nv_fund",U$3,$A36))</f>
        <v/>
      </c>
      <c r="V36" s="15" t="str">
        <f aca="false">IF($A36="","",[1]!_xludf.thsiFinD("ths_adjustment_nv_fund",V$3,$A36))</f>
        <v/>
      </c>
      <c r="W36" s="15" t="str">
        <f aca="false">IF($A36="","",[1]!_xludf.thsiFinD("ths_adjustment_nv_fund",W$3,$A36))</f>
        <v/>
      </c>
      <c r="X36" s="15" t="str">
        <f aca="false">IF($A36="","",[1]!_xludf.thsiFinD("ths_adjustment_nv_fund",X$3,$A36))</f>
        <v/>
      </c>
      <c r="Y36" s="15" t="str">
        <f aca="false">IF($A36="","",[1]!_xludf.thsiFinD("ths_adjustment_nv_fund",Y$3,$A36))</f>
        <v/>
      </c>
    </row>
    <row r="37" customFormat="false" ht="13.5" hidden="false" customHeight="false" outlineLevel="0" collapsed="false">
      <c r="A37" s="9"/>
      <c r="B37" s="15" t="str">
        <f aca="false">IF($A37="","",[1]!_xludf.thsiFinD("ths_adjustment_nv_fund",B$3,$A37))</f>
        <v/>
      </c>
      <c r="C37" s="15" t="str">
        <f aca="false">IF($A37="","",[1]!_xludf.thsiFinD("ths_adjustment_nv_fund",C$3,$A37))</f>
        <v/>
      </c>
      <c r="D37" s="15" t="str">
        <f aca="false">IF($A37="","",[1]!_xludf.thsiFinD("ths_adjustment_nv_fund",D$3,$A37))</f>
        <v/>
      </c>
      <c r="E37" s="15" t="str">
        <f aca="false">IF($A37="","",[1]!_xludf.thsiFinD("ths_adjustment_nv_fund",E$3,$A37))</f>
        <v/>
      </c>
      <c r="F37" s="15" t="str">
        <f aca="false">IF($A37="","",[1]!_xludf.thsiFinD("ths_adjustment_nv_fund",F$3,$A37))</f>
        <v/>
      </c>
      <c r="G37" s="15" t="str">
        <f aca="false">IF($A37="","",[1]!_xludf.thsiFinD("ths_adjustment_nv_fund",G$3,$A37))</f>
        <v/>
      </c>
      <c r="H37" s="15" t="str">
        <f aca="false">IF($A37="","",[1]!_xludf.thsiFinD("ths_adjustment_nv_fund",H$3,$A37))</f>
        <v/>
      </c>
      <c r="I37" s="15" t="str">
        <f aca="false">IF($A37="","",[1]!_xludf.thsiFinD("ths_adjustment_nv_fund",I$3,$A37))</f>
        <v/>
      </c>
      <c r="J37" s="15" t="str">
        <f aca="false">IF($A37="","",[1]!_xludf.thsiFinD("ths_adjustment_nv_fund",J$3,$A37))</f>
        <v/>
      </c>
      <c r="K37" s="15" t="str">
        <f aca="false">IF($A37="","",[1]!_xludf.thsiFinD("ths_adjustment_nv_fund",K$3,$A37))</f>
        <v/>
      </c>
      <c r="L37" s="15" t="str">
        <f aca="false">IF($A37="","",[1]!_xludf.thsiFinD("ths_adjustment_nv_fund",L$3,$A37))</f>
        <v/>
      </c>
      <c r="M37" s="15" t="str">
        <f aca="false">IF($A37="","",[1]!_xludf.thsiFinD("ths_adjustment_nv_fund",M$3,$A37))</f>
        <v/>
      </c>
      <c r="N37" s="15" t="str">
        <f aca="false">IF($A37="","",[1]!_xludf.thsiFinD("ths_adjustment_nv_fund",N$3,$A37))</f>
        <v/>
      </c>
      <c r="O37" s="15" t="str">
        <f aca="false">IF($A37="","",[1]!_xludf.thsiFinD("ths_adjustment_nv_fund",O$3,$A37))</f>
        <v/>
      </c>
      <c r="P37" s="15" t="str">
        <f aca="false">IF($A37="","",[1]!_xludf.thsiFinD("ths_adjustment_nv_fund",P$3,$A37))</f>
        <v/>
      </c>
      <c r="Q37" s="15" t="str">
        <f aca="false">IF($A37="","",[1]!_xludf.thsiFinD("ths_adjustment_nv_fund",Q$3,$A37))</f>
        <v/>
      </c>
      <c r="R37" s="15" t="str">
        <f aca="false">IF($A37="","",[1]!_xludf.thsiFinD("ths_adjustment_nv_fund",R$3,$A37))</f>
        <v/>
      </c>
      <c r="S37" s="15" t="str">
        <f aca="false">IF($A37="","",[1]!_xludf.thsiFinD("ths_adjustment_nv_fund",S$3,$A37))</f>
        <v/>
      </c>
      <c r="T37" s="15" t="str">
        <f aca="false">IF($A37="","",[1]!_xludf.thsiFinD("ths_adjustment_nv_fund",T$3,$A37))</f>
        <v/>
      </c>
      <c r="U37" s="15" t="str">
        <f aca="false">IF($A37="","",[1]!_xludf.thsiFinD("ths_adjustment_nv_fund",U$3,$A37))</f>
        <v/>
      </c>
      <c r="V37" s="15" t="str">
        <f aca="false">IF($A37="","",[1]!_xludf.thsiFinD("ths_adjustment_nv_fund",V$3,$A37))</f>
        <v/>
      </c>
      <c r="W37" s="15" t="str">
        <f aca="false">IF($A37="","",[1]!_xludf.thsiFinD("ths_adjustment_nv_fund",W$3,$A37))</f>
        <v/>
      </c>
      <c r="X37" s="15" t="str">
        <f aca="false">IF($A37="","",[1]!_xludf.thsiFinD("ths_adjustment_nv_fund",X$3,$A37))</f>
        <v/>
      </c>
      <c r="Y37" s="15" t="str">
        <f aca="false">IF($A37="","",[1]!_xludf.thsiFinD("ths_adjustment_nv_fund",Y$3,$A37))</f>
        <v/>
      </c>
    </row>
    <row r="38" customFormat="false" ht="13.5" hidden="false" customHeight="false" outlineLevel="0" collapsed="false">
      <c r="A38" s="9"/>
      <c r="B38" s="15" t="str">
        <f aca="false">IF($A38="","",[1]!_xludf.thsiFinD("ths_adjustment_nv_fund",B$3,$A38))</f>
        <v/>
      </c>
      <c r="C38" s="15" t="str">
        <f aca="false">IF($A38="","",[1]!_xludf.thsiFinD("ths_adjustment_nv_fund",C$3,$A38))</f>
        <v/>
      </c>
      <c r="D38" s="15" t="str">
        <f aca="false">IF($A38="","",[1]!_xludf.thsiFinD("ths_adjustment_nv_fund",D$3,$A38))</f>
        <v/>
      </c>
      <c r="E38" s="15" t="str">
        <f aca="false">IF($A38="","",[1]!_xludf.thsiFinD("ths_adjustment_nv_fund",E$3,$A38))</f>
        <v/>
      </c>
      <c r="F38" s="15" t="str">
        <f aca="false">IF($A38="","",[1]!_xludf.thsiFinD("ths_adjustment_nv_fund",F$3,$A38))</f>
        <v/>
      </c>
      <c r="G38" s="15" t="str">
        <f aca="false">IF($A38="","",[1]!_xludf.thsiFinD("ths_adjustment_nv_fund",G$3,$A38))</f>
        <v/>
      </c>
      <c r="H38" s="15" t="str">
        <f aca="false">IF($A38="","",[1]!_xludf.thsiFinD("ths_adjustment_nv_fund",H$3,$A38))</f>
        <v/>
      </c>
      <c r="I38" s="15" t="str">
        <f aca="false">IF($A38="","",[1]!_xludf.thsiFinD("ths_adjustment_nv_fund",I$3,$A38))</f>
        <v/>
      </c>
      <c r="J38" s="15" t="str">
        <f aca="false">IF($A38="","",[1]!_xludf.thsiFinD("ths_adjustment_nv_fund",J$3,$A38))</f>
        <v/>
      </c>
      <c r="K38" s="15" t="str">
        <f aca="false">IF($A38="","",[1]!_xludf.thsiFinD("ths_adjustment_nv_fund",K$3,$A38))</f>
        <v/>
      </c>
      <c r="L38" s="15" t="str">
        <f aca="false">IF($A38="","",[1]!_xludf.thsiFinD("ths_adjustment_nv_fund",L$3,$A38))</f>
        <v/>
      </c>
      <c r="M38" s="15" t="str">
        <f aca="false">IF($A38="","",[1]!_xludf.thsiFinD("ths_adjustment_nv_fund",M$3,$A38))</f>
        <v/>
      </c>
      <c r="N38" s="15" t="str">
        <f aca="false">IF($A38="","",[1]!_xludf.thsiFinD("ths_adjustment_nv_fund",N$3,$A38))</f>
        <v/>
      </c>
      <c r="O38" s="15" t="str">
        <f aca="false">IF($A38="","",[1]!_xludf.thsiFinD("ths_adjustment_nv_fund",O$3,$A38))</f>
        <v/>
      </c>
      <c r="P38" s="15" t="str">
        <f aca="false">IF($A38="","",[1]!_xludf.thsiFinD("ths_adjustment_nv_fund",P$3,$A38))</f>
        <v/>
      </c>
      <c r="Q38" s="15" t="str">
        <f aca="false">IF($A38="","",[1]!_xludf.thsiFinD("ths_adjustment_nv_fund",Q$3,$A38))</f>
        <v/>
      </c>
      <c r="R38" s="15" t="str">
        <f aca="false">IF($A38="","",[1]!_xludf.thsiFinD("ths_adjustment_nv_fund",R$3,$A38))</f>
        <v/>
      </c>
      <c r="S38" s="15" t="str">
        <f aca="false">IF($A38="","",[1]!_xludf.thsiFinD("ths_adjustment_nv_fund",S$3,$A38))</f>
        <v/>
      </c>
      <c r="T38" s="15" t="str">
        <f aca="false">IF($A38="","",[1]!_xludf.thsiFinD("ths_adjustment_nv_fund",T$3,$A38))</f>
        <v/>
      </c>
      <c r="U38" s="15" t="str">
        <f aca="false">IF($A38="","",[1]!_xludf.thsiFinD("ths_adjustment_nv_fund",U$3,$A38))</f>
        <v/>
      </c>
      <c r="V38" s="15" t="str">
        <f aca="false">IF($A38="","",[1]!_xludf.thsiFinD("ths_adjustment_nv_fund",V$3,$A38))</f>
        <v/>
      </c>
      <c r="W38" s="15" t="str">
        <f aca="false">IF($A38="","",[1]!_xludf.thsiFinD("ths_adjustment_nv_fund",W$3,$A38))</f>
        <v/>
      </c>
      <c r="X38" s="15" t="str">
        <f aca="false">IF($A38="","",[1]!_xludf.thsiFinD("ths_adjustment_nv_fund",X$3,$A38))</f>
        <v/>
      </c>
      <c r="Y38" s="15" t="str">
        <f aca="false">IF($A38="","",[1]!_xludf.thsiFinD("ths_adjustment_nv_fund",Y$3,$A38))</f>
        <v/>
      </c>
    </row>
    <row r="39" customFormat="false" ht="13.5" hidden="false" customHeight="false" outlineLevel="0" collapsed="false">
      <c r="A39" s="9"/>
      <c r="B39" s="15" t="str">
        <f aca="false">IF($A39="","",[1]!_xludf.thsiFinD("ths_adjustment_nv_fund",B$3,$A39))</f>
        <v/>
      </c>
      <c r="C39" s="15" t="str">
        <f aca="false">IF($A39="","",[1]!_xludf.thsiFinD("ths_adjustment_nv_fund",C$3,$A39))</f>
        <v/>
      </c>
      <c r="D39" s="15" t="str">
        <f aca="false">IF($A39="","",[1]!_xludf.thsiFinD("ths_adjustment_nv_fund",D$3,$A39))</f>
        <v/>
      </c>
      <c r="E39" s="15" t="str">
        <f aca="false">IF($A39="","",[1]!_xludf.thsiFinD("ths_adjustment_nv_fund",E$3,$A39))</f>
        <v/>
      </c>
      <c r="F39" s="15" t="str">
        <f aca="false">IF($A39="","",[1]!_xludf.thsiFinD("ths_adjustment_nv_fund",F$3,$A39))</f>
        <v/>
      </c>
      <c r="G39" s="15" t="str">
        <f aca="false">IF($A39="","",[1]!_xludf.thsiFinD("ths_adjustment_nv_fund",G$3,$A39))</f>
        <v/>
      </c>
      <c r="H39" s="15" t="str">
        <f aca="false">IF($A39="","",[1]!_xludf.thsiFinD("ths_adjustment_nv_fund",H$3,$A39))</f>
        <v/>
      </c>
      <c r="I39" s="15" t="str">
        <f aca="false">IF($A39="","",[1]!_xludf.thsiFinD("ths_adjustment_nv_fund",I$3,$A39))</f>
        <v/>
      </c>
      <c r="J39" s="15" t="str">
        <f aca="false">IF($A39="","",[1]!_xludf.thsiFinD("ths_adjustment_nv_fund",J$3,$A39))</f>
        <v/>
      </c>
      <c r="K39" s="15" t="str">
        <f aca="false">IF($A39="","",[1]!_xludf.thsiFinD("ths_adjustment_nv_fund",K$3,$A39))</f>
        <v/>
      </c>
      <c r="L39" s="15" t="str">
        <f aca="false">IF($A39="","",[1]!_xludf.thsiFinD("ths_adjustment_nv_fund",L$3,$A39))</f>
        <v/>
      </c>
      <c r="M39" s="15" t="str">
        <f aca="false">IF($A39="","",[1]!_xludf.thsiFinD("ths_adjustment_nv_fund",M$3,$A39))</f>
        <v/>
      </c>
      <c r="N39" s="15" t="str">
        <f aca="false">IF($A39="","",[1]!_xludf.thsiFinD("ths_adjustment_nv_fund",N$3,$A39))</f>
        <v/>
      </c>
      <c r="O39" s="15" t="str">
        <f aca="false">IF($A39="","",[1]!_xludf.thsiFinD("ths_adjustment_nv_fund",O$3,$A39))</f>
        <v/>
      </c>
      <c r="P39" s="15" t="str">
        <f aca="false">IF($A39="","",[1]!_xludf.thsiFinD("ths_adjustment_nv_fund",P$3,$A39))</f>
        <v/>
      </c>
      <c r="Q39" s="15" t="str">
        <f aca="false">IF($A39="","",[1]!_xludf.thsiFinD("ths_adjustment_nv_fund",Q$3,$A39))</f>
        <v/>
      </c>
      <c r="R39" s="15" t="str">
        <f aca="false">IF($A39="","",[1]!_xludf.thsiFinD("ths_adjustment_nv_fund",R$3,$A39))</f>
        <v/>
      </c>
      <c r="S39" s="15" t="str">
        <f aca="false">IF($A39="","",[1]!_xludf.thsiFinD("ths_adjustment_nv_fund",S$3,$A39))</f>
        <v/>
      </c>
      <c r="T39" s="15" t="str">
        <f aca="false">IF($A39="","",[1]!_xludf.thsiFinD("ths_adjustment_nv_fund",T$3,$A39))</f>
        <v/>
      </c>
      <c r="U39" s="15" t="str">
        <f aca="false">IF($A39="","",[1]!_xludf.thsiFinD("ths_adjustment_nv_fund",U$3,$A39))</f>
        <v/>
      </c>
      <c r="V39" s="15" t="str">
        <f aca="false">IF($A39="","",[1]!_xludf.thsiFinD("ths_adjustment_nv_fund",V$3,$A39))</f>
        <v/>
      </c>
      <c r="W39" s="15" t="str">
        <f aca="false">IF($A39="","",[1]!_xludf.thsiFinD("ths_adjustment_nv_fund",W$3,$A39))</f>
        <v/>
      </c>
      <c r="X39" s="15" t="str">
        <f aca="false">IF($A39="","",[1]!_xludf.thsiFinD("ths_adjustment_nv_fund",X$3,$A39))</f>
        <v/>
      </c>
      <c r="Y39" s="15" t="str">
        <f aca="false">IF($A39="","",[1]!_xludf.thsiFinD("ths_adjustment_nv_fund",Y$3,$A39))</f>
        <v/>
      </c>
    </row>
    <row r="40" customFormat="false" ht="13.5" hidden="false" customHeight="false" outlineLevel="0" collapsed="false">
      <c r="A40" s="9"/>
      <c r="B40" s="15" t="str">
        <f aca="false">IF($A40="","",[1]!_xludf.thsiFinD("ths_adjustment_nv_fund",B$3,$A40))</f>
        <v/>
      </c>
      <c r="C40" s="15" t="str">
        <f aca="false">IF($A40="","",[1]!_xludf.thsiFinD("ths_adjustment_nv_fund",C$3,$A40))</f>
        <v/>
      </c>
      <c r="D40" s="15" t="str">
        <f aca="false">IF($A40="","",[1]!_xludf.thsiFinD("ths_adjustment_nv_fund",D$3,$A40))</f>
        <v/>
      </c>
      <c r="E40" s="15" t="str">
        <f aca="false">IF($A40="","",[1]!_xludf.thsiFinD("ths_adjustment_nv_fund",E$3,$A40))</f>
        <v/>
      </c>
      <c r="F40" s="15" t="str">
        <f aca="false">IF($A40="","",[1]!_xludf.thsiFinD("ths_adjustment_nv_fund",F$3,$A40))</f>
        <v/>
      </c>
      <c r="G40" s="15" t="str">
        <f aca="false">IF($A40="","",[1]!_xludf.thsiFinD("ths_adjustment_nv_fund",G$3,$A40))</f>
        <v/>
      </c>
      <c r="H40" s="15" t="str">
        <f aca="false">IF($A40="","",[1]!_xludf.thsiFinD("ths_adjustment_nv_fund",H$3,$A40))</f>
        <v/>
      </c>
      <c r="I40" s="15" t="str">
        <f aca="false">IF($A40="","",[1]!_xludf.thsiFinD("ths_adjustment_nv_fund",I$3,$A40))</f>
        <v/>
      </c>
      <c r="J40" s="15" t="str">
        <f aca="false">IF($A40="","",[1]!_xludf.thsiFinD("ths_adjustment_nv_fund",J$3,$A40))</f>
        <v/>
      </c>
      <c r="K40" s="15" t="str">
        <f aca="false">IF($A40="","",[1]!_xludf.thsiFinD("ths_adjustment_nv_fund",K$3,$A40))</f>
        <v/>
      </c>
      <c r="L40" s="15" t="str">
        <f aca="false">IF($A40="","",[1]!_xludf.thsiFinD("ths_adjustment_nv_fund",L$3,$A40))</f>
        <v/>
      </c>
      <c r="M40" s="15" t="str">
        <f aca="false">IF($A40="","",[1]!_xludf.thsiFinD("ths_adjustment_nv_fund",M$3,$A40))</f>
        <v/>
      </c>
      <c r="N40" s="15" t="str">
        <f aca="false">IF($A40="","",[1]!_xludf.thsiFinD("ths_adjustment_nv_fund",N$3,$A40))</f>
        <v/>
      </c>
      <c r="O40" s="15" t="str">
        <f aca="false">IF($A40="","",[1]!_xludf.thsiFinD("ths_adjustment_nv_fund",O$3,$A40))</f>
        <v/>
      </c>
      <c r="P40" s="15" t="str">
        <f aca="false">IF($A40="","",[1]!_xludf.thsiFinD("ths_adjustment_nv_fund",P$3,$A40))</f>
        <v/>
      </c>
      <c r="Q40" s="15" t="str">
        <f aca="false">IF($A40="","",[1]!_xludf.thsiFinD("ths_adjustment_nv_fund",Q$3,$A40))</f>
        <v/>
      </c>
      <c r="R40" s="15" t="str">
        <f aca="false">IF($A40="","",[1]!_xludf.thsiFinD("ths_adjustment_nv_fund",R$3,$A40))</f>
        <v/>
      </c>
      <c r="S40" s="15" t="str">
        <f aca="false">IF($A40="","",[1]!_xludf.thsiFinD("ths_adjustment_nv_fund",S$3,$A40))</f>
        <v/>
      </c>
      <c r="T40" s="15" t="str">
        <f aca="false">IF($A40="","",[1]!_xludf.thsiFinD("ths_adjustment_nv_fund",T$3,$A40))</f>
        <v/>
      </c>
      <c r="U40" s="15" t="str">
        <f aca="false">IF($A40="","",[1]!_xludf.thsiFinD("ths_adjustment_nv_fund",U$3,$A40))</f>
        <v/>
      </c>
      <c r="V40" s="15" t="str">
        <f aca="false">IF($A40="","",[1]!_xludf.thsiFinD("ths_adjustment_nv_fund",V$3,$A40))</f>
        <v/>
      </c>
      <c r="W40" s="15" t="str">
        <f aca="false">IF($A40="","",[1]!_xludf.thsiFinD("ths_adjustment_nv_fund",W$3,$A40))</f>
        <v/>
      </c>
      <c r="X40" s="15" t="str">
        <f aca="false">IF($A40="","",[1]!_xludf.thsiFinD("ths_adjustment_nv_fund",X$3,$A40))</f>
        <v/>
      </c>
      <c r="Y40" s="15" t="str">
        <f aca="false">IF($A40="","",[1]!_xludf.thsiFinD("ths_adjustment_nv_fund",Y$3,$A40))</f>
        <v/>
      </c>
    </row>
    <row r="41" customFormat="false" ht="13.5" hidden="false" customHeight="false" outlineLevel="0" collapsed="false">
      <c r="A41" s="9"/>
      <c r="B41" s="15" t="str">
        <f aca="false">IF($A41="","",[1]!_xludf.thsiFinD("ths_adjustment_nv_fund",B$3,$A41))</f>
        <v/>
      </c>
      <c r="C41" s="15" t="str">
        <f aca="false">IF($A41="","",[1]!_xludf.thsiFinD("ths_adjustment_nv_fund",C$3,$A41))</f>
        <v/>
      </c>
      <c r="D41" s="15" t="str">
        <f aca="false">IF($A41="","",[1]!_xludf.thsiFinD("ths_adjustment_nv_fund",D$3,$A41))</f>
        <v/>
      </c>
      <c r="E41" s="15" t="str">
        <f aca="false">IF($A41="","",[1]!_xludf.thsiFinD("ths_adjustment_nv_fund",E$3,$A41))</f>
        <v/>
      </c>
      <c r="F41" s="15" t="str">
        <f aca="false">IF($A41="","",[1]!_xludf.thsiFinD("ths_adjustment_nv_fund",F$3,$A41))</f>
        <v/>
      </c>
      <c r="G41" s="15" t="str">
        <f aca="false">IF($A41="","",[1]!_xludf.thsiFinD("ths_adjustment_nv_fund",G$3,$A41))</f>
        <v/>
      </c>
      <c r="H41" s="15" t="str">
        <f aca="false">IF($A41="","",[1]!_xludf.thsiFinD("ths_adjustment_nv_fund",H$3,$A41))</f>
        <v/>
      </c>
      <c r="I41" s="15" t="str">
        <f aca="false">IF($A41="","",[1]!_xludf.thsiFinD("ths_adjustment_nv_fund",I$3,$A41))</f>
        <v/>
      </c>
      <c r="J41" s="15" t="str">
        <f aca="false">IF($A41="","",[1]!_xludf.thsiFinD("ths_adjustment_nv_fund",J$3,$A41))</f>
        <v/>
      </c>
      <c r="K41" s="15" t="str">
        <f aca="false">IF($A41="","",[1]!_xludf.thsiFinD("ths_adjustment_nv_fund",K$3,$A41))</f>
        <v/>
      </c>
      <c r="L41" s="15" t="str">
        <f aca="false">IF($A41="","",[1]!_xludf.thsiFinD("ths_adjustment_nv_fund",L$3,$A41))</f>
        <v/>
      </c>
      <c r="M41" s="15" t="str">
        <f aca="false">IF($A41="","",[1]!_xludf.thsiFinD("ths_adjustment_nv_fund",M$3,$A41))</f>
        <v/>
      </c>
      <c r="N41" s="15" t="str">
        <f aca="false">IF($A41="","",[1]!_xludf.thsiFinD("ths_adjustment_nv_fund",N$3,$A41))</f>
        <v/>
      </c>
      <c r="O41" s="15" t="str">
        <f aca="false">IF($A41="","",[1]!_xludf.thsiFinD("ths_adjustment_nv_fund",O$3,$A41))</f>
        <v/>
      </c>
      <c r="P41" s="15" t="str">
        <f aca="false">IF($A41="","",[1]!_xludf.thsiFinD("ths_adjustment_nv_fund",P$3,$A41))</f>
        <v/>
      </c>
      <c r="Q41" s="15" t="str">
        <f aca="false">IF($A41="","",[1]!_xludf.thsiFinD("ths_adjustment_nv_fund",Q$3,$A41))</f>
        <v/>
      </c>
      <c r="R41" s="15" t="str">
        <f aca="false">IF($A41="","",[1]!_xludf.thsiFinD("ths_adjustment_nv_fund",R$3,$A41))</f>
        <v/>
      </c>
      <c r="S41" s="15" t="str">
        <f aca="false">IF($A41="","",[1]!_xludf.thsiFinD("ths_adjustment_nv_fund",S$3,$A41))</f>
        <v/>
      </c>
      <c r="T41" s="15" t="str">
        <f aca="false">IF($A41="","",[1]!_xludf.thsiFinD("ths_adjustment_nv_fund",T$3,$A41))</f>
        <v/>
      </c>
      <c r="U41" s="15" t="str">
        <f aca="false">IF($A41="","",[1]!_xludf.thsiFinD("ths_adjustment_nv_fund",U$3,$A41))</f>
        <v/>
      </c>
      <c r="V41" s="15" t="str">
        <f aca="false">IF($A41="","",[1]!_xludf.thsiFinD("ths_adjustment_nv_fund",V$3,$A41))</f>
        <v/>
      </c>
      <c r="W41" s="15" t="str">
        <f aca="false">IF($A41="","",[1]!_xludf.thsiFinD("ths_adjustment_nv_fund",W$3,$A41))</f>
        <v/>
      </c>
      <c r="X41" s="15" t="str">
        <f aca="false">IF($A41="","",[1]!_xludf.thsiFinD("ths_adjustment_nv_fund",X$3,$A41))</f>
        <v/>
      </c>
      <c r="Y41" s="15" t="str">
        <f aca="false">IF($A41="","",[1]!_xludf.thsiFinD("ths_adjustment_nv_fund",Y$3,$A41))</f>
        <v/>
      </c>
    </row>
    <row r="42" customFormat="false" ht="13.5" hidden="false" customHeight="false" outlineLevel="0" collapsed="false">
      <c r="A42" s="9"/>
      <c r="B42" s="15" t="str">
        <f aca="false">IF($A42="","",[1]!_xludf.thsiFinD("ths_adjustment_nv_fund",B$3,$A42))</f>
        <v/>
      </c>
      <c r="C42" s="15" t="str">
        <f aca="false">IF($A42="","",[1]!_xludf.thsiFinD("ths_adjustment_nv_fund",C$3,$A42))</f>
        <v/>
      </c>
      <c r="D42" s="15" t="str">
        <f aca="false">IF($A42="","",[1]!_xludf.thsiFinD("ths_adjustment_nv_fund",D$3,$A42))</f>
        <v/>
      </c>
      <c r="E42" s="15" t="str">
        <f aca="false">IF($A42="","",[1]!_xludf.thsiFinD("ths_adjustment_nv_fund",E$3,$A42))</f>
        <v/>
      </c>
      <c r="F42" s="15" t="str">
        <f aca="false">IF($A42="","",[1]!_xludf.thsiFinD("ths_adjustment_nv_fund",F$3,$A42))</f>
        <v/>
      </c>
      <c r="G42" s="15" t="str">
        <f aca="false">IF($A42="","",[1]!_xludf.thsiFinD("ths_adjustment_nv_fund",G$3,$A42))</f>
        <v/>
      </c>
      <c r="H42" s="15" t="str">
        <f aca="false">IF($A42="","",[1]!_xludf.thsiFinD("ths_adjustment_nv_fund",H$3,$A42))</f>
        <v/>
      </c>
      <c r="I42" s="15" t="str">
        <f aca="false">IF($A42="","",[1]!_xludf.thsiFinD("ths_adjustment_nv_fund",I$3,$A42))</f>
        <v/>
      </c>
      <c r="J42" s="15" t="str">
        <f aca="false">IF($A42="","",[1]!_xludf.thsiFinD("ths_adjustment_nv_fund",J$3,$A42))</f>
        <v/>
      </c>
      <c r="K42" s="15" t="str">
        <f aca="false">IF($A42="","",[1]!_xludf.thsiFinD("ths_adjustment_nv_fund",K$3,$A42))</f>
        <v/>
      </c>
      <c r="L42" s="15" t="str">
        <f aca="false">IF($A42="","",[1]!_xludf.thsiFinD("ths_adjustment_nv_fund",L$3,$A42))</f>
        <v/>
      </c>
      <c r="M42" s="15" t="str">
        <f aca="false">IF($A42="","",[1]!_xludf.thsiFinD("ths_adjustment_nv_fund",M$3,$A42))</f>
        <v/>
      </c>
      <c r="N42" s="15" t="str">
        <f aca="false">IF($A42="","",[1]!_xludf.thsiFinD("ths_adjustment_nv_fund",N$3,$A42))</f>
        <v/>
      </c>
      <c r="O42" s="15" t="str">
        <f aca="false">IF($A42="","",[1]!_xludf.thsiFinD("ths_adjustment_nv_fund",O$3,$A42))</f>
        <v/>
      </c>
      <c r="P42" s="15" t="str">
        <f aca="false">IF($A42="","",[1]!_xludf.thsiFinD("ths_adjustment_nv_fund",P$3,$A42))</f>
        <v/>
      </c>
      <c r="Q42" s="15" t="str">
        <f aca="false">IF($A42="","",[1]!_xludf.thsiFinD("ths_adjustment_nv_fund",Q$3,$A42))</f>
        <v/>
      </c>
      <c r="R42" s="15" t="str">
        <f aca="false">IF($A42="","",[1]!_xludf.thsiFinD("ths_adjustment_nv_fund",R$3,$A42))</f>
        <v/>
      </c>
      <c r="S42" s="15" t="str">
        <f aca="false">IF($A42="","",[1]!_xludf.thsiFinD("ths_adjustment_nv_fund",S$3,$A42))</f>
        <v/>
      </c>
      <c r="T42" s="15" t="str">
        <f aca="false">IF($A42="","",[1]!_xludf.thsiFinD("ths_adjustment_nv_fund",T$3,$A42))</f>
        <v/>
      </c>
      <c r="U42" s="15" t="str">
        <f aca="false">IF($A42="","",[1]!_xludf.thsiFinD("ths_adjustment_nv_fund",U$3,$A42))</f>
        <v/>
      </c>
      <c r="V42" s="15" t="str">
        <f aca="false">IF($A42="","",[1]!_xludf.thsiFinD("ths_adjustment_nv_fund",V$3,$A42))</f>
        <v/>
      </c>
      <c r="W42" s="15" t="str">
        <f aca="false">IF($A42="","",[1]!_xludf.thsiFinD("ths_adjustment_nv_fund",W$3,$A42))</f>
        <v/>
      </c>
      <c r="X42" s="15" t="str">
        <f aca="false">IF($A42="","",[1]!_xludf.thsiFinD("ths_adjustment_nv_fund",X$3,$A42))</f>
        <v/>
      </c>
      <c r="Y42" s="15" t="str">
        <f aca="false">IF($A42="","",[1]!_xludf.thsiFinD("ths_adjustment_nv_fund",Y$3,$A42))</f>
        <v/>
      </c>
    </row>
    <row r="43" customFormat="false" ht="13.5" hidden="false" customHeight="false" outlineLevel="0" collapsed="false">
      <c r="A43" s="9"/>
      <c r="B43" s="15" t="str">
        <f aca="false">IF($A43="","",[1]!_xludf.thsiFinD("ths_adjustment_nv_fund",B$3,$A43))</f>
        <v/>
      </c>
      <c r="C43" s="15" t="str">
        <f aca="false">IF($A43="","",[1]!_xludf.thsiFinD("ths_adjustment_nv_fund",C$3,$A43))</f>
        <v/>
      </c>
      <c r="D43" s="15" t="str">
        <f aca="false">IF($A43="","",[1]!_xludf.thsiFinD("ths_adjustment_nv_fund",D$3,$A43))</f>
        <v/>
      </c>
      <c r="E43" s="15" t="str">
        <f aca="false">IF($A43="","",[1]!_xludf.thsiFinD("ths_adjustment_nv_fund",E$3,$A43))</f>
        <v/>
      </c>
      <c r="F43" s="15" t="str">
        <f aca="false">IF($A43="","",[1]!_xludf.thsiFinD("ths_adjustment_nv_fund",F$3,$A43))</f>
        <v/>
      </c>
      <c r="G43" s="15" t="str">
        <f aca="false">IF($A43="","",[1]!_xludf.thsiFinD("ths_adjustment_nv_fund",G$3,$A43))</f>
        <v/>
      </c>
      <c r="H43" s="15" t="str">
        <f aca="false">IF($A43="","",[1]!_xludf.thsiFinD("ths_adjustment_nv_fund",H$3,$A43))</f>
        <v/>
      </c>
      <c r="I43" s="15" t="str">
        <f aca="false">IF($A43="","",[1]!_xludf.thsiFinD("ths_adjustment_nv_fund",I$3,$A43))</f>
        <v/>
      </c>
      <c r="J43" s="15" t="str">
        <f aca="false">IF($A43="","",[1]!_xludf.thsiFinD("ths_adjustment_nv_fund",J$3,$A43))</f>
        <v/>
      </c>
      <c r="K43" s="15" t="str">
        <f aca="false">IF($A43="","",[1]!_xludf.thsiFinD("ths_adjustment_nv_fund",K$3,$A43))</f>
        <v/>
      </c>
      <c r="L43" s="15" t="str">
        <f aca="false">IF($A43="","",[1]!_xludf.thsiFinD("ths_adjustment_nv_fund",L$3,$A43))</f>
        <v/>
      </c>
      <c r="M43" s="15" t="str">
        <f aca="false">IF($A43="","",[1]!_xludf.thsiFinD("ths_adjustment_nv_fund",M$3,$A43))</f>
        <v/>
      </c>
      <c r="N43" s="15" t="str">
        <f aca="false">IF($A43="","",[1]!_xludf.thsiFinD("ths_adjustment_nv_fund",N$3,$A43))</f>
        <v/>
      </c>
      <c r="O43" s="15" t="str">
        <f aca="false">IF($A43="","",[1]!_xludf.thsiFinD("ths_adjustment_nv_fund",O$3,$A43))</f>
        <v/>
      </c>
      <c r="P43" s="15" t="str">
        <f aca="false">IF($A43="","",[1]!_xludf.thsiFinD("ths_adjustment_nv_fund",P$3,$A43))</f>
        <v/>
      </c>
      <c r="Q43" s="15" t="str">
        <f aca="false">IF($A43="","",[1]!_xludf.thsiFinD("ths_adjustment_nv_fund",Q$3,$A43))</f>
        <v/>
      </c>
      <c r="R43" s="15" t="str">
        <f aca="false">IF($A43="","",[1]!_xludf.thsiFinD("ths_adjustment_nv_fund",R$3,$A43))</f>
        <v/>
      </c>
      <c r="S43" s="15" t="str">
        <f aca="false">IF($A43="","",[1]!_xludf.thsiFinD("ths_adjustment_nv_fund",S$3,$A43))</f>
        <v/>
      </c>
      <c r="T43" s="15" t="str">
        <f aca="false">IF($A43="","",[1]!_xludf.thsiFinD("ths_adjustment_nv_fund",T$3,$A43))</f>
        <v/>
      </c>
      <c r="U43" s="15" t="str">
        <f aca="false">IF($A43="","",[1]!_xludf.thsiFinD("ths_adjustment_nv_fund",U$3,$A43))</f>
        <v/>
      </c>
      <c r="V43" s="15" t="str">
        <f aca="false">IF($A43="","",[1]!_xludf.thsiFinD("ths_adjustment_nv_fund",V$3,$A43))</f>
        <v/>
      </c>
      <c r="W43" s="15" t="str">
        <f aca="false">IF($A43="","",[1]!_xludf.thsiFinD("ths_adjustment_nv_fund",W$3,$A43))</f>
        <v/>
      </c>
      <c r="X43" s="15" t="str">
        <f aca="false">IF($A43="","",[1]!_xludf.thsiFinD("ths_adjustment_nv_fund",X$3,$A43))</f>
        <v/>
      </c>
      <c r="Y43" s="15" t="str">
        <f aca="false">IF($A43="","",[1]!_xludf.thsiFinD("ths_adjustment_nv_fund",Y$3,$A43))</f>
        <v/>
      </c>
    </row>
    <row r="44" customFormat="false" ht="13.5" hidden="false" customHeight="false" outlineLevel="0" collapsed="false">
      <c r="A44" s="9"/>
      <c r="B44" s="15" t="str">
        <f aca="false">IF($A44="","",[1]!_xludf.thsiFinD("ths_adjustment_nv_fund",B$3,$A44))</f>
        <v/>
      </c>
      <c r="C44" s="15" t="str">
        <f aca="false">IF($A44="","",[1]!_xludf.thsiFinD("ths_adjustment_nv_fund",C$3,$A44))</f>
        <v/>
      </c>
      <c r="D44" s="15" t="str">
        <f aca="false">IF($A44="","",[1]!_xludf.thsiFinD("ths_adjustment_nv_fund",D$3,$A44))</f>
        <v/>
      </c>
      <c r="E44" s="15" t="str">
        <f aca="false">IF($A44="","",[1]!_xludf.thsiFinD("ths_adjustment_nv_fund",E$3,$A44))</f>
        <v/>
      </c>
      <c r="F44" s="15" t="str">
        <f aca="false">IF($A44="","",[1]!_xludf.thsiFinD("ths_adjustment_nv_fund",F$3,$A44))</f>
        <v/>
      </c>
      <c r="G44" s="15" t="str">
        <f aca="false">IF($A44="","",[1]!_xludf.thsiFinD("ths_adjustment_nv_fund",G$3,$A44))</f>
        <v/>
      </c>
      <c r="H44" s="15" t="str">
        <f aca="false">IF($A44="","",[1]!_xludf.thsiFinD("ths_adjustment_nv_fund",H$3,$A44))</f>
        <v/>
      </c>
      <c r="I44" s="15" t="str">
        <f aca="false">IF($A44="","",[1]!_xludf.thsiFinD("ths_adjustment_nv_fund",I$3,$A44))</f>
        <v/>
      </c>
      <c r="J44" s="15" t="str">
        <f aca="false">IF($A44="","",[1]!_xludf.thsiFinD("ths_adjustment_nv_fund",J$3,$A44))</f>
        <v/>
      </c>
      <c r="K44" s="15" t="str">
        <f aca="false">IF($A44="","",[1]!_xludf.thsiFinD("ths_adjustment_nv_fund",K$3,$A44))</f>
        <v/>
      </c>
      <c r="L44" s="15" t="str">
        <f aca="false">IF($A44="","",[1]!_xludf.thsiFinD("ths_adjustment_nv_fund",L$3,$A44))</f>
        <v/>
      </c>
      <c r="M44" s="15" t="str">
        <f aca="false">IF($A44="","",[1]!_xludf.thsiFinD("ths_adjustment_nv_fund",M$3,$A44))</f>
        <v/>
      </c>
      <c r="N44" s="15" t="str">
        <f aca="false">IF($A44="","",[1]!_xludf.thsiFinD("ths_adjustment_nv_fund",N$3,$A44))</f>
        <v/>
      </c>
      <c r="O44" s="15" t="str">
        <f aca="false">IF($A44="","",[1]!_xludf.thsiFinD("ths_adjustment_nv_fund",O$3,$A44))</f>
        <v/>
      </c>
      <c r="P44" s="15" t="str">
        <f aca="false">IF($A44="","",[1]!_xludf.thsiFinD("ths_adjustment_nv_fund",P$3,$A44))</f>
        <v/>
      </c>
      <c r="Q44" s="15" t="str">
        <f aca="false">IF($A44="","",[1]!_xludf.thsiFinD("ths_adjustment_nv_fund",Q$3,$A44))</f>
        <v/>
      </c>
      <c r="R44" s="15" t="str">
        <f aca="false">IF($A44="","",[1]!_xludf.thsiFinD("ths_adjustment_nv_fund",R$3,$A44))</f>
        <v/>
      </c>
      <c r="S44" s="15" t="str">
        <f aca="false">IF($A44="","",[1]!_xludf.thsiFinD("ths_adjustment_nv_fund",S$3,$A44))</f>
        <v/>
      </c>
      <c r="T44" s="15" t="str">
        <f aca="false">IF($A44="","",[1]!_xludf.thsiFinD("ths_adjustment_nv_fund",T$3,$A44))</f>
        <v/>
      </c>
      <c r="U44" s="15" t="str">
        <f aca="false">IF($A44="","",[1]!_xludf.thsiFinD("ths_adjustment_nv_fund",U$3,$A44))</f>
        <v/>
      </c>
      <c r="V44" s="15" t="str">
        <f aca="false">IF($A44="","",[1]!_xludf.thsiFinD("ths_adjustment_nv_fund",V$3,$A44))</f>
        <v/>
      </c>
      <c r="W44" s="15" t="str">
        <f aca="false">IF($A44="","",[1]!_xludf.thsiFinD("ths_adjustment_nv_fund",W$3,$A44))</f>
        <v/>
      </c>
      <c r="X44" s="15" t="str">
        <f aca="false">IF($A44="","",[1]!_xludf.thsiFinD("ths_adjustment_nv_fund",X$3,$A44))</f>
        <v/>
      </c>
      <c r="Y44" s="15" t="str">
        <f aca="false">IF($A44="","",[1]!_xludf.thsiFinD("ths_adjustment_nv_fund",Y$3,$A44))</f>
        <v/>
      </c>
    </row>
    <row r="45" customFormat="false" ht="13.5" hidden="false" customHeight="false" outlineLevel="0" collapsed="false">
      <c r="A45" s="9"/>
      <c r="B45" s="15" t="str">
        <f aca="false">IF($A45="","",[1]!_xludf.thsiFinD("ths_adjustment_nv_fund",B$3,$A45))</f>
        <v/>
      </c>
      <c r="C45" s="15" t="str">
        <f aca="false">IF($A45="","",[1]!_xludf.thsiFinD("ths_adjustment_nv_fund",C$3,$A45))</f>
        <v/>
      </c>
      <c r="D45" s="15" t="str">
        <f aca="false">IF($A45="","",[1]!_xludf.thsiFinD("ths_adjustment_nv_fund",D$3,$A45))</f>
        <v/>
      </c>
      <c r="E45" s="15" t="str">
        <f aca="false">IF($A45="","",[1]!_xludf.thsiFinD("ths_adjustment_nv_fund",E$3,$A45))</f>
        <v/>
      </c>
      <c r="F45" s="15" t="str">
        <f aca="false">IF($A45="","",[1]!_xludf.thsiFinD("ths_adjustment_nv_fund",F$3,$A45))</f>
        <v/>
      </c>
      <c r="G45" s="15" t="str">
        <f aca="false">IF($A45="","",[1]!_xludf.thsiFinD("ths_adjustment_nv_fund",G$3,$A45))</f>
        <v/>
      </c>
      <c r="H45" s="15" t="str">
        <f aca="false">IF($A45="","",[1]!_xludf.thsiFinD("ths_adjustment_nv_fund",H$3,$A45))</f>
        <v/>
      </c>
      <c r="I45" s="15" t="str">
        <f aca="false">IF($A45="","",[1]!_xludf.thsiFinD("ths_adjustment_nv_fund",I$3,$A45))</f>
        <v/>
      </c>
      <c r="J45" s="15" t="str">
        <f aca="false">IF($A45="","",[1]!_xludf.thsiFinD("ths_adjustment_nv_fund",J$3,$A45))</f>
        <v/>
      </c>
      <c r="K45" s="15" t="str">
        <f aca="false">IF($A45="","",[1]!_xludf.thsiFinD("ths_adjustment_nv_fund",K$3,$A45))</f>
        <v/>
      </c>
      <c r="L45" s="15" t="str">
        <f aca="false">IF($A45="","",[1]!_xludf.thsiFinD("ths_adjustment_nv_fund",L$3,$A45))</f>
        <v/>
      </c>
      <c r="M45" s="15" t="str">
        <f aca="false">IF($A45="","",[1]!_xludf.thsiFinD("ths_adjustment_nv_fund",M$3,$A45))</f>
        <v/>
      </c>
      <c r="N45" s="15" t="str">
        <f aca="false">IF($A45="","",[1]!_xludf.thsiFinD("ths_adjustment_nv_fund",N$3,$A45))</f>
        <v/>
      </c>
      <c r="O45" s="15" t="str">
        <f aca="false">IF($A45="","",[1]!_xludf.thsiFinD("ths_adjustment_nv_fund",O$3,$A45))</f>
        <v/>
      </c>
      <c r="P45" s="15" t="str">
        <f aca="false">IF($A45="","",[1]!_xludf.thsiFinD("ths_adjustment_nv_fund",P$3,$A45))</f>
        <v/>
      </c>
      <c r="Q45" s="15" t="str">
        <f aca="false">IF($A45="","",[1]!_xludf.thsiFinD("ths_adjustment_nv_fund",Q$3,$A45))</f>
        <v/>
      </c>
      <c r="R45" s="15" t="str">
        <f aca="false">IF($A45="","",[1]!_xludf.thsiFinD("ths_adjustment_nv_fund",R$3,$A45))</f>
        <v/>
      </c>
      <c r="S45" s="15" t="str">
        <f aca="false">IF($A45="","",[1]!_xludf.thsiFinD("ths_adjustment_nv_fund",S$3,$A45))</f>
        <v/>
      </c>
      <c r="T45" s="15" t="str">
        <f aca="false">IF($A45="","",[1]!_xludf.thsiFinD("ths_adjustment_nv_fund",T$3,$A45))</f>
        <v/>
      </c>
      <c r="U45" s="15" t="str">
        <f aca="false">IF($A45="","",[1]!_xludf.thsiFinD("ths_adjustment_nv_fund",U$3,$A45))</f>
        <v/>
      </c>
      <c r="V45" s="15" t="str">
        <f aca="false">IF($A45="","",[1]!_xludf.thsiFinD("ths_adjustment_nv_fund",V$3,$A45))</f>
        <v/>
      </c>
      <c r="W45" s="15" t="str">
        <f aca="false">IF($A45="","",[1]!_xludf.thsiFinD("ths_adjustment_nv_fund",W$3,$A45))</f>
        <v/>
      </c>
      <c r="X45" s="15" t="str">
        <f aca="false">IF($A45="","",[1]!_xludf.thsiFinD("ths_adjustment_nv_fund",X$3,$A45))</f>
        <v/>
      </c>
      <c r="Y45" s="15" t="str">
        <f aca="false">IF($A45="","",[1]!_xludf.thsiFinD("ths_adjustment_nv_fund",Y$3,$A45))</f>
        <v/>
      </c>
    </row>
    <row r="46" customFormat="false" ht="13.5" hidden="false" customHeight="false" outlineLevel="0" collapsed="false">
      <c r="A46" s="9"/>
      <c r="B46" s="15" t="str">
        <f aca="false">IF($A46="","",[1]!_xludf.thsiFinD("ths_adjustment_nv_fund",B$3,$A46))</f>
        <v/>
      </c>
      <c r="C46" s="15" t="str">
        <f aca="false">IF($A46="","",[1]!_xludf.thsiFinD("ths_adjustment_nv_fund",C$3,$A46))</f>
        <v/>
      </c>
      <c r="D46" s="15" t="str">
        <f aca="false">IF($A46="","",[1]!_xludf.thsiFinD("ths_adjustment_nv_fund",D$3,$A46))</f>
        <v/>
      </c>
      <c r="E46" s="15" t="str">
        <f aca="false">IF($A46="","",[1]!_xludf.thsiFinD("ths_adjustment_nv_fund",E$3,$A46))</f>
        <v/>
      </c>
      <c r="F46" s="15" t="str">
        <f aca="false">IF($A46="","",[1]!_xludf.thsiFinD("ths_adjustment_nv_fund",F$3,$A46))</f>
        <v/>
      </c>
      <c r="G46" s="15" t="str">
        <f aca="false">IF($A46="","",[1]!_xludf.thsiFinD("ths_adjustment_nv_fund",G$3,$A46))</f>
        <v/>
      </c>
      <c r="H46" s="15" t="str">
        <f aca="false">IF($A46="","",[1]!_xludf.thsiFinD("ths_adjustment_nv_fund",H$3,$A46))</f>
        <v/>
      </c>
      <c r="I46" s="15" t="str">
        <f aca="false">IF($A46="","",[1]!_xludf.thsiFinD("ths_adjustment_nv_fund",I$3,$A46))</f>
        <v/>
      </c>
      <c r="J46" s="15" t="str">
        <f aca="false">IF($A46="","",[1]!_xludf.thsiFinD("ths_adjustment_nv_fund",J$3,$A46))</f>
        <v/>
      </c>
      <c r="K46" s="15" t="str">
        <f aca="false">IF($A46="","",[1]!_xludf.thsiFinD("ths_adjustment_nv_fund",K$3,$A46))</f>
        <v/>
      </c>
      <c r="L46" s="15" t="str">
        <f aca="false">IF($A46="","",[1]!_xludf.thsiFinD("ths_adjustment_nv_fund",L$3,$A46))</f>
        <v/>
      </c>
      <c r="M46" s="15" t="str">
        <f aca="false">IF($A46="","",[1]!_xludf.thsiFinD("ths_adjustment_nv_fund",M$3,$A46))</f>
        <v/>
      </c>
      <c r="N46" s="15" t="str">
        <f aca="false">IF($A46="","",[1]!_xludf.thsiFinD("ths_adjustment_nv_fund",N$3,$A46))</f>
        <v/>
      </c>
      <c r="O46" s="15" t="str">
        <f aca="false">IF($A46="","",[1]!_xludf.thsiFinD("ths_adjustment_nv_fund",O$3,$A46))</f>
        <v/>
      </c>
      <c r="P46" s="15" t="str">
        <f aca="false">IF($A46="","",[1]!_xludf.thsiFinD("ths_adjustment_nv_fund",P$3,$A46))</f>
        <v/>
      </c>
      <c r="Q46" s="15" t="str">
        <f aca="false">IF($A46="","",[1]!_xludf.thsiFinD("ths_adjustment_nv_fund",Q$3,$A46))</f>
        <v/>
      </c>
      <c r="R46" s="15" t="str">
        <f aca="false">IF($A46="","",[1]!_xludf.thsiFinD("ths_adjustment_nv_fund",R$3,$A46))</f>
        <v/>
      </c>
      <c r="S46" s="15" t="str">
        <f aca="false">IF($A46="","",[1]!_xludf.thsiFinD("ths_adjustment_nv_fund",S$3,$A46))</f>
        <v/>
      </c>
      <c r="T46" s="15" t="str">
        <f aca="false">IF($A46="","",[1]!_xludf.thsiFinD("ths_adjustment_nv_fund",T$3,$A46))</f>
        <v/>
      </c>
      <c r="U46" s="15" t="str">
        <f aca="false">IF($A46="","",[1]!_xludf.thsiFinD("ths_adjustment_nv_fund",U$3,$A46))</f>
        <v/>
      </c>
      <c r="V46" s="15" t="str">
        <f aca="false">IF($A46="","",[1]!_xludf.thsiFinD("ths_adjustment_nv_fund",V$3,$A46))</f>
        <v/>
      </c>
      <c r="W46" s="15" t="str">
        <f aca="false">IF($A46="","",[1]!_xludf.thsiFinD("ths_adjustment_nv_fund",W$3,$A46))</f>
        <v/>
      </c>
      <c r="X46" s="15" t="str">
        <f aca="false">IF($A46="","",[1]!_xludf.thsiFinD("ths_adjustment_nv_fund",X$3,$A46))</f>
        <v/>
      </c>
      <c r="Y46" s="15" t="str">
        <f aca="false">IF($A46="","",[1]!_xludf.thsiFinD("ths_adjustment_nv_fund",Y$3,$A46))</f>
        <v/>
      </c>
    </row>
    <row r="47" customFormat="false" ht="13.5" hidden="false" customHeight="false" outlineLevel="0" collapsed="false">
      <c r="A47" s="9"/>
      <c r="B47" s="15" t="str">
        <f aca="false">IF($A47="","",[1]!_xludf.thsiFinD("ths_adjustment_nv_fund",B$3,$A47))</f>
        <v/>
      </c>
      <c r="C47" s="15" t="str">
        <f aca="false">IF($A47="","",[1]!_xludf.thsiFinD("ths_adjustment_nv_fund",C$3,$A47))</f>
        <v/>
      </c>
      <c r="D47" s="15" t="str">
        <f aca="false">IF($A47="","",[1]!_xludf.thsiFinD("ths_adjustment_nv_fund",D$3,$A47))</f>
        <v/>
      </c>
      <c r="E47" s="15" t="str">
        <f aca="false">IF($A47="","",[1]!_xludf.thsiFinD("ths_adjustment_nv_fund",E$3,$A47))</f>
        <v/>
      </c>
      <c r="F47" s="15" t="str">
        <f aca="false">IF($A47="","",[1]!_xludf.thsiFinD("ths_adjustment_nv_fund",F$3,$A47))</f>
        <v/>
      </c>
      <c r="G47" s="15" t="str">
        <f aca="false">IF($A47="","",[1]!_xludf.thsiFinD("ths_adjustment_nv_fund",G$3,$A47))</f>
        <v/>
      </c>
      <c r="H47" s="15" t="str">
        <f aca="false">IF($A47="","",[1]!_xludf.thsiFinD("ths_adjustment_nv_fund",H$3,$A47))</f>
        <v/>
      </c>
      <c r="I47" s="15" t="str">
        <f aca="false">IF($A47="","",[1]!_xludf.thsiFinD("ths_adjustment_nv_fund",I$3,$A47))</f>
        <v/>
      </c>
      <c r="J47" s="15" t="str">
        <f aca="false">IF($A47="","",[1]!_xludf.thsiFinD("ths_adjustment_nv_fund",J$3,$A47))</f>
        <v/>
      </c>
      <c r="K47" s="15" t="str">
        <f aca="false">IF($A47="","",[1]!_xludf.thsiFinD("ths_adjustment_nv_fund",K$3,$A47))</f>
        <v/>
      </c>
      <c r="L47" s="15" t="str">
        <f aca="false">IF($A47="","",[1]!_xludf.thsiFinD("ths_adjustment_nv_fund",L$3,$A47))</f>
        <v/>
      </c>
      <c r="M47" s="15" t="str">
        <f aca="false">IF($A47="","",[1]!_xludf.thsiFinD("ths_adjustment_nv_fund",M$3,$A47))</f>
        <v/>
      </c>
      <c r="N47" s="15" t="str">
        <f aca="false">IF($A47="","",[1]!_xludf.thsiFinD("ths_adjustment_nv_fund",N$3,$A47))</f>
        <v/>
      </c>
      <c r="O47" s="15" t="str">
        <f aca="false">IF($A47="","",[1]!_xludf.thsiFinD("ths_adjustment_nv_fund",O$3,$A47))</f>
        <v/>
      </c>
      <c r="P47" s="15" t="str">
        <f aca="false">IF($A47="","",[1]!_xludf.thsiFinD("ths_adjustment_nv_fund",P$3,$A47))</f>
        <v/>
      </c>
      <c r="Q47" s="15" t="str">
        <f aca="false">IF($A47="","",[1]!_xludf.thsiFinD("ths_adjustment_nv_fund",Q$3,$A47))</f>
        <v/>
      </c>
      <c r="R47" s="15" t="str">
        <f aca="false">IF($A47="","",[1]!_xludf.thsiFinD("ths_adjustment_nv_fund",R$3,$A47))</f>
        <v/>
      </c>
      <c r="S47" s="15" t="str">
        <f aca="false">IF($A47="","",[1]!_xludf.thsiFinD("ths_adjustment_nv_fund",S$3,$A47))</f>
        <v/>
      </c>
      <c r="T47" s="15" t="str">
        <f aca="false">IF($A47="","",[1]!_xludf.thsiFinD("ths_adjustment_nv_fund",T$3,$A47))</f>
        <v/>
      </c>
      <c r="U47" s="15" t="str">
        <f aca="false">IF($A47="","",[1]!_xludf.thsiFinD("ths_adjustment_nv_fund",U$3,$A47))</f>
        <v/>
      </c>
      <c r="V47" s="15" t="str">
        <f aca="false">IF($A47="","",[1]!_xludf.thsiFinD("ths_adjustment_nv_fund",V$3,$A47))</f>
        <v/>
      </c>
      <c r="W47" s="15" t="str">
        <f aca="false">IF($A47="","",[1]!_xludf.thsiFinD("ths_adjustment_nv_fund",W$3,$A47))</f>
        <v/>
      </c>
      <c r="X47" s="15" t="str">
        <f aca="false">IF($A47="","",[1]!_xludf.thsiFinD("ths_adjustment_nv_fund",X$3,$A47))</f>
        <v/>
      </c>
      <c r="Y47" s="15" t="str">
        <f aca="false">IF($A47="","",[1]!_xludf.thsiFinD("ths_adjustment_nv_fund",Y$3,$A47))</f>
        <v/>
      </c>
    </row>
    <row r="48" customFormat="false" ht="13.5" hidden="false" customHeight="false" outlineLevel="0" collapsed="false">
      <c r="A48" s="9"/>
      <c r="B48" s="15" t="str">
        <f aca="false">IF($A48="","",[1]!_xludf.thsiFinD("ths_adjustment_nv_fund",B$3,$A48))</f>
        <v/>
      </c>
      <c r="C48" s="15" t="str">
        <f aca="false">IF($A48="","",[1]!_xludf.thsiFinD("ths_adjustment_nv_fund",C$3,$A48))</f>
        <v/>
      </c>
      <c r="D48" s="15" t="str">
        <f aca="false">IF($A48="","",[1]!_xludf.thsiFinD("ths_adjustment_nv_fund",D$3,$A48))</f>
        <v/>
      </c>
      <c r="E48" s="15" t="str">
        <f aca="false">IF($A48="","",[1]!_xludf.thsiFinD("ths_adjustment_nv_fund",E$3,$A48))</f>
        <v/>
      </c>
      <c r="F48" s="15" t="str">
        <f aca="false">IF($A48="","",[1]!_xludf.thsiFinD("ths_adjustment_nv_fund",F$3,$A48))</f>
        <v/>
      </c>
      <c r="G48" s="15" t="str">
        <f aca="false">IF($A48="","",[1]!_xludf.thsiFinD("ths_adjustment_nv_fund",G$3,$A48))</f>
        <v/>
      </c>
      <c r="H48" s="15" t="str">
        <f aca="false">IF($A48="","",[1]!_xludf.thsiFinD("ths_adjustment_nv_fund",H$3,$A48))</f>
        <v/>
      </c>
      <c r="I48" s="15" t="str">
        <f aca="false">IF($A48="","",[1]!_xludf.thsiFinD("ths_adjustment_nv_fund",I$3,$A48))</f>
        <v/>
      </c>
      <c r="J48" s="15" t="str">
        <f aca="false">IF($A48="","",[1]!_xludf.thsiFinD("ths_adjustment_nv_fund",J$3,$A48))</f>
        <v/>
      </c>
      <c r="K48" s="15" t="str">
        <f aca="false">IF($A48="","",[1]!_xludf.thsiFinD("ths_adjustment_nv_fund",K$3,$A48))</f>
        <v/>
      </c>
      <c r="L48" s="15" t="str">
        <f aca="false">IF($A48="","",[1]!_xludf.thsiFinD("ths_adjustment_nv_fund",L$3,$A48))</f>
        <v/>
      </c>
      <c r="M48" s="15" t="str">
        <f aca="false">IF($A48="","",[1]!_xludf.thsiFinD("ths_adjustment_nv_fund",M$3,$A48))</f>
        <v/>
      </c>
      <c r="N48" s="15" t="str">
        <f aca="false">IF($A48="","",[1]!_xludf.thsiFinD("ths_adjustment_nv_fund",N$3,$A48))</f>
        <v/>
      </c>
      <c r="O48" s="15" t="str">
        <f aca="false">IF($A48="","",[1]!_xludf.thsiFinD("ths_adjustment_nv_fund",O$3,$A48))</f>
        <v/>
      </c>
      <c r="P48" s="15" t="str">
        <f aca="false">IF($A48="","",[1]!_xludf.thsiFinD("ths_adjustment_nv_fund",P$3,$A48))</f>
        <v/>
      </c>
      <c r="Q48" s="15" t="str">
        <f aca="false">IF($A48="","",[1]!_xludf.thsiFinD("ths_adjustment_nv_fund",Q$3,$A48))</f>
        <v/>
      </c>
      <c r="R48" s="15" t="str">
        <f aca="false">IF($A48="","",[1]!_xludf.thsiFinD("ths_adjustment_nv_fund",R$3,$A48))</f>
        <v/>
      </c>
      <c r="S48" s="15" t="str">
        <f aca="false">IF($A48="","",[1]!_xludf.thsiFinD("ths_adjustment_nv_fund",S$3,$A48))</f>
        <v/>
      </c>
      <c r="T48" s="15" t="str">
        <f aca="false">IF($A48="","",[1]!_xludf.thsiFinD("ths_adjustment_nv_fund",T$3,$A48))</f>
        <v/>
      </c>
      <c r="U48" s="15" t="str">
        <f aca="false">IF($A48="","",[1]!_xludf.thsiFinD("ths_adjustment_nv_fund",U$3,$A48))</f>
        <v/>
      </c>
      <c r="V48" s="15" t="str">
        <f aca="false">IF($A48="","",[1]!_xludf.thsiFinD("ths_adjustment_nv_fund",V$3,$A48))</f>
        <v/>
      </c>
      <c r="W48" s="15" t="str">
        <f aca="false">IF($A48="","",[1]!_xludf.thsiFinD("ths_adjustment_nv_fund",W$3,$A48))</f>
        <v/>
      </c>
      <c r="X48" s="15" t="str">
        <f aca="false">IF($A48="","",[1]!_xludf.thsiFinD("ths_adjustment_nv_fund",X$3,$A48))</f>
        <v/>
      </c>
      <c r="Y48" s="15" t="str">
        <f aca="false">IF($A48="","",[1]!_xludf.thsiFinD("ths_adjustment_nv_fund",Y$3,$A48))</f>
        <v/>
      </c>
    </row>
    <row r="49" customFormat="false" ht="13.5" hidden="false" customHeight="false" outlineLevel="0" collapsed="false">
      <c r="A49" s="9"/>
      <c r="B49" s="15" t="str">
        <f aca="false">IF($A49="","",[1]!_xludf.thsiFinD("ths_adjustment_nv_fund",B$3,$A49))</f>
        <v/>
      </c>
      <c r="C49" s="15" t="str">
        <f aca="false">IF($A49="","",[1]!_xludf.thsiFinD("ths_adjustment_nv_fund",C$3,$A49))</f>
        <v/>
      </c>
      <c r="D49" s="15" t="str">
        <f aca="false">IF($A49="","",[1]!_xludf.thsiFinD("ths_adjustment_nv_fund",D$3,$A49))</f>
        <v/>
      </c>
      <c r="E49" s="15" t="str">
        <f aca="false">IF($A49="","",[1]!_xludf.thsiFinD("ths_adjustment_nv_fund",E$3,$A49))</f>
        <v/>
      </c>
      <c r="F49" s="15" t="str">
        <f aca="false">IF($A49="","",[1]!_xludf.thsiFinD("ths_adjustment_nv_fund",F$3,$A49))</f>
        <v/>
      </c>
      <c r="G49" s="15" t="str">
        <f aca="false">IF($A49="","",[1]!_xludf.thsiFinD("ths_adjustment_nv_fund",G$3,$A49))</f>
        <v/>
      </c>
      <c r="H49" s="15" t="str">
        <f aca="false">IF($A49="","",[1]!_xludf.thsiFinD("ths_adjustment_nv_fund",H$3,$A49))</f>
        <v/>
      </c>
      <c r="I49" s="15" t="str">
        <f aca="false">IF($A49="","",[1]!_xludf.thsiFinD("ths_adjustment_nv_fund",I$3,$A49))</f>
        <v/>
      </c>
      <c r="J49" s="15" t="str">
        <f aca="false">IF($A49="","",[1]!_xludf.thsiFinD("ths_adjustment_nv_fund",J$3,$A49))</f>
        <v/>
      </c>
      <c r="K49" s="15" t="str">
        <f aca="false">IF($A49="","",[1]!_xludf.thsiFinD("ths_adjustment_nv_fund",K$3,$A49))</f>
        <v/>
      </c>
      <c r="L49" s="15" t="str">
        <f aca="false">IF($A49="","",[1]!_xludf.thsiFinD("ths_adjustment_nv_fund",L$3,$A49))</f>
        <v/>
      </c>
      <c r="M49" s="15" t="str">
        <f aca="false">IF($A49="","",[1]!_xludf.thsiFinD("ths_adjustment_nv_fund",M$3,$A49))</f>
        <v/>
      </c>
      <c r="N49" s="15" t="str">
        <f aca="false">IF($A49="","",[1]!_xludf.thsiFinD("ths_adjustment_nv_fund",N$3,$A49))</f>
        <v/>
      </c>
      <c r="O49" s="15" t="str">
        <f aca="false">IF($A49="","",[1]!_xludf.thsiFinD("ths_adjustment_nv_fund",O$3,$A49))</f>
        <v/>
      </c>
      <c r="P49" s="15" t="str">
        <f aca="false">IF($A49="","",[1]!_xludf.thsiFinD("ths_adjustment_nv_fund",P$3,$A49))</f>
        <v/>
      </c>
      <c r="Q49" s="15" t="str">
        <f aca="false">IF($A49="","",[1]!_xludf.thsiFinD("ths_adjustment_nv_fund",Q$3,$A49))</f>
        <v/>
      </c>
      <c r="R49" s="15" t="str">
        <f aca="false">IF($A49="","",[1]!_xludf.thsiFinD("ths_adjustment_nv_fund",R$3,$A49))</f>
        <v/>
      </c>
      <c r="S49" s="15" t="str">
        <f aca="false">IF($A49="","",[1]!_xludf.thsiFinD("ths_adjustment_nv_fund",S$3,$A49))</f>
        <v/>
      </c>
      <c r="T49" s="15" t="str">
        <f aca="false">IF($A49="","",[1]!_xludf.thsiFinD("ths_adjustment_nv_fund",T$3,$A49))</f>
        <v/>
      </c>
      <c r="U49" s="15" t="str">
        <f aca="false">IF($A49="","",[1]!_xludf.thsiFinD("ths_adjustment_nv_fund",U$3,$A49))</f>
        <v/>
      </c>
      <c r="V49" s="15" t="str">
        <f aca="false">IF($A49="","",[1]!_xludf.thsiFinD("ths_adjustment_nv_fund",V$3,$A49))</f>
        <v/>
      </c>
      <c r="W49" s="15" t="str">
        <f aca="false">IF($A49="","",[1]!_xludf.thsiFinD("ths_adjustment_nv_fund",W$3,$A49))</f>
        <v/>
      </c>
      <c r="X49" s="15" t="str">
        <f aca="false">IF($A49="","",[1]!_xludf.thsiFinD("ths_adjustment_nv_fund",X$3,$A49))</f>
        <v/>
      </c>
      <c r="Y49" s="15" t="str">
        <f aca="false">IF($A49="","",[1]!_xludf.thsiFinD("ths_adjustment_nv_fund",Y$3,$A49))</f>
        <v/>
      </c>
    </row>
    <row r="50" customFormat="false" ht="13.5" hidden="false" customHeight="false" outlineLevel="0" collapsed="false">
      <c r="A50" s="9"/>
      <c r="B50" s="15" t="str">
        <f aca="false">IF($A50="","",[1]!_xludf.thsiFinD("ths_adjustment_nv_fund",B$3,$A50))</f>
        <v/>
      </c>
      <c r="C50" s="15" t="str">
        <f aca="false">IF($A50="","",[1]!_xludf.thsiFinD("ths_adjustment_nv_fund",C$3,$A50))</f>
        <v/>
      </c>
      <c r="D50" s="15" t="str">
        <f aca="false">IF($A50="","",[1]!_xludf.thsiFinD("ths_adjustment_nv_fund",D$3,$A50))</f>
        <v/>
      </c>
      <c r="E50" s="15" t="str">
        <f aca="false">IF($A50="","",[1]!_xludf.thsiFinD("ths_adjustment_nv_fund",E$3,$A50))</f>
        <v/>
      </c>
      <c r="F50" s="15" t="str">
        <f aca="false">IF($A50="","",[1]!_xludf.thsiFinD("ths_adjustment_nv_fund",F$3,$A50))</f>
        <v/>
      </c>
      <c r="G50" s="15" t="str">
        <f aca="false">IF($A50="","",[1]!_xludf.thsiFinD("ths_adjustment_nv_fund",G$3,$A50))</f>
        <v/>
      </c>
      <c r="H50" s="15" t="str">
        <f aca="false">IF($A50="","",[1]!_xludf.thsiFinD("ths_adjustment_nv_fund",H$3,$A50))</f>
        <v/>
      </c>
      <c r="I50" s="15" t="str">
        <f aca="false">IF($A50="","",[1]!_xludf.thsiFinD("ths_adjustment_nv_fund",I$3,$A50))</f>
        <v/>
      </c>
      <c r="J50" s="15" t="str">
        <f aca="false">IF($A50="","",[1]!_xludf.thsiFinD("ths_adjustment_nv_fund",J$3,$A50))</f>
        <v/>
      </c>
      <c r="K50" s="15" t="str">
        <f aca="false">IF($A50="","",[1]!_xludf.thsiFinD("ths_adjustment_nv_fund",K$3,$A50))</f>
        <v/>
      </c>
      <c r="L50" s="15" t="str">
        <f aca="false">IF($A50="","",[1]!_xludf.thsiFinD("ths_adjustment_nv_fund",L$3,$A50))</f>
        <v/>
      </c>
      <c r="M50" s="15" t="str">
        <f aca="false">IF($A50="","",[1]!_xludf.thsiFinD("ths_adjustment_nv_fund",M$3,$A50))</f>
        <v/>
      </c>
      <c r="N50" s="15" t="str">
        <f aca="false">IF($A50="","",[1]!_xludf.thsiFinD("ths_adjustment_nv_fund",N$3,$A50))</f>
        <v/>
      </c>
      <c r="O50" s="15" t="str">
        <f aca="false">IF($A50="","",[1]!_xludf.thsiFinD("ths_adjustment_nv_fund",O$3,$A50))</f>
        <v/>
      </c>
      <c r="P50" s="15" t="str">
        <f aca="false">IF($A50="","",[1]!_xludf.thsiFinD("ths_adjustment_nv_fund",P$3,$A50))</f>
        <v/>
      </c>
      <c r="Q50" s="15" t="str">
        <f aca="false">IF($A50="","",[1]!_xludf.thsiFinD("ths_adjustment_nv_fund",Q$3,$A50))</f>
        <v/>
      </c>
      <c r="R50" s="15" t="str">
        <f aca="false">IF($A50="","",[1]!_xludf.thsiFinD("ths_adjustment_nv_fund",R$3,$A50))</f>
        <v/>
      </c>
      <c r="S50" s="15" t="str">
        <f aca="false">IF($A50="","",[1]!_xludf.thsiFinD("ths_adjustment_nv_fund",S$3,$A50))</f>
        <v/>
      </c>
      <c r="T50" s="15" t="str">
        <f aca="false">IF($A50="","",[1]!_xludf.thsiFinD("ths_adjustment_nv_fund",T$3,$A50))</f>
        <v/>
      </c>
      <c r="U50" s="15" t="str">
        <f aca="false">IF($A50="","",[1]!_xludf.thsiFinD("ths_adjustment_nv_fund",U$3,$A50))</f>
        <v/>
      </c>
      <c r="V50" s="15" t="str">
        <f aca="false">IF($A50="","",[1]!_xludf.thsiFinD("ths_adjustment_nv_fund",V$3,$A50))</f>
        <v/>
      </c>
      <c r="W50" s="15" t="str">
        <f aca="false">IF($A50="","",[1]!_xludf.thsiFinD("ths_adjustment_nv_fund",W$3,$A50))</f>
        <v/>
      </c>
      <c r="X50" s="15" t="str">
        <f aca="false">IF($A50="","",[1]!_xludf.thsiFinD("ths_adjustment_nv_fund",X$3,$A50))</f>
        <v/>
      </c>
      <c r="Y50" s="15" t="str">
        <f aca="false">IF($A50="","",[1]!_xludf.thsiFinD("ths_adjustment_nv_fund",Y$3,$A50))</f>
        <v/>
      </c>
    </row>
    <row r="51" customFormat="false" ht="13.5" hidden="false" customHeight="false" outlineLevel="0" collapsed="false">
      <c r="A51" s="9"/>
      <c r="B51" s="15" t="str">
        <f aca="false">IF($A51="","",[1]!_xludf.thsiFinD("ths_adjustment_nv_fund",B$3,$A51))</f>
        <v/>
      </c>
      <c r="C51" s="15" t="str">
        <f aca="false">IF($A51="","",[1]!_xludf.thsiFinD("ths_adjustment_nv_fund",C$3,$A51))</f>
        <v/>
      </c>
      <c r="D51" s="15" t="str">
        <f aca="false">IF($A51="","",[1]!_xludf.thsiFinD("ths_adjustment_nv_fund",D$3,$A51))</f>
        <v/>
      </c>
      <c r="E51" s="15" t="str">
        <f aca="false">IF($A51="","",[1]!_xludf.thsiFinD("ths_adjustment_nv_fund",E$3,$A51))</f>
        <v/>
      </c>
      <c r="F51" s="15" t="str">
        <f aca="false">IF($A51="","",[1]!_xludf.thsiFinD("ths_adjustment_nv_fund",F$3,$A51))</f>
        <v/>
      </c>
      <c r="G51" s="15" t="str">
        <f aca="false">IF($A51="","",[1]!_xludf.thsiFinD("ths_adjustment_nv_fund",G$3,$A51))</f>
        <v/>
      </c>
      <c r="H51" s="15" t="str">
        <f aca="false">IF($A51="","",[1]!_xludf.thsiFinD("ths_adjustment_nv_fund",H$3,$A51))</f>
        <v/>
      </c>
      <c r="I51" s="15" t="str">
        <f aca="false">IF($A51="","",[1]!_xludf.thsiFinD("ths_adjustment_nv_fund",I$3,$A51))</f>
        <v/>
      </c>
      <c r="J51" s="15" t="str">
        <f aca="false">IF($A51="","",[1]!_xludf.thsiFinD("ths_adjustment_nv_fund",J$3,$A51))</f>
        <v/>
      </c>
      <c r="K51" s="15" t="str">
        <f aca="false">IF($A51="","",[1]!_xludf.thsiFinD("ths_adjustment_nv_fund",K$3,$A51))</f>
        <v/>
      </c>
      <c r="L51" s="15" t="str">
        <f aca="false">IF($A51="","",[1]!_xludf.thsiFinD("ths_adjustment_nv_fund",L$3,$A51))</f>
        <v/>
      </c>
      <c r="M51" s="15" t="str">
        <f aca="false">IF($A51="","",[1]!_xludf.thsiFinD("ths_adjustment_nv_fund",M$3,$A51))</f>
        <v/>
      </c>
      <c r="N51" s="15" t="str">
        <f aca="false">IF($A51="","",[1]!_xludf.thsiFinD("ths_adjustment_nv_fund",N$3,$A51))</f>
        <v/>
      </c>
      <c r="O51" s="15" t="str">
        <f aca="false">IF($A51="","",[1]!_xludf.thsiFinD("ths_adjustment_nv_fund",O$3,$A51))</f>
        <v/>
      </c>
      <c r="P51" s="15" t="str">
        <f aca="false">IF($A51="","",[1]!_xludf.thsiFinD("ths_adjustment_nv_fund",P$3,$A51))</f>
        <v/>
      </c>
      <c r="Q51" s="15" t="str">
        <f aca="false">IF($A51="","",[1]!_xludf.thsiFinD("ths_adjustment_nv_fund",Q$3,$A51))</f>
        <v/>
      </c>
      <c r="R51" s="15" t="str">
        <f aca="false">IF($A51="","",[1]!_xludf.thsiFinD("ths_adjustment_nv_fund",R$3,$A51))</f>
        <v/>
      </c>
      <c r="S51" s="15" t="str">
        <f aca="false">IF($A51="","",[1]!_xludf.thsiFinD("ths_adjustment_nv_fund",S$3,$A51))</f>
        <v/>
      </c>
      <c r="T51" s="15" t="str">
        <f aca="false">IF($A51="","",[1]!_xludf.thsiFinD("ths_adjustment_nv_fund",T$3,$A51))</f>
        <v/>
      </c>
      <c r="U51" s="15" t="str">
        <f aca="false">IF($A51="","",[1]!_xludf.thsiFinD("ths_adjustment_nv_fund",U$3,$A51))</f>
        <v/>
      </c>
      <c r="V51" s="15" t="str">
        <f aca="false">IF($A51="","",[1]!_xludf.thsiFinD("ths_adjustment_nv_fund",V$3,$A51))</f>
        <v/>
      </c>
      <c r="W51" s="15" t="str">
        <f aca="false">IF($A51="","",[1]!_xludf.thsiFinD("ths_adjustment_nv_fund",W$3,$A51))</f>
        <v/>
      </c>
      <c r="X51" s="15" t="str">
        <f aca="false">IF($A51="","",[1]!_xludf.thsiFinD("ths_adjustment_nv_fund",X$3,$A51))</f>
        <v/>
      </c>
      <c r="Y51" s="15" t="str">
        <f aca="false">IF($A51="","",[1]!_xludf.thsiFinD("ths_adjustment_nv_fund",Y$3,$A51))</f>
        <v/>
      </c>
    </row>
    <row r="52" customFormat="false" ht="13.5" hidden="false" customHeight="false" outlineLevel="0" collapsed="false">
      <c r="A52" s="9"/>
      <c r="B52" s="15" t="str">
        <f aca="false">IF($A52="","",[1]!_xludf.thsiFinD("ths_adjustment_nv_fund",B$3,$A52))</f>
        <v/>
      </c>
      <c r="C52" s="15" t="str">
        <f aca="false">IF($A52="","",[1]!_xludf.thsiFinD("ths_adjustment_nv_fund",C$3,$A52))</f>
        <v/>
      </c>
      <c r="D52" s="15" t="str">
        <f aca="false">IF($A52="","",[1]!_xludf.thsiFinD("ths_adjustment_nv_fund",D$3,$A52))</f>
        <v/>
      </c>
      <c r="E52" s="15" t="str">
        <f aca="false">IF($A52="","",[1]!_xludf.thsiFinD("ths_adjustment_nv_fund",E$3,$A52))</f>
        <v/>
      </c>
      <c r="F52" s="15" t="str">
        <f aca="false">IF($A52="","",[1]!_xludf.thsiFinD("ths_adjustment_nv_fund",F$3,$A52))</f>
        <v/>
      </c>
      <c r="G52" s="15" t="str">
        <f aca="false">IF($A52="","",[1]!_xludf.thsiFinD("ths_adjustment_nv_fund",G$3,$A52))</f>
        <v/>
      </c>
      <c r="H52" s="15" t="str">
        <f aca="false">IF($A52="","",[1]!_xludf.thsiFinD("ths_adjustment_nv_fund",H$3,$A52))</f>
        <v/>
      </c>
      <c r="I52" s="15" t="str">
        <f aca="false">IF($A52="","",[1]!_xludf.thsiFinD("ths_adjustment_nv_fund",I$3,$A52))</f>
        <v/>
      </c>
      <c r="J52" s="15" t="str">
        <f aca="false">IF($A52="","",[1]!_xludf.thsiFinD("ths_adjustment_nv_fund",J$3,$A52))</f>
        <v/>
      </c>
      <c r="K52" s="15" t="str">
        <f aca="false">IF($A52="","",[1]!_xludf.thsiFinD("ths_adjustment_nv_fund",K$3,$A52))</f>
        <v/>
      </c>
      <c r="L52" s="15" t="str">
        <f aca="false">IF($A52="","",[1]!_xludf.thsiFinD("ths_adjustment_nv_fund",L$3,$A52))</f>
        <v/>
      </c>
      <c r="M52" s="15" t="str">
        <f aca="false">IF($A52="","",[1]!_xludf.thsiFinD("ths_adjustment_nv_fund",M$3,$A52))</f>
        <v/>
      </c>
      <c r="N52" s="15" t="str">
        <f aca="false">IF($A52="","",[1]!_xludf.thsiFinD("ths_adjustment_nv_fund",N$3,$A52))</f>
        <v/>
      </c>
      <c r="O52" s="15" t="str">
        <f aca="false">IF($A52="","",[1]!_xludf.thsiFinD("ths_adjustment_nv_fund",O$3,$A52))</f>
        <v/>
      </c>
      <c r="P52" s="15" t="str">
        <f aca="false">IF($A52="","",[1]!_xludf.thsiFinD("ths_adjustment_nv_fund",P$3,$A52))</f>
        <v/>
      </c>
      <c r="Q52" s="15" t="str">
        <f aca="false">IF($A52="","",[1]!_xludf.thsiFinD("ths_adjustment_nv_fund",Q$3,$A52))</f>
        <v/>
      </c>
      <c r="R52" s="15" t="str">
        <f aca="false">IF($A52="","",[1]!_xludf.thsiFinD("ths_adjustment_nv_fund",R$3,$A52))</f>
        <v/>
      </c>
      <c r="S52" s="15" t="str">
        <f aca="false">IF($A52="","",[1]!_xludf.thsiFinD("ths_adjustment_nv_fund",S$3,$A52))</f>
        <v/>
      </c>
      <c r="T52" s="15" t="str">
        <f aca="false">IF($A52="","",[1]!_xludf.thsiFinD("ths_adjustment_nv_fund",T$3,$A52))</f>
        <v/>
      </c>
      <c r="U52" s="15" t="str">
        <f aca="false">IF($A52="","",[1]!_xludf.thsiFinD("ths_adjustment_nv_fund",U$3,$A52))</f>
        <v/>
      </c>
      <c r="V52" s="15" t="str">
        <f aca="false">IF($A52="","",[1]!_xludf.thsiFinD("ths_adjustment_nv_fund",V$3,$A52))</f>
        <v/>
      </c>
      <c r="W52" s="15" t="str">
        <f aca="false">IF($A52="","",[1]!_xludf.thsiFinD("ths_adjustment_nv_fund",W$3,$A52))</f>
        <v/>
      </c>
      <c r="X52" s="15" t="str">
        <f aca="false">IF($A52="","",[1]!_xludf.thsiFinD("ths_adjustment_nv_fund",X$3,$A52))</f>
        <v/>
      </c>
      <c r="Y52" s="15" t="str">
        <f aca="false">IF($A52="","",[1]!_xludf.thsiFinD("ths_adjustment_nv_fund",Y$3,$A52))</f>
        <v/>
      </c>
    </row>
    <row r="53" customFormat="false" ht="13.5" hidden="false" customHeight="false" outlineLevel="0" collapsed="false">
      <c r="A53" s="9"/>
      <c r="B53" s="15" t="str">
        <f aca="false">IF($A53="","",[1]!_xludf.thsiFinD("ths_adjustment_nv_fund",B$3,$A53))</f>
        <v/>
      </c>
      <c r="C53" s="15" t="str">
        <f aca="false">IF($A53="","",[1]!_xludf.thsiFinD("ths_adjustment_nv_fund",C$3,$A53))</f>
        <v/>
      </c>
      <c r="D53" s="15" t="str">
        <f aca="false">IF($A53="","",[1]!_xludf.thsiFinD("ths_adjustment_nv_fund",D$3,$A53))</f>
        <v/>
      </c>
      <c r="E53" s="15" t="str">
        <f aca="false">IF($A53="","",[1]!_xludf.thsiFinD("ths_adjustment_nv_fund",E$3,$A53))</f>
        <v/>
      </c>
      <c r="F53" s="15" t="str">
        <f aca="false">IF($A53="","",[1]!_xludf.thsiFinD("ths_adjustment_nv_fund",F$3,$A53))</f>
        <v/>
      </c>
      <c r="G53" s="15" t="str">
        <f aca="false">IF($A53="","",[1]!_xludf.thsiFinD("ths_adjustment_nv_fund",G$3,$A53))</f>
        <v/>
      </c>
      <c r="H53" s="15" t="str">
        <f aca="false">IF($A53="","",[1]!_xludf.thsiFinD("ths_adjustment_nv_fund",H$3,$A53))</f>
        <v/>
      </c>
      <c r="I53" s="15" t="str">
        <f aca="false">IF($A53="","",[1]!_xludf.thsiFinD("ths_adjustment_nv_fund",I$3,$A53))</f>
        <v/>
      </c>
      <c r="J53" s="15" t="str">
        <f aca="false">IF($A53="","",[1]!_xludf.thsiFinD("ths_adjustment_nv_fund",J$3,$A53))</f>
        <v/>
      </c>
      <c r="K53" s="15" t="str">
        <f aca="false">IF($A53="","",[1]!_xludf.thsiFinD("ths_adjustment_nv_fund",K$3,$A53))</f>
        <v/>
      </c>
      <c r="L53" s="15" t="str">
        <f aca="false">IF($A53="","",[1]!_xludf.thsiFinD("ths_adjustment_nv_fund",L$3,$A53))</f>
        <v/>
      </c>
      <c r="M53" s="15" t="str">
        <f aca="false">IF($A53="","",[1]!_xludf.thsiFinD("ths_adjustment_nv_fund",M$3,$A53))</f>
        <v/>
      </c>
      <c r="N53" s="15" t="str">
        <f aca="false">IF($A53="","",[1]!_xludf.thsiFinD("ths_adjustment_nv_fund",N$3,$A53))</f>
        <v/>
      </c>
      <c r="O53" s="15" t="str">
        <f aca="false">IF($A53="","",[1]!_xludf.thsiFinD("ths_adjustment_nv_fund",O$3,$A53))</f>
        <v/>
      </c>
      <c r="P53" s="15" t="str">
        <f aca="false">IF($A53="","",[1]!_xludf.thsiFinD("ths_adjustment_nv_fund",P$3,$A53))</f>
        <v/>
      </c>
      <c r="Q53" s="15" t="str">
        <f aca="false">IF($A53="","",[1]!_xludf.thsiFinD("ths_adjustment_nv_fund",Q$3,$A53))</f>
        <v/>
      </c>
      <c r="R53" s="15" t="str">
        <f aca="false">IF($A53="","",[1]!_xludf.thsiFinD("ths_adjustment_nv_fund",R$3,$A53))</f>
        <v/>
      </c>
      <c r="S53" s="15" t="str">
        <f aca="false">IF($A53="","",[1]!_xludf.thsiFinD("ths_adjustment_nv_fund",S$3,$A53))</f>
        <v/>
      </c>
      <c r="T53" s="15" t="str">
        <f aca="false">IF($A53="","",[1]!_xludf.thsiFinD("ths_adjustment_nv_fund",T$3,$A53))</f>
        <v/>
      </c>
      <c r="U53" s="15" t="str">
        <f aca="false">IF($A53="","",[1]!_xludf.thsiFinD("ths_adjustment_nv_fund",U$3,$A53))</f>
        <v/>
      </c>
      <c r="V53" s="15" t="str">
        <f aca="false">IF($A53="","",[1]!_xludf.thsiFinD("ths_adjustment_nv_fund",V$3,$A53))</f>
        <v/>
      </c>
      <c r="W53" s="15" t="str">
        <f aca="false">IF($A53="","",[1]!_xludf.thsiFinD("ths_adjustment_nv_fund",W$3,$A53))</f>
        <v/>
      </c>
      <c r="X53" s="15" t="str">
        <f aca="false">IF($A53="","",[1]!_xludf.thsiFinD("ths_adjustment_nv_fund",X$3,$A53))</f>
        <v/>
      </c>
      <c r="Y53" s="15" t="str">
        <f aca="false">IF($A53="","",[1]!_xludf.thsiFinD("ths_adjustment_nv_fund",Y$3,$A53))</f>
        <v/>
      </c>
    </row>
    <row r="54" customFormat="false" ht="13.5" hidden="false" customHeight="false" outlineLevel="0" collapsed="false">
      <c r="A54" s="9"/>
      <c r="B54" s="15" t="str">
        <f aca="false">IF($A54="","",[1]!_xludf.thsiFinD("ths_adjustment_nv_fund",B$3,$A54))</f>
        <v/>
      </c>
      <c r="C54" s="15" t="str">
        <f aca="false">IF($A54="","",[1]!_xludf.thsiFinD("ths_adjustment_nv_fund",C$3,$A54))</f>
        <v/>
      </c>
      <c r="D54" s="15" t="str">
        <f aca="false">IF($A54="","",[1]!_xludf.thsiFinD("ths_adjustment_nv_fund",D$3,$A54))</f>
        <v/>
      </c>
      <c r="E54" s="15" t="str">
        <f aca="false">IF($A54="","",[1]!_xludf.thsiFinD("ths_adjustment_nv_fund",E$3,$A54))</f>
        <v/>
      </c>
      <c r="F54" s="15" t="str">
        <f aca="false">IF($A54="","",[1]!_xludf.thsiFinD("ths_adjustment_nv_fund",F$3,$A54))</f>
        <v/>
      </c>
      <c r="G54" s="15" t="str">
        <f aca="false">IF($A54="","",[1]!_xludf.thsiFinD("ths_adjustment_nv_fund",G$3,$A54))</f>
        <v/>
      </c>
      <c r="H54" s="15" t="str">
        <f aca="false">IF($A54="","",[1]!_xludf.thsiFinD("ths_adjustment_nv_fund",H$3,$A54))</f>
        <v/>
      </c>
      <c r="I54" s="15" t="str">
        <f aca="false">IF($A54="","",[1]!_xludf.thsiFinD("ths_adjustment_nv_fund",I$3,$A54))</f>
        <v/>
      </c>
      <c r="J54" s="15" t="str">
        <f aca="false">IF($A54="","",[1]!_xludf.thsiFinD("ths_adjustment_nv_fund",J$3,$A54))</f>
        <v/>
      </c>
      <c r="K54" s="15" t="str">
        <f aca="false">IF($A54="","",[1]!_xludf.thsiFinD("ths_adjustment_nv_fund",K$3,$A54))</f>
        <v/>
      </c>
      <c r="L54" s="15" t="str">
        <f aca="false">IF($A54="","",[1]!_xludf.thsiFinD("ths_adjustment_nv_fund",L$3,$A54))</f>
        <v/>
      </c>
      <c r="M54" s="15" t="str">
        <f aca="false">IF($A54="","",[1]!_xludf.thsiFinD("ths_adjustment_nv_fund",M$3,$A54))</f>
        <v/>
      </c>
      <c r="N54" s="15" t="str">
        <f aca="false">IF($A54="","",[1]!_xludf.thsiFinD("ths_adjustment_nv_fund",N$3,$A54))</f>
        <v/>
      </c>
      <c r="O54" s="15" t="str">
        <f aca="false">IF($A54="","",[1]!_xludf.thsiFinD("ths_adjustment_nv_fund",O$3,$A54))</f>
        <v/>
      </c>
      <c r="P54" s="15" t="str">
        <f aca="false">IF($A54="","",[1]!_xludf.thsiFinD("ths_adjustment_nv_fund",P$3,$A54))</f>
        <v/>
      </c>
      <c r="Q54" s="15" t="str">
        <f aca="false">IF($A54="","",[1]!_xludf.thsiFinD("ths_adjustment_nv_fund",Q$3,$A54))</f>
        <v/>
      </c>
      <c r="R54" s="15" t="str">
        <f aca="false">IF($A54="","",[1]!_xludf.thsiFinD("ths_adjustment_nv_fund",R$3,$A54))</f>
        <v/>
      </c>
      <c r="S54" s="15" t="str">
        <f aca="false">IF($A54="","",[1]!_xludf.thsiFinD("ths_adjustment_nv_fund",S$3,$A54))</f>
        <v/>
      </c>
      <c r="T54" s="15" t="str">
        <f aca="false">IF($A54="","",[1]!_xludf.thsiFinD("ths_adjustment_nv_fund",T$3,$A54))</f>
        <v/>
      </c>
      <c r="U54" s="15" t="str">
        <f aca="false">IF($A54="","",[1]!_xludf.thsiFinD("ths_adjustment_nv_fund",U$3,$A54))</f>
        <v/>
      </c>
      <c r="V54" s="15" t="str">
        <f aca="false">IF($A54="","",[1]!_xludf.thsiFinD("ths_adjustment_nv_fund",V$3,$A54))</f>
        <v/>
      </c>
      <c r="W54" s="15" t="str">
        <f aca="false">IF($A54="","",[1]!_xludf.thsiFinD("ths_adjustment_nv_fund",W$3,$A54))</f>
        <v/>
      </c>
      <c r="X54" s="15" t="str">
        <f aca="false">IF($A54="","",[1]!_xludf.thsiFinD("ths_adjustment_nv_fund",X$3,$A54))</f>
        <v/>
      </c>
      <c r="Y54" s="15" t="str">
        <f aca="false">IF($A54="","",[1]!_xludf.thsiFinD("ths_adjustment_nv_fund",Y$3,$A54))</f>
        <v/>
      </c>
    </row>
    <row r="55" customFormat="false" ht="13.5" hidden="false" customHeight="false" outlineLevel="0" collapsed="false">
      <c r="A55" s="9"/>
      <c r="B55" s="15" t="str">
        <f aca="false">IF($A55="","",[1]!_xludf.thsiFinD("ths_adjustment_nv_fund",B$3,$A55))</f>
        <v/>
      </c>
      <c r="C55" s="15" t="str">
        <f aca="false">IF($A55="","",[1]!_xludf.thsiFinD("ths_adjustment_nv_fund",C$3,$A55))</f>
        <v/>
      </c>
      <c r="D55" s="15" t="str">
        <f aca="false">IF($A55="","",[1]!_xludf.thsiFinD("ths_adjustment_nv_fund",D$3,$A55))</f>
        <v/>
      </c>
      <c r="E55" s="15" t="str">
        <f aca="false">IF($A55="","",[1]!_xludf.thsiFinD("ths_adjustment_nv_fund",E$3,$A55))</f>
        <v/>
      </c>
      <c r="F55" s="15" t="str">
        <f aca="false">IF($A55="","",[1]!_xludf.thsiFinD("ths_adjustment_nv_fund",F$3,$A55))</f>
        <v/>
      </c>
      <c r="G55" s="15" t="str">
        <f aca="false">IF($A55="","",[1]!_xludf.thsiFinD("ths_adjustment_nv_fund",G$3,$A55))</f>
        <v/>
      </c>
      <c r="H55" s="15" t="str">
        <f aca="false">IF($A55="","",[1]!_xludf.thsiFinD("ths_adjustment_nv_fund",H$3,$A55))</f>
        <v/>
      </c>
      <c r="I55" s="15" t="str">
        <f aca="false">IF($A55="","",[1]!_xludf.thsiFinD("ths_adjustment_nv_fund",I$3,$A55))</f>
        <v/>
      </c>
      <c r="J55" s="15" t="str">
        <f aca="false">IF($A55="","",[1]!_xludf.thsiFinD("ths_adjustment_nv_fund",J$3,$A55))</f>
        <v/>
      </c>
      <c r="K55" s="15" t="str">
        <f aca="false">IF($A55="","",[1]!_xludf.thsiFinD("ths_adjustment_nv_fund",K$3,$A55))</f>
        <v/>
      </c>
      <c r="L55" s="15" t="str">
        <f aca="false">IF($A55="","",[1]!_xludf.thsiFinD("ths_adjustment_nv_fund",L$3,$A55))</f>
        <v/>
      </c>
      <c r="M55" s="15" t="str">
        <f aca="false">IF($A55="","",[1]!_xludf.thsiFinD("ths_adjustment_nv_fund",M$3,$A55))</f>
        <v/>
      </c>
      <c r="N55" s="15" t="str">
        <f aca="false">IF($A55="","",[1]!_xludf.thsiFinD("ths_adjustment_nv_fund",N$3,$A55))</f>
        <v/>
      </c>
      <c r="O55" s="15" t="str">
        <f aca="false">IF($A55="","",[1]!_xludf.thsiFinD("ths_adjustment_nv_fund",O$3,$A55))</f>
        <v/>
      </c>
      <c r="P55" s="15" t="str">
        <f aca="false">IF($A55="","",[1]!_xludf.thsiFinD("ths_adjustment_nv_fund",P$3,$A55))</f>
        <v/>
      </c>
      <c r="Q55" s="15" t="str">
        <f aca="false">IF($A55="","",[1]!_xludf.thsiFinD("ths_adjustment_nv_fund",Q$3,$A55))</f>
        <v/>
      </c>
      <c r="R55" s="15" t="str">
        <f aca="false">IF($A55="","",[1]!_xludf.thsiFinD("ths_adjustment_nv_fund",R$3,$A55))</f>
        <v/>
      </c>
      <c r="S55" s="15" t="str">
        <f aca="false">IF($A55="","",[1]!_xludf.thsiFinD("ths_adjustment_nv_fund",S$3,$A55))</f>
        <v/>
      </c>
      <c r="T55" s="15" t="str">
        <f aca="false">IF($A55="","",[1]!_xludf.thsiFinD("ths_adjustment_nv_fund",T$3,$A55))</f>
        <v/>
      </c>
      <c r="U55" s="15" t="str">
        <f aca="false">IF($A55="","",[1]!_xludf.thsiFinD("ths_adjustment_nv_fund",U$3,$A55))</f>
        <v/>
      </c>
      <c r="V55" s="15" t="str">
        <f aca="false">IF($A55="","",[1]!_xludf.thsiFinD("ths_adjustment_nv_fund",V$3,$A55))</f>
        <v/>
      </c>
      <c r="W55" s="15" t="str">
        <f aca="false">IF($A55="","",[1]!_xludf.thsiFinD("ths_adjustment_nv_fund",W$3,$A55))</f>
        <v/>
      </c>
      <c r="X55" s="15" t="str">
        <f aca="false">IF($A55="","",[1]!_xludf.thsiFinD("ths_adjustment_nv_fund",X$3,$A55))</f>
        <v/>
      </c>
      <c r="Y55" s="15" t="str">
        <f aca="false">IF($A55="","",[1]!_xludf.thsiFinD("ths_adjustment_nv_fund",Y$3,$A55))</f>
        <v/>
      </c>
    </row>
    <row r="56" customFormat="false" ht="13.5" hidden="false" customHeight="false" outlineLevel="0" collapsed="false">
      <c r="A56" s="9"/>
      <c r="B56" s="15" t="str">
        <f aca="false">IF($A56="","",[1]!_xludf.thsiFinD("ths_adjustment_nv_fund",B$3,$A56))</f>
        <v/>
      </c>
      <c r="C56" s="15" t="str">
        <f aca="false">IF($A56="","",[1]!_xludf.thsiFinD("ths_adjustment_nv_fund",C$3,$A56))</f>
        <v/>
      </c>
      <c r="D56" s="15" t="str">
        <f aca="false">IF($A56="","",[1]!_xludf.thsiFinD("ths_adjustment_nv_fund",D$3,$A56))</f>
        <v/>
      </c>
      <c r="E56" s="15" t="str">
        <f aca="false">IF($A56="","",[1]!_xludf.thsiFinD("ths_adjustment_nv_fund",E$3,$A56))</f>
        <v/>
      </c>
      <c r="F56" s="15" t="str">
        <f aca="false">IF($A56="","",[1]!_xludf.thsiFinD("ths_adjustment_nv_fund",F$3,$A56))</f>
        <v/>
      </c>
      <c r="G56" s="15" t="str">
        <f aca="false">IF($A56="","",[1]!_xludf.thsiFinD("ths_adjustment_nv_fund",G$3,$A56))</f>
        <v/>
      </c>
      <c r="H56" s="15" t="str">
        <f aca="false">IF($A56="","",[1]!_xludf.thsiFinD("ths_adjustment_nv_fund",H$3,$A56))</f>
        <v/>
      </c>
      <c r="I56" s="15" t="str">
        <f aca="false">IF($A56="","",[1]!_xludf.thsiFinD("ths_adjustment_nv_fund",I$3,$A56))</f>
        <v/>
      </c>
      <c r="J56" s="15" t="str">
        <f aca="false">IF($A56="","",[1]!_xludf.thsiFinD("ths_adjustment_nv_fund",J$3,$A56))</f>
        <v/>
      </c>
      <c r="K56" s="15" t="str">
        <f aca="false">IF($A56="","",[1]!_xludf.thsiFinD("ths_adjustment_nv_fund",K$3,$A56))</f>
        <v/>
      </c>
      <c r="L56" s="15" t="str">
        <f aca="false">IF($A56="","",[1]!_xludf.thsiFinD("ths_adjustment_nv_fund",L$3,$A56))</f>
        <v/>
      </c>
      <c r="M56" s="15" t="str">
        <f aca="false">IF($A56="","",[1]!_xludf.thsiFinD("ths_adjustment_nv_fund",M$3,$A56))</f>
        <v/>
      </c>
      <c r="N56" s="15" t="str">
        <f aca="false">IF($A56="","",[1]!_xludf.thsiFinD("ths_adjustment_nv_fund",N$3,$A56))</f>
        <v/>
      </c>
      <c r="O56" s="15" t="str">
        <f aca="false">IF($A56="","",[1]!_xludf.thsiFinD("ths_adjustment_nv_fund",O$3,$A56))</f>
        <v/>
      </c>
      <c r="P56" s="15" t="str">
        <f aca="false">IF($A56="","",[1]!_xludf.thsiFinD("ths_adjustment_nv_fund",P$3,$A56))</f>
        <v/>
      </c>
      <c r="Q56" s="15" t="str">
        <f aca="false">IF($A56="","",[1]!_xludf.thsiFinD("ths_adjustment_nv_fund",Q$3,$A56))</f>
        <v/>
      </c>
      <c r="R56" s="15" t="str">
        <f aca="false">IF($A56="","",[1]!_xludf.thsiFinD("ths_adjustment_nv_fund",R$3,$A56))</f>
        <v/>
      </c>
      <c r="S56" s="15" t="str">
        <f aca="false">IF($A56="","",[1]!_xludf.thsiFinD("ths_adjustment_nv_fund",S$3,$A56))</f>
        <v/>
      </c>
      <c r="T56" s="15" t="str">
        <f aca="false">IF($A56="","",[1]!_xludf.thsiFinD("ths_adjustment_nv_fund",T$3,$A56))</f>
        <v/>
      </c>
      <c r="U56" s="15" t="str">
        <f aca="false">IF($A56="","",[1]!_xludf.thsiFinD("ths_adjustment_nv_fund",U$3,$A56))</f>
        <v/>
      </c>
      <c r="V56" s="15" t="str">
        <f aca="false">IF($A56="","",[1]!_xludf.thsiFinD("ths_adjustment_nv_fund",V$3,$A56))</f>
        <v/>
      </c>
      <c r="W56" s="15" t="str">
        <f aca="false">IF($A56="","",[1]!_xludf.thsiFinD("ths_adjustment_nv_fund",W$3,$A56))</f>
        <v/>
      </c>
      <c r="X56" s="15" t="str">
        <f aca="false">IF($A56="","",[1]!_xludf.thsiFinD("ths_adjustment_nv_fund",X$3,$A56))</f>
        <v/>
      </c>
      <c r="Y56" s="15" t="str">
        <f aca="false">IF($A56="","",[1]!_xludf.thsiFinD("ths_adjustment_nv_fund",Y$3,$A56))</f>
        <v/>
      </c>
    </row>
    <row r="57" customFormat="false" ht="13.5" hidden="false" customHeight="false" outlineLevel="0" collapsed="false">
      <c r="A57" s="9"/>
      <c r="B57" s="15" t="str">
        <f aca="false">IF($A57="","",[1]!_xludf.thsiFinD("ths_adjustment_nv_fund",B$3,$A57))</f>
        <v/>
      </c>
      <c r="C57" s="15" t="str">
        <f aca="false">IF($A57="","",[1]!_xludf.thsiFinD("ths_adjustment_nv_fund",C$3,$A57))</f>
        <v/>
      </c>
      <c r="D57" s="15" t="str">
        <f aca="false">IF($A57="","",[1]!_xludf.thsiFinD("ths_adjustment_nv_fund",D$3,$A57))</f>
        <v/>
      </c>
      <c r="E57" s="15" t="str">
        <f aca="false">IF($A57="","",[1]!_xludf.thsiFinD("ths_adjustment_nv_fund",E$3,$A57))</f>
        <v/>
      </c>
      <c r="F57" s="15" t="str">
        <f aca="false">IF($A57="","",[1]!_xludf.thsiFinD("ths_adjustment_nv_fund",F$3,$A57))</f>
        <v/>
      </c>
      <c r="G57" s="15" t="str">
        <f aca="false">IF($A57="","",[1]!_xludf.thsiFinD("ths_adjustment_nv_fund",G$3,$A57))</f>
        <v/>
      </c>
      <c r="H57" s="15" t="str">
        <f aca="false">IF($A57="","",[1]!_xludf.thsiFinD("ths_adjustment_nv_fund",H$3,$A57))</f>
        <v/>
      </c>
      <c r="I57" s="15" t="str">
        <f aca="false">IF($A57="","",[1]!_xludf.thsiFinD("ths_adjustment_nv_fund",I$3,$A57))</f>
        <v/>
      </c>
      <c r="J57" s="15" t="str">
        <f aca="false">IF($A57="","",[1]!_xludf.thsiFinD("ths_adjustment_nv_fund",J$3,$A57))</f>
        <v/>
      </c>
      <c r="K57" s="15" t="str">
        <f aca="false">IF($A57="","",[1]!_xludf.thsiFinD("ths_adjustment_nv_fund",K$3,$A57))</f>
        <v/>
      </c>
      <c r="L57" s="15" t="str">
        <f aca="false">IF($A57="","",[1]!_xludf.thsiFinD("ths_adjustment_nv_fund",L$3,$A57))</f>
        <v/>
      </c>
      <c r="M57" s="15" t="str">
        <f aca="false">IF($A57="","",[1]!_xludf.thsiFinD("ths_adjustment_nv_fund",M$3,$A57))</f>
        <v/>
      </c>
      <c r="N57" s="15" t="str">
        <f aca="false">IF($A57="","",[1]!_xludf.thsiFinD("ths_adjustment_nv_fund",N$3,$A57))</f>
        <v/>
      </c>
      <c r="O57" s="15" t="str">
        <f aca="false">IF($A57="","",[1]!_xludf.thsiFinD("ths_adjustment_nv_fund",O$3,$A57))</f>
        <v/>
      </c>
      <c r="P57" s="15" t="str">
        <f aca="false">IF($A57="","",[1]!_xludf.thsiFinD("ths_adjustment_nv_fund",P$3,$A57))</f>
        <v/>
      </c>
      <c r="Q57" s="15" t="str">
        <f aca="false">IF($A57="","",[1]!_xludf.thsiFinD("ths_adjustment_nv_fund",Q$3,$A57))</f>
        <v/>
      </c>
      <c r="R57" s="15" t="str">
        <f aca="false">IF($A57="","",[1]!_xludf.thsiFinD("ths_adjustment_nv_fund",R$3,$A57))</f>
        <v/>
      </c>
      <c r="S57" s="15" t="str">
        <f aca="false">IF($A57="","",[1]!_xludf.thsiFinD("ths_adjustment_nv_fund",S$3,$A57))</f>
        <v/>
      </c>
      <c r="T57" s="15" t="str">
        <f aca="false">IF($A57="","",[1]!_xludf.thsiFinD("ths_adjustment_nv_fund",T$3,$A57))</f>
        <v/>
      </c>
      <c r="U57" s="15" t="str">
        <f aca="false">IF($A57="","",[1]!_xludf.thsiFinD("ths_adjustment_nv_fund",U$3,$A57))</f>
        <v/>
      </c>
      <c r="V57" s="15" t="str">
        <f aca="false">IF($A57="","",[1]!_xludf.thsiFinD("ths_adjustment_nv_fund",V$3,$A57))</f>
        <v/>
      </c>
      <c r="W57" s="15" t="str">
        <f aca="false">IF($A57="","",[1]!_xludf.thsiFinD("ths_adjustment_nv_fund",W$3,$A57))</f>
        <v/>
      </c>
      <c r="X57" s="15" t="str">
        <f aca="false">IF($A57="","",[1]!_xludf.thsiFinD("ths_adjustment_nv_fund",X$3,$A57))</f>
        <v/>
      </c>
      <c r="Y57" s="15" t="str">
        <f aca="false">IF($A57="","",[1]!_xludf.thsiFinD("ths_adjustment_nv_fund",Y$3,$A57))</f>
        <v/>
      </c>
    </row>
    <row r="58" customFormat="false" ht="13.5" hidden="false" customHeight="false" outlineLevel="0" collapsed="false">
      <c r="A58" s="9"/>
      <c r="B58" s="15" t="str">
        <f aca="false">IF($A58="","",[1]!_xludf.thsiFinD("ths_adjustment_nv_fund",B$3,$A58))</f>
        <v/>
      </c>
      <c r="C58" s="15" t="str">
        <f aca="false">IF($A58="","",[1]!_xludf.thsiFinD("ths_adjustment_nv_fund",C$3,$A58))</f>
        <v/>
      </c>
      <c r="D58" s="15" t="str">
        <f aca="false">IF($A58="","",[1]!_xludf.thsiFinD("ths_adjustment_nv_fund",D$3,$A58))</f>
        <v/>
      </c>
      <c r="E58" s="15" t="str">
        <f aca="false">IF($A58="","",[1]!_xludf.thsiFinD("ths_adjustment_nv_fund",E$3,$A58))</f>
        <v/>
      </c>
      <c r="F58" s="15" t="str">
        <f aca="false">IF($A58="","",[1]!_xludf.thsiFinD("ths_adjustment_nv_fund",F$3,$A58))</f>
        <v/>
      </c>
      <c r="G58" s="15" t="str">
        <f aca="false">IF($A58="","",[1]!_xludf.thsiFinD("ths_adjustment_nv_fund",G$3,$A58))</f>
        <v/>
      </c>
      <c r="H58" s="15" t="str">
        <f aca="false">IF($A58="","",[1]!_xludf.thsiFinD("ths_adjustment_nv_fund",H$3,$A58))</f>
        <v/>
      </c>
      <c r="I58" s="15" t="str">
        <f aca="false">IF($A58="","",[1]!_xludf.thsiFinD("ths_adjustment_nv_fund",I$3,$A58))</f>
        <v/>
      </c>
      <c r="J58" s="15" t="str">
        <f aca="false">IF($A58="","",[1]!_xludf.thsiFinD("ths_adjustment_nv_fund",J$3,$A58))</f>
        <v/>
      </c>
      <c r="K58" s="15" t="str">
        <f aca="false">IF($A58="","",[1]!_xludf.thsiFinD("ths_adjustment_nv_fund",K$3,$A58))</f>
        <v/>
      </c>
      <c r="L58" s="15" t="str">
        <f aca="false">IF($A58="","",[1]!_xludf.thsiFinD("ths_adjustment_nv_fund",L$3,$A58))</f>
        <v/>
      </c>
      <c r="M58" s="15" t="str">
        <f aca="false">IF($A58="","",[1]!_xludf.thsiFinD("ths_adjustment_nv_fund",M$3,$A58))</f>
        <v/>
      </c>
      <c r="N58" s="15" t="str">
        <f aca="false">IF($A58="","",[1]!_xludf.thsiFinD("ths_adjustment_nv_fund",N$3,$A58))</f>
        <v/>
      </c>
      <c r="O58" s="15" t="str">
        <f aca="false">IF($A58="","",[1]!_xludf.thsiFinD("ths_adjustment_nv_fund",O$3,$A58))</f>
        <v/>
      </c>
      <c r="P58" s="15" t="str">
        <f aca="false">IF($A58="","",[1]!_xludf.thsiFinD("ths_adjustment_nv_fund",P$3,$A58))</f>
        <v/>
      </c>
      <c r="Q58" s="15" t="str">
        <f aca="false">IF($A58="","",[1]!_xludf.thsiFinD("ths_adjustment_nv_fund",Q$3,$A58))</f>
        <v/>
      </c>
      <c r="R58" s="15" t="str">
        <f aca="false">IF($A58="","",[1]!_xludf.thsiFinD("ths_adjustment_nv_fund",R$3,$A58))</f>
        <v/>
      </c>
      <c r="S58" s="15" t="str">
        <f aca="false">IF($A58="","",[1]!_xludf.thsiFinD("ths_adjustment_nv_fund",S$3,$A58))</f>
        <v/>
      </c>
      <c r="T58" s="15" t="str">
        <f aca="false">IF($A58="","",[1]!_xludf.thsiFinD("ths_adjustment_nv_fund",T$3,$A58))</f>
        <v/>
      </c>
      <c r="U58" s="15" t="str">
        <f aca="false">IF($A58="","",[1]!_xludf.thsiFinD("ths_adjustment_nv_fund",U$3,$A58))</f>
        <v/>
      </c>
      <c r="V58" s="15" t="str">
        <f aca="false">IF($A58="","",[1]!_xludf.thsiFinD("ths_adjustment_nv_fund",V$3,$A58))</f>
        <v/>
      </c>
      <c r="W58" s="15" t="str">
        <f aca="false">IF($A58="","",[1]!_xludf.thsiFinD("ths_adjustment_nv_fund",W$3,$A58))</f>
        <v/>
      </c>
      <c r="X58" s="15" t="str">
        <f aca="false">IF($A58="","",[1]!_xludf.thsiFinD("ths_adjustment_nv_fund",X$3,$A58))</f>
        <v/>
      </c>
      <c r="Y58" s="15" t="str">
        <f aca="false">IF($A58="","",[1]!_xludf.thsiFinD("ths_adjustment_nv_fund",Y$3,$A58))</f>
        <v/>
      </c>
    </row>
    <row r="59" customFormat="false" ht="13.5" hidden="false" customHeight="false" outlineLevel="0" collapsed="false">
      <c r="A59" s="9"/>
      <c r="B59" s="15" t="str">
        <f aca="false">IF($A59="","",[1]!_xludf.thsiFinD("ths_adjustment_nv_fund",B$3,$A59))</f>
        <v/>
      </c>
      <c r="C59" s="15" t="str">
        <f aca="false">IF($A59="","",[1]!_xludf.thsiFinD("ths_adjustment_nv_fund",C$3,$A59))</f>
        <v/>
      </c>
      <c r="D59" s="15" t="str">
        <f aca="false">IF($A59="","",[1]!_xludf.thsiFinD("ths_adjustment_nv_fund",D$3,$A59))</f>
        <v/>
      </c>
      <c r="E59" s="15" t="str">
        <f aca="false">IF($A59="","",[1]!_xludf.thsiFinD("ths_adjustment_nv_fund",E$3,$A59))</f>
        <v/>
      </c>
      <c r="F59" s="15" t="str">
        <f aca="false">IF($A59="","",[1]!_xludf.thsiFinD("ths_adjustment_nv_fund",F$3,$A59))</f>
        <v/>
      </c>
      <c r="G59" s="15" t="str">
        <f aca="false">IF($A59="","",[1]!_xludf.thsiFinD("ths_adjustment_nv_fund",G$3,$A59))</f>
        <v/>
      </c>
      <c r="H59" s="15" t="str">
        <f aca="false">IF($A59="","",[1]!_xludf.thsiFinD("ths_adjustment_nv_fund",H$3,$A59))</f>
        <v/>
      </c>
      <c r="I59" s="15" t="str">
        <f aca="false">IF($A59="","",[1]!_xludf.thsiFinD("ths_adjustment_nv_fund",I$3,$A59))</f>
        <v/>
      </c>
      <c r="J59" s="15" t="str">
        <f aca="false">IF($A59="","",[1]!_xludf.thsiFinD("ths_adjustment_nv_fund",J$3,$A59))</f>
        <v/>
      </c>
      <c r="K59" s="15" t="str">
        <f aca="false">IF($A59="","",[1]!_xludf.thsiFinD("ths_adjustment_nv_fund",K$3,$A59))</f>
        <v/>
      </c>
      <c r="L59" s="15" t="str">
        <f aca="false">IF($A59="","",[1]!_xludf.thsiFinD("ths_adjustment_nv_fund",L$3,$A59))</f>
        <v/>
      </c>
      <c r="M59" s="15" t="str">
        <f aca="false">IF($A59="","",[1]!_xludf.thsiFinD("ths_adjustment_nv_fund",M$3,$A59))</f>
        <v/>
      </c>
      <c r="N59" s="15" t="str">
        <f aca="false">IF($A59="","",[1]!_xludf.thsiFinD("ths_adjustment_nv_fund",N$3,$A59))</f>
        <v/>
      </c>
      <c r="O59" s="15" t="str">
        <f aca="false">IF($A59="","",[1]!_xludf.thsiFinD("ths_adjustment_nv_fund",O$3,$A59))</f>
        <v/>
      </c>
      <c r="P59" s="15" t="str">
        <f aca="false">IF($A59="","",[1]!_xludf.thsiFinD("ths_adjustment_nv_fund",P$3,$A59))</f>
        <v/>
      </c>
      <c r="Q59" s="15" t="str">
        <f aca="false">IF($A59="","",[1]!_xludf.thsiFinD("ths_adjustment_nv_fund",Q$3,$A59))</f>
        <v/>
      </c>
      <c r="R59" s="15" t="str">
        <f aca="false">IF($A59="","",[1]!_xludf.thsiFinD("ths_adjustment_nv_fund",R$3,$A59))</f>
        <v/>
      </c>
      <c r="S59" s="15" t="str">
        <f aca="false">IF($A59="","",[1]!_xludf.thsiFinD("ths_adjustment_nv_fund",S$3,$A59))</f>
        <v/>
      </c>
      <c r="T59" s="15" t="str">
        <f aca="false">IF($A59="","",[1]!_xludf.thsiFinD("ths_adjustment_nv_fund",T$3,$A59))</f>
        <v/>
      </c>
      <c r="U59" s="15" t="str">
        <f aca="false">IF($A59="","",[1]!_xludf.thsiFinD("ths_adjustment_nv_fund",U$3,$A59))</f>
        <v/>
      </c>
      <c r="V59" s="15" t="str">
        <f aca="false">IF($A59="","",[1]!_xludf.thsiFinD("ths_adjustment_nv_fund",V$3,$A59))</f>
        <v/>
      </c>
      <c r="W59" s="15" t="str">
        <f aca="false">IF($A59="","",[1]!_xludf.thsiFinD("ths_adjustment_nv_fund",W$3,$A59))</f>
        <v/>
      </c>
      <c r="X59" s="15" t="str">
        <f aca="false">IF($A59="","",[1]!_xludf.thsiFinD("ths_adjustment_nv_fund",X$3,$A59))</f>
        <v/>
      </c>
      <c r="Y59" s="15" t="str">
        <f aca="false">IF($A59="","",[1]!_xludf.thsiFinD("ths_adjustment_nv_fund",Y$3,$A59))</f>
        <v/>
      </c>
    </row>
    <row r="60" customFormat="false" ht="13.5" hidden="false" customHeight="false" outlineLevel="0" collapsed="false">
      <c r="A60" s="9"/>
      <c r="B60" s="15" t="str">
        <f aca="false">IF($A60="","",[1]!_xludf.thsiFinD("ths_adjustment_nv_fund",B$3,$A60))</f>
        <v/>
      </c>
      <c r="C60" s="15" t="str">
        <f aca="false">IF($A60="","",[1]!_xludf.thsiFinD("ths_adjustment_nv_fund",C$3,$A60))</f>
        <v/>
      </c>
      <c r="D60" s="15" t="str">
        <f aca="false">IF($A60="","",[1]!_xludf.thsiFinD("ths_adjustment_nv_fund",D$3,$A60))</f>
        <v/>
      </c>
      <c r="E60" s="15" t="str">
        <f aca="false">IF($A60="","",[1]!_xludf.thsiFinD("ths_adjustment_nv_fund",E$3,$A60))</f>
        <v/>
      </c>
      <c r="F60" s="15" t="str">
        <f aca="false">IF($A60="","",[1]!_xludf.thsiFinD("ths_adjustment_nv_fund",F$3,$A60))</f>
        <v/>
      </c>
      <c r="G60" s="15" t="str">
        <f aca="false">IF($A60="","",[1]!_xludf.thsiFinD("ths_adjustment_nv_fund",G$3,$A60))</f>
        <v/>
      </c>
      <c r="H60" s="15" t="str">
        <f aca="false">IF($A60="","",[1]!_xludf.thsiFinD("ths_adjustment_nv_fund",H$3,$A60))</f>
        <v/>
      </c>
      <c r="I60" s="15" t="str">
        <f aca="false">IF($A60="","",[1]!_xludf.thsiFinD("ths_adjustment_nv_fund",I$3,$A60))</f>
        <v/>
      </c>
      <c r="J60" s="15" t="str">
        <f aca="false">IF($A60="","",[1]!_xludf.thsiFinD("ths_adjustment_nv_fund",J$3,$A60))</f>
        <v/>
      </c>
      <c r="K60" s="15" t="str">
        <f aca="false">IF($A60="","",[1]!_xludf.thsiFinD("ths_adjustment_nv_fund",K$3,$A60))</f>
        <v/>
      </c>
      <c r="L60" s="15" t="str">
        <f aca="false">IF($A60="","",[1]!_xludf.thsiFinD("ths_adjustment_nv_fund",L$3,$A60))</f>
        <v/>
      </c>
      <c r="M60" s="15" t="str">
        <f aca="false">IF($A60="","",[1]!_xludf.thsiFinD("ths_adjustment_nv_fund",M$3,$A60))</f>
        <v/>
      </c>
      <c r="N60" s="15" t="str">
        <f aca="false">IF($A60="","",[1]!_xludf.thsiFinD("ths_adjustment_nv_fund",N$3,$A60))</f>
        <v/>
      </c>
      <c r="O60" s="15" t="str">
        <f aca="false">IF($A60="","",[1]!_xludf.thsiFinD("ths_adjustment_nv_fund",O$3,$A60))</f>
        <v/>
      </c>
      <c r="P60" s="15" t="str">
        <f aca="false">IF($A60="","",[1]!_xludf.thsiFinD("ths_adjustment_nv_fund",P$3,$A60))</f>
        <v/>
      </c>
      <c r="Q60" s="15" t="str">
        <f aca="false">IF($A60="","",[1]!_xludf.thsiFinD("ths_adjustment_nv_fund",Q$3,$A60))</f>
        <v/>
      </c>
      <c r="R60" s="15" t="str">
        <f aca="false">IF($A60="","",[1]!_xludf.thsiFinD("ths_adjustment_nv_fund",R$3,$A60))</f>
        <v/>
      </c>
      <c r="S60" s="15" t="str">
        <f aca="false">IF($A60="","",[1]!_xludf.thsiFinD("ths_adjustment_nv_fund",S$3,$A60))</f>
        <v/>
      </c>
      <c r="T60" s="15" t="str">
        <f aca="false">IF($A60="","",[1]!_xludf.thsiFinD("ths_adjustment_nv_fund",T$3,$A60))</f>
        <v/>
      </c>
      <c r="U60" s="15" t="str">
        <f aca="false">IF($A60="","",[1]!_xludf.thsiFinD("ths_adjustment_nv_fund",U$3,$A60))</f>
        <v/>
      </c>
      <c r="V60" s="15" t="str">
        <f aca="false">IF($A60="","",[1]!_xludf.thsiFinD("ths_adjustment_nv_fund",V$3,$A60))</f>
        <v/>
      </c>
      <c r="W60" s="15" t="str">
        <f aca="false">IF($A60="","",[1]!_xludf.thsiFinD("ths_adjustment_nv_fund",W$3,$A60))</f>
        <v/>
      </c>
      <c r="X60" s="15" t="str">
        <f aca="false">IF($A60="","",[1]!_xludf.thsiFinD("ths_adjustment_nv_fund",X$3,$A60))</f>
        <v/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3.16"/>
    <col collapsed="false" customWidth="true" hidden="false" outlineLevel="0" max="22" min="22" style="0" width="14.85"/>
  </cols>
  <sheetData>
    <row r="1" customFormat="false" ht="18.75" hidden="false" customHeight="true" outlineLevel="0" collapsed="false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3.5" hidden="false" customHeight="tru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</row>
    <row r="3" customFormat="false" ht="42" hidden="false" customHeight="true" outlineLevel="0" collapsed="false">
      <c r="B3" s="17" t="s">
        <v>64</v>
      </c>
      <c r="E3" s="17" t="s">
        <v>65</v>
      </c>
      <c r="H3" s="17" t="s">
        <v>66</v>
      </c>
      <c r="K3" s="17" t="s">
        <v>67</v>
      </c>
      <c r="N3" s="17" t="s">
        <v>68</v>
      </c>
      <c r="Q3" s="17" t="s">
        <v>69</v>
      </c>
    </row>
    <row r="4" customFormat="false" ht="13.5" hidden="false" customHeight="false" outlineLevel="0" collapsed="false">
      <c r="A4" s="2" t="s">
        <v>70</v>
      </c>
      <c r="B4" s="2" t="s">
        <v>71</v>
      </c>
      <c r="C4" s="2" t="s">
        <v>72</v>
      </c>
      <c r="D4" s="2" t="s">
        <v>73</v>
      </c>
      <c r="E4" s="2" t="s">
        <v>71</v>
      </c>
      <c r="F4" s="2" t="s">
        <v>72</v>
      </c>
      <c r="G4" s="2" t="s">
        <v>73</v>
      </c>
      <c r="H4" s="2" t="s">
        <v>71</v>
      </c>
      <c r="I4" s="2" t="s">
        <v>72</v>
      </c>
      <c r="J4" s="2" t="s">
        <v>73</v>
      </c>
      <c r="K4" s="2" t="s">
        <v>71</v>
      </c>
      <c r="L4" s="2" t="s">
        <v>72</v>
      </c>
      <c r="M4" s="2" t="s">
        <v>73</v>
      </c>
      <c r="N4" s="2" t="s">
        <v>71</v>
      </c>
      <c r="O4" s="2" t="s">
        <v>72</v>
      </c>
      <c r="P4" s="2" t="s">
        <v>73</v>
      </c>
      <c r="Q4" s="2" t="s">
        <v>71</v>
      </c>
      <c r="R4" s="2" t="s">
        <v>72</v>
      </c>
      <c r="S4" s="2" t="s">
        <v>73</v>
      </c>
    </row>
    <row r="5" customFormat="false" ht="13.5" hidden="false" customHeight="false" outlineLevel="0" collapsed="false">
      <c r="A5" s="18" t="n">
        <f aca="false">IF('实盘净值数据(iFinD公式)'!A5="","",'实盘净值数据(iFinD公式)'!A5)</f>
        <v>46191</v>
      </c>
      <c r="B5" s="15" t="e">
        <f aca="false"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>#VALUE!</v>
      </c>
      <c r="C5" s="19"/>
      <c r="D5" s="19" t="e">
        <f aca="false">IF(B5="","",B5/MAX(B$5:B5)-1)</f>
        <v>#VALUE!</v>
      </c>
      <c r="E5" s="15" t="n">
        <v>1</v>
      </c>
      <c r="F5" s="19"/>
      <c r="G5" s="19" t="n">
        <f aca="false">IF(E5="","",E5/MAX(E$5:E5)-1)</f>
        <v>0</v>
      </c>
      <c r="H5" s="15" t="e">
        <f aca="false"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>#VALUE!</v>
      </c>
      <c r="I5" s="19"/>
      <c r="J5" s="19" t="e">
        <f aca="false">IF(H5="","",H5/MAX(H$5:H5)-1)</f>
        <v>#VALUE!</v>
      </c>
      <c r="K5" s="15" t="e">
        <f aca="false"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>#VALUE!</v>
      </c>
      <c r="L5" s="19"/>
      <c r="M5" s="19" t="e">
        <f aca="false">IF(K5="","",K5/MAX(K$5:K5)-1)</f>
        <v>#VALUE!</v>
      </c>
      <c r="N5" s="15" t="n">
        <v>1</v>
      </c>
      <c r="O5" s="19"/>
      <c r="P5" s="19" t="n">
        <f aca="false">IF(N5="","",N5/MAX(N$5:N5)-1)</f>
        <v>0</v>
      </c>
      <c r="Q5" s="15" t="e">
        <f aca="false"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>#VALUE!</v>
      </c>
      <c r="R5" s="19"/>
      <c r="S5" s="19" t="e">
        <f aca="false">IF(Q5="","",Q5/MAX(Q$5:Q5)-1)</f>
        <v>#VALUE!</v>
      </c>
      <c r="U5" s="20"/>
    </row>
    <row r="6" customFormat="false" ht="13.5" hidden="false" customHeight="false" outlineLevel="0" collapsed="false">
      <c r="A6" s="18" t="n">
        <f aca="false">IF('实盘净值数据(iFinD公式)'!A6="","",'实盘净值数据(iFinD公式)'!A6)</f>
        <v>46195</v>
      </c>
      <c r="B6" s="15" t="n">
        <v>1</v>
      </c>
      <c r="C6" s="19" t="e">
        <f aca="false"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>#VALUE!</v>
      </c>
      <c r="D6" s="19" t="e">
        <f aca="false">IF(B6="","",B6/MAX(B$5:B6)-1)</f>
        <v>#VALUE!</v>
      </c>
      <c r="E6" s="15" t="e">
        <f aca="false"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#VALUE!</v>
      </c>
      <c r="F6" s="19" t="e">
        <f aca="false"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#VALUE!</v>
      </c>
      <c r="G6" s="19" t="e">
        <f aca="false">IF(E6="","",E6/MAX(E$5:E6)-1)</f>
        <v>#VALUE!</v>
      </c>
      <c r="H6" s="15" t="e">
        <f aca="false"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>#VALUE!</v>
      </c>
      <c r="I6" s="19" t="e">
        <f aca="false"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>#VALUE!</v>
      </c>
      <c r="J6" s="19" t="e">
        <f aca="false">IF(H6="","",H6/MAX(H$5:H6)-1)</f>
        <v>#VALUE!</v>
      </c>
      <c r="K6" s="15" t="e">
        <f aca="false"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>#VALUE!</v>
      </c>
      <c r="L6" s="19" t="e">
        <f aca="false"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>#VALUE!</v>
      </c>
      <c r="M6" s="19" t="e">
        <f aca="false">IF(K6="","",K6/MAX(K$5:K6)-1)</f>
        <v>#VALUE!</v>
      </c>
      <c r="N6" s="15" t="e">
        <f aca="false"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#VALUE!</v>
      </c>
      <c r="O6" s="19" t="e">
        <f aca="false"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#VALUE!</v>
      </c>
      <c r="P6" s="19" t="e">
        <f aca="false">IF(N6="","",N6/MAX(N$5:N6)-1)</f>
        <v>#VALUE!</v>
      </c>
      <c r="Q6" s="15" t="e">
        <f aca="false"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>#VALUE!</v>
      </c>
      <c r="R6" s="19" t="e">
        <f aca="false"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>#VALUE!</v>
      </c>
      <c r="S6" s="19" t="e">
        <f aca="false">IF(Q6="","",Q6/MAX(Q$5:Q6)-1)</f>
        <v>#VALUE!</v>
      </c>
      <c r="U6" s="20"/>
      <c r="V6" s="21"/>
    </row>
    <row r="7" customFormat="false" ht="13.5" hidden="false" customHeight="false" outlineLevel="0" collapsed="false">
      <c r="A7" s="18" t="n">
        <f aca="false">IF('实盘净值数据(iFinD公式)'!A7="","",'实盘净值数据(iFinD公式)'!A7)</f>
        <v>46196</v>
      </c>
      <c r="B7" s="15" t="e">
        <f aca="false"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#VALUE!</v>
      </c>
      <c r="C7" s="19" t="e">
        <f aca="false"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#VALUE!</v>
      </c>
      <c r="D7" s="19" t="e">
        <f aca="false">IF(B7="","",B7/MAX(B$5:B7)-1)</f>
        <v>#VALUE!</v>
      </c>
      <c r="E7" s="15" t="e">
        <f aca="false"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#VALUE!</v>
      </c>
      <c r="F7" s="19" t="e">
        <f aca="false"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#VALUE!</v>
      </c>
      <c r="G7" s="19" t="e">
        <f aca="false">IF(E7="","",E7/MAX(E$5:E7)-1)</f>
        <v>#VALUE!</v>
      </c>
      <c r="H7" s="15" t="n">
        <v>1</v>
      </c>
      <c r="I7" s="19" t="e">
        <f aca="false"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>#VALUE!</v>
      </c>
      <c r="J7" s="19" t="e">
        <f aca="false">IF(H7="","",H7/MAX(H$5:H7)-1)</f>
        <v>#VALUE!</v>
      </c>
      <c r="K7" s="15" t="e">
        <f aca="false"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>#VALUE!</v>
      </c>
      <c r="L7" s="19" t="e">
        <f aca="false"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>#VALUE!</v>
      </c>
      <c r="M7" s="19" t="e">
        <f aca="false">IF(K7="","",K7/MAX(K$5:K7)-1)</f>
        <v>#VALUE!</v>
      </c>
      <c r="N7" s="15" t="e">
        <f aca="false"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#VALUE!</v>
      </c>
      <c r="O7" s="19" t="e">
        <f aca="false"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#VALUE!</v>
      </c>
      <c r="P7" s="19" t="e">
        <f aca="false">IF(N7="","",N7/MAX(N$5:N7)-1)</f>
        <v>#VALUE!</v>
      </c>
      <c r="Q7" s="15" t="e">
        <f aca="false"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>#VALUE!</v>
      </c>
      <c r="R7" s="19" t="e">
        <f aca="false"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>#VALUE!</v>
      </c>
      <c r="S7" s="19" t="e">
        <f aca="false">IF(Q7="","",Q7/MAX(Q$5:Q7)-1)</f>
        <v>#VALUE!</v>
      </c>
      <c r="U7" s="20"/>
      <c r="V7" s="21"/>
    </row>
    <row r="8" customFormat="false" ht="13.5" hidden="false" customHeight="false" outlineLevel="0" collapsed="false">
      <c r="A8" s="18" t="n">
        <f aca="false">IF('实盘净值数据(iFinD公式)'!A8="","",'实盘净值数据(iFinD公式)'!A8)</f>
        <v>46197</v>
      </c>
      <c r="B8" s="15" t="e">
        <f aca="false"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#VALUE!</v>
      </c>
      <c r="C8" s="19" t="e">
        <f aca="false"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#VALUE!</v>
      </c>
      <c r="D8" s="19" t="e">
        <f aca="false">IF(B8="","",B8/MAX(B$5:B8)-1)</f>
        <v>#VALUE!</v>
      </c>
      <c r="E8" s="15" t="e">
        <f aca="false"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#VALUE!</v>
      </c>
      <c r="F8" s="19" t="e">
        <f aca="false"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#VALUE!</v>
      </c>
      <c r="G8" s="19" t="e">
        <f aca="false">IF(E8="","",E8/MAX(E$5:E8)-1)</f>
        <v>#VALUE!</v>
      </c>
      <c r="H8" s="15" t="e">
        <f aca="false"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#VALUE!</v>
      </c>
      <c r="I8" s="19" t="e">
        <f aca="false"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#VALUE!</v>
      </c>
      <c r="J8" s="19" t="e">
        <f aca="false">IF(H8="","",H8/MAX(H$5:H8)-1)</f>
        <v>#VALUE!</v>
      </c>
      <c r="K8" s="15" t="n">
        <v>1</v>
      </c>
      <c r="L8" s="19" t="e">
        <f aca="false"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>#VALUE!</v>
      </c>
      <c r="M8" s="19" t="e">
        <f aca="false">IF(K8="","",K8/MAX(K$5:K8)-1)</f>
        <v>#VALUE!</v>
      </c>
      <c r="N8" s="15" t="e">
        <f aca="false"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#VALUE!</v>
      </c>
      <c r="O8" s="19" t="e">
        <f aca="false"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#VALUE!</v>
      </c>
      <c r="P8" s="19" t="e">
        <f aca="false">IF(N8="","",N8/MAX(N$5:N8)-1)</f>
        <v>#VALUE!</v>
      </c>
      <c r="Q8" s="15" t="n">
        <v>1</v>
      </c>
      <c r="R8" s="19" t="e">
        <f aca="false"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>#VALUE!</v>
      </c>
      <c r="S8" s="19" t="e">
        <f aca="false">IF(Q8="","",Q8/MAX(Q$5:Q8)-1)</f>
        <v>#VALUE!</v>
      </c>
      <c r="U8" s="20"/>
      <c r="V8" s="21"/>
    </row>
    <row r="9" customFormat="false" ht="13.5" hidden="false" customHeight="false" outlineLevel="0" collapsed="false">
      <c r="A9" s="18" t="n">
        <f aca="false">IF('实盘净值数据(iFinD公式)'!A9="","",'实盘净值数据(iFinD公式)'!A9)</f>
        <v>46198</v>
      </c>
      <c r="B9" s="15" t="e">
        <f aca="false"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#VALUE!</v>
      </c>
      <c r="C9" s="19" t="e">
        <f aca="false"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#VALUE!</v>
      </c>
      <c r="D9" s="19" t="e">
        <f aca="false">IF(B9="","",B9/MAX(B$5:B9)-1)</f>
        <v>#VALUE!</v>
      </c>
      <c r="E9" s="15" t="e">
        <f aca="false"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#VALUE!</v>
      </c>
      <c r="F9" s="19" t="e">
        <f aca="false"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#VALUE!</v>
      </c>
      <c r="G9" s="19" t="e">
        <f aca="false">IF(E9="","",E9/MAX(E$5:E9)-1)</f>
        <v>#VALUE!</v>
      </c>
      <c r="H9" s="15" t="e">
        <f aca="false"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#VALUE!</v>
      </c>
      <c r="I9" s="19" t="e">
        <f aca="false"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#VALUE!</v>
      </c>
      <c r="J9" s="19" t="e">
        <f aca="false">IF(H9="","",H9/MAX(H$5:H9)-1)</f>
        <v>#VALUE!</v>
      </c>
      <c r="K9" s="15" t="e">
        <f aca="false"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#VALUE!</v>
      </c>
      <c r="L9" s="19" t="e">
        <f aca="false"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#VALUE!</v>
      </c>
      <c r="M9" s="19" t="e">
        <f aca="false">IF(K9="","",K9/MAX(K$5:K9)-1)</f>
        <v>#VALUE!</v>
      </c>
      <c r="N9" s="15" t="e">
        <f aca="false"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#VALUE!</v>
      </c>
      <c r="O9" s="19" t="e">
        <f aca="false"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#VALUE!</v>
      </c>
      <c r="P9" s="19" t="e">
        <f aca="false">IF(N9="","",N9/MAX(N$5:N9)-1)</f>
        <v>#VALUE!</v>
      </c>
      <c r="Q9" s="15" t="e">
        <f aca="false"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#VALUE!</v>
      </c>
      <c r="R9" s="19" t="e">
        <f aca="false"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#VALUE!</v>
      </c>
      <c r="S9" s="19" t="e">
        <f aca="false">IF(Q9="","",Q9/MAX(Q$5:Q9)-1)</f>
        <v>#VALUE!</v>
      </c>
      <c r="U9" s="20"/>
      <c r="V9" s="21"/>
    </row>
    <row r="10" customFormat="false" ht="13.5" hidden="false" customHeight="false" outlineLevel="0" collapsed="false">
      <c r="A10" s="18" t="n">
        <f aca="false">IF('实盘净值数据(iFinD公式)'!A10="","",'实盘净值数据(iFinD公式)'!A10)</f>
        <v>46199</v>
      </c>
      <c r="B10" s="15" t="e">
        <f aca="false"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#VALUE!</v>
      </c>
      <c r="C10" s="19" t="e">
        <f aca="false"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#VALUE!</v>
      </c>
      <c r="D10" s="19" t="e">
        <f aca="false">IF(B10="","",B10/MAX(B$5:B10)-1)</f>
        <v>#VALUE!</v>
      </c>
      <c r="E10" s="15" t="e">
        <f aca="false"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#VALUE!</v>
      </c>
      <c r="F10" s="19" t="e">
        <f aca="false"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#VALUE!</v>
      </c>
      <c r="G10" s="19" t="e">
        <f aca="false">IF(E10="","",E10/MAX(E$5:E10)-1)</f>
        <v>#VALUE!</v>
      </c>
      <c r="H10" s="15" t="e">
        <f aca="false"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#VALUE!</v>
      </c>
      <c r="I10" s="19" t="e">
        <f aca="false"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#VALUE!</v>
      </c>
      <c r="J10" s="19" t="e">
        <f aca="false">IF(H10="","",H10/MAX(H$5:H10)-1)</f>
        <v>#VALUE!</v>
      </c>
      <c r="K10" s="15" t="e">
        <f aca="false"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#VALUE!</v>
      </c>
      <c r="L10" s="19" t="e">
        <f aca="false"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#VALUE!</v>
      </c>
      <c r="M10" s="19" t="e">
        <f aca="false">IF(K10="","",K10/MAX(K$5:K10)-1)</f>
        <v>#VALUE!</v>
      </c>
      <c r="N10" s="15" t="e">
        <f aca="false"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#VALUE!</v>
      </c>
      <c r="O10" s="19" t="e">
        <f aca="false"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#VALUE!</v>
      </c>
      <c r="P10" s="19" t="e">
        <f aca="false">IF(N10="","",N10/MAX(N$5:N10)-1)</f>
        <v>#VALUE!</v>
      </c>
      <c r="Q10" s="15" t="e">
        <f aca="false"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#VALUE!</v>
      </c>
      <c r="R10" s="19" t="e">
        <f aca="false"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#VALUE!</v>
      </c>
      <c r="S10" s="19" t="e">
        <f aca="false">IF(Q10="","",Q10/MAX(Q$5:Q10)-1)</f>
        <v>#VALUE!</v>
      </c>
      <c r="U10" s="20"/>
      <c r="V10" s="21"/>
    </row>
    <row r="11" customFormat="false" ht="13.5" hidden="false" customHeight="false" outlineLevel="0" collapsed="false">
      <c r="A11" s="18" t="n">
        <f aca="false">IF('实盘净值数据(iFinD公式)'!A11="","",'实盘净值数据(iFinD公式)'!A11)</f>
        <v>46202</v>
      </c>
      <c r="B11" s="15" t="e">
        <f aca="false"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#VALUE!</v>
      </c>
      <c r="C11" s="19" t="e">
        <f aca="false"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#VALUE!</v>
      </c>
      <c r="D11" s="19" t="e">
        <f aca="false">IF(B11="","",B11/MAX(B$5:B11)-1)</f>
        <v>#VALUE!</v>
      </c>
      <c r="E11" s="15" t="e">
        <f aca="false"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#VALUE!</v>
      </c>
      <c r="F11" s="19" t="e">
        <f aca="false"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#VALUE!</v>
      </c>
      <c r="G11" s="19" t="e">
        <f aca="false">IF(E11="","",E11/MAX(E$5:E11)-1)</f>
        <v>#VALUE!</v>
      </c>
      <c r="H11" s="15" t="e">
        <f aca="false"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#VALUE!</v>
      </c>
      <c r="I11" s="19" t="e">
        <f aca="false"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#VALUE!</v>
      </c>
      <c r="J11" s="19" t="e">
        <f aca="false">IF(H11="","",H11/MAX(H$5:H11)-1)</f>
        <v>#VALUE!</v>
      </c>
      <c r="K11" s="15" t="e">
        <f aca="false"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#VALUE!</v>
      </c>
      <c r="L11" s="19" t="e">
        <f aca="false"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#VALUE!</v>
      </c>
      <c r="M11" s="19" t="e">
        <f aca="false">IF(K11="","",K11/MAX(K$5:K11)-1)</f>
        <v>#VALUE!</v>
      </c>
      <c r="N11" s="15" t="e">
        <f aca="false"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#VALUE!</v>
      </c>
      <c r="O11" s="19" t="e">
        <f aca="false"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#VALUE!</v>
      </c>
      <c r="P11" s="19" t="e">
        <f aca="false">IF(N11="","",N11/MAX(N$5:N11)-1)</f>
        <v>#VALUE!</v>
      </c>
      <c r="Q11" s="15" t="e">
        <f aca="false"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#VALUE!</v>
      </c>
      <c r="R11" s="19" t="e">
        <f aca="false"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#VALUE!</v>
      </c>
      <c r="S11" s="19" t="e">
        <f aca="false">IF(Q11="","",Q11/MAX(Q$5:Q11)-1)</f>
        <v>#VALUE!</v>
      </c>
      <c r="U11" s="20"/>
      <c r="V11" s="21"/>
    </row>
    <row r="12" customFormat="false" ht="13.5" hidden="false" customHeight="false" outlineLevel="0" collapsed="false">
      <c r="A12" s="18" t="n">
        <f aca="false">IF('实盘净值数据(iFinD公式)'!A12="","",'实盘净值数据(iFinD公式)'!A12)</f>
        <v>46203</v>
      </c>
      <c r="B12" s="15" t="e">
        <f aca="false"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#VALUE!</v>
      </c>
      <c r="C12" s="19" t="e">
        <f aca="false"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#VALUE!</v>
      </c>
      <c r="D12" s="19" t="e">
        <f aca="false">IF(B12="","",B12/MAX(B$5:B12)-1)</f>
        <v>#VALUE!</v>
      </c>
      <c r="E12" s="15" t="e">
        <f aca="false"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#VALUE!</v>
      </c>
      <c r="F12" s="19" t="e">
        <f aca="false"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#VALUE!</v>
      </c>
      <c r="G12" s="19" t="e">
        <f aca="false">IF(E12="","",E12/MAX(E$5:E12)-1)</f>
        <v>#VALUE!</v>
      </c>
      <c r="H12" s="15" t="e">
        <f aca="false"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#VALUE!</v>
      </c>
      <c r="I12" s="19" t="e">
        <f aca="false"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#VALUE!</v>
      </c>
      <c r="J12" s="19" t="e">
        <f aca="false">IF(H12="","",H12/MAX(H$5:H12)-1)</f>
        <v>#VALUE!</v>
      </c>
      <c r="K12" s="15" t="e">
        <f aca="false"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#VALUE!</v>
      </c>
      <c r="L12" s="19" t="e">
        <f aca="false"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#VALUE!</v>
      </c>
      <c r="M12" s="19" t="e">
        <f aca="false">IF(K12="","",K12/MAX(K$5:K12)-1)</f>
        <v>#VALUE!</v>
      </c>
      <c r="N12" s="15" t="e">
        <f aca="false"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#VALUE!</v>
      </c>
      <c r="O12" s="19" t="e">
        <f aca="false"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#VALUE!</v>
      </c>
      <c r="P12" s="19" t="e">
        <f aca="false">IF(N12="","",N12/MAX(N$5:N12)-1)</f>
        <v>#VALUE!</v>
      </c>
      <c r="Q12" s="15" t="e">
        <f aca="false"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#VALUE!</v>
      </c>
      <c r="R12" s="19" t="e">
        <f aca="false"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#VALUE!</v>
      </c>
      <c r="S12" s="19" t="e">
        <f aca="false">IF(Q12="","",Q12/MAX(Q$5:Q12)-1)</f>
        <v>#VALUE!</v>
      </c>
    </row>
    <row r="13" customFormat="false" ht="13.5" hidden="false" customHeight="false" outlineLevel="0" collapsed="false">
      <c r="A13" s="18" t="n">
        <f aca="false">IF('实盘净值数据(iFinD公式)'!A13="","",'实盘净值数据(iFinD公式)'!A13)</f>
        <v>46204</v>
      </c>
      <c r="B13" s="15" t="e">
        <f aca="false"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#VALUE!</v>
      </c>
      <c r="C13" s="19" t="e">
        <f aca="false"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#VALUE!</v>
      </c>
      <c r="D13" s="19" t="e">
        <f aca="false">IF(B13="","",B13/MAX(B$5:B13)-1)</f>
        <v>#VALUE!</v>
      </c>
      <c r="E13" s="15" t="e">
        <f aca="false"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#VALUE!</v>
      </c>
      <c r="F13" s="19" t="e">
        <f aca="false"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#VALUE!</v>
      </c>
      <c r="G13" s="19" t="e">
        <f aca="false">IF(E13="","",E13/MAX(E$5:E13)-1)</f>
        <v>#VALUE!</v>
      </c>
      <c r="H13" s="15" t="e">
        <f aca="false"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#VALUE!</v>
      </c>
      <c r="I13" s="19" t="e">
        <f aca="false"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#VALUE!</v>
      </c>
      <c r="J13" s="19" t="e">
        <f aca="false">IF(H13="","",H13/MAX(H$5:H13)-1)</f>
        <v>#VALUE!</v>
      </c>
      <c r="K13" s="15" t="e">
        <f aca="false"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#VALUE!</v>
      </c>
      <c r="L13" s="19" t="e">
        <f aca="false"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#VALUE!</v>
      </c>
      <c r="M13" s="19" t="e">
        <f aca="false">IF(K13="","",K13/MAX(K$5:K13)-1)</f>
        <v>#VALUE!</v>
      </c>
      <c r="N13" s="15" t="e">
        <f aca="false"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#VALUE!</v>
      </c>
      <c r="O13" s="19" t="e">
        <f aca="false"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#VALUE!</v>
      </c>
      <c r="P13" s="19" t="e">
        <f aca="false">IF(N13="","",N13/MAX(N$5:N13)-1)</f>
        <v>#VALUE!</v>
      </c>
      <c r="Q13" s="15" t="e">
        <f aca="false"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#VALUE!</v>
      </c>
      <c r="R13" s="19" t="e">
        <f aca="false"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#VALUE!</v>
      </c>
      <c r="S13" s="19" t="e">
        <f aca="false">IF(Q13="","",Q13/MAX(Q$5:Q13)-1)</f>
        <v>#VALUE!</v>
      </c>
    </row>
    <row r="14" customFormat="false" ht="13.5" hidden="false" customHeight="false" outlineLevel="0" collapsed="false">
      <c r="A14" s="18" t="n">
        <f aca="false">IF('实盘净值数据(iFinD公式)'!A14="","",'实盘净值数据(iFinD公式)'!A14)</f>
        <v>46205</v>
      </c>
      <c r="B14" s="15" t="e">
        <f aca="false"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#VALUE!</v>
      </c>
      <c r="C14" s="19" t="e">
        <f aca="false"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#VALUE!</v>
      </c>
      <c r="D14" s="19" t="e">
        <f aca="false">IF(B14="","",B14/MAX(B$5:B14)-1)</f>
        <v>#VALUE!</v>
      </c>
      <c r="E14" s="15" t="e">
        <f aca="false"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#VALUE!</v>
      </c>
      <c r="F14" s="19" t="e">
        <f aca="false"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#VALUE!</v>
      </c>
      <c r="G14" s="19" t="e">
        <f aca="false">IF(E14="","",E14/MAX(E$5:E14)-1)</f>
        <v>#VALUE!</v>
      </c>
      <c r="H14" s="15" t="e">
        <f aca="false"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#VALUE!</v>
      </c>
      <c r="I14" s="19" t="e">
        <f aca="false"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#VALUE!</v>
      </c>
      <c r="J14" s="19" t="e">
        <f aca="false">IF(H14="","",H14/MAX(H$5:H14)-1)</f>
        <v>#VALUE!</v>
      </c>
      <c r="K14" s="15" t="e">
        <f aca="false"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#VALUE!</v>
      </c>
      <c r="L14" s="19" t="e">
        <f aca="false">IF(OR(K13="",K14=""),"",K14/K13-1)</f>
        <v>#VALUE!</v>
      </c>
      <c r="M14" s="19" t="e">
        <f aca="false">IF(K14="","",K14/MAX(K$5:K14)-1)</f>
        <v>#VALUE!</v>
      </c>
      <c r="N14" s="15" t="e">
        <f aca="false"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#VALUE!</v>
      </c>
      <c r="O14" s="19" t="e">
        <f aca="false">IF(OR(N13="",N14=""),"",N14/N13-1)</f>
        <v>#VALUE!</v>
      </c>
      <c r="P14" s="19" t="e">
        <f aca="false">IF(N14="","",N14/MAX(N$5:N14)-1)</f>
        <v>#VALUE!</v>
      </c>
      <c r="Q14" s="15" t="e">
        <f aca="false"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#VALUE!</v>
      </c>
      <c r="R14" s="19" t="e">
        <f aca="false">IF(OR(Q13="",Q14=""),"",Q14/Q13-1)</f>
        <v>#VALUE!</v>
      </c>
      <c r="S14" s="19" t="e">
        <f aca="false">IF(Q14="","",Q14/MAX(Q$5:Q14)-1)</f>
        <v>#VALUE!</v>
      </c>
    </row>
    <row r="15" customFormat="false" ht="13.5" hidden="false" customHeight="false" outlineLevel="0" collapsed="false">
      <c r="A15" s="18" t="n">
        <f aca="false">IF('实盘净值数据(iFinD公式)'!A15="","",'实盘净值数据(iFinD公式)'!A15)</f>
        <v>46206</v>
      </c>
      <c r="B15" s="15" t="e">
        <f aca="false"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#VALUE!</v>
      </c>
      <c r="C15" s="19" t="e">
        <f aca="false"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#VALUE!</v>
      </c>
      <c r="D15" s="19" t="e">
        <f aca="false">IF(B15="","",B15/MAX(B$5:B15)-1)</f>
        <v>#VALUE!</v>
      </c>
      <c r="E15" s="15" t="e">
        <f aca="false"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#VALUE!</v>
      </c>
      <c r="F15" s="19" t="e">
        <f aca="false"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#VALUE!</v>
      </c>
      <c r="G15" s="19" t="e">
        <f aca="false">IF(E15="","",E15/MAX(E$5:E15)-1)</f>
        <v>#VALUE!</v>
      </c>
      <c r="H15" s="15" t="e">
        <f aca="false"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#VALUE!</v>
      </c>
      <c r="I15" s="19" t="e">
        <f aca="false"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#VALUE!</v>
      </c>
      <c r="J15" s="19" t="e">
        <f aca="false">IF(H15="","",H15/MAX(H$5:H15)-1)</f>
        <v>#VALUE!</v>
      </c>
      <c r="K15" s="15" t="e">
        <f aca="false"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#VALUE!</v>
      </c>
      <c r="L15" s="19" t="e">
        <f aca="false">IF(OR(K14="",K15=""),"",K15/K14-1)</f>
        <v>#VALUE!</v>
      </c>
      <c r="M15" s="19" t="e">
        <f aca="false">IF(K15="","",K15/MAX(K$5:K15)-1)</f>
        <v>#VALUE!</v>
      </c>
      <c r="N15" s="15" t="e">
        <f aca="false"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#VALUE!</v>
      </c>
      <c r="O15" s="19" t="e">
        <f aca="false">IF(OR(N14="",N15=""),"",N15/N14-1)</f>
        <v>#VALUE!</v>
      </c>
      <c r="P15" s="19" t="e">
        <f aca="false">IF(N15="","",N15/MAX(N$5:N15)-1)</f>
        <v>#VALUE!</v>
      </c>
      <c r="Q15" s="15" t="e">
        <f aca="false"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#VALUE!</v>
      </c>
      <c r="R15" s="19" t="e">
        <f aca="false">IF(OR(Q14="",Q15=""),"",Q15/Q14-1)</f>
        <v>#VALUE!</v>
      </c>
      <c r="S15" s="19" t="e">
        <f aca="false">IF(Q15="","",Q15/MAX(Q$5:Q15)-1)</f>
        <v>#VALUE!</v>
      </c>
    </row>
    <row r="16" customFormat="false" ht="13.5" hidden="false" customHeight="false" outlineLevel="0" collapsed="false">
      <c r="A16" s="18" t="n">
        <f aca="false">IF('实盘净值数据(iFinD公式)'!A16="","",'实盘净值数据(iFinD公式)'!A16)</f>
        <v>46209</v>
      </c>
      <c r="B16" s="15" t="e">
        <f aca="false"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#VALUE!</v>
      </c>
      <c r="C16" s="19" t="e">
        <f aca="false"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#VALUE!</v>
      </c>
      <c r="D16" s="19" t="e">
        <f aca="false">IF(B16="","",B16/MAX(B$5:B16)-1)</f>
        <v>#VALUE!</v>
      </c>
      <c r="E16" s="15" t="e">
        <f aca="false"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#VALUE!</v>
      </c>
      <c r="F16" s="19" t="e">
        <f aca="false"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#VALUE!</v>
      </c>
      <c r="G16" s="19" t="e">
        <f aca="false">IF(E16="","",E16/MAX(E$5:E16)-1)</f>
        <v>#VALUE!</v>
      </c>
      <c r="H16" s="15" t="e">
        <f aca="false"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#VALUE!</v>
      </c>
      <c r="I16" s="19" t="e">
        <f aca="false"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#VALUE!</v>
      </c>
      <c r="J16" s="19" t="e">
        <f aca="false">IF(H16="","",H16/MAX(H$5:H16)-1)</f>
        <v>#VALUE!</v>
      </c>
      <c r="K16" s="15" t="e">
        <f aca="false"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#VALUE!</v>
      </c>
      <c r="L16" s="19" t="e">
        <f aca="false">IF(OR(K15="",K16=""),"",K16/K15-1)</f>
        <v>#VALUE!</v>
      </c>
      <c r="M16" s="19" t="e">
        <f aca="false">IF(K16="","",K16/MAX(K$5:K16)-1)</f>
        <v>#VALUE!</v>
      </c>
      <c r="N16" s="15" t="e">
        <f aca="false"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#VALUE!</v>
      </c>
      <c r="O16" s="19" t="e">
        <f aca="false">IF(OR(N15="",N16=""),"",N16/N15-1)</f>
        <v>#VALUE!</v>
      </c>
      <c r="P16" s="19" t="e">
        <f aca="false">IF(N16="","",N16/MAX(N$5:N16)-1)</f>
        <v>#VALUE!</v>
      </c>
      <c r="Q16" s="15" t="e">
        <f aca="false"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#VALUE!</v>
      </c>
      <c r="R16" s="19" t="e">
        <f aca="false">IF(OR(Q15="",Q16=""),"",Q16/Q15-1)</f>
        <v>#VALUE!</v>
      </c>
      <c r="S16" s="19" t="e">
        <f aca="false">IF(Q16="","",Q16/MAX(Q$5:Q16)-1)</f>
        <v>#VALUE!</v>
      </c>
    </row>
    <row r="17" customFormat="false" ht="13.5" hidden="false" customHeight="false" outlineLevel="0" collapsed="false">
      <c r="A17" s="18" t="n">
        <f aca="false">IF('实盘净值数据(iFinD公式)'!A17="","",'实盘净值数据(iFinD公式)'!A17)</f>
        <v>46210</v>
      </c>
      <c r="B17" s="15" t="e">
        <f aca="false"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#VALUE!</v>
      </c>
      <c r="C17" s="19" t="e">
        <f aca="false"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#VALUE!</v>
      </c>
      <c r="D17" s="19" t="e">
        <f aca="false">IF(B17="","",B17/MAX(B$5:B17)-1)</f>
        <v>#VALUE!</v>
      </c>
      <c r="E17" s="15" t="e">
        <f aca="false"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#VALUE!</v>
      </c>
      <c r="F17" s="19" t="e">
        <f aca="false"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#VALUE!</v>
      </c>
      <c r="G17" s="19" t="e">
        <f aca="false">IF(E17="","",E17/MAX(E$5:E17)-1)</f>
        <v>#VALUE!</v>
      </c>
      <c r="H17" s="15" t="e">
        <f aca="false"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#VALUE!</v>
      </c>
      <c r="I17" s="19" t="e">
        <f aca="false"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#VALUE!</v>
      </c>
      <c r="J17" s="19" t="e">
        <f aca="false">IF(H17="","",H17/MAX(H$5:H17)-1)</f>
        <v>#VALUE!</v>
      </c>
      <c r="K17" s="15" t="e">
        <f aca="false"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#VALUE!</v>
      </c>
      <c r="L17" s="19" t="e">
        <f aca="false">IF(OR(K16="",K17=""),"",K17/K16-1)</f>
        <v>#VALUE!</v>
      </c>
      <c r="M17" s="19" t="e">
        <f aca="false">IF(K17="","",K17/MAX(K$5:K17)-1)</f>
        <v>#VALUE!</v>
      </c>
      <c r="N17" s="15" t="e">
        <f aca="false"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#VALUE!</v>
      </c>
      <c r="O17" s="19" t="e">
        <f aca="false">IF(OR(N16="",N17=""),"",N17/N16-1)</f>
        <v>#VALUE!</v>
      </c>
      <c r="P17" s="19" t="e">
        <f aca="false">IF(N17="","",N17/MAX(N$5:N17)-1)</f>
        <v>#VALUE!</v>
      </c>
      <c r="Q17" s="15" t="e">
        <f aca="false"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#VALUE!</v>
      </c>
      <c r="R17" s="19" t="e">
        <f aca="false">IF(OR(Q16="",Q17=""),"",Q17/Q16-1)</f>
        <v>#VALUE!</v>
      </c>
      <c r="S17" s="19" t="e">
        <f aca="false">IF(Q17="","",Q17/MAX(Q$5:Q17)-1)</f>
        <v>#VALUE!</v>
      </c>
    </row>
    <row r="18" customFormat="false" ht="13.5" hidden="false" customHeight="false" outlineLevel="0" collapsed="false">
      <c r="A18" s="18" t="n">
        <f aca="false">IF('实盘净值数据(iFinD公式)'!A18="","",'实盘净值数据(iFinD公式)'!A18)</f>
        <v>46211</v>
      </c>
      <c r="B18" s="15" t="e">
        <f aca="false"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#VALUE!</v>
      </c>
      <c r="C18" s="19" t="e">
        <f aca="false"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#VALUE!</v>
      </c>
      <c r="D18" s="19" t="e">
        <f aca="false">IF(B18="","",B18/MAX(B$5:B18)-1)</f>
        <v>#VALUE!</v>
      </c>
      <c r="E18" s="15" t="e">
        <f aca="false"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#VALUE!</v>
      </c>
      <c r="F18" s="19" t="e">
        <f aca="false"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#VALUE!</v>
      </c>
      <c r="G18" s="19" t="e">
        <f aca="false">IF(E18="","",E18/MAX(E$5:E18)-1)</f>
        <v>#VALUE!</v>
      </c>
      <c r="H18" s="15" t="e">
        <f aca="false"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#VALUE!</v>
      </c>
      <c r="I18" s="19" t="e">
        <f aca="false"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#VALUE!</v>
      </c>
      <c r="J18" s="19" t="e">
        <f aca="false">IF(H18="","",H18/MAX(H$5:H18)-1)</f>
        <v>#VALUE!</v>
      </c>
      <c r="K18" s="15" t="e">
        <f aca="false"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#VALUE!</v>
      </c>
      <c r="L18" s="19" t="e">
        <f aca="false">IF(OR(K17="",K18=""),"",K18/K17-1)</f>
        <v>#VALUE!</v>
      </c>
      <c r="M18" s="19" t="e">
        <f aca="false">IF(K18="","",K18/MAX(K$5:K18)-1)</f>
        <v>#VALUE!</v>
      </c>
      <c r="N18" s="15" t="e">
        <f aca="false"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#VALUE!</v>
      </c>
      <c r="O18" s="19" t="e">
        <f aca="false">IF(OR(N17="",N18=""),"",N18/N17-1)</f>
        <v>#VALUE!</v>
      </c>
      <c r="P18" s="19" t="e">
        <f aca="false">IF(N18="","",N18/MAX(N$5:N18)-1)</f>
        <v>#VALUE!</v>
      </c>
      <c r="Q18" s="15" t="e">
        <f aca="false"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#VALUE!</v>
      </c>
      <c r="R18" s="19" t="e">
        <f aca="false">IF(OR(Q17="",Q18=""),"",Q18/Q17-1)</f>
        <v>#VALUE!</v>
      </c>
      <c r="S18" s="19" t="e">
        <f aca="false">IF(Q18="","",Q18/MAX(Q$5:Q18)-1)</f>
        <v>#VALUE!</v>
      </c>
    </row>
    <row r="19" customFormat="false" ht="13.5" hidden="false" customHeight="false" outlineLevel="0" collapsed="false">
      <c r="A19" s="18" t="n">
        <f aca="false">IF('实盘净值数据(iFinD公式)'!A19="","",'实盘净值数据(iFinD公式)'!A19)</f>
        <v>46212</v>
      </c>
      <c r="B19" s="15" t="e">
        <f aca="false"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#VALUE!</v>
      </c>
      <c r="C19" s="19" t="e">
        <f aca="false"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#VALUE!</v>
      </c>
      <c r="D19" s="19" t="e">
        <f aca="false">IF(B19="","",B19/MAX(B$5:B19)-1)</f>
        <v>#VALUE!</v>
      </c>
      <c r="E19" s="15" t="e">
        <f aca="false"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#VALUE!</v>
      </c>
      <c r="F19" s="19" t="e">
        <f aca="false"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#VALUE!</v>
      </c>
      <c r="G19" s="19" t="e">
        <f aca="false">IF(E19="","",E19/MAX(E$5:E19)-1)</f>
        <v>#VALUE!</v>
      </c>
      <c r="H19" s="15" t="e">
        <f aca="false"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#VALUE!</v>
      </c>
      <c r="I19" s="19" t="e">
        <f aca="false"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#VALUE!</v>
      </c>
      <c r="J19" s="19" t="e">
        <f aca="false">IF(H19="","",H19/MAX(H$5:H19)-1)</f>
        <v>#VALUE!</v>
      </c>
      <c r="K19" s="15" t="e">
        <f aca="false"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#VALUE!</v>
      </c>
      <c r="L19" s="19" t="e">
        <f aca="false">IF(OR(K18="",K19=""),"",K19/K18-1)</f>
        <v>#VALUE!</v>
      </c>
      <c r="M19" s="19" t="e">
        <f aca="false">IF(K19="","",K19/MAX(K$5:K19)-1)</f>
        <v>#VALUE!</v>
      </c>
      <c r="N19" s="15" t="e">
        <f aca="false"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#VALUE!</v>
      </c>
      <c r="O19" s="19" t="e">
        <f aca="false">IF(OR(N18="",N19=""),"",N19/N18-1)</f>
        <v>#VALUE!</v>
      </c>
      <c r="P19" s="19" t="e">
        <f aca="false">IF(N19="","",N19/MAX(N$5:N19)-1)</f>
        <v>#VALUE!</v>
      </c>
      <c r="Q19" s="15" t="e">
        <f aca="false"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#VALUE!</v>
      </c>
      <c r="R19" s="19" t="e">
        <f aca="false">IF(OR(Q18="",Q19=""),"",Q19/Q18-1)</f>
        <v>#VALUE!</v>
      </c>
      <c r="S19" s="19" t="e">
        <f aca="false">IF(Q19="","",Q19/MAX(Q$5:Q19)-1)</f>
        <v>#VALUE!</v>
      </c>
    </row>
    <row r="20" customFormat="false" ht="13.5" hidden="false" customHeight="false" outlineLevel="0" collapsed="false">
      <c r="A20" s="18" t="n">
        <f aca="false">IF('实盘净值数据(iFinD公式)'!A20="","",'实盘净值数据(iFinD公式)'!A20)</f>
        <v>46213</v>
      </c>
      <c r="B20" s="15" t="e">
        <f aca="false"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#VALUE!</v>
      </c>
      <c r="C20" s="19" t="e">
        <f aca="false"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#VALUE!</v>
      </c>
      <c r="D20" s="19" t="e">
        <f aca="false">IF(B20="","",B20/MAX(B$5:B20)-1)</f>
        <v>#VALUE!</v>
      </c>
      <c r="E20" s="15" t="e">
        <f aca="false"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#VALUE!</v>
      </c>
      <c r="F20" s="19" t="e">
        <f aca="false"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#VALUE!</v>
      </c>
      <c r="G20" s="19" t="e">
        <f aca="false">IF(E20="","",E20/MAX(E$5:E20)-1)</f>
        <v>#VALUE!</v>
      </c>
      <c r="H20" s="15" t="e">
        <f aca="false"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#VALUE!</v>
      </c>
      <c r="I20" s="19" t="e">
        <f aca="false"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#VALUE!</v>
      </c>
      <c r="J20" s="19" t="e">
        <f aca="false">IF(H20="","",H20/MAX(H$5:H20)-1)</f>
        <v>#VALUE!</v>
      </c>
      <c r="K20" s="15" t="e">
        <f aca="false"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#VALUE!</v>
      </c>
      <c r="L20" s="19" t="e">
        <f aca="false">IF(OR(K19="",K20=""),"",K20/K19-1)</f>
        <v>#VALUE!</v>
      </c>
      <c r="M20" s="19" t="e">
        <f aca="false">IF(K20="","",K20/MAX(K$5:K20)-1)</f>
        <v>#VALUE!</v>
      </c>
      <c r="N20" s="15" t="e">
        <f aca="false"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#VALUE!</v>
      </c>
      <c r="O20" s="19" t="e">
        <f aca="false">IF(OR(N19="",N20=""),"",N20/N19-1)</f>
        <v>#VALUE!</v>
      </c>
      <c r="P20" s="19" t="e">
        <f aca="false">IF(N20="","",N20/MAX(N$5:N20)-1)</f>
        <v>#VALUE!</v>
      </c>
      <c r="Q20" s="15" t="e">
        <f aca="false"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#VALUE!</v>
      </c>
      <c r="R20" s="19" t="e">
        <f aca="false">IF(OR(Q19="",Q20=""),"",Q20/Q19-1)</f>
        <v>#VALUE!</v>
      </c>
      <c r="S20" s="19" t="e">
        <f aca="false">IF(Q20="","",Q20/MAX(Q$5:Q20)-1)</f>
        <v>#VALUE!</v>
      </c>
    </row>
    <row r="21" customFormat="false" ht="13.5" hidden="false" customHeight="false" outlineLevel="0" collapsed="false">
      <c r="A21" s="18" t="n">
        <f aca="false">IF('实盘净值数据(iFinD公式)'!A21="","",'实盘净值数据(iFinD公式)'!A21)</f>
        <v>46216</v>
      </c>
      <c r="B21" s="15" t="e">
        <f aca="false"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#VALUE!</v>
      </c>
      <c r="C21" s="19" t="e">
        <f aca="false">IF(OR(B20="",B21=""),"",B21/B20-1)</f>
        <v>#VALUE!</v>
      </c>
      <c r="D21" s="19" t="e">
        <f aca="false">IF(B21="","",B21/MAX(B$5:B21)-1)</f>
        <v>#VALUE!</v>
      </c>
      <c r="E21" s="15" t="e">
        <f aca="false"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#VALUE!</v>
      </c>
      <c r="F21" s="19" t="e">
        <f aca="false">IF(OR(E20="",E21=""),"",E21/E20-1)</f>
        <v>#VALUE!</v>
      </c>
      <c r="G21" s="19" t="e">
        <f aca="false">IF(E21="","",E21/MAX(E$5:E21)-1)</f>
        <v>#VALUE!</v>
      </c>
      <c r="H21" s="15" t="e">
        <f aca="false"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#VALUE!</v>
      </c>
      <c r="I21" s="19" t="e">
        <f aca="false">IF(OR(H20="",H21=""),"",H21/H20-1)</f>
        <v>#VALUE!</v>
      </c>
      <c r="J21" s="19" t="e">
        <f aca="false">IF(H21="","",H21/MAX(H$5:H21)-1)</f>
        <v>#VALUE!</v>
      </c>
      <c r="K21" s="15" t="e">
        <f aca="false"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#VALUE!</v>
      </c>
      <c r="L21" s="19" t="e">
        <f aca="false">IF(OR(K20="",K21=""),"",K21/K20-1)</f>
        <v>#VALUE!</v>
      </c>
      <c r="M21" s="19" t="e">
        <f aca="false">IF(K21="","",K21/MAX(K$5:K21)-1)</f>
        <v>#VALUE!</v>
      </c>
      <c r="N21" s="15" t="e">
        <f aca="false"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#VALUE!</v>
      </c>
      <c r="O21" s="19" t="e">
        <f aca="false">IF(OR(N20="",N21=""),"",N21/N20-1)</f>
        <v>#VALUE!</v>
      </c>
      <c r="P21" s="19" t="e">
        <f aca="false">IF(N21="","",N21/MAX(N$5:N21)-1)</f>
        <v>#VALUE!</v>
      </c>
      <c r="Q21" s="15" t="e">
        <f aca="false"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#VALUE!</v>
      </c>
      <c r="R21" s="19" t="e">
        <f aca="false">IF(OR(Q20="",Q21=""),"",Q21/Q20-1)</f>
        <v>#VALUE!</v>
      </c>
      <c r="S21" s="19" t="e">
        <f aca="false">IF(Q21="","",Q21/MAX(Q$5:Q21)-1)</f>
        <v>#VALUE!</v>
      </c>
    </row>
    <row r="22" customFormat="false" ht="13.5" hidden="false" customHeight="false" outlineLevel="0" collapsed="false">
      <c r="A22" s="18" t="n">
        <f aca="false">IF('实盘净值数据(iFinD公式)'!A22="","",'实盘净值数据(iFinD公式)'!A22)</f>
        <v>46217</v>
      </c>
      <c r="B22" s="15" t="e">
        <f aca="false"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#VALUE!</v>
      </c>
      <c r="C22" s="19" t="e">
        <f aca="false">IF(OR(B21="",B22=""),"",B22/B21-1)</f>
        <v>#VALUE!</v>
      </c>
      <c r="D22" s="19" t="e">
        <f aca="false">IF(B22="","",B22/MAX(B$5:B22)-1)</f>
        <v>#VALUE!</v>
      </c>
      <c r="E22" s="15" t="e">
        <f aca="false"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#VALUE!</v>
      </c>
      <c r="F22" s="19" t="e">
        <f aca="false">IF(OR(E21="",E22=""),"",E22/E21-1)</f>
        <v>#VALUE!</v>
      </c>
      <c r="G22" s="19" t="e">
        <f aca="false">IF(E22="","",E22/MAX(E$5:E22)-1)</f>
        <v>#VALUE!</v>
      </c>
      <c r="H22" s="15" t="e">
        <f aca="false"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#VALUE!</v>
      </c>
      <c r="I22" s="19" t="e">
        <f aca="false">IF(OR(H21="",H22=""),"",H22/H21-1)</f>
        <v>#VALUE!</v>
      </c>
      <c r="J22" s="19" t="e">
        <f aca="false">IF(H22="","",H22/MAX(H$5:H22)-1)</f>
        <v>#VALUE!</v>
      </c>
      <c r="K22" s="15" t="e">
        <f aca="false"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#VALUE!</v>
      </c>
      <c r="L22" s="19" t="e">
        <f aca="false">IF(OR(K21="",K22=""),"",K22/K21-1)</f>
        <v>#VALUE!</v>
      </c>
      <c r="M22" s="19" t="e">
        <f aca="false">IF(K22="","",K22/MAX(K$5:K22)-1)</f>
        <v>#VALUE!</v>
      </c>
      <c r="N22" s="15" t="e">
        <f aca="false"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#VALUE!</v>
      </c>
      <c r="O22" s="19" t="e">
        <f aca="false">IF(OR(N21="",N22=""),"",N22/N21-1)</f>
        <v>#VALUE!</v>
      </c>
      <c r="P22" s="19" t="e">
        <f aca="false">IF(N22="","",N22/MAX(N$5:N22)-1)</f>
        <v>#VALUE!</v>
      </c>
      <c r="Q22" s="15" t="e">
        <f aca="false"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#VALUE!</v>
      </c>
      <c r="R22" s="19" t="e">
        <f aca="false">IF(OR(Q21="",Q22=""),"",Q22/Q21-1)</f>
        <v>#VALUE!</v>
      </c>
      <c r="S22" s="19" t="e">
        <f aca="false">IF(Q22="","",Q22/MAX(Q$5:Q22)-1)</f>
        <v>#VALUE!</v>
      </c>
    </row>
    <row r="23" customFormat="false" ht="13.5" hidden="false" customHeight="false" outlineLevel="0" collapsed="false">
      <c r="A23" s="18" t="n">
        <f aca="false">IF('实盘净值数据(iFinD公式)'!A23="","",'实盘净值数据(iFinD公式)'!A23)</f>
        <v>46218</v>
      </c>
      <c r="B23" s="15" t="e">
        <f aca="false"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#VALUE!</v>
      </c>
      <c r="C23" s="19" t="e">
        <f aca="false">IF(OR(B22="",B23=""),"",B23/B22-1)</f>
        <v>#VALUE!</v>
      </c>
      <c r="D23" s="19" t="e">
        <f aca="false">IF(B23="","",B23/MAX(B$5:B23)-1)</f>
        <v>#VALUE!</v>
      </c>
      <c r="E23" s="15" t="e">
        <f aca="false"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#VALUE!</v>
      </c>
      <c r="F23" s="19" t="e">
        <f aca="false">IF(OR(E22="",E23=""),"",E23/E22-1)</f>
        <v>#VALUE!</v>
      </c>
      <c r="G23" s="19" t="e">
        <f aca="false">IF(E23="","",E23/MAX(E$5:E23)-1)</f>
        <v>#VALUE!</v>
      </c>
      <c r="H23" s="15" t="e">
        <f aca="false"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#VALUE!</v>
      </c>
      <c r="I23" s="19" t="e">
        <f aca="false">IF(OR(H22="",H23=""),"",H23/H22-1)</f>
        <v>#VALUE!</v>
      </c>
      <c r="J23" s="19" t="e">
        <f aca="false">IF(H23="","",H23/MAX(H$5:H23)-1)</f>
        <v>#VALUE!</v>
      </c>
      <c r="K23" s="15" t="e">
        <f aca="false"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#VALUE!</v>
      </c>
      <c r="L23" s="19" t="e">
        <f aca="false">IF(OR(K22="",K23=""),"",K23/K22-1)</f>
        <v>#VALUE!</v>
      </c>
      <c r="M23" s="19" t="e">
        <f aca="false">IF(K23="","",K23/MAX(K$5:K23)-1)</f>
        <v>#VALUE!</v>
      </c>
      <c r="N23" s="15" t="e">
        <f aca="false"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#VALUE!</v>
      </c>
      <c r="O23" s="19" t="e">
        <f aca="false">IF(OR(N22="",N23=""),"",N23/N22-1)</f>
        <v>#VALUE!</v>
      </c>
      <c r="P23" s="19" t="e">
        <f aca="false">IF(N23="","",N23/MAX(N$5:N23)-1)</f>
        <v>#VALUE!</v>
      </c>
      <c r="Q23" s="15" t="e">
        <f aca="false"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#VALUE!</v>
      </c>
      <c r="R23" s="19" t="e">
        <f aca="false">IF(OR(Q22="",Q23=""),"",Q23/Q22-1)</f>
        <v>#VALUE!</v>
      </c>
      <c r="S23" s="19" t="e">
        <f aca="false">IF(Q23="","",Q23/MAX(Q$5:Q23)-1)</f>
        <v>#VALUE!</v>
      </c>
    </row>
    <row r="24" customFormat="false" ht="13.5" hidden="false" customHeight="false" outlineLevel="0" collapsed="false">
      <c r="A24" s="18" t="str">
        <f aca="false">IF('实盘净值数据(iFinD公式)'!A24="","",'实盘净值数据(iFinD公式)'!A24)</f>
        <v/>
      </c>
      <c r="B24" s="15" t="str">
        <f aca="false"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/>
      </c>
      <c r="C24" s="19" t="e">
        <f aca="false">IF(OR(B23="",B24=""),"",B24/B23-1)</f>
        <v>#VALUE!</v>
      </c>
      <c r="D24" s="19" t="str">
        <f aca="false">IF(B24="","",B24/MAX(B$5:B24)-1)</f>
        <v/>
      </c>
      <c r="E24" s="15" t="str">
        <f aca="false"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/>
      </c>
      <c r="F24" s="19" t="e">
        <f aca="false">IF(OR(E23="",E24=""),"",E24/E23-1)</f>
        <v>#VALUE!</v>
      </c>
      <c r="G24" s="19" t="str">
        <f aca="false">IF(E24="","",E24/MAX(E$5:E24)-1)</f>
        <v/>
      </c>
      <c r="H24" s="15" t="str">
        <f aca="false"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/>
      </c>
      <c r="I24" s="19" t="e">
        <f aca="false">IF(OR(H23="",H24=""),"",H24/H23-1)</f>
        <v>#VALUE!</v>
      </c>
      <c r="J24" s="19" t="str">
        <f aca="false">IF(H24="","",H24/MAX(H$5:H24)-1)</f>
        <v/>
      </c>
      <c r="K24" s="15" t="str">
        <f aca="false"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/>
      </c>
      <c r="L24" s="19" t="e">
        <f aca="false">IF(OR(K23="",K24=""),"",K24/K23-1)</f>
        <v>#VALUE!</v>
      </c>
      <c r="M24" s="19" t="str">
        <f aca="false">IF(K24="","",K24/MAX(K$5:K24)-1)</f>
        <v/>
      </c>
      <c r="N24" s="15" t="str">
        <f aca="false"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/>
      </c>
      <c r="O24" s="19" t="e">
        <f aca="false">IF(OR(N23="",N24=""),"",N24/N23-1)</f>
        <v>#VALUE!</v>
      </c>
      <c r="P24" s="19" t="str">
        <f aca="false">IF(N24="","",N24/MAX(N$5:N24)-1)</f>
        <v/>
      </c>
      <c r="Q24" s="15" t="str">
        <f aca="false"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/>
      </c>
      <c r="R24" s="19" t="e">
        <f aca="false">IF(OR(Q23="",Q24=""),"",Q24/Q23-1)</f>
        <v>#VALUE!</v>
      </c>
      <c r="S24" s="19" t="str">
        <f aca="false">IF(Q24="","",Q24/MAX(Q$5:Q24)-1)</f>
        <v/>
      </c>
    </row>
    <row r="25" customFormat="false" ht="13.5" hidden="false" customHeight="false" outlineLevel="0" collapsed="false">
      <c r="A25" s="18" t="str">
        <f aca="false">IF('实盘净值数据(iFinD公式)'!A25="","",'实盘净值数据(iFinD公式)'!A25)</f>
        <v/>
      </c>
      <c r="B25" s="15" t="str">
        <f aca="false"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/>
      </c>
      <c r="C25" s="19" t="str">
        <f aca="false">IF(OR(B24="",B25=""),"",B25/B24-1)</f>
        <v/>
      </c>
      <c r="D25" s="19" t="str">
        <f aca="false">IF(B25="","",B25/MAX(B$5:B25)-1)</f>
        <v/>
      </c>
      <c r="E25" s="15" t="str">
        <f aca="false"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/>
      </c>
      <c r="F25" s="19" t="str">
        <f aca="false">IF(OR(E24="",E25=""),"",E25/E24-1)</f>
        <v/>
      </c>
      <c r="G25" s="19" t="str">
        <f aca="false">IF(E25="","",E25/MAX(E$5:E25)-1)</f>
        <v/>
      </c>
      <c r="H25" s="15" t="str">
        <f aca="false"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/>
      </c>
      <c r="I25" s="19" t="str">
        <f aca="false">IF(OR(H24="",H25=""),"",H25/H24-1)</f>
        <v/>
      </c>
      <c r="J25" s="19" t="str">
        <f aca="false">IF(H25="","",H25/MAX(H$5:H25)-1)</f>
        <v/>
      </c>
      <c r="K25" s="15" t="str">
        <f aca="false"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f>
        <v/>
      </c>
      <c r="L25" s="19" t="str">
        <f aca="false">IF(OR(K24="",K25=""),"",K25/K24-1)</f>
        <v/>
      </c>
      <c r="M25" s="19" t="str">
        <f aca="false">IF(K25="","",K25/MAX(K$5:K25)-1)</f>
        <v/>
      </c>
      <c r="N25" s="15" t="str">
        <f aca="false"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f>
        <v/>
      </c>
      <c r="O25" s="19" t="str">
        <f aca="false">IF(OR(N24="",N25=""),"",N25/N24-1)</f>
        <v/>
      </c>
      <c r="P25" s="19" t="str">
        <f aca="false">IF(N25="","",N25/MAX(N$5:N25)-1)</f>
        <v/>
      </c>
      <c r="Q25" s="15" t="str">
        <f aca="false"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f>
        <v/>
      </c>
      <c r="R25" s="19" t="str">
        <f aca="false">IF(OR(Q24="",Q25=""),"",Q25/Q24-1)</f>
        <v/>
      </c>
      <c r="S25" s="19" t="str">
        <f aca="false">IF(Q25="","",Q25/MAX(Q$5:Q25)-1)</f>
        <v/>
      </c>
    </row>
    <row r="26" customFormat="false" ht="13.5" hidden="false" customHeight="false" outlineLevel="0" collapsed="false">
      <c r="A26" s="18" t="str">
        <f aca="false">IF('实盘净值数据(iFinD公式)'!A26="","",'实盘净值数据(iFinD公式)'!A26)</f>
        <v/>
      </c>
      <c r="B26" s="15" t="str">
        <f aca="false"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/>
      </c>
      <c r="C26" s="19" t="str">
        <f aca="false">IF(OR(B25="",B26=""),"",B26/B25-1)</f>
        <v/>
      </c>
      <c r="D26" s="19" t="str">
        <f aca="false">IF(B26="","",B26/MAX(B$5:B26)-1)</f>
        <v/>
      </c>
      <c r="E26" s="15" t="str">
        <f aca="false"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/>
      </c>
      <c r="F26" s="19" t="str">
        <f aca="false">IF(OR(E25="",E26=""),"",E26/E25-1)</f>
        <v/>
      </c>
      <c r="G26" s="19" t="str">
        <f aca="false">IF(E26="","",E26/MAX(E$5:E26)-1)</f>
        <v/>
      </c>
      <c r="H26" s="15" t="str">
        <f aca="false"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/>
      </c>
      <c r="I26" s="19" t="str">
        <f aca="false">IF(OR(H25="",H26=""),"",H26/H25-1)</f>
        <v/>
      </c>
      <c r="J26" s="19" t="str">
        <f aca="false">IF(H26="","",H26/MAX(H$5:H26)-1)</f>
        <v/>
      </c>
      <c r="K26" s="15" t="str">
        <f aca="false"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f>
        <v/>
      </c>
      <c r="L26" s="19" t="str">
        <f aca="false">IF(OR(K25="",K26=""),"",K26/K25-1)</f>
        <v/>
      </c>
      <c r="M26" s="19" t="str">
        <f aca="false">IF(K26="","",K26/MAX(K$5:K26)-1)</f>
        <v/>
      </c>
      <c r="N26" s="15" t="str">
        <f aca="false"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f>
        <v/>
      </c>
      <c r="O26" s="19" t="str">
        <f aca="false">IF(OR(N25="",N26=""),"",N26/N25-1)</f>
        <v/>
      </c>
      <c r="P26" s="19" t="str">
        <f aca="false">IF(N26="","",N26/MAX(N$5:N26)-1)</f>
        <v/>
      </c>
      <c r="Q26" s="15" t="str">
        <f aca="false"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f>
        <v/>
      </c>
      <c r="R26" s="19" t="str">
        <f aca="false">IF(OR(Q25="",Q26=""),"",Q26/Q25-1)</f>
        <v/>
      </c>
      <c r="S26" s="19" t="str">
        <f aca="false">IF(Q26="","",Q26/MAX(Q$5:Q26)-1)</f>
        <v/>
      </c>
    </row>
    <row r="27" customFormat="false" ht="13.5" hidden="false" customHeight="false" outlineLevel="0" collapsed="false">
      <c r="A27" s="18" t="str">
        <f aca="false">IF('实盘净值数据(iFinD公式)'!A27="","",'实盘净值数据(iFinD公式)'!A27)</f>
        <v/>
      </c>
      <c r="B27" s="15" t="str">
        <f aca="false"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/>
      </c>
      <c r="C27" s="19" t="str">
        <f aca="false">IF(OR(B26="",B27=""),"",B27/B26-1)</f>
        <v/>
      </c>
      <c r="D27" s="19" t="str">
        <f aca="false">IF(B27="","",B27/MAX(B$5:B27)-1)</f>
        <v/>
      </c>
      <c r="E27" s="15" t="str">
        <f aca="false"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/>
      </c>
      <c r="F27" s="19" t="str">
        <f aca="false">IF(OR(E26="",E27=""),"",E27/E26-1)</f>
        <v/>
      </c>
      <c r="G27" s="19" t="str">
        <f aca="false">IF(E27="","",E27/MAX(E$5:E27)-1)</f>
        <v/>
      </c>
      <c r="H27" s="15" t="str">
        <f aca="false"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/>
      </c>
      <c r="I27" s="19" t="str">
        <f aca="false">IF(OR(H26="",H27=""),"",H27/H26-1)</f>
        <v/>
      </c>
      <c r="J27" s="19" t="str">
        <f aca="false">IF(H27="","",H27/MAX(H$5:H27)-1)</f>
        <v/>
      </c>
      <c r="K27" s="15" t="str">
        <f aca="false"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f>
        <v/>
      </c>
      <c r="L27" s="19" t="str">
        <f aca="false">IF(OR(K26="",K27=""),"",K27/K26-1)</f>
        <v/>
      </c>
      <c r="M27" s="19" t="str">
        <f aca="false">IF(K27="","",K27/MAX(K$5:K27)-1)</f>
        <v/>
      </c>
      <c r="N27" s="15" t="str">
        <f aca="false"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f>
        <v/>
      </c>
      <c r="O27" s="19" t="str">
        <f aca="false">IF(OR(N26="",N27=""),"",N27/N26-1)</f>
        <v/>
      </c>
      <c r="P27" s="19" t="str">
        <f aca="false">IF(N27="","",N27/MAX(N$5:N27)-1)</f>
        <v/>
      </c>
      <c r="Q27" s="15" t="str">
        <f aca="false"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f>
        <v/>
      </c>
      <c r="R27" s="19" t="str">
        <f aca="false">IF(OR(Q26="",Q27=""),"",Q27/Q26-1)</f>
        <v/>
      </c>
      <c r="S27" s="19" t="str">
        <f aca="false">IF(Q27="","",Q27/MAX(Q$5:Q27)-1)</f>
        <v/>
      </c>
    </row>
    <row r="28" customFormat="false" ht="13.5" hidden="false" customHeight="false" outlineLevel="0" collapsed="false">
      <c r="A28" s="18" t="str">
        <f aca="false">IF('实盘净值数据(iFinD公式)'!A28="","",'实盘净值数据(iFinD公式)'!A28)</f>
        <v/>
      </c>
      <c r="B28" s="15" t="str">
        <f aca="false"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/>
      </c>
      <c r="C28" s="19" t="str">
        <f aca="false">IF(OR(B27="",B28=""),"",B28/B27-1)</f>
        <v/>
      </c>
      <c r="D28" s="19" t="str">
        <f aca="false">IF(B28="","",B28/MAX(B$5:B28)-1)</f>
        <v/>
      </c>
      <c r="E28" s="15" t="str">
        <f aca="false"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/>
      </c>
      <c r="F28" s="19" t="str">
        <f aca="false">IF(OR(E27="",E28=""),"",E28/E27-1)</f>
        <v/>
      </c>
      <c r="G28" s="19" t="str">
        <f aca="false">IF(E28="","",E28/MAX(E$5:E28)-1)</f>
        <v/>
      </c>
      <c r="H28" s="15" t="str">
        <f aca="false"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/>
      </c>
      <c r="I28" s="19" t="str">
        <f aca="false">IF(OR(H27="",H28=""),"",H28/H27-1)</f>
        <v/>
      </c>
      <c r="J28" s="19" t="str">
        <f aca="false">IF(H28="","",H28/MAX(H$5:H28)-1)</f>
        <v/>
      </c>
      <c r="K28" s="15" t="str">
        <f aca="false"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f>
        <v/>
      </c>
      <c r="L28" s="19" t="str">
        <f aca="false">IF(OR(K27="",K28=""),"",K28/K27-1)</f>
        <v/>
      </c>
      <c r="M28" s="19" t="str">
        <f aca="false">IF(K28="","",K28/MAX(K$5:K28)-1)</f>
        <v/>
      </c>
      <c r="N28" s="15" t="str">
        <f aca="false"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f>
        <v/>
      </c>
      <c r="O28" s="19" t="str">
        <f aca="false">IF(OR(N27="",N28=""),"",N28/N27-1)</f>
        <v/>
      </c>
      <c r="P28" s="19" t="str">
        <f aca="false">IF(N28="","",N28/MAX(N$5:N28)-1)</f>
        <v/>
      </c>
      <c r="Q28" s="15" t="str">
        <f aca="false"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f>
        <v/>
      </c>
      <c r="R28" s="19" t="str">
        <f aca="false">IF(OR(Q27="",Q28=""),"",Q28/Q27-1)</f>
        <v/>
      </c>
      <c r="S28" s="19" t="str">
        <f aca="false">IF(Q28="","",Q28/MAX(Q$5:Q28)-1)</f>
        <v/>
      </c>
    </row>
    <row r="29" customFormat="false" ht="13.5" hidden="false" customHeight="false" outlineLevel="0" collapsed="false">
      <c r="A29" s="18" t="str">
        <f aca="false">IF('实盘净值数据(iFinD公式)'!A29="","",'实盘净值数据(iFinD公式)'!A29)</f>
        <v/>
      </c>
      <c r="B29" s="15" t="str">
        <f aca="false"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/>
      </c>
      <c r="C29" s="19" t="str">
        <f aca="false">IF(OR(B28="",B29=""),"",B29/B28-1)</f>
        <v/>
      </c>
      <c r="D29" s="19" t="str">
        <f aca="false">IF(B29="","",B29/MAX(B$5:B29)-1)</f>
        <v/>
      </c>
      <c r="E29" s="15" t="str">
        <f aca="false"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/>
      </c>
      <c r="F29" s="19" t="str">
        <f aca="false">IF(OR(E28="",E29=""),"",E29/E28-1)</f>
        <v/>
      </c>
      <c r="G29" s="19" t="str">
        <f aca="false">IF(E29="","",E29/MAX(E$5:E29)-1)</f>
        <v/>
      </c>
      <c r="H29" s="15" t="str">
        <f aca="false"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/>
      </c>
      <c r="I29" s="19" t="str">
        <f aca="false">IF(OR(H28="",H29=""),"",H29/H28-1)</f>
        <v/>
      </c>
      <c r="J29" s="19" t="str">
        <f aca="false">IF(H29="","",H29/MAX(H$5:H29)-1)</f>
        <v/>
      </c>
      <c r="K29" s="15" t="str">
        <f aca="false"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f>
        <v/>
      </c>
      <c r="L29" s="19" t="str">
        <f aca="false">IF(OR(K28="",K29=""),"",K29/K28-1)</f>
        <v/>
      </c>
      <c r="M29" s="19" t="str">
        <f aca="false">IF(K29="","",K29/MAX(K$5:K29)-1)</f>
        <v/>
      </c>
      <c r="N29" s="15" t="str">
        <f aca="false"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f>
        <v/>
      </c>
      <c r="O29" s="19" t="str">
        <f aca="false">IF(OR(N28="",N29=""),"",N29/N28-1)</f>
        <v/>
      </c>
      <c r="P29" s="19" t="str">
        <f aca="false">IF(N29="","",N29/MAX(N$5:N29)-1)</f>
        <v/>
      </c>
      <c r="Q29" s="15" t="str">
        <f aca="false"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f>
        <v/>
      </c>
      <c r="R29" s="19" t="str">
        <f aca="false">IF(OR(Q28="",Q29=""),"",Q29/Q28-1)</f>
        <v/>
      </c>
      <c r="S29" s="19" t="str">
        <f aca="false">IF(Q29="","",Q29/MAX(Q$5:Q29)-1)</f>
        <v/>
      </c>
    </row>
    <row r="30" customFormat="false" ht="13.5" hidden="false" customHeight="false" outlineLevel="0" collapsed="false">
      <c r="A30" s="18" t="str">
        <f aca="false">IF('实盘净值数据(iFinD公式)'!A30="","",'实盘净值数据(iFinD公式)'!A30)</f>
        <v/>
      </c>
      <c r="B30" s="15" t="str">
        <f aca="false"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/>
      </c>
      <c r="C30" s="19" t="str">
        <f aca="false">IF(OR(B29="",B30=""),"",B30/B29-1)</f>
        <v/>
      </c>
      <c r="D30" s="19" t="str">
        <f aca="false">IF(B30="","",B30/MAX(B$5:B30)-1)</f>
        <v/>
      </c>
      <c r="E30" s="15" t="str">
        <f aca="false"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/>
      </c>
      <c r="F30" s="19" t="str">
        <f aca="false">IF(OR(E29="",E30=""),"",E30/E29-1)</f>
        <v/>
      </c>
      <c r="G30" s="19" t="str">
        <f aca="false">IF(E30="","",E30/MAX(E$5:E30)-1)</f>
        <v/>
      </c>
      <c r="H30" s="15" t="str">
        <f aca="false"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/>
      </c>
      <c r="I30" s="19" t="str">
        <f aca="false">IF(OR(H29="",H30=""),"",H30/H29-1)</f>
        <v/>
      </c>
      <c r="J30" s="19" t="str">
        <f aca="false">IF(H30="","",H30/MAX(H$5:H30)-1)</f>
        <v/>
      </c>
      <c r="K30" s="15" t="str">
        <f aca="false"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f>
        <v/>
      </c>
      <c r="L30" s="19" t="str">
        <f aca="false">IF(OR(K29="",K30=""),"",K30/K29-1)</f>
        <v/>
      </c>
      <c r="M30" s="19" t="str">
        <f aca="false">IF(K30="","",K30/MAX(K$5:K30)-1)</f>
        <v/>
      </c>
      <c r="N30" s="15" t="str">
        <f aca="false"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f>
        <v/>
      </c>
      <c r="O30" s="19" t="str">
        <f aca="false">IF(OR(N29="",N30=""),"",N30/N29-1)</f>
        <v/>
      </c>
      <c r="P30" s="19" t="str">
        <f aca="false">IF(N30="","",N30/MAX(N$5:N30)-1)</f>
        <v/>
      </c>
      <c r="Q30" s="15" t="str">
        <f aca="false"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f>
        <v/>
      </c>
      <c r="R30" s="19" t="str">
        <f aca="false">IF(OR(Q29="",Q30=""),"",Q30/Q29-1)</f>
        <v/>
      </c>
      <c r="S30" s="19" t="str">
        <f aca="false">IF(Q30="","",Q30/MAX(Q$5:Q30)-1)</f>
        <v/>
      </c>
    </row>
    <row r="31" customFormat="false" ht="13.5" hidden="false" customHeight="false" outlineLevel="0" collapsed="false">
      <c r="A31" s="18" t="str">
        <f aca="false">IF('实盘净值数据(iFinD公式)'!A31="","",'实盘净值数据(iFinD公式)'!A31)</f>
        <v/>
      </c>
      <c r="B31" s="15" t="str">
        <f aca="false"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/>
      </c>
      <c r="C31" s="19" t="str">
        <f aca="false">IF(OR(B30="",B31=""),"",B31/B30-1)</f>
        <v/>
      </c>
      <c r="D31" s="19" t="str">
        <f aca="false">IF(B31="","",B31/MAX(B$5:B31)-1)</f>
        <v/>
      </c>
      <c r="E31" s="15" t="str">
        <f aca="false"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/>
      </c>
      <c r="F31" s="19" t="str">
        <f aca="false">IF(OR(E30="",E31=""),"",E31/E30-1)</f>
        <v/>
      </c>
      <c r="G31" s="19" t="str">
        <f aca="false">IF(E31="","",E31/MAX(E$5:E31)-1)</f>
        <v/>
      </c>
      <c r="H31" s="15" t="str">
        <f aca="false"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/>
      </c>
      <c r="I31" s="19" t="str">
        <f aca="false">IF(OR(H30="",H31=""),"",H31/H30-1)</f>
        <v/>
      </c>
      <c r="J31" s="19" t="str">
        <f aca="false">IF(H31="","",H31/MAX(H$5:H31)-1)</f>
        <v/>
      </c>
      <c r="K31" s="15" t="str">
        <f aca="false"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f>
        <v/>
      </c>
      <c r="L31" s="19" t="str">
        <f aca="false">IF(OR(K30="",K31=""),"",K31/K30-1)</f>
        <v/>
      </c>
      <c r="M31" s="19" t="str">
        <f aca="false">IF(K31="","",K31/MAX(K$5:K31)-1)</f>
        <v/>
      </c>
      <c r="N31" s="15" t="str">
        <f aca="false"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f>
        <v/>
      </c>
      <c r="O31" s="19" t="str">
        <f aca="false">IF(OR(N30="",N31=""),"",N31/N30-1)</f>
        <v/>
      </c>
      <c r="P31" s="19" t="str">
        <f aca="false">IF(N31="","",N31/MAX(N$5:N31)-1)</f>
        <v/>
      </c>
      <c r="Q31" s="15" t="str">
        <f aca="false"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f>
        <v/>
      </c>
      <c r="R31" s="19" t="str">
        <f aca="false">IF(OR(Q30="",Q31=""),"",Q31/Q30-1)</f>
        <v/>
      </c>
      <c r="S31" s="19" t="str">
        <f aca="false">IF(Q31="","",Q31/MAX(Q$5:Q31)-1)</f>
        <v/>
      </c>
    </row>
    <row r="32" customFormat="false" ht="13.5" hidden="false" customHeight="false" outlineLevel="0" collapsed="false">
      <c r="A32" s="18" t="str">
        <f aca="false">IF('实盘净值数据(iFinD公式)'!A32="","",'实盘净值数据(iFinD公式)'!A32)</f>
        <v/>
      </c>
      <c r="B32" s="15" t="str">
        <f aca="false"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/>
      </c>
      <c r="C32" s="19" t="str">
        <f aca="false">IF(OR(B31="",B32=""),"",B32/B31-1)</f>
        <v/>
      </c>
      <c r="D32" s="19" t="str">
        <f aca="false">IF(B32="","",B32/MAX(B$5:B32)-1)</f>
        <v/>
      </c>
      <c r="E32" s="15" t="str">
        <f aca="false"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/>
      </c>
      <c r="F32" s="19" t="str">
        <f aca="false">IF(OR(E31="",E32=""),"",E32/E31-1)</f>
        <v/>
      </c>
      <c r="G32" s="19" t="str">
        <f aca="false">IF(E32="","",E32/MAX(E$5:E32)-1)</f>
        <v/>
      </c>
      <c r="H32" s="15" t="str">
        <f aca="false"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/>
      </c>
      <c r="I32" s="19" t="str">
        <f aca="false">IF(OR(H31="",H32=""),"",H32/H31-1)</f>
        <v/>
      </c>
      <c r="J32" s="19" t="str">
        <f aca="false">IF(H32="","",H32/MAX(H$5:H32)-1)</f>
        <v/>
      </c>
      <c r="K32" s="15" t="str">
        <f aca="false"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f>
        <v/>
      </c>
      <c r="L32" s="19" t="str">
        <f aca="false">IF(OR(K31="",K32=""),"",K32/K31-1)</f>
        <v/>
      </c>
      <c r="M32" s="19" t="str">
        <f aca="false">IF(K32="","",K32/MAX(K$5:K32)-1)</f>
        <v/>
      </c>
      <c r="N32" s="15" t="str">
        <f aca="false"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f>
        <v/>
      </c>
      <c r="O32" s="19" t="str">
        <f aca="false">IF(OR(N31="",N32=""),"",N32/N31-1)</f>
        <v/>
      </c>
      <c r="P32" s="19" t="str">
        <f aca="false">IF(N32="","",N32/MAX(N$5:N32)-1)</f>
        <v/>
      </c>
      <c r="Q32" s="15" t="str">
        <f aca="false"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f>
        <v/>
      </c>
      <c r="R32" s="19" t="str">
        <f aca="false">IF(OR(Q31="",Q32=""),"",Q32/Q31-1)</f>
        <v/>
      </c>
      <c r="S32" s="19" t="str">
        <f aca="false">IF(Q32="","",Q32/MAX(Q$5:Q32)-1)</f>
        <v/>
      </c>
    </row>
    <row r="33" customFormat="false" ht="13.5" hidden="false" customHeight="false" outlineLevel="0" collapsed="false">
      <c r="A33" s="18" t="str">
        <f aca="false">IF('实盘净值数据(iFinD公式)'!A33="","",'实盘净值数据(iFinD公式)'!A33)</f>
        <v/>
      </c>
      <c r="B33" s="15" t="str">
        <f aca="false"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/>
      </c>
      <c r="C33" s="19" t="str">
        <f aca="false">IF(OR(B32="",B33=""),"",B33/B32-1)</f>
        <v/>
      </c>
      <c r="D33" s="19" t="str">
        <f aca="false">IF(B33="","",B33/MAX(B$5:B33)-1)</f>
        <v/>
      </c>
      <c r="E33" s="15" t="str">
        <f aca="false"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/>
      </c>
      <c r="F33" s="19" t="str">
        <f aca="false">IF(OR(E32="",E33=""),"",E33/E32-1)</f>
        <v/>
      </c>
      <c r="G33" s="19" t="str">
        <f aca="false">IF(E33="","",E33/MAX(E$5:E33)-1)</f>
        <v/>
      </c>
      <c r="H33" s="15" t="str">
        <f aca="false"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/>
      </c>
      <c r="I33" s="19" t="str">
        <f aca="false">IF(OR(H32="",H33=""),"",H33/H32-1)</f>
        <v/>
      </c>
      <c r="J33" s="19" t="str">
        <f aca="false">IF(H33="","",H33/MAX(H$5:H33)-1)</f>
        <v/>
      </c>
      <c r="K33" s="15" t="str">
        <f aca="false"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f>
        <v/>
      </c>
      <c r="L33" s="19" t="str">
        <f aca="false">IF(OR(K32="",K33=""),"",K33/K32-1)</f>
        <v/>
      </c>
      <c r="M33" s="19" t="str">
        <f aca="false">IF(K33="","",K33/MAX(K$5:K33)-1)</f>
        <v/>
      </c>
      <c r="N33" s="15" t="str">
        <f aca="false"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f>
        <v/>
      </c>
      <c r="O33" s="19" t="str">
        <f aca="false">IF(OR(N32="",N33=""),"",N33/N32-1)</f>
        <v/>
      </c>
      <c r="P33" s="19" t="str">
        <f aca="false">IF(N33="","",N33/MAX(N$5:N33)-1)</f>
        <v/>
      </c>
      <c r="Q33" s="15" t="str">
        <f aca="false"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f>
        <v/>
      </c>
      <c r="R33" s="19" t="str">
        <f aca="false">IF(OR(Q32="",Q33=""),"",Q33/Q32-1)</f>
        <v/>
      </c>
      <c r="S33" s="19" t="str">
        <f aca="false">IF(Q33="","",Q33/MAX(Q$5:Q33)-1)</f>
        <v/>
      </c>
    </row>
    <row r="34" customFormat="false" ht="13.5" hidden="false" customHeight="false" outlineLevel="0" collapsed="false">
      <c r="A34" s="18" t="str">
        <f aca="false">IF('实盘净值数据(iFinD公式)'!A34="","",'实盘净值数据(iFinD公式)'!A34)</f>
        <v/>
      </c>
      <c r="B34" s="15" t="str">
        <f aca="false"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/>
      </c>
      <c r="C34" s="19" t="str">
        <f aca="false">IF(OR(B33="",B34=""),"",B34/B33-1)</f>
        <v/>
      </c>
      <c r="D34" s="19" t="str">
        <f aca="false">IF(B34="","",B34/MAX(B$5:B34)-1)</f>
        <v/>
      </c>
      <c r="E34" s="15" t="str">
        <f aca="false"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/>
      </c>
      <c r="F34" s="19" t="str">
        <f aca="false">IF(OR(E33="",E34=""),"",E34/E33-1)</f>
        <v/>
      </c>
      <c r="G34" s="19" t="str">
        <f aca="false">IF(E34="","",E34/MAX(E$5:E34)-1)</f>
        <v/>
      </c>
      <c r="H34" s="15" t="str">
        <f aca="false"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/>
      </c>
      <c r="I34" s="19" t="str">
        <f aca="false">IF(OR(H33="",H34=""),"",H34/H33-1)</f>
        <v/>
      </c>
      <c r="J34" s="19" t="str">
        <f aca="false">IF(H34="","",H34/MAX(H$5:H34)-1)</f>
        <v/>
      </c>
      <c r="K34" s="15" t="str">
        <f aca="false"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f>
        <v/>
      </c>
      <c r="L34" s="19" t="str">
        <f aca="false">IF(OR(K33="",K34=""),"",K34/K33-1)</f>
        <v/>
      </c>
      <c r="M34" s="19" t="str">
        <f aca="false">IF(K34="","",K34/MAX(K$5:K34)-1)</f>
        <v/>
      </c>
      <c r="N34" s="15" t="str">
        <f aca="false"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f>
        <v/>
      </c>
      <c r="O34" s="19" t="str">
        <f aca="false">IF(OR(N33="",N34=""),"",N34/N33-1)</f>
        <v/>
      </c>
      <c r="P34" s="19" t="str">
        <f aca="false">IF(N34="","",N34/MAX(N$5:N34)-1)</f>
        <v/>
      </c>
      <c r="Q34" s="15" t="str">
        <f aca="false"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f>
        <v/>
      </c>
      <c r="R34" s="19" t="str">
        <f aca="false">IF(OR(Q33="",Q34=""),"",Q34/Q33-1)</f>
        <v/>
      </c>
      <c r="S34" s="19" t="str">
        <f aca="false">IF(Q34="","",Q34/MAX(Q$5:Q34)-1)</f>
        <v/>
      </c>
    </row>
    <row r="35" customFormat="false" ht="13.5" hidden="false" customHeight="false" outlineLevel="0" collapsed="false">
      <c r="A35" s="18" t="str">
        <f aca="false">IF('实盘净值数据(iFinD公式)'!A35="","",'实盘净值数据(iFinD公式)'!A35)</f>
        <v/>
      </c>
      <c r="B35" s="15" t="str">
        <f aca="false"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/>
      </c>
      <c r="C35" s="19" t="str">
        <f aca="false">IF(OR(B34="",B35=""),"",B35/B34-1)</f>
        <v/>
      </c>
      <c r="D35" s="19" t="str">
        <f aca="false">IF(B35="","",B35/MAX(B$5:B35)-1)</f>
        <v/>
      </c>
      <c r="E35" s="15" t="str">
        <f aca="false"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/>
      </c>
      <c r="F35" s="19" t="str">
        <f aca="false">IF(OR(E34="",E35=""),"",E35/E34-1)</f>
        <v/>
      </c>
      <c r="G35" s="19" t="str">
        <f aca="false">IF(E35="","",E35/MAX(E$5:E35)-1)</f>
        <v/>
      </c>
      <c r="H35" s="15" t="str">
        <f aca="false"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/>
      </c>
      <c r="I35" s="19" t="str">
        <f aca="false">IF(OR(H34="",H35=""),"",H35/H34-1)</f>
        <v/>
      </c>
      <c r="J35" s="19" t="str">
        <f aca="false">IF(H35="","",H35/MAX(H$5:H35)-1)</f>
        <v/>
      </c>
      <c r="K35" s="15" t="str">
        <f aca="false"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f>
        <v/>
      </c>
      <c r="L35" s="19" t="str">
        <f aca="false">IF(OR(K34="",K35=""),"",K35/K34-1)</f>
        <v/>
      </c>
      <c r="M35" s="19" t="str">
        <f aca="false">IF(K35="","",K35/MAX(K$5:K35)-1)</f>
        <v/>
      </c>
      <c r="N35" s="15" t="str">
        <f aca="false"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f>
        <v/>
      </c>
      <c r="O35" s="19" t="str">
        <f aca="false">IF(OR(N34="",N35=""),"",N35/N34-1)</f>
        <v/>
      </c>
      <c r="P35" s="19" t="str">
        <f aca="false">IF(N35="","",N35/MAX(N$5:N35)-1)</f>
        <v/>
      </c>
      <c r="Q35" s="15" t="str">
        <f aca="false"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f>
        <v/>
      </c>
      <c r="R35" s="19" t="str">
        <f aca="false">IF(OR(Q34="",Q35=""),"",Q35/Q34-1)</f>
        <v/>
      </c>
      <c r="S35" s="19" t="str">
        <f aca="false">IF(Q35="","",Q35/MAX(Q$5:Q35)-1)</f>
        <v/>
      </c>
    </row>
    <row r="36" customFormat="false" ht="13.5" hidden="false" customHeight="false" outlineLevel="0" collapsed="false">
      <c r="A36" s="18" t="str">
        <f aca="false">IF('实盘净值数据(iFinD公式)'!A36="","",'实盘净值数据(iFinD公式)'!A36)</f>
        <v/>
      </c>
      <c r="B36" s="15" t="str">
        <f aca="false"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/>
      </c>
      <c r="C36" s="19" t="str">
        <f aca="false">IF(OR(B35="",B36=""),"",B36/B35-1)</f>
        <v/>
      </c>
      <c r="D36" s="19" t="str">
        <f aca="false">IF(B36="","",B36/MAX(B$5:B36)-1)</f>
        <v/>
      </c>
      <c r="E36" s="15" t="str">
        <f aca="false"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/>
      </c>
      <c r="F36" s="19" t="str">
        <f aca="false">IF(OR(E35="",E36=""),"",E36/E35-1)</f>
        <v/>
      </c>
      <c r="G36" s="19" t="str">
        <f aca="false">IF(E36="","",E36/MAX(E$5:E36)-1)</f>
        <v/>
      </c>
      <c r="H36" s="15" t="str">
        <f aca="false"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/>
      </c>
      <c r="I36" s="19" t="str">
        <f aca="false">IF(OR(H35="",H36=""),"",H36/H35-1)</f>
        <v/>
      </c>
      <c r="J36" s="19" t="str">
        <f aca="false">IF(H36="","",H36/MAX(H$5:H36)-1)</f>
        <v/>
      </c>
      <c r="K36" s="15" t="str">
        <f aca="false"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f>
        <v/>
      </c>
      <c r="L36" s="19" t="str">
        <f aca="false">IF(OR(K35="",K36=""),"",K36/K35-1)</f>
        <v/>
      </c>
      <c r="M36" s="19" t="str">
        <f aca="false">IF(K36="","",K36/MAX(K$5:K36)-1)</f>
        <v/>
      </c>
      <c r="N36" s="15" t="str">
        <f aca="false"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f>
        <v/>
      </c>
      <c r="O36" s="19" t="str">
        <f aca="false">IF(OR(N35="",N36=""),"",N36/N35-1)</f>
        <v/>
      </c>
      <c r="P36" s="19" t="str">
        <f aca="false">IF(N36="","",N36/MAX(N$5:N36)-1)</f>
        <v/>
      </c>
      <c r="Q36" s="15" t="str">
        <f aca="false"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f>
        <v/>
      </c>
      <c r="R36" s="19" t="str">
        <f aca="false">IF(OR(Q35="",Q36=""),"",Q36/Q35-1)</f>
        <v/>
      </c>
      <c r="S36" s="19" t="str">
        <f aca="false">IF(Q36="","",Q36/MAX(Q$5:Q36)-1)</f>
        <v/>
      </c>
    </row>
    <row r="37" customFormat="false" ht="13.5" hidden="false" customHeight="false" outlineLevel="0" collapsed="false">
      <c r="A37" s="18" t="str">
        <f aca="false">IF('实盘净值数据(iFinD公式)'!A37="","",'实盘净值数据(iFinD公式)'!A37)</f>
        <v/>
      </c>
      <c r="B37" s="15" t="str">
        <f aca="false"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/>
      </c>
      <c r="C37" s="19" t="str">
        <f aca="false">IF(OR(B36="",B37=""),"",B37/B36-1)</f>
        <v/>
      </c>
      <c r="D37" s="19" t="str">
        <f aca="false">IF(B37="","",B37/MAX(B$5:B37)-1)</f>
        <v/>
      </c>
      <c r="E37" s="15" t="str">
        <f aca="false"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/>
      </c>
      <c r="F37" s="19" t="str">
        <f aca="false">IF(OR(E36="",E37=""),"",E37/E36-1)</f>
        <v/>
      </c>
      <c r="G37" s="19" t="str">
        <f aca="false">IF(E37="","",E37/MAX(E$5:E37)-1)</f>
        <v/>
      </c>
      <c r="H37" s="15" t="str">
        <f aca="false"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/>
      </c>
      <c r="I37" s="19" t="str">
        <f aca="false">IF(OR(H36="",H37=""),"",H37/H36-1)</f>
        <v/>
      </c>
      <c r="J37" s="19" t="str">
        <f aca="false">IF(H37="","",H37/MAX(H$5:H37)-1)</f>
        <v/>
      </c>
      <c r="K37" s="15" t="str">
        <f aca="false"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f>
        <v/>
      </c>
      <c r="L37" s="19" t="str">
        <f aca="false">IF(OR(K36="",K37=""),"",K37/K36-1)</f>
        <v/>
      </c>
      <c r="M37" s="19" t="str">
        <f aca="false">IF(K37="","",K37/MAX(K$5:K37)-1)</f>
        <v/>
      </c>
      <c r="N37" s="15" t="str">
        <f aca="false"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f>
        <v/>
      </c>
      <c r="O37" s="19" t="str">
        <f aca="false">IF(OR(N36="",N37=""),"",N37/N36-1)</f>
        <v/>
      </c>
      <c r="P37" s="19" t="str">
        <f aca="false">IF(N37="","",N37/MAX(N$5:N37)-1)</f>
        <v/>
      </c>
      <c r="Q37" s="15" t="str">
        <f aca="false"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f>
        <v/>
      </c>
      <c r="R37" s="19" t="str">
        <f aca="false">IF(OR(Q36="",Q37=""),"",Q37/Q36-1)</f>
        <v/>
      </c>
      <c r="S37" s="19" t="str">
        <f aca="false">IF(Q37="","",Q37/MAX(Q$5:Q37)-1)</f>
        <v/>
      </c>
    </row>
    <row r="38" customFormat="false" ht="13.5" hidden="false" customHeight="false" outlineLevel="0" collapsed="false">
      <c r="A38" s="18" t="str">
        <f aca="false">IF('实盘净值数据(iFinD公式)'!A38="","",'实盘净值数据(iFinD公式)'!A38)</f>
        <v/>
      </c>
      <c r="B38" s="15" t="str">
        <f aca="false"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/>
      </c>
      <c r="C38" s="19" t="str">
        <f aca="false">IF(OR(B37="",B38=""),"",B38/B37-1)</f>
        <v/>
      </c>
      <c r="D38" s="19" t="str">
        <f aca="false">IF(B38="","",B38/MAX(B$5:B38)-1)</f>
        <v/>
      </c>
      <c r="E38" s="15" t="str">
        <f aca="false"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/>
      </c>
      <c r="F38" s="19" t="str">
        <f aca="false">IF(OR(E37="",E38=""),"",E38/E37-1)</f>
        <v/>
      </c>
      <c r="G38" s="19" t="str">
        <f aca="false">IF(E38="","",E38/MAX(E$5:E38)-1)</f>
        <v/>
      </c>
      <c r="H38" s="15" t="str">
        <f aca="false"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/>
      </c>
      <c r="I38" s="19" t="str">
        <f aca="false">IF(OR(H37="",H38=""),"",H38/H37-1)</f>
        <v/>
      </c>
      <c r="J38" s="19" t="str">
        <f aca="false">IF(H38="","",H38/MAX(H$5:H38)-1)</f>
        <v/>
      </c>
      <c r="K38" s="15" t="str">
        <f aca="false"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f>
        <v/>
      </c>
      <c r="L38" s="19" t="str">
        <f aca="false">IF(OR(K37="",K38=""),"",K38/K37-1)</f>
        <v/>
      </c>
      <c r="M38" s="19" t="str">
        <f aca="false">IF(K38="","",K38/MAX(K$5:K38)-1)</f>
        <v/>
      </c>
      <c r="N38" s="15" t="str">
        <f aca="false"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f>
        <v/>
      </c>
      <c r="O38" s="19" t="str">
        <f aca="false">IF(OR(N37="",N38=""),"",N38/N37-1)</f>
        <v/>
      </c>
      <c r="P38" s="19" t="str">
        <f aca="false">IF(N38="","",N38/MAX(N$5:N38)-1)</f>
        <v/>
      </c>
      <c r="Q38" s="15" t="str">
        <f aca="false"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f>
        <v/>
      </c>
      <c r="R38" s="19" t="str">
        <f aca="false">IF(OR(Q37="",Q38=""),"",Q38/Q37-1)</f>
        <v/>
      </c>
      <c r="S38" s="19" t="str">
        <f aca="false">IF(Q38="","",Q38/MAX(Q$5:Q38)-1)</f>
        <v/>
      </c>
    </row>
    <row r="39" customFormat="false" ht="13.5" hidden="false" customHeight="false" outlineLevel="0" collapsed="false">
      <c r="A39" s="18" t="str">
        <f aca="false">IF('实盘净值数据(iFinD公式)'!A39="","",'实盘净值数据(iFinD公式)'!A39)</f>
        <v/>
      </c>
      <c r="B39" s="15" t="str">
        <f aca="false"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/>
      </c>
      <c r="C39" s="19" t="str">
        <f aca="false">IF(OR(B38="",B39=""),"",B39/B38-1)</f>
        <v/>
      </c>
      <c r="D39" s="19" t="str">
        <f aca="false">IF(B39="","",B39/MAX(B$5:B39)-1)</f>
        <v/>
      </c>
      <c r="E39" s="15" t="str">
        <f aca="false"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/>
      </c>
      <c r="F39" s="19" t="str">
        <f aca="false">IF(OR(E38="",E39=""),"",E39/E38-1)</f>
        <v/>
      </c>
      <c r="G39" s="19" t="str">
        <f aca="false">IF(E39="","",E39/MAX(E$5:E39)-1)</f>
        <v/>
      </c>
      <c r="H39" s="15" t="str">
        <f aca="false"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/>
      </c>
      <c r="I39" s="19" t="str">
        <f aca="false">IF(OR(H38="",H39=""),"",H39/H38-1)</f>
        <v/>
      </c>
      <c r="J39" s="19" t="str">
        <f aca="false">IF(H39="","",H39/MAX(H$5:H39)-1)</f>
        <v/>
      </c>
      <c r="K39" s="15" t="str">
        <f aca="false"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f>
        <v/>
      </c>
      <c r="L39" s="19" t="str">
        <f aca="false">IF(OR(K38="",K39=""),"",K39/K38-1)</f>
        <v/>
      </c>
      <c r="M39" s="19" t="str">
        <f aca="false">IF(K39="","",K39/MAX(K$5:K39)-1)</f>
        <v/>
      </c>
      <c r="N39" s="15" t="str">
        <f aca="false"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f>
        <v/>
      </c>
      <c r="O39" s="19" t="str">
        <f aca="false">IF(OR(N38="",N39=""),"",N39/N38-1)</f>
        <v/>
      </c>
      <c r="P39" s="19" t="str">
        <f aca="false">IF(N39="","",N39/MAX(N$5:N39)-1)</f>
        <v/>
      </c>
      <c r="Q39" s="15" t="str">
        <f aca="false"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f>
        <v/>
      </c>
      <c r="R39" s="19" t="str">
        <f aca="false">IF(OR(Q38="",Q39=""),"",Q39/Q38-1)</f>
        <v/>
      </c>
      <c r="S39" s="19" t="str">
        <f aca="false">IF(Q39="","",Q39/MAX(Q$5:Q39)-1)</f>
        <v/>
      </c>
    </row>
    <row r="40" customFormat="false" ht="13.5" hidden="false" customHeight="false" outlineLevel="0" collapsed="false">
      <c r="A40" s="18" t="str">
        <f aca="false">IF('实盘净值数据(iFinD公式)'!A40="","",'实盘净值数据(iFinD公式)'!A40)</f>
        <v/>
      </c>
      <c r="B40" s="15" t="str">
        <f aca="false"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/>
      </c>
      <c r="C40" s="19" t="str">
        <f aca="false">IF(OR(B39="",B40=""),"",B40/B39-1)</f>
        <v/>
      </c>
      <c r="D40" s="19" t="str">
        <f aca="false">IF(B40="","",B40/MAX(B$5:B40)-1)</f>
        <v/>
      </c>
      <c r="E40" s="15" t="str">
        <f aca="false"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/>
      </c>
      <c r="F40" s="19" t="str">
        <f aca="false">IF(OR(E39="",E40=""),"",E40/E39-1)</f>
        <v/>
      </c>
      <c r="G40" s="19" t="str">
        <f aca="false">IF(E40="","",E40/MAX(E$5:E40)-1)</f>
        <v/>
      </c>
      <c r="H40" s="15" t="str">
        <f aca="false"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/>
      </c>
      <c r="I40" s="19" t="str">
        <f aca="false">IF(OR(H39="",H40=""),"",H40/H39-1)</f>
        <v/>
      </c>
      <c r="J40" s="19" t="str">
        <f aca="false">IF(H40="","",H40/MAX(H$5:H40)-1)</f>
        <v/>
      </c>
      <c r="K40" s="15" t="str">
        <f aca="false"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f>
        <v/>
      </c>
      <c r="L40" s="19" t="str">
        <f aca="false">IF(OR(K39="",K40=""),"",K40/K39-1)</f>
        <v/>
      </c>
      <c r="M40" s="19" t="str">
        <f aca="false">IF(K40="","",K40/MAX(K$5:K40)-1)</f>
        <v/>
      </c>
      <c r="N40" s="15" t="str">
        <f aca="false"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f>
        <v/>
      </c>
      <c r="O40" s="19" t="str">
        <f aca="false">IF(OR(N39="",N40=""),"",N40/N39-1)</f>
        <v/>
      </c>
      <c r="P40" s="19" t="str">
        <f aca="false">IF(N40="","",N40/MAX(N$5:N40)-1)</f>
        <v/>
      </c>
      <c r="Q40" s="15" t="str">
        <f aca="false"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f>
        <v/>
      </c>
      <c r="R40" s="19" t="str">
        <f aca="false">IF(OR(Q39="",Q40=""),"",Q40/Q39-1)</f>
        <v/>
      </c>
      <c r="S40" s="19" t="str">
        <f aca="false">IF(Q40="","",Q40/MAX(Q$5:Q40)-1)</f>
        <v/>
      </c>
    </row>
    <row r="41" customFormat="false" ht="13.5" hidden="false" customHeight="false" outlineLevel="0" collapsed="false">
      <c r="A41" s="18" t="str">
        <f aca="false">IF('实盘净值数据(iFinD公式)'!A41="","",'实盘净值数据(iFinD公式)'!A41)</f>
        <v/>
      </c>
      <c r="B41" s="15" t="str">
        <f aca="false"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/>
      </c>
      <c r="C41" s="19" t="str">
        <f aca="false">IF(OR(B40="",B41=""),"",B41/B40-1)</f>
        <v/>
      </c>
      <c r="D41" s="19" t="str">
        <f aca="false">IF(B41="","",B41/MAX(B$5:B41)-1)</f>
        <v/>
      </c>
      <c r="E41" s="15" t="str">
        <f aca="false"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/>
      </c>
      <c r="F41" s="19" t="str">
        <f aca="false">IF(OR(E40="",E41=""),"",E41/E40-1)</f>
        <v/>
      </c>
      <c r="G41" s="19" t="str">
        <f aca="false">IF(E41="","",E41/MAX(E$5:E41)-1)</f>
        <v/>
      </c>
      <c r="H41" s="15" t="str">
        <f aca="false"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/>
      </c>
      <c r="I41" s="19" t="str">
        <f aca="false">IF(OR(H40="",H41=""),"",H41/H40-1)</f>
        <v/>
      </c>
      <c r="J41" s="19" t="str">
        <f aca="false">IF(H41="","",H41/MAX(H$5:H41)-1)</f>
        <v/>
      </c>
      <c r="K41" s="15" t="str">
        <f aca="false"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f>
        <v/>
      </c>
      <c r="L41" s="19" t="str">
        <f aca="false">IF(OR(K40="",K41=""),"",K41/K40-1)</f>
        <v/>
      </c>
      <c r="M41" s="19" t="str">
        <f aca="false">IF(K41="","",K41/MAX(K$5:K41)-1)</f>
        <v/>
      </c>
      <c r="N41" s="15" t="str">
        <f aca="false"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f>
        <v/>
      </c>
      <c r="O41" s="19" t="str">
        <f aca="false">IF(OR(N40="",N41=""),"",N41/N40-1)</f>
        <v/>
      </c>
      <c r="P41" s="19" t="str">
        <f aca="false">IF(N41="","",N41/MAX(N$5:N41)-1)</f>
        <v/>
      </c>
      <c r="Q41" s="15" t="str">
        <f aca="false"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f>
        <v/>
      </c>
      <c r="R41" s="19" t="str">
        <f aca="false">IF(OR(Q40="",Q41=""),"",Q41/Q40-1)</f>
        <v/>
      </c>
      <c r="S41" s="19" t="str">
        <f aca="false">IF(Q41="","",Q41/MAX(Q$5:Q41)-1)</f>
        <v/>
      </c>
    </row>
    <row r="42" customFormat="false" ht="13.5" hidden="false" customHeight="false" outlineLevel="0" collapsed="false">
      <c r="A42" s="18" t="str">
        <f aca="false">IF('实盘净值数据(iFinD公式)'!A42="","",'实盘净值数据(iFinD公式)'!A42)</f>
        <v/>
      </c>
      <c r="B42" s="15" t="str">
        <f aca="false"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/>
      </c>
      <c r="C42" s="19" t="str">
        <f aca="false">IF(OR(B41="",B42=""),"",B42/B41-1)</f>
        <v/>
      </c>
      <c r="D42" s="19" t="str">
        <f aca="false">IF(B42="","",B42/MAX(B$5:B42)-1)</f>
        <v/>
      </c>
      <c r="E42" s="15" t="str">
        <f aca="false"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/>
      </c>
      <c r="F42" s="19" t="str">
        <f aca="false">IF(OR(E41="",E42=""),"",E42/E41-1)</f>
        <v/>
      </c>
      <c r="G42" s="19" t="str">
        <f aca="false">IF(E42="","",E42/MAX(E$5:E42)-1)</f>
        <v/>
      </c>
      <c r="H42" s="15" t="str">
        <f aca="false"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/>
      </c>
      <c r="I42" s="19" t="str">
        <f aca="false">IF(OR(H41="",H42=""),"",H42/H41-1)</f>
        <v/>
      </c>
      <c r="J42" s="19" t="str">
        <f aca="false">IF(H42="","",H42/MAX(H$5:H42)-1)</f>
        <v/>
      </c>
      <c r="K42" s="15" t="str">
        <f aca="false"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f>
        <v/>
      </c>
      <c r="L42" s="19" t="str">
        <f aca="false">IF(OR(K41="",K42=""),"",K42/K41-1)</f>
        <v/>
      </c>
      <c r="M42" s="19" t="str">
        <f aca="false">IF(K42="","",K42/MAX(K$5:K42)-1)</f>
        <v/>
      </c>
      <c r="N42" s="15" t="str">
        <f aca="false"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f>
        <v/>
      </c>
      <c r="O42" s="19" t="str">
        <f aca="false">IF(OR(N41="",N42=""),"",N42/N41-1)</f>
        <v/>
      </c>
      <c r="P42" s="19" t="str">
        <f aca="false">IF(N42="","",N42/MAX(N$5:N42)-1)</f>
        <v/>
      </c>
      <c r="Q42" s="15" t="str">
        <f aca="false"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f>
        <v/>
      </c>
      <c r="R42" s="19" t="str">
        <f aca="false">IF(OR(Q41="",Q42=""),"",Q42/Q41-1)</f>
        <v/>
      </c>
      <c r="S42" s="19" t="str">
        <f aca="false">IF(Q42="","",Q42/MAX(Q$5:Q42)-1)</f>
        <v/>
      </c>
    </row>
    <row r="43" customFormat="false" ht="13.5" hidden="false" customHeight="false" outlineLevel="0" collapsed="false">
      <c r="A43" s="18" t="str">
        <f aca="false">IF('实盘净值数据(iFinD公式)'!A43="","",'实盘净值数据(iFinD公式)'!A43)</f>
        <v/>
      </c>
      <c r="B43" s="15" t="str">
        <f aca="false"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/>
      </c>
      <c r="C43" s="19" t="str">
        <f aca="false">IF(OR(B42="",B43=""),"",B43/B42-1)</f>
        <v/>
      </c>
      <c r="D43" s="19" t="str">
        <f aca="false">IF(B43="","",B43/MAX(B$5:B43)-1)</f>
        <v/>
      </c>
      <c r="E43" s="15" t="str">
        <f aca="false"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/>
      </c>
      <c r="F43" s="19" t="str">
        <f aca="false">IF(OR(E42="",E43=""),"",E43/E42-1)</f>
        <v/>
      </c>
      <c r="G43" s="19" t="str">
        <f aca="false">IF(E43="","",E43/MAX(E$5:E43)-1)</f>
        <v/>
      </c>
      <c r="H43" s="15" t="str">
        <f aca="false"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/>
      </c>
      <c r="I43" s="19" t="str">
        <f aca="false">IF(OR(H42="",H43=""),"",H43/H42-1)</f>
        <v/>
      </c>
      <c r="J43" s="19" t="str">
        <f aca="false">IF(H43="","",H43/MAX(H$5:H43)-1)</f>
        <v/>
      </c>
      <c r="K43" s="15" t="str">
        <f aca="false"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f>
        <v/>
      </c>
      <c r="L43" s="19" t="str">
        <f aca="false">IF(OR(K42="",K43=""),"",K43/K42-1)</f>
        <v/>
      </c>
      <c r="M43" s="19" t="str">
        <f aca="false">IF(K43="","",K43/MAX(K$5:K43)-1)</f>
        <v/>
      </c>
      <c r="N43" s="15" t="str">
        <f aca="false"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f>
        <v/>
      </c>
      <c r="O43" s="19" t="str">
        <f aca="false">IF(OR(N42="",N43=""),"",N43/N42-1)</f>
        <v/>
      </c>
      <c r="P43" s="19" t="str">
        <f aca="false">IF(N43="","",N43/MAX(N$5:N43)-1)</f>
        <v/>
      </c>
      <c r="Q43" s="15" t="str">
        <f aca="false"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f>
        <v/>
      </c>
      <c r="R43" s="19" t="str">
        <f aca="false">IF(OR(Q42="",Q43=""),"",Q43/Q42-1)</f>
        <v/>
      </c>
      <c r="S43" s="19" t="str">
        <f aca="false">IF(Q43="","",Q43/MAX(Q$5:Q43)-1)</f>
        <v/>
      </c>
    </row>
    <row r="44" customFormat="false" ht="13.5" hidden="false" customHeight="false" outlineLevel="0" collapsed="false">
      <c r="A44" s="18" t="str">
        <f aca="false">IF('实盘净值数据(iFinD公式)'!A44="","",'实盘净值数据(iFinD公式)'!A44)</f>
        <v/>
      </c>
      <c r="B44" s="15" t="str">
        <f aca="false"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/>
      </c>
      <c r="C44" s="19" t="str">
        <f aca="false">IF(OR(B43="",B44=""),"",B44/B43-1)</f>
        <v/>
      </c>
      <c r="D44" s="19" t="str">
        <f aca="false">IF(B44="","",B44/MAX(B$5:B44)-1)</f>
        <v/>
      </c>
      <c r="E44" s="15" t="str">
        <f aca="false"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/>
      </c>
      <c r="F44" s="19" t="str">
        <f aca="false">IF(OR(E43="",E44=""),"",E44/E43-1)</f>
        <v/>
      </c>
      <c r="G44" s="19" t="str">
        <f aca="false">IF(E44="","",E44/MAX(E$5:E44)-1)</f>
        <v/>
      </c>
      <c r="H44" s="15" t="str">
        <f aca="false"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/>
      </c>
      <c r="I44" s="19" t="str">
        <f aca="false">IF(OR(H43="",H44=""),"",H44/H43-1)</f>
        <v/>
      </c>
      <c r="J44" s="19" t="str">
        <f aca="false">IF(H44="","",H44/MAX(H$5:H44)-1)</f>
        <v/>
      </c>
      <c r="K44" s="15" t="str">
        <f aca="false"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f>
        <v/>
      </c>
      <c r="L44" s="19" t="str">
        <f aca="false">IF(OR(K43="",K44=""),"",K44/K43-1)</f>
        <v/>
      </c>
      <c r="M44" s="19" t="str">
        <f aca="false">IF(K44="","",K44/MAX(K$5:K44)-1)</f>
        <v/>
      </c>
      <c r="N44" s="15" t="str">
        <f aca="false"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f>
        <v/>
      </c>
      <c r="O44" s="19" t="str">
        <f aca="false">IF(OR(N43="",N44=""),"",N44/N43-1)</f>
        <v/>
      </c>
      <c r="P44" s="19" t="str">
        <f aca="false">IF(N44="","",N44/MAX(N$5:N44)-1)</f>
        <v/>
      </c>
      <c r="Q44" s="15" t="str">
        <f aca="false"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f>
        <v/>
      </c>
      <c r="R44" s="19" t="str">
        <f aca="false">IF(OR(Q43="",Q44=""),"",Q44/Q43-1)</f>
        <v/>
      </c>
      <c r="S44" s="19" t="str">
        <f aca="false">IF(Q44="","",Q44/MAX(Q$5:Q44)-1)</f>
        <v/>
      </c>
    </row>
    <row r="45" customFormat="false" ht="13.5" hidden="false" customHeight="false" outlineLevel="0" collapsed="false">
      <c r="A45" s="18" t="str">
        <f aca="false">IF('实盘净值数据(iFinD公式)'!A45="","",'实盘净值数据(iFinD公式)'!A45)</f>
        <v/>
      </c>
      <c r="B45" s="15" t="str">
        <f aca="false"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/>
      </c>
      <c r="C45" s="19" t="str">
        <f aca="false">IF(OR(B44="",B45=""),"",B45/B44-1)</f>
        <v/>
      </c>
      <c r="D45" s="19" t="str">
        <f aca="false">IF(B45="","",B45/MAX(B$5:B45)-1)</f>
        <v/>
      </c>
      <c r="E45" s="15" t="str">
        <f aca="false"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/>
      </c>
      <c r="F45" s="19" t="str">
        <f aca="false">IF(OR(E44="",E45=""),"",E45/E44-1)</f>
        <v/>
      </c>
      <c r="G45" s="19" t="str">
        <f aca="false">IF(E45="","",E45/MAX(E$5:E45)-1)</f>
        <v/>
      </c>
      <c r="H45" s="15" t="str">
        <f aca="false"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/>
      </c>
      <c r="I45" s="19" t="str">
        <f aca="false">IF(OR(H44="",H45=""),"",H45/H44-1)</f>
        <v/>
      </c>
      <c r="J45" s="19" t="str">
        <f aca="false">IF(H45="","",H45/MAX(H$5:H45)-1)</f>
        <v/>
      </c>
      <c r="K45" s="15" t="str">
        <f aca="false"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f>
        <v/>
      </c>
      <c r="L45" s="19" t="str">
        <f aca="false">IF(OR(K44="",K45=""),"",K45/K44-1)</f>
        <v/>
      </c>
      <c r="M45" s="19" t="str">
        <f aca="false">IF(K45="","",K45/MAX(K$5:K45)-1)</f>
        <v/>
      </c>
      <c r="N45" s="15" t="str">
        <f aca="false"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f>
        <v/>
      </c>
      <c r="O45" s="19" t="str">
        <f aca="false">IF(OR(N44="",N45=""),"",N45/N44-1)</f>
        <v/>
      </c>
      <c r="P45" s="19" t="str">
        <f aca="false">IF(N45="","",N45/MAX(N$5:N45)-1)</f>
        <v/>
      </c>
      <c r="Q45" s="15" t="str">
        <f aca="false"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f>
        <v/>
      </c>
      <c r="R45" s="19" t="str">
        <f aca="false">IF(OR(Q44="",Q45=""),"",Q45/Q44-1)</f>
        <v/>
      </c>
      <c r="S45" s="19" t="str">
        <f aca="false">IF(Q45="","",Q45/MAX(Q$5:Q45)-1)</f>
        <v/>
      </c>
    </row>
    <row r="46" customFormat="false" ht="13.5" hidden="false" customHeight="false" outlineLevel="0" collapsed="false">
      <c r="A46" s="18" t="str">
        <f aca="false">IF('实盘净值数据(iFinD公式)'!A46="","",'实盘净值数据(iFinD公式)'!A46)</f>
        <v/>
      </c>
      <c r="B46" s="15" t="str">
        <f aca="false"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/>
      </c>
      <c r="C46" s="19" t="str">
        <f aca="false">IF(OR(B45="",B46=""),"",B46/B45-1)</f>
        <v/>
      </c>
      <c r="D46" s="19" t="str">
        <f aca="false">IF(B46="","",B46/MAX(B$5:B46)-1)</f>
        <v/>
      </c>
      <c r="E46" s="15" t="str">
        <f aca="false"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/>
      </c>
      <c r="F46" s="19" t="str">
        <f aca="false">IF(OR(E45="",E46=""),"",E46/E45-1)</f>
        <v/>
      </c>
      <c r="G46" s="19" t="str">
        <f aca="false">IF(E46="","",E46/MAX(E$5:E46)-1)</f>
        <v/>
      </c>
      <c r="H46" s="15" t="str">
        <f aca="false"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/>
      </c>
      <c r="I46" s="19" t="str">
        <f aca="false">IF(OR(H45="",H46=""),"",H46/H45-1)</f>
        <v/>
      </c>
      <c r="J46" s="19" t="str">
        <f aca="false">IF(H46="","",H46/MAX(H$5:H46)-1)</f>
        <v/>
      </c>
      <c r="K46" s="15" t="str">
        <f aca="false"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f>
        <v/>
      </c>
      <c r="L46" s="19" t="str">
        <f aca="false">IF(OR(K45="",K46=""),"",K46/K45-1)</f>
        <v/>
      </c>
      <c r="M46" s="19" t="str">
        <f aca="false">IF(K46="","",K46/MAX(K$5:K46)-1)</f>
        <v/>
      </c>
      <c r="N46" s="15" t="str">
        <f aca="false"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f>
        <v/>
      </c>
      <c r="O46" s="19" t="str">
        <f aca="false">IF(OR(N45="",N46=""),"",N46/N45-1)</f>
        <v/>
      </c>
      <c r="P46" s="19" t="str">
        <f aca="false">IF(N46="","",N46/MAX(N$5:N46)-1)</f>
        <v/>
      </c>
      <c r="Q46" s="15" t="str">
        <f aca="false"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f>
        <v/>
      </c>
      <c r="R46" s="19" t="str">
        <f aca="false">IF(OR(Q45="",Q46=""),"",Q46/Q45-1)</f>
        <v/>
      </c>
      <c r="S46" s="19" t="str">
        <f aca="false">IF(Q46="","",Q46/MAX(Q$5:Q46)-1)</f>
        <v/>
      </c>
    </row>
    <row r="47" customFormat="false" ht="13.5" hidden="false" customHeight="false" outlineLevel="0" collapsed="false">
      <c r="A47" s="18" t="str">
        <f aca="false">IF('实盘净值数据(iFinD公式)'!A47="","",'实盘净值数据(iFinD公式)'!A47)</f>
        <v/>
      </c>
      <c r="B47" s="15" t="str">
        <f aca="false"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/>
      </c>
      <c r="C47" s="19" t="str">
        <f aca="false">IF(OR(B46="",B47=""),"",B47/B46-1)</f>
        <v/>
      </c>
      <c r="D47" s="19" t="str">
        <f aca="false">IF(B47="","",B47/MAX(B$5:B47)-1)</f>
        <v/>
      </c>
      <c r="E47" s="15" t="str">
        <f aca="false"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/>
      </c>
      <c r="F47" s="19" t="str">
        <f aca="false">IF(OR(E46="",E47=""),"",E47/E46-1)</f>
        <v/>
      </c>
      <c r="G47" s="19" t="str">
        <f aca="false">IF(E47="","",E47/MAX(E$5:E47)-1)</f>
        <v/>
      </c>
      <c r="H47" s="15" t="str">
        <f aca="false"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/>
      </c>
      <c r="I47" s="19" t="str">
        <f aca="false">IF(OR(H46="",H47=""),"",H47/H46-1)</f>
        <v/>
      </c>
      <c r="J47" s="19" t="str">
        <f aca="false">IF(H47="","",H47/MAX(H$5:H47)-1)</f>
        <v/>
      </c>
      <c r="K47" s="15" t="str">
        <f aca="false"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f>
        <v/>
      </c>
      <c r="L47" s="19" t="str">
        <f aca="false">IF(OR(K46="",K47=""),"",K47/K46-1)</f>
        <v/>
      </c>
      <c r="M47" s="19" t="str">
        <f aca="false">IF(K47="","",K47/MAX(K$5:K47)-1)</f>
        <v/>
      </c>
      <c r="N47" s="15" t="str">
        <f aca="false"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f>
        <v/>
      </c>
      <c r="O47" s="19" t="str">
        <f aca="false">IF(OR(N46="",N47=""),"",N47/N46-1)</f>
        <v/>
      </c>
      <c r="P47" s="19" t="str">
        <f aca="false">IF(N47="","",N47/MAX(N$5:N47)-1)</f>
        <v/>
      </c>
      <c r="Q47" s="15" t="str">
        <f aca="false"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f>
        <v/>
      </c>
      <c r="R47" s="19" t="str">
        <f aca="false">IF(OR(Q46="",Q47=""),"",Q47/Q46-1)</f>
        <v/>
      </c>
      <c r="S47" s="19" t="str">
        <f aca="false">IF(Q47="","",Q47/MAX(Q$5:Q47)-1)</f>
        <v/>
      </c>
    </row>
    <row r="48" customFormat="false" ht="13.5" hidden="false" customHeight="false" outlineLevel="0" collapsed="false">
      <c r="A48" s="18" t="str">
        <f aca="false">IF('实盘净值数据(iFinD公式)'!A48="","",'实盘净值数据(iFinD公式)'!A48)</f>
        <v/>
      </c>
      <c r="B48" s="15" t="str">
        <f aca="false"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/>
      </c>
      <c r="C48" s="19" t="str">
        <f aca="false">IF(OR(B47="",B48=""),"",B48/B47-1)</f>
        <v/>
      </c>
      <c r="D48" s="19" t="str">
        <f aca="false">IF(B48="","",B48/MAX(B$5:B48)-1)</f>
        <v/>
      </c>
      <c r="E48" s="15" t="str">
        <f aca="false"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/>
      </c>
      <c r="F48" s="19" t="str">
        <f aca="false">IF(OR(E47="",E48=""),"",E48/E47-1)</f>
        <v/>
      </c>
      <c r="G48" s="19" t="str">
        <f aca="false">IF(E48="","",E48/MAX(E$5:E48)-1)</f>
        <v/>
      </c>
      <c r="H48" s="15" t="str">
        <f aca="false"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/>
      </c>
      <c r="I48" s="19" t="str">
        <f aca="false">IF(OR(H47="",H48=""),"",H48/H47-1)</f>
        <v/>
      </c>
      <c r="J48" s="19" t="str">
        <f aca="false">IF(H48="","",H48/MAX(H$5:H48)-1)</f>
        <v/>
      </c>
      <c r="K48" s="15" t="str">
        <f aca="false"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f>
        <v/>
      </c>
      <c r="L48" s="19" t="str">
        <f aca="false">IF(OR(K47="",K48=""),"",K48/K47-1)</f>
        <v/>
      </c>
      <c r="M48" s="19" t="str">
        <f aca="false">IF(K48="","",K48/MAX(K$5:K48)-1)</f>
        <v/>
      </c>
      <c r="N48" s="15" t="str">
        <f aca="false"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f>
        <v/>
      </c>
      <c r="O48" s="19" t="str">
        <f aca="false">IF(OR(N47="",N48=""),"",N48/N47-1)</f>
        <v/>
      </c>
      <c r="P48" s="19" t="str">
        <f aca="false">IF(N48="","",N48/MAX(N$5:N48)-1)</f>
        <v/>
      </c>
      <c r="Q48" s="15" t="str">
        <f aca="false"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f>
        <v/>
      </c>
      <c r="R48" s="19" t="str">
        <f aca="false">IF(OR(Q47="",Q48=""),"",Q48/Q47-1)</f>
        <v/>
      </c>
      <c r="S48" s="19" t="str">
        <f aca="false">IF(Q48="","",Q48/MAX(Q$5:Q48)-1)</f>
        <v/>
      </c>
    </row>
    <row r="49" customFormat="false" ht="13.5" hidden="false" customHeight="false" outlineLevel="0" collapsed="false">
      <c r="A49" s="18" t="str">
        <f aca="false">IF('实盘净值数据(iFinD公式)'!A49="","",'实盘净值数据(iFinD公式)'!A49)</f>
        <v/>
      </c>
      <c r="B49" s="15" t="str">
        <f aca="false"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/>
      </c>
      <c r="C49" s="19" t="str">
        <f aca="false">IF(OR(B48="",B49=""),"",B49/B48-1)</f>
        <v/>
      </c>
      <c r="D49" s="19" t="str">
        <f aca="false">IF(B49="","",B49/MAX(B$5:B49)-1)</f>
        <v/>
      </c>
      <c r="E49" s="15" t="str">
        <f aca="false"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/>
      </c>
      <c r="F49" s="19" t="str">
        <f aca="false">IF(OR(E48="",E49=""),"",E49/E48-1)</f>
        <v/>
      </c>
      <c r="G49" s="19" t="str">
        <f aca="false">IF(E49="","",E49/MAX(E$5:E49)-1)</f>
        <v/>
      </c>
      <c r="H49" s="15" t="str">
        <f aca="false"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/>
      </c>
      <c r="I49" s="19" t="str">
        <f aca="false">IF(OR(H48="",H49=""),"",H49/H48-1)</f>
        <v/>
      </c>
      <c r="J49" s="19" t="str">
        <f aca="false">IF(H49="","",H49/MAX(H$5:H49)-1)</f>
        <v/>
      </c>
      <c r="K49" s="15" t="str">
        <f aca="false"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f>
        <v/>
      </c>
      <c r="L49" s="19" t="str">
        <f aca="false">IF(OR(K48="",K49=""),"",K49/K48-1)</f>
        <v/>
      </c>
      <c r="M49" s="19" t="str">
        <f aca="false">IF(K49="","",K49/MAX(K$5:K49)-1)</f>
        <v/>
      </c>
      <c r="N49" s="15" t="str">
        <f aca="false"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f>
        <v/>
      </c>
      <c r="O49" s="19" t="str">
        <f aca="false">IF(OR(N48="",N49=""),"",N49/N48-1)</f>
        <v/>
      </c>
      <c r="P49" s="19" t="str">
        <f aca="false">IF(N49="","",N49/MAX(N$5:N49)-1)</f>
        <v/>
      </c>
      <c r="Q49" s="15" t="str">
        <f aca="false"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f>
        <v/>
      </c>
      <c r="R49" s="19" t="str">
        <f aca="false">IF(OR(Q48="",Q49=""),"",Q49/Q48-1)</f>
        <v/>
      </c>
      <c r="S49" s="19" t="str">
        <f aca="false">IF(Q49="","",Q49/MAX(Q$5:Q49)-1)</f>
        <v/>
      </c>
    </row>
    <row r="50" customFormat="false" ht="13.5" hidden="false" customHeight="false" outlineLevel="0" collapsed="false">
      <c r="A50" s="18" t="str">
        <f aca="false">IF('实盘净值数据(iFinD公式)'!A50="","",'实盘净值数据(iFinD公式)'!A50)</f>
        <v/>
      </c>
      <c r="B50" s="15" t="str">
        <f aca="false"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/>
      </c>
      <c r="C50" s="19" t="str">
        <f aca="false">IF(OR(B49="",B50=""),"",B50/B49-1)</f>
        <v/>
      </c>
      <c r="D50" s="19" t="str">
        <f aca="false">IF(B50="","",B50/MAX(B$5:B50)-1)</f>
        <v/>
      </c>
      <c r="E50" s="15" t="str">
        <f aca="false"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/>
      </c>
      <c r="F50" s="19" t="str">
        <f aca="false">IF(OR(E49="",E50=""),"",E50/E49-1)</f>
        <v/>
      </c>
      <c r="G50" s="19" t="str">
        <f aca="false">IF(E50="","",E50/MAX(E$5:E50)-1)</f>
        <v/>
      </c>
      <c r="H50" s="15" t="str">
        <f aca="false"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/>
      </c>
      <c r="I50" s="19" t="str">
        <f aca="false">IF(OR(H49="",H50=""),"",H50/H49-1)</f>
        <v/>
      </c>
      <c r="J50" s="19" t="str">
        <f aca="false">IF(H50="","",H50/MAX(H$5:H50)-1)</f>
        <v/>
      </c>
      <c r="K50" s="15" t="str">
        <f aca="false"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f>
        <v/>
      </c>
      <c r="L50" s="19" t="str">
        <f aca="false">IF(OR(K49="",K50=""),"",K50/K49-1)</f>
        <v/>
      </c>
      <c r="M50" s="19" t="str">
        <f aca="false">IF(K50="","",K50/MAX(K$5:K50)-1)</f>
        <v/>
      </c>
      <c r="N50" s="15" t="str">
        <f aca="false"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f>
        <v/>
      </c>
      <c r="O50" s="19" t="str">
        <f aca="false">IF(OR(N49="",N50=""),"",N50/N49-1)</f>
        <v/>
      </c>
      <c r="P50" s="19" t="str">
        <f aca="false">IF(N50="","",N50/MAX(N$5:N50)-1)</f>
        <v/>
      </c>
      <c r="Q50" s="15" t="str">
        <f aca="false"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f>
        <v/>
      </c>
      <c r="R50" s="19" t="str">
        <f aca="false">IF(OR(Q49="",Q50=""),"",Q50/Q49-1)</f>
        <v/>
      </c>
      <c r="S50" s="19" t="str">
        <f aca="false">IF(Q50="","",Q50/MAX(Q$5:Q50)-1)</f>
        <v/>
      </c>
    </row>
    <row r="51" customFormat="false" ht="13.5" hidden="false" customHeight="false" outlineLevel="0" collapsed="false">
      <c r="A51" s="18" t="str">
        <f aca="false">IF('实盘净值数据(iFinD公式)'!A51="","",'实盘净值数据(iFinD公式)'!A51)</f>
        <v/>
      </c>
      <c r="B51" s="15" t="str">
        <f aca="false"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/>
      </c>
      <c r="C51" s="19" t="str">
        <f aca="false">IF(OR(B50="",B51=""),"",B51/B50-1)</f>
        <v/>
      </c>
      <c r="D51" s="19" t="str">
        <f aca="false">IF(B51="","",B51/MAX(B$5:B51)-1)</f>
        <v/>
      </c>
      <c r="E51" s="15" t="str">
        <f aca="false"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/>
      </c>
      <c r="F51" s="19" t="str">
        <f aca="false">IF(OR(E50="",E51=""),"",E51/E50-1)</f>
        <v/>
      </c>
      <c r="G51" s="19" t="str">
        <f aca="false">IF(E51="","",E51/MAX(E$5:E51)-1)</f>
        <v/>
      </c>
      <c r="H51" s="15" t="str">
        <f aca="false"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/>
      </c>
      <c r="I51" s="19" t="str">
        <f aca="false">IF(OR(H50="",H51=""),"",H51/H50-1)</f>
        <v/>
      </c>
      <c r="J51" s="19" t="str">
        <f aca="false">IF(H51="","",H51/MAX(H$5:H51)-1)</f>
        <v/>
      </c>
      <c r="K51" s="15" t="str">
        <f aca="false"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f>
        <v/>
      </c>
      <c r="L51" s="19" t="str">
        <f aca="false">IF(OR(K50="",K51=""),"",K51/K50-1)</f>
        <v/>
      </c>
      <c r="M51" s="19" t="str">
        <f aca="false">IF(K51="","",K51/MAX(K$5:K51)-1)</f>
        <v/>
      </c>
      <c r="N51" s="15" t="str">
        <f aca="false"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f>
        <v/>
      </c>
      <c r="O51" s="19" t="str">
        <f aca="false">IF(OR(N50="",N51=""),"",N51/N50-1)</f>
        <v/>
      </c>
      <c r="P51" s="19" t="str">
        <f aca="false">IF(N51="","",N51/MAX(N$5:N51)-1)</f>
        <v/>
      </c>
      <c r="Q51" s="15" t="str">
        <f aca="false"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f>
        <v/>
      </c>
      <c r="R51" s="19" t="str">
        <f aca="false">IF(OR(Q50="",Q51=""),"",Q51/Q50-1)</f>
        <v/>
      </c>
      <c r="S51" s="19" t="str">
        <f aca="false">IF(Q51="","",Q51/MAX(Q$5:Q51)-1)</f>
        <v/>
      </c>
    </row>
    <row r="52" customFormat="false" ht="13.5" hidden="false" customHeight="false" outlineLevel="0" collapsed="false">
      <c r="A52" s="18" t="str">
        <f aca="false">IF('实盘净值数据(iFinD公式)'!A52="","",'实盘净值数据(iFinD公式)'!A52)</f>
        <v/>
      </c>
      <c r="B52" s="15" t="str">
        <f aca="false"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/>
      </c>
      <c r="C52" s="19" t="str">
        <f aca="false">IF(OR(B51="",B52=""),"",B52/B51-1)</f>
        <v/>
      </c>
      <c r="D52" s="19" t="str">
        <f aca="false">IF(B52="","",B52/MAX(B$5:B52)-1)</f>
        <v/>
      </c>
      <c r="E52" s="15" t="str">
        <f aca="false"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/>
      </c>
      <c r="F52" s="19" t="str">
        <f aca="false">IF(OR(E51="",E52=""),"",E52/E51-1)</f>
        <v/>
      </c>
      <c r="G52" s="19" t="str">
        <f aca="false">IF(E52="","",E52/MAX(E$5:E52)-1)</f>
        <v/>
      </c>
      <c r="H52" s="15" t="str">
        <f aca="false"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/>
      </c>
      <c r="I52" s="19" t="str">
        <f aca="false">IF(OR(H51="",H52=""),"",H52/H51-1)</f>
        <v/>
      </c>
      <c r="J52" s="19" t="str">
        <f aca="false">IF(H52="","",H52/MAX(H$5:H52)-1)</f>
        <v/>
      </c>
      <c r="K52" s="15" t="str">
        <f aca="false"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f>
        <v/>
      </c>
      <c r="L52" s="19" t="str">
        <f aca="false">IF(OR(K51="",K52=""),"",K52/K51-1)</f>
        <v/>
      </c>
      <c r="M52" s="19" t="str">
        <f aca="false">IF(K52="","",K52/MAX(K$5:K52)-1)</f>
        <v/>
      </c>
      <c r="N52" s="15" t="str">
        <f aca="false"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f>
        <v/>
      </c>
      <c r="O52" s="19" t="str">
        <f aca="false">IF(OR(N51="",N52=""),"",N52/N51-1)</f>
        <v/>
      </c>
      <c r="P52" s="19" t="str">
        <f aca="false">IF(N52="","",N52/MAX(N$5:N52)-1)</f>
        <v/>
      </c>
      <c r="Q52" s="15" t="str">
        <f aca="false"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f>
        <v/>
      </c>
      <c r="R52" s="19" t="str">
        <f aca="false">IF(OR(Q51="",Q52=""),"",Q52/Q51-1)</f>
        <v/>
      </c>
      <c r="S52" s="19" t="str">
        <f aca="false">IF(Q52="","",Q52/MAX(Q$5:Q52)-1)</f>
        <v/>
      </c>
    </row>
    <row r="53" customFormat="false" ht="13.5" hidden="false" customHeight="false" outlineLevel="0" collapsed="false">
      <c r="A53" s="18" t="str">
        <f aca="false">IF('实盘净值数据(iFinD公式)'!A53="","",'实盘净值数据(iFinD公式)'!A53)</f>
        <v/>
      </c>
      <c r="B53" s="15" t="str">
        <f aca="false"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/>
      </c>
      <c r="C53" s="19" t="str">
        <f aca="false">IF(OR(B52="",B53=""),"",B53/B52-1)</f>
        <v/>
      </c>
      <c r="D53" s="19" t="str">
        <f aca="false">IF(B53="","",B53/MAX(B$5:B53)-1)</f>
        <v/>
      </c>
      <c r="E53" s="15" t="str">
        <f aca="false"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/>
      </c>
      <c r="F53" s="19" t="str">
        <f aca="false">IF(OR(E52="",E53=""),"",E53/E52-1)</f>
        <v/>
      </c>
      <c r="G53" s="19" t="str">
        <f aca="false">IF(E53="","",E53/MAX(E$5:E53)-1)</f>
        <v/>
      </c>
      <c r="H53" s="15" t="str">
        <f aca="false"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/>
      </c>
      <c r="I53" s="19" t="str">
        <f aca="false">IF(OR(H52="",H53=""),"",H53/H52-1)</f>
        <v/>
      </c>
      <c r="J53" s="19" t="str">
        <f aca="false">IF(H53="","",H53/MAX(H$5:H53)-1)</f>
        <v/>
      </c>
      <c r="K53" s="15" t="str">
        <f aca="false"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f>
        <v/>
      </c>
      <c r="L53" s="19" t="str">
        <f aca="false">IF(OR(K52="",K53=""),"",K53/K52-1)</f>
        <v/>
      </c>
      <c r="M53" s="19" t="str">
        <f aca="false">IF(K53="","",K53/MAX(K$5:K53)-1)</f>
        <v/>
      </c>
      <c r="N53" s="15" t="str">
        <f aca="false"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f>
        <v/>
      </c>
      <c r="O53" s="19" t="str">
        <f aca="false">IF(OR(N52="",N53=""),"",N53/N52-1)</f>
        <v/>
      </c>
      <c r="P53" s="19" t="str">
        <f aca="false">IF(N53="","",N53/MAX(N$5:N53)-1)</f>
        <v/>
      </c>
      <c r="Q53" s="15" t="str">
        <f aca="false"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f>
        <v/>
      </c>
      <c r="R53" s="19" t="str">
        <f aca="false">IF(OR(Q52="",Q53=""),"",Q53/Q52-1)</f>
        <v/>
      </c>
      <c r="S53" s="19" t="str">
        <f aca="false">IF(Q53="","",Q53/MAX(Q$5:Q53)-1)</f>
        <v/>
      </c>
    </row>
    <row r="54" customFormat="false" ht="13.5" hidden="false" customHeight="false" outlineLevel="0" collapsed="false">
      <c r="A54" s="18" t="str">
        <f aca="false">IF('实盘净值数据(iFinD公式)'!A54="","",'实盘净值数据(iFinD公式)'!A54)</f>
        <v/>
      </c>
      <c r="B54" s="15" t="str">
        <f aca="false"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/>
      </c>
      <c r="C54" s="19" t="str">
        <f aca="false">IF(OR(B53="",B54=""),"",B54/B53-1)</f>
        <v/>
      </c>
      <c r="D54" s="19" t="str">
        <f aca="false">IF(B54="","",B54/MAX(B$5:B54)-1)</f>
        <v/>
      </c>
      <c r="E54" s="15" t="str">
        <f aca="false"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/>
      </c>
      <c r="F54" s="19" t="str">
        <f aca="false">IF(OR(E53="",E54=""),"",E54/E53-1)</f>
        <v/>
      </c>
      <c r="G54" s="19" t="str">
        <f aca="false">IF(E54="","",E54/MAX(E$5:E54)-1)</f>
        <v/>
      </c>
      <c r="H54" s="15" t="str">
        <f aca="false"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/>
      </c>
      <c r="I54" s="19" t="str">
        <f aca="false">IF(OR(H53="",H54=""),"",H54/H53-1)</f>
        <v/>
      </c>
      <c r="J54" s="19" t="str">
        <f aca="false">IF(H54="","",H54/MAX(H$5:H54)-1)</f>
        <v/>
      </c>
      <c r="K54" s="15" t="str">
        <f aca="false"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f>
        <v/>
      </c>
      <c r="L54" s="19" t="str">
        <f aca="false">IF(OR(K53="",K54=""),"",K54/K53-1)</f>
        <v/>
      </c>
      <c r="M54" s="19" t="str">
        <f aca="false">IF(K54="","",K54/MAX(K$5:K54)-1)</f>
        <v/>
      </c>
      <c r="N54" s="15" t="str">
        <f aca="false"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f>
        <v/>
      </c>
      <c r="O54" s="19" t="str">
        <f aca="false">IF(OR(N53="",N54=""),"",N54/N53-1)</f>
        <v/>
      </c>
      <c r="P54" s="19" t="str">
        <f aca="false">IF(N54="","",N54/MAX(N$5:N54)-1)</f>
        <v/>
      </c>
      <c r="Q54" s="15" t="str">
        <f aca="false"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f>
        <v/>
      </c>
      <c r="R54" s="19" t="str">
        <f aca="false">IF(OR(Q53="",Q54=""),"",Q54/Q53-1)</f>
        <v/>
      </c>
      <c r="S54" s="19" t="str">
        <f aca="false">IF(Q54="","",Q54/MAX(Q$5:Q54)-1)</f>
        <v/>
      </c>
    </row>
    <row r="55" customFormat="false" ht="13.5" hidden="false" customHeight="false" outlineLevel="0" collapsed="false">
      <c r="A55" s="18" t="str">
        <f aca="false">IF('实盘净值数据(iFinD公式)'!A55="","",'实盘净值数据(iFinD公式)'!A55)</f>
        <v/>
      </c>
      <c r="B55" s="15" t="str">
        <f aca="false"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/>
      </c>
      <c r="C55" s="19" t="str">
        <f aca="false">IF(OR(B54="",B55=""),"",B55/B54-1)</f>
        <v/>
      </c>
      <c r="D55" s="19" t="str">
        <f aca="false">IF(B55="","",B55/MAX(B$5:B55)-1)</f>
        <v/>
      </c>
      <c r="E55" s="15" t="str">
        <f aca="false"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/>
      </c>
      <c r="F55" s="19" t="str">
        <f aca="false">IF(OR(E54="",E55=""),"",E55/E54-1)</f>
        <v/>
      </c>
      <c r="G55" s="19" t="str">
        <f aca="false">IF(E55="","",E55/MAX(E$5:E55)-1)</f>
        <v/>
      </c>
      <c r="H55" s="15" t="str">
        <f aca="false"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/>
      </c>
      <c r="I55" s="19" t="str">
        <f aca="false">IF(OR(H54="",H55=""),"",H55/H54-1)</f>
        <v/>
      </c>
      <c r="J55" s="19" t="str">
        <f aca="false">IF(H55="","",H55/MAX(H$5:H55)-1)</f>
        <v/>
      </c>
      <c r="K55" s="15" t="str">
        <f aca="false"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f>
        <v/>
      </c>
      <c r="L55" s="19" t="str">
        <f aca="false">IF(OR(K54="",K55=""),"",K55/K54-1)</f>
        <v/>
      </c>
      <c r="M55" s="19" t="str">
        <f aca="false">IF(K55="","",K55/MAX(K$5:K55)-1)</f>
        <v/>
      </c>
      <c r="N55" s="15" t="str">
        <f aca="false"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f>
        <v/>
      </c>
      <c r="O55" s="19" t="str">
        <f aca="false">IF(OR(N54="",N55=""),"",N55/N54-1)</f>
        <v/>
      </c>
      <c r="P55" s="19" t="str">
        <f aca="false">IF(N55="","",N55/MAX(N$5:N55)-1)</f>
        <v/>
      </c>
      <c r="Q55" s="15" t="str">
        <f aca="false"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f>
        <v/>
      </c>
      <c r="R55" s="19" t="str">
        <f aca="false">IF(OR(Q54="",Q55=""),"",Q55/Q54-1)</f>
        <v/>
      </c>
      <c r="S55" s="19" t="str">
        <f aca="false">IF(Q55="","",Q55/MAX(Q$5:Q55)-1)</f>
        <v/>
      </c>
    </row>
    <row r="56" customFormat="false" ht="13.5" hidden="false" customHeight="false" outlineLevel="0" collapsed="false">
      <c r="A56" s="18" t="str">
        <f aca="false">IF('实盘净值数据(iFinD公式)'!A56="","",'实盘净值数据(iFinD公式)'!A56)</f>
        <v/>
      </c>
      <c r="B56" s="15" t="str">
        <f aca="false"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/>
      </c>
      <c r="C56" s="19" t="str">
        <f aca="false">IF(OR(B55="",B56=""),"",B56/B55-1)</f>
        <v/>
      </c>
      <c r="D56" s="19" t="str">
        <f aca="false">IF(B56="","",B56/MAX(B$5:B56)-1)</f>
        <v/>
      </c>
      <c r="E56" s="15" t="str">
        <f aca="false"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/>
      </c>
      <c r="F56" s="19" t="str">
        <f aca="false">IF(OR(E55="",E56=""),"",E56/E55-1)</f>
        <v/>
      </c>
      <c r="G56" s="19" t="str">
        <f aca="false">IF(E56="","",E56/MAX(E$5:E56)-1)</f>
        <v/>
      </c>
      <c r="H56" s="15" t="str">
        <f aca="false"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/>
      </c>
      <c r="I56" s="19" t="str">
        <f aca="false">IF(OR(H55="",H56=""),"",H56/H55-1)</f>
        <v/>
      </c>
      <c r="J56" s="19" t="str">
        <f aca="false">IF(H56="","",H56/MAX(H$5:H56)-1)</f>
        <v/>
      </c>
      <c r="K56" s="15" t="str">
        <f aca="false"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f>
        <v/>
      </c>
      <c r="L56" s="19" t="str">
        <f aca="false">IF(OR(K55="",K56=""),"",K56/K55-1)</f>
        <v/>
      </c>
      <c r="M56" s="19" t="str">
        <f aca="false">IF(K56="","",K56/MAX(K$5:K56)-1)</f>
        <v/>
      </c>
      <c r="N56" s="15" t="str">
        <f aca="false"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f>
        <v/>
      </c>
      <c r="O56" s="19" t="str">
        <f aca="false">IF(OR(N55="",N56=""),"",N56/N55-1)</f>
        <v/>
      </c>
      <c r="P56" s="19" t="str">
        <f aca="false">IF(N56="","",N56/MAX(N$5:N56)-1)</f>
        <v/>
      </c>
      <c r="Q56" s="15" t="str">
        <f aca="false"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f>
        <v/>
      </c>
      <c r="R56" s="19" t="str">
        <f aca="false">IF(OR(Q55="",Q56=""),"",Q56/Q55-1)</f>
        <v/>
      </c>
      <c r="S56" s="19" t="str">
        <f aca="false">IF(Q56="","",Q56/MAX(Q$5:Q56)-1)</f>
        <v/>
      </c>
    </row>
    <row r="57" customFormat="false" ht="13.5" hidden="false" customHeight="false" outlineLevel="0" collapsed="false">
      <c r="A57" s="18" t="str">
        <f aca="false">IF('实盘净值数据(iFinD公式)'!A57="","",'实盘净值数据(iFinD公式)'!A57)</f>
        <v/>
      </c>
      <c r="B57" s="15" t="str">
        <f aca="false"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/>
      </c>
      <c r="C57" s="19" t="str">
        <f aca="false">IF(OR(B56="",B57=""),"",B57/B56-1)</f>
        <v/>
      </c>
      <c r="D57" s="19" t="str">
        <f aca="false">IF(B57="","",B57/MAX(B$5:B57)-1)</f>
        <v/>
      </c>
      <c r="E57" s="15" t="str">
        <f aca="false"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/>
      </c>
      <c r="F57" s="19" t="str">
        <f aca="false">IF(OR(E56="",E57=""),"",E57/E56-1)</f>
        <v/>
      </c>
      <c r="G57" s="19" t="str">
        <f aca="false">IF(E57="","",E57/MAX(E$5:E57)-1)</f>
        <v/>
      </c>
      <c r="H57" s="15" t="str">
        <f aca="false"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/>
      </c>
      <c r="I57" s="19" t="str">
        <f aca="false">IF(OR(H56="",H57=""),"",H57/H56-1)</f>
        <v/>
      </c>
      <c r="J57" s="19" t="str">
        <f aca="false">IF(H57="","",H57/MAX(H$5:H57)-1)</f>
        <v/>
      </c>
      <c r="K57" s="15" t="str">
        <f aca="false"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f>
        <v/>
      </c>
      <c r="L57" s="19" t="str">
        <f aca="false">IF(OR(K56="",K57=""),"",K57/K56-1)</f>
        <v/>
      </c>
      <c r="M57" s="19" t="str">
        <f aca="false">IF(K57="","",K57/MAX(K$5:K57)-1)</f>
        <v/>
      </c>
      <c r="N57" s="15" t="str">
        <f aca="false"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f>
        <v/>
      </c>
      <c r="O57" s="19" t="str">
        <f aca="false">IF(OR(N56="",N57=""),"",N57/N56-1)</f>
        <v/>
      </c>
      <c r="P57" s="19" t="str">
        <f aca="false">IF(N57="","",N57/MAX(N$5:N57)-1)</f>
        <v/>
      </c>
      <c r="Q57" s="15" t="str">
        <f aca="false"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f>
        <v/>
      </c>
      <c r="R57" s="19" t="str">
        <f aca="false">IF(OR(Q56="",Q57=""),"",Q57/Q56-1)</f>
        <v/>
      </c>
      <c r="S57" s="19" t="str">
        <f aca="false">IF(Q57="","",Q57/MAX(Q$5:Q57)-1)</f>
        <v/>
      </c>
    </row>
    <row r="58" customFormat="false" ht="13.5" hidden="false" customHeight="false" outlineLevel="0" collapsed="false">
      <c r="A58" s="18" t="str">
        <f aca="false">IF('实盘净值数据(iFinD公式)'!A58="","",'实盘净值数据(iFinD公式)'!A58)</f>
        <v/>
      </c>
      <c r="B58" s="15" t="str">
        <f aca="false"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/>
      </c>
      <c r="C58" s="19" t="str">
        <f aca="false">IF(OR(B57="",B58=""),"",B58/B57-1)</f>
        <v/>
      </c>
      <c r="D58" s="19" t="str">
        <f aca="false">IF(B58="","",B58/MAX(B$5:B58)-1)</f>
        <v/>
      </c>
      <c r="E58" s="15" t="str">
        <f aca="false"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/>
      </c>
      <c r="F58" s="19" t="str">
        <f aca="false">IF(OR(E57="",E58=""),"",E58/E57-1)</f>
        <v/>
      </c>
      <c r="G58" s="19" t="str">
        <f aca="false">IF(E58="","",E58/MAX(E$5:E58)-1)</f>
        <v/>
      </c>
      <c r="H58" s="15" t="str">
        <f aca="false"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/>
      </c>
      <c r="I58" s="19" t="str">
        <f aca="false">IF(OR(H57="",H58=""),"",H58/H57-1)</f>
        <v/>
      </c>
      <c r="J58" s="19" t="str">
        <f aca="false">IF(H58="","",H58/MAX(H$5:H58)-1)</f>
        <v/>
      </c>
      <c r="K58" s="15" t="str">
        <f aca="false"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f>
        <v/>
      </c>
      <c r="L58" s="19" t="str">
        <f aca="false">IF(OR(K57="",K58=""),"",K58/K57-1)</f>
        <v/>
      </c>
      <c r="M58" s="19" t="str">
        <f aca="false">IF(K58="","",K58/MAX(K$5:K58)-1)</f>
        <v/>
      </c>
      <c r="N58" s="15" t="str">
        <f aca="false"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f>
        <v/>
      </c>
      <c r="O58" s="19" t="str">
        <f aca="false">IF(OR(N57="",N58=""),"",N58/N57-1)</f>
        <v/>
      </c>
      <c r="P58" s="19" t="str">
        <f aca="false">IF(N58="","",N58/MAX(N$5:N58)-1)</f>
        <v/>
      </c>
      <c r="Q58" s="15" t="str">
        <f aca="false"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f>
        <v/>
      </c>
      <c r="R58" s="19" t="str">
        <f aca="false">IF(OR(Q57="",Q58=""),"",Q58/Q57-1)</f>
        <v/>
      </c>
      <c r="S58" s="19" t="str">
        <f aca="false">IF(Q58="","",Q58/MAX(Q$5:Q58)-1)</f>
        <v/>
      </c>
    </row>
    <row r="59" customFormat="false" ht="13.5" hidden="false" customHeight="false" outlineLevel="0" collapsed="false">
      <c r="A59" s="18" t="str">
        <f aca="false">IF('实盘净值数据(iFinD公式)'!A59="","",'实盘净值数据(iFinD公式)'!A59)</f>
        <v/>
      </c>
      <c r="B59" s="15" t="str">
        <f aca="false"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/>
      </c>
      <c r="C59" s="19" t="str">
        <f aca="false">IF(OR(B58="",B59=""),"",B59/B58-1)</f>
        <v/>
      </c>
      <c r="D59" s="19" t="str">
        <f aca="false">IF(B59="","",B59/MAX(B$5:B59)-1)</f>
        <v/>
      </c>
      <c r="E59" s="15" t="str">
        <f aca="false"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/>
      </c>
      <c r="F59" s="19" t="str">
        <f aca="false">IF(OR(E58="",E59=""),"",E59/E58-1)</f>
        <v/>
      </c>
      <c r="G59" s="19" t="str">
        <f aca="false">IF(E59="","",E59/MAX(E$5:E59)-1)</f>
        <v/>
      </c>
      <c r="H59" s="15" t="str">
        <f aca="false"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/>
      </c>
      <c r="I59" s="19" t="str">
        <f aca="false">IF(OR(H58="",H59=""),"",H59/H58-1)</f>
        <v/>
      </c>
      <c r="J59" s="19" t="str">
        <f aca="false">IF(H59="","",H59/MAX(H$5:H59)-1)</f>
        <v/>
      </c>
      <c r="K59" s="15" t="str">
        <f aca="false"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f>
        <v/>
      </c>
      <c r="L59" s="19" t="str">
        <f aca="false">IF(OR(K58="",K59=""),"",K59/K58-1)</f>
        <v/>
      </c>
      <c r="M59" s="19" t="str">
        <f aca="false">IF(K59="","",K59/MAX(K$5:K59)-1)</f>
        <v/>
      </c>
      <c r="N59" s="15" t="str">
        <f aca="false"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f>
        <v/>
      </c>
      <c r="O59" s="19" t="str">
        <f aca="false">IF(OR(N58="",N59=""),"",N59/N58-1)</f>
        <v/>
      </c>
      <c r="P59" s="19" t="str">
        <f aca="false">IF(N59="","",N59/MAX(N$5:N59)-1)</f>
        <v/>
      </c>
      <c r="Q59" s="15" t="str">
        <f aca="false"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f>
        <v/>
      </c>
      <c r="R59" s="19" t="str">
        <f aca="false">IF(OR(Q58="",Q59=""),"",Q59/Q58-1)</f>
        <v/>
      </c>
      <c r="S59" s="19" t="str">
        <f aca="false">IF(Q59="","",Q59/MAX(Q$5:Q59)-1)</f>
        <v/>
      </c>
    </row>
    <row r="61" customFormat="false" ht="14.25" hidden="false" customHeight="true" outlineLevel="0" collapsed="false">
      <c r="A61" s="11" t="s">
        <v>74</v>
      </c>
    </row>
  </sheetData>
  <mergeCells count="1">
    <mergeCell ref="A1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37.59"/>
    <col collapsed="false" customWidth="true" hidden="false" outlineLevel="0" max="6" min="2" style="0" width="9.27"/>
    <col collapsed="false" customWidth="true" hidden="false" outlineLevel="0" max="7" min="7" style="0" width="24.32"/>
    <col collapsed="false" customWidth="true" hidden="false" outlineLevel="0" max="8" min="8" style="0" width="16.25"/>
    <col collapsed="false" customWidth="true" hidden="false" outlineLevel="0" max="25" min="9" style="0" width="9.27"/>
    <col collapsed="false" customWidth="true" hidden="false" outlineLevel="0" max="27" min="27" style="0" width="21.93"/>
    <col collapsed="false" customWidth="true" hidden="false" outlineLevel="0" max="28" min="28" style="0" width="14.26"/>
  </cols>
  <sheetData>
    <row r="1" customFormat="false" ht="13.5" hidden="false" customHeight="false" outlineLevel="0" collapsed="false">
      <c r="A1" s="0" t="s">
        <v>75</v>
      </c>
    </row>
    <row r="2" customFormat="false" ht="13.5" hidden="false" customHeight="false" outlineLevel="0" collapsed="false">
      <c r="A2" s="0" t="s">
        <v>1</v>
      </c>
      <c r="B2" s="22" t="s">
        <v>76</v>
      </c>
      <c r="C2" s="22" t="s">
        <v>77</v>
      </c>
      <c r="D2" s="22" t="s">
        <v>78</v>
      </c>
      <c r="E2" s="22" t="s">
        <v>79</v>
      </c>
      <c r="F2" s="22" t="s">
        <v>80</v>
      </c>
      <c r="G2" s="22" t="s">
        <v>81</v>
      </c>
      <c r="H2" s="22" t="s">
        <v>82</v>
      </c>
      <c r="I2" s="0" t="s">
        <v>9</v>
      </c>
      <c r="J2" s="22" t="s">
        <v>83</v>
      </c>
      <c r="K2" s="22" t="s">
        <v>84</v>
      </c>
      <c r="L2" s="22" t="s">
        <v>85</v>
      </c>
      <c r="M2" s="22" t="s">
        <v>86</v>
      </c>
      <c r="N2" s="22" t="s">
        <v>87</v>
      </c>
      <c r="O2" s="22" t="s">
        <v>88</v>
      </c>
      <c r="P2" s="22" t="s">
        <v>89</v>
      </c>
      <c r="Q2" s="22" t="s">
        <v>90</v>
      </c>
      <c r="R2" s="22" t="s">
        <v>91</v>
      </c>
      <c r="S2" s="22" t="s">
        <v>92</v>
      </c>
      <c r="T2" s="22" t="s">
        <v>93</v>
      </c>
      <c r="U2" s="22" t="s">
        <v>94</v>
      </c>
      <c r="V2" s="22" t="s">
        <v>95</v>
      </c>
      <c r="W2" s="22" t="s">
        <v>96</v>
      </c>
      <c r="X2" s="22" t="s">
        <v>97</v>
      </c>
      <c r="Y2" s="0" t="s">
        <v>62</v>
      </c>
      <c r="Z2" s="0" t="s">
        <v>25</v>
      </c>
      <c r="AA2" s="0" t="s">
        <v>98</v>
      </c>
      <c r="AB2" s="22" t="s">
        <v>99</v>
      </c>
    </row>
    <row r="3" customFormat="false" ht="13.5" hidden="false" customHeight="false" outlineLevel="0" collapsed="false">
      <c r="A3" s="0" t="s">
        <v>28</v>
      </c>
      <c r="B3" s="23" t="s">
        <v>100</v>
      </c>
      <c r="C3" s="23" t="s">
        <v>101</v>
      </c>
      <c r="D3" s="23" t="s">
        <v>102</v>
      </c>
      <c r="E3" s="23" t="s">
        <v>103</v>
      </c>
      <c r="F3" s="23" t="s">
        <v>104</v>
      </c>
      <c r="G3" s="23" t="s">
        <v>105</v>
      </c>
      <c r="H3" s="23" t="s">
        <v>106</v>
      </c>
      <c r="I3" s="23" t="s">
        <v>107</v>
      </c>
      <c r="J3" s="23" t="s">
        <v>108</v>
      </c>
      <c r="K3" s="23" t="s">
        <v>109</v>
      </c>
      <c r="L3" s="23" t="s">
        <v>110</v>
      </c>
      <c r="M3" s="23" t="s">
        <v>111</v>
      </c>
      <c r="N3" s="23" t="s">
        <v>112</v>
      </c>
      <c r="O3" s="23" t="s">
        <v>113</v>
      </c>
      <c r="P3" s="23" t="s">
        <v>114</v>
      </c>
      <c r="Q3" s="23" t="s">
        <v>115</v>
      </c>
      <c r="R3" s="23" t="s">
        <v>116</v>
      </c>
      <c r="S3" s="23" t="s">
        <v>117</v>
      </c>
      <c r="T3" s="23" t="s">
        <v>118</v>
      </c>
      <c r="U3" s="23" t="s">
        <v>119</v>
      </c>
      <c r="V3" s="23" t="s">
        <v>120</v>
      </c>
      <c r="W3" s="23" t="s">
        <v>121</v>
      </c>
      <c r="X3" s="23" t="s">
        <v>122</v>
      </c>
      <c r="Y3" s="23" t="s">
        <v>123</v>
      </c>
    </row>
    <row r="5" customFormat="false" ht="13.5" hidden="false" customHeight="false" outlineLevel="0" collapsed="false">
      <c r="A5" s="22" t="s">
        <v>124</v>
      </c>
      <c r="B5" s="24" t="n">
        <f aca="false">实盘持仓配置!B4</f>
        <v>0</v>
      </c>
      <c r="C5" s="24" t="n">
        <f aca="false">实盘持仓配置!C4</f>
        <v>0.02</v>
      </c>
      <c r="D5" s="24" t="n">
        <f aca="false">实盘持仓配置!D4</f>
        <v>0.19</v>
      </c>
      <c r="E5" s="24" t="n">
        <f aca="false">实盘持仓配置!E4</f>
        <v>0</v>
      </c>
      <c r="F5" s="24" t="n">
        <f aca="false">实盘持仓配置!F4</f>
        <v>0</v>
      </c>
      <c r="G5" s="24" t="n">
        <f aca="false">实盘持仓配置!G4</f>
        <v>0.11</v>
      </c>
      <c r="H5" s="24" t="n">
        <f aca="false">实盘持仓配置!H4</f>
        <v>0</v>
      </c>
      <c r="I5" s="24" t="n">
        <f aca="false">实盘持仓配置!I4</f>
        <v>0</v>
      </c>
      <c r="J5" s="24" t="n">
        <f aca="false">实盘持仓配置!J4</f>
        <v>0.19</v>
      </c>
      <c r="K5" s="24" t="n">
        <f aca="false">实盘持仓配置!K4</f>
        <v>0</v>
      </c>
      <c r="L5" s="24" t="n">
        <f aca="false">实盘持仓配置!L4</f>
        <v>0</v>
      </c>
      <c r="M5" s="24" t="n">
        <f aca="false">实盘持仓配置!M4</f>
        <v>0</v>
      </c>
      <c r="N5" s="24" t="n">
        <f aca="false">实盘持仓配置!N4</f>
        <v>0</v>
      </c>
      <c r="O5" s="24" t="n">
        <f aca="false">实盘持仓配置!O4</f>
        <v>0</v>
      </c>
      <c r="P5" s="24" t="n">
        <f aca="false">实盘持仓配置!P4</f>
        <v>0.19</v>
      </c>
      <c r="Q5" s="24" t="n">
        <f aca="false">实盘持仓配置!Q4</f>
        <v>0.19</v>
      </c>
      <c r="R5" s="24" t="n">
        <f aca="false">实盘持仓配置!R4</f>
        <v>0</v>
      </c>
      <c r="S5" s="24" t="n">
        <f aca="false">实盘持仓配置!S4</f>
        <v>0</v>
      </c>
      <c r="T5" s="24" t="n">
        <f aca="false">实盘持仓配置!T4</f>
        <v>0.11</v>
      </c>
      <c r="U5" s="24" t="n">
        <f aca="false">实盘持仓配置!U4</f>
        <v>0</v>
      </c>
      <c r="V5" s="24" t="n">
        <f aca="false">实盘持仓配置!V4</f>
        <v>0</v>
      </c>
      <c r="W5" s="24" t="n">
        <f aca="false">实盘持仓配置!W4</f>
        <v>0</v>
      </c>
      <c r="X5" s="24" t="n">
        <f aca="false">实盘持仓配置!X4</f>
        <v>0</v>
      </c>
      <c r="Y5" s="0" t="n">
        <v>0</v>
      </c>
      <c r="Z5" s="0" t="n">
        <f aca="false">SUM(B5:Y5)</f>
        <v>1</v>
      </c>
      <c r="AA5" s="25" t="n">
        <v>46195</v>
      </c>
    </row>
    <row r="6" customFormat="false" ht="13.5" hidden="false" customHeight="false" outlineLevel="0" collapsed="false">
      <c r="A6" s="22" t="s">
        <v>125</v>
      </c>
      <c r="B6" s="24" t="n">
        <f aca="false">实盘持仓配置!B5</f>
        <v>0</v>
      </c>
      <c r="C6" s="24" t="n">
        <f aca="false">实盘持仓配置!C5</f>
        <v>0.02</v>
      </c>
      <c r="D6" s="24" t="n">
        <f aca="false">实盘持仓配置!D5</f>
        <v>0.19</v>
      </c>
      <c r="E6" s="24" t="n">
        <f aca="false">实盘持仓配置!E5</f>
        <v>0</v>
      </c>
      <c r="F6" s="24" t="n">
        <f aca="false">实盘持仓配置!F5</f>
        <v>0</v>
      </c>
      <c r="G6" s="24" t="n">
        <f aca="false">实盘持仓配置!G5</f>
        <v>0.11</v>
      </c>
      <c r="H6" s="24" t="n">
        <f aca="false">实盘持仓配置!H5</f>
        <v>0</v>
      </c>
      <c r="I6" s="24" t="n">
        <f aca="false">实盘持仓配置!I5</f>
        <v>0</v>
      </c>
      <c r="J6" s="24" t="n">
        <f aca="false">实盘持仓配置!J5</f>
        <v>0.19</v>
      </c>
      <c r="K6" s="24" t="n">
        <f aca="false">实盘持仓配置!K5</f>
        <v>0</v>
      </c>
      <c r="L6" s="24" t="n">
        <f aca="false">实盘持仓配置!L5</f>
        <v>0</v>
      </c>
      <c r="M6" s="24" t="n">
        <f aca="false">实盘持仓配置!M5</f>
        <v>0</v>
      </c>
      <c r="N6" s="24" t="n">
        <f aca="false">实盘持仓配置!N5</f>
        <v>0</v>
      </c>
      <c r="O6" s="24" t="n">
        <f aca="false">实盘持仓配置!O5</f>
        <v>0</v>
      </c>
      <c r="P6" s="24" t="n">
        <f aca="false">实盘持仓配置!P5</f>
        <v>0.19</v>
      </c>
      <c r="Q6" s="24" t="n">
        <f aca="false">实盘持仓配置!Q5</f>
        <v>0.19</v>
      </c>
      <c r="R6" s="24" t="n">
        <f aca="false">实盘持仓配置!R5</f>
        <v>0</v>
      </c>
      <c r="S6" s="24" t="n">
        <f aca="false">实盘持仓配置!S5</f>
        <v>0</v>
      </c>
      <c r="T6" s="24" t="n">
        <f aca="false">实盘持仓配置!T5</f>
        <v>0.11</v>
      </c>
      <c r="U6" s="24" t="n">
        <f aca="false">实盘持仓配置!U5</f>
        <v>0</v>
      </c>
      <c r="V6" s="24" t="n">
        <f aca="false">实盘持仓配置!V5</f>
        <v>0</v>
      </c>
      <c r="W6" s="24" t="n">
        <f aca="false">实盘持仓配置!W5</f>
        <v>0</v>
      </c>
      <c r="X6" s="24" t="n">
        <f aca="false">实盘持仓配置!X5</f>
        <v>0</v>
      </c>
      <c r="Y6" s="0" t="n">
        <v>0</v>
      </c>
      <c r="Z6" s="0" t="n">
        <f aca="false">SUM(B6:Y6)</f>
        <v>1</v>
      </c>
      <c r="AA6" s="25" t="n">
        <v>46191</v>
      </c>
    </row>
    <row r="7" customFormat="false" ht="13.5" hidden="false" customHeight="false" outlineLevel="0" collapsed="false">
      <c r="A7" s="22" t="s">
        <v>126</v>
      </c>
      <c r="B7" s="24" t="n">
        <f aca="false">实盘持仓配置!B6</f>
        <v>0</v>
      </c>
      <c r="C7" s="24" t="n">
        <f aca="false">实盘持仓配置!C6</f>
        <v>0.02</v>
      </c>
      <c r="D7" s="24" t="n">
        <f aca="false">实盘持仓配置!D6</f>
        <v>0</v>
      </c>
      <c r="E7" s="24" t="n">
        <f aca="false">实盘持仓配置!E6</f>
        <v>0</v>
      </c>
      <c r="F7" s="24" t="n">
        <f aca="false">实盘持仓配置!F6</f>
        <v>0</v>
      </c>
      <c r="G7" s="24" t="n">
        <f aca="false">实盘持仓配置!G6</f>
        <v>0</v>
      </c>
      <c r="H7" s="24" t="n">
        <f aca="false">实盘持仓配置!H6</f>
        <v>0.11</v>
      </c>
      <c r="I7" s="24" t="n">
        <f aca="false">实盘持仓配置!I6</f>
        <v>0.19</v>
      </c>
      <c r="J7" s="24" t="n">
        <f aca="false">实盘持仓配置!J6</f>
        <v>0</v>
      </c>
      <c r="K7" s="24" t="n">
        <f aca="false">实盘持仓配置!K6</f>
        <v>0.19</v>
      </c>
      <c r="L7" s="24" t="n">
        <f aca="false">实盘持仓配置!L6</f>
        <v>0</v>
      </c>
      <c r="M7" s="24" t="n">
        <f aca="false">实盘持仓配置!M6</f>
        <v>0</v>
      </c>
      <c r="N7" s="24" t="n">
        <f aca="false">实盘持仓配置!N6</f>
        <v>0</v>
      </c>
      <c r="O7" s="24" t="n">
        <f aca="false">实盘持仓配置!O6</f>
        <v>0</v>
      </c>
      <c r="P7" s="24" t="n">
        <f aca="false">实盘持仓配置!P6</f>
        <v>0</v>
      </c>
      <c r="Q7" s="24" t="n">
        <f aca="false">实盘持仓配置!Q6</f>
        <v>0</v>
      </c>
      <c r="R7" s="24" t="n">
        <f aca="false">实盘持仓配置!R6</f>
        <v>0.19</v>
      </c>
      <c r="S7" s="24" t="n">
        <f aca="false">实盘持仓配置!S6</f>
        <v>0.19</v>
      </c>
      <c r="T7" s="24" t="n">
        <f aca="false">实盘持仓配置!T6</f>
        <v>0</v>
      </c>
      <c r="U7" s="24" t="n">
        <f aca="false">实盘持仓配置!U6</f>
        <v>0.11</v>
      </c>
      <c r="V7" s="24" t="n">
        <f aca="false">实盘持仓配置!V6</f>
        <v>0</v>
      </c>
      <c r="W7" s="24" t="n">
        <f aca="false">实盘持仓配置!W6</f>
        <v>0</v>
      </c>
      <c r="X7" s="24" t="n">
        <f aca="false">实盘持仓配置!X6</f>
        <v>0</v>
      </c>
      <c r="Y7" s="0" t="n">
        <v>0</v>
      </c>
      <c r="Z7" s="0" t="n">
        <f aca="false">SUM(B7:Y7)</f>
        <v>1</v>
      </c>
      <c r="AA7" s="25" t="n">
        <v>46196</v>
      </c>
    </row>
    <row r="8" customFormat="false" ht="13.5" hidden="false" customHeight="false" outlineLevel="0" collapsed="false">
      <c r="A8" s="26" t="s">
        <v>127</v>
      </c>
      <c r="B8" s="24" t="n">
        <f aca="false">实盘持仓配置!B7</f>
        <v>0.05</v>
      </c>
      <c r="C8" s="24" t="n">
        <f aca="false">实盘持仓配置!C7</f>
        <v>0.02</v>
      </c>
      <c r="D8" s="24" t="n">
        <f aca="false">实盘持仓配置!D7</f>
        <v>0</v>
      </c>
      <c r="E8" s="24" t="n">
        <f aca="false">实盘持仓配置!E7</f>
        <v>0</v>
      </c>
      <c r="F8" s="24" t="n">
        <f aca="false">实盘持仓配置!F7</f>
        <v>0.0125</v>
      </c>
      <c r="G8" s="24" t="n">
        <f aca="false">实盘持仓配置!G7</f>
        <v>0</v>
      </c>
      <c r="H8" s="24" t="n">
        <f aca="false">实盘持仓配置!H7</f>
        <v>0.005</v>
      </c>
      <c r="I8" s="24" t="n">
        <f aca="false">实盘持仓配置!I7</f>
        <v>0.01</v>
      </c>
      <c r="J8" s="24" t="n">
        <f aca="false">实盘持仓配置!J7</f>
        <v>0</v>
      </c>
      <c r="K8" s="24" t="n">
        <f aca="false">实盘持仓配置!K7</f>
        <v>0.01</v>
      </c>
      <c r="L8" s="24" t="n">
        <f aca="false">实盘持仓配置!L7</f>
        <v>0</v>
      </c>
      <c r="M8" s="24" t="n">
        <f aca="false">实盘持仓配置!M7</f>
        <v>0.0125</v>
      </c>
      <c r="N8" s="24" t="n">
        <f aca="false">实盘持仓配置!N7</f>
        <v>0</v>
      </c>
      <c r="O8" s="24" t="n">
        <f aca="false">实盘持仓配置!O7</f>
        <v>0.0125</v>
      </c>
      <c r="P8" s="24" t="n">
        <f aca="false">实盘持仓配置!P7</f>
        <v>0</v>
      </c>
      <c r="Q8" s="24" t="n">
        <f aca="false">实盘持仓配置!Q7</f>
        <v>0</v>
      </c>
      <c r="R8" s="24" t="n">
        <f aca="false">实盘持仓配置!R7</f>
        <v>0.01</v>
      </c>
      <c r="S8" s="24" t="n">
        <f aca="false">实盘持仓配置!S7</f>
        <v>0.01</v>
      </c>
      <c r="T8" s="24" t="n">
        <f aca="false">实盘持仓配置!T7</f>
        <v>0</v>
      </c>
      <c r="U8" s="24" t="n">
        <f aca="false">实盘持仓配置!U7</f>
        <v>0.005</v>
      </c>
      <c r="V8" s="24" t="n">
        <f aca="false">实盘持仓配置!V7</f>
        <v>0</v>
      </c>
      <c r="W8" s="24" t="n">
        <f aca="false">实盘持仓配置!W7</f>
        <v>0.0125</v>
      </c>
      <c r="X8" s="24" t="n">
        <f aca="false">实盘持仓配置!X7</f>
        <v>0.83</v>
      </c>
      <c r="Y8" s="0" t="n">
        <v>0</v>
      </c>
      <c r="Z8" s="0" t="n">
        <f aca="false">SUM(B8:Y8)</f>
        <v>1</v>
      </c>
      <c r="AA8" s="25" t="n">
        <v>46197</v>
      </c>
    </row>
    <row r="9" customFormat="false" ht="13.5" hidden="false" customHeight="false" outlineLevel="0" collapsed="false">
      <c r="A9" s="26" t="s">
        <v>128</v>
      </c>
      <c r="B9" s="0" t="e">
        <f aca="false">B$8*'实盘净值数据(iFinD公式)'!B$13/'实盘净值数据(iFinD公式)'!B$8/$AB$9</f>
        <v>#VALUE!</v>
      </c>
      <c r="C9" s="0" t="e">
        <f aca="false">C$8*'实盘净值数据(iFinD公式)'!C$13/'实盘净值数据(iFinD公式)'!C$8/$AB$9-0.01</f>
        <v>#VALUE!</v>
      </c>
      <c r="D9" s="0" t="e">
        <f aca="false">D$8*'实盘净值数据(iFinD公式)'!D$13/'实盘净值数据(iFinD公式)'!D$8/$AB$9</f>
        <v>#VALUE!</v>
      </c>
      <c r="E9" s="0" t="e">
        <f aca="false">E$8*'实盘净值数据(iFinD公式)'!E$13/'实盘净值数据(iFinD公式)'!E$8/$AB$9</f>
        <v>#VALUE!</v>
      </c>
      <c r="F9" s="0" t="e">
        <f aca="false">F$8*'实盘净值数据(iFinD公式)'!F$13/'实盘净值数据(iFinD公式)'!F$8/$AB$9</f>
        <v>#VALUE!</v>
      </c>
      <c r="G9" s="0" t="e">
        <f aca="false">G$8*'实盘净值数据(iFinD公式)'!G$13/'实盘净值数据(iFinD公式)'!G$8/$AB$9</f>
        <v>#VALUE!</v>
      </c>
      <c r="H9" s="0" t="e">
        <f aca="false">H$8*'实盘净值数据(iFinD公式)'!H$13/'实盘净值数据(iFinD公式)'!H$8/$AB$9</f>
        <v>#VALUE!</v>
      </c>
      <c r="I9" s="0" t="e">
        <f aca="false">I$8*'实盘净值数据(iFinD公式)'!I$13/'实盘净值数据(iFinD公式)'!I$8/$AB$9</f>
        <v>#VALUE!</v>
      </c>
      <c r="J9" s="0" t="e">
        <f aca="false">J$8*'实盘净值数据(iFinD公式)'!J$13/'实盘净值数据(iFinD公式)'!J$8/$AB$9</f>
        <v>#VALUE!</v>
      </c>
      <c r="K9" s="0" t="e">
        <f aca="false">K$8*'实盘净值数据(iFinD公式)'!K$13/'实盘净值数据(iFinD公式)'!K$8/$AB$9</f>
        <v>#VALUE!</v>
      </c>
      <c r="L9" s="0" t="e">
        <f aca="false">L$8*'实盘净值数据(iFinD公式)'!L$13/'实盘净值数据(iFinD公式)'!L$8/$AB$9</f>
        <v>#VALUE!</v>
      </c>
      <c r="M9" s="0" t="e">
        <f aca="false">M$8*'实盘净值数据(iFinD公式)'!M$13/'实盘净值数据(iFinD公式)'!M$8/$AB$9</f>
        <v>#VALUE!</v>
      </c>
      <c r="N9" s="0" t="e">
        <f aca="false">N$8*'实盘净值数据(iFinD公式)'!N$13/'实盘净值数据(iFinD公式)'!N$8/$AB$9</f>
        <v>#VALUE!</v>
      </c>
      <c r="O9" s="0" t="e">
        <f aca="false">O$8*'实盘净值数据(iFinD公式)'!O$13/'实盘净值数据(iFinD公式)'!O$8/$AB$9</f>
        <v>#VALUE!</v>
      </c>
      <c r="P9" s="0" t="e">
        <f aca="false">P$8*'实盘净值数据(iFinD公式)'!P$13/'实盘净值数据(iFinD公式)'!P$8/$AB$9</f>
        <v>#VALUE!</v>
      </c>
      <c r="Q9" s="0" t="e">
        <f aca="false">Q$8*'实盘净值数据(iFinD公式)'!Q$13/'实盘净值数据(iFinD公式)'!Q$8/$AB$9</f>
        <v>#VALUE!</v>
      </c>
      <c r="R9" s="0" t="e">
        <f aca="false">R$8*'实盘净值数据(iFinD公式)'!R$13/'实盘净值数据(iFinD公式)'!R$8/$AB$9</f>
        <v>#VALUE!</v>
      </c>
      <c r="S9" s="0" t="e">
        <f aca="false">S$8*'实盘净值数据(iFinD公式)'!S$13/'实盘净值数据(iFinD公式)'!S$8/$AB$9</f>
        <v>#VALUE!</v>
      </c>
      <c r="T9" s="0" t="e">
        <f aca="false">T$8*'实盘净值数据(iFinD公式)'!T$13/'实盘净值数据(iFinD公式)'!T$8/$AB$9</f>
        <v>#VALUE!</v>
      </c>
      <c r="U9" s="0" t="e">
        <f aca="false">U$8*'实盘净值数据(iFinD公式)'!U$13/'实盘净值数据(iFinD公式)'!U$8/$AB$9</f>
        <v>#VALUE!</v>
      </c>
      <c r="V9" s="0" t="e">
        <f aca="false">V$8*'实盘净值数据(iFinD公式)'!V$13/'实盘净值数据(iFinD公式)'!V$8/$AB$9</f>
        <v>#VALUE!</v>
      </c>
      <c r="W9" s="0" t="e">
        <f aca="false">W$8*'实盘净值数据(iFinD公式)'!W$13/'实盘净值数据(iFinD公式)'!W$8/$AB$9</f>
        <v>#VALUE!</v>
      </c>
      <c r="X9" s="0" t="e">
        <f aca="false">X$8*'实盘净值数据(iFinD公式)'!X$13/'实盘净值数据(iFinD公式)'!X$8/$AB$9</f>
        <v>#VALUE!</v>
      </c>
      <c r="Y9" s="0" t="e">
        <f aca="false">Y$8*'实盘净值数据(iFinD公式)'!Y$13/'实盘净值数据(iFinD公式)'!Y$8/$AB$9+0.01</f>
        <v>#VALUE!</v>
      </c>
      <c r="Z9" s="0" t="e">
        <f aca="false">SUM(B9:Y9)</f>
        <v>#VALUE!</v>
      </c>
      <c r="AA9" s="25" t="n">
        <v>46204</v>
      </c>
      <c r="AB9" s="0" t="e">
        <f aca="false">SUMPRODUCT($B$8:$Y$8,'实盘净值数据(iFinD公式)'!$B$13:$Y$13/'实盘净值数据(iFinD公式)'!$B$8:$Y$8)</f>
        <v>#VALUE!</v>
      </c>
    </row>
    <row r="10" customFormat="false" ht="13.5" hidden="false" customHeight="false" outlineLevel="0" collapsed="false">
      <c r="A10" s="26" t="s">
        <v>129</v>
      </c>
      <c r="B10" s="24" t="n">
        <f aca="false">实盘持仓配置!B8</f>
        <v>0.05</v>
      </c>
      <c r="C10" s="24" t="n">
        <f aca="false">实盘持仓配置!C8</f>
        <v>0.02</v>
      </c>
      <c r="D10" s="24" t="n">
        <f aca="false">实盘持仓配置!D8</f>
        <v>0.01</v>
      </c>
      <c r="E10" s="24" t="n">
        <f aca="false">实盘持仓配置!E8</f>
        <v>0.0125</v>
      </c>
      <c r="F10" s="24" t="n">
        <f aca="false">实盘持仓配置!F8</f>
        <v>0</v>
      </c>
      <c r="G10" s="24" t="n">
        <f aca="false">实盘持仓配置!G8</f>
        <v>0.005</v>
      </c>
      <c r="H10" s="24" t="n">
        <f aca="false">实盘持仓配置!H8</f>
        <v>0</v>
      </c>
      <c r="I10" s="24" t="n">
        <f aca="false">实盘持仓配置!I8</f>
        <v>0</v>
      </c>
      <c r="J10" s="24" t="n">
        <f aca="false">实盘持仓配置!J8</f>
        <v>0.01</v>
      </c>
      <c r="K10" s="24" t="n">
        <f aca="false">实盘持仓配置!K8</f>
        <v>0</v>
      </c>
      <c r="L10" s="24" t="n">
        <f aca="false">实盘持仓配置!L8</f>
        <v>0.0125</v>
      </c>
      <c r="M10" s="24" t="n">
        <f aca="false">实盘持仓配置!M8</f>
        <v>0</v>
      </c>
      <c r="N10" s="24" t="n">
        <f aca="false">实盘持仓配置!N8</f>
        <v>0.0125</v>
      </c>
      <c r="O10" s="24" t="n">
        <f aca="false">实盘持仓配置!O8</f>
        <v>0</v>
      </c>
      <c r="P10" s="24" t="n">
        <f aca="false">实盘持仓配置!P8</f>
        <v>0.01</v>
      </c>
      <c r="Q10" s="24" t="n">
        <f aca="false">实盘持仓配置!Q8</f>
        <v>0.01</v>
      </c>
      <c r="R10" s="24" t="n">
        <f aca="false">实盘持仓配置!R8</f>
        <v>0</v>
      </c>
      <c r="S10" s="24" t="n">
        <f aca="false">实盘持仓配置!S8</f>
        <v>0</v>
      </c>
      <c r="T10" s="24" t="n">
        <f aca="false">实盘持仓配置!T8</f>
        <v>0.005</v>
      </c>
      <c r="U10" s="24" t="n">
        <f aca="false">实盘持仓配置!U8</f>
        <v>0</v>
      </c>
      <c r="V10" s="24" t="n">
        <f aca="false">实盘持仓配置!V8</f>
        <v>0.0125</v>
      </c>
      <c r="W10" s="24" t="n">
        <f aca="false">实盘持仓配置!W8</f>
        <v>0</v>
      </c>
      <c r="X10" s="24" t="n">
        <f aca="false">实盘持仓配置!X8</f>
        <v>0.83</v>
      </c>
      <c r="Y10" s="0" t="n">
        <v>0</v>
      </c>
      <c r="Z10" s="0" t="n">
        <f aca="false">SUM(B10:Y10)</f>
        <v>1</v>
      </c>
      <c r="AA10" s="25" t="n">
        <v>46191</v>
      </c>
    </row>
    <row r="11" customFormat="false" ht="13.5" hidden="false" customHeight="false" outlineLevel="0" collapsed="false">
      <c r="A11" s="26" t="s">
        <v>130</v>
      </c>
      <c r="B11" s="0" t="e">
        <f aca="false">B$10*'实盘净值数据(iFinD公式)'!B$13/'实盘净值数据(iFinD公式)'!B$5/$AB$11</f>
        <v>#VALUE!</v>
      </c>
      <c r="C11" s="0" t="e">
        <f aca="false">C$10*'实盘净值数据(iFinD公式)'!C$13/'实盘净值数据(iFinD公式)'!C$5/$AB$11-0.01</f>
        <v>#VALUE!</v>
      </c>
      <c r="D11" s="0" t="e">
        <f aca="false">D$10*'实盘净值数据(iFinD公式)'!D$13/'实盘净值数据(iFinD公式)'!D$5/$AB$11</f>
        <v>#VALUE!</v>
      </c>
      <c r="E11" s="0" t="e">
        <f aca="false">E$10*'实盘净值数据(iFinD公式)'!E$13/'实盘净值数据(iFinD公式)'!E$5/$AB$11</f>
        <v>#VALUE!</v>
      </c>
      <c r="F11" s="0" t="e">
        <f aca="false">F$10*'实盘净值数据(iFinD公式)'!F$13/'实盘净值数据(iFinD公式)'!F$5/$AB$11</f>
        <v>#VALUE!</v>
      </c>
      <c r="G11" s="0" t="e">
        <f aca="false">G$10*'实盘净值数据(iFinD公式)'!G$13/'实盘净值数据(iFinD公式)'!G$5/$AB$11</f>
        <v>#VALUE!</v>
      </c>
      <c r="H11" s="0" t="e">
        <f aca="false">H$10*'实盘净值数据(iFinD公式)'!H$13/'实盘净值数据(iFinD公式)'!H$5/$AB$11</f>
        <v>#VALUE!</v>
      </c>
      <c r="I11" s="0" t="e">
        <f aca="false">I$10*'实盘净值数据(iFinD公式)'!I$13/'实盘净值数据(iFinD公式)'!I$5/$AB$11</f>
        <v>#VALUE!</v>
      </c>
      <c r="J11" s="0" t="e">
        <f aca="false">J$10*'实盘净值数据(iFinD公式)'!J$13/'实盘净值数据(iFinD公式)'!J$5/$AB$11</f>
        <v>#VALUE!</v>
      </c>
      <c r="K11" s="0" t="e">
        <f aca="false">K$10*'实盘净值数据(iFinD公式)'!K$13/'实盘净值数据(iFinD公式)'!K$5/$AB$11</f>
        <v>#VALUE!</v>
      </c>
      <c r="L11" s="0" t="e">
        <f aca="false">L$10*'实盘净值数据(iFinD公式)'!L$13/'实盘净值数据(iFinD公式)'!L$5/$AB$11</f>
        <v>#VALUE!</v>
      </c>
      <c r="M11" s="0" t="e">
        <f aca="false">M$10*'实盘净值数据(iFinD公式)'!M$13/'实盘净值数据(iFinD公式)'!M$5/$AB$11</f>
        <v>#VALUE!</v>
      </c>
      <c r="N11" s="0" t="e">
        <f aca="false">N$10*'实盘净值数据(iFinD公式)'!N$13/'实盘净值数据(iFinD公式)'!N$5/$AB$11</f>
        <v>#VALUE!</v>
      </c>
      <c r="O11" s="0" t="e">
        <f aca="false">O$10*'实盘净值数据(iFinD公式)'!O$13/'实盘净值数据(iFinD公式)'!O$5/$AB$11</f>
        <v>#VALUE!</v>
      </c>
      <c r="P11" s="0" t="e">
        <f aca="false">P$10*'实盘净值数据(iFinD公式)'!P$13/'实盘净值数据(iFinD公式)'!P$5/$AB$11</f>
        <v>#VALUE!</v>
      </c>
      <c r="Q11" s="0" t="e">
        <f aca="false">Q$10*'实盘净值数据(iFinD公式)'!Q$13/'实盘净值数据(iFinD公式)'!Q$5/$AB$11</f>
        <v>#VALUE!</v>
      </c>
      <c r="R11" s="0" t="e">
        <f aca="false">R$10*'实盘净值数据(iFinD公式)'!R$13/'实盘净值数据(iFinD公式)'!R$5/$AB$11</f>
        <v>#VALUE!</v>
      </c>
      <c r="S11" s="0" t="e">
        <f aca="false">S$10*'实盘净值数据(iFinD公式)'!S$13/'实盘净值数据(iFinD公式)'!S$5/$AB$11</f>
        <v>#VALUE!</v>
      </c>
      <c r="T11" s="0" t="e">
        <f aca="false">T$10*'实盘净值数据(iFinD公式)'!T$13/'实盘净值数据(iFinD公式)'!T$5/$AB$11</f>
        <v>#VALUE!</v>
      </c>
      <c r="U11" s="0" t="e">
        <f aca="false">U$10*'实盘净值数据(iFinD公式)'!U$13/'实盘净值数据(iFinD公式)'!U$5/$AB$11</f>
        <v>#VALUE!</v>
      </c>
      <c r="V11" s="0" t="e">
        <f aca="false">V$10*'实盘净值数据(iFinD公式)'!V$13/'实盘净值数据(iFinD公式)'!V$5/$AB$11</f>
        <v>#VALUE!</v>
      </c>
      <c r="W11" s="0" t="e">
        <f aca="false">W$10*'实盘净值数据(iFinD公式)'!W$13/'实盘净值数据(iFinD公式)'!W$5/$AB$11</f>
        <v>#VALUE!</v>
      </c>
      <c r="X11" s="0" t="e">
        <f aca="false">X$10*'实盘净值数据(iFinD公式)'!X$13/'实盘净值数据(iFinD公式)'!X$5/$AB$11</f>
        <v>#VALUE!</v>
      </c>
      <c r="Y11" s="0" t="e">
        <f aca="false">Y$10*'实盘净值数据(iFinD公式)'!Y$13/'实盘净值数据(iFinD公式)'!Y$5/$AB$11+0.01</f>
        <v>#VALUE!</v>
      </c>
      <c r="Z11" s="0" t="e">
        <f aca="false">SUM(B11:Y11)</f>
        <v>#VALUE!</v>
      </c>
      <c r="AA11" s="25" t="n">
        <v>46204</v>
      </c>
      <c r="AB11" s="0" t="e">
        <f aca="false">SUMPRODUCT($B$10:$Y$10,'实盘净值数据(iFinD公式)'!$B$13:$Y$13/'实盘净值数据(iFinD公式)'!$B$5:$Y$5)</f>
        <v>#VALUE!</v>
      </c>
    </row>
    <row r="12" customFormat="false" ht="13.5" hidden="false" customHeight="false" outlineLevel="0" collapsed="false">
      <c r="A12" s="26" t="s">
        <v>131</v>
      </c>
      <c r="B12" s="24" t="n">
        <f aca="false">实盘持仓配置!B9</f>
        <v>0.1</v>
      </c>
      <c r="C12" s="24" t="n">
        <f aca="false">实盘持仓配置!C9</f>
        <v>0.02</v>
      </c>
      <c r="D12" s="24" t="n">
        <f aca="false">实盘持仓配置!D9</f>
        <v>0</v>
      </c>
      <c r="E12" s="24" t="n">
        <f aca="false">实盘持仓配置!E9</f>
        <v>0</v>
      </c>
      <c r="F12" s="24" t="n">
        <f aca="false">实盘持仓配置!F9</f>
        <v>0.0375</v>
      </c>
      <c r="G12" s="24" t="n">
        <f aca="false">实盘持仓配置!G9</f>
        <v>0</v>
      </c>
      <c r="H12" s="24" t="n">
        <f aca="false">实盘持仓配置!H9</f>
        <v>0.015</v>
      </c>
      <c r="I12" s="24" t="n">
        <f aca="false">实盘持仓配置!I9</f>
        <v>0.03</v>
      </c>
      <c r="J12" s="24" t="n">
        <f aca="false">实盘持仓配置!J9</f>
        <v>0</v>
      </c>
      <c r="K12" s="24" t="n">
        <f aca="false">实盘持仓配置!K9</f>
        <v>0.03</v>
      </c>
      <c r="L12" s="24" t="n">
        <f aca="false">实盘持仓配置!L9</f>
        <v>0</v>
      </c>
      <c r="M12" s="24" t="n">
        <f aca="false">实盘持仓配置!M9</f>
        <v>0.0375</v>
      </c>
      <c r="N12" s="24" t="n">
        <f aca="false">实盘持仓配置!N9</f>
        <v>0</v>
      </c>
      <c r="O12" s="24" t="n">
        <f aca="false">实盘持仓配置!O9</f>
        <v>0.0375</v>
      </c>
      <c r="P12" s="24" t="n">
        <f aca="false">实盘持仓配置!P9</f>
        <v>0</v>
      </c>
      <c r="Q12" s="24" t="n">
        <f aca="false">实盘持仓配置!Q9</f>
        <v>0</v>
      </c>
      <c r="R12" s="24" t="n">
        <f aca="false">实盘持仓配置!R9</f>
        <v>0.03</v>
      </c>
      <c r="S12" s="24" t="n">
        <f aca="false">实盘持仓配置!S9</f>
        <v>0.03</v>
      </c>
      <c r="T12" s="24" t="n">
        <f aca="false">实盘持仓配置!T9</f>
        <v>0</v>
      </c>
      <c r="U12" s="24" t="n">
        <f aca="false">实盘持仓配置!U9</f>
        <v>0.015</v>
      </c>
      <c r="V12" s="24" t="n">
        <f aca="false">实盘持仓配置!V9</f>
        <v>0</v>
      </c>
      <c r="W12" s="24" t="n">
        <f aca="false">实盘持仓配置!W9</f>
        <v>0.0375</v>
      </c>
      <c r="X12" s="24" t="n">
        <f aca="false">实盘持仓配置!X9</f>
        <v>0.58</v>
      </c>
      <c r="Y12" s="0" t="n">
        <v>0</v>
      </c>
      <c r="Z12" s="0" t="n">
        <f aca="false">SUM(B12:Y12)</f>
        <v>1</v>
      </c>
      <c r="AA12" s="25" t="n">
        <v>46197</v>
      </c>
    </row>
    <row r="13" customFormat="false" ht="13.5" hidden="false" customHeight="false" outlineLevel="0" collapsed="false">
      <c r="A13" s="26" t="s">
        <v>132</v>
      </c>
      <c r="B13" s="0" t="e">
        <f aca="false">B$12*'实盘净值数据(iFinD公式)'!B$13/'实盘净值数据(iFinD公式)'!B$8/$AB$13</f>
        <v>#VALUE!</v>
      </c>
      <c r="C13" s="0" t="e">
        <f aca="false">C$12*'实盘净值数据(iFinD公式)'!C$13/'实盘净值数据(iFinD公式)'!C$8/$AB$13-0.015</f>
        <v>#VALUE!</v>
      </c>
      <c r="D13" s="0" t="e">
        <f aca="false">D$12*'实盘净值数据(iFinD公式)'!D$13/'实盘净值数据(iFinD公式)'!D$8/$AB$13</f>
        <v>#VALUE!</v>
      </c>
      <c r="E13" s="0" t="e">
        <f aca="false">E$12*'实盘净值数据(iFinD公式)'!E$13/'实盘净值数据(iFinD公式)'!E$8/$AB$13</f>
        <v>#VALUE!</v>
      </c>
      <c r="F13" s="0" t="e">
        <f aca="false">F$12*'实盘净值数据(iFinD公式)'!F$13/'实盘净值数据(iFinD公式)'!F$8/$AB$13</f>
        <v>#VALUE!</v>
      </c>
      <c r="G13" s="0" t="e">
        <f aca="false">G$12*'实盘净值数据(iFinD公式)'!G$13/'实盘净值数据(iFinD公式)'!G$8/$AB$13</f>
        <v>#VALUE!</v>
      </c>
      <c r="H13" s="0" t="e">
        <f aca="false">H$12*'实盘净值数据(iFinD公式)'!H$13/'实盘净值数据(iFinD公式)'!H$8/$AB$13</f>
        <v>#VALUE!</v>
      </c>
      <c r="I13" s="0" t="e">
        <f aca="false">I$12*'实盘净值数据(iFinD公式)'!I$13/'实盘净值数据(iFinD公式)'!I$8/$AB$13</f>
        <v>#VALUE!</v>
      </c>
      <c r="J13" s="0" t="e">
        <f aca="false">J$12*'实盘净值数据(iFinD公式)'!J$13/'实盘净值数据(iFinD公式)'!J$8/$AB$13</f>
        <v>#VALUE!</v>
      </c>
      <c r="K13" s="0" t="e">
        <f aca="false">K$12*'实盘净值数据(iFinD公式)'!K$13/'实盘净值数据(iFinD公式)'!K$8/$AB$13</f>
        <v>#VALUE!</v>
      </c>
      <c r="L13" s="0" t="e">
        <f aca="false">L$12*'实盘净值数据(iFinD公式)'!L$13/'实盘净值数据(iFinD公式)'!L$8/$AB$13</f>
        <v>#VALUE!</v>
      </c>
      <c r="M13" s="0" t="e">
        <f aca="false">M$12*'实盘净值数据(iFinD公式)'!M$13/'实盘净值数据(iFinD公式)'!M$8/$AB$13</f>
        <v>#VALUE!</v>
      </c>
      <c r="N13" s="0" t="e">
        <f aca="false">N$12*'实盘净值数据(iFinD公式)'!N$13/'实盘净值数据(iFinD公式)'!N$8/$AB$13</f>
        <v>#VALUE!</v>
      </c>
      <c r="O13" s="0" t="e">
        <f aca="false">O$12*'实盘净值数据(iFinD公式)'!O$13/'实盘净值数据(iFinD公式)'!O$8/$AB$13</f>
        <v>#VALUE!</v>
      </c>
      <c r="P13" s="0" t="e">
        <f aca="false">P$12*'实盘净值数据(iFinD公式)'!P$13/'实盘净值数据(iFinD公式)'!P$8/$AB$13</f>
        <v>#VALUE!</v>
      </c>
      <c r="Q13" s="0" t="e">
        <f aca="false">Q$12*'实盘净值数据(iFinD公式)'!Q$13/'实盘净值数据(iFinD公式)'!Q$8/$AB$13</f>
        <v>#VALUE!</v>
      </c>
      <c r="R13" s="0" t="e">
        <f aca="false">R$12*'实盘净值数据(iFinD公式)'!R$13/'实盘净值数据(iFinD公式)'!R$8/$AB$13</f>
        <v>#VALUE!</v>
      </c>
      <c r="S13" s="0" t="e">
        <f aca="false">S$12*'实盘净值数据(iFinD公式)'!S$13/'实盘净值数据(iFinD公式)'!S$8/$AB$13</f>
        <v>#VALUE!</v>
      </c>
      <c r="T13" s="0" t="e">
        <f aca="false">T$12*'实盘净值数据(iFinD公式)'!T$13/'实盘净值数据(iFinD公式)'!T$8/$AB$13</f>
        <v>#VALUE!</v>
      </c>
      <c r="U13" s="0" t="e">
        <f aca="false">U$12*'实盘净值数据(iFinD公式)'!U$13/'实盘净值数据(iFinD公式)'!U$8/$AB$13</f>
        <v>#VALUE!</v>
      </c>
      <c r="V13" s="0" t="e">
        <f aca="false">V$12*'实盘净值数据(iFinD公式)'!V$13/'实盘净值数据(iFinD公式)'!V$8/$AB$13</f>
        <v>#VALUE!</v>
      </c>
      <c r="W13" s="0" t="e">
        <f aca="false">W$12*'实盘净值数据(iFinD公式)'!W$13/'实盘净值数据(iFinD公式)'!W$8/$AB$13</f>
        <v>#VALUE!</v>
      </c>
      <c r="X13" s="0" t="e">
        <f aca="false">X$12*'实盘净值数据(iFinD公式)'!X$13/'实盘净值数据(iFinD公式)'!X$8/$AB$13</f>
        <v>#VALUE!</v>
      </c>
      <c r="Y13" s="0" t="e">
        <f aca="false">Y$12*'实盘净值数据(iFinD公式)'!Y$13/'实盘净值数据(iFinD公式)'!Y$8/$AB$13+0.015</f>
        <v>#VALUE!</v>
      </c>
      <c r="Z13" s="0" t="e">
        <f aca="false">SUM(B13:Y13)</f>
        <v>#VALUE!</v>
      </c>
      <c r="AA13" s="25" t="n">
        <v>46204</v>
      </c>
      <c r="AB13" s="0" t="e">
        <f aca="false">SUMPRODUCT($B$12:$Y$12,'实盘净值数据(iFinD公式)'!$B$13:$Y$13/'实盘净值数据(iFinD公式)'!$B$8:$Y$8)</f>
        <v>#VALUE!</v>
      </c>
    </row>
    <row r="14" customFormat="false" ht="13.5" hidden="false" customHeight="false" outlineLevel="0" collapsed="false">
      <c r="A14" s="26" t="s">
        <v>133</v>
      </c>
      <c r="B14" s="0" t="n">
        <v>0.0513929316647406</v>
      </c>
      <c r="C14" s="0" t="n">
        <v>0.0500015028668693</v>
      </c>
      <c r="D14" s="0" t="n">
        <v>0</v>
      </c>
      <c r="E14" s="0" t="n">
        <v>0</v>
      </c>
      <c r="F14" s="0" t="n">
        <v>0.0122700167166955</v>
      </c>
      <c r="G14" s="0" t="n">
        <v>0</v>
      </c>
      <c r="H14" s="0" t="n">
        <v>0.00440589314921368</v>
      </c>
      <c r="I14" s="0" t="n">
        <v>0.00976043516734444</v>
      </c>
      <c r="J14" s="0" t="n">
        <v>0</v>
      </c>
      <c r="K14" s="0" t="n">
        <v>0.0107009175985259</v>
      </c>
      <c r="L14" s="0" t="n">
        <v>0</v>
      </c>
      <c r="M14" s="0" t="n">
        <v>0.01209465053535</v>
      </c>
      <c r="N14" s="0" t="n">
        <v>0</v>
      </c>
      <c r="O14" s="0" t="n">
        <v>0.0122288591615486</v>
      </c>
      <c r="P14" s="0" t="n">
        <v>0</v>
      </c>
      <c r="Q14" s="0" t="n">
        <v>0</v>
      </c>
      <c r="R14" s="0" t="n">
        <v>0.00898497048964603</v>
      </c>
      <c r="S14" s="0" t="n">
        <v>0.0089406347696316</v>
      </c>
      <c r="T14" s="0" t="n">
        <v>0</v>
      </c>
      <c r="U14" s="0" t="n">
        <v>0.00517321712272002</v>
      </c>
      <c r="V14" s="0" t="n">
        <v>0</v>
      </c>
      <c r="W14" s="0" t="n">
        <v>0.0120450884017337</v>
      </c>
      <c r="X14" s="0" t="n">
        <v>0.792870683640967</v>
      </c>
      <c r="Y14" s="0" t="n">
        <v>0.00913019871501405</v>
      </c>
      <c r="Z14" s="0" t="n">
        <f aca="false">SUM(B14:Y14)</f>
        <v>1</v>
      </c>
      <c r="AA14" s="25" t="n">
        <v>46210</v>
      </c>
      <c r="AB14" s="0" t="e">
        <f aca="false">$AB$9*SUMPRODUCT($B$9:$Y$9,'实盘净值数据(iFinD公式)'!$B$17:$Y$17/'实盘净值数据(iFinD公式)'!$B$13:$Y$13)</f>
        <v>#VALUE!</v>
      </c>
    </row>
    <row r="15" customFormat="false" ht="13.5" hidden="false" customHeight="false" outlineLevel="0" collapsed="false">
      <c r="A15" s="26" t="s">
        <v>134</v>
      </c>
      <c r="B15" s="0" t="n">
        <v>0.0491508967925738</v>
      </c>
      <c r="C15" s="0" t="n">
        <v>0.0500011601301088</v>
      </c>
      <c r="D15" s="0" t="n">
        <v>0.00903059508879846</v>
      </c>
      <c r="E15" s="0" t="n">
        <v>0.0123044375020459</v>
      </c>
      <c r="F15" s="0" t="n">
        <v>0</v>
      </c>
      <c r="G15" s="0" t="n">
        <v>0.00442507895785553</v>
      </c>
      <c r="H15" s="0" t="n">
        <v>0</v>
      </c>
      <c r="I15" s="0" t="n">
        <v>0</v>
      </c>
      <c r="J15" s="0" t="n">
        <v>0.0118564180001362</v>
      </c>
      <c r="K15" s="0" t="n">
        <v>0</v>
      </c>
      <c r="L15" s="0" t="n">
        <v>0.0122546842876084</v>
      </c>
      <c r="M15" s="0" t="n">
        <v>0</v>
      </c>
      <c r="N15" s="0" t="n">
        <v>0.0125057849313139</v>
      </c>
      <c r="O15" s="0" t="n">
        <v>0</v>
      </c>
      <c r="P15" s="0" t="n">
        <v>0.00876038157163421</v>
      </c>
      <c r="Q15" s="0" t="n">
        <v>0.00925434437841008</v>
      </c>
      <c r="R15" s="0" t="n">
        <v>0</v>
      </c>
      <c r="S15" s="0" t="n">
        <v>0</v>
      </c>
      <c r="T15" s="0" t="n">
        <v>0.00559380353027519</v>
      </c>
      <c r="U15" s="0" t="n">
        <v>0</v>
      </c>
      <c r="V15" s="0" t="n">
        <v>0.0120216355242797</v>
      </c>
      <c r="W15" s="0" t="n">
        <v>0</v>
      </c>
      <c r="X15" s="0" t="n">
        <v>0.793700649632925</v>
      </c>
      <c r="Y15" s="0" t="n">
        <v>0.00914012967203498</v>
      </c>
      <c r="Z15" s="0" t="n">
        <f aca="false">SUM(B15:Y15)</f>
        <v>1</v>
      </c>
      <c r="AA15" s="25" t="n">
        <v>46210</v>
      </c>
      <c r="AB15" s="0" t="e">
        <f aca="false">$AB$11*SUMPRODUCT($B$11:$Y$11,'实盘净值数据(iFinD公式)'!$B$17:$Y$17/'实盘净值数据(iFinD公式)'!$B$13:$Y$13)</f>
        <v>#VALUE!</v>
      </c>
    </row>
    <row r="16" customFormat="false" ht="13.5" hidden="false" customHeight="false" outlineLevel="0" collapsed="false">
      <c r="A16" s="26" t="s">
        <v>135</v>
      </c>
      <c r="B16" s="0" t="n">
        <v>0.103481083555403</v>
      </c>
      <c r="C16" s="0" t="n">
        <v>0.100003267803466</v>
      </c>
      <c r="D16" s="0" t="n">
        <v>0</v>
      </c>
      <c r="E16" s="0" t="n">
        <v>0</v>
      </c>
      <c r="F16" s="0" t="n">
        <v>0.0370575358223708</v>
      </c>
      <c r="G16" s="0" t="n">
        <v>0</v>
      </c>
      <c r="H16" s="0" t="n">
        <v>0.013306494935067</v>
      </c>
      <c r="I16" s="0" t="n">
        <v>0.0294781885716324</v>
      </c>
      <c r="J16" s="0" t="n">
        <v>0</v>
      </c>
      <c r="K16" s="0" t="n">
        <v>0.032319155927704</v>
      </c>
      <c r="L16" s="0" t="n">
        <v>0</v>
      </c>
      <c r="M16" s="0" t="n">
        <v>0.0365320046317741</v>
      </c>
      <c r="N16" s="0" t="n">
        <v>0</v>
      </c>
      <c r="O16" s="0" t="n">
        <v>0.0369342174745708</v>
      </c>
      <c r="P16" s="0" t="n">
        <v>0</v>
      </c>
      <c r="Q16" s="0" t="n">
        <v>0</v>
      </c>
      <c r="R16" s="0" t="n">
        <v>0.0271379056066258</v>
      </c>
      <c r="S16" s="0" t="n">
        <v>0.0270057842412821</v>
      </c>
      <c r="T16" s="0" t="n">
        <v>0</v>
      </c>
      <c r="U16" s="0" t="n">
        <v>0.015624326719432</v>
      </c>
      <c r="V16" s="0" t="n">
        <v>0</v>
      </c>
      <c r="W16" s="0" t="n">
        <v>0.0363801793955243</v>
      </c>
      <c r="X16" s="0" t="n">
        <v>0.490873767172011</v>
      </c>
      <c r="Y16" s="0" t="n">
        <v>0.0138660881431366</v>
      </c>
      <c r="Z16" s="0" t="n">
        <f aca="false">SUM(B16:Y16)</f>
        <v>1</v>
      </c>
      <c r="AA16" s="25" t="n">
        <v>46210</v>
      </c>
      <c r="AB16" s="0" t="e">
        <f aca="false">$AB$13*SUMPRODUCT($B$13:$Y$13,'实盘净值数据(iFinD公式)'!$B$17:$Y$17/'实盘净值数据(iFinD公式)'!$B$13:$Y$13)</f>
        <v>#VALUE!</v>
      </c>
    </row>
    <row r="17" customFormat="false" ht="13.5" hidden="false" customHeight="false" outlineLevel="0" collapsed="false">
      <c r="A17" s="22" t="s">
        <v>136</v>
      </c>
      <c r="B17" s="0" t="n">
        <v>0</v>
      </c>
      <c r="C17" s="0" t="n">
        <v>0.0463280320764591</v>
      </c>
      <c r="D17" s="0" t="n">
        <v>0.164578206149693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0.247205813932058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0.16397772588061</v>
      </c>
      <c r="Q17" s="0" t="n">
        <v>0.1726514806214</v>
      </c>
      <c r="R17" s="0" t="n">
        <v>0</v>
      </c>
      <c r="S17" s="0" t="n">
        <v>0</v>
      </c>
      <c r="T17" s="0" t="n">
        <v>0.135258365996974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0.0700003753428066</v>
      </c>
      <c r="Z17" s="0" t="n">
        <f aca="false">SUM(B17:Y17)</f>
        <v>1</v>
      </c>
      <c r="AA17" s="25" t="n">
        <v>46213</v>
      </c>
      <c r="AB17" s="0" t="e">
        <f aca="false">SUMPRODUCT($B$5:$Y$5,'实盘净值数据(iFinD公式)'!$B$20:$Y$20/'实盘净值数据(iFinD公式)'!$B$6:$Y$6)</f>
        <v>#VALUE!</v>
      </c>
    </row>
    <row r="18" customFormat="false" ht="13.5" hidden="false" customHeight="false" outlineLevel="0" collapsed="false">
      <c r="A18" s="22" t="s">
        <v>137</v>
      </c>
      <c r="B18" s="0" t="n">
        <v>0</v>
      </c>
      <c r="C18" s="0" t="n">
        <v>0.0452932292193094</v>
      </c>
      <c r="D18" s="0" t="n">
        <v>0.166094796341005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0.245429089462296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0.163848936518917</v>
      </c>
      <c r="Q18" s="0" t="n">
        <v>0.173430567740403</v>
      </c>
      <c r="R18" s="0" t="n">
        <v>0</v>
      </c>
      <c r="S18" s="0" t="n">
        <v>0</v>
      </c>
      <c r="T18" s="0" t="n">
        <v>0.135903553227429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0.0699998274906403</v>
      </c>
      <c r="Z18" s="0" t="n">
        <f aca="false">SUM(B18:Y18)</f>
        <v>1</v>
      </c>
      <c r="AA18" s="25" t="n">
        <v>46213</v>
      </c>
      <c r="AB18" s="0" t="e">
        <f aca="false">SUMPRODUCT($B$6:$Y$6,'实盘净值数据(iFinD公式)'!$B$20:$Y$20/'实盘净值数据(iFinD公式)'!$B$5:$Y$5)</f>
        <v>#VALUE!</v>
      </c>
    </row>
    <row r="19" customFormat="false" ht="13.5" hidden="false" customHeight="false" outlineLevel="0" collapsed="false">
      <c r="A19" s="22" t="s">
        <v>138</v>
      </c>
      <c r="B19" s="0" t="n">
        <v>0</v>
      </c>
      <c r="C19" s="0" t="n">
        <v>0.0437733816458728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0.189912474874215</v>
      </c>
      <c r="J19" s="0" t="n">
        <v>0</v>
      </c>
      <c r="K19" s="0" t="n">
        <v>0.234327918740056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0.168764270075366</v>
      </c>
      <c r="S19" s="0" t="n">
        <v>0.164033759428407</v>
      </c>
      <c r="T19" s="0" t="n">
        <v>0</v>
      </c>
      <c r="U19" s="0" t="n">
        <v>0.129188588781588</v>
      </c>
      <c r="V19" s="0" t="n">
        <v>0</v>
      </c>
      <c r="W19" s="0" t="n">
        <v>0</v>
      </c>
      <c r="X19" s="0" t="n">
        <v>0</v>
      </c>
      <c r="Y19" s="0" t="n">
        <v>0.0699996064544953</v>
      </c>
      <c r="Z19" s="0" t="n">
        <f aca="false">SUM(B19:Y19)</f>
        <v>1</v>
      </c>
      <c r="AA19" s="25" t="n">
        <v>46213</v>
      </c>
      <c r="AB19" s="0" t="e">
        <f aca="false">SUMPRODUCT($B$7:$Y$7,'实盘净值数据(iFinD公式)'!$B$20:$Y$20/'实盘净值数据(iFinD公式)'!$B$7:$Y$7)</f>
        <v>#VALUE!</v>
      </c>
    </row>
    <row r="20" customFormat="false" ht="13.5" hidden="false" customHeight="false" outlineLevel="0" collapsed="false">
      <c r="A20" s="27" t="s">
        <v>139</v>
      </c>
      <c r="B20" s="0" t="n">
        <v>0.051393</v>
      </c>
      <c r="C20" s="0" t="n">
        <v>0.044406</v>
      </c>
      <c r="D20" s="0" t="n">
        <v>0</v>
      </c>
      <c r="E20" s="0" t="n">
        <v>0</v>
      </c>
      <c r="F20" s="0" t="n">
        <v>0.01227</v>
      </c>
      <c r="G20" s="0" t="n">
        <v>0</v>
      </c>
      <c r="H20" s="0" t="n">
        <v>0</v>
      </c>
      <c r="I20" s="0" t="n">
        <v>0.00976</v>
      </c>
      <c r="J20" s="0" t="n">
        <v>0</v>
      </c>
      <c r="K20" s="0" t="n">
        <v>0.010701</v>
      </c>
      <c r="L20" s="0" t="n">
        <v>0</v>
      </c>
      <c r="M20" s="0" t="n">
        <v>0.012095</v>
      </c>
      <c r="N20" s="0" t="n">
        <v>0</v>
      </c>
      <c r="O20" s="0" t="n">
        <v>0.012229</v>
      </c>
      <c r="P20" s="0" t="n">
        <v>0</v>
      </c>
      <c r="Q20" s="0" t="n">
        <v>0</v>
      </c>
      <c r="R20" s="0" t="n">
        <v>0.008985</v>
      </c>
      <c r="S20" s="0" t="n">
        <v>0.008941</v>
      </c>
      <c r="T20" s="0" t="n">
        <v>0</v>
      </c>
      <c r="U20" s="0" t="n">
        <v>0.005173</v>
      </c>
      <c r="V20" s="0" t="n">
        <v>0</v>
      </c>
      <c r="W20" s="0" t="n">
        <v>0.012045</v>
      </c>
      <c r="X20" s="0" t="n">
        <v>0.802872</v>
      </c>
      <c r="Y20" s="0" t="n">
        <v>0.00913</v>
      </c>
      <c r="Z20" s="0" t="n">
        <f aca="false">SUM(B20:Y20)</f>
        <v>1</v>
      </c>
      <c r="AA20" s="28" t="n">
        <v>46220</v>
      </c>
      <c r="AB20" s="0" t="e">
        <f aca="false">$AB$14*SUMPRODUCT($B$14:$Y$14,'实盘净值数据(iFinD公式)'!$B$25:$Y$25/'实盘净值数据(iFinD公式)'!$B$17:$Y$17)</f>
        <v>#VALUE!</v>
      </c>
    </row>
    <row r="21" customFormat="false" ht="13.5" hidden="false" customHeight="false" outlineLevel="0" collapsed="false">
      <c r="A21" s="27" t="s">
        <v>140</v>
      </c>
      <c r="B21" s="0" t="n">
        <v>0.049151</v>
      </c>
      <c r="C21" s="0" t="n">
        <v>0.044425</v>
      </c>
      <c r="D21" s="0" t="n">
        <v>0.009031</v>
      </c>
      <c r="E21" s="0" t="n">
        <v>0.012304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0.011856</v>
      </c>
      <c r="K21" s="0" t="n">
        <v>0</v>
      </c>
      <c r="L21" s="0" t="n">
        <v>0.012255</v>
      </c>
      <c r="M21" s="0" t="n">
        <v>0</v>
      </c>
      <c r="N21" s="0" t="n">
        <v>0.012506</v>
      </c>
      <c r="O21" s="0" t="n">
        <v>0</v>
      </c>
      <c r="P21" s="0" t="n">
        <v>0.00876</v>
      </c>
      <c r="Q21" s="0" t="n">
        <v>0.009254</v>
      </c>
      <c r="R21" s="0" t="n">
        <v>0</v>
      </c>
      <c r="S21" s="0" t="n">
        <v>0</v>
      </c>
      <c r="T21" s="0" t="n">
        <v>0.005594</v>
      </c>
      <c r="U21" s="0" t="n">
        <v>0</v>
      </c>
      <c r="V21" s="0" t="n">
        <v>0.012022</v>
      </c>
      <c r="W21" s="0" t="n">
        <v>0</v>
      </c>
      <c r="X21" s="0" t="n">
        <v>0.803702</v>
      </c>
      <c r="Y21" s="0" t="n">
        <v>0.00914</v>
      </c>
      <c r="Z21" s="0" t="n">
        <f aca="false">SUM(B21:Y21)</f>
        <v>1</v>
      </c>
      <c r="AA21" s="28" t="n">
        <v>46220</v>
      </c>
      <c r="AB21" s="0" t="e">
        <f aca="false">$AB$15*SUMPRODUCT($B$15:$Y$15,'实盘净值数据(iFinD公式)'!$B$25:$Y$25/'实盘净值数据(iFinD公式)'!$B$17:$Y$17)</f>
        <v>#VALUE!</v>
      </c>
    </row>
    <row r="22" customFormat="false" ht="13.5" hidden="false" customHeight="false" outlineLevel="0" collapsed="false">
      <c r="A22" s="27" t="s">
        <v>141</v>
      </c>
      <c r="B22" s="0" t="n">
        <v>0.103481</v>
      </c>
      <c r="C22" s="0" t="n">
        <v>0.087175</v>
      </c>
      <c r="D22" s="0" t="n">
        <v>0</v>
      </c>
      <c r="E22" s="0" t="n">
        <v>0</v>
      </c>
      <c r="F22" s="0" t="n">
        <v>0.037058</v>
      </c>
      <c r="G22" s="0" t="n">
        <v>0</v>
      </c>
      <c r="H22" s="0" t="n">
        <v>0</v>
      </c>
      <c r="I22" s="0" t="n">
        <v>0.029478</v>
      </c>
      <c r="J22" s="0" t="n">
        <v>0</v>
      </c>
      <c r="K22" s="0" t="n">
        <v>0.032319</v>
      </c>
      <c r="L22" s="0" t="n">
        <v>0</v>
      </c>
      <c r="M22" s="0" t="n">
        <v>0.036532</v>
      </c>
      <c r="N22" s="0" t="n">
        <v>0</v>
      </c>
      <c r="O22" s="0" t="n">
        <v>0.036934</v>
      </c>
      <c r="P22" s="0" t="n">
        <v>0</v>
      </c>
      <c r="Q22" s="0" t="n">
        <v>0</v>
      </c>
      <c r="R22" s="0" t="n">
        <v>0.027138</v>
      </c>
      <c r="S22" s="0" t="n">
        <v>0.027006</v>
      </c>
      <c r="T22" s="0" t="n">
        <v>0</v>
      </c>
      <c r="U22" s="0" t="n">
        <v>0.015624</v>
      </c>
      <c r="V22" s="0" t="n">
        <v>0</v>
      </c>
      <c r="W22" s="0" t="n">
        <v>0.03638</v>
      </c>
      <c r="X22" s="0" t="n">
        <v>0.500875</v>
      </c>
      <c r="Y22" s="0" t="n">
        <v>0.03</v>
      </c>
      <c r="Z22" s="0" t="n">
        <f aca="false">SUM(B22:Y22)</f>
        <v>1</v>
      </c>
      <c r="AA22" s="28" t="n">
        <v>46220</v>
      </c>
      <c r="AB22" s="0" t="e">
        <f aca="false">$AB$16*SUMPRODUCT($B$16:$Y$16,'实盘净值数据(iFinD公式)'!$B$25:$Y$25/'实盘净值数据(iFinD公式)'!$B$17:$Y$17)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2.43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5.36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142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"&amp;TEXT(实盘持仓配置!$Z$4,"0.0%")&amp;"（折每日计入净值）"</f>
        <v>买入持有 · 已扣年化费率 1.5%（折每日计入净值）</v>
      </c>
      <c r="C3" s="30"/>
      <c r="D3" s="30"/>
      <c r="E3" s="31" t="str">
        <f aca="false">"净值日期："&amp;TEXT(LOOKUP(2,1/(实盘组合净值!$B$5:$B$59&lt;&gt;""),实盘组合净值!$A$5:$A$59),"yyyy-mm-dd")</f>
        <v>净值日期：2026-06-22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LOOKUP(2,1/(实盘组合净值!$B$5:$B$59&lt;&gt;""),实盘组合净值!$B$5:$B$59)</f>
        <v>1</v>
      </c>
      <c r="C7" s="35" t="n">
        <f aca="false">(LOOKUP(2,1/(实盘组合净值!$B$5:$B$59&lt;&gt;""),实盘组合净值!$B$5:$B$59))/1-1</f>
        <v>0</v>
      </c>
      <c r="D7" s="35" t="n">
        <f aca="false">(LOOKUP(2,1/(实盘组合净值!$B$5:$B$59&lt;&gt;""),实盘组合净值!$B$5:$B$59)/1)^(说明!$C$17/MAX(COUNT(实盘组合净值!$C$5:$C$59),1))-1</f>
        <v>0</v>
      </c>
      <c r="E7" s="36" t="e">
        <f aca="false">STDEV(实盘组合净值!$C$5:$C$59)*SQRT(说明!$C$17)</f>
        <v>#VALUE!</v>
      </c>
      <c r="F7" s="35" t="e">
        <f aca="false">MIN(实盘组合净值!$D$5:$D$59)</f>
        <v>#VALUE!</v>
      </c>
      <c r="G7" s="37" t="e">
        <f aca="false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IFERROR((LOOKUP(2,1/(实盘组合净值!$B$5:$B$59&lt;&gt;""),实盘组合净值!$B$5:$B$59))/(1)-1,"")</f>
        <v>0</v>
      </c>
      <c r="D11" s="39" t="str">
        <f aca="false">IFERROR((LOOKUP(2,1/(实盘组合净值!$B$5:$B$59&lt;&gt;""),实盘组合净值!$B$5:$B$59)/(1))^(说明!$C$17/COUNT(实盘组合净值!$C$5:$C$59))-1,"")</f>
        <v/>
      </c>
      <c r="E11" s="38" t="s">
        <v>148</v>
      </c>
      <c r="F11" s="38"/>
      <c r="G11" s="39" t="e">
        <f aca="false">MIN(实盘组合净值!$D$5:$D$59)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IFERROR((LOOKUP(2,1/(实盘组合净值!$B$5:$B$59&lt;&gt;""),实盘组合净值!$B$5:$B$59))/(IFERROR(LOOKUP(DATE(2026,1,1),实盘组合净值!$A$5:$A$59,实盘组合净值!$B$5:$B$59),1))-1,"")</f>
        <v>0</v>
      </c>
      <c r="D12" s="39" t="n">
        <f aca="false"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IFERROR((LOOKUP(2,1/(实盘组合净值!$B$5:$B$59&lt;&gt;""),ROW(实盘组合净值!$B$5:$B$59)))-(LOOKUP(2,1/(实盘组合净值!$D$5:$D$59=0),ROW(实盘组合净值!$D$5:$D$59))),"")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0</v>
      </c>
      <c r="D13" s="39" t="n">
        <f aca="false"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0</v>
      </c>
      <c r="E13" s="38" t="s">
        <v>159</v>
      </c>
      <c r="F13" s="38"/>
      <c r="G13" s="42" t="n">
        <f aca="false">COUNTIF(实盘组合净值!$C$5:$C$59,"&gt;0")/MAX(COUNT(实盘组合净值!$C$5:$C$59),1)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0</v>
      </c>
      <c r="D14" s="39" t="n">
        <f aca="false"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0</v>
      </c>
      <c r="E14" s="38" t="s">
        <v>147</v>
      </c>
      <c r="F14" s="38"/>
      <c r="G14" s="39" t="e">
        <f aca="false">STDEV(实盘组合净值!$C$5:$C$59)*SQRT(说明!$C$17)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0</v>
      </c>
      <c r="D15" s="39" t="n">
        <f aca="false"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0</v>
      </c>
      <c r="E15" s="38" t="s">
        <v>149</v>
      </c>
      <c r="F15" s="38"/>
      <c r="G15" s="43" t="e">
        <f aca="false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IFERROR(((LOOKUP(2,1/(实盘组合净值!$B$5:$B$59&lt;&gt;""),实盘组合净值!$B$5:$B$59)/1)^(说明!$C$17/MAX(COUNT(实盘组合净值!$C$5:$C$59),1))-1)/ABS(MIN(实盘组合净值!$D$5:$D$59)),"")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1.43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8.25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165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"&amp;TEXT(实盘持仓配置!$Z$5,"0.0%")&amp;"（折每日计入净值）"</f>
        <v>买入持有 · 已扣年化费率 1.2%（折每日计入净值）</v>
      </c>
      <c r="C3" s="30"/>
      <c r="D3" s="30"/>
      <c r="E3" s="31" t="str">
        <f aca="false">"净值日期："&amp;TEXT(LOOKUP(2,1/(实盘组合净值!$E$5:$E$59&lt;&gt;""),实盘组合净值!$A$5:$A$59),"yyyy-mm-dd")</f>
        <v>净值日期：2026-06-18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LOOKUP(2,1/(实盘组合净值!$E$5:$E$59&lt;&gt;""),实盘组合净值!$E$5:$E$59)</f>
        <v>1</v>
      </c>
      <c r="C7" s="35" t="n">
        <f aca="false">(LOOKUP(2,1/(实盘组合净值!$E$5:$E$59&lt;&gt;""),实盘组合净值!$E$5:$E$59))/1-1</f>
        <v>0</v>
      </c>
      <c r="D7" s="35" t="n">
        <f aca="false">(LOOKUP(2,1/(实盘组合净值!$E$5:$E$59&lt;&gt;""),实盘组合净值!$E$5:$E$59)/1)^(说明!$C$17/MAX(COUNT(实盘组合净值!$F$5:$F$59),1))-1</f>
        <v>0</v>
      </c>
      <c r="E7" s="36" t="e">
        <f aca="false">STDEV(实盘组合净值!$F$5:$F$59)*SQRT(说明!$C$17)</f>
        <v>#VALUE!</v>
      </c>
      <c r="F7" s="35" t="e">
        <f aca="false">MIN(实盘组合净值!$G$5:$G$59)</f>
        <v>#VALUE!</v>
      </c>
      <c r="G7" s="37" t="e">
        <f aca="false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IFERROR((LOOKUP(2,1/(实盘组合净值!$E$5:$E$59&lt;&gt;""),实盘组合净值!$E$5:$E$59))/(1)-1,"")</f>
        <v>0</v>
      </c>
      <c r="D11" s="39" t="str">
        <f aca="false">IFERROR((LOOKUP(2,1/(实盘组合净值!$E$5:$E$59&lt;&gt;""),实盘组合净值!$E$5:$E$59)/(1))^(说明!$C$17/COUNT(实盘组合净值!$F$5:$F$59))-1,"")</f>
        <v/>
      </c>
      <c r="E11" s="38" t="s">
        <v>148</v>
      </c>
      <c r="F11" s="38"/>
      <c r="G11" s="39" t="e">
        <f aca="false">MIN(实盘组合净值!$G$5:$G$59)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IFERROR((LOOKUP(2,1/(实盘组合净值!$E$5:$E$59&lt;&gt;""),实盘组合净值!$E$5:$E$59))/(IFERROR(LOOKUP(DATE(2026,1,1),实盘组合净值!$A$5:$A$59,实盘组合净值!$E$5:$E$59),1))-1,"")</f>
        <v>0</v>
      </c>
      <c r="D12" s="39" t="n">
        <f aca="false"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0</v>
      </c>
      <c r="E12" s="38" t="s">
        <v>157</v>
      </c>
      <c r="F12" s="38"/>
      <c r="G12" s="41" t="n">
        <f aca="false">IFERROR((LOOKUP(2,1/(实盘组合净值!$E$5:$E$59&lt;&gt;""),ROW(实盘组合净值!$E$5:$E$59)))-(LOOKUP(2,1/(实盘组合净值!$G$5:$G$59=0),ROW(实盘组合净值!$G$5:$G$59))),"")</f>
        <v>0</v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0</v>
      </c>
      <c r="D13" s="39" t="n">
        <f aca="false"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0</v>
      </c>
      <c r="E13" s="38" t="s">
        <v>159</v>
      </c>
      <c r="F13" s="38"/>
      <c r="G13" s="42" t="n">
        <f aca="false">COUNTIF(实盘组合净值!$F$5:$F$59,"&gt;0")/MAX(COUNT(实盘组合净值!$F$5:$F$59),1)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0</v>
      </c>
      <c r="D14" s="39" t="n">
        <f aca="false"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0</v>
      </c>
      <c r="E14" s="38" t="s">
        <v>147</v>
      </c>
      <c r="F14" s="38"/>
      <c r="G14" s="39" t="e">
        <f aca="false">STDEV(实盘组合净值!$F$5:$F$59)*SQRT(说明!$C$17)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0</v>
      </c>
      <c r="D15" s="39" t="n">
        <f aca="false"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0</v>
      </c>
      <c r="E15" s="38" t="s">
        <v>149</v>
      </c>
      <c r="F15" s="38"/>
      <c r="G15" s="43" t="e">
        <f aca="false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IFERROR(((LOOKUP(2,1/(实盘组合净值!$E$5:$E$59&lt;&gt;""),实盘组合净值!$E$5:$E$59)/1)^(说明!$C$17/MAX(COUNT(实盘组合净值!$F$5:$F$59),1))-1)/ABS(MIN(实盘组合净值!$G$5:$G$59)),"")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7.31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9.1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166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"&amp;TEXT(实盘持仓配置!$Z$6,"0.0%")&amp;"（折每日计入净值）"</f>
        <v>买入持有 · 已扣年化费率 1.5%（折每日计入净值）</v>
      </c>
      <c r="C3" s="30"/>
      <c r="D3" s="30"/>
      <c r="E3" s="31" t="str">
        <f aca="false">"净值日期："&amp;TEXT(LOOKUP(2,1/(实盘组合净值!$H$5:$H$59&lt;&gt;""),实盘组合净值!$A$5:$A$59),"yyyy-mm-dd")</f>
        <v>净值日期：2026-06-23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LOOKUP(2,1/(实盘组合净值!$H$5:$H$59&lt;&gt;""),实盘组合净值!$H$5:$H$59)</f>
        <v>1</v>
      </c>
      <c r="C7" s="35" t="n">
        <f aca="false">(LOOKUP(2,1/(实盘组合净值!$H$5:$H$59&lt;&gt;""),实盘组合净值!$H$5:$H$59))/1-1</f>
        <v>0</v>
      </c>
      <c r="D7" s="35" t="n">
        <f aca="false">(LOOKUP(2,1/(实盘组合净值!$H$5:$H$59&lt;&gt;""),实盘组合净值!$H$5:$H$59)/1)^(说明!$C$17/MAX(COUNT(实盘组合净值!$I$5:$I$59),1))-1</f>
        <v>0</v>
      </c>
      <c r="E7" s="36" t="e">
        <f aca="false">STDEV(实盘组合净值!$I$5:$I$59)*SQRT(说明!$C$17)</f>
        <v>#VALUE!</v>
      </c>
      <c r="F7" s="35" t="e">
        <f aca="false">MIN(实盘组合净值!$J$5:$J$59)</f>
        <v>#VALUE!</v>
      </c>
      <c r="G7" s="37" t="e">
        <f aca="false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IFERROR((LOOKUP(2,1/(实盘组合净值!$H$5:$H$59&lt;&gt;""),实盘组合净值!$H$5:$H$59))/(1)-1,"")</f>
        <v>0</v>
      </c>
      <c r="D11" s="39" t="str">
        <f aca="false">IFERROR((LOOKUP(2,1/(实盘组合净值!$H$5:$H$59&lt;&gt;""),实盘组合净值!$H$5:$H$59)/(1))^(说明!$C$17/COUNT(实盘组合净值!$I$5:$I$59))-1,"")</f>
        <v/>
      </c>
      <c r="E11" s="38" t="s">
        <v>148</v>
      </c>
      <c r="F11" s="38"/>
      <c r="G11" s="39" t="e">
        <f aca="false">MIN(实盘组合净值!$J$5:$J$59)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IFERROR((LOOKUP(2,1/(实盘组合净值!$H$5:$H$59&lt;&gt;""),实盘组合净值!$H$5:$H$59))/(IFERROR(LOOKUP(DATE(2026,1,1),实盘组合净值!$A$5:$A$59,实盘组合净值!$H$5:$H$59),1))-1,"")</f>
        <v>0</v>
      </c>
      <c r="D12" s="39" t="n">
        <f aca="false"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IFERROR((LOOKUP(2,1/(实盘组合净值!$H$5:$H$59&lt;&gt;""),ROW(实盘组合净值!$H$5:$H$59)))-(LOOKUP(2,1/(实盘组合净值!$J$5:$J$59=0),ROW(实盘组合净值!$J$5:$J$59))),"")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0</v>
      </c>
      <c r="D13" s="39" t="n">
        <f aca="false"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0</v>
      </c>
      <c r="E13" s="38" t="s">
        <v>159</v>
      </c>
      <c r="F13" s="38"/>
      <c r="G13" s="42" t="n">
        <f aca="false">COUNTIF(实盘组合净值!$I$5:$I$59,"&gt;0")/MAX(COUNT(实盘组合净值!$I$5:$I$59),1)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0</v>
      </c>
      <c r="D14" s="39" t="n">
        <f aca="false"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0</v>
      </c>
      <c r="E14" s="38" t="s">
        <v>147</v>
      </c>
      <c r="F14" s="38"/>
      <c r="G14" s="39" t="e">
        <f aca="false">STDEV(实盘组合净值!$I$5:$I$59)*SQRT(说明!$C$17)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0</v>
      </c>
      <c r="D15" s="39" t="n">
        <f aca="false"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0</v>
      </c>
      <c r="E15" s="38" t="s">
        <v>149</v>
      </c>
      <c r="F15" s="38"/>
      <c r="G15" s="43" t="e">
        <f aca="false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IFERROR(((LOOKUP(2,1/(实盘组合净值!$H$5:$H$59&lt;&gt;""),实盘组合净值!$H$5:$H$59)/1)^(说明!$C$17/MAX(COUNT(实盘组合净值!$I$5:$I$59),1))-1)/ABS(MIN(实盘组合净值!$J$5:$J$59)),"")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18.93"/>
    <col collapsed="false" customWidth="true" hidden="false" outlineLevel="0" max="5" min="5" style="0" width="21.24"/>
    <col collapsed="false" customWidth="true" hidden="false" outlineLevel="0" max="6" min="6" style="0" width="16.55"/>
    <col collapsed="false" customWidth="true" hidden="false" outlineLevel="0" max="7" min="7" style="0" width="19.5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167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"&amp;TEXT(实盘持仓配置!$Z$7,"0.0%")&amp;"（折每日计入净值）"</f>
        <v>买入持有 · 已扣年化费率 0.8%（折每日计入净值）</v>
      </c>
      <c r="C3" s="30"/>
      <c r="D3" s="30"/>
      <c r="E3" s="31" t="str">
        <f aca="false">"净值日期："&amp;TEXT(LOOKUP(2,1/(实盘组合净值!$K$5:$K$59&lt;&gt;""),实盘组合净值!$A$5:$A$59),"yyyy-mm-dd")</f>
        <v>净值日期：2026-06-24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LOOKUP(2,1/(实盘组合净值!$K$5:$K$59&lt;&gt;""),实盘组合净值!$K$5:$K$59)</f>
        <v>1</v>
      </c>
      <c r="C7" s="35" t="n">
        <f aca="false">(LOOKUP(2,1/(实盘组合净值!$K$5:$K$59&lt;&gt;""),实盘组合净值!$K$5:$K$59))/1-1</f>
        <v>0</v>
      </c>
      <c r="D7" s="35" t="n">
        <f aca="false">(LOOKUP(2,1/(实盘组合净值!$K$5:$K$59&lt;&gt;""),实盘组合净值!$K$5:$K$59)/1)^(说明!$C$17/MAX(COUNT(实盘组合净值!$L$5:$L$59),1))-1</f>
        <v>0</v>
      </c>
      <c r="E7" s="36" t="e">
        <f aca="false">STDEV(实盘组合净值!$L$5:$L$59)*SQRT(说明!$C$17)</f>
        <v>#VALUE!</v>
      </c>
      <c r="F7" s="35" t="e">
        <f aca="false">MIN(实盘组合净值!$M$5:$M$59)</f>
        <v>#VALUE!</v>
      </c>
      <c r="G7" s="37" t="e">
        <f aca="false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IFERROR((LOOKUP(2,1/(实盘组合净值!$K$5:$K$59&lt;&gt;""),实盘组合净值!$K$5:$K$59))/(1)-1,"")</f>
        <v>0</v>
      </c>
      <c r="D11" s="39" t="str">
        <f aca="false">IFERROR((LOOKUP(2,1/(实盘组合净值!$K$5:$K$59&lt;&gt;""),实盘组合净值!$K$5:$K$59)/(1))^(说明!$C$17/COUNT(实盘组合净值!$L$5:$L$59))-1,"")</f>
        <v/>
      </c>
      <c r="E11" s="38" t="s">
        <v>148</v>
      </c>
      <c r="F11" s="38"/>
      <c r="G11" s="39" t="e">
        <f aca="false">MIN(实盘组合净值!$M$5:$M$59)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IFERROR((LOOKUP(2,1/(实盘组合净值!$K$5:$K$59&lt;&gt;""),实盘组合净值!$K$5:$K$59))/(IFERROR(LOOKUP(DATE(2026,1,1),实盘组合净值!$A$5:$A$59,实盘组合净值!$K$5:$K$59),1))-1,"")</f>
        <v>0</v>
      </c>
      <c r="D12" s="39" t="n">
        <f aca="false"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IFERROR((LOOKUP(2,1/(实盘组合净值!$K$5:$K$59&lt;&gt;""),ROW(实盘组合净值!$K$5:$K$59)))-(LOOKUP(2,1/(实盘组合净值!$M$5:$M$59=0),ROW(实盘组合净值!$M$5:$M$59))),"")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0</v>
      </c>
      <c r="D13" s="39" t="n">
        <f aca="false"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0</v>
      </c>
      <c r="E13" s="38" t="s">
        <v>159</v>
      </c>
      <c r="F13" s="38"/>
      <c r="G13" s="42" t="n">
        <f aca="false">COUNTIF(实盘组合净值!$L$5:$L$59,"&gt;0")/MAX(COUNT(实盘组合净值!$L$5:$L$59),1)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0</v>
      </c>
      <c r="D14" s="39" t="n">
        <f aca="false"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0</v>
      </c>
      <c r="E14" s="38" t="s">
        <v>147</v>
      </c>
      <c r="F14" s="38"/>
      <c r="G14" s="39" t="e">
        <f aca="false">STDEV(实盘组合净值!$L$5:$L$59)*SQRT(说明!$C$17)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0</v>
      </c>
      <c r="D15" s="39" t="n">
        <f aca="false"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0</v>
      </c>
      <c r="E15" s="38" t="s">
        <v>149</v>
      </c>
      <c r="F15" s="38"/>
      <c r="G15" s="43" t="e">
        <f aca="false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IFERROR(((LOOKUP(2,1/(实盘组合净值!$K$5:$K$59&lt;&gt;""),实盘组合净值!$K$5:$K$59)/1)^(说明!$C$17/MAX(COUNT(实盘组合净值!$L$5:$L$59),1))-1)/ABS(MIN(实盘组合净值!$M$5:$M$59)),"")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0.14"/>
    <col collapsed="false" customWidth="true" hidden="false" outlineLevel="0" max="5" min="5" style="0" width="17.34"/>
    <col collapsed="false" customWidth="true" hidden="false" outlineLevel="0" max="6" min="6" style="0" width="16.55"/>
    <col collapsed="false" customWidth="true" hidden="false" outlineLevel="0" max="7" min="7" style="0" width="19.1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168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"&amp;TEXT(实盘持仓配置!$Z$8,"0.0%")&amp;"（折每日计入净值）"</f>
        <v>买入持有 · 已扣年化费率 0.5%（折每日计入净值）</v>
      </c>
      <c r="C3" s="30"/>
      <c r="D3" s="30"/>
      <c r="E3" s="31" t="str">
        <f aca="false">"净值日期："&amp;TEXT(LOOKUP(2,1/(实盘组合净值!$N$5:$N$59&lt;&gt;""),实盘组合净值!$A$5:$A$59),"yyyy-mm-dd")</f>
        <v>净值日期：2026-06-18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LOOKUP(2,1/(实盘组合净值!$N$5:$N$59&lt;&gt;""),实盘组合净值!$N$5:$N$59)</f>
        <v>1</v>
      </c>
      <c r="C7" s="35" t="n">
        <f aca="false">(LOOKUP(2,1/(实盘组合净值!$N$5:$N$59&lt;&gt;""),实盘组合净值!$N$5:$N$59))/1-1</f>
        <v>0</v>
      </c>
      <c r="D7" s="35" t="n">
        <f aca="false">(LOOKUP(2,1/(实盘组合净值!$N$5:$N$59&lt;&gt;""),实盘组合净值!$N$5:$N$59)/1)^(说明!$C$17/MAX(COUNT(实盘组合净值!$O$5:$O$59),1))-1</f>
        <v>0</v>
      </c>
      <c r="E7" s="36" t="e">
        <f aca="false">STDEV(实盘组合净值!$O$5:$O$59)*SQRT(说明!$C$17)</f>
        <v>#VALUE!</v>
      </c>
      <c r="F7" s="35" t="e">
        <f aca="false">MIN(实盘组合净值!$P$5:$P$59)</f>
        <v>#VALUE!</v>
      </c>
      <c r="G7" s="37" t="e">
        <f aca="false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IFERROR((LOOKUP(2,1/(实盘组合净值!$N$5:$N$59&lt;&gt;""),实盘组合净值!$N$5:$N$59))/(1)-1,"")</f>
        <v>0</v>
      </c>
      <c r="D11" s="39" t="str">
        <f aca="false">IFERROR((LOOKUP(2,1/(实盘组合净值!$N$5:$N$59&lt;&gt;""),实盘组合净值!$N$5:$N$59)/(1))^(说明!$C$17/COUNT(实盘组合净值!$O$5:$O$59))-1,"")</f>
        <v/>
      </c>
      <c r="E11" s="38" t="s">
        <v>148</v>
      </c>
      <c r="F11" s="38"/>
      <c r="G11" s="39" t="e">
        <f aca="false">MIN(实盘组合净值!$P$5:$P$59)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IFERROR((LOOKUP(2,1/(实盘组合净值!$N$5:$N$59&lt;&gt;""),实盘组合净值!$N$5:$N$59))/(IFERROR(LOOKUP(DATE(2026,1,1),实盘组合净值!$A$5:$A$59,实盘组合净值!$N$5:$N$59),1))-1,"")</f>
        <v>0</v>
      </c>
      <c r="D12" s="39" t="n">
        <f aca="false"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0</v>
      </c>
      <c r="E12" s="38" t="s">
        <v>157</v>
      </c>
      <c r="F12" s="38"/>
      <c r="G12" s="41" t="n">
        <f aca="false">IFERROR((LOOKUP(2,1/(实盘组合净值!$N$5:$N$59&lt;&gt;""),ROW(实盘组合净值!$N$5:$N$59)))-(LOOKUP(2,1/(实盘组合净值!$P$5:$P$59=0),ROW(实盘组合净值!$P$5:$P$59))),"")</f>
        <v>0</v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0</v>
      </c>
      <c r="D13" s="39" t="n">
        <f aca="false"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0</v>
      </c>
      <c r="E13" s="38" t="s">
        <v>159</v>
      </c>
      <c r="F13" s="38"/>
      <c r="G13" s="42" t="n">
        <f aca="false">COUNTIF(实盘组合净值!$O$5:$O$59,"&gt;0")/MAX(COUNT(实盘组合净值!$O$5:$O$59),1)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0</v>
      </c>
      <c r="D14" s="39" t="n">
        <f aca="false"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0</v>
      </c>
      <c r="E14" s="38" t="s">
        <v>147</v>
      </c>
      <c r="F14" s="38"/>
      <c r="G14" s="39" t="e">
        <f aca="false">STDEV(实盘组合净值!$O$5:$O$59)*SQRT(说明!$C$17)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0</v>
      </c>
      <c r="D15" s="39" t="n">
        <f aca="false"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0</v>
      </c>
      <c r="E15" s="38" t="s">
        <v>149</v>
      </c>
      <c r="F15" s="38"/>
      <c r="G15" s="43" t="e">
        <f aca="false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IFERROR(((LOOKUP(2,1/(实盘组合净值!$N$5:$N$59&lt;&gt;""),实盘组合净值!$N$5:$N$59)/1)^(说明!$C$17/MAX(COUNT(实盘组合净值!$O$5:$O$59),1))-1)/ABS(MIN(实盘组合净值!$P$5:$P$59)),"")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19.24"/>
    <col collapsed="false" customWidth="true" hidden="false" outlineLevel="0" max="5" min="5" style="0" width="20.84"/>
    <col collapsed="false" customWidth="true" hidden="false" outlineLevel="0" max="6" min="6" style="0" width="16.55"/>
    <col collapsed="false" customWidth="true" hidden="false" outlineLevel="0" max="7" min="7" style="0" width="20.2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169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"&amp;TEXT(实盘持仓配置!$Z$9,"0.0%")&amp;"（折每日计入净值）"</f>
        <v>买入持有 · 已扣年化费率 1.2%（折每日计入净值）</v>
      </c>
      <c r="C3" s="30"/>
      <c r="D3" s="30"/>
      <c r="E3" s="31" t="str">
        <f aca="false">"净值日期："&amp;TEXT(LOOKUP(2,1/(实盘组合净值!$Q$5:$Q$59&lt;&gt;""),实盘组合净值!$A$5:$A$59),"yyyy-mm-dd")</f>
        <v>净值日期：2026-06-24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LOOKUP(2,1/(实盘组合净值!$Q$5:$Q$59&lt;&gt;""),实盘组合净值!$Q$5:$Q$59)</f>
        <v>1</v>
      </c>
      <c r="C7" s="35" t="n">
        <f aca="false">(LOOKUP(2,1/(实盘组合净值!$Q$5:$Q$59&lt;&gt;""),实盘组合净值!$Q$5:$Q$59))/1-1</f>
        <v>0</v>
      </c>
      <c r="D7" s="35" t="n">
        <f aca="false">(LOOKUP(2,1/(实盘组合净值!$Q$5:$Q$59&lt;&gt;""),实盘组合净值!$Q$5:$Q$59)/1)^(说明!$C$17/MAX(COUNT(实盘组合净值!$R$5:$R$59),1))-1</f>
        <v>0</v>
      </c>
      <c r="E7" s="36" t="e">
        <f aca="false">STDEV(实盘组合净值!$R$5:$R$59)*SQRT(说明!$C$17)</f>
        <v>#VALUE!</v>
      </c>
      <c r="F7" s="35" t="e">
        <f aca="false">MIN(实盘组合净值!$S$5:$S$59)</f>
        <v>#VALUE!</v>
      </c>
      <c r="G7" s="37" t="e">
        <f aca="false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IFERROR((LOOKUP(2,1/(实盘组合净值!$Q$5:$Q$59&lt;&gt;""),实盘组合净值!$Q$5:$Q$59))/(1)-1,"")</f>
        <v>0</v>
      </c>
      <c r="D11" s="39" t="str">
        <f aca="false">IFERROR((LOOKUP(2,1/(实盘组合净值!$Q$5:$Q$59&lt;&gt;""),实盘组合净值!$Q$5:$Q$59)/(1))^(说明!$C$17/COUNT(实盘组合净值!$R$5:$R$59))-1,"")</f>
        <v/>
      </c>
      <c r="E11" s="38" t="s">
        <v>148</v>
      </c>
      <c r="F11" s="38"/>
      <c r="G11" s="39" t="e">
        <f aca="false">MIN(实盘组合净值!$S$5:$S$59)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IFERROR((LOOKUP(2,1/(实盘组合净值!$Q$5:$Q$59&lt;&gt;""),实盘组合净值!$Q$5:$Q$59))/(IFERROR(LOOKUP(DATE(2026,1,1),实盘组合净值!$A$5:$A$59,实盘组合净值!$Q$5:$Q$59),1))-1,"")</f>
        <v>0</v>
      </c>
      <c r="D12" s="39" t="n">
        <f aca="false"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IFERROR((LOOKUP(2,1/(实盘组合净值!$Q$5:$Q$59&lt;&gt;""),ROW(实盘组合净值!$Q$5:$Q$59)))-(LOOKUP(2,1/(实盘组合净值!$S$5:$S$59=0),ROW(实盘组合净值!$S$5:$S$59))),"")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0</v>
      </c>
      <c r="D13" s="39" t="n">
        <f aca="false"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0</v>
      </c>
      <c r="E13" s="38" t="s">
        <v>159</v>
      </c>
      <c r="F13" s="38"/>
      <c r="G13" s="42" t="n">
        <f aca="false">COUNTIF(实盘组合净值!$R$5:$R$59,"&gt;0")/MAX(COUNT(实盘组合净值!$R$5:$R$59),1)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0</v>
      </c>
      <c r="D14" s="39" t="n">
        <f aca="false"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0</v>
      </c>
      <c r="E14" s="38" t="s">
        <v>147</v>
      </c>
      <c r="F14" s="38"/>
      <c r="G14" s="39" t="e">
        <f aca="false">STDEV(实盘组合净值!$R$5:$R$59)*SQRT(说明!$C$17)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0</v>
      </c>
      <c r="D15" s="39" t="n">
        <f aca="false"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0</v>
      </c>
      <c r="E15" s="38" t="s">
        <v>149</v>
      </c>
      <c r="F15" s="38"/>
      <c r="G15" s="43" t="e">
        <f aca="false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IFERROR(((LOOKUP(2,1/(实盘组合净值!$Q$5:$Q$59&lt;&gt;""),实盘组合净值!$Q$5:$Q$59)/1)^(说明!$C$17/MAX(COUNT(实盘组合净值!$R$5:$R$59),1))-1)/ABS(MIN(实盘组合净值!$S$5:$S$59)),"")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28.52"/>
    <col collapsed="false" customWidth="true" hidden="false" outlineLevel="0" max="8" min="3" style="0" width="16.45"/>
  </cols>
  <sheetData>
    <row r="2" customFormat="false" ht="22.5" hidden="false" customHeight="true" outlineLevel="0" collapsed="false">
      <c r="B2" s="45" t="s">
        <v>170</v>
      </c>
    </row>
    <row r="3" customFormat="false" ht="14.25" hidden="false" customHeight="true" outlineLevel="0" collapsed="false">
      <c r="B3" s="11" t="s">
        <v>171</v>
      </c>
    </row>
    <row r="5" customFormat="false" ht="15" hidden="false" customHeight="true" outlineLevel="0" collapsed="false">
      <c r="B5" s="46" t="s">
        <v>172</v>
      </c>
    </row>
    <row r="6" customFormat="false" ht="16.5" hidden="false" customHeight="true" outlineLevel="0" collapsed="false">
      <c r="B6" s="47" t="s">
        <v>173</v>
      </c>
      <c r="C6" s="48" t="s">
        <v>174</v>
      </c>
      <c r="D6" s="48"/>
      <c r="E6" s="48"/>
      <c r="F6" s="48"/>
      <c r="G6" s="48"/>
      <c r="H6" s="48"/>
    </row>
    <row r="7" customFormat="false" ht="25.5" hidden="false" customHeight="true" outlineLevel="0" collapsed="false">
      <c r="B7" s="47" t="s">
        <v>175</v>
      </c>
      <c r="C7" s="48" t="s">
        <v>176</v>
      </c>
      <c r="D7" s="48"/>
      <c r="E7" s="48"/>
      <c r="F7" s="48"/>
      <c r="G7" s="48"/>
      <c r="H7" s="48"/>
    </row>
    <row r="8" customFormat="false" ht="16.5" hidden="false" customHeight="true" outlineLevel="0" collapsed="false">
      <c r="B8" s="47" t="s">
        <v>177</v>
      </c>
      <c r="C8" s="48" t="s">
        <v>178</v>
      </c>
      <c r="D8" s="48"/>
      <c r="E8" s="48"/>
      <c r="F8" s="48"/>
      <c r="G8" s="48"/>
      <c r="H8" s="48"/>
    </row>
    <row r="9" customFormat="false" ht="27.75" hidden="false" customHeight="true" outlineLevel="0" collapsed="false">
      <c r="B9" s="47" t="s">
        <v>179</v>
      </c>
      <c r="C9" s="49" t="s">
        <v>180</v>
      </c>
      <c r="D9" s="49"/>
      <c r="E9" s="49"/>
      <c r="F9" s="49"/>
      <c r="G9" s="49"/>
      <c r="H9" s="49"/>
    </row>
    <row r="10" customFormat="false" ht="16.5" hidden="false" customHeight="true" outlineLevel="0" collapsed="false">
      <c r="B10" s="50"/>
      <c r="C10" s="51"/>
      <c r="D10" s="51"/>
      <c r="E10" s="51"/>
      <c r="F10" s="51"/>
      <c r="G10" s="51"/>
      <c r="H10" s="51"/>
    </row>
    <row r="11" customFormat="false" ht="16.5" hidden="false" customHeight="true" outlineLevel="0" collapsed="false">
      <c r="B11" s="46" t="s">
        <v>181</v>
      </c>
      <c r="C11" s="51"/>
      <c r="D11" s="51"/>
      <c r="E11" s="51"/>
      <c r="F11" s="51"/>
      <c r="G11" s="51"/>
      <c r="H11" s="51"/>
    </row>
    <row r="12" customFormat="false" ht="16.5" hidden="false" customHeight="true" outlineLevel="0" collapsed="false">
      <c r="B12" s="47" t="s">
        <v>182</v>
      </c>
      <c r="C12" s="48" t="s">
        <v>183</v>
      </c>
      <c r="D12" s="48"/>
      <c r="E12" s="48"/>
      <c r="F12" s="48"/>
      <c r="G12" s="48"/>
      <c r="H12" s="48"/>
    </row>
    <row r="13" customFormat="false" ht="16.5" hidden="false" customHeight="true" outlineLevel="0" collapsed="false">
      <c r="B13" s="52" t="s">
        <v>184</v>
      </c>
      <c r="C13" s="48" t="s">
        <v>185</v>
      </c>
      <c r="D13" s="48"/>
      <c r="E13" s="48"/>
      <c r="F13" s="48"/>
      <c r="G13" s="48"/>
      <c r="H13" s="48"/>
    </row>
    <row r="14" customFormat="false" ht="16.5" hidden="false" customHeight="true" outlineLevel="0" collapsed="false">
      <c r="B14" s="47" t="s">
        <v>186</v>
      </c>
      <c r="C14" s="48" t="s">
        <v>187</v>
      </c>
      <c r="D14" s="48"/>
      <c r="E14" s="48"/>
      <c r="F14" s="48"/>
      <c r="G14" s="48"/>
      <c r="H14" s="48"/>
    </row>
    <row r="15" customFormat="false" ht="14.25" hidden="false" customHeight="true" outlineLevel="0" collapsed="false">
      <c r="B15" s="47" t="s">
        <v>188</v>
      </c>
      <c r="C15" s="50" t="s">
        <v>189</v>
      </c>
    </row>
    <row r="16" customFormat="false" ht="13.5" hidden="false" customHeight="false" outlineLevel="0" collapsed="false">
      <c r="B16" s="47" t="s">
        <v>190</v>
      </c>
      <c r="C16" s="53" t="n">
        <v>0</v>
      </c>
    </row>
    <row r="17" customFormat="false" ht="13.5" hidden="false" customHeight="false" outlineLevel="0" collapsed="false">
      <c r="B17" s="47" t="s">
        <v>191</v>
      </c>
      <c r="C17" s="54" t="n">
        <v>242</v>
      </c>
    </row>
    <row r="18" customFormat="false" ht="14.25" hidden="false" customHeight="true" outlineLevel="0" collapsed="false">
      <c r="B18" s="47" t="s">
        <v>192</v>
      </c>
      <c r="C18" s="50" t="s">
        <v>193</v>
      </c>
    </row>
    <row r="19" customFormat="false" ht="14.25" hidden="false" customHeight="true" outlineLevel="0" collapsed="false">
      <c r="B19" s="11" t="s">
        <v>194</v>
      </c>
    </row>
  </sheetData>
  <mergeCells count="7">
    <mergeCell ref="C6:H6"/>
    <mergeCell ref="C7:H7"/>
    <mergeCell ref="C8:H8"/>
    <mergeCell ref="C9:H9"/>
    <mergeCell ref="C12:H12"/>
    <mergeCell ref="C13:H13"/>
    <mergeCell ref="C14:H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4.13"/>
    <col collapsed="false" customWidth="true" hidden="false" outlineLevel="0" max="2" min="2" style="0" width="14.26"/>
    <col collapsed="false" customWidth="true" hidden="false" outlineLevel="0" max="4" min="3" style="0" width="18.65"/>
    <col collapsed="false" customWidth="true" hidden="false" outlineLevel="0" max="6" min="6" style="0" width="17.55"/>
    <col collapsed="false" customWidth="true" hidden="false" outlineLevel="0" max="7" min="7" style="0" width="13.16"/>
  </cols>
  <sheetData>
    <row r="1" customFormat="false" ht="15.65" hidden="false" customHeight="false" outlineLevel="0" collapsed="false">
      <c r="A1" s="55" t="s">
        <v>195</v>
      </c>
      <c r="F1" s="56" t="s">
        <v>196</v>
      </c>
      <c r="G1" s="0" t="n">
        <f aca="false">COUNT('实盘净值数据(iFinD公式)'!$B$5:$B$60)</f>
        <v>0</v>
      </c>
    </row>
    <row r="2" customFormat="false" ht="13.5" hidden="false" customHeight="false" outlineLevel="0" collapsed="false">
      <c r="A2" s="55" t="s">
        <v>197</v>
      </c>
      <c r="B2" s="57" t="n">
        <f aca="false">INDEX('实盘净值数据(iFinD公式)'!$A$5:$A$60,$G$1)</f>
        <v>46191</v>
      </c>
      <c r="F2" s="56" t="s">
        <v>198</v>
      </c>
      <c r="G2" s="0" t="e">
        <f aca="false">SUMPRODUCT(实盘持仓配置!$B$4:$X$4,INDEX('实盘净值数据(iFinD公式)'!$B$5:$X$60,$G$1,0)/'实盘净值数据(iFinD公式)'!$B$6:$X$6)</f>
        <v>#VALUE!</v>
      </c>
    </row>
    <row r="3" customFormat="false" ht="13.5" hidden="false" customHeight="false" outlineLevel="0" collapsed="false">
      <c r="F3" s="56" t="s">
        <v>199</v>
      </c>
      <c r="G3" s="0" t="e">
        <f aca="false">SUMPRODUCT(实盘持仓配置!$B$5:$X$5,INDEX('实盘净值数据(iFinD公式)'!$B$5:$X$60,$G$1,0)/'实盘净值数据(iFinD公式)'!$B$5:$X$5)</f>
        <v>#VALUE!</v>
      </c>
    </row>
    <row r="4" customFormat="false" ht="13.5" hidden="false" customHeight="false" outlineLevel="0" collapsed="false">
      <c r="F4" s="58" t="s">
        <v>200</v>
      </c>
      <c r="G4" s="0" t="e">
        <f aca="false">SUMPRODUCT(实盘持仓配置!$B$6:$X$6,INDEX('实盘净值数据(iFinD公式)'!$B$5:$X$60,$G$1,0)/'实盘净值数据(iFinD公式)'!$B$7:$X$7)</f>
        <v>#VALUE!</v>
      </c>
    </row>
    <row r="5" customFormat="false" ht="15.65" hidden="false" customHeight="false" outlineLevel="0" collapsed="false">
      <c r="A5" s="59" t="s">
        <v>1</v>
      </c>
      <c r="B5" s="59" t="s">
        <v>28</v>
      </c>
      <c r="C5" s="59" t="s">
        <v>201</v>
      </c>
      <c r="D5" s="59" t="s">
        <v>202</v>
      </c>
    </row>
    <row r="6" customFormat="false" ht="13.5" hidden="false" customHeight="false" outlineLevel="0" collapsed="false">
      <c r="A6" s="22" t="s">
        <v>203</v>
      </c>
      <c r="B6" s="60" t="s">
        <v>47</v>
      </c>
      <c r="C6" s="61" t="n">
        <f aca="false">实盘持仓配置!T$4</f>
        <v>0.11</v>
      </c>
      <c r="D6" s="61" t="e">
        <f aca="false">实盘持仓配置!T$4*INDEX('实盘净值数据(iFinD公式)'!T$5:T$60,$G$1)/'实盘净值数据(iFinD公式)'!T$6/$G$2</f>
        <v>#VALUE!</v>
      </c>
    </row>
    <row r="7" customFormat="false" ht="13.5" hidden="false" customHeight="false" outlineLevel="0" collapsed="false">
      <c r="A7" s="22" t="s">
        <v>204</v>
      </c>
      <c r="B7" s="60" t="s">
        <v>34</v>
      </c>
      <c r="C7" s="61" t="n">
        <f aca="false">实盘持仓配置!G$4</f>
        <v>0.11</v>
      </c>
      <c r="D7" s="61" t="e">
        <f aca="false">实盘持仓配置!G$4*INDEX('实盘净值数据(iFinD公式)'!G$5:G$60,$G$1)/'实盘净值数据(iFinD公式)'!G$6/$G$2</f>
        <v>#VALUE!</v>
      </c>
    </row>
    <row r="8" customFormat="false" ht="13.5" hidden="false" customHeight="false" outlineLevel="0" collapsed="false">
      <c r="A8" s="22" t="s">
        <v>78</v>
      </c>
      <c r="B8" s="60" t="s">
        <v>31</v>
      </c>
      <c r="C8" s="61" t="n">
        <f aca="false">实盘持仓配置!D$4</f>
        <v>0.19</v>
      </c>
      <c r="D8" s="61" t="e">
        <f aca="false">实盘持仓配置!D$4*INDEX('实盘净值数据(iFinD公式)'!D$5:D$60,$G$1)/'实盘净值数据(iFinD公式)'!D$6/$G$2</f>
        <v>#VALUE!</v>
      </c>
    </row>
    <row r="9" customFormat="false" ht="13.5" hidden="false" customHeight="false" outlineLevel="0" collapsed="false">
      <c r="A9" s="22" t="s">
        <v>90</v>
      </c>
      <c r="B9" s="60" t="s">
        <v>44</v>
      </c>
      <c r="C9" s="61" t="n">
        <f aca="false">实盘持仓配置!Q$4</f>
        <v>0.19</v>
      </c>
      <c r="D9" s="61" t="e">
        <f aca="false">实盘持仓配置!Q$4*INDEX('实盘净值数据(iFinD公式)'!Q$5:Q$60,$G$1)/'实盘净值数据(iFinD公式)'!Q$6/$G$2</f>
        <v>#VALUE!</v>
      </c>
    </row>
    <row r="10" customFormat="false" ht="13.5" hidden="false" customHeight="false" outlineLevel="0" collapsed="false">
      <c r="A10" s="22" t="s">
        <v>89</v>
      </c>
      <c r="B10" s="60" t="s">
        <v>43</v>
      </c>
      <c r="C10" s="61" t="n">
        <f aca="false">实盘持仓配置!P$4</f>
        <v>0.19</v>
      </c>
      <c r="D10" s="61" t="e">
        <f aca="false">实盘持仓配置!P$4*INDEX('实盘净值数据(iFinD公式)'!P$5:P$60,$G$1)/'实盘净值数据(iFinD公式)'!P$6/$G$2</f>
        <v>#VALUE!</v>
      </c>
    </row>
    <row r="11" customFormat="false" ht="13.5" hidden="false" customHeight="false" outlineLevel="0" collapsed="false">
      <c r="A11" s="22" t="s">
        <v>83</v>
      </c>
      <c r="B11" s="60" t="s">
        <v>37</v>
      </c>
      <c r="C11" s="61" t="n">
        <f aca="false">实盘持仓配置!J$4</f>
        <v>0.19</v>
      </c>
      <c r="D11" s="61" t="e">
        <f aca="false">实盘持仓配置!J$4*INDEX('实盘净值数据(iFinD公式)'!J$5:J$60,$G$1)/'实盘净值数据(iFinD公式)'!J$6/$G$2</f>
        <v>#VALUE!</v>
      </c>
    </row>
    <row r="12" customFormat="false" ht="13.5" hidden="false" customHeight="false" outlineLevel="0" collapsed="false">
      <c r="A12" s="22" t="s">
        <v>77</v>
      </c>
      <c r="B12" s="60" t="s">
        <v>30</v>
      </c>
      <c r="C12" s="61" t="n">
        <f aca="false">实盘持仓配置!C$4</f>
        <v>0.02</v>
      </c>
      <c r="D12" s="61" t="e">
        <f aca="false">实盘持仓配置!C$4*INDEX('实盘净值数据(iFinD公式)'!C$5:C$60,$G$1)/'实盘净值数据(iFinD公式)'!C$6/$G$2</f>
        <v>#VALUE!</v>
      </c>
    </row>
    <row r="13" customFormat="false" ht="13.5" hidden="false" customHeight="false" outlineLevel="0" collapsed="false">
      <c r="A13" s="55" t="s">
        <v>25</v>
      </c>
      <c r="C13" s="62" t="n">
        <f aca="false">SUM(C6:C12)</f>
        <v>1</v>
      </c>
      <c r="D13" s="62" t="e">
        <f aca="false">SUM(D6:D12)</f>
        <v>#VALUE!</v>
      </c>
    </row>
    <row r="15" customFormat="false" ht="15.65" hidden="false" customHeight="false" outlineLevel="0" collapsed="false">
      <c r="A15" s="55" t="s">
        <v>205</v>
      </c>
    </row>
    <row r="16" customFormat="false" ht="15.65" hidden="false" customHeight="false" outlineLevel="0" collapsed="false">
      <c r="A16" s="59" t="s">
        <v>1</v>
      </c>
      <c r="B16" s="59" t="s">
        <v>28</v>
      </c>
      <c r="C16" s="59" t="s">
        <v>201</v>
      </c>
      <c r="D16" s="59" t="s">
        <v>202</v>
      </c>
    </row>
    <row r="17" customFormat="false" ht="13.5" hidden="false" customHeight="false" outlineLevel="0" collapsed="false">
      <c r="A17" s="22" t="s">
        <v>203</v>
      </c>
      <c r="B17" s="60" t="s">
        <v>47</v>
      </c>
      <c r="C17" s="61" t="n">
        <f aca="false">实盘持仓配置!T$5</f>
        <v>0.11</v>
      </c>
      <c r="D17" s="61" t="e">
        <f aca="false">实盘持仓配置!T$5*INDEX('实盘净值数据(iFinD公式)'!T$5:T$60,$G$1)/'实盘净值数据(iFinD公式)'!T$5/$G$3</f>
        <v>#VALUE!</v>
      </c>
    </row>
    <row r="18" customFormat="false" ht="13.5" hidden="false" customHeight="false" outlineLevel="0" collapsed="false">
      <c r="A18" s="22" t="s">
        <v>204</v>
      </c>
      <c r="B18" s="60" t="s">
        <v>34</v>
      </c>
      <c r="C18" s="61" t="n">
        <f aca="false">实盘持仓配置!G$5</f>
        <v>0.11</v>
      </c>
      <c r="D18" s="61" t="e">
        <f aca="false">实盘持仓配置!G$5*INDEX('实盘净值数据(iFinD公式)'!G$5:G$60,$G$1)/'实盘净值数据(iFinD公式)'!G$5/$G$3</f>
        <v>#VALUE!</v>
      </c>
    </row>
    <row r="19" customFormat="false" ht="13.5" hidden="false" customHeight="false" outlineLevel="0" collapsed="false">
      <c r="A19" s="22" t="s">
        <v>78</v>
      </c>
      <c r="B19" s="60" t="s">
        <v>31</v>
      </c>
      <c r="C19" s="61" t="n">
        <f aca="false">实盘持仓配置!D$5</f>
        <v>0.19</v>
      </c>
      <c r="D19" s="61" t="e">
        <f aca="false">实盘持仓配置!D$5*INDEX('实盘净值数据(iFinD公式)'!D$5:D$60,$G$1)/'实盘净值数据(iFinD公式)'!D$5/$G$3</f>
        <v>#VALUE!</v>
      </c>
    </row>
    <row r="20" customFormat="false" ht="13.5" hidden="false" customHeight="false" outlineLevel="0" collapsed="false">
      <c r="A20" s="22" t="s">
        <v>90</v>
      </c>
      <c r="B20" s="60" t="s">
        <v>44</v>
      </c>
      <c r="C20" s="61" t="n">
        <f aca="false">实盘持仓配置!Q$5</f>
        <v>0.19</v>
      </c>
      <c r="D20" s="61" t="e">
        <f aca="false">实盘持仓配置!Q$5*INDEX('实盘净值数据(iFinD公式)'!Q$5:Q$60,$G$1)/'实盘净值数据(iFinD公式)'!Q$5/$G$3</f>
        <v>#VALUE!</v>
      </c>
    </row>
    <row r="21" customFormat="false" ht="13.5" hidden="false" customHeight="false" outlineLevel="0" collapsed="false">
      <c r="A21" s="22" t="s">
        <v>89</v>
      </c>
      <c r="B21" s="60" t="s">
        <v>43</v>
      </c>
      <c r="C21" s="61" t="n">
        <f aca="false">实盘持仓配置!P$5</f>
        <v>0.19</v>
      </c>
      <c r="D21" s="61" t="e">
        <f aca="false">实盘持仓配置!P$5*INDEX('实盘净值数据(iFinD公式)'!P$5:P$60,$G$1)/'实盘净值数据(iFinD公式)'!P$5/$G$3</f>
        <v>#VALUE!</v>
      </c>
    </row>
    <row r="22" customFormat="false" ht="13.5" hidden="false" customHeight="false" outlineLevel="0" collapsed="false">
      <c r="A22" s="22" t="s">
        <v>83</v>
      </c>
      <c r="B22" s="60" t="s">
        <v>37</v>
      </c>
      <c r="C22" s="61" t="n">
        <f aca="false">实盘持仓配置!J$5</f>
        <v>0.19</v>
      </c>
      <c r="D22" s="61" t="e">
        <f aca="false">实盘持仓配置!J$5*INDEX('实盘净值数据(iFinD公式)'!J$5:J$60,$G$1)/'实盘净值数据(iFinD公式)'!J$5/$G$3</f>
        <v>#VALUE!</v>
      </c>
    </row>
    <row r="23" customFormat="false" ht="13.5" hidden="false" customHeight="false" outlineLevel="0" collapsed="false">
      <c r="A23" s="22" t="s">
        <v>77</v>
      </c>
      <c r="B23" s="60" t="s">
        <v>30</v>
      </c>
      <c r="C23" s="61" t="n">
        <f aca="false">实盘持仓配置!C$5</f>
        <v>0.02</v>
      </c>
      <c r="D23" s="61" t="e">
        <f aca="false">实盘持仓配置!C$5*INDEX('实盘净值数据(iFinD公式)'!C$5:C$60,$G$1)/'实盘净值数据(iFinD公式)'!C$5/$G$3</f>
        <v>#VALUE!</v>
      </c>
    </row>
    <row r="24" customFormat="false" ht="13.5" hidden="false" customHeight="false" outlineLevel="0" collapsed="false">
      <c r="A24" s="55" t="s">
        <v>25</v>
      </c>
      <c r="C24" s="62" t="n">
        <f aca="false">SUM(C17:C23)</f>
        <v>1</v>
      </c>
      <c r="D24" s="62" t="e">
        <f aca="false">SUM(D17:D23)</f>
        <v>#VALUE!</v>
      </c>
    </row>
    <row r="26" customFormat="false" ht="15.65" hidden="false" customHeight="false" outlineLevel="0" collapsed="false">
      <c r="A26" s="55" t="s">
        <v>206</v>
      </c>
    </row>
    <row r="27" customFormat="false" ht="15.65" hidden="false" customHeight="false" outlineLevel="0" collapsed="false">
      <c r="A27" s="59" t="s">
        <v>1</v>
      </c>
      <c r="B27" s="59" t="s">
        <v>28</v>
      </c>
      <c r="C27" s="59" t="s">
        <v>201</v>
      </c>
      <c r="D27" s="59" t="s">
        <v>202</v>
      </c>
    </row>
    <row r="28" customFormat="false" ht="13.5" hidden="false" customHeight="false" outlineLevel="0" collapsed="false">
      <c r="A28" s="22" t="s">
        <v>207</v>
      </c>
      <c r="B28" s="60" t="s">
        <v>48</v>
      </c>
      <c r="C28" s="61" t="n">
        <f aca="false">实盘持仓配置!U$6</f>
        <v>0.11</v>
      </c>
      <c r="D28" s="61" t="e">
        <f aca="false">实盘持仓配置!U$6*INDEX('实盘净值数据(iFinD公式)'!U$5:U$60,$G$1)/'实盘净值数据(iFinD公式)'!U$7/$G$4</f>
        <v>#VALUE!</v>
      </c>
    </row>
    <row r="29" customFormat="false" ht="13.5" hidden="false" customHeight="false" outlineLevel="0" collapsed="false">
      <c r="A29" s="22" t="s">
        <v>82</v>
      </c>
      <c r="B29" s="60" t="s">
        <v>35</v>
      </c>
      <c r="C29" s="61" t="n">
        <f aca="false">实盘持仓配置!H$6</f>
        <v>0.11</v>
      </c>
      <c r="D29" s="61" t="e">
        <f aca="false">实盘持仓配置!H$6*INDEX('实盘净值数据(iFinD公式)'!H$5:H$60,$G$1)/'实盘净值数据(iFinD公式)'!H$7/$G$4</f>
        <v>#VALUE!</v>
      </c>
    </row>
    <row r="30" customFormat="false" ht="13.5" hidden="false" customHeight="false" outlineLevel="0" collapsed="false">
      <c r="A30" s="22" t="s">
        <v>92</v>
      </c>
      <c r="B30" s="60" t="s">
        <v>46</v>
      </c>
      <c r="C30" s="61" t="n">
        <f aca="false">实盘持仓配置!S$6</f>
        <v>0.19</v>
      </c>
      <c r="D30" s="61" t="e">
        <f aca="false">实盘持仓配置!S$6*INDEX('实盘净值数据(iFinD公式)'!S$5:S$60,$G$1)/'实盘净值数据(iFinD公式)'!S$7/$G$4</f>
        <v>#VALUE!</v>
      </c>
    </row>
    <row r="31" customFormat="false" ht="13.5" hidden="false" customHeight="false" outlineLevel="0" collapsed="false">
      <c r="A31" s="22" t="s">
        <v>91</v>
      </c>
      <c r="B31" s="60" t="s">
        <v>45</v>
      </c>
      <c r="C31" s="61" t="n">
        <f aca="false">实盘持仓配置!R$6</f>
        <v>0.19</v>
      </c>
      <c r="D31" s="61" t="e">
        <f aca="false">实盘持仓配置!R$6*INDEX('实盘净值数据(iFinD公式)'!R$5:R$60,$G$1)/'实盘净值数据(iFinD公式)'!R$7/$G$4</f>
        <v>#VALUE!</v>
      </c>
    </row>
    <row r="32" customFormat="false" ht="13.5" hidden="false" customHeight="false" outlineLevel="0" collapsed="false">
      <c r="A32" s="0" t="s">
        <v>9</v>
      </c>
      <c r="B32" s="60" t="s">
        <v>36</v>
      </c>
      <c r="C32" s="61" t="n">
        <f aca="false">实盘持仓配置!I$6</f>
        <v>0.19</v>
      </c>
      <c r="D32" s="61" t="e">
        <f aca="false">实盘持仓配置!I$6*INDEX('实盘净值数据(iFinD公式)'!I$5:I$60,$G$1)/'实盘净值数据(iFinD公式)'!I$7/$G$4</f>
        <v>#VALUE!</v>
      </c>
    </row>
    <row r="33" customFormat="false" ht="13.5" hidden="false" customHeight="false" outlineLevel="0" collapsed="false">
      <c r="A33" s="22" t="s">
        <v>84</v>
      </c>
      <c r="B33" s="60" t="s">
        <v>38</v>
      </c>
      <c r="C33" s="61" t="n">
        <f aca="false">实盘持仓配置!K$6</f>
        <v>0.19</v>
      </c>
      <c r="D33" s="61" t="e">
        <f aca="false">实盘持仓配置!K$6*INDEX('实盘净值数据(iFinD公式)'!K$5:K$60,$G$1)/'实盘净值数据(iFinD公式)'!K$7/$G$4</f>
        <v>#VALUE!</v>
      </c>
    </row>
    <row r="34" customFormat="false" ht="13.5" hidden="false" customHeight="false" outlineLevel="0" collapsed="false">
      <c r="A34" s="22" t="s">
        <v>77</v>
      </c>
      <c r="B34" s="60" t="s">
        <v>30</v>
      </c>
      <c r="C34" s="61" t="n">
        <f aca="false">实盘持仓配置!C$6</f>
        <v>0.02</v>
      </c>
      <c r="D34" s="61" t="e">
        <f aca="false">实盘持仓配置!C$6*INDEX('实盘净值数据(iFinD公式)'!C$5:C$60,$G$1)/'实盘净值数据(iFinD公式)'!C$7/$G$4</f>
        <v>#VALUE!</v>
      </c>
    </row>
    <row r="35" customFormat="false" ht="13.5" hidden="false" customHeight="false" outlineLevel="0" collapsed="false">
      <c r="A35" s="55" t="s">
        <v>25</v>
      </c>
      <c r="C35" s="62" t="n">
        <f aca="false">SUM(C28:C34)</f>
        <v>1</v>
      </c>
      <c r="D35" s="62" t="e">
        <f aca="false">SUM(D28:D34)</f>
        <v>#VALUE!</v>
      </c>
    </row>
  </sheetData>
  <conditionalFormatting sqref="D6:D12 D17:D23 D28:D34">
    <cfRule type="cellIs" priority="2" operator="greaterThan" aboveAverage="0" equalAverage="0" bottom="0" percent="0" rank="0" text="" dxfId="0">
      <formula>0.2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