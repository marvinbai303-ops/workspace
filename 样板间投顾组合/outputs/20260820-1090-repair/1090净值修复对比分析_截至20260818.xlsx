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1cc7c830744e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原始数据-规模前十" sheetId="1" r:id="Rac916f4dff3d408d"/>
    <x:sheet xmlns:r="http://schemas.openxmlformats.org/officeDocument/2006/relationships" name="指标-规模前十" sheetId="2" r:id="R8b080d9e823a423b"/>
    <x:sheet xmlns:r="http://schemas.openxmlformats.org/officeDocument/2006/relationships" name="原始数据-增长前十" sheetId="3" r:id="R3fe1baf2f57f41df"/>
    <x:sheet xmlns:r="http://schemas.openxmlformats.org/officeDocument/2006/relationships" name="指标-增长前十" sheetId="4" r:id="R987fdd0d5c6e4cd4"/>
  </x:sheets>
</x:workbook>
</file>

<file path=xl/comments1.xml><?xml version="1.0" encoding="utf-8"?>
<x:comments xmlns:x="http://schemas.openxmlformats.org/spreadsheetml/2006/main">
  <x:authors>
    <x:author>tc={A999CCE5-4F1D-712C-4D80-CE74C1AB7ACE}</x:author>
  </x:authors>
  <x:commentList>
    <x:comment ref="A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数据源：净值序列1.xls；截止日按用户口径固定为2026-08-18。</x:t>
        </x:r>
      </x:text>
    </x:comment>
  </x:commentList>
</x:comments>
</file>

<file path=xl/comments2.xml><?xml version="1.0" encoding="utf-8"?>
<x:comments xmlns:x="http://schemas.openxmlformats.org/spreadsheetml/2006/main">
  <x:authors>
    <x:author>tc={25E3A61E-CD6C-0B92-F416-693EC3E7F989}</x:author>
    <x:author>tc={4E0DA5B2-1324-9B27-B014-FA7671593F09}</x:author>
  </x:authors>
  <x:commentList>
    <x:comment ref="C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26Q2规模来自工作区已核验的《固收+基金三榜单汇总及代码匹配.xlsx》，单位：亿元。</x:t>
        </x:r>
      </x:text>
    </x:comment>
    <x:comment ref="H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累计修复幅度=（8月18日净值/区间最低净值-1）÷ ABS（区间最大回撤）。</x:t>
        </x:r>
      </x:text>
    </x:comment>
  </x:commentList>
</x:comments>
</file>

<file path=xl/comments3.xml><?xml version="1.0" encoding="utf-8"?>
<x:comments xmlns:x="http://schemas.openxmlformats.org/spreadsheetml/2006/main">
  <x:authors>
    <x:author>tc={F8D1EF0E-14A2-FF1B-5D42-3FA57A061277}</x:author>
  </x:authors>
  <x:commentList>
    <x:comment ref="A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数据源：净值序列1.xls；截止日按用户口径固定为2026-08-18。</x:t>
        </x:r>
      </x:text>
    </x:comment>
  </x:commentList>
</x:comments>
</file>

<file path=xl/comments4.xml><?xml version="1.0" encoding="utf-8"?>
<x:comments xmlns:x="http://schemas.openxmlformats.org/spreadsheetml/2006/main">
  <x:authors>
    <x:author>tc={5F3BDB3B-9BF6-FB38-3700-353F6B21B9BA}</x:author>
    <x:author>tc={8E4DE3C7-03AA-D9AE-391E-722E92B6D252}</x:author>
  </x:authors>
  <x:commentList>
    <x:comment ref="C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26Q2规模来自工作区已核验的《固收+基金三榜单汇总及代码匹配.xlsx》，单位：亿元。</x:t>
        </x:r>
      </x:text>
    </x:comment>
    <x:comment ref="H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累计修复幅度=（8月18日净值/区间最低净值-1）÷ ABS（区间最大回撤）。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0000"/>
    <x:numFmt numFmtId="202" formatCode="0.0000"/>
    <x:numFmt numFmtId="203" formatCode="0.00%"/>
    <x:numFmt numFmtId="204" formatCode="0"/>
  </x:numFmts>
  <x:fonts count="9">
    <x:font>
      <x:sz val="11"/>
      <x:name val="Carlito"/>
    </x:font>
    <x:font>
      <x:b/>
      <x:sz val="16"/>
      <x:color rgb="FFFFFFFF"/>
      <x:name val="Arial"/>
    </x:font>
    <x:font>
      <x:sz val="10"/>
      <x:color rgb="FF667085"/>
      <x:name val="Arial"/>
    </x:font>
    <x:font>
      <x:b/>
      <x:sz val="10"/>
      <x:color rgb="FF344054"/>
      <x:name val="Arial"/>
    </x:font>
    <x:font>
      <x:sz val="9"/>
      <x:color rgb="FF344054"/>
      <x:name val="Arial"/>
    </x:font>
    <x:font>
      <x:b/>
      <x:sz val="18"/>
      <x:color rgb="FFFFFFFF"/>
      <x:name val="Arial"/>
    </x:font>
    <x:font>
      <x:b/>
      <x:sz val="11"/>
      <x:color rgb="FF344054"/>
      <x:name val="Arial"/>
    </x:font>
    <x:font>
      <x:sz val="10"/>
      <x:color rgb="FF344054"/>
      <x:name val="Arial"/>
    </x:font>
    <x:font>
      <x:b/>
      <x:sz val="10"/>
      <x:color rgb="FF8B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8B0000"/>
      </x:patternFill>
    </x:fill>
    <x:fill>
      <x:patternFill patternType="solid">
        <x:fgColor rgb="FFF3F6FA"/>
      </x:patternFill>
    </x:fill>
    <x:fill>
      <x:patternFill patternType="solid">
        <x:fgColor rgb="FFFFF4F2"/>
      </x:patternFill>
    </x:fill>
  </x:fills>
  <x:borders count="1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right style="thin">
        <x:color rgb="FFEAECF0"/>
      </x:right>
      <x:bottom style="thin">
        <x:color rgb="FFEAECF0"/>
      </x:bottom>
    </x:border>
    <x:border>
      <x:left style="thin">
        <x:color rgb="FFEAECF0"/>
      </x:left>
      <x:right style="thin">
        <x:color rgb="FFEAECF0"/>
      </x:right>
      <x:bottom style="thin">
        <x:color rgb="FFEAECF0"/>
      </x:bottom>
    </x:border>
    <x:border>
      <x:left style="thin">
        <x:color rgb="FFEAECF0"/>
      </x:left>
      <x:bottom style="thin">
        <x:color rgb="FFEAECF0"/>
      </x:bottom>
    </x:border>
    <x:border>
      <x:right style="thin">
        <x:color rgb="FFEAECF0"/>
      </x:right>
      <x:top style="thin">
        <x:color rgb="FFEAECF0"/>
      </x:top>
      <x:bottom style="thin">
        <x:color rgb="FFEAECF0"/>
      </x:bottom>
    </x:border>
    <x:border>
      <x:left style="thin">
        <x:color rgb="FFEAECF0"/>
      </x:left>
      <x:right style="thin">
        <x:color rgb="FFEAECF0"/>
      </x:right>
      <x:top style="thin">
        <x:color rgb="FFEAECF0"/>
      </x:top>
      <x:bottom style="thin">
        <x:color rgb="FFEAECF0"/>
      </x:bottom>
    </x:border>
    <x:border>
      <x:left style="thin">
        <x:color rgb="FFEAECF0"/>
      </x:left>
      <x:top style="thin">
        <x:color rgb="FFEAECF0"/>
      </x:top>
      <x:bottom style="thin">
        <x:color rgb="FFEAECF0"/>
      </x:bottom>
    </x:border>
    <x:border>
      <x:right style="thin">
        <x:color rgb="FFEAECF0"/>
      </x:right>
      <x:top style="thin">
        <x:color rgb="FFEAECF0"/>
      </x:top>
    </x:border>
    <x:border>
      <x:left style="thin">
        <x:color rgb="FFEAECF0"/>
      </x:left>
      <x:right style="thin">
        <x:color rgb="FFEAECF0"/>
      </x:right>
      <x:top style="thin">
        <x:color rgb="FFEAECF0"/>
      </x:top>
    </x:border>
    <x:border>
      <x:left style="thin">
        <x:color rgb="FFEAECF0"/>
      </x:left>
      <x:top style="thin">
        <x:color rgb="FFEAECF0"/>
      </x:top>
    </x:border>
    <x:border>
      <x:left style="thin">
        <x:color rgb="FF98A2B3"/>
      </x:left>
      <x:right style="thin">
        <x:color rgb="FF98A2B3"/>
      </x:right>
      <x:top style="thin">
        <x:color rgb="FF98A2B3"/>
      </x:top>
      <x:bottom style="thin">
        <x:color rgb="FF98A2B3"/>
      </x:bottom>
    </x:border>
    <x:border>
      <x:left style="medium">
        <x:color rgb="FF8B0000"/>
      </x:left>
      <x:right style="medium">
        <x:color rgb="FF8B0000"/>
      </x:right>
      <x:top style="medium">
        <x:color rgb="FF8B0000"/>
      </x:top>
      <x:bottom style="medium">
        <x:color rgb="FF8B0000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0" fontId="4" fillId="0" borderId="2" xfId="0" applyNumberFormat="1" applyFont="1" applyFill="1" applyBorder="1"/>
    <x:xf numFmtId="201" fontId="4" fillId="0" borderId="3" xfId="0" applyNumberFormat="1" applyFont="1" applyFill="1" applyBorder="1"/>
    <x:xf numFmtId="0" fontId="4" fillId="0" borderId="3" xfId="0" applyNumberFormat="1" applyFont="1" applyFill="1" applyBorder="1"/>
    <x:xf numFmtId="202" fontId="4" fillId="0" borderId="3" xfId="0" applyNumberFormat="1" applyFont="1" applyFill="1" applyBorder="1"/>
    <x:xf numFmtId="203" fontId="4" fillId="0" borderId="3" xfId="0" applyNumberFormat="1" applyFont="1" applyFill="1" applyBorder="1"/>
    <x:xf numFmtId="203" fontId="4" fillId="0" borderId="4" xfId="0" applyNumberFormat="1" applyFont="1" applyFill="1" applyBorder="1"/>
    <x:xf numFmtId="200" fontId="4" fillId="0" borderId="5" xfId="0" applyNumberFormat="1" applyFont="1" applyFill="1" applyBorder="1"/>
    <x:xf numFmtId="201" fontId="4" fillId="0" borderId="6" xfId="0" applyNumberFormat="1" applyFont="1" applyFill="1" applyBorder="1"/>
    <x:xf numFmtId="0" fontId="4" fillId="0" borderId="6" xfId="0" applyNumberFormat="1" applyFont="1" applyFill="1" applyBorder="1"/>
    <x:xf numFmtId="202" fontId="4" fillId="0" borderId="6" xfId="0" applyNumberFormat="1" applyFont="1" applyFill="1" applyBorder="1"/>
    <x:xf numFmtId="203" fontId="4" fillId="0" borderId="6" xfId="0" applyNumberFormat="1" applyFont="1" applyFill="1" applyBorder="1"/>
    <x:xf numFmtId="203" fontId="4" fillId="0" borderId="7" xfId="0" applyNumberFormat="1" applyFont="1" applyFill="1" applyBorder="1"/>
    <x:xf numFmtId="200" fontId="4" fillId="0" borderId="8" xfId="0" applyNumberFormat="1" applyFont="1" applyFill="1" applyBorder="1"/>
    <x:xf numFmtId="201" fontId="4" fillId="0" borderId="9" xfId="0" applyNumberFormat="1" applyFont="1" applyFill="1" applyBorder="1"/>
    <x:xf numFmtId="0" fontId="4" fillId="0" borderId="9" xfId="0" applyNumberFormat="1" applyFont="1" applyFill="1" applyBorder="1"/>
    <x:xf numFmtId="202" fontId="4" fillId="0" borderId="9" xfId="0" applyNumberFormat="1" applyFont="1" applyFill="1" applyBorder="1"/>
    <x:xf numFmtId="203" fontId="4" fillId="0" borderId="9" xfId="0" applyNumberFormat="1" applyFont="1" applyFill="1" applyBorder="1"/>
    <x:xf numFmtId="203" fontId="4" fillId="0" borderId="1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1" xfId="0" applyNumberFormat="1" applyFont="1" applyFill="1" applyBorder="1"/>
    <x:xf numFmtId="0" fontId="6" fillId="3" borderId="11" xfId="0" applyNumberFormat="1" applyFont="1" applyFill="1" applyBorder="1" applyAlignment="1">
      <x:alignment wrapText="1"/>
    </x:xf>
    <x:xf numFmtId="0" fontId="6" fillId="3" borderId="11" xfId="0" applyNumberFormat="1" applyFont="1" applyFill="1" applyBorder="1" applyAlignment="1">
      <x:alignment horizontal="center" wrapText="1"/>
    </x:xf>
    <x:xf numFmtId="0" fontId="6" fillId="3" borderId="11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0" fontId="7" fillId="0" borderId="0" xfId="0" applyNumberFormat="1" applyFont="1" applyFill="1" applyBorder="1"/>
    <x:xf numFmtId="204" fontId="7" fillId="0" borderId="0" xfId="0" applyNumberFormat="1" applyFont="1" applyFill="1" applyBorder="1"/>
    <x:xf numFmtId="203" fontId="7" fillId="0" borderId="0" xfId="0" applyNumberFormat="1" applyFont="1" applyFill="1" applyBorder="1"/>
    <x:xf numFmtId="0" fontId="7" fillId="0" borderId="1" xfId="0" applyNumberFormat="1" applyFont="1" applyFill="1" applyBorder="1"/>
    <x:xf numFmtId="204" fontId="7" fillId="0" borderId="1" xfId="0" applyNumberFormat="1" applyFont="1" applyFill="1" applyBorder="1"/>
    <x:xf numFmtId="203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vertical="center"/>
    </x:xf>
    <x:xf numFmtId="204" fontId="7" fillId="0" borderId="1" xfId="0" applyNumberFormat="1" applyFont="1" applyFill="1" applyBorder="1" applyAlignment="1">
      <x:alignment vertical="center"/>
    </x:xf>
    <x:xf numFmtId="203" fontId="7" fillId="0" borderId="1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center"/>
    </x:xf>
    <x:xf numFmtId="204" fontId="7" fillId="4" borderId="1" xfId="0" applyNumberFormat="1" applyFont="1" applyFill="1" applyBorder="1" applyAlignment="1">
      <x:alignment vertical="center"/>
    </x:xf>
    <x:xf numFmtId="203" fontId="7" fillId="4" borderId="1" xfId="0" applyNumberFormat="1" applyFont="1" applyFill="1" applyBorder="1" applyAlignment="1">
      <x:alignment vertical="center"/>
    </x:xf>
    <x:xf numFmtId="0" fontId="8" fillId="4" borderId="1" xfId="0" applyNumberFormat="1" applyFont="1" applyFill="1" applyBorder="1" applyAlignment="1">
      <x:alignment vertical="center"/>
    </x:xf>
    <x:xf numFmtId="204" fontId="8" fillId="4" borderId="1" xfId="0" applyNumberFormat="1" applyFont="1" applyFill="1" applyBorder="1" applyAlignment="1">
      <x:alignment vertical="center"/>
    </x:xf>
    <x:xf numFmtId="203" fontId="8" fillId="4" borderId="1" xfId="0" applyNumberFormat="1" applyFont="1" applyFill="1" applyBorder="1" applyAlignment="1">
      <x:alignment vertical="center"/>
    </x:xf>
    <x:xf numFmtId="0" fontId="8" fillId="4" borderId="12" xfId="0" applyNumberFormat="1" applyFont="1" applyFill="1" applyBorder="1" applyAlignment="1">
      <x:alignment vertical="center"/>
    </x:xf>
    <x:xf numFmtId="204" fontId="8" fillId="4" borderId="12" xfId="0" applyNumberFormat="1" applyFont="1" applyFill="1" applyBorder="1" applyAlignment="1">
      <x:alignment vertical="center"/>
    </x:xf>
    <x:xf numFmtId="203" fontId="8" fillId="4" borderId="12" xfId="0" applyNumberFormat="1" applyFont="1" applyFill="1" applyBorder="1" applyAlignment="1">
      <x:alignment vertical="center"/>
    </x:xf>
    <x:xf numFmtId="0" fontId="8" fillId="4" borderId="12" xfId="0" applyNumberFormat="1" applyFont="1" applyFill="1" applyBorder="1" applyAlignment="1">
      <x:alignment horizontal="left" vertical="center"/>
    </x:xf>
    <x:xf numFmtId="0" fontId="7" fillId="0" borderId="1" xfId="0" applyNumberFormat="1" applyFont="1" applyFill="1" applyBorder="1" applyAlignment="1">
      <x:alignment horizontal="left" vertical="center"/>
    </x:xf>
    <x:xf numFmtId="204" fontId="8" fillId="4" borderId="12" xfId="0" applyNumberFormat="1" applyFont="1" applyFill="1" applyBorder="1" applyAlignment="1">
      <x:alignment horizontal="center" vertical="center"/>
    </x:xf>
    <x:xf numFmtId="203" fontId="8" fillId="4" borderId="12" xfId="0" applyNumberFormat="1" applyFont="1" applyFill="1" applyBorder="1" applyAlignment="1">
      <x:alignment horizontal="center" vertical="center"/>
    </x:xf>
    <x:xf numFmtId="204" fontId="7" fillId="0" borderId="1" xfId="0" applyNumberFormat="1" applyFont="1" applyFill="1" applyBorder="1" applyAlignment="1">
      <x:alignment horizontal="center" vertical="center"/>
    </x:xf>
    <x:xf numFmtId="203" fontId="7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09346c0dd94997" /><Relationship Type="http://schemas.openxmlformats.org/officeDocument/2006/relationships/theme" Target="/xl/theme/theme1.xml" Id="R2221bd145e744468" /><Relationship Type="http://schemas.openxmlformats.org/officeDocument/2006/relationships/sharedStrings" Target="/xl/sharedStrings.xml" Id="R8fa8b10210224efa" /><Relationship Type="http://schemas.openxmlformats.org/officeDocument/2006/relationships/worksheet" Target="/xl/worksheets/sheet1.xml" Id="Rac916f4dff3d408d" /><Relationship Type="http://schemas.openxmlformats.org/officeDocument/2006/relationships/worksheet" Target="/xl/worksheets/sheet2.xml" Id="R8b080d9e823a423b" /><Relationship Type="http://schemas.openxmlformats.org/officeDocument/2006/relationships/worksheet" Target="/xl/worksheets/sheet3.xml" Id="R3fe1baf2f57f41df" /><Relationship Type="http://schemas.openxmlformats.org/officeDocument/2006/relationships/worksheet" Target="/xl/worksheets/sheet4.xml" Id="R987fdd0d5c6e4cd4" /><Relationship Type="http://schemas.microsoft.com/office/2017/10/relationships/person" Target="/xl/persons/person.xml" Id="R45d358b80db345bc" /></Relationships>
</file>

<file path=xl/persons/person.xml><?xml version="1.0" encoding="utf-8"?>
<xltc:personList xmlns:xltc="http://schemas.microsoft.com/office/spreadsheetml/2018/threadedcomments">
  <xltc:person displayName="User" id="{9CE39C69-50F4-4AFF-9807-877AB16E784D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2" dT="2026-08-20T13:27:07.214" personId="{9CE39C69-50F4-4AFF-9807-877AB16E784D}" id="{A999CCE5-4F1D-712C-4D80-CE74C1AB7ACE}">
    <xltc:text>数据源：净值序列1.xls；截止日按用户口径固定为2026-08-18。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C4" dT="2026-08-20T13:27:07.235" personId="{9CE39C69-50F4-4AFF-9807-877AB16E784D}" id="{25E3A61E-CD6C-0B92-F416-693EC3E7F989}">
    <xltc:text>26Q2规模来自工作区已核验的《固收+基金三榜单汇总及代码匹配.xlsx》，单位：亿元。</xltc:text>
  </xltc:threadedComment>
  <xltc:threadedComment ref="H4" dT="2026-08-20T13:27:07.235" personId="{9CE39C69-50F4-4AFF-9807-877AB16E784D}" id="{4E0DA5B2-1324-9B27-B014-FA7671593F09}">
    <xltc:text>累计修复幅度=（8月18日净值/区间最低净值-1）÷ ABS（区间最大回撤）。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A2" dT="2026-08-20T13:27:07.348" personId="{9CE39C69-50F4-4AFF-9807-877AB16E784D}" id="{F8D1EF0E-14A2-FF1B-5D42-3FA57A061277}">
    <xltc:text>数据源：净值序列1.xls；截止日按用户口径固定为2026-08-18。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C4" dT="2026-08-20T13:27:07.362" personId="{9CE39C69-50F4-4AFF-9807-877AB16E784D}" id="{5F3BDB3B-9BF6-FB38-3700-353F6B21B9BA}">
    <xltc:text>26Q2规模来自工作区已核验的《固收+基金三榜单汇总及代码匹配.xlsx》，单位：亿元。</xltc:text>
  </xltc:threadedComment>
  <xltc:threadedComment ref="H4" dT="2026-08-20T13:27:07.362" personId="{9CE39C69-50F4-4AFF-9807-877AB16E784D}" id="{8E4DE3C7-03AA-D9AE-391E-722E92B6D252}">
    <xltc:text>累计修复幅度=（8月18日净值/区间最低净值-1）÷ ABS（区间最大回撤）。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394bb5ad48d4632" /><Relationship Type="http://schemas.openxmlformats.org/officeDocument/2006/relationships/vmlDrawing" Target="/xl/drawings/vmldrawing.vml" Id="R7bdff534568646e1" /><Relationship Type="http://schemas.microsoft.com/office/2017/10/relationships/threadedComment" Target="/xl/threadedcomments/threadedcomment.xml" Id="R88d24671bd2a4fe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3c004414383549c4" /><Relationship Type="http://schemas.openxmlformats.org/officeDocument/2006/relationships/vmlDrawing" Target="/xl/drawings/vmldrawing2.vml" Id="R964ce0653603434b" /><Relationship Type="http://schemas.microsoft.com/office/2017/10/relationships/threadedComment" Target="/xl/threadedcomments/threadedcomment2.xml" Id="R30084f9e271c40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075093c411854072" /><Relationship Type="http://schemas.openxmlformats.org/officeDocument/2006/relationships/vmlDrawing" Target="/xl/drawings/vmldrawing3.vml" Id="R963b3766ca6f4d06" /><Relationship Type="http://schemas.microsoft.com/office/2017/10/relationships/threadedComment" Target="/xl/threadedcomments/threadedcomment3.xml" Id="R0fd8ba33608a47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168f7c62c3e84319" /><Relationship Type="http://schemas.openxmlformats.org/officeDocument/2006/relationships/vmlDrawing" Target="/xl/drawings/vmldrawing4.vml" Id="R54ffbdc0c8f64e21" /><Relationship Type="http://schemas.microsoft.com/office/2017/10/relationships/threadedComment" Target="/xl/threadedcomments/threadedcomment4.xml" Id="Ra7bd3eed4f8343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</x:cols>
  <x:sheetData>
    <x:row r="1" ht="28" customHeight="1">
      <x:c r="A1" s="3" t="str">
        <x:v>1090与全市场Q2规模前十固收+净值数据及计算辅助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</x:row>
    <x:row r="2" ht="20" customHeight="1">
      <x:c r="A2" s="4" t="str">
        <x:v>口径：2026-06-18至2026-08-18；各序列归一化起点=1；原文件8月19日数据未纳入。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</x:row>
    <x:row r="3">
      <x:c r="N3" s="14" t="str">
        <x:v>归一化净值（起点=1）</x:v>
      </x:c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Z3" s="14" t="str">
        <x:v>回撤序列</x:v>
      </x:c>
      <x:c r="AA3" s="14"/>
      <x:c r="AB3" s="14"/>
      <x:c r="AC3" s="14"/>
      <x:c r="AD3" s="14"/>
      <x:c r="AE3" s="14"/>
      <x:c r="AF3" s="14"/>
      <x:c r="AG3" s="14"/>
      <x:c r="AH3" s="14"/>
      <x:c r="AI3" s="14"/>
      <x:c r="AJ3" s="14"/>
    </x:row>
    <x:row r="4">
      <x:c r="A4" s="14" t="str">
        <x:v>日期</x:v>
      </x:c>
      <x:c r="B4" s="14" t="str">
        <x:v>1090组合</x:v>
      </x:c>
      <x:c r="C4" s="14" t="str">
        <x:v>景顺长城景颐丰利债券</x:v>
      </x:c>
      <x:c r="D4" s="14" t="str">
        <x:v>鹏华双债加利债券</x:v>
      </x:c>
      <x:c r="E4" s="14" t="str">
        <x:v>景顺长城景颐双利债券</x:v>
      </x:c>
      <x:c r="F4" s="14" t="str">
        <x:v>景顺长城景盛双息收益债券</x:v>
      </x:c>
      <x:c r="G4" s="14" t="str">
        <x:v>易方达丰和债券</x:v>
      </x:c>
      <x:c r="H4" s="14" t="str">
        <x:v>永赢稳健增强债券</x:v>
      </x:c>
      <x:c r="I4" s="14" t="str">
        <x:v>华商信用增强债券</x:v>
      </x:c>
      <x:c r="J4" s="14" t="str">
        <x:v>博时恒乐债券</x:v>
      </x:c>
      <x:c r="K4" s="14" t="str">
        <x:v>易方达裕丰回报债券</x:v>
      </x:c>
      <x:c r="L4" s="14" t="str">
        <x:v>南方宝元债券</x:v>
      </x:c>
      <x:c r="N4" s="14" t="str">
        <x:v>1090组合</x:v>
      </x:c>
      <x:c r="O4" s="14" t="str">
        <x:v>景顺长城景颐丰利债券</x:v>
      </x:c>
      <x:c r="P4" s="14" t="str">
        <x:v>鹏华双债加利债券</x:v>
      </x:c>
      <x:c r="Q4" s="14" t="str">
        <x:v>景顺长城景颐双利债券</x:v>
      </x:c>
      <x:c r="R4" s="14" t="str">
        <x:v>景顺长城景盛双息收益债券</x:v>
      </x:c>
      <x:c r="S4" s="14" t="str">
        <x:v>易方达丰和债券</x:v>
      </x:c>
      <x:c r="T4" s="14" t="str">
        <x:v>永赢稳健增强债券</x:v>
      </x:c>
      <x:c r="U4" s="14" t="str">
        <x:v>华商信用增强债券</x:v>
      </x:c>
      <x:c r="V4" s="14" t="str">
        <x:v>博时恒乐债券</x:v>
      </x:c>
      <x:c r="W4" s="14" t="str">
        <x:v>易方达裕丰回报债券</x:v>
      </x:c>
      <x:c r="X4" s="14" t="str">
        <x:v>南方宝元债券</x:v>
      </x:c>
      <x:c r="Z4" s="14" t="str">
        <x:v>1090组合</x:v>
      </x:c>
      <x:c r="AA4" s="14" t="str">
        <x:v>景顺长城景颐丰利债券</x:v>
      </x:c>
      <x:c r="AB4" s="14" t="str">
        <x:v>鹏华双债加利债券</x:v>
      </x:c>
      <x:c r="AC4" s="14" t="str">
        <x:v>景顺长城景颐双利债券</x:v>
      </x:c>
      <x:c r="AD4" s="14" t="str">
        <x:v>景顺长城景盛双息收益债券</x:v>
      </x:c>
      <x:c r="AE4" s="14" t="str">
        <x:v>易方达丰和债券</x:v>
      </x:c>
      <x:c r="AF4" s="14" t="str">
        <x:v>永赢稳健增强债券</x:v>
      </x:c>
      <x:c r="AG4" s="14" t="str">
        <x:v>华商信用增强债券</x:v>
      </x:c>
      <x:c r="AH4" s="14" t="str">
        <x:v>博时恒乐债券</x:v>
      </x:c>
      <x:c r="AI4" s="14" t="str">
        <x:v>易方达裕丰回报债券</x:v>
      </x:c>
      <x:c r="AJ4" s="14" t="str">
        <x:v>南方宝元债券</x:v>
      </x:c>
    </x:row>
    <x:row r="5">
      <x:c r="A5" s="20" t="n">
        <x:v>46191</x:v>
      </x:c>
      <x:c r="B5" s="21" t="n">
        <x:v>1</x:v>
      </x:c>
      <x:c r="C5" s="21" t="n">
        <x:v>1.8002619547</x:v>
      </x:c>
      <x:c r="D5" s="21" t="n">
        <x:v>2.5875382635</x:v>
      </x:c>
      <x:c r="E5" s="21" t="n">
        <x:v>2.2879056112</x:v>
      </x:c>
      <x:c r="F5" s="21" t="n">
        <x:v>1.4434277624</x:v>
      </x:c>
      <x:c r="G5" s="21" t="n">
        <x:v>1.8496337704</x:v>
      </x:c>
      <x:c r="H5" s="21" t="n">
        <x:v>1.2486</x:v>
      </x:c>
      <x:c r="I5" s="21" t="n">
        <x:v>2.054</x:v>
      </x:c>
      <x:c r="J5" s="21" t="n">
        <x:v>1.2649504876</x:v>
      </x:c>
      <x:c r="K5" s="21" t="n">
        <x:v>2.7436373579</x:v>
      </x:c>
      <x:c r="L5" s="21" t="n">
        <x:v>8.3412045809</x:v>
      </x:c>
      <x:c r="M5" s="22"/>
      <x:c r="N5" s="23" t="n">
        <x:f>'原始数据-规模前十'!B5/'原始数据-规模前十'!B$5</x:f>
        <x:v>1</x:v>
      </x:c>
      <x:c r="O5" s="23" t="n">
        <x:f>'原始数据-规模前十'!C5/'原始数据-规模前十'!C$5</x:f>
        <x:v>1</x:v>
      </x:c>
      <x:c r="P5" s="23" t="n">
        <x:f>'原始数据-规模前十'!D5/'原始数据-规模前十'!D$5</x:f>
        <x:v>1</x:v>
      </x:c>
      <x:c r="Q5" s="23" t="n">
        <x:f>'原始数据-规模前十'!E5/'原始数据-规模前十'!E$5</x:f>
        <x:v>1</x:v>
      </x:c>
      <x:c r="R5" s="23" t="n">
        <x:f>'原始数据-规模前十'!F5/'原始数据-规模前十'!F$5</x:f>
        <x:v>1</x:v>
      </x:c>
      <x:c r="S5" s="23" t="n">
        <x:f>'原始数据-规模前十'!G5/'原始数据-规模前十'!G$5</x:f>
        <x:v>1</x:v>
      </x:c>
      <x:c r="T5" s="23" t="n">
        <x:f>'原始数据-规模前十'!H5/'原始数据-规模前十'!H$5</x:f>
        <x:v>1</x:v>
      </x:c>
      <x:c r="U5" s="23" t="n">
        <x:f>'原始数据-规模前十'!I5/'原始数据-规模前十'!I$5</x:f>
        <x:v>1</x:v>
      </x:c>
      <x:c r="V5" s="23" t="n">
        <x:f>'原始数据-规模前十'!J5/'原始数据-规模前十'!J$5</x:f>
        <x:v>1</x:v>
      </x:c>
      <x:c r="W5" s="23" t="n">
        <x:f>'原始数据-规模前十'!K5/'原始数据-规模前十'!K$5</x:f>
        <x:v>1</x:v>
      </x:c>
      <x:c r="X5" s="23" t="n">
        <x:f>'原始数据-规模前十'!L5/'原始数据-规模前十'!L$5</x:f>
        <x:v>1</x:v>
      </x:c>
      <x:c r="Y5" s="22"/>
      <x:c r="Z5" s="24" t="n">
        <x:f>'原始数据-规模前十'!N5/MAX('原始数据-规模前十'!N$5:N5)-1</x:f>
        <x:v>0</x:v>
      </x:c>
      <x:c r="AA5" s="24" t="n">
        <x:f>'原始数据-规模前十'!O5/MAX('原始数据-规模前十'!O$5:O5)-1</x:f>
        <x:v>0</x:v>
      </x:c>
      <x:c r="AB5" s="24" t="n">
        <x:f>'原始数据-规模前十'!P5/MAX('原始数据-规模前十'!P$5:P5)-1</x:f>
        <x:v>0</x:v>
      </x:c>
      <x:c r="AC5" s="24" t="n">
        <x:f>'原始数据-规模前十'!Q5/MAX('原始数据-规模前十'!Q$5:Q5)-1</x:f>
        <x:v>0</x:v>
      </x:c>
      <x:c r="AD5" s="24" t="n">
        <x:f>'原始数据-规模前十'!R5/MAX('原始数据-规模前十'!R$5:R5)-1</x:f>
        <x:v>0</x:v>
      </x:c>
      <x:c r="AE5" s="24" t="n">
        <x:f>'原始数据-规模前十'!S5/MAX('原始数据-规模前十'!S$5:S5)-1</x:f>
        <x:v>0</x:v>
      </x:c>
      <x:c r="AF5" s="24" t="n">
        <x:f>'原始数据-规模前十'!T5/MAX('原始数据-规模前十'!T$5:T5)-1</x:f>
        <x:v>0</x:v>
      </x:c>
      <x:c r="AG5" s="24" t="n">
        <x:f>'原始数据-规模前十'!U5/MAX('原始数据-规模前十'!U$5:U5)-1</x:f>
        <x:v>0</x:v>
      </x:c>
      <x:c r="AH5" s="24" t="n">
        <x:f>'原始数据-规模前十'!V5/MAX('原始数据-规模前十'!V$5:V5)-1</x:f>
        <x:v>0</x:v>
      </x:c>
      <x:c r="AI5" s="24" t="n">
        <x:f>'原始数据-规模前十'!W5/MAX('原始数据-规模前十'!W$5:W5)-1</x:f>
        <x:v>0</x:v>
      </x:c>
      <x:c r="AJ5" s="25" t="n">
        <x:f>'原始数据-规模前十'!X5/MAX('原始数据-规模前十'!X$5:X5)-1</x:f>
        <x:v>0</x:v>
      </x:c>
    </x:row>
    <x:row r="6">
      <x:c r="A6" s="26" t="n">
        <x:v>46195</x:v>
      </x:c>
      <x:c r="B6" s="27" t="n">
        <x:v>1.0009</x:v>
      </x:c>
      <x:c r="C6" s="27" t="n">
        <x:v>1.8053079444</x:v>
      </x:c>
      <x:c r="D6" s="27" t="n">
        <x:v>2.5995393023</x:v>
      </x:c>
      <x:c r="E6" s="27" t="n">
        <x:v>2.2963037965</x:v>
      </x:c>
      <x:c r="F6" s="27" t="n">
        <x:v>1.4503396272</x:v>
      </x:c>
      <x:c r="G6" s="27" t="n">
        <x:v>1.8514714055</x:v>
      </x:c>
      <x:c r="H6" s="27" t="n">
        <x:v>1.2566</x:v>
      </x:c>
      <x:c r="I6" s="27" t="n">
        <x:v>2.058</x:v>
      </x:c>
      <x:c r="J6" s="27" t="n">
        <x:v>1.2665602234</x:v>
      </x:c>
      <x:c r="K6" s="27" t="n">
        <x:v>2.7550957042</x:v>
      </x:c>
      <x:c r="L6" s="27" t="n">
        <x:v>8.42022047</x:v>
      </x:c>
      <x:c r="M6" s="28"/>
      <x:c r="N6" s="29" t="n">
        <x:f>'原始数据-规模前十'!B6/'原始数据-规模前十'!B$5</x:f>
        <x:v>1.0009</x:v>
      </x:c>
      <x:c r="O6" s="29" t="n">
        <x:f>'原始数据-规模前十'!C6/'原始数据-规模前十'!C$5</x:f>
        <x:v>1.002802919701117</x:v>
      </x:c>
      <x:c r="P6" s="29" t="n">
        <x:f>'原始数据-规模前十'!D6/'原始数据-规模前十'!D$5</x:f>
        <x:v>1.0046380140418745</x:v>
      </x:c>
      <x:c r="Q6" s="29" t="n">
        <x:f>'原始数据-规模前十'!E6/'原始数据-规模前十'!E$5</x:f>
        <x:v>1.0036706869631722</x:v>
      </x:c>
      <x:c r="R6" s="29" t="n">
        <x:f>'原始数据-规模前十'!F6/'原始数据-规模前十'!F$5</x:f>
        <x:v>1.0047885075928618</x:v>
      </x:c>
      <x:c r="S6" s="29" t="n">
        <x:f>'原始数据-规模前十'!G6/'原始数据-规模前十'!G$5</x:f>
        <x:v>1.0009935129480267</x:v>
      </x:c>
      <x:c r="T6" s="29" t="n">
        <x:f>'原始数据-规模前十'!H6/'原始数据-规模前十'!H$5</x:f>
        <x:v>1.0064071760371616</x:v>
      </x:c>
      <x:c r="U6" s="29" t="n">
        <x:f>'原始数据-规模前十'!I6/'原始数据-规模前十'!I$5</x:f>
        <x:v>1.0019474196689386</x:v>
      </x:c>
      <x:c r="V6" s="29" t="n">
        <x:f>'原始数据-规模前十'!J6/'原始数据-规模前十'!J$5</x:f>
        <x:v>1.0012725682275945</x:v>
      </x:c>
      <x:c r="W6" s="29" t="n">
        <x:f>'原始数据-规模前十'!K6/'原始数据-规模前十'!K$5</x:f>
        <x:v>1.0041763341160985</x:v>
      </x:c>
      <x:c r="X6" s="29" t="n">
        <x:f>'原始数据-规模前十'!L6/'原始数据-规模前十'!L$5</x:f>
        <x:v>1.009472959011332</x:v>
      </x:c>
      <x:c r="Y6" s="28"/>
      <x:c r="Z6" s="30" t="n">
        <x:f>'原始数据-规模前十'!N6/MAX('原始数据-规模前十'!N$5:N6)-1</x:f>
        <x:v>0</x:v>
      </x:c>
      <x:c r="AA6" s="30" t="n">
        <x:f>'原始数据-规模前十'!O6/MAX('原始数据-规模前十'!O$5:O6)-1</x:f>
        <x:v>0</x:v>
      </x:c>
      <x:c r="AB6" s="30" t="n">
        <x:f>'原始数据-规模前十'!P6/MAX('原始数据-规模前十'!P$5:P6)-1</x:f>
        <x:v>0</x:v>
      </x:c>
      <x:c r="AC6" s="30" t="n">
        <x:f>'原始数据-规模前十'!Q6/MAX('原始数据-规模前十'!Q$5:Q6)-1</x:f>
        <x:v>0</x:v>
      </x:c>
      <x:c r="AD6" s="30" t="n">
        <x:f>'原始数据-规模前十'!R6/MAX('原始数据-规模前十'!R$5:R6)-1</x:f>
        <x:v>0</x:v>
      </x:c>
      <x:c r="AE6" s="30" t="n">
        <x:f>'原始数据-规模前十'!S6/MAX('原始数据-规模前十'!S$5:S6)-1</x:f>
        <x:v>0</x:v>
      </x:c>
      <x:c r="AF6" s="30" t="n">
        <x:f>'原始数据-规模前十'!T6/MAX('原始数据-规模前十'!T$5:T6)-1</x:f>
        <x:v>0</x:v>
      </x:c>
      <x:c r="AG6" s="30" t="n">
        <x:f>'原始数据-规模前十'!U6/MAX('原始数据-规模前十'!U$5:U6)-1</x:f>
        <x:v>0</x:v>
      </x:c>
      <x:c r="AH6" s="30" t="n">
        <x:f>'原始数据-规模前十'!V6/MAX('原始数据-规模前十'!V$5:V6)-1</x:f>
        <x:v>0</x:v>
      </x:c>
      <x:c r="AI6" s="30" t="n">
        <x:f>'原始数据-规模前十'!W6/MAX('原始数据-规模前十'!W$5:W6)-1</x:f>
        <x:v>0</x:v>
      </x:c>
      <x:c r="AJ6" s="31" t="n">
        <x:f>'原始数据-规模前十'!X6/MAX('原始数据-规模前十'!X$5:X6)-1</x:f>
        <x:v>0</x:v>
      </x:c>
    </x:row>
    <x:row r="7">
      <x:c r="A7" s="26" t="n">
        <x:v>46196</x:v>
      </x:c>
      <x:c r="B7" s="27" t="n">
        <x:v>0.9978</x:v>
      </x:c>
      <x:c r="C7" s="27" t="n">
        <x:v>1.7884879787</x:v>
      </x:c>
      <x:c r="D7" s="27" t="n">
        <x:v>2.5829664392</x:v>
      </x:c>
      <x:c r="E7" s="27" t="n">
        <x:v>2.2807071667</x:v>
      </x:c>
      <x:c r="F7" s="27" t="n">
        <x:v>1.4353639202</x:v>
      </x:c>
      <x:c r="G7" s="27" t="n">
        <x:v>1.8401213064</x:v>
      </x:c>
      <x:c r="H7" s="27" t="n">
        <x:v>1.2461</x:v>
      </x:c>
      <x:c r="I7" s="27" t="n">
        <x:v>2.051</x:v>
      </x:c>
      <x:c r="J7" s="27" t="n">
        <x:v>1.2580085021</x:v>
      </x:c>
      <x:c r="K7" s="27" t="n">
        <x:v>2.7347253108</x:v>
      </x:c>
      <x:c r="L7" s="27" t="n">
        <x:v>8.3541344536</x:v>
      </x:c>
      <x:c r="M7" s="28"/>
      <x:c r="N7" s="29" t="n">
        <x:f>'原始数据-规模前十'!B7/'原始数据-规模前十'!B$5</x:f>
        <x:v>0.9978</x:v>
      </x:c>
      <x:c r="O7" s="29" t="n">
        <x:f>'原始数据-规模前十'!C7/'原始数据-规模前十'!C$5</x:f>
        <x:v>0.9934598540122113</x:v>
      </x:c>
      <x:c r="P7" s="29" t="n">
        <x:f>'原始数据-规模前十'!D7/'原始数据-规模前十'!D$5</x:f>
        <x:v>0.9982331375096977</x:v>
      </x:c>
      <x:c r="Q7" s="29" t="n">
        <x:f>'原始数据-规模前十'!E7/'原始数据-规模前十'!E$5</x:f>
        <x:v>0.9968536969074419</x:v>
      </x:c>
      <x:c r="R7" s="29" t="n">
        <x:f>'原始数据-规模前十'!F7/'原始数据-规模前十'!F$5</x:f>
        <x:v>0.9944134078545142</x:v>
      </x:c>
      <x:c r="S7" s="29" t="n">
        <x:f>'原始数据-规模前十'!G7/'原始数据-规模前十'!G$5</x:f>
        <x:v>0.9948571094709505</x:v>
      </x:c>
      <x:c r="T7" s="29" t="n">
        <x:f>'原始数据-规模前十'!H7/'原始数据-规模前十'!H$5</x:f>
        <x:v>0.997997757488387</x:v>
      </x:c>
      <x:c r="U7" s="29" t="n">
        <x:f>'原始数据-规模前十'!I7/'原始数据-规模前十'!I$5</x:f>
        <x:v>0.9985394352482961</x:v>
      </x:c>
      <x:c r="V7" s="29" t="n">
        <x:f>'原始数据-规模前十'!J7/'原始数据-规模前十'!J$5</x:f>
        <x:v>0.9945120496271984</x:v>
      </x:c>
      <x:c r="W7" s="29" t="n">
        <x:f>'原始数据-规模前十'!K7/'原始数据-规模前十'!K$5</x:f>
        <x:v>0.996751740140023</x:v>
      </x:c>
      <x:c r="X7" s="29" t="n">
        <x:f>'原始数据-规模前十'!L7/'原始数据-规模前十'!L$5</x:f>
        <x:v>1.0015501205580797</x:v>
      </x:c>
      <x:c r="Y7" s="28"/>
      <x:c r="Z7" s="30" t="n">
        <x:f>'原始数据-规模前十'!N7/MAX('原始数据-规模前十'!N$5:N7)-1</x:f>
        <x:v>-0.0030972125087420643</x:v>
      </x:c>
      <x:c r="AA7" s="30" t="n">
        <x:f>'原始数据-规模前十'!O7/MAX('原始数据-规模前十'!O$5:O7)-1</x:f>
        <x:v>-0.00931695102332808</x:v>
      </x:c>
      <x:c r="AB7" s="30" t="n">
        <x:f>'原始数据-规模前十'!P7/MAX('原始数据-规模前十'!P$5:P7)-1</x:f>
        <x:v>-0.006375307765240312</x:v>
      </x:c>
      <x:c r="AC7" s="30" t="n">
        <x:f>'原始数据-规模前十'!Q7/MAX('原始数据-规模前十'!Q$5:Q7)-1</x:f>
        <x:v>-0.006792058535012746</x:v>
      </x:c>
      <x:c r="AD7" s="30" t="n">
        <x:f>'原始数据-规模前十'!R7/MAX('原始数据-规模前十'!R$5:R7)-1</x:f>
        <x:v>-0.010325655259735056</x:v>
      </x:c>
      <x:c r="AE7" s="30" t="n">
        <x:f>'原始数据-规模前十'!S7/MAX('原始数据-规模前十'!S$5:S7)-1</x:f>
        <x:v>-0.006130312931802995</x:v>
      </x:c>
      <x:c r="AF7" s="30" t="n">
        <x:f>'原始数据-规模前十'!T7/MAX('原始数据-规模前十'!T$5:T7)-1</x:f>
        <x:v>-0.008355880948591299</x:v>
      </x:c>
      <x:c r="AG7" s="30" t="n">
        <x:f>'原始数据-规模前十'!U7/MAX('原始数据-规模前十'!U$5:U7)-1</x:f>
        <x:v>-0.00340136054421758</x:v>
      </x:c>
      <x:c r="AH7" s="30" t="n">
        <x:f>'原始数据-规模前十'!V7/MAX('原始数据-规模前十'!V$5:V7)-1</x:f>
        <x:v>-0.006751926313494416</x:v>
      </x:c>
      <x:c r="AI7" s="30" t="n">
        <x:f>'原始数据-规模前十'!W7/MAX('原始数据-规模前十'!W$5:W7)-1</x:f>
        <x:v>-0.007393715350412888</x:v>
      </x:c>
      <x:c r="AJ7" s="31" t="n">
        <x:f>'原始数据-规模前十'!X7/MAX('原始数据-规模前十'!X$5:X7)-1</x:f>
        <x:v>-0.00784849002890764</x:v>
      </x:c>
    </x:row>
    <x:row r="8">
      <x:c r="A8" s="26" t="n">
        <x:v>46197</x:v>
      </x:c>
      <x:c r="B8" s="27" t="n">
        <x:v>0.9998</x:v>
      </x:c>
      <x:c r="C8" s="27" t="n">
        <x:v>1.7972133359</x:v>
      </x:c>
      <x:c r="D8" s="27" t="n">
        <x:v>2.5994250067</x:v>
      </x:c>
      <x:c r="E8" s="27" t="n">
        <x:v>2.2879056112</x:v>
      </x:c>
      <x:c r="F8" s="27" t="n">
        <x:v>1.4342119427</x:v>
      </x:c>
      <x:c r="G8" s="27" t="n">
        <x:v>1.8509309246</x:v>
      </x:c>
      <x:c r="H8" s="27" t="n">
        <x:v>1.2504</x:v>
      </x:c>
      <x:c r="I8" s="27" t="n">
        <x:v>2.068</x:v>
      </x:c>
      <x:c r="J8" s="27" t="n">
        <x:v>1.2649504876</x:v>
      </x:c>
      <x:c r="K8" s="27" t="n">
        <x:v>2.7487299562</x:v>
      </x:c>
      <x:c r="L8" s="27" t="n">
        <x:v>8.3630416993</x:v>
      </x:c>
      <x:c r="M8" s="28"/>
      <x:c r="N8" s="29" t="n">
        <x:f>'原始数据-规模前十'!B8/'原始数据-规模前十'!B$5</x:f>
        <x:v>0.9998</x:v>
      </x:c>
      <x:c r="O8" s="29" t="n">
        <x:f>'原始数据-规模前十'!C8/'原始数据-规模前十'!C$5</x:f>
        <x:v>0.9983065693345121</x:v>
      </x:c>
      <x:c r="P8" s="29" t="n">
        <x:f>'原始数据-规模前十'!D8/'原始数据-规模前十'!D$5</x:f>
        <x:v>1.0045938424825154</x:v>
      </x:c>
      <x:c r="Q8" s="29" t="n">
        <x:f>'原始数据-规模前十'!E8/'原始数据-规模前十'!E$5</x:f>
        <x:v>1</x:v>
      </x:c>
      <x:c r="R8" s="29" t="n">
        <x:f>'原始数据-规模前十'!F8/'原始数据-规模前十'!F$5</x:f>
        <x:v>0.9936153232326107</x:v>
      </x:c>
      <x:c r="S8" s="29" t="n">
        <x:f>'原始数据-规模前十'!G8/'原始数据-规模前十'!G$5</x:f>
        <x:v>1.0007013032637913</x:v>
      </x:c>
      <x:c r="T8" s="29" t="n">
        <x:f>'原始数据-规模前十'!H8/'原始数据-规模前十'!H$5</x:f>
        <x:v>1.0014416146083613</x:v>
      </x:c>
      <x:c r="U8" s="29" t="n">
        <x:f>'原始数据-规模前十'!I8/'原始数据-规模前十'!I$5</x:f>
        <x:v>1.0068159688412854</x:v>
      </x:c>
      <x:c r="V8" s="29" t="n">
        <x:f>'原始数据-规模前十'!J8/'原始数据-规模前十'!J$5</x:f>
        <x:v>1</x:v>
      </x:c>
      <x:c r="W8" s="29" t="n">
        <x:f>'原始数据-规模前十'!K8/'原始数据-规模前十'!K$5</x:f>
        <x:v>1.0018561484757948</x:v>
      </x:c>
      <x:c r="X8" s="29" t="n">
        <x:f>'原始数据-规模前十'!L8/'原始数据-规模前十'!L$5</x:f>
        <x:v>1.0026179813944385</x:v>
      </x:c>
      <x:c r="Y8" s="28"/>
      <x:c r="Z8" s="30" t="n">
        <x:f>'原始数据-规模前十'!N8/MAX('原始数据-规模前十'!N$5:N8)-1</x:f>
        <x:v>-0.001099010890198704</x:v>
      </x:c>
      <x:c r="AA8" s="30" t="n">
        <x:f>'原始数据-规模前十'!O8/MAX('原始数据-规模前十'!O$5:O8)-1</x:f>
        <x:v>-0.00448378268378502</x:v>
      </x:c>
      <x:c r="AB8" s="30" t="n">
        <x:f>'原始数据-规模前十'!P8/MAX('原始数据-规模前十'!P$5:P8)-1</x:f>
        <x:v>-0.00004396763684200167</x:v>
      </x:c>
      <x:c r="AC8" s="30" t="n">
        <x:f>'原始数据-规模前十'!Q8/MAX('原始数据-规模前十'!Q$5:Q8)-1</x:f>
        <x:v>-0.003657262298133568</x:v>
      </x:c>
      <x:c r="AD8" s="30" t="n">
        <x:f>'原始数据-规模前十'!R8/MAX('原始数据-规模前十'!R$5:R8)-1</x:f>
        <x:v>-0.011119936460079805</x:v>
      </x:c>
      <x:c r="AE8" s="30" t="n">
        <x:f>'原始数据-规模前十'!S8/MAX('原始数据-规模前十'!S$5:S8)-1</x:f>
        <x:v>-0.00029191965827524147</x:v>
      </x:c>
      <x:c r="AF8" s="30" t="n">
        <x:f>'原始数据-规模前十'!T8/MAX('原始数据-规模前十'!T$5:T8)-1</x:f>
        <x:v>-0.004933948750596828</x:v>
      </x:c>
      <x:c r="AG8" s="30" t="n">
        <x:f>'原始数据-规模前十'!U8/MAX('原始数据-规模前十'!U$5:U8)-1</x:f>
        <x:v>0</x:v>
      </x:c>
      <x:c r="AH8" s="30" t="n">
        <x:f>'原始数据-规模前十'!V8/MAX('原始数据-规模前十'!V$5:V8)-1</x:f>
        <x:v>-0.0012709508559164417</x:v>
      </x:c>
      <x:c r="AI8" s="30" t="n">
        <x:f>'原始数据-规模前十'!W8/MAX('原始数据-规模前十'!W$5:W8)-1</x:f>
        <x:v>-0.0023105360696893396</x:v>
      </x:c>
      <x:c r="AJ8" s="31" t="n">
        <x:f>'原始数据-规模前十'!X8/MAX('原始数据-规模前十'!X$5:X8)-1</x:f>
        <x:v>-0.006790650067147186</x:v>
      </x:c>
    </x:row>
    <x:row r="9">
      <x:c r="A9" s="26" t="n">
        <x:v>46198</x:v>
      </x:c>
      <x:c r="B9" s="27" t="n">
        <x:v>1.0013</x:v>
      </x:c>
      <x:c r="C9" s="27" t="n">
        <x:v>1.8096180606</x:v>
      </x:c>
      <x:c r="D9" s="27" t="n">
        <x:v>2.6122261148</x:v>
      </x:c>
      <x:c r="E9" s="27" t="n">
        <x:v>2.293904315</x:v>
      </x:c>
      <x:c r="F9" s="27" t="n">
        <x:v>1.4273000779</x:v>
      </x:c>
      <x:c r="G9" s="27" t="n">
        <x:v>1.8668210633</x:v>
      </x:c>
      <x:c r="H9" s="27" t="n">
        <x:v>1.2532</x:v>
      </x:c>
      <x:c r="I9" s="27" t="n">
        <x:v>2.079</x:v>
      </x:c>
      <x:c r="J9" s="27" t="n">
        <x:v>1.2739046428</x:v>
      </x:c>
      <x:c r="K9" s="27" t="n">
        <x:v>2.7805586959</x:v>
      </x:c>
      <x:c r="L9" s="27" t="n">
        <x:v>8.3920620804</x:v>
      </x:c>
      <x:c r="M9" s="28"/>
      <x:c r="N9" s="29" t="n">
        <x:f>'原始数据-规模前十'!B9/'原始数据-规模前十'!B$5</x:f>
        <x:v>1.0013</x:v>
      </x:c>
      <x:c r="O9" s="29" t="n">
        <x:f>'原始数据-规模前十'!C9/'原始数据-规模前十'!C$5</x:f>
        <x:v>1.0051970802779973</x:v>
      </x:c>
      <x:c r="P9" s="29" t="n">
        <x:f>'原始数据-规模前十'!D9/'原始数据-规模前十'!D$5</x:f>
        <x:v>1.0095410574785497</x:v>
      </x:c>
      <x:c r="Q9" s="29" t="n">
        <x:f>'原始数据-规模前十'!E9/'原始数据-规模前十'!E$5</x:f>
        <x:v>1.0026219192656527</x:v>
      </x:c>
      <x:c r="R9" s="29" t="n">
        <x:f>'原始数据-规模前十'!F9/'原始数据-规模前十'!F$5</x:f>
        <x:v>0.9888268156397488</x:v>
      </x:c>
      <x:c r="S9" s="29" t="n">
        <x:f>'原始数据-规模前十'!G9/'原始数据-规模前十'!G$5</x:f>
        <x:v>1.0092922681100718</x:v>
      </x:c>
      <x:c r="T9" s="29" t="n">
        <x:f>'原始数据-规模前十'!H9/'原始数据-规模前十'!H$5</x:f>
        <x:v>1.003684126221368</x:v>
      </x:c>
      <x:c r="U9" s="29" t="n">
        <x:f>'原始数据-规模前十'!I9/'原始数据-规模前十'!I$5</x:f>
        <x:v>1.0121713729308668</x:v>
      </x:c>
      <x:c r="V9" s="29" t="n">
        <x:f>'原始数据-规模前十'!J9/'原始数据-规模前十'!J$5</x:f>
        <x:v>1.0070786606177677</x:v>
      </x:c>
      <x:c r="W9" s="29" t="n">
        <x:f>'原始数据-规模前十'!K9/'原始数据-规模前十'!K$5</x:f>
        <x:v>1.013457076567969</x:v>
      </x:c>
      <x:c r="X9" s="29" t="n">
        <x:f>'原始数据-规模前十'!L9/'原始数据-规模前十'!L$5</x:f>
        <x:v>1.0060971408873554</x:v>
      </x:c>
      <x:c r="Y9" s="28"/>
      <x:c r="Z9" s="30" t="n">
        <x:f>'原始数据-规模前十'!N9/MAX('原始数据-规模前十'!N$5:N9)-1</x:f>
        <x:v>0</x:v>
      </x:c>
      <x:c r="AA9" s="30" t="n">
        <x:f>'原始数据-规模前十'!O9/MAX('原始数据-规模前十'!O$5:O9)-1</x:f>
        <x:v>0</x:v>
      </x:c>
      <x:c r="AB9" s="30" t="n">
        <x:f>'原始数据-规模前十'!P9/MAX('原始数据-规模前十'!P$5:P9)-1</x:f>
        <x:v>0</x:v>
      </x:c>
      <x:c r="AC9" s="30" t="n">
        <x:f>'原始数据-规模前十'!Q9/MAX('原始数据-规模前十'!Q$5:Q9)-1</x:f>
        <x:v>-0.001044932078959837</x:v>
      </x:c>
      <x:c r="AD9" s="30" t="n">
        <x:f>'原始数据-规模前十'!R9/MAX('原始数据-规模前十'!R$5:R9)-1</x:f>
        <x:v>-0.015885623524249715</x:v>
      </x:c>
      <x:c r="AE9" s="30" t="n">
        <x:f>'原始数据-规模前十'!S9/MAX('原始数据-规模前十'!S$5:S9)-1</x:f>
        <x:v>0</x:v>
      </x:c>
      <x:c r="AF9" s="30" t="n">
        <x:f>'原始数据-规模前十'!T9/MAX('原始数据-规模前十'!T$5:T9)-1</x:f>
        <x:v>-0.0027057138309722895</x:v>
      </x:c>
      <x:c r="AG9" s="30" t="n">
        <x:f>'原始数据-规模前十'!U9/MAX('原始数据-规模前十'!U$5:U9)-1</x:f>
        <x:v>0</x:v>
      </x:c>
      <x:c r="AH9" s="30" t="n">
        <x:f>'原始数据-规模前十'!V9/MAX('原始数据-规模前十'!V$5:V9)-1</x:f>
        <x:v>0</x:v>
      </x:c>
      <x:c r="AI9" s="30" t="n">
        <x:f>'原始数据-规模前十'!W9/MAX('原始数据-规模前十'!W$5:W9)-1</x:f>
        <x:v>0</x:v>
      </x:c>
      <x:c r="AJ9" s="31" t="n">
        <x:f>'原始数据-规模前十'!X9/MAX('原始数据-规模前十'!X$5:X9)-1</x:f>
        <x:v>-0.0033441392301215567</x:v>
      </x:c>
    </x:row>
    <x:row r="10">
      <x:c r="A10" s="26" t="n">
        <x:v>46199</x:v>
      </x:c>
      <x:c r="B10" s="27" t="n">
        <x:v>0.9989</x:v>
      </x:c>
      <x:c r="C10" s="27" t="n">
        <x:v>1.7934288436</x:v>
      </x:c>
      <x:c r="D10" s="27" t="n">
        <x:v>2.5898241757</x:v>
      </x:c>
      <x:c r="E10" s="27" t="n">
        <x:v>2.2879056112</x:v>
      </x:c>
      <x:c r="F10" s="27" t="n">
        <x:v>1.4215401906</x:v>
      </x:c>
      <x:c r="G10" s="27" t="n">
        <x:v>1.8602271962</x:v>
      </x:c>
      <x:c r="H10" s="27" t="n">
        <x:v>1.2465</x:v>
      </x:c>
      <x:c r="I10" s="27" t="n">
        <x:v>2.068</x:v>
      </x:c>
      <x:c r="J10" s="27" t="n">
        <x:v>1.2690754355</x:v>
      </x:c>
      <x:c r="K10" s="27" t="n">
        <x:v>2.7640077513</x:v>
      </x:c>
      <x:c r="L10" s="27" t="n">
        <x:v>8.3259760641</x:v>
      </x:c>
      <x:c r="M10" s="28"/>
      <x:c r="N10" s="29" t="n">
        <x:f>'原始数据-规模前十'!B10/'原始数据-规模前十'!B$5</x:f>
        <x:v>0.9989</x:v>
      </x:c>
      <x:c r="O10" s="29" t="n">
        <x:f>'原始数据-规模前十'!C10/'原始数据-规模前十'!C$5</x:f>
        <x:v>0.9962043795447876</x:v>
      </x:c>
      <x:c r="P10" s="29" t="n">
        <x:f>'原始数据-规模前十'!D10/'原始数据-规模前十'!D$5</x:f>
        <x:v>1.0008834312644745</x:v>
      </x:c>
      <x:c r="Q10" s="29" t="n">
        <x:f>'原始数据-规模前十'!E10/'原始数据-规模前十'!E$5</x:f>
        <x:v>1</x:v>
      </x:c>
      <x:c r="R10" s="29" t="n">
        <x:f>'原始数据-规模前十'!F10/'原始数据-规模前十'!F$5</x:f>
        <x:v>0.9848363926687904</x:v>
      </x:c>
      <x:c r="S10" s="29" t="n">
        <x:f>'原始数据-规模前十'!G10/'原始数据-规模前十'!G$5</x:f>
        <x:v>1.0057273098975203</x:v>
      </x:c>
      <x:c r="T10" s="29" t="n">
        <x:f>'原始数据-规模前十'!H10/'原始数据-规模前十'!H$5</x:f>
        <x:v>0.998318116290245</x:v>
      </x:c>
      <x:c r="U10" s="29" t="n">
        <x:f>'原始数据-规模前十'!I10/'原始数据-规模前十'!I$5</x:f>
        <x:v>1.0068159688412854</x:v>
      </x:c>
      <x:c r="V10" s="29" t="n">
        <x:f>'原始数据-规模前十'!J10/'原始数据-规模前十'!J$5</x:f>
        <x:v>1.0032609560140384</x:v>
      </x:c>
      <x:c r="W10" s="29" t="n">
        <x:f>'原始数据-规模前十'!K10/'原始数据-规模前十'!K$5</x:f>
        <x:v>1.0074245939760755</x:v>
      </x:c>
      <x:c r="X10" s="29" t="n">
        <x:f>'原始数据-规模前十'!L10/'原始数据-规模前十'!L$5</x:f>
        <x:v>0.9981743024460916</x:v>
      </x:c>
      <x:c r="Y10" s="28"/>
      <x:c r="Z10" s="30" t="n">
        <x:f>'原始数据-规模前十'!N10/MAX('原始数据-规模前十'!N$5:N10)-1</x:f>
        <x:v>-0.002396884050734127</x:v>
      </x:c>
      <x:c r="AA10" s="30" t="n">
        <x:f>'原始数据-规模前十'!O10/MAX('原始数据-规模前十'!O$5:O10)-1</x:f>
        <x:v>-0.008946206579432792</x:v>
      </x:c>
      <x:c r="AB10" s="30" t="n">
        <x:f>'原始数据-规模前十'!P10/MAX('原始数据-规模前十'!P$5:P10)-1</x:f>
        <x:v>-0.008575803975420904</x:v>
      </x:c>
      <x:c r="AC10" s="30" t="n">
        <x:f>'原始数据-规模前十'!Q10/MAX('原始数据-规模前十'!Q$5:Q10)-1</x:f>
        <x:v>-0.003657262298133568</x:v>
      </x:c>
      <x:c r="AD10" s="30" t="n">
        <x:f>'原始数据-规模前十'!R10/MAX('原始数据-规模前十'!R$5:R10)-1</x:f>
        <x:v>-0.019857029388074876</x:v>
      </x:c>
      <x:c r="AE10" s="30" t="n">
        <x:f>'原始数据-规模前十'!S10/MAX('原始数据-规模前十'!S$5:S10)-1</x:f>
        <x:v>-0.0035321366517816477</x:v>
      </x:c>
      <x:c r="AF10" s="30" t="n">
        <x:f>'原始数据-规模前十'!T10/MAX('原始数据-规模前十'!T$5:T10)-1</x:f>
        <x:v>-0.008037561674359428</x:v>
      </x:c>
      <x:c r="AG10" s="30" t="n">
        <x:f>'原始数据-规模前十'!U10/MAX('原始数据-规模前十'!U$5:U10)-1</x:f>
        <x:v>-0.005291005291005346</x:v>
      </x:c>
      <x:c r="AH10" s="30" t="n">
        <x:f>'原始数据-规模前十'!V10/MAX('原始数据-规模前十'!V$5:V10)-1</x:f>
        <x:v>-0.003790870319293038</x:v>
      </x:c>
      <x:c r="AI10" s="30" t="n">
        <x:f>'原始数据-规模前十'!W10/MAX('原始数据-规模前十'!W$5:W10)-1</x:f>
        <x:v>-0.005952380945744795</x:v>
      </x:c>
      <x:c r="AJ10" s="31" t="n">
        <x:f>'原始数据-规模前十'!X10/MAX('原始数据-规模前十'!X$5:X10)-1</x:f>
        <x:v>-0.01119262924715314</x:v>
      </x:c>
    </x:row>
    <x:row r="11">
      <x:c r="A11" s="26" t="n">
        <x:v>46202</x:v>
      </x:c>
      <x:c r="B11" s="27" t="n">
        <x:v>1.0005</x:v>
      </x:c>
      <x:c r="C11" s="27" t="n">
        <x:v>1.7897494761</x:v>
      </x:c>
      <x:c r="D11" s="27" t="n">
        <x:v>2.5914243142</x:v>
      </x:c>
      <x:c r="E11" s="27" t="n">
        <x:v>2.2927045742</x:v>
      </x:c>
      <x:c r="F11" s="27" t="n">
        <x:v>1.4261481004</x:v>
      </x:c>
      <x:c r="G11" s="27" t="n">
        <x:v>1.8640105626</x:v>
      </x:c>
      <x:c r="H11" s="27" t="n">
        <x:v>1.2512</x:v>
      </x:c>
      <x:c r="I11" s="27" t="n">
        <x:v>2.078</x:v>
      </x:c>
      <x:c r="J11" s="27" t="n">
        <x:v>1.2776271568</x:v>
      </x:c>
      <x:c r="K11" s="27" t="n">
        <x:v>2.7716466488</x:v>
      </x:c>
      <x:c r="L11" s="27" t="n">
        <x:v>8.3590190722</x:v>
      </x:c>
      <x:c r="M11" s="28"/>
      <x:c r="N11" s="29" t="n">
        <x:f>'原始数据-规模前十'!B11/'原始数据-规模前十'!B$5</x:f>
        <x:v>1.0005</x:v>
      </x:c>
      <x:c r="O11" s="29" t="n">
        <x:f>'原始数据-规模前十'!C11/'原始数据-规模前十'!C$5</x:f>
        <x:v>0.9941605839236035</x:v>
      </x:c>
      <x:c r="P11" s="29" t="n">
        <x:f>'原始数据-规模前十'!D11/'原始数据-规模前十'!D$5</x:f>
        <x:v>1.001501833134148</x:v>
      </x:c>
      <x:c r="Q11" s="29" t="n">
        <x:f>'原始数据-规模前十'!E11/'原始数据-规模前十'!E$5</x:f>
        <x:v>1.002097535395039</x:v>
      </x:c>
      <x:c r="R11" s="29" t="n">
        <x:f>'原始数据-规模前十'!F11/'原始数据-规模前十'!F$5</x:f>
        <x:v>0.9880287310178454</x:v>
      </x:c>
      <x:c r="S11" s="29" t="n">
        <x:f>'原始数据-规模前十'!G11/'原始数据-规模前十'!G$5</x:f>
        <x:v>1.007772777741234</x:v>
      </x:c>
      <x:c r="T11" s="29" t="n">
        <x:f>'原始数据-规模前十'!H11/'原始数据-规模前十'!H$5</x:f>
        <x:v>1.0020823322120775</x:v>
      </x:c>
      <x:c r="U11" s="29" t="n">
        <x:f>'原始数据-规模前十'!I11/'原始数据-规模前十'!I$5</x:f>
        <x:v>1.011684518013632</x:v>
      </x:c>
      <x:c r="V11" s="29" t="n">
        <x:f>'原始数据-规模前十'!J11/'原始数据-规模前十'!J$5</x:f>
        <x:v>1.0100214746144345</x:v>
      </x:c>
      <x:c r="W11" s="29" t="n">
        <x:f>'原始数据-规模前十'!K11/'原始数据-规模前十'!K$5</x:f>
        <x:v>1.010208816707992</x:v>
      </x:c>
      <x:c r="X11" s="29" t="n">
        <x:f>'原始数据-规模前十'!L11/'原始数据-规模前十'!L$5</x:f>
        <x:v>1.0021357216607292</x:v>
      </x:c>
      <x:c r="Y11" s="28"/>
      <x:c r="Z11" s="30" t="n">
        <x:f>'原始数据-规模前十'!N11/MAX('原始数据-规模前十'!N$5:N11)-1</x:f>
        <x:v>-0.0007989613502448201</x:v>
      </x:c>
      <x:c r="AA11" s="30" t="n">
        <x:f>'原始数据-规模前十'!O11/MAX('原始数据-规模前十'!O$5:O11)-1</x:f>
        <x:v>-0.0109794353474858</x:v>
      </x:c>
      <x:c r="AB11" s="30" t="n">
        <x:f>'原始数据-规模前十'!P11/MAX('原始数据-规模前十'!P$5:P11)-1</x:f>
        <x:v>-0.007963246551339398</x:v>
      </x:c>
      <x:c r="AC11" s="30" t="n">
        <x:f>'原始数据-规模前十'!Q11/MAX('原始数据-规模前十'!Q$5:Q11)-1</x:f>
        <x:v>-0.0015673981402137827</x:v>
      </x:c>
      <x:c r="AD11" s="30" t="n">
        <x:f>'原始数据-规模前十'!R11/MAX('原始数据-规模前十'!R$5:R11)-1</x:f>
        <x:v>-0.016679904724594463</x:v>
      </x:c>
      <x:c r="AE11" s="30" t="n">
        <x:f>'原始数据-规模前十'!S11/MAX('原始数据-规模前十'!S$5:S11)-1</x:f>
        <x:v>-0.0015055008512876444</x:v>
      </x:c>
      <x:c r="AF11" s="30" t="n">
        <x:f>'原始数据-规模前十'!T11/MAX('原始数据-规模前十'!T$5:T11)-1</x:f>
        <x:v>-0.004297310202132643</x:v>
      </x:c>
      <x:c r="AG11" s="30" t="n">
        <x:f>'原始数据-规模前十'!U11/MAX('原始数据-规模前十'!U$5:U11)-1</x:f>
        <x:v>-0.0004810004810006374</x:v>
      </x:c>
      <x:c r="AH11" s="30" t="n">
        <x:f>'原始数据-规模前十'!V11/MAX('原始数据-规模前十'!V$5:V11)-1</x:f>
        <x:v>0</x:v>
      </x:c>
      <x:c r="AI11" s="30" t="n">
        <x:f>'原始数据-规模前十'!W11/MAX('原始数据-规模前十'!W$5:W11)-1</x:f>
        <x:v>-0.0032051282043212836</x:v>
      </x:c>
      <x:c r="AJ11" s="31" t="n">
        <x:f>'原始数据-规模前十'!X11/MAX('原始数据-规模前十'!X$5:X11)-1</x:f>
        <x:v>-0.007268384244575432</x:v>
      </x:c>
    </x:row>
    <x:row r="12">
      <x:c r="A12" s="26" t="n">
        <x:v>46203</x:v>
      </x:c>
      <x:c r="B12" s="27" t="n">
        <x:v>1.0027</x:v>
      </x:c>
      <x:c r="C12" s="27" t="n">
        <x:v>1.8056233187</x:v>
      </x:c>
      <x:c r="D12" s="27" t="n">
        <x:v>2.6063970388</x:v>
      </x:c>
      <x:c r="E12" s="27" t="n">
        <x:v>2.298703278</x:v>
      </x:c>
      <x:c r="F12" s="27" t="n">
        <x:v>1.4215401906</x:v>
      </x:c>
      <x:c r="G12" s="27" t="n">
        <x:v>1.8777387777</x:v>
      </x:c>
      <x:c r="H12" s="27" t="n">
        <x:v>1.2537</x:v>
      </x:c>
      <x:c r="I12" s="27" t="n">
        <x:v>2.089</x:v>
      </x:c>
      <x:c r="J12" s="27" t="n">
        <x:v>1.2837642744</x:v>
      </x:c>
      <x:c r="K12" s="27" t="n">
        <x:v>2.7881975934</x:v>
      </x:c>
      <x:c r="L12" s="27" t="n">
        <x:v>8.3529851316</x:v>
      </x:c>
      <x:c r="M12" s="28"/>
      <x:c r="N12" s="29" t="n">
        <x:f>'原始数据-规模前十'!B12/'原始数据-规模前十'!B$5</x:f>
        <x:v>1.0027</x:v>
      </x:c>
      <x:c r="O12" s="29" t="n">
        <x:f>'原始数据-规模前十'!C12/'原始数据-规模前十'!C$5</x:f>
        <x:v>1.0029781021511912</x:v>
      </x:c>
      <x:c r="P12" s="29" t="n">
        <x:f>'原始数据-规模前十'!D12/'原始数据-规模前十'!D$5</x:f>
        <x:v>1.007288307796651</x:v>
      </x:c>
      <x:c r="Q12" s="29" t="n">
        <x:f>'原始数据-规模前十'!E12/'原始数据-规模前十'!E$5</x:f>
        <x:v>1.0047194546606917</x:v>
      </x:c>
      <x:c r="R12" s="29" t="n">
        <x:f>'原始数据-规模前十'!F12/'原始数据-规模前十'!F$5</x:f>
        <x:v>0.9848363926687904</x:v>
      </x:c>
      <x:c r="S12" s="29" t="n">
        <x:f>'原始数据-规模前十'!G12/'原始数据-规模前十'!G$5</x:f>
        <x:v>1.0151949038505725</x:v>
      </x:c>
      <x:c r="T12" s="29" t="n">
        <x:f>'原始数据-规模前十'!H12/'原始数据-规模前十'!H$5</x:f>
        <x:v>1.0040845747236906</x:v>
      </x:c>
      <x:c r="U12" s="29" t="n">
        <x:f>'原始数据-规模前十'!I12/'原始数据-规模前十'!I$5</x:f>
        <x:v>1.0170399221032134</x:v>
      </x:c>
      <x:c r="V12" s="29" t="n">
        <x:f>'原始数据-规模前十'!J12/'原始数据-规模前十'!J$5</x:f>
        <x:v>1.0148731408734388</x:v>
      </x:c>
      <x:c r="W12" s="29" t="n">
        <x:f>'原始数据-规模前十'!K12/'原始数据-规模前十'!K$5</x:f>
        <x:v>1.0162412992998853</x:v>
      </x:c>
      <x:c r="X12" s="29" t="n">
        <x:f>'原始数据-规模前十'!L12/'原始数据-规模前十'!L$5</x:f>
        <x:v>1.0014123320661594</x:v>
      </x:c>
      <x:c r="Y12" s="28"/>
      <x:c r="Z12" s="30" t="n">
        <x:f>'原始数据-规模前十'!N12/MAX('原始数据-规模前十'!N$5:N12)-1</x:f>
        <x:v>0</x:v>
      </x:c>
      <x:c r="AA12" s="30" t="n">
        <x:f>'原始数据-规模前十'!O12/MAX('原始数据-规模前十'!O$5:O12)-1</x:f>
        <x:v>-0.0022075055432835278</x:v>
      </x:c>
      <x:c r="AB12" s="30" t="n">
        <x:f>'原始数据-规模前十'!P12/MAX('原始数据-规模前十'!P$5:P12)-1</x:f>
        <x:v>-0.0022314592013971124</x:v>
      </x:c>
      <x:c r="AC12" s="30" t="n">
        <x:f>'原始数据-规模前十'!Q12/MAX('原始数据-规模前十'!Q$5:Q12)-1</x:f>
        <x:v>0</x:v>
      </x:c>
      <x:c r="AD12" s="30" t="n">
        <x:f>'原始数据-规模前十'!R12/MAX('原始数据-规模前十'!R$5:R12)-1</x:f>
        <x:v>-0.019857029388074876</x:v>
      </x:c>
      <x:c r="AE12" s="30" t="n">
        <x:f>'原始数据-规模前十'!S12/MAX('原始数据-规模前十'!S$5:S12)-1</x:f>
        <x:v>0</x:v>
      </x:c>
      <x:c r="AF12" s="30" t="n">
        <x:f>'原始数据-规模前十'!T12/MAX('原始数据-规模前十'!T$5:T12)-1</x:f>
        <x:v>-0.002307814738182312</x:v>
      </x:c>
      <x:c r="AG12" s="30" t="n">
        <x:f>'原始数据-规模前十'!U12/MAX('原始数据-规模前十'!U$5:U12)-1</x:f>
        <x:v>0</x:v>
      </x:c>
      <x:c r="AH12" s="30" t="n">
        <x:f>'原始数据-规模前十'!V12/MAX('原始数据-规模前十'!V$5:V12)-1</x:f>
        <x:v>0</x:v>
      </x:c>
      <x:c r="AI12" s="30" t="n">
        <x:f>'原始数据-规模前十'!W12/MAX('原始数据-规模前十'!W$5:W12)-1</x:f>
        <x:v>0</x:v>
      </x:c>
      <x:c r="AJ12" s="31" t="n">
        <x:f>'原始数据-规模前十'!X12/MAX('原始数据-规模前十'!X$5:X12)-1</x:f>
        <x:v>-0.007984985504779774</x:v>
      </x:c>
    </x:row>
    <x:row r="13">
      <x:c r="A13" s="26" t="n">
        <x:v>46204</x:v>
      </x:c>
      <x:c r="B13" s="27" t="n">
        <x:v>1</x:v>
      </x:c>
      <x:c r="C13" s="27" t="n">
        <x:v>1.7886982282</x:v>
      </x:c>
      <x:c r="D13" s="27" t="n">
        <x:v>2.5974819814</x:v>
      </x:c>
      <x:c r="E13" s="27" t="n">
        <x:v>2.293904315</x:v>
      </x:c>
      <x:c r="F13" s="27" t="n">
        <x:v>1.4226921681</x:v>
      </x:c>
      <x:c r="G13" s="27" t="n">
        <x:v>1.8715772953</x:v>
      </x:c>
      <x:c r="H13" s="27" t="n">
        <x:v>1.2525</x:v>
      </x:c>
      <x:c r="I13" s="27" t="n">
        <x:v>2.082</x:v>
      </x:c>
      <x:c r="J13" s="27" t="n">
        <x:v>1.2784320247</x:v>
      </x:c>
      <x:c r="K13" s="27" t="n">
        <x:v>2.7792855463</x:v>
      </x:c>
      <x:c r="L13" s="27" t="n">
        <x:v>8.3521231401</x:v>
      </x:c>
      <x:c r="M13" s="28"/>
      <x:c r="N13" s="29" t="n">
        <x:f>'原始数据-规模前十'!B13/'原始数据-规模前十'!B$5</x:f>
        <x:v>1</x:v>
      </x:c>
      <x:c r="O13" s="29" t="n">
        <x:f>'原始数据-规模前十'!C13/'原始数据-规模前十'!C$5</x:f>
        <x:v>0.9935766422937449</x:v>
      </x:c>
      <x:c r="P13" s="29" t="n">
        <x:f>'原始数据-规模前十'!D13/'原始数据-规模前十'!D$5</x:f>
        <x:v>1.0038429259347648</x:v>
      </x:c>
      <x:c r="Q13" s="29" t="n">
        <x:f>'原始数据-规模前十'!E13/'原始数据-规模前十'!E$5</x:f>
        <x:v>1.0026219192656527</x:v>
      </x:c>
      <x:c r="R13" s="29" t="n">
        <x:f>'原始数据-规模前十'!F13/'原始数据-规模前十'!F$5</x:f>
        <x:v>0.985634477290694</x:v>
      </x:c>
      <x:c r="S13" s="29" t="n">
        <x:f>'原始数据-规模前十'!G13/'原始数据-规模前十'!G$5</x:f>
        <x:v>1.0118637133745965</x:v>
      </x:c>
      <x:c r="T13" s="29" t="n">
        <x:f>'原始数据-规模前十'!H13/'原始数据-规模前十'!H$5</x:f>
        <x:v>1.0031234983181163</x:v>
      </x:c>
      <x:c r="U13" s="29" t="n">
        <x:f>'原始数据-规模前十'!I13/'原始数据-规模前十'!I$5</x:f>
        <x:v>1.0136319376825706</x:v>
      </x:c>
      <x:c r="V13" s="29" t="n">
        <x:f>'原始数据-规模前十'!J13/'原始数据-规模前十'!J$5</x:f>
        <x:v>1.010657758728232</x:v>
      </x:c>
      <x:c r="W13" s="29" t="n">
        <x:f>'原始数据-规模前十'!K13/'原始数据-规模前十'!K$5</x:f>
        <x:v>1.0129930394399083</x:v>
      </x:c>
      <x:c r="X13" s="29" t="n">
        <x:f>'原始数据-规模前十'!L13/'原始数据-规模前十'!L$5</x:f>
        <x:v>1.0013089906972192</x:v>
      </x:c>
      <x:c r="Y13" s="28"/>
      <x:c r="Z13" s="30" t="n">
        <x:f>'原始数据-规模前十'!N13/MAX('原始数据-规模前十'!N$5:N13)-1</x:f>
        <x:v>-0.002692729629998891</x:v>
      </x:c>
      <x:c r="AA13" s="30" t="n">
        <x:f>'原始数据-规模前十'!O13/MAX('原始数据-规模前十'!O$5:O13)-1</x:f>
        <x:v>-0.011560357876326699</x:v>
      </x:c>
      <x:c r="AB13" s="30" t="n">
        <x:f>'原始数据-规模前十'!P13/MAX('原始数据-规模前十'!P$5:P13)-1</x:f>
        <x:v>-0.005644279151971077</x:v>
      </x:c>
      <x:c r="AC13" s="30" t="n">
        <x:f>'原始数据-规模前十'!Q13/MAX('原始数据-规模前十'!Q$5:Q13)-1</x:f>
        <x:v>-0.0020876826713257524</x:v>
      </x:c>
      <x:c r="AD13" s="30" t="n">
        <x:f>'原始数据-规模前十'!R13/MAX('原始数据-规模前十'!R$5:R13)-1</x:f>
        <x:v>-0.019062748187730016</x:v>
      </x:c>
      <x:c r="AE13" s="30" t="n">
        <x:f>'原始数据-规模前十'!S13/MAX('原始数据-规模前十'!S$5:S13)-1</x:f>
        <x:v>-0.003281330967424112</x:v>
      </x:c>
      <x:c r="AF13" s="30" t="n">
        <x:f>'原始数据-规模前十'!T13/MAX('原始数据-规模前十'!T$5:T13)-1</x:f>
        <x:v>-0.0032627725608784797</x:v>
      </x:c>
      <x:c r="AG13" s="30" t="n">
        <x:f>'原始数据-规模前十'!U13/MAX('原始数据-规模前十'!U$5:U13)-1</x:f>
        <x:v>-0.00335088559119201</x:v>
      </x:c>
      <x:c r="AH13" s="30" t="n">
        <x:f>'原始数据-规模前十'!V13/MAX('原始数据-规模前十'!V$5:V13)-1</x:f>
        <x:v>-0.004153604993013205</x:v>
      </x:c>
      <x:c r="AI13" s="30" t="n">
        <x:f>'原始数据-规模前十'!W13/MAX('原始数据-规模前十'!W$5:W13)-1</x:f>
        <x:v>-0.0031963470311773268</x:v>
      </x:c>
      <x:c r="AJ13" s="31" t="n">
        <x:f>'原始数据-规模前十'!X13/MAX('原始数据-规模前十'!X$5:X13)-1</x:f>
        <x:v>-0.008087357111683846</x:v>
      </x:c>
    </x:row>
    <x:row r="14">
      <x:c r="A14" s="26" t="n">
        <x:v>46205</x:v>
      </x:c>
      <x:c r="B14" s="27" t="n">
        <x:v>0.9942</x:v>
      </x:c>
      <x:c r="C14" s="27" t="n">
        <x:v>1.7635734045</x:v>
      </x:c>
      <x:c r="D14" s="27" t="n">
        <x:v>2.5682223058</x:v>
      </x:c>
      <x:c r="E14" s="27" t="n">
        <x:v>2.2819069075</x:v>
      </x:c>
      <x:c r="F14" s="27" t="n">
        <x:v>1.4273000779</x:v>
      </x:c>
      <x:c r="G14" s="27" t="n">
        <x:v>1.8454180193</x:v>
      </x:c>
      <x:c r="H14" s="27" t="n">
        <x:v>1.2399</x:v>
      </x:c>
      <x:c r="I14" s="27" t="n">
        <x:v>2.063</x:v>
      </x:c>
      <x:c r="J14" s="27" t="n">
        <x:v>1.2650510961</x:v>
      </x:c>
      <x:c r="K14" s="27" t="n">
        <x:v>2.7334521612</x:v>
      </x:c>
      <x:c r="L14" s="27" t="n">
        <x:v>8.3187928014</x:v>
      </x:c>
      <x:c r="M14" s="28"/>
      <x:c r="N14" s="29" t="n">
        <x:f>'原始数据-规模前十'!B14/'原始数据-规模前十'!B$5</x:f>
        <x:v>0.9942</x:v>
      </x:c>
      <x:c r="O14" s="29" t="n">
        <x:f>'原始数据-规模前十'!C14/'原始数据-规模前十'!C$5</x:f>
        <x:v>0.9796204379567006</x:v>
      </x:c>
      <x:c r="P14" s="29" t="n">
        <x:f>'原始数据-规模前十'!D14/'原始数据-规模前十'!D$5</x:f>
        <x:v>0.9925350059659128</x:v>
      </x:c>
      <x:c r="Q14" s="29" t="n">
        <x:f>'原始数据-规模前十'!E14/'原始数据-规模前十'!E$5</x:f>
        <x:v>0.9973780807780555</x:v>
      </x:c>
      <x:c r="R14" s="29" t="n">
        <x:f>'原始数据-规模前十'!F14/'原始数据-规模前十'!F$5</x:f>
        <x:v>0.9888268156397488</x:v>
      </x:c>
      <x:c r="S14" s="29" t="n">
        <x:f>'原始数据-规模前十'!G14/'原始数据-规模前十'!G$5</x:f>
        <x:v>0.9977207644197108</x:v>
      </x:c>
      <x:c r="T14" s="29" t="n">
        <x:f>'原始数据-规模前十'!H14/'原始数据-规模前十'!H$5</x:f>
        <x:v>0.9930321960595868</x:v>
      </x:c>
      <x:c r="U14" s="29" t="n">
        <x:f>'原始数据-规模前十'!I14/'原始数据-规模前十'!I$5</x:f>
        <x:v>1.004381694255112</x:v>
      </x:c>
      <x:c r="V14" s="29" t="n">
        <x:f>'原始数据-规模前十'!J14/'原始数据-规模前十'!J$5</x:f>
        <x:v>1.0000795355241066</x:v>
      </x:c>
      <x:c r="W14" s="29" t="n">
        <x:f>'原始数据-规模前十'!K14/'原始数据-规模前十'!K$5</x:f>
        <x:v>0.9962877030119622</x:v>
      </x:c>
      <x:c r="X14" s="29" t="n">
        <x:f>'原始数据-规模前十'!L14/'原始数据-规模前十'!L$5</x:f>
        <x:v>0.9973131243476131</x:v>
      </x:c>
      <x:c r="Y14" s="28"/>
      <x:c r="Z14" s="30" t="n">
        <x:f>'原始数据-规模前十'!N14/MAX('原始数据-规模前十'!N$5:N14)-1</x:f>
        <x:v>-0.00847711179814492</x:v>
      </x:c>
      <x:c r="AA14" s="30" t="n">
        <x:f>'原始数据-规模前十'!O14/MAX('原始数据-规模前十'!O$5:O14)-1</x:f>
        <x:v>-0.02544440570223616</x:v>
      </x:c>
      <x:c r="AB14" s="30" t="n">
        <x:f>'原始数据-规模前十'!P14/MAX('原始数据-规模前十'!P$5:P14)-1</x:f>
        <x:v>-0.0168453292579418</x:v>
      </x:c>
      <x:c r="AC14" s="30" t="n">
        <x:f>'原始数据-规模前十'!Q14/MAX('原始数据-规模前十'!Q$5:Q14)-1</x:f>
        <x:v>-0.007306889349639856</x:v>
      </x:c>
      <x:c r="AD14" s="30" t="n">
        <x:f>'原始数据-规模前十'!R14/MAX('原始数据-规模前十'!R$5:R14)-1</x:f>
        <x:v>-0.015885623524249715</x:v>
      </x:c>
      <x:c r="AE14" s="30" t="n">
        <x:f>'原始数据-规模前十'!S14/MAX('原始数据-规模前十'!S$5:S14)-1</x:f>
        <x:v>-0.017212595694268584</x:v>
      </x:c>
      <x:c r="AF14" s="30" t="n">
        <x:f>'原始数据-规模前十'!T14/MAX('原始数据-规模前十'!T$5:T14)-1</x:f>
        <x:v>-0.013289829699188127</x:v>
      </x:c>
      <x:c r="AG14" s="30" t="n">
        <x:f>'原始数据-规模前十'!U14/MAX('原始数据-规模前十'!U$5:U14)-1</x:f>
        <x:v>-0.012446146481570164</x:v>
      </x:c>
      <x:c r="AH14" s="30" t="n">
        <x:f>'原始数据-规模前十'!V14/MAX('原始数据-规模前十'!V$5:V14)-1</x:f>
        <x:v>-0.014576802512085707</x:v>
      </x:c>
      <x:c r="AI14" s="30" t="n">
        <x:f>'原始数据-规模前十'!W14/MAX('原始数据-规模前十'!W$5:W14)-1</x:f>
        <x:v>-0.019634703196641956</x:v>
      </x:c>
      <x:c r="AJ14" s="31" t="n">
        <x:f>'原始数据-规模前十'!X14/MAX('原始数据-规模前十'!X$5:X14)-1</x:f>
        <x:v>-0.01204572599510556</x:v>
      </x:c>
    </x:row>
    <x:row r="15">
      <x:c r="A15" s="26" t="n">
        <x:v>46206</x:v>
      </x:c>
      <x:c r="B15" s="27" t="n">
        <x:v>0.995</x:v>
      </x:c>
      <x:c r="C15" s="27" t="n">
        <x:v>1.7666220232</x:v>
      </x:c>
      <x:c r="D15" s="27" t="n">
        <x:v>2.5694795575</x:v>
      </x:c>
      <x:c r="E15" s="27" t="n">
        <x:v>2.2807071667</x:v>
      </x:c>
      <x:c r="F15" s="27" t="n">
        <x:v>1.4342119427</x:v>
      </x:c>
      <x:c r="G15" s="27" t="n">
        <x:v>1.8452018269</x:v>
      </x:c>
      <x:c r="H15" s="27" t="n">
        <x:v>1.2437</x:v>
      </x:c>
      <x:c r="I15" s="27" t="n">
        <x:v>2.063</x:v>
      </x:c>
      <x:c r="J15" s="27" t="n">
        <x:v>1.2631395349</x:v>
      </x:c>
      <x:c r="K15" s="27" t="n">
        <x:v>2.7321790116</x:v>
      </x:c>
      <x:c r="L15" s="27" t="n">
        <x:v>8.346951191</x:v>
      </x:c>
      <x:c r="M15" s="28"/>
      <x:c r="N15" s="29" t="n">
        <x:f>'原始数据-规模前十'!B15/'原始数据-规模前十'!B$5</x:f>
        <x:v>0.995</x:v>
      </x:c>
      <x:c r="O15" s="29" t="n">
        <x:f>'原始数据-规模前十'!C15/'原始数据-规模前十'!C$5</x:f>
        <x:v>0.981313868566641</x:v>
      </x:c>
      <x:c r="P15" s="29" t="n">
        <x:f>'原始数据-规模前十'!D15/'原始数据-规模前十'!D$5</x:f>
        <x:v>0.993020893157509</x:v>
      </x:c>
      <x:c r="Q15" s="29" t="n">
        <x:f>'原始数据-规模前十'!E15/'原始数据-规模前十'!E$5</x:f>
        <x:v>0.9968536969074419</x:v>
      </x:c>
      <x:c r="R15" s="29" t="n">
        <x:f>'原始数据-规模前十'!F15/'原始数据-规模前十'!F$5</x:f>
        <x:v>0.9936153232326107</x:v>
      </x:c>
      <x:c r="S15" s="29" t="n">
        <x:f>'原始数据-规模前十'!G15/'原始数据-规模前十'!G$5</x:f>
        <x:v>0.9976038805243906</x:v>
      </x:c>
      <x:c r="T15" s="29" t="n">
        <x:f>'原始数据-规模前十'!H15/'原始数据-规模前十'!H$5</x:f>
        <x:v>0.9960756046772385</x:v>
      </x:c>
      <x:c r="U15" s="29" t="n">
        <x:f>'原始数据-规模前十'!I15/'原始数据-规模前十'!I$5</x:f>
        <x:v>1.004381694255112</x:v>
      </x:c>
      <x:c r="V15" s="29" t="n">
        <x:f>'原始数据-规模前十'!J15/'原始数据-规模前十'!J$5</x:f>
        <x:v>0.9985683608032471</x:v>
      </x:c>
      <x:c r="W15" s="29" t="n">
        <x:f>'原始数据-规模前十'!K15/'原始数据-规模前十'!K$5</x:f>
        <x:v>0.9958236658839016</x:v>
      </x:c>
      <x:c r="X15" s="29" t="n">
        <x:f>'原始数据-规模前十'!L15/'原始数据-规模前十'!L$5</x:f>
        <x:v>1.0006889424715897</x:v>
      </x:c>
      <x:c r="Y15" s="28"/>
      <x:c r="Z15" s="30" t="n">
        <x:f>'原始数据-规模前十'!N15/MAX('原始数据-规模前十'!N$5:N15)-1</x:f>
        <x:v>-0.007679265981848982</x:v>
      </x:c>
      <x:c r="AA15" s="30" t="n">
        <x:f>'原始数据-规模前十'!O15/MAX('原始数据-规模前十'!O$5:O15)-1</x:f>
        <x:v>-0.02375973048464397</x:v>
      </x:c>
      <x:c r="AB15" s="30" t="n">
        <x:f>'原始数据-规模前十'!P15/MAX('原始数据-规模前十'!P$5:P15)-1</x:f>
        <x:v>-0.016364034130817662</x:v>
      </x:c>
      <x:c r="AC15" s="30" t="n">
        <x:f>'原始数据-规模前十'!Q15/MAX('原始数据-规模前十'!Q$5:Q15)-1</x:f>
        <x:v>-0.007828810039222533</x:v>
      </x:c>
      <x:c r="AD15" s="30" t="n">
        <x:f>'原始数据-规模前十'!R15/MAX('原始数据-规模前十'!R$5:R15)-1</x:f>
        <x:v>-0.011119936460079805</x:v>
      </x:c>
      <x:c r="AE15" s="30" t="n">
        <x:f>'原始数据-规模前十'!S15/MAX('原始数据-规模前十'!S$5:S15)-1</x:f>
        <x:v>-0.017327730132864372</x:v>
      </x:c>
      <x:c r="AF15" s="30" t="n">
        <x:f>'原始数据-规模前十'!T15/MAX('原始数据-规模前十'!T$5:T15)-1</x:f>
        <x:v>-0.010265796593983634</x:v>
      </x:c>
      <x:c r="AG15" s="30" t="n">
        <x:f>'原始数据-规模前十'!U15/MAX('原始数据-规模前十'!U$5:U15)-1</x:f>
        <x:v>-0.012446146481570164</x:v>
      </x:c>
      <x:c r="AH15" s="30" t="n">
        <x:f>'原始数据-规模前十'!V15/MAX('原始数据-规模前十'!V$5:V15)-1</x:f>
        <x:v>-0.01606583070684009</x:v>
      </x:c>
      <x:c r="AI15" s="30" t="n">
        <x:f>'原始数据-规模前十'!W15/MAX('原始数据-规模前十'!W$5:W15)-1</x:f>
        <x:v>-0.020091324206219396</x:v>
      </x:c>
      <x:c r="AJ15" s="31" t="n">
        <x:f>'原始数据-规模前十'!X15/MAX('原始数据-规模前十'!X$5:X15)-1</x:f>
        <x:v>-0.008701586764984115</x:v>
      </x:c>
    </x:row>
    <x:row r="16">
      <x:c r="A16" s="26" t="n">
        <x:v>46209</x:v>
      </x:c>
      <x:c r="B16" s="27" t="n">
        <x:v>0.9941</x:v>
      </x:c>
      <x:c r="C16" s="27" t="n">
        <x:v>1.7648349019</x:v>
      </x:c>
      <x:c r="D16" s="27" t="n">
        <x:v>2.5750800423</x:v>
      </x:c>
      <x:c r="E16" s="27" t="n">
        <x:v>2.2855061297</x:v>
      </x:c>
      <x:c r="F16" s="27" t="n">
        <x:v>1.4388198525</x:v>
      </x:c>
      <x:c r="G16" s="27" t="n">
        <x:v>1.8409860758</x:v>
      </x:c>
      <x:c r="H16" s="27" t="n">
        <x:v>1.2403</x:v>
      </x:c>
      <x:c r="I16" s="27" t="n">
        <x:v>2.071</x:v>
      </x:c>
      <x:c r="J16" s="27" t="n">
        <x:v>1.2612279737</x:v>
      </x:c>
      <x:c r="K16" s="27" t="n">
        <x:v>2.7334521612</x:v>
      </x:c>
      <x:c r="L16" s="27" t="n">
        <x:v>8.3598810638</x:v>
      </x:c>
      <x:c r="M16" s="28"/>
      <x:c r="N16" s="29" t="n">
        <x:f>'原始数据-规模前十'!B16/'原始数据-规模前十'!B$5</x:f>
        <x:v>0.9941</x:v>
      </x:c>
      <x:c r="O16" s="29" t="n">
        <x:f>'原始数据-规模前十'!C16/'原始数据-规模前十'!C$5</x:f>
        <x:v>0.980321167868093</x:v>
      </x:c>
      <x:c r="P16" s="29" t="n">
        <x:f>'原始数据-规模前十'!D16/'原始数据-规模前十'!D$5</x:f>
        <x:v>0.9951852997206896</x:v>
      </x:c>
      <x:c r="Q16" s="29" t="n">
        <x:f>'原始数据-规模前十'!E16/'原始数据-规模前十'!E$5</x:f>
        <x:v>0.9989512323024806</x:v>
      </x:c>
      <x:c r="R16" s="29" t="n">
        <x:f>'原始数据-规模前十'!F16/'原始数据-规模前十'!F$5</x:f>
        <x:v>0.9968076615816656</x:v>
      </x:c>
      <x:c r="S16" s="29" t="n">
        <x:f>'原始数据-规模前十'!G16/'原始数据-规模前十'!G$5</x:f>
        <x:v>0.9953246449441017</x:v>
      </x:c>
      <x:c r="T16" s="29" t="n">
        <x:f>'原始数据-规模前十'!H16/'原始数据-规模前十'!H$5</x:f>
        <x:v>0.9933525548614448</x:v>
      </x:c>
      <x:c r="U16" s="29" t="n">
        <x:f>'原始数据-规模前十'!I16/'原始数据-规模前十'!I$5</x:f>
        <x:v>1.0082765335929895</x:v>
      </x:c>
      <x:c r="V16" s="29" t="n">
        <x:f>'原始数据-规模前十'!J16/'原始数据-规模前十'!J$5</x:f>
        <x:v>0.9970571860823876</x:v>
      </x:c>
      <x:c r="W16" s="29" t="n">
        <x:f>'原始数据-规模前十'!K16/'原始数据-规模前十'!K$5</x:f>
        <x:v>0.9962877030119622</x:v>
      </x:c>
      <x:c r="X16" s="29" t="n">
        <x:f>'原始数据-规模前十'!L16/'原始数据-规模前十'!L$5</x:f>
        <x:v>1.0022390630416578</x:v>
      </x:c>
      <x:c r="Y16" s="28"/>
      <x:c r="Z16" s="30" t="n">
        <x:f>'原始数据-规模前十'!N16/MAX('原始数据-规模前十'!N$5:N16)-1</x:f>
        <x:v>-0.008576842525181982</x:v>
      </x:c>
      <x:c r="AA16" s="30" t="n">
        <x:f>'原始数据-规模前十'!O16/MAX('原始数据-规模前十'!O$5:O16)-1</x:f>
        <x:v>-0.02474729871183534</x:v>
      </x:c>
      <x:c r="AB16" s="30" t="n">
        <x:f>'原始数据-规模前十'!P16/MAX('原始数据-规模前十'!P$5:P16)-1</x:f>
        <x:v>-0.01422008312739198</x:v>
      </x:c>
      <x:c r="AC16" s="30" t="n">
        <x:f>'原始数据-规模前十'!Q16/MAX('原始数据-规模前十'!Q$5:Q16)-1</x:f>
        <x:v>-0.005741127367897003</x:v>
      </x:c>
      <x:c r="AD16" s="30" t="n">
        <x:f>'原始数据-规模前十'!R16/MAX('原始数据-规模前十'!R$5:R16)-1</x:f>
        <x:v>-0.007942811796599503</x:v>
      </x:c>
      <x:c r="AE16" s="30" t="n">
        <x:f>'原始数据-规模前十'!S16/MAX('原始数据-规模前十'!S$5:S16)-1</x:f>
        <x:v>-0.01957285131269293</x:v>
      </x:c>
      <x:c r="AF16" s="30" t="n">
        <x:f>'原始数据-规模前十'!T16/MAX('原始数据-规模前十'!T$5:T16)-1</x:f>
        <x:v>-0.012971510424956145</x:v>
      </x:c>
      <x:c r="AG16" s="30" t="n">
        <x:f>'原始数据-规模前十'!U16/MAX('原始数据-规模前十'!U$5:U16)-1</x:f>
        <x:v>-0.008616562948779216</x:v>
      </x:c>
      <x:c r="AH16" s="30" t="n">
        <x:f>'原始数据-规模前十'!V16/MAX('原始数据-规模前十'!V$5:V16)-1</x:f>
        <x:v>-0.017554858901594472</x:v>
      </x:c>
      <x:c r="AI16" s="30" t="n">
        <x:f>'原始数据-规模前十'!W16/MAX('原始数据-规模前十'!W$5:W16)-1</x:f>
        <x:v>-0.019634703196641956</x:v>
      </x:c>
      <x:c r="AJ16" s="31" t="n">
        <x:f>'原始数据-规模前十'!X16/MAX('原始数据-规模前十'!X$5:X16)-1</x:f>
        <x:v>-0.007166012625795415</x:v>
      </x:c>
    </x:row>
    <x:row r="17">
      <x:c r="A17" s="26" t="n">
        <x:v>46210</x:v>
      </x:c>
      <x:c r="B17" s="27" t="n">
        <x:v>0.9935</x:v>
      </x:c>
      <x:c r="C17" s="27" t="n">
        <x:v>1.7659912745</x:v>
      </x:c>
      <x:c r="D17" s="27" t="n">
        <x:v>2.5670793497</x:v>
      </x:c>
      <x:c r="E17" s="27" t="n">
        <x:v>2.2807071667</x:v>
      </x:c>
      <x:c r="F17" s="27" t="n">
        <x:v>1.4330599652</x:v>
      </x:c>
      <x:c r="G17" s="27" t="n">
        <x:v>1.8420670377</x:v>
      </x:c>
      <x:c r="H17" s="27" t="n">
        <x:v>1.2344</x:v>
      </x:c>
      <x:c r="I17" s="27" t="n">
        <x:v>2.069</x:v>
      </x:c>
      <x:c r="J17" s="27" t="n">
        <x:v>1.2611273652</x:v>
      </x:c>
      <x:c r="K17" s="27" t="n">
        <x:v>2.730905862</x:v>
      </x:c>
      <x:c r="L17" s="27" t="n">
        <x:v>8.3170688184</x:v>
      </x:c>
      <x:c r="M17" s="28"/>
      <x:c r="N17" s="29" t="n">
        <x:f>'原始数据-规模前十'!B17/'原始数据-规模前十'!B$5</x:f>
        <x:v>0.9935</x:v>
      </x:c>
      <x:c r="O17" s="29" t="n">
        <x:f>'原始数据-规模前十'!C17/'原始数据-规模前十'!C$5</x:f>
        <x:v>0.9809635036109448</x:v>
      </x:c>
      <x:c r="P17" s="29" t="n">
        <x:f>'原始数据-规模前十'!D17/'原始数据-规模前十'!D$5</x:f>
        <x:v>0.9920932903336755</x:v>
      </x:c>
      <x:c r="Q17" s="29" t="n">
        <x:f>'原始数据-规模前十'!E17/'原始数据-规模前十'!E$5</x:f>
        <x:v>0.9968536969074419</x:v>
      </x:c>
      <x:c r="R17" s="29" t="n">
        <x:f>'原始数据-规模前十'!F17/'原始数据-规模前十'!F$5</x:f>
        <x:v>0.9928172386107071</x:v>
      </x:c>
      <x:c r="S17" s="29" t="n">
        <x:f>'原始数据-规模前十'!G17/'原始数据-规模前十'!G$5</x:f>
        <x:v>0.9959090643666374</x:v>
      </x:c>
      <x:c r="T17" s="29" t="n">
        <x:f>'原始数据-规模前十'!H17/'原始数据-规模前十'!H$5</x:f>
        <x:v>0.9886272625340381</x:v>
      </x:c>
      <x:c r="U17" s="29" t="n">
        <x:f>'原始数据-规模前十'!I17/'原始数据-规模前十'!I$5</x:f>
        <x:v>1.00730282375852</x:v>
      </x:c>
      <x:c r="V17" s="29" t="n">
        <x:f>'原始数据-规模前十'!J17/'原始数据-规模前十'!J$5</x:f>
        <x:v>0.996977650558281</x:v>
      </x:c>
      <x:c r="W17" s="29" t="n">
        <x:f>'原始数据-规模前十'!K17/'原始数据-规模前十'!K$5</x:f>
        <x:v>0.9953596287558409</x:v>
      </x:c>
      <x:c r="X17" s="29" t="n">
        <x:f>'原始数据-规模前十'!L17/'原始数据-规模前十'!L$5</x:f>
        <x:v>0.9971064416097326</x:v>
      </x:c>
      <x:c r="Y17" s="28"/>
      <x:c r="Z17" s="30" t="n">
        <x:f>'原始数据-规模前十'!N17/MAX('原始数据-规模前十'!N$5:N17)-1</x:f>
        <x:v>-0.009175226887403909</x:v>
      </x:c>
      <x:c r="AA17" s="30" t="n">
        <x:f>'原始数据-规模前十'!O17/MAX('原始数据-规模前十'!O$5:O17)-1</x:f>
        <x:v>-0.024108283979844547</x:v>
      </x:c>
      <x:c r="AB17" s="30" t="n">
        <x:f>'原始数据-规模前十'!P17/MAX('原始数据-规模前十'!P$5:P17)-1</x:f>
        <x:v>-0.017282870286080332</x:v>
      </x:c>
      <x:c r="AC17" s="30" t="n">
        <x:f>'原始数据-规模前十'!Q17/MAX('原始数据-规模前十'!Q$5:Q17)-1</x:f>
        <x:v>-0.007828810039222533</x:v>
      </x:c>
      <x:c r="AD17" s="30" t="n">
        <x:f>'原始数据-规模前十'!R17/MAX('原始数据-规模前十'!R$5:R17)-1</x:f>
        <x:v>-0.011914217660424664</x:v>
      </x:c>
      <x:c r="AE17" s="30" t="n">
        <x:f>'原始数据-规模前十'!S17/MAX('原始数据-规模前十'!S$5:S17)-1</x:f>
        <x:v>-0.018997179172969725</x:v>
      </x:c>
      <x:c r="AF17" s="30" t="n">
        <x:f>'原始数据-规模前十'!T17/MAX('原始数据-规模前十'!T$5:T17)-1</x:f>
        <x:v>-0.017666719719878987</x:v>
      </x:c>
      <x:c r="AG17" s="30" t="n">
        <x:f>'原始数据-规模前十'!U17/MAX('原始数据-规模前十'!U$5:U17)-1</x:f>
        <x:v>-0.009573958831977092</x:v>
      </x:c>
      <x:c r="AH17" s="30" t="n">
        <x:f>'原始数据-规模前十'!V17/MAX('原始数据-规模前十'!V$5:V17)-1</x:f>
        <x:v>-0.017633228818880964</x:v>
      </x:c>
      <x:c r="AI17" s="30" t="n">
        <x:f>'原始数据-规模前十'!W17/MAX('原始数据-规模前十'!W$5:W17)-1</x:f>
        <x:v>-0.020547945215796948</x:v>
      </x:c>
      <x:c r="AJ17" s="31" t="n">
        <x:f>'原始数据-规模前十'!X17/MAX('原始数据-规模前十'!X$5:X17)-1</x:f>
        <x:v>-0.012250469208913817</x:v>
      </x:c>
    </x:row>
    <x:row r="18">
      <x:c r="A18" s="26" t="n">
        <x:v>46211</x:v>
      </x:c>
      <x:c r="B18" s="27" t="n">
        <x:v>0.9937</x:v>
      </x:c>
      <x:c r="C18" s="27" t="n">
        <x:v>1.7676732711</x:v>
      </x:c>
      <x:c r="D18" s="27" t="n">
        <x:v>2.5614788649</x:v>
      </x:c>
      <x:c r="E18" s="27" t="n">
        <x:v>2.2783076852</x:v>
      </x:c>
      <x:c r="F18" s="27" t="n">
        <x:v>1.4319079878</x:v>
      </x:c>
      <x:c r="G18" s="27" t="n">
        <x:v>1.8390403446</x:v>
      </x:c>
      <x:c r="H18" s="27" t="n">
        <x:v>1.2326</x:v>
      </x:c>
      <x:c r="I18" s="27" t="n">
        <x:v>2.074</x:v>
      </x:c>
      <x:c r="J18" s="27" t="n">
        <x:v>1.2619322331</x:v>
      </x:c>
      <x:c r="K18" s="27" t="n">
        <x:v>2.7207206653</x:v>
      </x:c>
      <x:c r="L18" s="27" t="n">
        <x:v>8.269659285</x:v>
      </x:c>
      <x:c r="M18" s="28"/>
      <x:c r="N18" s="29" t="n">
        <x:f>'原始数据-规模前十'!B18/'原始数据-规模前十'!B$5</x:f>
        <x:v>0.9937</x:v>
      </x:c>
      <x:c r="O18" s="29" t="n">
        <x:f>'原始数据-规模前十'!C18/'原始数据-规模前十'!C$5</x:f>
        <x:v>0.9818978101964996</x:v>
      </x:c>
      <x:c r="P18" s="29" t="n">
        <x:f>'原始数据-规模前十'!D18/'原始数据-规模前十'!D$5</x:f>
        <x:v>0.9899288837704951</x:v>
      </x:c>
      <x:c r="Q18" s="29" t="n">
        <x:f>'原始数据-规模前十'!E18/'原始数据-规模前十'!E$5</x:f>
        <x:v>0.9958049292099225</x:v>
      </x:c>
      <x:c r="R18" s="29" t="n">
        <x:f>'原始数据-规模前十'!F18/'原始数据-规模前十'!F$5</x:f>
        <x:v>0.9920191540580833</x:v>
      </x:c>
      <x:c r="S18" s="29" t="n">
        <x:f>'原始数据-规模前十'!G18/'原始数据-规模前十'!G$5</x:f>
        <x:v>0.9942726901024795</x:v>
      </x:c>
      <x:c r="T18" s="29" t="n">
        <x:f>'原始数据-规模前十'!H18/'原始数据-规模前十'!H$5</x:f>
        <x:v>0.9871856479256768</x:v>
      </x:c>
      <x:c r="U18" s="29" t="n">
        <x:f>'原始数据-规模前十'!I18/'原始数据-规模前十'!I$5</x:f>
        <x:v>1.0097370983446934</x:v>
      </x:c>
      <x:c r="V18" s="29" t="n">
        <x:f>'原始数据-规模前十'!J18/'原始数据-规模前十'!J$5</x:f>
        <x:v>0.9976139346720784</x:v>
      </x:c>
      <x:c r="W18" s="29" t="n">
        <x:f>'原始数据-规模前十'!K18/'原始数据-规模前十'!K$5</x:f>
        <x:v>0.9916473317678031</x:v>
      </x:c>
      <x:c r="X18" s="29" t="n">
        <x:f>'原始数据-规模前十'!L18/'原始数据-规模前十'!L$5</x:f>
        <x:v>0.9914226662101266</x:v>
      </x:c>
      <x:c r="Y18" s="28"/>
      <x:c r="Z18" s="30" t="n">
        <x:f>'原始数据-规模前十'!N18/MAX('原始数据-规模前十'!N$5:N18)-1</x:f>
        <x:v>-0.008975765433329896</x:v>
      </x:c>
      <x:c r="AA18" s="30" t="n">
        <x:f>'原始数据-规模前十'!O18/MAX('原始数据-规模前十'!O$5:O18)-1</x:f>
        <x:v>-0.02317880795580307</x:v>
      </x:c>
      <x:c r="AB18" s="30" t="n">
        <x:f>'原始数据-规模前十'!P18/MAX('原始数据-规模前十'!P$5:P18)-1</x:f>
        <x:v>-0.019426821289505902</x:v>
      </x:c>
      <x:c r="AC18" s="30" t="n">
        <x:f>'原始数据-规模前十'!Q18/MAX('原始数据-规模前十'!Q$5:Q18)-1</x:f>
        <x:v>-0.008872651374885354</x:v>
      </x:c>
      <x:c r="AD18" s="30" t="n">
        <x:f>'原始数据-规模前十'!R18/MAX('原始数据-规模前十'!R$5:R18)-1</x:f>
        <x:v>-0.012708498791820011</x:v>
      </x:c>
      <x:c r="AE18" s="30" t="n">
        <x:f>'原始数据-规模前十'!S18/MAX('原始数据-规模前十'!S$5:S18)-1</x:f>
        <x:v>-0.02060906104703275</x:v>
      </x:c>
      <x:c r="AF18" s="30" t="n">
        <x:f>'原始数据-规模前十'!T18/MAX('原始数据-规模前十'!T$5:T18)-1</x:f>
        <x:v>-0.01909915645392324</x:v>
      </x:c>
      <x:c r="AG18" s="30" t="n">
        <x:f>'原始数据-规模前十'!U18/MAX('原始数据-规模前十'!U$5:U18)-1</x:f>
        <x:v>-0.007180469123982736</x:v>
      </x:c>
      <x:c r="AH18" s="30" t="n">
        <x:f>'原始数据-规模前十'!V18/MAX('原始数据-规模前十'!V$5:V18)-1</x:f>
        <x:v>-0.017006269558485387</x:v>
      </x:c>
      <x:c r="AI18" s="30" t="n">
        <x:f>'原始数据-规模前十'!W18/MAX('原始数据-规模前十'!W$5:W18)-1</x:f>
        <x:v>-0.024200913256551937</x:v>
      </x:c>
      <x:c r="AJ18" s="31" t="n">
        <x:f>'原始数据-规模前十'!X18/MAX('原始数据-规模前十'!X$5:X18)-1</x:f>
        <x:v>-0.01788090769552031</x:v>
      </x:c>
    </x:row>
    <x:row r="19">
      <x:c r="A19" s="26" t="n">
        <x:v>46212</x:v>
      </x:c>
      <x:c r="B19" s="27" t="n">
        <x:v>0.9988</x:v>
      </x:c>
      <x:c r="C19" s="27" t="n">
        <x:v>1.7922724709</x:v>
      </x:c>
      <x:c r="D19" s="27" t="n">
        <x:v>2.585366647</x:v>
      </x:c>
      <x:c r="E19" s="27" t="n">
        <x:v>2.293904315</x:v>
      </x:c>
      <x:c r="F19" s="27" t="n">
        <x:v>1.4307560103</x:v>
      </x:c>
      <x:c r="G19" s="27" t="n">
        <x:v>1.8591462344</x:v>
      </x:c>
      <x:c r="H19" s="27" t="n">
        <x:v>1.2421</x:v>
      </x:c>
      <x:c r="I19" s="27" t="n">
        <x:v>2.099</x:v>
      </x:c>
      <x:c r="J19" s="27" t="n">
        <x:v>1.2706851713</x:v>
      </x:c>
      <x:c r="K19" s="27" t="n">
        <x:v>2.7461836571</x:v>
      </x:c>
      <x:c r="L19" s="27" t="n">
        <x:v>8.2828764882</x:v>
      </x:c>
      <x:c r="M19" s="28"/>
      <x:c r="N19" s="29" t="n">
        <x:f>'原始数据-规模前十'!B19/'原始数据-规模前十'!B$5</x:f>
        <x:v>0.9988</x:v>
      </x:c>
      <x:c r="O19" s="29" t="n">
        <x:f>'原始数据-规模前十'!C19/'原始数据-规模前十'!C$5</x:f>
        <x:v>0.9955620437463883</x:v>
      </x:c>
      <x:c r="P19" s="29" t="n">
        <x:f>'原始数据-规模前十'!D19/'原始数据-规模前十'!D$5</x:f>
        <x:v>0.9991607403335313</x:v>
      </x:c>
      <x:c r="Q19" s="29" t="n">
        <x:f>'原始数据-规模前十'!E19/'原始数据-规模前十'!E$5</x:f>
        <x:v>1.0026219192656527</x:v>
      </x:c>
      <x:c r="R19" s="29" t="n">
        <x:f>'原始数据-规模前十'!F19/'原始数据-规模前十'!F$5</x:f>
        <x:v>0.9912210694361798</x:v>
      </x:c>
      <x:c r="S19" s="29" t="n">
        <x:f>'原始数据-规模前十'!G19/'原始数据-规模前十'!G$5</x:f>
        <x:v>1.0051428905290494</x:v>
      </x:c>
      <x:c r="T19" s="29" t="n">
        <x:f>'原始数据-规模前十'!H19/'原始数据-规模前十'!H$5</x:f>
        <x:v>0.9947941694698063</x:v>
      </x:c>
      <x:c r="U19" s="29" t="n">
        <x:f>'原始数据-规模前十'!I19/'原始数据-规模前十'!I$5</x:f>
        <x:v>1.0219084712755602</x:v>
      </x:c>
      <x:c r="V19" s="29" t="n">
        <x:f>'原始数据-规模前十'!J19/'原始数据-规模前十'!J$5</x:f>
        <x:v>1.004533524241633</x:v>
      </x:c>
      <x:c r="W19" s="29" t="n">
        <x:f>'原始数据-规模前十'!K19/'原始数据-规模前十'!K$5</x:f>
        <x:v>1.0009280742561215</x:v>
      </x:c>
      <x:c r="X19" s="29" t="n">
        <x:f>'原始数据-规模前十'!L19/'原始数据-规模前十'!L$5</x:f>
        <x:v>0.9930072338911862</x:v>
      </x:c>
      <x:c r="Y19" s="28"/>
      <x:c r="Z19" s="30" t="n">
        <x:f>'原始数据-规模前十'!N19/MAX('原始数据-规模前十'!N$5:N19)-1</x:f>
        <x:v>-0.003889498354442855</x:v>
      </x:c>
      <x:c r="AA19" s="30" t="n">
        <x:f>'原始数据-规模前十'!O19/MAX('原始数据-规模前十'!O$5:O19)-1</x:f>
        <x:v>-0.009585221366683827</x:v>
      </x:c>
      <x:c r="AB19" s="30" t="n">
        <x:f>'原始数据-规模前十'!P19/MAX('原始数据-规模前十'!P$5:P19)-1</x:f>
        <x:v>-0.010282213950707941</x:v>
      </x:c>
      <x:c r="AC19" s="30" t="n">
        <x:f>'原始数据-规模前十'!Q19/MAX('原始数据-规模前十'!Q$5:Q19)-1</x:f>
        <x:v>-0.0020876826713257524</x:v>
      </x:c>
      <x:c r="AD19" s="30" t="n">
        <x:f>'原始数据-规模前十'!R19/MAX('原始数据-规模前十'!R$5:R19)-1</x:f>
        <x:v>-0.01350277999216476</x:v>
      </x:c>
      <x:c r="AE19" s="30" t="n">
        <x:f>'原始数据-规模前十'!S19/MAX('原始数据-规模前十'!S$5:S19)-1</x:f>
        <x:v>-0.009901560068314441</x:v>
      </x:c>
      <x:c r="AF19" s="30" t="n">
        <x:f>'原始数据-规模前十'!T19/MAX('原始数据-规模前十'!T$5:T19)-1</x:f>
        <x:v>-0.011539073690911894</x:v>
      </x:c>
      <x:c r="AG19" s="30" t="n">
        <x:f>'原始数据-规模前十'!U19/MAX('原始数据-规模前十'!U$5:U19)-1</x:f>
        <x:v>0</x:v>
      </x:c>
      <x:c r="AH19" s="30" t="n">
        <x:f>'原始数据-规模前十'!V19/MAX('原始数据-规模前十'!V$5:V19)-1</x:f>
        <x:v>-0.01018808776721325</x:v>
      </x:c>
      <x:c r="AI19" s="30" t="n">
        <x:f>'原始数据-规模前十'!W19/MAX('原始数据-规模前十'!W$5:W19)-1</x:f>
        <x:v>-0.015068493136731864</x:v>
      </x:c>
      <x:c r="AJ19" s="31" t="n">
        <x:f>'原始数据-规模前十'!X19/MAX('原始数据-规模前十'!X$5:X19)-1</x:f>
        <x:v>-0.016311209699239715</x:v>
      </x:c>
    </x:row>
    <x:row r="20">
      <x:c r="A20" s="26" t="n">
        <x:v>46213</x:v>
      </x:c>
      <x:c r="B20" s="27" t="n">
        <x:v>0.995</x:v>
      </x:c>
      <x:c r="C20" s="27" t="n">
        <x:v>1.7678835207</x:v>
      </x:c>
      <x:c r="D20" s="27" t="n">
        <x:v>2.5607930913</x:v>
      </x:c>
      <x:c r="E20" s="27" t="n">
        <x:v>2.279507426</x:v>
      </x:c>
      <x:c r="F20" s="27" t="n">
        <x:v>1.4342119427</x:v>
      </x:c>
      <x:c r="G20" s="27" t="n">
        <x:v>1.8415265567</x:v>
      </x:c>
      <x:c r="H20" s="27" t="n">
        <x:v>1.2317</x:v>
      </x:c>
      <x:c r="I20" s="27" t="n">
        <x:v>2.085</x:v>
      </x:c>
      <x:c r="J20" s="27" t="n">
        <x:v>1.2614291906</x:v>
      </x:c>
      <x:c r="K20" s="27" t="n">
        <x:v>2.7181743662</x:v>
      </x:c>
      <x:c r="L20" s="27" t="n">
        <x:v>8.2627633528</x:v>
      </x:c>
      <x:c r="M20" s="28"/>
      <x:c r="N20" s="29" t="n">
        <x:f>'原始数据-规模前十'!B20/'原始数据-规模前十'!B$5</x:f>
        <x:v>0.995</x:v>
      </x:c>
      <x:c r="O20" s="29" t="n">
        <x:f>'原始数据-规模前十'!C20/'原始数据-规模前十'!C$5</x:f>
        <x:v>0.9820145985335809</x:v>
      </x:c>
      <x:c r="P20" s="29" t="n">
        <x:f>'原始数据-规模前十'!D20/'原始数据-规模前十'!D$5</x:f>
        <x:v>0.9896638544143407</x:v>
      </x:c>
      <x:c r="Q20" s="29" t="n">
        <x:f>'原始数据-规模前十'!E20/'原始数据-规模前十'!E$5</x:f>
        <x:v>0.9963293130805361</x:v>
      </x:c>
      <x:c r="R20" s="29" t="n">
        <x:f>'原始数据-规模前十'!F20/'原始数据-规模前十'!F$5</x:f>
        <x:v>0.9936153232326107</x:v>
      </x:c>
      <x:c r="S20" s="29" t="n">
        <x:f>'原始数据-规模前十'!G20/'原始数据-规模前十'!G$5</x:f>
        <x:v>0.9956168546283372</x:v>
      </x:c>
      <x:c r="T20" s="29" t="n">
        <x:f>'原始数据-规模前十'!H20/'原始数据-规模前十'!H$5</x:f>
        <x:v>0.9864648406214962</x:v>
      </x:c>
      <x:c r="U20" s="29" t="n">
        <x:f>'原始数据-规模前十'!I20/'原始数据-规模前十'!I$5</x:f>
        <x:v>1.0150925024342747</x:v>
      </x:c>
      <x:c r="V20" s="29" t="n">
        <x:f>'原始数据-规模前十'!J20/'原始数据-规模前十'!J$5</x:f>
        <x:v>0.9972162570515459</x:v>
      </x:c>
      <x:c r="W20" s="29" t="n">
        <x:f>'原始数据-规模前十'!K20/'原始数据-规模前十'!K$5</x:f>
        <x:v>0.9907192575481296</x:v>
      </x:c>
      <x:c r="X20" s="29" t="n">
        <x:f>'原始数据-规模前十'!L20/'原始数据-规模前十'!L$5</x:f>
        <x:v>0.9905959352346283</x:v>
      </x:c>
      <x:c r="Y20" s="28"/>
      <x:c r="Z20" s="30" t="n">
        <x:f>'原始数据-规模前十'!N20/MAX('原始数据-规模前十'!N$5:N20)-1</x:f>
        <x:v>-0.007679265981848982</x:v>
      </x:c>
      <x:c r="AA20" s="30" t="n">
        <x:f>'原始数据-规模前十'!O20/MAX('原始数据-规模前十'!O$5:O20)-1</x:f>
        <x:v>-0.0230626234389828</x:v>
      </x:c>
      <x:c r="AB20" s="30" t="n">
        <x:f>'原始数据-规模前十'!P20/MAX('原始数据-规模前十'!P$5:P20)-1</x:f>
        <x:v>-0.019689345883420306</x:v>
      </x:c>
      <x:c r="AC20" s="30" t="n">
        <x:f>'原始数据-规模前十'!Q20/MAX('原始数据-规模前十'!Q$5:Q20)-1</x:f>
        <x:v>-0.008350730685302676</x:v>
      </x:c>
      <x:c r="AD20" s="30" t="n">
        <x:f>'原始数据-规模前十'!R20/MAX('原始数据-规模前十'!R$5:R20)-1</x:f>
        <x:v>-0.011119936460079805</x:v>
      </x:c>
      <x:c r="AE20" s="30" t="n">
        <x:f>'原始数据-规模前十'!S20/MAX('原始数据-规模前十'!S$5:S20)-1</x:f>
        <x:v>-0.019285015269459138</x:v>
      </x:c>
      <x:c r="AF20" s="30" t="n">
        <x:f>'原始数据-规模前十'!T20/MAX('原始数据-规模前十'!T$5:T20)-1</x:f>
        <x:v>-0.019815374820945197</x:v>
      </x:c>
      <x:c r="AG20" s="30" t="n">
        <x:f>'原始数据-规模前十'!U20/MAX('原始数据-规模前十'!U$5:U20)-1</x:f>
        <x:v>-0.006669842782277446</x:v>
      </x:c>
      <x:c r="AH20" s="30" t="n">
        <x:f>'原始数据-规模前十'!V20/MAX('原始数据-规模前十'!V$5:V20)-1</x:f>
        <x:v>-0.017398119144917623</x:v>
      </x:c>
      <x:c r="AI20" s="30" t="n">
        <x:f>'原始数据-规模前十'!W20/MAX('原始数据-规模前十'!W$5:W20)-1</x:f>
        <x:v>-0.025114155239841618</x:v>
      </x:c>
      <x:c r="AJ20" s="31" t="n">
        <x:f>'原始数据-规模前十'!X20/MAX('原始数据-规模前十'!X$5:X20)-1</x:f>
        <x:v>-0.018699880574504668</x:v>
      </x:c>
    </x:row>
    <x:row r="21">
      <x:c r="A21" s="26" t="n">
        <x:v>46216</x:v>
      </x:c>
      <x:c r="B21" s="27" t="n">
        <x:v>0.9898</x:v>
      </x:c>
      <x:c r="C21" s="27" t="n">
        <x:v>1.7548480472</x:v>
      </x:c>
      <x:c r="D21" s="27" t="n">
        <x:v>2.5435344545</x:v>
      </x:c>
      <x:c r="E21" s="27" t="n">
        <x:v>2.2675100185</x:v>
      </x:c>
      <x:c r="F21" s="27" t="n">
        <x:v>1.4296040328</x:v>
      </x:c>
      <x:c r="G21" s="27" t="n">
        <x:v>1.8253121294</x:v>
      </x:c>
      <x:c r="H21" s="27" t="n">
        <x:v>1.2232</x:v>
      </x:c>
      <x:c r="I21" s="27" t="n">
        <x:v>2.069</x:v>
      </x:c>
      <x:c r="J21" s="27" t="n">
        <x:v>1.2573042427</x:v>
      </x:c>
      <x:c r="K21" s="27" t="n">
        <x:v>2.700350272</x:v>
      </x:c>
      <x:c r="L21" s="27" t="n">
        <x:v>8.2084578872</x:v>
      </x:c>
      <x:c r="M21" s="28"/>
      <x:c r="N21" s="29" t="n">
        <x:f>'原始数据-规模前十'!B21/'原始数据-规模前十'!B$5</x:f>
        <x:v>0.9898</x:v>
      </x:c>
      <x:c r="O21" s="29" t="n">
        <x:f>'原始数据-规模前十'!C21/'原始数据-规模前十'!C$5</x:f>
        <x:v>0.9747737225788522</x:v>
      </x:c>
      <x:c r="P21" s="29" t="n">
        <x:f>'原始数据-规模前十'!D21/'原始数据-规模前十'!D$5</x:f>
        <x:v>0.9829939484873631</x:v>
      </x:c>
      <x:c r="Q21" s="29" t="n">
        <x:f>'原始数据-规模前十'!E21/'原始数据-规模前十'!E$5</x:f>
        <x:v>0.9910854745929389</x:v>
      </x:c>
      <x:c r="R21" s="29" t="n">
        <x:f>'原始数据-规模前十'!F21/'原始数据-规模前十'!F$5</x:f>
        <x:v>0.9904229848142763</x:v>
      </x:c>
      <x:c r="S21" s="29" t="n">
        <x:f>'原始数据-规模前十'!G21/'原始数据-规模前十'!G$5</x:f>
        <x:v>0.9868505639390763</x:v>
      </x:c>
      <x:c r="T21" s="29" t="n">
        <x:f>'原始数据-规模前十'!H21/'原始数据-规模前十'!H$5</x:f>
        <x:v>0.979657216082012</x:v>
      </x:c>
      <x:c r="U21" s="29" t="n">
        <x:f>'原始数据-规模前十'!I21/'原始数据-规模前十'!I$5</x:f>
        <x:v>1.00730282375852</x:v>
      </x:c>
      <x:c r="V21" s="29" t="n">
        <x:f>'原始数据-规模前十'!J21/'原始数据-规模前十'!J$5</x:f>
        <x:v>0.9939553010375077</x:v>
      </x:c>
      <x:c r="W21" s="29" t="n">
        <x:f>'原始数据-规模前十'!K21/'原始数据-规模前十'!K$5</x:f>
        <x:v>0.9842227378281756</x:v>
      </x:c>
      <x:c r="X21" s="29" t="n">
        <x:f>'原始数据-规模前十'!L21/'原始数据-规模前十'!L$5</x:f>
        <x:v>0.9840854288595238</x:v>
      </x:c>
      <x:c r="Y21" s="28"/>
      <x:c r="Z21" s="30" t="n">
        <x:f>'原始数据-规模前十'!N21/MAX('原始数据-规模前十'!N$5:N21)-1</x:f>
        <x:v>-0.012865263787772974</x:v>
      </x:c>
      <x:c r="AA21" s="30" t="n">
        <x:f>'原始数据-规模前十'!O21/MAX('原始数据-规模前十'!O$5:O21)-1</x:f>
        <x:v>-0.030266062542413263</x:v>
      </x:c>
      <x:c r="AB21" s="30" t="n">
        <x:f>'原始数据-规模前十'!P21/MAX('原始数据-规模前十'!P$5:P21)-1</x:f>
        <x:v>-0.02629621528963988</x:v>
      </x:c>
      <x:c r="AC21" s="30" t="n">
        <x:f>'原始数据-规模前十'!Q21/MAX('原始数据-规模前十'!Q$5:Q21)-1</x:f>
        <x:v>-0.013569937363616669</x:v>
      </x:c>
      <x:c r="AD21" s="30" t="n">
        <x:f>'原始数据-规模前十'!R21/MAX('原始数据-规模前十'!R$5:R21)-1</x:f>
        <x:v>-0.014297061192509508</x:v>
      </x:c>
      <x:c r="AE21" s="30" t="n">
        <x:f>'原始数据-规模前十'!S21/MAX('原始数据-规模前十'!S$5:S21)-1</x:f>
        <x:v>-0.027920096726242294</x:v>
      </x:c>
      <x:c r="AF21" s="30" t="n">
        <x:f>'原始数据-规模前十'!T21/MAX('原始数据-规模前十'!T$5:T21)-1</x:f>
        <x:v>-0.026579659398376476</x:v>
      </x:c>
      <x:c r="AG21" s="30" t="n">
        <x:f>'原始数据-规模前十'!U21/MAX('原始数据-规模前十'!U$5:U21)-1</x:f>
        <x:v>-0.014292520247737306</x:v>
      </x:c>
      <x:c r="AH21" s="30" t="n">
        <x:f>'原始数据-规模前十'!V21/MAX('原始数据-规模前十'!V$5:V21)-1</x:f>
        <x:v>-0.02061128528628553</x:v>
      </x:c>
      <x:c r="AI21" s="30" t="n">
        <x:f>'原始数据-规模前十'!W21/MAX('原始数据-规模前十'!W$5:W21)-1</x:f>
        <x:v>-0.03150684930219627</x:v>
      </x:c>
      <x:c r="AJ21" s="31" t="n">
        <x:f>'原始数据-规模前十'!X21/MAX('原始数据-规模前十'!X$5:X21)-1</x:f>
        <x:v>-0.02514929194009574</x:v>
      </x:c>
    </x:row>
    <x:row r="22">
      <x:c r="A22" s="26" t="n">
        <x:v>46217</x:v>
      </x:c>
      <x:c r="B22" s="27" t="n">
        <x:v>0.9926</x:v>
      </x:c>
      <x:c r="C22" s="27" t="n">
        <x:v>1.7750320061</x:v>
      </x:c>
      <x:c r="D22" s="27" t="n">
        <x:v>2.5563355626</x:v>
      </x:c>
      <x:c r="E22" s="27" t="n">
        <x:v>2.2735087222</x:v>
      </x:c>
      <x:c r="F22" s="27" t="n">
        <x:v>1.4445797399</x:v>
      </x:c>
      <x:c r="G22" s="27" t="n">
        <x:v>1.839905114</x:v>
      </x:c>
      <x:c r="H22" s="27" t="n">
        <x:v>1.2316</x:v>
      </x:c>
      <x:c r="I22" s="27" t="n">
        <x:v>2.077</x:v>
      </x:c>
      <x:c r="J22" s="27" t="n">
        <x:v>1.262535884</x:v>
      </x:c>
      <x:c r="K22" s="27" t="n">
        <x:v>2.715628067</x:v>
      </x:c>
      <x:c r="L22" s="27" t="n">
        <x:v>8.2670733104</x:v>
      </x:c>
      <x:c r="M22" s="28"/>
      <x:c r="N22" s="29" t="n">
        <x:f>'原始数据-规模前十'!B22/'原始数据-规模前十'!B$5</x:f>
        <x:v>0.9926</x:v>
      </x:c>
      <x:c r="O22" s="29" t="n">
        <x:f>'原始数据-规模前十'!C22/'原始数据-规模前十'!C$5</x:f>
        <x:v>0.9859854014388676</x:v>
      </x:c>
      <x:c r="P22" s="29" t="n">
        <x:f>'原始数据-规模前十'!D22/'原始数据-规模前十'!D$5</x:f>
        <x:v>0.9879411634833976</x:v>
      </x:c>
      <x:c r="Q22" s="29" t="n">
        <x:f>'原始数据-规模前十'!E22/'原始数据-规模前十'!E$5</x:f>
        <x:v>0.9937073938148835</x:v>
      </x:c>
      <x:c r="R22" s="29" t="n">
        <x:f>'原始数据-规模前十'!F22/'原始数据-规模前十'!F$5</x:f>
        <x:v>1.0007980846219036</x:v>
      </x:c>
      <x:c r="S22" s="29" t="n">
        <x:f>'原始数据-规模前十'!G22/'原始数据-规模前十'!G$5</x:f>
        <x:v>0.9947402255756305</x:v>
      </x:c>
      <x:c r="T22" s="29" t="n">
        <x:f>'原始数据-规模前十'!H22/'原始数据-规模前十'!H$5</x:f>
        <x:v>0.9863847509210316</x:v>
      </x:c>
      <x:c r="U22" s="29" t="n">
        <x:f>'原始数据-规模前十'!I22/'原始数据-规模前十'!I$5</x:f>
        <x:v>1.0111976630963972</x:v>
      </x:c>
      <x:c r="V22" s="29" t="n">
        <x:f>'原始数据-规模前十'!J22/'原始数据-规模前十'!J$5</x:f>
        <x:v>0.9980911477376627</x:v>
      </x:c>
      <x:c r="W22" s="29" t="n">
        <x:f>'原始数据-规模前十'!K22/'原始数据-规模前十'!K$5</x:f>
        <x:v>0.9897911832920082</x:v>
      </x:c>
      <x:c r="X22" s="29" t="n">
        <x:f>'原始数据-规模前十'!L22/'原始数据-规模前十'!L$5</x:f>
        <x:v>0.9911126420913177</x:v>
      </x:c>
      <x:c r="Y22" s="28"/>
      <x:c r="Z22" s="30" t="n">
        <x:f>'原始数据-规模前十'!N22/MAX('原始数据-规模前十'!N$5:N22)-1</x:f>
        <x:v>-0.01007280343073691</x:v>
      </x:c>
      <x:c r="AA22" s="30" t="n">
        <x:f>'原始数据-规模前十'!O22/MAX('原始数据-规模前十'!O$5:O22)-1</x:f>
        <x:v>-0.019112350419697277</x:v>
      </x:c>
      <x:c r="AB22" s="30" t="n">
        <x:f>'原始数据-规模前十'!P22/MAX('原始数据-规模前十'!P$5:P22)-1</x:f>
        <x:v>-0.021395755858707233</x:v>
      </x:c>
      <x:c r="AC22" s="30" t="n">
        <x:f>'原始数据-规模前十'!Q22/MAX('原始数据-规模前十'!Q$5:Q22)-1</x:f>
        <x:v>-0.010960334046211107</x:v>
      </x:c>
      <x:c r="AD22" s="30" t="n">
        <x:f>'原始数据-规模前十'!R22/MAX('原始数据-规模前十'!R$5:R22)-1</x:f>
        <x:v>-0.003971405863824939</x:v>
      </x:c>
      <x:c r="AE22" s="30" t="n">
        <x:f>'原始数据-规模前十'!S22/MAX('原始数据-规模前十'!S$5:S22)-1</x:f>
        <x:v>-0.020148523399160845</x:v>
      </x:c>
      <x:c r="AF22" s="30" t="n">
        <x:f>'原始数据-规模前十'!T22/MAX('原始数据-规模前十'!T$5:T22)-1</x:f>
        <x:v>-0.019894954639503304</x:v>
      </x:c>
      <x:c r="AG22" s="30" t="n">
        <x:f>'原始数据-规模前十'!U22/MAX('原始数据-规模前十'!U$5:U22)-1</x:f>
        <x:v>-0.010481181515007432</x:v>
      </x:c>
      <x:c r="AH22" s="30" t="n">
        <x:f>'原始数据-规模前十'!V22/MAX('原始数据-规模前十'!V$5:V22)-1</x:f>
        <x:v>-0.016536050132662794</x:v>
      </x:c>
      <x:c r="AI22" s="30" t="n">
        <x:f>'原始数据-规模前十'!W22/MAX('原始数据-规模前十'!W$5:W22)-1</x:f>
        <x:v>-0.02602739725899672</x:v>
      </x:c>
      <x:c r="AJ22" s="31" t="n">
        <x:f>'原始数据-规模前十'!X22/MAX('原始数据-规模前十'!X$5:X22)-1</x:f>
        <x:v>-0.018188022528108472</x:v>
      </x:c>
    </x:row>
    <x:row r="23">
      <x:c r="A23" s="26" t="n">
        <x:v>46218</x:v>
      </x:c>
      <x:c r="B23" s="27" t="n">
        <x:v>0.9902</x:v>
      </x:c>
      <x:c r="C23" s="27" t="n">
        <x:v>1.7646246523</x:v>
      </x:c>
      <x:c r="D23" s="27" t="n">
        <x:v>2.5470776184</x:v>
      </x:c>
      <x:c r="E23" s="27" t="n">
        <x:v>2.2663102777</x:v>
      </x:c>
      <x:c r="F23" s="27" t="n">
        <x:v>1.4445797399</x:v>
      </x:c>
      <x:c r="G23" s="27" t="n">
        <x:v>1.831581708</x:v>
      </x:c>
      <x:c r="H23" s="27" t="n">
        <x:v>1.2279</x:v>
      </x:c>
      <x:c r="I23" s="27" t="n">
        <x:v>2.068</x:v>
      </x:c>
      <x:c r="J23" s="27" t="n">
        <x:v>1.2595176294</x:v>
      </x:c>
      <x:c r="K23" s="27" t="n">
        <x:v>2.6990771224</x:v>
      </x:c>
      <x:c r="L23" s="27" t="n">
        <x:v>8.2897724204</x:v>
      </x:c>
      <x:c r="M23" s="28"/>
      <x:c r="N23" s="29" t="n">
        <x:f>'原始数据-规模前十'!B23/'原始数据-规模前十'!B$5</x:f>
        <x:v>0.9902</x:v>
      </x:c>
      <x:c r="O23" s="29" t="n">
        <x:f>'原始数据-规模前十'!C23/'原始数据-规模前十'!C$5</x:f>
        <x:v>0.9802043795310118</x:v>
      </x:c>
      <x:c r="P23" s="29" t="n">
        <x:f>'原始数据-规模前十'!D23/'原始数据-规模前十'!D$5</x:f>
        <x:v>0.9843632669434339</x:v>
      </x:c>
      <x:c r="Q23" s="29" t="n">
        <x:f>'原始数据-规模前十'!E23/'原始数据-规模前十'!E$5</x:f>
        <x:v>0.9905610907223253</x:v>
      </x:c>
      <x:c r="R23" s="29" t="n">
        <x:f>'原始数据-规模前十'!F23/'原始数据-规模前十'!F$5</x:f>
        <x:v>1.0007980846219036</x:v>
      </x:c>
      <x:c r="S23" s="29" t="n">
        <x:f>'原始数据-规模前十'!G23/'原始数据-规模前十'!G$5</x:f>
        <x:v>0.9902401963627123</x:v>
      </x:c>
      <x:c r="T23" s="29" t="n">
        <x:f>'原始数据-规模前十'!H23/'原始数据-规模前十'!H$5</x:f>
        <x:v>0.9834214320038444</x:v>
      </x:c>
      <x:c r="U23" s="29" t="n">
        <x:f>'原始数据-规模前十'!I23/'原始数据-规模前十'!I$5</x:f>
        <x:v>1.0068159688412854</x:v>
      </x:c>
      <x:c r="V23" s="29" t="n">
        <x:f>'原始数据-规模前十'!J23/'原始数据-规模前十'!J$5</x:f>
        <x:v>0.9957050823306864</x:v>
      </x:c>
      <x:c r="W23" s="29" t="n">
        <x:f>'原始数据-规模前十'!K23/'原始数据-规模前十'!K$5</x:f>
        <x:v>0.9837587007001148</x:v>
      </x:c>
      <x:c r="X23" s="29" t="n">
        <x:f>'原始数据-规模前十'!L23/'原始数据-规模前十'!L$5</x:f>
        <x:v>0.9938339648666847</x:v>
      </x:c>
      <x:c r="Y23" s="28"/>
      <x:c r="Z23" s="30" t="n">
        <x:f>'原始数据-规模前十'!N23/MAX('原始数据-规模前十'!N$5:N23)-1</x:f>
        <x:v>-0.012466340879624949</x:v>
      </x:c>
      <x:c r="AA23" s="30" t="n">
        <x:f>'原始数据-规模前十'!O23/MAX('原始数据-规模前十'!O$5:O23)-1</x:f>
        <x:v>-0.024863483228655503</x:v>
      </x:c>
      <x:c r="AB23" s="30" t="n">
        <x:f>'原始数据-规模前十'!P23/MAX('原始数据-规模前十'!P$5:P23)-1</x:f>
        <x:v>-0.024939838106238454</x:v>
      </x:c>
      <x:c r="AC23" s="30" t="n">
        <x:f>'原始数据-规模前十'!Q23/MAX('原始数据-规模前十'!Q$5:Q23)-1</x:f>
        <x:v>-0.014091858053199346</x:v>
      </x:c>
      <x:c r="AD23" s="30" t="n">
        <x:f>'原始数据-规模前十'!R23/MAX('原始数据-规模前十'!R$5:R23)-1</x:f>
        <x:v>-0.003971405863824939</x:v>
      </x:c>
      <x:c r="AE23" s="30" t="n">
        <x:f>'原始数据-规模前十'!S23/MAX('原始数据-规模前十'!S$5:S23)-1</x:f>
        <x:v>-0.024581198539520344</x:v>
      </x:c>
      <x:c r="AF23" s="30" t="n">
        <x:f>'原始数据-规模前十'!T23/MAX('原始数据-规模前十'!T$5:T23)-1</x:f>
        <x:v>-0.022839407926149802</x:v>
      </x:c>
      <x:c r="AG23" s="30" t="n">
        <x:f>'原始数据-规模前十'!U23/MAX('原始数据-规模前十'!U$5:U23)-1</x:f>
        <x:v>-0.014768937589328401</x:v>
      </x:c>
      <x:c r="AH23" s="30" t="n">
        <x:f>'原始数据-规模前十'!V23/MAX('原始数据-规模前十'!V$5:V23)-1</x:f>
        <x:v>-0.018887147339672006</x:v>
      </x:c>
      <x:c r="AI23" s="30" t="n">
        <x:f>'原始数据-规模前十'!W23/MAX('原始数据-规模前十'!W$5:W23)-1</x:f>
        <x:v>-0.031963470311773934</x:v>
      </x:c>
      <x:c r="AJ23" s="31" t="n">
        <x:f>'原始数据-规模前十'!X23/MAX('原始数据-规模前十'!X$5:X23)-1</x:f>
        <x:v>-0.015492236820255134</x:v>
      </x:c>
    </x:row>
    <x:row r="24">
      <x:c r="A24" s="26" t="n">
        <x:v>46219</x:v>
      </x:c>
      <x:c r="B24" s="27" t="n">
        <x:v>0.9861</x:v>
      </x:c>
      <x:c r="C24" s="27" t="n">
        <x:v>1.7536916746</x:v>
      </x:c>
      <x:c r="D24" s="27" t="n">
        <x:v>2.5295903904</x:v>
      </x:c>
      <x:c r="E24" s="27" t="n">
        <x:v>2.2567123517</x:v>
      </x:c>
      <x:c r="F24" s="27" t="n">
        <x:v>1.4422757849</x:v>
      </x:c>
      <x:c r="G24" s="27" t="n">
        <x:v>1.8226097249</x:v>
      </x:c>
      <x:c r="H24" s="27" t="n">
        <x:v>1.22</x:v>
      </x:c>
      <x:c r="I24" s="27" t="n">
        <x:v>2.06</x:v>
      </x:c>
      <x:c r="J24" s="27" t="n">
        <x:v>1.2539841627</x:v>
      </x:c>
      <x:c r="K24" s="27" t="n">
        <x:v>2.678706729</x:v>
      </x:c>
      <x:c r="L24" s="27" t="n">
        <x:v>8.2590280562</x:v>
      </x:c>
      <x:c r="M24" s="28"/>
      <x:c r="N24" s="29" t="n">
        <x:f>'原始数据-规模前十'!B24/'原始数据-规模前十'!B$5</x:f>
        <x:v>0.9861</x:v>
      </x:c>
      <x:c r="O24" s="29" t="n">
        <x:f>'原始数据-规模前十'!C24/'原始数据-规模前十'!C$5</x:f>
        <x:v>0.9741313868360004</x:v>
      </x:c>
      <x:c r="P24" s="29" t="n">
        <x:f>'原始数据-规模前十'!D24/'原始数据-规模前十'!D$5</x:f>
        <x:v>0.9776050178977383</x:v>
      </x:c>
      <x:c r="Q24" s="29" t="n">
        <x:f>'原始数据-规模前十'!E24/'原始数据-规模前十'!E$5</x:f>
        <x:v>0.9863660199322476</x:v>
      </x:c>
      <x:c r="R24" s="29" t="n">
        <x:f>'原始数据-规模前十'!F24/'原始数据-规模前十'!F$5</x:f>
        <x:v>0.9992019153780966</x:v>
      </x:c>
      <x:c r="S24" s="29" t="n">
        <x:f>'原始数据-规模前十'!G24/'原始数据-规模前十'!G$5</x:f>
        <x:v>0.9853895155178984</x:v>
      </x:c>
      <x:c r="T24" s="29" t="n">
        <x:f>'原始数据-规模前十'!H24/'原始数据-规模前十'!H$5</x:f>
        <x:v>0.9770943456671473</x:v>
      </x:c>
      <x:c r="U24" s="29" t="n">
        <x:f>'原始数据-规模前十'!I24/'原始数据-规模前十'!I$5</x:f>
        <x:v>1.0029211295034082</x:v>
      </x:c>
      <x:c r="V24" s="29" t="n">
        <x:f>'原始数据-规模前十'!J24/'原始数据-规模前十'!J$5</x:f>
        <x:v>0.9913306291372664</x:v>
      </x:c>
      <x:c r="W24" s="29" t="n">
        <x:f>'原始数据-规模前十'!K24/'原始数据-规模前十'!K$5</x:f>
        <x:v>0.9763341067240394</x:v>
      </x:c>
      <x:c r="X24" s="29" t="n">
        <x:f>'原始数据-规模前十'!L24/'原始数据-规模前十'!L$5</x:f>
        <x:v>0.990148122623899</x:v>
      </x:c>
      <x:c r="Y24" s="28"/>
      <x:c r="Z24" s="30" t="n">
        <x:f>'原始数据-规模前十'!N24/MAX('原始数据-规模前十'!N$5:N24)-1</x:f>
        <x:v>-0.016555300688141927</x:v>
      </x:c>
      <x:c r="AA24" s="30" t="n">
        <x:f>'原始数据-规模前十'!O24/MAX('原始数据-规模前十'!O$5:O24)-1</x:f>
        <x:v>-0.030905077274404058</x:v>
      </x:c>
      <x:c r="AB24" s="30" t="n">
        <x:f>'原始数据-规模前十'!P24/MAX('原始数据-规模前十'!P$5:P24)-1</x:f>
        <x:v>-0.03163421571042935</x:v>
      </x:c>
      <x:c r="AC24" s="30" t="n">
        <x:f>'原始数据-规模前十'!Q24/MAX('原始数据-规模前十'!Q$5:Q24)-1</x:f>
        <x:v>-0.01826722339585063</x:v>
      </x:c>
      <x:c r="AD24" s="30" t="n">
        <x:f>'原始数据-规模前十'!R24/MAX('原始数据-规模前十'!R$5:R24)-1</x:f>
        <x:v>-0.005559968264514548</x:v>
      </x:c>
      <x:c r="AE24" s="30" t="n">
        <x:f>'原始数据-规模前十'!S24/MAX('原始数据-规模前十'!S$5:S24)-1</x:f>
        <x:v>-0.029359276942411805</x:v>
      </x:c>
      <x:c r="AF24" s="30" t="n">
        <x:f>'原始数据-规模前十'!T24/MAX('原始数据-规模前十'!T$5:T24)-1</x:f>
        <x:v>-0.029126213592232886</x:v>
      </x:c>
      <x:c r="AG24" s="30" t="n">
        <x:f>'原始数据-规模前十'!U24/MAX('原始数据-规模前十'!U$5:U24)-1</x:f>
        <x:v>-0.018580276322058165</x:v>
      </x:c>
      <x:c r="AH24" s="30" t="n">
        <x:f>'原始数据-规模前十'!V24/MAX('原始数据-规模前十'!V$5:V24)-1</x:f>
        <x:v>-0.023197492167258305</x:v>
      </x:c>
      <x:c r="AI24" s="30" t="n">
        <x:f>'原始数据-规模前十'!W24/MAX('原始数据-规模前十'!W$5:W24)-1</x:f>
        <x:v>-0.03926940639328369</x:v>
      </x:c>
      <x:c r="AJ24" s="31" t="n">
        <x:f>'原始数据-规模前十'!X24/MAX('原始数据-规模前十'!X$5:X24)-1</x:f>
        <x:v>-0.019143490882964964</x:v>
      </x:c>
    </x:row>
    <x:row r="25">
      <x:c r="A25" s="26" t="n">
        <x:v>46220</x:v>
      </x:c>
      <x:c r="B25" s="27" t="n">
        <x:v>0.979</x:v>
      </x:c>
      <x:c r="C25" s="27" t="n">
        <x:v>1.7232054868</x:v>
      </x:c>
      <x:c r="D25" s="27" t="n">
        <x:v>2.4942730476</x:v>
      </x:c>
      <x:c r="E25" s="27" t="n">
        <x:v>2.2423154627</x:v>
      </x:c>
      <x:c r="F25" s="27" t="n">
        <x:v>1.4330599652</x:v>
      </x:c>
      <x:c r="G25" s="27" t="n">
        <x:v>1.7970990259</x:v>
      </x:c>
      <x:c r="H25" s="27" t="n">
        <x:v>1.2038</x:v>
      </x:c>
      <x:c r="I25" s="27" t="n">
        <x:v>2.035</x:v>
      </x:c>
      <x:c r="J25" s="27" t="n">
        <x:v>1.2462373093</x:v>
      </x:c>
      <x:c r="K25" s="27" t="n">
        <x:v>2.6494242885</x:v>
      </x:c>
      <x:c r="L25" s="27" t="n">
        <x:v>8.198113989</x:v>
      </x:c>
      <x:c r="M25" s="28"/>
      <x:c r="N25" s="29" t="n">
        <x:f>'原始数据-规模前十'!B25/'原始数据-规模前十'!B$5</x:f>
        <x:v>0.979</x:v>
      </x:c>
      <x:c r="O25" s="29" t="n">
        <x:f>'原始数据-规模前十'!C25/'原始数据-规模前十'!C$5</x:f>
        <x:v>0.9571970802922173</x:v>
      </x:c>
      <x:c r="P25" s="29" t="n">
        <x:f>'原始数据-规模前十'!D25/'原始数据-规模前十'!D$5</x:f>
        <x:v>0.9639560051282697</x:v>
      </x:c>
      <x:c r="Q25" s="29" t="n">
        <x:f>'原始数据-规模前十'!E25/'原始数据-规模前十'!E$5</x:f>
        <x:v>0.9800734137471311</x:v>
      </x:c>
      <x:c r="R25" s="29" t="n">
        <x:f>'原始数据-规模前十'!F25/'原始数据-规模前十'!F$5</x:f>
        <x:v>0.9928172386107071</x:v>
      </x:c>
      <x:c r="S25" s="29" t="n">
        <x:f>'原始数据-规模前十'!G25/'原始数据-规模前十'!G$5</x:f>
        <x:v>0.9715972181408437</x:v>
      </x:c>
      <x:c r="T25" s="29" t="n">
        <x:f>'原始数据-规模前十'!H25/'原始数据-规模前十'!H$5</x:f>
        <x:v>0.964119814191895</x:v>
      </x:c>
      <x:c r="U25" s="29" t="n">
        <x:f>'原始数据-规模前十'!I25/'原始数据-规模前十'!I$5</x:f>
        <x:v>0.9907497565725415</x:v>
      </x:c>
      <x:c r="V25" s="29" t="n">
        <x:f>'原始数据-规模前十'!J25/'原始数据-规模前十'!J$5</x:f>
        <x:v>0.9852063946506677</x:v>
      </x:c>
      <x:c r="W25" s="29" t="n">
        <x:f>'原始数据-规模前十'!K25/'原始数据-规模前十'!K$5</x:f>
        <x:v>0.9656612528879869</x:v>
      </x:c>
      <x:c r="X25" s="29" t="n">
        <x:f>'原始数据-规模前十'!L25/'原始数据-规模前十'!L$5</x:f>
        <x:v>0.9828453324082645</x:v>
      </x:c>
      <x:c r="Y25" s="28"/>
      <x:c r="Z25" s="30" t="n">
        <x:f>'原始数据-规模前十'!N25/MAX('原始数据-规模前十'!N$5:N25)-1</x:f>
        <x:v>-0.023636182307768983</x:v>
      </x:c>
      <x:c r="AA25" s="30" t="n">
        <x:f>'原始数据-规模前十'!O25/MAX('原始数据-规模前十'!O$5:O25)-1</x:f>
        <x:v>-0.04775182989240789</x:v>
      </x:c>
      <x:c r="AB25" s="30" t="n">
        <x:f>'原始数据-规模前十'!P25/MAX('原始数据-规模前十'!P$5:P25)-1</x:f>
        <x:v>-0.0451542332157685</x:v>
      </x:c>
      <x:c r="AC25" s="30" t="n">
        <x:f>'原始数据-规模前十'!Q25/MAX('原始数据-规模前十'!Q$5:Q25)-1</x:f>
        <x:v>-0.024530271409827442</x:v>
      </x:c>
      <x:c r="AD25" s="30" t="n">
        <x:f>'原始数据-规模前十'!R25/MAX('原始数据-规模前十'!R$5:R25)-1</x:f>
        <x:v>-0.011914217660424664</x:v>
      </x:c>
      <x:c r="AE25" s="30" t="n">
        <x:f>'原始数据-规模前十'!S25/MAX('原始数据-规模前十'!S$5:S25)-1</x:f>
        <x:v>-0.04294513845997994</x:v>
      </x:c>
      <x:c r="AF25" s="30" t="n">
        <x:f>'原始数据-规模前十'!T25/MAX('原始数据-规模前十'!T$5:T25)-1</x:f>
        <x:v>-0.04201814419863115</x:v>
      </x:c>
      <x:c r="AG25" s="30" t="n">
        <x:f>'原始数据-规模前十'!U25/MAX('原始数据-规模前十'!U$5:U25)-1</x:f>
        <x:v>-0.030490709861839105</x:v>
      </x:c>
      <x:c r="AH25" s="30" t="n">
        <x:f>'原始数据-规模前十'!V25/MAX('原始数据-规模前十'!V$5:V25)-1</x:f>
        <x:v>-0.029231974941458017</x:v>
      </x:c>
      <x:c r="AI25" s="30" t="n">
        <x:f>'原始数据-规模前十'!W25/MAX('原始数据-规模前十'!W$5:W25)-1</x:f>
        <x:v>-0.049771689505970995</x:v>
      </x:c>
      <x:c r="AJ25" s="31" t="n">
        <x:f>'原始数据-规模前十'!X25/MAX('原始数据-规模前十'!X$5:X25)-1</x:f>
        <x:v>-0.02637775124669639</x:v>
      </x:c>
    </x:row>
    <x:row r="26">
      <x:c r="A26" s="26" t="n">
        <x:v>46223</x:v>
      </x:c>
      <x:c r="B26" s="27" t="n">
        <x:v>0.9755</x:v>
      </x:c>
      <x:c r="C26" s="27" t="n">
        <x:v>1.718159497</x:v>
      </x:c>
      <x:c r="D26" s="27" t="n">
        <x:v>2.4917585442</x:v>
      </x:c>
      <x:c r="E26" s="27" t="n">
        <x:v>2.2471144257</x:v>
      </x:c>
      <x:c r="F26" s="27" t="n">
        <x:v>1.4422757849</x:v>
      </x:c>
      <x:c r="G26" s="27" t="n">
        <x:v>1.7889918123</x:v>
      </x:c>
      <x:c r="H26" s="27" t="n">
        <x:v>1.2035</x:v>
      </x:c>
      <x:c r="I26" s="27" t="n">
        <x:v>2.035</x:v>
      </x:c>
      <x:c r="J26" s="27" t="n">
        <x:v>1.2461367008</x:v>
      </x:c>
      <x:c r="K26" s="27" t="n">
        <x:v>2.641785391</x:v>
      </x:c>
      <x:c r="L26" s="27" t="n">
        <x:v>8.2406389039</x:v>
      </x:c>
      <x:c r="M26" s="28"/>
      <x:c r="N26" s="29" t="n">
        <x:f>'原始数据-规模前十'!B26/'原始数据-规模前十'!B$5</x:f>
        <x:v>0.9755</x:v>
      </x:c>
      <x:c r="O26" s="29" t="n">
        <x:f>'原始数据-规模前十'!C26/'原始数据-规模前十'!C$5</x:f>
        <x:v>0.9543941605355528</x:v>
      </x:c>
      <x:c r="P26" s="29" t="n">
        <x:f>'原始数据-规模前十'!D26/'原始数据-规模前十'!D$5</x:f>
        <x:v>0.9629842307450771</x:v>
      </x:c>
      <x:c r="Q26" s="29" t="n">
        <x:f>'原始数据-规模前十'!E26/'原始数据-规模前十'!E$5</x:f>
        <x:v>0.9821709491421698</x:v>
      </x:c>
      <x:c r="R26" s="29" t="n">
        <x:f>'原始数据-规模前十'!F26/'原始数据-规模前十'!F$5</x:f>
        <x:v>0.9992019153780966</x:v>
      </x:c>
      <x:c r="S26" s="29" t="n">
        <x:f>'原始数据-规模前十'!G26/'原始数据-规模前十'!G$5</x:f>
        <x:v>0.9672140728232456</x:v>
      </x:c>
      <x:c r="T26" s="29" t="n">
        <x:f>'原始数据-规模前十'!H26/'原始数据-规模前十'!H$5</x:f>
        <x:v>0.9638795450905014</x:v>
      </x:c>
      <x:c r="U26" s="29" t="n">
        <x:f>'原始数据-规模前十'!I26/'原始数据-规模前十'!I$5</x:f>
        <x:v>0.9907497565725415</x:v>
      </x:c>
      <x:c r="V26" s="29" t="n">
        <x:f>'原始数据-规模前十'!J26/'原始数据-规模前十'!J$5</x:f>
        <x:v>0.9851268591265611</x:v>
      </x:c>
      <x:c r="W26" s="29" t="n">
        <x:f>'原始数据-规模前十'!K26/'原始数据-规模前十'!K$5</x:f>
        <x:v>0.9628770301560705</x:v>
      </x:c>
      <x:c r="X26" s="29" t="n">
        <x:f>'原始数据-规模前十'!L26/'原始数据-规模前十'!L$5</x:f>
        <x:v>0.9879435067172099</x:v>
      </x:c>
      <x:c r="Y26" s="28"/>
      <x:c r="Z26" s="30" t="n">
        <x:f>'原始数据-规模前十'!N26/MAX('原始数据-规模前十'!N$5:N26)-1</x:f>
        <x:v>-0.027126757754063924</x:v>
      </x:c>
      <x:c r="AA26" s="30" t="n">
        <x:f>'原始数据-规模前十'!O26/MAX('原始数据-规模前十'!O$5:O26)-1</x:f>
        <x:v>-0.0505402579645321</x:v>
      </x:c>
      <x:c r="AB26" s="30" t="n">
        <x:f>'原始数据-规模前十'!P26/MAX('原始数据-规模前十'!P$5:P26)-1</x:f>
        <x:v>-0.046116823470017</x:v>
      </x:c>
      <x:c r="AC26" s="30" t="n">
        <x:f>'原始数据-规模前十'!Q26/MAX('原始数据-规模前十'!Q$5:Q26)-1</x:f>
        <x:v>-0.022442588738501912</x:v>
      </x:c>
      <x:c r="AD26" s="30" t="n">
        <x:f>'原始数据-规模前十'!R26/MAX('原始数据-规模前十'!R$5:R26)-1</x:f>
        <x:v>-0.005559968264514548</x:v>
      </x:c>
      <x:c r="AE26" s="30" t="n">
        <x:f>'原始数据-规模前十'!S26/MAX('原始数据-规模前十'!S$5:S26)-1</x:f>
        <x:v>-0.04726267916174387</x:v>
      </x:c>
      <x:c r="AF26" s="30" t="n">
        <x:f>'原始数据-规模前十'!T26/MAX('原始数据-规模前十'!T$5:T26)-1</x:f>
        <x:v>-0.04225688365430513</x:v>
      </x:c>
      <x:c r="AG26" s="30" t="n">
        <x:f>'原始数据-规模前十'!U26/MAX('原始数据-规模前十'!U$5:U26)-1</x:f>
        <x:v>-0.030490709861839105</x:v>
      </x:c>
      <x:c r="AH26" s="30" t="n">
        <x:f>'原始数据-规模前十'!V26/MAX('原始数据-规模前十'!V$5:V26)-1</x:f>
        <x:v>-0.02931034485874462</x:v>
      </x:c>
      <x:c r="AI26" s="30" t="n">
        <x:f>'原始数据-规模前十'!W26/MAX('原始数据-规模前十'!W$5:W26)-1</x:f>
        <x:v>-0.05251141552757088</x:v>
      </x:c>
      <x:c r="AJ26" s="31" t="n">
        <x:f>'原始数据-规模前十'!X26/MAX('原始数据-规模前十'!X$5:X26)-1</x:f>
        <x:v>-0.021327418532545828</x:v>
      </x:c>
    </x:row>
    <x:row r="27">
      <x:c r="A27" s="26" t="n">
        <x:v>46224</x:v>
      </x:c>
      <x:c r="B27" s="27" t="n">
        <x:v>0.9845</x:v>
      </x:c>
      <x:c r="C27" s="27" t="n">
        <x:v>1.7571607925</x:v>
      </x:c>
      <x:c r="D27" s="27" t="n">
        <x:v>2.5282188431</x:v>
      </x:c>
      <x:c r="E27" s="27" t="n">
        <x:v>2.2639107962</x:v>
      </x:c>
      <x:c r="F27" s="27" t="n">
        <x:v>1.4491876497</x:v>
      </x:c>
      <x:c r="G27" s="27" t="n">
        <x:v>1.8127729723</x:v>
      </x:c>
      <x:c r="H27" s="27" t="n">
        <x:v>1.2165</x:v>
      </x:c>
      <x:c r="I27" s="27" t="n">
        <x:v>2.07</x:v>
      </x:c>
      <x:c r="J27" s="27" t="n">
        <x:v>1.255694507</x:v>
      </x:c>
      <x:c r="K27" s="27" t="n">
        <x:v>2.678706729</x:v>
      </x:c>
      <x:c r="L27" s="27" t="n">
        <x:v>8.2851751323</x:v>
      </x:c>
      <x:c r="M27" s="28"/>
      <x:c r="N27" s="29" t="n">
        <x:f>'原始数据-规模前十'!B27/'原始数据-规模前十'!B$5</x:f>
        <x:v>0.9845</x:v>
      </x:c>
      <x:c r="O27" s="29" t="n">
        <x:f>'原始数据-规模前十'!C27/'原始数据-规模前十'!C$5</x:f>
        <x:v>0.9760583941201031</x:v>
      </x:c>
      <x:c r="P27" s="29" t="n">
        <x:f>'原始数据-规模前十'!D27/'原始数据-规模前十'!D$5</x:f>
        <x:v>0.9770749591467829</x:v>
      </x:c>
      <x:c r="Q27" s="29" t="n">
        <x:f>'原始数据-规模前十'!E27/'原始数据-规模前十'!E$5</x:f>
        <x:v>0.9895123230248057</x:v>
      </x:c>
      <x:c r="R27" s="29" t="n">
        <x:f>'原始数据-规模前十'!F27/'原始数据-规模前十'!F$5</x:f>
        <x:v>1.0039904229709584</x:v>
      </x:c>
      <x:c r="S27" s="29" t="n">
        <x:f>'原始数据-规模前十'!G27/'原始数据-规模前十'!G$5</x:f>
        <x:v>0.9800712991458689</x:v>
      </x:c>
      <x:c r="T27" s="29" t="n">
        <x:f>'原始数据-规模前十'!H27/'原始数据-规模前十'!H$5</x:f>
        <x:v>0.9742912061508889</x:v>
      </x:c>
      <x:c r="U27" s="29" t="n">
        <x:f>'原始数据-规模前十'!I27/'原始数据-规模前十'!I$5</x:f>
        <x:v>1.0077896786757545</x:v>
      </x:c>
      <x:c r="V27" s="29" t="n">
        <x:f>'原始数据-规模前十'!J27/'原始数据-规模前十'!J$5</x:f>
        <x:v>0.9926827328889676</x:v>
      </x:c>
      <x:c r="W27" s="29" t="n">
        <x:f>'原始数据-规模前十'!K27/'原始数据-规模前十'!K$5</x:f>
        <x:v>0.9763341067240394</x:v>
      </x:c>
      <x:c r="X27" s="29" t="n">
        <x:f>'原始数据-规模前十'!L27/'原始数据-规模前十'!L$5</x:f>
        <x:v>0.9932828108870152</x:v>
      </x:c>
      <x:c r="Y27" s="28"/>
      <x:c r="Z27" s="30" t="n">
        <x:f>'原始数据-规模前十'!N27/MAX('原始数据-规模前十'!N$5:N27)-1</x:f>
        <x:v>-0.018150992320733916</x:v>
      </x:c>
      <x:c r="AA27" s="30" t="n">
        <x:f>'原始数据-规模前十'!O27/MAX('原始数据-规模前十'!O$5:O27)-1</x:f>
        <x:v>-0.028988033023171544</x:v>
      </x:c>
      <x:c r="AB27" s="30" t="n">
        <x:f>'原始数据-规模前十'!P27/MAX('原始数据-规模前十'!P$5:P27)-1</x:f>
        <x:v>-0.03215926493653942</x:v>
      </x:c>
      <x:c r="AC27" s="30" t="n">
        <x:f>'原始数据-规模前十'!Q27/MAX('原始数据-规模前十'!Q$5:Q27)-1</x:f>
        <x:v>-0.01513569938886239</x:v>
      </x:c>
      <x:c r="AD27" s="30" t="n">
        <x:f>'原始数据-规模前十'!R27/MAX('原始数据-规模前十'!R$5:R27)-1</x:f>
        <x:v>-0.0007942812003446376</x:v>
      </x:c>
      <x:c r="AE27" s="30" t="n">
        <x:f>'原始数据-规模前十'!S27/MAX('原始数据-规模前十'!S$5:S27)-1</x:f>
        <x:v>-0.034597893046430794</x:v>
      </x:c>
      <x:c r="AF27" s="30" t="n">
        <x:f>'原始数据-规模前十'!T27/MAX('原始数据-规模前十'!T$5:T27)-1</x:f>
        <x:v>-0.031911507241763504</x:v>
      </x:c>
      <x:c r="AG27" s="30" t="n">
        <x:f>'原始数据-规模前十'!U27/MAX('原始数据-规模前十'!U$5:U27)-1</x:f>
        <x:v>-0.0138161029061461</x:v>
      </x:c>
      <x:c r="AH27" s="30" t="n">
        <x:f>'原始数据-规模前十'!V27/MAX('原始数据-规模前十'!V$5:V27)-1</x:f>
        <x:v>-0.02186520372918066</x:v>
      </x:c>
      <x:c r="AI27" s="30" t="n">
        <x:f>'原始数据-规模前十'!W27/MAX('原始数据-规模前十'!W$5:W27)-1</x:f>
        <x:v>-0.03926940639328369</x:v>
      </x:c>
      <x:c r="AJ27" s="31" t="n">
        <x:f>'原始数据-规模前十'!X27/MAX('原始数据-规模前十'!X$5:X27)-1</x:f>
        <x:v>-0.016038218735619503</x:v>
      </x:c>
    </x:row>
    <x:row r="28">
      <x:c r="A28" s="26" t="n">
        <x:v>46225</x:v>
      </x:c>
      <x:c r="B28" s="27" t="n">
        <x:v>0.9842</x:v>
      </x:c>
      <x:c r="C28" s="27" t="n">
        <x:v>1.7440201943</x:v>
      </x:c>
      <x:c r="D28" s="27" t="n">
        <x:v>2.523304132</x:v>
      </x:c>
      <x:c r="E28" s="27" t="n">
        <x:v>2.2723089815</x:v>
      </x:c>
      <x:c r="F28" s="27" t="n">
        <x:v>1.4641633568</x:v>
      </x:c>
      <x:c r="G28" s="27" t="n">
        <x:v>1.8010985847</x:v>
      </x:c>
      <x:c r="H28" s="27" t="n">
        <x:v>1.2181</x:v>
      </x:c>
      <x:c r="I28" s="27" t="n">
        <x:v>2.067</x:v>
      </x:c>
      <x:c r="J28" s="27" t="n">
        <x:v>1.2540847712</x:v>
      </x:c>
      <x:c r="K28" s="27" t="n">
        <x:v>2.6672483827</x:v>
      </x:c>
      <x:c r="L28" s="27" t="n">
        <x:v>8.3012656406</x:v>
      </x:c>
      <x:c r="M28" s="28"/>
      <x:c r="N28" s="29" t="n">
        <x:f>'原始数据-规模前十'!B28/'原始数据-规模前十'!B$5</x:f>
        <x:v>0.9842</x:v>
      </x:c>
      <x:c r="O28" s="29" t="n">
        <x:f>'原始数据-规模前十'!C28/'原始数据-规模前十'!C$5</x:f>
        <x:v>0.9687591240523814</x:v>
      </x:c>
      <x:c r="P28" s="29" t="n">
        <x:f>'原始数据-规模前十'!D28/'原始数据-规模前十'!D$5</x:f>
        <x:v>0.9751755819784034</x:v>
      </x:c>
      <x:c r="Q28" s="29" t="n">
        <x:f>'原始数据-规模前十'!E28/'原始数据-规模前十'!E$5</x:f>
        <x:v>0.9931830099879779</x:v>
      </x:c>
      <x:c r="R28" s="29" t="n">
        <x:f>'原始数据-规模前十'!F28/'原始数据-规模前十'!F$5</x:f>
        <x:v>1.0143655227785857</x:v>
      </x:c>
      <x:c r="S28" s="29" t="n">
        <x:f>'原始数据-规模前十'!G28/'原始数据-规模前十'!G$5</x:f>
        <x:v>0.9737595698798774</x:v>
      </x:c>
      <x:c r="T28" s="29" t="n">
        <x:f>'原始数据-规模前十'!H28/'原始数据-规模前十'!H$5</x:f>
        <x:v>0.9755726413583213</x:v>
      </x:c>
      <x:c r="U28" s="29" t="n">
        <x:f>'原始数据-规模前十'!I28/'原始数据-规模前十'!I$5</x:f>
        <x:v>1.0063291139240509</x:v>
      </x:c>
      <x:c r="V28" s="29" t="n">
        <x:f>'原始数据-规模前十'!J28/'原始数据-规模前十'!J$5</x:f>
        <x:v>0.991410164661373</x:v>
      </x:c>
      <x:c r="W28" s="29" t="n">
        <x:f>'原始数据-规模前十'!K28/'原始数据-规模前十'!K$5</x:f>
        <x:v>0.9721577726079409</x:v>
      </x:c>
      <x:c r="X28" s="29" t="n">
        <x:f>'原始数据-规模前十'!L28/'原始数据-规模前十'!L$5</x:f>
        <x:v>0.9952118498098641</x:v>
      </x:c>
      <x:c r="Y28" s="28"/>
      <x:c r="Z28" s="30" t="n">
        <x:f>'原始数据-规模前十'!N28/MAX('原始数据-规模前十'!N$5:N28)-1</x:f>
        <x:v>-0.01845018450184499</x:v>
      </x:c>
      <x:c r="AA28" s="30" t="n">
        <x:f>'原始数据-规模前十'!O28/MAX('原始数据-规模前十'!O$5:O28)-1</x:f>
        <x:v>-0.03624956432975168</x:v>
      </x:c>
      <x:c r="AB28" s="30" t="n">
        <x:f>'原始数据-规模前十'!P28/MAX('原始数据-规模前十'!P$5:P28)-1</x:f>
        <x:v>-0.03404069130776932</x:v>
      </x:c>
      <x:c r="AC28" s="30" t="n">
        <x:f>'原始数据-规模前十'!Q28/MAX('原始数据-规模前十'!Q$5:Q28)-1</x:f>
        <x:v>-0.011482254692290916</x:v>
      </x:c>
      <x:c r="AD28" s="30" t="n">
        <x:f>'原始数据-规模前十'!R28/MAX('原始数据-规模前十'!R$5:R28)-1</x:f>
        <x:v>0</x:v>
      </x:c>
      <x:c r="AE28" s="30" t="n">
        <x:f>'原始数据-规模前十'!S28/MAX('原始数据-规模前十'!S$5:S28)-1</x:f>
        <x:v>-0.040815151665491434</x:v>
      </x:c>
      <x:c r="AF28" s="30" t="n">
        <x:f>'原始数据-规模前十'!T28/MAX('原始数据-规模前十'!T$5:T28)-1</x:f>
        <x:v>-0.030638230144835243</x:v>
      </x:c>
      <x:c r="AG28" s="30" t="n">
        <x:f>'原始数据-规模前十'!U28/MAX('原始数据-规模前十'!U$5:U28)-1</x:f>
        <x:v>-0.015245354930919497</x:v>
      </x:c>
      <x:c r="AH28" s="30" t="n">
        <x:f>'原始数据-规模前十'!V28/MAX('原始数据-规模前十'!V$5:V28)-1</x:f>
        <x:v>-0.023119122249971702</x:v>
      </x:c>
      <x:c r="AI28" s="30" t="n">
        <x:f>'原始数据-规模前十'!W28/MAX('原始数据-规模前十'!W$5:W28)-1</x:f>
        <x:v>-0.04337899544361623</x:v>
      </x:c>
      <x:c r="AJ28" s="31" t="n">
        <x:f>'原始数据-规模前十'!X28/MAX('原始数据-规模前十'!X$5:X28)-1</x:f>
        <x:v>-0.014127282037782463</x:v>
      </x:c>
    </x:row>
    <x:row r="29">
      <x:c r="A29" s="26" t="n">
        <x:v>46226</x:v>
      </x:c>
      <x:c r="B29" s="27" t="n">
        <x:v>0.9829</x:v>
      </x:c>
      <x:c r="C29" s="27" t="n">
        <x:v>1.7351897123</x:v>
      </x:c>
      <x:c r="D29" s="27" t="n">
        <x:v>2.5129032317</x:v>
      </x:c>
      <x:c r="E29" s="27" t="n">
        <x:v>2.2687097592</x:v>
      </x:c>
      <x:c r="F29" s="27" t="n">
        <x:v>1.4710752215</x:v>
      </x:c>
      <x:c r="G29" s="27" t="n">
        <x:v>1.7979637954</x:v>
      </x:c>
      <x:c r="H29" s="27" t="n">
        <x:v>1.2183</x:v>
      </x:c>
      <x:c r="I29" s="27" t="n">
        <x:v>2.056</x:v>
      </x:c>
      <x:c r="J29" s="27" t="n">
        <x:v>1.251971993</x:v>
      </x:c>
      <x:c r="K29" s="27" t="n">
        <x:v>2.6596094852</x:v>
      </x:c>
      <x:c r="L29" s="27" t="n">
        <x:v>8.3302860217</x:v>
      </x:c>
      <x:c r="M29" s="28"/>
      <x:c r="N29" s="29" t="n">
        <x:f>'原始数据-规模前十'!B29/'原始数据-规模前十'!B$5</x:f>
        <x:v>0.9829</x:v>
      </x:c>
      <x:c r="O29" s="29" t="n">
        <x:f>'原始数据-规模前十'!C29/'原始数据-规模前十'!C$5</x:f>
        <x:v>0.9638540145615399</x:v>
      </x:c>
      <x:c r="P29" s="29" t="n">
        <x:f>'原始数据-规模前十'!D29/'原始数据-规模前十'!D$5</x:f>
        <x:v>0.9711559698062028</x:v>
      </x:c>
      <x:c r="Q29" s="29" t="n">
        <x:f>'原始数据-规模前十'!E29/'原始数据-规模前十'!E$5</x:f>
        <x:v>0.9916098584198447</x:v>
      </x:c>
      <x:c r="R29" s="29" t="n">
        <x:f>'原始数据-规模前十'!F29/'原始数据-规模前十'!F$5</x:f>
        <x:v>1.0191540303021678</x:v>
      </x:c>
      <x:c r="S29" s="29" t="n">
        <x:f>'原始数据-规模前十'!G29/'原始数据-规模前十'!G$5</x:f>
        <x:v>0.9720647536680594</x:v>
      </x:c>
      <x:c r="T29" s="29" t="n">
        <x:f>'原始数据-规模前十'!H29/'原始数据-规模前十'!H$5</x:f>
        <x:v>0.9757328207592504</x:v>
      </x:c>
      <x:c r="U29" s="29" t="n">
        <x:f>'原始数据-规模前十'!I29/'原始数据-规模前十'!I$5</x:f>
        <x:v>1.0009737098344695</x:v>
      </x:c>
      <x:c r="V29" s="29" t="n">
        <x:f>'原始数据-规模前十'!J29/'原始数据-规模前十'!J$5</x:f>
        <x:v>0.9897399188923005</x:v>
      </x:c>
      <x:c r="W29" s="29" t="n">
        <x:f>'原始数据-规模前十'!K29/'原始数据-规模前十'!K$5</x:f>
        <x:v>0.9693735498760245</x:v>
      </x:c>
      <x:c r="X29" s="29" t="n">
        <x:f>'原始数据-规模前十'!L29/'原始数据-规模前十'!L$5</x:f>
        <x:v>0.9986910093027808</x:v>
      </x:c>
      <x:c r="Y29" s="28"/>
      <x:c r="Z29" s="30" t="n">
        <x:f>'原始数据-规模前十'!N29/MAX('原始数据-规模前十'!N$5:N29)-1</x:f>
        <x:v>-0.019746683953325905</x:v>
      </x:c>
      <x:c r="AA29" s="30" t="n">
        <x:f>'原始数据-规模前十'!O29/MAX('原始数据-规模前十'!O$5:O29)-1</x:f>
        <x:v>-0.04112931337307857</x:v>
      </x:c>
      <x:c r="AB29" s="30" t="n">
        <x:f>'原始数据-规模前十'!P29/MAX('原始数据-规模前十'!P$5:P29)-1</x:f>
        <x:v>-0.038022314583438854</x:v>
      </x:c>
      <x:c r="AC29" s="30" t="n">
        <x:f>'原始数据-规模前十'!Q29/MAX('原始数据-规模前十'!Q$5:Q29)-1</x:f>
        <x:v>-0.013048016717536637</x:v>
      </x:c>
      <x:c r="AD29" s="30" t="n">
        <x:f>'原始数据-规模前十'!R29/MAX('原始数据-规模前十'!R$5:R29)-1</x:f>
        <x:v>0</x:v>
      </x:c>
      <x:c r="AE29" s="30" t="n">
        <x:f>'原始数据-规模前十'!S29/MAX('原始数据-规模前十'!S$5:S29)-1</x:f>
        <x:v>-0.04248460075885241</x:v>
      </x:c>
      <x:c r="AF29" s="30" t="n">
        <x:f>'原始数据-规模前十'!T29/MAX('原始数据-规模前十'!T$5:T29)-1</x:f>
        <x:v>-0.03047907050771914</x:v>
      </x:c>
      <x:c r="AG29" s="30" t="n">
        <x:f>'原始数据-规模前十'!U29/MAX('原始数据-规模前十'!U$5:U29)-1</x:f>
        <x:v>-0.0204859456884231</x:v>
      </x:c>
      <x:c r="AH29" s="30" t="n">
        <x:f>'原始数据-规模前十'!V29/MAX('原始数据-规模前十'!V$5:V29)-1</x:f>
        <x:v>-0.024764890279299068</x:v>
      </x:c>
      <x:c r="AI29" s="30" t="n">
        <x:f>'原始数据-规模前十'!W29/MAX('原始数据-规模前十'!W$5:W29)-1</x:f>
        <x:v>-0.04611872146521612</x:v>
      </x:c>
      <x:c r="AJ29" s="31" t="n">
        <x:f>'原始数据-规模前十'!X29/MAX('原始数据-规模前十'!X$5:X29)-1</x:f>
        <x:v>-0.010680771200757055</x:v>
      </x:c>
    </x:row>
    <x:row r="30">
      <x:c r="A30" s="26" t="n">
        <x:v>46227</x:v>
      </x:c>
      <x:c r="B30" s="27" t="n">
        <x:v>0.9817</x:v>
      </x:c>
      <x:c r="C30" s="27" t="n">
        <x:v>1.7258336064</x:v>
      </x:c>
      <x:c r="D30" s="27" t="n">
        <x:v>2.5045596523</x:v>
      </x:c>
      <x:c r="E30" s="27" t="n">
        <x:v>2.2639107962</x:v>
      </x:c>
      <x:c r="F30" s="27" t="n">
        <x:v>1.4607074244</x:v>
      </x:c>
      <x:c r="G30" s="27" t="n">
        <x:v>1.7915861207</x:v>
      </x:c>
      <x:c r="H30" s="27" t="n">
        <x:v>1.214</x:v>
      </x:c>
      <x:c r="I30" s="27" t="n">
        <x:v>2.045</x:v>
      </x:c>
      <x:c r="J30" s="27" t="n">
        <x:v>1.2513683421</x:v>
      </x:c>
      <x:c r="K30" s="27" t="n">
        <x:v>2.6557900365</x:v>
      </x:c>
      <x:c r="L30" s="27" t="n">
        <x:v>8.2728199205</x:v>
      </x:c>
      <x:c r="M30" s="28"/>
      <x:c r="N30" s="29" t="n">
        <x:f>'原始数据-规模前十'!B30/'原始数据-规模前十'!B$5</x:f>
        <x:v>0.9817</x:v>
      </x:c>
      <x:c r="O30" s="29" t="n">
        <x:f>'原始数据-规模前十'!C30/'原始数据-规模前十'!C$5</x:f>
        <x:v>0.9586569342835426</x:v>
      </x:c>
      <x:c r="P30" s="29" t="n">
        <x:f>'原始数据-规模前十'!D30/'原始数据-规模前十'!D$5</x:f>
        <x:v>0.9679314457411116</x:v>
      </x:c>
      <x:c r="Q30" s="29" t="n">
        <x:f>'原始数据-规模前十'!E30/'原始数据-规模前十'!E$5</x:f>
        <x:v>0.9895123230248057</x:v>
      </x:c>
      <x:c r="R30" s="29" t="n">
        <x:f>'原始数据-规模前十'!F30/'原始数据-规模前十'!F$5</x:f>
        <x:v>1.0119712689821547</x:v>
      </x:c>
      <x:c r="S30" s="29" t="n">
        <x:f>'原始数据-规模前十'!G30/'原始数据-规模前十'!G$5</x:f>
        <x:v>0.968616679350828</x:v>
      </x:c>
      <x:c r="T30" s="29" t="n">
        <x:f>'原始数据-规模前十'!H30/'原始数据-规模前十'!H$5</x:f>
        <x:v>0.972288963639276</x:v>
      </x:c>
      <x:c r="U30" s="29" t="n">
        <x:f>'原始数据-规模前十'!I30/'原始数据-规模前十'!I$5</x:f>
        <x:v>0.9956183057448881</x:v>
      </x:c>
      <x:c r="V30" s="29" t="n">
        <x:f>'原始数据-规模前十'!J30/'原始数据-规模前十'!J$5</x:f>
        <x:v>0.9892627058267162</x:v>
      </x:c>
      <x:c r="W30" s="29" t="n">
        <x:f>'原始数据-规模前十'!K30/'原始数据-规模前十'!K$5</x:f>
        <x:v>0.9679814385282904</x:v>
      </x:c>
      <x:c r="X30" s="29" t="n">
        <x:f>'原始数据-规模前十'!L30/'原始数据-规模前十'!L$5</x:f>
        <x:v>0.9918015845629072</x:v>
      </x:c>
      <x:c r="Y30" s="28"/>
      <x:c r="Z30" s="30" t="n">
        <x:f>'原始数据-规模前十'!N30/MAX('原始数据-规模前十'!N$5:N30)-1</x:f>
        <x:v>-0.02094345267776998</x:v>
      </x:c>
      <x:c r="AA30" s="30" t="n">
        <x:f>'原始数据-规模前十'!O30/MAX('原始数据-规模前十'!O$5:O30)-1</x:f>
        <x:v>-0.046299523653196006</x:v>
      </x:c>
      <x:c r="AB30" s="30" t="n">
        <x:f>'原始数据-规模前十'!P30/MAX('原始数据-规模前十'!P$5:P30)-1</x:f>
        <x:v>-0.04121636403908446</x:v>
      </x:c>
      <x:c r="AC30" s="30" t="n">
        <x:f>'原始数据-规模前十'!Q30/MAX('原始数据-规模前十'!Q$5:Q30)-1</x:f>
        <x:v>-0.01513569938886239</x:v>
      </x:c>
      <x:c r="AD30" s="30" t="n">
        <x:f>'原始数据-规模前十'!R30/MAX('原始数据-规模前十'!R$5:R30)-1</x:f>
        <x:v>-0.00704776815520558</x:v>
      </x:c>
      <x:c r="AE30" s="30" t="n">
        <x:f>'原始数据-规模前十'!S30/MAX('原始数据-规模前十'!S$5:S30)-1</x:f>
        <x:v>-0.0458810661116168</x:v>
      </x:c>
      <x:c r="AF30" s="30" t="n">
        <x:f>'原始数据-规模前十'!T30/MAX('原始数据-规模前十'!T$5:T30)-1</x:f>
        <x:v>-0.033901002705713834</x:v>
      </x:c>
      <x:c r="AG30" s="30" t="n">
        <x:f>'原始数据-规模前十'!U30/MAX('原始数据-规模前十'!U$5:U30)-1</x:f>
        <x:v>-0.025726536445926818</x:v>
      </x:c>
      <x:c r="AH30" s="30" t="n">
        <x:f>'原始数据-规模前十'!V30/MAX('原始数据-规模前十'!V$5:V30)-1</x:f>
        <x:v>-0.02523510970512166</x:v>
      </x:c>
      <x:c r="AI30" s="30" t="n">
        <x:f>'原始数据-规模前十'!W30/MAX('原始数据-规模前十'!W$5:W30)-1</x:f>
        <x:v>-0.04748858445808324</x:v>
      </x:c>
      <x:c r="AJ30" s="31" t="n">
        <x:f>'原始数据-规模前十'!X30/MAX('原始数据-规模前十'!X$5:X30)-1</x:f>
        <x:v>-0.01750554513687219</x:v>
      </x:c>
    </x:row>
    <x:row r="31">
      <x:c r="A31" s="26" t="n">
        <x:v>46230</x:v>
      </x:c>
      <x:c r="B31" s="27" t="n">
        <x:v>0.9853</x:v>
      </x:c>
      <x:c r="C31" s="27" t="n">
        <x:v>1.7347692132</x:v>
      </x:c>
      <x:c r="D31" s="27" t="n">
        <x:v>2.5169035779</x:v>
      </x:c>
      <x:c r="E31" s="27" t="n">
        <x:v>2.2687097592</x:v>
      </x:c>
      <x:c r="F31" s="27" t="n">
        <x:v>1.4641633568</x:v>
      </x:c>
      <x:c r="G31" s="27" t="n">
        <x:v>1.801314777</x:v>
      </x:c>
      <x:c r="H31" s="27" t="n">
        <x:v>1.2152</x:v>
      </x:c>
      <x:c r="I31" s="27" t="n">
        <x:v>2.056</x:v>
      </x:c>
      <x:c r="J31" s="27" t="n">
        <x:v>1.2535817288</x:v>
      </x:c>
      <x:c r="K31" s="27" t="n">
        <x:v>2.6685215323</x:v>
      </x:c>
      <x:c r="L31" s="27" t="n">
        <x:v>8.3113222083</x:v>
      </x:c>
      <x:c r="M31" s="28"/>
      <x:c r="N31" s="29" t="n">
        <x:f>'原始数据-规模前十'!B31/'原始数据-规模前十'!B$5</x:f>
        <x:v>0.9853</x:v>
      </x:c>
      <x:c r="O31" s="29" t="n">
        <x:f>'原始数据-规模前十'!C31/'原始数据-规模前十'!C$5</x:f>
        <x:v>0.963620437942925</x:v>
      </x:c>
      <x:c r="P31" s="29" t="n">
        <x:f>'原始数据-规模前十'!D31/'原始数据-规模前十'!D$5</x:f>
        <x:v>0.9727019744610629</x:v>
      </x:c>
      <x:c r="Q31" s="29" t="n">
        <x:f>'原始数据-规模前十'!E31/'原始数据-规模前十'!E$5</x:f>
        <x:v>0.9916098584198447</x:v>
      </x:c>
      <x:c r="R31" s="29" t="n">
        <x:f>'原始数据-规模前十'!F31/'原始数据-规模前十'!F$5</x:f>
        <x:v>1.0143655227785857</x:v>
      </x:c>
      <x:c r="S31" s="29" t="n">
        <x:f>'原始数据-规模前十'!G31/'原始数据-规模前十'!G$5</x:f>
        <x:v>0.9738764537211327</x:v>
      </x:c>
      <x:c r="T31" s="29" t="n">
        <x:f>'原始数据-规模前十'!H31/'原始数据-规模前十'!H$5</x:f>
        <x:v>0.9732500400448504</x:v>
      </x:c>
      <x:c r="U31" s="29" t="n">
        <x:f>'原始数据-规模前十'!I31/'原始数据-规模前十'!I$5</x:f>
        <x:v>1.0009737098344695</x:v>
      </x:c>
      <x:c r="V31" s="29" t="n">
        <x:f>'原始数据-规模前十'!J31/'原始数据-规模前十'!J$5</x:f>
        <x:v>0.9910124871198951</x:v>
      </x:c>
      <x:c r="W31" s="29" t="n">
        <x:f>'原始数据-规模前十'!K31/'原始数据-规模前十'!K$5</x:f>
        <x:v>0.9726218097360018</x:v>
      </x:c>
      <x:c r="X31" s="29" t="n">
        <x:f>'原始数据-规模前十'!L31/'原始数据-规模前十'!L$5</x:f>
        <x:v>0.996417499138143</x:v>
      </x:c>
      <x:c r="Y31" s="28"/>
      <x:c r="Z31" s="30" t="n">
        <x:f>'原始数据-规模前十'!N31/MAX('原始数据-规模前十'!N$5:N31)-1</x:f>
        <x:v>-0.017353146504437977</x:v>
      </x:c>
      <x:c r="AA31" s="30" t="n">
        <x:f>'原始数据-规模前十'!O31/MAX('原始数据-规模前十'!O$5:O31)-1</x:f>
        <x:v>-0.04136168235145876</x:v>
      </x:c>
      <x:c r="AB31" s="30" t="n">
        <x:f>'原始数据-规模前十'!P31/MAX('原始数据-规模前十'!P$5:P31)-1</x:f>
        <x:v>-0.03649092104237628</x:v>
      </x:c>
      <x:c r="AC31" s="30" t="n">
        <x:f>'原始数据-规模前十'!Q31/MAX('原始数据-规模前十'!Q$5:Q31)-1</x:f>
        <x:v>-0.013048016717536637</x:v>
      </x:c>
      <x:c r="AD31" s="30" t="n">
        <x:f>'原始数据-规模前十'!R31/MAX('原始数据-规模前十'!R$5:R31)-1</x:f>
        <x:v>-0.004698512080811068</x:v>
      </x:c>
      <x:c r="AE31" s="30" t="n">
        <x:f>'原始数据-规模前十'!S31/MAX('原始数据-规模前十'!S$5:S31)-1</x:f>
        <x:v>-0.04070001728015127</x:v>
      </x:c>
      <x:c r="AF31" s="30" t="n">
        <x:f>'原始数据-规模前十'!T31/MAX('原始数据-规模前十'!T$5:T31)-1</x:f>
        <x:v>-0.032946044883017445</x:v>
      </x:c>
      <x:c r="AG31" s="30" t="n">
        <x:f>'原始数据-规模前十'!U31/MAX('原始数据-规模前十'!U$5:U31)-1</x:f>
        <x:v>-0.0204859456884231</x:v>
      </x:c>
      <x:c r="AH31" s="30" t="n">
        <x:f>'原始数据-规模前十'!V31/MAX('原始数据-规模前十'!V$5:V31)-1</x:f>
        <x:v>-0.023510971758508026</x:v>
      </x:c>
      <x:c r="AI31" s="30" t="n">
        <x:f>'原始数据-规模前十'!W31/MAX('原始数据-规模前十'!W$5:W31)-1</x:f>
        <x:v>-0.04292237443403857</x:v>
      </x:c>
      <x:c r="AJ31" s="31" t="n">
        <x:f>'原始数据-规模前十'!X31/MAX('原始数据-规模前十'!X$5:X31)-1</x:f>
        <x:v>-0.012932946600150097</x:v>
      </x:c>
    </x:row>
    <x:row r="32">
      <x:c r="A32" s="26" t="n">
        <x:v>46231</x:v>
      </x:c>
      <x:c r="B32" s="27" t="n">
        <x:v>0.9788</x:v>
      </x:c>
      <x:c r="C32" s="27" t="n">
        <x:v>1.6956627929</x:v>
      </x:c>
      <x:c r="D32" s="27" t="n">
        <x:v>2.4833006693</x:v>
      </x:c>
      <x:c r="E32" s="27" t="n">
        <x:v>2.2579120925</x:v>
      </x:c>
      <x:c r="F32" s="27" t="n">
        <x:v>1.4607074244</x:v>
      </x:c>
      <x:c r="G32" s="27" t="n">
        <x:v>1.770399269</x:v>
      </x:c>
      <x:c r="H32" s="27" t="n">
        <x:v>1.2039</x:v>
      </x:c>
      <x:c r="I32" s="27" t="n">
        <x:v>2.028</x:v>
      </x:c>
      <x:c r="J32" s="27" t="n">
        <x:v>1.2459354839</x:v>
      </x:c>
      <x:c r="K32" s="27" t="n">
        <x:v>2.6366927927</x:v>
      </x:c>
      <x:c r="L32" s="27" t="n">
        <x:v>8.2860371238</x:v>
      </x:c>
      <x:c r="M32" s="28"/>
      <x:c r="N32" s="29" t="n">
        <x:f>'原始数据-规模前十'!B32/'原始数据-规模前十'!B$5</x:f>
        <x:v>0.9788</x:v>
      </x:c>
      <x:c r="O32" s="29" t="n">
        <x:f>'原始数据-规模前十'!C32/'原始数据-规模前十'!C$5</x:f>
        <x:v>0.941897810189834</x:v>
      </x:c>
      <x:c r="P32" s="29" t="n">
        <x:f>'原始数据-规模前十'!D32/'原始数据-规模前十'!D$5</x:f>
        <x:v>0.9597155351592737</x:v>
      </x:c>
      <x:c r="Q32" s="29" t="n">
        <x:f>'原始数据-规模前十'!E32/'原始数据-规模前十'!E$5</x:f>
        <x:v>0.9868904038028612</x:v>
      </x:c>
      <x:c r="R32" s="29" t="n">
        <x:f>'原始数据-规模前十'!F32/'原始数据-规模前十'!F$5</x:f>
        <x:v>1.0119712689821547</x:v>
      </x:c>
      <x:c r="S32" s="29" t="n">
        <x:f>'原始数据-规模前十'!G32/'原始数据-规模前十'!G$5</x:f>
        <x:v>0.9571620595017224</x:v>
      </x:c>
      <x:c r="T32" s="29" t="n">
        <x:f>'原始数据-规模前十'!H32/'原始数据-规模前十'!H$5</x:f>
        <x:v>0.9641999038923594</x:v>
      </x:c>
      <x:c r="U32" s="29" t="n">
        <x:f>'原始数据-规模前十'!I32/'原始数据-规模前十'!I$5</x:f>
        <x:v>0.9873417721518988</x:v>
      </x:c>
      <x:c r="V32" s="29" t="n">
        <x:f>'原始数据-规模前十'!J32/'原始数据-规模前十'!J$5</x:f>
        <x:v>0.9849677881574027</x:v>
      </x:c>
      <x:c r="W32" s="29" t="n">
        <x:f>'原始数据-规模前十'!K32/'原始数据-规模前十'!K$5</x:f>
        <x:v>0.9610208816802757</x:v>
      </x:c>
      <x:c r="X32" s="29" t="n">
        <x:f>'原始数据-规模前十'!L32/'原始数据-规模前十'!L$5</x:f>
        <x:v>0.9933861522559554</x:v>
      </x:c>
      <x:c r="Y32" s="28"/>
      <x:c r="Z32" s="30" t="n">
        <x:f>'原始数据-规模前十'!N32/MAX('原始数据-规模前十'!N$5:N32)-1</x:f>
        <x:v>-0.023835643761842995</x:v>
      </x:c>
      <x:c r="AA32" s="30" t="n">
        <x:f>'原始数据-规模前十'!O32/MAX('原始数据-规模前十'!O$5:O32)-1</x:f>
        <x:v>-0.06297199955122956</x:v>
      </x:c>
      <x:c r="AB32" s="30" t="n">
        <x:f>'原始数据-规模前十'!P32/MAX('原始数据-规模前十'!P$5:P32)-1</x:f>
        <x:v>-0.04935462698636672</x:v>
      </x:c>
      <x:c r="AC32" s="30" t="n">
        <x:f>'原始数据-规模前十'!Q32/MAX('原始数据-规模前十'!Q$5:Q32)-1</x:f>
        <x:v>-0.01774530270626795</x:v>
      </x:c>
      <x:c r="AD32" s="30" t="n">
        <x:f>'原始数据-规模前十'!R32/MAX('原始数据-规模前十'!R$5:R32)-1</x:f>
        <x:v>-0.00704776815520558</x:v>
      </x:c>
      <x:c r="AE32" s="30" t="n">
        <x:f>'原始数据-规模前十'!S32/MAX('原始数据-规模前十'!S$5:S32)-1</x:f>
        <x:v>-0.05716423923005831</x:v>
      </x:c>
      <x:c r="AF32" s="30" t="n">
        <x:f>'原始数据-规模前十'!T32/MAX('原始数据-规模前十'!T$5:T32)-1</x:f>
        <x:v>-0.04193856438007315</x:v>
      </x:c>
      <x:c r="AG32" s="30" t="n">
        <x:f>'原始数据-规模前十'!U32/MAX('原始数据-规模前十'!U$5:U32)-1</x:f>
        <x:v>-0.033825631252977884</x:v>
      </x:c>
      <x:c r="AH32" s="30" t="n">
        <x:f>'原始数据-规模前十'!V32/MAX('原始数据-规模前十'!V$5:V32)-1</x:f>
        <x:v>-0.029467084615421357</x:v>
      </x:c>
      <x:c r="AI32" s="30" t="n">
        <x:f>'原始数据-规模前十'!W32/MAX('原始数据-规模前十'!W$5:W32)-1</x:f>
        <x:v>-0.054337899530015554</x:v>
      </x:c>
      <x:c r="AJ32" s="31" t="n">
        <x:f>'原始数据-规模前十'!X32/MAX('原始数据-规模前十'!X$5:X32)-1</x:f>
        <x:v>-0.01593584712871543</x:v>
      </x:c>
    </x:row>
    <x:row r="33">
      <x:c r="A33" s="26" t="n">
        <x:v>46232</x:v>
      </x:c>
      <x:c r="B33" s="27" t="n">
        <x:v>0.9783</x:v>
      </x:c>
      <x:c r="C33" s="27" t="n">
        <x:v>1.6977652886</x:v>
      </x:c>
      <x:c r="D33" s="27" t="n">
        <x:v>2.4805575747</x:v>
      </x:c>
      <x:c r="E33" s="27" t="n">
        <x:v>2.260311574</x:v>
      </x:c>
      <x:c r="F33" s="27" t="n">
        <x:v>1.4664673117</x:v>
      </x:c>
      <x:c r="G33" s="27" t="n">
        <x:v>1.7700749804</x:v>
      </x:c>
      <x:c r="H33" s="27" t="n">
        <x:v>1.2048</x:v>
      </x:c>
      <x:c r="I33" s="27" t="n">
        <x:v>2.024</x:v>
      </x:c>
      <x:c r="J33" s="27" t="n">
        <x:v>1.2450300075</x:v>
      </x:c>
      <x:c r="K33" s="27" t="n">
        <x:v>2.6366927927</x:v>
      </x:c>
      <x:c r="L33" s="27" t="n">
        <x:v>8.3317226742</x:v>
      </x:c>
      <x:c r="M33" s="28"/>
      <x:c r="N33" s="29" t="n">
        <x:f>'原始数据-规模前十'!B33/'原始数据-规模前十'!B$5</x:f>
        <x:v>0.9783</x:v>
      </x:c>
      <x:c r="O33" s="29" t="n">
        <x:f>'原始数据-规模前十'!C33/'原始数据-规模前十'!C$5</x:f>
        <x:v>0.9430656933940037</x:v>
      </x:c>
      <x:c r="P33" s="29" t="n">
        <x:f>'原始数据-规模前十'!D33/'原始数据-规模前十'!D$5</x:f>
        <x:v>0.958655417657363</x:v>
      </x:c>
      <x:c r="Q33" s="29" t="n">
        <x:f>'原始数据-规模前十'!E33/'原始数据-规模前十'!E$5</x:f>
        <x:v>0.9879391715003808</x:v>
      </x:c>
      <x:c r="R33" s="29" t="n">
        <x:f>'原始数据-规模前十'!F33/'原始数据-规模前十'!F$5</x:f>
        <x:v>1.015961691953113</x:v>
      </x:c>
      <x:c r="S33" s="29" t="n">
        <x:f>'原始数据-规模前十'!G33/'原始数据-规模前十'!G$5</x:f>
        <x:v>0.9569867336587422</x:v>
      </x:c>
      <x:c r="T33" s="29" t="n">
        <x:f>'原始数据-规模前十'!H33/'原始数据-规模前十'!H$5</x:f>
        <x:v>0.9649207111965402</x:v>
      </x:c>
      <x:c r="U33" s="29" t="n">
        <x:f>'原始数据-规模前十'!I33/'原始数据-规模前十'!I$5</x:f>
        <x:v>0.9853943524829601</x:v>
      </x:c>
      <x:c r="V33" s="29" t="n">
        <x:f>'原始数据-规模前十'!J33/'原始数据-规模前十'!J$5</x:f>
        <x:v>0.984251968519499</x:v>
      </x:c>
      <x:c r="W33" s="29" t="n">
        <x:f>'原始数据-规模前十'!K33/'原始数据-规模前十'!K$5</x:f>
        <x:v>0.9610208816802757</x:v>
      </x:c>
      <x:c r="X33" s="29" t="n">
        <x:f>'原始数据-规模前十'!L33/'原始数据-规模前十'!L$5</x:f>
        <x:v>0.9988632449176811</x:v>
      </x:c>
      <x:c r="Y33" s="28"/>
      <x:c r="Z33" s="30" t="n">
        <x:f>'原始数据-规模前十'!N33/MAX('原始数据-规模前十'!N$5:N33)-1</x:f>
        <x:v>-0.02433429739702797</x:v>
      </x:c>
      <x:c r="AA33" s="30" t="n">
        <x:f>'原始数据-规模前十'!O33/MAX('原始数据-规模前十'!O$5:O33)-1</x:f>
        <x:v>-0.061810154548808005</x:v>
      </x:c>
      <x:c r="AB33" s="30" t="n">
        <x:f>'原始数据-规模前十'!P33/MAX('原始数据-规模前十'!P$5:P33)-1</x:f>
        <x:v>-0.05040472543858665</x:v>
      </x:c>
      <x:c r="AC33" s="30" t="n">
        <x:f>'原始数据-规模前十'!Q33/MAX('原始数据-规模前十'!Q$5:Q33)-1</x:f>
        <x:v>-0.01670146137060502</x:v>
      </x:c>
      <x:c r="AD33" s="30" t="n">
        <x:f>'原始数据-规模前十'!R33/MAX('原始数据-规模前十'!R$5:R33)-1</x:f>
        <x:v>-0.0031323413872075268</x:v>
      </x:c>
      <x:c r="AE33" s="30" t="n">
        <x:f>'原始数据-规模前十'!S33/MAX('原始数据-规模前十'!S$5:S33)-1</x:f>
        <x:v>-0.05733694088795194</x:v>
      </x:c>
      <x:c r="AF33" s="30" t="n">
        <x:f>'原始数据-规模前十'!T33/MAX('原始数据-规模前十'!T$5:T33)-1</x:f>
        <x:v>-0.04122234601305097</x:v>
      </x:c>
      <x:c r="AG33" s="30" t="n">
        <x:f>'原始数据-规模前十'!U33/MAX('原始数据-规模前十'!U$5:U33)-1</x:f>
        <x:v>-0.03573130061934271</x:v>
      </x:c>
      <x:c r="AH33" s="30" t="n">
        <x:f>'原始数据-规模前十'!V33/MAX('原始数据-规模前十'!V$5:V33)-1</x:f>
        <x:v>-0.030172413793103314</x:v>
      </x:c>
      <x:c r="AI33" s="30" t="n">
        <x:f>'原始数据-规模前十'!W33/MAX('原始数据-规模前十'!W$5:W33)-1</x:f>
        <x:v>-0.054337899530015554</x:v>
      </x:c>
      <x:c r="AJ33" s="31" t="n">
        <x:f>'原始数据-规模前十'!X33/MAX('原始数据-规模前十'!X$5:X33)-1</x:f>
        <x:v>-0.010510151855916972</x:v>
      </x:c>
    </x:row>
    <x:row r="34">
      <x:c r="A34" s="26" t="n">
        <x:v>46233</x:v>
      </x:c>
      <x:c r="B34" s="27" t="n">
        <x:v>0.9739</x:v>
      </x:c>
      <x:c r="C34" s="27" t="n">
        <x:v>1.6681200991</x:v>
      </x:c>
      <x:c r="D34" s="27" t="n">
        <x:v>2.4531266288</x:v>
      </x:c>
      <x:c r="E34" s="27" t="n">
        <x:v>2.2567123517</x:v>
      </x:c>
      <x:c r="F34" s="27" t="n">
        <x:v>1.4664673117</x:v>
      </x:c>
      <x:c r="G34" s="27" t="n">
        <x:v>1.7452128586</x:v>
      </x:c>
      <x:c r="H34" s="27" t="n">
        <x:v>1.1993</x:v>
      </x:c>
      <x:c r="I34" s="27" t="n">
        <x:v>1.995</x:v>
      </x:c>
      <x:c r="J34" s="27" t="n">
        <x:v>1.2441245311</x:v>
      </x:c>
      <x:c r="K34" s="27" t="n">
        <x:v>2.6112298009</x:v>
      </x:c>
      <x:c r="L34" s="27" t="n">
        <x:v>8.3351706403</x:v>
      </x:c>
      <x:c r="M34" s="28"/>
      <x:c r="N34" s="29" t="n">
        <x:f>'原始数据-规模前十'!B34/'原始数据-规模前十'!B$5</x:f>
        <x:v>0.9739</x:v>
      </x:c>
      <x:c r="O34" s="29" t="n">
        <x:f>'原始数据-规模前十'!C34/'原始数据-规模前十'!C$5</x:f>
        <x:v>0.926598540142998</x:v>
      </x:c>
      <x:c r="P34" s="29" t="n">
        <x:f>'原始数据-规模前十'!D34/'原始数据-规模前十'!D$5</x:f>
        <x:v>0.9480542426769026</x:v>
      </x:c>
      <x:c r="Q34" s="29" t="n">
        <x:f>'原始数据-规模前十'!E34/'原始数据-规模前十'!E$5</x:f>
        <x:v>0.9863660199322476</x:v>
      </x:c>
      <x:c r="R34" s="29" t="n">
        <x:f>'原始数据-规模前十'!F34/'原始数据-规模前十'!F$5</x:f>
        <x:v>1.015961691953113</x:v>
      </x:c>
      <x:c r="S34" s="29" t="n">
        <x:f>'原始数据-规模前十'!G34/'原始数据-规模前十'!G$5</x:f>
        <x:v>0.9435450879676477</x:v>
      </x:c>
      <x:c r="T34" s="29" t="n">
        <x:f>'原始数据-规模前十'!H34/'原始数据-规模前十'!H$5</x:f>
        <x:v>0.9605157776709916</x:v>
      </x:c>
      <x:c r="U34" s="29" t="n">
        <x:f>'原始数据-规模前十'!I34/'原始数据-规模前十'!I$5</x:f>
        <x:v>0.971275559883155</x:v>
      </x:c>
      <x:c r="V34" s="29" t="n">
        <x:f>'原始数据-规模前十'!J34/'原始数据-规模前十'!J$5</x:f>
        <x:v>0.9835361488815952</x:v>
      </x:c>
      <x:c r="W34" s="29" t="n">
        <x:f>'原始数据-规模前十'!K34/'原始数据-规模前十'!K$5</x:f>
        <x:v>0.9517401391919573</x:v>
      </x:c>
      <x:c r="X34" s="29" t="n">
        <x:f>'原始数据-规模前十'!L34/'原始数据-规模前十'!L$5</x:f>
        <x:v>0.9992766104054304</x:v>
      </x:c>
      <x:c r="Y34" s="28"/>
      <x:c r="Z34" s="30" t="n">
        <x:f>'原始数据-规模前十'!N34/MAX('原始数据-规模前十'!N$5:N34)-1</x:f>
        <x:v>-0.028722449386655913</x:v>
      </x:c>
      <x:c r="AA34" s="30" t="n">
        <x:f>'原始数据-规模前十'!O34/MAX('原始数据-规模前十'!O$5:O34)-1</x:f>
        <x:v>-0.07819216915479099</x:v>
      </x:c>
      <x:c r="AB34" s="30" t="n">
        <x:f>'原始数据-规模前十'!P34/MAX('原始数据-规模前十'!P$5:P34)-1</x:f>
        <x:v>-0.06090570992250455</x:v>
      </x:c>
      <x:c r="AC34" s="30" t="n">
        <x:f>'原始数据-规模前十'!Q34/MAX('原始数据-规模前十'!Q$5:Q34)-1</x:f>
        <x:v>-0.01826722339585063</x:v>
      </x:c>
      <x:c r="AD34" s="30" t="n">
        <x:f>'原始数据-规模前十'!R34/MAX('原始数据-规模前十'!R$5:R34)-1</x:f>
        <x:v>-0.0031323413872075268</x:v>
      </x:c>
      <x:c r="AE34" s="30" t="n">
        <x:f>'原始数据-规模前十'!S34/MAX('原始数据-规模前十'!S$5:S34)-1</x:f>
        <x:v>-0.07057739908973293</x:v>
      </x:c>
      <x:c r="AF34" s="30" t="n">
        <x:f>'原始数据-规模前十'!T34/MAX('原始数据-规模前十'!T$5:T34)-1</x:f>
        <x:v>-0.04559923603374172</x:v>
      </x:c>
      <x:c r="AG34" s="30" t="n">
        <x:f>'原始数据-规模前十'!U34/MAX('原始数据-规模前十'!U$5:U34)-1</x:f>
        <x:v>-0.049547403525488476</x:v>
      </x:c>
      <x:c r="AH34" s="30" t="n">
        <x:f>'原始数据-规模前十'!V34/MAX('原始数据-规模前十'!V$5:V34)-1</x:f>
        <x:v>-0.03087774297078527</x:v>
      </x:c>
      <x:c r="AI34" s="30" t="n">
        <x:f>'原始数据-规模前十'!W34/MAX('原始数据-规模前十'!W$5:W34)-1</x:f>
        <x:v>-0.06347031964983563</x:v>
      </x:c>
      <x:c r="AJ34" s="31" t="n">
        <x:f>'原始数据-规模前十'!X34/MAX('原始数据-规模前十'!X$5:X34)-1</x:f>
        <x:v>-0.010100665416424737</x:v>
      </x:c>
    </x:row>
    <x:row r="35">
      <x:c r="A35" s="26" t="n">
        <x:v>46234</x:v>
      </x:c>
      <x:c r="B35" s="27" t="n">
        <x:v>0.9772</x:v>
      </x:c>
      <x:c r="C35" s="27" t="n">
        <x:v>1.6837836921</x:v>
      </x:c>
      <x:c r="D35" s="27" t="n">
        <x:v>2.4704995612</x:v>
      </x:c>
      <x:c r="E35" s="27" t="n">
        <x:v>2.260311574</x:v>
      </x:c>
      <x:c r="F35" s="27" t="n">
        <x:v>1.4699232441</x:v>
      </x:c>
      <x:c r="G35" s="27" t="n">
        <x:v>1.7609949011</x:v>
      </x:c>
      <x:c r="H35" s="27" t="n">
        <x:v>1.2057</x:v>
      </x:c>
      <x:c r="I35" s="27" t="n">
        <x:v>2.012</x:v>
      </x:c>
      <x:c r="J35" s="27" t="n">
        <x:v>1.245331833</x:v>
      </x:c>
      <x:c r="K35" s="27" t="n">
        <x:v>2.6252344464</x:v>
      </x:c>
      <x:c r="L35" s="27" t="n">
        <x:v>8.3383312758</x:v>
      </x:c>
      <x:c r="M35" s="28"/>
      <x:c r="N35" s="29" t="n">
        <x:f>'原始数据-规模前十'!B35/'原始数据-规模前十'!B$5</x:f>
        <x:v>0.9772</x:v>
      </x:c>
      <x:c r="O35" s="29" t="n">
        <x:f>'原始数据-规模前十'!C35/'原始数据-规模前十'!C$5</x:f>
        <x:v>0.9352992700335045</x:v>
      </x:c>
      <x:c r="P35" s="29" t="n">
        <x:f>'原始数据-规模前十'!D35/'原始数据-规模前十'!D$5</x:f>
        <x:v>0.9547683201632392</x:v>
      </x:c>
      <x:c r="Q35" s="29" t="n">
        <x:f>'原始数据-规模前十'!E35/'原始数据-规模前十'!E$5</x:f>
        <x:v>0.9879391715003808</x:v>
      </x:c>
      <x:c r="R35" s="29" t="n">
        <x:f>'原始数据-规模前十'!F35/'原始数据-规模前十'!F$5</x:f>
        <x:v>1.018355945749544</x:v>
      </x:c>
      <x:c r="S35" s="29" t="n">
        <x:f>'原始数据-规模前十'!G35/'原始数据-规模前十'!G$5</x:f>
        <x:v>0.9520776108662683</x:v>
      </x:c>
      <x:c r="T35" s="29" t="n">
        <x:f>'原始数据-规模前十'!H35/'原始数据-规模前十'!H$5</x:f>
        <x:v>0.9656415185007209</x:v>
      </x:c>
      <x:c r="U35" s="29" t="n">
        <x:f>'原始数据-规模前十'!I35/'原始数据-规模前十'!I$5</x:f>
        <x:v>0.9795520934761442</x:v>
      </x:c>
      <x:c r="V35" s="29" t="n">
        <x:f>'原始数据-规模前十'!J35/'原始数据-规模前十'!J$5</x:f>
        <x:v>0.9844905750918184</x:v>
      </x:c>
      <x:c r="W35" s="29" t="n">
        <x:f>'原始数据-规模前十'!K35/'原始数据-规模前十'!K$5</x:f>
        <x:v>0.9568445475641771</x:v>
      </x:c>
      <x:c r="X35" s="29" t="n">
        <x:f>'原始数据-规模前十'!L35/'原始数据-规模前十'!L$5</x:f>
        <x:v>0.9996555287582108</x:v>
      </x:c>
      <x:c r="Y35" s="28"/>
      <x:c r="Z35" s="30" t="n">
        <x:f>'原始数据-规模前十'!N35/MAX('原始数据-规模前十'!N$5:N35)-1</x:f>
        <x:v>-0.025431335394434984</x:v>
      </x:c>
      <x:c r="AA35" s="30" t="n">
        <x:f>'原始数据-规模前十'!O35/MAX('原始数据-规模前十'!O$5:O35)-1</x:f>
        <x:v>-0.06953642386740899</x:v>
      </x:c>
      <x:c r="AB35" s="30" t="n">
        <x:f>'原始数据-规模前十'!P35/MAX('原始数据-规模前十'!P$5:P35)-1</x:f>
        <x:v>-0.05425508641729937</x:v>
      </x:c>
      <x:c r="AC35" s="30" t="n">
        <x:f>'原始数据-规模前十'!Q35/MAX('原始数据-规模前十'!Q$5:Q35)-1</x:f>
        <x:v>-0.01670146137060502</x:v>
      </x:c>
      <x:c r="AD35" s="30" t="n">
        <x:f>'原始数据-规模前十'!R35/MAX('原始数据-规模前十'!R$5:R35)-1</x:f>
        <x:v>-0.0007830853128130144</x:v>
      </x:c>
      <x:c r="AE35" s="30" t="n">
        <x:f>'原始数据-规模前十'!S35/MAX('原始数据-规模前十'!S$5:S35)-1</x:f>
        <x:v>-0.06217258651014124</x:v>
      </x:c>
      <x:c r="AF35" s="30" t="n">
        <x:f>'原始数据-规模前十'!T35/MAX('原始数据-规模前十'!T$5:T35)-1</x:f>
        <x:v>-0.04050612764602879</x:v>
      </x:c>
      <x:c r="AG35" s="30" t="n">
        <x:f>'原始数据-规模前十'!U35/MAX('原始数据-规模前十'!U$5:U35)-1</x:f>
        <x:v>-0.04144830871843752</x:v>
      </x:c>
      <x:c r="AH35" s="30" t="n">
        <x:f>'原始数据-规模前十'!V35/MAX('原始数据-规模前十'!V$5:V35)-1</x:f>
        <x:v>-0.02993730404124406</x:v>
      </x:c>
      <x:c r="AI35" s="30" t="n">
        <x:f>'原始数据-规模前十'!W35/MAX('原始数据-规模前十'!W$5:W35)-1</x:f>
        <x:v>-0.058447488580348095</x:v>
      </x:c>
      <x:c r="AJ35" s="31" t="n">
        <x:f>'原始数据-规模前十'!X35/MAX('原始数据-规模前十'!X$5:X35)-1</x:f>
        <x:v>-0.00972530285777673</x:v>
      </x:c>
    </x:row>
    <x:row r="36">
      <x:c r="A36" s="26" t="n">
        <x:v>46237</x:v>
      </x:c>
      <x:c r="B36" s="27" t="n">
        <x:v>0.9748</x:v>
      </x:c>
      <x:c r="C36" s="27" t="n">
        <x:v>1.6749532101</x:v>
      </x:c>
      <x:c r="D36" s="27" t="n">
        <x:v>2.4549553585</x:v>
      </x:c>
      <x:c r="E36" s="27" t="n">
        <x:v>2.255512611</x:v>
      </x:c>
      <x:c r="F36" s="27" t="n">
        <x:v>1.4676192891</x:v>
      </x:c>
      <x:c r="G36" s="27" t="n">
        <x:v>1.7550496111</x:v>
      </x:c>
      <x:c r="H36" s="27" t="n">
        <x:v>1.1991</x:v>
      </x:c>
      <x:c r="I36" s="27" t="n">
        <x:v>1.989</x:v>
      </x:c>
      <x:c r="J36" s="27" t="n">
        <x:v>1.2444263566</x:v>
      </x:c>
      <x:c r="K36" s="27" t="n">
        <x:v>2.6137761001</x:v>
      </x:c>
      <x:c r="L36" s="27" t="n">
        <x:v>8.3245394116</x:v>
      </x:c>
      <x:c r="M36" s="28"/>
      <x:c r="N36" s="29" t="n">
        <x:f>'原始数据-规模前十'!B36/'原始数据-规模前十'!B$5</x:f>
        <x:v>0.9748</x:v>
      </x:c>
      <x:c r="O36" s="29" t="n">
        <x:f>'原始数据-规模前十'!C36/'原始数据-规模前十'!C$5</x:f>
        <x:v>0.9303941605426629</x:v>
      </x:c>
      <x:c r="P36" s="29" t="n">
        <x:f>'原始数据-规模前十'!D36/'原始数据-规模前十'!D$5</x:f>
        <x:v>0.948760987665294</x:v>
      </x:c>
      <x:c r="Q36" s="29" t="n">
        <x:f>'原始数据-规模前十'!E36/'原始数据-规模前十'!E$5</x:f>
        <x:v>0.9858416361053418</x:v>
      </x:c>
      <x:c r="R36" s="29" t="n">
        <x:f>'原始数据-规模前十'!F36/'原始数据-规模前十'!F$5</x:f>
        <x:v>1.016759776505737</x:v>
      </x:c>
      <x:c r="S36" s="29" t="n">
        <x:f>'原始数据-规模前十'!G36/'原始数据-规模前十'!G$5</x:f>
        <x:v>0.9488633042856125</x:v>
      </x:c>
      <x:c r="T36" s="29" t="n">
        <x:f>'原始数据-规模前十'!H36/'原始数据-规模前十'!H$5</x:f>
        <x:v>0.9603555982700626</x:v>
      </x:c>
      <x:c r="U36" s="29" t="n">
        <x:f>'原始数据-规模前十'!I36/'原始数据-规模前十'!I$5</x:f>
        <x:v>0.968354430379747</x:v>
      </x:c>
      <x:c r="V36" s="29" t="n">
        <x:f>'原始数据-规模前十'!J36/'原始数据-规模前十'!J$5</x:f>
        <x:v>0.9837747554539146</x:v>
      </x:c>
      <x:c r="W36" s="29" t="n">
        <x:f>'原始数据-规模前十'!K36/'原始数据-规模前十'!K$5</x:f>
        <x:v>0.9526682134480787</x:v>
      </x:c>
      <x:c r="X36" s="29" t="n">
        <x:f>'原始数据-规模前十'!L36/'原始数据-规模前十'!L$5</x:f>
        <x:v>0.9980020668311913</x:v>
      </x:c>
      <x:c r="Y36" s="28"/>
      <x:c r="Z36" s="30" t="n">
        <x:f>'原始数据-规模前十'!N36/MAX('原始数据-规模前十'!N$5:N36)-1</x:f>
        <x:v>-0.027824872843322912</x:v>
      </x:c>
      <x:c r="AA36" s="30" t="n">
        <x:f>'原始数据-规模前十'!O36/MAX('原始数据-规模前十'!O$5:O36)-1</x:f>
        <x:v>-0.07441617291073599</x:v>
      </x:c>
      <x:c r="AB36" s="30" t="n">
        <x:f>'原始数据-规模前十'!P36/MAX('原始数据-规模前十'!P$5:P36)-1</x:f>
        <x:v>-0.060205644300451944</x:v>
      </x:c>
      <x:c r="AC36" s="30" t="n">
        <x:f>'原始数据-规模前十'!Q36/MAX('原始数据-规模前十'!Q$5:Q36)-1</x:f>
        <x:v>-0.018789144041930772</x:v>
      </x:c>
      <x:c r="AD36" s="30" t="n">
        <x:f>'原始数据-规模前十'!R36/MAX('原始数据-规模前十'!R$5:R36)-1</x:f>
        <x:v>-0.0023492560743942903</x:v>
      </x:c>
      <x:c r="AE36" s="30" t="n">
        <x:f>'原始数据-规模前十'!S36/MAX('原始数据-规模前十'!S$5:S36)-1</x:f>
        <x:v>-0.06533878303896945</x:v>
      </x:c>
      <x:c r="AF36" s="30" t="n">
        <x:f>'原始数据-规模前十'!T36/MAX('原始数据-规模前十'!T$5:T36)-1</x:f>
        <x:v>-0.04575839567085771</x:v>
      </x:c>
      <x:c r="AG36" s="30" t="n">
        <x:f>'原始数据-规模前十'!U36/MAX('原始数据-规模前十'!U$5:U36)-1</x:f>
        <x:v>-0.052405907575035826</x:v>
      </x:c>
      <x:c r="AH36" s="30" t="n">
        <x:f>'原始数据-规模前十'!V36/MAX('原始数据-规模前十'!V$5:V36)-1</x:f>
        <x:v>-0.03064263321892602</x:v>
      </x:c>
      <x:c r="AI36" s="30" t="n">
        <x:f>'原始数据-规模前十'!W36/MAX('原始数据-规模前十'!W$5:W36)-1</x:f>
        <x:v>-0.06255707763068052</x:v>
      </x:c>
      <x:c r="AJ36" s="31" t="n">
        <x:f>'原始数据-规模前十'!X36/MAX('原始数据-规模前十'!X$5:X36)-1</x:f>
        <x:v>-0.011363248591993225</x:v>
      </x:c>
    </x:row>
    <x:row r="37">
      <x:c r="A37" s="26" t="n">
        <x:v>46238</x:v>
      </x:c>
      <x:c r="B37" s="27" t="n">
        <x:v>0.9797</x:v>
      </x:c>
      <x:c r="C37" s="27" t="n">
        <x:v>1.7048086493</x:v>
      </x:c>
      <x:c r="D37" s="27" t="n">
        <x:v>2.4826148956</x:v>
      </x:c>
      <x:c r="E37" s="27" t="n">
        <x:v>2.2591118332</x:v>
      </x:c>
      <x:c r="F37" s="27" t="n">
        <x:v>1.4687712666</x:v>
      </x:c>
      <x:c r="G37" s="27" t="n">
        <x:v>1.7836950994</x:v>
      </x:c>
      <x:c r="H37" s="27" t="n">
        <x:v>1.2066</x:v>
      </x:c>
      <x:c r="I37" s="27" t="n">
        <x:v>2.02</x:v>
      </x:c>
      <x:c r="J37" s="27" t="n">
        <x:v>1.2463379178</x:v>
      </x:c>
      <x:c r="K37" s="27" t="n">
        <x:v>2.6366927927</x:v>
      </x:c>
      <x:c r="L37" s="27" t="n">
        <x:v>8.3239647505</x:v>
      </x:c>
      <x:c r="M37" s="28"/>
      <x:c r="N37" s="29" t="n">
        <x:f>'原始数据-规模前十'!B37/'原始数据-规模前十'!B$5</x:f>
        <x:v>0.9797</x:v>
      </x:c>
      <x:c r="O37" s="29" t="n">
        <x:f>'原始数据-规模前十'!C37/'原始数据-规模前十'!C$5</x:f>
        <x:v>0.9469781021862974</x:v>
      </x:c>
      <x:c r="P37" s="29" t="n">
        <x:f>'原始数据-规模前十'!D37/'原始数据-规模前十'!D$5</x:f>
        <x:v>0.9594505057644724</x:v>
      </x:c>
      <x:c r="Q37" s="29" t="n">
        <x:f>'原始数据-规模前十'!E37/'原始数据-规模前十'!E$5</x:f>
        <x:v>0.987414787629767</x:v>
      </x:c>
      <x:c r="R37" s="29" t="n">
        <x:f>'原始数据-规模前十'!F37/'原始数据-规模前十'!F$5</x:f>
        <x:v>1.0175578611276404</x:v>
      </x:c>
      <x:c r="S37" s="29" t="n">
        <x:f>'原始数据-规模前十'!G37/'原始数据-规模前十'!G$5</x:f>
        <x:v>0.9643504178744854</x:v>
      </x:c>
      <x:c r="T37" s="29" t="n">
        <x:f>'原始数据-规模前十'!H37/'原始数据-规模前十'!H$5</x:f>
        <x:v>0.9663623258049014</x:v>
      </x:c>
      <x:c r="U37" s="29" t="n">
        <x:f>'原始数据-规模前十'!I37/'原始数据-规模前十'!I$5</x:f>
        <x:v>0.9834469328140215</x:v>
      </x:c>
      <x:c r="V37" s="29" t="n">
        <x:f>'原始数据-规模前十'!J37/'原始数据-规模前十'!J$5</x:f>
        <x:v>0.9852859301747742</x:v>
      </x:c>
      <x:c r="W37" s="29" t="n">
        <x:f>'原始数据-规模前十'!K37/'原始数据-规模前十'!K$5</x:f>
        <x:v>0.9610208816802757</x:v>
      </x:c>
      <x:c r="X37" s="29" t="n">
        <x:f>'原始数据-规模前十'!L37/'原始数据-规模前十'!L$5</x:f>
        <x:v>0.9979331725732425</x:v>
      </x:c>
      <x:c r="Y37" s="28"/>
      <x:c r="Z37" s="30" t="n">
        <x:f>'原始数据-规模前十'!N37/MAX('原始数据-规模前十'!N$5:N37)-1</x:f>
        <x:v>-0.022938067218509883</x:v>
      </x:c>
      <x:c r="AA37" s="30" t="n">
        <x:f>'原始数据-规模前十'!O37/MAX('原始数据-规模前十'!O$5:O37)-1</x:f>
        <x:v>-0.05791797373267227</x:v>
      </x:c>
      <x:c r="AB37" s="30" t="n">
        <x:f>'原始数据-规模前十'!P37/MAX('原始数据-规模前十'!P$5:P37)-1</x:f>
        <x:v>-0.049617151618562616</x:v>
      </x:c>
      <x:c r="AC37" s="30" t="n">
        <x:f>'原始数据-规模前十'!Q37/MAX('原始数据-规模前十'!Q$5:Q37)-1</x:f>
        <x:v>-0.01722338206018792</x:v>
      </x:c>
      <x:c r="AD37" s="30" t="n">
        <x:f>'原始数据-规模前十'!R37/MAX('原始数据-规模前十'!R$5:R37)-1</x:f>
        <x:v>-0.0015661706936037634</x:v>
      </x:c>
      <x:c r="AE37" s="30" t="n">
        <x:f>'原始数据-规模前十'!S37/MAX('原始数据-规模前十'!S$5:S37)-1</x:f>
        <x:v>-0.05008347242804023</x:v>
      </x:c>
      <x:c r="AF37" s="30" t="n">
        <x:f>'原始数据-规模前十'!T37/MAX('原始数据-规模前十'!T$5:T37)-1</x:f>
        <x:v>-0.03978990927900683</x:v>
      </x:c>
      <x:c r="AG37" s="30" t="n">
        <x:f>'原始数据-规模前十'!U37/MAX('原始数据-规模前十'!U$5:U37)-1</x:f>
        <x:v>-0.03763696998570765</x:v>
      </x:c>
      <x:c r="AH37" s="30" t="n">
        <x:f>'原始数据-规模前十'!V37/MAX('原始数据-规模前十'!V$5:V37)-1</x:f>
        <x:v>-0.029153605024171525</x:v>
      </x:c>
      <x:c r="AI37" s="30" t="n">
        <x:f>'原始数据-规模前十'!W37/MAX('原始数据-规模前十'!W$5:W37)-1</x:f>
        <x:v>-0.054337899530015554</x:v>
      </x:c>
      <x:c r="AJ37" s="31" t="n">
        <x:f>'原始数据-规模前十'!X37/MAX('原始数据-规模前十'!X$5:X37)-1</x:f>
        <x:v>-0.011431496341805403</x:v>
      </x:c>
    </x:row>
    <x:row r="38">
      <x:c r="A38" s="26" t="n">
        <x:v>46239</x:v>
      </x:c>
      <x:c r="B38" s="27" t="n">
        <x:v>0.9844</x:v>
      </x:c>
      <x:c r="C38" s="27" t="n">
        <x:v>1.7110110116</x:v>
      </x:c>
      <x:c r="D38" s="27" t="n">
        <x:v>2.5034166962</x:v>
      </x:c>
      <x:c r="E38" s="27" t="n">
        <x:v>2.2639107962</x:v>
      </x:c>
      <x:c r="F38" s="27" t="n">
        <x:v>1.4779870863</x:v>
      </x:c>
      <x:c r="G38" s="27" t="n">
        <x:v>1.7908294474</x:v>
      </x:c>
      <x:c r="H38" s="27" t="n">
        <x:v>1.2122</x:v>
      </x:c>
      <x:c r="I38" s="27" t="n">
        <x:v>2.046</x:v>
      </x:c>
      <x:c r="J38" s="27" t="n">
        <x:v>1.2466397433</x:v>
      </x:c>
      <x:c r="K38" s="27" t="n">
        <x:v>2.6443316902</x:v>
      </x:c>
      <x:c r="L38" s="27" t="n">
        <x:v>8.3564330977</x:v>
      </x:c>
      <x:c r="M38" s="28"/>
      <x:c r="N38" s="29" t="n">
        <x:f>'原始数据-规模前十'!B38/'原始数据-规模前十'!B$5</x:f>
        <x:v>0.9844</x:v>
      </x:c>
      <x:c r="O38" s="29" t="n">
        <x:f>'原始数据-规模前十'!C38/'原始数据-规模前十'!C$5</x:f>
        <x:v>0.950423357630266</x:v>
      </x:c>
      <x:c r="P38" s="29" t="n">
        <x:f>'原始数据-规模前十'!D38/'原始数据-规模前十'!D$5</x:f>
        <x:v>0.9674897301088742</x:v>
      </x:c>
      <x:c r="Q38" s="29" t="n">
        <x:f>'原始数据-规模前十'!E38/'原始数据-规模前十'!E$5</x:f>
        <x:v>0.9895123230248057</x:v>
      </x:c>
      <x:c r="R38" s="29" t="n">
        <x:f>'原始数据-规模前十'!F38/'原始数据-规模前十'!F$5</x:f>
        <x:v>1.0239425378950298</x:v>
      </x:c>
      <x:c r="S38" s="29" t="n">
        <x:f>'原始数据-规模前十'!G38/'原始数据-规模前十'!G$5</x:f>
        <x:v>0.9682075857712723</x:v>
      </x:c>
      <x:c r="T38" s="29" t="n">
        <x:f>'原始数据-规模前十'!H38/'原始数据-规模前十'!H$5</x:f>
        <x:v>0.9708473490309146</x:v>
      </x:c>
      <x:c r="U38" s="29" t="n">
        <x:f>'原始数据-规模前十'!I38/'原始数据-规模前十'!I$5</x:f>
        <x:v>0.9961051606621227</x:v>
      </x:c>
      <x:c r="V38" s="29" t="n">
        <x:f>'原始数据-规模前十'!J38/'原始数据-规模前十'!J$5</x:f>
        <x:v>0.9855245367470935</x:v>
      </x:c>
      <x:c r="W38" s="29" t="n">
        <x:f>'原始数据-规模前十'!K38/'原始数据-规模前十'!K$5</x:f>
        <x:v>0.963805104412192</x:v>
      </x:c>
      <x:c r="X38" s="29" t="n">
        <x:f>'原始数据-规模前十'!L38/'原始数据-规模前十'!L$5</x:f>
        <x:v>1.0018256975539086</x:v>
      </x:c>
      <x:c r="Y38" s="28"/>
      <x:c r="Z38" s="30" t="n">
        <x:f>'原始数据-规模前十'!N38/MAX('原始数据-规模前十'!N$5:N38)-1</x:f>
        <x:v>-0.018250723047770867</x:v>
      </x:c>
      <x:c r="AA38" s="30" t="n">
        <x:f>'原始数据-规模前十'!O38/MAX('原始数据-规模前十'!O$5:O38)-1</x:f>
        <x:v>-0.05449053098381773</x:v>
      </x:c>
      <x:c r="AB38" s="30" t="n">
        <x:f>'原始数据-规模前十'!P38/MAX('原始数据-规模前十'!P$5:P38)-1</x:f>
        <x:v>-0.04165390506722311</x:v>
      </x:c>
      <x:c r="AC38" s="30" t="n">
        <x:f>'原始数据-规模前十'!Q38/MAX('原始数据-规模前十'!Q$5:Q38)-1</x:f>
        <x:v>-0.01513569938886239</x:v>
      </x:c>
      <x:c r="AD38" s="30" t="n">
        <x:f>'原始数据-规模前十'!R38/MAX('原始数据-规模前十'!R$5:R38)-1</x:f>
        <x:v>0</x:v>
      </x:c>
      <x:c r="AE38" s="30" t="n">
        <x:f>'原始数据-规模前十'!S38/MAX('原始数据-规模前十'!S$5:S38)-1</x:f>
        <x:v>-0.04628403659344649</x:v>
      </x:c>
      <x:c r="AF38" s="30" t="n">
        <x:f>'原始数据-规模前十'!T38/MAX('原始数据-规模前十'!T$5:T38)-1</x:f>
        <x:v>-0.035333439439757974</x:v>
      </x:c>
      <x:c r="AG38" s="30" t="n">
        <x:f>'原始数据-规模前十'!U38/MAX('原始数据-规模前十'!U$5:U38)-1</x:f>
        <x:v>-0.02525011910433561</x:v>
      </x:c>
      <x:c r="AH38" s="30" t="n">
        <x:f>'原始数据-规模前十'!V38/MAX('原始数据-规模前十'!V$5:V38)-1</x:f>
        <x:v>-0.028918495272312383</x:v>
      </x:c>
      <x:c r="AI38" s="30" t="n">
        <x:f>'原始数据-规模前十'!W38/MAX('原始数据-规模前十'!W$5:W38)-1</x:f>
        <x:v>-0.05159817350841567</x:v>
      </x:c>
      <x:c r="AJ38" s="31" t="n">
        <x:f>'原始数据-规模前十'!X38/MAX('原始数据-规模前十'!X$5:X38)-1</x:f>
        <x:v>-0.00757549906528765</x:v>
      </x:c>
    </x:row>
    <x:row r="39">
      <x:c r="A39" s="26" t="n">
        <x:v>46240</x:v>
      </x:c>
      <x:c r="B39" s="27" t="n">
        <x:v>0.9867</x:v>
      </x:c>
      <x:c r="C39" s="27" t="n">
        <x:v>1.7154262526</x:v>
      </x:c>
      <x:c r="D39" s="27" t="n">
        <x:v>2.5069598601</x:v>
      </x:c>
      <x:c r="E39" s="27" t="n">
        <x:v>2.2675100185</x:v>
      </x:c>
      <x:c r="F39" s="27" t="n">
        <x:v>1.4825949962</x:v>
      </x:c>
      <x:c r="G39" s="27" t="n">
        <x:v>1.7938561405</x:v>
      </x:c>
      <x:c r="H39" s="27" t="n">
        <x:v>1.215</x:v>
      </x:c>
      <x:c r="I39" s="27" t="n">
        <x:v>2.054</x:v>
      </x:c>
      <x:c r="J39" s="27" t="n">
        <x:v>1.2475452196</x:v>
      </x:c>
      <x:c r="K39" s="27" t="n">
        <x:v>2.6494242885</x:v>
      </x:c>
      <x:c r="L39" s="27" t="n">
        <x:v>8.3394805978</x:v>
      </x:c>
      <x:c r="M39" s="28"/>
      <x:c r="N39" s="29" t="n">
        <x:f>'原始数据-规模前十'!B39/'原始数据-规模前十'!B$5</x:f>
        <x:v>0.9867</x:v>
      </x:c>
      <x:c r="O39" s="29" t="n">
        <x:f>'原始数据-规模前十'!C39/'原始数据-规模前十'!C$5</x:f>
        <x:v>0.9528759123756868</x:v>
      </x:c>
      <x:c r="P39" s="29" t="n">
        <x:f>'原始数据-规模前十'!D39/'原始数据-规模前十'!D$5</x:f>
        <x:v>0.968859048564945</x:v>
      </x:c>
      <x:c r="Q39" s="29" t="n">
        <x:f>'原始数据-规模前十'!E39/'原始数据-规模前十'!E$5</x:f>
        <x:v>0.9910854745929389</x:v>
      </x:c>
      <x:c r="R39" s="29" t="n">
        <x:f>'原始数据-规模前十'!F39/'原始数据-规模前十'!F$5</x:f>
        <x:v>1.027134876313364</x:v>
      </x:c>
      <x:c r="S39" s="29" t="n">
        <x:f>'原始数据-规模前十'!G39/'原始数据-规模前十'!G$5</x:f>
        <x:v>0.9698439600354303</x:v>
      </x:c>
      <x:c r="T39" s="29" t="n">
        <x:f>'原始数据-规模前十'!H39/'原始数据-规模前十'!H$5</x:f>
        <x:v>0.9730898606439213</x:v>
      </x:c>
      <x:c r="U39" s="29" t="n">
        <x:f>'原始数据-规模前十'!I39/'原始数据-规模前十'!I$5</x:f>
        <x:v>1</x:v>
      </x:c>
      <x:c r="V39" s="29" t="n">
        <x:f>'原始数据-规模前十'!J39/'原始数据-规模前十'!J$5</x:f>
        <x:v>0.9862403563059429</x:v>
      </x:c>
      <x:c r="W39" s="29" t="n">
        <x:f>'原始数据-规模前十'!K39/'原始数据-规模前十'!K$5</x:f>
        <x:v>0.9656612528879869</x:v>
      </x:c>
      <x:c r="X39" s="29" t="n">
        <x:f>'原始数据-规模前十'!L39/'原始数据-规模前十'!L$5</x:f>
        <x:v>0.9997933172501311</x:v>
      </x:c>
      <x:c r="Y39" s="28"/>
      <x:c r="Z39" s="30" t="n">
        <x:f>'原始数据-规模前十'!N39/MAX('原始数据-规模前十'!N$5:N39)-1</x:f>
        <x:v>-0.01595691632591989</x:v>
      </x:c>
      <x:c r="AA39" s="30" t="n">
        <x:f>'原始数据-规模前十'!O39/MAX('原始数据-规模前十'!O$5:O39)-1</x:f>
        <x:v>-0.05205065646215423</x:v>
      </x:c>
      <x:c r="AB39" s="30" t="n">
        <x:f>'原始数据-规模前十'!P39/MAX('原始数据-规模前十'!P$5:P39)-1</x:f>
        <x:v>-0.04029752788382168</x:v>
      </x:c>
      <x:c r="AC39" s="30" t="n">
        <x:f>'原始数据-规模前十'!Q39/MAX('原始数据-规模前十'!Q$5:Q39)-1</x:f>
        <x:v>-0.013569937363616669</x:v>
      </x:c>
      <x:c r="AD39" s="30" t="n">
        <x:f>'原始数据-规模前十'!R39/MAX('原始数据-规模前十'!R$5:R39)-1</x:f>
        <x:v>0</x:v>
      </x:c>
      <x:c r="AE39" s="30" t="n">
        <x:f>'原始数据-规模前十'!S39/MAX('原始数据-规模前十'!S$5:S39)-1</x:f>
        <x:v>-0.04467215471938335</x:v>
      </x:c>
      <x:c r="AF39" s="30" t="n">
        <x:f>'原始数据-规模前十'!T39/MAX('原始数据-规模前十'!T$5:T39)-1</x:f>
        <x:v>-0.03310520452013355</x:v>
      </x:c>
      <x:c r="AG39" s="30" t="n">
        <x:f>'原始数据-规模前十'!U39/MAX('原始数据-规模前十'!U$5:U39)-1</x:f>
        <x:v>-0.021438780371605848</x:v>
      </x:c>
      <x:c r="AH39" s="30" t="n">
        <x:f>'原始数据-规模前十'!V39/MAX('原始数据-规模前十'!V$5:V39)-1</x:f>
        <x:v>-0.028213166172526227</x:v>
      </x:c>
      <x:c r="AI39" s="30" t="n">
        <x:f>'原始数据-规模前十'!W39/MAX('原始数据-规模前十'!W$5:W39)-1</x:f>
        <x:v>-0.049771689505970995</x:v>
      </x:c>
      <x:c r="AJ39" s="31" t="n">
        <x:f>'原始数据-规模前十'!X39/MAX('原始数据-规模前十'!X$5:X39)-1</x:f>
        <x:v>-0.009588807381904596</x:v>
      </x:c>
    </x:row>
    <x:row r="40">
      <x:c r="A40" s="26" t="n">
        <x:v>46241</x:v>
      </x:c>
      <x:c r="B40" s="27" t="n">
        <x:v>0.9899</x:v>
      </x:c>
      <x:c r="C40" s="27" t="n">
        <x:v>1.7215234902</x:v>
      </x:c>
      <x:c r="D40" s="27" t="n">
        <x:v>2.5203324462</x:v>
      </x:c>
      <x:c r="E40" s="27" t="n">
        <x:v>2.274708463</x:v>
      </x:c>
      <x:c r="F40" s="27" t="n">
        <x:v>1.4860509286</x:v>
      </x:c>
      <x:c r="G40" s="27" t="n">
        <x:v>1.8058548167</x:v>
      </x:c>
      <x:c r="H40" s="27" t="n">
        <x:v>1.2186</x:v>
      </x:c>
      <x:c r="I40" s="27" t="n">
        <x:v>2.071</x:v>
      </x:c>
      <x:c r="J40" s="27" t="n">
        <x:v>1.2493561724</x:v>
      </x:c>
      <x:c r="K40" s="27" t="n">
        <x:v>2.6545168869</x:v>
      </x:c>
      <x:c r="L40" s="27" t="n">
        <x:v>8.3572950892</x:v>
      </x:c>
      <x:c r="M40" s="28"/>
      <x:c r="N40" s="29" t="n">
        <x:f>'原始数据-规模前十'!B40/'原始数据-规模前十'!B$5</x:f>
        <x:v>0.9899</x:v>
      </x:c>
      <x:c r="O40" s="29" t="n">
        <x:f>'原始数据-规模前十'!C40/'原始数据-规模前十'!C$5</x:f>
        <x:v>0.9562627737066625</x:v>
      </x:c>
      <x:c r="P40" s="29" t="n">
        <x:f>'原始数据-规模前十'!D40/'原始数据-规模前十'!D$5</x:f>
        <x:v>0.9740271213577746</x:v>
      </x:c>
      <x:c r="Q40" s="29" t="n">
        <x:f>'原始数据-规模前十'!E40/'原始数据-规模前十'!E$5</x:f>
        <x:v>0.9942317776854973</x:v>
      </x:c>
      <x:c r="R40" s="29" t="n">
        <x:f>'原始数据-规模前十'!F40/'原始数据-规模前十'!F$5</x:f>
        <x:v>1.029529130109795</x:v>
      </x:c>
      <x:c r="S40" s="29" t="n">
        <x:f>'原始数据-规模前十'!G40/'原始数据-规模前十'!G$5</x:f>
        <x:v>0.976331015144402</x:v>
      </x:c>
      <x:c r="T40" s="29" t="n">
        <x:f>'原始数据-规模前十'!H40/'原始数据-规模前十'!H$5</x:f>
        <x:v>0.9759730898606439</x:v>
      </x:c>
      <x:c r="U40" s="29" t="n">
        <x:f>'原始数据-规模前十'!I40/'原始数据-规模前十'!I$5</x:f>
        <x:v>1.0082765335929895</x:v>
      </x:c>
      <x:c r="V40" s="29" t="n">
        <x:f>'原始数据-规模前十'!J40/'原始数据-规模前十'!J$5</x:f>
        <x:v>0.9876719955817502</x:v>
      </x:c>
      <x:c r="W40" s="29" t="n">
        <x:f>'原始数据-规模前十'!K40/'原始数据-规模前十'!K$5</x:f>
        <x:v>0.9675174014002298</x:v>
      </x:c>
      <x:c r="X40" s="29" t="n">
        <x:f>'原始数据-规模前十'!L40/'原始数据-规模前十'!L$5</x:f>
        <x:v>1.0019290389228488</x:v>
      </x:c>
      <x:c r="Y40" s="28"/>
      <x:c r="Z40" s="30" t="n">
        <x:f>'原始数据-规模前十'!N40/MAX('原始数据-规模前十'!N$5:N40)-1</x:f>
        <x:v>-0.012765533060735912</x:v>
      </x:c>
      <x:c r="AA40" s="30" t="n">
        <x:f>'原始数据-规模前十'!O40/MAX('原始数据-规模前十'!O$5:O40)-1</x:f>
        <x:v>-0.04868130591644926</x:v>
      </x:c>
      <x:c r="AB40" s="30" t="n">
        <x:f>'原始数据-规模前十'!P40/MAX('原始数据-规模前十'!P$5:P40)-1</x:f>
        <x:v>-0.03517829795796068</x:v>
      </x:c>
      <x:c r="AC40" s="30" t="n">
        <x:f>'原始数据-规模前十'!Q40/MAX('原始数据-规模前十'!Q$5:Q40)-1</x:f>
        <x:v>-0.010438413356628207</x:v>
      </x:c>
      <x:c r="AD40" s="30" t="n">
        <x:f>'原始数据-规模前十'!R40/MAX('原始数据-规模前十'!R$5:R40)-1</x:f>
        <x:v>0</x:v>
      </x:c>
      <x:c r="AE40" s="30" t="n">
        <x:f>'原始数据-规模前十'!S40/MAX('原始数据-规模前十'!S$5:S40)-1</x:f>
        <x:v>-0.03828219444242886</x:v>
      </x:c>
      <x:c r="AF40" s="30" t="n">
        <x:f>'原始数据-规模前十'!T40/MAX('原始数据-规模前十'!T$5:T40)-1</x:f>
        <x:v>-0.030240331052045155</x:v>
      </x:c>
      <x:c r="AG40" s="30" t="n">
        <x:f>'原始数据-规模前十'!U40/MAX('原始数据-规模前十'!U$5:U40)-1</x:f>
        <x:v>-0.01333968556455456</x:v>
      </x:c>
      <x:c r="AH40" s="30" t="n">
        <x:f>'原始数据-规模前十'!V40/MAX('原始数据-规模前十'!V$5:V40)-1</x:f>
        <x:v>-0.026802507817162535</x:v>
      </x:c>
      <x:c r="AI40" s="30" t="n">
        <x:f>'原始数据-规模前十'!W40/MAX('原始数据-规模前十'!W$5:W40)-1</x:f>
        <x:v>-0.04794520546766068</x:v>
      </x:c>
      <x:c r="AJ40" s="31" t="n">
        <x:f>'原始数据-规模前十'!X40/MAX('原始数据-规模前十'!X$5:X40)-1</x:f>
        <x:v>-0.007473127458383577</x:v>
      </x:c>
    </x:row>
    <x:row r="41">
      <x:c r="A41" s="26" t="n">
        <x:v>46244</x:v>
      </x:c>
      <x:c r="B41" s="27" t="n">
        <x:v>0.992</x:v>
      </x:c>
      <x:c r="C41" s="27" t="n">
        <x:v>1.7155313774</x:v>
      </x:c>
      <x:c r="D41" s="27" t="n">
        <x:v>2.5193037857</x:v>
      </x:c>
      <x:c r="E41" s="27" t="n">
        <x:v>2.2783076852</x:v>
      </x:c>
      <x:c r="F41" s="27" t="n">
        <x:v>1.4906588384</x:v>
      </x:c>
      <x:c r="G41" s="27" t="n">
        <x:v>1.7972071221</x:v>
      </x:c>
      <x:c r="H41" s="27" t="n">
        <x:v>1.2183</x:v>
      </x:c>
      <x:c r="I41" s="27" t="n">
        <x:v>2.064</x:v>
      </x:c>
      <x:c r="J41" s="27" t="n">
        <x:v>1.2501610403</x:v>
      </x:c>
      <x:c r="K41" s="27" t="n">
        <x:v>2.6456048398</x:v>
      </x:c>
      <x:c r="L41" s="27" t="n">
        <x:v>8.3828675042</x:v>
      </x:c>
      <x:c r="M41" s="28"/>
      <x:c r="N41" s="29" t="n">
        <x:f>'原始数据-规模前十'!B41/'原始数据-规模前十'!B$5</x:f>
        <x:v>0.992</x:v>
      </x:c>
      <x:c r="O41" s="29" t="n">
        <x:f>'原始数据-规模前十'!C41/'原始数据-规模前十'!C$5</x:f>
        <x:v>0.9529343065442275</x:v>
      </x:c>
      <x:c r="P41" s="29" t="n">
        <x:f>'原始数据-规模前十'!D41/'原始数据-规模前十'!D$5</x:f>
        <x:v>0.9736295772848965</x:v>
      </x:c>
      <x:c r="Q41" s="29" t="n">
        <x:f>'原始数据-规模前十'!E41/'原始数据-规模前十'!E$5</x:f>
        <x:v>0.9958049292099225</x:v>
      </x:c>
      <x:c r="R41" s="29" t="n">
        <x:f>'原始数据-规模前十'!F41/'原始数据-规模前十'!F$5</x:f>
        <x:v>1.03272146845885</x:v>
      </x:c>
      <x:c r="S41" s="29" t="n">
        <x:f>'原始数据-规模前十'!G41/'原始数据-规模前十'!G$5</x:f>
        <x:v>0.9716556600885038</x:v>
      </x:c>
      <x:c r="T41" s="29" t="n">
        <x:f>'原始数据-规模前十'!H41/'原始数据-规模前十'!H$5</x:f>
        <x:v>0.9757328207592504</x:v>
      </x:c>
      <x:c r="U41" s="29" t="n">
        <x:f>'原始数据-规模前十'!I41/'原始数据-规模前十'!I$5</x:f>
        <x:v>1.0048685491723468</x:v>
      </x:c>
      <x:c r="V41" s="29" t="n">
        <x:f>'原始数据-规模前十'!J41/'原始数据-规模前十'!J$5</x:f>
        <x:v>0.9883082796955476</x:v>
      </x:c>
      <x:c r="W41" s="29" t="n">
        <x:f>'原始数据-规模前十'!K41/'原始数据-规模前十'!K$5</x:f>
        <x:v>0.9642691415402527</x:v>
      </x:c>
      <x:c r="X41" s="29" t="n">
        <x:f>'原始数据-规模前十'!L41/'原始数据-规模前十'!L$5</x:f>
        <x:v>1.0049948329280165</x:v>
      </x:c>
      <x:c r="Y41" s="28"/>
      <x:c r="Z41" s="30" t="n">
        <x:f>'原始数据-规模前十'!N41/MAX('原始数据-规模前十'!N$5:N41)-1</x:f>
        <x:v>-0.010671187792958947</x:v>
      </x:c>
      <x:c r="AA41" s="30" t="n">
        <x:f>'原始数据-规模前十'!O41/MAX('原始数据-规模前十'!O$5:O41)-1</x:f>
        <x:v>-0.051992564203743985</x:v>
      </x:c>
      <x:c r="AB41" s="30" t="n">
        <x:f>'原始数据-规模前十'!P41/MAX('原始数据-规模前十'!P$5:P41)-1</x:f>
        <x:v>-0.03557208488711339</x:v>
      </x:c>
      <x:c r="AC41" s="30" t="n">
        <x:f>'原始数据-规模前十'!Q41/MAX('原始数据-规模前十'!Q$5:Q41)-1</x:f>
        <x:v>-0.008872651374885354</x:v>
      </x:c>
      <x:c r="AD41" s="30" t="n">
        <x:f>'原始数据-规模前十'!R41/MAX('原始数据-规模前十'!R$5:R41)-1</x:f>
        <x:v>0</x:v>
      </x:c>
      <x:c r="AE41" s="30" t="n">
        <x:f>'原始数据-规模前十'!S41/MAX('原始数据-规模前十'!S$5:S41)-1</x:f>
        <x:v>-0.04288757124068199</x:v>
      </x:c>
      <x:c r="AF41" s="30" t="n">
        <x:f>'原始数据-规模前十'!T41/MAX('原始数据-规模前十'!T$5:T41)-1</x:f>
        <x:v>-0.03047907050771914</x:v>
      </x:c>
      <x:c r="AG41" s="30" t="n">
        <x:f>'原始数据-规模前十'!U41/MAX('原始数据-规模前十'!U$5:U41)-1</x:f>
        <x:v>-0.01667460695569334</x:v>
      </x:c>
      <x:c r="AH41" s="30" t="n">
        <x:f>'原始数据-规模前十'!V41/MAX('原始数据-规模前十'!V$5:V41)-1</x:f>
        <x:v>-0.02617554855676696</x:v>
      </x:c>
      <x:c r="AI41" s="30" t="n">
        <x:f>'原始数据-规模前十'!W41/MAX('原始数据-规模前十'!W$5:W41)-1</x:f>
        <x:v>-0.051141552498838116</x:v>
      </x:c>
      <x:c r="AJ41" s="31" t="n">
        <x:f>'原始数据-规模前十'!X41/MAX('原始数据-规模前十'!X$5:X41)-1</x:f>
        <x:v>-0.004436103060850072</x:v>
      </x:c>
    </x:row>
    <x:row r="42">
      <x:c r="A42" s="26" t="n">
        <x:v>46245</x:v>
      </x:c>
      <x:c r="B42" s="27" t="n">
        <x:v>0.9907</x:v>
      </x:c>
      <x:c r="C42" s="27" t="n">
        <x:v>1.7141647552</x:v>
      </x:c>
      <x:c r="D42" s="27" t="n">
        <x:v>2.5076456337</x:v>
      </x:c>
      <x:c r="E42" s="27" t="n">
        <x:v>2.2735087222</x:v>
      </x:c>
      <x:c r="F42" s="27" t="n">
        <x:v>1.4837469736</x:v>
      </x:c>
      <x:c r="G42" s="27" t="n">
        <x:v>1.7983961801</x:v>
      </x:c>
      <x:c r="H42" s="27" t="n">
        <x:v>1.2158</x:v>
      </x:c>
      <x:c r="I42" s="27" t="n">
        <x:v>2.058</x:v>
      </x:c>
      <x:c r="J42" s="27" t="n">
        <x:v>1.2485513045</x:v>
      </x:c>
      <x:c r="K42" s="27" t="n">
        <x:v>2.6443316902</x:v>
      </x:c>
      <x:c r="L42" s="27" t="n">
        <x:v>8.3541344536</x:v>
      </x:c>
      <x:c r="M42" s="28"/>
      <x:c r="N42" s="29" t="n">
        <x:f>'原始数据-规模前十'!B42/'原始数据-规模前十'!B$5</x:f>
        <x:v>0.9907</x:v>
      </x:c>
      <x:c r="O42" s="29" t="n">
        <x:f>'原始数据-规模前十'!C42/'原始数据-规模前十'!C$5</x:f>
        <x:v>0.9521751824642944</x:v>
      </x:c>
      <x:c r="P42" s="29" t="n">
        <x:f>'原始数据-规模前十'!D42/'原始数据-规模前十'!D$5</x:f>
        <x:v>0.9691240779210994</x:v>
      </x:c>
      <x:c r="Q42" s="29" t="n">
        <x:f>'原始数据-规模前十'!E42/'原始数据-规模前十'!E$5</x:f>
        <x:v>0.9937073938148835</x:v>
      </x:c>
      <x:c r="R42" s="29" t="n">
        <x:f>'原始数据-规模前十'!F42/'原始数据-规模前十'!F$5</x:f>
        <x:v>1.0279329608659882</x:v>
      </x:c>
      <x:c r="S42" s="29" t="n">
        <x:f>'原始数据-规模前十'!G42/'原始数据-规模前十'!G$5</x:f>
        <x:v>0.9722985214046348</x:v>
      </x:c>
      <x:c r="T42" s="29" t="n">
        <x:f>'原始数据-规模前十'!H42/'原始数据-规模前十'!H$5</x:f>
        <x:v>0.9737305782476374</x:v>
      </x:c>
      <x:c r="U42" s="29" t="n">
        <x:f>'原始数据-规模前十'!I42/'原始数据-规模前十'!I$5</x:f>
        <x:v>1.0019474196689386</x:v>
      </x:c>
      <x:c r="V42" s="29" t="n">
        <x:f>'原始数据-规模前十'!J42/'原始数据-规模前十'!J$5</x:f>
        <x:v>0.987035711467953</x:v>
      </x:c>
      <x:c r="W42" s="29" t="n">
        <x:f>'原始数据-规模前十'!K42/'原始数据-规模前十'!K$5</x:f>
        <x:v>0.963805104412192</x:v>
      </x:c>
      <x:c r="X42" s="29" t="n">
        <x:f>'原始数据-规模前十'!L42/'原始数据-规模前十'!L$5</x:f>
        <x:v>1.0015501205580797</x:v>
      </x:c>
      <x:c r="Y42" s="28"/>
      <x:c r="Z42" s="30" t="n">
        <x:f>'原始数据-规模前十'!N42/MAX('原始数据-规模前十'!N$5:N42)-1</x:f>
        <x:v>-0.011967687244439862</x:v>
      </x:c>
      <x:c r="AA42" s="30" t="n">
        <x:f>'原始数据-规模前十'!O42/MAX('原始数据-规模前十'!O$5:O42)-1</x:f>
        <x:v>-0.05274776345255505</x:v>
      </x:c>
      <x:c r="AB42" s="30" t="n">
        <x:f>'原始数据-规模前十'!P42/MAX('原始数据-规模前十'!P$5:P42)-1</x:f>
        <x:v>-0.04003500328990739</x:v>
      </x:c>
      <x:c r="AC42" s="30" t="n">
        <x:f>'原始数据-规模前十'!Q42/MAX('原始数据-规模前十'!Q$5:Q42)-1</x:f>
        <x:v>-0.010960334046211107</x:v>
      </x:c>
      <x:c r="AD42" s="30" t="n">
        <x:f>'原始数据-规模前十'!R42/MAX('原始数据-规模前十'!R$5:R42)-1</x:f>
        <x:v>-0.0046367851730706455</x:v>
      </x:c>
      <x:c r="AE42" s="30" t="n">
        <x:f>'原始数据-规模前十'!S42/MAX('原始数据-规模前十'!S$5:S42)-1</x:f>
        <x:v>-0.042254331934916456</x:v>
      </x:c>
      <x:c r="AF42" s="30" t="n">
        <x:f>'原始数据-规模前十'!T42/MAX('原始数据-规模前十'!T$5:T42)-1</x:f>
        <x:v>-0.03246856597166947</x:v>
      </x:c>
      <x:c r="AG42" s="30" t="n">
        <x:f>'原始数据-规模前十'!U42/MAX('原始数据-规模前十'!U$5:U42)-1</x:f>
        <x:v>-0.01953311100524091</x:v>
      </x:c>
      <x:c r="AH42" s="30" t="n">
        <x:f>'原始数据-规模前十'!V42/MAX('原始数据-规模前十'!V$5:V42)-1</x:f>
        <x:v>-0.027429467077558</x:v>
      </x:c>
      <x:c r="AI42" s="30" t="n">
        <x:f>'原始数据-规模前十'!W42/MAX('原始数据-规模前十'!W$5:W42)-1</x:f>
        <x:v>-0.05159817350841567</x:v>
      </x:c>
      <x:c r="AJ42" s="31" t="n">
        <x:f>'原始数据-规模前十'!X42/MAX('原始数据-规模前十'!X$5:X42)-1</x:f>
        <x:v>-0.00784849002890764</x:v>
      </x:c>
    </x:row>
    <x:row r="43">
      <x:c r="A43" s="26" t="n">
        <x:v>46246</x:v>
      </x:c>
      <x:c r="B43" s="27" t="n">
        <x:v>0.9935</x:v>
      </x:c>
      <x:c r="C43" s="27" t="n">
        <x:v>1.7239413603</x:v>
      </x:c>
      <x:c r="D43" s="27" t="n">
        <x:v>2.5149605526</x:v>
      </x:c>
      <x:c r="E43" s="27" t="n">
        <x:v>2.2771079445</x:v>
      </x:c>
      <x:c r="F43" s="27" t="n">
        <x:v>1.4825949962</x:v>
      </x:c>
      <x:c r="G43" s="27" t="n">
        <x:v>1.8062872014</x:v>
      </x:c>
      <x:c r="H43" s="27" t="n">
        <x:v>1.2181</x:v>
      </x:c>
      <x:c r="I43" s="27" t="n">
        <x:v>2.063</x:v>
      </x:c>
      <x:c r="J43" s="27" t="n">
        <x:v>1.2492555639</x:v>
      </x:c>
      <x:c r="K43" s="27" t="n">
        <x:v>2.6557900365</x:v>
      </x:c>
      <x:c r="L43" s="27" t="n">
        <x:v>8.3572950892</x:v>
      </x:c>
      <x:c r="M43" s="28"/>
      <x:c r="N43" s="29" t="n">
        <x:f>'原始数据-规模前十'!B43/'原始数据-规模前十'!B$5</x:f>
        <x:v>0.9935</x:v>
      </x:c>
      <x:c r="O43" s="29" t="n">
        <x:f>'原始数据-规模前十'!C43/'原始数据-规模前十'!C$5</x:f>
        <x:v>0.957605839416454</x:v>
      </x:c>
      <x:c r="P43" s="29" t="n">
        <x:f>'原始数据-规模前十'!D43/'原始数据-规模前十'!D$5</x:f>
        <x:v>0.9719510579133123</x:v>
      </x:c>
      <x:c r="Q43" s="29" t="n">
        <x:f>'原始数据-规模前十'!E43/'原始数据-规模前十'!E$5</x:f>
        <x:v>0.9952805453830167</x:v>
      </x:c>
      <x:c r="R43" s="29" t="n">
        <x:f>'原始数据-规模前十'!F43/'原始数据-规模前十'!F$5</x:f>
        <x:v>1.027134876313364</x:v>
      </x:c>
      <x:c r="S43" s="29" t="n">
        <x:f>'原始数据-规模前十'!G43/'原始数据-规模前十'!G$5</x:f>
        <x:v>0.9765647828809776</x:v>
      </x:c>
      <x:c r="T43" s="29" t="n">
        <x:f>'原始数据-规模前十'!H43/'原始数据-规模前十'!H$5</x:f>
        <x:v>0.9755726413583213</x:v>
      </x:c>
      <x:c r="U43" s="29" t="n">
        <x:f>'原始数据-规模前十'!I43/'原始数据-规模前十'!I$5</x:f>
        <x:v>1.004381694255112</x:v>
      </x:c>
      <x:c r="V43" s="29" t="n">
        <x:f>'原始数据-规模前十'!J43/'原始数据-规模前十'!J$5</x:f>
        <x:v>0.9875924600576438</x:v>
      </x:c>
      <x:c r="W43" s="29" t="n">
        <x:f>'原始数据-规模前十'!K43/'原始数据-规模前十'!K$5</x:f>
        <x:v>0.9679814385282904</x:v>
      </x:c>
      <x:c r="X43" s="29" t="n">
        <x:f>'原始数据-规模前十'!L43/'原始数据-规模前十'!L$5</x:f>
        <x:v>1.0019290389228488</x:v>
      </x:c>
      <x:c r="Y43" s="28"/>
      <x:c r="Z43" s="30" t="n">
        <x:f>'原始数据-规模前十'!N43/MAX('原始数据-规模前十'!N$5:N43)-1</x:f>
        <x:v>-0.009175226887403909</x:v>
      </x:c>
      <x:c r="AA43" s="30" t="n">
        <x:f>'原始数据-规模前十'!O43/MAX('原始数据-规模前十'!O$5:O43)-1</x:f>
        <x:v>-0.04734518413879729</x:v>
      </x:c>
      <x:c r="AB43" s="30" t="n">
        <x:f>'原始数据-规模前十'!P43/MAX('原始数据-规模前十'!P$5:P43)-1</x:f>
        <x:v>-0.03723474076341482</x:v>
      </x:c>
      <x:c r="AC43" s="30" t="n">
        <x:f>'原始数据-规模前十'!Q43/MAX('原始数据-规模前十'!Q$5:Q43)-1</x:f>
        <x:v>-0.009394572020965386</x:v>
      </x:c>
      <x:c r="AD43" s="30" t="n">
        <x:f>'原始数据-规模前十'!R43/MAX('原始数据-规模前十'!R$5:R43)-1</x:f>
        <x:v>-0.005409582657192935</x:v>
      </x:c>
      <x:c r="AE43" s="30" t="n">
        <x:f>'原始数据-规模前十'!S43/MAX('原始数据-规模前十'!S$5:S43)-1</x:f>
        <x:v>-0.0380519256184928</x:v>
      </x:c>
      <x:c r="AF43" s="30" t="n">
        <x:f>'原始数据-规模前十'!T43/MAX('原始数据-规模前十'!T$5:T43)-1</x:f>
        <x:v>-0.030638230144835243</x:v>
      </x:c>
      <x:c r="AG43" s="30" t="n">
        <x:f>'原始数据-规模前十'!U43/MAX('原始数据-规模前十'!U$5:U43)-1</x:f>
        <x:v>-0.017151024297284656</x:v>
      </x:c>
      <x:c r="AH43" s="30" t="n">
        <x:f>'原始数据-规模前十'!V43/MAX('原始数据-规模前十'!V$5:V43)-1</x:f>
        <x:v>-0.026880877734448916</x:v>
      </x:c>
      <x:c r="AI43" s="30" t="n">
        <x:f>'原始数据-规模前十'!W43/MAX('原始数据-规模前十'!W$5:W43)-1</x:f>
        <x:v>-0.04748858445808324</x:v>
      </x:c>
      <x:c r="AJ43" s="31" t="n">
        <x:f>'原始数据-规模前十'!X43/MAX('原始数据-规模前十'!X$5:X43)-1</x:f>
        <x:v>-0.007473127458383577</x:v>
      </x:c>
    </x:row>
    <x:row r="44">
      <x:c r="A44" s="26" t="n">
        <x:v>46247</x:v>
      </x:c>
      <x:c r="B44" s="27" t="n">
        <x:v>0.993</x:v>
      </x:c>
      <x:c r="C44" s="27" t="n">
        <x:v>1.7244669842</x:v>
      </x:c>
      <x:c r="D44" s="27" t="n">
        <x:v>2.5126746404</x:v>
      </x:c>
      <x:c r="E44" s="27" t="n">
        <x:v>2.2735087222</x:v>
      </x:c>
      <x:c r="F44" s="27" t="n">
        <x:v>1.4779870863</x:v>
      </x:c>
      <x:c r="G44" s="27" t="n">
        <x:v>1.8062872014</x:v>
      </x:c>
      <x:c r="H44" s="27" t="n">
        <x:v>1.2171</x:v>
      </x:c>
      <x:c r="I44" s="27" t="n">
        <x:v>2.061</x:v>
      </x:c>
      <x:c r="J44" s="27" t="n">
        <x:v>1.2483500875</x:v>
      </x:c>
      <x:c r="K44" s="27" t="n">
        <x:v>2.6557900365</x:v>
      </x:c>
      <x:c r="L44" s="27" t="n">
        <x:v>8.3294240301</x:v>
      </x:c>
      <x:c r="M44" s="28"/>
      <x:c r="N44" s="29" t="n">
        <x:f>'原始数据-规模前十'!B44/'原始数据-规模前十'!B$5</x:f>
        <x:v>0.993</x:v>
      </x:c>
      <x:c r="O44" s="29" t="n">
        <x:f>'原始数据-规模前十'!C44/'原始数据-规模前十'!C$5</x:f>
        <x:v>0.9578978102036096</x:v>
      </x:c>
      <x:c r="P44" s="29" t="n">
        <x:f>'原始数据-规模前十'!D44/'原始数据-规模前十'!D$5</x:f>
        <x:v>0.9710676266488378</x:v>
      </x:c>
      <x:c r="Q44" s="29" t="n">
        <x:f>'原始数据-规模前十'!E44/'原始数据-规模前十'!E$5</x:f>
        <x:v>0.9937073938148835</x:v>
      </x:c>
      <x:c r="R44" s="29" t="n">
        <x:f>'原始数据-规模前十'!F44/'原始数据-规模前十'!F$5</x:f>
        <x:v>1.0239425378950298</x:v>
      </x:c>
      <x:c r="S44" s="29" t="n">
        <x:f>'原始数据-规模前十'!G44/'原始数据-规模前十'!G$5</x:f>
        <x:v>0.9765647828809776</x:v>
      </x:c>
      <x:c r="T44" s="29" t="n">
        <x:f>'原始数据-规模前十'!H44/'原始数据-规模前十'!H$5</x:f>
        <x:v>0.9747717443536762</x:v>
      </x:c>
      <x:c r="U44" s="29" t="n">
        <x:f>'原始数据-规模前十'!I44/'原始数据-规模前十'!I$5</x:f>
        <x:v>1.0034079844206427</x:v>
      </x:c>
      <x:c r="V44" s="29" t="n">
        <x:f>'原始数据-规模前十'!J44/'原始数据-规模前十'!J$5</x:f>
        <x:v>0.98687664041974</x:v>
      </x:c>
      <x:c r="W44" s="29" t="n">
        <x:f>'原始数据-规模前十'!K44/'原始数据-规模前十'!K$5</x:f>
        <x:v>0.9679814385282904</x:v>
      </x:c>
      <x:c r="X44" s="29" t="n">
        <x:f>'原始数据-规模前十'!L44/'原始数据-规模前十'!L$5</x:f>
        <x:v>0.998587667921852</x:v>
      </x:c>
      <x:c r="Y44" s="28"/>
      <x:c r="Z44" s="30" t="n">
        <x:f>'原始数据-规模前十'!N44/MAX('原始数据-规模前十'!N$5:N44)-1</x:f>
        <x:v>-0.009673880522588996</x:v>
      </x:c>
      <x:c r="AA44" s="30" t="n">
        <x:f>'原始数据-规模前十'!O44/MAX('原始数据-规模前十'!O$5:O44)-1</x:f>
        <x:v>-0.04705472290200696</x:v>
      </x:c>
      <x:c r="AB44" s="30" t="n">
        <x:f>'原始数据-规模前十'!P44/MAX('原始数据-规模前十'!P$5:P44)-1</x:f>
        <x:v>-0.038109822819691885</x:v>
      </x:c>
      <x:c r="AC44" s="30" t="n">
        <x:f>'原始数据-规模前十'!Q44/MAX('原始数据-规模前十'!Q$5:Q44)-1</x:f>
        <x:v>-0.010960334046211107</x:v>
      </x:c>
      <x:c r="AD44" s="30" t="n">
        <x:f>'原始数据-规模前十'!R44/MAX('原始数据-规模前十'!R$5:R44)-1</x:f>
        <x:v>-0.008500772794934885</x:v>
      </x:c>
      <x:c r="AE44" s="30" t="n">
        <x:f>'原始数据-规模前十'!S44/MAX('原始数据-规模前十'!S$5:S44)-1</x:f>
        <x:v>-0.0380519256184928</x:v>
      </x:c>
      <x:c r="AF44" s="30" t="n">
        <x:f>'原始数据-规模前十'!T44/MAX('原始数据-规模前十'!T$5:T44)-1</x:f>
        <x:v>-0.03143402833041531</x:v>
      </x:c>
      <x:c r="AG44" s="30" t="n">
        <x:f>'原始数据-规模前十'!U44/MAX('原始数据-规模前十'!U$5:U44)-1</x:f>
        <x:v>-0.01810385898046707</x:v>
      </x:c>
      <x:c r="AH44" s="30" t="n">
        <x:f>'原始数据-规模前十'!V44/MAX('原始数据-规模前十'!V$5:V44)-1</x:f>
        <x:v>-0.027586206912130873</x:v>
      </x:c>
      <x:c r="AI44" s="30" t="n">
        <x:f>'原始数据-规模前十'!W44/MAX('原始数据-规模前十'!W$5:W44)-1</x:f>
        <x:v>-0.04748858445808324</x:v>
      </x:c>
      <x:c r="AJ44" s="31" t="n">
        <x:f>'原始数据-规模前十'!X44/MAX('原始数据-规模前十'!X$5:X44)-1</x:f>
        <x:v>-0.010783142819537184</x:v>
      </x:c>
    </x:row>
    <x:row r="45">
      <x:c r="A45" s="26" t="n">
        <x:v>46248</x:v>
      </x:c>
      <x:c r="B45" s="27" t="n">
        <x:v>0.9937</x:v>
      </x:c>
      <x:c r="C45" s="27" t="n">
        <x:v>1.7296180987</x:v>
      </x:c>
      <x:c r="D45" s="27" t="n">
        <x:v>2.5164463955</x:v>
      </x:c>
      <x:c r="E45" s="27" t="n">
        <x:v>2.2759082037</x:v>
      </x:c>
      <x:c r="F45" s="27" t="n">
        <x:v>1.4802910413</x:v>
      </x:c>
      <x:c r="G45" s="27" t="n">
        <x:v>1.8133134532</x:v>
      </x:c>
      <x:c r="H45" s="27" t="n">
        <x:v>1.2176</x:v>
      </x:c>
      <x:c r="I45" s="27" t="n">
        <x:v>2.065</x:v>
      </x:c>
      <x:c r="J45" s="27" t="n">
        <x:v>1.248651913</x:v>
      </x:c>
      <x:c r="K45" s="27" t="n">
        <x:v>2.6672483827</x:v>
      </x:c>
      <x:c r="L45" s="27" t="n">
        <x:v>8.3328719962</x:v>
      </x:c>
      <x:c r="M45" s="28"/>
      <x:c r="N45" s="29" t="n">
        <x:f>'原始数据-规模前十'!B45/'原始数据-规模前十'!B$5</x:f>
        <x:v>0.9937</x:v>
      </x:c>
      <x:c r="O45" s="29" t="n">
        <x:f>'原始数据-规模前十'!C45/'原始数据-规模前十'!C$5</x:f>
        <x:v>0.9607591240732672</x:v>
      </x:c>
      <x:c r="P45" s="29" t="n">
        <x:f>'原始数据-规模前十'!D45/'原始数据-规模前十'!D$5</x:f>
        <x:v>0.9725252882236267</x:v>
      </x:c>
      <x:c r="Q45" s="29" t="n">
        <x:f>'原始数据-规模前十'!E45/'原始数据-规模前十'!E$5</x:f>
        <x:v>0.9947561615124029</x:v>
      </x:c>
      <x:c r="R45" s="29" t="n">
        <x:f>'原始数据-规模前十'!F45/'原始数据-规模前十'!F$5</x:f>
        <x:v>1.0255387071388369</x:v>
      </x:c>
      <x:c r="S45" s="29" t="n">
        <x:f>'原始数据-规模前十'!G45/'原始数据-规模前十'!G$5</x:f>
        <x:v>0.9803635088301045</x:v>
      </x:c>
      <x:c r="T45" s="29" t="n">
        <x:f>'原始数据-规模前十'!H45/'原始数据-规模前十'!H$5</x:f>
        <x:v>0.9751721928559988</x:v>
      </x:c>
      <x:c r="U45" s="29" t="n">
        <x:f>'原始数据-规模前十'!I45/'原始数据-规模前十'!I$5</x:f>
        <x:v>1.0053554040895814</x:v>
      </x:c>
      <x:c r="V45" s="29" t="n">
        <x:f>'原始数据-规模前十'!J45/'原始数据-规模前十'!J$5</x:f>
        <x:v>0.9871152469920594</x:v>
      </x:c>
      <x:c r="W45" s="29" t="n">
        <x:f>'原始数据-规模前十'!K45/'原始数据-规模前十'!K$5</x:f>
        <x:v>0.9721577726079409</x:v>
      </x:c>
      <x:c r="X45" s="29" t="n">
        <x:f>'原始数据-规模前十'!L45/'原始数据-规模前十'!L$5</x:f>
        <x:v>0.9990010334096013</x:v>
      </x:c>
      <x:c r="Y45" s="28"/>
      <x:c r="Z45" s="30" t="n">
        <x:f>'原始数据-规模前十'!N45/MAX('原始数据-规模前十'!N$5:N45)-1</x:f>
        <x:v>-0.008975765433329896</x:v>
      </x:c>
      <x:c r="AA45" s="30" t="n">
        <x:f>'原始数据-规模前十'!O45/MAX('原始数据-规模前十'!O$5:O45)-1</x:f>
        <x:v>-0.04420820262673286</x:v>
      </x:c>
      <x:c r="AB45" s="30" t="n">
        <x:f>'原始数据-规模前十'!P45/MAX('原始数据-规模前十'!P$5:P45)-1</x:f>
        <x:v>-0.03666593743831914</x:v>
      </x:c>
      <x:c r="AC45" s="30" t="n">
        <x:f>'原始数据-规模前十'!Q45/MAX('原始数据-规模前十'!Q$5:Q45)-1</x:f>
        <x:v>-0.009916492710548286</x:v>
      </x:c>
      <x:c r="AD45" s="30" t="n">
        <x:f>'原始数据-规模前十'!R45/MAX('原始数据-规模前十'!R$5:R45)-1</x:f>
        <x:v>-0.006955177692521519</x:v>
      </x:c>
      <x:c r="AE45" s="30" t="n">
        <x:f>'原始数据-规模前十'!S45/MAX('原始数据-规模前十'!S$5:S45)-1</x:f>
        <x:v>-0.03431005700319678</x:v>
      </x:c>
      <x:c r="AF45" s="30" t="n">
        <x:f>'原始数据-规模前十'!T45/MAX('原始数据-规模前十'!T$5:T45)-1</x:f>
        <x:v>-0.03103612923762522</x:v>
      </x:c>
      <x:c r="AG45" s="30" t="n">
        <x:f>'原始数据-规模前十'!U45/MAX('原始数据-规模前十'!U$5:U45)-1</x:f>
        <x:v>-0.016198189614102132</x:v>
      </x:c>
      <x:c r="AH45" s="30" t="n">
        <x:f>'原始数据-规模前十'!V45/MAX('原始数据-规模前十'!V$5:V45)-1</x:f>
        <x:v>-0.02735109716027151</x:v>
      </x:c>
      <x:c r="AI45" s="30" t="n">
        <x:f>'原始数据-规模前十'!W45/MAX('原始数据-规模前十'!W$5:W45)-1</x:f>
        <x:v>-0.04337899544361623</x:v>
      </x:c>
      <x:c r="AJ45" s="31" t="n">
        <x:f>'原始数据-规模前十'!X45/MAX('原始数据-规模前十'!X$5:X45)-1</x:f>
        <x:v>-0.010373656380044949</x:v>
      </x:c>
    </x:row>
    <x:row r="46">
      <x:c r="A46" s="26" t="n">
        <x:v>46251</x:v>
      </x:c>
      <x:c r="B46" s="27" t="n">
        <x:v>0.9987</x:v>
      </x:c>
      <x:c r="C46" s="27" t="n">
        <x:v>1.7464380644</x:v>
      </x:c>
      <x:c r="D46" s="27" t="n">
        <x:v>2.5431915677</x:v>
      </x:c>
      <x:c r="E46" s="27" t="n">
        <x:v>2.2867058705</x:v>
      </x:c>
      <x:c r="F46" s="27" t="n">
        <x:v>1.4837469736</x:v>
      </x:c>
      <x:c r="G46" s="27" t="n">
        <x:v>1.8277983416</x:v>
      </x:c>
      <x:c r="H46" s="27" t="n">
        <x:v>1.226</x:v>
      </x:c>
      <x:c r="I46" s="27" t="n">
        <x:v>2.089</x:v>
      </x:c>
      <x:c r="J46" s="27" t="n">
        <x:v>1.25217321</x:v>
      </x:c>
      <x:c r="K46" s="27" t="n">
        <x:v>2.693984524</x:v>
      </x:c>
      <x:c r="L46" s="27" t="n">
        <x:v>8.3656276739</x:v>
      </x:c>
      <x:c r="M46" s="28"/>
      <x:c r="N46" s="29" t="n">
        <x:f>'原始数据-规模前十'!B46/'原始数据-规模前十'!B$5</x:f>
        <x:v>0.9987</x:v>
      </x:c>
      <x:c r="O46" s="29" t="n">
        <x:f>'原始数据-规模前十'!C46/'原始数据-规模前十'!C$5</x:f>
        <x:v>0.970102189762173</x:v>
      </x:c>
      <x:c r="P46" s="29" t="n">
        <x:f>'原始数据-规模前十'!D46/'原始数据-规模前十'!D$5</x:f>
        <x:v>0.982861433809286</x:v>
      </x:c>
      <x:c r="Q46" s="29" t="n">
        <x:f>'原始数据-规模前十'!E46/'原始数据-规模前十'!E$5</x:f>
        <x:v>0.9994756161730944</x:v>
      </x:c>
      <x:c r="R46" s="29" t="n">
        <x:f>'原始数据-规模前十'!F46/'原始数据-规模前十'!F$5</x:f>
        <x:v>1.0279329608659882</x:v>
      </x:c>
      <x:c r="S46" s="29" t="n">
        <x:f>'原始数据-规模前十'!G46/'原始数据-规模前十'!G$5</x:f>
        <x:v>0.9881947285189987</x:v>
      </x:c>
      <x:c r="T46" s="29" t="n">
        <x:f>'原始数据-规模前十'!H46/'原始数据-规模前十'!H$5</x:f>
        <x:v>0.9818997276950184</x:v>
      </x:c>
      <x:c r="U46" s="29" t="n">
        <x:f>'原始数据-规模前十'!I46/'原始数据-规模前十'!I$5</x:f>
        <x:v>1.0170399221032134</x:v>
      </x:c>
      <x:c r="V46" s="29" t="n">
        <x:f>'原始数据-规模前十'!J46/'原始数据-规模前十'!J$5</x:f>
        <x:v>0.9898989899405135</x:v>
      </x:c>
      <x:c r="W46" s="29" t="n">
        <x:f>'原始数据-规模前十'!K46/'原始数据-规模前十'!K$5</x:f>
        <x:v>0.9819025521878721</x:v>
      </x:c>
      <x:c r="X46" s="29" t="n">
        <x:f>'原始数据-规模前十'!L46/'原始数据-规模前十'!L$5</x:f>
        <x:v>1.0029280055132477</x:v>
      </x:c>
      <x:c r="Y46" s="28"/>
      <x:c r="Z46" s="30" t="n">
        <x:f>'原始数据-规模前十'!N46/MAX('原始数据-规模前十'!N$5:N46)-1</x:f>
        <x:v>-0.003989229081479917</x:v>
      </x:c>
      <x:c r="AA46" s="30" t="n">
        <x:f>'原始数据-规模前十'!O46/MAX('原始数据-规模前十'!O$5:O46)-1</x:f>
        <x:v>-0.034913442552099716</x:v>
      </x:c>
      <x:c r="AB46" s="30" t="n">
        <x:f>'原始数据-规模前十'!P46/MAX('原始数据-规模前十'!P$5:P46)-1</x:f>
        <x:v>-0.026427477586596915</x:v>
      </x:c>
      <x:c r="AC46" s="30" t="n">
        <x:f>'原始数据-规模前十'!Q46/MAX('原始数据-规模前十'!Q$5:Q46)-1</x:f>
        <x:v>-0.005219206678314103</x:v>
      </x:c>
      <x:c r="AD46" s="30" t="n">
        <x:f>'原始数据-规模前十'!R46/MAX('原始数据-规模前十'!R$5:R46)-1</x:f>
        <x:v>-0.0046367851730706455</x:v>
      </x:c>
      <x:c r="AE46" s="30" t="n">
        <x:f>'原始数据-规模前十'!S46/MAX('原始数据-规模前十'!S$5:S46)-1</x:f>
        <x:v>-0.02659605089541306</x:v>
      </x:c>
      <x:c r="AF46" s="30" t="n">
        <x:f>'原始数据-规模前十'!T46/MAX('原始数据-规模前十'!T$5:T46)-1</x:f>
        <x:v>-0.02435142447875216</x:v>
      </x:c>
      <x:c r="AG46" s="30" t="n">
        <x:f>'原始数据-规模前十'!U46/MAX('原始数据-规模前十'!U$5:U46)-1</x:f>
        <x:v>-0.004764173415912509</x:v>
      </x:c>
      <x:c r="AH46" s="30" t="n">
        <x:f>'原始数据-规模前十'!V46/MAX('原始数据-规模前十'!V$5:V46)-1</x:f>
        <x:v>-0.024608150444726085</x:v>
      </x:c>
      <x:c r="AI46" s="30" t="n">
        <x:f>'原始数据-规模前十'!W46/MAX('原始数据-规模前十'!W$5:W46)-1</x:f>
        <x:v>-0.03378995435008392</x:v>
      </x:c>
      <x:c r="AJ46" s="31" t="n">
        <x:f>'原始数据-规模前十'!X46/MAX('原始数据-规模前十'!X$5:X46)-1</x:f>
        <x:v>-0.0064835352345589126</x:v>
      </x:c>
    </x:row>
    <x:row r="47">
      <x:c r="A47" s="32" t="n">
        <x:v>46252</x:v>
      </x:c>
      <x:c r="B47" s="33" t="n">
        <x:v>0.9995</x:v>
      </x:c>
      <x:c r="C47" s="33" t="n">
        <x:v>1.7424433225</x:v>
      </x:c>
      <x:c r="D47" s="33" t="n">
        <x:v>2.544563115</x:v>
      </x:c>
      <x:c r="E47" s="33" t="n">
        <x:v>2.2903050927</x:v>
      </x:c>
      <x:c r="F47" s="33" t="n">
        <x:v>1.4848989511</x:v>
      </x:c>
      <x:c r="G47" s="33" t="n">
        <x:v>1.8248797447</x:v>
      </x:c>
      <x:c r="H47" s="33" t="n">
        <x:v>1.2262</x:v>
      </x:c>
      <x:c r="I47" s="33" t="n">
        <x:v>2.083</x:v>
      </x:c>
      <x:c r="J47" s="33" t="n">
        <x:v>1.2529780779</x:v>
      </x:c>
      <x:c r="K47" s="33" t="n">
        <x:v>2.6901650753</x:v>
      </x:c>
      <x:c r="L47" s="33" t="n">
        <x:v>8.3673516569</x:v>
      </x:c>
      <x:c r="M47" s="34"/>
      <x:c r="N47" s="35" t="n">
        <x:f>'原始数据-规模前十'!B47/'原始数据-规模前十'!B$5</x:f>
        <x:v>0.9995</x:v>
      </x:c>
      <x:c r="O47" s="35" t="n">
        <x:f>'原始数据-规模前十'!C47/'原始数据-规模前十'!C$5</x:f>
        <x:v>0.9678832116353672</x:v>
      </x:c>
      <x:c r="P47" s="35" t="n">
        <x:f>'原始数据-规模前十'!D47/'原始数据-规模前十'!D$5</x:f>
        <x:v>0.9833914925602413</x:v>
      </x:c>
      <x:c r="Q47" s="35" t="n">
        <x:f>'原始数据-规模前十'!E47/'原始数据-规模前十'!E$5</x:f>
        <x:v>1.0010487676975195</x:v>
      </x:c>
      <x:c r="R47" s="35" t="n">
        <x:f>'原始数据-规模前十'!F47/'原始数据-规模前十'!F$5</x:f>
        <x:v>1.0287310454878915</x:v>
      </x:c>
      <x:c r="S47" s="35" t="n">
        <x:f>'原始数据-规模前十'!G47/'原始数据-规模前十'!G$5</x:f>
        <x:v>0.9866167962025008</x:v>
      </x:c>
      <x:c r="T47" s="35" t="n">
        <x:f>'原始数据-规模前十'!H47/'原始数据-规模前十'!H$5</x:f>
        <x:v>0.9820599070959475</x:v>
      </x:c>
      <x:c r="U47" s="35" t="n">
        <x:f>'原始数据-规模前十'!I47/'原始数据-规模前十'!I$5</x:f>
        <x:v>1.0141187925998054</x:v>
      </x:c>
      <x:c r="V47" s="35" t="n">
        <x:f>'原始数据-规模前十'!J47/'原始数据-规模前十'!J$5</x:f>
        <x:v>0.9905352740543107</x:v>
      </x:c>
      <x:c r="W47" s="35" t="n">
        <x:f>'原始数据-规模前十'!K47/'原始数据-规模前十'!K$5</x:f>
        <x:v>0.9805104408401378</x:v>
      </x:c>
      <x:c r="X47" s="35" t="n">
        <x:f>'原始数据-规模前十'!L47/'原始数据-规模前十'!L$5</x:f>
        <x:v>1.0031346882511278</x:v>
      </x:c>
      <x:c r="Y47" s="34"/>
      <x:c r="Z47" s="36" t="n">
        <x:f>'原始数据-规模前十'!N47/MAX('原始数据-规模前十'!N$5:N47)-1</x:f>
        <x:v>-0.003191383265183867</x:v>
      </x:c>
      <x:c r="AA47" s="36" t="n">
        <x:f>'原始数据-规模前十'!O47/MAX('原始数据-规模前十'!O$5:O47)-1</x:f>
        <x:v>-0.03712094809538302</x:v>
      </x:c>
      <x:c r="AB47" s="36" t="n">
        <x:f>'原始数据-规模前十'!P47/MAX('原始数据-规模前十'!P$5:P47)-1</x:f>
        <x:v>-0.025902428360487062</x:v>
      </x:c>
      <x:c r="AC47" s="36" t="n">
        <x:f>'原始数据-规模前十'!Q47/MAX('原始数据-规模前十'!Q$5:Q47)-1</x:f>
        <x:v>-0.003653444696571362</x:v>
      </x:c>
      <x:c r="AD47" s="36" t="n">
        <x:f>'原始数据-规模前十'!R47/MAX('原始数据-规模前十'!R$5:R47)-1</x:f>
        <x:v>-0.00386398762186424</x:v>
      </x:c>
      <x:c r="AE47" s="36" t="n">
        <x:f>'原始数据-规模前十'!S47/MAX('原始数据-规模前十'!S$5:S47)-1</x:f>
        <x:v>-0.028150365550178358</x:v>
      </x:c>
      <x:c r="AF47" s="36" t="n">
        <x:f>'原始数据-规模前十'!T47/MAX('原始数据-规模前十'!T$5:T47)-1</x:f>
        <x:v>-0.024192264841636058</x:v>
      </x:c>
      <x:c r="AG47" s="36" t="n">
        <x:f>'原始数据-规模前十'!U47/MAX('原始数据-规模前十'!U$5:U47)-1</x:f>
        <x:v>-0.0076226774654598595</x:v>
      </x:c>
      <x:c r="AH47" s="36" t="n">
        <x:f>'原始数据-规模前十'!V47/MAX('原始数据-规模前十'!V$5:V47)-1</x:f>
        <x:v>-0.02398119118433062</x:v>
      </x:c>
      <x:c r="AI47" s="36" t="n">
        <x:f>'原始数据-规模前十'!W47/MAX('原始数据-规模前十'!W$5:W47)-1</x:f>
        <x:v>-0.03515981734295126</x:v>
      </x:c>
      <x:c r="AJ47" s="37" t="n">
        <x:f>'原始数据-规模前十'!X47/MAX('原始数据-规模前十'!X$5:X47)-1</x:f>
        <x:v>-0.0062787920207509895</x:v>
      </x:c>
    </x:row>
  </x:sheetData>
  <x:mergeCells>
    <x:mergeCell ref="A1:AJ1"/>
    <x:mergeCell ref="A2:AJ2"/>
    <x:mergeCell ref="N3:X3"/>
    <x:mergeCell ref="Z3:AJ3"/>
  </x:mergeCells>
  <x:pageMargins left="0.7" right="0.7" top="0.75" bottom="0.75" header="0.3" footer="0.3"/>
  <x:legacyDrawing xmlns:r="http://schemas.openxmlformats.org/officeDocument/2006/relationships" r:id="R7bdff534568646e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3" hidden="0" customWidth="1"/>
    <x:col min="3" max="3" width="1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39" t="str">
        <x:v>1090与全市场Q2规模前十固收+：回撤与修复指标</x:v>
      </x:c>
      <x:c r="B1" s="39"/>
      <x:c r="C1" s="39"/>
      <x:c r="D1" s="39"/>
      <x:c r="E1" s="39"/>
      <x:c r="F1" s="39"/>
      <x:c r="G1" s="39"/>
      <x:c r="H1" s="39"/>
    </x:row>
    <x:row r="2" ht="22" customHeight="1">
      <x:c r="A2" s="4" t="str">
        <x:v>基金按26Q2规模从大到小排列；累计修复幅度=自区间最低点反弹至8月18日的涨幅÷|区间最大回撤|。</x:v>
      </x:c>
      <x:c r="B2" s="4"/>
      <x:c r="C2" s="4"/>
      <x:c r="D2" s="4"/>
      <x:c r="E2" s="4"/>
      <x:c r="F2" s="4"/>
      <x:c r="G2" s="4"/>
      <x:c r="H2" s="4"/>
    </x:row>
    <x:row r="4" ht="34" customHeight="1">
      <x:c r="A4" s="44" t="str">
        <x:v>组合/基金</x:v>
      </x:c>
      <x:c r="B4" s="44" t="str">
        <x:v>代码</x:v>
      </x:c>
      <x:c r="C4" s="44" t="str">
        <x:v>26Q2规模（亿元）</x:v>
      </x:c>
      <x:c r="D4" s="44" t="str">
        <x:v>成立以来</x:v>
      </x:c>
      <x:c r="E4" s="44" t="str">
        <x:v>最大回撤</x:v>
      </x:c>
      <x:c r="F4" s="44" t="str">
        <x:v>离最高点距离</x:v>
      </x:c>
      <x:c r="G4" s="44" t="str">
        <x:v>自最低点反弹</x:v>
      </x:c>
      <x:c r="H4" s="44" t="str">
        <x:v>累计修复幅度</x:v>
      </x:c>
    </x:row>
    <x:row r="5" ht="28" customHeight="1">
      <x:c r="A5" s="64" t="str">
        <x:v>1090组合</x:v>
      </x:c>
      <x:c r="B5" s="64" t="str">
        <x:v>1090</x:v>
      </x:c>
      <x:c r="C5" s="66"/>
      <x:c r="D5" s="67" t="n">
        <x:f>'原始数据-规模前十'!B47/'原始数据-规模前十'!B5-1</x:f>
        <x:v>-0.0004999999999999449</x:v>
      </x:c>
      <x:c r="E5" s="67" t="n">
        <x:f>MIN('原始数据-规模前十'!Z5:Z47)</x:f>
        <x:v>-0.028722449386655913</x:v>
      </x:c>
      <x:c r="F5" s="67" t="n">
        <x:f>'原始数据-规模前十'!B47/MAX('原始数据-规模前十'!B5:B47)-1</x:f>
        <x:v>-0.003191383265183867</x:v>
      </x:c>
      <x:c r="G5" s="67" t="n">
        <x:f>'原始数据-规模前十'!B47/MIN('原始数据-规模前十'!B5:B47)-1</x:f>
        <x:v>0.02628606633124564</x:v>
      </x:c>
      <x:c r="H5" s="67" t="n">
        <x:f>IF(ABS(E5)&lt;0.000000000001,999999,G5/ABS(E5))</x:f>
        <x:v>0.9151749552201427</x:v>
      </x:c>
    </x:row>
    <x:row r="6" ht="26" customHeight="1">
      <x:c r="A6" s="65" t="str">
        <x:v>景顺长城景颐丰利债券</x:v>
      </x:c>
      <x:c r="B6" s="65" t="str">
        <x:v>003504.OF</x:v>
      </x:c>
      <x:c r="C6" s="68" t="n">
        <x:v>712</x:v>
      </x:c>
      <x:c r="D6" s="69" t="n">
        <x:f>'原始数据-规模前十'!C47/'原始数据-规模前十'!C5-1</x:f>
        <x:v>-0.03211678836463283</x:v>
      </x:c>
      <x:c r="E6" s="69" t="n">
        <x:f>MIN('原始数据-规模前十'!AA5:AA47)</x:f>
        <x:v>-0.07819216915479099</x:v>
      </x:c>
      <x:c r="F6" s="69" t="n">
        <x:f>'原始数据-规模前十'!C47/MAX('原始数据-规模前十'!C5:C47)-1</x:f>
        <x:v>-0.03712094809538291</x:v>
      </x:c>
      <x:c r="G6" s="69" t="n">
        <x:f>'原始数据-规模前十'!C47/MIN('原始数据-规模前十'!C5:C47)-1</x:f>
        <x:v>0.044555079361551675</x:v>
      </x:c>
      <x:c r="H6" s="69" t="n">
        <x:f>IF(ABS(E6)&lt;0.000000000001,999999,G6/ABS(E6))</x:f>
        <x:v>0.569815108637662</x:v>
      </x:c>
    </x:row>
    <x:row r="7" ht="26" customHeight="1">
      <x:c r="A7" s="65" t="str">
        <x:v>鹏华双债加利债券</x:v>
      </x:c>
      <x:c r="B7" s="65" t="str">
        <x:v>000143.OF</x:v>
      </x:c>
      <x:c r="C7" s="68" t="n">
        <x:v>584</x:v>
      </x:c>
      <x:c r="D7" s="69" t="n">
        <x:f>'原始数据-规模前十'!D47/'原始数据-规模前十'!D5-1</x:f>
        <x:v>-0.016608507439758724</x:v>
      </x:c>
      <x:c r="E7" s="69" t="n">
        <x:f>MIN('原始数据-规模前十'!AB5:AB47)</x:f>
        <x:v>-0.06090570992250455</x:v>
      </x:c>
      <x:c r="F7" s="69" t="n">
        <x:f>'原始数据-规模前十'!D47/MAX('原始数据-规模前十'!D5:D47)-1</x:f>
        <x:v>-0.02590242836048684</x:v>
      </x:c>
      <x:c r="G7" s="69" t="n">
        <x:f>'原始数据-规模前十'!D47/MIN('原始数据-规模前十'!D5:D47)-1</x:f>
        <x:v>0.03727344733309912</x:v>
      </x:c>
      <x:c r="H7" s="69" t="n">
        <x:f>IF(ABS(E7)&lt;0.000000000001,999999,G7/ABS(E7))</x:f>
        <x:v>0.6119860909679119</x:v>
      </x:c>
    </x:row>
    <x:row r="8" ht="26" customHeight="1">
      <x:c r="A8" s="65" t="str">
        <x:v>景顺长城景颐双利债券</x:v>
      </x:c>
      <x:c r="B8" s="65" t="str">
        <x:v>000385.OF</x:v>
      </x:c>
      <x:c r="C8" s="68" t="n">
        <x:v>576</x:v>
      </x:c>
      <x:c r="D8" s="69" t="n">
        <x:f>'原始数据-规模前十'!E47/'原始数据-规模前十'!E5-1</x:f>
        <x:v>0.0010487676975194926</x:v>
      </x:c>
      <x:c r="E8" s="69" t="n">
        <x:f>MIN('原始数据-规模前十'!AC5:AC47)</x:f>
        <x:v>-0.024530271409827442</x:v>
      </x:c>
      <x:c r="F8" s="69" t="n">
        <x:f>'原始数据-规模前十'!E47/MAX('原始数据-规模前十'!E5:E47)-1</x:f>
        <x:v>-0.00365344469657114</x:v>
      </x:c>
      <x:c r="G8" s="69" t="n">
        <x:f>'原始数据-规模前十'!E47/MIN('原始数据-规模前十'!E5:E47)-1</x:f>
        <x:v>0.02140181914556094</x:v>
      </x:c>
      <x:c r="H8" s="69" t="n">
        <x:f>IF(ABS(E8)&lt;0.000000000001,999999,G8/ABS(E8))</x:f>
        <x:v>0.872465648178146</x:v>
      </x:c>
    </x:row>
    <x:row r="9" ht="26" customHeight="1">
      <x:c r="A9" s="65" t="str">
        <x:v>景顺长城景盛双息收益债券</x:v>
      </x:c>
      <x:c r="B9" s="65" t="str">
        <x:v>002065.OF</x:v>
      </x:c>
      <x:c r="C9" s="68" t="n">
        <x:v>393</x:v>
      </x:c>
      <x:c r="D9" s="69" t="n">
        <x:f>'原始数据-规模前十'!F47/'原始数据-规模前十'!F5-1</x:f>
        <x:v>0.028731045487891516</x:v>
      </x:c>
      <x:c r="E9" s="69" t="n">
        <x:f>MIN('原始数据-规模前十'!AD5:AD47)</x:f>
        <x:v>-0.019857029388074876</x:v>
      </x:c>
      <x:c r="F9" s="69" t="n">
        <x:f>'原始数据-规模前十'!F47/MAX('原始数据-规模前十'!F5:F47)-1</x:f>
        <x:v>-0.003863987621864129</x:v>
      </x:c>
      <x:c r="G9" s="69" t="n">
        <x:f>'原始数据-规模前十'!F47/MIN('原始数据-规模前十'!F5:F47)-1</x:f>
        <x:v>0.044570502416296565</x:v>
      </x:c>
      <x:c r="H9" s="69" t="n">
        <x:f>IF(ABS(E9)&lt;0.000000000001,999999,G9/ABS(E9))</x:f>
        <x:v>2.244570501721841</x:v>
      </x:c>
    </x:row>
    <x:row r="10" ht="26" customHeight="1">
      <x:c r="A10" s="65" t="str">
        <x:v>易方达丰和债券</x:v>
      </x:c>
      <x:c r="B10" s="65" t="str">
        <x:v>002969.OF</x:v>
      </x:c>
      <x:c r="C10" s="68" t="n">
        <x:v>391</x:v>
      </x:c>
      <x:c r="D10" s="69" t="n">
        <x:f>'原始数据-规模前十'!G47/'原始数据-规模前十'!G5-1</x:f>
        <x:v>-0.013383203797499243</x:v>
      </x:c>
      <x:c r="E10" s="69" t="n">
        <x:f>MIN('原始数据-规模前十'!AE5:AE47)</x:f>
        <x:v>-0.07057739908973293</x:v>
      </x:c>
      <x:c r="F10" s="69" t="n">
        <x:f>'原始数据-规模前十'!G47/MAX('原始数据-规模前十'!G5:G47)-1</x:f>
        <x:v>-0.028150365550178358</x:v>
      </x:c>
      <x:c r="G10" s="69" t="n">
        <x:f>'原始数据-规模前十'!G47/MIN('原始数据-规模前十'!G5:G47)-1</x:f>
        <x:v>0.045648807655421786</x:v>
      </x:c>
      <x:c r="H10" s="69" t="n">
        <x:f>IF(ABS(E10)&lt;0.000000000001,999999,G10/ABS(E10))</x:f>
        <x:v>0.6467907325032389</x:v>
      </x:c>
    </x:row>
    <x:row r="11" ht="26" customHeight="1">
      <x:c r="A11" s="65" t="str">
        <x:v>永赢稳健增强债券</x:v>
      </x:c>
      <x:c r="B11" s="65" t="str">
        <x:v>014088.OF</x:v>
      </x:c>
      <x:c r="C11" s="68" t="n">
        <x:v>365</x:v>
      </x:c>
      <x:c r="D11" s="69" t="n">
        <x:f>'原始数据-规模前十'!H47/'原始数据-规模前十'!H5-1</x:f>
        <x:v>-0.017940092904052518</x:v>
      </x:c>
      <x:c r="E11" s="69" t="n">
        <x:f>MIN('原始数据-规模前十'!AF5:AF47)</x:f>
        <x:v>-0.04575839567085771</x:v>
      </x:c>
      <x:c r="F11" s="69" t="n">
        <x:f>'原始数据-规模前十'!H47/MAX('原始数据-规模前十'!H5:H47)-1</x:f>
        <x:v>-0.02419226484163617</x:v>
      </x:c>
      <x:c r="G11" s="69" t="n">
        <x:f>'原始数据-规模前十'!H47/MIN('原始数据-规模前十'!H5:H47)-1</x:f>
        <x:v>0.02260028354599264</x:v>
      </x:c>
      <x:c r="H11" s="69" t="n">
        <x:f>IF(ABS(E11)&lt;0.000000000001,999999,G11/ABS(E11))</x:f>
        <x:v>0.4939046313720774</x:v>
      </x:c>
    </x:row>
    <x:row r="12" ht="26" customHeight="1">
      <x:c r="A12" s="65" t="str">
        <x:v>华商信用增强债券</x:v>
      </x:c>
      <x:c r="B12" s="65" t="str">
        <x:v>001751.OF</x:v>
      </x:c>
      <x:c r="C12" s="68" t="n">
        <x:v>361</x:v>
      </x:c>
      <x:c r="D12" s="69" t="n">
        <x:f>'原始数据-规模前十'!I47/'原始数据-规模前十'!I5-1</x:f>
        <x:v>0.014118792599805419</x:v>
      </x:c>
      <x:c r="E12" s="69" t="n">
        <x:f>MIN('原始数据-规模前十'!AG5:AG47)</x:f>
        <x:v>-0.052405907575035826</x:v>
      </x:c>
      <x:c r="F12" s="69" t="n">
        <x:f>'原始数据-规模前十'!I47/MAX('原始数据-规模前十'!I5:I47)-1</x:f>
        <x:v>-0.0076226774654597484</x:v>
      </x:c>
      <x:c r="G12" s="69" t="n">
        <x:f>'原始数据-规模前十'!I47/MIN('原始数据-规模前十'!I5:I47)-1</x:f>
        <x:v>0.047259929612870843</x:v>
      </x:c>
      <x:c r="H12" s="69" t="n">
        <x:f>IF(ABS(E12)&lt;0.000000000001,999999,G12/ABS(E12))</x:f>
        <x:v>0.9018053841583248</x:v>
      </x:c>
    </x:row>
    <x:row r="13" ht="26" customHeight="1">
      <x:c r="A13" s="65" t="str">
        <x:v>博时恒乐债券</x:v>
      </x:c>
      <x:c r="B13" s="65" t="str">
        <x:v>014846.OF</x:v>
      </x:c>
      <x:c r="C13" s="68" t="n">
        <x:v>359</x:v>
      </x:c>
      <x:c r="D13" s="69" t="n">
        <x:f>'原始数据-规模前十'!J47/'原始数据-规模前十'!J5-1</x:f>
        <x:v>-0.009464725945689256</x:v>
      </x:c>
      <x:c r="E13" s="69" t="n">
        <x:f>MIN('原始数据-规模前十'!AH5:AH47)</x:f>
        <x:v>-0.03087774297078527</x:v>
      </x:c>
      <x:c r="F13" s="69" t="n">
        <x:f>'原始数据-规模前十'!J47/MAX('原始数据-规模前十'!J5:J47)-1</x:f>
        <x:v>-0.02398119118433073</x:v>
      </x:c>
      <x:c r="G13" s="69" t="n">
        <x:f>'原始数据-规模前十'!J47/MIN('原始数据-规模前十'!J5:J47)-1</x:f>
        <x:v>0.0071162866567480165</x:v>
      </x:c>
      <x:c r="H13" s="69" t="n">
        <x:f>IF(ABS(E13)&lt;0.000000000001,999999,G13/ABS(E13))</x:f>
        <x:v>0.23046654230786992</x:v>
      </x:c>
    </x:row>
    <x:row r="14" ht="26" customHeight="1">
      <x:c r="A14" s="65" t="str">
        <x:v>易方达裕丰回报债券</x:v>
      </x:c>
      <x:c r="B14" s="65" t="str">
        <x:v>000171.OF</x:v>
      </x:c>
      <x:c r="C14" s="68" t="n">
        <x:v>342</x:v>
      </x:c>
      <x:c r="D14" s="69" t="n">
        <x:f>'原始数据-规模前十'!K47/'原始数据-规模前十'!K5-1</x:f>
        <x:v>-0.01948955915986217</x:v>
      </x:c>
      <x:c r="E14" s="69" t="n">
        <x:f>MIN('原始数据-规模前十'!AI5:AI47)</x:f>
        <x:v>-0.06347031964983563</x:v>
      </x:c>
      <x:c r="F14" s="69" t="n">
        <x:f>'原始数据-规模前十'!K47/MAX('原始数据-规模前十'!K5:K47)-1</x:f>
        <x:v>-0.03515981734295115</x:v>
      </x:c>
      <x:c r="G14" s="69" t="n">
        <x:f>'原始数据-规模前十'!K47/MIN('原始数据-规模前十'!K5:K47)-1</x:f>
        <x:v>0.030229156534899326</x:v>
      </x:c>
      <x:c r="H14" s="69" t="n">
        <x:f>IF(ABS(E14)&lt;0.000000000001,999999,G14/ABS(E14))</x:f>
        <x:v>0.47627232227083344</x:v>
      </x:c>
    </x:row>
    <x:row r="15" ht="26" customHeight="1">
      <x:c r="A15" s="65" t="str">
        <x:v>南方宝元债券</x:v>
      </x:c>
      <x:c r="B15" s="65" t="str">
        <x:v>202101.OF</x:v>
      </x:c>
      <x:c r="C15" s="68" t="n">
        <x:v>314</x:v>
      </x:c>
      <x:c r="D15" s="69" t="n">
        <x:f>'原始数据-规模前十'!L47/'原始数据-规模前十'!L5-1</x:f>
        <x:v>0.0031346882511278373</x:v>
      </x:c>
      <x:c r="E15" s="69" t="n">
        <x:f>MIN('原始数据-规模前十'!AJ5:AJ47)</x:f>
        <x:v>-0.02637775124669639</x:v>
      </x:c>
      <x:c r="F15" s="69" t="n">
        <x:f>'原始数据-规模前十'!L47/MAX('原始数据-规模前十'!L5:L47)-1</x:f>
        <x:v>-0.0062787920207509895</x:v>
      </x:c>
      <x:c r="G15" s="69" t="n">
        <x:f>'原始数据-规模前十'!L47/MIN('原始数据-规模前十'!L5:L47)-1</x:f>
        <x:v>0.020643488017741518</x:v>
      </x:c>
      <x:c r="H15" s="69" t="n">
        <x:f>IF(ABS(E15)&lt;0.000000000001,999999,G15/ABS(E15))</x:f>
        <x:v>0.7826098527002735</x:v>
      </x:c>
    </x:row>
  </x:sheetData>
  <x:mergeCells>
    <x:mergeCell ref="A1:H1"/>
    <x:mergeCell ref="A2:H2"/>
  </x:mergeCells>
  <x:pageMargins left="0.7" right="0.7" top="0.75" bottom="0.75" header="0.3" footer="0.3"/>
  <x:legacyDrawing xmlns:r="http://schemas.openxmlformats.org/officeDocument/2006/relationships" r:id="R964ce0653603434b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</x:cols>
  <x:sheetData>
    <x:row r="1" ht="28" customHeight="1">
      <x:c r="A1" s="3" t="str">
        <x:v>1090与全市场Q2规模增长前十固收+净值数据及计算辅助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</x:row>
    <x:row r="2" ht="20" customHeight="1">
      <x:c r="A2" s="4" t="str">
        <x:v>口径：2026-06-18至2026-08-18；各序列归一化起点=1；原文件8月19日数据未纳入。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</x:row>
    <x:row r="3">
      <x:c r="N3" s="14" t="str">
        <x:v>归一化净值（起点=1）</x:v>
      </x:c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Z3" s="14" t="str">
        <x:v>回撤序列</x:v>
      </x:c>
      <x:c r="AA3" s="14"/>
      <x:c r="AB3" s="14"/>
      <x:c r="AC3" s="14"/>
      <x:c r="AD3" s="14"/>
      <x:c r="AE3" s="14"/>
      <x:c r="AF3" s="14"/>
      <x:c r="AG3" s="14"/>
      <x:c r="AH3" s="14"/>
      <x:c r="AI3" s="14"/>
      <x:c r="AJ3" s="14"/>
    </x:row>
    <x:row r="4">
      <x:c r="A4" s="14" t="str">
        <x:v>日期</x:v>
      </x:c>
      <x:c r="B4" s="14" t="str">
        <x:v>1090组合</x:v>
      </x:c>
      <x:c r="C4" s="14" t="str">
        <x:v>景顺长城景颐丰利债券</x:v>
      </x:c>
      <x:c r="D4" s="14" t="str">
        <x:v>易方达丰和债券</x:v>
      </x:c>
      <x:c r="E4" s="14" t="str">
        <x:v>汇添富多元收益债券</x:v>
      </x:c>
      <x:c r="F4" s="14" t="str">
        <x:v>鹏华双债加利债券</x:v>
      </x:c>
      <x:c r="G4" s="14" t="str">
        <x:v>汇添富双利增强债券</x:v>
      </x:c>
      <x:c r="H4" s="14" t="str">
        <x:v>易方达裕丰回报债券</x:v>
      </x:c>
      <x:c r="I4" s="14" t="str">
        <x:v>华商利欣回报债券</x:v>
      </x:c>
      <x:c r="J4" s="14" t="str">
        <x:v>华商信用增强债券</x:v>
      </x:c>
      <x:c r="K4" s="14" t="str">
        <x:v>万家锦利债券发起式</x:v>
      </x:c>
      <x:c r="L4" s="14" t="str">
        <x:v>博时恒乐债券</x:v>
      </x:c>
      <x:c r="N4" s="14" t="str">
        <x:v>1090组合</x:v>
      </x:c>
      <x:c r="O4" s="14" t="str">
        <x:v>景顺长城景颐丰利债券</x:v>
      </x:c>
      <x:c r="P4" s="14" t="str">
        <x:v>易方达丰和债券</x:v>
      </x:c>
      <x:c r="Q4" s="14" t="str">
        <x:v>汇添富多元收益债券</x:v>
      </x:c>
      <x:c r="R4" s="14" t="str">
        <x:v>鹏华双债加利债券</x:v>
      </x:c>
      <x:c r="S4" s="14" t="str">
        <x:v>汇添富双利增强债券</x:v>
      </x:c>
      <x:c r="T4" s="14" t="str">
        <x:v>易方达裕丰回报债券</x:v>
      </x:c>
      <x:c r="U4" s="14" t="str">
        <x:v>华商利欣回报债券</x:v>
      </x:c>
      <x:c r="V4" s="14" t="str">
        <x:v>华商信用增强债券</x:v>
      </x:c>
      <x:c r="W4" s="14" t="str">
        <x:v>万家锦利债券发起式</x:v>
      </x:c>
      <x:c r="X4" s="14" t="str">
        <x:v>博时恒乐债券</x:v>
      </x:c>
      <x:c r="Z4" s="14" t="str">
        <x:v>1090组合</x:v>
      </x:c>
      <x:c r="AA4" s="14" t="str">
        <x:v>景顺长城景颐丰利债券</x:v>
      </x:c>
      <x:c r="AB4" s="14" t="str">
        <x:v>易方达丰和债券</x:v>
      </x:c>
      <x:c r="AC4" s="14" t="str">
        <x:v>汇添富多元收益债券</x:v>
      </x:c>
      <x:c r="AD4" s="14" t="str">
        <x:v>鹏华双债加利债券</x:v>
      </x:c>
      <x:c r="AE4" s="14" t="str">
        <x:v>汇添富双利增强债券</x:v>
      </x:c>
      <x:c r="AF4" s="14" t="str">
        <x:v>易方达裕丰回报债券</x:v>
      </x:c>
      <x:c r="AG4" s="14" t="str">
        <x:v>华商利欣回报债券</x:v>
      </x:c>
      <x:c r="AH4" s="14" t="str">
        <x:v>华商信用增强债券</x:v>
      </x:c>
      <x:c r="AI4" s="14" t="str">
        <x:v>万家锦利债券发起式</x:v>
      </x:c>
      <x:c r="AJ4" s="14" t="str">
        <x:v>博时恒乐债券</x:v>
      </x:c>
    </x:row>
    <x:row r="5">
      <x:c r="A5" s="20" t="n">
        <x:v>46191</x:v>
      </x:c>
      <x:c r="B5" s="21" t="n">
        <x:v>1</x:v>
      </x:c>
      <x:c r="C5" s="21" t="n">
        <x:v>1.8002619547</x:v>
      </x:c>
      <x:c r="D5" s="21" t="n">
        <x:v>1.8496337704</x:v>
      </x:c>
      <x:c r="E5" s="21" t="n">
        <x:v>2.8708579891</x:v>
      </x:c>
      <x:c r="F5" s="21" t="n">
        <x:v>2.5875382635</x:v>
      </x:c>
      <x:c r="G5" s="21" t="n">
        <x:v>2.0627511983</x:v>
      </x:c>
      <x:c r="H5" s="21" t="n">
        <x:v>2.7436373579</x:v>
      </x:c>
      <x:c r="I5" s="21" t="n">
        <x:v>1.262</x:v>
      </x:c>
      <x:c r="J5" s="21" t="n">
        <x:v>2.054</x:v>
      </x:c>
      <x:c r="K5" s="21" t="n">
        <x:v>1.2318</x:v>
      </x:c>
      <x:c r="L5" s="21" t="n">
        <x:v>1.2649504876</x:v>
      </x:c>
      <x:c r="M5" s="22"/>
      <x:c r="N5" s="23" t="n">
        <x:f>'原始数据-增长前十'!B5/'原始数据-增长前十'!B$5</x:f>
        <x:v>1</x:v>
      </x:c>
      <x:c r="O5" s="23" t="n">
        <x:f>'原始数据-增长前十'!C5/'原始数据-增长前十'!C$5</x:f>
        <x:v>1</x:v>
      </x:c>
      <x:c r="P5" s="23" t="n">
        <x:f>'原始数据-增长前十'!D5/'原始数据-增长前十'!D$5</x:f>
        <x:v>1</x:v>
      </x:c>
      <x:c r="Q5" s="23" t="n">
        <x:f>'原始数据-增长前十'!E5/'原始数据-增长前十'!E$5</x:f>
        <x:v>1</x:v>
      </x:c>
      <x:c r="R5" s="23" t="n">
        <x:f>'原始数据-增长前十'!F5/'原始数据-增长前十'!F$5</x:f>
        <x:v>1</x:v>
      </x:c>
      <x:c r="S5" s="23" t="n">
        <x:f>'原始数据-增长前十'!G5/'原始数据-增长前十'!G$5</x:f>
        <x:v>1</x:v>
      </x:c>
      <x:c r="T5" s="23" t="n">
        <x:f>'原始数据-增长前十'!H5/'原始数据-增长前十'!H$5</x:f>
        <x:v>1</x:v>
      </x:c>
      <x:c r="U5" s="23" t="n">
        <x:f>'原始数据-增长前十'!I5/'原始数据-增长前十'!I$5</x:f>
        <x:v>1</x:v>
      </x:c>
      <x:c r="V5" s="23" t="n">
        <x:f>'原始数据-增长前十'!J5/'原始数据-增长前十'!J$5</x:f>
        <x:v>1</x:v>
      </x:c>
      <x:c r="W5" s="23" t="n">
        <x:f>'原始数据-增长前十'!K5/'原始数据-增长前十'!K$5</x:f>
        <x:v>1</x:v>
      </x:c>
      <x:c r="X5" s="23" t="n">
        <x:f>'原始数据-增长前十'!L5/'原始数据-增长前十'!L$5</x:f>
        <x:v>1</x:v>
      </x:c>
      <x:c r="Y5" s="22"/>
      <x:c r="Z5" s="24" t="n">
        <x:f>'原始数据-增长前十'!N5/MAX('原始数据-增长前十'!N$5:N5)-1</x:f>
        <x:v>0</x:v>
      </x:c>
      <x:c r="AA5" s="24" t="n">
        <x:f>'原始数据-增长前十'!O5/MAX('原始数据-增长前十'!O$5:O5)-1</x:f>
        <x:v>0</x:v>
      </x:c>
      <x:c r="AB5" s="24" t="n">
        <x:f>'原始数据-增长前十'!P5/MAX('原始数据-增长前十'!P$5:P5)-1</x:f>
        <x:v>0</x:v>
      </x:c>
      <x:c r="AC5" s="24" t="n">
        <x:f>'原始数据-增长前十'!Q5/MAX('原始数据-增长前十'!Q$5:Q5)-1</x:f>
        <x:v>0</x:v>
      </x:c>
      <x:c r="AD5" s="24" t="n">
        <x:f>'原始数据-增长前十'!R5/MAX('原始数据-增长前十'!R$5:R5)-1</x:f>
        <x:v>0</x:v>
      </x:c>
      <x:c r="AE5" s="24" t="n">
        <x:f>'原始数据-增长前十'!S5/MAX('原始数据-增长前十'!S$5:S5)-1</x:f>
        <x:v>0</x:v>
      </x:c>
      <x:c r="AF5" s="24" t="n">
        <x:f>'原始数据-增长前十'!T5/MAX('原始数据-增长前十'!T$5:T5)-1</x:f>
        <x:v>0</x:v>
      </x:c>
      <x:c r="AG5" s="24" t="n">
        <x:f>'原始数据-增长前十'!U5/MAX('原始数据-增长前十'!U$5:U5)-1</x:f>
        <x:v>0</x:v>
      </x:c>
      <x:c r="AH5" s="24" t="n">
        <x:f>'原始数据-增长前十'!V5/MAX('原始数据-增长前十'!V$5:V5)-1</x:f>
        <x:v>0</x:v>
      </x:c>
      <x:c r="AI5" s="24" t="n">
        <x:f>'原始数据-增长前十'!W5/MAX('原始数据-增长前十'!W$5:W5)-1</x:f>
        <x:v>0</x:v>
      </x:c>
      <x:c r="AJ5" s="25" t="n">
        <x:f>'原始数据-增长前十'!X5/MAX('原始数据-增长前十'!X$5:X5)-1</x:f>
        <x:v>0</x:v>
      </x:c>
    </x:row>
    <x:row r="6">
      <x:c r="A6" s="26" t="n">
        <x:v>46195</x:v>
      </x:c>
      <x:c r="B6" s="27" t="n">
        <x:v>1.0009</x:v>
      </x:c>
      <x:c r="C6" s="27" t="n">
        <x:v>1.8053079444</x:v>
      </x:c>
      <x:c r="D6" s="27" t="n">
        <x:v>1.8514714055</x:v>
      </x:c>
      <x:c r="E6" s="27" t="n">
        <x:v>2.8756402999</x:v>
      </x:c>
      <x:c r="F6" s="27" t="n">
        <x:v>2.5995393023</x:v>
      </x:c>
      <x:c r="G6" s="27" t="n">
        <x:v>2.0687103235</x:v>
      </x:c>
      <x:c r="H6" s="27" t="n">
        <x:v>2.7550957042</x:v>
      </x:c>
      <x:c r="I6" s="27" t="n">
        <x:v>1.2643</x:v>
      </x:c>
      <x:c r="J6" s="27" t="n">
        <x:v>2.058</x:v>
      </x:c>
      <x:c r="K6" s="27" t="n">
        <x:v>1.2354</x:v>
      </x:c>
      <x:c r="L6" s="27" t="n">
        <x:v>1.2665602234</x:v>
      </x:c>
      <x:c r="M6" s="28"/>
      <x:c r="N6" s="29" t="n">
        <x:f>'原始数据-增长前十'!B6/'原始数据-增长前十'!B$5</x:f>
        <x:v>1.0009</x:v>
      </x:c>
      <x:c r="O6" s="29" t="n">
        <x:f>'原始数据-增长前十'!C6/'原始数据-增长前十'!C$5</x:f>
        <x:v>1.002802919701117</x:v>
      </x:c>
      <x:c r="P6" s="29" t="n">
        <x:f>'原始数据-增长前十'!D6/'原始数据-增长前十'!D$5</x:f>
        <x:v>1.0009935129480267</x:v>
      </x:c>
      <x:c r="Q6" s="29" t="n">
        <x:f>'原始数据-增长前十'!E6/'原始数据-增长前十'!E$5</x:f>
        <x:v>1.0016658123871531</x:v>
      </x:c>
      <x:c r="R6" s="29" t="n">
        <x:f>'原始数据-增长前十'!F6/'原始数据-增长前十'!F$5</x:f>
        <x:v>1.0046380140418745</x:v>
      </x:c>
      <x:c r="S6" s="29" t="n">
        <x:f>'原始数据-增长前十'!G6/'原始数据-增长前十'!G$5</x:f>
        <x:v>1.0028889209735576</x:v>
      </x:c>
      <x:c r="T6" s="29" t="n">
        <x:f>'原始数据-增长前十'!H6/'原始数据-增长前十'!H$5</x:f>
        <x:v>1.0041763341160985</x:v>
      </x:c>
      <x:c r="U6" s="29" t="n">
        <x:f>'原始数据-增长前十'!I6/'原始数据-增长前十'!I$5</x:f>
        <x:v>1.001822503961965</x:v>
      </x:c>
      <x:c r="V6" s="29" t="n">
        <x:f>'原始数据-增长前十'!J6/'原始数据-增长前十'!J$5</x:f>
        <x:v>1.0019474196689386</x:v>
      </x:c>
      <x:c r="W6" s="29" t="n">
        <x:f>'原始数据-增长前十'!K6/'原始数据-增长前十'!K$5</x:f>
        <x:v>1.0029225523623966</x:v>
      </x:c>
      <x:c r="X6" s="29" t="n">
        <x:f>'原始数据-增长前十'!L6/'原始数据-增长前十'!L$5</x:f>
        <x:v>1.0012725682275945</x:v>
      </x:c>
      <x:c r="Y6" s="28"/>
      <x:c r="Z6" s="30" t="n">
        <x:f>'原始数据-增长前十'!N6/MAX('原始数据-增长前十'!N$5:N6)-1</x:f>
        <x:v>0</x:v>
      </x:c>
      <x:c r="AA6" s="30" t="n">
        <x:f>'原始数据-增长前十'!O6/MAX('原始数据-增长前十'!O$5:O6)-1</x:f>
        <x:v>0</x:v>
      </x:c>
      <x:c r="AB6" s="30" t="n">
        <x:f>'原始数据-增长前十'!P6/MAX('原始数据-增长前十'!P$5:P6)-1</x:f>
        <x:v>0</x:v>
      </x:c>
      <x:c r="AC6" s="30" t="n">
        <x:f>'原始数据-增长前十'!Q6/MAX('原始数据-增长前十'!Q$5:Q6)-1</x:f>
        <x:v>0</x:v>
      </x:c>
      <x:c r="AD6" s="30" t="n">
        <x:f>'原始数据-增长前十'!R6/MAX('原始数据-增长前十'!R$5:R6)-1</x:f>
        <x:v>0</x:v>
      </x:c>
      <x:c r="AE6" s="30" t="n">
        <x:f>'原始数据-增长前十'!S6/MAX('原始数据-增长前十'!S$5:S6)-1</x:f>
        <x:v>0</x:v>
      </x:c>
      <x:c r="AF6" s="30" t="n">
        <x:f>'原始数据-增长前十'!T6/MAX('原始数据-增长前十'!T$5:T6)-1</x:f>
        <x:v>0</x:v>
      </x:c>
      <x:c r="AG6" s="30" t="n">
        <x:f>'原始数据-增长前十'!U6/MAX('原始数据-增长前十'!U$5:U6)-1</x:f>
        <x:v>0</x:v>
      </x:c>
      <x:c r="AH6" s="30" t="n">
        <x:f>'原始数据-增长前十'!V6/MAX('原始数据-增长前十'!V$5:V6)-1</x:f>
        <x:v>0</x:v>
      </x:c>
      <x:c r="AI6" s="30" t="n">
        <x:f>'原始数据-增长前十'!W6/MAX('原始数据-增长前十'!W$5:W6)-1</x:f>
        <x:v>0</x:v>
      </x:c>
      <x:c r="AJ6" s="31" t="n">
        <x:f>'原始数据-增长前十'!X6/MAX('原始数据-增长前十'!X$5:X6)-1</x:f>
        <x:v>0</x:v>
      </x:c>
    </x:row>
    <x:row r="7">
      <x:c r="A7" s="26" t="n">
        <x:v>46196</x:v>
      </x:c>
      <x:c r="B7" s="27" t="n">
        <x:v>0.9978</x:v>
      </x:c>
      <x:c r="C7" s="27" t="n">
        <x:v>1.7884879787</x:v>
      </x:c>
      <x:c r="D7" s="27" t="n">
        <x:v>1.8401213064</x:v>
      </x:c>
      <x:c r="E7" s="27" t="n">
        <x:v>2.8587182769</x:v>
      </x:c>
      <x:c r="F7" s="27" t="n">
        <x:v>2.5829664392</x:v>
      </x:c>
      <x:c r="G7" s="27" t="n">
        <x:v>2.0533655761</x:v>
      </x:c>
      <x:c r="H7" s="27" t="n">
        <x:v>2.7347253108</x:v>
      </x:c>
      <x:c r="I7" s="27" t="n">
        <x:v>1.2618</x:v>
      </x:c>
      <x:c r="J7" s="27" t="n">
        <x:v>2.051</x:v>
      </x:c>
      <x:c r="K7" s="27" t="n">
        <x:v>1.2254</x:v>
      </x:c>
      <x:c r="L7" s="27" t="n">
        <x:v>1.2580085021</x:v>
      </x:c>
      <x:c r="M7" s="28"/>
      <x:c r="N7" s="29" t="n">
        <x:f>'原始数据-增长前十'!B7/'原始数据-增长前十'!B$5</x:f>
        <x:v>0.9978</x:v>
      </x:c>
      <x:c r="O7" s="29" t="n">
        <x:f>'原始数据-增长前十'!C7/'原始数据-增长前十'!C$5</x:f>
        <x:v>0.9934598540122113</x:v>
      </x:c>
      <x:c r="P7" s="29" t="n">
        <x:f>'原始数据-增长前十'!D7/'原始数据-增长前十'!D$5</x:f>
        <x:v>0.9948571094709505</x:v>
      </x:c>
      <x:c r="Q7" s="29" t="n">
        <x:f>'原始数据-增长前十'!E7/'原始数据-增长前十'!E$5</x:f>
        <x:v>0.9957713992659714</x:v>
      </x:c>
      <x:c r="R7" s="29" t="n">
        <x:f>'原始数据-增长前十'!F7/'原始数据-增长前十'!F$5</x:f>
        <x:v>0.9982331375096977</x:v>
      </x:c>
      <x:c r="S7" s="29" t="n">
        <x:f>'原始数据-增长前十'!G7/'原始数据-增长前十'!G$5</x:f>
        <x:v>0.9954499494617989</x:v>
      </x:c>
      <x:c r="T7" s="29" t="n">
        <x:f>'原始数据-增长前十'!H7/'原始数据-增长前十'!H$5</x:f>
        <x:v>0.996751740140023</x:v>
      </x:c>
      <x:c r="U7" s="29" t="n">
        <x:f>'原始数据-增长前十'!I7/'原始数据-增长前十'!I$5</x:f>
        <x:v>0.9998415213946118</x:v>
      </x:c>
      <x:c r="V7" s="29" t="n">
        <x:f>'原始数据-增长前十'!J7/'原始数据-增长前十'!J$5</x:f>
        <x:v>0.9985394352482961</x:v>
      </x:c>
      <x:c r="W7" s="29" t="n">
        <x:f>'原始数据-增长前十'!K7/'原始数据-增长前十'!K$5</x:f>
        <x:v>0.9948043513557396</x:v>
      </x:c>
      <x:c r="X7" s="29" t="n">
        <x:f>'原始数据-增长前十'!L7/'原始数据-增长前十'!L$5</x:f>
        <x:v>0.9945120496271984</x:v>
      </x:c>
      <x:c r="Y7" s="28"/>
      <x:c r="Z7" s="30" t="n">
        <x:f>'原始数据-增长前十'!N7/MAX('原始数据-增长前十'!N$5:N7)-1</x:f>
        <x:v>-0.0030972125087420643</x:v>
      </x:c>
      <x:c r="AA7" s="30" t="n">
        <x:f>'原始数据-增长前十'!O7/MAX('原始数据-增长前十'!O$5:O7)-1</x:f>
        <x:v>-0.00931695102332808</x:v>
      </x:c>
      <x:c r="AB7" s="30" t="n">
        <x:f>'原始数据-增长前十'!P7/MAX('原始数据-增长前十'!P$5:P7)-1</x:f>
        <x:v>-0.006130312931802995</x:v>
      </x:c>
      <x:c r="AC7" s="30" t="n">
        <x:f>'原始数据-增长前十'!Q7/MAX('原始数据-增长前十'!Q$5:Q7)-1</x:f>
        <x:v>-0.005884610464176987</x:v>
      </x:c>
      <x:c r="AD7" s="30" t="n">
        <x:f>'原始数据-增长前十'!R7/MAX('原始数据-增长前十'!R$5:R7)-1</x:f>
        <x:v>-0.006375307765240312</x:v>
      </x:c>
      <x:c r="AE7" s="30" t="n">
        <x:f>'原始数据-增长前十'!S7/MAX('原始数据-增长前十'!S$5:S7)-1</x:f>
        <x:v>-0.007417542816743228</x:v>
      </x:c>
      <x:c r="AF7" s="30" t="n">
        <x:f>'原始数据-增长前十'!T7/MAX('原始数据-增长前十'!T$5:T7)-1</x:f>
        <x:v>-0.007393715350412888</x:v>
      </x:c>
      <x:c r="AG7" s="30" t="n">
        <x:f>'原始数据-增长前十'!U7/MAX('原始数据-增长前十'!U$5:U7)-1</x:f>
        <x:v>-0.0019773787866802506</x:v>
      </x:c>
      <x:c r="AH7" s="30" t="n">
        <x:f>'原始数据-增长前十'!V7/MAX('原始数据-增长前十'!V$5:V7)-1</x:f>
        <x:v>-0.00340136054421758</x:v>
      </x:c>
      <x:c r="AI7" s="30" t="n">
        <x:f>'原始数据-增长前十'!W7/MAX('原始数据-增长前十'!W$5:W7)-1</x:f>
        <x:v>-0.008094544277157167</x:v>
      </x:c>
      <x:c r="AJ7" s="31" t="n">
        <x:f>'原始数据-增长前十'!X7/MAX('原始数据-增长前十'!X$5:X7)-1</x:f>
        <x:v>-0.006751926313494416</x:v>
      </x:c>
    </x:row>
    <x:row r="8">
      <x:c r="A8" s="26" t="n">
        <x:v>46197</x:v>
      </x:c>
      <x:c r="B8" s="27" t="n">
        <x:v>0.9998</x:v>
      </x:c>
      <x:c r="C8" s="27" t="n">
        <x:v>1.7972133359</x:v>
      </x:c>
      <x:c r="D8" s="27" t="n">
        <x:v>1.8509309246</x:v>
      </x:c>
      <x:c r="E8" s="27" t="n">
        <x:v>2.8776635853</x:v>
      </x:c>
      <x:c r="F8" s="27" t="n">
        <x:v>2.5994250067</x:v>
      </x:c>
      <x:c r="G8" s="27" t="n">
        <x:v>2.0617083514</x:v>
      </x:c>
      <x:c r="H8" s="27" t="n">
        <x:v>2.7487299562</x:v>
      </x:c>
      <x:c r="I8" s="27" t="n">
        <x:v>1.2711</x:v>
      </x:c>
      <x:c r="J8" s="27" t="n">
        <x:v>2.068</x:v>
      </x:c>
      <x:c r="K8" s="27" t="n">
        <x:v>1.2336</x:v>
      </x:c>
      <x:c r="L8" s="27" t="n">
        <x:v>1.2649504876</x:v>
      </x:c>
      <x:c r="M8" s="28"/>
      <x:c r="N8" s="29" t="n">
        <x:f>'原始数据-增长前十'!B8/'原始数据-增长前十'!B$5</x:f>
        <x:v>0.9998</x:v>
      </x:c>
      <x:c r="O8" s="29" t="n">
        <x:f>'原始数据-增长前十'!C8/'原始数据-增长前十'!C$5</x:f>
        <x:v>0.9983065693345121</x:v>
      </x:c>
      <x:c r="P8" s="29" t="n">
        <x:f>'原始数据-增长前十'!D8/'原始数据-增长前十'!D$5</x:f>
        <x:v>1.0007013032637913</x:v>
      </x:c>
      <x:c r="Q8" s="29" t="n">
        <x:f>'原始数据-增长前十'!E8/'原始数据-增长前十'!E$5</x:f>
        <x:v>1.0023705791877686</x:v>
      </x:c>
      <x:c r="R8" s="29" t="n">
        <x:f>'原始数据-增长前十'!F8/'原始数据-增长前十'!F$5</x:f>
        <x:v>1.0045938424825154</x:v>
      </x:c>
      <x:c r="S8" s="29" t="n">
        <x:f>'原始数据-增长前十'!G8/'原始数据-增长前十'!G$5</x:f>
        <x:v>0.9994944388344753</x:v>
      </x:c>
      <x:c r="T8" s="29" t="n">
        <x:f>'原始数据-增长前十'!H8/'原始数据-增长前十'!H$5</x:f>
        <x:v>1.0018561484757948</x:v>
      </x:c>
      <x:c r="U8" s="29" t="n">
        <x:f>'原始数据-增长前十'!I8/'原始数据-增长前十'!I$5</x:f>
        <x:v>1.0072107765451663</x:v>
      </x:c>
      <x:c r="V8" s="29" t="n">
        <x:f>'原始数据-增长前十'!J8/'原始数据-增长前十'!J$5</x:f>
        <x:v>1.0068159688412854</x:v>
      </x:c>
      <x:c r="W8" s="29" t="n">
        <x:f>'原始数据-增长前十'!K8/'原始数据-增长前十'!K$5</x:f>
        <x:v>1.0014612761811983</x:v>
      </x:c>
      <x:c r="X8" s="29" t="n">
        <x:f>'原始数据-增长前十'!L8/'原始数据-增长前十'!L$5</x:f>
        <x:v>1</x:v>
      </x:c>
      <x:c r="Y8" s="28"/>
      <x:c r="Z8" s="30" t="n">
        <x:f>'原始数据-增长前十'!N8/MAX('原始数据-增长前十'!N$5:N8)-1</x:f>
        <x:v>-0.001099010890198704</x:v>
      </x:c>
      <x:c r="AA8" s="30" t="n">
        <x:f>'原始数据-增长前十'!O8/MAX('原始数据-增长前十'!O$5:O8)-1</x:f>
        <x:v>-0.00448378268378502</x:v>
      </x:c>
      <x:c r="AB8" s="30" t="n">
        <x:f>'原始数据-增长前十'!P8/MAX('原始数据-增长前十'!P$5:P8)-1</x:f>
        <x:v>-0.00029191965827524147</x:v>
      </x:c>
      <x:c r="AC8" s="30" t="n">
        <x:f>'原始数据-增长前十'!Q8/MAX('原始数据-增长前十'!Q$5:Q8)-1</x:f>
        <x:v>0</x:v>
      </x:c>
      <x:c r="AD8" s="30" t="n">
        <x:f>'原始数据-增长前十'!R8/MAX('原始数据-增长前十'!R$5:R8)-1</x:f>
        <x:v>-0.00004396763684200167</x:v>
      </x:c>
      <x:c r="AE8" s="30" t="n">
        <x:f>'原始数据-增长前十'!S8/MAX('原始数据-增长前十'!S$5:S8)-1</x:f>
        <x:v>-0.0033847039967169756</x:v>
      </x:c>
      <x:c r="AF8" s="30" t="n">
        <x:f>'原始数据-增长前十'!T8/MAX('原始数据-增长前十'!T$5:T8)-1</x:f>
        <x:v>-0.0023105360696893396</x:v>
      </x:c>
      <x:c r="AG8" s="30" t="n">
        <x:f>'原始数据-增长前十'!U8/MAX('原始数据-增长前十'!U$5:U8)-1</x:f>
        <x:v>0</x:v>
      </x:c>
      <x:c r="AH8" s="30" t="n">
        <x:f>'原始数据-增长前十'!V8/MAX('原始数据-增长前十'!V$5:V8)-1</x:f>
        <x:v>0</x:v>
      </x:c>
      <x:c r="AI8" s="30" t="n">
        <x:f>'原始数据-增长前十'!W8/MAX('原始数据-增长前十'!W$5:W8)-1</x:f>
        <x:v>-0.0014570179698882857</x:v>
      </x:c>
      <x:c r="AJ8" s="31" t="n">
        <x:f>'原始数据-增长前十'!X8/MAX('原始数据-增长前十'!X$5:X8)-1</x:f>
        <x:v>-0.0012709508559164417</x:v>
      </x:c>
    </x:row>
    <x:row r="9">
      <x:c r="A9" s="26" t="n">
        <x:v>46198</x:v>
      </x:c>
      <x:c r="B9" s="27" t="n">
        <x:v>1.0013</x:v>
      </x:c>
      <x:c r="C9" s="27" t="n">
        <x:v>1.8096180606</x:v>
      </x:c>
      <x:c r="D9" s="27" t="n">
        <x:v>1.8668210633</x:v>
      </x:c>
      <x:c r="E9" s="27" t="n">
        <x:v>2.8925623229</x:v>
      </x:c>
      <x:c r="F9" s="27" t="n">
        <x:v>2.6122261148</x:v>
      </x:c>
      <x:c r="G9" s="27" t="n">
        <x:v>2.0752653613</x:v>
      </x:c>
      <x:c r="H9" s="27" t="n">
        <x:v>2.7805586959</x:v>
      </x:c>
      <x:c r="I9" s="27" t="n">
        <x:v>1.2786</x:v>
      </x:c>
      <x:c r="J9" s="27" t="n">
        <x:v>2.079</x:v>
      </x:c>
      <x:c r="K9" s="27" t="n">
        <x:v>1.2411</x:v>
      </x:c>
      <x:c r="L9" s="27" t="n">
        <x:v>1.2739046428</x:v>
      </x:c>
      <x:c r="M9" s="28"/>
      <x:c r="N9" s="29" t="n">
        <x:f>'原始数据-增长前十'!B9/'原始数据-增长前十'!B$5</x:f>
        <x:v>1.0013</x:v>
      </x:c>
      <x:c r="O9" s="29" t="n">
        <x:f>'原始数据-增长前十'!C9/'原始数据-增长前十'!C$5</x:f>
        <x:v>1.0051970802779973</x:v>
      </x:c>
      <x:c r="P9" s="29" t="n">
        <x:f>'原始数据-增长前十'!D9/'原始数据-增长前十'!D$5</x:f>
        <x:v>1.0092922681100718</x:v>
      </x:c>
      <x:c r="Q9" s="29" t="n">
        <x:f>'原始数据-增长前十'!E9/'原始数据-增长前十'!E$5</x:f>
        <x:v>1.0075602255083345</x:v>
      </x:c>
      <x:c r="R9" s="29" t="n">
        <x:f>'原始数据-增长前十'!F9/'原始数据-增长前十'!F$5</x:f>
        <x:v>1.0095410574785497</x:v>
      </x:c>
      <x:c r="S9" s="29" t="n">
        <x:f>'原始数据-增长前十'!G9/'原始数据-增长前十'!G$5</x:f>
        <x:v>1.0060667340832543</x:v>
      </x:c>
      <x:c r="T9" s="29" t="n">
        <x:f>'原始数据-增长前十'!H9/'原始数据-增长前十'!H$5</x:f>
        <x:v>1.013457076567969</x:v>
      </x:c>
      <x:c r="U9" s="29" t="n">
        <x:f>'原始数据-增长前十'!I9/'原始数据-增长前十'!I$5</x:f>
        <x:v>1.0131537242472266</x:v>
      </x:c>
      <x:c r="V9" s="29" t="n">
        <x:f>'原始数据-增长前十'!J9/'原始数据-增长前十'!J$5</x:f>
        <x:v>1.0121713729308668</x:v>
      </x:c>
      <x:c r="W9" s="29" t="n">
        <x:f>'原始数据-增长前十'!K9/'原始数据-增长前十'!K$5</x:f>
        <x:v>1.007549926936191</x:v>
      </x:c>
      <x:c r="X9" s="29" t="n">
        <x:f>'原始数据-增长前十'!L9/'原始数据-增长前十'!L$5</x:f>
        <x:v>1.0070786606177677</x:v>
      </x:c>
      <x:c r="Y9" s="28"/>
      <x:c r="Z9" s="30" t="n">
        <x:f>'原始数据-增长前十'!N9/MAX('原始数据-增长前十'!N$5:N9)-1</x:f>
        <x:v>0</x:v>
      </x:c>
      <x:c r="AA9" s="30" t="n">
        <x:f>'原始数据-增长前十'!O9/MAX('原始数据-增长前十'!O$5:O9)-1</x:f>
        <x:v>0</x:v>
      </x:c>
      <x:c r="AB9" s="30" t="n">
        <x:f>'原始数据-增长前十'!P9/MAX('原始数据-增长前十'!P$5:P9)-1</x:f>
        <x:v>0</x:v>
      </x:c>
      <x:c r="AC9" s="30" t="n">
        <x:f>'原始数据-增长前十'!Q9/MAX('原始数据-增长前十'!Q$5:Q9)-1</x:f>
        <x:v>0</x:v>
      </x:c>
      <x:c r="AD9" s="30" t="n">
        <x:f>'原始数据-增长前十'!R9/MAX('原始数据-增长前十'!R$5:R9)-1</x:f>
        <x:v>0</x:v>
      </x:c>
      <x:c r="AE9" s="30" t="n">
        <x:f>'原始数据-增长前十'!S9/MAX('原始数据-增长前十'!S$5:S9)-1</x:f>
        <x:v>0</x:v>
      </x:c>
      <x:c r="AF9" s="30" t="n">
        <x:f>'原始数据-增长前十'!T9/MAX('原始数据-增长前十'!T$5:T9)-1</x:f>
        <x:v>0</x:v>
      </x:c>
      <x:c r="AG9" s="30" t="n">
        <x:f>'原始数据-增长前十'!U9/MAX('原始数据-增长前十'!U$5:U9)-1</x:f>
        <x:v>0</x:v>
      </x:c>
      <x:c r="AH9" s="30" t="n">
        <x:f>'原始数据-增长前十'!V9/MAX('原始数据-增长前十'!V$5:V9)-1</x:f>
        <x:v>0</x:v>
      </x:c>
      <x:c r="AI9" s="30" t="n">
        <x:f>'原始数据-增长前十'!W9/MAX('原始数据-增长前十'!W$5:W9)-1</x:f>
        <x:v>0</x:v>
      </x:c>
      <x:c r="AJ9" s="31" t="n">
        <x:f>'原始数据-增长前十'!X9/MAX('原始数据-增长前十'!X$5:X9)-1</x:f>
        <x:v>0</x:v>
      </x:c>
    </x:row>
    <x:row r="10">
      <x:c r="A10" s="26" t="n">
        <x:v>46199</x:v>
      </x:c>
      <x:c r="B10" s="27" t="n">
        <x:v>0.9989</x:v>
      </x:c>
      <x:c r="C10" s="27" t="n">
        <x:v>1.7934288436</x:v>
      </x:c>
      <x:c r="D10" s="27" t="n">
        <x:v>1.8602271962</x:v>
      </x:c>
      <x:c r="E10" s="27" t="n">
        <x:v>2.8886996872</x:v>
      </x:c>
      <x:c r="F10" s="27" t="n">
        <x:v>2.5898241757</x:v>
      </x:c>
      <x:c r="G10" s="27" t="n">
        <x:v>2.068114411</x:v>
      </x:c>
      <x:c r="H10" s="27" t="n">
        <x:v>2.7640077513</x:v>
      </x:c>
      <x:c r="I10" s="27" t="n">
        <x:v>1.2742</x:v>
      </x:c>
      <x:c r="J10" s="27" t="n">
        <x:v>2.068</x:v>
      </x:c>
      <x:c r="K10" s="27" t="n">
        <x:v>1.2346</x:v>
      </x:c>
      <x:c r="L10" s="27" t="n">
        <x:v>1.2690754355</x:v>
      </x:c>
      <x:c r="M10" s="28"/>
      <x:c r="N10" s="29" t="n">
        <x:f>'原始数据-增长前十'!B10/'原始数据-增长前十'!B$5</x:f>
        <x:v>0.9989</x:v>
      </x:c>
      <x:c r="O10" s="29" t="n">
        <x:f>'原始数据-增长前十'!C10/'原始数据-增长前十'!C$5</x:f>
        <x:v>0.9962043795447876</x:v>
      </x:c>
      <x:c r="P10" s="29" t="n">
        <x:f>'原始数据-增长前十'!D10/'原始数据-增长前十'!D$5</x:f>
        <x:v>1.0057273098975203</x:v>
      </x:c>
      <x:c r="Q10" s="29" t="n">
        <x:f>'原始数据-增长前十'!E10/'原始数据-增长前十'!E$5</x:f>
        <x:v>1.0062147616384163</x:v>
      </x:c>
      <x:c r="R10" s="29" t="n">
        <x:f>'原始数据-增长前十'!F10/'原始数据-增长前十'!F$5</x:f>
        <x:v>1.0008834312644745</x:v>
      </x:c>
      <x:c r="S10" s="29" t="n">
        <x:f>'原始数据-增长前十'!G10/'原始数据-增长前十'!G$5</x:f>
        <x:v>1.0026000288858976</x:v>
      </x:c>
      <x:c r="T10" s="29" t="n">
        <x:f>'原始数据-增长前十'!H10/'原始数据-增长前十'!H$5</x:f>
        <x:v>1.0074245939760755</x:v>
      </x:c>
      <x:c r="U10" s="29" t="n">
        <x:f>'原始数据-增长前十'!I10/'原始数据-增长前十'!I$5</x:f>
        <x:v>1.0096671949286846</x:v>
      </x:c>
      <x:c r="V10" s="29" t="n">
        <x:f>'原始数据-增长前十'!J10/'原始数据-增长前十'!J$5</x:f>
        <x:v>1.0068159688412854</x:v>
      </x:c>
      <x:c r="W10" s="29" t="n">
        <x:f>'原始数据-增长前十'!K10/'原始数据-增长前十'!K$5</x:f>
        <x:v>1.0022730962818638</x:v>
      </x:c>
      <x:c r="X10" s="29" t="n">
        <x:f>'原始数据-增长前十'!L10/'原始数据-增长前十'!L$5</x:f>
        <x:v>1.0032609560140384</x:v>
      </x:c>
      <x:c r="Y10" s="28"/>
      <x:c r="Z10" s="30" t="n">
        <x:f>'原始数据-增长前十'!N10/MAX('原始数据-增长前十'!N$5:N10)-1</x:f>
        <x:v>-0.002396884050734127</x:v>
      </x:c>
      <x:c r="AA10" s="30" t="n">
        <x:f>'原始数据-增长前十'!O10/MAX('原始数据-增长前十'!O$5:O10)-1</x:f>
        <x:v>-0.008946206579432792</x:v>
      </x:c>
      <x:c r="AB10" s="30" t="n">
        <x:f>'原始数据-增长前十'!P10/MAX('原始数据-增长前十'!P$5:P10)-1</x:f>
        <x:v>-0.0035321366517816477</x:v>
      </x:c>
      <x:c r="AC10" s="30" t="n">
        <x:f>'原始数据-增长前十'!Q10/MAX('原始数据-增长前十'!Q$5:Q10)-1</x:f>
        <x:v>-0.0013353681853006671</x:v>
      </x:c>
      <x:c r="AD10" s="30" t="n">
        <x:f>'原始数据-增长前十'!R10/MAX('原始数据-增长前十'!R$5:R10)-1</x:f>
        <x:v>-0.008575803975420904</x:v>
      </x:c>
      <x:c r="AE10" s="30" t="n">
        <x:f>'原始数据-增长前十'!S10/MAX('原始数据-增长前十'!S$5:S10)-1</x:f>
        <x:v>-0.0034458004423688626</x:v>
      </x:c>
      <x:c r="AF10" s="30" t="n">
        <x:f>'原始数据-增长前十'!T10/MAX('原始数据-增长前十'!T$5:T10)-1</x:f>
        <x:v>-0.005952380945744795</x:v>
      </x:c>
      <x:c r="AG10" s="30" t="n">
        <x:f>'原始数据-增长前十'!U10/MAX('原始数据-增长前十'!U$5:U10)-1</x:f>
        <x:v>-0.003441263882371315</x:v>
      </x:c>
      <x:c r="AH10" s="30" t="n">
        <x:f>'原始数据-增长前十'!V10/MAX('原始数据-增长前十'!V$5:V10)-1</x:f>
        <x:v>-0.005291005291005346</x:v>
      </x:c>
      <x:c r="AI10" s="30" t="n">
        <x:f>'原始数据-增长前十'!W10/MAX('原始数据-增长前十'!W$5:W10)-1</x:f>
        <x:v>-0.005237289501249021</x:v>
      </x:c>
      <x:c r="AJ10" s="31" t="n">
        <x:f>'原始数据-增长前十'!X10/MAX('原始数据-增长前十'!X$5:X10)-1</x:f>
        <x:v>-0.003790870319293038</x:v>
      </x:c>
    </x:row>
    <x:row r="11">
      <x:c r="A11" s="26" t="n">
        <x:v>46202</x:v>
      </x:c>
      <x:c r="B11" s="27" t="n">
        <x:v>1.0005</x:v>
      </x:c>
      <x:c r="C11" s="27" t="n">
        <x:v>1.7897494761</x:v>
      </x:c>
      <x:c r="D11" s="27" t="n">
        <x:v>1.8640105626</x:v>
      </x:c>
      <x:c r="E11" s="27" t="n">
        <x:v>2.8969767637</x:v>
      </x:c>
      <x:c r="F11" s="27" t="n">
        <x:v>2.5914243142</x:v>
      </x:c>
      <x:c r="G11" s="27" t="n">
        <x:v>2.0672205422</x:v>
      </x:c>
      <x:c r="H11" s="27" t="n">
        <x:v>2.7716466488</x:v>
      </x:c>
      <x:c r="I11" s="27" t="n">
        <x:v>1.2805</x:v>
      </x:c>
      <x:c r="J11" s="27" t="n">
        <x:v>2.078</x:v>
      </x:c>
      <x:c r="K11" s="27" t="n">
        <x:v>1.2365</x:v>
      </x:c>
      <x:c r="L11" s="27" t="n">
        <x:v>1.2776271568</x:v>
      </x:c>
      <x:c r="M11" s="28"/>
      <x:c r="N11" s="29" t="n">
        <x:f>'原始数据-增长前十'!B11/'原始数据-增长前十'!B$5</x:f>
        <x:v>1.0005</x:v>
      </x:c>
      <x:c r="O11" s="29" t="n">
        <x:f>'原始数据-增长前十'!C11/'原始数据-增长前十'!C$5</x:f>
        <x:v>0.9941605839236035</x:v>
      </x:c>
      <x:c r="P11" s="29" t="n">
        <x:f>'原始数据-增长前十'!D11/'原始数据-增长前十'!D$5</x:f>
        <x:v>1.007772777741234</x:v>
      </x:c>
      <x:c r="Q11" s="29" t="n">
        <x:f>'原始数据-增长前十'!E11/'原始数据-增长前十'!E$5</x:f>
        <x:v>1.0090978985025267</x:v>
      </x:c>
      <x:c r="R11" s="29" t="n">
        <x:f>'原始数据-增长前十'!F11/'原始数据-增长前十'!F$5</x:f>
        <x:v>1.001501833134148</x:v>
      </x:c>
      <x:c r="S11" s="29" t="n">
        <x:f>'原始数据-增长前十'!G11/'原始数据-增长前十'!G$5</x:f>
        <x:v>1.002166690730168</x:v>
      </x:c>
      <x:c r="T11" s="29" t="n">
        <x:f>'原始数据-增长前十'!H11/'原始数据-增长前十'!H$5</x:f>
        <x:v>1.010208816707992</x:v>
      </x:c>
      <x:c r="U11" s="29" t="n">
        <x:f>'原始数据-增长前十'!I11/'原始数据-增长前十'!I$5</x:f>
        <x:v>1.0146592709984152</x:v>
      </x:c>
      <x:c r="V11" s="29" t="n">
        <x:f>'原始数据-增长前十'!J11/'原始数据-增长前十'!J$5</x:f>
        <x:v>1.011684518013632</x:v>
      </x:c>
      <x:c r="W11" s="29" t="n">
        <x:f>'原始数据-增长前十'!K11/'原始数据-增长前十'!K$5</x:f>
        <x:v>1.0038155544731286</x:v>
      </x:c>
      <x:c r="X11" s="29" t="n">
        <x:f>'原始数据-增长前十'!L11/'原始数据-增长前十'!L$5</x:f>
        <x:v>1.0100214746144345</x:v>
      </x:c>
      <x:c r="Y11" s="28"/>
      <x:c r="Z11" s="30" t="n">
        <x:f>'原始数据-增长前十'!N11/MAX('原始数据-增长前十'!N$5:N11)-1</x:f>
        <x:v>-0.0007989613502448201</x:v>
      </x:c>
      <x:c r="AA11" s="30" t="n">
        <x:f>'原始数据-增长前十'!O11/MAX('原始数据-增长前十'!O$5:O11)-1</x:f>
        <x:v>-0.0109794353474858</x:v>
      </x:c>
      <x:c r="AB11" s="30" t="n">
        <x:f>'原始数据-增长前十'!P11/MAX('原始数据-增长前十'!P$5:P11)-1</x:f>
        <x:v>-0.0015055008512876444</x:v>
      </x:c>
      <x:c r="AC11" s="30" t="n">
        <x:f>'原始数据-增长前十'!Q11/MAX('原始数据-增长前十'!Q$5:Q11)-1</x:f>
        <x:v>0</x:v>
      </x:c>
      <x:c r="AD11" s="30" t="n">
        <x:f>'原始数据-增长前十'!R11/MAX('原始数据-增长前十'!R$5:R11)-1</x:f>
        <x:v>-0.007963246551339398</x:v>
      </x:c>
      <x:c r="AE11" s="30" t="n">
        <x:f>'原始数据-增长前十'!S11/MAX('原始数据-增长前十'!S$5:S11)-1</x:f>
        <x:v>-0.003876525503688444</x:v>
      </x:c>
      <x:c r="AF11" s="30" t="n">
        <x:f>'原始数据-增长前十'!T11/MAX('原始数据-增长前十'!T$5:T11)-1</x:f>
        <x:v>-0.0032051282043212836</x:v>
      </x:c>
      <x:c r="AG11" s="30" t="n">
        <x:f>'原始数据-增长前十'!U11/MAX('原始数据-增长前十'!U$5:U11)-1</x:f>
        <x:v>0</x:v>
      </x:c>
      <x:c r="AH11" s="30" t="n">
        <x:f>'原始数据-增长前十'!V11/MAX('原始数据-增长前十'!V$5:V11)-1</x:f>
        <x:v>-0.0004810004810006374</x:v>
      </x:c>
      <x:c r="AI11" s="30" t="n">
        <x:f>'原始数据-增长前十'!W11/MAX('原始数据-增长前十'!W$5:W11)-1</x:f>
        <x:v>-0.0037063894931916863</x:v>
      </x:c>
      <x:c r="AJ11" s="31" t="n">
        <x:f>'原始数据-增长前十'!X11/MAX('原始数据-增长前十'!X$5:X11)-1</x:f>
        <x:v>0</x:v>
      </x:c>
    </x:row>
    <x:row r="12">
      <x:c r="A12" s="26" t="n">
        <x:v>46203</x:v>
      </x:c>
      <x:c r="B12" s="27" t="n">
        <x:v>1.0027</x:v>
      </x:c>
      <x:c r="C12" s="27" t="n">
        <x:v>1.8056233187</x:v>
      </x:c>
      <x:c r="D12" s="27" t="n">
        <x:v>1.8777387777</x:v>
      </x:c>
      <x:c r="E12" s="27" t="n">
        <x:v>2.9091164759</x:v>
      </x:c>
      <x:c r="F12" s="27" t="n">
        <x:v>2.6063970388</x:v>
      </x:c>
      <x:c r="G12" s="27" t="n">
        <x:v>2.0694552142</x:v>
      </x:c>
      <x:c r="H12" s="27" t="n">
        <x:v>2.7881975934</x:v>
      </x:c>
      <x:c r="I12" s="27" t="n">
        <x:v>1.2846</x:v>
      </x:c>
      <x:c r="J12" s="27" t="n">
        <x:v>2.089</x:v>
      </x:c>
      <x:c r="K12" s="27" t="n">
        <x:v>1.2422</x:v>
      </x:c>
      <x:c r="L12" s="27" t="n">
        <x:v>1.2837642744</x:v>
      </x:c>
      <x:c r="M12" s="28"/>
      <x:c r="N12" s="29" t="n">
        <x:f>'原始数据-增长前十'!B12/'原始数据-增长前十'!B$5</x:f>
        <x:v>1.0027</x:v>
      </x:c>
      <x:c r="O12" s="29" t="n">
        <x:f>'原始数据-增长前十'!C12/'原始数据-增长前十'!C$5</x:f>
        <x:v>1.0029781021511912</x:v>
      </x:c>
      <x:c r="P12" s="29" t="n">
        <x:f>'原始数据-增长前十'!D12/'原始数据-增长前十'!D$5</x:f>
        <x:v>1.0151949038505725</x:v>
      </x:c>
      <x:c r="Q12" s="29" t="n">
        <x:f>'原始数据-增长前十'!E12/'原始数据-增长前十'!E$5</x:f>
        <x:v>1.0133264992365554</x:v>
      </x:c>
      <x:c r="R12" s="29" t="n">
        <x:f>'原始数据-增长前十'!F12/'原始数据-增长前十'!F$5</x:f>
        <x:v>1.007288307796651</x:v>
      </x:c>
      <x:c r="S12" s="29" t="n">
        <x:f>'原始数据-增长前十'!G12/'原始数据-增长前十'!G$5</x:f>
        <x:v>1.0032500361194918</x:v>
      </x:c>
      <x:c r="T12" s="29" t="n">
        <x:f>'原始数据-增长前十'!H12/'原始数据-增长前十'!H$5</x:f>
        <x:v>1.0162412992998853</x:v>
      </x:c>
      <x:c r="U12" s="29" t="n">
        <x:f>'原始数据-增长前十'!I12/'原始数据-增长前十'!I$5</x:f>
        <x:v>1.0179080824088749</x:v>
      </x:c>
      <x:c r="V12" s="29" t="n">
        <x:f>'原始数据-增长前十'!J12/'原始数据-增长前十'!J$5</x:f>
        <x:v>1.0170399221032134</x:v>
      </x:c>
      <x:c r="W12" s="29" t="n">
        <x:f>'原始数据-增长前十'!K12/'原始数据-增长前十'!K$5</x:f>
        <x:v>1.0084429290469232</x:v>
      </x:c>
      <x:c r="X12" s="29" t="n">
        <x:f>'原始数据-增长前十'!L12/'原始数据-增长前十'!L$5</x:f>
        <x:v>1.0148731408734388</x:v>
      </x:c>
      <x:c r="Y12" s="28"/>
      <x:c r="Z12" s="30" t="n">
        <x:f>'原始数据-增长前十'!N12/MAX('原始数据-增长前十'!N$5:N12)-1</x:f>
        <x:v>0</x:v>
      </x:c>
      <x:c r="AA12" s="30" t="n">
        <x:f>'原始数据-增长前十'!O12/MAX('原始数据-增长前十'!O$5:O12)-1</x:f>
        <x:v>-0.0022075055432835278</x:v>
      </x:c>
      <x:c r="AB12" s="30" t="n">
        <x:f>'原始数据-增长前十'!P12/MAX('原始数据-增长前十'!P$5:P12)-1</x:f>
        <x:v>0</x:v>
      </x:c>
      <x:c r="AC12" s="30" t="n">
        <x:f>'原始数据-增长前十'!Q12/MAX('原始数据-增长前十'!Q$5:Q12)-1</x:f>
        <x:v>0</x:v>
      </x:c>
      <x:c r="AD12" s="30" t="n">
        <x:f>'原始数据-增长前十'!R12/MAX('原始数据-增长前十'!R$5:R12)-1</x:f>
        <x:v>-0.0022314592013971124</x:v>
      </x:c>
      <x:c r="AE12" s="30" t="n">
        <x:f>'原始数据-增长前十'!S12/MAX('原始数据-增长前十'!S$5:S12)-1</x:f>
        <x:v>-0.002799712850389713</x:v>
      </x:c>
      <x:c r="AF12" s="30" t="n">
        <x:f>'原始数据-增长前十'!T12/MAX('原始数据-增长前十'!T$5:T12)-1</x:f>
        <x:v>0</x:v>
      </x:c>
      <x:c r="AG12" s="30" t="n">
        <x:f>'原始数据-增长前十'!U12/MAX('原始数据-增长前十'!U$5:U12)-1</x:f>
        <x:v>0</x:v>
      </x:c>
      <x:c r="AH12" s="30" t="n">
        <x:f>'原始数据-增长前十'!V12/MAX('原始数据-增长前十'!V$5:V12)-1</x:f>
        <x:v>0</x:v>
      </x:c>
      <x:c r="AI12" s="30" t="n">
        <x:f>'原始数据-增长前十'!W12/MAX('原始数据-增长前十'!W$5:W12)-1</x:f>
        <x:v>0</x:v>
      </x:c>
      <x:c r="AJ12" s="31" t="n">
        <x:f>'原始数据-增长前十'!X12/MAX('原始数据-增长前十'!X$5:X12)-1</x:f>
        <x:v>0</x:v>
      </x:c>
    </x:row>
    <x:row r="13">
      <x:c r="A13" s="26" t="n">
        <x:v>46204</x:v>
      </x:c>
      <x:c r="B13" s="27" t="n">
        <x:v>1</x:v>
      </x:c>
      <x:c r="C13" s="27" t="n">
        <x:v>1.7886982282</x:v>
      </x:c>
      <x:c r="D13" s="27" t="n">
        <x:v>1.8715772953</x:v>
      </x:c>
      <x:c r="E13" s="27" t="n">
        <x:v>2.893114128</x:v>
      </x:c>
      <x:c r="F13" s="27" t="n">
        <x:v>2.5974819814</x:v>
      </x:c>
      <x:c r="G13" s="27" t="n">
        <x:v>2.0667736078</x:v>
      </x:c>
      <x:c r="H13" s="27" t="n">
        <x:v>2.7792855463</x:v>
      </x:c>
      <x:c r="I13" s="27" t="n">
        <x:v>1.2801</x:v>
      </x:c>
      <x:c r="J13" s="27" t="n">
        <x:v>2.082</x:v>
      </x:c>
      <x:c r="K13" s="27" t="n">
        <x:v>1.235</x:v>
      </x:c>
      <x:c r="L13" s="27" t="n">
        <x:v>1.2784320247</x:v>
      </x:c>
      <x:c r="M13" s="28"/>
      <x:c r="N13" s="29" t="n">
        <x:f>'原始数据-增长前十'!B13/'原始数据-增长前十'!B$5</x:f>
        <x:v>1</x:v>
      </x:c>
      <x:c r="O13" s="29" t="n">
        <x:f>'原始数据-增长前十'!C13/'原始数据-增长前十'!C$5</x:f>
        <x:v>0.9935766422937449</x:v>
      </x:c>
      <x:c r="P13" s="29" t="n">
        <x:f>'原始数据-增长前十'!D13/'原始数据-增长前十'!D$5</x:f>
        <x:v>1.0118637133745965</x:v>
      </x:c>
      <x:c r="Q13" s="29" t="n">
        <x:f>'原始数据-增长前十'!E13/'原始数据-增长前十'!E$5</x:f>
        <x:v>1.0077524346326086</x:v>
      </x:c>
      <x:c r="R13" s="29" t="n">
        <x:f>'原始数据-增长前十'!F13/'原始数据-增长前十'!F$5</x:f>
        <x:v>1.0038429259347648</x:v>
      </x:c>
      <x:c r="S13" s="29" t="n">
        <x:f>'原始数据-增长前十'!G13/'原始数据-增长前十'!G$5</x:f>
        <x:v>1.0019500216523036</x:v>
      </x:c>
      <x:c r="T13" s="29" t="n">
        <x:f>'原始数据-增长前十'!H13/'原始数据-增长前十'!H$5</x:f>
        <x:v>1.0129930394399083</x:v>
      </x:c>
      <x:c r="U13" s="29" t="n">
        <x:f>'原始数据-增长前十'!I13/'原始数据-增长前十'!I$5</x:f>
        <x:v>1.0143423137876386</x:v>
      </x:c>
      <x:c r="V13" s="29" t="n">
        <x:f>'原始数据-增长前十'!J13/'原始数据-增长前十'!J$5</x:f>
        <x:v>1.0136319376825706</x:v>
      </x:c>
      <x:c r="W13" s="29" t="n">
        <x:f>'原始数据-增长前十'!K13/'原始数据-增长前十'!K$5</x:f>
        <x:v>1.0025978243221303</x:v>
      </x:c>
      <x:c r="X13" s="29" t="n">
        <x:f>'原始数据-增长前十'!L13/'原始数据-增长前十'!L$5</x:f>
        <x:v>1.010657758728232</x:v>
      </x:c>
      <x:c r="Y13" s="28"/>
      <x:c r="Z13" s="30" t="n">
        <x:f>'原始数据-增长前十'!N13/MAX('原始数据-增长前十'!N$5:N13)-1</x:f>
        <x:v>-0.002692729629998891</x:v>
      </x:c>
      <x:c r="AA13" s="30" t="n">
        <x:f>'原始数据-增长前十'!O13/MAX('原始数据-增长前十'!O$5:O13)-1</x:f>
        <x:v>-0.011560357876326699</x:v>
      </x:c>
      <x:c r="AB13" s="30" t="n">
        <x:f>'原始数据-增长前十'!P13/MAX('原始数据-增长前十'!P$5:P13)-1</x:f>
        <x:v>-0.003281330967424112</x:v>
      </x:c>
      <x:c r="AC13" s="30" t="n">
        <x:f>'原始数据-增长前十'!Q13/MAX('原始数据-增长前十'!Q$5:Q13)-1</x:f>
        <x:v>-0.005500758746708301</x:v>
      </x:c>
      <x:c r="AD13" s="30" t="n">
        <x:f>'原始数据-增长前十'!R13/MAX('原始数据-增长前十'!R$5:R13)-1</x:f>
        <x:v>-0.005644279151971077</x:v>
      </x:c>
      <x:c r="AE13" s="30" t="n">
        <x:f>'原始数据-增长前十'!S13/MAX('原始数据-增长前十'!S$5:S13)-1</x:f>
        <x:v>-0.004091888034347901</x:v>
      </x:c>
      <x:c r="AF13" s="30" t="n">
        <x:f>'原始数据-增长前十'!T13/MAX('原始数据-增长前十'!T$5:T13)-1</x:f>
        <x:v>-0.0031963470311773268</x:v>
      </x:c>
      <x:c r="AG13" s="30" t="n">
        <x:f>'原始数据-增长前十'!U13/MAX('原始数据-增长前十'!U$5:U13)-1</x:f>
        <x:v>-0.003503035964502632</x:v>
      </x:c>
      <x:c r="AH13" s="30" t="n">
        <x:f>'原始数据-增长前十'!V13/MAX('原始数据-增长前十'!V$5:V13)-1</x:f>
        <x:v>-0.00335088559119201</x:v>
      </x:c>
      <x:c r="AI13" s="30" t="n">
        <x:f>'原始数据-增长前十'!W13/MAX('原始数据-增长前十'!W$5:W13)-1</x:f>
        <x:v>-0.005796168088874509</x:v>
      </x:c>
      <x:c r="AJ13" s="31" t="n">
        <x:f>'原始数据-增长前十'!X13/MAX('原始数据-增长前十'!X$5:X13)-1</x:f>
        <x:v>-0.004153604993013205</x:v>
      </x:c>
    </x:row>
    <x:row r="14">
      <x:c r="A14" s="26" t="n">
        <x:v>46205</x:v>
      </x:c>
      <x:c r="B14" s="27" t="n">
        <x:v>0.9942</x:v>
      </x:c>
      <x:c r="C14" s="27" t="n">
        <x:v>1.7635734045</x:v>
      </x:c>
      <x:c r="D14" s="27" t="n">
        <x:v>1.8454180193</x:v>
      </x:c>
      <x:c r="E14" s="27" t="n">
        <x:v>2.8520966157</x:v>
      </x:c>
      <x:c r="F14" s="27" t="n">
        <x:v>2.5682223058</x:v>
      </x:c>
      <x:c r="G14" s="27" t="n">
        <x:v>2.0533655761</x:v>
      </x:c>
      <x:c r="H14" s="27" t="n">
        <x:v>2.7334521612</x:v>
      </x:c>
      <x:c r="I14" s="27" t="n">
        <x:v>1.2704</x:v>
      </x:c>
      <x:c r="J14" s="27" t="n">
        <x:v>2.063</x:v>
      </x:c>
      <x:c r="K14" s="27" t="n">
        <x:v>1.2194</x:v>
      </x:c>
      <x:c r="L14" s="27" t="n">
        <x:v>1.2650510961</x:v>
      </x:c>
      <x:c r="M14" s="28"/>
      <x:c r="N14" s="29" t="n">
        <x:f>'原始数据-增长前十'!B14/'原始数据-增长前十'!B$5</x:f>
        <x:v>0.9942</x:v>
      </x:c>
      <x:c r="O14" s="29" t="n">
        <x:f>'原始数据-增长前十'!C14/'原始数据-增长前十'!C$5</x:f>
        <x:v>0.9796204379567006</x:v>
      </x:c>
      <x:c r="P14" s="29" t="n">
        <x:f>'原始数据-增长前十'!D14/'原始数据-增长前十'!D$5</x:f>
        <x:v>0.9977207644197108</x:v>
      </x:c>
      <x:c r="Q14" s="29" t="n">
        <x:f>'原始数据-增长前十'!E14/'原始数据-增长前十'!E$5</x:f>
        <x:v>0.9934648897746831</x:v>
      </x:c>
      <x:c r="R14" s="29" t="n">
        <x:f>'原始数据-增长前十'!F14/'原始数据-增长前十'!F$5</x:f>
        <x:v>0.9925350059659128</x:v>
      </x:c>
      <x:c r="S14" s="29" t="n">
        <x:f>'原始数据-增长前十'!G14/'原始数据-增长前十'!G$5</x:f>
        <x:v>0.9954499494617989</x:v>
      </x:c>
      <x:c r="T14" s="29" t="n">
        <x:f>'原始数据-增长前十'!H14/'原始数据-增长前十'!H$5</x:f>
        <x:v>0.9962877030119622</x:v>
      </x:c>
      <x:c r="U14" s="29" t="n">
        <x:f>'原始数据-增长前十'!I14/'原始数据-增长前十'!I$5</x:f>
        <x:v>1.0066561014263073</x:v>
      </x:c>
      <x:c r="V14" s="29" t="n">
        <x:f>'原始数据-增长前十'!J14/'原始数据-增长前十'!J$5</x:f>
        <x:v>1.004381694255112</x:v>
      </x:c>
      <x:c r="W14" s="29" t="n">
        <x:f>'原始数据-增长前十'!K14/'原始数据-增长前十'!K$5</x:f>
        <x:v>0.9899334307517454</x:v>
      </x:c>
      <x:c r="X14" s="29" t="n">
        <x:f>'原始数据-增长前十'!L14/'原始数据-增长前十'!L$5</x:f>
        <x:v>1.0000795355241066</x:v>
      </x:c>
      <x:c r="Y14" s="28"/>
      <x:c r="Z14" s="30" t="n">
        <x:f>'原始数据-增长前十'!N14/MAX('原始数据-增长前十'!N$5:N14)-1</x:f>
        <x:v>-0.00847711179814492</x:v>
      </x:c>
      <x:c r="AA14" s="30" t="n">
        <x:f>'原始数据-增长前十'!O14/MAX('原始数据-增长前十'!O$5:O14)-1</x:f>
        <x:v>-0.02544440570223616</x:v>
      </x:c>
      <x:c r="AB14" s="30" t="n">
        <x:f>'原始数据-增长前十'!P14/MAX('原始数据-增长前十'!P$5:P14)-1</x:f>
        <x:v>-0.017212595694268584</x:v>
      </x:c>
      <x:c r="AC14" s="30" t="n">
        <x:f>'原始数据-增长前十'!Q14/MAX('原始数据-增长前十'!Q$5:Q14)-1</x:f>
        <x:v>-0.019600404683817296</x:v>
      </x:c>
      <x:c r="AD14" s="30" t="n">
        <x:f>'原始数据-增长前十'!R14/MAX('原始数据-增长前十'!R$5:R14)-1</x:f>
        <x:v>-0.0168453292579418</x:v>
      </x:c>
      <x:c r="AE14" s="30" t="n">
        <x:f>'原始数据-增长前十'!S14/MAX('原始数据-增长前十'!S$5:S14)-1</x:f>
        <x:v>-0.010552763809579369</x:v>
      </x:c>
      <x:c r="AF14" s="30" t="n">
        <x:f>'原始数据-增长前十'!T14/MAX('原始数据-增长前十'!T$5:T14)-1</x:f>
        <x:v>-0.019634703196641956</x:v>
      </x:c>
      <x:c r="AG14" s="30" t="n">
        <x:f>'原始数据-增长前十'!U14/MAX('原始数据-增长前十'!U$5:U14)-1</x:f>
        <x:v>-0.011054024599097212</x:v>
      </x:c>
      <x:c r="AH14" s="30" t="n">
        <x:f>'原始数据-增长前十'!V14/MAX('原始数据-增长前十'!V$5:V14)-1</x:f>
        <x:v>-0.012446146481570164</x:v>
      </x:c>
      <x:c r="AI14" s="30" t="n">
        <x:f>'原始数据-增长前十'!W14/MAX('原始数据-增长前十'!W$5:W14)-1</x:f>
        <x:v>-0.01835453228143613</x:v>
      </x:c>
      <x:c r="AJ14" s="31" t="n">
        <x:f>'原始数据-增长前十'!X14/MAX('原始数据-增长前十'!X$5:X14)-1</x:f>
        <x:v>-0.014576802512085707</x:v>
      </x:c>
    </x:row>
    <x:row r="15">
      <x:c r="A15" s="26" t="n">
        <x:v>46206</x:v>
      </x:c>
      <x:c r="B15" s="27" t="n">
        <x:v>0.995</x:v>
      </x:c>
      <x:c r="C15" s="27" t="n">
        <x:v>1.7666220232</x:v>
      </x:c>
      <x:c r="D15" s="27" t="n">
        <x:v>1.8452018269</x:v>
      </x:c>
      <x:c r="E15" s="27" t="n">
        <x:v>2.8563271215</x:v>
      </x:c>
      <x:c r="F15" s="27" t="n">
        <x:v>2.5694795575</x:v>
      </x:c>
      <x:c r="G15" s="27" t="n">
        <x:v>2.052173751</x:v>
      </x:c>
      <x:c r="H15" s="27" t="n">
        <x:v>2.7321790116</x:v>
      </x:c>
      <x:c r="I15" s="27" t="n">
        <x:v>1.2695</x:v>
      </x:c>
      <x:c r="J15" s="27" t="n">
        <x:v>2.063</x:v>
      </x:c>
      <x:c r="K15" s="27" t="n">
        <x:v>1.2188</x:v>
      </x:c>
      <x:c r="L15" s="27" t="n">
        <x:v>1.2631395349</x:v>
      </x:c>
      <x:c r="M15" s="28"/>
      <x:c r="N15" s="29" t="n">
        <x:f>'原始数据-增长前十'!B15/'原始数据-增长前十'!B$5</x:f>
        <x:v>0.995</x:v>
      </x:c>
      <x:c r="O15" s="29" t="n">
        <x:f>'原始数据-增长前十'!C15/'原始数据-增长前十'!C$5</x:f>
        <x:v>0.981313868566641</x:v>
      </x:c>
      <x:c r="P15" s="29" t="n">
        <x:f>'原始数据-增长前十'!D15/'原始数据-增长前十'!D$5</x:f>
        <x:v>0.9976038805243906</x:v>
      </x:c>
      <x:c r="Q15" s="29" t="n">
        <x:f>'原始数据-增长前十'!E15/'原始数据-增长前十'!E$5</x:f>
        <x:v>0.9949384930723949</x:v>
      </x:c>
      <x:c r="R15" s="29" t="n">
        <x:f>'原始数据-增长前十'!F15/'原始数据-增长前十'!F$5</x:f>
        <x:v>0.993020893157509</x:v>
      </x:c>
      <x:c r="S15" s="29" t="n">
        <x:f>'原始数据-增长前十'!G15/'原始数据-增长前十'!G$5</x:f>
        <x:v>0.994872165238</x:v>
      </x:c>
      <x:c r="T15" s="29" t="n">
        <x:f>'原始数据-增长前十'!H15/'原始数据-增长前十'!H$5</x:f>
        <x:v>0.9958236658839016</x:v>
      </x:c>
      <x:c r="U15" s="29" t="n">
        <x:f>'原始数据-增长前十'!I15/'原始数据-增长前十'!I$5</x:f>
        <x:v>1.0059429477020603</x:v>
      </x:c>
      <x:c r="V15" s="29" t="n">
        <x:f>'原始数据-增长前十'!J15/'原始数据-增长前十'!J$5</x:f>
        <x:v>1.004381694255112</x:v>
      </x:c>
      <x:c r="W15" s="29" t="n">
        <x:f>'原始数据-增长前十'!K15/'原始数据-增长前十'!K$5</x:f>
        <x:v>0.9894463386913461</x:v>
      </x:c>
      <x:c r="X15" s="29" t="n">
        <x:f>'原始数据-增长前十'!L15/'原始数据-增长前十'!L$5</x:f>
        <x:v>0.9985683608032471</x:v>
      </x:c>
      <x:c r="Y15" s="28"/>
      <x:c r="Z15" s="30" t="n">
        <x:f>'原始数据-增长前十'!N15/MAX('原始数据-增长前十'!N$5:N15)-1</x:f>
        <x:v>-0.007679265981848982</x:v>
      </x:c>
      <x:c r="AA15" s="30" t="n">
        <x:f>'原始数据-增长前十'!O15/MAX('原始数据-增长前十'!O$5:O15)-1</x:f>
        <x:v>-0.02375973048464397</x:v>
      </x:c>
      <x:c r="AB15" s="30" t="n">
        <x:f>'原始数据-增长前十'!P15/MAX('原始数据-增长前十'!P$5:P15)-1</x:f>
        <x:v>-0.017327730132864372</x:v>
      </x:c>
      <x:c r="AC15" s="30" t="n">
        <x:f>'原始数据-增长前十'!Q15/MAX('原始数据-增长前十'!Q$5:Q15)-1</x:f>
        <x:v>-0.018146181095643032</x:v>
      </x:c>
      <x:c r="AD15" s="30" t="n">
        <x:f>'原始数据-增长前十'!R15/MAX('原始数据-增长前十'!R$5:R15)-1</x:f>
        <x:v>-0.016364034130817662</x:v>
      </x:c>
      <x:c r="AE15" s="30" t="n">
        <x:f>'原始数据-增长前十'!S15/MAX('原始数据-增长前十'!S$5:S15)-1</x:f>
        <x:v>-0.011127063907400703</x:v>
      </x:c>
      <x:c r="AF15" s="30" t="n">
        <x:f>'原始数据-增长前十'!T15/MAX('原始数据-增长前十'!T$5:T15)-1</x:f>
        <x:v>-0.020091324206219396</x:v>
      </x:c>
      <x:c r="AG15" s="30" t="n">
        <x:f>'原始数据-增长前十'!U15/MAX('原始数据-增长前十'!U$5:U15)-1</x:f>
        <x:v>-0.011754631791997538</x:v>
      </x:c>
      <x:c r="AH15" s="30" t="n">
        <x:f>'原始数据-增长前十'!V15/MAX('原始数据-增长前十'!V$5:V15)-1</x:f>
        <x:v>-0.012446146481570164</x:v>
      </x:c>
      <x:c r="AI15" s="30" t="n">
        <x:f>'原始数据-增长前十'!W15/MAX('原始数据-增长前十'!W$5:W15)-1</x:f>
        <x:v>-0.018837546288842266</x:v>
      </x:c>
      <x:c r="AJ15" s="31" t="n">
        <x:f>'原始数据-增长前十'!X15/MAX('原始数据-增长前十'!X$5:X15)-1</x:f>
        <x:v>-0.01606583070684009</x:v>
      </x:c>
    </x:row>
    <x:row r="16">
      <x:c r="A16" s="26" t="n">
        <x:v>46209</x:v>
      </x:c>
      <x:c r="B16" s="27" t="n">
        <x:v>0.9941</x:v>
      </x:c>
      <x:c r="C16" s="27" t="n">
        <x:v>1.7648349019</x:v>
      </x:c>
      <x:c r="D16" s="27" t="n">
        <x:v>1.8409860758</x:v>
      </x:c>
      <x:c r="E16" s="27" t="n">
        <x:v>2.8454749546</x:v>
      </x:c>
      <x:c r="F16" s="27" t="n">
        <x:v>2.5750800423</x:v>
      </x:c>
      <x:c r="G16" s="27" t="n">
        <x:v>2.0468105383</x:v>
      </x:c>
      <x:c r="H16" s="27" t="n">
        <x:v>2.7334521612</x:v>
      </x:c>
      <x:c r="I16" s="27" t="n">
        <x:v>1.2737</x:v>
      </x:c>
      <x:c r="J16" s="27" t="n">
        <x:v>2.071</x:v>
      </x:c>
      <x:c r="K16" s="27" t="n">
        <x:v>1.2153</x:v>
      </x:c>
      <x:c r="L16" s="27" t="n">
        <x:v>1.2612279737</x:v>
      </x:c>
      <x:c r="M16" s="28"/>
      <x:c r="N16" s="29" t="n">
        <x:f>'原始数据-增长前十'!B16/'原始数据-增长前十'!B$5</x:f>
        <x:v>0.9941</x:v>
      </x:c>
      <x:c r="O16" s="29" t="n">
        <x:f>'原始数据-增长前十'!C16/'原始数据-增长前十'!C$5</x:f>
        <x:v>0.980321167868093</x:v>
      </x:c>
      <x:c r="P16" s="29" t="n">
        <x:f>'原始数据-增长前十'!D16/'原始数据-增长前十'!D$5</x:f>
        <x:v>0.9953246449441017</x:v>
      </x:c>
      <x:c r="Q16" s="29" t="n">
        <x:f>'原始数据-增长前十'!E16/'原始数据-增长前十'!E$5</x:f>
        <x:v>0.9911583803182277</x:v>
      </x:c>
      <x:c r="R16" s="29" t="n">
        <x:f>'原始数据-增长前十'!F16/'原始数据-增长前十'!F$5</x:f>
        <x:v>0.9951852997206896</x:v>
      </x:c>
      <x:c r="S16" s="29" t="n">
        <x:f>'原始数据-增长前十'!G16/'原始数据-增长前十'!G$5</x:f>
        <x:v>0.9922721363521023</x:v>
      </x:c>
      <x:c r="T16" s="29" t="n">
        <x:f>'原始数据-增长前十'!H16/'原始数据-增长前十'!H$5</x:f>
        <x:v>0.9962877030119622</x:v>
      </x:c>
      <x:c r="U16" s="29" t="n">
        <x:f>'原始数据-增长前十'!I16/'原始数据-增长前十'!I$5</x:f>
        <x:v>1.009270998415214</x:v>
      </x:c>
      <x:c r="V16" s="29" t="n">
        <x:f>'原始数据-增长前十'!J16/'原始数据-增长前十'!J$5</x:f>
        <x:v>1.0082765335929895</x:v>
      </x:c>
      <x:c r="W16" s="29" t="n">
        <x:f>'原始数据-增长前十'!K16/'原始数据-增长前十'!K$5</x:f>
        <x:v>0.9866049683390161</x:v>
      </x:c>
      <x:c r="X16" s="29" t="n">
        <x:f>'原始数据-增长前十'!L16/'原始数据-增长前十'!L$5</x:f>
        <x:v>0.9970571860823876</x:v>
      </x:c>
      <x:c r="Y16" s="28"/>
      <x:c r="Z16" s="30" t="n">
        <x:f>'原始数据-增长前十'!N16/MAX('原始数据-增长前十'!N$5:N16)-1</x:f>
        <x:v>-0.008576842525181982</x:v>
      </x:c>
      <x:c r="AA16" s="30" t="n">
        <x:f>'原始数据-增长前十'!O16/MAX('原始数据-增长前十'!O$5:O16)-1</x:f>
        <x:v>-0.02474729871183534</x:v>
      </x:c>
      <x:c r="AB16" s="30" t="n">
        <x:f>'原始数据-增长前十'!P16/MAX('原始数据-增长前十'!P$5:P16)-1</x:f>
        <x:v>-0.01957285131269293</x:v>
      </x:c>
      <x:c r="AC16" s="30" t="n">
        <x:f>'原始数据-增长前十'!Q16/MAX('原始数据-增长前十'!Q$5:Q16)-1</x:f>
        <x:v>-0.02187658068256304</x:v>
      </x:c>
      <x:c r="AD16" s="30" t="n">
        <x:f>'原始数据-增长前十'!R16/MAX('原始数据-增长前十'!R$5:R16)-1</x:f>
        <x:v>-0.01422008312739198</x:v>
      </x:c>
      <x:c r="AE16" s="30" t="n">
        <x:f>'原始数据-增长前十'!S16/MAX('原始数据-增长前十'!S$5:S16)-1</x:f>
        <x:v>-0.013711414227130625</x:v>
      </x:c>
      <x:c r="AF16" s="30" t="n">
        <x:f>'原始数据-增长前十'!T16/MAX('原始数据-增长前十'!T$5:T16)-1</x:f>
        <x:v>-0.019634703196641956</x:v>
      </x:c>
      <x:c r="AG16" s="30" t="n">
        <x:f>'原始数据-增长前十'!U16/MAX('原始数据-增长前十'!U$5:U16)-1</x:f>
        <x:v>-0.008485131558461867</x:v>
      </x:c>
      <x:c r="AH16" s="30" t="n">
        <x:f>'原始数据-增长前十'!V16/MAX('原始数据-增长前十'!V$5:V16)-1</x:f>
        <x:v>-0.008616562948779216</x:v>
      </x:c>
      <x:c r="AI16" s="30" t="n">
        <x:f>'原始数据-增长前十'!W16/MAX('原始数据-增长前十'!W$5:W16)-1</x:f>
        <x:v>-0.021655127998711943</x:v>
      </x:c>
      <x:c r="AJ16" s="31" t="n">
        <x:f>'原始数据-增长前十'!X16/MAX('原始数据-增长前十'!X$5:X16)-1</x:f>
        <x:v>-0.017554858901594472</x:v>
      </x:c>
    </x:row>
    <x:row r="17">
      <x:c r="A17" s="26" t="n">
        <x:v>46210</x:v>
      </x:c>
      <x:c r="B17" s="27" t="n">
        <x:v>0.9935</x:v>
      </x:c>
      <x:c r="C17" s="27" t="n">
        <x:v>1.7659912745</x:v>
      </x:c>
      <x:c r="D17" s="27" t="n">
        <x:v>1.8420670377</x:v>
      </x:c>
      <x:c r="E17" s="27" t="n">
        <x:v>2.8432677342</x:v>
      </x:c>
      <x:c r="F17" s="27" t="n">
        <x:v>2.5670793497</x:v>
      </x:c>
      <x:c r="G17" s="27" t="n">
        <x:v>2.0417452819</x:v>
      </x:c>
      <x:c r="H17" s="27" t="n">
        <x:v>2.730905862</x:v>
      </x:c>
      <x:c r="I17" s="27" t="n">
        <x:v>1.2738</x:v>
      </x:c>
      <x:c r="J17" s="27" t="n">
        <x:v>2.069</x:v>
      </x:c>
      <x:c r="K17" s="27" t="n">
        <x:v>1.2132</x:v>
      </x:c>
      <x:c r="L17" s="27" t="n">
        <x:v>1.2611273652</x:v>
      </x:c>
      <x:c r="M17" s="28"/>
      <x:c r="N17" s="29" t="n">
        <x:f>'原始数据-增长前十'!B17/'原始数据-增长前十'!B$5</x:f>
        <x:v>0.9935</x:v>
      </x:c>
      <x:c r="O17" s="29" t="n">
        <x:f>'原始数据-增长前十'!C17/'原始数据-增长前十'!C$5</x:f>
        <x:v>0.9809635036109448</x:v>
      </x:c>
      <x:c r="P17" s="29" t="n">
        <x:f>'原始数据-增长前十'!D17/'原始数据-增长前十'!D$5</x:f>
        <x:v>0.9959090643666374</x:v>
      </x:c>
      <x:c r="Q17" s="29" t="n">
        <x:f>'原始数据-增长前十'!E17/'原始数据-增长前十'!E$5</x:f>
        <x:v>0.9903895438211314</x:v>
      </x:c>
      <x:c r="R17" s="29" t="n">
        <x:f>'原始数据-增长前十'!F17/'原始数据-增长前十'!F$5</x:f>
        <x:v>0.9920932903336755</x:v>
      </x:c>
      <x:c r="S17" s="29" t="n">
        <x:f>'原始数据-增长前十'!G17/'原始数据-增长前十'!G$5</x:f>
        <x:v>0.9898165535342741</x:v>
      </x:c>
      <x:c r="T17" s="29" t="n">
        <x:f>'原始数据-增长前十'!H17/'原始数据-增长前十'!H$5</x:f>
        <x:v>0.9953596287558409</x:v>
      </x:c>
      <x:c r="U17" s="29" t="n">
        <x:f>'原始数据-增长前十'!I17/'原始数据-增长前十'!I$5</x:f>
        <x:v>1.0093502377179082</x:v>
      </x:c>
      <x:c r="V17" s="29" t="n">
        <x:f>'原始数据-增长前十'!J17/'原始数据-增长前十'!J$5</x:f>
        <x:v>1.00730282375852</x:v>
      </x:c>
      <x:c r="W17" s="29" t="n">
        <x:f>'原始数据-增长前十'!K17/'原始数据-增长前十'!K$5</x:f>
        <x:v>0.9849001461276181</x:v>
      </x:c>
      <x:c r="X17" s="29" t="n">
        <x:f>'原始数据-增长前十'!L17/'原始数据-增长前十'!L$5</x:f>
        <x:v>0.996977650558281</x:v>
      </x:c>
      <x:c r="Y17" s="28"/>
      <x:c r="Z17" s="30" t="n">
        <x:f>'原始数据-增长前十'!N17/MAX('原始数据-增长前十'!N$5:N17)-1</x:f>
        <x:v>-0.009175226887403909</x:v>
      </x:c>
      <x:c r="AA17" s="30" t="n">
        <x:f>'原始数据-增长前十'!O17/MAX('原始数据-增长前十'!O$5:O17)-1</x:f>
        <x:v>-0.024108283979844547</x:v>
      </x:c>
      <x:c r="AB17" s="30" t="n">
        <x:f>'原始数据-增长前十'!P17/MAX('原始数据-增长前十'!P$5:P17)-1</x:f>
        <x:v>-0.018997179172969725</x:v>
      </x:c>
      <x:c r="AC17" s="30" t="n">
        <x:f>'原始数据-增长前十'!Q17/MAX('原始数据-增长前十'!Q$5:Q17)-1</x:f>
        <x:v>-0.022635306026936752</x:v>
      </x:c>
      <x:c r="AD17" s="30" t="n">
        <x:f>'原始数据-增长前十'!R17/MAX('原始数据-增长前十'!R$5:R17)-1</x:f>
        <x:v>-0.017282870286080332</x:v>
      </x:c>
      <x:c r="AE17" s="30" t="n">
        <x:f>'原始数据-增长前十'!S17/MAX('原始数据-增长前十'!S$5:S17)-1</x:f>
        <x:v>-0.016152189510358572</x:v>
      </x:c>
      <x:c r="AF17" s="30" t="n">
        <x:f>'原始数据-增长前十'!T17/MAX('原始数据-增长前十'!T$5:T17)-1</x:f>
        <x:v>-0.020547945215796948</x:v>
      </x:c>
      <x:c r="AG17" s="30" t="n">
        <x:f>'原始数据-增长前十'!U17/MAX('原始数据-增长前十'!U$5:U17)-1</x:f>
        <x:v>-0.00840728631480614</x:v>
      </x:c>
      <x:c r="AH17" s="30" t="n">
        <x:f>'原始数据-增长前十'!V17/MAX('原始数据-增长前十'!V$5:V17)-1</x:f>
        <x:v>-0.009573958831977092</x:v>
      </x:c>
      <x:c r="AI17" s="30" t="n">
        <x:f>'原始数据-增长前十'!W17/MAX('原始数据-增长前十'!W$5:W17)-1</x:f>
        <x:v>-0.02334567702463375</x:v>
      </x:c>
      <x:c r="AJ17" s="31" t="n">
        <x:f>'原始数据-增长前十'!X17/MAX('原始数据-增长前十'!X$5:X17)-1</x:f>
        <x:v>-0.017633228818880964</x:v>
      </x:c>
    </x:row>
    <x:row r="18">
      <x:c r="A18" s="26" t="n">
        <x:v>46211</x:v>
      </x:c>
      <x:c r="B18" s="27" t="n">
        <x:v>0.9937</x:v>
      </x:c>
      <x:c r="C18" s="27" t="n">
        <x:v>1.7676732711</x:v>
      </x:c>
      <x:c r="D18" s="27" t="n">
        <x:v>1.8390403446</x:v>
      </x:c>
      <x:c r="E18" s="27" t="n">
        <x:v>2.8416123189</x:v>
      </x:c>
      <x:c r="F18" s="27" t="n">
        <x:v>2.5614788649</x:v>
      </x:c>
      <x:c r="G18" s="27" t="n">
        <x:v>2.0299760095</x:v>
      </x:c>
      <x:c r="H18" s="27" t="n">
        <x:v>2.7207206653</x:v>
      </x:c>
      <x:c r="I18" s="27" t="n">
        <x:v>1.2775</x:v>
      </x:c>
      <x:c r="J18" s="27" t="n">
        <x:v>2.074</x:v>
      </x:c>
      <x:c r="K18" s="27" t="n">
        <x:v>1.2121</x:v>
      </x:c>
      <x:c r="L18" s="27" t="n">
        <x:v>1.2619322331</x:v>
      </x:c>
      <x:c r="M18" s="28"/>
      <x:c r="N18" s="29" t="n">
        <x:f>'原始数据-增长前十'!B18/'原始数据-增长前十'!B$5</x:f>
        <x:v>0.9937</x:v>
      </x:c>
      <x:c r="O18" s="29" t="n">
        <x:f>'原始数据-增长前十'!C18/'原始数据-增长前十'!C$5</x:f>
        <x:v>0.9818978101964996</x:v>
      </x:c>
      <x:c r="P18" s="29" t="n">
        <x:f>'原始数据-增长前十'!D18/'原始数据-增长前十'!D$5</x:f>
        <x:v>0.9942726901024795</x:v>
      </x:c>
      <x:c r="Q18" s="29" t="n">
        <x:f>'原始数据-增长前十'!E18/'原始数据-增长前十'!E$5</x:f>
        <x:v>0.9898129164483095</x:v>
      </x:c>
      <x:c r="R18" s="29" t="n">
        <x:f>'原始数据-增长前十'!F18/'原始数据-增长前十'!F$5</x:f>
        <x:v>0.9899288837704951</x:v>
      </x:c>
      <x:c r="S18" s="29" t="n">
        <x:f>'原始数据-增长前十'!G18/'原始数据-增长前十'!G$5</x:f>
        <x:v>0.9841109345484751</x:v>
      </x:c>
      <x:c r="T18" s="29" t="n">
        <x:f>'原始数据-增长前十'!H18/'原始数据-增长前十'!H$5</x:f>
        <x:v>0.9916473317678031</x:v>
      </x:c>
      <x:c r="U18" s="29" t="n">
        <x:f>'原始数据-增长前十'!I18/'原始数据-增长前十'!I$5</x:f>
        <x:v>1.0122820919175912</x:v>
      </x:c>
      <x:c r="V18" s="29" t="n">
        <x:f>'原始数据-增长前十'!J18/'原始数据-增长前十'!J$5</x:f>
        <x:v>1.0097370983446934</x:v>
      </x:c>
      <x:c r="W18" s="29" t="n">
        <x:f>'原始数据-增长前十'!K18/'原始数据-增长前十'!K$5</x:f>
        <x:v>0.9840071440168858</x:v>
      </x:c>
      <x:c r="X18" s="29" t="n">
        <x:f>'原始数据-增长前十'!L18/'原始数据-增长前十'!L$5</x:f>
        <x:v>0.9976139346720784</x:v>
      </x:c>
      <x:c r="Y18" s="28"/>
      <x:c r="Z18" s="30" t="n">
        <x:f>'原始数据-增长前十'!N18/MAX('原始数据-增长前十'!N$5:N18)-1</x:f>
        <x:v>-0.008975765433329896</x:v>
      </x:c>
      <x:c r="AA18" s="30" t="n">
        <x:f>'原始数据-增长前十'!O18/MAX('原始数据-增长前十'!O$5:O18)-1</x:f>
        <x:v>-0.02317880795580307</x:v>
      </x:c>
      <x:c r="AB18" s="30" t="n">
        <x:f>'原始数据-增长前十'!P18/MAX('原始数据-增长前十'!P$5:P18)-1</x:f>
        <x:v>-0.02060906104703275</x:v>
      </x:c>
      <x:c r="AC18" s="30" t="n">
        <x:f>'原始数据-增长前十'!Q18/MAX('原始数据-增长前十'!Q$5:Q18)-1</x:f>
        <x:v>-0.023204350035216814</x:v>
      </x:c>
      <x:c r="AD18" s="30" t="n">
        <x:f>'原始数据-增长前十'!R18/MAX('原始数据-增长前十'!R$5:R18)-1</x:f>
        <x:v>-0.019426821289505902</x:v>
      </x:c>
      <x:c r="AE18" s="30" t="n">
        <x:f>'原始数据-增长前十'!S18/MAX('原始数据-增长前十'!S$5:S18)-1</x:f>
        <x:v>-0.021823402753482046</x:v>
      </x:c>
      <x:c r="AF18" s="30" t="n">
        <x:f>'原始数据-增长前十'!T18/MAX('原始数据-增长前十'!T$5:T18)-1</x:f>
        <x:v>-0.024200913256551937</x:v>
      </x:c>
      <x:c r="AG18" s="30" t="n">
        <x:f>'原始数据-增长前十'!U18/MAX('原始数据-增长前十'!U$5:U18)-1</x:f>
        <x:v>-0.005527012299548439</x:v>
      </x:c>
      <x:c r="AH18" s="30" t="n">
        <x:f>'原始数据-增长前十'!V18/MAX('原始数据-增长前十'!V$5:V18)-1</x:f>
        <x:v>-0.007180469123982736</x:v>
      </x:c>
      <x:c r="AI18" s="30" t="n">
        <x:f>'原始数据-增长前十'!W18/MAX('原始数据-增长前十'!W$5:W18)-1</x:f>
        <x:v>-0.02423120270487855</x:v>
      </x:c>
      <x:c r="AJ18" s="31" t="n">
        <x:f>'原始数据-增长前十'!X18/MAX('原始数据-增长前十'!X$5:X18)-1</x:f>
        <x:v>-0.017006269558485387</x:v>
      </x:c>
    </x:row>
    <x:row r="19">
      <x:c r="A19" s="26" t="n">
        <x:v>46212</x:v>
      </x:c>
      <x:c r="B19" s="27" t="n">
        <x:v>0.9988</x:v>
      </x:c>
      <x:c r="C19" s="27" t="n">
        <x:v>1.7922724709</x:v>
      </x:c>
      <x:c r="D19" s="27" t="n">
        <x:v>1.8591462344</x:v>
      </x:c>
      <x:c r="E19" s="27" t="n">
        <x:v>2.8682828986</x:v>
      </x:c>
      <x:c r="F19" s="27" t="n">
        <x:v>2.585366647</x:v>
      </x:c>
      <x:c r="G19" s="27" t="n">
        <x:v>2.0347433097</x:v>
      </x:c>
      <x:c r="H19" s="27" t="n">
        <x:v>2.7461836571</x:v>
      </x:c>
      <x:c r="I19" s="27" t="n">
        <x:v>1.2897</x:v>
      </x:c>
      <x:c r="J19" s="27" t="n">
        <x:v>2.099</x:v>
      </x:c>
      <x:c r="K19" s="27" t="n">
        <x:v>1.223</x:v>
      </x:c>
      <x:c r="L19" s="27" t="n">
        <x:v>1.2706851713</x:v>
      </x:c>
      <x:c r="M19" s="28"/>
      <x:c r="N19" s="29" t="n">
        <x:f>'原始数据-增长前十'!B19/'原始数据-增长前十'!B$5</x:f>
        <x:v>0.9988</x:v>
      </x:c>
      <x:c r="O19" s="29" t="n">
        <x:f>'原始数据-增长前十'!C19/'原始数据-增长前十'!C$5</x:f>
        <x:v>0.9955620437463883</x:v>
      </x:c>
      <x:c r="P19" s="29" t="n">
        <x:f>'原始数据-增长前十'!D19/'原始数据-增长前十'!D$5</x:f>
        <x:v>1.0051428905290494</x:v>
      </x:c>
      <x:c r="Q19" s="29" t="n">
        <x:f>'原始数据-增长前十'!E19/'原始数据-增长前十'!E$5</x:f>
        <x:v>0.9991030240751102</x:v>
      </x:c>
      <x:c r="R19" s="29" t="n">
        <x:f>'原始数据-增长前十'!F19/'原始数据-增长前十'!F$5</x:f>
        <x:v>0.9991607403335313</x:v>
      </x:c>
      <x:c r="S19" s="29" t="n">
        <x:f>'原始数据-增长前十'!G19/'原始数据-增长前十'!G$5</x:f>
        <x:v>0.9864220713467129</x:v>
      </x:c>
      <x:c r="T19" s="29" t="n">
        <x:f>'原始数据-增长前十'!H19/'原始数据-增长前十'!H$5</x:f>
        <x:v>1.0009280742561215</x:v>
      </x:c>
      <x:c r="U19" s="29" t="n">
        <x:f>'原始数据-增长前十'!I19/'原始数据-增长前十'!I$5</x:f>
        <x:v>1.0219492868462758</x:v>
      </x:c>
      <x:c r="V19" s="29" t="n">
        <x:f>'原始数据-增长前十'!J19/'原始数据-增长前十'!J$5</x:f>
        <x:v>1.0219084712755602</x:v>
      </x:c>
      <x:c r="W19" s="29" t="n">
        <x:f>'原始数据-增长前十'!K19/'原始数据-增长前十'!K$5</x:f>
        <x:v>0.992855983114142</x:v>
      </x:c>
      <x:c r="X19" s="29" t="n">
        <x:f>'原始数据-增长前十'!L19/'原始数据-增长前十'!L$5</x:f>
        <x:v>1.004533524241633</x:v>
      </x:c>
      <x:c r="Y19" s="28"/>
      <x:c r="Z19" s="30" t="n">
        <x:f>'原始数据-增长前十'!N19/MAX('原始数据-增长前十'!N$5:N19)-1</x:f>
        <x:v>-0.003889498354442855</x:v>
      </x:c>
      <x:c r="AA19" s="30" t="n">
        <x:f>'原始数据-增长前十'!O19/MAX('原始数据-增长前十'!O$5:O19)-1</x:f>
        <x:v>-0.009585221366683827</x:v>
      </x:c>
      <x:c r="AB19" s="30" t="n">
        <x:f>'原始数据-增长前十'!P19/MAX('原始数据-增长前十'!P$5:P19)-1</x:f>
        <x:v>-0.009901560068314441</x:v>
      </x:c>
      <x:c r="AC19" s="30" t="n">
        <x:f>'原始数据-增长前十'!Q19/MAX('原始数据-增长前十'!Q$5:Q19)-1</x:f>
        <x:v>-0.014036418836536058</x:v>
      </x:c>
      <x:c r="AD19" s="30" t="n">
        <x:f>'原始数据-增长前十'!R19/MAX('原始数据-增长前十'!R$5:R19)-1</x:f>
        <x:v>-0.010282213950707941</x:v>
      </x:c>
      <x:c r="AE19" s="30" t="n">
        <x:f>'原始数据-增长前十'!S19/MAX('原始数据-增长前十'!S$5:S19)-1</x:f>
        <x:v>-0.019526202458569508</x:v>
      </x:c>
      <x:c r="AF19" s="30" t="n">
        <x:f>'原始数据-增长前十'!T19/MAX('原始数据-增长前十'!T$5:T19)-1</x:f>
        <x:v>-0.015068493136731864</x:v>
      </x:c>
      <x:c r="AG19" s="30" t="n">
        <x:f>'原始数据-增长前十'!U19/MAX('原始数据-增长前十'!U$5:U19)-1</x:f>
        <x:v>0</x:v>
      </x:c>
      <x:c r="AH19" s="30" t="n">
        <x:f>'原始数据-增长前十'!V19/MAX('原始数据-增长前十'!V$5:V19)-1</x:f>
        <x:v>0</x:v>
      </x:c>
      <x:c r="AI19" s="30" t="n">
        <x:f>'原始数据-增长前十'!W19/MAX('原始数据-增长前十'!W$5:W19)-1</x:f>
        <x:v>-0.015456448236998765</x:v>
      </x:c>
      <x:c r="AJ19" s="31" t="n">
        <x:f>'原始数据-增长前十'!X19/MAX('原始数据-增长前十'!X$5:X19)-1</x:f>
        <x:v>-0.01018808776721325</x:v>
      </x:c>
    </x:row>
    <x:row r="20">
      <x:c r="A20" s="26" t="n">
        <x:v>46213</x:v>
      </x:c>
      <x:c r="B20" s="27" t="n">
        <x:v>0.995</x:v>
      </x:c>
      <x:c r="C20" s="27" t="n">
        <x:v>1.7678835207</x:v>
      </x:c>
      <x:c r="D20" s="27" t="n">
        <x:v>1.8415265567</x:v>
      </x:c>
      <x:c r="E20" s="27" t="n">
        <x:v>2.8412444488</x:v>
      </x:c>
      <x:c r="F20" s="27" t="n">
        <x:v>2.5607930913</x:v>
      </x:c>
      <x:c r="G20" s="27" t="n">
        <x:v>2.0238679062</x:v>
      </x:c>
      <x:c r="H20" s="27" t="n">
        <x:v>2.7181743662</x:v>
      </x:c>
      <x:c r="I20" s="27" t="n">
        <x:v>1.2832</x:v>
      </x:c>
      <x:c r="J20" s="27" t="n">
        <x:v>2.085</x:v>
      </x:c>
      <x:c r="K20" s="27" t="n">
        <x:v>1.2114</x:v>
      </x:c>
      <x:c r="L20" s="27" t="n">
        <x:v>1.2614291906</x:v>
      </x:c>
      <x:c r="M20" s="28"/>
      <x:c r="N20" s="29" t="n">
        <x:f>'原始数据-增长前十'!B20/'原始数据-增长前十'!B$5</x:f>
        <x:v>0.995</x:v>
      </x:c>
      <x:c r="O20" s="29" t="n">
        <x:f>'原始数据-增长前十'!C20/'原始数据-增长前十'!C$5</x:f>
        <x:v>0.9820145985335809</x:v>
      </x:c>
      <x:c r="P20" s="29" t="n">
        <x:f>'原始数据-增长前十'!D20/'原始数据-增长前十'!D$5</x:f>
        <x:v>0.9956168546283372</x:v>
      </x:c>
      <x:c r="Q20" s="29" t="n">
        <x:f>'原始数据-增长前十'!E20/'原始数据-增长前十'!E$5</x:f>
        <x:v>0.9896847770205158</x:v>
      </x:c>
      <x:c r="R20" s="29" t="n">
        <x:f>'原始数据-增长前十'!F20/'原始数据-增长前十'!F$5</x:f>
        <x:v>0.9896638544143407</x:v>
      </x:c>
      <x:c r="S20" s="29" t="n">
        <x:f>'原始数据-增长前十'!G20/'原始数据-增长前十'!G$5</x:f>
        <x:v>0.9811497905651223</x:v>
      </x:c>
      <x:c r="T20" s="29" t="n">
        <x:f>'原始数据-增长前十'!H20/'原始数据-增长前十'!H$5</x:f>
        <x:v>0.9907192575481296</x:v>
      </x:c>
      <x:c r="U20" s="29" t="n">
        <x:f>'原始数据-增长前十'!I20/'原始数据-增长前十'!I$5</x:f>
        <x:v>1.016798732171157</x:v>
      </x:c>
      <x:c r="V20" s="29" t="n">
        <x:f>'原始数据-增长前十'!J20/'原始数据-增长前十'!J$5</x:f>
        <x:v>1.0150925024342747</x:v>
      </x:c>
      <x:c r="W20" s="29" t="n">
        <x:f>'原始数据-增长前十'!K20/'原始数据-增长前十'!K$5</x:f>
        <x:v>0.9834388699464199</x:v>
      </x:c>
      <x:c r="X20" s="29" t="n">
        <x:f>'原始数据-增长前十'!L20/'原始数据-增长前十'!L$5</x:f>
        <x:v>0.9972162570515459</x:v>
      </x:c>
      <x:c r="Y20" s="28"/>
      <x:c r="Z20" s="30" t="n">
        <x:f>'原始数据-增长前十'!N20/MAX('原始数据-增长前十'!N$5:N20)-1</x:f>
        <x:v>-0.007679265981848982</x:v>
      </x:c>
      <x:c r="AA20" s="30" t="n">
        <x:f>'原始数据-增长前十'!O20/MAX('原始数据-增长前十'!O$5:O20)-1</x:f>
        <x:v>-0.0230626234389828</x:v>
      </x:c>
      <x:c r="AB20" s="30" t="n">
        <x:f>'原始数据-增长前十'!P20/MAX('原始数据-增长前十'!P$5:P20)-1</x:f>
        <x:v>-0.019285015269459138</x:v>
      </x:c>
      <x:c r="AC20" s="30" t="n">
        <x:f>'原始数据-增长前十'!Q20/MAX('原始数据-增长前十'!Q$5:Q20)-1</x:f>
        <x:v>-0.023330804270737304</x:v>
      </x:c>
      <x:c r="AD20" s="30" t="n">
        <x:f>'原始数据-增长前十'!R20/MAX('原始数据-增长前十'!R$5:R20)-1</x:f>
        <x:v>-0.019689345883420306</x:v>
      </x:c>
      <x:c r="AE20" s="30" t="n">
        <x:f>'原始数据-增长前十'!S20/MAX('原始数据-增长前十'!S$5:S20)-1</x:f>
        <x:v>-0.024766690592186946</x:v>
      </x:c>
      <x:c r="AF20" s="30" t="n">
        <x:f>'原始数据-增长前十'!T20/MAX('原始数据-增长前十'!T$5:T20)-1</x:f>
        <x:v>-0.025114155239841618</x:v>
      </x:c>
      <x:c r="AG20" s="30" t="n">
        <x:f>'原始数据-增长前十'!U20/MAX('原始数据-增长前十'!U$5:U20)-1</x:f>
        <x:v>-0.005039931767077732</x:v>
      </x:c>
      <x:c r="AH20" s="30" t="n">
        <x:f>'原始数据-增长前十'!V20/MAX('原始数据-增长前十'!V$5:V20)-1</x:f>
        <x:v>-0.006669842782277446</x:v>
      </x:c>
      <x:c r="AI20" s="30" t="n">
        <x:f>'原始数据-增长前十'!W20/MAX('原始数据-增长前十'!W$5:W20)-1</x:f>
        <x:v>-0.024794719046852376</x:v>
      </x:c>
      <x:c r="AJ20" s="31" t="n">
        <x:f>'原始数据-增长前十'!X20/MAX('原始数据-增长前十'!X$5:X20)-1</x:f>
        <x:v>-0.017398119144917623</x:v>
      </x:c>
    </x:row>
    <x:row r="21">
      <x:c r="A21" s="26" t="n">
        <x:v>46216</x:v>
      </x:c>
      <x:c r="B21" s="27" t="n">
        <x:v>0.9898</x:v>
      </x:c>
      <x:c r="C21" s="27" t="n">
        <x:v>1.7548480472</x:v>
      </x:c>
      <x:c r="D21" s="27" t="n">
        <x:v>1.8253121294</x:v>
      </x:c>
      <x:c r="E21" s="27" t="n">
        <x:v>2.8202758551</x:v>
      </x:c>
      <x:c r="F21" s="27" t="n">
        <x:v>2.5435344545</x:v>
      </x:c>
      <x:c r="G21" s="27" t="n">
        <x:v>2.0030109679</x:v>
      </x:c>
      <x:c r="H21" s="27" t="n">
        <x:v>2.700350272</x:v>
      </x:c>
      <x:c r="I21" s="27" t="n">
        <x:v>1.2764</x:v>
      </x:c>
      <x:c r="J21" s="27" t="n">
        <x:v>2.069</x:v>
      </x:c>
      <x:c r="K21" s="27" t="n">
        <x:v>1.2022</x:v>
      </x:c>
      <x:c r="L21" s="27" t="n">
        <x:v>1.2573042427</x:v>
      </x:c>
      <x:c r="M21" s="28"/>
      <x:c r="N21" s="29" t="n">
        <x:f>'原始数据-增长前十'!B21/'原始数据-增长前十'!B$5</x:f>
        <x:v>0.9898</x:v>
      </x:c>
      <x:c r="O21" s="29" t="n">
        <x:f>'原始数据-增长前十'!C21/'原始数据-增长前十'!C$5</x:f>
        <x:v>0.9747737225788522</x:v>
      </x:c>
      <x:c r="P21" s="29" t="n">
        <x:f>'原始数据-增长前十'!D21/'原始数据-增长前十'!D$5</x:f>
        <x:v>0.9868505639390763</x:v>
      </x:c>
      <x:c r="Q21" s="29" t="n">
        <x:f>'原始数据-增长前十'!E21/'原始数据-增长前十'!E$5</x:f>
        <x:v>0.9823808303329356</x:v>
      </x:c>
      <x:c r="R21" s="29" t="n">
        <x:f>'原始数据-增长前十'!F21/'原始数据-增长前十'!F$5</x:f>
        <x:v>0.9829939484873631</x:v>
      </x:c>
      <x:c r="S21" s="29" t="n">
        <x:f>'原始数据-增长前十'!G21/'原始数据-增长前十'!G$5</x:f>
        <x:v>0.9710385671091916</x:v>
      </x:c>
      <x:c r="T21" s="29" t="n">
        <x:f>'原始数据-增长前十'!H21/'原始数据-增长前十'!H$5</x:f>
        <x:v>0.9842227378281756</x:v>
      </x:c>
      <x:c r="U21" s="29" t="n">
        <x:f>'原始数据-增长前十'!I21/'原始数据-增长前十'!I$5</x:f>
        <x:v>1.0114104595879556</x:v>
      </x:c>
      <x:c r="V21" s="29" t="n">
        <x:f>'原始数据-增长前十'!J21/'原始数据-增长前十'!J$5</x:f>
        <x:v>1.00730282375852</x:v>
      </x:c>
      <x:c r="W21" s="29" t="n">
        <x:f>'原始数据-增长前十'!K21/'原始数据-增长前十'!K$5</x:f>
        <x:v>0.9759701250202955</x:v>
      </x:c>
      <x:c r="X21" s="29" t="n">
        <x:f>'原始数据-增长前十'!L21/'原始数据-增长前十'!L$5</x:f>
        <x:v>0.9939553010375077</x:v>
      </x:c>
      <x:c r="Y21" s="28"/>
      <x:c r="Z21" s="30" t="n">
        <x:f>'原始数据-增长前十'!N21/MAX('原始数据-增长前十'!N$5:N21)-1</x:f>
        <x:v>-0.012865263787772974</x:v>
      </x:c>
      <x:c r="AA21" s="30" t="n">
        <x:f>'原始数据-增长前十'!O21/MAX('原始数据-增长前十'!O$5:O21)-1</x:f>
        <x:v>-0.030266062542413263</x:v>
      </x:c>
      <x:c r="AB21" s="30" t="n">
        <x:f>'原始数据-增长前十'!P21/MAX('原始数据-增长前十'!P$5:P21)-1</x:f>
        <x:v>-0.027920096726242294</x:v>
      </x:c>
      <x:c r="AC21" s="30" t="n">
        <x:f>'原始数据-增长前十'!Q21/MAX('原始数据-增长前十'!Q$5:Q21)-1</x:f>
        <x:v>-0.03053869500791151</x:v>
      </x:c>
      <x:c r="AD21" s="30" t="n">
        <x:f>'原始数据-增长前十'!R21/MAX('原始数据-增长前十'!R$5:R21)-1</x:f>
        <x:v>-0.02629621528963988</x:v>
      </x:c>
      <x:c r="AE21" s="30" t="n">
        <x:f>'原始数据-增长前十'!S21/MAX('原始数据-增长前十'!S$5:S21)-1</x:f>
        <x:v>-0.03481694184628914</x:v>
      </x:c>
      <x:c r="AF21" s="30" t="n">
        <x:f>'原始数据-增长前十'!T21/MAX('原始数据-增长前十'!T$5:T21)-1</x:f>
        <x:v>-0.03150684930219627</x:v>
      </x:c>
      <x:c r="AG21" s="30" t="n">
        <x:f>'原始数据-增长前十'!U21/MAX('原始数据-增长前十'!U$5:U21)-1</x:f>
        <x:v>-0.01031247576955896</x:v>
      </x:c>
      <x:c r="AH21" s="30" t="n">
        <x:f>'原始数据-增长前十'!V21/MAX('原始数据-增长前十'!V$5:V21)-1</x:f>
        <x:v>-0.014292520247737306</x:v>
      </x:c>
      <x:c r="AI21" s="30" t="n">
        <x:f>'原始数据-增长前十'!W21/MAX('原始数据-增长前十'!W$5:W21)-1</x:f>
        <x:v>-0.03220093382708111</x:v>
      </x:c>
      <x:c r="AJ21" s="31" t="n">
        <x:f>'原始数据-增长前十'!X21/MAX('原始数据-增长前十'!X$5:X21)-1</x:f>
        <x:v>-0.02061128528628553</x:v>
      </x:c>
    </x:row>
    <x:row r="22">
      <x:c r="A22" s="26" t="n">
        <x:v>46217</x:v>
      </x:c>
      <x:c r="B22" s="27" t="n">
        <x:v>0.9926</x:v>
      </x:c>
      <x:c r="C22" s="27" t="n">
        <x:v>1.7750320061</x:v>
      </x:c>
      <x:c r="D22" s="27" t="n">
        <x:v>1.839905114</x:v>
      </x:c>
      <x:c r="E22" s="27" t="n">
        <x:v>2.8348067227</x:v>
      </x:c>
      <x:c r="F22" s="27" t="n">
        <x:v>2.5563355626</x:v>
      </x:c>
      <x:c r="G22" s="27" t="n">
        <x:v>2.0129925026</x:v>
      </x:c>
      <x:c r="H22" s="27" t="n">
        <x:v>2.715628067</x:v>
      </x:c>
      <x:c r="I22" s="27" t="n">
        <x:v>1.279</x:v>
      </x:c>
      <x:c r="J22" s="27" t="n">
        <x:v>2.077</x:v>
      </x:c>
      <x:c r="K22" s="27" t="n">
        <x:v>1.2093</x:v>
      </x:c>
      <x:c r="L22" s="27" t="n">
        <x:v>1.262535884</x:v>
      </x:c>
      <x:c r="M22" s="28"/>
      <x:c r="N22" s="29" t="n">
        <x:f>'原始数据-增长前十'!B22/'原始数据-增长前十'!B$5</x:f>
        <x:v>0.9926</x:v>
      </x:c>
      <x:c r="O22" s="29" t="n">
        <x:f>'原始数据-增长前十'!C22/'原始数据-增长前十'!C$5</x:f>
        <x:v>0.9859854014388676</x:v>
      </x:c>
      <x:c r="P22" s="29" t="n">
        <x:f>'原始数据-增长前十'!D22/'原始数据-增长前十'!D$5</x:f>
        <x:v>0.9947402255756305</x:v>
      </x:c>
      <x:c r="Q22" s="29" t="n">
        <x:f>'原始数据-增长前十'!E22/'原始数据-增长前十'!E$5</x:f>
        <x:v>0.9874423372605406</x:v>
      </x:c>
      <x:c r="R22" s="29" t="n">
        <x:f>'原始数据-增长前十'!F22/'原始数据-增长前十'!F$5</x:f>
        <x:v>0.9879411634833976</x:v>
      </x:c>
      <x:c r="S22" s="29" t="n">
        <x:f>'原始数据-增长前十'!G22/'原始数据-增长前十'!G$5</x:f>
        <x:v>0.9758775097350527</x:v>
      </x:c>
      <x:c r="T22" s="29" t="n">
        <x:f>'原始数据-增长前十'!H22/'原始数据-增长前十'!H$5</x:f>
        <x:v>0.9897911832920082</x:v>
      </x:c>
      <x:c r="U22" s="29" t="n">
        <x:f>'原始数据-增长前十'!I22/'原始数据-增长前十'!I$5</x:f>
        <x:v>1.013470681458003</x:v>
      </x:c>
      <x:c r="V22" s="29" t="n">
        <x:f>'原始数据-增长前十'!J22/'原始数据-增长前十'!J$5</x:f>
        <x:v>1.0111976630963972</x:v>
      </x:c>
      <x:c r="W22" s="29" t="n">
        <x:f>'原始数据-增长前十'!K22/'原始数据-增长前十'!K$5</x:f>
        <x:v>0.9817340477350219</x:v>
      </x:c>
      <x:c r="X22" s="29" t="n">
        <x:f>'原始数据-增长前十'!L22/'原始数据-增长前十'!L$5</x:f>
        <x:v>0.9980911477376627</x:v>
      </x:c>
      <x:c r="Y22" s="28"/>
      <x:c r="Z22" s="30" t="n">
        <x:f>'原始数据-增长前十'!N22/MAX('原始数据-增长前十'!N$5:N22)-1</x:f>
        <x:v>-0.01007280343073691</x:v>
      </x:c>
      <x:c r="AA22" s="30" t="n">
        <x:f>'原始数据-增长前十'!O22/MAX('原始数据-增长前十'!O$5:O22)-1</x:f>
        <x:v>-0.019112350419697277</x:v>
      </x:c>
      <x:c r="AB22" s="30" t="n">
        <x:f>'原始数据-增长前十'!P22/MAX('原始数据-增长前十'!P$5:P22)-1</x:f>
        <x:v>-0.020148523399160845</x:v>
      </x:c>
      <x:c r="AC22" s="30" t="n">
        <x:f>'原始数据-增长前十'!Q22/MAX('原始数据-增长前十'!Q$5:Q22)-1</x:f>
        <x:v>-0.025543753168910444</x:v>
      </x:c>
      <x:c r="AD22" s="30" t="n">
        <x:f>'原始数据-增长前十'!R22/MAX('原始数据-增长前十'!R$5:R22)-1</x:f>
        <x:v>-0.021395755858707233</x:v>
      </x:c>
      <x:c r="AE22" s="30" t="n">
        <x:f>'原始数据-增长前十'!S22/MAX('原始数据-增长前十'!S$5:S22)-1</x:f>
        <x:v>-0.03000717877399106</x:v>
      </x:c>
      <x:c r="AF22" s="30" t="n">
        <x:f>'原始数据-增长前十'!T22/MAX('原始数据-增长前十'!T$5:T22)-1</x:f>
        <x:v>-0.02602739725899672</x:v>
      </x:c>
      <x:c r="AG22" s="30" t="n">
        <x:f>'原始数据-增长前十'!U22/MAX('原始数据-增长前十'!U$5:U22)-1</x:f>
        <x:v>-0.008296503062728</x:v>
      </x:c>
      <x:c r="AH22" s="30" t="n">
        <x:f>'原始数据-增长前十'!V22/MAX('原始数据-增长前十'!V$5:V22)-1</x:f>
        <x:v>-0.010481181515007432</x:v>
      </x:c>
      <x:c r="AI22" s="30" t="n">
        <x:f>'原始数据-增长前十'!W22/MAX('原始数据-增长前十'!W$5:W22)-1</x:f>
        <x:v>-0.026485268072774182</x:v>
      </x:c>
      <x:c r="AJ22" s="31" t="n">
        <x:f>'原始数据-增长前十'!X22/MAX('原始数据-增长前十'!X$5:X22)-1</x:f>
        <x:v>-0.016536050132662794</x:v>
      </x:c>
    </x:row>
    <x:row r="23">
      <x:c r="A23" s="26" t="n">
        <x:v>46218</x:v>
      </x:c>
      <x:c r="B23" s="27" t="n">
        <x:v>0.9902</x:v>
      </x:c>
      <x:c r="C23" s="27" t="n">
        <x:v>1.7646246523</x:v>
      </x:c>
      <x:c r="D23" s="27" t="n">
        <x:v>1.831581708</x:v>
      </x:c>
      <x:c r="E23" s="27" t="n">
        <x:v>2.8206437252</x:v>
      </x:c>
      <x:c r="F23" s="27" t="n">
        <x:v>2.5470776184</x:v>
      </x:c>
      <x:c r="G23" s="27" t="n">
        <x:v>2.0043517711</x:v>
      </x:c>
      <x:c r="H23" s="27" t="n">
        <x:v>2.6990771224</x:v>
      </x:c>
      <x:c r="I23" s="27" t="n">
        <x:v>1.2747</x:v>
      </x:c>
      <x:c r="J23" s="27" t="n">
        <x:v>2.068</x:v>
      </x:c>
      <x:c r="K23" s="27" t="n">
        <x:v>1.2034</x:v>
      </x:c>
      <x:c r="L23" s="27" t="n">
        <x:v>1.2595176294</x:v>
      </x:c>
      <x:c r="M23" s="28"/>
      <x:c r="N23" s="29" t="n">
        <x:f>'原始数据-增长前十'!B23/'原始数据-增长前十'!B$5</x:f>
        <x:v>0.9902</x:v>
      </x:c>
      <x:c r="O23" s="29" t="n">
        <x:f>'原始数据-增长前十'!C23/'原始数据-增长前十'!C$5</x:f>
        <x:v>0.9802043795310118</x:v>
      </x:c>
      <x:c r="P23" s="29" t="n">
        <x:f>'原始数据-增长前十'!D23/'原始数据-增长前十'!D$5</x:f>
        <x:v>0.9902401963627123</x:v>
      </x:c>
      <x:c r="Q23" s="29" t="n">
        <x:f>'原始数据-增长前十'!E23/'原始数据-增长前十'!E$5</x:f>
        <x:v>0.9825089697607293</x:v>
      </x:c>
      <x:c r="R23" s="29" t="n">
        <x:f>'原始数据-增长前十'!F23/'原始数据-增长前十'!F$5</x:f>
        <x:v>0.9843632669434339</x:v>
      </x:c>
      <x:c r="S23" s="29" t="n">
        <x:f>'原始数据-增长前十'!G23/'原始数据-增长前十'!G$5</x:f>
        <x:v>0.9716885743427858</x:v>
      </x:c>
      <x:c r="T23" s="29" t="n">
        <x:f>'原始数据-增长前十'!H23/'原始数据-增长前十'!H$5</x:f>
        <x:v>0.9837587007001148</x:v>
      </x:c>
      <x:c r="U23" s="29" t="n">
        <x:f>'原始数据-增长前十'!I23/'原始数据-增长前十'!I$5</x:f>
        <x:v>1.0100633914421553</x:v>
      </x:c>
      <x:c r="V23" s="29" t="n">
        <x:f>'原始数据-增长前十'!J23/'原始数据-增长前十'!J$5</x:f>
        <x:v>1.0068159688412854</x:v>
      </x:c>
      <x:c r="W23" s="29" t="n">
        <x:f>'原始数据-增长前十'!K23/'原始数据-增长前十'!K$5</x:f>
        <x:v>0.9769443091410943</x:v>
      </x:c>
      <x:c r="X23" s="29" t="n">
        <x:f>'原始数据-增长前十'!L23/'原始数据-增长前十'!L$5</x:f>
        <x:v>0.9957050823306864</x:v>
      </x:c>
      <x:c r="Y23" s="28"/>
      <x:c r="Z23" s="30" t="n">
        <x:f>'原始数据-增长前十'!N23/MAX('原始数据-增长前十'!N$5:N23)-1</x:f>
        <x:v>-0.012466340879624949</x:v>
      </x:c>
      <x:c r="AA23" s="30" t="n">
        <x:f>'原始数据-增长前十'!O23/MAX('原始数据-增长前十'!O$5:O23)-1</x:f>
        <x:v>-0.024863483228655503</x:v>
      </x:c>
      <x:c r="AB23" s="30" t="n">
        <x:f>'原始数据-增长前十'!P23/MAX('原始数据-增长前十'!P$5:P23)-1</x:f>
        <x:v>-0.024581198539520344</x:v>
      </x:c>
      <x:c r="AC23" s="30" t="n">
        <x:f>'原始数据-增长前十'!Q23/MAX('原始数据-增长前十'!Q$5:Q23)-1</x:f>
        <x:v>-0.030412240772390797</x:v>
      </x:c>
      <x:c r="AD23" s="30" t="n">
        <x:f>'原始数据-增长前十'!R23/MAX('原始数据-增长前十'!R$5:R23)-1</x:f>
        <x:v>-0.024939838106238454</x:v>
      </x:c>
      <x:c r="AE23" s="30" t="n">
        <x:f>'原始数据-增长前十'!S23/MAX('原始数据-增长前十'!S$5:S23)-1</x:f>
        <x:v>-0.03417085425430999</x:v>
      </x:c>
      <x:c r="AF23" s="30" t="n">
        <x:f>'原始数据-增长前十'!T23/MAX('原始数据-增长前十'!T$5:T23)-1</x:f>
        <x:v>-0.031963470311773934</x:v>
      </x:c>
      <x:c r="AG23" s="30" t="n">
        <x:f>'原始数据-增长前十'!U23/MAX('原始数据-增长前十'!U$5:U23)-1</x:f>
        <x:v>-0.011630611770179211</x:v>
      </x:c>
      <x:c r="AH23" s="30" t="n">
        <x:f>'原始数据-增长前十'!V23/MAX('原始数据-增长前十'!V$5:V23)-1</x:f>
        <x:v>-0.014768937589328401</x:v>
      </x:c>
      <x:c r="AI23" s="30" t="n">
        <x:f>'原始数据-增长前十'!W23/MAX('原始数据-增长前十'!W$5:W23)-1</x:f>
        <x:v>-0.03123490581226862</x:v>
      </x:c>
      <x:c r="AJ23" s="31" t="n">
        <x:f>'原始数据-增长前十'!X23/MAX('原始数据-增长前十'!X$5:X23)-1</x:f>
        <x:v>-0.018887147339672006</x:v>
      </x:c>
    </x:row>
    <x:row r="24">
      <x:c r="A24" s="26" t="n">
        <x:v>46219</x:v>
      </x:c>
      <x:c r="B24" s="27" t="n">
        <x:v>0.9861</x:v>
      </x:c>
      <x:c r="C24" s="27" t="n">
        <x:v>1.7536916746</x:v>
      </x:c>
      <x:c r="D24" s="27" t="n">
        <x:v>1.8226097249</x:v>
      </x:c>
      <x:c r="E24" s="27" t="n">
        <x:v>2.8079522079</x:v>
      </x:c>
      <x:c r="F24" s="27" t="n">
        <x:v>2.5295903904</x:v>
      </x:c>
      <x:c r="G24" s="27" t="n">
        <x:v>1.9949661488</x:v>
      </x:c>
      <x:c r="H24" s="27" t="n">
        <x:v>2.678706729</x:v>
      </x:c>
      <x:c r="I24" s="27" t="n">
        <x:v>1.2707</x:v>
      </x:c>
      <x:c r="J24" s="27" t="n">
        <x:v>2.06</x:v>
      </x:c>
      <x:c r="K24" s="27" t="n">
        <x:v>1.1964</x:v>
      </x:c>
      <x:c r="L24" s="27" t="n">
        <x:v>1.2539841627</x:v>
      </x:c>
      <x:c r="M24" s="28"/>
      <x:c r="N24" s="29" t="n">
        <x:f>'原始数据-增长前十'!B24/'原始数据-增长前十'!B$5</x:f>
        <x:v>0.9861</x:v>
      </x:c>
      <x:c r="O24" s="29" t="n">
        <x:f>'原始数据-增长前十'!C24/'原始数据-增长前十'!C$5</x:f>
        <x:v>0.9741313868360004</x:v>
      </x:c>
      <x:c r="P24" s="29" t="n">
        <x:f>'原始数据-增长前十'!D24/'原始数据-增长前十'!D$5</x:f>
        <x:v>0.9853895155178984</x:v>
      </x:c>
      <x:c r="Q24" s="29" t="n">
        <x:f>'原始数据-增长前十'!E24/'原始数据-增长前十'!E$5</x:f>
        <x:v>0.9780881599024267</x:v>
      </x:c>
      <x:c r="R24" s="29" t="n">
        <x:f>'原始数据-增长前十'!F24/'原始数据-增长前十'!F$5</x:f>
        <x:v>0.9776050178977383</x:v>
      </x:c>
      <x:c r="S24" s="29" t="n">
        <x:f>'原始数据-增长前十'!G24/'原始数据-增长前十'!G$5</x:f>
        <x:v>0.9671385237561057</x:v>
      </x:c>
      <x:c r="T24" s="29" t="n">
        <x:f>'原始数据-增长前十'!H24/'原始数据-增长前十'!H$5</x:f>
        <x:v>0.9763341067240394</x:v>
      </x:c>
      <x:c r="U24" s="29" t="n">
        <x:f>'原始数据-增长前十'!I24/'原始数据-增长前十'!I$5</x:f>
        <x:v>1.0068938193343897</x:v>
      </x:c>
      <x:c r="V24" s="29" t="n">
        <x:f>'原始数据-增长前十'!J24/'原始数据-增长前十'!J$5</x:f>
        <x:v>1.0029211295034082</x:v>
      </x:c>
      <x:c r="W24" s="29" t="n">
        <x:f>'原始数据-增长前十'!K24/'原始数据-增长前十'!K$5</x:f>
        <x:v>0.9712615684364344</x:v>
      </x:c>
      <x:c r="X24" s="29" t="n">
        <x:f>'原始数据-增长前十'!L24/'原始数据-增长前十'!L$5</x:f>
        <x:v>0.9913306291372664</x:v>
      </x:c>
      <x:c r="Y24" s="28"/>
      <x:c r="Z24" s="30" t="n">
        <x:f>'原始数据-增长前十'!N24/MAX('原始数据-增长前十'!N$5:N24)-1</x:f>
        <x:v>-0.016555300688141927</x:v>
      </x:c>
      <x:c r="AA24" s="30" t="n">
        <x:f>'原始数据-增长前十'!O24/MAX('原始数据-增长前十'!O$5:O24)-1</x:f>
        <x:v>-0.030905077274404058</x:v>
      </x:c>
      <x:c r="AB24" s="30" t="n">
        <x:f>'原始数据-增长前十'!P24/MAX('原始数据-增长前十'!P$5:P24)-1</x:f>
        <x:v>-0.029359276942411805</x:v>
      </x:c>
      <x:c r="AC24" s="30" t="n">
        <x:f>'原始数据-增长前十'!Q24/MAX('原始数据-增长前十'!Q$5:Q24)-1</x:f>
        <x:v>-0.03477491150253886</x:v>
      </x:c>
      <x:c r="AD24" s="30" t="n">
        <x:f>'原始数据-增长前十'!R24/MAX('原始数据-增长前十'!R$5:R24)-1</x:f>
        <x:v>-0.03163421571042935</x:v>
      </x:c>
      <x:c r="AE24" s="30" t="n">
        <x:f>'原始数据-增长前十'!S24/MAX('原始数据-增长前十'!S$5:S24)-1</x:f>
        <x:v>-0.03869346734997725</x:v>
      </x:c>
      <x:c r="AF24" s="30" t="n">
        <x:f>'原始数据-增长前十'!T24/MAX('原始数据-增长前十'!T$5:T24)-1</x:f>
        <x:v>-0.03926940639328369</x:v>
      </x:c>
      <x:c r="AG24" s="30" t="n">
        <x:f>'原始数据-增长前十'!U24/MAX('原始数据-增长前十'!U$5:U24)-1</x:f>
        <x:v>-0.014732108242227149</x:v>
      </x:c>
      <x:c r="AH24" s="30" t="n">
        <x:f>'原始数据-增长前十'!V24/MAX('原始数据-增长前十'!V$5:V24)-1</x:f>
        <x:v>-0.018580276322058165</x:v>
      </x:c>
      <x:c r="AI24" s="30" t="n">
        <x:f>'原始数据-增长前十'!W24/MAX('原始数据-增长前十'!W$5:W24)-1</x:f>
        <x:v>-0.03687006923200786</x:v>
      </x:c>
      <x:c r="AJ24" s="31" t="n">
        <x:f>'原始数据-增长前十'!X24/MAX('原始数据-增长前十'!X$5:X24)-1</x:f>
        <x:v>-0.023197492167258305</x:v>
      </x:c>
    </x:row>
    <x:row r="25">
      <x:c r="A25" s="26" t="n">
        <x:v>46220</x:v>
      </x:c>
      <x:c r="B25" s="27" t="n">
        <x:v>0.979</x:v>
      </x:c>
      <x:c r="C25" s="27" t="n">
        <x:v>1.7232054868</x:v>
      </x:c>
      <x:c r="D25" s="27" t="n">
        <x:v>1.7970990259</x:v>
      </x:c>
      <x:c r="E25" s="27" t="n">
        <x:v>2.7726366817</x:v>
      </x:c>
      <x:c r="F25" s="27" t="n">
        <x:v>2.4942730476</x:v>
      </x:c>
      <x:c r="G25" s="27" t="n">
        <x:v>1.9779826419</x:v>
      </x:c>
      <x:c r="H25" s="27" t="n">
        <x:v>2.6494242885</x:v>
      </x:c>
      <x:c r="I25" s="27" t="n">
        <x:v>1.2578</x:v>
      </x:c>
      <x:c r="J25" s="27" t="n">
        <x:v>2.035</x:v>
      </x:c>
      <x:c r="K25" s="27" t="n">
        <x:v>1.1834</x:v>
      </x:c>
      <x:c r="L25" s="27" t="n">
        <x:v>1.2462373093</x:v>
      </x:c>
      <x:c r="M25" s="28"/>
      <x:c r="N25" s="29" t="n">
        <x:f>'原始数据-增长前十'!B25/'原始数据-增长前十'!B$5</x:f>
        <x:v>0.979</x:v>
      </x:c>
      <x:c r="O25" s="29" t="n">
        <x:f>'原始数据-增长前十'!C25/'原始数据-增长前十'!C$5</x:f>
        <x:v>0.9571970802922173</x:v>
      </x:c>
      <x:c r="P25" s="29" t="n">
        <x:f>'原始数据-增长前十'!D25/'原始数据-增长前十'!D$5</x:f>
        <x:v>0.9715972181408437</x:v>
      </x:c>
      <x:c r="Q25" s="29" t="n">
        <x:f>'原始数据-增长前十'!E25/'原始数据-增长前十'!E$5</x:f>
        <x:v>0.9657867760185546</x:v>
      </x:c>
      <x:c r="R25" s="29" t="n">
        <x:f>'原始数据-增长前十'!F25/'原始数据-增长前十'!F$5</x:f>
        <x:v>0.9639560051282697</x:v>
      </x:c>
      <x:c r="S25" s="29" t="n">
        <x:f>'原始数据-增长前十'!G25/'原始数据-增长前十'!G$5</x:f>
        <x:v>0.9589050989426833</x:v>
      </x:c>
      <x:c r="T25" s="29" t="n">
        <x:f>'原始数据-增长前十'!H25/'原始数据-增长前十'!H$5</x:f>
        <x:v>0.9656612528879869</x:v>
      </x:c>
      <x:c r="U25" s="29" t="n">
        <x:f>'原始数据-增长前十'!I25/'原始数据-增长前十'!I$5</x:f>
        <x:v>0.9966719492868463</x:v>
      </x:c>
      <x:c r="V25" s="29" t="n">
        <x:f>'原始数据-增长前十'!J25/'原始数据-增长前十'!J$5</x:f>
        <x:v>0.9907497565725415</x:v>
      </x:c>
      <x:c r="W25" s="29" t="n">
        <x:f>'原始数据-增长前十'!K25/'原始数据-增长前十'!K$5</x:f>
        <x:v>0.9607079071277805</x:v>
      </x:c>
      <x:c r="X25" s="29" t="n">
        <x:f>'原始数据-增长前十'!L25/'原始数据-增长前十'!L$5</x:f>
        <x:v>0.9852063946506677</x:v>
      </x:c>
      <x:c r="Y25" s="28"/>
      <x:c r="Z25" s="30" t="n">
        <x:f>'原始数据-增长前十'!N25/MAX('原始数据-增长前十'!N$5:N25)-1</x:f>
        <x:v>-0.023636182307768983</x:v>
      </x:c>
      <x:c r="AA25" s="30" t="n">
        <x:f>'原始数据-增长前十'!O25/MAX('原始数据-增长前十'!O$5:O25)-1</x:f>
        <x:v>-0.04775182989240789</x:v>
      </x:c>
      <x:c r="AB25" s="30" t="n">
        <x:f>'原始数据-增长前十'!P25/MAX('原始数据-增长前十'!P$5:P25)-1</x:f>
        <x:v>-0.04294513845997994</x:v>
      </x:c>
      <x:c r="AC25" s="30" t="n">
        <x:f>'原始数据-增长前十'!Q25/MAX('原始数据-增长前十'!Q$5:Q25)-1</x:f>
        <x:v>-0.04691451694376636</x:v>
      </x:c>
      <x:c r="AD25" s="30" t="n">
        <x:f>'原始数据-增长前十'!R25/MAX('原始数据-增长前十'!R$5:R25)-1</x:f>
        <x:v>-0.0451542332157685</x:v>
      </x:c>
      <x:c r="AE25" s="30" t="n">
        <x:f>'原始数据-增长前十'!S25/MAX('原始数据-增长前十'!S$5:S25)-1</x:f>
        <x:v>-0.046877243370486266</x:v>
      </x:c>
      <x:c r="AF25" s="30" t="n">
        <x:f>'原始数据-增长前十'!T25/MAX('原始数据-增长前十'!T$5:T25)-1</x:f>
        <x:v>-0.049771689505970995</x:v>
      </x:c>
      <x:c r="AG25" s="30" t="n">
        <x:f>'原始数据-增长前十'!U25/MAX('原始数据-增长前十'!U$5:U25)-1</x:f>
        <x:v>-0.024734434364580893</x:v>
      </x:c>
      <x:c r="AH25" s="30" t="n">
        <x:f>'原始数据-增长前十'!V25/MAX('原始数据-增长前十'!V$5:V25)-1</x:f>
        <x:v>-0.030490709861839105</x:v>
      </x:c>
      <x:c r="AI25" s="30" t="n">
        <x:f>'原始数据-增长前十'!W25/MAX('原始数据-增长前十'!W$5:W25)-1</x:f>
        <x:v>-0.04733537272580901</x:v>
      </x:c>
      <x:c r="AJ25" s="31" t="n">
        <x:f>'原始数据-增长前十'!X25/MAX('原始数据-增长前十'!X$5:X25)-1</x:f>
        <x:v>-0.029231974941458017</x:v>
      </x:c>
    </x:row>
    <x:row r="26">
      <x:c r="A26" s="26" t="n">
        <x:v>46223</x:v>
      </x:c>
      <x:c r="B26" s="27" t="n">
        <x:v>0.9755</x:v>
      </x:c>
      <x:c r="C26" s="27" t="n">
        <x:v>1.718159497</x:v>
      </x:c>
      <x:c r="D26" s="27" t="n">
        <x:v>1.7889918123</x:v>
      </x:c>
      <x:c r="E26" s="27" t="n">
        <x:v>2.7663828905</x:v>
      </x:c>
      <x:c r="F26" s="27" t="n">
        <x:v>2.4917585442</x:v>
      </x:c>
      <x:c r="G26" s="27" t="n">
        <x:v>1.9696398666</x:v>
      </x:c>
      <x:c r="H26" s="27" t="n">
        <x:v>2.641785391</x:v>
      </x:c>
      <x:c r="I26" s="27" t="n">
        <x:v>1.2566</x:v>
      </x:c>
      <x:c r="J26" s="27" t="n">
        <x:v>2.035</x:v>
      </x:c>
      <x:c r="K26" s="27" t="n">
        <x:v>1.1812</x:v>
      </x:c>
      <x:c r="L26" s="27" t="n">
        <x:v>1.2461367008</x:v>
      </x:c>
      <x:c r="M26" s="28"/>
      <x:c r="N26" s="29" t="n">
        <x:f>'原始数据-增长前十'!B26/'原始数据-增长前十'!B$5</x:f>
        <x:v>0.9755</x:v>
      </x:c>
      <x:c r="O26" s="29" t="n">
        <x:f>'原始数据-增长前十'!C26/'原始数据-增长前十'!C$5</x:f>
        <x:v>0.9543941605355528</x:v>
      </x:c>
      <x:c r="P26" s="29" t="n">
        <x:f>'原始数据-增长前十'!D26/'原始数据-增长前十'!D$5</x:f>
        <x:v>0.9672140728232456</x:v>
      </x:c>
      <x:c r="Q26" s="29" t="n">
        <x:f>'原始数据-增长前十'!E26/'原始数据-增长前十'!E$5</x:f>
        <x:v>0.9636084059202272</x:v>
      </x:c>
      <x:c r="R26" s="29" t="n">
        <x:f>'原始数据-增长前十'!F26/'原始数据-增长前十'!F$5</x:f>
        <x:v>0.9629842307450771</x:v>
      </x:c>
      <x:c r="S26" s="29" t="n">
        <x:f>'原始数据-增长前十'!G26/'原始数据-增长前十'!G$5</x:f>
        <x:v>0.9548606095700067</x:v>
      </x:c>
      <x:c r="T26" s="29" t="n">
        <x:f>'原始数据-增长前十'!H26/'原始数据-增长前十'!H$5</x:f>
        <x:v>0.9628770301560705</x:v>
      </x:c>
      <x:c r="U26" s="29" t="n">
        <x:f>'原始数据-增长前十'!I26/'原始数据-增长前十'!I$5</x:f>
        <x:v>0.9957210776545166</x:v>
      </x:c>
      <x:c r="V26" s="29" t="n">
        <x:f>'原始数据-增长前十'!J26/'原始数据-增长前十'!J$5</x:f>
        <x:v>0.9907497565725415</x:v>
      </x:c>
      <x:c r="W26" s="29" t="n">
        <x:f>'原始数据-增长前十'!K26/'原始数据-增长前十'!K$5</x:f>
        <x:v>0.958921902906316</x:v>
      </x:c>
      <x:c r="X26" s="29" t="n">
        <x:f>'原始数据-增长前十'!L26/'原始数据-增长前十'!L$5</x:f>
        <x:v>0.9851268591265611</x:v>
      </x:c>
      <x:c r="Y26" s="28"/>
      <x:c r="Z26" s="30" t="n">
        <x:f>'原始数据-增长前十'!N26/MAX('原始数据-增长前十'!N$5:N26)-1</x:f>
        <x:v>-0.027126757754063924</x:v>
      </x:c>
      <x:c r="AA26" s="30" t="n">
        <x:f>'原始数据-增长前十'!O26/MAX('原始数据-增长前十'!O$5:O26)-1</x:f>
        <x:v>-0.0505402579645321</x:v>
      </x:c>
      <x:c r="AB26" s="30" t="n">
        <x:f>'原始数据-增长前十'!P26/MAX('原始数据-增长前十'!P$5:P26)-1</x:f>
        <x:v>-0.04726267916174387</x:v>
      </x:c>
      <x:c r="AC26" s="30" t="n">
        <x:f>'原始数据-增长前十'!Q26/MAX('原始数据-增长前十'!Q$5:Q26)-1</x:f>
        <x:v>-0.049064238775741065</x:v>
      </x:c>
      <x:c r="AD26" s="30" t="n">
        <x:f>'原始数据-增长前十'!R26/MAX('原始数据-增长前十'!R$5:R26)-1</x:f>
        <x:v>-0.046116823470017</x:v>
      </x:c>
      <x:c r="AE26" s="30" t="n">
        <x:f>'原始数据-增长前十'!S26/MAX('原始数据-增长前十'!S$5:S26)-1</x:f>
        <x:v>-0.0508973438624899</x:v>
      </x:c>
      <x:c r="AF26" s="30" t="n">
        <x:f>'原始数据-增长前十'!T26/MAX('原始数据-增长前十'!T$5:T26)-1</x:f>
        <x:v>-0.05251141552757088</x:v>
      </x:c>
      <x:c r="AG26" s="30" t="n">
        <x:f>'原始数据-增长前十'!U26/MAX('原始数据-增长前十'!U$5:U26)-1</x:f>
        <x:v>-0.02566488330619543</x:v>
      </x:c>
      <x:c r="AH26" s="30" t="n">
        <x:f>'原始数据-增长前十'!V26/MAX('原始数据-增长前十'!V$5:V26)-1</x:f>
        <x:v>-0.030490709861839105</x:v>
      </x:c>
      <x:c r="AI26" s="30" t="n">
        <x:f>'原始数据-增长前十'!W26/MAX('原始数据-增长前十'!W$5:W26)-1</x:f>
        <x:v>-0.049106424086298506</x:v>
      </x:c>
      <x:c r="AJ26" s="31" t="n">
        <x:f>'原始数据-增长前十'!X26/MAX('原始数据-增长前十'!X$5:X26)-1</x:f>
        <x:v>-0.02931034485874462</x:v>
      </x:c>
    </x:row>
    <x:row r="27">
      <x:c r="A27" s="26" t="n">
        <x:v>46224</x:v>
      </x:c>
      <x:c r="B27" s="27" t="n">
        <x:v>0.9845</x:v>
      </x:c>
      <x:c r="C27" s="27" t="n">
        <x:v>1.7571607925</x:v>
      </x:c>
      <x:c r="D27" s="27" t="n">
        <x:v>1.8127729723</x:v>
      </x:c>
      <x:c r="E27" s="27" t="n">
        <x:v>2.8097915582</x:v>
      </x:c>
      <x:c r="F27" s="27" t="n">
        <x:v>2.5282188431</x:v>
      </x:c>
      <x:c r="G27" s="27" t="n">
        <x:v>1.9863254172</x:v>
      </x:c>
      <x:c r="H27" s="27" t="n">
        <x:v>2.678706729</x:v>
      </x:c>
      <x:c r="I27" s="27" t="n">
        <x:v>1.2747</x:v>
      </x:c>
      <x:c r="J27" s="27" t="n">
        <x:v>2.07</x:v>
      </x:c>
      <x:c r="K27" s="27" t="n">
        <x:v>1.1968</x:v>
      </x:c>
      <x:c r="L27" s="27" t="n">
        <x:v>1.255694507</x:v>
      </x:c>
      <x:c r="M27" s="28"/>
      <x:c r="N27" s="29" t="n">
        <x:f>'原始数据-增长前十'!B27/'原始数据-增长前十'!B$5</x:f>
        <x:v>0.9845</x:v>
      </x:c>
      <x:c r="O27" s="29" t="n">
        <x:f>'原始数据-增长前十'!C27/'原始数据-增长前十'!C$5</x:f>
        <x:v>0.9760583941201031</x:v>
      </x:c>
      <x:c r="P27" s="29" t="n">
        <x:f>'原始数据-增长前十'!D27/'原始数据-增长前十'!D$5</x:f>
        <x:v>0.9800712991458689</x:v>
      </x:c>
      <x:c r="Q27" s="29" t="n">
        <x:f>'原始数据-增长前十'!E27/'原始数据-增长前十'!E$5</x:f>
        <x:v>0.9787288569717292</x:v>
      </x:c>
      <x:c r="R27" s="29" t="n">
        <x:f>'原始数据-增长前十'!F27/'原始数据-增长前十'!F$5</x:f>
        <x:v>0.9770749591467829</x:v>
      </x:c>
      <x:c r="S27" s="29" t="n">
        <x:f>'原始数据-增长前十'!G27/'原始数据-增长前十'!G$5</x:f>
        <x:v>0.9629495883153597</x:v>
      </x:c>
      <x:c r="T27" s="29" t="n">
        <x:f>'原始数据-增长前十'!H27/'原始数据-增长前十'!H$5</x:f>
        <x:v>0.9763341067240394</x:v>
      </x:c>
      <x:c r="U27" s="29" t="n">
        <x:f>'原始数据-增长前十'!I27/'原始数据-增长前十'!I$5</x:f>
        <x:v>1.0100633914421553</x:v>
      </x:c>
      <x:c r="V27" s="29" t="n">
        <x:f>'原始数据-增长前十'!J27/'原始数据-增长前十'!J$5</x:f>
        <x:v>1.0077896786757545</x:v>
      </x:c>
      <x:c r="W27" s="29" t="n">
        <x:f>'原始数据-增长前十'!K27/'原始数据-增长前十'!K$5</x:f>
        <x:v>0.9715862964767008</x:v>
      </x:c>
      <x:c r="X27" s="29" t="n">
        <x:f>'原始数据-增长前十'!L27/'原始数据-增长前十'!L$5</x:f>
        <x:v>0.9926827328889676</x:v>
      </x:c>
      <x:c r="Y27" s="28"/>
      <x:c r="Z27" s="30" t="n">
        <x:f>'原始数据-增长前十'!N27/MAX('原始数据-增长前十'!N$5:N27)-1</x:f>
        <x:v>-0.018150992320733916</x:v>
      </x:c>
      <x:c r="AA27" s="30" t="n">
        <x:f>'原始数据-增长前十'!O27/MAX('原始数据-增长前十'!O$5:O27)-1</x:f>
        <x:v>-0.028988033023171544</x:v>
      </x:c>
      <x:c r="AB27" s="30" t="n">
        <x:f>'原始数据-增长前十'!P27/MAX('原始数据-增长前十'!P$5:P27)-1</x:f>
        <x:v>-0.034597893046430794</x:v>
      </x:c>
      <x:c r="AC27" s="30" t="n">
        <x:f>'原始数据-增长前十'!Q27/MAX('原始数据-增长前十'!Q$5:Q27)-1</x:f>
        <x:v>-0.03414264039368575</x:v>
      </x:c>
      <x:c r="AD27" s="30" t="n">
        <x:f>'原始数据-增长前十'!R27/MAX('原始数据-增长前十'!R$5:R27)-1</x:f>
        <x:v>-0.03215926493653942</x:v>
      </x:c>
      <x:c r="AE27" s="30" t="n">
        <x:f>'原始数据-增长前十'!S27/MAX('原始数据-增长前十'!S$5:S27)-1</x:f>
        <x:v>-0.04285714287848286</x:v>
      </x:c>
      <x:c r="AF27" s="30" t="n">
        <x:f>'原始数据-增长前十'!T27/MAX('原始数据-增长前十'!T$5:T27)-1</x:f>
        <x:v>-0.03926940639328369</x:v>
      </x:c>
      <x:c r="AG27" s="30" t="n">
        <x:f>'原始数据-增长前十'!U27/MAX('原始数据-增长前十'!U$5:U27)-1</x:f>
        <x:v>-0.011630611770179211</x:v>
      </x:c>
      <x:c r="AH27" s="30" t="n">
        <x:f>'原始数据-增长前十'!V27/MAX('原始数据-增长前十'!V$5:V27)-1</x:f>
        <x:v>-0.0138161029061461</x:v>
      </x:c>
      <x:c r="AI27" s="30" t="n">
        <x:f>'原始数据-增长前十'!W27/MAX('原始数据-增长前十'!W$5:W27)-1</x:f>
        <x:v>-0.036548059893736884</x:v>
      </x:c>
      <x:c r="AJ27" s="31" t="n">
        <x:f>'原始数据-增长前十'!X27/MAX('原始数据-增长前十'!X$5:X27)-1</x:f>
        <x:v>-0.02186520372918066</x:v>
      </x:c>
    </x:row>
    <x:row r="28">
      <x:c r="A28" s="26" t="n">
        <x:v>46225</x:v>
      </x:c>
      <x:c r="B28" s="27" t="n">
        <x:v>0.9842</x:v>
      </x:c>
      <x:c r="C28" s="27" t="n">
        <x:v>1.7440201943</x:v>
      </x:c>
      <x:c r="D28" s="27" t="n">
        <x:v>1.8010985847</x:v>
      </x:c>
      <x:c r="E28" s="27" t="n">
        <x:v>2.7978357811</x:v>
      </x:c>
      <x:c r="F28" s="27" t="n">
        <x:v>2.523304132</x:v>
      </x:c>
      <x:c r="G28" s="27" t="n">
        <x:v>1.9821540296</x:v>
      </x:c>
      <x:c r="H28" s="27" t="n">
        <x:v>2.6672483827</x:v>
      </x:c>
      <x:c r="I28" s="27" t="n">
        <x:v>1.2733</x:v>
      </x:c>
      <x:c r="J28" s="27" t="n">
        <x:v>2.067</x:v>
      </x:c>
      <x:c r="K28" s="27" t="n">
        <x:v>1.1955</x:v>
      </x:c>
      <x:c r="L28" s="27" t="n">
        <x:v>1.2540847712</x:v>
      </x:c>
      <x:c r="M28" s="28"/>
      <x:c r="N28" s="29" t="n">
        <x:f>'原始数据-增长前十'!B28/'原始数据-增长前十'!B$5</x:f>
        <x:v>0.9842</x:v>
      </x:c>
      <x:c r="O28" s="29" t="n">
        <x:f>'原始数据-增长前十'!C28/'原始数据-增长前十'!C$5</x:f>
        <x:v>0.9687591240523814</x:v>
      </x:c>
      <x:c r="P28" s="29" t="n">
        <x:f>'原始数据-增长前十'!D28/'原始数据-增长前十'!D$5</x:f>
        <x:v>0.9737595698798774</x:v>
      </x:c>
      <x:c r="Q28" s="29" t="n">
        <x:f>'原始数据-增长前十'!E28/'原始数据-增长前十'!E$5</x:f>
        <x:v>0.9745643259690138</x:v>
      </x:c>
      <x:c r="R28" s="29" t="n">
        <x:f>'原始数据-增长前十'!F28/'原始数据-增长前十'!F$5</x:f>
        <x:v>0.9751755819784034</x:v>
      </x:c>
      <x:c r="S28" s="29" t="n">
        <x:f>'原始数据-增长前十'!G28/'原始数据-增长前十'!G$5</x:f>
        <x:v>0.9609273436532609</x:v>
      </x:c>
      <x:c r="T28" s="29" t="n">
        <x:f>'原始数据-增长前十'!H28/'原始数据-增长前十'!H$5</x:f>
        <x:v>0.9721577726079409</x:v>
      </x:c>
      <x:c r="U28" s="29" t="n">
        <x:f>'原始数据-增长前十'!I28/'原始数据-增长前十'!I$5</x:f>
        <x:v>1.0089540412044375</x:v>
      </x:c>
      <x:c r="V28" s="29" t="n">
        <x:f>'原始数据-增长前十'!J28/'原始数据-增长前十'!J$5</x:f>
        <x:v>1.0063291139240509</x:v>
      </x:c>
      <x:c r="W28" s="29" t="n">
        <x:f>'原始数据-增长前十'!K28/'原始数据-增长前十'!K$5</x:f>
        <x:v>0.9705309303458354</x:v>
      </x:c>
      <x:c r="X28" s="29" t="n">
        <x:f>'原始数据-增长前十'!L28/'原始数据-增长前十'!L$5</x:f>
        <x:v>0.991410164661373</x:v>
      </x:c>
      <x:c r="Y28" s="28"/>
      <x:c r="Z28" s="30" t="n">
        <x:f>'原始数据-增长前十'!N28/MAX('原始数据-增长前十'!N$5:N28)-1</x:f>
        <x:v>-0.01845018450184499</x:v>
      </x:c>
      <x:c r="AA28" s="30" t="n">
        <x:f>'原始数据-增长前十'!O28/MAX('原始数据-增长前十'!O$5:O28)-1</x:f>
        <x:v>-0.03624956432975168</x:v>
      </x:c>
      <x:c r="AB28" s="30" t="n">
        <x:f>'原始数据-增长前十'!P28/MAX('原始数据-增长前十'!P$5:P28)-1</x:f>
        <x:v>-0.040815151665491434</x:v>
      </x:c>
      <x:c r="AC28" s="30" t="n">
        <x:f>'原始数据-增长前十'!Q28/MAX('原始数据-增长前十'!Q$5:Q28)-1</x:f>
        <x:v>-0.03825240265279273</x:v>
      </x:c>
      <x:c r="AD28" s="30" t="n">
        <x:f>'原始数据-增长前十'!R28/MAX('原始数据-增长前十'!R$5:R28)-1</x:f>
        <x:v>-0.03404069130776932</x:v>
      </x:c>
      <x:c r="AE28" s="30" t="n">
        <x:f>'原始数据-增长前十'!S28/MAX('原始数据-增长前十'!S$5:S28)-1</x:f>
        <x:v>-0.044867193100391334</x:v>
      </x:c>
      <x:c r="AF28" s="30" t="n">
        <x:f>'原始数据-增长前十'!T28/MAX('原始数据-增长前十'!T$5:T28)-1</x:f>
        <x:v>-0.04337899544361623</x:v>
      </x:c>
      <x:c r="AG28" s="30" t="n">
        <x:f>'原始数据-增长前十'!U28/MAX('原始数据-增长前十'!U$5:U28)-1</x:f>
        <x:v>-0.012716135535395745</x:v>
      </x:c>
      <x:c r="AH28" s="30" t="n">
        <x:f>'原始数据-增长前十'!V28/MAX('原始数据-增长前十'!V$5:V28)-1</x:f>
        <x:v>-0.015245354930919497</x:v>
      </x:c>
      <x:c r="AI28" s="30" t="n">
        <x:f>'原始数据-增长前十'!W28/MAX('原始数据-增长前十'!W$5:W28)-1</x:f>
        <x:v>-0.037594590243117065</x:v>
      </x:c>
      <x:c r="AJ28" s="31" t="n">
        <x:f>'原始数据-增长前十'!X28/MAX('原始数据-增长前十'!X$5:X28)-1</x:f>
        <x:v>-0.023119122249971702</x:v>
      </x:c>
    </x:row>
    <x:row r="29">
      <x:c r="A29" s="26" t="n">
        <x:v>46226</x:v>
      </x:c>
      <x:c r="B29" s="27" t="n">
        <x:v>0.9829</x:v>
      </x:c>
      <x:c r="C29" s="27" t="n">
        <x:v>1.7351897123</x:v>
      </x:c>
      <x:c r="D29" s="27" t="n">
        <x:v>1.7979637954</x:v>
      </x:c>
      <x:c r="E29" s="27" t="n">
        <x:v>2.780361953</x:v>
      </x:c>
      <x:c r="F29" s="27" t="n">
        <x:v>2.5129032317</x:v>
      </x:c>
      <x:c r="G29" s="27" t="n">
        <x:v>1.9873682641</x:v>
      </x:c>
      <x:c r="H29" s="27" t="n">
        <x:v>2.6596094852</x:v>
      </x:c>
      <x:c r="I29" s="27" t="n">
        <x:v>1.2668</x:v>
      </x:c>
      <x:c r="J29" s="27" t="n">
        <x:v>2.056</x:v>
      </x:c>
      <x:c r="K29" s="27" t="n">
        <x:v>1.1923</x:v>
      </x:c>
      <x:c r="L29" s="27" t="n">
        <x:v>1.251971993</x:v>
      </x:c>
      <x:c r="M29" s="28"/>
      <x:c r="N29" s="29" t="n">
        <x:f>'原始数据-增长前十'!B29/'原始数据-增长前十'!B$5</x:f>
        <x:v>0.9829</x:v>
      </x:c>
      <x:c r="O29" s="29" t="n">
        <x:f>'原始数据-增长前十'!C29/'原始数据-增长前十'!C$5</x:f>
        <x:v>0.9638540145615399</x:v>
      </x:c>
      <x:c r="P29" s="29" t="n">
        <x:f>'原始数据-增长前十'!D29/'原始数据-增长前十'!D$5</x:f>
        <x:v>0.9720647536680594</x:v>
      </x:c>
      <x:c r="Q29" s="29" t="n">
        <x:f>'原始数据-增长前十'!E29/'原始数据-增长前十'!E$5</x:f>
        <x:v>0.9684777037235581</x:v>
      </x:c>
      <x:c r="R29" s="29" t="n">
        <x:f>'原始数据-增长前十'!F29/'原始数据-增长前十'!F$5</x:f>
        <x:v>0.9711559698062028</x:v>
      </x:c>
      <x:c r="S29" s="29" t="n">
        <x:f>'原始数据-增长前十'!G29/'原始数据-增长前十'!G$5</x:f>
        <x:v>0.9634551494808844</x:v>
      </x:c>
      <x:c r="T29" s="29" t="n">
        <x:f>'原始数据-增长前十'!H29/'原始数据-增长前十'!H$5</x:f>
        <x:v>0.9693735498760245</x:v>
      </x:c>
      <x:c r="U29" s="29" t="n">
        <x:f>'原始数据-增长前十'!I29/'原始数据-增长前十'!I$5</x:f>
        <x:v>1.0038034865293184</x:v>
      </x:c>
      <x:c r="V29" s="29" t="n">
        <x:f>'原始数据-增长前十'!J29/'原始数据-增长前十'!J$5</x:f>
        <x:v>1.0009737098344695</x:v>
      </x:c>
      <x:c r="W29" s="29" t="n">
        <x:f>'原始数据-增长前十'!K29/'原始数据-增长前十'!K$5</x:f>
        <x:v>0.9679331060237051</x:v>
      </x:c>
      <x:c r="X29" s="29" t="n">
        <x:f>'原始数据-增长前十'!L29/'原始数据-增长前十'!L$5</x:f>
        <x:v>0.9897399188923005</x:v>
      </x:c>
      <x:c r="Y29" s="28"/>
      <x:c r="Z29" s="30" t="n">
        <x:f>'原始数据-增长前十'!N29/MAX('原始数据-增长前十'!N$5:N29)-1</x:f>
        <x:v>-0.019746683953325905</x:v>
      </x:c>
      <x:c r="AA29" s="30" t="n">
        <x:f>'原始数据-增长前十'!O29/MAX('原始数据-增长前十'!O$5:O29)-1</x:f>
        <x:v>-0.04112931337307857</x:v>
      </x:c>
      <x:c r="AB29" s="30" t="n">
        <x:f>'原始数据-增长前十'!P29/MAX('原始数据-增长前十'!P$5:P29)-1</x:f>
        <x:v>-0.04248460075885241</x:v>
      </x:c>
      <x:c r="AC29" s="30" t="n">
        <x:f>'原始数据-增长前十'!Q29/MAX('原始数据-增长前十'!Q$5:Q29)-1</x:f>
        <x:v>-0.04425897827283365</x:v>
      </x:c>
      <x:c r="AD29" s="30" t="n">
        <x:f>'原始数据-增长前十'!R29/MAX('原始数据-增长前十'!R$5:R29)-1</x:f>
        <x:v>-0.038022314583438854</x:v>
      </x:c>
      <x:c r="AE29" s="30" t="n">
        <x:f>'原始数据-增长前十'!S29/MAX('原始数据-增长前十'!S$5:S29)-1</x:f>
        <x:v>-0.04235463032300568</x:v>
      </x:c>
      <x:c r="AF29" s="30" t="n">
        <x:f>'原始数据-增长前十'!T29/MAX('原始数据-增长前十'!T$5:T29)-1</x:f>
        <x:v>-0.04611872146521612</x:v>
      </x:c>
      <x:c r="AG29" s="30" t="n">
        <x:f>'原始数据-增长前十'!U29/MAX('原始数据-增长前十'!U$5:U29)-1</x:f>
        <x:v>-0.0177560673024737</x:v>
      </x:c>
      <x:c r="AH29" s="30" t="n">
        <x:f>'原始数据-增长前十'!V29/MAX('原始数据-增长前十'!V$5:V29)-1</x:f>
        <x:v>-0.0204859456884231</x:v>
      </x:c>
      <x:c r="AI29" s="30" t="n">
        <x:f>'原始数据-增长前十'!W29/MAX('原始数据-增长前十'!W$5:W29)-1</x:f>
        <x:v>-0.040170664949283674</x:v>
      </x:c>
      <x:c r="AJ29" s="31" t="n">
        <x:f>'原始数据-增长前十'!X29/MAX('原始数据-增长前十'!X$5:X29)-1</x:f>
        <x:v>-0.024764890279299068</x:v>
      </x:c>
    </x:row>
    <x:row r="30">
      <x:c r="A30" s="26" t="n">
        <x:v>46227</x:v>
      </x:c>
      <x:c r="B30" s="27" t="n">
        <x:v>0.9817</x:v>
      </x:c>
      <x:c r="C30" s="27" t="n">
        <x:v>1.7258336064</x:v>
      </x:c>
      <x:c r="D30" s="27" t="n">
        <x:v>1.7915861207</x:v>
      </x:c>
      <x:c r="E30" s="27" t="n">
        <x:v>2.7772350575</x:v>
      </x:c>
      <x:c r="F30" s="27" t="n">
        <x:v>2.5045596523</x:v>
      </x:c>
      <x:c r="G30" s="27" t="n">
        <x:v>1.9750030793</x:v>
      </x:c>
      <x:c r="H30" s="27" t="n">
        <x:v>2.6557900365</x:v>
      </x:c>
      <x:c r="I30" s="27" t="n">
        <x:v>1.2617</x:v>
      </x:c>
      <x:c r="J30" s="27" t="n">
        <x:v>2.045</x:v>
      </x:c>
      <x:c r="K30" s="27" t="n">
        <x:v>1.1898</x:v>
      </x:c>
      <x:c r="L30" s="27" t="n">
        <x:v>1.2513683421</x:v>
      </x:c>
      <x:c r="M30" s="28"/>
      <x:c r="N30" s="29" t="n">
        <x:f>'原始数据-增长前十'!B30/'原始数据-增长前十'!B$5</x:f>
        <x:v>0.9817</x:v>
      </x:c>
      <x:c r="O30" s="29" t="n">
        <x:f>'原始数据-增长前十'!C30/'原始数据-增长前十'!C$5</x:f>
        <x:v>0.9586569342835426</x:v>
      </x:c>
      <x:c r="P30" s="29" t="n">
        <x:f>'原始数据-增长前十'!D30/'原始数据-增长前十'!D$5</x:f>
        <x:v>0.968616679350828</x:v>
      </x:c>
      <x:c r="Q30" s="29" t="n">
        <x:f>'原始数据-增长前十'!E30/'原始数据-增长前十'!E$5</x:f>
        <x:v>0.9673885187092273</x:v>
      </x:c>
      <x:c r="R30" s="29" t="n">
        <x:f>'原始数据-增长前十'!F30/'原始数据-增长前十'!F$5</x:f>
        <x:v>0.9679314457411116</x:v>
      </x:c>
      <x:c r="S30" s="29" t="n">
        <x:f>'原始数据-增长前十'!G30/'原始数据-增长前十'!G$5</x:f>
        <x:v>0.9574606384559045</x:v>
      </x:c>
      <x:c r="T30" s="29" t="n">
        <x:f>'原始数据-增长前十'!H30/'原始数据-增长前十'!H$5</x:f>
        <x:v>0.9679814385282904</x:v>
      </x:c>
      <x:c r="U30" s="29" t="n">
        <x:f>'原始数据-增长前十'!I30/'原始数据-增长前十'!I$5</x:f>
        <x:v>0.9997622820919176</x:v>
      </x:c>
      <x:c r="V30" s="29" t="n">
        <x:f>'原始数据-增长前十'!J30/'原始数据-增长前十'!J$5</x:f>
        <x:v>0.9956183057448881</x:v>
      </x:c>
      <x:c r="W30" s="29" t="n">
        <x:f>'原始数据-增长前十'!K30/'原始数据-增长前十'!K$5</x:f>
        <x:v>0.9659035557720409</x:v>
      </x:c>
      <x:c r="X30" s="29" t="n">
        <x:f>'原始数据-增长前十'!L30/'原始数据-增长前十'!L$5</x:f>
        <x:v>0.9892627058267162</x:v>
      </x:c>
      <x:c r="Y30" s="28"/>
      <x:c r="Z30" s="30" t="n">
        <x:f>'原始数据-增长前十'!N30/MAX('原始数据-增长前十'!N$5:N30)-1</x:f>
        <x:v>-0.02094345267776998</x:v>
      </x:c>
      <x:c r="AA30" s="30" t="n">
        <x:f>'原始数据-增长前十'!O30/MAX('原始数据-增长前十'!O$5:O30)-1</x:f>
        <x:v>-0.046299523653196006</x:v>
      </x:c>
      <x:c r="AB30" s="30" t="n">
        <x:f>'原始数据-增长前十'!P30/MAX('原始数据-增长前十'!P$5:P30)-1</x:f>
        <x:v>-0.0458810661116168</x:v>
      </x:c>
      <x:c r="AC30" s="30" t="n">
        <x:f>'原始数据-增长前十'!Q30/MAX('原始数据-增长前十'!Q$5:Q30)-1</x:f>
        <x:v>-0.04533383915444622</x:v>
      </x:c>
      <x:c r="AD30" s="30" t="n">
        <x:f>'原始数据-增长前十'!R30/MAX('原始数据-增长前十'!R$5:R30)-1</x:f>
        <x:v>-0.04121636403908446</x:v>
      </x:c>
      <x:c r="AE30" s="30" t="n">
        <x:f>'原始数据-增长前十'!S30/MAX('原始数据-增长前十'!S$5:S30)-1</x:f>
        <x:v>-0.048312993542759974</x:v>
      </x:c>
      <x:c r="AF30" s="30" t="n">
        <x:f>'原始数据-增长前十'!T30/MAX('原始数据-增长前十'!T$5:T30)-1</x:f>
        <x:v>-0.04748858445808324</x:v>
      </x:c>
      <x:c r="AG30" s="30" t="n">
        <x:f>'原始数据-增长前十'!U30/MAX('原始数据-增长前十'!U$5:U30)-1</x:f>
        <x:v>-0.021710475304334342</x:v>
      </x:c>
      <x:c r="AH30" s="30" t="n">
        <x:f>'原始数据-增长前十'!V30/MAX('原始数据-增长前十'!V$5:V30)-1</x:f>
        <x:v>-0.025726536445926818</x:v>
      </x:c>
      <x:c r="AI30" s="30" t="n">
        <x:f>'原始数据-增长前十'!W30/MAX('原始数据-增长前十'!W$5:W30)-1</x:f>
        <x:v>-0.042183223313476126</x:v>
      </x:c>
      <x:c r="AJ30" s="31" t="n">
        <x:f>'原始数据-增长前十'!X30/MAX('原始数据-增长前十'!X$5:X30)-1</x:f>
        <x:v>-0.02523510970512166</x:v>
      </x:c>
    </x:row>
    <x:row r="31">
      <x:c r="A31" s="26" t="n">
        <x:v>46230</x:v>
      </x:c>
      <x:c r="B31" s="27" t="n">
        <x:v>0.9853</x:v>
      </x:c>
      <x:c r="C31" s="27" t="n">
        <x:v>1.7347692132</x:v>
      </x:c>
      <x:c r="D31" s="27" t="n">
        <x:v>1.801314777</x:v>
      </x:c>
      <x:c r="E31" s="27" t="n">
        <x:v>2.7862478741</x:v>
      </x:c>
      <x:c r="F31" s="27" t="n">
        <x:v>2.5169035779</x:v>
      </x:c>
      <x:c r="G31" s="27" t="n">
        <x:v>1.9890070236</x:v>
      </x:c>
      <x:c r="H31" s="27" t="n">
        <x:v>2.6685215323</x:v>
      </x:c>
      <x:c r="I31" s="27" t="n">
        <x:v>1.2664</x:v>
      </x:c>
      <x:c r="J31" s="27" t="n">
        <x:v>2.056</x:v>
      </x:c>
      <x:c r="K31" s="27" t="n">
        <x:v>1.1936</x:v>
      </x:c>
      <x:c r="L31" s="27" t="n">
        <x:v>1.2535817288</x:v>
      </x:c>
      <x:c r="M31" s="28"/>
      <x:c r="N31" s="29" t="n">
        <x:f>'原始数据-增长前十'!B31/'原始数据-增长前十'!B$5</x:f>
        <x:v>0.9853</x:v>
      </x:c>
      <x:c r="O31" s="29" t="n">
        <x:f>'原始数据-增长前十'!C31/'原始数据-增长前十'!C$5</x:f>
        <x:v>0.963620437942925</x:v>
      </x:c>
      <x:c r="P31" s="29" t="n">
        <x:f>'原始数据-增长前十'!D31/'原始数据-增长前十'!D$5</x:f>
        <x:v>0.9738764537211327</x:v>
      </x:c>
      <x:c r="Q31" s="29" t="n">
        <x:f>'原始数据-增长前十'!E31/'原始数据-增长前十'!E$5</x:f>
        <x:v>0.970527934394092</x:v>
      </x:c>
      <x:c r="R31" s="29" t="n">
        <x:f>'原始数据-增长前十'!F31/'原始数据-增长前十'!F$5</x:f>
        <x:v>0.9727019744610629</x:v>
      </x:c>
      <x:c r="S31" s="29" t="n">
        <x:f>'原始数据-增长前十'!G31/'原始数据-增长前十'!G$5</x:f>
        <x:v>0.964249602782548</x:v>
      </x:c>
      <x:c r="T31" s="29" t="n">
        <x:f>'原始数据-增长前十'!H31/'原始数据-增长前十'!H$5</x:f>
        <x:v>0.9726218097360018</x:v>
      </x:c>
      <x:c r="U31" s="29" t="n">
        <x:f>'原始数据-增长前十'!I31/'原始数据-增长前十'!I$5</x:f>
        <x:v>1.003486529318542</x:v>
      </x:c>
      <x:c r="V31" s="29" t="n">
        <x:f>'原始数据-增长前十'!J31/'原始数据-增长前十'!J$5</x:f>
        <x:v>1.0009737098344695</x:v>
      </x:c>
      <x:c r="W31" s="29" t="n">
        <x:f>'原始数据-增长前十'!K31/'原始数据-增长前十'!K$5</x:f>
        <x:v>0.9689884721545705</x:v>
      </x:c>
      <x:c r="X31" s="29" t="n">
        <x:f>'原始数据-增长前十'!L31/'原始数据-增长前十'!L$5</x:f>
        <x:v>0.9910124871198951</x:v>
      </x:c>
      <x:c r="Y31" s="28"/>
      <x:c r="Z31" s="30" t="n">
        <x:f>'原始数据-增长前十'!N31/MAX('原始数据-增长前十'!N$5:N31)-1</x:f>
        <x:v>-0.017353146504437977</x:v>
      </x:c>
      <x:c r="AA31" s="30" t="n">
        <x:f>'原始数据-增长前十'!O31/MAX('原始数据-增长前十'!O$5:O31)-1</x:f>
        <x:v>-0.04136168235145876</x:v>
      </x:c>
      <x:c r="AB31" s="30" t="n">
        <x:f>'原始数据-增长前十'!P31/MAX('原始数据-增长前十'!P$5:P31)-1</x:f>
        <x:v>-0.04070001728015127</x:v>
      </x:c>
      <x:c r="AC31" s="30" t="n">
        <x:f>'原始数据-增长前十'!Q31/MAX('原始数据-增长前十'!Q$5:Q31)-1</x:f>
        <x:v>-0.04223571067637921</x:v>
      </x:c>
      <x:c r="AD31" s="30" t="n">
        <x:f>'原始数据-增长前十'!R31/MAX('原始数据-增长前十'!R$5:R31)-1</x:f>
        <x:v>-0.03649092104237628</x:v>
      </x:c>
      <x:c r="AE31" s="30" t="n">
        <x:f>'原始数据-增长前十'!S31/MAX('原始数据-增长前十'!S$5:S31)-1</x:f>
        <x:v>-0.04156496769452456</x:v>
      </x:c>
      <x:c r="AF31" s="30" t="n">
        <x:f>'原始数据-增长前十'!T31/MAX('原始数据-增长前十'!T$5:T31)-1</x:f>
        <x:v>-0.04292237443403857</x:v>
      </x:c>
      <x:c r="AG31" s="30" t="n">
        <x:f>'原始数据-增长前十'!U31/MAX('原始数据-增长前十'!U$5:U31)-1</x:f>
        <x:v>-0.01806621694967836</x:v>
      </x:c>
      <x:c r="AH31" s="30" t="n">
        <x:f>'原始数据-增长前十'!V31/MAX('原始数据-增长前十'!V$5:V31)-1</x:f>
        <x:v>-0.0204859456884231</x:v>
      </x:c>
      <x:c r="AI31" s="30" t="n">
        <x:f>'原始数据-增长前十'!W31/MAX('原始数据-增长前十'!W$5:W31)-1</x:f>
        <x:v>-0.03912413459990349</x:v>
      </x:c>
      <x:c r="AJ31" s="31" t="n">
        <x:f>'原始数据-增长前十'!X31/MAX('原始数据-增长前十'!X$5:X31)-1</x:f>
        <x:v>-0.023510971758508026</x:v>
      </x:c>
    </x:row>
    <x:row r="32">
      <x:c r="A32" s="26" t="n">
        <x:v>46231</x:v>
      </x:c>
      <x:c r="B32" s="27" t="n">
        <x:v>0.9788</x:v>
      </x:c>
      <x:c r="C32" s="27" t="n">
        <x:v>1.6956627929</x:v>
      </x:c>
      <x:c r="D32" s="27" t="n">
        <x:v>1.770399269</x:v>
      </x:c>
      <x:c r="E32" s="27" t="n">
        <x:v>2.7452303618</x:v>
      </x:c>
      <x:c r="F32" s="27" t="n">
        <x:v>2.4833006693</x:v>
      </x:c>
      <x:c r="G32" s="27" t="n">
        <x:v>1.9757479699</x:v>
      </x:c>
      <x:c r="H32" s="27" t="n">
        <x:v>2.6366927927</x:v>
      </x:c>
      <x:c r="I32" s="27" t="n">
        <x:v>1.2527</x:v>
      </x:c>
      <x:c r="J32" s="27" t="n">
        <x:v>2.028</x:v>
      </x:c>
      <x:c r="K32" s="27" t="n">
        <x:v>1.1818</x:v>
      </x:c>
      <x:c r="L32" s="27" t="n">
        <x:v>1.2459354839</x:v>
      </x:c>
      <x:c r="M32" s="28"/>
      <x:c r="N32" s="29" t="n">
        <x:f>'原始数据-增长前十'!B32/'原始数据-增长前十'!B$5</x:f>
        <x:v>0.9788</x:v>
      </x:c>
      <x:c r="O32" s="29" t="n">
        <x:f>'原始数据-增长前十'!C32/'原始数据-增长前十'!C$5</x:f>
        <x:v>0.941897810189834</x:v>
      </x:c>
      <x:c r="P32" s="29" t="n">
        <x:f>'原始数据-增长前十'!D32/'原始数据-增长前十'!D$5</x:f>
        <x:v>0.9571620595017224</x:v>
      </x:c>
      <x:c r="Q32" s="29" t="n">
        <x:f>'原始数据-增长前十'!E32/'原始数据-增长前十'!E$5</x:f>
        <x:v>0.9562403895361666</x:v>
      </x:c>
      <x:c r="R32" s="29" t="n">
        <x:f>'原始数据-增长前十'!F32/'原始数据-增长前十'!F$5</x:f>
        <x:v>0.9597155351592737</x:v>
      </x:c>
      <x:c r="S32" s="29" t="n">
        <x:f>'原始数据-增长前十'!G32/'原始数据-增长前十'!G$5</x:f>
        <x:v>0.9578217535533597</x:v>
      </x:c>
      <x:c r="T32" s="29" t="n">
        <x:f>'原始数据-增长前十'!H32/'原始数据-增长前十'!H$5</x:f>
        <x:v>0.9610208816802757</x:v>
      </x:c>
      <x:c r="U32" s="29" t="n">
        <x:f>'原始数据-增长前十'!I32/'原始数据-增长前十'!I$5</x:f>
        <x:v>0.9926307448494452</x:v>
      </x:c>
      <x:c r="V32" s="29" t="n">
        <x:f>'原始数据-增长前十'!J32/'原始数据-增长前十'!J$5</x:f>
        <x:v>0.9873417721518988</x:v>
      </x:c>
      <x:c r="W32" s="29" t="n">
        <x:f>'原始数据-增长前十'!K32/'原始数据-增长前十'!K$5</x:f>
        <x:v>0.9594089949667154</x:v>
      </x:c>
      <x:c r="X32" s="29" t="n">
        <x:f>'原始数据-增长前十'!L32/'原始数据-增长前十'!L$5</x:f>
        <x:v>0.9849677881574027</x:v>
      </x:c>
      <x:c r="Y32" s="28"/>
      <x:c r="Z32" s="30" t="n">
        <x:f>'原始数据-增长前十'!N32/MAX('原始数据-增长前十'!N$5:N32)-1</x:f>
        <x:v>-0.023835643761842995</x:v>
      </x:c>
      <x:c r="AA32" s="30" t="n">
        <x:f>'原始数据-增长前十'!O32/MAX('原始数据-增长前十'!O$5:O32)-1</x:f>
        <x:v>-0.06297199955122956</x:v>
      </x:c>
      <x:c r="AB32" s="30" t="n">
        <x:f>'原始数据-增长前十'!P32/MAX('原始数据-增长前十'!P$5:P32)-1</x:f>
        <x:v>-0.05716423923005831</x:v>
      </x:c>
      <x:c r="AC32" s="30" t="n">
        <x:f>'原始数据-增长前十'!Q32/MAX('原始数据-增长前十'!Q$5:Q32)-1</x:f>
        <x:v>-0.056335356613487986</x:v>
      </x:c>
      <x:c r="AD32" s="30" t="n">
        <x:f>'原始数据-增长前十'!R32/MAX('原始数据-增长前十'!R$5:R32)-1</x:f>
        <x:v>-0.04935462698636672</x:v>
      </x:c>
      <x:c r="AE32" s="30" t="n">
        <x:f>'原始数据-增长前十'!S32/MAX('原始数据-增长前十'!S$5:S32)-1</x:f>
        <x:v>-0.047954056023784775</x:v>
      </x:c>
      <x:c r="AF32" s="30" t="n">
        <x:f>'原始数据-增长前十'!T32/MAX('原始数据-增长前十'!T$5:T32)-1</x:f>
        <x:v>-0.054337899530015554</x:v>
      </x:c>
      <x:c r="AG32" s="30" t="n">
        <x:f>'原始数据-增长前十'!U32/MAX('原始数据-增长前十'!U$5:U32)-1</x:f>
        <x:v>-0.02868884236644198</x:v>
      </x:c>
      <x:c r="AH32" s="30" t="n">
        <x:f>'原始数据-增长前十'!V32/MAX('原始数据-增长前十'!V$5:V32)-1</x:f>
        <x:v>-0.033825631252977884</x:v>
      </x:c>
      <x:c r="AI32" s="30" t="n">
        <x:f>'原始数据-增长前十'!W32/MAX('原始数据-增长前十'!W$5:W32)-1</x:f>
        <x:v>-0.04862341007889226</x:v>
      </x:c>
      <x:c r="AJ32" s="31" t="n">
        <x:f>'原始数据-增长前十'!X32/MAX('原始数据-增长前十'!X$5:X32)-1</x:f>
        <x:v>-0.029467084615421357</x:v>
      </x:c>
    </x:row>
    <x:row r="33">
      <x:c r="A33" s="26" t="n">
        <x:v>46232</x:v>
      </x:c>
      <x:c r="B33" s="27" t="n">
        <x:v>0.9783</x:v>
      </x:c>
      <x:c r="C33" s="27" t="n">
        <x:v>1.6977652886</x:v>
      </x:c>
      <x:c r="D33" s="27" t="n">
        <x:v>1.7700749804</x:v>
      </x:c>
      <x:c r="E33" s="27" t="n">
        <x:v>2.740815921</x:v>
      </x:c>
      <x:c r="F33" s="27" t="n">
        <x:v>2.4805575747</x:v>
      </x:c>
      <x:c r="G33" s="27" t="n">
        <x:v>1.9811111827</x:v>
      </x:c>
      <x:c r="H33" s="27" t="n">
        <x:v>2.6366927927</x:v>
      </x:c>
      <x:c r="I33" s="27" t="n">
        <x:v>1.2489</x:v>
      </x:c>
      <x:c r="J33" s="27" t="n">
        <x:v>2.024</x:v>
      </x:c>
      <x:c r="K33" s="27" t="n">
        <x:v>1.1808</x:v>
      </x:c>
      <x:c r="L33" s="27" t="n">
        <x:v>1.2450300075</x:v>
      </x:c>
      <x:c r="M33" s="28"/>
      <x:c r="N33" s="29" t="n">
        <x:f>'原始数据-增长前十'!B33/'原始数据-增长前十'!B$5</x:f>
        <x:v>0.9783</x:v>
      </x:c>
      <x:c r="O33" s="29" t="n">
        <x:f>'原始数据-增长前十'!C33/'原始数据-增长前十'!C$5</x:f>
        <x:v>0.9430656933940037</x:v>
      </x:c>
      <x:c r="P33" s="29" t="n">
        <x:f>'原始数据-增长前十'!D33/'原始数据-增长前十'!D$5</x:f>
        <x:v>0.9569867336587422</x:v>
      </x:c>
      <x:c r="Q33" s="29" t="n">
        <x:f>'原始数据-增长前十'!E33/'原始数据-增长前十'!E$5</x:f>
        <x:v>0.9547027165419744</x:v>
      </x:c>
      <x:c r="R33" s="29" t="n">
        <x:f>'原始数据-增长前十'!F33/'原始数据-增长前十'!F$5</x:f>
        <x:v>0.958655417657363</x:v>
      </x:c>
      <x:c r="S33" s="29" t="n">
        <x:f>'原始数据-增长前十'!G33/'原始数据-增长前十'!G$5</x:f>
        <x:v>0.9604217824877364</x:v>
      </x:c>
      <x:c r="T33" s="29" t="n">
        <x:f>'原始数据-增长前十'!H33/'原始数据-增长前十'!H$5</x:f>
        <x:v>0.9610208816802757</x:v>
      </x:c>
      <x:c r="U33" s="29" t="n">
        <x:f>'原始数据-增长前十'!I33/'原始数据-增长前十'!I$5</x:f>
        <x:v>0.9896196513470681</x:v>
      </x:c>
      <x:c r="V33" s="29" t="n">
        <x:f>'原始数据-增长前十'!J33/'原始数据-增长前十'!J$5</x:f>
        <x:v>0.9853943524829601</x:v>
      </x:c>
      <x:c r="W33" s="29" t="n">
        <x:f>'原始数据-增长前十'!K33/'原始数据-增长前十'!K$5</x:f>
        <x:v>0.9585971748660498</x:v>
      </x:c>
      <x:c r="X33" s="29" t="n">
        <x:f>'原始数据-增长前十'!L33/'原始数据-增长前十'!L$5</x:f>
        <x:v>0.984251968519499</x:v>
      </x:c>
      <x:c r="Y33" s="28"/>
      <x:c r="Z33" s="30" t="n">
        <x:f>'原始数据-增长前十'!N33/MAX('原始数据-增长前十'!N$5:N33)-1</x:f>
        <x:v>-0.02433429739702797</x:v>
      </x:c>
      <x:c r="AA33" s="30" t="n">
        <x:f>'原始数据-增长前十'!O33/MAX('原始数据-增长前十'!O$5:O33)-1</x:f>
        <x:v>-0.061810154548808005</x:v>
      </x:c>
      <x:c r="AB33" s="30" t="n">
        <x:f>'原始数据-增长前十'!P33/MAX('原始数据-增长前十'!P$5:P33)-1</x:f>
        <x:v>-0.05733694088795194</x:v>
      </x:c>
      <x:c r="AC33" s="30" t="n">
        <x:f>'原始数据-增长前十'!Q33/MAX('原始数据-增长前十'!Q$5:Q33)-1</x:f>
        <x:v>-0.05785280730223519</x:v>
      </x:c>
      <x:c r="AD33" s="30" t="n">
        <x:f>'原始数据-增长前十'!R33/MAX('原始数据-增长前十'!R$5:R33)-1</x:f>
        <x:v>-0.05040472543858665</x:v>
      </x:c>
      <x:c r="AE33" s="30" t="n">
        <x:f>'原始数据-增长前十'!S33/MAX('原始数据-增长前十'!S$5:S33)-1</x:f>
        <x:v>-0.045369705655868287</x:v>
      </x:c>
      <x:c r="AF33" s="30" t="n">
        <x:f>'原始数据-增长前十'!T33/MAX('原始数据-增长前十'!T$5:T33)-1</x:f>
        <x:v>-0.054337899530015554</x:v>
      </x:c>
      <x:c r="AG33" s="30" t="n">
        <x:f>'原始数据-增长前十'!U33/MAX('原始数据-增长前十'!U$5:U33)-1</x:f>
        <x:v>-0.031635264014887365</x:v>
      </x:c>
      <x:c r="AH33" s="30" t="n">
        <x:f>'原始数据-增长前十'!V33/MAX('原始数据-增长前十'!V$5:V33)-1</x:f>
        <x:v>-0.03573130061934271</x:v>
      </x:c>
      <x:c r="AI33" s="30" t="n">
        <x:f>'原始数据-增长前十'!W33/MAX('原始数据-增长前十'!W$5:W33)-1</x:f>
        <x:v>-0.04942843342456926</x:v>
      </x:c>
      <x:c r="AJ33" s="31" t="n">
        <x:f>'原始数据-增长前十'!X33/MAX('原始数据-增长前十'!X$5:X33)-1</x:f>
        <x:v>-0.030172413793103314</x:v>
      </x:c>
    </x:row>
    <x:row r="34">
      <x:c r="A34" s="26" t="n">
        <x:v>46233</x:v>
      </x:c>
      <x:c r="B34" s="27" t="n">
        <x:v>0.9739</x:v>
      </x:c>
      <x:c r="C34" s="27" t="n">
        <x:v>1.6681200991</x:v>
      </x:c>
      <x:c r="D34" s="27" t="n">
        <x:v>1.7452128586</x:v>
      </x:c>
      <x:c r="E34" s="27" t="n">
        <x:v>2.7165364967</x:v>
      </x:c>
      <x:c r="F34" s="27" t="n">
        <x:v>2.4531266288</x:v>
      </x:c>
      <x:c r="G34" s="27" t="n">
        <x:v>1.9790254888</x:v>
      </x:c>
      <x:c r="H34" s="27" t="n">
        <x:v>2.6112298009</x:v>
      </x:c>
      <x:c r="I34" s="27" t="n">
        <x:v>1.2342</x:v>
      </x:c>
      <x:c r="J34" s="27" t="n">
        <x:v>1.995</x:v>
      </x:c>
      <x:c r="K34" s="27" t="n">
        <x:v>1.1727</x:v>
      </x:c>
      <x:c r="L34" s="27" t="n">
        <x:v>1.2441245311</x:v>
      </x:c>
      <x:c r="M34" s="28"/>
      <x:c r="N34" s="29" t="n">
        <x:f>'原始数据-增长前十'!B34/'原始数据-增长前十'!B$5</x:f>
        <x:v>0.9739</x:v>
      </x:c>
      <x:c r="O34" s="29" t="n">
        <x:f>'原始数据-增长前十'!C34/'原始数据-增长前十'!C$5</x:f>
        <x:v>0.926598540142998</x:v>
      </x:c>
      <x:c r="P34" s="29" t="n">
        <x:f>'原始数据-增长前十'!D34/'原始数据-增长前十'!D$5</x:f>
        <x:v>0.9435450879676477</x:v>
      </x:c>
      <x:c r="Q34" s="29" t="n">
        <x:f>'原始数据-增长前十'!E34/'原始数据-增长前十'!E$5</x:f>
        <x:v>0.94624551510875</x:v>
      </x:c>
      <x:c r="R34" s="29" t="n">
        <x:f>'原始数据-增长前十'!F34/'原始数据-增长前十'!F$5</x:f>
        <x:v>0.9480542426769026</x:v>
      </x:c>
      <x:c r="S34" s="29" t="n">
        <x:f>'原始数据-增长前十'!G34/'原始数据-增长前十'!G$5</x:f>
        <x:v>0.959410660108208</x:v>
      </x:c>
      <x:c r="T34" s="29" t="n">
        <x:f>'原始数据-增长前十'!H34/'原始数据-增长前十'!H$5</x:f>
        <x:v>0.9517401391919573</x:v>
      </x:c>
      <x:c r="U34" s="29" t="n">
        <x:f>'原始数据-增长前十'!I34/'原始数据-增长前十'!I$5</x:f>
        <x:v>0.9779714738510301</x:v>
      </x:c>
      <x:c r="V34" s="29" t="n">
        <x:f>'原始数据-增长前十'!J34/'原始数据-增长前十'!J$5</x:f>
        <x:v>0.971275559883155</x:v>
      </x:c>
      <x:c r="W34" s="29" t="n">
        <x:f>'原始数据-增长前十'!K34/'原始数据-增长前十'!K$5</x:f>
        <x:v>0.9520214320506576</x:v>
      </x:c>
      <x:c r="X34" s="29" t="n">
        <x:f>'原始数据-增长前十'!L34/'原始数据-增长前十'!L$5</x:f>
        <x:v>0.9835361488815952</x:v>
      </x:c>
      <x:c r="Y34" s="28"/>
      <x:c r="Z34" s="30" t="n">
        <x:f>'原始数据-增长前十'!N34/MAX('原始数据-增长前十'!N$5:N34)-1</x:f>
        <x:v>-0.028722449386655913</x:v>
      </x:c>
      <x:c r="AA34" s="30" t="n">
        <x:f>'原始数据-增长前十'!O34/MAX('原始数据-增长前十'!O$5:O34)-1</x:f>
        <x:v>-0.07819216915479099</x:v>
      </x:c>
      <x:c r="AB34" s="30" t="n">
        <x:f>'原始数据-增长前十'!P34/MAX('原始数据-增长前十'!P$5:P34)-1</x:f>
        <x:v>-0.07057739908973293</x:v>
      </x:c>
      <x:c r="AC34" s="30" t="n">
        <x:f>'原始数据-增长前十'!Q34/MAX('原始数据-增长前十'!Q$5:Q34)-1</x:f>
        <x:v>-0.06619878605596963</x:v>
      </x:c>
      <x:c r="AD34" s="30" t="n">
        <x:f>'原始数据-增长前十'!R34/MAX('原始数据-增长前十'!R$5:R34)-1</x:f>
        <x:v>-0.06090570992250455</x:v>
      </x:c>
      <x:c r="AE34" s="30" t="n">
        <x:f>'原始数据-增长前十'!S34/MAX('原始数据-增长前十'!S$5:S34)-1</x:f>
        <x:v>-0.0463747308150092</x:v>
      </x:c>
      <x:c r="AF34" s="30" t="n">
        <x:f>'原始数据-增长前十'!T34/MAX('原始数据-增长前十'!T$5:T34)-1</x:f>
        <x:v>-0.06347031964983563</x:v>
      </x:c>
      <x:c r="AG34" s="30" t="n">
        <x:f>'原始数据-增长前十'!U34/MAX('原始数据-增长前十'!U$5:U34)-1</x:f>
        <x:v>-0.04303326354966275</x:v>
      </x:c>
      <x:c r="AH34" s="30" t="n">
        <x:f>'原始数据-增长前十'!V34/MAX('原始数据-增长前十'!V$5:V34)-1</x:f>
        <x:v>-0.049547403525488476</x:v>
      </x:c>
      <x:c r="AI34" s="30" t="n">
        <x:f>'原始数据-增长前十'!W34/MAX('原始数据-增长前十'!W$5:W34)-1</x:f>
        <x:v>-0.055949122524553196</x:v>
      </x:c>
      <x:c r="AJ34" s="31" t="n">
        <x:f>'原始数据-增长前十'!X34/MAX('原始数据-增长前十'!X$5:X34)-1</x:f>
        <x:v>-0.03087774297078527</x:v>
      </x:c>
    </x:row>
    <x:row r="35">
      <x:c r="A35" s="26" t="n">
        <x:v>46234</x:v>
      </x:c>
      <x:c r="B35" s="27" t="n">
        <x:v>0.9772</x:v>
      </x:c>
      <x:c r="C35" s="27" t="n">
        <x:v>1.6837836921</x:v>
      </x:c>
      <x:c r="D35" s="27" t="n">
        <x:v>1.7609949011</x:v>
      </x:c>
      <x:c r="E35" s="27" t="n">
        <x:v>2.7345621299</x:v>
      </x:c>
      <x:c r="F35" s="27" t="n">
        <x:v>2.4704995612</x:v>
      </x:c>
      <x:c r="G35" s="27" t="n">
        <x:v>1.9824519858</x:v>
      </x:c>
      <x:c r="H35" s="27" t="n">
        <x:v>2.6252344464</x:v>
      </x:c>
      <x:c r="I35" s="27" t="n">
        <x:v>1.2422</x:v>
      </x:c>
      <x:c r="J35" s="27" t="n">
        <x:v>2.012</x:v>
      </x:c>
      <x:c r="K35" s="27" t="n">
        <x:v>1.1774</x:v>
      </x:c>
      <x:c r="L35" s="27" t="n">
        <x:v>1.245331833</x:v>
      </x:c>
      <x:c r="M35" s="28"/>
      <x:c r="N35" s="29" t="n">
        <x:f>'原始数据-增长前十'!B35/'原始数据-增长前十'!B$5</x:f>
        <x:v>0.9772</x:v>
      </x:c>
      <x:c r="O35" s="29" t="n">
        <x:f>'原始数据-增长前十'!C35/'原始数据-增长前十'!C$5</x:f>
        <x:v>0.9352992700335045</x:v>
      </x:c>
      <x:c r="P35" s="29" t="n">
        <x:f>'原始数据-增长前十'!D35/'原始数据-增长前十'!D$5</x:f>
        <x:v>0.9520776108662683</x:v>
      </x:c>
      <x:c r="Q35" s="29" t="n">
        <x:f>'原始数据-增长前十'!E35/'原始数据-增长前十'!E$5</x:f>
        <x:v>0.9525243464784797</x:v>
      </x:c>
      <x:c r="R35" s="29" t="n">
        <x:f>'原始数据-增长前十'!F35/'原始数据-增长前十'!F$5</x:f>
        <x:v>0.9547683201632392</x:v>
      </x:c>
      <x:c r="S35" s="29" t="n">
        <x:f>'原始数据-增长前十'!G35/'原始数据-增长前十'!G$5</x:f>
        <x:v>0.9610717896728516</x:v>
      </x:c>
      <x:c r="T35" s="29" t="n">
        <x:f>'原始数据-增长前十'!H35/'原始数据-增长前十'!H$5</x:f>
        <x:v>0.9568445475641771</x:v>
      </x:c>
      <x:c r="U35" s="29" t="n">
        <x:f>'原始数据-增长前十'!I35/'原始数据-增长前十'!I$5</x:f>
        <x:v>0.984310618066561</x:v>
      </x:c>
      <x:c r="V35" s="29" t="n">
        <x:f>'原始数据-增长前十'!J35/'原始数据-增长前十'!J$5</x:f>
        <x:v>0.9795520934761442</x:v>
      </x:c>
      <x:c r="W35" s="29" t="n">
        <x:f>'原始数据-增长前十'!K35/'原始数据-增长前十'!K$5</x:f>
        <x:v>0.9558369865237863</x:v>
      </x:c>
      <x:c r="X35" s="29" t="n">
        <x:f>'原始数据-增长前十'!L35/'原始数据-增长前十'!L$5</x:f>
        <x:v>0.9844905750918184</x:v>
      </x:c>
      <x:c r="Y35" s="28"/>
      <x:c r="Z35" s="30" t="n">
        <x:f>'原始数据-增长前十'!N35/MAX('原始数据-增长前十'!N$5:N35)-1</x:f>
        <x:v>-0.025431335394434984</x:v>
      </x:c>
      <x:c r="AA35" s="30" t="n">
        <x:f>'原始数据-增长前十'!O35/MAX('原始数据-增长前十'!O$5:O35)-1</x:f>
        <x:v>-0.06953642386740899</x:v>
      </x:c>
      <x:c r="AB35" s="30" t="n">
        <x:f>'原始数据-增长前十'!P35/MAX('原始数据-增长前十'!P$5:P35)-1</x:f>
        <x:v>-0.06217258651014124</x:v>
      </x:c>
      <x:c r="AC35" s="30" t="n">
        <x:f>'原始数据-增长前十'!Q35/MAX('原始数据-增长前十'!Q$5:Q35)-1</x:f>
        <x:v>-0.06000252909983528</x:v>
      </x:c>
      <x:c r="AD35" s="30" t="n">
        <x:f>'原始数据-增长前十'!R35/MAX('原始数据-增长前十'!R$5:R35)-1</x:f>
        <x:v>-0.05425508641729937</x:v>
      </x:c>
      <x:c r="AE35" s="30" t="n">
        <x:f>'原始数据-增长前十'!S35/MAX('原始数据-增长前十'!S$5:S35)-1</x:f>
        <x:v>-0.044723618112075814</x:v>
      </x:c>
      <x:c r="AF35" s="30" t="n">
        <x:f>'原始数据-增长前十'!T35/MAX('原始数据-增长前十'!T$5:T35)-1</x:f>
        <x:v>-0.058447488580348095</x:v>
      </x:c>
      <x:c r="AG35" s="30" t="n">
        <x:f>'原始数据-增长前十'!U35/MAX('原始数据-增长前十'!U$5:U35)-1</x:f>
        <x:v>-0.03683027060556732</x:v>
      </x:c>
      <x:c r="AH35" s="30" t="n">
        <x:f>'原始数据-增长前十'!V35/MAX('原始数据-增长前十'!V$5:V35)-1</x:f>
        <x:v>-0.04144830871843752</x:v>
      </x:c>
      <x:c r="AI35" s="30" t="n">
        <x:f>'原始数据-增长前十'!W35/MAX('原始数据-增长前十'!W$5:W35)-1</x:f>
        <x:v>-0.05216551279987125</x:v>
      </x:c>
      <x:c r="AJ35" s="31" t="n">
        <x:f>'原始数据-增长前十'!X35/MAX('原始数据-增长前十'!X$5:X35)-1</x:f>
        <x:v>-0.02993730404124406</x:v>
      </x:c>
    </x:row>
    <x:row r="36">
      <x:c r="A36" s="26" t="n">
        <x:v>46237</x:v>
      </x:c>
      <x:c r="B36" s="27" t="n">
        <x:v>0.9748</x:v>
      </x:c>
      <x:c r="C36" s="27" t="n">
        <x:v>1.6749532101</x:v>
      </x:c>
      <x:c r="D36" s="27" t="n">
        <x:v>1.7550496111</x:v>
      </x:c>
      <x:c r="E36" s="27" t="n">
        <x:v>2.7200312623</x:v>
      </x:c>
      <x:c r="F36" s="27" t="n">
        <x:v>2.4549553585</x:v>
      </x:c>
      <x:c r="G36" s="27" t="n">
        <x:v>1.9842397234</x:v>
      </x:c>
      <x:c r="H36" s="27" t="n">
        <x:v>2.6137761001</x:v>
      </x:c>
      <x:c r="I36" s="27" t="n">
        <x:v>1.2298</x:v>
      </x:c>
      <x:c r="J36" s="27" t="n">
        <x:v>1.989</x:v>
      </x:c>
      <x:c r="K36" s="27" t="n">
        <x:v>1.1708</x:v>
      </x:c>
      <x:c r="L36" s="27" t="n">
        <x:v>1.2444263566</x:v>
      </x:c>
      <x:c r="M36" s="28"/>
      <x:c r="N36" s="29" t="n">
        <x:f>'原始数据-增长前十'!B36/'原始数据-增长前十'!B$5</x:f>
        <x:v>0.9748</x:v>
      </x:c>
      <x:c r="O36" s="29" t="n">
        <x:f>'原始数据-增长前十'!C36/'原始数据-增长前十'!C$5</x:f>
        <x:v>0.9303941605426629</x:v>
      </x:c>
      <x:c r="P36" s="29" t="n">
        <x:f>'原始数据-增长前十'!D36/'原始数据-增长前十'!D$5</x:f>
        <x:v>0.9488633042856125</x:v>
      </x:c>
      <x:c r="Q36" s="29" t="n">
        <x:f>'原始数据-增长前十'!E36/'原始数据-增长前十'!E$5</x:f>
        <x:v>0.9474628395508746</x:v>
      </x:c>
      <x:c r="R36" s="29" t="n">
        <x:f>'原始数据-增长前十'!F36/'原始数据-增长前十'!F$5</x:f>
        <x:v>0.948760987665294</x:v>
      </x:c>
      <x:c r="S36" s="29" t="n">
        <x:f>'原始数据-增长前十'!G36/'原始数据-增长前十'!G$5</x:f>
        <x:v>0.9619384659843103</x:v>
      </x:c>
      <x:c r="T36" s="29" t="n">
        <x:f>'原始数据-增长前十'!H36/'原始数据-增长前十'!H$5</x:f>
        <x:v>0.9526682134480787</x:v>
      </x:c>
      <x:c r="U36" s="29" t="n">
        <x:f>'原始数据-增长前十'!I36/'原始数据-增长前十'!I$5</x:f>
        <x:v>0.9744849445324881</x:v>
      </x:c>
      <x:c r="V36" s="29" t="n">
        <x:f>'原始数据-增长前十'!J36/'原始数据-增长前十'!J$5</x:f>
        <x:v>0.968354430379747</x:v>
      </x:c>
      <x:c r="W36" s="29" t="n">
        <x:f>'原始数据-增长前十'!K36/'原始数据-增长前十'!K$5</x:f>
        <x:v>0.9504789738593928</x:v>
      </x:c>
      <x:c r="X36" s="29" t="n">
        <x:f>'原始数据-增长前十'!L36/'原始数据-增长前十'!L$5</x:f>
        <x:v>0.9837747554539146</x:v>
      </x:c>
      <x:c r="Y36" s="28"/>
      <x:c r="Z36" s="30" t="n">
        <x:f>'原始数据-增长前十'!N36/MAX('原始数据-增长前十'!N$5:N36)-1</x:f>
        <x:v>-0.027824872843322912</x:v>
      </x:c>
      <x:c r="AA36" s="30" t="n">
        <x:f>'原始数据-增长前十'!O36/MAX('原始数据-增长前十'!O$5:O36)-1</x:f>
        <x:v>-0.07441617291073599</x:v>
      </x:c>
      <x:c r="AB36" s="30" t="n">
        <x:f>'原始数据-增长前十'!P36/MAX('原始数据-增长前十'!P$5:P36)-1</x:f>
        <x:v>-0.06533878303896945</x:v>
      </x:c>
      <x:c r="AC36" s="30" t="n">
        <x:f>'原始数据-增长前十'!Q36/MAX('原始数据-增长前十'!Q$5:Q36)-1</x:f>
        <x:v>-0.06499747093883634</x:v>
      </x:c>
      <x:c r="AD36" s="30" t="n">
        <x:f>'原始数据-增长前十'!R36/MAX('原始数据-增长前十'!R$5:R36)-1</x:f>
        <x:v>-0.060205644300451944</x:v>
      </x:c>
      <x:c r="AE36" s="30" t="n">
        <x:f>'原始数据-增长前十'!S36/MAX('原始数据-增长前十'!S$5:S36)-1</x:f>
        <x:v>-0.043862167989437095</x:v>
      </x:c>
      <x:c r="AF36" s="30" t="n">
        <x:f>'原始数据-增长前十'!T36/MAX('原始数据-增长前十'!T$5:T36)-1</x:f>
        <x:v>-0.06255707763068052</x:v>
      </x:c>
      <x:c r="AG36" s="30" t="n">
        <x:f>'原始数据-增长前十'!U36/MAX('原始数据-增长前十'!U$5:U36)-1</x:f>
        <x:v>-0.046444909668915346</x:v>
      </x:c>
      <x:c r="AH36" s="30" t="n">
        <x:f>'原始数据-增长前十'!V36/MAX('原始数据-增长前十'!V$5:V36)-1</x:f>
        <x:v>-0.052405907575035826</x:v>
      </x:c>
      <x:c r="AI36" s="30" t="n">
        <x:f>'原始数据-增长前十'!W36/MAX('原始数据-增长前十'!W$5:W36)-1</x:f>
        <x:v>-0.05747866688133951</x:v>
      </x:c>
      <x:c r="AJ36" s="31" t="n">
        <x:f>'原始数据-增长前十'!X36/MAX('原始数据-增长前十'!X$5:X36)-1</x:f>
        <x:v>-0.03064263321892602</x:v>
      </x:c>
    </x:row>
    <x:row r="37">
      <x:c r="A37" s="26" t="n">
        <x:v>46238</x:v>
      </x:c>
      <x:c r="B37" s="27" t="n">
        <x:v>0.9797</x:v>
      </x:c>
      <x:c r="C37" s="27" t="n">
        <x:v>1.7048086493</x:v>
      </x:c>
      <x:c r="D37" s="27" t="n">
        <x:v>1.7836950994</x:v>
      </x:c>
      <x:c r="E37" s="27" t="n">
        <x:v>2.7457821669</x:v>
      </x:c>
      <x:c r="F37" s="27" t="n">
        <x:v>2.4826148956</x:v>
      </x:c>
      <x:c r="G37" s="27" t="n">
        <x:v>1.9925824987</x:v>
      </x:c>
      <x:c r="H37" s="27" t="n">
        <x:v>2.6366927927</x:v>
      </x:c>
      <x:c r="I37" s="27" t="n">
        <x:v>1.2454</x:v>
      </x:c>
      <x:c r="J37" s="27" t="n">
        <x:v>2.02</x:v>
      </x:c>
      <x:c r="K37" s="27" t="n">
        <x:v>1.1785</x:v>
      </x:c>
      <x:c r="L37" s="27" t="n">
        <x:v>1.2463379178</x:v>
      </x:c>
      <x:c r="M37" s="28"/>
      <x:c r="N37" s="29" t="n">
        <x:f>'原始数据-增长前十'!B37/'原始数据-增长前十'!B$5</x:f>
        <x:v>0.9797</x:v>
      </x:c>
      <x:c r="O37" s="29" t="n">
        <x:f>'原始数据-增长前十'!C37/'原始数据-增长前十'!C$5</x:f>
        <x:v>0.9469781021862974</x:v>
      </x:c>
      <x:c r="P37" s="29" t="n">
        <x:f>'原始数据-增长前十'!D37/'原始数据-增长前十'!D$5</x:f>
        <x:v>0.9643504178744854</x:v>
      </x:c>
      <x:c r="Q37" s="29" t="n">
        <x:f>'原始数据-增长前十'!E37/'原始数据-增长前十'!E$5</x:f>
        <x:v>0.9564325986604407</x:v>
      </x:c>
      <x:c r="R37" s="29" t="n">
        <x:f>'原始数据-增长前十'!F37/'原始数据-增长前十'!F$5</x:f>
        <x:v>0.9594505057644724</x:v>
      </x:c>
      <x:c r="S37" s="29" t="n">
        <x:f>'原始数据-增长前十'!G37/'原始数据-增长前十'!G$5</x:f>
        <x:v>0.9659829553569869</x:v>
      </x:c>
      <x:c r="T37" s="29" t="n">
        <x:f>'原始数据-增长前十'!H37/'原始数据-增长前十'!H$5</x:f>
        <x:v>0.9610208816802757</x:v>
      </x:c>
      <x:c r="U37" s="29" t="n">
        <x:f>'原始数据-增长前十'!I37/'原始数据-增长前十'!I$5</x:f>
        <x:v>0.9868462757527734</x:v>
      </x:c>
      <x:c r="V37" s="29" t="n">
        <x:f>'原始数据-增长前十'!J37/'原始数据-增长前十'!J$5</x:f>
        <x:v>0.9834469328140215</x:v>
      </x:c>
      <x:c r="W37" s="29" t="n">
        <x:f>'原始数据-增长前十'!K37/'原始数据-增长前十'!K$5</x:f>
        <x:v>0.9567299886345186</x:v>
      </x:c>
      <x:c r="X37" s="29" t="n">
        <x:f>'原始数据-增长前十'!L37/'原始数据-增长前十'!L$5</x:f>
        <x:v>0.9852859301747742</x:v>
      </x:c>
      <x:c r="Y37" s="28"/>
      <x:c r="Z37" s="30" t="n">
        <x:f>'原始数据-增长前十'!N37/MAX('原始数据-增长前十'!N$5:N37)-1</x:f>
        <x:v>-0.022938067218509883</x:v>
      </x:c>
      <x:c r="AA37" s="30" t="n">
        <x:f>'原始数据-增长前十'!O37/MAX('原始数据-增长前十'!O$5:O37)-1</x:f>
        <x:v>-0.05791797373267227</x:v>
      </x:c>
      <x:c r="AB37" s="30" t="n">
        <x:f>'原始数据-增长前十'!P37/MAX('原始数据-增长前十'!P$5:P37)-1</x:f>
        <x:v>-0.05008347242804023</x:v>
      </x:c>
      <x:c r="AC37" s="30" t="n">
        <x:f>'原始数据-增长前十'!Q37/MAX('原始数据-增长前十'!Q$5:Q37)-1</x:f>
        <x:v>-0.05614567527739456</x:v>
      </x:c>
      <x:c r="AD37" s="30" t="n">
        <x:f>'原始数据-增长前十'!R37/MAX('原始数据-增长前十'!R$5:R37)-1</x:f>
        <x:v>-0.049617151618562616</x:v>
      </x:c>
      <x:c r="AE37" s="30" t="n">
        <x:f>'原始数据-增长前十'!S37/MAX('原始数据-增长前十'!S$5:S37)-1</x:f>
        <x:v>-0.039842067497433464</x:v>
      </x:c>
      <x:c r="AF37" s="30" t="n">
        <x:f>'原始数据-增长前十'!T37/MAX('原始数据-增长前十'!T$5:T37)-1</x:f>
        <x:v>-0.054337899530015554</x:v>
      </x:c>
      <x:c r="AG37" s="30" t="n">
        <x:f>'原始数据-增长前十'!U37/MAX('原始数据-增长前十'!U$5:U37)-1</x:f>
        <x:v>-0.03434907342792903</x:v>
      </x:c>
      <x:c r="AH37" s="30" t="n">
        <x:f>'原始数据-增长前十'!V37/MAX('原始数据-增长前十'!V$5:V37)-1</x:f>
        <x:v>-0.03763696998570765</x:v>
      </x:c>
      <x:c r="AI37" s="30" t="n">
        <x:f>'原始数据-增长前十'!W37/MAX('原始数据-增长前十'!W$5:W37)-1</x:f>
        <x:v>-0.05127998711962645</x:v>
      </x:c>
      <x:c r="AJ37" s="31" t="n">
        <x:f>'原始数据-增长前十'!X37/MAX('原始数据-增长前十'!X$5:X37)-1</x:f>
        <x:v>-0.029153605024171525</x:v>
      </x:c>
    </x:row>
    <x:row r="38">
      <x:c r="A38" s="26" t="n">
        <x:v>46239</x:v>
      </x:c>
      <x:c r="B38" s="27" t="n">
        <x:v>0.9844</x:v>
      </x:c>
      <x:c r="C38" s="27" t="n">
        <x:v>1.7110110116</x:v>
      </x:c>
      <x:c r="D38" s="27" t="n">
        <x:v>1.7908294474</x:v>
      </x:c>
      <x:c r="E38" s="27" t="n">
        <x:v>2.7553467886</x:v>
      </x:c>
      <x:c r="F38" s="27" t="n">
        <x:v>2.5034166962</x:v>
      </x:c>
      <x:c r="G38" s="27" t="n">
        <x:v>2.0047987054</x:v>
      </x:c>
      <x:c r="H38" s="27" t="n">
        <x:v>2.6443316902</x:v>
      </x:c>
      <x:c r="I38" s="27" t="n">
        <x:v>1.2591</x:v>
      </x:c>
      <x:c r="J38" s="27" t="n">
        <x:v>2.046</x:v>
      </x:c>
      <x:c r="K38" s="27" t="n">
        <x:v>1.1859</x:v>
      </x:c>
      <x:c r="L38" s="27" t="n">
        <x:v>1.2466397433</x:v>
      </x:c>
      <x:c r="M38" s="28"/>
      <x:c r="N38" s="29" t="n">
        <x:f>'原始数据-增长前十'!B38/'原始数据-增长前十'!B$5</x:f>
        <x:v>0.9844</x:v>
      </x:c>
      <x:c r="O38" s="29" t="n">
        <x:f>'原始数据-增长前十'!C38/'原始数据-增长前十'!C$5</x:f>
        <x:v>0.950423357630266</x:v>
      </x:c>
      <x:c r="P38" s="29" t="n">
        <x:f>'原始数据-增长前十'!D38/'原始数据-增长前十'!D$5</x:f>
        <x:v>0.9682075857712723</x:v>
      </x:c>
      <x:c r="Q38" s="29" t="n">
        <x:f>'原始数据-增长前十'!E38/'原始数据-增长前十'!E$5</x:f>
        <x:v>0.9597642234695793</x:v>
      </x:c>
      <x:c r="R38" s="29" t="n">
        <x:f>'原始数据-增长前十'!F38/'原始数据-增长前十'!F$5</x:f>
        <x:v>0.9674897301088742</x:v>
      </x:c>
      <x:c r="S38" s="29" t="n">
        <x:f>'原始数据-增长前十'!G38/'原始数据-增长前十'!G$5</x:f>
        <x:v>0.9719052433721714</x:v>
      </x:c>
      <x:c r="T38" s="29" t="n">
        <x:f>'原始数据-增长前十'!H38/'原始数据-增长前十'!H$5</x:f>
        <x:v>0.963805104412192</x:v>
      </x:c>
      <x:c r="U38" s="29" t="n">
        <x:f>'原始数据-增长前十'!I38/'原始数据-增长前十'!I$5</x:f>
        <x:v>0.9977020602218701</x:v>
      </x:c>
      <x:c r="V38" s="29" t="n">
        <x:f>'原始数据-增长前十'!J38/'原始数据-增长前十'!J$5</x:f>
        <x:v>0.9961051606621227</x:v>
      </x:c>
      <x:c r="W38" s="29" t="n">
        <x:f>'原始数据-增长前十'!K38/'原始数据-增长前十'!K$5</x:f>
        <x:v>0.9627374573794447</x:v>
      </x:c>
      <x:c r="X38" s="29" t="n">
        <x:f>'原始数据-增长前十'!L38/'原始数据-增长前十'!L$5</x:f>
        <x:v>0.9855245367470935</x:v>
      </x:c>
      <x:c r="Y38" s="28"/>
      <x:c r="Z38" s="30" t="n">
        <x:f>'原始数据-增长前十'!N38/MAX('原始数据-增长前十'!N$5:N38)-1</x:f>
        <x:v>-0.018250723047770867</x:v>
      </x:c>
      <x:c r="AA38" s="30" t="n">
        <x:f>'原始数据-增长前十'!O38/MAX('原始数据-增长前十'!O$5:O38)-1</x:f>
        <x:v>-0.05449053098381773</x:v>
      </x:c>
      <x:c r="AB38" s="30" t="n">
        <x:f>'原始数据-增长前十'!P38/MAX('原始数据-增长前十'!P$5:P38)-1</x:f>
        <x:v>-0.04628403659344649</x:v>
      </x:c>
      <x:c r="AC38" s="30" t="n">
        <x:f>'原始数据-增长前十'!Q38/MAX('原始数据-增长前十'!Q$5:Q38)-1</x:f>
        <x:v>-0.052857865463234344</x:v>
      </x:c>
      <x:c r="AD38" s="30" t="n">
        <x:f>'原始数据-增长前十'!R38/MAX('原始数据-增长前十'!R$5:R38)-1</x:f>
        <x:v>-0.04165390506722311</x:v>
      </x:c>
      <x:c r="AE38" s="30" t="n">
        <x:f>'原始数据-增长前十'!S38/MAX('原始数据-增长前十'!S$5:S38)-1</x:f>
        <x:v>-0.03395549177183699</x:v>
      </x:c>
      <x:c r="AF38" s="30" t="n">
        <x:f>'原始数据-增长前十'!T38/MAX('原始数据-增长前十'!T$5:T38)-1</x:f>
        <x:v>-0.05159817350841567</x:v>
      </x:c>
      <x:c r="AG38" s="30" t="n">
        <x:f>'原始数据-增长前十'!U38/MAX('原始数据-增长前十'!U$5:U38)-1</x:f>
        <x:v>-0.023726448011165413</x:v>
      </x:c>
      <x:c r="AH38" s="30" t="n">
        <x:f>'原始数据-增长前十'!V38/MAX('原始数据-增长前十'!V$5:V38)-1</x:f>
        <x:v>-0.02525011910433561</x:v>
      </x:c>
      <x:c r="AI38" s="30" t="n">
        <x:f>'原始数据-增长前十'!W38/MAX('原始数据-增长前十'!W$5:W38)-1</x:f>
        <x:v>-0.04532281436161656</x:v>
      </x:c>
      <x:c r="AJ38" s="31" t="n">
        <x:f>'原始数据-增长前十'!X38/MAX('原始数据-增长前十'!X$5:X38)-1</x:f>
        <x:v>-0.028918495272312383</x:v>
      </x:c>
    </x:row>
    <x:row r="39">
      <x:c r="A39" s="26" t="n">
        <x:v>46240</x:v>
      </x:c>
      <x:c r="B39" s="27" t="n">
        <x:v>0.9867</x:v>
      </x:c>
      <x:c r="C39" s="27" t="n">
        <x:v>1.7154262526</x:v>
      </x:c>
      <x:c r="D39" s="27" t="n">
        <x:v>1.7938561405</x:v>
      </x:c>
      <x:c r="E39" s="27" t="n">
        <x:v>2.7553467886</x:v>
      </x:c>
      <x:c r="F39" s="27" t="n">
        <x:v>2.5069598601</x:v>
      </x:c>
      <x:c r="G39" s="27" t="n">
        <x:v>2.0045007492</x:v>
      </x:c>
      <x:c r="H39" s="27" t="n">
        <x:v>2.6494242885</x:v>
      </x:c>
      <x:c r="I39" s="27" t="n">
        <x:v>1.2645</x:v>
      </x:c>
      <x:c r="J39" s="27" t="n">
        <x:v>2.054</x:v>
      </x:c>
      <x:c r="K39" s="27" t="n">
        <x:v>1.1867</x:v>
      </x:c>
      <x:c r="L39" s="27" t="n">
        <x:v>1.2475452196</x:v>
      </x:c>
      <x:c r="M39" s="28"/>
      <x:c r="N39" s="29" t="n">
        <x:f>'原始数据-增长前十'!B39/'原始数据-增长前十'!B$5</x:f>
        <x:v>0.9867</x:v>
      </x:c>
      <x:c r="O39" s="29" t="n">
        <x:f>'原始数据-增长前十'!C39/'原始数据-增长前十'!C$5</x:f>
        <x:v>0.9528759123756868</x:v>
      </x:c>
      <x:c r="P39" s="29" t="n">
        <x:f>'原始数据-增长前十'!D39/'原始数据-增长前十'!D$5</x:f>
        <x:v>0.9698439600354303</x:v>
      </x:c>
      <x:c r="Q39" s="29" t="n">
        <x:f>'原始数据-增长前十'!E39/'原始数据-增长前十'!E$5</x:f>
        <x:v>0.9597642234695793</x:v>
      </x:c>
      <x:c r="R39" s="29" t="n">
        <x:f>'原始数据-增长前十'!F39/'原始数据-增长前十'!F$5</x:f>
        <x:v>0.968859048564945</x:v>
      </x:c>
      <x:c r="S39" s="29" t="n">
        <x:f>'原始数据-增长前十'!G39/'原始数据-增长前十'!G$5</x:f>
        <x:v>0.971760797352581</x:v>
      </x:c>
      <x:c r="T39" s="29" t="n">
        <x:f>'原始数据-增长前十'!H39/'原始数据-增长前十'!H$5</x:f>
        <x:v>0.9656612528879869</x:v>
      </x:c>
      <x:c r="U39" s="29" t="n">
        <x:f>'原始数据-增长前十'!I39/'原始数据-增长前十'!I$5</x:f>
        <x:v>1.0019809825673534</x:v>
      </x:c>
      <x:c r="V39" s="29" t="n">
        <x:f>'原始数据-增长前十'!J39/'原始数据-增长前十'!J$5</x:f>
        <x:v>1</x:v>
      </x:c>
      <x:c r="W39" s="29" t="n">
        <x:f>'原始数据-增长前十'!K39/'原始数据-增长前十'!K$5</x:f>
        <x:v>0.9633869134599773</x:v>
      </x:c>
      <x:c r="X39" s="29" t="n">
        <x:f>'原始数据-增长前十'!L39/'原始数据-增长前十'!L$5</x:f>
        <x:v>0.9862403563059429</x:v>
      </x:c>
      <x:c r="Y39" s="28"/>
      <x:c r="Z39" s="30" t="n">
        <x:f>'原始数据-增长前十'!N39/MAX('原始数据-增长前十'!N$5:N39)-1</x:f>
        <x:v>-0.01595691632591989</x:v>
      </x:c>
      <x:c r="AA39" s="30" t="n">
        <x:f>'原始数据-增长前十'!O39/MAX('原始数据-增长前十'!O$5:O39)-1</x:f>
        <x:v>-0.05205065646215423</x:v>
      </x:c>
      <x:c r="AB39" s="30" t="n">
        <x:f>'原始数据-增长前十'!P39/MAX('原始数据-增长前十'!P$5:P39)-1</x:f>
        <x:v>-0.04467215471938335</x:v>
      </x:c>
      <x:c r="AC39" s="30" t="n">
        <x:f>'原始数据-增长前十'!Q39/MAX('原始数据-增长前十'!Q$5:Q39)-1</x:f>
        <x:v>-0.052857865463234344</x:v>
      </x:c>
      <x:c r="AD39" s="30" t="n">
        <x:f>'原始数据-增长前十'!R39/MAX('原始数据-增长前十'!R$5:R39)-1</x:f>
        <x:v>-0.04029752788382168</x:v>
      </x:c>
      <x:c r="AE39" s="30" t="n">
        <x:f>'原始数据-增长前十'!S39/MAX('原始数据-增长前十'!S$5:S39)-1</x:f>
        <x:v>-0.034099066760152286</x:v>
      </x:c>
      <x:c r="AF39" s="30" t="n">
        <x:f>'原始数据-增长前十'!T39/MAX('原始数据-增长前十'!T$5:T39)-1</x:f>
        <x:v>-0.049771689505970995</x:v>
      </x:c>
      <x:c r="AG39" s="30" t="n">
        <x:f>'原始数据-增长前十'!U39/MAX('原始数据-增长前十'!U$5:U39)-1</x:f>
        <x:v>-0.019539427773901052</x:v>
      </x:c>
      <x:c r="AH39" s="30" t="n">
        <x:f>'原始数据-增长前十'!V39/MAX('原始数据-增长前十'!V$5:V39)-1</x:f>
        <x:v>-0.021438780371605848</x:v>
      </x:c>
      <x:c r="AI39" s="30" t="n">
        <x:f>'原始数据-增长前十'!W39/MAX('原始数据-增长前十'!W$5:W39)-1</x:f>
        <x:v>-0.044678795685074824</x:v>
      </x:c>
      <x:c r="AJ39" s="31" t="n">
        <x:f>'原始数据-增长前十'!X39/MAX('原始数据-增长前十'!X$5:X39)-1</x:f>
        <x:v>-0.028213166172526227</x:v>
      </x:c>
    </x:row>
    <x:row r="40">
      <x:c r="A40" s="26" t="n">
        <x:v>46241</x:v>
      </x:c>
      <x:c r="B40" s="27" t="n">
        <x:v>0.9899</x:v>
      </x:c>
      <x:c r="C40" s="27" t="n">
        <x:v>1.7215234902</x:v>
      </x:c>
      <x:c r="D40" s="27" t="n">
        <x:v>1.8058548167</x:v>
      </x:c>
      <x:c r="E40" s="27" t="n">
        <x:v>2.7608648396</x:v>
      </x:c>
      <x:c r="F40" s="27" t="n">
        <x:v>2.5203324462</x:v>
      </x:c>
      <x:c r="G40" s="27" t="n">
        <x:v>2.0112047651</x:v>
      </x:c>
      <x:c r="H40" s="27" t="n">
        <x:v>2.6545168869</x:v>
      </x:c>
      <x:c r="I40" s="27" t="n">
        <x:v>1.2751</x:v>
      </x:c>
      <x:c r="J40" s="27" t="n">
        <x:v>2.071</x:v>
      </x:c>
      <x:c r="K40" s="27" t="n">
        <x:v>1.1921</x:v>
      </x:c>
      <x:c r="L40" s="27" t="n">
        <x:v>1.2493561724</x:v>
      </x:c>
      <x:c r="M40" s="28"/>
      <x:c r="N40" s="29" t="n">
        <x:f>'原始数据-增长前十'!B40/'原始数据-增长前十'!B$5</x:f>
        <x:v>0.9899</x:v>
      </x:c>
      <x:c r="O40" s="29" t="n">
        <x:f>'原始数据-增长前十'!C40/'原始数据-增长前十'!C$5</x:f>
        <x:v>0.9562627737066625</x:v>
      </x:c>
      <x:c r="P40" s="29" t="n">
        <x:f>'原始数据-增长前十'!D40/'原始数据-增长前十'!D$5</x:f>
        <x:v>0.976331015144402</x:v>
      </x:c>
      <x:c r="Q40" s="29" t="n">
        <x:f>'原始数据-增长前十'!E40/'原始数据-增长前十'!E$5</x:f>
        <x:v>0.9616863147123197</x:v>
      </x:c>
      <x:c r="R40" s="29" t="n">
        <x:f>'原始数据-增长前十'!F40/'原始数据-增长前十'!F$5</x:f>
        <x:v>0.9740271213577746</x:v>
      </x:c>
      <x:c r="S40" s="29" t="n">
        <x:f>'原始数据-增长前十'!G40/'原始数据-增长前十'!G$5</x:f>
        <x:v>0.9750108334720728</x:v>
      </x:c>
      <x:c r="T40" s="29" t="n">
        <x:f>'原始数据-增长前十'!H40/'原始数据-增长前十'!H$5</x:f>
        <x:v>0.9675174014002298</x:v>
      </x:c>
      <x:c r="U40" s="29" t="n">
        <x:f>'原始数据-增长前十'!I40/'原始数据-增长前十'!I$5</x:f>
        <x:v>1.0103803486529317</x:v>
      </x:c>
      <x:c r="V40" s="29" t="n">
        <x:f>'原始数据-增长前十'!J40/'原始数据-增长前十'!J$5</x:f>
        <x:v>1.0082765335929895</x:v>
      </x:c>
      <x:c r="W40" s="29" t="n">
        <x:f>'原始数据-增长前十'!K40/'原始数据-增长前十'!K$5</x:f>
        <x:v>0.9677707420035719</x:v>
      </x:c>
      <x:c r="X40" s="29" t="n">
        <x:f>'原始数据-增长前十'!L40/'原始数据-增长前十'!L$5</x:f>
        <x:v>0.9876719955817502</x:v>
      </x:c>
      <x:c r="Y40" s="28"/>
      <x:c r="Z40" s="30" t="n">
        <x:f>'原始数据-增长前十'!N40/MAX('原始数据-增长前十'!N$5:N40)-1</x:f>
        <x:v>-0.012765533060735912</x:v>
      </x:c>
      <x:c r="AA40" s="30" t="n">
        <x:f>'原始数据-增长前十'!O40/MAX('原始数据-增长前十'!O$5:O40)-1</x:f>
        <x:v>-0.04868130591644926</x:v>
      </x:c>
      <x:c r="AB40" s="30" t="n">
        <x:f>'原始数据-增长前十'!P40/MAX('原始数据-增长前十'!P$5:P40)-1</x:f>
        <x:v>-0.03828219444242886</x:v>
      </x:c>
      <x:c r="AC40" s="30" t="n">
        <x:f>'原始数据-增长前十'!Q40/MAX('原始数据-增长前十'!Q$5:Q40)-1</x:f>
        <x:v>-0.050961052102300286</x:v>
      </x:c>
      <x:c r="AD40" s="30" t="n">
        <x:f>'原始数据-增长前十'!R40/MAX('原始数据-增长前十'!R$5:R40)-1</x:f>
        <x:v>-0.03517829795796068</x:v>
      </x:c>
      <x:c r="AE40" s="30" t="n">
        <x:f>'原始数据-增长前十'!S40/MAX('原始数据-增长前十'!S$5:S40)-1</x:f>
        <x:v>-0.030868628848443325</x:v>
      </x:c>
      <x:c r="AF40" s="30" t="n">
        <x:f>'原始数据-增长前十'!T40/MAX('原始数据-增长前十'!T$5:T40)-1</x:f>
        <x:v>-0.04794520546766068</x:v>
      </x:c>
      <x:c r="AG40" s="30" t="n">
        <x:f>'原始数据-增长前十'!U40/MAX('原始数据-增长前十'!U$5:U40)-1</x:f>
        <x:v>-0.01132046212297455</x:v>
      </x:c>
      <x:c r="AH40" s="30" t="n">
        <x:f>'原始数据-增长前十'!V40/MAX('原始数据-增长前十'!V$5:V40)-1</x:f>
        <x:v>-0.01333968556455456</x:v>
      </x:c>
      <x:c r="AI40" s="30" t="n">
        <x:f>'原始数据-增长前十'!W40/MAX('原始数据-增长前十'!W$5:W40)-1</x:f>
        <x:v>-0.04033166961841905</x:v>
      </x:c>
      <x:c r="AJ40" s="31" t="n">
        <x:f>'原始数据-增长前十'!X40/MAX('原始数据-增长前十'!X$5:X40)-1</x:f>
        <x:v>-0.026802507817162535</x:v>
      </x:c>
    </x:row>
    <x:row r="41">
      <x:c r="A41" s="26" t="n">
        <x:v>46244</x:v>
      </x:c>
      <x:c r="B41" s="27" t="n">
        <x:v>0.992</x:v>
      </x:c>
      <x:c r="C41" s="27" t="n">
        <x:v>1.7155313774</x:v>
      </x:c>
      <x:c r="D41" s="27" t="n">
        <x:v>1.7972071221</x:v>
      </x:c>
      <x:c r="E41" s="27" t="n">
        <x:v>2.7638078001</x:v>
      </x:c>
      <x:c r="F41" s="27" t="n">
        <x:v>2.5193037857</x:v>
      </x:c>
      <x:c r="G41" s="27" t="n">
        <x:v>2.0147802402</x:v>
      </x:c>
      <x:c r="H41" s="27" t="n">
        <x:v>2.6456048398</x:v>
      </x:c>
      <x:c r="I41" s="27" t="n">
        <x:v>1.2725</x:v>
      </x:c>
      <x:c r="J41" s="27" t="n">
        <x:v>2.064</x:v>
      </x:c>
      <x:c r="K41" s="27" t="n">
        <x:v>1.1921</x:v>
      </x:c>
      <x:c r="L41" s="27" t="n">
        <x:v>1.2501610403</x:v>
      </x:c>
      <x:c r="M41" s="28"/>
      <x:c r="N41" s="29" t="n">
        <x:f>'原始数据-增长前十'!B41/'原始数据-增长前十'!B$5</x:f>
        <x:v>0.992</x:v>
      </x:c>
      <x:c r="O41" s="29" t="n">
        <x:f>'原始数据-增长前十'!C41/'原始数据-增长前十'!C$5</x:f>
        <x:v>0.9529343065442275</x:v>
      </x:c>
      <x:c r="P41" s="29" t="n">
        <x:f>'原始数据-增长前十'!D41/'原始数据-增长前十'!D$5</x:f>
        <x:v>0.9716556600885038</x:v>
      </x:c>
      <x:c r="Q41" s="29" t="n">
        <x:f>'原始数据-增长前十'!E41/'原始数据-增长前十'!E$5</x:f>
        <x:v>0.9627114300301702</x:v>
      </x:c>
      <x:c r="R41" s="29" t="n">
        <x:f>'原始数据-增长前十'!F41/'原始数据-增长前十'!F$5</x:f>
        <x:v>0.9736295772848965</x:v>
      </x:c>
      <x:c r="S41" s="29" t="n">
        <x:f>'原始数据-增长前十'!G41/'原始数据-增长前十'!G$5</x:f>
        <x:v>0.9767441860465116</x:v>
      </x:c>
      <x:c r="T41" s="29" t="n">
        <x:f>'原始数据-增长前十'!H41/'原始数据-增长前十'!H$5</x:f>
        <x:v>0.9642691415402527</x:v>
      </x:c>
      <x:c r="U41" s="29" t="n">
        <x:f>'原始数据-增长前十'!I41/'原始数据-增长前十'!I$5</x:f>
        <x:v>1.0083201267828843</x:v>
      </x:c>
      <x:c r="V41" s="29" t="n">
        <x:f>'原始数据-增长前十'!J41/'原始数据-增长前十'!J$5</x:f>
        <x:v>1.0048685491723468</x:v>
      </x:c>
      <x:c r="W41" s="29" t="n">
        <x:f>'原始数据-增长前十'!K41/'原始数据-增长前十'!K$5</x:f>
        <x:v>0.9677707420035719</x:v>
      </x:c>
      <x:c r="X41" s="29" t="n">
        <x:f>'原始数据-增长前十'!L41/'原始数据-增长前十'!L$5</x:f>
        <x:v>0.9883082796955476</x:v>
      </x:c>
      <x:c r="Y41" s="28"/>
      <x:c r="Z41" s="30" t="n">
        <x:f>'原始数据-增长前十'!N41/MAX('原始数据-增长前十'!N$5:N41)-1</x:f>
        <x:v>-0.010671187792958947</x:v>
      </x:c>
      <x:c r="AA41" s="30" t="n">
        <x:f>'原始数据-增长前十'!O41/MAX('原始数据-增长前十'!O$5:O41)-1</x:f>
        <x:v>-0.051992564203743985</x:v>
      </x:c>
      <x:c r="AB41" s="30" t="n">
        <x:f>'原始数据-增长前十'!P41/MAX('原始数据-增长前十'!P$5:P41)-1</x:f>
        <x:v>-0.04288757124068199</x:v>
      </x:c>
      <x:c r="AC41" s="30" t="n">
        <x:f>'原始数据-增长前十'!Q41/MAX('原始数据-增长前十'!Q$5:Q41)-1</x:f>
        <x:v>-0.04994941832126043</x:v>
      </x:c>
      <x:c r="AD41" s="30" t="n">
        <x:f>'原始数据-增长前十'!R41/MAX('原始数据-增长前十'!R$5:R41)-1</x:f>
        <x:v>-0.03557208488711339</x:v>
      </x:c>
      <x:c r="AE41" s="30" t="n">
        <x:f>'原始数据-增长前十'!S41/MAX('原始数据-增长前十'!S$5:S41)-1</x:f>
        <x:v>-0.029145728651352232</x:v>
      </x:c>
      <x:c r="AF41" s="30" t="n">
        <x:f>'原始数据-增长前十'!T41/MAX('原始数据-增长前十'!T$5:T41)-1</x:f>
        <x:v>-0.051141552498838116</x:v>
      </x:c>
      <x:c r="AG41" s="30" t="n">
        <x:f>'原始数据-增长前十'!U41/MAX('原始数据-增长前十'!U$5:U41)-1</x:f>
        <x:v>-0.01333643482980551</x:v>
      </x:c>
      <x:c r="AH41" s="30" t="n">
        <x:f>'原始数据-增长前十'!V41/MAX('原始数据-增长前十'!V$5:V41)-1</x:f>
        <x:v>-0.01667460695569334</x:v>
      </x:c>
      <x:c r="AI41" s="30" t="n">
        <x:f>'原始数据-增长前十'!W41/MAX('原始数据-增长前十'!W$5:W41)-1</x:f>
        <x:v>-0.04033166961841905</x:v>
      </x:c>
      <x:c r="AJ41" s="31" t="n">
        <x:f>'原始数据-增长前十'!X41/MAX('原始数据-增长前十'!X$5:X41)-1</x:f>
        <x:v>-0.02617554855676696</x:v>
      </x:c>
    </x:row>
    <x:row r="42">
      <x:c r="A42" s="26" t="n">
        <x:v>46245</x:v>
      </x:c>
      <x:c r="B42" s="27" t="n">
        <x:v>0.9907</x:v>
      </x:c>
      <x:c r="C42" s="27" t="n">
        <x:v>1.7141647552</x:v>
      </x:c>
      <x:c r="D42" s="27" t="n">
        <x:v>1.7983961801</x:v>
      </x:c>
      <x:c r="E42" s="27" t="n">
        <x:v>2.7547949835</x:v>
      </x:c>
      <x:c r="F42" s="27" t="n">
        <x:v>2.5076456337</x:v>
      </x:c>
      <x:c r="G42" s="27" t="n">
        <x:v>2.0171638903</x:v>
      </x:c>
      <x:c r="H42" s="27" t="n">
        <x:v>2.6443316902</x:v>
      </x:c>
      <x:c r="I42" s="27" t="n">
        <x:v>1.2708</x:v>
      </x:c>
      <x:c r="J42" s="27" t="n">
        <x:v>2.058</x:v>
      </x:c>
      <x:c r="K42" s="27" t="n">
        <x:v>1.1872</x:v>
      </x:c>
      <x:c r="L42" s="27" t="n">
        <x:v>1.2485513045</x:v>
      </x:c>
      <x:c r="M42" s="28"/>
      <x:c r="N42" s="29" t="n">
        <x:f>'原始数据-增长前十'!B42/'原始数据-增长前十'!B$5</x:f>
        <x:v>0.9907</x:v>
      </x:c>
      <x:c r="O42" s="29" t="n">
        <x:f>'原始数据-增长前十'!C42/'原始数据-增长前十'!C$5</x:f>
        <x:v>0.9521751824642944</x:v>
      </x:c>
      <x:c r="P42" s="29" t="n">
        <x:f>'原始数据-增长前十'!D42/'原始数据-增长前十'!D$5</x:f>
        <x:v>0.9722985214046348</x:v>
      </x:c>
      <x:c r="Q42" s="29" t="n">
        <x:f>'原始数据-增长前十'!E42/'原始数据-增长前十'!E$5</x:f>
        <x:v>0.9595720143453055</x:v>
      </x:c>
      <x:c r="R42" s="29" t="n">
        <x:f>'原始数据-增长前十'!F42/'原始数据-增长前十'!F$5</x:f>
        <x:v>0.9691240779210994</x:v>
      </x:c>
      <x:c r="S42" s="29" t="n">
        <x:f>'原始数据-增长前十'!G42/'原始数据-增长前十'!G$5</x:f>
        <x:v>0.9778997544456305</x:v>
      </x:c>
      <x:c r="T42" s="29" t="n">
        <x:f>'原始数据-增长前十'!H42/'原始数据-增长前十'!H$5</x:f>
        <x:v>0.963805104412192</x:v>
      </x:c>
      <x:c r="U42" s="29" t="n">
        <x:f>'原始数据-增长前十'!I42/'原始数据-增长前十'!I$5</x:f>
        <x:v>1.006973058637084</x:v>
      </x:c>
      <x:c r="V42" s="29" t="n">
        <x:f>'原始数据-增长前十'!J42/'原始数据-增长前十'!J$5</x:f>
        <x:v>1.0019474196689386</x:v>
      </x:c>
      <x:c r="W42" s="29" t="n">
        <x:f>'原始数据-增长前十'!K42/'原始数据-增长前十'!K$5</x:f>
        <x:v>0.9637928235103101</x:v>
      </x:c>
      <x:c r="X42" s="29" t="n">
        <x:f>'原始数据-增长前十'!L42/'原始数据-增长前十'!L$5</x:f>
        <x:v>0.987035711467953</x:v>
      </x:c>
      <x:c r="Y42" s="28"/>
      <x:c r="Z42" s="30" t="n">
        <x:f>'原始数据-增长前十'!N42/MAX('原始数据-增长前十'!N$5:N42)-1</x:f>
        <x:v>-0.011967687244439862</x:v>
      </x:c>
      <x:c r="AA42" s="30" t="n">
        <x:f>'原始数据-增长前十'!O42/MAX('原始数据-增长前十'!O$5:O42)-1</x:f>
        <x:v>-0.05274776345255505</x:v>
      </x:c>
      <x:c r="AB42" s="30" t="n">
        <x:f>'原始数据-增长前十'!P42/MAX('原始数据-增长前十'!P$5:P42)-1</x:f>
        <x:v>-0.042254331934916456</x:v>
      </x:c>
      <x:c r="AC42" s="30" t="n">
        <x:f>'原始数据-增长前十'!Q42/MAX('原始数据-增长前十'!Q$5:Q42)-1</x:f>
        <x:v>-0.05304754679932755</x:v>
      </x:c>
      <x:c r="AD42" s="30" t="n">
        <x:f>'原始数据-增长前十'!R42/MAX('原始数据-增长前十'!R$5:R42)-1</x:f>
        <x:v>-0.04003500328990739</x:v>
      </x:c>
      <x:c r="AE42" s="30" t="n">
        <x:f>'原始数据-增长前十'!S42/MAX('原始数据-增长前十'!S$5:S42)-1</x:f>
        <x:v>-0.027997128503896018</x:v>
      </x:c>
      <x:c r="AF42" s="30" t="n">
        <x:f>'原始数据-增长前十'!T42/MAX('原始数据-增长前十'!T$5:T42)-1</x:f>
        <x:v>-0.05159817350841567</x:v>
      </x:c>
      <x:c r="AG42" s="30" t="n">
        <x:f>'原始数据-增长前十'!U42/MAX('原始数据-增长前十'!U$5:U42)-1</x:f>
        <x:v>-0.014654570830425762</x:v>
      </x:c>
      <x:c r="AH42" s="30" t="n">
        <x:f>'原始数据-增长前十'!V42/MAX('原始数据-增长前十'!V$5:V42)-1</x:f>
        <x:v>-0.01953311100524091</x:v>
      </x:c>
      <x:c r="AI42" s="30" t="n">
        <x:f>'原始数据-增长前十'!W42/MAX('原始数据-增长前十'!W$5:W42)-1</x:f>
        <x:v>-0.04427628401223638</x:v>
      </x:c>
      <x:c r="AJ42" s="31" t="n">
        <x:f>'原始数据-增长前十'!X42/MAX('原始数据-增长前十'!X$5:X42)-1</x:f>
        <x:v>-0.027429467077558</x:v>
      </x:c>
    </x:row>
    <x:row r="43">
      <x:c r="A43" s="26" t="n">
        <x:v>46246</x:v>
      </x:c>
      <x:c r="B43" s="27" t="n">
        <x:v>0.9935</x:v>
      </x:c>
      <x:c r="C43" s="27" t="n">
        <x:v>1.7239413603</x:v>
      </x:c>
      <x:c r="D43" s="27" t="n">
        <x:v>1.8062872014</x:v>
      </x:c>
      <x:c r="E43" s="27" t="n">
        <x:v>2.7610487746</x:v>
      </x:c>
      <x:c r="F43" s="27" t="n">
        <x:v>2.5149605526</x:v>
      </x:c>
      <x:c r="G43" s="27" t="n">
        <x:v>2.0217822123</x:v>
      </x:c>
      <x:c r="H43" s="27" t="n">
        <x:v>2.6557900365</x:v>
      </x:c>
      <x:c r="I43" s="27" t="n">
        <x:v>1.2745</x:v>
      </x:c>
      <x:c r="J43" s="27" t="n">
        <x:v>2.063</x:v>
      </x:c>
      <x:c r="K43" s="27" t="n">
        <x:v>1.1911</x:v>
      </x:c>
      <x:c r="L43" s="27" t="n">
        <x:v>1.2492555639</x:v>
      </x:c>
      <x:c r="M43" s="28"/>
      <x:c r="N43" s="29" t="n">
        <x:f>'原始数据-增长前十'!B43/'原始数据-增长前十'!B$5</x:f>
        <x:v>0.9935</x:v>
      </x:c>
      <x:c r="O43" s="29" t="n">
        <x:f>'原始数据-增长前十'!C43/'原始数据-增长前十'!C$5</x:f>
        <x:v>0.957605839416454</x:v>
      </x:c>
      <x:c r="P43" s="29" t="n">
        <x:f>'原始数据-增长前十'!D43/'原始数据-增长前十'!D$5</x:f>
        <x:v>0.9765647828809776</x:v>
      </x:c>
      <x:c r="Q43" s="29" t="n">
        <x:f>'原始数据-增长前十'!E43/'原始数据-增长前十'!E$5</x:f>
        <x:v>0.9617503844088001</x:v>
      </x:c>
      <x:c r="R43" s="29" t="n">
        <x:f>'原始数据-增长前十'!F43/'原始数据-增长前十'!F$5</x:f>
        <x:v>0.9719510579133123</x:v>
      </x:c>
      <x:c r="S43" s="29" t="n">
        <x:f>'原始数据-增长前十'!G43/'原始数据-增长前十'!G$5</x:f>
        <x:v>0.980138668185594</x:v>
      </x:c>
      <x:c r="T43" s="29" t="n">
        <x:f>'原始数据-增长前十'!H43/'原始数据-增长前十'!H$5</x:f>
        <x:v>0.9679814385282904</x:v>
      </x:c>
      <x:c r="U43" s="29" t="n">
        <x:f>'原始数据-增长前十'!I43/'原始数据-增长前十'!I$5</x:f>
        <x:v>1.009904912836767</x:v>
      </x:c>
      <x:c r="V43" s="29" t="n">
        <x:f>'原始数据-增长前十'!J43/'原始数据-增长前十'!J$5</x:f>
        <x:v>1.004381694255112</x:v>
      </x:c>
      <x:c r="W43" s="29" t="n">
        <x:f>'原始数据-增长前十'!K43/'原始数据-增长前十'!K$5</x:f>
        <x:v>0.9669589219029063</x:v>
      </x:c>
      <x:c r="X43" s="29" t="n">
        <x:f>'原始数据-增长前十'!L43/'原始数据-增长前十'!L$5</x:f>
        <x:v>0.9875924600576438</x:v>
      </x:c>
      <x:c r="Y43" s="28"/>
      <x:c r="Z43" s="30" t="n">
        <x:f>'原始数据-增长前十'!N43/MAX('原始数据-增长前十'!N$5:N43)-1</x:f>
        <x:v>-0.009175226887403909</x:v>
      </x:c>
      <x:c r="AA43" s="30" t="n">
        <x:f>'原始数据-增长前十'!O43/MAX('原始数据-增长前十'!O$5:O43)-1</x:f>
        <x:v>-0.04734518413879729</x:v>
      </x:c>
      <x:c r="AB43" s="30" t="n">
        <x:f>'原始数据-增长前十'!P43/MAX('原始数据-增长前十'!P$5:P43)-1</x:f>
        <x:v>-0.0380519256184928</x:v>
      </x:c>
      <x:c r="AC43" s="30" t="n">
        <x:f>'原始数据-增长前十'!Q43/MAX('原始数据-增长前十'!Q$5:Q43)-1</x:f>
        <x:v>-0.05089782500172746</x:v>
      </x:c>
      <x:c r="AD43" s="30" t="n">
        <x:f>'原始数据-增长前十'!R43/MAX('原始数据-增长前十'!R$5:R43)-1</x:f>
        <x:v>-0.03723474076341482</x:v>
      </x:c>
      <x:c r="AE43" s="30" t="n">
        <x:f>'原始数据-增长前十'!S43/MAX('原始数据-增长前十'!S$5:S43)-1</x:f>
        <x:v>-0.02577171575132775</x:v>
      </x:c>
      <x:c r="AF43" s="30" t="n">
        <x:f>'原始数据-增长前十'!T43/MAX('原始数据-增长前十'!T$5:T43)-1</x:f>
        <x:v>-0.04748858445808324</x:v>
      </x:c>
      <x:c r="AG43" s="30" t="n">
        <x:f>'原始数据-增长前十'!U43/MAX('原始数据-增长前十'!U$5:U43)-1</x:f>
        <x:v>-0.011785686593781652</x:v>
      </x:c>
      <x:c r="AH43" s="30" t="n">
        <x:f>'原始数据-增长前十'!V43/MAX('原始数据-增长前十'!V$5:V43)-1</x:f>
        <x:v>-0.017151024297284656</x:v>
      </x:c>
      <x:c r="AI43" s="30" t="n">
        <x:f>'原始数据-增长前十'!W43/MAX('原始数据-增长前十'!W$5:W43)-1</x:f>
        <x:v>-0.041136692964095944</x:v>
      </x:c>
      <x:c r="AJ43" s="31" t="n">
        <x:f>'原始数据-增长前十'!X43/MAX('原始数据-增长前十'!X$5:X43)-1</x:f>
        <x:v>-0.026880877734448916</x:v>
      </x:c>
    </x:row>
    <x:row r="44">
      <x:c r="A44" s="26" t="n">
        <x:v>46247</x:v>
      </x:c>
      <x:c r="B44" s="27" t="n">
        <x:v>0.993</x:v>
      </x:c>
      <x:c r="C44" s="27" t="n">
        <x:v>1.7244669842</x:v>
      </x:c>
      <x:c r="D44" s="27" t="n">
        <x:v>1.8062872014</x:v>
      </x:c>
      <x:c r="E44" s="27" t="n">
        <x:v>2.7595772943</x:v>
      </x:c>
      <x:c r="F44" s="27" t="n">
        <x:v>2.5126746404</x:v>
      </x:c>
      <x:c r="G44" s="27" t="n">
        <x:v>2.0152271746</x:v>
      </x:c>
      <x:c r="H44" s="27" t="n">
        <x:v>2.6557900365</x:v>
      </x:c>
      <x:c r="I44" s="27" t="n">
        <x:v>1.275</x:v>
      </x:c>
      <x:c r="J44" s="27" t="n">
        <x:v>2.061</x:v>
      </x:c>
      <x:c r="K44" s="27" t="n">
        <x:v>1.1904</x:v>
      </x:c>
      <x:c r="L44" s="27" t="n">
        <x:v>1.2483500875</x:v>
      </x:c>
      <x:c r="M44" s="28"/>
      <x:c r="N44" s="29" t="n">
        <x:f>'原始数据-增长前十'!B44/'原始数据-增长前十'!B$5</x:f>
        <x:v>0.993</x:v>
      </x:c>
      <x:c r="O44" s="29" t="n">
        <x:f>'原始数据-增长前十'!C44/'原始数据-增长前十'!C$5</x:f>
        <x:v>0.9578978102036096</x:v>
      </x:c>
      <x:c r="P44" s="29" t="n">
        <x:f>'原始数据-增长前十'!D44/'原始数据-增长前十'!D$5</x:f>
        <x:v>0.9765647828809776</x:v>
      </x:c>
      <x:c r="Q44" s="29" t="n">
        <x:f>'原始数据-增长前十'!E44/'原始数据-增长前十'!E$5</x:f>
        <x:v>0.9612378267324585</x:v>
      </x:c>
      <x:c r="R44" s="29" t="n">
        <x:f>'原始数据-增长前十'!F44/'原始数据-增长前十'!F$5</x:f>
        <x:v>0.9710676266488378</x:v>
      </x:c>
      <x:c r="S44" s="29" t="n">
        <x:f>'原始数据-增长前十'!G44/'原始数据-增长前十'!G$5</x:f>
        <x:v>0.9769608551243764</x:v>
      </x:c>
      <x:c r="T44" s="29" t="n">
        <x:f>'原始数据-增长前十'!H44/'原始数据-增长前十'!H$5</x:f>
        <x:v>0.9679814385282904</x:v>
      </x:c>
      <x:c r="U44" s="29" t="n">
        <x:f>'原始数据-增长前十'!I44/'原始数据-增长前十'!I$5</x:f>
        <x:v>1.0103011093502376</x:v>
      </x:c>
      <x:c r="V44" s="29" t="n">
        <x:f>'原始数据-增长前十'!J44/'原始数据-增长前十'!J$5</x:f>
        <x:v>1.0034079844206427</x:v>
      </x:c>
      <x:c r="W44" s="29" t="n">
        <x:f>'原始数据-增长前十'!K44/'原始数据-增长前十'!K$5</x:f>
        <x:v>0.9663906478324402</x:v>
      </x:c>
      <x:c r="X44" s="29" t="n">
        <x:f>'原始数据-增长前十'!L44/'原始数据-增长前十'!L$5</x:f>
        <x:v>0.98687664041974</x:v>
      </x:c>
      <x:c r="Y44" s="28"/>
      <x:c r="Z44" s="30" t="n">
        <x:f>'原始数据-增长前十'!N44/MAX('原始数据-增长前十'!N$5:N44)-1</x:f>
        <x:v>-0.009673880522588996</x:v>
      </x:c>
      <x:c r="AA44" s="30" t="n">
        <x:f>'原始数据-增长前十'!O44/MAX('原始数据-增长前十'!O$5:O44)-1</x:f>
        <x:v>-0.04705472290200696</x:v>
      </x:c>
      <x:c r="AB44" s="30" t="n">
        <x:f>'原始数据-增长前十'!P44/MAX('原始数据-增长前十'!P$5:P44)-1</x:f>
        <x:v>-0.0380519256184928</x:v>
      </x:c>
      <x:c r="AC44" s="30" t="n">
        <x:f>'原始数据-增长前十'!Q44/MAX('原始数据-增长前十'!Q$5:Q44)-1</x:f>
        <x:v>-0.05140364190943458</x:v>
      </x:c>
      <x:c r="AD44" s="30" t="n">
        <x:f>'原始数据-增长前十'!R44/MAX('原始数据-增长前十'!R$5:R44)-1</x:f>
        <x:v>-0.038109822819691885</x:v>
      </x:c>
      <x:c r="AE44" s="30" t="n">
        <x:f>'原始数据-增长前十'!S44/MAX('原始数据-增长前十'!S$5:S44)-1</x:f>
        <x:v>-0.028930366120692552</x:v>
      </x:c>
      <x:c r="AF44" s="30" t="n">
        <x:f>'原始数据-增长前十'!T44/MAX('原始数据-增长前十'!T$5:T44)-1</x:f>
        <x:v>-0.04748858445808324</x:v>
      </x:c>
      <x:c r="AG44" s="30" t="n">
        <x:f>'原始数据-增长前十'!U44/MAX('原始数据-增长前十'!U$5:U44)-1</x:f>
        <x:v>-0.011397999534775716</x:v>
      </x:c>
      <x:c r="AH44" s="30" t="n">
        <x:f>'原始数据-增长前十'!V44/MAX('原始数据-增长前十'!V$5:V44)-1</x:f>
        <x:v>-0.01810385898046707</x:v>
      </x:c>
      <x:c r="AI44" s="30" t="n">
        <x:f>'原始数据-增长前十'!W44/MAX('原始数据-增长前十'!W$5:W44)-1</x:f>
        <x:v>-0.04170020930606999</x:v>
      </x:c>
      <x:c r="AJ44" s="31" t="n">
        <x:f>'原始数据-增长前十'!X44/MAX('原始数据-增长前十'!X$5:X44)-1</x:f>
        <x:v>-0.027586206912130873</x:v>
      </x:c>
    </x:row>
    <x:row r="45">
      <x:c r="A45" s="26" t="n">
        <x:v>46248</x:v>
      </x:c>
      <x:c r="B45" s="27" t="n">
        <x:v>0.9937</x:v>
      </x:c>
      <x:c r="C45" s="27" t="n">
        <x:v>1.7296180987</x:v>
      </x:c>
      <x:c r="D45" s="27" t="n">
        <x:v>1.8133134532</x:v>
      </x:c>
      <x:c r="E45" s="27" t="n">
        <x:v>2.7650953453</x:v>
      </x:c>
      <x:c r="F45" s="27" t="n">
        <x:v>2.5164463955</x:v>
      </x:c>
      <x:c r="G45" s="27" t="n">
        <x:v>2.0186536716</x:v>
      </x:c>
      <x:c r="H45" s="27" t="n">
        <x:v>2.6672483827</x:v>
      </x:c>
      <x:c r="I45" s="27" t="n">
        <x:v>1.2772</x:v>
      </x:c>
      <x:c r="J45" s="27" t="n">
        <x:v>2.065</x:v>
      </x:c>
      <x:c r="K45" s="27" t="n">
        <x:v>1.1896</x:v>
      </x:c>
      <x:c r="L45" s="27" t="n">
        <x:v>1.248651913</x:v>
      </x:c>
      <x:c r="M45" s="28"/>
      <x:c r="N45" s="29" t="n">
        <x:f>'原始数据-增长前十'!B45/'原始数据-增长前十'!B$5</x:f>
        <x:v>0.9937</x:v>
      </x:c>
      <x:c r="O45" s="29" t="n">
        <x:f>'原始数据-增长前十'!C45/'原始数据-增长前十'!C$5</x:f>
        <x:v>0.9607591240732672</x:v>
      </x:c>
      <x:c r="P45" s="29" t="n">
        <x:f>'原始数据-增长前十'!D45/'原始数据-增长前十'!D$5</x:f>
        <x:v>0.9803635088301045</x:v>
      </x:c>
      <x:c r="Q45" s="29" t="n">
        <x:f>'原始数据-增长前十'!E45/'原始数据-增长前十'!E$5</x:f>
        <x:v>0.9631599179751986</x:v>
      </x:c>
      <x:c r="R45" s="29" t="n">
        <x:f>'原始数据-增长前十'!F45/'原始数据-增长前十'!F$5</x:f>
        <x:v>0.9725252882236267</x:v>
      </x:c>
      <x:c r="S45" s="29" t="n">
        <x:f>'原始数据-增长前十'!G45/'原始数据-增长前十'!G$5</x:f>
        <x:v>0.97862198468902</x:v>
      </x:c>
      <x:c r="T45" s="29" t="n">
        <x:f>'原始数据-增长前十'!H45/'原始数据-增长前十'!H$5</x:f>
        <x:v>0.9721577726079409</x:v>
      </x:c>
      <x:c r="U45" s="29" t="n">
        <x:f>'原始数据-增长前十'!I45/'原始数据-增长前十'!I$5</x:f>
        <x:v>1.0120443740095086</x:v>
      </x:c>
      <x:c r="V45" s="29" t="n">
        <x:f>'原始数据-增长前十'!J45/'原始数据-增长前十'!J$5</x:f>
        <x:v>1.0053554040895814</x:v>
      </x:c>
      <x:c r="W45" s="29" t="n">
        <x:f>'原始数据-增长前十'!K45/'原始数据-增长前十'!K$5</x:f>
        <x:v>0.9657411917519078</x:v>
      </x:c>
      <x:c r="X45" s="29" t="n">
        <x:f>'原始数据-增长前十'!L45/'原始数据-增长前十'!L$5</x:f>
        <x:v>0.9871152469920594</x:v>
      </x:c>
      <x:c r="Y45" s="28"/>
      <x:c r="Z45" s="30" t="n">
        <x:f>'原始数据-增长前十'!N45/MAX('原始数据-增长前十'!N$5:N45)-1</x:f>
        <x:v>-0.008975765433329896</x:v>
      </x:c>
      <x:c r="AA45" s="30" t="n">
        <x:f>'原始数据-增长前十'!O45/MAX('原始数据-增长前十'!O$5:O45)-1</x:f>
        <x:v>-0.04420820262673286</x:v>
      </x:c>
      <x:c r="AB45" s="30" t="n">
        <x:f>'原始数据-增长前十'!P45/MAX('原始数据-增长前十'!P$5:P45)-1</x:f>
        <x:v>-0.03431005700319678</x:v>
      </x:c>
      <x:c r="AC45" s="30" t="n">
        <x:f>'原始数据-增长前十'!Q45/MAX('原始数据-增长前十'!Q$5:Q45)-1</x:f>
        <x:v>-0.04950682854850086</x:v>
      </x:c>
      <x:c r="AD45" s="30" t="n">
        <x:f>'原始数据-增长前十'!R45/MAX('原始数据-增长前十'!R$5:R45)-1</x:f>
        <x:v>-0.03666593743831914</x:v>
      </x:c>
      <x:c r="AE45" s="30" t="n">
        <x:f>'原始数据-增长前十'!S45/MAX('原始数据-增长前十'!S$5:S45)-1</x:f>
        <x:v>-0.027279253417759053</x:v>
      </x:c>
      <x:c r="AF45" s="30" t="n">
        <x:f>'原始数据-增长前十'!T45/MAX('原始数据-增长前十'!T$5:T45)-1</x:f>
        <x:v>-0.04337899544361623</x:v>
      </x:c>
      <x:c r="AG45" s="30" t="n">
        <x:f>'原始数据-增长前十'!U45/MAX('原始数据-增长前十'!U$5:U45)-1</x:f>
        <x:v>-0.009692176475149417</x:v>
      </x:c>
      <x:c r="AH45" s="30" t="n">
        <x:f>'原始数据-增长前十'!V45/MAX('原始数据-增长前十'!V$5:V45)-1</x:f>
        <x:v>-0.016198189614102132</x:v>
      </x:c>
      <x:c r="AI45" s="30" t="n">
        <x:f>'原始数据-增长前十'!W45/MAX('原始数据-增长前十'!W$5:W45)-1</x:f>
        <x:v>-0.042344227982611504</x:v>
      </x:c>
      <x:c r="AJ45" s="31" t="n">
        <x:f>'原始数据-增长前十'!X45/MAX('原始数据-增长前十'!X$5:X45)-1</x:f>
        <x:v>-0.02735109716027151</x:v>
      </x:c>
    </x:row>
    <x:row r="46">
      <x:c r="A46" s="26" t="n">
        <x:v>46251</x:v>
      </x:c>
      <x:c r="B46" s="27" t="n">
        <x:v>0.9987</x:v>
      </x:c>
      <x:c r="C46" s="27" t="n">
        <x:v>1.7464380644</x:v>
      </x:c>
      <x:c r="D46" s="27" t="n">
        <x:v>1.8277983416</x:v>
      </x:c>
      <x:c r="E46" s="27" t="n">
        <x:v>2.7895587047</x:v>
      </x:c>
      <x:c r="F46" s="27" t="n">
        <x:v>2.5431915677</x:v>
      </x:c>
      <x:c r="G46" s="27" t="n">
        <x:v>2.0243148406</x:v>
      </x:c>
      <x:c r="H46" s="27" t="n">
        <x:v>2.693984524</x:v>
      </x:c>
      <x:c r="I46" s="27" t="n">
        <x:v>1.288</x:v>
      </x:c>
      <x:c r="J46" s="27" t="n">
        <x:v>2.089</x:v>
      </x:c>
      <x:c r="K46" s="27" t="n">
        <x:v>1.1998</x:v>
      </x:c>
      <x:c r="L46" s="27" t="n">
        <x:v>1.25217321</x:v>
      </x:c>
      <x:c r="M46" s="28"/>
      <x:c r="N46" s="29" t="n">
        <x:f>'原始数据-增长前十'!B46/'原始数据-增长前十'!B$5</x:f>
        <x:v>0.9987</x:v>
      </x:c>
      <x:c r="O46" s="29" t="n">
        <x:f>'原始数据-增长前十'!C46/'原始数据-增长前十'!C$5</x:f>
        <x:v>0.970102189762173</x:v>
      </x:c>
      <x:c r="P46" s="29" t="n">
        <x:f>'原始数据-增长前十'!D46/'原始数据-增长前十'!D$5</x:f>
        <x:v>0.9881947285189987</x:v>
      </x:c>
      <x:c r="Q46" s="29" t="n">
        <x:f>'原始数据-增长前十'!E46/'原始数据-增长前十'!E$5</x:f>
        <x:v>0.9716811891397362</x:v>
      </x:c>
      <x:c r="R46" s="29" t="n">
        <x:f>'原始数据-增长前十'!F46/'原始数据-增长前十'!F$5</x:f>
        <x:v>0.982861433809286</x:v>
      </x:c>
      <x:c r="S46" s="29" t="n">
        <x:f>'原始数据-增长前十'!G46/'原始数据-增长前十'!G$5</x:f>
        <x:v>0.9813664596429871</x:v>
      </x:c>
      <x:c r="T46" s="29" t="n">
        <x:f>'原始数据-增长前十'!H46/'原始数据-增长前十'!H$5</x:f>
        <x:v>0.9819025521878721</x:v>
      </x:c>
      <x:c r="U46" s="29" t="n">
        <x:f>'原始数据-增长前十'!I46/'原始数据-增长前十'!I$5</x:f>
        <x:v>1.0206022187004755</x:v>
      </x:c>
      <x:c r="V46" s="29" t="n">
        <x:f>'原始数据-增长前十'!J46/'原始数据-增长前十'!J$5</x:f>
        <x:v>1.0170399221032134</x:v>
      </x:c>
      <x:c r="W46" s="29" t="n">
        <x:f>'原始数据-增长前十'!K46/'原始数据-增长前十'!K$5</x:f>
        <x:v>0.9740217567786978</x:v>
      </x:c>
      <x:c r="X46" s="29" t="n">
        <x:f>'原始数据-增长前十'!L46/'原始数据-增长前十'!L$5</x:f>
        <x:v>0.9898989899405135</x:v>
      </x:c>
      <x:c r="Y46" s="28"/>
      <x:c r="Z46" s="30" t="n">
        <x:f>'原始数据-增长前十'!N46/MAX('原始数据-增长前十'!N$5:N46)-1</x:f>
        <x:v>-0.003989229081479917</x:v>
      </x:c>
      <x:c r="AA46" s="30" t="n">
        <x:f>'原始数据-增长前十'!O46/MAX('原始数据-增长前十'!O$5:O46)-1</x:f>
        <x:v>-0.034913442552099716</x:v>
      </x:c>
      <x:c r="AB46" s="30" t="n">
        <x:f>'原始数据-增长前十'!P46/MAX('原始数据-增长前十'!P$5:P46)-1</x:f>
        <x:v>-0.02659605089541306</x:v>
      </x:c>
      <x:c r="AC46" s="30" t="n">
        <x:f>'原始数据-增长前十'!Q46/MAX('原始数据-增长前十'!Q$5:Q46)-1</x:f>
        <x:v>-0.04109762265981887</x:v>
      </x:c>
      <x:c r="AD46" s="30" t="n">
        <x:f>'原始数据-增长前十'!R46/MAX('原始数据-增长前十'!R$5:R46)-1</x:f>
        <x:v>-0.026427477586596915</x:v>
      </x:c>
      <x:c r="AE46" s="30" t="n">
        <x:f>'原始数据-增长前十'!S46/MAX('原始数据-增长前十'!S$5:S46)-1</x:f>
        <x:v>-0.024551328061527156</x:v>
      </x:c>
      <x:c r="AF46" s="30" t="n">
        <x:f>'原始数据-增长前十'!T46/MAX('原始数据-增长前十'!T$5:T46)-1</x:f>
        <x:v>-0.03378995435008392</x:v>
      </x:c>
      <x:c r="AG46" s="30" t="n">
        <x:f>'原始数据-增长前十'!U46/MAX('原始数据-增长前十'!U$5:U46)-1</x:f>
        <x:v>-0.0013181360006202514</x:v>
      </x:c>
      <x:c r="AH46" s="30" t="n">
        <x:f>'原始数据-增长前十'!V46/MAX('原始数据-增长前十'!V$5:V46)-1</x:f>
        <x:v>-0.004764173415912509</x:v>
      </x:c>
      <x:c r="AI46" s="30" t="n">
        <x:f>'原始数据-增长前十'!W46/MAX('原始数据-增长前十'!W$5:W46)-1</x:f>
        <x:v>-0.034132989856705875</x:v>
      </x:c>
      <x:c r="AJ46" s="31" t="n">
        <x:f>'原始数据-增长前十'!X46/MAX('原始数据-增长前十'!X$5:X46)-1</x:f>
        <x:v>-0.024608150444726085</x:v>
      </x:c>
    </x:row>
    <x:row r="47">
      <x:c r="A47" s="32" t="n">
        <x:v>46252</x:v>
      </x:c>
      <x:c r="B47" s="33" t="n">
        <x:v>0.9995</x:v>
      </x:c>
      <x:c r="C47" s="33" t="n">
        <x:v>1.7424433225</x:v>
      </x:c>
      <x:c r="D47" s="33" t="n">
        <x:v>1.8248797447</x:v>
      </x:c>
      <x:c r="E47" s="33" t="n">
        <x:v>2.785880004</x:v>
      </x:c>
      <x:c r="F47" s="33" t="n">
        <x:v>2.544563115</x:v>
      </x:c>
      <x:c r="G47" s="33" t="n">
        <x:v>2.0238679062</x:v>
      </x:c>
      <x:c r="H47" s="33" t="n">
        <x:v>2.6901650753</x:v>
      </x:c>
      <x:c r="I47" s="33" t="n">
        <x:v>1.2858</x:v>
      </x:c>
      <x:c r="J47" s="33" t="n">
        <x:v>2.083</x:v>
      </x:c>
      <x:c r="K47" s="33" t="n">
        <x:v>1.1993</x:v>
      </x:c>
      <x:c r="L47" s="33" t="n">
        <x:v>1.2529780779</x:v>
      </x:c>
      <x:c r="M47" s="34"/>
      <x:c r="N47" s="35" t="n">
        <x:f>'原始数据-增长前十'!B47/'原始数据-增长前十'!B$5</x:f>
        <x:v>0.9995</x:v>
      </x:c>
      <x:c r="O47" s="35" t="n">
        <x:f>'原始数据-增长前十'!C47/'原始数据-增长前十'!C$5</x:f>
        <x:v>0.9678832116353672</x:v>
      </x:c>
      <x:c r="P47" s="35" t="n">
        <x:f>'原始数据-增长前十'!D47/'原始数据-增长前十'!D$5</x:f>
        <x:v>0.9866167962025008</x:v>
      </x:c>
      <x:c r="Q47" s="35" t="n">
        <x:f>'原始数据-增长前十'!E47/'原始数据-增长前十'!E$5</x:f>
        <x:v>0.9703997949662985</x:v>
      </x:c>
      <x:c r="R47" s="35" t="n">
        <x:f>'原始数据-增长前十'!F47/'原始数据-增长前十'!F$5</x:f>
        <x:v>0.9833914925602413</x:v>
      </x:c>
      <x:c r="S47" s="35" t="n">
        <x:f>'原始数据-增长前十'!G47/'原始数据-增长前十'!G$5</x:f>
        <x:v>0.9811497905651223</x:v>
      </x:c>
      <x:c r="T47" s="35" t="n">
        <x:f>'原始数据-增长前十'!H47/'原始数据-增长前十'!H$5</x:f>
        <x:v>0.9805104408401378</x:v>
      </x:c>
      <x:c r="U47" s="35" t="n">
        <x:f>'原始数据-增长前十'!I47/'原始数据-增长前十'!I$5</x:f>
        <x:v>1.0188589540412045</x:v>
      </x:c>
      <x:c r="V47" s="35" t="n">
        <x:f>'原始数据-增长前十'!J47/'原始数据-增长前十'!J$5</x:f>
        <x:v>1.0141187925998054</x:v>
      </x:c>
      <x:c r="W47" s="35" t="n">
        <x:f>'原始数据-增长前十'!K47/'原始数据-增长前十'!K$5</x:f>
        <x:v>0.973615846728365</x:v>
      </x:c>
      <x:c r="X47" s="35" t="n">
        <x:f>'原始数据-增长前十'!L47/'原始数据-增长前十'!L$5</x:f>
        <x:v>0.9905352740543107</x:v>
      </x:c>
      <x:c r="Y47" s="34"/>
      <x:c r="Z47" s="36" t="n">
        <x:f>'原始数据-增长前十'!N47/MAX('原始数据-增长前十'!N$5:N47)-1</x:f>
        <x:v>-0.003191383265183867</x:v>
      </x:c>
      <x:c r="AA47" s="36" t="n">
        <x:f>'原始数据-增长前十'!O47/MAX('原始数据-增长前十'!O$5:O47)-1</x:f>
        <x:v>-0.03712094809538302</x:v>
      </x:c>
      <x:c r="AB47" s="36" t="n">
        <x:f>'原始数据-增长前十'!P47/MAX('原始数据-增长前十'!P$5:P47)-1</x:f>
        <x:v>-0.028150365550178358</x:v>
      </x:c>
      <x:c r="AC47" s="36" t="n">
        <x:f>'原始数据-增长前十'!Q47/MAX('原始数据-增长前十'!Q$5:Q47)-1</x:f>
        <x:v>-0.04236216491189959</x:v>
      </x:c>
      <x:c r="AD47" s="36" t="n">
        <x:f>'原始数据-增长前十'!R47/MAX('原始数据-增长前十'!R$5:R47)-1</x:f>
        <x:v>-0.025902428360487062</x:v>
      </x:c>
      <x:c r="AE47" s="36" t="n">
        <x:f>'原始数据-增长前十'!S47/MAX('原始数据-增长前十'!S$5:S47)-1</x:f>
        <x:v>-0.024766690592186946</x:v>
      </x:c>
      <x:c r="AF47" s="36" t="n">
        <x:f>'原始数据-增长前十'!T47/MAX('原始数据-增长前十'!T$5:T47)-1</x:f>
        <x:v>-0.03515981734295126</x:v>
      </x:c>
      <x:c r="AG47" s="36" t="n">
        <x:f>'原始数据-增长前十'!U47/MAX('原始数据-增长前十'!U$5:U47)-1</x:f>
        <x:v>-0.0030239590602465505</x:v>
      </x:c>
      <x:c r="AH47" s="36" t="n">
        <x:f>'原始数据-增长前十'!V47/MAX('原始数据-增长前十'!V$5:V47)-1</x:f>
        <x:v>-0.0076226774654598595</x:v>
      </x:c>
      <x:c r="AI47" s="36" t="n">
        <x:f>'原始数据-增长前十'!W47/MAX('原始数据-增长前十'!W$5:W47)-1</x:f>
        <x:v>-0.03453550152954443</x:v>
      </x:c>
      <x:c r="AJ47" s="37" t="n">
        <x:f>'原始数据-增长前十'!X47/MAX('原始数据-增长前十'!X$5:X47)-1</x:f>
        <x:v>-0.02398119118433062</x:v>
      </x:c>
    </x:row>
  </x:sheetData>
  <x:mergeCells>
    <x:mergeCell ref="A1:AJ1"/>
    <x:mergeCell ref="A2:AJ2"/>
    <x:mergeCell ref="N3:X3"/>
    <x:mergeCell ref="Z3:AJ3"/>
  </x:mergeCells>
  <x:pageMargins left="0.7" right="0.7" top="0.75" bottom="0.75" header="0.3" footer="0.3"/>
  <x:legacyDrawing xmlns:r="http://schemas.openxmlformats.org/officeDocument/2006/relationships" r:id="R963b3766ca6f4d06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3" hidden="0" customWidth="1"/>
    <x:col min="3" max="3" width="1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39" t="str">
        <x:v>1090与全市场Q2规模增长前十固收+：回撤与修复指标</x:v>
      </x:c>
      <x:c r="B1" s="39"/>
      <x:c r="C1" s="39"/>
      <x:c r="D1" s="39"/>
      <x:c r="E1" s="39"/>
      <x:c r="F1" s="39"/>
      <x:c r="G1" s="39"/>
      <x:c r="H1" s="39"/>
    </x:row>
    <x:row r="2" ht="22" customHeight="1">
      <x:c r="A2" s="4" t="str">
        <x:v>基金按26Q2规模从大到小排列；累计修复幅度=自区间最低点反弹至8月18日的涨幅÷|区间最大回撤|。</x:v>
      </x:c>
      <x:c r="B2" s="4"/>
      <x:c r="C2" s="4"/>
      <x:c r="D2" s="4"/>
      <x:c r="E2" s="4"/>
      <x:c r="F2" s="4"/>
      <x:c r="G2" s="4"/>
      <x:c r="H2" s="4"/>
    </x:row>
    <x:row r="4" ht="34" customHeight="1">
      <x:c r="A4" s="44" t="str">
        <x:v>组合/基金</x:v>
      </x:c>
      <x:c r="B4" s="44" t="str">
        <x:v>代码</x:v>
      </x:c>
      <x:c r="C4" s="44" t="str">
        <x:v>26Q2规模（亿元）</x:v>
      </x:c>
      <x:c r="D4" s="44" t="str">
        <x:v>成立以来</x:v>
      </x:c>
      <x:c r="E4" s="44" t="str">
        <x:v>最大回撤</x:v>
      </x:c>
      <x:c r="F4" s="44" t="str">
        <x:v>离最高点距离</x:v>
      </x:c>
      <x:c r="G4" s="44" t="str">
        <x:v>自最低点反弹</x:v>
      </x:c>
      <x:c r="H4" s="44" t="str">
        <x:v>累计修复幅度</x:v>
      </x:c>
    </x:row>
    <x:row r="5" ht="28" customHeight="1">
      <x:c r="A5" s="64" t="str">
        <x:v>1090组合</x:v>
      </x:c>
      <x:c r="B5" s="64" t="str">
        <x:v>1090</x:v>
      </x:c>
      <x:c r="C5" s="66"/>
      <x:c r="D5" s="67" t="n">
        <x:f>'原始数据-增长前十'!B47/'原始数据-增长前十'!B5-1</x:f>
        <x:v>-0.0004999999999999449</x:v>
      </x:c>
      <x:c r="E5" s="67" t="n">
        <x:f>MIN('原始数据-增长前十'!Z5:Z47)</x:f>
        <x:v>-0.028722449386655913</x:v>
      </x:c>
      <x:c r="F5" s="67" t="n">
        <x:f>'原始数据-增长前十'!B47/MAX('原始数据-增长前十'!B5:B47)-1</x:f>
        <x:v>-0.003191383265183867</x:v>
      </x:c>
      <x:c r="G5" s="67" t="n">
        <x:f>'原始数据-增长前十'!B47/MIN('原始数据-增长前十'!B5:B47)-1</x:f>
        <x:v>0.02628606633124564</x:v>
      </x:c>
      <x:c r="H5" s="67" t="n">
        <x:f>IF(ABS(E5)&lt;0.000000000001,999999,G5/ABS(E5))</x:f>
        <x:v>0.9151749552201427</x:v>
      </x:c>
    </x:row>
    <x:row r="6" ht="26" customHeight="1">
      <x:c r="A6" s="65" t="str">
        <x:v>景顺长城景颐丰利债券</x:v>
      </x:c>
      <x:c r="B6" s="65" t="str">
        <x:v>003504.OF</x:v>
      </x:c>
      <x:c r="C6" s="68" t="n">
        <x:v>712</x:v>
      </x:c>
      <x:c r="D6" s="69" t="n">
        <x:f>'原始数据-增长前十'!C47/'原始数据-增长前十'!C5-1</x:f>
        <x:v>-0.03211678836463283</x:v>
      </x:c>
      <x:c r="E6" s="69" t="n">
        <x:f>MIN('原始数据-增长前十'!AA5:AA47)</x:f>
        <x:v>-0.07819216915479099</x:v>
      </x:c>
      <x:c r="F6" s="69" t="n">
        <x:f>'原始数据-增长前十'!C47/MAX('原始数据-增长前十'!C5:C47)-1</x:f>
        <x:v>-0.03712094809538291</x:v>
      </x:c>
      <x:c r="G6" s="69" t="n">
        <x:f>'原始数据-增长前十'!C47/MIN('原始数据-增长前十'!C5:C47)-1</x:f>
        <x:v>0.044555079361551675</x:v>
      </x:c>
      <x:c r="H6" s="69" t="n">
        <x:f>IF(ABS(E6)&lt;0.000000000001,999999,G6/ABS(E6))</x:f>
        <x:v>0.569815108637662</x:v>
      </x:c>
    </x:row>
    <x:row r="7" ht="26" customHeight="1">
      <x:c r="A7" s="65" t="str">
        <x:v>鹏华双债加利债券</x:v>
      </x:c>
      <x:c r="B7" s="65" t="str">
        <x:v>000143.OF</x:v>
      </x:c>
      <x:c r="C7" s="68" t="n">
        <x:v>584</x:v>
      </x:c>
      <x:c r="D7" s="69" t="n">
        <x:f>'原始数据-增长前十'!F47/'原始数据-增长前十'!F5-1</x:f>
        <x:v>-0.016608507439758724</x:v>
      </x:c>
      <x:c r="E7" s="69" t="n">
        <x:f>MIN('原始数据-增长前十'!AD5:AD47)</x:f>
        <x:v>-0.06090570992250455</x:v>
      </x:c>
      <x:c r="F7" s="69" t="n">
        <x:f>'原始数据-增长前十'!F47/MAX('原始数据-增长前十'!F5:F47)-1</x:f>
        <x:v>-0.02590242836048684</x:v>
      </x:c>
      <x:c r="G7" s="69" t="n">
        <x:f>'原始数据-增长前十'!F47/MIN('原始数据-增长前十'!F5:F47)-1</x:f>
        <x:v>0.03727344733309912</x:v>
      </x:c>
      <x:c r="H7" s="69" t="n">
        <x:f>IF(ABS(E7)&lt;0.000000000001,999999,G7/ABS(E7))</x:f>
        <x:v>0.6119860909679119</x:v>
      </x:c>
    </x:row>
    <x:row r="8" ht="26" customHeight="1">
      <x:c r="A8" s="65" t="str">
        <x:v>易方达丰和债券</x:v>
      </x:c>
      <x:c r="B8" s="65" t="str">
        <x:v>002969.OF</x:v>
      </x:c>
      <x:c r="C8" s="68" t="n">
        <x:v>391</x:v>
      </x:c>
      <x:c r="D8" s="69" t="n">
        <x:f>'原始数据-增长前十'!D47/'原始数据-增长前十'!D5-1</x:f>
        <x:v>-0.013383203797499243</x:v>
      </x:c>
      <x:c r="E8" s="69" t="n">
        <x:f>MIN('原始数据-增长前十'!AB5:AB47)</x:f>
        <x:v>-0.07057739908973293</x:v>
      </x:c>
      <x:c r="F8" s="69" t="n">
        <x:f>'原始数据-增长前十'!D47/MAX('原始数据-增长前十'!D5:D47)-1</x:f>
        <x:v>-0.028150365550178358</x:v>
      </x:c>
      <x:c r="G8" s="69" t="n">
        <x:f>'原始数据-增长前十'!D47/MIN('原始数据-增长前十'!D5:D47)-1</x:f>
        <x:v>0.045648807655421786</x:v>
      </x:c>
      <x:c r="H8" s="69" t="n">
        <x:f>IF(ABS(E8)&lt;0.000000000001,999999,G8/ABS(E8))</x:f>
        <x:v>0.6467907325032389</x:v>
      </x:c>
    </x:row>
    <x:row r="9" ht="26" customHeight="1">
      <x:c r="A9" s="65" t="str">
        <x:v>华商信用增强债券</x:v>
      </x:c>
      <x:c r="B9" s="65" t="str">
        <x:v>001751.OF</x:v>
      </x:c>
      <x:c r="C9" s="68" t="n">
        <x:v>361</x:v>
      </x:c>
      <x:c r="D9" s="69" t="n">
        <x:f>'原始数据-增长前十'!J47/'原始数据-增长前十'!J5-1</x:f>
        <x:v>0.014118792599805419</x:v>
      </x:c>
      <x:c r="E9" s="69" t="n">
        <x:f>MIN('原始数据-增长前十'!AH5:AH47)</x:f>
        <x:v>-0.052405907575035826</x:v>
      </x:c>
      <x:c r="F9" s="69" t="n">
        <x:f>'原始数据-增长前十'!J47/MAX('原始数据-增长前十'!J5:J47)-1</x:f>
        <x:v>-0.0076226774654597484</x:v>
      </x:c>
      <x:c r="G9" s="69" t="n">
        <x:f>'原始数据-增长前十'!J47/MIN('原始数据-增长前十'!J5:J47)-1</x:f>
        <x:v>0.047259929612870843</x:v>
      </x:c>
      <x:c r="H9" s="69" t="n">
        <x:f>IF(ABS(E9)&lt;0.000000000001,999999,G9/ABS(E9))</x:f>
        <x:v>0.9018053841583248</x:v>
      </x:c>
    </x:row>
    <x:row r="10" ht="26" customHeight="1">
      <x:c r="A10" s="65" t="str">
        <x:v>博时恒乐债券</x:v>
      </x:c>
      <x:c r="B10" s="65" t="str">
        <x:v>014846.OF</x:v>
      </x:c>
      <x:c r="C10" s="68" t="n">
        <x:v>359</x:v>
      </x:c>
      <x:c r="D10" s="69" t="n">
        <x:f>'原始数据-增长前十'!L47/'原始数据-增长前十'!L5-1</x:f>
        <x:v>-0.009464725945689256</x:v>
      </x:c>
      <x:c r="E10" s="69" t="n">
        <x:f>MIN('原始数据-增长前十'!AJ5:AJ47)</x:f>
        <x:v>-0.03087774297078527</x:v>
      </x:c>
      <x:c r="F10" s="69" t="n">
        <x:f>'原始数据-增长前十'!L47/MAX('原始数据-增长前十'!L5:L47)-1</x:f>
        <x:v>-0.02398119118433073</x:v>
      </x:c>
      <x:c r="G10" s="69" t="n">
        <x:f>'原始数据-增长前十'!L47/MIN('原始数据-增长前十'!L5:L47)-1</x:f>
        <x:v>0.0071162866567480165</x:v>
      </x:c>
      <x:c r="H10" s="69" t="n">
        <x:f>IF(ABS(E10)&lt;0.000000000001,999999,G10/ABS(E10))</x:f>
        <x:v>0.23046654230786992</x:v>
      </x:c>
    </x:row>
    <x:row r="11" ht="26" customHeight="1">
      <x:c r="A11" s="65" t="str">
        <x:v>易方达裕丰回报债券</x:v>
      </x:c>
      <x:c r="B11" s="65" t="str">
        <x:v>000171.OF</x:v>
      </x:c>
      <x:c r="C11" s="68" t="n">
        <x:v>342</x:v>
      </x:c>
      <x:c r="D11" s="69" t="n">
        <x:f>'原始数据-增长前十'!H47/'原始数据-增长前十'!H5-1</x:f>
        <x:v>-0.01948955915986217</x:v>
      </x:c>
      <x:c r="E11" s="69" t="n">
        <x:f>MIN('原始数据-增长前十'!AF5:AF47)</x:f>
        <x:v>-0.06347031964983563</x:v>
      </x:c>
      <x:c r="F11" s="69" t="n">
        <x:f>'原始数据-增长前十'!H47/MAX('原始数据-增长前十'!H5:H47)-1</x:f>
        <x:v>-0.03515981734295115</x:v>
      </x:c>
      <x:c r="G11" s="69" t="n">
        <x:f>'原始数据-增长前十'!H47/MIN('原始数据-增长前十'!H5:H47)-1</x:f>
        <x:v>0.030229156534899326</x:v>
      </x:c>
      <x:c r="H11" s="69" t="n">
        <x:f>IF(ABS(E11)&lt;0.000000000001,999999,G11/ABS(E11))</x:f>
        <x:v>0.47627232227083344</x:v>
      </x:c>
    </x:row>
    <x:row r="12" ht="26" customHeight="1">
      <x:c r="A12" s="65" t="str">
        <x:v>汇添富双利增强债券</x:v>
      </x:c>
      <x:c r="B12" s="65" t="str">
        <x:v>000406.OF</x:v>
      </x:c>
      <x:c r="C12" s="68" t="n">
        <x:v>293</x:v>
      </x:c>
      <x:c r="D12" s="69" t="n">
        <x:f>'原始数据-增长前十'!G47/'原始数据-增长前十'!G5-1</x:f>
        <x:v>-0.018850209434877696</x:v>
      </x:c>
      <x:c r="E12" s="69" t="n">
        <x:f>MIN('原始数据-增长前十'!AE5:AE47)</x:f>
        <x:v>-0.0508973438624899</x:v>
      </x:c>
      <x:c r="F12" s="69" t="n">
        <x:f>'原始数据-增长前十'!G47/MAX('原始数据-增长前十'!G5:G47)-1</x:f>
        <x:v>-0.024766690592186946</x:v>
      </x:c>
      <x:c r="G12" s="69" t="n">
        <x:f>'原始数据-增长前十'!G47/MIN('原始数据-增长前十'!G5:G47)-1</x:f>
        <x:v>0.02753195673969011</x:v>
      </x:c>
      <x:c r="H12" s="69" t="n">
        <x:f>IF(ABS(E12)&lt;0.000000000001,999999,G12/ABS(E12))</x:f>
        <x:v>0.5409311105521263</x:v>
      </x:c>
    </x:row>
    <x:row r="13" ht="26" customHeight="1">
      <x:c r="A13" s="65" t="str">
        <x:v>华商利欣回报债券</x:v>
      </x:c>
      <x:c r="B13" s="65" t="str">
        <x:v>018595.OF</x:v>
      </x:c>
      <x:c r="C13" s="68" t="n">
        <x:v>283</x:v>
      </x:c>
      <x:c r="D13" s="69" t="n">
        <x:f>'原始数据-增长前十'!I47/'原始数据-增长前十'!I5-1</x:f>
        <x:v>0.018858954041204523</x:v>
      </x:c>
      <x:c r="E13" s="69" t="n">
        <x:f>MIN('原始数据-增长前十'!AG5:AG47)</x:f>
        <x:v>-0.046444909668915346</x:v>
      </x:c>
      <x:c r="F13" s="69" t="n">
        <x:f>'原始数据-增长前十'!I47/MAX('原始数据-增长前十'!I5:I47)-1</x:f>
        <x:v>-0.0030239590602465505</x:v>
      </x:c>
      <x:c r="G13" s="69" t="n">
        <x:f>'原始数据-增长前十'!I47/MIN('原始数据-增长前十'!I5:I47)-1</x:f>
        <x:v>0.045535859489347796</x:v>
      </x:c>
      <x:c r="H13" s="69" t="n">
        <x:f>IF(ABS(E13)&lt;0.000000000001,999999,G13/ABS(E13))</x:f>
        <x:v>0.9804273452990273</x:v>
      </x:c>
    </x:row>
    <x:row r="14" ht="26" customHeight="1">
      <x:c r="A14" s="65" t="str">
        <x:v>汇添富多元收益债券</x:v>
      </x:c>
      <x:c r="B14" s="65" t="str">
        <x:v>470010.OF</x:v>
      </x:c>
      <x:c r="C14" s="68" t="n">
        <x:v>274</x:v>
      </x:c>
      <x:c r="D14" s="69" t="n">
        <x:f>'原始数据-增长前十'!E47/'原始数据-增长前十'!E5-1</x:f>
        <x:v>-0.029600205033701532</x:v>
      </x:c>
      <x:c r="E14" s="69" t="n">
        <x:f>MIN('原始数据-增长前十'!AC5:AC47)</x:f>
        <x:v>-0.06619878605596963</x:v>
      </x:c>
      <x:c r="F14" s="69" t="n">
        <x:f>'原始数据-增长前十'!E47/MAX('原始数据-增长前十'!E5:E47)-1</x:f>
        <x:v>-0.04236216491189959</x:v>
      </x:c>
      <x:c r="G14" s="69" t="n">
        <x:f>'原始数据-增长前十'!E47/MIN('原始数据-增长前十'!E5:E47)-1</x:f>
        <x:v>0.025526440518740534</x:v>
      </x:c>
      <x:c r="H14" s="69" t="n">
        <x:f>IF(ABS(E14)&lt;0.000000000001,999999,G14/ABS(E14))</x:f>
        <x:v>0.38560284922987087</x:v>
      </x:c>
    </x:row>
    <x:row r="15" ht="26" customHeight="1">
      <x:c r="A15" s="65" t="str">
        <x:v>万家锦利债券发起式</x:v>
      </x:c>
      <x:c r="B15" s="65" t="str">
        <x:v>020218.OF</x:v>
      </x:c>
      <x:c r="C15" s="68" t="n">
        <x:v>180</x:v>
      </x:c>
      <x:c r="D15" s="69" t="n">
        <x:f>'原始数据-增长前十'!K47/'原始数据-增长前十'!K5-1</x:f>
        <x:v>-0.026384153271635014</x:v>
      </x:c>
      <x:c r="E15" s="69" t="n">
        <x:f>MIN('原始数据-增长前十'!AI5:AI47)</x:f>
        <x:v>-0.05747866688133951</x:v>
      </x:c>
      <x:c r="F15" s="69" t="n">
        <x:f>'原始数据-增长前十'!K47/MAX('原始数据-增长前十'!K5:K47)-1</x:f>
        <x:v>-0.03453550152954432</x:v>
      </x:c>
      <x:c r="G15" s="69" t="n">
        <x:f>'原始数据-增长前十'!K47/MIN('原始数据-增长前十'!K5:K47)-1</x:f>
        <x:v>0.02434233003074815</x:v>
      </x:c>
      <x:c r="H15" s="69" t="n">
        <x:f>IF(ABS(E15)&lt;0.000000000001,999999,G15/ABS(E15))</x:f>
        <x:v>0.4235019938962938</x:v>
      </x:c>
    </x:row>
  </x:sheetData>
  <x:mergeCells>
    <x:mergeCell ref="A1:H1"/>
    <x:mergeCell ref="A2:H2"/>
  </x:mergeCells>
  <x:pageMargins left="0.7" right="0.7" top="0.75" bottom="0.75" header="0.3" footer="0.3"/>
  <x:legacyDrawing xmlns:r="http://schemas.openxmlformats.org/officeDocument/2006/relationships" r:id="R54ffbdc0c8f64e21"/>
</x:worksheet>
</file>